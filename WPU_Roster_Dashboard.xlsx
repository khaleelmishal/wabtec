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oster Summary" sheetId="2" state="visible" r:id="rId2"/>
    <sheet xmlns:r="http://schemas.openxmlformats.org/officeDocument/2006/relationships" name="Camp Summary" sheetId="3" state="visible" r:id="rId3"/>
    <sheet xmlns:r="http://schemas.openxmlformats.org/officeDocument/2006/relationships" name="Who's Where" sheetId="4" state="visible" r:id="rId4"/>
    <sheet xmlns:r="http://schemas.openxmlformats.org/officeDocument/2006/relationships" name="INPUT - Roster" sheetId="5" state="visible" r:id="rId5"/>
    <sheet xmlns:r="http://schemas.openxmlformats.org/officeDocument/2006/relationships" name="INPUT - Bookings" sheetId="6" state="visible" r:id="rId6"/>
    <sheet xmlns:r="http://schemas.openxmlformats.org/officeDocument/2006/relationships" name="BHP Site Access" sheetId="7" state="visible" r:id="rId7"/>
    <sheet xmlns:r="http://schemas.openxmlformats.org/officeDocument/2006/relationships" name="Mandatory Quals" sheetId="8" state="visible" r:id="rId8"/>
    <sheet xmlns:r="http://schemas.openxmlformats.org/officeDocument/2006/relationships" name="Ute Roster" sheetId="9" state="visible" r:id="rId9"/>
    <sheet xmlns:r="http://schemas.openxmlformats.org/officeDocument/2006/relationships" name="Acronyms" sheetId="10" state="visible" r:id="rId10"/>
    <sheet xmlns:r="http://schemas.openxmlformats.org/officeDocument/2006/relationships" name="Settings" sheetId="11" state="visible" r:id="rId11"/>
    <sheet xmlns:r="http://schemas.openxmlformats.org/officeDocument/2006/relationships" name="Calc" sheetId="12" state="visible" r:id="rId12"/>
    <sheet xmlns:r="http://schemas.openxmlformats.org/officeDocument/2006/relationships" name="Grid" sheetId="13" state="visible" r:id="rId13"/>
    <sheet xmlns:r="http://schemas.openxmlformats.org/officeDocument/2006/relationships" name="Index" sheetId="14" state="visible" r:id="rId14"/>
  </sheets>
  <definedNames>
    <definedName name="_xlnm.Print_Area" localSheetId="0">'Dashboard'!$B$2:$AA$77</definedName>
    <definedName name="_xlnm._FilterDatabase" localSheetId="3" hidden="1">'Who''s Where'!$B$7:$E$157</definedName>
    <definedName name="_xlnm._FilterDatabase" localSheetId="5" hidden="1">'INPUT - Bookings'!$B$4:$H$1504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1">
    <numFmt numFmtId="164" formatCode="dd\-mmm\-yy"/>
    <numFmt numFmtId="165" formatCode="dd\-mmm\-yyyy"/>
    <numFmt numFmtId="166" formatCode="mm/dd/yy"/>
    <numFmt numFmtId="167" formatCode="yyyy-mm-dd h:mm:ss"/>
    <numFmt numFmtId="168" formatCode="dd-mmm-yy"/>
    <numFmt numFmtId="169" formatCode="ddd dd-mmm-yy"/>
    <numFmt numFmtId="170" formatCode="dd-mmm-yyyy"/>
    <numFmt numFmtId="171" formatCode="dd-mmm"/>
    <numFmt numFmtId="172" formatCode="ddd dd-mmm"/>
    <numFmt numFmtId="173" formatCode="ddd d/m"/>
    <numFmt numFmtId="174" formatCode="0;;"/>
  </numFmts>
  <fonts count="56">
    <font>
      <name val="Calibri"/>
      <charset val="1"/>
      <family val="2"/>
      <color theme="1"/>
      <sz val="11"/>
    </font>
    <font>
      <name val="Arial"/>
      <charset val="1"/>
      <b val="1"/>
      <color rgb="FFC8102E"/>
      <sz val="22"/>
    </font>
    <font>
      <name val="Arial"/>
      <charset val="1"/>
      <color rgb="FF5F5E5A"/>
      <sz val="11"/>
    </font>
    <font>
      <name val="Arial"/>
      <charset val="1"/>
      <color rgb="FF5F5E5A"/>
      <sz val="10"/>
    </font>
    <font>
      <name val="Arial"/>
      <charset val="1"/>
      <b val="1"/>
      <sz val="10"/>
    </font>
    <font>
      <name val="Arial"/>
      <charset val="1"/>
      <i val="1"/>
      <color rgb="FF5F5E5A"/>
      <sz val="9"/>
    </font>
    <font>
      <name val="Arial"/>
      <charset val="1"/>
      <b val="1"/>
      <color rgb="FF5F5E5A"/>
      <sz val="9"/>
    </font>
    <font>
      <name val="Arial"/>
      <charset val="1"/>
      <b val="1"/>
      <color rgb="FF1F3864"/>
      <sz val="30"/>
    </font>
    <font>
      <name val="Arial"/>
      <charset val="1"/>
      <b val="1"/>
      <color rgb="FF2F8F5B"/>
      <sz val="30"/>
    </font>
    <font>
      <name val="Arial"/>
      <charset val="1"/>
      <b val="1"/>
      <color rgb="FFC0392B"/>
      <sz val="30"/>
    </font>
    <font>
      <name val="Arial"/>
      <charset val="1"/>
      <b val="1"/>
      <color rgb="FFE8A317"/>
      <sz val="30"/>
    </font>
    <font>
      <name val="Arial"/>
      <charset val="1"/>
      <color rgb="FF5F5E5A"/>
      <sz val="9"/>
    </font>
    <font>
      <name val="Arial"/>
      <charset val="1"/>
      <b val="1"/>
      <color rgb="FFC8102E"/>
      <sz val="11"/>
    </font>
    <font>
      <name val="Arial"/>
      <charset val="1"/>
      <b val="1"/>
      <color rgb="FFFFFFFF"/>
      <sz val="9"/>
    </font>
    <font>
      <name val="Arial"/>
      <charset val="1"/>
      <sz val="9"/>
    </font>
    <font>
      <name val="Arial"/>
      <charset val="1"/>
      <i val="1"/>
      <color rgb="FF5F5E5A"/>
      <sz val="8"/>
    </font>
    <font>
      <name val="Arial"/>
      <charset val="1"/>
      <b val="1"/>
      <sz val="9"/>
    </font>
    <font>
      <name val="Arial"/>
      <charset val="1"/>
      <b val="1"/>
      <color rgb="FFC8102E"/>
      <sz val="9"/>
    </font>
    <font>
      <name val="Arial"/>
      <charset val="1"/>
      <b val="1"/>
      <sz val="8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Calibri"/>
      <charset val="1"/>
      <family val="2"/>
      <sz val="8"/>
    </font>
    <font>
      <name val="Calibri"/>
      <charset val="1"/>
      <family val="2"/>
      <color rgb="FFFF0000"/>
      <sz val="11"/>
    </font>
    <font>
      <name val="Arial"/>
      <family val="2"/>
      <b val="1"/>
      <sz val="10"/>
    </font>
    <font>
      <name val="Arial"/>
      <family val="2"/>
      <color rgb="FF5F5E5A"/>
      <sz val="10"/>
    </font>
    <font>
      <name val="Arial"/>
      <family val="2"/>
      <color rgb="FF5F5E5A"/>
      <sz val="11"/>
    </font>
    <font>
      <name val="Arial"/>
      <family val="2"/>
      <b val="1"/>
      <color rgb="FFC8102E"/>
      <sz val="22"/>
    </font>
    <font>
      <name val="Arial"/>
      <b val="1"/>
      <color rgb="00FFFFFF"/>
      <sz val="12"/>
    </font>
    <font>
      <name val="Arial"/>
      <b val="1"/>
      <sz val="8"/>
    </font>
    <font>
      <name val="Arial"/>
      <b val="1"/>
      <color rgb="00000000"/>
      <sz val="7"/>
    </font>
    <font>
      <name val="Arial"/>
      <b val="1"/>
      <color rgb="00FFFFFF"/>
      <sz val="7"/>
    </font>
    <font>
      <name val="Arial"/>
      <b val="1"/>
      <color rgb="005F5E5A"/>
      <sz val="7"/>
    </font>
    <font>
      <name val="Arial"/>
      <i val="1"/>
      <color rgb="005F5E5A"/>
      <sz val="7"/>
    </font>
    <font>
      <name val="Arial"/>
      <b val="1"/>
      <color rgb="00FFFFFF"/>
      <sz val="9"/>
    </font>
    <font>
      <name val="Arial"/>
      <sz val="7"/>
    </font>
    <font>
      <name val="Arial"/>
      <sz val="8"/>
    </font>
    <font>
      <name val="Arial"/>
      <color rgb="005F5E5A"/>
      <sz val="9"/>
    </font>
    <font>
      <name val="Arial"/>
      <sz val="9"/>
    </font>
    <font>
      <name val="Arial"/>
      <b val="1"/>
      <sz val="9"/>
    </font>
    <font>
      <name val="Arial"/>
      <b val="1"/>
      <color rgb="00C8102E"/>
      <sz val="10"/>
    </font>
    <font>
      <name val="Arial"/>
      <b val="1"/>
      <color rgb="00404040"/>
      <sz val="9"/>
    </font>
    <font>
      <name val="Arial"/>
      <b val="1"/>
      <color rgb="006B4300"/>
      <sz val="9"/>
    </font>
    <font>
      <name val="Arial"/>
      <b val="1"/>
      <color rgb="007A1010"/>
      <sz val="9"/>
    </font>
    <font>
      <name val="Arial"/>
      <b val="1"/>
      <color rgb="00A6A6A6"/>
      <sz val="9"/>
    </font>
    <font>
      <name val="Arial"/>
      <b val="1"/>
      <color rgb="005F5E5A"/>
      <sz val="10"/>
    </font>
    <font>
      <name val="Arial"/>
      <b val="1"/>
      <color rgb="00C8102E"/>
      <sz val="11"/>
    </font>
    <font>
      <name val="Arial"/>
      <i val="1"/>
      <color rgb="005F5E5A"/>
      <sz val="8"/>
    </font>
    <font>
      <name val="Arial"/>
      <color rgb="00A6A6A6"/>
      <sz val="8"/>
    </font>
    <font>
      <name val="Arial"/>
      <b val="1"/>
      <color rgb="00404040"/>
      <sz val="7"/>
    </font>
    <font>
      <name val="Arial"/>
      <b val="1"/>
      <color rgb="006B4300"/>
      <sz val="7"/>
    </font>
    <font>
      <name val="Arial"/>
      <b val="1"/>
      <color rgb="007A1010"/>
      <sz val="7"/>
    </font>
    <font>
      <name val="Arial"/>
      <b val="1"/>
      <color rgb="00A6A6A6"/>
      <sz val="7"/>
    </font>
    <font>
      <name val="Arial"/>
      <b val="1"/>
      <color rgb="00C8102E"/>
      <sz val="9"/>
    </font>
    <font>
      <name val="Arial"/>
      <b val="1"/>
      <color rgb="00C8102E"/>
      <sz val="8"/>
    </font>
    <font>
      <name val="Arial"/>
      <b val="1"/>
      <color rgb="001F3864"/>
      <sz val="9"/>
    </font>
    <font>
      <name val="Arial"/>
      <b val="1"/>
      <color rgb="005B9BD5"/>
      <sz val="9"/>
    </font>
  </fonts>
  <fills count="42">
    <fill>
      <patternFill/>
    </fill>
    <fill>
      <patternFill patternType="gray125"/>
    </fill>
    <fill>
      <patternFill patternType="solid">
        <fgColor rgb="FF1A1A1A"/>
        <bgColor rgb="FF003300"/>
      </patternFill>
    </fill>
    <fill>
      <patternFill patternType="solid">
        <fgColor rgb="FFFFF4D6"/>
        <bgColor rgb="FFF3F5F8"/>
      </patternFill>
    </fill>
    <fill>
      <patternFill patternType="solid">
        <fgColor rgb="FFFFFFFF"/>
        <bgColor rgb="FFF3F5F8"/>
      </patternFill>
    </fill>
    <fill>
      <patternFill patternType="solid">
        <fgColor rgb="FFF3F5F8"/>
        <bgColor rgb="FFECEDF0"/>
      </patternFill>
    </fill>
    <fill>
      <patternFill patternType="solid">
        <fgColor rgb="FFF4B6B0"/>
        <bgColor rgb="FFFAD58A"/>
      </patternFill>
    </fill>
    <fill>
      <patternFill patternType="solid">
        <fgColor rgb="FFFAD58A"/>
        <bgColor rgb="FFF4B6B0"/>
      </patternFill>
    </fill>
    <fill>
      <patternFill patternType="solid">
        <fgColor rgb="FFBFE3CC"/>
        <bgColor rgb="FFD9DCE1"/>
      </patternFill>
    </fill>
    <fill>
      <patternFill patternType="solid">
        <fgColor rgb="FFECEDF0"/>
        <bgColor rgb="FFE5E7EB"/>
      </patternFill>
    </fill>
    <fill>
      <patternFill patternType="solid">
        <fgColor rgb="FF1F3864"/>
        <bgColor rgb="FF1B5E3A"/>
      </patternFill>
    </fill>
    <fill>
      <patternFill patternType="solid">
        <fgColor rgb="FF5F5E5A"/>
        <bgColor rgb="FF555555"/>
      </patternFill>
    </fill>
    <fill>
      <patternFill patternType="solid">
        <fgColor rgb="FFC8102E"/>
        <bgColor rgb="FFC0392B"/>
      </patternFill>
    </fill>
    <fill>
      <patternFill patternType="solid">
        <fgColor rgb="FFE8A317"/>
        <bgColor rgb="FFFFCC00"/>
      </patternFill>
    </fill>
    <fill>
      <patternFill patternType="solid">
        <fgColor rgb="00C8102E"/>
      </patternFill>
    </fill>
    <fill>
      <patternFill patternType="solid">
        <fgColor rgb="00D9D9D9"/>
      </patternFill>
    </fill>
    <fill>
      <patternFill patternType="solid">
        <fgColor rgb="00FFFF00"/>
      </patternFill>
    </fill>
    <fill>
      <patternFill patternType="solid">
        <fgColor rgb="00C5E0B4"/>
      </patternFill>
    </fill>
    <fill>
      <patternFill patternType="solid">
        <fgColor rgb="00A3FF5C"/>
      </patternFill>
    </fill>
    <fill>
      <patternFill patternType="solid">
        <fgColor rgb="0000B050"/>
      </patternFill>
    </fill>
    <fill>
      <patternFill patternType="solid">
        <fgColor rgb="008EA9DB"/>
      </patternFill>
    </fill>
    <fill>
      <patternFill patternType="solid">
        <fgColor rgb="00FF0000"/>
      </patternFill>
    </fill>
    <fill>
      <patternFill patternType="solid">
        <fgColor rgb="00FFF4D6"/>
      </patternFill>
    </fill>
    <fill>
      <patternFill patternType="solid">
        <fgColor rgb="001F3864"/>
      </patternFill>
    </fill>
    <fill>
      <patternFill patternType="solid">
        <fgColor rgb="00595959"/>
      </patternFill>
    </fill>
    <fill>
      <patternFill patternType="solid">
        <fgColor rgb="003EF83E"/>
      </patternFill>
    </fill>
    <fill>
      <patternFill patternType="solid">
        <fgColor rgb="00FFD966"/>
      </patternFill>
    </fill>
    <fill>
      <patternFill patternType="solid">
        <fgColor rgb="007F7F7F"/>
      </patternFill>
    </fill>
    <fill>
      <patternFill patternType="solid">
        <fgColor rgb="00BFBFBF"/>
      </patternFill>
    </fill>
    <fill>
      <patternFill patternType="solid">
        <fgColor rgb="004DF731"/>
      </patternFill>
    </fill>
    <fill>
      <patternFill patternType="solid">
        <fgColor rgb="00FFC000"/>
      </patternFill>
    </fill>
    <fill>
      <patternFill patternType="solid">
        <fgColor rgb="00747373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7030A0"/>
      </patternFill>
    </fill>
    <fill>
      <patternFill patternType="solid">
        <fgColor rgb="002F8F5B"/>
      </patternFill>
    </fill>
    <fill>
      <patternFill patternType="solid">
        <fgColor rgb="005B9BD5"/>
      </patternFill>
    </fill>
    <fill>
      <patternFill patternType="solid">
        <fgColor rgb="00E8A317"/>
      </patternFill>
    </fill>
    <fill>
      <patternFill patternType="solid">
        <fgColor rgb="005F5E5A"/>
      </patternFill>
    </fill>
    <fill>
      <patternFill patternType="solid">
        <fgColor rgb="00FAD58A"/>
      </patternFill>
    </fill>
    <fill>
      <patternFill patternType="solid">
        <fgColor rgb="00F4B6B0"/>
      </patternFill>
    </fill>
    <fill>
      <patternFill patternType="solid">
        <fgColor rgb="00FFFFFF"/>
      </patternFill>
    </fill>
  </fills>
  <borders count="59">
    <border>
      <left/>
      <right/>
      <top/>
      <bottom/>
      <diagonal/>
    </border>
    <border>
      <left style="thin">
        <color rgb="FFD9DCE1"/>
      </left>
      <right style="thin">
        <color rgb="FFD9DCE1"/>
      </right>
      <top style="medium">
        <color rgb="FF1F3864"/>
      </top>
      <bottom/>
      <diagonal/>
    </border>
    <border>
      <left style="thin">
        <color rgb="FFD9DCE1"/>
      </left>
      <right style="thin">
        <color rgb="FFD9DCE1"/>
      </right>
      <top style="medium">
        <color rgb="FF2F8F5B"/>
      </top>
      <bottom/>
      <diagonal/>
    </border>
    <border>
      <left style="thin">
        <color rgb="FFD9DCE1"/>
      </left>
      <right style="thin">
        <color rgb="FFD9DCE1"/>
      </right>
      <top style="medium">
        <color rgb="FFC0392B"/>
      </top>
      <bottom/>
      <diagonal/>
    </border>
    <border>
      <left style="thin">
        <color rgb="FFD9DCE1"/>
      </left>
      <right style="thin">
        <color rgb="FFD9DCE1"/>
      </right>
      <top style="medium">
        <color rgb="FFE8A317"/>
      </top>
      <bottom/>
      <diagonal/>
    </border>
    <border>
      <left style="thin">
        <color rgb="FFD9DCE1"/>
      </left>
      <right style="thin">
        <color rgb="FFD9DCE1"/>
      </right>
      <top/>
      <bottom/>
      <diagonal/>
    </border>
    <border>
      <left style="thin">
        <color rgb="FFD9DCE1"/>
      </left>
      <right style="thin">
        <color rgb="FFD9DCE1"/>
      </right>
      <top/>
      <bottom style="thin">
        <color rgb="FFD9DCE1"/>
      </bottom>
      <diagonal/>
    </border>
    <border>
      <left/>
      <right/>
      <top/>
      <bottom style="medium">
        <color rgb="FFC8102E"/>
      </bottom>
      <diagonal/>
    </border>
    <border>
      <left/>
      <right/>
      <top/>
      <bottom style="thin">
        <color rgb="FFD9DCE1"/>
      </bottom>
      <diagonal/>
    </border>
    <border>
      <left/>
      <right style="thin">
        <color rgb="FFD9DCE1"/>
      </right>
      <top/>
      <bottom style="thin">
        <color rgb="FFD9DCE1"/>
      </bottom>
      <diagonal/>
    </border>
    <border>
      <left style="thin">
        <color rgb="FF555555"/>
      </left>
      <right style="thin">
        <color rgb="FF555555"/>
      </right>
      <top/>
      <bottom/>
      <diagonal/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D9DCE1"/>
      </left>
      <right/>
      <top style="thin">
        <color rgb="FFD9DCE1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thin">
        <color indexed="64"/>
      </top>
      <bottom style="medium">
        <color rgb="FFFF0000"/>
      </bottom>
      <diagonal/>
    </border>
    <border>
      <left/>
      <right/>
      <top style="thin">
        <color indexed="64"/>
      </top>
      <bottom style="medium">
        <color rgb="FFFF0000"/>
      </bottom>
      <diagonal/>
    </border>
    <border>
      <left/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D9DCE1"/>
      </right>
      <top/>
      <bottom style="thin">
        <color rgb="FFD9DCE1"/>
      </bottom>
      <diagonal/>
    </border>
    <border>
      <left/>
      <right style="medium">
        <color indexed="64"/>
      </right>
      <top/>
      <bottom style="thin">
        <color rgb="FFD9DCE1"/>
      </bottom>
      <diagonal/>
    </border>
    <border>
      <left style="thin">
        <color rgb="FFD9DCE1"/>
      </left>
      <right/>
      <top/>
      <bottom/>
      <diagonal/>
    </border>
    <border>
      <left/>
      <right style="thin">
        <color rgb="FFD9DCE1"/>
      </right>
      <top/>
      <bottom/>
      <diagonal/>
    </border>
    <border>
      <left/>
      <right/>
      <top style="thin">
        <color rgb="FFD9DCE1"/>
      </top>
      <bottom/>
      <diagonal/>
    </border>
    <border>
      <left/>
      <right/>
      <top style="thin">
        <color rgb="FFD9DCE1"/>
      </top>
      <bottom style="thin">
        <color indexed="64"/>
      </bottom>
      <diagonal/>
    </border>
    <border>
      <left/>
      <right/>
      <top style="medium">
        <color rgb="FF1F3864"/>
      </top>
      <bottom/>
      <diagonal/>
    </border>
    <border>
      <left/>
      <right style="thin">
        <color rgb="FFD9DCE1"/>
      </right>
      <top style="medium">
        <color rgb="FF1F3864"/>
      </top>
      <bottom/>
      <diagonal/>
    </border>
    <border>
      <left/>
      <right/>
      <top style="medium">
        <color rgb="FF2F8F5B"/>
      </top>
      <bottom/>
      <diagonal/>
    </border>
    <border>
      <left/>
      <right style="thin">
        <color rgb="FFD9DCE1"/>
      </right>
      <top style="medium">
        <color rgb="FF2F8F5B"/>
      </top>
      <bottom/>
      <diagonal/>
    </border>
    <border>
      <left/>
      <right/>
      <top style="medium">
        <color rgb="FFC0392B"/>
      </top>
      <bottom/>
      <diagonal/>
    </border>
    <border>
      <left/>
      <right style="thin">
        <color rgb="FFD9DCE1"/>
      </right>
      <top style="medium">
        <color rgb="FFC0392B"/>
      </top>
      <bottom/>
      <diagonal/>
    </border>
    <border>
      <left/>
      <right/>
      <top style="medium">
        <color rgb="FFE8A317"/>
      </top>
      <bottom/>
      <diagonal/>
    </border>
    <border>
      <left/>
      <right style="thin">
        <color rgb="FFD9DCE1"/>
      </right>
      <top style="medium">
        <color rgb="FFE8A317"/>
      </top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1">
    <xf numFmtId="0" fontId="0" fillId="0" borderId="0"/>
  </cellStyleXfs>
  <cellXfs count="246">
    <xf numFmtId="0" fontId="0" fillId="0" borderId="0" pivotButton="0" quotePrefix="0" xfId="0"/>
    <xf numFmtId="0" fontId="11" fillId="4" borderId="6" applyAlignment="1" pivotButton="0" quotePrefix="0" xfId="0">
      <alignment horizontal="center" vertical="center"/>
    </xf>
    <xf numFmtId="1" fontId="10" fillId="4" borderId="5" applyAlignment="1" pivotButton="0" quotePrefix="0" xfId="0">
      <alignment horizontal="center" vertical="center"/>
    </xf>
    <xf numFmtId="1" fontId="9" fillId="4" borderId="5" applyAlignment="1" pivotButton="0" quotePrefix="0" xfId="0">
      <alignment horizontal="center" vertical="center"/>
    </xf>
    <xf numFmtId="9" fontId="8" fillId="4" borderId="5" applyAlignment="1" pivotButton="0" quotePrefix="0" xfId="0">
      <alignment horizontal="center" vertical="center"/>
    </xf>
    <xf numFmtId="1" fontId="7" fillId="4" borderId="5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2" borderId="0" pivotButton="0" quotePrefix="0" xfId="0"/>
    <xf numFmtId="1" fontId="14" fillId="0" borderId="8" applyAlignment="1" pivotButton="0" quotePrefix="0" xfId="0">
      <alignment horizontal="center" vertical="center"/>
    </xf>
    <xf numFmtId="1" fontId="14" fillId="5" borderId="8" applyAlignment="1" pivotButton="0" quotePrefix="0" xfId="0">
      <alignment horizontal="center" vertical="center"/>
    </xf>
    <xf numFmtId="0" fontId="16" fillId="0" borderId="0" pivotButton="0" quotePrefix="0" xfId="0"/>
    <xf numFmtId="0" fontId="14" fillId="0" borderId="9" pivotButton="0" quotePrefix="0" xfId="0"/>
    <xf numFmtId="164" fontId="14" fillId="0" borderId="9" applyAlignment="1" pivotButton="0" quotePrefix="0" xfId="0">
      <alignment horizontal="center"/>
    </xf>
    <xf numFmtId="0" fontId="14" fillId="0" borderId="9" applyAlignment="1" pivotButton="0" quotePrefix="0" xfId="0">
      <alignment horizontal="center"/>
    </xf>
    <xf numFmtId="0" fontId="19" fillId="2" borderId="10" applyAlignment="1" pivotButton="0" quotePrefix="0" xfId="0">
      <alignment horizontal="center" vertical="center" wrapText="1"/>
    </xf>
    <xf numFmtId="0" fontId="20" fillId="0" borderId="8" pivotButton="0" quotePrefix="0" xfId="0"/>
    <xf numFmtId="0" fontId="20" fillId="0" borderId="8" applyAlignment="1" pivotButton="0" quotePrefix="0" xfId="0">
      <alignment horizontal="center"/>
    </xf>
    <xf numFmtId="165" fontId="20" fillId="0" borderId="8" applyAlignment="1" pivotButton="0" quotePrefix="0" xfId="0">
      <alignment horizontal="center"/>
    </xf>
    <xf numFmtId="0" fontId="20" fillId="5" borderId="8" pivotButton="0" quotePrefix="0" xfId="0"/>
    <xf numFmtId="0" fontId="20" fillId="5" borderId="8" applyAlignment="1" pivotButton="0" quotePrefix="0" xfId="0">
      <alignment horizontal="center"/>
    </xf>
    <xf numFmtId="165" fontId="20" fillId="5" borderId="8" applyAlignment="1" pivotButton="0" quotePrefix="0" xfId="0">
      <alignment horizontal="center"/>
    </xf>
    <xf numFmtId="0" fontId="4" fillId="0" borderId="0" pivotButton="0" quotePrefix="0" xfId="0"/>
    <xf numFmtId="165" fontId="4" fillId="3" borderId="11" applyAlignment="1" pivotButton="0" quotePrefix="0" xfId="0">
      <alignment horizontal="center"/>
    </xf>
    <xf numFmtId="0" fontId="5" fillId="0" borderId="0" pivotButton="0" quotePrefix="0" xfId="0"/>
    <xf numFmtId="165" fontId="4" fillId="0" borderId="0" applyAlignment="1" pivotButton="0" quotePrefix="0" xfId="0">
      <alignment horizontal="center"/>
    </xf>
    <xf numFmtId="0" fontId="4" fillId="3" borderId="11" applyAlignment="1" pivotButton="0" quotePrefix="0" xfId="0">
      <alignment horizontal="center"/>
    </xf>
    <xf numFmtId="0" fontId="19" fillId="2" borderId="0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/>
    </xf>
    <xf numFmtId="0" fontId="4" fillId="0" borderId="8" pivotButton="0" quotePrefix="0" xfId="0"/>
    <xf numFmtId="0" fontId="3" fillId="0" borderId="8" pivotButton="0" quotePrefix="0" xfId="0"/>
    <xf numFmtId="0" fontId="4" fillId="3" borderId="8" applyAlignment="1" pivotButton="0" quotePrefix="0" xfId="0">
      <alignment horizontal="center"/>
    </xf>
    <xf numFmtId="0" fontId="20" fillId="0" borderId="0" pivotButton="0" quotePrefix="0" xfId="0"/>
    <xf numFmtId="164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0" fontId="12" fillId="0" borderId="7" pivotButton="0" quotePrefix="0" xfId="0"/>
    <xf numFmtId="0" fontId="14" fillId="0" borderId="8" applyAlignment="1" pivotButton="0" quotePrefix="0" xfId="0">
      <alignment horizontal="left" vertical="center" indent="1"/>
    </xf>
    <xf numFmtId="164" fontId="14" fillId="0" borderId="8" applyAlignment="1" pivotButton="0" quotePrefix="0" xfId="0">
      <alignment horizontal="center" vertical="center"/>
    </xf>
    <xf numFmtId="1" fontId="14" fillId="0" borderId="8" applyAlignment="1" pivotButton="0" quotePrefix="0" xfId="0">
      <alignment horizontal="center" vertical="center"/>
    </xf>
    <xf numFmtId="0" fontId="14" fillId="5" borderId="8" applyAlignment="1" pivotButton="0" quotePrefix="0" xfId="0">
      <alignment horizontal="left" vertical="center" indent="1"/>
    </xf>
    <xf numFmtId="164" fontId="14" fillId="5" borderId="8" applyAlignment="1" pivotButton="0" quotePrefix="0" xfId="0">
      <alignment horizontal="center" vertical="center"/>
    </xf>
    <xf numFmtId="1" fontId="14" fillId="5" borderId="8" applyAlignment="1" pivotButton="0" quotePrefix="0" xfId="0">
      <alignment horizontal="center" vertical="center"/>
    </xf>
    <xf numFmtId="0" fontId="20" fillId="5" borderId="0" pivotButton="0" quotePrefix="0" xfId="0"/>
    <xf numFmtId="0" fontId="0" fillId="0" borderId="13" pivotButton="0" quotePrefix="0" xfId="0"/>
    <xf numFmtId="0" fontId="0" fillId="0" borderId="14" pivotButton="0" quotePrefix="0" xfId="0"/>
    <xf numFmtId="0" fontId="1" fillId="0" borderId="1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7" pivotButton="0" quotePrefix="0" xfId="0"/>
    <xf numFmtId="0" fontId="2" fillId="0" borderId="0" applyAlignment="1" pivotButton="0" quotePrefix="0" xfId="0">
      <alignment horizontal="center" vertical="center"/>
    </xf>
    <xf numFmtId="0" fontId="0" fillId="2" borderId="16" pivotButton="0" quotePrefix="0" xfId="0"/>
    <xf numFmtId="0" fontId="0" fillId="2" borderId="0" pivotButton="0" quotePrefix="0" xfId="0"/>
    <xf numFmtId="0" fontId="0" fillId="2" borderId="17" pivotButton="0" quotePrefix="0" xfId="0"/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0" fillId="0" borderId="18" pivotButton="0" quotePrefix="0" xfId="0"/>
    <xf numFmtId="0" fontId="15" fillId="0" borderId="19" applyAlignment="1" pivotButton="0" quotePrefix="0" xfId="0">
      <alignment vertical="top" wrapText="1"/>
    </xf>
    <xf numFmtId="0" fontId="0" fillId="0" borderId="20" pivotButton="0" quotePrefix="0" xfId="0"/>
    <xf numFmtId="0" fontId="0" fillId="0" borderId="21" pivotButton="0" quotePrefix="0" xfId="0"/>
    <xf numFmtId="0" fontId="4" fillId="0" borderId="22" applyAlignment="1" pivotButton="0" quotePrefix="0" xfId="0">
      <alignment horizontal="right" vertical="center"/>
    </xf>
    <xf numFmtId="0" fontId="4" fillId="3" borderId="23" applyAlignment="1" pivotButton="0" quotePrefix="0" xfId="0">
      <alignment horizontal="center" vertical="center"/>
    </xf>
    <xf numFmtId="0" fontId="0" fillId="0" borderId="22" pivotButton="0" quotePrefix="0" xfId="0"/>
    <xf numFmtId="0" fontId="5" fillId="0" borderId="22" applyAlignment="1" pivotButton="0" quotePrefix="0" xfId="0">
      <alignment vertical="center"/>
    </xf>
    <xf numFmtId="0" fontId="0" fillId="0" borderId="24" pivotButton="0" quotePrefix="0" xfId="0"/>
    <xf numFmtId="0" fontId="0" fillId="0" borderId="19" pivotButton="0" quotePrefix="0" xfId="0"/>
    <xf numFmtId="0" fontId="22" fillId="0" borderId="25" applyAlignment="1" pivotButton="0" quotePrefix="0" xfId="0">
      <alignment horizontal="centerContinuous"/>
    </xf>
    <xf numFmtId="0" fontId="22" fillId="0" borderId="26" applyAlignment="1" pivotButton="0" quotePrefix="0" xfId="0">
      <alignment horizontal="centerContinuous"/>
    </xf>
    <xf numFmtId="0" fontId="22" fillId="0" borderId="27" applyAlignment="1" pivotButton="0" quotePrefix="0" xfId="0">
      <alignment horizontal="centerContinuous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16" fillId="0" borderId="36" pivotButton="0" quotePrefix="0" xfId="0"/>
    <xf numFmtId="0" fontId="16" fillId="0" borderId="37" pivotButton="0" quotePrefix="0" xfId="0"/>
    <xf numFmtId="0" fontId="16" fillId="0" borderId="38" pivotButton="0" quotePrefix="0" xfId="0"/>
    <xf numFmtId="164" fontId="0" fillId="0" borderId="0" pivotButton="0" quotePrefix="0" xfId="0"/>
    <xf numFmtId="164" fontId="0" fillId="0" borderId="31" pivotButton="0" quotePrefix="0" xfId="0"/>
    <xf numFmtId="0" fontId="16" fillId="0" borderId="41" pivotButton="0" quotePrefix="0" xfId="0"/>
    <xf numFmtId="0" fontId="16" fillId="0" borderId="42" pivotButton="0" quotePrefix="0" xfId="0"/>
    <xf numFmtId="0" fontId="16" fillId="0" borderId="43" pivotButton="0" quotePrefix="0" xfId="0"/>
    <xf numFmtId="0" fontId="0" fillId="0" borderId="15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165" fontId="0" fillId="0" borderId="17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13" applyAlignment="1" pivotButton="0" quotePrefix="0" xfId="0">
      <alignment horizontal="centerContinuous"/>
    </xf>
    <xf numFmtId="0" fontId="0" fillId="0" borderId="14" applyAlignment="1" pivotButton="0" quotePrefix="0" xfId="0">
      <alignment horizontal="centerContinuous"/>
    </xf>
    <xf numFmtId="0" fontId="0" fillId="0" borderId="16" applyAlignment="1" pivotButton="0" quotePrefix="0" xfId="0">
      <alignment horizontal="centerContinuous"/>
    </xf>
    <xf numFmtId="0" fontId="0" fillId="0" borderId="0" applyAlignment="1" pivotButton="0" quotePrefix="0" xfId="0">
      <alignment horizontal="centerContinuous"/>
    </xf>
    <xf numFmtId="0" fontId="0" fillId="0" borderId="18" applyAlignment="1" pivotButton="0" quotePrefix="0" xfId="0">
      <alignment horizontal="centerContinuous"/>
    </xf>
    <xf numFmtId="0" fontId="0" fillId="0" borderId="19" applyAlignment="1" pivotButton="0" quotePrefix="0" xfId="0">
      <alignment horizontal="centerContinuous"/>
    </xf>
    <xf numFmtId="16" fontId="20" fillId="0" borderId="8" applyAlignment="1" pivotButton="0" quotePrefix="0" xfId="0">
      <alignment horizontal="center"/>
    </xf>
    <xf numFmtId="0" fontId="23" fillId="0" borderId="8" pivotButton="0" quotePrefix="0" xfId="0"/>
    <xf numFmtId="0" fontId="24" fillId="0" borderId="8" pivotButton="0" quotePrefix="0" xfId="0"/>
    <xf numFmtId="0" fontId="16" fillId="0" borderId="0" applyAlignment="1" pivotButton="0" quotePrefix="0" xfId="0">
      <alignment horizontal="center"/>
    </xf>
    <xf numFmtId="0" fontId="16" fillId="0" borderId="39" applyAlignment="1" pivotButton="0" quotePrefix="0" xfId="0">
      <alignment horizontal="center"/>
    </xf>
    <xf numFmtId="0" fontId="17" fillId="0" borderId="40" applyAlignment="1" pivotButton="0" quotePrefix="0" xfId="0">
      <alignment horizontal="center"/>
    </xf>
    <xf numFmtId="0" fontId="16" fillId="0" borderId="12" applyAlignment="1" pivotButton="0" quotePrefix="0" xfId="0">
      <alignment horizontal="center"/>
    </xf>
    <xf numFmtId="165" fontId="17" fillId="0" borderId="12" applyAlignment="1" pivotButton="0" quotePrefix="0" xfId="0">
      <alignment horizontal="center"/>
    </xf>
    <xf numFmtId="0" fontId="1" fillId="0" borderId="17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 wrapText="1"/>
    </xf>
    <xf numFmtId="0" fontId="13" fillId="11" borderId="0" applyAlignment="1" pivotButton="0" quotePrefix="0" xfId="0">
      <alignment horizontal="center" vertical="center" wrapText="1"/>
    </xf>
    <xf numFmtId="0" fontId="13" fillId="12" borderId="0" applyAlignment="1" pivotButton="0" quotePrefix="0" xfId="0">
      <alignment horizontal="center" vertical="center" wrapText="1"/>
    </xf>
    <xf numFmtId="0" fontId="13" fillId="13" borderId="17" applyAlignment="1" pivotButton="0" quotePrefix="0" xfId="0">
      <alignment horizontal="center" vertical="center" wrapText="1"/>
    </xf>
    <xf numFmtId="0" fontId="14" fillId="0" borderId="44" pivotButton="0" quotePrefix="0" xfId="0"/>
    <xf numFmtId="0" fontId="14" fillId="0" borderId="45" applyAlignment="1" pivotButton="0" quotePrefix="0" xfId="0">
      <alignment horizontal="center"/>
    </xf>
    <xf numFmtId="0" fontId="26" fillId="0" borderId="14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8" fillId="6" borderId="19" applyAlignment="1" pivotButton="0" quotePrefix="0" xfId="0">
      <alignment horizontal="center"/>
    </xf>
    <xf numFmtId="0" fontId="18" fillId="7" borderId="19" applyAlignment="1" pivotButton="0" quotePrefix="0" xfId="0">
      <alignment horizontal="center"/>
    </xf>
    <xf numFmtId="0" fontId="18" fillId="8" borderId="19" applyAlignment="1" pivotButton="0" quotePrefix="0" xfId="0">
      <alignment horizontal="center"/>
    </xf>
    <xf numFmtId="0" fontId="18" fillId="9" borderId="19" applyAlignment="1" pivotButton="0" quotePrefix="0" xfId="0">
      <alignment horizontal="center"/>
    </xf>
    <xf numFmtId="0" fontId="13" fillId="2" borderId="13" applyAlignment="1" pivotButton="0" quotePrefix="0" xfId="0">
      <alignment horizontal="center" vertical="center" wrapText="1"/>
    </xf>
    <xf numFmtId="0" fontId="13" fillId="2" borderId="14" applyAlignment="1" pivotButton="0" quotePrefix="0" xfId="0">
      <alignment horizontal="center" vertical="center" wrapText="1"/>
    </xf>
    <xf numFmtId="0" fontId="13" fillId="2" borderId="15" applyAlignment="1" pivotButton="0" quotePrefix="0" xfId="0">
      <alignment horizontal="center" vertical="center" wrapText="1"/>
    </xf>
    <xf numFmtId="0" fontId="14" fillId="0" borderId="45" pivotButton="0" quotePrefix="0" xfId="0"/>
    <xf numFmtId="0" fontId="0" fillId="0" borderId="0" applyAlignment="1" pivotButton="0" quotePrefix="0" xfId="0">
      <alignment horizontal="center"/>
    </xf>
    <xf numFmtId="0" fontId="0" fillId="0" borderId="49" pivotButton="0" quotePrefix="0" xfId="0"/>
    <xf numFmtId="170" fontId="4" fillId="3" borderId="23" applyAlignment="1" pivotButton="0" quotePrefix="0" xfId="0">
      <alignment horizontal="center" vertical="center"/>
    </xf>
    <xf numFmtId="0" fontId="46" fillId="0" borderId="0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0" borderId="47" pivotButton="0" quotePrefix="0" xfId="0"/>
    <xf numFmtId="1" fontId="8" fillId="4" borderId="5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14" fillId="0" borderId="8" applyAlignment="1" pivotButton="0" quotePrefix="0" xfId="0">
      <alignment horizontal="left" vertical="center" shrinkToFit="1"/>
    </xf>
    <xf numFmtId="172" fontId="14" fillId="0" borderId="8" applyAlignment="1" pivotButton="0" quotePrefix="0" xfId="0">
      <alignment horizontal="center" vertical="center"/>
    </xf>
    <xf numFmtId="1" fontId="14" fillId="0" borderId="8" applyAlignment="1" pivotButton="0" quotePrefix="0" xfId="0">
      <alignment horizontal="left" vertical="center" shrinkToFit="1"/>
    </xf>
    <xf numFmtId="0" fontId="14" fillId="5" borderId="8" applyAlignment="1" pivotButton="0" quotePrefix="0" xfId="0">
      <alignment horizontal="left" vertical="center" shrinkToFit="1"/>
    </xf>
    <xf numFmtId="172" fontId="14" fillId="5" borderId="8" applyAlignment="1" pivotButton="0" quotePrefix="0" xfId="0">
      <alignment horizontal="center" vertical="center"/>
    </xf>
    <xf numFmtId="1" fontId="14" fillId="5" borderId="8" applyAlignment="1" pivotButton="0" quotePrefix="0" xfId="0">
      <alignment horizontal="left" vertical="center" shrinkToFit="1"/>
    </xf>
    <xf numFmtId="0" fontId="1" fillId="0" borderId="0" applyAlignment="1" pivotButton="0" quotePrefix="0" xfId="0">
      <alignment horizontal="left"/>
    </xf>
    <xf numFmtId="0" fontId="44" fillId="0" borderId="0" pivotButton="0" quotePrefix="0" xfId="0"/>
    <xf numFmtId="0" fontId="45" fillId="0" borderId="0" pivotButton="0" quotePrefix="0" xfId="0"/>
    <xf numFmtId="0" fontId="38" fillId="0" borderId="9" applyAlignment="1" pivotButton="0" quotePrefix="0" xfId="0">
      <alignment horizontal="left" vertical="center"/>
    </xf>
    <xf numFmtId="0" fontId="14" fillId="0" borderId="9" applyAlignment="1" pivotButton="0" quotePrefix="0" xfId="0">
      <alignment horizontal="center" vertical="center"/>
    </xf>
    <xf numFmtId="0" fontId="14" fillId="0" borderId="9" applyAlignment="1" pivotButton="0" quotePrefix="0" xfId="0">
      <alignment horizontal="left" vertical="center" shrinkToFit="1"/>
    </xf>
    <xf numFmtId="0" fontId="13" fillId="14" borderId="13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shrinkToFit="1"/>
    </xf>
    <xf numFmtId="0" fontId="38" fillId="0" borderId="9" applyAlignment="1" pivotButton="0" quotePrefix="0" xfId="0">
      <alignment horizontal="left" vertical="center" shrinkToFit="1"/>
    </xf>
    <xf numFmtId="172" fontId="14" fillId="0" borderId="9" applyAlignment="1" pivotButton="0" quotePrefix="0" xfId="0">
      <alignment horizontal="center" vertical="center" shrinkToFit="1"/>
    </xf>
    <xf numFmtId="0" fontId="47" fillId="0" borderId="9" applyAlignment="1" pivotButton="0" quotePrefix="0" xfId="0">
      <alignment horizontal="center" vertical="center" shrinkToFit="1"/>
    </xf>
    <xf numFmtId="0" fontId="36" fillId="0" borderId="0" pivotButton="0" quotePrefix="0" xfId="0"/>
    <xf numFmtId="0" fontId="31" fillId="0" borderId="0" applyAlignment="1" pivotButton="0" quotePrefix="0" xfId="0">
      <alignment horizontal="center"/>
    </xf>
    <xf numFmtId="168" fontId="13" fillId="2" borderId="13" applyAlignment="1" pivotButton="0" quotePrefix="0" xfId="0">
      <alignment horizontal="center" textRotation="90"/>
    </xf>
    <xf numFmtId="0" fontId="33" fillId="23" borderId="0" pivotButton="0" quotePrefix="0" xfId="0"/>
    <xf numFmtId="0" fontId="0" fillId="23" borderId="0" pivotButton="0" quotePrefix="0" xfId="0"/>
    <xf numFmtId="0" fontId="38" fillId="0" borderId="0" pivotButton="0" quotePrefix="0" xfId="0"/>
    <xf numFmtId="174" fontId="35" fillId="0" borderId="0" applyAlignment="1" pivotButton="0" quotePrefix="0" xfId="0">
      <alignment horizontal="center"/>
    </xf>
    <xf numFmtId="0" fontId="52" fillId="0" borderId="0" pivotButton="0" quotePrefix="0" xfId="0"/>
    <xf numFmtId="174" fontId="53" fillId="0" borderId="0" applyAlignment="1" pivotButton="0" quotePrefix="0" xfId="0">
      <alignment horizontal="center"/>
    </xf>
    <xf numFmtId="174" fontId="0" fillId="0" borderId="0" applyAlignment="1" pivotButton="0" quotePrefix="0" xfId="0">
      <alignment horizontal="center"/>
    </xf>
    <xf numFmtId="174" fontId="0" fillId="23" borderId="0" applyAlignment="1" pivotButton="0" quotePrefix="0" xfId="0">
      <alignment horizontal="center"/>
    </xf>
    <xf numFmtId="0" fontId="54" fillId="0" borderId="0" pivotButton="0" quotePrefix="0" xfId="0"/>
    <xf numFmtId="174" fontId="28" fillId="0" borderId="0" applyAlignment="1" pivotButton="0" quotePrefix="0" xfId="0">
      <alignment horizontal="center"/>
    </xf>
    <xf numFmtId="0" fontId="55" fillId="0" borderId="0" pivotButton="0" quotePrefix="0" xfId="0"/>
    <xf numFmtId="0" fontId="26" fillId="0" borderId="15" applyAlignment="1" pivotButton="0" quotePrefix="0" xfId="0">
      <alignment horizontal="center" vertical="center"/>
    </xf>
    <xf numFmtId="0" fontId="25" fillId="0" borderId="17" applyAlignment="1" pivotButton="0" quotePrefix="0" xfId="0">
      <alignment horizontal="center" vertical="center"/>
    </xf>
    <xf numFmtId="0" fontId="30" fillId="35" borderId="19" applyAlignment="1" pivotButton="0" quotePrefix="0" xfId="0">
      <alignment horizontal="center"/>
    </xf>
    <xf numFmtId="0" fontId="30" fillId="23" borderId="19" applyAlignment="1" pivotButton="0" quotePrefix="0" xfId="0">
      <alignment horizontal="center"/>
    </xf>
    <xf numFmtId="0" fontId="30" fillId="36" borderId="19" applyAlignment="1" pivotButton="0" quotePrefix="0" xfId="0">
      <alignment horizontal="center"/>
    </xf>
    <xf numFmtId="0" fontId="48" fillId="15" borderId="19" applyAlignment="1" pivotButton="0" quotePrefix="0" xfId="0">
      <alignment horizontal="center"/>
    </xf>
    <xf numFmtId="0" fontId="30" fillId="37" borderId="19" applyAlignment="1" pivotButton="0" quotePrefix="0" xfId="0">
      <alignment horizontal="center"/>
    </xf>
    <xf numFmtId="0" fontId="30" fillId="38" borderId="19" applyAlignment="1" pivotButton="0" quotePrefix="0" xfId="0">
      <alignment horizontal="center"/>
    </xf>
    <xf numFmtId="0" fontId="49" fillId="39" borderId="19" applyAlignment="1" pivotButton="0" quotePrefix="0" xfId="0">
      <alignment horizontal="center"/>
    </xf>
    <xf numFmtId="0" fontId="50" fillId="40" borderId="19" applyAlignment="1" pivotButton="0" quotePrefix="0" xfId="0">
      <alignment horizontal="center"/>
    </xf>
    <xf numFmtId="0" fontId="51" fillId="41" borderId="19" applyAlignment="1" pivotButton="0" quotePrefix="0" xfId="0">
      <alignment horizontal="center"/>
    </xf>
    <xf numFmtId="173" fontId="13" fillId="14" borderId="13" applyAlignment="1" pivotButton="0" quotePrefix="0" xfId="0">
      <alignment horizontal="center" vertical="center" wrapText="1"/>
    </xf>
    <xf numFmtId="173" fontId="13" fillId="23" borderId="13" applyAlignment="1" pivotButton="0" quotePrefix="0" xfId="0">
      <alignment horizontal="center" vertical="center" wrapText="1"/>
    </xf>
    <xf numFmtId="0" fontId="28" fillId="0" borderId="9" applyAlignment="1" pivotButton="0" quotePrefix="0" xfId="0">
      <alignment vertical="center" shrinkToFit="1"/>
    </xf>
    <xf numFmtId="0" fontId="14" fillId="0" borderId="9" applyAlignment="1" pivotButton="0" quotePrefix="0" xfId="0">
      <alignment vertical="center" shrinkToFit="1"/>
    </xf>
    <xf numFmtId="0" fontId="34" fillId="0" borderId="9" applyAlignment="1" pivotButton="0" quotePrefix="0" xfId="0">
      <alignment horizontal="center" vertical="center" shrinkToFit="1"/>
    </xf>
    <xf numFmtId="0" fontId="28" fillId="0" borderId="0" pivotButton="0" quotePrefix="0" xfId="0"/>
    <xf numFmtId="0" fontId="29" fillId="15" borderId="0" applyAlignment="1" pivotButton="0" quotePrefix="0" xfId="0">
      <alignment horizontal="center"/>
    </xf>
    <xf numFmtId="0" fontId="29" fillId="16" borderId="0" applyAlignment="1" pivotButton="0" quotePrefix="0" xfId="0">
      <alignment horizontal="center"/>
    </xf>
    <xf numFmtId="0" fontId="29" fillId="17" borderId="0" applyAlignment="1" pivotButton="0" quotePrefix="0" xfId="0">
      <alignment horizontal="center"/>
    </xf>
    <xf numFmtId="0" fontId="29" fillId="18" borderId="0" applyAlignment="1" pivotButton="0" quotePrefix="0" xfId="0">
      <alignment horizontal="center"/>
    </xf>
    <xf numFmtId="0" fontId="30" fillId="19" borderId="0" applyAlignment="1" pivotButton="0" quotePrefix="0" xfId="0">
      <alignment horizontal="center"/>
    </xf>
    <xf numFmtId="0" fontId="29" fillId="20" borderId="0" applyAlignment="1" pivotButton="0" quotePrefix="0" xfId="0">
      <alignment horizontal="center"/>
    </xf>
    <xf numFmtId="0" fontId="30" fillId="21" borderId="0" applyAlignment="1" pivotButton="0" quotePrefix="0" xfId="0">
      <alignment horizontal="center"/>
    </xf>
    <xf numFmtId="0" fontId="27" fillId="14" borderId="0" applyAlignment="1" pivotButton="0" quotePrefix="0" xfId="0">
      <alignment horizontal="left" vertical="center" wrapText="1"/>
    </xf>
    <xf numFmtId="0" fontId="0" fillId="14" borderId="0" pivotButton="0" quotePrefix="0" xfId="0"/>
    <xf numFmtId="0" fontId="32" fillId="0" borderId="0" pivotButton="0" quotePrefix="0" xfId="0"/>
    <xf numFmtId="168" fontId="28" fillId="22" borderId="0" applyAlignment="1" pivotButton="0" quotePrefix="0" xfId="0">
      <alignment horizontal="center" vertical="center" textRotation="90"/>
    </xf>
    <xf numFmtId="168" fontId="13" fillId="10" borderId="0" applyAlignment="1" pivotButton="0" quotePrefix="0" xfId="0">
      <alignment horizontal="center" vertical="center" textRotation="90"/>
    </xf>
    <xf numFmtId="0" fontId="33" fillId="23" borderId="58" applyAlignment="1" pivotButton="0" quotePrefix="0" xfId="0">
      <alignment vertical="center" shrinkToFit="1"/>
    </xf>
    <xf numFmtId="0" fontId="34" fillId="23" borderId="58" applyAlignment="1" pivotButton="0" quotePrefix="0" xfId="0">
      <alignment horizontal="center" vertical="center" wrapText="1"/>
    </xf>
    <xf numFmtId="0" fontId="35" fillId="0" borderId="58" applyAlignment="1" pivotButton="0" quotePrefix="0" xfId="0">
      <alignment vertical="center" shrinkToFit="1"/>
    </xf>
    <xf numFmtId="0" fontId="34" fillId="15" borderId="58" applyAlignment="1" pivotButton="0" quotePrefix="0" xfId="0">
      <alignment horizontal="center" vertical="center" wrapText="1"/>
    </xf>
    <xf numFmtId="0" fontId="34" fillId="19" borderId="58" applyAlignment="1" pivotButton="0" quotePrefix="0" xfId="0">
      <alignment horizontal="center" vertical="center" wrapText="1"/>
    </xf>
    <xf numFmtId="0" fontId="34" fillId="0" borderId="58" applyAlignment="1" pivotButton="0" quotePrefix="0" xfId="0">
      <alignment horizontal="center" vertical="center" wrapText="1"/>
    </xf>
    <xf numFmtId="0" fontId="34" fillId="18" borderId="58" applyAlignment="1" pivotButton="0" quotePrefix="0" xfId="0">
      <alignment horizontal="center" vertical="center" wrapText="1"/>
    </xf>
    <xf numFmtId="0" fontId="34" fillId="24" borderId="58" applyAlignment="1" pivotButton="0" quotePrefix="0" xfId="0">
      <alignment horizontal="center" vertical="center" wrapText="1"/>
    </xf>
    <xf numFmtId="0" fontId="34" fillId="25" borderId="58" applyAlignment="1" pivotButton="0" quotePrefix="0" xfId="0">
      <alignment horizontal="center" vertical="center" wrapText="1"/>
    </xf>
    <xf numFmtId="0" fontId="34" fillId="26" borderId="58" applyAlignment="1" pivotButton="0" quotePrefix="0" xfId="0">
      <alignment horizontal="center" vertical="center" wrapText="1"/>
    </xf>
    <xf numFmtId="0" fontId="34" fillId="16" borderId="58" applyAlignment="1" pivotButton="0" quotePrefix="0" xfId="0">
      <alignment horizontal="center" vertical="center" wrapText="1"/>
    </xf>
    <xf numFmtId="0" fontId="34" fillId="27" borderId="58" applyAlignment="1" pivotButton="0" quotePrefix="0" xfId="0">
      <alignment horizontal="center" vertical="center" wrapText="1"/>
    </xf>
    <xf numFmtId="0" fontId="34" fillId="28" borderId="58" applyAlignment="1" pivotButton="0" quotePrefix="0" xfId="0">
      <alignment horizontal="center" vertical="center" wrapText="1"/>
    </xf>
    <xf numFmtId="0" fontId="34" fillId="29" borderId="58" applyAlignment="1" pivotButton="0" quotePrefix="0" xfId="0">
      <alignment horizontal="center" vertical="center" wrapText="1"/>
    </xf>
    <xf numFmtId="0" fontId="34" fillId="30" borderId="58" applyAlignment="1" pivotButton="0" quotePrefix="0" xfId="0">
      <alignment horizontal="center" vertical="center" wrapText="1"/>
    </xf>
    <xf numFmtId="0" fontId="34" fillId="31" borderId="58" applyAlignment="1" pivotButton="0" quotePrefix="0" xfId="0">
      <alignment horizontal="center" vertical="center" wrapText="1"/>
    </xf>
    <xf numFmtId="0" fontId="34" fillId="32" borderId="58" applyAlignment="1" pivotButton="0" quotePrefix="0" xfId="0">
      <alignment horizontal="center" vertical="center" wrapText="1"/>
    </xf>
    <xf numFmtId="0" fontId="34" fillId="21" borderId="58" applyAlignment="1" pivotButton="0" quotePrefix="0" xfId="0">
      <alignment horizontal="center" vertical="center" wrapText="1"/>
    </xf>
    <xf numFmtId="0" fontId="34" fillId="33" borderId="58" applyAlignment="1" pivotButton="0" quotePrefix="0" xfId="0">
      <alignment horizontal="center" vertical="center" wrapText="1"/>
    </xf>
    <xf numFmtId="0" fontId="34" fillId="34" borderId="58" applyAlignment="1" pivotButton="0" quotePrefix="0" xfId="0">
      <alignment horizontal="center" vertical="center" wrapText="1"/>
    </xf>
    <xf numFmtId="0" fontId="14" fillId="0" borderId="9" applyAlignment="1" pivotButton="0" quotePrefix="0" xfId="0">
      <alignment vertical="center"/>
    </xf>
    <xf numFmtId="169" fontId="14" fillId="0" borderId="9" applyAlignment="1" pivotButton="0" quotePrefix="0" xfId="0">
      <alignment vertical="center"/>
    </xf>
    <xf numFmtId="0" fontId="37" fillId="0" borderId="0" applyAlignment="1" pivotButton="0" quotePrefix="0" xfId="0">
      <alignment vertical="top" wrapText="1"/>
    </xf>
    <xf numFmtId="0" fontId="37" fillId="0" borderId="0" applyAlignment="1" pivotButton="0" quotePrefix="0" xfId="0">
      <alignment vertical="top"/>
    </xf>
    <xf numFmtId="170" fontId="4" fillId="3" borderId="11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" fontId="4" fillId="3" borderId="11" applyAlignment="1" pivotButton="0" quotePrefix="0" xfId="0">
      <alignment horizontal="center"/>
    </xf>
    <xf numFmtId="0" fontId="39" fillId="0" borderId="0" pivotButton="0" quotePrefix="0" xfId="0"/>
    <xf numFmtId="0" fontId="37" fillId="3" borderId="8" applyAlignment="1" pivotButton="0" quotePrefix="0" xfId="0">
      <alignment horizontal="center"/>
    </xf>
    <xf numFmtId="0" fontId="33" fillId="35" borderId="0" pivotButton="0" quotePrefix="0" xfId="0"/>
    <xf numFmtId="0" fontId="33" fillId="36" borderId="0" pivotButton="0" quotePrefix="0" xfId="0"/>
    <xf numFmtId="0" fontId="40" fillId="15" borderId="0" pivotButton="0" quotePrefix="0" xfId="0"/>
    <xf numFmtId="0" fontId="33" fillId="37" borderId="0" pivotButton="0" quotePrefix="0" xfId="0"/>
    <xf numFmtId="0" fontId="33" fillId="38" borderId="0" pivotButton="0" quotePrefix="0" xfId="0"/>
    <xf numFmtId="0" fontId="41" fillId="39" borderId="0" pivotButton="0" quotePrefix="0" xfId="0"/>
    <xf numFmtId="0" fontId="42" fillId="40" borderId="0" pivotButton="0" quotePrefix="0" xfId="0"/>
    <xf numFmtId="0" fontId="43" fillId="41" borderId="0" pivotButton="0" quotePrefix="0" xfId="0"/>
    <xf numFmtId="0" fontId="37" fillId="0" borderId="0" pivotButton="0" quotePrefix="0" xfId="0"/>
    <xf numFmtId="171" fontId="0" fillId="0" borderId="0" pivotButton="0" quotePrefix="0" xfId="0"/>
  </cellXfs>
  <cellStyles count="1">
    <cellStyle name="Normal" xfId="0" builtinId="0"/>
  </cellStyles>
  <dxfs count="41">
    <dxf>
      <font>
        <name val="Arial"/>
        <charset val="1"/>
        <b val="1"/>
        <color rgb="FFB26B00"/>
      </font>
    </dxf>
    <dxf>
      <font>
        <name val="Arial"/>
        <charset val="1"/>
        <b val="1"/>
        <color rgb="FFC0392B"/>
      </font>
    </dxf>
    <dxf>
      <font>
        <name val="Arial"/>
        <charset val="1"/>
        <b val="1"/>
        <color rgb="FF1B5E3A"/>
      </font>
      <fill>
        <patternFill>
          <bgColor rgb="FFBFE3CC"/>
        </patternFill>
      </fill>
    </dxf>
    <dxf>
      <font>
        <name val="Arial"/>
        <charset val="1"/>
        <i val="1"/>
        <color rgb="FF5F5E5A"/>
        <sz val="8"/>
      </font>
      <fill>
        <patternFill>
          <bgColor rgb="FFECEDF0"/>
        </patternFill>
      </fill>
    </dxf>
    <dxf>
      <font>
        <name val="Arial"/>
        <charset val="1"/>
        <color rgb="FF1B5E3A"/>
      </font>
      <fill>
        <patternFill>
          <bgColor rgb="FFBFE3CC"/>
        </patternFill>
      </fill>
    </dxf>
    <dxf>
      <font>
        <name val="Arial"/>
        <charset val="1"/>
        <b val="1"/>
        <color rgb="FF6B4300"/>
      </font>
      <fill>
        <patternFill>
          <bgColor rgb="FFFAD58A"/>
        </patternFill>
      </fill>
    </dxf>
    <dxf>
      <font>
        <name val="Arial"/>
        <charset val="1"/>
        <b val="1"/>
        <color rgb="FF7A1010"/>
      </font>
      <fill>
        <patternFill>
          <bgColor rgb="FFF4B6B0"/>
        </patternFill>
      </fill>
    </dxf>
    <dxf>
      <font>
        <name val="Arial"/>
        <charset val="1"/>
        <i val="1"/>
        <color rgb="FF5F5E5A"/>
      </font>
    </dxf>
    <dxf>
      <font>
        <name val="Arial"/>
        <charset val="1"/>
        <b val="1"/>
        <color rgb="FFC0392B"/>
      </font>
    </dxf>
    <dxf>
      <font>
        <name val="Arial"/>
        <charset val="1"/>
        <b val="1"/>
        <color rgb="FFC0392B"/>
      </font>
    </dxf>
    <dxf>
      <font>
        <b val="1"/>
        <color rgb="001F3864"/>
      </font>
    </dxf>
    <dxf>
      <font>
        <b val="1"/>
        <color rgb="005B9BD5"/>
      </font>
    </dxf>
    <dxf>
      <font>
        <b val="1"/>
        <color rgb="00C0392B"/>
      </font>
    </dxf>
    <dxf>
      <font>
        <b val="1"/>
        <color rgb="001B5E3A"/>
      </font>
    </dxf>
    <dxf>
      <font>
        <b val="1"/>
        <color rgb="00FFFFFF"/>
      </font>
      <fill>
        <patternFill patternType="solid">
          <bgColor rgb="002F8F5B"/>
        </patternFill>
      </fill>
    </dxf>
    <dxf>
      <font>
        <b val="1"/>
        <color rgb="00FFFFFF"/>
      </font>
      <fill>
        <patternFill patternType="solid">
          <bgColor rgb="001F3864"/>
        </patternFill>
      </fill>
    </dxf>
    <dxf>
      <font>
        <b val="1"/>
        <color rgb="00FFFFFF"/>
      </font>
      <fill>
        <patternFill patternType="solid">
          <bgColor rgb="005B9BD5"/>
        </patternFill>
      </fill>
    </dxf>
    <dxf>
      <font>
        <b val="1"/>
        <color rgb="00404040"/>
      </font>
      <fill>
        <patternFill patternType="solid">
          <bgColor rgb="00D9D9D9"/>
        </patternFill>
      </fill>
    </dxf>
    <dxf>
      <font>
        <b val="1"/>
        <color rgb="00FFFFFF"/>
      </font>
      <fill>
        <patternFill patternType="solid">
          <bgColor rgb="00E8A317"/>
        </patternFill>
      </fill>
    </dxf>
    <dxf>
      <font>
        <b val="1"/>
        <color rgb="00FFFFFF"/>
      </font>
      <fill>
        <patternFill patternType="solid">
          <bgColor rgb="005F5E5A"/>
        </patternFill>
      </fill>
    </dxf>
    <dxf>
      <font>
        <b val="1"/>
        <color rgb="006B4300"/>
      </font>
      <fill>
        <patternFill patternType="solid">
          <bgColor rgb="00FAD58A"/>
        </patternFill>
      </fill>
    </dxf>
    <dxf>
      <font>
        <b val="1"/>
        <color rgb="007A1010"/>
      </font>
      <fill>
        <patternFill patternType="solid">
          <bgColor rgb="00F4B6B0"/>
        </patternFill>
      </fill>
    </dxf>
    <dxf>
      <font>
        <b val="1"/>
        <color rgb="00A6A6A6"/>
      </font>
      <fill>
        <patternFill patternType="solid">
          <bgColor rgb="00FFFFFF"/>
        </patternFill>
      </fill>
    </dxf>
    <dxf>
      <font>
        <b val="1"/>
        <color rgb="00FFFFFF"/>
      </font>
      <fill>
        <patternFill patternType="solid">
          <bgColor rgb="00C8102E"/>
        </patternFill>
      </fill>
    </dxf>
    <dxf>
      <font>
        <b val="1"/>
        <color rgb="001B5E3A"/>
      </font>
      <fill>
        <patternFill patternType="solid">
          <bgColor rgb="00BFE3CC"/>
        </patternFill>
      </fill>
    </dxf>
    <dxf>
      <font>
        <b val="1"/>
        <color rgb="001F3864"/>
      </font>
      <fill>
        <patternFill patternType="solid">
          <bgColor rgb="00DCE6F2"/>
        </patternFill>
      </fill>
    </dxf>
    <dxf>
      <font>
        <color rgb="00FFFFFF"/>
      </font>
      <fill>
        <patternFill patternType="solid">
          <bgColor rgb="002F8F5B"/>
        </patternFill>
      </fill>
    </dxf>
    <dxf>
      <font>
        <color rgb="00404040"/>
      </font>
      <fill>
        <patternFill patternType="solid">
          <bgColor rgb="00D9D9D9"/>
        </patternFill>
      </fill>
    </dxf>
    <dxf>
      <font>
        <color rgb="00FFFFFF"/>
      </font>
      <fill>
        <patternFill patternType="solid">
          <bgColor rgb="00E8A317"/>
        </patternFill>
      </fill>
    </dxf>
    <dxf>
      <font>
        <color rgb="00FFFFFF"/>
      </font>
      <fill>
        <patternFill patternType="solid">
          <bgColor rgb="005F5E5A"/>
        </patternFill>
      </fill>
    </dxf>
    <dxf>
      <font>
        <color rgb="006B4300"/>
      </font>
      <fill>
        <patternFill patternType="solid">
          <bgColor rgb="00FAD58A"/>
        </patternFill>
      </fill>
    </dxf>
    <dxf>
      <font>
        <color rgb="007A1010"/>
      </font>
      <fill>
        <patternFill patternType="solid">
          <bgColor rgb="00F4B6B0"/>
        </patternFill>
      </fill>
    </dxf>
    <dxf>
      <font>
        <color rgb="00A6A6A6"/>
      </font>
      <fill>
        <patternFill patternType="solid">
          <bgColor rgb="00FFFFFF"/>
        </patternFill>
      </fill>
    </dxf>
    <dxf>
      <font>
        <color rgb="00C8C8C8"/>
      </font>
    </dxf>
    <dxf>
      <font>
        <b val="1"/>
        <color rgb="00000000"/>
      </font>
      <fill>
        <patternFill patternType="solid">
          <bgColor rgb="00D9D9D9"/>
        </patternFill>
      </fill>
    </dxf>
    <dxf>
      <font>
        <b val="1"/>
        <color rgb="00000000"/>
      </font>
      <fill>
        <patternFill patternType="solid">
          <bgColor rgb="00FFFF00"/>
        </patternFill>
      </fill>
    </dxf>
    <dxf>
      <font>
        <b val="1"/>
        <color rgb="001B5E3A"/>
      </font>
      <fill>
        <patternFill patternType="solid">
          <bgColor rgb="00C5E0B4"/>
        </patternFill>
      </fill>
    </dxf>
    <dxf>
      <font>
        <b val="1"/>
        <color rgb="001F3864"/>
      </font>
      <fill>
        <patternFill patternType="solid">
          <bgColor rgb="008EA9DB"/>
        </patternFill>
      </fill>
    </dxf>
    <dxf>
      <font>
        <b val="1"/>
        <color rgb="00FFFFFF"/>
      </font>
      <fill>
        <patternFill patternType="solid">
          <bgColor rgb="00FF0000"/>
        </patternFill>
      </fill>
    </dxf>
    <dxf>
      <font>
        <b val="1"/>
        <color rgb="001B5E3A"/>
      </font>
      <fill>
        <patternFill patternType="solid">
          <bgColor rgb="00A3FF5C"/>
        </patternFill>
      </fill>
    </dxf>
    <dxf>
      <font>
        <b val="1"/>
        <color rgb="00FFFFFF"/>
      </font>
      <fill>
        <patternFill patternType="solid">
          <bgColor rgb="0000B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7A1010"/>
      <rgbColor rgb="FF1B5E3A"/>
      <rgbColor rgb="FF000080"/>
      <rgbColor rgb="FFB26B00"/>
      <rgbColor rgb="FF800080"/>
      <rgbColor rgb="FF008080"/>
      <rgbColor rgb="FFD9D9D9"/>
      <rgbColor rgb="FF878787"/>
      <rgbColor rgb="FF9999FF"/>
      <rgbColor rgb="FF993366"/>
      <rgbColor rgb="FFFFF4D6"/>
      <rgbColor rgb="FFF3F5F8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DF0"/>
      <rgbColor rgb="FFBFE3CC"/>
      <rgbColor rgb="FFE5E7EB"/>
      <rgbColor rgb="FF99CCFF"/>
      <rgbColor rgb="FFF4B6B0"/>
      <rgbColor rgb="FFCC99FF"/>
      <rgbColor rgb="FFFAD58A"/>
      <rgbColor rgb="FF4F81BD"/>
      <rgbColor rgb="FF33CCCC"/>
      <rgbColor rgb="FF99CC00"/>
      <rgbColor rgb="FFFFCC00"/>
      <rgbColor rgb="FFE8A317"/>
      <rgbColor rgb="FFFF6600"/>
      <rgbColor rgb="FF5F5E5A"/>
      <rgbColor rgb="FF969696"/>
      <rgbColor rgb="FF1F3864"/>
      <rgbColor rgb="FF2F8F5B"/>
      <rgbColor rgb="FF003300"/>
      <rgbColor rgb="FF6B4300"/>
      <rgbColor rgb="FFC0392B"/>
      <rgbColor rgb="FF993366"/>
      <rgbColor rgb="FF555555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Calc!$E$1</f>
            </strRef>
          </tx>
          <spPr>
            <a:solidFill xmlns:a="http://schemas.openxmlformats.org/drawingml/2006/main">
              <a:srgbClr val="2F8F5B"/>
            </a:solidFill>
            <a:ln xmlns:a="http://schemas.openxmlformats.org/drawingml/2006/main">
              <a:solidFill>
                <a:srgbClr val="2F8F5B"/>
              </a:solidFill>
              <a:prstDash val="solid"/>
            </a:ln>
          </spPr>
          <dLbls>
            <numFmt formatCode="0;;;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1A1A1A"/>
                    </a:solidFill>
                    <a:latin typeface="Arial"/>
                  </a:defRPr>
                </a:pPr>
                <a:r>
                  <a:t/>
                </a:r>
                <a:endParaRPr/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'Calc'!$D$2:$D$14</f>
            </numRef>
          </cat>
          <val>
            <numRef>
              <f>'Calc'!$E$2:$E$14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1A1A1A"/>
                </a:solidFill>
                <a:latin typeface="Arial"/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E5E7EB"/>
              </a:solidFill>
              <a:prstDash val="solid"/>
            </a:ln>
          </spPr>
        </majorGridlines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1A1A1A"/>
                </a:solidFill>
                <a:latin typeface="Arial"/>
              </a:defRPr>
            </a:pPr>
            <a:r>
              <a:t/>
            </a:r>
            <a:endParaRPr/>
          </a:p>
        </txPr>
        <crossAx val="10"/>
        <crosses val="max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F8F5B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F3864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D9D9D9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8A317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5F5E5A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FAD58A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F4B6B0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ECEDF0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Lbls>
            <numFmt formatCode="0;;;"/>
            <txPr>
              <a:bodyPr xmlns:a="http://schemas.openxmlformats.org/drawingml/2006/main"/>
              <a:p xmlns:a="http://schemas.openxmlformats.org/drawingml/2006/main">
                <a:pPr>
                  <a:defRPr sz="800" b="1">
                    <a:solidFill>
                      <a:srgbClr val="1A1A1A"/>
                    </a:solidFill>
                    <a:latin typeface="Arial"/>
                  </a:defRPr>
                </a:pPr>
                <a:r>
                  <a:t/>
                </a:r>
                <a:endParaRPr/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'Calc'!$A$2:$A$10</f>
            </numRef>
          </cat>
          <val>
            <numRef>
              <f>'Calc'!$B$2:$B$10</f>
            </numRef>
          </val>
        </ser>
        <firstSliceAng val="0"/>
        <holeSize val="50"/>
      </doughnutChart>
    </plotArea>
    <legend>
      <legendPos val="r"/>
      <txPr>
        <a:bodyPr xmlns:a="http://schemas.openxmlformats.org/drawingml/2006/main"/>
        <a:p xmlns:a="http://schemas.openxmlformats.org/drawingml/2006/main">
          <a:pPr>
            <a:defRPr sz="750" b="0">
              <a:solidFill>
                <a:srgbClr val="1A1A1A"/>
              </a:solidFill>
              <a:latin typeface="Arial"/>
            </a:defRPr>
          </a:pPr>
          <a:r>
            <a:t/>
          </a:r>
          <a:endParaRPr/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Calc!$U$1</f>
            </strRef>
          </tx>
          <spPr>
            <a:solidFill xmlns:a="http://schemas.openxmlformats.org/drawingml/2006/main">
              <a:srgbClr val="2F8F5B"/>
            </a:solidFill>
            <a:ln xmlns:a="http://schemas.openxmlformats.org/drawingml/2006/main">
              <a:solidFill>
                <a:srgbClr val="2F8F5B"/>
              </a:solidFill>
              <a:prstDash val="solid"/>
            </a:ln>
          </spPr>
          <cat>
            <numRef>
              <f>'Calc'!$T$2:$T$73</f>
            </numRef>
          </cat>
          <val>
            <numRef>
              <f>'Calc'!$U$2:$U$73</f>
            </numRef>
          </val>
        </ser>
        <gapWidth val="3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600" b="0">
                <a:solidFill>
                  <a:srgbClr val="1A1A1A"/>
                </a:solidFill>
                <a:latin typeface="Arial"/>
              </a:defRPr>
            </a:pPr>
            <a:r>
              <a:t/>
            </a:r>
            <a:endParaRPr/>
          </a:p>
        </txPr>
        <crossAx val="100"/>
        <lblOffset val="100"/>
        <tickLblSkip val="4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E5E7EB"/>
              </a:solidFill>
              <a:prstDash val="solid"/>
            </a:ln>
          </spPr>
        </majorGridlines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1A1A1A"/>
                </a:solidFill>
                <a:latin typeface="Arial"/>
              </a:defRPr>
            </a:pPr>
            <a:r>
              <a:t/>
            </a:r>
            <a:endParaRPr/>
          </a:p>
        </txPr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Calc!$I$1</f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solidFill>
                <a:srgbClr val="1F3864"/>
              </a:solidFill>
              <a:prstDash val="solid"/>
            </a:ln>
          </spPr>
          <dLbls>
            <numFmt formatCode="0;;;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1A1A1A"/>
                    </a:solidFill>
                    <a:latin typeface="Arial"/>
                  </a:defRPr>
                </a:pPr>
                <a:r>
                  <a:t/>
                </a:r>
                <a:endParaRPr/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'Calc'!$G$2:$G$29</f>
            </numRef>
          </cat>
          <val>
            <numRef>
              <f>'Calc'!$I$2:$I$29</f>
            </numRef>
          </val>
        </ser>
        <ser>
          <idx val="1"/>
          <order val="1"/>
          <tx>
            <strRef>
              <f>Calc!$J$1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solidFill>
                <a:srgbClr val="5B9BD5"/>
              </a:solidFill>
              <a:prstDash val="solid"/>
            </a:ln>
          </spPr>
          <dLbls>
            <numFmt formatCode="0;;;"/>
            <txPr>
              <a:bodyPr xmlns:a="http://schemas.openxmlformats.org/drawingml/2006/main"/>
              <a:p xmlns:a="http://schemas.openxmlformats.org/drawingml/2006/main">
                <a:pPr>
                  <a:defRPr sz="700" b="1">
                    <a:solidFill>
                      <a:srgbClr val="1A1A1A"/>
                    </a:solidFill>
                    <a:latin typeface="Arial"/>
                  </a:defRPr>
                </a:pPr>
                <a:r>
                  <a:t/>
                </a:r>
                <a:endParaRPr/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numRef>
              <f>'Calc'!$G$2:$G$29</f>
            </numRef>
          </cat>
          <val>
            <numRef>
              <f>'Calc'!$J$2:$J$29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650" b="0">
                <a:solidFill>
                  <a:srgbClr val="1A1A1A"/>
                </a:solidFill>
                <a:latin typeface="Arial"/>
              </a:defRPr>
            </a:pPr>
            <a:r>
              <a:t/>
            </a:r>
            <a:endParaRPr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E5E7EB"/>
              </a:solidFill>
              <a:prstDash val="solid"/>
            </a:ln>
          </spPr>
        </majorGridlines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1A1A1A"/>
                </a:solidFill>
                <a:latin typeface="Arial"/>
              </a:defRPr>
            </a:pPr>
            <a:r>
              <a:t/>
            </a:r>
            <a:endParaRPr/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800" b="0">
              <a:solidFill>
                <a:srgbClr val="1A1A1A"/>
              </a:solidFill>
              <a:latin typeface="Arial"/>
            </a:defRPr>
          </a:pPr>
          <a:r>
            <a:t/>
          </a:r>
          <a:endParaRPr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image" Target="/xl/media/image1.png" Id="rId5"/><Relationship Type="http://schemas.openxmlformats.org/officeDocument/2006/relationships/image" Target="/xl/media/image2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twoCellAnchor>
    <from>
      <col>2</col>
      <colOff>0</colOff>
      <row>16</row>
      <rowOff>0</rowOff>
    </from>
    <to>
      <col>13</col>
      <colOff>440280</colOff>
      <row>35</row>
      <rowOff>124200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15</col>
      <colOff>0</colOff>
      <row>16</row>
      <rowOff>0</rowOff>
    </from>
    <to>
      <col>25</col>
      <colOff>436320</colOff>
      <row>35</row>
      <rowOff>124200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2</col>
      <colOff>0</colOff>
      <row>39</row>
      <rowOff>0</rowOff>
    </from>
    <to>
      <col>13</col>
      <colOff>440280</colOff>
      <row>57</row>
      <rowOff>170640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15</col>
      <colOff>0</colOff>
      <row>39</row>
      <rowOff>0</rowOff>
    </from>
    <to>
      <col>25</col>
      <colOff>436320</colOff>
      <row>57</row>
      <rowOff>170640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1</col>
      <colOff>124810</colOff>
      <row>1</row>
      <rowOff>177362</rowOff>
    </from>
    <to>
      <col>4</col>
      <colOff>7111</colOff>
      <row>3</row>
      <rowOff>63106</rowOff>
    </to>
    <pic>
      <nvPicPr>
        <cNvPr id="6" name="Image 5" descr="Picture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24810" y="177362"/>
          <a:ext cx="1025301" cy="437537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23</col>
      <colOff>131378</colOff>
      <row>1</row>
      <rowOff>65690</rowOff>
    </from>
    <to>
      <col>25</col>
      <colOff>463396</colOff>
      <row>3</row>
      <rowOff>190500</rowOff>
    </to>
    <pic>
      <nvPicPr>
        <cNvPr id="7" name="Image 6" descr="Picture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1462844" y="65690"/>
          <a:ext cx="1343638" cy="676603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342900</colOff>
      <row>1</row>
      <rowOff>190500</rowOff>
    </from>
    <to>
      <col>1</col>
      <colOff>1428300</colOff>
      <row>3</row>
      <rowOff>75915</rowOff>
    </to>
    <pic>
      <nvPicPr>
        <cNvPr id="6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42900" y="190500"/>
          <a:ext cx="1085400" cy="437865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30</col>
      <colOff>161925</colOff>
      <row>1</row>
      <rowOff>152400</rowOff>
    </from>
    <to>
      <col>32</col>
      <colOff>489271</colOff>
      <row>4</row>
      <rowOff>133350</rowOff>
    </to>
    <pic>
      <nvPicPr>
        <cNvPr id="7" name="Image 2" descr="Picture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1516975" y="152400"/>
          <a:ext cx="1594171" cy="809625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0</colOff>
      <row>0</row>
      <rowOff>0</rowOff>
    </from>
    <to>
      <col>1</col>
      <colOff>942480</colOff>
      <row>1</row>
      <rowOff>104400</rowOff>
    </to>
    <pic>
      <nvPicPr>
        <cNvPr id="8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1120" y="0"/>
          <a:ext cx="942480" cy="3805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5</col>
      <colOff>0</colOff>
      <row>0</row>
      <rowOff>0</rowOff>
    </from>
    <to>
      <col>6</col>
      <colOff>527400</colOff>
      <row>1</row>
      <rowOff>142560</rowOff>
    </to>
    <pic>
      <nvPicPr>
        <cNvPr id="9" name="Image 2" descr="Picture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84680" y="0"/>
          <a:ext cx="809280" cy="4186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AB76"/>
  <sheetViews>
    <sheetView showGridLines="0" tabSelected="1" zoomScale="145" zoomScaleNormal="145" workbookViewId="0">
      <pane ySplit="9" topLeftCell="A10" activePane="bottomLeft" state="frozen"/>
      <selection pane="bottomLeft" activeCell="AC17" sqref="AC17"/>
    </sheetView>
  </sheetViews>
  <sheetFormatPr baseColWidth="8" defaultColWidth="8.7109375" defaultRowHeight="15"/>
  <cols>
    <col width="2" customWidth="1" style="53" min="2" max="2"/>
    <col width="7.5703125" customWidth="1" style="53" min="3" max="26"/>
    <col width="2" customWidth="1" style="53" min="27" max="27"/>
  </cols>
  <sheetData>
    <row r="1" ht="15.75" customHeight="1" s="53" thickBot="1"/>
    <row r="2" ht="21.75" customHeight="1" s="53">
      <c r="B2" s="48" t="n"/>
      <c r="C2" s="49" t="n"/>
      <c r="D2" s="49" t="n"/>
      <c r="E2" s="50" t="inlineStr">
        <is>
          <t>WPU Roster Dashboard</t>
        </is>
      </c>
      <c r="F2" s="49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  <c r="AA2" s="51" t="n"/>
    </row>
    <row r="3" ht="21.75" customHeight="1" s="53">
      <c r="B3" s="52" t="n"/>
      <c r="AA3" s="55" t="n"/>
    </row>
    <row r="4" ht="21.75" customHeight="1" s="53">
      <c r="B4" s="52" t="n"/>
      <c r="E4" s="56" t="inlineStr">
        <is>
          <t>Wayside Power Upgrade (BHP)  |  who is where, who is travelling, and NPI bookings still open</t>
        </is>
      </c>
      <c r="AA4" s="55" t="n"/>
    </row>
    <row r="5" ht="6" customHeight="1" s="53">
      <c r="B5" s="52" t="n"/>
      <c r="AA5" s="55" t="n"/>
    </row>
    <row r="6" ht="3.75" customHeight="1" s="53">
      <c r="B6" s="57" t="n"/>
      <c r="C6" s="58" t="n"/>
      <c r="D6" s="58" t="n"/>
      <c r="E6" s="58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9" t="n"/>
    </row>
    <row r="7" ht="19.5" customHeight="1" s="53">
      <c r="B7" s="52" t="n"/>
      <c r="C7" s="61">
        <f>"Snapshot "&amp;TEXT(Settings!C8,"ddd dd mmm yyyy")&amp;"   |   Company: "&amp;D9&amp;"   |   Crew: "&amp;J9&amp;"   |   "&amp;Calc!B14&amp;" people in view"&amp;IF(ISNUMBER(Settings!C9),"","   |   DATE NOT ON ROSTER")</f>
        <v/>
      </c>
      <c r="AA7" s="55" t="n"/>
    </row>
    <row r="8" ht="6.75" customHeight="1" s="53">
      <c r="B8" s="52" t="n"/>
      <c r="C8" s="61" t="n"/>
      <c r="D8" s="61" t="n"/>
      <c r="E8" s="61" t="n"/>
      <c r="F8" s="61" t="n"/>
      <c r="G8" s="61" t="n"/>
      <c r="H8" s="61" t="n"/>
      <c r="I8" s="61" t="n"/>
      <c r="J8" s="61" t="n"/>
      <c r="K8" s="61" t="n"/>
      <c r="L8" s="61" t="n"/>
      <c r="M8" s="61" t="n"/>
      <c r="N8" s="61" t="n"/>
      <c r="O8" s="61" t="n"/>
      <c r="P8" s="61" t="n"/>
      <c r="Q8" s="61" t="n"/>
      <c r="R8" s="61" t="n"/>
      <c r="S8" s="61" t="n"/>
      <c r="T8" s="61" t="n"/>
      <c r="U8" s="61" t="n"/>
      <c r="V8" s="61" t="n"/>
      <c r="W8" s="61" t="n"/>
      <c r="X8" s="61" t="n"/>
      <c r="Y8" s="61" t="n"/>
      <c r="Z8" s="61" t="n"/>
      <c r="AA8" s="55" t="n"/>
    </row>
    <row r="9" ht="21.75" customHeight="1" s="53">
      <c r="B9" s="67" t="n"/>
      <c r="C9" s="68" t="inlineStr">
        <is>
          <t>Company</t>
        </is>
      </c>
      <c r="D9" s="69" t="inlineStr">
        <is>
          <t>All</t>
        </is>
      </c>
      <c r="E9" s="130" t="n"/>
      <c r="F9" s="130" t="n"/>
      <c r="G9" s="130" t="n"/>
      <c r="I9" s="68" t="inlineStr">
        <is>
          <t>Crew</t>
        </is>
      </c>
      <c r="J9" s="69" t="inlineStr">
        <is>
          <t>All</t>
        </is>
      </c>
      <c r="K9" s="130" t="n"/>
      <c r="L9" s="130" t="n"/>
      <c r="M9" s="130" t="n"/>
      <c r="N9" s="130" t="n"/>
      <c r="P9" s="68" t="inlineStr">
        <is>
          <t>Date</t>
        </is>
      </c>
      <c r="Q9" s="131" t="n"/>
      <c r="R9" s="130" t="n"/>
      <c r="S9" s="130" t="n"/>
      <c r="T9" s="132" t="inlineStr">
        <is>
          <t>blank = today</t>
        </is>
      </c>
      <c r="AA9" s="72" t="n"/>
    </row>
    <row r="10" ht="21" customHeight="1" s="53" thickBot="1">
      <c r="B10" s="52" t="n"/>
      <c r="AA10" s="55" t="n"/>
    </row>
    <row r="11" ht="21.75" customHeight="1" s="53">
      <c r="B11" s="52" t="n"/>
      <c r="C11" s="9" t="inlineStr">
        <is>
          <t>ON SITE</t>
        </is>
      </c>
      <c r="D11" s="133" t="n"/>
      <c r="E11" s="133" t="n"/>
      <c r="F11" s="134" t="n"/>
      <c r="H11" s="8" t="inlineStr">
        <is>
          <t>TRAVELLING IN</t>
        </is>
      </c>
      <c r="I11" s="135" t="n"/>
      <c r="J11" s="135" t="n"/>
      <c r="K11" s="136" t="n"/>
      <c r="M11" s="7" t="inlineStr">
        <is>
          <t>TRAVELLING OUT</t>
        </is>
      </c>
      <c r="N11" s="137" t="n"/>
      <c r="O11" s="137" t="n"/>
      <c r="P11" s="138" t="n"/>
      <c r="R11" s="6" t="inlineStr">
        <is>
          <t>NPI BOOKINGS PENDING</t>
        </is>
      </c>
      <c r="S11" s="139" t="n"/>
      <c r="T11" s="139" t="n"/>
      <c r="U11" s="140" t="n"/>
      <c r="W11" s="7" t="inlineStr">
        <is>
          <t>ACCESS / QUALS GAPS</t>
        </is>
      </c>
      <c r="X11" s="137" t="n"/>
      <c r="Y11" s="137" t="n"/>
      <c r="Z11" s="138" t="n"/>
      <c r="AA11" s="55" t="n"/>
    </row>
    <row r="12">
      <c r="B12" s="52" t="n"/>
      <c r="C12" s="5">
        <f>Calc!B2</f>
        <v/>
      </c>
      <c r="F12" s="141" t="n"/>
      <c r="H12" s="142">
        <f>Calc!B3</f>
        <v/>
      </c>
      <c r="K12" s="141" t="n"/>
      <c r="M12" s="3">
        <f>Calc!B4</f>
        <v/>
      </c>
      <c r="P12" s="141" t="n"/>
      <c r="R12" s="2">
        <f>Calc!B15</f>
        <v/>
      </c>
      <c r="U12" s="141" t="n"/>
      <c r="W12" s="3">
        <f>Calc!B16</f>
        <v/>
      </c>
      <c r="Z12" s="141" t="n"/>
      <c r="AA12" s="55" t="n"/>
    </row>
    <row r="13">
      <c r="B13" s="52" t="n"/>
      <c r="C13" s="143" t="n"/>
      <c r="F13" s="141" t="n"/>
      <c r="H13" s="143" t="n"/>
      <c r="K13" s="141" t="n"/>
      <c r="M13" s="143" t="n"/>
      <c r="P13" s="141" t="n"/>
      <c r="R13" s="143" t="n"/>
      <c r="U13" s="141" t="n"/>
      <c r="W13" s="143" t="n"/>
      <c r="Z13" s="141" t="n"/>
      <c r="AA13" s="55" t="n"/>
    </row>
    <row r="14" ht="19.5" customHeight="1" s="53">
      <c r="B14" s="52" t="n"/>
      <c r="C14" s="1">
        <f>Calc!B5&amp;" on R&amp;R  |  "&amp;Calc!B6&amp;" on leave"</f>
        <v/>
      </c>
      <c r="D14" s="144" t="n"/>
      <c r="E14" s="144" t="n"/>
      <c r="F14" s="145" t="n"/>
      <c r="H14" s="1">
        <f>"next 14 days: "&amp;SUM(Calc!I2:I15)&amp;" in"</f>
        <v/>
      </c>
      <c r="I14" s="144" t="n"/>
      <c r="J14" s="144" t="n"/>
      <c r="K14" s="145" t="n"/>
      <c r="M14" s="1">
        <f>"next 14 days: "&amp;SUM(Calc!J2:J15)&amp;" out"</f>
        <v/>
      </c>
      <c r="N14" s="144" t="n"/>
      <c r="O14" s="144" t="n"/>
      <c r="P14" s="145" t="n"/>
      <c r="R14" s="1">
        <f>"next 14 days  |  "&amp;Calc!B17&amp;" not yet submitted"</f>
        <v/>
      </c>
      <c r="S14" s="144" t="n"/>
      <c r="T14" s="144" t="n"/>
      <c r="U14" s="145" t="n"/>
      <c r="W14" s="1" t="inlineStr">
        <is>
          <t>people not fully set up (ERMS / LMS / access / quals)</t>
        </is>
      </c>
      <c r="X14" s="144" t="n"/>
      <c r="Y14" s="144" t="n"/>
      <c r="Z14" s="145" t="n"/>
      <c r="AA14" s="55" t="n"/>
    </row>
    <row r="15">
      <c r="B15" s="52" t="n"/>
      <c r="AA15" s="55" t="n"/>
    </row>
    <row r="16" ht="19.5" customHeight="1" s="53" thickBot="1">
      <c r="B16" s="52" t="n"/>
      <c r="C16" s="40" t="inlineStr">
        <is>
          <t>WHO IS WHERE  -  BY CAMP</t>
        </is>
      </c>
      <c r="D16" s="146" t="n"/>
      <c r="E16" s="146" t="n"/>
      <c r="F16" s="146" t="n"/>
      <c r="G16" s="146" t="n"/>
      <c r="H16" s="146" t="n"/>
      <c r="I16" s="146" t="n"/>
      <c r="J16" s="146" t="n"/>
      <c r="K16" s="146" t="n"/>
      <c r="L16" s="146" t="n"/>
      <c r="M16" s="146" t="n"/>
      <c r="N16" s="146" t="n"/>
      <c r="P16" s="40" t="inlineStr">
        <is>
          <t>STATUS ON THE DAY</t>
        </is>
      </c>
      <c r="Q16" s="146" t="n"/>
      <c r="R16" s="146" t="n"/>
      <c r="S16" s="146" t="n"/>
      <c r="T16" s="146" t="n"/>
      <c r="U16" s="146" t="n"/>
      <c r="V16" s="146" t="n"/>
      <c r="W16" s="146" t="n"/>
      <c r="X16" s="146" t="n"/>
      <c r="Y16" s="146" t="n"/>
      <c r="Z16" s="146" t="n"/>
      <c r="AA16" s="55" t="n"/>
    </row>
    <row r="17">
      <c r="B17" s="52" t="n"/>
      <c r="AA17" s="55" t="n"/>
    </row>
    <row r="18">
      <c r="B18" s="52" t="n"/>
      <c r="AA18" s="55" t="n"/>
    </row>
    <row r="19">
      <c r="B19" s="52" t="n"/>
      <c r="AA19" s="55" t="n"/>
    </row>
    <row r="20">
      <c r="B20" s="52" t="n"/>
      <c r="AA20" s="55" t="n"/>
    </row>
    <row r="21">
      <c r="B21" s="52" t="n"/>
      <c r="AA21" s="55" t="n"/>
    </row>
    <row r="22">
      <c r="B22" s="52" t="n"/>
      <c r="AA22" s="55" t="n"/>
    </row>
    <row r="23">
      <c r="B23" s="52" t="n"/>
      <c r="AA23" s="55" t="n"/>
    </row>
    <row r="24">
      <c r="B24" s="52" t="n"/>
      <c r="AA24" s="55" t="n"/>
    </row>
    <row r="25">
      <c r="B25" s="52" t="n"/>
      <c r="AA25" s="55" t="n"/>
    </row>
    <row r="26">
      <c r="B26" s="52" t="n"/>
      <c r="AA26" s="55" t="n"/>
    </row>
    <row r="27">
      <c r="B27" s="52" t="n"/>
      <c r="AA27" s="55" t="n"/>
    </row>
    <row r="28">
      <c r="B28" s="52" t="n"/>
      <c r="AA28" s="55" t="n"/>
    </row>
    <row r="29">
      <c r="B29" s="52" t="n"/>
      <c r="AA29" s="55" t="n"/>
    </row>
    <row r="30">
      <c r="B30" s="52" t="n"/>
      <c r="AA30" s="55" t="n"/>
    </row>
    <row r="31">
      <c r="B31" s="52" t="n"/>
      <c r="AA31" s="55" t="n"/>
    </row>
    <row r="32">
      <c r="B32" s="52" t="n"/>
      <c r="AA32" s="55" t="n"/>
    </row>
    <row r="33">
      <c r="B33" s="52" t="n"/>
      <c r="AA33" s="55" t="n"/>
    </row>
    <row r="34">
      <c r="B34" s="52" t="n"/>
      <c r="AA34" s="55" t="n"/>
    </row>
    <row r="35">
      <c r="B35" s="52" t="n"/>
      <c r="AA35" s="55" t="n"/>
    </row>
    <row r="36">
      <c r="B36" s="52" t="n"/>
      <c r="AA36" s="55" t="n"/>
    </row>
    <row r="37">
      <c r="B37" s="52" t="n"/>
      <c r="AA37" s="55" t="n"/>
    </row>
    <row r="38">
      <c r="B38" s="52" t="n"/>
      <c r="AA38" s="55" t="n"/>
    </row>
    <row r="39" ht="19.5" customHeight="1" s="53" thickBot="1">
      <c r="B39" s="52" t="n"/>
      <c r="C39" s="40" t="inlineStr">
        <is>
          <t>BEDS NEEDED  -  WEEKLY PEAK TO DEC 2027 (WHOLE ROSTER)</t>
        </is>
      </c>
      <c r="D39" s="146" t="n"/>
      <c r="E39" s="146" t="n"/>
      <c r="F39" s="146" t="n"/>
      <c r="G39" s="146" t="n"/>
      <c r="H39" s="146" t="n"/>
      <c r="I39" s="146" t="n"/>
      <c r="J39" s="146" t="n"/>
      <c r="K39" s="146" t="n"/>
      <c r="L39" s="146" t="n"/>
      <c r="M39" s="146" t="n"/>
      <c r="N39" s="146" t="n"/>
      <c r="P39" s="40" t="inlineStr">
        <is>
          <t>TRAVEL  -  NEXT 4 WEEKS</t>
        </is>
      </c>
      <c r="Q39" s="146" t="n"/>
      <c r="R39" s="146" t="n"/>
      <c r="S39" s="146" t="n"/>
      <c r="T39" s="146" t="n"/>
      <c r="U39" s="146" t="n"/>
      <c r="V39" s="146" t="n"/>
      <c r="W39" s="146" t="n"/>
      <c r="X39" s="146" t="n"/>
      <c r="Y39" s="146" t="n"/>
      <c r="Z39" s="146" t="n"/>
      <c r="AA39" s="55" t="n"/>
    </row>
    <row r="40">
      <c r="B40" s="52" t="n"/>
      <c r="AA40" s="55" t="n"/>
    </row>
    <row r="41">
      <c r="B41" s="52" t="n"/>
      <c r="AA41" s="55" t="n"/>
    </row>
    <row r="42">
      <c r="B42" s="52" t="n"/>
      <c r="AA42" s="55" t="n"/>
    </row>
    <row r="43">
      <c r="B43" s="52" t="n"/>
      <c r="AA43" s="55" t="n"/>
    </row>
    <row r="44">
      <c r="B44" s="52" t="n"/>
      <c r="AA44" s="55" t="n"/>
    </row>
    <row r="45">
      <c r="B45" s="52" t="n"/>
      <c r="AA45" s="55" t="n"/>
    </row>
    <row r="46">
      <c r="B46" s="52" t="n"/>
      <c r="AA46" s="55" t="n"/>
    </row>
    <row r="47">
      <c r="B47" s="52" t="n"/>
      <c r="AA47" s="55" t="n"/>
    </row>
    <row r="48">
      <c r="B48" s="52" t="n"/>
      <c r="AA48" s="55" t="n"/>
    </row>
    <row r="49">
      <c r="B49" s="52" t="n"/>
      <c r="AA49" s="55" t="n"/>
    </row>
    <row r="50">
      <c r="B50" s="52" t="n"/>
      <c r="AA50" s="55" t="n"/>
    </row>
    <row r="51">
      <c r="B51" s="52" t="n"/>
      <c r="AA51" s="55" t="n"/>
    </row>
    <row r="52">
      <c r="B52" s="52" t="n"/>
      <c r="AA52" s="55" t="n"/>
    </row>
    <row r="53">
      <c r="B53" s="52" t="n"/>
      <c r="AA53" s="55" t="n"/>
    </row>
    <row r="54">
      <c r="B54" s="52" t="n"/>
      <c r="AA54" s="55" t="n"/>
    </row>
    <row r="55">
      <c r="B55" s="52" t="n"/>
      <c r="AA55" s="55" t="n"/>
    </row>
    <row r="56">
      <c r="B56" s="52" t="n"/>
      <c r="AA56" s="55" t="n"/>
    </row>
    <row r="57">
      <c r="B57" s="52" t="n"/>
      <c r="AA57" s="55" t="n"/>
    </row>
    <row r="58">
      <c r="B58" s="52" t="n"/>
      <c r="AA58" s="55" t="n"/>
    </row>
    <row r="59">
      <c r="B59" s="52" t="n"/>
      <c r="AA59" s="55" t="n"/>
    </row>
    <row r="60">
      <c r="B60" s="52" t="n"/>
      <c r="AA60" s="55" t="n"/>
    </row>
    <row r="61" ht="19.5" customHeight="1" s="53" thickBot="1">
      <c r="B61" s="52" t="n"/>
      <c r="C61" s="40" t="inlineStr">
        <is>
          <t>TRAVEL  -  NEXT 14 DAYS</t>
        </is>
      </c>
      <c r="D61" s="146" t="n"/>
      <c r="E61" s="146" t="n"/>
      <c r="F61" s="146" t="n"/>
      <c r="G61" s="146" t="n"/>
      <c r="H61" s="146" t="n"/>
      <c r="I61" s="146" t="n"/>
      <c r="J61" s="146" t="n"/>
      <c r="K61" s="146" t="n"/>
      <c r="L61" s="146" t="n"/>
      <c r="M61" s="146" t="n"/>
      <c r="N61" s="146" t="n"/>
      <c r="P61" s="40" t="inlineStr">
        <is>
          <t>NPI BOOKINGS PENDING  -  NEXT 14 DAYS</t>
        </is>
      </c>
      <c r="Q61" s="146" t="n"/>
      <c r="R61" s="146" t="n"/>
      <c r="S61" s="146" t="n"/>
      <c r="T61" s="146" t="n"/>
      <c r="U61" s="146" t="n"/>
      <c r="V61" s="146" t="n"/>
      <c r="W61" s="146" t="n"/>
      <c r="X61" s="146" t="n"/>
      <c r="Y61" s="146" t="n"/>
      <c r="Z61" s="146" t="n"/>
      <c r="AA61" s="55" t="n"/>
    </row>
    <row r="62" ht="19.5" customHeight="1" s="53">
      <c r="B62" s="52" t="n"/>
      <c r="C62" s="63" t="inlineStr">
        <is>
          <t>Name</t>
        </is>
      </c>
      <c r="G62" s="63" t="inlineStr">
        <is>
          <t>Travel</t>
        </is>
      </c>
      <c r="L62" s="63" t="inlineStr">
        <is>
          <t>Date</t>
        </is>
      </c>
      <c r="N62" s="63" t="inlineStr">
        <is>
          <t>In/Out</t>
        </is>
      </c>
      <c r="P62" s="63" t="inlineStr">
        <is>
          <t>Name</t>
        </is>
      </c>
      <c r="T62" s="63" t="inlineStr">
        <is>
          <t>Roster entry</t>
        </is>
      </c>
      <c r="W62" s="63" t="inlineStr">
        <is>
          <t>Date</t>
        </is>
      </c>
      <c r="Y62" s="63" t="inlineStr">
        <is>
          <t>Status</t>
        </is>
      </c>
      <c r="AA62" s="55" t="n"/>
    </row>
    <row r="63" ht="16.5" customHeight="1" s="53">
      <c r="B63" s="52" t="n"/>
      <c r="C63" s="147">
        <f>IF(Calc!$AP2="","",INDEX('Roster Summary'!$C$31:$C$180,Calc!$AP2))</f>
        <v/>
      </c>
      <c r="D63" s="144" t="n"/>
      <c r="E63" s="144" t="n"/>
      <c r="F63" s="144" t="n"/>
      <c r="G63" s="147">
        <f>IF(Calc!$AP2="","",INDEX(Grid!$F$3:$S$152,Calc!$AP2,Calc!$AO2+1))</f>
        <v/>
      </c>
      <c r="H63" s="144" t="n"/>
      <c r="I63" s="144" t="n"/>
      <c r="J63" s="144" t="n"/>
      <c r="K63" s="144" t="n"/>
      <c r="L63" s="148">
        <f>IF(Calc!$AP2="","",INDEX(Grid!$F$2:$S$2,Calc!$AO2+1))</f>
        <v/>
      </c>
      <c r="M63" s="144" t="n"/>
      <c r="N63" s="43">
        <f>IF(Calc!$AP2="","",IF(INDEX(Grid!$AI$3:$AV$152,Calc!$AP2,Calc!$AO2+1)="Travel in","IN","OUT"))</f>
        <v/>
      </c>
      <c r="P63" s="147">
        <f>IF(Calc!$AT2="","",INDEX('INPUT - Bookings'!$B$5:$B$1504,Calc!$AT2))</f>
        <v/>
      </c>
      <c r="Q63" s="144" t="n"/>
      <c r="R63" s="144" t="n"/>
      <c r="S63" s="144" t="n"/>
      <c r="T63" s="147">
        <f>IF(Calc!$AT2="","",INDEX('INPUT - Bookings'!$F$5:$F$1504,Calc!$AT2))</f>
        <v/>
      </c>
      <c r="U63" s="144" t="n"/>
      <c r="V63" s="144" t="n"/>
      <c r="W63" s="148">
        <f>IF(Calc!$AT2="","",INDEX('INPUT - Bookings'!$E$5:$E$1504,Calc!$AT2))</f>
        <v/>
      </c>
      <c r="X63" s="144" t="n"/>
      <c r="Y63" s="149">
        <f>IF(Calc!$AT2="","",INDEX('INPUT - Bookings'!$G$5:$G$1504,Calc!$AT2))</f>
        <v/>
      </c>
      <c r="Z63" s="144" t="n"/>
      <c r="AA63" s="55" t="n"/>
    </row>
    <row r="64" ht="16.5" customHeight="1" s="53">
      <c r="B64" s="52" t="n"/>
      <c r="C64" s="150">
        <f>IF(Calc!$AP3="","",INDEX('Roster Summary'!$C$31:$C$180,Calc!$AP3))</f>
        <v/>
      </c>
      <c r="D64" s="144" t="n"/>
      <c r="E64" s="144" t="n"/>
      <c r="F64" s="144" t="n"/>
      <c r="G64" s="150">
        <f>IF(Calc!$AP3="","",INDEX(Grid!$F$3:$S$152,Calc!$AP3,Calc!$AO3+1))</f>
        <v/>
      </c>
      <c r="H64" s="144" t="n"/>
      <c r="I64" s="144" t="n"/>
      <c r="J64" s="144" t="n"/>
      <c r="K64" s="144" t="n"/>
      <c r="L64" s="151">
        <f>IF(Calc!$AP3="","",INDEX(Grid!$F$2:$S$2,Calc!$AO3+1))</f>
        <v/>
      </c>
      <c r="M64" s="144" t="n"/>
      <c r="N64" s="46">
        <f>IF(Calc!$AP3="","",IF(INDEX(Grid!$AI$3:$AV$152,Calc!$AP3,Calc!$AO3+1)="Travel in","IN","OUT"))</f>
        <v/>
      </c>
      <c r="P64" s="150">
        <f>IF(Calc!$AT3="","",INDEX('INPUT - Bookings'!$B$5:$B$1504,Calc!$AT3))</f>
        <v/>
      </c>
      <c r="Q64" s="144" t="n"/>
      <c r="R64" s="144" t="n"/>
      <c r="S64" s="144" t="n"/>
      <c r="T64" s="150">
        <f>IF(Calc!$AT3="","",INDEX('INPUT - Bookings'!$F$5:$F$1504,Calc!$AT3))</f>
        <v/>
      </c>
      <c r="U64" s="144" t="n"/>
      <c r="V64" s="144" t="n"/>
      <c r="W64" s="151">
        <f>IF(Calc!$AT3="","",INDEX('INPUT - Bookings'!$E$5:$E$1504,Calc!$AT3))</f>
        <v/>
      </c>
      <c r="X64" s="144" t="n"/>
      <c r="Y64" s="152">
        <f>IF(Calc!$AT3="","",INDEX('INPUT - Bookings'!$G$5:$G$1504,Calc!$AT3))</f>
        <v/>
      </c>
      <c r="Z64" s="144" t="n"/>
      <c r="AA64" s="55" t="n"/>
    </row>
    <row r="65" ht="16.5" customHeight="1" s="53">
      <c r="B65" s="52" t="n"/>
      <c r="C65" s="147">
        <f>IF(Calc!$AP4="","",INDEX('Roster Summary'!$C$31:$C$180,Calc!$AP4))</f>
        <v/>
      </c>
      <c r="D65" s="144" t="n"/>
      <c r="E65" s="144" t="n"/>
      <c r="F65" s="144" t="n"/>
      <c r="G65" s="147">
        <f>IF(Calc!$AP4="","",INDEX(Grid!$F$3:$S$152,Calc!$AP4,Calc!$AO4+1))</f>
        <v/>
      </c>
      <c r="H65" s="144" t="n"/>
      <c r="I65" s="144" t="n"/>
      <c r="J65" s="144" t="n"/>
      <c r="K65" s="144" t="n"/>
      <c r="L65" s="148">
        <f>IF(Calc!$AP4="","",INDEX(Grid!$F$2:$S$2,Calc!$AO4+1))</f>
        <v/>
      </c>
      <c r="M65" s="144" t="n"/>
      <c r="N65" s="43">
        <f>IF(Calc!$AP4="","",IF(INDEX(Grid!$AI$3:$AV$152,Calc!$AP4,Calc!$AO4+1)="Travel in","IN","OUT"))</f>
        <v/>
      </c>
      <c r="P65" s="147">
        <f>IF(Calc!$AT4="","",INDEX('INPUT - Bookings'!$B$5:$B$1504,Calc!$AT4))</f>
        <v/>
      </c>
      <c r="Q65" s="144" t="n"/>
      <c r="R65" s="144" t="n"/>
      <c r="S65" s="144" t="n"/>
      <c r="T65" s="147">
        <f>IF(Calc!$AT4="","",INDEX('INPUT - Bookings'!$F$5:$F$1504,Calc!$AT4))</f>
        <v/>
      </c>
      <c r="U65" s="144" t="n"/>
      <c r="V65" s="144" t="n"/>
      <c r="W65" s="148">
        <f>IF(Calc!$AT4="","",INDEX('INPUT - Bookings'!$E$5:$E$1504,Calc!$AT4))</f>
        <v/>
      </c>
      <c r="X65" s="144" t="n"/>
      <c r="Y65" s="149">
        <f>IF(Calc!$AT4="","",INDEX('INPUT - Bookings'!$G$5:$G$1504,Calc!$AT4))</f>
        <v/>
      </c>
      <c r="Z65" s="144" t="n"/>
      <c r="AA65" s="55" t="n"/>
    </row>
    <row r="66" ht="16.5" customHeight="1" s="53">
      <c r="B66" s="52" t="n"/>
      <c r="C66" s="150">
        <f>IF(Calc!$AP5="","",INDEX('Roster Summary'!$C$31:$C$180,Calc!$AP5))</f>
        <v/>
      </c>
      <c r="D66" s="144" t="n"/>
      <c r="E66" s="144" t="n"/>
      <c r="F66" s="144" t="n"/>
      <c r="G66" s="150">
        <f>IF(Calc!$AP5="","",INDEX(Grid!$F$3:$S$152,Calc!$AP5,Calc!$AO5+1))</f>
        <v/>
      </c>
      <c r="H66" s="144" t="n"/>
      <c r="I66" s="144" t="n"/>
      <c r="J66" s="144" t="n"/>
      <c r="K66" s="144" t="n"/>
      <c r="L66" s="151">
        <f>IF(Calc!$AP5="","",INDEX(Grid!$F$2:$S$2,Calc!$AO5+1))</f>
        <v/>
      </c>
      <c r="M66" s="144" t="n"/>
      <c r="N66" s="46">
        <f>IF(Calc!$AP5="","",IF(INDEX(Grid!$AI$3:$AV$152,Calc!$AP5,Calc!$AO5+1)="Travel in","IN","OUT"))</f>
        <v/>
      </c>
      <c r="P66" s="150">
        <f>IF(Calc!$AT5="","",INDEX('INPUT - Bookings'!$B$5:$B$1504,Calc!$AT5))</f>
        <v/>
      </c>
      <c r="Q66" s="144" t="n"/>
      <c r="R66" s="144" t="n"/>
      <c r="S66" s="144" t="n"/>
      <c r="T66" s="150">
        <f>IF(Calc!$AT5="","",INDEX('INPUT - Bookings'!$F$5:$F$1504,Calc!$AT5))</f>
        <v/>
      </c>
      <c r="U66" s="144" t="n"/>
      <c r="V66" s="144" t="n"/>
      <c r="W66" s="151">
        <f>IF(Calc!$AT5="","",INDEX('INPUT - Bookings'!$E$5:$E$1504,Calc!$AT5))</f>
        <v/>
      </c>
      <c r="X66" s="144" t="n"/>
      <c r="Y66" s="152">
        <f>IF(Calc!$AT5="","",INDEX('INPUT - Bookings'!$G$5:$G$1504,Calc!$AT5))</f>
        <v/>
      </c>
      <c r="Z66" s="144" t="n"/>
      <c r="AA66" s="55" t="n"/>
    </row>
    <row r="67" ht="16.5" customHeight="1" s="53">
      <c r="B67" s="52" t="n"/>
      <c r="C67" s="147">
        <f>IF(Calc!$AP6="","",INDEX('Roster Summary'!$C$31:$C$180,Calc!$AP6))</f>
        <v/>
      </c>
      <c r="D67" s="144" t="n"/>
      <c r="E67" s="144" t="n"/>
      <c r="F67" s="144" t="n"/>
      <c r="G67" s="147">
        <f>IF(Calc!$AP6="","",INDEX(Grid!$F$3:$S$152,Calc!$AP6,Calc!$AO6+1))</f>
        <v/>
      </c>
      <c r="H67" s="144" t="n"/>
      <c r="I67" s="144" t="n"/>
      <c r="J67" s="144" t="n"/>
      <c r="K67" s="144" t="n"/>
      <c r="L67" s="148">
        <f>IF(Calc!$AP6="","",INDEX(Grid!$F$2:$S$2,Calc!$AO6+1))</f>
        <v/>
      </c>
      <c r="M67" s="144" t="n"/>
      <c r="N67" s="43">
        <f>IF(Calc!$AP6="","",IF(INDEX(Grid!$AI$3:$AV$152,Calc!$AP6,Calc!$AO6+1)="Travel in","IN","OUT"))</f>
        <v/>
      </c>
      <c r="P67" s="147">
        <f>IF(Calc!$AT6="","",INDEX('INPUT - Bookings'!$B$5:$B$1504,Calc!$AT6))</f>
        <v/>
      </c>
      <c r="Q67" s="144" t="n"/>
      <c r="R67" s="144" t="n"/>
      <c r="S67" s="144" t="n"/>
      <c r="T67" s="147">
        <f>IF(Calc!$AT6="","",INDEX('INPUT - Bookings'!$F$5:$F$1504,Calc!$AT6))</f>
        <v/>
      </c>
      <c r="U67" s="144" t="n"/>
      <c r="V67" s="144" t="n"/>
      <c r="W67" s="148">
        <f>IF(Calc!$AT6="","",INDEX('INPUT - Bookings'!$E$5:$E$1504,Calc!$AT6))</f>
        <v/>
      </c>
      <c r="X67" s="144" t="n"/>
      <c r="Y67" s="149">
        <f>IF(Calc!$AT6="","",INDEX('INPUT - Bookings'!$G$5:$G$1504,Calc!$AT6))</f>
        <v/>
      </c>
      <c r="Z67" s="144" t="n"/>
      <c r="AA67" s="55" t="n"/>
    </row>
    <row r="68" ht="16.5" customHeight="1" s="53">
      <c r="B68" s="52" t="n"/>
      <c r="C68" s="150">
        <f>IF(Calc!$AP7="","",INDEX('Roster Summary'!$C$31:$C$180,Calc!$AP7))</f>
        <v/>
      </c>
      <c r="D68" s="144" t="n"/>
      <c r="E68" s="144" t="n"/>
      <c r="F68" s="144" t="n"/>
      <c r="G68" s="150">
        <f>IF(Calc!$AP7="","",INDEX(Grid!$F$3:$S$152,Calc!$AP7,Calc!$AO7+1))</f>
        <v/>
      </c>
      <c r="H68" s="144" t="n"/>
      <c r="I68" s="144" t="n"/>
      <c r="J68" s="144" t="n"/>
      <c r="K68" s="144" t="n"/>
      <c r="L68" s="151">
        <f>IF(Calc!$AP7="","",INDEX(Grid!$F$2:$S$2,Calc!$AO7+1))</f>
        <v/>
      </c>
      <c r="M68" s="144" t="n"/>
      <c r="N68" s="46">
        <f>IF(Calc!$AP7="","",IF(INDEX(Grid!$AI$3:$AV$152,Calc!$AP7,Calc!$AO7+1)="Travel in","IN","OUT"))</f>
        <v/>
      </c>
      <c r="P68" s="150">
        <f>IF(Calc!$AT7="","",INDEX('INPUT - Bookings'!$B$5:$B$1504,Calc!$AT7))</f>
        <v/>
      </c>
      <c r="Q68" s="144" t="n"/>
      <c r="R68" s="144" t="n"/>
      <c r="S68" s="144" t="n"/>
      <c r="T68" s="150">
        <f>IF(Calc!$AT7="","",INDEX('INPUT - Bookings'!$F$5:$F$1504,Calc!$AT7))</f>
        <v/>
      </c>
      <c r="U68" s="144" t="n"/>
      <c r="V68" s="144" t="n"/>
      <c r="W68" s="151">
        <f>IF(Calc!$AT7="","",INDEX('INPUT - Bookings'!$E$5:$E$1504,Calc!$AT7))</f>
        <v/>
      </c>
      <c r="X68" s="144" t="n"/>
      <c r="Y68" s="152">
        <f>IF(Calc!$AT7="","",INDEX('INPUT - Bookings'!$G$5:$G$1504,Calc!$AT7))</f>
        <v/>
      </c>
      <c r="Z68" s="144" t="n"/>
      <c r="AA68" s="55" t="n"/>
    </row>
    <row r="69" ht="16.5" customHeight="1" s="53">
      <c r="B69" s="52" t="n"/>
      <c r="C69" s="147">
        <f>IF(Calc!$AP8="","",INDEX('Roster Summary'!$C$31:$C$180,Calc!$AP8))</f>
        <v/>
      </c>
      <c r="D69" s="144" t="n"/>
      <c r="E69" s="144" t="n"/>
      <c r="F69" s="144" t="n"/>
      <c r="G69" s="147">
        <f>IF(Calc!$AP8="","",INDEX(Grid!$F$3:$S$152,Calc!$AP8,Calc!$AO8+1))</f>
        <v/>
      </c>
      <c r="H69" s="144" t="n"/>
      <c r="I69" s="144" t="n"/>
      <c r="J69" s="144" t="n"/>
      <c r="K69" s="144" t="n"/>
      <c r="L69" s="148">
        <f>IF(Calc!$AP8="","",INDEX(Grid!$F$2:$S$2,Calc!$AO8+1))</f>
        <v/>
      </c>
      <c r="M69" s="144" t="n"/>
      <c r="N69" s="43">
        <f>IF(Calc!$AP8="","",IF(INDEX(Grid!$AI$3:$AV$152,Calc!$AP8,Calc!$AO8+1)="Travel in","IN","OUT"))</f>
        <v/>
      </c>
      <c r="P69" s="147">
        <f>IF(Calc!$AT8="","",INDEX('INPUT - Bookings'!$B$5:$B$1504,Calc!$AT8))</f>
        <v/>
      </c>
      <c r="Q69" s="144" t="n"/>
      <c r="R69" s="144" t="n"/>
      <c r="S69" s="144" t="n"/>
      <c r="T69" s="147">
        <f>IF(Calc!$AT8="","",INDEX('INPUT - Bookings'!$F$5:$F$1504,Calc!$AT8))</f>
        <v/>
      </c>
      <c r="U69" s="144" t="n"/>
      <c r="V69" s="144" t="n"/>
      <c r="W69" s="148">
        <f>IF(Calc!$AT8="","",INDEX('INPUT - Bookings'!$E$5:$E$1504,Calc!$AT8))</f>
        <v/>
      </c>
      <c r="X69" s="144" t="n"/>
      <c r="Y69" s="149">
        <f>IF(Calc!$AT8="","",INDEX('INPUT - Bookings'!$G$5:$G$1504,Calc!$AT8))</f>
        <v/>
      </c>
      <c r="Z69" s="144" t="n"/>
      <c r="AA69" s="55" t="n"/>
    </row>
    <row r="70" ht="16.5" customHeight="1" s="53">
      <c r="B70" s="52" t="n"/>
      <c r="C70" s="150">
        <f>IF(Calc!$AP9="","",INDEX('Roster Summary'!$C$31:$C$180,Calc!$AP9))</f>
        <v/>
      </c>
      <c r="D70" s="144" t="n"/>
      <c r="E70" s="144" t="n"/>
      <c r="F70" s="144" t="n"/>
      <c r="G70" s="150">
        <f>IF(Calc!$AP9="","",INDEX(Grid!$F$3:$S$152,Calc!$AP9,Calc!$AO9+1))</f>
        <v/>
      </c>
      <c r="H70" s="144" t="n"/>
      <c r="I70" s="144" t="n"/>
      <c r="J70" s="144" t="n"/>
      <c r="K70" s="144" t="n"/>
      <c r="L70" s="151">
        <f>IF(Calc!$AP9="","",INDEX(Grid!$F$2:$S$2,Calc!$AO9+1))</f>
        <v/>
      </c>
      <c r="M70" s="144" t="n"/>
      <c r="N70" s="46">
        <f>IF(Calc!$AP9="","",IF(INDEX(Grid!$AI$3:$AV$152,Calc!$AP9,Calc!$AO9+1)="Travel in","IN","OUT"))</f>
        <v/>
      </c>
      <c r="P70" s="150">
        <f>IF(Calc!$AT9="","",INDEX('INPUT - Bookings'!$B$5:$B$1504,Calc!$AT9))</f>
        <v/>
      </c>
      <c r="Q70" s="144" t="n"/>
      <c r="R70" s="144" t="n"/>
      <c r="S70" s="144" t="n"/>
      <c r="T70" s="150">
        <f>IF(Calc!$AT9="","",INDEX('INPUT - Bookings'!$F$5:$F$1504,Calc!$AT9))</f>
        <v/>
      </c>
      <c r="U70" s="144" t="n"/>
      <c r="V70" s="144" t="n"/>
      <c r="W70" s="151">
        <f>IF(Calc!$AT9="","",INDEX('INPUT - Bookings'!$E$5:$E$1504,Calc!$AT9))</f>
        <v/>
      </c>
      <c r="X70" s="144" t="n"/>
      <c r="Y70" s="152">
        <f>IF(Calc!$AT9="","",INDEX('INPUT - Bookings'!$G$5:$G$1504,Calc!$AT9))</f>
        <v/>
      </c>
      <c r="Z70" s="144" t="n"/>
      <c r="AA70" s="55" t="n"/>
    </row>
    <row r="71" ht="16.5" customHeight="1" s="53">
      <c r="B71" s="52" t="n"/>
      <c r="C71" s="147">
        <f>IF(Calc!$AP10="","",INDEX('Roster Summary'!$C$31:$C$180,Calc!$AP10))</f>
        <v/>
      </c>
      <c r="D71" s="144" t="n"/>
      <c r="E71" s="144" t="n"/>
      <c r="F71" s="144" t="n"/>
      <c r="G71" s="147">
        <f>IF(Calc!$AP10="","",INDEX(Grid!$F$3:$S$152,Calc!$AP10,Calc!$AO10+1))</f>
        <v/>
      </c>
      <c r="H71" s="144" t="n"/>
      <c r="I71" s="144" t="n"/>
      <c r="J71" s="144" t="n"/>
      <c r="K71" s="144" t="n"/>
      <c r="L71" s="148">
        <f>IF(Calc!$AP10="","",INDEX(Grid!$F$2:$S$2,Calc!$AO10+1))</f>
        <v/>
      </c>
      <c r="M71" s="144" t="n"/>
      <c r="N71" s="43">
        <f>IF(Calc!$AP10="","",IF(INDEX(Grid!$AI$3:$AV$152,Calc!$AP10,Calc!$AO10+1)="Travel in","IN","OUT"))</f>
        <v/>
      </c>
      <c r="P71" s="147">
        <f>IF(Calc!$AT10="","",INDEX('INPUT - Bookings'!$B$5:$B$1504,Calc!$AT10))</f>
        <v/>
      </c>
      <c r="Q71" s="144" t="n"/>
      <c r="R71" s="144" t="n"/>
      <c r="S71" s="144" t="n"/>
      <c r="T71" s="147">
        <f>IF(Calc!$AT10="","",INDEX('INPUT - Bookings'!$F$5:$F$1504,Calc!$AT10))</f>
        <v/>
      </c>
      <c r="U71" s="144" t="n"/>
      <c r="V71" s="144" t="n"/>
      <c r="W71" s="148">
        <f>IF(Calc!$AT10="","",INDEX('INPUT - Bookings'!$E$5:$E$1504,Calc!$AT10))</f>
        <v/>
      </c>
      <c r="X71" s="144" t="n"/>
      <c r="Y71" s="149">
        <f>IF(Calc!$AT10="","",INDEX('INPUT - Bookings'!$G$5:$G$1504,Calc!$AT10))</f>
        <v/>
      </c>
      <c r="Z71" s="144" t="n"/>
      <c r="AA71" s="55" t="n"/>
    </row>
    <row r="72" ht="16.5" customHeight="1" s="53">
      <c r="B72" s="52" t="n"/>
      <c r="C72" s="150">
        <f>IF(Calc!$AP11="","",INDEX('Roster Summary'!$C$31:$C$180,Calc!$AP11))</f>
        <v/>
      </c>
      <c r="D72" s="144" t="n"/>
      <c r="E72" s="144" t="n"/>
      <c r="F72" s="144" t="n"/>
      <c r="G72" s="150">
        <f>IF(Calc!$AP11="","",INDEX(Grid!$F$3:$S$152,Calc!$AP11,Calc!$AO11+1))</f>
        <v/>
      </c>
      <c r="H72" s="144" t="n"/>
      <c r="I72" s="144" t="n"/>
      <c r="J72" s="144" t="n"/>
      <c r="K72" s="144" t="n"/>
      <c r="L72" s="151">
        <f>IF(Calc!$AP11="","",INDEX(Grid!$F$2:$S$2,Calc!$AO11+1))</f>
        <v/>
      </c>
      <c r="M72" s="144" t="n"/>
      <c r="N72" s="46">
        <f>IF(Calc!$AP11="","",IF(INDEX(Grid!$AI$3:$AV$152,Calc!$AP11,Calc!$AO11+1)="Travel in","IN","OUT"))</f>
        <v/>
      </c>
      <c r="P72" s="150">
        <f>IF(Calc!$AT11="","",INDEX('INPUT - Bookings'!$B$5:$B$1504,Calc!$AT11))</f>
        <v/>
      </c>
      <c r="Q72" s="144" t="n"/>
      <c r="R72" s="144" t="n"/>
      <c r="S72" s="144" t="n"/>
      <c r="T72" s="150">
        <f>IF(Calc!$AT11="","",INDEX('INPUT - Bookings'!$F$5:$F$1504,Calc!$AT11))</f>
        <v/>
      </c>
      <c r="U72" s="144" t="n"/>
      <c r="V72" s="144" t="n"/>
      <c r="W72" s="151">
        <f>IF(Calc!$AT11="","",INDEX('INPUT - Bookings'!$E$5:$E$1504,Calc!$AT11))</f>
        <v/>
      </c>
      <c r="X72" s="144" t="n"/>
      <c r="Y72" s="152">
        <f>IF(Calc!$AT11="","",INDEX('INPUT - Bookings'!$G$5:$G$1504,Calc!$AT11))</f>
        <v/>
      </c>
      <c r="Z72" s="144" t="n"/>
      <c r="AA72" s="55" t="n"/>
    </row>
    <row r="73" ht="16.5" customHeight="1" s="53">
      <c r="B73" s="52" t="n"/>
      <c r="C73" s="147">
        <f>IF(Calc!$AP12="","",INDEX('Roster Summary'!$C$31:$C$180,Calc!$AP12))</f>
        <v/>
      </c>
      <c r="D73" s="144" t="n"/>
      <c r="E73" s="144" t="n"/>
      <c r="F73" s="144" t="n"/>
      <c r="G73" s="147">
        <f>IF(Calc!$AP12="","",INDEX(Grid!$F$3:$S$152,Calc!$AP12,Calc!$AO12+1))</f>
        <v/>
      </c>
      <c r="H73" s="144" t="n"/>
      <c r="I73" s="144" t="n"/>
      <c r="J73" s="144" t="n"/>
      <c r="K73" s="144" t="n"/>
      <c r="L73" s="148">
        <f>IF(Calc!$AP12="","",INDEX(Grid!$F$2:$S$2,Calc!$AO12+1))</f>
        <v/>
      </c>
      <c r="M73" s="144" t="n"/>
      <c r="N73" s="43">
        <f>IF(Calc!$AP12="","",IF(INDEX(Grid!$AI$3:$AV$152,Calc!$AP12,Calc!$AO12+1)="Travel in","IN","OUT"))</f>
        <v/>
      </c>
      <c r="P73" s="147">
        <f>IF(Calc!$AT12="","",INDEX('INPUT - Bookings'!$B$5:$B$1504,Calc!$AT12))</f>
        <v/>
      </c>
      <c r="Q73" s="144" t="n"/>
      <c r="R73" s="144" t="n"/>
      <c r="S73" s="144" t="n"/>
      <c r="T73" s="147">
        <f>IF(Calc!$AT12="","",INDEX('INPUT - Bookings'!$F$5:$F$1504,Calc!$AT12))</f>
        <v/>
      </c>
      <c r="U73" s="144" t="n"/>
      <c r="V73" s="144" t="n"/>
      <c r="W73" s="148">
        <f>IF(Calc!$AT12="","",INDEX('INPUT - Bookings'!$E$5:$E$1504,Calc!$AT12))</f>
        <v/>
      </c>
      <c r="X73" s="144" t="n"/>
      <c r="Y73" s="149">
        <f>IF(Calc!$AT12="","",INDEX('INPUT - Bookings'!$G$5:$G$1504,Calc!$AT12))</f>
        <v/>
      </c>
      <c r="Z73" s="144" t="n"/>
      <c r="AA73" s="55" t="n"/>
    </row>
    <row r="74" ht="16.5" customHeight="1" s="53">
      <c r="B74" s="52" t="n"/>
      <c r="C74" s="150">
        <f>IF(Calc!$AP13="","",INDEX('Roster Summary'!$C$31:$C$180,Calc!$AP13))</f>
        <v/>
      </c>
      <c r="D74" s="144" t="n"/>
      <c r="E74" s="144" t="n"/>
      <c r="F74" s="144" t="n"/>
      <c r="G74" s="150">
        <f>IF(Calc!$AP13="","",INDEX(Grid!$F$3:$S$152,Calc!$AP13,Calc!$AO13+1))</f>
        <v/>
      </c>
      <c r="H74" s="144" t="n"/>
      <c r="I74" s="144" t="n"/>
      <c r="J74" s="144" t="n"/>
      <c r="K74" s="144" t="n"/>
      <c r="L74" s="151">
        <f>IF(Calc!$AP13="","",INDEX(Grid!$F$2:$S$2,Calc!$AO13+1))</f>
        <v/>
      </c>
      <c r="M74" s="144" t="n"/>
      <c r="N74" s="46">
        <f>IF(Calc!$AP13="","",IF(INDEX(Grid!$AI$3:$AV$152,Calc!$AP13,Calc!$AO13+1)="Travel in","IN","OUT"))</f>
        <v/>
      </c>
      <c r="P74" s="150">
        <f>IF(Calc!$AT13="","",INDEX('INPUT - Bookings'!$B$5:$B$1504,Calc!$AT13))</f>
        <v/>
      </c>
      <c r="Q74" s="144" t="n"/>
      <c r="R74" s="144" t="n"/>
      <c r="S74" s="144" t="n"/>
      <c r="T74" s="150">
        <f>IF(Calc!$AT13="","",INDEX('INPUT - Bookings'!$F$5:$F$1504,Calc!$AT13))</f>
        <v/>
      </c>
      <c r="U74" s="144" t="n"/>
      <c r="V74" s="144" t="n"/>
      <c r="W74" s="151">
        <f>IF(Calc!$AT13="","",INDEX('INPUT - Bookings'!$E$5:$E$1504,Calc!$AT13))</f>
        <v/>
      </c>
      <c r="X74" s="144" t="n"/>
      <c r="Y74" s="152">
        <f>IF(Calc!$AT13="","",INDEX('INPUT - Bookings'!$G$5:$G$1504,Calc!$AT13))</f>
        <v/>
      </c>
      <c r="Z74" s="144" t="n"/>
      <c r="AA74" s="55" t="n"/>
    </row>
    <row r="75">
      <c r="B75" s="52" t="n"/>
      <c r="AA75" s="55" t="n"/>
    </row>
    <row r="76" ht="27.75" customHeight="1" s="53" thickBot="1">
      <c r="B76" s="64" t="n"/>
      <c r="C76" s="65" t="inlineStr">
        <is>
          <t>Inputs: 'INPUT - Roster' and 'INPUT - Bookings' only. Roster text is read through the code dictionary on Settings. Roster Summary, Camp Summary and Who's Where give the detail behind every number.</t>
        </is>
      </c>
      <c r="D76" s="73" t="n"/>
      <c r="E76" s="73" t="n"/>
      <c r="F76" s="73" t="n"/>
      <c r="G76" s="73" t="n"/>
      <c r="H76" s="73" t="n"/>
      <c r="I76" s="73" t="n"/>
      <c r="J76" s="73" t="n"/>
      <c r="K76" s="73" t="n"/>
      <c r="L76" s="73" t="n"/>
      <c r="M76" s="73" t="n"/>
      <c r="N76" s="73" t="n"/>
      <c r="O76" s="73" t="n"/>
      <c r="P76" s="73" t="n"/>
      <c r="Q76" s="73" t="n"/>
      <c r="R76" s="73" t="n"/>
      <c r="S76" s="73" t="n"/>
      <c r="T76" s="73" t="n"/>
      <c r="U76" s="73" t="n"/>
      <c r="V76" s="73" t="n"/>
      <c r="W76" s="73" t="n"/>
      <c r="X76" s="73" t="n"/>
      <c r="Y76" s="73" t="n"/>
      <c r="Z76" s="73" t="n"/>
      <c r="AA76" s="66" t="n"/>
    </row>
  </sheetData>
  <mergeCells count="119">
    <mergeCell ref="T68:V68"/>
    <mergeCell ref="T71:V71"/>
    <mergeCell ref="L66:M66"/>
    <mergeCell ref="Y71:Z71"/>
    <mergeCell ref="C72:F72"/>
    <mergeCell ref="G67:K67"/>
    <mergeCell ref="M14:P14"/>
    <mergeCell ref="G70:K70"/>
    <mergeCell ref="W65:X65"/>
    <mergeCell ref="L68:M68"/>
    <mergeCell ref="Y73:Z73"/>
    <mergeCell ref="W63:X63"/>
    <mergeCell ref="T66:V66"/>
    <mergeCell ref="C62:F62"/>
    <mergeCell ref="G62:K62"/>
    <mergeCell ref="P61:Z61"/>
    <mergeCell ref="C64:F64"/>
    <mergeCell ref="P69:S69"/>
    <mergeCell ref="C73:F73"/>
    <mergeCell ref="H12:K13"/>
    <mergeCell ref="C63:F63"/>
    <mergeCell ref="G65:K65"/>
    <mergeCell ref="G73:K73"/>
    <mergeCell ref="L72:M72"/>
    <mergeCell ref="G63:K63"/>
    <mergeCell ref="P70:S70"/>
    <mergeCell ref="W67:X67"/>
    <mergeCell ref="L65:M65"/>
    <mergeCell ref="W69:X69"/>
    <mergeCell ref="Y72:Z72"/>
    <mergeCell ref="T74:V74"/>
    <mergeCell ref="C67:F67"/>
    <mergeCell ref="Y62:Z62"/>
    <mergeCell ref="W14:Z14"/>
    <mergeCell ref="W64:X64"/>
    <mergeCell ref="C69:F69"/>
    <mergeCell ref="P74:S74"/>
    <mergeCell ref="Y64:Z64"/>
    <mergeCell ref="E4:X4"/>
    <mergeCell ref="C12:F13"/>
    <mergeCell ref="C61:N61"/>
    <mergeCell ref="C39:N39"/>
    <mergeCell ref="T69:V69"/>
    <mergeCell ref="M12:P13"/>
    <mergeCell ref="G69:K69"/>
    <mergeCell ref="C14:F14"/>
    <mergeCell ref="P39:Z39"/>
    <mergeCell ref="W71:X71"/>
    <mergeCell ref="L69:M69"/>
    <mergeCell ref="G64:K64"/>
    <mergeCell ref="W73:X73"/>
    <mergeCell ref="H11:K11"/>
    <mergeCell ref="C71:F71"/>
    <mergeCell ref="Y66:Z66"/>
    <mergeCell ref="T65:V65"/>
    <mergeCell ref="L70:M70"/>
    <mergeCell ref="T62:V62"/>
    <mergeCell ref="C16:N16"/>
    <mergeCell ref="D9:G9"/>
    <mergeCell ref="W68:X68"/>
    <mergeCell ref="Y68:Z68"/>
    <mergeCell ref="W11:Z11"/>
    <mergeCell ref="T64:V64"/>
    <mergeCell ref="P62:S62"/>
    <mergeCell ref="T73:V73"/>
    <mergeCell ref="C66:F66"/>
    <mergeCell ref="P71:S71"/>
    <mergeCell ref="H14:K14"/>
    <mergeCell ref="T70:V70"/>
    <mergeCell ref="P64:S64"/>
    <mergeCell ref="C68:F68"/>
    <mergeCell ref="P73:S73"/>
    <mergeCell ref="G66:K66"/>
    <mergeCell ref="C76:Z76"/>
    <mergeCell ref="L74:M74"/>
    <mergeCell ref="W12:Z13"/>
    <mergeCell ref="P63:S63"/>
    <mergeCell ref="G74:K74"/>
    <mergeCell ref="G68:K68"/>
    <mergeCell ref="W72:X72"/>
    <mergeCell ref="T67:V67"/>
    <mergeCell ref="M11:P11"/>
    <mergeCell ref="C65:F65"/>
    <mergeCell ref="W70:X70"/>
    <mergeCell ref="Y65:Z65"/>
    <mergeCell ref="Y70:Z70"/>
    <mergeCell ref="P67:S67"/>
    <mergeCell ref="P66:S66"/>
    <mergeCell ref="C70:F70"/>
    <mergeCell ref="G72:K72"/>
    <mergeCell ref="L67:M67"/>
    <mergeCell ref="Y63:Z63"/>
    <mergeCell ref="P68:S68"/>
    <mergeCell ref="G71:K71"/>
    <mergeCell ref="W74:X74"/>
    <mergeCell ref="Y74:Z74"/>
    <mergeCell ref="E2:X3"/>
    <mergeCell ref="J9:N9"/>
    <mergeCell ref="R14:U14"/>
    <mergeCell ref="L62:M62"/>
    <mergeCell ref="Y67:Z67"/>
    <mergeCell ref="R12:U13"/>
    <mergeCell ref="Q9:S9"/>
    <mergeCell ref="L71:M71"/>
    <mergeCell ref="R11:U11"/>
    <mergeCell ref="T72:V72"/>
    <mergeCell ref="W66:X66"/>
    <mergeCell ref="C74:F74"/>
    <mergeCell ref="L64:M64"/>
    <mergeCell ref="Y69:Z69"/>
    <mergeCell ref="L73:M73"/>
    <mergeCell ref="W62:X62"/>
    <mergeCell ref="C7:Z7"/>
    <mergeCell ref="P72:S72"/>
    <mergeCell ref="L63:M63"/>
    <mergeCell ref="P16:Z16"/>
    <mergeCell ref="P65:S65"/>
    <mergeCell ref="C11:F11"/>
    <mergeCell ref="T63:V63"/>
  </mergeCells>
  <conditionalFormatting sqref="N63:N74">
    <cfRule type="expression" priority="1" dxfId="10">
      <formula>N63="IN"</formula>
    </cfRule>
    <cfRule type="expression" priority="2" dxfId="11">
      <formula>N63="OUT"</formula>
    </cfRule>
  </conditionalFormatting>
  <conditionalFormatting sqref="Y63:Y74">
    <cfRule type="expression" priority="3" dxfId="12">
      <formula>LEFT(Y63,5)="To be"</formula>
    </cfRule>
    <cfRule type="expression" priority="4" dxfId="12">
      <formula>LEFT(Y63,3)="New"</formula>
    </cfRule>
  </conditionalFormatting>
  <dataValidations count="3">
    <dataValidation sqref="D9" showDropDown="0" showInputMessage="0" showErrorMessage="0" allowBlank="0" type="list">
      <formula1>=Settings!$M$14:$M$53</formula1>
    </dataValidation>
    <dataValidation sqref="J9" showDropDown="0" showInputMessage="0" showErrorMessage="0" allowBlank="0" type="list">
      <formula1>=Settings!$N$14:$N$53</formula1>
    </dataValidation>
    <dataValidation sqref="Q9" showDropDown="0" showInputMessage="0" showErrorMessage="0" allowBlank="1" type="date" operator="between">
      <formula1>DATE(2026,8,21)</formula1>
      <formula2>DATE(2027,12,31)</formula2>
    </dataValidation>
  </dataValidations>
  <pageMargins left="0.75" right="0.75" top="1" bottom="1" header="0.5" footer="0.5"/>
  <pageSetup orientation="portrait" paperSize="9" fitToHeight="0" horizontalDpi="300" verticalDpi="300"/>
  <headerFooter>
    <oddHeader>&amp;R&amp;"Aptos"&amp;7&amp;K000000 1 - General Business&amp;1#_x000d_&amp;"Calibri"&amp;11 &amp;K0000001 - General Business</oddHeader>
    <oddFooter>&amp;CPage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F8F5B"/>
    <outlinePr summaryBelow="1" summaryRight="1"/>
    <pageSetUpPr/>
  </sheetPr>
  <dimension ref="B1:U180"/>
  <sheetViews>
    <sheetView showGridLines="0" tabSelected="0" workbookViewId="0">
      <pane xSplit="2" ySplit="30" topLeftCell="C3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style="53" min="1" max="1"/>
    <col width="5" customWidth="1" style="53" min="2" max="2"/>
    <col width="30" customWidth="1" style="53" min="3" max="3"/>
    <col width="14" customWidth="1" style="53" min="4" max="4"/>
    <col width="26" customWidth="1" style="53" min="5" max="5"/>
    <col width="22" customWidth="1" style="53" min="6" max="6"/>
    <col width="10" customWidth="1" style="53" min="7" max="7"/>
    <col width="9" customWidth="1" style="53" min="8" max="8"/>
    <col width="13" customWidth="1" style="53" min="9" max="9"/>
    <col width="9" customWidth="1" style="53" min="10" max="10"/>
    <col width="9" customWidth="1" style="53" min="11" max="11"/>
    <col width="9" customWidth="1" style="53" min="12" max="12"/>
    <col width="14" customWidth="1" style="53" min="13" max="13"/>
    <col width="22" customWidth="1" style="53" min="14" max="14"/>
    <col width="12" customWidth="1" style="53" min="15" max="15"/>
    <col width="16" customWidth="1" style="53" min="16" max="16"/>
    <col width="11" customWidth="1" style="53" min="17" max="17"/>
    <col width="22" customWidth="1" style="53" min="18" max="18"/>
    <col width="10" customWidth="1" style="53" min="19" max="19"/>
    <col width="9" customWidth="1" style="53" min="20" max="20"/>
    <col width="7" customWidth="1" style="53" min="21" max="21"/>
  </cols>
  <sheetData>
    <row r="1">
      <c r="B1" s="153" t="inlineStr">
        <is>
          <t>WPU Roster Summary</t>
        </is>
      </c>
    </row>
    <row r="2">
      <c r="B2" s="154">
        <f>"Wayside Power Upgrade (BHP 2026)  |  Snapshot "&amp;TEXT(Settings!$C$8,"dddd dd mmmm yyyy")&amp;"  |  change the date on the Dashboard"</f>
        <v/>
      </c>
    </row>
    <row r="4">
      <c r="B4" s="155" t="inlineStr">
        <is>
          <t>CREW TOTALS - HEADCOUNT ON THE SNAPSHOT DATE</t>
        </is>
      </c>
    </row>
    <row r="5">
      <c r="C5" s="125" t="inlineStr">
        <is>
          <t>Crew</t>
        </is>
      </c>
      <c r="D5" s="125" t="inlineStr">
        <is>
          <t>Crew size</t>
        </is>
      </c>
      <c r="E5" s="125" t="inlineStr">
        <is>
          <t>On site</t>
        </is>
      </c>
      <c r="F5" s="125" t="inlineStr">
        <is>
          <t>Travelling</t>
        </is>
      </c>
      <c r="G5" s="125" t="inlineStr">
        <is>
          <t>Off site</t>
        </is>
      </c>
      <c r="H5" s="125" t="inlineStr">
        <is>
          <t>Names on site</t>
        </is>
      </c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</row>
    <row r="6">
      <c r="C6" s="156">
        <f>IFERROR(INDEX(Index!$C$2:$C$202,MATCH(1,Index!$F$2:$F$202,0)),"")</f>
        <v/>
      </c>
      <c r="D6" s="157">
        <f>IF(C6="","",COUNTIF($E$31:$E$180,C6))</f>
        <v/>
      </c>
      <c r="E6" s="157">
        <f>IF(C6="","",COUNTIFS($E$31:$E$180,C6,$O$31:$O$180,"On site"))</f>
        <v/>
      </c>
      <c r="F6" s="157">
        <f>IF(C6="","",COUNTIFS($E$31:$E$180,C6,$O$31:$O$180,"Travel in")+COUNTIFS($E$31:$E$180,C6,$O$31:$O$180,"Travel out"))</f>
        <v/>
      </c>
      <c r="G6" s="157">
        <f>IF(C6="","",D6-E6-F6)</f>
        <v/>
      </c>
      <c r="H6" s="158">
        <f t="array" ref="H6">IF(C6="","",_xlfn.TEXTJOIN(", ",TRUE,IF(($E$31:$E$180=C6)*($O$31:$O$180="On site"),$C$31:$C$180,"")))</f>
        <v/>
      </c>
    </row>
    <row r="7">
      <c r="C7" s="156">
        <f>IFERROR(INDEX(Index!$C$2:$C$202,MATCH(2,Index!$F$2:$F$202,0)),"")</f>
        <v/>
      </c>
      <c r="D7" s="157">
        <f>IF(C7="","",COUNTIF($E$31:$E$180,C7))</f>
        <v/>
      </c>
      <c r="E7" s="157">
        <f>IF(C7="","",COUNTIFS($E$31:$E$180,C7,$O$31:$O$180,"On site"))</f>
        <v/>
      </c>
      <c r="F7" s="157">
        <f>IF(C7="","",COUNTIFS($E$31:$E$180,C7,$O$31:$O$180,"Travel in")+COUNTIFS($E$31:$E$180,C7,$O$31:$O$180,"Travel out"))</f>
        <v/>
      </c>
      <c r="G7" s="157">
        <f>IF(C7="","",D7-E7-F7)</f>
        <v/>
      </c>
      <c r="H7" s="158">
        <f t="array" ref="H7">IF(C7="","",_xlfn.TEXTJOIN(", ",TRUE,IF(($E$31:$E$180=C7)*($O$31:$O$180="On site"),$C$31:$C$180,"")))</f>
        <v/>
      </c>
    </row>
    <row r="8">
      <c r="C8" s="156">
        <f>IFERROR(INDEX(Index!$C$2:$C$202,MATCH(3,Index!$F$2:$F$202,0)),"")</f>
        <v/>
      </c>
      <c r="D8" s="157">
        <f>IF(C8="","",COUNTIF($E$31:$E$180,C8))</f>
        <v/>
      </c>
      <c r="E8" s="157">
        <f>IF(C8="","",COUNTIFS($E$31:$E$180,C8,$O$31:$O$180,"On site"))</f>
        <v/>
      </c>
      <c r="F8" s="157">
        <f>IF(C8="","",COUNTIFS($E$31:$E$180,C8,$O$31:$O$180,"Travel in")+COUNTIFS($E$31:$E$180,C8,$O$31:$O$180,"Travel out"))</f>
        <v/>
      </c>
      <c r="G8" s="157">
        <f>IF(C8="","",D8-E8-F8)</f>
        <v/>
      </c>
      <c r="H8" s="158">
        <f t="array" ref="H8">IF(C8="","",_xlfn.TEXTJOIN(", ",TRUE,IF(($E$31:$E$180=C8)*($O$31:$O$180="On site"),$C$31:$C$180,"")))</f>
        <v/>
      </c>
    </row>
    <row r="9">
      <c r="C9" s="156">
        <f>IFERROR(INDEX(Index!$C$2:$C$202,MATCH(4,Index!$F$2:$F$202,0)),"")</f>
        <v/>
      </c>
      <c r="D9" s="157">
        <f>IF(C9="","",COUNTIF($E$31:$E$180,C9))</f>
        <v/>
      </c>
      <c r="E9" s="157">
        <f>IF(C9="","",COUNTIFS($E$31:$E$180,C9,$O$31:$O$180,"On site"))</f>
        <v/>
      </c>
      <c r="F9" s="157">
        <f>IF(C9="","",COUNTIFS($E$31:$E$180,C9,$O$31:$O$180,"Travel in")+COUNTIFS($E$31:$E$180,C9,$O$31:$O$180,"Travel out"))</f>
        <v/>
      </c>
      <c r="G9" s="157">
        <f>IF(C9="","",D9-E9-F9)</f>
        <v/>
      </c>
      <c r="H9" s="158">
        <f t="array" ref="H9">IF(C9="","",_xlfn.TEXTJOIN(", ",TRUE,IF(($E$31:$E$180=C9)*($O$31:$O$180="On site"),$C$31:$C$180,"")))</f>
        <v/>
      </c>
    </row>
    <row r="10">
      <c r="C10" s="156">
        <f>IFERROR(INDEX(Index!$C$2:$C$202,MATCH(5,Index!$F$2:$F$202,0)),"")</f>
        <v/>
      </c>
      <c r="D10" s="157">
        <f>IF(C10="","",COUNTIF($E$31:$E$180,C10))</f>
        <v/>
      </c>
      <c r="E10" s="157">
        <f>IF(C10="","",COUNTIFS($E$31:$E$180,C10,$O$31:$O$180,"On site"))</f>
        <v/>
      </c>
      <c r="F10" s="157">
        <f>IF(C10="","",COUNTIFS($E$31:$E$180,C10,$O$31:$O$180,"Travel in")+COUNTIFS($E$31:$E$180,C10,$O$31:$O$180,"Travel out"))</f>
        <v/>
      </c>
      <c r="G10" s="157">
        <f>IF(C10="","",D10-E10-F10)</f>
        <v/>
      </c>
      <c r="H10" s="158">
        <f t="array" ref="H10">IF(C10="","",_xlfn.TEXTJOIN(", ",TRUE,IF(($E$31:$E$180=C10)*($O$31:$O$180="On site"),$C$31:$C$180,"")))</f>
        <v/>
      </c>
    </row>
    <row r="11">
      <c r="C11" s="156">
        <f>IFERROR(INDEX(Index!$C$2:$C$202,MATCH(6,Index!$F$2:$F$202,0)),"")</f>
        <v/>
      </c>
      <c r="D11" s="157">
        <f>IF(C11="","",COUNTIF($E$31:$E$180,C11))</f>
        <v/>
      </c>
      <c r="E11" s="157">
        <f>IF(C11="","",COUNTIFS($E$31:$E$180,C11,$O$31:$O$180,"On site"))</f>
        <v/>
      </c>
      <c r="F11" s="157">
        <f>IF(C11="","",COUNTIFS($E$31:$E$180,C11,$O$31:$O$180,"Travel in")+COUNTIFS($E$31:$E$180,C11,$O$31:$O$180,"Travel out"))</f>
        <v/>
      </c>
      <c r="G11" s="157">
        <f>IF(C11="","",D11-E11-F11)</f>
        <v/>
      </c>
      <c r="H11" s="158">
        <f t="array" ref="H11">IF(C11="","",_xlfn.TEXTJOIN(", ",TRUE,IF(($E$31:$E$180=C11)*($O$31:$O$180="On site"),$C$31:$C$180,"")))</f>
        <v/>
      </c>
    </row>
    <row r="12">
      <c r="C12" s="156">
        <f>IFERROR(INDEX(Index!$C$2:$C$202,MATCH(7,Index!$F$2:$F$202,0)),"")</f>
        <v/>
      </c>
      <c r="D12" s="157">
        <f>IF(C12="","",COUNTIF($E$31:$E$180,C12))</f>
        <v/>
      </c>
      <c r="E12" s="157">
        <f>IF(C12="","",COUNTIFS($E$31:$E$180,C12,$O$31:$O$180,"On site"))</f>
        <v/>
      </c>
      <c r="F12" s="157">
        <f>IF(C12="","",COUNTIFS($E$31:$E$180,C12,$O$31:$O$180,"Travel in")+COUNTIFS($E$31:$E$180,C12,$O$31:$O$180,"Travel out"))</f>
        <v/>
      </c>
      <c r="G12" s="157">
        <f>IF(C12="","",D12-E12-F12)</f>
        <v/>
      </c>
      <c r="H12" s="158">
        <f t="array" ref="H12">IF(C12="","",_xlfn.TEXTJOIN(", ",TRUE,IF(($E$31:$E$180=C12)*($O$31:$O$180="On site"),$C$31:$C$180,"")))</f>
        <v/>
      </c>
    </row>
    <row r="13">
      <c r="C13" s="156">
        <f>IFERROR(INDEX(Index!$C$2:$C$202,MATCH(8,Index!$F$2:$F$202,0)),"")</f>
        <v/>
      </c>
      <c r="D13" s="157">
        <f>IF(C13="","",COUNTIF($E$31:$E$180,C13))</f>
        <v/>
      </c>
      <c r="E13" s="157">
        <f>IF(C13="","",COUNTIFS($E$31:$E$180,C13,$O$31:$O$180,"On site"))</f>
        <v/>
      </c>
      <c r="F13" s="157">
        <f>IF(C13="","",COUNTIFS($E$31:$E$180,C13,$O$31:$O$180,"Travel in")+COUNTIFS($E$31:$E$180,C13,$O$31:$O$180,"Travel out"))</f>
        <v/>
      </c>
      <c r="G13" s="157">
        <f>IF(C13="","",D13-E13-F13)</f>
        <v/>
      </c>
      <c r="H13" s="158">
        <f t="array" ref="H13">IF(C13="","",_xlfn.TEXTJOIN(", ",TRUE,IF(($E$31:$E$180=C13)*($O$31:$O$180="On site"),$C$31:$C$180,"")))</f>
        <v/>
      </c>
    </row>
    <row r="14">
      <c r="C14" s="156">
        <f>IFERROR(INDEX(Index!$C$2:$C$202,MATCH(9,Index!$F$2:$F$202,0)),"")</f>
        <v/>
      </c>
      <c r="D14" s="157">
        <f>IF(C14="","",COUNTIF($E$31:$E$180,C14))</f>
        <v/>
      </c>
      <c r="E14" s="157">
        <f>IF(C14="","",COUNTIFS($E$31:$E$180,C14,$O$31:$O$180,"On site"))</f>
        <v/>
      </c>
      <c r="F14" s="157">
        <f>IF(C14="","",COUNTIFS($E$31:$E$180,C14,$O$31:$O$180,"Travel in")+COUNTIFS($E$31:$E$180,C14,$O$31:$O$180,"Travel out"))</f>
        <v/>
      </c>
      <c r="G14" s="157">
        <f>IF(C14="","",D14-E14-F14)</f>
        <v/>
      </c>
      <c r="H14" s="158">
        <f t="array" ref="H14">IF(C14="","",_xlfn.TEXTJOIN(", ",TRUE,IF(($E$31:$E$180=C14)*($O$31:$O$180="On site"),$C$31:$C$180,"")))</f>
        <v/>
      </c>
    </row>
    <row r="15">
      <c r="C15" s="156">
        <f>IFERROR(INDEX(Index!$C$2:$C$202,MATCH(10,Index!$F$2:$F$202,0)),"")</f>
        <v/>
      </c>
      <c r="D15" s="157">
        <f>IF(C15="","",COUNTIF($E$31:$E$180,C15))</f>
        <v/>
      </c>
      <c r="E15" s="157">
        <f>IF(C15="","",COUNTIFS($E$31:$E$180,C15,$O$31:$O$180,"On site"))</f>
        <v/>
      </c>
      <c r="F15" s="157">
        <f>IF(C15="","",COUNTIFS($E$31:$E$180,C15,$O$31:$O$180,"Travel in")+COUNTIFS($E$31:$E$180,C15,$O$31:$O$180,"Travel out"))</f>
        <v/>
      </c>
      <c r="G15" s="157">
        <f>IF(C15="","",D15-E15-F15)</f>
        <v/>
      </c>
      <c r="H15" s="158">
        <f t="array" ref="H15">IF(C15="","",_xlfn.TEXTJOIN(", ",TRUE,IF(($E$31:$E$180=C15)*($O$31:$O$180="On site"),$C$31:$C$180,"")))</f>
        <v/>
      </c>
    </row>
    <row r="16">
      <c r="C16" s="156">
        <f>IFERROR(INDEX(Index!$C$2:$C$202,MATCH(11,Index!$F$2:$F$202,0)),"")</f>
        <v/>
      </c>
      <c r="D16" s="157">
        <f>IF(C16="","",COUNTIF($E$31:$E$180,C16))</f>
        <v/>
      </c>
      <c r="E16" s="157">
        <f>IF(C16="","",COUNTIFS($E$31:$E$180,C16,$O$31:$O$180,"On site"))</f>
        <v/>
      </c>
      <c r="F16" s="157">
        <f>IF(C16="","",COUNTIFS($E$31:$E$180,C16,$O$31:$O$180,"Travel in")+COUNTIFS($E$31:$E$180,C16,$O$31:$O$180,"Travel out"))</f>
        <v/>
      </c>
      <c r="G16" s="157">
        <f>IF(C16="","",D16-E16-F16)</f>
        <v/>
      </c>
      <c r="H16" s="158">
        <f t="array" ref="H16">IF(C16="","",_xlfn.TEXTJOIN(", ",TRUE,IF(($E$31:$E$180=C16)*($O$31:$O$180="On site"),$C$31:$C$180,"")))</f>
        <v/>
      </c>
    </row>
    <row r="17">
      <c r="C17" s="156">
        <f>IFERROR(INDEX(Index!$C$2:$C$202,MATCH(12,Index!$F$2:$F$202,0)),"")</f>
        <v/>
      </c>
      <c r="D17" s="157">
        <f>IF(C17="","",COUNTIF($E$31:$E$180,C17))</f>
        <v/>
      </c>
      <c r="E17" s="157">
        <f>IF(C17="","",COUNTIFS($E$31:$E$180,C17,$O$31:$O$180,"On site"))</f>
        <v/>
      </c>
      <c r="F17" s="157">
        <f>IF(C17="","",COUNTIFS($E$31:$E$180,C17,$O$31:$O$180,"Travel in")+COUNTIFS($E$31:$E$180,C17,$O$31:$O$180,"Travel out"))</f>
        <v/>
      </c>
      <c r="G17" s="157">
        <f>IF(C17="","",D17-E17-F17)</f>
        <v/>
      </c>
      <c r="H17" s="158">
        <f t="array" ref="H17">IF(C17="","",_xlfn.TEXTJOIN(", ",TRUE,IF(($E$31:$E$180=C17)*($O$31:$O$180="On site"),$C$31:$C$180,"")))</f>
        <v/>
      </c>
    </row>
    <row r="18">
      <c r="C18" s="156">
        <f>IFERROR(INDEX(Index!$C$2:$C$202,MATCH(13,Index!$F$2:$F$202,0)),"")</f>
        <v/>
      </c>
      <c r="D18" s="157">
        <f>IF(C18="","",COUNTIF($E$31:$E$180,C18))</f>
        <v/>
      </c>
      <c r="E18" s="157">
        <f>IF(C18="","",COUNTIFS($E$31:$E$180,C18,$O$31:$O$180,"On site"))</f>
        <v/>
      </c>
      <c r="F18" s="157">
        <f>IF(C18="","",COUNTIFS($E$31:$E$180,C18,$O$31:$O$180,"Travel in")+COUNTIFS($E$31:$E$180,C18,$O$31:$O$180,"Travel out"))</f>
        <v/>
      </c>
      <c r="G18" s="157">
        <f>IF(C18="","",D18-E18-F18)</f>
        <v/>
      </c>
      <c r="H18" s="158">
        <f t="array" ref="H18">IF(C18="","",_xlfn.TEXTJOIN(", ",TRUE,IF(($E$31:$E$180=C18)*($O$31:$O$180="On site"),$C$31:$C$180,"")))</f>
        <v/>
      </c>
    </row>
    <row r="19">
      <c r="C19" s="156">
        <f>IFERROR(INDEX(Index!$C$2:$C$202,MATCH(14,Index!$F$2:$F$202,0)),"")</f>
        <v/>
      </c>
      <c r="D19" s="157">
        <f>IF(C19="","",COUNTIF($E$31:$E$180,C19))</f>
        <v/>
      </c>
      <c r="E19" s="157">
        <f>IF(C19="","",COUNTIFS($E$31:$E$180,C19,$O$31:$O$180,"On site"))</f>
        <v/>
      </c>
      <c r="F19" s="157">
        <f>IF(C19="","",COUNTIFS($E$31:$E$180,C19,$O$31:$O$180,"Travel in")+COUNTIFS($E$31:$E$180,C19,$O$31:$O$180,"Travel out"))</f>
        <v/>
      </c>
      <c r="G19" s="157">
        <f>IF(C19="","",D19-E19-F19)</f>
        <v/>
      </c>
      <c r="H19" s="158">
        <f t="array" ref="H19">IF(C19="","",_xlfn.TEXTJOIN(", ",TRUE,IF(($E$31:$E$180=C19)*($O$31:$O$180="On site"),$C$31:$C$180,"")))</f>
        <v/>
      </c>
    </row>
    <row r="20">
      <c r="C20" s="156">
        <f>IFERROR(INDEX(Index!$C$2:$C$202,MATCH(15,Index!$F$2:$F$202,0)),"")</f>
        <v/>
      </c>
      <c r="D20" s="157">
        <f>IF(C20="","",COUNTIF($E$31:$E$180,C20))</f>
        <v/>
      </c>
      <c r="E20" s="157">
        <f>IF(C20="","",COUNTIFS($E$31:$E$180,C20,$O$31:$O$180,"On site"))</f>
        <v/>
      </c>
      <c r="F20" s="157">
        <f>IF(C20="","",COUNTIFS($E$31:$E$180,C20,$O$31:$O$180,"Travel in")+COUNTIFS($E$31:$E$180,C20,$O$31:$O$180,"Travel out"))</f>
        <v/>
      </c>
      <c r="G20" s="157">
        <f>IF(C20="","",D20-E20-F20)</f>
        <v/>
      </c>
      <c r="H20" s="158">
        <f t="array" ref="H20">IF(C20="","",_xlfn.TEXTJOIN(", ",TRUE,IF(($E$31:$E$180=C20)*($O$31:$O$180="On site"),$C$31:$C$180,"")))</f>
        <v/>
      </c>
    </row>
    <row r="21">
      <c r="C21" s="156">
        <f>IFERROR(INDEX(Index!$C$2:$C$202,MATCH(16,Index!$F$2:$F$202,0)),"")</f>
        <v/>
      </c>
      <c r="D21" s="157">
        <f>IF(C21="","",COUNTIF($E$31:$E$180,C21))</f>
        <v/>
      </c>
      <c r="E21" s="157">
        <f>IF(C21="","",COUNTIFS($E$31:$E$180,C21,$O$31:$O$180,"On site"))</f>
        <v/>
      </c>
      <c r="F21" s="157">
        <f>IF(C21="","",COUNTIFS($E$31:$E$180,C21,$O$31:$O$180,"Travel in")+COUNTIFS($E$31:$E$180,C21,$O$31:$O$180,"Travel out"))</f>
        <v/>
      </c>
      <c r="G21" s="157">
        <f>IF(C21="","",D21-E21-F21)</f>
        <v/>
      </c>
      <c r="H21" s="158">
        <f t="array" ref="H21">IF(C21="","",_xlfn.TEXTJOIN(", ",TRUE,IF(($E$31:$E$180=C21)*($O$31:$O$180="On site"),$C$31:$C$180,"")))</f>
        <v/>
      </c>
    </row>
    <row r="22">
      <c r="C22" s="156">
        <f>IFERROR(INDEX(Index!$C$2:$C$202,MATCH(17,Index!$F$2:$F$202,0)),"")</f>
        <v/>
      </c>
      <c r="D22" s="157">
        <f>IF(C22="","",COUNTIF($E$31:$E$180,C22))</f>
        <v/>
      </c>
      <c r="E22" s="157">
        <f>IF(C22="","",COUNTIFS($E$31:$E$180,C22,$O$31:$O$180,"On site"))</f>
        <v/>
      </c>
      <c r="F22" s="157">
        <f>IF(C22="","",COUNTIFS($E$31:$E$180,C22,$O$31:$O$180,"Travel in")+COUNTIFS($E$31:$E$180,C22,$O$31:$O$180,"Travel out"))</f>
        <v/>
      </c>
      <c r="G22" s="157">
        <f>IF(C22="","",D22-E22-F22)</f>
        <v/>
      </c>
      <c r="H22" s="158">
        <f t="array" ref="H22">IF(C22="","",_xlfn.TEXTJOIN(", ",TRUE,IF(($E$31:$E$180=C22)*($O$31:$O$180="On site"),$C$31:$C$180,"")))</f>
        <v/>
      </c>
    </row>
    <row r="23">
      <c r="C23" s="156">
        <f>IFERROR(INDEX(Index!$C$2:$C$202,MATCH(18,Index!$F$2:$F$202,0)),"")</f>
        <v/>
      </c>
      <c r="D23" s="157">
        <f>IF(C23="","",COUNTIF($E$31:$E$180,C23))</f>
        <v/>
      </c>
      <c r="E23" s="157">
        <f>IF(C23="","",COUNTIFS($E$31:$E$180,C23,$O$31:$O$180,"On site"))</f>
        <v/>
      </c>
      <c r="F23" s="157">
        <f>IF(C23="","",COUNTIFS($E$31:$E$180,C23,$O$31:$O$180,"Travel in")+COUNTIFS($E$31:$E$180,C23,$O$31:$O$180,"Travel out"))</f>
        <v/>
      </c>
      <c r="G23" s="157">
        <f>IF(C23="","",D23-E23-F23)</f>
        <v/>
      </c>
      <c r="H23" s="158">
        <f t="array" ref="H23">IF(C23="","",_xlfn.TEXTJOIN(", ",TRUE,IF(($E$31:$E$180=C23)*($O$31:$O$180="On site"),$C$31:$C$180,"")))</f>
        <v/>
      </c>
    </row>
    <row r="24">
      <c r="C24" s="156">
        <f>IFERROR(INDEX(Index!$C$2:$C$202,MATCH(19,Index!$F$2:$F$202,0)),"")</f>
        <v/>
      </c>
      <c r="D24" s="157">
        <f>IF(C24="","",COUNTIF($E$31:$E$180,C24))</f>
        <v/>
      </c>
      <c r="E24" s="157">
        <f>IF(C24="","",COUNTIFS($E$31:$E$180,C24,$O$31:$O$180,"On site"))</f>
        <v/>
      </c>
      <c r="F24" s="157">
        <f>IF(C24="","",COUNTIFS($E$31:$E$180,C24,$O$31:$O$180,"Travel in")+COUNTIFS($E$31:$E$180,C24,$O$31:$O$180,"Travel out"))</f>
        <v/>
      </c>
      <c r="G24" s="157">
        <f>IF(C24="","",D24-E24-F24)</f>
        <v/>
      </c>
      <c r="H24" s="158">
        <f t="array" ref="H24">IF(C24="","",_xlfn.TEXTJOIN(", ",TRUE,IF(($E$31:$E$180=C24)*($O$31:$O$180="On site"),$C$31:$C$180,"")))</f>
        <v/>
      </c>
    </row>
    <row r="25">
      <c r="C25" s="156">
        <f>IFERROR(INDEX(Index!$C$2:$C$202,MATCH(20,Index!$F$2:$F$202,0)),"")</f>
        <v/>
      </c>
      <c r="D25" s="157">
        <f>IF(C25="","",COUNTIF($E$31:$E$180,C25))</f>
        <v/>
      </c>
      <c r="E25" s="157">
        <f>IF(C25="","",COUNTIFS($E$31:$E$180,C25,$O$31:$O$180,"On site"))</f>
        <v/>
      </c>
      <c r="F25" s="157">
        <f>IF(C25="","",COUNTIFS($E$31:$E$180,C25,$O$31:$O$180,"Travel in")+COUNTIFS($E$31:$E$180,C25,$O$31:$O$180,"Travel out"))</f>
        <v/>
      </c>
      <c r="G25" s="157">
        <f>IF(C25="","",D25-E25-F25)</f>
        <v/>
      </c>
      <c r="H25" s="158">
        <f t="array" ref="H25">IF(C25="","",_xlfn.TEXTJOIN(", ",TRUE,IF(($E$31:$E$180=C25)*($O$31:$O$180="On site"),$C$31:$C$180,"")))</f>
        <v/>
      </c>
    </row>
    <row r="26">
      <c r="C26" s="159" t="inlineStr">
        <is>
          <t>TOTAL WORKFORCE</t>
        </is>
      </c>
      <c r="D26" s="159">
        <f>SUMIF($C$6:$C$25,"&lt;&gt;*demob*",D6:D25)</f>
        <v/>
      </c>
      <c r="E26" s="159">
        <f>SUMIF($C$6:$C$25,"&lt;&gt;*demob*",E6:E25)</f>
        <v/>
      </c>
      <c r="F26" s="159">
        <f>SUMIF($C$6:$C$25,"&lt;&gt;*demob*",F6:F25)</f>
        <v/>
      </c>
      <c r="G26" s="159">
        <f>SUMIF($C$6:$C$25,"&lt;&gt;*demob*",G6:G25)</f>
        <v/>
      </c>
      <c r="H26" s="132" t="inlineStr">
        <is>
          <t>(excludes Demobilised)</t>
        </is>
      </c>
    </row>
    <row r="28">
      <c r="B28" s="155" t="inlineStr">
        <is>
          <t>INDIVIDUAL STATUS - SNAPSHOT DATE</t>
        </is>
      </c>
    </row>
    <row r="30" ht="30" customHeight="1" s="53">
      <c r="B30" s="125" t="inlineStr">
        <is>
          <t>#</t>
        </is>
      </c>
      <c r="C30" s="125" t="inlineStr">
        <is>
          <t>Name</t>
        </is>
      </c>
      <c r="D30" s="125" t="inlineStr">
        <is>
          <t>Company</t>
        </is>
      </c>
      <c r="E30" s="125" t="inlineStr">
        <is>
          <t>Crew</t>
        </is>
      </c>
      <c r="F30" s="125" t="inlineStr">
        <is>
          <t>Role</t>
        </is>
      </c>
      <c r="G30" s="125" t="inlineStr">
        <is>
          <t>POH</t>
        </is>
      </c>
      <c r="H30" s="125" t="inlineStr">
        <is>
          <t>Roster</t>
        </is>
      </c>
      <c r="I30" s="125" t="inlineStr">
        <is>
          <t>Mobile</t>
        </is>
      </c>
      <c r="J30" s="125" t="inlineStr">
        <is>
          <t>ERMS profile</t>
        </is>
      </c>
      <c r="K30" s="125" t="inlineStr">
        <is>
          <t>LMS inductions</t>
        </is>
      </c>
      <c r="L30" s="125" t="inlineStr">
        <is>
          <t>Site access</t>
        </is>
      </c>
      <c r="M30" s="125" t="inlineStr">
        <is>
          <t>Quals status</t>
        </is>
      </c>
      <c r="N30" s="125" t="inlineStr">
        <is>
          <t>Today - roster entry</t>
        </is>
      </c>
      <c r="O30" s="125" t="inlineStr">
        <is>
          <t>Today - status</t>
        </is>
      </c>
      <c r="P30" s="125" t="inlineStr">
        <is>
          <t>Today - camp</t>
        </is>
      </c>
      <c r="Q30" s="125" t="inlineStr">
        <is>
          <t>Next travel date</t>
        </is>
      </c>
      <c r="R30" s="125" t="inlineStr">
        <is>
          <t>Next travel</t>
        </is>
      </c>
      <c r="S30" s="125" t="inlineStr">
        <is>
          <t>BHP access active</t>
        </is>
      </c>
      <c r="T30" s="125" t="inlineStr">
        <is>
          <t>Access / quals gap</t>
        </is>
      </c>
      <c r="U30" s="125" t="inlineStr">
        <is>
          <t>In filter</t>
        </is>
      </c>
    </row>
    <row r="31">
      <c r="B31" s="160">
        <f>IF(Grid!$B3="","",1)</f>
        <v/>
      </c>
      <c r="C31" s="161">
        <f>IF(Grid!$B3="","",TRIM(INDEX('INPUT - Roster'!$F$1:$F$206,Grid!$B3)&amp;""))</f>
        <v/>
      </c>
      <c r="D31" s="158">
        <f>IF(Grid!$B3="","",TRIM(INDEX('INPUT - Roster'!$C$1:$C$206,Grid!$B3)&amp;""))</f>
        <v/>
      </c>
      <c r="E31" s="158">
        <f>IF(Grid!$B3="","",INDEX(Index!$C$2:$C$202,MATCH(Grid!$B3,Index!$A$2:$A$202,0)))</f>
        <v/>
      </c>
      <c r="F31" s="158">
        <f>IF(Grid!$B3="","",TRIM(INDEX('INPUT - Roster'!$H$1:$H$206,Grid!$B3)&amp;""))</f>
        <v/>
      </c>
      <c r="G31" s="160">
        <f>IF(Grid!$B3="","",TRIM(INDEX('INPUT - Roster'!$G$1:$G$206,Grid!$B3)&amp;""))</f>
        <v/>
      </c>
      <c r="H31" s="160">
        <f>IF(Grid!$B3="","",TRIM(INDEX('INPUT - Roster'!$R$1:$R$206,Grid!$B3)&amp;""))</f>
        <v/>
      </c>
      <c r="I31" s="160">
        <f>IF(Grid!$B3="","",TRIM(INDEX('INPUT - Roster'!$O$1:$O$206,Grid!$B3)&amp;""))</f>
        <v/>
      </c>
      <c r="J31" s="160">
        <f>IF(Grid!$B3="","",TRIM(INDEX('INPUT - Roster'!$J$1:$J$206,Grid!$B3)&amp;""))</f>
        <v/>
      </c>
      <c r="K31" s="160">
        <f>IF(Grid!$B3="","",TRIM(INDEX('INPUT - Roster'!$K$1:$K$206,Grid!$B3)&amp;""))</f>
        <v/>
      </c>
      <c r="L31" s="160">
        <f>IF(Grid!$B3="","",TRIM(INDEX('INPUT - Roster'!$L$1:$L$206,Grid!$B3)&amp;""))</f>
        <v/>
      </c>
      <c r="M31" s="160">
        <f>IF(Grid!$B3="","",TRIM(INDEX('INPUT - Roster'!$M$1:$M$206,Grid!$B3)&amp;""))</f>
        <v/>
      </c>
      <c r="N31" s="158">
        <f>Grid!F3</f>
        <v/>
      </c>
      <c r="O31" s="160">
        <f>Grid!AI3</f>
        <v/>
      </c>
      <c r="P31" s="160">
        <f>Grid!BL3</f>
        <v/>
      </c>
      <c r="Q31" s="162">
        <f>IF(Grid!$D3="","",INDEX(Grid!$F$2:$AG$2,Grid!$D3))</f>
        <v/>
      </c>
      <c r="R31" s="158">
        <f>IF(Grid!$D3="","",INDEX(Grid!$F3:$AG3,Grid!$D3))</f>
        <v/>
      </c>
      <c r="S31" s="160">
        <f>IF(Grid!$B3="","",IFERROR(TRIM(INDEX('BHP Site Access'!$G$3:$G$104,MATCH(LOWER(TRIM(INDEX('INPUT - Roster'!$D$1:$D$206,Grid!$B3)&amp;"")&amp;"|"&amp;TRIM(INDEX('INPUT - Roster'!$E$1:$E$206,Grid!$B3)&amp;"")),Calc!$AX$3:$AX$104,0))&amp;""),"Not listed"))</f>
        <v/>
      </c>
      <c r="T31" s="160">
        <f>IF(OR(Grid!$B3="",ISNUMBER(SEARCH("demob",E31))),"",IF(AND(UPPER(TRIM(J31&amp;""))="YES",UPPER(TRIM(K31&amp;""))="YES",UPPER(TRIM(L31&amp;""))="YES",LEFT(UPPER(M31),14)="QUALS COMPLETE"),"","GAP"))</f>
        <v/>
      </c>
      <c r="U31" s="163">
        <f>IF(Grid!$B3="",0,IF(AND(OR(Dashboard!$D$9="All",D31=Dashboard!$D$9),OR(Dashboard!$J$9="All",E31=Dashboard!$J$9)),1,0))</f>
        <v/>
      </c>
    </row>
    <row r="32">
      <c r="B32" s="160">
        <f>IF(Grid!$B4="","",2)</f>
        <v/>
      </c>
      <c r="C32" s="161">
        <f>IF(Grid!$B4="","",TRIM(INDEX('INPUT - Roster'!$F$1:$F$206,Grid!$B4)&amp;""))</f>
        <v/>
      </c>
      <c r="D32" s="158">
        <f>IF(Grid!$B4="","",TRIM(INDEX('INPUT - Roster'!$C$1:$C$206,Grid!$B4)&amp;""))</f>
        <v/>
      </c>
      <c r="E32" s="158">
        <f>IF(Grid!$B4="","",INDEX(Index!$C$2:$C$202,MATCH(Grid!$B4,Index!$A$2:$A$202,0)))</f>
        <v/>
      </c>
      <c r="F32" s="158">
        <f>IF(Grid!$B4="","",TRIM(INDEX('INPUT - Roster'!$H$1:$H$206,Grid!$B4)&amp;""))</f>
        <v/>
      </c>
      <c r="G32" s="160">
        <f>IF(Grid!$B4="","",TRIM(INDEX('INPUT - Roster'!$G$1:$G$206,Grid!$B4)&amp;""))</f>
        <v/>
      </c>
      <c r="H32" s="160">
        <f>IF(Grid!$B4="","",TRIM(INDEX('INPUT - Roster'!$R$1:$R$206,Grid!$B4)&amp;""))</f>
        <v/>
      </c>
      <c r="I32" s="160">
        <f>IF(Grid!$B4="","",TRIM(INDEX('INPUT - Roster'!$O$1:$O$206,Grid!$B4)&amp;""))</f>
        <v/>
      </c>
      <c r="J32" s="160">
        <f>IF(Grid!$B4="","",TRIM(INDEX('INPUT - Roster'!$J$1:$J$206,Grid!$B4)&amp;""))</f>
        <v/>
      </c>
      <c r="K32" s="160">
        <f>IF(Grid!$B4="","",TRIM(INDEX('INPUT - Roster'!$K$1:$K$206,Grid!$B4)&amp;""))</f>
        <v/>
      </c>
      <c r="L32" s="160">
        <f>IF(Grid!$B4="","",TRIM(INDEX('INPUT - Roster'!$L$1:$L$206,Grid!$B4)&amp;""))</f>
        <v/>
      </c>
      <c r="M32" s="160">
        <f>IF(Grid!$B4="","",TRIM(INDEX('INPUT - Roster'!$M$1:$M$206,Grid!$B4)&amp;""))</f>
        <v/>
      </c>
      <c r="N32" s="158">
        <f>Grid!F4</f>
        <v/>
      </c>
      <c r="O32" s="160">
        <f>Grid!AI4</f>
        <v/>
      </c>
      <c r="P32" s="160">
        <f>Grid!BL4</f>
        <v/>
      </c>
      <c r="Q32" s="162">
        <f>IF(Grid!$D4="","",INDEX(Grid!$F$2:$AG$2,Grid!$D4))</f>
        <v/>
      </c>
      <c r="R32" s="158">
        <f>IF(Grid!$D4="","",INDEX(Grid!$F4:$AG4,Grid!$D4))</f>
        <v/>
      </c>
      <c r="S32" s="160">
        <f>IF(Grid!$B4="","",IFERROR(TRIM(INDEX('BHP Site Access'!$G$3:$G$104,MATCH(LOWER(TRIM(INDEX('INPUT - Roster'!$D$1:$D$206,Grid!$B4)&amp;"")&amp;"|"&amp;TRIM(INDEX('INPUT - Roster'!$E$1:$E$206,Grid!$B4)&amp;"")),Calc!$AX$3:$AX$104,0))&amp;""),"Not listed"))</f>
        <v/>
      </c>
      <c r="T32" s="160">
        <f>IF(OR(Grid!$B4="",ISNUMBER(SEARCH("demob",E32))),"",IF(AND(UPPER(TRIM(J32&amp;""))="YES",UPPER(TRIM(K32&amp;""))="YES",UPPER(TRIM(L32&amp;""))="YES",LEFT(UPPER(M32),14)="QUALS COMPLETE"),"","GAP"))</f>
        <v/>
      </c>
      <c r="U32" s="163">
        <f>IF(Grid!$B4="",0,IF(AND(OR(Dashboard!$D$9="All",D32=Dashboard!$D$9),OR(Dashboard!$J$9="All",E32=Dashboard!$J$9)),1,0))</f>
        <v/>
      </c>
    </row>
    <row r="33">
      <c r="B33" s="160">
        <f>IF(Grid!$B5="","",3)</f>
        <v/>
      </c>
      <c r="C33" s="161">
        <f>IF(Grid!$B5="","",TRIM(INDEX('INPUT - Roster'!$F$1:$F$206,Grid!$B5)&amp;""))</f>
        <v/>
      </c>
      <c r="D33" s="158">
        <f>IF(Grid!$B5="","",TRIM(INDEX('INPUT - Roster'!$C$1:$C$206,Grid!$B5)&amp;""))</f>
        <v/>
      </c>
      <c r="E33" s="158">
        <f>IF(Grid!$B5="","",INDEX(Index!$C$2:$C$202,MATCH(Grid!$B5,Index!$A$2:$A$202,0)))</f>
        <v/>
      </c>
      <c r="F33" s="158">
        <f>IF(Grid!$B5="","",TRIM(INDEX('INPUT - Roster'!$H$1:$H$206,Grid!$B5)&amp;""))</f>
        <v/>
      </c>
      <c r="G33" s="160">
        <f>IF(Grid!$B5="","",TRIM(INDEX('INPUT - Roster'!$G$1:$G$206,Grid!$B5)&amp;""))</f>
        <v/>
      </c>
      <c r="H33" s="160">
        <f>IF(Grid!$B5="","",TRIM(INDEX('INPUT - Roster'!$R$1:$R$206,Grid!$B5)&amp;""))</f>
        <v/>
      </c>
      <c r="I33" s="160">
        <f>IF(Grid!$B5="","",TRIM(INDEX('INPUT - Roster'!$O$1:$O$206,Grid!$B5)&amp;""))</f>
        <v/>
      </c>
      <c r="J33" s="160">
        <f>IF(Grid!$B5="","",TRIM(INDEX('INPUT - Roster'!$J$1:$J$206,Grid!$B5)&amp;""))</f>
        <v/>
      </c>
      <c r="K33" s="160">
        <f>IF(Grid!$B5="","",TRIM(INDEX('INPUT - Roster'!$K$1:$K$206,Grid!$B5)&amp;""))</f>
        <v/>
      </c>
      <c r="L33" s="160">
        <f>IF(Grid!$B5="","",TRIM(INDEX('INPUT - Roster'!$L$1:$L$206,Grid!$B5)&amp;""))</f>
        <v/>
      </c>
      <c r="M33" s="160">
        <f>IF(Grid!$B5="","",TRIM(INDEX('INPUT - Roster'!$M$1:$M$206,Grid!$B5)&amp;""))</f>
        <v/>
      </c>
      <c r="N33" s="158">
        <f>Grid!F5</f>
        <v/>
      </c>
      <c r="O33" s="160">
        <f>Grid!AI5</f>
        <v/>
      </c>
      <c r="P33" s="160">
        <f>Grid!BL5</f>
        <v/>
      </c>
      <c r="Q33" s="162">
        <f>IF(Grid!$D5="","",INDEX(Grid!$F$2:$AG$2,Grid!$D5))</f>
        <v/>
      </c>
      <c r="R33" s="158">
        <f>IF(Grid!$D5="","",INDEX(Grid!$F5:$AG5,Grid!$D5))</f>
        <v/>
      </c>
      <c r="S33" s="160">
        <f>IF(Grid!$B5="","",IFERROR(TRIM(INDEX('BHP Site Access'!$G$3:$G$104,MATCH(LOWER(TRIM(INDEX('INPUT - Roster'!$D$1:$D$206,Grid!$B5)&amp;"")&amp;"|"&amp;TRIM(INDEX('INPUT - Roster'!$E$1:$E$206,Grid!$B5)&amp;"")),Calc!$AX$3:$AX$104,0))&amp;""),"Not listed"))</f>
        <v/>
      </c>
      <c r="T33" s="160">
        <f>IF(OR(Grid!$B5="",ISNUMBER(SEARCH("demob",E33))),"",IF(AND(UPPER(TRIM(J33&amp;""))="YES",UPPER(TRIM(K33&amp;""))="YES",UPPER(TRIM(L33&amp;""))="YES",LEFT(UPPER(M33),14)="QUALS COMPLETE"),"","GAP"))</f>
        <v/>
      </c>
      <c r="U33" s="163">
        <f>IF(Grid!$B5="",0,IF(AND(OR(Dashboard!$D$9="All",D33=Dashboard!$D$9),OR(Dashboard!$J$9="All",E33=Dashboard!$J$9)),1,0))</f>
        <v/>
      </c>
    </row>
    <row r="34">
      <c r="B34" s="160">
        <f>IF(Grid!$B6="","",4)</f>
        <v/>
      </c>
      <c r="C34" s="161">
        <f>IF(Grid!$B6="","",TRIM(INDEX('INPUT - Roster'!$F$1:$F$206,Grid!$B6)&amp;""))</f>
        <v/>
      </c>
      <c r="D34" s="158">
        <f>IF(Grid!$B6="","",TRIM(INDEX('INPUT - Roster'!$C$1:$C$206,Grid!$B6)&amp;""))</f>
        <v/>
      </c>
      <c r="E34" s="158">
        <f>IF(Grid!$B6="","",INDEX(Index!$C$2:$C$202,MATCH(Grid!$B6,Index!$A$2:$A$202,0)))</f>
        <v/>
      </c>
      <c r="F34" s="158">
        <f>IF(Grid!$B6="","",TRIM(INDEX('INPUT - Roster'!$H$1:$H$206,Grid!$B6)&amp;""))</f>
        <v/>
      </c>
      <c r="G34" s="160">
        <f>IF(Grid!$B6="","",TRIM(INDEX('INPUT - Roster'!$G$1:$G$206,Grid!$B6)&amp;""))</f>
        <v/>
      </c>
      <c r="H34" s="160">
        <f>IF(Grid!$B6="","",TRIM(INDEX('INPUT - Roster'!$R$1:$R$206,Grid!$B6)&amp;""))</f>
        <v/>
      </c>
      <c r="I34" s="160">
        <f>IF(Grid!$B6="","",TRIM(INDEX('INPUT - Roster'!$O$1:$O$206,Grid!$B6)&amp;""))</f>
        <v/>
      </c>
      <c r="J34" s="160">
        <f>IF(Grid!$B6="","",TRIM(INDEX('INPUT - Roster'!$J$1:$J$206,Grid!$B6)&amp;""))</f>
        <v/>
      </c>
      <c r="K34" s="160">
        <f>IF(Grid!$B6="","",TRIM(INDEX('INPUT - Roster'!$K$1:$K$206,Grid!$B6)&amp;""))</f>
        <v/>
      </c>
      <c r="L34" s="160">
        <f>IF(Grid!$B6="","",TRIM(INDEX('INPUT - Roster'!$L$1:$L$206,Grid!$B6)&amp;""))</f>
        <v/>
      </c>
      <c r="M34" s="160">
        <f>IF(Grid!$B6="","",TRIM(INDEX('INPUT - Roster'!$M$1:$M$206,Grid!$B6)&amp;""))</f>
        <v/>
      </c>
      <c r="N34" s="158">
        <f>Grid!F6</f>
        <v/>
      </c>
      <c r="O34" s="160">
        <f>Grid!AI6</f>
        <v/>
      </c>
      <c r="P34" s="160">
        <f>Grid!BL6</f>
        <v/>
      </c>
      <c r="Q34" s="162">
        <f>IF(Grid!$D6="","",INDEX(Grid!$F$2:$AG$2,Grid!$D6))</f>
        <v/>
      </c>
      <c r="R34" s="158">
        <f>IF(Grid!$D6="","",INDEX(Grid!$F6:$AG6,Grid!$D6))</f>
        <v/>
      </c>
      <c r="S34" s="160">
        <f>IF(Grid!$B6="","",IFERROR(TRIM(INDEX('BHP Site Access'!$G$3:$G$104,MATCH(LOWER(TRIM(INDEX('INPUT - Roster'!$D$1:$D$206,Grid!$B6)&amp;"")&amp;"|"&amp;TRIM(INDEX('INPUT - Roster'!$E$1:$E$206,Grid!$B6)&amp;"")),Calc!$AX$3:$AX$104,0))&amp;""),"Not listed"))</f>
        <v/>
      </c>
      <c r="T34" s="160">
        <f>IF(OR(Grid!$B6="",ISNUMBER(SEARCH("demob",E34))),"",IF(AND(UPPER(TRIM(J34&amp;""))="YES",UPPER(TRIM(K34&amp;""))="YES",UPPER(TRIM(L34&amp;""))="YES",LEFT(UPPER(M34),14)="QUALS COMPLETE"),"","GAP"))</f>
        <v/>
      </c>
      <c r="U34" s="163">
        <f>IF(Grid!$B6="",0,IF(AND(OR(Dashboard!$D$9="All",D34=Dashboard!$D$9),OR(Dashboard!$J$9="All",E34=Dashboard!$J$9)),1,0))</f>
        <v/>
      </c>
    </row>
    <row r="35">
      <c r="B35" s="160">
        <f>IF(Grid!$B7="","",5)</f>
        <v/>
      </c>
      <c r="C35" s="161">
        <f>IF(Grid!$B7="","",TRIM(INDEX('INPUT - Roster'!$F$1:$F$206,Grid!$B7)&amp;""))</f>
        <v/>
      </c>
      <c r="D35" s="158">
        <f>IF(Grid!$B7="","",TRIM(INDEX('INPUT - Roster'!$C$1:$C$206,Grid!$B7)&amp;""))</f>
        <v/>
      </c>
      <c r="E35" s="158">
        <f>IF(Grid!$B7="","",INDEX(Index!$C$2:$C$202,MATCH(Grid!$B7,Index!$A$2:$A$202,0)))</f>
        <v/>
      </c>
      <c r="F35" s="158">
        <f>IF(Grid!$B7="","",TRIM(INDEX('INPUT - Roster'!$H$1:$H$206,Grid!$B7)&amp;""))</f>
        <v/>
      </c>
      <c r="G35" s="160">
        <f>IF(Grid!$B7="","",TRIM(INDEX('INPUT - Roster'!$G$1:$G$206,Grid!$B7)&amp;""))</f>
        <v/>
      </c>
      <c r="H35" s="160">
        <f>IF(Grid!$B7="","",TRIM(INDEX('INPUT - Roster'!$R$1:$R$206,Grid!$B7)&amp;""))</f>
        <v/>
      </c>
      <c r="I35" s="160">
        <f>IF(Grid!$B7="","",TRIM(INDEX('INPUT - Roster'!$O$1:$O$206,Grid!$B7)&amp;""))</f>
        <v/>
      </c>
      <c r="J35" s="160">
        <f>IF(Grid!$B7="","",TRIM(INDEX('INPUT - Roster'!$J$1:$J$206,Grid!$B7)&amp;""))</f>
        <v/>
      </c>
      <c r="K35" s="160">
        <f>IF(Grid!$B7="","",TRIM(INDEX('INPUT - Roster'!$K$1:$K$206,Grid!$B7)&amp;""))</f>
        <v/>
      </c>
      <c r="L35" s="160">
        <f>IF(Grid!$B7="","",TRIM(INDEX('INPUT - Roster'!$L$1:$L$206,Grid!$B7)&amp;""))</f>
        <v/>
      </c>
      <c r="M35" s="160">
        <f>IF(Grid!$B7="","",TRIM(INDEX('INPUT - Roster'!$M$1:$M$206,Grid!$B7)&amp;""))</f>
        <v/>
      </c>
      <c r="N35" s="158">
        <f>Grid!F7</f>
        <v/>
      </c>
      <c r="O35" s="160">
        <f>Grid!AI7</f>
        <v/>
      </c>
      <c r="P35" s="160">
        <f>Grid!BL7</f>
        <v/>
      </c>
      <c r="Q35" s="162">
        <f>IF(Grid!$D7="","",INDEX(Grid!$F$2:$AG$2,Grid!$D7))</f>
        <v/>
      </c>
      <c r="R35" s="158">
        <f>IF(Grid!$D7="","",INDEX(Grid!$F7:$AG7,Grid!$D7))</f>
        <v/>
      </c>
      <c r="S35" s="160">
        <f>IF(Grid!$B7="","",IFERROR(TRIM(INDEX('BHP Site Access'!$G$3:$G$104,MATCH(LOWER(TRIM(INDEX('INPUT - Roster'!$D$1:$D$206,Grid!$B7)&amp;"")&amp;"|"&amp;TRIM(INDEX('INPUT - Roster'!$E$1:$E$206,Grid!$B7)&amp;"")),Calc!$AX$3:$AX$104,0))&amp;""),"Not listed"))</f>
        <v/>
      </c>
      <c r="T35" s="160">
        <f>IF(OR(Grid!$B7="",ISNUMBER(SEARCH("demob",E35))),"",IF(AND(UPPER(TRIM(J35&amp;""))="YES",UPPER(TRIM(K35&amp;""))="YES",UPPER(TRIM(L35&amp;""))="YES",LEFT(UPPER(M35),14)="QUALS COMPLETE"),"","GAP"))</f>
        <v/>
      </c>
      <c r="U35" s="163">
        <f>IF(Grid!$B7="",0,IF(AND(OR(Dashboard!$D$9="All",D35=Dashboard!$D$9),OR(Dashboard!$J$9="All",E35=Dashboard!$J$9)),1,0))</f>
        <v/>
      </c>
    </row>
    <row r="36">
      <c r="B36" s="160">
        <f>IF(Grid!$B8="","",6)</f>
        <v/>
      </c>
      <c r="C36" s="161">
        <f>IF(Grid!$B8="","",TRIM(INDEX('INPUT - Roster'!$F$1:$F$206,Grid!$B8)&amp;""))</f>
        <v/>
      </c>
      <c r="D36" s="158">
        <f>IF(Grid!$B8="","",TRIM(INDEX('INPUT - Roster'!$C$1:$C$206,Grid!$B8)&amp;""))</f>
        <v/>
      </c>
      <c r="E36" s="158">
        <f>IF(Grid!$B8="","",INDEX(Index!$C$2:$C$202,MATCH(Grid!$B8,Index!$A$2:$A$202,0)))</f>
        <v/>
      </c>
      <c r="F36" s="158">
        <f>IF(Grid!$B8="","",TRIM(INDEX('INPUT - Roster'!$H$1:$H$206,Grid!$B8)&amp;""))</f>
        <v/>
      </c>
      <c r="G36" s="160">
        <f>IF(Grid!$B8="","",TRIM(INDEX('INPUT - Roster'!$G$1:$G$206,Grid!$B8)&amp;""))</f>
        <v/>
      </c>
      <c r="H36" s="160">
        <f>IF(Grid!$B8="","",TRIM(INDEX('INPUT - Roster'!$R$1:$R$206,Grid!$B8)&amp;""))</f>
        <v/>
      </c>
      <c r="I36" s="160">
        <f>IF(Grid!$B8="","",TRIM(INDEX('INPUT - Roster'!$O$1:$O$206,Grid!$B8)&amp;""))</f>
        <v/>
      </c>
      <c r="J36" s="160">
        <f>IF(Grid!$B8="","",TRIM(INDEX('INPUT - Roster'!$J$1:$J$206,Grid!$B8)&amp;""))</f>
        <v/>
      </c>
      <c r="K36" s="160">
        <f>IF(Grid!$B8="","",TRIM(INDEX('INPUT - Roster'!$K$1:$K$206,Grid!$B8)&amp;""))</f>
        <v/>
      </c>
      <c r="L36" s="160">
        <f>IF(Grid!$B8="","",TRIM(INDEX('INPUT - Roster'!$L$1:$L$206,Grid!$B8)&amp;""))</f>
        <v/>
      </c>
      <c r="M36" s="160">
        <f>IF(Grid!$B8="","",TRIM(INDEX('INPUT - Roster'!$M$1:$M$206,Grid!$B8)&amp;""))</f>
        <v/>
      </c>
      <c r="N36" s="158">
        <f>Grid!F8</f>
        <v/>
      </c>
      <c r="O36" s="160">
        <f>Grid!AI8</f>
        <v/>
      </c>
      <c r="P36" s="160">
        <f>Grid!BL8</f>
        <v/>
      </c>
      <c r="Q36" s="162">
        <f>IF(Grid!$D8="","",INDEX(Grid!$F$2:$AG$2,Grid!$D8))</f>
        <v/>
      </c>
      <c r="R36" s="158">
        <f>IF(Grid!$D8="","",INDEX(Grid!$F8:$AG8,Grid!$D8))</f>
        <v/>
      </c>
      <c r="S36" s="160">
        <f>IF(Grid!$B8="","",IFERROR(TRIM(INDEX('BHP Site Access'!$G$3:$G$104,MATCH(LOWER(TRIM(INDEX('INPUT - Roster'!$D$1:$D$206,Grid!$B8)&amp;"")&amp;"|"&amp;TRIM(INDEX('INPUT - Roster'!$E$1:$E$206,Grid!$B8)&amp;"")),Calc!$AX$3:$AX$104,0))&amp;""),"Not listed"))</f>
        <v/>
      </c>
      <c r="T36" s="160">
        <f>IF(OR(Grid!$B8="",ISNUMBER(SEARCH("demob",E36))),"",IF(AND(UPPER(TRIM(J36&amp;""))="YES",UPPER(TRIM(K36&amp;""))="YES",UPPER(TRIM(L36&amp;""))="YES",LEFT(UPPER(M36),14)="QUALS COMPLETE"),"","GAP"))</f>
        <v/>
      </c>
      <c r="U36" s="163">
        <f>IF(Grid!$B8="",0,IF(AND(OR(Dashboard!$D$9="All",D36=Dashboard!$D$9),OR(Dashboard!$J$9="All",E36=Dashboard!$J$9)),1,0))</f>
        <v/>
      </c>
    </row>
    <row r="37">
      <c r="B37" s="160">
        <f>IF(Grid!$B9="","",7)</f>
        <v/>
      </c>
      <c r="C37" s="161">
        <f>IF(Grid!$B9="","",TRIM(INDEX('INPUT - Roster'!$F$1:$F$206,Grid!$B9)&amp;""))</f>
        <v/>
      </c>
      <c r="D37" s="158">
        <f>IF(Grid!$B9="","",TRIM(INDEX('INPUT - Roster'!$C$1:$C$206,Grid!$B9)&amp;""))</f>
        <v/>
      </c>
      <c r="E37" s="158">
        <f>IF(Grid!$B9="","",INDEX(Index!$C$2:$C$202,MATCH(Grid!$B9,Index!$A$2:$A$202,0)))</f>
        <v/>
      </c>
      <c r="F37" s="158">
        <f>IF(Grid!$B9="","",TRIM(INDEX('INPUT - Roster'!$H$1:$H$206,Grid!$B9)&amp;""))</f>
        <v/>
      </c>
      <c r="G37" s="160">
        <f>IF(Grid!$B9="","",TRIM(INDEX('INPUT - Roster'!$G$1:$G$206,Grid!$B9)&amp;""))</f>
        <v/>
      </c>
      <c r="H37" s="160">
        <f>IF(Grid!$B9="","",TRIM(INDEX('INPUT - Roster'!$R$1:$R$206,Grid!$B9)&amp;""))</f>
        <v/>
      </c>
      <c r="I37" s="160">
        <f>IF(Grid!$B9="","",TRIM(INDEX('INPUT - Roster'!$O$1:$O$206,Grid!$B9)&amp;""))</f>
        <v/>
      </c>
      <c r="J37" s="160">
        <f>IF(Grid!$B9="","",TRIM(INDEX('INPUT - Roster'!$J$1:$J$206,Grid!$B9)&amp;""))</f>
        <v/>
      </c>
      <c r="K37" s="160">
        <f>IF(Grid!$B9="","",TRIM(INDEX('INPUT - Roster'!$K$1:$K$206,Grid!$B9)&amp;""))</f>
        <v/>
      </c>
      <c r="L37" s="160">
        <f>IF(Grid!$B9="","",TRIM(INDEX('INPUT - Roster'!$L$1:$L$206,Grid!$B9)&amp;""))</f>
        <v/>
      </c>
      <c r="M37" s="160">
        <f>IF(Grid!$B9="","",TRIM(INDEX('INPUT - Roster'!$M$1:$M$206,Grid!$B9)&amp;""))</f>
        <v/>
      </c>
      <c r="N37" s="158">
        <f>Grid!F9</f>
        <v/>
      </c>
      <c r="O37" s="160">
        <f>Grid!AI9</f>
        <v/>
      </c>
      <c r="P37" s="160">
        <f>Grid!BL9</f>
        <v/>
      </c>
      <c r="Q37" s="162">
        <f>IF(Grid!$D9="","",INDEX(Grid!$F$2:$AG$2,Grid!$D9))</f>
        <v/>
      </c>
      <c r="R37" s="158">
        <f>IF(Grid!$D9="","",INDEX(Grid!$F9:$AG9,Grid!$D9))</f>
        <v/>
      </c>
      <c r="S37" s="160">
        <f>IF(Grid!$B9="","",IFERROR(TRIM(INDEX('BHP Site Access'!$G$3:$G$104,MATCH(LOWER(TRIM(INDEX('INPUT - Roster'!$D$1:$D$206,Grid!$B9)&amp;"")&amp;"|"&amp;TRIM(INDEX('INPUT - Roster'!$E$1:$E$206,Grid!$B9)&amp;"")),Calc!$AX$3:$AX$104,0))&amp;""),"Not listed"))</f>
        <v/>
      </c>
      <c r="T37" s="160">
        <f>IF(OR(Grid!$B9="",ISNUMBER(SEARCH("demob",E37))),"",IF(AND(UPPER(TRIM(J37&amp;""))="YES",UPPER(TRIM(K37&amp;""))="YES",UPPER(TRIM(L37&amp;""))="YES",LEFT(UPPER(M37),14)="QUALS COMPLETE"),"","GAP"))</f>
        <v/>
      </c>
      <c r="U37" s="163">
        <f>IF(Grid!$B9="",0,IF(AND(OR(Dashboard!$D$9="All",D37=Dashboard!$D$9),OR(Dashboard!$J$9="All",E37=Dashboard!$J$9)),1,0))</f>
        <v/>
      </c>
    </row>
    <row r="38">
      <c r="B38" s="160">
        <f>IF(Grid!$B10="","",8)</f>
        <v/>
      </c>
      <c r="C38" s="161">
        <f>IF(Grid!$B10="","",TRIM(INDEX('INPUT - Roster'!$F$1:$F$206,Grid!$B10)&amp;""))</f>
        <v/>
      </c>
      <c r="D38" s="158">
        <f>IF(Grid!$B10="","",TRIM(INDEX('INPUT - Roster'!$C$1:$C$206,Grid!$B10)&amp;""))</f>
        <v/>
      </c>
      <c r="E38" s="158">
        <f>IF(Grid!$B10="","",INDEX(Index!$C$2:$C$202,MATCH(Grid!$B10,Index!$A$2:$A$202,0)))</f>
        <v/>
      </c>
      <c r="F38" s="158">
        <f>IF(Grid!$B10="","",TRIM(INDEX('INPUT - Roster'!$H$1:$H$206,Grid!$B10)&amp;""))</f>
        <v/>
      </c>
      <c r="G38" s="160">
        <f>IF(Grid!$B10="","",TRIM(INDEX('INPUT - Roster'!$G$1:$G$206,Grid!$B10)&amp;""))</f>
        <v/>
      </c>
      <c r="H38" s="160">
        <f>IF(Grid!$B10="","",TRIM(INDEX('INPUT - Roster'!$R$1:$R$206,Grid!$B10)&amp;""))</f>
        <v/>
      </c>
      <c r="I38" s="160">
        <f>IF(Grid!$B10="","",TRIM(INDEX('INPUT - Roster'!$O$1:$O$206,Grid!$B10)&amp;""))</f>
        <v/>
      </c>
      <c r="J38" s="160">
        <f>IF(Grid!$B10="","",TRIM(INDEX('INPUT - Roster'!$J$1:$J$206,Grid!$B10)&amp;""))</f>
        <v/>
      </c>
      <c r="K38" s="160">
        <f>IF(Grid!$B10="","",TRIM(INDEX('INPUT - Roster'!$K$1:$K$206,Grid!$B10)&amp;""))</f>
        <v/>
      </c>
      <c r="L38" s="160">
        <f>IF(Grid!$B10="","",TRIM(INDEX('INPUT - Roster'!$L$1:$L$206,Grid!$B10)&amp;""))</f>
        <v/>
      </c>
      <c r="M38" s="160">
        <f>IF(Grid!$B10="","",TRIM(INDEX('INPUT - Roster'!$M$1:$M$206,Grid!$B10)&amp;""))</f>
        <v/>
      </c>
      <c r="N38" s="158">
        <f>Grid!F10</f>
        <v/>
      </c>
      <c r="O38" s="160">
        <f>Grid!AI10</f>
        <v/>
      </c>
      <c r="P38" s="160">
        <f>Grid!BL10</f>
        <v/>
      </c>
      <c r="Q38" s="162">
        <f>IF(Grid!$D10="","",INDEX(Grid!$F$2:$AG$2,Grid!$D10))</f>
        <v/>
      </c>
      <c r="R38" s="158">
        <f>IF(Grid!$D10="","",INDEX(Grid!$F10:$AG10,Grid!$D10))</f>
        <v/>
      </c>
      <c r="S38" s="160">
        <f>IF(Grid!$B10="","",IFERROR(TRIM(INDEX('BHP Site Access'!$G$3:$G$104,MATCH(LOWER(TRIM(INDEX('INPUT - Roster'!$D$1:$D$206,Grid!$B10)&amp;"")&amp;"|"&amp;TRIM(INDEX('INPUT - Roster'!$E$1:$E$206,Grid!$B10)&amp;"")),Calc!$AX$3:$AX$104,0))&amp;""),"Not listed"))</f>
        <v/>
      </c>
      <c r="T38" s="160">
        <f>IF(OR(Grid!$B10="",ISNUMBER(SEARCH("demob",E38))),"",IF(AND(UPPER(TRIM(J38&amp;""))="YES",UPPER(TRIM(K38&amp;""))="YES",UPPER(TRIM(L38&amp;""))="YES",LEFT(UPPER(M38),14)="QUALS COMPLETE"),"","GAP"))</f>
        <v/>
      </c>
      <c r="U38" s="163">
        <f>IF(Grid!$B10="",0,IF(AND(OR(Dashboard!$D$9="All",D38=Dashboard!$D$9),OR(Dashboard!$J$9="All",E38=Dashboard!$J$9)),1,0))</f>
        <v/>
      </c>
    </row>
    <row r="39">
      <c r="B39" s="160">
        <f>IF(Grid!$B11="","",9)</f>
        <v/>
      </c>
      <c r="C39" s="161">
        <f>IF(Grid!$B11="","",TRIM(INDEX('INPUT - Roster'!$F$1:$F$206,Grid!$B11)&amp;""))</f>
        <v/>
      </c>
      <c r="D39" s="158">
        <f>IF(Grid!$B11="","",TRIM(INDEX('INPUT - Roster'!$C$1:$C$206,Grid!$B11)&amp;""))</f>
        <v/>
      </c>
      <c r="E39" s="158">
        <f>IF(Grid!$B11="","",INDEX(Index!$C$2:$C$202,MATCH(Grid!$B11,Index!$A$2:$A$202,0)))</f>
        <v/>
      </c>
      <c r="F39" s="158">
        <f>IF(Grid!$B11="","",TRIM(INDEX('INPUT - Roster'!$H$1:$H$206,Grid!$B11)&amp;""))</f>
        <v/>
      </c>
      <c r="G39" s="160">
        <f>IF(Grid!$B11="","",TRIM(INDEX('INPUT - Roster'!$G$1:$G$206,Grid!$B11)&amp;""))</f>
        <v/>
      </c>
      <c r="H39" s="160">
        <f>IF(Grid!$B11="","",TRIM(INDEX('INPUT - Roster'!$R$1:$R$206,Grid!$B11)&amp;""))</f>
        <v/>
      </c>
      <c r="I39" s="160">
        <f>IF(Grid!$B11="","",TRIM(INDEX('INPUT - Roster'!$O$1:$O$206,Grid!$B11)&amp;""))</f>
        <v/>
      </c>
      <c r="J39" s="160">
        <f>IF(Grid!$B11="","",TRIM(INDEX('INPUT - Roster'!$J$1:$J$206,Grid!$B11)&amp;""))</f>
        <v/>
      </c>
      <c r="K39" s="160">
        <f>IF(Grid!$B11="","",TRIM(INDEX('INPUT - Roster'!$K$1:$K$206,Grid!$B11)&amp;""))</f>
        <v/>
      </c>
      <c r="L39" s="160">
        <f>IF(Grid!$B11="","",TRIM(INDEX('INPUT - Roster'!$L$1:$L$206,Grid!$B11)&amp;""))</f>
        <v/>
      </c>
      <c r="M39" s="160">
        <f>IF(Grid!$B11="","",TRIM(INDEX('INPUT - Roster'!$M$1:$M$206,Grid!$B11)&amp;""))</f>
        <v/>
      </c>
      <c r="N39" s="158">
        <f>Grid!F11</f>
        <v/>
      </c>
      <c r="O39" s="160">
        <f>Grid!AI11</f>
        <v/>
      </c>
      <c r="P39" s="160">
        <f>Grid!BL11</f>
        <v/>
      </c>
      <c r="Q39" s="162">
        <f>IF(Grid!$D11="","",INDEX(Grid!$F$2:$AG$2,Grid!$D11))</f>
        <v/>
      </c>
      <c r="R39" s="158">
        <f>IF(Grid!$D11="","",INDEX(Grid!$F11:$AG11,Grid!$D11))</f>
        <v/>
      </c>
      <c r="S39" s="160">
        <f>IF(Grid!$B11="","",IFERROR(TRIM(INDEX('BHP Site Access'!$G$3:$G$104,MATCH(LOWER(TRIM(INDEX('INPUT - Roster'!$D$1:$D$206,Grid!$B11)&amp;"")&amp;"|"&amp;TRIM(INDEX('INPUT - Roster'!$E$1:$E$206,Grid!$B11)&amp;"")),Calc!$AX$3:$AX$104,0))&amp;""),"Not listed"))</f>
        <v/>
      </c>
      <c r="T39" s="160">
        <f>IF(OR(Grid!$B11="",ISNUMBER(SEARCH("demob",E39))),"",IF(AND(UPPER(TRIM(J39&amp;""))="YES",UPPER(TRIM(K39&amp;""))="YES",UPPER(TRIM(L39&amp;""))="YES",LEFT(UPPER(M39),14)="QUALS COMPLETE"),"","GAP"))</f>
        <v/>
      </c>
      <c r="U39" s="163">
        <f>IF(Grid!$B11="",0,IF(AND(OR(Dashboard!$D$9="All",D39=Dashboard!$D$9),OR(Dashboard!$J$9="All",E39=Dashboard!$J$9)),1,0))</f>
        <v/>
      </c>
    </row>
    <row r="40">
      <c r="B40" s="160">
        <f>IF(Grid!$B12="","",10)</f>
        <v/>
      </c>
      <c r="C40" s="161">
        <f>IF(Grid!$B12="","",TRIM(INDEX('INPUT - Roster'!$F$1:$F$206,Grid!$B12)&amp;""))</f>
        <v/>
      </c>
      <c r="D40" s="158">
        <f>IF(Grid!$B12="","",TRIM(INDEX('INPUT - Roster'!$C$1:$C$206,Grid!$B12)&amp;""))</f>
        <v/>
      </c>
      <c r="E40" s="158">
        <f>IF(Grid!$B12="","",INDEX(Index!$C$2:$C$202,MATCH(Grid!$B12,Index!$A$2:$A$202,0)))</f>
        <v/>
      </c>
      <c r="F40" s="158">
        <f>IF(Grid!$B12="","",TRIM(INDEX('INPUT - Roster'!$H$1:$H$206,Grid!$B12)&amp;""))</f>
        <v/>
      </c>
      <c r="G40" s="160">
        <f>IF(Grid!$B12="","",TRIM(INDEX('INPUT - Roster'!$G$1:$G$206,Grid!$B12)&amp;""))</f>
        <v/>
      </c>
      <c r="H40" s="160">
        <f>IF(Grid!$B12="","",TRIM(INDEX('INPUT - Roster'!$R$1:$R$206,Grid!$B12)&amp;""))</f>
        <v/>
      </c>
      <c r="I40" s="160">
        <f>IF(Grid!$B12="","",TRIM(INDEX('INPUT - Roster'!$O$1:$O$206,Grid!$B12)&amp;""))</f>
        <v/>
      </c>
      <c r="J40" s="160">
        <f>IF(Grid!$B12="","",TRIM(INDEX('INPUT - Roster'!$J$1:$J$206,Grid!$B12)&amp;""))</f>
        <v/>
      </c>
      <c r="K40" s="160">
        <f>IF(Grid!$B12="","",TRIM(INDEX('INPUT - Roster'!$K$1:$K$206,Grid!$B12)&amp;""))</f>
        <v/>
      </c>
      <c r="L40" s="160">
        <f>IF(Grid!$B12="","",TRIM(INDEX('INPUT - Roster'!$L$1:$L$206,Grid!$B12)&amp;""))</f>
        <v/>
      </c>
      <c r="M40" s="160">
        <f>IF(Grid!$B12="","",TRIM(INDEX('INPUT - Roster'!$M$1:$M$206,Grid!$B12)&amp;""))</f>
        <v/>
      </c>
      <c r="N40" s="158">
        <f>Grid!F12</f>
        <v/>
      </c>
      <c r="O40" s="160">
        <f>Grid!AI12</f>
        <v/>
      </c>
      <c r="P40" s="160">
        <f>Grid!BL12</f>
        <v/>
      </c>
      <c r="Q40" s="162">
        <f>IF(Grid!$D12="","",INDEX(Grid!$F$2:$AG$2,Grid!$D12))</f>
        <v/>
      </c>
      <c r="R40" s="158">
        <f>IF(Grid!$D12="","",INDEX(Grid!$F12:$AG12,Grid!$D12))</f>
        <v/>
      </c>
      <c r="S40" s="160">
        <f>IF(Grid!$B12="","",IFERROR(TRIM(INDEX('BHP Site Access'!$G$3:$G$104,MATCH(LOWER(TRIM(INDEX('INPUT - Roster'!$D$1:$D$206,Grid!$B12)&amp;"")&amp;"|"&amp;TRIM(INDEX('INPUT - Roster'!$E$1:$E$206,Grid!$B12)&amp;"")),Calc!$AX$3:$AX$104,0))&amp;""),"Not listed"))</f>
        <v/>
      </c>
      <c r="T40" s="160">
        <f>IF(OR(Grid!$B12="",ISNUMBER(SEARCH("demob",E40))),"",IF(AND(UPPER(TRIM(J40&amp;""))="YES",UPPER(TRIM(K40&amp;""))="YES",UPPER(TRIM(L40&amp;""))="YES",LEFT(UPPER(M40),14)="QUALS COMPLETE"),"","GAP"))</f>
        <v/>
      </c>
      <c r="U40" s="163">
        <f>IF(Grid!$B12="",0,IF(AND(OR(Dashboard!$D$9="All",D40=Dashboard!$D$9),OR(Dashboard!$J$9="All",E40=Dashboard!$J$9)),1,0))</f>
        <v/>
      </c>
    </row>
    <row r="41">
      <c r="B41" s="160">
        <f>IF(Grid!$B13="","",11)</f>
        <v/>
      </c>
      <c r="C41" s="161">
        <f>IF(Grid!$B13="","",TRIM(INDEX('INPUT - Roster'!$F$1:$F$206,Grid!$B13)&amp;""))</f>
        <v/>
      </c>
      <c r="D41" s="158">
        <f>IF(Grid!$B13="","",TRIM(INDEX('INPUT - Roster'!$C$1:$C$206,Grid!$B13)&amp;""))</f>
        <v/>
      </c>
      <c r="E41" s="158">
        <f>IF(Grid!$B13="","",INDEX(Index!$C$2:$C$202,MATCH(Grid!$B13,Index!$A$2:$A$202,0)))</f>
        <v/>
      </c>
      <c r="F41" s="158">
        <f>IF(Grid!$B13="","",TRIM(INDEX('INPUT - Roster'!$H$1:$H$206,Grid!$B13)&amp;""))</f>
        <v/>
      </c>
      <c r="G41" s="160">
        <f>IF(Grid!$B13="","",TRIM(INDEX('INPUT - Roster'!$G$1:$G$206,Grid!$B13)&amp;""))</f>
        <v/>
      </c>
      <c r="H41" s="160">
        <f>IF(Grid!$B13="","",TRIM(INDEX('INPUT - Roster'!$R$1:$R$206,Grid!$B13)&amp;""))</f>
        <v/>
      </c>
      <c r="I41" s="160">
        <f>IF(Grid!$B13="","",TRIM(INDEX('INPUT - Roster'!$O$1:$O$206,Grid!$B13)&amp;""))</f>
        <v/>
      </c>
      <c r="J41" s="160">
        <f>IF(Grid!$B13="","",TRIM(INDEX('INPUT - Roster'!$J$1:$J$206,Grid!$B13)&amp;""))</f>
        <v/>
      </c>
      <c r="K41" s="160">
        <f>IF(Grid!$B13="","",TRIM(INDEX('INPUT - Roster'!$K$1:$K$206,Grid!$B13)&amp;""))</f>
        <v/>
      </c>
      <c r="L41" s="160">
        <f>IF(Grid!$B13="","",TRIM(INDEX('INPUT - Roster'!$L$1:$L$206,Grid!$B13)&amp;""))</f>
        <v/>
      </c>
      <c r="M41" s="160">
        <f>IF(Grid!$B13="","",TRIM(INDEX('INPUT - Roster'!$M$1:$M$206,Grid!$B13)&amp;""))</f>
        <v/>
      </c>
      <c r="N41" s="158">
        <f>Grid!F13</f>
        <v/>
      </c>
      <c r="O41" s="160">
        <f>Grid!AI13</f>
        <v/>
      </c>
      <c r="P41" s="160">
        <f>Grid!BL13</f>
        <v/>
      </c>
      <c r="Q41" s="162">
        <f>IF(Grid!$D13="","",INDEX(Grid!$F$2:$AG$2,Grid!$D13))</f>
        <v/>
      </c>
      <c r="R41" s="158">
        <f>IF(Grid!$D13="","",INDEX(Grid!$F13:$AG13,Grid!$D13))</f>
        <v/>
      </c>
      <c r="S41" s="160">
        <f>IF(Grid!$B13="","",IFERROR(TRIM(INDEX('BHP Site Access'!$G$3:$G$104,MATCH(LOWER(TRIM(INDEX('INPUT - Roster'!$D$1:$D$206,Grid!$B13)&amp;"")&amp;"|"&amp;TRIM(INDEX('INPUT - Roster'!$E$1:$E$206,Grid!$B13)&amp;"")),Calc!$AX$3:$AX$104,0))&amp;""),"Not listed"))</f>
        <v/>
      </c>
      <c r="T41" s="160">
        <f>IF(OR(Grid!$B13="",ISNUMBER(SEARCH("demob",E41))),"",IF(AND(UPPER(TRIM(J41&amp;""))="YES",UPPER(TRIM(K41&amp;""))="YES",UPPER(TRIM(L41&amp;""))="YES",LEFT(UPPER(M41),14)="QUALS COMPLETE"),"","GAP"))</f>
        <v/>
      </c>
      <c r="U41" s="163">
        <f>IF(Grid!$B13="",0,IF(AND(OR(Dashboard!$D$9="All",D41=Dashboard!$D$9),OR(Dashboard!$J$9="All",E41=Dashboard!$J$9)),1,0))</f>
        <v/>
      </c>
    </row>
    <row r="42">
      <c r="B42" s="160">
        <f>IF(Grid!$B14="","",12)</f>
        <v/>
      </c>
      <c r="C42" s="161">
        <f>IF(Grid!$B14="","",TRIM(INDEX('INPUT - Roster'!$F$1:$F$206,Grid!$B14)&amp;""))</f>
        <v/>
      </c>
      <c r="D42" s="158">
        <f>IF(Grid!$B14="","",TRIM(INDEX('INPUT - Roster'!$C$1:$C$206,Grid!$B14)&amp;""))</f>
        <v/>
      </c>
      <c r="E42" s="158">
        <f>IF(Grid!$B14="","",INDEX(Index!$C$2:$C$202,MATCH(Grid!$B14,Index!$A$2:$A$202,0)))</f>
        <v/>
      </c>
      <c r="F42" s="158">
        <f>IF(Grid!$B14="","",TRIM(INDEX('INPUT - Roster'!$H$1:$H$206,Grid!$B14)&amp;""))</f>
        <v/>
      </c>
      <c r="G42" s="160">
        <f>IF(Grid!$B14="","",TRIM(INDEX('INPUT - Roster'!$G$1:$G$206,Grid!$B14)&amp;""))</f>
        <v/>
      </c>
      <c r="H42" s="160">
        <f>IF(Grid!$B14="","",TRIM(INDEX('INPUT - Roster'!$R$1:$R$206,Grid!$B14)&amp;""))</f>
        <v/>
      </c>
      <c r="I42" s="160">
        <f>IF(Grid!$B14="","",TRIM(INDEX('INPUT - Roster'!$O$1:$O$206,Grid!$B14)&amp;""))</f>
        <v/>
      </c>
      <c r="J42" s="160">
        <f>IF(Grid!$B14="","",TRIM(INDEX('INPUT - Roster'!$J$1:$J$206,Grid!$B14)&amp;""))</f>
        <v/>
      </c>
      <c r="K42" s="160">
        <f>IF(Grid!$B14="","",TRIM(INDEX('INPUT - Roster'!$K$1:$K$206,Grid!$B14)&amp;""))</f>
        <v/>
      </c>
      <c r="L42" s="160">
        <f>IF(Grid!$B14="","",TRIM(INDEX('INPUT - Roster'!$L$1:$L$206,Grid!$B14)&amp;""))</f>
        <v/>
      </c>
      <c r="M42" s="160">
        <f>IF(Grid!$B14="","",TRIM(INDEX('INPUT - Roster'!$M$1:$M$206,Grid!$B14)&amp;""))</f>
        <v/>
      </c>
      <c r="N42" s="158">
        <f>Grid!F14</f>
        <v/>
      </c>
      <c r="O42" s="160">
        <f>Grid!AI14</f>
        <v/>
      </c>
      <c r="P42" s="160">
        <f>Grid!BL14</f>
        <v/>
      </c>
      <c r="Q42" s="162">
        <f>IF(Grid!$D14="","",INDEX(Grid!$F$2:$AG$2,Grid!$D14))</f>
        <v/>
      </c>
      <c r="R42" s="158">
        <f>IF(Grid!$D14="","",INDEX(Grid!$F14:$AG14,Grid!$D14))</f>
        <v/>
      </c>
      <c r="S42" s="160">
        <f>IF(Grid!$B14="","",IFERROR(TRIM(INDEX('BHP Site Access'!$G$3:$G$104,MATCH(LOWER(TRIM(INDEX('INPUT - Roster'!$D$1:$D$206,Grid!$B14)&amp;"")&amp;"|"&amp;TRIM(INDEX('INPUT - Roster'!$E$1:$E$206,Grid!$B14)&amp;"")),Calc!$AX$3:$AX$104,0))&amp;""),"Not listed"))</f>
        <v/>
      </c>
      <c r="T42" s="160">
        <f>IF(OR(Grid!$B14="",ISNUMBER(SEARCH("demob",E42))),"",IF(AND(UPPER(TRIM(J42&amp;""))="YES",UPPER(TRIM(K42&amp;""))="YES",UPPER(TRIM(L42&amp;""))="YES",LEFT(UPPER(M42),14)="QUALS COMPLETE"),"","GAP"))</f>
        <v/>
      </c>
      <c r="U42" s="163">
        <f>IF(Grid!$B14="",0,IF(AND(OR(Dashboard!$D$9="All",D42=Dashboard!$D$9),OR(Dashboard!$J$9="All",E42=Dashboard!$J$9)),1,0))</f>
        <v/>
      </c>
    </row>
    <row r="43">
      <c r="B43" s="160">
        <f>IF(Grid!$B15="","",13)</f>
        <v/>
      </c>
      <c r="C43" s="161">
        <f>IF(Grid!$B15="","",TRIM(INDEX('INPUT - Roster'!$F$1:$F$206,Grid!$B15)&amp;""))</f>
        <v/>
      </c>
      <c r="D43" s="158">
        <f>IF(Grid!$B15="","",TRIM(INDEX('INPUT - Roster'!$C$1:$C$206,Grid!$B15)&amp;""))</f>
        <v/>
      </c>
      <c r="E43" s="158">
        <f>IF(Grid!$B15="","",INDEX(Index!$C$2:$C$202,MATCH(Grid!$B15,Index!$A$2:$A$202,0)))</f>
        <v/>
      </c>
      <c r="F43" s="158">
        <f>IF(Grid!$B15="","",TRIM(INDEX('INPUT - Roster'!$H$1:$H$206,Grid!$B15)&amp;""))</f>
        <v/>
      </c>
      <c r="G43" s="160">
        <f>IF(Grid!$B15="","",TRIM(INDEX('INPUT - Roster'!$G$1:$G$206,Grid!$B15)&amp;""))</f>
        <v/>
      </c>
      <c r="H43" s="160">
        <f>IF(Grid!$B15="","",TRIM(INDEX('INPUT - Roster'!$R$1:$R$206,Grid!$B15)&amp;""))</f>
        <v/>
      </c>
      <c r="I43" s="160">
        <f>IF(Grid!$B15="","",TRIM(INDEX('INPUT - Roster'!$O$1:$O$206,Grid!$B15)&amp;""))</f>
        <v/>
      </c>
      <c r="J43" s="160">
        <f>IF(Grid!$B15="","",TRIM(INDEX('INPUT - Roster'!$J$1:$J$206,Grid!$B15)&amp;""))</f>
        <v/>
      </c>
      <c r="K43" s="160">
        <f>IF(Grid!$B15="","",TRIM(INDEX('INPUT - Roster'!$K$1:$K$206,Grid!$B15)&amp;""))</f>
        <v/>
      </c>
      <c r="L43" s="160">
        <f>IF(Grid!$B15="","",TRIM(INDEX('INPUT - Roster'!$L$1:$L$206,Grid!$B15)&amp;""))</f>
        <v/>
      </c>
      <c r="M43" s="160">
        <f>IF(Grid!$B15="","",TRIM(INDEX('INPUT - Roster'!$M$1:$M$206,Grid!$B15)&amp;""))</f>
        <v/>
      </c>
      <c r="N43" s="158">
        <f>Grid!F15</f>
        <v/>
      </c>
      <c r="O43" s="160">
        <f>Grid!AI15</f>
        <v/>
      </c>
      <c r="P43" s="160">
        <f>Grid!BL15</f>
        <v/>
      </c>
      <c r="Q43" s="162">
        <f>IF(Grid!$D15="","",INDEX(Grid!$F$2:$AG$2,Grid!$D15))</f>
        <v/>
      </c>
      <c r="R43" s="158">
        <f>IF(Grid!$D15="","",INDEX(Grid!$F15:$AG15,Grid!$D15))</f>
        <v/>
      </c>
      <c r="S43" s="160">
        <f>IF(Grid!$B15="","",IFERROR(TRIM(INDEX('BHP Site Access'!$G$3:$G$104,MATCH(LOWER(TRIM(INDEX('INPUT - Roster'!$D$1:$D$206,Grid!$B15)&amp;"")&amp;"|"&amp;TRIM(INDEX('INPUT - Roster'!$E$1:$E$206,Grid!$B15)&amp;"")),Calc!$AX$3:$AX$104,0))&amp;""),"Not listed"))</f>
        <v/>
      </c>
      <c r="T43" s="160">
        <f>IF(OR(Grid!$B15="",ISNUMBER(SEARCH("demob",E43))),"",IF(AND(UPPER(TRIM(J43&amp;""))="YES",UPPER(TRIM(K43&amp;""))="YES",UPPER(TRIM(L43&amp;""))="YES",LEFT(UPPER(M43),14)="QUALS COMPLETE"),"","GAP"))</f>
        <v/>
      </c>
      <c r="U43" s="163">
        <f>IF(Grid!$B15="",0,IF(AND(OR(Dashboard!$D$9="All",D43=Dashboard!$D$9),OR(Dashboard!$J$9="All",E43=Dashboard!$J$9)),1,0))</f>
        <v/>
      </c>
    </row>
    <row r="44">
      <c r="B44" s="160">
        <f>IF(Grid!$B16="","",14)</f>
        <v/>
      </c>
      <c r="C44" s="161">
        <f>IF(Grid!$B16="","",TRIM(INDEX('INPUT - Roster'!$F$1:$F$206,Grid!$B16)&amp;""))</f>
        <v/>
      </c>
      <c r="D44" s="158">
        <f>IF(Grid!$B16="","",TRIM(INDEX('INPUT - Roster'!$C$1:$C$206,Grid!$B16)&amp;""))</f>
        <v/>
      </c>
      <c r="E44" s="158">
        <f>IF(Grid!$B16="","",INDEX(Index!$C$2:$C$202,MATCH(Grid!$B16,Index!$A$2:$A$202,0)))</f>
        <v/>
      </c>
      <c r="F44" s="158">
        <f>IF(Grid!$B16="","",TRIM(INDEX('INPUT - Roster'!$H$1:$H$206,Grid!$B16)&amp;""))</f>
        <v/>
      </c>
      <c r="G44" s="160">
        <f>IF(Grid!$B16="","",TRIM(INDEX('INPUT - Roster'!$G$1:$G$206,Grid!$B16)&amp;""))</f>
        <v/>
      </c>
      <c r="H44" s="160">
        <f>IF(Grid!$B16="","",TRIM(INDEX('INPUT - Roster'!$R$1:$R$206,Grid!$B16)&amp;""))</f>
        <v/>
      </c>
      <c r="I44" s="160">
        <f>IF(Grid!$B16="","",TRIM(INDEX('INPUT - Roster'!$O$1:$O$206,Grid!$B16)&amp;""))</f>
        <v/>
      </c>
      <c r="J44" s="160">
        <f>IF(Grid!$B16="","",TRIM(INDEX('INPUT - Roster'!$J$1:$J$206,Grid!$B16)&amp;""))</f>
        <v/>
      </c>
      <c r="K44" s="160">
        <f>IF(Grid!$B16="","",TRIM(INDEX('INPUT - Roster'!$K$1:$K$206,Grid!$B16)&amp;""))</f>
        <v/>
      </c>
      <c r="L44" s="160">
        <f>IF(Grid!$B16="","",TRIM(INDEX('INPUT - Roster'!$L$1:$L$206,Grid!$B16)&amp;""))</f>
        <v/>
      </c>
      <c r="M44" s="160">
        <f>IF(Grid!$B16="","",TRIM(INDEX('INPUT - Roster'!$M$1:$M$206,Grid!$B16)&amp;""))</f>
        <v/>
      </c>
      <c r="N44" s="158">
        <f>Grid!F16</f>
        <v/>
      </c>
      <c r="O44" s="160">
        <f>Grid!AI16</f>
        <v/>
      </c>
      <c r="P44" s="160">
        <f>Grid!BL16</f>
        <v/>
      </c>
      <c r="Q44" s="162">
        <f>IF(Grid!$D16="","",INDEX(Grid!$F$2:$AG$2,Grid!$D16))</f>
        <v/>
      </c>
      <c r="R44" s="158">
        <f>IF(Grid!$D16="","",INDEX(Grid!$F16:$AG16,Grid!$D16))</f>
        <v/>
      </c>
      <c r="S44" s="160">
        <f>IF(Grid!$B16="","",IFERROR(TRIM(INDEX('BHP Site Access'!$G$3:$G$104,MATCH(LOWER(TRIM(INDEX('INPUT - Roster'!$D$1:$D$206,Grid!$B16)&amp;"")&amp;"|"&amp;TRIM(INDEX('INPUT - Roster'!$E$1:$E$206,Grid!$B16)&amp;"")),Calc!$AX$3:$AX$104,0))&amp;""),"Not listed"))</f>
        <v/>
      </c>
      <c r="T44" s="160">
        <f>IF(OR(Grid!$B16="",ISNUMBER(SEARCH("demob",E44))),"",IF(AND(UPPER(TRIM(J44&amp;""))="YES",UPPER(TRIM(K44&amp;""))="YES",UPPER(TRIM(L44&amp;""))="YES",LEFT(UPPER(M44),14)="QUALS COMPLETE"),"","GAP"))</f>
        <v/>
      </c>
      <c r="U44" s="163">
        <f>IF(Grid!$B16="",0,IF(AND(OR(Dashboard!$D$9="All",D44=Dashboard!$D$9),OR(Dashboard!$J$9="All",E44=Dashboard!$J$9)),1,0))</f>
        <v/>
      </c>
    </row>
    <row r="45">
      <c r="B45" s="160">
        <f>IF(Grid!$B17="","",15)</f>
        <v/>
      </c>
      <c r="C45" s="161">
        <f>IF(Grid!$B17="","",TRIM(INDEX('INPUT - Roster'!$F$1:$F$206,Grid!$B17)&amp;""))</f>
        <v/>
      </c>
      <c r="D45" s="158">
        <f>IF(Grid!$B17="","",TRIM(INDEX('INPUT - Roster'!$C$1:$C$206,Grid!$B17)&amp;""))</f>
        <v/>
      </c>
      <c r="E45" s="158">
        <f>IF(Grid!$B17="","",INDEX(Index!$C$2:$C$202,MATCH(Grid!$B17,Index!$A$2:$A$202,0)))</f>
        <v/>
      </c>
      <c r="F45" s="158">
        <f>IF(Grid!$B17="","",TRIM(INDEX('INPUT - Roster'!$H$1:$H$206,Grid!$B17)&amp;""))</f>
        <v/>
      </c>
      <c r="G45" s="160">
        <f>IF(Grid!$B17="","",TRIM(INDEX('INPUT - Roster'!$G$1:$G$206,Grid!$B17)&amp;""))</f>
        <v/>
      </c>
      <c r="H45" s="160">
        <f>IF(Grid!$B17="","",TRIM(INDEX('INPUT - Roster'!$R$1:$R$206,Grid!$B17)&amp;""))</f>
        <v/>
      </c>
      <c r="I45" s="160">
        <f>IF(Grid!$B17="","",TRIM(INDEX('INPUT - Roster'!$O$1:$O$206,Grid!$B17)&amp;""))</f>
        <v/>
      </c>
      <c r="J45" s="160">
        <f>IF(Grid!$B17="","",TRIM(INDEX('INPUT - Roster'!$J$1:$J$206,Grid!$B17)&amp;""))</f>
        <v/>
      </c>
      <c r="K45" s="160">
        <f>IF(Grid!$B17="","",TRIM(INDEX('INPUT - Roster'!$K$1:$K$206,Grid!$B17)&amp;""))</f>
        <v/>
      </c>
      <c r="L45" s="160">
        <f>IF(Grid!$B17="","",TRIM(INDEX('INPUT - Roster'!$L$1:$L$206,Grid!$B17)&amp;""))</f>
        <v/>
      </c>
      <c r="M45" s="160">
        <f>IF(Grid!$B17="","",TRIM(INDEX('INPUT - Roster'!$M$1:$M$206,Grid!$B17)&amp;""))</f>
        <v/>
      </c>
      <c r="N45" s="158">
        <f>Grid!F17</f>
        <v/>
      </c>
      <c r="O45" s="160">
        <f>Grid!AI17</f>
        <v/>
      </c>
      <c r="P45" s="160">
        <f>Grid!BL17</f>
        <v/>
      </c>
      <c r="Q45" s="162">
        <f>IF(Grid!$D17="","",INDEX(Grid!$F$2:$AG$2,Grid!$D17))</f>
        <v/>
      </c>
      <c r="R45" s="158">
        <f>IF(Grid!$D17="","",INDEX(Grid!$F17:$AG17,Grid!$D17))</f>
        <v/>
      </c>
      <c r="S45" s="160">
        <f>IF(Grid!$B17="","",IFERROR(TRIM(INDEX('BHP Site Access'!$G$3:$G$104,MATCH(LOWER(TRIM(INDEX('INPUT - Roster'!$D$1:$D$206,Grid!$B17)&amp;"")&amp;"|"&amp;TRIM(INDEX('INPUT - Roster'!$E$1:$E$206,Grid!$B17)&amp;"")),Calc!$AX$3:$AX$104,0))&amp;""),"Not listed"))</f>
        <v/>
      </c>
      <c r="T45" s="160">
        <f>IF(OR(Grid!$B17="",ISNUMBER(SEARCH("demob",E45))),"",IF(AND(UPPER(TRIM(J45&amp;""))="YES",UPPER(TRIM(K45&amp;""))="YES",UPPER(TRIM(L45&amp;""))="YES",LEFT(UPPER(M45),14)="QUALS COMPLETE"),"","GAP"))</f>
        <v/>
      </c>
      <c r="U45" s="163">
        <f>IF(Grid!$B17="",0,IF(AND(OR(Dashboard!$D$9="All",D45=Dashboard!$D$9),OR(Dashboard!$J$9="All",E45=Dashboard!$J$9)),1,0))</f>
        <v/>
      </c>
    </row>
    <row r="46">
      <c r="B46" s="160">
        <f>IF(Grid!$B18="","",16)</f>
        <v/>
      </c>
      <c r="C46" s="161">
        <f>IF(Grid!$B18="","",TRIM(INDEX('INPUT - Roster'!$F$1:$F$206,Grid!$B18)&amp;""))</f>
        <v/>
      </c>
      <c r="D46" s="158">
        <f>IF(Grid!$B18="","",TRIM(INDEX('INPUT - Roster'!$C$1:$C$206,Grid!$B18)&amp;""))</f>
        <v/>
      </c>
      <c r="E46" s="158">
        <f>IF(Grid!$B18="","",INDEX(Index!$C$2:$C$202,MATCH(Grid!$B18,Index!$A$2:$A$202,0)))</f>
        <v/>
      </c>
      <c r="F46" s="158">
        <f>IF(Grid!$B18="","",TRIM(INDEX('INPUT - Roster'!$H$1:$H$206,Grid!$B18)&amp;""))</f>
        <v/>
      </c>
      <c r="G46" s="160">
        <f>IF(Grid!$B18="","",TRIM(INDEX('INPUT - Roster'!$G$1:$G$206,Grid!$B18)&amp;""))</f>
        <v/>
      </c>
      <c r="H46" s="160">
        <f>IF(Grid!$B18="","",TRIM(INDEX('INPUT - Roster'!$R$1:$R$206,Grid!$B18)&amp;""))</f>
        <v/>
      </c>
      <c r="I46" s="160">
        <f>IF(Grid!$B18="","",TRIM(INDEX('INPUT - Roster'!$O$1:$O$206,Grid!$B18)&amp;""))</f>
        <v/>
      </c>
      <c r="J46" s="160">
        <f>IF(Grid!$B18="","",TRIM(INDEX('INPUT - Roster'!$J$1:$J$206,Grid!$B18)&amp;""))</f>
        <v/>
      </c>
      <c r="K46" s="160">
        <f>IF(Grid!$B18="","",TRIM(INDEX('INPUT - Roster'!$K$1:$K$206,Grid!$B18)&amp;""))</f>
        <v/>
      </c>
      <c r="L46" s="160">
        <f>IF(Grid!$B18="","",TRIM(INDEX('INPUT - Roster'!$L$1:$L$206,Grid!$B18)&amp;""))</f>
        <v/>
      </c>
      <c r="M46" s="160">
        <f>IF(Grid!$B18="","",TRIM(INDEX('INPUT - Roster'!$M$1:$M$206,Grid!$B18)&amp;""))</f>
        <v/>
      </c>
      <c r="N46" s="158">
        <f>Grid!F18</f>
        <v/>
      </c>
      <c r="O46" s="160">
        <f>Grid!AI18</f>
        <v/>
      </c>
      <c r="P46" s="160">
        <f>Grid!BL18</f>
        <v/>
      </c>
      <c r="Q46" s="162">
        <f>IF(Grid!$D18="","",INDEX(Grid!$F$2:$AG$2,Grid!$D18))</f>
        <v/>
      </c>
      <c r="R46" s="158">
        <f>IF(Grid!$D18="","",INDEX(Grid!$F18:$AG18,Grid!$D18))</f>
        <v/>
      </c>
      <c r="S46" s="160">
        <f>IF(Grid!$B18="","",IFERROR(TRIM(INDEX('BHP Site Access'!$G$3:$G$104,MATCH(LOWER(TRIM(INDEX('INPUT - Roster'!$D$1:$D$206,Grid!$B18)&amp;"")&amp;"|"&amp;TRIM(INDEX('INPUT - Roster'!$E$1:$E$206,Grid!$B18)&amp;"")),Calc!$AX$3:$AX$104,0))&amp;""),"Not listed"))</f>
        <v/>
      </c>
      <c r="T46" s="160">
        <f>IF(OR(Grid!$B18="",ISNUMBER(SEARCH("demob",E46))),"",IF(AND(UPPER(TRIM(J46&amp;""))="YES",UPPER(TRIM(K46&amp;""))="YES",UPPER(TRIM(L46&amp;""))="YES",LEFT(UPPER(M46),14)="QUALS COMPLETE"),"","GAP"))</f>
        <v/>
      </c>
      <c r="U46" s="163">
        <f>IF(Grid!$B18="",0,IF(AND(OR(Dashboard!$D$9="All",D46=Dashboard!$D$9),OR(Dashboard!$J$9="All",E46=Dashboard!$J$9)),1,0))</f>
        <v/>
      </c>
    </row>
    <row r="47">
      <c r="B47" s="160">
        <f>IF(Grid!$B19="","",17)</f>
        <v/>
      </c>
      <c r="C47" s="161">
        <f>IF(Grid!$B19="","",TRIM(INDEX('INPUT - Roster'!$F$1:$F$206,Grid!$B19)&amp;""))</f>
        <v/>
      </c>
      <c r="D47" s="158">
        <f>IF(Grid!$B19="","",TRIM(INDEX('INPUT - Roster'!$C$1:$C$206,Grid!$B19)&amp;""))</f>
        <v/>
      </c>
      <c r="E47" s="158">
        <f>IF(Grid!$B19="","",INDEX(Index!$C$2:$C$202,MATCH(Grid!$B19,Index!$A$2:$A$202,0)))</f>
        <v/>
      </c>
      <c r="F47" s="158">
        <f>IF(Grid!$B19="","",TRIM(INDEX('INPUT - Roster'!$H$1:$H$206,Grid!$B19)&amp;""))</f>
        <v/>
      </c>
      <c r="G47" s="160">
        <f>IF(Grid!$B19="","",TRIM(INDEX('INPUT - Roster'!$G$1:$G$206,Grid!$B19)&amp;""))</f>
        <v/>
      </c>
      <c r="H47" s="160">
        <f>IF(Grid!$B19="","",TRIM(INDEX('INPUT - Roster'!$R$1:$R$206,Grid!$B19)&amp;""))</f>
        <v/>
      </c>
      <c r="I47" s="160">
        <f>IF(Grid!$B19="","",TRIM(INDEX('INPUT - Roster'!$O$1:$O$206,Grid!$B19)&amp;""))</f>
        <v/>
      </c>
      <c r="J47" s="160">
        <f>IF(Grid!$B19="","",TRIM(INDEX('INPUT - Roster'!$J$1:$J$206,Grid!$B19)&amp;""))</f>
        <v/>
      </c>
      <c r="K47" s="160">
        <f>IF(Grid!$B19="","",TRIM(INDEX('INPUT - Roster'!$K$1:$K$206,Grid!$B19)&amp;""))</f>
        <v/>
      </c>
      <c r="L47" s="160">
        <f>IF(Grid!$B19="","",TRIM(INDEX('INPUT - Roster'!$L$1:$L$206,Grid!$B19)&amp;""))</f>
        <v/>
      </c>
      <c r="M47" s="160">
        <f>IF(Grid!$B19="","",TRIM(INDEX('INPUT - Roster'!$M$1:$M$206,Grid!$B19)&amp;""))</f>
        <v/>
      </c>
      <c r="N47" s="158">
        <f>Grid!F19</f>
        <v/>
      </c>
      <c r="O47" s="160">
        <f>Grid!AI19</f>
        <v/>
      </c>
      <c r="P47" s="160">
        <f>Grid!BL19</f>
        <v/>
      </c>
      <c r="Q47" s="162">
        <f>IF(Grid!$D19="","",INDEX(Grid!$F$2:$AG$2,Grid!$D19))</f>
        <v/>
      </c>
      <c r="R47" s="158">
        <f>IF(Grid!$D19="","",INDEX(Grid!$F19:$AG19,Grid!$D19))</f>
        <v/>
      </c>
      <c r="S47" s="160">
        <f>IF(Grid!$B19="","",IFERROR(TRIM(INDEX('BHP Site Access'!$G$3:$G$104,MATCH(LOWER(TRIM(INDEX('INPUT - Roster'!$D$1:$D$206,Grid!$B19)&amp;"")&amp;"|"&amp;TRIM(INDEX('INPUT - Roster'!$E$1:$E$206,Grid!$B19)&amp;"")),Calc!$AX$3:$AX$104,0))&amp;""),"Not listed"))</f>
        <v/>
      </c>
      <c r="T47" s="160">
        <f>IF(OR(Grid!$B19="",ISNUMBER(SEARCH("demob",E47))),"",IF(AND(UPPER(TRIM(J47&amp;""))="YES",UPPER(TRIM(K47&amp;""))="YES",UPPER(TRIM(L47&amp;""))="YES",LEFT(UPPER(M47),14)="QUALS COMPLETE"),"","GAP"))</f>
        <v/>
      </c>
      <c r="U47" s="163">
        <f>IF(Grid!$B19="",0,IF(AND(OR(Dashboard!$D$9="All",D47=Dashboard!$D$9),OR(Dashboard!$J$9="All",E47=Dashboard!$J$9)),1,0))</f>
        <v/>
      </c>
    </row>
    <row r="48">
      <c r="B48" s="160">
        <f>IF(Grid!$B20="","",18)</f>
        <v/>
      </c>
      <c r="C48" s="161">
        <f>IF(Grid!$B20="","",TRIM(INDEX('INPUT - Roster'!$F$1:$F$206,Grid!$B20)&amp;""))</f>
        <v/>
      </c>
      <c r="D48" s="158">
        <f>IF(Grid!$B20="","",TRIM(INDEX('INPUT - Roster'!$C$1:$C$206,Grid!$B20)&amp;""))</f>
        <v/>
      </c>
      <c r="E48" s="158">
        <f>IF(Grid!$B20="","",INDEX(Index!$C$2:$C$202,MATCH(Grid!$B20,Index!$A$2:$A$202,0)))</f>
        <v/>
      </c>
      <c r="F48" s="158">
        <f>IF(Grid!$B20="","",TRIM(INDEX('INPUT - Roster'!$H$1:$H$206,Grid!$B20)&amp;""))</f>
        <v/>
      </c>
      <c r="G48" s="160">
        <f>IF(Grid!$B20="","",TRIM(INDEX('INPUT - Roster'!$G$1:$G$206,Grid!$B20)&amp;""))</f>
        <v/>
      </c>
      <c r="H48" s="160">
        <f>IF(Grid!$B20="","",TRIM(INDEX('INPUT - Roster'!$R$1:$R$206,Grid!$B20)&amp;""))</f>
        <v/>
      </c>
      <c r="I48" s="160">
        <f>IF(Grid!$B20="","",TRIM(INDEX('INPUT - Roster'!$O$1:$O$206,Grid!$B20)&amp;""))</f>
        <v/>
      </c>
      <c r="J48" s="160">
        <f>IF(Grid!$B20="","",TRIM(INDEX('INPUT - Roster'!$J$1:$J$206,Grid!$B20)&amp;""))</f>
        <v/>
      </c>
      <c r="K48" s="160">
        <f>IF(Grid!$B20="","",TRIM(INDEX('INPUT - Roster'!$K$1:$K$206,Grid!$B20)&amp;""))</f>
        <v/>
      </c>
      <c r="L48" s="160">
        <f>IF(Grid!$B20="","",TRIM(INDEX('INPUT - Roster'!$L$1:$L$206,Grid!$B20)&amp;""))</f>
        <v/>
      </c>
      <c r="M48" s="160">
        <f>IF(Grid!$B20="","",TRIM(INDEX('INPUT - Roster'!$M$1:$M$206,Grid!$B20)&amp;""))</f>
        <v/>
      </c>
      <c r="N48" s="158">
        <f>Grid!F20</f>
        <v/>
      </c>
      <c r="O48" s="160">
        <f>Grid!AI20</f>
        <v/>
      </c>
      <c r="P48" s="160">
        <f>Grid!BL20</f>
        <v/>
      </c>
      <c r="Q48" s="162">
        <f>IF(Grid!$D20="","",INDEX(Grid!$F$2:$AG$2,Grid!$D20))</f>
        <v/>
      </c>
      <c r="R48" s="158">
        <f>IF(Grid!$D20="","",INDEX(Grid!$F20:$AG20,Grid!$D20))</f>
        <v/>
      </c>
      <c r="S48" s="160">
        <f>IF(Grid!$B20="","",IFERROR(TRIM(INDEX('BHP Site Access'!$G$3:$G$104,MATCH(LOWER(TRIM(INDEX('INPUT - Roster'!$D$1:$D$206,Grid!$B20)&amp;"")&amp;"|"&amp;TRIM(INDEX('INPUT - Roster'!$E$1:$E$206,Grid!$B20)&amp;"")),Calc!$AX$3:$AX$104,0))&amp;""),"Not listed"))</f>
        <v/>
      </c>
      <c r="T48" s="160">
        <f>IF(OR(Grid!$B20="",ISNUMBER(SEARCH("demob",E48))),"",IF(AND(UPPER(TRIM(J48&amp;""))="YES",UPPER(TRIM(K48&amp;""))="YES",UPPER(TRIM(L48&amp;""))="YES",LEFT(UPPER(M48),14)="QUALS COMPLETE"),"","GAP"))</f>
        <v/>
      </c>
      <c r="U48" s="163">
        <f>IF(Grid!$B20="",0,IF(AND(OR(Dashboard!$D$9="All",D48=Dashboard!$D$9),OR(Dashboard!$J$9="All",E48=Dashboard!$J$9)),1,0))</f>
        <v/>
      </c>
    </row>
    <row r="49">
      <c r="B49" s="160">
        <f>IF(Grid!$B21="","",19)</f>
        <v/>
      </c>
      <c r="C49" s="161">
        <f>IF(Grid!$B21="","",TRIM(INDEX('INPUT - Roster'!$F$1:$F$206,Grid!$B21)&amp;""))</f>
        <v/>
      </c>
      <c r="D49" s="158">
        <f>IF(Grid!$B21="","",TRIM(INDEX('INPUT - Roster'!$C$1:$C$206,Grid!$B21)&amp;""))</f>
        <v/>
      </c>
      <c r="E49" s="158">
        <f>IF(Grid!$B21="","",INDEX(Index!$C$2:$C$202,MATCH(Grid!$B21,Index!$A$2:$A$202,0)))</f>
        <v/>
      </c>
      <c r="F49" s="158">
        <f>IF(Grid!$B21="","",TRIM(INDEX('INPUT - Roster'!$H$1:$H$206,Grid!$B21)&amp;""))</f>
        <v/>
      </c>
      <c r="G49" s="160">
        <f>IF(Grid!$B21="","",TRIM(INDEX('INPUT - Roster'!$G$1:$G$206,Grid!$B21)&amp;""))</f>
        <v/>
      </c>
      <c r="H49" s="160">
        <f>IF(Grid!$B21="","",TRIM(INDEX('INPUT - Roster'!$R$1:$R$206,Grid!$B21)&amp;""))</f>
        <v/>
      </c>
      <c r="I49" s="160">
        <f>IF(Grid!$B21="","",TRIM(INDEX('INPUT - Roster'!$O$1:$O$206,Grid!$B21)&amp;""))</f>
        <v/>
      </c>
      <c r="J49" s="160">
        <f>IF(Grid!$B21="","",TRIM(INDEX('INPUT - Roster'!$J$1:$J$206,Grid!$B21)&amp;""))</f>
        <v/>
      </c>
      <c r="K49" s="160">
        <f>IF(Grid!$B21="","",TRIM(INDEX('INPUT - Roster'!$K$1:$K$206,Grid!$B21)&amp;""))</f>
        <v/>
      </c>
      <c r="L49" s="160">
        <f>IF(Grid!$B21="","",TRIM(INDEX('INPUT - Roster'!$L$1:$L$206,Grid!$B21)&amp;""))</f>
        <v/>
      </c>
      <c r="M49" s="160">
        <f>IF(Grid!$B21="","",TRIM(INDEX('INPUT - Roster'!$M$1:$M$206,Grid!$B21)&amp;""))</f>
        <v/>
      </c>
      <c r="N49" s="158">
        <f>Grid!F21</f>
        <v/>
      </c>
      <c r="O49" s="160">
        <f>Grid!AI21</f>
        <v/>
      </c>
      <c r="P49" s="160">
        <f>Grid!BL21</f>
        <v/>
      </c>
      <c r="Q49" s="162">
        <f>IF(Grid!$D21="","",INDEX(Grid!$F$2:$AG$2,Grid!$D21))</f>
        <v/>
      </c>
      <c r="R49" s="158">
        <f>IF(Grid!$D21="","",INDEX(Grid!$F21:$AG21,Grid!$D21))</f>
        <v/>
      </c>
      <c r="S49" s="160">
        <f>IF(Grid!$B21="","",IFERROR(TRIM(INDEX('BHP Site Access'!$G$3:$G$104,MATCH(LOWER(TRIM(INDEX('INPUT - Roster'!$D$1:$D$206,Grid!$B21)&amp;"")&amp;"|"&amp;TRIM(INDEX('INPUT - Roster'!$E$1:$E$206,Grid!$B21)&amp;"")),Calc!$AX$3:$AX$104,0))&amp;""),"Not listed"))</f>
        <v/>
      </c>
      <c r="T49" s="160">
        <f>IF(OR(Grid!$B21="",ISNUMBER(SEARCH("demob",E49))),"",IF(AND(UPPER(TRIM(J49&amp;""))="YES",UPPER(TRIM(K49&amp;""))="YES",UPPER(TRIM(L49&amp;""))="YES",LEFT(UPPER(M49),14)="QUALS COMPLETE"),"","GAP"))</f>
        <v/>
      </c>
      <c r="U49" s="163">
        <f>IF(Grid!$B21="",0,IF(AND(OR(Dashboard!$D$9="All",D49=Dashboard!$D$9),OR(Dashboard!$J$9="All",E49=Dashboard!$J$9)),1,0))</f>
        <v/>
      </c>
    </row>
    <row r="50">
      <c r="B50" s="160">
        <f>IF(Grid!$B22="","",20)</f>
        <v/>
      </c>
      <c r="C50" s="161">
        <f>IF(Grid!$B22="","",TRIM(INDEX('INPUT - Roster'!$F$1:$F$206,Grid!$B22)&amp;""))</f>
        <v/>
      </c>
      <c r="D50" s="158">
        <f>IF(Grid!$B22="","",TRIM(INDEX('INPUT - Roster'!$C$1:$C$206,Grid!$B22)&amp;""))</f>
        <v/>
      </c>
      <c r="E50" s="158">
        <f>IF(Grid!$B22="","",INDEX(Index!$C$2:$C$202,MATCH(Grid!$B22,Index!$A$2:$A$202,0)))</f>
        <v/>
      </c>
      <c r="F50" s="158">
        <f>IF(Grid!$B22="","",TRIM(INDEX('INPUT - Roster'!$H$1:$H$206,Grid!$B22)&amp;""))</f>
        <v/>
      </c>
      <c r="G50" s="160">
        <f>IF(Grid!$B22="","",TRIM(INDEX('INPUT - Roster'!$G$1:$G$206,Grid!$B22)&amp;""))</f>
        <v/>
      </c>
      <c r="H50" s="160">
        <f>IF(Grid!$B22="","",TRIM(INDEX('INPUT - Roster'!$R$1:$R$206,Grid!$B22)&amp;""))</f>
        <v/>
      </c>
      <c r="I50" s="160">
        <f>IF(Grid!$B22="","",TRIM(INDEX('INPUT - Roster'!$O$1:$O$206,Grid!$B22)&amp;""))</f>
        <v/>
      </c>
      <c r="J50" s="160">
        <f>IF(Grid!$B22="","",TRIM(INDEX('INPUT - Roster'!$J$1:$J$206,Grid!$B22)&amp;""))</f>
        <v/>
      </c>
      <c r="K50" s="160">
        <f>IF(Grid!$B22="","",TRIM(INDEX('INPUT - Roster'!$K$1:$K$206,Grid!$B22)&amp;""))</f>
        <v/>
      </c>
      <c r="L50" s="160">
        <f>IF(Grid!$B22="","",TRIM(INDEX('INPUT - Roster'!$L$1:$L$206,Grid!$B22)&amp;""))</f>
        <v/>
      </c>
      <c r="M50" s="160">
        <f>IF(Grid!$B22="","",TRIM(INDEX('INPUT - Roster'!$M$1:$M$206,Grid!$B22)&amp;""))</f>
        <v/>
      </c>
      <c r="N50" s="158">
        <f>Grid!F22</f>
        <v/>
      </c>
      <c r="O50" s="160">
        <f>Grid!AI22</f>
        <v/>
      </c>
      <c r="P50" s="160">
        <f>Grid!BL22</f>
        <v/>
      </c>
      <c r="Q50" s="162">
        <f>IF(Grid!$D22="","",INDEX(Grid!$F$2:$AG$2,Grid!$D22))</f>
        <v/>
      </c>
      <c r="R50" s="158">
        <f>IF(Grid!$D22="","",INDEX(Grid!$F22:$AG22,Grid!$D22))</f>
        <v/>
      </c>
      <c r="S50" s="160">
        <f>IF(Grid!$B22="","",IFERROR(TRIM(INDEX('BHP Site Access'!$G$3:$G$104,MATCH(LOWER(TRIM(INDEX('INPUT - Roster'!$D$1:$D$206,Grid!$B22)&amp;"")&amp;"|"&amp;TRIM(INDEX('INPUT - Roster'!$E$1:$E$206,Grid!$B22)&amp;"")),Calc!$AX$3:$AX$104,0))&amp;""),"Not listed"))</f>
        <v/>
      </c>
      <c r="T50" s="160">
        <f>IF(OR(Grid!$B22="",ISNUMBER(SEARCH("demob",E50))),"",IF(AND(UPPER(TRIM(J50&amp;""))="YES",UPPER(TRIM(K50&amp;""))="YES",UPPER(TRIM(L50&amp;""))="YES",LEFT(UPPER(M50),14)="QUALS COMPLETE"),"","GAP"))</f>
        <v/>
      </c>
      <c r="U50" s="163">
        <f>IF(Grid!$B22="",0,IF(AND(OR(Dashboard!$D$9="All",D50=Dashboard!$D$9),OR(Dashboard!$J$9="All",E50=Dashboard!$J$9)),1,0))</f>
        <v/>
      </c>
    </row>
    <row r="51">
      <c r="B51" s="160">
        <f>IF(Grid!$B23="","",21)</f>
        <v/>
      </c>
      <c r="C51" s="161">
        <f>IF(Grid!$B23="","",TRIM(INDEX('INPUT - Roster'!$F$1:$F$206,Grid!$B23)&amp;""))</f>
        <v/>
      </c>
      <c r="D51" s="158">
        <f>IF(Grid!$B23="","",TRIM(INDEX('INPUT - Roster'!$C$1:$C$206,Grid!$B23)&amp;""))</f>
        <v/>
      </c>
      <c r="E51" s="158">
        <f>IF(Grid!$B23="","",INDEX(Index!$C$2:$C$202,MATCH(Grid!$B23,Index!$A$2:$A$202,0)))</f>
        <v/>
      </c>
      <c r="F51" s="158">
        <f>IF(Grid!$B23="","",TRIM(INDEX('INPUT - Roster'!$H$1:$H$206,Grid!$B23)&amp;""))</f>
        <v/>
      </c>
      <c r="G51" s="160">
        <f>IF(Grid!$B23="","",TRIM(INDEX('INPUT - Roster'!$G$1:$G$206,Grid!$B23)&amp;""))</f>
        <v/>
      </c>
      <c r="H51" s="160">
        <f>IF(Grid!$B23="","",TRIM(INDEX('INPUT - Roster'!$R$1:$R$206,Grid!$B23)&amp;""))</f>
        <v/>
      </c>
      <c r="I51" s="160">
        <f>IF(Grid!$B23="","",TRIM(INDEX('INPUT - Roster'!$O$1:$O$206,Grid!$B23)&amp;""))</f>
        <v/>
      </c>
      <c r="J51" s="160">
        <f>IF(Grid!$B23="","",TRIM(INDEX('INPUT - Roster'!$J$1:$J$206,Grid!$B23)&amp;""))</f>
        <v/>
      </c>
      <c r="K51" s="160">
        <f>IF(Grid!$B23="","",TRIM(INDEX('INPUT - Roster'!$K$1:$K$206,Grid!$B23)&amp;""))</f>
        <v/>
      </c>
      <c r="L51" s="160">
        <f>IF(Grid!$B23="","",TRIM(INDEX('INPUT - Roster'!$L$1:$L$206,Grid!$B23)&amp;""))</f>
        <v/>
      </c>
      <c r="M51" s="160">
        <f>IF(Grid!$B23="","",TRIM(INDEX('INPUT - Roster'!$M$1:$M$206,Grid!$B23)&amp;""))</f>
        <v/>
      </c>
      <c r="N51" s="158">
        <f>Grid!F23</f>
        <v/>
      </c>
      <c r="O51" s="160">
        <f>Grid!AI23</f>
        <v/>
      </c>
      <c r="P51" s="160">
        <f>Grid!BL23</f>
        <v/>
      </c>
      <c r="Q51" s="162">
        <f>IF(Grid!$D23="","",INDEX(Grid!$F$2:$AG$2,Grid!$D23))</f>
        <v/>
      </c>
      <c r="R51" s="158">
        <f>IF(Grid!$D23="","",INDEX(Grid!$F23:$AG23,Grid!$D23))</f>
        <v/>
      </c>
      <c r="S51" s="160">
        <f>IF(Grid!$B23="","",IFERROR(TRIM(INDEX('BHP Site Access'!$G$3:$G$104,MATCH(LOWER(TRIM(INDEX('INPUT - Roster'!$D$1:$D$206,Grid!$B23)&amp;"")&amp;"|"&amp;TRIM(INDEX('INPUT - Roster'!$E$1:$E$206,Grid!$B23)&amp;"")),Calc!$AX$3:$AX$104,0))&amp;""),"Not listed"))</f>
        <v/>
      </c>
      <c r="T51" s="160">
        <f>IF(OR(Grid!$B23="",ISNUMBER(SEARCH("demob",E51))),"",IF(AND(UPPER(TRIM(J51&amp;""))="YES",UPPER(TRIM(K51&amp;""))="YES",UPPER(TRIM(L51&amp;""))="YES",LEFT(UPPER(M51),14)="QUALS COMPLETE"),"","GAP"))</f>
        <v/>
      </c>
      <c r="U51" s="163">
        <f>IF(Grid!$B23="",0,IF(AND(OR(Dashboard!$D$9="All",D51=Dashboard!$D$9),OR(Dashboard!$J$9="All",E51=Dashboard!$J$9)),1,0))</f>
        <v/>
      </c>
    </row>
    <row r="52">
      <c r="B52" s="160">
        <f>IF(Grid!$B24="","",22)</f>
        <v/>
      </c>
      <c r="C52" s="161">
        <f>IF(Grid!$B24="","",TRIM(INDEX('INPUT - Roster'!$F$1:$F$206,Grid!$B24)&amp;""))</f>
        <v/>
      </c>
      <c r="D52" s="158">
        <f>IF(Grid!$B24="","",TRIM(INDEX('INPUT - Roster'!$C$1:$C$206,Grid!$B24)&amp;""))</f>
        <v/>
      </c>
      <c r="E52" s="158">
        <f>IF(Grid!$B24="","",INDEX(Index!$C$2:$C$202,MATCH(Grid!$B24,Index!$A$2:$A$202,0)))</f>
        <v/>
      </c>
      <c r="F52" s="158">
        <f>IF(Grid!$B24="","",TRIM(INDEX('INPUT - Roster'!$H$1:$H$206,Grid!$B24)&amp;""))</f>
        <v/>
      </c>
      <c r="G52" s="160">
        <f>IF(Grid!$B24="","",TRIM(INDEX('INPUT - Roster'!$G$1:$G$206,Grid!$B24)&amp;""))</f>
        <v/>
      </c>
      <c r="H52" s="160">
        <f>IF(Grid!$B24="","",TRIM(INDEX('INPUT - Roster'!$R$1:$R$206,Grid!$B24)&amp;""))</f>
        <v/>
      </c>
      <c r="I52" s="160">
        <f>IF(Grid!$B24="","",TRIM(INDEX('INPUT - Roster'!$O$1:$O$206,Grid!$B24)&amp;""))</f>
        <v/>
      </c>
      <c r="J52" s="160">
        <f>IF(Grid!$B24="","",TRIM(INDEX('INPUT - Roster'!$J$1:$J$206,Grid!$B24)&amp;""))</f>
        <v/>
      </c>
      <c r="K52" s="160">
        <f>IF(Grid!$B24="","",TRIM(INDEX('INPUT - Roster'!$K$1:$K$206,Grid!$B24)&amp;""))</f>
        <v/>
      </c>
      <c r="L52" s="160">
        <f>IF(Grid!$B24="","",TRIM(INDEX('INPUT - Roster'!$L$1:$L$206,Grid!$B24)&amp;""))</f>
        <v/>
      </c>
      <c r="M52" s="160">
        <f>IF(Grid!$B24="","",TRIM(INDEX('INPUT - Roster'!$M$1:$M$206,Grid!$B24)&amp;""))</f>
        <v/>
      </c>
      <c r="N52" s="158">
        <f>Grid!F24</f>
        <v/>
      </c>
      <c r="O52" s="160">
        <f>Grid!AI24</f>
        <v/>
      </c>
      <c r="P52" s="160">
        <f>Grid!BL24</f>
        <v/>
      </c>
      <c r="Q52" s="162">
        <f>IF(Grid!$D24="","",INDEX(Grid!$F$2:$AG$2,Grid!$D24))</f>
        <v/>
      </c>
      <c r="R52" s="158">
        <f>IF(Grid!$D24="","",INDEX(Grid!$F24:$AG24,Grid!$D24))</f>
        <v/>
      </c>
      <c r="S52" s="160">
        <f>IF(Grid!$B24="","",IFERROR(TRIM(INDEX('BHP Site Access'!$G$3:$G$104,MATCH(LOWER(TRIM(INDEX('INPUT - Roster'!$D$1:$D$206,Grid!$B24)&amp;"")&amp;"|"&amp;TRIM(INDEX('INPUT - Roster'!$E$1:$E$206,Grid!$B24)&amp;"")),Calc!$AX$3:$AX$104,0))&amp;""),"Not listed"))</f>
        <v/>
      </c>
      <c r="T52" s="160">
        <f>IF(OR(Grid!$B24="",ISNUMBER(SEARCH("demob",E52))),"",IF(AND(UPPER(TRIM(J52&amp;""))="YES",UPPER(TRIM(K52&amp;""))="YES",UPPER(TRIM(L52&amp;""))="YES",LEFT(UPPER(M52),14)="QUALS COMPLETE"),"","GAP"))</f>
        <v/>
      </c>
      <c r="U52" s="163">
        <f>IF(Grid!$B24="",0,IF(AND(OR(Dashboard!$D$9="All",D52=Dashboard!$D$9),OR(Dashboard!$J$9="All",E52=Dashboard!$J$9)),1,0))</f>
        <v/>
      </c>
    </row>
    <row r="53">
      <c r="B53" s="160">
        <f>IF(Grid!$B25="","",23)</f>
        <v/>
      </c>
      <c r="C53" s="161">
        <f>IF(Grid!$B25="","",TRIM(INDEX('INPUT - Roster'!$F$1:$F$206,Grid!$B25)&amp;""))</f>
        <v/>
      </c>
      <c r="D53" s="158">
        <f>IF(Grid!$B25="","",TRIM(INDEX('INPUT - Roster'!$C$1:$C$206,Grid!$B25)&amp;""))</f>
        <v/>
      </c>
      <c r="E53" s="158">
        <f>IF(Grid!$B25="","",INDEX(Index!$C$2:$C$202,MATCH(Grid!$B25,Index!$A$2:$A$202,0)))</f>
        <v/>
      </c>
      <c r="F53" s="158">
        <f>IF(Grid!$B25="","",TRIM(INDEX('INPUT - Roster'!$H$1:$H$206,Grid!$B25)&amp;""))</f>
        <v/>
      </c>
      <c r="G53" s="160">
        <f>IF(Grid!$B25="","",TRIM(INDEX('INPUT - Roster'!$G$1:$G$206,Grid!$B25)&amp;""))</f>
        <v/>
      </c>
      <c r="H53" s="160">
        <f>IF(Grid!$B25="","",TRIM(INDEX('INPUT - Roster'!$R$1:$R$206,Grid!$B25)&amp;""))</f>
        <v/>
      </c>
      <c r="I53" s="160">
        <f>IF(Grid!$B25="","",TRIM(INDEX('INPUT - Roster'!$O$1:$O$206,Grid!$B25)&amp;""))</f>
        <v/>
      </c>
      <c r="J53" s="160">
        <f>IF(Grid!$B25="","",TRIM(INDEX('INPUT - Roster'!$J$1:$J$206,Grid!$B25)&amp;""))</f>
        <v/>
      </c>
      <c r="K53" s="160">
        <f>IF(Grid!$B25="","",TRIM(INDEX('INPUT - Roster'!$K$1:$K$206,Grid!$B25)&amp;""))</f>
        <v/>
      </c>
      <c r="L53" s="160">
        <f>IF(Grid!$B25="","",TRIM(INDEX('INPUT - Roster'!$L$1:$L$206,Grid!$B25)&amp;""))</f>
        <v/>
      </c>
      <c r="M53" s="160">
        <f>IF(Grid!$B25="","",TRIM(INDEX('INPUT - Roster'!$M$1:$M$206,Grid!$B25)&amp;""))</f>
        <v/>
      </c>
      <c r="N53" s="158">
        <f>Grid!F25</f>
        <v/>
      </c>
      <c r="O53" s="160">
        <f>Grid!AI25</f>
        <v/>
      </c>
      <c r="P53" s="160">
        <f>Grid!BL25</f>
        <v/>
      </c>
      <c r="Q53" s="162">
        <f>IF(Grid!$D25="","",INDEX(Grid!$F$2:$AG$2,Grid!$D25))</f>
        <v/>
      </c>
      <c r="R53" s="158">
        <f>IF(Grid!$D25="","",INDEX(Grid!$F25:$AG25,Grid!$D25))</f>
        <v/>
      </c>
      <c r="S53" s="160">
        <f>IF(Grid!$B25="","",IFERROR(TRIM(INDEX('BHP Site Access'!$G$3:$G$104,MATCH(LOWER(TRIM(INDEX('INPUT - Roster'!$D$1:$D$206,Grid!$B25)&amp;"")&amp;"|"&amp;TRIM(INDEX('INPUT - Roster'!$E$1:$E$206,Grid!$B25)&amp;"")),Calc!$AX$3:$AX$104,0))&amp;""),"Not listed"))</f>
        <v/>
      </c>
      <c r="T53" s="160">
        <f>IF(OR(Grid!$B25="",ISNUMBER(SEARCH("demob",E53))),"",IF(AND(UPPER(TRIM(J53&amp;""))="YES",UPPER(TRIM(K53&amp;""))="YES",UPPER(TRIM(L53&amp;""))="YES",LEFT(UPPER(M53),14)="QUALS COMPLETE"),"","GAP"))</f>
        <v/>
      </c>
      <c r="U53" s="163">
        <f>IF(Grid!$B25="",0,IF(AND(OR(Dashboard!$D$9="All",D53=Dashboard!$D$9),OR(Dashboard!$J$9="All",E53=Dashboard!$J$9)),1,0))</f>
        <v/>
      </c>
    </row>
    <row r="54">
      <c r="B54" s="160">
        <f>IF(Grid!$B26="","",24)</f>
        <v/>
      </c>
      <c r="C54" s="161">
        <f>IF(Grid!$B26="","",TRIM(INDEX('INPUT - Roster'!$F$1:$F$206,Grid!$B26)&amp;""))</f>
        <v/>
      </c>
      <c r="D54" s="158">
        <f>IF(Grid!$B26="","",TRIM(INDEX('INPUT - Roster'!$C$1:$C$206,Grid!$B26)&amp;""))</f>
        <v/>
      </c>
      <c r="E54" s="158">
        <f>IF(Grid!$B26="","",INDEX(Index!$C$2:$C$202,MATCH(Grid!$B26,Index!$A$2:$A$202,0)))</f>
        <v/>
      </c>
      <c r="F54" s="158">
        <f>IF(Grid!$B26="","",TRIM(INDEX('INPUT - Roster'!$H$1:$H$206,Grid!$B26)&amp;""))</f>
        <v/>
      </c>
      <c r="G54" s="160">
        <f>IF(Grid!$B26="","",TRIM(INDEX('INPUT - Roster'!$G$1:$G$206,Grid!$B26)&amp;""))</f>
        <v/>
      </c>
      <c r="H54" s="160">
        <f>IF(Grid!$B26="","",TRIM(INDEX('INPUT - Roster'!$R$1:$R$206,Grid!$B26)&amp;""))</f>
        <v/>
      </c>
      <c r="I54" s="160">
        <f>IF(Grid!$B26="","",TRIM(INDEX('INPUT - Roster'!$O$1:$O$206,Grid!$B26)&amp;""))</f>
        <v/>
      </c>
      <c r="J54" s="160">
        <f>IF(Grid!$B26="","",TRIM(INDEX('INPUT - Roster'!$J$1:$J$206,Grid!$B26)&amp;""))</f>
        <v/>
      </c>
      <c r="K54" s="160">
        <f>IF(Grid!$B26="","",TRIM(INDEX('INPUT - Roster'!$K$1:$K$206,Grid!$B26)&amp;""))</f>
        <v/>
      </c>
      <c r="L54" s="160">
        <f>IF(Grid!$B26="","",TRIM(INDEX('INPUT - Roster'!$L$1:$L$206,Grid!$B26)&amp;""))</f>
        <v/>
      </c>
      <c r="M54" s="160">
        <f>IF(Grid!$B26="","",TRIM(INDEX('INPUT - Roster'!$M$1:$M$206,Grid!$B26)&amp;""))</f>
        <v/>
      </c>
      <c r="N54" s="158">
        <f>Grid!F26</f>
        <v/>
      </c>
      <c r="O54" s="160">
        <f>Grid!AI26</f>
        <v/>
      </c>
      <c r="P54" s="160">
        <f>Grid!BL26</f>
        <v/>
      </c>
      <c r="Q54" s="162">
        <f>IF(Grid!$D26="","",INDEX(Grid!$F$2:$AG$2,Grid!$D26))</f>
        <v/>
      </c>
      <c r="R54" s="158">
        <f>IF(Grid!$D26="","",INDEX(Grid!$F26:$AG26,Grid!$D26))</f>
        <v/>
      </c>
      <c r="S54" s="160">
        <f>IF(Grid!$B26="","",IFERROR(TRIM(INDEX('BHP Site Access'!$G$3:$G$104,MATCH(LOWER(TRIM(INDEX('INPUT - Roster'!$D$1:$D$206,Grid!$B26)&amp;"")&amp;"|"&amp;TRIM(INDEX('INPUT - Roster'!$E$1:$E$206,Grid!$B26)&amp;"")),Calc!$AX$3:$AX$104,0))&amp;""),"Not listed"))</f>
        <v/>
      </c>
      <c r="T54" s="160">
        <f>IF(OR(Grid!$B26="",ISNUMBER(SEARCH("demob",E54))),"",IF(AND(UPPER(TRIM(J54&amp;""))="YES",UPPER(TRIM(K54&amp;""))="YES",UPPER(TRIM(L54&amp;""))="YES",LEFT(UPPER(M54),14)="QUALS COMPLETE"),"","GAP"))</f>
        <v/>
      </c>
      <c r="U54" s="163">
        <f>IF(Grid!$B26="",0,IF(AND(OR(Dashboard!$D$9="All",D54=Dashboard!$D$9),OR(Dashboard!$J$9="All",E54=Dashboard!$J$9)),1,0))</f>
        <v/>
      </c>
    </row>
    <row r="55">
      <c r="B55" s="160">
        <f>IF(Grid!$B27="","",25)</f>
        <v/>
      </c>
      <c r="C55" s="161">
        <f>IF(Grid!$B27="","",TRIM(INDEX('INPUT - Roster'!$F$1:$F$206,Grid!$B27)&amp;""))</f>
        <v/>
      </c>
      <c r="D55" s="158">
        <f>IF(Grid!$B27="","",TRIM(INDEX('INPUT - Roster'!$C$1:$C$206,Grid!$B27)&amp;""))</f>
        <v/>
      </c>
      <c r="E55" s="158">
        <f>IF(Grid!$B27="","",INDEX(Index!$C$2:$C$202,MATCH(Grid!$B27,Index!$A$2:$A$202,0)))</f>
        <v/>
      </c>
      <c r="F55" s="158">
        <f>IF(Grid!$B27="","",TRIM(INDEX('INPUT - Roster'!$H$1:$H$206,Grid!$B27)&amp;""))</f>
        <v/>
      </c>
      <c r="G55" s="160">
        <f>IF(Grid!$B27="","",TRIM(INDEX('INPUT - Roster'!$G$1:$G$206,Grid!$B27)&amp;""))</f>
        <v/>
      </c>
      <c r="H55" s="160">
        <f>IF(Grid!$B27="","",TRIM(INDEX('INPUT - Roster'!$R$1:$R$206,Grid!$B27)&amp;""))</f>
        <v/>
      </c>
      <c r="I55" s="160">
        <f>IF(Grid!$B27="","",TRIM(INDEX('INPUT - Roster'!$O$1:$O$206,Grid!$B27)&amp;""))</f>
        <v/>
      </c>
      <c r="J55" s="160">
        <f>IF(Grid!$B27="","",TRIM(INDEX('INPUT - Roster'!$J$1:$J$206,Grid!$B27)&amp;""))</f>
        <v/>
      </c>
      <c r="K55" s="160">
        <f>IF(Grid!$B27="","",TRIM(INDEX('INPUT - Roster'!$K$1:$K$206,Grid!$B27)&amp;""))</f>
        <v/>
      </c>
      <c r="L55" s="160">
        <f>IF(Grid!$B27="","",TRIM(INDEX('INPUT - Roster'!$L$1:$L$206,Grid!$B27)&amp;""))</f>
        <v/>
      </c>
      <c r="M55" s="160">
        <f>IF(Grid!$B27="","",TRIM(INDEX('INPUT - Roster'!$M$1:$M$206,Grid!$B27)&amp;""))</f>
        <v/>
      </c>
      <c r="N55" s="158">
        <f>Grid!F27</f>
        <v/>
      </c>
      <c r="O55" s="160">
        <f>Grid!AI27</f>
        <v/>
      </c>
      <c r="P55" s="160">
        <f>Grid!BL27</f>
        <v/>
      </c>
      <c r="Q55" s="162">
        <f>IF(Grid!$D27="","",INDEX(Grid!$F$2:$AG$2,Grid!$D27))</f>
        <v/>
      </c>
      <c r="R55" s="158">
        <f>IF(Grid!$D27="","",INDEX(Grid!$F27:$AG27,Grid!$D27))</f>
        <v/>
      </c>
      <c r="S55" s="160">
        <f>IF(Grid!$B27="","",IFERROR(TRIM(INDEX('BHP Site Access'!$G$3:$G$104,MATCH(LOWER(TRIM(INDEX('INPUT - Roster'!$D$1:$D$206,Grid!$B27)&amp;"")&amp;"|"&amp;TRIM(INDEX('INPUT - Roster'!$E$1:$E$206,Grid!$B27)&amp;"")),Calc!$AX$3:$AX$104,0))&amp;""),"Not listed"))</f>
        <v/>
      </c>
      <c r="T55" s="160">
        <f>IF(OR(Grid!$B27="",ISNUMBER(SEARCH("demob",E55))),"",IF(AND(UPPER(TRIM(J55&amp;""))="YES",UPPER(TRIM(K55&amp;""))="YES",UPPER(TRIM(L55&amp;""))="YES",LEFT(UPPER(M55),14)="QUALS COMPLETE"),"","GAP"))</f>
        <v/>
      </c>
      <c r="U55" s="163">
        <f>IF(Grid!$B27="",0,IF(AND(OR(Dashboard!$D$9="All",D55=Dashboard!$D$9),OR(Dashboard!$J$9="All",E55=Dashboard!$J$9)),1,0))</f>
        <v/>
      </c>
    </row>
    <row r="56">
      <c r="B56" s="160">
        <f>IF(Grid!$B28="","",26)</f>
        <v/>
      </c>
      <c r="C56" s="161">
        <f>IF(Grid!$B28="","",TRIM(INDEX('INPUT - Roster'!$F$1:$F$206,Grid!$B28)&amp;""))</f>
        <v/>
      </c>
      <c r="D56" s="158">
        <f>IF(Grid!$B28="","",TRIM(INDEX('INPUT - Roster'!$C$1:$C$206,Grid!$B28)&amp;""))</f>
        <v/>
      </c>
      <c r="E56" s="158">
        <f>IF(Grid!$B28="","",INDEX(Index!$C$2:$C$202,MATCH(Grid!$B28,Index!$A$2:$A$202,0)))</f>
        <v/>
      </c>
      <c r="F56" s="158">
        <f>IF(Grid!$B28="","",TRIM(INDEX('INPUT - Roster'!$H$1:$H$206,Grid!$B28)&amp;""))</f>
        <v/>
      </c>
      <c r="G56" s="160">
        <f>IF(Grid!$B28="","",TRIM(INDEX('INPUT - Roster'!$G$1:$G$206,Grid!$B28)&amp;""))</f>
        <v/>
      </c>
      <c r="H56" s="160">
        <f>IF(Grid!$B28="","",TRIM(INDEX('INPUT - Roster'!$R$1:$R$206,Grid!$B28)&amp;""))</f>
        <v/>
      </c>
      <c r="I56" s="160">
        <f>IF(Grid!$B28="","",TRIM(INDEX('INPUT - Roster'!$O$1:$O$206,Grid!$B28)&amp;""))</f>
        <v/>
      </c>
      <c r="J56" s="160">
        <f>IF(Grid!$B28="","",TRIM(INDEX('INPUT - Roster'!$J$1:$J$206,Grid!$B28)&amp;""))</f>
        <v/>
      </c>
      <c r="K56" s="160">
        <f>IF(Grid!$B28="","",TRIM(INDEX('INPUT - Roster'!$K$1:$K$206,Grid!$B28)&amp;""))</f>
        <v/>
      </c>
      <c r="L56" s="160">
        <f>IF(Grid!$B28="","",TRIM(INDEX('INPUT - Roster'!$L$1:$L$206,Grid!$B28)&amp;""))</f>
        <v/>
      </c>
      <c r="M56" s="160">
        <f>IF(Grid!$B28="","",TRIM(INDEX('INPUT - Roster'!$M$1:$M$206,Grid!$B28)&amp;""))</f>
        <v/>
      </c>
      <c r="N56" s="158">
        <f>Grid!F28</f>
        <v/>
      </c>
      <c r="O56" s="160">
        <f>Grid!AI28</f>
        <v/>
      </c>
      <c r="P56" s="160">
        <f>Grid!BL28</f>
        <v/>
      </c>
      <c r="Q56" s="162">
        <f>IF(Grid!$D28="","",INDEX(Grid!$F$2:$AG$2,Grid!$D28))</f>
        <v/>
      </c>
      <c r="R56" s="158">
        <f>IF(Grid!$D28="","",INDEX(Grid!$F28:$AG28,Grid!$D28))</f>
        <v/>
      </c>
      <c r="S56" s="160">
        <f>IF(Grid!$B28="","",IFERROR(TRIM(INDEX('BHP Site Access'!$G$3:$G$104,MATCH(LOWER(TRIM(INDEX('INPUT - Roster'!$D$1:$D$206,Grid!$B28)&amp;"")&amp;"|"&amp;TRIM(INDEX('INPUT - Roster'!$E$1:$E$206,Grid!$B28)&amp;"")),Calc!$AX$3:$AX$104,0))&amp;""),"Not listed"))</f>
        <v/>
      </c>
      <c r="T56" s="160">
        <f>IF(OR(Grid!$B28="",ISNUMBER(SEARCH("demob",E56))),"",IF(AND(UPPER(TRIM(J56&amp;""))="YES",UPPER(TRIM(K56&amp;""))="YES",UPPER(TRIM(L56&amp;""))="YES",LEFT(UPPER(M56),14)="QUALS COMPLETE"),"","GAP"))</f>
        <v/>
      </c>
      <c r="U56" s="163">
        <f>IF(Grid!$B28="",0,IF(AND(OR(Dashboard!$D$9="All",D56=Dashboard!$D$9),OR(Dashboard!$J$9="All",E56=Dashboard!$J$9)),1,0))</f>
        <v/>
      </c>
    </row>
    <row r="57">
      <c r="B57" s="160">
        <f>IF(Grid!$B29="","",27)</f>
        <v/>
      </c>
      <c r="C57" s="161">
        <f>IF(Grid!$B29="","",TRIM(INDEX('INPUT - Roster'!$F$1:$F$206,Grid!$B29)&amp;""))</f>
        <v/>
      </c>
      <c r="D57" s="158">
        <f>IF(Grid!$B29="","",TRIM(INDEX('INPUT - Roster'!$C$1:$C$206,Grid!$B29)&amp;""))</f>
        <v/>
      </c>
      <c r="E57" s="158">
        <f>IF(Grid!$B29="","",INDEX(Index!$C$2:$C$202,MATCH(Grid!$B29,Index!$A$2:$A$202,0)))</f>
        <v/>
      </c>
      <c r="F57" s="158">
        <f>IF(Grid!$B29="","",TRIM(INDEX('INPUT - Roster'!$H$1:$H$206,Grid!$B29)&amp;""))</f>
        <v/>
      </c>
      <c r="G57" s="160">
        <f>IF(Grid!$B29="","",TRIM(INDEX('INPUT - Roster'!$G$1:$G$206,Grid!$B29)&amp;""))</f>
        <v/>
      </c>
      <c r="H57" s="160">
        <f>IF(Grid!$B29="","",TRIM(INDEX('INPUT - Roster'!$R$1:$R$206,Grid!$B29)&amp;""))</f>
        <v/>
      </c>
      <c r="I57" s="160">
        <f>IF(Grid!$B29="","",TRIM(INDEX('INPUT - Roster'!$O$1:$O$206,Grid!$B29)&amp;""))</f>
        <v/>
      </c>
      <c r="J57" s="160">
        <f>IF(Grid!$B29="","",TRIM(INDEX('INPUT - Roster'!$J$1:$J$206,Grid!$B29)&amp;""))</f>
        <v/>
      </c>
      <c r="K57" s="160">
        <f>IF(Grid!$B29="","",TRIM(INDEX('INPUT - Roster'!$K$1:$K$206,Grid!$B29)&amp;""))</f>
        <v/>
      </c>
      <c r="L57" s="160">
        <f>IF(Grid!$B29="","",TRIM(INDEX('INPUT - Roster'!$L$1:$L$206,Grid!$B29)&amp;""))</f>
        <v/>
      </c>
      <c r="M57" s="160">
        <f>IF(Grid!$B29="","",TRIM(INDEX('INPUT - Roster'!$M$1:$M$206,Grid!$B29)&amp;""))</f>
        <v/>
      </c>
      <c r="N57" s="158">
        <f>Grid!F29</f>
        <v/>
      </c>
      <c r="O57" s="160">
        <f>Grid!AI29</f>
        <v/>
      </c>
      <c r="P57" s="160">
        <f>Grid!BL29</f>
        <v/>
      </c>
      <c r="Q57" s="162">
        <f>IF(Grid!$D29="","",INDEX(Grid!$F$2:$AG$2,Grid!$D29))</f>
        <v/>
      </c>
      <c r="R57" s="158">
        <f>IF(Grid!$D29="","",INDEX(Grid!$F29:$AG29,Grid!$D29))</f>
        <v/>
      </c>
      <c r="S57" s="160">
        <f>IF(Grid!$B29="","",IFERROR(TRIM(INDEX('BHP Site Access'!$G$3:$G$104,MATCH(LOWER(TRIM(INDEX('INPUT - Roster'!$D$1:$D$206,Grid!$B29)&amp;"")&amp;"|"&amp;TRIM(INDEX('INPUT - Roster'!$E$1:$E$206,Grid!$B29)&amp;"")),Calc!$AX$3:$AX$104,0))&amp;""),"Not listed"))</f>
        <v/>
      </c>
      <c r="T57" s="160">
        <f>IF(OR(Grid!$B29="",ISNUMBER(SEARCH("demob",E57))),"",IF(AND(UPPER(TRIM(J57&amp;""))="YES",UPPER(TRIM(K57&amp;""))="YES",UPPER(TRIM(L57&amp;""))="YES",LEFT(UPPER(M57),14)="QUALS COMPLETE"),"","GAP"))</f>
        <v/>
      </c>
      <c r="U57" s="163">
        <f>IF(Grid!$B29="",0,IF(AND(OR(Dashboard!$D$9="All",D57=Dashboard!$D$9),OR(Dashboard!$J$9="All",E57=Dashboard!$J$9)),1,0))</f>
        <v/>
      </c>
    </row>
    <row r="58">
      <c r="B58" s="160">
        <f>IF(Grid!$B30="","",28)</f>
        <v/>
      </c>
      <c r="C58" s="161">
        <f>IF(Grid!$B30="","",TRIM(INDEX('INPUT - Roster'!$F$1:$F$206,Grid!$B30)&amp;""))</f>
        <v/>
      </c>
      <c r="D58" s="158">
        <f>IF(Grid!$B30="","",TRIM(INDEX('INPUT - Roster'!$C$1:$C$206,Grid!$B30)&amp;""))</f>
        <v/>
      </c>
      <c r="E58" s="158">
        <f>IF(Grid!$B30="","",INDEX(Index!$C$2:$C$202,MATCH(Grid!$B30,Index!$A$2:$A$202,0)))</f>
        <v/>
      </c>
      <c r="F58" s="158">
        <f>IF(Grid!$B30="","",TRIM(INDEX('INPUT - Roster'!$H$1:$H$206,Grid!$B30)&amp;""))</f>
        <v/>
      </c>
      <c r="G58" s="160">
        <f>IF(Grid!$B30="","",TRIM(INDEX('INPUT - Roster'!$G$1:$G$206,Grid!$B30)&amp;""))</f>
        <v/>
      </c>
      <c r="H58" s="160">
        <f>IF(Grid!$B30="","",TRIM(INDEX('INPUT - Roster'!$R$1:$R$206,Grid!$B30)&amp;""))</f>
        <v/>
      </c>
      <c r="I58" s="160">
        <f>IF(Grid!$B30="","",TRIM(INDEX('INPUT - Roster'!$O$1:$O$206,Grid!$B30)&amp;""))</f>
        <v/>
      </c>
      <c r="J58" s="160">
        <f>IF(Grid!$B30="","",TRIM(INDEX('INPUT - Roster'!$J$1:$J$206,Grid!$B30)&amp;""))</f>
        <v/>
      </c>
      <c r="K58" s="160">
        <f>IF(Grid!$B30="","",TRIM(INDEX('INPUT - Roster'!$K$1:$K$206,Grid!$B30)&amp;""))</f>
        <v/>
      </c>
      <c r="L58" s="160">
        <f>IF(Grid!$B30="","",TRIM(INDEX('INPUT - Roster'!$L$1:$L$206,Grid!$B30)&amp;""))</f>
        <v/>
      </c>
      <c r="M58" s="160">
        <f>IF(Grid!$B30="","",TRIM(INDEX('INPUT - Roster'!$M$1:$M$206,Grid!$B30)&amp;""))</f>
        <v/>
      </c>
      <c r="N58" s="158">
        <f>Grid!F30</f>
        <v/>
      </c>
      <c r="O58" s="160">
        <f>Grid!AI30</f>
        <v/>
      </c>
      <c r="P58" s="160">
        <f>Grid!BL30</f>
        <v/>
      </c>
      <c r="Q58" s="162">
        <f>IF(Grid!$D30="","",INDEX(Grid!$F$2:$AG$2,Grid!$D30))</f>
        <v/>
      </c>
      <c r="R58" s="158">
        <f>IF(Grid!$D30="","",INDEX(Grid!$F30:$AG30,Grid!$D30))</f>
        <v/>
      </c>
      <c r="S58" s="160">
        <f>IF(Grid!$B30="","",IFERROR(TRIM(INDEX('BHP Site Access'!$G$3:$G$104,MATCH(LOWER(TRIM(INDEX('INPUT - Roster'!$D$1:$D$206,Grid!$B30)&amp;"")&amp;"|"&amp;TRIM(INDEX('INPUT - Roster'!$E$1:$E$206,Grid!$B30)&amp;"")),Calc!$AX$3:$AX$104,0))&amp;""),"Not listed"))</f>
        <v/>
      </c>
      <c r="T58" s="160">
        <f>IF(OR(Grid!$B30="",ISNUMBER(SEARCH("demob",E58))),"",IF(AND(UPPER(TRIM(J58&amp;""))="YES",UPPER(TRIM(K58&amp;""))="YES",UPPER(TRIM(L58&amp;""))="YES",LEFT(UPPER(M58),14)="QUALS COMPLETE"),"","GAP"))</f>
        <v/>
      </c>
      <c r="U58" s="163">
        <f>IF(Grid!$B30="",0,IF(AND(OR(Dashboard!$D$9="All",D58=Dashboard!$D$9),OR(Dashboard!$J$9="All",E58=Dashboard!$J$9)),1,0))</f>
        <v/>
      </c>
    </row>
    <row r="59">
      <c r="B59" s="160">
        <f>IF(Grid!$B31="","",29)</f>
        <v/>
      </c>
      <c r="C59" s="161">
        <f>IF(Grid!$B31="","",TRIM(INDEX('INPUT - Roster'!$F$1:$F$206,Grid!$B31)&amp;""))</f>
        <v/>
      </c>
      <c r="D59" s="158">
        <f>IF(Grid!$B31="","",TRIM(INDEX('INPUT - Roster'!$C$1:$C$206,Grid!$B31)&amp;""))</f>
        <v/>
      </c>
      <c r="E59" s="158">
        <f>IF(Grid!$B31="","",INDEX(Index!$C$2:$C$202,MATCH(Grid!$B31,Index!$A$2:$A$202,0)))</f>
        <v/>
      </c>
      <c r="F59" s="158">
        <f>IF(Grid!$B31="","",TRIM(INDEX('INPUT - Roster'!$H$1:$H$206,Grid!$B31)&amp;""))</f>
        <v/>
      </c>
      <c r="G59" s="160">
        <f>IF(Grid!$B31="","",TRIM(INDEX('INPUT - Roster'!$G$1:$G$206,Grid!$B31)&amp;""))</f>
        <v/>
      </c>
      <c r="H59" s="160">
        <f>IF(Grid!$B31="","",TRIM(INDEX('INPUT - Roster'!$R$1:$R$206,Grid!$B31)&amp;""))</f>
        <v/>
      </c>
      <c r="I59" s="160">
        <f>IF(Grid!$B31="","",TRIM(INDEX('INPUT - Roster'!$O$1:$O$206,Grid!$B31)&amp;""))</f>
        <v/>
      </c>
      <c r="J59" s="160">
        <f>IF(Grid!$B31="","",TRIM(INDEX('INPUT - Roster'!$J$1:$J$206,Grid!$B31)&amp;""))</f>
        <v/>
      </c>
      <c r="K59" s="160">
        <f>IF(Grid!$B31="","",TRIM(INDEX('INPUT - Roster'!$K$1:$K$206,Grid!$B31)&amp;""))</f>
        <v/>
      </c>
      <c r="L59" s="160">
        <f>IF(Grid!$B31="","",TRIM(INDEX('INPUT - Roster'!$L$1:$L$206,Grid!$B31)&amp;""))</f>
        <v/>
      </c>
      <c r="M59" s="160">
        <f>IF(Grid!$B31="","",TRIM(INDEX('INPUT - Roster'!$M$1:$M$206,Grid!$B31)&amp;""))</f>
        <v/>
      </c>
      <c r="N59" s="158">
        <f>Grid!F31</f>
        <v/>
      </c>
      <c r="O59" s="160">
        <f>Grid!AI31</f>
        <v/>
      </c>
      <c r="P59" s="160">
        <f>Grid!BL31</f>
        <v/>
      </c>
      <c r="Q59" s="162">
        <f>IF(Grid!$D31="","",INDEX(Grid!$F$2:$AG$2,Grid!$D31))</f>
        <v/>
      </c>
      <c r="R59" s="158">
        <f>IF(Grid!$D31="","",INDEX(Grid!$F31:$AG31,Grid!$D31))</f>
        <v/>
      </c>
      <c r="S59" s="160">
        <f>IF(Grid!$B31="","",IFERROR(TRIM(INDEX('BHP Site Access'!$G$3:$G$104,MATCH(LOWER(TRIM(INDEX('INPUT - Roster'!$D$1:$D$206,Grid!$B31)&amp;"")&amp;"|"&amp;TRIM(INDEX('INPUT - Roster'!$E$1:$E$206,Grid!$B31)&amp;"")),Calc!$AX$3:$AX$104,0))&amp;""),"Not listed"))</f>
        <v/>
      </c>
      <c r="T59" s="160">
        <f>IF(OR(Grid!$B31="",ISNUMBER(SEARCH("demob",E59))),"",IF(AND(UPPER(TRIM(J59&amp;""))="YES",UPPER(TRIM(K59&amp;""))="YES",UPPER(TRIM(L59&amp;""))="YES",LEFT(UPPER(M59),14)="QUALS COMPLETE"),"","GAP"))</f>
        <v/>
      </c>
      <c r="U59" s="163">
        <f>IF(Grid!$B31="",0,IF(AND(OR(Dashboard!$D$9="All",D59=Dashboard!$D$9),OR(Dashboard!$J$9="All",E59=Dashboard!$J$9)),1,0))</f>
        <v/>
      </c>
    </row>
    <row r="60">
      <c r="B60" s="160">
        <f>IF(Grid!$B32="","",30)</f>
        <v/>
      </c>
      <c r="C60" s="161">
        <f>IF(Grid!$B32="","",TRIM(INDEX('INPUT - Roster'!$F$1:$F$206,Grid!$B32)&amp;""))</f>
        <v/>
      </c>
      <c r="D60" s="158">
        <f>IF(Grid!$B32="","",TRIM(INDEX('INPUT - Roster'!$C$1:$C$206,Grid!$B32)&amp;""))</f>
        <v/>
      </c>
      <c r="E60" s="158">
        <f>IF(Grid!$B32="","",INDEX(Index!$C$2:$C$202,MATCH(Grid!$B32,Index!$A$2:$A$202,0)))</f>
        <v/>
      </c>
      <c r="F60" s="158">
        <f>IF(Grid!$B32="","",TRIM(INDEX('INPUT - Roster'!$H$1:$H$206,Grid!$B32)&amp;""))</f>
        <v/>
      </c>
      <c r="G60" s="160">
        <f>IF(Grid!$B32="","",TRIM(INDEX('INPUT - Roster'!$G$1:$G$206,Grid!$B32)&amp;""))</f>
        <v/>
      </c>
      <c r="H60" s="160">
        <f>IF(Grid!$B32="","",TRIM(INDEX('INPUT - Roster'!$R$1:$R$206,Grid!$B32)&amp;""))</f>
        <v/>
      </c>
      <c r="I60" s="160">
        <f>IF(Grid!$B32="","",TRIM(INDEX('INPUT - Roster'!$O$1:$O$206,Grid!$B32)&amp;""))</f>
        <v/>
      </c>
      <c r="J60" s="160">
        <f>IF(Grid!$B32="","",TRIM(INDEX('INPUT - Roster'!$J$1:$J$206,Grid!$B32)&amp;""))</f>
        <v/>
      </c>
      <c r="K60" s="160">
        <f>IF(Grid!$B32="","",TRIM(INDEX('INPUT - Roster'!$K$1:$K$206,Grid!$B32)&amp;""))</f>
        <v/>
      </c>
      <c r="L60" s="160">
        <f>IF(Grid!$B32="","",TRIM(INDEX('INPUT - Roster'!$L$1:$L$206,Grid!$B32)&amp;""))</f>
        <v/>
      </c>
      <c r="M60" s="160">
        <f>IF(Grid!$B32="","",TRIM(INDEX('INPUT - Roster'!$M$1:$M$206,Grid!$B32)&amp;""))</f>
        <v/>
      </c>
      <c r="N60" s="158">
        <f>Grid!F32</f>
        <v/>
      </c>
      <c r="O60" s="160">
        <f>Grid!AI32</f>
        <v/>
      </c>
      <c r="P60" s="160">
        <f>Grid!BL32</f>
        <v/>
      </c>
      <c r="Q60" s="162">
        <f>IF(Grid!$D32="","",INDEX(Grid!$F$2:$AG$2,Grid!$D32))</f>
        <v/>
      </c>
      <c r="R60" s="158">
        <f>IF(Grid!$D32="","",INDEX(Grid!$F32:$AG32,Grid!$D32))</f>
        <v/>
      </c>
      <c r="S60" s="160">
        <f>IF(Grid!$B32="","",IFERROR(TRIM(INDEX('BHP Site Access'!$G$3:$G$104,MATCH(LOWER(TRIM(INDEX('INPUT - Roster'!$D$1:$D$206,Grid!$B32)&amp;"")&amp;"|"&amp;TRIM(INDEX('INPUT - Roster'!$E$1:$E$206,Grid!$B32)&amp;"")),Calc!$AX$3:$AX$104,0))&amp;""),"Not listed"))</f>
        <v/>
      </c>
      <c r="T60" s="160">
        <f>IF(OR(Grid!$B32="",ISNUMBER(SEARCH("demob",E60))),"",IF(AND(UPPER(TRIM(J60&amp;""))="YES",UPPER(TRIM(K60&amp;""))="YES",UPPER(TRIM(L60&amp;""))="YES",LEFT(UPPER(M60),14)="QUALS COMPLETE"),"","GAP"))</f>
        <v/>
      </c>
      <c r="U60" s="163">
        <f>IF(Grid!$B32="",0,IF(AND(OR(Dashboard!$D$9="All",D60=Dashboard!$D$9),OR(Dashboard!$J$9="All",E60=Dashboard!$J$9)),1,0))</f>
        <v/>
      </c>
    </row>
    <row r="61">
      <c r="B61" s="160">
        <f>IF(Grid!$B33="","",31)</f>
        <v/>
      </c>
      <c r="C61" s="161">
        <f>IF(Grid!$B33="","",TRIM(INDEX('INPUT - Roster'!$F$1:$F$206,Grid!$B33)&amp;""))</f>
        <v/>
      </c>
      <c r="D61" s="158">
        <f>IF(Grid!$B33="","",TRIM(INDEX('INPUT - Roster'!$C$1:$C$206,Grid!$B33)&amp;""))</f>
        <v/>
      </c>
      <c r="E61" s="158">
        <f>IF(Grid!$B33="","",INDEX(Index!$C$2:$C$202,MATCH(Grid!$B33,Index!$A$2:$A$202,0)))</f>
        <v/>
      </c>
      <c r="F61" s="158">
        <f>IF(Grid!$B33="","",TRIM(INDEX('INPUT - Roster'!$H$1:$H$206,Grid!$B33)&amp;""))</f>
        <v/>
      </c>
      <c r="G61" s="160">
        <f>IF(Grid!$B33="","",TRIM(INDEX('INPUT - Roster'!$G$1:$G$206,Grid!$B33)&amp;""))</f>
        <v/>
      </c>
      <c r="H61" s="160">
        <f>IF(Grid!$B33="","",TRIM(INDEX('INPUT - Roster'!$R$1:$R$206,Grid!$B33)&amp;""))</f>
        <v/>
      </c>
      <c r="I61" s="160">
        <f>IF(Grid!$B33="","",TRIM(INDEX('INPUT - Roster'!$O$1:$O$206,Grid!$B33)&amp;""))</f>
        <v/>
      </c>
      <c r="J61" s="160">
        <f>IF(Grid!$B33="","",TRIM(INDEX('INPUT - Roster'!$J$1:$J$206,Grid!$B33)&amp;""))</f>
        <v/>
      </c>
      <c r="K61" s="160">
        <f>IF(Grid!$B33="","",TRIM(INDEX('INPUT - Roster'!$K$1:$K$206,Grid!$B33)&amp;""))</f>
        <v/>
      </c>
      <c r="L61" s="160">
        <f>IF(Grid!$B33="","",TRIM(INDEX('INPUT - Roster'!$L$1:$L$206,Grid!$B33)&amp;""))</f>
        <v/>
      </c>
      <c r="M61" s="160">
        <f>IF(Grid!$B33="","",TRIM(INDEX('INPUT - Roster'!$M$1:$M$206,Grid!$B33)&amp;""))</f>
        <v/>
      </c>
      <c r="N61" s="158">
        <f>Grid!F33</f>
        <v/>
      </c>
      <c r="O61" s="160">
        <f>Grid!AI33</f>
        <v/>
      </c>
      <c r="P61" s="160">
        <f>Grid!BL33</f>
        <v/>
      </c>
      <c r="Q61" s="162">
        <f>IF(Grid!$D33="","",INDEX(Grid!$F$2:$AG$2,Grid!$D33))</f>
        <v/>
      </c>
      <c r="R61" s="158">
        <f>IF(Grid!$D33="","",INDEX(Grid!$F33:$AG33,Grid!$D33))</f>
        <v/>
      </c>
      <c r="S61" s="160">
        <f>IF(Grid!$B33="","",IFERROR(TRIM(INDEX('BHP Site Access'!$G$3:$G$104,MATCH(LOWER(TRIM(INDEX('INPUT - Roster'!$D$1:$D$206,Grid!$B33)&amp;"")&amp;"|"&amp;TRIM(INDEX('INPUT - Roster'!$E$1:$E$206,Grid!$B33)&amp;"")),Calc!$AX$3:$AX$104,0))&amp;""),"Not listed"))</f>
        <v/>
      </c>
      <c r="T61" s="160">
        <f>IF(OR(Grid!$B33="",ISNUMBER(SEARCH("demob",E61))),"",IF(AND(UPPER(TRIM(J61&amp;""))="YES",UPPER(TRIM(K61&amp;""))="YES",UPPER(TRIM(L61&amp;""))="YES",LEFT(UPPER(M61),14)="QUALS COMPLETE"),"","GAP"))</f>
        <v/>
      </c>
      <c r="U61" s="163">
        <f>IF(Grid!$B33="",0,IF(AND(OR(Dashboard!$D$9="All",D61=Dashboard!$D$9),OR(Dashboard!$J$9="All",E61=Dashboard!$J$9)),1,0))</f>
        <v/>
      </c>
    </row>
    <row r="62">
      <c r="B62" s="160">
        <f>IF(Grid!$B34="","",32)</f>
        <v/>
      </c>
      <c r="C62" s="161">
        <f>IF(Grid!$B34="","",TRIM(INDEX('INPUT - Roster'!$F$1:$F$206,Grid!$B34)&amp;""))</f>
        <v/>
      </c>
      <c r="D62" s="158">
        <f>IF(Grid!$B34="","",TRIM(INDEX('INPUT - Roster'!$C$1:$C$206,Grid!$B34)&amp;""))</f>
        <v/>
      </c>
      <c r="E62" s="158">
        <f>IF(Grid!$B34="","",INDEX(Index!$C$2:$C$202,MATCH(Grid!$B34,Index!$A$2:$A$202,0)))</f>
        <v/>
      </c>
      <c r="F62" s="158">
        <f>IF(Grid!$B34="","",TRIM(INDEX('INPUT - Roster'!$H$1:$H$206,Grid!$B34)&amp;""))</f>
        <v/>
      </c>
      <c r="G62" s="160">
        <f>IF(Grid!$B34="","",TRIM(INDEX('INPUT - Roster'!$G$1:$G$206,Grid!$B34)&amp;""))</f>
        <v/>
      </c>
      <c r="H62" s="160">
        <f>IF(Grid!$B34="","",TRIM(INDEX('INPUT - Roster'!$R$1:$R$206,Grid!$B34)&amp;""))</f>
        <v/>
      </c>
      <c r="I62" s="160">
        <f>IF(Grid!$B34="","",TRIM(INDEX('INPUT - Roster'!$O$1:$O$206,Grid!$B34)&amp;""))</f>
        <v/>
      </c>
      <c r="J62" s="160">
        <f>IF(Grid!$B34="","",TRIM(INDEX('INPUT - Roster'!$J$1:$J$206,Grid!$B34)&amp;""))</f>
        <v/>
      </c>
      <c r="K62" s="160">
        <f>IF(Grid!$B34="","",TRIM(INDEX('INPUT - Roster'!$K$1:$K$206,Grid!$B34)&amp;""))</f>
        <v/>
      </c>
      <c r="L62" s="160">
        <f>IF(Grid!$B34="","",TRIM(INDEX('INPUT - Roster'!$L$1:$L$206,Grid!$B34)&amp;""))</f>
        <v/>
      </c>
      <c r="M62" s="160">
        <f>IF(Grid!$B34="","",TRIM(INDEX('INPUT - Roster'!$M$1:$M$206,Grid!$B34)&amp;""))</f>
        <v/>
      </c>
      <c r="N62" s="158">
        <f>Grid!F34</f>
        <v/>
      </c>
      <c r="O62" s="160">
        <f>Grid!AI34</f>
        <v/>
      </c>
      <c r="P62" s="160">
        <f>Grid!BL34</f>
        <v/>
      </c>
      <c r="Q62" s="162">
        <f>IF(Grid!$D34="","",INDEX(Grid!$F$2:$AG$2,Grid!$D34))</f>
        <v/>
      </c>
      <c r="R62" s="158">
        <f>IF(Grid!$D34="","",INDEX(Grid!$F34:$AG34,Grid!$D34))</f>
        <v/>
      </c>
      <c r="S62" s="160">
        <f>IF(Grid!$B34="","",IFERROR(TRIM(INDEX('BHP Site Access'!$G$3:$G$104,MATCH(LOWER(TRIM(INDEX('INPUT - Roster'!$D$1:$D$206,Grid!$B34)&amp;"")&amp;"|"&amp;TRIM(INDEX('INPUT - Roster'!$E$1:$E$206,Grid!$B34)&amp;"")),Calc!$AX$3:$AX$104,0))&amp;""),"Not listed"))</f>
        <v/>
      </c>
      <c r="T62" s="160">
        <f>IF(OR(Grid!$B34="",ISNUMBER(SEARCH("demob",E62))),"",IF(AND(UPPER(TRIM(J62&amp;""))="YES",UPPER(TRIM(K62&amp;""))="YES",UPPER(TRIM(L62&amp;""))="YES",LEFT(UPPER(M62),14)="QUALS COMPLETE"),"","GAP"))</f>
        <v/>
      </c>
      <c r="U62" s="163">
        <f>IF(Grid!$B34="",0,IF(AND(OR(Dashboard!$D$9="All",D62=Dashboard!$D$9),OR(Dashboard!$J$9="All",E62=Dashboard!$J$9)),1,0))</f>
        <v/>
      </c>
    </row>
    <row r="63">
      <c r="B63" s="160">
        <f>IF(Grid!$B35="","",33)</f>
        <v/>
      </c>
      <c r="C63" s="161">
        <f>IF(Grid!$B35="","",TRIM(INDEX('INPUT - Roster'!$F$1:$F$206,Grid!$B35)&amp;""))</f>
        <v/>
      </c>
      <c r="D63" s="158">
        <f>IF(Grid!$B35="","",TRIM(INDEX('INPUT - Roster'!$C$1:$C$206,Grid!$B35)&amp;""))</f>
        <v/>
      </c>
      <c r="E63" s="158">
        <f>IF(Grid!$B35="","",INDEX(Index!$C$2:$C$202,MATCH(Grid!$B35,Index!$A$2:$A$202,0)))</f>
        <v/>
      </c>
      <c r="F63" s="158">
        <f>IF(Grid!$B35="","",TRIM(INDEX('INPUT - Roster'!$H$1:$H$206,Grid!$B35)&amp;""))</f>
        <v/>
      </c>
      <c r="G63" s="160">
        <f>IF(Grid!$B35="","",TRIM(INDEX('INPUT - Roster'!$G$1:$G$206,Grid!$B35)&amp;""))</f>
        <v/>
      </c>
      <c r="H63" s="160">
        <f>IF(Grid!$B35="","",TRIM(INDEX('INPUT - Roster'!$R$1:$R$206,Grid!$B35)&amp;""))</f>
        <v/>
      </c>
      <c r="I63" s="160">
        <f>IF(Grid!$B35="","",TRIM(INDEX('INPUT - Roster'!$O$1:$O$206,Grid!$B35)&amp;""))</f>
        <v/>
      </c>
      <c r="J63" s="160">
        <f>IF(Grid!$B35="","",TRIM(INDEX('INPUT - Roster'!$J$1:$J$206,Grid!$B35)&amp;""))</f>
        <v/>
      </c>
      <c r="K63" s="160">
        <f>IF(Grid!$B35="","",TRIM(INDEX('INPUT - Roster'!$K$1:$K$206,Grid!$B35)&amp;""))</f>
        <v/>
      </c>
      <c r="L63" s="160">
        <f>IF(Grid!$B35="","",TRIM(INDEX('INPUT - Roster'!$L$1:$L$206,Grid!$B35)&amp;""))</f>
        <v/>
      </c>
      <c r="M63" s="160">
        <f>IF(Grid!$B35="","",TRIM(INDEX('INPUT - Roster'!$M$1:$M$206,Grid!$B35)&amp;""))</f>
        <v/>
      </c>
      <c r="N63" s="158">
        <f>Grid!F35</f>
        <v/>
      </c>
      <c r="O63" s="160">
        <f>Grid!AI35</f>
        <v/>
      </c>
      <c r="P63" s="160">
        <f>Grid!BL35</f>
        <v/>
      </c>
      <c r="Q63" s="162">
        <f>IF(Grid!$D35="","",INDEX(Grid!$F$2:$AG$2,Grid!$D35))</f>
        <v/>
      </c>
      <c r="R63" s="158">
        <f>IF(Grid!$D35="","",INDEX(Grid!$F35:$AG35,Grid!$D35))</f>
        <v/>
      </c>
      <c r="S63" s="160">
        <f>IF(Grid!$B35="","",IFERROR(TRIM(INDEX('BHP Site Access'!$G$3:$G$104,MATCH(LOWER(TRIM(INDEX('INPUT - Roster'!$D$1:$D$206,Grid!$B35)&amp;"")&amp;"|"&amp;TRIM(INDEX('INPUT - Roster'!$E$1:$E$206,Grid!$B35)&amp;"")),Calc!$AX$3:$AX$104,0))&amp;""),"Not listed"))</f>
        <v/>
      </c>
      <c r="T63" s="160">
        <f>IF(OR(Grid!$B35="",ISNUMBER(SEARCH("demob",E63))),"",IF(AND(UPPER(TRIM(J63&amp;""))="YES",UPPER(TRIM(K63&amp;""))="YES",UPPER(TRIM(L63&amp;""))="YES",LEFT(UPPER(M63),14)="QUALS COMPLETE"),"","GAP"))</f>
        <v/>
      </c>
      <c r="U63" s="163">
        <f>IF(Grid!$B35="",0,IF(AND(OR(Dashboard!$D$9="All",D63=Dashboard!$D$9),OR(Dashboard!$J$9="All",E63=Dashboard!$J$9)),1,0))</f>
        <v/>
      </c>
    </row>
    <row r="64">
      <c r="B64" s="160">
        <f>IF(Grid!$B36="","",34)</f>
        <v/>
      </c>
      <c r="C64" s="161">
        <f>IF(Grid!$B36="","",TRIM(INDEX('INPUT - Roster'!$F$1:$F$206,Grid!$B36)&amp;""))</f>
        <v/>
      </c>
      <c r="D64" s="158">
        <f>IF(Grid!$B36="","",TRIM(INDEX('INPUT - Roster'!$C$1:$C$206,Grid!$B36)&amp;""))</f>
        <v/>
      </c>
      <c r="E64" s="158">
        <f>IF(Grid!$B36="","",INDEX(Index!$C$2:$C$202,MATCH(Grid!$B36,Index!$A$2:$A$202,0)))</f>
        <v/>
      </c>
      <c r="F64" s="158">
        <f>IF(Grid!$B36="","",TRIM(INDEX('INPUT - Roster'!$H$1:$H$206,Grid!$B36)&amp;""))</f>
        <v/>
      </c>
      <c r="G64" s="160">
        <f>IF(Grid!$B36="","",TRIM(INDEX('INPUT - Roster'!$G$1:$G$206,Grid!$B36)&amp;""))</f>
        <v/>
      </c>
      <c r="H64" s="160">
        <f>IF(Grid!$B36="","",TRIM(INDEX('INPUT - Roster'!$R$1:$R$206,Grid!$B36)&amp;""))</f>
        <v/>
      </c>
      <c r="I64" s="160">
        <f>IF(Grid!$B36="","",TRIM(INDEX('INPUT - Roster'!$O$1:$O$206,Grid!$B36)&amp;""))</f>
        <v/>
      </c>
      <c r="J64" s="160">
        <f>IF(Grid!$B36="","",TRIM(INDEX('INPUT - Roster'!$J$1:$J$206,Grid!$B36)&amp;""))</f>
        <v/>
      </c>
      <c r="K64" s="160">
        <f>IF(Grid!$B36="","",TRIM(INDEX('INPUT - Roster'!$K$1:$K$206,Grid!$B36)&amp;""))</f>
        <v/>
      </c>
      <c r="L64" s="160">
        <f>IF(Grid!$B36="","",TRIM(INDEX('INPUT - Roster'!$L$1:$L$206,Grid!$B36)&amp;""))</f>
        <v/>
      </c>
      <c r="M64" s="160">
        <f>IF(Grid!$B36="","",TRIM(INDEX('INPUT - Roster'!$M$1:$M$206,Grid!$B36)&amp;""))</f>
        <v/>
      </c>
      <c r="N64" s="158">
        <f>Grid!F36</f>
        <v/>
      </c>
      <c r="O64" s="160">
        <f>Grid!AI36</f>
        <v/>
      </c>
      <c r="P64" s="160">
        <f>Grid!BL36</f>
        <v/>
      </c>
      <c r="Q64" s="162">
        <f>IF(Grid!$D36="","",INDEX(Grid!$F$2:$AG$2,Grid!$D36))</f>
        <v/>
      </c>
      <c r="R64" s="158">
        <f>IF(Grid!$D36="","",INDEX(Grid!$F36:$AG36,Grid!$D36))</f>
        <v/>
      </c>
      <c r="S64" s="160">
        <f>IF(Grid!$B36="","",IFERROR(TRIM(INDEX('BHP Site Access'!$G$3:$G$104,MATCH(LOWER(TRIM(INDEX('INPUT - Roster'!$D$1:$D$206,Grid!$B36)&amp;"")&amp;"|"&amp;TRIM(INDEX('INPUT - Roster'!$E$1:$E$206,Grid!$B36)&amp;"")),Calc!$AX$3:$AX$104,0))&amp;""),"Not listed"))</f>
        <v/>
      </c>
      <c r="T64" s="160">
        <f>IF(OR(Grid!$B36="",ISNUMBER(SEARCH("demob",E64))),"",IF(AND(UPPER(TRIM(J64&amp;""))="YES",UPPER(TRIM(K64&amp;""))="YES",UPPER(TRIM(L64&amp;""))="YES",LEFT(UPPER(M64),14)="QUALS COMPLETE"),"","GAP"))</f>
        <v/>
      </c>
      <c r="U64" s="163">
        <f>IF(Grid!$B36="",0,IF(AND(OR(Dashboard!$D$9="All",D64=Dashboard!$D$9),OR(Dashboard!$J$9="All",E64=Dashboard!$J$9)),1,0))</f>
        <v/>
      </c>
    </row>
    <row r="65">
      <c r="B65" s="160">
        <f>IF(Grid!$B37="","",35)</f>
        <v/>
      </c>
      <c r="C65" s="161">
        <f>IF(Grid!$B37="","",TRIM(INDEX('INPUT - Roster'!$F$1:$F$206,Grid!$B37)&amp;""))</f>
        <v/>
      </c>
      <c r="D65" s="158">
        <f>IF(Grid!$B37="","",TRIM(INDEX('INPUT - Roster'!$C$1:$C$206,Grid!$B37)&amp;""))</f>
        <v/>
      </c>
      <c r="E65" s="158">
        <f>IF(Grid!$B37="","",INDEX(Index!$C$2:$C$202,MATCH(Grid!$B37,Index!$A$2:$A$202,0)))</f>
        <v/>
      </c>
      <c r="F65" s="158">
        <f>IF(Grid!$B37="","",TRIM(INDEX('INPUT - Roster'!$H$1:$H$206,Grid!$B37)&amp;""))</f>
        <v/>
      </c>
      <c r="G65" s="160">
        <f>IF(Grid!$B37="","",TRIM(INDEX('INPUT - Roster'!$G$1:$G$206,Grid!$B37)&amp;""))</f>
        <v/>
      </c>
      <c r="H65" s="160">
        <f>IF(Grid!$B37="","",TRIM(INDEX('INPUT - Roster'!$R$1:$R$206,Grid!$B37)&amp;""))</f>
        <v/>
      </c>
      <c r="I65" s="160">
        <f>IF(Grid!$B37="","",TRIM(INDEX('INPUT - Roster'!$O$1:$O$206,Grid!$B37)&amp;""))</f>
        <v/>
      </c>
      <c r="J65" s="160">
        <f>IF(Grid!$B37="","",TRIM(INDEX('INPUT - Roster'!$J$1:$J$206,Grid!$B37)&amp;""))</f>
        <v/>
      </c>
      <c r="K65" s="160">
        <f>IF(Grid!$B37="","",TRIM(INDEX('INPUT - Roster'!$K$1:$K$206,Grid!$B37)&amp;""))</f>
        <v/>
      </c>
      <c r="L65" s="160">
        <f>IF(Grid!$B37="","",TRIM(INDEX('INPUT - Roster'!$L$1:$L$206,Grid!$B37)&amp;""))</f>
        <v/>
      </c>
      <c r="M65" s="160">
        <f>IF(Grid!$B37="","",TRIM(INDEX('INPUT - Roster'!$M$1:$M$206,Grid!$B37)&amp;""))</f>
        <v/>
      </c>
      <c r="N65" s="158">
        <f>Grid!F37</f>
        <v/>
      </c>
      <c r="O65" s="160">
        <f>Grid!AI37</f>
        <v/>
      </c>
      <c r="P65" s="160">
        <f>Grid!BL37</f>
        <v/>
      </c>
      <c r="Q65" s="162">
        <f>IF(Grid!$D37="","",INDEX(Grid!$F$2:$AG$2,Grid!$D37))</f>
        <v/>
      </c>
      <c r="R65" s="158">
        <f>IF(Grid!$D37="","",INDEX(Grid!$F37:$AG37,Grid!$D37))</f>
        <v/>
      </c>
      <c r="S65" s="160">
        <f>IF(Grid!$B37="","",IFERROR(TRIM(INDEX('BHP Site Access'!$G$3:$G$104,MATCH(LOWER(TRIM(INDEX('INPUT - Roster'!$D$1:$D$206,Grid!$B37)&amp;"")&amp;"|"&amp;TRIM(INDEX('INPUT - Roster'!$E$1:$E$206,Grid!$B37)&amp;"")),Calc!$AX$3:$AX$104,0))&amp;""),"Not listed"))</f>
        <v/>
      </c>
      <c r="T65" s="160">
        <f>IF(OR(Grid!$B37="",ISNUMBER(SEARCH("demob",E65))),"",IF(AND(UPPER(TRIM(J65&amp;""))="YES",UPPER(TRIM(K65&amp;""))="YES",UPPER(TRIM(L65&amp;""))="YES",LEFT(UPPER(M65),14)="QUALS COMPLETE"),"","GAP"))</f>
        <v/>
      </c>
      <c r="U65" s="163">
        <f>IF(Grid!$B37="",0,IF(AND(OR(Dashboard!$D$9="All",D65=Dashboard!$D$9),OR(Dashboard!$J$9="All",E65=Dashboard!$J$9)),1,0))</f>
        <v/>
      </c>
    </row>
    <row r="66">
      <c r="B66" s="160">
        <f>IF(Grid!$B38="","",36)</f>
        <v/>
      </c>
      <c r="C66" s="161">
        <f>IF(Grid!$B38="","",TRIM(INDEX('INPUT - Roster'!$F$1:$F$206,Grid!$B38)&amp;""))</f>
        <v/>
      </c>
      <c r="D66" s="158">
        <f>IF(Grid!$B38="","",TRIM(INDEX('INPUT - Roster'!$C$1:$C$206,Grid!$B38)&amp;""))</f>
        <v/>
      </c>
      <c r="E66" s="158">
        <f>IF(Grid!$B38="","",INDEX(Index!$C$2:$C$202,MATCH(Grid!$B38,Index!$A$2:$A$202,0)))</f>
        <v/>
      </c>
      <c r="F66" s="158">
        <f>IF(Grid!$B38="","",TRIM(INDEX('INPUT - Roster'!$H$1:$H$206,Grid!$B38)&amp;""))</f>
        <v/>
      </c>
      <c r="G66" s="160">
        <f>IF(Grid!$B38="","",TRIM(INDEX('INPUT - Roster'!$G$1:$G$206,Grid!$B38)&amp;""))</f>
        <v/>
      </c>
      <c r="H66" s="160">
        <f>IF(Grid!$B38="","",TRIM(INDEX('INPUT - Roster'!$R$1:$R$206,Grid!$B38)&amp;""))</f>
        <v/>
      </c>
      <c r="I66" s="160">
        <f>IF(Grid!$B38="","",TRIM(INDEX('INPUT - Roster'!$O$1:$O$206,Grid!$B38)&amp;""))</f>
        <v/>
      </c>
      <c r="J66" s="160">
        <f>IF(Grid!$B38="","",TRIM(INDEX('INPUT - Roster'!$J$1:$J$206,Grid!$B38)&amp;""))</f>
        <v/>
      </c>
      <c r="K66" s="160">
        <f>IF(Grid!$B38="","",TRIM(INDEX('INPUT - Roster'!$K$1:$K$206,Grid!$B38)&amp;""))</f>
        <v/>
      </c>
      <c r="L66" s="160">
        <f>IF(Grid!$B38="","",TRIM(INDEX('INPUT - Roster'!$L$1:$L$206,Grid!$B38)&amp;""))</f>
        <v/>
      </c>
      <c r="M66" s="160">
        <f>IF(Grid!$B38="","",TRIM(INDEX('INPUT - Roster'!$M$1:$M$206,Grid!$B38)&amp;""))</f>
        <v/>
      </c>
      <c r="N66" s="158">
        <f>Grid!F38</f>
        <v/>
      </c>
      <c r="O66" s="160">
        <f>Grid!AI38</f>
        <v/>
      </c>
      <c r="P66" s="160">
        <f>Grid!BL38</f>
        <v/>
      </c>
      <c r="Q66" s="162">
        <f>IF(Grid!$D38="","",INDEX(Grid!$F$2:$AG$2,Grid!$D38))</f>
        <v/>
      </c>
      <c r="R66" s="158">
        <f>IF(Grid!$D38="","",INDEX(Grid!$F38:$AG38,Grid!$D38))</f>
        <v/>
      </c>
      <c r="S66" s="160">
        <f>IF(Grid!$B38="","",IFERROR(TRIM(INDEX('BHP Site Access'!$G$3:$G$104,MATCH(LOWER(TRIM(INDEX('INPUT - Roster'!$D$1:$D$206,Grid!$B38)&amp;"")&amp;"|"&amp;TRIM(INDEX('INPUT - Roster'!$E$1:$E$206,Grid!$B38)&amp;"")),Calc!$AX$3:$AX$104,0))&amp;""),"Not listed"))</f>
        <v/>
      </c>
      <c r="T66" s="160">
        <f>IF(OR(Grid!$B38="",ISNUMBER(SEARCH("demob",E66))),"",IF(AND(UPPER(TRIM(J66&amp;""))="YES",UPPER(TRIM(K66&amp;""))="YES",UPPER(TRIM(L66&amp;""))="YES",LEFT(UPPER(M66),14)="QUALS COMPLETE"),"","GAP"))</f>
        <v/>
      </c>
      <c r="U66" s="163">
        <f>IF(Grid!$B38="",0,IF(AND(OR(Dashboard!$D$9="All",D66=Dashboard!$D$9),OR(Dashboard!$J$9="All",E66=Dashboard!$J$9)),1,0))</f>
        <v/>
      </c>
    </row>
    <row r="67">
      <c r="B67" s="160">
        <f>IF(Grid!$B39="","",37)</f>
        <v/>
      </c>
      <c r="C67" s="161">
        <f>IF(Grid!$B39="","",TRIM(INDEX('INPUT - Roster'!$F$1:$F$206,Grid!$B39)&amp;""))</f>
        <v/>
      </c>
      <c r="D67" s="158">
        <f>IF(Grid!$B39="","",TRIM(INDEX('INPUT - Roster'!$C$1:$C$206,Grid!$B39)&amp;""))</f>
        <v/>
      </c>
      <c r="E67" s="158">
        <f>IF(Grid!$B39="","",INDEX(Index!$C$2:$C$202,MATCH(Grid!$B39,Index!$A$2:$A$202,0)))</f>
        <v/>
      </c>
      <c r="F67" s="158">
        <f>IF(Grid!$B39="","",TRIM(INDEX('INPUT - Roster'!$H$1:$H$206,Grid!$B39)&amp;""))</f>
        <v/>
      </c>
      <c r="G67" s="160">
        <f>IF(Grid!$B39="","",TRIM(INDEX('INPUT - Roster'!$G$1:$G$206,Grid!$B39)&amp;""))</f>
        <v/>
      </c>
      <c r="H67" s="160">
        <f>IF(Grid!$B39="","",TRIM(INDEX('INPUT - Roster'!$R$1:$R$206,Grid!$B39)&amp;""))</f>
        <v/>
      </c>
      <c r="I67" s="160">
        <f>IF(Grid!$B39="","",TRIM(INDEX('INPUT - Roster'!$O$1:$O$206,Grid!$B39)&amp;""))</f>
        <v/>
      </c>
      <c r="J67" s="160">
        <f>IF(Grid!$B39="","",TRIM(INDEX('INPUT - Roster'!$J$1:$J$206,Grid!$B39)&amp;""))</f>
        <v/>
      </c>
      <c r="K67" s="160">
        <f>IF(Grid!$B39="","",TRIM(INDEX('INPUT - Roster'!$K$1:$K$206,Grid!$B39)&amp;""))</f>
        <v/>
      </c>
      <c r="L67" s="160">
        <f>IF(Grid!$B39="","",TRIM(INDEX('INPUT - Roster'!$L$1:$L$206,Grid!$B39)&amp;""))</f>
        <v/>
      </c>
      <c r="M67" s="160">
        <f>IF(Grid!$B39="","",TRIM(INDEX('INPUT - Roster'!$M$1:$M$206,Grid!$B39)&amp;""))</f>
        <v/>
      </c>
      <c r="N67" s="158">
        <f>Grid!F39</f>
        <v/>
      </c>
      <c r="O67" s="160">
        <f>Grid!AI39</f>
        <v/>
      </c>
      <c r="P67" s="160">
        <f>Grid!BL39</f>
        <v/>
      </c>
      <c r="Q67" s="162">
        <f>IF(Grid!$D39="","",INDEX(Grid!$F$2:$AG$2,Grid!$D39))</f>
        <v/>
      </c>
      <c r="R67" s="158">
        <f>IF(Grid!$D39="","",INDEX(Grid!$F39:$AG39,Grid!$D39))</f>
        <v/>
      </c>
      <c r="S67" s="160">
        <f>IF(Grid!$B39="","",IFERROR(TRIM(INDEX('BHP Site Access'!$G$3:$G$104,MATCH(LOWER(TRIM(INDEX('INPUT - Roster'!$D$1:$D$206,Grid!$B39)&amp;"")&amp;"|"&amp;TRIM(INDEX('INPUT - Roster'!$E$1:$E$206,Grid!$B39)&amp;"")),Calc!$AX$3:$AX$104,0))&amp;""),"Not listed"))</f>
        <v/>
      </c>
      <c r="T67" s="160">
        <f>IF(OR(Grid!$B39="",ISNUMBER(SEARCH("demob",E67))),"",IF(AND(UPPER(TRIM(J67&amp;""))="YES",UPPER(TRIM(K67&amp;""))="YES",UPPER(TRIM(L67&amp;""))="YES",LEFT(UPPER(M67),14)="QUALS COMPLETE"),"","GAP"))</f>
        <v/>
      </c>
      <c r="U67" s="163">
        <f>IF(Grid!$B39="",0,IF(AND(OR(Dashboard!$D$9="All",D67=Dashboard!$D$9),OR(Dashboard!$J$9="All",E67=Dashboard!$J$9)),1,0))</f>
        <v/>
      </c>
    </row>
    <row r="68">
      <c r="B68" s="160">
        <f>IF(Grid!$B40="","",38)</f>
        <v/>
      </c>
      <c r="C68" s="161">
        <f>IF(Grid!$B40="","",TRIM(INDEX('INPUT - Roster'!$F$1:$F$206,Grid!$B40)&amp;""))</f>
        <v/>
      </c>
      <c r="D68" s="158">
        <f>IF(Grid!$B40="","",TRIM(INDEX('INPUT - Roster'!$C$1:$C$206,Grid!$B40)&amp;""))</f>
        <v/>
      </c>
      <c r="E68" s="158">
        <f>IF(Grid!$B40="","",INDEX(Index!$C$2:$C$202,MATCH(Grid!$B40,Index!$A$2:$A$202,0)))</f>
        <v/>
      </c>
      <c r="F68" s="158">
        <f>IF(Grid!$B40="","",TRIM(INDEX('INPUT - Roster'!$H$1:$H$206,Grid!$B40)&amp;""))</f>
        <v/>
      </c>
      <c r="G68" s="160">
        <f>IF(Grid!$B40="","",TRIM(INDEX('INPUT - Roster'!$G$1:$G$206,Grid!$B40)&amp;""))</f>
        <v/>
      </c>
      <c r="H68" s="160">
        <f>IF(Grid!$B40="","",TRIM(INDEX('INPUT - Roster'!$R$1:$R$206,Grid!$B40)&amp;""))</f>
        <v/>
      </c>
      <c r="I68" s="160">
        <f>IF(Grid!$B40="","",TRIM(INDEX('INPUT - Roster'!$O$1:$O$206,Grid!$B40)&amp;""))</f>
        <v/>
      </c>
      <c r="J68" s="160">
        <f>IF(Grid!$B40="","",TRIM(INDEX('INPUT - Roster'!$J$1:$J$206,Grid!$B40)&amp;""))</f>
        <v/>
      </c>
      <c r="K68" s="160">
        <f>IF(Grid!$B40="","",TRIM(INDEX('INPUT - Roster'!$K$1:$K$206,Grid!$B40)&amp;""))</f>
        <v/>
      </c>
      <c r="L68" s="160">
        <f>IF(Grid!$B40="","",TRIM(INDEX('INPUT - Roster'!$L$1:$L$206,Grid!$B40)&amp;""))</f>
        <v/>
      </c>
      <c r="M68" s="160">
        <f>IF(Grid!$B40="","",TRIM(INDEX('INPUT - Roster'!$M$1:$M$206,Grid!$B40)&amp;""))</f>
        <v/>
      </c>
      <c r="N68" s="158">
        <f>Grid!F40</f>
        <v/>
      </c>
      <c r="O68" s="160">
        <f>Grid!AI40</f>
        <v/>
      </c>
      <c r="P68" s="160">
        <f>Grid!BL40</f>
        <v/>
      </c>
      <c r="Q68" s="162">
        <f>IF(Grid!$D40="","",INDEX(Grid!$F$2:$AG$2,Grid!$D40))</f>
        <v/>
      </c>
      <c r="R68" s="158">
        <f>IF(Grid!$D40="","",INDEX(Grid!$F40:$AG40,Grid!$D40))</f>
        <v/>
      </c>
      <c r="S68" s="160">
        <f>IF(Grid!$B40="","",IFERROR(TRIM(INDEX('BHP Site Access'!$G$3:$G$104,MATCH(LOWER(TRIM(INDEX('INPUT - Roster'!$D$1:$D$206,Grid!$B40)&amp;"")&amp;"|"&amp;TRIM(INDEX('INPUT - Roster'!$E$1:$E$206,Grid!$B40)&amp;"")),Calc!$AX$3:$AX$104,0))&amp;""),"Not listed"))</f>
        <v/>
      </c>
      <c r="T68" s="160">
        <f>IF(OR(Grid!$B40="",ISNUMBER(SEARCH("demob",E68))),"",IF(AND(UPPER(TRIM(J68&amp;""))="YES",UPPER(TRIM(K68&amp;""))="YES",UPPER(TRIM(L68&amp;""))="YES",LEFT(UPPER(M68),14)="QUALS COMPLETE"),"","GAP"))</f>
        <v/>
      </c>
      <c r="U68" s="163">
        <f>IF(Grid!$B40="",0,IF(AND(OR(Dashboard!$D$9="All",D68=Dashboard!$D$9),OR(Dashboard!$J$9="All",E68=Dashboard!$J$9)),1,0))</f>
        <v/>
      </c>
    </row>
    <row r="69">
      <c r="B69" s="160">
        <f>IF(Grid!$B41="","",39)</f>
        <v/>
      </c>
      <c r="C69" s="161">
        <f>IF(Grid!$B41="","",TRIM(INDEX('INPUT - Roster'!$F$1:$F$206,Grid!$B41)&amp;""))</f>
        <v/>
      </c>
      <c r="D69" s="158">
        <f>IF(Grid!$B41="","",TRIM(INDEX('INPUT - Roster'!$C$1:$C$206,Grid!$B41)&amp;""))</f>
        <v/>
      </c>
      <c r="E69" s="158">
        <f>IF(Grid!$B41="","",INDEX(Index!$C$2:$C$202,MATCH(Grid!$B41,Index!$A$2:$A$202,0)))</f>
        <v/>
      </c>
      <c r="F69" s="158">
        <f>IF(Grid!$B41="","",TRIM(INDEX('INPUT - Roster'!$H$1:$H$206,Grid!$B41)&amp;""))</f>
        <v/>
      </c>
      <c r="G69" s="160">
        <f>IF(Grid!$B41="","",TRIM(INDEX('INPUT - Roster'!$G$1:$G$206,Grid!$B41)&amp;""))</f>
        <v/>
      </c>
      <c r="H69" s="160">
        <f>IF(Grid!$B41="","",TRIM(INDEX('INPUT - Roster'!$R$1:$R$206,Grid!$B41)&amp;""))</f>
        <v/>
      </c>
      <c r="I69" s="160">
        <f>IF(Grid!$B41="","",TRIM(INDEX('INPUT - Roster'!$O$1:$O$206,Grid!$B41)&amp;""))</f>
        <v/>
      </c>
      <c r="J69" s="160">
        <f>IF(Grid!$B41="","",TRIM(INDEX('INPUT - Roster'!$J$1:$J$206,Grid!$B41)&amp;""))</f>
        <v/>
      </c>
      <c r="K69" s="160">
        <f>IF(Grid!$B41="","",TRIM(INDEX('INPUT - Roster'!$K$1:$K$206,Grid!$B41)&amp;""))</f>
        <v/>
      </c>
      <c r="L69" s="160">
        <f>IF(Grid!$B41="","",TRIM(INDEX('INPUT - Roster'!$L$1:$L$206,Grid!$B41)&amp;""))</f>
        <v/>
      </c>
      <c r="M69" s="160">
        <f>IF(Grid!$B41="","",TRIM(INDEX('INPUT - Roster'!$M$1:$M$206,Grid!$B41)&amp;""))</f>
        <v/>
      </c>
      <c r="N69" s="158">
        <f>Grid!F41</f>
        <v/>
      </c>
      <c r="O69" s="160">
        <f>Grid!AI41</f>
        <v/>
      </c>
      <c r="P69" s="160">
        <f>Grid!BL41</f>
        <v/>
      </c>
      <c r="Q69" s="162">
        <f>IF(Grid!$D41="","",INDEX(Grid!$F$2:$AG$2,Grid!$D41))</f>
        <v/>
      </c>
      <c r="R69" s="158">
        <f>IF(Grid!$D41="","",INDEX(Grid!$F41:$AG41,Grid!$D41))</f>
        <v/>
      </c>
      <c r="S69" s="160">
        <f>IF(Grid!$B41="","",IFERROR(TRIM(INDEX('BHP Site Access'!$G$3:$G$104,MATCH(LOWER(TRIM(INDEX('INPUT - Roster'!$D$1:$D$206,Grid!$B41)&amp;"")&amp;"|"&amp;TRIM(INDEX('INPUT - Roster'!$E$1:$E$206,Grid!$B41)&amp;"")),Calc!$AX$3:$AX$104,0))&amp;""),"Not listed"))</f>
        <v/>
      </c>
      <c r="T69" s="160">
        <f>IF(OR(Grid!$B41="",ISNUMBER(SEARCH("demob",E69))),"",IF(AND(UPPER(TRIM(J69&amp;""))="YES",UPPER(TRIM(K69&amp;""))="YES",UPPER(TRIM(L69&amp;""))="YES",LEFT(UPPER(M69),14)="QUALS COMPLETE"),"","GAP"))</f>
        <v/>
      </c>
      <c r="U69" s="163">
        <f>IF(Grid!$B41="",0,IF(AND(OR(Dashboard!$D$9="All",D69=Dashboard!$D$9),OR(Dashboard!$J$9="All",E69=Dashboard!$J$9)),1,0))</f>
        <v/>
      </c>
    </row>
    <row r="70">
      <c r="B70" s="160">
        <f>IF(Grid!$B42="","",40)</f>
        <v/>
      </c>
      <c r="C70" s="161">
        <f>IF(Grid!$B42="","",TRIM(INDEX('INPUT - Roster'!$F$1:$F$206,Grid!$B42)&amp;""))</f>
        <v/>
      </c>
      <c r="D70" s="158">
        <f>IF(Grid!$B42="","",TRIM(INDEX('INPUT - Roster'!$C$1:$C$206,Grid!$B42)&amp;""))</f>
        <v/>
      </c>
      <c r="E70" s="158">
        <f>IF(Grid!$B42="","",INDEX(Index!$C$2:$C$202,MATCH(Grid!$B42,Index!$A$2:$A$202,0)))</f>
        <v/>
      </c>
      <c r="F70" s="158">
        <f>IF(Grid!$B42="","",TRIM(INDEX('INPUT - Roster'!$H$1:$H$206,Grid!$B42)&amp;""))</f>
        <v/>
      </c>
      <c r="G70" s="160">
        <f>IF(Grid!$B42="","",TRIM(INDEX('INPUT - Roster'!$G$1:$G$206,Grid!$B42)&amp;""))</f>
        <v/>
      </c>
      <c r="H70" s="160">
        <f>IF(Grid!$B42="","",TRIM(INDEX('INPUT - Roster'!$R$1:$R$206,Grid!$B42)&amp;""))</f>
        <v/>
      </c>
      <c r="I70" s="160">
        <f>IF(Grid!$B42="","",TRIM(INDEX('INPUT - Roster'!$O$1:$O$206,Grid!$B42)&amp;""))</f>
        <v/>
      </c>
      <c r="J70" s="160">
        <f>IF(Grid!$B42="","",TRIM(INDEX('INPUT - Roster'!$J$1:$J$206,Grid!$B42)&amp;""))</f>
        <v/>
      </c>
      <c r="K70" s="160">
        <f>IF(Grid!$B42="","",TRIM(INDEX('INPUT - Roster'!$K$1:$K$206,Grid!$B42)&amp;""))</f>
        <v/>
      </c>
      <c r="L70" s="160">
        <f>IF(Grid!$B42="","",TRIM(INDEX('INPUT - Roster'!$L$1:$L$206,Grid!$B42)&amp;""))</f>
        <v/>
      </c>
      <c r="M70" s="160">
        <f>IF(Grid!$B42="","",TRIM(INDEX('INPUT - Roster'!$M$1:$M$206,Grid!$B42)&amp;""))</f>
        <v/>
      </c>
      <c r="N70" s="158">
        <f>Grid!F42</f>
        <v/>
      </c>
      <c r="O70" s="160">
        <f>Grid!AI42</f>
        <v/>
      </c>
      <c r="P70" s="160">
        <f>Grid!BL42</f>
        <v/>
      </c>
      <c r="Q70" s="162">
        <f>IF(Grid!$D42="","",INDEX(Grid!$F$2:$AG$2,Grid!$D42))</f>
        <v/>
      </c>
      <c r="R70" s="158">
        <f>IF(Grid!$D42="","",INDEX(Grid!$F42:$AG42,Grid!$D42))</f>
        <v/>
      </c>
      <c r="S70" s="160">
        <f>IF(Grid!$B42="","",IFERROR(TRIM(INDEX('BHP Site Access'!$G$3:$G$104,MATCH(LOWER(TRIM(INDEX('INPUT - Roster'!$D$1:$D$206,Grid!$B42)&amp;"")&amp;"|"&amp;TRIM(INDEX('INPUT - Roster'!$E$1:$E$206,Grid!$B42)&amp;"")),Calc!$AX$3:$AX$104,0))&amp;""),"Not listed"))</f>
        <v/>
      </c>
      <c r="T70" s="160">
        <f>IF(OR(Grid!$B42="",ISNUMBER(SEARCH("demob",E70))),"",IF(AND(UPPER(TRIM(J70&amp;""))="YES",UPPER(TRIM(K70&amp;""))="YES",UPPER(TRIM(L70&amp;""))="YES",LEFT(UPPER(M70),14)="QUALS COMPLETE"),"","GAP"))</f>
        <v/>
      </c>
      <c r="U70" s="163">
        <f>IF(Grid!$B42="",0,IF(AND(OR(Dashboard!$D$9="All",D70=Dashboard!$D$9),OR(Dashboard!$J$9="All",E70=Dashboard!$J$9)),1,0))</f>
        <v/>
      </c>
    </row>
    <row r="71">
      <c r="B71" s="160">
        <f>IF(Grid!$B43="","",41)</f>
        <v/>
      </c>
      <c r="C71" s="161">
        <f>IF(Grid!$B43="","",TRIM(INDEX('INPUT - Roster'!$F$1:$F$206,Grid!$B43)&amp;""))</f>
        <v/>
      </c>
      <c r="D71" s="158">
        <f>IF(Grid!$B43="","",TRIM(INDEX('INPUT - Roster'!$C$1:$C$206,Grid!$B43)&amp;""))</f>
        <v/>
      </c>
      <c r="E71" s="158">
        <f>IF(Grid!$B43="","",INDEX(Index!$C$2:$C$202,MATCH(Grid!$B43,Index!$A$2:$A$202,0)))</f>
        <v/>
      </c>
      <c r="F71" s="158">
        <f>IF(Grid!$B43="","",TRIM(INDEX('INPUT - Roster'!$H$1:$H$206,Grid!$B43)&amp;""))</f>
        <v/>
      </c>
      <c r="G71" s="160">
        <f>IF(Grid!$B43="","",TRIM(INDEX('INPUT - Roster'!$G$1:$G$206,Grid!$B43)&amp;""))</f>
        <v/>
      </c>
      <c r="H71" s="160">
        <f>IF(Grid!$B43="","",TRIM(INDEX('INPUT - Roster'!$R$1:$R$206,Grid!$B43)&amp;""))</f>
        <v/>
      </c>
      <c r="I71" s="160">
        <f>IF(Grid!$B43="","",TRIM(INDEX('INPUT - Roster'!$O$1:$O$206,Grid!$B43)&amp;""))</f>
        <v/>
      </c>
      <c r="J71" s="160">
        <f>IF(Grid!$B43="","",TRIM(INDEX('INPUT - Roster'!$J$1:$J$206,Grid!$B43)&amp;""))</f>
        <v/>
      </c>
      <c r="K71" s="160">
        <f>IF(Grid!$B43="","",TRIM(INDEX('INPUT - Roster'!$K$1:$K$206,Grid!$B43)&amp;""))</f>
        <v/>
      </c>
      <c r="L71" s="160">
        <f>IF(Grid!$B43="","",TRIM(INDEX('INPUT - Roster'!$L$1:$L$206,Grid!$B43)&amp;""))</f>
        <v/>
      </c>
      <c r="M71" s="160">
        <f>IF(Grid!$B43="","",TRIM(INDEX('INPUT - Roster'!$M$1:$M$206,Grid!$B43)&amp;""))</f>
        <v/>
      </c>
      <c r="N71" s="158">
        <f>Grid!F43</f>
        <v/>
      </c>
      <c r="O71" s="160">
        <f>Grid!AI43</f>
        <v/>
      </c>
      <c r="P71" s="160">
        <f>Grid!BL43</f>
        <v/>
      </c>
      <c r="Q71" s="162">
        <f>IF(Grid!$D43="","",INDEX(Grid!$F$2:$AG$2,Grid!$D43))</f>
        <v/>
      </c>
      <c r="R71" s="158">
        <f>IF(Grid!$D43="","",INDEX(Grid!$F43:$AG43,Grid!$D43))</f>
        <v/>
      </c>
      <c r="S71" s="160">
        <f>IF(Grid!$B43="","",IFERROR(TRIM(INDEX('BHP Site Access'!$G$3:$G$104,MATCH(LOWER(TRIM(INDEX('INPUT - Roster'!$D$1:$D$206,Grid!$B43)&amp;"")&amp;"|"&amp;TRIM(INDEX('INPUT - Roster'!$E$1:$E$206,Grid!$B43)&amp;"")),Calc!$AX$3:$AX$104,0))&amp;""),"Not listed"))</f>
        <v/>
      </c>
      <c r="T71" s="160">
        <f>IF(OR(Grid!$B43="",ISNUMBER(SEARCH("demob",E71))),"",IF(AND(UPPER(TRIM(J71&amp;""))="YES",UPPER(TRIM(K71&amp;""))="YES",UPPER(TRIM(L71&amp;""))="YES",LEFT(UPPER(M71),14)="QUALS COMPLETE"),"","GAP"))</f>
        <v/>
      </c>
      <c r="U71" s="163">
        <f>IF(Grid!$B43="",0,IF(AND(OR(Dashboard!$D$9="All",D71=Dashboard!$D$9),OR(Dashboard!$J$9="All",E71=Dashboard!$J$9)),1,0))</f>
        <v/>
      </c>
    </row>
    <row r="72">
      <c r="B72" s="160">
        <f>IF(Grid!$B44="","",42)</f>
        <v/>
      </c>
      <c r="C72" s="161">
        <f>IF(Grid!$B44="","",TRIM(INDEX('INPUT - Roster'!$F$1:$F$206,Grid!$B44)&amp;""))</f>
        <v/>
      </c>
      <c r="D72" s="158">
        <f>IF(Grid!$B44="","",TRIM(INDEX('INPUT - Roster'!$C$1:$C$206,Grid!$B44)&amp;""))</f>
        <v/>
      </c>
      <c r="E72" s="158">
        <f>IF(Grid!$B44="","",INDEX(Index!$C$2:$C$202,MATCH(Grid!$B44,Index!$A$2:$A$202,0)))</f>
        <v/>
      </c>
      <c r="F72" s="158">
        <f>IF(Grid!$B44="","",TRIM(INDEX('INPUT - Roster'!$H$1:$H$206,Grid!$B44)&amp;""))</f>
        <v/>
      </c>
      <c r="G72" s="160">
        <f>IF(Grid!$B44="","",TRIM(INDEX('INPUT - Roster'!$G$1:$G$206,Grid!$B44)&amp;""))</f>
        <v/>
      </c>
      <c r="H72" s="160">
        <f>IF(Grid!$B44="","",TRIM(INDEX('INPUT - Roster'!$R$1:$R$206,Grid!$B44)&amp;""))</f>
        <v/>
      </c>
      <c r="I72" s="160">
        <f>IF(Grid!$B44="","",TRIM(INDEX('INPUT - Roster'!$O$1:$O$206,Grid!$B44)&amp;""))</f>
        <v/>
      </c>
      <c r="J72" s="160">
        <f>IF(Grid!$B44="","",TRIM(INDEX('INPUT - Roster'!$J$1:$J$206,Grid!$B44)&amp;""))</f>
        <v/>
      </c>
      <c r="K72" s="160">
        <f>IF(Grid!$B44="","",TRIM(INDEX('INPUT - Roster'!$K$1:$K$206,Grid!$B44)&amp;""))</f>
        <v/>
      </c>
      <c r="L72" s="160">
        <f>IF(Grid!$B44="","",TRIM(INDEX('INPUT - Roster'!$L$1:$L$206,Grid!$B44)&amp;""))</f>
        <v/>
      </c>
      <c r="M72" s="160">
        <f>IF(Grid!$B44="","",TRIM(INDEX('INPUT - Roster'!$M$1:$M$206,Grid!$B44)&amp;""))</f>
        <v/>
      </c>
      <c r="N72" s="158">
        <f>Grid!F44</f>
        <v/>
      </c>
      <c r="O72" s="160">
        <f>Grid!AI44</f>
        <v/>
      </c>
      <c r="P72" s="160">
        <f>Grid!BL44</f>
        <v/>
      </c>
      <c r="Q72" s="162">
        <f>IF(Grid!$D44="","",INDEX(Grid!$F$2:$AG$2,Grid!$D44))</f>
        <v/>
      </c>
      <c r="R72" s="158">
        <f>IF(Grid!$D44="","",INDEX(Grid!$F44:$AG44,Grid!$D44))</f>
        <v/>
      </c>
      <c r="S72" s="160">
        <f>IF(Grid!$B44="","",IFERROR(TRIM(INDEX('BHP Site Access'!$G$3:$G$104,MATCH(LOWER(TRIM(INDEX('INPUT - Roster'!$D$1:$D$206,Grid!$B44)&amp;"")&amp;"|"&amp;TRIM(INDEX('INPUT - Roster'!$E$1:$E$206,Grid!$B44)&amp;"")),Calc!$AX$3:$AX$104,0))&amp;""),"Not listed"))</f>
        <v/>
      </c>
      <c r="T72" s="160">
        <f>IF(OR(Grid!$B44="",ISNUMBER(SEARCH("demob",E72))),"",IF(AND(UPPER(TRIM(J72&amp;""))="YES",UPPER(TRIM(K72&amp;""))="YES",UPPER(TRIM(L72&amp;""))="YES",LEFT(UPPER(M72),14)="QUALS COMPLETE"),"","GAP"))</f>
        <v/>
      </c>
      <c r="U72" s="163">
        <f>IF(Grid!$B44="",0,IF(AND(OR(Dashboard!$D$9="All",D72=Dashboard!$D$9),OR(Dashboard!$J$9="All",E72=Dashboard!$J$9)),1,0))</f>
        <v/>
      </c>
    </row>
    <row r="73">
      <c r="B73" s="160">
        <f>IF(Grid!$B45="","",43)</f>
        <v/>
      </c>
      <c r="C73" s="161">
        <f>IF(Grid!$B45="","",TRIM(INDEX('INPUT - Roster'!$F$1:$F$206,Grid!$B45)&amp;""))</f>
        <v/>
      </c>
      <c r="D73" s="158">
        <f>IF(Grid!$B45="","",TRIM(INDEX('INPUT - Roster'!$C$1:$C$206,Grid!$B45)&amp;""))</f>
        <v/>
      </c>
      <c r="E73" s="158">
        <f>IF(Grid!$B45="","",INDEX(Index!$C$2:$C$202,MATCH(Grid!$B45,Index!$A$2:$A$202,0)))</f>
        <v/>
      </c>
      <c r="F73" s="158">
        <f>IF(Grid!$B45="","",TRIM(INDEX('INPUT - Roster'!$H$1:$H$206,Grid!$B45)&amp;""))</f>
        <v/>
      </c>
      <c r="G73" s="160">
        <f>IF(Grid!$B45="","",TRIM(INDEX('INPUT - Roster'!$G$1:$G$206,Grid!$B45)&amp;""))</f>
        <v/>
      </c>
      <c r="H73" s="160">
        <f>IF(Grid!$B45="","",TRIM(INDEX('INPUT - Roster'!$R$1:$R$206,Grid!$B45)&amp;""))</f>
        <v/>
      </c>
      <c r="I73" s="160">
        <f>IF(Grid!$B45="","",TRIM(INDEX('INPUT - Roster'!$O$1:$O$206,Grid!$B45)&amp;""))</f>
        <v/>
      </c>
      <c r="J73" s="160">
        <f>IF(Grid!$B45="","",TRIM(INDEX('INPUT - Roster'!$J$1:$J$206,Grid!$B45)&amp;""))</f>
        <v/>
      </c>
      <c r="K73" s="160">
        <f>IF(Grid!$B45="","",TRIM(INDEX('INPUT - Roster'!$K$1:$K$206,Grid!$B45)&amp;""))</f>
        <v/>
      </c>
      <c r="L73" s="160">
        <f>IF(Grid!$B45="","",TRIM(INDEX('INPUT - Roster'!$L$1:$L$206,Grid!$B45)&amp;""))</f>
        <v/>
      </c>
      <c r="M73" s="160">
        <f>IF(Grid!$B45="","",TRIM(INDEX('INPUT - Roster'!$M$1:$M$206,Grid!$B45)&amp;""))</f>
        <v/>
      </c>
      <c r="N73" s="158">
        <f>Grid!F45</f>
        <v/>
      </c>
      <c r="O73" s="160">
        <f>Grid!AI45</f>
        <v/>
      </c>
      <c r="P73" s="160">
        <f>Grid!BL45</f>
        <v/>
      </c>
      <c r="Q73" s="162">
        <f>IF(Grid!$D45="","",INDEX(Grid!$F$2:$AG$2,Grid!$D45))</f>
        <v/>
      </c>
      <c r="R73" s="158">
        <f>IF(Grid!$D45="","",INDEX(Grid!$F45:$AG45,Grid!$D45))</f>
        <v/>
      </c>
      <c r="S73" s="160">
        <f>IF(Grid!$B45="","",IFERROR(TRIM(INDEX('BHP Site Access'!$G$3:$G$104,MATCH(LOWER(TRIM(INDEX('INPUT - Roster'!$D$1:$D$206,Grid!$B45)&amp;"")&amp;"|"&amp;TRIM(INDEX('INPUT - Roster'!$E$1:$E$206,Grid!$B45)&amp;"")),Calc!$AX$3:$AX$104,0))&amp;""),"Not listed"))</f>
        <v/>
      </c>
      <c r="T73" s="160">
        <f>IF(OR(Grid!$B45="",ISNUMBER(SEARCH("demob",E73))),"",IF(AND(UPPER(TRIM(J73&amp;""))="YES",UPPER(TRIM(K73&amp;""))="YES",UPPER(TRIM(L73&amp;""))="YES",LEFT(UPPER(M73),14)="QUALS COMPLETE"),"","GAP"))</f>
        <v/>
      </c>
      <c r="U73" s="163">
        <f>IF(Grid!$B45="",0,IF(AND(OR(Dashboard!$D$9="All",D73=Dashboard!$D$9),OR(Dashboard!$J$9="All",E73=Dashboard!$J$9)),1,0))</f>
        <v/>
      </c>
    </row>
    <row r="74">
      <c r="B74" s="160">
        <f>IF(Grid!$B46="","",44)</f>
        <v/>
      </c>
      <c r="C74" s="161">
        <f>IF(Grid!$B46="","",TRIM(INDEX('INPUT - Roster'!$F$1:$F$206,Grid!$B46)&amp;""))</f>
        <v/>
      </c>
      <c r="D74" s="158">
        <f>IF(Grid!$B46="","",TRIM(INDEX('INPUT - Roster'!$C$1:$C$206,Grid!$B46)&amp;""))</f>
        <v/>
      </c>
      <c r="E74" s="158">
        <f>IF(Grid!$B46="","",INDEX(Index!$C$2:$C$202,MATCH(Grid!$B46,Index!$A$2:$A$202,0)))</f>
        <v/>
      </c>
      <c r="F74" s="158">
        <f>IF(Grid!$B46="","",TRIM(INDEX('INPUT - Roster'!$H$1:$H$206,Grid!$B46)&amp;""))</f>
        <v/>
      </c>
      <c r="G74" s="160">
        <f>IF(Grid!$B46="","",TRIM(INDEX('INPUT - Roster'!$G$1:$G$206,Grid!$B46)&amp;""))</f>
        <v/>
      </c>
      <c r="H74" s="160">
        <f>IF(Grid!$B46="","",TRIM(INDEX('INPUT - Roster'!$R$1:$R$206,Grid!$B46)&amp;""))</f>
        <v/>
      </c>
      <c r="I74" s="160">
        <f>IF(Grid!$B46="","",TRIM(INDEX('INPUT - Roster'!$O$1:$O$206,Grid!$B46)&amp;""))</f>
        <v/>
      </c>
      <c r="J74" s="160">
        <f>IF(Grid!$B46="","",TRIM(INDEX('INPUT - Roster'!$J$1:$J$206,Grid!$B46)&amp;""))</f>
        <v/>
      </c>
      <c r="K74" s="160">
        <f>IF(Grid!$B46="","",TRIM(INDEX('INPUT - Roster'!$K$1:$K$206,Grid!$B46)&amp;""))</f>
        <v/>
      </c>
      <c r="L74" s="160">
        <f>IF(Grid!$B46="","",TRIM(INDEX('INPUT - Roster'!$L$1:$L$206,Grid!$B46)&amp;""))</f>
        <v/>
      </c>
      <c r="M74" s="160">
        <f>IF(Grid!$B46="","",TRIM(INDEX('INPUT - Roster'!$M$1:$M$206,Grid!$B46)&amp;""))</f>
        <v/>
      </c>
      <c r="N74" s="158">
        <f>Grid!F46</f>
        <v/>
      </c>
      <c r="O74" s="160">
        <f>Grid!AI46</f>
        <v/>
      </c>
      <c r="P74" s="160">
        <f>Grid!BL46</f>
        <v/>
      </c>
      <c r="Q74" s="162">
        <f>IF(Grid!$D46="","",INDEX(Grid!$F$2:$AG$2,Grid!$D46))</f>
        <v/>
      </c>
      <c r="R74" s="158">
        <f>IF(Grid!$D46="","",INDEX(Grid!$F46:$AG46,Grid!$D46))</f>
        <v/>
      </c>
      <c r="S74" s="160">
        <f>IF(Grid!$B46="","",IFERROR(TRIM(INDEX('BHP Site Access'!$G$3:$G$104,MATCH(LOWER(TRIM(INDEX('INPUT - Roster'!$D$1:$D$206,Grid!$B46)&amp;"")&amp;"|"&amp;TRIM(INDEX('INPUT - Roster'!$E$1:$E$206,Grid!$B46)&amp;"")),Calc!$AX$3:$AX$104,0))&amp;""),"Not listed"))</f>
        <v/>
      </c>
      <c r="T74" s="160">
        <f>IF(OR(Grid!$B46="",ISNUMBER(SEARCH("demob",E74))),"",IF(AND(UPPER(TRIM(J74&amp;""))="YES",UPPER(TRIM(K74&amp;""))="YES",UPPER(TRIM(L74&amp;""))="YES",LEFT(UPPER(M74),14)="QUALS COMPLETE"),"","GAP"))</f>
        <v/>
      </c>
      <c r="U74" s="163">
        <f>IF(Grid!$B46="",0,IF(AND(OR(Dashboard!$D$9="All",D74=Dashboard!$D$9),OR(Dashboard!$J$9="All",E74=Dashboard!$J$9)),1,0))</f>
        <v/>
      </c>
    </row>
    <row r="75">
      <c r="B75" s="160">
        <f>IF(Grid!$B47="","",45)</f>
        <v/>
      </c>
      <c r="C75" s="161">
        <f>IF(Grid!$B47="","",TRIM(INDEX('INPUT - Roster'!$F$1:$F$206,Grid!$B47)&amp;""))</f>
        <v/>
      </c>
      <c r="D75" s="158">
        <f>IF(Grid!$B47="","",TRIM(INDEX('INPUT - Roster'!$C$1:$C$206,Grid!$B47)&amp;""))</f>
        <v/>
      </c>
      <c r="E75" s="158">
        <f>IF(Grid!$B47="","",INDEX(Index!$C$2:$C$202,MATCH(Grid!$B47,Index!$A$2:$A$202,0)))</f>
        <v/>
      </c>
      <c r="F75" s="158">
        <f>IF(Grid!$B47="","",TRIM(INDEX('INPUT - Roster'!$H$1:$H$206,Grid!$B47)&amp;""))</f>
        <v/>
      </c>
      <c r="G75" s="160">
        <f>IF(Grid!$B47="","",TRIM(INDEX('INPUT - Roster'!$G$1:$G$206,Grid!$B47)&amp;""))</f>
        <v/>
      </c>
      <c r="H75" s="160">
        <f>IF(Grid!$B47="","",TRIM(INDEX('INPUT - Roster'!$R$1:$R$206,Grid!$B47)&amp;""))</f>
        <v/>
      </c>
      <c r="I75" s="160">
        <f>IF(Grid!$B47="","",TRIM(INDEX('INPUT - Roster'!$O$1:$O$206,Grid!$B47)&amp;""))</f>
        <v/>
      </c>
      <c r="J75" s="160">
        <f>IF(Grid!$B47="","",TRIM(INDEX('INPUT - Roster'!$J$1:$J$206,Grid!$B47)&amp;""))</f>
        <v/>
      </c>
      <c r="K75" s="160">
        <f>IF(Grid!$B47="","",TRIM(INDEX('INPUT - Roster'!$K$1:$K$206,Grid!$B47)&amp;""))</f>
        <v/>
      </c>
      <c r="L75" s="160">
        <f>IF(Grid!$B47="","",TRIM(INDEX('INPUT - Roster'!$L$1:$L$206,Grid!$B47)&amp;""))</f>
        <v/>
      </c>
      <c r="M75" s="160">
        <f>IF(Grid!$B47="","",TRIM(INDEX('INPUT - Roster'!$M$1:$M$206,Grid!$B47)&amp;""))</f>
        <v/>
      </c>
      <c r="N75" s="158">
        <f>Grid!F47</f>
        <v/>
      </c>
      <c r="O75" s="160">
        <f>Grid!AI47</f>
        <v/>
      </c>
      <c r="P75" s="160">
        <f>Grid!BL47</f>
        <v/>
      </c>
      <c r="Q75" s="162">
        <f>IF(Grid!$D47="","",INDEX(Grid!$F$2:$AG$2,Grid!$D47))</f>
        <v/>
      </c>
      <c r="R75" s="158">
        <f>IF(Grid!$D47="","",INDEX(Grid!$F47:$AG47,Grid!$D47))</f>
        <v/>
      </c>
      <c r="S75" s="160">
        <f>IF(Grid!$B47="","",IFERROR(TRIM(INDEX('BHP Site Access'!$G$3:$G$104,MATCH(LOWER(TRIM(INDEX('INPUT - Roster'!$D$1:$D$206,Grid!$B47)&amp;"")&amp;"|"&amp;TRIM(INDEX('INPUT - Roster'!$E$1:$E$206,Grid!$B47)&amp;"")),Calc!$AX$3:$AX$104,0))&amp;""),"Not listed"))</f>
        <v/>
      </c>
      <c r="T75" s="160">
        <f>IF(OR(Grid!$B47="",ISNUMBER(SEARCH("demob",E75))),"",IF(AND(UPPER(TRIM(J75&amp;""))="YES",UPPER(TRIM(K75&amp;""))="YES",UPPER(TRIM(L75&amp;""))="YES",LEFT(UPPER(M75),14)="QUALS COMPLETE"),"","GAP"))</f>
        <v/>
      </c>
      <c r="U75" s="163">
        <f>IF(Grid!$B47="",0,IF(AND(OR(Dashboard!$D$9="All",D75=Dashboard!$D$9),OR(Dashboard!$J$9="All",E75=Dashboard!$J$9)),1,0))</f>
        <v/>
      </c>
    </row>
    <row r="76">
      <c r="B76" s="160">
        <f>IF(Grid!$B48="","",46)</f>
        <v/>
      </c>
      <c r="C76" s="161">
        <f>IF(Grid!$B48="","",TRIM(INDEX('INPUT - Roster'!$F$1:$F$206,Grid!$B48)&amp;""))</f>
        <v/>
      </c>
      <c r="D76" s="158">
        <f>IF(Grid!$B48="","",TRIM(INDEX('INPUT - Roster'!$C$1:$C$206,Grid!$B48)&amp;""))</f>
        <v/>
      </c>
      <c r="E76" s="158">
        <f>IF(Grid!$B48="","",INDEX(Index!$C$2:$C$202,MATCH(Grid!$B48,Index!$A$2:$A$202,0)))</f>
        <v/>
      </c>
      <c r="F76" s="158">
        <f>IF(Grid!$B48="","",TRIM(INDEX('INPUT - Roster'!$H$1:$H$206,Grid!$B48)&amp;""))</f>
        <v/>
      </c>
      <c r="G76" s="160">
        <f>IF(Grid!$B48="","",TRIM(INDEX('INPUT - Roster'!$G$1:$G$206,Grid!$B48)&amp;""))</f>
        <v/>
      </c>
      <c r="H76" s="160">
        <f>IF(Grid!$B48="","",TRIM(INDEX('INPUT - Roster'!$R$1:$R$206,Grid!$B48)&amp;""))</f>
        <v/>
      </c>
      <c r="I76" s="160">
        <f>IF(Grid!$B48="","",TRIM(INDEX('INPUT - Roster'!$O$1:$O$206,Grid!$B48)&amp;""))</f>
        <v/>
      </c>
      <c r="J76" s="160">
        <f>IF(Grid!$B48="","",TRIM(INDEX('INPUT - Roster'!$J$1:$J$206,Grid!$B48)&amp;""))</f>
        <v/>
      </c>
      <c r="K76" s="160">
        <f>IF(Grid!$B48="","",TRIM(INDEX('INPUT - Roster'!$K$1:$K$206,Grid!$B48)&amp;""))</f>
        <v/>
      </c>
      <c r="L76" s="160">
        <f>IF(Grid!$B48="","",TRIM(INDEX('INPUT - Roster'!$L$1:$L$206,Grid!$B48)&amp;""))</f>
        <v/>
      </c>
      <c r="M76" s="160">
        <f>IF(Grid!$B48="","",TRIM(INDEX('INPUT - Roster'!$M$1:$M$206,Grid!$B48)&amp;""))</f>
        <v/>
      </c>
      <c r="N76" s="158">
        <f>Grid!F48</f>
        <v/>
      </c>
      <c r="O76" s="160">
        <f>Grid!AI48</f>
        <v/>
      </c>
      <c r="P76" s="160">
        <f>Grid!BL48</f>
        <v/>
      </c>
      <c r="Q76" s="162">
        <f>IF(Grid!$D48="","",INDEX(Grid!$F$2:$AG$2,Grid!$D48))</f>
        <v/>
      </c>
      <c r="R76" s="158">
        <f>IF(Grid!$D48="","",INDEX(Grid!$F48:$AG48,Grid!$D48))</f>
        <v/>
      </c>
      <c r="S76" s="160">
        <f>IF(Grid!$B48="","",IFERROR(TRIM(INDEX('BHP Site Access'!$G$3:$G$104,MATCH(LOWER(TRIM(INDEX('INPUT - Roster'!$D$1:$D$206,Grid!$B48)&amp;"")&amp;"|"&amp;TRIM(INDEX('INPUT - Roster'!$E$1:$E$206,Grid!$B48)&amp;"")),Calc!$AX$3:$AX$104,0))&amp;""),"Not listed"))</f>
        <v/>
      </c>
      <c r="T76" s="160">
        <f>IF(OR(Grid!$B48="",ISNUMBER(SEARCH("demob",E76))),"",IF(AND(UPPER(TRIM(J76&amp;""))="YES",UPPER(TRIM(K76&amp;""))="YES",UPPER(TRIM(L76&amp;""))="YES",LEFT(UPPER(M76),14)="QUALS COMPLETE"),"","GAP"))</f>
        <v/>
      </c>
      <c r="U76" s="163">
        <f>IF(Grid!$B48="",0,IF(AND(OR(Dashboard!$D$9="All",D76=Dashboard!$D$9),OR(Dashboard!$J$9="All",E76=Dashboard!$J$9)),1,0))</f>
        <v/>
      </c>
    </row>
    <row r="77">
      <c r="B77" s="160">
        <f>IF(Grid!$B49="","",47)</f>
        <v/>
      </c>
      <c r="C77" s="161">
        <f>IF(Grid!$B49="","",TRIM(INDEX('INPUT - Roster'!$F$1:$F$206,Grid!$B49)&amp;""))</f>
        <v/>
      </c>
      <c r="D77" s="158">
        <f>IF(Grid!$B49="","",TRIM(INDEX('INPUT - Roster'!$C$1:$C$206,Grid!$B49)&amp;""))</f>
        <v/>
      </c>
      <c r="E77" s="158">
        <f>IF(Grid!$B49="","",INDEX(Index!$C$2:$C$202,MATCH(Grid!$B49,Index!$A$2:$A$202,0)))</f>
        <v/>
      </c>
      <c r="F77" s="158">
        <f>IF(Grid!$B49="","",TRIM(INDEX('INPUT - Roster'!$H$1:$H$206,Grid!$B49)&amp;""))</f>
        <v/>
      </c>
      <c r="G77" s="160">
        <f>IF(Grid!$B49="","",TRIM(INDEX('INPUT - Roster'!$G$1:$G$206,Grid!$B49)&amp;""))</f>
        <v/>
      </c>
      <c r="H77" s="160">
        <f>IF(Grid!$B49="","",TRIM(INDEX('INPUT - Roster'!$R$1:$R$206,Grid!$B49)&amp;""))</f>
        <v/>
      </c>
      <c r="I77" s="160">
        <f>IF(Grid!$B49="","",TRIM(INDEX('INPUT - Roster'!$O$1:$O$206,Grid!$B49)&amp;""))</f>
        <v/>
      </c>
      <c r="J77" s="160">
        <f>IF(Grid!$B49="","",TRIM(INDEX('INPUT - Roster'!$J$1:$J$206,Grid!$B49)&amp;""))</f>
        <v/>
      </c>
      <c r="K77" s="160">
        <f>IF(Grid!$B49="","",TRIM(INDEX('INPUT - Roster'!$K$1:$K$206,Grid!$B49)&amp;""))</f>
        <v/>
      </c>
      <c r="L77" s="160">
        <f>IF(Grid!$B49="","",TRIM(INDEX('INPUT - Roster'!$L$1:$L$206,Grid!$B49)&amp;""))</f>
        <v/>
      </c>
      <c r="M77" s="160">
        <f>IF(Grid!$B49="","",TRIM(INDEX('INPUT - Roster'!$M$1:$M$206,Grid!$B49)&amp;""))</f>
        <v/>
      </c>
      <c r="N77" s="158">
        <f>Grid!F49</f>
        <v/>
      </c>
      <c r="O77" s="160">
        <f>Grid!AI49</f>
        <v/>
      </c>
      <c r="P77" s="160">
        <f>Grid!BL49</f>
        <v/>
      </c>
      <c r="Q77" s="162">
        <f>IF(Grid!$D49="","",INDEX(Grid!$F$2:$AG$2,Grid!$D49))</f>
        <v/>
      </c>
      <c r="R77" s="158">
        <f>IF(Grid!$D49="","",INDEX(Grid!$F49:$AG49,Grid!$D49))</f>
        <v/>
      </c>
      <c r="S77" s="160">
        <f>IF(Grid!$B49="","",IFERROR(TRIM(INDEX('BHP Site Access'!$G$3:$G$104,MATCH(LOWER(TRIM(INDEX('INPUT - Roster'!$D$1:$D$206,Grid!$B49)&amp;"")&amp;"|"&amp;TRIM(INDEX('INPUT - Roster'!$E$1:$E$206,Grid!$B49)&amp;"")),Calc!$AX$3:$AX$104,0))&amp;""),"Not listed"))</f>
        <v/>
      </c>
      <c r="T77" s="160">
        <f>IF(OR(Grid!$B49="",ISNUMBER(SEARCH("demob",E77))),"",IF(AND(UPPER(TRIM(J77&amp;""))="YES",UPPER(TRIM(K77&amp;""))="YES",UPPER(TRIM(L77&amp;""))="YES",LEFT(UPPER(M77),14)="QUALS COMPLETE"),"","GAP"))</f>
        <v/>
      </c>
      <c r="U77" s="163">
        <f>IF(Grid!$B49="",0,IF(AND(OR(Dashboard!$D$9="All",D77=Dashboard!$D$9),OR(Dashboard!$J$9="All",E77=Dashboard!$J$9)),1,0))</f>
        <v/>
      </c>
    </row>
    <row r="78">
      <c r="B78" s="160">
        <f>IF(Grid!$B50="","",48)</f>
        <v/>
      </c>
      <c r="C78" s="161">
        <f>IF(Grid!$B50="","",TRIM(INDEX('INPUT - Roster'!$F$1:$F$206,Grid!$B50)&amp;""))</f>
        <v/>
      </c>
      <c r="D78" s="158">
        <f>IF(Grid!$B50="","",TRIM(INDEX('INPUT - Roster'!$C$1:$C$206,Grid!$B50)&amp;""))</f>
        <v/>
      </c>
      <c r="E78" s="158">
        <f>IF(Grid!$B50="","",INDEX(Index!$C$2:$C$202,MATCH(Grid!$B50,Index!$A$2:$A$202,0)))</f>
        <v/>
      </c>
      <c r="F78" s="158">
        <f>IF(Grid!$B50="","",TRIM(INDEX('INPUT - Roster'!$H$1:$H$206,Grid!$B50)&amp;""))</f>
        <v/>
      </c>
      <c r="G78" s="160">
        <f>IF(Grid!$B50="","",TRIM(INDEX('INPUT - Roster'!$G$1:$G$206,Grid!$B50)&amp;""))</f>
        <v/>
      </c>
      <c r="H78" s="160">
        <f>IF(Grid!$B50="","",TRIM(INDEX('INPUT - Roster'!$R$1:$R$206,Grid!$B50)&amp;""))</f>
        <v/>
      </c>
      <c r="I78" s="160">
        <f>IF(Grid!$B50="","",TRIM(INDEX('INPUT - Roster'!$O$1:$O$206,Grid!$B50)&amp;""))</f>
        <v/>
      </c>
      <c r="J78" s="160">
        <f>IF(Grid!$B50="","",TRIM(INDEX('INPUT - Roster'!$J$1:$J$206,Grid!$B50)&amp;""))</f>
        <v/>
      </c>
      <c r="K78" s="160">
        <f>IF(Grid!$B50="","",TRIM(INDEX('INPUT - Roster'!$K$1:$K$206,Grid!$B50)&amp;""))</f>
        <v/>
      </c>
      <c r="L78" s="160">
        <f>IF(Grid!$B50="","",TRIM(INDEX('INPUT - Roster'!$L$1:$L$206,Grid!$B50)&amp;""))</f>
        <v/>
      </c>
      <c r="M78" s="160">
        <f>IF(Grid!$B50="","",TRIM(INDEX('INPUT - Roster'!$M$1:$M$206,Grid!$B50)&amp;""))</f>
        <v/>
      </c>
      <c r="N78" s="158">
        <f>Grid!F50</f>
        <v/>
      </c>
      <c r="O78" s="160">
        <f>Grid!AI50</f>
        <v/>
      </c>
      <c r="P78" s="160">
        <f>Grid!BL50</f>
        <v/>
      </c>
      <c r="Q78" s="162">
        <f>IF(Grid!$D50="","",INDEX(Grid!$F$2:$AG$2,Grid!$D50))</f>
        <v/>
      </c>
      <c r="R78" s="158">
        <f>IF(Grid!$D50="","",INDEX(Grid!$F50:$AG50,Grid!$D50))</f>
        <v/>
      </c>
      <c r="S78" s="160">
        <f>IF(Grid!$B50="","",IFERROR(TRIM(INDEX('BHP Site Access'!$G$3:$G$104,MATCH(LOWER(TRIM(INDEX('INPUT - Roster'!$D$1:$D$206,Grid!$B50)&amp;"")&amp;"|"&amp;TRIM(INDEX('INPUT - Roster'!$E$1:$E$206,Grid!$B50)&amp;"")),Calc!$AX$3:$AX$104,0))&amp;""),"Not listed"))</f>
        <v/>
      </c>
      <c r="T78" s="160">
        <f>IF(OR(Grid!$B50="",ISNUMBER(SEARCH("demob",E78))),"",IF(AND(UPPER(TRIM(J78&amp;""))="YES",UPPER(TRIM(K78&amp;""))="YES",UPPER(TRIM(L78&amp;""))="YES",LEFT(UPPER(M78),14)="QUALS COMPLETE"),"","GAP"))</f>
        <v/>
      </c>
      <c r="U78" s="163">
        <f>IF(Grid!$B50="",0,IF(AND(OR(Dashboard!$D$9="All",D78=Dashboard!$D$9),OR(Dashboard!$J$9="All",E78=Dashboard!$J$9)),1,0))</f>
        <v/>
      </c>
    </row>
    <row r="79">
      <c r="B79" s="160">
        <f>IF(Grid!$B51="","",49)</f>
        <v/>
      </c>
      <c r="C79" s="161">
        <f>IF(Grid!$B51="","",TRIM(INDEX('INPUT - Roster'!$F$1:$F$206,Grid!$B51)&amp;""))</f>
        <v/>
      </c>
      <c r="D79" s="158">
        <f>IF(Grid!$B51="","",TRIM(INDEX('INPUT - Roster'!$C$1:$C$206,Grid!$B51)&amp;""))</f>
        <v/>
      </c>
      <c r="E79" s="158">
        <f>IF(Grid!$B51="","",INDEX(Index!$C$2:$C$202,MATCH(Grid!$B51,Index!$A$2:$A$202,0)))</f>
        <v/>
      </c>
      <c r="F79" s="158">
        <f>IF(Grid!$B51="","",TRIM(INDEX('INPUT - Roster'!$H$1:$H$206,Grid!$B51)&amp;""))</f>
        <v/>
      </c>
      <c r="G79" s="160">
        <f>IF(Grid!$B51="","",TRIM(INDEX('INPUT - Roster'!$G$1:$G$206,Grid!$B51)&amp;""))</f>
        <v/>
      </c>
      <c r="H79" s="160">
        <f>IF(Grid!$B51="","",TRIM(INDEX('INPUT - Roster'!$R$1:$R$206,Grid!$B51)&amp;""))</f>
        <v/>
      </c>
      <c r="I79" s="160">
        <f>IF(Grid!$B51="","",TRIM(INDEX('INPUT - Roster'!$O$1:$O$206,Grid!$B51)&amp;""))</f>
        <v/>
      </c>
      <c r="J79" s="160">
        <f>IF(Grid!$B51="","",TRIM(INDEX('INPUT - Roster'!$J$1:$J$206,Grid!$B51)&amp;""))</f>
        <v/>
      </c>
      <c r="K79" s="160">
        <f>IF(Grid!$B51="","",TRIM(INDEX('INPUT - Roster'!$K$1:$K$206,Grid!$B51)&amp;""))</f>
        <v/>
      </c>
      <c r="L79" s="160">
        <f>IF(Grid!$B51="","",TRIM(INDEX('INPUT - Roster'!$L$1:$L$206,Grid!$B51)&amp;""))</f>
        <v/>
      </c>
      <c r="M79" s="160">
        <f>IF(Grid!$B51="","",TRIM(INDEX('INPUT - Roster'!$M$1:$M$206,Grid!$B51)&amp;""))</f>
        <v/>
      </c>
      <c r="N79" s="158">
        <f>Grid!F51</f>
        <v/>
      </c>
      <c r="O79" s="160">
        <f>Grid!AI51</f>
        <v/>
      </c>
      <c r="P79" s="160">
        <f>Grid!BL51</f>
        <v/>
      </c>
      <c r="Q79" s="162">
        <f>IF(Grid!$D51="","",INDEX(Grid!$F$2:$AG$2,Grid!$D51))</f>
        <v/>
      </c>
      <c r="R79" s="158">
        <f>IF(Grid!$D51="","",INDEX(Grid!$F51:$AG51,Grid!$D51))</f>
        <v/>
      </c>
      <c r="S79" s="160">
        <f>IF(Grid!$B51="","",IFERROR(TRIM(INDEX('BHP Site Access'!$G$3:$G$104,MATCH(LOWER(TRIM(INDEX('INPUT - Roster'!$D$1:$D$206,Grid!$B51)&amp;"")&amp;"|"&amp;TRIM(INDEX('INPUT - Roster'!$E$1:$E$206,Grid!$B51)&amp;"")),Calc!$AX$3:$AX$104,0))&amp;""),"Not listed"))</f>
        <v/>
      </c>
      <c r="T79" s="160">
        <f>IF(OR(Grid!$B51="",ISNUMBER(SEARCH("demob",E79))),"",IF(AND(UPPER(TRIM(J79&amp;""))="YES",UPPER(TRIM(K79&amp;""))="YES",UPPER(TRIM(L79&amp;""))="YES",LEFT(UPPER(M79),14)="QUALS COMPLETE"),"","GAP"))</f>
        <v/>
      </c>
      <c r="U79" s="163">
        <f>IF(Grid!$B51="",0,IF(AND(OR(Dashboard!$D$9="All",D79=Dashboard!$D$9),OR(Dashboard!$J$9="All",E79=Dashboard!$J$9)),1,0))</f>
        <v/>
      </c>
    </row>
    <row r="80">
      <c r="B80" s="160">
        <f>IF(Grid!$B52="","",50)</f>
        <v/>
      </c>
      <c r="C80" s="161">
        <f>IF(Grid!$B52="","",TRIM(INDEX('INPUT - Roster'!$F$1:$F$206,Grid!$B52)&amp;""))</f>
        <v/>
      </c>
      <c r="D80" s="158">
        <f>IF(Grid!$B52="","",TRIM(INDEX('INPUT - Roster'!$C$1:$C$206,Grid!$B52)&amp;""))</f>
        <v/>
      </c>
      <c r="E80" s="158">
        <f>IF(Grid!$B52="","",INDEX(Index!$C$2:$C$202,MATCH(Grid!$B52,Index!$A$2:$A$202,0)))</f>
        <v/>
      </c>
      <c r="F80" s="158">
        <f>IF(Grid!$B52="","",TRIM(INDEX('INPUT - Roster'!$H$1:$H$206,Grid!$B52)&amp;""))</f>
        <v/>
      </c>
      <c r="G80" s="160">
        <f>IF(Grid!$B52="","",TRIM(INDEX('INPUT - Roster'!$G$1:$G$206,Grid!$B52)&amp;""))</f>
        <v/>
      </c>
      <c r="H80" s="160">
        <f>IF(Grid!$B52="","",TRIM(INDEX('INPUT - Roster'!$R$1:$R$206,Grid!$B52)&amp;""))</f>
        <v/>
      </c>
      <c r="I80" s="160">
        <f>IF(Grid!$B52="","",TRIM(INDEX('INPUT - Roster'!$O$1:$O$206,Grid!$B52)&amp;""))</f>
        <v/>
      </c>
      <c r="J80" s="160">
        <f>IF(Grid!$B52="","",TRIM(INDEX('INPUT - Roster'!$J$1:$J$206,Grid!$B52)&amp;""))</f>
        <v/>
      </c>
      <c r="K80" s="160">
        <f>IF(Grid!$B52="","",TRIM(INDEX('INPUT - Roster'!$K$1:$K$206,Grid!$B52)&amp;""))</f>
        <v/>
      </c>
      <c r="L80" s="160">
        <f>IF(Grid!$B52="","",TRIM(INDEX('INPUT - Roster'!$L$1:$L$206,Grid!$B52)&amp;""))</f>
        <v/>
      </c>
      <c r="M80" s="160">
        <f>IF(Grid!$B52="","",TRIM(INDEX('INPUT - Roster'!$M$1:$M$206,Grid!$B52)&amp;""))</f>
        <v/>
      </c>
      <c r="N80" s="158">
        <f>Grid!F52</f>
        <v/>
      </c>
      <c r="O80" s="160">
        <f>Grid!AI52</f>
        <v/>
      </c>
      <c r="P80" s="160">
        <f>Grid!BL52</f>
        <v/>
      </c>
      <c r="Q80" s="162">
        <f>IF(Grid!$D52="","",INDEX(Grid!$F$2:$AG$2,Grid!$D52))</f>
        <v/>
      </c>
      <c r="R80" s="158">
        <f>IF(Grid!$D52="","",INDEX(Grid!$F52:$AG52,Grid!$D52))</f>
        <v/>
      </c>
      <c r="S80" s="160">
        <f>IF(Grid!$B52="","",IFERROR(TRIM(INDEX('BHP Site Access'!$G$3:$G$104,MATCH(LOWER(TRIM(INDEX('INPUT - Roster'!$D$1:$D$206,Grid!$B52)&amp;"")&amp;"|"&amp;TRIM(INDEX('INPUT - Roster'!$E$1:$E$206,Grid!$B52)&amp;"")),Calc!$AX$3:$AX$104,0))&amp;""),"Not listed"))</f>
        <v/>
      </c>
      <c r="T80" s="160">
        <f>IF(OR(Grid!$B52="",ISNUMBER(SEARCH("demob",E80))),"",IF(AND(UPPER(TRIM(J80&amp;""))="YES",UPPER(TRIM(K80&amp;""))="YES",UPPER(TRIM(L80&amp;""))="YES",LEFT(UPPER(M80),14)="QUALS COMPLETE"),"","GAP"))</f>
        <v/>
      </c>
      <c r="U80" s="163">
        <f>IF(Grid!$B52="",0,IF(AND(OR(Dashboard!$D$9="All",D80=Dashboard!$D$9),OR(Dashboard!$J$9="All",E80=Dashboard!$J$9)),1,0))</f>
        <v/>
      </c>
    </row>
    <row r="81">
      <c r="B81" s="160">
        <f>IF(Grid!$B53="","",51)</f>
        <v/>
      </c>
      <c r="C81" s="161">
        <f>IF(Grid!$B53="","",TRIM(INDEX('INPUT - Roster'!$F$1:$F$206,Grid!$B53)&amp;""))</f>
        <v/>
      </c>
      <c r="D81" s="158">
        <f>IF(Grid!$B53="","",TRIM(INDEX('INPUT - Roster'!$C$1:$C$206,Grid!$B53)&amp;""))</f>
        <v/>
      </c>
      <c r="E81" s="158">
        <f>IF(Grid!$B53="","",INDEX(Index!$C$2:$C$202,MATCH(Grid!$B53,Index!$A$2:$A$202,0)))</f>
        <v/>
      </c>
      <c r="F81" s="158">
        <f>IF(Grid!$B53="","",TRIM(INDEX('INPUT - Roster'!$H$1:$H$206,Grid!$B53)&amp;""))</f>
        <v/>
      </c>
      <c r="G81" s="160">
        <f>IF(Grid!$B53="","",TRIM(INDEX('INPUT - Roster'!$G$1:$G$206,Grid!$B53)&amp;""))</f>
        <v/>
      </c>
      <c r="H81" s="160">
        <f>IF(Grid!$B53="","",TRIM(INDEX('INPUT - Roster'!$R$1:$R$206,Grid!$B53)&amp;""))</f>
        <v/>
      </c>
      <c r="I81" s="160">
        <f>IF(Grid!$B53="","",TRIM(INDEX('INPUT - Roster'!$O$1:$O$206,Grid!$B53)&amp;""))</f>
        <v/>
      </c>
      <c r="J81" s="160">
        <f>IF(Grid!$B53="","",TRIM(INDEX('INPUT - Roster'!$J$1:$J$206,Grid!$B53)&amp;""))</f>
        <v/>
      </c>
      <c r="K81" s="160">
        <f>IF(Grid!$B53="","",TRIM(INDEX('INPUT - Roster'!$K$1:$K$206,Grid!$B53)&amp;""))</f>
        <v/>
      </c>
      <c r="L81" s="160">
        <f>IF(Grid!$B53="","",TRIM(INDEX('INPUT - Roster'!$L$1:$L$206,Grid!$B53)&amp;""))</f>
        <v/>
      </c>
      <c r="M81" s="160">
        <f>IF(Grid!$B53="","",TRIM(INDEX('INPUT - Roster'!$M$1:$M$206,Grid!$B53)&amp;""))</f>
        <v/>
      </c>
      <c r="N81" s="158">
        <f>Grid!F53</f>
        <v/>
      </c>
      <c r="O81" s="160">
        <f>Grid!AI53</f>
        <v/>
      </c>
      <c r="P81" s="160">
        <f>Grid!BL53</f>
        <v/>
      </c>
      <c r="Q81" s="162">
        <f>IF(Grid!$D53="","",INDEX(Grid!$F$2:$AG$2,Grid!$D53))</f>
        <v/>
      </c>
      <c r="R81" s="158">
        <f>IF(Grid!$D53="","",INDEX(Grid!$F53:$AG53,Grid!$D53))</f>
        <v/>
      </c>
      <c r="S81" s="160">
        <f>IF(Grid!$B53="","",IFERROR(TRIM(INDEX('BHP Site Access'!$G$3:$G$104,MATCH(LOWER(TRIM(INDEX('INPUT - Roster'!$D$1:$D$206,Grid!$B53)&amp;"")&amp;"|"&amp;TRIM(INDEX('INPUT - Roster'!$E$1:$E$206,Grid!$B53)&amp;"")),Calc!$AX$3:$AX$104,0))&amp;""),"Not listed"))</f>
        <v/>
      </c>
      <c r="T81" s="160">
        <f>IF(OR(Grid!$B53="",ISNUMBER(SEARCH("demob",E81))),"",IF(AND(UPPER(TRIM(J81&amp;""))="YES",UPPER(TRIM(K81&amp;""))="YES",UPPER(TRIM(L81&amp;""))="YES",LEFT(UPPER(M81),14)="QUALS COMPLETE"),"","GAP"))</f>
        <v/>
      </c>
      <c r="U81" s="163">
        <f>IF(Grid!$B53="",0,IF(AND(OR(Dashboard!$D$9="All",D81=Dashboard!$D$9),OR(Dashboard!$J$9="All",E81=Dashboard!$J$9)),1,0))</f>
        <v/>
      </c>
    </row>
    <row r="82">
      <c r="B82" s="160">
        <f>IF(Grid!$B54="","",52)</f>
        <v/>
      </c>
      <c r="C82" s="161">
        <f>IF(Grid!$B54="","",TRIM(INDEX('INPUT - Roster'!$F$1:$F$206,Grid!$B54)&amp;""))</f>
        <v/>
      </c>
      <c r="D82" s="158">
        <f>IF(Grid!$B54="","",TRIM(INDEX('INPUT - Roster'!$C$1:$C$206,Grid!$B54)&amp;""))</f>
        <v/>
      </c>
      <c r="E82" s="158">
        <f>IF(Grid!$B54="","",INDEX(Index!$C$2:$C$202,MATCH(Grid!$B54,Index!$A$2:$A$202,0)))</f>
        <v/>
      </c>
      <c r="F82" s="158">
        <f>IF(Grid!$B54="","",TRIM(INDEX('INPUT - Roster'!$H$1:$H$206,Grid!$B54)&amp;""))</f>
        <v/>
      </c>
      <c r="G82" s="160">
        <f>IF(Grid!$B54="","",TRIM(INDEX('INPUT - Roster'!$G$1:$G$206,Grid!$B54)&amp;""))</f>
        <v/>
      </c>
      <c r="H82" s="160">
        <f>IF(Grid!$B54="","",TRIM(INDEX('INPUT - Roster'!$R$1:$R$206,Grid!$B54)&amp;""))</f>
        <v/>
      </c>
      <c r="I82" s="160">
        <f>IF(Grid!$B54="","",TRIM(INDEX('INPUT - Roster'!$O$1:$O$206,Grid!$B54)&amp;""))</f>
        <v/>
      </c>
      <c r="J82" s="160">
        <f>IF(Grid!$B54="","",TRIM(INDEX('INPUT - Roster'!$J$1:$J$206,Grid!$B54)&amp;""))</f>
        <v/>
      </c>
      <c r="K82" s="160">
        <f>IF(Grid!$B54="","",TRIM(INDEX('INPUT - Roster'!$K$1:$K$206,Grid!$B54)&amp;""))</f>
        <v/>
      </c>
      <c r="L82" s="160">
        <f>IF(Grid!$B54="","",TRIM(INDEX('INPUT - Roster'!$L$1:$L$206,Grid!$B54)&amp;""))</f>
        <v/>
      </c>
      <c r="M82" s="160">
        <f>IF(Grid!$B54="","",TRIM(INDEX('INPUT - Roster'!$M$1:$M$206,Grid!$B54)&amp;""))</f>
        <v/>
      </c>
      <c r="N82" s="158">
        <f>Grid!F54</f>
        <v/>
      </c>
      <c r="O82" s="160">
        <f>Grid!AI54</f>
        <v/>
      </c>
      <c r="P82" s="160">
        <f>Grid!BL54</f>
        <v/>
      </c>
      <c r="Q82" s="162">
        <f>IF(Grid!$D54="","",INDEX(Grid!$F$2:$AG$2,Grid!$D54))</f>
        <v/>
      </c>
      <c r="R82" s="158">
        <f>IF(Grid!$D54="","",INDEX(Grid!$F54:$AG54,Grid!$D54))</f>
        <v/>
      </c>
      <c r="S82" s="160">
        <f>IF(Grid!$B54="","",IFERROR(TRIM(INDEX('BHP Site Access'!$G$3:$G$104,MATCH(LOWER(TRIM(INDEX('INPUT - Roster'!$D$1:$D$206,Grid!$B54)&amp;"")&amp;"|"&amp;TRIM(INDEX('INPUT - Roster'!$E$1:$E$206,Grid!$B54)&amp;"")),Calc!$AX$3:$AX$104,0))&amp;""),"Not listed"))</f>
        <v/>
      </c>
      <c r="T82" s="160">
        <f>IF(OR(Grid!$B54="",ISNUMBER(SEARCH("demob",E82))),"",IF(AND(UPPER(TRIM(J82&amp;""))="YES",UPPER(TRIM(K82&amp;""))="YES",UPPER(TRIM(L82&amp;""))="YES",LEFT(UPPER(M82),14)="QUALS COMPLETE"),"","GAP"))</f>
        <v/>
      </c>
      <c r="U82" s="163">
        <f>IF(Grid!$B54="",0,IF(AND(OR(Dashboard!$D$9="All",D82=Dashboard!$D$9),OR(Dashboard!$J$9="All",E82=Dashboard!$J$9)),1,0))</f>
        <v/>
      </c>
    </row>
    <row r="83">
      <c r="B83" s="160">
        <f>IF(Grid!$B55="","",53)</f>
        <v/>
      </c>
      <c r="C83" s="161">
        <f>IF(Grid!$B55="","",TRIM(INDEX('INPUT - Roster'!$F$1:$F$206,Grid!$B55)&amp;""))</f>
        <v/>
      </c>
      <c r="D83" s="158">
        <f>IF(Grid!$B55="","",TRIM(INDEX('INPUT - Roster'!$C$1:$C$206,Grid!$B55)&amp;""))</f>
        <v/>
      </c>
      <c r="E83" s="158">
        <f>IF(Grid!$B55="","",INDEX(Index!$C$2:$C$202,MATCH(Grid!$B55,Index!$A$2:$A$202,0)))</f>
        <v/>
      </c>
      <c r="F83" s="158">
        <f>IF(Grid!$B55="","",TRIM(INDEX('INPUT - Roster'!$H$1:$H$206,Grid!$B55)&amp;""))</f>
        <v/>
      </c>
      <c r="G83" s="160">
        <f>IF(Grid!$B55="","",TRIM(INDEX('INPUT - Roster'!$G$1:$G$206,Grid!$B55)&amp;""))</f>
        <v/>
      </c>
      <c r="H83" s="160">
        <f>IF(Grid!$B55="","",TRIM(INDEX('INPUT - Roster'!$R$1:$R$206,Grid!$B55)&amp;""))</f>
        <v/>
      </c>
      <c r="I83" s="160">
        <f>IF(Grid!$B55="","",TRIM(INDEX('INPUT - Roster'!$O$1:$O$206,Grid!$B55)&amp;""))</f>
        <v/>
      </c>
      <c r="J83" s="160">
        <f>IF(Grid!$B55="","",TRIM(INDEX('INPUT - Roster'!$J$1:$J$206,Grid!$B55)&amp;""))</f>
        <v/>
      </c>
      <c r="K83" s="160">
        <f>IF(Grid!$B55="","",TRIM(INDEX('INPUT - Roster'!$K$1:$K$206,Grid!$B55)&amp;""))</f>
        <v/>
      </c>
      <c r="L83" s="160">
        <f>IF(Grid!$B55="","",TRIM(INDEX('INPUT - Roster'!$L$1:$L$206,Grid!$B55)&amp;""))</f>
        <v/>
      </c>
      <c r="M83" s="160">
        <f>IF(Grid!$B55="","",TRIM(INDEX('INPUT - Roster'!$M$1:$M$206,Grid!$B55)&amp;""))</f>
        <v/>
      </c>
      <c r="N83" s="158">
        <f>Grid!F55</f>
        <v/>
      </c>
      <c r="O83" s="160">
        <f>Grid!AI55</f>
        <v/>
      </c>
      <c r="P83" s="160">
        <f>Grid!BL55</f>
        <v/>
      </c>
      <c r="Q83" s="162">
        <f>IF(Grid!$D55="","",INDEX(Grid!$F$2:$AG$2,Grid!$D55))</f>
        <v/>
      </c>
      <c r="R83" s="158">
        <f>IF(Grid!$D55="","",INDEX(Grid!$F55:$AG55,Grid!$D55))</f>
        <v/>
      </c>
      <c r="S83" s="160">
        <f>IF(Grid!$B55="","",IFERROR(TRIM(INDEX('BHP Site Access'!$G$3:$G$104,MATCH(LOWER(TRIM(INDEX('INPUT - Roster'!$D$1:$D$206,Grid!$B55)&amp;"")&amp;"|"&amp;TRIM(INDEX('INPUT - Roster'!$E$1:$E$206,Grid!$B55)&amp;"")),Calc!$AX$3:$AX$104,0))&amp;""),"Not listed"))</f>
        <v/>
      </c>
      <c r="T83" s="160">
        <f>IF(OR(Grid!$B55="",ISNUMBER(SEARCH("demob",E83))),"",IF(AND(UPPER(TRIM(J83&amp;""))="YES",UPPER(TRIM(K83&amp;""))="YES",UPPER(TRIM(L83&amp;""))="YES",LEFT(UPPER(M83),14)="QUALS COMPLETE"),"","GAP"))</f>
        <v/>
      </c>
      <c r="U83" s="163">
        <f>IF(Grid!$B55="",0,IF(AND(OR(Dashboard!$D$9="All",D83=Dashboard!$D$9),OR(Dashboard!$J$9="All",E83=Dashboard!$J$9)),1,0))</f>
        <v/>
      </c>
    </row>
    <row r="84">
      <c r="B84" s="160">
        <f>IF(Grid!$B56="","",54)</f>
        <v/>
      </c>
      <c r="C84" s="161">
        <f>IF(Grid!$B56="","",TRIM(INDEX('INPUT - Roster'!$F$1:$F$206,Grid!$B56)&amp;""))</f>
        <v/>
      </c>
      <c r="D84" s="158">
        <f>IF(Grid!$B56="","",TRIM(INDEX('INPUT - Roster'!$C$1:$C$206,Grid!$B56)&amp;""))</f>
        <v/>
      </c>
      <c r="E84" s="158">
        <f>IF(Grid!$B56="","",INDEX(Index!$C$2:$C$202,MATCH(Grid!$B56,Index!$A$2:$A$202,0)))</f>
        <v/>
      </c>
      <c r="F84" s="158">
        <f>IF(Grid!$B56="","",TRIM(INDEX('INPUT - Roster'!$H$1:$H$206,Grid!$B56)&amp;""))</f>
        <v/>
      </c>
      <c r="G84" s="160">
        <f>IF(Grid!$B56="","",TRIM(INDEX('INPUT - Roster'!$G$1:$G$206,Grid!$B56)&amp;""))</f>
        <v/>
      </c>
      <c r="H84" s="160">
        <f>IF(Grid!$B56="","",TRIM(INDEX('INPUT - Roster'!$R$1:$R$206,Grid!$B56)&amp;""))</f>
        <v/>
      </c>
      <c r="I84" s="160">
        <f>IF(Grid!$B56="","",TRIM(INDEX('INPUT - Roster'!$O$1:$O$206,Grid!$B56)&amp;""))</f>
        <v/>
      </c>
      <c r="J84" s="160">
        <f>IF(Grid!$B56="","",TRIM(INDEX('INPUT - Roster'!$J$1:$J$206,Grid!$B56)&amp;""))</f>
        <v/>
      </c>
      <c r="K84" s="160">
        <f>IF(Grid!$B56="","",TRIM(INDEX('INPUT - Roster'!$K$1:$K$206,Grid!$B56)&amp;""))</f>
        <v/>
      </c>
      <c r="L84" s="160">
        <f>IF(Grid!$B56="","",TRIM(INDEX('INPUT - Roster'!$L$1:$L$206,Grid!$B56)&amp;""))</f>
        <v/>
      </c>
      <c r="M84" s="160">
        <f>IF(Grid!$B56="","",TRIM(INDEX('INPUT - Roster'!$M$1:$M$206,Grid!$B56)&amp;""))</f>
        <v/>
      </c>
      <c r="N84" s="158">
        <f>Grid!F56</f>
        <v/>
      </c>
      <c r="O84" s="160">
        <f>Grid!AI56</f>
        <v/>
      </c>
      <c r="P84" s="160">
        <f>Grid!BL56</f>
        <v/>
      </c>
      <c r="Q84" s="162">
        <f>IF(Grid!$D56="","",INDEX(Grid!$F$2:$AG$2,Grid!$D56))</f>
        <v/>
      </c>
      <c r="R84" s="158">
        <f>IF(Grid!$D56="","",INDEX(Grid!$F56:$AG56,Grid!$D56))</f>
        <v/>
      </c>
      <c r="S84" s="160">
        <f>IF(Grid!$B56="","",IFERROR(TRIM(INDEX('BHP Site Access'!$G$3:$G$104,MATCH(LOWER(TRIM(INDEX('INPUT - Roster'!$D$1:$D$206,Grid!$B56)&amp;"")&amp;"|"&amp;TRIM(INDEX('INPUT - Roster'!$E$1:$E$206,Grid!$B56)&amp;"")),Calc!$AX$3:$AX$104,0))&amp;""),"Not listed"))</f>
        <v/>
      </c>
      <c r="T84" s="160">
        <f>IF(OR(Grid!$B56="",ISNUMBER(SEARCH("demob",E84))),"",IF(AND(UPPER(TRIM(J84&amp;""))="YES",UPPER(TRIM(K84&amp;""))="YES",UPPER(TRIM(L84&amp;""))="YES",LEFT(UPPER(M84),14)="QUALS COMPLETE"),"","GAP"))</f>
        <v/>
      </c>
      <c r="U84" s="163">
        <f>IF(Grid!$B56="",0,IF(AND(OR(Dashboard!$D$9="All",D84=Dashboard!$D$9),OR(Dashboard!$J$9="All",E84=Dashboard!$J$9)),1,0))</f>
        <v/>
      </c>
    </row>
    <row r="85">
      <c r="B85" s="160">
        <f>IF(Grid!$B57="","",55)</f>
        <v/>
      </c>
      <c r="C85" s="161">
        <f>IF(Grid!$B57="","",TRIM(INDEX('INPUT - Roster'!$F$1:$F$206,Grid!$B57)&amp;""))</f>
        <v/>
      </c>
      <c r="D85" s="158">
        <f>IF(Grid!$B57="","",TRIM(INDEX('INPUT - Roster'!$C$1:$C$206,Grid!$B57)&amp;""))</f>
        <v/>
      </c>
      <c r="E85" s="158">
        <f>IF(Grid!$B57="","",INDEX(Index!$C$2:$C$202,MATCH(Grid!$B57,Index!$A$2:$A$202,0)))</f>
        <v/>
      </c>
      <c r="F85" s="158">
        <f>IF(Grid!$B57="","",TRIM(INDEX('INPUT - Roster'!$H$1:$H$206,Grid!$B57)&amp;""))</f>
        <v/>
      </c>
      <c r="G85" s="160">
        <f>IF(Grid!$B57="","",TRIM(INDEX('INPUT - Roster'!$G$1:$G$206,Grid!$B57)&amp;""))</f>
        <v/>
      </c>
      <c r="H85" s="160">
        <f>IF(Grid!$B57="","",TRIM(INDEX('INPUT - Roster'!$R$1:$R$206,Grid!$B57)&amp;""))</f>
        <v/>
      </c>
      <c r="I85" s="160">
        <f>IF(Grid!$B57="","",TRIM(INDEX('INPUT - Roster'!$O$1:$O$206,Grid!$B57)&amp;""))</f>
        <v/>
      </c>
      <c r="J85" s="160">
        <f>IF(Grid!$B57="","",TRIM(INDEX('INPUT - Roster'!$J$1:$J$206,Grid!$B57)&amp;""))</f>
        <v/>
      </c>
      <c r="K85" s="160">
        <f>IF(Grid!$B57="","",TRIM(INDEX('INPUT - Roster'!$K$1:$K$206,Grid!$B57)&amp;""))</f>
        <v/>
      </c>
      <c r="L85" s="160">
        <f>IF(Grid!$B57="","",TRIM(INDEX('INPUT - Roster'!$L$1:$L$206,Grid!$B57)&amp;""))</f>
        <v/>
      </c>
      <c r="M85" s="160">
        <f>IF(Grid!$B57="","",TRIM(INDEX('INPUT - Roster'!$M$1:$M$206,Grid!$B57)&amp;""))</f>
        <v/>
      </c>
      <c r="N85" s="158">
        <f>Grid!F57</f>
        <v/>
      </c>
      <c r="O85" s="160">
        <f>Grid!AI57</f>
        <v/>
      </c>
      <c r="P85" s="160">
        <f>Grid!BL57</f>
        <v/>
      </c>
      <c r="Q85" s="162">
        <f>IF(Grid!$D57="","",INDEX(Grid!$F$2:$AG$2,Grid!$D57))</f>
        <v/>
      </c>
      <c r="R85" s="158">
        <f>IF(Grid!$D57="","",INDEX(Grid!$F57:$AG57,Grid!$D57))</f>
        <v/>
      </c>
      <c r="S85" s="160">
        <f>IF(Grid!$B57="","",IFERROR(TRIM(INDEX('BHP Site Access'!$G$3:$G$104,MATCH(LOWER(TRIM(INDEX('INPUT - Roster'!$D$1:$D$206,Grid!$B57)&amp;"")&amp;"|"&amp;TRIM(INDEX('INPUT - Roster'!$E$1:$E$206,Grid!$B57)&amp;"")),Calc!$AX$3:$AX$104,0))&amp;""),"Not listed"))</f>
        <v/>
      </c>
      <c r="T85" s="160">
        <f>IF(OR(Grid!$B57="",ISNUMBER(SEARCH("demob",E85))),"",IF(AND(UPPER(TRIM(J85&amp;""))="YES",UPPER(TRIM(K85&amp;""))="YES",UPPER(TRIM(L85&amp;""))="YES",LEFT(UPPER(M85),14)="QUALS COMPLETE"),"","GAP"))</f>
        <v/>
      </c>
      <c r="U85" s="163">
        <f>IF(Grid!$B57="",0,IF(AND(OR(Dashboard!$D$9="All",D85=Dashboard!$D$9),OR(Dashboard!$J$9="All",E85=Dashboard!$J$9)),1,0))</f>
        <v/>
      </c>
    </row>
    <row r="86">
      <c r="B86" s="160">
        <f>IF(Grid!$B58="","",56)</f>
        <v/>
      </c>
      <c r="C86" s="161">
        <f>IF(Grid!$B58="","",TRIM(INDEX('INPUT - Roster'!$F$1:$F$206,Grid!$B58)&amp;""))</f>
        <v/>
      </c>
      <c r="D86" s="158">
        <f>IF(Grid!$B58="","",TRIM(INDEX('INPUT - Roster'!$C$1:$C$206,Grid!$B58)&amp;""))</f>
        <v/>
      </c>
      <c r="E86" s="158">
        <f>IF(Grid!$B58="","",INDEX(Index!$C$2:$C$202,MATCH(Grid!$B58,Index!$A$2:$A$202,0)))</f>
        <v/>
      </c>
      <c r="F86" s="158">
        <f>IF(Grid!$B58="","",TRIM(INDEX('INPUT - Roster'!$H$1:$H$206,Grid!$B58)&amp;""))</f>
        <v/>
      </c>
      <c r="G86" s="160">
        <f>IF(Grid!$B58="","",TRIM(INDEX('INPUT - Roster'!$G$1:$G$206,Grid!$B58)&amp;""))</f>
        <v/>
      </c>
      <c r="H86" s="160">
        <f>IF(Grid!$B58="","",TRIM(INDEX('INPUT - Roster'!$R$1:$R$206,Grid!$B58)&amp;""))</f>
        <v/>
      </c>
      <c r="I86" s="160">
        <f>IF(Grid!$B58="","",TRIM(INDEX('INPUT - Roster'!$O$1:$O$206,Grid!$B58)&amp;""))</f>
        <v/>
      </c>
      <c r="J86" s="160">
        <f>IF(Grid!$B58="","",TRIM(INDEX('INPUT - Roster'!$J$1:$J$206,Grid!$B58)&amp;""))</f>
        <v/>
      </c>
      <c r="K86" s="160">
        <f>IF(Grid!$B58="","",TRIM(INDEX('INPUT - Roster'!$K$1:$K$206,Grid!$B58)&amp;""))</f>
        <v/>
      </c>
      <c r="L86" s="160">
        <f>IF(Grid!$B58="","",TRIM(INDEX('INPUT - Roster'!$L$1:$L$206,Grid!$B58)&amp;""))</f>
        <v/>
      </c>
      <c r="M86" s="160">
        <f>IF(Grid!$B58="","",TRIM(INDEX('INPUT - Roster'!$M$1:$M$206,Grid!$B58)&amp;""))</f>
        <v/>
      </c>
      <c r="N86" s="158">
        <f>Grid!F58</f>
        <v/>
      </c>
      <c r="O86" s="160">
        <f>Grid!AI58</f>
        <v/>
      </c>
      <c r="P86" s="160">
        <f>Grid!BL58</f>
        <v/>
      </c>
      <c r="Q86" s="162">
        <f>IF(Grid!$D58="","",INDEX(Grid!$F$2:$AG$2,Grid!$D58))</f>
        <v/>
      </c>
      <c r="R86" s="158">
        <f>IF(Grid!$D58="","",INDEX(Grid!$F58:$AG58,Grid!$D58))</f>
        <v/>
      </c>
      <c r="S86" s="160">
        <f>IF(Grid!$B58="","",IFERROR(TRIM(INDEX('BHP Site Access'!$G$3:$G$104,MATCH(LOWER(TRIM(INDEX('INPUT - Roster'!$D$1:$D$206,Grid!$B58)&amp;"")&amp;"|"&amp;TRIM(INDEX('INPUT - Roster'!$E$1:$E$206,Grid!$B58)&amp;"")),Calc!$AX$3:$AX$104,0))&amp;""),"Not listed"))</f>
        <v/>
      </c>
      <c r="T86" s="160">
        <f>IF(OR(Grid!$B58="",ISNUMBER(SEARCH("demob",E86))),"",IF(AND(UPPER(TRIM(J86&amp;""))="YES",UPPER(TRIM(K86&amp;""))="YES",UPPER(TRIM(L86&amp;""))="YES",LEFT(UPPER(M86),14)="QUALS COMPLETE"),"","GAP"))</f>
        <v/>
      </c>
      <c r="U86" s="163">
        <f>IF(Grid!$B58="",0,IF(AND(OR(Dashboard!$D$9="All",D86=Dashboard!$D$9),OR(Dashboard!$J$9="All",E86=Dashboard!$J$9)),1,0))</f>
        <v/>
      </c>
    </row>
    <row r="87">
      <c r="B87" s="160">
        <f>IF(Grid!$B59="","",57)</f>
        <v/>
      </c>
      <c r="C87" s="161">
        <f>IF(Grid!$B59="","",TRIM(INDEX('INPUT - Roster'!$F$1:$F$206,Grid!$B59)&amp;""))</f>
        <v/>
      </c>
      <c r="D87" s="158">
        <f>IF(Grid!$B59="","",TRIM(INDEX('INPUT - Roster'!$C$1:$C$206,Grid!$B59)&amp;""))</f>
        <v/>
      </c>
      <c r="E87" s="158">
        <f>IF(Grid!$B59="","",INDEX(Index!$C$2:$C$202,MATCH(Grid!$B59,Index!$A$2:$A$202,0)))</f>
        <v/>
      </c>
      <c r="F87" s="158">
        <f>IF(Grid!$B59="","",TRIM(INDEX('INPUT - Roster'!$H$1:$H$206,Grid!$B59)&amp;""))</f>
        <v/>
      </c>
      <c r="G87" s="160">
        <f>IF(Grid!$B59="","",TRIM(INDEX('INPUT - Roster'!$G$1:$G$206,Grid!$B59)&amp;""))</f>
        <v/>
      </c>
      <c r="H87" s="160">
        <f>IF(Grid!$B59="","",TRIM(INDEX('INPUT - Roster'!$R$1:$R$206,Grid!$B59)&amp;""))</f>
        <v/>
      </c>
      <c r="I87" s="160">
        <f>IF(Grid!$B59="","",TRIM(INDEX('INPUT - Roster'!$O$1:$O$206,Grid!$B59)&amp;""))</f>
        <v/>
      </c>
      <c r="J87" s="160">
        <f>IF(Grid!$B59="","",TRIM(INDEX('INPUT - Roster'!$J$1:$J$206,Grid!$B59)&amp;""))</f>
        <v/>
      </c>
      <c r="K87" s="160">
        <f>IF(Grid!$B59="","",TRIM(INDEX('INPUT - Roster'!$K$1:$K$206,Grid!$B59)&amp;""))</f>
        <v/>
      </c>
      <c r="L87" s="160">
        <f>IF(Grid!$B59="","",TRIM(INDEX('INPUT - Roster'!$L$1:$L$206,Grid!$B59)&amp;""))</f>
        <v/>
      </c>
      <c r="M87" s="160">
        <f>IF(Grid!$B59="","",TRIM(INDEX('INPUT - Roster'!$M$1:$M$206,Grid!$B59)&amp;""))</f>
        <v/>
      </c>
      <c r="N87" s="158">
        <f>Grid!F59</f>
        <v/>
      </c>
      <c r="O87" s="160">
        <f>Grid!AI59</f>
        <v/>
      </c>
      <c r="P87" s="160">
        <f>Grid!BL59</f>
        <v/>
      </c>
      <c r="Q87" s="162">
        <f>IF(Grid!$D59="","",INDEX(Grid!$F$2:$AG$2,Grid!$D59))</f>
        <v/>
      </c>
      <c r="R87" s="158">
        <f>IF(Grid!$D59="","",INDEX(Grid!$F59:$AG59,Grid!$D59))</f>
        <v/>
      </c>
      <c r="S87" s="160">
        <f>IF(Grid!$B59="","",IFERROR(TRIM(INDEX('BHP Site Access'!$G$3:$G$104,MATCH(LOWER(TRIM(INDEX('INPUT - Roster'!$D$1:$D$206,Grid!$B59)&amp;"")&amp;"|"&amp;TRIM(INDEX('INPUT - Roster'!$E$1:$E$206,Grid!$B59)&amp;"")),Calc!$AX$3:$AX$104,0))&amp;""),"Not listed"))</f>
        <v/>
      </c>
      <c r="T87" s="160">
        <f>IF(OR(Grid!$B59="",ISNUMBER(SEARCH("demob",E87))),"",IF(AND(UPPER(TRIM(J87&amp;""))="YES",UPPER(TRIM(K87&amp;""))="YES",UPPER(TRIM(L87&amp;""))="YES",LEFT(UPPER(M87),14)="QUALS COMPLETE"),"","GAP"))</f>
        <v/>
      </c>
      <c r="U87" s="163">
        <f>IF(Grid!$B59="",0,IF(AND(OR(Dashboard!$D$9="All",D87=Dashboard!$D$9),OR(Dashboard!$J$9="All",E87=Dashboard!$J$9)),1,0))</f>
        <v/>
      </c>
    </row>
    <row r="88">
      <c r="B88" s="160">
        <f>IF(Grid!$B60="","",58)</f>
        <v/>
      </c>
      <c r="C88" s="161">
        <f>IF(Grid!$B60="","",TRIM(INDEX('INPUT - Roster'!$F$1:$F$206,Grid!$B60)&amp;""))</f>
        <v/>
      </c>
      <c r="D88" s="158">
        <f>IF(Grid!$B60="","",TRIM(INDEX('INPUT - Roster'!$C$1:$C$206,Grid!$B60)&amp;""))</f>
        <v/>
      </c>
      <c r="E88" s="158">
        <f>IF(Grid!$B60="","",INDEX(Index!$C$2:$C$202,MATCH(Grid!$B60,Index!$A$2:$A$202,0)))</f>
        <v/>
      </c>
      <c r="F88" s="158">
        <f>IF(Grid!$B60="","",TRIM(INDEX('INPUT - Roster'!$H$1:$H$206,Grid!$B60)&amp;""))</f>
        <v/>
      </c>
      <c r="G88" s="160">
        <f>IF(Grid!$B60="","",TRIM(INDEX('INPUT - Roster'!$G$1:$G$206,Grid!$B60)&amp;""))</f>
        <v/>
      </c>
      <c r="H88" s="160">
        <f>IF(Grid!$B60="","",TRIM(INDEX('INPUT - Roster'!$R$1:$R$206,Grid!$B60)&amp;""))</f>
        <v/>
      </c>
      <c r="I88" s="160">
        <f>IF(Grid!$B60="","",TRIM(INDEX('INPUT - Roster'!$O$1:$O$206,Grid!$B60)&amp;""))</f>
        <v/>
      </c>
      <c r="J88" s="160">
        <f>IF(Grid!$B60="","",TRIM(INDEX('INPUT - Roster'!$J$1:$J$206,Grid!$B60)&amp;""))</f>
        <v/>
      </c>
      <c r="K88" s="160">
        <f>IF(Grid!$B60="","",TRIM(INDEX('INPUT - Roster'!$K$1:$K$206,Grid!$B60)&amp;""))</f>
        <v/>
      </c>
      <c r="L88" s="160">
        <f>IF(Grid!$B60="","",TRIM(INDEX('INPUT - Roster'!$L$1:$L$206,Grid!$B60)&amp;""))</f>
        <v/>
      </c>
      <c r="M88" s="160">
        <f>IF(Grid!$B60="","",TRIM(INDEX('INPUT - Roster'!$M$1:$M$206,Grid!$B60)&amp;""))</f>
        <v/>
      </c>
      <c r="N88" s="158">
        <f>Grid!F60</f>
        <v/>
      </c>
      <c r="O88" s="160">
        <f>Grid!AI60</f>
        <v/>
      </c>
      <c r="P88" s="160">
        <f>Grid!BL60</f>
        <v/>
      </c>
      <c r="Q88" s="162">
        <f>IF(Grid!$D60="","",INDEX(Grid!$F$2:$AG$2,Grid!$D60))</f>
        <v/>
      </c>
      <c r="R88" s="158">
        <f>IF(Grid!$D60="","",INDEX(Grid!$F60:$AG60,Grid!$D60))</f>
        <v/>
      </c>
      <c r="S88" s="160">
        <f>IF(Grid!$B60="","",IFERROR(TRIM(INDEX('BHP Site Access'!$G$3:$G$104,MATCH(LOWER(TRIM(INDEX('INPUT - Roster'!$D$1:$D$206,Grid!$B60)&amp;"")&amp;"|"&amp;TRIM(INDEX('INPUT - Roster'!$E$1:$E$206,Grid!$B60)&amp;"")),Calc!$AX$3:$AX$104,0))&amp;""),"Not listed"))</f>
        <v/>
      </c>
      <c r="T88" s="160">
        <f>IF(OR(Grid!$B60="",ISNUMBER(SEARCH("demob",E88))),"",IF(AND(UPPER(TRIM(J88&amp;""))="YES",UPPER(TRIM(K88&amp;""))="YES",UPPER(TRIM(L88&amp;""))="YES",LEFT(UPPER(M88),14)="QUALS COMPLETE"),"","GAP"))</f>
        <v/>
      </c>
      <c r="U88" s="163">
        <f>IF(Grid!$B60="",0,IF(AND(OR(Dashboard!$D$9="All",D88=Dashboard!$D$9),OR(Dashboard!$J$9="All",E88=Dashboard!$J$9)),1,0))</f>
        <v/>
      </c>
    </row>
    <row r="89">
      <c r="B89" s="160">
        <f>IF(Grid!$B61="","",59)</f>
        <v/>
      </c>
      <c r="C89" s="161">
        <f>IF(Grid!$B61="","",TRIM(INDEX('INPUT - Roster'!$F$1:$F$206,Grid!$B61)&amp;""))</f>
        <v/>
      </c>
      <c r="D89" s="158">
        <f>IF(Grid!$B61="","",TRIM(INDEX('INPUT - Roster'!$C$1:$C$206,Grid!$B61)&amp;""))</f>
        <v/>
      </c>
      <c r="E89" s="158">
        <f>IF(Grid!$B61="","",INDEX(Index!$C$2:$C$202,MATCH(Grid!$B61,Index!$A$2:$A$202,0)))</f>
        <v/>
      </c>
      <c r="F89" s="158">
        <f>IF(Grid!$B61="","",TRIM(INDEX('INPUT - Roster'!$H$1:$H$206,Grid!$B61)&amp;""))</f>
        <v/>
      </c>
      <c r="G89" s="160">
        <f>IF(Grid!$B61="","",TRIM(INDEX('INPUT - Roster'!$G$1:$G$206,Grid!$B61)&amp;""))</f>
        <v/>
      </c>
      <c r="H89" s="160">
        <f>IF(Grid!$B61="","",TRIM(INDEX('INPUT - Roster'!$R$1:$R$206,Grid!$B61)&amp;""))</f>
        <v/>
      </c>
      <c r="I89" s="160">
        <f>IF(Grid!$B61="","",TRIM(INDEX('INPUT - Roster'!$O$1:$O$206,Grid!$B61)&amp;""))</f>
        <v/>
      </c>
      <c r="J89" s="160">
        <f>IF(Grid!$B61="","",TRIM(INDEX('INPUT - Roster'!$J$1:$J$206,Grid!$B61)&amp;""))</f>
        <v/>
      </c>
      <c r="K89" s="160">
        <f>IF(Grid!$B61="","",TRIM(INDEX('INPUT - Roster'!$K$1:$K$206,Grid!$B61)&amp;""))</f>
        <v/>
      </c>
      <c r="L89" s="160">
        <f>IF(Grid!$B61="","",TRIM(INDEX('INPUT - Roster'!$L$1:$L$206,Grid!$B61)&amp;""))</f>
        <v/>
      </c>
      <c r="M89" s="160">
        <f>IF(Grid!$B61="","",TRIM(INDEX('INPUT - Roster'!$M$1:$M$206,Grid!$B61)&amp;""))</f>
        <v/>
      </c>
      <c r="N89" s="158">
        <f>Grid!F61</f>
        <v/>
      </c>
      <c r="O89" s="160">
        <f>Grid!AI61</f>
        <v/>
      </c>
      <c r="P89" s="160">
        <f>Grid!BL61</f>
        <v/>
      </c>
      <c r="Q89" s="162">
        <f>IF(Grid!$D61="","",INDEX(Grid!$F$2:$AG$2,Grid!$D61))</f>
        <v/>
      </c>
      <c r="R89" s="158">
        <f>IF(Grid!$D61="","",INDEX(Grid!$F61:$AG61,Grid!$D61))</f>
        <v/>
      </c>
      <c r="S89" s="160">
        <f>IF(Grid!$B61="","",IFERROR(TRIM(INDEX('BHP Site Access'!$G$3:$G$104,MATCH(LOWER(TRIM(INDEX('INPUT - Roster'!$D$1:$D$206,Grid!$B61)&amp;"")&amp;"|"&amp;TRIM(INDEX('INPUT - Roster'!$E$1:$E$206,Grid!$B61)&amp;"")),Calc!$AX$3:$AX$104,0))&amp;""),"Not listed"))</f>
        <v/>
      </c>
      <c r="T89" s="160">
        <f>IF(OR(Grid!$B61="",ISNUMBER(SEARCH("demob",E89))),"",IF(AND(UPPER(TRIM(J89&amp;""))="YES",UPPER(TRIM(K89&amp;""))="YES",UPPER(TRIM(L89&amp;""))="YES",LEFT(UPPER(M89),14)="QUALS COMPLETE"),"","GAP"))</f>
        <v/>
      </c>
      <c r="U89" s="163">
        <f>IF(Grid!$B61="",0,IF(AND(OR(Dashboard!$D$9="All",D89=Dashboard!$D$9),OR(Dashboard!$J$9="All",E89=Dashboard!$J$9)),1,0))</f>
        <v/>
      </c>
    </row>
    <row r="90">
      <c r="B90" s="160">
        <f>IF(Grid!$B62="","",60)</f>
        <v/>
      </c>
      <c r="C90" s="161">
        <f>IF(Grid!$B62="","",TRIM(INDEX('INPUT - Roster'!$F$1:$F$206,Grid!$B62)&amp;""))</f>
        <v/>
      </c>
      <c r="D90" s="158">
        <f>IF(Grid!$B62="","",TRIM(INDEX('INPUT - Roster'!$C$1:$C$206,Grid!$B62)&amp;""))</f>
        <v/>
      </c>
      <c r="E90" s="158">
        <f>IF(Grid!$B62="","",INDEX(Index!$C$2:$C$202,MATCH(Grid!$B62,Index!$A$2:$A$202,0)))</f>
        <v/>
      </c>
      <c r="F90" s="158">
        <f>IF(Grid!$B62="","",TRIM(INDEX('INPUT - Roster'!$H$1:$H$206,Grid!$B62)&amp;""))</f>
        <v/>
      </c>
      <c r="G90" s="160">
        <f>IF(Grid!$B62="","",TRIM(INDEX('INPUT - Roster'!$G$1:$G$206,Grid!$B62)&amp;""))</f>
        <v/>
      </c>
      <c r="H90" s="160">
        <f>IF(Grid!$B62="","",TRIM(INDEX('INPUT - Roster'!$R$1:$R$206,Grid!$B62)&amp;""))</f>
        <v/>
      </c>
      <c r="I90" s="160">
        <f>IF(Grid!$B62="","",TRIM(INDEX('INPUT - Roster'!$O$1:$O$206,Grid!$B62)&amp;""))</f>
        <v/>
      </c>
      <c r="J90" s="160">
        <f>IF(Grid!$B62="","",TRIM(INDEX('INPUT - Roster'!$J$1:$J$206,Grid!$B62)&amp;""))</f>
        <v/>
      </c>
      <c r="K90" s="160">
        <f>IF(Grid!$B62="","",TRIM(INDEX('INPUT - Roster'!$K$1:$K$206,Grid!$B62)&amp;""))</f>
        <v/>
      </c>
      <c r="L90" s="160">
        <f>IF(Grid!$B62="","",TRIM(INDEX('INPUT - Roster'!$L$1:$L$206,Grid!$B62)&amp;""))</f>
        <v/>
      </c>
      <c r="M90" s="160">
        <f>IF(Grid!$B62="","",TRIM(INDEX('INPUT - Roster'!$M$1:$M$206,Grid!$B62)&amp;""))</f>
        <v/>
      </c>
      <c r="N90" s="158">
        <f>Grid!F62</f>
        <v/>
      </c>
      <c r="O90" s="160">
        <f>Grid!AI62</f>
        <v/>
      </c>
      <c r="P90" s="160">
        <f>Grid!BL62</f>
        <v/>
      </c>
      <c r="Q90" s="162">
        <f>IF(Grid!$D62="","",INDEX(Grid!$F$2:$AG$2,Grid!$D62))</f>
        <v/>
      </c>
      <c r="R90" s="158">
        <f>IF(Grid!$D62="","",INDEX(Grid!$F62:$AG62,Grid!$D62))</f>
        <v/>
      </c>
      <c r="S90" s="160">
        <f>IF(Grid!$B62="","",IFERROR(TRIM(INDEX('BHP Site Access'!$G$3:$G$104,MATCH(LOWER(TRIM(INDEX('INPUT - Roster'!$D$1:$D$206,Grid!$B62)&amp;"")&amp;"|"&amp;TRIM(INDEX('INPUT - Roster'!$E$1:$E$206,Grid!$B62)&amp;"")),Calc!$AX$3:$AX$104,0))&amp;""),"Not listed"))</f>
        <v/>
      </c>
      <c r="T90" s="160">
        <f>IF(OR(Grid!$B62="",ISNUMBER(SEARCH("demob",E90))),"",IF(AND(UPPER(TRIM(J90&amp;""))="YES",UPPER(TRIM(K90&amp;""))="YES",UPPER(TRIM(L90&amp;""))="YES",LEFT(UPPER(M90),14)="QUALS COMPLETE"),"","GAP"))</f>
        <v/>
      </c>
      <c r="U90" s="163">
        <f>IF(Grid!$B62="",0,IF(AND(OR(Dashboard!$D$9="All",D90=Dashboard!$D$9),OR(Dashboard!$J$9="All",E90=Dashboard!$J$9)),1,0))</f>
        <v/>
      </c>
    </row>
    <row r="91">
      <c r="B91" s="160">
        <f>IF(Grid!$B63="","",61)</f>
        <v/>
      </c>
      <c r="C91" s="161">
        <f>IF(Grid!$B63="","",TRIM(INDEX('INPUT - Roster'!$F$1:$F$206,Grid!$B63)&amp;""))</f>
        <v/>
      </c>
      <c r="D91" s="158">
        <f>IF(Grid!$B63="","",TRIM(INDEX('INPUT - Roster'!$C$1:$C$206,Grid!$B63)&amp;""))</f>
        <v/>
      </c>
      <c r="E91" s="158">
        <f>IF(Grid!$B63="","",INDEX(Index!$C$2:$C$202,MATCH(Grid!$B63,Index!$A$2:$A$202,0)))</f>
        <v/>
      </c>
      <c r="F91" s="158">
        <f>IF(Grid!$B63="","",TRIM(INDEX('INPUT - Roster'!$H$1:$H$206,Grid!$B63)&amp;""))</f>
        <v/>
      </c>
      <c r="G91" s="160">
        <f>IF(Grid!$B63="","",TRIM(INDEX('INPUT - Roster'!$G$1:$G$206,Grid!$B63)&amp;""))</f>
        <v/>
      </c>
      <c r="H91" s="160">
        <f>IF(Grid!$B63="","",TRIM(INDEX('INPUT - Roster'!$R$1:$R$206,Grid!$B63)&amp;""))</f>
        <v/>
      </c>
      <c r="I91" s="160">
        <f>IF(Grid!$B63="","",TRIM(INDEX('INPUT - Roster'!$O$1:$O$206,Grid!$B63)&amp;""))</f>
        <v/>
      </c>
      <c r="J91" s="160">
        <f>IF(Grid!$B63="","",TRIM(INDEX('INPUT - Roster'!$J$1:$J$206,Grid!$B63)&amp;""))</f>
        <v/>
      </c>
      <c r="K91" s="160">
        <f>IF(Grid!$B63="","",TRIM(INDEX('INPUT - Roster'!$K$1:$K$206,Grid!$B63)&amp;""))</f>
        <v/>
      </c>
      <c r="L91" s="160">
        <f>IF(Grid!$B63="","",TRIM(INDEX('INPUT - Roster'!$L$1:$L$206,Grid!$B63)&amp;""))</f>
        <v/>
      </c>
      <c r="M91" s="160">
        <f>IF(Grid!$B63="","",TRIM(INDEX('INPUT - Roster'!$M$1:$M$206,Grid!$B63)&amp;""))</f>
        <v/>
      </c>
      <c r="N91" s="158">
        <f>Grid!F63</f>
        <v/>
      </c>
      <c r="O91" s="160">
        <f>Grid!AI63</f>
        <v/>
      </c>
      <c r="P91" s="160">
        <f>Grid!BL63</f>
        <v/>
      </c>
      <c r="Q91" s="162">
        <f>IF(Grid!$D63="","",INDEX(Grid!$F$2:$AG$2,Grid!$D63))</f>
        <v/>
      </c>
      <c r="R91" s="158">
        <f>IF(Grid!$D63="","",INDEX(Grid!$F63:$AG63,Grid!$D63))</f>
        <v/>
      </c>
      <c r="S91" s="160">
        <f>IF(Grid!$B63="","",IFERROR(TRIM(INDEX('BHP Site Access'!$G$3:$G$104,MATCH(LOWER(TRIM(INDEX('INPUT - Roster'!$D$1:$D$206,Grid!$B63)&amp;"")&amp;"|"&amp;TRIM(INDEX('INPUT - Roster'!$E$1:$E$206,Grid!$B63)&amp;"")),Calc!$AX$3:$AX$104,0))&amp;""),"Not listed"))</f>
        <v/>
      </c>
      <c r="T91" s="160">
        <f>IF(OR(Grid!$B63="",ISNUMBER(SEARCH("demob",E91))),"",IF(AND(UPPER(TRIM(J91&amp;""))="YES",UPPER(TRIM(K91&amp;""))="YES",UPPER(TRIM(L91&amp;""))="YES",LEFT(UPPER(M91),14)="QUALS COMPLETE"),"","GAP"))</f>
        <v/>
      </c>
      <c r="U91" s="163">
        <f>IF(Grid!$B63="",0,IF(AND(OR(Dashboard!$D$9="All",D91=Dashboard!$D$9),OR(Dashboard!$J$9="All",E91=Dashboard!$J$9)),1,0))</f>
        <v/>
      </c>
    </row>
    <row r="92">
      <c r="B92" s="160">
        <f>IF(Grid!$B64="","",62)</f>
        <v/>
      </c>
      <c r="C92" s="161">
        <f>IF(Grid!$B64="","",TRIM(INDEX('INPUT - Roster'!$F$1:$F$206,Grid!$B64)&amp;""))</f>
        <v/>
      </c>
      <c r="D92" s="158">
        <f>IF(Grid!$B64="","",TRIM(INDEX('INPUT - Roster'!$C$1:$C$206,Grid!$B64)&amp;""))</f>
        <v/>
      </c>
      <c r="E92" s="158">
        <f>IF(Grid!$B64="","",INDEX(Index!$C$2:$C$202,MATCH(Grid!$B64,Index!$A$2:$A$202,0)))</f>
        <v/>
      </c>
      <c r="F92" s="158">
        <f>IF(Grid!$B64="","",TRIM(INDEX('INPUT - Roster'!$H$1:$H$206,Grid!$B64)&amp;""))</f>
        <v/>
      </c>
      <c r="G92" s="160">
        <f>IF(Grid!$B64="","",TRIM(INDEX('INPUT - Roster'!$G$1:$G$206,Grid!$B64)&amp;""))</f>
        <v/>
      </c>
      <c r="H92" s="160">
        <f>IF(Grid!$B64="","",TRIM(INDEX('INPUT - Roster'!$R$1:$R$206,Grid!$B64)&amp;""))</f>
        <v/>
      </c>
      <c r="I92" s="160">
        <f>IF(Grid!$B64="","",TRIM(INDEX('INPUT - Roster'!$O$1:$O$206,Grid!$B64)&amp;""))</f>
        <v/>
      </c>
      <c r="J92" s="160">
        <f>IF(Grid!$B64="","",TRIM(INDEX('INPUT - Roster'!$J$1:$J$206,Grid!$B64)&amp;""))</f>
        <v/>
      </c>
      <c r="K92" s="160">
        <f>IF(Grid!$B64="","",TRIM(INDEX('INPUT - Roster'!$K$1:$K$206,Grid!$B64)&amp;""))</f>
        <v/>
      </c>
      <c r="L92" s="160">
        <f>IF(Grid!$B64="","",TRIM(INDEX('INPUT - Roster'!$L$1:$L$206,Grid!$B64)&amp;""))</f>
        <v/>
      </c>
      <c r="M92" s="160">
        <f>IF(Grid!$B64="","",TRIM(INDEX('INPUT - Roster'!$M$1:$M$206,Grid!$B64)&amp;""))</f>
        <v/>
      </c>
      <c r="N92" s="158">
        <f>Grid!F64</f>
        <v/>
      </c>
      <c r="O92" s="160">
        <f>Grid!AI64</f>
        <v/>
      </c>
      <c r="P92" s="160">
        <f>Grid!BL64</f>
        <v/>
      </c>
      <c r="Q92" s="162">
        <f>IF(Grid!$D64="","",INDEX(Grid!$F$2:$AG$2,Grid!$D64))</f>
        <v/>
      </c>
      <c r="R92" s="158">
        <f>IF(Grid!$D64="","",INDEX(Grid!$F64:$AG64,Grid!$D64))</f>
        <v/>
      </c>
      <c r="S92" s="160">
        <f>IF(Grid!$B64="","",IFERROR(TRIM(INDEX('BHP Site Access'!$G$3:$G$104,MATCH(LOWER(TRIM(INDEX('INPUT - Roster'!$D$1:$D$206,Grid!$B64)&amp;"")&amp;"|"&amp;TRIM(INDEX('INPUT - Roster'!$E$1:$E$206,Grid!$B64)&amp;"")),Calc!$AX$3:$AX$104,0))&amp;""),"Not listed"))</f>
        <v/>
      </c>
      <c r="T92" s="160">
        <f>IF(OR(Grid!$B64="",ISNUMBER(SEARCH("demob",E92))),"",IF(AND(UPPER(TRIM(J92&amp;""))="YES",UPPER(TRIM(K92&amp;""))="YES",UPPER(TRIM(L92&amp;""))="YES",LEFT(UPPER(M92),14)="QUALS COMPLETE"),"","GAP"))</f>
        <v/>
      </c>
      <c r="U92" s="163">
        <f>IF(Grid!$B64="",0,IF(AND(OR(Dashboard!$D$9="All",D92=Dashboard!$D$9),OR(Dashboard!$J$9="All",E92=Dashboard!$J$9)),1,0))</f>
        <v/>
      </c>
    </row>
    <row r="93">
      <c r="B93" s="160">
        <f>IF(Grid!$B65="","",63)</f>
        <v/>
      </c>
      <c r="C93" s="161">
        <f>IF(Grid!$B65="","",TRIM(INDEX('INPUT - Roster'!$F$1:$F$206,Grid!$B65)&amp;""))</f>
        <v/>
      </c>
      <c r="D93" s="158">
        <f>IF(Grid!$B65="","",TRIM(INDEX('INPUT - Roster'!$C$1:$C$206,Grid!$B65)&amp;""))</f>
        <v/>
      </c>
      <c r="E93" s="158">
        <f>IF(Grid!$B65="","",INDEX(Index!$C$2:$C$202,MATCH(Grid!$B65,Index!$A$2:$A$202,0)))</f>
        <v/>
      </c>
      <c r="F93" s="158">
        <f>IF(Grid!$B65="","",TRIM(INDEX('INPUT - Roster'!$H$1:$H$206,Grid!$B65)&amp;""))</f>
        <v/>
      </c>
      <c r="G93" s="160">
        <f>IF(Grid!$B65="","",TRIM(INDEX('INPUT - Roster'!$G$1:$G$206,Grid!$B65)&amp;""))</f>
        <v/>
      </c>
      <c r="H93" s="160">
        <f>IF(Grid!$B65="","",TRIM(INDEX('INPUT - Roster'!$R$1:$R$206,Grid!$B65)&amp;""))</f>
        <v/>
      </c>
      <c r="I93" s="160">
        <f>IF(Grid!$B65="","",TRIM(INDEX('INPUT - Roster'!$O$1:$O$206,Grid!$B65)&amp;""))</f>
        <v/>
      </c>
      <c r="J93" s="160">
        <f>IF(Grid!$B65="","",TRIM(INDEX('INPUT - Roster'!$J$1:$J$206,Grid!$B65)&amp;""))</f>
        <v/>
      </c>
      <c r="K93" s="160">
        <f>IF(Grid!$B65="","",TRIM(INDEX('INPUT - Roster'!$K$1:$K$206,Grid!$B65)&amp;""))</f>
        <v/>
      </c>
      <c r="L93" s="160">
        <f>IF(Grid!$B65="","",TRIM(INDEX('INPUT - Roster'!$L$1:$L$206,Grid!$B65)&amp;""))</f>
        <v/>
      </c>
      <c r="M93" s="160">
        <f>IF(Grid!$B65="","",TRIM(INDEX('INPUT - Roster'!$M$1:$M$206,Grid!$B65)&amp;""))</f>
        <v/>
      </c>
      <c r="N93" s="158">
        <f>Grid!F65</f>
        <v/>
      </c>
      <c r="O93" s="160">
        <f>Grid!AI65</f>
        <v/>
      </c>
      <c r="P93" s="160">
        <f>Grid!BL65</f>
        <v/>
      </c>
      <c r="Q93" s="162">
        <f>IF(Grid!$D65="","",INDEX(Grid!$F$2:$AG$2,Grid!$D65))</f>
        <v/>
      </c>
      <c r="R93" s="158">
        <f>IF(Grid!$D65="","",INDEX(Grid!$F65:$AG65,Grid!$D65))</f>
        <v/>
      </c>
      <c r="S93" s="160">
        <f>IF(Grid!$B65="","",IFERROR(TRIM(INDEX('BHP Site Access'!$G$3:$G$104,MATCH(LOWER(TRIM(INDEX('INPUT - Roster'!$D$1:$D$206,Grid!$B65)&amp;"")&amp;"|"&amp;TRIM(INDEX('INPUT - Roster'!$E$1:$E$206,Grid!$B65)&amp;"")),Calc!$AX$3:$AX$104,0))&amp;""),"Not listed"))</f>
        <v/>
      </c>
      <c r="T93" s="160">
        <f>IF(OR(Grid!$B65="",ISNUMBER(SEARCH("demob",E93))),"",IF(AND(UPPER(TRIM(J93&amp;""))="YES",UPPER(TRIM(K93&amp;""))="YES",UPPER(TRIM(L93&amp;""))="YES",LEFT(UPPER(M93),14)="QUALS COMPLETE"),"","GAP"))</f>
        <v/>
      </c>
      <c r="U93" s="163">
        <f>IF(Grid!$B65="",0,IF(AND(OR(Dashboard!$D$9="All",D93=Dashboard!$D$9),OR(Dashboard!$J$9="All",E93=Dashboard!$J$9)),1,0))</f>
        <v/>
      </c>
    </row>
    <row r="94">
      <c r="B94" s="160">
        <f>IF(Grid!$B66="","",64)</f>
        <v/>
      </c>
      <c r="C94" s="161">
        <f>IF(Grid!$B66="","",TRIM(INDEX('INPUT - Roster'!$F$1:$F$206,Grid!$B66)&amp;""))</f>
        <v/>
      </c>
      <c r="D94" s="158">
        <f>IF(Grid!$B66="","",TRIM(INDEX('INPUT - Roster'!$C$1:$C$206,Grid!$B66)&amp;""))</f>
        <v/>
      </c>
      <c r="E94" s="158">
        <f>IF(Grid!$B66="","",INDEX(Index!$C$2:$C$202,MATCH(Grid!$B66,Index!$A$2:$A$202,0)))</f>
        <v/>
      </c>
      <c r="F94" s="158">
        <f>IF(Grid!$B66="","",TRIM(INDEX('INPUT - Roster'!$H$1:$H$206,Grid!$B66)&amp;""))</f>
        <v/>
      </c>
      <c r="G94" s="160">
        <f>IF(Grid!$B66="","",TRIM(INDEX('INPUT - Roster'!$G$1:$G$206,Grid!$B66)&amp;""))</f>
        <v/>
      </c>
      <c r="H94" s="160">
        <f>IF(Grid!$B66="","",TRIM(INDEX('INPUT - Roster'!$R$1:$R$206,Grid!$B66)&amp;""))</f>
        <v/>
      </c>
      <c r="I94" s="160">
        <f>IF(Grid!$B66="","",TRIM(INDEX('INPUT - Roster'!$O$1:$O$206,Grid!$B66)&amp;""))</f>
        <v/>
      </c>
      <c r="J94" s="160">
        <f>IF(Grid!$B66="","",TRIM(INDEX('INPUT - Roster'!$J$1:$J$206,Grid!$B66)&amp;""))</f>
        <v/>
      </c>
      <c r="K94" s="160">
        <f>IF(Grid!$B66="","",TRIM(INDEX('INPUT - Roster'!$K$1:$K$206,Grid!$B66)&amp;""))</f>
        <v/>
      </c>
      <c r="L94" s="160">
        <f>IF(Grid!$B66="","",TRIM(INDEX('INPUT - Roster'!$L$1:$L$206,Grid!$B66)&amp;""))</f>
        <v/>
      </c>
      <c r="M94" s="160">
        <f>IF(Grid!$B66="","",TRIM(INDEX('INPUT - Roster'!$M$1:$M$206,Grid!$B66)&amp;""))</f>
        <v/>
      </c>
      <c r="N94" s="158">
        <f>Grid!F66</f>
        <v/>
      </c>
      <c r="O94" s="160">
        <f>Grid!AI66</f>
        <v/>
      </c>
      <c r="P94" s="160">
        <f>Grid!BL66</f>
        <v/>
      </c>
      <c r="Q94" s="162">
        <f>IF(Grid!$D66="","",INDEX(Grid!$F$2:$AG$2,Grid!$D66))</f>
        <v/>
      </c>
      <c r="R94" s="158">
        <f>IF(Grid!$D66="","",INDEX(Grid!$F66:$AG66,Grid!$D66))</f>
        <v/>
      </c>
      <c r="S94" s="160">
        <f>IF(Grid!$B66="","",IFERROR(TRIM(INDEX('BHP Site Access'!$G$3:$G$104,MATCH(LOWER(TRIM(INDEX('INPUT - Roster'!$D$1:$D$206,Grid!$B66)&amp;"")&amp;"|"&amp;TRIM(INDEX('INPUT - Roster'!$E$1:$E$206,Grid!$B66)&amp;"")),Calc!$AX$3:$AX$104,0))&amp;""),"Not listed"))</f>
        <v/>
      </c>
      <c r="T94" s="160">
        <f>IF(OR(Grid!$B66="",ISNUMBER(SEARCH("demob",E94))),"",IF(AND(UPPER(TRIM(J94&amp;""))="YES",UPPER(TRIM(K94&amp;""))="YES",UPPER(TRIM(L94&amp;""))="YES",LEFT(UPPER(M94),14)="QUALS COMPLETE"),"","GAP"))</f>
        <v/>
      </c>
      <c r="U94" s="163">
        <f>IF(Grid!$B66="",0,IF(AND(OR(Dashboard!$D$9="All",D94=Dashboard!$D$9),OR(Dashboard!$J$9="All",E94=Dashboard!$J$9)),1,0))</f>
        <v/>
      </c>
    </row>
    <row r="95">
      <c r="B95" s="160">
        <f>IF(Grid!$B67="","",65)</f>
        <v/>
      </c>
      <c r="C95" s="161">
        <f>IF(Grid!$B67="","",TRIM(INDEX('INPUT - Roster'!$F$1:$F$206,Grid!$B67)&amp;""))</f>
        <v/>
      </c>
      <c r="D95" s="158">
        <f>IF(Grid!$B67="","",TRIM(INDEX('INPUT - Roster'!$C$1:$C$206,Grid!$B67)&amp;""))</f>
        <v/>
      </c>
      <c r="E95" s="158">
        <f>IF(Grid!$B67="","",INDEX(Index!$C$2:$C$202,MATCH(Grid!$B67,Index!$A$2:$A$202,0)))</f>
        <v/>
      </c>
      <c r="F95" s="158">
        <f>IF(Grid!$B67="","",TRIM(INDEX('INPUT - Roster'!$H$1:$H$206,Grid!$B67)&amp;""))</f>
        <v/>
      </c>
      <c r="G95" s="160">
        <f>IF(Grid!$B67="","",TRIM(INDEX('INPUT - Roster'!$G$1:$G$206,Grid!$B67)&amp;""))</f>
        <v/>
      </c>
      <c r="H95" s="160">
        <f>IF(Grid!$B67="","",TRIM(INDEX('INPUT - Roster'!$R$1:$R$206,Grid!$B67)&amp;""))</f>
        <v/>
      </c>
      <c r="I95" s="160">
        <f>IF(Grid!$B67="","",TRIM(INDEX('INPUT - Roster'!$O$1:$O$206,Grid!$B67)&amp;""))</f>
        <v/>
      </c>
      <c r="J95" s="160">
        <f>IF(Grid!$B67="","",TRIM(INDEX('INPUT - Roster'!$J$1:$J$206,Grid!$B67)&amp;""))</f>
        <v/>
      </c>
      <c r="K95" s="160">
        <f>IF(Grid!$B67="","",TRIM(INDEX('INPUT - Roster'!$K$1:$K$206,Grid!$B67)&amp;""))</f>
        <v/>
      </c>
      <c r="L95" s="160">
        <f>IF(Grid!$B67="","",TRIM(INDEX('INPUT - Roster'!$L$1:$L$206,Grid!$B67)&amp;""))</f>
        <v/>
      </c>
      <c r="M95" s="160">
        <f>IF(Grid!$B67="","",TRIM(INDEX('INPUT - Roster'!$M$1:$M$206,Grid!$B67)&amp;""))</f>
        <v/>
      </c>
      <c r="N95" s="158">
        <f>Grid!F67</f>
        <v/>
      </c>
      <c r="O95" s="160">
        <f>Grid!AI67</f>
        <v/>
      </c>
      <c r="P95" s="160">
        <f>Grid!BL67</f>
        <v/>
      </c>
      <c r="Q95" s="162">
        <f>IF(Grid!$D67="","",INDEX(Grid!$F$2:$AG$2,Grid!$D67))</f>
        <v/>
      </c>
      <c r="R95" s="158">
        <f>IF(Grid!$D67="","",INDEX(Grid!$F67:$AG67,Grid!$D67))</f>
        <v/>
      </c>
      <c r="S95" s="160">
        <f>IF(Grid!$B67="","",IFERROR(TRIM(INDEX('BHP Site Access'!$G$3:$G$104,MATCH(LOWER(TRIM(INDEX('INPUT - Roster'!$D$1:$D$206,Grid!$B67)&amp;"")&amp;"|"&amp;TRIM(INDEX('INPUT - Roster'!$E$1:$E$206,Grid!$B67)&amp;"")),Calc!$AX$3:$AX$104,0))&amp;""),"Not listed"))</f>
        <v/>
      </c>
      <c r="T95" s="160">
        <f>IF(OR(Grid!$B67="",ISNUMBER(SEARCH("demob",E95))),"",IF(AND(UPPER(TRIM(J95&amp;""))="YES",UPPER(TRIM(K95&amp;""))="YES",UPPER(TRIM(L95&amp;""))="YES",LEFT(UPPER(M95),14)="QUALS COMPLETE"),"","GAP"))</f>
        <v/>
      </c>
      <c r="U95" s="163">
        <f>IF(Grid!$B67="",0,IF(AND(OR(Dashboard!$D$9="All",D95=Dashboard!$D$9),OR(Dashboard!$J$9="All",E95=Dashboard!$J$9)),1,0))</f>
        <v/>
      </c>
    </row>
    <row r="96">
      <c r="B96" s="160">
        <f>IF(Grid!$B68="","",66)</f>
        <v/>
      </c>
      <c r="C96" s="161">
        <f>IF(Grid!$B68="","",TRIM(INDEX('INPUT - Roster'!$F$1:$F$206,Grid!$B68)&amp;""))</f>
        <v/>
      </c>
      <c r="D96" s="158">
        <f>IF(Grid!$B68="","",TRIM(INDEX('INPUT - Roster'!$C$1:$C$206,Grid!$B68)&amp;""))</f>
        <v/>
      </c>
      <c r="E96" s="158">
        <f>IF(Grid!$B68="","",INDEX(Index!$C$2:$C$202,MATCH(Grid!$B68,Index!$A$2:$A$202,0)))</f>
        <v/>
      </c>
      <c r="F96" s="158">
        <f>IF(Grid!$B68="","",TRIM(INDEX('INPUT - Roster'!$H$1:$H$206,Grid!$B68)&amp;""))</f>
        <v/>
      </c>
      <c r="G96" s="160">
        <f>IF(Grid!$B68="","",TRIM(INDEX('INPUT - Roster'!$G$1:$G$206,Grid!$B68)&amp;""))</f>
        <v/>
      </c>
      <c r="H96" s="160">
        <f>IF(Grid!$B68="","",TRIM(INDEX('INPUT - Roster'!$R$1:$R$206,Grid!$B68)&amp;""))</f>
        <v/>
      </c>
      <c r="I96" s="160">
        <f>IF(Grid!$B68="","",TRIM(INDEX('INPUT - Roster'!$O$1:$O$206,Grid!$B68)&amp;""))</f>
        <v/>
      </c>
      <c r="J96" s="160">
        <f>IF(Grid!$B68="","",TRIM(INDEX('INPUT - Roster'!$J$1:$J$206,Grid!$B68)&amp;""))</f>
        <v/>
      </c>
      <c r="K96" s="160">
        <f>IF(Grid!$B68="","",TRIM(INDEX('INPUT - Roster'!$K$1:$K$206,Grid!$B68)&amp;""))</f>
        <v/>
      </c>
      <c r="L96" s="160">
        <f>IF(Grid!$B68="","",TRIM(INDEX('INPUT - Roster'!$L$1:$L$206,Grid!$B68)&amp;""))</f>
        <v/>
      </c>
      <c r="M96" s="160">
        <f>IF(Grid!$B68="","",TRIM(INDEX('INPUT - Roster'!$M$1:$M$206,Grid!$B68)&amp;""))</f>
        <v/>
      </c>
      <c r="N96" s="158">
        <f>Grid!F68</f>
        <v/>
      </c>
      <c r="O96" s="160">
        <f>Grid!AI68</f>
        <v/>
      </c>
      <c r="P96" s="160">
        <f>Grid!BL68</f>
        <v/>
      </c>
      <c r="Q96" s="162">
        <f>IF(Grid!$D68="","",INDEX(Grid!$F$2:$AG$2,Grid!$D68))</f>
        <v/>
      </c>
      <c r="R96" s="158">
        <f>IF(Grid!$D68="","",INDEX(Grid!$F68:$AG68,Grid!$D68))</f>
        <v/>
      </c>
      <c r="S96" s="160">
        <f>IF(Grid!$B68="","",IFERROR(TRIM(INDEX('BHP Site Access'!$G$3:$G$104,MATCH(LOWER(TRIM(INDEX('INPUT - Roster'!$D$1:$D$206,Grid!$B68)&amp;"")&amp;"|"&amp;TRIM(INDEX('INPUT - Roster'!$E$1:$E$206,Grid!$B68)&amp;"")),Calc!$AX$3:$AX$104,0))&amp;""),"Not listed"))</f>
        <v/>
      </c>
      <c r="T96" s="160">
        <f>IF(OR(Grid!$B68="",ISNUMBER(SEARCH("demob",E96))),"",IF(AND(UPPER(TRIM(J96&amp;""))="YES",UPPER(TRIM(K96&amp;""))="YES",UPPER(TRIM(L96&amp;""))="YES",LEFT(UPPER(M96),14)="QUALS COMPLETE"),"","GAP"))</f>
        <v/>
      </c>
      <c r="U96" s="163">
        <f>IF(Grid!$B68="",0,IF(AND(OR(Dashboard!$D$9="All",D96=Dashboard!$D$9),OR(Dashboard!$J$9="All",E96=Dashboard!$J$9)),1,0))</f>
        <v/>
      </c>
    </row>
    <row r="97">
      <c r="B97" s="160">
        <f>IF(Grid!$B69="","",67)</f>
        <v/>
      </c>
      <c r="C97" s="161">
        <f>IF(Grid!$B69="","",TRIM(INDEX('INPUT - Roster'!$F$1:$F$206,Grid!$B69)&amp;""))</f>
        <v/>
      </c>
      <c r="D97" s="158">
        <f>IF(Grid!$B69="","",TRIM(INDEX('INPUT - Roster'!$C$1:$C$206,Grid!$B69)&amp;""))</f>
        <v/>
      </c>
      <c r="E97" s="158">
        <f>IF(Grid!$B69="","",INDEX(Index!$C$2:$C$202,MATCH(Grid!$B69,Index!$A$2:$A$202,0)))</f>
        <v/>
      </c>
      <c r="F97" s="158">
        <f>IF(Grid!$B69="","",TRIM(INDEX('INPUT - Roster'!$H$1:$H$206,Grid!$B69)&amp;""))</f>
        <v/>
      </c>
      <c r="G97" s="160">
        <f>IF(Grid!$B69="","",TRIM(INDEX('INPUT - Roster'!$G$1:$G$206,Grid!$B69)&amp;""))</f>
        <v/>
      </c>
      <c r="H97" s="160">
        <f>IF(Grid!$B69="","",TRIM(INDEX('INPUT - Roster'!$R$1:$R$206,Grid!$B69)&amp;""))</f>
        <v/>
      </c>
      <c r="I97" s="160">
        <f>IF(Grid!$B69="","",TRIM(INDEX('INPUT - Roster'!$O$1:$O$206,Grid!$B69)&amp;""))</f>
        <v/>
      </c>
      <c r="J97" s="160">
        <f>IF(Grid!$B69="","",TRIM(INDEX('INPUT - Roster'!$J$1:$J$206,Grid!$B69)&amp;""))</f>
        <v/>
      </c>
      <c r="K97" s="160">
        <f>IF(Grid!$B69="","",TRIM(INDEX('INPUT - Roster'!$K$1:$K$206,Grid!$B69)&amp;""))</f>
        <v/>
      </c>
      <c r="L97" s="160">
        <f>IF(Grid!$B69="","",TRIM(INDEX('INPUT - Roster'!$L$1:$L$206,Grid!$B69)&amp;""))</f>
        <v/>
      </c>
      <c r="M97" s="160">
        <f>IF(Grid!$B69="","",TRIM(INDEX('INPUT - Roster'!$M$1:$M$206,Grid!$B69)&amp;""))</f>
        <v/>
      </c>
      <c r="N97" s="158">
        <f>Grid!F69</f>
        <v/>
      </c>
      <c r="O97" s="160">
        <f>Grid!AI69</f>
        <v/>
      </c>
      <c r="P97" s="160">
        <f>Grid!BL69</f>
        <v/>
      </c>
      <c r="Q97" s="162">
        <f>IF(Grid!$D69="","",INDEX(Grid!$F$2:$AG$2,Grid!$D69))</f>
        <v/>
      </c>
      <c r="R97" s="158">
        <f>IF(Grid!$D69="","",INDEX(Grid!$F69:$AG69,Grid!$D69))</f>
        <v/>
      </c>
      <c r="S97" s="160">
        <f>IF(Grid!$B69="","",IFERROR(TRIM(INDEX('BHP Site Access'!$G$3:$G$104,MATCH(LOWER(TRIM(INDEX('INPUT - Roster'!$D$1:$D$206,Grid!$B69)&amp;"")&amp;"|"&amp;TRIM(INDEX('INPUT - Roster'!$E$1:$E$206,Grid!$B69)&amp;"")),Calc!$AX$3:$AX$104,0))&amp;""),"Not listed"))</f>
        <v/>
      </c>
      <c r="T97" s="160">
        <f>IF(OR(Grid!$B69="",ISNUMBER(SEARCH("demob",E97))),"",IF(AND(UPPER(TRIM(J97&amp;""))="YES",UPPER(TRIM(K97&amp;""))="YES",UPPER(TRIM(L97&amp;""))="YES",LEFT(UPPER(M97),14)="QUALS COMPLETE"),"","GAP"))</f>
        <v/>
      </c>
      <c r="U97" s="163">
        <f>IF(Grid!$B69="",0,IF(AND(OR(Dashboard!$D$9="All",D97=Dashboard!$D$9),OR(Dashboard!$J$9="All",E97=Dashboard!$J$9)),1,0))</f>
        <v/>
      </c>
    </row>
    <row r="98">
      <c r="B98" s="160">
        <f>IF(Grid!$B70="","",68)</f>
        <v/>
      </c>
      <c r="C98" s="161">
        <f>IF(Grid!$B70="","",TRIM(INDEX('INPUT - Roster'!$F$1:$F$206,Grid!$B70)&amp;""))</f>
        <v/>
      </c>
      <c r="D98" s="158">
        <f>IF(Grid!$B70="","",TRIM(INDEX('INPUT - Roster'!$C$1:$C$206,Grid!$B70)&amp;""))</f>
        <v/>
      </c>
      <c r="E98" s="158">
        <f>IF(Grid!$B70="","",INDEX(Index!$C$2:$C$202,MATCH(Grid!$B70,Index!$A$2:$A$202,0)))</f>
        <v/>
      </c>
      <c r="F98" s="158">
        <f>IF(Grid!$B70="","",TRIM(INDEX('INPUT - Roster'!$H$1:$H$206,Grid!$B70)&amp;""))</f>
        <v/>
      </c>
      <c r="G98" s="160">
        <f>IF(Grid!$B70="","",TRIM(INDEX('INPUT - Roster'!$G$1:$G$206,Grid!$B70)&amp;""))</f>
        <v/>
      </c>
      <c r="H98" s="160">
        <f>IF(Grid!$B70="","",TRIM(INDEX('INPUT - Roster'!$R$1:$R$206,Grid!$B70)&amp;""))</f>
        <v/>
      </c>
      <c r="I98" s="160">
        <f>IF(Grid!$B70="","",TRIM(INDEX('INPUT - Roster'!$O$1:$O$206,Grid!$B70)&amp;""))</f>
        <v/>
      </c>
      <c r="J98" s="160">
        <f>IF(Grid!$B70="","",TRIM(INDEX('INPUT - Roster'!$J$1:$J$206,Grid!$B70)&amp;""))</f>
        <v/>
      </c>
      <c r="K98" s="160">
        <f>IF(Grid!$B70="","",TRIM(INDEX('INPUT - Roster'!$K$1:$K$206,Grid!$B70)&amp;""))</f>
        <v/>
      </c>
      <c r="L98" s="160">
        <f>IF(Grid!$B70="","",TRIM(INDEX('INPUT - Roster'!$L$1:$L$206,Grid!$B70)&amp;""))</f>
        <v/>
      </c>
      <c r="M98" s="160">
        <f>IF(Grid!$B70="","",TRIM(INDEX('INPUT - Roster'!$M$1:$M$206,Grid!$B70)&amp;""))</f>
        <v/>
      </c>
      <c r="N98" s="158">
        <f>Grid!F70</f>
        <v/>
      </c>
      <c r="O98" s="160">
        <f>Grid!AI70</f>
        <v/>
      </c>
      <c r="P98" s="160">
        <f>Grid!BL70</f>
        <v/>
      </c>
      <c r="Q98" s="162">
        <f>IF(Grid!$D70="","",INDEX(Grid!$F$2:$AG$2,Grid!$D70))</f>
        <v/>
      </c>
      <c r="R98" s="158">
        <f>IF(Grid!$D70="","",INDEX(Grid!$F70:$AG70,Grid!$D70))</f>
        <v/>
      </c>
      <c r="S98" s="160">
        <f>IF(Grid!$B70="","",IFERROR(TRIM(INDEX('BHP Site Access'!$G$3:$G$104,MATCH(LOWER(TRIM(INDEX('INPUT - Roster'!$D$1:$D$206,Grid!$B70)&amp;"")&amp;"|"&amp;TRIM(INDEX('INPUT - Roster'!$E$1:$E$206,Grid!$B70)&amp;"")),Calc!$AX$3:$AX$104,0))&amp;""),"Not listed"))</f>
        <v/>
      </c>
      <c r="T98" s="160">
        <f>IF(OR(Grid!$B70="",ISNUMBER(SEARCH("demob",E98))),"",IF(AND(UPPER(TRIM(J98&amp;""))="YES",UPPER(TRIM(K98&amp;""))="YES",UPPER(TRIM(L98&amp;""))="YES",LEFT(UPPER(M98),14)="QUALS COMPLETE"),"","GAP"))</f>
        <v/>
      </c>
      <c r="U98" s="163">
        <f>IF(Grid!$B70="",0,IF(AND(OR(Dashboard!$D$9="All",D98=Dashboard!$D$9),OR(Dashboard!$J$9="All",E98=Dashboard!$J$9)),1,0))</f>
        <v/>
      </c>
    </row>
    <row r="99">
      <c r="B99" s="160">
        <f>IF(Grid!$B71="","",69)</f>
        <v/>
      </c>
      <c r="C99" s="161">
        <f>IF(Grid!$B71="","",TRIM(INDEX('INPUT - Roster'!$F$1:$F$206,Grid!$B71)&amp;""))</f>
        <v/>
      </c>
      <c r="D99" s="158">
        <f>IF(Grid!$B71="","",TRIM(INDEX('INPUT - Roster'!$C$1:$C$206,Grid!$B71)&amp;""))</f>
        <v/>
      </c>
      <c r="E99" s="158">
        <f>IF(Grid!$B71="","",INDEX(Index!$C$2:$C$202,MATCH(Grid!$B71,Index!$A$2:$A$202,0)))</f>
        <v/>
      </c>
      <c r="F99" s="158">
        <f>IF(Grid!$B71="","",TRIM(INDEX('INPUT - Roster'!$H$1:$H$206,Grid!$B71)&amp;""))</f>
        <v/>
      </c>
      <c r="G99" s="160">
        <f>IF(Grid!$B71="","",TRIM(INDEX('INPUT - Roster'!$G$1:$G$206,Grid!$B71)&amp;""))</f>
        <v/>
      </c>
      <c r="H99" s="160">
        <f>IF(Grid!$B71="","",TRIM(INDEX('INPUT - Roster'!$R$1:$R$206,Grid!$B71)&amp;""))</f>
        <v/>
      </c>
      <c r="I99" s="160">
        <f>IF(Grid!$B71="","",TRIM(INDEX('INPUT - Roster'!$O$1:$O$206,Grid!$B71)&amp;""))</f>
        <v/>
      </c>
      <c r="J99" s="160">
        <f>IF(Grid!$B71="","",TRIM(INDEX('INPUT - Roster'!$J$1:$J$206,Grid!$B71)&amp;""))</f>
        <v/>
      </c>
      <c r="K99" s="160">
        <f>IF(Grid!$B71="","",TRIM(INDEX('INPUT - Roster'!$K$1:$K$206,Grid!$B71)&amp;""))</f>
        <v/>
      </c>
      <c r="L99" s="160">
        <f>IF(Grid!$B71="","",TRIM(INDEX('INPUT - Roster'!$L$1:$L$206,Grid!$B71)&amp;""))</f>
        <v/>
      </c>
      <c r="M99" s="160">
        <f>IF(Grid!$B71="","",TRIM(INDEX('INPUT - Roster'!$M$1:$M$206,Grid!$B71)&amp;""))</f>
        <v/>
      </c>
      <c r="N99" s="158">
        <f>Grid!F71</f>
        <v/>
      </c>
      <c r="O99" s="160">
        <f>Grid!AI71</f>
        <v/>
      </c>
      <c r="P99" s="160">
        <f>Grid!BL71</f>
        <v/>
      </c>
      <c r="Q99" s="162">
        <f>IF(Grid!$D71="","",INDEX(Grid!$F$2:$AG$2,Grid!$D71))</f>
        <v/>
      </c>
      <c r="R99" s="158">
        <f>IF(Grid!$D71="","",INDEX(Grid!$F71:$AG71,Grid!$D71))</f>
        <v/>
      </c>
      <c r="S99" s="160">
        <f>IF(Grid!$B71="","",IFERROR(TRIM(INDEX('BHP Site Access'!$G$3:$G$104,MATCH(LOWER(TRIM(INDEX('INPUT - Roster'!$D$1:$D$206,Grid!$B71)&amp;"")&amp;"|"&amp;TRIM(INDEX('INPUT - Roster'!$E$1:$E$206,Grid!$B71)&amp;"")),Calc!$AX$3:$AX$104,0))&amp;""),"Not listed"))</f>
        <v/>
      </c>
      <c r="T99" s="160">
        <f>IF(OR(Grid!$B71="",ISNUMBER(SEARCH("demob",E99))),"",IF(AND(UPPER(TRIM(J99&amp;""))="YES",UPPER(TRIM(K99&amp;""))="YES",UPPER(TRIM(L99&amp;""))="YES",LEFT(UPPER(M99),14)="QUALS COMPLETE"),"","GAP"))</f>
        <v/>
      </c>
      <c r="U99" s="163">
        <f>IF(Grid!$B71="",0,IF(AND(OR(Dashboard!$D$9="All",D99=Dashboard!$D$9),OR(Dashboard!$J$9="All",E99=Dashboard!$J$9)),1,0))</f>
        <v/>
      </c>
    </row>
    <row r="100">
      <c r="B100" s="160">
        <f>IF(Grid!$B72="","",70)</f>
        <v/>
      </c>
      <c r="C100" s="161">
        <f>IF(Grid!$B72="","",TRIM(INDEX('INPUT - Roster'!$F$1:$F$206,Grid!$B72)&amp;""))</f>
        <v/>
      </c>
      <c r="D100" s="158">
        <f>IF(Grid!$B72="","",TRIM(INDEX('INPUT - Roster'!$C$1:$C$206,Grid!$B72)&amp;""))</f>
        <v/>
      </c>
      <c r="E100" s="158">
        <f>IF(Grid!$B72="","",INDEX(Index!$C$2:$C$202,MATCH(Grid!$B72,Index!$A$2:$A$202,0)))</f>
        <v/>
      </c>
      <c r="F100" s="158">
        <f>IF(Grid!$B72="","",TRIM(INDEX('INPUT - Roster'!$H$1:$H$206,Grid!$B72)&amp;""))</f>
        <v/>
      </c>
      <c r="G100" s="160">
        <f>IF(Grid!$B72="","",TRIM(INDEX('INPUT - Roster'!$G$1:$G$206,Grid!$B72)&amp;""))</f>
        <v/>
      </c>
      <c r="H100" s="160">
        <f>IF(Grid!$B72="","",TRIM(INDEX('INPUT - Roster'!$R$1:$R$206,Grid!$B72)&amp;""))</f>
        <v/>
      </c>
      <c r="I100" s="160">
        <f>IF(Grid!$B72="","",TRIM(INDEX('INPUT - Roster'!$O$1:$O$206,Grid!$B72)&amp;""))</f>
        <v/>
      </c>
      <c r="J100" s="160">
        <f>IF(Grid!$B72="","",TRIM(INDEX('INPUT - Roster'!$J$1:$J$206,Grid!$B72)&amp;""))</f>
        <v/>
      </c>
      <c r="K100" s="160">
        <f>IF(Grid!$B72="","",TRIM(INDEX('INPUT - Roster'!$K$1:$K$206,Grid!$B72)&amp;""))</f>
        <v/>
      </c>
      <c r="L100" s="160">
        <f>IF(Grid!$B72="","",TRIM(INDEX('INPUT - Roster'!$L$1:$L$206,Grid!$B72)&amp;""))</f>
        <v/>
      </c>
      <c r="M100" s="160">
        <f>IF(Grid!$B72="","",TRIM(INDEX('INPUT - Roster'!$M$1:$M$206,Grid!$B72)&amp;""))</f>
        <v/>
      </c>
      <c r="N100" s="158">
        <f>Grid!F72</f>
        <v/>
      </c>
      <c r="O100" s="160">
        <f>Grid!AI72</f>
        <v/>
      </c>
      <c r="P100" s="160">
        <f>Grid!BL72</f>
        <v/>
      </c>
      <c r="Q100" s="162">
        <f>IF(Grid!$D72="","",INDEX(Grid!$F$2:$AG$2,Grid!$D72))</f>
        <v/>
      </c>
      <c r="R100" s="158">
        <f>IF(Grid!$D72="","",INDEX(Grid!$F72:$AG72,Grid!$D72))</f>
        <v/>
      </c>
      <c r="S100" s="160">
        <f>IF(Grid!$B72="","",IFERROR(TRIM(INDEX('BHP Site Access'!$G$3:$G$104,MATCH(LOWER(TRIM(INDEX('INPUT - Roster'!$D$1:$D$206,Grid!$B72)&amp;"")&amp;"|"&amp;TRIM(INDEX('INPUT - Roster'!$E$1:$E$206,Grid!$B72)&amp;"")),Calc!$AX$3:$AX$104,0))&amp;""),"Not listed"))</f>
        <v/>
      </c>
      <c r="T100" s="160">
        <f>IF(OR(Grid!$B72="",ISNUMBER(SEARCH("demob",E100))),"",IF(AND(UPPER(TRIM(J100&amp;""))="YES",UPPER(TRIM(K100&amp;""))="YES",UPPER(TRIM(L100&amp;""))="YES",LEFT(UPPER(M100),14)="QUALS COMPLETE"),"","GAP"))</f>
        <v/>
      </c>
      <c r="U100" s="163">
        <f>IF(Grid!$B72="",0,IF(AND(OR(Dashboard!$D$9="All",D100=Dashboard!$D$9),OR(Dashboard!$J$9="All",E100=Dashboard!$J$9)),1,0))</f>
        <v/>
      </c>
    </row>
    <row r="101">
      <c r="B101" s="160">
        <f>IF(Grid!$B73="","",71)</f>
        <v/>
      </c>
      <c r="C101" s="161">
        <f>IF(Grid!$B73="","",TRIM(INDEX('INPUT - Roster'!$F$1:$F$206,Grid!$B73)&amp;""))</f>
        <v/>
      </c>
      <c r="D101" s="158">
        <f>IF(Grid!$B73="","",TRIM(INDEX('INPUT - Roster'!$C$1:$C$206,Grid!$B73)&amp;""))</f>
        <v/>
      </c>
      <c r="E101" s="158">
        <f>IF(Grid!$B73="","",INDEX(Index!$C$2:$C$202,MATCH(Grid!$B73,Index!$A$2:$A$202,0)))</f>
        <v/>
      </c>
      <c r="F101" s="158">
        <f>IF(Grid!$B73="","",TRIM(INDEX('INPUT - Roster'!$H$1:$H$206,Grid!$B73)&amp;""))</f>
        <v/>
      </c>
      <c r="G101" s="160">
        <f>IF(Grid!$B73="","",TRIM(INDEX('INPUT - Roster'!$G$1:$G$206,Grid!$B73)&amp;""))</f>
        <v/>
      </c>
      <c r="H101" s="160">
        <f>IF(Grid!$B73="","",TRIM(INDEX('INPUT - Roster'!$R$1:$R$206,Grid!$B73)&amp;""))</f>
        <v/>
      </c>
      <c r="I101" s="160">
        <f>IF(Grid!$B73="","",TRIM(INDEX('INPUT - Roster'!$O$1:$O$206,Grid!$B73)&amp;""))</f>
        <v/>
      </c>
      <c r="J101" s="160">
        <f>IF(Grid!$B73="","",TRIM(INDEX('INPUT - Roster'!$J$1:$J$206,Grid!$B73)&amp;""))</f>
        <v/>
      </c>
      <c r="K101" s="160">
        <f>IF(Grid!$B73="","",TRIM(INDEX('INPUT - Roster'!$K$1:$K$206,Grid!$B73)&amp;""))</f>
        <v/>
      </c>
      <c r="L101" s="160">
        <f>IF(Grid!$B73="","",TRIM(INDEX('INPUT - Roster'!$L$1:$L$206,Grid!$B73)&amp;""))</f>
        <v/>
      </c>
      <c r="M101" s="160">
        <f>IF(Grid!$B73="","",TRIM(INDEX('INPUT - Roster'!$M$1:$M$206,Grid!$B73)&amp;""))</f>
        <v/>
      </c>
      <c r="N101" s="158">
        <f>Grid!F73</f>
        <v/>
      </c>
      <c r="O101" s="160">
        <f>Grid!AI73</f>
        <v/>
      </c>
      <c r="P101" s="160">
        <f>Grid!BL73</f>
        <v/>
      </c>
      <c r="Q101" s="162">
        <f>IF(Grid!$D73="","",INDEX(Grid!$F$2:$AG$2,Grid!$D73))</f>
        <v/>
      </c>
      <c r="R101" s="158">
        <f>IF(Grid!$D73="","",INDEX(Grid!$F73:$AG73,Grid!$D73))</f>
        <v/>
      </c>
      <c r="S101" s="160">
        <f>IF(Grid!$B73="","",IFERROR(TRIM(INDEX('BHP Site Access'!$G$3:$G$104,MATCH(LOWER(TRIM(INDEX('INPUT - Roster'!$D$1:$D$206,Grid!$B73)&amp;"")&amp;"|"&amp;TRIM(INDEX('INPUT - Roster'!$E$1:$E$206,Grid!$B73)&amp;"")),Calc!$AX$3:$AX$104,0))&amp;""),"Not listed"))</f>
        <v/>
      </c>
      <c r="T101" s="160">
        <f>IF(OR(Grid!$B73="",ISNUMBER(SEARCH("demob",E101))),"",IF(AND(UPPER(TRIM(J101&amp;""))="YES",UPPER(TRIM(K101&amp;""))="YES",UPPER(TRIM(L101&amp;""))="YES",LEFT(UPPER(M101),14)="QUALS COMPLETE"),"","GAP"))</f>
        <v/>
      </c>
      <c r="U101" s="163">
        <f>IF(Grid!$B73="",0,IF(AND(OR(Dashboard!$D$9="All",D101=Dashboard!$D$9),OR(Dashboard!$J$9="All",E101=Dashboard!$J$9)),1,0))</f>
        <v/>
      </c>
    </row>
    <row r="102">
      <c r="B102" s="160">
        <f>IF(Grid!$B74="","",72)</f>
        <v/>
      </c>
      <c r="C102" s="161">
        <f>IF(Grid!$B74="","",TRIM(INDEX('INPUT - Roster'!$F$1:$F$206,Grid!$B74)&amp;""))</f>
        <v/>
      </c>
      <c r="D102" s="158">
        <f>IF(Grid!$B74="","",TRIM(INDEX('INPUT - Roster'!$C$1:$C$206,Grid!$B74)&amp;""))</f>
        <v/>
      </c>
      <c r="E102" s="158">
        <f>IF(Grid!$B74="","",INDEX(Index!$C$2:$C$202,MATCH(Grid!$B74,Index!$A$2:$A$202,0)))</f>
        <v/>
      </c>
      <c r="F102" s="158">
        <f>IF(Grid!$B74="","",TRIM(INDEX('INPUT - Roster'!$H$1:$H$206,Grid!$B74)&amp;""))</f>
        <v/>
      </c>
      <c r="G102" s="160">
        <f>IF(Grid!$B74="","",TRIM(INDEX('INPUT - Roster'!$G$1:$G$206,Grid!$B74)&amp;""))</f>
        <v/>
      </c>
      <c r="H102" s="160">
        <f>IF(Grid!$B74="","",TRIM(INDEX('INPUT - Roster'!$R$1:$R$206,Grid!$B74)&amp;""))</f>
        <v/>
      </c>
      <c r="I102" s="160">
        <f>IF(Grid!$B74="","",TRIM(INDEX('INPUT - Roster'!$O$1:$O$206,Grid!$B74)&amp;""))</f>
        <v/>
      </c>
      <c r="J102" s="160">
        <f>IF(Grid!$B74="","",TRIM(INDEX('INPUT - Roster'!$J$1:$J$206,Grid!$B74)&amp;""))</f>
        <v/>
      </c>
      <c r="K102" s="160">
        <f>IF(Grid!$B74="","",TRIM(INDEX('INPUT - Roster'!$K$1:$K$206,Grid!$B74)&amp;""))</f>
        <v/>
      </c>
      <c r="L102" s="160">
        <f>IF(Grid!$B74="","",TRIM(INDEX('INPUT - Roster'!$L$1:$L$206,Grid!$B74)&amp;""))</f>
        <v/>
      </c>
      <c r="M102" s="160">
        <f>IF(Grid!$B74="","",TRIM(INDEX('INPUT - Roster'!$M$1:$M$206,Grid!$B74)&amp;""))</f>
        <v/>
      </c>
      <c r="N102" s="158">
        <f>Grid!F74</f>
        <v/>
      </c>
      <c r="O102" s="160">
        <f>Grid!AI74</f>
        <v/>
      </c>
      <c r="P102" s="160">
        <f>Grid!BL74</f>
        <v/>
      </c>
      <c r="Q102" s="162">
        <f>IF(Grid!$D74="","",INDEX(Grid!$F$2:$AG$2,Grid!$D74))</f>
        <v/>
      </c>
      <c r="R102" s="158">
        <f>IF(Grid!$D74="","",INDEX(Grid!$F74:$AG74,Grid!$D74))</f>
        <v/>
      </c>
      <c r="S102" s="160">
        <f>IF(Grid!$B74="","",IFERROR(TRIM(INDEX('BHP Site Access'!$G$3:$G$104,MATCH(LOWER(TRIM(INDEX('INPUT - Roster'!$D$1:$D$206,Grid!$B74)&amp;"")&amp;"|"&amp;TRIM(INDEX('INPUT - Roster'!$E$1:$E$206,Grid!$B74)&amp;"")),Calc!$AX$3:$AX$104,0))&amp;""),"Not listed"))</f>
        <v/>
      </c>
      <c r="T102" s="160">
        <f>IF(OR(Grid!$B74="",ISNUMBER(SEARCH("demob",E102))),"",IF(AND(UPPER(TRIM(J102&amp;""))="YES",UPPER(TRIM(K102&amp;""))="YES",UPPER(TRIM(L102&amp;""))="YES",LEFT(UPPER(M102),14)="QUALS COMPLETE"),"","GAP"))</f>
        <v/>
      </c>
      <c r="U102" s="163">
        <f>IF(Grid!$B74="",0,IF(AND(OR(Dashboard!$D$9="All",D102=Dashboard!$D$9),OR(Dashboard!$J$9="All",E102=Dashboard!$J$9)),1,0))</f>
        <v/>
      </c>
    </row>
    <row r="103">
      <c r="B103" s="160">
        <f>IF(Grid!$B75="","",73)</f>
        <v/>
      </c>
      <c r="C103" s="161">
        <f>IF(Grid!$B75="","",TRIM(INDEX('INPUT - Roster'!$F$1:$F$206,Grid!$B75)&amp;""))</f>
        <v/>
      </c>
      <c r="D103" s="158">
        <f>IF(Grid!$B75="","",TRIM(INDEX('INPUT - Roster'!$C$1:$C$206,Grid!$B75)&amp;""))</f>
        <v/>
      </c>
      <c r="E103" s="158">
        <f>IF(Grid!$B75="","",INDEX(Index!$C$2:$C$202,MATCH(Grid!$B75,Index!$A$2:$A$202,0)))</f>
        <v/>
      </c>
      <c r="F103" s="158">
        <f>IF(Grid!$B75="","",TRIM(INDEX('INPUT - Roster'!$H$1:$H$206,Grid!$B75)&amp;""))</f>
        <v/>
      </c>
      <c r="G103" s="160">
        <f>IF(Grid!$B75="","",TRIM(INDEX('INPUT - Roster'!$G$1:$G$206,Grid!$B75)&amp;""))</f>
        <v/>
      </c>
      <c r="H103" s="160">
        <f>IF(Grid!$B75="","",TRIM(INDEX('INPUT - Roster'!$R$1:$R$206,Grid!$B75)&amp;""))</f>
        <v/>
      </c>
      <c r="I103" s="160">
        <f>IF(Grid!$B75="","",TRIM(INDEX('INPUT - Roster'!$O$1:$O$206,Grid!$B75)&amp;""))</f>
        <v/>
      </c>
      <c r="J103" s="160">
        <f>IF(Grid!$B75="","",TRIM(INDEX('INPUT - Roster'!$J$1:$J$206,Grid!$B75)&amp;""))</f>
        <v/>
      </c>
      <c r="K103" s="160">
        <f>IF(Grid!$B75="","",TRIM(INDEX('INPUT - Roster'!$K$1:$K$206,Grid!$B75)&amp;""))</f>
        <v/>
      </c>
      <c r="L103" s="160">
        <f>IF(Grid!$B75="","",TRIM(INDEX('INPUT - Roster'!$L$1:$L$206,Grid!$B75)&amp;""))</f>
        <v/>
      </c>
      <c r="M103" s="160">
        <f>IF(Grid!$B75="","",TRIM(INDEX('INPUT - Roster'!$M$1:$M$206,Grid!$B75)&amp;""))</f>
        <v/>
      </c>
      <c r="N103" s="158">
        <f>Grid!F75</f>
        <v/>
      </c>
      <c r="O103" s="160">
        <f>Grid!AI75</f>
        <v/>
      </c>
      <c r="P103" s="160">
        <f>Grid!BL75</f>
        <v/>
      </c>
      <c r="Q103" s="162">
        <f>IF(Grid!$D75="","",INDEX(Grid!$F$2:$AG$2,Grid!$D75))</f>
        <v/>
      </c>
      <c r="R103" s="158">
        <f>IF(Grid!$D75="","",INDEX(Grid!$F75:$AG75,Grid!$D75))</f>
        <v/>
      </c>
      <c r="S103" s="160">
        <f>IF(Grid!$B75="","",IFERROR(TRIM(INDEX('BHP Site Access'!$G$3:$G$104,MATCH(LOWER(TRIM(INDEX('INPUT - Roster'!$D$1:$D$206,Grid!$B75)&amp;"")&amp;"|"&amp;TRIM(INDEX('INPUT - Roster'!$E$1:$E$206,Grid!$B75)&amp;"")),Calc!$AX$3:$AX$104,0))&amp;""),"Not listed"))</f>
        <v/>
      </c>
      <c r="T103" s="160">
        <f>IF(OR(Grid!$B75="",ISNUMBER(SEARCH("demob",E103))),"",IF(AND(UPPER(TRIM(J103&amp;""))="YES",UPPER(TRIM(K103&amp;""))="YES",UPPER(TRIM(L103&amp;""))="YES",LEFT(UPPER(M103),14)="QUALS COMPLETE"),"","GAP"))</f>
        <v/>
      </c>
      <c r="U103" s="163">
        <f>IF(Grid!$B75="",0,IF(AND(OR(Dashboard!$D$9="All",D103=Dashboard!$D$9),OR(Dashboard!$J$9="All",E103=Dashboard!$J$9)),1,0))</f>
        <v/>
      </c>
    </row>
    <row r="104">
      <c r="B104" s="160">
        <f>IF(Grid!$B76="","",74)</f>
        <v/>
      </c>
      <c r="C104" s="161">
        <f>IF(Grid!$B76="","",TRIM(INDEX('INPUT - Roster'!$F$1:$F$206,Grid!$B76)&amp;""))</f>
        <v/>
      </c>
      <c r="D104" s="158">
        <f>IF(Grid!$B76="","",TRIM(INDEX('INPUT - Roster'!$C$1:$C$206,Grid!$B76)&amp;""))</f>
        <v/>
      </c>
      <c r="E104" s="158">
        <f>IF(Grid!$B76="","",INDEX(Index!$C$2:$C$202,MATCH(Grid!$B76,Index!$A$2:$A$202,0)))</f>
        <v/>
      </c>
      <c r="F104" s="158">
        <f>IF(Grid!$B76="","",TRIM(INDEX('INPUT - Roster'!$H$1:$H$206,Grid!$B76)&amp;""))</f>
        <v/>
      </c>
      <c r="G104" s="160">
        <f>IF(Grid!$B76="","",TRIM(INDEX('INPUT - Roster'!$G$1:$G$206,Grid!$B76)&amp;""))</f>
        <v/>
      </c>
      <c r="H104" s="160">
        <f>IF(Grid!$B76="","",TRIM(INDEX('INPUT - Roster'!$R$1:$R$206,Grid!$B76)&amp;""))</f>
        <v/>
      </c>
      <c r="I104" s="160">
        <f>IF(Grid!$B76="","",TRIM(INDEX('INPUT - Roster'!$O$1:$O$206,Grid!$B76)&amp;""))</f>
        <v/>
      </c>
      <c r="J104" s="160">
        <f>IF(Grid!$B76="","",TRIM(INDEX('INPUT - Roster'!$J$1:$J$206,Grid!$B76)&amp;""))</f>
        <v/>
      </c>
      <c r="K104" s="160">
        <f>IF(Grid!$B76="","",TRIM(INDEX('INPUT - Roster'!$K$1:$K$206,Grid!$B76)&amp;""))</f>
        <v/>
      </c>
      <c r="L104" s="160">
        <f>IF(Grid!$B76="","",TRIM(INDEX('INPUT - Roster'!$L$1:$L$206,Grid!$B76)&amp;""))</f>
        <v/>
      </c>
      <c r="M104" s="160">
        <f>IF(Grid!$B76="","",TRIM(INDEX('INPUT - Roster'!$M$1:$M$206,Grid!$B76)&amp;""))</f>
        <v/>
      </c>
      <c r="N104" s="158">
        <f>Grid!F76</f>
        <v/>
      </c>
      <c r="O104" s="160">
        <f>Grid!AI76</f>
        <v/>
      </c>
      <c r="P104" s="160">
        <f>Grid!BL76</f>
        <v/>
      </c>
      <c r="Q104" s="162">
        <f>IF(Grid!$D76="","",INDEX(Grid!$F$2:$AG$2,Grid!$D76))</f>
        <v/>
      </c>
      <c r="R104" s="158">
        <f>IF(Grid!$D76="","",INDEX(Grid!$F76:$AG76,Grid!$D76))</f>
        <v/>
      </c>
      <c r="S104" s="160">
        <f>IF(Grid!$B76="","",IFERROR(TRIM(INDEX('BHP Site Access'!$G$3:$G$104,MATCH(LOWER(TRIM(INDEX('INPUT - Roster'!$D$1:$D$206,Grid!$B76)&amp;"")&amp;"|"&amp;TRIM(INDEX('INPUT - Roster'!$E$1:$E$206,Grid!$B76)&amp;"")),Calc!$AX$3:$AX$104,0))&amp;""),"Not listed"))</f>
        <v/>
      </c>
      <c r="T104" s="160">
        <f>IF(OR(Grid!$B76="",ISNUMBER(SEARCH("demob",E104))),"",IF(AND(UPPER(TRIM(J104&amp;""))="YES",UPPER(TRIM(K104&amp;""))="YES",UPPER(TRIM(L104&amp;""))="YES",LEFT(UPPER(M104),14)="QUALS COMPLETE"),"","GAP"))</f>
        <v/>
      </c>
      <c r="U104" s="163">
        <f>IF(Grid!$B76="",0,IF(AND(OR(Dashboard!$D$9="All",D104=Dashboard!$D$9),OR(Dashboard!$J$9="All",E104=Dashboard!$J$9)),1,0))</f>
        <v/>
      </c>
    </row>
    <row r="105">
      <c r="B105" s="160">
        <f>IF(Grid!$B77="","",75)</f>
        <v/>
      </c>
      <c r="C105" s="161">
        <f>IF(Grid!$B77="","",TRIM(INDEX('INPUT - Roster'!$F$1:$F$206,Grid!$B77)&amp;""))</f>
        <v/>
      </c>
      <c r="D105" s="158">
        <f>IF(Grid!$B77="","",TRIM(INDEX('INPUT - Roster'!$C$1:$C$206,Grid!$B77)&amp;""))</f>
        <v/>
      </c>
      <c r="E105" s="158">
        <f>IF(Grid!$B77="","",INDEX(Index!$C$2:$C$202,MATCH(Grid!$B77,Index!$A$2:$A$202,0)))</f>
        <v/>
      </c>
      <c r="F105" s="158">
        <f>IF(Grid!$B77="","",TRIM(INDEX('INPUT - Roster'!$H$1:$H$206,Grid!$B77)&amp;""))</f>
        <v/>
      </c>
      <c r="G105" s="160">
        <f>IF(Grid!$B77="","",TRIM(INDEX('INPUT - Roster'!$G$1:$G$206,Grid!$B77)&amp;""))</f>
        <v/>
      </c>
      <c r="H105" s="160">
        <f>IF(Grid!$B77="","",TRIM(INDEX('INPUT - Roster'!$R$1:$R$206,Grid!$B77)&amp;""))</f>
        <v/>
      </c>
      <c r="I105" s="160">
        <f>IF(Grid!$B77="","",TRIM(INDEX('INPUT - Roster'!$O$1:$O$206,Grid!$B77)&amp;""))</f>
        <v/>
      </c>
      <c r="J105" s="160">
        <f>IF(Grid!$B77="","",TRIM(INDEX('INPUT - Roster'!$J$1:$J$206,Grid!$B77)&amp;""))</f>
        <v/>
      </c>
      <c r="K105" s="160">
        <f>IF(Grid!$B77="","",TRIM(INDEX('INPUT - Roster'!$K$1:$K$206,Grid!$B77)&amp;""))</f>
        <v/>
      </c>
      <c r="L105" s="160">
        <f>IF(Grid!$B77="","",TRIM(INDEX('INPUT - Roster'!$L$1:$L$206,Grid!$B77)&amp;""))</f>
        <v/>
      </c>
      <c r="M105" s="160">
        <f>IF(Grid!$B77="","",TRIM(INDEX('INPUT - Roster'!$M$1:$M$206,Grid!$B77)&amp;""))</f>
        <v/>
      </c>
      <c r="N105" s="158">
        <f>Grid!F77</f>
        <v/>
      </c>
      <c r="O105" s="160">
        <f>Grid!AI77</f>
        <v/>
      </c>
      <c r="P105" s="160">
        <f>Grid!BL77</f>
        <v/>
      </c>
      <c r="Q105" s="162">
        <f>IF(Grid!$D77="","",INDEX(Grid!$F$2:$AG$2,Grid!$D77))</f>
        <v/>
      </c>
      <c r="R105" s="158">
        <f>IF(Grid!$D77="","",INDEX(Grid!$F77:$AG77,Grid!$D77))</f>
        <v/>
      </c>
      <c r="S105" s="160">
        <f>IF(Grid!$B77="","",IFERROR(TRIM(INDEX('BHP Site Access'!$G$3:$G$104,MATCH(LOWER(TRIM(INDEX('INPUT - Roster'!$D$1:$D$206,Grid!$B77)&amp;"")&amp;"|"&amp;TRIM(INDEX('INPUT - Roster'!$E$1:$E$206,Grid!$B77)&amp;"")),Calc!$AX$3:$AX$104,0))&amp;""),"Not listed"))</f>
        <v/>
      </c>
      <c r="T105" s="160">
        <f>IF(OR(Grid!$B77="",ISNUMBER(SEARCH("demob",E105))),"",IF(AND(UPPER(TRIM(J105&amp;""))="YES",UPPER(TRIM(K105&amp;""))="YES",UPPER(TRIM(L105&amp;""))="YES",LEFT(UPPER(M105),14)="QUALS COMPLETE"),"","GAP"))</f>
        <v/>
      </c>
      <c r="U105" s="163">
        <f>IF(Grid!$B77="",0,IF(AND(OR(Dashboard!$D$9="All",D105=Dashboard!$D$9),OR(Dashboard!$J$9="All",E105=Dashboard!$J$9)),1,0))</f>
        <v/>
      </c>
    </row>
    <row r="106">
      <c r="B106" s="160">
        <f>IF(Grid!$B78="","",76)</f>
        <v/>
      </c>
      <c r="C106" s="161">
        <f>IF(Grid!$B78="","",TRIM(INDEX('INPUT - Roster'!$F$1:$F$206,Grid!$B78)&amp;""))</f>
        <v/>
      </c>
      <c r="D106" s="158">
        <f>IF(Grid!$B78="","",TRIM(INDEX('INPUT - Roster'!$C$1:$C$206,Grid!$B78)&amp;""))</f>
        <v/>
      </c>
      <c r="E106" s="158">
        <f>IF(Grid!$B78="","",INDEX(Index!$C$2:$C$202,MATCH(Grid!$B78,Index!$A$2:$A$202,0)))</f>
        <v/>
      </c>
      <c r="F106" s="158">
        <f>IF(Grid!$B78="","",TRIM(INDEX('INPUT - Roster'!$H$1:$H$206,Grid!$B78)&amp;""))</f>
        <v/>
      </c>
      <c r="G106" s="160">
        <f>IF(Grid!$B78="","",TRIM(INDEX('INPUT - Roster'!$G$1:$G$206,Grid!$B78)&amp;""))</f>
        <v/>
      </c>
      <c r="H106" s="160">
        <f>IF(Grid!$B78="","",TRIM(INDEX('INPUT - Roster'!$R$1:$R$206,Grid!$B78)&amp;""))</f>
        <v/>
      </c>
      <c r="I106" s="160">
        <f>IF(Grid!$B78="","",TRIM(INDEX('INPUT - Roster'!$O$1:$O$206,Grid!$B78)&amp;""))</f>
        <v/>
      </c>
      <c r="J106" s="160">
        <f>IF(Grid!$B78="","",TRIM(INDEX('INPUT - Roster'!$J$1:$J$206,Grid!$B78)&amp;""))</f>
        <v/>
      </c>
      <c r="K106" s="160">
        <f>IF(Grid!$B78="","",TRIM(INDEX('INPUT - Roster'!$K$1:$K$206,Grid!$B78)&amp;""))</f>
        <v/>
      </c>
      <c r="L106" s="160">
        <f>IF(Grid!$B78="","",TRIM(INDEX('INPUT - Roster'!$L$1:$L$206,Grid!$B78)&amp;""))</f>
        <v/>
      </c>
      <c r="M106" s="160">
        <f>IF(Grid!$B78="","",TRIM(INDEX('INPUT - Roster'!$M$1:$M$206,Grid!$B78)&amp;""))</f>
        <v/>
      </c>
      <c r="N106" s="158">
        <f>Grid!F78</f>
        <v/>
      </c>
      <c r="O106" s="160">
        <f>Grid!AI78</f>
        <v/>
      </c>
      <c r="P106" s="160">
        <f>Grid!BL78</f>
        <v/>
      </c>
      <c r="Q106" s="162">
        <f>IF(Grid!$D78="","",INDEX(Grid!$F$2:$AG$2,Grid!$D78))</f>
        <v/>
      </c>
      <c r="R106" s="158">
        <f>IF(Grid!$D78="","",INDEX(Grid!$F78:$AG78,Grid!$D78))</f>
        <v/>
      </c>
      <c r="S106" s="160">
        <f>IF(Grid!$B78="","",IFERROR(TRIM(INDEX('BHP Site Access'!$G$3:$G$104,MATCH(LOWER(TRIM(INDEX('INPUT - Roster'!$D$1:$D$206,Grid!$B78)&amp;"")&amp;"|"&amp;TRIM(INDEX('INPUT - Roster'!$E$1:$E$206,Grid!$B78)&amp;"")),Calc!$AX$3:$AX$104,0))&amp;""),"Not listed"))</f>
        <v/>
      </c>
      <c r="T106" s="160">
        <f>IF(OR(Grid!$B78="",ISNUMBER(SEARCH("demob",E106))),"",IF(AND(UPPER(TRIM(J106&amp;""))="YES",UPPER(TRIM(K106&amp;""))="YES",UPPER(TRIM(L106&amp;""))="YES",LEFT(UPPER(M106),14)="QUALS COMPLETE"),"","GAP"))</f>
        <v/>
      </c>
      <c r="U106" s="163">
        <f>IF(Grid!$B78="",0,IF(AND(OR(Dashboard!$D$9="All",D106=Dashboard!$D$9),OR(Dashboard!$J$9="All",E106=Dashboard!$J$9)),1,0))</f>
        <v/>
      </c>
    </row>
    <row r="107">
      <c r="B107" s="160">
        <f>IF(Grid!$B79="","",77)</f>
        <v/>
      </c>
      <c r="C107" s="161">
        <f>IF(Grid!$B79="","",TRIM(INDEX('INPUT - Roster'!$F$1:$F$206,Grid!$B79)&amp;""))</f>
        <v/>
      </c>
      <c r="D107" s="158">
        <f>IF(Grid!$B79="","",TRIM(INDEX('INPUT - Roster'!$C$1:$C$206,Grid!$B79)&amp;""))</f>
        <v/>
      </c>
      <c r="E107" s="158">
        <f>IF(Grid!$B79="","",INDEX(Index!$C$2:$C$202,MATCH(Grid!$B79,Index!$A$2:$A$202,0)))</f>
        <v/>
      </c>
      <c r="F107" s="158">
        <f>IF(Grid!$B79="","",TRIM(INDEX('INPUT - Roster'!$H$1:$H$206,Grid!$B79)&amp;""))</f>
        <v/>
      </c>
      <c r="G107" s="160">
        <f>IF(Grid!$B79="","",TRIM(INDEX('INPUT - Roster'!$G$1:$G$206,Grid!$B79)&amp;""))</f>
        <v/>
      </c>
      <c r="H107" s="160">
        <f>IF(Grid!$B79="","",TRIM(INDEX('INPUT - Roster'!$R$1:$R$206,Grid!$B79)&amp;""))</f>
        <v/>
      </c>
      <c r="I107" s="160">
        <f>IF(Grid!$B79="","",TRIM(INDEX('INPUT - Roster'!$O$1:$O$206,Grid!$B79)&amp;""))</f>
        <v/>
      </c>
      <c r="J107" s="160">
        <f>IF(Grid!$B79="","",TRIM(INDEX('INPUT - Roster'!$J$1:$J$206,Grid!$B79)&amp;""))</f>
        <v/>
      </c>
      <c r="K107" s="160">
        <f>IF(Grid!$B79="","",TRIM(INDEX('INPUT - Roster'!$K$1:$K$206,Grid!$B79)&amp;""))</f>
        <v/>
      </c>
      <c r="L107" s="160">
        <f>IF(Grid!$B79="","",TRIM(INDEX('INPUT - Roster'!$L$1:$L$206,Grid!$B79)&amp;""))</f>
        <v/>
      </c>
      <c r="M107" s="160">
        <f>IF(Grid!$B79="","",TRIM(INDEX('INPUT - Roster'!$M$1:$M$206,Grid!$B79)&amp;""))</f>
        <v/>
      </c>
      <c r="N107" s="158">
        <f>Grid!F79</f>
        <v/>
      </c>
      <c r="O107" s="160">
        <f>Grid!AI79</f>
        <v/>
      </c>
      <c r="P107" s="160">
        <f>Grid!BL79</f>
        <v/>
      </c>
      <c r="Q107" s="162">
        <f>IF(Grid!$D79="","",INDEX(Grid!$F$2:$AG$2,Grid!$D79))</f>
        <v/>
      </c>
      <c r="R107" s="158">
        <f>IF(Grid!$D79="","",INDEX(Grid!$F79:$AG79,Grid!$D79))</f>
        <v/>
      </c>
      <c r="S107" s="160">
        <f>IF(Grid!$B79="","",IFERROR(TRIM(INDEX('BHP Site Access'!$G$3:$G$104,MATCH(LOWER(TRIM(INDEX('INPUT - Roster'!$D$1:$D$206,Grid!$B79)&amp;"")&amp;"|"&amp;TRIM(INDEX('INPUT - Roster'!$E$1:$E$206,Grid!$B79)&amp;"")),Calc!$AX$3:$AX$104,0))&amp;""),"Not listed"))</f>
        <v/>
      </c>
      <c r="T107" s="160">
        <f>IF(OR(Grid!$B79="",ISNUMBER(SEARCH("demob",E107))),"",IF(AND(UPPER(TRIM(J107&amp;""))="YES",UPPER(TRIM(K107&amp;""))="YES",UPPER(TRIM(L107&amp;""))="YES",LEFT(UPPER(M107),14)="QUALS COMPLETE"),"","GAP"))</f>
        <v/>
      </c>
      <c r="U107" s="163">
        <f>IF(Grid!$B79="",0,IF(AND(OR(Dashboard!$D$9="All",D107=Dashboard!$D$9),OR(Dashboard!$J$9="All",E107=Dashboard!$J$9)),1,0))</f>
        <v/>
      </c>
    </row>
    <row r="108">
      <c r="B108" s="160">
        <f>IF(Grid!$B80="","",78)</f>
        <v/>
      </c>
      <c r="C108" s="161">
        <f>IF(Grid!$B80="","",TRIM(INDEX('INPUT - Roster'!$F$1:$F$206,Grid!$B80)&amp;""))</f>
        <v/>
      </c>
      <c r="D108" s="158">
        <f>IF(Grid!$B80="","",TRIM(INDEX('INPUT - Roster'!$C$1:$C$206,Grid!$B80)&amp;""))</f>
        <v/>
      </c>
      <c r="E108" s="158">
        <f>IF(Grid!$B80="","",INDEX(Index!$C$2:$C$202,MATCH(Grid!$B80,Index!$A$2:$A$202,0)))</f>
        <v/>
      </c>
      <c r="F108" s="158">
        <f>IF(Grid!$B80="","",TRIM(INDEX('INPUT - Roster'!$H$1:$H$206,Grid!$B80)&amp;""))</f>
        <v/>
      </c>
      <c r="G108" s="160">
        <f>IF(Grid!$B80="","",TRIM(INDEX('INPUT - Roster'!$G$1:$G$206,Grid!$B80)&amp;""))</f>
        <v/>
      </c>
      <c r="H108" s="160">
        <f>IF(Grid!$B80="","",TRIM(INDEX('INPUT - Roster'!$R$1:$R$206,Grid!$B80)&amp;""))</f>
        <v/>
      </c>
      <c r="I108" s="160">
        <f>IF(Grid!$B80="","",TRIM(INDEX('INPUT - Roster'!$O$1:$O$206,Grid!$B80)&amp;""))</f>
        <v/>
      </c>
      <c r="J108" s="160">
        <f>IF(Grid!$B80="","",TRIM(INDEX('INPUT - Roster'!$J$1:$J$206,Grid!$B80)&amp;""))</f>
        <v/>
      </c>
      <c r="K108" s="160">
        <f>IF(Grid!$B80="","",TRIM(INDEX('INPUT - Roster'!$K$1:$K$206,Grid!$B80)&amp;""))</f>
        <v/>
      </c>
      <c r="L108" s="160">
        <f>IF(Grid!$B80="","",TRIM(INDEX('INPUT - Roster'!$L$1:$L$206,Grid!$B80)&amp;""))</f>
        <v/>
      </c>
      <c r="M108" s="160">
        <f>IF(Grid!$B80="","",TRIM(INDEX('INPUT - Roster'!$M$1:$M$206,Grid!$B80)&amp;""))</f>
        <v/>
      </c>
      <c r="N108" s="158">
        <f>Grid!F80</f>
        <v/>
      </c>
      <c r="O108" s="160">
        <f>Grid!AI80</f>
        <v/>
      </c>
      <c r="P108" s="160">
        <f>Grid!BL80</f>
        <v/>
      </c>
      <c r="Q108" s="162">
        <f>IF(Grid!$D80="","",INDEX(Grid!$F$2:$AG$2,Grid!$D80))</f>
        <v/>
      </c>
      <c r="R108" s="158">
        <f>IF(Grid!$D80="","",INDEX(Grid!$F80:$AG80,Grid!$D80))</f>
        <v/>
      </c>
      <c r="S108" s="160">
        <f>IF(Grid!$B80="","",IFERROR(TRIM(INDEX('BHP Site Access'!$G$3:$G$104,MATCH(LOWER(TRIM(INDEX('INPUT - Roster'!$D$1:$D$206,Grid!$B80)&amp;"")&amp;"|"&amp;TRIM(INDEX('INPUT - Roster'!$E$1:$E$206,Grid!$B80)&amp;"")),Calc!$AX$3:$AX$104,0))&amp;""),"Not listed"))</f>
        <v/>
      </c>
      <c r="T108" s="160">
        <f>IF(OR(Grid!$B80="",ISNUMBER(SEARCH("demob",E108))),"",IF(AND(UPPER(TRIM(J108&amp;""))="YES",UPPER(TRIM(K108&amp;""))="YES",UPPER(TRIM(L108&amp;""))="YES",LEFT(UPPER(M108),14)="QUALS COMPLETE"),"","GAP"))</f>
        <v/>
      </c>
      <c r="U108" s="163">
        <f>IF(Grid!$B80="",0,IF(AND(OR(Dashboard!$D$9="All",D108=Dashboard!$D$9),OR(Dashboard!$J$9="All",E108=Dashboard!$J$9)),1,0))</f>
        <v/>
      </c>
    </row>
    <row r="109">
      <c r="B109" s="160">
        <f>IF(Grid!$B81="","",79)</f>
        <v/>
      </c>
      <c r="C109" s="161">
        <f>IF(Grid!$B81="","",TRIM(INDEX('INPUT - Roster'!$F$1:$F$206,Grid!$B81)&amp;""))</f>
        <v/>
      </c>
      <c r="D109" s="158">
        <f>IF(Grid!$B81="","",TRIM(INDEX('INPUT - Roster'!$C$1:$C$206,Grid!$B81)&amp;""))</f>
        <v/>
      </c>
      <c r="E109" s="158">
        <f>IF(Grid!$B81="","",INDEX(Index!$C$2:$C$202,MATCH(Grid!$B81,Index!$A$2:$A$202,0)))</f>
        <v/>
      </c>
      <c r="F109" s="158">
        <f>IF(Grid!$B81="","",TRIM(INDEX('INPUT - Roster'!$H$1:$H$206,Grid!$B81)&amp;""))</f>
        <v/>
      </c>
      <c r="G109" s="160">
        <f>IF(Grid!$B81="","",TRIM(INDEX('INPUT - Roster'!$G$1:$G$206,Grid!$B81)&amp;""))</f>
        <v/>
      </c>
      <c r="H109" s="160">
        <f>IF(Grid!$B81="","",TRIM(INDEX('INPUT - Roster'!$R$1:$R$206,Grid!$B81)&amp;""))</f>
        <v/>
      </c>
      <c r="I109" s="160">
        <f>IF(Grid!$B81="","",TRIM(INDEX('INPUT - Roster'!$O$1:$O$206,Grid!$B81)&amp;""))</f>
        <v/>
      </c>
      <c r="J109" s="160">
        <f>IF(Grid!$B81="","",TRIM(INDEX('INPUT - Roster'!$J$1:$J$206,Grid!$B81)&amp;""))</f>
        <v/>
      </c>
      <c r="K109" s="160">
        <f>IF(Grid!$B81="","",TRIM(INDEX('INPUT - Roster'!$K$1:$K$206,Grid!$B81)&amp;""))</f>
        <v/>
      </c>
      <c r="L109" s="160">
        <f>IF(Grid!$B81="","",TRIM(INDEX('INPUT - Roster'!$L$1:$L$206,Grid!$B81)&amp;""))</f>
        <v/>
      </c>
      <c r="M109" s="160">
        <f>IF(Grid!$B81="","",TRIM(INDEX('INPUT - Roster'!$M$1:$M$206,Grid!$B81)&amp;""))</f>
        <v/>
      </c>
      <c r="N109" s="158">
        <f>Grid!F81</f>
        <v/>
      </c>
      <c r="O109" s="160">
        <f>Grid!AI81</f>
        <v/>
      </c>
      <c r="P109" s="160">
        <f>Grid!BL81</f>
        <v/>
      </c>
      <c r="Q109" s="162">
        <f>IF(Grid!$D81="","",INDEX(Grid!$F$2:$AG$2,Grid!$D81))</f>
        <v/>
      </c>
      <c r="R109" s="158">
        <f>IF(Grid!$D81="","",INDEX(Grid!$F81:$AG81,Grid!$D81))</f>
        <v/>
      </c>
      <c r="S109" s="160">
        <f>IF(Grid!$B81="","",IFERROR(TRIM(INDEX('BHP Site Access'!$G$3:$G$104,MATCH(LOWER(TRIM(INDEX('INPUT - Roster'!$D$1:$D$206,Grid!$B81)&amp;"")&amp;"|"&amp;TRIM(INDEX('INPUT - Roster'!$E$1:$E$206,Grid!$B81)&amp;"")),Calc!$AX$3:$AX$104,0))&amp;""),"Not listed"))</f>
        <v/>
      </c>
      <c r="T109" s="160">
        <f>IF(OR(Grid!$B81="",ISNUMBER(SEARCH("demob",E109))),"",IF(AND(UPPER(TRIM(J109&amp;""))="YES",UPPER(TRIM(K109&amp;""))="YES",UPPER(TRIM(L109&amp;""))="YES",LEFT(UPPER(M109),14)="QUALS COMPLETE"),"","GAP"))</f>
        <v/>
      </c>
      <c r="U109" s="163">
        <f>IF(Grid!$B81="",0,IF(AND(OR(Dashboard!$D$9="All",D109=Dashboard!$D$9),OR(Dashboard!$J$9="All",E109=Dashboard!$J$9)),1,0))</f>
        <v/>
      </c>
    </row>
    <row r="110">
      <c r="B110" s="160">
        <f>IF(Grid!$B82="","",80)</f>
        <v/>
      </c>
      <c r="C110" s="161">
        <f>IF(Grid!$B82="","",TRIM(INDEX('INPUT - Roster'!$F$1:$F$206,Grid!$B82)&amp;""))</f>
        <v/>
      </c>
      <c r="D110" s="158">
        <f>IF(Grid!$B82="","",TRIM(INDEX('INPUT - Roster'!$C$1:$C$206,Grid!$B82)&amp;""))</f>
        <v/>
      </c>
      <c r="E110" s="158">
        <f>IF(Grid!$B82="","",INDEX(Index!$C$2:$C$202,MATCH(Grid!$B82,Index!$A$2:$A$202,0)))</f>
        <v/>
      </c>
      <c r="F110" s="158">
        <f>IF(Grid!$B82="","",TRIM(INDEX('INPUT - Roster'!$H$1:$H$206,Grid!$B82)&amp;""))</f>
        <v/>
      </c>
      <c r="G110" s="160">
        <f>IF(Grid!$B82="","",TRIM(INDEX('INPUT - Roster'!$G$1:$G$206,Grid!$B82)&amp;""))</f>
        <v/>
      </c>
      <c r="H110" s="160">
        <f>IF(Grid!$B82="","",TRIM(INDEX('INPUT - Roster'!$R$1:$R$206,Grid!$B82)&amp;""))</f>
        <v/>
      </c>
      <c r="I110" s="160">
        <f>IF(Grid!$B82="","",TRIM(INDEX('INPUT - Roster'!$O$1:$O$206,Grid!$B82)&amp;""))</f>
        <v/>
      </c>
      <c r="J110" s="160">
        <f>IF(Grid!$B82="","",TRIM(INDEX('INPUT - Roster'!$J$1:$J$206,Grid!$B82)&amp;""))</f>
        <v/>
      </c>
      <c r="K110" s="160">
        <f>IF(Grid!$B82="","",TRIM(INDEX('INPUT - Roster'!$K$1:$K$206,Grid!$B82)&amp;""))</f>
        <v/>
      </c>
      <c r="L110" s="160">
        <f>IF(Grid!$B82="","",TRIM(INDEX('INPUT - Roster'!$L$1:$L$206,Grid!$B82)&amp;""))</f>
        <v/>
      </c>
      <c r="M110" s="160">
        <f>IF(Grid!$B82="","",TRIM(INDEX('INPUT - Roster'!$M$1:$M$206,Grid!$B82)&amp;""))</f>
        <v/>
      </c>
      <c r="N110" s="158">
        <f>Grid!F82</f>
        <v/>
      </c>
      <c r="O110" s="160">
        <f>Grid!AI82</f>
        <v/>
      </c>
      <c r="P110" s="160">
        <f>Grid!BL82</f>
        <v/>
      </c>
      <c r="Q110" s="162">
        <f>IF(Grid!$D82="","",INDEX(Grid!$F$2:$AG$2,Grid!$D82))</f>
        <v/>
      </c>
      <c r="R110" s="158">
        <f>IF(Grid!$D82="","",INDEX(Grid!$F82:$AG82,Grid!$D82))</f>
        <v/>
      </c>
      <c r="S110" s="160">
        <f>IF(Grid!$B82="","",IFERROR(TRIM(INDEX('BHP Site Access'!$G$3:$G$104,MATCH(LOWER(TRIM(INDEX('INPUT - Roster'!$D$1:$D$206,Grid!$B82)&amp;"")&amp;"|"&amp;TRIM(INDEX('INPUT - Roster'!$E$1:$E$206,Grid!$B82)&amp;"")),Calc!$AX$3:$AX$104,0))&amp;""),"Not listed"))</f>
        <v/>
      </c>
      <c r="T110" s="160">
        <f>IF(OR(Grid!$B82="",ISNUMBER(SEARCH("demob",E110))),"",IF(AND(UPPER(TRIM(J110&amp;""))="YES",UPPER(TRIM(K110&amp;""))="YES",UPPER(TRIM(L110&amp;""))="YES",LEFT(UPPER(M110),14)="QUALS COMPLETE"),"","GAP"))</f>
        <v/>
      </c>
      <c r="U110" s="163">
        <f>IF(Grid!$B82="",0,IF(AND(OR(Dashboard!$D$9="All",D110=Dashboard!$D$9),OR(Dashboard!$J$9="All",E110=Dashboard!$J$9)),1,0))</f>
        <v/>
      </c>
    </row>
    <row r="111">
      <c r="B111" s="160">
        <f>IF(Grid!$B83="","",81)</f>
        <v/>
      </c>
      <c r="C111" s="161">
        <f>IF(Grid!$B83="","",TRIM(INDEX('INPUT - Roster'!$F$1:$F$206,Grid!$B83)&amp;""))</f>
        <v/>
      </c>
      <c r="D111" s="158">
        <f>IF(Grid!$B83="","",TRIM(INDEX('INPUT - Roster'!$C$1:$C$206,Grid!$B83)&amp;""))</f>
        <v/>
      </c>
      <c r="E111" s="158">
        <f>IF(Grid!$B83="","",INDEX(Index!$C$2:$C$202,MATCH(Grid!$B83,Index!$A$2:$A$202,0)))</f>
        <v/>
      </c>
      <c r="F111" s="158">
        <f>IF(Grid!$B83="","",TRIM(INDEX('INPUT - Roster'!$H$1:$H$206,Grid!$B83)&amp;""))</f>
        <v/>
      </c>
      <c r="G111" s="160">
        <f>IF(Grid!$B83="","",TRIM(INDEX('INPUT - Roster'!$G$1:$G$206,Grid!$B83)&amp;""))</f>
        <v/>
      </c>
      <c r="H111" s="160">
        <f>IF(Grid!$B83="","",TRIM(INDEX('INPUT - Roster'!$R$1:$R$206,Grid!$B83)&amp;""))</f>
        <v/>
      </c>
      <c r="I111" s="160">
        <f>IF(Grid!$B83="","",TRIM(INDEX('INPUT - Roster'!$O$1:$O$206,Grid!$B83)&amp;""))</f>
        <v/>
      </c>
      <c r="J111" s="160">
        <f>IF(Grid!$B83="","",TRIM(INDEX('INPUT - Roster'!$J$1:$J$206,Grid!$B83)&amp;""))</f>
        <v/>
      </c>
      <c r="K111" s="160">
        <f>IF(Grid!$B83="","",TRIM(INDEX('INPUT - Roster'!$K$1:$K$206,Grid!$B83)&amp;""))</f>
        <v/>
      </c>
      <c r="L111" s="160">
        <f>IF(Grid!$B83="","",TRIM(INDEX('INPUT - Roster'!$L$1:$L$206,Grid!$B83)&amp;""))</f>
        <v/>
      </c>
      <c r="M111" s="160">
        <f>IF(Grid!$B83="","",TRIM(INDEX('INPUT - Roster'!$M$1:$M$206,Grid!$B83)&amp;""))</f>
        <v/>
      </c>
      <c r="N111" s="158">
        <f>Grid!F83</f>
        <v/>
      </c>
      <c r="O111" s="160">
        <f>Grid!AI83</f>
        <v/>
      </c>
      <c r="P111" s="160">
        <f>Grid!BL83</f>
        <v/>
      </c>
      <c r="Q111" s="162">
        <f>IF(Grid!$D83="","",INDEX(Grid!$F$2:$AG$2,Grid!$D83))</f>
        <v/>
      </c>
      <c r="R111" s="158">
        <f>IF(Grid!$D83="","",INDEX(Grid!$F83:$AG83,Grid!$D83))</f>
        <v/>
      </c>
      <c r="S111" s="160">
        <f>IF(Grid!$B83="","",IFERROR(TRIM(INDEX('BHP Site Access'!$G$3:$G$104,MATCH(LOWER(TRIM(INDEX('INPUT - Roster'!$D$1:$D$206,Grid!$B83)&amp;"")&amp;"|"&amp;TRIM(INDEX('INPUT - Roster'!$E$1:$E$206,Grid!$B83)&amp;"")),Calc!$AX$3:$AX$104,0))&amp;""),"Not listed"))</f>
        <v/>
      </c>
      <c r="T111" s="160">
        <f>IF(OR(Grid!$B83="",ISNUMBER(SEARCH("demob",E111))),"",IF(AND(UPPER(TRIM(J111&amp;""))="YES",UPPER(TRIM(K111&amp;""))="YES",UPPER(TRIM(L111&amp;""))="YES",LEFT(UPPER(M111),14)="QUALS COMPLETE"),"","GAP"))</f>
        <v/>
      </c>
      <c r="U111" s="163">
        <f>IF(Grid!$B83="",0,IF(AND(OR(Dashboard!$D$9="All",D111=Dashboard!$D$9),OR(Dashboard!$J$9="All",E111=Dashboard!$J$9)),1,0))</f>
        <v/>
      </c>
    </row>
    <row r="112">
      <c r="B112" s="160">
        <f>IF(Grid!$B84="","",82)</f>
        <v/>
      </c>
      <c r="C112" s="161">
        <f>IF(Grid!$B84="","",TRIM(INDEX('INPUT - Roster'!$F$1:$F$206,Grid!$B84)&amp;""))</f>
        <v/>
      </c>
      <c r="D112" s="158">
        <f>IF(Grid!$B84="","",TRIM(INDEX('INPUT - Roster'!$C$1:$C$206,Grid!$B84)&amp;""))</f>
        <v/>
      </c>
      <c r="E112" s="158">
        <f>IF(Grid!$B84="","",INDEX(Index!$C$2:$C$202,MATCH(Grid!$B84,Index!$A$2:$A$202,0)))</f>
        <v/>
      </c>
      <c r="F112" s="158">
        <f>IF(Grid!$B84="","",TRIM(INDEX('INPUT - Roster'!$H$1:$H$206,Grid!$B84)&amp;""))</f>
        <v/>
      </c>
      <c r="G112" s="160">
        <f>IF(Grid!$B84="","",TRIM(INDEX('INPUT - Roster'!$G$1:$G$206,Grid!$B84)&amp;""))</f>
        <v/>
      </c>
      <c r="H112" s="160">
        <f>IF(Grid!$B84="","",TRIM(INDEX('INPUT - Roster'!$R$1:$R$206,Grid!$B84)&amp;""))</f>
        <v/>
      </c>
      <c r="I112" s="160">
        <f>IF(Grid!$B84="","",TRIM(INDEX('INPUT - Roster'!$O$1:$O$206,Grid!$B84)&amp;""))</f>
        <v/>
      </c>
      <c r="J112" s="160">
        <f>IF(Grid!$B84="","",TRIM(INDEX('INPUT - Roster'!$J$1:$J$206,Grid!$B84)&amp;""))</f>
        <v/>
      </c>
      <c r="K112" s="160">
        <f>IF(Grid!$B84="","",TRIM(INDEX('INPUT - Roster'!$K$1:$K$206,Grid!$B84)&amp;""))</f>
        <v/>
      </c>
      <c r="L112" s="160">
        <f>IF(Grid!$B84="","",TRIM(INDEX('INPUT - Roster'!$L$1:$L$206,Grid!$B84)&amp;""))</f>
        <v/>
      </c>
      <c r="M112" s="160">
        <f>IF(Grid!$B84="","",TRIM(INDEX('INPUT - Roster'!$M$1:$M$206,Grid!$B84)&amp;""))</f>
        <v/>
      </c>
      <c r="N112" s="158">
        <f>Grid!F84</f>
        <v/>
      </c>
      <c r="O112" s="160">
        <f>Grid!AI84</f>
        <v/>
      </c>
      <c r="P112" s="160">
        <f>Grid!BL84</f>
        <v/>
      </c>
      <c r="Q112" s="162">
        <f>IF(Grid!$D84="","",INDEX(Grid!$F$2:$AG$2,Grid!$D84))</f>
        <v/>
      </c>
      <c r="R112" s="158">
        <f>IF(Grid!$D84="","",INDEX(Grid!$F84:$AG84,Grid!$D84))</f>
        <v/>
      </c>
      <c r="S112" s="160">
        <f>IF(Grid!$B84="","",IFERROR(TRIM(INDEX('BHP Site Access'!$G$3:$G$104,MATCH(LOWER(TRIM(INDEX('INPUT - Roster'!$D$1:$D$206,Grid!$B84)&amp;"")&amp;"|"&amp;TRIM(INDEX('INPUT - Roster'!$E$1:$E$206,Grid!$B84)&amp;"")),Calc!$AX$3:$AX$104,0))&amp;""),"Not listed"))</f>
        <v/>
      </c>
      <c r="T112" s="160">
        <f>IF(OR(Grid!$B84="",ISNUMBER(SEARCH("demob",E112))),"",IF(AND(UPPER(TRIM(J112&amp;""))="YES",UPPER(TRIM(K112&amp;""))="YES",UPPER(TRIM(L112&amp;""))="YES",LEFT(UPPER(M112),14)="QUALS COMPLETE"),"","GAP"))</f>
        <v/>
      </c>
      <c r="U112" s="163">
        <f>IF(Grid!$B84="",0,IF(AND(OR(Dashboard!$D$9="All",D112=Dashboard!$D$9),OR(Dashboard!$J$9="All",E112=Dashboard!$J$9)),1,0))</f>
        <v/>
      </c>
    </row>
    <row r="113">
      <c r="B113" s="160">
        <f>IF(Grid!$B85="","",83)</f>
        <v/>
      </c>
      <c r="C113" s="161">
        <f>IF(Grid!$B85="","",TRIM(INDEX('INPUT - Roster'!$F$1:$F$206,Grid!$B85)&amp;""))</f>
        <v/>
      </c>
      <c r="D113" s="158">
        <f>IF(Grid!$B85="","",TRIM(INDEX('INPUT - Roster'!$C$1:$C$206,Grid!$B85)&amp;""))</f>
        <v/>
      </c>
      <c r="E113" s="158">
        <f>IF(Grid!$B85="","",INDEX(Index!$C$2:$C$202,MATCH(Grid!$B85,Index!$A$2:$A$202,0)))</f>
        <v/>
      </c>
      <c r="F113" s="158">
        <f>IF(Grid!$B85="","",TRIM(INDEX('INPUT - Roster'!$H$1:$H$206,Grid!$B85)&amp;""))</f>
        <v/>
      </c>
      <c r="G113" s="160">
        <f>IF(Grid!$B85="","",TRIM(INDEX('INPUT - Roster'!$G$1:$G$206,Grid!$B85)&amp;""))</f>
        <v/>
      </c>
      <c r="H113" s="160">
        <f>IF(Grid!$B85="","",TRIM(INDEX('INPUT - Roster'!$R$1:$R$206,Grid!$B85)&amp;""))</f>
        <v/>
      </c>
      <c r="I113" s="160">
        <f>IF(Grid!$B85="","",TRIM(INDEX('INPUT - Roster'!$O$1:$O$206,Grid!$B85)&amp;""))</f>
        <v/>
      </c>
      <c r="J113" s="160">
        <f>IF(Grid!$B85="","",TRIM(INDEX('INPUT - Roster'!$J$1:$J$206,Grid!$B85)&amp;""))</f>
        <v/>
      </c>
      <c r="K113" s="160">
        <f>IF(Grid!$B85="","",TRIM(INDEX('INPUT - Roster'!$K$1:$K$206,Grid!$B85)&amp;""))</f>
        <v/>
      </c>
      <c r="L113" s="160">
        <f>IF(Grid!$B85="","",TRIM(INDEX('INPUT - Roster'!$L$1:$L$206,Grid!$B85)&amp;""))</f>
        <v/>
      </c>
      <c r="M113" s="160">
        <f>IF(Grid!$B85="","",TRIM(INDEX('INPUT - Roster'!$M$1:$M$206,Grid!$B85)&amp;""))</f>
        <v/>
      </c>
      <c r="N113" s="158">
        <f>Grid!F85</f>
        <v/>
      </c>
      <c r="O113" s="160">
        <f>Grid!AI85</f>
        <v/>
      </c>
      <c r="P113" s="160">
        <f>Grid!BL85</f>
        <v/>
      </c>
      <c r="Q113" s="162">
        <f>IF(Grid!$D85="","",INDEX(Grid!$F$2:$AG$2,Grid!$D85))</f>
        <v/>
      </c>
      <c r="R113" s="158">
        <f>IF(Grid!$D85="","",INDEX(Grid!$F85:$AG85,Grid!$D85))</f>
        <v/>
      </c>
      <c r="S113" s="160">
        <f>IF(Grid!$B85="","",IFERROR(TRIM(INDEX('BHP Site Access'!$G$3:$G$104,MATCH(LOWER(TRIM(INDEX('INPUT - Roster'!$D$1:$D$206,Grid!$B85)&amp;"")&amp;"|"&amp;TRIM(INDEX('INPUT - Roster'!$E$1:$E$206,Grid!$B85)&amp;"")),Calc!$AX$3:$AX$104,0))&amp;""),"Not listed"))</f>
        <v/>
      </c>
      <c r="T113" s="160">
        <f>IF(OR(Grid!$B85="",ISNUMBER(SEARCH("demob",E113))),"",IF(AND(UPPER(TRIM(J113&amp;""))="YES",UPPER(TRIM(K113&amp;""))="YES",UPPER(TRIM(L113&amp;""))="YES",LEFT(UPPER(M113),14)="QUALS COMPLETE"),"","GAP"))</f>
        <v/>
      </c>
      <c r="U113" s="163">
        <f>IF(Grid!$B85="",0,IF(AND(OR(Dashboard!$D$9="All",D113=Dashboard!$D$9),OR(Dashboard!$J$9="All",E113=Dashboard!$J$9)),1,0))</f>
        <v/>
      </c>
    </row>
    <row r="114">
      <c r="B114" s="160">
        <f>IF(Grid!$B86="","",84)</f>
        <v/>
      </c>
      <c r="C114" s="161">
        <f>IF(Grid!$B86="","",TRIM(INDEX('INPUT - Roster'!$F$1:$F$206,Grid!$B86)&amp;""))</f>
        <v/>
      </c>
      <c r="D114" s="158">
        <f>IF(Grid!$B86="","",TRIM(INDEX('INPUT - Roster'!$C$1:$C$206,Grid!$B86)&amp;""))</f>
        <v/>
      </c>
      <c r="E114" s="158">
        <f>IF(Grid!$B86="","",INDEX(Index!$C$2:$C$202,MATCH(Grid!$B86,Index!$A$2:$A$202,0)))</f>
        <v/>
      </c>
      <c r="F114" s="158">
        <f>IF(Grid!$B86="","",TRIM(INDEX('INPUT - Roster'!$H$1:$H$206,Grid!$B86)&amp;""))</f>
        <v/>
      </c>
      <c r="G114" s="160">
        <f>IF(Grid!$B86="","",TRIM(INDEX('INPUT - Roster'!$G$1:$G$206,Grid!$B86)&amp;""))</f>
        <v/>
      </c>
      <c r="H114" s="160">
        <f>IF(Grid!$B86="","",TRIM(INDEX('INPUT - Roster'!$R$1:$R$206,Grid!$B86)&amp;""))</f>
        <v/>
      </c>
      <c r="I114" s="160">
        <f>IF(Grid!$B86="","",TRIM(INDEX('INPUT - Roster'!$O$1:$O$206,Grid!$B86)&amp;""))</f>
        <v/>
      </c>
      <c r="J114" s="160">
        <f>IF(Grid!$B86="","",TRIM(INDEX('INPUT - Roster'!$J$1:$J$206,Grid!$B86)&amp;""))</f>
        <v/>
      </c>
      <c r="K114" s="160">
        <f>IF(Grid!$B86="","",TRIM(INDEX('INPUT - Roster'!$K$1:$K$206,Grid!$B86)&amp;""))</f>
        <v/>
      </c>
      <c r="L114" s="160">
        <f>IF(Grid!$B86="","",TRIM(INDEX('INPUT - Roster'!$L$1:$L$206,Grid!$B86)&amp;""))</f>
        <v/>
      </c>
      <c r="M114" s="160">
        <f>IF(Grid!$B86="","",TRIM(INDEX('INPUT - Roster'!$M$1:$M$206,Grid!$B86)&amp;""))</f>
        <v/>
      </c>
      <c r="N114" s="158">
        <f>Grid!F86</f>
        <v/>
      </c>
      <c r="O114" s="160">
        <f>Grid!AI86</f>
        <v/>
      </c>
      <c r="P114" s="160">
        <f>Grid!BL86</f>
        <v/>
      </c>
      <c r="Q114" s="162">
        <f>IF(Grid!$D86="","",INDEX(Grid!$F$2:$AG$2,Grid!$D86))</f>
        <v/>
      </c>
      <c r="R114" s="158">
        <f>IF(Grid!$D86="","",INDEX(Grid!$F86:$AG86,Grid!$D86))</f>
        <v/>
      </c>
      <c r="S114" s="160">
        <f>IF(Grid!$B86="","",IFERROR(TRIM(INDEX('BHP Site Access'!$G$3:$G$104,MATCH(LOWER(TRIM(INDEX('INPUT - Roster'!$D$1:$D$206,Grid!$B86)&amp;"")&amp;"|"&amp;TRIM(INDEX('INPUT - Roster'!$E$1:$E$206,Grid!$B86)&amp;"")),Calc!$AX$3:$AX$104,0))&amp;""),"Not listed"))</f>
        <v/>
      </c>
      <c r="T114" s="160">
        <f>IF(OR(Grid!$B86="",ISNUMBER(SEARCH("demob",E114))),"",IF(AND(UPPER(TRIM(J114&amp;""))="YES",UPPER(TRIM(K114&amp;""))="YES",UPPER(TRIM(L114&amp;""))="YES",LEFT(UPPER(M114),14)="QUALS COMPLETE"),"","GAP"))</f>
        <v/>
      </c>
      <c r="U114" s="163">
        <f>IF(Grid!$B86="",0,IF(AND(OR(Dashboard!$D$9="All",D114=Dashboard!$D$9),OR(Dashboard!$J$9="All",E114=Dashboard!$J$9)),1,0))</f>
        <v/>
      </c>
    </row>
    <row r="115">
      <c r="B115" s="160">
        <f>IF(Grid!$B87="","",85)</f>
        <v/>
      </c>
      <c r="C115" s="161">
        <f>IF(Grid!$B87="","",TRIM(INDEX('INPUT - Roster'!$F$1:$F$206,Grid!$B87)&amp;""))</f>
        <v/>
      </c>
      <c r="D115" s="158">
        <f>IF(Grid!$B87="","",TRIM(INDEX('INPUT - Roster'!$C$1:$C$206,Grid!$B87)&amp;""))</f>
        <v/>
      </c>
      <c r="E115" s="158">
        <f>IF(Grid!$B87="","",INDEX(Index!$C$2:$C$202,MATCH(Grid!$B87,Index!$A$2:$A$202,0)))</f>
        <v/>
      </c>
      <c r="F115" s="158">
        <f>IF(Grid!$B87="","",TRIM(INDEX('INPUT - Roster'!$H$1:$H$206,Grid!$B87)&amp;""))</f>
        <v/>
      </c>
      <c r="G115" s="160">
        <f>IF(Grid!$B87="","",TRIM(INDEX('INPUT - Roster'!$G$1:$G$206,Grid!$B87)&amp;""))</f>
        <v/>
      </c>
      <c r="H115" s="160">
        <f>IF(Grid!$B87="","",TRIM(INDEX('INPUT - Roster'!$R$1:$R$206,Grid!$B87)&amp;""))</f>
        <v/>
      </c>
      <c r="I115" s="160">
        <f>IF(Grid!$B87="","",TRIM(INDEX('INPUT - Roster'!$O$1:$O$206,Grid!$B87)&amp;""))</f>
        <v/>
      </c>
      <c r="J115" s="160">
        <f>IF(Grid!$B87="","",TRIM(INDEX('INPUT - Roster'!$J$1:$J$206,Grid!$B87)&amp;""))</f>
        <v/>
      </c>
      <c r="K115" s="160">
        <f>IF(Grid!$B87="","",TRIM(INDEX('INPUT - Roster'!$K$1:$K$206,Grid!$B87)&amp;""))</f>
        <v/>
      </c>
      <c r="L115" s="160">
        <f>IF(Grid!$B87="","",TRIM(INDEX('INPUT - Roster'!$L$1:$L$206,Grid!$B87)&amp;""))</f>
        <v/>
      </c>
      <c r="M115" s="160">
        <f>IF(Grid!$B87="","",TRIM(INDEX('INPUT - Roster'!$M$1:$M$206,Grid!$B87)&amp;""))</f>
        <v/>
      </c>
      <c r="N115" s="158">
        <f>Grid!F87</f>
        <v/>
      </c>
      <c r="O115" s="160">
        <f>Grid!AI87</f>
        <v/>
      </c>
      <c r="P115" s="160">
        <f>Grid!BL87</f>
        <v/>
      </c>
      <c r="Q115" s="162">
        <f>IF(Grid!$D87="","",INDEX(Grid!$F$2:$AG$2,Grid!$D87))</f>
        <v/>
      </c>
      <c r="R115" s="158">
        <f>IF(Grid!$D87="","",INDEX(Grid!$F87:$AG87,Grid!$D87))</f>
        <v/>
      </c>
      <c r="S115" s="160">
        <f>IF(Grid!$B87="","",IFERROR(TRIM(INDEX('BHP Site Access'!$G$3:$G$104,MATCH(LOWER(TRIM(INDEX('INPUT - Roster'!$D$1:$D$206,Grid!$B87)&amp;"")&amp;"|"&amp;TRIM(INDEX('INPUT - Roster'!$E$1:$E$206,Grid!$B87)&amp;"")),Calc!$AX$3:$AX$104,0))&amp;""),"Not listed"))</f>
        <v/>
      </c>
      <c r="T115" s="160">
        <f>IF(OR(Grid!$B87="",ISNUMBER(SEARCH("demob",E115))),"",IF(AND(UPPER(TRIM(J115&amp;""))="YES",UPPER(TRIM(K115&amp;""))="YES",UPPER(TRIM(L115&amp;""))="YES",LEFT(UPPER(M115),14)="QUALS COMPLETE"),"","GAP"))</f>
        <v/>
      </c>
      <c r="U115" s="163">
        <f>IF(Grid!$B87="",0,IF(AND(OR(Dashboard!$D$9="All",D115=Dashboard!$D$9),OR(Dashboard!$J$9="All",E115=Dashboard!$J$9)),1,0))</f>
        <v/>
      </c>
    </row>
    <row r="116">
      <c r="B116" s="160">
        <f>IF(Grid!$B88="","",86)</f>
        <v/>
      </c>
      <c r="C116" s="161">
        <f>IF(Grid!$B88="","",TRIM(INDEX('INPUT - Roster'!$F$1:$F$206,Grid!$B88)&amp;""))</f>
        <v/>
      </c>
      <c r="D116" s="158">
        <f>IF(Grid!$B88="","",TRIM(INDEX('INPUT - Roster'!$C$1:$C$206,Grid!$B88)&amp;""))</f>
        <v/>
      </c>
      <c r="E116" s="158">
        <f>IF(Grid!$B88="","",INDEX(Index!$C$2:$C$202,MATCH(Grid!$B88,Index!$A$2:$A$202,0)))</f>
        <v/>
      </c>
      <c r="F116" s="158">
        <f>IF(Grid!$B88="","",TRIM(INDEX('INPUT - Roster'!$H$1:$H$206,Grid!$B88)&amp;""))</f>
        <v/>
      </c>
      <c r="G116" s="160">
        <f>IF(Grid!$B88="","",TRIM(INDEX('INPUT - Roster'!$G$1:$G$206,Grid!$B88)&amp;""))</f>
        <v/>
      </c>
      <c r="H116" s="160">
        <f>IF(Grid!$B88="","",TRIM(INDEX('INPUT - Roster'!$R$1:$R$206,Grid!$B88)&amp;""))</f>
        <v/>
      </c>
      <c r="I116" s="160">
        <f>IF(Grid!$B88="","",TRIM(INDEX('INPUT - Roster'!$O$1:$O$206,Grid!$B88)&amp;""))</f>
        <v/>
      </c>
      <c r="J116" s="160">
        <f>IF(Grid!$B88="","",TRIM(INDEX('INPUT - Roster'!$J$1:$J$206,Grid!$B88)&amp;""))</f>
        <v/>
      </c>
      <c r="K116" s="160">
        <f>IF(Grid!$B88="","",TRIM(INDEX('INPUT - Roster'!$K$1:$K$206,Grid!$B88)&amp;""))</f>
        <v/>
      </c>
      <c r="L116" s="160">
        <f>IF(Grid!$B88="","",TRIM(INDEX('INPUT - Roster'!$L$1:$L$206,Grid!$B88)&amp;""))</f>
        <v/>
      </c>
      <c r="M116" s="160">
        <f>IF(Grid!$B88="","",TRIM(INDEX('INPUT - Roster'!$M$1:$M$206,Grid!$B88)&amp;""))</f>
        <v/>
      </c>
      <c r="N116" s="158">
        <f>Grid!F88</f>
        <v/>
      </c>
      <c r="O116" s="160">
        <f>Grid!AI88</f>
        <v/>
      </c>
      <c r="P116" s="160">
        <f>Grid!BL88</f>
        <v/>
      </c>
      <c r="Q116" s="162">
        <f>IF(Grid!$D88="","",INDEX(Grid!$F$2:$AG$2,Grid!$D88))</f>
        <v/>
      </c>
      <c r="R116" s="158">
        <f>IF(Grid!$D88="","",INDEX(Grid!$F88:$AG88,Grid!$D88))</f>
        <v/>
      </c>
      <c r="S116" s="160">
        <f>IF(Grid!$B88="","",IFERROR(TRIM(INDEX('BHP Site Access'!$G$3:$G$104,MATCH(LOWER(TRIM(INDEX('INPUT - Roster'!$D$1:$D$206,Grid!$B88)&amp;"")&amp;"|"&amp;TRIM(INDEX('INPUT - Roster'!$E$1:$E$206,Grid!$B88)&amp;"")),Calc!$AX$3:$AX$104,0))&amp;""),"Not listed"))</f>
        <v/>
      </c>
      <c r="T116" s="160">
        <f>IF(OR(Grid!$B88="",ISNUMBER(SEARCH("demob",E116))),"",IF(AND(UPPER(TRIM(J116&amp;""))="YES",UPPER(TRIM(K116&amp;""))="YES",UPPER(TRIM(L116&amp;""))="YES",LEFT(UPPER(M116),14)="QUALS COMPLETE"),"","GAP"))</f>
        <v/>
      </c>
      <c r="U116" s="163">
        <f>IF(Grid!$B88="",0,IF(AND(OR(Dashboard!$D$9="All",D116=Dashboard!$D$9),OR(Dashboard!$J$9="All",E116=Dashboard!$J$9)),1,0))</f>
        <v/>
      </c>
    </row>
    <row r="117">
      <c r="B117" s="160">
        <f>IF(Grid!$B89="","",87)</f>
        <v/>
      </c>
      <c r="C117" s="161">
        <f>IF(Grid!$B89="","",TRIM(INDEX('INPUT - Roster'!$F$1:$F$206,Grid!$B89)&amp;""))</f>
        <v/>
      </c>
      <c r="D117" s="158">
        <f>IF(Grid!$B89="","",TRIM(INDEX('INPUT - Roster'!$C$1:$C$206,Grid!$B89)&amp;""))</f>
        <v/>
      </c>
      <c r="E117" s="158">
        <f>IF(Grid!$B89="","",INDEX(Index!$C$2:$C$202,MATCH(Grid!$B89,Index!$A$2:$A$202,0)))</f>
        <v/>
      </c>
      <c r="F117" s="158">
        <f>IF(Grid!$B89="","",TRIM(INDEX('INPUT - Roster'!$H$1:$H$206,Grid!$B89)&amp;""))</f>
        <v/>
      </c>
      <c r="G117" s="160">
        <f>IF(Grid!$B89="","",TRIM(INDEX('INPUT - Roster'!$G$1:$G$206,Grid!$B89)&amp;""))</f>
        <v/>
      </c>
      <c r="H117" s="160">
        <f>IF(Grid!$B89="","",TRIM(INDEX('INPUT - Roster'!$R$1:$R$206,Grid!$B89)&amp;""))</f>
        <v/>
      </c>
      <c r="I117" s="160">
        <f>IF(Grid!$B89="","",TRIM(INDEX('INPUT - Roster'!$O$1:$O$206,Grid!$B89)&amp;""))</f>
        <v/>
      </c>
      <c r="J117" s="160">
        <f>IF(Grid!$B89="","",TRIM(INDEX('INPUT - Roster'!$J$1:$J$206,Grid!$B89)&amp;""))</f>
        <v/>
      </c>
      <c r="K117" s="160">
        <f>IF(Grid!$B89="","",TRIM(INDEX('INPUT - Roster'!$K$1:$K$206,Grid!$B89)&amp;""))</f>
        <v/>
      </c>
      <c r="L117" s="160">
        <f>IF(Grid!$B89="","",TRIM(INDEX('INPUT - Roster'!$L$1:$L$206,Grid!$B89)&amp;""))</f>
        <v/>
      </c>
      <c r="M117" s="160">
        <f>IF(Grid!$B89="","",TRIM(INDEX('INPUT - Roster'!$M$1:$M$206,Grid!$B89)&amp;""))</f>
        <v/>
      </c>
      <c r="N117" s="158">
        <f>Grid!F89</f>
        <v/>
      </c>
      <c r="O117" s="160">
        <f>Grid!AI89</f>
        <v/>
      </c>
      <c r="P117" s="160">
        <f>Grid!BL89</f>
        <v/>
      </c>
      <c r="Q117" s="162">
        <f>IF(Grid!$D89="","",INDEX(Grid!$F$2:$AG$2,Grid!$D89))</f>
        <v/>
      </c>
      <c r="R117" s="158">
        <f>IF(Grid!$D89="","",INDEX(Grid!$F89:$AG89,Grid!$D89))</f>
        <v/>
      </c>
      <c r="S117" s="160">
        <f>IF(Grid!$B89="","",IFERROR(TRIM(INDEX('BHP Site Access'!$G$3:$G$104,MATCH(LOWER(TRIM(INDEX('INPUT - Roster'!$D$1:$D$206,Grid!$B89)&amp;"")&amp;"|"&amp;TRIM(INDEX('INPUT - Roster'!$E$1:$E$206,Grid!$B89)&amp;"")),Calc!$AX$3:$AX$104,0))&amp;""),"Not listed"))</f>
        <v/>
      </c>
      <c r="T117" s="160">
        <f>IF(OR(Grid!$B89="",ISNUMBER(SEARCH("demob",E117))),"",IF(AND(UPPER(TRIM(J117&amp;""))="YES",UPPER(TRIM(K117&amp;""))="YES",UPPER(TRIM(L117&amp;""))="YES",LEFT(UPPER(M117),14)="QUALS COMPLETE"),"","GAP"))</f>
        <v/>
      </c>
      <c r="U117" s="163">
        <f>IF(Grid!$B89="",0,IF(AND(OR(Dashboard!$D$9="All",D117=Dashboard!$D$9),OR(Dashboard!$J$9="All",E117=Dashboard!$J$9)),1,0))</f>
        <v/>
      </c>
    </row>
    <row r="118">
      <c r="B118" s="160">
        <f>IF(Grid!$B90="","",88)</f>
        <v/>
      </c>
      <c r="C118" s="161">
        <f>IF(Grid!$B90="","",TRIM(INDEX('INPUT - Roster'!$F$1:$F$206,Grid!$B90)&amp;""))</f>
        <v/>
      </c>
      <c r="D118" s="158">
        <f>IF(Grid!$B90="","",TRIM(INDEX('INPUT - Roster'!$C$1:$C$206,Grid!$B90)&amp;""))</f>
        <v/>
      </c>
      <c r="E118" s="158">
        <f>IF(Grid!$B90="","",INDEX(Index!$C$2:$C$202,MATCH(Grid!$B90,Index!$A$2:$A$202,0)))</f>
        <v/>
      </c>
      <c r="F118" s="158">
        <f>IF(Grid!$B90="","",TRIM(INDEX('INPUT - Roster'!$H$1:$H$206,Grid!$B90)&amp;""))</f>
        <v/>
      </c>
      <c r="G118" s="160">
        <f>IF(Grid!$B90="","",TRIM(INDEX('INPUT - Roster'!$G$1:$G$206,Grid!$B90)&amp;""))</f>
        <v/>
      </c>
      <c r="H118" s="160">
        <f>IF(Grid!$B90="","",TRIM(INDEX('INPUT - Roster'!$R$1:$R$206,Grid!$B90)&amp;""))</f>
        <v/>
      </c>
      <c r="I118" s="160">
        <f>IF(Grid!$B90="","",TRIM(INDEX('INPUT - Roster'!$O$1:$O$206,Grid!$B90)&amp;""))</f>
        <v/>
      </c>
      <c r="J118" s="160">
        <f>IF(Grid!$B90="","",TRIM(INDEX('INPUT - Roster'!$J$1:$J$206,Grid!$B90)&amp;""))</f>
        <v/>
      </c>
      <c r="K118" s="160">
        <f>IF(Grid!$B90="","",TRIM(INDEX('INPUT - Roster'!$K$1:$K$206,Grid!$B90)&amp;""))</f>
        <v/>
      </c>
      <c r="L118" s="160">
        <f>IF(Grid!$B90="","",TRIM(INDEX('INPUT - Roster'!$L$1:$L$206,Grid!$B90)&amp;""))</f>
        <v/>
      </c>
      <c r="M118" s="160">
        <f>IF(Grid!$B90="","",TRIM(INDEX('INPUT - Roster'!$M$1:$M$206,Grid!$B90)&amp;""))</f>
        <v/>
      </c>
      <c r="N118" s="158">
        <f>Grid!F90</f>
        <v/>
      </c>
      <c r="O118" s="160">
        <f>Grid!AI90</f>
        <v/>
      </c>
      <c r="P118" s="160">
        <f>Grid!BL90</f>
        <v/>
      </c>
      <c r="Q118" s="162">
        <f>IF(Grid!$D90="","",INDEX(Grid!$F$2:$AG$2,Grid!$D90))</f>
        <v/>
      </c>
      <c r="R118" s="158">
        <f>IF(Grid!$D90="","",INDEX(Grid!$F90:$AG90,Grid!$D90))</f>
        <v/>
      </c>
      <c r="S118" s="160">
        <f>IF(Grid!$B90="","",IFERROR(TRIM(INDEX('BHP Site Access'!$G$3:$G$104,MATCH(LOWER(TRIM(INDEX('INPUT - Roster'!$D$1:$D$206,Grid!$B90)&amp;"")&amp;"|"&amp;TRIM(INDEX('INPUT - Roster'!$E$1:$E$206,Grid!$B90)&amp;"")),Calc!$AX$3:$AX$104,0))&amp;""),"Not listed"))</f>
        <v/>
      </c>
      <c r="T118" s="160">
        <f>IF(OR(Grid!$B90="",ISNUMBER(SEARCH("demob",E118))),"",IF(AND(UPPER(TRIM(J118&amp;""))="YES",UPPER(TRIM(K118&amp;""))="YES",UPPER(TRIM(L118&amp;""))="YES",LEFT(UPPER(M118),14)="QUALS COMPLETE"),"","GAP"))</f>
        <v/>
      </c>
      <c r="U118" s="163">
        <f>IF(Grid!$B90="",0,IF(AND(OR(Dashboard!$D$9="All",D118=Dashboard!$D$9),OR(Dashboard!$J$9="All",E118=Dashboard!$J$9)),1,0))</f>
        <v/>
      </c>
    </row>
    <row r="119">
      <c r="B119" s="160">
        <f>IF(Grid!$B91="","",89)</f>
        <v/>
      </c>
      <c r="C119" s="161">
        <f>IF(Grid!$B91="","",TRIM(INDEX('INPUT - Roster'!$F$1:$F$206,Grid!$B91)&amp;""))</f>
        <v/>
      </c>
      <c r="D119" s="158">
        <f>IF(Grid!$B91="","",TRIM(INDEX('INPUT - Roster'!$C$1:$C$206,Grid!$B91)&amp;""))</f>
        <v/>
      </c>
      <c r="E119" s="158">
        <f>IF(Grid!$B91="","",INDEX(Index!$C$2:$C$202,MATCH(Grid!$B91,Index!$A$2:$A$202,0)))</f>
        <v/>
      </c>
      <c r="F119" s="158">
        <f>IF(Grid!$B91="","",TRIM(INDEX('INPUT - Roster'!$H$1:$H$206,Grid!$B91)&amp;""))</f>
        <v/>
      </c>
      <c r="G119" s="160">
        <f>IF(Grid!$B91="","",TRIM(INDEX('INPUT - Roster'!$G$1:$G$206,Grid!$B91)&amp;""))</f>
        <v/>
      </c>
      <c r="H119" s="160">
        <f>IF(Grid!$B91="","",TRIM(INDEX('INPUT - Roster'!$R$1:$R$206,Grid!$B91)&amp;""))</f>
        <v/>
      </c>
      <c r="I119" s="160">
        <f>IF(Grid!$B91="","",TRIM(INDEX('INPUT - Roster'!$O$1:$O$206,Grid!$B91)&amp;""))</f>
        <v/>
      </c>
      <c r="J119" s="160">
        <f>IF(Grid!$B91="","",TRIM(INDEX('INPUT - Roster'!$J$1:$J$206,Grid!$B91)&amp;""))</f>
        <v/>
      </c>
      <c r="K119" s="160">
        <f>IF(Grid!$B91="","",TRIM(INDEX('INPUT - Roster'!$K$1:$K$206,Grid!$B91)&amp;""))</f>
        <v/>
      </c>
      <c r="L119" s="160">
        <f>IF(Grid!$B91="","",TRIM(INDEX('INPUT - Roster'!$L$1:$L$206,Grid!$B91)&amp;""))</f>
        <v/>
      </c>
      <c r="M119" s="160">
        <f>IF(Grid!$B91="","",TRIM(INDEX('INPUT - Roster'!$M$1:$M$206,Grid!$B91)&amp;""))</f>
        <v/>
      </c>
      <c r="N119" s="158">
        <f>Grid!F91</f>
        <v/>
      </c>
      <c r="O119" s="160">
        <f>Grid!AI91</f>
        <v/>
      </c>
      <c r="P119" s="160">
        <f>Grid!BL91</f>
        <v/>
      </c>
      <c r="Q119" s="162">
        <f>IF(Grid!$D91="","",INDEX(Grid!$F$2:$AG$2,Grid!$D91))</f>
        <v/>
      </c>
      <c r="R119" s="158">
        <f>IF(Grid!$D91="","",INDEX(Grid!$F91:$AG91,Grid!$D91))</f>
        <v/>
      </c>
      <c r="S119" s="160">
        <f>IF(Grid!$B91="","",IFERROR(TRIM(INDEX('BHP Site Access'!$G$3:$G$104,MATCH(LOWER(TRIM(INDEX('INPUT - Roster'!$D$1:$D$206,Grid!$B91)&amp;"")&amp;"|"&amp;TRIM(INDEX('INPUT - Roster'!$E$1:$E$206,Grid!$B91)&amp;"")),Calc!$AX$3:$AX$104,0))&amp;""),"Not listed"))</f>
        <v/>
      </c>
      <c r="T119" s="160">
        <f>IF(OR(Grid!$B91="",ISNUMBER(SEARCH("demob",E119))),"",IF(AND(UPPER(TRIM(J119&amp;""))="YES",UPPER(TRIM(K119&amp;""))="YES",UPPER(TRIM(L119&amp;""))="YES",LEFT(UPPER(M119),14)="QUALS COMPLETE"),"","GAP"))</f>
        <v/>
      </c>
      <c r="U119" s="163">
        <f>IF(Grid!$B91="",0,IF(AND(OR(Dashboard!$D$9="All",D119=Dashboard!$D$9),OR(Dashboard!$J$9="All",E119=Dashboard!$J$9)),1,0))</f>
        <v/>
      </c>
    </row>
    <row r="120">
      <c r="B120" s="160">
        <f>IF(Grid!$B92="","",90)</f>
        <v/>
      </c>
      <c r="C120" s="161">
        <f>IF(Grid!$B92="","",TRIM(INDEX('INPUT - Roster'!$F$1:$F$206,Grid!$B92)&amp;""))</f>
        <v/>
      </c>
      <c r="D120" s="158">
        <f>IF(Grid!$B92="","",TRIM(INDEX('INPUT - Roster'!$C$1:$C$206,Grid!$B92)&amp;""))</f>
        <v/>
      </c>
      <c r="E120" s="158">
        <f>IF(Grid!$B92="","",INDEX(Index!$C$2:$C$202,MATCH(Grid!$B92,Index!$A$2:$A$202,0)))</f>
        <v/>
      </c>
      <c r="F120" s="158">
        <f>IF(Grid!$B92="","",TRIM(INDEX('INPUT - Roster'!$H$1:$H$206,Grid!$B92)&amp;""))</f>
        <v/>
      </c>
      <c r="G120" s="160">
        <f>IF(Grid!$B92="","",TRIM(INDEX('INPUT - Roster'!$G$1:$G$206,Grid!$B92)&amp;""))</f>
        <v/>
      </c>
      <c r="H120" s="160">
        <f>IF(Grid!$B92="","",TRIM(INDEX('INPUT - Roster'!$R$1:$R$206,Grid!$B92)&amp;""))</f>
        <v/>
      </c>
      <c r="I120" s="160">
        <f>IF(Grid!$B92="","",TRIM(INDEX('INPUT - Roster'!$O$1:$O$206,Grid!$B92)&amp;""))</f>
        <v/>
      </c>
      <c r="J120" s="160">
        <f>IF(Grid!$B92="","",TRIM(INDEX('INPUT - Roster'!$J$1:$J$206,Grid!$B92)&amp;""))</f>
        <v/>
      </c>
      <c r="K120" s="160">
        <f>IF(Grid!$B92="","",TRIM(INDEX('INPUT - Roster'!$K$1:$K$206,Grid!$B92)&amp;""))</f>
        <v/>
      </c>
      <c r="L120" s="160">
        <f>IF(Grid!$B92="","",TRIM(INDEX('INPUT - Roster'!$L$1:$L$206,Grid!$B92)&amp;""))</f>
        <v/>
      </c>
      <c r="M120" s="160">
        <f>IF(Grid!$B92="","",TRIM(INDEX('INPUT - Roster'!$M$1:$M$206,Grid!$B92)&amp;""))</f>
        <v/>
      </c>
      <c r="N120" s="158">
        <f>Grid!F92</f>
        <v/>
      </c>
      <c r="O120" s="160">
        <f>Grid!AI92</f>
        <v/>
      </c>
      <c r="P120" s="160">
        <f>Grid!BL92</f>
        <v/>
      </c>
      <c r="Q120" s="162">
        <f>IF(Grid!$D92="","",INDEX(Grid!$F$2:$AG$2,Grid!$D92))</f>
        <v/>
      </c>
      <c r="R120" s="158">
        <f>IF(Grid!$D92="","",INDEX(Grid!$F92:$AG92,Grid!$D92))</f>
        <v/>
      </c>
      <c r="S120" s="160">
        <f>IF(Grid!$B92="","",IFERROR(TRIM(INDEX('BHP Site Access'!$G$3:$G$104,MATCH(LOWER(TRIM(INDEX('INPUT - Roster'!$D$1:$D$206,Grid!$B92)&amp;"")&amp;"|"&amp;TRIM(INDEX('INPUT - Roster'!$E$1:$E$206,Grid!$B92)&amp;"")),Calc!$AX$3:$AX$104,0))&amp;""),"Not listed"))</f>
        <v/>
      </c>
      <c r="T120" s="160">
        <f>IF(OR(Grid!$B92="",ISNUMBER(SEARCH("demob",E120))),"",IF(AND(UPPER(TRIM(J120&amp;""))="YES",UPPER(TRIM(K120&amp;""))="YES",UPPER(TRIM(L120&amp;""))="YES",LEFT(UPPER(M120),14)="QUALS COMPLETE"),"","GAP"))</f>
        <v/>
      </c>
      <c r="U120" s="163">
        <f>IF(Grid!$B92="",0,IF(AND(OR(Dashboard!$D$9="All",D120=Dashboard!$D$9),OR(Dashboard!$J$9="All",E120=Dashboard!$J$9)),1,0))</f>
        <v/>
      </c>
    </row>
    <row r="121">
      <c r="B121" s="160">
        <f>IF(Grid!$B93="","",91)</f>
        <v/>
      </c>
      <c r="C121" s="161">
        <f>IF(Grid!$B93="","",TRIM(INDEX('INPUT - Roster'!$F$1:$F$206,Grid!$B93)&amp;""))</f>
        <v/>
      </c>
      <c r="D121" s="158">
        <f>IF(Grid!$B93="","",TRIM(INDEX('INPUT - Roster'!$C$1:$C$206,Grid!$B93)&amp;""))</f>
        <v/>
      </c>
      <c r="E121" s="158">
        <f>IF(Grid!$B93="","",INDEX(Index!$C$2:$C$202,MATCH(Grid!$B93,Index!$A$2:$A$202,0)))</f>
        <v/>
      </c>
      <c r="F121" s="158">
        <f>IF(Grid!$B93="","",TRIM(INDEX('INPUT - Roster'!$H$1:$H$206,Grid!$B93)&amp;""))</f>
        <v/>
      </c>
      <c r="G121" s="160">
        <f>IF(Grid!$B93="","",TRIM(INDEX('INPUT - Roster'!$G$1:$G$206,Grid!$B93)&amp;""))</f>
        <v/>
      </c>
      <c r="H121" s="160">
        <f>IF(Grid!$B93="","",TRIM(INDEX('INPUT - Roster'!$R$1:$R$206,Grid!$B93)&amp;""))</f>
        <v/>
      </c>
      <c r="I121" s="160">
        <f>IF(Grid!$B93="","",TRIM(INDEX('INPUT - Roster'!$O$1:$O$206,Grid!$B93)&amp;""))</f>
        <v/>
      </c>
      <c r="J121" s="160">
        <f>IF(Grid!$B93="","",TRIM(INDEX('INPUT - Roster'!$J$1:$J$206,Grid!$B93)&amp;""))</f>
        <v/>
      </c>
      <c r="K121" s="160">
        <f>IF(Grid!$B93="","",TRIM(INDEX('INPUT - Roster'!$K$1:$K$206,Grid!$B93)&amp;""))</f>
        <v/>
      </c>
      <c r="L121" s="160">
        <f>IF(Grid!$B93="","",TRIM(INDEX('INPUT - Roster'!$L$1:$L$206,Grid!$B93)&amp;""))</f>
        <v/>
      </c>
      <c r="M121" s="160">
        <f>IF(Grid!$B93="","",TRIM(INDEX('INPUT - Roster'!$M$1:$M$206,Grid!$B93)&amp;""))</f>
        <v/>
      </c>
      <c r="N121" s="158">
        <f>Grid!F93</f>
        <v/>
      </c>
      <c r="O121" s="160">
        <f>Grid!AI93</f>
        <v/>
      </c>
      <c r="P121" s="160">
        <f>Grid!BL93</f>
        <v/>
      </c>
      <c r="Q121" s="162">
        <f>IF(Grid!$D93="","",INDEX(Grid!$F$2:$AG$2,Grid!$D93))</f>
        <v/>
      </c>
      <c r="R121" s="158">
        <f>IF(Grid!$D93="","",INDEX(Grid!$F93:$AG93,Grid!$D93))</f>
        <v/>
      </c>
      <c r="S121" s="160">
        <f>IF(Grid!$B93="","",IFERROR(TRIM(INDEX('BHP Site Access'!$G$3:$G$104,MATCH(LOWER(TRIM(INDEX('INPUT - Roster'!$D$1:$D$206,Grid!$B93)&amp;"")&amp;"|"&amp;TRIM(INDEX('INPUT - Roster'!$E$1:$E$206,Grid!$B93)&amp;"")),Calc!$AX$3:$AX$104,0))&amp;""),"Not listed"))</f>
        <v/>
      </c>
      <c r="T121" s="160">
        <f>IF(OR(Grid!$B93="",ISNUMBER(SEARCH("demob",E121))),"",IF(AND(UPPER(TRIM(J121&amp;""))="YES",UPPER(TRIM(K121&amp;""))="YES",UPPER(TRIM(L121&amp;""))="YES",LEFT(UPPER(M121),14)="QUALS COMPLETE"),"","GAP"))</f>
        <v/>
      </c>
      <c r="U121" s="163">
        <f>IF(Grid!$B93="",0,IF(AND(OR(Dashboard!$D$9="All",D121=Dashboard!$D$9),OR(Dashboard!$J$9="All",E121=Dashboard!$J$9)),1,0))</f>
        <v/>
      </c>
    </row>
    <row r="122">
      <c r="B122" s="160">
        <f>IF(Grid!$B94="","",92)</f>
        <v/>
      </c>
      <c r="C122" s="161">
        <f>IF(Grid!$B94="","",TRIM(INDEX('INPUT - Roster'!$F$1:$F$206,Grid!$B94)&amp;""))</f>
        <v/>
      </c>
      <c r="D122" s="158">
        <f>IF(Grid!$B94="","",TRIM(INDEX('INPUT - Roster'!$C$1:$C$206,Grid!$B94)&amp;""))</f>
        <v/>
      </c>
      <c r="E122" s="158">
        <f>IF(Grid!$B94="","",INDEX(Index!$C$2:$C$202,MATCH(Grid!$B94,Index!$A$2:$A$202,0)))</f>
        <v/>
      </c>
      <c r="F122" s="158">
        <f>IF(Grid!$B94="","",TRIM(INDEX('INPUT - Roster'!$H$1:$H$206,Grid!$B94)&amp;""))</f>
        <v/>
      </c>
      <c r="G122" s="160">
        <f>IF(Grid!$B94="","",TRIM(INDEX('INPUT - Roster'!$G$1:$G$206,Grid!$B94)&amp;""))</f>
        <v/>
      </c>
      <c r="H122" s="160">
        <f>IF(Grid!$B94="","",TRIM(INDEX('INPUT - Roster'!$R$1:$R$206,Grid!$B94)&amp;""))</f>
        <v/>
      </c>
      <c r="I122" s="160">
        <f>IF(Grid!$B94="","",TRIM(INDEX('INPUT - Roster'!$O$1:$O$206,Grid!$B94)&amp;""))</f>
        <v/>
      </c>
      <c r="J122" s="160">
        <f>IF(Grid!$B94="","",TRIM(INDEX('INPUT - Roster'!$J$1:$J$206,Grid!$B94)&amp;""))</f>
        <v/>
      </c>
      <c r="K122" s="160">
        <f>IF(Grid!$B94="","",TRIM(INDEX('INPUT - Roster'!$K$1:$K$206,Grid!$B94)&amp;""))</f>
        <v/>
      </c>
      <c r="L122" s="160">
        <f>IF(Grid!$B94="","",TRIM(INDEX('INPUT - Roster'!$L$1:$L$206,Grid!$B94)&amp;""))</f>
        <v/>
      </c>
      <c r="M122" s="160">
        <f>IF(Grid!$B94="","",TRIM(INDEX('INPUT - Roster'!$M$1:$M$206,Grid!$B94)&amp;""))</f>
        <v/>
      </c>
      <c r="N122" s="158">
        <f>Grid!F94</f>
        <v/>
      </c>
      <c r="O122" s="160">
        <f>Grid!AI94</f>
        <v/>
      </c>
      <c r="P122" s="160">
        <f>Grid!BL94</f>
        <v/>
      </c>
      <c r="Q122" s="162">
        <f>IF(Grid!$D94="","",INDEX(Grid!$F$2:$AG$2,Grid!$D94))</f>
        <v/>
      </c>
      <c r="R122" s="158">
        <f>IF(Grid!$D94="","",INDEX(Grid!$F94:$AG94,Grid!$D94))</f>
        <v/>
      </c>
      <c r="S122" s="160">
        <f>IF(Grid!$B94="","",IFERROR(TRIM(INDEX('BHP Site Access'!$G$3:$G$104,MATCH(LOWER(TRIM(INDEX('INPUT - Roster'!$D$1:$D$206,Grid!$B94)&amp;"")&amp;"|"&amp;TRIM(INDEX('INPUT - Roster'!$E$1:$E$206,Grid!$B94)&amp;"")),Calc!$AX$3:$AX$104,0))&amp;""),"Not listed"))</f>
        <v/>
      </c>
      <c r="T122" s="160">
        <f>IF(OR(Grid!$B94="",ISNUMBER(SEARCH("demob",E122))),"",IF(AND(UPPER(TRIM(J122&amp;""))="YES",UPPER(TRIM(K122&amp;""))="YES",UPPER(TRIM(L122&amp;""))="YES",LEFT(UPPER(M122),14)="QUALS COMPLETE"),"","GAP"))</f>
        <v/>
      </c>
      <c r="U122" s="163">
        <f>IF(Grid!$B94="",0,IF(AND(OR(Dashboard!$D$9="All",D122=Dashboard!$D$9),OR(Dashboard!$J$9="All",E122=Dashboard!$J$9)),1,0))</f>
        <v/>
      </c>
    </row>
    <row r="123">
      <c r="B123" s="160">
        <f>IF(Grid!$B95="","",93)</f>
        <v/>
      </c>
      <c r="C123" s="161">
        <f>IF(Grid!$B95="","",TRIM(INDEX('INPUT - Roster'!$F$1:$F$206,Grid!$B95)&amp;""))</f>
        <v/>
      </c>
      <c r="D123" s="158">
        <f>IF(Grid!$B95="","",TRIM(INDEX('INPUT - Roster'!$C$1:$C$206,Grid!$B95)&amp;""))</f>
        <v/>
      </c>
      <c r="E123" s="158">
        <f>IF(Grid!$B95="","",INDEX(Index!$C$2:$C$202,MATCH(Grid!$B95,Index!$A$2:$A$202,0)))</f>
        <v/>
      </c>
      <c r="F123" s="158">
        <f>IF(Grid!$B95="","",TRIM(INDEX('INPUT - Roster'!$H$1:$H$206,Grid!$B95)&amp;""))</f>
        <v/>
      </c>
      <c r="G123" s="160">
        <f>IF(Grid!$B95="","",TRIM(INDEX('INPUT - Roster'!$G$1:$G$206,Grid!$B95)&amp;""))</f>
        <v/>
      </c>
      <c r="H123" s="160">
        <f>IF(Grid!$B95="","",TRIM(INDEX('INPUT - Roster'!$R$1:$R$206,Grid!$B95)&amp;""))</f>
        <v/>
      </c>
      <c r="I123" s="160">
        <f>IF(Grid!$B95="","",TRIM(INDEX('INPUT - Roster'!$O$1:$O$206,Grid!$B95)&amp;""))</f>
        <v/>
      </c>
      <c r="J123" s="160">
        <f>IF(Grid!$B95="","",TRIM(INDEX('INPUT - Roster'!$J$1:$J$206,Grid!$B95)&amp;""))</f>
        <v/>
      </c>
      <c r="K123" s="160">
        <f>IF(Grid!$B95="","",TRIM(INDEX('INPUT - Roster'!$K$1:$K$206,Grid!$B95)&amp;""))</f>
        <v/>
      </c>
      <c r="L123" s="160">
        <f>IF(Grid!$B95="","",TRIM(INDEX('INPUT - Roster'!$L$1:$L$206,Grid!$B95)&amp;""))</f>
        <v/>
      </c>
      <c r="M123" s="160">
        <f>IF(Grid!$B95="","",TRIM(INDEX('INPUT - Roster'!$M$1:$M$206,Grid!$B95)&amp;""))</f>
        <v/>
      </c>
      <c r="N123" s="158">
        <f>Grid!F95</f>
        <v/>
      </c>
      <c r="O123" s="160">
        <f>Grid!AI95</f>
        <v/>
      </c>
      <c r="P123" s="160">
        <f>Grid!BL95</f>
        <v/>
      </c>
      <c r="Q123" s="162">
        <f>IF(Grid!$D95="","",INDEX(Grid!$F$2:$AG$2,Grid!$D95))</f>
        <v/>
      </c>
      <c r="R123" s="158">
        <f>IF(Grid!$D95="","",INDEX(Grid!$F95:$AG95,Grid!$D95))</f>
        <v/>
      </c>
      <c r="S123" s="160">
        <f>IF(Grid!$B95="","",IFERROR(TRIM(INDEX('BHP Site Access'!$G$3:$G$104,MATCH(LOWER(TRIM(INDEX('INPUT - Roster'!$D$1:$D$206,Grid!$B95)&amp;"")&amp;"|"&amp;TRIM(INDEX('INPUT - Roster'!$E$1:$E$206,Grid!$B95)&amp;"")),Calc!$AX$3:$AX$104,0))&amp;""),"Not listed"))</f>
        <v/>
      </c>
      <c r="T123" s="160">
        <f>IF(OR(Grid!$B95="",ISNUMBER(SEARCH("demob",E123))),"",IF(AND(UPPER(TRIM(J123&amp;""))="YES",UPPER(TRIM(K123&amp;""))="YES",UPPER(TRIM(L123&amp;""))="YES",LEFT(UPPER(M123),14)="QUALS COMPLETE"),"","GAP"))</f>
        <v/>
      </c>
      <c r="U123" s="163">
        <f>IF(Grid!$B95="",0,IF(AND(OR(Dashboard!$D$9="All",D123=Dashboard!$D$9),OR(Dashboard!$J$9="All",E123=Dashboard!$J$9)),1,0))</f>
        <v/>
      </c>
    </row>
    <row r="124">
      <c r="B124" s="160">
        <f>IF(Grid!$B96="","",94)</f>
        <v/>
      </c>
      <c r="C124" s="161">
        <f>IF(Grid!$B96="","",TRIM(INDEX('INPUT - Roster'!$F$1:$F$206,Grid!$B96)&amp;""))</f>
        <v/>
      </c>
      <c r="D124" s="158">
        <f>IF(Grid!$B96="","",TRIM(INDEX('INPUT - Roster'!$C$1:$C$206,Grid!$B96)&amp;""))</f>
        <v/>
      </c>
      <c r="E124" s="158">
        <f>IF(Grid!$B96="","",INDEX(Index!$C$2:$C$202,MATCH(Grid!$B96,Index!$A$2:$A$202,0)))</f>
        <v/>
      </c>
      <c r="F124" s="158">
        <f>IF(Grid!$B96="","",TRIM(INDEX('INPUT - Roster'!$H$1:$H$206,Grid!$B96)&amp;""))</f>
        <v/>
      </c>
      <c r="G124" s="160">
        <f>IF(Grid!$B96="","",TRIM(INDEX('INPUT - Roster'!$G$1:$G$206,Grid!$B96)&amp;""))</f>
        <v/>
      </c>
      <c r="H124" s="160">
        <f>IF(Grid!$B96="","",TRIM(INDEX('INPUT - Roster'!$R$1:$R$206,Grid!$B96)&amp;""))</f>
        <v/>
      </c>
      <c r="I124" s="160">
        <f>IF(Grid!$B96="","",TRIM(INDEX('INPUT - Roster'!$O$1:$O$206,Grid!$B96)&amp;""))</f>
        <v/>
      </c>
      <c r="J124" s="160">
        <f>IF(Grid!$B96="","",TRIM(INDEX('INPUT - Roster'!$J$1:$J$206,Grid!$B96)&amp;""))</f>
        <v/>
      </c>
      <c r="K124" s="160">
        <f>IF(Grid!$B96="","",TRIM(INDEX('INPUT - Roster'!$K$1:$K$206,Grid!$B96)&amp;""))</f>
        <v/>
      </c>
      <c r="L124" s="160">
        <f>IF(Grid!$B96="","",TRIM(INDEX('INPUT - Roster'!$L$1:$L$206,Grid!$B96)&amp;""))</f>
        <v/>
      </c>
      <c r="M124" s="160">
        <f>IF(Grid!$B96="","",TRIM(INDEX('INPUT - Roster'!$M$1:$M$206,Grid!$B96)&amp;""))</f>
        <v/>
      </c>
      <c r="N124" s="158">
        <f>Grid!F96</f>
        <v/>
      </c>
      <c r="O124" s="160">
        <f>Grid!AI96</f>
        <v/>
      </c>
      <c r="P124" s="160">
        <f>Grid!BL96</f>
        <v/>
      </c>
      <c r="Q124" s="162">
        <f>IF(Grid!$D96="","",INDEX(Grid!$F$2:$AG$2,Grid!$D96))</f>
        <v/>
      </c>
      <c r="R124" s="158">
        <f>IF(Grid!$D96="","",INDEX(Grid!$F96:$AG96,Grid!$D96))</f>
        <v/>
      </c>
      <c r="S124" s="160">
        <f>IF(Grid!$B96="","",IFERROR(TRIM(INDEX('BHP Site Access'!$G$3:$G$104,MATCH(LOWER(TRIM(INDEX('INPUT - Roster'!$D$1:$D$206,Grid!$B96)&amp;"")&amp;"|"&amp;TRIM(INDEX('INPUT - Roster'!$E$1:$E$206,Grid!$B96)&amp;"")),Calc!$AX$3:$AX$104,0))&amp;""),"Not listed"))</f>
        <v/>
      </c>
      <c r="T124" s="160">
        <f>IF(OR(Grid!$B96="",ISNUMBER(SEARCH("demob",E124))),"",IF(AND(UPPER(TRIM(J124&amp;""))="YES",UPPER(TRIM(K124&amp;""))="YES",UPPER(TRIM(L124&amp;""))="YES",LEFT(UPPER(M124),14)="QUALS COMPLETE"),"","GAP"))</f>
        <v/>
      </c>
      <c r="U124" s="163">
        <f>IF(Grid!$B96="",0,IF(AND(OR(Dashboard!$D$9="All",D124=Dashboard!$D$9),OR(Dashboard!$J$9="All",E124=Dashboard!$J$9)),1,0))</f>
        <v/>
      </c>
    </row>
    <row r="125">
      <c r="B125" s="160">
        <f>IF(Grid!$B97="","",95)</f>
        <v/>
      </c>
      <c r="C125" s="161">
        <f>IF(Grid!$B97="","",TRIM(INDEX('INPUT - Roster'!$F$1:$F$206,Grid!$B97)&amp;""))</f>
        <v/>
      </c>
      <c r="D125" s="158">
        <f>IF(Grid!$B97="","",TRIM(INDEX('INPUT - Roster'!$C$1:$C$206,Grid!$B97)&amp;""))</f>
        <v/>
      </c>
      <c r="E125" s="158">
        <f>IF(Grid!$B97="","",INDEX(Index!$C$2:$C$202,MATCH(Grid!$B97,Index!$A$2:$A$202,0)))</f>
        <v/>
      </c>
      <c r="F125" s="158">
        <f>IF(Grid!$B97="","",TRIM(INDEX('INPUT - Roster'!$H$1:$H$206,Grid!$B97)&amp;""))</f>
        <v/>
      </c>
      <c r="G125" s="160">
        <f>IF(Grid!$B97="","",TRIM(INDEX('INPUT - Roster'!$G$1:$G$206,Grid!$B97)&amp;""))</f>
        <v/>
      </c>
      <c r="H125" s="160">
        <f>IF(Grid!$B97="","",TRIM(INDEX('INPUT - Roster'!$R$1:$R$206,Grid!$B97)&amp;""))</f>
        <v/>
      </c>
      <c r="I125" s="160">
        <f>IF(Grid!$B97="","",TRIM(INDEX('INPUT - Roster'!$O$1:$O$206,Grid!$B97)&amp;""))</f>
        <v/>
      </c>
      <c r="J125" s="160">
        <f>IF(Grid!$B97="","",TRIM(INDEX('INPUT - Roster'!$J$1:$J$206,Grid!$B97)&amp;""))</f>
        <v/>
      </c>
      <c r="K125" s="160">
        <f>IF(Grid!$B97="","",TRIM(INDEX('INPUT - Roster'!$K$1:$K$206,Grid!$B97)&amp;""))</f>
        <v/>
      </c>
      <c r="L125" s="160">
        <f>IF(Grid!$B97="","",TRIM(INDEX('INPUT - Roster'!$L$1:$L$206,Grid!$B97)&amp;""))</f>
        <v/>
      </c>
      <c r="M125" s="160">
        <f>IF(Grid!$B97="","",TRIM(INDEX('INPUT - Roster'!$M$1:$M$206,Grid!$B97)&amp;""))</f>
        <v/>
      </c>
      <c r="N125" s="158">
        <f>Grid!F97</f>
        <v/>
      </c>
      <c r="O125" s="160">
        <f>Grid!AI97</f>
        <v/>
      </c>
      <c r="P125" s="160">
        <f>Grid!BL97</f>
        <v/>
      </c>
      <c r="Q125" s="162">
        <f>IF(Grid!$D97="","",INDEX(Grid!$F$2:$AG$2,Grid!$D97))</f>
        <v/>
      </c>
      <c r="R125" s="158">
        <f>IF(Grid!$D97="","",INDEX(Grid!$F97:$AG97,Grid!$D97))</f>
        <v/>
      </c>
      <c r="S125" s="160">
        <f>IF(Grid!$B97="","",IFERROR(TRIM(INDEX('BHP Site Access'!$G$3:$G$104,MATCH(LOWER(TRIM(INDEX('INPUT - Roster'!$D$1:$D$206,Grid!$B97)&amp;"")&amp;"|"&amp;TRIM(INDEX('INPUT - Roster'!$E$1:$E$206,Grid!$B97)&amp;"")),Calc!$AX$3:$AX$104,0))&amp;""),"Not listed"))</f>
        <v/>
      </c>
      <c r="T125" s="160">
        <f>IF(OR(Grid!$B97="",ISNUMBER(SEARCH("demob",E125))),"",IF(AND(UPPER(TRIM(J125&amp;""))="YES",UPPER(TRIM(K125&amp;""))="YES",UPPER(TRIM(L125&amp;""))="YES",LEFT(UPPER(M125),14)="QUALS COMPLETE"),"","GAP"))</f>
        <v/>
      </c>
      <c r="U125" s="163">
        <f>IF(Grid!$B97="",0,IF(AND(OR(Dashboard!$D$9="All",D125=Dashboard!$D$9),OR(Dashboard!$J$9="All",E125=Dashboard!$J$9)),1,0))</f>
        <v/>
      </c>
    </row>
    <row r="126">
      <c r="B126" s="160">
        <f>IF(Grid!$B98="","",96)</f>
        <v/>
      </c>
      <c r="C126" s="161">
        <f>IF(Grid!$B98="","",TRIM(INDEX('INPUT - Roster'!$F$1:$F$206,Grid!$B98)&amp;""))</f>
        <v/>
      </c>
      <c r="D126" s="158">
        <f>IF(Grid!$B98="","",TRIM(INDEX('INPUT - Roster'!$C$1:$C$206,Grid!$B98)&amp;""))</f>
        <v/>
      </c>
      <c r="E126" s="158">
        <f>IF(Grid!$B98="","",INDEX(Index!$C$2:$C$202,MATCH(Grid!$B98,Index!$A$2:$A$202,0)))</f>
        <v/>
      </c>
      <c r="F126" s="158">
        <f>IF(Grid!$B98="","",TRIM(INDEX('INPUT - Roster'!$H$1:$H$206,Grid!$B98)&amp;""))</f>
        <v/>
      </c>
      <c r="G126" s="160">
        <f>IF(Grid!$B98="","",TRIM(INDEX('INPUT - Roster'!$G$1:$G$206,Grid!$B98)&amp;""))</f>
        <v/>
      </c>
      <c r="H126" s="160">
        <f>IF(Grid!$B98="","",TRIM(INDEX('INPUT - Roster'!$R$1:$R$206,Grid!$B98)&amp;""))</f>
        <v/>
      </c>
      <c r="I126" s="160">
        <f>IF(Grid!$B98="","",TRIM(INDEX('INPUT - Roster'!$O$1:$O$206,Grid!$B98)&amp;""))</f>
        <v/>
      </c>
      <c r="J126" s="160">
        <f>IF(Grid!$B98="","",TRIM(INDEX('INPUT - Roster'!$J$1:$J$206,Grid!$B98)&amp;""))</f>
        <v/>
      </c>
      <c r="K126" s="160">
        <f>IF(Grid!$B98="","",TRIM(INDEX('INPUT - Roster'!$K$1:$K$206,Grid!$B98)&amp;""))</f>
        <v/>
      </c>
      <c r="L126" s="160">
        <f>IF(Grid!$B98="","",TRIM(INDEX('INPUT - Roster'!$L$1:$L$206,Grid!$B98)&amp;""))</f>
        <v/>
      </c>
      <c r="M126" s="160">
        <f>IF(Grid!$B98="","",TRIM(INDEX('INPUT - Roster'!$M$1:$M$206,Grid!$B98)&amp;""))</f>
        <v/>
      </c>
      <c r="N126" s="158">
        <f>Grid!F98</f>
        <v/>
      </c>
      <c r="O126" s="160">
        <f>Grid!AI98</f>
        <v/>
      </c>
      <c r="P126" s="160">
        <f>Grid!BL98</f>
        <v/>
      </c>
      <c r="Q126" s="162">
        <f>IF(Grid!$D98="","",INDEX(Grid!$F$2:$AG$2,Grid!$D98))</f>
        <v/>
      </c>
      <c r="R126" s="158">
        <f>IF(Grid!$D98="","",INDEX(Grid!$F98:$AG98,Grid!$D98))</f>
        <v/>
      </c>
      <c r="S126" s="160">
        <f>IF(Grid!$B98="","",IFERROR(TRIM(INDEX('BHP Site Access'!$G$3:$G$104,MATCH(LOWER(TRIM(INDEX('INPUT - Roster'!$D$1:$D$206,Grid!$B98)&amp;"")&amp;"|"&amp;TRIM(INDEX('INPUT - Roster'!$E$1:$E$206,Grid!$B98)&amp;"")),Calc!$AX$3:$AX$104,0))&amp;""),"Not listed"))</f>
        <v/>
      </c>
      <c r="T126" s="160">
        <f>IF(OR(Grid!$B98="",ISNUMBER(SEARCH("demob",E126))),"",IF(AND(UPPER(TRIM(J126&amp;""))="YES",UPPER(TRIM(K126&amp;""))="YES",UPPER(TRIM(L126&amp;""))="YES",LEFT(UPPER(M126),14)="QUALS COMPLETE"),"","GAP"))</f>
        <v/>
      </c>
      <c r="U126" s="163">
        <f>IF(Grid!$B98="",0,IF(AND(OR(Dashboard!$D$9="All",D126=Dashboard!$D$9),OR(Dashboard!$J$9="All",E126=Dashboard!$J$9)),1,0))</f>
        <v/>
      </c>
    </row>
    <row r="127">
      <c r="B127" s="160">
        <f>IF(Grid!$B99="","",97)</f>
        <v/>
      </c>
      <c r="C127" s="161">
        <f>IF(Grid!$B99="","",TRIM(INDEX('INPUT - Roster'!$F$1:$F$206,Grid!$B99)&amp;""))</f>
        <v/>
      </c>
      <c r="D127" s="158">
        <f>IF(Grid!$B99="","",TRIM(INDEX('INPUT - Roster'!$C$1:$C$206,Grid!$B99)&amp;""))</f>
        <v/>
      </c>
      <c r="E127" s="158">
        <f>IF(Grid!$B99="","",INDEX(Index!$C$2:$C$202,MATCH(Grid!$B99,Index!$A$2:$A$202,0)))</f>
        <v/>
      </c>
      <c r="F127" s="158">
        <f>IF(Grid!$B99="","",TRIM(INDEX('INPUT - Roster'!$H$1:$H$206,Grid!$B99)&amp;""))</f>
        <v/>
      </c>
      <c r="G127" s="160">
        <f>IF(Grid!$B99="","",TRIM(INDEX('INPUT - Roster'!$G$1:$G$206,Grid!$B99)&amp;""))</f>
        <v/>
      </c>
      <c r="H127" s="160">
        <f>IF(Grid!$B99="","",TRIM(INDEX('INPUT - Roster'!$R$1:$R$206,Grid!$B99)&amp;""))</f>
        <v/>
      </c>
      <c r="I127" s="160">
        <f>IF(Grid!$B99="","",TRIM(INDEX('INPUT - Roster'!$O$1:$O$206,Grid!$B99)&amp;""))</f>
        <v/>
      </c>
      <c r="J127" s="160">
        <f>IF(Grid!$B99="","",TRIM(INDEX('INPUT - Roster'!$J$1:$J$206,Grid!$B99)&amp;""))</f>
        <v/>
      </c>
      <c r="K127" s="160">
        <f>IF(Grid!$B99="","",TRIM(INDEX('INPUT - Roster'!$K$1:$K$206,Grid!$B99)&amp;""))</f>
        <v/>
      </c>
      <c r="L127" s="160">
        <f>IF(Grid!$B99="","",TRIM(INDEX('INPUT - Roster'!$L$1:$L$206,Grid!$B99)&amp;""))</f>
        <v/>
      </c>
      <c r="M127" s="160">
        <f>IF(Grid!$B99="","",TRIM(INDEX('INPUT - Roster'!$M$1:$M$206,Grid!$B99)&amp;""))</f>
        <v/>
      </c>
      <c r="N127" s="158">
        <f>Grid!F99</f>
        <v/>
      </c>
      <c r="O127" s="160">
        <f>Grid!AI99</f>
        <v/>
      </c>
      <c r="P127" s="160">
        <f>Grid!BL99</f>
        <v/>
      </c>
      <c r="Q127" s="162">
        <f>IF(Grid!$D99="","",INDEX(Grid!$F$2:$AG$2,Grid!$D99))</f>
        <v/>
      </c>
      <c r="R127" s="158">
        <f>IF(Grid!$D99="","",INDEX(Grid!$F99:$AG99,Grid!$D99))</f>
        <v/>
      </c>
      <c r="S127" s="160">
        <f>IF(Grid!$B99="","",IFERROR(TRIM(INDEX('BHP Site Access'!$G$3:$G$104,MATCH(LOWER(TRIM(INDEX('INPUT - Roster'!$D$1:$D$206,Grid!$B99)&amp;"")&amp;"|"&amp;TRIM(INDEX('INPUT - Roster'!$E$1:$E$206,Grid!$B99)&amp;"")),Calc!$AX$3:$AX$104,0))&amp;""),"Not listed"))</f>
        <v/>
      </c>
      <c r="T127" s="160">
        <f>IF(OR(Grid!$B99="",ISNUMBER(SEARCH("demob",E127))),"",IF(AND(UPPER(TRIM(J127&amp;""))="YES",UPPER(TRIM(K127&amp;""))="YES",UPPER(TRIM(L127&amp;""))="YES",LEFT(UPPER(M127),14)="QUALS COMPLETE"),"","GAP"))</f>
        <v/>
      </c>
      <c r="U127" s="163">
        <f>IF(Grid!$B99="",0,IF(AND(OR(Dashboard!$D$9="All",D127=Dashboard!$D$9),OR(Dashboard!$J$9="All",E127=Dashboard!$J$9)),1,0))</f>
        <v/>
      </c>
    </row>
    <row r="128">
      <c r="B128" s="160">
        <f>IF(Grid!$B100="","",98)</f>
        <v/>
      </c>
      <c r="C128" s="161">
        <f>IF(Grid!$B100="","",TRIM(INDEX('INPUT - Roster'!$F$1:$F$206,Grid!$B100)&amp;""))</f>
        <v/>
      </c>
      <c r="D128" s="158">
        <f>IF(Grid!$B100="","",TRIM(INDEX('INPUT - Roster'!$C$1:$C$206,Grid!$B100)&amp;""))</f>
        <v/>
      </c>
      <c r="E128" s="158">
        <f>IF(Grid!$B100="","",INDEX(Index!$C$2:$C$202,MATCH(Grid!$B100,Index!$A$2:$A$202,0)))</f>
        <v/>
      </c>
      <c r="F128" s="158">
        <f>IF(Grid!$B100="","",TRIM(INDEX('INPUT - Roster'!$H$1:$H$206,Grid!$B100)&amp;""))</f>
        <v/>
      </c>
      <c r="G128" s="160">
        <f>IF(Grid!$B100="","",TRIM(INDEX('INPUT - Roster'!$G$1:$G$206,Grid!$B100)&amp;""))</f>
        <v/>
      </c>
      <c r="H128" s="160">
        <f>IF(Grid!$B100="","",TRIM(INDEX('INPUT - Roster'!$R$1:$R$206,Grid!$B100)&amp;""))</f>
        <v/>
      </c>
      <c r="I128" s="160">
        <f>IF(Grid!$B100="","",TRIM(INDEX('INPUT - Roster'!$O$1:$O$206,Grid!$B100)&amp;""))</f>
        <v/>
      </c>
      <c r="J128" s="160">
        <f>IF(Grid!$B100="","",TRIM(INDEX('INPUT - Roster'!$J$1:$J$206,Grid!$B100)&amp;""))</f>
        <v/>
      </c>
      <c r="K128" s="160">
        <f>IF(Grid!$B100="","",TRIM(INDEX('INPUT - Roster'!$K$1:$K$206,Grid!$B100)&amp;""))</f>
        <v/>
      </c>
      <c r="L128" s="160">
        <f>IF(Grid!$B100="","",TRIM(INDEX('INPUT - Roster'!$L$1:$L$206,Grid!$B100)&amp;""))</f>
        <v/>
      </c>
      <c r="M128" s="160">
        <f>IF(Grid!$B100="","",TRIM(INDEX('INPUT - Roster'!$M$1:$M$206,Grid!$B100)&amp;""))</f>
        <v/>
      </c>
      <c r="N128" s="158">
        <f>Grid!F100</f>
        <v/>
      </c>
      <c r="O128" s="160">
        <f>Grid!AI100</f>
        <v/>
      </c>
      <c r="P128" s="160">
        <f>Grid!BL100</f>
        <v/>
      </c>
      <c r="Q128" s="162">
        <f>IF(Grid!$D100="","",INDEX(Grid!$F$2:$AG$2,Grid!$D100))</f>
        <v/>
      </c>
      <c r="R128" s="158">
        <f>IF(Grid!$D100="","",INDEX(Grid!$F100:$AG100,Grid!$D100))</f>
        <v/>
      </c>
      <c r="S128" s="160">
        <f>IF(Grid!$B100="","",IFERROR(TRIM(INDEX('BHP Site Access'!$G$3:$G$104,MATCH(LOWER(TRIM(INDEX('INPUT - Roster'!$D$1:$D$206,Grid!$B100)&amp;"")&amp;"|"&amp;TRIM(INDEX('INPUT - Roster'!$E$1:$E$206,Grid!$B100)&amp;"")),Calc!$AX$3:$AX$104,0))&amp;""),"Not listed"))</f>
        <v/>
      </c>
      <c r="T128" s="160">
        <f>IF(OR(Grid!$B100="",ISNUMBER(SEARCH("demob",E128))),"",IF(AND(UPPER(TRIM(J128&amp;""))="YES",UPPER(TRIM(K128&amp;""))="YES",UPPER(TRIM(L128&amp;""))="YES",LEFT(UPPER(M128),14)="QUALS COMPLETE"),"","GAP"))</f>
        <v/>
      </c>
      <c r="U128" s="163">
        <f>IF(Grid!$B100="",0,IF(AND(OR(Dashboard!$D$9="All",D128=Dashboard!$D$9),OR(Dashboard!$J$9="All",E128=Dashboard!$J$9)),1,0))</f>
        <v/>
      </c>
    </row>
    <row r="129">
      <c r="B129" s="160">
        <f>IF(Grid!$B101="","",99)</f>
        <v/>
      </c>
      <c r="C129" s="161">
        <f>IF(Grid!$B101="","",TRIM(INDEX('INPUT - Roster'!$F$1:$F$206,Grid!$B101)&amp;""))</f>
        <v/>
      </c>
      <c r="D129" s="158">
        <f>IF(Grid!$B101="","",TRIM(INDEX('INPUT - Roster'!$C$1:$C$206,Grid!$B101)&amp;""))</f>
        <v/>
      </c>
      <c r="E129" s="158">
        <f>IF(Grid!$B101="","",INDEX(Index!$C$2:$C$202,MATCH(Grid!$B101,Index!$A$2:$A$202,0)))</f>
        <v/>
      </c>
      <c r="F129" s="158">
        <f>IF(Grid!$B101="","",TRIM(INDEX('INPUT - Roster'!$H$1:$H$206,Grid!$B101)&amp;""))</f>
        <v/>
      </c>
      <c r="G129" s="160">
        <f>IF(Grid!$B101="","",TRIM(INDEX('INPUT - Roster'!$G$1:$G$206,Grid!$B101)&amp;""))</f>
        <v/>
      </c>
      <c r="H129" s="160">
        <f>IF(Grid!$B101="","",TRIM(INDEX('INPUT - Roster'!$R$1:$R$206,Grid!$B101)&amp;""))</f>
        <v/>
      </c>
      <c r="I129" s="160">
        <f>IF(Grid!$B101="","",TRIM(INDEX('INPUT - Roster'!$O$1:$O$206,Grid!$B101)&amp;""))</f>
        <v/>
      </c>
      <c r="J129" s="160">
        <f>IF(Grid!$B101="","",TRIM(INDEX('INPUT - Roster'!$J$1:$J$206,Grid!$B101)&amp;""))</f>
        <v/>
      </c>
      <c r="K129" s="160">
        <f>IF(Grid!$B101="","",TRIM(INDEX('INPUT - Roster'!$K$1:$K$206,Grid!$B101)&amp;""))</f>
        <v/>
      </c>
      <c r="L129" s="160">
        <f>IF(Grid!$B101="","",TRIM(INDEX('INPUT - Roster'!$L$1:$L$206,Grid!$B101)&amp;""))</f>
        <v/>
      </c>
      <c r="M129" s="160">
        <f>IF(Grid!$B101="","",TRIM(INDEX('INPUT - Roster'!$M$1:$M$206,Grid!$B101)&amp;""))</f>
        <v/>
      </c>
      <c r="N129" s="158">
        <f>Grid!F101</f>
        <v/>
      </c>
      <c r="O129" s="160">
        <f>Grid!AI101</f>
        <v/>
      </c>
      <c r="P129" s="160">
        <f>Grid!BL101</f>
        <v/>
      </c>
      <c r="Q129" s="162">
        <f>IF(Grid!$D101="","",INDEX(Grid!$F$2:$AG$2,Grid!$D101))</f>
        <v/>
      </c>
      <c r="R129" s="158">
        <f>IF(Grid!$D101="","",INDEX(Grid!$F101:$AG101,Grid!$D101))</f>
        <v/>
      </c>
      <c r="S129" s="160">
        <f>IF(Grid!$B101="","",IFERROR(TRIM(INDEX('BHP Site Access'!$G$3:$G$104,MATCH(LOWER(TRIM(INDEX('INPUT - Roster'!$D$1:$D$206,Grid!$B101)&amp;"")&amp;"|"&amp;TRIM(INDEX('INPUT - Roster'!$E$1:$E$206,Grid!$B101)&amp;"")),Calc!$AX$3:$AX$104,0))&amp;""),"Not listed"))</f>
        <v/>
      </c>
      <c r="T129" s="160">
        <f>IF(OR(Grid!$B101="",ISNUMBER(SEARCH("demob",E129))),"",IF(AND(UPPER(TRIM(J129&amp;""))="YES",UPPER(TRIM(K129&amp;""))="YES",UPPER(TRIM(L129&amp;""))="YES",LEFT(UPPER(M129),14)="QUALS COMPLETE"),"","GAP"))</f>
        <v/>
      </c>
      <c r="U129" s="163">
        <f>IF(Grid!$B101="",0,IF(AND(OR(Dashboard!$D$9="All",D129=Dashboard!$D$9),OR(Dashboard!$J$9="All",E129=Dashboard!$J$9)),1,0))</f>
        <v/>
      </c>
    </row>
    <row r="130">
      <c r="B130" s="160">
        <f>IF(Grid!$B102="","",100)</f>
        <v/>
      </c>
      <c r="C130" s="161">
        <f>IF(Grid!$B102="","",TRIM(INDEX('INPUT - Roster'!$F$1:$F$206,Grid!$B102)&amp;""))</f>
        <v/>
      </c>
      <c r="D130" s="158">
        <f>IF(Grid!$B102="","",TRIM(INDEX('INPUT - Roster'!$C$1:$C$206,Grid!$B102)&amp;""))</f>
        <v/>
      </c>
      <c r="E130" s="158">
        <f>IF(Grid!$B102="","",INDEX(Index!$C$2:$C$202,MATCH(Grid!$B102,Index!$A$2:$A$202,0)))</f>
        <v/>
      </c>
      <c r="F130" s="158">
        <f>IF(Grid!$B102="","",TRIM(INDEX('INPUT - Roster'!$H$1:$H$206,Grid!$B102)&amp;""))</f>
        <v/>
      </c>
      <c r="G130" s="160">
        <f>IF(Grid!$B102="","",TRIM(INDEX('INPUT - Roster'!$G$1:$G$206,Grid!$B102)&amp;""))</f>
        <v/>
      </c>
      <c r="H130" s="160">
        <f>IF(Grid!$B102="","",TRIM(INDEX('INPUT - Roster'!$R$1:$R$206,Grid!$B102)&amp;""))</f>
        <v/>
      </c>
      <c r="I130" s="160">
        <f>IF(Grid!$B102="","",TRIM(INDEX('INPUT - Roster'!$O$1:$O$206,Grid!$B102)&amp;""))</f>
        <v/>
      </c>
      <c r="J130" s="160">
        <f>IF(Grid!$B102="","",TRIM(INDEX('INPUT - Roster'!$J$1:$J$206,Grid!$B102)&amp;""))</f>
        <v/>
      </c>
      <c r="K130" s="160">
        <f>IF(Grid!$B102="","",TRIM(INDEX('INPUT - Roster'!$K$1:$K$206,Grid!$B102)&amp;""))</f>
        <v/>
      </c>
      <c r="L130" s="160">
        <f>IF(Grid!$B102="","",TRIM(INDEX('INPUT - Roster'!$L$1:$L$206,Grid!$B102)&amp;""))</f>
        <v/>
      </c>
      <c r="M130" s="160">
        <f>IF(Grid!$B102="","",TRIM(INDEX('INPUT - Roster'!$M$1:$M$206,Grid!$B102)&amp;""))</f>
        <v/>
      </c>
      <c r="N130" s="158">
        <f>Grid!F102</f>
        <v/>
      </c>
      <c r="O130" s="160">
        <f>Grid!AI102</f>
        <v/>
      </c>
      <c r="P130" s="160">
        <f>Grid!BL102</f>
        <v/>
      </c>
      <c r="Q130" s="162">
        <f>IF(Grid!$D102="","",INDEX(Grid!$F$2:$AG$2,Grid!$D102))</f>
        <v/>
      </c>
      <c r="R130" s="158">
        <f>IF(Grid!$D102="","",INDEX(Grid!$F102:$AG102,Grid!$D102))</f>
        <v/>
      </c>
      <c r="S130" s="160">
        <f>IF(Grid!$B102="","",IFERROR(TRIM(INDEX('BHP Site Access'!$G$3:$G$104,MATCH(LOWER(TRIM(INDEX('INPUT - Roster'!$D$1:$D$206,Grid!$B102)&amp;"")&amp;"|"&amp;TRIM(INDEX('INPUT - Roster'!$E$1:$E$206,Grid!$B102)&amp;"")),Calc!$AX$3:$AX$104,0))&amp;""),"Not listed"))</f>
        <v/>
      </c>
      <c r="T130" s="160">
        <f>IF(OR(Grid!$B102="",ISNUMBER(SEARCH("demob",E130))),"",IF(AND(UPPER(TRIM(J130&amp;""))="YES",UPPER(TRIM(K130&amp;""))="YES",UPPER(TRIM(L130&amp;""))="YES",LEFT(UPPER(M130),14)="QUALS COMPLETE"),"","GAP"))</f>
        <v/>
      </c>
      <c r="U130" s="163">
        <f>IF(Grid!$B102="",0,IF(AND(OR(Dashboard!$D$9="All",D130=Dashboard!$D$9),OR(Dashboard!$J$9="All",E130=Dashboard!$J$9)),1,0))</f>
        <v/>
      </c>
    </row>
    <row r="131">
      <c r="B131" s="160">
        <f>IF(Grid!$B103="","",101)</f>
        <v/>
      </c>
      <c r="C131" s="161">
        <f>IF(Grid!$B103="","",TRIM(INDEX('INPUT - Roster'!$F$1:$F$206,Grid!$B103)&amp;""))</f>
        <v/>
      </c>
      <c r="D131" s="158">
        <f>IF(Grid!$B103="","",TRIM(INDEX('INPUT - Roster'!$C$1:$C$206,Grid!$B103)&amp;""))</f>
        <v/>
      </c>
      <c r="E131" s="158">
        <f>IF(Grid!$B103="","",INDEX(Index!$C$2:$C$202,MATCH(Grid!$B103,Index!$A$2:$A$202,0)))</f>
        <v/>
      </c>
      <c r="F131" s="158">
        <f>IF(Grid!$B103="","",TRIM(INDEX('INPUT - Roster'!$H$1:$H$206,Grid!$B103)&amp;""))</f>
        <v/>
      </c>
      <c r="G131" s="160">
        <f>IF(Grid!$B103="","",TRIM(INDEX('INPUT - Roster'!$G$1:$G$206,Grid!$B103)&amp;""))</f>
        <v/>
      </c>
      <c r="H131" s="160">
        <f>IF(Grid!$B103="","",TRIM(INDEX('INPUT - Roster'!$R$1:$R$206,Grid!$B103)&amp;""))</f>
        <v/>
      </c>
      <c r="I131" s="160">
        <f>IF(Grid!$B103="","",TRIM(INDEX('INPUT - Roster'!$O$1:$O$206,Grid!$B103)&amp;""))</f>
        <v/>
      </c>
      <c r="J131" s="160">
        <f>IF(Grid!$B103="","",TRIM(INDEX('INPUT - Roster'!$J$1:$J$206,Grid!$B103)&amp;""))</f>
        <v/>
      </c>
      <c r="K131" s="160">
        <f>IF(Grid!$B103="","",TRIM(INDEX('INPUT - Roster'!$K$1:$K$206,Grid!$B103)&amp;""))</f>
        <v/>
      </c>
      <c r="L131" s="160">
        <f>IF(Grid!$B103="","",TRIM(INDEX('INPUT - Roster'!$L$1:$L$206,Grid!$B103)&amp;""))</f>
        <v/>
      </c>
      <c r="M131" s="160">
        <f>IF(Grid!$B103="","",TRIM(INDEX('INPUT - Roster'!$M$1:$M$206,Grid!$B103)&amp;""))</f>
        <v/>
      </c>
      <c r="N131" s="158">
        <f>Grid!F103</f>
        <v/>
      </c>
      <c r="O131" s="160">
        <f>Grid!AI103</f>
        <v/>
      </c>
      <c r="P131" s="160">
        <f>Grid!BL103</f>
        <v/>
      </c>
      <c r="Q131" s="162">
        <f>IF(Grid!$D103="","",INDEX(Grid!$F$2:$AG$2,Grid!$D103))</f>
        <v/>
      </c>
      <c r="R131" s="158">
        <f>IF(Grid!$D103="","",INDEX(Grid!$F103:$AG103,Grid!$D103))</f>
        <v/>
      </c>
      <c r="S131" s="160">
        <f>IF(Grid!$B103="","",IFERROR(TRIM(INDEX('BHP Site Access'!$G$3:$G$104,MATCH(LOWER(TRIM(INDEX('INPUT - Roster'!$D$1:$D$206,Grid!$B103)&amp;"")&amp;"|"&amp;TRIM(INDEX('INPUT - Roster'!$E$1:$E$206,Grid!$B103)&amp;"")),Calc!$AX$3:$AX$104,0))&amp;""),"Not listed"))</f>
        <v/>
      </c>
      <c r="T131" s="160">
        <f>IF(OR(Grid!$B103="",ISNUMBER(SEARCH("demob",E131))),"",IF(AND(UPPER(TRIM(J131&amp;""))="YES",UPPER(TRIM(K131&amp;""))="YES",UPPER(TRIM(L131&amp;""))="YES",LEFT(UPPER(M131),14)="QUALS COMPLETE"),"","GAP"))</f>
        <v/>
      </c>
      <c r="U131" s="163">
        <f>IF(Grid!$B103="",0,IF(AND(OR(Dashboard!$D$9="All",D131=Dashboard!$D$9),OR(Dashboard!$J$9="All",E131=Dashboard!$J$9)),1,0))</f>
        <v/>
      </c>
    </row>
    <row r="132">
      <c r="B132" s="160">
        <f>IF(Grid!$B104="","",102)</f>
        <v/>
      </c>
      <c r="C132" s="161">
        <f>IF(Grid!$B104="","",TRIM(INDEX('INPUT - Roster'!$F$1:$F$206,Grid!$B104)&amp;""))</f>
        <v/>
      </c>
      <c r="D132" s="158">
        <f>IF(Grid!$B104="","",TRIM(INDEX('INPUT - Roster'!$C$1:$C$206,Grid!$B104)&amp;""))</f>
        <v/>
      </c>
      <c r="E132" s="158">
        <f>IF(Grid!$B104="","",INDEX(Index!$C$2:$C$202,MATCH(Grid!$B104,Index!$A$2:$A$202,0)))</f>
        <v/>
      </c>
      <c r="F132" s="158">
        <f>IF(Grid!$B104="","",TRIM(INDEX('INPUT - Roster'!$H$1:$H$206,Grid!$B104)&amp;""))</f>
        <v/>
      </c>
      <c r="G132" s="160">
        <f>IF(Grid!$B104="","",TRIM(INDEX('INPUT - Roster'!$G$1:$G$206,Grid!$B104)&amp;""))</f>
        <v/>
      </c>
      <c r="H132" s="160">
        <f>IF(Grid!$B104="","",TRIM(INDEX('INPUT - Roster'!$R$1:$R$206,Grid!$B104)&amp;""))</f>
        <v/>
      </c>
      <c r="I132" s="160">
        <f>IF(Grid!$B104="","",TRIM(INDEX('INPUT - Roster'!$O$1:$O$206,Grid!$B104)&amp;""))</f>
        <v/>
      </c>
      <c r="J132" s="160">
        <f>IF(Grid!$B104="","",TRIM(INDEX('INPUT - Roster'!$J$1:$J$206,Grid!$B104)&amp;""))</f>
        <v/>
      </c>
      <c r="K132" s="160">
        <f>IF(Grid!$B104="","",TRIM(INDEX('INPUT - Roster'!$K$1:$K$206,Grid!$B104)&amp;""))</f>
        <v/>
      </c>
      <c r="L132" s="160">
        <f>IF(Grid!$B104="","",TRIM(INDEX('INPUT - Roster'!$L$1:$L$206,Grid!$B104)&amp;""))</f>
        <v/>
      </c>
      <c r="M132" s="160">
        <f>IF(Grid!$B104="","",TRIM(INDEX('INPUT - Roster'!$M$1:$M$206,Grid!$B104)&amp;""))</f>
        <v/>
      </c>
      <c r="N132" s="158">
        <f>Grid!F104</f>
        <v/>
      </c>
      <c r="O132" s="160">
        <f>Grid!AI104</f>
        <v/>
      </c>
      <c r="P132" s="160">
        <f>Grid!BL104</f>
        <v/>
      </c>
      <c r="Q132" s="162">
        <f>IF(Grid!$D104="","",INDEX(Grid!$F$2:$AG$2,Grid!$D104))</f>
        <v/>
      </c>
      <c r="R132" s="158">
        <f>IF(Grid!$D104="","",INDEX(Grid!$F104:$AG104,Grid!$D104))</f>
        <v/>
      </c>
      <c r="S132" s="160">
        <f>IF(Grid!$B104="","",IFERROR(TRIM(INDEX('BHP Site Access'!$G$3:$G$104,MATCH(LOWER(TRIM(INDEX('INPUT - Roster'!$D$1:$D$206,Grid!$B104)&amp;"")&amp;"|"&amp;TRIM(INDEX('INPUT - Roster'!$E$1:$E$206,Grid!$B104)&amp;"")),Calc!$AX$3:$AX$104,0))&amp;""),"Not listed"))</f>
        <v/>
      </c>
      <c r="T132" s="160">
        <f>IF(OR(Grid!$B104="",ISNUMBER(SEARCH("demob",E132))),"",IF(AND(UPPER(TRIM(J132&amp;""))="YES",UPPER(TRIM(K132&amp;""))="YES",UPPER(TRIM(L132&amp;""))="YES",LEFT(UPPER(M132),14)="QUALS COMPLETE"),"","GAP"))</f>
        <v/>
      </c>
      <c r="U132" s="163">
        <f>IF(Grid!$B104="",0,IF(AND(OR(Dashboard!$D$9="All",D132=Dashboard!$D$9),OR(Dashboard!$J$9="All",E132=Dashboard!$J$9)),1,0))</f>
        <v/>
      </c>
    </row>
    <row r="133">
      <c r="B133" s="160">
        <f>IF(Grid!$B105="","",103)</f>
        <v/>
      </c>
      <c r="C133" s="161">
        <f>IF(Grid!$B105="","",TRIM(INDEX('INPUT - Roster'!$F$1:$F$206,Grid!$B105)&amp;""))</f>
        <v/>
      </c>
      <c r="D133" s="158">
        <f>IF(Grid!$B105="","",TRIM(INDEX('INPUT - Roster'!$C$1:$C$206,Grid!$B105)&amp;""))</f>
        <v/>
      </c>
      <c r="E133" s="158">
        <f>IF(Grid!$B105="","",INDEX(Index!$C$2:$C$202,MATCH(Grid!$B105,Index!$A$2:$A$202,0)))</f>
        <v/>
      </c>
      <c r="F133" s="158">
        <f>IF(Grid!$B105="","",TRIM(INDEX('INPUT - Roster'!$H$1:$H$206,Grid!$B105)&amp;""))</f>
        <v/>
      </c>
      <c r="G133" s="160">
        <f>IF(Grid!$B105="","",TRIM(INDEX('INPUT - Roster'!$G$1:$G$206,Grid!$B105)&amp;""))</f>
        <v/>
      </c>
      <c r="H133" s="160">
        <f>IF(Grid!$B105="","",TRIM(INDEX('INPUT - Roster'!$R$1:$R$206,Grid!$B105)&amp;""))</f>
        <v/>
      </c>
      <c r="I133" s="160">
        <f>IF(Grid!$B105="","",TRIM(INDEX('INPUT - Roster'!$O$1:$O$206,Grid!$B105)&amp;""))</f>
        <v/>
      </c>
      <c r="J133" s="160">
        <f>IF(Grid!$B105="","",TRIM(INDEX('INPUT - Roster'!$J$1:$J$206,Grid!$B105)&amp;""))</f>
        <v/>
      </c>
      <c r="K133" s="160">
        <f>IF(Grid!$B105="","",TRIM(INDEX('INPUT - Roster'!$K$1:$K$206,Grid!$B105)&amp;""))</f>
        <v/>
      </c>
      <c r="L133" s="160">
        <f>IF(Grid!$B105="","",TRIM(INDEX('INPUT - Roster'!$L$1:$L$206,Grid!$B105)&amp;""))</f>
        <v/>
      </c>
      <c r="M133" s="160">
        <f>IF(Grid!$B105="","",TRIM(INDEX('INPUT - Roster'!$M$1:$M$206,Grid!$B105)&amp;""))</f>
        <v/>
      </c>
      <c r="N133" s="158">
        <f>Grid!F105</f>
        <v/>
      </c>
      <c r="O133" s="160">
        <f>Grid!AI105</f>
        <v/>
      </c>
      <c r="P133" s="160">
        <f>Grid!BL105</f>
        <v/>
      </c>
      <c r="Q133" s="162">
        <f>IF(Grid!$D105="","",INDEX(Grid!$F$2:$AG$2,Grid!$D105))</f>
        <v/>
      </c>
      <c r="R133" s="158">
        <f>IF(Grid!$D105="","",INDEX(Grid!$F105:$AG105,Grid!$D105))</f>
        <v/>
      </c>
      <c r="S133" s="160">
        <f>IF(Grid!$B105="","",IFERROR(TRIM(INDEX('BHP Site Access'!$G$3:$G$104,MATCH(LOWER(TRIM(INDEX('INPUT - Roster'!$D$1:$D$206,Grid!$B105)&amp;"")&amp;"|"&amp;TRIM(INDEX('INPUT - Roster'!$E$1:$E$206,Grid!$B105)&amp;"")),Calc!$AX$3:$AX$104,0))&amp;""),"Not listed"))</f>
        <v/>
      </c>
      <c r="T133" s="160">
        <f>IF(OR(Grid!$B105="",ISNUMBER(SEARCH("demob",E133))),"",IF(AND(UPPER(TRIM(J133&amp;""))="YES",UPPER(TRIM(K133&amp;""))="YES",UPPER(TRIM(L133&amp;""))="YES",LEFT(UPPER(M133),14)="QUALS COMPLETE"),"","GAP"))</f>
        <v/>
      </c>
      <c r="U133" s="163">
        <f>IF(Grid!$B105="",0,IF(AND(OR(Dashboard!$D$9="All",D133=Dashboard!$D$9),OR(Dashboard!$J$9="All",E133=Dashboard!$J$9)),1,0))</f>
        <v/>
      </c>
    </row>
    <row r="134">
      <c r="B134" s="160">
        <f>IF(Grid!$B106="","",104)</f>
        <v/>
      </c>
      <c r="C134" s="161">
        <f>IF(Grid!$B106="","",TRIM(INDEX('INPUT - Roster'!$F$1:$F$206,Grid!$B106)&amp;""))</f>
        <v/>
      </c>
      <c r="D134" s="158">
        <f>IF(Grid!$B106="","",TRIM(INDEX('INPUT - Roster'!$C$1:$C$206,Grid!$B106)&amp;""))</f>
        <v/>
      </c>
      <c r="E134" s="158">
        <f>IF(Grid!$B106="","",INDEX(Index!$C$2:$C$202,MATCH(Grid!$B106,Index!$A$2:$A$202,0)))</f>
        <v/>
      </c>
      <c r="F134" s="158">
        <f>IF(Grid!$B106="","",TRIM(INDEX('INPUT - Roster'!$H$1:$H$206,Grid!$B106)&amp;""))</f>
        <v/>
      </c>
      <c r="G134" s="160">
        <f>IF(Grid!$B106="","",TRIM(INDEX('INPUT - Roster'!$G$1:$G$206,Grid!$B106)&amp;""))</f>
        <v/>
      </c>
      <c r="H134" s="160">
        <f>IF(Grid!$B106="","",TRIM(INDEX('INPUT - Roster'!$R$1:$R$206,Grid!$B106)&amp;""))</f>
        <v/>
      </c>
      <c r="I134" s="160">
        <f>IF(Grid!$B106="","",TRIM(INDEX('INPUT - Roster'!$O$1:$O$206,Grid!$B106)&amp;""))</f>
        <v/>
      </c>
      <c r="J134" s="160">
        <f>IF(Grid!$B106="","",TRIM(INDEX('INPUT - Roster'!$J$1:$J$206,Grid!$B106)&amp;""))</f>
        <v/>
      </c>
      <c r="K134" s="160">
        <f>IF(Grid!$B106="","",TRIM(INDEX('INPUT - Roster'!$K$1:$K$206,Grid!$B106)&amp;""))</f>
        <v/>
      </c>
      <c r="L134" s="160">
        <f>IF(Grid!$B106="","",TRIM(INDEX('INPUT - Roster'!$L$1:$L$206,Grid!$B106)&amp;""))</f>
        <v/>
      </c>
      <c r="M134" s="160">
        <f>IF(Grid!$B106="","",TRIM(INDEX('INPUT - Roster'!$M$1:$M$206,Grid!$B106)&amp;""))</f>
        <v/>
      </c>
      <c r="N134" s="158">
        <f>Grid!F106</f>
        <v/>
      </c>
      <c r="O134" s="160">
        <f>Grid!AI106</f>
        <v/>
      </c>
      <c r="P134" s="160">
        <f>Grid!BL106</f>
        <v/>
      </c>
      <c r="Q134" s="162">
        <f>IF(Grid!$D106="","",INDEX(Grid!$F$2:$AG$2,Grid!$D106))</f>
        <v/>
      </c>
      <c r="R134" s="158">
        <f>IF(Grid!$D106="","",INDEX(Grid!$F106:$AG106,Grid!$D106))</f>
        <v/>
      </c>
      <c r="S134" s="160">
        <f>IF(Grid!$B106="","",IFERROR(TRIM(INDEX('BHP Site Access'!$G$3:$G$104,MATCH(LOWER(TRIM(INDEX('INPUT - Roster'!$D$1:$D$206,Grid!$B106)&amp;"")&amp;"|"&amp;TRIM(INDEX('INPUT - Roster'!$E$1:$E$206,Grid!$B106)&amp;"")),Calc!$AX$3:$AX$104,0))&amp;""),"Not listed"))</f>
        <v/>
      </c>
      <c r="T134" s="160">
        <f>IF(OR(Grid!$B106="",ISNUMBER(SEARCH("demob",E134))),"",IF(AND(UPPER(TRIM(J134&amp;""))="YES",UPPER(TRIM(K134&amp;""))="YES",UPPER(TRIM(L134&amp;""))="YES",LEFT(UPPER(M134),14)="QUALS COMPLETE"),"","GAP"))</f>
        <v/>
      </c>
      <c r="U134" s="163">
        <f>IF(Grid!$B106="",0,IF(AND(OR(Dashboard!$D$9="All",D134=Dashboard!$D$9),OR(Dashboard!$J$9="All",E134=Dashboard!$J$9)),1,0))</f>
        <v/>
      </c>
    </row>
    <row r="135">
      <c r="B135" s="160">
        <f>IF(Grid!$B107="","",105)</f>
        <v/>
      </c>
      <c r="C135" s="161">
        <f>IF(Grid!$B107="","",TRIM(INDEX('INPUT - Roster'!$F$1:$F$206,Grid!$B107)&amp;""))</f>
        <v/>
      </c>
      <c r="D135" s="158">
        <f>IF(Grid!$B107="","",TRIM(INDEX('INPUT - Roster'!$C$1:$C$206,Grid!$B107)&amp;""))</f>
        <v/>
      </c>
      <c r="E135" s="158">
        <f>IF(Grid!$B107="","",INDEX(Index!$C$2:$C$202,MATCH(Grid!$B107,Index!$A$2:$A$202,0)))</f>
        <v/>
      </c>
      <c r="F135" s="158">
        <f>IF(Grid!$B107="","",TRIM(INDEX('INPUT - Roster'!$H$1:$H$206,Grid!$B107)&amp;""))</f>
        <v/>
      </c>
      <c r="G135" s="160">
        <f>IF(Grid!$B107="","",TRIM(INDEX('INPUT - Roster'!$G$1:$G$206,Grid!$B107)&amp;""))</f>
        <v/>
      </c>
      <c r="H135" s="160">
        <f>IF(Grid!$B107="","",TRIM(INDEX('INPUT - Roster'!$R$1:$R$206,Grid!$B107)&amp;""))</f>
        <v/>
      </c>
      <c r="I135" s="160">
        <f>IF(Grid!$B107="","",TRIM(INDEX('INPUT - Roster'!$O$1:$O$206,Grid!$B107)&amp;""))</f>
        <v/>
      </c>
      <c r="J135" s="160">
        <f>IF(Grid!$B107="","",TRIM(INDEX('INPUT - Roster'!$J$1:$J$206,Grid!$B107)&amp;""))</f>
        <v/>
      </c>
      <c r="K135" s="160">
        <f>IF(Grid!$B107="","",TRIM(INDEX('INPUT - Roster'!$K$1:$K$206,Grid!$B107)&amp;""))</f>
        <v/>
      </c>
      <c r="L135" s="160">
        <f>IF(Grid!$B107="","",TRIM(INDEX('INPUT - Roster'!$L$1:$L$206,Grid!$B107)&amp;""))</f>
        <v/>
      </c>
      <c r="M135" s="160">
        <f>IF(Grid!$B107="","",TRIM(INDEX('INPUT - Roster'!$M$1:$M$206,Grid!$B107)&amp;""))</f>
        <v/>
      </c>
      <c r="N135" s="158">
        <f>Grid!F107</f>
        <v/>
      </c>
      <c r="O135" s="160">
        <f>Grid!AI107</f>
        <v/>
      </c>
      <c r="P135" s="160">
        <f>Grid!BL107</f>
        <v/>
      </c>
      <c r="Q135" s="162">
        <f>IF(Grid!$D107="","",INDEX(Grid!$F$2:$AG$2,Grid!$D107))</f>
        <v/>
      </c>
      <c r="R135" s="158">
        <f>IF(Grid!$D107="","",INDEX(Grid!$F107:$AG107,Grid!$D107))</f>
        <v/>
      </c>
      <c r="S135" s="160">
        <f>IF(Grid!$B107="","",IFERROR(TRIM(INDEX('BHP Site Access'!$G$3:$G$104,MATCH(LOWER(TRIM(INDEX('INPUT - Roster'!$D$1:$D$206,Grid!$B107)&amp;"")&amp;"|"&amp;TRIM(INDEX('INPUT - Roster'!$E$1:$E$206,Grid!$B107)&amp;"")),Calc!$AX$3:$AX$104,0))&amp;""),"Not listed"))</f>
        <v/>
      </c>
      <c r="T135" s="160">
        <f>IF(OR(Grid!$B107="",ISNUMBER(SEARCH("demob",E135))),"",IF(AND(UPPER(TRIM(J135&amp;""))="YES",UPPER(TRIM(K135&amp;""))="YES",UPPER(TRIM(L135&amp;""))="YES",LEFT(UPPER(M135),14)="QUALS COMPLETE"),"","GAP"))</f>
        <v/>
      </c>
      <c r="U135" s="163">
        <f>IF(Grid!$B107="",0,IF(AND(OR(Dashboard!$D$9="All",D135=Dashboard!$D$9),OR(Dashboard!$J$9="All",E135=Dashboard!$J$9)),1,0))</f>
        <v/>
      </c>
    </row>
    <row r="136">
      <c r="B136" s="160">
        <f>IF(Grid!$B108="","",106)</f>
        <v/>
      </c>
      <c r="C136" s="161">
        <f>IF(Grid!$B108="","",TRIM(INDEX('INPUT - Roster'!$F$1:$F$206,Grid!$B108)&amp;""))</f>
        <v/>
      </c>
      <c r="D136" s="158">
        <f>IF(Grid!$B108="","",TRIM(INDEX('INPUT - Roster'!$C$1:$C$206,Grid!$B108)&amp;""))</f>
        <v/>
      </c>
      <c r="E136" s="158">
        <f>IF(Grid!$B108="","",INDEX(Index!$C$2:$C$202,MATCH(Grid!$B108,Index!$A$2:$A$202,0)))</f>
        <v/>
      </c>
      <c r="F136" s="158">
        <f>IF(Grid!$B108="","",TRIM(INDEX('INPUT - Roster'!$H$1:$H$206,Grid!$B108)&amp;""))</f>
        <v/>
      </c>
      <c r="G136" s="160">
        <f>IF(Grid!$B108="","",TRIM(INDEX('INPUT - Roster'!$G$1:$G$206,Grid!$B108)&amp;""))</f>
        <v/>
      </c>
      <c r="H136" s="160">
        <f>IF(Grid!$B108="","",TRIM(INDEX('INPUT - Roster'!$R$1:$R$206,Grid!$B108)&amp;""))</f>
        <v/>
      </c>
      <c r="I136" s="160">
        <f>IF(Grid!$B108="","",TRIM(INDEX('INPUT - Roster'!$O$1:$O$206,Grid!$B108)&amp;""))</f>
        <v/>
      </c>
      <c r="J136" s="160">
        <f>IF(Grid!$B108="","",TRIM(INDEX('INPUT - Roster'!$J$1:$J$206,Grid!$B108)&amp;""))</f>
        <v/>
      </c>
      <c r="K136" s="160">
        <f>IF(Grid!$B108="","",TRIM(INDEX('INPUT - Roster'!$K$1:$K$206,Grid!$B108)&amp;""))</f>
        <v/>
      </c>
      <c r="L136" s="160">
        <f>IF(Grid!$B108="","",TRIM(INDEX('INPUT - Roster'!$L$1:$L$206,Grid!$B108)&amp;""))</f>
        <v/>
      </c>
      <c r="M136" s="160">
        <f>IF(Grid!$B108="","",TRIM(INDEX('INPUT - Roster'!$M$1:$M$206,Grid!$B108)&amp;""))</f>
        <v/>
      </c>
      <c r="N136" s="158">
        <f>Grid!F108</f>
        <v/>
      </c>
      <c r="O136" s="160">
        <f>Grid!AI108</f>
        <v/>
      </c>
      <c r="P136" s="160">
        <f>Grid!BL108</f>
        <v/>
      </c>
      <c r="Q136" s="162">
        <f>IF(Grid!$D108="","",INDEX(Grid!$F$2:$AG$2,Grid!$D108))</f>
        <v/>
      </c>
      <c r="R136" s="158">
        <f>IF(Grid!$D108="","",INDEX(Grid!$F108:$AG108,Grid!$D108))</f>
        <v/>
      </c>
      <c r="S136" s="160">
        <f>IF(Grid!$B108="","",IFERROR(TRIM(INDEX('BHP Site Access'!$G$3:$G$104,MATCH(LOWER(TRIM(INDEX('INPUT - Roster'!$D$1:$D$206,Grid!$B108)&amp;"")&amp;"|"&amp;TRIM(INDEX('INPUT - Roster'!$E$1:$E$206,Grid!$B108)&amp;"")),Calc!$AX$3:$AX$104,0))&amp;""),"Not listed"))</f>
        <v/>
      </c>
      <c r="T136" s="160">
        <f>IF(OR(Grid!$B108="",ISNUMBER(SEARCH("demob",E136))),"",IF(AND(UPPER(TRIM(J136&amp;""))="YES",UPPER(TRIM(K136&amp;""))="YES",UPPER(TRIM(L136&amp;""))="YES",LEFT(UPPER(M136),14)="QUALS COMPLETE"),"","GAP"))</f>
        <v/>
      </c>
      <c r="U136" s="163">
        <f>IF(Grid!$B108="",0,IF(AND(OR(Dashboard!$D$9="All",D136=Dashboard!$D$9),OR(Dashboard!$J$9="All",E136=Dashboard!$J$9)),1,0))</f>
        <v/>
      </c>
    </row>
    <row r="137">
      <c r="B137" s="160">
        <f>IF(Grid!$B109="","",107)</f>
        <v/>
      </c>
      <c r="C137" s="161">
        <f>IF(Grid!$B109="","",TRIM(INDEX('INPUT - Roster'!$F$1:$F$206,Grid!$B109)&amp;""))</f>
        <v/>
      </c>
      <c r="D137" s="158">
        <f>IF(Grid!$B109="","",TRIM(INDEX('INPUT - Roster'!$C$1:$C$206,Grid!$B109)&amp;""))</f>
        <v/>
      </c>
      <c r="E137" s="158">
        <f>IF(Grid!$B109="","",INDEX(Index!$C$2:$C$202,MATCH(Grid!$B109,Index!$A$2:$A$202,0)))</f>
        <v/>
      </c>
      <c r="F137" s="158">
        <f>IF(Grid!$B109="","",TRIM(INDEX('INPUT - Roster'!$H$1:$H$206,Grid!$B109)&amp;""))</f>
        <v/>
      </c>
      <c r="G137" s="160">
        <f>IF(Grid!$B109="","",TRIM(INDEX('INPUT - Roster'!$G$1:$G$206,Grid!$B109)&amp;""))</f>
        <v/>
      </c>
      <c r="H137" s="160">
        <f>IF(Grid!$B109="","",TRIM(INDEX('INPUT - Roster'!$R$1:$R$206,Grid!$B109)&amp;""))</f>
        <v/>
      </c>
      <c r="I137" s="160">
        <f>IF(Grid!$B109="","",TRIM(INDEX('INPUT - Roster'!$O$1:$O$206,Grid!$B109)&amp;""))</f>
        <v/>
      </c>
      <c r="J137" s="160">
        <f>IF(Grid!$B109="","",TRIM(INDEX('INPUT - Roster'!$J$1:$J$206,Grid!$B109)&amp;""))</f>
        <v/>
      </c>
      <c r="K137" s="160">
        <f>IF(Grid!$B109="","",TRIM(INDEX('INPUT - Roster'!$K$1:$K$206,Grid!$B109)&amp;""))</f>
        <v/>
      </c>
      <c r="L137" s="160">
        <f>IF(Grid!$B109="","",TRIM(INDEX('INPUT - Roster'!$L$1:$L$206,Grid!$B109)&amp;""))</f>
        <v/>
      </c>
      <c r="M137" s="160">
        <f>IF(Grid!$B109="","",TRIM(INDEX('INPUT - Roster'!$M$1:$M$206,Grid!$B109)&amp;""))</f>
        <v/>
      </c>
      <c r="N137" s="158">
        <f>Grid!F109</f>
        <v/>
      </c>
      <c r="O137" s="160">
        <f>Grid!AI109</f>
        <v/>
      </c>
      <c r="P137" s="160">
        <f>Grid!BL109</f>
        <v/>
      </c>
      <c r="Q137" s="162">
        <f>IF(Grid!$D109="","",INDEX(Grid!$F$2:$AG$2,Grid!$D109))</f>
        <v/>
      </c>
      <c r="R137" s="158">
        <f>IF(Grid!$D109="","",INDEX(Grid!$F109:$AG109,Grid!$D109))</f>
        <v/>
      </c>
      <c r="S137" s="160">
        <f>IF(Grid!$B109="","",IFERROR(TRIM(INDEX('BHP Site Access'!$G$3:$G$104,MATCH(LOWER(TRIM(INDEX('INPUT - Roster'!$D$1:$D$206,Grid!$B109)&amp;"")&amp;"|"&amp;TRIM(INDEX('INPUT - Roster'!$E$1:$E$206,Grid!$B109)&amp;"")),Calc!$AX$3:$AX$104,0))&amp;""),"Not listed"))</f>
        <v/>
      </c>
      <c r="T137" s="160">
        <f>IF(OR(Grid!$B109="",ISNUMBER(SEARCH("demob",E137))),"",IF(AND(UPPER(TRIM(J137&amp;""))="YES",UPPER(TRIM(K137&amp;""))="YES",UPPER(TRIM(L137&amp;""))="YES",LEFT(UPPER(M137),14)="QUALS COMPLETE"),"","GAP"))</f>
        <v/>
      </c>
      <c r="U137" s="163">
        <f>IF(Grid!$B109="",0,IF(AND(OR(Dashboard!$D$9="All",D137=Dashboard!$D$9),OR(Dashboard!$J$9="All",E137=Dashboard!$J$9)),1,0))</f>
        <v/>
      </c>
    </row>
    <row r="138">
      <c r="B138" s="160">
        <f>IF(Grid!$B110="","",108)</f>
        <v/>
      </c>
      <c r="C138" s="161">
        <f>IF(Grid!$B110="","",TRIM(INDEX('INPUT - Roster'!$F$1:$F$206,Grid!$B110)&amp;""))</f>
        <v/>
      </c>
      <c r="D138" s="158">
        <f>IF(Grid!$B110="","",TRIM(INDEX('INPUT - Roster'!$C$1:$C$206,Grid!$B110)&amp;""))</f>
        <v/>
      </c>
      <c r="E138" s="158">
        <f>IF(Grid!$B110="","",INDEX(Index!$C$2:$C$202,MATCH(Grid!$B110,Index!$A$2:$A$202,0)))</f>
        <v/>
      </c>
      <c r="F138" s="158">
        <f>IF(Grid!$B110="","",TRIM(INDEX('INPUT - Roster'!$H$1:$H$206,Grid!$B110)&amp;""))</f>
        <v/>
      </c>
      <c r="G138" s="160">
        <f>IF(Grid!$B110="","",TRIM(INDEX('INPUT - Roster'!$G$1:$G$206,Grid!$B110)&amp;""))</f>
        <v/>
      </c>
      <c r="H138" s="160">
        <f>IF(Grid!$B110="","",TRIM(INDEX('INPUT - Roster'!$R$1:$R$206,Grid!$B110)&amp;""))</f>
        <v/>
      </c>
      <c r="I138" s="160">
        <f>IF(Grid!$B110="","",TRIM(INDEX('INPUT - Roster'!$O$1:$O$206,Grid!$B110)&amp;""))</f>
        <v/>
      </c>
      <c r="J138" s="160">
        <f>IF(Grid!$B110="","",TRIM(INDEX('INPUT - Roster'!$J$1:$J$206,Grid!$B110)&amp;""))</f>
        <v/>
      </c>
      <c r="K138" s="160">
        <f>IF(Grid!$B110="","",TRIM(INDEX('INPUT - Roster'!$K$1:$K$206,Grid!$B110)&amp;""))</f>
        <v/>
      </c>
      <c r="L138" s="160">
        <f>IF(Grid!$B110="","",TRIM(INDEX('INPUT - Roster'!$L$1:$L$206,Grid!$B110)&amp;""))</f>
        <v/>
      </c>
      <c r="M138" s="160">
        <f>IF(Grid!$B110="","",TRIM(INDEX('INPUT - Roster'!$M$1:$M$206,Grid!$B110)&amp;""))</f>
        <v/>
      </c>
      <c r="N138" s="158">
        <f>Grid!F110</f>
        <v/>
      </c>
      <c r="O138" s="160">
        <f>Grid!AI110</f>
        <v/>
      </c>
      <c r="P138" s="160">
        <f>Grid!BL110</f>
        <v/>
      </c>
      <c r="Q138" s="162">
        <f>IF(Grid!$D110="","",INDEX(Grid!$F$2:$AG$2,Grid!$D110))</f>
        <v/>
      </c>
      <c r="R138" s="158">
        <f>IF(Grid!$D110="","",INDEX(Grid!$F110:$AG110,Grid!$D110))</f>
        <v/>
      </c>
      <c r="S138" s="160">
        <f>IF(Grid!$B110="","",IFERROR(TRIM(INDEX('BHP Site Access'!$G$3:$G$104,MATCH(LOWER(TRIM(INDEX('INPUT - Roster'!$D$1:$D$206,Grid!$B110)&amp;"")&amp;"|"&amp;TRIM(INDEX('INPUT - Roster'!$E$1:$E$206,Grid!$B110)&amp;"")),Calc!$AX$3:$AX$104,0))&amp;""),"Not listed"))</f>
        <v/>
      </c>
      <c r="T138" s="160">
        <f>IF(OR(Grid!$B110="",ISNUMBER(SEARCH("demob",E138))),"",IF(AND(UPPER(TRIM(J138&amp;""))="YES",UPPER(TRIM(K138&amp;""))="YES",UPPER(TRIM(L138&amp;""))="YES",LEFT(UPPER(M138),14)="QUALS COMPLETE"),"","GAP"))</f>
        <v/>
      </c>
      <c r="U138" s="163">
        <f>IF(Grid!$B110="",0,IF(AND(OR(Dashboard!$D$9="All",D138=Dashboard!$D$9),OR(Dashboard!$J$9="All",E138=Dashboard!$J$9)),1,0))</f>
        <v/>
      </c>
    </row>
    <row r="139">
      <c r="B139" s="160">
        <f>IF(Grid!$B111="","",109)</f>
        <v/>
      </c>
      <c r="C139" s="161">
        <f>IF(Grid!$B111="","",TRIM(INDEX('INPUT - Roster'!$F$1:$F$206,Grid!$B111)&amp;""))</f>
        <v/>
      </c>
      <c r="D139" s="158">
        <f>IF(Grid!$B111="","",TRIM(INDEX('INPUT - Roster'!$C$1:$C$206,Grid!$B111)&amp;""))</f>
        <v/>
      </c>
      <c r="E139" s="158">
        <f>IF(Grid!$B111="","",INDEX(Index!$C$2:$C$202,MATCH(Grid!$B111,Index!$A$2:$A$202,0)))</f>
        <v/>
      </c>
      <c r="F139" s="158">
        <f>IF(Grid!$B111="","",TRIM(INDEX('INPUT - Roster'!$H$1:$H$206,Grid!$B111)&amp;""))</f>
        <v/>
      </c>
      <c r="G139" s="160">
        <f>IF(Grid!$B111="","",TRIM(INDEX('INPUT - Roster'!$G$1:$G$206,Grid!$B111)&amp;""))</f>
        <v/>
      </c>
      <c r="H139" s="160">
        <f>IF(Grid!$B111="","",TRIM(INDEX('INPUT - Roster'!$R$1:$R$206,Grid!$B111)&amp;""))</f>
        <v/>
      </c>
      <c r="I139" s="160">
        <f>IF(Grid!$B111="","",TRIM(INDEX('INPUT - Roster'!$O$1:$O$206,Grid!$B111)&amp;""))</f>
        <v/>
      </c>
      <c r="J139" s="160">
        <f>IF(Grid!$B111="","",TRIM(INDEX('INPUT - Roster'!$J$1:$J$206,Grid!$B111)&amp;""))</f>
        <v/>
      </c>
      <c r="K139" s="160">
        <f>IF(Grid!$B111="","",TRIM(INDEX('INPUT - Roster'!$K$1:$K$206,Grid!$B111)&amp;""))</f>
        <v/>
      </c>
      <c r="L139" s="160">
        <f>IF(Grid!$B111="","",TRIM(INDEX('INPUT - Roster'!$L$1:$L$206,Grid!$B111)&amp;""))</f>
        <v/>
      </c>
      <c r="M139" s="160">
        <f>IF(Grid!$B111="","",TRIM(INDEX('INPUT - Roster'!$M$1:$M$206,Grid!$B111)&amp;""))</f>
        <v/>
      </c>
      <c r="N139" s="158">
        <f>Grid!F111</f>
        <v/>
      </c>
      <c r="O139" s="160">
        <f>Grid!AI111</f>
        <v/>
      </c>
      <c r="P139" s="160">
        <f>Grid!BL111</f>
        <v/>
      </c>
      <c r="Q139" s="162">
        <f>IF(Grid!$D111="","",INDEX(Grid!$F$2:$AG$2,Grid!$D111))</f>
        <v/>
      </c>
      <c r="R139" s="158">
        <f>IF(Grid!$D111="","",INDEX(Grid!$F111:$AG111,Grid!$D111))</f>
        <v/>
      </c>
      <c r="S139" s="160">
        <f>IF(Grid!$B111="","",IFERROR(TRIM(INDEX('BHP Site Access'!$G$3:$G$104,MATCH(LOWER(TRIM(INDEX('INPUT - Roster'!$D$1:$D$206,Grid!$B111)&amp;"")&amp;"|"&amp;TRIM(INDEX('INPUT - Roster'!$E$1:$E$206,Grid!$B111)&amp;"")),Calc!$AX$3:$AX$104,0))&amp;""),"Not listed"))</f>
        <v/>
      </c>
      <c r="T139" s="160">
        <f>IF(OR(Grid!$B111="",ISNUMBER(SEARCH("demob",E139))),"",IF(AND(UPPER(TRIM(J139&amp;""))="YES",UPPER(TRIM(K139&amp;""))="YES",UPPER(TRIM(L139&amp;""))="YES",LEFT(UPPER(M139),14)="QUALS COMPLETE"),"","GAP"))</f>
        <v/>
      </c>
      <c r="U139" s="163">
        <f>IF(Grid!$B111="",0,IF(AND(OR(Dashboard!$D$9="All",D139=Dashboard!$D$9),OR(Dashboard!$J$9="All",E139=Dashboard!$J$9)),1,0))</f>
        <v/>
      </c>
    </row>
    <row r="140">
      <c r="B140" s="160">
        <f>IF(Grid!$B112="","",110)</f>
        <v/>
      </c>
      <c r="C140" s="161">
        <f>IF(Grid!$B112="","",TRIM(INDEX('INPUT - Roster'!$F$1:$F$206,Grid!$B112)&amp;""))</f>
        <v/>
      </c>
      <c r="D140" s="158">
        <f>IF(Grid!$B112="","",TRIM(INDEX('INPUT - Roster'!$C$1:$C$206,Grid!$B112)&amp;""))</f>
        <v/>
      </c>
      <c r="E140" s="158">
        <f>IF(Grid!$B112="","",INDEX(Index!$C$2:$C$202,MATCH(Grid!$B112,Index!$A$2:$A$202,0)))</f>
        <v/>
      </c>
      <c r="F140" s="158">
        <f>IF(Grid!$B112="","",TRIM(INDEX('INPUT - Roster'!$H$1:$H$206,Grid!$B112)&amp;""))</f>
        <v/>
      </c>
      <c r="G140" s="160">
        <f>IF(Grid!$B112="","",TRIM(INDEX('INPUT - Roster'!$G$1:$G$206,Grid!$B112)&amp;""))</f>
        <v/>
      </c>
      <c r="H140" s="160">
        <f>IF(Grid!$B112="","",TRIM(INDEX('INPUT - Roster'!$R$1:$R$206,Grid!$B112)&amp;""))</f>
        <v/>
      </c>
      <c r="I140" s="160">
        <f>IF(Grid!$B112="","",TRIM(INDEX('INPUT - Roster'!$O$1:$O$206,Grid!$B112)&amp;""))</f>
        <v/>
      </c>
      <c r="J140" s="160">
        <f>IF(Grid!$B112="","",TRIM(INDEX('INPUT - Roster'!$J$1:$J$206,Grid!$B112)&amp;""))</f>
        <v/>
      </c>
      <c r="K140" s="160">
        <f>IF(Grid!$B112="","",TRIM(INDEX('INPUT - Roster'!$K$1:$K$206,Grid!$B112)&amp;""))</f>
        <v/>
      </c>
      <c r="L140" s="160">
        <f>IF(Grid!$B112="","",TRIM(INDEX('INPUT - Roster'!$L$1:$L$206,Grid!$B112)&amp;""))</f>
        <v/>
      </c>
      <c r="M140" s="160">
        <f>IF(Grid!$B112="","",TRIM(INDEX('INPUT - Roster'!$M$1:$M$206,Grid!$B112)&amp;""))</f>
        <v/>
      </c>
      <c r="N140" s="158">
        <f>Grid!F112</f>
        <v/>
      </c>
      <c r="O140" s="160">
        <f>Grid!AI112</f>
        <v/>
      </c>
      <c r="P140" s="160">
        <f>Grid!BL112</f>
        <v/>
      </c>
      <c r="Q140" s="162">
        <f>IF(Grid!$D112="","",INDEX(Grid!$F$2:$AG$2,Grid!$D112))</f>
        <v/>
      </c>
      <c r="R140" s="158">
        <f>IF(Grid!$D112="","",INDEX(Grid!$F112:$AG112,Grid!$D112))</f>
        <v/>
      </c>
      <c r="S140" s="160">
        <f>IF(Grid!$B112="","",IFERROR(TRIM(INDEX('BHP Site Access'!$G$3:$G$104,MATCH(LOWER(TRIM(INDEX('INPUT - Roster'!$D$1:$D$206,Grid!$B112)&amp;"")&amp;"|"&amp;TRIM(INDEX('INPUT - Roster'!$E$1:$E$206,Grid!$B112)&amp;"")),Calc!$AX$3:$AX$104,0))&amp;""),"Not listed"))</f>
        <v/>
      </c>
      <c r="T140" s="160">
        <f>IF(OR(Grid!$B112="",ISNUMBER(SEARCH("demob",E140))),"",IF(AND(UPPER(TRIM(J140&amp;""))="YES",UPPER(TRIM(K140&amp;""))="YES",UPPER(TRIM(L140&amp;""))="YES",LEFT(UPPER(M140),14)="QUALS COMPLETE"),"","GAP"))</f>
        <v/>
      </c>
      <c r="U140" s="163">
        <f>IF(Grid!$B112="",0,IF(AND(OR(Dashboard!$D$9="All",D140=Dashboard!$D$9),OR(Dashboard!$J$9="All",E140=Dashboard!$J$9)),1,0))</f>
        <v/>
      </c>
    </row>
    <row r="141">
      <c r="B141" s="160">
        <f>IF(Grid!$B113="","",111)</f>
        <v/>
      </c>
      <c r="C141" s="161">
        <f>IF(Grid!$B113="","",TRIM(INDEX('INPUT - Roster'!$F$1:$F$206,Grid!$B113)&amp;""))</f>
        <v/>
      </c>
      <c r="D141" s="158">
        <f>IF(Grid!$B113="","",TRIM(INDEX('INPUT - Roster'!$C$1:$C$206,Grid!$B113)&amp;""))</f>
        <v/>
      </c>
      <c r="E141" s="158">
        <f>IF(Grid!$B113="","",INDEX(Index!$C$2:$C$202,MATCH(Grid!$B113,Index!$A$2:$A$202,0)))</f>
        <v/>
      </c>
      <c r="F141" s="158">
        <f>IF(Grid!$B113="","",TRIM(INDEX('INPUT - Roster'!$H$1:$H$206,Grid!$B113)&amp;""))</f>
        <v/>
      </c>
      <c r="G141" s="160">
        <f>IF(Grid!$B113="","",TRIM(INDEX('INPUT - Roster'!$G$1:$G$206,Grid!$B113)&amp;""))</f>
        <v/>
      </c>
      <c r="H141" s="160">
        <f>IF(Grid!$B113="","",TRIM(INDEX('INPUT - Roster'!$R$1:$R$206,Grid!$B113)&amp;""))</f>
        <v/>
      </c>
      <c r="I141" s="160">
        <f>IF(Grid!$B113="","",TRIM(INDEX('INPUT - Roster'!$O$1:$O$206,Grid!$B113)&amp;""))</f>
        <v/>
      </c>
      <c r="J141" s="160">
        <f>IF(Grid!$B113="","",TRIM(INDEX('INPUT - Roster'!$J$1:$J$206,Grid!$B113)&amp;""))</f>
        <v/>
      </c>
      <c r="K141" s="160">
        <f>IF(Grid!$B113="","",TRIM(INDEX('INPUT - Roster'!$K$1:$K$206,Grid!$B113)&amp;""))</f>
        <v/>
      </c>
      <c r="L141" s="160">
        <f>IF(Grid!$B113="","",TRIM(INDEX('INPUT - Roster'!$L$1:$L$206,Grid!$B113)&amp;""))</f>
        <v/>
      </c>
      <c r="M141" s="160">
        <f>IF(Grid!$B113="","",TRIM(INDEX('INPUT - Roster'!$M$1:$M$206,Grid!$B113)&amp;""))</f>
        <v/>
      </c>
      <c r="N141" s="158">
        <f>Grid!F113</f>
        <v/>
      </c>
      <c r="O141" s="160">
        <f>Grid!AI113</f>
        <v/>
      </c>
      <c r="P141" s="160">
        <f>Grid!BL113</f>
        <v/>
      </c>
      <c r="Q141" s="162">
        <f>IF(Grid!$D113="","",INDEX(Grid!$F$2:$AG$2,Grid!$D113))</f>
        <v/>
      </c>
      <c r="R141" s="158">
        <f>IF(Grid!$D113="","",INDEX(Grid!$F113:$AG113,Grid!$D113))</f>
        <v/>
      </c>
      <c r="S141" s="160">
        <f>IF(Grid!$B113="","",IFERROR(TRIM(INDEX('BHP Site Access'!$G$3:$G$104,MATCH(LOWER(TRIM(INDEX('INPUT - Roster'!$D$1:$D$206,Grid!$B113)&amp;"")&amp;"|"&amp;TRIM(INDEX('INPUT - Roster'!$E$1:$E$206,Grid!$B113)&amp;"")),Calc!$AX$3:$AX$104,0))&amp;""),"Not listed"))</f>
        <v/>
      </c>
      <c r="T141" s="160">
        <f>IF(OR(Grid!$B113="",ISNUMBER(SEARCH("demob",E141))),"",IF(AND(UPPER(TRIM(J141&amp;""))="YES",UPPER(TRIM(K141&amp;""))="YES",UPPER(TRIM(L141&amp;""))="YES",LEFT(UPPER(M141),14)="QUALS COMPLETE"),"","GAP"))</f>
        <v/>
      </c>
      <c r="U141" s="163">
        <f>IF(Grid!$B113="",0,IF(AND(OR(Dashboard!$D$9="All",D141=Dashboard!$D$9),OR(Dashboard!$J$9="All",E141=Dashboard!$J$9)),1,0))</f>
        <v/>
      </c>
    </row>
    <row r="142">
      <c r="B142" s="160">
        <f>IF(Grid!$B114="","",112)</f>
        <v/>
      </c>
      <c r="C142" s="161">
        <f>IF(Grid!$B114="","",TRIM(INDEX('INPUT - Roster'!$F$1:$F$206,Grid!$B114)&amp;""))</f>
        <v/>
      </c>
      <c r="D142" s="158">
        <f>IF(Grid!$B114="","",TRIM(INDEX('INPUT - Roster'!$C$1:$C$206,Grid!$B114)&amp;""))</f>
        <v/>
      </c>
      <c r="E142" s="158">
        <f>IF(Grid!$B114="","",INDEX(Index!$C$2:$C$202,MATCH(Grid!$B114,Index!$A$2:$A$202,0)))</f>
        <v/>
      </c>
      <c r="F142" s="158">
        <f>IF(Grid!$B114="","",TRIM(INDEX('INPUT - Roster'!$H$1:$H$206,Grid!$B114)&amp;""))</f>
        <v/>
      </c>
      <c r="G142" s="160">
        <f>IF(Grid!$B114="","",TRIM(INDEX('INPUT - Roster'!$G$1:$G$206,Grid!$B114)&amp;""))</f>
        <v/>
      </c>
      <c r="H142" s="160">
        <f>IF(Grid!$B114="","",TRIM(INDEX('INPUT - Roster'!$R$1:$R$206,Grid!$B114)&amp;""))</f>
        <v/>
      </c>
      <c r="I142" s="160">
        <f>IF(Grid!$B114="","",TRIM(INDEX('INPUT - Roster'!$O$1:$O$206,Grid!$B114)&amp;""))</f>
        <v/>
      </c>
      <c r="J142" s="160">
        <f>IF(Grid!$B114="","",TRIM(INDEX('INPUT - Roster'!$J$1:$J$206,Grid!$B114)&amp;""))</f>
        <v/>
      </c>
      <c r="K142" s="160">
        <f>IF(Grid!$B114="","",TRIM(INDEX('INPUT - Roster'!$K$1:$K$206,Grid!$B114)&amp;""))</f>
        <v/>
      </c>
      <c r="L142" s="160">
        <f>IF(Grid!$B114="","",TRIM(INDEX('INPUT - Roster'!$L$1:$L$206,Grid!$B114)&amp;""))</f>
        <v/>
      </c>
      <c r="M142" s="160">
        <f>IF(Grid!$B114="","",TRIM(INDEX('INPUT - Roster'!$M$1:$M$206,Grid!$B114)&amp;""))</f>
        <v/>
      </c>
      <c r="N142" s="158">
        <f>Grid!F114</f>
        <v/>
      </c>
      <c r="O142" s="160">
        <f>Grid!AI114</f>
        <v/>
      </c>
      <c r="P142" s="160">
        <f>Grid!BL114</f>
        <v/>
      </c>
      <c r="Q142" s="162">
        <f>IF(Grid!$D114="","",INDEX(Grid!$F$2:$AG$2,Grid!$D114))</f>
        <v/>
      </c>
      <c r="R142" s="158">
        <f>IF(Grid!$D114="","",INDEX(Grid!$F114:$AG114,Grid!$D114))</f>
        <v/>
      </c>
      <c r="S142" s="160">
        <f>IF(Grid!$B114="","",IFERROR(TRIM(INDEX('BHP Site Access'!$G$3:$G$104,MATCH(LOWER(TRIM(INDEX('INPUT - Roster'!$D$1:$D$206,Grid!$B114)&amp;"")&amp;"|"&amp;TRIM(INDEX('INPUT - Roster'!$E$1:$E$206,Grid!$B114)&amp;"")),Calc!$AX$3:$AX$104,0))&amp;""),"Not listed"))</f>
        <v/>
      </c>
      <c r="T142" s="160">
        <f>IF(OR(Grid!$B114="",ISNUMBER(SEARCH("demob",E142))),"",IF(AND(UPPER(TRIM(J142&amp;""))="YES",UPPER(TRIM(K142&amp;""))="YES",UPPER(TRIM(L142&amp;""))="YES",LEFT(UPPER(M142),14)="QUALS COMPLETE"),"","GAP"))</f>
        <v/>
      </c>
      <c r="U142" s="163">
        <f>IF(Grid!$B114="",0,IF(AND(OR(Dashboard!$D$9="All",D142=Dashboard!$D$9),OR(Dashboard!$J$9="All",E142=Dashboard!$J$9)),1,0))</f>
        <v/>
      </c>
    </row>
    <row r="143">
      <c r="B143" s="160">
        <f>IF(Grid!$B115="","",113)</f>
        <v/>
      </c>
      <c r="C143" s="161">
        <f>IF(Grid!$B115="","",TRIM(INDEX('INPUT - Roster'!$F$1:$F$206,Grid!$B115)&amp;""))</f>
        <v/>
      </c>
      <c r="D143" s="158">
        <f>IF(Grid!$B115="","",TRIM(INDEX('INPUT - Roster'!$C$1:$C$206,Grid!$B115)&amp;""))</f>
        <v/>
      </c>
      <c r="E143" s="158">
        <f>IF(Grid!$B115="","",INDEX(Index!$C$2:$C$202,MATCH(Grid!$B115,Index!$A$2:$A$202,0)))</f>
        <v/>
      </c>
      <c r="F143" s="158">
        <f>IF(Grid!$B115="","",TRIM(INDEX('INPUT - Roster'!$H$1:$H$206,Grid!$B115)&amp;""))</f>
        <v/>
      </c>
      <c r="G143" s="160">
        <f>IF(Grid!$B115="","",TRIM(INDEX('INPUT - Roster'!$G$1:$G$206,Grid!$B115)&amp;""))</f>
        <v/>
      </c>
      <c r="H143" s="160">
        <f>IF(Grid!$B115="","",TRIM(INDEX('INPUT - Roster'!$R$1:$R$206,Grid!$B115)&amp;""))</f>
        <v/>
      </c>
      <c r="I143" s="160">
        <f>IF(Grid!$B115="","",TRIM(INDEX('INPUT - Roster'!$O$1:$O$206,Grid!$B115)&amp;""))</f>
        <v/>
      </c>
      <c r="J143" s="160">
        <f>IF(Grid!$B115="","",TRIM(INDEX('INPUT - Roster'!$J$1:$J$206,Grid!$B115)&amp;""))</f>
        <v/>
      </c>
      <c r="K143" s="160">
        <f>IF(Grid!$B115="","",TRIM(INDEX('INPUT - Roster'!$K$1:$K$206,Grid!$B115)&amp;""))</f>
        <v/>
      </c>
      <c r="L143" s="160">
        <f>IF(Grid!$B115="","",TRIM(INDEX('INPUT - Roster'!$L$1:$L$206,Grid!$B115)&amp;""))</f>
        <v/>
      </c>
      <c r="M143" s="160">
        <f>IF(Grid!$B115="","",TRIM(INDEX('INPUT - Roster'!$M$1:$M$206,Grid!$B115)&amp;""))</f>
        <v/>
      </c>
      <c r="N143" s="158">
        <f>Grid!F115</f>
        <v/>
      </c>
      <c r="O143" s="160">
        <f>Grid!AI115</f>
        <v/>
      </c>
      <c r="P143" s="160">
        <f>Grid!BL115</f>
        <v/>
      </c>
      <c r="Q143" s="162">
        <f>IF(Grid!$D115="","",INDEX(Grid!$F$2:$AG$2,Grid!$D115))</f>
        <v/>
      </c>
      <c r="R143" s="158">
        <f>IF(Grid!$D115="","",INDEX(Grid!$F115:$AG115,Grid!$D115))</f>
        <v/>
      </c>
      <c r="S143" s="160">
        <f>IF(Grid!$B115="","",IFERROR(TRIM(INDEX('BHP Site Access'!$G$3:$G$104,MATCH(LOWER(TRIM(INDEX('INPUT - Roster'!$D$1:$D$206,Grid!$B115)&amp;"")&amp;"|"&amp;TRIM(INDEX('INPUT - Roster'!$E$1:$E$206,Grid!$B115)&amp;"")),Calc!$AX$3:$AX$104,0))&amp;""),"Not listed"))</f>
        <v/>
      </c>
      <c r="T143" s="160">
        <f>IF(OR(Grid!$B115="",ISNUMBER(SEARCH("demob",E143))),"",IF(AND(UPPER(TRIM(J143&amp;""))="YES",UPPER(TRIM(K143&amp;""))="YES",UPPER(TRIM(L143&amp;""))="YES",LEFT(UPPER(M143),14)="QUALS COMPLETE"),"","GAP"))</f>
        <v/>
      </c>
      <c r="U143" s="163">
        <f>IF(Grid!$B115="",0,IF(AND(OR(Dashboard!$D$9="All",D143=Dashboard!$D$9),OR(Dashboard!$J$9="All",E143=Dashboard!$J$9)),1,0))</f>
        <v/>
      </c>
    </row>
    <row r="144">
      <c r="B144" s="160">
        <f>IF(Grid!$B116="","",114)</f>
        <v/>
      </c>
      <c r="C144" s="161">
        <f>IF(Grid!$B116="","",TRIM(INDEX('INPUT - Roster'!$F$1:$F$206,Grid!$B116)&amp;""))</f>
        <v/>
      </c>
      <c r="D144" s="158">
        <f>IF(Grid!$B116="","",TRIM(INDEX('INPUT - Roster'!$C$1:$C$206,Grid!$B116)&amp;""))</f>
        <v/>
      </c>
      <c r="E144" s="158">
        <f>IF(Grid!$B116="","",INDEX(Index!$C$2:$C$202,MATCH(Grid!$B116,Index!$A$2:$A$202,0)))</f>
        <v/>
      </c>
      <c r="F144" s="158">
        <f>IF(Grid!$B116="","",TRIM(INDEX('INPUT - Roster'!$H$1:$H$206,Grid!$B116)&amp;""))</f>
        <v/>
      </c>
      <c r="G144" s="160">
        <f>IF(Grid!$B116="","",TRIM(INDEX('INPUT - Roster'!$G$1:$G$206,Grid!$B116)&amp;""))</f>
        <v/>
      </c>
      <c r="H144" s="160">
        <f>IF(Grid!$B116="","",TRIM(INDEX('INPUT - Roster'!$R$1:$R$206,Grid!$B116)&amp;""))</f>
        <v/>
      </c>
      <c r="I144" s="160">
        <f>IF(Grid!$B116="","",TRIM(INDEX('INPUT - Roster'!$O$1:$O$206,Grid!$B116)&amp;""))</f>
        <v/>
      </c>
      <c r="J144" s="160">
        <f>IF(Grid!$B116="","",TRIM(INDEX('INPUT - Roster'!$J$1:$J$206,Grid!$B116)&amp;""))</f>
        <v/>
      </c>
      <c r="K144" s="160">
        <f>IF(Grid!$B116="","",TRIM(INDEX('INPUT - Roster'!$K$1:$K$206,Grid!$B116)&amp;""))</f>
        <v/>
      </c>
      <c r="L144" s="160">
        <f>IF(Grid!$B116="","",TRIM(INDEX('INPUT - Roster'!$L$1:$L$206,Grid!$B116)&amp;""))</f>
        <v/>
      </c>
      <c r="M144" s="160">
        <f>IF(Grid!$B116="","",TRIM(INDEX('INPUT - Roster'!$M$1:$M$206,Grid!$B116)&amp;""))</f>
        <v/>
      </c>
      <c r="N144" s="158">
        <f>Grid!F116</f>
        <v/>
      </c>
      <c r="O144" s="160">
        <f>Grid!AI116</f>
        <v/>
      </c>
      <c r="P144" s="160">
        <f>Grid!BL116</f>
        <v/>
      </c>
      <c r="Q144" s="162">
        <f>IF(Grid!$D116="","",INDEX(Grid!$F$2:$AG$2,Grid!$D116))</f>
        <v/>
      </c>
      <c r="R144" s="158">
        <f>IF(Grid!$D116="","",INDEX(Grid!$F116:$AG116,Grid!$D116))</f>
        <v/>
      </c>
      <c r="S144" s="160">
        <f>IF(Grid!$B116="","",IFERROR(TRIM(INDEX('BHP Site Access'!$G$3:$G$104,MATCH(LOWER(TRIM(INDEX('INPUT - Roster'!$D$1:$D$206,Grid!$B116)&amp;"")&amp;"|"&amp;TRIM(INDEX('INPUT - Roster'!$E$1:$E$206,Grid!$B116)&amp;"")),Calc!$AX$3:$AX$104,0))&amp;""),"Not listed"))</f>
        <v/>
      </c>
      <c r="T144" s="160">
        <f>IF(OR(Grid!$B116="",ISNUMBER(SEARCH("demob",E144))),"",IF(AND(UPPER(TRIM(J144&amp;""))="YES",UPPER(TRIM(K144&amp;""))="YES",UPPER(TRIM(L144&amp;""))="YES",LEFT(UPPER(M144),14)="QUALS COMPLETE"),"","GAP"))</f>
        <v/>
      </c>
      <c r="U144" s="163">
        <f>IF(Grid!$B116="",0,IF(AND(OR(Dashboard!$D$9="All",D144=Dashboard!$D$9),OR(Dashboard!$J$9="All",E144=Dashboard!$J$9)),1,0))</f>
        <v/>
      </c>
    </row>
    <row r="145">
      <c r="B145" s="160">
        <f>IF(Grid!$B117="","",115)</f>
        <v/>
      </c>
      <c r="C145" s="161">
        <f>IF(Grid!$B117="","",TRIM(INDEX('INPUT - Roster'!$F$1:$F$206,Grid!$B117)&amp;""))</f>
        <v/>
      </c>
      <c r="D145" s="158">
        <f>IF(Grid!$B117="","",TRIM(INDEX('INPUT - Roster'!$C$1:$C$206,Grid!$B117)&amp;""))</f>
        <v/>
      </c>
      <c r="E145" s="158">
        <f>IF(Grid!$B117="","",INDEX(Index!$C$2:$C$202,MATCH(Grid!$B117,Index!$A$2:$A$202,0)))</f>
        <v/>
      </c>
      <c r="F145" s="158">
        <f>IF(Grid!$B117="","",TRIM(INDEX('INPUT - Roster'!$H$1:$H$206,Grid!$B117)&amp;""))</f>
        <v/>
      </c>
      <c r="G145" s="160">
        <f>IF(Grid!$B117="","",TRIM(INDEX('INPUT - Roster'!$G$1:$G$206,Grid!$B117)&amp;""))</f>
        <v/>
      </c>
      <c r="H145" s="160">
        <f>IF(Grid!$B117="","",TRIM(INDEX('INPUT - Roster'!$R$1:$R$206,Grid!$B117)&amp;""))</f>
        <v/>
      </c>
      <c r="I145" s="160">
        <f>IF(Grid!$B117="","",TRIM(INDEX('INPUT - Roster'!$O$1:$O$206,Grid!$B117)&amp;""))</f>
        <v/>
      </c>
      <c r="J145" s="160">
        <f>IF(Grid!$B117="","",TRIM(INDEX('INPUT - Roster'!$J$1:$J$206,Grid!$B117)&amp;""))</f>
        <v/>
      </c>
      <c r="K145" s="160">
        <f>IF(Grid!$B117="","",TRIM(INDEX('INPUT - Roster'!$K$1:$K$206,Grid!$B117)&amp;""))</f>
        <v/>
      </c>
      <c r="L145" s="160">
        <f>IF(Grid!$B117="","",TRIM(INDEX('INPUT - Roster'!$L$1:$L$206,Grid!$B117)&amp;""))</f>
        <v/>
      </c>
      <c r="M145" s="160">
        <f>IF(Grid!$B117="","",TRIM(INDEX('INPUT - Roster'!$M$1:$M$206,Grid!$B117)&amp;""))</f>
        <v/>
      </c>
      <c r="N145" s="158">
        <f>Grid!F117</f>
        <v/>
      </c>
      <c r="O145" s="160">
        <f>Grid!AI117</f>
        <v/>
      </c>
      <c r="P145" s="160">
        <f>Grid!BL117</f>
        <v/>
      </c>
      <c r="Q145" s="162">
        <f>IF(Grid!$D117="","",INDEX(Grid!$F$2:$AG$2,Grid!$D117))</f>
        <v/>
      </c>
      <c r="R145" s="158">
        <f>IF(Grid!$D117="","",INDEX(Grid!$F117:$AG117,Grid!$D117))</f>
        <v/>
      </c>
      <c r="S145" s="160">
        <f>IF(Grid!$B117="","",IFERROR(TRIM(INDEX('BHP Site Access'!$G$3:$G$104,MATCH(LOWER(TRIM(INDEX('INPUT - Roster'!$D$1:$D$206,Grid!$B117)&amp;"")&amp;"|"&amp;TRIM(INDEX('INPUT - Roster'!$E$1:$E$206,Grid!$B117)&amp;"")),Calc!$AX$3:$AX$104,0))&amp;""),"Not listed"))</f>
        <v/>
      </c>
      <c r="T145" s="160">
        <f>IF(OR(Grid!$B117="",ISNUMBER(SEARCH("demob",E145))),"",IF(AND(UPPER(TRIM(J145&amp;""))="YES",UPPER(TRIM(K145&amp;""))="YES",UPPER(TRIM(L145&amp;""))="YES",LEFT(UPPER(M145),14)="QUALS COMPLETE"),"","GAP"))</f>
        <v/>
      </c>
      <c r="U145" s="163">
        <f>IF(Grid!$B117="",0,IF(AND(OR(Dashboard!$D$9="All",D145=Dashboard!$D$9),OR(Dashboard!$J$9="All",E145=Dashboard!$J$9)),1,0))</f>
        <v/>
      </c>
    </row>
    <row r="146">
      <c r="B146" s="160">
        <f>IF(Grid!$B118="","",116)</f>
        <v/>
      </c>
      <c r="C146" s="161">
        <f>IF(Grid!$B118="","",TRIM(INDEX('INPUT - Roster'!$F$1:$F$206,Grid!$B118)&amp;""))</f>
        <v/>
      </c>
      <c r="D146" s="158">
        <f>IF(Grid!$B118="","",TRIM(INDEX('INPUT - Roster'!$C$1:$C$206,Grid!$B118)&amp;""))</f>
        <v/>
      </c>
      <c r="E146" s="158">
        <f>IF(Grid!$B118="","",INDEX(Index!$C$2:$C$202,MATCH(Grid!$B118,Index!$A$2:$A$202,0)))</f>
        <v/>
      </c>
      <c r="F146" s="158">
        <f>IF(Grid!$B118="","",TRIM(INDEX('INPUT - Roster'!$H$1:$H$206,Grid!$B118)&amp;""))</f>
        <v/>
      </c>
      <c r="G146" s="160">
        <f>IF(Grid!$B118="","",TRIM(INDEX('INPUT - Roster'!$G$1:$G$206,Grid!$B118)&amp;""))</f>
        <v/>
      </c>
      <c r="H146" s="160">
        <f>IF(Grid!$B118="","",TRIM(INDEX('INPUT - Roster'!$R$1:$R$206,Grid!$B118)&amp;""))</f>
        <v/>
      </c>
      <c r="I146" s="160">
        <f>IF(Grid!$B118="","",TRIM(INDEX('INPUT - Roster'!$O$1:$O$206,Grid!$B118)&amp;""))</f>
        <v/>
      </c>
      <c r="J146" s="160">
        <f>IF(Grid!$B118="","",TRIM(INDEX('INPUT - Roster'!$J$1:$J$206,Grid!$B118)&amp;""))</f>
        <v/>
      </c>
      <c r="K146" s="160">
        <f>IF(Grid!$B118="","",TRIM(INDEX('INPUT - Roster'!$K$1:$K$206,Grid!$B118)&amp;""))</f>
        <v/>
      </c>
      <c r="L146" s="160">
        <f>IF(Grid!$B118="","",TRIM(INDEX('INPUT - Roster'!$L$1:$L$206,Grid!$B118)&amp;""))</f>
        <v/>
      </c>
      <c r="M146" s="160">
        <f>IF(Grid!$B118="","",TRIM(INDEX('INPUT - Roster'!$M$1:$M$206,Grid!$B118)&amp;""))</f>
        <v/>
      </c>
      <c r="N146" s="158">
        <f>Grid!F118</f>
        <v/>
      </c>
      <c r="O146" s="160">
        <f>Grid!AI118</f>
        <v/>
      </c>
      <c r="P146" s="160">
        <f>Grid!BL118</f>
        <v/>
      </c>
      <c r="Q146" s="162">
        <f>IF(Grid!$D118="","",INDEX(Grid!$F$2:$AG$2,Grid!$D118))</f>
        <v/>
      </c>
      <c r="R146" s="158">
        <f>IF(Grid!$D118="","",INDEX(Grid!$F118:$AG118,Grid!$D118))</f>
        <v/>
      </c>
      <c r="S146" s="160">
        <f>IF(Grid!$B118="","",IFERROR(TRIM(INDEX('BHP Site Access'!$G$3:$G$104,MATCH(LOWER(TRIM(INDEX('INPUT - Roster'!$D$1:$D$206,Grid!$B118)&amp;"")&amp;"|"&amp;TRIM(INDEX('INPUT - Roster'!$E$1:$E$206,Grid!$B118)&amp;"")),Calc!$AX$3:$AX$104,0))&amp;""),"Not listed"))</f>
        <v/>
      </c>
      <c r="T146" s="160">
        <f>IF(OR(Grid!$B118="",ISNUMBER(SEARCH("demob",E146))),"",IF(AND(UPPER(TRIM(J146&amp;""))="YES",UPPER(TRIM(K146&amp;""))="YES",UPPER(TRIM(L146&amp;""))="YES",LEFT(UPPER(M146),14)="QUALS COMPLETE"),"","GAP"))</f>
        <v/>
      </c>
      <c r="U146" s="163">
        <f>IF(Grid!$B118="",0,IF(AND(OR(Dashboard!$D$9="All",D146=Dashboard!$D$9),OR(Dashboard!$J$9="All",E146=Dashboard!$J$9)),1,0))</f>
        <v/>
      </c>
    </row>
    <row r="147">
      <c r="B147" s="160">
        <f>IF(Grid!$B119="","",117)</f>
        <v/>
      </c>
      <c r="C147" s="161">
        <f>IF(Grid!$B119="","",TRIM(INDEX('INPUT - Roster'!$F$1:$F$206,Grid!$B119)&amp;""))</f>
        <v/>
      </c>
      <c r="D147" s="158">
        <f>IF(Grid!$B119="","",TRIM(INDEX('INPUT - Roster'!$C$1:$C$206,Grid!$B119)&amp;""))</f>
        <v/>
      </c>
      <c r="E147" s="158">
        <f>IF(Grid!$B119="","",INDEX(Index!$C$2:$C$202,MATCH(Grid!$B119,Index!$A$2:$A$202,0)))</f>
        <v/>
      </c>
      <c r="F147" s="158">
        <f>IF(Grid!$B119="","",TRIM(INDEX('INPUT - Roster'!$H$1:$H$206,Grid!$B119)&amp;""))</f>
        <v/>
      </c>
      <c r="G147" s="160">
        <f>IF(Grid!$B119="","",TRIM(INDEX('INPUT - Roster'!$G$1:$G$206,Grid!$B119)&amp;""))</f>
        <v/>
      </c>
      <c r="H147" s="160">
        <f>IF(Grid!$B119="","",TRIM(INDEX('INPUT - Roster'!$R$1:$R$206,Grid!$B119)&amp;""))</f>
        <v/>
      </c>
      <c r="I147" s="160">
        <f>IF(Grid!$B119="","",TRIM(INDEX('INPUT - Roster'!$O$1:$O$206,Grid!$B119)&amp;""))</f>
        <v/>
      </c>
      <c r="J147" s="160">
        <f>IF(Grid!$B119="","",TRIM(INDEX('INPUT - Roster'!$J$1:$J$206,Grid!$B119)&amp;""))</f>
        <v/>
      </c>
      <c r="K147" s="160">
        <f>IF(Grid!$B119="","",TRIM(INDEX('INPUT - Roster'!$K$1:$K$206,Grid!$B119)&amp;""))</f>
        <v/>
      </c>
      <c r="L147" s="160">
        <f>IF(Grid!$B119="","",TRIM(INDEX('INPUT - Roster'!$L$1:$L$206,Grid!$B119)&amp;""))</f>
        <v/>
      </c>
      <c r="M147" s="160">
        <f>IF(Grid!$B119="","",TRIM(INDEX('INPUT - Roster'!$M$1:$M$206,Grid!$B119)&amp;""))</f>
        <v/>
      </c>
      <c r="N147" s="158">
        <f>Grid!F119</f>
        <v/>
      </c>
      <c r="O147" s="160">
        <f>Grid!AI119</f>
        <v/>
      </c>
      <c r="P147" s="160">
        <f>Grid!BL119</f>
        <v/>
      </c>
      <c r="Q147" s="162">
        <f>IF(Grid!$D119="","",INDEX(Grid!$F$2:$AG$2,Grid!$D119))</f>
        <v/>
      </c>
      <c r="R147" s="158">
        <f>IF(Grid!$D119="","",INDEX(Grid!$F119:$AG119,Grid!$D119))</f>
        <v/>
      </c>
      <c r="S147" s="160">
        <f>IF(Grid!$B119="","",IFERROR(TRIM(INDEX('BHP Site Access'!$G$3:$G$104,MATCH(LOWER(TRIM(INDEX('INPUT - Roster'!$D$1:$D$206,Grid!$B119)&amp;"")&amp;"|"&amp;TRIM(INDEX('INPUT - Roster'!$E$1:$E$206,Grid!$B119)&amp;"")),Calc!$AX$3:$AX$104,0))&amp;""),"Not listed"))</f>
        <v/>
      </c>
      <c r="T147" s="160">
        <f>IF(OR(Grid!$B119="",ISNUMBER(SEARCH("demob",E147))),"",IF(AND(UPPER(TRIM(J147&amp;""))="YES",UPPER(TRIM(K147&amp;""))="YES",UPPER(TRIM(L147&amp;""))="YES",LEFT(UPPER(M147),14)="QUALS COMPLETE"),"","GAP"))</f>
        <v/>
      </c>
      <c r="U147" s="163">
        <f>IF(Grid!$B119="",0,IF(AND(OR(Dashboard!$D$9="All",D147=Dashboard!$D$9),OR(Dashboard!$J$9="All",E147=Dashboard!$J$9)),1,0))</f>
        <v/>
      </c>
    </row>
    <row r="148">
      <c r="B148" s="160">
        <f>IF(Grid!$B120="","",118)</f>
        <v/>
      </c>
      <c r="C148" s="161">
        <f>IF(Grid!$B120="","",TRIM(INDEX('INPUT - Roster'!$F$1:$F$206,Grid!$B120)&amp;""))</f>
        <v/>
      </c>
      <c r="D148" s="158">
        <f>IF(Grid!$B120="","",TRIM(INDEX('INPUT - Roster'!$C$1:$C$206,Grid!$B120)&amp;""))</f>
        <v/>
      </c>
      <c r="E148" s="158">
        <f>IF(Grid!$B120="","",INDEX(Index!$C$2:$C$202,MATCH(Grid!$B120,Index!$A$2:$A$202,0)))</f>
        <v/>
      </c>
      <c r="F148" s="158">
        <f>IF(Grid!$B120="","",TRIM(INDEX('INPUT - Roster'!$H$1:$H$206,Grid!$B120)&amp;""))</f>
        <v/>
      </c>
      <c r="G148" s="160">
        <f>IF(Grid!$B120="","",TRIM(INDEX('INPUT - Roster'!$G$1:$G$206,Grid!$B120)&amp;""))</f>
        <v/>
      </c>
      <c r="H148" s="160">
        <f>IF(Grid!$B120="","",TRIM(INDEX('INPUT - Roster'!$R$1:$R$206,Grid!$B120)&amp;""))</f>
        <v/>
      </c>
      <c r="I148" s="160">
        <f>IF(Grid!$B120="","",TRIM(INDEX('INPUT - Roster'!$O$1:$O$206,Grid!$B120)&amp;""))</f>
        <v/>
      </c>
      <c r="J148" s="160">
        <f>IF(Grid!$B120="","",TRIM(INDEX('INPUT - Roster'!$J$1:$J$206,Grid!$B120)&amp;""))</f>
        <v/>
      </c>
      <c r="K148" s="160">
        <f>IF(Grid!$B120="","",TRIM(INDEX('INPUT - Roster'!$K$1:$K$206,Grid!$B120)&amp;""))</f>
        <v/>
      </c>
      <c r="L148" s="160">
        <f>IF(Grid!$B120="","",TRIM(INDEX('INPUT - Roster'!$L$1:$L$206,Grid!$B120)&amp;""))</f>
        <v/>
      </c>
      <c r="M148" s="160">
        <f>IF(Grid!$B120="","",TRIM(INDEX('INPUT - Roster'!$M$1:$M$206,Grid!$B120)&amp;""))</f>
        <v/>
      </c>
      <c r="N148" s="158">
        <f>Grid!F120</f>
        <v/>
      </c>
      <c r="O148" s="160">
        <f>Grid!AI120</f>
        <v/>
      </c>
      <c r="P148" s="160">
        <f>Grid!BL120</f>
        <v/>
      </c>
      <c r="Q148" s="162">
        <f>IF(Grid!$D120="","",INDEX(Grid!$F$2:$AG$2,Grid!$D120))</f>
        <v/>
      </c>
      <c r="R148" s="158">
        <f>IF(Grid!$D120="","",INDEX(Grid!$F120:$AG120,Grid!$D120))</f>
        <v/>
      </c>
      <c r="S148" s="160">
        <f>IF(Grid!$B120="","",IFERROR(TRIM(INDEX('BHP Site Access'!$G$3:$G$104,MATCH(LOWER(TRIM(INDEX('INPUT - Roster'!$D$1:$D$206,Grid!$B120)&amp;"")&amp;"|"&amp;TRIM(INDEX('INPUT - Roster'!$E$1:$E$206,Grid!$B120)&amp;"")),Calc!$AX$3:$AX$104,0))&amp;""),"Not listed"))</f>
        <v/>
      </c>
      <c r="T148" s="160">
        <f>IF(OR(Grid!$B120="",ISNUMBER(SEARCH("demob",E148))),"",IF(AND(UPPER(TRIM(J148&amp;""))="YES",UPPER(TRIM(K148&amp;""))="YES",UPPER(TRIM(L148&amp;""))="YES",LEFT(UPPER(M148),14)="QUALS COMPLETE"),"","GAP"))</f>
        <v/>
      </c>
      <c r="U148" s="163">
        <f>IF(Grid!$B120="",0,IF(AND(OR(Dashboard!$D$9="All",D148=Dashboard!$D$9),OR(Dashboard!$J$9="All",E148=Dashboard!$J$9)),1,0))</f>
        <v/>
      </c>
    </row>
    <row r="149">
      <c r="B149" s="160">
        <f>IF(Grid!$B121="","",119)</f>
        <v/>
      </c>
      <c r="C149" s="161">
        <f>IF(Grid!$B121="","",TRIM(INDEX('INPUT - Roster'!$F$1:$F$206,Grid!$B121)&amp;""))</f>
        <v/>
      </c>
      <c r="D149" s="158">
        <f>IF(Grid!$B121="","",TRIM(INDEX('INPUT - Roster'!$C$1:$C$206,Grid!$B121)&amp;""))</f>
        <v/>
      </c>
      <c r="E149" s="158">
        <f>IF(Grid!$B121="","",INDEX(Index!$C$2:$C$202,MATCH(Grid!$B121,Index!$A$2:$A$202,0)))</f>
        <v/>
      </c>
      <c r="F149" s="158">
        <f>IF(Grid!$B121="","",TRIM(INDEX('INPUT - Roster'!$H$1:$H$206,Grid!$B121)&amp;""))</f>
        <v/>
      </c>
      <c r="G149" s="160">
        <f>IF(Grid!$B121="","",TRIM(INDEX('INPUT - Roster'!$G$1:$G$206,Grid!$B121)&amp;""))</f>
        <v/>
      </c>
      <c r="H149" s="160">
        <f>IF(Grid!$B121="","",TRIM(INDEX('INPUT - Roster'!$R$1:$R$206,Grid!$B121)&amp;""))</f>
        <v/>
      </c>
      <c r="I149" s="160">
        <f>IF(Grid!$B121="","",TRIM(INDEX('INPUT - Roster'!$O$1:$O$206,Grid!$B121)&amp;""))</f>
        <v/>
      </c>
      <c r="J149" s="160">
        <f>IF(Grid!$B121="","",TRIM(INDEX('INPUT - Roster'!$J$1:$J$206,Grid!$B121)&amp;""))</f>
        <v/>
      </c>
      <c r="K149" s="160">
        <f>IF(Grid!$B121="","",TRIM(INDEX('INPUT - Roster'!$K$1:$K$206,Grid!$B121)&amp;""))</f>
        <v/>
      </c>
      <c r="L149" s="160">
        <f>IF(Grid!$B121="","",TRIM(INDEX('INPUT - Roster'!$L$1:$L$206,Grid!$B121)&amp;""))</f>
        <v/>
      </c>
      <c r="M149" s="160">
        <f>IF(Grid!$B121="","",TRIM(INDEX('INPUT - Roster'!$M$1:$M$206,Grid!$B121)&amp;""))</f>
        <v/>
      </c>
      <c r="N149" s="158">
        <f>Grid!F121</f>
        <v/>
      </c>
      <c r="O149" s="160">
        <f>Grid!AI121</f>
        <v/>
      </c>
      <c r="P149" s="160">
        <f>Grid!BL121</f>
        <v/>
      </c>
      <c r="Q149" s="162">
        <f>IF(Grid!$D121="","",INDEX(Grid!$F$2:$AG$2,Grid!$D121))</f>
        <v/>
      </c>
      <c r="R149" s="158">
        <f>IF(Grid!$D121="","",INDEX(Grid!$F121:$AG121,Grid!$D121))</f>
        <v/>
      </c>
      <c r="S149" s="160">
        <f>IF(Grid!$B121="","",IFERROR(TRIM(INDEX('BHP Site Access'!$G$3:$G$104,MATCH(LOWER(TRIM(INDEX('INPUT - Roster'!$D$1:$D$206,Grid!$B121)&amp;"")&amp;"|"&amp;TRIM(INDEX('INPUT - Roster'!$E$1:$E$206,Grid!$B121)&amp;"")),Calc!$AX$3:$AX$104,0))&amp;""),"Not listed"))</f>
        <v/>
      </c>
      <c r="T149" s="160">
        <f>IF(OR(Grid!$B121="",ISNUMBER(SEARCH("demob",E149))),"",IF(AND(UPPER(TRIM(J149&amp;""))="YES",UPPER(TRIM(K149&amp;""))="YES",UPPER(TRIM(L149&amp;""))="YES",LEFT(UPPER(M149),14)="QUALS COMPLETE"),"","GAP"))</f>
        <v/>
      </c>
      <c r="U149" s="163">
        <f>IF(Grid!$B121="",0,IF(AND(OR(Dashboard!$D$9="All",D149=Dashboard!$D$9),OR(Dashboard!$J$9="All",E149=Dashboard!$J$9)),1,0))</f>
        <v/>
      </c>
    </row>
    <row r="150">
      <c r="B150" s="160">
        <f>IF(Grid!$B122="","",120)</f>
        <v/>
      </c>
      <c r="C150" s="161">
        <f>IF(Grid!$B122="","",TRIM(INDEX('INPUT - Roster'!$F$1:$F$206,Grid!$B122)&amp;""))</f>
        <v/>
      </c>
      <c r="D150" s="158">
        <f>IF(Grid!$B122="","",TRIM(INDEX('INPUT - Roster'!$C$1:$C$206,Grid!$B122)&amp;""))</f>
        <v/>
      </c>
      <c r="E150" s="158">
        <f>IF(Grid!$B122="","",INDEX(Index!$C$2:$C$202,MATCH(Grid!$B122,Index!$A$2:$A$202,0)))</f>
        <v/>
      </c>
      <c r="F150" s="158">
        <f>IF(Grid!$B122="","",TRIM(INDEX('INPUT - Roster'!$H$1:$H$206,Grid!$B122)&amp;""))</f>
        <v/>
      </c>
      <c r="G150" s="160">
        <f>IF(Grid!$B122="","",TRIM(INDEX('INPUT - Roster'!$G$1:$G$206,Grid!$B122)&amp;""))</f>
        <v/>
      </c>
      <c r="H150" s="160">
        <f>IF(Grid!$B122="","",TRIM(INDEX('INPUT - Roster'!$R$1:$R$206,Grid!$B122)&amp;""))</f>
        <v/>
      </c>
      <c r="I150" s="160">
        <f>IF(Grid!$B122="","",TRIM(INDEX('INPUT - Roster'!$O$1:$O$206,Grid!$B122)&amp;""))</f>
        <v/>
      </c>
      <c r="J150" s="160">
        <f>IF(Grid!$B122="","",TRIM(INDEX('INPUT - Roster'!$J$1:$J$206,Grid!$B122)&amp;""))</f>
        <v/>
      </c>
      <c r="K150" s="160">
        <f>IF(Grid!$B122="","",TRIM(INDEX('INPUT - Roster'!$K$1:$K$206,Grid!$B122)&amp;""))</f>
        <v/>
      </c>
      <c r="L150" s="160">
        <f>IF(Grid!$B122="","",TRIM(INDEX('INPUT - Roster'!$L$1:$L$206,Grid!$B122)&amp;""))</f>
        <v/>
      </c>
      <c r="M150" s="160">
        <f>IF(Grid!$B122="","",TRIM(INDEX('INPUT - Roster'!$M$1:$M$206,Grid!$B122)&amp;""))</f>
        <v/>
      </c>
      <c r="N150" s="158">
        <f>Grid!F122</f>
        <v/>
      </c>
      <c r="O150" s="160">
        <f>Grid!AI122</f>
        <v/>
      </c>
      <c r="P150" s="160">
        <f>Grid!BL122</f>
        <v/>
      </c>
      <c r="Q150" s="162">
        <f>IF(Grid!$D122="","",INDEX(Grid!$F$2:$AG$2,Grid!$D122))</f>
        <v/>
      </c>
      <c r="R150" s="158">
        <f>IF(Grid!$D122="","",INDEX(Grid!$F122:$AG122,Grid!$D122))</f>
        <v/>
      </c>
      <c r="S150" s="160">
        <f>IF(Grid!$B122="","",IFERROR(TRIM(INDEX('BHP Site Access'!$G$3:$G$104,MATCH(LOWER(TRIM(INDEX('INPUT - Roster'!$D$1:$D$206,Grid!$B122)&amp;"")&amp;"|"&amp;TRIM(INDEX('INPUT - Roster'!$E$1:$E$206,Grid!$B122)&amp;"")),Calc!$AX$3:$AX$104,0))&amp;""),"Not listed"))</f>
        <v/>
      </c>
      <c r="T150" s="160">
        <f>IF(OR(Grid!$B122="",ISNUMBER(SEARCH("demob",E150))),"",IF(AND(UPPER(TRIM(J150&amp;""))="YES",UPPER(TRIM(K150&amp;""))="YES",UPPER(TRIM(L150&amp;""))="YES",LEFT(UPPER(M150),14)="QUALS COMPLETE"),"","GAP"))</f>
        <v/>
      </c>
      <c r="U150" s="163">
        <f>IF(Grid!$B122="",0,IF(AND(OR(Dashboard!$D$9="All",D150=Dashboard!$D$9),OR(Dashboard!$J$9="All",E150=Dashboard!$J$9)),1,0))</f>
        <v/>
      </c>
    </row>
    <row r="151">
      <c r="B151" s="160">
        <f>IF(Grid!$B123="","",121)</f>
        <v/>
      </c>
      <c r="C151" s="161">
        <f>IF(Grid!$B123="","",TRIM(INDEX('INPUT - Roster'!$F$1:$F$206,Grid!$B123)&amp;""))</f>
        <v/>
      </c>
      <c r="D151" s="158">
        <f>IF(Grid!$B123="","",TRIM(INDEX('INPUT - Roster'!$C$1:$C$206,Grid!$B123)&amp;""))</f>
        <v/>
      </c>
      <c r="E151" s="158">
        <f>IF(Grid!$B123="","",INDEX(Index!$C$2:$C$202,MATCH(Grid!$B123,Index!$A$2:$A$202,0)))</f>
        <v/>
      </c>
      <c r="F151" s="158">
        <f>IF(Grid!$B123="","",TRIM(INDEX('INPUT - Roster'!$H$1:$H$206,Grid!$B123)&amp;""))</f>
        <v/>
      </c>
      <c r="G151" s="160">
        <f>IF(Grid!$B123="","",TRIM(INDEX('INPUT - Roster'!$G$1:$G$206,Grid!$B123)&amp;""))</f>
        <v/>
      </c>
      <c r="H151" s="160">
        <f>IF(Grid!$B123="","",TRIM(INDEX('INPUT - Roster'!$R$1:$R$206,Grid!$B123)&amp;""))</f>
        <v/>
      </c>
      <c r="I151" s="160">
        <f>IF(Grid!$B123="","",TRIM(INDEX('INPUT - Roster'!$O$1:$O$206,Grid!$B123)&amp;""))</f>
        <v/>
      </c>
      <c r="J151" s="160">
        <f>IF(Grid!$B123="","",TRIM(INDEX('INPUT - Roster'!$J$1:$J$206,Grid!$B123)&amp;""))</f>
        <v/>
      </c>
      <c r="K151" s="160">
        <f>IF(Grid!$B123="","",TRIM(INDEX('INPUT - Roster'!$K$1:$K$206,Grid!$B123)&amp;""))</f>
        <v/>
      </c>
      <c r="L151" s="160">
        <f>IF(Grid!$B123="","",TRIM(INDEX('INPUT - Roster'!$L$1:$L$206,Grid!$B123)&amp;""))</f>
        <v/>
      </c>
      <c r="M151" s="160">
        <f>IF(Grid!$B123="","",TRIM(INDEX('INPUT - Roster'!$M$1:$M$206,Grid!$B123)&amp;""))</f>
        <v/>
      </c>
      <c r="N151" s="158">
        <f>Grid!F123</f>
        <v/>
      </c>
      <c r="O151" s="160">
        <f>Grid!AI123</f>
        <v/>
      </c>
      <c r="P151" s="160">
        <f>Grid!BL123</f>
        <v/>
      </c>
      <c r="Q151" s="162">
        <f>IF(Grid!$D123="","",INDEX(Grid!$F$2:$AG$2,Grid!$D123))</f>
        <v/>
      </c>
      <c r="R151" s="158">
        <f>IF(Grid!$D123="","",INDEX(Grid!$F123:$AG123,Grid!$D123))</f>
        <v/>
      </c>
      <c r="S151" s="160">
        <f>IF(Grid!$B123="","",IFERROR(TRIM(INDEX('BHP Site Access'!$G$3:$G$104,MATCH(LOWER(TRIM(INDEX('INPUT - Roster'!$D$1:$D$206,Grid!$B123)&amp;"")&amp;"|"&amp;TRIM(INDEX('INPUT - Roster'!$E$1:$E$206,Grid!$B123)&amp;"")),Calc!$AX$3:$AX$104,0))&amp;""),"Not listed"))</f>
        <v/>
      </c>
      <c r="T151" s="160">
        <f>IF(OR(Grid!$B123="",ISNUMBER(SEARCH("demob",E151))),"",IF(AND(UPPER(TRIM(J151&amp;""))="YES",UPPER(TRIM(K151&amp;""))="YES",UPPER(TRIM(L151&amp;""))="YES",LEFT(UPPER(M151),14)="QUALS COMPLETE"),"","GAP"))</f>
        <v/>
      </c>
      <c r="U151" s="163">
        <f>IF(Grid!$B123="",0,IF(AND(OR(Dashboard!$D$9="All",D151=Dashboard!$D$9),OR(Dashboard!$J$9="All",E151=Dashboard!$J$9)),1,0))</f>
        <v/>
      </c>
    </row>
    <row r="152">
      <c r="B152" s="160">
        <f>IF(Grid!$B124="","",122)</f>
        <v/>
      </c>
      <c r="C152" s="161">
        <f>IF(Grid!$B124="","",TRIM(INDEX('INPUT - Roster'!$F$1:$F$206,Grid!$B124)&amp;""))</f>
        <v/>
      </c>
      <c r="D152" s="158">
        <f>IF(Grid!$B124="","",TRIM(INDEX('INPUT - Roster'!$C$1:$C$206,Grid!$B124)&amp;""))</f>
        <v/>
      </c>
      <c r="E152" s="158">
        <f>IF(Grid!$B124="","",INDEX(Index!$C$2:$C$202,MATCH(Grid!$B124,Index!$A$2:$A$202,0)))</f>
        <v/>
      </c>
      <c r="F152" s="158">
        <f>IF(Grid!$B124="","",TRIM(INDEX('INPUT - Roster'!$H$1:$H$206,Grid!$B124)&amp;""))</f>
        <v/>
      </c>
      <c r="G152" s="160">
        <f>IF(Grid!$B124="","",TRIM(INDEX('INPUT - Roster'!$G$1:$G$206,Grid!$B124)&amp;""))</f>
        <v/>
      </c>
      <c r="H152" s="160">
        <f>IF(Grid!$B124="","",TRIM(INDEX('INPUT - Roster'!$R$1:$R$206,Grid!$B124)&amp;""))</f>
        <v/>
      </c>
      <c r="I152" s="160">
        <f>IF(Grid!$B124="","",TRIM(INDEX('INPUT - Roster'!$O$1:$O$206,Grid!$B124)&amp;""))</f>
        <v/>
      </c>
      <c r="J152" s="160">
        <f>IF(Grid!$B124="","",TRIM(INDEX('INPUT - Roster'!$J$1:$J$206,Grid!$B124)&amp;""))</f>
        <v/>
      </c>
      <c r="K152" s="160">
        <f>IF(Grid!$B124="","",TRIM(INDEX('INPUT - Roster'!$K$1:$K$206,Grid!$B124)&amp;""))</f>
        <v/>
      </c>
      <c r="L152" s="160">
        <f>IF(Grid!$B124="","",TRIM(INDEX('INPUT - Roster'!$L$1:$L$206,Grid!$B124)&amp;""))</f>
        <v/>
      </c>
      <c r="M152" s="160">
        <f>IF(Grid!$B124="","",TRIM(INDEX('INPUT - Roster'!$M$1:$M$206,Grid!$B124)&amp;""))</f>
        <v/>
      </c>
      <c r="N152" s="158">
        <f>Grid!F124</f>
        <v/>
      </c>
      <c r="O152" s="160">
        <f>Grid!AI124</f>
        <v/>
      </c>
      <c r="P152" s="160">
        <f>Grid!BL124</f>
        <v/>
      </c>
      <c r="Q152" s="162">
        <f>IF(Grid!$D124="","",INDEX(Grid!$F$2:$AG$2,Grid!$D124))</f>
        <v/>
      </c>
      <c r="R152" s="158">
        <f>IF(Grid!$D124="","",INDEX(Grid!$F124:$AG124,Grid!$D124))</f>
        <v/>
      </c>
      <c r="S152" s="160">
        <f>IF(Grid!$B124="","",IFERROR(TRIM(INDEX('BHP Site Access'!$G$3:$G$104,MATCH(LOWER(TRIM(INDEX('INPUT - Roster'!$D$1:$D$206,Grid!$B124)&amp;"")&amp;"|"&amp;TRIM(INDEX('INPUT - Roster'!$E$1:$E$206,Grid!$B124)&amp;"")),Calc!$AX$3:$AX$104,0))&amp;""),"Not listed"))</f>
        <v/>
      </c>
      <c r="T152" s="160">
        <f>IF(OR(Grid!$B124="",ISNUMBER(SEARCH("demob",E152))),"",IF(AND(UPPER(TRIM(J152&amp;""))="YES",UPPER(TRIM(K152&amp;""))="YES",UPPER(TRIM(L152&amp;""))="YES",LEFT(UPPER(M152),14)="QUALS COMPLETE"),"","GAP"))</f>
        <v/>
      </c>
      <c r="U152" s="163">
        <f>IF(Grid!$B124="",0,IF(AND(OR(Dashboard!$D$9="All",D152=Dashboard!$D$9),OR(Dashboard!$J$9="All",E152=Dashboard!$J$9)),1,0))</f>
        <v/>
      </c>
    </row>
    <row r="153">
      <c r="B153" s="160">
        <f>IF(Grid!$B125="","",123)</f>
        <v/>
      </c>
      <c r="C153" s="161">
        <f>IF(Grid!$B125="","",TRIM(INDEX('INPUT - Roster'!$F$1:$F$206,Grid!$B125)&amp;""))</f>
        <v/>
      </c>
      <c r="D153" s="158">
        <f>IF(Grid!$B125="","",TRIM(INDEX('INPUT - Roster'!$C$1:$C$206,Grid!$B125)&amp;""))</f>
        <v/>
      </c>
      <c r="E153" s="158">
        <f>IF(Grid!$B125="","",INDEX(Index!$C$2:$C$202,MATCH(Grid!$B125,Index!$A$2:$A$202,0)))</f>
        <v/>
      </c>
      <c r="F153" s="158">
        <f>IF(Grid!$B125="","",TRIM(INDEX('INPUT - Roster'!$H$1:$H$206,Grid!$B125)&amp;""))</f>
        <v/>
      </c>
      <c r="G153" s="160">
        <f>IF(Grid!$B125="","",TRIM(INDEX('INPUT - Roster'!$G$1:$G$206,Grid!$B125)&amp;""))</f>
        <v/>
      </c>
      <c r="H153" s="160">
        <f>IF(Grid!$B125="","",TRIM(INDEX('INPUT - Roster'!$R$1:$R$206,Grid!$B125)&amp;""))</f>
        <v/>
      </c>
      <c r="I153" s="160">
        <f>IF(Grid!$B125="","",TRIM(INDEX('INPUT - Roster'!$O$1:$O$206,Grid!$B125)&amp;""))</f>
        <v/>
      </c>
      <c r="J153" s="160">
        <f>IF(Grid!$B125="","",TRIM(INDEX('INPUT - Roster'!$J$1:$J$206,Grid!$B125)&amp;""))</f>
        <v/>
      </c>
      <c r="K153" s="160">
        <f>IF(Grid!$B125="","",TRIM(INDEX('INPUT - Roster'!$K$1:$K$206,Grid!$B125)&amp;""))</f>
        <v/>
      </c>
      <c r="L153" s="160">
        <f>IF(Grid!$B125="","",TRIM(INDEX('INPUT - Roster'!$L$1:$L$206,Grid!$B125)&amp;""))</f>
        <v/>
      </c>
      <c r="M153" s="160">
        <f>IF(Grid!$B125="","",TRIM(INDEX('INPUT - Roster'!$M$1:$M$206,Grid!$B125)&amp;""))</f>
        <v/>
      </c>
      <c r="N153" s="158">
        <f>Grid!F125</f>
        <v/>
      </c>
      <c r="O153" s="160">
        <f>Grid!AI125</f>
        <v/>
      </c>
      <c r="P153" s="160">
        <f>Grid!BL125</f>
        <v/>
      </c>
      <c r="Q153" s="162">
        <f>IF(Grid!$D125="","",INDEX(Grid!$F$2:$AG$2,Grid!$D125))</f>
        <v/>
      </c>
      <c r="R153" s="158">
        <f>IF(Grid!$D125="","",INDEX(Grid!$F125:$AG125,Grid!$D125))</f>
        <v/>
      </c>
      <c r="S153" s="160">
        <f>IF(Grid!$B125="","",IFERROR(TRIM(INDEX('BHP Site Access'!$G$3:$G$104,MATCH(LOWER(TRIM(INDEX('INPUT - Roster'!$D$1:$D$206,Grid!$B125)&amp;"")&amp;"|"&amp;TRIM(INDEX('INPUT - Roster'!$E$1:$E$206,Grid!$B125)&amp;"")),Calc!$AX$3:$AX$104,0))&amp;""),"Not listed"))</f>
        <v/>
      </c>
      <c r="T153" s="160">
        <f>IF(OR(Grid!$B125="",ISNUMBER(SEARCH("demob",E153))),"",IF(AND(UPPER(TRIM(J153&amp;""))="YES",UPPER(TRIM(K153&amp;""))="YES",UPPER(TRIM(L153&amp;""))="YES",LEFT(UPPER(M153),14)="QUALS COMPLETE"),"","GAP"))</f>
        <v/>
      </c>
      <c r="U153" s="163">
        <f>IF(Grid!$B125="",0,IF(AND(OR(Dashboard!$D$9="All",D153=Dashboard!$D$9),OR(Dashboard!$J$9="All",E153=Dashboard!$J$9)),1,0))</f>
        <v/>
      </c>
    </row>
    <row r="154">
      <c r="B154" s="160">
        <f>IF(Grid!$B126="","",124)</f>
        <v/>
      </c>
      <c r="C154" s="161">
        <f>IF(Grid!$B126="","",TRIM(INDEX('INPUT - Roster'!$F$1:$F$206,Grid!$B126)&amp;""))</f>
        <v/>
      </c>
      <c r="D154" s="158">
        <f>IF(Grid!$B126="","",TRIM(INDEX('INPUT - Roster'!$C$1:$C$206,Grid!$B126)&amp;""))</f>
        <v/>
      </c>
      <c r="E154" s="158">
        <f>IF(Grid!$B126="","",INDEX(Index!$C$2:$C$202,MATCH(Grid!$B126,Index!$A$2:$A$202,0)))</f>
        <v/>
      </c>
      <c r="F154" s="158">
        <f>IF(Grid!$B126="","",TRIM(INDEX('INPUT - Roster'!$H$1:$H$206,Grid!$B126)&amp;""))</f>
        <v/>
      </c>
      <c r="G154" s="160">
        <f>IF(Grid!$B126="","",TRIM(INDEX('INPUT - Roster'!$G$1:$G$206,Grid!$B126)&amp;""))</f>
        <v/>
      </c>
      <c r="H154" s="160">
        <f>IF(Grid!$B126="","",TRIM(INDEX('INPUT - Roster'!$R$1:$R$206,Grid!$B126)&amp;""))</f>
        <v/>
      </c>
      <c r="I154" s="160">
        <f>IF(Grid!$B126="","",TRIM(INDEX('INPUT - Roster'!$O$1:$O$206,Grid!$B126)&amp;""))</f>
        <v/>
      </c>
      <c r="J154" s="160">
        <f>IF(Grid!$B126="","",TRIM(INDEX('INPUT - Roster'!$J$1:$J$206,Grid!$B126)&amp;""))</f>
        <v/>
      </c>
      <c r="K154" s="160">
        <f>IF(Grid!$B126="","",TRIM(INDEX('INPUT - Roster'!$K$1:$K$206,Grid!$B126)&amp;""))</f>
        <v/>
      </c>
      <c r="L154" s="160">
        <f>IF(Grid!$B126="","",TRIM(INDEX('INPUT - Roster'!$L$1:$L$206,Grid!$B126)&amp;""))</f>
        <v/>
      </c>
      <c r="M154" s="160">
        <f>IF(Grid!$B126="","",TRIM(INDEX('INPUT - Roster'!$M$1:$M$206,Grid!$B126)&amp;""))</f>
        <v/>
      </c>
      <c r="N154" s="158">
        <f>Grid!F126</f>
        <v/>
      </c>
      <c r="O154" s="160">
        <f>Grid!AI126</f>
        <v/>
      </c>
      <c r="P154" s="160">
        <f>Grid!BL126</f>
        <v/>
      </c>
      <c r="Q154" s="162">
        <f>IF(Grid!$D126="","",INDEX(Grid!$F$2:$AG$2,Grid!$D126))</f>
        <v/>
      </c>
      <c r="R154" s="158">
        <f>IF(Grid!$D126="","",INDEX(Grid!$F126:$AG126,Grid!$D126))</f>
        <v/>
      </c>
      <c r="S154" s="160">
        <f>IF(Grid!$B126="","",IFERROR(TRIM(INDEX('BHP Site Access'!$G$3:$G$104,MATCH(LOWER(TRIM(INDEX('INPUT - Roster'!$D$1:$D$206,Grid!$B126)&amp;"")&amp;"|"&amp;TRIM(INDEX('INPUT - Roster'!$E$1:$E$206,Grid!$B126)&amp;"")),Calc!$AX$3:$AX$104,0))&amp;""),"Not listed"))</f>
        <v/>
      </c>
      <c r="T154" s="160">
        <f>IF(OR(Grid!$B126="",ISNUMBER(SEARCH("demob",E154))),"",IF(AND(UPPER(TRIM(J154&amp;""))="YES",UPPER(TRIM(K154&amp;""))="YES",UPPER(TRIM(L154&amp;""))="YES",LEFT(UPPER(M154),14)="QUALS COMPLETE"),"","GAP"))</f>
        <v/>
      </c>
      <c r="U154" s="163">
        <f>IF(Grid!$B126="",0,IF(AND(OR(Dashboard!$D$9="All",D154=Dashboard!$D$9),OR(Dashboard!$J$9="All",E154=Dashboard!$J$9)),1,0))</f>
        <v/>
      </c>
    </row>
    <row r="155">
      <c r="B155" s="160">
        <f>IF(Grid!$B127="","",125)</f>
        <v/>
      </c>
      <c r="C155" s="161">
        <f>IF(Grid!$B127="","",TRIM(INDEX('INPUT - Roster'!$F$1:$F$206,Grid!$B127)&amp;""))</f>
        <v/>
      </c>
      <c r="D155" s="158">
        <f>IF(Grid!$B127="","",TRIM(INDEX('INPUT - Roster'!$C$1:$C$206,Grid!$B127)&amp;""))</f>
        <v/>
      </c>
      <c r="E155" s="158">
        <f>IF(Grid!$B127="","",INDEX(Index!$C$2:$C$202,MATCH(Grid!$B127,Index!$A$2:$A$202,0)))</f>
        <v/>
      </c>
      <c r="F155" s="158">
        <f>IF(Grid!$B127="","",TRIM(INDEX('INPUT - Roster'!$H$1:$H$206,Grid!$B127)&amp;""))</f>
        <v/>
      </c>
      <c r="G155" s="160">
        <f>IF(Grid!$B127="","",TRIM(INDEX('INPUT - Roster'!$G$1:$G$206,Grid!$B127)&amp;""))</f>
        <v/>
      </c>
      <c r="H155" s="160">
        <f>IF(Grid!$B127="","",TRIM(INDEX('INPUT - Roster'!$R$1:$R$206,Grid!$B127)&amp;""))</f>
        <v/>
      </c>
      <c r="I155" s="160">
        <f>IF(Grid!$B127="","",TRIM(INDEX('INPUT - Roster'!$O$1:$O$206,Grid!$B127)&amp;""))</f>
        <v/>
      </c>
      <c r="J155" s="160">
        <f>IF(Grid!$B127="","",TRIM(INDEX('INPUT - Roster'!$J$1:$J$206,Grid!$B127)&amp;""))</f>
        <v/>
      </c>
      <c r="K155" s="160">
        <f>IF(Grid!$B127="","",TRIM(INDEX('INPUT - Roster'!$K$1:$K$206,Grid!$B127)&amp;""))</f>
        <v/>
      </c>
      <c r="L155" s="160">
        <f>IF(Grid!$B127="","",TRIM(INDEX('INPUT - Roster'!$L$1:$L$206,Grid!$B127)&amp;""))</f>
        <v/>
      </c>
      <c r="M155" s="160">
        <f>IF(Grid!$B127="","",TRIM(INDEX('INPUT - Roster'!$M$1:$M$206,Grid!$B127)&amp;""))</f>
        <v/>
      </c>
      <c r="N155" s="158">
        <f>Grid!F127</f>
        <v/>
      </c>
      <c r="O155" s="160">
        <f>Grid!AI127</f>
        <v/>
      </c>
      <c r="P155" s="160">
        <f>Grid!BL127</f>
        <v/>
      </c>
      <c r="Q155" s="162">
        <f>IF(Grid!$D127="","",INDEX(Grid!$F$2:$AG$2,Grid!$D127))</f>
        <v/>
      </c>
      <c r="R155" s="158">
        <f>IF(Grid!$D127="","",INDEX(Grid!$F127:$AG127,Grid!$D127))</f>
        <v/>
      </c>
      <c r="S155" s="160">
        <f>IF(Grid!$B127="","",IFERROR(TRIM(INDEX('BHP Site Access'!$G$3:$G$104,MATCH(LOWER(TRIM(INDEX('INPUT - Roster'!$D$1:$D$206,Grid!$B127)&amp;"")&amp;"|"&amp;TRIM(INDEX('INPUT - Roster'!$E$1:$E$206,Grid!$B127)&amp;"")),Calc!$AX$3:$AX$104,0))&amp;""),"Not listed"))</f>
        <v/>
      </c>
      <c r="T155" s="160">
        <f>IF(OR(Grid!$B127="",ISNUMBER(SEARCH("demob",E155))),"",IF(AND(UPPER(TRIM(J155&amp;""))="YES",UPPER(TRIM(K155&amp;""))="YES",UPPER(TRIM(L155&amp;""))="YES",LEFT(UPPER(M155),14)="QUALS COMPLETE"),"","GAP"))</f>
        <v/>
      </c>
      <c r="U155" s="163">
        <f>IF(Grid!$B127="",0,IF(AND(OR(Dashboard!$D$9="All",D155=Dashboard!$D$9),OR(Dashboard!$J$9="All",E155=Dashboard!$J$9)),1,0))</f>
        <v/>
      </c>
    </row>
    <row r="156">
      <c r="B156" s="160">
        <f>IF(Grid!$B128="","",126)</f>
        <v/>
      </c>
      <c r="C156" s="161">
        <f>IF(Grid!$B128="","",TRIM(INDEX('INPUT - Roster'!$F$1:$F$206,Grid!$B128)&amp;""))</f>
        <v/>
      </c>
      <c r="D156" s="158">
        <f>IF(Grid!$B128="","",TRIM(INDEX('INPUT - Roster'!$C$1:$C$206,Grid!$B128)&amp;""))</f>
        <v/>
      </c>
      <c r="E156" s="158">
        <f>IF(Grid!$B128="","",INDEX(Index!$C$2:$C$202,MATCH(Grid!$B128,Index!$A$2:$A$202,0)))</f>
        <v/>
      </c>
      <c r="F156" s="158">
        <f>IF(Grid!$B128="","",TRIM(INDEX('INPUT - Roster'!$H$1:$H$206,Grid!$B128)&amp;""))</f>
        <v/>
      </c>
      <c r="G156" s="160">
        <f>IF(Grid!$B128="","",TRIM(INDEX('INPUT - Roster'!$G$1:$G$206,Grid!$B128)&amp;""))</f>
        <v/>
      </c>
      <c r="H156" s="160">
        <f>IF(Grid!$B128="","",TRIM(INDEX('INPUT - Roster'!$R$1:$R$206,Grid!$B128)&amp;""))</f>
        <v/>
      </c>
      <c r="I156" s="160">
        <f>IF(Grid!$B128="","",TRIM(INDEX('INPUT - Roster'!$O$1:$O$206,Grid!$B128)&amp;""))</f>
        <v/>
      </c>
      <c r="J156" s="160">
        <f>IF(Grid!$B128="","",TRIM(INDEX('INPUT - Roster'!$J$1:$J$206,Grid!$B128)&amp;""))</f>
        <v/>
      </c>
      <c r="K156" s="160">
        <f>IF(Grid!$B128="","",TRIM(INDEX('INPUT - Roster'!$K$1:$K$206,Grid!$B128)&amp;""))</f>
        <v/>
      </c>
      <c r="L156" s="160">
        <f>IF(Grid!$B128="","",TRIM(INDEX('INPUT - Roster'!$L$1:$L$206,Grid!$B128)&amp;""))</f>
        <v/>
      </c>
      <c r="M156" s="160">
        <f>IF(Grid!$B128="","",TRIM(INDEX('INPUT - Roster'!$M$1:$M$206,Grid!$B128)&amp;""))</f>
        <v/>
      </c>
      <c r="N156" s="158">
        <f>Grid!F128</f>
        <v/>
      </c>
      <c r="O156" s="160">
        <f>Grid!AI128</f>
        <v/>
      </c>
      <c r="P156" s="160">
        <f>Grid!BL128</f>
        <v/>
      </c>
      <c r="Q156" s="162">
        <f>IF(Grid!$D128="","",INDEX(Grid!$F$2:$AG$2,Grid!$D128))</f>
        <v/>
      </c>
      <c r="R156" s="158">
        <f>IF(Grid!$D128="","",INDEX(Grid!$F128:$AG128,Grid!$D128))</f>
        <v/>
      </c>
      <c r="S156" s="160">
        <f>IF(Grid!$B128="","",IFERROR(TRIM(INDEX('BHP Site Access'!$G$3:$G$104,MATCH(LOWER(TRIM(INDEX('INPUT - Roster'!$D$1:$D$206,Grid!$B128)&amp;"")&amp;"|"&amp;TRIM(INDEX('INPUT - Roster'!$E$1:$E$206,Grid!$B128)&amp;"")),Calc!$AX$3:$AX$104,0))&amp;""),"Not listed"))</f>
        <v/>
      </c>
      <c r="T156" s="160">
        <f>IF(OR(Grid!$B128="",ISNUMBER(SEARCH("demob",E156))),"",IF(AND(UPPER(TRIM(J156&amp;""))="YES",UPPER(TRIM(K156&amp;""))="YES",UPPER(TRIM(L156&amp;""))="YES",LEFT(UPPER(M156),14)="QUALS COMPLETE"),"","GAP"))</f>
        <v/>
      </c>
      <c r="U156" s="163">
        <f>IF(Grid!$B128="",0,IF(AND(OR(Dashboard!$D$9="All",D156=Dashboard!$D$9),OR(Dashboard!$J$9="All",E156=Dashboard!$J$9)),1,0))</f>
        <v/>
      </c>
    </row>
    <row r="157">
      <c r="B157" s="160">
        <f>IF(Grid!$B129="","",127)</f>
        <v/>
      </c>
      <c r="C157" s="161">
        <f>IF(Grid!$B129="","",TRIM(INDEX('INPUT - Roster'!$F$1:$F$206,Grid!$B129)&amp;""))</f>
        <v/>
      </c>
      <c r="D157" s="158">
        <f>IF(Grid!$B129="","",TRIM(INDEX('INPUT - Roster'!$C$1:$C$206,Grid!$B129)&amp;""))</f>
        <v/>
      </c>
      <c r="E157" s="158">
        <f>IF(Grid!$B129="","",INDEX(Index!$C$2:$C$202,MATCH(Grid!$B129,Index!$A$2:$A$202,0)))</f>
        <v/>
      </c>
      <c r="F157" s="158">
        <f>IF(Grid!$B129="","",TRIM(INDEX('INPUT - Roster'!$H$1:$H$206,Grid!$B129)&amp;""))</f>
        <v/>
      </c>
      <c r="G157" s="160">
        <f>IF(Grid!$B129="","",TRIM(INDEX('INPUT - Roster'!$G$1:$G$206,Grid!$B129)&amp;""))</f>
        <v/>
      </c>
      <c r="H157" s="160">
        <f>IF(Grid!$B129="","",TRIM(INDEX('INPUT - Roster'!$R$1:$R$206,Grid!$B129)&amp;""))</f>
        <v/>
      </c>
      <c r="I157" s="160">
        <f>IF(Grid!$B129="","",TRIM(INDEX('INPUT - Roster'!$O$1:$O$206,Grid!$B129)&amp;""))</f>
        <v/>
      </c>
      <c r="J157" s="160">
        <f>IF(Grid!$B129="","",TRIM(INDEX('INPUT - Roster'!$J$1:$J$206,Grid!$B129)&amp;""))</f>
        <v/>
      </c>
      <c r="K157" s="160">
        <f>IF(Grid!$B129="","",TRIM(INDEX('INPUT - Roster'!$K$1:$K$206,Grid!$B129)&amp;""))</f>
        <v/>
      </c>
      <c r="L157" s="160">
        <f>IF(Grid!$B129="","",TRIM(INDEX('INPUT - Roster'!$L$1:$L$206,Grid!$B129)&amp;""))</f>
        <v/>
      </c>
      <c r="M157" s="160">
        <f>IF(Grid!$B129="","",TRIM(INDEX('INPUT - Roster'!$M$1:$M$206,Grid!$B129)&amp;""))</f>
        <v/>
      </c>
      <c r="N157" s="158">
        <f>Grid!F129</f>
        <v/>
      </c>
      <c r="O157" s="160">
        <f>Grid!AI129</f>
        <v/>
      </c>
      <c r="P157" s="160">
        <f>Grid!BL129</f>
        <v/>
      </c>
      <c r="Q157" s="162">
        <f>IF(Grid!$D129="","",INDEX(Grid!$F$2:$AG$2,Grid!$D129))</f>
        <v/>
      </c>
      <c r="R157" s="158">
        <f>IF(Grid!$D129="","",INDEX(Grid!$F129:$AG129,Grid!$D129))</f>
        <v/>
      </c>
      <c r="S157" s="160">
        <f>IF(Grid!$B129="","",IFERROR(TRIM(INDEX('BHP Site Access'!$G$3:$G$104,MATCH(LOWER(TRIM(INDEX('INPUT - Roster'!$D$1:$D$206,Grid!$B129)&amp;"")&amp;"|"&amp;TRIM(INDEX('INPUT - Roster'!$E$1:$E$206,Grid!$B129)&amp;"")),Calc!$AX$3:$AX$104,0))&amp;""),"Not listed"))</f>
        <v/>
      </c>
      <c r="T157" s="160">
        <f>IF(OR(Grid!$B129="",ISNUMBER(SEARCH("demob",E157))),"",IF(AND(UPPER(TRIM(J157&amp;""))="YES",UPPER(TRIM(K157&amp;""))="YES",UPPER(TRIM(L157&amp;""))="YES",LEFT(UPPER(M157),14)="QUALS COMPLETE"),"","GAP"))</f>
        <v/>
      </c>
      <c r="U157" s="163">
        <f>IF(Grid!$B129="",0,IF(AND(OR(Dashboard!$D$9="All",D157=Dashboard!$D$9),OR(Dashboard!$J$9="All",E157=Dashboard!$J$9)),1,0))</f>
        <v/>
      </c>
    </row>
    <row r="158">
      <c r="B158" s="160">
        <f>IF(Grid!$B130="","",128)</f>
        <v/>
      </c>
      <c r="C158" s="161">
        <f>IF(Grid!$B130="","",TRIM(INDEX('INPUT - Roster'!$F$1:$F$206,Grid!$B130)&amp;""))</f>
        <v/>
      </c>
      <c r="D158" s="158">
        <f>IF(Grid!$B130="","",TRIM(INDEX('INPUT - Roster'!$C$1:$C$206,Grid!$B130)&amp;""))</f>
        <v/>
      </c>
      <c r="E158" s="158">
        <f>IF(Grid!$B130="","",INDEX(Index!$C$2:$C$202,MATCH(Grid!$B130,Index!$A$2:$A$202,0)))</f>
        <v/>
      </c>
      <c r="F158" s="158">
        <f>IF(Grid!$B130="","",TRIM(INDEX('INPUT - Roster'!$H$1:$H$206,Grid!$B130)&amp;""))</f>
        <v/>
      </c>
      <c r="G158" s="160">
        <f>IF(Grid!$B130="","",TRIM(INDEX('INPUT - Roster'!$G$1:$G$206,Grid!$B130)&amp;""))</f>
        <v/>
      </c>
      <c r="H158" s="160">
        <f>IF(Grid!$B130="","",TRIM(INDEX('INPUT - Roster'!$R$1:$R$206,Grid!$B130)&amp;""))</f>
        <v/>
      </c>
      <c r="I158" s="160">
        <f>IF(Grid!$B130="","",TRIM(INDEX('INPUT - Roster'!$O$1:$O$206,Grid!$B130)&amp;""))</f>
        <v/>
      </c>
      <c r="J158" s="160">
        <f>IF(Grid!$B130="","",TRIM(INDEX('INPUT - Roster'!$J$1:$J$206,Grid!$B130)&amp;""))</f>
        <v/>
      </c>
      <c r="K158" s="160">
        <f>IF(Grid!$B130="","",TRIM(INDEX('INPUT - Roster'!$K$1:$K$206,Grid!$B130)&amp;""))</f>
        <v/>
      </c>
      <c r="L158" s="160">
        <f>IF(Grid!$B130="","",TRIM(INDEX('INPUT - Roster'!$L$1:$L$206,Grid!$B130)&amp;""))</f>
        <v/>
      </c>
      <c r="M158" s="160">
        <f>IF(Grid!$B130="","",TRIM(INDEX('INPUT - Roster'!$M$1:$M$206,Grid!$B130)&amp;""))</f>
        <v/>
      </c>
      <c r="N158" s="158">
        <f>Grid!F130</f>
        <v/>
      </c>
      <c r="O158" s="160">
        <f>Grid!AI130</f>
        <v/>
      </c>
      <c r="P158" s="160">
        <f>Grid!BL130</f>
        <v/>
      </c>
      <c r="Q158" s="162">
        <f>IF(Grid!$D130="","",INDEX(Grid!$F$2:$AG$2,Grid!$D130))</f>
        <v/>
      </c>
      <c r="R158" s="158">
        <f>IF(Grid!$D130="","",INDEX(Grid!$F130:$AG130,Grid!$D130))</f>
        <v/>
      </c>
      <c r="S158" s="160">
        <f>IF(Grid!$B130="","",IFERROR(TRIM(INDEX('BHP Site Access'!$G$3:$G$104,MATCH(LOWER(TRIM(INDEX('INPUT - Roster'!$D$1:$D$206,Grid!$B130)&amp;"")&amp;"|"&amp;TRIM(INDEX('INPUT - Roster'!$E$1:$E$206,Grid!$B130)&amp;"")),Calc!$AX$3:$AX$104,0))&amp;""),"Not listed"))</f>
        <v/>
      </c>
      <c r="T158" s="160">
        <f>IF(OR(Grid!$B130="",ISNUMBER(SEARCH("demob",E158))),"",IF(AND(UPPER(TRIM(J158&amp;""))="YES",UPPER(TRIM(K158&amp;""))="YES",UPPER(TRIM(L158&amp;""))="YES",LEFT(UPPER(M158),14)="QUALS COMPLETE"),"","GAP"))</f>
        <v/>
      </c>
      <c r="U158" s="163">
        <f>IF(Grid!$B130="",0,IF(AND(OR(Dashboard!$D$9="All",D158=Dashboard!$D$9),OR(Dashboard!$J$9="All",E158=Dashboard!$J$9)),1,0))</f>
        <v/>
      </c>
    </row>
    <row r="159">
      <c r="B159" s="160">
        <f>IF(Grid!$B131="","",129)</f>
        <v/>
      </c>
      <c r="C159" s="161">
        <f>IF(Grid!$B131="","",TRIM(INDEX('INPUT - Roster'!$F$1:$F$206,Grid!$B131)&amp;""))</f>
        <v/>
      </c>
      <c r="D159" s="158">
        <f>IF(Grid!$B131="","",TRIM(INDEX('INPUT - Roster'!$C$1:$C$206,Grid!$B131)&amp;""))</f>
        <v/>
      </c>
      <c r="E159" s="158">
        <f>IF(Grid!$B131="","",INDEX(Index!$C$2:$C$202,MATCH(Grid!$B131,Index!$A$2:$A$202,0)))</f>
        <v/>
      </c>
      <c r="F159" s="158">
        <f>IF(Grid!$B131="","",TRIM(INDEX('INPUT - Roster'!$H$1:$H$206,Grid!$B131)&amp;""))</f>
        <v/>
      </c>
      <c r="G159" s="160">
        <f>IF(Grid!$B131="","",TRIM(INDEX('INPUT - Roster'!$G$1:$G$206,Grid!$B131)&amp;""))</f>
        <v/>
      </c>
      <c r="H159" s="160">
        <f>IF(Grid!$B131="","",TRIM(INDEX('INPUT - Roster'!$R$1:$R$206,Grid!$B131)&amp;""))</f>
        <v/>
      </c>
      <c r="I159" s="160">
        <f>IF(Grid!$B131="","",TRIM(INDEX('INPUT - Roster'!$O$1:$O$206,Grid!$B131)&amp;""))</f>
        <v/>
      </c>
      <c r="J159" s="160">
        <f>IF(Grid!$B131="","",TRIM(INDEX('INPUT - Roster'!$J$1:$J$206,Grid!$B131)&amp;""))</f>
        <v/>
      </c>
      <c r="K159" s="160">
        <f>IF(Grid!$B131="","",TRIM(INDEX('INPUT - Roster'!$K$1:$K$206,Grid!$B131)&amp;""))</f>
        <v/>
      </c>
      <c r="L159" s="160">
        <f>IF(Grid!$B131="","",TRIM(INDEX('INPUT - Roster'!$L$1:$L$206,Grid!$B131)&amp;""))</f>
        <v/>
      </c>
      <c r="M159" s="160">
        <f>IF(Grid!$B131="","",TRIM(INDEX('INPUT - Roster'!$M$1:$M$206,Grid!$B131)&amp;""))</f>
        <v/>
      </c>
      <c r="N159" s="158">
        <f>Grid!F131</f>
        <v/>
      </c>
      <c r="O159" s="160">
        <f>Grid!AI131</f>
        <v/>
      </c>
      <c r="P159" s="160">
        <f>Grid!BL131</f>
        <v/>
      </c>
      <c r="Q159" s="162">
        <f>IF(Grid!$D131="","",INDEX(Grid!$F$2:$AG$2,Grid!$D131))</f>
        <v/>
      </c>
      <c r="R159" s="158">
        <f>IF(Grid!$D131="","",INDEX(Grid!$F131:$AG131,Grid!$D131))</f>
        <v/>
      </c>
      <c r="S159" s="160">
        <f>IF(Grid!$B131="","",IFERROR(TRIM(INDEX('BHP Site Access'!$G$3:$G$104,MATCH(LOWER(TRIM(INDEX('INPUT - Roster'!$D$1:$D$206,Grid!$B131)&amp;"")&amp;"|"&amp;TRIM(INDEX('INPUT - Roster'!$E$1:$E$206,Grid!$B131)&amp;"")),Calc!$AX$3:$AX$104,0))&amp;""),"Not listed"))</f>
        <v/>
      </c>
      <c r="T159" s="160">
        <f>IF(OR(Grid!$B131="",ISNUMBER(SEARCH("demob",E159))),"",IF(AND(UPPER(TRIM(J159&amp;""))="YES",UPPER(TRIM(K159&amp;""))="YES",UPPER(TRIM(L159&amp;""))="YES",LEFT(UPPER(M159),14)="QUALS COMPLETE"),"","GAP"))</f>
        <v/>
      </c>
      <c r="U159" s="163">
        <f>IF(Grid!$B131="",0,IF(AND(OR(Dashboard!$D$9="All",D159=Dashboard!$D$9),OR(Dashboard!$J$9="All",E159=Dashboard!$J$9)),1,0))</f>
        <v/>
      </c>
    </row>
    <row r="160">
      <c r="B160" s="160">
        <f>IF(Grid!$B132="","",130)</f>
        <v/>
      </c>
      <c r="C160" s="161">
        <f>IF(Grid!$B132="","",TRIM(INDEX('INPUT - Roster'!$F$1:$F$206,Grid!$B132)&amp;""))</f>
        <v/>
      </c>
      <c r="D160" s="158">
        <f>IF(Grid!$B132="","",TRIM(INDEX('INPUT - Roster'!$C$1:$C$206,Grid!$B132)&amp;""))</f>
        <v/>
      </c>
      <c r="E160" s="158">
        <f>IF(Grid!$B132="","",INDEX(Index!$C$2:$C$202,MATCH(Grid!$B132,Index!$A$2:$A$202,0)))</f>
        <v/>
      </c>
      <c r="F160" s="158">
        <f>IF(Grid!$B132="","",TRIM(INDEX('INPUT - Roster'!$H$1:$H$206,Grid!$B132)&amp;""))</f>
        <v/>
      </c>
      <c r="G160" s="160">
        <f>IF(Grid!$B132="","",TRIM(INDEX('INPUT - Roster'!$G$1:$G$206,Grid!$B132)&amp;""))</f>
        <v/>
      </c>
      <c r="H160" s="160">
        <f>IF(Grid!$B132="","",TRIM(INDEX('INPUT - Roster'!$R$1:$R$206,Grid!$B132)&amp;""))</f>
        <v/>
      </c>
      <c r="I160" s="160">
        <f>IF(Grid!$B132="","",TRIM(INDEX('INPUT - Roster'!$O$1:$O$206,Grid!$B132)&amp;""))</f>
        <v/>
      </c>
      <c r="J160" s="160">
        <f>IF(Grid!$B132="","",TRIM(INDEX('INPUT - Roster'!$J$1:$J$206,Grid!$B132)&amp;""))</f>
        <v/>
      </c>
      <c r="K160" s="160">
        <f>IF(Grid!$B132="","",TRIM(INDEX('INPUT - Roster'!$K$1:$K$206,Grid!$B132)&amp;""))</f>
        <v/>
      </c>
      <c r="L160" s="160">
        <f>IF(Grid!$B132="","",TRIM(INDEX('INPUT - Roster'!$L$1:$L$206,Grid!$B132)&amp;""))</f>
        <v/>
      </c>
      <c r="M160" s="160">
        <f>IF(Grid!$B132="","",TRIM(INDEX('INPUT - Roster'!$M$1:$M$206,Grid!$B132)&amp;""))</f>
        <v/>
      </c>
      <c r="N160" s="158">
        <f>Grid!F132</f>
        <v/>
      </c>
      <c r="O160" s="160">
        <f>Grid!AI132</f>
        <v/>
      </c>
      <c r="P160" s="160">
        <f>Grid!BL132</f>
        <v/>
      </c>
      <c r="Q160" s="162">
        <f>IF(Grid!$D132="","",INDEX(Grid!$F$2:$AG$2,Grid!$D132))</f>
        <v/>
      </c>
      <c r="R160" s="158">
        <f>IF(Grid!$D132="","",INDEX(Grid!$F132:$AG132,Grid!$D132))</f>
        <v/>
      </c>
      <c r="S160" s="160">
        <f>IF(Grid!$B132="","",IFERROR(TRIM(INDEX('BHP Site Access'!$G$3:$G$104,MATCH(LOWER(TRIM(INDEX('INPUT - Roster'!$D$1:$D$206,Grid!$B132)&amp;"")&amp;"|"&amp;TRIM(INDEX('INPUT - Roster'!$E$1:$E$206,Grid!$B132)&amp;"")),Calc!$AX$3:$AX$104,0))&amp;""),"Not listed"))</f>
        <v/>
      </c>
      <c r="T160" s="160">
        <f>IF(OR(Grid!$B132="",ISNUMBER(SEARCH("demob",E160))),"",IF(AND(UPPER(TRIM(J160&amp;""))="YES",UPPER(TRIM(K160&amp;""))="YES",UPPER(TRIM(L160&amp;""))="YES",LEFT(UPPER(M160),14)="QUALS COMPLETE"),"","GAP"))</f>
        <v/>
      </c>
      <c r="U160" s="163">
        <f>IF(Grid!$B132="",0,IF(AND(OR(Dashboard!$D$9="All",D160=Dashboard!$D$9),OR(Dashboard!$J$9="All",E160=Dashboard!$J$9)),1,0))</f>
        <v/>
      </c>
    </row>
    <row r="161">
      <c r="B161" s="160">
        <f>IF(Grid!$B133="","",131)</f>
        <v/>
      </c>
      <c r="C161" s="161">
        <f>IF(Grid!$B133="","",TRIM(INDEX('INPUT - Roster'!$F$1:$F$206,Grid!$B133)&amp;""))</f>
        <v/>
      </c>
      <c r="D161" s="158">
        <f>IF(Grid!$B133="","",TRIM(INDEX('INPUT - Roster'!$C$1:$C$206,Grid!$B133)&amp;""))</f>
        <v/>
      </c>
      <c r="E161" s="158">
        <f>IF(Grid!$B133="","",INDEX(Index!$C$2:$C$202,MATCH(Grid!$B133,Index!$A$2:$A$202,0)))</f>
        <v/>
      </c>
      <c r="F161" s="158">
        <f>IF(Grid!$B133="","",TRIM(INDEX('INPUT - Roster'!$H$1:$H$206,Grid!$B133)&amp;""))</f>
        <v/>
      </c>
      <c r="G161" s="160">
        <f>IF(Grid!$B133="","",TRIM(INDEX('INPUT - Roster'!$G$1:$G$206,Grid!$B133)&amp;""))</f>
        <v/>
      </c>
      <c r="H161" s="160">
        <f>IF(Grid!$B133="","",TRIM(INDEX('INPUT - Roster'!$R$1:$R$206,Grid!$B133)&amp;""))</f>
        <v/>
      </c>
      <c r="I161" s="160">
        <f>IF(Grid!$B133="","",TRIM(INDEX('INPUT - Roster'!$O$1:$O$206,Grid!$B133)&amp;""))</f>
        <v/>
      </c>
      <c r="J161" s="160">
        <f>IF(Grid!$B133="","",TRIM(INDEX('INPUT - Roster'!$J$1:$J$206,Grid!$B133)&amp;""))</f>
        <v/>
      </c>
      <c r="K161" s="160">
        <f>IF(Grid!$B133="","",TRIM(INDEX('INPUT - Roster'!$K$1:$K$206,Grid!$B133)&amp;""))</f>
        <v/>
      </c>
      <c r="L161" s="160">
        <f>IF(Grid!$B133="","",TRIM(INDEX('INPUT - Roster'!$L$1:$L$206,Grid!$B133)&amp;""))</f>
        <v/>
      </c>
      <c r="M161" s="160">
        <f>IF(Grid!$B133="","",TRIM(INDEX('INPUT - Roster'!$M$1:$M$206,Grid!$B133)&amp;""))</f>
        <v/>
      </c>
      <c r="N161" s="158">
        <f>Grid!F133</f>
        <v/>
      </c>
      <c r="O161" s="160">
        <f>Grid!AI133</f>
        <v/>
      </c>
      <c r="P161" s="160">
        <f>Grid!BL133</f>
        <v/>
      </c>
      <c r="Q161" s="162">
        <f>IF(Grid!$D133="","",INDEX(Grid!$F$2:$AG$2,Grid!$D133))</f>
        <v/>
      </c>
      <c r="R161" s="158">
        <f>IF(Grid!$D133="","",INDEX(Grid!$F133:$AG133,Grid!$D133))</f>
        <v/>
      </c>
      <c r="S161" s="160">
        <f>IF(Grid!$B133="","",IFERROR(TRIM(INDEX('BHP Site Access'!$G$3:$G$104,MATCH(LOWER(TRIM(INDEX('INPUT - Roster'!$D$1:$D$206,Grid!$B133)&amp;"")&amp;"|"&amp;TRIM(INDEX('INPUT - Roster'!$E$1:$E$206,Grid!$B133)&amp;"")),Calc!$AX$3:$AX$104,0))&amp;""),"Not listed"))</f>
        <v/>
      </c>
      <c r="T161" s="160">
        <f>IF(OR(Grid!$B133="",ISNUMBER(SEARCH("demob",E161))),"",IF(AND(UPPER(TRIM(J161&amp;""))="YES",UPPER(TRIM(K161&amp;""))="YES",UPPER(TRIM(L161&amp;""))="YES",LEFT(UPPER(M161),14)="QUALS COMPLETE"),"","GAP"))</f>
        <v/>
      </c>
      <c r="U161" s="163">
        <f>IF(Grid!$B133="",0,IF(AND(OR(Dashboard!$D$9="All",D161=Dashboard!$D$9),OR(Dashboard!$J$9="All",E161=Dashboard!$J$9)),1,0))</f>
        <v/>
      </c>
    </row>
    <row r="162">
      <c r="B162" s="160">
        <f>IF(Grid!$B134="","",132)</f>
        <v/>
      </c>
      <c r="C162" s="161">
        <f>IF(Grid!$B134="","",TRIM(INDEX('INPUT - Roster'!$F$1:$F$206,Grid!$B134)&amp;""))</f>
        <v/>
      </c>
      <c r="D162" s="158">
        <f>IF(Grid!$B134="","",TRIM(INDEX('INPUT - Roster'!$C$1:$C$206,Grid!$B134)&amp;""))</f>
        <v/>
      </c>
      <c r="E162" s="158">
        <f>IF(Grid!$B134="","",INDEX(Index!$C$2:$C$202,MATCH(Grid!$B134,Index!$A$2:$A$202,0)))</f>
        <v/>
      </c>
      <c r="F162" s="158">
        <f>IF(Grid!$B134="","",TRIM(INDEX('INPUT - Roster'!$H$1:$H$206,Grid!$B134)&amp;""))</f>
        <v/>
      </c>
      <c r="G162" s="160">
        <f>IF(Grid!$B134="","",TRIM(INDEX('INPUT - Roster'!$G$1:$G$206,Grid!$B134)&amp;""))</f>
        <v/>
      </c>
      <c r="H162" s="160">
        <f>IF(Grid!$B134="","",TRIM(INDEX('INPUT - Roster'!$R$1:$R$206,Grid!$B134)&amp;""))</f>
        <v/>
      </c>
      <c r="I162" s="160">
        <f>IF(Grid!$B134="","",TRIM(INDEX('INPUT - Roster'!$O$1:$O$206,Grid!$B134)&amp;""))</f>
        <v/>
      </c>
      <c r="J162" s="160">
        <f>IF(Grid!$B134="","",TRIM(INDEX('INPUT - Roster'!$J$1:$J$206,Grid!$B134)&amp;""))</f>
        <v/>
      </c>
      <c r="K162" s="160">
        <f>IF(Grid!$B134="","",TRIM(INDEX('INPUT - Roster'!$K$1:$K$206,Grid!$B134)&amp;""))</f>
        <v/>
      </c>
      <c r="L162" s="160">
        <f>IF(Grid!$B134="","",TRIM(INDEX('INPUT - Roster'!$L$1:$L$206,Grid!$B134)&amp;""))</f>
        <v/>
      </c>
      <c r="M162" s="160">
        <f>IF(Grid!$B134="","",TRIM(INDEX('INPUT - Roster'!$M$1:$M$206,Grid!$B134)&amp;""))</f>
        <v/>
      </c>
      <c r="N162" s="158">
        <f>Grid!F134</f>
        <v/>
      </c>
      <c r="O162" s="160">
        <f>Grid!AI134</f>
        <v/>
      </c>
      <c r="P162" s="160">
        <f>Grid!BL134</f>
        <v/>
      </c>
      <c r="Q162" s="162">
        <f>IF(Grid!$D134="","",INDEX(Grid!$F$2:$AG$2,Grid!$D134))</f>
        <v/>
      </c>
      <c r="R162" s="158">
        <f>IF(Grid!$D134="","",INDEX(Grid!$F134:$AG134,Grid!$D134))</f>
        <v/>
      </c>
      <c r="S162" s="160">
        <f>IF(Grid!$B134="","",IFERROR(TRIM(INDEX('BHP Site Access'!$G$3:$G$104,MATCH(LOWER(TRIM(INDEX('INPUT - Roster'!$D$1:$D$206,Grid!$B134)&amp;"")&amp;"|"&amp;TRIM(INDEX('INPUT - Roster'!$E$1:$E$206,Grid!$B134)&amp;"")),Calc!$AX$3:$AX$104,0))&amp;""),"Not listed"))</f>
        <v/>
      </c>
      <c r="T162" s="160">
        <f>IF(OR(Grid!$B134="",ISNUMBER(SEARCH("demob",E162))),"",IF(AND(UPPER(TRIM(J162&amp;""))="YES",UPPER(TRIM(K162&amp;""))="YES",UPPER(TRIM(L162&amp;""))="YES",LEFT(UPPER(M162),14)="QUALS COMPLETE"),"","GAP"))</f>
        <v/>
      </c>
      <c r="U162" s="163">
        <f>IF(Grid!$B134="",0,IF(AND(OR(Dashboard!$D$9="All",D162=Dashboard!$D$9),OR(Dashboard!$J$9="All",E162=Dashboard!$J$9)),1,0))</f>
        <v/>
      </c>
    </row>
    <row r="163">
      <c r="B163" s="160">
        <f>IF(Grid!$B135="","",133)</f>
        <v/>
      </c>
      <c r="C163" s="161">
        <f>IF(Grid!$B135="","",TRIM(INDEX('INPUT - Roster'!$F$1:$F$206,Grid!$B135)&amp;""))</f>
        <v/>
      </c>
      <c r="D163" s="158">
        <f>IF(Grid!$B135="","",TRIM(INDEX('INPUT - Roster'!$C$1:$C$206,Grid!$B135)&amp;""))</f>
        <v/>
      </c>
      <c r="E163" s="158">
        <f>IF(Grid!$B135="","",INDEX(Index!$C$2:$C$202,MATCH(Grid!$B135,Index!$A$2:$A$202,0)))</f>
        <v/>
      </c>
      <c r="F163" s="158">
        <f>IF(Grid!$B135="","",TRIM(INDEX('INPUT - Roster'!$H$1:$H$206,Grid!$B135)&amp;""))</f>
        <v/>
      </c>
      <c r="G163" s="160">
        <f>IF(Grid!$B135="","",TRIM(INDEX('INPUT - Roster'!$G$1:$G$206,Grid!$B135)&amp;""))</f>
        <v/>
      </c>
      <c r="H163" s="160">
        <f>IF(Grid!$B135="","",TRIM(INDEX('INPUT - Roster'!$R$1:$R$206,Grid!$B135)&amp;""))</f>
        <v/>
      </c>
      <c r="I163" s="160">
        <f>IF(Grid!$B135="","",TRIM(INDEX('INPUT - Roster'!$O$1:$O$206,Grid!$B135)&amp;""))</f>
        <v/>
      </c>
      <c r="J163" s="160">
        <f>IF(Grid!$B135="","",TRIM(INDEX('INPUT - Roster'!$J$1:$J$206,Grid!$B135)&amp;""))</f>
        <v/>
      </c>
      <c r="K163" s="160">
        <f>IF(Grid!$B135="","",TRIM(INDEX('INPUT - Roster'!$K$1:$K$206,Grid!$B135)&amp;""))</f>
        <v/>
      </c>
      <c r="L163" s="160">
        <f>IF(Grid!$B135="","",TRIM(INDEX('INPUT - Roster'!$L$1:$L$206,Grid!$B135)&amp;""))</f>
        <v/>
      </c>
      <c r="M163" s="160">
        <f>IF(Grid!$B135="","",TRIM(INDEX('INPUT - Roster'!$M$1:$M$206,Grid!$B135)&amp;""))</f>
        <v/>
      </c>
      <c r="N163" s="158">
        <f>Grid!F135</f>
        <v/>
      </c>
      <c r="O163" s="160">
        <f>Grid!AI135</f>
        <v/>
      </c>
      <c r="P163" s="160">
        <f>Grid!BL135</f>
        <v/>
      </c>
      <c r="Q163" s="162">
        <f>IF(Grid!$D135="","",INDEX(Grid!$F$2:$AG$2,Grid!$D135))</f>
        <v/>
      </c>
      <c r="R163" s="158">
        <f>IF(Grid!$D135="","",INDEX(Grid!$F135:$AG135,Grid!$D135))</f>
        <v/>
      </c>
      <c r="S163" s="160">
        <f>IF(Grid!$B135="","",IFERROR(TRIM(INDEX('BHP Site Access'!$G$3:$G$104,MATCH(LOWER(TRIM(INDEX('INPUT - Roster'!$D$1:$D$206,Grid!$B135)&amp;"")&amp;"|"&amp;TRIM(INDEX('INPUT - Roster'!$E$1:$E$206,Grid!$B135)&amp;"")),Calc!$AX$3:$AX$104,0))&amp;""),"Not listed"))</f>
        <v/>
      </c>
      <c r="T163" s="160">
        <f>IF(OR(Grid!$B135="",ISNUMBER(SEARCH("demob",E163))),"",IF(AND(UPPER(TRIM(J163&amp;""))="YES",UPPER(TRIM(K163&amp;""))="YES",UPPER(TRIM(L163&amp;""))="YES",LEFT(UPPER(M163),14)="QUALS COMPLETE"),"","GAP"))</f>
        <v/>
      </c>
      <c r="U163" s="163">
        <f>IF(Grid!$B135="",0,IF(AND(OR(Dashboard!$D$9="All",D163=Dashboard!$D$9),OR(Dashboard!$J$9="All",E163=Dashboard!$J$9)),1,0))</f>
        <v/>
      </c>
    </row>
    <row r="164">
      <c r="B164" s="160">
        <f>IF(Grid!$B136="","",134)</f>
        <v/>
      </c>
      <c r="C164" s="161">
        <f>IF(Grid!$B136="","",TRIM(INDEX('INPUT - Roster'!$F$1:$F$206,Grid!$B136)&amp;""))</f>
        <v/>
      </c>
      <c r="D164" s="158">
        <f>IF(Grid!$B136="","",TRIM(INDEX('INPUT - Roster'!$C$1:$C$206,Grid!$B136)&amp;""))</f>
        <v/>
      </c>
      <c r="E164" s="158">
        <f>IF(Grid!$B136="","",INDEX(Index!$C$2:$C$202,MATCH(Grid!$B136,Index!$A$2:$A$202,0)))</f>
        <v/>
      </c>
      <c r="F164" s="158">
        <f>IF(Grid!$B136="","",TRIM(INDEX('INPUT - Roster'!$H$1:$H$206,Grid!$B136)&amp;""))</f>
        <v/>
      </c>
      <c r="G164" s="160">
        <f>IF(Grid!$B136="","",TRIM(INDEX('INPUT - Roster'!$G$1:$G$206,Grid!$B136)&amp;""))</f>
        <v/>
      </c>
      <c r="H164" s="160">
        <f>IF(Grid!$B136="","",TRIM(INDEX('INPUT - Roster'!$R$1:$R$206,Grid!$B136)&amp;""))</f>
        <v/>
      </c>
      <c r="I164" s="160">
        <f>IF(Grid!$B136="","",TRIM(INDEX('INPUT - Roster'!$O$1:$O$206,Grid!$B136)&amp;""))</f>
        <v/>
      </c>
      <c r="J164" s="160">
        <f>IF(Grid!$B136="","",TRIM(INDEX('INPUT - Roster'!$J$1:$J$206,Grid!$B136)&amp;""))</f>
        <v/>
      </c>
      <c r="K164" s="160">
        <f>IF(Grid!$B136="","",TRIM(INDEX('INPUT - Roster'!$K$1:$K$206,Grid!$B136)&amp;""))</f>
        <v/>
      </c>
      <c r="L164" s="160">
        <f>IF(Grid!$B136="","",TRIM(INDEX('INPUT - Roster'!$L$1:$L$206,Grid!$B136)&amp;""))</f>
        <v/>
      </c>
      <c r="M164" s="160">
        <f>IF(Grid!$B136="","",TRIM(INDEX('INPUT - Roster'!$M$1:$M$206,Grid!$B136)&amp;""))</f>
        <v/>
      </c>
      <c r="N164" s="158">
        <f>Grid!F136</f>
        <v/>
      </c>
      <c r="O164" s="160">
        <f>Grid!AI136</f>
        <v/>
      </c>
      <c r="P164" s="160">
        <f>Grid!BL136</f>
        <v/>
      </c>
      <c r="Q164" s="162">
        <f>IF(Grid!$D136="","",INDEX(Grid!$F$2:$AG$2,Grid!$D136))</f>
        <v/>
      </c>
      <c r="R164" s="158">
        <f>IF(Grid!$D136="","",INDEX(Grid!$F136:$AG136,Grid!$D136))</f>
        <v/>
      </c>
      <c r="S164" s="160">
        <f>IF(Grid!$B136="","",IFERROR(TRIM(INDEX('BHP Site Access'!$G$3:$G$104,MATCH(LOWER(TRIM(INDEX('INPUT - Roster'!$D$1:$D$206,Grid!$B136)&amp;"")&amp;"|"&amp;TRIM(INDEX('INPUT - Roster'!$E$1:$E$206,Grid!$B136)&amp;"")),Calc!$AX$3:$AX$104,0))&amp;""),"Not listed"))</f>
        <v/>
      </c>
      <c r="T164" s="160">
        <f>IF(OR(Grid!$B136="",ISNUMBER(SEARCH("demob",E164))),"",IF(AND(UPPER(TRIM(J164&amp;""))="YES",UPPER(TRIM(K164&amp;""))="YES",UPPER(TRIM(L164&amp;""))="YES",LEFT(UPPER(M164),14)="QUALS COMPLETE"),"","GAP"))</f>
        <v/>
      </c>
      <c r="U164" s="163">
        <f>IF(Grid!$B136="",0,IF(AND(OR(Dashboard!$D$9="All",D164=Dashboard!$D$9),OR(Dashboard!$J$9="All",E164=Dashboard!$J$9)),1,0))</f>
        <v/>
      </c>
    </row>
    <row r="165">
      <c r="B165" s="160">
        <f>IF(Grid!$B137="","",135)</f>
        <v/>
      </c>
      <c r="C165" s="161">
        <f>IF(Grid!$B137="","",TRIM(INDEX('INPUT - Roster'!$F$1:$F$206,Grid!$B137)&amp;""))</f>
        <v/>
      </c>
      <c r="D165" s="158">
        <f>IF(Grid!$B137="","",TRIM(INDEX('INPUT - Roster'!$C$1:$C$206,Grid!$B137)&amp;""))</f>
        <v/>
      </c>
      <c r="E165" s="158">
        <f>IF(Grid!$B137="","",INDEX(Index!$C$2:$C$202,MATCH(Grid!$B137,Index!$A$2:$A$202,0)))</f>
        <v/>
      </c>
      <c r="F165" s="158">
        <f>IF(Grid!$B137="","",TRIM(INDEX('INPUT - Roster'!$H$1:$H$206,Grid!$B137)&amp;""))</f>
        <v/>
      </c>
      <c r="G165" s="160">
        <f>IF(Grid!$B137="","",TRIM(INDEX('INPUT - Roster'!$G$1:$G$206,Grid!$B137)&amp;""))</f>
        <v/>
      </c>
      <c r="H165" s="160">
        <f>IF(Grid!$B137="","",TRIM(INDEX('INPUT - Roster'!$R$1:$R$206,Grid!$B137)&amp;""))</f>
        <v/>
      </c>
      <c r="I165" s="160">
        <f>IF(Grid!$B137="","",TRIM(INDEX('INPUT - Roster'!$O$1:$O$206,Grid!$B137)&amp;""))</f>
        <v/>
      </c>
      <c r="J165" s="160">
        <f>IF(Grid!$B137="","",TRIM(INDEX('INPUT - Roster'!$J$1:$J$206,Grid!$B137)&amp;""))</f>
        <v/>
      </c>
      <c r="K165" s="160">
        <f>IF(Grid!$B137="","",TRIM(INDEX('INPUT - Roster'!$K$1:$K$206,Grid!$B137)&amp;""))</f>
        <v/>
      </c>
      <c r="L165" s="160">
        <f>IF(Grid!$B137="","",TRIM(INDEX('INPUT - Roster'!$L$1:$L$206,Grid!$B137)&amp;""))</f>
        <v/>
      </c>
      <c r="M165" s="160">
        <f>IF(Grid!$B137="","",TRIM(INDEX('INPUT - Roster'!$M$1:$M$206,Grid!$B137)&amp;""))</f>
        <v/>
      </c>
      <c r="N165" s="158">
        <f>Grid!F137</f>
        <v/>
      </c>
      <c r="O165" s="160">
        <f>Grid!AI137</f>
        <v/>
      </c>
      <c r="P165" s="160">
        <f>Grid!BL137</f>
        <v/>
      </c>
      <c r="Q165" s="162">
        <f>IF(Grid!$D137="","",INDEX(Grid!$F$2:$AG$2,Grid!$D137))</f>
        <v/>
      </c>
      <c r="R165" s="158">
        <f>IF(Grid!$D137="","",INDEX(Grid!$F137:$AG137,Grid!$D137))</f>
        <v/>
      </c>
      <c r="S165" s="160">
        <f>IF(Grid!$B137="","",IFERROR(TRIM(INDEX('BHP Site Access'!$G$3:$G$104,MATCH(LOWER(TRIM(INDEX('INPUT - Roster'!$D$1:$D$206,Grid!$B137)&amp;"")&amp;"|"&amp;TRIM(INDEX('INPUT - Roster'!$E$1:$E$206,Grid!$B137)&amp;"")),Calc!$AX$3:$AX$104,0))&amp;""),"Not listed"))</f>
        <v/>
      </c>
      <c r="T165" s="160">
        <f>IF(OR(Grid!$B137="",ISNUMBER(SEARCH("demob",E165))),"",IF(AND(UPPER(TRIM(J165&amp;""))="YES",UPPER(TRIM(K165&amp;""))="YES",UPPER(TRIM(L165&amp;""))="YES",LEFT(UPPER(M165),14)="QUALS COMPLETE"),"","GAP"))</f>
        <v/>
      </c>
      <c r="U165" s="163">
        <f>IF(Grid!$B137="",0,IF(AND(OR(Dashboard!$D$9="All",D165=Dashboard!$D$9),OR(Dashboard!$J$9="All",E165=Dashboard!$J$9)),1,0))</f>
        <v/>
      </c>
    </row>
    <row r="166">
      <c r="B166" s="160">
        <f>IF(Grid!$B138="","",136)</f>
        <v/>
      </c>
      <c r="C166" s="161">
        <f>IF(Grid!$B138="","",TRIM(INDEX('INPUT - Roster'!$F$1:$F$206,Grid!$B138)&amp;""))</f>
        <v/>
      </c>
      <c r="D166" s="158">
        <f>IF(Grid!$B138="","",TRIM(INDEX('INPUT - Roster'!$C$1:$C$206,Grid!$B138)&amp;""))</f>
        <v/>
      </c>
      <c r="E166" s="158">
        <f>IF(Grid!$B138="","",INDEX(Index!$C$2:$C$202,MATCH(Grid!$B138,Index!$A$2:$A$202,0)))</f>
        <v/>
      </c>
      <c r="F166" s="158">
        <f>IF(Grid!$B138="","",TRIM(INDEX('INPUT - Roster'!$H$1:$H$206,Grid!$B138)&amp;""))</f>
        <v/>
      </c>
      <c r="G166" s="160">
        <f>IF(Grid!$B138="","",TRIM(INDEX('INPUT - Roster'!$G$1:$G$206,Grid!$B138)&amp;""))</f>
        <v/>
      </c>
      <c r="H166" s="160">
        <f>IF(Grid!$B138="","",TRIM(INDEX('INPUT - Roster'!$R$1:$R$206,Grid!$B138)&amp;""))</f>
        <v/>
      </c>
      <c r="I166" s="160">
        <f>IF(Grid!$B138="","",TRIM(INDEX('INPUT - Roster'!$O$1:$O$206,Grid!$B138)&amp;""))</f>
        <v/>
      </c>
      <c r="J166" s="160">
        <f>IF(Grid!$B138="","",TRIM(INDEX('INPUT - Roster'!$J$1:$J$206,Grid!$B138)&amp;""))</f>
        <v/>
      </c>
      <c r="K166" s="160">
        <f>IF(Grid!$B138="","",TRIM(INDEX('INPUT - Roster'!$K$1:$K$206,Grid!$B138)&amp;""))</f>
        <v/>
      </c>
      <c r="L166" s="160">
        <f>IF(Grid!$B138="","",TRIM(INDEX('INPUT - Roster'!$L$1:$L$206,Grid!$B138)&amp;""))</f>
        <v/>
      </c>
      <c r="M166" s="160">
        <f>IF(Grid!$B138="","",TRIM(INDEX('INPUT - Roster'!$M$1:$M$206,Grid!$B138)&amp;""))</f>
        <v/>
      </c>
      <c r="N166" s="158">
        <f>Grid!F138</f>
        <v/>
      </c>
      <c r="O166" s="160">
        <f>Grid!AI138</f>
        <v/>
      </c>
      <c r="P166" s="160">
        <f>Grid!BL138</f>
        <v/>
      </c>
      <c r="Q166" s="162">
        <f>IF(Grid!$D138="","",INDEX(Grid!$F$2:$AG$2,Grid!$D138))</f>
        <v/>
      </c>
      <c r="R166" s="158">
        <f>IF(Grid!$D138="","",INDEX(Grid!$F138:$AG138,Grid!$D138))</f>
        <v/>
      </c>
      <c r="S166" s="160">
        <f>IF(Grid!$B138="","",IFERROR(TRIM(INDEX('BHP Site Access'!$G$3:$G$104,MATCH(LOWER(TRIM(INDEX('INPUT - Roster'!$D$1:$D$206,Grid!$B138)&amp;"")&amp;"|"&amp;TRIM(INDEX('INPUT - Roster'!$E$1:$E$206,Grid!$B138)&amp;"")),Calc!$AX$3:$AX$104,0))&amp;""),"Not listed"))</f>
        <v/>
      </c>
      <c r="T166" s="160">
        <f>IF(OR(Grid!$B138="",ISNUMBER(SEARCH("demob",E166))),"",IF(AND(UPPER(TRIM(J166&amp;""))="YES",UPPER(TRIM(K166&amp;""))="YES",UPPER(TRIM(L166&amp;""))="YES",LEFT(UPPER(M166),14)="QUALS COMPLETE"),"","GAP"))</f>
        <v/>
      </c>
      <c r="U166" s="163">
        <f>IF(Grid!$B138="",0,IF(AND(OR(Dashboard!$D$9="All",D166=Dashboard!$D$9),OR(Dashboard!$J$9="All",E166=Dashboard!$J$9)),1,0))</f>
        <v/>
      </c>
    </row>
    <row r="167">
      <c r="B167" s="160">
        <f>IF(Grid!$B139="","",137)</f>
        <v/>
      </c>
      <c r="C167" s="161">
        <f>IF(Grid!$B139="","",TRIM(INDEX('INPUT - Roster'!$F$1:$F$206,Grid!$B139)&amp;""))</f>
        <v/>
      </c>
      <c r="D167" s="158">
        <f>IF(Grid!$B139="","",TRIM(INDEX('INPUT - Roster'!$C$1:$C$206,Grid!$B139)&amp;""))</f>
        <v/>
      </c>
      <c r="E167" s="158">
        <f>IF(Grid!$B139="","",INDEX(Index!$C$2:$C$202,MATCH(Grid!$B139,Index!$A$2:$A$202,0)))</f>
        <v/>
      </c>
      <c r="F167" s="158">
        <f>IF(Grid!$B139="","",TRIM(INDEX('INPUT - Roster'!$H$1:$H$206,Grid!$B139)&amp;""))</f>
        <v/>
      </c>
      <c r="G167" s="160">
        <f>IF(Grid!$B139="","",TRIM(INDEX('INPUT - Roster'!$G$1:$G$206,Grid!$B139)&amp;""))</f>
        <v/>
      </c>
      <c r="H167" s="160">
        <f>IF(Grid!$B139="","",TRIM(INDEX('INPUT - Roster'!$R$1:$R$206,Grid!$B139)&amp;""))</f>
        <v/>
      </c>
      <c r="I167" s="160">
        <f>IF(Grid!$B139="","",TRIM(INDEX('INPUT - Roster'!$O$1:$O$206,Grid!$B139)&amp;""))</f>
        <v/>
      </c>
      <c r="J167" s="160">
        <f>IF(Grid!$B139="","",TRIM(INDEX('INPUT - Roster'!$J$1:$J$206,Grid!$B139)&amp;""))</f>
        <v/>
      </c>
      <c r="K167" s="160">
        <f>IF(Grid!$B139="","",TRIM(INDEX('INPUT - Roster'!$K$1:$K$206,Grid!$B139)&amp;""))</f>
        <v/>
      </c>
      <c r="L167" s="160">
        <f>IF(Grid!$B139="","",TRIM(INDEX('INPUT - Roster'!$L$1:$L$206,Grid!$B139)&amp;""))</f>
        <v/>
      </c>
      <c r="M167" s="160">
        <f>IF(Grid!$B139="","",TRIM(INDEX('INPUT - Roster'!$M$1:$M$206,Grid!$B139)&amp;""))</f>
        <v/>
      </c>
      <c r="N167" s="158">
        <f>Grid!F139</f>
        <v/>
      </c>
      <c r="O167" s="160">
        <f>Grid!AI139</f>
        <v/>
      </c>
      <c r="P167" s="160">
        <f>Grid!BL139</f>
        <v/>
      </c>
      <c r="Q167" s="162">
        <f>IF(Grid!$D139="","",INDEX(Grid!$F$2:$AG$2,Grid!$D139))</f>
        <v/>
      </c>
      <c r="R167" s="158">
        <f>IF(Grid!$D139="","",INDEX(Grid!$F139:$AG139,Grid!$D139))</f>
        <v/>
      </c>
      <c r="S167" s="160">
        <f>IF(Grid!$B139="","",IFERROR(TRIM(INDEX('BHP Site Access'!$G$3:$G$104,MATCH(LOWER(TRIM(INDEX('INPUT - Roster'!$D$1:$D$206,Grid!$B139)&amp;"")&amp;"|"&amp;TRIM(INDEX('INPUT - Roster'!$E$1:$E$206,Grid!$B139)&amp;"")),Calc!$AX$3:$AX$104,0))&amp;""),"Not listed"))</f>
        <v/>
      </c>
      <c r="T167" s="160">
        <f>IF(OR(Grid!$B139="",ISNUMBER(SEARCH("demob",E167))),"",IF(AND(UPPER(TRIM(J167&amp;""))="YES",UPPER(TRIM(K167&amp;""))="YES",UPPER(TRIM(L167&amp;""))="YES",LEFT(UPPER(M167),14)="QUALS COMPLETE"),"","GAP"))</f>
        <v/>
      </c>
      <c r="U167" s="163">
        <f>IF(Grid!$B139="",0,IF(AND(OR(Dashboard!$D$9="All",D167=Dashboard!$D$9),OR(Dashboard!$J$9="All",E167=Dashboard!$J$9)),1,0))</f>
        <v/>
      </c>
    </row>
    <row r="168">
      <c r="B168" s="160">
        <f>IF(Grid!$B140="","",138)</f>
        <v/>
      </c>
      <c r="C168" s="161">
        <f>IF(Grid!$B140="","",TRIM(INDEX('INPUT - Roster'!$F$1:$F$206,Grid!$B140)&amp;""))</f>
        <v/>
      </c>
      <c r="D168" s="158">
        <f>IF(Grid!$B140="","",TRIM(INDEX('INPUT - Roster'!$C$1:$C$206,Grid!$B140)&amp;""))</f>
        <v/>
      </c>
      <c r="E168" s="158">
        <f>IF(Grid!$B140="","",INDEX(Index!$C$2:$C$202,MATCH(Grid!$B140,Index!$A$2:$A$202,0)))</f>
        <v/>
      </c>
      <c r="F168" s="158">
        <f>IF(Grid!$B140="","",TRIM(INDEX('INPUT - Roster'!$H$1:$H$206,Grid!$B140)&amp;""))</f>
        <v/>
      </c>
      <c r="G168" s="160">
        <f>IF(Grid!$B140="","",TRIM(INDEX('INPUT - Roster'!$G$1:$G$206,Grid!$B140)&amp;""))</f>
        <v/>
      </c>
      <c r="H168" s="160">
        <f>IF(Grid!$B140="","",TRIM(INDEX('INPUT - Roster'!$R$1:$R$206,Grid!$B140)&amp;""))</f>
        <v/>
      </c>
      <c r="I168" s="160">
        <f>IF(Grid!$B140="","",TRIM(INDEX('INPUT - Roster'!$O$1:$O$206,Grid!$B140)&amp;""))</f>
        <v/>
      </c>
      <c r="J168" s="160">
        <f>IF(Grid!$B140="","",TRIM(INDEX('INPUT - Roster'!$J$1:$J$206,Grid!$B140)&amp;""))</f>
        <v/>
      </c>
      <c r="K168" s="160">
        <f>IF(Grid!$B140="","",TRIM(INDEX('INPUT - Roster'!$K$1:$K$206,Grid!$B140)&amp;""))</f>
        <v/>
      </c>
      <c r="L168" s="160">
        <f>IF(Grid!$B140="","",TRIM(INDEX('INPUT - Roster'!$L$1:$L$206,Grid!$B140)&amp;""))</f>
        <v/>
      </c>
      <c r="M168" s="160">
        <f>IF(Grid!$B140="","",TRIM(INDEX('INPUT - Roster'!$M$1:$M$206,Grid!$B140)&amp;""))</f>
        <v/>
      </c>
      <c r="N168" s="158">
        <f>Grid!F140</f>
        <v/>
      </c>
      <c r="O168" s="160">
        <f>Grid!AI140</f>
        <v/>
      </c>
      <c r="P168" s="160">
        <f>Grid!BL140</f>
        <v/>
      </c>
      <c r="Q168" s="162">
        <f>IF(Grid!$D140="","",INDEX(Grid!$F$2:$AG$2,Grid!$D140))</f>
        <v/>
      </c>
      <c r="R168" s="158">
        <f>IF(Grid!$D140="","",INDEX(Grid!$F140:$AG140,Grid!$D140))</f>
        <v/>
      </c>
      <c r="S168" s="160">
        <f>IF(Grid!$B140="","",IFERROR(TRIM(INDEX('BHP Site Access'!$G$3:$G$104,MATCH(LOWER(TRIM(INDEX('INPUT - Roster'!$D$1:$D$206,Grid!$B140)&amp;"")&amp;"|"&amp;TRIM(INDEX('INPUT - Roster'!$E$1:$E$206,Grid!$B140)&amp;"")),Calc!$AX$3:$AX$104,0))&amp;""),"Not listed"))</f>
        <v/>
      </c>
      <c r="T168" s="160">
        <f>IF(OR(Grid!$B140="",ISNUMBER(SEARCH("demob",E168))),"",IF(AND(UPPER(TRIM(J168&amp;""))="YES",UPPER(TRIM(K168&amp;""))="YES",UPPER(TRIM(L168&amp;""))="YES",LEFT(UPPER(M168),14)="QUALS COMPLETE"),"","GAP"))</f>
        <v/>
      </c>
      <c r="U168" s="163">
        <f>IF(Grid!$B140="",0,IF(AND(OR(Dashboard!$D$9="All",D168=Dashboard!$D$9),OR(Dashboard!$J$9="All",E168=Dashboard!$J$9)),1,0))</f>
        <v/>
      </c>
    </row>
    <row r="169">
      <c r="B169" s="160">
        <f>IF(Grid!$B141="","",139)</f>
        <v/>
      </c>
      <c r="C169" s="161">
        <f>IF(Grid!$B141="","",TRIM(INDEX('INPUT - Roster'!$F$1:$F$206,Grid!$B141)&amp;""))</f>
        <v/>
      </c>
      <c r="D169" s="158">
        <f>IF(Grid!$B141="","",TRIM(INDEX('INPUT - Roster'!$C$1:$C$206,Grid!$B141)&amp;""))</f>
        <v/>
      </c>
      <c r="E169" s="158">
        <f>IF(Grid!$B141="","",INDEX(Index!$C$2:$C$202,MATCH(Grid!$B141,Index!$A$2:$A$202,0)))</f>
        <v/>
      </c>
      <c r="F169" s="158">
        <f>IF(Grid!$B141="","",TRIM(INDEX('INPUT - Roster'!$H$1:$H$206,Grid!$B141)&amp;""))</f>
        <v/>
      </c>
      <c r="G169" s="160">
        <f>IF(Grid!$B141="","",TRIM(INDEX('INPUT - Roster'!$G$1:$G$206,Grid!$B141)&amp;""))</f>
        <v/>
      </c>
      <c r="H169" s="160">
        <f>IF(Grid!$B141="","",TRIM(INDEX('INPUT - Roster'!$R$1:$R$206,Grid!$B141)&amp;""))</f>
        <v/>
      </c>
      <c r="I169" s="160">
        <f>IF(Grid!$B141="","",TRIM(INDEX('INPUT - Roster'!$O$1:$O$206,Grid!$B141)&amp;""))</f>
        <v/>
      </c>
      <c r="J169" s="160">
        <f>IF(Grid!$B141="","",TRIM(INDEX('INPUT - Roster'!$J$1:$J$206,Grid!$B141)&amp;""))</f>
        <v/>
      </c>
      <c r="K169" s="160">
        <f>IF(Grid!$B141="","",TRIM(INDEX('INPUT - Roster'!$K$1:$K$206,Grid!$B141)&amp;""))</f>
        <v/>
      </c>
      <c r="L169" s="160">
        <f>IF(Grid!$B141="","",TRIM(INDEX('INPUT - Roster'!$L$1:$L$206,Grid!$B141)&amp;""))</f>
        <v/>
      </c>
      <c r="M169" s="160">
        <f>IF(Grid!$B141="","",TRIM(INDEX('INPUT - Roster'!$M$1:$M$206,Grid!$B141)&amp;""))</f>
        <v/>
      </c>
      <c r="N169" s="158">
        <f>Grid!F141</f>
        <v/>
      </c>
      <c r="O169" s="160">
        <f>Grid!AI141</f>
        <v/>
      </c>
      <c r="P169" s="160">
        <f>Grid!BL141</f>
        <v/>
      </c>
      <c r="Q169" s="162">
        <f>IF(Grid!$D141="","",INDEX(Grid!$F$2:$AG$2,Grid!$D141))</f>
        <v/>
      </c>
      <c r="R169" s="158">
        <f>IF(Grid!$D141="","",INDEX(Grid!$F141:$AG141,Grid!$D141))</f>
        <v/>
      </c>
      <c r="S169" s="160">
        <f>IF(Grid!$B141="","",IFERROR(TRIM(INDEX('BHP Site Access'!$G$3:$G$104,MATCH(LOWER(TRIM(INDEX('INPUT - Roster'!$D$1:$D$206,Grid!$B141)&amp;"")&amp;"|"&amp;TRIM(INDEX('INPUT - Roster'!$E$1:$E$206,Grid!$B141)&amp;"")),Calc!$AX$3:$AX$104,0))&amp;""),"Not listed"))</f>
        <v/>
      </c>
      <c r="T169" s="160">
        <f>IF(OR(Grid!$B141="",ISNUMBER(SEARCH("demob",E169))),"",IF(AND(UPPER(TRIM(J169&amp;""))="YES",UPPER(TRIM(K169&amp;""))="YES",UPPER(TRIM(L169&amp;""))="YES",LEFT(UPPER(M169),14)="QUALS COMPLETE"),"","GAP"))</f>
        <v/>
      </c>
      <c r="U169" s="163">
        <f>IF(Grid!$B141="",0,IF(AND(OR(Dashboard!$D$9="All",D169=Dashboard!$D$9),OR(Dashboard!$J$9="All",E169=Dashboard!$J$9)),1,0))</f>
        <v/>
      </c>
    </row>
    <row r="170">
      <c r="B170" s="160">
        <f>IF(Grid!$B142="","",140)</f>
        <v/>
      </c>
      <c r="C170" s="161">
        <f>IF(Grid!$B142="","",TRIM(INDEX('INPUT - Roster'!$F$1:$F$206,Grid!$B142)&amp;""))</f>
        <v/>
      </c>
      <c r="D170" s="158">
        <f>IF(Grid!$B142="","",TRIM(INDEX('INPUT - Roster'!$C$1:$C$206,Grid!$B142)&amp;""))</f>
        <v/>
      </c>
      <c r="E170" s="158">
        <f>IF(Grid!$B142="","",INDEX(Index!$C$2:$C$202,MATCH(Grid!$B142,Index!$A$2:$A$202,0)))</f>
        <v/>
      </c>
      <c r="F170" s="158">
        <f>IF(Grid!$B142="","",TRIM(INDEX('INPUT - Roster'!$H$1:$H$206,Grid!$B142)&amp;""))</f>
        <v/>
      </c>
      <c r="G170" s="160">
        <f>IF(Grid!$B142="","",TRIM(INDEX('INPUT - Roster'!$G$1:$G$206,Grid!$B142)&amp;""))</f>
        <v/>
      </c>
      <c r="H170" s="160">
        <f>IF(Grid!$B142="","",TRIM(INDEX('INPUT - Roster'!$R$1:$R$206,Grid!$B142)&amp;""))</f>
        <v/>
      </c>
      <c r="I170" s="160">
        <f>IF(Grid!$B142="","",TRIM(INDEX('INPUT - Roster'!$O$1:$O$206,Grid!$B142)&amp;""))</f>
        <v/>
      </c>
      <c r="J170" s="160">
        <f>IF(Grid!$B142="","",TRIM(INDEX('INPUT - Roster'!$J$1:$J$206,Grid!$B142)&amp;""))</f>
        <v/>
      </c>
      <c r="K170" s="160">
        <f>IF(Grid!$B142="","",TRIM(INDEX('INPUT - Roster'!$K$1:$K$206,Grid!$B142)&amp;""))</f>
        <v/>
      </c>
      <c r="L170" s="160">
        <f>IF(Grid!$B142="","",TRIM(INDEX('INPUT - Roster'!$L$1:$L$206,Grid!$B142)&amp;""))</f>
        <v/>
      </c>
      <c r="M170" s="160">
        <f>IF(Grid!$B142="","",TRIM(INDEX('INPUT - Roster'!$M$1:$M$206,Grid!$B142)&amp;""))</f>
        <v/>
      </c>
      <c r="N170" s="158">
        <f>Grid!F142</f>
        <v/>
      </c>
      <c r="O170" s="160">
        <f>Grid!AI142</f>
        <v/>
      </c>
      <c r="P170" s="160">
        <f>Grid!BL142</f>
        <v/>
      </c>
      <c r="Q170" s="162">
        <f>IF(Grid!$D142="","",INDEX(Grid!$F$2:$AG$2,Grid!$D142))</f>
        <v/>
      </c>
      <c r="R170" s="158">
        <f>IF(Grid!$D142="","",INDEX(Grid!$F142:$AG142,Grid!$D142))</f>
        <v/>
      </c>
      <c r="S170" s="160">
        <f>IF(Grid!$B142="","",IFERROR(TRIM(INDEX('BHP Site Access'!$G$3:$G$104,MATCH(LOWER(TRIM(INDEX('INPUT - Roster'!$D$1:$D$206,Grid!$B142)&amp;"")&amp;"|"&amp;TRIM(INDEX('INPUT - Roster'!$E$1:$E$206,Grid!$B142)&amp;"")),Calc!$AX$3:$AX$104,0))&amp;""),"Not listed"))</f>
        <v/>
      </c>
      <c r="T170" s="160">
        <f>IF(OR(Grid!$B142="",ISNUMBER(SEARCH("demob",E170))),"",IF(AND(UPPER(TRIM(J170&amp;""))="YES",UPPER(TRIM(K170&amp;""))="YES",UPPER(TRIM(L170&amp;""))="YES",LEFT(UPPER(M170),14)="QUALS COMPLETE"),"","GAP"))</f>
        <v/>
      </c>
      <c r="U170" s="163">
        <f>IF(Grid!$B142="",0,IF(AND(OR(Dashboard!$D$9="All",D170=Dashboard!$D$9),OR(Dashboard!$J$9="All",E170=Dashboard!$J$9)),1,0))</f>
        <v/>
      </c>
    </row>
    <row r="171">
      <c r="B171" s="160">
        <f>IF(Grid!$B143="","",141)</f>
        <v/>
      </c>
      <c r="C171" s="161">
        <f>IF(Grid!$B143="","",TRIM(INDEX('INPUT - Roster'!$F$1:$F$206,Grid!$B143)&amp;""))</f>
        <v/>
      </c>
      <c r="D171" s="158">
        <f>IF(Grid!$B143="","",TRIM(INDEX('INPUT - Roster'!$C$1:$C$206,Grid!$B143)&amp;""))</f>
        <v/>
      </c>
      <c r="E171" s="158">
        <f>IF(Grid!$B143="","",INDEX(Index!$C$2:$C$202,MATCH(Grid!$B143,Index!$A$2:$A$202,0)))</f>
        <v/>
      </c>
      <c r="F171" s="158">
        <f>IF(Grid!$B143="","",TRIM(INDEX('INPUT - Roster'!$H$1:$H$206,Grid!$B143)&amp;""))</f>
        <v/>
      </c>
      <c r="G171" s="160">
        <f>IF(Grid!$B143="","",TRIM(INDEX('INPUT - Roster'!$G$1:$G$206,Grid!$B143)&amp;""))</f>
        <v/>
      </c>
      <c r="H171" s="160">
        <f>IF(Grid!$B143="","",TRIM(INDEX('INPUT - Roster'!$R$1:$R$206,Grid!$B143)&amp;""))</f>
        <v/>
      </c>
      <c r="I171" s="160">
        <f>IF(Grid!$B143="","",TRIM(INDEX('INPUT - Roster'!$O$1:$O$206,Grid!$B143)&amp;""))</f>
        <v/>
      </c>
      <c r="J171" s="160">
        <f>IF(Grid!$B143="","",TRIM(INDEX('INPUT - Roster'!$J$1:$J$206,Grid!$B143)&amp;""))</f>
        <v/>
      </c>
      <c r="K171" s="160">
        <f>IF(Grid!$B143="","",TRIM(INDEX('INPUT - Roster'!$K$1:$K$206,Grid!$B143)&amp;""))</f>
        <v/>
      </c>
      <c r="L171" s="160">
        <f>IF(Grid!$B143="","",TRIM(INDEX('INPUT - Roster'!$L$1:$L$206,Grid!$B143)&amp;""))</f>
        <v/>
      </c>
      <c r="M171" s="160">
        <f>IF(Grid!$B143="","",TRIM(INDEX('INPUT - Roster'!$M$1:$M$206,Grid!$B143)&amp;""))</f>
        <v/>
      </c>
      <c r="N171" s="158">
        <f>Grid!F143</f>
        <v/>
      </c>
      <c r="O171" s="160">
        <f>Grid!AI143</f>
        <v/>
      </c>
      <c r="P171" s="160">
        <f>Grid!BL143</f>
        <v/>
      </c>
      <c r="Q171" s="162">
        <f>IF(Grid!$D143="","",INDEX(Grid!$F$2:$AG$2,Grid!$D143))</f>
        <v/>
      </c>
      <c r="R171" s="158">
        <f>IF(Grid!$D143="","",INDEX(Grid!$F143:$AG143,Grid!$D143))</f>
        <v/>
      </c>
      <c r="S171" s="160">
        <f>IF(Grid!$B143="","",IFERROR(TRIM(INDEX('BHP Site Access'!$G$3:$G$104,MATCH(LOWER(TRIM(INDEX('INPUT - Roster'!$D$1:$D$206,Grid!$B143)&amp;"")&amp;"|"&amp;TRIM(INDEX('INPUT - Roster'!$E$1:$E$206,Grid!$B143)&amp;"")),Calc!$AX$3:$AX$104,0))&amp;""),"Not listed"))</f>
        <v/>
      </c>
      <c r="T171" s="160">
        <f>IF(OR(Grid!$B143="",ISNUMBER(SEARCH("demob",E171))),"",IF(AND(UPPER(TRIM(J171&amp;""))="YES",UPPER(TRIM(K171&amp;""))="YES",UPPER(TRIM(L171&amp;""))="YES",LEFT(UPPER(M171),14)="QUALS COMPLETE"),"","GAP"))</f>
        <v/>
      </c>
      <c r="U171" s="163">
        <f>IF(Grid!$B143="",0,IF(AND(OR(Dashboard!$D$9="All",D171=Dashboard!$D$9),OR(Dashboard!$J$9="All",E171=Dashboard!$J$9)),1,0))</f>
        <v/>
      </c>
    </row>
    <row r="172">
      <c r="B172" s="160">
        <f>IF(Grid!$B144="","",142)</f>
        <v/>
      </c>
      <c r="C172" s="161">
        <f>IF(Grid!$B144="","",TRIM(INDEX('INPUT - Roster'!$F$1:$F$206,Grid!$B144)&amp;""))</f>
        <v/>
      </c>
      <c r="D172" s="158">
        <f>IF(Grid!$B144="","",TRIM(INDEX('INPUT - Roster'!$C$1:$C$206,Grid!$B144)&amp;""))</f>
        <v/>
      </c>
      <c r="E172" s="158">
        <f>IF(Grid!$B144="","",INDEX(Index!$C$2:$C$202,MATCH(Grid!$B144,Index!$A$2:$A$202,0)))</f>
        <v/>
      </c>
      <c r="F172" s="158">
        <f>IF(Grid!$B144="","",TRIM(INDEX('INPUT - Roster'!$H$1:$H$206,Grid!$B144)&amp;""))</f>
        <v/>
      </c>
      <c r="G172" s="160">
        <f>IF(Grid!$B144="","",TRIM(INDEX('INPUT - Roster'!$G$1:$G$206,Grid!$B144)&amp;""))</f>
        <v/>
      </c>
      <c r="H172" s="160">
        <f>IF(Grid!$B144="","",TRIM(INDEX('INPUT - Roster'!$R$1:$R$206,Grid!$B144)&amp;""))</f>
        <v/>
      </c>
      <c r="I172" s="160">
        <f>IF(Grid!$B144="","",TRIM(INDEX('INPUT - Roster'!$O$1:$O$206,Grid!$B144)&amp;""))</f>
        <v/>
      </c>
      <c r="J172" s="160">
        <f>IF(Grid!$B144="","",TRIM(INDEX('INPUT - Roster'!$J$1:$J$206,Grid!$B144)&amp;""))</f>
        <v/>
      </c>
      <c r="K172" s="160">
        <f>IF(Grid!$B144="","",TRIM(INDEX('INPUT - Roster'!$K$1:$K$206,Grid!$B144)&amp;""))</f>
        <v/>
      </c>
      <c r="L172" s="160">
        <f>IF(Grid!$B144="","",TRIM(INDEX('INPUT - Roster'!$L$1:$L$206,Grid!$B144)&amp;""))</f>
        <v/>
      </c>
      <c r="M172" s="160">
        <f>IF(Grid!$B144="","",TRIM(INDEX('INPUT - Roster'!$M$1:$M$206,Grid!$B144)&amp;""))</f>
        <v/>
      </c>
      <c r="N172" s="158">
        <f>Grid!F144</f>
        <v/>
      </c>
      <c r="O172" s="160">
        <f>Grid!AI144</f>
        <v/>
      </c>
      <c r="P172" s="160">
        <f>Grid!BL144</f>
        <v/>
      </c>
      <c r="Q172" s="162">
        <f>IF(Grid!$D144="","",INDEX(Grid!$F$2:$AG$2,Grid!$D144))</f>
        <v/>
      </c>
      <c r="R172" s="158">
        <f>IF(Grid!$D144="","",INDEX(Grid!$F144:$AG144,Grid!$D144))</f>
        <v/>
      </c>
      <c r="S172" s="160">
        <f>IF(Grid!$B144="","",IFERROR(TRIM(INDEX('BHP Site Access'!$G$3:$G$104,MATCH(LOWER(TRIM(INDEX('INPUT - Roster'!$D$1:$D$206,Grid!$B144)&amp;"")&amp;"|"&amp;TRIM(INDEX('INPUT - Roster'!$E$1:$E$206,Grid!$B144)&amp;"")),Calc!$AX$3:$AX$104,0))&amp;""),"Not listed"))</f>
        <v/>
      </c>
      <c r="T172" s="160">
        <f>IF(OR(Grid!$B144="",ISNUMBER(SEARCH("demob",E172))),"",IF(AND(UPPER(TRIM(J172&amp;""))="YES",UPPER(TRIM(K172&amp;""))="YES",UPPER(TRIM(L172&amp;""))="YES",LEFT(UPPER(M172),14)="QUALS COMPLETE"),"","GAP"))</f>
        <v/>
      </c>
      <c r="U172" s="163">
        <f>IF(Grid!$B144="",0,IF(AND(OR(Dashboard!$D$9="All",D172=Dashboard!$D$9),OR(Dashboard!$J$9="All",E172=Dashboard!$J$9)),1,0))</f>
        <v/>
      </c>
    </row>
    <row r="173">
      <c r="B173" s="160">
        <f>IF(Grid!$B145="","",143)</f>
        <v/>
      </c>
      <c r="C173" s="161">
        <f>IF(Grid!$B145="","",TRIM(INDEX('INPUT - Roster'!$F$1:$F$206,Grid!$B145)&amp;""))</f>
        <v/>
      </c>
      <c r="D173" s="158">
        <f>IF(Grid!$B145="","",TRIM(INDEX('INPUT - Roster'!$C$1:$C$206,Grid!$B145)&amp;""))</f>
        <v/>
      </c>
      <c r="E173" s="158">
        <f>IF(Grid!$B145="","",INDEX(Index!$C$2:$C$202,MATCH(Grid!$B145,Index!$A$2:$A$202,0)))</f>
        <v/>
      </c>
      <c r="F173" s="158">
        <f>IF(Grid!$B145="","",TRIM(INDEX('INPUT - Roster'!$H$1:$H$206,Grid!$B145)&amp;""))</f>
        <v/>
      </c>
      <c r="G173" s="160">
        <f>IF(Grid!$B145="","",TRIM(INDEX('INPUT - Roster'!$G$1:$G$206,Grid!$B145)&amp;""))</f>
        <v/>
      </c>
      <c r="H173" s="160">
        <f>IF(Grid!$B145="","",TRIM(INDEX('INPUT - Roster'!$R$1:$R$206,Grid!$B145)&amp;""))</f>
        <v/>
      </c>
      <c r="I173" s="160">
        <f>IF(Grid!$B145="","",TRIM(INDEX('INPUT - Roster'!$O$1:$O$206,Grid!$B145)&amp;""))</f>
        <v/>
      </c>
      <c r="J173" s="160">
        <f>IF(Grid!$B145="","",TRIM(INDEX('INPUT - Roster'!$J$1:$J$206,Grid!$B145)&amp;""))</f>
        <v/>
      </c>
      <c r="K173" s="160">
        <f>IF(Grid!$B145="","",TRIM(INDEX('INPUT - Roster'!$K$1:$K$206,Grid!$B145)&amp;""))</f>
        <v/>
      </c>
      <c r="L173" s="160">
        <f>IF(Grid!$B145="","",TRIM(INDEX('INPUT - Roster'!$L$1:$L$206,Grid!$B145)&amp;""))</f>
        <v/>
      </c>
      <c r="M173" s="160">
        <f>IF(Grid!$B145="","",TRIM(INDEX('INPUT - Roster'!$M$1:$M$206,Grid!$B145)&amp;""))</f>
        <v/>
      </c>
      <c r="N173" s="158">
        <f>Grid!F145</f>
        <v/>
      </c>
      <c r="O173" s="160">
        <f>Grid!AI145</f>
        <v/>
      </c>
      <c r="P173" s="160">
        <f>Grid!BL145</f>
        <v/>
      </c>
      <c r="Q173" s="162">
        <f>IF(Grid!$D145="","",INDEX(Grid!$F$2:$AG$2,Grid!$D145))</f>
        <v/>
      </c>
      <c r="R173" s="158">
        <f>IF(Grid!$D145="","",INDEX(Grid!$F145:$AG145,Grid!$D145))</f>
        <v/>
      </c>
      <c r="S173" s="160">
        <f>IF(Grid!$B145="","",IFERROR(TRIM(INDEX('BHP Site Access'!$G$3:$G$104,MATCH(LOWER(TRIM(INDEX('INPUT - Roster'!$D$1:$D$206,Grid!$B145)&amp;"")&amp;"|"&amp;TRIM(INDEX('INPUT - Roster'!$E$1:$E$206,Grid!$B145)&amp;"")),Calc!$AX$3:$AX$104,0))&amp;""),"Not listed"))</f>
        <v/>
      </c>
      <c r="T173" s="160">
        <f>IF(OR(Grid!$B145="",ISNUMBER(SEARCH("demob",E173))),"",IF(AND(UPPER(TRIM(J173&amp;""))="YES",UPPER(TRIM(K173&amp;""))="YES",UPPER(TRIM(L173&amp;""))="YES",LEFT(UPPER(M173),14)="QUALS COMPLETE"),"","GAP"))</f>
        <v/>
      </c>
      <c r="U173" s="163">
        <f>IF(Grid!$B145="",0,IF(AND(OR(Dashboard!$D$9="All",D173=Dashboard!$D$9),OR(Dashboard!$J$9="All",E173=Dashboard!$J$9)),1,0))</f>
        <v/>
      </c>
    </row>
    <row r="174">
      <c r="B174" s="160">
        <f>IF(Grid!$B146="","",144)</f>
        <v/>
      </c>
      <c r="C174" s="161">
        <f>IF(Grid!$B146="","",TRIM(INDEX('INPUT - Roster'!$F$1:$F$206,Grid!$B146)&amp;""))</f>
        <v/>
      </c>
      <c r="D174" s="158">
        <f>IF(Grid!$B146="","",TRIM(INDEX('INPUT - Roster'!$C$1:$C$206,Grid!$B146)&amp;""))</f>
        <v/>
      </c>
      <c r="E174" s="158">
        <f>IF(Grid!$B146="","",INDEX(Index!$C$2:$C$202,MATCH(Grid!$B146,Index!$A$2:$A$202,0)))</f>
        <v/>
      </c>
      <c r="F174" s="158">
        <f>IF(Grid!$B146="","",TRIM(INDEX('INPUT - Roster'!$H$1:$H$206,Grid!$B146)&amp;""))</f>
        <v/>
      </c>
      <c r="G174" s="160">
        <f>IF(Grid!$B146="","",TRIM(INDEX('INPUT - Roster'!$G$1:$G$206,Grid!$B146)&amp;""))</f>
        <v/>
      </c>
      <c r="H174" s="160">
        <f>IF(Grid!$B146="","",TRIM(INDEX('INPUT - Roster'!$R$1:$R$206,Grid!$B146)&amp;""))</f>
        <v/>
      </c>
      <c r="I174" s="160">
        <f>IF(Grid!$B146="","",TRIM(INDEX('INPUT - Roster'!$O$1:$O$206,Grid!$B146)&amp;""))</f>
        <v/>
      </c>
      <c r="J174" s="160">
        <f>IF(Grid!$B146="","",TRIM(INDEX('INPUT - Roster'!$J$1:$J$206,Grid!$B146)&amp;""))</f>
        <v/>
      </c>
      <c r="K174" s="160">
        <f>IF(Grid!$B146="","",TRIM(INDEX('INPUT - Roster'!$K$1:$K$206,Grid!$B146)&amp;""))</f>
        <v/>
      </c>
      <c r="L174" s="160">
        <f>IF(Grid!$B146="","",TRIM(INDEX('INPUT - Roster'!$L$1:$L$206,Grid!$B146)&amp;""))</f>
        <v/>
      </c>
      <c r="M174" s="160">
        <f>IF(Grid!$B146="","",TRIM(INDEX('INPUT - Roster'!$M$1:$M$206,Grid!$B146)&amp;""))</f>
        <v/>
      </c>
      <c r="N174" s="158">
        <f>Grid!F146</f>
        <v/>
      </c>
      <c r="O174" s="160">
        <f>Grid!AI146</f>
        <v/>
      </c>
      <c r="P174" s="160">
        <f>Grid!BL146</f>
        <v/>
      </c>
      <c r="Q174" s="162">
        <f>IF(Grid!$D146="","",INDEX(Grid!$F$2:$AG$2,Grid!$D146))</f>
        <v/>
      </c>
      <c r="R174" s="158">
        <f>IF(Grid!$D146="","",INDEX(Grid!$F146:$AG146,Grid!$D146))</f>
        <v/>
      </c>
      <c r="S174" s="160">
        <f>IF(Grid!$B146="","",IFERROR(TRIM(INDEX('BHP Site Access'!$G$3:$G$104,MATCH(LOWER(TRIM(INDEX('INPUT - Roster'!$D$1:$D$206,Grid!$B146)&amp;"")&amp;"|"&amp;TRIM(INDEX('INPUT - Roster'!$E$1:$E$206,Grid!$B146)&amp;"")),Calc!$AX$3:$AX$104,0))&amp;""),"Not listed"))</f>
        <v/>
      </c>
      <c r="T174" s="160">
        <f>IF(OR(Grid!$B146="",ISNUMBER(SEARCH("demob",E174))),"",IF(AND(UPPER(TRIM(J174&amp;""))="YES",UPPER(TRIM(K174&amp;""))="YES",UPPER(TRIM(L174&amp;""))="YES",LEFT(UPPER(M174),14)="QUALS COMPLETE"),"","GAP"))</f>
        <v/>
      </c>
      <c r="U174" s="163">
        <f>IF(Grid!$B146="",0,IF(AND(OR(Dashboard!$D$9="All",D174=Dashboard!$D$9),OR(Dashboard!$J$9="All",E174=Dashboard!$J$9)),1,0))</f>
        <v/>
      </c>
    </row>
    <row r="175">
      <c r="B175" s="160">
        <f>IF(Grid!$B147="","",145)</f>
        <v/>
      </c>
      <c r="C175" s="161">
        <f>IF(Grid!$B147="","",TRIM(INDEX('INPUT - Roster'!$F$1:$F$206,Grid!$B147)&amp;""))</f>
        <v/>
      </c>
      <c r="D175" s="158">
        <f>IF(Grid!$B147="","",TRIM(INDEX('INPUT - Roster'!$C$1:$C$206,Grid!$B147)&amp;""))</f>
        <v/>
      </c>
      <c r="E175" s="158">
        <f>IF(Grid!$B147="","",INDEX(Index!$C$2:$C$202,MATCH(Grid!$B147,Index!$A$2:$A$202,0)))</f>
        <v/>
      </c>
      <c r="F175" s="158">
        <f>IF(Grid!$B147="","",TRIM(INDEX('INPUT - Roster'!$H$1:$H$206,Grid!$B147)&amp;""))</f>
        <v/>
      </c>
      <c r="G175" s="160">
        <f>IF(Grid!$B147="","",TRIM(INDEX('INPUT - Roster'!$G$1:$G$206,Grid!$B147)&amp;""))</f>
        <v/>
      </c>
      <c r="H175" s="160">
        <f>IF(Grid!$B147="","",TRIM(INDEX('INPUT - Roster'!$R$1:$R$206,Grid!$B147)&amp;""))</f>
        <v/>
      </c>
      <c r="I175" s="160">
        <f>IF(Grid!$B147="","",TRIM(INDEX('INPUT - Roster'!$O$1:$O$206,Grid!$B147)&amp;""))</f>
        <v/>
      </c>
      <c r="J175" s="160">
        <f>IF(Grid!$B147="","",TRIM(INDEX('INPUT - Roster'!$J$1:$J$206,Grid!$B147)&amp;""))</f>
        <v/>
      </c>
      <c r="K175" s="160">
        <f>IF(Grid!$B147="","",TRIM(INDEX('INPUT - Roster'!$K$1:$K$206,Grid!$B147)&amp;""))</f>
        <v/>
      </c>
      <c r="L175" s="160">
        <f>IF(Grid!$B147="","",TRIM(INDEX('INPUT - Roster'!$L$1:$L$206,Grid!$B147)&amp;""))</f>
        <v/>
      </c>
      <c r="M175" s="160">
        <f>IF(Grid!$B147="","",TRIM(INDEX('INPUT - Roster'!$M$1:$M$206,Grid!$B147)&amp;""))</f>
        <v/>
      </c>
      <c r="N175" s="158">
        <f>Grid!F147</f>
        <v/>
      </c>
      <c r="O175" s="160">
        <f>Grid!AI147</f>
        <v/>
      </c>
      <c r="P175" s="160">
        <f>Grid!BL147</f>
        <v/>
      </c>
      <c r="Q175" s="162">
        <f>IF(Grid!$D147="","",INDEX(Grid!$F$2:$AG$2,Grid!$D147))</f>
        <v/>
      </c>
      <c r="R175" s="158">
        <f>IF(Grid!$D147="","",INDEX(Grid!$F147:$AG147,Grid!$D147))</f>
        <v/>
      </c>
      <c r="S175" s="160">
        <f>IF(Grid!$B147="","",IFERROR(TRIM(INDEX('BHP Site Access'!$G$3:$G$104,MATCH(LOWER(TRIM(INDEX('INPUT - Roster'!$D$1:$D$206,Grid!$B147)&amp;"")&amp;"|"&amp;TRIM(INDEX('INPUT - Roster'!$E$1:$E$206,Grid!$B147)&amp;"")),Calc!$AX$3:$AX$104,0))&amp;""),"Not listed"))</f>
        <v/>
      </c>
      <c r="T175" s="160">
        <f>IF(OR(Grid!$B147="",ISNUMBER(SEARCH("demob",E175))),"",IF(AND(UPPER(TRIM(J175&amp;""))="YES",UPPER(TRIM(K175&amp;""))="YES",UPPER(TRIM(L175&amp;""))="YES",LEFT(UPPER(M175),14)="QUALS COMPLETE"),"","GAP"))</f>
        <v/>
      </c>
      <c r="U175" s="163">
        <f>IF(Grid!$B147="",0,IF(AND(OR(Dashboard!$D$9="All",D175=Dashboard!$D$9),OR(Dashboard!$J$9="All",E175=Dashboard!$J$9)),1,0))</f>
        <v/>
      </c>
    </row>
    <row r="176">
      <c r="B176" s="160">
        <f>IF(Grid!$B148="","",146)</f>
        <v/>
      </c>
      <c r="C176" s="161">
        <f>IF(Grid!$B148="","",TRIM(INDEX('INPUT - Roster'!$F$1:$F$206,Grid!$B148)&amp;""))</f>
        <v/>
      </c>
      <c r="D176" s="158">
        <f>IF(Grid!$B148="","",TRIM(INDEX('INPUT - Roster'!$C$1:$C$206,Grid!$B148)&amp;""))</f>
        <v/>
      </c>
      <c r="E176" s="158">
        <f>IF(Grid!$B148="","",INDEX(Index!$C$2:$C$202,MATCH(Grid!$B148,Index!$A$2:$A$202,0)))</f>
        <v/>
      </c>
      <c r="F176" s="158">
        <f>IF(Grid!$B148="","",TRIM(INDEX('INPUT - Roster'!$H$1:$H$206,Grid!$B148)&amp;""))</f>
        <v/>
      </c>
      <c r="G176" s="160">
        <f>IF(Grid!$B148="","",TRIM(INDEX('INPUT - Roster'!$G$1:$G$206,Grid!$B148)&amp;""))</f>
        <v/>
      </c>
      <c r="H176" s="160">
        <f>IF(Grid!$B148="","",TRIM(INDEX('INPUT - Roster'!$R$1:$R$206,Grid!$B148)&amp;""))</f>
        <v/>
      </c>
      <c r="I176" s="160">
        <f>IF(Grid!$B148="","",TRIM(INDEX('INPUT - Roster'!$O$1:$O$206,Grid!$B148)&amp;""))</f>
        <v/>
      </c>
      <c r="J176" s="160">
        <f>IF(Grid!$B148="","",TRIM(INDEX('INPUT - Roster'!$J$1:$J$206,Grid!$B148)&amp;""))</f>
        <v/>
      </c>
      <c r="K176" s="160">
        <f>IF(Grid!$B148="","",TRIM(INDEX('INPUT - Roster'!$K$1:$K$206,Grid!$B148)&amp;""))</f>
        <v/>
      </c>
      <c r="L176" s="160">
        <f>IF(Grid!$B148="","",TRIM(INDEX('INPUT - Roster'!$L$1:$L$206,Grid!$B148)&amp;""))</f>
        <v/>
      </c>
      <c r="M176" s="160">
        <f>IF(Grid!$B148="","",TRIM(INDEX('INPUT - Roster'!$M$1:$M$206,Grid!$B148)&amp;""))</f>
        <v/>
      </c>
      <c r="N176" s="158">
        <f>Grid!F148</f>
        <v/>
      </c>
      <c r="O176" s="160">
        <f>Grid!AI148</f>
        <v/>
      </c>
      <c r="P176" s="160">
        <f>Grid!BL148</f>
        <v/>
      </c>
      <c r="Q176" s="162">
        <f>IF(Grid!$D148="","",INDEX(Grid!$F$2:$AG$2,Grid!$D148))</f>
        <v/>
      </c>
      <c r="R176" s="158">
        <f>IF(Grid!$D148="","",INDEX(Grid!$F148:$AG148,Grid!$D148))</f>
        <v/>
      </c>
      <c r="S176" s="160">
        <f>IF(Grid!$B148="","",IFERROR(TRIM(INDEX('BHP Site Access'!$G$3:$G$104,MATCH(LOWER(TRIM(INDEX('INPUT - Roster'!$D$1:$D$206,Grid!$B148)&amp;"")&amp;"|"&amp;TRIM(INDEX('INPUT - Roster'!$E$1:$E$206,Grid!$B148)&amp;"")),Calc!$AX$3:$AX$104,0))&amp;""),"Not listed"))</f>
        <v/>
      </c>
      <c r="T176" s="160">
        <f>IF(OR(Grid!$B148="",ISNUMBER(SEARCH("demob",E176))),"",IF(AND(UPPER(TRIM(J176&amp;""))="YES",UPPER(TRIM(K176&amp;""))="YES",UPPER(TRIM(L176&amp;""))="YES",LEFT(UPPER(M176),14)="QUALS COMPLETE"),"","GAP"))</f>
        <v/>
      </c>
      <c r="U176" s="163">
        <f>IF(Grid!$B148="",0,IF(AND(OR(Dashboard!$D$9="All",D176=Dashboard!$D$9),OR(Dashboard!$J$9="All",E176=Dashboard!$J$9)),1,0))</f>
        <v/>
      </c>
    </row>
    <row r="177">
      <c r="B177" s="160">
        <f>IF(Grid!$B149="","",147)</f>
        <v/>
      </c>
      <c r="C177" s="161">
        <f>IF(Grid!$B149="","",TRIM(INDEX('INPUT - Roster'!$F$1:$F$206,Grid!$B149)&amp;""))</f>
        <v/>
      </c>
      <c r="D177" s="158">
        <f>IF(Grid!$B149="","",TRIM(INDEX('INPUT - Roster'!$C$1:$C$206,Grid!$B149)&amp;""))</f>
        <v/>
      </c>
      <c r="E177" s="158">
        <f>IF(Grid!$B149="","",INDEX(Index!$C$2:$C$202,MATCH(Grid!$B149,Index!$A$2:$A$202,0)))</f>
        <v/>
      </c>
      <c r="F177" s="158">
        <f>IF(Grid!$B149="","",TRIM(INDEX('INPUT - Roster'!$H$1:$H$206,Grid!$B149)&amp;""))</f>
        <v/>
      </c>
      <c r="G177" s="160">
        <f>IF(Grid!$B149="","",TRIM(INDEX('INPUT - Roster'!$G$1:$G$206,Grid!$B149)&amp;""))</f>
        <v/>
      </c>
      <c r="H177" s="160">
        <f>IF(Grid!$B149="","",TRIM(INDEX('INPUT - Roster'!$R$1:$R$206,Grid!$B149)&amp;""))</f>
        <v/>
      </c>
      <c r="I177" s="160">
        <f>IF(Grid!$B149="","",TRIM(INDEX('INPUT - Roster'!$O$1:$O$206,Grid!$B149)&amp;""))</f>
        <v/>
      </c>
      <c r="J177" s="160">
        <f>IF(Grid!$B149="","",TRIM(INDEX('INPUT - Roster'!$J$1:$J$206,Grid!$B149)&amp;""))</f>
        <v/>
      </c>
      <c r="K177" s="160">
        <f>IF(Grid!$B149="","",TRIM(INDEX('INPUT - Roster'!$K$1:$K$206,Grid!$B149)&amp;""))</f>
        <v/>
      </c>
      <c r="L177" s="160">
        <f>IF(Grid!$B149="","",TRIM(INDEX('INPUT - Roster'!$L$1:$L$206,Grid!$B149)&amp;""))</f>
        <v/>
      </c>
      <c r="M177" s="160">
        <f>IF(Grid!$B149="","",TRIM(INDEX('INPUT - Roster'!$M$1:$M$206,Grid!$B149)&amp;""))</f>
        <v/>
      </c>
      <c r="N177" s="158">
        <f>Grid!F149</f>
        <v/>
      </c>
      <c r="O177" s="160">
        <f>Grid!AI149</f>
        <v/>
      </c>
      <c r="P177" s="160">
        <f>Grid!BL149</f>
        <v/>
      </c>
      <c r="Q177" s="162">
        <f>IF(Grid!$D149="","",INDEX(Grid!$F$2:$AG$2,Grid!$D149))</f>
        <v/>
      </c>
      <c r="R177" s="158">
        <f>IF(Grid!$D149="","",INDEX(Grid!$F149:$AG149,Grid!$D149))</f>
        <v/>
      </c>
      <c r="S177" s="160">
        <f>IF(Grid!$B149="","",IFERROR(TRIM(INDEX('BHP Site Access'!$G$3:$G$104,MATCH(LOWER(TRIM(INDEX('INPUT - Roster'!$D$1:$D$206,Grid!$B149)&amp;"")&amp;"|"&amp;TRIM(INDEX('INPUT - Roster'!$E$1:$E$206,Grid!$B149)&amp;"")),Calc!$AX$3:$AX$104,0))&amp;""),"Not listed"))</f>
        <v/>
      </c>
      <c r="T177" s="160">
        <f>IF(OR(Grid!$B149="",ISNUMBER(SEARCH("demob",E177))),"",IF(AND(UPPER(TRIM(J177&amp;""))="YES",UPPER(TRIM(K177&amp;""))="YES",UPPER(TRIM(L177&amp;""))="YES",LEFT(UPPER(M177),14)="QUALS COMPLETE"),"","GAP"))</f>
        <v/>
      </c>
      <c r="U177" s="163">
        <f>IF(Grid!$B149="",0,IF(AND(OR(Dashboard!$D$9="All",D177=Dashboard!$D$9),OR(Dashboard!$J$9="All",E177=Dashboard!$J$9)),1,0))</f>
        <v/>
      </c>
    </row>
    <row r="178">
      <c r="B178" s="160">
        <f>IF(Grid!$B150="","",148)</f>
        <v/>
      </c>
      <c r="C178" s="161">
        <f>IF(Grid!$B150="","",TRIM(INDEX('INPUT - Roster'!$F$1:$F$206,Grid!$B150)&amp;""))</f>
        <v/>
      </c>
      <c r="D178" s="158">
        <f>IF(Grid!$B150="","",TRIM(INDEX('INPUT - Roster'!$C$1:$C$206,Grid!$B150)&amp;""))</f>
        <v/>
      </c>
      <c r="E178" s="158">
        <f>IF(Grid!$B150="","",INDEX(Index!$C$2:$C$202,MATCH(Grid!$B150,Index!$A$2:$A$202,0)))</f>
        <v/>
      </c>
      <c r="F178" s="158">
        <f>IF(Grid!$B150="","",TRIM(INDEX('INPUT - Roster'!$H$1:$H$206,Grid!$B150)&amp;""))</f>
        <v/>
      </c>
      <c r="G178" s="160">
        <f>IF(Grid!$B150="","",TRIM(INDEX('INPUT - Roster'!$G$1:$G$206,Grid!$B150)&amp;""))</f>
        <v/>
      </c>
      <c r="H178" s="160">
        <f>IF(Grid!$B150="","",TRIM(INDEX('INPUT - Roster'!$R$1:$R$206,Grid!$B150)&amp;""))</f>
        <v/>
      </c>
      <c r="I178" s="160">
        <f>IF(Grid!$B150="","",TRIM(INDEX('INPUT - Roster'!$O$1:$O$206,Grid!$B150)&amp;""))</f>
        <v/>
      </c>
      <c r="J178" s="160">
        <f>IF(Grid!$B150="","",TRIM(INDEX('INPUT - Roster'!$J$1:$J$206,Grid!$B150)&amp;""))</f>
        <v/>
      </c>
      <c r="K178" s="160">
        <f>IF(Grid!$B150="","",TRIM(INDEX('INPUT - Roster'!$K$1:$K$206,Grid!$B150)&amp;""))</f>
        <v/>
      </c>
      <c r="L178" s="160">
        <f>IF(Grid!$B150="","",TRIM(INDEX('INPUT - Roster'!$L$1:$L$206,Grid!$B150)&amp;""))</f>
        <v/>
      </c>
      <c r="M178" s="160">
        <f>IF(Grid!$B150="","",TRIM(INDEX('INPUT - Roster'!$M$1:$M$206,Grid!$B150)&amp;""))</f>
        <v/>
      </c>
      <c r="N178" s="158">
        <f>Grid!F150</f>
        <v/>
      </c>
      <c r="O178" s="160">
        <f>Grid!AI150</f>
        <v/>
      </c>
      <c r="P178" s="160">
        <f>Grid!BL150</f>
        <v/>
      </c>
      <c r="Q178" s="162">
        <f>IF(Grid!$D150="","",INDEX(Grid!$F$2:$AG$2,Grid!$D150))</f>
        <v/>
      </c>
      <c r="R178" s="158">
        <f>IF(Grid!$D150="","",INDEX(Grid!$F150:$AG150,Grid!$D150))</f>
        <v/>
      </c>
      <c r="S178" s="160">
        <f>IF(Grid!$B150="","",IFERROR(TRIM(INDEX('BHP Site Access'!$G$3:$G$104,MATCH(LOWER(TRIM(INDEX('INPUT - Roster'!$D$1:$D$206,Grid!$B150)&amp;"")&amp;"|"&amp;TRIM(INDEX('INPUT - Roster'!$E$1:$E$206,Grid!$B150)&amp;"")),Calc!$AX$3:$AX$104,0))&amp;""),"Not listed"))</f>
        <v/>
      </c>
      <c r="T178" s="160">
        <f>IF(OR(Grid!$B150="",ISNUMBER(SEARCH("demob",E178))),"",IF(AND(UPPER(TRIM(J178&amp;""))="YES",UPPER(TRIM(K178&amp;""))="YES",UPPER(TRIM(L178&amp;""))="YES",LEFT(UPPER(M178),14)="QUALS COMPLETE"),"","GAP"))</f>
        <v/>
      </c>
      <c r="U178" s="163">
        <f>IF(Grid!$B150="",0,IF(AND(OR(Dashboard!$D$9="All",D178=Dashboard!$D$9),OR(Dashboard!$J$9="All",E178=Dashboard!$J$9)),1,0))</f>
        <v/>
      </c>
    </row>
    <row r="179">
      <c r="B179" s="160">
        <f>IF(Grid!$B151="","",149)</f>
        <v/>
      </c>
      <c r="C179" s="161">
        <f>IF(Grid!$B151="","",TRIM(INDEX('INPUT - Roster'!$F$1:$F$206,Grid!$B151)&amp;""))</f>
        <v/>
      </c>
      <c r="D179" s="158">
        <f>IF(Grid!$B151="","",TRIM(INDEX('INPUT - Roster'!$C$1:$C$206,Grid!$B151)&amp;""))</f>
        <v/>
      </c>
      <c r="E179" s="158">
        <f>IF(Grid!$B151="","",INDEX(Index!$C$2:$C$202,MATCH(Grid!$B151,Index!$A$2:$A$202,0)))</f>
        <v/>
      </c>
      <c r="F179" s="158">
        <f>IF(Grid!$B151="","",TRIM(INDEX('INPUT - Roster'!$H$1:$H$206,Grid!$B151)&amp;""))</f>
        <v/>
      </c>
      <c r="G179" s="160">
        <f>IF(Grid!$B151="","",TRIM(INDEX('INPUT - Roster'!$G$1:$G$206,Grid!$B151)&amp;""))</f>
        <v/>
      </c>
      <c r="H179" s="160">
        <f>IF(Grid!$B151="","",TRIM(INDEX('INPUT - Roster'!$R$1:$R$206,Grid!$B151)&amp;""))</f>
        <v/>
      </c>
      <c r="I179" s="160">
        <f>IF(Grid!$B151="","",TRIM(INDEX('INPUT - Roster'!$O$1:$O$206,Grid!$B151)&amp;""))</f>
        <v/>
      </c>
      <c r="J179" s="160">
        <f>IF(Grid!$B151="","",TRIM(INDEX('INPUT - Roster'!$J$1:$J$206,Grid!$B151)&amp;""))</f>
        <v/>
      </c>
      <c r="K179" s="160">
        <f>IF(Grid!$B151="","",TRIM(INDEX('INPUT - Roster'!$K$1:$K$206,Grid!$B151)&amp;""))</f>
        <v/>
      </c>
      <c r="L179" s="160">
        <f>IF(Grid!$B151="","",TRIM(INDEX('INPUT - Roster'!$L$1:$L$206,Grid!$B151)&amp;""))</f>
        <v/>
      </c>
      <c r="M179" s="160">
        <f>IF(Grid!$B151="","",TRIM(INDEX('INPUT - Roster'!$M$1:$M$206,Grid!$B151)&amp;""))</f>
        <v/>
      </c>
      <c r="N179" s="158">
        <f>Grid!F151</f>
        <v/>
      </c>
      <c r="O179" s="160">
        <f>Grid!AI151</f>
        <v/>
      </c>
      <c r="P179" s="160">
        <f>Grid!BL151</f>
        <v/>
      </c>
      <c r="Q179" s="162">
        <f>IF(Grid!$D151="","",INDEX(Grid!$F$2:$AG$2,Grid!$D151))</f>
        <v/>
      </c>
      <c r="R179" s="158">
        <f>IF(Grid!$D151="","",INDEX(Grid!$F151:$AG151,Grid!$D151))</f>
        <v/>
      </c>
      <c r="S179" s="160">
        <f>IF(Grid!$B151="","",IFERROR(TRIM(INDEX('BHP Site Access'!$G$3:$G$104,MATCH(LOWER(TRIM(INDEX('INPUT - Roster'!$D$1:$D$206,Grid!$B151)&amp;"")&amp;"|"&amp;TRIM(INDEX('INPUT - Roster'!$E$1:$E$206,Grid!$B151)&amp;"")),Calc!$AX$3:$AX$104,0))&amp;""),"Not listed"))</f>
        <v/>
      </c>
      <c r="T179" s="160">
        <f>IF(OR(Grid!$B151="",ISNUMBER(SEARCH("demob",E179))),"",IF(AND(UPPER(TRIM(J179&amp;""))="YES",UPPER(TRIM(K179&amp;""))="YES",UPPER(TRIM(L179&amp;""))="YES",LEFT(UPPER(M179),14)="QUALS COMPLETE"),"","GAP"))</f>
        <v/>
      </c>
      <c r="U179" s="163">
        <f>IF(Grid!$B151="",0,IF(AND(OR(Dashboard!$D$9="All",D179=Dashboard!$D$9),OR(Dashboard!$J$9="All",E179=Dashboard!$J$9)),1,0))</f>
        <v/>
      </c>
    </row>
    <row r="180">
      <c r="B180" s="160">
        <f>IF(Grid!$B152="","",150)</f>
        <v/>
      </c>
      <c r="C180" s="161">
        <f>IF(Grid!$B152="","",TRIM(INDEX('INPUT - Roster'!$F$1:$F$206,Grid!$B152)&amp;""))</f>
        <v/>
      </c>
      <c r="D180" s="158">
        <f>IF(Grid!$B152="","",TRIM(INDEX('INPUT - Roster'!$C$1:$C$206,Grid!$B152)&amp;""))</f>
        <v/>
      </c>
      <c r="E180" s="158">
        <f>IF(Grid!$B152="","",INDEX(Index!$C$2:$C$202,MATCH(Grid!$B152,Index!$A$2:$A$202,0)))</f>
        <v/>
      </c>
      <c r="F180" s="158">
        <f>IF(Grid!$B152="","",TRIM(INDEX('INPUT - Roster'!$H$1:$H$206,Grid!$B152)&amp;""))</f>
        <v/>
      </c>
      <c r="G180" s="160">
        <f>IF(Grid!$B152="","",TRIM(INDEX('INPUT - Roster'!$G$1:$G$206,Grid!$B152)&amp;""))</f>
        <v/>
      </c>
      <c r="H180" s="160">
        <f>IF(Grid!$B152="","",TRIM(INDEX('INPUT - Roster'!$R$1:$R$206,Grid!$B152)&amp;""))</f>
        <v/>
      </c>
      <c r="I180" s="160">
        <f>IF(Grid!$B152="","",TRIM(INDEX('INPUT - Roster'!$O$1:$O$206,Grid!$B152)&amp;""))</f>
        <v/>
      </c>
      <c r="J180" s="160">
        <f>IF(Grid!$B152="","",TRIM(INDEX('INPUT - Roster'!$J$1:$J$206,Grid!$B152)&amp;""))</f>
        <v/>
      </c>
      <c r="K180" s="160">
        <f>IF(Grid!$B152="","",TRIM(INDEX('INPUT - Roster'!$K$1:$K$206,Grid!$B152)&amp;""))</f>
        <v/>
      </c>
      <c r="L180" s="160">
        <f>IF(Grid!$B152="","",TRIM(INDEX('INPUT - Roster'!$L$1:$L$206,Grid!$B152)&amp;""))</f>
        <v/>
      </c>
      <c r="M180" s="160">
        <f>IF(Grid!$B152="","",TRIM(INDEX('INPUT - Roster'!$M$1:$M$206,Grid!$B152)&amp;""))</f>
        <v/>
      </c>
      <c r="N180" s="158">
        <f>Grid!F152</f>
        <v/>
      </c>
      <c r="O180" s="160">
        <f>Grid!AI152</f>
        <v/>
      </c>
      <c r="P180" s="160">
        <f>Grid!BL152</f>
        <v/>
      </c>
      <c r="Q180" s="162">
        <f>IF(Grid!$D152="","",INDEX(Grid!$F$2:$AG$2,Grid!$D152))</f>
        <v/>
      </c>
      <c r="R180" s="158">
        <f>IF(Grid!$D152="","",INDEX(Grid!$F152:$AG152,Grid!$D152))</f>
        <v/>
      </c>
      <c r="S180" s="160">
        <f>IF(Grid!$B152="","",IFERROR(TRIM(INDEX('BHP Site Access'!$G$3:$G$104,MATCH(LOWER(TRIM(INDEX('INPUT - Roster'!$D$1:$D$206,Grid!$B152)&amp;"")&amp;"|"&amp;TRIM(INDEX('INPUT - Roster'!$E$1:$E$206,Grid!$B152)&amp;"")),Calc!$AX$3:$AX$104,0))&amp;""),"Not listed"))</f>
        <v/>
      </c>
      <c r="T180" s="160">
        <f>IF(OR(Grid!$B152="",ISNUMBER(SEARCH("demob",E180))),"",IF(AND(UPPER(TRIM(J180&amp;""))="YES",UPPER(TRIM(K180&amp;""))="YES",UPPER(TRIM(L180&amp;""))="YES",LEFT(UPPER(M180),14)="QUALS COMPLETE"),"","GAP"))</f>
        <v/>
      </c>
      <c r="U180" s="163">
        <f>IF(Grid!$B152="",0,IF(AND(OR(Dashboard!$D$9="All",D180=Dashboard!$D$9),OR(Dashboard!$J$9="All",E180=Dashboard!$J$9)),1,0))</f>
        <v/>
      </c>
    </row>
  </sheetData>
  <mergeCells count="21">
    <mergeCell ref="H23:R23"/>
    <mergeCell ref="H8:R8"/>
    <mergeCell ref="H20:R20"/>
    <mergeCell ref="H10:R10"/>
    <mergeCell ref="H9:R9"/>
    <mergeCell ref="H25:R25"/>
    <mergeCell ref="H6:R6"/>
    <mergeCell ref="H21:R21"/>
    <mergeCell ref="H17:R17"/>
    <mergeCell ref="H11:R11"/>
    <mergeCell ref="H16:R16"/>
    <mergeCell ref="H7:R7"/>
    <mergeCell ref="H19:R19"/>
    <mergeCell ref="H22:R22"/>
    <mergeCell ref="H13:R13"/>
    <mergeCell ref="H12:R12"/>
    <mergeCell ref="H24:R24"/>
    <mergeCell ref="H15:R15"/>
    <mergeCell ref="H5:R5"/>
    <mergeCell ref="H18:R18"/>
    <mergeCell ref="H14:R14"/>
  </mergeCells>
  <conditionalFormatting sqref="E6:E25">
    <cfRule type="expression" priority="1" dxfId="13">
      <formula>AND(ISNUMBER(E6),E6&gt;0)</formula>
    </cfRule>
  </conditionalFormatting>
  <conditionalFormatting sqref="O31:O180">
    <cfRule type="expression" priority="2" dxfId="14">
      <formula>O31="On site"</formula>
    </cfRule>
    <cfRule type="expression" priority="3" dxfId="15">
      <formula>O31="Travel in"</formula>
    </cfRule>
    <cfRule type="expression" priority="4" dxfId="16">
      <formula>O31="Travel out"</formula>
    </cfRule>
    <cfRule type="expression" priority="5" dxfId="17">
      <formula>O31="R&amp;R"</formula>
    </cfRule>
    <cfRule type="expression" priority="6" dxfId="18">
      <formula>O31="Leave"</formula>
    </cfRule>
    <cfRule type="expression" priority="7" dxfId="19">
      <formula>O31="Not mobilised"</formula>
    </cfRule>
    <cfRule type="expression" priority="8" dxfId="20">
      <formula>O31="TBC"</formula>
    </cfRule>
    <cfRule type="expression" priority="9" dxfId="21">
      <formula>O31="Other"</formula>
    </cfRule>
    <cfRule type="expression" priority="10" dxfId="22">
      <formula>O31="Not rostered"</formula>
    </cfRule>
  </conditionalFormatting>
  <conditionalFormatting sqref="J31:J180">
    <cfRule type="expression" priority="11" dxfId="12">
      <formula>AND(J31&lt;&gt;"",UPPER(J31)&lt;&gt;"YES")</formula>
    </cfRule>
  </conditionalFormatting>
  <conditionalFormatting sqref="K31:K180">
    <cfRule type="expression" priority="12" dxfId="12">
      <formula>AND(K31&lt;&gt;"",UPPER(K31)&lt;&gt;"YES")</formula>
    </cfRule>
  </conditionalFormatting>
  <conditionalFormatting sqref="L31:L180">
    <cfRule type="expression" priority="13" dxfId="12">
      <formula>AND(L31&lt;&gt;"",UPPER(L31)&lt;&gt;"YES")</formula>
    </cfRule>
  </conditionalFormatting>
  <conditionalFormatting sqref="T31:T180">
    <cfRule type="expression" priority="14" dxfId="21">
      <formula>T31="GAP"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8F5B"/>
    <outlinePr summaryBelow="1" summaryRight="1"/>
    <pageSetUpPr/>
  </sheetPr>
  <dimension ref="B1:SF42"/>
  <sheetViews>
    <sheetView showGridLines="0"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style="53" min="1" max="1"/>
    <col width="22" customWidth="1" style="53" min="2" max="2"/>
    <col width="5.5" customWidth="1" style="53" min="3" max="3"/>
    <col width="5.5" customWidth="1" style="53" min="4" max="4"/>
    <col width="5.5" customWidth="1" style="53" min="5" max="5"/>
    <col width="5.5" customWidth="1" style="53" min="6" max="6"/>
    <col width="5.5" customWidth="1" style="53" min="7" max="7"/>
    <col width="5.5" customWidth="1" style="53" min="8" max="8"/>
    <col width="5.5" customWidth="1" style="53" min="9" max="9"/>
    <col width="5.5" customWidth="1" style="53" min="10" max="10"/>
    <col width="5.5" customWidth="1" style="53" min="11" max="11"/>
    <col width="5.5" customWidth="1" style="53" min="12" max="12"/>
    <col width="5.5" customWidth="1" style="53" min="13" max="13"/>
    <col width="5.5" customWidth="1" style="53" min="14" max="14"/>
    <col width="5.5" customWidth="1" style="53" min="15" max="15"/>
    <col width="5.5" customWidth="1" style="53" min="16" max="16"/>
    <col width="5.5" customWidth="1" style="53" min="17" max="17"/>
    <col width="5.5" customWidth="1" style="53" min="18" max="18"/>
    <col width="5.5" customWidth="1" style="53" min="19" max="19"/>
    <col width="5.5" customWidth="1" style="53" min="20" max="20"/>
    <col width="5.5" customWidth="1" style="53" min="21" max="21"/>
    <col width="5.5" customWidth="1" style="53" min="22" max="22"/>
    <col width="5.5" customWidth="1" style="53" min="23" max="23"/>
    <col width="5.5" customWidth="1" style="53" min="24" max="24"/>
    <col width="5.5" customWidth="1" style="53" min="25" max="25"/>
    <col width="5.5" customWidth="1" style="53" min="26" max="26"/>
    <col width="5.5" customWidth="1" style="53" min="27" max="27"/>
    <col width="5.5" customWidth="1" style="53" min="28" max="28"/>
    <col width="5.5" customWidth="1" style="53" min="29" max="29"/>
    <col width="5.5" customWidth="1" style="53" min="30" max="30"/>
    <col width="5.5" customWidth="1" style="53" min="31" max="31"/>
    <col width="5.5" customWidth="1" style="53" min="32" max="32"/>
    <col width="5.5" customWidth="1" style="53" min="33" max="33"/>
    <col width="5.5" customWidth="1" style="53" min="34" max="34"/>
    <col width="5.5" customWidth="1" style="53" min="35" max="35"/>
    <col width="5.5" customWidth="1" style="53" min="36" max="36"/>
    <col width="5.5" customWidth="1" style="53" min="37" max="37"/>
    <col width="5.5" customWidth="1" style="53" min="38" max="38"/>
    <col width="5.5" customWidth="1" style="53" min="39" max="39"/>
    <col width="5.5" customWidth="1" style="53" min="40" max="40"/>
    <col width="5.5" customWidth="1" style="53" min="41" max="41"/>
    <col width="5.5" customWidth="1" style="53" min="42" max="42"/>
    <col width="5.5" customWidth="1" style="53" min="43" max="43"/>
    <col width="5.5" customWidth="1" style="53" min="44" max="44"/>
    <col width="5.5" customWidth="1" style="53" min="45" max="45"/>
    <col width="5.5" customWidth="1" style="53" min="46" max="46"/>
    <col width="5.5" customWidth="1" style="53" min="47" max="47"/>
    <col width="5.5" customWidth="1" style="53" min="48" max="48"/>
    <col width="5.5" customWidth="1" style="53" min="49" max="49"/>
    <col width="5.5" customWidth="1" style="53" min="50" max="50"/>
    <col width="5.5" customWidth="1" style="53" min="51" max="51"/>
    <col width="5.5" customWidth="1" style="53" min="52" max="52"/>
    <col width="5.5" customWidth="1" style="53" min="53" max="53"/>
    <col width="5.5" customWidth="1" style="53" min="54" max="54"/>
    <col width="5.5" customWidth="1" style="53" min="55" max="55"/>
    <col width="5.5" customWidth="1" style="53" min="56" max="56"/>
    <col width="5.5" customWidth="1" style="53" min="57" max="57"/>
    <col width="5.5" customWidth="1" style="53" min="58" max="58"/>
    <col width="5.5" customWidth="1" style="53" min="59" max="59"/>
    <col width="5.5" customWidth="1" style="53" min="60" max="60"/>
    <col width="5.5" customWidth="1" style="53" min="61" max="61"/>
    <col width="5.5" customWidth="1" style="53" min="62" max="62"/>
    <col width="5.5" customWidth="1" style="53" min="63" max="63"/>
    <col width="5.5" customWidth="1" style="53" min="64" max="64"/>
    <col width="5.5" customWidth="1" style="53" min="65" max="65"/>
    <col width="5.5" customWidth="1" style="53" min="66" max="66"/>
    <col width="5.5" customWidth="1" style="53" min="67" max="67"/>
    <col width="5.5" customWidth="1" style="53" min="68" max="68"/>
    <col width="5.5" customWidth="1" style="53" min="69" max="69"/>
    <col width="5.5" customWidth="1" style="53" min="70" max="70"/>
    <col width="5.5" customWidth="1" style="53" min="71" max="71"/>
    <col width="5.5" customWidth="1" style="53" min="72" max="72"/>
    <col width="5.5" customWidth="1" style="53" min="73" max="73"/>
    <col width="5.5" customWidth="1" style="53" min="74" max="74"/>
    <col width="5.5" customWidth="1" style="53" min="75" max="75"/>
    <col width="5.5" customWidth="1" style="53" min="76" max="76"/>
    <col width="5.5" customWidth="1" style="53" min="77" max="77"/>
    <col width="5.5" customWidth="1" style="53" min="78" max="78"/>
    <col width="5.5" customWidth="1" style="53" min="79" max="79"/>
    <col width="5.5" customWidth="1" style="53" min="80" max="80"/>
    <col width="5.5" customWidth="1" style="53" min="81" max="81"/>
    <col width="5.5" customWidth="1" style="53" min="82" max="82"/>
    <col width="5.5" customWidth="1" style="53" min="83" max="83"/>
    <col width="5.5" customWidth="1" style="53" min="84" max="84"/>
    <col width="5.5" customWidth="1" style="53" min="85" max="85"/>
    <col width="5.5" customWidth="1" style="53" min="86" max="86"/>
    <col width="5.5" customWidth="1" style="53" min="87" max="87"/>
    <col width="5.5" customWidth="1" style="53" min="88" max="88"/>
    <col width="5.5" customWidth="1" style="53" min="89" max="89"/>
    <col width="5.5" customWidth="1" style="53" min="90" max="90"/>
    <col width="5.5" customWidth="1" style="53" min="91" max="91"/>
    <col width="5.5" customWidth="1" style="53" min="92" max="92"/>
    <col width="5.5" customWidth="1" style="53" min="93" max="93"/>
    <col width="5.5" customWidth="1" style="53" min="94" max="94"/>
    <col width="5.5" customWidth="1" style="53" min="95" max="95"/>
    <col width="5.5" customWidth="1" style="53" min="96" max="96"/>
    <col width="5.5" customWidth="1" style="53" min="97" max="97"/>
    <col width="5.5" customWidth="1" style="53" min="98" max="98"/>
    <col width="5.5" customWidth="1" style="53" min="99" max="99"/>
    <col width="5.5" customWidth="1" style="53" min="100" max="100"/>
    <col width="5.5" customWidth="1" style="53" min="101" max="101"/>
    <col width="5.5" customWidth="1" style="53" min="102" max="102"/>
    <col width="5.5" customWidth="1" style="53" min="103" max="103"/>
    <col width="5.5" customWidth="1" style="53" min="104" max="104"/>
    <col width="5.5" customWidth="1" style="53" min="105" max="105"/>
    <col width="5.5" customWidth="1" style="53" min="106" max="106"/>
    <col width="5.5" customWidth="1" style="53" min="107" max="107"/>
    <col width="5.5" customWidth="1" style="53" min="108" max="108"/>
    <col width="5.5" customWidth="1" style="53" min="109" max="109"/>
    <col width="5.5" customWidth="1" style="53" min="110" max="110"/>
    <col width="5.5" customWidth="1" style="53" min="111" max="111"/>
    <col width="5.5" customWidth="1" style="53" min="112" max="112"/>
    <col width="5.5" customWidth="1" style="53" min="113" max="113"/>
    <col width="5.5" customWidth="1" style="53" min="114" max="114"/>
    <col width="5.5" customWidth="1" style="53" min="115" max="115"/>
    <col width="5.5" customWidth="1" style="53" min="116" max="116"/>
    <col width="5.5" customWidth="1" style="53" min="117" max="117"/>
    <col width="5.5" customWidth="1" style="53" min="118" max="118"/>
    <col width="5.5" customWidth="1" style="53" min="119" max="119"/>
    <col width="5.5" customWidth="1" style="53" min="120" max="120"/>
    <col width="5.5" customWidth="1" style="53" min="121" max="121"/>
    <col width="5.5" customWidth="1" style="53" min="122" max="122"/>
    <col width="5.5" customWidth="1" style="53" min="123" max="123"/>
    <col width="5.5" customWidth="1" style="53" min="124" max="124"/>
    <col width="5.5" customWidth="1" style="53" min="125" max="125"/>
    <col width="5.5" customWidth="1" style="53" min="126" max="126"/>
    <col width="5.5" customWidth="1" style="53" min="127" max="127"/>
    <col width="5.5" customWidth="1" style="53" min="128" max="128"/>
    <col width="5.5" customWidth="1" style="53" min="129" max="129"/>
    <col width="5.5" customWidth="1" style="53" min="130" max="130"/>
    <col width="5.5" customWidth="1" style="53" min="131" max="131"/>
    <col width="5.5" customWidth="1" style="53" min="132" max="132"/>
    <col width="5.5" customWidth="1" style="53" min="133" max="133"/>
    <col width="5.5" customWidth="1" style="53" min="134" max="134"/>
    <col width="5.5" customWidth="1" style="53" min="135" max="135"/>
    <col width="5.5" customWidth="1" style="53" min="136" max="136"/>
    <col width="5.5" customWidth="1" style="53" min="137" max="137"/>
    <col width="5.5" customWidth="1" style="53" min="138" max="138"/>
    <col width="5.5" customWidth="1" style="53" min="139" max="139"/>
    <col width="5.5" customWidth="1" style="53" min="140" max="140"/>
    <col width="5.5" customWidth="1" style="53" min="141" max="141"/>
    <col width="5.5" customWidth="1" style="53" min="142" max="142"/>
    <col width="5.5" customWidth="1" style="53" min="143" max="143"/>
    <col width="5.5" customWidth="1" style="53" min="144" max="144"/>
    <col width="5.5" customWidth="1" style="53" min="145" max="145"/>
    <col width="5.5" customWidth="1" style="53" min="146" max="146"/>
    <col width="5.5" customWidth="1" style="53" min="147" max="147"/>
    <col width="5.5" customWidth="1" style="53" min="148" max="148"/>
    <col width="5.5" customWidth="1" style="53" min="149" max="149"/>
    <col width="5.5" customWidth="1" style="53" min="150" max="150"/>
    <col width="5.5" customWidth="1" style="53" min="151" max="151"/>
    <col width="5.5" customWidth="1" style="53" min="152" max="152"/>
    <col width="5.5" customWidth="1" style="53" min="153" max="153"/>
    <col width="5.5" customWidth="1" style="53" min="154" max="154"/>
    <col width="5.5" customWidth="1" style="53" min="155" max="155"/>
    <col width="5.5" customWidth="1" style="53" min="156" max="156"/>
    <col width="5.5" customWidth="1" style="53" min="157" max="157"/>
    <col width="5.5" customWidth="1" style="53" min="158" max="158"/>
    <col width="5.5" customWidth="1" style="53" min="159" max="159"/>
    <col width="5.5" customWidth="1" style="53" min="160" max="160"/>
    <col width="5.5" customWidth="1" style="53" min="161" max="161"/>
    <col width="5.5" customWidth="1" style="53" min="162" max="162"/>
    <col width="5.5" customWidth="1" style="53" min="163" max="163"/>
    <col width="5.5" customWidth="1" style="53" min="164" max="164"/>
    <col width="5.5" customWidth="1" style="53" min="165" max="165"/>
    <col width="5.5" customWidth="1" style="53" min="166" max="166"/>
    <col width="5.5" customWidth="1" style="53" min="167" max="167"/>
    <col width="5.5" customWidth="1" style="53" min="168" max="168"/>
    <col width="5.5" customWidth="1" style="53" min="169" max="169"/>
    <col width="5.5" customWidth="1" style="53" min="170" max="170"/>
    <col width="5.5" customWidth="1" style="53" min="171" max="171"/>
    <col width="5.5" customWidth="1" style="53" min="172" max="172"/>
    <col width="5.5" customWidth="1" style="53" min="173" max="173"/>
    <col width="5.5" customWidth="1" style="53" min="174" max="174"/>
    <col width="5.5" customWidth="1" style="53" min="175" max="175"/>
    <col width="5.5" customWidth="1" style="53" min="176" max="176"/>
    <col width="5.5" customWidth="1" style="53" min="177" max="177"/>
    <col width="5.5" customWidth="1" style="53" min="178" max="178"/>
    <col width="5.5" customWidth="1" style="53" min="179" max="179"/>
    <col width="5.5" customWidth="1" style="53" min="180" max="180"/>
    <col width="5.5" customWidth="1" style="53" min="181" max="181"/>
    <col width="5.5" customWidth="1" style="53" min="182" max="182"/>
    <col width="5.5" customWidth="1" style="53" min="183" max="183"/>
    <col width="5.5" customWidth="1" style="53" min="184" max="184"/>
    <col width="5.5" customWidth="1" style="53" min="185" max="185"/>
    <col width="5.5" customWidth="1" style="53" min="186" max="186"/>
    <col width="5.5" customWidth="1" style="53" min="187" max="187"/>
    <col width="5.5" customWidth="1" style="53" min="188" max="188"/>
    <col width="5.5" customWidth="1" style="53" min="189" max="189"/>
    <col width="5.5" customWidth="1" style="53" min="190" max="190"/>
    <col width="5.5" customWidth="1" style="53" min="191" max="191"/>
    <col width="5.5" customWidth="1" style="53" min="192" max="192"/>
    <col width="5.5" customWidth="1" style="53" min="193" max="193"/>
    <col width="5.5" customWidth="1" style="53" min="194" max="194"/>
    <col width="5.5" customWidth="1" style="53" min="195" max="195"/>
    <col width="5.5" customWidth="1" style="53" min="196" max="196"/>
    <col width="5.5" customWidth="1" style="53" min="197" max="197"/>
    <col width="5.5" customWidth="1" style="53" min="198" max="198"/>
    <col width="5.5" customWidth="1" style="53" min="199" max="199"/>
    <col width="5.5" customWidth="1" style="53" min="200" max="200"/>
    <col width="5.5" customWidth="1" style="53" min="201" max="201"/>
    <col width="5.5" customWidth="1" style="53" min="202" max="202"/>
    <col width="5.5" customWidth="1" style="53" min="203" max="203"/>
    <col width="5.5" customWidth="1" style="53" min="204" max="204"/>
    <col width="5.5" customWidth="1" style="53" min="205" max="205"/>
    <col width="5.5" customWidth="1" style="53" min="206" max="206"/>
    <col width="5.5" customWidth="1" style="53" min="207" max="207"/>
    <col width="5.5" customWidth="1" style="53" min="208" max="208"/>
    <col width="5.5" customWidth="1" style="53" min="209" max="209"/>
    <col width="5.5" customWidth="1" style="53" min="210" max="210"/>
    <col width="5.5" customWidth="1" style="53" min="211" max="211"/>
    <col width="5.5" customWidth="1" style="53" min="212" max="212"/>
    <col width="5.5" customWidth="1" style="53" min="213" max="213"/>
    <col width="5.5" customWidth="1" style="53" min="214" max="214"/>
    <col width="5.5" customWidth="1" style="53" min="215" max="215"/>
    <col width="5.5" customWidth="1" style="53" min="216" max="216"/>
    <col width="5.5" customWidth="1" style="53" min="217" max="217"/>
    <col width="5.5" customWidth="1" style="53" min="218" max="218"/>
    <col width="5.5" customWidth="1" style="53" min="219" max="219"/>
    <col width="5.5" customWidth="1" style="53" min="220" max="220"/>
    <col width="5.5" customWidth="1" style="53" min="221" max="221"/>
    <col width="5.5" customWidth="1" style="53" min="222" max="222"/>
    <col width="5.5" customWidth="1" style="53" min="223" max="223"/>
    <col width="5.5" customWidth="1" style="53" min="224" max="224"/>
    <col width="5.5" customWidth="1" style="53" min="225" max="225"/>
    <col width="5.5" customWidth="1" style="53" min="226" max="226"/>
    <col width="5.5" customWidth="1" style="53" min="227" max="227"/>
    <col width="5.5" customWidth="1" style="53" min="228" max="228"/>
    <col width="5.5" customWidth="1" style="53" min="229" max="229"/>
    <col width="5.5" customWidth="1" style="53" min="230" max="230"/>
    <col width="5.5" customWidth="1" style="53" min="231" max="231"/>
    <col width="5.5" customWidth="1" style="53" min="232" max="232"/>
    <col width="5.5" customWidth="1" style="53" min="233" max="233"/>
    <col width="5.5" customWidth="1" style="53" min="234" max="234"/>
    <col width="5.5" customWidth="1" style="53" min="235" max="235"/>
    <col width="5.5" customWidth="1" style="53" min="236" max="236"/>
    <col width="5.5" customWidth="1" style="53" min="237" max="237"/>
    <col width="5.5" customWidth="1" style="53" min="238" max="238"/>
    <col width="5.5" customWidth="1" style="53" min="239" max="239"/>
    <col width="5.5" customWidth="1" style="53" min="240" max="240"/>
    <col width="5.5" customWidth="1" style="53" min="241" max="241"/>
    <col width="5.5" customWidth="1" style="53" min="242" max="242"/>
    <col width="5.5" customWidth="1" style="53" min="243" max="243"/>
    <col width="5.5" customWidth="1" style="53" min="244" max="244"/>
    <col width="5.5" customWidth="1" style="53" min="245" max="245"/>
    <col width="5.5" customWidth="1" style="53" min="246" max="246"/>
    <col width="5.5" customWidth="1" style="53" min="247" max="247"/>
    <col width="5.5" customWidth="1" style="53" min="248" max="248"/>
    <col width="5.5" customWidth="1" style="53" min="249" max="249"/>
    <col width="5.5" customWidth="1" style="53" min="250" max="250"/>
    <col width="5.5" customWidth="1" style="53" min="251" max="251"/>
    <col width="5.5" customWidth="1" style="53" min="252" max="252"/>
    <col width="5.5" customWidth="1" style="53" min="253" max="253"/>
    <col width="5.5" customWidth="1" style="53" min="254" max="254"/>
    <col width="5.5" customWidth="1" style="53" min="255" max="255"/>
    <col width="5.5" customWidth="1" style="53" min="256" max="256"/>
    <col width="5.5" customWidth="1" style="53" min="257" max="257"/>
    <col width="5.5" customWidth="1" style="53" min="258" max="258"/>
    <col width="5.5" customWidth="1" style="53" min="259" max="259"/>
    <col width="5.5" customWidth="1" style="53" min="260" max="260"/>
    <col width="5.5" customWidth="1" style="53" min="261" max="261"/>
    <col width="5.5" customWidth="1" style="53" min="262" max="262"/>
    <col width="5.5" customWidth="1" style="53" min="263" max="263"/>
    <col width="5.5" customWidth="1" style="53" min="264" max="264"/>
    <col width="5.5" customWidth="1" style="53" min="265" max="265"/>
    <col width="5.5" customWidth="1" style="53" min="266" max="266"/>
    <col width="5.5" customWidth="1" style="53" min="267" max="267"/>
    <col width="5.5" customWidth="1" style="53" min="268" max="268"/>
    <col width="5.5" customWidth="1" style="53" min="269" max="269"/>
    <col width="5.5" customWidth="1" style="53" min="270" max="270"/>
    <col width="5.5" customWidth="1" style="53" min="271" max="271"/>
    <col width="5.5" customWidth="1" style="53" min="272" max="272"/>
    <col width="5.5" customWidth="1" style="53" min="273" max="273"/>
    <col width="5.5" customWidth="1" style="53" min="274" max="274"/>
    <col width="5.5" customWidth="1" style="53" min="275" max="275"/>
    <col width="5.5" customWidth="1" style="53" min="276" max="276"/>
    <col width="5.5" customWidth="1" style="53" min="277" max="277"/>
    <col width="5.5" customWidth="1" style="53" min="278" max="278"/>
    <col width="5.5" customWidth="1" style="53" min="279" max="279"/>
    <col width="5.5" customWidth="1" style="53" min="280" max="280"/>
    <col width="5.5" customWidth="1" style="53" min="281" max="281"/>
    <col width="5.5" customWidth="1" style="53" min="282" max="282"/>
    <col width="5.5" customWidth="1" style="53" min="283" max="283"/>
    <col width="5.5" customWidth="1" style="53" min="284" max="284"/>
    <col width="5.5" customWidth="1" style="53" min="285" max="285"/>
    <col width="5.5" customWidth="1" style="53" min="286" max="286"/>
    <col width="5.5" customWidth="1" style="53" min="287" max="287"/>
    <col width="5.5" customWidth="1" style="53" min="288" max="288"/>
    <col width="5.5" customWidth="1" style="53" min="289" max="289"/>
    <col width="5.5" customWidth="1" style="53" min="290" max="290"/>
    <col width="5.5" customWidth="1" style="53" min="291" max="291"/>
    <col width="5.5" customWidth="1" style="53" min="292" max="292"/>
    <col width="5.5" customWidth="1" style="53" min="293" max="293"/>
    <col width="5.5" customWidth="1" style="53" min="294" max="294"/>
    <col width="5.5" customWidth="1" style="53" min="295" max="295"/>
    <col width="5.5" customWidth="1" style="53" min="296" max="296"/>
    <col width="5.5" customWidth="1" style="53" min="297" max="297"/>
    <col width="5.5" customWidth="1" style="53" min="298" max="298"/>
    <col width="5.5" customWidth="1" style="53" min="299" max="299"/>
    <col width="5.5" customWidth="1" style="53" min="300" max="300"/>
    <col width="5.5" customWidth="1" style="53" min="301" max="301"/>
    <col width="5.5" customWidth="1" style="53" min="302" max="302"/>
    <col width="5.5" customWidth="1" style="53" min="303" max="303"/>
    <col width="5.5" customWidth="1" style="53" min="304" max="304"/>
    <col width="5.5" customWidth="1" style="53" min="305" max="305"/>
    <col width="5.5" customWidth="1" style="53" min="306" max="306"/>
    <col width="5.5" customWidth="1" style="53" min="307" max="307"/>
    <col width="5.5" customWidth="1" style="53" min="308" max="308"/>
    <col width="5.5" customWidth="1" style="53" min="309" max="309"/>
    <col width="5.5" customWidth="1" style="53" min="310" max="310"/>
    <col width="5.5" customWidth="1" style="53" min="311" max="311"/>
    <col width="5.5" customWidth="1" style="53" min="312" max="312"/>
    <col width="5.5" customWidth="1" style="53" min="313" max="313"/>
    <col width="5.5" customWidth="1" style="53" min="314" max="314"/>
    <col width="5.5" customWidth="1" style="53" min="315" max="315"/>
    <col width="5.5" customWidth="1" style="53" min="316" max="316"/>
    <col width="5.5" customWidth="1" style="53" min="317" max="317"/>
    <col width="5.5" customWidth="1" style="53" min="318" max="318"/>
    <col width="5.5" customWidth="1" style="53" min="319" max="319"/>
    <col width="5.5" customWidth="1" style="53" min="320" max="320"/>
    <col width="5.5" customWidth="1" style="53" min="321" max="321"/>
    <col width="5.5" customWidth="1" style="53" min="322" max="322"/>
    <col width="5.5" customWidth="1" style="53" min="323" max="323"/>
    <col width="5.5" customWidth="1" style="53" min="324" max="324"/>
    <col width="5.5" customWidth="1" style="53" min="325" max="325"/>
    <col width="5.5" customWidth="1" style="53" min="326" max="326"/>
    <col width="5.5" customWidth="1" style="53" min="327" max="327"/>
    <col width="5.5" customWidth="1" style="53" min="328" max="328"/>
    <col width="5.5" customWidth="1" style="53" min="329" max="329"/>
    <col width="5.5" customWidth="1" style="53" min="330" max="330"/>
    <col width="5.5" customWidth="1" style="53" min="331" max="331"/>
    <col width="5.5" customWidth="1" style="53" min="332" max="332"/>
    <col width="5.5" customWidth="1" style="53" min="333" max="333"/>
    <col width="5.5" customWidth="1" style="53" min="334" max="334"/>
    <col width="5.5" customWidth="1" style="53" min="335" max="335"/>
    <col width="5.5" customWidth="1" style="53" min="336" max="336"/>
    <col width="5.5" customWidth="1" style="53" min="337" max="337"/>
    <col width="5.5" customWidth="1" style="53" min="338" max="338"/>
    <col width="5.5" customWidth="1" style="53" min="339" max="339"/>
    <col width="5.5" customWidth="1" style="53" min="340" max="340"/>
    <col width="5.5" customWidth="1" style="53" min="341" max="341"/>
    <col width="5.5" customWidth="1" style="53" min="342" max="342"/>
    <col width="5.5" customWidth="1" style="53" min="343" max="343"/>
    <col width="5.5" customWidth="1" style="53" min="344" max="344"/>
    <col width="5.5" customWidth="1" style="53" min="345" max="345"/>
    <col width="5.5" customWidth="1" style="53" min="346" max="346"/>
    <col width="5.5" customWidth="1" style="53" min="347" max="347"/>
    <col width="5.5" customWidth="1" style="53" min="348" max="348"/>
    <col width="5.5" customWidth="1" style="53" min="349" max="349"/>
    <col width="5.5" customWidth="1" style="53" min="350" max="350"/>
    <col width="5.5" customWidth="1" style="53" min="351" max="351"/>
    <col width="5.5" customWidth="1" style="53" min="352" max="352"/>
    <col width="5.5" customWidth="1" style="53" min="353" max="353"/>
    <col width="5.5" customWidth="1" style="53" min="354" max="354"/>
    <col width="5.5" customWidth="1" style="53" min="355" max="355"/>
    <col width="5.5" customWidth="1" style="53" min="356" max="356"/>
    <col width="5.5" customWidth="1" style="53" min="357" max="357"/>
    <col width="5.5" customWidth="1" style="53" min="358" max="358"/>
    <col width="5.5" customWidth="1" style="53" min="359" max="359"/>
    <col width="5.5" customWidth="1" style="53" min="360" max="360"/>
    <col width="5.5" customWidth="1" style="53" min="361" max="361"/>
    <col width="5.5" customWidth="1" style="53" min="362" max="362"/>
    <col width="5.5" customWidth="1" style="53" min="363" max="363"/>
    <col width="5.5" customWidth="1" style="53" min="364" max="364"/>
    <col width="5.5" customWidth="1" style="53" min="365" max="365"/>
    <col width="5.5" customWidth="1" style="53" min="366" max="366"/>
    <col width="5.5" customWidth="1" style="53" min="367" max="367"/>
    <col width="5.5" customWidth="1" style="53" min="368" max="368"/>
    <col width="5.5" customWidth="1" style="53" min="369" max="369"/>
    <col width="5.5" customWidth="1" style="53" min="370" max="370"/>
    <col width="5.5" customWidth="1" style="53" min="371" max="371"/>
    <col width="5.5" customWidth="1" style="53" min="372" max="372"/>
    <col width="5.5" customWidth="1" style="53" min="373" max="373"/>
    <col width="5.5" customWidth="1" style="53" min="374" max="374"/>
    <col width="5.5" customWidth="1" style="53" min="375" max="375"/>
    <col width="5.5" customWidth="1" style="53" min="376" max="376"/>
    <col width="5.5" customWidth="1" style="53" min="377" max="377"/>
    <col width="5.5" customWidth="1" style="53" min="378" max="378"/>
    <col width="5.5" customWidth="1" style="53" min="379" max="379"/>
    <col width="5.5" customWidth="1" style="53" min="380" max="380"/>
    <col width="5.5" customWidth="1" style="53" min="381" max="381"/>
    <col width="5.5" customWidth="1" style="53" min="382" max="382"/>
    <col width="5.5" customWidth="1" style="53" min="383" max="383"/>
    <col width="5.5" customWidth="1" style="53" min="384" max="384"/>
    <col width="5.5" customWidth="1" style="53" min="385" max="385"/>
    <col width="5.5" customWidth="1" style="53" min="386" max="386"/>
    <col width="5.5" customWidth="1" style="53" min="387" max="387"/>
    <col width="5.5" customWidth="1" style="53" min="388" max="388"/>
    <col width="5.5" customWidth="1" style="53" min="389" max="389"/>
    <col width="5.5" customWidth="1" style="53" min="390" max="390"/>
    <col width="5.5" customWidth="1" style="53" min="391" max="391"/>
    <col width="5.5" customWidth="1" style="53" min="392" max="392"/>
    <col width="5.5" customWidth="1" style="53" min="393" max="393"/>
    <col width="5.5" customWidth="1" style="53" min="394" max="394"/>
    <col width="5.5" customWidth="1" style="53" min="395" max="395"/>
    <col width="5.5" customWidth="1" style="53" min="396" max="396"/>
    <col width="5.5" customWidth="1" style="53" min="397" max="397"/>
    <col width="5.5" customWidth="1" style="53" min="398" max="398"/>
    <col width="5.5" customWidth="1" style="53" min="399" max="399"/>
    <col width="5.5" customWidth="1" style="53" min="400" max="400"/>
    <col width="5.5" customWidth="1" style="53" min="401" max="401"/>
    <col width="5.5" customWidth="1" style="53" min="402" max="402"/>
    <col width="5.5" customWidth="1" style="53" min="403" max="403"/>
    <col width="5.5" customWidth="1" style="53" min="404" max="404"/>
    <col width="5.5" customWidth="1" style="53" min="405" max="405"/>
    <col width="5.5" customWidth="1" style="53" min="406" max="406"/>
    <col width="5.5" customWidth="1" style="53" min="407" max="407"/>
    <col width="5.5" customWidth="1" style="53" min="408" max="408"/>
    <col width="5.5" customWidth="1" style="53" min="409" max="409"/>
    <col width="5.5" customWidth="1" style="53" min="410" max="410"/>
    <col width="5.5" customWidth="1" style="53" min="411" max="411"/>
    <col width="5.5" customWidth="1" style="53" min="412" max="412"/>
    <col width="5.5" customWidth="1" style="53" min="413" max="413"/>
    <col width="5.5" customWidth="1" style="53" min="414" max="414"/>
    <col width="5.5" customWidth="1" style="53" min="415" max="415"/>
    <col width="5.5" customWidth="1" style="53" min="416" max="416"/>
    <col width="5.5" customWidth="1" style="53" min="417" max="417"/>
    <col width="5.5" customWidth="1" style="53" min="418" max="418"/>
    <col width="5.5" customWidth="1" style="53" min="419" max="419"/>
    <col width="5.5" customWidth="1" style="53" min="420" max="420"/>
    <col width="5.5" customWidth="1" style="53" min="421" max="421"/>
    <col width="5.5" customWidth="1" style="53" min="422" max="422"/>
    <col width="5.5" customWidth="1" style="53" min="423" max="423"/>
    <col width="5.5" customWidth="1" style="53" min="424" max="424"/>
    <col width="5.5" customWidth="1" style="53" min="425" max="425"/>
    <col width="5.5" customWidth="1" style="53" min="426" max="426"/>
    <col width="5.5" customWidth="1" style="53" min="427" max="427"/>
    <col width="5.5" customWidth="1" style="53" min="428" max="428"/>
    <col width="5.5" customWidth="1" style="53" min="429" max="429"/>
    <col width="5.5" customWidth="1" style="53" min="430" max="430"/>
    <col width="5.5" customWidth="1" style="53" min="431" max="431"/>
    <col width="5.5" customWidth="1" style="53" min="432" max="432"/>
    <col width="5.5" customWidth="1" style="53" min="433" max="433"/>
    <col width="5.5" customWidth="1" style="53" min="434" max="434"/>
    <col width="5.5" customWidth="1" style="53" min="435" max="435"/>
    <col width="5.5" customWidth="1" style="53" min="436" max="436"/>
    <col width="5.5" customWidth="1" style="53" min="437" max="437"/>
    <col width="5.5" customWidth="1" style="53" min="438" max="438"/>
    <col width="5.5" customWidth="1" style="53" min="439" max="439"/>
    <col width="5.5" customWidth="1" style="53" min="440" max="440"/>
    <col width="5.5" customWidth="1" style="53" min="441" max="441"/>
    <col width="5.5" customWidth="1" style="53" min="442" max="442"/>
    <col width="5.5" customWidth="1" style="53" min="443" max="443"/>
    <col width="5.5" customWidth="1" style="53" min="444" max="444"/>
    <col width="5.5" customWidth="1" style="53" min="445" max="445"/>
    <col width="5.5" customWidth="1" style="53" min="446" max="446"/>
    <col width="5.5" customWidth="1" style="53" min="447" max="447"/>
    <col width="5.5" customWidth="1" style="53" min="448" max="448"/>
    <col width="5.5" customWidth="1" style="53" min="449" max="449"/>
    <col width="5.5" customWidth="1" style="53" min="450" max="450"/>
    <col width="5.5" customWidth="1" style="53" min="451" max="451"/>
    <col width="5.5" customWidth="1" style="53" min="452" max="452"/>
    <col width="5.5" customWidth="1" style="53" min="453" max="453"/>
    <col width="5.5" customWidth="1" style="53" min="454" max="454"/>
    <col width="5.5" customWidth="1" style="53" min="455" max="455"/>
    <col width="5.5" customWidth="1" style="53" min="456" max="456"/>
    <col width="5.5" customWidth="1" style="53" min="457" max="457"/>
    <col width="5.5" customWidth="1" style="53" min="458" max="458"/>
    <col width="5.5" customWidth="1" style="53" min="459" max="459"/>
    <col width="5.5" customWidth="1" style="53" min="460" max="460"/>
    <col width="5.5" customWidth="1" style="53" min="461" max="461"/>
    <col width="5.5" customWidth="1" style="53" min="462" max="462"/>
    <col width="5.5" customWidth="1" style="53" min="463" max="463"/>
    <col width="5.5" customWidth="1" style="53" min="464" max="464"/>
    <col width="5.5" customWidth="1" style="53" min="465" max="465"/>
    <col width="5.5" customWidth="1" style="53" min="466" max="466"/>
    <col width="5.5" customWidth="1" style="53" min="467" max="467"/>
    <col width="5.5" customWidth="1" style="53" min="468" max="468"/>
    <col width="5.5" customWidth="1" style="53" min="469" max="469"/>
    <col width="5.5" customWidth="1" style="53" min="470" max="470"/>
    <col width="5.5" customWidth="1" style="53" min="471" max="471"/>
    <col width="5.5" customWidth="1" style="53" min="472" max="472"/>
    <col width="5.5" customWidth="1" style="53" min="473" max="473"/>
    <col width="5.5" customWidth="1" style="53" min="474" max="474"/>
    <col width="5.5" customWidth="1" style="53" min="475" max="475"/>
    <col width="5.5" customWidth="1" style="53" min="476" max="476"/>
    <col width="5.5" customWidth="1" style="53" min="477" max="477"/>
    <col width="5.5" customWidth="1" style="53" min="478" max="478"/>
    <col width="5.5" customWidth="1" style="53" min="479" max="479"/>
    <col width="5.5" customWidth="1" style="53" min="480" max="480"/>
    <col width="5.5" customWidth="1" style="53" min="481" max="481"/>
    <col width="5.5" customWidth="1" style="53" min="482" max="482"/>
    <col width="5.5" customWidth="1" style="53" min="483" max="483"/>
    <col width="5.5" customWidth="1" style="53" min="484" max="484"/>
    <col width="5.5" customWidth="1" style="53" min="485" max="485"/>
    <col width="5.5" customWidth="1" style="53" min="486" max="486"/>
    <col width="5.5" customWidth="1" style="53" min="487" max="487"/>
    <col width="5.5" customWidth="1" style="53" min="488" max="488"/>
    <col width="5.5" customWidth="1" style="53" min="489" max="489"/>
    <col width="5.5" customWidth="1" style="53" min="490" max="490"/>
    <col width="5.5" customWidth="1" style="53" min="491" max="491"/>
    <col width="5.5" customWidth="1" style="53" min="492" max="492"/>
    <col width="5.5" customWidth="1" style="53" min="493" max="493"/>
    <col width="5.5" customWidth="1" style="53" min="494" max="494"/>
    <col width="5.5" customWidth="1" style="53" min="495" max="495"/>
    <col width="5.5" customWidth="1" style="53" min="496" max="496"/>
    <col width="5.5" customWidth="1" style="53" min="497" max="497"/>
    <col width="5.5" customWidth="1" style="53" min="498" max="498"/>
    <col width="5.5" customWidth="1" style="53" min="499" max="499"/>
    <col width="5.5" customWidth="1" style="53" min="500" max="500"/>
  </cols>
  <sheetData>
    <row r="1">
      <c r="B1" s="153" t="inlineStr">
        <is>
          <t>Camp &amp; Travel Summary - 21 Aug 2026 to 31 Dec 2027</t>
        </is>
      </c>
    </row>
    <row r="2">
      <c r="B2" s="164" t="inlineStr">
        <is>
          <t>Counts every person on the INPUT roster for each day. Beds = camp code in the cell (arrival days included). Today is highlighted red.</t>
        </is>
      </c>
    </row>
    <row r="3">
      <c r="C3" s="165">
        <f>UPPER(TEXT(C4,"ddd"))</f>
        <v/>
      </c>
      <c r="D3" s="165">
        <f>UPPER(TEXT(D4,"ddd"))</f>
        <v/>
      </c>
      <c r="E3" s="165">
        <f>UPPER(TEXT(E4,"ddd"))</f>
        <v/>
      </c>
      <c r="F3" s="165">
        <f>UPPER(TEXT(F4,"ddd"))</f>
        <v/>
      </c>
      <c r="G3" s="165">
        <f>UPPER(TEXT(G4,"ddd"))</f>
        <v/>
      </c>
      <c r="H3" s="165">
        <f>UPPER(TEXT(H4,"ddd"))</f>
        <v/>
      </c>
      <c r="I3" s="165">
        <f>UPPER(TEXT(I4,"ddd"))</f>
        <v/>
      </c>
      <c r="J3" s="165">
        <f>UPPER(TEXT(J4,"ddd"))</f>
        <v/>
      </c>
      <c r="K3" s="165">
        <f>UPPER(TEXT(K4,"ddd"))</f>
        <v/>
      </c>
      <c r="L3" s="165">
        <f>UPPER(TEXT(L4,"ddd"))</f>
        <v/>
      </c>
      <c r="M3" s="165">
        <f>UPPER(TEXT(M4,"ddd"))</f>
        <v/>
      </c>
      <c r="N3" s="165">
        <f>UPPER(TEXT(N4,"ddd"))</f>
        <v/>
      </c>
      <c r="O3" s="165">
        <f>UPPER(TEXT(O4,"ddd"))</f>
        <v/>
      </c>
      <c r="P3" s="165">
        <f>UPPER(TEXT(P4,"ddd"))</f>
        <v/>
      </c>
      <c r="Q3" s="165">
        <f>UPPER(TEXT(Q4,"ddd"))</f>
        <v/>
      </c>
      <c r="R3" s="165">
        <f>UPPER(TEXT(R4,"ddd"))</f>
        <v/>
      </c>
      <c r="S3" s="165">
        <f>UPPER(TEXT(S4,"ddd"))</f>
        <v/>
      </c>
      <c r="T3" s="165">
        <f>UPPER(TEXT(T4,"ddd"))</f>
        <v/>
      </c>
      <c r="U3" s="165">
        <f>UPPER(TEXT(U4,"ddd"))</f>
        <v/>
      </c>
      <c r="V3" s="165">
        <f>UPPER(TEXT(V4,"ddd"))</f>
        <v/>
      </c>
      <c r="W3" s="165">
        <f>UPPER(TEXT(W4,"ddd"))</f>
        <v/>
      </c>
      <c r="X3" s="165">
        <f>UPPER(TEXT(X4,"ddd"))</f>
        <v/>
      </c>
      <c r="Y3" s="165">
        <f>UPPER(TEXT(Y4,"ddd"))</f>
        <v/>
      </c>
      <c r="Z3" s="165">
        <f>UPPER(TEXT(Z4,"ddd"))</f>
        <v/>
      </c>
      <c r="AA3" s="165">
        <f>UPPER(TEXT(AA4,"ddd"))</f>
        <v/>
      </c>
      <c r="AB3" s="165">
        <f>UPPER(TEXT(AB4,"ddd"))</f>
        <v/>
      </c>
      <c r="AC3" s="165">
        <f>UPPER(TEXT(AC4,"ddd"))</f>
        <v/>
      </c>
      <c r="AD3" s="165">
        <f>UPPER(TEXT(AD4,"ddd"))</f>
        <v/>
      </c>
      <c r="AE3" s="165">
        <f>UPPER(TEXT(AE4,"ddd"))</f>
        <v/>
      </c>
      <c r="AF3" s="165">
        <f>UPPER(TEXT(AF4,"ddd"))</f>
        <v/>
      </c>
      <c r="AG3" s="165">
        <f>UPPER(TEXT(AG4,"ddd"))</f>
        <v/>
      </c>
      <c r="AH3" s="165">
        <f>UPPER(TEXT(AH4,"ddd"))</f>
        <v/>
      </c>
      <c r="AI3" s="165">
        <f>UPPER(TEXT(AI4,"ddd"))</f>
        <v/>
      </c>
      <c r="AJ3" s="165">
        <f>UPPER(TEXT(AJ4,"ddd"))</f>
        <v/>
      </c>
      <c r="AK3" s="165">
        <f>UPPER(TEXT(AK4,"ddd"))</f>
        <v/>
      </c>
      <c r="AL3" s="165">
        <f>UPPER(TEXT(AL4,"ddd"))</f>
        <v/>
      </c>
      <c r="AM3" s="165">
        <f>UPPER(TEXT(AM4,"ddd"))</f>
        <v/>
      </c>
      <c r="AN3" s="165">
        <f>UPPER(TEXT(AN4,"ddd"))</f>
        <v/>
      </c>
      <c r="AO3" s="165">
        <f>UPPER(TEXT(AO4,"ddd"))</f>
        <v/>
      </c>
      <c r="AP3" s="165">
        <f>UPPER(TEXT(AP4,"ddd"))</f>
        <v/>
      </c>
      <c r="AQ3" s="165">
        <f>UPPER(TEXT(AQ4,"ddd"))</f>
        <v/>
      </c>
      <c r="AR3" s="165">
        <f>UPPER(TEXT(AR4,"ddd"))</f>
        <v/>
      </c>
      <c r="AS3" s="165">
        <f>UPPER(TEXT(AS4,"ddd"))</f>
        <v/>
      </c>
      <c r="AT3" s="165">
        <f>UPPER(TEXT(AT4,"ddd"))</f>
        <v/>
      </c>
      <c r="AU3" s="165">
        <f>UPPER(TEXT(AU4,"ddd"))</f>
        <v/>
      </c>
      <c r="AV3" s="165">
        <f>UPPER(TEXT(AV4,"ddd"))</f>
        <v/>
      </c>
      <c r="AW3" s="165">
        <f>UPPER(TEXT(AW4,"ddd"))</f>
        <v/>
      </c>
      <c r="AX3" s="165">
        <f>UPPER(TEXT(AX4,"ddd"))</f>
        <v/>
      </c>
      <c r="AY3" s="165">
        <f>UPPER(TEXT(AY4,"ddd"))</f>
        <v/>
      </c>
      <c r="AZ3" s="165">
        <f>UPPER(TEXT(AZ4,"ddd"))</f>
        <v/>
      </c>
      <c r="BA3" s="165">
        <f>UPPER(TEXT(BA4,"ddd"))</f>
        <v/>
      </c>
      <c r="BB3" s="165">
        <f>UPPER(TEXT(BB4,"ddd"))</f>
        <v/>
      </c>
      <c r="BC3" s="165">
        <f>UPPER(TEXT(BC4,"ddd"))</f>
        <v/>
      </c>
      <c r="BD3" s="165">
        <f>UPPER(TEXT(BD4,"ddd"))</f>
        <v/>
      </c>
      <c r="BE3" s="165">
        <f>UPPER(TEXT(BE4,"ddd"))</f>
        <v/>
      </c>
      <c r="BF3" s="165">
        <f>UPPER(TEXT(BF4,"ddd"))</f>
        <v/>
      </c>
      <c r="BG3" s="165">
        <f>UPPER(TEXT(BG4,"ddd"))</f>
        <v/>
      </c>
      <c r="BH3" s="165">
        <f>UPPER(TEXT(BH4,"ddd"))</f>
        <v/>
      </c>
      <c r="BI3" s="165">
        <f>UPPER(TEXT(BI4,"ddd"))</f>
        <v/>
      </c>
      <c r="BJ3" s="165">
        <f>UPPER(TEXT(BJ4,"ddd"))</f>
        <v/>
      </c>
      <c r="BK3" s="165">
        <f>UPPER(TEXT(BK4,"ddd"))</f>
        <v/>
      </c>
      <c r="BL3" s="165">
        <f>UPPER(TEXT(BL4,"ddd"))</f>
        <v/>
      </c>
      <c r="BM3" s="165">
        <f>UPPER(TEXT(BM4,"ddd"))</f>
        <v/>
      </c>
      <c r="BN3" s="165">
        <f>UPPER(TEXT(BN4,"ddd"))</f>
        <v/>
      </c>
      <c r="BO3" s="165">
        <f>UPPER(TEXT(BO4,"ddd"))</f>
        <v/>
      </c>
      <c r="BP3" s="165">
        <f>UPPER(TEXT(BP4,"ddd"))</f>
        <v/>
      </c>
      <c r="BQ3" s="165">
        <f>UPPER(TEXT(BQ4,"ddd"))</f>
        <v/>
      </c>
      <c r="BR3" s="165">
        <f>UPPER(TEXT(BR4,"ddd"))</f>
        <v/>
      </c>
      <c r="BS3" s="165">
        <f>UPPER(TEXT(BS4,"ddd"))</f>
        <v/>
      </c>
      <c r="BT3" s="165">
        <f>UPPER(TEXT(BT4,"ddd"))</f>
        <v/>
      </c>
      <c r="BU3" s="165">
        <f>UPPER(TEXT(BU4,"ddd"))</f>
        <v/>
      </c>
      <c r="BV3" s="165">
        <f>UPPER(TEXT(BV4,"ddd"))</f>
        <v/>
      </c>
      <c r="BW3" s="165">
        <f>UPPER(TEXT(BW4,"ddd"))</f>
        <v/>
      </c>
      <c r="BX3" s="165">
        <f>UPPER(TEXT(BX4,"ddd"))</f>
        <v/>
      </c>
      <c r="BY3" s="165">
        <f>UPPER(TEXT(BY4,"ddd"))</f>
        <v/>
      </c>
      <c r="BZ3" s="165">
        <f>UPPER(TEXT(BZ4,"ddd"))</f>
        <v/>
      </c>
      <c r="CA3" s="165">
        <f>UPPER(TEXT(CA4,"ddd"))</f>
        <v/>
      </c>
      <c r="CB3" s="165">
        <f>UPPER(TEXT(CB4,"ddd"))</f>
        <v/>
      </c>
      <c r="CC3" s="165">
        <f>UPPER(TEXT(CC4,"ddd"))</f>
        <v/>
      </c>
      <c r="CD3" s="165">
        <f>UPPER(TEXT(CD4,"ddd"))</f>
        <v/>
      </c>
      <c r="CE3" s="165">
        <f>UPPER(TEXT(CE4,"ddd"))</f>
        <v/>
      </c>
      <c r="CF3" s="165">
        <f>UPPER(TEXT(CF4,"ddd"))</f>
        <v/>
      </c>
      <c r="CG3" s="165">
        <f>UPPER(TEXT(CG4,"ddd"))</f>
        <v/>
      </c>
      <c r="CH3" s="165">
        <f>UPPER(TEXT(CH4,"ddd"))</f>
        <v/>
      </c>
      <c r="CI3" s="165">
        <f>UPPER(TEXT(CI4,"ddd"))</f>
        <v/>
      </c>
      <c r="CJ3" s="165">
        <f>UPPER(TEXT(CJ4,"ddd"))</f>
        <v/>
      </c>
      <c r="CK3" s="165">
        <f>UPPER(TEXT(CK4,"ddd"))</f>
        <v/>
      </c>
      <c r="CL3" s="165">
        <f>UPPER(TEXT(CL4,"ddd"))</f>
        <v/>
      </c>
      <c r="CM3" s="165">
        <f>UPPER(TEXT(CM4,"ddd"))</f>
        <v/>
      </c>
      <c r="CN3" s="165">
        <f>UPPER(TEXT(CN4,"ddd"))</f>
        <v/>
      </c>
      <c r="CO3" s="165">
        <f>UPPER(TEXT(CO4,"ddd"))</f>
        <v/>
      </c>
      <c r="CP3" s="165">
        <f>UPPER(TEXT(CP4,"ddd"))</f>
        <v/>
      </c>
      <c r="CQ3" s="165">
        <f>UPPER(TEXT(CQ4,"ddd"))</f>
        <v/>
      </c>
      <c r="CR3" s="165">
        <f>UPPER(TEXT(CR4,"ddd"))</f>
        <v/>
      </c>
      <c r="CS3" s="165">
        <f>UPPER(TEXT(CS4,"ddd"))</f>
        <v/>
      </c>
      <c r="CT3" s="165">
        <f>UPPER(TEXT(CT4,"ddd"))</f>
        <v/>
      </c>
      <c r="CU3" s="165">
        <f>UPPER(TEXT(CU4,"ddd"))</f>
        <v/>
      </c>
      <c r="CV3" s="165">
        <f>UPPER(TEXT(CV4,"ddd"))</f>
        <v/>
      </c>
      <c r="CW3" s="165">
        <f>UPPER(TEXT(CW4,"ddd"))</f>
        <v/>
      </c>
      <c r="CX3" s="165">
        <f>UPPER(TEXT(CX4,"ddd"))</f>
        <v/>
      </c>
      <c r="CY3" s="165">
        <f>UPPER(TEXT(CY4,"ddd"))</f>
        <v/>
      </c>
      <c r="CZ3" s="165">
        <f>UPPER(TEXT(CZ4,"ddd"))</f>
        <v/>
      </c>
      <c r="DA3" s="165">
        <f>UPPER(TEXT(DA4,"ddd"))</f>
        <v/>
      </c>
      <c r="DB3" s="165">
        <f>UPPER(TEXT(DB4,"ddd"))</f>
        <v/>
      </c>
      <c r="DC3" s="165">
        <f>UPPER(TEXT(DC4,"ddd"))</f>
        <v/>
      </c>
      <c r="DD3" s="165">
        <f>UPPER(TEXT(DD4,"ddd"))</f>
        <v/>
      </c>
      <c r="DE3" s="165">
        <f>UPPER(TEXT(DE4,"ddd"))</f>
        <v/>
      </c>
      <c r="DF3" s="165">
        <f>UPPER(TEXT(DF4,"ddd"))</f>
        <v/>
      </c>
      <c r="DG3" s="165">
        <f>UPPER(TEXT(DG4,"ddd"))</f>
        <v/>
      </c>
      <c r="DH3" s="165">
        <f>UPPER(TEXT(DH4,"ddd"))</f>
        <v/>
      </c>
      <c r="DI3" s="165">
        <f>UPPER(TEXT(DI4,"ddd"))</f>
        <v/>
      </c>
      <c r="DJ3" s="165">
        <f>UPPER(TEXT(DJ4,"ddd"))</f>
        <v/>
      </c>
      <c r="DK3" s="165">
        <f>UPPER(TEXT(DK4,"ddd"))</f>
        <v/>
      </c>
      <c r="DL3" s="165">
        <f>UPPER(TEXT(DL4,"ddd"))</f>
        <v/>
      </c>
      <c r="DM3" s="165">
        <f>UPPER(TEXT(DM4,"ddd"))</f>
        <v/>
      </c>
      <c r="DN3" s="165">
        <f>UPPER(TEXT(DN4,"ddd"))</f>
        <v/>
      </c>
      <c r="DO3" s="165">
        <f>UPPER(TEXT(DO4,"ddd"))</f>
        <v/>
      </c>
      <c r="DP3" s="165">
        <f>UPPER(TEXT(DP4,"ddd"))</f>
        <v/>
      </c>
      <c r="DQ3" s="165">
        <f>UPPER(TEXT(DQ4,"ddd"))</f>
        <v/>
      </c>
      <c r="DR3" s="165">
        <f>UPPER(TEXT(DR4,"ddd"))</f>
        <v/>
      </c>
      <c r="DS3" s="165">
        <f>UPPER(TEXT(DS4,"ddd"))</f>
        <v/>
      </c>
      <c r="DT3" s="165">
        <f>UPPER(TEXT(DT4,"ddd"))</f>
        <v/>
      </c>
      <c r="DU3" s="165">
        <f>UPPER(TEXT(DU4,"ddd"))</f>
        <v/>
      </c>
      <c r="DV3" s="165">
        <f>UPPER(TEXT(DV4,"ddd"))</f>
        <v/>
      </c>
      <c r="DW3" s="165">
        <f>UPPER(TEXT(DW4,"ddd"))</f>
        <v/>
      </c>
      <c r="DX3" s="165">
        <f>UPPER(TEXT(DX4,"ddd"))</f>
        <v/>
      </c>
      <c r="DY3" s="165">
        <f>UPPER(TEXT(DY4,"ddd"))</f>
        <v/>
      </c>
      <c r="DZ3" s="165">
        <f>UPPER(TEXT(DZ4,"ddd"))</f>
        <v/>
      </c>
      <c r="EA3" s="165">
        <f>UPPER(TEXT(EA4,"ddd"))</f>
        <v/>
      </c>
      <c r="EB3" s="165">
        <f>UPPER(TEXT(EB4,"ddd"))</f>
        <v/>
      </c>
      <c r="EC3" s="165">
        <f>UPPER(TEXT(EC4,"ddd"))</f>
        <v/>
      </c>
      <c r="ED3" s="165">
        <f>UPPER(TEXT(ED4,"ddd"))</f>
        <v/>
      </c>
      <c r="EE3" s="165">
        <f>UPPER(TEXT(EE4,"ddd"))</f>
        <v/>
      </c>
      <c r="EF3" s="165">
        <f>UPPER(TEXT(EF4,"ddd"))</f>
        <v/>
      </c>
      <c r="EG3" s="165">
        <f>UPPER(TEXT(EG4,"ddd"))</f>
        <v/>
      </c>
      <c r="EH3" s="165">
        <f>UPPER(TEXT(EH4,"ddd"))</f>
        <v/>
      </c>
      <c r="EI3" s="165">
        <f>UPPER(TEXT(EI4,"ddd"))</f>
        <v/>
      </c>
      <c r="EJ3" s="165">
        <f>UPPER(TEXT(EJ4,"ddd"))</f>
        <v/>
      </c>
      <c r="EK3" s="165">
        <f>UPPER(TEXT(EK4,"ddd"))</f>
        <v/>
      </c>
      <c r="EL3" s="165">
        <f>UPPER(TEXT(EL4,"ddd"))</f>
        <v/>
      </c>
      <c r="EM3" s="165">
        <f>UPPER(TEXT(EM4,"ddd"))</f>
        <v/>
      </c>
      <c r="EN3" s="165">
        <f>UPPER(TEXT(EN4,"ddd"))</f>
        <v/>
      </c>
      <c r="EO3" s="165">
        <f>UPPER(TEXT(EO4,"ddd"))</f>
        <v/>
      </c>
      <c r="EP3" s="165">
        <f>UPPER(TEXT(EP4,"ddd"))</f>
        <v/>
      </c>
      <c r="EQ3" s="165">
        <f>UPPER(TEXT(EQ4,"ddd"))</f>
        <v/>
      </c>
      <c r="ER3" s="165">
        <f>UPPER(TEXT(ER4,"ddd"))</f>
        <v/>
      </c>
      <c r="ES3" s="165">
        <f>UPPER(TEXT(ES4,"ddd"))</f>
        <v/>
      </c>
      <c r="ET3" s="165">
        <f>UPPER(TEXT(ET4,"ddd"))</f>
        <v/>
      </c>
      <c r="EU3" s="165">
        <f>UPPER(TEXT(EU4,"ddd"))</f>
        <v/>
      </c>
      <c r="EV3" s="165">
        <f>UPPER(TEXT(EV4,"ddd"))</f>
        <v/>
      </c>
      <c r="EW3" s="165">
        <f>UPPER(TEXT(EW4,"ddd"))</f>
        <v/>
      </c>
      <c r="EX3" s="165">
        <f>UPPER(TEXT(EX4,"ddd"))</f>
        <v/>
      </c>
      <c r="EY3" s="165">
        <f>UPPER(TEXT(EY4,"ddd"))</f>
        <v/>
      </c>
      <c r="EZ3" s="165">
        <f>UPPER(TEXT(EZ4,"ddd"))</f>
        <v/>
      </c>
      <c r="FA3" s="165">
        <f>UPPER(TEXT(FA4,"ddd"))</f>
        <v/>
      </c>
      <c r="FB3" s="165">
        <f>UPPER(TEXT(FB4,"ddd"))</f>
        <v/>
      </c>
      <c r="FC3" s="165">
        <f>UPPER(TEXT(FC4,"ddd"))</f>
        <v/>
      </c>
      <c r="FD3" s="165">
        <f>UPPER(TEXT(FD4,"ddd"))</f>
        <v/>
      </c>
      <c r="FE3" s="165">
        <f>UPPER(TEXT(FE4,"ddd"))</f>
        <v/>
      </c>
      <c r="FF3" s="165">
        <f>UPPER(TEXT(FF4,"ddd"))</f>
        <v/>
      </c>
      <c r="FG3" s="165">
        <f>UPPER(TEXT(FG4,"ddd"))</f>
        <v/>
      </c>
      <c r="FH3" s="165">
        <f>UPPER(TEXT(FH4,"ddd"))</f>
        <v/>
      </c>
      <c r="FI3" s="165">
        <f>UPPER(TEXT(FI4,"ddd"))</f>
        <v/>
      </c>
      <c r="FJ3" s="165">
        <f>UPPER(TEXT(FJ4,"ddd"))</f>
        <v/>
      </c>
      <c r="FK3" s="165">
        <f>UPPER(TEXT(FK4,"ddd"))</f>
        <v/>
      </c>
      <c r="FL3" s="165">
        <f>UPPER(TEXT(FL4,"ddd"))</f>
        <v/>
      </c>
      <c r="FM3" s="165">
        <f>UPPER(TEXT(FM4,"ddd"))</f>
        <v/>
      </c>
      <c r="FN3" s="165">
        <f>UPPER(TEXT(FN4,"ddd"))</f>
        <v/>
      </c>
      <c r="FO3" s="165">
        <f>UPPER(TEXT(FO4,"ddd"))</f>
        <v/>
      </c>
      <c r="FP3" s="165">
        <f>UPPER(TEXT(FP4,"ddd"))</f>
        <v/>
      </c>
      <c r="FQ3" s="165">
        <f>UPPER(TEXT(FQ4,"ddd"))</f>
        <v/>
      </c>
      <c r="FR3" s="165">
        <f>UPPER(TEXT(FR4,"ddd"))</f>
        <v/>
      </c>
      <c r="FS3" s="165">
        <f>UPPER(TEXT(FS4,"ddd"))</f>
        <v/>
      </c>
      <c r="FT3" s="165">
        <f>UPPER(TEXT(FT4,"ddd"))</f>
        <v/>
      </c>
      <c r="FU3" s="165">
        <f>UPPER(TEXT(FU4,"ddd"))</f>
        <v/>
      </c>
      <c r="FV3" s="165">
        <f>UPPER(TEXT(FV4,"ddd"))</f>
        <v/>
      </c>
      <c r="FW3" s="165">
        <f>UPPER(TEXT(FW4,"ddd"))</f>
        <v/>
      </c>
      <c r="FX3" s="165">
        <f>UPPER(TEXT(FX4,"ddd"))</f>
        <v/>
      </c>
      <c r="FY3" s="165">
        <f>UPPER(TEXT(FY4,"ddd"))</f>
        <v/>
      </c>
      <c r="FZ3" s="165">
        <f>UPPER(TEXT(FZ4,"ddd"))</f>
        <v/>
      </c>
      <c r="GA3" s="165">
        <f>UPPER(TEXT(GA4,"ddd"))</f>
        <v/>
      </c>
      <c r="GB3" s="165">
        <f>UPPER(TEXT(GB4,"ddd"))</f>
        <v/>
      </c>
      <c r="GC3" s="165">
        <f>UPPER(TEXT(GC4,"ddd"))</f>
        <v/>
      </c>
      <c r="GD3" s="165">
        <f>UPPER(TEXT(GD4,"ddd"))</f>
        <v/>
      </c>
      <c r="GE3" s="165">
        <f>UPPER(TEXT(GE4,"ddd"))</f>
        <v/>
      </c>
      <c r="GF3" s="165">
        <f>UPPER(TEXT(GF4,"ddd"))</f>
        <v/>
      </c>
      <c r="GG3" s="165">
        <f>UPPER(TEXT(GG4,"ddd"))</f>
        <v/>
      </c>
      <c r="GH3" s="165">
        <f>UPPER(TEXT(GH4,"ddd"))</f>
        <v/>
      </c>
      <c r="GI3" s="165">
        <f>UPPER(TEXT(GI4,"ddd"))</f>
        <v/>
      </c>
      <c r="GJ3" s="165">
        <f>UPPER(TEXT(GJ4,"ddd"))</f>
        <v/>
      </c>
      <c r="GK3" s="165">
        <f>UPPER(TEXT(GK4,"ddd"))</f>
        <v/>
      </c>
      <c r="GL3" s="165">
        <f>UPPER(TEXT(GL4,"ddd"))</f>
        <v/>
      </c>
      <c r="GM3" s="165">
        <f>UPPER(TEXT(GM4,"ddd"))</f>
        <v/>
      </c>
      <c r="GN3" s="165">
        <f>UPPER(TEXT(GN4,"ddd"))</f>
        <v/>
      </c>
      <c r="GO3" s="165">
        <f>UPPER(TEXT(GO4,"ddd"))</f>
        <v/>
      </c>
      <c r="GP3" s="165">
        <f>UPPER(TEXT(GP4,"ddd"))</f>
        <v/>
      </c>
      <c r="GQ3" s="165">
        <f>UPPER(TEXT(GQ4,"ddd"))</f>
        <v/>
      </c>
      <c r="GR3" s="165">
        <f>UPPER(TEXT(GR4,"ddd"))</f>
        <v/>
      </c>
      <c r="GS3" s="165">
        <f>UPPER(TEXT(GS4,"ddd"))</f>
        <v/>
      </c>
      <c r="GT3" s="165">
        <f>UPPER(TEXT(GT4,"ddd"))</f>
        <v/>
      </c>
      <c r="GU3" s="165">
        <f>UPPER(TEXT(GU4,"ddd"))</f>
        <v/>
      </c>
      <c r="GV3" s="165">
        <f>UPPER(TEXT(GV4,"ddd"))</f>
        <v/>
      </c>
      <c r="GW3" s="165">
        <f>UPPER(TEXT(GW4,"ddd"))</f>
        <v/>
      </c>
      <c r="GX3" s="165">
        <f>UPPER(TEXT(GX4,"ddd"))</f>
        <v/>
      </c>
      <c r="GY3" s="165">
        <f>UPPER(TEXT(GY4,"ddd"))</f>
        <v/>
      </c>
      <c r="GZ3" s="165">
        <f>UPPER(TEXT(GZ4,"ddd"))</f>
        <v/>
      </c>
      <c r="HA3" s="165">
        <f>UPPER(TEXT(HA4,"ddd"))</f>
        <v/>
      </c>
      <c r="HB3" s="165">
        <f>UPPER(TEXT(HB4,"ddd"))</f>
        <v/>
      </c>
      <c r="HC3" s="165">
        <f>UPPER(TEXT(HC4,"ddd"))</f>
        <v/>
      </c>
      <c r="HD3" s="165">
        <f>UPPER(TEXT(HD4,"ddd"))</f>
        <v/>
      </c>
      <c r="HE3" s="165">
        <f>UPPER(TEXT(HE4,"ddd"))</f>
        <v/>
      </c>
      <c r="HF3" s="165">
        <f>UPPER(TEXT(HF4,"ddd"))</f>
        <v/>
      </c>
      <c r="HG3" s="165">
        <f>UPPER(TEXT(HG4,"ddd"))</f>
        <v/>
      </c>
      <c r="HH3" s="165">
        <f>UPPER(TEXT(HH4,"ddd"))</f>
        <v/>
      </c>
      <c r="HI3" s="165">
        <f>UPPER(TEXT(HI4,"ddd"))</f>
        <v/>
      </c>
      <c r="HJ3" s="165">
        <f>UPPER(TEXT(HJ4,"ddd"))</f>
        <v/>
      </c>
      <c r="HK3" s="165">
        <f>UPPER(TEXT(HK4,"ddd"))</f>
        <v/>
      </c>
      <c r="HL3" s="165">
        <f>UPPER(TEXT(HL4,"ddd"))</f>
        <v/>
      </c>
      <c r="HM3" s="165">
        <f>UPPER(TEXT(HM4,"ddd"))</f>
        <v/>
      </c>
      <c r="HN3" s="165">
        <f>UPPER(TEXT(HN4,"ddd"))</f>
        <v/>
      </c>
      <c r="HO3" s="165">
        <f>UPPER(TEXT(HO4,"ddd"))</f>
        <v/>
      </c>
      <c r="HP3" s="165">
        <f>UPPER(TEXT(HP4,"ddd"))</f>
        <v/>
      </c>
      <c r="HQ3" s="165">
        <f>UPPER(TEXT(HQ4,"ddd"))</f>
        <v/>
      </c>
      <c r="HR3" s="165">
        <f>UPPER(TEXT(HR4,"ddd"))</f>
        <v/>
      </c>
      <c r="HS3" s="165">
        <f>UPPER(TEXT(HS4,"ddd"))</f>
        <v/>
      </c>
      <c r="HT3" s="165">
        <f>UPPER(TEXT(HT4,"ddd"))</f>
        <v/>
      </c>
      <c r="HU3" s="165">
        <f>UPPER(TEXT(HU4,"ddd"))</f>
        <v/>
      </c>
      <c r="HV3" s="165">
        <f>UPPER(TEXT(HV4,"ddd"))</f>
        <v/>
      </c>
      <c r="HW3" s="165">
        <f>UPPER(TEXT(HW4,"ddd"))</f>
        <v/>
      </c>
      <c r="HX3" s="165">
        <f>UPPER(TEXT(HX4,"ddd"))</f>
        <v/>
      </c>
      <c r="HY3" s="165">
        <f>UPPER(TEXT(HY4,"ddd"))</f>
        <v/>
      </c>
      <c r="HZ3" s="165">
        <f>UPPER(TEXT(HZ4,"ddd"))</f>
        <v/>
      </c>
      <c r="IA3" s="165">
        <f>UPPER(TEXT(IA4,"ddd"))</f>
        <v/>
      </c>
      <c r="IB3" s="165">
        <f>UPPER(TEXT(IB4,"ddd"))</f>
        <v/>
      </c>
      <c r="IC3" s="165">
        <f>UPPER(TEXT(IC4,"ddd"))</f>
        <v/>
      </c>
      <c r="ID3" s="165">
        <f>UPPER(TEXT(ID4,"ddd"))</f>
        <v/>
      </c>
      <c r="IE3" s="165">
        <f>UPPER(TEXT(IE4,"ddd"))</f>
        <v/>
      </c>
      <c r="IF3" s="165">
        <f>UPPER(TEXT(IF4,"ddd"))</f>
        <v/>
      </c>
      <c r="IG3" s="165">
        <f>UPPER(TEXT(IG4,"ddd"))</f>
        <v/>
      </c>
      <c r="IH3" s="165">
        <f>UPPER(TEXT(IH4,"ddd"))</f>
        <v/>
      </c>
      <c r="II3" s="165">
        <f>UPPER(TEXT(II4,"ddd"))</f>
        <v/>
      </c>
      <c r="IJ3" s="165">
        <f>UPPER(TEXT(IJ4,"ddd"))</f>
        <v/>
      </c>
      <c r="IK3" s="165">
        <f>UPPER(TEXT(IK4,"ddd"))</f>
        <v/>
      </c>
      <c r="IL3" s="165">
        <f>UPPER(TEXT(IL4,"ddd"))</f>
        <v/>
      </c>
      <c r="IM3" s="165">
        <f>UPPER(TEXT(IM4,"ddd"))</f>
        <v/>
      </c>
      <c r="IN3" s="165">
        <f>UPPER(TEXT(IN4,"ddd"))</f>
        <v/>
      </c>
      <c r="IO3" s="165">
        <f>UPPER(TEXT(IO4,"ddd"))</f>
        <v/>
      </c>
      <c r="IP3" s="165">
        <f>UPPER(TEXT(IP4,"ddd"))</f>
        <v/>
      </c>
      <c r="IQ3" s="165">
        <f>UPPER(TEXT(IQ4,"ddd"))</f>
        <v/>
      </c>
      <c r="IR3" s="165">
        <f>UPPER(TEXT(IR4,"ddd"))</f>
        <v/>
      </c>
      <c r="IS3" s="165">
        <f>UPPER(TEXT(IS4,"ddd"))</f>
        <v/>
      </c>
      <c r="IT3" s="165">
        <f>UPPER(TEXT(IT4,"ddd"))</f>
        <v/>
      </c>
      <c r="IU3" s="165">
        <f>UPPER(TEXT(IU4,"ddd"))</f>
        <v/>
      </c>
      <c r="IV3" s="165">
        <f>UPPER(TEXT(IV4,"ddd"))</f>
        <v/>
      </c>
      <c r="IW3" s="165">
        <f>UPPER(TEXT(IW4,"ddd"))</f>
        <v/>
      </c>
      <c r="IX3" s="165">
        <f>UPPER(TEXT(IX4,"ddd"))</f>
        <v/>
      </c>
      <c r="IY3" s="165">
        <f>UPPER(TEXT(IY4,"ddd"))</f>
        <v/>
      </c>
      <c r="IZ3" s="165">
        <f>UPPER(TEXT(IZ4,"ddd"))</f>
        <v/>
      </c>
      <c r="JA3" s="165">
        <f>UPPER(TEXT(JA4,"ddd"))</f>
        <v/>
      </c>
      <c r="JB3" s="165">
        <f>UPPER(TEXT(JB4,"ddd"))</f>
        <v/>
      </c>
      <c r="JC3" s="165">
        <f>UPPER(TEXT(JC4,"ddd"))</f>
        <v/>
      </c>
      <c r="JD3" s="165">
        <f>UPPER(TEXT(JD4,"ddd"))</f>
        <v/>
      </c>
      <c r="JE3" s="165">
        <f>UPPER(TEXT(JE4,"ddd"))</f>
        <v/>
      </c>
      <c r="JF3" s="165">
        <f>UPPER(TEXT(JF4,"ddd"))</f>
        <v/>
      </c>
      <c r="JG3" s="165">
        <f>UPPER(TEXT(JG4,"ddd"))</f>
        <v/>
      </c>
      <c r="JH3" s="165">
        <f>UPPER(TEXT(JH4,"ddd"))</f>
        <v/>
      </c>
      <c r="JI3" s="165">
        <f>UPPER(TEXT(JI4,"ddd"))</f>
        <v/>
      </c>
      <c r="JJ3" s="165">
        <f>UPPER(TEXT(JJ4,"ddd"))</f>
        <v/>
      </c>
      <c r="JK3" s="165">
        <f>UPPER(TEXT(JK4,"ddd"))</f>
        <v/>
      </c>
      <c r="JL3" s="165">
        <f>UPPER(TEXT(JL4,"ddd"))</f>
        <v/>
      </c>
      <c r="JM3" s="165">
        <f>UPPER(TEXT(JM4,"ddd"))</f>
        <v/>
      </c>
      <c r="JN3" s="165">
        <f>UPPER(TEXT(JN4,"ddd"))</f>
        <v/>
      </c>
      <c r="JO3" s="165">
        <f>UPPER(TEXT(JO4,"ddd"))</f>
        <v/>
      </c>
      <c r="JP3" s="165">
        <f>UPPER(TEXT(JP4,"ddd"))</f>
        <v/>
      </c>
      <c r="JQ3" s="165">
        <f>UPPER(TEXT(JQ4,"ddd"))</f>
        <v/>
      </c>
      <c r="JR3" s="165">
        <f>UPPER(TEXT(JR4,"ddd"))</f>
        <v/>
      </c>
      <c r="JS3" s="165">
        <f>UPPER(TEXT(JS4,"ddd"))</f>
        <v/>
      </c>
      <c r="JT3" s="165">
        <f>UPPER(TEXT(JT4,"ddd"))</f>
        <v/>
      </c>
      <c r="JU3" s="165">
        <f>UPPER(TEXT(JU4,"ddd"))</f>
        <v/>
      </c>
      <c r="JV3" s="165">
        <f>UPPER(TEXT(JV4,"ddd"))</f>
        <v/>
      </c>
      <c r="JW3" s="165">
        <f>UPPER(TEXT(JW4,"ddd"))</f>
        <v/>
      </c>
      <c r="JX3" s="165">
        <f>UPPER(TEXT(JX4,"ddd"))</f>
        <v/>
      </c>
      <c r="JY3" s="165">
        <f>UPPER(TEXT(JY4,"ddd"))</f>
        <v/>
      </c>
      <c r="JZ3" s="165">
        <f>UPPER(TEXT(JZ4,"ddd"))</f>
        <v/>
      </c>
      <c r="KA3" s="165">
        <f>UPPER(TEXT(KA4,"ddd"))</f>
        <v/>
      </c>
      <c r="KB3" s="165">
        <f>UPPER(TEXT(KB4,"ddd"))</f>
        <v/>
      </c>
      <c r="KC3" s="165">
        <f>UPPER(TEXT(KC4,"ddd"))</f>
        <v/>
      </c>
      <c r="KD3" s="165">
        <f>UPPER(TEXT(KD4,"ddd"))</f>
        <v/>
      </c>
      <c r="KE3" s="165">
        <f>UPPER(TEXT(KE4,"ddd"))</f>
        <v/>
      </c>
      <c r="KF3" s="165">
        <f>UPPER(TEXT(KF4,"ddd"))</f>
        <v/>
      </c>
      <c r="KG3" s="165">
        <f>UPPER(TEXT(KG4,"ddd"))</f>
        <v/>
      </c>
      <c r="KH3" s="165">
        <f>UPPER(TEXT(KH4,"ddd"))</f>
        <v/>
      </c>
      <c r="KI3" s="165">
        <f>UPPER(TEXT(KI4,"ddd"))</f>
        <v/>
      </c>
      <c r="KJ3" s="165">
        <f>UPPER(TEXT(KJ4,"ddd"))</f>
        <v/>
      </c>
      <c r="KK3" s="165">
        <f>UPPER(TEXT(KK4,"ddd"))</f>
        <v/>
      </c>
      <c r="KL3" s="165">
        <f>UPPER(TEXT(KL4,"ddd"))</f>
        <v/>
      </c>
      <c r="KM3" s="165">
        <f>UPPER(TEXT(KM4,"ddd"))</f>
        <v/>
      </c>
      <c r="KN3" s="165">
        <f>UPPER(TEXT(KN4,"ddd"))</f>
        <v/>
      </c>
      <c r="KO3" s="165">
        <f>UPPER(TEXT(KO4,"ddd"))</f>
        <v/>
      </c>
      <c r="KP3" s="165">
        <f>UPPER(TEXT(KP4,"ddd"))</f>
        <v/>
      </c>
      <c r="KQ3" s="165">
        <f>UPPER(TEXT(KQ4,"ddd"))</f>
        <v/>
      </c>
      <c r="KR3" s="165">
        <f>UPPER(TEXT(KR4,"ddd"))</f>
        <v/>
      </c>
      <c r="KS3" s="165">
        <f>UPPER(TEXT(KS4,"ddd"))</f>
        <v/>
      </c>
      <c r="KT3" s="165">
        <f>UPPER(TEXT(KT4,"ddd"))</f>
        <v/>
      </c>
      <c r="KU3" s="165">
        <f>UPPER(TEXT(KU4,"ddd"))</f>
        <v/>
      </c>
      <c r="KV3" s="165">
        <f>UPPER(TEXT(KV4,"ddd"))</f>
        <v/>
      </c>
      <c r="KW3" s="165">
        <f>UPPER(TEXT(KW4,"ddd"))</f>
        <v/>
      </c>
      <c r="KX3" s="165">
        <f>UPPER(TEXT(KX4,"ddd"))</f>
        <v/>
      </c>
      <c r="KY3" s="165">
        <f>UPPER(TEXT(KY4,"ddd"))</f>
        <v/>
      </c>
      <c r="KZ3" s="165">
        <f>UPPER(TEXT(KZ4,"ddd"))</f>
        <v/>
      </c>
      <c r="LA3" s="165">
        <f>UPPER(TEXT(LA4,"ddd"))</f>
        <v/>
      </c>
      <c r="LB3" s="165">
        <f>UPPER(TEXT(LB4,"ddd"))</f>
        <v/>
      </c>
      <c r="LC3" s="165">
        <f>UPPER(TEXT(LC4,"ddd"))</f>
        <v/>
      </c>
      <c r="LD3" s="165">
        <f>UPPER(TEXT(LD4,"ddd"))</f>
        <v/>
      </c>
      <c r="LE3" s="165">
        <f>UPPER(TEXT(LE4,"ddd"))</f>
        <v/>
      </c>
      <c r="LF3" s="165">
        <f>UPPER(TEXT(LF4,"ddd"))</f>
        <v/>
      </c>
      <c r="LG3" s="165">
        <f>UPPER(TEXT(LG4,"ddd"))</f>
        <v/>
      </c>
      <c r="LH3" s="165">
        <f>UPPER(TEXT(LH4,"ddd"))</f>
        <v/>
      </c>
      <c r="LI3" s="165">
        <f>UPPER(TEXT(LI4,"ddd"))</f>
        <v/>
      </c>
      <c r="LJ3" s="165">
        <f>UPPER(TEXT(LJ4,"ddd"))</f>
        <v/>
      </c>
      <c r="LK3" s="165">
        <f>UPPER(TEXT(LK4,"ddd"))</f>
        <v/>
      </c>
      <c r="LL3" s="165">
        <f>UPPER(TEXT(LL4,"ddd"))</f>
        <v/>
      </c>
      <c r="LM3" s="165">
        <f>UPPER(TEXT(LM4,"ddd"))</f>
        <v/>
      </c>
      <c r="LN3" s="165">
        <f>UPPER(TEXT(LN4,"ddd"))</f>
        <v/>
      </c>
      <c r="LO3" s="165">
        <f>UPPER(TEXT(LO4,"ddd"))</f>
        <v/>
      </c>
      <c r="LP3" s="165">
        <f>UPPER(TEXT(LP4,"ddd"))</f>
        <v/>
      </c>
      <c r="LQ3" s="165">
        <f>UPPER(TEXT(LQ4,"ddd"))</f>
        <v/>
      </c>
      <c r="LR3" s="165">
        <f>UPPER(TEXT(LR4,"ddd"))</f>
        <v/>
      </c>
      <c r="LS3" s="165">
        <f>UPPER(TEXT(LS4,"ddd"))</f>
        <v/>
      </c>
      <c r="LT3" s="165">
        <f>UPPER(TEXT(LT4,"ddd"))</f>
        <v/>
      </c>
      <c r="LU3" s="165">
        <f>UPPER(TEXT(LU4,"ddd"))</f>
        <v/>
      </c>
      <c r="LV3" s="165">
        <f>UPPER(TEXT(LV4,"ddd"))</f>
        <v/>
      </c>
      <c r="LW3" s="165">
        <f>UPPER(TEXT(LW4,"ddd"))</f>
        <v/>
      </c>
      <c r="LX3" s="165">
        <f>UPPER(TEXT(LX4,"ddd"))</f>
        <v/>
      </c>
      <c r="LY3" s="165">
        <f>UPPER(TEXT(LY4,"ddd"))</f>
        <v/>
      </c>
      <c r="LZ3" s="165">
        <f>UPPER(TEXT(LZ4,"ddd"))</f>
        <v/>
      </c>
      <c r="MA3" s="165">
        <f>UPPER(TEXT(MA4,"ddd"))</f>
        <v/>
      </c>
      <c r="MB3" s="165">
        <f>UPPER(TEXT(MB4,"ddd"))</f>
        <v/>
      </c>
      <c r="MC3" s="165">
        <f>UPPER(TEXT(MC4,"ddd"))</f>
        <v/>
      </c>
      <c r="MD3" s="165">
        <f>UPPER(TEXT(MD4,"ddd"))</f>
        <v/>
      </c>
      <c r="ME3" s="165">
        <f>UPPER(TEXT(ME4,"ddd"))</f>
        <v/>
      </c>
      <c r="MF3" s="165">
        <f>UPPER(TEXT(MF4,"ddd"))</f>
        <v/>
      </c>
      <c r="MG3" s="165">
        <f>UPPER(TEXT(MG4,"ddd"))</f>
        <v/>
      </c>
      <c r="MH3" s="165">
        <f>UPPER(TEXT(MH4,"ddd"))</f>
        <v/>
      </c>
      <c r="MI3" s="165">
        <f>UPPER(TEXT(MI4,"ddd"))</f>
        <v/>
      </c>
      <c r="MJ3" s="165">
        <f>UPPER(TEXT(MJ4,"ddd"))</f>
        <v/>
      </c>
      <c r="MK3" s="165">
        <f>UPPER(TEXT(MK4,"ddd"))</f>
        <v/>
      </c>
      <c r="ML3" s="165">
        <f>UPPER(TEXT(ML4,"ddd"))</f>
        <v/>
      </c>
      <c r="MM3" s="165">
        <f>UPPER(TEXT(MM4,"ddd"))</f>
        <v/>
      </c>
      <c r="MN3" s="165">
        <f>UPPER(TEXT(MN4,"ddd"))</f>
        <v/>
      </c>
      <c r="MO3" s="165">
        <f>UPPER(TEXT(MO4,"ddd"))</f>
        <v/>
      </c>
      <c r="MP3" s="165">
        <f>UPPER(TEXT(MP4,"ddd"))</f>
        <v/>
      </c>
      <c r="MQ3" s="165">
        <f>UPPER(TEXT(MQ4,"ddd"))</f>
        <v/>
      </c>
      <c r="MR3" s="165">
        <f>UPPER(TEXT(MR4,"ddd"))</f>
        <v/>
      </c>
      <c r="MS3" s="165">
        <f>UPPER(TEXT(MS4,"ddd"))</f>
        <v/>
      </c>
      <c r="MT3" s="165">
        <f>UPPER(TEXT(MT4,"ddd"))</f>
        <v/>
      </c>
      <c r="MU3" s="165">
        <f>UPPER(TEXT(MU4,"ddd"))</f>
        <v/>
      </c>
      <c r="MV3" s="165">
        <f>UPPER(TEXT(MV4,"ddd"))</f>
        <v/>
      </c>
      <c r="MW3" s="165">
        <f>UPPER(TEXT(MW4,"ddd"))</f>
        <v/>
      </c>
      <c r="MX3" s="165">
        <f>UPPER(TEXT(MX4,"ddd"))</f>
        <v/>
      </c>
      <c r="MY3" s="165">
        <f>UPPER(TEXT(MY4,"ddd"))</f>
        <v/>
      </c>
      <c r="MZ3" s="165">
        <f>UPPER(TEXT(MZ4,"ddd"))</f>
        <v/>
      </c>
      <c r="NA3" s="165">
        <f>UPPER(TEXT(NA4,"ddd"))</f>
        <v/>
      </c>
      <c r="NB3" s="165">
        <f>UPPER(TEXT(NB4,"ddd"))</f>
        <v/>
      </c>
      <c r="NC3" s="165">
        <f>UPPER(TEXT(NC4,"ddd"))</f>
        <v/>
      </c>
      <c r="ND3" s="165">
        <f>UPPER(TEXT(ND4,"ddd"))</f>
        <v/>
      </c>
      <c r="NE3" s="165">
        <f>UPPER(TEXT(NE4,"ddd"))</f>
        <v/>
      </c>
      <c r="NF3" s="165">
        <f>UPPER(TEXT(NF4,"ddd"))</f>
        <v/>
      </c>
      <c r="NG3" s="165">
        <f>UPPER(TEXT(NG4,"ddd"))</f>
        <v/>
      </c>
      <c r="NH3" s="165">
        <f>UPPER(TEXT(NH4,"ddd"))</f>
        <v/>
      </c>
      <c r="NI3" s="165">
        <f>UPPER(TEXT(NI4,"ddd"))</f>
        <v/>
      </c>
      <c r="NJ3" s="165">
        <f>UPPER(TEXT(NJ4,"ddd"))</f>
        <v/>
      </c>
      <c r="NK3" s="165">
        <f>UPPER(TEXT(NK4,"ddd"))</f>
        <v/>
      </c>
      <c r="NL3" s="165">
        <f>UPPER(TEXT(NL4,"ddd"))</f>
        <v/>
      </c>
      <c r="NM3" s="165">
        <f>UPPER(TEXT(NM4,"ddd"))</f>
        <v/>
      </c>
      <c r="NN3" s="165">
        <f>UPPER(TEXT(NN4,"ddd"))</f>
        <v/>
      </c>
      <c r="NO3" s="165">
        <f>UPPER(TEXT(NO4,"ddd"))</f>
        <v/>
      </c>
      <c r="NP3" s="165">
        <f>UPPER(TEXT(NP4,"ddd"))</f>
        <v/>
      </c>
      <c r="NQ3" s="165">
        <f>UPPER(TEXT(NQ4,"ddd"))</f>
        <v/>
      </c>
      <c r="NR3" s="165">
        <f>UPPER(TEXT(NR4,"ddd"))</f>
        <v/>
      </c>
      <c r="NS3" s="165">
        <f>UPPER(TEXT(NS4,"ddd"))</f>
        <v/>
      </c>
      <c r="NT3" s="165">
        <f>UPPER(TEXT(NT4,"ddd"))</f>
        <v/>
      </c>
      <c r="NU3" s="165">
        <f>UPPER(TEXT(NU4,"ddd"))</f>
        <v/>
      </c>
      <c r="NV3" s="165">
        <f>UPPER(TEXT(NV4,"ddd"))</f>
        <v/>
      </c>
      <c r="NW3" s="165">
        <f>UPPER(TEXT(NW4,"ddd"))</f>
        <v/>
      </c>
      <c r="NX3" s="165">
        <f>UPPER(TEXT(NX4,"ddd"))</f>
        <v/>
      </c>
      <c r="NY3" s="165">
        <f>UPPER(TEXT(NY4,"ddd"))</f>
        <v/>
      </c>
      <c r="NZ3" s="165">
        <f>UPPER(TEXT(NZ4,"ddd"))</f>
        <v/>
      </c>
      <c r="OA3" s="165">
        <f>UPPER(TEXT(OA4,"ddd"))</f>
        <v/>
      </c>
      <c r="OB3" s="165">
        <f>UPPER(TEXT(OB4,"ddd"))</f>
        <v/>
      </c>
      <c r="OC3" s="165">
        <f>UPPER(TEXT(OC4,"ddd"))</f>
        <v/>
      </c>
      <c r="OD3" s="165">
        <f>UPPER(TEXT(OD4,"ddd"))</f>
        <v/>
      </c>
      <c r="OE3" s="165">
        <f>UPPER(TEXT(OE4,"ddd"))</f>
        <v/>
      </c>
      <c r="OF3" s="165">
        <f>UPPER(TEXT(OF4,"ddd"))</f>
        <v/>
      </c>
      <c r="OG3" s="165">
        <f>UPPER(TEXT(OG4,"ddd"))</f>
        <v/>
      </c>
      <c r="OH3" s="165">
        <f>UPPER(TEXT(OH4,"ddd"))</f>
        <v/>
      </c>
      <c r="OI3" s="165">
        <f>UPPER(TEXT(OI4,"ddd"))</f>
        <v/>
      </c>
      <c r="OJ3" s="165">
        <f>UPPER(TEXT(OJ4,"ddd"))</f>
        <v/>
      </c>
      <c r="OK3" s="165">
        <f>UPPER(TEXT(OK4,"ddd"))</f>
        <v/>
      </c>
      <c r="OL3" s="165">
        <f>UPPER(TEXT(OL4,"ddd"))</f>
        <v/>
      </c>
      <c r="OM3" s="165">
        <f>UPPER(TEXT(OM4,"ddd"))</f>
        <v/>
      </c>
      <c r="ON3" s="165">
        <f>UPPER(TEXT(ON4,"ddd"))</f>
        <v/>
      </c>
      <c r="OO3" s="165">
        <f>UPPER(TEXT(OO4,"ddd"))</f>
        <v/>
      </c>
      <c r="OP3" s="165">
        <f>UPPER(TEXT(OP4,"ddd"))</f>
        <v/>
      </c>
      <c r="OQ3" s="165">
        <f>UPPER(TEXT(OQ4,"ddd"))</f>
        <v/>
      </c>
      <c r="OR3" s="165">
        <f>UPPER(TEXT(OR4,"ddd"))</f>
        <v/>
      </c>
      <c r="OS3" s="165">
        <f>UPPER(TEXT(OS4,"ddd"))</f>
        <v/>
      </c>
      <c r="OT3" s="165">
        <f>UPPER(TEXT(OT4,"ddd"))</f>
        <v/>
      </c>
      <c r="OU3" s="165">
        <f>UPPER(TEXT(OU4,"ddd"))</f>
        <v/>
      </c>
      <c r="OV3" s="165">
        <f>UPPER(TEXT(OV4,"ddd"))</f>
        <v/>
      </c>
      <c r="OW3" s="165">
        <f>UPPER(TEXT(OW4,"ddd"))</f>
        <v/>
      </c>
      <c r="OX3" s="165">
        <f>UPPER(TEXT(OX4,"ddd"))</f>
        <v/>
      </c>
      <c r="OY3" s="165">
        <f>UPPER(TEXT(OY4,"ddd"))</f>
        <v/>
      </c>
      <c r="OZ3" s="165">
        <f>UPPER(TEXT(OZ4,"ddd"))</f>
        <v/>
      </c>
      <c r="PA3" s="165">
        <f>UPPER(TEXT(PA4,"ddd"))</f>
        <v/>
      </c>
      <c r="PB3" s="165">
        <f>UPPER(TEXT(PB4,"ddd"))</f>
        <v/>
      </c>
      <c r="PC3" s="165">
        <f>UPPER(TEXT(PC4,"ddd"))</f>
        <v/>
      </c>
      <c r="PD3" s="165">
        <f>UPPER(TEXT(PD4,"ddd"))</f>
        <v/>
      </c>
      <c r="PE3" s="165">
        <f>UPPER(TEXT(PE4,"ddd"))</f>
        <v/>
      </c>
      <c r="PF3" s="165">
        <f>UPPER(TEXT(PF4,"ddd"))</f>
        <v/>
      </c>
      <c r="PG3" s="165">
        <f>UPPER(TEXT(PG4,"ddd"))</f>
        <v/>
      </c>
      <c r="PH3" s="165">
        <f>UPPER(TEXT(PH4,"ddd"))</f>
        <v/>
      </c>
      <c r="PI3" s="165">
        <f>UPPER(TEXT(PI4,"ddd"))</f>
        <v/>
      </c>
      <c r="PJ3" s="165">
        <f>UPPER(TEXT(PJ4,"ddd"))</f>
        <v/>
      </c>
      <c r="PK3" s="165">
        <f>UPPER(TEXT(PK4,"ddd"))</f>
        <v/>
      </c>
      <c r="PL3" s="165">
        <f>UPPER(TEXT(PL4,"ddd"))</f>
        <v/>
      </c>
      <c r="PM3" s="165">
        <f>UPPER(TEXT(PM4,"ddd"))</f>
        <v/>
      </c>
      <c r="PN3" s="165">
        <f>UPPER(TEXT(PN4,"ddd"))</f>
        <v/>
      </c>
      <c r="PO3" s="165">
        <f>UPPER(TEXT(PO4,"ddd"))</f>
        <v/>
      </c>
      <c r="PP3" s="165">
        <f>UPPER(TEXT(PP4,"ddd"))</f>
        <v/>
      </c>
      <c r="PQ3" s="165">
        <f>UPPER(TEXT(PQ4,"ddd"))</f>
        <v/>
      </c>
      <c r="PR3" s="165">
        <f>UPPER(TEXT(PR4,"ddd"))</f>
        <v/>
      </c>
      <c r="PS3" s="165">
        <f>UPPER(TEXT(PS4,"ddd"))</f>
        <v/>
      </c>
      <c r="PT3" s="165">
        <f>UPPER(TEXT(PT4,"ddd"))</f>
        <v/>
      </c>
      <c r="PU3" s="165">
        <f>UPPER(TEXT(PU4,"ddd"))</f>
        <v/>
      </c>
      <c r="PV3" s="165">
        <f>UPPER(TEXT(PV4,"ddd"))</f>
        <v/>
      </c>
      <c r="PW3" s="165">
        <f>UPPER(TEXT(PW4,"ddd"))</f>
        <v/>
      </c>
      <c r="PX3" s="165">
        <f>UPPER(TEXT(PX4,"ddd"))</f>
        <v/>
      </c>
      <c r="PY3" s="165">
        <f>UPPER(TEXT(PY4,"ddd"))</f>
        <v/>
      </c>
      <c r="PZ3" s="165">
        <f>UPPER(TEXT(PZ4,"ddd"))</f>
        <v/>
      </c>
      <c r="QA3" s="165">
        <f>UPPER(TEXT(QA4,"ddd"))</f>
        <v/>
      </c>
      <c r="QB3" s="165">
        <f>UPPER(TEXT(QB4,"ddd"))</f>
        <v/>
      </c>
      <c r="QC3" s="165">
        <f>UPPER(TEXT(QC4,"ddd"))</f>
        <v/>
      </c>
      <c r="QD3" s="165">
        <f>UPPER(TEXT(QD4,"ddd"))</f>
        <v/>
      </c>
      <c r="QE3" s="165">
        <f>UPPER(TEXT(QE4,"ddd"))</f>
        <v/>
      </c>
      <c r="QF3" s="165">
        <f>UPPER(TEXT(QF4,"ddd"))</f>
        <v/>
      </c>
      <c r="QG3" s="165">
        <f>UPPER(TEXT(QG4,"ddd"))</f>
        <v/>
      </c>
      <c r="QH3" s="165">
        <f>UPPER(TEXT(QH4,"ddd"))</f>
        <v/>
      </c>
      <c r="QI3" s="165">
        <f>UPPER(TEXT(QI4,"ddd"))</f>
        <v/>
      </c>
      <c r="QJ3" s="165">
        <f>UPPER(TEXT(QJ4,"ddd"))</f>
        <v/>
      </c>
      <c r="QK3" s="165">
        <f>UPPER(TEXT(QK4,"ddd"))</f>
        <v/>
      </c>
      <c r="QL3" s="165">
        <f>UPPER(TEXT(QL4,"ddd"))</f>
        <v/>
      </c>
      <c r="QM3" s="165">
        <f>UPPER(TEXT(QM4,"ddd"))</f>
        <v/>
      </c>
      <c r="QN3" s="165">
        <f>UPPER(TEXT(QN4,"ddd"))</f>
        <v/>
      </c>
      <c r="QO3" s="165">
        <f>UPPER(TEXT(QO4,"ddd"))</f>
        <v/>
      </c>
      <c r="QP3" s="165">
        <f>UPPER(TEXT(QP4,"ddd"))</f>
        <v/>
      </c>
      <c r="QQ3" s="165">
        <f>UPPER(TEXT(QQ4,"ddd"))</f>
        <v/>
      </c>
      <c r="QR3" s="165">
        <f>UPPER(TEXT(QR4,"ddd"))</f>
        <v/>
      </c>
      <c r="QS3" s="165">
        <f>UPPER(TEXT(QS4,"ddd"))</f>
        <v/>
      </c>
      <c r="QT3" s="165">
        <f>UPPER(TEXT(QT4,"ddd"))</f>
        <v/>
      </c>
      <c r="QU3" s="165">
        <f>UPPER(TEXT(QU4,"ddd"))</f>
        <v/>
      </c>
      <c r="QV3" s="165">
        <f>UPPER(TEXT(QV4,"ddd"))</f>
        <v/>
      </c>
      <c r="QW3" s="165">
        <f>UPPER(TEXT(QW4,"ddd"))</f>
        <v/>
      </c>
      <c r="QX3" s="165">
        <f>UPPER(TEXT(QX4,"ddd"))</f>
        <v/>
      </c>
      <c r="QY3" s="165">
        <f>UPPER(TEXT(QY4,"ddd"))</f>
        <v/>
      </c>
      <c r="QZ3" s="165">
        <f>UPPER(TEXT(QZ4,"ddd"))</f>
        <v/>
      </c>
      <c r="RA3" s="165">
        <f>UPPER(TEXT(RA4,"ddd"))</f>
        <v/>
      </c>
      <c r="RB3" s="165">
        <f>UPPER(TEXT(RB4,"ddd"))</f>
        <v/>
      </c>
      <c r="RC3" s="165">
        <f>UPPER(TEXT(RC4,"ddd"))</f>
        <v/>
      </c>
      <c r="RD3" s="165">
        <f>UPPER(TEXT(RD4,"ddd"))</f>
        <v/>
      </c>
      <c r="RE3" s="165">
        <f>UPPER(TEXT(RE4,"ddd"))</f>
        <v/>
      </c>
      <c r="RF3" s="165">
        <f>UPPER(TEXT(RF4,"ddd"))</f>
        <v/>
      </c>
      <c r="RG3" s="165">
        <f>UPPER(TEXT(RG4,"ddd"))</f>
        <v/>
      </c>
      <c r="RH3" s="165">
        <f>UPPER(TEXT(RH4,"ddd"))</f>
        <v/>
      </c>
      <c r="RI3" s="165">
        <f>UPPER(TEXT(RI4,"ddd"))</f>
        <v/>
      </c>
      <c r="RJ3" s="165">
        <f>UPPER(TEXT(RJ4,"ddd"))</f>
        <v/>
      </c>
      <c r="RK3" s="165">
        <f>UPPER(TEXT(RK4,"ddd"))</f>
        <v/>
      </c>
      <c r="RL3" s="165">
        <f>UPPER(TEXT(RL4,"ddd"))</f>
        <v/>
      </c>
      <c r="RM3" s="165">
        <f>UPPER(TEXT(RM4,"ddd"))</f>
        <v/>
      </c>
      <c r="RN3" s="165">
        <f>UPPER(TEXT(RN4,"ddd"))</f>
        <v/>
      </c>
      <c r="RO3" s="165">
        <f>UPPER(TEXT(RO4,"ddd"))</f>
        <v/>
      </c>
      <c r="RP3" s="165">
        <f>UPPER(TEXT(RP4,"ddd"))</f>
        <v/>
      </c>
      <c r="RQ3" s="165">
        <f>UPPER(TEXT(RQ4,"ddd"))</f>
        <v/>
      </c>
      <c r="RR3" s="165">
        <f>UPPER(TEXT(RR4,"ddd"))</f>
        <v/>
      </c>
      <c r="RS3" s="165">
        <f>UPPER(TEXT(RS4,"ddd"))</f>
        <v/>
      </c>
      <c r="RT3" s="165">
        <f>UPPER(TEXT(RT4,"ddd"))</f>
        <v/>
      </c>
      <c r="RU3" s="165">
        <f>UPPER(TEXT(RU4,"ddd"))</f>
        <v/>
      </c>
      <c r="RV3" s="165">
        <f>UPPER(TEXT(RV4,"ddd"))</f>
        <v/>
      </c>
      <c r="RW3" s="165">
        <f>UPPER(TEXT(RW4,"ddd"))</f>
        <v/>
      </c>
      <c r="RX3" s="165">
        <f>UPPER(TEXT(RX4,"ddd"))</f>
        <v/>
      </c>
      <c r="RY3" s="165">
        <f>UPPER(TEXT(RY4,"ddd"))</f>
        <v/>
      </c>
      <c r="RZ3" s="165">
        <f>UPPER(TEXT(RZ4,"ddd"))</f>
        <v/>
      </c>
      <c r="SA3" s="165">
        <f>UPPER(TEXT(SA4,"ddd"))</f>
        <v/>
      </c>
      <c r="SB3" s="165">
        <f>UPPER(TEXT(SB4,"ddd"))</f>
        <v/>
      </c>
      <c r="SC3" s="165">
        <f>UPPER(TEXT(SC4,"ddd"))</f>
        <v/>
      </c>
      <c r="SD3" s="165">
        <f>UPPER(TEXT(SD4,"ddd"))</f>
        <v/>
      </c>
      <c r="SE3" s="165">
        <f>UPPER(TEXT(SE4,"ddd"))</f>
        <v/>
      </c>
      <c r="SF3" s="165">
        <f>UPPER(TEXT(SF4,"ddd"))</f>
        <v/>
      </c>
    </row>
    <row r="4" ht="52" customHeight="1" s="53">
      <c r="B4" s="125" t="inlineStr">
        <is>
          <t>Camp / movement</t>
        </is>
      </c>
      <c r="C4" s="166">
        <f>'INPUT - Roster'!S4</f>
        <v/>
      </c>
      <c r="D4" s="166">
        <f>'INPUT - Roster'!T4</f>
        <v/>
      </c>
      <c r="E4" s="166">
        <f>'INPUT - Roster'!U4</f>
        <v/>
      </c>
      <c r="F4" s="166">
        <f>'INPUT - Roster'!V4</f>
        <v/>
      </c>
      <c r="G4" s="166">
        <f>'INPUT - Roster'!W4</f>
        <v/>
      </c>
      <c r="H4" s="166">
        <f>'INPUT - Roster'!X4</f>
        <v/>
      </c>
      <c r="I4" s="166">
        <f>'INPUT - Roster'!Y4</f>
        <v/>
      </c>
      <c r="J4" s="166">
        <f>'INPUT - Roster'!Z4</f>
        <v/>
      </c>
      <c r="K4" s="166">
        <f>'INPUT - Roster'!AA4</f>
        <v/>
      </c>
      <c r="L4" s="166">
        <f>'INPUT - Roster'!AB4</f>
        <v/>
      </c>
      <c r="M4" s="166">
        <f>'INPUT - Roster'!AC4</f>
        <v/>
      </c>
      <c r="N4" s="166">
        <f>'INPUT - Roster'!AD4</f>
        <v/>
      </c>
      <c r="O4" s="166">
        <f>'INPUT - Roster'!AE4</f>
        <v/>
      </c>
      <c r="P4" s="166">
        <f>'INPUT - Roster'!AF4</f>
        <v/>
      </c>
      <c r="Q4" s="166">
        <f>'INPUT - Roster'!AG4</f>
        <v/>
      </c>
      <c r="R4" s="166">
        <f>'INPUT - Roster'!AH4</f>
        <v/>
      </c>
      <c r="S4" s="166">
        <f>'INPUT - Roster'!AI4</f>
        <v/>
      </c>
      <c r="T4" s="166">
        <f>'INPUT - Roster'!AJ4</f>
        <v/>
      </c>
      <c r="U4" s="166">
        <f>'INPUT - Roster'!AK4</f>
        <v/>
      </c>
      <c r="V4" s="166">
        <f>'INPUT - Roster'!AL4</f>
        <v/>
      </c>
      <c r="W4" s="166">
        <f>'INPUT - Roster'!AM4</f>
        <v/>
      </c>
      <c r="X4" s="166">
        <f>'INPUT - Roster'!AN4</f>
        <v/>
      </c>
      <c r="Y4" s="166">
        <f>'INPUT - Roster'!AO4</f>
        <v/>
      </c>
      <c r="Z4" s="166">
        <f>'INPUT - Roster'!AP4</f>
        <v/>
      </c>
      <c r="AA4" s="166">
        <f>'INPUT - Roster'!AQ4</f>
        <v/>
      </c>
      <c r="AB4" s="166">
        <f>'INPUT - Roster'!AR4</f>
        <v/>
      </c>
      <c r="AC4" s="166">
        <f>'INPUT - Roster'!AS4</f>
        <v/>
      </c>
      <c r="AD4" s="166">
        <f>'INPUT - Roster'!AT4</f>
        <v/>
      </c>
      <c r="AE4" s="166">
        <f>'INPUT - Roster'!AU4</f>
        <v/>
      </c>
      <c r="AF4" s="166">
        <f>'INPUT - Roster'!AV4</f>
        <v/>
      </c>
      <c r="AG4" s="166">
        <f>'INPUT - Roster'!AW4</f>
        <v/>
      </c>
      <c r="AH4" s="166">
        <f>'INPUT - Roster'!AX4</f>
        <v/>
      </c>
      <c r="AI4" s="166">
        <f>'INPUT - Roster'!AY4</f>
        <v/>
      </c>
      <c r="AJ4" s="166">
        <f>'INPUT - Roster'!AZ4</f>
        <v/>
      </c>
      <c r="AK4" s="166">
        <f>'INPUT - Roster'!BA4</f>
        <v/>
      </c>
      <c r="AL4" s="166">
        <f>'INPUT - Roster'!BB4</f>
        <v/>
      </c>
      <c r="AM4" s="166">
        <f>'INPUT - Roster'!BC4</f>
        <v/>
      </c>
      <c r="AN4" s="166">
        <f>'INPUT - Roster'!BD4</f>
        <v/>
      </c>
      <c r="AO4" s="166">
        <f>'INPUT - Roster'!BE4</f>
        <v/>
      </c>
      <c r="AP4" s="166">
        <f>'INPUT - Roster'!BF4</f>
        <v/>
      </c>
      <c r="AQ4" s="166">
        <f>'INPUT - Roster'!BG4</f>
        <v/>
      </c>
      <c r="AR4" s="166">
        <f>'INPUT - Roster'!BH4</f>
        <v/>
      </c>
      <c r="AS4" s="166">
        <f>'INPUT - Roster'!BI4</f>
        <v/>
      </c>
      <c r="AT4" s="166">
        <f>'INPUT - Roster'!BJ4</f>
        <v/>
      </c>
      <c r="AU4" s="166">
        <f>'INPUT - Roster'!BK4</f>
        <v/>
      </c>
      <c r="AV4" s="166">
        <f>'INPUT - Roster'!BL4</f>
        <v/>
      </c>
      <c r="AW4" s="166">
        <f>'INPUT - Roster'!BM4</f>
        <v/>
      </c>
      <c r="AX4" s="166">
        <f>'INPUT - Roster'!BN4</f>
        <v/>
      </c>
      <c r="AY4" s="166">
        <f>'INPUT - Roster'!BO4</f>
        <v/>
      </c>
      <c r="AZ4" s="166">
        <f>'INPUT - Roster'!BP4</f>
        <v/>
      </c>
      <c r="BA4" s="166">
        <f>'INPUT - Roster'!BQ4</f>
        <v/>
      </c>
      <c r="BB4" s="166">
        <f>'INPUT - Roster'!BR4</f>
        <v/>
      </c>
      <c r="BC4" s="166">
        <f>'INPUT - Roster'!BS4</f>
        <v/>
      </c>
      <c r="BD4" s="166">
        <f>'INPUT - Roster'!BT4</f>
        <v/>
      </c>
      <c r="BE4" s="166">
        <f>'INPUT - Roster'!BU4</f>
        <v/>
      </c>
      <c r="BF4" s="166">
        <f>'INPUT - Roster'!BV4</f>
        <v/>
      </c>
      <c r="BG4" s="166">
        <f>'INPUT - Roster'!BW4</f>
        <v/>
      </c>
      <c r="BH4" s="166">
        <f>'INPUT - Roster'!BX4</f>
        <v/>
      </c>
      <c r="BI4" s="166">
        <f>'INPUT - Roster'!BY4</f>
        <v/>
      </c>
      <c r="BJ4" s="166">
        <f>'INPUT - Roster'!BZ4</f>
        <v/>
      </c>
      <c r="BK4" s="166">
        <f>'INPUT - Roster'!CA4</f>
        <v/>
      </c>
      <c r="BL4" s="166">
        <f>'INPUT - Roster'!CB4</f>
        <v/>
      </c>
      <c r="BM4" s="166">
        <f>'INPUT - Roster'!CC4</f>
        <v/>
      </c>
      <c r="BN4" s="166">
        <f>'INPUT - Roster'!CD4</f>
        <v/>
      </c>
      <c r="BO4" s="166">
        <f>'INPUT - Roster'!CE4</f>
        <v/>
      </c>
      <c r="BP4" s="166">
        <f>'INPUT - Roster'!CF4</f>
        <v/>
      </c>
      <c r="BQ4" s="166">
        <f>'INPUT - Roster'!CG4</f>
        <v/>
      </c>
      <c r="BR4" s="166">
        <f>'INPUT - Roster'!CH4</f>
        <v/>
      </c>
      <c r="BS4" s="166">
        <f>'INPUT - Roster'!CI4</f>
        <v/>
      </c>
      <c r="BT4" s="166">
        <f>'INPUT - Roster'!CJ4</f>
        <v/>
      </c>
      <c r="BU4" s="166">
        <f>'INPUT - Roster'!CK4</f>
        <v/>
      </c>
      <c r="BV4" s="166">
        <f>'INPUT - Roster'!CL4</f>
        <v/>
      </c>
      <c r="BW4" s="166">
        <f>'INPUT - Roster'!CM4</f>
        <v/>
      </c>
      <c r="BX4" s="166">
        <f>'INPUT - Roster'!CN4</f>
        <v/>
      </c>
      <c r="BY4" s="166">
        <f>'INPUT - Roster'!CO4</f>
        <v/>
      </c>
      <c r="BZ4" s="166">
        <f>'INPUT - Roster'!CP4</f>
        <v/>
      </c>
      <c r="CA4" s="166">
        <f>'INPUT - Roster'!CQ4</f>
        <v/>
      </c>
      <c r="CB4" s="166">
        <f>'INPUT - Roster'!CR4</f>
        <v/>
      </c>
      <c r="CC4" s="166">
        <f>'INPUT - Roster'!CS4</f>
        <v/>
      </c>
      <c r="CD4" s="166">
        <f>'INPUT - Roster'!CT4</f>
        <v/>
      </c>
      <c r="CE4" s="166">
        <f>'INPUT - Roster'!CU4</f>
        <v/>
      </c>
      <c r="CF4" s="166">
        <f>'INPUT - Roster'!CV4</f>
        <v/>
      </c>
      <c r="CG4" s="166">
        <f>'INPUT - Roster'!CW4</f>
        <v/>
      </c>
      <c r="CH4" s="166">
        <f>'INPUT - Roster'!CX4</f>
        <v/>
      </c>
      <c r="CI4" s="166">
        <f>'INPUT - Roster'!CY4</f>
        <v/>
      </c>
      <c r="CJ4" s="166">
        <f>'INPUT - Roster'!CZ4</f>
        <v/>
      </c>
      <c r="CK4" s="166">
        <f>'INPUT - Roster'!DA4</f>
        <v/>
      </c>
      <c r="CL4" s="166">
        <f>'INPUT - Roster'!DB4</f>
        <v/>
      </c>
      <c r="CM4" s="166">
        <f>'INPUT - Roster'!DC4</f>
        <v/>
      </c>
      <c r="CN4" s="166">
        <f>'INPUT - Roster'!DD4</f>
        <v/>
      </c>
      <c r="CO4" s="166">
        <f>'INPUT - Roster'!DE4</f>
        <v/>
      </c>
      <c r="CP4" s="166">
        <f>'INPUT - Roster'!DF4</f>
        <v/>
      </c>
      <c r="CQ4" s="166">
        <f>'INPUT - Roster'!DG4</f>
        <v/>
      </c>
      <c r="CR4" s="166">
        <f>'INPUT - Roster'!DH4</f>
        <v/>
      </c>
      <c r="CS4" s="166">
        <f>'INPUT - Roster'!DI4</f>
        <v/>
      </c>
      <c r="CT4" s="166">
        <f>'INPUT - Roster'!DJ4</f>
        <v/>
      </c>
      <c r="CU4" s="166">
        <f>'INPUT - Roster'!DK4</f>
        <v/>
      </c>
      <c r="CV4" s="166">
        <f>'INPUT - Roster'!DL4</f>
        <v/>
      </c>
      <c r="CW4" s="166">
        <f>'INPUT - Roster'!DM4</f>
        <v/>
      </c>
      <c r="CX4" s="166">
        <f>'INPUT - Roster'!DN4</f>
        <v/>
      </c>
      <c r="CY4" s="166">
        <f>'INPUT - Roster'!DO4</f>
        <v/>
      </c>
      <c r="CZ4" s="166">
        <f>'INPUT - Roster'!DP4</f>
        <v/>
      </c>
      <c r="DA4" s="166">
        <f>'INPUT - Roster'!DQ4</f>
        <v/>
      </c>
      <c r="DB4" s="166">
        <f>'INPUT - Roster'!DR4</f>
        <v/>
      </c>
      <c r="DC4" s="166">
        <f>'INPUT - Roster'!DS4</f>
        <v/>
      </c>
      <c r="DD4" s="166">
        <f>'INPUT - Roster'!DT4</f>
        <v/>
      </c>
      <c r="DE4" s="166">
        <f>'INPUT - Roster'!DU4</f>
        <v/>
      </c>
      <c r="DF4" s="166">
        <f>'INPUT - Roster'!DV4</f>
        <v/>
      </c>
      <c r="DG4" s="166">
        <f>'INPUT - Roster'!DW4</f>
        <v/>
      </c>
      <c r="DH4" s="166">
        <f>'INPUT - Roster'!DX4</f>
        <v/>
      </c>
      <c r="DI4" s="166">
        <f>'INPUT - Roster'!DY4</f>
        <v/>
      </c>
      <c r="DJ4" s="166">
        <f>'INPUT - Roster'!DZ4</f>
        <v/>
      </c>
      <c r="DK4" s="166">
        <f>'INPUT - Roster'!EA4</f>
        <v/>
      </c>
      <c r="DL4" s="166">
        <f>'INPUT - Roster'!EB4</f>
        <v/>
      </c>
      <c r="DM4" s="166">
        <f>'INPUT - Roster'!EC4</f>
        <v/>
      </c>
      <c r="DN4" s="166">
        <f>'INPUT - Roster'!ED4</f>
        <v/>
      </c>
      <c r="DO4" s="166">
        <f>'INPUT - Roster'!EE4</f>
        <v/>
      </c>
      <c r="DP4" s="166">
        <f>'INPUT - Roster'!EF4</f>
        <v/>
      </c>
      <c r="DQ4" s="166">
        <f>'INPUT - Roster'!EG4</f>
        <v/>
      </c>
      <c r="DR4" s="166">
        <f>'INPUT - Roster'!EH4</f>
        <v/>
      </c>
      <c r="DS4" s="166">
        <f>'INPUT - Roster'!EI4</f>
        <v/>
      </c>
      <c r="DT4" s="166">
        <f>'INPUT - Roster'!EJ4</f>
        <v/>
      </c>
      <c r="DU4" s="166">
        <f>'INPUT - Roster'!EK4</f>
        <v/>
      </c>
      <c r="DV4" s="166">
        <f>'INPUT - Roster'!EL4</f>
        <v/>
      </c>
      <c r="DW4" s="166">
        <f>'INPUT - Roster'!EM4</f>
        <v/>
      </c>
      <c r="DX4" s="166">
        <f>'INPUT - Roster'!EN4</f>
        <v/>
      </c>
      <c r="DY4" s="166">
        <f>'INPUT - Roster'!EO4</f>
        <v/>
      </c>
      <c r="DZ4" s="166">
        <f>'INPUT - Roster'!EP4</f>
        <v/>
      </c>
      <c r="EA4" s="166">
        <f>'INPUT - Roster'!EQ4</f>
        <v/>
      </c>
      <c r="EB4" s="166">
        <f>'INPUT - Roster'!ER4</f>
        <v/>
      </c>
      <c r="EC4" s="166">
        <f>'INPUT - Roster'!ES4</f>
        <v/>
      </c>
      <c r="ED4" s="166">
        <f>'INPUT - Roster'!ET4</f>
        <v/>
      </c>
      <c r="EE4" s="166">
        <f>'INPUT - Roster'!EU4</f>
        <v/>
      </c>
      <c r="EF4" s="166">
        <f>'INPUT - Roster'!EV4</f>
        <v/>
      </c>
      <c r="EG4" s="166">
        <f>'INPUT - Roster'!EW4</f>
        <v/>
      </c>
      <c r="EH4" s="166">
        <f>'INPUT - Roster'!EX4</f>
        <v/>
      </c>
      <c r="EI4" s="166">
        <f>'INPUT - Roster'!EY4</f>
        <v/>
      </c>
      <c r="EJ4" s="166">
        <f>'INPUT - Roster'!EZ4</f>
        <v/>
      </c>
      <c r="EK4" s="166">
        <f>'INPUT - Roster'!FA4</f>
        <v/>
      </c>
      <c r="EL4" s="166">
        <f>'INPUT - Roster'!FB4</f>
        <v/>
      </c>
      <c r="EM4" s="166">
        <f>'INPUT - Roster'!FC4</f>
        <v/>
      </c>
      <c r="EN4" s="166">
        <f>'INPUT - Roster'!FD4</f>
        <v/>
      </c>
      <c r="EO4" s="166">
        <f>'INPUT - Roster'!FE4</f>
        <v/>
      </c>
      <c r="EP4" s="166">
        <f>'INPUT - Roster'!FF4</f>
        <v/>
      </c>
      <c r="EQ4" s="166">
        <f>'INPUT - Roster'!FG4</f>
        <v/>
      </c>
      <c r="ER4" s="166">
        <f>'INPUT - Roster'!FH4</f>
        <v/>
      </c>
      <c r="ES4" s="166">
        <f>'INPUT - Roster'!FI4</f>
        <v/>
      </c>
      <c r="ET4" s="166">
        <f>'INPUT - Roster'!FJ4</f>
        <v/>
      </c>
      <c r="EU4" s="166">
        <f>'INPUT - Roster'!FK4</f>
        <v/>
      </c>
      <c r="EV4" s="166">
        <f>'INPUT - Roster'!FL4</f>
        <v/>
      </c>
      <c r="EW4" s="166">
        <f>'INPUT - Roster'!FM4</f>
        <v/>
      </c>
      <c r="EX4" s="166">
        <f>'INPUT - Roster'!FN4</f>
        <v/>
      </c>
      <c r="EY4" s="166">
        <f>'INPUT - Roster'!FO4</f>
        <v/>
      </c>
      <c r="EZ4" s="166">
        <f>'INPUT - Roster'!FP4</f>
        <v/>
      </c>
      <c r="FA4" s="166">
        <f>'INPUT - Roster'!FQ4</f>
        <v/>
      </c>
      <c r="FB4" s="166">
        <f>'INPUT - Roster'!FR4</f>
        <v/>
      </c>
      <c r="FC4" s="166">
        <f>'INPUT - Roster'!FS4</f>
        <v/>
      </c>
      <c r="FD4" s="166">
        <f>'INPUT - Roster'!FT4</f>
        <v/>
      </c>
      <c r="FE4" s="166">
        <f>'INPUT - Roster'!FU4</f>
        <v/>
      </c>
      <c r="FF4" s="166">
        <f>'INPUT - Roster'!FV4</f>
        <v/>
      </c>
      <c r="FG4" s="166">
        <f>'INPUT - Roster'!FW4</f>
        <v/>
      </c>
      <c r="FH4" s="166">
        <f>'INPUT - Roster'!FX4</f>
        <v/>
      </c>
      <c r="FI4" s="166">
        <f>'INPUT - Roster'!FY4</f>
        <v/>
      </c>
      <c r="FJ4" s="166">
        <f>'INPUT - Roster'!FZ4</f>
        <v/>
      </c>
      <c r="FK4" s="166">
        <f>'INPUT - Roster'!GA4</f>
        <v/>
      </c>
      <c r="FL4" s="166">
        <f>'INPUT - Roster'!GB4</f>
        <v/>
      </c>
      <c r="FM4" s="166">
        <f>'INPUT - Roster'!GC4</f>
        <v/>
      </c>
      <c r="FN4" s="166">
        <f>'INPUT - Roster'!GD4</f>
        <v/>
      </c>
      <c r="FO4" s="166">
        <f>'INPUT - Roster'!GE4</f>
        <v/>
      </c>
      <c r="FP4" s="166">
        <f>'INPUT - Roster'!GF4</f>
        <v/>
      </c>
      <c r="FQ4" s="166">
        <f>'INPUT - Roster'!GG4</f>
        <v/>
      </c>
      <c r="FR4" s="166">
        <f>'INPUT - Roster'!GH4</f>
        <v/>
      </c>
      <c r="FS4" s="166">
        <f>'INPUT - Roster'!GI4</f>
        <v/>
      </c>
      <c r="FT4" s="166">
        <f>'INPUT - Roster'!GJ4</f>
        <v/>
      </c>
      <c r="FU4" s="166">
        <f>'INPUT - Roster'!GK4</f>
        <v/>
      </c>
      <c r="FV4" s="166">
        <f>'INPUT - Roster'!GL4</f>
        <v/>
      </c>
      <c r="FW4" s="166">
        <f>'INPUT - Roster'!GM4</f>
        <v/>
      </c>
      <c r="FX4" s="166">
        <f>'INPUT - Roster'!GN4</f>
        <v/>
      </c>
      <c r="FY4" s="166">
        <f>'INPUT - Roster'!GO4</f>
        <v/>
      </c>
      <c r="FZ4" s="166">
        <f>'INPUT - Roster'!GP4</f>
        <v/>
      </c>
      <c r="GA4" s="166">
        <f>'INPUT - Roster'!GQ4</f>
        <v/>
      </c>
      <c r="GB4" s="166">
        <f>'INPUT - Roster'!GR4</f>
        <v/>
      </c>
      <c r="GC4" s="166">
        <f>'INPUT - Roster'!GS4</f>
        <v/>
      </c>
      <c r="GD4" s="166">
        <f>'INPUT - Roster'!GT4</f>
        <v/>
      </c>
      <c r="GE4" s="166">
        <f>'INPUT - Roster'!GU4</f>
        <v/>
      </c>
      <c r="GF4" s="166">
        <f>'INPUT - Roster'!GV4</f>
        <v/>
      </c>
      <c r="GG4" s="166">
        <f>'INPUT - Roster'!GW4</f>
        <v/>
      </c>
      <c r="GH4" s="166">
        <f>'INPUT - Roster'!GX4</f>
        <v/>
      </c>
      <c r="GI4" s="166">
        <f>'INPUT - Roster'!GY4</f>
        <v/>
      </c>
      <c r="GJ4" s="166">
        <f>'INPUT - Roster'!GZ4</f>
        <v/>
      </c>
      <c r="GK4" s="166">
        <f>'INPUT - Roster'!HA4</f>
        <v/>
      </c>
      <c r="GL4" s="166">
        <f>'INPUT - Roster'!HB4</f>
        <v/>
      </c>
      <c r="GM4" s="166">
        <f>'INPUT - Roster'!HC4</f>
        <v/>
      </c>
      <c r="GN4" s="166">
        <f>'INPUT - Roster'!HD4</f>
        <v/>
      </c>
      <c r="GO4" s="166">
        <f>'INPUT - Roster'!HE4</f>
        <v/>
      </c>
      <c r="GP4" s="166">
        <f>'INPUT - Roster'!HF4</f>
        <v/>
      </c>
      <c r="GQ4" s="166">
        <f>'INPUT - Roster'!HG4</f>
        <v/>
      </c>
      <c r="GR4" s="166">
        <f>'INPUT - Roster'!HH4</f>
        <v/>
      </c>
      <c r="GS4" s="166">
        <f>'INPUT - Roster'!HI4</f>
        <v/>
      </c>
      <c r="GT4" s="166">
        <f>'INPUT - Roster'!HJ4</f>
        <v/>
      </c>
      <c r="GU4" s="166">
        <f>'INPUT - Roster'!HK4</f>
        <v/>
      </c>
      <c r="GV4" s="166">
        <f>'INPUT - Roster'!HL4</f>
        <v/>
      </c>
      <c r="GW4" s="166">
        <f>'INPUT - Roster'!HM4</f>
        <v/>
      </c>
      <c r="GX4" s="166">
        <f>'INPUT - Roster'!HN4</f>
        <v/>
      </c>
      <c r="GY4" s="166">
        <f>'INPUT - Roster'!HO4</f>
        <v/>
      </c>
      <c r="GZ4" s="166">
        <f>'INPUT - Roster'!HP4</f>
        <v/>
      </c>
      <c r="HA4" s="166">
        <f>'INPUT - Roster'!HQ4</f>
        <v/>
      </c>
      <c r="HB4" s="166">
        <f>'INPUT - Roster'!HR4</f>
        <v/>
      </c>
      <c r="HC4" s="166">
        <f>'INPUT - Roster'!HS4</f>
        <v/>
      </c>
      <c r="HD4" s="166">
        <f>'INPUT - Roster'!HT4</f>
        <v/>
      </c>
      <c r="HE4" s="166">
        <f>'INPUT - Roster'!HU4</f>
        <v/>
      </c>
      <c r="HF4" s="166">
        <f>'INPUT - Roster'!HV4</f>
        <v/>
      </c>
      <c r="HG4" s="166">
        <f>'INPUT - Roster'!HW4</f>
        <v/>
      </c>
      <c r="HH4" s="166">
        <f>'INPUT - Roster'!HX4</f>
        <v/>
      </c>
      <c r="HI4" s="166">
        <f>'INPUT - Roster'!HY4</f>
        <v/>
      </c>
      <c r="HJ4" s="166">
        <f>'INPUT - Roster'!HZ4</f>
        <v/>
      </c>
      <c r="HK4" s="166">
        <f>'INPUT - Roster'!IA4</f>
        <v/>
      </c>
      <c r="HL4" s="166">
        <f>'INPUT - Roster'!IB4</f>
        <v/>
      </c>
      <c r="HM4" s="166">
        <f>'INPUT - Roster'!IC4</f>
        <v/>
      </c>
      <c r="HN4" s="166">
        <f>'INPUT - Roster'!ID4</f>
        <v/>
      </c>
      <c r="HO4" s="166">
        <f>'INPUT - Roster'!IE4</f>
        <v/>
      </c>
      <c r="HP4" s="166">
        <f>'INPUT - Roster'!IF4</f>
        <v/>
      </c>
      <c r="HQ4" s="166">
        <f>'INPUT - Roster'!IG4</f>
        <v/>
      </c>
      <c r="HR4" s="166">
        <f>'INPUT - Roster'!IH4</f>
        <v/>
      </c>
      <c r="HS4" s="166">
        <f>'INPUT - Roster'!II4</f>
        <v/>
      </c>
      <c r="HT4" s="166">
        <f>'INPUT - Roster'!IJ4</f>
        <v/>
      </c>
      <c r="HU4" s="166">
        <f>'INPUT - Roster'!IK4</f>
        <v/>
      </c>
      <c r="HV4" s="166">
        <f>'INPUT - Roster'!IL4</f>
        <v/>
      </c>
      <c r="HW4" s="166">
        <f>'INPUT - Roster'!IM4</f>
        <v/>
      </c>
      <c r="HX4" s="166">
        <f>'INPUT - Roster'!IN4</f>
        <v/>
      </c>
      <c r="HY4" s="166">
        <f>'INPUT - Roster'!IO4</f>
        <v/>
      </c>
      <c r="HZ4" s="166">
        <f>'INPUT - Roster'!IP4</f>
        <v/>
      </c>
      <c r="IA4" s="166">
        <f>'INPUT - Roster'!IQ4</f>
        <v/>
      </c>
      <c r="IB4" s="166">
        <f>'INPUT - Roster'!IR4</f>
        <v/>
      </c>
      <c r="IC4" s="166">
        <f>'INPUT - Roster'!IS4</f>
        <v/>
      </c>
      <c r="ID4" s="166">
        <f>'INPUT - Roster'!IT4</f>
        <v/>
      </c>
      <c r="IE4" s="166">
        <f>'INPUT - Roster'!IU4</f>
        <v/>
      </c>
      <c r="IF4" s="166">
        <f>'INPUT - Roster'!IV4</f>
        <v/>
      </c>
      <c r="IG4" s="166">
        <f>'INPUT - Roster'!IW4</f>
        <v/>
      </c>
      <c r="IH4" s="166">
        <f>'INPUT - Roster'!IX4</f>
        <v/>
      </c>
      <c r="II4" s="166">
        <f>'INPUT - Roster'!IY4</f>
        <v/>
      </c>
      <c r="IJ4" s="166">
        <f>'INPUT - Roster'!IZ4</f>
        <v/>
      </c>
      <c r="IK4" s="166">
        <f>'INPUT - Roster'!JA4</f>
        <v/>
      </c>
      <c r="IL4" s="166">
        <f>'INPUT - Roster'!JB4</f>
        <v/>
      </c>
      <c r="IM4" s="166">
        <f>'INPUT - Roster'!JC4</f>
        <v/>
      </c>
      <c r="IN4" s="166">
        <f>'INPUT - Roster'!JD4</f>
        <v/>
      </c>
      <c r="IO4" s="166">
        <f>'INPUT - Roster'!JE4</f>
        <v/>
      </c>
      <c r="IP4" s="166">
        <f>'INPUT - Roster'!JF4</f>
        <v/>
      </c>
      <c r="IQ4" s="166">
        <f>'INPUT - Roster'!JG4</f>
        <v/>
      </c>
      <c r="IR4" s="166">
        <f>'INPUT - Roster'!JH4</f>
        <v/>
      </c>
      <c r="IS4" s="166">
        <f>'INPUT - Roster'!JI4</f>
        <v/>
      </c>
      <c r="IT4" s="166">
        <f>'INPUT - Roster'!JJ4</f>
        <v/>
      </c>
      <c r="IU4" s="166">
        <f>'INPUT - Roster'!JK4</f>
        <v/>
      </c>
      <c r="IV4" s="166">
        <f>'INPUT - Roster'!JL4</f>
        <v/>
      </c>
      <c r="IW4" s="166">
        <f>'INPUT - Roster'!JM4</f>
        <v/>
      </c>
      <c r="IX4" s="166">
        <f>'INPUT - Roster'!JN4</f>
        <v/>
      </c>
      <c r="IY4" s="166">
        <f>'INPUT - Roster'!JO4</f>
        <v/>
      </c>
      <c r="IZ4" s="166">
        <f>'INPUT - Roster'!JP4</f>
        <v/>
      </c>
      <c r="JA4" s="166">
        <f>'INPUT - Roster'!JQ4</f>
        <v/>
      </c>
      <c r="JB4" s="166">
        <f>'INPUT - Roster'!JR4</f>
        <v/>
      </c>
      <c r="JC4" s="166">
        <f>'INPUT - Roster'!JS4</f>
        <v/>
      </c>
      <c r="JD4" s="166">
        <f>'INPUT - Roster'!JT4</f>
        <v/>
      </c>
      <c r="JE4" s="166">
        <f>'INPUT - Roster'!JU4</f>
        <v/>
      </c>
      <c r="JF4" s="166">
        <f>'INPUT - Roster'!JV4</f>
        <v/>
      </c>
      <c r="JG4" s="166">
        <f>'INPUT - Roster'!JW4</f>
        <v/>
      </c>
      <c r="JH4" s="166">
        <f>'INPUT - Roster'!JX4</f>
        <v/>
      </c>
      <c r="JI4" s="166">
        <f>'INPUT - Roster'!JY4</f>
        <v/>
      </c>
      <c r="JJ4" s="166">
        <f>'INPUT - Roster'!JZ4</f>
        <v/>
      </c>
      <c r="JK4" s="166">
        <f>'INPUT - Roster'!KA4</f>
        <v/>
      </c>
      <c r="JL4" s="166">
        <f>'INPUT - Roster'!KB4</f>
        <v/>
      </c>
      <c r="JM4" s="166">
        <f>'INPUT - Roster'!KC4</f>
        <v/>
      </c>
      <c r="JN4" s="166">
        <f>'INPUT - Roster'!KD4</f>
        <v/>
      </c>
      <c r="JO4" s="166">
        <f>'INPUT - Roster'!KE4</f>
        <v/>
      </c>
      <c r="JP4" s="166">
        <f>'INPUT - Roster'!KF4</f>
        <v/>
      </c>
      <c r="JQ4" s="166">
        <f>'INPUT - Roster'!KG4</f>
        <v/>
      </c>
      <c r="JR4" s="166">
        <f>'INPUT - Roster'!KH4</f>
        <v/>
      </c>
      <c r="JS4" s="166">
        <f>'INPUT - Roster'!KI4</f>
        <v/>
      </c>
      <c r="JT4" s="166">
        <f>'INPUT - Roster'!KJ4</f>
        <v/>
      </c>
      <c r="JU4" s="166">
        <f>'INPUT - Roster'!KK4</f>
        <v/>
      </c>
      <c r="JV4" s="166">
        <f>'INPUT - Roster'!KL4</f>
        <v/>
      </c>
      <c r="JW4" s="166">
        <f>'INPUT - Roster'!KM4</f>
        <v/>
      </c>
      <c r="JX4" s="166">
        <f>'INPUT - Roster'!KN4</f>
        <v/>
      </c>
      <c r="JY4" s="166">
        <f>'INPUT - Roster'!KO4</f>
        <v/>
      </c>
      <c r="JZ4" s="166">
        <f>'INPUT - Roster'!KP4</f>
        <v/>
      </c>
      <c r="KA4" s="166">
        <f>'INPUT - Roster'!KQ4</f>
        <v/>
      </c>
      <c r="KB4" s="166">
        <f>'INPUT - Roster'!KR4</f>
        <v/>
      </c>
      <c r="KC4" s="166">
        <f>'INPUT - Roster'!KS4</f>
        <v/>
      </c>
      <c r="KD4" s="166">
        <f>'INPUT - Roster'!KT4</f>
        <v/>
      </c>
      <c r="KE4" s="166">
        <f>'INPUT - Roster'!KU4</f>
        <v/>
      </c>
      <c r="KF4" s="166">
        <f>'INPUT - Roster'!KV4</f>
        <v/>
      </c>
      <c r="KG4" s="166">
        <f>'INPUT - Roster'!KW4</f>
        <v/>
      </c>
      <c r="KH4" s="166">
        <f>'INPUT - Roster'!KX4</f>
        <v/>
      </c>
      <c r="KI4" s="166">
        <f>'INPUT - Roster'!KY4</f>
        <v/>
      </c>
      <c r="KJ4" s="166">
        <f>'INPUT - Roster'!KZ4</f>
        <v/>
      </c>
      <c r="KK4" s="166">
        <f>'INPUT - Roster'!LA4</f>
        <v/>
      </c>
      <c r="KL4" s="166">
        <f>'INPUT - Roster'!LB4</f>
        <v/>
      </c>
      <c r="KM4" s="166">
        <f>'INPUT - Roster'!LC4</f>
        <v/>
      </c>
      <c r="KN4" s="166">
        <f>'INPUT - Roster'!LD4</f>
        <v/>
      </c>
      <c r="KO4" s="166">
        <f>'INPUT - Roster'!LE4</f>
        <v/>
      </c>
      <c r="KP4" s="166">
        <f>'INPUT - Roster'!LF4</f>
        <v/>
      </c>
      <c r="KQ4" s="166">
        <f>'INPUT - Roster'!LG4</f>
        <v/>
      </c>
      <c r="KR4" s="166">
        <f>'INPUT - Roster'!LH4</f>
        <v/>
      </c>
      <c r="KS4" s="166">
        <f>'INPUT - Roster'!LI4</f>
        <v/>
      </c>
      <c r="KT4" s="166">
        <f>'INPUT - Roster'!LJ4</f>
        <v/>
      </c>
      <c r="KU4" s="166">
        <f>'INPUT - Roster'!LK4</f>
        <v/>
      </c>
      <c r="KV4" s="166">
        <f>'INPUT - Roster'!LL4</f>
        <v/>
      </c>
      <c r="KW4" s="166">
        <f>'INPUT - Roster'!LM4</f>
        <v/>
      </c>
      <c r="KX4" s="166">
        <f>'INPUT - Roster'!LN4</f>
        <v/>
      </c>
      <c r="KY4" s="166">
        <f>'INPUT - Roster'!LO4</f>
        <v/>
      </c>
      <c r="KZ4" s="166">
        <f>'INPUT - Roster'!LP4</f>
        <v/>
      </c>
      <c r="LA4" s="166">
        <f>'INPUT - Roster'!LQ4</f>
        <v/>
      </c>
      <c r="LB4" s="166">
        <f>'INPUT - Roster'!LR4</f>
        <v/>
      </c>
      <c r="LC4" s="166">
        <f>'INPUT - Roster'!LS4</f>
        <v/>
      </c>
      <c r="LD4" s="166">
        <f>'INPUT - Roster'!LT4</f>
        <v/>
      </c>
      <c r="LE4" s="166">
        <f>'INPUT - Roster'!LU4</f>
        <v/>
      </c>
      <c r="LF4" s="166">
        <f>'INPUT - Roster'!LV4</f>
        <v/>
      </c>
      <c r="LG4" s="166">
        <f>'INPUT - Roster'!LW4</f>
        <v/>
      </c>
      <c r="LH4" s="166">
        <f>'INPUT - Roster'!LX4</f>
        <v/>
      </c>
      <c r="LI4" s="166">
        <f>'INPUT - Roster'!LY4</f>
        <v/>
      </c>
      <c r="LJ4" s="166">
        <f>'INPUT - Roster'!LZ4</f>
        <v/>
      </c>
      <c r="LK4" s="166">
        <f>'INPUT - Roster'!MA4</f>
        <v/>
      </c>
      <c r="LL4" s="166">
        <f>'INPUT - Roster'!MB4</f>
        <v/>
      </c>
      <c r="LM4" s="166">
        <f>'INPUT - Roster'!MC4</f>
        <v/>
      </c>
      <c r="LN4" s="166">
        <f>'INPUT - Roster'!MD4</f>
        <v/>
      </c>
      <c r="LO4" s="166">
        <f>'INPUT - Roster'!ME4</f>
        <v/>
      </c>
      <c r="LP4" s="166">
        <f>'INPUT - Roster'!MF4</f>
        <v/>
      </c>
      <c r="LQ4" s="166">
        <f>'INPUT - Roster'!MG4</f>
        <v/>
      </c>
      <c r="LR4" s="166">
        <f>'INPUT - Roster'!MH4</f>
        <v/>
      </c>
      <c r="LS4" s="166">
        <f>'INPUT - Roster'!MI4</f>
        <v/>
      </c>
      <c r="LT4" s="166">
        <f>'INPUT - Roster'!MJ4</f>
        <v/>
      </c>
      <c r="LU4" s="166">
        <f>'INPUT - Roster'!MK4</f>
        <v/>
      </c>
      <c r="LV4" s="166">
        <f>'INPUT - Roster'!ML4</f>
        <v/>
      </c>
      <c r="LW4" s="166">
        <f>'INPUT - Roster'!MM4</f>
        <v/>
      </c>
      <c r="LX4" s="166">
        <f>'INPUT - Roster'!MN4</f>
        <v/>
      </c>
      <c r="LY4" s="166">
        <f>'INPUT - Roster'!MO4</f>
        <v/>
      </c>
      <c r="LZ4" s="166">
        <f>'INPUT - Roster'!MP4</f>
        <v/>
      </c>
      <c r="MA4" s="166">
        <f>'INPUT - Roster'!MQ4</f>
        <v/>
      </c>
      <c r="MB4" s="166">
        <f>'INPUT - Roster'!MR4</f>
        <v/>
      </c>
      <c r="MC4" s="166">
        <f>'INPUT - Roster'!MS4</f>
        <v/>
      </c>
      <c r="MD4" s="166">
        <f>'INPUT - Roster'!MT4</f>
        <v/>
      </c>
      <c r="ME4" s="166">
        <f>'INPUT - Roster'!MU4</f>
        <v/>
      </c>
      <c r="MF4" s="166">
        <f>'INPUT - Roster'!MV4</f>
        <v/>
      </c>
      <c r="MG4" s="166">
        <f>'INPUT - Roster'!MW4</f>
        <v/>
      </c>
      <c r="MH4" s="166">
        <f>'INPUT - Roster'!MX4</f>
        <v/>
      </c>
      <c r="MI4" s="166">
        <f>'INPUT - Roster'!MY4</f>
        <v/>
      </c>
      <c r="MJ4" s="166">
        <f>'INPUT - Roster'!MZ4</f>
        <v/>
      </c>
      <c r="MK4" s="166">
        <f>'INPUT - Roster'!NA4</f>
        <v/>
      </c>
      <c r="ML4" s="166">
        <f>'INPUT - Roster'!NB4</f>
        <v/>
      </c>
      <c r="MM4" s="166">
        <f>'INPUT - Roster'!NC4</f>
        <v/>
      </c>
      <c r="MN4" s="166">
        <f>'INPUT - Roster'!ND4</f>
        <v/>
      </c>
      <c r="MO4" s="166">
        <f>'INPUT - Roster'!NE4</f>
        <v/>
      </c>
      <c r="MP4" s="166">
        <f>'INPUT - Roster'!NF4</f>
        <v/>
      </c>
      <c r="MQ4" s="166">
        <f>'INPUT - Roster'!NG4</f>
        <v/>
      </c>
      <c r="MR4" s="166">
        <f>'INPUT - Roster'!NH4</f>
        <v/>
      </c>
      <c r="MS4" s="166">
        <f>'INPUT - Roster'!NI4</f>
        <v/>
      </c>
      <c r="MT4" s="166">
        <f>'INPUT - Roster'!NJ4</f>
        <v/>
      </c>
      <c r="MU4" s="166">
        <f>'INPUT - Roster'!NK4</f>
        <v/>
      </c>
      <c r="MV4" s="166">
        <f>'INPUT - Roster'!NL4</f>
        <v/>
      </c>
      <c r="MW4" s="166">
        <f>'INPUT - Roster'!NM4</f>
        <v/>
      </c>
      <c r="MX4" s="166">
        <f>'INPUT - Roster'!NN4</f>
        <v/>
      </c>
      <c r="MY4" s="166">
        <f>'INPUT - Roster'!NO4</f>
        <v/>
      </c>
      <c r="MZ4" s="166">
        <f>'INPUT - Roster'!NP4</f>
        <v/>
      </c>
      <c r="NA4" s="166">
        <f>'INPUT - Roster'!NQ4</f>
        <v/>
      </c>
      <c r="NB4" s="166">
        <f>'INPUT - Roster'!NR4</f>
        <v/>
      </c>
      <c r="NC4" s="166">
        <f>'INPUT - Roster'!NS4</f>
        <v/>
      </c>
      <c r="ND4" s="166">
        <f>'INPUT - Roster'!NT4</f>
        <v/>
      </c>
      <c r="NE4" s="166">
        <f>'INPUT - Roster'!NU4</f>
        <v/>
      </c>
      <c r="NF4" s="166">
        <f>'INPUT - Roster'!NV4</f>
        <v/>
      </c>
      <c r="NG4" s="166">
        <f>'INPUT - Roster'!NW4</f>
        <v/>
      </c>
      <c r="NH4" s="166">
        <f>'INPUT - Roster'!NX4</f>
        <v/>
      </c>
      <c r="NI4" s="166">
        <f>'INPUT - Roster'!NY4</f>
        <v/>
      </c>
      <c r="NJ4" s="166">
        <f>'INPUT - Roster'!NZ4</f>
        <v/>
      </c>
      <c r="NK4" s="166">
        <f>'INPUT - Roster'!OA4</f>
        <v/>
      </c>
      <c r="NL4" s="166">
        <f>'INPUT - Roster'!OB4</f>
        <v/>
      </c>
      <c r="NM4" s="166">
        <f>'INPUT - Roster'!OC4</f>
        <v/>
      </c>
      <c r="NN4" s="166">
        <f>'INPUT - Roster'!OD4</f>
        <v/>
      </c>
      <c r="NO4" s="166">
        <f>'INPUT - Roster'!OE4</f>
        <v/>
      </c>
      <c r="NP4" s="166">
        <f>'INPUT - Roster'!OF4</f>
        <v/>
      </c>
      <c r="NQ4" s="166">
        <f>'INPUT - Roster'!OG4</f>
        <v/>
      </c>
      <c r="NR4" s="166">
        <f>'INPUT - Roster'!OH4</f>
        <v/>
      </c>
      <c r="NS4" s="166">
        <f>'INPUT - Roster'!OI4</f>
        <v/>
      </c>
      <c r="NT4" s="166">
        <f>'INPUT - Roster'!OJ4</f>
        <v/>
      </c>
      <c r="NU4" s="166">
        <f>'INPUT - Roster'!OK4</f>
        <v/>
      </c>
      <c r="NV4" s="166">
        <f>'INPUT - Roster'!OL4</f>
        <v/>
      </c>
      <c r="NW4" s="166">
        <f>'INPUT - Roster'!OM4</f>
        <v/>
      </c>
      <c r="NX4" s="166">
        <f>'INPUT - Roster'!ON4</f>
        <v/>
      </c>
      <c r="NY4" s="166">
        <f>'INPUT - Roster'!OO4</f>
        <v/>
      </c>
      <c r="NZ4" s="166">
        <f>'INPUT - Roster'!OP4</f>
        <v/>
      </c>
      <c r="OA4" s="166">
        <f>'INPUT - Roster'!OQ4</f>
        <v/>
      </c>
      <c r="OB4" s="166">
        <f>'INPUT - Roster'!OR4</f>
        <v/>
      </c>
      <c r="OC4" s="166">
        <f>'INPUT - Roster'!OS4</f>
        <v/>
      </c>
      <c r="OD4" s="166">
        <f>'INPUT - Roster'!OT4</f>
        <v/>
      </c>
      <c r="OE4" s="166">
        <f>'INPUT - Roster'!OU4</f>
        <v/>
      </c>
      <c r="OF4" s="166">
        <f>'INPUT - Roster'!OV4</f>
        <v/>
      </c>
      <c r="OG4" s="166">
        <f>'INPUT - Roster'!OW4</f>
        <v/>
      </c>
      <c r="OH4" s="166">
        <f>'INPUT - Roster'!OX4</f>
        <v/>
      </c>
      <c r="OI4" s="166">
        <f>'INPUT - Roster'!OY4</f>
        <v/>
      </c>
      <c r="OJ4" s="166">
        <f>'INPUT - Roster'!OZ4</f>
        <v/>
      </c>
      <c r="OK4" s="166">
        <f>'INPUT - Roster'!PA4</f>
        <v/>
      </c>
      <c r="OL4" s="166">
        <f>'INPUT - Roster'!PB4</f>
        <v/>
      </c>
      <c r="OM4" s="166">
        <f>'INPUT - Roster'!PC4</f>
        <v/>
      </c>
      <c r="ON4" s="166">
        <f>'INPUT - Roster'!PD4</f>
        <v/>
      </c>
      <c r="OO4" s="166">
        <f>'INPUT - Roster'!PE4</f>
        <v/>
      </c>
      <c r="OP4" s="166">
        <f>'INPUT - Roster'!PF4</f>
        <v/>
      </c>
      <c r="OQ4" s="166">
        <f>'INPUT - Roster'!PG4</f>
        <v/>
      </c>
      <c r="OR4" s="166">
        <f>'INPUT - Roster'!PH4</f>
        <v/>
      </c>
      <c r="OS4" s="166">
        <f>'INPUT - Roster'!PI4</f>
        <v/>
      </c>
      <c r="OT4" s="166">
        <f>'INPUT - Roster'!PJ4</f>
        <v/>
      </c>
      <c r="OU4" s="166">
        <f>'INPUT - Roster'!PK4</f>
        <v/>
      </c>
      <c r="OV4" s="166">
        <f>'INPUT - Roster'!PL4</f>
        <v/>
      </c>
      <c r="OW4" s="166">
        <f>'INPUT - Roster'!PM4</f>
        <v/>
      </c>
      <c r="OX4" s="166">
        <f>'INPUT - Roster'!PN4</f>
        <v/>
      </c>
      <c r="OY4" s="166">
        <f>'INPUT - Roster'!PO4</f>
        <v/>
      </c>
      <c r="OZ4" s="166">
        <f>'INPUT - Roster'!PP4</f>
        <v/>
      </c>
      <c r="PA4" s="166">
        <f>'INPUT - Roster'!PQ4</f>
        <v/>
      </c>
      <c r="PB4" s="166">
        <f>'INPUT - Roster'!PR4</f>
        <v/>
      </c>
      <c r="PC4" s="166">
        <f>'INPUT - Roster'!PS4</f>
        <v/>
      </c>
      <c r="PD4" s="166">
        <f>'INPUT - Roster'!PT4</f>
        <v/>
      </c>
      <c r="PE4" s="166">
        <f>'INPUT - Roster'!PU4</f>
        <v/>
      </c>
      <c r="PF4" s="166">
        <f>'INPUT - Roster'!PV4</f>
        <v/>
      </c>
      <c r="PG4" s="166">
        <f>'INPUT - Roster'!PW4</f>
        <v/>
      </c>
      <c r="PH4" s="166">
        <f>'INPUT - Roster'!PX4</f>
        <v/>
      </c>
      <c r="PI4" s="166">
        <f>'INPUT - Roster'!PY4</f>
        <v/>
      </c>
      <c r="PJ4" s="166">
        <f>'INPUT - Roster'!PZ4</f>
        <v/>
      </c>
      <c r="PK4" s="166">
        <f>'INPUT - Roster'!QA4</f>
        <v/>
      </c>
      <c r="PL4" s="166">
        <f>'INPUT - Roster'!QB4</f>
        <v/>
      </c>
      <c r="PM4" s="166">
        <f>'INPUT - Roster'!QC4</f>
        <v/>
      </c>
      <c r="PN4" s="166">
        <f>'INPUT - Roster'!QD4</f>
        <v/>
      </c>
      <c r="PO4" s="166">
        <f>'INPUT - Roster'!QE4</f>
        <v/>
      </c>
      <c r="PP4" s="166">
        <f>'INPUT - Roster'!QF4</f>
        <v/>
      </c>
      <c r="PQ4" s="166">
        <f>'INPUT - Roster'!QG4</f>
        <v/>
      </c>
      <c r="PR4" s="166">
        <f>'INPUT - Roster'!QH4</f>
        <v/>
      </c>
      <c r="PS4" s="166">
        <f>'INPUT - Roster'!QI4</f>
        <v/>
      </c>
      <c r="PT4" s="166">
        <f>'INPUT - Roster'!QJ4</f>
        <v/>
      </c>
      <c r="PU4" s="166">
        <f>'INPUT - Roster'!QK4</f>
        <v/>
      </c>
      <c r="PV4" s="166">
        <f>'INPUT - Roster'!QL4</f>
        <v/>
      </c>
      <c r="PW4" s="166">
        <f>'INPUT - Roster'!QM4</f>
        <v/>
      </c>
      <c r="PX4" s="166">
        <f>'INPUT - Roster'!QN4</f>
        <v/>
      </c>
      <c r="PY4" s="166">
        <f>'INPUT - Roster'!QO4</f>
        <v/>
      </c>
      <c r="PZ4" s="166">
        <f>'INPUT - Roster'!QP4</f>
        <v/>
      </c>
      <c r="QA4" s="166">
        <f>'INPUT - Roster'!QQ4</f>
        <v/>
      </c>
      <c r="QB4" s="166">
        <f>'INPUT - Roster'!QR4</f>
        <v/>
      </c>
      <c r="QC4" s="166">
        <f>'INPUT - Roster'!QS4</f>
        <v/>
      </c>
      <c r="QD4" s="166">
        <f>'INPUT - Roster'!QT4</f>
        <v/>
      </c>
      <c r="QE4" s="166">
        <f>'INPUT - Roster'!QU4</f>
        <v/>
      </c>
      <c r="QF4" s="166">
        <f>'INPUT - Roster'!QV4</f>
        <v/>
      </c>
      <c r="QG4" s="166">
        <f>'INPUT - Roster'!QW4</f>
        <v/>
      </c>
      <c r="QH4" s="166">
        <f>'INPUT - Roster'!QX4</f>
        <v/>
      </c>
      <c r="QI4" s="166">
        <f>'INPUT - Roster'!QY4</f>
        <v/>
      </c>
      <c r="QJ4" s="166">
        <f>'INPUT - Roster'!QZ4</f>
        <v/>
      </c>
      <c r="QK4" s="166">
        <f>'INPUT - Roster'!RA4</f>
        <v/>
      </c>
      <c r="QL4" s="166">
        <f>'INPUT - Roster'!RB4</f>
        <v/>
      </c>
      <c r="QM4" s="166">
        <f>'INPUT - Roster'!RC4</f>
        <v/>
      </c>
      <c r="QN4" s="166">
        <f>'INPUT - Roster'!RD4</f>
        <v/>
      </c>
      <c r="QO4" s="166">
        <f>'INPUT - Roster'!RE4</f>
        <v/>
      </c>
      <c r="QP4" s="166">
        <f>'INPUT - Roster'!RF4</f>
        <v/>
      </c>
      <c r="QQ4" s="166">
        <f>'INPUT - Roster'!RG4</f>
        <v/>
      </c>
      <c r="QR4" s="166">
        <f>'INPUT - Roster'!RH4</f>
        <v/>
      </c>
      <c r="QS4" s="166">
        <f>'INPUT - Roster'!RI4</f>
        <v/>
      </c>
      <c r="QT4" s="166">
        <f>'INPUT - Roster'!RJ4</f>
        <v/>
      </c>
      <c r="QU4" s="166">
        <f>'INPUT - Roster'!RK4</f>
        <v/>
      </c>
      <c r="QV4" s="166">
        <f>'INPUT - Roster'!RL4</f>
        <v/>
      </c>
      <c r="QW4" s="166">
        <f>'INPUT - Roster'!RM4</f>
        <v/>
      </c>
      <c r="QX4" s="166">
        <f>'INPUT - Roster'!RN4</f>
        <v/>
      </c>
      <c r="QY4" s="166">
        <f>'INPUT - Roster'!RO4</f>
        <v/>
      </c>
      <c r="QZ4" s="166">
        <f>'INPUT - Roster'!RP4</f>
        <v/>
      </c>
      <c r="RA4" s="166">
        <f>'INPUT - Roster'!RQ4</f>
        <v/>
      </c>
      <c r="RB4" s="166">
        <f>'INPUT - Roster'!RR4</f>
        <v/>
      </c>
      <c r="RC4" s="166">
        <f>'INPUT - Roster'!RS4</f>
        <v/>
      </c>
      <c r="RD4" s="166">
        <f>'INPUT - Roster'!RT4</f>
        <v/>
      </c>
      <c r="RE4" s="166">
        <f>'INPUT - Roster'!RU4</f>
        <v/>
      </c>
      <c r="RF4" s="166">
        <f>'INPUT - Roster'!RV4</f>
        <v/>
      </c>
      <c r="RG4" s="166">
        <f>'INPUT - Roster'!RW4</f>
        <v/>
      </c>
      <c r="RH4" s="166">
        <f>'INPUT - Roster'!RX4</f>
        <v/>
      </c>
      <c r="RI4" s="166">
        <f>'INPUT - Roster'!RY4</f>
        <v/>
      </c>
      <c r="RJ4" s="166">
        <f>'INPUT - Roster'!RZ4</f>
        <v/>
      </c>
      <c r="RK4" s="166">
        <f>'INPUT - Roster'!SA4</f>
        <v/>
      </c>
      <c r="RL4" s="166">
        <f>'INPUT - Roster'!SB4</f>
        <v/>
      </c>
      <c r="RM4" s="166">
        <f>'INPUT - Roster'!SC4</f>
        <v/>
      </c>
      <c r="RN4" s="166">
        <f>'INPUT - Roster'!SD4</f>
        <v/>
      </c>
      <c r="RO4" s="166">
        <f>'INPUT - Roster'!SE4</f>
        <v/>
      </c>
      <c r="RP4" s="166">
        <f>'INPUT - Roster'!SF4</f>
        <v/>
      </c>
      <c r="RQ4" s="166">
        <f>'INPUT - Roster'!SG4</f>
        <v/>
      </c>
      <c r="RR4" s="166">
        <f>'INPUT - Roster'!SH4</f>
        <v/>
      </c>
      <c r="RS4" s="166">
        <f>'INPUT - Roster'!SI4</f>
        <v/>
      </c>
      <c r="RT4" s="166">
        <f>'INPUT - Roster'!SJ4</f>
        <v/>
      </c>
      <c r="RU4" s="166">
        <f>'INPUT - Roster'!SK4</f>
        <v/>
      </c>
      <c r="RV4" s="166">
        <f>'INPUT - Roster'!SL4</f>
        <v/>
      </c>
      <c r="RW4" s="166">
        <f>'INPUT - Roster'!SM4</f>
        <v/>
      </c>
      <c r="RX4" s="166">
        <f>'INPUT - Roster'!SN4</f>
        <v/>
      </c>
      <c r="RY4" s="166">
        <f>'INPUT - Roster'!SO4</f>
        <v/>
      </c>
      <c r="RZ4" s="166">
        <f>'INPUT - Roster'!SP4</f>
        <v/>
      </c>
      <c r="SA4" s="166">
        <f>'INPUT - Roster'!SQ4</f>
        <v/>
      </c>
      <c r="SB4" s="166">
        <f>'INPUT - Roster'!SR4</f>
        <v/>
      </c>
      <c r="SC4" s="166">
        <f>'INPUT - Roster'!SS4</f>
        <v/>
      </c>
      <c r="SD4" s="166">
        <f>'INPUT - Roster'!ST4</f>
        <v/>
      </c>
      <c r="SE4" s="166">
        <f>'INPUT - Roster'!SU4</f>
        <v/>
      </c>
      <c r="SF4" s="166">
        <f>'INPUT - Roster'!SV4</f>
        <v/>
      </c>
    </row>
    <row r="5">
      <c r="B5" s="167" t="inlineStr">
        <is>
          <t>BEDS BY CAMP</t>
        </is>
      </c>
      <c r="C5" s="168" t="n"/>
      <c r="D5" s="168" t="n"/>
      <c r="E5" s="168" t="n"/>
      <c r="F5" s="168" t="n"/>
      <c r="G5" s="168" t="n"/>
      <c r="H5" s="168" t="n"/>
      <c r="I5" s="168" t="n"/>
      <c r="J5" s="168" t="n"/>
      <c r="K5" s="168" t="n"/>
      <c r="L5" s="168" t="n"/>
      <c r="M5" s="168" t="n"/>
      <c r="N5" s="168" t="n"/>
      <c r="O5" s="168" t="n"/>
      <c r="P5" s="168" t="n"/>
      <c r="Q5" s="168" t="n"/>
      <c r="R5" s="168" t="n"/>
      <c r="S5" s="168" t="n"/>
      <c r="T5" s="168" t="n"/>
      <c r="U5" s="168" t="n"/>
      <c r="V5" s="168" t="n"/>
      <c r="W5" s="168" t="n"/>
      <c r="X5" s="168" t="n"/>
      <c r="Y5" s="168" t="n"/>
      <c r="Z5" s="168" t="n"/>
      <c r="AA5" s="168" t="n"/>
      <c r="AB5" s="168" t="n"/>
      <c r="AC5" s="168" t="n"/>
      <c r="AD5" s="168" t="n"/>
      <c r="AE5" s="168" t="n"/>
      <c r="AF5" s="168" t="n"/>
      <c r="AG5" s="168" t="n"/>
      <c r="AH5" s="168" t="n"/>
      <c r="AI5" s="168" t="n"/>
      <c r="AJ5" s="168" t="n"/>
      <c r="AK5" s="168" t="n"/>
      <c r="AL5" s="168" t="n"/>
      <c r="AM5" s="168" t="n"/>
      <c r="AN5" s="168" t="n"/>
      <c r="AO5" s="168" t="n"/>
      <c r="AP5" s="168" t="n"/>
      <c r="AQ5" s="168" t="n"/>
      <c r="AR5" s="168" t="n"/>
      <c r="AS5" s="168" t="n"/>
      <c r="AT5" s="168" t="n"/>
      <c r="AU5" s="168" t="n"/>
      <c r="AV5" s="168" t="n"/>
      <c r="AW5" s="168" t="n"/>
      <c r="AX5" s="168" t="n"/>
      <c r="AY5" s="168" t="n"/>
      <c r="AZ5" s="168" t="n"/>
      <c r="BA5" s="168" t="n"/>
      <c r="BB5" s="168" t="n"/>
      <c r="BC5" s="168" t="n"/>
      <c r="BD5" s="168" t="n"/>
      <c r="BE5" s="168" t="n"/>
      <c r="BF5" s="168" t="n"/>
      <c r="BG5" s="168" t="n"/>
      <c r="BH5" s="168" t="n"/>
      <c r="BI5" s="168" t="n"/>
      <c r="BJ5" s="168" t="n"/>
      <c r="BK5" s="168" t="n"/>
      <c r="BL5" s="168" t="n"/>
      <c r="BM5" s="168" t="n"/>
      <c r="BN5" s="168" t="n"/>
      <c r="BO5" s="168" t="n"/>
      <c r="BP5" s="168" t="n"/>
      <c r="BQ5" s="168" t="n"/>
      <c r="BR5" s="168" t="n"/>
      <c r="BS5" s="168" t="n"/>
      <c r="BT5" s="168" t="n"/>
      <c r="BU5" s="168" t="n"/>
      <c r="BV5" s="168" t="n"/>
      <c r="BW5" s="168" t="n"/>
      <c r="BX5" s="168" t="n"/>
      <c r="BY5" s="168" t="n"/>
      <c r="BZ5" s="168" t="n"/>
      <c r="CA5" s="168" t="n"/>
      <c r="CB5" s="168" t="n"/>
      <c r="CC5" s="168" t="n"/>
      <c r="CD5" s="168" t="n"/>
      <c r="CE5" s="168" t="n"/>
      <c r="CF5" s="168" t="n"/>
      <c r="CG5" s="168" t="n"/>
      <c r="CH5" s="168" t="n"/>
      <c r="CI5" s="168" t="n"/>
      <c r="CJ5" s="168" t="n"/>
      <c r="CK5" s="168" t="n"/>
      <c r="CL5" s="168" t="n"/>
      <c r="CM5" s="168" t="n"/>
      <c r="CN5" s="168" t="n"/>
      <c r="CO5" s="168" t="n"/>
      <c r="CP5" s="168" t="n"/>
      <c r="CQ5" s="168" t="n"/>
      <c r="CR5" s="168" t="n"/>
      <c r="CS5" s="168" t="n"/>
      <c r="CT5" s="168" t="n"/>
      <c r="CU5" s="168" t="n"/>
      <c r="CV5" s="168" t="n"/>
      <c r="CW5" s="168" t="n"/>
      <c r="CX5" s="168" t="n"/>
      <c r="CY5" s="168" t="n"/>
      <c r="CZ5" s="168" t="n"/>
      <c r="DA5" s="168" t="n"/>
      <c r="DB5" s="168" t="n"/>
      <c r="DC5" s="168" t="n"/>
      <c r="DD5" s="168" t="n"/>
      <c r="DE5" s="168" t="n"/>
      <c r="DF5" s="168" t="n"/>
      <c r="DG5" s="168" t="n"/>
      <c r="DH5" s="168" t="n"/>
      <c r="DI5" s="168" t="n"/>
      <c r="DJ5" s="168" t="n"/>
      <c r="DK5" s="168" t="n"/>
      <c r="DL5" s="168" t="n"/>
      <c r="DM5" s="168" t="n"/>
      <c r="DN5" s="168" t="n"/>
      <c r="DO5" s="168" t="n"/>
      <c r="DP5" s="168" t="n"/>
      <c r="DQ5" s="168" t="n"/>
      <c r="DR5" s="168" t="n"/>
      <c r="DS5" s="168" t="n"/>
      <c r="DT5" s="168" t="n"/>
      <c r="DU5" s="168" t="n"/>
      <c r="DV5" s="168" t="n"/>
      <c r="DW5" s="168" t="n"/>
      <c r="DX5" s="168" t="n"/>
      <c r="DY5" s="168" t="n"/>
      <c r="DZ5" s="168" t="n"/>
      <c r="EA5" s="168" t="n"/>
      <c r="EB5" s="168" t="n"/>
      <c r="EC5" s="168" t="n"/>
      <c r="ED5" s="168" t="n"/>
      <c r="EE5" s="168" t="n"/>
      <c r="EF5" s="168" t="n"/>
      <c r="EG5" s="168" t="n"/>
      <c r="EH5" s="168" t="n"/>
      <c r="EI5" s="168" t="n"/>
      <c r="EJ5" s="168" t="n"/>
      <c r="EK5" s="168" t="n"/>
      <c r="EL5" s="168" t="n"/>
      <c r="EM5" s="168" t="n"/>
      <c r="EN5" s="168" t="n"/>
      <c r="EO5" s="168" t="n"/>
      <c r="EP5" s="168" t="n"/>
      <c r="EQ5" s="168" t="n"/>
      <c r="ER5" s="168" t="n"/>
      <c r="ES5" s="168" t="n"/>
      <c r="ET5" s="168" t="n"/>
      <c r="EU5" s="168" t="n"/>
      <c r="EV5" s="168" t="n"/>
      <c r="EW5" s="168" t="n"/>
      <c r="EX5" s="168" t="n"/>
      <c r="EY5" s="168" t="n"/>
      <c r="EZ5" s="168" t="n"/>
      <c r="FA5" s="168" t="n"/>
      <c r="FB5" s="168" t="n"/>
      <c r="FC5" s="168" t="n"/>
      <c r="FD5" s="168" t="n"/>
      <c r="FE5" s="168" t="n"/>
      <c r="FF5" s="168" t="n"/>
      <c r="FG5" s="168" t="n"/>
      <c r="FH5" s="168" t="n"/>
      <c r="FI5" s="168" t="n"/>
      <c r="FJ5" s="168" t="n"/>
      <c r="FK5" s="168" t="n"/>
      <c r="FL5" s="168" t="n"/>
      <c r="FM5" s="168" t="n"/>
      <c r="FN5" s="168" t="n"/>
      <c r="FO5" s="168" t="n"/>
      <c r="FP5" s="168" t="n"/>
      <c r="FQ5" s="168" t="n"/>
      <c r="FR5" s="168" t="n"/>
      <c r="FS5" s="168" t="n"/>
      <c r="FT5" s="168" t="n"/>
      <c r="FU5" s="168" t="n"/>
      <c r="FV5" s="168" t="n"/>
      <c r="FW5" s="168" t="n"/>
      <c r="FX5" s="168" t="n"/>
      <c r="FY5" s="168" t="n"/>
      <c r="FZ5" s="168" t="n"/>
      <c r="GA5" s="168" t="n"/>
      <c r="GB5" s="168" t="n"/>
      <c r="GC5" s="168" t="n"/>
      <c r="GD5" s="168" t="n"/>
      <c r="GE5" s="168" t="n"/>
      <c r="GF5" s="168" t="n"/>
      <c r="GG5" s="168" t="n"/>
      <c r="GH5" s="168" t="n"/>
      <c r="GI5" s="168" t="n"/>
      <c r="GJ5" s="168" t="n"/>
      <c r="GK5" s="168" t="n"/>
      <c r="GL5" s="168" t="n"/>
      <c r="GM5" s="168" t="n"/>
      <c r="GN5" s="168" t="n"/>
      <c r="GO5" s="168" t="n"/>
      <c r="GP5" s="168" t="n"/>
      <c r="GQ5" s="168" t="n"/>
      <c r="GR5" s="168" t="n"/>
      <c r="GS5" s="168" t="n"/>
      <c r="GT5" s="168" t="n"/>
      <c r="GU5" s="168" t="n"/>
      <c r="GV5" s="168" t="n"/>
      <c r="GW5" s="168" t="n"/>
      <c r="GX5" s="168" t="n"/>
      <c r="GY5" s="168" t="n"/>
      <c r="GZ5" s="168" t="n"/>
      <c r="HA5" s="168" t="n"/>
      <c r="HB5" s="168" t="n"/>
      <c r="HC5" s="168" t="n"/>
      <c r="HD5" s="168" t="n"/>
      <c r="HE5" s="168" t="n"/>
      <c r="HF5" s="168" t="n"/>
      <c r="HG5" s="168" t="n"/>
      <c r="HH5" s="168" t="n"/>
      <c r="HI5" s="168" t="n"/>
      <c r="HJ5" s="168" t="n"/>
      <c r="HK5" s="168" t="n"/>
      <c r="HL5" s="168" t="n"/>
      <c r="HM5" s="168" t="n"/>
      <c r="HN5" s="168" t="n"/>
      <c r="HO5" s="168" t="n"/>
      <c r="HP5" s="168" t="n"/>
      <c r="HQ5" s="168" t="n"/>
      <c r="HR5" s="168" t="n"/>
      <c r="HS5" s="168" t="n"/>
      <c r="HT5" s="168" t="n"/>
      <c r="HU5" s="168" t="n"/>
      <c r="HV5" s="168" t="n"/>
      <c r="HW5" s="168" t="n"/>
      <c r="HX5" s="168" t="n"/>
      <c r="HY5" s="168" t="n"/>
      <c r="HZ5" s="168" t="n"/>
      <c r="IA5" s="168" t="n"/>
      <c r="IB5" s="168" t="n"/>
      <c r="IC5" s="168" t="n"/>
      <c r="ID5" s="168" t="n"/>
      <c r="IE5" s="168" t="n"/>
      <c r="IF5" s="168" t="n"/>
      <c r="IG5" s="168" t="n"/>
      <c r="IH5" s="168" t="n"/>
      <c r="II5" s="168" t="n"/>
      <c r="IJ5" s="168" t="n"/>
      <c r="IK5" s="168" t="n"/>
      <c r="IL5" s="168" t="n"/>
      <c r="IM5" s="168" t="n"/>
      <c r="IN5" s="168" t="n"/>
      <c r="IO5" s="168" t="n"/>
      <c r="IP5" s="168" t="n"/>
      <c r="IQ5" s="168" t="n"/>
      <c r="IR5" s="168" t="n"/>
      <c r="IS5" s="168" t="n"/>
      <c r="IT5" s="168" t="n"/>
      <c r="IU5" s="168" t="n"/>
      <c r="IV5" s="168" t="n"/>
      <c r="IW5" s="168" t="n"/>
      <c r="IX5" s="168" t="n"/>
      <c r="IY5" s="168" t="n"/>
      <c r="IZ5" s="168" t="n"/>
      <c r="JA5" s="168" t="n"/>
      <c r="JB5" s="168" t="n"/>
      <c r="JC5" s="168" t="n"/>
      <c r="JD5" s="168" t="n"/>
      <c r="JE5" s="168" t="n"/>
      <c r="JF5" s="168" t="n"/>
      <c r="JG5" s="168" t="n"/>
      <c r="JH5" s="168" t="n"/>
      <c r="JI5" s="168" t="n"/>
      <c r="JJ5" s="168" t="n"/>
      <c r="JK5" s="168" t="n"/>
      <c r="JL5" s="168" t="n"/>
      <c r="JM5" s="168" t="n"/>
      <c r="JN5" s="168" t="n"/>
      <c r="JO5" s="168" t="n"/>
      <c r="JP5" s="168" t="n"/>
      <c r="JQ5" s="168" t="n"/>
      <c r="JR5" s="168" t="n"/>
      <c r="JS5" s="168" t="n"/>
      <c r="JT5" s="168" t="n"/>
      <c r="JU5" s="168" t="n"/>
      <c r="JV5" s="168" t="n"/>
      <c r="JW5" s="168" t="n"/>
      <c r="JX5" s="168" t="n"/>
      <c r="JY5" s="168" t="n"/>
      <c r="JZ5" s="168" t="n"/>
      <c r="KA5" s="168" t="n"/>
      <c r="KB5" s="168" t="n"/>
      <c r="KC5" s="168" t="n"/>
      <c r="KD5" s="168" t="n"/>
      <c r="KE5" s="168" t="n"/>
      <c r="KF5" s="168" t="n"/>
      <c r="KG5" s="168" t="n"/>
      <c r="KH5" s="168" t="n"/>
      <c r="KI5" s="168" t="n"/>
      <c r="KJ5" s="168" t="n"/>
      <c r="KK5" s="168" t="n"/>
      <c r="KL5" s="168" t="n"/>
      <c r="KM5" s="168" t="n"/>
      <c r="KN5" s="168" t="n"/>
      <c r="KO5" s="168" t="n"/>
      <c r="KP5" s="168" t="n"/>
      <c r="KQ5" s="168" t="n"/>
      <c r="KR5" s="168" t="n"/>
      <c r="KS5" s="168" t="n"/>
      <c r="KT5" s="168" t="n"/>
      <c r="KU5" s="168" t="n"/>
      <c r="KV5" s="168" t="n"/>
      <c r="KW5" s="168" t="n"/>
      <c r="KX5" s="168" t="n"/>
      <c r="KY5" s="168" t="n"/>
      <c r="KZ5" s="168" t="n"/>
      <c r="LA5" s="168" t="n"/>
      <c r="LB5" s="168" t="n"/>
      <c r="LC5" s="168" t="n"/>
      <c r="LD5" s="168" t="n"/>
      <c r="LE5" s="168" t="n"/>
      <c r="LF5" s="168" t="n"/>
      <c r="LG5" s="168" t="n"/>
      <c r="LH5" s="168" t="n"/>
      <c r="LI5" s="168" t="n"/>
      <c r="LJ5" s="168" t="n"/>
      <c r="LK5" s="168" t="n"/>
      <c r="LL5" s="168" t="n"/>
      <c r="LM5" s="168" t="n"/>
      <c r="LN5" s="168" t="n"/>
      <c r="LO5" s="168" t="n"/>
      <c r="LP5" s="168" t="n"/>
      <c r="LQ5" s="168" t="n"/>
      <c r="LR5" s="168" t="n"/>
      <c r="LS5" s="168" t="n"/>
      <c r="LT5" s="168" t="n"/>
      <c r="LU5" s="168" t="n"/>
      <c r="LV5" s="168" t="n"/>
      <c r="LW5" s="168" t="n"/>
      <c r="LX5" s="168" t="n"/>
      <c r="LY5" s="168" t="n"/>
      <c r="LZ5" s="168" t="n"/>
      <c r="MA5" s="168" t="n"/>
      <c r="MB5" s="168" t="n"/>
      <c r="MC5" s="168" t="n"/>
      <c r="MD5" s="168" t="n"/>
      <c r="ME5" s="168" t="n"/>
      <c r="MF5" s="168" t="n"/>
      <c r="MG5" s="168" t="n"/>
      <c r="MH5" s="168" t="n"/>
      <c r="MI5" s="168" t="n"/>
      <c r="MJ5" s="168" t="n"/>
      <c r="MK5" s="168" t="n"/>
      <c r="ML5" s="168" t="n"/>
      <c r="MM5" s="168" t="n"/>
      <c r="MN5" s="168" t="n"/>
      <c r="MO5" s="168" t="n"/>
      <c r="MP5" s="168" t="n"/>
      <c r="MQ5" s="168" t="n"/>
      <c r="MR5" s="168" t="n"/>
      <c r="MS5" s="168" t="n"/>
      <c r="MT5" s="168" t="n"/>
      <c r="MU5" s="168" t="n"/>
      <c r="MV5" s="168" t="n"/>
      <c r="MW5" s="168" t="n"/>
      <c r="MX5" s="168" t="n"/>
      <c r="MY5" s="168" t="n"/>
      <c r="MZ5" s="168" t="n"/>
      <c r="NA5" s="168" t="n"/>
      <c r="NB5" s="168" t="n"/>
      <c r="NC5" s="168" t="n"/>
      <c r="ND5" s="168" t="n"/>
      <c r="NE5" s="168" t="n"/>
      <c r="NF5" s="168" t="n"/>
      <c r="NG5" s="168" t="n"/>
      <c r="NH5" s="168" t="n"/>
      <c r="NI5" s="168" t="n"/>
      <c r="NJ5" s="168" t="n"/>
      <c r="NK5" s="168" t="n"/>
      <c r="NL5" s="168" t="n"/>
      <c r="NM5" s="168" t="n"/>
      <c r="NN5" s="168" t="n"/>
      <c r="NO5" s="168" t="n"/>
      <c r="NP5" s="168" t="n"/>
      <c r="NQ5" s="168" t="n"/>
      <c r="NR5" s="168" t="n"/>
      <c r="NS5" s="168" t="n"/>
      <c r="NT5" s="168" t="n"/>
      <c r="NU5" s="168" t="n"/>
      <c r="NV5" s="168" t="n"/>
      <c r="NW5" s="168" t="n"/>
      <c r="NX5" s="168" t="n"/>
      <c r="NY5" s="168" t="n"/>
      <c r="NZ5" s="168" t="n"/>
      <c r="OA5" s="168" t="n"/>
      <c r="OB5" s="168" t="n"/>
      <c r="OC5" s="168" t="n"/>
      <c r="OD5" s="168" t="n"/>
      <c r="OE5" s="168" t="n"/>
      <c r="OF5" s="168" t="n"/>
      <c r="OG5" s="168" t="n"/>
      <c r="OH5" s="168" t="n"/>
      <c r="OI5" s="168" t="n"/>
      <c r="OJ5" s="168" t="n"/>
      <c r="OK5" s="168" t="n"/>
      <c r="OL5" s="168" t="n"/>
      <c r="OM5" s="168" t="n"/>
      <c r="ON5" s="168" t="n"/>
      <c r="OO5" s="168" t="n"/>
      <c r="OP5" s="168" t="n"/>
      <c r="OQ5" s="168" t="n"/>
      <c r="OR5" s="168" t="n"/>
      <c r="OS5" s="168" t="n"/>
      <c r="OT5" s="168" t="n"/>
      <c r="OU5" s="168" t="n"/>
      <c r="OV5" s="168" t="n"/>
      <c r="OW5" s="168" t="n"/>
      <c r="OX5" s="168" t="n"/>
      <c r="OY5" s="168" t="n"/>
      <c r="OZ5" s="168" t="n"/>
      <c r="PA5" s="168" t="n"/>
      <c r="PB5" s="168" t="n"/>
      <c r="PC5" s="168" t="n"/>
      <c r="PD5" s="168" t="n"/>
      <c r="PE5" s="168" t="n"/>
      <c r="PF5" s="168" t="n"/>
      <c r="PG5" s="168" t="n"/>
      <c r="PH5" s="168" t="n"/>
      <c r="PI5" s="168" t="n"/>
      <c r="PJ5" s="168" t="n"/>
      <c r="PK5" s="168" t="n"/>
      <c r="PL5" s="168" t="n"/>
      <c r="PM5" s="168" t="n"/>
      <c r="PN5" s="168" t="n"/>
      <c r="PO5" s="168" t="n"/>
      <c r="PP5" s="168" t="n"/>
      <c r="PQ5" s="168" t="n"/>
      <c r="PR5" s="168" t="n"/>
      <c r="PS5" s="168" t="n"/>
      <c r="PT5" s="168" t="n"/>
      <c r="PU5" s="168" t="n"/>
      <c r="PV5" s="168" t="n"/>
      <c r="PW5" s="168" t="n"/>
      <c r="PX5" s="168" t="n"/>
      <c r="PY5" s="168" t="n"/>
      <c r="PZ5" s="168" t="n"/>
      <c r="QA5" s="168" t="n"/>
      <c r="QB5" s="168" t="n"/>
      <c r="QC5" s="168" t="n"/>
      <c r="QD5" s="168" t="n"/>
      <c r="QE5" s="168" t="n"/>
      <c r="QF5" s="168" t="n"/>
      <c r="QG5" s="168" t="n"/>
      <c r="QH5" s="168" t="n"/>
      <c r="QI5" s="168" t="n"/>
      <c r="QJ5" s="168" t="n"/>
      <c r="QK5" s="168" t="n"/>
      <c r="QL5" s="168" t="n"/>
      <c r="QM5" s="168" t="n"/>
      <c r="QN5" s="168" t="n"/>
      <c r="QO5" s="168" t="n"/>
      <c r="QP5" s="168" t="n"/>
      <c r="QQ5" s="168" t="n"/>
      <c r="QR5" s="168" t="n"/>
      <c r="QS5" s="168" t="n"/>
      <c r="QT5" s="168" t="n"/>
      <c r="QU5" s="168" t="n"/>
      <c r="QV5" s="168" t="n"/>
      <c r="QW5" s="168" t="n"/>
      <c r="QX5" s="168" t="n"/>
      <c r="QY5" s="168" t="n"/>
      <c r="QZ5" s="168" t="n"/>
      <c r="RA5" s="168" t="n"/>
      <c r="RB5" s="168" t="n"/>
      <c r="RC5" s="168" t="n"/>
      <c r="RD5" s="168" t="n"/>
      <c r="RE5" s="168" t="n"/>
      <c r="RF5" s="168" t="n"/>
      <c r="RG5" s="168" t="n"/>
      <c r="RH5" s="168" t="n"/>
      <c r="RI5" s="168" t="n"/>
      <c r="RJ5" s="168" t="n"/>
      <c r="RK5" s="168" t="n"/>
      <c r="RL5" s="168" t="n"/>
      <c r="RM5" s="168" t="n"/>
      <c r="RN5" s="168" t="n"/>
      <c r="RO5" s="168" t="n"/>
      <c r="RP5" s="168" t="n"/>
      <c r="RQ5" s="168" t="n"/>
      <c r="RR5" s="168" t="n"/>
      <c r="RS5" s="168" t="n"/>
      <c r="RT5" s="168" t="n"/>
      <c r="RU5" s="168" t="n"/>
      <c r="RV5" s="168" t="n"/>
      <c r="RW5" s="168" t="n"/>
      <c r="RX5" s="168" t="n"/>
      <c r="RY5" s="168" t="n"/>
      <c r="RZ5" s="168" t="n"/>
      <c r="SA5" s="168" t="n"/>
      <c r="SB5" s="168" t="n"/>
      <c r="SC5" s="168" t="n"/>
      <c r="SD5" s="168" t="n"/>
      <c r="SE5" s="168" t="n"/>
      <c r="SF5" s="168" t="n"/>
    </row>
    <row r="6">
      <c r="B6" s="169" t="inlineStr">
        <is>
          <t>Offsite</t>
        </is>
      </c>
      <c r="C6" s="170">
        <f>SUMPRODUCT((Settings!$G$14:$G$43=$B6)*COUNTIF('INPUT - Roster'!$S$6:$S$206,"*"&amp;Settings!$F$14:$F$43&amp;"*"))</f>
        <v/>
      </c>
      <c r="D6" s="170">
        <f>SUMPRODUCT((Settings!$G$14:$G$43=$B6)*COUNTIF('INPUT - Roster'!$T$6:$T$206,"*"&amp;Settings!$F$14:$F$43&amp;"*"))</f>
        <v/>
      </c>
      <c r="E6" s="170">
        <f>SUMPRODUCT((Settings!$G$14:$G$43=$B6)*COUNTIF('INPUT - Roster'!$U$6:$U$206,"*"&amp;Settings!$F$14:$F$43&amp;"*"))</f>
        <v/>
      </c>
      <c r="F6" s="170">
        <f>SUMPRODUCT((Settings!$G$14:$G$43=$B6)*COUNTIF('INPUT - Roster'!$V$6:$V$206,"*"&amp;Settings!$F$14:$F$43&amp;"*"))</f>
        <v/>
      </c>
      <c r="G6" s="170">
        <f>SUMPRODUCT((Settings!$G$14:$G$43=$B6)*COUNTIF('INPUT - Roster'!$W$6:$W$206,"*"&amp;Settings!$F$14:$F$43&amp;"*"))</f>
        <v/>
      </c>
      <c r="H6" s="170">
        <f>SUMPRODUCT((Settings!$G$14:$G$43=$B6)*COUNTIF('INPUT - Roster'!$X$6:$X$206,"*"&amp;Settings!$F$14:$F$43&amp;"*"))</f>
        <v/>
      </c>
      <c r="I6" s="170">
        <f>SUMPRODUCT((Settings!$G$14:$G$43=$B6)*COUNTIF('INPUT - Roster'!$Y$6:$Y$206,"*"&amp;Settings!$F$14:$F$43&amp;"*"))</f>
        <v/>
      </c>
      <c r="J6" s="170">
        <f>SUMPRODUCT((Settings!$G$14:$G$43=$B6)*COUNTIF('INPUT - Roster'!$Z$6:$Z$206,"*"&amp;Settings!$F$14:$F$43&amp;"*"))</f>
        <v/>
      </c>
      <c r="K6" s="170">
        <f>SUMPRODUCT((Settings!$G$14:$G$43=$B6)*COUNTIF('INPUT - Roster'!$AA$6:$AA$206,"*"&amp;Settings!$F$14:$F$43&amp;"*"))</f>
        <v/>
      </c>
      <c r="L6" s="170">
        <f>SUMPRODUCT((Settings!$G$14:$G$43=$B6)*COUNTIF('INPUT - Roster'!$AB$6:$AB$206,"*"&amp;Settings!$F$14:$F$43&amp;"*"))</f>
        <v/>
      </c>
      <c r="M6" s="170">
        <f>SUMPRODUCT((Settings!$G$14:$G$43=$B6)*COUNTIF('INPUT - Roster'!$AC$6:$AC$206,"*"&amp;Settings!$F$14:$F$43&amp;"*"))</f>
        <v/>
      </c>
      <c r="N6" s="170">
        <f>SUMPRODUCT((Settings!$G$14:$G$43=$B6)*COUNTIF('INPUT - Roster'!$AD$6:$AD$206,"*"&amp;Settings!$F$14:$F$43&amp;"*"))</f>
        <v/>
      </c>
      <c r="O6" s="170">
        <f>SUMPRODUCT((Settings!$G$14:$G$43=$B6)*COUNTIF('INPUT - Roster'!$AE$6:$AE$206,"*"&amp;Settings!$F$14:$F$43&amp;"*"))</f>
        <v/>
      </c>
      <c r="P6" s="170">
        <f>SUMPRODUCT((Settings!$G$14:$G$43=$B6)*COUNTIF('INPUT - Roster'!$AF$6:$AF$206,"*"&amp;Settings!$F$14:$F$43&amp;"*"))</f>
        <v/>
      </c>
      <c r="Q6" s="170">
        <f>SUMPRODUCT((Settings!$G$14:$G$43=$B6)*COUNTIF('INPUT - Roster'!$AG$6:$AG$206,"*"&amp;Settings!$F$14:$F$43&amp;"*"))</f>
        <v/>
      </c>
      <c r="R6" s="170">
        <f>SUMPRODUCT((Settings!$G$14:$G$43=$B6)*COUNTIF('INPUT - Roster'!$AH$6:$AH$206,"*"&amp;Settings!$F$14:$F$43&amp;"*"))</f>
        <v/>
      </c>
      <c r="S6" s="170">
        <f>SUMPRODUCT((Settings!$G$14:$G$43=$B6)*COUNTIF('INPUT - Roster'!$AI$6:$AI$206,"*"&amp;Settings!$F$14:$F$43&amp;"*"))</f>
        <v/>
      </c>
      <c r="T6" s="170">
        <f>SUMPRODUCT((Settings!$G$14:$G$43=$B6)*COUNTIF('INPUT - Roster'!$AJ$6:$AJ$206,"*"&amp;Settings!$F$14:$F$43&amp;"*"))</f>
        <v/>
      </c>
      <c r="U6" s="170">
        <f>SUMPRODUCT((Settings!$G$14:$G$43=$B6)*COUNTIF('INPUT - Roster'!$AK$6:$AK$206,"*"&amp;Settings!$F$14:$F$43&amp;"*"))</f>
        <v/>
      </c>
      <c r="V6" s="170">
        <f>SUMPRODUCT((Settings!$G$14:$G$43=$B6)*COUNTIF('INPUT - Roster'!$AL$6:$AL$206,"*"&amp;Settings!$F$14:$F$43&amp;"*"))</f>
        <v/>
      </c>
      <c r="W6" s="170">
        <f>SUMPRODUCT((Settings!$G$14:$G$43=$B6)*COUNTIF('INPUT - Roster'!$AM$6:$AM$206,"*"&amp;Settings!$F$14:$F$43&amp;"*"))</f>
        <v/>
      </c>
      <c r="X6" s="170">
        <f>SUMPRODUCT((Settings!$G$14:$G$43=$B6)*COUNTIF('INPUT - Roster'!$AN$6:$AN$206,"*"&amp;Settings!$F$14:$F$43&amp;"*"))</f>
        <v/>
      </c>
      <c r="Y6" s="170">
        <f>SUMPRODUCT((Settings!$G$14:$G$43=$B6)*COUNTIF('INPUT - Roster'!$AO$6:$AO$206,"*"&amp;Settings!$F$14:$F$43&amp;"*"))</f>
        <v/>
      </c>
      <c r="Z6" s="170">
        <f>SUMPRODUCT((Settings!$G$14:$G$43=$B6)*COUNTIF('INPUT - Roster'!$AP$6:$AP$206,"*"&amp;Settings!$F$14:$F$43&amp;"*"))</f>
        <v/>
      </c>
      <c r="AA6" s="170">
        <f>SUMPRODUCT((Settings!$G$14:$G$43=$B6)*COUNTIF('INPUT - Roster'!$AQ$6:$AQ$206,"*"&amp;Settings!$F$14:$F$43&amp;"*"))</f>
        <v/>
      </c>
      <c r="AB6" s="170">
        <f>SUMPRODUCT((Settings!$G$14:$G$43=$B6)*COUNTIF('INPUT - Roster'!$AR$6:$AR$206,"*"&amp;Settings!$F$14:$F$43&amp;"*"))</f>
        <v/>
      </c>
      <c r="AC6" s="170">
        <f>SUMPRODUCT((Settings!$G$14:$G$43=$B6)*COUNTIF('INPUT - Roster'!$AS$6:$AS$206,"*"&amp;Settings!$F$14:$F$43&amp;"*"))</f>
        <v/>
      </c>
      <c r="AD6" s="170">
        <f>SUMPRODUCT((Settings!$G$14:$G$43=$B6)*COUNTIF('INPUT - Roster'!$AT$6:$AT$206,"*"&amp;Settings!$F$14:$F$43&amp;"*"))</f>
        <v/>
      </c>
      <c r="AE6" s="170">
        <f>SUMPRODUCT((Settings!$G$14:$G$43=$B6)*COUNTIF('INPUT - Roster'!$AU$6:$AU$206,"*"&amp;Settings!$F$14:$F$43&amp;"*"))</f>
        <v/>
      </c>
      <c r="AF6" s="170">
        <f>SUMPRODUCT((Settings!$G$14:$G$43=$B6)*COUNTIF('INPUT - Roster'!$AV$6:$AV$206,"*"&amp;Settings!$F$14:$F$43&amp;"*"))</f>
        <v/>
      </c>
      <c r="AG6" s="170">
        <f>SUMPRODUCT((Settings!$G$14:$G$43=$B6)*COUNTIF('INPUT - Roster'!$AW$6:$AW$206,"*"&amp;Settings!$F$14:$F$43&amp;"*"))</f>
        <v/>
      </c>
      <c r="AH6" s="170">
        <f>SUMPRODUCT((Settings!$G$14:$G$43=$B6)*COUNTIF('INPUT - Roster'!$AX$6:$AX$206,"*"&amp;Settings!$F$14:$F$43&amp;"*"))</f>
        <v/>
      </c>
      <c r="AI6" s="170">
        <f>SUMPRODUCT((Settings!$G$14:$G$43=$B6)*COUNTIF('INPUT - Roster'!$AY$6:$AY$206,"*"&amp;Settings!$F$14:$F$43&amp;"*"))</f>
        <v/>
      </c>
      <c r="AJ6" s="170">
        <f>SUMPRODUCT((Settings!$G$14:$G$43=$B6)*COUNTIF('INPUT - Roster'!$AZ$6:$AZ$206,"*"&amp;Settings!$F$14:$F$43&amp;"*"))</f>
        <v/>
      </c>
      <c r="AK6" s="170">
        <f>SUMPRODUCT((Settings!$G$14:$G$43=$B6)*COUNTIF('INPUT - Roster'!$BA$6:$BA$206,"*"&amp;Settings!$F$14:$F$43&amp;"*"))</f>
        <v/>
      </c>
      <c r="AL6" s="170">
        <f>SUMPRODUCT((Settings!$G$14:$G$43=$B6)*COUNTIF('INPUT - Roster'!$BB$6:$BB$206,"*"&amp;Settings!$F$14:$F$43&amp;"*"))</f>
        <v/>
      </c>
      <c r="AM6" s="170">
        <f>SUMPRODUCT((Settings!$G$14:$G$43=$B6)*COUNTIF('INPUT - Roster'!$BC$6:$BC$206,"*"&amp;Settings!$F$14:$F$43&amp;"*"))</f>
        <v/>
      </c>
      <c r="AN6" s="170">
        <f>SUMPRODUCT((Settings!$G$14:$G$43=$B6)*COUNTIF('INPUT - Roster'!$BD$6:$BD$206,"*"&amp;Settings!$F$14:$F$43&amp;"*"))</f>
        <v/>
      </c>
      <c r="AO6" s="170">
        <f>SUMPRODUCT((Settings!$G$14:$G$43=$B6)*COUNTIF('INPUT - Roster'!$BE$6:$BE$206,"*"&amp;Settings!$F$14:$F$43&amp;"*"))</f>
        <v/>
      </c>
      <c r="AP6" s="170">
        <f>SUMPRODUCT((Settings!$G$14:$G$43=$B6)*COUNTIF('INPUT - Roster'!$BF$6:$BF$206,"*"&amp;Settings!$F$14:$F$43&amp;"*"))</f>
        <v/>
      </c>
      <c r="AQ6" s="170">
        <f>SUMPRODUCT((Settings!$G$14:$G$43=$B6)*COUNTIF('INPUT - Roster'!$BG$6:$BG$206,"*"&amp;Settings!$F$14:$F$43&amp;"*"))</f>
        <v/>
      </c>
      <c r="AR6" s="170">
        <f>SUMPRODUCT((Settings!$G$14:$G$43=$B6)*COUNTIF('INPUT - Roster'!$BH$6:$BH$206,"*"&amp;Settings!$F$14:$F$43&amp;"*"))</f>
        <v/>
      </c>
      <c r="AS6" s="170">
        <f>SUMPRODUCT((Settings!$G$14:$G$43=$B6)*COUNTIF('INPUT - Roster'!$BI$6:$BI$206,"*"&amp;Settings!$F$14:$F$43&amp;"*"))</f>
        <v/>
      </c>
      <c r="AT6" s="170">
        <f>SUMPRODUCT((Settings!$G$14:$G$43=$B6)*COUNTIF('INPUT - Roster'!$BJ$6:$BJ$206,"*"&amp;Settings!$F$14:$F$43&amp;"*"))</f>
        <v/>
      </c>
      <c r="AU6" s="170">
        <f>SUMPRODUCT((Settings!$G$14:$G$43=$B6)*COUNTIF('INPUT - Roster'!$BK$6:$BK$206,"*"&amp;Settings!$F$14:$F$43&amp;"*"))</f>
        <v/>
      </c>
      <c r="AV6" s="170">
        <f>SUMPRODUCT((Settings!$G$14:$G$43=$B6)*COUNTIF('INPUT - Roster'!$BL$6:$BL$206,"*"&amp;Settings!$F$14:$F$43&amp;"*"))</f>
        <v/>
      </c>
      <c r="AW6" s="170">
        <f>SUMPRODUCT((Settings!$G$14:$G$43=$B6)*COUNTIF('INPUT - Roster'!$BM$6:$BM$206,"*"&amp;Settings!$F$14:$F$43&amp;"*"))</f>
        <v/>
      </c>
      <c r="AX6" s="170">
        <f>SUMPRODUCT((Settings!$G$14:$G$43=$B6)*COUNTIF('INPUT - Roster'!$BN$6:$BN$206,"*"&amp;Settings!$F$14:$F$43&amp;"*"))</f>
        <v/>
      </c>
      <c r="AY6" s="170">
        <f>SUMPRODUCT((Settings!$G$14:$G$43=$B6)*COUNTIF('INPUT - Roster'!$BO$6:$BO$206,"*"&amp;Settings!$F$14:$F$43&amp;"*"))</f>
        <v/>
      </c>
      <c r="AZ6" s="170">
        <f>SUMPRODUCT((Settings!$G$14:$G$43=$B6)*COUNTIF('INPUT - Roster'!$BP$6:$BP$206,"*"&amp;Settings!$F$14:$F$43&amp;"*"))</f>
        <v/>
      </c>
      <c r="BA6" s="170">
        <f>SUMPRODUCT((Settings!$G$14:$G$43=$B6)*COUNTIF('INPUT - Roster'!$BQ$6:$BQ$206,"*"&amp;Settings!$F$14:$F$43&amp;"*"))</f>
        <v/>
      </c>
      <c r="BB6" s="170">
        <f>SUMPRODUCT((Settings!$G$14:$G$43=$B6)*COUNTIF('INPUT - Roster'!$BR$6:$BR$206,"*"&amp;Settings!$F$14:$F$43&amp;"*"))</f>
        <v/>
      </c>
      <c r="BC6" s="170">
        <f>SUMPRODUCT((Settings!$G$14:$G$43=$B6)*COUNTIF('INPUT - Roster'!$BS$6:$BS$206,"*"&amp;Settings!$F$14:$F$43&amp;"*"))</f>
        <v/>
      </c>
      <c r="BD6" s="170">
        <f>SUMPRODUCT((Settings!$G$14:$G$43=$B6)*COUNTIF('INPUT - Roster'!$BT$6:$BT$206,"*"&amp;Settings!$F$14:$F$43&amp;"*"))</f>
        <v/>
      </c>
      <c r="BE6" s="170">
        <f>SUMPRODUCT((Settings!$G$14:$G$43=$B6)*COUNTIF('INPUT - Roster'!$BU$6:$BU$206,"*"&amp;Settings!$F$14:$F$43&amp;"*"))</f>
        <v/>
      </c>
      <c r="BF6" s="170">
        <f>SUMPRODUCT((Settings!$G$14:$G$43=$B6)*COUNTIF('INPUT - Roster'!$BV$6:$BV$206,"*"&amp;Settings!$F$14:$F$43&amp;"*"))</f>
        <v/>
      </c>
      <c r="BG6" s="170">
        <f>SUMPRODUCT((Settings!$G$14:$G$43=$B6)*COUNTIF('INPUT - Roster'!$BW$6:$BW$206,"*"&amp;Settings!$F$14:$F$43&amp;"*"))</f>
        <v/>
      </c>
      <c r="BH6" s="170">
        <f>SUMPRODUCT((Settings!$G$14:$G$43=$B6)*COUNTIF('INPUT - Roster'!$BX$6:$BX$206,"*"&amp;Settings!$F$14:$F$43&amp;"*"))</f>
        <v/>
      </c>
      <c r="BI6" s="170">
        <f>SUMPRODUCT((Settings!$G$14:$G$43=$B6)*COUNTIF('INPUT - Roster'!$BY$6:$BY$206,"*"&amp;Settings!$F$14:$F$43&amp;"*"))</f>
        <v/>
      </c>
      <c r="BJ6" s="170">
        <f>SUMPRODUCT((Settings!$G$14:$G$43=$B6)*COUNTIF('INPUT - Roster'!$BZ$6:$BZ$206,"*"&amp;Settings!$F$14:$F$43&amp;"*"))</f>
        <v/>
      </c>
      <c r="BK6" s="170">
        <f>SUMPRODUCT((Settings!$G$14:$G$43=$B6)*COUNTIF('INPUT - Roster'!$CA$6:$CA$206,"*"&amp;Settings!$F$14:$F$43&amp;"*"))</f>
        <v/>
      </c>
      <c r="BL6" s="170">
        <f>SUMPRODUCT((Settings!$G$14:$G$43=$B6)*COUNTIF('INPUT - Roster'!$CB$6:$CB$206,"*"&amp;Settings!$F$14:$F$43&amp;"*"))</f>
        <v/>
      </c>
      <c r="BM6" s="170">
        <f>SUMPRODUCT((Settings!$G$14:$G$43=$B6)*COUNTIF('INPUT - Roster'!$CC$6:$CC$206,"*"&amp;Settings!$F$14:$F$43&amp;"*"))</f>
        <v/>
      </c>
      <c r="BN6" s="170">
        <f>SUMPRODUCT((Settings!$G$14:$G$43=$B6)*COUNTIF('INPUT - Roster'!$CD$6:$CD$206,"*"&amp;Settings!$F$14:$F$43&amp;"*"))</f>
        <v/>
      </c>
      <c r="BO6" s="170">
        <f>SUMPRODUCT((Settings!$G$14:$G$43=$B6)*COUNTIF('INPUT - Roster'!$CE$6:$CE$206,"*"&amp;Settings!$F$14:$F$43&amp;"*"))</f>
        <v/>
      </c>
      <c r="BP6" s="170">
        <f>SUMPRODUCT((Settings!$G$14:$G$43=$B6)*COUNTIF('INPUT - Roster'!$CF$6:$CF$206,"*"&amp;Settings!$F$14:$F$43&amp;"*"))</f>
        <v/>
      </c>
      <c r="BQ6" s="170">
        <f>SUMPRODUCT((Settings!$G$14:$G$43=$B6)*COUNTIF('INPUT - Roster'!$CG$6:$CG$206,"*"&amp;Settings!$F$14:$F$43&amp;"*"))</f>
        <v/>
      </c>
      <c r="BR6" s="170">
        <f>SUMPRODUCT((Settings!$G$14:$G$43=$B6)*COUNTIF('INPUT - Roster'!$CH$6:$CH$206,"*"&amp;Settings!$F$14:$F$43&amp;"*"))</f>
        <v/>
      </c>
      <c r="BS6" s="170">
        <f>SUMPRODUCT((Settings!$G$14:$G$43=$B6)*COUNTIF('INPUT - Roster'!$CI$6:$CI$206,"*"&amp;Settings!$F$14:$F$43&amp;"*"))</f>
        <v/>
      </c>
      <c r="BT6" s="170">
        <f>SUMPRODUCT((Settings!$G$14:$G$43=$B6)*COUNTIF('INPUT - Roster'!$CJ$6:$CJ$206,"*"&amp;Settings!$F$14:$F$43&amp;"*"))</f>
        <v/>
      </c>
      <c r="BU6" s="170">
        <f>SUMPRODUCT((Settings!$G$14:$G$43=$B6)*COUNTIF('INPUT - Roster'!$CK$6:$CK$206,"*"&amp;Settings!$F$14:$F$43&amp;"*"))</f>
        <v/>
      </c>
      <c r="BV6" s="170">
        <f>SUMPRODUCT((Settings!$G$14:$G$43=$B6)*COUNTIF('INPUT - Roster'!$CL$6:$CL$206,"*"&amp;Settings!$F$14:$F$43&amp;"*"))</f>
        <v/>
      </c>
      <c r="BW6" s="170">
        <f>SUMPRODUCT((Settings!$G$14:$G$43=$B6)*COUNTIF('INPUT - Roster'!$CM$6:$CM$206,"*"&amp;Settings!$F$14:$F$43&amp;"*"))</f>
        <v/>
      </c>
      <c r="BX6" s="170">
        <f>SUMPRODUCT((Settings!$G$14:$G$43=$B6)*COUNTIF('INPUT - Roster'!$CN$6:$CN$206,"*"&amp;Settings!$F$14:$F$43&amp;"*"))</f>
        <v/>
      </c>
      <c r="BY6" s="170">
        <f>SUMPRODUCT((Settings!$G$14:$G$43=$B6)*COUNTIF('INPUT - Roster'!$CO$6:$CO$206,"*"&amp;Settings!$F$14:$F$43&amp;"*"))</f>
        <v/>
      </c>
      <c r="BZ6" s="170">
        <f>SUMPRODUCT((Settings!$G$14:$G$43=$B6)*COUNTIF('INPUT - Roster'!$CP$6:$CP$206,"*"&amp;Settings!$F$14:$F$43&amp;"*"))</f>
        <v/>
      </c>
      <c r="CA6" s="170">
        <f>SUMPRODUCT((Settings!$G$14:$G$43=$B6)*COUNTIF('INPUT - Roster'!$CQ$6:$CQ$206,"*"&amp;Settings!$F$14:$F$43&amp;"*"))</f>
        <v/>
      </c>
      <c r="CB6" s="170">
        <f>SUMPRODUCT((Settings!$G$14:$G$43=$B6)*COUNTIF('INPUT - Roster'!$CR$6:$CR$206,"*"&amp;Settings!$F$14:$F$43&amp;"*"))</f>
        <v/>
      </c>
      <c r="CC6" s="170">
        <f>SUMPRODUCT((Settings!$G$14:$G$43=$B6)*COUNTIF('INPUT - Roster'!$CS$6:$CS$206,"*"&amp;Settings!$F$14:$F$43&amp;"*"))</f>
        <v/>
      </c>
      <c r="CD6" s="170">
        <f>SUMPRODUCT((Settings!$G$14:$G$43=$B6)*COUNTIF('INPUT - Roster'!$CT$6:$CT$206,"*"&amp;Settings!$F$14:$F$43&amp;"*"))</f>
        <v/>
      </c>
      <c r="CE6" s="170">
        <f>SUMPRODUCT((Settings!$G$14:$G$43=$B6)*COUNTIF('INPUT - Roster'!$CU$6:$CU$206,"*"&amp;Settings!$F$14:$F$43&amp;"*"))</f>
        <v/>
      </c>
      <c r="CF6" s="170">
        <f>SUMPRODUCT((Settings!$G$14:$G$43=$B6)*COUNTIF('INPUT - Roster'!$CV$6:$CV$206,"*"&amp;Settings!$F$14:$F$43&amp;"*"))</f>
        <v/>
      </c>
      <c r="CG6" s="170">
        <f>SUMPRODUCT((Settings!$G$14:$G$43=$B6)*COUNTIF('INPUT - Roster'!$CW$6:$CW$206,"*"&amp;Settings!$F$14:$F$43&amp;"*"))</f>
        <v/>
      </c>
      <c r="CH6" s="170">
        <f>SUMPRODUCT((Settings!$G$14:$G$43=$B6)*COUNTIF('INPUT - Roster'!$CX$6:$CX$206,"*"&amp;Settings!$F$14:$F$43&amp;"*"))</f>
        <v/>
      </c>
      <c r="CI6" s="170">
        <f>SUMPRODUCT((Settings!$G$14:$G$43=$B6)*COUNTIF('INPUT - Roster'!$CY$6:$CY$206,"*"&amp;Settings!$F$14:$F$43&amp;"*"))</f>
        <v/>
      </c>
      <c r="CJ6" s="170">
        <f>SUMPRODUCT((Settings!$G$14:$G$43=$B6)*COUNTIF('INPUT - Roster'!$CZ$6:$CZ$206,"*"&amp;Settings!$F$14:$F$43&amp;"*"))</f>
        <v/>
      </c>
      <c r="CK6" s="170">
        <f>SUMPRODUCT((Settings!$G$14:$G$43=$B6)*COUNTIF('INPUT - Roster'!$DA$6:$DA$206,"*"&amp;Settings!$F$14:$F$43&amp;"*"))</f>
        <v/>
      </c>
      <c r="CL6" s="170">
        <f>SUMPRODUCT((Settings!$G$14:$G$43=$B6)*COUNTIF('INPUT - Roster'!$DB$6:$DB$206,"*"&amp;Settings!$F$14:$F$43&amp;"*"))</f>
        <v/>
      </c>
      <c r="CM6" s="170">
        <f>SUMPRODUCT((Settings!$G$14:$G$43=$B6)*COUNTIF('INPUT - Roster'!$DC$6:$DC$206,"*"&amp;Settings!$F$14:$F$43&amp;"*"))</f>
        <v/>
      </c>
      <c r="CN6" s="170">
        <f>SUMPRODUCT((Settings!$G$14:$G$43=$B6)*COUNTIF('INPUT - Roster'!$DD$6:$DD$206,"*"&amp;Settings!$F$14:$F$43&amp;"*"))</f>
        <v/>
      </c>
      <c r="CO6" s="170">
        <f>SUMPRODUCT((Settings!$G$14:$G$43=$B6)*COUNTIF('INPUT - Roster'!$DE$6:$DE$206,"*"&amp;Settings!$F$14:$F$43&amp;"*"))</f>
        <v/>
      </c>
      <c r="CP6" s="170">
        <f>SUMPRODUCT((Settings!$G$14:$G$43=$B6)*COUNTIF('INPUT - Roster'!$DF$6:$DF$206,"*"&amp;Settings!$F$14:$F$43&amp;"*"))</f>
        <v/>
      </c>
      <c r="CQ6" s="170">
        <f>SUMPRODUCT((Settings!$G$14:$G$43=$B6)*COUNTIF('INPUT - Roster'!$DG$6:$DG$206,"*"&amp;Settings!$F$14:$F$43&amp;"*"))</f>
        <v/>
      </c>
      <c r="CR6" s="170">
        <f>SUMPRODUCT((Settings!$G$14:$G$43=$B6)*COUNTIF('INPUT - Roster'!$DH$6:$DH$206,"*"&amp;Settings!$F$14:$F$43&amp;"*"))</f>
        <v/>
      </c>
      <c r="CS6" s="170">
        <f>SUMPRODUCT((Settings!$G$14:$G$43=$B6)*COUNTIF('INPUT - Roster'!$DI$6:$DI$206,"*"&amp;Settings!$F$14:$F$43&amp;"*"))</f>
        <v/>
      </c>
      <c r="CT6" s="170">
        <f>SUMPRODUCT((Settings!$G$14:$G$43=$B6)*COUNTIF('INPUT - Roster'!$DJ$6:$DJ$206,"*"&amp;Settings!$F$14:$F$43&amp;"*"))</f>
        <v/>
      </c>
      <c r="CU6" s="170">
        <f>SUMPRODUCT((Settings!$G$14:$G$43=$B6)*COUNTIF('INPUT - Roster'!$DK$6:$DK$206,"*"&amp;Settings!$F$14:$F$43&amp;"*"))</f>
        <v/>
      </c>
      <c r="CV6" s="170">
        <f>SUMPRODUCT((Settings!$G$14:$G$43=$B6)*COUNTIF('INPUT - Roster'!$DL$6:$DL$206,"*"&amp;Settings!$F$14:$F$43&amp;"*"))</f>
        <v/>
      </c>
      <c r="CW6" s="170">
        <f>SUMPRODUCT((Settings!$G$14:$G$43=$B6)*COUNTIF('INPUT - Roster'!$DM$6:$DM$206,"*"&amp;Settings!$F$14:$F$43&amp;"*"))</f>
        <v/>
      </c>
      <c r="CX6" s="170">
        <f>SUMPRODUCT((Settings!$G$14:$G$43=$B6)*COUNTIF('INPUT - Roster'!$DN$6:$DN$206,"*"&amp;Settings!$F$14:$F$43&amp;"*"))</f>
        <v/>
      </c>
      <c r="CY6" s="170">
        <f>SUMPRODUCT((Settings!$G$14:$G$43=$B6)*COUNTIF('INPUT - Roster'!$DO$6:$DO$206,"*"&amp;Settings!$F$14:$F$43&amp;"*"))</f>
        <v/>
      </c>
      <c r="CZ6" s="170">
        <f>SUMPRODUCT((Settings!$G$14:$G$43=$B6)*COUNTIF('INPUT - Roster'!$DP$6:$DP$206,"*"&amp;Settings!$F$14:$F$43&amp;"*"))</f>
        <v/>
      </c>
      <c r="DA6" s="170">
        <f>SUMPRODUCT((Settings!$G$14:$G$43=$B6)*COUNTIF('INPUT - Roster'!$DQ$6:$DQ$206,"*"&amp;Settings!$F$14:$F$43&amp;"*"))</f>
        <v/>
      </c>
      <c r="DB6" s="170">
        <f>SUMPRODUCT((Settings!$G$14:$G$43=$B6)*COUNTIF('INPUT - Roster'!$DR$6:$DR$206,"*"&amp;Settings!$F$14:$F$43&amp;"*"))</f>
        <v/>
      </c>
      <c r="DC6" s="170">
        <f>SUMPRODUCT((Settings!$G$14:$G$43=$B6)*COUNTIF('INPUT - Roster'!$DS$6:$DS$206,"*"&amp;Settings!$F$14:$F$43&amp;"*"))</f>
        <v/>
      </c>
      <c r="DD6" s="170">
        <f>SUMPRODUCT((Settings!$G$14:$G$43=$B6)*COUNTIF('INPUT - Roster'!$DT$6:$DT$206,"*"&amp;Settings!$F$14:$F$43&amp;"*"))</f>
        <v/>
      </c>
      <c r="DE6" s="170">
        <f>SUMPRODUCT((Settings!$G$14:$G$43=$B6)*COUNTIF('INPUT - Roster'!$DU$6:$DU$206,"*"&amp;Settings!$F$14:$F$43&amp;"*"))</f>
        <v/>
      </c>
      <c r="DF6" s="170">
        <f>SUMPRODUCT((Settings!$G$14:$G$43=$B6)*COUNTIF('INPUT - Roster'!$DV$6:$DV$206,"*"&amp;Settings!$F$14:$F$43&amp;"*"))</f>
        <v/>
      </c>
      <c r="DG6" s="170">
        <f>SUMPRODUCT((Settings!$G$14:$G$43=$B6)*COUNTIF('INPUT - Roster'!$DW$6:$DW$206,"*"&amp;Settings!$F$14:$F$43&amp;"*"))</f>
        <v/>
      </c>
      <c r="DH6" s="170">
        <f>SUMPRODUCT((Settings!$G$14:$G$43=$B6)*COUNTIF('INPUT - Roster'!$DX$6:$DX$206,"*"&amp;Settings!$F$14:$F$43&amp;"*"))</f>
        <v/>
      </c>
      <c r="DI6" s="170">
        <f>SUMPRODUCT((Settings!$G$14:$G$43=$B6)*COUNTIF('INPUT - Roster'!$DY$6:$DY$206,"*"&amp;Settings!$F$14:$F$43&amp;"*"))</f>
        <v/>
      </c>
      <c r="DJ6" s="170">
        <f>SUMPRODUCT((Settings!$G$14:$G$43=$B6)*COUNTIF('INPUT - Roster'!$DZ$6:$DZ$206,"*"&amp;Settings!$F$14:$F$43&amp;"*"))</f>
        <v/>
      </c>
      <c r="DK6" s="170">
        <f>SUMPRODUCT((Settings!$G$14:$G$43=$B6)*COUNTIF('INPUT - Roster'!$EA$6:$EA$206,"*"&amp;Settings!$F$14:$F$43&amp;"*"))</f>
        <v/>
      </c>
      <c r="DL6" s="170">
        <f>SUMPRODUCT((Settings!$G$14:$G$43=$B6)*COUNTIF('INPUT - Roster'!$EB$6:$EB$206,"*"&amp;Settings!$F$14:$F$43&amp;"*"))</f>
        <v/>
      </c>
      <c r="DM6" s="170">
        <f>SUMPRODUCT((Settings!$G$14:$G$43=$B6)*COUNTIF('INPUT - Roster'!$EC$6:$EC$206,"*"&amp;Settings!$F$14:$F$43&amp;"*"))</f>
        <v/>
      </c>
      <c r="DN6" s="170">
        <f>SUMPRODUCT((Settings!$G$14:$G$43=$B6)*COUNTIF('INPUT - Roster'!$ED$6:$ED$206,"*"&amp;Settings!$F$14:$F$43&amp;"*"))</f>
        <v/>
      </c>
      <c r="DO6" s="170">
        <f>SUMPRODUCT((Settings!$G$14:$G$43=$B6)*COUNTIF('INPUT - Roster'!$EE$6:$EE$206,"*"&amp;Settings!$F$14:$F$43&amp;"*"))</f>
        <v/>
      </c>
      <c r="DP6" s="170">
        <f>SUMPRODUCT((Settings!$G$14:$G$43=$B6)*COUNTIF('INPUT - Roster'!$EF$6:$EF$206,"*"&amp;Settings!$F$14:$F$43&amp;"*"))</f>
        <v/>
      </c>
      <c r="DQ6" s="170">
        <f>SUMPRODUCT((Settings!$G$14:$G$43=$B6)*COUNTIF('INPUT - Roster'!$EG$6:$EG$206,"*"&amp;Settings!$F$14:$F$43&amp;"*"))</f>
        <v/>
      </c>
      <c r="DR6" s="170">
        <f>SUMPRODUCT((Settings!$G$14:$G$43=$B6)*COUNTIF('INPUT - Roster'!$EH$6:$EH$206,"*"&amp;Settings!$F$14:$F$43&amp;"*"))</f>
        <v/>
      </c>
      <c r="DS6" s="170">
        <f>SUMPRODUCT((Settings!$G$14:$G$43=$B6)*COUNTIF('INPUT - Roster'!$EI$6:$EI$206,"*"&amp;Settings!$F$14:$F$43&amp;"*"))</f>
        <v/>
      </c>
      <c r="DT6" s="170">
        <f>SUMPRODUCT((Settings!$G$14:$G$43=$B6)*COUNTIF('INPUT - Roster'!$EJ$6:$EJ$206,"*"&amp;Settings!$F$14:$F$43&amp;"*"))</f>
        <v/>
      </c>
      <c r="DU6" s="170">
        <f>SUMPRODUCT((Settings!$G$14:$G$43=$B6)*COUNTIF('INPUT - Roster'!$EK$6:$EK$206,"*"&amp;Settings!$F$14:$F$43&amp;"*"))</f>
        <v/>
      </c>
      <c r="DV6" s="170">
        <f>SUMPRODUCT((Settings!$G$14:$G$43=$B6)*COUNTIF('INPUT - Roster'!$EL$6:$EL$206,"*"&amp;Settings!$F$14:$F$43&amp;"*"))</f>
        <v/>
      </c>
      <c r="DW6" s="170">
        <f>SUMPRODUCT((Settings!$G$14:$G$43=$B6)*COUNTIF('INPUT - Roster'!$EM$6:$EM$206,"*"&amp;Settings!$F$14:$F$43&amp;"*"))</f>
        <v/>
      </c>
      <c r="DX6" s="170">
        <f>SUMPRODUCT((Settings!$G$14:$G$43=$B6)*COUNTIF('INPUT - Roster'!$EN$6:$EN$206,"*"&amp;Settings!$F$14:$F$43&amp;"*"))</f>
        <v/>
      </c>
      <c r="DY6" s="170">
        <f>SUMPRODUCT((Settings!$G$14:$G$43=$B6)*COUNTIF('INPUT - Roster'!$EO$6:$EO$206,"*"&amp;Settings!$F$14:$F$43&amp;"*"))</f>
        <v/>
      </c>
      <c r="DZ6" s="170">
        <f>SUMPRODUCT((Settings!$G$14:$G$43=$B6)*COUNTIF('INPUT - Roster'!$EP$6:$EP$206,"*"&amp;Settings!$F$14:$F$43&amp;"*"))</f>
        <v/>
      </c>
      <c r="EA6" s="170">
        <f>SUMPRODUCT((Settings!$G$14:$G$43=$B6)*COUNTIF('INPUT - Roster'!$EQ$6:$EQ$206,"*"&amp;Settings!$F$14:$F$43&amp;"*"))</f>
        <v/>
      </c>
      <c r="EB6" s="170">
        <f>SUMPRODUCT((Settings!$G$14:$G$43=$B6)*COUNTIF('INPUT - Roster'!$ER$6:$ER$206,"*"&amp;Settings!$F$14:$F$43&amp;"*"))</f>
        <v/>
      </c>
      <c r="EC6" s="170">
        <f>SUMPRODUCT((Settings!$G$14:$G$43=$B6)*COUNTIF('INPUT - Roster'!$ES$6:$ES$206,"*"&amp;Settings!$F$14:$F$43&amp;"*"))</f>
        <v/>
      </c>
      <c r="ED6" s="170">
        <f>SUMPRODUCT((Settings!$G$14:$G$43=$B6)*COUNTIF('INPUT - Roster'!$ET$6:$ET$206,"*"&amp;Settings!$F$14:$F$43&amp;"*"))</f>
        <v/>
      </c>
      <c r="EE6" s="170">
        <f>SUMPRODUCT((Settings!$G$14:$G$43=$B6)*COUNTIF('INPUT - Roster'!$EU$6:$EU$206,"*"&amp;Settings!$F$14:$F$43&amp;"*"))</f>
        <v/>
      </c>
      <c r="EF6" s="170">
        <f>SUMPRODUCT((Settings!$G$14:$G$43=$B6)*COUNTIF('INPUT - Roster'!$EV$6:$EV$206,"*"&amp;Settings!$F$14:$F$43&amp;"*"))</f>
        <v/>
      </c>
      <c r="EG6" s="170">
        <f>SUMPRODUCT((Settings!$G$14:$G$43=$B6)*COUNTIF('INPUT - Roster'!$EW$6:$EW$206,"*"&amp;Settings!$F$14:$F$43&amp;"*"))</f>
        <v/>
      </c>
      <c r="EH6" s="170">
        <f>SUMPRODUCT((Settings!$G$14:$G$43=$B6)*COUNTIF('INPUT - Roster'!$EX$6:$EX$206,"*"&amp;Settings!$F$14:$F$43&amp;"*"))</f>
        <v/>
      </c>
      <c r="EI6" s="170">
        <f>SUMPRODUCT((Settings!$G$14:$G$43=$B6)*COUNTIF('INPUT - Roster'!$EY$6:$EY$206,"*"&amp;Settings!$F$14:$F$43&amp;"*"))</f>
        <v/>
      </c>
      <c r="EJ6" s="170">
        <f>SUMPRODUCT((Settings!$G$14:$G$43=$B6)*COUNTIF('INPUT - Roster'!$EZ$6:$EZ$206,"*"&amp;Settings!$F$14:$F$43&amp;"*"))</f>
        <v/>
      </c>
      <c r="EK6" s="170">
        <f>SUMPRODUCT((Settings!$G$14:$G$43=$B6)*COUNTIF('INPUT - Roster'!$FA$6:$FA$206,"*"&amp;Settings!$F$14:$F$43&amp;"*"))</f>
        <v/>
      </c>
      <c r="EL6" s="170">
        <f>SUMPRODUCT((Settings!$G$14:$G$43=$B6)*COUNTIF('INPUT - Roster'!$FB$6:$FB$206,"*"&amp;Settings!$F$14:$F$43&amp;"*"))</f>
        <v/>
      </c>
      <c r="EM6" s="170">
        <f>SUMPRODUCT((Settings!$G$14:$G$43=$B6)*COUNTIF('INPUT - Roster'!$FC$6:$FC$206,"*"&amp;Settings!$F$14:$F$43&amp;"*"))</f>
        <v/>
      </c>
      <c r="EN6" s="170">
        <f>SUMPRODUCT((Settings!$G$14:$G$43=$B6)*COUNTIF('INPUT - Roster'!$FD$6:$FD$206,"*"&amp;Settings!$F$14:$F$43&amp;"*"))</f>
        <v/>
      </c>
      <c r="EO6" s="170">
        <f>SUMPRODUCT((Settings!$G$14:$G$43=$B6)*COUNTIF('INPUT - Roster'!$FE$6:$FE$206,"*"&amp;Settings!$F$14:$F$43&amp;"*"))</f>
        <v/>
      </c>
      <c r="EP6" s="170">
        <f>SUMPRODUCT((Settings!$G$14:$G$43=$B6)*COUNTIF('INPUT - Roster'!$FF$6:$FF$206,"*"&amp;Settings!$F$14:$F$43&amp;"*"))</f>
        <v/>
      </c>
      <c r="EQ6" s="170">
        <f>SUMPRODUCT((Settings!$G$14:$G$43=$B6)*COUNTIF('INPUT - Roster'!$FG$6:$FG$206,"*"&amp;Settings!$F$14:$F$43&amp;"*"))</f>
        <v/>
      </c>
      <c r="ER6" s="170">
        <f>SUMPRODUCT((Settings!$G$14:$G$43=$B6)*COUNTIF('INPUT - Roster'!$FH$6:$FH$206,"*"&amp;Settings!$F$14:$F$43&amp;"*"))</f>
        <v/>
      </c>
      <c r="ES6" s="170">
        <f>SUMPRODUCT((Settings!$G$14:$G$43=$B6)*COUNTIF('INPUT - Roster'!$FI$6:$FI$206,"*"&amp;Settings!$F$14:$F$43&amp;"*"))</f>
        <v/>
      </c>
      <c r="ET6" s="170">
        <f>SUMPRODUCT((Settings!$G$14:$G$43=$B6)*COUNTIF('INPUT - Roster'!$FJ$6:$FJ$206,"*"&amp;Settings!$F$14:$F$43&amp;"*"))</f>
        <v/>
      </c>
      <c r="EU6" s="170">
        <f>SUMPRODUCT((Settings!$G$14:$G$43=$B6)*COUNTIF('INPUT - Roster'!$FK$6:$FK$206,"*"&amp;Settings!$F$14:$F$43&amp;"*"))</f>
        <v/>
      </c>
      <c r="EV6" s="170">
        <f>SUMPRODUCT((Settings!$G$14:$G$43=$B6)*COUNTIF('INPUT - Roster'!$FL$6:$FL$206,"*"&amp;Settings!$F$14:$F$43&amp;"*"))</f>
        <v/>
      </c>
      <c r="EW6" s="170">
        <f>SUMPRODUCT((Settings!$G$14:$G$43=$B6)*COUNTIF('INPUT - Roster'!$FM$6:$FM$206,"*"&amp;Settings!$F$14:$F$43&amp;"*"))</f>
        <v/>
      </c>
      <c r="EX6" s="170">
        <f>SUMPRODUCT((Settings!$G$14:$G$43=$B6)*COUNTIF('INPUT - Roster'!$FN$6:$FN$206,"*"&amp;Settings!$F$14:$F$43&amp;"*"))</f>
        <v/>
      </c>
      <c r="EY6" s="170">
        <f>SUMPRODUCT((Settings!$G$14:$G$43=$B6)*COUNTIF('INPUT - Roster'!$FO$6:$FO$206,"*"&amp;Settings!$F$14:$F$43&amp;"*"))</f>
        <v/>
      </c>
      <c r="EZ6" s="170">
        <f>SUMPRODUCT((Settings!$G$14:$G$43=$B6)*COUNTIF('INPUT - Roster'!$FP$6:$FP$206,"*"&amp;Settings!$F$14:$F$43&amp;"*"))</f>
        <v/>
      </c>
      <c r="FA6" s="170">
        <f>SUMPRODUCT((Settings!$G$14:$G$43=$B6)*COUNTIF('INPUT - Roster'!$FQ$6:$FQ$206,"*"&amp;Settings!$F$14:$F$43&amp;"*"))</f>
        <v/>
      </c>
      <c r="FB6" s="170">
        <f>SUMPRODUCT((Settings!$G$14:$G$43=$B6)*COUNTIF('INPUT - Roster'!$FR$6:$FR$206,"*"&amp;Settings!$F$14:$F$43&amp;"*"))</f>
        <v/>
      </c>
      <c r="FC6" s="170">
        <f>SUMPRODUCT((Settings!$G$14:$G$43=$B6)*COUNTIF('INPUT - Roster'!$FS$6:$FS$206,"*"&amp;Settings!$F$14:$F$43&amp;"*"))</f>
        <v/>
      </c>
      <c r="FD6" s="170">
        <f>SUMPRODUCT((Settings!$G$14:$G$43=$B6)*COUNTIF('INPUT - Roster'!$FT$6:$FT$206,"*"&amp;Settings!$F$14:$F$43&amp;"*"))</f>
        <v/>
      </c>
      <c r="FE6" s="170">
        <f>SUMPRODUCT((Settings!$G$14:$G$43=$B6)*COUNTIF('INPUT - Roster'!$FU$6:$FU$206,"*"&amp;Settings!$F$14:$F$43&amp;"*"))</f>
        <v/>
      </c>
      <c r="FF6" s="170">
        <f>SUMPRODUCT((Settings!$G$14:$G$43=$B6)*COUNTIF('INPUT - Roster'!$FV$6:$FV$206,"*"&amp;Settings!$F$14:$F$43&amp;"*"))</f>
        <v/>
      </c>
      <c r="FG6" s="170">
        <f>SUMPRODUCT((Settings!$G$14:$G$43=$B6)*COUNTIF('INPUT - Roster'!$FW$6:$FW$206,"*"&amp;Settings!$F$14:$F$43&amp;"*"))</f>
        <v/>
      </c>
      <c r="FH6" s="170">
        <f>SUMPRODUCT((Settings!$G$14:$G$43=$B6)*COUNTIF('INPUT - Roster'!$FX$6:$FX$206,"*"&amp;Settings!$F$14:$F$43&amp;"*"))</f>
        <v/>
      </c>
      <c r="FI6" s="170">
        <f>SUMPRODUCT((Settings!$G$14:$G$43=$B6)*COUNTIF('INPUT - Roster'!$FY$6:$FY$206,"*"&amp;Settings!$F$14:$F$43&amp;"*"))</f>
        <v/>
      </c>
      <c r="FJ6" s="170">
        <f>SUMPRODUCT((Settings!$G$14:$G$43=$B6)*COUNTIF('INPUT - Roster'!$FZ$6:$FZ$206,"*"&amp;Settings!$F$14:$F$43&amp;"*"))</f>
        <v/>
      </c>
      <c r="FK6" s="170">
        <f>SUMPRODUCT((Settings!$G$14:$G$43=$B6)*COUNTIF('INPUT - Roster'!$GA$6:$GA$206,"*"&amp;Settings!$F$14:$F$43&amp;"*"))</f>
        <v/>
      </c>
      <c r="FL6" s="170">
        <f>SUMPRODUCT((Settings!$G$14:$G$43=$B6)*COUNTIF('INPUT - Roster'!$GB$6:$GB$206,"*"&amp;Settings!$F$14:$F$43&amp;"*"))</f>
        <v/>
      </c>
      <c r="FM6" s="170">
        <f>SUMPRODUCT((Settings!$G$14:$G$43=$B6)*COUNTIF('INPUT - Roster'!$GC$6:$GC$206,"*"&amp;Settings!$F$14:$F$43&amp;"*"))</f>
        <v/>
      </c>
      <c r="FN6" s="170">
        <f>SUMPRODUCT((Settings!$G$14:$G$43=$B6)*COUNTIF('INPUT - Roster'!$GD$6:$GD$206,"*"&amp;Settings!$F$14:$F$43&amp;"*"))</f>
        <v/>
      </c>
      <c r="FO6" s="170">
        <f>SUMPRODUCT((Settings!$G$14:$G$43=$B6)*COUNTIF('INPUT - Roster'!$GE$6:$GE$206,"*"&amp;Settings!$F$14:$F$43&amp;"*"))</f>
        <v/>
      </c>
      <c r="FP6" s="170">
        <f>SUMPRODUCT((Settings!$G$14:$G$43=$B6)*COUNTIF('INPUT - Roster'!$GF$6:$GF$206,"*"&amp;Settings!$F$14:$F$43&amp;"*"))</f>
        <v/>
      </c>
      <c r="FQ6" s="170">
        <f>SUMPRODUCT((Settings!$G$14:$G$43=$B6)*COUNTIF('INPUT - Roster'!$GG$6:$GG$206,"*"&amp;Settings!$F$14:$F$43&amp;"*"))</f>
        <v/>
      </c>
      <c r="FR6" s="170">
        <f>SUMPRODUCT((Settings!$G$14:$G$43=$B6)*COUNTIF('INPUT - Roster'!$GH$6:$GH$206,"*"&amp;Settings!$F$14:$F$43&amp;"*"))</f>
        <v/>
      </c>
      <c r="FS6" s="170">
        <f>SUMPRODUCT((Settings!$G$14:$G$43=$B6)*COUNTIF('INPUT - Roster'!$GI$6:$GI$206,"*"&amp;Settings!$F$14:$F$43&amp;"*"))</f>
        <v/>
      </c>
      <c r="FT6" s="170">
        <f>SUMPRODUCT((Settings!$G$14:$G$43=$B6)*COUNTIF('INPUT - Roster'!$GJ$6:$GJ$206,"*"&amp;Settings!$F$14:$F$43&amp;"*"))</f>
        <v/>
      </c>
      <c r="FU6" s="170">
        <f>SUMPRODUCT((Settings!$G$14:$G$43=$B6)*COUNTIF('INPUT - Roster'!$GK$6:$GK$206,"*"&amp;Settings!$F$14:$F$43&amp;"*"))</f>
        <v/>
      </c>
      <c r="FV6" s="170">
        <f>SUMPRODUCT((Settings!$G$14:$G$43=$B6)*COUNTIF('INPUT - Roster'!$GL$6:$GL$206,"*"&amp;Settings!$F$14:$F$43&amp;"*"))</f>
        <v/>
      </c>
      <c r="FW6" s="170">
        <f>SUMPRODUCT((Settings!$G$14:$G$43=$B6)*COUNTIF('INPUT - Roster'!$GM$6:$GM$206,"*"&amp;Settings!$F$14:$F$43&amp;"*"))</f>
        <v/>
      </c>
      <c r="FX6" s="170">
        <f>SUMPRODUCT((Settings!$G$14:$G$43=$B6)*COUNTIF('INPUT - Roster'!$GN$6:$GN$206,"*"&amp;Settings!$F$14:$F$43&amp;"*"))</f>
        <v/>
      </c>
      <c r="FY6" s="170">
        <f>SUMPRODUCT((Settings!$G$14:$G$43=$B6)*COUNTIF('INPUT - Roster'!$GO$6:$GO$206,"*"&amp;Settings!$F$14:$F$43&amp;"*"))</f>
        <v/>
      </c>
      <c r="FZ6" s="170">
        <f>SUMPRODUCT((Settings!$G$14:$G$43=$B6)*COUNTIF('INPUT - Roster'!$GP$6:$GP$206,"*"&amp;Settings!$F$14:$F$43&amp;"*"))</f>
        <v/>
      </c>
      <c r="GA6" s="170">
        <f>SUMPRODUCT((Settings!$G$14:$G$43=$B6)*COUNTIF('INPUT - Roster'!$GQ$6:$GQ$206,"*"&amp;Settings!$F$14:$F$43&amp;"*"))</f>
        <v/>
      </c>
      <c r="GB6" s="170">
        <f>SUMPRODUCT((Settings!$G$14:$G$43=$B6)*COUNTIF('INPUT - Roster'!$GR$6:$GR$206,"*"&amp;Settings!$F$14:$F$43&amp;"*"))</f>
        <v/>
      </c>
      <c r="GC6" s="170">
        <f>SUMPRODUCT((Settings!$G$14:$G$43=$B6)*COUNTIF('INPUT - Roster'!$GS$6:$GS$206,"*"&amp;Settings!$F$14:$F$43&amp;"*"))</f>
        <v/>
      </c>
      <c r="GD6" s="170">
        <f>SUMPRODUCT((Settings!$G$14:$G$43=$B6)*COUNTIF('INPUT - Roster'!$GT$6:$GT$206,"*"&amp;Settings!$F$14:$F$43&amp;"*"))</f>
        <v/>
      </c>
      <c r="GE6" s="170">
        <f>SUMPRODUCT((Settings!$G$14:$G$43=$B6)*COUNTIF('INPUT - Roster'!$GU$6:$GU$206,"*"&amp;Settings!$F$14:$F$43&amp;"*"))</f>
        <v/>
      </c>
      <c r="GF6" s="170">
        <f>SUMPRODUCT((Settings!$G$14:$G$43=$B6)*COUNTIF('INPUT - Roster'!$GV$6:$GV$206,"*"&amp;Settings!$F$14:$F$43&amp;"*"))</f>
        <v/>
      </c>
      <c r="GG6" s="170">
        <f>SUMPRODUCT((Settings!$G$14:$G$43=$B6)*COUNTIF('INPUT - Roster'!$GW$6:$GW$206,"*"&amp;Settings!$F$14:$F$43&amp;"*"))</f>
        <v/>
      </c>
      <c r="GH6" s="170">
        <f>SUMPRODUCT((Settings!$G$14:$G$43=$B6)*COUNTIF('INPUT - Roster'!$GX$6:$GX$206,"*"&amp;Settings!$F$14:$F$43&amp;"*"))</f>
        <v/>
      </c>
      <c r="GI6" s="170">
        <f>SUMPRODUCT((Settings!$G$14:$G$43=$B6)*COUNTIF('INPUT - Roster'!$GY$6:$GY$206,"*"&amp;Settings!$F$14:$F$43&amp;"*"))</f>
        <v/>
      </c>
      <c r="GJ6" s="170">
        <f>SUMPRODUCT((Settings!$G$14:$G$43=$B6)*COUNTIF('INPUT - Roster'!$GZ$6:$GZ$206,"*"&amp;Settings!$F$14:$F$43&amp;"*"))</f>
        <v/>
      </c>
      <c r="GK6" s="170">
        <f>SUMPRODUCT((Settings!$G$14:$G$43=$B6)*COUNTIF('INPUT - Roster'!$HA$6:$HA$206,"*"&amp;Settings!$F$14:$F$43&amp;"*"))</f>
        <v/>
      </c>
      <c r="GL6" s="170">
        <f>SUMPRODUCT((Settings!$G$14:$G$43=$B6)*COUNTIF('INPUT - Roster'!$HB$6:$HB$206,"*"&amp;Settings!$F$14:$F$43&amp;"*"))</f>
        <v/>
      </c>
      <c r="GM6" s="170">
        <f>SUMPRODUCT((Settings!$G$14:$G$43=$B6)*COUNTIF('INPUT - Roster'!$HC$6:$HC$206,"*"&amp;Settings!$F$14:$F$43&amp;"*"))</f>
        <v/>
      </c>
      <c r="GN6" s="170">
        <f>SUMPRODUCT((Settings!$G$14:$G$43=$B6)*COUNTIF('INPUT - Roster'!$HD$6:$HD$206,"*"&amp;Settings!$F$14:$F$43&amp;"*"))</f>
        <v/>
      </c>
      <c r="GO6" s="170">
        <f>SUMPRODUCT((Settings!$G$14:$G$43=$B6)*COUNTIF('INPUT - Roster'!$HE$6:$HE$206,"*"&amp;Settings!$F$14:$F$43&amp;"*"))</f>
        <v/>
      </c>
      <c r="GP6" s="170">
        <f>SUMPRODUCT((Settings!$G$14:$G$43=$B6)*COUNTIF('INPUT - Roster'!$HF$6:$HF$206,"*"&amp;Settings!$F$14:$F$43&amp;"*"))</f>
        <v/>
      </c>
      <c r="GQ6" s="170">
        <f>SUMPRODUCT((Settings!$G$14:$G$43=$B6)*COUNTIF('INPUT - Roster'!$HG$6:$HG$206,"*"&amp;Settings!$F$14:$F$43&amp;"*"))</f>
        <v/>
      </c>
      <c r="GR6" s="170">
        <f>SUMPRODUCT((Settings!$G$14:$G$43=$B6)*COUNTIF('INPUT - Roster'!$HH$6:$HH$206,"*"&amp;Settings!$F$14:$F$43&amp;"*"))</f>
        <v/>
      </c>
      <c r="GS6" s="170">
        <f>SUMPRODUCT((Settings!$G$14:$G$43=$B6)*COUNTIF('INPUT - Roster'!$HI$6:$HI$206,"*"&amp;Settings!$F$14:$F$43&amp;"*"))</f>
        <v/>
      </c>
      <c r="GT6" s="170">
        <f>SUMPRODUCT((Settings!$G$14:$G$43=$B6)*COUNTIF('INPUT - Roster'!$HJ$6:$HJ$206,"*"&amp;Settings!$F$14:$F$43&amp;"*"))</f>
        <v/>
      </c>
      <c r="GU6" s="170">
        <f>SUMPRODUCT((Settings!$G$14:$G$43=$B6)*COUNTIF('INPUT - Roster'!$HK$6:$HK$206,"*"&amp;Settings!$F$14:$F$43&amp;"*"))</f>
        <v/>
      </c>
      <c r="GV6" s="170">
        <f>SUMPRODUCT((Settings!$G$14:$G$43=$B6)*COUNTIF('INPUT - Roster'!$HL$6:$HL$206,"*"&amp;Settings!$F$14:$F$43&amp;"*"))</f>
        <v/>
      </c>
      <c r="GW6" s="170">
        <f>SUMPRODUCT((Settings!$G$14:$G$43=$B6)*COUNTIF('INPUT - Roster'!$HM$6:$HM$206,"*"&amp;Settings!$F$14:$F$43&amp;"*"))</f>
        <v/>
      </c>
      <c r="GX6" s="170">
        <f>SUMPRODUCT((Settings!$G$14:$G$43=$B6)*COUNTIF('INPUT - Roster'!$HN$6:$HN$206,"*"&amp;Settings!$F$14:$F$43&amp;"*"))</f>
        <v/>
      </c>
      <c r="GY6" s="170">
        <f>SUMPRODUCT((Settings!$G$14:$G$43=$B6)*COUNTIF('INPUT - Roster'!$HO$6:$HO$206,"*"&amp;Settings!$F$14:$F$43&amp;"*"))</f>
        <v/>
      </c>
      <c r="GZ6" s="170">
        <f>SUMPRODUCT((Settings!$G$14:$G$43=$B6)*COUNTIF('INPUT - Roster'!$HP$6:$HP$206,"*"&amp;Settings!$F$14:$F$43&amp;"*"))</f>
        <v/>
      </c>
      <c r="HA6" s="170">
        <f>SUMPRODUCT((Settings!$G$14:$G$43=$B6)*COUNTIF('INPUT - Roster'!$HQ$6:$HQ$206,"*"&amp;Settings!$F$14:$F$43&amp;"*"))</f>
        <v/>
      </c>
      <c r="HB6" s="170">
        <f>SUMPRODUCT((Settings!$G$14:$G$43=$B6)*COUNTIF('INPUT - Roster'!$HR$6:$HR$206,"*"&amp;Settings!$F$14:$F$43&amp;"*"))</f>
        <v/>
      </c>
      <c r="HC6" s="170">
        <f>SUMPRODUCT((Settings!$G$14:$G$43=$B6)*COUNTIF('INPUT - Roster'!$HS$6:$HS$206,"*"&amp;Settings!$F$14:$F$43&amp;"*"))</f>
        <v/>
      </c>
      <c r="HD6" s="170">
        <f>SUMPRODUCT((Settings!$G$14:$G$43=$B6)*COUNTIF('INPUT - Roster'!$HT$6:$HT$206,"*"&amp;Settings!$F$14:$F$43&amp;"*"))</f>
        <v/>
      </c>
      <c r="HE6" s="170">
        <f>SUMPRODUCT((Settings!$G$14:$G$43=$B6)*COUNTIF('INPUT - Roster'!$HU$6:$HU$206,"*"&amp;Settings!$F$14:$F$43&amp;"*"))</f>
        <v/>
      </c>
      <c r="HF6" s="170">
        <f>SUMPRODUCT((Settings!$G$14:$G$43=$B6)*COUNTIF('INPUT - Roster'!$HV$6:$HV$206,"*"&amp;Settings!$F$14:$F$43&amp;"*"))</f>
        <v/>
      </c>
      <c r="HG6" s="170">
        <f>SUMPRODUCT((Settings!$G$14:$G$43=$B6)*COUNTIF('INPUT - Roster'!$HW$6:$HW$206,"*"&amp;Settings!$F$14:$F$43&amp;"*"))</f>
        <v/>
      </c>
      <c r="HH6" s="170">
        <f>SUMPRODUCT((Settings!$G$14:$G$43=$B6)*COUNTIF('INPUT - Roster'!$HX$6:$HX$206,"*"&amp;Settings!$F$14:$F$43&amp;"*"))</f>
        <v/>
      </c>
      <c r="HI6" s="170">
        <f>SUMPRODUCT((Settings!$G$14:$G$43=$B6)*COUNTIF('INPUT - Roster'!$HY$6:$HY$206,"*"&amp;Settings!$F$14:$F$43&amp;"*"))</f>
        <v/>
      </c>
      <c r="HJ6" s="170">
        <f>SUMPRODUCT((Settings!$G$14:$G$43=$B6)*COUNTIF('INPUT - Roster'!$HZ$6:$HZ$206,"*"&amp;Settings!$F$14:$F$43&amp;"*"))</f>
        <v/>
      </c>
      <c r="HK6" s="170">
        <f>SUMPRODUCT((Settings!$G$14:$G$43=$B6)*COUNTIF('INPUT - Roster'!$IA$6:$IA$206,"*"&amp;Settings!$F$14:$F$43&amp;"*"))</f>
        <v/>
      </c>
      <c r="HL6" s="170">
        <f>SUMPRODUCT((Settings!$G$14:$G$43=$B6)*COUNTIF('INPUT - Roster'!$IB$6:$IB$206,"*"&amp;Settings!$F$14:$F$43&amp;"*"))</f>
        <v/>
      </c>
      <c r="HM6" s="170">
        <f>SUMPRODUCT((Settings!$G$14:$G$43=$B6)*COUNTIF('INPUT - Roster'!$IC$6:$IC$206,"*"&amp;Settings!$F$14:$F$43&amp;"*"))</f>
        <v/>
      </c>
      <c r="HN6" s="170">
        <f>SUMPRODUCT((Settings!$G$14:$G$43=$B6)*COUNTIF('INPUT - Roster'!$ID$6:$ID$206,"*"&amp;Settings!$F$14:$F$43&amp;"*"))</f>
        <v/>
      </c>
      <c r="HO6" s="170">
        <f>SUMPRODUCT((Settings!$G$14:$G$43=$B6)*COUNTIF('INPUT - Roster'!$IE$6:$IE$206,"*"&amp;Settings!$F$14:$F$43&amp;"*"))</f>
        <v/>
      </c>
      <c r="HP6" s="170">
        <f>SUMPRODUCT((Settings!$G$14:$G$43=$B6)*COUNTIF('INPUT - Roster'!$IF$6:$IF$206,"*"&amp;Settings!$F$14:$F$43&amp;"*"))</f>
        <v/>
      </c>
      <c r="HQ6" s="170">
        <f>SUMPRODUCT((Settings!$G$14:$G$43=$B6)*COUNTIF('INPUT - Roster'!$IG$6:$IG$206,"*"&amp;Settings!$F$14:$F$43&amp;"*"))</f>
        <v/>
      </c>
      <c r="HR6" s="170">
        <f>SUMPRODUCT((Settings!$G$14:$G$43=$B6)*COUNTIF('INPUT - Roster'!$IH$6:$IH$206,"*"&amp;Settings!$F$14:$F$43&amp;"*"))</f>
        <v/>
      </c>
      <c r="HS6" s="170">
        <f>SUMPRODUCT((Settings!$G$14:$G$43=$B6)*COUNTIF('INPUT - Roster'!$II$6:$II$206,"*"&amp;Settings!$F$14:$F$43&amp;"*"))</f>
        <v/>
      </c>
      <c r="HT6" s="170">
        <f>SUMPRODUCT((Settings!$G$14:$G$43=$B6)*COUNTIF('INPUT - Roster'!$IJ$6:$IJ$206,"*"&amp;Settings!$F$14:$F$43&amp;"*"))</f>
        <v/>
      </c>
      <c r="HU6" s="170">
        <f>SUMPRODUCT((Settings!$G$14:$G$43=$B6)*COUNTIF('INPUT - Roster'!$IK$6:$IK$206,"*"&amp;Settings!$F$14:$F$43&amp;"*"))</f>
        <v/>
      </c>
      <c r="HV6" s="170">
        <f>SUMPRODUCT((Settings!$G$14:$G$43=$B6)*COUNTIF('INPUT - Roster'!$IL$6:$IL$206,"*"&amp;Settings!$F$14:$F$43&amp;"*"))</f>
        <v/>
      </c>
      <c r="HW6" s="170">
        <f>SUMPRODUCT((Settings!$G$14:$G$43=$B6)*COUNTIF('INPUT - Roster'!$IM$6:$IM$206,"*"&amp;Settings!$F$14:$F$43&amp;"*"))</f>
        <v/>
      </c>
      <c r="HX6" s="170">
        <f>SUMPRODUCT((Settings!$G$14:$G$43=$B6)*COUNTIF('INPUT - Roster'!$IN$6:$IN$206,"*"&amp;Settings!$F$14:$F$43&amp;"*"))</f>
        <v/>
      </c>
      <c r="HY6" s="170">
        <f>SUMPRODUCT((Settings!$G$14:$G$43=$B6)*COUNTIF('INPUT - Roster'!$IO$6:$IO$206,"*"&amp;Settings!$F$14:$F$43&amp;"*"))</f>
        <v/>
      </c>
      <c r="HZ6" s="170">
        <f>SUMPRODUCT((Settings!$G$14:$G$43=$B6)*COUNTIF('INPUT - Roster'!$IP$6:$IP$206,"*"&amp;Settings!$F$14:$F$43&amp;"*"))</f>
        <v/>
      </c>
      <c r="IA6" s="170">
        <f>SUMPRODUCT((Settings!$G$14:$G$43=$B6)*COUNTIF('INPUT - Roster'!$IQ$6:$IQ$206,"*"&amp;Settings!$F$14:$F$43&amp;"*"))</f>
        <v/>
      </c>
      <c r="IB6" s="170">
        <f>SUMPRODUCT((Settings!$G$14:$G$43=$B6)*COUNTIF('INPUT - Roster'!$IR$6:$IR$206,"*"&amp;Settings!$F$14:$F$43&amp;"*"))</f>
        <v/>
      </c>
      <c r="IC6" s="170">
        <f>SUMPRODUCT((Settings!$G$14:$G$43=$B6)*COUNTIF('INPUT - Roster'!$IS$6:$IS$206,"*"&amp;Settings!$F$14:$F$43&amp;"*"))</f>
        <v/>
      </c>
      <c r="ID6" s="170">
        <f>SUMPRODUCT((Settings!$G$14:$G$43=$B6)*COUNTIF('INPUT - Roster'!$IT$6:$IT$206,"*"&amp;Settings!$F$14:$F$43&amp;"*"))</f>
        <v/>
      </c>
      <c r="IE6" s="170">
        <f>SUMPRODUCT((Settings!$G$14:$G$43=$B6)*COUNTIF('INPUT - Roster'!$IU$6:$IU$206,"*"&amp;Settings!$F$14:$F$43&amp;"*"))</f>
        <v/>
      </c>
      <c r="IF6" s="170">
        <f>SUMPRODUCT((Settings!$G$14:$G$43=$B6)*COUNTIF('INPUT - Roster'!$IV$6:$IV$206,"*"&amp;Settings!$F$14:$F$43&amp;"*"))</f>
        <v/>
      </c>
      <c r="IG6" s="170">
        <f>SUMPRODUCT((Settings!$G$14:$G$43=$B6)*COUNTIF('INPUT - Roster'!$IW$6:$IW$206,"*"&amp;Settings!$F$14:$F$43&amp;"*"))</f>
        <v/>
      </c>
      <c r="IH6" s="170">
        <f>SUMPRODUCT((Settings!$G$14:$G$43=$B6)*COUNTIF('INPUT - Roster'!$IX$6:$IX$206,"*"&amp;Settings!$F$14:$F$43&amp;"*"))</f>
        <v/>
      </c>
      <c r="II6" s="170">
        <f>SUMPRODUCT((Settings!$G$14:$G$43=$B6)*COUNTIF('INPUT - Roster'!$IY$6:$IY$206,"*"&amp;Settings!$F$14:$F$43&amp;"*"))</f>
        <v/>
      </c>
      <c r="IJ6" s="170">
        <f>SUMPRODUCT((Settings!$G$14:$G$43=$B6)*COUNTIF('INPUT - Roster'!$IZ$6:$IZ$206,"*"&amp;Settings!$F$14:$F$43&amp;"*"))</f>
        <v/>
      </c>
      <c r="IK6" s="170">
        <f>SUMPRODUCT((Settings!$G$14:$G$43=$B6)*COUNTIF('INPUT - Roster'!$JA$6:$JA$206,"*"&amp;Settings!$F$14:$F$43&amp;"*"))</f>
        <v/>
      </c>
      <c r="IL6" s="170">
        <f>SUMPRODUCT((Settings!$G$14:$G$43=$B6)*COUNTIF('INPUT - Roster'!$JB$6:$JB$206,"*"&amp;Settings!$F$14:$F$43&amp;"*"))</f>
        <v/>
      </c>
      <c r="IM6" s="170">
        <f>SUMPRODUCT((Settings!$G$14:$G$43=$B6)*COUNTIF('INPUT - Roster'!$JC$6:$JC$206,"*"&amp;Settings!$F$14:$F$43&amp;"*"))</f>
        <v/>
      </c>
      <c r="IN6" s="170">
        <f>SUMPRODUCT((Settings!$G$14:$G$43=$B6)*COUNTIF('INPUT - Roster'!$JD$6:$JD$206,"*"&amp;Settings!$F$14:$F$43&amp;"*"))</f>
        <v/>
      </c>
      <c r="IO6" s="170">
        <f>SUMPRODUCT((Settings!$G$14:$G$43=$B6)*COUNTIF('INPUT - Roster'!$JE$6:$JE$206,"*"&amp;Settings!$F$14:$F$43&amp;"*"))</f>
        <v/>
      </c>
      <c r="IP6" s="170">
        <f>SUMPRODUCT((Settings!$G$14:$G$43=$B6)*COUNTIF('INPUT - Roster'!$JF$6:$JF$206,"*"&amp;Settings!$F$14:$F$43&amp;"*"))</f>
        <v/>
      </c>
      <c r="IQ6" s="170">
        <f>SUMPRODUCT((Settings!$G$14:$G$43=$B6)*COUNTIF('INPUT - Roster'!$JG$6:$JG$206,"*"&amp;Settings!$F$14:$F$43&amp;"*"))</f>
        <v/>
      </c>
      <c r="IR6" s="170">
        <f>SUMPRODUCT((Settings!$G$14:$G$43=$B6)*COUNTIF('INPUT - Roster'!$JH$6:$JH$206,"*"&amp;Settings!$F$14:$F$43&amp;"*"))</f>
        <v/>
      </c>
      <c r="IS6" s="170">
        <f>SUMPRODUCT((Settings!$G$14:$G$43=$B6)*COUNTIF('INPUT - Roster'!$JI$6:$JI$206,"*"&amp;Settings!$F$14:$F$43&amp;"*"))</f>
        <v/>
      </c>
      <c r="IT6" s="170">
        <f>SUMPRODUCT((Settings!$G$14:$G$43=$B6)*COUNTIF('INPUT - Roster'!$JJ$6:$JJ$206,"*"&amp;Settings!$F$14:$F$43&amp;"*"))</f>
        <v/>
      </c>
      <c r="IU6" s="170">
        <f>SUMPRODUCT((Settings!$G$14:$G$43=$B6)*COUNTIF('INPUT - Roster'!$JK$6:$JK$206,"*"&amp;Settings!$F$14:$F$43&amp;"*"))</f>
        <v/>
      </c>
      <c r="IV6" s="170">
        <f>SUMPRODUCT((Settings!$G$14:$G$43=$B6)*COUNTIF('INPUT - Roster'!$JL$6:$JL$206,"*"&amp;Settings!$F$14:$F$43&amp;"*"))</f>
        <v/>
      </c>
      <c r="IW6" s="170">
        <f>SUMPRODUCT((Settings!$G$14:$G$43=$B6)*COUNTIF('INPUT - Roster'!$JM$6:$JM$206,"*"&amp;Settings!$F$14:$F$43&amp;"*"))</f>
        <v/>
      </c>
      <c r="IX6" s="170">
        <f>SUMPRODUCT((Settings!$G$14:$G$43=$B6)*COUNTIF('INPUT - Roster'!$JN$6:$JN$206,"*"&amp;Settings!$F$14:$F$43&amp;"*"))</f>
        <v/>
      </c>
      <c r="IY6" s="170">
        <f>SUMPRODUCT((Settings!$G$14:$G$43=$B6)*COUNTIF('INPUT - Roster'!$JO$6:$JO$206,"*"&amp;Settings!$F$14:$F$43&amp;"*"))</f>
        <v/>
      </c>
      <c r="IZ6" s="170">
        <f>SUMPRODUCT((Settings!$G$14:$G$43=$B6)*COUNTIF('INPUT - Roster'!$JP$6:$JP$206,"*"&amp;Settings!$F$14:$F$43&amp;"*"))</f>
        <v/>
      </c>
      <c r="JA6" s="170">
        <f>SUMPRODUCT((Settings!$G$14:$G$43=$B6)*COUNTIF('INPUT - Roster'!$JQ$6:$JQ$206,"*"&amp;Settings!$F$14:$F$43&amp;"*"))</f>
        <v/>
      </c>
      <c r="JB6" s="170">
        <f>SUMPRODUCT((Settings!$G$14:$G$43=$B6)*COUNTIF('INPUT - Roster'!$JR$6:$JR$206,"*"&amp;Settings!$F$14:$F$43&amp;"*"))</f>
        <v/>
      </c>
      <c r="JC6" s="170">
        <f>SUMPRODUCT((Settings!$G$14:$G$43=$B6)*COUNTIF('INPUT - Roster'!$JS$6:$JS$206,"*"&amp;Settings!$F$14:$F$43&amp;"*"))</f>
        <v/>
      </c>
      <c r="JD6" s="170">
        <f>SUMPRODUCT((Settings!$G$14:$G$43=$B6)*COUNTIF('INPUT - Roster'!$JT$6:$JT$206,"*"&amp;Settings!$F$14:$F$43&amp;"*"))</f>
        <v/>
      </c>
      <c r="JE6" s="170">
        <f>SUMPRODUCT((Settings!$G$14:$G$43=$B6)*COUNTIF('INPUT - Roster'!$JU$6:$JU$206,"*"&amp;Settings!$F$14:$F$43&amp;"*"))</f>
        <v/>
      </c>
      <c r="JF6" s="170">
        <f>SUMPRODUCT((Settings!$G$14:$G$43=$B6)*COUNTIF('INPUT - Roster'!$JV$6:$JV$206,"*"&amp;Settings!$F$14:$F$43&amp;"*"))</f>
        <v/>
      </c>
      <c r="JG6" s="170">
        <f>SUMPRODUCT((Settings!$G$14:$G$43=$B6)*COUNTIF('INPUT - Roster'!$JW$6:$JW$206,"*"&amp;Settings!$F$14:$F$43&amp;"*"))</f>
        <v/>
      </c>
      <c r="JH6" s="170">
        <f>SUMPRODUCT((Settings!$G$14:$G$43=$B6)*COUNTIF('INPUT - Roster'!$JX$6:$JX$206,"*"&amp;Settings!$F$14:$F$43&amp;"*"))</f>
        <v/>
      </c>
      <c r="JI6" s="170">
        <f>SUMPRODUCT((Settings!$G$14:$G$43=$B6)*COUNTIF('INPUT - Roster'!$JY$6:$JY$206,"*"&amp;Settings!$F$14:$F$43&amp;"*"))</f>
        <v/>
      </c>
      <c r="JJ6" s="170">
        <f>SUMPRODUCT((Settings!$G$14:$G$43=$B6)*COUNTIF('INPUT - Roster'!$JZ$6:$JZ$206,"*"&amp;Settings!$F$14:$F$43&amp;"*"))</f>
        <v/>
      </c>
      <c r="JK6" s="170">
        <f>SUMPRODUCT((Settings!$G$14:$G$43=$B6)*COUNTIF('INPUT - Roster'!$KA$6:$KA$206,"*"&amp;Settings!$F$14:$F$43&amp;"*"))</f>
        <v/>
      </c>
      <c r="JL6" s="170">
        <f>SUMPRODUCT((Settings!$G$14:$G$43=$B6)*COUNTIF('INPUT - Roster'!$KB$6:$KB$206,"*"&amp;Settings!$F$14:$F$43&amp;"*"))</f>
        <v/>
      </c>
      <c r="JM6" s="170">
        <f>SUMPRODUCT((Settings!$G$14:$G$43=$B6)*COUNTIF('INPUT - Roster'!$KC$6:$KC$206,"*"&amp;Settings!$F$14:$F$43&amp;"*"))</f>
        <v/>
      </c>
      <c r="JN6" s="170">
        <f>SUMPRODUCT((Settings!$G$14:$G$43=$B6)*COUNTIF('INPUT - Roster'!$KD$6:$KD$206,"*"&amp;Settings!$F$14:$F$43&amp;"*"))</f>
        <v/>
      </c>
      <c r="JO6" s="170">
        <f>SUMPRODUCT((Settings!$G$14:$G$43=$B6)*COUNTIF('INPUT - Roster'!$KE$6:$KE$206,"*"&amp;Settings!$F$14:$F$43&amp;"*"))</f>
        <v/>
      </c>
      <c r="JP6" s="170">
        <f>SUMPRODUCT((Settings!$G$14:$G$43=$B6)*COUNTIF('INPUT - Roster'!$KF$6:$KF$206,"*"&amp;Settings!$F$14:$F$43&amp;"*"))</f>
        <v/>
      </c>
      <c r="JQ6" s="170">
        <f>SUMPRODUCT((Settings!$G$14:$G$43=$B6)*COUNTIF('INPUT - Roster'!$KG$6:$KG$206,"*"&amp;Settings!$F$14:$F$43&amp;"*"))</f>
        <v/>
      </c>
      <c r="JR6" s="170">
        <f>SUMPRODUCT((Settings!$G$14:$G$43=$B6)*COUNTIF('INPUT - Roster'!$KH$6:$KH$206,"*"&amp;Settings!$F$14:$F$43&amp;"*"))</f>
        <v/>
      </c>
      <c r="JS6" s="170">
        <f>SUMPRODUCT((Settings!$G$14:$G$43=$B6)*COUNTIF('INPUT - Roster'!$KI$6:$KI$206,"*"&amp;Settings!$F$14:$F$43&amp;"*"))</f>
        <v/>
      </c>
      <c r="JT6" s="170">
        <f>SUMPRODUCT((Settings!$G$14:$G$43=$B6)*COUNTIF('INPUT - Roster'!$KJ$6:$KJ$206,"*"&amp;Settings!$F$14:$F$43&amp;"*"))</f>
        <v/>
      </c>
      <c r="JU6" s="170">
        <f>SUMPRODUCT((Settings!$G$14:$G$43=$B6)*COUNTIF('INPUT - Roster'!$KK$6:$KK$206,"*"&amp;Settings!$F$14:$F$43&amp;"*"))</f>
        <v/>
      </c>
      <c r="JV6" s="170">
        <f>SUMPRODUCT((Settings!$G$14:$G$43=$B6)*COUNTIF('INPUT - Roster'!$KL$6:$KL$206,"*"&amp;Settings!$F$14:$F$43&amp;"*"))</f>
        <v/>
      </c>
      <c r="JW6" s="170">
        <f>SUMPRODUCT((Settings!$G$14:$G$43=$B6)*COUNTIF('INPUT - Roster'!$KM$6:$KM$206,"*"&amp;Settings!$F$14:$F$43&amp;"*"))</f>
        <v/>
      </c>
      <c r="JX6" s="170">
        <f>SUMPRODUCT((Settings!$G$14:$G$43=$B6)*COUNTIF('INPUT - Roster'!$KN$6:$KN$206,"*"&amp;Settings!$F$14:$F$43&amp;"*"))</f>
        <v/>
      </c>
      <c r="JY6" s="170">
        <f>SUMPRODUCT((Settings!$G$14:$G$43=$B6)*COUNTIF('INPUT - Roster'!$KO$6:$KO$206,"*"&amp;Settings!$F$14:$F$43&amp;"*"))</f>
        <v/>
      </c>
      <c r="JZ6" s="170">
        <f>SUMPRODUCT((Settings!$G$14:$G$43=$B6)*COUNTIF('INPUT - Roster'!$KP$6:$KP$206,"*"&amp;Settings!$F$14:$F$43&amp;"*"))</f>
        <v/>
      </c>
      <c r="KA6" s="170">
        <f>SUMPRODUCT((Settings!$G$14:$G$43=$B6)*COUNTIF('INPUT - Roster'!$KQ$6:$KQ$206,"*"&amp;Settings!$F$14:$F$43&amp;"*"))</f>
        <v/>
      </c>
      <c r="KB6" s="170">
        <f>SUMPRODUCT((Settings!$G$14:$G$43=$B6)*COUNTIF('INPUT - Roster'!$KR$6:$KR$206,"*"&amp;Settings!$F$14:$F$43&amp;"*"))</f>
        <v/>
      </c>
      <c r="KC6" s="170">
        <f>SUMPRODUCT((Settings!$G$14:$G$43=$B6)*COUNTIF('INPUT - Roster'!$KS$6:$KS$206,"*"&amp;Settings!$F$14:$F$43&amp;"*"))</f>
        <v/>
      </c>
      <c r="KD6" s="170">
        <f>SUMPRODUCT((Settings!$G$14:$G$43=$B6)*COUNTIF('INPUT - Roster'!$KT$6:$KT$206,"*"&amp;Settings!$F$14:$F$43&amp;"*"))</f>
        <v/>
      </c>
      <c r="KE6" s="170">
        <f>SUMPRODUCT((Settings!$G$14:$G$43=$B6)*COUNTIF('INPUT - Roster'!$KU$6:$KU$206,"*"&amp;Settings!$F$14:$F$43&amp;"*"))</f>
        <v/>
      </c>
      <c r="KF6" s="170">
        <f>SUMPRODUCT((Settings!$G$14:$G$43=$B6)*COUNTIF('INPUT - Roster'!$KV$6:$KV$206,"*"&amp;Settings!$F$14:$F$43&amp;"*"))</f>
        <v/>
      </c>
      <c r="KG6" s="170">
        <f>SUMPRODUCT((Settings!$G$14:$G$43=$B6)*COUNTIF('INPUT - Roster'!$KW$6:$KW$206,"*"&amp;Settings!$F$14:$F$43&amp;"*"))</f>
        <v/>
      </c>
      <c r="KH6" s="170">
        <f>SUMPRODUCT((Settings!$G$14:$G$43=$B6)*COUNTIF('INPUT - Roster'!$KX$6:$KX$206,"*"&amp;Settings!$F$14:$F$43&amp;"*"))</f>
        <v/>
      </c>
      <c r="KI6" s="170">
        <f>SUMPRODUCT((Settings!$G$14:$G$43=$B6)*COUNTIF('INPUT - Roster'!$KY$6:$KY$206,"*"&amp;Settings!$F$14:$F$43&amp;"*"))</f>
        <v/>
      </c>
      <c r="KJ6" s="170">
        <f>SUMPRODUCT((Settings!$G$14:$G$43=$B6)*COUNTIF('INPUT - Roster'!$KZ$6:$KZ$206,"*"&amp;Settings!$F$14:$F$43&amp;"*"))</f>
        <v/>
      </c>
      <c r="KK6" s="170">
        <f>SUMPRODUCT((Settings!$G$14:$G$43=$B6)*COUNTIF('INPUT - Roster'!$LA$6:$LA$206,"*"&amp;Settings!$F$14:$F$43&amp;"*"))</f>
        <v/>
      </c>
      <c r="KL6" s="170">
        <f>SUMPRODUCT((Settings!$G$14:$G$43=$B6)*COUNTIF('INPUT - Roster'!$LB$6:$LB$206,"*"&amp;Settings!$F$14:$F$43&amp;"*"))</f>
        <v/>
      </c>
      <c r="KM6" s="170">
        <f>SUMPRODUCT((Settings!$G$14:$G$43=$B6)*COUNTIF('INPUT - Roster'!$LC$6:$LC$206,"*"&amp;Settings!$F$14:$F$43&amp;"*"))</f>
        <v/>
      </c>
      <c r="KN6" s="170">
        <f>SUMPRODUCT((Settings!$G$14:$G$43=$B6)*COUNTIF('INPUT - Roster'!$LD$6:$LD$206,"*"&amp;Settings!$F$14:$F$43&amp;"*"))</f>
        <v/>
      </c>
      <c r="KO6" s="170">
        <f>SUMPRODUCT((Settings!$G$14:$G$43=$B6)*COUNTIF('INPUT - Roster'!$LE$6:$LE$206,"*"&amp;Settings!$F$14:$F$43&amp;"*"))</f>
        <v/>
      </c>
      <c r="KP6" s="170">
        <f>SUMPRODUCT((Settings!$G$14:$G$43=$B6)*COUNTIF('INPUT - Roster'!$LF$6:$LF$206,"*"&amp;Settings!$F$14:$F$43&amp;"*"))</f>
        <v/>
      </c>
      <c r="KQ6" s="170">
        <f>SUMPRODUCT((Settings!$G$14:$G$43=$B6)*COUNTIF('INPUT - Roster'!$LG$6:$LG$206,"*"&amp;Settings!$F$14:$F$43&amp;"*"))</f>
        <v/>
      </c>
      <c r="KR6" s="170">
        <f>SUMPRODUCT((Settings!$G$14:$G$43=$B6)*COUNTIF('INPUT - Roster'!$LH$6:$LH$206,"*"&amp;Settings!$F$14:$F$43&amp;"*"))</f>
        <v/>
      </c>
      <c r="KS6" s="170">
        <f>SUMPRODUCT((Settings!$G$14:$G$43=$B6)*COUNTIF('INPUT - Roster'!$LI$6:$LI$206,"*"&amp;Settings!$F$14:$F$43&amp;"*"))</f>
        <v/>
      </c>
      <c r="KT6" s="170">
        <f>SUMPRODUCT((Settings!$G$14:$G$43=$B6)*COUNTIF('INPUT - Roster'!$LJ$6:$LJ$206,"*"&amp;Settings!$F$14:$F$43&amp;"*"))</f>
        <v/>
      </c>
      <c r="KU6" s="170">
        <f>SUMPRODUCT((Settings!$G$14:$G$43=$B6)*COUNTIF('INPUT - Roster'!$LK$6:$LK$206,"*"&amp;Settings!$F$14:$F$43&amp;"*"))</f>
        <v/>
      </c>
      <c r="KV6" s="170">
        <f>SUMPRODUCT((Settings!$G$14:$G$43=$B6)*COUNTIF('INPUT - Roster'!$LL$6:$LL$206,"*"&amp;Settings!$F$14:$F$43&amp;"*"))</f>
        <v/>
      </c>
      <c r="KW6" s="170">
        <f>SUMPRODUCT((Settings!$G$14:$G$43=$B6)*COUNTIF('INPUT - Roster'!$LM$6:$LM$206,"*"&amp;Settings!$F$14:$F$43&amp;"*"))</f>
        <v/>
      </c>
      <c r="KX6" s="170">
        <f>SUMPRODUCT((Settings!$G$14:$G$43=$B6)*COUNTIF('INPUT - Roster'!$LN$6:$LN$206,"*"&amp;Settings!$F$14:$F$43&amp;"*"))</f>
        <v/>
      </c>
      <c r="KY6" s="170">
        <f>SUMPRODUCT((Settings!$G$14:$G$43=$B6)*COUNTIF('INPUT - Roster'!$LO$6:$LO$206,"*"&amp;Settings!$F$14:$F$43&amp;"*"))</f>
        <v/>
      </c>
      <c r="KZ6" s="170">
        <f>SUMPRODUCT((Settings!$G$14:$G$43=$B6)*COUNTIF('INPUT - Roster'!$LP$6:$LP$206,"*"&amp;Settings!$F$14:$F$43&amp;"*"))</f>
        <v/>
      </c>
      <c r="LA6" s="170">
        <f>SUMPRODUCT((Settings!$G$14:$G$43=$B6)*COUNTIF('INPUT - Roster'!$LQ$6:$LQ$206,"*"&amp;Settings!$F$14:$F$43&amp;"*"))</f>
        <v/>
      </c>
      <c r="LB6" s="170">
        <f>SUMPRODUCT((Settings!$G$14:$G$43=$B6)*COUNTIF('INPUT - Roster'!$LR$6:$LR$206,"*"&amp;Settings!$F$14:$F$43&amp;"*"))</f>
        <v/>
      </c>
      <c r="LC6" s="170">
        <f>SUMPRODUCT((Settings!$G$14:$G$43=$B6)*COUNTIF('INPUT - Roster'!$LS$6:$LS$206,"*"&amp;Settings!$F$14:$F$43&amp;"*"))</f>
        <v/>
      </c>
      <c r="LD6" s="170">
        <f>SUMPRODUCT((Settings!$G$14:$G$43=$B6)*COUNTIF('INPUT - Roster'!$LT$6:$LT$206,"*"&amp;Settings!$F$14:$F$43&amp;"*"))</f>
        <v/>
      </c>
      <c r="LE6" s="170">
        <f>SUMPRODUCT((Settings!$G$14:$G$43=$B6)*COUNTIF('INPUT - Roster'!$LU$6:$LU$206,"*"&amp;Settings!$F$14:$F$43&amp;"*"))</f>
        <v/>
      </c>
      <c r="LF6" s="170">
        <f>SUMPRODUCT((Settings!$G$14:$G$43=$B6)*COUNTIF('INPUT - Roster'!$LV$6:$LV$206,"*"&amp;Settings!$F$14:$F$43&amp;"*"))</f>
        <v/>
      </c>
      <c r="LG6" s="170">
        <f>SUMPRODUCT((Settings!$G$14:$G$43=$B6)*COUNTIF('INPUT - Roster'!$LW$6:$LW$206,"*"&amp;Settings!$F$14:$F$43&amp;"*"))</f>
        <v/>
      </c>
      <c r="LH6" s="170">
        <f>SUMPRODUCT((Settings!$G$14:$G$43=$B6)*COUNTIF('INPUT - Roster'!$LX$6:$LX$206,"*"&amp;Settings!$F$14:$F$43&amp;"*"))</f>
        <v/>
      </c>
      <c r="LI6" s="170">
        <f>SUMPRODUCT((Settings!$G$14:$G$43=$B6)*COUNTIF('INPUT - Roster'!$LY$6:$LY$206,"*"&amp;Settings!$F$14:$F$43&amp;"*"))</f>
        <v/>
      </c>
      <c r="LJ6" s="170">
        <f>SUMPRODUCT((Settings!$G$14:$G$43=$B6)*COUNTIF('INPUT - Roster'!$LZ$6:$LZ$206,"*"&amp;Settings!$F$14:$F$43&amp;"*"))</f>
        <v/>
      </c>
      <c r="LK6" s="170">
        <f>SUMPRODUCT((Settings!$G$14:$G$43=$B6)*COUNTIF('INPUT - Roster'!$MA$6:$MA$206,"*"&amp;Settings!$F$14:$F$43&amp;"*"))</f>
        <v/>
      </c>
      <c r="LL6" s="170">
        <f>SUMPRODUCT((Settings!$G$14:$G$43=$B6)*COUNTIF('INPUT - Roster'!$MB$6:$MB$206,"*"&amp;Settings!$F$14:$F$43&amp;"*"))</f>
        <v/>
      </c>
      <c r="LM6" s="170">
        <f>SUMPRODUCT((Settings!$G$14:$G$43=$B6)*COUNTIF('INPUT - Roster'!$MC$6:$MC$206,"*"&amp;Settings!$F$14:$F$43&amp;"*"))</f>
        <v/>
      </c>
      <c r="LN6" s="170">
        <f>SUMPRODUCT((Settings!$G$14:$G$43=$B6)*COUNTIF('INPUT - Roster'!$MD$6:$MD$206,"*"&amp;Settings!$F$14:$F$43&amp;"*"))</f>
        <v/>
      </c>
      <c r="LO6" s="170">
        <f>SUMPRODUCT((Settings!$G$14:$G$43=$B6)*COUNTIF('INPUT - Roster'!$ME$6:$ME$206,"*"&amp;Settings!$F$14:$F$43&amp;"*"))</f>
        <v/>
      </c>
      <c r="LP6" s="170">
        <f>SUMPRODUCT((Settings!$G$14:$G$43=$B6)*COUNTIF('INPUT - Roster'!$MF$6:$MF$206,"*"&amp;Settings!$F$14:$F$43&amp;"*"))</f>
        <v/>
      </c>
      <c r="LQ6" s="170">
        <f>SUMPRODUCT((Settings!$G$14:$G$43=$B6)*COUNTIF('INPUT - Roster'!$MG$6:$MG$206,"*"&amp;Settings!$F$14:$F$43&amp;"*"))</f>
        <v/>
      </c>
      <c r="LR6" s="170">
        <f>SUMPRODUCT((Settings!$G$14:$G$43=$B6)*COUNTIF('INPUT - Roster'!$MH$6:$MH$206,"*"&amp;Settings!$F$14:$F$43&amp;"*"))</f>
        <v/>
      </c>
      <c r="LS6" s="170">
        <f>SUMPRODUCT((Settings!$G$14:$G$43=$B6)*COUNTIF('INPUT - Roster'!$MI$6:$MI$206,"*"&amp;Settings!$F$14:$F$43&amp;"*"))</f>
        <v/>
      </c>
      <c r="LT6" s="170">
        <f>SUMPRODUCT((Settings!$G$14:$G$43=$B6)*COUNTIF('INPUT - Roster'!$MJ$6:$MJ$206,"*"&amp;Settings!$F$14:$F$43&amp;"*"))</f>
        <v/>
      </c>
      <c r="LU6" s="170">
        <f>SUMPRODUCT((Settings!$G$14:$G$43=$B6)*COUNTIF('INPUT - Roster'!$MK$6:$MK$206,"*"&amp;Settings!$F$14:$F$43&amp;"*"))</f>
        <v/>
      </c>
      <c r="LV6" s="170">
        <f>SUMPRODUCT((Settings!$G$14:$G$43=$B6)*COUNTIF('INPUT - Roster'!$ML$6:$ML$206,"*"&amp;Settings!$F$14:$F$43&amp;"*"))</f>
        <v/>
      </c>
      <c r="LW6" s="170">
        <f>SUMPRODUCT((Settings!$G$14:$G$43=$B6)*COUNTIF('INPUT - Roster'!$MM$6:$MM$206,"*"&amp;Settings!$F$14:$F$43&amp;"*"))</f>
        <v/>
      </c>
      <c r="LX6" s="170">
        <f>SUMPRODUCT((Settings!$G$14:$G$43=$B6)*COUNTIF('INPUT - Roster'!$MN$6:$MN$206,"*"&amp;Settings!$F$14:$F$43&amp;"*"))</f>
        <v/>
      </c>
      <c r="LY6" s="170">
        <f>SUMPRODUCT((Settings!$G$14:$G$43=$B6)*COUNTIF('INPUT - Roster'!$MO$6:$MO$206,"*"&amp;Settings!$F$14:$F$43&amp;"*"))</f>
        <v/>
      </c>
      <c r="LZ6" s="170">
        <f>SUMPRODUCT((Settings!$G$14:$G$43=$B6)*COUNTIF('INPUT - Roster'!$MP$6:$MP$206,"*"&amp;Settings!$F$14:$F$43&amp;"*"))</f>
        <v/>
      </c>
      <c r="MA6" s="170">
        <f>SUMPRODUCT((Settings!$G$14:$G$43=$B6)*COUNTIF('INPUT - Roster'!$MQ$6:$MQ$206,"*"&amp;Settings!$F$14:$F$43&amp;"*"))</f>
        <v/>
      </c>
      <c r="MB6" s="170">
        <f>SUMPRODUCT((Settings!$G$14:$G$43=$B6)*COUNTIF('INPUT - Roster'!$MR$6:$MR$206,"*"&amp;Settings!$F$14:$F$43&amp;"*"))</f>
        <v/>
      </c>
      <c r="MC6" s="170">
        <f>SUMPRODUCT((Settings!$G$14:$G$43=$B6)*COUNTIF('INPUT - Roster'!$MS$6:$MS$206,"*"&amp;Settings!$F$14:$F$43&amp;"*"))</f>
        <v/>
      </c>
      <c r="MD6" s="170">
        <f>SUMPRODUCT((Settings!$G$14:$G$43=$B6)*COUNTIF('INPUT - Roster'!$MT$6:$MT$206,"*"&amp;Settings!$F$14:$F$43&amp;"*"))</f>
        <v/>
      </c>
      <c r="ME6" s="170">
        <f>SUMPRODUCT((Settings!$G$14:$G$43=$B6)*COUNTIF('INPUT - Roster'!$MU$6:$MU$206,"*"&amp;Settings!$F$14:$F$43&amp;"*"))</f>
        <v/>
      </c>
      <c r="MF6" s="170">
        <f>SUMPRODUCT((Settings!$G$14:$G$43=$B6)*COUNTIF('INPUT - Roster'!$MV$6:$MV$206,"*"&amp;Settings!$F$14:$F$43&amp;"*"))</f>
        <v/>
      </c>
      <c r="MG6" s="170">
        <f>SUMPRODUCT((Settings!$G$14:$G$43=$B6)*COUNTIF('INPUT - Roster'!$MW$6:$MW$206,"*"&amp;Settings!$F$14:$F$43&amp;"*"))</f>
        <v/>
      </c>
      <c r="MH6" s="170">
        <f>SUMPRODUCT((Settings!$G$14:$G$43=$B6)*COUNTIF('INPUT - Roster'!$MX$6:$MX$206,"*"&amp;Settings!$F$14:$F$43&amp;"*"))</f>
        <v/>
      </c>
      <c r="MI6" s="170">
        <f>SUMPRODUCT((Settings!$G$14:$G$43=$B6)*COUNTIF('INPUT - Roster'!$MY$6:$MY$206,"*"&amp;Settings!$F$14:$F$43&amp;"*"))</f>
        <v/>
      </c>
      <c r="MJ6" s="170">
        <f>SUMPRODUCT((Settings!$G$14:$G$43=$B6)*COUNTIF('INPUT - Roster'!$MZ$6:$MZ$206,"*"&amp;Settings!$F$14:$F$43&amp;"*"))</f>
        <v/>
      </c>
      <c r="MK6" s="170">
        <f>SUMPRODUCT((Settings!$G$14:$G$43=$B6)*COUNTIF('INPUT - Roster'!$NA$6:$NA$206,"*"&amp;Settings!$F$14:$F$43&amp;"*"))</f>
        <v/>
      </c>
      <c r="ML6" s="170">
        <f>SUMPRODUCT((Settings!$G$14:$G$43=$B6)*COUNTIF('INPUT - Roster'!$NB$6:$NB$206,"*"&amp;Settings!$F$14:$F$43&amp;"*"))</f>
        <v/>
      </c>
      <c r="MM6" s="170">
        <f>SUMPRODUCT((Settings!$G$14:$G$43=$B6)*COUNTIF('INPUT - Roster'!$NC$6:$NC$206,"*"&amp;Settings!$F$14:$F$43&amp;"*"))</f>
        <v/>
      </c>
      <c r="MN6" s="170">
        <f>SUMPRODUCT((Settings!$G$14:$G$43=$B6)*COUNTIF('INPUT - Roster'!$ND$6:$ND$206,"*"&amp;Settings!$F$14:$F$43&amp;"*"))</f>
        <v/>
      </c>
      <c r="MO6" s="170">
        <f>SUMPRODUCT((Settings!$G$14:$G$43=$B6)*COUNTIF('INPUT - Roster'!$NE$6:$NE$206,"*"&amp;Settings!$F$14:$F$43&amp;"*"))</f>
        <v/>
      </c>
      <c r="MP6" s="170">
        <f>SUMPRODUCT((Settings!$G$14:$G$43=$B6)*COUNTIF('INPUT - Roster'!$NF$6:$NF$206,"*"&amp;Settings!$F$14:$F$43&amp;"*"))</f>
        <v/>
      </c>
      <c r="MQ6" s="170">
        <f>SUMPRODUCT((Settings!$G$14:$G$43=$B6)*COUNTIF('INPUT - Roster'!$NG$6:$NG$206,"*"&amp;Settings!$F$14:$F$43&amp;"*"))</f>
        <v/>
      </c>
      <c r="MR6" s="170">
        <f>SUMPRODUCT((Settings!$G$14:$G$43=$B6)*COUNTIF('INPUT - Roster'!$NH$6:$NH$206,"*"&amp;Settings!$F$14:$F$43&amp;"*"))</f>
        <v/>
      </c>
      <c r="MS6" s="170">
        <f>SUMPRODUCT((Settings!$G$14:$G$43=$B6)*COUNTIF('INPUT - Roster'!$NI$6:$NI$206,"*"&amp;Settings!$F$14:$F$43&amp;"*"))</f>
        <v/>
      </c>
      <c r="MT6" s="170">
        <f>SUMPRODUCT((Settings!$G$14:$G$43=$B6)*COUNTIF('INPUT - Roster'!$NJ$6:$NJ$206,"*"&amp;Settings!$F$14:$F$43&amp;"*"))</f>
        <v/>
      </c>
      <c r="MU6" s="170">
        <f>SUMPRODUCT((Settings!$G$14:$G$43=$B6)*COUNTIF('INPUT - Roster'!$NK$6:$NK$206,"*"&amp;Settings!$F$14:$F$43&amp;"*"))</f>
        <v/>
      </c>
      <c r="MV6" s="170">
        <f>SUMPRODUCT((Settings!$G$14:$G$43=$B6)*COUNTIF('INPUT - Roster'!$NL$6:$NL$206,"*"&amp;Settings!$F$14:$F$43&amp;"*"))</f>
        <v/>
      </c>
      <c r="MW6" s="170">
        <f>SUMPRODUCT((Settings!$G$14:$G$43=$B6)*COUNTIF('INPUT - Roster'!$NM$6:$NM$206,"*"&amp;Settings!$F$14:$F$43&amp;"*"))</f>
        <v/>
      </c>
      <c r="MX6" s="170">
        <f>SUMPRODUCT((Settings!$G$14:$G$43=$B6)*COUNTIF('INPUT - Roster'!$NN$6:$NN$206,"*"&amp;Settings!$F$14:$F$43&amp;"*"))</f>
        <v/>
      </c>
      <c r="MY6" s="170">
        <f>SUMPRODUCT((Settings!$G$14:$G$43=$B6)*COUNTIF('INPUT - Roster'!$NO$6:$NO$206,"*"&amp;Settings!$F$14:$F$43&amp;"*"))</f>
        <v/>
      </c>
      <c r="MZ6" s="170">
        <f>SUMPRODUCT((Settings!$G$14:$G$43=$B6)*COUNTIF('INPUT - Roster'!$NP$6:$NP$206,"*"&amp;Settings!$F$14:$F$43&amp;"*"))</f>
        <v/>
      </c>
      <c r="NA6" s="170">
        <f>SUMPRODUCT((Settings!$G$14:$G$43=$B6)*COUNTIF('INPUT - Roster'!$NQ$6:$NQ$206,"*"&amp;Settings!$F$14:$F$43&amp;"*"))</f>
        <v/>
      </c>
      <c r="NB6" s="170">
        <f>SUMPRODUCT((Settings!$G$14:$G$43=$B6)*COUNTIF('INPUT - Roster'!$NR$6:$NR$206,"*"&amp;Settings!$F$14:$F$43&amp;"*"))</f>
        <v/>
      </c>
      <c r="NC6" s="170">
        <f>SUMPRODUCT((Settings!$G$14:$G$43=$B6)*COUNTIF('INPUT - Roster'!$NS$6:$NS$206,"*"&amp;Settings!$F$14:$F$43&amp;"*"))</f>
        <v/>
      </c>
      <c r="ND6" s="170">
        <f>SUMPRODUCT((Settings!$G$14:$G$43=$B6)*COUNTIF('INPUT - Roster'!$NT$6:$NT$206,"*"&amp;Settings!$F$14:$F$43&amp;"*"))</f>
        <v/>
      </c>
      <c r="NE6" s="170">
        <f>SUMPRODUCT((Settings!$G$14:$G$43=$B6)*COUNTIF('INPUT - Roster'!$NU$6:$NU$206,"*"&amp;Settings!$F$14:$F$43&amp;"*"))</f>
        <v/>
      </c>
      <c r="NF6" s="170">
        <f>SUMPRODUCT((Settings!$G$14:$G$43=$B6)*COUNTIF('INPUT - Roster'!$NV$6:$NV$206,"*"&amp;Settings!$F$14:$F$43&amp;"*"))</f>
        <v/>
      </c>
      <c r="NG6" s="170">
        <f>SUMPRODUCT((Settings!$G$14:$G$43=$B6)*COUNTIF('INPUT - Roster'!$NW$6:$NW$206,"*"&amp;Settings!$F$14:$F$43&amp;"*"))</f>
        <v/>
      </c>
      <c r="NH6" s="170">
        <f>SUMPRODUCT((Settings!$G$14:$G$43=$B6)*COUNTIF('INPUT - Roster'!$NX$6:$NX$206,"*"&amp;Settings!$F$14:$F$43&amp;"*"))</f>
        <v/>
      </c>
      <c r="NI6" s="170">
        <f>SUMPRODUCT((Settings!$G$14:$G$43=$B6)*COUNTIF('INPUT - Roster'!$NY$6:$NY$206,"*"&amp;Settings!$F$14:$F$43&amp;"*"))</f>
        <v/>
      </c>
      <c r="NJ6" s="170">
        <f>SUMPRODUCT((Settings!$G$14:$G$43=$B6)*COUNTIF('INPUT - Roster'!$NZ$6:$NZ$206,"*"&amp;Settings!$F$14:$F$43&amp;"*"))</f>
        <v/>
      </c>
      <c r="NK6" s="170">
        <f>SUMPRODUCT((Settings!$G$14:$G$43=$B6)*COUNTIF('INPUT - Roster'!$OA$6:$OA$206,"*"&amp;Settings!$F$14:$F$43&amp;"*"))</f>
        <v/>
      </c>
      <c r="NL6" s="170">
        <f>SUMPRODUCT((Settings!$G$14:$G$43=$B6)*COUNTIF('INPUT - Roster'!$OB$6:$OB$206,"*"&amp;Settings!$F$14:$F$43&amp;"*"))</f>
        <v/>
      </c>
      <c r="NM6" s="170">
        <f>SUMPRODUCT((Settings!$G$14:$G$43=$B6)*COUNTIF('INPUT - Roster'!$OC$6:$OC$206,"*"&amp;Settings!$F$14:$F$43&amp;"*"))</f>
        <v/>
      </c>
      <c r="NN6" s="170">
        <f>SUMPRODUCT((Settings!$G$14:$G$43=$B6)*COUNTIF('INPUT - Roster'!$OD$6:$OD$206,"*"&amp;Settings!$F$14:$F$43&amp;"*"))</f>
        <v/>
      </c>
      <c r="NO6" s="170">
        <f>SUMPRODUCT((Settings!$G$14:$G$43=$B6)*COUNTIF('INPUT - Roster'!$OE$6:$OE$206,"*"&amp;Settings!$F$14:$F$43&amp;"*"))</f>
        <v/>
      </c>
      <c r="NP6" s="170">
        <f>SUMPRODUCT((Settings!$G$14:$G$43=$B6)*COUNTIF('INPUT - Roster'!$OF$6:$OF$206,"*"&amp;Settings!$F$14:$F$43&amp;"*"))</f>
        <v/>
      </c>
      <c r="NQ6" s="170">
        <f>SUMPRODUCT((Settings!$G$14:$G$43=$B6)*COUNTIF('INPUT - Roster'!$OG$6:$OG$206,"*"&amp;Settings!$F$14:$F$43&amp;"*"))</f>
        <v/>
      </c>
      <c r="NR6" s="170">
        <f>SUMPRODUCT((Settings!$G$14:$G$43=$B6)*COUNTIF('INPUT - Roster'!$OH$6:$OH$206,"*"&amp;Settings!$F$14:$F$43&amp;"*"))</f>
        <v/>
      </c>
      <c r="NS6" s="170">
        <f>SUMPRODUCT((Settings!$G$14:$G$43=$B6)*COUNTIF('INPUT - Roster'!$OI$6:$OI$206,"*"&amp;Settings!$F$14:$F$43&amp;"*"))</f>
        <v/>
      </c>
      <c r="NT6" s="170">
        <f>SUMPRODUCT((Settings!$G$14:$G$43=$B6)*COUNTIF('INPUT - Roster'!$OJ$6:$OJ$206,"*"&amp;Settings!$F$14:$F$43&amp;"*"))</f>
        <v/>
      </c>
      <c r="NU6" s="170">
        <f>SUMPRODUCT((Settings!$G$14:$G$43=$B6)*COUNTIF('INPUT - Roster'!$OK$6:$OK$206,"*"&amp;Settings!$F$14:$F$43&amp;"*"))</f>
        <v/>
      </c>
      <c r="NV6" s="170">
        <f>SUMPRODUCT((Settings!$G$14:$G$43=$B6)*COUNTIF('INPUT - Roster'!$OL$6:$OL$206,"*"&amp;Settings!$F$14:$F$43&amp;"*"))</f>
        <v/>
      </c>
      <c r="NW6" s="170">
        <f>SUMPRODUCT((Settings!$G$14:$G$43=$B6)*COUNTIF('INPUT - Roster'!$OM$6:$OM$206,"*"&amp;Settings!$F$14:$F$43&amp;"*"))</f>
        <v/>
      </c>
      <c r="NX6" s="170">
        <f>SUMPRODUCT((Settings!$G$14:$G$43=$B6)*COUNTIF('INPUT - Roster'!$ON$6:$ON$206,"*"&amp;Settings!$F$14:$F$43&amp;"*"))</f>
        <v/>
      </c>
      <c r="NY6" s="170">
        <f>SUMPRODUCT((Settings!$G$14:$G$43=$B6)*COUNTIF('INPUT - Roster'!$OO$6:$OO$206,"*"&amp;Settings!$F$14:$F$43&amp;"*"))</f>
        <v/>
      </c>
      <c r="NZ6" s="170">
        <f>SUMPRODUCT((Settings!$G$14:$G$43=$B6)*COUNTIF('INPUT - Roster'!$OP$6:$OP$206,"*"&amp;Settings!$F$14:$F$43&amp;"*"))</f>
        <v/>
      </c>
      <c r="OA6" s="170">
        <f>SUMPRODUCT((Settings!$G$14:$G$43=$B6)*COUNTIF('INPUT - Roster'!$OQ$6:$OQ$206,"*"&amp;Settings!$F$14:$F$43&amp;"*"))</f>
        <v/>
      </c>
      <c r="OB6" s="170">
        <f>SUMPRODUCT((Settings!$G$14:$G$43=$B6)*COUNTIF('INPUT - Roster'!$OR$6:$OR$206,"*"&amp;Settings!$F$14:$F$43&amp;"*"))</f>
        <v/>
      </c>
      <c r="OC6" s="170">
        <f>SUMPRODUCT((Settings!$G$14:$G$43=$B6)*COUNTIF('INPUT - Roster'!$OS$6:$OS$206,"*"&amp;Settings!$F$14:$F$43&amp;"*"))</f>
        <v/>
      </c>
      <c r="OD6" s="170">
        <f>SUMPRODUCT((Settings!$G$14:$G$43=$B6)*COUNTIF('INPUT - Roster'!$OT$6:$OT$206,"*"&amp;Settings!$F$14:$F$43&amp;"*"))</f>
        <v/>
      </c>
      <c r="OE6" s="170">
        <f>SUMPRODUCT((Settings!$G$14:$G$43=$B6)*COUNTIF('INPUT - Roster'!$OU$6:$OU$206,"*"&amp;Settings!$F$14:$F$43&amp;"*"))</f>
        <v/>
      </c>
      <c r="OF6" s="170">
        <f>SUMPRODUCT((Settings!$G$14:$G$43=$B6)*COUNTIF('INPUT - Roster'!$OV$6:$OV$206,"*"&amp;Settings!$F$14:$F$43&amp;"*"))</f>
        <v/>
      </c>
      <c r="OG6" s="170">
        <f>SUMPRODUCT((Settings!$G$14:$G$43=$B6)*COUNTIF('INPUT - Roster'!$OW$6:$OW$206,"*"&amp;Settings!$F$14:$F$43&amp;"*"))</f>
        <v/>
      </c>
      <c r="OH6" s="170">
        <f>SUMPRODUCT((Settings!$G$14:$G$43=$B6)*COUNTIF('INPUT - Roster'!$OX$6:$OX$206,"*"&amp;Settings!$F$14:$F$43&amp;"*"))</f>
        <v/>
      </c>
      <c r="OI6" s="170">
        <f>SUMPRODUCT((Settings!$G$14:$G$43=$B6)*COUNTIF('INPUT - Roster'!$OY$6:$OY$206,"*"&amp;Settings!$F$14:$F$43&amp;"*"))</f>
        <v/>
      </c>
      <c r="OJ6" s="170">
        <f>SUMPRODUCT((Settings!$G$14:$G$43=$B6)*COUNTIF('INPUT - Roster'!$OZ$6:$OZ$206,"*"&amp;Settings!$F$14:$F$43&amp;"*"))</f>
        <v/>
      </c>
      <c r="OK6" s="170">
        <f>SUMPRODUCT((Settings!$G$14:$G$43=$B6)*COUNTIF('INPUT - Roster'!$PA$6:$PA$206,"*"&amp;Settings!$F$14:$F$43&amp;"*"))</f>
        <v/>
      </c>
      <c r="OL6" s="170">
        <f>SUMPRODUCT((Settings!$G$14:$G$43=$B6)*COUNTIF('INPUT - Roster'!$PB$6:$PB$206,"*"&amp;Settings!$F$14:$F$43&amp;"*"))</f>
        <v/>
      </c>
      <c r="OM6" s="170">
        <f>SUMPRODUCT((Settings!$G$14:$G$43=$B6)*COUNTIF('INPUT - Roster'!$PC$6:$PC$206,"*"&amp;Settings!$F$14:$F$43&amp;"*"))</f>
        <v/>
      </c>
      <c r="ON6" s="170">
        <f>SUMPRODUCT((Settings!$G$14:$G$43=$B6)*COUNTIF('INPUT - Roster'!$PD$6:$PD$206,"*"&amp;Settings!$F$14:$F$43&amp;"*"))</f>
        <v/>
      </c>
      <c r="OO6" s="170">
        <f>SUMPRODUCT((Settings!$G$14:$G$43=$B6)*COUNTIF('INPUT - Roster'!$PE$6:$PE$206,"*"&amp;Settings!$F$14:$F$43&amp;"*"))</f>
        <v/>
      </c>
      <c r="OP6" s="170">
        <f>SUMPRODUCT((Settings!$G$14:$G$43=$B6)*COUNTIF('INPUT - Roster'!$PF$6:$PF$206,"*"&amp;Settings!$F$14:$F$43&amp;"*"))</f>
        <v/>
      </c>
      <c r="OQ6" s="170">
        <f>SUMPRODUCT((Settings!$G$14:$G$43=$B6)*COUNTIF('INPUT - Roster'!$PG$6:$PG$206,"*"&amp;Settings!$F$14:$F$43&amp;"*"))</f>
        <v/>
      </c>
      <c r="OR6" s="170">
        <f>SUMPRODUCT((Settings!$G$14:$G$43=$B6)*COUNTIF('INPUT - Roster'!$PH$6:$PH$206,"*"&amp;Settings!$F$14:$F$43&amp;"*"))</f>
        <v/>
      </c>
      <c r="OS6" s="170">
        <f>SUMPRODUCT((Settings!$G$14:$G$43=$B6)*COUNTIF('INPUT - Roster'!$PI$6:$PI$206,"*"&amp;Settings!$F$14:$F$43&amp;"*"))</f>
        <v/>
      </c>
      <c r="OT6" s="170">
        <f>SUMPRODUCT((Settings!$G$14:$G$43=$B6)*COUNTIF('INPUT - Roster'!$PJ$6:$PJ$206,"*"&amp;Settings!$F$14:$F$43&amp;"*"))</f>
        <v/>
      </c>
      <c r="OU6" s="170">
        <f>SUMPRODUCT((Settings!$G$14:$G$43=$B6)*COUNTIF('INPUT - Roster'!$PK$6:$PK$206,"*"&amp;Settings!$F$14:$F$43&amp;"*"))</f>
        <v/>
      </c>
      <c r="OV6" s="170">
        <f>SUMPRODUCT((Settings!$G$14:$G$43=$B6)*COUNTIF('INPUT - Roster'!$PL$6:$PL$206,"*"&amp;Settings!$F$14:$F$43&amp;"*"))</f>
        <v/>
      </c>
      <c r="OW6" s="170">
        <f>SUMPRODUCT((Settings!$G$14:$G$43=$B6)*COUNTIF('INPUT - Roster'!$PM$6:$PM$206,"*"&amp;Settings!$F$14:$F$43&amp;"*"))</f>
        <v/>
      </c>
      <c r="OX6" s="170">
        <f>SUMPRODUCT((Settings!$G$14:$G$43=$B6)*COUNTIF('INPUT - Roster'!$PN$6:$PN$206,"*"&amp;Settings!$F$14:$F$43&amp;"*"))</f>
        <v/>
      </c>
      <c r="OY6" s="170">
        <f>SUMPRODUCT((Settings!$G$14:$G$43=$B6)*COUNTIF('INPUT - Roster'!$PO$6:$PO$206,"*"&amp;Settings!$F$14:$F$43&amp;"*"))</f>
        <v/>
      </c>
      <c r="OZ6" s="170">
        <f>SUMPRODUCT((Settings!$G$14:$G$43=$B6)*COUNTIF('INPUT - Roster'!$PP$6:$PP$206,"*"&amp;Settings!$F$14:$F$43&amp;"*"))</f>
        <v/>
      </c>
      <c r="PA6" s="170">
        <f>SUMPRODUCT((Settings!$G$14:$G$43=$B6)*COUNTIF('INPUT - Roster'!$PQ$6:$PQ$206,"*"&amp;Settings!$F$14:$F$43&amp;"*"))</f>
        <v/>
      </c>
      <c r="PB6" s="170">
        <f>SUMPRODUCT((Settings!$G$14:$G$43=$B6)*COUNTIF('INPUT - Roster'!$PR$6:$PR$206,"*"&amp;Settings!$F$14:$F$43&amp;"*"))</f>
        <v/>
      </c>
      <c r="PC6" s="170">
        <f>SUMPRODUCT((Settings!$G$14:$G$43=$B6)*COUNTIF('INPUT - Roster'!$PS$6:$PS$206,"*"&amp;Settings!$F$14:$F$43&amp;"*"))</f>
        <v/>
      </c>
      <c r="PD6" s="170">
        <f>SUMPRODUCT((Settings!$G$14:$G$43=$B6)*COUNTIF('INPUT - Roster'!$PT$6:$PT$206,"*"&amp;Settings!$F$14:$F$43&amp;"*"))</f>
        <v/>
      </c>
      <c r="PE6" s="170">
        <f>SUMPRODUCT((Settings!$G$14:$G$43=$B6)*COUNTIF('INPUT - Roster'!$PU$6:$PU$206,"*"&amp;Settings!$F$14:$F$43&amp;"*"))</f>
        <v/>
      </c>
      <c r="PF6" s="170">
        <f>SUMPRODUCT((Settings!$G$14:$G$43=$B6)*COUNTIF('INPUT - Roster'!$PV$6:$PV$206,"*"&amp;Settings!$F$14:$F$43&amp;"*"))</f>
        <v/>
      </c>
      <c r="PG6" s="170">
        <f>SUMPRODUCT((Settings!$G$14:$G$43=$B6)*COUNTIF('INPUT - Roster'!$PW$6:$PW$206,"*"&amp;Settings!$F$14:$F$43&amp;"*"))</f>
        <v/>
      </c>
      <c r="PH6" s="170">
        <f>SUMPRODUCT((Settings!$G$14:$G$43=$B6)*COUNTIF('INPUT - Roster'!$PX$6:$PX$206,"*"&amp;Settings!$F$14:$F$43&amp;"*"))</f>
        <v/>
      </c>
      <c r="PI6" s="170">
        <f>SUMPRODUCT((Settings!$G$14:$G$43=$B6)*COUNTIF('INPUT - Roster'!$PY$6:$PY$206,"*"&amp;Settings!$F$14:$F$43&amp;"*"))</f>
        <v/>
      </c>
      <c r="PJ6" s="170">
        <f>SUMPRODUCT((Settings!$G$14:$G$43=$B6)*COUNTIF('INPUT - Roster'!$PZ$6:$PZ$206,"*"&amp;Settings!$F$14:$F$43&amp;"*"))</f>
        <v/>
      </c>
      <c r="PK6" s="170">
        <f>SUMPRODUCT((Settings!$G$14:$G$43=$B6)*COUNTIF('INPUT - Roster'!$QA$6:$QA$206,"*"&amp;Settings!$F$14:$F$43&amp;"*"))</f>
        <v/>
      </c>
      <c r="PL6" s="170">
        <f>SUMPRODUCT((Settings!$G$14:$G$43=$B6)*COUNTIF('INPUT - Roster'!$QB$6:$QB$206,"*"&amp;Settings!$F$14:$F$43&amp;"*"))</f>
        <v/>
      </c>
      <c r="PM6" s="170">
        <f>SUMPRODUCT((Settings!$G$14:$G$43=$B6)*COUNTIF('INPUT - Roster'!$QC$6:$QC$206,"*"&amp;Settings!$F$14:$F$43&amp;"*"))</f>
        <v/>
      </c>
      <c r="PN6" s="170">
        <f>SUMPRODUCT((Settings!$G$14:$G$43=$B6)*COUNTIF('INPUT - Roster'!$QD$6:$QD$206,"*"&amp;Settings!$F$14:$F$43&amp;"*"))</f>
        <v/>
      </c>
      <c r="PO6" s="170">
        <f>SUMPRODUCT((Settings!$G$14:$G$43=$B6)*COUNTIF('INPUT - Roster'!$QE$6:$QE$206,"*"&amp;Settings!$F$14:$F$43&amp;"*"))</f>
        <v/>
      </c>
      <c r="PP6" s="170">
        <f>SUMPRODUCT((Settings!$G$14:$G$43=$B6)*COUNTIF('INPUT - Roster'!$QF$6:$QF$206,"*"&amp;Settings!$F$14:$F$43&amp;"*"))</f>
        <v/>
      </c>
      <c r="PQ6" s="170">
        <f>SUMPRODUCT((Settings!$G$14:$G$43=$B6)*COUNTIF('INPUT - Roster'!$QG$6:$QG$206,"*"&amp;Settings!$F$14:$F$43&amp;"*"))</f>
        <v/>
      </c>
      <c r="PR6" s="170">
        <f>SUMPRODUCT((Settings!$G$14:$G$43=$B6)*COUNTIF('INPUT - Roster'!$QH$6:$QH$206,"*"&amp;Settings!$F$14:$F$43&amp;"*"))</f>
        <v/>
      </c>
      <c r="PS6" s="170">
        <f>SUMPRODUCT((Settings!$G$14:$G$43=$B6)*COUNTIF('INPUT - Roster'!$QI$6:$QI$206,"*"&amp;Settings!$F$14:$F$43&amp;"*"))</f>
        <v/>
      </c>
      <c r="PT6" s="170">
        <f>SUMPRODUCT((Settings!$G$14:$G$43=$B6)*COUNTIF('INPUT - Roster'!$QJ$6:$QJ$206,"*"&amp;Settings!$F$14:$F$43&amp;"*"))</f>
        <v/>
      </c>
      <c r="PU6" s="170">
        <f>SUMPRODUCT((Settings!$G$14:$G$43=$B6)*COUNTIF('INPUT - Roster'!$QK$6:$QK$206,"*"&amp;Settings!$F$14:$F$43&amp;"*"))</f>
        <v/>
      </c>
      <c r="PV6" s="170">
        <f>SUMPRODUCT((Settings!$G$14:$G$43=$B6)*COUNTIF('INPUT - Roster'!$QL$6:$QL$206,"*"&amp;Settings!$F$14:$F$43&amp;"*"))</f>
        <v/>
      </c>
      <c r="PW6" s="170">
        <f>SUMPRODUCT((Settings!$G$14:$G$43=$B6)*COUNTIF('INPUT - Roster'!$QM$6:$QM$206,"*"&amp;Settings!$F$14:$F$43&amp;"*"))</f>
        <v/>
      </c>
      <c r="PX6" s="170">
        <f>SUMPRODUCT((Settings!$G$14:$G$43=$B6)*COUNTIF('INPUT - Roster'!$QN$6:$QN$206,"*"&amp;Settings!$F$14:$F$43&amp;"*"))</f>
        <v/>
      </c>
      <c r="PY6" s="170">
        <f>SUMPRODUCT((Settings!$G$14:$G$43=$B6)*COUNTIF('INPUT - Roster'!$QO$6:$QO$206,"*"&amp;Settings!$F$14:$F$43&amp;"*"))</f>
        <v/>
      </c>
      <c r="PZ6" s="170">
        <f>SUMPRODUCT((Settings!$G$14:$G$43=$B6)*COUNTIF('INPUT - Roster'!$QP$6:$QP$206,"*"&amp;Settings!$F$14:$F$43&amp;"*"))</f>
        <v/>
      </c>
      <c r="QA6" s="170">
        <f>SUMPRODUCT((Settings!$G$14:$G$43=$B6)*COUNTIF('INPUT - Roster'!$QQ$6:$QQ$206,"*"&amp;Settings!$F$14:$F$43&amp;"*"))</f>
        <v/>
      </c>
      <c r="QB6" s="170">
        <f>SUMPRODUCT((Settings!$G$14:$G$43=$B6)*COUNTIF('INPUT - Roster'!$QR$6:$QR$206,"*"&amp;Settings!$F$14:$F$43&amp;"*"))</f>
        <v/>
      </c>
      <c r="QC6" s="170">
        <f>SUMPRODUCT((Settings!$G$14:$G$43=$B6)*COUNTIF('INPUT - Roster'!$QS$6:$QS$206,"*"&amp;Settings!$F$14:$F$43&amp;"*"))</f>
        <v/>
      </c>
      <c r="QD6" s="170">
        <f>SUMPRODUCT((Settings!$G$14:$G$43=$B6)*COUNTIF('INPUT - Roster'!$QT$6:$QT$206,"*"&amp;Settings!$F$14:$F$43&amp;"*"))</f>
        <v/>
      </c>
      <c r="QE6" s="170">
        <f>SUMPRODUCT((Settings!$G$14:$G$43=$B6)*COUNTIF('INPUT - Roster'!$QU$6:$QU$206,"*"&amp;Settings!$F$14:$F$43&amp;"*"))</f>
        <v/>
      </c>
      <c r="QF6" s="170">
        <f>SUMPRODUCT((Settings!$G$14:$G$43=$B6)*COUNTIF('INPUT - Roster'!$QV$6:$QV$206,"*"&amp;Settings!$F$14:$F$43&amp;"*"))</f>
        <v/>
      </c>
      <c r="QG6" s="170">
        <f>SUMPRODUCT((Settings!$G$14:$G$43=$B6)*COUNTIF('INPUT - Roster'!$QW$6:$QW$206,"*"&amp;Settings!$F$14:$F$43&amp;"*"))</f>
        <v/>
      </c>
      <c r="QH6" s="170">
        <f>SUMPRODUCT((Settings!$G$14:$G$43=$B6)*COUNTIF('INPUT - Roster'!$QX$6:$QX$206,"*"&amp;Settings!$F$14:$F$43&amp;"*"))</f>
        <v/>
      </c>
      <c r="QI6" s="170">
        <f>SUMPRODUCT((Settings!$G$14:$G$43=$B6)*COUNTIF('INPUT - Roster'!$QY$6:$QY$206,"*"&amp;Settings!$F$14:$F$43&amp;"*"))</f>
        <v/>
      </c>
      <c r="QJ6" s="170">
        <f>SUMPRODUCT((Settings!$G$14:$G$43=$B6)*COUNTIF('INPUT - Roster'!$QZ$6:$QZ$206,"*"&amp;Settings!$F$14:$F$43&amp;"*"))</f>
        <v/>
      </c>
      <c r="QK6" s="170">
        <f>SUMPRODUCT((Settings!$G$14:$G$43=$B6)*COUNTIF('INPUT - Roster'!$RA$6:$RA$206,"*"&amp;Settings!$F$14:$F$43&amp;"*"))</f>
        <v/>
      </c>
      <c r="QL6" s="170">
        <f>SUMPRODUCT((Settings!$G$14:$G$43=$B6)*COUNTIF('INPUT - Roster'!$RB$6:$RB$206,"*"&amp;Settings!$F$14:$F$43&amp;"*"))</f>
        <v/>
      </c>
      <c r="QM6" s="170">
        <f>SUMPRODUCT((Settings!$G$14:$G$43=$B6)*COUNTIF('INPUT - Roster'!$RC$6:$RC$206,"*"&amp;Settings!$F$14:$F$43&amp;"*"))</f>
        <v/>
      </c>
      <c r="QN6" s="170">
        <f>SUMPRODUCT((Settings!$G$14:$G$43=$B6)*COUNTIF('INPUT - Roster'!$RD$6:$RD$206,"*"&amp;Settings!$F$14:$F$43&amp;"*"))</f>
        <v/>
      </c>
      <c r="QO6" s="170">
        <f>SUMPRODUCT((Settings!$G$14:$G$43=$B6)*COUNTIF('INPUT - Roster'!$RE$6:$RE$206,"*"&amp;Settings!$F$14:$F$43&amp;"*"))</f>
        <v/>
      </c>
      <c r="QP6" s="170">
        <f>SUMPRODUCT((Settings!$G$14:$G$43=$B6)*COUNTIF('INPUT - Roster'!$RF$6:$RF$206,"*"&amp;Settings!$F$14:$F$43&amp;"*"))</f>
        <v/>
      </c>
      <c r="QQ6" s="170">
        <f>SUMPRODUCT((Settings!$G$14:$G$43=$B6)*COUNTIF('INPUT - Roster'!$RG$6:$RG$206,"*"&amp;Settings!$F$14:$F$43&amp;"*"))</f>
        <v/>
      </c>
      <c r="QR6" s="170">
        <f>SUMPRODUCT((Settings!$G$14:$G$43=$B6)*COUNTIF('INPUT - Roster'!$RH$6:$RH$206,"*"&amp;Settings!$F$14:$F$43&amp;"*"))</f>
        <v/>
      </c>
      <c r="QS6" s="170">
        <f>SUMPRODUCT((Settings!$G$14:$G$43=$B6)*COUNTIF('INPUT - Roster'!$RI$6:$RI$206,"*"&amp;Settings!$F$14:$F$43&amp;"*"))</f>
        <v/>
      </c>
      <c r="QT6" s="170">
        <f>SUMPRODUCT((Settings!$G$14:$G$43=$B6)*COUNTIF('INPUT - Roster'!$RJ$6:$RJ$206,"*"&amp;Settings!$F$14:$F$43&amp;"*"))</f>
        <v/>
      </c>
      <c r="QU6" s="170">
        <f>SUMPRODUCT((Settings!$G$14:$G$43=$B6)*COUNTIF('INPUT - Roster'!$RK$6:$RK$206,"*"&amp;Settings!$F$14:$F$43&amp;"*"))</f>
        <v/>
      </c>
      <c r="QV6" s="170">
        <f>SUMPRODUCT((Settings!$G$14:$G$43=$B6)*COUNTIF('INPUT - Roster'!$RL$6:$RL$206,"*"&amp;Settings!$F$14:$F$43&amp;"*"))</f>
        <v/>
      </c>
      <c r="QW6" s="170">
        <f>SUMPRODUCT((Settings!$G$14:$G$43=$B6)*COUNTIF('INPUT - Roster'!$RM$6:$RM$206,"*"&amp;Settings!$F$14:$F$43&amp;"*"))</f>
        <v/>
      </c>
      <c r="QX6" s="170">
        <f>SUMPRODUCT((Settings!$G$14:$G$43=$B6)*COUNTIF('INPUT - Roster'!$RN$6:$RN$206,"*"&amp;Settings!$F$14:$F$43&amp;"*"))</f>
        <v/>
      </c>
      <c r="QY6" s="170">
        <f>SUMPRODUCT((Settings!$G$14:$G$43=$B6)*COUNTIF('INPUT - Roster'!$RO$6:$RO$206,"*"&amp;Settings!$F$14:$F$43&amp;"*"))</f>
        <v/>
      </c>
      <c r="QZ6" s="170">
        <f>SUMPRODUCT((Settings!$G$14:$G$43=$B6)*COUNTIF('INPUT - Roster'!$RP$6:$RP$206,"*"&amp;Settings!$F$14:$F$43&amp;"*"))</f>
        <v/>
      </c>
      <c r="RA6" s="170">
        <f>SUMPRODUCT((Settings!$G$14:$G$43=$B6)*COUNTIF('INPUT - Roster'!$RQ$6:$RQ$206,"*"&amp;Settings!$F$14:$F$43&amp;"*"))</f>
        <v/>
      </c>
      <c r="RB6" s="170">
        <f>SUMPRODUCT((Settings!$G$14:$G$43=$B6)*COUNTIF('INPUT - Roster'!$RR$6:$RR$206,"*"&amp;Settings!$F$14:$F$43&amp;"*"))</f>
        <v/>
      </c>
      <c r="RC6" s="170">
        <f>SUMPRODUCT((Settings!$G$14:$G$43=$B6)*COUNTIF('INPUT - Roster'!$RS$6:$RS$206,"*"&amp;Settings!$F$14:$F$43&amp;"*"))</f>
        <v/>
      </c>
      <c r="RD6" s="170">
        <f>SUMPRODUCT((Settings!$G$14:$G$43=$B6)*COUNTIF('INPUT - Roster'!$RT$6:$RT$206,"*"&amp;Settings!$F$14:$F$43&amp;"*"))</f>
        <v/>
      </c>
      <c r="RE6" s="170">
        <f>SUMPRODUCT((Settings!$G$14:$G$43=$B6)*COUNTIF('INPUT - Roster'!$RU$6:$RU$206,"*"&amp;Settings!$F$14:$F$43&amp;"*"))</f>
        <v/>
      </c>
      <c r="RF6" s="170">
        <f>SUMPRODUCT((Settings!$G$14:$G$43=$B6)*COUNTIF('INPUT - Roster'!$RV$6:$RV$206,"*"&amp;Settings!$F$14:$F$43&amp;"*"))</f>
        <v/>
      </c>
      <c r="RG6" s="170">
        <f>SUMPRODUCT((Settings!$G$14:$G$43=$B6)*COUNTIF('INPUT - Roster'!$RW$6:$RW$206,"*"&amp;Settings!$F$14:$F$43&amp;"*"))</f>
        <v/>
      </c>
      <c r="RH6" s="170">
        <f>SUMPRODUCT((Settings!$G$14:$G$43=$B6)*COUNTIF('INPUT - Roster'!$RX$6:$RX$206,"*"&amp;Settings!$F$14:$F$43&amp;"*"))</f>
        <v/>
      </c>
      <c r="RI6" s="170">
        <f>SUMPRODUCT((Settings!$G$14:$G$43=$B6)*COUNTIF('INPUT - Roster'!$RY$6:$RY$206,"*"&amp;Settings!$F$14:$F$43&amp;"*"))</f>
        <v/>
      </c>
      <c r="RJ6" s="170">
        <f>SUMPRODUCT((Settings!$G$14:$G$43=$B6)*COUNTIF('INPUT - Roster'!$RZ$6:$RZ$206,"*"&amp;Settings!$F$14:$F$43&amp;"*"))</f>
        <v/>
      </c>
      <c r="RK6" s="170">
        <f>SUMPRODUCT((Settings!$G$14:$G$43=$B6)*COUNTIF('INPUT - Roster'!$SA$6:$SA$206,"*"&amp;Settings!$F$14:$F$43&amp;"*"))</f>
        <v/>
      </c>
      <c r="RL6" s="170">
        <f>SUMPRODUCT((Settings!$G$14:$G$43=$B6)*COUNTIF('INPUT - Roster'!$SB$6:$SB$206,"*"&amp;Settings!$F$14:$F$43&amp;"*"))</f>
        <v/>
      </c>
      <c r="RM6" s="170">
        <f>SUMPRODUCT((Settings!$G$14:$G$43=$B6)*COUNTIF('INPUT - Roster'!$SC$6:$SC$206,"*"&amp;Settings!$F$14:$F$43&amp;"*"))</f>
        <v/>
      </c>
      <c r="RN6" s="170">
        <f>SUMPRODUCT((Settings!$G$14:$G$43=$B6)*COUNTIF('INPUT - Roster'!$SD$6:$SD$206,"*"&amp;Settings!$F$14:$F$43&amp;"*"))</f>
        <v/>
      </c>
      <c r="RO6" s="170">
        <f>SUMPRODUCT((Settings!$G$14:$G$43=$B6)*COUNTIF('INPUT - Roster'!$SE$6:$SE$206,"*"&amp;Settings!$F$14:$F$43&amp;"*"))</f>
        <v/>
      </c>
      <c r="RP6" s="170">
        <f>SUMPRODUCT((Settings!$G$14:$G$43=$B6)*COUNTIF('INPUT - Roster'!$SF$6:$SF$206,"*"&amp;Settings!$F$14:$F$43&amp;"*"))</f>
        <v/>
      </c>
      <c r="RQ6" s="170">
        <f>SUMPRODUCT((Settings!$G$14:$G$43=$B6)*COUNTIF('INPUT - Roster'!$SG$6:$SG$206,"*"&amp;Settings!$F$14:$F$43&amp;"*"))</f>
        <v/>
      </c>
      <c r="RR6" s="170">
        <f>SUMPRODUCT((Settings!$G$14:$G$43=$B6)*COUNTIF('INPUT - Roster'!$SH$6:$SH$206,"*"&amp;Settings!$F$14:$F$43&amp;"*"))</f>
        <v/>
      </c>
      <c r="RS6" s="170">
        <f>SUMPRODUCT((Settings!$G$14:$G$43=$B6)*COUNTIF('INPUT - Roster'!$SI$6:$SI$206,"*"&amp;Settings!$F$14:$F$43&amp;"*"))</f>
        <v/>
      </c>
      <c r="RT6" s="170">
        <f>SUMPRODUCT((Settings!$G$14:$G$43=$B6)*COUNTIF('INPUT - Roster'!$SJ$6:$SJ$206,"*"&amp;Settings!$F$14:$F$43&amp;"*"))</f>
        <v/>
      </c>
      <c r="RU6" s="170">
        <f>SUMPRODUCT((Settings!$G$14:$G$43=$B6)*COUNTIF('INPUT - Roster'!$SK$6:$SK$206,"*"&amp;Settings!$F$14:$F$43&amp;"*"))</f>
        <v/>
      </c>
      <c r="RV6" s="170">
        <f>SUMPRODUCT((Settings!$G$14:$G$43=$B6)*COUNTIF('INPUT - Roster'!$SL$6:$SL$206,"*"&amp;Settings!$F$14:$F$43&amp;"*"))</f>
        <v/>
      </c>
      <c r="RW6" s="170">
        <f>SUMPRODUCT((Settings!$G$14:$G$43=$B6)*COUNTIF('INPUT - Roster'!$SM$6:$SM$206,"*"&amp;Settings!$F$14:$F$43&amp;"*"))</f>
        <v/>
      </c>
      <c r="RX6" s="170">
        <f>SUMPRODUCT((Settings!$G$14:$G$43=$B6)*COUNTIF('INPUT - Roster'!$SN$6:$SN$206,"*"&amp;Settings!$F$14:$F$43&amp;"*"))</f>
        <v/>
      </c>
      <c r="RY6" s="170">
        <f>SUMPRODUCT((Settings!$G$14:$G$43=$B6)*COUNTIF('INPUT - Roster'!$SO$6:$SO$206,"*"&amp;Settings!$F$14:$F$43&amp;"*"))</f>
        <v/>
      </c>
      <c r="RZ6" s="170">
        <f>SUMPRODUCT((Settings!$G$14:$G$43=$B6)*COUNTIF('INPUT - Roster'!$SP$6:$SP$206,"*"&amp;Settings!$F$14:$F$43&amp;"*"))</f>
        <v/>
      </c>
      <c r="SA6" s="170">
        <f>SUMPRODUCT((Settings!$G$14:$G$43=$B6)*COUNTIF('INPUT - Roster'!$SQ$6:$SQ$206,"*"&amp;Settings!$F$14:$F$43&amp;"*"))</f>
        <v/>
      </c>
      <c r="SB6" s="170">
        <f>SUMPRODUCT((Settings!$G$14:$G$43=$B6)*COUNTIF('INPUT - Roster'!$SR$6:$SR$206,"*"&amp;Settings!$F$14:$F$43&amp;"*"))</f>
        <v/>
      </c>
      <c r="SC6" s="170">
        <f>SUMPRODUCT((Settings!$G$14:$G$43=$B6)*COUNTIF('INPUT - Roster'!$SS$6:$SS$206,"*"&amp;Settings!$F$14:$F$43&amp;"*"))</f>
        <v/>
      </c>
      <c r="SD6" s="170">
        <f>SUMPRODUCT((Settings!$G$14:$G$43=$B6)*COUNTIF('INPUT - Roster'!$ST$6:$ST$206,"*"&amp;Settings!$F$14:$F$43&amp;"*"))</f>
        <v/>
      </c>
      <c r="SE6" s="170">
        <f>SUMPRODUCT((Settings!$G$14:$G$43=$B6)*COUNTIF('INPUT - Roster'!$SU$6:$SU$206,"*"&amp;Settings!$F$14:$F$43&amp;"*"))</f>
        <v/>
      </c>
      <c r="SF6" s="170">
        <f>SUMPRODUCT((Settings!$G$14:$G$43=$B6)*COUNTIF('INPUT - Roster'!$SV$6:$SV$206,"*"&amp;Settings!$F$14:$F$43&amp;"*"))</f>
        <v/>
      </c>
    </row>
    <row r="7">
      <c r="B7" s="169" t="inlineStr">
        <is>
          <t>Third party accom</t>
        </is>
      </c>
      <c r="C7" s="170">
        <f>SUMPRODUCT((Settings!$G$14:$G$43=$B7)*COUNTIF('INPUT - Roster'!$S$6:$S$206,"*"&amp;Settings!$F$14:$F$43&amp;"*"))</f>
        <v/>
      </c>
      <c r="D7" s="170">
        <f>SUMPRODUCT((Settings!$G$14:$G$43=$B7)*COUNTIF('INPUT - Roster'!$T$6:$T$206,"*"&amp;Settings!$F$14:$F$43&amp;"*"))</f>
        <v/>
      </c>
      <c r="E7" s="170">
        <f>SUMPRODUCT((Settings!$G$14:$G$43=$B7)*COUNTIF('INPUT - Roster'!$U$6:$U$206,"*"&amp;Settings!$F$14:$F$43&amp;"*"))</f>
        <v/>
      </c>
      <c r="F7" s="170">
        <f>SUMPRODUCT((Settings!$G$14:$G$43=$B7)*COUNTIF('INPUT - Roster'!$V$6:$V$206,"*"&amp;Settings!$F$14:$F$43&amp;"*"))</f>
        <v/>
      </c>
      <c r="G7" s="170">
        <f>SUMPRODUCT((Settings!$G$14:$G$43=$B7)*COUNTIF('INPUT - Roster'!$W$6:$W$206,"*"&amp;Settings!$F$14:$F$43&amp;"*"))</f>
        <v/>
      </c>
      <c r="H7" s="170">
        <f>SUMPRODUCT((Settings!$G$14:$G$43=$B7)*COUNTIF('INPUT - Roster'!$X$6:$X$206,"*"&amp;Settings!$F$14:$F$43&amp;"*"))</f>
        <v/>
      </c>
      <c r="I7" s="170">
        <f>SUMPRODUCT((Settings!$G$14:$G$43=$B7)*COUNTIF('INPUT - Roster'!$Y$6:$Y$206,"*"&amp;Settings!$F$14:$F$43&amp;"*"))</f>
        <v/>
      </c>
      <c r="J7" s="170">
        <f>SUMPRODUCT((Settings!$G$14:$G$43=$B7)*COUNTIF('INPUT - Roster'!$Z$6:$Z$206,"*"&amp;Settings!$F$14:$F$43&amp;"*"))</f>
        <v/>
      </c>
      <c r="K7" s="170">
        <f>SUMPRODUCT((Settings!$G$14:$G$43=$B7)*COUNTIF('INPUT - Roster'!$AA$6:$AA$206,"*"&amp;Settings!$F$14:$F$43&amp;"*"))</f>
        <v/>
      </c>
      <c r="L7" s="170">
        <f>SUMPRODUCT((Settings!$G$14:$G$43=$B7)*COUNTIF('INPUT - Roster'!$AB$6:$AB$206,"*"&amp;Settings!$F$14:$F$43&amp;"*"))</f>
        <v/>
      </c>
      <c r="M7" s="170">
        <f>SUMPRODUCT((Settings!$G$14:$G$43=$B7)*COUNTIF('INPUT - Roster'!$AC$6:$AC$206,"*"&amp;Settings!$F$14:$F$43&amp;"*"))</f>
        <v/>
      </c>
      <c r="N7" s="170">
        <f>SUMPRODUCT((Settings!$G$14:$G$43=$B7)*COUNTIF('INPUT - Roster'!$AD$6:$AD$206,"*"&amp;Settings!$F$14:$F$43&amp;"*"))</f>
        <v/>
      </c>
      <c r="O7" s="170">
        <f>SUMPRODUCT((Settings!$G$14:$G$43=$B7)*COUNTIF('INPUT - Roster'!$AE$6:$AE$206,"*"&amp;Settings!$F$14:$F$43&amp;"*"))</f>
        <v/>
      </c>
      <c r="P7" s="170">
        <f>SUMPRODUCT((Settings!$G$14:$G$43=$B7)*COUNTIF('INPUT - Roster'!$AF$6:$AF$206,"*"&amp;Settings!$F$14:$F$43&amp;"*"))</f>
        <v/>
      </c>
      <c r="Q7" s="170">
        <f>SUMPRODUCT((Settings!$G$14:$G$43=$B7)*COUNTIF('INPUT - Roster'!$AG$6:$AG$206,"*"&amp;Settings!$F$14:$F$43&amp;"*"))</f>
        <v/>
      </c>
      <c r="R7" s="170">
        <f>SUMPRODUCT((Settings!$G$14:$G$43=$B7)*COUNTIF('INPUT - Roster'!$AH$6:$AH$206,"*"&amp;Settings!$F$14:$F$43&amp;"*"))</f>
        <v/>
      </c>
      <c r="S7" s="170">
        <f>SUMPRODUCT((Settings!$G$14:$G$43=$B7)*COUNTIF('INPUT - Roster'!$AI$6:$AI$206,"*"&amp;Settings!$F$14:$F$43&amp;"*"))</f>
        <v/>
      </c>
      <c r="T7" s="170">
        <f>SUMPRODUCT((Settings!$G$14:$G$43=$B7)*COUNTIF('INPUT - Roster'!$AJ$6:$AJ$206,"*"&amp;Settings!$F$14:$F$43&amp;"*"))</f>
        <v/>
      </c>
      <c r="U7" s="170">
        <f>SUMPRODUCT((Settings!$G$14:$G$43=$B7)*COUNTIF('INPUT - Roster'!$AK$6:$AK$206,"*"&amp;Settings!$F$14:$F$43&amp;"*"))</f>
        <v/>
      </c>
      <c r="V7" s="170">
        <f>SUMPRODUCT((Settings!$G$14:$G$43=$B7)*COUNTIF('INPUT - Roster'!$AL$6:$AL$206,"*"&amp;Settings!$F$14:$F$43&amp;"*"))</f>
        <v/>
      </c>
      <c r="W7" s="170">
        <f>SUMPRODUCT((Settings!$G$14:$G$43=$B7)*COUNTIF('INPUT - Roster'!$AM$6:$AM$206,"*"&amp;Settings!$F$14:$F$43&amp;"*"))</f>
        <v/>
      </c>
      <c r="X7" s="170">
        <f>SUMPRODUCT((Settings!$G$14:$G$43=$B7)*COUNTIF('INPUT - Roster'!$AN$6:$AN$206,"*"&amp;Settings!$F$14:$F$43&amp;"*"))</f>
        <v/>
      </c>
      <c r="Y7" s="170">
        <f>SUMPRODUCT((Settings!$G$14:$G$43=$B7)*COUNTIF('INPUT - Roster'!$AO$6:$AO$206,"*"&amp;Settings!$F$14:$F$43&amp;"*"))</f>
        <v/>
      </c>
      <c r="Z7" s="170">
        <f>SUMPRODUCT((Settings!$G$14:$G$43=$B7)*COUNTIF('INPUT - Roster'!$AP$6:$AP$206,"*"&amp;Settings!$F$14:$F$43&amp;"*"))</f>
        <v/>
      </c>
      <c r="AA7" s="170">
        <f>SUMPRODUCT((Settings!$G$14:$G$43=$B7)*COUNTIF('INPUT - Roster'!$AQ$6:$AQ$206,"*"&amp;Settings!$F$14:$F$43&amp;"*"))</f>
        <v/>
      </c>
      <c r="AB7" s="170">
        <f>SUMPRODUCT((Settings!$G$14:$G$43=$B7)*COUNTIF('INPUT - Roster'!$AR$6:$AR$206,"*"&amp;Settings!$F$14:$F$43&amp;"*"))</f>
        <v/>
      </c>
      <c r="AC7" s="170">
        <f>SUMPRODUCT((Settings!$G$14:$G$43=$B7)*COUNTIF('INPUT - Roster'!$AS$6:$AS$206,"*"&amp;Settings!$F$14:$F$43&amp;"*"))</f>
        <v/>
      </c>
      <c r="AD7" s="170">
        <f>SUMPRODUCT((Settings!$G$14:$G$43=$B7)*COUNTIF('INPUT - Roster'!$AT$6:$AT$206,"*"&amp;Settings!$F$14:$F$43&amp;"*"))</f>
        <v/>
      </c>
      <c r="AE7" s="170">
        <f>SUMPRODUCT((Settings!$G$14:$G$43=$B7)*COUNTIF('INPUT - Roster'!$AU$6:$AU$206,"*"&amp;Settings!$F$14:$F$43&amp;"*"))</f>
        <v/>
      </c>
      <c r="AF7" s="170">
        <f>SUMPRODUCT((Settings!$G$14:$G$43=$B7)*COUNTIF('INPUT - Roster'!$AV$6:$AV$206,"*"&amp;Settings!$F$14:$F$43&amp;"*"))</f>
        <v/>
      </c>
      <c r="AG7" s="170">
        <f>SUMPRODUCT((Settings!$G$14:$G$43=$B7)*COUNTIF('INPUT - Roster'!$AW$6:$AW$206,"*"&amp;Settings!$F$14:$F$43&amp;"*"))</f>
        <v/>
      </c>
      <c r="AH7" s="170">
        <f>SUMPRODUCT((Settings!$G$14:$G$43=$B7)*COUNTIF('INPUT - Roster'!$AX$6:$AX$206,"*"&amp;Settings!$F$14:$F$43&amp;"*"))</f>
        <v/>
      </c>
      <c r="AI7" s="170">
        <f>SUMPRODUCT((Settings!$G$14:$G$43=$B7)*COUNTIF('INPUT - Roster'!$AY$6:$AY$206,"*"&amp;Settings!$F$14:$F$43&amp;"*"))</f>
        <v/>
      </c>
      <c r="AJ7" s="170">
        <f>SUMPRODUCT((Settings!$G$14:$G$43=$B7)*COUNTIF('INPUT - Roster'!$AZ$6:$AZ$206,"*"&amp;Settings!$F$14:$F$43&amp;"*"))</f>
        <v/>
      </c>
      <c r="AK7" s="170">
        <f>SUMPRODUCT((Settings!$G$14:$G$43=$B7)*COUNTIF('INPUT - Roster'!$BA$6:$BA$206,"*"&amp;Settings!$F$14:$F$43&amp;"*"))</f>
        <v/>
      </c>
      <c r="AL7" s="170">
        <f>SUMPRODUCT((Settings!$G$14:$G$43=$B7)*COUNTIF('INPUT - Roster'!$BB$6:$BB$206,"*"&amp;Settings!$F$14:$F$43&amp;"*"))</f>
        <v/>
      </c>
      <c r="AM7" s="170">
        <f>SUMPRODUCT((Settings!$G$14:$G$43=$B7)*COUNTIF('INPUT - Roster'!$BC$6:$BC$206,"*"&amp;Settings!$F$14:$F$43&amp;"*"))</f>
        <v/>
      </c>
      <c r="AN7" s="170">
        <f>SUMPRODUCT((Settings!$G$14:$G$43=$B7)*COUNTIF('INPUT - Roster'!$BD$6:$BD$206,"*"&amp;Settings!$F$14:$F$43&amp;"*"))</f>
        <v/>
      </c>
      <c r="AO7" s="170">
        <f>SUMPRODUCT((Settings!$G$14:$G$43=$B7)*COUNTIF('INPUT - Roster'!$BE$6:$BE$206,"*"&amp;Settings!$F$14:$F$43&amp;"*"))</f>
        <v/>
      </c>
      <c r="AP7" s="170">
        <f>SUMPRODUCT((Settings!$G$14:$G$43=$B7)*COUNTIF('INPUT - Roster'!$BF$6:$BF$206,"*"&amp;Settings!$F$14:$F$43&amp;"*"))</f>
        <v/>
      </c>
      <c r="AQ7" s="170">
        <f>SUMPRODUCT((Settings!$G$14:$G$43=$B7)*COUNTIF('INPUT - Roster'!$BG$6:$BG$206,"*"&amp;Settings!$F$14:$F$43&amp;"*"))</f>
        <v/>
      </c>
      <c r="AR7" s="170">
        <f>SUMPRODUCT((Settings!$G$14:$G$43=$B7)*COUNTIF('INPUT - Roster'!$BH$6:$BH$206,"*"&amp;Settings!$F$14:$F$43&amp;"*"))</f>
        <v/>
      </c>
      <c r="AS7" s="170">
        <f>SUMPRODUCT((Settings!$G$14:$G$43=$B7)*COUNTIF('INPUT - Roster'!$BI$6:$BI$206,"*"&amp;Settings!$F$14:$F$43&amp;"*"))</f>
        <v/>
      </c>
      <c r="AT7" s="170">
        <f>SUMPRODUCT((Settings!$G$14:$G$43=$B7)*COUNTIF('INPUT - Roster'!$BJ$6:$BJ$206,"*"&amp;Settings!$F$14:$F$43&amp;"*"))</f>
        <v/>
      </c>
      <c r="AU7" s="170">
        <f>SUMPRODUCT((Settings!$G$14:$G$43=$B7)*COUNTIF('INPUT - Roster'!$BK$6:$BK$206,"*"&amp;Settings!$F$14:$F$43&amp;"*"))</f>
        <v/>
      </c>
      <c r="AV7" s="170">
        <f>SUMPRODUCT((Settings!$G$14:$G$43=$B7)*COUNTIF('INPUT - Roster'!$BL$6:$BL$206,"*"&amp;Settings!$F$14:$F$43&amp;"*"))</f>
        <v/>
      </c>
      <c r="AW7" s="170">
        <f>SUMPRODUCT((Settings!$G$14:$G$43=$B7)*COUNTIF('INPUT - Roster'!$BM$6:$BM$206,"*"&amp;Settings!$F$14:$F$43&amp;"*"))</f>
        <v/>
      </c>
      <c r="AX7" s="170">
        <f>SUMPRODUCT((Settings!$G$14:$G$43=$B7)*COUNTIF('INPUT - Roster'!$BN$6:$BN$206,"*"&amp;Settings!$F$14:$F$43&amp;"*"))</f>
        <v/>
      </c>
      <c r="AY7" s="170">
        <f>SUMPRODUCT((Settings!$G$14:$G$43=$B7)*COUNTIF('INPUT - Roster'!$BO$6:$BO$206,"*"&amp;Settings!$F$14:$F$43&amp;"*"))</f>
        <v/>
      </c>
      <c r="AZ7" s="170">
        <f>SUMPRODUCT((Settings!$G$14:$G$43=$B7)*COUNTIF('INPUT - Roster'!$BP$6:$BP$206,"*"&amp;Settings!$F$14:$F$43&amp;"*"))</f>
        <v/>
      </c>
      <c r="BA7" s="170">
        <f>SUMPRODUCT((Settings!$G$14:$G$43=$B7)*COUNTIF('INPUT - Roster'!$BQ$6:$BQ$206,"*"&amp;Settings!$F$14:$F$43&amp;"*"))</f>
        <v/>
      </c>
      <c r="BB7" s="170">
        <f>SUMPRODUCT((Settings!$G$14:$G$43=$B7)*COUNTIF('INPUT - Roster'!$BR$6:$BR$206,"*"&amp;Settings!$F$14:$F$43&amp;"*"))</f>
        <v/>
      </c>
      <c r="BC7" s="170">
        <f>SUMPRODUCT((Settings!$G$14:$G$43=$B7)*COUNTIF('INPUT - Roster'!$BS$6:$BS$206,"*"&amp;Settings!$F$14:$F$43&amp;"*"))</f>
        <v/>
      </c>
      <c r="BD7" s="170">
        <f>SUMPRODUCT((Settings!$G$14:$G$43=$B7)*COUNTIF('INPUT - Roster'!$BT$6:$BT$206,"*"&amp;Settings!$F$14:$F$43&amp;"*"))</f>
        <v/>
      </c>
      <c r="BE7" s="170">
        <f>SUMPRODUCT((Settings!$G$14:$G$43=$B7)*COUNTIF('INPUT - Roster'!$BU$6:$BU$206,"*"&amp;Settings!$F$14:$F$43&amp;"*"))</f>
        <v/>
      </c>
      <c r="BF7" s="170">
        <f>SUMPRODUCT((Settings!$G$14:$G$43=$B7)*COUNTIF('INPUT - Roster'!$BV$6:$BV$206,"*"&amp;Settings!$F$14:$F$43&amp;"*"))</f>
        <v/>
      </c>
      <c r="BG7" s="170">
        <f>SUMPRODUCT((Settings!$G$14:$G$43=$B7)*COUNTIF('INPUT - Roster'!$BW$6:$BW$206,"*"&amp;Settings!$F$14:$F$43&amp;"*"))</f>
        <v/>
      </c>
      <c r="BH7" s="170">
        <f>SUMPRODUCT((Settings!$G$14:$G$43=$B7)*COUNTIF('INPUT - Roster'!$BX$6:$BX$206,"*"&amp;Settings!$F$14:$F$43&amp;"*"))</f>
        <v/>
      </c>
      <c r="BI7" s="170">
        <f>SUMPRODUCT((Settings!$G$14:$G$43=$B7)*COUNTIF('INPUT - Roster'!$BY$6:$BY$206,"*"&amp;Settings!$F$14:$F$43&amp;"*"))</f>
        <v/>
      </c>
      <c r="BJ7" s="170">
        <f>SUMPRODUCT((Settings!$G$14:$G$43=$B7)*COUNTIF('INPUT - Roster'!$BZ$6:$BZ$206,"*"&amp;Settings!$F$14:$F$43&amp;"*"))</f>
        <v/>
      </c>
      <c r="BK7" s="170">
        <f>SUMPRODUCT((Settings!$G$14:$G$43=$B7)*COUNTIF('INPUT - Roster'!$CA$6:$CA$206,"*"&amp;Settings!$F$14:$F$43&amp;"*"))</f>
        <v/>
      </c>
      <c r="BL7" s="170">
        <f>SUMPRODUCT((Settings!$G$14:$G$43=$B7)*COUNTIF('INPUT - Roster'!$CB$6:$CB$206,"*"&amp;Settings!$F$14:$F$43&amp;"*"))</f>
        <v/>
      </c>
      <c r="BM7" s="170">
        <f>SUMPRODUCT((Settings!$G$14:$G$43=$B7)*COUNTIF('INPUT - Roster'!$CC$6:$CC$206,"*"&amp;Settings!$F$14:$F$43&amp;"*"))</f>
        <v/>
      </c>
      <c r="BN7" s="170">
        <f>SUMPRODUCT((Settings!$G$14:$G$43=$B7)*COUNTIF('INPUT - Roster'!$CD$6:$CD$206,"*"&amp;Settings!$F$14:$F$43&amp;"*"))</f>
        <v/>
      </c>
      <c r="BO7" s="170">
        <f>SUMPRODUCT((Settings!$G$14:$G$43=$B7)*COUNTIF('INPUT - Roster'!$CE$6:$CE$206,"*"&amp;Settings!$F$14:$F$43&amp;"*"))</f>
        <v/>
      </c>
      <c r="BP7" s="170">
        <f>SUMPRODUCT((Settings!$G$14:$G$43=$B7)*COUNTIF('INPUT - Roster'!$CF$6:$CF$206,"*"&amp;Settings!$F$14:$F$43&amp;"*"))</f>
        <v/>
      </c>
      <c r="BQ7" s="170">
        <f>SUMPRODUCT((Settings!$G$14:$G$43=$B7)*COUNTIF('INPUT - Roster'!$CG$6:$CG$206,"*"&amp;Settings!$F$14:$F$43&amp;"*"))</f>
        <v/>
      </c>
      <c r="BR7" s="170">
        <f>SUMPRODUCT((Settings!$G$14:$G$43=$B7)*COUNTIF('INPUT - Roster'!$CH$6:$CH$206,"*"&amp;Settings!$F$14:$F$43&amp;"*"))</f>
        <v/>
      </c>
      <c r="BS7" s="170">
        <f>SUMPRODUCT((Settings!$G$14:$G$43=$B7)*COUNTIF('INPUT - Roster'!$CI$6:$CI$206,"*"&amp;Settings!$F$14:$F$43&amp;"*"))</f>
        <v/>
      </c>
      <c r="BT7" s="170">
        <f>SUMPRODUCT((Settings!$G$14:$G$43=$B7)*COUNTIF('INPUT - Roster'!$CJ$6:$CJ$206,"*"&amp;Settings!$F$14:$F$43&amp;"*"))</f>
        <v/>
      </c>
      <c r="BU7" s="170">
        <f>SUMPRODUCT((Settings!$G$14:$G$43=$B7)*COUNTIF('INPUT - Roster'!$CK$6:$CK$206,"*"&amp;Settings!$F$14:$F$43&amp;"*"))</f>
        <v/>
      </c>
      <c r="BV7" s="170">
        <f>SUMPRODUCT((Settings!$G$14:$G$43=$B7)*COUNTIF('INPUT - Roster'!$CL$6:$CL$206,"*"&amp;Settings!$F$14:$F$43&amp;"*"))</f>
        <v/>
      </c>
      <c r="BW7" s="170">
        <f>SUMPRODUCT((Settings!$G$14:$G$43=$B7)*COUNTIF('INPUT - Roster'!$CM$6:$CM$206,"*"&amp;Settings!$F$14:$F$43&amp;"*"))</f>
        <v/>
      </c>
      <c r="BX7" s="170">
        <f>SUMPRODUCT((Settings!$G$14:$G$43=$B7)*COUNTIF('INPUT - Roster'!$CN$6:$CN$206,"*"&amp;Settings!$F$14:$F$43&amp;"*"))</f>
        <v/>
      </c>
      <c r="BY7" s="170">
        <f>SUMPRODUCT((Settings!$G$14:$G$43=$B7)*COUNTIF('INPUT - Roster'!$CO$6:$CO$206,"*"&amp;Settings!$F$14:$F$43&amp;"*"))</f>
        <v/>
      </c>
      <c r="BZ7" s="170">
        <f>SUMPRODUCT((Settings!$G$14:$G$43=$B7)*COUNTIF('INPUT - Roster'!$CP$6:$CP$206,"*"&amp;Settings!$F$14:$F$43&amp;"*"))</f>
        <v/>
      </c>
      <c r="CA7" s="170">
        <f>SUMPRODUCT((Settings!$G$14:$G$43=$B7)*COUNTIF('INPUT - Roster'!$CQ$6:$CQ$206,"*"&amp;Settings!$F$14:$F$43&amp;"*"))</f>
        <v/>
      </c>
      <c r="CB7" s="170">
        <f>SUMPRODUCT((Settings!$G$14:$G$43=$B7)*COUNTIF('INPUT - Roster'!$CR$6:$CR$206,"*"&amp;Settings!$F$14:$F$43&amp;"*"))</f>
        <v/>
      </c>
      <c r="CC7" s="170">
        <f>SUMPRODUCT((Settings!$G$14:$G$43=$B7)*COUNTIF('INPUT - Roster'!$CS$6:$CS$206,"*"&amp;Settings!$F$14:$F$43&amp;"*"))</f>
        <v/>
      </c>
      <c r="CD7" s="170">
        <f>SUMPRODUCT((Settings!$G$14:$G$43=$B7)*COUNTIF('INPUT - Roster'!$CT$6:$CT$206,"*"&amp;Settings!$F$14:$F$43&amp;"*"))</f>
        <v/>
      </c>
      <c r="CE7" s="170">
        <f>SUMPRODUCT((Settings!$G$14:$G$43=$B7)*COUNTIF('INPUT - Roster'!$CU$6:$CU$206,"*"&amp;Settings!$F$14:$F$43&amp;"*"))</f>
        <v/>
      </c>
      <c r="CF7" s="170">
        <f>SUMPRODUCT((Settings!$G$14:$G$43=$B7)*COUNTIF('INPUT - Roster'!$CV$6:$CV$206,"*"&amp;Settings!$F$14:$F$43&amp;"*"))</f>
        <v/>
      </c>
      <c r="CG7" s="170">
        <f>SUMPRODUCT((Settings!$G$14:$G$43=$B7)*COUNTIF('INPUT - Roster'!$CW$6:$CW$206,"*"&amp;Settings!$F$14:$F$43&amp;"*"))</f>
        <v/>
      </c>
      <c r="CH7" s="170">
        <f>SUMPRODUCT((Settings!$G$14:$G$43=$B7)*COUNTIF('INPUT - Roster'!$CX$6:$CX$206,"*"&amp;Settings!$F$14:$F$43&amp;"*"))</f>
        <v/>
      </c>
      <c r="CI7" s="170">
        <f>SUMPRODUCT((Settings!$G$14:$G$43=$B7)*COUNTIF('INPUT - Roster'!$CY$6:$CY$206,"*"&amp;Settings!$F$14:$F$43&amp;"*"))</f>
        <v/>
      </c>
      <c r="CJ7" s="170">
        <f>SUMPRODUCT((Settings!$G$14:$G$43=$B7)*COUNTIF('INPUT - Roster'!$CZ$6:$CZ$206,"*"&amp;Settings!$F$14:$F$43&amp;"*"))</f>
        <v/>
      </c>
      <c r="CK7" s="170">
        <f>SUMPRODUCT((Settings!$G$14:$G$43=$B7)*COUNTIF('INPUT - Roster'!$DA$6:$DA$206,"*"&amp;Settings!$F$14:$F$43&amp;"*"))</f>
        <v/>
      </c>
      <c r="CL7" s="170">
        <f>SUMPRODUCT((Settings!$G$14:$G$43=$B7)*COUNTIF('INPUT - Roster'!$DB$6:$DB$206,"*"&amp;Settings!$F$14:$F$43&amp;"*"))</f>
        <v/>
      </c>
      <c r="CM7" s="170">
        <f>SUMPRODUCT((Settings!$G$14:$G$43=$B7)*COUNTIF('INPUT - Roster'!$DC$6:$DC$206,"*"&amp;Settings!$F$14:$F$43&amp;"*"))</f>
        <v/>
      </c>
      <c r="CN7" s="170">
        <f>SUMPRODUCT((Settings!$G$14:$G$43=$B7)*COUNTIF('INPUT - Roster'!$DD$6:$DD$206,"*"&amp;Settings!$F$14:$F$43&amp;"*"))</f>
        <v/>
      </c>
      <c r="CO7" s="170">
        <f>SUMPRODUCT((Settings!$G$14:$G$43=$B7)*COUNTIF('INPUT - Roster'!$DE$6:$DE$206,"*"&amp;Settings!$F$14:$F$43&amp;"*"))</f>
        <v/>
      </c>
      <c r="CP7" s="170">
        <f>SUMPRODUCT((Settings!$G$14:$G$43=$B7)*COUNTIF('INPUT - Roster'!$DF$6:$DF$206,"*"&amp;Settings!$F$14:$F$43&amp;"*"))</f>
        <v/>
      </c>
      <c r="CQ7" s="170">
        <f>SUMPRODUCT((Settings!$G$14:$G$43=$B7)*COUNTIF('INPUT - Roster'!$DG$6:$DG$206,"*"&amp;Settings!$F$14:$F$43&amp;"*"))</f>
        <v/>
      </c>
      <c r="CR7" s="170">
        <f>SUMPRODUCT((Settings!$G$14:$G$43=$B7)*COUNTIF('INPUT - Roster'!$DH$6:$DH$206,"*"&amp;Settings!$F$14:$F$43&amp;"*"))</f>
        <v/>
      </c>
      <c r="CS7" s="170">
        <f>SUMPRODUCT((Settings!$G$14:$G$43=$B7)*COUNTIF('INPUT - Roster'!$DI$6:$DI$206,"*"&amp;Settings!$F$14:$F$43&amp;"*"))</f>
        <v/>
      </c>
      <c r="CT7" s="170">
        <f>SUMPRODUCT((Settings!$G$14:$G$43=$B7)*COUNTIF('INPUT - Roster'!$DJ$6:$DJ$206,"*"&amp;Settings!$F$14:$F$43&amp;"*"))</f>
        <v/>
      </c>
      <c r="CU7" s="170">
        <f>SUMPRODUCT((Settings!$G$14:$G$43=$B7)*COUNTIF('INPUT - Roster'!$DK$6:$DK$206,"*"&amp;Settings!$F$14:$F$43&amp;"*"))</f>
        <v/>
      </c>
      <c r="CV7" s="170">
        <f>SUMPRODUCT((Settings!$G$14:$G$43=$B7)*COUNTIF('INPUT - Roster'!$DL$6:$DL$206,"*"&amp;Settings!$F$14:$F$43&amp;"*"))</f>
        <v/>
      </c>
      <c r="CW7" s="170">
        <f>SUMPRODUCT((Settings!$G$14:$G$43=$B7)*COUNTIF('INPUT - Roster'!$DM$6:$DM$206,"*"&amp;Settings!$F$14:$F$43&amp;"*"))</f>
        <v/>
      </c>
      <c r="CX7" s="170">
        <f>SUMPRODUCT((Settings!$G$14:$G$43=$B7)*COUNTIF('INPUT - Roster'!$DN$6:$DN$206,"*"&amp;Settings!$F$14:$F$43&amp;"*"))</f>
        <v/>
      </c>
      <c r="CY7" s="170">
        <f>SUMPRODUCT((Settings!$G$14:$G$43=$B7)*COUNTIF('INPUT - Roster'!$DO$6:$DO$206,"*"&amp;Settings!$F$14:$F$43&amp;"*"))</f>
        <v/>
      </c>
      <c r="CZ7" s="170">
        <f>SUMPRODUCT((Settings!$G$14:$G$43=$B7)*COUNTIF('INPUT - Roster'!$DP$6:$DP$206,"*"&amp;Settings!$F$14:$F$43&amp;"*"))</f>
        <v/>
      </c>
      <c r="DA7" s="170">
        <f>SUMPRODUCT((Settings!$G$14:$G$43=$B7)*COUNTIF('INPUT - Roster'!$DQ$6:$DQ$206,"*"&amp;Settings!$F$14:$F$43&amp;"*"))</f>
        <v/>
      </c>
      <c r="DB7" s="170">
        <f>SUMPRODUCT((Settings!$G$14:$G$43=$B7)*COUNTIF('INPUT - Roster'!$DR$6:$DR$206,"*"&amp;Settings!$F$14:$F$43&amp;"*"))</f>
        <v/>
      </c>
      <c r="DC7" s="170">
        <f>SUMPRODUCT((Settings!$G$14:$G$43=$B7)*COUNTIF('INPUT - Roster'!$DS$6:$DS$206,"*"&amp;Settings!$F$14:$F$43&amp;"*"))</f>
        <v/>
      </c>
      <c r="DD7" s="170">
        <f>SUMPRODUCT((Settings!$G$14:$G$43=$B7)*COUNTIF('INPUT - Roster'!$DT$6:$DT$206,"*"&amp;Settings!$F$14:$F$43&amp;"*"))</f>
        <v/>
      </c>
      <c r="DE7" s="170">
        <f>SUMPRODUCT((Settings!$G$14:$G$43=$B7)*COUNTIF('INPUT - Roster'!$DU$6:$DU$206,"*"&amp;Settings!$F$14:$F$43&amp;"*"))</f>
        <v/>
      </c>
      <c r="DF7" s="170">
        <f>SUMPRODUCT((Settings!$G$14:$G$43=$B7)*COUNTIF('INPUT - Roster'!$DV$6:$DV$206,"*"&amp;Settings!$F$14:$F$43&amp;"*"))</f>
        <v/>
      </c>
      <c r="DG7" s="170">
        <f>SUMPRODUCT((Settings!$G$14:$G$43=$B7)*COUNTIF('INPUT - Roster'!$DW$6:$DW$206,"*"&amp;Settings!$F$14:$F$43&amp;"*"))</f>
        <v/>
      </c>
      <c r="DH7" s="170">
        <f>SUMPRODUCT((Settings!$G$14:$G$43=$B7)*COUNTIF('INPUT - Roster'!$DX$6:$DX$206,"*"&amp;Settings!$F$14:$F$43&amp;"*"))</f>
        <v/>
      </c>
      <c r="DI7" s="170">
        <f>SUMPRODUCT((Settings!$G$14:$G$43=$B7)*COUNTIF('INPUT - Roster'!$DY$6:$DY$206,"*"&amp;Settings!$F$14:$F$43&amp;"*"))</f>
        <v/>
      </c>
      <c r="DJ7" s="170">
        <f>SUMPRODUCT((Settings!$G$14:$G$43=$B7)*COUNTIF('INPUT - Roster'!$DZ$6:$DZ$206,"*"&amp;Settings!$F$14:$F$43&amp;"*"))</f>
        <v/>
      </c>
      <c r="DK7" s="170">
        <f>SUMPRODUCT((Settings!$G$14:$G$43=$B7)*COUNTIF('INPUT - Roster'!$EA$6:$EA$206,"*"&amp;Settings!$F$14:$F$43&amp;"*"))</f>
        <v/>
      </c>
      <c r="DL7" s="170">
        <f>SUMPRODUCT((Settings!$G$14:$G$43=$B7)*COUNTIF('INPUT - Roster'!$EB$6:$EB$206,"*"&amp;Settings!$F$14:$F$43&amp;"*"))</f>
        <v/>
      </c>
      <c r="DM7" s="170">
        <f>SUMPRODUCT((Settings!$G$14:$G$43=$B7)*COUNTIF('INPUT - Roster'!$EC$6:$EC$206,"*"&amp;Settings!$F$14:$F$43&amp;"*"))</f>
        <v/>
      </c>
      <c r="DN7" s="170">
        <f>SUMPRODUCT((Settings!$G$14:$G$43=$B7)*COUNTIF('INPUT - Roster'!$ED$6:$ED$206,"*"&amp;Settings!$F$14:$F$43&amp;"*"))</f>
        <v/>
      </c>
      <c r="DO7" s="170">
        <f>SUMPRODUCT((Settings!$G$14:$G$43=$B7)*COUNTIF('INPUT - Roster'!$EE$6:$EE$206,"*"&amp;Settings!$F$14:$F$43&amp;"*"))</f>
        <v/>
      </c>
      <c r="DP7" s="170">
        <f>SUMPRODUCT((Settings!$G$14:$G$43=$B7)*COUNTIF('INPUT - Roster'!$EF$6:$EF$206,"*"&amp;Settings!$F$14:$F$43&amp;"*"))</f>
        <v/>
      </c>
      <c r="DQ7" s="170">
        <f>SUMPRODUCT((Settings!$G$14:$G$43=$B7)*COUNTIF('INPUT - Roster'!$EG$6:$EG$206,"*"&amp;Settings!$F$14:$F$43&amp;"*"))</f>
        <v/>
      </c>
      <c r="DR7" s="170">
        <f>SUMPRODUCT((Settings!$G$14:$G$43=$B7)*COUNTIF('INPUT - Roster'!$EH$6:$EH$206,"*"&amp;Settings!$F$14:$F$43&amp;"*"))</f>
        <v/>
      </c>
      <c r="DS7" s="170">
        <f>SUMPRODUCT((Settings!$G$14:$G$43=$B7)*COUNTIF('INPUT - Roster'!$EI$6:$EI$206,"*"&amp;Settings!$F$14:$F$43&amp;"*"))</f>
        <v/>
      </c>
      <c r="DT7" s="170">
        <f>SUMPRODUCT((Settings!$G$14:$G$43=$B7)*COUNTIF('INPUT - Roster'!$EJ$6:$EJ$206,"*"&amp;Settings!$F$14:$F$43&amp;"*"))</f>
        <v/>
      </c>
      <c r="DU7" s="170">
        <f>SUMPRODUCT((Settings!$G$14:$G$43=$B7)*COUNTIF('INPUT - Roster'!$EK$6:$EK$206,"*"&amp;Settings!$F$14:$F$43&amp;"*"))</f>
        <v/>
      </c>
      <c r="DV7" s="170">
        <f>SUMPRODUCT((Settings!$G$14:$G$43=$B7)*COUNTIF('INPUT - Roster'!$EL$6:$EL$206,"*"&amp;Settings!$F$14:$F$43&amp;"*"))</f>
        <v/>
      </c>
      <c r="DW7" s="170">
        <f>SUMPRODUCT((Settings!$G$14:$G$43=$B7)*COUNTIF('INPUT - Roster'!$EM$6:$EM$206,"*"&amp;Settings!$F$14:$F$43&amp;"*"))</f>
        <v/>
      </c>
      <c r="DX7" s="170">
        <f>SUMPRODUCT((Settings!$G$14:$G$43=$B7)*COUNTIF('INPUT - Roster'!$EN$6:$EN$206,"*"&amp;Settings!$F$14:$F$43&amp;"*"))</f>
        <v/>
      </c>
      <c r="DY7" s="170">
        <f>SUMPRODUCT((Settings!$G$14:$G$43=$B7)*COUNTIF('INPUT - Roster'!$EO$6:$EO$206,"*"&amp;Settings!$F$14:$F$43&amp;"*"))</f>
        <v/>
      </c>
      <c r="DZ7" s="170">
        <f>SUMPRODUCT((Settings!$G$14:$G$43=$B7)*COUNTIF('INPUT - Roster'!$EP$6:$EP$206,"*"&amp;Settings!$F$14:$F$43&amp;"*"))</f>
        <v/>
      </c>
      <c r="EA7" s="170">
        <f>SUMPRODUCT((Settings!$G$14:$G$43=$B7)*COUNTIF('INPUT - Roster'!$EQ$6:$EQ$206,"*"&amp;Settings!$F$14:$F$43&amp;"*"))</f>
        <v/>
      </c>
      <c r="EB7" s="170">
        <f>SUMPRODUCT((Settings!$G$14:$G$43=$B7)*COUNTIF('INPUT - Roster'!$ER$6:$ER$206,"*"&amp;Settings!$F$14:$F$43&amp;"*"))</f>
        <v/>
      </c>
      <c r="EC7" s="170">
        <f>SUMPRODUCT((Settings!$G$14:$G$43=$B7)*COUNTIF('INPUT - Roster'!$ES$6:$ES$206,"*"&amp;Settings!$F$14:$F$43&amp;"*"))</f>
        <v/>
      </c>
      <c r="ED7" s="170">
        <f>SUMPRODUCT((Settings!$G$14:$G$43=$B7)*COUNTIF('INPUT - Roster'!$ET$6:$ET$206,"*"&amp;Settings!$F$14:$F$43&amp;"*"))</f>
        <v/>
      </c>
      <c r="EE7" s="170">
        <f>SUMPRODUCT((Settings!$G$14:$G$43=$B7)*COUNTIF('INPUT - Roster'!$EU$6:$EU$206,"*"&amp;Settings!$F$14:$F$43&amp;"*"))</f>
        <v/>
      </c>
      <c r="EF7" s="170">
        <f>SUMPRODUCT((Settings!$G$14:$G$43=$B7)*COUNTIF('INPUT - Roster'!$EV$6:$EV$206,"*"&amp;Settings!$F$14:$F$43&amp;"*"))</f>
        <v/>
      </c>
      <c r="EG7" s="170">
        <f>SUMPRODUCT((Settings!$G$14:$G$43=$B7)*COUNTIF('INPUT - Roster'!$EW$6:$EW$206,"*"&amp;Settings!$F$14:$F$43&amp;"*"))</f>
        <v/>
      </c>
      <c r="EH7" s="170">
        <f>SUMPRODUCT((Settings!$G$14:$G$43=$B7)*COUNTIF('INPUT - Roster'!$EX$6:$EX$206,"*"&amp;Settings!$F$14:$F$43&amp;"*"))</f>
        <v/>
      </c>
      <c r="EI7" s="170">
        <f>SUMPRODUCT((Settings!$G$14:$G$43=$B7)*COUNTIF('INPUT - Roster'!$EY$6:$EY$206,"*"&amp;Settings!$F$14:$F$43&amp;"*"))</f>
        <v/>
      </c>
      <c r="EJ7" s="170">
        <f>SUMPRODUCT((Settings!$G$14:$G$43=$B7)*COUNTIF('INPUT - Roster'!$EZ$6:$EZ$206,"*"&amp;Settings!$F$14:$F$43&amp;"*"))</f>
        <v/>
      </c>
      <c r="EK7" s="170">
        <f>SUMPRODUCT((Settings!$G$14:$G$43=$B7)*COUNTIF('INPUT - Roster'!$FA$6:$FA$206,"*"&amp;Settings!$F$14:$F$43&amp;"*"))</f>
        <v/>
      </c>
      <c r="EL7" s="170">
        <f>SUMPRODUCT((Settings!$G$14:$G$43=$B7)*COUNTIF('INPUT - Roster'!$FB$6:$FB$206,"*"&amp;Settings!$F$14:$F$43&amp;"*"))</f>
        <v/>
      </c>
      <c r="EM7" s="170">
        <f>SUMPRODUCT((Settings!$G$14:$G$43=$B7)*COUNTIF('INPUT - Roster'!$FC$6:$FC$206,"*"&amp;Settings!$F$14:$F$43&amp;"*"))</f>
        <v/>
      </c>
      <c r="EN7" s="170">
        <f>SUMPRODUCT((Settings!$G$14:$G$43=$B7)*COUNTIF('INPUT - Roster'!$FD$6:$FD$206,"*"&amp;Settings!$F$14:$F$43&amp;"*"))</f>
        <v/>
      </c>
      <c r="EO7" s="170">
        <f>SUMPRODUCT((Settings!$G$14:$G$43=$B7)*COUNTIF('INPUT - Roster'!$FE$6:$FE$206,"*"&amp;Settings!$F$14:$F$43&amp;"*"))</f>
        <v/>
      </c>
      <c r="EP7" s="170">
        <f>SUMPRODUCT((Settings!$G$14:$G$43=$B7)*COUNTIF('INPUT - Roster'!$FF$6:$FF$206,"*"&amp;Settings!$F$14:$F$43&amp;"*"))</f>
        <v/>
      </c>
      <c r="EQ7" s="170">
        <f>SUMPRODUCT((Settings!$G$14:$G$43=$B7)*COUNTIF('INPUT - Roster'!$FG$6:$FG$206,"*"&amp;Settings!$F$14:$F$43&amp;"*"))</f>
        <v/>
      </c>
      <c r="ER7" s="170">
        <f>SUMPRODUCT((Settings!$G$14:$G$43=$B7)*COUNTIF('INPUT - Roster'!$FH$6:$FH$206,"*"&amp;Settings!$F$14:$F$43&amp;"*"))</f>
        <v/>
      </c>
      <c r="ES7" s="170">
        <f>SUMPRODUCT((Settings!$G$14:$G$43=$B7)*COUNTIF('INPUT - Roster'!$FI$6:$FI$206,"*"&amp;Settings!$F$14:$F$43&amp;"*"))</f>
        <v/>
      </c>
      <c r="ET7" s="170">
        <f>SUMPRODUCT((Settings!$G$14:$G$43=$B7)*COUNTIF('INPUT - Roster'!$FJ$6:$FJ$206,"*"&amp;Settings!$F$14:$F$43&amp;"*"))</f>
        <v/>
      </c>
      <c r="EU7" s="170">
        <f>SUMPRODUCT((Settings!$G$14:$G$43=$B7)*COUNTIF('INPUT - Roster'!$FK$6:$FK$206,"*"&amp;Settings!$F$14:$F$43&amp;"*"))</f>
        <v/>
      </c>
      <c r="EV7" s="170">
        <f>SUMPRODUCT((Settings!$G$14:$G$43=$B7)*COUNTIF('INPUT - Roster'!$FL$6:$FL$206,"*"&amp;Settings!$F$14:$F$43&amp;"*"))</f>
        <v/>
      </c>
      <c r="EW7" s="170">
        <f>SUMPRODUCT((Settings!$G$14:$G$43=$B7)*COUNTIF('INPUT - Roster'!$FM$6:$FM$206,"*"&amp;Settings!$F$14:$F$43&amp;"*"))</f>
        <v/>
      </c>
      <c r="EX7" s="170">
        <f>SUMPRODUCT((Settings!$G$14:$G$43=$B7)*COUNTIF('INPUT - Roster'!$FN$6:$FN$206,"*"&amp;Settings!$F$14:$F$43&amp;"*"))</f>
        <v/>
      </c>
      <c r="EY7" s="170">
        <f>SUMPRODUCT((Settings!$G$14:$G$43=$B7)*COUNTIF('INPUT - Roster'!$FO$6:$FO$206,"*"&amp;Settings!$F$14:$F$43&amp;"*"))</f>
        <v/>
      </c>
      <c r="EZ7" s="170">
        <f>SUMPRODUCT((Settings!$G$14:$G$43=$B7)*COUNTIF('INPUT - Roster'!$FP$6:$FP$206,"*"&amp;Settings!$F$14:$F$43&amp;"*"))</f>
        <v/>
      </c>
      <c r="FA7" s="170">
        <f>SUMPRODUCT((Settings!$G$14:$G$43=$B7)*COUNTIF('INPUT - Roster'!$FQ$6:$FQ$206,"*"&amp;Settings!$F$14:$F$43&amp;"*"))</f>
        <v/>
      </c>
      <c r="FB7" s="170">
        <f>SUMPRODUCT((Settings!$G$14:$G$43=$B7)*COUNTIF('INPUT - Roster'!$FR$6:$FR$206,"*"&amp;Settings!$F$14:$F$43&amp;"*"))</f>
        <v/>
      </c>
      <c r="FC7" s="170">
        <f>SUMPRODUCT((Settings!$G$14:$G$43=$B7)*COUNTIF('INPUT - Roster'!$FS$6:$FS$206,"*"&amp;Settings!$F$14:$F$43&amp;"*"))</f>
        <v/>
      </c>
      <c r="FD7" s="170">
        <f>SUMPRODUCT((Settings!$G$14:$G$43=$B7)*COUNTIF('INPUT - Roster'!$FT$6:$FT$206,"*"&amp;Settings!$F$14:$F$43&amp;"*"))</f>
        <v/>
      </c>
      <c r="FE7" s="170">
        <f>SUMPRODUCT((Settings!$G$14:$G$43=$B7)*COUNTIF('INPUT - Roster'!$FU$6:$FU$206,"*"&amp;Settings!$F$14:$F$43&amp;"*"))</f>
        <v/>
      </c>
      <c r="FF7" s="170">
        <f>SUMPRODUCT((Settings!$G$14:$G$43=$B7)*COUNTIF('INPUT - Roster'!$FV$6:$FV$206,"*"&amp;Settings!$F$14:$F$43&amp;"*"))</f>
        <v/>
      </c>
      <c r="FG7" s="170">
        <f>SUMPRODUCT((Settings!$G$14:$G$43=$B7)*COUNTIF('INPUT - Roster'!$FW$6:$FW$206,"*"&amp;Settings!$F$14:$F$43&amp;"*"))</f>
        <v/>
      </c>
      <c r="FH7" s="170">
        <f>SUMPRODUCT((Settings!$G$14:$G$43=$B7)*COUNTIF('INPUT - Roster'!$FX$6:$FX$206,"*"&amp;Settings!$F$14:$F$43&amp;"*"))</f>
        <v/>
      </c>
      <c r="FI7" s="170">
        <f>SUMPRODUCT((Settings!$G$14:$G$43=$B7)*COUNTIF('INPUT - Roster'!$FY$6:$FY$206,"*"&amp;Settings!$F$14:$F$43&amp;"*"))</f>
        <v/>
      </c>
      <c r="FJ7" s="170">
        <f>SUMPRODUCT((Settings!$G$14:$G$43=$B7)*COUNTIF('INPUT - Roster'!$FZ$6:$FZ$206,"*"&amp;Settings!$F$14:$F$43&amp;"*"))</f>
        <v/>
      </c>
      <c r="FK7" s="170">
        <f>SUMPRODUCT((Settings!$G$14:$G$43=$B7)*COUNTIF('INPUT - Roster'!$GA$6:$GA$206,"*"&amp;Settings!$F$14:$F$43&amp;"*"))</f>
        <v/>
      </c>
      <c r="FL7" s="170">
        <f>SUMPRODUCT((Settings!$G$14:$G$43=$B7)*COUNTIF('INPUT - Roster'!$GB$6:$GB$206,"*"&amp;Settings!$F$14:$F$43&amp;"*"))</f>
        <v/>
      </c>
      <c r="FM7" s="170">
        <f>SUMPRODUCT((Settings!$G$14:$G$43=$B7)*COUNTIF('INPUT - Roster'!$GC$6:$GC$206,"*"&amp;Settings!$F$14:$F$43&amp;"*"))</f>
        <v/>
      </c>
      <c r="FN7" s="170">
        <f>SUMPRODUCT((Settings!$G$14:$G$43=$B7)*COUNTIF('INPUT - Roster'!$GD$6:$GD$206,"*"&amp;Settings!$F$14:$F$43&amp;"*"))</f>
        <v/>
      </c>
      <c r="FO7" s="170">
        <f>SUMPRODUCT((Settings!$G$14:$G$43=$B7)*COUNTIF('INPUT - Roster'!$GE$6:$GE$206,"*"&amp;Settings!$F$14:$F$43&amp;"*"))</f>
        <v/>
      </c>
      <c r="FP7" s="170">
        <f>SUMPRODUCT((Settings!$G$14:$G$43=$B7)*COUNTIF('INPUT - Roster'!$GF$6:$GF$206,"*"&amp;Settings!$F$14:$F$43&amp;"*"))</f>
        <v/>
      </c>
      <c r="FQ7" s="170">
        <f>SUMPRODUCT((Settings!$G$14:$G$43=$B7)*COUNTIF('INPUT - Roster'!$GG$6:$GG$206,"*"&amp;Settings!$F$14:$F$43&amp;"*"))</f>
        <v/>
      </c>
      <c r="FR7" s="170">
        <f>SUMPRODUCT((Settings!$G$14:$G$43=$B7)*COUNTIF('INPUT - Roster'!$GH$6:$GH$206,"*"&amp;Settings!$F$14:$F$43&amp;"*"))</f>
        <v/>
      </c>
      <c r="FS7" s="170">
        <f>SUMPRODUCT((Settings!$G$14:$G$43=$B7)*COUNTIF('INPUT - Roster'!$GI$6:$GI$206,"*"&amp;Settings!$F$14:$F$43&amp;"*"))</f>
        <v/>
      </c>
      <c r="FT7" s="170">
        <f>SUMPRODUCT((Settings!$G$14:$G$43=$B7)*COUNTIF('INPUT - Roster'!$GJ$6:$GJ$206,"*"&amp;Settings!$F$14:$F$43&amp;"*"))</f>
        <v/>
      </c>
      <c r="FU7" s="170">
        <f>SUMPRODUCT((Settings!$G$14:$G$43=$B7)*COUNTIF('INPUT - Roster'!$GK$6:$GK$206,"*"&amp;Settings!$F$14:$F$43&amp;"*"))</f>
        <v/>
      </c>
      <c r="FV7" s="170">
        <f>SUMPRODUCT((Settings!$G$14:$G$43=$B7)*COUNTIF('INPUT - Roster'!$GL$6:$GL$206,"*"&amp;Settings!$F$14:$F$43&amp;"*"))</f>
        <v/>
      </c>
      <c r="FW7" s="170">
        <f>SUMPRODUCT((Settings!$G$14:$G$43=$B7)*COUNTIF('INPUT - Roster'!$GM$6:$GM$206,"*"&amp;Settings!$F$14:$F$43&amp;"*"))</f>
        <v/>
      </c>
      <c r="FX7" s="170">
        <f>SUMPRODUCT((Settings!$G$14:$G$43=$B7)*COUNTIF('INPUT - Roster'!$GN$6:$GN$206,"*"&amp;Settings!$F$14:$F$43&amp;"*"))</f>
        <v/>
      </c>
      <c r="FY7" s="170">
        <f>SUMPRODUCT((Settings!$G$14:$G$43=$B7)*COUNTIF('INPUT - Roster'!$GO$6:$GO$206,"*"&amp;Settings!$F$14:$F$43&amp;"*"))</f>
        <v/>
      </c>
      <c r="FZ7" s="170">
        <f>SUMPRODUCT((Settings!$G$14:$G$43=$B7)*COUNTIF('INPUT - Roster'!$GP$6:$GP$206,"*"&amp;Settings!$F$14:$F$43&amp;"*"))</f>
        <v/>
      </c>
      <c r="GA7" s="170">
        <f>SUMPRODUCT((Settings!$G$14:$G$43=$B7)*COUNTIF('INPUT - Roster'!$GQ$6:$GQ$206,"*"&amp;Settings!$F$14:$F$43&amp;"*"))</f>
        <v/>
      </c>
      <c r="GB7" s="170">
        <f>SUMPRODUCT((Settings!$G$14:$G$43=$B7)*COUNTIF('INPUT - Roster'!$GR$6:$GR$206,"*"&amp;Settings!$F$14:$F$43&amp;"*"))</f>
        <v/>
      </c>
      <c r="GC7" s="170">
        <f>SUMPRODUCT((Settings!$G$14:$G$43=$B7)*COUNTIF('INPUT - Roster'!$GS$6:$GS$206,"*"&amp;Settings!$F$14:$F$43&amp;"*"))</f>
        <v/>
      </c>
      <c r="GD7" s="170">
        <f>SUMPRODUCT((Settings!$G$14:$G$43=$B7)*COUNTIF('INPUT - Roster'!$GT$6:$GT$206,"*"&amp;Settings!$F$14:$F$43&amp;"*"))</f>
        <v/>
      </c>
      <c r="GE7" s="170">
        <f>SUMPRODUCT((Settings!$G$14:$G$43=$B7)*COUNTIF('INPUT - Roster'!$GU$6:$GU$206,"*"&amp;Settings!$F$14:$F$43&amp;"*"))</f>
        <v/>
      </c>
      <c r="GF7" s="170">
        <f>SUMPRODUCT((Settings!$G$14:$G$43=$B7)*COUNTIF('INPUT - Roster'!$GV$6:$GV$206,"*"&amp;Settings!$F$14:$F$43&amp;"*"))</f>
        <v/>
      </c>
      <c r="GG7" s="170">
        <f>SUMPRODUCT((Settings!$G$14:$G$43=$B7)*COUNTIF('INPUT - Roster'!$GW$6:$GW$206,"*"&amp;Settings!$F$14:$F$43&amp;"*"))</f>
        <v/>
      </c>
      <c r="GH7" s="170">
        <f>SUMPRODUCT((Settings!$G$14:$G$43=$B7)*COUNTIF('INPUT - Roster'!$GX$6:$GX$206,"*"&amp;Settings!$F$14:$F$43&amp;"*"))</f>
        <v/>
      </c>
      <c r="GI7" s="170">
        <f>SUMPRODUCT((Settings!$G$14:$G$43=$B7)*COUNTIF('INPUT - Roster'!$GY$6:$GY$206,"*"&amp;Settings!$F$14:$F$43&amp;"*"))</f>
        <v/>
      </c>
      <c r="GJ7" s="170">
        <f>SUMPRODUCT((Settings!$G$14:$G$43=$B7)*COUNTIF('INPUT - Roster'!$GZ$6:$GZ$206,"*"&amp;Settings!$F$14:$F$43&amp;"*"))</f>
        <v/>
      </c>
      <c r="GK7" s="170">
        <f>SUMPRODUCT((Settings!$G$14:$G$43=$B7)*COUNTIF('INPUT - Roster'!$HA$6:$HA$206,"*"&amp;Settings!$F$14:$F$43&amp;"*"))</f>
        <v/>
      </c>
      <c r="GL7" s="170">
        <f>SUMPRODUCT((Settings!$G$14:$G$43=$B7)*COUNTIF('INPUT - Roster'!$HB$6:$HB$206,"*"&amp;Settings!$F$14:$F$43&amp;"*"))</f>
        <v/>
      </c>
      <c r="GM7" s="170">
        <f>SUMPRODUCT((Settings!$G$14:$G$43=$B7)*COUNTIF('INPUT - Roster'!$HC$6:$HC$206,"*"&amp;Settings!$F$14:$F$43&amp;"*"))</f>
        <v/>
      </c>
      <c r="GN7" s="170">
        <f>SUMPRODUCT((Settings!$G$14:$G$43=$B7)*COUNTIF('INPUT - Roster'!$HD$6:$HD$206,"*"&amp;Settings!$F$14:$F$43&amp;"*"))</f>
        <v/>
      </c>
      <c r="GO7" s="170">
        <f>SUMPRODUCT((Settings!$G$14:$G$43=$B7)*COUNTIF('INPUT - Roster'!$HE$6:$HE$206,"*"&amp;Settings!$F$14:$F$43&amp;"*"))</f>
        <v/>
      </c>
      <c r="GP7" s="170">
        <f>SUMPRODUCT((Settings!$G$14:$G$43=$B7)*COUNTIF('INPUT - Roster'!$HF$6:$HF$206,"*"&amp;Settings!$F$14:$F$43&amp;"*"))</f>
        <v/>
      </c>
      <c r="GQ7" s="170">
        <f>SUMPRODUCT((Settings!$G$14:$G$43=$B7)*COUNTIF('INPUT - Roster'!$HG$6:$HG$206,"*"&amp;Settings!$F$14:$F$43&amp;"*"))</f>
        <v/>
      </c>
      <c r="GR7" s="170">
        <f>SUMPRODUCT((Settings!$G$14:$G$43=$B7)*COUNTIF('INPUT - Roster'!$HH$6:$HH$206,"*"&amp;Settings!$F$14:$F$43&amp;"*"))</f>
        <v/>
      </c>
      <c r="GS7" s="170">
        <f>SUMPRODUCT((Settings!$G$14:$G$43=$B7)*COUNTIF('INPUT - Roster'!$HI$6:$HI$206,"*"&amp;Settings!$F$14:$F$43&amp;"*"))</f>
        <v/>
      </c>
      <c r="GT7" s="170">
        <f>SUMPRODUCT((Settings!$G$14:$G$43=$B7)*COUNTIF('INPUT - Roster'!$HJ$6:$HJ$206,"*"&amp;Settings!$F$14:$F$43&amp;"*"))</f>
        <v/>
      </c>
      <c r="GU7" s="170">
        <f>SUMPRODUCT((Settings!$G$14:$G$43=$B7)*COUNTIF('INPUT - Roster'!$HK$6:$HK$206,"*"&amp;Settings!$F$14:$F$43&amp;"*"))</f>
        <v/>
      </c>
      <c r="GV7" s="170">
        <f>SUMPRODUCT((Settings!$G$14:$G$43=$B7)*COUNTIF('INPUT - Roster'!$HL$6:$HL$206,"*"&amp;Settings!$F$14:$F$43&amp;"*"))</f>
        <v/>
      </c>
      <c r="GW7" s="170">
        <f>SUMPRODUCT((Settings!$G$14:$G$43=$B7)*COUNTIF('INPUT - Roster'!$HM$6:$HM$206,"*"&amp;Settings!$F$14:$F$43&amp;"*"))</f>
        <v/>
      </c>
      <c r="GX7" s="170">
        <f>SUMPRODUCT((Settings!$G$14:$G$43=$B7)*COUNTIF('INPUT - Roster'!$HN$6:$HN$206,"*"&amp;Settings!$F$14:$F$43&amp;"*"))</f>
        <v/>
      </c>
      <c r="GY7" s="170">
        <f>SUMPRODUCT((Settings!$G$14:$G$43=$B7)*COUNTIF('INPUT - Roster'!$HO$6:$HO$206,"*"&amp;Settings!$F$14:$F$43&amp;"*"))</f>
        <v/>
      </c>
      <c r="GZ7" s="170">
        <f>SUMPRODUCT((Settings!$G$14:$G$43=$B7)*COUNTIF('INPUT - Roster'!$HP$6:$HP$206,"*"&amp;Settings!$F$14:$F$43&amp;"*"))</f>
        <v/>
      </c>
      <c r="HA7" s="170">
        <f>SUMPRODUCT((Settings!$G$14:$G$43=$B7)*COUNTIF('INPUT - Roster'!$HQ$6:$HQ$206,"*"&amp;Settings!$F$14:$F$43&amp;"*"))</f>
        <v/>
      </c>
      <c r="HB7" s="170">
        <f>SUMPRODUCT((Settings!$G$14:$G$43=$B7)*COUNTIF('INPUT - Roster'!$HR$6:$HR$206,"*"&amp;Settings!$F$14:$F$43&amp;"*"))</f>
        <v/>
      </c>
      <c r="HC7" s="170">
        <f>SUMPRODUCT((Settings!$G$14:$G$43=$B7)*COUNTIF('INPUT - Roster'!$HS$6:$HS$206,"*"&amp;Settings!$F$14:$F$43&amp;"*"))</f>
        <v/>
      </c>
      <c r="HD7" s="170">
        <f>SUMPRODUCT((Settings!$G$14:$G$43=$B7)*COUNTIF('INPUT - Roster'!$HT$6:$HT$206,"*"&amp;Settings!$F$14:$F$43&amp;"*"))</f>
        <v/>
      </c>
      <c r="HE7" s="170">
        <f>SUMPRODUCT((Settings!$G$14:$G$43=$B7)*COUNTIF('INPUT - Roster'!$HU$6:$HU$206,"*"&amp;Settings!$F$14:$F$43&amp;"*"))</f>
        <v/>
      </c>
      <c r="HF7" s="170">
        <f>SUMPRODUCT((Settings!$G$14:$G$43=$B7)*COUNTIF('INPUT - Roster'!$HV$6:$HV$206,"*"&amp;Settings!$F$14:$F$43&amp;"*"))</f>
        <v/>
      </c>
      <c r="HG7" s="170">
        <f>SUMPRODUCT((Settings!$G$14:$G$43=$B7)*COUNTIF('INPUT - Roster'!$HW$6:$HW$206,"*"&amp;Settings!$F$14:$F$43&amp;"*"))</f>
        <v/>
      </c>
      <c r="HH7" s="170">
        <f>SUMPRODUCT((Settings!$G$14:$G$43=$B7)*COUNTIF('INPUT - Roster'!$HX$6:$HX$206,"*"&amp;Settings!$F$14:$F$43&amp;"*"))</f>
        <v/>
      </c>
      <c r="HI7" s="170">
        <f>SUMPRODUCT((Settings!$G$14:$G$43=$B7)*COUNTIF('INPUT - Roster'!$HY$6:$HY$206,"*"&amp;Settings!$F$14:$F$43&amp;"*"))</f>
        <v/>
      </c>
      <c r="HJ7" s="170">
        <f>SUMPRODUCT((Settings!$G$14:$G$43=$B7)*COUNTIF('INPUT - Roster'!$HZ$6:$HZ$206,"*"&amp;Settings!$F$14:$F$43&amp;"*"))</f>
        <v/>
      </c>
      <c r="HK7" s="170">
        <f>SUMPRODUCT((Settings!$G$14:$G$43=$B7)*COUNTIF('INPUT - Roster'!$IA$6:$IA$206,"*"&amp;Settings!$F$14:$F$43&amp;"*"))</f>
        <v/>
      </c>
      <c r="HL7" s="170">
        <f>SUMPRODUCT((Settings!$G$14:$G$43=$B7)*COUNTIF('INPUT - Roster'!$IB$6:$IB$206,"*"&amp;Settings!$F$14:$F$43&amp;"*"))</f>
        <v/>
      </c>
      <c r="HM7" s="170">
        <f>SUMPRODUCT((Settings!$G$14:$G$43=$B7)*COUNTIF('INPUT - Roster'!$IC$6:$IC$206,"*"&amp;Settings!$F$14:$F$43&amp;"*"))</f>
        <v/>
      </c>
      <c r="HN7" s="170">
        <f>SUMPRODUCT((Settings!$G$14:$G$43=$B7)*COUNTIF('INPUT - Roster'!$ID$6:$ID$206,"*"&amp;Settings!$F$14:$F$43&amp;"*"))</f>
        <v/>
      </c>
      <c r="HO7" s="170">
        <f>SUMPRODUCT((Settings!$G$14:$G$43=$B7)*COUNTIF('INPUT - Roster'!$IE$6:$IE$206,"*"&amp;Settings!$F$14:$F$43&amp;"*"))</f>
        <v/>
      </c>
      <c r="HP7" s="170">
        <f>SUMPRODUCT((Settings!$G$14:$G$43=$B7)*COUNTIF('INPUT - Roster'!$IF$6:$IF$206,"*"&amp;Settings!$F$14:$F$43&amp;"*"))</f>
        <v/>
      </c>
      <c r="HQ7" s="170">
        <f>SUMPRODUCT((Settings!$G$14:$G$43=$B7)*COUNTIF('INPUT - Roster'!$IG$6:$IG$206,"*"&amp;Settings!$F$14:$F$43&amp;"*"))</f>
        <v/>
      </c>
      <c r="HR7" s="170">
        <f>SUMPRODUCT((Settings!$G$14:$G$43=$B7)*COUNTIF('INPUT - Roster'!$IH$6:$IH$206,"*"&amp;Settings!$F$14:$F$43&amp;"*"))</f>
        <v/>
      </c>
      <c r="HS7" s="170">
        <f>SUMPRODUCT((Settings!$G$14:$G$43=$B7)*COUNTIF('INPUT - Roster'!$II$6:$II$206,"*"&amp;Settings!$F$14:$F$43&amp;"*"))</f>
        <v/>
      </c>
      <c r="HT7" s="170">
        <f>SUMPRODUCT((Settings!$G$14:$G$43=$B7)*COUNTIF('INPUT - Roster'!$IJ$6:$IJ$206,"*"&amp;Settings!$F$14:$F$43&amp;"*"))</f>
        <v/>
      </c>
      <c r="HU7" s="170">
        <f>SUMPRODUCT((Settings!$G$14:$G$43=$B7)*COUNTIF('INPUT - Roster'!$IK$6:$IK$206,"*"&amp;Settings!$F$14:$F$43&amp;"*"))</f>
        <v/>
      </c>
      <c r="HV7" s="170">
        <f>SUMPRODUCT((Settings!$G$14:$G$43=$B7)*COUNTIF('INPUT - Roster'!$IL$6:$IL$206,"*"&amp;Settings!$F$14:$F$43&amp;"*"))</f>
        <v/>
      </c>
      <c r="HW7" s="170">
        <f>SUMPRODUCT((Settings!$G$14:$G$43=$B7)*COUNTIF('INPUT - Roster'!$IM$6:$IM$206,"*"&amp;Settings!$F$14:$F$43&amp;"*"))</f>
        <v/>
      </c>
      <c r="HX7" s="170">
        <f>SUMPRODUCT((Settings!$G$14:$G$43=$B7)*COUNTIF('INPUT - Roster'!$IN$6:$IN$206,"*"&amp;Settings!$F$14:$F$43&amp;"*"))</f>
        <v/>
      </c>
      <c r="HY7" s="170">
        <f>SUMPRODUCT((Settings!$G$14:$G$43=$B7)*COUNTIF('INPUT - Roster'!$IO$6:$IO$206,"*"&amp;Settings!$F$14:$F$43&amp;"*"))</f>
        <v/>
      </c>
      <c r="HZ7" s="170">
        <f>SUMPRODUCT((Settings!$G$14:$G$43=$B7)*COUNTIF('INPUT - Roster'!$IP$6:$IP$206,"*"&amp;Settings!$F$14:$F$43&amp;"*"))</f>
        <v/>
      </c>
      <c r="IA7" s="170">
        <f>SUMPRODUCT((Settings!$G$14:$G$43=$B7)*COUNTIF('INPUT - Roster'!$IQ$6:$IQ$206,"*"&amp;Settings!$F$14:$F$43&amp;"*"))</f>
        <v/>
      </c>
      <c r="IB7" s="170">
        <f>SUMPRODUCT((Settings!$G$14:$G$43=$B7)*COUNTIF('INPUT - Roster'!$IR$6:$IR$206,"*"&amp;Settings!$F$14:$F$43&amp;"*"))</f>
        <v/>
      </c>
      <c r="IC7" s="170">
        <f>SUMPRODUCT((Settings!$G$14:$G$43=$B7)*COUNTIF('INPUT - Roster'!$IS$6:$IS$206,"*"&amp;Settings!$F$14:$F$43&amp;"*"))</f>
        <v/>
      </c>
      <c r="ID7" s="170">
        <f>SUMPRODUCT((Settings!$G$14:$G$43=$B7)*COUNTIF('INPUT - Roster'!$IT$6:$IT$206,"*"&amp;Settings!$F$14:$F$43&amp;"*"))</f>
        <v/>
      </c>
      <c r="IE7" s="170">
        <f>SUMPRODUCT((Settings!$G$14:$G$43=$B7)*COUNTIF('INPUT - Roster'!$IU$6:$IU$206,"*"&amp;Settings!$F$14:$F$43&amp;"*"))</f>
        <v/>
      </c>
      <c r="IF7" s="170">
        <f>SUMPRODUCT((Settings!$G$14:$G$43=$B7)*COUNTIF('INPUT - Roster'!$IV$6:$IV$206,"*"&amp;Settings!$F$14:$F$43&amp;"*"))</f>
        <v/>
      </c>
      <c r="IG7" s="170">
        <f>SUMPRODUCT((Settings!$G$14:$G$43=$B7)*COUNTIF('INPUT - Roster'!$IW$6:$IW$206,"*"&amp;Settings!$F$14:$F$43&amp;"*"))</f>
        <v/>
      </c>
      <c r="IH7" s="170">
        <f>SUMPRODUCT((Settings!$G$14:$G$43=$B7)*COUNTIF('INPUT - Roster'!$IX$6:$IX$206,"*"&amp;Settings!$F$14:$F$43&amp;"*"))</f>
        <v/>
      </c>
      <c r="II7" s="170">
        <f>SUMPRODUCT((Settings!$G$14:$G$43=$B7)*COUNTIF('INPUT - Roster'!$IY$6:$IY$206,"*"&amp;Settings!$F$14:$F$43&amp;"*"))</f>
        <v/>
      </c>
      <c r="IJ7" s="170">
        <f>SUMPRODUCT((Settings!$G$14:$G$43=$B7)*COUNTIF('INPUT - Roster'!$IZ$6:$IZ$206,"*"&amp;Settings!$F$14:$F$43&amp;"*"))</f>
        <v/>
      </c>
      <c r="IK7" s="170">
        <f>SUMPRODUCT((Settings!$G$14:$G$43=$B7)*COUNTIF('INPUT - Roster'!$JA$6:$JA$206,"*"&amp;Settings!$F$14:$F$43&amp;"*"))</f>
        <v/>
      </c>
      <c r="IL7" s="170">
        <f>SUMPRODUCT((Settings!$G$14:$G$43=$B7)*COUNTIF('INPUT - Roster'!$JB$6:$JB$206,"*"&amp;Settings!$F$14:$F$43&amp;"*"))</f>
        <v/>
      </c>
      <c r="IM7" s="170">
        <f>SUMPRODUCT((Settings!$G$14:$G$43=$B7)*COUNTIF('INPUT - Roster'!$JC$6:$JC$206,"*"&amp;Settings!$F$14:$F$43&amp;"*"))</f>
        <v/>
      </c>
      <c r="IN7" s="170">
        <f>SUMPRODUCT((Settings!$G$14:$G$43=$B7)*COUNTIF('INPUT - Roster'!$JD$6:$JD$206,"*"&amp;Settings!$F$14:$F$43&amp;"*"))</f>
        <v/>
      </c>
      <c r="IO7" s="170">
        <f>SUMPRODUCT((Settings!$G$14:$G$43=$B7)*COUNTIF('INPUT - Roster'!$JE$6:$JE$206,"*"&amp;Settings!$F$14:$F$43&amp;"*"))</f>
        <v/>
      </c>
      <c r="IP7" s="170">
        <f>SUMPRODUCT((Settings!$G$14:$G$43=$B7)*COUNTIF('INPUT - Roster'!$JF$6:$JF$206,"*"&amp;Settings!$F$14:$F$43&amp;"*"))</f>
        <v/>
      </c>
      <c r="IQ7" s="170">
        <f>SUMPRODUCT((Settings!$G$14:$G$43=$B7)*COUNTIF('INPUT - Roster'!$JG$6:$JG$206,"*"&amp;Settings!$F$14:$F$43&amp;"*"))</f>
        <v/>
      </c>
      <c r="IR7" s="170">
        <f>SUMPRODUCT((Settings!$G$14:$G$43=$B7)*COUNTIF('INPUT - Roster'!$JH$6:$JH$206,"*"&amp;Settings!$F$14:$F$43&amp;"*"))</f>
        <v/>
      </c>
      <c r="IS7" s="170">
        <f>SUMPRODUCT((Settings!$G$14:$G$43=$B7)*COUNTIF('INPUT - Roster'!$JI$6:$JI$206,"*"&amp;Settings!$F$14:$F$43&amp;"*"))</f>
        <v/>
      </c>
      <c r="IT7" s="170">
        <f>SUMPRODUCT((Settings!$G$14:$G$43=$B7)*COUNTIF('INPUT - Roster'!$JJ$6:$JJ$206,"*"&amp;Settings!$F$14:$F$43&amp;"*"))</f>
        <v/>
      </c>
      <c r="IU7" s="170">
        <f>SUMPRODUCT((Settings!$G$14:$G$43=$B7)*COUNTIF('INPUT - Roster'!$JK$6:$JK$206,"*"&amp;Settings!$F$14:$F$43&amp;"*"))</f>
        <v/>
      </c>
      <c r="IV7" s="170">
        <f>SUMPRODUCT((Settings!$G$14:$G$43=$B7)*COUNTIF('INPUT - Roster'!$JL$6:$JL$206,"*"&amp;Settings!$F$14:$F$43&amp;"*"))</f>
        <v/>
      </c>
      <c r="IW7" s="170">
        <f>SUMPRODUCT((Settings!$G$14:$G$43=$B7)*COUNTIF('INPUT - Roster'!$JM$6:$JM$206,"*"&amp;Settings!$F$14:$F$43&amp;"*"))</f>
        <v/>
      </c>
      <c r="IX7" s="170">
        <f>SUMPRODUCT((Settings!$G$14:$G$43=$B7)*COUNTIF('INPUT - Roster'!$JN$6:$JN$206,"*"&amp;Settings!$F$14:$F$43&amp;"*"))</f>
        <v/>
      </c>
      <c r="IY7" s="170">
        <f>SUMPRODUCT((Settings!$G$14:$G$43=$B7)*COUNTIF('INPUT - Roster'!$JO$6:$JO$206,"*"&amp;Settings!$F$14:$F$43&amp;"*"))</f>
        <v/>
      </c>
      <c r="IZ7" s="170">
        <f>SUMPRODUCT((Settings!$G$14:$G$43=$B7)*COUNTIF('INPUT - Roster'!$JP$6:$JP$206,"*"&amp;Settings!$F$14:$F$43&amp;"*"))</f>
        <v/>
      </c>
      <c r="JA7" s="170">
        <f>SUMPRODUCT((Settings!$G$14:$G$43=$B7)*COUNTIF('INPUT - Roster'!$JQ$6:$JQ$206,"*"&amp;Settings!$F$14:$F$43&amp;"*"))</f>
        <v/>
      </c>
      <c r="JB7" s="170">
        <f>SUMPRODUCT((Settings!$G$14:$G$43=$B7)*COUNTIF('INPUT - Roster'!$JR$6:$JR$206,"*"&amp;Settings!$F$14:$F$43&amp;"*"))</f>
        <v/>
      </c>
      <c r="JC7" s="170">
        <f>SUMPRODUCT((Settings!$G$14:$G$43=$B7)*COUNTIF('INPUT - Roster'!$JS$6:$JS$206,"*"&amp;Settings!$F$14:$F$43&amp;"*"))</f>
        <v/>
      </c>
      <c r="JD7" s="170">
        <f>SUMPRODUCT((Settings!$G$14:$G$43=$B7)*COUNTIF('INPUT - Roster'!$JT$6:$JT$206,"*"&amp;Settings!$F$14:$F$43&amp;"*"))</f>
        <v/>
      </c>
      <c r="JE7" s="170">
        <f>SUMPRODUCT((Settings!$G$14:$G$43=$B7)*COUNTIF('INPUT - Roster'!$JU$6:$JU$206,"*"&amp;Settings!$F$14:$F$43&amp;"*"))</f>
        <v/>
      </c>
      <c r="JF7" s="170">
        <f>SUMPRODUCT((Settings!$G$14:$G$43=$B7)*COUNTIF('INPUT - Roster'!$JV$6:$JV$206,"*"&amp;Settings!$F$14:$F$43&amp;"*"))</f>
        <v/>
      </c>
      <c r="JG7" s="170">
        <f>SUMPRODUCT((Settings!$G$14:$G$43=$B7)*COUNTIF('INPUT - Roster'!$JW$6:$JW$206,"*"&amp;Settings!$F$14:$F$43&amp;"*"))</f>
        <v/>
      </c>
      <c r="JH7" s="170">
        <f>SUMPRODUCT((Settings!$G$14:$G$43=$B7)*COUNTIF('INPUT - Roster'!$JX$6:$JX$206,"*"&amp;Settings!$F$14:$F$43&amp;"*"))</f>
        <v/>
      </c>
      <c r="JI7" s="170">
        <f>SUMPRODUCT((Settings!$G$14:$G$43=$B7)*COUNTIF('INPUT - Roster'!$JY$6:$JY$206,"*"&amp;Settings!$F$14:$F$43&amp;"*"))</f>
        <v/>
      </c>
      <c r="JJ7" s="170">
        <f>SUMPRODUCT((Settings!$G$14:$G$43=$B7)*COUNTIF('INPUT - Roster'!$JZ$6:$JZ$206,"*"&amp;Settings!$F$14:$F$43&amp;"*"))</f>
        <v/>
      </c>
      <c r="JK7" s="170">
        <f>SUMPRODUCT((Settings!$G$14:$G$43=$B7)*COUNTIF('INPUT - Roster'!$KA$6:$KA$206,"*"&amp;Settings!$F$14:$F$43&amp;"*"))</f>
        <v/>
      </c>
      <c r="JL7" s="170">
        <f>SUMPRODUCT((Settings!$G$14:$G$43=$B7)*COUNTIF('INPUT - Roster'!$KB$6:$KB$206,"*"&amp;Settings!$F$14:$F$43&amp;"*"))</f>
        <v/>
      </c>
      <c r="JM7" s="170">
        <f>SUMPRODUCT((Settings!$G$14:$G$43=$B7)*COUNTIF('INPUT - Roster'!$KC$6:$KC$206,"*"&amp;Settings!$F$14:$F$43&amp;"*"))</f>
        <v/>
      </c>
      <c r="JN7" s="170">
        <f>SUMPRODUCT((Settings!$G$14:$G$43=$B7)*COUNTIF('INPUT - Roster'!$KD$6:$KD$206,"*"&amp;Settings!$F$14:$F$43&amp;"*"))</f>
        <v/>
      </c>
      <c r="JO7" s="170">
        <f>SUMPRODUCT((Settings!$G$14:$G$43=$B7)*COUNTIF('INPUT - Roster'!$KE$6:$KE$206,"*"&amp;Settings!$F$14:$F$43&amp;"*"))</f>
        <v/>
      </c>
      <c r="JP7" s="170">
        <f>SUMPRODUCT((Settings!$G$14:$G$43=$B7)*COUNTIF('INPUT - Roster'!$KF$6:$KF$206,"*"&amp;Settings!$F$14:$F$43&amp;"*"))</f>
        <v/>
      </c>
      <c r="JQ7" s="170">
        <f>SUMPRODUCT((Settings!$G$14:$G$43=$B7)*COUNTIF('INPUT - Roster'!$KG$6:$KG$206,"*"&amp;Settings!$F$14:$F$43&amp;"*"))</f>
        <v/>
      </c>
      <c r="JR7" s="170">
        <f>SUMPRODUCT((Settings!$G$14:$G$43=$B7)*COUNTIF('INPUT - Roster'!$KH$6:$KH$206,"*"&amp;Settings!$F$14:$F$43&amp;"*"))</f>
        <v/>
      </c>
      <c r="JS7" s="170">
        <f>SUMPRODUCT((Settings!$G$14:$G$43=$B7)*COUNTIF('INPUT - Roster'!$KI$6:$KI$206,"*"&amp;Settings!$F$14:$F$43&amp;"*"))</f>
        <v/>
      </c>
      <c r="JT7" s="170">
        <f>SUMPRODUCT((Settings!$G$14:$G$43=$B7)*COUNTIF('INPUT - Roster'!$KJ$6:$KJ$206,"*"&amp;Settings!$F$14:$F$43&amp;"*"))</f>
        <v/>
      </c>
      <c r="JU7" s="170">
        <f>SUMPRODUCT((Settings!$G$14:$G$43=$B7)*COUNTIF('INPUT - Roster'!$KK$6:$KK$206,"*"&amp;Settings!$F$14:$F$43&amp;"*"))</f>
        <v/>
      </c>
      <c r="JV7" s="170">
        <f>SUMPRODUCT((Settings!$G$14:$G$43=$B7)*COUNTIF('INPUT - Roster'!$KL$6:$KL$206,"*"&amp;Settings!$F$14:$F$43&amp;"*"))</f>
        <v/>
      </c>
      <c r="JW7" s="170">
        <f>SUMPRODUCT((Settings!$G$14:$G$43=$B7)*COUNTIF('INPUT - Roster'!$KM$6:$KM$206,"*"&amp;Settings!$F$14:$F$43&amp;"*"))</f>
        <v/>
      </c>
      <c r="JX7" s="170">
        <f>SUMPRODUCT((Settings!$G$14:$G$43=$B7)*COUNTIF('INPUT - Roster'!$KN$6:$KN$206,"*"&amp;Settings!$F$14:$F$43&amp;"*"))</f>
        <v/>
      </c>
      <c r="JY7" s="170">
        <f>SUMPRODUCT((Settings!$G$14:$G$43=$B7)*COUNTIF('INPUT - Roster'!$KO$6:$KO$206,"*"&amp;Settings!$F$14:$F$43&amp;"*"))</f>
        <v/>
      </c>
      <c r="JZ7" s="170">
        <f>SUMPRODUCT((Settings!$G$14:$G$43=$B7)*COUNTIF('INPUT - Roster'!$KP$6:$KP$206,"*"&amp;Settings!$F$14:$F$43&amp;"*"))</f>
        <v/>
      </c>
      <c r="KA7" s="170">
        <f>SUMPRODUCT((Settings!$G$14:$G$43=$B7)*COUNTIF('INPUT - Roster'!$KQ$6:$KQ$206,"*"&amp;Settings!$F$14:$F$43&amp;"*"))</f>
        <v/>
      </c>
      <c r="KB7" s="170">
        <f>SUMPRODUCT((Settings!$G$14:$G$43=$B7)*COUNTIF('INPUT - Roster'!$KR$6:$KR$206,"*"&amp;Settings!$F$14:$F$43&amp;"*"))</f>
        <v/>
      </c>
      <c r="KC7" s="170">
        <f>SUMPRODUCT((Settings!$G$14:$G$43=$B7)*COUNTIF('INPUT - Roster'!$KS$6:$KS$206,"*"&amp;Settings!$F$14:$F$43&amp;"*"))</f>
        <v/>
      </c>
      <c r="KD7" s="170">
        <f>SUMPRODUCT((Settings!$G$14:$G$43=$B7)*COUNTIF('INPUT - Roster'!$KT$6:$KT$206,"*"&amp;Settings!$F$14:$F$43&amp;"*"))</f>
        <v/>
      </c>
      <c r="KE7" s="170">
        <f>SUMPRODUCT((Settings!$G$14:$G$43=$B7)*COUNTIF('INPUT - Roster'!$KU$6:$KU$206,"*"&amp;Settings!$F$14:$F$43&amp;"*"))</f>
        <v/>
      </c>
      <c r="KF7" s="170">
        <f>SUMPRODUCT((Settings!$G$14:$G$43=$B7)*COUNTIF('INPUT - Roster'!$KV$6:$KV$206,"*"&amp;Settings!$F$14:$F$43&amp;"*"))</f>
        <v/>
      </c>
      <c r="KG7" s="170">
        <f>SUMPRODUCT((Settings!$G$14:$G$43=$B7)*COUNTIF('INPUT - Roster'!$KW$6:$KW$206,"*"&amp;Settings!$F$14:$F$43&amp;"*"))</f>
        <v/>
      </c>
      <c r="KH7" s="170">
        <f>SUMPRODUCT((Settings!$G$14:$G$43=$B7)*COUNTIF('INPUT - Roster'!$KX$6:$KX$206,"*"&amp;Settings!$F$14:$F$43&amp;"*"))</f>
        <v/>
      </c>
      <c r="KI7" s="170">
        <f>SUMPRODUCT((Settings!$G$14:$G$43=$B7)*COUNTIF('INPUT - Roster'!$KY$6:$KY$206,"*"&amp;Settings!$F$14:$F$43&amp;"*"))</f>
        <v/>
      </c>
      <c r="KJ7" s="170">
        <f>SUMPRODUCT((Settings!$G$14:$G$43=$B7)*COUNTIF('INPUT - Roster'!$KZ$6:$KZ$206,"*"&amp;Settings!$F$14:$F$43&amp;"*"))</f>
        <v/>
      </c>
      <c r="KK7" s="170">
        <f>SUMPRODUCT((Settings!$G$14:$G$43=$B7)*COUNTIF('INPUT - Roster'!$LA$6:$LA$206,"*"&amp;Settings!$F$14:$F$43&amp;"*"))</f>
        <v/>
      </c>
      <c r="KL7" s="170">
        <f>SUMPRODUCT((Settings!$G$14:$G$43=$B7)*COUNTIF('INPUT - Roster'!$LB$6:$LB$206,"*"&amp;Settings!$F$14:$F$43&amp;"*"))</f>
        <v/>
      </c>
      <c r="KM7" s="170">
        <f>SUMPRODUCT((Settings!$G$14:$G$43=$B7)*COUNTIF('INPUT - Roster'!$LC$6:$LC$206,"*"&amp;Settings!$F$14:$F$43&amp;"*"))</f>
        <v/>
      </c>
      <c r="KN7" s="170">
        <f>SUMPRODUCT((Settings!$G$14:$G$43=$B7)*COUNTIF('INPUT - Roster'!$LD$6:$LD$206,"*"&amp;Settings!$F$14:$F$43&amp;"*"))</f>
        <v/>
      </c>
      <c r="KO7" s="170">
        <f>SUMPRODUCT((Settings!$G$14:$G$43=$B7)*COUNTIF('INPUT - Roster'!$LE$6:$LE$206,"*"&amp;Settings!$F$14:$F$43&amp;"*"))</f>
        <v/>
      </c>
      <c r="KP7" s="170">
        <f>SUMPRODUCT((Settings!$G$14:$G$43=$B7)*COUNTIF('INPUT - Roster'!$LF$6:$LF$206,"*"&amp;Settings!$F$14:$F$43&amp;"*"))</f>
        <v/>
      </c>
      <c r="KQ7" s="170">
        <f>SUMPRODUCT((Settings!$G$14:$G$43=$B7)*COUNTIF('INPUT - Roster'!$LG$6:$LG$206,"*"&amp;Settings!$F$14:$F$43&amp;"*"))</f>
        <v/>
      </c>
      <c r="KR7" s="170">
        <f>SUMPRODUCT((Settings!$G$14:$G$43=$B7)*COUNTIF('INPUT - Roster'!$LH$6:$LH$206,"*"&amp;Settings!$F$14:$F$43&amp;"*"))</f>
        <v/>
      </c>
      <c r="KS7" s="170">
        <f>SUMPRODUCT((Settings!$G$14:$G$43=$B7)*COUNTIF('INPUT - Roster'!$LI$6:$LI$206,"*"&amp;Settings!$F$14:$F$43&amp;"*"))</f>
        <v/>
      </c>
      <c r="KT7" s="170">
        <f>SUMPRODUCT((Settings!$G$14:$G$43=$B7)*COUNTIF('INPUT - Roster'!$LJ$6:$LJ$206,"*"&amp;Settings!$F$14:$F$43&amp;"*"))</f>
        <v/>
      </c>
      <c r="KU7" s="170">
        <f>SUMPRODUCT((Settings!$G$14:$G$43=$B7)*COUNTIF('INPUT - Roster'!$LK$6:$LK$206,"*"&amp;Settings!$F$14:$F$43&amp;"*"))</f>
        <v/>
      </c>
      <c r="KV7" s="170">
        <f>SUMPRODUCT((Settings!$G$14:$G$43=$B7)*COUNTIF('INPUT - Roster'!$LL$6:$LL$206,"*"&amp;Settings!$F$14:$F$43&amp;"*"))</f>
        <v/>
      </c>
      <c r="KW7" s="170">
        <f>SUMPRODUCT((Settings!$G$14:$G$43=$B7)*COUNTIF('INPUT - Roster'!$LM$6:$LM$206,"*"&amp;Settings!$F$14:$F$43&amp;"*"))</f>
        <v/>
      </c>
      <c r="KX7" s="170">
        <f>SUMPRODUCT((Settings!$G$14:$G$43=$B7)*COUNTIF('INPUT - Roster'!$LN$6:$LN$206,"*"&amp;Settings!$F$14:$F$43&amp;"*"))</f>
        <v/>
      </c>
      <c r="KY7" s="170">
        <f>SUMPRODUCT((Settings!$G$14:$G$43=$B7)*COUNTIF('INPUT - Roster'!$LO$6:$LO$206,"*"&amp;Settings!$F$14:$F$43&amp;"*"))</f>
        <v/>
      </c>
      <c r="KZ7" s="170">
        <f>SUMPRODUCT((Settings!$G$14:$G$43=$B7)*COUNTIF('INPUT - Roster'!$LP$6:$LP$206,"*"&amp;Settings!$F$14:$F$43&amp;"*"))</f>
        <v/>
      </c>
      <c r="LA7" s="170">
        <f>SUMPRODUCT((Settings!$G$14:$G$43=$B7)*COUNTIF('INPUT - Roster'!$LQ$6:$LQ$206,"*"&amp;Settings!$F$14:$F$43&amp;"*"))</f>
        <v/>
      </c>
      <c r="LB7" s="170">
        <f>SUMPRODUCT((Settings!$G$14:$G$43=$B7)*COUNTIF('INPUT - Roster'!$LR$6:$LR$206,"*"&amp;Settings!$F$14:$F$43&amp;"*"))</f>
        <v/>
      </c>
      <c r="LC7" s="170">
        <f>SUMPRODUCT((Settings!$G$14:$G$43=$B7)*COUNTIF('INPUT - Roster'!$LS$6:$LS$206,"*"&amp;Settings!$F$14:$F$43&amp;"*"))</f>
        <v/>
      </c>
      <c r="LD7" s="170">
        <f>SUMPRODUCT((Settings!$G$14:$G$43=$B7)*COUNTIF('INPUT - Roster'!$LT$6:$LT$206,"*"&amp;Settings!$F$14:$F$43&amp;"*"))</f>
        <v/>
      </c>
      <c r="LE7" s="170">
        <f>SUMPRODUCT((Settings!$G$14:$G$43=$B7)*COUNTIF('INPUT - Roster'!$LU$6:$LU$206,"*"&amp;Settings!$F$14:$F$43&amp;"*"))</f>
        <v/>
      </c>
      <c r="LF7" s="170">
        <f>SUMPRODUCT((Settings!$G$14:$G$43=$B7)*COUNTIF('INPUT - Roster'!$LV$6:$LV$206,"*"&amp;Settings!$F$14:$F$43&amp;"*"))</f>
        <v/>
      </c>
      <c r="LG7" s="170">
        <f>SUMPRODUCT((Settings!$G$14:$G$43=$B7)*COUNTIF('INPUT - Roster'!$LW$6:$LW$206,"*"&amp;Settings!$F$14:$F$43&amp;"*"))</f>
        <v/>
      </c>
      <c r="LH7" s="170">
        <f>SUMPRODUCT((Settings!$G$14:$G$43=$B7)*COUNTIF('INPUT - Roster'!$LX$6:$LX$206,"*"&amp;Settings!$F$14:$F$43&amp;"*"))</f>
        <v/>
      </c>
      <c r="LI7" s="170">
        <f>SUMPRODUCT((Settings!$G$14:$G$43=$B7)*COUNTIF('INPUT - Roster'!$LY$6:$LY$206,"*"&amp;Settings!$F$14:$F$43&amp;"*"))</f>
        <v/>
      </c>
      <c r="LJ7" s="170">
        <f>SUMPRODUCT((Settings!$G$14:$G$43=$B7)*COUNTIF('INPUT - Roster'!$LZ$6:$LZ$206,"*"&amp;Settings!$F$14:$F$43&amp;"*"))</f>
        <v/>
      </c>
      <c r="LK7" s="170">
        <f>SUMPRODUCT((Settings!$G$14:$G$43=$B7)*COUNTIF('INPUT - Roster'!$MA$6:$MA$206,"*"&amp;Settings!$F$14:$F$43&amp;"*"))</f>
        <v/>
      </c>
      <c r="LL7" s="170">
        <f>SUMPRODUCT((Settings!$G$14:$G$43=$B7)*COUNTIF('INPUT - Roster'!$MB$6:$MB$206,"*"&amp;Settings!$F$14:$F$43&amp;"*"))</f>
        <v/>
      </c>
      <c r="LM7" s="170">
        <f>SUMPRODUCT((Settings!$G$14:$G$43=$B7)*COUNTIF('INPUT - Roster'!$MC$6:$MC$206,"*"&amp;Settings!$F$14:$F$43&amp;"*"))</f>
        <v/>
      </c>
      <c r="LN7" s="170">
        <f>SUMPRODUCT((Settings!$G$14:$G$43=$B7)*COUNTIF('INPUT - Roster'!$MD$6:$MD$206,"*"&amp;Settings!$F$14:$F$43&amp;"*"))</f>
        <v/>
      </c>
      <c r="LO7" s="170">
        <f>SUMPRODUCT((Settings!$G$14:$G$43=$B7)*COUNTIF('INPUT - Roster'!$ME$6:$ME$206,"*"&amp;Settings!$F$14:$F$43&amp;"*"))</f>
        <v/>
      </c>
      <c r="LP7" s="170">
        <f>SUMPRODUCT((Settings!$G$14:$G$43=$B7)*COUNTIF('INPUT - Roster'!$MF$6:$MF$206,"*"&amp;Settings!$F$14:$F$43&amp;"*"))</f>
        <v/>
      </c>
      <c r="LQ7" s="170">
        <f>SUMPRODUCT((Settings!$G$14:$G$43=$B7)*COUNTIF('INPUT - Roster'!$MG$6:$MG$206,"*"&amp;Settings!$F$14:$F$43&amp;"*"))</f>
        <v/>
      </c>
      <c r="LR7" s="170">
        <f>SUMPRODUCT((Settings!$G$14:$G$43=$B7)*COUNTIF('INPUT - Roster'!$MH$6:$MH$206,"*"&amp;Settings!$F$14:$F$43&amp;"*"))</f>
        <v/>
      </c>
      <c r="LS7" s="170">
        <f>SUMPRODUCT((Settings!$G$14:$G$43=$B7)*COUNTIF('INPUT - Roster'!$MI$6:$MI$206,"*"&amp;Settings!$F$14:$F$43&amp;"*"))</f>
        <v/>
      </c>
      <c r="LT7" s="170">
        <f>SUMPRODUCT((Settings!$G$14:$G$43=$B7)*COUNTIF('INPUT - Roster'!$MJ$6:$MJ$206,"*"&amp;Settings!$F$14:$F$43&amp;"*"))</f>
        <v/>
      </c>
      <c r="LU7" s="170">
        <f>SUMPRODUCT((Settings!$G$14:$G$43=$B7)*COUNTIF('INPUT - Roster'!$MK$6:$MK$206,"*"&amp;Settings!$F$14:$F$43&amp;"*"))</f>
        <v/>
      </c>
      <c r="LV7" s="170">
        <f>SUMPRODUCT((Settings!$G$14:$G$43=$B7)*COUNTIF('INPUT - Roster'!$ML$6:$ML$206,"*"&amp;Settings!$F$14:$F$43&amp;"*"))</f>
        <v/>
      </c>
      <c r="LW7" s="170">
        <f>SUMPRODUCT((Settings!$G$14:$G$43=$B7)*COUNTIF('INPUT - Roster'!$MM$6:$MM$206,"*"&amp;Settings!$F$14:$F$43&amp;"*"))</f>
        <v/>
      </c>
      <c r="LX7" s="170">
        <f>SUMPRODUCT((Settings!$G$14:$G$43=$B7)*COUNTIF('INPUT - Roster'!$MN$6:$MN$206,"*"&amp;Settings!$F$14:$F$43&amp;"*"))</f>
        <v/>
      </c>
      <c r="LY7" s="170">
        <f>SUMPRODUCT((Settings!$G$14:$G$43=$B7)*COUNTIF('INPUT - Roster'!$MO$6:$MO$206,"*"&amp;Settings!$F$14:$F$43&amp;"*"))</f>
        <v/>
      </c>
      <c r="LZ7" s="170">
        <f>SUMPRODUCT((Settings!$G$14:$G$43=$B7)*COUNTIF('INPUT - Roster'!$MP$6:$MP$206,"*"&amp;Settings!$F$14:$F$43&amp;"*"))</f>
        <v/>
      </c>
      <c r="MA7" s="170">
        <f>SUMPRODUCT((Settings!$G$14:$G$43=$B7)*COUNTIF('INPUT - Roster'!$MQ$6:$MQ$206,"*"&amp;Settings!$F$14:$F$43&amp;"*"))</f>
        <v/>
      </c>
      <c r="MB7" s="170">
        <f>SUMPRODUCT((Settings!$G$14:$G$43=$B7)*COUNTIF('INPUT - Roster'!$MR$6:$MR$206,"*"&amp;Settings!$F$14:$F$43&amp;"*"))</f>
        <v/>
      </c>
      <c r="MC7" s="170">
        <f>SUMPRODUCT((Settings!$G$14:$G$43=$B7)*COUNTIF('INPUT - Roster'!$MS$6:$MS$206,"*"&amp;Settings!$F$14:$F$43&amp;"*"))</f>
        <v/>
      </c>
      <c r="MD7" s="170">
        <f>SUMPRODUCT((Settings!$G$14:$G$43=$B7)*COUNTIF('INPUT - Roster'!$MT$6:$MT$206,"*"&amp;Settings!$F$14:$F$43&amp;"*"))</f>
        <v/>
      </c>
      <c r="ME7" s="170">
        <f>SUMPRODUCT((Settings!$G$14:$G$43=$B7)*COUNTIF('INPUT - Roster'!$MU$6:$MU$206,"*"&amp;Settings!$F$14:$F$43&amp;"*"))</f>
        <v/>
      </c>
      <c r="MF7" s="170">
        <f>SUMPRODUCT((Settings!$G$14:$G$43=$B7)*COUNTIF('INPUT - Roster'!$MV$6:$MV$206,"*"&amp;Settings!$F$14:$F$43&amp;"*"))</f>
        <v/>
      </c>
      <c r="MG7" s="170">
        <f>SUMPRODUCT((Settings!$G$14:$G$43=$B7)*COUNTIF('INPUT - Roster'!$MW$6:$MW$206,"*"&amp;Settings!$F$14:$F$43&amp;"*"))</f>
        <v/>
      </c>
      <c r="MH7" s="170">
        <f>SUMPRODUCT((Settings!$G$14:$G$43=$B7)*COUNTIF('INPUT - Roster'!$MX$6:$MX$206,"*"&amp;Settings!$F$14:$F$43&amp;"*"))</f>
        <v/>
      </c>
      <c r="MI7" s="170">
        <f>SUMPRODUCT((Settings!$G$14:$G$43=$B7)*COUNTIF('INPUT - Roster'!$MY$6:$MY$206,"*"&amp;Settings!$F$14:$F$43&amp;"*"))</f>
        <v/>
      </c>
      <c r="MJ7" s="170">
        <f>SUMPRODUCT((Settings!$G$14:$G$43=$B7)*COUNTIF('INPUT - Roster'!$MZ$6:$MZ$206,"*"&amp;Settings!$F$14:$F$43&amp;"*"))</f>
        <v/>
      </c>
      <c r="MK7" s="170">
        <f>SUMPRODUCT((Settings!$G$14:$G$43=$B7)*COUNTIF('INPUT - Roster'!$NA$6:$NA$206,"*"&amp;Settings!$F$14:$F$43&amp;"*"))</f>
        <v/>
      </c>
      <c r="ML7" s="170">
        <f>SUMPRODUCT((Settings!$G$14:$G$43=$B7)*COUNTIF('INPUT - Roster'!$NB$6:$NB$206,"*"&amp;Settings!$F$14:$F$43&amp;"*"))</f>
        <v/>
      </c>
      <c r="MM7" s="170">
        <f>SUMPRODUCT((Settings!$G$14:$G$43=$B7)*COUNTIF('INPUT - Roster'!$NC$6:$NC$206,"*"&amp;Settings!$F$14:$F$43&amp;"*"))</f>
        <v/>
      </c>
      <c r="MN7" s="170">
        <f>SUMPRODUCT((Settings!$G$14:$G$43=$B7)*COUNTIF('INPUT - Roster'!$ND$6:$ND$206,"*"&amp;Settings!$F$14:$F$43&amp;"*"))</f>
        <v/>
      </c>
      <c r="MO7" s="170">
        <f>SUMPRODUCT((Settings!$G$14:$G$43=$B7)*COUNTIF('INPUT - Roster'!$NE$6:$NE$206,"*"&amp;Settings!$F$14:$F$43&amp;"*"))</f>
        <v/>
      </c>
      <c r="MP7" s="170">
        <f>SUMPRODUCT((Settings!$G$14:$G$43=$B7)*COUNTIF('INPUT - Roster'!$NF$6:$NF$206,"*"&amp;Settings!$F$14:$F$43&amp;"*"))</f>
        <v/>
      </c>
      <c r="MQ7" s="170">
        <f>SUMPRODUCT((Settings!$G$14:$G$43=$B7)*COUNTIF('INPUT - Roster'!$NG$6:$NG$206,"*"&amp;Settings!$F$14:$F$43&amp;"*"))</f>
        <v/>
      </c>
      <c r="MR7" s="170">
        <f>SUMPRODUCT((Settings!$G$14:$G$43=$B7)*COUNTIF('INPUT - Roster'!$NH$6:$NH$206,"*"&amp;Settings!$F$14:$F$43&amp;"*"))</f>
        <v/>
      </c>
      <c r="MS7" s="170">
        <f>SUMPRODUCT((Settings!$G$14:$G$43=$B7)*COUNTIF('INPUT - Roster'!$NI$6:$NI$206,"*"&amp;Settings!$F$14:$F$43&amp;"*"))</f>
        <v/>
      </c>
      <c r="MT7" s="170">
        <f>SUMPRODUCT((Settings!$G$14:$G$43=$B7)*COUNTIF('INPUT - Roster'!$NJ$6:$NJ$206,"*"&amp;Settings!$F$14:$F$43&amp;"*"))</f>
        <v/>
      </c>
      <c r="MU7" s="170">
        <f>SUMPRODUCT((Settings!$G$14:$G$43=$B7)*COUNTIF('INPUT - Roster'!$NK$6:$NK$206,"*"&amp;Settings!$F$14:$F$43&amp;"*"))</f>
        <v/>
      </c>
      <c r="MV7" s="170">
        <f>SUMPRODUCT((Settings!$G$14:$G$43=$B7)*COUNTIF('INPUT - Roster'!$NL$6:$NL$206,"*"&amp;Settings!$F$14:$F$43&amp;"*"))</f>
        <v/>
      </c>
      <c r="MW7" s="170">
        <f>SUMPRODUCT((Settings!$G$14:$G$43=$B7)*COUNTIF('INPUT - Roster'!$NM$6:$NM$206,"*"&amp;Settings!$F$14:$F$43&amp;"*"))</f>
        <v/>
      </c>
      <c r="MX7" s="170">
        <f>SUMPRODUCT((Settings!$G$14:$G$43=$B7)*COUNTIF('INPUT - Roster'!$NN$6:$NN$206,"*"&amp;Settings!$F$14:$F$43&amp;"*"))</f>
        <v/>
      </c>
      <c r="MY7" s="170">
        <f>SUMPRODUCT((Settings!$G$14:$G$43=$B7)*COUNTIF('INPUT - Roster'!$NO$6:$NO$206,"*"&amp;Settings!$F$14:$F$43&amp;"*"))</f>
        <v/>
      </c>
      <c r="MZ7" s="170">
        <f>SUMPRODUCT((Settings!$G$14:$G$43=$B7)*COUNTIF('INPUT - Roster'!$NP$6:$NP$206,"*"&amp;Settings!$F$14:$F$43&amp;"*"))</f>
        <v/>
      </c>
      <c r="NA7" s="170">
        <f>SUMPRODUCT((Settings!$G$14:$G$43=$B7)*COUNTIF('INPUT - Roster'!$NQ$6:$NQ$206,"*"&amp;Settings!$F$14:$F$43&amp;"*"))</f>
        <v/>
      </c>
      <c r="NB7" s="170">
        <f>SUMPRODUCT((Settings!$G$14:$G$43=$B7)*COUNTIF('INPUT - Roster'!$NR$6:$NR$206,"*"&amp;Settings!$F$14:$F$43&amp;"*"))</f>
        <v/>
      </c>
      <c r="NC7" s="170">
        <f>SUMPRODUCT((Settings!$G$14:$G$43=$B7)*COUNTIF('INPUT - Roster'!$NS$6:$NS$206,"*"&amp;Settings!$F$14:$F$43&amp;"*"))</f>
        <v/>
      </c>
      <c r="ND7" s="170">
        <f>SUMPRODUCT((Settings!$G$14:$G$43=$B7)*COUNTIF('INPUT - Roster'!$NT$6:$NT$206,"*"&amp;Settings!$F$14:$F$43&amp;"*"))</f>
        <v/>
      </c>
      <c r="NE7" s="170">
        <f>SUMPRODUCT((Settings!$G$14:$G$43=$B7)*COUNTIF('INPUT - Roster'!$NU$6:$NU$206,"*"&amp;Settings!$F$14:$F$43&amp;"*"))</f>
        <v/>
      </c>
      <c r="NF7" s="170">
        <f>SUMPRODUCT((Settings!$G$14:$G$43=$B7)*COUNTIF('INPUT - Roster'!$NV$6:$NV$206,"*"&amp;Settings!$F$14:$F$43&amp;"*"))</f>
        <v/>
      </c>
      <c r="NG7" s="170">
        <f>SUMPRODUCT((Settings!$G$14:$G$43=$B7)*COUNTIF('INPUT - Roster'!$NW$6:$NW$206,"*"&amp;Settings!$F$14:$F$43&amp;"*"))</f>
        <v/>
      </c>
      <c r="NH7" s="170">
        <f>SUMPRODUCT((Settings!$G$14:$G$43=$B7)*COUNTIF('INPUT - Roster'!$NX$6:$NX$206,"*"&amp;Settings!$F$14:$F$43&amp;"*"))</f>
        <v/>
      </c>
      <c r="NI7" s="170">
        <f>SUMPRODUCT((Settings!$G$14:$G$43=$B7)*COUNTIF('INPUT - Roster'!$NY$6:$NY$206,"*"&amp;Settings!$F$14:$F$43&amp;"*"))</f>
        <v/>
      </c>
      <c r="NJ7" s="170">
        <f>SUMPRODUCT((Settings!$G$14:$G$43=$B7)*COUNTIF('INPUT - Roster'!$NZ$6:$NZ$206,"*"&amp;Settings!$F$14:$F$43&amp;"*"))</f>
        <v/>
      </c>
      <c r="NK7" s="170">
        <f>SUMPRODUCT((Settings!$G$14:$G$43=$B7)*COUNTIF('INPUT - Roster'!$OA$6:$OA$206,"*"&amp;Settings!$F$14:$F$43&amp;"*"))</f>
        <v/>
      </c>
      <c r="NL7" s="170">
        <f>SUMPRODUCT((Settings!$G$14:$G$43=$B7)*COUNTIF('INPUT - Roster'!$OB$6:$OB$206,"*"&amp;Settings!$F$14:$F$43&amp;"*"))</f>
        <v/>
      </c>
      <c r="NM7" s="170">
        <f>SUMPRODUCT((Settings!$G$14:$G$43=$B7)*COUNTIF('INPUT - Roster'!$OC$6:$OC$206,"*"&amp;Settings!$F$14:$F$43&amp;"*"))</f>
        <v/>
      </c>
      <c r="NN7" s="170">
        <f>SUMPRODUCT((Settings!$G$14:$G$43=$B7)*COUNTIF('INPUT - Roster'!$OD$6:$OD$206,"*"&amp;Settings!$F$14:$F$43&amp;"*"))</f>
        <v/>
      </c>
      <c r="NO7" s="170">
        <f>SUMPRODUCT((Settings!$G$14:$G$43=$B7)*COUNTIF('INPUT - Roster'!$OE$6:$OE$206,"*"&amp;Settings!$F$14:$F$43&amp;"*"))</f>
        <v/>
      </c>
      <c r="NP7" s="170">
        <f>SUMPRODUCT((Settings!$G$14:$G$43=$B7)*COUNTIF('INPUT - Roster'!$OF$6:$OF$206,"*"&amp;Settings!$F$14:$F$43&amp;"*"))</f>
        <v/>
      </c>
      <c r="NQ7" s="170">
        <f>SUMPRODUCT((Settings!$G$14:$G$43=$B7)*COUNTIF('INPUT - Roster'!$OG$6:$OG$206,"*"&amp;Settings!$F$14:$F$43&amp;"*"))</f>
        <v/>
      </c>
      <c r="NR7" s="170">
        <f>SUMPRODUCT((Settings!$G$14:$G$43=$B7)*COUNTIF('INPUT - Roster'!$OH$6:$OH$206,"*"&amp;Settings!$F$14:$F$43&amp;"*"))</f>
        <v/>
      </c>
      <c r="NS7" s="170">
        <f>SUMPRODUCT((Settings!$G$14:$G$43=$B7)*COUNTIF('INPUT - Roster'!$OI$6:$OI$206,"*"&amp;Settings!$F$14:$F$43&amp;"*"))</f>
        <v/>
      </c>
      <c r="NT7" s="170">
        <f>SUMPRODUCT((Settings!$G$14:$G$43=$B7)*COUNTIF('INPUT - Roster'!$OJ$6:$OJ$206,"*"&amp;Settings!$F$14:$F$43&amp;"*"))</f>
        <v/>
      </c>
      <c r="NU7" s="170">
        <f>SUMPRODUCT((Settings!$G$14:$G$43=$B7)*COUNTIF('INPUT - Roster'!$OK$6:$OK$206,"*"&amp;Settings!$F$14:$F$43&amp;"*"))</f>
        <v/>
      </c>
      <c r="NV7" s="170">
        <f>SUMPRODUCT((Settings!$G$14:$G$43=$B7)*COUNTIF('INPUT - Roster'!$OL$6:$OL$206,"*"&amp;Settings!$F$14:$F$43&amp;"*"))</f>
        <v/>
      </c>
      <c r="NW7" s="170">
        <f>SUMPRODUCT((Settings!$G$14:$G$43=$B7)*COUNTIF('INPUT - Roster'!$OM$6:$OM$206,"*"&amp;Settings!$F$14:$F$43&amp;"*"))</f>
        <v/>
      </c>
      <c r="NX7" s="170">
        <f>SUMPRODUCT((Settings!$G$14:$G$43=$B7)*COUNTIF('INPUT - Roster'!$ON$6:$ON$206,"*"&amp;Settings!$F$14:$F$43&amp;"*"))</f>
        <v/>
      </c>
      <c r="NY7" s="170">
        <f>SUMPRODUCT((Settings!$G$14:$G$43=$B7)*COUNTIF('INPUT - Roster'!$OO$6:$OO$206,"*"&amp;Settings!$F$14:$F$43&amp;"*"))</f>
        <v/>
      </c>
      <c r="NZ7" s="170">
        <f>SUMPRODUCT((Settings!$G$14:$G$43=$B7)*COUNTIF('INPUT - Roster'!$OP$6:$OP$206,"*"&amp;Settings!$F$14:$F$43&amp;"*"))</f>
        <v/>
      </c>
      <c r="OA7" s="170">
        <f>SUMPRODUCT((Settings!$G$14:$G$43=$B7)*COUNTIF('INPUT - Roster'!$OQ$6:$OQ$206,"*"&amp;Settings!$F$14:$F$43&amp;"*"))</f>
        <v/>
      </c>
      <c r="OB7" s="170">
        <f>SUMPRODUCT((Settings!$G$14:$G$43=$B7)*COUNTIF('INPUT - Roster'!$OR$6:$OR$206,"*"&amp;Settings!$F$14:$F$43&amp;"*"))</f>
        <v/>
      </c>
      <c r="OC7" s="170">
        <f>SUMPRODUCT((Settings!$G$14:$G$43=$B7)*COUNTIF('INPUT - Roster'!$OS$6:$OS$206,"*"&amp;Settings!$F$14:$F$43&amp;"*"))</f>
        <v/>
      </c>
      <c r="OD7" s="170">
        <f>SUMPRODUCT((Settings!$G$14:$G$43=$B7)*COUNTIF('INPUT - Roster'!$OT$6:$OT$206,"*"&amp;Settings!$F$14:$F$43&amp;"*"))</f>
        <v/>
      </c>
      <c r="OE7" s="170">
        <f>SUMPRODUCT((Settings!$G$14:$G$43=$B7)*COUNTIF('INPUT - Roster'!$OU$6:$OU$206,"*"&amp;Settings!$F$14:$F$43&amp;"*"))</f>
        <v/>
      </c>
      <c r="OF7" s="170">
        <f>SUMPRODUCT((Settings!$G$14:$G$43=$B7)*COUNTIF('INPUT - Roster'!$OV$6:$OV$206,"*"&amp;Settings!$F$14:$F$43&amp;"*"))</f>
        <v/>
      </c>
      <c r="OG7" s="170">
        <f>SUMPRODUCT((Settings!$G$14:$G$43=$B7)*COUNTIF('INPUT - Roster'!$OW$6:$OW$206,"*"&amp;Settings!$F$14:$F$43&amp;"*"))</f>
        <v/>
      </c>
      <c r="OH7" s="170">
        <f>SUMPRODUCT((Settings!$G$14:$G$43=$B7)*COUNTIF('INPUT - Roster'!$OX$6:$OX$206,"*"&amp;Settings!$F$14:$F$43&amp;"*"))</f>
        <v/>
      </c>
      <c r="OI7" s="170">
        <f>SUMPRODUCT((Settings!$G$14:$G$43=$B7)*COUNTIF('INPUT - Roster'!$OY$6:$OY$206,"*"&amp;Settings!$F$14:$F$43&amp;"*"))</f>
        <v/>
      </c>
      <c r="OJ7" s="170">
        <f>SUMPRODUCT((Settings!$G$14:$G$43=$B7)*COUNTIF('INPUT - Roster'!$OZ$6:$OZ$206,"*"&amp;Settings!$F$14:$F$43&amp;"*"))</f>
        <v/>
      </c>
      <c r="OK7" s="170">
        <f>SUMPRODUCT((Settings!$G$14:$G$43=$B7)*COUNTIF('INPUT - Roster'!$PA$6:$PA$206,"*"&amp;Settings!$F$14:$F$43&amp;"*"))</f>
        <v/>
      </c>
      <c r="OL7" s="170">
        <f>SUMPRODUCT((Settings!$G$14:$G$43=$B7)*COUNTIF('INPUT - Roster'!$PB$6:$PB$206,"*"&amp;Settings!$F$14:$F$43&amp;"*"))</f>
        <v/>
      </c>
      <c r="OM7" s="170">
        <f>SUMPRODUCT((Settings!$G$14:$G$43=$B7)*COUNTIF('INPUT - Roster'!$PC$6:$PC$206,"*"&amp;Settings!$F$14:$F$43&amp;"*"))</f>
        <v/>
      </c>
      <c r="ON7" s="170">
        <f>SUMPRODUCT((Settings!$G$14:$G$43=$B7)*COUNTIF('INPUT - Roster'!$PD$6:$PD$206,"*"&amp;Settings!$F$14:$F$43&amp;"*"))</f>
        <v/>
      </c>
      <c r="OO7" s="170">
        <f>SUMPRODUCT((Settings!$G$14:$G$43=$B7)*COUNTIF('INPUT - Roster'!$PE$6:$PE$206,"*"&amp;Settings!$F$14:$F$43&amp;"*"))</f>
        <v/>
      </c>
      <c r="OP7" s="170">
        <f>SUMPRODUCT((Settings!$G$14:$G$43=$B7)*COUNTIF('INPUT - Roster'!$PF$6:$PF$206,"*"&amp;Settings!$F$14:$F$43&amp;"*"))</f>
        <v/>
      </c>
      <c r="OQ7" s="170">
        <f>SUMPRODUCT((Settings!$G$14:$G$43=$B7)*COUNTIF('INPUT - Roster'!$PG$6:$PG$206,"*"&amp;Settings!$F$14:$F$43&amp;"*"))</f>
        <v/>
      </c>
      <c r="OR7" s="170">
        <f>SUMPRODUCT((Settings!$G$14:$G$43=$B7)*COUNTIF('INPUT - Roster'!$PH$6:$PH$206,"*"&amp;Settings!$F$14:$F$43&amp;"*"))</f>
        <v/>
      </c>
      <c r="OS7" s="170">
        <f>SUMPRODUCT((Settings!$G$14:$G$43=$B7)*COUNTIF('INPUT - Roster'!$PI$6:$PI$206,"*"&amp;Settings!$F$14:$F$43&amp;"*"))</f>
        <v/>
      </c>
      <c r="OT7" s="170">
        <f>SUMPRODUCT((Settings!$G$14:$G$43=$B7)*COUNTIF('INPUT - Roster'!$PJ$6:$PJ$206,"*"&amp;Settings!$F$14:$F$43&amp;"*"))</f>
        <v/>
      </c>
      <c r="OU7" s="170">
        <f>SUMPRODUCT((Settings!$G$14:$G$43=$B7)*COUNTIF('INPUT - Roster'!$PK$6:$PK$206,"*"&amp;Settings!$F$14:$F$43&amp;"*"))</f>
        <v/>
      </c>
      <c r="OV7" s="170">
        <f>SUMPRODUCT((Settings!$G$14:$G$43=$B7)*COUNTIF('INPUT - Roster'!$PL$6:$PL$206,"*"&amp;Settings!$F$14:$F$43&amp;"*"))</f>
        <v/>
      </c>
      <c r="OW7" s="170">
        <f>SUMPRODUCT((Settings!$G$14:$G$43=$B7)*COUNTIF('INPUT - Roster'!$PM$6:$PM$206,"*"&amp;Settings!$F$14:$F$43&amp;"*"))</f>
        <v/>
      </c>
      <c r="OX7" s="170">
        <f>SUMPRODUCT((Settings!$G$14:$G$43=$B7)*COUNTIF('INPUT - Roster'!$PN$6:$PN$206,"*"&amp;Settings!$F$14:$F$43&amp;"*"))</f>
        <v/>
      </c>
      <c r="OY7" s="170">
        <f>SUMPRODUCT((Settings!$G$14:$G$43=$B7)*COUNTIF('INPUT - Roster'!$PO$6:$PO$206,"*"&amp;Settings!$F$14:$F$43&amp;"*"))</f>
        <v/>
      </c>
      <c r="OZ7" s="170">
        <f>SUMPRODUCT((Settings!$G$14:$G$43=$B7)*COUNTIF('INPUT - Roster'!$PP$6:$PP$206,"*"&amp;Settings!$F$14:$F$43&amp;"*"))</f>
        <v/>
      </c>
      <c r="PA7" s="170">
        <f>SUMPRODUCT((Settings!$G$14:$G$43=$B7)*COUNTIF('INPUT - Roster'!$PQ$6:$PQ$206,"*"&amp;Settings!$F$14:$F$43&amp;"*"))</f>
        <v/>
      </c>
      <c r="PB7" s="170">
        <f>SUMPRODUCT((Settings!$G$14:$G$43=$B7)*COUNTIF('INPUT - Roster'!$PR$6:$PR$206,"*"&amp;Settings!$F$14:$F$43&amp;"*"))</f>
        <v/>
      </c>
      <c r="PC7" s="170">
        <f>SUMPRODUCT((Settings!$G$14:$G$43=$B7)*COUNTIF('INPUT - Roster'!$PS$6:$PS$206,"*"&amp;Settings!$F$14:$F$43&amp;"*"))</f>
        <v/>
      </c>
      <c r="PD7" s="170">
        <f>SUMPRODUCT((Settings!$G$14:$G$43=$B7)*COUNTIF('INPUT - Roster'!$PT$6:$PT$206,"*"&amp;Settings!$F$14:$F$43&amp;"*"))</f>
        <v/>
      </c>
      <c r="PE7" s="170">
        <f>SUMPRODUCT((Settings!$G$14:$G$43=$B7)*COUNTIF('INPUT - Roster'!$PU$6:$PU$206,"*"&amp;Settings!$F$14:$F$43&amp;"*"))</f>
        <v/>
      </c>
      <c r="PF7" s="170">
        <f>SUMPRODUCT((Settings!$G$14:$G$43=$B7)*COUNTIF('INPUT - Roster'!$PV$6:$PV$206,"*"&amp;Settings!$F$14:$F$43&amp;"*"))</f>
        <v/>
      </c>
      <c r="PG7" s="170">
        <f>SUMPRODUCT((Settings!$G$14:$G$43=$B7)*COUNTIF('INPUT - Roster'!$PW$6:$PW$206,"*"&amp;Settings!$F$14:$F$43&amp;"*"))</f>
        <v/>
      </c>
      <c r="PH7" s="170">
        <f>SUMPRODUCT((Settings!$G$14:$G$43=$B7)*COUNTIF('INPUT - Roster'!$PX$6:$PX$206,"*"&amp;Settings!$F$14:$F$43&amp;"*"))</f>
        <v/>
      </c>
      <c r="PI7" s="170">
        <f>SUMPRODUCT((Settings!$G$14:$G$43=$B7)*COUNTIF('INPUT - Roster'!$PY$6:$PY$206,"*"&amp;Settings!$F$14:$F$43&amp;"*"))</f>
        <v/>
      </c>
      <c r="PJ7" s="170">
        <f>SUMPRODUCT((Settings!$G$14:$G$43=$B7)*COUNTIF('INPUT - Roster'!$PZ$6:$PZ$206,"*"&amp;Settings!$F$14:$F$43&amp;"*"))</f>
        <v/>
      </c>
      <c r="PK7" s="170">
        <f>SUMPRODUCT((Settings!$G$14:$G$43=$B7)*COUNTIF('INPUT - Roster'!$QA$6:$QA$206,"*"&amp;Settings!$F$14:$F$43&amp;"*"))</f>
        <v/>
      </c>
      <c r="PL7" s="170">
        <f>SUMPRODUCT((Settings!$G$14:$G$43=$B7)*COUNTIF('INPUT - Roster'!$QB$6:$QB$206,"*"&amp;Settings!$F$14:$F$43&amp;"*"))</f>
        <v/>
      </c>
      <c r="PM7" s="170">
        <f>SUMPRODUCT((Settings!$G$14:$G$43=$B7)*COUNTIF('INPUT - Roster'!$QC$6:$QC$206,"*"&amp;Settings!$F$14:$F$43&amp;"*"))</f>
        <v/>
      </c>
      <c r="PN7" s="170">
        <f>SUMPRODUCT((Settings!$G$14:$G$43=$B7)*COUNTIF('INPUT - Roster'!$QD$6:$QD$206,"*"&amp;Settings!$F$14:$F$43&amp;"*"))</f>
        <v/>
      </c>
      <c r="PO7" s="170">
        <f>SUMPRODUCT((Settings!$G$14:$G$43=$B7)*COUNTIF('INPUT - Roster'!$QE$6:$QE$206,"*"&amp;Settings!$F$14:$F$43&amp;"*"))</f>
        <v/>
      </c>
      <c r="PP7" s="170">
        <f>SUMPRODUCT((Settings!$G$14:$G$43=$B7)*COUNTIF('INPUT - Roster'!$QF$6:$QF$206,"*"&amp;Settings!$F$14:$F$43&amp;"*"))</f>
        <v/>
      </c>
      <c r="PQ7" s="170">
        <f>SUMPRODUCT((Settings!$G$14:$G$43=$B7)*COUNTIF('INPUT - Roster'!$QG$6:$QG$206,"*"&amp;Settings!$F$14:$F$43&amp;"*"))</f>
        <v/>
      </c>
      <c r="PR7" s="170">
        <f>SUMPRODUCT((Settings!$G$14:$G$43=$B7)*COUNTIF('INPUT - Roster'!$QH$6:$QH$206,"*"&amp;Settings!$F$14:$F$43&amp;"*"))</f>
        <v/>
      </c>
      <c r="PS7" s="170">
        <f>SUMPRODUCT((Settings!$G$14:$G$43=$B7)*COUNTIF('INPUT - Roster'!$QI$6:$QI$206,"*"&amp;Settings!$F$14:$F$43&amp;"*"))</f>
        <v/>
      </c>
      <c r="PT7" s="170">
        <f>SUMPRODUCT((Settings!$G$14:$G$43=$B7)*COUNTIF('INPUT - Roster'!$QJ$6:$QJ$206,"*"&amp;Settings!$F$14:$F$43&amp;"*"))</f>
        <v/>
      </c>
      <c r="PU7" s="170">
        <f>SUMPRODUCT((Settings!$G$14:$G$43=$B7)*COUNTIF('INPUT - Roster'!$QK$6:$QK$206,"*"&amp;Settings!$F$14:$F$43&amp;"*"))</f>
        <v/>
      </c>
      <c r="PV7" s="170">
        <f>SUMPRODUCT((Settings!$G$14:$G$43=$B7)*COUNTIF('INPUT - Roster'!$QL$6:$QL$206,"*"&amp;Settings!$F$14:$F$43&amp;"*"))</f>
        <v/>
      </c>
      <c r="PW7" s="170">
        <f>SUMPRODUCT((Settings!$G$14:$G$43=$B7)*COUNTIF('INPUT - Roster'!$QM$6:$QM$206,"*"&amp;Settings!$F$14:$F$43&amp;"*"))</f>
        <v/>
      </c>
      <c r="PX7" s="170">
        <f>SUMPRODUCT((Settings!$G$14:$G$43=$B7)*COUNTIF('INPUT - Roster'!$QN$6:$QN$206,"*"&amp;Settings!$F$14:$F$43&amp;"*"))</f>
        <v/>
      </c>
      <c r="PY7" s="170">
        <f>SUMPRODUCT((Settings!$G$14:$G$43=$B7)*COUNTIF('INPUT - Roster'!$QO$6:$QO$206,"*"&amp;Settings!$F$14:$F$43&amp;"*"))</f>
        <v/>
      </c>
      <c r="PZ7" s="170">
        <f>SUMPRODUCT((Settings!$G$14:$G$43=$B7)*COUNTIF('INPUT - Roster'!$QP$6:$QP$206,"*"&amp;Settings!$F$14:$F$43&amp;"*"))</f>
        <v/>
      </c>
      <c r="QA7" s="170">
        <f>SUMPRODUCT((Settings!$G$14:$G$43=$B7)*COUNTIF('INPUT - Roster'!$QQ$6:$QQ$206,"*"&amp;Settings!$F$14:$F$43&amp;"*"))</f>
        <v/>
      </c>
      <c r="QB7" s="170">
        <f>SUMPRODUCT((Settings!$G$14:$G$43=$B7)*COUNTIF('INPUT - Roster'!$QR$6:$QR$206,"*"&amp;Settings!$F$14:$F$43&amp;"*"))</f>
        <v/>
      </c>
      <c r="QC7" s="170">
        <f>SUMPRODUCT((Settings!$G$14:$G$43=$B7)*COUNTIF('INPUT - Roster'!$QS$6:$QS$206,"*"&amp;Settings!$F$14:$F$43&amp;"*"))</f>
        <v/>
      </c>
      <c r="QD7" s="170">
        <f>SUMPRODUCT((Settings!$G$14:$G$43=$B7)*COUNTIF('INPUT - Roster'!$QT$6:$QT$206,"*"&amp;Settings!$F$14:$F$43&amp;"*"))</f>
        <v/>
      </c>
      <c r="QE7" s="170">
        <f>SUMPRODUCT((Settings!$G$14:$G$43=$B7)*COUNTIF('INPUT - Roster'!$QU$6:$QU$206,"*"&amp;Settings!$F$14:$F$43&amp;"*"))</f>
        <v/>
      </c>
      <c r="QF7" s="170">
        <f>SUMPRODUCT((Settings!$G$14:$G$43=$B7)*COUNTIF('INPUT - Roster'!$QV$6:$QV$206,"*"&amp;Settings!$F$14:$F$43&amp;"*"))</f>
        <v/>
      </c>
      <c r="QG7" s="170">
        <f>SUMPRODUCT((Settings!$G$14:$G$43=$B7)*COUNTIF('INPUT - Roster'!$QW$6:$QW$206,"*"&amp;Settings!$F$14:$F$43&amp;"*"))</f>
        <v/>
      </c>
      <c r="QH7" s="170">
        <f>SUMPRODUCT((Settings!$G$14:$G$43=$B7)*COUNTIF('INPUT - Roster'!$QX$6:$QX$206,"*"&amp;Settings!$F$14:$F$43&amp;"*"))</f>
        <v/>
      </c>
      <c r="QI7" s="170">
        <f>SUMPRODUCT((Settings!$G$14:$G$43=$B7)*COUNTIF('INPUT - Roster'!$QY$6:$QY$206,"*"&amp;Settings!$F$14:$F$43&amp;"*"))</f>
        <v/>
      </c>
      <c r="QJ7" s="170">
        <f>SUMPRODUCT((Settings!$G$14:$G$43=$B7)*COUNTIF('INPUT - Roster'!$QZ$6:$QZ$206,"*"&amp;Settings!$F$14:$F$43&amp;"*"))</f>
        <v/>
      </c>
      <c r="QK7" s="170">
        <f>SUMPRODUCT((Settings!$G$14:$G$43=$B7)*COUNTIF('INPUT - Roster'!$RA$6:$RA$206,"*"&amp;Settings!$F$14:$F$43&amp;"*"))</f>
        <v/>
      </c>
      <c r="QL7" s="170">
        <f>SUMPRODUCT((Settings!$G$14:$G$43=$B7)*COUNTIF('INPUT - Roster'!$RB$6:$RB$206,"*"&amp;Settings!$F$14:$F$43&amp;"*"))</f>
        <v/>
      </c>
      <c r="QM7" s="170">
        <f>SUMPRODUCT((Settings!$G$14:$G$43=$B7)*COUNTIF('INPUT - Roster'!$RC$6:$RC$206,"*"&amp;Settings!$F$14:$F$43&amp;"*"))</f>
        <v/>
      </c>
      <c r="QN7" s="170">
        <f>SUMPRODUCT((Settings!$G$14:$G$43=$B7)*COUNTIF('INPUT - Roster'!$RD$6:$RD$206,"*"&amp;Settings!$F$14:$F$43&amp;"*"))</f>
        <v/>
      </c>
      <c r="QO7" s="170">
        <f>SUMPRODUCT((Settings!$G$14:$G$43=$B7)*COUNTIF('INPUT - Roster'!$RE$6:$RE$206,"*"&amp;Settings!$F$14:$F$43&amp;"*"))</f>
        <v/>
      </c>
      <c r="QP7" s="170">
        <f>SUMPRODUCT((Settings!$G$14:$G$43=$B7)*COUNTIF('INPUT - Roster'!$RF$6:$RF$206,"*"&amp;Settings!$F$14:$F$43&amp;"*"))</f>
        <v/>
      </c>
      <c r="QQ7" s="170">
        <f>SUMPRODUCT((Settings!$G$14:$G$43=$B7)*COUNTIF('INPUT - Roster'!$RG$6:$RG$206,"*"&amp;Settings!$F$14:$F$43&amp;"*"))</f>
        <v/>
      </c>
      <c r="QR7" s="170">
        <f>SUMPRODUCT((Settings!$G$14:$G$43=$B7)*COUNTIF('INPUT - Roster'!$RH$6:$RH$206,"*"&amp;Settings!$F$14:$F$43&amp;"*"))</f>
        <v/>
      </c>
      <c r="QS7" s="170">
        <f>SUMPRODUCT((Settings!$G$14:$G$43=$B7)*COUNTIF('INPUT - Roster'!$RI$6:$RI$206,"*"&amp;Settings!$F$14:$F$43&amp;"*"))</f>
        <v/>
      </c>
      <c r="QT7" s="170">
        <f>SUMPRODUCT((Settings!$G$14:$G$43=$B7)*COUNTIF('INPUT - Roster'!$RJ$6:$RJ$206,"*"&amp;Settings!$F$14:$F$43&amp;"*"))</f>
        <v/>
      </c>
      <c r="QU7" s="170">
        <f>SUMPRODUCT((Settings!$G$14:$G$43=$B7)*COUNTIF('INPUT - Roster'!$RK$6:$RK$206,"*"&amp;Settings!$F$14:$F$43&amp;"*"))</f>
        <v/>
      </c>
      <c r="QV7" s="170">
        <f>SUMPRODUCT((Settings!$G$14:$G$43=$B7)*COUNTIF('INPUT - Roster'!$RL$6:$RL$206,"*"&amp;Settings!$F$14:$F$43&amp;"*"))</f>
        <v/>
      </c>
      <c r="QW7" s="170">
        <f>SUMPRODUCT((Settings!$G$14:$G$43=$B7)*COUNTIF('INPUT - Roster'!$RM$6:$RM$206,"*"&amp;Settings!$F$14:$F$43&amp;"*"))</f>
        <v/>
      </c>
      <c r="QX7" s="170">
        <f>SUMPRODUCT((Settings!$G$14:$G$43=$B7)*COUNTIF('INPUT - Roster'!$RN$6:$RN$206,"*"&amp;Settings!$F$14:$F$43&amp;"*"))</f>
        <v/>
      </c>
      <c r="QY7" s="170">
        <f>SUMPRODUCT((Settings!$G$14:$G$43=$B7)*COUNTIF('INPUT - Roster'!$RO$6:$RO$206,"*"&amp;Settings!$F$14:$F$43&amp;"*"))</f>
        <v/>
      </c>
      <c r="QZ7" s="170">
        <f>SUMPRODUCT((Settings!$G$14:$G$43=$B7)*COUNTIF('INPUT - Roster'!$RP$6:$RP$206,"*"&amp;Settings!$F$14:$F$43&amp;"*"))</f>
        <v/>
      </c>
      <c r="RA7" s="170">
        <f>SUMPRODUCT((Settings!$G$14:$G$43=$B7)*COUNTIF('INPUT - Roster'!$RQ$6:$RQ$206,"*"&amp;Settings!$F$14:$F$43&amp;"*"))</f>
        <v/>
      </c>
      <c r="RB7" s="170">
        <f>SUMPRODUCT((Settings!$G$14:$G$43=$B7)*COUNTIF('INPUT - Roster'!$RR$6:$RR$206,"*"&amp;Settings!$F$14:$F$43&amp;"*"))</f>
        <v/>
      </c>
      <c r="RC7" s="170">
        <f>SUMPRODUCT((Settings!$G$14:$G$43=$B7)*COUNTIF('INPUT - Roster'!$RS$6:$RS$206,"*"&amp;Settings!$F$14:$F$43&amp;"*"))</f>
        <v/>
      </c>
      <c r="RD7" s="170">
        <f>SUMPRODUCT((Settings!$G$14:$G$43=$B7)*COUNTIF('INPUT - Roster'!$RT$6:$RT$206,"*"&amp;Settings!$F$14:$F$43&amp;"*"))</f>
        <v/>
      </c>
      <c r="RE7" s="170">
        <f>SUMPRODUCT((Settings!$G$14:$G$43=$B7)*COUNTIF('INPUT - Roster'!$RU$6:$RU$206,"*"&amp;Settings!$F$14:$F$43&amp;"*"))</f>
        <v/>
      </c>
      <c r="RF7" s="170">
        <f>SUMPRODUCT((Settings!$G$14:$G$43=$B7)*COUNTIF('INPUT - Roster'!$RV$6:$RV$206,"*"&amp;Settings!$F$14:$F$43&amp;"*"))</f>
        <v/>
      </c>
      <c r="RG7" s="170">
        <f>SUMPRODUCT((Settings!$G$14:$G$43=$B7)*COUNTIF('INPUT - Roster'!$RW$6:$RW$206,"*"&amp;Settings!$F$14:$F$43&amp;"*"))</f>
        <v/>
      </c>
      <c r="RH7" s="170">
        <f>SUMPRODUCT((Settings!$G$14:$G$43=$B7)*COUNTIF('INPUT - Roster'!$RX$6:$RX$206,"*"&amp;Settings!$F$14:$F$43&amp;"*"))</f>
        <v/>
      </c>
      <c r="RI7" s="170">
        <f>SUMPRODUCT((Settings!$G$14:$G$43=$B7)*COUNTIF('INPUT - Roster'!$RY$6:$RY$206,"*"&amp;Settings!$F$14:$F$43&amp;"*"))</f>
        <v/>
      </c>
      <c r="RJ7" s="170">
        <f>SUMPRODUCT((Settings!$G$14:$G$43=$B7)*COUNTIF('INPUT - Roster'!$RZ$6:$RZ$206,"*"&amp;Settings!$F$14:$F$43&amp;"*"))</f>
        <v/>
      </c>
      <c r="RK7" s="170">
        <f>SUMPRODUCT((Settings!$G$14:$G$43=$B7)*COUNTIF('INPUT - Roster'!$SA$6:$SA$206,"*"&amp;Settings!$F$14:$F$43&amp;"*"))</f>
        <v/>
      </c>
      <c r="RL7" s="170">
        <f>SUMPRODUCT((Settings!$G$14:$G$43=$B7)*COUNTIF('INPUT - Roster'!$SB$6:$SB$206,"*"&amp;Settings!$F$14:$F$43&amp;"*"))</f>
        <v/>
      </c>
      <c r="RM7" s="170">
        <f>SUMPRODUCT((Settings!$G$14:$G$43=$B7)*COUNTIF('INPUT - Roster'!$SC$6:$SC$206,"*"&amp;Settings!$F$14:$F$43&amp;"*"))</f>
        <v/>
      </c>
      <c r="RN7" s="170">
        <f>SUMPRODUCT((Settings!$G$14:$G$43=$B7)*COUNTIF('INPUT - Roster'!$SD$6:$SD$206,"*"&amp;Settings!$F$14:$F$43&amp;"*"))</f>
        <v/>
      </c>
      <c r="RO7" s="170">
        <f>SUMPRODUCT((Settings!$G$14:$G$43=$B7)*COUNTIF('INPUT - Roster'!$SE$6:$SE$206,"*"&amp;Settings!$F$14:$F$43&amp;"*"))</f>
        <v/>
      </c>
      <c r="RP7" s="170">
        <f>SUMPRODUCT((Settings!$G$14:$G$43=$B7)*COUNTIF('INPUT - Roster'!$SF$6:$SF$206,"*"&amp;Settings!$F$14:$F$43&amp;"*"))</f>
        <v/>
      </c>
      <c r="RQ7" s="170">
        <f>SUMPRODUCT((Settings!$G$14:$G$43=$B7)*COUNTIF('INPUT - Roster'!$SG$6:$SG$206,"*"&amp;Settings!$F$14:$F$43&amp;"*"))</f>
        <v/>
      </c>
      <c r="RR7" s="170">
        <f>SUMPRODUCT((Settings!$G$14:$G$43=$B7)*COUNTIF('INPUT - Roster'!$SH$6:$SH$206,"*"&amp;Settings!$F$14:$F$43&amp;"*"))</f>
        <v/>
      </c>
      <c r="RS7" s="170">
        <f>SUMPRODUCT((Settings!$G$14:$G$43=$B7)*COUNTIF('INPUT - Roster'!$SI$6:$SI$206,"*"&amp;Settings!$F$14:$F$43&amp;"*"))</f>
        <v/>
      </c>
      <c r="RT7" s="170">
        <f>SUMPRODUCT((Settings!$G$14:$G$43=$B7)*COUNTIF('INPUT - Roster'!$SJ$6:$SJ$206,"*"&amp;Settings!$F$14:$F$43&amp;"*"))</f>
        <v/>
      </c>
      <c r="RU7" s="170">
        <f>SUMPRODUCT((Settings!$G$14:$G$43=$B7)*COUNTIF('INPUT - Roster'!$SK$6:$SK$206,"*"&amp;Settings!$F$14:$F$43&amp;"*"))</f>
        <v/>
      </c>
      <c r="RV7" s="170">
        <f>SUMPRODUCT((Settings!$G$14:$G$43=$B7)*COUNTIF('INPUT - Roster'!$SL$6:$SL$206,"*"&amp;Settings!$F$14:$F$43&amp;"*"))</f>
        <v/>
      </c>
      <c r="RW7" s="170">
        <f>SUMPRODUCT((Settings!$G$14:$G$43=$B7)*COUNTIF('INPUT - Roster'!$SM$6:$SM$206,"*"&amp;Settings!$F$14:$F$43&amp;"*"))</f>
        <v/>
      </c>
      <c r="RX7" s="170">
        <f>SUMPRODUCT((Settings!$G$14:$G$43=$B7)*COUNTIF('INPUT - Roster'!$SN$6:$SN$206,"*"&amp;Settings!$F$14:$F$43&amp;"*"))</f>
        <v/>
      </c>
      <c r="RY7" s="170">
        <f>SUMPRODUCT((Settings!$G$14:$G$43=$B7)*COUNTIF('INPUT - Roster'!$SO$6:$SO$206,"*"&amp;Settings!$F$14:$F$43&amp;"*"))</f>
        <v/>
      </c>
      <c r="RZ7" s="170">
        <f>SUMPRODUCT((Settings!$G$14:$G$43=$B7)*COUNTIF('INPUT - Roster'!$SP$6:$SP$206,"*"&amp;Settings!$F$14:$F$43&amp;"*"))</f>
        <v/>
      </c>
      <c r="SA7" s="170">
        <f>SUMPRODUCT((Settings!$G$14:$G$43=$B7)*COUNTIF('INPUT - Roster'!$SQ$6:$SQ$206,"*"&amp;Settings!$F$14:$F$43&amp;"*"))</f>
        <v/>
      </c>
      <c r="SB7" s="170">
        <f>SUMPRODUCT((Settings!$G$14:$G$43=$B7)*COUNTIF('INPUT - Roster'!$SR$6:$SR$206,"*"&amp;Settings!$F$14:$F$43&amp;"*"))</f>
        <v/>
      </c>
      <c r="SC7" s="170">
        <f>SUMPRODUCT((Settings!$G$14:$G$43=$B7)*COUNTIF('INPUT - Roster'!$SS$6:$SS$206,"*"&amp;Settings!$F$14:$F$43&amp;"*"))</f>
        <v/>
      </c>
      <c r="SD7" s="170">
        <f>SUMPRODUCT((Settings!$G$14:$G$43=$B7)*COUNTIF('INPUT - Roster'!$ST$6:$ST$206,"*"&amp;Settings!$F$14:$F$43&amp;"*"))</f>
        <v/>
      </c>
      <c r="SE7" s="170">
        <f>SUMPRODUCT((Settings!$G$14:$G$43=$B7)*COUNTIF('INPUT - Roster'!$SU$6:$SU$206,"*"&amp;Settings!$F$14:$F$43&amp;"*"))</f>
        <v/>
      </c>
      <c r="SF7" s="170">
        <f>SUMPRODUCT((Settings!$G$14:$G$43=$B7)*COUNTIF('INPUT - Roster'!$SV$6:$SV$206,"*"&amp;Settings!$F$14:$F$43&amp;"*"))</f>
        <v/>
      </c>
    </row>
    <row r="8">
      <c r="B8" s="169" t="inlineStr">
        <is>
          <t>The Landing</t>
        </is>
      </c>
      <c r="C8" s="170">
        <f>SUMPRODUCT((Settings!$G$14:$G$43=$B8)*COUNTIF('INPUT - Roster'!$S$6:$S$206,"*"&amp;Settings!$F$14:$F$43&amp;"*"))</f>
        <v/>
      </c>
      <c r="D8" s="170">
        <f>SUMPRODUCT((Settings!$G$14:$G$43=$B8)*COUNTIF('INPUT - Roster'!$T$6:$T$206,"*"&amp;Settings!$F$14:$F$43&amp;"*"))</f>
        <v/>
      </c>
      <c r="E8" s="170">
        <f>SUMPRODUCT((Settings!$G$14:$G$43=$B8)*COUNTIF('INPUT - Roster'!$U$6:$U$206,"*"&amp;Settings!$F$14:$F$43&amp;"*"))</f>
        <v/>
      </c>
      <c r="F8" s="170">
        <f>SUMPRODUCT((Settings!$G$14:$G$43=$B8)*COUNTIF('INPUT - Roster'!$V$6:$V$206,"*"&amp;Settings!$F$14:$F$43&amp;"*"))</f>
        <v/>
      </c>
      <c r="G8" s="170">
        <f>SUMPRODUCT((Settings!$G$14:$G$43=$B8)*COUNTIF('INPUT - Roster'!$W$6:$W$206,"*"&amp;Settings!$F$14:$F$43&amp;"*"))</f>
        <v/>
      </c>
      <c r="H8" s="170">
        <f>SUMPRODUCT((Settings!$G$14:$G$43=$B8)*COUNTIF('INPUT - Roster'!$X$6:$X$206,"*"&amp;Settings!$F$14:$F$43&amp;"*"))</f>
        <v/>
      </c>
      <c r="I8" s="170">
        <f>SUMPRODUCT((Settings!$G$14:$G$43=$B8)*COUNTIF('INPUT - Roster'!$Y$6:$Y$206,"*"&amp;Settings!$F$14:$F$43&amp;"*"))</f>
        <v/>
      </c>
      <c r="J8" s="170">
        <f>SUMPRODUCT((Settings!$G$14:$G$43=$B8)*COUNTIF('INPUT - Roster'!$Z$6:$Z$206,"*"&amp;Settings!$F$14:$F$43&amp;"*"))</f>
        <v/>
      </c>
      <c r="K8" s="170">
        <f>SUMPRODUCT((Settings!$G$14:$G$43=$B8)*COUNTIF('INPUT - Roster'!$AA$6:$AA$206,"*"&amp;Settings!$F$14:$F$43&amp;"*"))</f>
        <v/>
      </c>
      <c r="L8" s="170">
        <f>SUMPRODUCT((Settings!$G$14:$G$43=$B8)*COUNTIF('INPUT - Roster'!$AB$6:$AB$206,"*"&amp;Settings!$F$14:$F$43&amp;"*"))</f>
        <v/>
      </c>
      <c r="M8" s="170">
        <f>SUMPRODUCT((Settings!$G$14:$G$43=$B8)*COUNTIF('INPUT - Roster'!$AC$6:$AC$206,"*"&amp;Settings!$F$14:$F$43&amp;"*"))</f>
        <v/>
      </c>
      <c r="N8" s="170">
        <f>SUMPRODUCT((Settings!$G$14:$G$43=$B8)*COUNTIF('INPUT - Roster'!$AD$6:$AD$206,"*"&amp;Settings!$F$14:$F$43&amp;"*"))</f>
        <v/>
      </c>
      <c r="O8" s="170">
        <f>SUMPRODUCT((Settings!$G$14:$G$43=$B8)*COUNTIF('INPUT - Roster'!$AE$6:$AE$206,"*"&amp;Settings!$F$14:$F$43&amp;"*"))</f>
        <v/>
      </c>
      <c r="P8" s="170">
        <f>SUMPRODUCT((Settings!$G$14:$G$43=$B8)*COUNTIF('INPUT - Roster'!$AF$6:$AF$206,"*"&amp;Settings!$F$14:$F$43&amp;"*"))</f>
        <v/>
      </c>
      <c r="Q8" s="170">
        <f>SUMPRODUCT((Settings!$G$14:$G$43=$B8)*COUNTIF('INPUT - Roster'!$AG$6:$AG$206,"*"&amp;Settings!$F$14:$F$43&amp;"*"))</f>
        <v/>
      </c>
      <c r="R8" s="170">
        <f>SUMPRODUCT((Settings!$G$14:$G$43=$B8)*COUNTIF('INPUT - Roster'!$AH$6:$AH$206,"*"&amp;Settings!$F$14:$F$43&amp;"*"))</f>
        <v/>
      </c>
      <c r="S8" s="170">
        <f>SUMPRODUCT((Settings!$G$14:$G$43=$B8)*COUNTIF('INPUT - Roster'!$AI$6:$AI$206,"*"&amp;Settings!$F$14:$F$43&amp;"*"))</f>
        <v/>
      </c>
      <c r="T8" s="170">
        <f>SUMPRODUCT((Settings!$G$14:$G$43=$B8)*COUNTIF('INPUT - Roster'!$AJ$6:$AJ$206,"*"&amp;Settings!$F$14:$F$43&amp;"*"))</f>
        <v/>
      </c>
      <c r="U8" s="170">
        <f>SUMPRODUCT((Settings!$G$14:$G$43=$B8)*COUNTIF('INPUT - Roster'!$AK$6:$AK$206,"*"&amp;Settings!$F$14:$F$43&amp;"*"))</f>
        <v/>
      </c>
      <c r="V8" s="170">
        <f>SUMPRODUCT((Settings!$G$14:$G$43=$B8)*COUNTIF('INPUT - Roster'!$AL$6:$AL$206,"*"&amp;Settings!$F$14:$F$43&amp;"*"))</f>
        <v/>
      </c>
      <c r="W8" s="170">
        <f>SUMPRODUCT((Settings!$G$14:$G$43=$B8)*COUNTIF('INPUT - Roster'!$AM$6:$AM$206,"*"&amp;Settings!$F$14:$F$43&amp;"*"))</f>
        <v/>
      </c>
      <c r="X8" s="170">
        <f>SUMPRODUCT((Settings!$G$14:$G$43=$B8)*COUNTIF('INPUT - Roster'!$AN$6:$AN$206,"*"&amp;Settings!$F$14:$F$43&amp;"*"))</f>
        <v/>
      </c>
      <c r="Y8" s="170">
        <f>SUMPRODUCT((Settings!$G$14:$G$43=$B8)*COUNTIF('INPUT - Roster'!$AO$6:$AO$206,"*"&amp;Settings!$F$14:$F$43&amp;"*"))</f>
        <v/>
      </c>
      <c r="Z8" s="170">
        <f>SUMPRODUCT((Settings!$G$14:$G$43=$B8)*COUNTIF('INPUT - Roster'!$AP$6:$AP$206,"*"&amp;Settings!$F$14:$F$43&amp;"*"))</f>
        <v/>
      </c>
      <c r="AA8" s="170">
        <f>SUMPRODUCT((Settings!$G$14:$G$43=$B8)*COUNTIF('INPUT - Roster'!$AQ$6:$AQ$206,"*"&amp;Settings!$F$14:$F$43&amp;"*"))</f>
        <v/>
      </c>
      <c r="AB8" s="170">
        <f>SUMPRODUCT((Settings!$G$14:$G$43=$B8)*COUNTIF('INPUT - Roster'!$AR$6:$AR$206,"*"&amp;Settings!$F$14:$F$43&amp;"*"))</f>
        <v/>
      </c>
      <c r="AC8" s="170">
        <f>SUMPRODUCT((Settings!$G$14:$G$43=$B8)*COUNTIF('INPUT - Roster'!$AS$6:$AS$206,"*"&amp;Settings!$F$14:$F$43&amp;"*"))</f>
        <v/>
      </c>
      <c r="AD8" s="170">
        <f>SUMPRODUCT((Settings!$G$14:$G$43=$B8)*COUNTIF('INPUT - Roster'!$AT$6:$AT$206,"*"&amp;Settings!$F$14:$F$43&amp;"*"))</f>
        <v/>
      </c>
      <c r="AE8" s="170">
        <f>SUMPRODUCT((Settings!$G$14:$G$43=$B8)*COUNTIF('INPUT - Roster'!$AU$6:$AU$206,"*"&amp;Settings!$F$14:$F$43&amp;"*"))</f>
        <v/>
      </c>
      <c r="AF8" s="170">
        <f>SUMPRODUCT((Settings!$G$14:$G$43=$B8)*COUNTIF('INPUT - Roster'!$AV$6:$AV$206,"*"&amp;Settings!$F$14:$F$43&amp;"*"))</f>
        <v/>
      </c>
      <c r="AG8" s="170">
        <f>SUMPRODUCT((Settings!$G$14:$G$43=$B8)*COUNTIF('INPUT - Roster'!$AW$6:$AW$206,"*"&amp;Settings!$F$14:$F$43&amp;"*"))</f>
        <v/>
      </c>
      <c r="AH8" s="170">
        <f>SUMPRODUCT((Settings!$G$14:$G$43=$B8)*COUNTIF('INPUT - Roster'!$AX$6:$AX$206,"*"&amp;Settings!$F$14:$F$43&amp;"*"))</f>
        <v/>
      </c>
      <c r="AI8" s="170">
        <f>SUMPRODUCT((Settings!$G$14:$G$43=$B8)*COUNTIF('INPUT - Roster'!$AY$6:$AY$206,"*"&amp;Settings!$F$14:$F$43&amp;"*"))</f>
        <v/>
      </c>
      <c r="AJ8" s="170">
        <f>SUMPRODUCT((Settings!$G$14:$G$43=$B8)*COUNTIF('INPUT - Roster'!$AZ$6:$AZ$206,"*"&amp;Settings!$F$14:$F$43&amp;"*"))</f>
        <v/>
      </c>
      <c r="AK8" s="170">
        <f>SUMPRODUCT((Settings!$G$14:$G$43=$B8)*COUNTIF('INPUT - Roster'!$BA$6:$BA$206,"*"&amp;Settings!$F$14:$F$43&amp;"*"))</f>
        <v/>
      </c>
      <c r="AL8" s="170">
        <f>SUMPRODUCT((Settings!$G$14:$G$43=$B8)*COUNTIF('INPUT - Roster'!$BB$6:$BB$206,"*"&amp;Settings!$F$14:$F$43&amp;"*"))</f>
        <v/>
      </c>
      <c r="AM8" s="170">
        <f>SUMPRODUCT((Settings!$G$14:$G$43=$B8)*COUNTIF('INPUT - Roster'!$BC$6:$BC$206,"*"&amp;Settings!$F$14:$F$43&amp;"*"))</f>
        <v/>
      </c>
      <c r="AN8" s="170">
        <f>SUMPRODUCT((Settings!$G$14:$G$43=$B8)*COUNTIF('INPUT - Roster'!$BD$6:$BD$206,"*"&amp;Settings!$F$14:$F$43&amp;"*"))</f>
        <v/>
      </c>
      <c r="AO8" s="170">
        <f>SUMPRODUCT((Settings!$G$14:$G$43=$B8)*COUNTIF('INPUT - Roster'!$BE$6:$BE$206,"*"&amp;Settings!$F$14:$F$43&amp;"*"))</f>
        <v/>
      </c>
      <c r="AP8" s="170">
        <f>SUMPRODUCT((Settings!$G$14:$G$43=$B8)*COUNTIF('INPUT - Roster'!$BF$6:$BF$206,"*"&amp;Settings!$F$14:$F$43&amp;"*"))</f>
        <v/>
      </c>
      <c r="AQ8" s="170">
        <f>SUMPRODUCT((Settings!$G$14:$G$43=$B8)*COUNTIF('INPUT - Roster'!$BG$6:$BG$206,"*"&amp;Settings!$F$14:$F$43&amp;"*"))</f>
        <v/>
      </c>
      <c r="AR8" s="170">
        <f>SUMPRODUCT((Settings!$G$14:$G$43=$B8)*COUNTIF('INPUT - Roster'!$BH$6:$BH$206,"*"&amp;Settings!$F$14:$F$43&amp;"*"))</f>
        <v/>
      </c>
      <c r="AS8" s="170">
        <f>SUMPRODUCT((Settings!$G$14:$G$43=$B8)*COUNTIF('INPUT - Roster'!$BI$6:$BI$206,"*"&amp;Settings!$F$14:$F$43&amp;"*"))</f>
        <v/>
      </c>
      <c r="AT8" s="170">
        <f>SUMPRODUCT((Settings!$G$14:$G$43=$B8)*COUNTIF('INPUT - Roster'!$BJ$6:$BJ$206,"*"&amp;Settings!$F$14:$F$43&amp;"*"))</f>
        <v/>
      </c>
      <c r="AU8" s="170">
        <f>SUMPRODUCT((Settings!$G$14:$G$43=$B8)*COUNTIF('INPUT - Roster'!$BK$6:$BK$206,"*"&amp;Settings!$F$14:$F$43&amp;"*"))</f>
        <v/>
      </c>
      <c r="AV8" s="170">
        <f>SUMPRODUCT((Settings!$G$14:$G$43=$B8)*COUNTIF('INPUT - Roster'!$BL$6:$BL$206,"*"&amp;Settings!$F$14:$F$43&amp;"*"))</f>
        <v/>
      </c>
      <c r="AW8" s="170">
        <f>SUMPRODUCT((Settings!$G$14:$G$43=$B8)*COUNTIF('INPUT - Roster'!$BM$6:$BM$206,"*"&amp;Settings!$F$14:$F$43&amp;"*"))</f>
        <v/>
      </c>
      <c r="AX8" s="170">
        <f>SUMPRODUCT((Settings!$G$14:$G$43=$B8)*COUNTIF('INPUT - Roster'!$BN$6:$BN$206,"*"&amp;Settings!$F$14:$F$43&amp;"*"))</f>
        <v/>
      </c>
      <c r="AY8" s="170">
        <f>SUMPRODUCT((Settings!$G$14:$G$43=$B8)*COUNTIF('INPUT - Roster'!$BO$6:$BO$206,"*"&amp;Settings!$F$14:$F$43&amp;"*"))</f>
        <v/>
      </c>
      <c r="AZ8" s="170">
        <f>SUMPRODUCT((Settings!$G$14:$G$43=$B8)*COUNTIF('INPUT - Roster'!$BP$6:$BP$206,"*"&amp;Settings!$F$14:$F$43&amp;"*"))</f>
        <v/>
      </c>
      <c r="BA8" s="170">
        <f>SUMPRODUCT((Settings!$G$14:$G$43=$B8)*COUNTIF('INPUT - Roster'!$BQ$6:$BQ$206,"*"&amp;Settings!$F$14:$F$43&amp;"*"))</f>
        <v/>
      </c>
      <c r="BB8" s="170">
        <f>SUMPRODUCT((Settings!$G$14:$G$43=$B8)*COUNTIF('INPUT - Roster'!$BR$6:$BR$206,"*"&amp;Settings!$F$14:$F$43&amp;"*"))</f>
        <v/>
      </c>
      <c r="BC8" s="170">
        <f>SUMPRODUCT((Settings!$G$14:$G$43=$B8)*COUNTIF('INPUT - Roster'!$BS$6:$BS$206,"*"&amp;Settings!$F$14:$F$43&amp;"*"))</f>
        <v/>
      </c>
      <c r="BD8" s="170">
        <f>SUMPRODUCT((Settings!$G$14:$G$43=$B8)*COUNTIF('INPUT - Roster'!$BT$6:$BT$206,"*"&amp;Settings!$F$14:$F$43&amp;"*"))</f>
        <v/>
      </c>
      <c r="BE8" s="170">
        <f>SUMPRODUCT((Settings!$G$14:$G$43=$B8)*COUNTIF('INPUT - Roster'!$BU$6:$BU$206,"*"&amp;Settings!$F$14:$F$43&amp;"*"))</f>
        <v/>
      </c>
      <c r="BF8" s="170">
        <f>SUMPRODUCT((Settings!$G$14:$G$43=$B8)*COUNTIF('INPUT - Roster'!$BV$6:$BV$206,"*"&amp;Settings!$F$14:$F$43&amp;"*"))</f>
        <v/>
      </c>
      <c r="BG8" s="170">
        <f>SUMPRODUCT((Settings!$G$14:$G$43=$B8)*COUNTIF('INPUT - Roster'!$BW$6:$BW$206,"*"&amp;Settings!$F$14:$F$43&amp;"*"))</f>
        <v/>
      </c>
      <c r="BH8" s="170">
        <f>SUMPRODUCT((Settings!$G$14:$G$43=$B8)*COUNTIF('INPUT - Roster'!$BX$6:$BX$206,"*"&amp;Settings!$F$14:$F$43&amp;"*"))</f>
        <v/>
      </c>
      <c r="BI8" s="170">
        <f>SUMPRODUCT((Settings!$G$14:$G$43=$B8)*COUNTIF('INPUT - Roster'!$BY$6:$BY$206,"*"&amp;Settings!$F$14:$F$43&amp;"*"))</f>
        <v/>
      </c>
      <c r="BJ8" s="170">
        <f>SUMPRODUCT((Settings!$G$14:$G$43=$B8)*COUNTIF('INPUT - Roster'!$BZ$6:$BZ$206,"*"&amp;Settings!$F$14:$F$43&amp;"*"))</f>
        <v/>
      </c>
      <c r="BK8" s="170">
        <f>SUMPRODUCT((Settings!$G$14:$G$43=$B8)*COUNTIF('INPUT - Roster'!$CA$6:$CA$206,"*"&amp;Settings!$F$14:$F$43&amp;"*"))</f>
        <v/>
      </c>
      <c r="BL8" s="170">
        <f>SUMPRODUCT((Settings!$G$14:$G$43=$B8)*COUNTIF('INPUT - Roster'!$CB$6:$CB$206,"*"&amp;Settings!$F$14:$F$43&amp;"*"))</f>
        <v/>
      </c>
      <c r="BM8" s="170">
        <f>SUMPRODUCT((Settings!$G$14:$G$43=$B8)*COUNTIF('INPUT - Roster'!$CC$6:$CC$206,"*"&amp;Settings!$F$14:$F$43&amp;"*"))</f>
        <v/>
      </c>
      <c r="BN8" s="170">
        <f>SUMPRODUCT((Settings!$G$14:$G$43=$B8)*COUNTIF('INPUT - Roster'!$CD$6:$CD$206,"*"&amp;Settings!$F$14:$F$43&amp;"*"))</f>
        <v/>
      </c>
      <c r="BO8" s="170">
        <f>SUMPRODUCT((Settings!$G$14:$G$43=$B8)*COUNTIF('INPUT - Roster'!$CE$6:$CE$206,"*"&amp;Settings!$F$14:$F$43&amp;"*"))</f>
        <v/>
      </c>
      <c r="BP8" s="170">
        <f>SUMPRODUCT((Settings!$G$14:$G$43=$B8)*COUNTIF('INPUT - Roster'!$CF$6:$CF$206,"*"&amp;Settings!$F$14:$F$43&amp;"*"))</f>
        <v/>
      </c>
      <c r="BQ8" s="170">
        <f>SUMPRODUCT((Settings!$G$14:$G$43=$B8)*COUNTIF('INPUT - Roster'!$CG$6:$CG$206,"*"&amp;Settings!$F$14:$F$43&amp;"*"))</f>
        <v/>
      </c>
      <c r="BR8" s="170">
        <f>SUMPRODUCT((Settings!$G$14:$G$43=$B8)*COUNTIF('INPUT - Roster'!$CH$6:$CH$206,"*"&amp;Settings!$F$14:$F$43&amp;"*"))</f>
        <v/>
      </c>
      <c r="BS8" s="170">
        <f>SUMPRODUCT((Settings!$G$14:$G$43=$B8)*COUNTIF('INPUT - Roster'!$CI$6:$CI$206,"*"&amp;Settings!$F$14:$F$43&amp;"*"))</f>
        <v/>
      </c>
      <c r="BT8" s="170">
        <f>SUMPRODUCT((Settings!$G$14:$G$43=$B8)*COUNTIF('INPUT - Roster'!$CJ$6:$CJ$206,"*"&amp;Settings!$F$14:$F$43&amp;"*"))</f>
        <v/>
      </c>
      <c r="BU8" s="170">
        <f>SUMPRODUCT((Settings!$G$14:$G$43=$B8)*COUNTIF('INPUT - Roster'!$CK$6:$CK$206,"*"&amp;Settings!$F$14:$F$43&amp;"*"))</f>
        <v/>
      </c>
      <c r="BV8" s="170">
        <f>SUMPRODUCT((Settings!$G$14:$G$43=$B8)*COUNTIF('INPUT - Roster'!$CL$6:$CL$206,"*"&amp;Settings!$F$14:$F$43&amp;"*"))</f>
        <v/>
      </c>
      <c r="BW8" s="170">
        <f>SUMPRODUCT((Settings!$G$14:$G$43=$B8)*COUNTIF('INPUT - Roster'!$CM$6:$CM$206,"*"&amp;Settings!$F$14:$F$43&amp;"*"))</f>
        <v/>
      </c>
      <c r="BX8" s="170">
        <f>SUMPRODUCT((Settings!$G$14:$G$43=$B8)*COUNTIF('INPUT - Roster'!$CN$6:$CN$206,"*"&amp;Settings!$F$14:$F$43&amp;"*"))</f>
        <v/>
      </c>
      <c r="BY8" s="170">
        <f>SUMPRODUCT((Settings!$G$14:$G$43=$B8)*COUNTIF('INPUT - Roster'!$CO$6:$CO$206,"*"&amp;Settings!$F$14:$F$43&amp;"*"))</f>
        <v/>
      </c>
      <c r="BZ8" s="170">
        <f>SUMPRODUCT((Settings!$G$14:$G$43=$B8)*COUNTIF('INPUT - Roster'!$CP$6:$CP$206,"*"&amp;Settings!$F$14:$F$43&amp;"*"))</f>
        <v/>
      </c>
      <c r="CA8" s="170">
        <f>SUMPRODUCT((Settings!$G$14:$G$43=$B8)*COUNTIF('INPUT - Roster'!$CQ$6:$CQ$206,"*"&amp;Settings!$F$14:$F$43&amp;"*"))</f>
        <v/>
      </c>
      <c r="CB8" s="170">
        <f>SUMPRODUCT((Settings!$G$14:$G$43=$B8)*COUNTIF('INPUT - Roster'!$CR$6:$CR$206,"*"&amp;Settings!$F$14:$F$43&amp;"*"))</f>
        <v/>
      </c>
      <c r="CC8" s="170">
        <f>SUMPRODUCT((Settings!$G$14:$G$43=$B8)*COUNTIF('INPUT - Roster'!$CS$6:$CS$206,"*"&amp;Settings!$F$14:$F$43&amp;"*"))</f>
        <v/>
      </c>
      <c r="CD8" s="170">
        <f>SUMPRODUCT((Settings!$G$14:$G$43=$B8)*COUNTIF('INPUT - Roster'!$CT$6:$CT$206,"*"&amp;Settings!$F$14:$F$43&amp;"*"))</f>
        <v/>
      </c>
      <c r="CE8" s="170">
        <f>SUMPRODUCT((Settings!$G$14:$G$43=$B8)*COUNTIF('INPUT - Roster'!$CU$6:$CU$206,"*"&amp;Settings!$F$14:$F$43&amp;"*"))</f>
        <v/>
      </c>
      <c r="CF8" s="170">
        <f>SUMPRODUCT((Settings!$G$14:$G$43=$B8)*COUNTIF('INPUT - Roster'!$CV$6:$CV$206,"*"&amp;Settings!$F$14:$F$43&amp;"*"))</f>
        <v/>
      </c>
      <c r="CG8" s="170">
        <f>SUMPRODUCT((Settings!$G$14:$G$43=$B8)*COUNTIF('INPUT - Roster'!$CW$6:$CW$206,"*"&amp;Settings!$F$14:$F$43&amp;"*"))</f>
        <v/>
      </c>
      <c r="CH8" s="170">
        <f>SUMPRODUCT((Settings!$G$14:$G$43=$B8)*COUNTIF('INPUT - Roster'!$CX$6:$CX$206,"*"&amp;Settings!$F$14:$F$43&amp;"*"))</f>
        <v/>
      </c>
      <c r="CI8" s="170">
        <f>SUMPRODUCT((Settings!$G$14:$G$43=$B8)*COUNTIF('INPUT - Roster'!$CY$6:$CY$206,"*"&amp;Settings!$F$14:$F$43&amp;"*"))</f>
        <v/>
      </c>
      <c r="CJ8" s="170">
        <f>SUMPRODUCT((Settings!$G$14:$G$43=$B8)*COUNTIF('INPUT - Roster'!$CZ$6:$CZ$206,"*"&amp;Settings!$F$14:$F$43&amp;"*"))</f>
        <v/>
      </c>
      <c r="CK8" s="170">
        <f>SUMPRODUCT((Settings!$G$14:$G$43=$B8)*COUNTIF('INPUT - Roster'!$DA$6:$DA$206,"*"&amp;Settings!$F$14:$F$43&amp;"*"))</f>
        <v/>
      </c>
      <c r="CL8" s="170">
        <f>SUMPRODUCT((Settings!$G$14:$G$43=$B8)*COUNTIF('INPUT - Roster'!$DB$6:$DB$206,"*"&amp;Settings!$F$14:$F$43&amp;"*"))</f>
        <v/>
      </c>
      <c r="CM8" s="170">
        <f>SUMPRODUCT((Settings!$G$14:$G$43=$B8)*COUNTIF('INPUT - Roster'!$DC$6:$DC$206,"*"&amp;Settings!$F$14:$F$43&amp;"*"))</f>
        <v/>
      </c>
      <c r="CN8" s="170">
        <f>SUMPRODUCT((Settings!$G$14:$G$43=$B8)*COUNTIF('INPUT - Roster'!$DD$6:$DD$206,"*"&amp;Settings!$F$14:$F$43&amp;"*"))</f>
        <v/>
      </c>
      <c r="CO8" s="170">
        <f>SUMPRODUCT((Settings!$G$14:$G$43=$B8)*COUNTIF('INPUT - Roster'!$DE$6:$DE$206,"*"&amp;Settings!$F$14:$F$43&amp;"*"))</f>
        <v/>
      </c>
      <c r="CP8" s="170">
        <f>SUMPRODUCT((Settings!$G$14:$G$43=$B8)*COUNTIF('INPUT - Roster'!$DF$6:$DF$206,"*"&amp;Settings!$F$14:$F$43&amp;"*"))</f>
        <v/>
      </c>
      <c r="CQ8" s="170">
        <f>SUMPRODUCT((Settings!$G$14:$G$43=$B8)*COUNTIF('INPUT - Roster'!$DG$6:$DG$206,"*"&amp;Settings!$F$14:$F$43&amp;"*"))</f>
        <v/>
      </c>
      <c r="CR8" s="170">
        <f>SUMPRODUCT((Settings!$G$14:$G$43=$B8)*COUNTIF('INPUT - Roster'!$DH$6:$DH$206,"*"&amp;Settings!$F$14:$F$43&amp;"*"))</f>
        <v/>
      </c>
      <c r="CS8" s="170">
        <f>SUMPRODUCT((Settings!$G$14:$G$43=$B8)*COUNTIF('INPUT - Roster'!$DI$6:$DI$206,"*"&amp;Settings!$F$14:$F$43&amp;"*"))</f>
        <v/>
      </c>
      <c r="CT8" s="170">
        <f>SUMPRODUCT((Settings!$G$14:$G$43=$B8)*COUNTIF('INPUT - Roster'!$DJ$6:$DJ$206,"*"&amp;Settings!$F$14:$F$43&amp;"*"))</f>
        <v/>
      </c>
      <c r="CU8" s="170">
        <f>SUMPRODUCT((Settings!$G$14:$G$43=$B8)*COUNTIF('INPUT - Roster'!$DK$6:$DK$206,"*"&amp;Settings!$F$14:$F$43&amp;"*"))</f>
        <v/>
      </c>
      <c r="CV8" s="170">
        <f>SUMPRODUCT((Settings!$G$14:$G$43=$B8)*COUNTIF('INPUT - Roster'!$DL$6:$DL$206,"*"&amp;Settings!$F$14:$F$43&amp;"*"))</f>
        <v/>
      </c>
      <c r="CW8" s="170">
        <f>SUMPRODUCT((Settings!$G$14:$G$43=$B8)*COUNTIF('INPUT - Roster'!$DM$6:$DM$206,"*"&amp;Settings!$F$14:$F$43&amp;"*"))</f>
        <v/>
      </c>
      <c r="CX8" s="170">
        <f>SUMPRODUCT((Settings!$G$14:$G$43=$B8)*COUNTIF('INPUT - Roster'!$DN$6:$DN$206,"*"&amp;Settings!$F$14:$F$43&amp;"*"))</f>
        <v/>
      </c>
      <c r="CY8" s="170">
        <f>SUMPRODUCT((Settings!$G$14:$G$43=$B8)*COUNTIF('INPUT - Roster'!$DO$6:$DO$206,"*"&amp;Settings!$F$14:$F$43&amp;"*"))</f>
        <v/>
      </c>
      <c r="CZ8" s="170">
        <f>SUMPRODUCT((Settings!$G$14:$G$43=$B8)*COUNTIF('INPUT - Roster'!$DP$6:$DP$206,"*"&amp;Settings!$F$14:$F$43&amp;"*"))</f>
        <v/>
      </c>
      <c r="DA8" s="170">
        <f>SUMPRODUCT((Settings!$G$14:$G$43=$B8)*COUNTIF('INPUT - Roster'!$DQ$6:$DQ$206,"*"&amp;Settings!$F$14:$F$43&amp;"*"))</f>
        <v/>
      </c>
      <c r="DB8" s="170">
        <f>SUMPRODUCT((Settings!$G$14:$G$43=$B8)*COUNTIF('INPUT - Roster'!$DR$6:$DR$206,"*"&amp;Settings!$F$14:$F$43&amp;"*"))</f>
        <v/>
      </c>
      <c r="DC8" s="170">
        <f>SUMPRODUCT((Settings!$G$14:$G$43=$B8)*COUNTIF('INPUT - Roster'!$DS$6:$DS$206,"*"&amp;Settings!$F$14:$F$43&amp;"*"))</f>
        <v/>
      </c>
      <c r="DD8" s="170">
        <f>SUMPRODUCT((Settings!$G$14:$G$43=$B8)*COUNTIF('INPUT - Roster'!$DT$6:$DT$206,"*"&amp;Settings!$F$14:$F$43&amp;"*"))</f>
        <v/>
      </c>
      <c r="DE8" s="170">
        <f>SUMPRODUCT((Settings!$G$14:$G$43=$B8)*COUNTIF('INPUT - Roster'!$DU$6:$DU$206,"*"&amp;Settings!$F$14:$F$43&amp;"*"))</f>
        <v/>
      </c>
      <c r="DF8" s="170">
        <f>SUMPRODUCT((Settings!$G$14:$G$43=$B8)*COUNTIF('INPUT - Roster'!$DV$6:$DV$206,"*"&amp;Settings!$F$14:$F$43&amp;"*"))</f>
        <v/>
      </c>
      <c r="DG8" s="170">
        <f>SUMPRODUCT((Settings!$G$14:$G$43=$B8)*COUNTIF('INPUT - Roster'!$DW$6:$DW$206,"*"&amp;Settings!$F$14:$F$43&amp;"*"))</f>
        <v/>
      </c>
      <c r="DH8" s="170">
        <f>SUMPRODUCT((Settings!$G$14:$G$43=$B8)*COUNTIF('INPUT - Roster'!$DX$6:$DX$206,"*"&amp;Settings!$F$14:$F$43&amp;"*"))</f>
        <v/>
      </c>
      <c r="DI8" s="170">
        <f>SUMPRODUCT((Settings!$G$14:$G$43=$B8)*COUNTIF('INPUT - Roster'!$DY$6:$DY$206,"*"&amp;Settings!$F$14:$F$43&amp;"*"))</f>
        <v/>
      </c>
      <c r="DJ8" s="170">
        <f>SUMPRODUCT((Settings!$G$14:$G$43=$B8)*COUNTIF('INPUT - Roster'!$DZ$6:$DZ$206,"*"&amp;Settings!$F$14:$F$43&amp;"*"))</f>
        <v/>
      </c>
      <c r="DK8" s="170">
        <f>SUMPRODUCT((Settings!$G$14:$G$43=$B8)*COUNTIF('INPUT - Roster'!$EA$6:$EA$206,"*"&amp;Settings!$F$14:$F$43&amp;"*"))</f>
        <v/>
      </c>
      <c r="DL8" s="170">
        <f>SUMPRODUCT((Settings!$G$14:$G$43=$B8)*COUNTIF('INPUT - Roster'!$EB$6:$EB$206,"*"&amp;Settings!$F$14:$F$43&amp;"*"))</f>
        <v/>
      </c>
      <c r="DM8" s="170">
        <f>SUMPRODUCT((Settings!$G$14:$G$43=$B8)*COUNTIF('INPUT - Roster'!$EC$6:$EC$206,"*"&amp;Settings!$F$14:$F$43&amp;"*"))</f>
        <v/>
      </c>
      <c r="DN8" s="170">
        <f>SUMPRODUCT((Settings!$G$14:$G$43=$B8)*COUNTIF('INPUT - Roster'!$ED$6:$ED$206,"*"&amp;Settings!$F$14:$F$43&amp;"*"))</f>
        <v/>
      </c>
      <c r="DO8" s="170">
        <f>SUMPRODUCT((Settings!$G$14:$G$43=$B8)*COUNTIF('INPUT - Roster'!$EE$6:$EE$206,"*"&amp;Settings!$F$14:$F$43&amp;"*"))</f>
        <v/>
      </c>
      <c r="DP8" s="170">
        <f>SUMPRODUCT((Settings!$G$14:$G$43=$B8)*COUNTIF('INPUT - Roster'!$EF$6:$EF$206,"*"&amp;Settings!$F$14:$F$43&amp;"*"))</f>
        <v/>
      </c>
      <c r="DQ8" s="170">
        <f>SUMPRODUCT((Settings!$G$14:$G$43=$B8)*COUNTIF('INPUT - Roster'!$EG$6:$EG$206,"*"&amp;Settings!$F$14:$F$43&amp;"*"))</f>
        <v/>
      </c>
      <c r="DR8" s="170">
        <f>SUMPRODUCT((Settings!$G$14:$G$43=$B8)*COUNTIF('INPUT - Roster'!$EH$6:$EH$206,"*"&amp;Settings!$F$14:$F$43&amp;"*"))</f>
        <v/>
      </c>
      <c r="DS8" s="170">
        <f>SUMPRODUCT((Settings!$G$14:$G$43=$B8)*COUNTIF('INPUT - Roster'!$EI$6:$EI$206,"*"&amp;Settings!$F$14:$F$43&amp;"*"))</f>
        <v/>
      </c>
      <c r="DT8" s="170">
        <f>SUMPRODUCT((Settings!$G$14:$G$43=$B8)*COUNTIF('INPUT - Roster'!$EJ$6:$EJ$206,"*"&amp;Settings!$F$14:$F$43&amp;"*"))</f>
        <v/>
      </c>
      <c r="DU8" s="170">
        <f>SUMPRODUCT((Settings!$G$14:$G$43=$B8)*COUNTIF('INPUT - Roster'!$EK$6:$EK$206,"*"&amp;Settings!$F$14:$F$43&amp;"*"))</f>
        <v/>
      </c>
      <c r="DV8" s="170">
        <f>SUMPRODUCT((Settings!$G$14:$G$43=$B8)*COUNTIF('INPUT - Roster'!$EL$6:$EL$206,"*"&amp;Settings!$F$14:$F$43&amp;"*"))</f>
        <v/>
      </c>
      <c r="DW8" s="170">
        <f>SUMPRODUCT((Settings!$G$14:$G$43=$B8)*COUNTIF('INPUT - Roster'!$EM$6:$EM$206,"*"&amp;Settings!$F$14:$F$43&amp;"*"))</f>
        <v/>
      </c>
      <c r="DX8" s="170">
        <f>SUMPRODUCT((Settings!$G$14:$G$43=$B8)*COUNTIF('INPUT - Roster'!$EN$6:$EN$206,"*"&amp;Settings!$F$14:$F$43&amp;"*"))</f>
        <v/>
      </c>
      <c r="DY8" s="170">
        <f>SUMPRODUCT((Settings!$G$14:$G$43=$B8)*COUNTIF('INPUT - Roster'!$EO$6:$EO$206,"*"&amp;Settings!$F$14:$F$43&amp;"*"))</f>
        <v/>
      </c>
      <c r="DZ8" s="170">
        <f>SUMPRODUCT((Settings!$G$14:$G$43=$B8)*COUNTIF('INPUT - Roster'!$EP$6:$EP$206,"*"&amp;Settings!$F$14:$F$43&amp;"*"))</f>
        <v/>
      </c>
      <c r="EA8" s="170">
        <f>SUMPRODUCT((Settings!$G$14:$G$43=$B8)*COUNTIF('INPUT - Roster'!$EQ$6:$EQ$206,"*"&amp;Settings!$F$14:$F$43&amp;"*"))</f>
        <v/>
      </c>
      <c r="EB8" s="170">
        <f>SUMPRODUCT((Settings!$G$14:$G$43=$B8)*COUNTIF('INPUT - Roster'!$ER$6:$ER$206,"*"&amp;Settings!$F$14:$F$43&amp;"*"))</f>
        <v/>
      </c>
      <c r="EC8" s="170">
        <f>SUMPRODUCT((Settings!$G$14:$G$43=$B8)*COUNTIF('INPUT - Roster'!$ES$6:$ES$206,"*"&amp;Settings!$F$14:$F$43&amp;"*"))</f>
        <v/>
      </c>
      <c r="ED8" s="170">
        <f>SUMPRODUCT((Settings!$G$14:$G$43=$B8)*COUNTIF('INPUT - Roster'!$ET$6:$ET$206,"*"&amp;Settings!$F$14:$F$43&amp;"*"))</f>
        <v/>
      </c>
      <c r="EE8" s="170">
        <f>SUMPRODUCT((Settings!$G$14:$G$43=$B8)*COUNTIF('INPUT - Roster'!$EU$6:$EU$206,"*"&amp;Settings!$F$14:$F$43&amp;"*"))</f>
        <v/>
      </c>
      <c r="EF8" s="170">
        <f>SUMPRODUCT((Settings!$G$14:$G$43=$B8)*COUNTIF('INPUT - Roster'!$EV$6:$EV$206,"*"&amp;Settings!$F$14:$F$43&amp;"*"))</f>
        <v/>
      </c>
      <c r="EG8" s="170">
        <f>SUMPRODUCT((Settings!$G$14:$G$43=$B8)*COUNTIF('INPUT - Roster'!$EW$6:$EW$206,"*"&amp;Settings!$F$14:$F$43&amp;"*"))</f>
        <v/>
      </c>
      <c r="EH8" s="170">
        <f>SUMPRODUCT((Settings!$G$14:$G$43=$B8)*COUNTIF('INPUT - Roster'!$EX$6:$EX$206,"*"&amp;Settings!$F$14:$F$43&amp;"*"))</f>
        <v/>
      </c>
      <c r="EI8" s="170">
        <f>SUMPRODUCT((Settings!$G$14:$G$43=$B8)*COUNTIF('INPUT - Roster'!$EY$6:$EY$206,"*"&amp;Settings!$F$14:$F$43&amp;"*"))</f>
        <v/>
      </c>
      <c r="EJ8" s="170">
        <f>SUMPRODUCT((Settings!$G$14:$G$43=$B8)*COUNTIF('INPUT - Roster'!$EZ$6:$EZ$206,"*"&amp;Settings!$F$14:$F$43&amp;"*"))</f>
        <v/>
      </c>
      <c r="EK8" s="170">
        <f>SUMPRODUCT((Settings!$G$14:$G$43=$B8)*COUNTIF('INPUT - Roster'!$FA$6:$FA$206,"*"&amp;Settings!$F$14:$F$43&amp;"*"))</f>
        <v/>
      </c>
      <c r="EL8" s="170">
        <f>SUMPRODUCT((Settings!$G$14:$G$43=$B8)*COUNTIF('INPUT - Roster'!$FB$6:$FB$206,"*"&amp;Settings!$F$14:$F$43&amp;"*"))</f>
        <v/>
      </c>
      <c r="EM8" s="170">
        <f>SUMPRODUCT((Settings!$G$14:$G$43=$B8)*COUNTIF('INPUT - Roster'!$FC$6:$FC$206,"*"&amp;Settings!$F$14:$F$43&amp;"*"))</f>
        <v/>
      </c>
      <c r="EN8" s="170">
        <f>SUMPRODUCT((Settings!$G$14:$G$43=$B8)*COUNTIF('INPUT - Roster'!$FD$6:$FD$206,"*"&amp;Settings!$F$14:$F$43&amp;"*"))</f>
        <v/>
      </c>
      <c r="EO8" s="170">
        <f>SUMPRODUCT((Settings!$G$14:$G$43=$B8)*COUNTIF('INPUT - Roster'!$FE$6:$FE$206,"*"&amp;Settings!$F$14:$F$43&amp;"*"))</f>
        <v/>
      </c>
      <c r="EP8" s="170">
        <f>SUMPRODUCT((Settings!$G$14:$G$43=$B8)*COUNTIF('INPUT - Roster'!$FF$6:$FF$206,"*"&amp;Settings!$F$14:$F$43&amp;"*"))</f>
        <v/>
      </c>
      <c r="EQ8" s="170">
        <f>SUMPRODUCT((Settings!$G$14:$G$43=$B8)*COUNTIF('INPUT - Roster'!$FG$6:$FG$206,"*"&amp;Settings!$F$14:$F$43&amp;"*"))</f>
        <v/>
      </c>
      <c r="ER8" s="170">
        <f>SUMPRODUCT((Settings!$G$14:$G$43=$B8)*COUNTIF('INPUT - Roster'!$FH$6:$FH$206,"*"&amp;Settings!$F$14:$F$43&amp;"*"))</f>
        <v/>
      </c>
      <c r="ES8" s="170">
        <f>SUMPRODUCT((Settings!$G$14:$G$43=$B8)*COUNTIF('INPUT - Roster'!$FI$6:$FI$206,"*"&amp;Settings!$F$14:$F$43&amp;"*"))</f>
        <v/>
      </c>
      <c r="ET8" s="170">
        <f>SUMPRODUCT((Settings!$G$14:$G$43=$B8)*COUNTIF('INPUT - Roster'!$FJ$6:$FJ$206,"*"&amp;Settings!$F$14:$F$43&amp;"*"))</f>
        <v/>
      </c>
      <c r="EU8" s="170">
        <f>SUMPRODUCT((Settings!$G$14:$G$43=$B8)*COUNTIF('INPUT - Roster'!$FK$6:$FK$206,"*"&amp;Settings!$F$14:$F$43&amp;"*"))</f>
        <v/>
      </c>
      <c r="EV8" s="170">
        <f>SUMPRODUCT((Settings!$G$14:$G$43=$B8)*COUNTIF('INPUT - Roster'!$FL$6:$FL$206,"*"&amp;Settings!$F$14:$F$43&amp;"*"))</f>
        <v/>
      </c>
      <c r="EW8" s="170">
        <f>SUMPRODUCT((Settings!$G$14:$G$43=$B8)*COUNTIF('INPUT - Roster'!$FM$6:$FM$206,"*"&amp;Settings!$F$14:$F$43&amp;"*"))</f>
        <v/>
      </c>
      <c r="EX8" s="170">
        <f>SUMPRODUCT((Settings!$G$14:$G$43=$B8)*COUNTIF('INPUT - Roster'!$FN$6:$FN$206,"*"&amp;Settings!$F$14:$F$43&amp;"*"))</f>
        <v/>
      </c>
      <c r="EY8" s="170">
        <f>SUMPRODUCT((Settings!$G$14:$G$43=$B8)*COUNTIF('INPUT - Roster'!$FO$6:$FO$206,"*"&amp;Settings!$F$14:$F$43&amp;"*"))</f>
        <v/>
      </c>
      <c r="EZ8" s="170">
        <f>SUMPRODUCT((Settings!$G$14:$G$43=$B8)*COUNTIF('INPUT - Roster'!$FP$6:$FP$206,"*"&amp;Settings!$F$14:$F$43&amp;"*"))</f>
        <v/>
      </c>
      <c r="FA8" s="170">
        <f>SUMPRODUCT((Settings!$G$14:$G$43=$B8)*COUNTIF('INPUT - Roster'!$FQ$6:$FQ$206,"*"&amp;Settings!$F$14:$F$43&amp;"*"))</f>
        <v/>
      </c>
      <c r="FB8" s="170">
        <f>SUMPRODUCT((Settings!$G$14:$G$43=$B8)*COUNTIF('INPUT - Roster'!$FR$6:$FR$206,"*"&amp;Settings!$F$14:$F$43&amp;"*"))</f>
        <v/>
      </c>
      <c r="FC8" s="170">
        <f>SUMPRODUCT((Settings!$G$14:$G$43=$B8)*COUNTIF('INPUT - Roster'!$FS$6:$FS$206,"*"&amp;Settings!$F$14:$F$43&amp;"*"))</f>
        <v/>
      </c>
      <c r="FD8" s="170">
        <f>SUMPRODUCT((Settings!$G$14:$G$43=$B8)*COUNTIF('INPUT - Roster'!$FT$6:$FT$206,"*"&amp;Settings!$F$14:$F$43&amp;"*"))</f>
        <v/>
      </c>
      <c r="FE8" s="170">
        <f>SUMPRODUCT((Settings!$G$14:$G$43=$B8)*COUNTIF('INPUT - Roster'!$FU$6:$FU$206,"*"&amp;Settings!$F$14:$F$43&amp;"*"))</f>
        <v/>
      </c>
      <c r="FF8" s="170">
        <f>SUMPRODUCT((Settings!$G$14:$G$43=$B8)*COUNTIF('INPUT - Roster'!$FV$6:$FV$206,"*"&amp;Settings!$F$14:$F$43&amp;"*"))</f>
        <v/>
      </c>
      <c r="FG8" s="170">
        <f>SUMPRODUCT((Settings!$G$14:$G$43=$B8)*COUNTIF('INPUT - Roster'!$FW$6:$FW$206,"*"&amp;Settings!$F$14:$F$43&amp;"*"))</f>
        <v/>
      </c>
      <c r="FH8" s="170">
        <f>SUMPRODUCT((Settings!$G$14:$G$43=$B8)*COUNTIF('INPUT - Roster'!$FX$6:$FX$206,"*"&amp;Settings!$F$14:$F$43&amp;"*"))</f>
        <v/>
      </c>
      <c r="FI8" s="170">
        <f>SUMPRODUCT((Settings!$G$14:$G$43=$B8)*COUNTIF('INPUT - Roster'!$FY$6:$FY$206,"*"&amp;Settings!$F$14:$F$43&amp;"*"))</f>
        <v/>
      </c>
      <c r="FJ8" s="170">
        <f>SUMPRODUCT((Settings!$G$14:$G$43=$B8)*COUNTIF('INPUT - Roster'!$FZ$6:$FZ$206,"*"&amp;Settings!$F$14:$F$43&amp;"*"))</f>
        <v/>
      </c>
      <c r="FK8" s="170">
        <f>SUMPRODUCT((Settings!$G$14:$G$43=$B8)*COUNTIF('INPUT - Roster'!$GA$6:$GA$206,"*"&amp;Settings!$F$14:$F$43&amp;"*"))</f>
        <v/>
      </c>
      <c r="FL8" s="170">
        <f>SUMPRODUCT((Settings!$G$14:$G$43=$B8)*COUNTIF('INPUT - Roster'!$GB$6:$GB$206,"*"&amp;Settings!$F$14:$F$43&amp;"*"))</f>
        <v/>
      </c>
      <c r="FM8" s="170">
        <f>SUMPRODUCT((Settings!$G$14:$G$43=$B8)*COUNTIF('INPUT - Roster'!$GC$6:$GC$206,"*"&amp;Settings!$F$14:$F$43&amp;"*"))</f>
        <v/>
      </c>
      <c r="FN8" s="170">
        <f>SUMPRODUCT((Settings!$G$14:$G$43=$B8)*COUNTIF('INPUT - Roster'!$GD$6:$GD$206,"*"&amp;Settings!$F$14:$F$43&amp;"*"))</f>
        <v/>
      </c>
      <c r="FO8" s="170">
        <f>SUMPRODUCT((Settings!$G$14:$G$43=$B8)*COUNTIF('INPUT - Roster'!$GE$6:$GE$206,"*"&amp;Settings!$F$14:$F$43&amp;"*"))</f>
        <v/>
      </c>
      <c r="FP8" s="170">
        <f>SUMPRODUCT((Settings!$G$14:$G$43=$B8)*COUNTIF('INPUT - Roster'!$GF$6:$GF$206,"*"&amp;Settings!$F$14:$F$43&amp;"*"))</f>
        <v/>
      </c>
      <c r="FQ8" s="170">
        <f>SUMPRODUCT((Settings!$G$14:$G$43=$B8)*COUNTIF('INPUT - Roster'!$GG$6:$GG$206,"*"&amp;Settings!$F$14:$F$43&amp;"*"))</f>
        <v/>
      </c>
      <c r="FR8" s="170">
        <f>SUMPRODUCT((Settings!$G$14:$G$43=$B8)*COUNTIF('INPUT - Roster'!$GH$6:$GH$206,"*"&amp;Settings!$F$14:$F$43&amp;"*"))</f>
        <v/>
      </c>
      <c r="FS8" s="170">
        <f>SUMPRODUCT((Settings!$G$14:$G$43=$B8)*COUNTIF('INPUT - Roster'!$GI$6:$GI$206,"*"&amp;Settings!$F$14:$F$43&amp;"*"))</f>
        <v/>
      </c>
      <c r="FT8" s="170">
        <f>SUMPRODUCT((Settings!$G$14:$G$43=$B8)*COUNTIF('INPUT - Roster'!$GJ$6:$GJ$206,"*"&amp;Settings!$F$14:$F$43&amp;"*"))</f>
        <v/>
      </c>
      <c r="FU8" s="170">
        <f>SUMPRODUCT((Settings!$G$14:$G$43=$B8)*COUNTIF('INPUT - Roster'!$GK$6:$GK$206,"*"&amp;Settings!$F$14:$F$43&amp;"*"))</f>
        <v/>
      </c>
      <c r="FV8" s="170">
        <f>SUMPRODUCT((Settings!$G$14:$G$43=$B8)*COUNTIF('INPUT - Roster'!$GL$6:$GL$206,"*"&amp;Settings!$F$14:$F$43&amp;"*"))</f>
        <v/>
      </c>
      <c r="FW8" s="170">
        <f>SUMPRODUCT((Settings!$G$14:$G$43=$B8)*COUNTIF('INPUT - Roster'!$GM$6:$GM$206,"*"&amp;Settings!$F$14:$F$43&amp;"*"))</f>
        <v/>
      </c>
      <c r="FX8" s="170">
        <f>SUMPRODUCT((Settings!$G$14:$G$43=$B8)*COUNTIF('INPUT - Roster'!$GN$6:$GN$206,"*"&amp;Settings!$F$14:$F$43&amp;"*"))</f>
        <v/>
      </c>
      <c r="FY8" s="170">
        <f>SUMPRODUCT((Settings!$G$14:$G$43=$B8)*COUNTIF('INPUT - Roster'!$GO$6:$GO$206,"*"&amp;Settings!$F$14:$F$43&amp;"*"))</f>
        <v/>
      </c>
      <c r="FZ8" s="170">
        <f>SUMPRODUCT((Settings!$G$14:$G$43=$B8)*COUNTIF('INPUT - Roster'!$GP$6:$GP$206,"*"&amp;Settings!$F$14:$F$43&amp;"*"))</f>
        <v/>
      </c>
      <c r="GA8" s="170">
        <f>SUMPRODUCT((Settings!$G$14:$G$43=$B8)*COUNTIF('INPUT - Roster'!$GQ$6:$GQ$206,"*"&amp;Settings!$F$14:$F$43&amp;"*"))</f>
        <v/>
      </c>
      <c r="GB8" s="170">
        <f>SUMPRODUCT((Settings!$G$14:$G$43=$B8)*COUNTIF('INPUT - Roster'!$GR$6:$GR$206,"*"&amp;Settings!$F$14:$F$43&amp;"*"))</f>
        <v/>
      </c>
      <c r="GC8" s="170">
        <f>SUMPRODUCT((Settings!$G$14:$G$43=$B8)*COUNTIF('INPUT - Roster'!$GS$6:$GS$206,"*"&amp;Settings!$F$14:$F$43&amp;"*"))</f>
        <v/>
      </c>
      <c r="GD8" s="170">
        <f>SUMPRODUCT((Settings!$G$14:$G$43=$B8)*COUNTIF('INPUT - Roster'!$GT$6:$GT$206,"*"&amp;Settings!$F$14:$F$43&amp;"*"))</f>
        <v/>
      </c>
      <c r="GE8" s="170">
        <f>SUMPRODUCT((Settings!$G$14:$G$43=$B8)*COUNTIF('INPUT - Roster'!$GU$6:$GU$206,"*"&amp;Settings!$F$14:$F$43&amp;"*"))</f>
        <v/>
      </c>
      <c r="GF8" s="170">
        <f>SUMPRODUCT((Settings!$G$14:$G$43=$B8)*COUNTIF('INPUT - Roster'!$GV$6:$GV$206,"*"&amp;Settings!$F$14:$F$43&amp;"*"))</f>
        <v/>
      </c>
      <c r="GG8" s="170">
        <f>SUMPRODUCT((Settings!$G$14:$G$43=$B8)*COUNTIF('INPUT - Roster'!$GW$6:$GW$206,"*"&amp;Settings!$F$14:$F$43&amp;"*"))</f>
        <v/>
      </c>
      <c r="GH8" s="170">
        <f>SUMPRODUCT((Settings!$G$14:$G$43=$B8)*COUNTIF('INPUT - Roster'!$GX$6:$GX$206,"*"&amp;Settings!$F$14:$F$43&amp;"*"))</f>
        <v/>
      </c>
      <c r="GI8" s="170">
        <f>SUMPRODUCT((Settings!$G$14:$G$43=$B8)*COUNTIF('INPUT - Roster'!$GY$6:$GY$206,"*"&amp;Settings!$F$14:$F$43&amp;"*"))</f>
        <v/>
      </c>
      <c r="GJ8" s="170">
        <f>SUMPRODUCT((Settings!$G$14:$G$43=$B8)*COUNTIF('INPUT - Roster'!$GZ$6:$GZ$206,"*"&amp;Settings!$F$14:$F$43&amp;"*"))</f>
        <v/>
      </c>
      <c r="GK8" s="170">
        <f>SUMPRODUCT((Settings!$G$14:$G$43=$B8)*COUNTIF('INPUT - Roster'!$HA$6:$HA$206,"*"&amp;Settings!$F$14:$F$43&amp;"*"))</f>
        <v/>
      </c>
      <c r="GL8" s="170">
        <f>SUMPRODUCT((Settings!$G$14:$G$43=$B8)*COUNTIF('INPUT - Roster'!$HB$6:$HB$206,"*"&amp;Settings!$F$14:$F$43&amp;"*"))</f>
        <v/>
      </c>
      <c r="GM8" s="170">
        <f>SUMPRODUCT((Settings!$G$14:$G$43=$B8)*COUNTIF('INPUT - Roster'!$HC$6:$HC$206,"*"&amp;Settings!$F$14:$F$43&amp;"*"))</f>
        <v/>
      </c>
      <c r="GN8" s="170">
        <f>SUMPRODUCT((Settings!$G$14:$G$43=$B8)*COUNTIF('INPUT - Roster'!$HD$6:$HD$206,"*"&amp;Settings!$F$14:$F$43&amp;"*"))</f>
        <v/>
      </c>
      <c r="GO8" s="170">
        <f>SUMPRODUCT((Settings!$G$14:$G$43=$B8)*COUNTIF('INPUT - Roster'!$HE$6:$HE$206,"*"&amp;Settings!$F$14:$F$43&amp;"*"))</f>
        <v/>
      </c>
      <c r="GP8" s="170">
        <f>SUMPRODUCT((Settings!$G$14:$G$43=$B8)*COUNTIF('INPUT - Roster'!$HF$6:$HF$206,"*"&amp;Settings!$F$14:$F$43&amp;"*"))</f>
        <v/>
      </c>
      <c r="GQ8" s="170">
        <f>SUMPRODUCT((Settings!$G$14:$G$43=$B8)*COUNTIF('INPUT - Roster'!$HG$6:$HG$206,"*"&amp;Settings!$F$14:$F$43&amp;"*"))</f>
        <v/>
      </c>
      <c r="GR8" s="170">
        <f>SUMPRODUCT((Settings!$G$14:$G$43=$B8)*COUNTIF('INPUT - Roster'!$HH$6:$HH$206,"*"&amp;Settings!$F$14:$F$43&amp;"*"))</f>
        <v/>
      </c>
      <c r="GS8" s="170">
        <f>SUMPRODUCT((Settings!$G$14:$G$43=$B8)*COUNTIF('INPUT - Roster'!$HI$6:$HI$206,"*"&amp;Settings!$F$14:$F$43&amp;"*"))</f>
        <v/>
      </c>
      <c r="GT8" s="170">
        <f>SUMPRODUCT((Settings!$G$14:$G$43=$B8)*COUNTIF('INPUT - Roster'!$HJ$6:$HJ$206,"*"&amp;Settings!$F$14:$F$43&amp;"*"))</f>
        <v/>
      </c>
      <c r="GU8" s="170">
        <f>SUMPRODUCT((Settings!$G$14:$G$43=$B8)*COUNTIF('INPUT - Roster'!$HK$6:$HK$206,"*"&amp;Settings!$F$14:$F$43&amp;"*"))</f>
        <v/>
      </c>
      <c r="GV8" s="170">
        <f>SUMPRODUCT((Settings!$G$14:$G$43=$B8)*COUNTIF('INPUT - Roster'!$HL$6:$HL$206,"*"&amp;Settings!$F$14:$F$43&amp;"*"))</f>
        <v/>
      </c>
      <c r="GW8" s="170">
        <f>SUMPRODUCT((Settings!$G$14:$G$43=$B8)*COUNTIF('INPUT - Roster'!$HM$6:$HM$206,"*"&amp;Settings!$F$14:$F$43&amp;"*"))</f>
        <v/>
      </c>
      <c r="GX8" s="170">
        <f>SUMPRODUCT((Settings!$G$14:$G$43=$B8)*COUNTIF('INPUT - Roster'!$HN$6:$HN$206,"*"&amp;Settings!$F$14:$F$43&amp;"*"))</f>
        <v/>
      </c>
      <c r="GY8" s="170">
        <f>SUMPRODUCT((Settings!$G$14:$G$43=$B8)*COUNTIF('INPUT - Roster'!$HO$6:$HO$206,"*"&amp;Settings!$F$14:$F$43&amp;"*"))</f>
        <v/>
      </c>
      <c r="GZ8" s="170">
        <f>SUMPRODUCT((Settings!$G$14:$G$43=$B8)*COUNTIF('INPUT - Roster'!$HP$6:$HP$206,"*"&amp;Settings!$F$14:$F$43&amp;"*"))</f>
        <v/>
      </c>
      <c r="HA8" s="170">
        <f>SUMPRODUCT((Settings!$G$14:$G$43=$B8)*COUNTIF('INPUT - Roster'!$HQ$6:$HQ$206,"*"&amp;Settings!$F$14:$F$43&amp;"*"))</f>
        <v/>
      </c>
      <c r="HB8" s="170">
        <f>SUMPRODUCT((Settings!$G$14:$G$43=$B8)*COUNTIF('INPUT - Roster'!$HR$6:$HR$206,"*"&amp;Settings!$F$14:$F$43&amp;"*"))</f>
        <v/>
      </c>
      <c r="HC8" s="170">
        <f>SUMPRODUCT((Settings!$G$14:$G$43=$B8)*COUNTIF('INPUT - Roster'!$HS$6:$HS$206,"*"&amp;Settings!$F$14:$F$43&amp;"*"))</f>
        <v/>
      </c>
      <c r="HD8" s="170">
        <f>SUMPRODUCT((Settings!$G$14:$G$43=$B8)*COUNTIF('INPUT - Roster'!$HT$6:$HT$206,"*"&amp;Settings!$F$14:$F$43&amp;"*"))</f>
        <v/>
      </c>
      <c r="HE8" s="170">
        <f>SUMPRODUCT((Settings!$G$14:$G$43=$B8)*COUNTIF('INPUT - Roster'!$HU$6:$HU$206,"*"&amp;Settings!$F$14:$F$43&amp;"*"))</f>
        <v/>
      </c>
      <c r="HF8" s="170">
        <f>SUMPRODUCT((Settings!$G$14:$G$43=$B8)*COUNTIF('INPUT - Roster'!$HV$6:$HV$206,"*"&amp;Settings!$F$14:$F$43&amp;"*"))</f>
        <v/>
      </c>
      <c r="HG8" s="170">
        <f>SUMPRODUCT((Settings!$G$14:$G$43=$B8)*COUNTIF('INPUT - Roster'!$HW$6:$HW$206,"*"&amp;Settings!$F$14:$F$43&amp;"*"))</f>
        <v/>
      </c>
      <c r="HH8" s="170">
        <f>SUMPRODUCT((Settings!$G$14:$G$43=$B8)*COUNTIF('INPUT - Roster'!$HX$6:$HX$206,"*"&amp;Settings!$F$14:$F$43&amp;"*"))</f>
        <v/>
      </c>
      <c r="HI8" s="170">
        <f>SUMPRODUCT((Settings!$G$14:$G$43=$B8)*COUNTIF('INPUT - Roster'!$HY$6:$HY$206,"*"&amp;Settings!$F$14:$F$43&amp;"*"))</f>
        <v/>
      </c>
      <c r="HJ8" s="170">
        <f>SUMPRODUCT((Settings!$G$14:$G$43=$B8)*COUNTIF('INPUT - Roster'!$HZ$6:$HZ$206,"*"&amp;Settings!$F$14:$F$43&amp;"*"))</f>
        <v/>
      </c>
      <c r="HK8" s="170">
        <f>SUMPRODUCT((Settings!$G$14:$G$43=$B8)*COUNTIF('INPUT - Roster'!$IA$6:$IA$206,"*"&amp;Settings!$F$14:$F$43&amp;"*"))</f>
        <v/>
      </c>
      <c r="HL8" s="170">
        <f>SUMPRODUCT((Settings!$G$14:$G$43=$B8)*COUNTIF('INPUT - Roster'!$IB$6:$IB$206,"*"&amp;Settings!$F$14:$F$43&amp;"*"))</f>
        <v/>
      </c>
      <c r="HM8" s="170">
        <f>SUMPRODUCT((Settings!$G$14:$G$43=$B8)*COUNTIF('INPUT - Roster'!$IC$6:$IC$206,"*"&amp;Settings!$F$14:$F$43&amp;"*"))</f>
        <v/>
      </c>
      <c r="HN8" s="170">
        <f>SUMPRODUCT((Settings!$G$14:$G$43=$B8)*COUNTIF('INPUT - Roster'!$ID$6:$ID$206,"*"&amp;Settings!$F$14:$F$43&amp;"*"))</f>
        <v/>
      </c>
      <c r="HO8" s="170">
        <f>SUMPRODUCT((Settings!$G$14:$G$43=$B8)*COUNTIF('INPUT - Roster'!$IE$6:$IE$206,"*"&amp;Settings!$F$14:$F$43&amp;"*"))</f>
        <v/>
      </c>
      <c r="HP8" s="170">
        <f>SUMPRODUCT((Settings!$G$14:$G$43=$B8)*COUNTIF('INPUT - Roster'!$IF$6:$IF$206,"*"&amp;Settings!$F$14:$F$43&amp;"*"))</f>
        <v/>
      </c>
      <c r="HQ8" s="170">
        <f>SUMPRODUCT((Settings!$G$14:$G$43=$B8)*COUNTIF('INPUT - Roster'!$IG$6:$IG$206,"*"&amp;Settings!$F$14:$F$43&amp;"*"))</f>
        <v/>
      </c>
      <c r="HR8" s="170">
        <f>SUMPRODUCT((Settings!$G$14:$G$43=$B8)*COUNTIF('INPUT - Roster'!$IH$6:$IH$206,"*"&amp;Settings!$F$14:$F$43&amp;"*"))</f>
        <v/>
      </c>
      <c r="HS8" s="170">
        <f>SUMPRODUCT((Settings!$G$14:$G$43=$B8)*COUNTIF('INPUT - Roster'!$II$6:$II$206,"*"&amp;Settings!$F$14:$F$43&amp;"*"))</f>
        <v/>
      </c>
      <c r="HT8" s="170">
        <f>SUMPRODUCT((Settings!$G$14:$G$43=$B8)*COUNTIF('INPUT - Roster'!$IJ$6:$IJ$206,"*"&amp;Settings!$F$14:$F$43&amp;"*"))</f>
        <v/>
      </c>
      <c r="HU8" s="170">
        <f>SUMPRODUCT((Settings!$G$14:$G$43=$B8)*COUNTIF('INPUT - Roster'!$IK$6:$IK$206,"*"&amp;Settings!$F$14:$F$43&amp;"*"))</f>
        <v/>
      </c>
      <c r="HV8" s="170">
        <f>SUMPRODUCT((Settings!$G$14:$G$43=$B8)*COUNTIF('INPUT - Roster'!$IL$6:$IL$206,"*"&amp;Settings!$F$14:$F$43&amp;"*"))</f>
        <v/>
      </c>
      <c r="HW8" s="170">
        <f>SUMPRODUCT((Settings!$G$14:$G$43=$B8)*COUNTIF('INPUT - Roster'!$IM$6:$IM$206,"*"&amp;Settings!$F$14:$F$43&amp;"*"))</f>
        <v/>
      </c>
      <c r="HX8" s="170">
        <f>SUMPRODUCT((Settings!$G$14:$G$43=$B8)*COUNTIF('INPUT - Roster'!$IN$6:$IN$206,"*"&amp;Settings!$F$14:$F$43&amp;"*"))</f>
        <v/>
      </c>
      <c r="HY8" s="170">
        <f>SUMPRODUCT((Settings!$G$14:$G$43=$B8)*COUNTIF('INPUT - Roster'!$IO$6:$IO$206,"*"&amp;Settings!$F$14:$F$43&amp;"*"))</f>
        <v/>
      </c>
      <c r="HZ8" s="170">
        <f>SUMPRODUCT((Settings!$G$14:$G$43=$B8)*COUNTIF('INPUT - Roster'!$IP$6:$IP$206,"*"&amp;Settings!$F$14:$F$43&amp;"*"))</f>
        <v/>
      </c>
      <c r="IA8" s="170">
        <f>SUMPRODUCT((Settings!$G$14:$G$43=$B8)*COUNTIF('INPUT - Roster'!$IQ$6:$IQ$206,"*"&amp;Settings!$F$14:$F$43&amp;"*"))</f>
        <v/>
      </c>
      <c r="IB8" s="170">
        <f>SUMPRODUCT((Settings!$G$14:$G$43=$B8)*COUNTIF('INPUT - Roster'!$IR$6:$IR$206,"*"&amp;Settings!$F$14:$F$43&amp;"*"))</f>
        <v/>
      </c>
      <c r="IC8" s="170">
        <f>SUMPRODUCT((Settings!$G$14:$G$43=$B8)*COUNTIF('INPUT - Roster'!$IS$6:$IS$206,"*"&amp;Settings!$F$14:$F$43&amp;"*"))</f>
        <v/>
      </c>
      <c r="ID8" s="170">
        <f>SUMPRODUCT((Settings!$G$14:$G$43=$B8)*COUNTIF('INPUT - Roster'!$IT$6:$IT$206,"*"&amp;Settings!$F$14:$F$43&amp;"*"))</f>
        <v/>
      </c>
      <c r="IE8" s="170">
        <f>SUMPRODUCT((Settings!$G$14:$G$43=$B8)*COUNTIF('INPUT - Roster'!$IU$6:$IU$206,"*"&amp;Settings!$F$14:$F$43&amp;"*"))</f>
        <v/>
      </c>
      <c r="IF8" s="170">
        <f>SUMPRODUCT((Settings!$G$14:$G$43=$B8)*COUNTIF('INPUT - Roster'!$IV$6:$IV$206,"*"&amp;Settings!$F$14:$F$43&amp;"*"))</f>
        <v/>
      </c>
      <c r="IG8" s="170">
        <f>SUMPRODUCT((Settings!$G$14:$G$43=$B8)*COUNTIF('INPUT - Roster'!$IW$6:$IW$206,"*"&amp;Settings!$F$14:$F$43&amp;"*"))</f>
        <v/>
      </c>
      <c r="IH8" s="170">
        <f>SUMPRODUCT((Settings!$G$14:$G$43=$B8)*COUNTIF('INPUT - Roster'!$IX$6:$IX$206,"*"&amp;Settings!$F$14:$F$43&amp;"*"))</f>
        <v/>
      </c>
      <c r="II8" s="170">
        <f>SUMPRODUCT((Settings!$G$14:$G$43=$B8)*COUNTIF('INPUT - Roster'!$IY$6:$IY$206,"*"&amp;Settings!$F$14:$F$43&amp;"*"))</f>
        <v/>
      </c>
      <c r="IJ8" s="170">
        <f>SUMPRODUCT((Settings!$G$14:$G$43=$B8)*COUNTIF('INPUT - Roster'!$IZ$6:$IZ$206,"*"&amp;Settings!$F$14:$F$43&amp;"*"))</f>
        <v/>
      </c>
      <c r="IK8" s="170">
        <f>SUMPRODUCT((Settings!$G$14:$G$43=$B8)*COUNTIF('INPUT - Roster'!$JA$6:$JA$206,"*"&amp;Settings!$F$14:$F$43&amp;"*"))</f>
        <v/>
      </c>
      <c r="IL8" s="170">
        <f>SUMPRODUCT((Settings!$G$14:$G$43=$B8)*COUNTIF('INPUT - Roster'!$JB$6:$JB$206,"*"&amp;Settings!$F$14:$F$43&amp;"*"))</f>
        <v/>
      </c>
      <c r="IM8" s="170">
        <f>SUMPRODUCT((Settings!$G$14:$G$43=$B8)*COUNTIF('INPUT - Roster'!$JC$6:$JC$206,"*"&amp;Settings!$F$14:$F$43&amp;"*"))</f>
        <v/>
      </c>
      <c r="IN8" s="170">
        <f>SUMPRODUCT((Settings!$G$14:$G$43=$B8)*COUNTIF('INPUT - Roster'!$JD$6:$JD$206,"*"&amp;Settings!$F$14:$F$43&amp;"*"))</f>
        <v/>
      </c>
      <c r="IO8" s="170">
        <f>SUMPRODUCT((Settings!$G$14:$G$43=$B8)*COUNTIF('INPUT - Roster'!$JE$6:$JE$206,"*"&amp;Settings!$F$14:$F$43&amp;"*"))</f>
        <v/>
      </c>
      <c r="IP8" s="170">
        <f>SUMPRODUCT((Settings!$G$14:$G$43=$B8)*COUNTIF('INPUT - Roster'!$JF$6:$JF$206,"*"&amp;Settings!$F$14:$F$43&amp;"*"))</f>
        <v/>
      </c>
      <c r="IQ8" s="170">
        <f>SUMPRODUCT((Settings!$G$14:$G$43=$B8)*COUNTIF('INPUT - Roster'!$JG$6:$JG$206,"*"&amp;Settings!$F$14:$F$43&amp;"*"))</f>
        <v/>
      </c>
      <c r="IR8" s="170">
        <f>SUMPRODUCT((Settings!$G$14:$G$43=$B8)*COUNTIF('INPUT - Roster'!$JH$6:$JH$206,"*"&amp;Settings!$F$14:$F$43&amp;"*"))</f>
        <v/>
      </c>
      <c r="IS8" s="170">
        <f>SUMPRODUCT((Settings!$G$14:$G$43=$B8)*COUNTIF('INPUT - Roster'!$JI$6:$JI$206,"*"&amp;Settings!$F$14:$F$43&amp;"*"))</f>
        <v/>
      </c>
      <c r="IT8" s="170">
        <f>SUMPRODUCT((Settings!$G$14:$G$43=$B8)*COUNTIF('INPUT - Roster'!$JJ$6:$JJ$206,"*"&amp;Settings!$F$14:$F$43&amp;"*"))</f>
        <v/>
      </c>
      <c r="IU8" s="170">
        <f>SUMPRODUCT((Settings!$G$14:$G$43=$B8)*COUNTIF('INPUT - Roster'!$JK$6:$JK$206,"*"&amp;Settings!$F$14:$F$43&amp;"*"))</f>
        <v/>
      </c>
      <c r="IV8" s="170">
        <f>SUMPRODUCT((Settings!$G$14:$G$43=$B8)*COUNTIF('INPUT - Roster'!$JL$6:$JL$206,"*"&amp;Settings!$F$14:$F$43&amp;"*"))</f>
        <v/>
      </c>
      <c r="IW8" s="170">
        <f>SUMPRODUCT((Settings!$G$14:$G$43=$B8)*COUNTIF('INPUT - Roster'!$JM$6:$JM$206,"*"&amp;Settings!$F$14:$F$43&amp;"*"))</f>
        <v/>
      </c>
      <c r="IX8" s="170">
        <f>SUMPRODUCT((Settings!$G$14:$G$43=$B8)*COUNTIF('INPUT - Roster'!$JN$6:$JN$206,"*"&amp;Settings!$F$14:$F$43&amp;"*"))</f>
        <v/>
      </c>
      <c r="IY8" s="170">
        <f>SUMPRODUCT((Settings!$G$14:$G$43=$B8)*COUNTIF('INPUT - Roster'!$JO$6:$JO$206,"*"&amp;Settings!$F$14:$F$43&amp;"*"))</f>
        <v/>
      </c>
      <c r="IZ8" s="170">
        <f>SUMPRODUCT((Settings!$G$14:$G$43=$B8)*COUNTIF('INPUT - Roster'!$JP$6:$JP$206,"*"&amp;Settings!$F$14:$F$43&amp;"*"))</f>
        <v/>
      </c>
      <c r="JA8" s="170">
        <f>SUMPRODUCT((Settings!$G$14:$G$43=$B8)*COUNTIF('INPUT - Roster'!$JQ$6:$JQ$206,"*"&amp;Settings!$F$14:$F$43&amp;"*"))</f>
        <v/>
      </c>
      <c r="JB8" s="170">
        <f>SUMPRODUCT((Settings!$G$14:$G$43=$B8)*COUNTIF('INPUT - Roster'!$JR$6:$JR$206,"*"&amp;Settings!$F$14:$F$43&amp;"*"))</f>
        <v/>
      </c>
      <c r="JC8" s="170">
        <f>SUMPRODUCT((Settings!$G$14:$G$43=$B8)*COUNTIF('INPUT - Roster'!$JS$6:$JS$206,"*"&amp;Settings!$F$14:$F$43&amp;"*"))</f>
        <v/>
      </c>
      <c r="JD8" s="170">
        <f>SUMPRODUCT((Settings!$G$14:$G$43=$B8)*COUNTIF('INPUT - Roster'!$JT$6:$JT$206,"*"&amp;Settings!$F$14:$F$43&amp;"*"))</f>
        <v/>
      </c>
      <c r="JE8" s="170">
        <f>SUMPRODUCT((Settings!$G$14:$G$43=$B8)*COUNTIF('INPUT - Roster'!$JU$6:$JU$206,"*"&amp;Settings!$F$14:$F$43&amp;"*"))</f>
        <v/>
      </c>
      <c r="JF8" s="170">
        <f>SUMPRODUCT((Settings!$G$14:$G$43=$B8)*COUNTIF('INPUT - Roster'!$JV$6:$JV$206,"*"&amp;Settings!$F$14:$F$43&amp;"*"))</f>
        <v/>
      </c>
      <c r="JG8" s="170">
        <f>SUMPRODUCT((Settings!$G$14:$G$43=$B8)*COUNTIF('INPUT - Roster'!$JW$6:$JW$206,"*"&amp;Settings!$F$14:$F$43&amp;"*"))</f>
        <v/>
      </c>
      <c r="JH8" s="170">
        <f>SUMPRODUCT((Settings!$G$14:$G$43=$B8)*COUNTIF('INPUT - Roster'!$JX$6:$JX$206,"*"&amp;Settings!$F$14:$F$43&amp;"*"))</f>
        <v/>
      </c>
      <c r="JI8" s="170">
        <f>SUMPRODUCT((Settings!$G$14:$G$43=$B8)*COUNTIF('INPUT - Roster'!$JY$6:$JY$206,"*"&amp;Settings!$F$14:$F$43&amp;"*"))</f>
        <v/>
      </c>
      <c r="JJ8" s="170">
        <f>SUMPRODUCT((Settings!$G$14:$G$43=$B8)*COUNTIF('INPUT - Roster'!$JZ$6:$JZ$206,"*"&amp;Settings!$F$14:$F$43&amp;"*"))</f>
        <v/>
      </c>
      <c r="JK8" s="170">
        <f>SUMPRODUCT((Settings!$G$14:$G$43=$B8)*COUNTIF('INPUT - Roster'!$KA$6:$KA$206,"*"&amp;Settings!$F$14:$F$43&amp;"*"))</f>
        <v/>
      </c>
      <c r="JL8" s="170">
        <f>SUMPRODUCT((Settings!$G$14:$G$43=$B8)*COUNTIF('INPUT - Roster'!$KB$6:$KB$206,"*"&amp;Settings!$F$14:$F$43&amp;"*"))</f>
        <v/>
      </c>
      <c r="JM8" s="170">
        <f>SUMPRODUCT((Settings!$G$14:$G$43=$B8)*COUNTIF('INPUT - Roster'!$KC$6:$KC$206,"*"&amp;Settings!$F$14:$F$43&amp;"*"))</f>
        <v/>
      </c>
      <c r="JN8" s="170">
        <f>SUMPRODUCT((Settings!$G$14:$G$43=$B8)*COUNTIF('INPUT - Roster'!$KD$6:$KD$206,"*"&amp;Settings!$F$14:$F$43&amp;"*"))</f>
        <v/>
      </c>
      <c r="JO8" s="170">
        <f>SUMPRODUCT((Settings!$G$14:$G$43=$B8)*COUNTIF('INPUT - Roster'!$KE$6:$KE$206,"*"&amp;Settings!$F$14:$F$43&amp;"*"))</f>
        <v/>
      </c>
      <c r="JP8" s="170">
        <f>SUMPRODUCT((Settings!$G$14:$G$43=$B8)*COUNTIF('INPUT - Roster'!$KF$6:$KF$206,"*"&amp;Settings!$F$14:$F$43&amp;"*"))</f>
        <v/>
      </c>
      <c r="JQ8" s="170">
        <f>SUMPRODUCT((Settings!$G$14:$G$43=$B8)*COUNTIF('INPUT - Roster'!$KG$6:$KG$206,"*"&amp;Settings!$F$14:$F$43&amp;"*"))</f>
        <v/>
      </c>
      <c r="JR8" s="170">
        <f>SUMPRODUCT((Settings!$G$14:$G$43=$B8)*COUNTIF('INPUT - Roster'!$KH$6:$KH$206,"*"&amp;Settings!$F$14:$F$43&amp;"*"))</f>
        <v/>
      </c>
      <c r="JS8" s="170">
        <f>SUMPRODUCT((Settings!$G$14:$G$43=$B8)*COUNTIF('INPUT - Roster'!$KI$6:$KI$206,"*"&amp;Settings!$F$14:$F$43&amp;"*"))</f>
        <v/>
      </c>
      <c r="JT8" s="170">
        <f>SUMPRODUCT((Settings!$G$14:$G$43=$B8)*COUNTIF('INPUT - Roster'!$KJ$6:$KJ$206,"*"&amp;Settings!$F$14:$F$43&amp;"*"))</f>
        <v/>
      </c>
      <c r="JU8" s="170">
        <f>SUMPRODUCT((Settings!$G$14:$G$43=$B8)*COUNTIF('INPUT - Roster'!$KK$6:$KK$206,"*"&amp;Settings!$F$14:$F$43&amp;"*"))</f>
        <v/>
      </c>
      <c r="JV8" s="170">
        <f>SUMPRODUCT((Settings!$G$14:$G$43=$B8)*COUNTIF('INPUT - Roster'!$KL$6:$KL$206,"*"&amp;Settings!$F$14:$F$43&amp;"*"))</f>
        <v/>
      </c>
      <c r="JW8" s="170">
        <f>SUMPRODUCT((Settings!$G$14:$G$43=$B8)*COUNTIF('INPUT - Roster'!$KM$6:$KM$206,"*"&amp;Settings!$F$14:$F$43&amp;"*"))</f>
        <v/>
      </c>
      <c r="JX8" s="170">
        <f>SUMPRODUCT((Settings!$G$14:$G$43=$B8)*COUNTIF('INPUT - Roster'!$KN$6:$KN$206,"*"&amp;Settings!$F$14:$F$43&amp;"*"))</f>
        <v/>
      </c>
      <c r="JY8" s="170">
        <f>SUMPRODUCT((Settings!$G$14:$G$43=$B8)*COUNTIF('INPUT - Roster'!$KO$6:$KO$206,"*"&amp;Settings!$F$14:$F$43&amp;"*"))</f>
        <v/>
      </c>
      <c r="JZ8" s="170">
        <f>SUMPRODUCT((Settings!$G$14:$G$43=$B8)*COUNTIF('INPUT - Roster'!$KP$6:$KP$206,"*"&amp;Settings!$F$14:$F$43&amp;"*"))</f>
        <v/>
      </c>
      <c r="KA8" s="170">
        <f>SUMPRODUCT((Settings!$G$14:$G$43=$B8)*COUNTIF('INPUT - Roster'!$KQ$6:$KQ$206,"*"&amp;Settings!$F$14:$F$43&amp;"*"))</f>
        <v/>
      </c>
      <c r="KB8" s="170">
        <f>SUMPRODUCT((Settings!$G$14:$G$43=$B8)*COUNTIF('INPUT - Roster'!$KR$6:$KR$206,"*"&amp;Settings!$F$14:$F$43&amp;"*"))</f>
        <v/>
      </c>
      <c r="KC8" s="170">
        <f>SUMPRODUCT((Settings!$G$14:$G$43=$B8)*COUNTIF('INPUT - Roster'!$KS$6:$KS$206,"*"&amp;Settings!$F$14:$F$43&amp;"*"))</f>
        <v/>
      </c>
      <c r="KD8" s="170">
        <f>SUMPRODUCT((Settings!$G$14:$G$43=$B8)*COUNTIF('INPUT - Roster'!$KT$6:$KT$206,"*"&amp;Settings!$F$14:$F$43&amp;"*"))</f>
        <v/>
      </c>
      <c r="KE8" s="170">
        <f>SUMPRODUCT((Settings!$G$14:$G$43=$B8)*COUNTIF('INPUT - Roster'!$KU$6:$KU$206,"*"&amp;Settings!$F$14:$F$43&amp;"*"))</f>
        <v/>
      </c>
      <c r="KF8" s="170">
        <f>SUMPRODUCT((Settings!$G$14:$G$43=$B8)*COUNTIF('INPUT - Roster'!$KV$6:$KV$206,"*"&amp;Settings!$F$14:$F$43&amp;"*"))</f>
        <v/>
      </c>
      <c r="KG8" s="170">
        <f>SUMPRODUCT((Settings!$G$14:$G$43=$B8)*COUNTIF('INPUT - Roster'!$KW$6:$KW$206,"*"&amp;Settings!$F$14:$F$43&amp;"*"))</f>
        <v/>
      </c>
      <c r="KH8" s="170">
        <f>SUMPRODUCT((Settings!$G$14:$G$43=$B8)*COUNTIF('INPUT - Roster'!$KX$6:$KX$206,"*"&amp;Settings!$F$14:$F$43&amp;"*"))</f>
        <v/>
      </c>
      <c r="KI8" s="170">
        <f>SUMPRODUCT((Settings!$G$14:$G$43=$B8)*COUNTIF('INPUT - Roster'!$KY$6:$KY$206,"*"&amp;Settings!$F$14:$F$43&amp;"*"))</f>
        <v/>
      </c>
      <c r="KJ8" s="170">
        <f>SUMPRODUCT((Settings!$G$14:$G$43=$B8)*COUNTIF('INPUT - Roster'!$KZ$6:$KZ$206,"*"&amp;Settings!$F$14:$F$43&amp;"*"))</f>
        <v/>
      </c>
      <c r="KK8" s="170">
        <f>SUMPRODUCT((Settings!$G$14:$G$43=$B8)*COUNTIF('INPUT - Roster'!$LA$6:$LA$206,"*"&amp;Settings!$F$14:$F$43&amp;"*"))</f>
        <v/>
      </c>
      <c r="KL8" s="170">
        <f>SUMPRODUCT((Settings!$G$14:$G$43=$B8)*COUNTIF('INPUT - Roster'!$LB$6:$LB$206,"*"&amp;Settings!$F$14:$F$43&amp;"*"))</f>
        <v/>
      </c>
      <c r="KM8" s="170">
        <f>SUMPRODUCT((Settings!$G$14:$G$43=$B8)*COUNTIF('INPUT - Roster'!$LC$6:$LC$206,"*"&amp;Settings!$F$14:$F$43&amp;"*"))</f>
        <v/>
      </c>
      <c r="KN8" s="170">
        <f>SUMPRODUCT((Settings!$G$14:$G$43=$B8)*COUNTIF('INPUT - Roster'!$LD$6:$LD$206,"*"&amp;Settings!$F$14:$F$43&amp;"*"))</f>
        <v/>
      </c>
      <c r="KO8" s="170">
        <f>SUMPRODUCT((Settings!$G$14:$G$43=$B8)*COUNTIF('INPUT - Roster'!$LE$6:$LE$206,"*"&amp;Settings!$F$14:$F$43&amp;"*"))</f>
        <v/>
      </c>
      <c r="KP8" s="170">
        <f>SUMPRODUCT((Settings!$G$14:$G$43=$B8)*COUNTIF('INPUT - Roster'!$LF$6:$LF$206,"*"&amp;Settings!$F$14:$F$43&amp;"*"))</f>
        <v/>
      </c>
      <c r="KQ8" s="170">
        <f>SUMPRODUCT((Settings!$G$14:$G$43=$B8)*COUNTIF('INPUT - Roster'!$LG$6:$LG$206,"*"&amp;Settings!$F$14:$F$43&amp;"*"))</f>
        <v/>
      </c>
      <c r="KR8" s="170">
        <f>SUMPRODUCT((Settings!$G$14:$G$43=$B8)*COUNTIF('INPUT - Roster'!$LH$6:$LH$206,"*"&amp;Settings!$F$14:$F$43&amp;"*"))</f>
        <v/>
      </c>
      <c r="KS8" s="170">
        <f>SUMPRODUCT((Settings!$G$14:$G$43=$B8)*COUNTIF('INPUT - Roster'!$LI$6:$LI$206,"*"&amp;Settings!$F$14:$F$43&amp;"*"))</f>
        <v/>
      </c>
      <c r="KT8" s="170">
        <f>SUMPRODUCT((Settings!$G$14:$G$43=$B8)*COUNTIF('INPUT - Roster'!$LJ$6:$LJ$206,"*"&amp;Settings!$F$14:$F$43&amp;"*"))</f>
        <v/>
      </c>
      <c r="KU8" s="170">
        <f>SUMPRODUCT((Settings!$G$14:$G$43=$B8)*COUNTIF('INPUT - Roster'!$LK$6:$LK$206,"*"&amp;Settings!$F$14:$F$43&amp;"*"))</f>
        <v/>
      </c>
      <c r="KV8" s="170">
        <f>SUMPRODUCT((Settings!$G$14:$G$43=$B8)*COUNTIF('INPUT - Roster'!$LL$6:$LL$206,"*"&amp;Settings!$F$14:$F$43&amp;"*"))</f>
        <v/>
      </c>
      <c r="KW8" s="170">
        <f>SUMPRODUCT((Settings!$G$14:$G$43=$B8)*COUNTIF('INPUT - Roster'!$LM$6:$LM$206,"*"&amp;Settings!$F$14:$F$43&amp;"*"))</f>
        <v/>
      </c>
      <c r="KX8" s="170">
        <f>SUMPRODUCT((Settings!$G$14:$G$43=$B8)*COUNTIF('INPUT - Roster'!$LN$6:$LN$206,"*"&amp;Settings!$F$14:$F$43&amp;"*"))</f>
        <v/>
      </c>
      <c r="KY8" s="170">
        <f>SUMPRODUCT((Settings!$G$14:$G$43=$B8)*COUNTIF('INPUT - Roster'!$LO$6:$LO$206,"*"&amp;Settings!$F$14:$F$43&amp;"*"))</f>
        <v/>
      </c>
      <c r="KZ8" s="170">
        <f>SUMPRODUCT((Settings!$G$14:$G$43=$B8)*COUNTIF('INPUT - Roster'!$LP$6:$LP$206,"*"&amp;Settings!$F$14:$F$43&amp;"*"))</f>
        <v/>
      </c>
      <c r="LA8" s="170">
        <f>SUMPRODUCT((Settings!$G$14:$G$43=$B8)*COUNTIF('INPUT - Roster'!$LQ$6:$LQ$206,"*"&amp;Settings!$F$14:$F$43&amp;"*"))</f>
        <v/>
      </c>
      <c r="LB8" s="170">
        <f>SUMPRODUCT((Settings!$G$14:$G$43=$B8)*COUNTIF('INPUT - Roster'!$LR$6:$LR$206,"*"&amp;Settings!$F$14:$F$43&amp;"*"))</f>
        <v/>
      </c>
      <c r="LC8" s="170">
        <f>SUMPRODUCT((Settings!$G$14:$G$43=$B8)*COUNTIF('INPUT - Roster'!$LS$6:$LS$206,"*"&amp;Settings!$F$14:$F$43&amp;"*"))</f>
        <v/>
      </c>
      <c r="LD8" s="170">
        <f>SUMPRODUCT((Settings!$G$14:$G$43=$B8)*COUNTIF('INPUT - Roster'!$LT$6:$LT$206,"*"&amp;Settings!$F$14:$F$43&amp;"*"))</f>
        <v/>
      </c>
      <c r="LE8" s="170">
        <f>SUMPRODUCT((Settings!$G$14:$G$43=$B8)*COUNTIF('INPUT - Roster'!$LU$6:$LU$206,"*"&amp;Settings!$F$14:$F$43&amp;"*"))</f>
        <v/>
      </c>
      <c r="LF8" s="170">
        <f>SUMPRODUCT((Settings!$G$14:$G$43=$B8)*COUNTIF('INPUT - Roster'!$LV$6:$LV$206,"*"&amp;Settings!$F$14:$F$43&amp;"*"))</f>
        <v/>
      </c>
      <c r="LG8" s="170">
        <f>SUMPRODUCT((Settings!$G$14:$G$43=$B8)*COUNTIF('INPUT - Roster'!$LW$6:$LW$206,"*"&amp;Settings!$F$14:$F$43&amp;"*"))</f>
        <v/>
      </c>
      <c r="LH8" s="170">
        <f>SUMPRODUCT((Settings!$G$14:$G$43=$B8)*COUNTIF('INPUT - Roster'!$LX$6:$LX$206,"*"&amp;Settings!$F$14:$F$43&amp;"*"))</f>
        <v/>
      </c>
      <c r="LI8" s="170">
        <f>SUMPRODUCT((Settings!$G$14:$G$43=$B8)*COUNTIF('INPUT - Roster'!$LY$6:$LY$206,"*"&amp;Settings!$F$14:$F$43&amp;"*"))</f>
        <v/>
      </c>
      <c r="LJ8" s="170">
        <f>SUMPRODUCT((Settings!$G$14:$G$43=$B8)*COUNTIF('INPUT - Roster'!$LZ$6:$LZ$206,"*"&amp;Settings!$F$14:$F$43&amp;"*"))</f>
        <v/>
      </c>
      <c r="LK8" s="170">
        <f>SUMPRODUCT((Settings!$G$14:$G$43=$B8)*COUNTIF('INPUT - Roster'!$MA$6:$MA$206,"*"&amp;Settings!$F$14:$F$43&amp;"*"))</f>
        <v/>
      </c>
      <c r="LL8" s="170">
        <f>SUMPRODUCT((Settings!$G$14:$G$43=$B8)*COUNTIF('INPUT - Roster'!$MB$6:$MB$206,"*"&amp;Settings!$F$14:$F$43&amp;"*"))</f>
        <v/>
      </c>
      <c r="LM8" s="170">
        <f>SUMPRODUCT((Settings!$G$14:$G$43=$B8)*COUNTIF('INPUT - Roster'!$MC$6:$MC$206,"*"&amp;Settings!$F$14:$F$43&amp;"*"))</f>
        <v/>
      </c>
      <c r="LN8" s="170">
        <f>SUMPRODUCT((Settings!$G$14:$G$43=$B8)*COUNTIF('INPUT - Roster'!$MD$6:$MD$206,"*"&amp;Settings!$F$14:$F$43&amp;"*"))</f>
        <v/>
      </c>
      <c r="LO8" s="170">
        <f>SUMPRODUCT((Settings!$G$14:$G$43=$B8)*COUNTIF('INPUT - Roster'!$ME$6:$ME$206,"*"&amp;Settings!$F$14:$F$43&amp;"*"))</f>
        <v/>
      </c>
      <c r="LP8" s="170">
        <f>SUMPRODUCT((Settings!$G$14:$G$43=$B8)*COUNTIF('INPUT - Roster'!$MF$6:$MF$206,"*"&amp;Settings!$F$14:$F$43&amp;"*"))</f>
        <v/>
      </c>
      <c r="LQ8" s="170">
        <f>SUMPRODUCT((Settings!$G$14:$G$43=$B8)*COUNTIF('INPUT - Roster'!$MG$6:$MG$206,"*"&amp;Settings!$F$14:$F$43&amp;"*"))</f>
        <v/>
      </c>
      <c r="LR8" s="170">
        <f>SUMPRODUCT((Settings!$G$14:$G$43=$B8)*COUNTIF('INPUT - Roster'!$MH$6:$MH$206,"*"&amp;Settings!$F$14:$F$43&amp;"*"))</f>
        <v/>
      </c>
      <c r="LS8" s="170">
        <f>SUMPRODUCT((Settings!$G$14:$G$43=$B8)*COUNTIF('INPUT - Roster'!$MI$6:$MI$206,"*"&amp;Settings!$F$14:$F$43&amp;"*"))</f>
        <v/>
      </c>
      <c r="LT8" s="170">
        <f>SUMPRODUCT((Settings!$G$14:$G$43=$B8)*COUNTIF('INPUT - Roster'!$MJ$6:$MJ$206,"*"&amp;Settings!$F$14:$F$43&amp;"*"))</f>
        <v/>
      </c>
      <c r="LU8" s="170">
        <f>SUMPRODUCT((Settings!$G$14:$G$43=$B8)*COUNTIF('INPUT - Roster'!$MK$6:$MK$206,"*"&amp;Settings!$F$14:$F$43&amp;"*"))</f>
        <v/>
      </c>
      <c r="LV8" s="170">
        <f>SUMPRODUCT((Settings!$G$14:$G$43=$B8)*COUNTIF('INPUT - Roster'!$ML$6:$ML$206,"*"&amp;Settings!$F$14:$F$43&amp;"*"))</f>
        <v/>
      </c>
      <c r="LW8" s="170">
        <f>SUMPRODUCT((Settings!$G$14:$G$43=$B8)*COUNTIF('INPUT - Roster'!$MM$6:$MM$206,"*"&amp;Settings!$F$14:$F$43&amp;"*"))</f>
        <v/>
      </c>
      <c r="LX8" s="170">
        <f>SUMPRODUCT((Settings!$G$14:$G$43=$B8)*COUNTIF('INPUT - Roster'!$MN$6:$MN$206,"*"&amp;Settings!$F$14:$F$43&amp;"*"))</f>
        <v/>
      </c>
      <c r="LY8" s="170">
        <f>SUMPRODUCT((Settings!$G$14:$G$43=$B8)*COUNTIF('INPUT - Roster'!$MO$6:$MO$206,"*"&amp;Settings!$F$14:$F$43&amp;"*"))</f>
        <v/>
      </c>
      <c r="LZ8" s="170">
        <f>SUMPRODUCT((Settings!$G$14:$G$43=$B8)*COUNTIF('INPUT - Roster'!$MP$6:$MP$206,"*"&amp;Settings!$F$14:$F$43&amp;"*"))</f>
        <v/>
      </c>
      <c r="MA8" s="170">
        <f>SUMPRODUCT((Settings!$G$14:$G$43=$B8)*COUNTIF('INPUT - Roster'!$MQ$6:$MQ$206,"*"&amp;Settings!$F$14:$F$43&amp;"*"))</f>
        <v/>
      </c>
      <c r="MB8" s="170">
        <f>SUMPRODUCT((Settings!$G$14:$G$43=$B8)*COUNTIF('INPUT - Roster'!$MR$6:$MR$206,"*"&amp;Settings!$F$14:$F$43&amp;"*"))</f>
        <v/>
      </c>
      <c r="MC8" s="170">
        <f>SUMPRODUCT((Settings!$G$14:$G$43=$B8)*COUNTIF('INPUT - Roster'!$MS$6:$MS$206,"*"&amp;Settings!$F$14:$F$43&amp;"*"))</f>
        <v/>
      </c>
      <c r="MD8" s="170">
        <f>SUMPRODUCT((Settings!$G$14:$G$43=$B8)*COUNTIF('INPUT - Roster'!$MT$6:$MT$206,"*"&amp;Settings!$F$14:$F$43&amp;"*"))</f>
        <v/>
      </c>
      <c r="ME8" s="170">
        <f>SUMPRODUCT((Settings!$G$14:$G$43=$B8)*COUNTIF('INPUT - Roster'!$MU$6:$MU$206,"*"&amp;Settings!$F$14:$F$43&amp;"*"))</f>
        <v/>
      </c>
      <c r="MF8" s="170">
        <f>SUMPRODUCT((Settings!$G$14:$G$43=$B8)*COUNTIF('INPUT - Roster'!$MV$6:$MV$206,"*"&amp;Settings!$F$14:$F$43&amp;"*"))</f>
        <v/>
      </c>
      <c r="MG8" s="170">
        <f>SUMPRODUCT((Settings!$G$14:$G$43=$B8)*COUNTIF('INPUT - Roster'!$MW$6:$MW$206,"*"&amp;Settings!$F$14:$F$43&amp;"*"))</f>
        <v/>
      </c>
      <c r="MH8" s="170">
        <f>SUMPRODUCT((Settings!$G$14:$G$43=$B8)*COUNTIF('INPUT - Roster'!$MX$6:$MX$206,"*"&amp;Settings!$F$14:$F$43&amp;"*"))</f>
        <v/>
      </c>
      <c r="MI8" s="170">
        <f>SUMPRODUCT((Settings!$G$14:$G$43=$B8)*COUNTIF('INPUT - Roster'!$MY$6:$MY$206,"*"&amp;Settings!$F$14:$F$43&amp;"*"))</f>
        <v/>
      </c>
      <c r="MJ8" s="170">
        <f>SUMPRODUCT((Settings!$G$14:$G$43=$B8)*COUNTIF('INPUT - Roster'!$MZ$6:$MZ$206,"*"&amp;Settings!$F$14:$F$43&amp;"*"))</f>
        <v/>
      </c>
      <c r="MK8" s="170">
        <f>SUMPRODUCT((Settings!$G$14:$G$43=$B8)*COUNTIF('INPUT - Roster'!$NA$6:$NA$206,"*"&amp;Settings!$F$14:$F$43&amp;"*"))</f>
        <v/>
      </c>
      <c r="ML8" s="170">
        <f>SUMPRODUCT((Settings!$G$14:$G$43=$B8)*COUNTIF('INPUT - Roster'!$NB$6:$NB$206,"*"&amp;Settings!$F$14:$F$43&amp;"*"))</f>
        <v/>
      </c>
      <c r="MM8" s="170">
        <f>SUMPRODUCT((Settings!$G$14:$G$43=$B8)*COUNTIF('INPUT - Roster'!$NC$6:$NC$206,"*"&amp;Settings!$F$14:$F$43&amp;"*"))</f>
        <v/>
      </c>
      <c r="MN8" s="170">
        <f>SUMPRODUCT((Settings!$G$14:$G$43=$B8)*COUNTIF('INPUT - Roster'!$ND$6:$ND$206,"*"&amp;Settings!$F$14:$F$43&amp;"*"))</f>
        <v/>
      </c>
      <c r="MO8" s="170">
        <f>SUMPRODUCT((Settings!$G$14:$G$43=$B8)*COUNTIF('INPUT - Roster'!$NE$6:$NE$206,"*"&amp;Settings!$F$14:$F$43&amp;"*"))</f>
        <v/>
      </c>
      <c r="MP8" s="170">
        <f>SUMPRODUCT((Settings!$G$14:$G$43=$B8)*COUNTIF('INPUT - Roster'!$NF$6:$NF$206,"*"&amp;Settings!$F$14:$F$43&amp;"*"))</f>
        <v/>
      </c>
      <c r="MQ8" s="170">
        <f>SUMPRODUCT((Settings!$G$14:$G$43=$B8)*COUNTIF('INPUT - Roster'!$NG$6:$NG$206,"*"&amp;Settings!$F$14:$F$43&amp;"*"))</f>
        <v/>
      </c>
      <c r="MR8" s="170">
        <f>SUMPRODUCT((Settings!$G$14:$G$43=$B8)*COUNTIF('INPUT - Roster'!$NH$6:$NH$206,"*"&amp;Settings!$F$14:$F$43&amp;"*"))</f>
        <v/>
      </c>
      <c r="MS8" s="170">
        <f>SUMPRODUCT((Settings!$G$14:$G$43=$B8)*COUNTIF('INPUT - Roster'!$NI$6:$NI$206,"*"&amp;Settings!$F$14:$F$43&amp;"*"))</f>
        <v/>
      </c>
      <c r="MT8" s="170">
        <f>SUMPRODUCT((Settings!$G$14:$G$43=$B8)*COUNTIF('INPUT - Roster'!$NJ$6:$NJ$206,"*"&amp;Settings!$F$14:$F$43&amp;"*"))</f>
        <v/>
      </c>
      <c r="MU8" s="170">
        <f>SUMPRODUCT((Settings!$G$14:$G$43=$B8)*COUNTIF('INPUT - Roster'!$NK$6:$NK$206,"*"&amp;Settings!$F$14:$F$43&amp;"*"))</f>
        <v/>
      </c>
      <c r="MV8" s="170">
        <f>SUMPRODUCT((Settings!$G$14:$G$43=$B8)*COUNTIF('INPUT - Roster'!$NL$6:$NL$206,"*"&amp;Settings!$F$14:$F$43&amp;"*"))</f>
        <v/>
      </c>
      <c r="MW8" s="170">
        <f>SUMPRODUCT((Settings!$G$14:$G$43=$B8)*COUNTIF('INPUT - Roster'!$NM$6:$NM$206,"*"&amp;Settings!$F$14:$F$43&amp;"*"))</f>
        <v/>
      </c>
      <c r="MX8" s="170">
        <f>SUMPRODUCT((Settings!$G$14:$G$43=$B8)*COUNTIF('INPUT - Roster'!$NN$6:$NN$206,"*"&amp;Settings!$F$14:$F$43&amp;"*"))</f>
        <v/>
      </c>
      <c r="MY8" s="170">
        <f>SUMPRODUCT((Settings!$G$14:$G$43=$B8)*COUNTIF('INPUT - Roster'!$NO$6:$NO$206,"*"&amp;Settings!$F$14:$F$43&amp;"*"))</f>
        <v/>
      </c>
      <c r="MZ8" s="170">
        <f>SUMPRODUCT((Settings!$G$14:$G$43=$B8)*COUNTIF('INPUT - Roster'!$NP$6:$NP$206,"*"&amp;Settings!$F$14:$F$43&amp;"*"))</f>
        <v/>
      </c>
      <c r="NA8" s="170">
        <f>SUMPRODUCT((Settings!$G$14:$G$43=$B8)*COUNTIF('INPUT - Roster'!$NQ$6:$NQ$206,"*"&amp;Settings!$F$14:$F$43&amp;"*"))</f>
        <v/>
      </c>
      <c r="NB8" s="170">
        <f>SUMPRODUCT((Settings!$G$14:$G$43=$B8)*COUNTIF('INPUT - Roster'!$NR$6:$NR$206,"*"&amp;Settings!$F$14:$F$43&amp;"*"))</f>
        <v/>
      </c>
      <c r="NC8" s="170">
        <f>SUMPRODUCT((Settings!$G$14:$G$43=$B8)*COUNTIF('INPUT - Roster'!$NS$6:$NS$206,"*"&amp;Settings!$F$14:$F$43&amp;"*"))</f>
        <v/>
      </c>
      <c r="ND8" s="170">
        <f>SUMPRODUCT((Settings!$G$14:$G$43=$B8)*COUNTIF('INPUT - Roster'!$NT$6:$NT$206,"*"&amp;Settings!$F$14:$F$43&amp;"*"))</f>
        <v/>
      </c>
      <c r="NE8" s="170">
        <f>SUMPRODUCT((Settings!$G$14:$G$43=$B8)*COUNTIF('INPUT - Roster'!$NU$6:$NU$206,"*"&amp;Settings!$F$14:$F$43&amp;"*"))</f>
        <v/>
      </c>
      <c r="NF8" s="170">
        <f>SUMPRODUCT((Settings!$G$14:$G$43=$B8)*COUNTIF('INPUT - Roster'!$NV$6:$NV$206,"*"&amp;Settings!$F$14:$F$43&amp;"*"))</f>
        <v/>
      </c>
      <c r="NG8" s="170">
        <f>SUMPRODUCT((Settings!$G$14:$G$43=$B8)*COUNTIF('INPUT - Roster'!$NW$6:$NW$206,"*"&amp;Settings!$F$14:$F$43&amp;"*"))</f>
        <v/>
      </c>
      <c r="NH8" s="170">
        <f>SUMPRODUCT((Settings!$G$14:$G$43=$B8)*COUNTIF('INPUT - Roster'!$NX$6:$NX$206,"*"&amp;Settings!$F$14:$F$43&amp;"*"))</f>
        <v/>
      </c>
      <c r="NI8" s="170">
        <f>SUMPRODUCT((Settings!$G$14:$G$43=$B8)*COUNTIF('INPUT - Roster'!$NY$6:$NY$206,"*"&amp;Settings!$F$14:$F$43&amp;"*"))</f>
        <v/>
      </c>
      <c r="NJ8" s="170">
        <f>SUMPRODUCT((Settings!$G$14:$G$43=$B8)*COUNTIF('INPUT - Roster'!$NZ$6:$NZ$206,"*"&amp;Settings!$F$14:$F$43&amp;"*"))</f>
        <v/>
      </c>
      <c r="NK8" s="170">
        <f>SUMPRODUCT((Settings!$G$14:$G$43=$B8)*COUNTIF('INPUT - Roster'!$OA$6:$OA$206,"*"&amp;Settings!$F$14:$F$43&amp;"*"))</f>
        <v/>
      </c>
      <c r="NL8" s="170">
        <f>SUMPRODUCT((Settings!$G$14:$G$43=$B8)*COUNTIF('INPUT - Roster'!$OB$6:$OB$206,"*"&amp;Settings!$F$14:$F$43&amp;"*"))</f>
        <v/>
      </c>
      <c r="NM8" s="170">
        <f>SUMPRODUCT((Settings!$G$14:$G$43=$B8)*COUNTIF('INPUT - Roster'!$OC$6:$OC$206,"*"&amp;Settings!$F$14:$F$43&amp;"*"))</f>
        <v/>
      </c>
      <c r="NN8" s="170">
        <f>SUMPRODUCT((Settings!$G$14:$G$43=$B8)*COUNTIF('INPUT - Roster'!$OD$6:$OD$206,"*"&amp;Settings!$F$14:$F$43&amp;"*"))</f>
        <v/>
      </c>
      <c r="NO8" s="170">
        <f>SUMPRODUCT((Settings!$G$14:$G$43=$B8)*COUNTIF('INPUT - Roster'!$OE$6:$OE$206,"*"&amp;Settings!$F$14:$F$43&amp;"*"))</f>
        <v/>
      </c>
      <c r="NP8" s="170">
        <f>SUMPRODUCT((Settings!$G$14:$G$43=$B8)*COUNTIF('INPUT - Roster'!$OF$6:$OF$206,"*"&amp;Settings!$F$14:$F$43&amp;"*"))</f>
        <v/>
      </c>
      <c r="NQ8" s="170">
        <f>SUMPRODUCT((Settings!$G$14:$G$43=$B8)*COUNTIF('INPUT - Roster'!$OG$6:$OG$206,"*"&amp;Settings!$F$14:$F$43&amp;"*"))</f>
        <v/>
      </c>
      <c r="NR8" s="170">
        <f>SUMPRODUCT((Settings!$G$14:$G$43=$B8)*COUNTIF('INPUT - Roster'!$OH$6:$OH$206,"*"&amp;Settings!$F$14:$F$43&amp;"*"))</f>
        <v/>
      </c>
      <c r="NS8" s="170">
        <f>SUMPRODUCT((Settings!$G$14:$G$43=$B8)*COUNTIF('INPUT - Roster'!$OI$6:$OI$206,"*"&amp;Settings!$F$14:$F$43&amp;"*"))</f>
        <v/>
      </c>
      <c r="NT8" s="170">
        <f>SUMPRODUCT((Settings!$G$14:$G$43=$B8)*COUNTIF('INPUT - Roster'!$OJ$6:$OJ$206,"*"&amp;Settings!$F$14:$F$43&amp;"*"))</f>
        <v/>
      </c>
      <c r="NU8" s="170">
        <f>SUMPRODUCT((Settings!$G$14:$G$43=$B8)*COUNTIF('INPUT - Roster'!$OK$6:$OK$206,"*"&amp;Settings!$F$14:$F$43&amp;"*"))</f>
        <v/>
      </c>
      <c r="NV8" s="170">
        <f>SUMPRODUCT((Settings!$G$14:$G$43=$B8)*COUNTIF('INPUT - Roster'!$OL$6:$OL$206,"*"&amp;Settings!$F$14:$F$43&amp;"*"))</f>
        <v/>
      </c>
      <c r="NW8" s="170">
        <f>SUMPRODUCT((Settings!$G$14:$G$43=$B8)*COUNTIF('INPUT - Roster'!$OM$6:$OM$206,"*"&amp;Settings!$F$14:$F$43&amp;"*"))</f>
        <v/>
      </c>
      <c r="NX8" s="170">
        <f>SUMPRODUCT((Settings!$G$14:$G$43=$B8)*COUNTIF('INPUT - Roster'!$ON$6:$ON$206,"*"&amp;Settings!$F$14:$F$43&amp;"*"))</f>
        <v/>
      </c>
      <c r="NY8" s="170">
        <f>SUMPRODUCT((Settings!$G$14:$G$43=$B8)*COUNTIF('INPUT - Roster'!$OO$6:$OO$206,"*"&amp;Settings!$F$14:$F$43&amp;"*"))</f>
        <v/>
      </c>
      <c r="NZ8" s="170">
        <f>SUMPRODUCT((Settings!$G$14:$G$43=$B8)*COUNTIF('INPUT - Roster'!$OP$6:$OP$206,"*"&amp;Settings!$F$14:$F$43&amp;"*"))</f>
        <v/>
      </c>
      <c r="OA8" s="170">
        <f>SUMPRODUCT((Settings!$G$14:$G$43=$B8)*COUNTIF('INPUT - Roster'!$OQ$6:$OQ$206,"*"&amp;Settings!$F$14:$F$43&amp;"*"))</f>
        <v/>
      </c>
      <c r="OB8" s="170">
        <f>SUMPRODUCT((Settings!$G$14:$G$43=$B8)*COUNTIF('INPUT - Roster'!$OR$6:$OR$206,"*"&amp;Settings!$F$14:$F$43&amp;"*"))</f>
        <v/>
      </c>
      <c r="OC8" s="170">
        <f>SUMPRODUCT((Settings!$G$14:$G$43=$B8)*COUNTIF('INPUT - Roster'!$OS$6:$OS$206,"*"&amp;Settings!$F$14:$F$43&amp;"*"))</f>
        <v/>
      </c>
      <c r="OD8" s="170">
        <f>SUMPRODUCT((Settings!$G$14:$G$43=$B8)*COUNTIF('INPUT - Roster'!$OT$6:$OT$206,"*"&amp;Settings!$F$14:$F$43&amp;"*"))</f>
        <v/>
      </c>
      <c r="OE8" s="170">
        <f>SUMPRODUCT((Settings!$G$14:$G$43=$B8)*COUNTIF('INPUT - Roster'!$OU$6:$OU$206,"*"&amp;Settings!$F$14:$F$43&amp;"*"))</f>
        <v/>
      </c>
      <c r="OF8" s="170">
        <f>SUMPRODUCT((Settings!$G$14:$G$43=$B8)*COUNTIF('INPUT - Roster'!$OV$6:$OV$206,"*"&amp;Settings!$F$14:$F$43&amp;"*"))</f>
        <v/>
      </c>
      <c r="OG8" s="170">
        <f>SUMPRODUCT((Settings!$G$14:$G$43=$B8)*COUNTIF('INPUT - Roster'!$OW$6:$OW$206,"*"&amp;Settings!$F$14:$F$43&amp;"*"))</f>
        <v/>
      </c>
      <c r="OH8" s="170">
        <f>SUMPRODUCT((Settings!$G$14:$G$43=$B8)*COUNTIF('INPUT - Roster'!$OX$6:$OX$206,"*"&amp;Settings!$F$14:$F$43&amp;"*"))</f>
        <v/>
      </c>
      <c r="OI8" s="170">
        <f>SUMPRODUCT((Settings!$G$14:$G$43=$B8)*COUNTIF('INPUT - Roster'!$OY$6:$OY$206,"*"&amp;Settings!$F$14:$F$43&amp;"*"))</f>
        <v/>
      </c>
      <c r="OJ8" s="170">
        <f>SUMPRODUCT((Settings!$G$14:$G$43=$B8)*COUNTIF('INPUT - Roster'!$OZ$6:$OZ$206,"*"&amp;Settings!$F$14:$F$43&amp;"*"))</f>
        <v/>
      </c>
      <c r="OK8" s="170">
        <f>SUMPRODUCT((Settings!$G$14:$G$43=$B8)*COUNTIF('INPUT - Roster'!$PA$6:$PA$206,"*"&amp;Settings!$F$14:$F$43&amp;"*"))</f>
        <v/>
      </c>
      <c r="OL8" s="170">
        <f>SUMPRODUCT((Settings!$G$14:$G$43=$B8)*COUNTIF('INPUT - Roster'!$PB$6:$PB$206,"*"&amp;Settings!$F$14:$F$43&amp;"*"))</f>
        <v/>
      </c>
      <c r="OM8" s="170">
        <f>SUMPRODUCT((Settings!$G$14:$G$43=$B8)*COUNTIF('INPUT - Roster'!$PC$6:$PC$206,"*"&amp;Settings!$F$14:$F$43&amp;"*"))</f>
        <v/>
      </c>
      <c r="ON8" s="170">
        <f>SUMPRODUCT((Settings!$G$14:$G$43=$B8)*COUNTIF('INPUT - Roster'!$PD$6:$PD$206,"*"&amp;Settings!$F$14:$F$43&amp;"*"))</f>
        <v/>
      </c>
      <c r="OO8" s="170">
        <f>SUMPRODUCT((Settings!$G$14:$G$43=$B8)*COUNTIF('INPUT - Roster'!$PE$6:$PE$206,"*"&amp;Settings!$F$14:$F$43&amp;"*"))</f>
        <v/>
      </c>
      <c r="OP8" s="170">
        <f>SUMPRODUCT((Settings!$G$14:$G$43=$B8)*COUNTIF('INPUT - Roster'!$PF$6:$PF$206,"*"&amp;Settings!$F$14:$F$43&amp;"*"))</f>
        <v/>
      </c>
      <c r="OQ8" s="170">
        <f>SUMPRODUCT((Settings!$G$14:$G$43=$B8)*COUNTIF('INPUT - Roster'!$PG$6:$PG$206,"*"&amp;Settings!$F$14:$F$43&amp;"*"))</f>
        <v/>
      </c>
      <c r="OR8" s="170">
        <f>SUMPRODUCT((Settings!$G$14:$G$43=$B8)*COUNTIF('INPUT - Roster'!$PH$6:$PH$206,"*"&amp;Settings!$F$14:$F$43&amp;"*"))</f>
        <v/>
      </c>
      <c r="OS8" s="170">
        <f>SUMPRODUCT((Settings!$G$14:$G$43=$B8)*COUNTIF('INPUT - Roster'!$PI$6:$PI$206,"*"&amp;Settings!$F$14:$F$43&amp;"*"))</f>
        <v/>
      </c>
      <c r="OT8" s="170">
        <f>SUMPRODUCT((Settings!$G$14:$G$43=$B8)*COUNTIF('INPUT - Roster'!$PJ$6:$PJ$206,"*"&amp;Settings!$F$14:$F$43&amp;"*"))</f>
        <v/>
      </c>
      <c r="OU8" s="170">
        <f>SUMPRODUCT((Settings!$G$14:$G$43=$B8)*COUNTIF('INPUT - Roster'!$PK$6:$PK$206,"*"&amp;Settings!$F$14:$F$43&amp;"*"))</f>
        <v/>
      </c>
      <c r="OV8" s="170">
        <f>SUMPRODUCT((Settings!$G$14:$G$43=$B8)*COUNTIF('INPUT - Roster'!$PL$6:$PL$206,"*"&amp;Settings!$F$14:$F$43&amp;"*"))</f>
        <v/>
      </c>
      <c r="OW8" s="170">
        <f>SUMPRODUCT((Settings!$G$14:$G$43=$B8)*COUNTIF('INPUT - Roster'!$PM$6:$PM$206,"*"&amp;Settings!$F$14:$F$43&amp;"*"))</f>
        <v/>
      </c>
      <c r="OX8" s="170">
        <f>SUMPRODUCT((Settings!$G$14:$G$43=$B8)*COUNTIF('INPUT - Roster'!$PN$6:$PN$206,"*"&amp;Settings!$F$14:$F$43&amp;"*"))</f>
        <v/>
      </c>
      <c r="OY8" s="170">
        <f>SUMPRODUCT((Settings!$G$14:$G$43=$B8)*COUNTIF('INPUT - Roster'!$PO$6:$PO$206,"*"&amp;Settings!$F$14:$F$43&amp;"*"))</f>
        <v/>
      </c>
      <c r="OZ8" s="170">
        <f>SUMPRODUCT((Settings!$G$14:$G$43=$B8)*COUNTIF('INPUT - Roster'!$PP$6:$PP$206,"*"&amp;Settings!$F$14:$F$43&amp;"*"))</f>
        <v/>
      </c>
      <c r="PA8" s="170">
        <f>SUMPRODUCT((Settings!$G$14:$G$43=$B8)*COUNTIF('INPUT - Roster'!$PQ$6:$PQ$206,"*"&amp;Settings!$F$14:$F$43&amp;"*"))</f>
        <v/>
      </c>
      <c r="PB8" s="170">
        <f>SUMPRODUCT((Settings!$G$14:$G$43=$B8)*COUNTIF('INPUT - Roster'!$PR$6:$PR$206,"*"&amp;Settings!$F$14:$F$43&amp;"*"))</f>
        <v/>
      </c>
      <c r="PC8" s="170">
        <f>SUMPRODUCT((Settings!$G$14:$G$43=$B8)*COUNTIF('INPUT - Roster'!$PS$6:$PS$206,"*"&amp;Settings!$F$14:$F$43&amp;"*"))</f>
        <v/>
      </c>
      <c r="PD8" s="170">
        <f>SUMPRODUCT((Settings!$G$14:$G$43=$B8)*COUNTIF('INPUT - Roster'!$PT$6:$PT$206,"*"&amp;Settings!$F$14:$F$43&amp;"*"))</f>
        <v/>
      </c>
      <c r="PE8" s="170">
        <f>SUMPRODUCT((Settings!$G$14:$G$43=$B8)*COUNTIF('INPUT - Roster'!$PU$6:$PU$206,"*"&amp;Settings!$F$14:$F$43&amp;"*"))</f>
        <v/>
      </c>
      <c r="PF8" s="170">
        <f>SUMPRODUCT((Settings!$G$14:$G$43=$B8)*COUNTIF('INPUT - Roster'!$PV$6:$PV$206,"*"&amp;Settings!$F$14:$F$43&amp;"*"))</f>
        <v/>
      </c>
      <c r="PG8" s="170">
        <f>SUMPRODUCT((Settings!$G$14:$G$43=$B8)*COUNTIF('INPUT - Roster'!$PW$6:$PW$206,"*"&amp;Settings!$F$14:$F$43&amp;"*"))</f>
        <v/>
      </c>
      <c r="PH8" s="170">
        <f>SUMPRODUCT((Settings!$G$14:$G$43=$B8)*COUNTIF('INPUT - Roster'!$PX$6:$PX$206,"*"&amp;Settings!$F$14:$F$43&amp;"*"))</f>
        <v/>
      </c>
      <c r="PI8" s="170">
        <f>SUMPRODUCT((Settings!$G$14:$G$43=$B8)*COUNTIF('INPUT - Roster'!$PY$6:$PY$206,"*"&amp;Settings!$F$14:$F$43&amp;"*"))</f>
        <v/>
      </c>
      <c r="PJ8" s="170">
        <f>SUMPRODUCT((Settings!$G$14:$G$43=$B8)*COUNTIF('INPUT - Roster'!$PZ$6:$PZ$206,"*"&amp;Settings!$F$14:$F$43&amp;"*"))</f>
        <v/>
      </c>
      <c r="PK8" s="170">
        <f>SUMPRODUCT((Settings!$G$14:$G$43=$B8)*COUNTIF('INPUT - Roster'!$QA$6:$QA$206,"*"&amp;Settings!$F$14:$F$43&amp;"*"))</f>
        <v/>
      </c>
      <c r="PL8" s="170">
        <f>SUMPRODUCT((Settings!$G$14:$G$43=$B8)*COUNTIF('INPUT - Roster'!$QB$6:$QB$206,"*"&amp;Settings!$F$14:$F$43&amp;"*"))</f>
        <v/>
      </c>
      <c r="PM8" s="170">
        <f>SUMPRODUCT((Settings!$G$14:$G$43=$B8)*COUNTIF('INPUT - Roster'!$QC$6:$QC$206,"*"&amp;Settings!$F$14:$F$43&amp;"*"))</f>
        <v/>
      </c>
      <c r="PN8" s="170">
        <f>SUMPRODUCT((Settings!$G$14:$G$43=$B8)*COUNTIF('INPUT - Roster'!$QD$6:$QD$206,"*"&amp;Settings!$F$14:$F$43&amp;"*"))</f>
        <v/>
      </c>
      <c r="PO8" s="170">
        <f>SUMPRODUCT((Settings!$G$14:$G$43=$B8)*COUNTIF('INPUT - Roster'!$QE$6:$QE$206,"*"&amp;Settings!$F$14:$F$43&amp;"*"))</f>
        <v/>
      </c>
      <c r="PP8" s="170">
        <f>SUMPRODUCT((Settings!$G$14:$G$43=$B8)*COUNTIF('INPUT - Roster'!$QF$6:$QF$206,"*"&amp;Settings!$F$14:$F$43&amp;"*"))</f>
        <v/>
      </c>
      <c r="PQ8" s="170">
        <f>SUMPRODUCT((Settings!$G$14:$G$43=$B8)*COUNTIF('INPUT - Roster'!$QG$6:$QG$206,"*"&amp;Settings!$F$14:$F$43&amp;"*"))</f>
        <v/>
      </c>
      <c r="PR8" s="170">
        <f>SUMPRODUCT((Settings!$G$14:$G$43=$B8)*COUNTIF('INPUT - Roster'!$QH$6:$QH$206,"*"&amp;Settings!$F$14:$F$43&amp;"*"))</f>
        <v/>
      </c>
      <c r="PS8" s="170">
        <f>SUMPRODUCT((Settings!$G$14:$G$43=$B8)*COUNTIF('INPUT - Roster'!$QI$6:$QI$206,"*"&amp;Settings!$F$14:$F$43&amp;"*"))</f>
        <v/>
      </c>
      <c r="PT8" s="170">
        <f>SUMPRODUCT((Settings!$G$14:$G$43=$B8)*COUNTIF('INPUT - Roster'!$QJ$6:$QJ$206,"*"&amp;Settings!$F$14:$F$43&amp;"*"))</f>
        <v/>
      </c>
      <c r="PU8" s="170">
        <f>SUMPRODUCT((Settings!$G$14:$G$43=$B8)*COUNTIF('INPUT - Roster'!$QK$6:$QK$206,"*"&amp;Settings!$F$14:$F$43&amp;"*"))</f>
        <v/>
      </c>
      <c r="PV8" s="170">
        <f>SUMPRODUCT((Settings!$G$14:$G$43=$B8)*COUNTIF('INPUT - Roster'!$QL$6:$QL$206,"*"&amp;Settings!$F$14:$F$43&amp;"*"))</f>
        <v/>
      </c>
      <c r="PW8" s="170">
        <f>SUMPRODUCT((Settings!$G$14:$G$43=$B8)*COUNTIF('INPUT - Roster'!$QM$6:$QM$206,"*"&amp;Settings!$F$14:$F$43&amp;"*"))</f>
        <v/>
      </c>
      <c r="PX8" s="170">
        <f>SUMPRODUCT((Settings!$G$14:$G$43=$B8)*COUNTIF('INPUT - Roster'!$QN$6:$QN$206,"*"&amp;Settings!$F$14:$F$43&amp;"*"))</f>
        <v/>
      </c>
      <c r="PY8" s="170">
        <f>SUMPRODUCT((Settings!$G$14:$G$43=$B8)*COUNTIF('INPUT - Roster'!$QO$6:$QO$206,"*"&amp;Settings!$F$14:$F$43&amp;"*"))</f>
        <v/>
      </c>
      <c r="PZ8" s="170">
        <f>SUMPRODUCT((Settings!$G$14:$G$43=$B8)*COUNTIF('INPUT - Roster'!$QP$6:$QP$206,"*"&amp;Settings!$F$14:$F$43&amp;"*"))</f>
        <v/>
      </c>
      <c r="QA8" s="170">
        <f>SUMPRODUCT((Settings!$G$14:$G$43=$B8)*COUNTIF('INPUT - Roster'!$QQ$6:$QQ$206,"*"&amp;Settings!$F$14:$F$43&amp;"*"))</f>
        <v/>
      </c>
      <c r="QB8" s="170">
        <f>SUMPRODUCT((Settings!$G$14:$G$43=$B8)*COUNTIF('INPUT - Roster'!$QR$6:$QR$206,"*"&amp;Settings!$F$14:$F$43&amp;"*"))</f>
        <v/>
      </c>
      <c r="QC8" s="170">
        <f>SUMPRODUCT((Settings!$G$14:$G$43=$B8)*COUNTIF('INPUT - Roster'!$QS$6:$QS$206,"*"&amp;Settings!$F$14:$F$43&amp;"*"))</f>
        <v/>
      </c>
      <c r="QD8" s="170">
        <f>SUMPRODUCT((Settings!$G$14:$G$43=$B8)*COUNTIF('INPUT - Roster'!$QT$6:$QT$206,"*"&amp;Settings!$F$14:$F$43&amp;"*"))</f>
        <v/>
      </c>
      <c r="QE8" s="170">
        <f>SUMPRODUCT((Settings!$G$14:$G$43=$B8)*COUNTIF('INPUT - Roster'!$QU$6:$QU$206,"*"&amp;Settings!$F$14:$F$43&amp;"*"))</f>
        <v/>
      </c>
      <c r="QF8" s="170">
        <f>SUMPRODUCT((Settings!$G$14:$G$43=$B8)*COUNTIF('INPUT - Roster'!$QV$6:$QV$206,"*"&amp;Settings!$F$14:$F$43&amp;"*"))</f>
        <v/>
      </c>
      <c r="QG8" s="170">
        <f>SUMPRODUCT((Settings!$G$14:$G$43=$B8)*COUNTIF('INPUT - Roster'!$QW$6:$QW$206,"*"&amp;Settings!$F$14:$F$43&amp;"*"))</f>
        <v/>
      </c>
      <c r="QH8" s="170">
        <f>SUMPRODUCT((Settings!$G$14:$G$43=$B8)*COUNTIF('INPUT - Roster'!$QX$6:$QX$206,"*"&amp;Settings!$F$14:$F$43&amp;"*"))</f>
        <v/>
      </c>
      <c r="QI8" s="170">
        <f>SUMPRODUCT((Settings!$G$14:$G$43=$B8)*COUNTIF('INPUT - Roster'!$QY$6:$QY$206,"*"&amp;Settings!$F$14:$F$43&amp;"*"))</f>
        <v/>
      </c>
      <c r="QJ8" s="170">
        <f>SUMPRODUCT((Settings!$G$14:$G$43=$B8)*COUNTIF('INPUT - Roster'!$QZ$6:$QZ$206,"*"&amp;Settings!$F$14:$F$43&amp;"*"))</f>
        <v/>
      </c>
      <c r="QK8" s="170">
        <f>SUMPRODUCT((Settings!$G$14:$G$43=$B8)*COUNTIF('INPUT - Roster'!$RA$6:$RA$206,"*"&amp;Settings!$F$14:$F$43&amp;"*"))</f>
        <v/>
      </c>
      <c r="QL8" s="170">
        <f>SUMPRODUCT((Settings!$G$14:$G$43=$B8)*COUNTIF('INPUT - Roster'!$RB$6:$RB$206,"*"&amp;Settings!$F$14:$F$43&amp;"*"))</f>
        <v/>
      </c>
      <c r="QM8" s="170">
        <f>SUMPRODUCT((Settings!$G$14:$G$43=$B8)*COUNTIF('INPUT - Roster'!$RC$6:$RC$206,"*"&amp;Settings!$F$14:$F$43&amp;"*"))</f>
        <v/>
      </c>
      <c r="QN8" s="170">
        <f>SUMPRODUCT((Settings!$G$14:$G$43=$B8)*COUNTIF('INPUT - Roster'!$RD$6:$RD$206,"*"&amp;Settings!$F$14:$F$43&amp;"*"))</f>
        <v/>
      </c>
      <c r="QO8" s="170">
        <f>SUMPRODUCT((Settings!$G$14:$G$43=$B8)*COUNTIF('INPUT - Roster'!$RE$6:$RE$206,"*"&amp;Settings!$F$14:$F$43&amp;"*"))</f>
        <v/>
      </c>
      <c r="QP8" s="170">
        <f>SUMPRODUCT((Settings!$G$14:$G$43=$B8)*COUNTIF('INPUT - Roster'!$RF$6:$RF$206,"*"&amp;Settings!$F$14:$F$43&amp;"*"))</f>
        <v/>
      </c>
      <c r="QQ8" s="170">
        <f>SUMPRODUCT((Settings!$G$14:$G$43=$B8)*COUNTIF('INPUT - Roster'!$RG$6:$RG$206,"*"&amp;Settings!$F$14:$F$43&amp;"*"))</f>
        <v/>
      </c>
      <c r="QR8" s="170">
        <f>SUMPRODUCT((Settings!$G$14:$G$43=$B8)*COUNTIF('INPUT - Roster'!$RH$6:$RH$206,"*"&amp;Settings!$F$14:$F$43&amp;"*"))</f>
        <v/>
      </c>
      <c r="QS8" s="170">
        <f>SUMPRODUCT((Settings!$G$14:$G$43=$B8)*COUNTIF('INPUT - Roster'!$RI$6:$RI$206,"*"&amp;Settings!$F$14:$F$43&amp;"*"))</f>
        <v/>
      </c>
      <c r="QT8" s="170">
        <f>SUMPRODUCT((Settings!$G$14:$G$43=$B8)*COUNTIF('INPUT - Roster'!$RJ$6:$RJ$206,"*"&amp;Settings!$F$14:$F$43&amp;"*"))</f>
        <v/>
      </c>
      <c r="QU8" s="170">
        <f>SUMPRODUCT((Settings!$G$14:$G$43=$B8)*COUNTIF('INPUT - Roster'!$RK$6:$RK$206,"*"&amp;Settings!$F$14:$F$43&amp;"*"))</f>
        <v/>
      </c>
      <c r="QV8" s="170">
        <f>SUMPRODUCT((Settings!$G$14:$G$43=$B8)*COUNTIF('INPUT - Roster'!$RL$6:$RL$206,"*"&amp;Settings!$F$14:$F$43&amp;"*"))</f>
        <v/>
      </c>
      <c r="QW8" s="170">
        <f>SUMPRODUCT((Settings!$G$14:$G$43=$B8)*COUNTIF('INPUT - Roster'!$RM$6:$RM$206,"*"&amp;Settings!$F$14:$F$43&amp;"*"))</f>
        <v/>
      </c>
      <c r="QX8" s="170">
        <f>SUMPRODUCT((Settings!$G$14:$G$43=$B8)*COUNTIF('INPUT - Roster'!$RN$6:$RN$206,"*"&amp;Settings!$F$14:$F$43&amp;"*"))</f>
        <v/>
      </c>
      <c r="QY8" s="170">
        <f>SUMPRODUCT((Settings!$G$14:$G$43=$B8)*COUNTIF('INPUT - Roster'!$RO$6:$RO$206,"*"&amp;Settings!$F$14:$F$43&amp;"*"))</f>
        <v/>
      </c>
      <c r="QZ8" s="170">
        <f>SUMPRODUCT((Settings!$G$14:$G$43=$B8)*COUNTIF('INPUT - Roster'!$RP$6:$RP$206,"*"&amp;Settings!$F$14:$F$43&amp;"*"))</f>
        <v/>
      </c>
      <c r="RA8" s="170">
        <f>SUMPRODUCT((Settings!$G$14:$G$43=$B8)*COUNTIF('INPUT - Roster'!$RQ$6:$RQ$206,"*"&amp;Settings!$F$14:$F$43&amp;"*"))</f>
        <v/>
      </c>
      <c r="RB8" s="170">
        <f>SUMPRODUCT((Settings!$G$14:$G$43=$B8)*COUNTIF('INPUT - Roster'!$RR$6:$RR$206,"*"&amp;Settings!$F$14:$F$43&amp;"*"))</f>
        <v/>
      </c>
      <c r="RC8" s="170">
        <f>SUMPRODUCT((Settings!$G$14:$G$43=$B8)*COUNTIF('INPUT - Roster'!$RS$6:$RS$206,"*"&amp;Settings!$F$14:$F$43&amp;"*"))</f>
        <v/>
      </c>
      <c r="RD8" s="170">
        <f>SUMPRODUCT((Settings!$G$14:$G$43=$B8)*COUNTIF('INPUT - Roster'!$RT$6:$RT$206,"*"&amp;Settings!$F$14:$F$43&amp;"*"))</f>
        <v/>
      </c>
      <c r="RE8" s="170">
        <f>SUMPRODUCT((Settings!$G$14:$G$43=$B8)*COUNTIF('INPUT - Roster'!$RU$6:$RU$206,"*"&amp;Settings!$F$14:$F$43&amp;"*"))</f>
        <v/>
      </c>
      <c r="RF8" s="170">
        <f>SUMPRODUCT((Settings!$G$14:$G$43=$B8)*COUNTIF('INPUT - Roster'!$RV$6:$RV$206,"*"&amp;Settings!$F$14:$F$43&amp;"*"))</f>
        <v/>
      </c>
      <c r="RG8" s="170">
        <f>SUMPRODUCT((Settings!$G$14:$G$43=$B8)*COUNTIF('INPUT - Roster'!$RW$6:$RW$206,"*"&amp;Settings!$F$14:$F$43&amp;"*"))</f>
        <v/>
      </c>
      <c r="RH8" s="170">
        <f>SUMPRODUCT((Settings!$G$14:$G$43=$B8)*COUNTIF('INPUT - Roster'!$RX$6:$RX$206,"*"&amp;Settings!$F$14:$F$43&amp;"*"))</f>
        <v/>
      </c>
      <c r="RI8" s="170">
        <f>SUMPRODUCT((Settings!$G$14:$G$43=$B8)*COUNTIF('INPUT - Roster'!$RY$6:$RY$206,"*"&amp;Settings!$F$14:$F$43&amp;"*"))</f>
        <v/>
      </c>
      <c r="RJ8" s="170">
        <f>SUMPRODUCT((Settings!$G$14:$G$43=$B8)*COUNTIF('INPUT - Roster'!$RZ$6:$RZ$206,"*"&amp;Settings!$F$14:$F$43&amp;"*"))</f>
        <v/>
      </c>
      <c r="RK8" s="170">
        <f>SUMPRODUCT((Settings!$G$14:$G$43=$B8)*COUNTIF('INPUT - Roster'!$SA$6:$SA$206,"*"&amp;Settings!$F$14:$F$43&amp;"*"))</f>
        <v/>
      </c>
      <c r="RL8" s="170">
        <f>SUMPRODUCT((Settings!$G$14:$G$43=$B8)*COUNTIF('INPUT - Roster'!$SB$6:$SB$206,"*"&amp;Settings!$F$14:$F$43&amp;"*"))</f>
        <v/>
      </c>
      <c r="RM8" s="170">
        <f>SUMPRODUCT((Settings!$G$14:$G$43=$B8)*COUNTIF('INPUT - Roster'!$SC$6:$SC$206,"*"&amp;Settings!$F$14:$F$43&amp;"*"))</f>
        <v/>
      </c>
      <c r="RN8" s="170">
        <f>SUMPRODUCT((Settings!$G$14:$G$43=$B8)*COUNTIF('INPUT - Roster'!$SD$6:$SD$206,"*"&amp;Settings!$F$14:$F$43&amp;"*"))</f>
        <v/>
      </c>
      <c r="RO8" s="170">
        <f>SUMPRODUCT((Settings!$G$14:$G$43=$B8)*COUNTIF('INPUT - Roster'!$SE$6:$SE$206,"*"&amp;Settings!$F$14:$F$43&amp;"*"))</f>
        <v/>
      </c>
      <c r="RP8" s="170">
        <f>SUMPRODUCT((Settings!$G$14:$G$43=$B8)*COUNTIF('INPUT - Roster'!$SF$6:$SF$206,"*"&amp;Settings!$F$14:$F$43&amp;"*"))</f>
        <v/>
      </c>
      <c r="RQ8" s="170">
        <f>SUMPRODUCT((Settings!$G$14:$G$43=$B8)*COUNTIF('INPUT - Roster'!$SG$6:$SG$206,"*"&amp;Settings!$F$14:$F$43&amp;"*"))</f>
        <v/>
      </c>
      <c r="RR8" s="170">
        <f>SUMPRODUCT((Settings!$G$14:$G$43=$B8)*COUNTIF('INPUT - Roster'!$SH$6:$SH$206,"*"&amp;Settings!$F$14:$F$43&amp;"*"))</f>
        <v/>
      </c>
      <c r="RS8" s="170">
        <f>SUMPRODUCT((Settings!$G$14:$G$43=$B8)*COUNTIF('INPUT - Roster'!$SI$6:$SI$206,"*"&amp;Settings!$F$14:$F$43&amp;"*"))</f>
        <v/>
      </c>
      <c r="RT8" s="170">
        <f>SUMPRODUCT((Settings!$G$14:$G$43=$B8)*COUNTIF('INPUT - Roster'!$SJ$6:$SJ$206,"*"&amp;Settings!$F$14:$F$43&amp;"*"))</f>
        <v/>
      </c>
      <c r="RU8" s="170">
        <f>SUMPRODUCT((Settings!$G$14:$G$43=$B8)*COUNTIF('INPUT - Roster'!$SK$6:$SK$206,"*"&amp;Settings!$F$14:$F$43&amp;"*"))</f>
        <v/>
      </c>
      <c r="RV8" s="170">
        <f>SUMPRODUCT((Settings!$G$14:$G$43=$B8)*COUNTIF('INPUT - Roster'!$SL$6:$SL$206,"*"&amp;Settings!$F$14:$F$43&amp;"*"))</f>
        <v/>
      </c>
      <c r="RW8" s="170">
        <f>SUMPRODUCT((Settings!$G$14:$G$43=$B8)*COUNTIF('INPUT - Roster'!$SM$6:$SM$206,"*"&amp;Settings!$F$14:$F$43&amp;"*"))</f>
        <v/>
      </c>
      <c r="RX8" s="170">
        <f>SUMPRODUCT((Settings!$G$14:$G$43=$B8)*COUNTIF('INPUT - Roster'!$SN$6:$SN$206,"*"&amp;Settings!$F$14:$F$43&amp;"*"))</f>
        <v/>
      </c>
      <c r="RY8" s="170">
        <f>SUMPRODUCT((Settings!$G$14:$G$43=$B8)*COUNTIF('INPUT - Roster'!$SO$6:$SO$206,"*"&amp;Settings!$F$14:$F$43&amp;"*"))</f>
        <v/>
      </c>
      <c r="RZ8" s="170">
        <f>SUMPRODUCT((Settings!$G$14:$G$43=$B8)*COUNTIF('INPUT - Roster'!$SP$6:$SP$206,"*"&amp;Settings!$F$14:$F$43&amp;"*"))</f>
        <v/>
      </c>
      <c r="SA8" s="170">
        <f>SUMPRODUCT((Settings!$G$14:$G$43=$B8)*COUNTIF('INPUT - Roster'!$SQ$6:$SQ$206,"*"&amp;Settings!$F$14:$F$43&amp;"*"))</f>
        <v/>
      </c>
      <c r="SB8" s="170">
        <f>SUMPRODUCT((Settings!$G$14:$G$43=$B8)*COUNTIF('INPUT - Roster'!$SR$6:$SR$206,"*"&amp;Settings!$F$14:$F$43&amp;"*"))</f>
        <v/>
      </c>
      <c r="SC8" s="170">
        <f>SUMPRODUCT((Settings!$G$14:$G$43=$B8)*COUNTIF('INPUT - Roster'!$SS$6:$SS$206,"*"&amp;Settings!$F$14:$F$43&amp;"*"))</f>
        <v/>
      </c>
      <c r="SD8" s="170">
        <f>SUMPRODUCT((Settings!$G$14:$G$43=$B8)*COUNTIF('INPUT - Roster'!$ST$6:$ST$206,"*"&amp;Settings!$F$14:$F$43&amp;"*"))</f>
        <v/>
      </c>
      <c r="SE8" s="170">
        <f>SUMPRODUCT((Settings!$G$14:$G$43=$B8)*COUNTIF('INPUT - Roster'!$SU$6:$SU$206,"*"&amp;Settings!$F$14:$F$43&amp;"*"))</f>
        <v/>
      </c>
      <c r="SF8" s="170">
        <f>SUMPRODUCT((Settings!$G$14:$G$43=$B8)*COUNTIF('INPUT - Roster'!$SV$6:$SV$206,"*"&amp;Settings!$F$14:$F$43&amp;"*"))</f>
        <v/>
      </c>
    </row>
    <row r="9">
      <c r="B9" s="169" t="inlineStr">
        <is>
          <t>Gateway</t>
        </is>
      </c>
      <c r="C9" s="170">
        <f>SUMPRODUCT((Settings!$G$14:$G$43=$B9)*COUNTIF('INPUT - Roster'!$S$6:$S$206,"*"&amp;Settings!$F$14:$F$43&amp;"*"))</f>
        <v/>
      </c>
      <c r="D9" s="170">
        <f>SUMPRODUCT((Settings!$G$14:$G$43=$B9)*COUNTIF('INPUT - Roster'!$T$6:$T$206,"*"&amp;Settings!$F$14:$F$43&amp;"*"))</f>
        <v/>
      </c>
      <c r="E9" s="170">
        <f>SUMPRODUCT((Settings!$G$14:$G$43=$B9)*COUNTIF('INPUT - Roster'!$U$6:$U$206,"*"&amp;Settings!$F$14:$F$43&amp;"*"))</f>
        <v/>
      </c>
      <c r="F9" s="170">
        <f>SUMPRODUCT((Settings!$G$14:$G$43=$B9)*COUNTIF('INPUT - Roster'!$V$6:$V$206,"*"&amp;Settings!$F$14:$F$43&amp;"*"))</f>
        <v/>
      </c>
      <c r="G9" s="170">
        <f>SUMPRODUCT((Settings!$G$14:$G$43=$B9)*COUNTIF('INPUT - Roster'!$W$6:$W$206,"*"&amp;Settings!$F$14:$F$43&amp;"*"))</f>
        <v/>
      </c>
      <c r="H9" s="170">
        <f>SUMPRODUCT((Settings!$G$14:$G$43=$B9)*COUNTIF('INPUT - Roster'!$X$6:$X$206,"*"&amp;Settings!$F$14:$F$43&amp;"*"))</f>
        <v/>
      </c>
      <c r="I9" s="170">
        <f>SUMPRODUCT((Settings!$G$14:$G$43=$B9)*COUNTIF('INPUT - Roster'!$Y$6:$Y$206,"*"&amp;Settings!$F$14:$F$43&amp;"*"))</f>
        <v/>
      </c>
      <c r="J9" s="170">
        <f>SUMPRODUCT((Settings!$G$14:$G$43=$B9)*COUNTIF('INPUT - Roster'!$Z$6:$Z$206,"*"&amp;Settings!$F$14:$F$43&amp;"*"))</f>
        <v/>
      </c>
      <c r="K9" s="170">
        <f>SUMPRODUCT((Settings!$G$14:$G$43=$B9)*COUNTIF('INPUT - Roster'!$AA$6:$AA$206,"*"&amp;Settings!$F$14:$F$43&amp;"*"))</f>
        <v/>
      </c>
      <c r="L9" s="170">
        <f>SUMPRODUCT((Settings!$G$14:$G$43=$B9)*COUNTIF('INPUT - Roster'!$AB$6:$AB$206,"*"&amp;Settings!$F$14:$F$43&amp;"*"))</f>
        <v/>
      </c>
      <c r="M9" s="170">
        <f>SUMPRODUCT((Settings!$G$14:$G$43=$B9)*COUNTIF('INPUT - Roster'!$AC$6:$AC$206,"*"&amp;Settings!$F$14:$F$43&amp;"*"))</f>
        <v/>
      </c>
      <c r="N9" s="170">
        <f>SUMPRODUCT((Settings!$G$14:$G$43=$B9)*COUNTIF('INPUT - Roster'!$AD$6:$AD$206,"*"&amp;Settings!$F$14:$F$43&amp;"*"))</f>
        <v/>
      </c>
      <c r="O9" s="170">
        <f>SUMPRODUCT((Settings!$G$14:$G$43=$B9)*COUNTIF('INPUT - Roster'!$AE$6:$AE$206,"*"&amp;Settings!$F$14:$F$43&amp;"*"))</f>
        <v/>
      </c>
      <c r="P9" s="170">
        <f>SUMPRODUCT((Settings!$G$14:$G$43=$B9)*COUNTIF('INPUT - Roster'!$AF$6:$AF$206,"*"&amp;Settings!$F$14:$F$43&amp;"*"))</f>
        <v/>
      </c>
      <c r="Q9" s="170">
        <f>SUMPRODUCT((Settings!$G$14:$G$43=$B9)*COUNTIF('INPUT - Roster'!$AG$6:$AG$206,"*"&amp;Settings!$F$14:$F$43&amp;"*"))</f>
        <v/>
      </c>
      <c r="R9" s="170">
        <f>SUMPRODUCT((Settings!$G$14:$G$43=$B9)*COUNTIF('INPUT - Roster'!$AH$6:$AH$206,"*"&amp;Settings!$F$14:$F$43&amp;"*"))</f>
        <v/>
      </c>
      <c r="S9" s="170">
        <f>SUMPRODUCT((Settings!$G$14:$G$43=$B9)*COUNTIF('INPUT - Roster'!$AI$6:$AI$206,"*"&amp;Settings!$F$14:$F$43&amp;"*"))</f>
        <v/>
      </c>
      <c r="T9" s="170">
        <f>SUMPRODUCT((Settings!$G$14:$G$43=$B9)*COUNTIF('INPUT - Roster'!$AJ$6:$AJ$206,"*"&amp;Settings!$F$14:$F$43&amp;"*"))</f>
        <v/>
      </c>
      <c r="U9" s="170">
        <f>SUMPRODUCT((Settings!$G$14:$G$43=$B9)*COUNTIF('INPUT - Roster'!$AK$6:$AK$206,"*"&amp;Settings!$F$14:$F$43&amp;"*"))</f>
        <v/>
      </c>
      <c r="V9" s="170">
        <f>SUMPRODUCT((Settings!$G$14:$G$43=$B9)*COUNTIF('INPUT - Roster'!$AL$6:$AL$206,"*"&amp;Settings!$F$14:$F$43&amp;"*"))</f>
        <v/>
      </c>
      <c r="W9" s="170">
        <f>SUMPRODUCT((Settings!$G$14:$G$43=$B9)*COUNTIF('INPUT - Roster'!$AM$6:$AM$206,"*"&amp;Settings!$F$14:$F$43&amp;"*"))</f>
        <v/>
      </c>
      <c r="X9" s="170">
        <f>SUMPRODUCT((Settings!$G$14:$G$43=$B9)*COUNTIF('INPUT - Roster'!$AN$6:$AN$206,"*"&amp;Settings!$F$14:$F$43&amp;"*"))</f>
        <v/>
      </c>
      <c r="Y9" s="170">
        <f>SUMPRODUCT((Settings!$G$14:$G$43=$B9)*COUNTIF('INPUT - Roster'!$AO$6:$AO$206,"*"&amp;Settings!$F$14:$F$43&amp;"*"))</f>
        <v/>
      </c>
      <c r="Z9" s="170">
        <f>SUMPRODUCT((Settings!$G$14:$G$43=$B9)*COUNTIF('INPUT - Roster'!$AP$6:$AP$206,"*"&amp;Settings!$F$14:$F$43&amp;"*"))</f>
        <v/>
      </c>
      <c r="AA9" s="170">
        <f>SUMPRODUCT((Settings!$G$14:$G$43=$B9)*COUNTIF('INPUT - Roster'!$AQ$6:$AQ$206,"*"&amp;Settings!$F$14:$F$43&amp;"*"))</f>
        <v/>
      </c>
      <c r="AB9" s="170">
        <f>SUMPRODUCT((Settings!$G$14:$G$43=$B9)*COUNTIF('INPUT - Roster'!$AR$6:$AR$206,"*"&amp;Settings!$F$14:$F$43&amp;"*"))</f>
        <v/>
      </c>
      <c r="AC9" s="170">
        <f>SUMPRODUCT((Settings!$G$14:$G$43=$B9)*COUNTIF('INPUT - Roster'!$AS$6:$AS$206,"*"&amp;Settings!$F$14:$F$43&amp;"*"))</f>
        <v/>
      </c>
      <c r="AD9" s="170">
        <f>SUMPRODUCT((Settings!$G$14:$G$43=$B9)*COUNTIF('INPUT - Roster'!$AT$6:$AT$206,"*"&amp;Settings!$F$14:$F$43&amp;"*"))</f>
        <v/>
      </c>
      <c r="AE9" s="170">
        <f>SUMPRODUCT((Settings!$G$14:$G$43=$B9)*COUNTIF('INPUT - Roster'!$AU$6:$AU$206,"*"&amp;Settings!$F$14:$F$43&amp;"*"))</f>
        <v/>
      </c>
      <c r="AF9" s="170">
        <f>SUMPRODUCT((Settings!$G$14:$G$43=$B9)*COUNTIF('INPUT - Roster'!$AV$6:$AV$206,"*"&amp;Settings!$F$14:$F$43&amp;"*"))</f>
        <v/>
      </c>
      <c r="AG9" s="170">
        <f>SUMPRODUCT((Settings!$G$14:$G$43=$B9)*COUNTIF('INPUT - Roster'!$AW$6:$AW$206,"*"&amp;Settings!$F$14:$F$43&amp;"*"))</f>
        <v/>
      </c>
      <c r="AH9" s="170">
        <f>SUMPRODUCT((Settings!$G$14:$G$43=$B9)*COUNTIF('INPUT - Roster'!$AX$6:$AX$206,"*"&amp;Settings!$F$14:$F$43&amp;"*"))</f>
        <v/>
      </c>
      <c r="AI9" s="170">
        <f>SUMPRODUCT((Settings!$G$14:$G$43=$B9)*COUNTIF('INPUT - Roster'!$AY$6:$AY$206,"*"&amp;Settings!$F$14:$F$43&amp;"*"))</f>
        <v/>
      </c>
      <c r="AJ9" s="170">
        <f>SUMPRODUCT((Settings!$G$14:$G$43=$B9)*COUNTIF('INPUT - Roster'!$AZ$6:$AZ$206,"*"&amp;Settings!$F$14:$F$43&amp;"*"))</f>
        <v/>
      </c>
      <c r="AK9" s="170">
        <f>SUMPRODUCT((Settings!$G$14:$G$43=$B9)*COUNTIF('INPUT - Roster'!$BA$6:$BA$206,"*"&amp;Settings!$F$14:$F$43&amp;"*"))</f>
        <v/>
      </c>
      <c r="AL9" s="170">
        <f>SUMPRODUCT((Settings!$G$14:$G$43=$B9)*COUNTIF('INPUT - Roster'!$BB$6:$BB$206,"*"&amp;Settings!$F$14:$F$43&amp;"*"))</f>
        <v/>
      </c>
      <c r="AM9" s="170">
        <f>SUMPRODUCT((Settings!$G$14:$G$43=$B9)*COUNTIF('INPUT - Roster'!$BC$6:$BC$206,"*"&amp;Settings!$F$14:$F$43&amp;"*"))</f>
        <v/>
      </c>
      <c r="AN9" s="170">
        <f>SUMPRODUCT((Settings!$G$14:$G$43=$B9)*COUNTIF('INPUT - Roster'!$BD$6:$BD$206,"*"&amp;Settings!$F$14:$F$43&amp;"*"))</f>
        <v/>
      </c>
      <c r="AO9" s="170">
        <f>SUMPRODUCT((Settings!$G$14:$G$43=$B9)*COUNTIF('INPUT - Roster'!$BE$6:$BE$206,"*"&amp;Settings!$F$14:$F$43&amp;"*"))</f>
        <v/>
      </c>
      <c r="AP9" s="170">
        <f>SUMPRODUCT((Settings!$G$14:$G$43=$B9)*COUNTIF('INPUT - Roster'!$BF$6:$BF$206,"*"&amp;Settings!$F$14:$F$43&amp;"*"))</f>
        <v/>
      </c>
      <c r="AQ9" s="170">
        <f>SUMPRODUCT((Settings!$G$14:$G$43=$B9)*COUNTIF('INPUT - Roster'!$BG$6:$BG$206,"*"&amp;Settings!$F$14:$F$43&amp;"*"))</f>
        <v/>
      </c>
      <c r="AR9" s="170">
        <f>SUMPRODUCT((Settings!$G$14:$G$43=$B9)*COUNTIF('INPUT - Roster'!$BH$6:$BH$206,"*"&amp;Settings!$F$14:$F$43&amp;"*"))</f>
        <v/>
      </c>
      <c r="AS9" s="170">
        <f>SUMPRODUCT((Settings!$G$14:$G$43=$B9)*COUNTIF('INPUT - Roster'!$BI$6:$BI$206,"*"&amp;Settings!$F$14:$F$43&amp;"*"))</f>
        <v/>
      </c>
      <c r="AT9" s="170">
        <f>SUMPRODUCT((Settings!$G$14:$G$43=$B9)*COUNTIF('INPUT - Roster'!$BJ$6:$BJ$206,"*"&amp;Settings!$F$14:$F$43&amp;"*"))</f>
        <v/>
      </c>
      <c r="AU9" s="170">
        <f>SUMPRODUCT((Settings!$G$14:$G$43=$B9)*COUNTIF('INPUT - Roster'!$BK$6:$BK$206,"*"&amp;Settings!$F$14:$F$43&amp;"*"))</f>
        <v/>
      </c>
      <c r="AV9" s="170">
        <f>SUMPRODUCT((Settings!$G$14:$G$43=$B9)*COUNTIF('INPUT - Roster'!$BL$6:$BL$206,"*"&amp;Settings!$F$14:$F$43&amp;"*"))</f>
        <v/>
      </c>
      <c r="AW9" s="170">
        <f>SUMPRODUCT((Settings!$G$14:$G$43=$B9)*COUNTIF('INPUT - Roster'!$BM$6:$BM$206,"*"&amp;Settings!$F$14:$F$43&amp;"*"))</f>
        <v/>
      </c>
      <c r="AX9" s="170">
        <f>SUMPRODUCT((Settings!$G$14:$G$43=$B9)*COUNTIF('INPUT - Roster'!$BN$6:$BN$206,"*"&amp;Settings!$F$14:$F$43&amp;"*"))</f>
        <v/>
      </c>
      <c r="AY9" s="170">
        <f>SUMPRODUCT((Settings!$G$14:$G$43=$B9)*COUNTIF('INPUT - Roster'!$BO$6:$BO$206,"*"&amp;Settings!$F$14:$F$43&amp;"*"))</f>
        <v/>
      </c>
      <c r="AZ9" s="170">
        <f>SUMPRODUCT((Settings!$G$14:$G$43=$B9)*COUNTIF('INPUT - Roster'!$BP$6:$BP$206,"*"&amp;Settings!$F$14:$F$43&amp;"*"))</f>
        <v/>
      </c>
      <c r="BA9" s="170">
        <f>SUMPRODUCT((Settings!$G$14:$G$43=$B9)*COUNTIF('INPUT - Roster'!$BQ$6:$BQ$206,"*"&amp;Settings!$F$14:$F$43&amp;"*"))</f>
        <v/>
      </c>
      <c r="BB9" s="170">
        <f>SUMPRODUCT((Settings!$G$14:$G$43=$B9)*COUNTIF('INPUT - Roster'!$BR$6:$BR$206,"*"&amp;Settings!$F$14:$F$43&amp;"*"))</f>
        <v/>
      </c>
      <c r="BC9" s="170">
        <f>SUMPRODUCT((Settings!$G$14:$G$43=$B9)*COUNTIF('INPUT - Roster'!$BS$6:$BS$206,"*"&amp;Settings!$F$14:$F$43&amp;"*"))</f>
        <v/>
      </c>
      <c r="BD9" s="170">
        <f>SUMPRODUCT((Settings!$G$14:$G$43=$B9)*COUNTIF('INPUT - Roster'!$BT$6:$BT$206,"*"&amp;Settings!$F$14:$F$43&amp;"*"))</f>
        <v/>
      </c>
      <c r="BE9" s="170">
        <f>SUMPRODUCT((Settings!$G$14:$G$43=$B9)*COUNTIF('INPUT - Roster'!$BU$6:$BU$206,"*"&amp;Settings!$F$14:$F$43&amp;"*"))</f>
        <v/>
      </c>
      <c r="BF9" s="170">
        <f>SUMPRODUCT((Settings!$G$14:$G$43=$B9)*COUNTIF('INPUT - Roster'!$BV$6:$BV$206,"*"&amp;Settings!$F$14:$F$43&amp;"*"))</f>
        <v/>
      </c>
      <c r="BG9" s="170">
        <f>SUMPRODUCT((Settings!$G$14:$G$43=$B9)*COUNTIF('INPUT - Roster'!$BW$6:$BW$206,"*"&amp;Settings!$F$14:$F$43&amp;"*"))</f>
        <v/>
      </c>
      <c r="BH9" s="170">
        <f>SUMPRODUCT((Settings!$G$14:$G$43=$B9)*COUNTIF('INPUT - Roster'!$BX$6:$BX$206,"*"&amp;Settings!$F$14:$F$43&amp;"*"))</f>
        <v/>
      </c>
      <c r="BI9" s="170">
        <f>SUMPRODUCT((Settings!$G$14:$G$43=$B9)*COUNTIF('INPUT - Roster'!$BY$6:$BY$206,"*"&amp;Settings!$F$14:$F$43&amp;"*"))</f>
        <v/>
      </c>
      <c r="BJ9" s="170">
        <f>SUMPRODUCT((Settings!$G$14:$G$43=$B9)*COUNTIF('INPUT - Roster'!$BZ$6:$BZ$206,"*"&amp;Settings!$F$14:$F$43&amp;"*"))</f>
        <v/>
      </c>
      <c r="BK9" s="170">
        <f>SUMPRODUCT((Settings!$G$14:$G$43=$B9)*COUNTIF('INPUT - Roster'!$CA$6:$CA$206,"*"&amp;Settings!$F$14:$F$43&amp;"*"))</f>
        <v/>
      </c>
      <c r="BL9" s="170">
        <f>SUMPRODUCT((Settings!$G$14:$G$43=$B9)*COUNTIF('INPUT - Roster'!$CB$6:$CB$206,"*"&amp;Settings!$F$14:$F$43&amp;"*"))</f>
        <v/>
      </c>
      <c r="BM9" s="170">
        <f>SUMPRODUCT((Settings!$G$14:$G$43=$B9)*COUNTIF('INPUT - Roster'!$CC$6:$CC$206,"*"&amp;Settings!$F$14:$F$43&amp;"*"))</f>
        <v/>
      </c>
      <c r="BN9" s="170">
        <f>SUMPRODUCT((Settings!$G$14:$G$43=$B9)*COUNTIF('INPUT - Roster'!$CD$6:$CD$206,"*"&amp;Settings!$F$14:$F$43&amp;"*"))</f>
        <v/>
      </c>
      <c r="BO9" s="170">
        <f>SUMPRODUCT((Settings!$G$14:$G$43=$B9)*COUNTIF('INPUT - Roster'!$CE$6:$CE$206,"*"&amp;Settings!$F$14:$F$43&amp;"*"))</f>
        <v/>
      </c>
      <c r="BP9" s="170">
        <f>SUMPRODUCT((Settings!$G$14:$G$43=$B9)*COUNTIF('INPUT - Roster'!$CF$6:$CF$206,"*"&amp;Settings!$F$14:$F$43&amp;"*"))</f>
        <v/>
      </c>
      <c r="BQ9" s="170">
        <f>SUMPRODUCT((Settings!$G$14:$G$43=$B9)*COUNTIF('INPUT - Roster'!$CG$6:$CG$206,"*"&amp;Settings!$F$14:$F$43&amp;"*"))</f>
        <v/>
      </c>
      <c r="BR9" s="170">
        <f>SUMPRODUCT((Settings!$G$14:$G$43=$B9)*COUNTIF('INPUT - Roster'!$CH$6:$CH$206,"*"&amp;Settings!$F$14:$F$43&amp;"*"))</f>
        <v/>
      </c>
      <c r="BS9" s="170">
        <f>SUMPRODUCT((Settings!$G$14:$G$43=$B9)*COUNTIF('INPUT - Roster'!$CI$6:$CI$206,"*"&amp;Settings!$F$14:$F$43&amp;"*"))</f>
        <v/>
      </c>
      <c r="BT9" s="170">
        <f>SUMPRODUCT((Settings!$G$14:$G$43=$B9)*COUNTIF('INPUT - Roster'!$CJ$6:$CJ$206,"*"&amp;Settings!$F$14:$F$43&amp;"*"))</f>
        <v/>
      </c>
      <c r="BU9" s="170">
        <f>SUMPRODUCT((Settings!$G$14:$G$43=$B9)*COUNTIF('INPUT - Roster'!$CK$6:$CK$206,"*"&amp;Settings!$F$14:$F$43&amp;"*"))</f>
        <v/>
      </c>
      <c r="BV9" s="170">
        <f>SUMPRODUCT((Settings!$G$14:$G$43=$B9)*COUNTIF('INPUT - Roster'!$CL$6:$CL$206,"*"&amp;Settings!$F$14:$F$43&amp;"*"))</f>
        <v/>
      </c>
      <c r="BW9" s="170">
        <f>SUMPRODUCT((Settings!$G$14:$G$43=$B9)*COUNTIF('INPUT - Roster'!$CM$6:$CM$206,"*"&amp;Settings!$F$14:$F$43&amp;"*"))</f>
        <v/>
      </c>
      <c r="BX9" s="170">
        <f>SUMPRODUCT((Settings!$G$14:$G$43=$B9)*COUNTIF('INPUT - Roster'!$CN$6:$CN$206,"*"&amp;Settings!$F$14:$F$43&amp;"*"))</f>
        <v/>
      </c>
      <c r="BY9" s="170">
        <f>SUMPRODUCT((Settings!$G$14:$G$43=$B9)*COUNTIF('INPUT - Roster'!$CO$6:$CO$206,"*"&amp;Settings!$F$14:$F$43&amp;"*"))</f>
        <v/>
      </c>
      <c r="BZ9" s="170">
        <f>SUMPRODUCT((Settings!$G$14:$G$43=$B9)*COUNTIF('INPUT - Roster'!$CP$6:$CP$206,"*"&amp;Settings!$F$14:$F$43&amp;"*"))</f>
        <v/>
      </c>
      <c r="CA9" s="170">
        <f>SUMPRODUCT((Settings!$G$14:$G$43=$B9)*COUNTIF('INPUT - Roster'!$CQ$6:$CQ$206,"*"&amp;Settings!$F$14:$F$43&amp;"*"))</f>
        <v/>
      </c>
      <c r="CB9" s="170">
        <f>SUMPRODUCT((Settings!$G$14:$G$43=$B9)*COUNTIF('INPUT - Roster'!$CR$6:$CR$206,"*"&amp;Settings!$F$14:$F$43&amp;"*"))</f>
        <v/>
      </c>
      <c r="CC9" s="170">
        <f>SUMPRODUCT((Settings!$G$14:$G$43=$B9)*COUNTIF('INPUT - Roster'!$CS$6:$CS$206,"*"&amp;Settings!$F$14:$F$43&amp;"*"))</f>
        <v/>
      </c>
      <c r="CD9" s="170">
        <f>SUMPRODUCT((Settings!$G$14:$G$43=$B9)*COUNTIF('INPUT - Roster'!$CT$6:$CT$206,"*"&amp;Settings!$F$14:$F$43&amp;"*"))</f>
        <v/>
      </c>
      <c r="CE9" s="170">
        <f>SUMPRODUCT((Settings!$G$14:$G$43=$B9)*COUNTIF('INPUT - Roster'!$CU$6:$CU$206,"*"&amp;Settings!$F$14:$F$43&amp;"*"))</f>
        <v/>
      </c>
      <c r="CF9" s="170">
        <f>SUMPRODUCT((Settings!$G$14:$G$43=$B9)*COUNTIF('INPUT - Roster'!$CV$6:$CV$206,"*"&amp;Settings!$F$14:$F$43&amp;"*"))</f>
        <v/>
      </c>
      <c r="CG9" s="170">
        <f>SUMPRODUCT((Settings!$G$14:$G$43=$B9)*COUNTIF('INPUT - Roster'!$CW$6:$CW$206,"*"&amp;Settings!$F$14:$F$43&amp;"*"))</f>
        <v/>
      </c>
      <c r="CH9" s="170">
        <f>SUMPRODUCT((Settings!$G$14:$G$43=$B9)*COUNTIF('INPUT - Roster'!$CX$6:$CX$206,"*"&amp;Settings!$F$14:$F$43&amp;"*"))</f>
        <v/>
      </c>
      <c r="CI9" s="170">
        <f>SUMPRODUCT((Settings!$G$14:$G$43=$B9)*COUNTIF('INPUT - Roster'!$CY$6:$CY$206,"*"&amp;Settings!$F$14:$F$43&amp;"*"))</f>
        <v/>
      </c>
      <c r="CJ9" s="170">
        <f>SUMPRODUCT((Settings!$G$14:$G$43=$B9)*COUNTIF('INPUT - Roster'!$CZ$6:$CZ$206,"*"&amp;Settings!$F$14:$F$43&amp;"*"))</f>
        <v/>
      </c>
      <c r="CK9" s="170">
        <f>SUMPRODUCT((Settings!$G$14:$G$43=$B9)*COUNTIF('INPUT - Roster'!$DA$6:$DA$206,"*"&amp;Settings!$F$14:$F$43&amp;"*"))</f>
        <v/>
      </c>
      <c r="CL9" s="170">
        <f>SUMPRODUCT((Settings!$G$14:$G$43=$B9)*COUNTIF('INPUT - Roster'!$DB$6:$DB$206,"*"&amp;Settings!$F$14:$F$43&amp;"*"))</f>
        <v/>
      </c>
      <c r="CM9" s="170">
        <f>SUMPRODUCT((Settings!$G$14:$G$43=$B9)*COUNTIF('INPUT - Roster'!$DC$6:$DC$206,"*"&amp;Settings!$F$14:$F$43&amp;"*"))</f>
        <v/>
      </c>
      <c r="CN9" s="170">
        <f>SUMPRODUCT((Settings!$G$14:$G$43=$B9)*COUNTIF('INPUT - Roster'!$DD$6:$DD$206,"*"&amp;Settings!$F$14:$F$43&amp;"*"))</f>
        <v/>
      </c>
      <c r="CO9" s="170">
        <f>SUMPRODUCT((Settings!$G$14:$G$43=$B9)*COUNTIF('INPUT - Roster'!$DE$6:$DE$206,"*"&amp;Settings!$F$14:$F$43&amp;"*"))</f>
        <v/>
      </c>
      <c r="CP9" s="170">
        <f>SUMPRODUCT((Settings!$G$14:$G$43=$B9)*COUNTIF('INPUT - Roster'!$DF$6:$DF$206,"*"&amp;Settings!$F$14:$F$43&amp;"*"))</f>
        <v/>
      </c>
      <c r="CQ9" s="170">
        <f>SUMPRODUCT((Settings!$G$14:$G$43=$B9)*COUNTIF('INPUT - Roster'!$DG$6:$DG$206,"*"&amp;Settings!$F$14:$F$43&amp;"*"))</f>
        <v/>
      </c>
      <c r="CR9" s="170">
        <f>SUMPRODUCT((Settings!$G$14:$G$43=$B9)*COUNTIF('INPUT - Roster'!$DH$6:$DH$206,"*"&amp;Settings!$F$14:$F$43&amp;"*"))</f>
        <v/>
      </c>
      <c r="CS9" s="170">
        <f>SUMPRODUCT((Settings!$G$14:$G$43=$B9)*COUNTIF('INPUT - Roster'!$DI$6:$DI$206,"*"&amp;Settings!$F$14:$F$43&amp;"*"))</f>
        <v/>
      </c>
      <c r="CT9" s="170">
        <f>SUMPRODUCT((Settings!$G$14:$G$43=$B9)*COUNTIF('INPUT - Roster'!$DJ$6:$DJ$206,"*"&amp;Settings!$F$14:$F$43&amp;"*"))</f>
        <v/>
      </c>
      <c r="CU9" s="170">
        <f>SUMPRODUCT((Settings!$G$14:$G$43=$B9)*COUNTIF('INPUT - Roster'!$DK$6:$DK$206,"*"&amp;Settings!$F$14:$F$43&amp;"*"))</f>
        <v/>
      </c>
      <c r="CV9" s="170">
        <f>SUMPRODUCT((Settings!$G$14:$G$43=$B9)*COUNTIF('INPUT - Roster'!$DL$6:$DL$206,"*"&amp;Settings!$F$14:$F$43&amp;"*"))</f>
        <v/>
      </c>
      <c r="CW9" s="170">
        <f>SUMPRODUCT((Settings!$G$14:$G$43=$B9)*COUNTIF('INPUT - Roster'!$DM$6:$DM$206,"*"&amp;Settings!$F$14:$F$43&amp;"*"))</f>
        <v/>
      </c>
      <c r="CX9" s="170">
        <f>SUMPRODUCT((Settings!$G$14:$G$43=$B9)*COUNTIF('INPUT - Roster'!$DN$6:$DN$206,"*"&amp;Settings!$F$14:$F$43&amp;"*"))</f>
        <v/>
      </c>
      <c r="CY9" s="170">
        <f>SUMPRODUCT((Settings!$G$14:$G$43=$B9)*COUNTIF('INPUT - Roster'!$DO$6:$DO$206,"*"&amp;Settings!$F$14:$F$43&amp;"*"))</f>
        <v/>
      </c>
      <c r="CZ9" s="170">
        <f>SUMPRODUCT((Settings!$G$14:$G$43=$B9)*COUNTIF('INPUT - Roster'!$DP$6:$DP$206,"*"&amp;Settings!$F$14:$F$43&amp;"*"))</f>
        <v/>
      </c>
      <c r="DA9" s="170">
        <f>SUMPRODUCT((Settings!$G$14:$G$43=$B9)*COUNTIF('INPUT - Roster'!$DQ$6:$DQ$206,"*"&amp;Settings!$F$14:$F$43&amp;"*"))</f>
        <v/>
      </c>
      <c r="DB9" s="170">
        <f>SUMPRODUCT((Settings!$G$14:$G$43=$B9)*COUNTIF('INPUT - Roster'!$DR$6:$DR$206,"*"&amp;Settings!$F$14:$F$43&amp;"*"))</f>
        <v/>
      </c>
      <c r="DC9" s="170">
        <f>SUMPRODUCT((Settings!$G$14:$G$43=$B9)*COUNTIF('INPUT - Roster'!$DS$6:$DS$206,"*"&amp;Settings!$F$14:$F$43&amp;"*"))</f>
        <v/>
      </c>
      <c r="DD9" s="170">
        <f>SUMPRODUCT((Settings!$G$14:$G$43=$B9)*COUNTIF('INPUT - Roster'!$DT$6:$DT$206,"*"&amp;Settings!$F$14:$F$43&amp;"*"))</f>
        <v/>
      </c>
      <c r="DE9" s="170">
        <f>SUMPRODUCT((Settings!$G$14:$G$43=$B9)*COUNTIF('INPUT - Roster'!$DU$6:$DU$206,"*"&amp;Settings!$F$14:$F$43&amp;"*"))</f>
        <v/>
      </c>
      <c r="DF9" s="170">
        <f>SUMPRODUCT((Settings!$G$14:$G$43=$B9)*COUNTIF('INPUT - Roster'!$DV$6:$DV$206,"*"&amp;Settings!$F$14:$F$43&amp;"*"))</f>
        <v/>
      </c>
      <c r="DG9" s="170">
        <f>SUMPRODUCT((Settings!$G$14:$G$43=$B9)*COUNTIF('INPUT - Roster'!$DW$6:$DW$206,"*"&amp;Settings!$F$14:$F$43&amp;"*"))</f>
        <v/>
      </c>
      <c r="DH9" s="170">
        <f>SUMPRODUCT((Settings!$G$14:$G$43=$B9)*COUNTIF('INPUT - Roster'!$DX$6:$DX$206,"*"&amp;Settings!$F$14:$F$43&amp;"*"))</f>
        <v/>
      </c>
      <c r="DI9" s="170">
        <f>SUMPRODUCT((Settings!$G$14:$G$43=$B9)*COUNTIF('INPUT - Roster'!$DY$6:$DY$206,"*"&amp;Settings!$F$14:$F$43&amp;"*"))</f>
        <v/>
      </c>
      <c r="DJ9" s="170">
        <f>SUMPRODUCT((Settings!$G$14:$G$43=$B9)*COUNTIF('INPUT - Roster'!$DZ$6:$DZ$206,"*"&amp;Settings!$F$14:$F$43&amp;"*"))</f>
        <v/>
      </c>
      <c r="DK9" s="170">
        <f>SUMPRODUCT((Settings!$G$14:$G$43=$B9)*COUNTIF('INPUT - Roster'!$EA$6:$EA$206,"*"&amp;Settings!$F$14:$F$43&amp;"*"))</f>
        <v/>
      </c>
      <c r="DL9" s="170">
        <f>SUMPRODUCT((Settings!$G$14:$G$43=$B9)*COUNTIF('INPUT - Roster'!$EB$6:$EB$206,"*"&amp;Settings!$F$14:$F$43&amp;"*"))</f>
        <v/>
      </c>
      <c r="DM9" s="170">
        <f>SUMPRODUCT((Settings!$G$14:$G$43=$B9)*COUNTIF('INPUT - Roster'!$EC$6:$EC$206,"*"&amp;Settings!$F$14:$F$43&amp;"*"))</f>
        <v/>
      </c>
      <c r="DN9" s="170">
        <f>SUMPRODUCT((Settings!$G$14:$G$43=$B9)*COUNTIF('INPUT - Roster'!$ED$6:$ED$206,"*"&amp;Settings!$F$14:$F$43&amp;"*"))</f>
        <v/>
      </c>
      <c r="DO9" s="170">
        <f>SUMPRODUCT((Settings!$G$14:$G$43=$B9)*COUNTIF('INPUT - Roster'!$EE$6:$EE$206,"*"&amp;Settings!$F$14:$F$43&amp;"*"))</f>
        <v/>
      </c>
      <c r="DP9" s="170">
        <f>SUMPRODUCT((Settings!$G$14:$G$43=$B9)*COUNTIF('INPUT - Roster'!$EF$6:$EF$206,"*"&amp;Settings!$F$14:$F$43&amp;"*"))</f>
        <v/>
      </c>
      <c r="DQ9" s="170">
        <f>SUMPRODUCT((Settings!$G$14:$G$43=$B9)*COUNTIF('INPUT - Roster'!$EG$6:$EG$206,"*"&amp;Settings!$F$14:$F$43&amp;"*"))</f>
        <v/>
      </c>
      <c r="DR9" s="170">
        <f>SUMPRODUCT((Settings!$G$14:$G$43=$B9)*COUNTIF('INPUT - Roster'!$EH$6:$EH$206,"*"&amp;Settings!$F$14:$F$43&amp;"*"))</f>
        <v/>
      </c>
      <c r="DS9" s="170">
        <f>SUMPRODUCT((Settings!$G$14:$G$43=$B9)*COUNTIF('INPUT - Roster'!$EI$6:$EI$206,"*"&amp;Settings!$F$14:$F$43&amp;"*"))</f>
        <v/>
      </c>
      <c r="DT9" s="170">
        <f>SUMPRODUCT((Settings!$G$14:$G$43=$B9)*COUNTIF('INPUT - Roster'!$EJ$6:$EJ$206,"*"&amp;Settings!$F$14:$F$43&amp;"*"))</f>
        <v/>
      </c>
      <c r="DU9" s="170">
        <f>SUMPRODUCT((Settings!$G$14:$G$43=$B9)*COUNTIF('INPUT - Roster'!$EK$6:$EK$206,"*"&amp;Settings!$F$14:$F$43&amp;"*"))</f>
        <v/>
      </c>
      <c r="DV9" s="170">
        <f>SUMPRODUCT((Settings!$G$14:$G$43=$B9)*COUNTIF('INPUT - Roster'!$EL$6:$EL$206,"*"&amp;Settings!$F$14:$F$43&amp;"*"))</f>
        <v/>
      </c>
      <c r="DW9" s="170">
        <f>SUMPRODUCT((Settings!$G$14:$G$43=$B9)*COUNTIF('INPUT - Roster'!$EM$6:$EM$206,"*"&amp;Settings!$F$14:$F$43&amp;"*"))</f>
        <v/>
      </c>
      <c r="DX9" s="170">
        <f>SUMPRODUCT((Settings!$G$14:$G$43=$B9)*COUNTIF('INPUT - Roster'!$EN$6:$EN$206,"*"&amp;Settings!$F$14:$F$43&amp;"*"))</f>
        <v/>
      </c>
      <c r="DY9" s="170">
        <f>SUMPRODUCT((Settings!$G$14:$G$43=$B9)*COUNTIF('INPUT - Roster'!$EO$6:$EO$206,"*"&amp;Settings!$F$14:$F$43&amp;"*"))</f>
        <v/>
      </c>
      <c r="DZ9" s="170">
        <f>SUMPRODUCT((Settings!$G$14:$G$43=$B9)*COUNTIF('INPUT - Roster'!$EP$6:$EP$206,"*"&amp;Settings!$F$14:$F$43&amp;"*"))</f>
        <v/>
      </c>
      <c r="EA9" s="170">
        <f>SUMPRODUCT((Settings!$G$14:$G$43=$B9)*COUNTIF('INPUT - Roster'!$EQ$6:$EQ$206,"*"&amp;Settings!$F$14:$F$43&amp;"*"))</f>
        <v/>
      </c>
      <c r="EB9" s="170">
        <f>SUMPRODUCT((Settings!$G$14:$G$43=$B9)*COUNTIF('INPUT - Roster'!$ER$6:$ER$206,"*"&amp;Settings!$F$14:$F$43&amp;"*"))</f>
        <v/>
      </c>
      <c r="EC9" s="170">
        <f>SUMPRODUCT((Settings!$G$14:$G$43=$B9)*COUNTIF('INPUT - Roster'!$ES$6:$ES$206,"*"&amp;Settings!$F$14:$F$43&amp;"*"))</f>
        <v/>
      </c>
      <c r="ED9" s="170">
        <f>SUMPRODUCT((Settings!$G$14:$G$43=$B9)*COUNTIF('INPUT - Roster'!$ET$6:$ET$206,"*"&amp;Settings!$F$14:$F$43&amp;"*"))</f>
        <v/>
      </c>
      <c r="EE9" s="170">
        <f>SUMPRODUCT((Settings!$G$14:$G$43=$B9)*COUNTIF('INPUT - Roster'!$EU$6:$EU$206,"*"&amp;Settings!$F$14:$F$43&amp;"*"))</f>
        <v/>
      </c>
      <c r="EF9" s="170">
        <f>SUMPRODUCT((Settings!$G$14:$G$43=$B9)*COUNTIF('INPUT - Roster'!$EV$6:$EV$206,"*"&amp;Settings!$F$14:$F$43&amp;"*"))</f>
        <v/>
      </c>
      <c r="EG9" s="170">
        <f>SUMPRODUCT((Settings!$G$14:$G$43=$B9)*COUNTIF('INPUT - Roster'!$EW$6:$EW$206,"*"&amp;Settings!$F$14:$F$43&amp;"*"))</f>
        <v/>
      </c>
      <c r="EH9" s="170">
        <f>SUMPRODUCT((Settings!$G$14:$G$43=$B9)*COUNTIF('INPUT - Roster'!$EX$6:$EX$206,"*"&amp;Settings!$F$14:$F$43&amp;"*"))</f>
        <v/>
      </c>
      <c r="EI9" s="170">
        <f>SUMPRODUCT((Settings!$G$14:$G$43=$B9)*COUNTIF('INPUT - Roster'!$EY$6:$EY$206,"*"&amp;Settings!$F$14:$F$43&amp;"*"))</f>
        <v/>
      </c>
      <c r="EJ9" s="170">
        <f>SUMPRODUCT((Settings!$G$14:$G$43=$B9)*COUNTIF('INPUT - Roster'!$EZ$6:$EZ$206,"*"&amp;Settings!$F$14:$F$43&amp;"*"))</f>
        <v/>
      </c>
      <c r="EK9" s="170">
        <f>SUMPRODUCT((Settings!$G$14:$G$43=$B9)*COUNTIF('INPUT - Roster'!$FA$6:$FA$206,"*"&amp;Settings!$F$14:$F$43&amp;"*"))</f>
        <v/>
      </c>
      <c r="EL9" s="170">
        <f>SUMPRODUCT((Settings!$G$14:$G$43=$B9)*COUNTIF('INPUT - Roster'!$FB$6:$FB$206,"*"&amp;Settings!$F$14:$F$43&amp;"*"))</f>
        <v/>
      </c>
      <c r="EM9" s="170">
        <f>SUMPRODUCT((Settings!$G$14:$G$43=$B9)*COUNTIF('INPUT - Roster'!$FC$6:$FC$206,"*"&amp;Settings!$F$14:$F$43&amp;"*"))</f>
        <v/>
      </c>
      <c r="EN9" s="170">
        <f>SUMPRODUCT((Settings!$G$14:$G$43=$B9)*COUNTIF('INPUT - Roster'!$FD$6:$FD$206,"*"&amp;Settings!$F$14:$F$43&amp;"*"))</f>
        <v/>
      </c>
      <c r="EO9" s="170">
        <f>SUMPRODUCT((Settings!$G$14:$G$43=$B9)*COUNTIF('INPUT - Roster'!$FE$6:$FE$206,"*"&amp;Settings!$F$14:$F$43&amp;"*"))</f>
        <v/>
      </c>
      <c r="EP9" s="170">
        <f>SUMPRODUCT((Settings!$G$14:$G$43=$B9)*COUNTIF('INPUT - Roster'!$FF$6:$FF$206,"*"&amp;Settings!$F$14:$F$43&amp;"*"))</f>
        <v/>
      </c>
      <c r="EQ9" s="170">
        <f>SUMPRODUCT((Settings!$G$14:$G$43=$B9)*COUNTIF('INPUT - Roster'!$FG$6:$FG$206,"*"&amp;Settings!$F$14:$F$43&amp;"*"))</f>
        <v/>
      </c>
      <c r="ER9" s="170">
        <f>SUMPRODUCT((Settings!$G$14:$G$43=$B9)*COUNTIF('INPUT - Roster'!$FH$6:$FH$206,"*"&amp;Settings!$F$14:$F$43&amp;"*"))</f>
        <v/>
      </c>
      <c r="ES9" s="170">
        <f>SUMPRODUCT((Settings!$G$14:$G$43=$B9)*COUNTIF('INPUT - Roster'!$FI$6:$FI$206,"*"&amp;Settings!$F$14:$F$43&amp;"*"))</f>
        <v/>
      </c>
      <c r="ET9" s="170">
        <f>SUMPRODUCT((Settings!$G$14:$G$43=$B9)*COUNTIF('INPUT - Roster'!$FJ$6:$FJ$206,"*"&amp;Settings!$F$14:$F$43&amp;"*"))</f>
        <v/>
      </c>
      <c r="EU9" s="170">
        <f>SUMPRODUCT((Settings!$G$14:$G$43=$B9)*COUNTIF('INPUT - Roster'!$FK$6:$FK$206,"*"&amp;Settings!$F$14:$F$43&amp;"*"))</f>
        <v/>
      </c>
      <c r="EV9" s="170">
        <f>SUMPRODUCT((Settings!$G$14:$G$43=$B9)*COUNTIF('INPUT - Roster'!$FL$6:$FL$206,"*"&amp;Settings!$F$14:$F$43&amp;"*"))</f>
        <v/>
      </c>
      <c r="EW9" s="170">
        <f>SUMPRODUCT((Settings!$G$14:$G$43=$B9)*COUNTIF('INPUT - Roster'!$FM$6:$FM$206,"*"&amp;Settings!$F$14:$F$43&amp;"*"))</f>
        <v/>
      </c>
      <c r="EX9" s="170">
        <f>SUMPRODUCT((Settings!$G$14:$G$43=$B9)*COUNTIF('INPUT - Roster'!$FN$6:$FN$206,"*"&amp;Settings!$F$14:$F$43&amp;"*"))</f>
        <v/>
      </c>
      <c r="EY9" s="170">
        <f>SUMPRODUCT((Settings!$G$14:$G$43=$B9)*COUNTIF('INPUT - Roster'!$FO$6:$FO$206,"*"&amp;Settings!$F$14:$F$43&amp;"*"))</f>
        <v/>
      </c>
      <c r="EZ9" s="170">
        <f>SUMPRODUCT((Settings!$G$14:$G$43=$B9)*COUNTIF('INPUT - Roster'!$FP$6:$FP$206,"*"&amp;Settings!$F$14:$F$43&amp;"*"))</f>
        <v/>
      </c>
      <c r="FA9" s="170">
        <f>SUMPRODUCT((Settings!$G$14:$G$43=$B9)*COUNTIF('INPUT - Roster'!$FQ$6:$FQ$206,"*"&amp;Settings!$F$14:$F$43&amp;"*"))</f>
        <v/>
      </c>
      <c r="FB9" s="170">
        <f>SUMPRODUCT((Settings!$G$14:$G$43=$B9)*COUNTIF('INPUT - Roster'!$FR$6:$FR$206,"*"&amp;Settings!$F$14:$F$43&amp;"*"))</f>
        <v/>
      </c>
      <c r="FC9" s="170">
        <f>SUMPRODUCT((Settings!$G$14:$G$43=$B9)*COUNTIF('INPUT - Roster'!$FS$6:$FS$206,"*"&amp;Settings!$F$14:$F$43&amp;"*"))</f>
        <v/>
      </c>
      <c r="FD9" s="170">
        <f>SUMPRODUCT((Settings!$G$14:$G$43=$B9)*COUNTIF('INPUT - Roster'!$FT$6:$FT$206,"*"&amp;Settings!$F$14:$F$43&amp;"*"))</f>
        <v/>
      </c>
      <c r="FE9" s="170">
        <f>SUMPRODUCT((Settings!$G$14:$G$43=$B9)*COUNTIF('INPUT - Roster'!$FU$6:$FU$206,"*"&amp;Settings!$F$14:$F$43&amp;"*"))</f>
        <v/>
      </c>
      <c r="FF9" s="170">
        <f>SUMPRODUCT((Settings!$G$14:$G$43=$B9)*COUNTIF('INPUT - Roster'!$FV$6:$FV$206,"*"&amp;Settings!$F$14:$F$43&amp;"*"))</f>
        <v/>
      </c>
      <c r="FG9" s="170">
        <f>SUMPRODUCT((Settings!$G$14:$G$43=$B9)*COUNTIF('INPUT - Roster'!$FW$6:$FW$206,"*"&amp;Settings!$F$14:$F$43&amp;"*"))</f>
        <v/>
      </c>
      <c r="FH9" s="170">
        <f>SUMPRODUCT((Settings!$G$14:$G$43=$B9)*COUNTIF('INPUT - Roster'!$FX$6:$FX$206,"*"&amp;Settings!$F$14:$F$43&amp;"*"))</f>
        <v/>
      </c>
      <c r="FI9" s="170">
        <f>SUMPRODUCT((Settings!$G$14:$G$43=$B9)*COUNTIF('INPUT - Roster'!$FY$6:$FY$206,"*"&amp;Settings!$F$14:$F$43&amp;"*"))</f>
        <v/>
      </c>
      <c r="FJ9" s="170">
        <f>SUMPRODUCT((Settings!$G$14:$G$43=$B9)*COUNTIF('INPUT - Roster'!$FZ$6:$FZ$206,"*"&amp;Settings!$F$14:$F$43&amp;"*"))</f>
        <v/>
      </c>
      <c r="FK9" s="170">
        <f>SUMPRODUCT((Settings!$G$14:$G$43=$B9)*COUNTIF('INPUT - Roster'!$GA$6:$GA$206,"*"&amp;Settings!$F$14:$F$43&amp;"*"))</f>
        <v/>
      </c>
      <c r="FL9" s="170">
        <f>SUMPRODUCT((Settings!$G$14:$G$43=$B9)*COUNTIF('INPUT - Roster'!$GB$6:$GB$206,"*"&amp;Settings!$F$14:$F$43&amp;"*"))</f>
        <v/>
      </c>
      <c r="FM9" s="170">
        <f>SUMPRODUCT((Settings!$G$14:$G$43=$B9)*COUNTIF('INPUT - Roster'!$GC$6:$GC$206,"*"&amp;Settings!$F$14:$F$43&amp;"*"))</f>
        <v/>
      </c>
      <c r="FN9" s="170">
        <f>SUMPRODUCT((Settings!$G$14:$G$43=$B9)*COUNTIF('INPUT - Roster'!$GD$6:$GD$206,"*"&amp;Settings!$F$14:$F$43&amp;"*"))</f>
        <v/>
      </c>
      <c r="FO9" s="170">
        <f>SUMPRODUCT((Settings!$G$14:$G$43=$B9)*COUNTIF('INPUT - Roster'!$GE$6:$GE$206,"*"&amp;Settings!$F$14:$F$43&amp;"*"))</f>
        <v/>
      </c>
      <c r="FP9" s="170">
        <f>SUMPRODUCT((Settings!$G$14:$G$43=$B9)*COUNTIF('INPUT - Roster'!$GF$6:$GF$206,"*"&amp;Settings!$F$14:$F$43&amp;"*"))</f>
        <v/>
      </c>
      <c r="FQ9" s="170">
        <f>SUMPRODUCT((Settings!$G$14:$G$43=$B9)*COUNTIF('INPUT - Roster'!$GG$6:$GG$206,"*"&amp;Settings!$F$14:$F$43&amp;"*"))</f>
        <v/>
      </c>
      <c r="FR9" s="170">
        <f>SUMPRODUCT((Settings!$G$14:$G$43=$B9)*COUNTIF('INPUT - Roster'!$GH$6:$GH$206,"*"&amp;Settings!$F$14:$F$43&amp;"*"))</f>
        <v/>
      </c>
      <c r="FS9" s="170">
        <f>SUMPRODUCT((Settings!$G$14:$G$43=$B9)*COUNTIF('INPUT - Roster'!$GI$6:$GI$206,"*"&amp;Settings!$F$14:$F$43&amp;"*"))</f>
        <v/>
      </c>
      <c r="FT9" s="170">
        <f>SUMPRODUCT((Settings!$G$14:$G$43=$B9)*COUNTIF('INPUT - Roster'!$GJ$6:$GJ$206,"*"&amp;Settings!$F$14:$F$43&amp;"*"))</f>
        <v/>
      </c>
      <c r="FU9" s="170">
        <f>SUMPRODUCT((Settings!$G$14:$G$43=$B9)*COUNTIF('INPUT - Roster'!$GK$6:$GK$206,"*"&amp;Settings!$F$14:$F$43&amp;"*"))</f>
        <v/>
      </c>
      <c r="FV9" s="170">
        <f>SUMPRODUCT((Settings!$G$14:$G$43=$B9)*COUNTIF('INPUT - Roster'!$GL$6:$GL$206,"*"&amp;Settings!$F$14:$F$43&amp;"*"))</f>
        <v/>
      </c>
      <c r="FW9" s="170">
        <f>SUMPRODUCT((Settings!$G$14:$G$43=$B9)*COUNTIF('INPUT - Roster'!$GM$6:$GM$206,"*"&amp;Settings!$F$14:$F$43&amp;"*"))</f>
        <v/>
      </c>
      <c r="FX9" s="170">
        <f>SUMPRODUCT((Settings!$G$14:$G$43=$B9)*COUNTIF('INPUT - Roster'!$GN$6:$GN$206,"*"&amp;Settings!$F$14:$F$43&amp;"*"))</f>
        <v/>
      </c>
      <c r="FY9" s="170">
        <f>SUMPRODUCT((Settings!$G$14:$G$43=$B9)*COUNTIF('INPUT - Roster'!$GO$6:$GO$206,"*"&amp;Settings!$F$14:$F$43&amp;"*"))</f>
        <v/>
      </c>
      <c r="FZ9" s="170">
        <f>SUMPRODUCT((Settings!$G$14:$G$43=$B9)*COUNTIF('INPUT - Roster'!$GP$6:$GP$206,"*"&amp;Settings!$F$14:$F$43&amp;"*"))</f>
        <v/>
      </c>
      <c r="GA9" s="170">
        <f>SUMPRODUCT((Settings!$G$14:$G$43=$B9)*COUNTIF('INPUT - Roster'!$GQ$6:$GQ$206,"*"&amp;Settings!$F$14:$F$43&amp;"*"))</f>
        <v/>
      </c>
      <c r="GB9" s="170">
        <f>SUMPRODUCT((Settings!$G$14:$G$43=$B9)*COUNTIF('INPUT - Roster'!$GR$6:$GR$206,"*"&amp;Settings!$F$14:$F$43&amp;"*"))</f>
        <v/>
      </c>
      <c r="GC9" s="170">
        <f>SUMPRODUCT((Settings!$G$14:$G$43=$B9)*COUNTIF('INPUT - Roster'!$GS$6:$GS$206,"*"&amp;Settings!$F$14:$F$43&amp;"*"))</f>
        <v/>
      </c>
      <c r="GD9" s="170">
        <f>SUMPRODUCT((Settings!$G$14:$G$43=$B9)*COUNTIF('INPUT - Roster'!$GT$6:$GT$206,"*"&amp;Settings!$F$14:$F$43&amp;"*"))</f>
        <v/>
      </c>
      <c r="GE9" s="170">
        <f>SUMPRODUCT((Settings!$G$14:$G$43=$B9)*COUNTIF('INPUT - Roster'!$GU$6:$GU$206,"*"&amp;Settings!$F$14:$F$43&amp;"*"))</f>
        <v/>
      </c>
      <c r="GF9" s="170">
        <f>SUMPRODUCT((Settings!$G$14:$G$43=$B9)*COUNTIF('INPUT - Roster'!$GV$6:$GV$206,"*"&amp;Settings!$F$14:$F$43&amp;"*"))</f>
        <v/>
      </c>
      <c r="GG9" s="170">
        <f>SUMPRODUCT((Settings!$G$14:$G$43=$B9)*COUNTIF('INPUT - Roster'!$GW$6:$GW$206,"*"&amp;Settings!$F$14:$F$43&amp;"*"))</f>
        <v/>
      </c>
      <c r="GH9" s="170">
        <f>SUMPRODUCT((Settings!$G$14:$G$43=$B9)*COUNTIF('INPUT - Roster'!$GX$6:$GX$206,"*"&amp;Settings!$F$14:$F$43&amp;"*"))</f>
        <v/>
      </c>
      <c r="GI9" s="170">
        <f>SUMPRODUCT((Settings!$G$14:$G$43=$B9)*COUNTIF('INPUT - Roster'!$GY$6:$GY$206,"*"&amp;Settings!$F$14:$F$43&amp;"*"))</f>
        <v/>
      </c>
      <c r="GJ9" s="170">
        <f>SUMPRODUCT((Settings!$G$14:$G$43=$B9)*COUNTIF('INPUT - Roster'!$GZ$6:$GZ$206,"*"&amp;Settings!$F$14:$F$43&amp;"*"))</f>
        <v/>
      </c>
      <c r="GK9" s="170">
        <f>SUMPRODUCT((Settings!$G$14:$G$43=$B9)*COUNTIF('INPUT - Roster'!$HA$6:$HA$206,"*"&amp;Settings!$F$14:$F$43&amp;"*"))</f>
        <v/>
      </c>
      <c r="GL9" s="170">
        <f>SUMPRODUCT((Settings!$G$14:$G$43=$B9)*COUNTIF('INPUT - Roster'!$HB$6:$HB$206,"*"&amp;Settings!$F$14:$F$43&amp;"*"))</f>
        <v/>
      </c>
      <c r="GM9" s="170">
        <f>SUMPRODUCT((Settings!$G$14:$G$43=$B9)*COUNTIF('INPUT - Roster'!$HC$6:$HC$206,"*"&amp;Settings!$F$14:$F$43&amp;"*"))</f>
        <v/>
      </c>
      <c r="GN9" s="170">
        <f>SUMPRODUCT((Settings!$G$14:$G$43=$B9)*COUNTIF('INPUT - Roster'!$HD$6:$HD$206,"*"&amp;Settings!$F$14:$F$43&amp;"*"))</f>
        <v/>
      </c>
      <c r="GO9" s="170">
        <f>SUMPRODUCT((Settings!$G$14:$G$43=$B9)*COUNTIF('INPUT - Roster'!$HE$6:$HE$206,"*"&amp;Settings!$F$14:$F$43&amp;"*"))</f>
        <v/>
      </c>
      <c r="GP9" s="170">
        <f>SUMPRODUCT((Settings!$G$14:$G$43=$B9)*COUNTIF('INPUT - Roster'!$HF$6:$HF$206,"*"&amp;Settings!$F$14:$F$43&amp;"*"))</f>
        <v/>
      </c>
      <c r="GQ9" s="170">
        <f>SUMPRODUCT((Settings!$G$14:$G$43=$B9)*COUNTIF('INPUT - Roster'!$HG$6:$HG$206,"*"&amp;Settings!$F$14:$F$43&amp;"*"))</f>
        <v/>
      </c>
      <c r="GR9" s="170">
        <f>SUMPRODUCT((Settings!$G$14:$G$43=$B9)*COUNTIF('INPUT - Roster'!$HH$6:$HH$206,"*"&amp;Settings!$F$14:$F$43&amp;"*"))</f>
        <v/>
      </c>
      <c r="GS9" s="170">
        <f>SUMPRODUCT((Settings!$G$14:$G$43=$B9)*COUNTIF('INPUT - Roster'!$HI$6:$HI$206,"*"&amp;Settings!$F$14:$F$43&amp;"*"))</f>
        <v/>
      </c>
      <c r="GT9" s="170">
        <f>SUMPRODUCT((Settings!$G$14:$G$43=$B9)*COUNTIF('INPUT - Roster'!$HJ$6:$HJ$206,"*"&amp;Settings!$F$14:$F$43&amp;"*"))</f>
        <v/>
      </c>
      <c r="GU9" s="170">
        <f>SUMPRODUCT((Settings!$G$14:$G$43=$B9)*COUNTIF('INPUT - Roster'!$HK$6:$HK$206,"*"&amp;Settings!$F$14:$F$43&amp;"*"))</f>
        <v/>
      </c>
      <c r="GV9" s="170">
        <f>SUMPRODUCT((Settings!$G$14:$G$43=$B9)*COUNTIF('INPUT - Roster'!$HL$6:$HL$206,"*"&amp;Settings!$F$14:$F$43&amp;"*"))</f>
        <v/>
      </c>
      <c r="GW9" s="170">
        <f>SUMPRODUCT((Settings!$G$14:$G$43=$B9)*COUNTIF('INPUT - Roster'!$HM$6:$HM$206,"*"&amp;Settings!$F$14:$F$43&amp;"*"))</f>
        <v/>
      </c>
      <c r="GX9" s="170">
        <f>SUMPRODUCT((Settings!$G$14:$G$43=$B9)*COUNTIF('INPUT - Roster'!$HN$6:$HN$206,"*"&amp;Settings!$F$14:$F$43&amp;"*"))</f>
        <v/>
      </c>
      <c r="GY9" s="170">
        <f>SUMPRODUCT((Settings!$G$14:$G$43=$B9)*COUNTIF('INPUT - Roster'!$HO$6:$HO$206,"*"&amp;Settings!$F$14:$F$43&amp;"*"))</f>
        <v/>
      </c>
      <c r="GZ9" s="170">
        <f>SUMPRODUCT((Settings!$G$14:$G$43=$B9)*COUNTIF('INPUT - Roster'!$HP$6:$HP$206,"*"&amp;Settings!$F$14:$F$43&amp;"*"))</f>
        <v/>
      </c>
      <c r="HA9" s="170">
        <f>SUMPRODUCT((Settings!$G$14:$G$43=$B9)*COUNTIF('INPUT - Roster'!$HQ$6:$HQ$206,"*"&amp;Settings!$F$14:$F$43&amp;"*"))</f>
        <v/>
      </c>
      <c r="HB9" s="170">
        <f>SUMPRODUCT((Settings!$G$14:$G$43=$B9)*COUNTIF('INPUT - Roster'!$HR$6:$HR$206,"*"&amp;Settings!$F$14:$F$43&amp;"*"))</f>
        <v/>
      </c>
      <c r="HC9" s="170">
        <f>SUMPRODUCT((Settings!$G$14:$G$43=$B9)*COUNTIF('INPUT - Roster'!$HS$6:$HS$206,"*"&amp;Settings!$F$14:$F$43&amp;"*"))</f>
        <v/>
      </c>
      <c r="HD9" s="170">
        <f>SUMPRODUCT((Settings!$G$14:$G$43=$B9)*COUNTIF('INPUT - Roster'!$HT$6:$HT$206,"*"&amp;Settings!$F$14:$F$43&amp;"*"))</f>
        <v/>
      </c>
      <c r="HE9" s="170">
        <f>SUMPRODUCT((Settings!$G$14:$G$43=$B9)*COUNTIF('INPUT - Roster'!$HU$6:$HU$206,"*"&amp;Settings!$F$14:$F$43&amp;"*"))</f>
        <v/>
      </c>
      <c r="HF9" s="170">
        <f>SUMPRODUCT((Settings!$G$14:$G$43=$B9)*COUNTIF('INPUT - Roster'!$HV$6:$HV$206,"*"&amp;Settings!$F$14:$F$43&amp;"*"))</f>
        <v/>
      </c>
      <c r="HG9" s="170">
        <f>SUMPRODUCT((Settings!$G$14:$G$43=$B9)*COUNTIF('INPUT - Roster'!$HW$6:$HW$206,"*"&amp;Settings!$F$14:$F$43&amp;"*"))</f>
        <v/>
      </c>
      <c r="HH9" s="170">
        <f>SUMPRODUCT((Settings!$G$14:$G$43=$B9)*COUNTIF('INPUT - Roster'!$HX$6:$HX$206,"*"&amp;Settings!$F$14:$F$43&amp;"*"))</f>
        <v/>
      </c>
      <c r="HI9" s="170">
        <f>SUMPRODUCT((Settings!$G$14:$G$43=$B9)*COUNTIF('INPUT - Roster'!$HY$6:$HY$206,"*"&amp;Settings!$F$14:$F$43&amp;"*"))</f>
        <v/>
      </c>
      <c r="HJ9" s="170">
        <f>SUMPRODUCT((Settings!$G$14:$G$43=$B9)*COUNTIF('INPUT - Roster'!$HZ$6:$HZ$206,"*"&amp;Settings!$F$14:$F$43&amp;"*"))</f>
        <v/>
      </c>
      <c r="HK9" s="170">
        <f>SUMPRODUCT((Settings!$G$14:$G$43=$B9)*COUNTIF('INPUT - Roster'!$IA$6:$IA$206,"*"&amp;Settings!$F$14:$F$43&amp;"*"))</f>
        <v/>
      </c>
      <c r="HL9" s="170">
        <f>SUMPRODUCT((Settings!$G$14:$G$43=$B9)*COUNTIF('INPUT - Roster'!$IB$6:$IB$206,"*"&amp;Settings!$F$14:$F$43&amp;"*"))</f>
        <v/>
      </c>
      <c r="HM9" s="170">
        <f>SUMPRODUCT((Settings!$G$14:$G$43=$B9)*COUNTIF('INPUT - Roster'!$IC$6:$IC$206,"*"&amp;Settings!$F$14:$F$43&amp;"*"))</f>
        <v/>
      </c>
      <c r="HN9" s="170">
        <f>SUMPRODUCT((Settings!$G$14:$G$43=$B9)*COUNTIF('INPUT - Roster'!$ID$6:$ID$206,"*"&amp;Settings!$F$14:$F$43&amp;"*"))</f>
        <v/>
      </c>
      <c r="HO9" s="170">
        <f>SUMPRODUCT((Settings!$G$14:$G$43=$B9)*COUNTIF('INPUT - Roster'!$IE$6:$IE$206,"*"&amp;Settings!$F$14:$F$43&amp;"*"))</f>
        <v/>
      </c>
      <c r="HP9" s="170">
        <f>SUMPRODUCT((Settings!$G$14:$G$43=$B9)*COUNTIF('INPUT - Roster'!$IF$6:$IF$206,"*"&amp;Settings!$F$14:$F$43&amp;"*"))</f>
        <v/>
      </c>
      <c r="HQ9" s="170">
        <f>SUMPRODUCT((Settings!$G$14:$G$43=$B9)*COUNTIF('INPUT - Roster'!$IG$6:$IG$206,"*"&amp;Settings!$F$14:$F$43&amp;"*"))</f>
        <v/>
      </c>
      <c r="HR9" s="170">
        <f>SUMPRODUCT((Settings!$G$14:$G$43=$B9)*COUNTIF('INPUT - Roster'!$IH$6:$IH$206,"*"&amp;Settings!$F$14:$F$43&amp;"*"))</f>
        <v/>
      </c>
      <c r="HS9" s="170">
        <f>SUMPRODUCT((Settings!$G$14:$G$43=$B9)*COUNTIF('INPUT - Roster'!$II$6:$II$206,"*"&amp;Settings!$F$14:$F$43&amp;"*"))</f>
        <v/>
      </c>
      <c r="HT9" s="170">
        <f>SUMPRODUCT((Settings!$G$14:$G$43=$B9)*COUNTIF('INPUT - Roster'!$IJ$6:$IJ$206,"*"&amp;Settings!$F$14:$F$43&amp;"*"))</f>
        <v/>
      </c>
      <c r="HU9" s="170">
        <f>SUMPRODUCT((Settings!$G$14:$G$43=$B9)*COUNTIF('INPUT - Roster'!$IK$6:$IK$206,"*"&amp;Settings!$F$14:$F$43&amp;"*"))</f>
        <v/>
      </c>
      <c r="HV9" s="170">
        <f>SUMPRODUCT((Settings!$G$14:$G$43=$B9)*COUNTIF('INPUT - Roster'!$IL$6:$IL$206,"*"&amp;Settings!$F$14:$F$43&amp;"*"))</f>
        <v/>
      </c>
      <c r="HW9" s="170">
        <f>SUMPRODUCT((Settings!$G$14:$G$43=$B9)*COUNTIF('INPUT - Roster'!$IM$6:$IM$206,"*"&amp;Settings!$F$14:$F$43&amp;"*"))</f>
        <v/>
      </c>
      <c r="HX9" s="170">
        <f>SUMPRODUCT((Settings!$G$14:$G$43=$B9)*COUNTIF('INPUT - Roster'!$IN$6:$IN$206,"*"&amp;Settings!$F$14:$F$43&amp;"*"))</f>
        <v/>
      </c>
      <c r="HY9" s="170">
        <f>SUMPRODUCT((Settings!$G$14:$G$43=$B9)*COUNTIF('INPUT - Roster'!$IO$6:$IO$206,"*"&amp;Settings!$F$14:$F$43&amp;"*"))</f>
        <v/>
      </c>
      <c r="HZ9" s="170">
        <f>SUMPRODUCT((Settings!$G$14:$G$43=$B9)*COUNTIF('INPUT - Roster'!$IP$6:$IP$206,"*"&amp;Settings!$F$14:$F$43&amp;"*"))</f>
        <v/>
      </c>
      <c r="IA9" s="170">
        <f>SUMPRODUCT((Settings!$G$14:$G$43=$B9)*COUNTIF('INPUT - Roster'!$IQ$6:$IQ$206,"*"&amp;Settings!$F$14:$F$43&amp;"*"))</f>
        <v/>
      </c>
      <c r="IB9" s="170">
        <f>SUMPRODUCT((Settings!$G$14:$G$43=$B9)*COUNTIF('INPUT - Roster'!$IR$6:$IR$206,"*"&amp;Settings!$F$14:$F$43&amp;"*"))</f>
        <v/>
      </c>
      <c r="IC9" s="170">
        <f>SUMPRODUCT((Settings!$G$14:$G$43=$B9)*COUNTIF('INPUT - Roster'!$IS$6:$IS$206,"*"&amp;Settings!$F$14:$F$43&amp;"*"))</f>
        <v/>
      </c>
      <c r="ID9" s="170">
        <f>SUMPRODUCT((Settings!$G$14:$G$43=$B9)*COUNTIF('INPUT - Roster'!$IT$6:$IT$206,"*"&amp;Settings!$F$14:$F$43&amp;"*"))</f>
        <v/>
      </c>
      <c r="IE9" s="170">
        <f>SUMPRODUCT((Settings!$G$14:$G$43=$B9)*COUNTIF('INPUT - Roster'!$IU$6:$IU$206,"*"&amp;Settings!$F$14:$F$43&amp;"*"))</f>
        <v/>
      </c>
      <c r="IF9" s="170">
        <f>SUMPRODUCT((Settings!$G$14:$G$43=$B9)*COUNTIF('INPUT - Roster'!$IV$6:$IV$206,"*"&amp;Settings!$F$14:$F$43&amp;"*"))</f>
        <v/>
      </c>
      <c r="IG9" s="170">
        <f>SUMPRODUCT((Settings!$G$14:$G$43=$B9)*COUNTIF('INPUT - Roster'!$IW$6:$IW$206,"*"&amp;Settings!$F$14:$F$43&amp;"*"))</f>
        <v/>
      </c>
      <c r="IH9" s="170">
        <f>SUMPRODUCT((Settings!$G$14:$G$43=$B9)*COUNTIF('INPUT - Roster'!$IX$6:$IX$206,"*"&amp;Settings!$F$14:$F$43&amp;"*"))</f>
        <v/>
      </c>
      <c r="II9" s="170">
        <f>SUMPRODUCT((Settings!$G$14:$G$43=$B9)*COUNTIF('INPUT - Roster'!$IY$6:$IY$206,"*"&amp;Settings!$F$14:$F$43&amp;"*"))</f>
        <v/>
      </c>
      <c r="IJ9" s="170">
        <f>SUMPRODUCT((Settings!$G$14:$G$43=$B9)*COUNTIF('INPUT - Roster'!$IZ$6:$IZ$206,"*"&amp;Settings!$F$14:$F$43&amp;"*"))</f>
        <v/>
      </c>
      <c r="IK9" s="170">
        <f>SUMPRODUCT((Settings!$G$14:$G$43=$B9)*COUNTIF('INPUT - Roster'!$JA$6:$JA$206,"*"&amp;Settings!$F$14:$F$43&amp;"*"))</f>
        <v/>
      </c>
      <c r="IL9" s="170">
        <f>SUMPRODUCT((Settings!$G$14:$G$43=$B9)*COUNTIF('INPUT - Roster'!$JB$6:$JB$206,"*"&amp;Settings!$F$14:$F$43&amp;"*"))</f>
        <v/>
      </c>
      <c r="IM9" s="170">
        <f>SUMPRODUCT((Settings!$G$14:$G$43=$B9)*COUNTIF('INPUT - Roster'!$JC$6:$JC$206,"*"&amp;Settings!$F$14:$F$43&amp;"*"))</f>
        <v/>
      </c>
      <c r="IN9" s="170">
        <f>SUMPRODUCT((Settings!$G$14:$G$43=$B9)*COUNTIF('INPUT - Roster'!$JD$6:$JD$206,"*"&amp;Settings!$F$14:$F$43&amp;"*"))</f>
        <v/>
      </c>
      <c r="IO9" s="170">
        <f>SUMPRODUCT((Settings!$G$14:$G$43=$B9)*COUNTIF('INPUT - Roster'!$JE$6:$JE$206,"*"&amp;Settings!$F$14:$F$43&amp;"*"))</f>
        <v/>
      </c>
      <c r="IP9" s="170">
        <f>SUMPRODUCT((Settings!$G$14:$G$43=$B9)*COUNTIF('INPUT - Roster'!$JF$6:$JF$206,"*"&amp;Settings!$F$14:$F$43&amp;"*"))</f>
        <v/>
      </c>
      <c r="IQ9" s="170">
        <f>SUMPRODUCT((Settings!$G$14:$G$43=$B9)*COUNTIF('INPUT - Roster'!$JG$6:$JG$206,"*"&amp;Settings!$F$14:$F$43&amp;"*"))</f>
        <v/>
      </c>
      <c r="IR9" s="170">
        <f>SUMPRODUCT((Settings!$G$14:$G$43=$B9)*COUNTIF('INPUT - Roster'!$JH$6:$JH$206,"*"&amp;Settings!$F$14:$F$43&amp;"*"))</f>
        <v/>
      </c>
      <c r="IS9" s="170">
        <f>SUMPRODUCT((Settings!$G$14:$G$43=$B9)*COUNTIF('INPUT - Roster'!$JI$6:$JI$206,"*"&amp;Settings!$F$14:$F$43&amp;"*"))</f>
        <v/>
      </c>
      <c r="IT9" s="170">
        <f>SUMPRODUCT((Settings!$G$14:$G$43=$B9)*COUNTIF('INPUT - Roster'!$JJ$6:$JJ$206,"*"&amp;Settings!$F$14:$F$43&amp;"*"))</f>
        <v/>
      </c>
      <c r="IU9" s="170">
        <f>SUMPRODUCT((Settings!$G$14:$G$43=$B9)*COUNTIF('INPUT - Roster'!$JK$6:$JK$206,"*"&amp;Settings!$F$14:$F$43&amp;"*"))</f>
        <v/>
      </c>
      <c r="IV9" s="170">
        <f>SUMPRODUCT((Settings!$G$14:$G$43=$B9)*COUNTIF('INPUT - Roster'!$JL$6:$JL$206,"*"&amp;Settings!$F$14:$F$43&amp;"*"))</f>
        <v/>
      </c>
      <c r="IW9" s="170">
        <f>SUMPRODUCT((Settings!$G$14:$G$43=$B9)*COUNTIF('INPUT - Roster'!$JM$6:$JM$206,"*"&amp;Settings!$F$14:$F$43&amp;"*"))</f>
        <v/>
      </c>
      <c r="IX9" s="170">
        <f>SUMPRODUCT((Settings!$G$14:$G$43=$B9)*COUNTIF('INPUT - Roster'!$JN$6:$JN$206,"*"&amp;Settings!$F$14:$F$43&amp;"*"))</f>
        <v/>
      </c>
      <c r="IY9" s="170">
        <f>SUMPRODUCT((Settings!$G$14:$G$43=$B9)*COUNTIF('INPUT - Roster'!$JO$6:$JO$206,"*"&amp;Settings!$F$14:$F$43&amp;"*"))</f>
        <v/>
      </c>
      <c r="IZ9" s="170">
        <f>SUMPRODUCT((Settings!$G$14:$G$43=$B9)*COUNTIF('INPUT - Roster'!$JP$6:$JP$206,"*"&amp;Settings!$F$14:$F$43&amp;"*"))</f>
        <v/>
      </c>
      <c r="JA9" s="170">
        <f>SUMPRODUCT((Settings!$G$14:$G$43=$B9)*COUNTIF('INPUT - Roster'!$JQ$6:$JQ$206,"*"&amp;Settings!$F$14:$F$43&amp;"*"))</f>
        <v/>
      </c>
      <c r="JB9" s="170">
        <f>SUMPRODUCT((Settings!$G$14:$G$43=$B9)*COUNTIF('INPUT - Roster'!$JR$6:$JR$206,"*"&amp;Settings!$F$14:$F$43&amp;"*"))</f>
        <v/>
      </c>
      <c r="JC9" s="170">
        <f>SUMPRODUCT((Settings!$G$14:$G$43=$B9)*COUNTIF('INPUT - Roster'!$JS$6:$JS$206,"*"&amp;Settings!$F$14:$F$43&amp;"*"))</f>
        <v/>
      </c>
      <c r="JD9" s="170">
        <f>SUMPRODUCT((Settings!$G$14:$G$43=$B9)*COUNTIF('INPUT - Roster'!$JT$6:$JT$206,"*"&amp;Settings!$F$14:$F$43&amp;"*"))</f>
        <v/>
      </c>
      <c r="JE9" s="170">
        <f>SUMPRODUCT((Settings!$G$14:$G$43=$B9)*COUNTIF('INPUT - Roster'!$JU$6:$JU$206,"*"&amp;Settings!$F$14:$F$43&amp;"*"))</f>
        <v/>
      </c>
      <c r="JF9" s="170">
        <f>SUMPRODUCT((Settings!$G$14:$G$43=$B9)*COUNTIF('INPUT - Roster'!$JV$6:$JV$206,"*"&amp;Settings!$F$14:$F$43&amp;"*"))</f>
        <v/>
      </c>
      <c r="JG9" s="170">
        <f>SUMPRODUCT((Settings!$G$14:$G$43=$B9)*COUNTIF('INPUT - Roster'!$JW$6:$JW$206,"*"&amp;Settings!$F$14:$F$43&amp;"*"))</f>
        <v/>
      </c>
      <c r="JH9" s="170">
        <f>SUMPRODUCT((Settings!$G$14:$G$43=$B9)*COUNTIF('INPUT - Roster'!$JX$6:$JX$206,"*"&amp;Settings!$F$14:$F$43&amp;"*"))</f>
        <v/>
      </c>
      <c r="JI9" s="170">
        <f>SUMPRODUCT((Settings!$G$14:$G$43=$B9)*COUNTIF('INPUT - Roster'!$JY$6:$JY$206,"*"&amp;Settings!$F$14:$F$43&amp;"*"))</f>
        <v/>
      </c>
      <c r="JJ9" s="170">
        <f>SUMPRODUCT((Settings!$G$14:$G$43=$B9)*COUNTIF('INPUT - Roster'!$JZ$6:$JZ$206,"*"&amp;Settings!$F$14:$F$43&amp;"*"))</f>
        <v/>
      </c>
      <c r="JK9" s="170">
        <f>SUMPRODUCT((Settings!$G$14:$G$43=$B9)*COUNTIF('INPUT - Roster'!$KA$6:$KA$206,"*"&amp;Settings!$F$14:$F$43&amp;"*"))</f>
        <v/>
      </c>
      <c r="JL9" s="170">
        <f>SUMPRODUCT((Settings!$G$14:$G$43=$B9)*COUNTIF('INPUT - Roster'!$KB$6:$KB$206,"*"&amp;Settings!$F$14:$F$43&amp;"*"))</f>
        <v/>
      </c>
      <c r="JM9" s="170">
        <f>SUMPRODUCT((Settings!$G$14:$G$43=$B9)*COUNTIF('INPUT - Roster'!$KC$6:$KC$206,"*"&amp;Settings!$F$14:$F$43&amp;"*"))</f>
        <v/>
      </c>
      <c r="JN9" s="170">
        <f>SUMPRODUCT((Settings!$G$14:$G$43=$B9)*COUNTIF('INPUT - Roster'!$KD$6:$KD$206,"*"&amp;Settings!$F$14:$F$43&amp;"*"))</f>
        <v/>
      </c>
      <c r="JO9" s="170">
        <f>SUMPRODUCT((Settings!$G$14:$G$43=$B9)*COUNTIF('INPUT - Roster'!$KE$6:$KE$206,"*"&amp;Settings!$F$14:$F$43&amp;"*"))</f>
        <v/>
      </c>
      <c r="JP9" s="170">
        <f>SUMPRODUCT((Settings!$G$14:$G$43=$B9)*COUNTIF('INPUT - Roster'!$KF$6:$KF$206,"*"&amp;Settings!$F$14:$F$43&amp;"*"))</f>
        <v/>
      </c>
      <c r="JQ9" s="170">
        <f>SUMPRODUCT((Settings!$G$14:$G$43=$B9)*COUNTIF('INPUT - Roster'!$KG$6:$KG$206,"*"&amp;Settings!$F$14:$F$43&amp;"*"))</f>
        <v/>
      </c>
      <c r="JR9" s="170">
        <f>SUMPRODUCT((Settings!$G$14:$G$43=$B9)*COUNTIF('INPUT - Roster'!$KH$6:$KH$206,"*"&amp;Settings!$F$14:$F$43&amp;"*"))</f>
        <v/>
      </c>
      <c r="JS9" s="170">
        <f>SUMPRODUCT((Settings!$G$14:$G$43=$B9)*COUNTIF('INPUT - Roster'!$KI$6:$KI$206,"*"&amp;Settings!$F$14:$F$43&amp;"*"))</f>
        <v/>
      </c>
      <c r="JT9" s="170">
        <f>SUMPRODUCT((Settings!$G$14:$G$43=$B9)*COUNTIF('INPUT - Roster'!$KJ$6:$KJ$206,"*"&amp;Settings!$F$14:$F$43&amp;"*"))</f>
        <v/>
      </c>
      <c r="JU9" s="170">
        <f>SUMPRODUCT((Settings!$G$14:$G$43=$B9)*COUNTIF('INPUT - Roster'!$KK$6:$KK$206,"*"&amp;Settings!$F$14:$F$43&amp;"*"))</f>
        <v/>
      </c>
      <c r="JV9" s="170">
        <f>SUMPRODUCT((Settings!$G$14:$G$43=$B9)*COUNTIF('INPUT - Roster'!$KL$6:$KL$206,"*"&amp;Settings!$F$14:$F$43&amp;"*"))</f>
        <v/>
      </c>
      <c r="JW9" s="170">
        <f>SUMPRODUCT((Settings!$G$14:$G$43=$B9)*COUNTIF('INPUT - Roster'!$KM$6:$KM$206,"*"&amp;Settings!$F$14:$F$43&amp;"*"))</f>
        <v/>
      </c>
      <c r="JX9" s="170">
        <f>SUMPRODUCT((Settings!$G$14:$G$43=$B9)*COUNTIF('INPUT - Roster'!$KN$6:$KN$206,"*"&amp;Settings!$F$14:$F$43&amp;"*"))</f>
        <v/>
      </c>
      <c r="JY9" s="170">
        <f>SUMPRODUCT((Settings!$G$14:$G$43=$B9)*COUNTIF('INPUT - Roster'!$KO$6:$KO$206,"*"&amp;Settings!$F$14:$F$43&amp;"*"))</f>
        <v/>
      </c>
      <c r="JZ9" s="170">
        <f>SUMPRODUCT((Settings!$G$14:$G$43=$B9)*COUNTIF('INPUT - Roster'!$KP$6:$KP$206,"*"&amp;Settings!$F$14:$F$43&amp;"*"))</f>
        <v/>
      </c>
      <c r="KA9" s="170">
        <f>SUMPRODUCT((Settings!$G$14:$G$43=$B9)*COUNTIF('INPUT - Roster'!$KQ$6:$KQ$206,"*"&amp;Settings!$F$14:$F$43&amp;"*"))</f>
        <v/>
      </c>
      <c r="KB9" s="170">
        <f>SUMPRODUCT((Settings!$G$14:$G$43=$B9)*COUNTIF('INPUT - Roster'!$KR$6:$KR$206,"*"&amp;Settings!$F$14:$F$43&amp;"*"))</f>
        <v/>
      </c>
      <c r="KC9" s="170">
        <f>SUMPRODUCT((Settings!$G$14:$G$43=$B9)*COUNTIF('INPUT - Roster'!$KS$6:$KS$206,"*"&amp;Settings!$F$14:$F$43&amp;"*"))</f>
        <v/>
      </c>
      <c r="KD9" s="170">
        <f>SUMPRODUCT((Settings!$G$14:$G$43=$B9)*COUNTIF('INPUT - Roster'!$KT$6:$KT$206,"*"&amp;Settings!$F$14:$F$43&amp;"*"))</f>
        <v/>
      </c>
      <c r="KE9" s="170">
        <f>SUMPRODUCT((Settings!$G$14:$G$43=$B9)*COUNTIF('INPUT - Roster'!$KU$6:$KU$206,"*"&amp;Settings!$F$14:$F$43&amp;"*"))</f>
        <v/>
      </c>
      <c r="KF9" s="170">
        <f>SUMPRODUCT((Settings!$G$14:$G$43=$B9)*COUNTIF('INPUT - Roster'!$KV$6:$KV$206,"*"&amp;Settings!$F$14:$F$43&amp;"*"))</f>
        <v/>
      </c>
      <c r="KG9" s="170">
        <f>SUMPRODUCT((Settings!$G$14:$G$43=$B9)*COUNTIF('INPUT - Roster'!$KW$6:$KW$206,"*"&amp;Settings!$F$14:$F$43&amp;"*"))</f>
        <v/>
      </c>
      <c r="KH9" s="170">
        <f>SUMPRODUCT((Settings!$G$14:$G$43=$B9)*COUNTIF('INPUT - Roster'!$KX$6:$KX$206,"*"&amp;Settings!$F$14:$F$43&amp;"*"))</f>
        <v/>
      </c>
      <c r="KI9" s="170">
        <f>SUMPRODUCT((Settings!$G$14:$G$43=$B9)*COUNTIF('INPUT - Roster'!$KY$6:$KY$206,"*"&amp;Settings!$F$14:$F$43&amp;"*"))</f>
        <v/>
      </c>
      <c r="KJ9" s="170">
        <f>SUMPRODUCT((Settings!$G$14:$G$43=$B9)*COUNTIF('INPUT - Roster'!$KZ$6:$KZ$206,"*"&amp;Settings!$F$14:$F$43&amp;"*"))</f>
        <v/>
      </c>
      <c r="KK9" s="170">
        <f>SUMPRODUCT((Settings!$G$14:$G$43=$B9)*COUNTIF('INPUT - Roster'!$LA$6:$LA$206,"*"&amp;Settings!$F$14:$F$43&amp;"*"))</f>
        <v/>
      </c>
      <c r="KL9" s="170">
        <f>SUMPRODUCT((Settings!$G$14:$G$43=$B9)*COUNTIF('INPUT - Roster'!$LB$6:$LB$206,"*"&amp;Settings!$F$14:$F$43&amp;"*"))</f>
        <v/>
      </c>
      <c r="KM9" s="170">
        <f>SUMPRODUCT((Settings!$G$14:$G$43=$B9)*COUNTIF('INPUT - Roster'!$LC$6:$LC$206,"*"&amp;Settings!$F$14:$F$43&amp;"*"))</f>
        <v/>
      </c>
      <c r="KN9" s="170">
        <f>SUMPRODUCT((Settings!$G$14:$G$43=$B9)*COUNTIF('INPUT - Roster'!$LD$6:$LD$206,"*"&amp;Settings!$F$14:$F$43&amp;"*"))</f>
        <v/>
      </c>
      <c r="KO9" s="170">
        <f>SUMPRODUCT((Settings!$G$14:$G$43=$B9)*COUNTIF('INPUT - Roster'!$LE$6:$LE$206,"*"&amp;Settings!$F$14:$F$43&amp;"*"))</f>
        <v/>
      </c>
      <c r="KP9" s="170">
        <f>SUMPRODUCT((Settings!$G$14:$G$43=$B9)*COUNTIF('INPUT - Roster'!$LF$6:$LF$206,"*"&amp;Settings!$F$14:$F$43&amp;"*"))</f>
        <v/>
      </c>
      <c r="KQ9" s="170">
        <f>SUMPRODUCT((Settings!$G$14:$G$43=$B9)*COUNTIF('INPUT - Roster'!$LG$6:$LG$206,"*"&amp;Settings!$F$14:$F$43&amp;"*"))</f>
        <v/>
      </c>
      <c r="KR9" s="170">
        <f>SUMPRODUCT((Settings!$G$14:$G$43=$B9)*COUNTIF('INPUT - Roster'!$LH$6:$LH$206,"*"&amp;Settings!$F$14:$F$43&amp;"*"))</f>
        <v/>
      </c>
      <c r="KS9" s="170">
        <f>SUMPRODUCT((Settings!$G$14:$G$43=$B9)*COUNTIF('INPUT - Roster'!$LI$6:$LI$206,"*"&amp;Settings!$F$14:$F$43&amp;"*"))</f>
        <v/>
      </c>
      <c r="KT9" s="170">
        <f>SUMPRODUCT((Settings!$G$14:$G$43=$B9)*COUNTIF('INPUT - Roster'!$LJ$6:$LJ$206,"*"&amp;Settings!$F$14:$F$43&amp;"*"))</f>
        <v/>
      </c>
      <c r="KU9" s="170">
        <f>SUMPRODUCT((Settings!$G$14:$G$43=$B9)*COUNTIF('INPUT - Roster'!$LK$6:$LK$206,"*"&amp;Settings!$F$14:$F$43&amp;"*"))</f>
        <v/>
      </c>
      <c r="KV9" s="170">
        <f>SUMPRODUCT((Settings!$G$14:$G$43=$B9)*COUNTIF('INPUT - Roster'!$LL$6:$LL$206,"*"&amp;Settings!$F$14:$F$43&amp;"*"))</f>
        <v/>
      </c>
      <c r="KW9" s="170">
        <f>SUMPRODUCT((Settings!$G$14:$G$43=$B9)*COUNTIF('INPUT - Roster'!$LM$6:$LM$206,"*"&amp;Settings!$F$14:$F$43&amp;"*"))</f>
        <v/>
      </c>
      <c r="KX9" s="170">
        <f>SUMPRODUCT((Settings!$G$14:$G$43=$B9)*COUNTIF('INPUT - Roster'!$LN$6:$LN$206,"*"&amp;Settings!$F$14:$F$43&amp;"*"))</f>
        <v/>
      </c>
      <c r="KY9" s="170">
        <f>SUMPRODUCT((Settings!$G$14:$G$43=$B9)*COUNTIF('INPUT - Roster'!$LO$6:$LO$206,"*"&amp;Settings!$F$14:$F$43&amp;"*"))</f>
        <v/>
      </c>
      <c r="KZ9" s="170">
        <f>SUMPRODUCT((Settings!$G$14:$G$43=$B9)*COUNTIF('INPUT - Roster'!$LP$6:$LP$206,"*"&amp;Settings!$F$14:$F$43&amp;"*"))</f>
        <v/>
      </c>
      <c r="LA9" s="170">
        <f>SUMPRODUCT((Settings!$G$14:$G$43=$B9)*COUNTIF('INPUT - Roster'!$LQ$6:$LQ$206,"*"&amp;Settings!$F$14:$F$43&amp;"*"))</f>
        <v/>
      </c>
      <c r="LB9" s="170">
        <f>SUMPRODUCT((Settings!$G$14:$G$43=$B9)*COUNTIF('INPUT - Roster'!$LR$6:$LR$206,"*"&amp;Settings!$F$14:$F$43&amp;"*"))</f>
        <v/>
      </c>
      <c r="LC9" s="170">
        <f>SUMPRODUCT((Settings!$G$14:$G$43=$B9)*COUNTIF('INPUT - Roster'!$LS$6:$LS$206,"*"&amp;Settings!$F$14:$F$43&amp;"*"))</f>
        <v/>
      </c>
      <c r="LD9" s="170">
        <f>SUMPRODUCT((Settings!$G$14:$G$43=$B9)*COUNTIF('INPUT - Roster'!$LT$6:$LT$206,"*"&amp;Settings!$F$14:$F$43&amp;"*"))</f>
        <v/>
      </c>
      <c r="LE9" s="170">
        <f>SUMPRODUCT((Settings!$G$14:$G$43=$B9)*COUNTIF('INPUT - Roster'!$LU$6:$LU$206,"*"&amp;Settings!$F$14:$F$43&amp;"*"))</f>
        <v/>
      </c>
      <c r="LF9" s="170">
        <f>SUMPRODUCT((Settings!$G$14:$G$43=$B9)*COUNTIF('INPUT - Roster'!$LV$6:$LV$206,"*"&amp;Settings!$F$14:$F$43&amp;"*"))</f>
        <v/>
      </c>
      <c r="LG9" s="170">
        <f>SUMPRODUCT((Settings!$G$14:$G$43=$B9)*COUNTIF('INPUT - Roster'!$LW$6:$LW$206,"*"&amp;Settings!$F$14:$F$43&amp;"*"))</f>
        <v/>
      </c>
      <c r="LH9" s="170">
        <f>SUMPRODUCT((Settings!$G$14:$G$43=$B9)*COUNTIF('INPUT - Roster'!$LX$6:$LX$206,"*"&amp;Settings!$F$14:$F$43&amp;"*"))</f>
        <v/>
      </c>
      <c r="LI9" s="170">
        <f>SUMPRODUCT((Settings!$G$14:$G$43=$B9)*COUNTIF('INPUT - Roster'!$LY$6:$LY$206,"*"&amp;Settings!$F$14:$F$43&amp;"*"))</f>
        <v/>
      </c>
      <c r="LJ9" s="170">
        <f>SUMPRODUCT((Settings!$G$14:$G$43=$B9)*COUNTIF('INPUT - Roster'!$LZ$6:$LZ$206,"*"&amp;Settings!$F$14:$F$43&amp;"*"))</f>
        <v/>
      </c>
      <c r="LK9" s="170">
        <f>SUMPRODUCT((Settings!$G$14:$G$43=$B9)*COUNTIF('INPUT - Roster'!$MA$6:$MA$206,"*"&amp;Settings!$F$14:$F$43&amp;"*"))</f>
        <v/>
      </c>
      <c r="LL9" s="170">
        <f>SUMPRODUCT((Settings!$G$14:$G$43=$B9)*COUNTIF('INPUT - Roster'!$MB$6:$MB$206,"*"&amp;Settings!$F$14:$F$43&amp;"*"))</f>
        <v/>
      </c>
      <c r="LM9" s="170">
        <f>SUMPRODUCT((Settings!$G$14:$G$43=$B9)*COUNTIF('INPUT - Roster'!$MC$6:$MC$206,"*"&amp;Settings!$F$14:$F$43&amp;"*"))</f>
        <v/>
      </c>
      <c r="LN9" s="170">
        <f>SUMPRODUCT((Settings!$G$14:$G$43=$B9)*COUNTIF('INPUT - Roster'!$MD$6:$MD$206,"*"&amp;Settings!$F$14:$F$43&amp;"*"))</f>
        <v/>
      </c>
      <c r="LO9" s="170">
        <f>SUMPRODUCT((Settings!$G$14:$G$43=$B9)*COUNTIF('INPUT - Roster'!$ME$6:$ME$206,"*"&amp;Settings!$F$14:$F$43&amp;"*"))</f>
        <v/>
      </c>
      <c r="LP9" s="170">
        <f>SUMPRODUCT((Settings!$G$14:$G$43=$B9)*COUNTIF('INPUT - Roster'!$MF$6:$MF$206,"*"&amp;Settings!$F$14:$F$43&amp;"*"))</f>
        <v/>
      </c>
      <c r="LQ9" s="170">
        <f>SUMPRODUCT((Settings!$G$14:$G$43=$B9)*COUNTIF('INPUT - Roster'!$MG$6:$MG$206,"*"&amp;Settings!$F$14:$F$43&amp;"*"))</f>
        <v/>
      </c>
      <c r="LR9" s="170">
        <f>SUMPRODUCT((Settings!$G$14:$G$43=$B9)*COUNTIF('INPUT - Roster'!$MH$6:$MH$206,"*"&amp;Settings!$F$14:$F$43&amp;"*"))</f>
        <v/>
      </c>
      <c r="LS9" s="170">
        <f>SUMPRODUCT((Settings!$G$14:$G$43=$B9)*COUNTIF('INPUT - Roster'!$MI$6:$MI$206,"*"&amp;Settings!$F$14:$F$43&amp;"*"))</f>
        <v/>
      </c>
      <c r="LT9" s="170">
        <f>SUMPRODUCT((Settings!$G$14:$G$43=$B9)*COUNTIF('INPUT - Roster'!$MJ$6:$MJ$206,"*"&amp;Settings!$F$14:$F$43&amp;"*"))</f>
        <v/>
      </c>
      <c r="LU9" s="170">
        <f>SUMPRODUCT((Settings!$G$14:$G$43=$B9)*COUNTIF('INPUT - Roster'!$MK$6:$MK$206,"*"&amp;Settings!$F$14:$F$43&amp;"*"))</f>
        <v/>
      </c>
      <c r="LV9" s="170">
        <f>SUMPRODUCT((Settings!$G$14:$G$43=$B9)*COUNTIF('INPUT - Roster'!$ML$6:$ML$206,"*"&amp;Settings!$F$14:$F$43&amp;"*"))</f>
        <v/>
      </c>
      <c r="LW9" s="170">
        <f>SUMPRODUCT((Settings!$G$14:$G$43=$B9)*COUNTIF('INPUT - Roster'!$MM$6:$MM$206,"*"&amp;Settings!$F$14:$F$43&amp;"*"))</f>
        <v/>
      </c>
      <c r="LX9" s="170">
        <f>SUMPRODUCT((Settings!$G$14:$G$43=$B9)*COUNTIF('INPUT - Roster'!$MN$6:$MN$206,"*"&amp;Settings!$F$14:$F$43&amp;"*"))</f>
        <v/>
      </c>
      <c r="LY9" s="170">
        <f>SUMPRODUCT((Settings!$G$14:$G$43=$B9)*COUNTIF('INPUT - Roster'!$MO$6:$MO$206,"*"&amp;Settings!$F$14:$F$43&amp;"*"))</f>
        <v/>
      </c>
      <c r="LZ9" s="170">
        <f>SUMPRODUCT((Settings!$G$14:$G$43=$B9)*COUNTIF('INPUT - Roster'!$MP$6:$MP$206,"*"&amp;Settings!$F$14:$F$43&amp;"*"))</f>
        <v/>
      </c>
      <c r="MA9" s="170">
        <f>SUMPRODUCT((Settings!$G$14:$G$43=$B9)*COUNTIF('INPUT - Roster'!$MQ$6:$MQ$206,"*"&amp;Settings!$F$14:$F$43&amp;"*"))</f>
        <v/>
      </c>
      <c r="MB9" s="170">
        <f>SUMPRODUCT((Settings!$G$14:$G$43=$B9)*COUNTIF('INPUT - Roster'!$MR$6:$MR$206,"*"&amp;Settings!$F$14:$F$43&amp;"*"))</f>
        <v/>
      </c>
      <c r="MC9" s="170">
        <f>SUMPRODUCT((Settings!$G$14:$G$43=$B9)*COUNTIF('INPUT - Roster'!$MS$6:$MS$206,"*"&amp;Settings!$F$14:$F$43&amp;"*"))</f>
        <v/>
      </c>
      <c r="MD9" s="170">
        <f>SUMPRODUCT((Settings!$G$14:$G$43=$B9)*COUNTIF('INPUT - Roster'!$MT$6:$MT$206,"*"&amp;Settings!$F$14:$F$43&amp;"*"))</f>
        <v/>
      </c>
      <c r="ME9" s="170">
        <f>SUMPRODUCT((Settings!$G$14:$G$43=$B9)*COUNTIF('INPUT - Roster'!$MU$6:$MU$206,"*"&amp;Settings!$F$14:$F$43&amp;"*"))</f>
        <v/>
      </c>
      <c r="MF9" s="170">
        <f>SUMPRODUCT((Settings!$G$14:$G$43=$B9)*COUNTIF('INPUT - Roster'!$MV$6:$MV$206,"*"&amp;Settings!$F$14:$F$43&amp;"*"))</f>
        <v/>
      </c>
      <c r="MG9" s="170">
        <f>SUMPRODUCT((Settings!$G$14:$G$43=$B9)*COUNTIF('INPUT - Roster'!$MW$6:$MW$206,"*"&amp;Settings!$F$14:$F$43&amp;"*"))</f>
        <v/>
      </c>
      <c r="MH9" s="170">
        <f>SUMPRODUCT((Settings!$G$14:$G$43=$B9)*COUNTIF('INPUT - Roster'!$MX$6:$MX$206,"*"&amp;Settings!$F$14:$F$43&amp;"*"))</f>
        <v/>
      </c>
      <c r="MI9" s="170">
        <f>SUMPRODUCT((Settings!$G$14:$G$43=$B9)*COUNTIF('INPUT - Roster'!$MY$6:$MY$206,"*"&amp;Settings!$F$14:$F$43&amp;"*"))</f>
        <v/>
      </c>
      <c r="MJ9" s="170">
        <f>SUMPRODUCT((Settings!$G$14:$G$43=$B9)*COUNTIF('INPUT - Roster'!$MZ$6:$MZ$206,"*"&amp;Settings!$F$14:$F$43&amp;"*"))</f>
        <v/>
      </c>
      <c r="MK9" s="170">
        <f>SUMPRODUCT((Settings!$G$14:$G$43=$B9)*COUNTIF('INPUT - Roster'!$NA$6:$NA$206,"*"&amp;Settings!$F$14:$F$43&amp;"*"))</f>
        <v/>
      </c>
      <c r="ML9" s="170">
        <f>SUMPRODUCT((Settings!$G$14:$G$43=$B9)*COUNTIF('INPUT - Roster'!$NB$6:$NB$206,"*"&amp;Settings!$F$14:$F$43&amp;"*"))</f>
        <v/>
      </c>
      <c r="MM9" s="170">
        <f>SUMPRODUCT((Settings!$G$14:$G$43=$B9)*COUNTIF('INPUT - Roster'!$NC$6:$NC$206,"*"&amp;Settings!$F$14:$F$43&amp;"*"))</f>
        <v/>
      </c>
      <c r="MN9" s="170">
        <f>SUMPRODUCT((Settings!$G$14:$G$43=$B9)*COUNTIF('INPUT - Roster'!$ND$6:$ND$206,"*"&amp;Settings!$F$14:$F$43&amp;"*"))</f>
        <v/>
      </c>
      <c r="MO9" s="170">
        <f>SUMPRODUCT((Settings!$G$14:$G$43=$B9)*COUNTIF('INPUT - Roster'!$NE$6:$NE$206,"*"&amp;Settings!$F$14:$F$43&amp;"*"))</f>
        <v/>
      </c>
      <c r="MP9" s="170">
        <f>SUMPRODUCT((Settings!$G$14:$G$43=$B9)*COUNTIF('INPUT - Roster'!$NF$6:$NF$206,"*"&amp;Settings!$F$14:$F$43&amp;"*"))</f>
        <v/>
      </c>
      <c r="MQ9" s="170">
        <f>SUMPRODUCT((Settings!$G$14:$G$43=$B9)*COUNTIF('INPUT - Roster'!$NG$6:$NG$206,"*"&amp;Settings!$F$14:$F$43&amp;"*"))</f>
        <v/>
      </c>
      <c r="MR9" s="170">
        <f>SUMPRODUCT((Settings!$G$14:$G$43=$B9)*COUNTIF('INPUT - Roster'!$NH$6:$NH$206,"*"&amp;Settings!$F$14:$F$43&amp;"*"))</f>
        <v/>
      </c>
      <c r="MS9" s="170">
        <f>SUMPRODUCT((Settings!$G$14:$G$43=$B9)*COUNTIF('INPUT - Roster'!$NI$6:$NI$206,"*"&amp;Settings!$F$14:$F$43&amp;"*"))</f>
        <v/>
      </c>
      <c r="MT9" s="170">
        <f>SUMPRODUCT((Settings!$G$14:$G$43=$B9)*COUNTIF('INPUT - Roster'!$NJ$6:$NJ$206,"*"&amp;Settings!$F$14:$F$43&amp;"*"))</f>
        <v/>
      </c>
      <c r="MU9" s="170">
        <f>SUMPRODUCT((Settings!$G$14:$G$43=$B9)*COUNTIF('INPUT - Roster'!$NK$6:$NK$206,"*"&amp;Settings!$F$14:$F$43&amp;"*"))</f>
        <v/>
      </c>
      <c r="MV9" s="170">
        <f>SUMPRODUCT((Settings!$G$14:$G$43=$B9)*COUNTIF('INPUT - Roster'!$NL$6:$NL$206,"*"&amp;Settings!$F$14:$F$43&amp;"*"))</f>
        <v/>
      </c>
      <c r="MW9" s="170">
        <f>SUMPRODUCT((Settings!$G$14:$G$43=$B9)*COUNTIF('INPUT - Roster'!$NM$6:$NM$206,"*"&amp;Settings!$F$14:$F$43&amp;"*"))</f>
        <v/>
      </c>
      <c r="MX9" s="170">
        <f>SUMPRODUCT((Settings!$G$14:$G$43=$B9)*COUNTIF('INPUT - Roster'!$NN$6:$NN$206,"*"&amp;Settings!$F$14:$F$43&amp;"*"))</f>
        <v/>
      </c>
      <c r="MY9" s="170">
        <f>SUMPRODUCT((Settings!$G$14:$G$43=$B9)*COUNTIF('INPUT - Roster'!$NO$6:$NO$206,"*"&amp;Settings!$F$14:$F$43&amp;"*"))</f>
        <v/>
      </c>
      <c r="MZ9" s="170">
        <f>SUMPRODUCT((Settings!$G$14:$G$43=$B9)*COUNTIF('INPUT - Roster'!$NP$6:$NP$206,"*"&amp;Settings!$F$14:$F$43&amp;"*"))</f>
        <v/>
      </c>
      <c r="NA9" s="170">
        <f>SUMPRODUCT((Settings!$G$14:$G$43=$B9)*COUNTIF('INPUT - Roster'!$NQ$6:$NQ$206,"*"&amp;Settings!$F$14:$F$43&amp;"*"))</f>
        <v/>
      </c>
      <c r="NB9" s="170">
        <f>SUMPRODUCT((Settings!$G$14:$G$43=$B9)*COUNTIF('INPUT - Roster'!$NR$6:$NR$206,"*"&amp;Settings!$F$14:$F$43&amp;"*"))</f>
        <v/>
      </c>
      <c r="NC9" s="170">
        <f>SUMPRODUCT((Settings!$G$14:$G$43=$B9)*COUNTIF('INPUT - Roster'!$NS$6:$NS$206,"*"&amp;Settings!$F$14:$F$43&amp;"*"))</f>
        <v/>
      </c>
      <c r="ND9" s="170">
        <f>SUMPRODUCT((Settings!$G$14:$G$43=$B9)*COUNTIF('INPUT - Roster'!$NT$6:$NT$206,"*"&amp;Settings!$F$14:$F$43&amp;"*"))</f>
        <v/>
      </c>
      <c r="NE9" s="170">
        <f>SUMPRODUCT((Settings!$G$14:$G$43=$B9)*COUNTIF('INPUT - Roster'!$NU$6:$NU$206,"*"&amp;Settings!$F$14:$F$43&amp;"*"))</f>
        <v/>
      </c>
      <c r="NF9" s="170">
        <f>SUMPRODUCT((Settings!$G$14:$G$43=$B9)*COUNTIF('INPUT - Roster'!$NV$6:$NV$206,"*"&amp;Settings!$F$14:$F$43&amp;"*"))</f>
        <v/>
      </c>
      <c r="NG9" s="170">
        <f>SUMPRODUCT((Settings!$G$14:$G$43=$B9)*COUNTIF('INPUT - Roster'!$NW$6:$NW$206,"*"&amp;Settings!$F$14:$F$43&amp;"*"))</f>
        <v/>
      </c>
      <c r="NH9" s="170">
        <f>SUMPRODUCT((Settings!$G$14:$G$43=$B9)*COUNTIF('INPUT - Roster'!$NX$6:$NX$206,"*"&amp;Settings!$F$14:$F$43&amp;"*"))</f>
        <v/>
      </c>
      <c r="NI9" s="170">
        <f>SUMPRODUCT((Settings!$G$14:$G$43=$B9)*COUNTIF('INPUT - Roster'!$NY$6:$NY$206,"*"&amp;Settings!$F$14:$F$43&amp;"*"))</f>
        <v/>
      </c>
      <c r="NJ9" s="170">
        <f>SUMPRODUCT((Settings!$G$14:$G$43=$B9)*COUNTIF('INPUT - Roster'!$NZ$6:$NZ$206,"*"&amp;Settings!$F$14:$F$43&amp;"*"))</f>
        <v/>
      </c>
      <c r="NK9" s="170">
        <f>SUMPRODUCT((Settings!$G$14:$G$43=$B9)*COUNTIF('INPUT - Roster'!$OA$6:$OA$206,"*"&amp;Settings!$F$14:$F$43&amp;"*"))</f>
        <v/>
      </c>
      <c r="NL9" s="170">
        <f>SUMPRODUCT((Settings!$G$14:$G$43=$B9)*COUNTIF('INPUT - Roster'!$OB$6:$OB$206,"*"&amp;Settings!$F$14:$F$43&amp;"*"))</f>
        <v/>
      </c>
      <c r="NM9" s="170">
        <f>SUMPRODUCT((Settings!$G$14:$G$43=$B9)*COUNTIF('INPUT - Roster'!$OC$6:$OC$206,"*"&amp;Settings!$F$14:$F$43&amp;"*"))</f>
        <v/>
      </c>
      <c r="NN9" s="170">
        <f>SUMPRODUCT((Settings!$G$14:$G$43=$B9)*COUNTIF('INPUT - Roster'!$OD$6:$OD$206,"*"&amp;Settings!$F$14:$F$43&amp;"*"))</f>
        <v/>
      </c>
      <c r="NO9" s="170">
        <f>SUMPRODUCT((Settings!$G$14:$G$43=$B9)*COUNTIF('INPUT - Roster'!$OE$6:$OE$206,"*"&amp;Settings!$F$14:$F$43&amp;"*"))</f>
        <v/>
      </c>
      <c r="NP9" s="170">
        <f>SUMPRODUCT((Settings!$G$14:$G$43=$B9)*COUNTIF('INPUT - Roster'!$OF$6:$OF$206,"*"&amp;Settings!$F$14:$F$43&amp;"*"))</f>
        <v/>
      </c>
      <c r="NQ9" s="170">
        <f>SUMPRODUCT((Settings!$G$14:$G$43=$B9)*COUNTIF('INPUT - Roster'!$OG$6:$OG$206,"*"&amp;Settings!$F$14:$F$43&amp;"*"))</f>
        <v/>
      </c>
      <c r="NR9" s="170">
        <f>SUMPRODUCT((Settings!$G$14:$G$43=$B9)*COUNTIF('INPUT - Roster'!$OH$6:$OH$206,"*"&amp;Settings!$F$14:$F$43&amp;"*"))</f>
        <v/>
      </c>
      <c r="NS9" s="170">
        <f>SUMPRODUCT((Settings!$G$14:$G$43=$B9)*COUNTIF('INPUT - Roster'!$OI$6:$OI$206,"*"&amp;Settings!$F$14:$F$43&amp;"*"))</f>
        <v/>
      </c>
      <c r="NT9" s="170">
        <f>SUMPRODUCT((Settings!$G$14:$G$43=$B9)*COUNTIF('INPUT - Roster'!$OJ$6:$OJ$206,"*"&amp;Settings!$F$14:$F$43&amp;"*"))</f>
        <v/>
      </c>
      <c r="NU9" s="170">
        <f>SUMPRODUCT((Settings!$G$14:$G$43=$B9)*COUNTIF('INPUT - Roster'!$OK$6:$OK$206,"*"&amp;Settings!$F$14:$F$43&amp;"*"))</f>
        <v/>
      </c>
      <c r="NV9" s="170">
        <f>SUMPRODUCT((Settings!$G$14:$G$43=$B9)*COUNTIF('INPUT - Roster'!$OL$6:$OL$206,"*"&amp;Settings!$F$14:$F$43&amp;"*"))</f>
        <v/>
      </c>
      <c r="NW9" s="170">
        <f>SUMPRODUCT((Settings!$G$14:$G$43=$B9)*COUNTIF('INPUT - Roster'!$OM$6:$OM$206,"*"&amp;Settings!$F$14:$F$43&amp;"*"))</f>
        <v/>
      </c>
      <c r="NX9" s="170">
        <f>SUMPRODUCT((Settings!$G$14:$G$43=$B9)*COUNTIF('INPUT - Roster'!$ON$6:$ON$206,"*"&amp;Settings!$F$14:$F$43&amp;"*"))</f>
        <v/>
      </c>
      <c r="NY9" s="170">
        <f>SUMPRODUCT((Settings!$G$14:$G$43=$B9)*COUNTIF('INPUT - Roster'!$OO$6:$OO$206,"*"&amp;Settings!$F$14:$F$43&amp;"*"))</f>
        <v/>
      </c>
      <c r="NZ9" s="170">
        <f>SUMPRODUCT((Settings!$G$14:$G$43=$B9)*COUNTIF('INPUT - Roster'!$OP$6:$OP$206,"*"&amp;Settings!$F$14:$F$43&amp;"*"))</f>
        <v/>
      </c>
      <c r="OA9" s="170">
        <f>SUMPRODUCT((Settings!$G$14:$G$43=$B9)*COUNTIF('INPUT - Roster'!$OQ$6:$OQ$206,"*"&amp;Settings!$F$14:$F$43&amp;"*"))</f>
        <v/>
      </c>
      <c r="OB9" s="170">
        <f>SUMPRODUCT((Settings!$G$14:$G$43=$B9)*COUNTIF('INPUT - Roster'!$OR$6:$OR$206,"*"&amp;Settings!$F$14:$F$43&amp;"*"))</f>
        <v/>
      </c>
      <c r="OC9" s="170">
        <f>SUMPRODUCT((Settings!$G$14:$G$43=$B9)*COUNTIF('INPUT - Roster'!$OS$6:$OS$206,"*"&amp;Settings!$F$14:$F$43&amp;"*"))</f>
        <v/>
      </c>
      <c r="OD9" s="170">
        <f>SUMPRODUCT((Settings!$G$14:$G$43=$B9)*COUNTIF('INPUT - Roster'!$OT$6:$OT$206,"*"&amp;Settings!$F$14:$F$43&amp;"*"))</f>
        <v/>
      </c>
      <c r="OE9" s="170">
        <f>SUMPRODUCT((Settings!$G$14:$G$43=$B9)*COUNTIF('INPUT - Roster'!$OU$6:$OU$206,"*"&amp;Settings!$F$14:$F$43&amp;"*"))</f>
        <v/>
      </c>
      <c r="OF9" s="170">
        <f>SUMPRODUCT((Settings!$G$14:$G$43=$B9)*COUNTIF('INPUT - Roster'!$OV$6:$OV$206,"*"&amp;Settings!$F$14:$F$43&amp;"*"))</f>
        <v/>
      </c>
      <c r="OG9" s="170">
        <f>SUMPRODUCT((Settings!$G$14:$G$43=$B9)*COUNTIF('INPUT - Roster'!$OW$6:$OW$206,"*"&amp;Settings!$F$14:$F$43&amp;"*"))</f>
        <v/>
      </c>
      <c r="OH9" s="170">
        <f>SUMPRODUCT((Settings!$G$14:$G$43=$B9)*COUNTIF('INPUT - Roster'!$OX$6:$OX$206,"*"&amp;Settings!$F$14:$F$43&amp;"*"))</f>
        <v/>
      </c>
      <c r="OI9" s="170">
        <f>SUMPRODUCT((Settings!$G$14:$G$43=$B9)*COUNTIF('INPUT - Roster'!$OY$6:$OY$206,"*"&amp;Settings!$F$14:$F$43&amp;"*"))</f>
        <v/>
      </c>
      <c r="OJ9" s="170">
        <f>SUMPRODUCT((Settings!$G$14:$G$43=$B9)*COUNTIF('INPUT - Roster'!$OZ$6:$OZ$206,"*"&amp;Settings!$F$14:$F$43&amp;"*"))</f>
        <v/>
      </c>
      <c r="OK9" s="170">
        <f>SUMPRODUCT((Settings!$G$14:$G$43=$B9)*COUNTIF('INPUT - Roster'!$PA$6:$PA$206,"*"&amp;Settings!$F$14:$F$43&amp;"*"))</f>
        <v/>
      </c>
      <c r="OL9" s="170">
        <f>SUMPRODUCT((Settings!$G$14:$G$43=$B9)*COUNTIF('INPUT - Roster'!$PB$6:$PB$206,"*"&amp;Settings!$F$14:$F$43&amp;"*"))</f>
        <v/>
      </c>
      <c r="OM9" s="170">
        <f>SUMPRODUCT((Settings!$G$14:$G$43=$B9)*COUNTIF('INPUT - Roster'!$PC$6:$PC$206,"*"&amp;Settings!$F$14:$F$43&amp;"*"))</f>
        <v/>
      </c>
      <c r="ON9" s="170">
        <f>SUMPRODUCT((Settings!$G$14:$G$43=$B9)*COUNTIF('INPUT - Roster'!$PD$6:$PD$206,"*"&amp;Settings!$F$14:$F$43&amp;"*"))</f>
        <v/>
      </c>
      <c r="OO9" s="170">
        <f>SUMPRODUCT((Settings!$G$14:$G$43=$B9)*COUNTIF('INPUT - Roster'!$PE$6:$PE$206,"*"&amp;Settings!$F$14:$F$43&amp;"*"))</f>
        <v/>
      </c>
      <c r="OP9" s="170">
        <f>SUMPRODUCT((Settings!$G$14:$G$43=$B9)*COUNTIF('INPUT - Roster'!$PF$6:$PF$206,"*"&amp;Settings!$F$14:$F$43&amp;"*"))</f>
        <v/>
      </c>
      <c r="OQ9" s="170">
        <f>SUMPRODUCT((Settings!$G$14:$G$43=$B9)*COUNTIF('INPUT - Roster'!$PG$6:$PG$206,"*"&amp;Settings!$F$14:$F$43&amp;"*"))</f>
        <v/>
      </c>
      <c r="OR9" s="170">
        <f>SUMPRODUCT((Settings!$G$14:$G$43=$B9)*COUNTIF('INPUT - Roster'!$PH$6:$PH$206,"*"&amp;Settings!$F$14:$F$43&amp;"*"))</f>
        <v/>
      </c>
      <c r="OS9" s="170">
        <f>SUMPRODUCT((Settings!$G$14:$G$43=$B9)*COUNTIF('INPUT - Roster'!$PI$6:$PI$206,"*"&amp;Settings!$F$14:$F$43&amp;"*"))</f>
        <v/>
      </c>
      <c r="OT9" s="170">
        <f>SUMPRODUCT((Settings!$G$14:$G$43=$B9)*COUNTIF('INPUT - Roster'!$PJ$6:$PJ$206,"*"&amp;Settings!$F$14:$F$43&amp;"*"))</f>
        <v/>
      </c>
      <c r="OU9" s="170">
        <f>SUMPRODUCT((Settings!$G$14:$G$43=$B9)*COUNTIF('INPUT - Roster'!$PK$6:$PK$206,"*"&amp;Settings!$F$14:$F$43&amp;"*"))</f>
        <v/>
      </c>
      <c r="OV9" s="170">
        <f>SUMPRODUCT((Settings!$G$14:$G$43=$B9)*COUNTIF('INPUT - Roster'!$PL$6:$PL$206,"*"&amp;Settings!$F$14:$F$43&amp;"*"))</f>
        <v/>
      </c>
      <c r="OW9" s="170">
        <f>SUMPRODUCT((Settings!$G$14:$G$43=$B9)*COUNTIF('INPUT - Roster'!$PM$6:$PM$206,"*"&amp;Settings!$F$14:$F$43&amp;"*"))</f>
        <v/>
      </c>
      <c r="OX9" s="170">
        <f>SUMPRODUCT((Settings!$G$14:$G$43=$B9)*COUNTIF('INPUT - Roster'!$PN$6:$PN$206,"*"&amp;Settings!$F$14:$F$43&amp;"*"))</f>
        <v/>
      </c>
      <c r="OY9" s="170">
        <f>SUMPRODUCT((Settings!$G$14:$G$43=$B9)*COUNTIF('INPUT - Roster'!$PO$6:$PO$206,"*"&amp;Settings!$F$14:$F$43&amp;"*"))</f>
        <v/>
      </c>
      <c r="OZ9" s="170">
        <f>SUMPRODUCT((Settings!$G$14:$G$43=$B9)*COUNTIF('INPUT - Roster'!$PP$6:$PP$206,"*"&amp;Settings!$F$14:$F$43&amp;"*"))</f>
        <v/>
      </c>
      <c r="PA9" s="170">
        <f>SUMPRODUCT((Settings!$G$14:$G$43=$B9)*COUNTIF('INPUT - Roster'!$PQ$6:$PQ$206,"*"&amp;Settings!$F$14:$F$43&amp;"*"))</f>
        <v/>
      </c>
      <c r="PB9" s="170">
        <f>SUMPRODUCT((Settings!$G$14:$G$43=$B9)*COUNTIF('INPUT - Roster'!$PR$6:$PR$206,"*"&amp;Settings!$F$14:$F$43&amp;"*"))</f>
        <v/>
      </c>
      <c r="PC9" s="170">
        <f>SUMPRODUCT((Settings!$G$14:$G$43=$B9)*COUNTIF('INPUT - Roster'!$PS$6:$PS$206,"*"&amp;Settings!$F$14:$F$43&amp;"*"))</f>
        <v/>
      </c>
      <c r="PD9" s="170">
        <f>SUMPRODUCT((Settings!$G$14:$G$43=$B9)*COUNTIF('INPUT - Roster'!$PT$6:$PT$206,"*"&amp;Settings!$F$14:$F$43&amp;"*"))</f>
        <v/>
      </c>
      <c r="PE9" s="170">
        <f>SUMPRODUCT((Settings!$G$14:$G$43=$B9)*COUNTIF('INPUT - Roster'!$PU$6:$PU$206,"*"&amp;Settings!$F$14:$F$43&amp;"*"))</f>
        <v/>
      </c>
      <c r="PF9" s="170">
        <f>SUMPRODUCT((Settings!$G$14:$G$43=$B9)*COUNTIF('INPUT - Roster'!$PV$6:$PV$206,"*"&amp;Settings!$F$14:$F$43&amp;"*"))</f>
        <v/>
      </c>
      <c r="PG9" s="170">
        <f>SUMPRODUCT((Settings!$G$14:$G$43=$B9)*COUNTIF('INPUT - Roster'!$PW$6:$PW$206,"*"&amp;Settings!$F$14:$F$43&amp;"*"))</f>
        <v/>
      </c>
      <c r="PH9" s="170">
        <f>SUMPRODUCT((Settings!$G$14:$G$43=$B9)*COUNTIF('INPUT - Roster'!$PX$6:$PX$206,"*"&amp;Settings!$F$14:$F$43&amp;"*"))</f>
        <v/>
      </c>
      <c r="PI9" s="170">
        <f>SUMPRODUCT((Settings!$G$14:$G$43=$B9)*COUNTIF('INPUT - Roster'!$PY$6:$PY$206,"*"&amp;Settings!$F$14:$F$43&amp;"*"))</f>
        <v/>
      </c>
      <c r="PJ9" s="170">
        <f>SUMPRODUCT((Settings!$G$14:$G$43=$B9)*COUNTIF('INPUT - Roster'!$PZ$6:$PZ$206,"*"&amp;Settings!$F$14:$F$43&amp;"*"))</f>
        <v/>
      </c>
      <c r="PK9" s="170">
        <f>SUMPRODUCT((Settings!$G$14:$G$43=$B9)*COUNTIF('INPUT - Roster'!$QA$6:$QA$206,"*"&amp;Settings!$F$14:$F$43&amp;"*"))</f>
        <v/>
      </c>
      <c r="PL9" s="170">
        <f>SUMPRODUCT((Settings!$G$14:$G$43=$B9)*COUNTIF('INPUT - Roster'!$QB$6:$QB$206,"*"&amp;Settings!$F$14:$F$43&amp;"*"))</f>
        <v/>
      </c>
      <c r="PM9" s="170">
        <f>SUMPRODUCT((Settings!$G$14:$G$43=$B9)*COUNTIF('INPUT - Roster'!$QC$6:$QC$206,"*"&amp;Settings!$F$14:$F$43&amp;"*"))</f>
        <v/>
      </c>
      <c r="PN9" s="170">
        <f>SUMPRODUCT((Settings!$G$14:$G$43=$B9)*COUNTIF('INPUT - Roster'!$QD$6:$QD$206,"*"&amp;Settings!$F$14:$F$43&amp;"*"))</f>
        <v/>
      </c>
      <c r="PO9" s="170">
        <f>SUMPRODUCT((Settings!$G$14:$G$43=$B9)*COUNTIF('INPUT - Roster'!$QE$6:$QE$206,"*"&amp;Settings!$F$14:$F$43&amp;"*"))</f>
        <v/>
      </c>
      <c r="PP9" s="170">
        <f>SUMPRODUCT((Settings!$G$14:$G$43=$B9)*COUNTIF('INPUT - Roster'!$QF$6:$QF$206,"*"&amp;Settings!$F$14:$F$43&amp;"*"))</f>
        <v/>
      </c>
      <c r="PQ9" s="170">
        <f>SUMPRODUCT((Settings!$G$14:$G$43=$B9)*COUNTIF('INPUT - Roster'!$QG$6:$QG$206,"*"&amp;Settings!$F$14:$F$43&amp;"*"))</f>
        <v/>
      </c>
      <c r="PR9" s="170">
        <f>SUMPRODUCT((Settings!$G$14:$G$43=$B9)*COUNTIF('INPUT - Roster'!$QH$6:$QH$206,"*"&amp;Settings!$F$14:$F$43&amp;"*"))</f>
        <v/>
      </c>
      <c r="PS9" s="170">
        <f>SUMPRODUCT((Settings!$G$14:$G$43=$B9)*COUNTIF('INPUT - Roster'!$QI$6:$QI$206,"*"&amp;Settings!$F$14:$F$43&amp;"*"))</f>
        <v/>
      </c>
      <c r="PT9" s="170">
        <f>SUMPRODUCT((Settings!$G$14:$G$43=$B9)*COUNTIF('INPUT - Roster'!$QJ$6:$QJ$206,"*"&amp;Settings!$F$14:$F$43&amp;"*"))</f>
        <v/>
      </c>
      <c r="PU9" s="170">
        <f>SUMPRODUCT((Settings!$G$14:$G$43=$B9)*COUNTIF('INPUT - Roster'!$QK$6:$QK$206,"*"&amp;Settings!$F$14:$F$43&amp;"*"))</f>
        <v/>
      </c>
      <c r="PV9" s="170">
        <f>SUMPRODUCT((Settings!$G$14:$G$43=$B9)*COUNTIF('INPUT - Roster'!$QL$6:$QL$206,"*"&amp;Settings!$F$14:$F$43&amp;"*"))</f>
        <v/>
      </c>
      <c r="PW9" s="170">
        <f>SUMPRODUCT((Settings!$G$14:$G$43=$B9)*COUNTIF('INPUT - Roster'!$QM$6:$QM$206,"*"&amp;Settings!$F$14:$F$43&amp;"*"))</f>
        <v/>
      </c>
      <c r="PX9" s="170">
        <f>SUMPRODUCT((Settings!$G$14:$G$43=$B9)*COUNTIF('INPUT - Roster'!$QN$6:$QN$206,"*"&amp;Settings!$F$14:$F$43&amp;"*"))</f>
        <v/>
      </c>
      <c r="PY9" s="170">
        <f>SUMPRODUCT((Settings!$G$14:$G$43=$B9)*COUNTIF('INPUT - Roster'!$QO$6:$QO$206,"*"&amp;Settings!$F$14:$F$43&amp;"*"))</f>
        <v/>
      </c>
      <c r="PZ9" s="170">
        <f>SUMPRODUCT((Settings!$G$14:$G$43=$B9)*COUNTIF('INPUT - Roster'!$QP$6:$QP$206,"*"&amp;Settings!$F$14:$F$43&amp;"*"))</f>
        <v/>
      </c>
      <c r="QA9" s="170">
        <f>SUMPRODUCT((Settings!$G$14:$G$43=$B9)*COUNTIF('INPUT - Roster'!$QQ$6:$QQ$206,"*"&amp;Settings!$F$14:$F$43&amp;"*"))</f>
        <v/>
      </c>
      <c r="QB9" s="170">
        <f>SUMPRODUCT((Settings!$G$14:$G$43=$B9)*COUNTIF('INPUT - Roster'!$QR$6:$QR$206,"*"&amp;Settings!$F$14:$F$43&amp;"*"))</f>
        <v/>
      </c>
      <c r="QC9" s="170">
        <f>SUMPRODUCT((Settings!$G$14:$G$43=$B9)*COUNTIF('INPUT - Roster'!$QS$6:$QS$206,"*"&amp;Settings!$F$14:$F$43&amp;"*"))</f>
        <v/>
      </c>
      <c r="QD9" s="170">
        <f>SUMPRODUCT((Settings!$G$14:$G$43=$B9)*COUNTIF('INPUT - Roster'!$QT$6:$QT$206,"*"&amp;Settings!$F$14:$F$43&amp;"*"))</f>
        <v/>
      </c>
      <c r="QE9" s="170">
        <f>SUMPRODUCT((Settings!$G$14:$G$43=$B9)*COUNTIF('INPUT - Roster'!$QU$6:$QU$206,"*"&amp;Settings!$F$14:$F$43&amp;"*"))</f>
        <v/>
      </c>
      <c r="QF9" s="170">
        <f>SUMPRODUCT((Settings!$G$14:$G$43=$B9)*COUNTIF('INPUT - Roster'!$QV$6:$QV$206,"*"&amp;Settings!$F$14:$F$43&amp;"*"))</f>
        <v/>
      </c>
      <c r="QG9" s="170">
        <f>SUMPRODUCT((Settings!$G$14:$G$43=$B9)*COUNTIF('INPUT - Roster'!$QW$6:$QW$206,"*"&amp;Settings!$F$14:$F$43&amp;"*"))</f>
        <v/>
      </c>
      <c r="QH9" s="170">
        <f>SUMPRODUCT((Settings!$G$14:$G$43=$B9)*COUNTIF('INPUT - Roster'!$QX$6:$QX$206,"*"&amp;Settings!$F$14:$F$43&amp;"*"))</f>
        <v/>
      </c>
      <c r="QI9" s="170">
        <f>SUMPRODUCT((Settings!$G$14:$G$43=$B9)*COUNTIF('INPUT - Roster'!$QY$6:$QY$206,"*"&amp;Settings!$F$14:$F$43&amp;"*"))</f>
        <v/>
      </c>
      <c r="QJ9" s="170">
        <f>SUMPRODUCT((Settings!$G$14:$G$43=$B9)*COUNTIF('INPUT - Roster'!$QZ$6:$QZ$206,"*"&amp;Settings!$F$14:$F$43&amp;"*"))</f>
        <v/>
      </c>
      <c r="QK9" s="170">
        <f>SUMPRODUCT((Settings!$G$14:$G$43=$B9)*COUNTIF('INPUT - Roster'!$RA$6:$RA$206,"*"&amp;Settings!$F$14:$F$43&amp;"*"))</f>
        <v/>
      </c>
      <c r="QL9" s="170">
        <f>SUMPRODUCT((Settings!$G$14:$G$43=$B9)*COUNTIF('INPUT - Roster'!$RB$6:$RB$206,"*"&amp;Settings!$F$14:$F$43&amp;"*"))</f>
        <v/>
      </c>
      <c r="QM9" s="170">
        <f>SUMPRODUCT((Settings!$G$14:$G$43=$B9)*COUNTIF('INPUT - Roster'!$RC$6:$RC$206,"*"&amp;Settings!$F$14:$F$43&amp;"*"))</f>
        <v/>
      </c>
      <c r="QN9" s="170">
        <f>SUMPRODUCT((Settings!$G$14:$G$43=$B9)*COUNTIF('INPUT - Roster'!$RD$6:$RD$206,"*"&amp;Settings!$F$14:$F$43&amp;"*"))</f>
        <v/>
      </c>
      <c r="QO9" s="170">
        <f>SUMPRODUCT((Settings!$G$14:$G$43=$B9)*COUNTIF('INPUT - Roster'!$RE$6:$RE$206,"*"&amp;Settings!$F$14:$F$43&amp;"*"))</f>
        <v/>
      </c>
      <c r="QP9" s="170">
        <f>SUMPRODUCT((Settings!$G$14:$G$43=$B9)*COUNTIF('INPUT - Roster'!$RF$6:$RF$206,"*"&amp;Settings!$F$14:$F$43&amp;"*"))</f>
        <v/>
      </c>
      <c r="QQ9" s="170">
        <f>SUMPRODUCT((Settings!$G$14:$G$43=$B9)*COUNTIF('INPUT - Roster'!$RG$6:$RG$206,"*"&amp;Settings!$F$14:$F$43&amp;"*"))</f>
        <v/>
      </c>
      <c r="QR9" s="170">
        <f>SUMPRODUCT((Settings!$G$14:$G$43=$B9)*COUNTIF('INPUT - Roster'!$RH$6:$RH$206,"*"&amp;Settings!$F$14:$F$43&amp;"*"))</f>
        <v/>
      </c>
      <c r="QS9" s="170">
        <f>SUMPRODUCT((Settings!$G$14:$G$43=$B9)*COUNTIF('INPUT - Roster'!$RI$6:$RI$206,"*"&amp;Settings!$F$14:$F$43&amp;"*"))</f>
        <v/>
      </c>
      <c r="QT9" s="170">
        <f>SUMPRODUCT((Settings!$G$14:$G$43=$B9)*COUNTIF('INPUT - Roster'!$RJ$6:$RJ$206,"*"&amp;Settings!$F$14:$F$43&amp;"*"))</f>
        <v/>
      </c>
      <c r="QU9" s="170">
        <f>SUMPRODUCT((Settings!$G$14:$G$43=$B9)*COUNTIF('INPUT - Roster'!$RK$6:$RK$206,"*"&amp;Settings!$F$14:$F$43&amp;"*"))</f>
        <v/>
      </c>
      <c r="QV9" s="170">
        <f>SUMPRODUCT((Settings!$G$14:$G$43=$B9)*COUNTIF('INPUT - Roster'!$RL$6:$RL$206,"*"&amp;Settings!$F$14:$F$43&amp;"*"))</f>
        <v/>
      </c>
      <c r="QW9" s="170">
        <f>SUMPRODUCT((Settings!$G$14:$G$43=$B9)*COUNTIF('INPUT - Roster'!$RM$6:$RM$206,"*"&amp;Settings!$F$14:$F$43&amp;"*"))</f>
        <v/>
      </c>
      <c r="QX9" s="170">
        <f>SUMPRODUCT((Settings!$G$14:$G$43=$B9)*COUNTIF('INPUT - Roster'!$RN$6:$RN$206,"*"&amp;Settings!$F$14:$F$43&amp;"*"))</f>
        <v/>
      </c>
      <c r="QY9" s="170">
        <f>SUMPRODUCT((Settings!$G$14:$G$43=$B9)*COUNTIF('INPUT - Roster'!$RO$6:$RO$206,"*"&amp;Settings!$F$14:$F$43&amp;"*"))</f>
        <v/>
      </c>
      <c r="QZ9" s="170">
        <f>SUMPRODUCT((Settings!$G$14:$G$43=$B9)*COUNTIF('INPUT - Roster'!$RP$6:$RP$206,"*"&amp;Settings!$F$14:$F$43&amp;"*"))</f>
        <v/>
      </c>
      <c r="RA9" s="170">
        <f>SUMPRODUCT((Settings!$G$14:$G$43=$B9)*COUNTIF('INPUT - Roster'!$RQ$6:$RQ$206,"*"&amp;Settings!$F$14:$F$43&amp;"*"))</f>
        <v/>
      </c>
      <c r="RB9" s="170">
        <f>SUMPRODUCT((Settings!$G$14:$G$43=$B9)*COUNTIF('INPUT - Roster'!$RR$6:$RR$206,"*"&amp;Settings!$F$14:$F$43&amp;"*"))</f>
        <v/>
      </c>
      <c r="RC9" s="170">
        <f>SUMPRODUCT((Settings!$G$14:$G$43=$B9)*COUNTIF('INPUT - Roster'!$RS$6:$RS$206,"*"&amp;Settings!$F$14:$F$43&amp;"*"))</f>
        <v/>
      </c>
      <c r="RD9" s="170">
        <f>SUMPRODUCT((Settings!$G$14:$G$43=$B9)*COUNTIF('INPUT - Roster'!$RT$6:$RT$206,"*"&amp;Settings!$F$14:$F$43&amp;"*"))</f>
        <v/>
      </c>
      <c r="RE9" s="170">
        <f>SUMPRODUCT((Settings!$G$14:$G$43=$B9)*COUNTIF('INPUT - Roster'!$RU$6:$RU$206,"*"&amp;Settings!$F$14:$F$43&amp;"*"))</f>
        <v/>
      </c>
      <c r="RF9" s="170">
        <f>SUMPRODUCT((Settings!$G$14:$G$43=$B9)*COUNTIF('INPUT - Roster'!$RV$6:$RV$206,"*"&amp;Settings!$F$14:$F$43&amp;"*"))</f>
        <v/>
      </c>
      <c r="RG9" s="170">
        <f>SUMPRODUCT((Settings!$G$14:$G$43=$B9)*COUNTIF('INPUT - Roster'!$RW$6:$RW$206,"*"&amp;Settings!$F$14:$F$43&amp;"*"))</f>
        <v/>
      </c>
      <c r="RH9" s="170">
        <f>SUMPRODUCT((Settings!$G$14:$G$43=$B9)*COUNTIF('INPUT - Roster'!$RX$6:$RX$206,"*"&amp;Settings!$F$14:$F$43&amp;"*"))</f>
        <v/>
      </c>
      <c r="RI9" s="170">
        <f>SUMPRODUCT((Settings!$G$14:$G$43=$B9)*COUNTIF('INPUT - Roster'!$RY$6:$RY$206,"*"&amp;Settings!$F$14:$F$43&amp;"*"))</f>
        <v/>
      </c>
      <c r="RJ9" s="170">
        <f>SUMPRODUCT((Settings!$G$14:$G$43=$B9)*COUNTIF('INPUT - Roster'!$RZ$6:$RZ$206,"*"&amp;Settings!$F$14:$F$43&amp;"*"))</f>
        <v/>
      </c>
      <c r="RK9" s="170">
        <f>SUMPRODUCT((Settings!$G$14:$G$43=$B9)*COUNTIF('INPUT - Roster'!$SA$6:$SA$206,"*"&amp;Settings!$F$14:$F$43&amp;"*"))</f>
        <v/>
      </c>
      <c r="RL9" s="170">
        <f>SUMPRODUCT((Settings!$G$14:$G$43=$B9)*COUNTIF('INPUT - Roster'!$SB$6:$SB$206,"*"&amp;Settings!$F$14:$F$43&amp;"*"))</f>
        <v/>
      </c>
      <c r="RM9" s="170">
        <f>SUMPRODUCT((Settings!$G$14:$G$43=$B9)*COUNTIF('INPUT - Roster'!$SC$6:$SC$206,"*"&amp;Settings!$F$14:$F$43&amp;"*"))</f>
        <v/>
      </c>
      <c r="RN9" s="170">
        <f>SUMPRODUCT((Settings!$G$14:$G$43=$B9)*COUNTIF('INPUT - Roster'!$SD$6:$SD$206,"*"&amp;Settings!$F$14:$F$43&amp;"*"))</f>
        <v/>
      </c>
      <c r="RO9" s="170">
        <f>SUMPRODUCT((Settings!$G$14:$G$43=$B9)*COUNTIF('INPUT - Roster'!$SE$6:$SE$206,"*"&amp;Settings!$F$14:$F$43&amp;"*"))</f>
        <v/>
      </c>
      <c r="RP9" s="170">
        <f>SUMPRODUCT((Settings!$G$14:$G$43=$B9)*COUNTIF('INPUT - Roster'!$SF$6:$SF$206,"*"&amp;Settings!$F$14:$F$43&amp;"*"))</f>
        <v/>
      </c>
      <c r="RQ9" s="170">
        <f>SUMPRODUCT((Settings!$G$14:$G$43=$B9)*COUNTIF('INPUT - Roster'!$SG$6:$SG$206,"*"&amp;Settings!$F$14:$F$43&amp;"*"))</f>
        <v/>
      </c>
      <c r="RR9" s="170">
        <f>SUMPRODUCT((Settings!$G$14:$G$43=$B9)*COUNTIF('INPUT - Roster'!$SH$6:$SH$206,"*"&amp;Settings!$F$14:$F$43&amp;"*"))</f>
        <v/>
      </c>
      <c r="RS9" s="170">
        <f>SUMPRODUCT((Settings!$G$14:$G$43=$B9)*COUNTIF('INPUT - Roster'!$SI$6:$SI$206,"*"&amp;Settings!$F$14:$F$43&amp;"*"))</f>
        <v/>
      </c>
      <c r="RT9" s="170">
        <f>SUMPRODUCT((Settings!$G$14:$G$43=$B9)*COUNTIF('INPUT - Roster'!$SJ$6:$SJ$206,"*"&amp;Settings!$F$14:$F$43&amp;"*"))</f>
        <v/>
      </c>
      <c r="RU9" s="170">
        <f>SUMPRODUCT((Settings!$G$14:$G$43=$B9)*COUNTIF('INPUT - Roster'!$SK$6:$SK$206,"*"&amp;Settings!$F$14:$F$43&amp;"*"))</f>
        <v/>
      </c>
      <c r="RV9" s="170">
        <f>SUMPRODUCT((Settings!$G$14:$G$43=$B9)*COUNTIF('INPUT - Roster'!$SL$6:$SL$206,"*"&amp;Settings!$F$14:$F$43&amp;"*"))</f>
        <v/>
      </c>
      <c r="RW9" s="170">
        <f>SUMPRODUCT((Settings!$G$14:$G$43=$B9)*COUNTIF('INPUT - Roster'!$SM$6:$SM$206,"*"&amp;Settings!$F$14:$F$43&amp;"*"))</f>
        <v/>
      </c>
      <c r="RX9" s="170">
        <f>SUMPRODUCT((Settings!$G$14:$G$43=$B9)*COUNTIF('INPUT - Roster'!$SN$6:$SN$206,"*"&amp;Settings!$F$14:$F$43&amp;"*"))</f>
        <v/>
      </c>
      <c r="RY9" s="170">
        <f>SUMPRODUCT((Settings!$G$14:$G$43=$B9)*COUNTIF('INPUT - Roster'!$SO$6:$SO$206,"*"&amp;Settings!$F$14:$F$43&amp;"*"))</f>
        <v/>
      </c>
      <c r="RZ9" s="170">
        <f>SUMPRODUCT((Settings!$G$14:$G$43=$B9)*COUNTIF('INPUT - Roster'!$SP$6:$SP$206,"*"&amp;Settings!$F$14:$F$43&amp;"*"))</f>
        <v/>
      </c>
      <c r="SA9" s="170">
        <f>SUMPRODUCT((Settings!$G$14:$G$43=$B9)*COUNTIF('INPUT - Roster'!$SQ$6:$SQ$206,"*"&amp;Settings!$F$14:$F$43&amp;"*"))</f>
        <v/>
      </c>
      <c r="SB9" s="170">
        <f>SUMPRODUCT((Settings!$G$14:$G$43=$B9)*COUNTIF('INPUT - Roster'!$SR$6:$SR$206,"*"&amp;Settings!$F$14:$F$43&amp;"*"))</f>
        <v/>
      </c>
      <c r="SC9" s="170">
        <f>SUMPRODUCT((Settings!$G$14:$G$43=$B9)*COUNTIF('INPUT - Roster'!$SS$6:$SS$206,"*"&amp;Settings!$F$14:$F$43&amp;"*"))</f>
        <v/>
      </c>
      <c r="SD9" s="170">
        <f>SUMPRODUCT((Settings!$G$14:$G$43=$B9)*COUNTIF('INPUT - Roster'!$ST$6:$ST$206,"*"&amp;Settings!$F$14:$F$43&amp;"*"))</f>
        <v/>
      </c>
      <c r="SE9" s="170">
        <f>SUMPRODUCT((Settings!$G$14:$G$43=$B9)*COUNTIF('INPUT - Roster'!$SU$6:$SU$206,"*"&amp;Settings!$F$14:$F$43&amp;"*"))</f>
        <v/>
      </c>
      <c r="SF9" s="170">
        <f>SUMPRODUCT((Settings!$G$14:$G$43=$B9)*COUNTIF('INPUT - Roster'!$SV$6:$SV$206,"*"&amp;Settings!$F$14:$F$43&amp;"*"))</f>
        <v/>
      </c>
    </row>
    <row r="10">
      <c r="B10" s="169" t="inlineStr">
        <is>
          <t>Port Haven</t>
        </is>
      </c>
      <c r="C10" s="170">
        <f>SUMPRODUCT((Settings!$G$14:$G$43=$B10)*COUNTIF('INPUT - Roster'!$S$6:$S$206,"*"&amp;Settings!$F$14:$F$43&amp;"*"))</f>
        <v/>
      </c>
      <c r="D10" s="170">
        <f>SUMPRODUCT((Settings!$G$14:$G$43=$B10)*COUNTIF('INPUT - Roster'!$T$6:$T$206,"*"&amp;Settings!$F$14:$F$43&amp;"*"))</f>
        <v/>
      </c>
      <c r="E10" s="170">
        <f>SUMPRODUCT((Settings!$G$14:$G$43=$B10)*COUNTIF('INPUT - Roster'!$U$6:$U$206,"*"&amp;Settings!$F$14:$F$43&amp;"*"))</f>
        <v/>
      </c>
      <c r="F10" s="170">
        <f>SUMPRODUCT((Settings!$G$14:$G$43=$B10)*COUNTIF('INPUT - Roster'!$V$6:$V$206,"*"&amp;Settings!$F$14:$F$43&amp;"*"))</f>
        <v/>
      </c>
      <c r="G10" s="170">
        <f>SUMPRODUCT((Settings!$G$14:$G$43=$B10)*COUNTIF('INPUT - Roster'!$W$6:$W$206,"*"&amp;Settings!$F$14:$F$43&amp;"*"))</f>
        <v/>
      </c>
      <c r="H10" s="170">
        <f>SUMPRODUCT((Settings!$G$14:$G$43=$B10)*COUNTIF('INPUT - Roster'!$X$6:$X$206,"*"&amp;Settings!$F$14:$F$43&amp;"*"))</f>
        <v/>
      </c>
      <c r="I10" s="170">
        <f>SUMPRODUCT((Settings!$G$14:$G$43=$B10)*COUNTIF('INPUT - Roster'!$Y$6:$Y$206,"*"&amp;Settings!$F$14:$F$43&amp;"*"))</f>
        <v/>
      </c>
      <c r="J10" s="170">
        <f>SUMPRODUCT((Settings!$G$14:$G$43=$B10)*COUNTIF('INPUT - Roster'!$Z$6:$Z$206,"*"&amp;Settings!$F$14:$F$43&amp;"*"))</f>
        <v/>
      </c>
      <c r="K10" s="170">
        <f>SUMPRODUCT((Settings!$G$14:$G$43=$B10)*COUNTIF('INPUT - Roster'!$AA$6:$AA$206,"*"&amp;Settings!$F$14:$F$43&amp;"*"))</f>
        <v/>
      </c>
      <c r="L10" s="170">
        <f>SUMPRODUCT((Settings!$G$14:$G$43=$B10)*COUNTIF('INPUT - Roster'!$AB$6:$AB$206,"*"&amp;Settings!$F$14:$F$43&amp;"*"))</f>
        <v/>
      </c>
      <c r="M10" s="170">
        <f>SUMPRODUCT((Settings!$G$14:$G$43=$B10)*COUNTIF('INPUT - Roster'!$AC$6:$AC$206,"*"&amp;Settings!$F$14:$F$43&amp;"*"))</f>
        <v/>
      </c>
      <c r="N10" s="170">
        <f>SUMPRODUCT((Settings!$G$14:$G$43=$B10)*COUNTIF('INPUT - Roster'!$AD$6:$AD$206,"*"&amp;Settings!$F$14:$F$43&amp;"*"))</f>
        <v/>
      </c>
      <c r="O10" s="170">
        <f>SUMPRODUCT((Settings!$G$14:$G$43=$B10)*COUNTIF('INPUT - Roster'!$AE$6:$AE$206,"*"&amp;Settings!$F$14:$F$43&amp;"*"))</f>
        <v/>
      </c>
      <c r="P10" s="170">
        <f>SUMPRODUCT((Settings!$G$14:$G$43=$B10)*COUNTIF('INPUT - Roster'!$AF$6:$AF$206,"*"&amp;Settings!$F$14:$F$43&amp;"*"))</f>
        <v/>
      </c>
      <c r="Q10" s="170">
        <f>SUMPRODUCT((Settings!$G$14:$G$43=$B10)*COUNTIF('INPUT - Roster'!$AG$6:$AG$206,"*"&amp;Settings!$F$14:$F$43&amp;"*"))</f>
        <v/>
      </c>
      <c r="R10" s="170">
        <f>SUMPRODUCT((Settings!$G$14:$G$43=$B10)*COUNTIF('INPUT - Roster'!$AH$6:$AH$206,"*"&amp;Settings!$F$14:$F$43&amp;"*"))</f>
        <v/>
      </c>
      <c r="S10" s="170">
        <f>SUMPRODUCT((Settings!$G$14:$G$43=$B10)*COUNTIF('INPUT - Roster'!$AI$6:$AI$206,"*"&amp;Settings!$F$14:$F$43&amp;"*"))</f>
        <v/>
      </c>
      <c r="T10" s="170">
        <f>SUMPRODUCT((Settings!$G$14:$G$43=$B10)*COUNTIF('INPUT - Roster'!$AJ$6:$AJ$206,"*"&amp;Settings!$F$14:$F$43&amp;"*"))</f>
        <v/>
      </c>
      <c r="U10" s="170">
        <f>SUMPRODUCT((Settings!$G$14:$G$43=$B10)*COUNTIF('INPUT - Roster'!$AK$6:$AK$206,"*"&amp;Settings!$F$14:$F$43&amp;"*"))</f>
        <v/>
      </c>
      <c r="V10" s="170">
        <f>SUMPRODUCT((Settings!$G$14:$G$43=$B10)*COUNTIF('INPUT - Roster'!$AL$6:$AL$206,"*"&amp;Settings!$F$14:$F$43&amp;"*"))</f>
        <v/>
      </c>
      <c r="W10" s="170">
        <f>SUMPRODUCT((Settings!$G$14:$G$43=$B10)*COUNTIF('INPUT - Roster'!$AM$6:$AM$206,"*"&amp;Settings!$F$14:$F$43&amp;"*"))</f>
        <v/>
      </c>
      <c r="X10" s="170">
        <f>SUMPRODUCT((Settings!$G$14:$G$43=$B10)*COUNTIF('INPUT - Roster'!$AN$6:$AN$206,"*"&amp;Settings!$F$14:$F$43&amp;"*"))</f>
        <v/>
      </c>
      <c r="Y10" s="170">
        <f>SUMPRODUCT((Settings!$G$14:$G$43=$B10)*COUNTIF('INPUT - Roster'!$AO$6:$AO$206,"*"&amp;Settings!$F$14:$F$43&amp;"*"))</f>
        <v/>
      </c>
      <c r="Z10" s="170">
        <f>SUMPRODUCT((Settings!$G$14:$G$43=$B10)*COUNTIF('INPUT - Roster'!$AP$6:$AP$206,"*"&amp;Settings!$F$14:$F$43&amp;"*"))</f>
        <v/>
      </c>
      <c r="AA10" s="170">
        <f>SUMPRODUCT((Settings!$G$14:$G$43=$B10)*COUNTIF('INPUT - Roster'!$AQ$6:$AQ$206,"*"&amp;Settings!$F$14:$F$43&amp;"*"))</f>
        <v/>
      </c>
      <c r="AB10" s="170">
        <f>SUMPRODUCT((Settings!$G$14:$G$43=$B10)*COUNTIF('INPUT - Roster'!$AR$6:$AR$206,"*"&amp;Settings!$F$14:$F$43&amp;"*"))</f>
        <v/>
      </c>
      <c r="AC10" s="170">
        <f>SUMPRODUCT((Settings!$G$14:$G$43=$B10)*COUNTIF('INPUT - Roster'!$AS$6:$AS$206,"*"&amp;Settings!$F$14:$F$43&amp;"*"))</f>
        <v/>
      </c>
      <c r="AD10" s="170">
        <f>SUMPRODUCT((Settings!$G$14:$G$43=$B10)*COUNTIF('INPUT - Roster'!$AT$6:$AT$206,"*"&amp;Settings!$F$14:$F$43&amp;"*"))</f>
        <v/>
      </c>
      <c r="AE10" s="170">
        <f>SUMPRODUCT((Settings!$G$14:$G$43=$B10)*COUNTIF('INPUT - Roster'!$AU$6:$AU$206,"*"&amp;Settings!$F$14:$F$43&amp;"*"))</f>
        <v/>
      </c>
      <c r="AF10" s="170">
        <f>SUMPRODUCT((Settings!$G$14:$G$43=$B10)*COUNTIF('INPUT - Roster'!$AV$6:$AV$206,"*"&amp;Settings!$F$14:$F$43&amp;"*"))</f>
        <v/>
      </c>
      <c r="AG10" s="170">
        <f>SUMPRODUCT((Settings!$G$14:$G$43=$B10)*COUNTIF('INPUT - Roster'!$AW$6:$AW$206,"*"&amp;Settings!$F$14:$F$43&amp;"*"))</f>
        <v/>
      </c>
      <c r="AH10" s="170">
        <f>SUMPRODUCT((Settings!$G$14:$G$43=$B10)*COUNTIF('INPUT - Roster'!$AX$6:$AX$206,"*"&amp;Settings!$F$14:$F$43&amp;"*"))</f>
        <v/>
      </c>
      <c r="AI10" s="170">
        <f>SUMPRODUCT((Settings!$G$14:$G$43=$B10)*COUNTIF('INPUT - Roster'!$AY$6:$AY$206,"*"&amp;Settings!$F$14:$F$43&amp;"*"))</f>
        <v/>
      </c>
      <c r="AJ10" s="170">
        <f>SUMPRODUCT((Settings!$G$14:$G$43=$B10)*COUNTIF('INPUT - Roster'!$AZ$6:$AZ$206,"*"&amp;Settings!$F$14:$F$43&amp;"*"))</f>
        <v/>
      </c>
      <c r="AK10" s="170">
        <f>SUMPRODUCT((Settings!$G$14:$G$43=$B10)*COUNTIF('INPUT - Roster'!$BA$6:$BA$206,"*"&amp;Settings!$F$14:$F$43&amp;"*"))</f>
        <v/>
      </c>
      <c r="AL10" s="170">
        <f>SUMPRODUCT((Settings!$G$14:$G$43=$B10)*COUNTIF('INPUT - Roster'!$BB$6:$BB$206,"*"&amp;Settings!$F$14:$F$43&amp;"*"))</f>
        <v/>
      </c>
      <c r="AM10" s="170">
        <f>SUMPRODUCT((Settings!$G$14:$G$43=$B10)*COUNTIF('INPUT - Roster'!$BC$6:$BC$206,"*"&amp;Settings!$F$14:$F$43&amp;"*"))</f>
        <v/>
      </c>
      <c r="AN10" s="170">
        <f>SUMPRODUCT((Settings!$G$14:$G$43=$B10)*COUNTIF('INPUT - Roster'!$BD$6:$BD$206,"*"&amp;Settings!$F$14:$F$43&amp;"*"))</f>
        <v/>
      </c>
      <c r="AO10" s="170">
        <f>SUMPRODUCT((Settings!$G$14:$G$43=$B10)*COUNTIF('INPUT - Roster'!$BE$6:$BE$206,"*"&amp;Settings!$F$14:$F$43&amp;"*"))</f>
        <v/>
      </c>
      <c r="AP10" s="170">
        <f>SUMPRODUCT((Settings!$G$14:$G$43=$B10)*COUNTIF('INPUT - Roster'!$BF$6:$BF$206,"*"&amp;Settings!$F$14:$F$43&amp;"*"))</f>
        <v/>
      </c>
      <c r="AQ10" s="170">
        <f>SUMPRODUCT((Settings!$G$14:$G$43=$B10)*COUNTIF('INPUT - Roster'!$BG$6:$BG$206,"*"&amp;Settings!$F$14:$F$43&amp;"*"))</f>
        <v/>
      </c>
      <c r="AR10" s="170">
        <f>SUMPRODUCT((Settings!$G$14:$G$43=$B10)*COUNTIF('INPUT - Roster'!$BH$6:$BH$206,"*"&amp;Settings!$F$14:$F$43&amp;"*"))</f>
        <v/>
      </c>
      <c r="AS10" s="170">
        <f>SUMPRODUCT((Settings!$G$14:$G$43=$B10)*COUNTIF('INPUT - Roster'!$BI$6:$BI$206,"*"&amp;Settings!$F$14:$F$43&amp;"*"))</f>
        <v/>
      </c>
      <c r="AT10" s="170">
        <f>SUMPRODUCT((Settings!$G$14:$G$43=$B10)*COUNTIF('INPUT - Roster'!$BJ$6:$BJ$206,"*"&amp;Settings!$F$14:$F$43&amp;"*"))</f>
        <v/>
      </c>
      <c r="AU10" s="170">
        <f>SUMPRODUCT((Settings!$G$14:$G$43=$B10)*COUNTIF('INPUT - Roster'!$BK$6:$BK$206,"*"&amp;Settings!$F$14:$F$43&amp;"*"))</f>
        <v/>
      </c>
      <c r="AV10" s="170">
        <f>SUMPRODUCT((Settings!$G$14:$G$43=$B10)*COUNTIF('INPUT - Roster'!$BL$6:$BL$206,"*"&amp;Settings!$F$14:$F$43&amp;"*"))</f>
        <v/>
      </c>
      <c r="AW10" s="170">
        <f>SUMPRODUCT((Settings!$G$14:$G$43=$B10)*COUNTIF('INPUT - Roster'!$BM$6:$BM$206,"*"&amp;Settings!$F$14:$F$43&amp;"*"))</f>
        <v/>
      </c>
      <c r="AX10" s="170">
        <f>SUMPRODUCT((Settings!$G$14:$G$43=$B10)*COUNTIF('INPUT - Roster'!$BN$6:$BN$206,"*"&amp;Settings!$F$14:$F$43&amp;"*"))</f>
        <v/>
      </c>
      <c r="AY10" s="170">
        <f>SUMPRODUCT((Settings!$G$14:$G$43=$B10)*COUNTIF('INPUT - Roster'!$BO$6:$BO$206,"*"&amp;Settings!$F$14:$F$43&amp;"*"))</f>
        <v/>
      </c>
      <c r="AZ10" s="170">
        <f>SUMPRODUCT((Settings!$G$14:$G$43=$B10)*COUNTIF('INPUT - Roster'!$BP$6:$BP$206,"*"&amp;Settings!$F$14:$F$43&amp;"*"))</f>
        <v/>
      </c>
      <c r="BA10" s="170">
        <f>SUMPRODUCT((Settings!$G$14:$G$43=$B10)*COUNTIF('INPUT - Roster'!$BQ$6:$BQ$206,"*"&amp;Settings!$F$14:$F$43&amp;"*"))</f>
        <v/>
      </c>
      <c r="BB10" s="170">
        <f>SUMPRODUCT((Settings!$G$14:$G$43=$B10)*COUNTIF('INPUT - Roster'!$BR$6:$BR$206,"*"&amp;Settings!$F$14:$F$43&amp;"*"))</f>
        <v/>
      </c>
      <c r="BC10" s="170">
        <f>SUMPRODUCT((Settings!$G$14:$G$43=$B10)*COUNTIF('INPUT - Roster'!$BS$6:$BS$206,"*"&amp;Settings!$F$14:$F$43&amp;"*"))</f>
        <v/>
      </c>
      <c r="BD10" s="170">
        <f>SUMPRODUCT((Settings!$G$14:$G$43=$B10)*COUNTIF('INPUT - Roster'!$BT$6:$BT$206,"*"&amp;Settings!$F$14:$F$43&amp;"*"))</f>
        <v/>
      </c>
      <c r="BE10" s="170">
        <f>SUMPRODUCT((Settings!$G$14:$G$43=$B10)*COUNTIF('INPUT - Roster'!$BU$6:$BU$206,"*"&amp;Settings!$F$14:$F$43&amp;"*"))</f>
        <v/>
      </c>
      <c r="BF10" s="170">
        <f>SUMPRODUCT((Settings!$G$14:$G$43=$B10)*COUNTIF('INPUT - Roster'!$BV$6:$BV$206,"*"&amp;Settings!$F$14:$F$43&amp;"*"))</f>
        <v/>
      </c>
      <c r="BG10" s="170">
        <f>SUMPRODUCT((Settings!$G$14:$G$43=$B10)*COUNTIF('INPUT - Roster'!$BW$6:$BW$206,"*"&amp;Settings!$F$14:$F$43&amp;"*"))</f>
        <v/>
      </c>
      <c r="BH10" s="170">
        <f>SUMPRODUCT((Settings!$G$14:$G$43=$B10)*COUNTIF('INPUT - Roster'!$BX$6:$BX$206,"*"&amp;Settings!$F$14:$F$43&amp;"*"))</f>
        <v/>
      </c>
      <c r="BI10" s="170">
        <f>SUMPRODUCT((Settings!$G$14:$G$43=$B10)*COUNTIF('INPUT - Roster'!$BY$6:$BY$206,"*"&amp;Settings!$F$14:$F$43&amp;"*"))</f>
        <v/>
      </c>
      <c r="BJ10" s="170">
        <f>SUMPRODUCT((Settings!$G$14:$G$43=$B10)*COUNTIF('INPUT - Roster'!$BZ$6:$BZ$206,"*"&amp;Settings!$F$14:$F$43&amp;"*"))</f>
        <v/>
      </c>
      <c r="BK10" s="170">
        <f>SUMPRODUCT((Settings!$G$14:$G$43=$B10)*COUNTIF('INPUT - Roster'!$CA$6:$CA$206,"*"&amp;Settings!$F$14:$F$43&amp;"*"))</f>
        <v/>
      </c>
      <c r="BL10" s="170">
        <f>SUMPRODUCT((Settings!$G$14:$G$43=$B10)*COUNTIF('INPUT - Roster'!$CB$6:$CB$206,"*"&amp;Settings!$F$14:$F$43&amp;"*"))</f>
        <v/>
      </c>
      <c r="BM10" s="170">
        <f>SUMPRODUCT((Settings!$G$14:$G$43=$B10)*COUNTIF('INPUT - Roster'!$CC$6:$CC$206,"*"&amp;Settings!$F$14:$F$43&amp;"*"))</f>
        <v/>
      </c>
      <c r="BN10" s="170">
        <f>SUMPRODUCT((Settings!$G$14:$G$43=$B10)*COUNTIF('INPUT - Roster'!$CD$6:$CD$206,"*"&amp;Settings!$F$14:$F$43&amp;"*"))</f>
        <v/>
      </c>
      <c r="BO10" s="170">
        <f>SUMPRODUCT((Settings!$G$14:$G$43=$B10)*COUNTIF('INPUT - Roster'!$CE$6:$CE$206,"*"&amp;Settings!$F$14:$F$43&amp;"*"))</f>
        <v/>
      </c>
      <c r="BP10" s="170">
        <f>SUMPRODUCT((Settings!$G$14:$G$43=$B10)*COUNTIF('INPUT - Roster'!$CF$6:$CF$206,"*"&amp;Settings!$F$14:$F$43&amp;"*"))</f>
        <v/>
      </c>
      <c r="BQ10" s="170">
        <f>SUMPRODUCT((Settings!$G$14:$G$43=$B10)*COUNTIF('INPUT - Roster'!$CG$6:$CG$206,"*"&amp;Settings!$F$14:$F$43&amp;"*"))</f>
        <v/>
      </c>
      <c r="BR10" s="170">
        <f>SUMPRODUCT((Settings!$G$14:$G$43=$B10)*COUNTIF('INPUT - Roster'!$CH$6:$CH$206,"*"&amp;Settings!$F$14:$F$43&amp;"*"))</f>
        <v/>
      </c>
      <c r="BS10" s="170">
        <f>SUMPRODUCT((Settings!$G$14:$G$43=$B10)*COUNTIF('INPUT - Roster'!$CI$6:$CI$206,"*"&amp;Settings!$F$14:$F$43&amp;"*"))</f>
        <v/>
      </c>
      <c r="BT10" s="170">
        <f>SUMPRODUCT((Settings!$G$14:$G$43=$B10)*COUNTIF('INPUT - Roster'!$CJ$6:$CJ$206,"*"&amp;Settings!$F$14:$F$43&amp;"*"))</f>
        <v/>
      </c>
      <c r="BU10" s="170">
        <f>SUMPRODUCT((Settings!$G$14:$G$43=$B10)*COUNTIF('INPUT - Roster'!$CK$6:$CK$206,"*"&amp;Settings!$F$14:$F$43&amp;"*"))</f>
        <v/>
      </c>
      <c r="BV10" s="170">
        <f>SUMPRODUCT((Settings!$G$14:$G$43=$B10)*COUNTIF('INPUT - Roster'!$CL$6:$CL$206,"*"&amp;Settings!$F$14:$F$43&amp;"*"))</f>
        <v/>
      </c>
      <c r="BW10" s="170">
        <f>SUMPRODUCT((Settings!$G$14:$G$43=$B10)*COUNTIF('INPUT - Roster'!$CM$6:$CM$206,"*"&amp;Settings!$F$14:$F$43&amp;"*"))</f>
        <v/>
      </c>
      <c r="BX10" s="170">
        <f>SUMPRODUCT((Settings!$G$14:$G$43=$B10)*COUNTIF('INPUT - Roster'!$CN$6:$CN$206,"*"&amp;Settings!$F$14:$F$43&amp;"*"))</f>
        <v/>
      </c>
      <c r="BY10" s="170">
        <f>SUMPRODUCT((Settings!$G$14:$G$43=$B10)*COUNTIF('INPUT - Roster'!$CO$6:$CO$206,"*"&amp;Settings!$F$14:$F$43&amp;"*"))</f>
        <v/>
      </c>
      <c r="BZ10" s="170">
        <f>SUMPRODUCT((Settings!$G$14:$G$43=$B10)*COUNTIF('INPUT - Roster'!$CP$6:$CP$206,"*"&amp;Settings!$F$14:$F$43&amp;"*"))</f>
        <v/>
      </c>
      <c r="CA10" s="170">
        <f>SUMPRODUCT((Settings!$G$14:$G$43=$B10)*COUNTIF('INPUT - Roster'!$CQ$6:$CQ$206,"*"&amp;Settings!$F$14:$F$43&amp;"*"))</f>
        <v/>
      </c>
      <c r="CB10" s="170">
        <f>SUMPRODUCT((Settings!$G$14:$G$43=$B10)*COUNTIF('INPUT - Roster'!$CR$6:$CR$206,"*"&amp;Settings!$F$14:$F$43&amp;"*"))</f>
        <v/>
      </c>
      <c r="CC10" s="170">
        <f>SUMPRODUCT((Settings!$G$14:$G$43=$B10)*COUNTIF('INPUT - Roster'!$CS$6:$CS$206,"*"&amp;Settings!$F$14:$F$43&amp;"*"))</f>
        <v/>
      </c>
      <c r="CD10" s="170">
        <f>SUMPRODUCT((Settings!$G$14:$G$43=$B10)*COUNTIF('INPUT - Roster'!$CT$6:$CT$206,"*"&amp;Settings!$F$14:$F$43&amp;"*"))</f>
        <v/>
      </c>
      <c r="CE10" s="170">
        <f>SUMPRODUCT((Settings!$G$14:$G$43=$B10)*COUNTIF('INPUT - Roster'!$CU$6:$CU$206,"*"&amp;Settings!$F$14:$F$43&amp;"*"))</f>
        <v/>
      </c>
      <c r="CF10" s="170">
        <f>SUMPRODUCT((Settings!$G$14:$G$43=$B10)*COUNTIF('INPUT - Roster'!$CV$6:$CV$206,"*"&amp;Settings!$F$14:$F$43&amp;"*"))</f>
        <v/>
      </c>
      <c r="CG10" s="170">
        <f>SUMPRODUCT((Settings!$G$14:$G$43=$B10)*COUNTIF('INPUT - Roster'!$CW$6:$CW$206,"*"&amp;Settings!$F$14:$F$43&amp;"*"))</f>
        <v/>
      </c>
      <c r="CH10" s="170">
        <f>SUMPRODUCT((Settings!$G$14:$G$43=$B10)*COUNTIF('INPUT - Roster'!$CX$6:$CX$206,"*"&amp;Settings!$F$14:$F$43&amp;"*"))</f>
        <v/>
      </c>
      <c r="CI10" s="170">
        <f>SUMPRODUCT((Settings!$G$14:$G$43=$B10)*COUNTIF('INPUT - Roster'!$CY$6:$CY$206,"*"&amp;Settings!$F$14:$F$43&amp;"*"))</f>
        <v/>
      </c>
      <c r="CJ10" s="170">
        <f>SUMPRODUCT((Settings!$G$14:$G$43=$B10)*COUNTIF('INPUT - Roster'!$CZ$6:$CZ$206,"*"&amp;Settings!$F$14:$F$43&amp;"*"))</f>
        <v/>
      </c>
      <c r="CK10" s="170">
        <f>SUMPRODUCT((Settings!$G$14:$G$43=$B10)*COUNTIF('INPUT - Roster'!$DA$6:$DA$206,"*"&amp;Settings!$F$14:$F$43&amp;"*"))</f>
        <v/>
      </c>
      <c r="CL10" s="170">
        <f>SUMPRODUCT((Settings!$G$14:$G$43=$B10)*COUNTIF('INPUT - Roster'!$DB$6:$DB$206,"*"&amp;Settings!$F$14:$F$43&amp;"*"))</f>
        <v/>
      </c>
      <c r="CM10" s="170">
        <f>SUMPRODUCT((Settings!$G$14:$G$43=$B10)*COUNTIF('INPUT - Roster'!$DC$6:$DC$206,"*"&amp;Settings!$F$14:$F$43&amp;"*"))</f>
        <v/>
      </c>
      <c r="CN10" s="170">
        <f>SUMPRODUCT((Settings!$G$14:$G$43=$B10)*COUNTIF('INPUT - Roster'!$DD$6:$DD$206,"*"&amp;Settings!$F$14:$F$43&amp;"*"))</f>
        <v/>
      </c>
      <c r="CO10" s="170">
        <f>SUMPRODUCT((Settings!$G$14:$G$43=$B10)*COUNTIF('INPUT - Roster'!$DE$6:$DE$206,"*"&amp;Settings!$F$14:$F$43&amp;"*"))</f>
        <v/>
      </c>
      <c r="CP10" s="170">
        <f>SUMPRODUCT((Settings!$G$14:$G$43=$B10)*COUNTIF('INPUT - Roster'!$DF$6:$DF$206,"*"&amp;Settings!$F$14:$F$43&amp;"*"))</f>
        <v/>
      </c>
      <c r="CQ10" s="170">
        <f>SUMPRODUCT((Settings!$G$14:$G$43=$B10)*COUNTIF('INPUT - Roster'!$DG$6:$DG$206,"*"&amp;Settings!$F$14:$F$43&amp;"*"))</f>
        <v/>
      </c>
      <c r="CR10" s="170">
        <f>SUMPRODUCT((Settings!$G$14:$G$43=$B10)*COUNTIF('INPUT - Roster'!$DH$6:$DH$206,"*"&amp;Settings!$F$14:$F$43&amp;"*"))</f>
        <v/>
      </c>
      <c r="CS10" s="170">
        <f>SUMPRODUCT((Settings!$G$14:$G$43=$B10)*COUNTIF('INPUT - Roster'!$DI$6:$DI$206,"*"&amp;Settings!$F$14:$F$43&amp;"*"))</f>
        <v/>
      </c>
      <c r="CT10" s="170">
        <f>SUMPRODUCT((Settings!$G$14:$G$43=$B10)*COUNTIF('INPUT - Roster'!$DJ$6:$DJ$206,"*"&amp;Settings!$F$14:$F$43&amp;"*"))</f>
        <v/>
      </c>
      <c r="CU10" s="170">
        <f>SUMPRODUCT((Settings!$G$14:$G$43=$B10)*COUNTIF('INPUT - Roster'!$DK$6:$DK$206,"*"&amp;Settings!$F$14:$F$43&amp;"*"))</f>
        <v/>
      </c>
      <c r="CV10" s="170">
        <f>SUMPRODUCT((Settings!$G$14:$G$43=$B10)*COUNTIF('INPUT - Roster'!$DL$6:$DL$206,"*"&amp;Settings!$F$14:$F$43&amp;"*"))</f>
        <v/>
      </c>
      <c r="CW10" s="170">
        <f>SUMPRODUCT((Settings!$G$14:$G$43=$B10)*COUNTIF('INPUT - Roster'!$DM$6:$DM$206,"*"&amp;Settings!$F$14:$F$43&amp;"*"))</f>
        <v/>
      </c>
      <c r="CX10" s="170">
        <f>SUMPRODUCT((Settings!$G$14:$G$43=$B10)*COUNTIF('INPUT - Roster'!$DN$6:$DN$206,"*"&amp;Settings!$F$14:$F$43&amp;"*"))</f>
        <v/>
      </c>
      <c r="CY10" s="170">
        <f>SUMPRODUCT((Settings!$G$14:$G$43=$B10)*COUNTIF('INPUT - Roster'!$DO$6:$DO$206,"*"&amp;Settings!$F$14:$F$43&amp;"*"))</f>
        <v/>
      </c>
      <c r="CZ10" s="170">
        <f>SUMPRODUCT((Settings!$G$14:$G$43=$B10)*COUNTIF('INPUT - Roster'!$DP$6:$DP$206,"*"&amp;Settings!$F$14:$F$43&amp;"*"))</f>
        <v/>
      </c>
      <c r="DA10" s="170">
        <f>SUMPRODUCT((Settings!$G$14:$G$43=$B10)*COUNTIF('INPUT - Roster'!$DQ$6:$DQ$206,"*"&amp;Settings!$F$14:$F$43&amp;"*"))</f>
        <v/>
      </c>
      <c r="DB10" s="170">
        <f>SUMPRODUCT((Settings!$G$14:$G$43=$B10)*COUNTIF('INPUT - Roster'!$DR$6:$DR$206,"*"&amp;Settings!$F$14:$F$43&amp;"*"))</f>
        <v/>
      </c>
      <c r="DC10" s="170">
        <f>SUMPRODUCT((Settings!$G$14:$G$43=$B10)*COUNTIF('INPUT - Roster'!$DS$6:$DS$206,"*"&amp;Settings!$F$14:$F$43&amp;"*"))</f>
        <v/>
      </c>
      <c r="DD10" s="170">
        <f>SUMPRODUCT((Settings!$G$14:$G$43=$B10)*COUNTIF('INPUT - Roster'!$DT$6:$DT$206,"*"&amp;Settings!$F$14:$F$43&amp;"*"))</f>
        <v/>
      </c>
      <c r="DE10" s="170">
        <f>SUMPRODUCT((Settings!$G$14:$G$43=$B10)*COUNTIF('INPUT - Roster'!$DU$6:$DU$206,"*"&amp;Settings!$F$14:$F$43&amp;"*"))</f>
        <v/>
      </c>
      <c r="DF10" s="170">
        <f>SUMPRODUCT((Settings!$G$14:$G$43=$B10)*COUNTIF('INPUT - Roster'!$DV$6:$DV$206,"*"&amp;Settings!$F$14:$F$43&amp;"*"))</f>
        <v/>
      </c>
      <c r="DG10" s="170">
        <f>SUMPRODUCT((Settings!$G$14:$G$43=$B10)*COUNTIF('INPUT - Roster'!$DW$6:$DW$206,"*"&amp;Settings!$F$14:$F$43&amp;"*"))</f>
        <v/>
      </c>
      <c r="DH10" s="170">
        <f>SUMPRODUCT((Settings!$G$14:$G$43=$B10)*COUNTIF('INPUT - Roster'!$DX$6:$DX$206,"*"&amp;Settings!$F$14:$F$43&amp;"*"))</f>
        <v/>
      </c>
      <c r="DI10" s="170">
        <f>SUMPRODUCT((Settings!$G$14:$G$43=$B10)*COUNTIF('INPUT - Roster'!$DY$6:$DY$206,"*"&amp;Settings!$F$14:$F$43&amp;"*"))</f>
        <v/>
      </c>
      <c r="DJ10" s="170">
        <f>SUMPRODUCT((Settings!$G$14:$G$43=$B10)*COUNTIF('INPUT - Roster'!$DZ$6:$DZ$206,"*"&amp;Settings!$F$14:$F$43&amp;"*"))</f>
        <v/>
      </c>
      <c r="DK10" s="170">
        <f>SUMPRODUCT((Settings!$G$14:$G$43=$B10)*COUNTIF('INPUT - Roster'!$EA$6:$EA$206,"*"&amp;Settings!$F$14:$F$43&amp;"*"))</f>
        <v/>
      </c>
      <c r="DL10" s="170">
        <f>SUMPRODUCT((Settings!$G$14:$G$43=$B10)*COUNTIF('INPUT - Roster'!$EB$6:$EB$206,"*"&amp;Settings!$F$14:$F$43&amp;"*"))</f>
        <v/>
      </c>
      <c r="DM10" s="170">
        <f>SUMPRODUCT((Settings!$G$14:$G$43=$B10)*COUNTIF('INPUT - Roster'!$EC$6:$EC$206,"*"&amp;Settings!$F$14:$F$43&amp;"*"))</f>
        <v/>
      </c>
      <c r="DN10" s="170">
        <f>SUMPRODUCT((Settings!$G$14:$G$43=$B10)*COUNTIF('INPUT - Roster'!$ED$6:$ED$206,"*"&amp;Settings!$F$14:$F$43&amp;"*"))</f>
        <v/>
      </c>
      <c r="DO10" s="170">
        <f>SUMPRODUCT((Settings!$G$14:$G$43=$B10)*COUNTIF('INPUT - Roster'!$EE$6:$EE$206,"*"&amp;Settings!$F$14:$F$43&amp;"*"))</f>
        <v/>
      </c>
      <c r="DP10" s="170">
        <f>SUMPRODUCT((Settings!$G$14:$G$43=$B10)*COUNTIF('INPUT - Roster'!$EF$6:$EF$206,"*"&amp;Settings!$F$14:$F$43&amp;"*"))</f>
        <v/>
      </c>
      <c r="DQ10" s="170">
        <f>SUMPRODUCT((Settings!$G$14:$G$43=$B10)*COUNTIF('INPUT - Roster'!$EG$6:$EG$206,"*"&amp;Settings!$F$14:$F$43&amp;"*"))</f>
        <v/>
      </c>
      <c r="DR10" s="170">
        <f>SUMPRODUCT((Settings!$G$14:$G$43=$B10)*COUNTIF('INPUT - Roster'!$EH$6:$EH$206,"*"&amp;Settings!$F$14:$F$43&amp;"*"))</f>
        <v/>
      </c>
      <c r="DS10" s="170">
        <f>SUMPRODUCT((Settings!$G$14:$G$43=$B10)*COUNTIF('INPUT - Roster'!$EI$6:$EI$206,"*"&amp;Settings!$F$14:$F$43&amp;"*"))</f>
        <v/>
      </c>
      <c r="DT10" s="170">
        <f>SUMPRODUCT((Settings!$G$14:$G$43=$B10)*COUNTIF('INPUT - Roster'!$EJ$6:$EJ$206,"*"&amp;Settings!$F$14:$F$43&amp;"*"))</f>
        <v/>
      </c>
      <c r="DU10" s="170">
        <f>SUMPRODUCT((Settings!$G$14:$G$43=$B10)*COUNTIF('INPUT - Roster'!$EK$6:$EK$206,"*"&amp;Settings!$F$14:$F$43&amp;"*"))</f>
        <v/>
      </c>
      <c r="DV10" s="170">
        <f>SUMPRODUCT((Settings!$G$14:$G$43=$B10)*COUNTIF('INPUT - Roster'!$EL$6:$EL$206,"*"&amp;Settings!$F$14:$F$43&amp;"*"))</f>
        <v/>
      </c>
      <c r="DW10" s="170">
        <f>SUMPRODUCT((Settings!$G$14:$G$43=$B10)*COUNTIF('INPUT - Roster'!$EM$6:$EM$206,"*"&amp;Settings!$F$14:$F$43&amp;"*"))</f>
        <v/>
      </c>
      <c r="DX10" s="170">
        <f>SUMPRODUCT((Settings!$G$14:$G$43=$B10)*COUNTIF('INPUT - Roster'!$EN$6:$EN$206,"*"&amp;Settings!$F$14:$F$43&amp;"*"))</f>
        <v/>
      </c>
      <c r="DY10" s="170">
        <f>SUMPRODUCT((Settings!$G$14:$G$43=$B10)*COUNTIF('INPUT - Roster'!$EO$6:$EO$206,"*"&amp;Settings!$F$14:$F$43&amp;"*"))</f>
        <v/>
      </c>
      <c r="DZ10" s="170">
        <f>SUMPRODUCT((Settings!$G$14:$G$43=$B10)*COUNTIF('INPUT - Roster'!$EP$6:$EP$206,"*"&amp;Settings!$F$14:$F$43&amp;"*"))</f>
        <v/>
      </c>
      <c r="EA10" s="170">
        <f>SUMPRODUCT((Settings!$G$14:$G$43=$B10)*COUNTIF('INPUT - Roster'!$EQ$6:$EQ$206,"*"&amp;Settings!$F$14:$F$43&amp;"*"))</f>
        <v/>
      </c>
      <c r="EB10" s="170">
        <f>SUMPRODUCT((Settings!$G$14:$G$43=$B10)*COUNTIF('INPUT - Roster'!$ER$6:$ER$206,"*"&amp;Settings!$F$14:$F$43&amp;"*"))</f>
        <v/>
      </c>
      <c r="EC10" s="170">
        <f>SUMPRODUCT((Settings!$G$14:$G$43=$B10)*COUNTIF('INPUT - Roster'!$ES$6:$ES$206,"*"&amp;Settings!$F$14:$F$43&amp;"*"))</f>
        <v/>
      </c>
      <c r="ED10" s="170">
        <f>SUMPRODUCT((Settings!$G$14:$G$43=$B10)*COUNTIF('INPUT - Roster'!$ET$6:$ET$206,"*"&amp;Settings!$F$14:$F$43&amp;"*"))</f>
        <v/>
      </c>
      <c r="EE10" s="170">
        <f>SUMPRODUCT((Settings!$G$14:$G$43=$B10)*COUNTIF('INPUT - Roster'!$EU$6:$EU$206,"*"&amp;Settings!$F$14:$F$43&amp;"*"))</f>
        <v/>
      </c>
      <c r="EF10" s="170">
        <f>SUMPRODUCT((Settings!$G$14:$G$43=$B10)*COUNTIF('INPUT - Roster'!$EV$6:$EV$206,"*"&amp;Settings!$F$14:$F$43&amp;"*"))</f>
        <v/>
      </c>
      <c r="EG10" s="170">
        <f>SUMPRODUCT((Settings!$G$14:$G$43=$B10)*COUNTIF('INPUT - Roster'!$EW$6:$EW$206,"*"&amp;Settings!$F$14:$F$43&amp;"*"))</f>
        <v/>
      </c>
      <c r="EH10" s="170">
        <f>SUMPRODUCT((Settings!$G$14:$G$43=$B10)*COUNTIF('INPUT - Roster'!$EX$6:$EX$206,"*"&amp;Settings!$F$14:$F$43&amp;"*"))</f>
        <v/>
      </c>
      <c r="EI10" s="170">
        <f>SUMPRODUCT((Settings!$G$14:$G$43=$B10)*COUNTIF('INPUT - Roster'!$EY$6:$EY$206,"*"&amp;Settings!$F$14:$F$43&amp;"*"))</f>
        <v/>
      </c>
      <c r="EJ10" s="170">
        <f>SUMPRODUCT((Settings!$G$14:$G$43=$B10)*COUNTIF('INPUT - Roster'!$EZ$6:$EZ$206,"*"&amp;Settings!$F$14:$F$43&amp;"*"))</f>
        <v/>
      </c>
      <c r="EK10" s="170">
        <f>SUMPRODUCT((Settings!$G$14:$G$43=$B10)*COUNTIF('INPUT - Roster'!$FA$6:$FA$206,"*"&amp;Settings!$F$14:$F$43&amp;"*"))</f>
        <v/>
      </c>
      <c r="EL10" s="170">
        <f>SUMPRODUCT((Settings!$G$14:$G$43=$B10)*COUNTIF('INPUT - Roster'!$FB$6:$FB$206,"*"&amp;Settings!$F$14:$F$43&amp;"*"))</f>
        <v/>
      </c>
      <c r="EM10" s="170">
        <f>SUMPRODUCT((Settings!$G$14:$G$43=$B10)*COUNTIF('INPUT - Roster'!$FC$6:$FC$206,"*"&amp;Settings!$F$14:$F$43&amp;"*"))</f>
        <v/>
      </c>
      <c r="EN10" s="170">
        <f>SUMPRODUCT((Settings!$G$14:$G$43=$B10)*COUNTIF('INPUT - Roster'!$FD$6:$FD$206,"*"&amp;Settings!$F$14:$F$43&amp;"*"))</f>
        <v/>
      </c>
      <c r="EO10" s="170">
        <f>SUMPRODUCT((Settings!$G$14:$G$43=$B10)*COUNTIF('INPUT - Roster'!$FE$6:$FE$206,"*"&amp;Settings!$F$14:$F$43&amp;"*"))</f>
        <v/>
      </c>
      <c r="EP10" s="170">
        <f>SUMPRODUCT((Settings!$G$14:$G$43=$B10)*COUNTIF('INPUT - Roster'!$FF$6:$FF$206,"*"&amp;Settings!$F$14:$F$43&amp;"*"))</f>
        <v/>
      </c>
      <c r="EQ10" s="170">
        <f>SUMPRODUCT((Settings!$G$14:$G$43=$B10)*COUNTIF('INPUT - Roster'!$FG$6:$FG$206,"*"&amp;Settings!$F$14:$F$43&amp;"*"))</f>
        <v/>
      </c>
      <c r="ER10" s="170">
        <f>SUMPRODUCT((Settings!$G$14:$G$43=$B10)*COUNTIF('INPUT - Roster'!$FH$6:$FH$206,"*"&amp;Settings!$F$14:$F$43&amp;"*"))</f>
        <v/>
      </c>
      <c r="ES10" s="170">
        <f>SUMPRODUCT((Settings!$G$14:$G$43=$B10)*COUNTIF('INPUT - Roster'!$FI$6:$FI$206,"*"&amp;Settings!$F$14:$F$43&amp;"*"))</f>
        <v/>
      </c>
      <c r="ET10" s="170">
        <f>SUMPRODUCT((Settings!$G$14:$G$43=$B10)*COUNTIF('INPUT - Roster'!$FJ$6:$FJ$206,"*"&amp;Settings!$F$14:$F$43&amp;"*"))</f>
        <v/>
      </c>
      <c r="EU10" s="170">
        <f>SUMPRODUCT((Settings!$G$14:$G$43=$B10)*COUNTIF('INPUT - Roster'!$FK$6:$FK$206,"*"&amp;Settings!$F$14:$F$43&amp;"*"))</f>
        <v/>
      </c>
      <c r="EV10" s="170">
        <f>SUMPRODUCT((Settings!$G$14:$G$43=$B10)*COUNTIF('INPUT - Roster'!$FL$6:$FL$206,"*"&amp;Settings!$F$14:$F$43&amp;"*"))</f>
        <v/>
      </c>
      <c r="EW10" s="170">
        <f>SUMPRODUCT((Settings!$G$14:$G$43=$B10)*COUNTIF('INPUT - Roster'!$FM$6:$FM$206,"*"&amp;Settings!$F$14:$F$43&amp;"*"))</f>
        <v/>
      </c>
      <c r="EX10" s="170">
        <f>SUMPRODUCT((Settings!$G$14:$G$43=$B10)*COUNTIF('INPUT - Roster'!$FN$6:$FN$206,"*"&amp;Settings!$F$14:$F$43&amp;"*"))</f>
        <v/>
      </c>
      <c r="EY10" s="170">
        <f>SUMPRODUCT((Settings!$G$14:$G$43=$B10)*COUNTIF('INPUT - Roster'!$FO$6:$FO$206,"*"&amp;Settings!$F$14:$F$43&amp;"*"))</f>
        <v/>
      </c>
      <c r="EZ10" s="170">
        <f>SUMPRODUCT((Settings!$G$14:$G$43=$B10)*COUNTIF('INPUT - Roster'!$FP$6:$FP$206,"*"&amp;Settings!$F$14:$F$43&amp;"*"))</f>
        <v/>
      </c>
      <c r="FA10" s="170">
        <f>SUMPRODUCT((Settings!$G$14:$G$43=$B10)*COUNTIF('INPUT - Roster'!$FQ$6:$FQ$206,"*"&amp;Settings!$F$14:$F$43&amp;"*"))</f>
        <v/>
      </c>
      <c r="FB10" s="170">
        <f>SUMPRODUCT((Settings!$G$14:$G$43=$B10)*COUNTIF('INPUT - Roster'!$FR$6:$FR$206,"*"&amp;Settings!$F$14:$F$43&amp;"*"))</f>
        <v/>
      </c>
      <c r="FC10" s="170">
        <f>SUMPRODUCT((Settings!$G$14:$G$43=$B10)*COUNTIF('INPUT - Roster'!$FS$6:$FS$206,"*"&amp;Settings!$F$14:$F$43&amp;"*"))</f>
        <v/>
      </c>
      <c r="FD10" s="170">
        <f>SUMPRODUCT((Settings!$G$14:$G$43=$B10)*COUNTIF('INPUT - Roster'!$FT$6:$FT$206,"*"&amp;Settings!$F$14:$F$43&amp;"*"))</f>
        <v/>
      </c>
      <c r="FE10" s="170">
        <f>SUMPRODUCT((Settings!$G$14:$G$43=$B10)*COUNTIF('INPUT - Roster'!$FU$6:$FU$206,"*"&amp;Settings!$F$14:$F$43&amp;"*"))</f>
        <v/>
      </c>
      <c r="FF10" s="170">
        <f>SUMPRODUCT((Settings!$G$14:$G$43=$B10)*COUNTIF('INPUT - Roster'!$FV$6:$FV$206,"*"&amp;Settings!$F$14:$F$43&amp;"*"))</f>
        <v/>
      </c>
      <c r="FG10" s="170">
        <f>SUMPRODUCT((Settings!$G$14:$G$43=$B10)*COUNTIF('INPUT - Roster'!$FW$6:$FW$206,"*"&amp;Settings!$F$14:$F$43&amp;"*"))</f>
        <v/>
      </c>
      <c r="FH10" s="170">
        <f>SUMPRODUCT((Settings!$G$14:$G$43=$B10)*COUNTIF('INPUT - Roster'!$FX$6:$FX$206,"*"&amp;Settings!$F$14:$F$43&amp;"*"))</f>
        <v/>
      </c>
      <c r="FI10" s="170">
        <f>SUMPRODUCT((Settings!$G$14:$G$43=$B10)*COUNTIF('INPUT - Roster'!$FY$6:$FY$206,"*"&amp;Settings!$F$14:$F$43&amp;"*"))</f>
        <v/>
      </c>
      <c r="FJ10" s="170">
        <f>SUMPRODUCT((Settings!$G$14:$G$43=$B10)*COUNTIF('INPUT - Roster'!$FZ$6:$FZ$206,"*"&amp;Settings!$F$14:$F$43&amp;"*"))</f>
        <v/>
      </c>
      <c r="FK10" s="170">
        <f>SUMPRODUCT((Settings!$G$14:$G$43=$B10)*COUNTIF('INPUT - Roster'!$GA$6:$GA$206,"*"&amp;Settings!$F$14:$F$43&amp;"*"))</f>
        <v/>
      </c>
      <c r="FL10" s="170">
        <f>SUMPRODUCT((Settings!$G$14:$G$43=$B10)*COUNTIF('INPUT - Roster'!$GB$6:$GB$206,"*"&amp;Settings!$F$14:$F$43&amp;"*"))</f>
        <v/>
      </c>
      <c r="FM10" s="170">
        <f>SUMPRODUCT((Settings!$G$14:$G$43=$B10)*COUNTIF('INPUT - Roster'!$GC$6:$GC$206,"*"&amp;Settings!$F$14:$F$43&amp;"*"))</f>
        <v/>
      </c>
      <c r="FN10" s="170">
        <f>SUMPRODUCT((Settings!$G$14:$G$43=$B10)*COUNTIF('INPUT - Roster'!$GD$6:$GD$206,"*"&amp;Settings!$F$14:$F$43&amp;"*"))</f>
        <v/>
      </c>
      <c r="FO10" s="170">
        <f>SUMPRODUCT((Settings!$G$14:$G$43=$B10)*COUNTIF('INPUT - Roster'!$GE$6:$GE$206,"*"&amp;Settings!$F$14:$F$43&amp;"*"))</f>
        <v/>
      </c>
      <c r="FP10" s="170">
        <f>SUMPRODUCT((Settings!$G$14:$G$43=$B10)*COUNTIF('INPUT - Roster'!$GF$6:$GF$206,"*"&amp;Settings!$F$14:$F$43&amp;"*"))</f>
        <v/>
      </c>
      <c r="FQ10" s="170">
        <f>SUMPRODUCT((Settings!$G$14:$G$43=$B10)*COUNTIF('INPUT - Roster'!$GG$6:$GG$206,"*"&amp;Settings!$F$14:$F$43&amp;"*"))</f>
        <v/>
      </c>
      <c r="FR10" s="170">
        <f>SUMPRODUCT((Settings!$G$14:$G$43=$B10)*COUNTIF('INPUT - Roster'!$GH$6:$GH$206,"*"&amp;Settings!$F$14:$F$43&amp;"*"))</f>
        <v/>
      </c>
      <c r="FS10" s="170">
        <f>SUMPRODUCT((Settings!$G$14:$G$43=$B10)*COUNTIF('INPUT - Roster'!$GI$6:$GI$206,"*"&amp;Settings!$F$14:$F$43&amp;"*"))</f>
        <v/>
      </c>
      <c r="FT10" s="170">
        <f>SUMPRODUCT((Settings!$G$14:$G$43=$B10)*COUNTIF('INPUT - Roster'!$GJ$6:$GJ$206,"*"&amp;Settings!$F$14:$F$43&amp;"*"))</f>
        <v/>
      </c>
      <c r="FU10" s="170">
        <f>SUMPRODUCT((Settings!$G$14:$G$43=$B10)*COUNTIF('INPUT - Roster'!$GK$6:$GK$206,"*"&amp;Settings!$F$14:$F$43&amp;"*"))</f>
        <v/>
      </c>
      <c r="FV10" s="170">
        <f>SUMPRODUCT((Settings!$G$14:$G$43=$B10)*COUNTIF('INPUT - Roster'!$GL$6:$GL$206,"*"&amp;Settings!$F$14:$F$43&amp;"*"))</f>
        <v/>
      </c>
      <c r="FW10" s="170">
        <f>SUMPRODUCT((Settings!$G$14:$G$43=$B10)*COUNTIF('INPUT - Roster'!$GM$6:$GM$206,"*"&amp;Settings!$F$14:$F$43&amp;"*"))</f>
        <v/>
      </c>
      <c r="FX10" s="170">
        <f>SUMPRODUCT((Settings!$G$14:$G$43=$B10)*COUNTIF('INPUT - Roster'!$GN$6:$GN$206,"*"&amp;Settings!$F$14:$F$43&amp;"*"))</f>
        <v/>
      </c>
      <c r="FY10" s="170">
        <f>SUMPRODUCT((Settings!$G$14:$G$43=$B10)*COUNTIF('INPUT - Roster'!$GO$6:$GO$206,"*"&amp;Settings!$F$14:$F$43&amp;"*"))</f>
        <v/>
      </c>
      <c r="FZ10" s="170">
        <f>SUMPRODUCT((Settings!$G$14:$G$43=$B10)*COUNTIF('INPUT - Roster'!$GP$6:$GP$206,"*"&amp;Settings!$F$14:$F$43&amp;"*"))</f>
        <v/>
      </c>
      <c r="GA10" s="170">
        <f>SUMPRODUCT((Settings!$G$14:$G$43=$B10)*COUNTIF('INPUT - Roster'!$GQ$6:$GQ$206,"*"&amp;Settings!$F$14:$F$43&amp;"*"))</f>
        <v/>
      </c>
      <c r="GB10" s="170">
        <f>SUMPRODUCT((Settings!$G$14:$G$43=$B10)*COUNTIF('INPUT - Roster'!$GR$6:$GR$206,"*"&amp;Settings!$F$14:$F$43&amp;"*"))</f>
        <v/>
      </c>
      <c r="GC10" s="170">
        <f>SUMPRODUCT((Settings!$G$14:$G$43=$B10)*COUNTIF('INPUT - Roster'!$GS$6:$GS$206,"*"&amp;Settings!$F$14:$F$43&amp;"*"))</f>
        <v/>
      </c>
      <c r="GD10" s="170">
        <f>SUMPRODUCT((Settings!$G$14:$G$43=$B10)*COUNTIF('INPUT - Roster'!$GT$6:$GT$206,"*"&amp;Settings!$F$14:$F$43&amp;"*"))</f>
        <v/>
      </c>
      <c r="GE10" s="170">
        <f>SUMPRODUCT((Settings!$G$14:$G$43=$B10)*COUNTIF('INPUT - Roster'!$GU$6:$GU$206,"*"&amp;Settings!$F$14:$F$43&amp;"*"))</f>
        <v/>
      </c>
      <c r="GF10" s="170">
        <f>SUMPRODUCT((Settings!$G$14:$G$43=$B10)*COUNTIF('INPUT - Roster'!$GV$6:$GV$206,"*"&amp;Settings!$F$14:$F$43&amp;"*"))</f>
        <v/>
      </c>
      <c r="GG10" s="170">
        <f>SUMPRODUCT((Settings!$G$14:$G$43=$B10)*COUNTIF('INPUT - Roster'!$GW$6:$GW$206,"*"&amp;Settings!$F$14:$F$43&amp;"*"))</f>
        <v/>
      </c>
      <c r="GH10" s="170">
        <f>SUMPRODUCT((Settings!$G$14:$G$43=$B10)*COUNTIF('INPUT - Roster'!$GX$6:$GX$206,"*"&amp;Settings!$F$14:$F$43&amp;"*"))</f>
        <v/>
      </c>
      <c r="GI10" s="170">
        <f>SUMPRODUCT((Settings!$G$14:$G$43=$B10)*COUNTIF('INPUT - Roster'!$GY$6:$GY$206,"*"&amp;Settings!$F$14:$F$43&amp;"*"))</f>
        <v/>
      </c>
      <c r="GJ10" s="170">
        <f>SUMPRODUCT((Settings!$G$14:$G$43=$B10)*COUNTIF('INPUT - Roster'!$GZ$6:$GZ$206,"*"&amp;Settings!$F$14:$F$43&amp;"*"))</f>
        <v/>
      </c>
      <c r="GK10" s="170">
        <f>SUMPRODUCT((Settings!$G$14:$G$43=$B10)*COUNTIF('INPUT - Roster'!$HA$6:$HA$206,"*"&amp;Settings!$F$14:$F$43&amp;"*"))</f>
        <v/>
      </c>
      <c r="GL10" s="170">
        <f>SUMPRODUCT((Settings!$G$14:$G$43=$B10)*COUNTIF('INPUT - Roster'!$HB$6:$HB$206,"*"&amp;Settings!$F$14:$F$43&amp;"*"))</f>
        <v/>
      </c>
      <c r="GM10" s="170">
        <f>SUMPRODUCT((Settings!$G$14:$G$43=$B10)*COUNTIF('INPUT - Roster'!$HC$6:$HC$206,"*"&amp;Settings!$F$14:$F$43&amp;"*"))</f>
        <v/>
      </c>
      <c r="GN10" s="170">
        <f>SUMPRODUCT((Settings!$G$14:$G$43=$B10)*COUNTIF('INPUT - Roster'!$HD$6:$HD$206,"*"&amp;Settings!$F$14:$F$43&amp;"*"))</f>
        <v/>
      </c>
      <c r="GO10" s="170">
        <f>SUMPRODUCT((Settings!$G$14:$G$43=$B10)*COUNTIF('INPUT - Roster'!$HE$6:$HE$206,"*"&amp;Settings!$F$14:$F$43&amp;"*"))</f>
        <v/>
      </c>
      <c r="GP10" s="170">
        <f>SUMPRODUCT((Settings!$G$14:$G$43=$B10)*COUNTIF('INPUT - Roster'!$HF$6:$HF$206,"*"&amp;Settings!$F$14:$F$43&amp;"*"))</f>
        <v/>
      </c>
      <c r="GQ10" s="170">
        <f>SUMPRODUCT((Settings!$G$14:$G$43=$B10)*COUNTIF('INPUT - Roster'!$HG$6:$HG$206,"*"&amp;Settings!$F$14:$F$43&amp;"*"))</f>
        <v/>
      </c>
      <c r="GR10" s="170">
        <f>SUMPRODUCT((Settings!$G$14:$G$43=$B10)*COUNTIF('INPUT - Roster'!$HH$6:$HH$206,"*"&amp;Settings!$F$14:$F$43&amp;"*"))</f>
        <v/>
      </c>
      <c r="GS10" s="170">
        <f>SUMPRODUCT((Settings!$G$14:$G$43=$B10)*COUNTIF('INPUT - Roster'!$HI$6:$HI$206,"*"&amp;Settings!$F$14:$F$43&amp;"*"))</f>
        <v/>
      </c>
      <c r="GT10" s="170">
        <f>SUMPRODUCT((Settings!$G$14:$G$43=$B10)*COUNTIF('INPUT - Roster'!$HJ$6:$HJ$206,"*"&amp;Settings!$F$14:$F$43&amp;"*"))</f>
        <v/>
      </c>
      <c r="GU10" s="170">
        <f>SUMPRODUCT((Settings!$G$14:$G$43=$B10)*COUNTIF('INPUT - Roster'!$HK$6:$HK$206,"*"&amp;Settings!$F$14:$F$43&amp;"*"))</f>
        <v/>
      </c>
      <c r="GV10" s="170">
        <f>SUMPRODUCT((Settings!$G$14:$G$43=$B10)*COUNTIF('INPUT - Roster'!$HL$6:$HL$206,"*"&amp;Settings!$F$14:$F$43&amp;"*"))</f>
        <v/>
      </c>
      <c r="GW10" s="170">
        <f>SUMPRODUCT((Settings!$G$14:$G$43=$B10)*COUNTIF('INPUT - Roster'!$HM$6:$HM$206,"*"&amp;Settings!$F$14:$F$43&amp;"*"))</f>
        <v/>
      </c>
      <c r="GX10" s="170">
        <f>SUMPRODUCT((Settings!$G$14:$G$43=$B10)*COUNTIF('INPUT - Roster'!$HN$6:$HN$206,"*"&amp;Settings!$F$14:$F$43&amp;"*"))</f>
        <v/>
      </c>
      <c r="GY10" s="170">
        <f>SUMPRODUCT((Settings!$G$14:$G$43=$B10)*COUNTIF('INPUT - Roster'!$HO$6:$HO$206,"*"&amp;Settings!$F$14:$F$43&amp;"*"))</f>
        <v/>
      </c>
      <c r="GZ10" s="170">
        <f>SUMPRODUCT((Settings!$G$14:$G$43=$B10)*COUNTIF('INPUT - Roster'!$HP$6:$HP$206,"*"&amp;Settings!$F$14:$F$43&amp;"*"))</f>
        <v/>
      </c>
      <c r="HA10" s="170">
        <f>SUMPRODUCT((Settings!$G$14:$G$43=$B10)*COUNTIF('INPUT - Roster'!$HQ$6:$HQ$206,"*"&amp;Settings!$F$14:$F$43&amp;"*"))</f>
        <v/>
      </c>
      <c r="HB10" s="170">
        <f>SUMPRODUCT((Settings!$G$14:$G$43=$B10)*COUNTIF('INPUT - Roster'!$HR$6:$HR$206,"*"&amp;Settings!$F$14:$F$43&amp;"*"))</f>
        <v/>
      </c>
      <c r="HC10" s="170">
        <f>SUMPRODUCT((Settings!$G$14:$G$43=$B10)*COUNTIF('INPUT - Roster'!$HS$6:$HS$206,"*"&amp;Settings!$F$14:$F$43&amp;"*"))</f>
        <v/>
      </c>
      <c r="HD10" s="170">
        <f>SUMPRODUCT((Settings!$G$14:$G$43=$B10)*COUNTIF('INPUT - Roster'!$HT$6:$HT$206,"*"&amp;Settings!$F$14:$F$43&amp;"*"))</f>
        <v/>
      </c>
      <c r="HE10" s="170">
        <f>SUMPRODUCT((Settings!$G$14:$G$43=$B10)*COUNTIF('INPUT - Roster'!$HU$6:$HU$206,"*"&amp;Settings!$F$14:$F$43&amp;"*"))</f>
        <v/>
      </c>
      <c r="HF10" s="170">
        <f>SUMPRODUCT((Settings!$G$14:$G$43=$B10)*COUNTIF('INPUT - Roster'!$HV$6:$HV$206,"*"&amp;Settings!$F$14:$F$43&amp;"*"))</f>
        <v/>
      </c>
      <c r="HG10" s="170">
        <f>SUMPRODUCT((Settings!$G$14:$G$43=$B10)*COUNTIF('INPUT - Roster'!$HW$6:$HW$206,"*"&amp;Settings!$F$14:$F$43&amp;"*"))</f>
        <v/>
      </c>
      <c r="HH10" s="170">
        <f>SUMPRODUCT((Settings!$G$14:$G$43=$B10)*COUNTIF('INPUT - Roster'!$HX$6:$HX$206,"*"&amp;Settings!$F$14:$F$43&amp;"*"))</f>
        <v/>
      </c>
      <c r="HI10" s="170">
        <f>SUMPRODUCT((Settings!$G$14:$G$43=$B10)*COUNTIF('INPUT - Roster'!$HY$6:$HY$206,"*"&amp;Settings!$F$14:$F$43&amp;"*"))</f>
        <v/>
      </c>
      <c r="HJ10" s="170">
        <f>SUMPRODUCT((Settings!$G$14:$G$43=$B10)*COUNTIF('INPUT - Roster'!$HZ$6:$HZ$206,"*"&amp;Settings!$F$14:$F$43&amp;"*"))</f>
        <v/>
      </c>
      <c r="HK10" s="170">
        <f>SUMPRODUCT((Settings!$G$14:$G$43=$B10)*COUNTIF('INPUT - Roster'!$IA$6:$IA$206,"*"&amp;Settings!$F$14:$F$43&amp;"*"))</f>
        <v/>
      </c>
      <c r="HL10" s="170">
        <f>SUMPRODUCT((Settings!$G$14:$G$43=$B10)*COUNTIF('INPUT - Roster'!$IB$6:$IB$206,"*"&amp;Settings!$F$14:$F$43&amp;"*"))</f>
        <v/>
      </c>
      <c r="HM10" s="170">
        <f>SUMPRODUCT((Settings!$G$14:$G$43=$B10)*COUNTIF('INPUT - Roster'!$IC$6:$IC$206,"*"&amp;Settings!$F$14:$F$43&amp;"*"))</f>
        <v/>
      </c>
      <c r="HN10" s="170">
        <f>SUMPRODUCT((Settings!$G$14:$G$43=$B10)*COUNTIF('INPUT - Roster'!$ID$6:$ID$206,"*"&amp;Settings!$F$14:$F$43&amp;"*"))</f>
        <v/>
      </c>
      <c r="HO10" s="170">
        <f>SUMPRODUCT((Settings!$G$14:$G$43=$B10)*COUNTIF('INPUT - Roster'!$IE$6:$IE$206,"*"&amp;Settings!$F$14:$F$43&amp;"*"))</f>
        <v/>
      </c>
      <c r="HP10" s="170">
        <f>SUMPRODUCT((Settings!$G$14:$G$43=$B10)*COUNTIF('INPUT - Roster'!$IF$6:$IF$206,"*"&amp;Settings!$F$14:$F$43&amp;"*"))</f>
        <v/>
      </c>
      <c r="HQ10" s="170">
        <f>SUMPRODUCT((Settings!$G$14:$G$43=$B10)*COUNTIF('INPUT - Roster'!$IG$6:$IG$206,"*"&amp;Settings!$F$14:$F$43&amp;"*"))</f>
        <v/>
      </c>
      <c r="HR10" s="170">
        <f>SUMPRODUCT((Settings!$G$14:$G$43=$B10)*COUNTIF('INPUT - Roster'!$IH$6:$IH$206,"*"&amp;Settings!$F$14:$F$43&amp;"*"))</f>
        <v/>
      </c>
      <c r="HS10" s="170">
        <f>SUMPRODUCT((Settings!$G$14:$G$43=$B10)*COUNTIF('INPUT - Roster'!$II$6:$II$206,"*"&amp;Settings!$F$14:$F$43&amp;"*"))</f>
        <v/>
      </c>
      <c r="HT10" s="170">
        <f>SUMPRODUCT((Settings!$G$14:$G$43=$B10)*COUNTIF('INPUT - Roster'!$IJ$6:$IJ$206,"*"&amp;Settings!$F$14:$F$43&amp;"*"))</f>
        <v/>
      </c>
      <c r="HU10" s="170">
        <f>SUMPRODUCT((Settings!$G$14:$G$43=$B10)*COUNTIF('INPUT - Roster'!$IK$6:$IK$206,"*"&amp;Settings!$F$14:$F$43&amp;"*"))</f>
        <v/>
      </c>
      <c r="HV10" s="170">
        <f>SUMPRODUCT((Settings!$G$14:$G$43=$B10)*COUNTIF('INPUT - Roster'!$IL$6:$IL$206,"*"&amp;Settings!$F$14:$F$43&amp;"*"))</f>
        <v/>
      </c>
      <c r="HW10" s="170">
        <f>SUMPRODUCT((Settings!$G$14:$G$43=$B10)*COUNTIF('INPUT - Roster'!$IM$6:$IM$206,"*"&amp;Settings!$F$14:$F$43&amp;"*"))</f>
        <v/>
      </c>
      <c r="HX10" s="170">
        <f>SUMPRODUCT((Settings!$G$14:$G$43=$B10)*COUNTIF('INPUT - Roster'!$IN$6:$IN$206,"*"&amp;Settings!$F$14:$F$43&amp;"*"))</f>
        <v/>
      </c>
      <c r="HY10" s="170">
        <f>SUMPRODUCT((Settings!$G$14:$G$43=$B10)*COUNTIF('INPUT - Roster'!$IO$6:$IO$206,"*"&amp;Settings!$F$14:$F$43&amp;"*"))</f>
        <v/>
      </c>
      <c r="HZ10" s="170">
        <f>SUMPRODUCT((Settings!$G$14:$G$43=$B10)*COUNTIF('INPUT - Roster'!$IP$6:$IP$206,"*"&amp;Settings!$F$14:$F$43&amp;"*"))</f>
        <v/>
      </c>
      <c r="IA10" s="170">
        <f>SUMPRODUCT((Settings!$G$14:$G$43=$B10)*COUNTIF('INPUT - Roster'!$IQ$6:$IQ$206,"*"&amp;Settings!$F$14:$F$43&amp;"*"))</f>
        <v/>
      </c>
      <c r="IB10" s="170">
        <f>SUMPRODUCT((Settings!$G$14:$G$43=$B10)*COUNTIF('INPUT - Roster'!$IR$6:$IR$206,"*"&amp;Settings!$F$14:$F$43&amp;"*"))</f>
        <v/>
      </c>
      <c r="IC10" s="170">
        <f>SUMPRODUCT((Settings!$G$14:$G$43=$B10)*COUNTIF('INPUT - Roster'!$IS$6:$IS$206,"*"&amp;Settings!$F$14:$F$43&amp;"*"))</f>
        <v/>
      </c>
      <c r="ID10" s="170">
        <f>SUMPRODUCT((Settings!$G$14:$G$43=$B10)*COUNTIF('INPUT - Roster'!$IT$6:$IT$206,"*"&amp;Settings!$F$14:$F$43&amp;"*"))</f>
        <v/>
      </c>
      <c r="IE10" s="170">
        <f>SUMPRODUCT((Settings!$G$14:$G$43=$B10)*COUNTIF('INPUT - Roster'!$IU$6:$IU$206,"*"&amp;Settings!$F$14:$F$43&amp;"*"))</f>
        <v/>
      </c>
      <c r="IF10" s="170">
        <f>SUMPRODUCT((Settings!$G$14:$G$43=$B10)*COUNTIF('INPUT - Roster'!$IV$6:$IV$206,"*"&amp;Settings!$F$14:$F$43&amp;"*"))</f>
        <v/>
      </c>
      <c r="IG10" s="170">
        <f>SUMPRODUCT((Settings!$G$14:$G$43=$B10)*COUNTIF('INPUT - Roster'!$IW$6:$IW$206,"*"&amp;Settings!$F$14:$F$43&amp;"*"))</f>
        <v/>
      </c>
      <c r="IH10" s="170">
        <f>SUMPRODUCT((Settings!$G$14:$G$43=$B10)*COUNTIF('INPUT - Roster'!$IX$6:$IX$206,"*"&amp;Settings!$F$14:$F$43&amp;"*"))</f>
        <v/>
      </c>
      <c r="II10" s="170">
        <f>SUMPRODUCT((Settings!$G$14:$G$43=$B10)*COUNTIF('INPUT - Roster'!$IY$6:$IY$206,"*"&amp;Settings!$F$14:$F$43&amp;"*"))</f>
        <v/>
      </c>
      <c r="IJ10" s="170">
        <f>SUMPRODUCT((Settings!$G$14:$G$43=$B10)*COUNTIF('INPUT - Roster'!$IZ$6:$IZ$206,"*"&amp;Settings!$F$14:$F$43&amp;"*"))</f>
        <v/>
      </c>
      <c r="IK10" s="170">
        <f>SUMPRODUCT((Settings!$G$14:$G$43=$B10)*COUNTIF('INPUT - Roster'!$JA$6:$JA$206,"*"&amp;Settings!$F$14:$F$43&amp;"*"))</f>
        <v/>
      </c>
      <c r="IL10" s="170">
        <f>SUMPRODUCT((Settings!$G$14:$G$43=$B10)*COUNTIF('INPUT - Roster'!$JB$6:$JB$206,"*"&amp;Settings!$F$14:$F$43&amp;"*"))</f>
        <v/>
      </c>
      <c r="IM10" s="170">
        <f>SUMPRODUCT((Settings!$G$14:$G$43=$B10)*COUNTIF('INPUT - Roster'!$JC$6:$JC$206,"*"&amp;Settings!$F$14:$F$43&amp;"*"))</f>
        <v/>
      </c>
      <c r="IN10" s="170">
        <f>SUMPRODUCT((Settings!$G$14:$G$43=$B10)*COUNTIF('INPUT - Roster'!$JD$6:$JD$206,"*"&amp;Settings!$F$14:$F$43&amp;"*"))</f>
        <v/>
      </c>
      <c r="IO10" s="170">
        <f>SUMPRODUCT((Settings!$G$14:$G$43=$B10)*COUNTIF('INPUT - Roster'!$JE$6:$JE$206,"*"&amp;Settings!$F$14:$F$43&amp;"*"))</f>
        <v/>
      </c>
      <c r="IP10" s="170">
        <f>SUMPRODUCT((Settings!$G$14:$G$43=$B10)*COUNTIF('INPUT - Roster'!$JF$6:$JF$206,"*"&amp;Settings!$F$14:$F$43&amp;"*"))</f>
        <v/>
      </c>
      <c r="IQ10" s="170">
        <f>SUMPRODUCT((Settings!$G$14:$G$43=$B10)*COUNTIF('INPUT - Roster'!$JG$6:$JG$206,"*"&amp;Settings!$F$14:$F$43&amp;"*"))</f>
        <v/>
      </c>
      <c r="IR10" s="170">
        <f>SUMPRODUCT((Settings!$G$14:$G$43=$B10)*COUNTIF('INPUT - Roster'!$JH$6:$JH$206,"*"&amp;Settings!$F$14:$F$43&amp;"*"))</f>
        <v/>
      </c>
      <c r="IS10" s="170">
        <f>SUMPRODUCT((Settings!$G$14:$G$43=$B10)*COUNTIF('INPUT - Roster'!$JI$6:$JI$206,"*"&amp;Settings!$F$14:$F$43&amp;"*"))</f>
        <v/>
      </c>
      <c r="IT10" s="170">
        <f>SUMPRODUCT((Settings!$G$14:$G$43=$B10)*COUNTIF('INPUT - Roster'!$JJ$6:$JJ$206,"*"&amp;Settings!$F$14:$F$43&amp;"*"))</f>
        <v/>
      </c>
      <c r="IU10" s="170">
        <f>SUMPRODUCT((Settings!$G$14:$G$43=$B10)*COUNTIF('INPUT - Roster'!$JK$6:$JK$206,"*"&amp;Settings!$F$14:$F$43&amp;"*"))</f>
        <v/>
      </c>
      <c r="IV10" s="170">
        <f>SUMPRODUCT((Settings!$G$14:$G$43=$B10)*COUNTIF('INPUT - Roster'!$JL$6:$JL$206,"*"&amp;Settings!$F$14:$F$43&amp;"*"))</f>
        <v/>
      </c>
      <c r="IW10" s="170">
        <f>SUMPRODUCT((Settings!$G$14:$G$43=$B10)*COUNTIF('INPUT - Roster'!$JM$6:$JM$206,"*"&amp;Settings!$F$14:$F$43&amp;"*"))</f>
        <v/>
      </c>
      <c r="IX10" s="170">
        <f>SUMPRODUCT((Settings!$G$14:$G$43=$B10)*COUNTIF('INPUT - Roster'!$JN$6:$JN$206,"*"&amp;Settings!$F$14:$F$43&amp;"*"))</f>
        <v/>
      </c>
      <c r="IY10" s="170">
        <f>SUMPRODUCT((Settings!$G$14:$G$43=$B10)*COUNTIF('INPUT - Roster'!$JO$6:$JO$206,"*"&amp;Settings!$F$14:$F$43&amp;"*"))</f>
        <v/>
      </c>
      <c r="IZ10" s="170">
        <f>SUMPRODUCT((Settings!$G$14:$G$43=$B10)*COUNTIF('INPUT - Roster'!$JP$6:$JP$206,"*"&amp;Settings!$F$14:$F$43&amp;"*"))</f>
        <v/>
      </c>
      <c r="JA10" s="170">
        <f>SUMPRODUCT((Settings!$G$14:$G$43=$B10)*COUNTIF('INPUT - Roster'!$JQ$6:$JQ$206,"*"&amp;Settings!$F$14:$F$43&amp;"*"))</f>
        <v/>
      </c>
      <c r="JB10" s="170">
        <f>SUMPRODUCT((Settings!$G$14:$G$43=$B10)*COUNTIF('INPUT - Roster'!$JR$6:$JR$206,"*"&amp;Settings!$F$14:$F$43&amp;"*"))</f>
        <v/>
      </c>
      <c r="JC10" s="170">
        <f>SUMPRODUCT((Settings!$G$14:$G$43=$B10)*COUNTIF('INPUT - Roster'!$JS$6:$JS$206,"*"&amp;Settings!$F$14:$F$43&amp;"*"))</f>
        <v/>
      </c>
      <c r="JD10" s="170">
        <f>SUMPRODUCT((Settings!$G$14:$G$43=$B10)*COUNTIF('INPUT - Roster'!$JT$6:$JT$206,"*"&amp;Settings!$F$14:$F$43&amp;"*"))</f>
        <v/>
      </c>
      <c r="JE10" s="170">
        <f>SUMPRODUCT((Settings!$G$14:$G$43=$B10)*COUNTIF('INPUT - Roster'!$JU$6:$JU$206,"*"&amp;Settings!$F$14:$F$43&amp;"*"))</f>
        <v/>
      </c>
      <c r="JF10" s="170">
        <f>SUMPRODUCT((Settings!$G$14:$G$43=$B10)*COUNTIF('INPUT - Roster'!$JV$6:$JV$206,"*"&amp;Settings!$F$14:$F$43&amp;"*"))</f>
        <v/>
      </c>
      <c r="JG10" s="170">
        <f>SUMPRODUCT((Settings!$G$14:$G$43=$B10)*COUNTIF('INPUT - Roster'!$JW$6:$JW$206,"*"&amp;Settings!$F$14:$F$43&amp;"*"))</f>
        <v/>
      </c>
      <c r="JH10" s="170">
        <f>SUMPRODUCT((Settings!$G$14:$G$43=$B10)*COUNTIF('INPUT - Roster'!$JX$6:$JX$206,"*"&amp;Settings!$F$14:$F$43&amp;"*"))</f>
        <v/>
      </c>
      <c r="JI10" s="170">
        <f>SUMPRODUCT((Settings!$G$14:$G$43=$B10)*COUNTIF('INPUT - Roster'!$JY$6:$JY$206,"*"&amp;Settings!$F$14:$F$43&amp;"*"))</f>
        <v/>
      </c>
      <c r="JJ10" s="170">
        <f>SUMPRODUCT((Settings!$G$14:$G$43=$B10)*COUNTIF('INPUT - Roster'!$JZ$6:$JZ$206,"*"&amp;Settings!$F$14:$F$43&amp;"*"))</f>
        <v/>
      </c>
      <c r="JK10" s="170">
        <f>SUMPRODUCT((Settings!$G$14:$G$43=$B10)*COUNTIF('INPUT - Roster'!$KA$6:$KA$206,"*"&amp;Settings!$F$14:$F$43&amp;"*"))</f>
        <v/>
      </c>
      <c r="JL10" s="170">
        <f>SUMPRODUCT((Settings!$G$14:$G$43=$B10)*COUNTIF('INPUT - Roster'!$KB$6:$KB$206,"*"&amp;Settings!$F$14:$F$43&amp;"*"))</f>
        <v/>
      </c>
      <c r="JM10" s="170">
        <f>SUMPRODUCT((Settings!$G$14:$G$43=$B10)*COUNTIF('INPUT - Roster'!$KC$6:$KC$206,"*"&amp;Settings!$F$14:$F$43&amp;"*"))</f>
        <v/>
      </c>
      <c r="JN10" s="170">
        <f>SUMPRODUCT((Settings!$G$14:$G$43=$B10)*COUNTIF('INPUT - Roster'!$KD$6:$KD$206,"*"&amp;Settings!$F$14:$F$43&amp;"*"))</f>
        <v/>
      </c>
      <c r="JO10" s="170">
        <f>SUMPRODUCT((Settings!$G$14:$G$43=$B10)*COUNTIF('INPUT - Roster'!$KE$6:$KE$206,"*"&amp;Settings!$F$14:$F$43&amp;"*"))</f>
        <v/>
      </c>
      <c r="JP10" s="170">
        <f>SUMPRODUCT((Settings!$G$14:$G$43=$B10)*COUNTIF('INPUT - Roster'!$KF$6:$KF$206,"*"&amp;Settings!$F$14:$F$43&amp;"*"))</f>
        <v/>
      </c>
      <c r="JQ10" s="170">
        <f>SUMPRODUCT((Settings!$G$14:$G$43=$B10)*COUNTIF('INPUT - Roster'!$KG$6:$KG$206,"*"&amp;Settings!$F$14:$F$43&amp;"*"))</f>
        <v/>
      </c>
      <c r="JR10" s="170">
        <f>SUMPRODUCT((Settings!$G$14:$G$43=$B10)*COUNTIF('INPUT - Roster'!$KH$6:$KH$206,"*"&amp;Settings!$F$14:$F$43&amp;"*"))</f>
        <v/>
      </c>
      <c r="JS10" s="170">
        <f>SUMPRODUCT((Settings!$G$14:$G$43=$B10)*COUNTIF('INPUT - Roster'!$KI$6:$KI$206,"*"&amp;Settings!$F$14:$F$43&amp;"*"))</f>
        <v/>
      </c>
      <c r="JT10" s="170">
        <f>SUMPRODUCT((Settings!$G$14:$G$43=$B10)*COUNTIF('INPUT - Roster'!$KJ$6:$KJ$206,"*"&amp;Settings!$F$14:$F$43&amp;"*"))</f>
        <v/>
      </c>
      <c r="JU10" s="170">
        <f>SUMPRODUCT((Settings!$G$14:$G$43=$B10)*COUNTIF('INPUT - Roster'!$KK$6:$KK$206,"*"&amp;Settings!$F$14:$F$43&amp;"*"))</f>
        <v/>
      </c>
      <c r="JV10" s="170">
        <f>SUMPRODUCT((Settings!$G$14:$G$43=$B10)*COUNTIF('INPUT - Roster'!$KL$6:$KL$206,"*"&amp;Settings!$F$14:$F$43&amp;"*"))</f>
        <v/>
      </c>
      <c r="JW10" s="170">
        <f>SUMPRODUCT((Settings!$G$14:$G$43=$B10)*COUNTIF('INPUT - Roster'!$KM$6:$KM$206,"*"&amp;Settings!$F$14:$F$43&amp;"*"))</f>
        <v/>
      </c>
      <c r="JX10" s="170">
        <f>SUMPRODUCT((Settings!$G$14:$G$43=$B10)*COUNTIF('INPUT - Roster'!$KN$6:$KN$206,"*"&amp;Settings!$F$14:$F$43&amp;"*"))</f>
        <v/>
      </c>
      <c r="JY10" s="170">
        <f>SUMPRODUCT((Settings!$G$14:$G$43=$B10)*COUNTIF('INPUT - Roster'!$KO$6:$KO$206,"*"&amp;Settings!$F$14:$F$43&amp;"*"))</f>
        <v/>
      </c>
      <c r="JZ10" s="170">
        <f>SUMPRODUCT((Settings!$G$14:$G$43=$B10)*COUNTIF('INPUT - Roster'!$KP$6:$KP$206,"*"&amp;Settings!$F$14:$F$43&amp;"*"))</f>
        <v/>
      </c>
      <c r="KA10" s="170">
        <f>SUMPRODUCT((Settings!$G$14:$G$43=$B10)*COUNTIF('INPUT - Roster'!$KQ$6:$KQ$206,"*"&amp;Settings!$F$14:$F$43&amp;"*"))</f>
        <v/>
      </c>
      <c r="KB10" s="170">
        <f>SUMPRODUCT((Settings!$G$14:$G$43=$B10)*COUNTIF('INPUT - Roster'!$KR$6:$KR$206,"*"&amp;Settings!$F$14:$F$43&amp;"*"))</f>
        <v/>
      </c>
      <c r="KC10" s="170">
        <f>SUMPRODUCT((Settings!$G$14:$G$43=$B10)*COUNTIF('INPUT - Roster'!$KS$6:$KS$206,"*"&amp;Settings!$F$14:$F$43&amp;"*"))</f>
        <v/>
      </c>
      <c r="KD10" s="170">
        <f>SUMPRODUCT((Settings!$G$14:$G$43=$B10)*COUNTIF('INPUT - Roster'!$KT$6:$KT$206,"*"&amp;Settings!$F$14:$F$43&amp;"*"))</f>
        <v/>
      </c>
      <c r="KE10" s="170">
        <f>SUMPRODUCT((Settings!$G$14:$G$43=$B10)*COUNTIF('INPUT - Roster'!$KU$6:$KU$206,"*"&amp;Settings!$F$14:$F$43&amp;"*"))</f>
        <v/>
      </c>
      <c r="KF10" s="170">
        <f>SUMPRODUCT((Settings!$G$14:$G$43=$B10)*COUNTIF('INPUT - Roster'!$KV$6:$KV$206,"*"&amp;Settings!$F$14:$F$43&amp;"*"))</f>
        <v/>
      </c>
      <c r="KG10" s="170">
        <f>SUMPRODUCT((Settings!$G$14:$G$43=$B10)*COUNTIF('INPUT - Roster'!$KW$6:$KW$206,"*"&amp;Settings!$F$14:$F$43&amp;"*"))</f>
        <v/>
      </c>
      <c r="KH10" s="170">
        <f>SUMPRODUCT((Settings!$G$14:$G$43=$B10)*COUNTIF('INPUT - Roster'!$KX$6:$KX$206,"*"&amp;Settings!$F$14:$F$43&amp;"*"))</f>
        <v/>
      </c>
      <c r="KI10" s="170">
        <f>SUMPRODUCT((Settings!$G$14:$G$43=$B10)*COUNTIF('INPUT - Roster'!$KY$6:$KY$206,"*"&amp;Settings!$F$14:$F$43&amp;"*"))</f>
        <v/>
      </c>
      <c r="KJ10" s="170">
        <f>SUMPRODUCT((Settings!$G$14:$G$43=$B10)*COUNTIF('INPUT - Roster'!$KZ$6:$KZ$206,"*"&amp;Settings!$F$14:$F$43&amp;"*"))</f>
        <v/>
      </c>
      <c r="KK10" s="170">
        <f>SUMPRODUCT((Settings!$G$14:$G$43=$B10)*COUNTIF('INPUT - Roster'!$LA$6:$LA$206,"*"&amp;Settings!$F$14:$F$43&amp;"*"))</f>
        <v/>
      </c>
      <c r="KL10" s="170">
        <f>SUMPRODUCT((Settings!$G$14:$G$43=$B10)*COUNTIF('INPUT - Roster'!$LB$6:$LB$206,"*"&amp;Settings!$F$14:$F$43&amp;"*"))</f>
        <v/>
      </c>
      <c r="KM10" s="170">
        <f>SUMPRODUCT((Settings!$G$14:$G$43=$B10)*COUNTIF('INPUT - Roster'!$LC$6:$LC$206,"*"&amp;Settings!$F$14:$F$43&amp;"*"))</f>
        <v/>
      </c>
      <c r="KN10" s="170">
        <f>SUMPRODUCT((Settings!$G$14:$G$43=$B10)*COUNTIF('INPUT - Roster'!$LD$6:$LD$206,"*"&amp;Settings!$F$14:$F$43&amp;"*"))</f>
        <v/>
      </c>
      <c r="KO10" s="170">
        <f>SUMPRODUCT((Settings!$G$14:$G$43=$B10)*COUNTIF('INPUT - Roster'!$LE$6:$LE$206,"*"&amp;Settings!$F$14:$F$43&amp;"*"))</f>
        <v/>
      </c>
      <c r="KP10" s="170">
        <f>SUMPRODUCT((Settings!$G$14:$G$43=$B10)*COUNTIF('INPUT - Roster'!$LF$6:$LF$206,"*"&amp;Settings!$F$14:$F$43&amp;"*"))</f>
        <v/>
      </c>
      <c r="KQ10" s="170">
        <f>SUMPRODUCT((Settings!$G$14:$G$43=$B10)*COUNTIF('INPUT - Roster'!$LG$6:$LG$206,"*"&amp;Settings!$F$14:$F$43&amp;"*"))</f>
        <v/>
      </c>
      <c r="KR10" s="170">
        <f>SUMPRODUCT((Settings!$G$14:$G$43=$B10)*COUNTIF('INPUT - Roster'!$LH$6:$LH$206,"*"&amp;Settings!$F$14:$F$43&amp;"*"))</f>
        <v/>
      </c>
      <c r="KS10" s="170">
        <f>SUMPRODUCT((Settings!$G$14:$G$43=$B10)*COUNTIF('INPUT - Roster'!$LI$6:$LI$206,"*"&amp;Settings!$F$14:$F$43&amp;"*"))</f>
        <v/>
      </c>
      <c r="KT10" s="170">
        <f>SUMPRODUCT((Settings!$G$14:$G$43=$B10)*COUNTIF('INPUT - Roster'!$LJ$6:$LJ$206,"*"&amp;Settings!$F$14:$F$43&amp;"*"))</f>
        <v/>
      </c>
      <c r="KU10" s="170">
        <f>SUMPRODUCT((Settings!$G$14:$G$43=$B10)*COUNTIF('INPUT - Roster'!$LK$6:$LK$206,"*"&amp;Settings!$F$14:$F$43&amp;"*"))</f>
        <v/>
      </c>
      <c r="KV10" s="170">
        <f>SUMPRODUCT((Settings!$G$14:$G$43=$B10)*COUNTIF('INPUT - Roster'!$LL$6:$LL$206,"*"&amp;Settings!$F$14:$F$43&amp;"*"))</f>
        <v/>
      </c>
      <c r="KW10" s="170">
        <f>SUMPRODUCT((Settings!$G$14:$G$43=$B10)*COUNTIF('INPUT - Roster'!$LM$6:$LM$206,"*"&amp;Settings!$F$14:$F$43&amp;"*"))</f>
        <v/>
      </c>
      <c r="KX10" s="170">
        <f>SUMPRODUCT((Settings!$G$14:$G$43=$B10)*COUNTIF('INPUT - Roster'!$LN$6:$LN$206,"*"&amp;Settings!$F$14:$F$43&amp;"*"))</f>
        <v/>
      </c>
      <c r="KY10" s="170">
        <f>SUMPRODUCT((Settings!$G$14:$G$43=$B10)*COUNTIF('INPUT - Roster'!$LO$6:$LO$206,"*"&amp;Settings!$F$14:$F$43&amp;"*"))</f>
        <v/>
      </c>
      <c r="KZ10" s="170">
        <f>SUMPRODUCT((Settings!$G$14:$G$43=$B10)*COUNTIF('INPUT - Roster'!$LP$6:$LP$206,"*"&amp;Settings!$F$14:$F$43&amp;"*"))</f>
        <v/>
      </c>
      <c r="LA10" s="170">
        <f>SUMPRODUCT((Settings!$G$14:$G$43=$B10)*COUNTIF('INPUT - Roster'!$LQ$6:$LQ$206,"*"&amp;Settings!$F$14:$F$43&amp;"*"))</f>
        <v/>
      </c>
      <c r="LB10" s="170">
        <f>SUMPRODUCT((Settings!$G$14:$G$43=$B10)*COUNTIF('INPUT - Roster'!$LR$6:$LR$206,"*"&amp;Settings!$F$14:$F$43&amp;"*"))</f>
        <v/>
      </c>
      <c r="LC10" s="170">
        <f>SUMPRODUCT((Settings!$G$14:$G$43=$B10)*COUNTIF('INPUT - Roster'!$LS$6:$LS$206,"*"&amp;Settings!$F$14:$F$43&amp;"*"))</f>
        <v/>
      </c>
      <c r="LD10" s="170">
        <f>SUMPRODUCT((Settings!$G$14:$G$43=$B10)*COUNTIF('INPUT - Roster'!$LT$6:$LT$206,"*"&amp;Settings!$F$14:$F$43&amp;"*"))</f>
        <v/>
      </c>
      <c r="LE10" s="170">
        <f>SUMPRODUCT((Settings!$G$14:$G$43=$B10)*COUNTIF('INPUT - Roster'!$LU$6:$LU$206,"*"&amp;Settings!$F$14:$F$43&amp;"*"))</f>
        <v/>
      </c>
      <c r="LF10" s="170">
        <f>SUMPRODUCT((Settings!$G$14:$G$43=$B10)*COUNTIF('INPUT - Roster'!$LV$6:$LV$206,"*"&amp;Settings!$F$14:$F$43&amp;"*"))</f>
        <v/>
      </c>
      <c r="LG10" s="170">
        <f>SUMPRODUCT((Settings!$G$14:$G$43=$B10)*COUNTIF('INPUT - Roster'!$LW$6:$LW$206,"*"&amp;Settings!$F$14:$F$43&amp;"*"))</f>
        <v/>
      </c>
      <c r="LH10" s="170">
        <f>SUMPRODUCT((Settings!$G$14:$G$43=$B10)*COUNTIF('INPUT - Roster'!$LX$6:$LX$206,"*"&amp;Settings!$F$14:$F$43&amp;"*"))</f>
        <v/>
      </c>
      <c r="LI10" s="170">
        <f>SUMPRODUCT((Settings!$G$14:$G$43=$B10)*COUNTIF('INPUT - Roster'!$LY$6:$LY$206,"*"&amp;Settings!$F$14:$F$43&amp;"*"))</f>
        <v/>
      </c>
      <c r="LJ10" s="170">
        <f>SUMPRODUCT((Settings!$G$14:$G$43=$B10)*COUNTIF('INPUT - Roster'!$LZ$6:$LZ$206,"*"&amp;Settings!$F$14:$F$43&amp;"*"))</f>
        <v/>
      </c>
      <c r="LK10" s="170">
        <f>SUMPRODUCT((Settings!$G$14:$G$43=$B10)*COUNTIF('INPUT - Roster'!$MA$6:$MA$206,"*"&amp;Settings!$F$14:$F$43&amp;"*"))</f>
        <v/>
      </c>
      <c r="LL10" s="170">
        <f>SUMPRODUCT((Settings!$G$14:$G$43=$B10)*COUNTIF('INPUT - Roster'!$MB$6:$MB$206,"*"&amp;Settings!$F$14:$F$43&amp;"*"))</f>
        <v/>
      </c>
      <c r="LM10" s="170">
        <f>SUMPRODUCT((Settings!$G$14:$G$43=$B10)*COUNTIF('INPUT - Roster'!$MC$6:$MC$206,"*"&amp;Settings!$F$14:$F$43&amp;"*"))</f>
        <v/>
      </c>
      <c r="LN10" s="170">
        <f>SUMPRODUCT((Settings!$G$14:$G$43=$B10)*COUNTIF('INPUT - Roster'!$MD$6:$MD$206,"*"&amp;Settings!$F$14:$F$43&amp;"*"))</f>
        <v/>
      </c>
      <c r="LO10" s="170">
        <f>SUMPRODUCT((Settings!$G$14:$G$43=$B10)*COUNTIF('INPUT - Roster'!$ME$6:$ME$206,"*"&amp;Settings!$F$14:$F$43&amp;"*"))</f>
        <v/>
      </c>
      <c r="LP10" s="170">
        <f>SUMPRODUCT((Settings!$G$14:$G$43=$B10)*COUNTIF('INPUT - Roster'!$MF$6:$MF$206,"*"&amp;Settings!$F$14:$F$43&amp;"*"))</f>
        <v/>
      </c>
      <c r="LQ10" s="170">
        <f>SUMPRODUCT((Settings!$G$14:$G$43=$B10)*COUNTIF('INPUT - Roster'!$MG$6:$MG$206,"*"&amp;Settings!$F$14:$F$43&amp;"*"))</f>
        <v/>
      </c>
      <c r="LR10" s="170">
        <f>SUMPRODUCT((Settings!$G$14:$G$43=$B10)*COUNTIF('INPUT - Roster'!$MH$6:$MH$206,"*"&amp;Settings!$F$14:$F$43&amp;"*"))</f>
        <v/>
      </c>
      <c r="LS10" s="170">
        <f>SUMPRODUCT((Settings!$G$14:$G$43=$B10)*COUNTIF('INPUT - Roster'!$MI$6:$MI$206,"*"&amp;Settings!$F$14:$F$43&amp;"*"))</f>
        <v/>
      </c>
      <c r="LT10" s="170">
        <f>SUMPRODUCT((Settings!$G$14:$G$43=$B10)*COUNTIF('INPUT - Roster'!$MJ$6:$MJ$206,"*"&amp;Settings!$F$14:$F$43&amp;"*"))</f>
        <v/>
      </c>
      <c r="LU10" s="170">
        <f>SUMPRODUCT((Settings!$G$14:$G$43=$B10)*COUNTIF('INPUT - Roster'!$MK$6:$MK$206,"*"&amp;Settings!$F$14:$F$43&amp;"*"))</f>
        <v/>
      </c>
      <c r="LV10" s="170">
        <f>SUMPRODUCT((Settings!$G$14:$G$43=$B10)*COUNTIF('INPUT - Roster'!$ML$6:$ML$206,"*"&amp;Settings!$F$14:$F$43&amp;"*"))</f>
        <v/>
      </c>
      <c r="LW10" s="170">
        <f>SUMPRODUCT((Settings!$G$14:$G$43=$B10)*COUNTIF('INPUT - Roster'!$MM$6:$MM$206,"*"&amp;Settings!$F$14:$F$43&amp;"*"))</f>
        <v/>
      </c>
      <c r="LX10" s="170">
        <f>SUMPRODUCT((Settings!$G$14:$G$43=$B10)*COUNTIF('INPUT - Roster'!$MN$6:$MN$206,"*"&amp;Settings!$F$14:$F$43&amp;"*"))</f>
        <v/>
      </c>
      <c r="LY10" s="170">
        <f>SUMPRODUCT((Settings!$G$14:$G$43=$B10)*COUNTIF('INPUT - Roster'!$MO$6:$MO$206,"*"&amp;Settings!$F$14:$F$43&amp;"*"))</f>
        <v/>
      </c>
      <c r="LZ10" s="170">
        <f>SUMPRODUCT((Settings!$G$14:$G$43=$B10)*COUNTIF('INPUT - Roster'!$MP$6:$MP$206,"*"&amp;Settings!$F$14:$F$43&amp;"*"))</f>
        <v/>
      </c>
      <c r="MA10" s="170">
        <f>SUMPRODUCT((Settings!$G$14:$G$43=$B10)*COUNTIF('INPUT - Roster'!$MQ$6:$MQ$206,"*"&amp;Settings!$F$14:$F$43&amp;"*"))</f>
        <v/>
      </c>
      <c r="MB10" s="170">
        <f>SUMPRODUCT((Settings!$G$14:$G$43=$B10)*COUNTIF('INPUT - Roster'!$MR$6:$MR$206,"*"&amp;Settings!$F$14:$F$43&amp;"*"))</f>
        <v/>
      </c>
      <c r="MC10" s="170">
        <f>SUMPRODUCT((Settings!$G$14:$G$43=$B10)*COUNTIF('INPUT - Roster'!$MS$6:$MS$206,"*"&amp;Settings!$F$14:$F$43&amp;"*"))</f>
        <v/>
      </c>
      <c r="MD10" s="170">
        <f>SUMPRODUCT((Settings!$G$14:$G$43=$B10)*COUNTIF('INPUT - Roster'!$MT$6:$MT$206,"*"&amp;Settings!$F$14:$F$43&amp;"*"))</f>
        <v/>
      </c>
      <c r="ME10" s="170">
        <f>SUMPRODUCT((Settings!$G$14:$G$43=$B10)*COUNTIF('INPUT - Roster'!$MU$6:$MU$206,"*"&amp;Settings!$F$14:$F$43&amp;"*"))</f>
        <v/>
      </c>
      <c r="MF10" s="170">
        <f>SUMPRODUCT((Settings!$G$14:$G$43=$B10)*COUNTIF('INPUT - Roster'!$MV$6:$MV$206,"*"&amp;Settings!$F$14:$F$43&amp;"*"))</f>
        <v/>
      </c>
      <c r="MG10" s="170">
        <f>SUMPRODUCT((Settings!$G$14:$G$43=$B10)*COUNTIF('INPUT - Roster'!$MW$6:$MW$206,"*"&amp;Settings!$F$14:$F$43&amp;"*"))</f>
        <v/>
      </c>
      <c r="MH10" s="170">
        <f>SUMPRODUCT((Settings!$G$14:$G$43=$B10)*COUNTIF('INPUT - Roster'!$MX$6:$MX$206,"*"&amp;Settings!$F$14:$F$43&amp;"*"))</f>
        <v/>
      </c>
      <c r="MI10" s="170">
        <f>SUMPRODUCT((Settings!$G$14:$G$43=$B10)*COUNTIF('INPUT - Roster'!$MY$6:$MY$206,"*"&amp;Settings!$F$14:$F$43&amp;"*"))</f>
        <v/>
      </c>
      <c r="MJ10" s="170">
        <f>SUMPRODUCT((Settings!$G$14:$G$43=$B10)*COUNTIF('INPUT - Roster'!$MZ$6:$MZ$206,"*"&amp;Settings!$F$14:$F$43&amp;"*"))</f>
        <v/>
      </c>
      <c r="MK10" s="170">
        <f>SUMPRODUCT((Settings!$G$14:$G$43=$B10)*COUNTIF('INPUT - Roster'!$NA$6:$NA$206,"*"&amp;Settings!$F$14:$F$43&amp;"*"))</f>
        <v/>
      </c>
      <c r="ML10" s="170">
        <f>SUMPRODUCT((Settings!$G$14:$G$43=$B10)*COUNTIF('INPUT - Roster'!$NB$6:$NB$206,"*"&amp;Settings!$F$14:$F$43&amp;"*"))</f>
        <v/>
      </c>
      <c r="MM10" s="170">
        <f>SUMPRODUCT((Settings!$G$14:$G$43=$B10)*COUNTIF('INPUT - Roster'!$NC$6:$NC$206,"*"&amp;Settings!$F$14:$F$43&amp;"*"))</f>
        <v/>
      </c>
      <c r="MN10" s="170">
        <f>SUMPRODUCT((Settings!$G$14:$G$43=$B10)*COUNTIF('INPUT - Roster'!$ND$6:$ND$206,"*"&amp;Settings!$F$14:$F$43&amp;"*"))</f>
        <v/>
      </c>
      <c r="MO10" s="170">
        <f>SUMPRODUCT((Settings!$G$14:$G$43=$B10)*COUNTIF('INPUT - Roster'!$NE$6:$NE$206,"*"&amp;Settings!$F$14:$F$43&amp;"*"))</f>
        <v/>
      </c>
      <c r="MP10" s="170">
        <f>SUMPRODUCT((Settings!$G$14:$G$43=$B10)*COUNTIF('INPUT - Roster'!$NF$6:$NF$206,"*"&amp;Settings!$F$14:$F$43&amp;"*"))</f>
        <v/>
      </c>
      <c r="MQ10" s="170">
        <f>SUMPRODUCT((Settings!$G$14:$G$43=$B10)*COUNTIF('INPUT - Roster'!$NG$6:$NG$206,"*"&amp;Settings!$F$14:$F$43&amp;"*"))</f>
        <v/>
      </c>
      <c r="MR10" s="170">
        <f>SUMPRODUCT((Settings!$G$14:$G$43=$B10)*COUNTIF('INPUT - Roster'!$NH$6:$NH$206,"*"&amp;Settings!$F$14:$F$43&amp;"*"))</f>
        <v/>
      </c>
      <c r="MS10" s="170">
        <f>SUMPRODUCT((Settings!$G$14:$G$43=$B10)*COUNTIF('INPUT - Roster'!$NI$6:$NI$206,"*"&amp;Settings!$F$14:$F$43&amp;"*"))</f>
        <v/>
      </c>
      <c r="MT10" s="170">
        <f>SUMPRODUCT((Settings!$G$14:$G$43=$B10)*COUNTIF('INPUT - Roster'!$NJ$6:$NJ$206,"*"&amp;Settings!$F$14:$F$43&amp;"*"))</f>
        <v/>
      </c>
      <c r="MU10" s="170">
        <f>SUMPRODUCT((Settings!$G$14:$G$43=$B10)*COUNTIF('INPUT - Roster'!$NK$6:$NK$206,"*"&amp;Settings!$F$14:$F$43&amp;"*"))</f>
        <v/>
      </c>
      <c r="MV10" s="170">
        <f>SUMPRODUCT((Settings!$G$14:$G$43=$B10)*COUNTIF('INPUT - Roster'!$NL$6:$NL$206,"*"&amp;Settings!$F$14:$F$43&amp;"*"))</f>
        <v/>
      </c>
      <c r="MW10" s="170">
        <f>SUMPRODUCT((Settings!$G$14:$G$43=$B10)*COUNTIF('INPUT - Roster'!$NM$6:$NM$206,"*"&amp;Settings!$F$14:$F$43&amp;"*"))</f>
        <v/>
      </c>
      <c r="MX10" s="170">
        <f>SUMPRODUCT((Settings!$G$14:$G$43=$B10)*COUNTIF('INPUT - Roster'!$NN$6:$NN$206,"*"&amp;Settings!$F$14:$F$43&amp;"*"))</f>
        <v/>
      </c>
      <c r="MY10" s="170">
        <f>SUMPRODUCT((Settings!$G$14:$G$43=$B10)*COUNTIF('INPUT - Roster'!$NO$6:$NO$206,"*"&amp;Settings!$F$14:$F$43&amp;"*"))</f>
        <v/>
      </c>
      <c r="MZ10" s="170">
        <f>SUMPRODUCT((Settings!$G$14:$G$43=$B10)*COUNTIF('INPUT - Roster'!$NP$6:$NP$206,"*"&amp;Settings!$F$14:$F$43&amp;"*"))</f>
        <v/>
      </c>
      <c r="NA10" s="170">
        <f>SUMPRODUCT((Settings!$G$14:$G$43=$B10)*COUNTIF('INPUT - Roster'!$NQ$6:$NQ$206,"*"&amp;Settings!$F$14:$F$43&amp;"*"))</f>
        <v/>
      </c>
      <c r="NB10" s="170">
        <f>SUMPRODUCT((Settings!$G$14:$G$43=$B10)*COUNTIF('INPUT - Roster'!$NR$6:$NR$206,"*"&amp;Settings!$F$14:$F$43&amp;"*"))</f>
        <v/>
      </c>
      <c r="NC10" s="170">
        <f>SUMPRODUCT((Settings!$G$14:$G$43=$B10)*COUNTIF('INPUT - Roster'!$NS$6:$NS$206,"*"&amp;Settings!$F$14:$F$43&amp;"*"))</f>
        <v/>
      </c>
      <c r="ND10" s="170">
        <f>SUMPRODUCT((Settings!$G$14:$G$43=$B10)*COUNTIF('INPUT - Roster'!$NT$6:$NT$206,"*"&amp;Settings!$F$14:$F$43&amp;"*"))</f>
        <v/>
      </c>
      <c r="NE10" s="170">
        <f>SUMPRODUCT((Settings!$G$14:$G$43=$B10)*COUNTIF('INPUT - Roster'!$NU$6:$NU$206,"*"&amp;Settings!$F$14:$F$43&amp;"*"))</f>
        <v/>
      </c>
      <c r="NF10" s="170">
        <f>SUMPRODUCT((Settings!$G$14:$G$43=$B10)*COUNTIF('INPUT - Roster'!$NV$6:$NV$206,"*"&amp;Settings!$F$14:$F$43&amp;"*"))</f>
        <v/>
      </c>
      <c r="NG10" s="170">
        <f>SUMPRODUCT((Settings!$G$14:$G$43=$B10)*COUNTIF('INPUT - Roster'!$NW$6:$NW$206,"*"&amp;Settings!$F$14:$F$43&amp;"*"))</f>
        <v/>
      </c>
      <c r="NH10" s="170">
        <f>SUMPRODUCT((Settings!$G$14:$G$43=$B10)*COUNTIF('INPUT - Roster'!$NX$6:$NX$206,"*"&amp;Settings!$F$14:$F$43&amp;"*"))</f>
        <v/>
      </c>
      <c r="NI10" s="170">
        <f>SUMPRODUCT((Settings!$G$14:$G$43=$B10)*COUNTIF('INPUT - Roster'!$NY$6:$NY$206,"*"&amp;Settings!$F$14:$F$43&amp;"*"))</f>
        <v/>
      </c>
      <c r="NJ10" s="170">
        <f>SUMPRODUCT((Settings!$G$14:$G$43=$B10)*COUNTIF('INPUT - Roster'!$NZ$6:$NZ$206,"*"&amp;Settings!$F$14:$F$43&amp;"*"))</f>
        <v/>
      </c>
      <c r="NK10" s="170">
        <f>SUMPRODUCT((Settings!$G$14:$G$43=$B10)*COUNTIF('INPUT - Roster'!$OA$6:$OA$206,"*"&amp;Settings!$F$14:$F$43&amp;"*"))</f>
        <v/>
      </c>
      <c r="NL10" s="170">
        <f>SUMPRODUCT((Settings!$G$14:$G$43=$B10)*COUNTIF('INPUT - Roster'!$OB$6:$OB$206,"*"&amp;Settings!$F$14:$F$43&amp;"*"))</f>
        <v/>
      </c>
      <c r="NM10" s="170">
        <f>SUMPRODUCT((Settings!$G$14:$G$43=$B10)*COUNTIF('INPUT - Roster'!$OC$6:$OC$206,"*"&amp;Settings!$F$14:$F$43&amp;"*"))</f>
        <v/>
      </c>
      <c r="NN10" s="170">
        <f>SUMPRODUCT((Settings!$G$14:$G$43=$B10)*COUNTIF('INPUT - Roster'!$OD$6:$OD$206,"*"&amp;Settings!$F$14:$F$43&amp;"*"))</f>
        <v/>
      </c>
      <c r="NO10" s="170">
        <f>SUMPRODUCT((Settings!$G$14:$G$43=$B10)*COUNTIF('INPUT - Roster'!$OE$6:$OE$206,"*"&amp;Settings!$F$14:$F$43&amp;"*"))</f>
        <v/>
      </c>
      <c r="NP10" s="170">
        <f>SUMPRODUCT((Settings!$G$14:$G$43=$B10)*COUNTIF('INPUT - Roster'!$OF$6:$OF$206,"*"&amp;Settings!$F$14:$F$43&amp;"*"))</f>
        <v/>
      </c>
      <c r="NQ10" s="170">
        <f>SUMPRODUCT((Settings!$G$14:$G$43=$B10)*COUNTIF('INPUT - Roster'!$OG$6:$OG$206,"*"&amp;Settings!$F$14:$F$43&amp;"*"))</f>
        <v/>
      </c>
      <c r="NR10" s="170">
        <f>SUMPRODUCT((Settings!$G$14:$G$43=$B10)*COUNTIF('INPUT - Roster'!$OH$6:$OH$206,"*"&amp;Settings!$F$14:$F$43&amp;"*"))</f>
        <v/>
      </c>
      <c r="NS10" s="170">
        <f>SUMPRODUCT((Settings!$G$14:$G$43=$B10)*COUNTIF('INPUT - Roster'!$OI$6:$OI$206,"*"&amp;Settings!$F$14:$F$43&amp;"*"))</f>
        <v/>
      </c>
      <c r="NT10" s="170">
        <f>SUMPRODUCT((Settings!$G$14:$G$43=$B10)*COUNTIF('INPUT - Roster'!$OJ$6:$OJ$206,"*"&amp;Settings!$F$14:$F$43&amp;"*"))</f>
        <v/>
      </c>
      <c r="NU10" s="170">
        <f>SUMPRODUCT((Settings!$G$14:$G$43=$B10)*COUNTIF('INPUT - Roster'!$OK$6:$OK$206,"*"&amp;Settings!$F$14:$F$43&amp;"*"))</f>
        <v/>
      </c>
      <c r="NV10" s="170">
        <f>SUMPRODUCT((Settings!$G$14:$G$43=$B10)*COUNTIF('INPUT - Roster'!$OL$6:$OL$206,"*"&amp;Settings!$F$14:$F$43&amp;"*"))</f>
        <v/>
      </c>
      <c r="NW10" s="170">
        <f>SUMPRODUCT((Settings!$G$14:$G$43=$B10)*COUNTIF('INPUT - Roster'!$OM$6:$OM$206,"*"&amp;Settings!$F$14:$F$43&amp;"*"))</f>
        <v/>
      </c>
      <c r="NX10" s="170">
        <f>SUMPRODUCT((Settings!$G$14:$G$43=$B10)*COUNTIF('INPUT - Roster'!$ON$6:$ON$206,"*"&amp;Settings!$F$14:$F$43&amp;"*"))</f>
        <v/>
      </c>
      <c r="NY10" s="170">
        <f>SUMPRODUCT((Settings!$G$14:$G$43=$B10)*COUNTIF('INPUT - Roster'!$OO$6:$OO$206,"*"&amp;Settings!$F$14:$F$43&amp;"*"))</f>
        <v/>
      </c>
      <c r="NZ10" s="170">
        <f>SUMPRODUCT((Settings!$G$14:$G$43=$B10)*COUNTIF('INPUT - Roster'!$OP$6:$OP$206,"*"&amp;Settings!$F$14:$F$43&amp;"*"))</f>
        <v/>
      </c>
      <c r="OA10" s="170">
        <f>SUMPRODUCT((Settings!$G$14:$G$43=$B10)*COUNTIF('INPUT - Roster'!$OQ$6:$OQ$206,"*"&amp;Settings!$F$14:$F$43&amp;"*"))</f>
        <v/>
      </c>
      <c r="OB10" s="170">
        <f>SUMPRODUCT((Settings!$G$14:$G$43=$B10)*COUNTIF('INPUT - Roster'!$OR$6:$OR$206,"*"&amp;Settings!$F$14:$F$43&amp;"*"))</f>
        <v/>
      </c>
      <c r="OC10" s="170">
        <f>SUMPRODUCT((Settings!$G$14:$G$43=$B10)*COUNTIF('INPUT - Roster'!$OS$6:$OS$206,"*"&amp;Settings!$F$14:$F$43&amp;"*"))</f>
        <v/>
      </c>
      <c r="OD10" s="170">
        <f>SUMPRODUCT((Settings!$G$14:$G$43=$B10)*COUNTIF('INPUT - Roster'!$OT$6:$OT$206,"*"&amp;Settings!$F$14:$F$43&amp;"*"))</f>
        <v/>
      </c>
      <c r="OE10" s="170">
        <f>SUMPRODUCT((Settings!$G$14:$G$43=$B10)*COUNTIF('INPUT - Roster'!$OU$6:$OU$206,"*"&amp;Settings!$F$14:$F$43&amp;"*"))</f>
        <v/>
      </c>
      <c r="OF10" s="170">
        <f>SUMPRODUCT((Settings!$G$14:$G$43=$B10)*COUNTIF('INPUT - Roster'!$OV$6:$OV$206,"*"&amp;Settings!$F$14:$F$43&amp;"*"))</f>
        <v/>
      </c>
      <c r="OG10" s="170">
        <f>SUMPRODUCT((Settings!$G$14:$G$43=$B10)*COUNTIF('INPUT - Roster'!$OW$6:$OW$206,"*"&amp;Settings!$F$14:$F$43&amp;"*"))</f>
        <v/>
      </c>
      <c r="OH10" s="170">
        <f>SUMPRODUCT((Settings!$G$14:$G$43=$B10)*COUNTIF('INPUT - Roster'!$OX$6:$OX$206,"*"&amp;Settings!$F$14:$F$43&amp;"*"))</f>
        <v/>
      </c>
      <c r="OI10" s="170">
        <f>SUMPRODUCT((Settings!$G$14:$G$43=$B10)*COUNTIF('INPUT - Roster'!$OY$6:$OY$206,"*"&amp;Settings!$F$14:$F$43&amp;"*"))</f>
        <v/>
      </c>
      <c r="OJ10" s="170">
        <f>SUMPRODUCT((Settings!$G$14:$G$43=$B10)*COUNTIF('INPUT - Roster'!$OZ$6:$OZ$206,"*"&amp;Settings!$F$14:$F$43&amp;"*"))</f>
        <v/>
      </c>
      <c r="OK10" s="170">
        <f>SUMPRODUCT((Settings!$G$14:$G$43=$B10)*COUNTIF('INPUT - Roster'!$PA$6:$PA$206,"*"&amp;Settings!$F$14:$F$43&amp;"*"))</f>
        <v/>
      </c>
      <c r="OL10" s="170">
        <f>SUMPRODUCT((Settings!$G$14:$G$43=$B10)*COUNTIF('INPUT - Roster'!$PB$6:$PB$206,"*"&amp;Settings!$F$14:$F$43&amp;"*"))</f>
        <v/>
      </c>
      <c r="OM10" s="170">
        <f>SUMPRODUCT((Settings!$G$14:$G$43=$B10)*COUNTIF('INPUT - Roster'!$PC$6:$PC$206,"*"&amp;Settings!$F$14:$F$43&amp;"*"))</f>
        <v/>
      </c>
      <c r="ON10" s="170">
        <f>SUMPRODUCT((Settings!$G$14:$G$43=$B10)*COUNTIF('INPUT - Roster'!$PD$6:$PD$206,"*"&amp;Settings!$F$14:$F$43&amp;"*"))</f>
        <v/>
      </c>
      <c r="OO10" s="170">
        <f>SUMPRODUCT((Settings!$G$14:$G$43=$B10)*COUNTIF('INPUT - Roster'!$PE$6:$PE$206,"*"&amp;Settings!$F$14:$F$43&amp;"*"))</f>
        <v/>
      </c>
      <c r="OP10" s="170">
        <f>SUMPRODUCT((Settings!$G$14:$G$43=$B10)*COUNTIF('INPUT - Roster'!$PF$6:$PF$206,"*"&amp;Settings!$F$14:$F$43&amp;"*"))</f>
        <v/>
      </c>
      <c r="OQ10" s="170">
        <f>SUMPRODUCT((Settings!$G$14:$G$43=$B10)*COUNTIF('INPUT - Roster'!$PG$6:$PG$206,"*"&amp;Settings!$F$14:$F$43&amp;"*"))</f>
        <v/>
      </c>
      <c r="OR10" s="170">
        <f>SUMPRODUCT((Settings!$G$14:$G$43=$B10)*COUNTIF('INPUT - Roster'!$PH$6:$PH$206,"*"&amp;Settings!$F$14:$F$43&amp;"*"))</f>
        <v/>
      </c>
      <c r="OS10" s="170">
        <f>SUMPRODUCT((Settings!$G$14:$G$43=$B10)*COUNTIF('INPUT - Roster'!$PI$6:$PI$206,"*"&amp;Settings!$F$14:$F$43&amp;"*"))</f>
        <v/>
      </c>
      <c r="OT10" s="170">
        <f>SUMPRODUCT((Settings!$G$14:$G$43=$B10)*COUNTIF('INPUT - Roster'!$PJ$6:$PJ$206,"*"&amp;Settings!$F$14:$F$43&amp;"*"))</f>
        <v/>
      </c>
      <c r="OU10" s="170">
        <f>SUMPRODUCT((Settings!$G$14:$G$43=$B10)*COUNTIF('INPUT - Roster'!$PK$6:$PK$206,"*"&amp;Settings!$F$14:$F$43&amp;"*"))</f>
        <v/>
      </c>
      <c r="OV10" s="170">
        <f>SUMPRODUCT((Settings!$G$14:$G$43=$B10)*COUNTIF('INPUT - Roster'!$PL$6:$PL$206,"*"&amp;Settings!$F$14:$F$43&amp;"*"))</f>
        <v/>
      </c>
      <c r="OW10" s="170">
        <f>SUMPRODUCT((Settings!$G$14:$G$43=$B10)*COUNTIF('INPUT - Roster'!$PM$6:$PM$206,"*"&amp;Settings!$F$14:$F$43&amp;"*"))</f>
        <v/>
      </c>
      <c r="OX10" s="170">
        <f>SUMPRODUCT((Settings!$G$14:$G$43=$B10)*COUNTIF('INPUT - Roster'!$PN$6:$PN$206,"*"&amp;Settings!$F$14:$F$43&amp;"*"))</f>
        <v/>
      </c>
      <c r="OY10" s="170">
        <f>SUMPRODUCT((Settings!$G$14:$G$43=$B10)*COUNTIF('INPUT - Roster'!$PO$6:$PO$206,"*"&amp;Settings!$F$14:$F$43&amp;"*"))</f>
        <v/>
      </c>
      <c r="OZ10" s="170">
        <f>SUMPRODUCT((Settings!$G$14:$G$43=$B10)*COUNTIF('INPUT - Roster'!$PP$6:$PP$206,"*"&amp;Settings!$F$14:$F$43&amp;"*"))</f>
        <v/>
      </c>
      <c r="PA10" s="170">
        <f>SUMPRODUCT((Settings!$G$14:$G$43=$B10)*COUNTIF('INPUT - Roster'!$PQ$6:$PQ$206,"*"&amp;Settings!$F$14:$F$43&amp;"*"))</f>
        <v/>
      </c>
      <c r="PB10" s="170">
        <f>SUMPRODUCT((Settings!$G$14:$G$43=$B10)*COUNTIF('INPUT - Roster'!$PR$6:$PR$206,"*"&amp;Settings!$F$14:$F$43&amp;"*"))</f>
        <v/>
      </c>
      <c r="PC10" s="170">
        <f>SUMPRODUCT((Settings!$G$14:$G$43=$B10)*COUNTIF('INPUT - Roster'!$PS$6:$PS$206,"*"&amp;Settings!$F$14:$F$43&amp;"*"))</f>
        <v/>
      </c>
      <c r="PD10" s="170">
        <f>SUMPRODUCT((Settings!$G$14:$G$43=$B10)*COUNTIF('INPUT - Roster'!$PT$6:$PT$206,"*"&amp;Settings!$F$14:$F$43&amp;"*"))</f>
        <v/>
      </c>
      <c r="PE10" s="170">
        <f>SUMPRODUCT((Settings!$G$14:$G$43=$B10)*COUNTIF('INPUT - Roster'!$PU$6:$PU$206,"*"&amp;Settings!$F$14:$F$43&amp;"*"))</f>
        <v/>
      </c>
      <c r="PF10" s="170">
        <f>SUMPRODUCT((Settings!$G$14:$G$43=$B10)*COUNTIF('INPUT - Roster'!$PV$6:$PV$206,"*"&amp;Settings!$F$14:$F$43&amp;"*"))</f>
        <v/>
      </c>
      <c r="PG10" s="170">
        <f>SUMPRODUCT((Settings!$G$14:$G$43=$B10)*COUNTIF('INPUT - Roster'!$PW$6:$PW$206,"*"&amp;Settings!$F$14:$F$43&amp;"*"))</f>
        <v/>
      </c>
      <c r="PH10" s="170">
        <f>SUMPRODUCT((Settings!$G$14:$G$43=$B10)*COUNTIF('INPUT - Roster'!$PX$6:$PX$206,"*"&amp;Settings!$F$14:$F$43&amp;"*"))</f>
        <v/>
      </c>
      <c r="PI10" s="170">
        <f>SUMPRODUCT((Settings!$G$14:$G$43=$B10)*COUNTIF('INPUT - Roster'!$PY$6:$PY$206,"*"&amp;Settings!$F$14:$F$43&amp;"*"))</f>
        <v/>
      </c>
      <c r="PJ10" s="170">
        <f>SUMPRODUCT((Settings!$G$14:$G$43=$B10)*COUNTIF('INPUT - Roster'!$PZ$6:$PZ$206,"*"&amp;Settings!$F$14:$F$43&amp;"*"))</f>
        <v/>
      </c>
      <c r="PK10" s="170">
        <f>SUMPRODUCT((Settings!$G$14:$G$43=$B10)*COUNTIF('INPUT - Roster'!$QA$6:$QA$206,"*"&amp;Settings!$F$14:$F$43&amp;"*"))</f>
        <v/>
      </c>
      <c r="PL10" s="170">
        <f>SUMPRODUCT((Settings!$G$14:$G$43=$B10)*COUNTIF('INPUT - Roster'!$QB$6:$QB$206,"*"&amp;Settings!$F$14:$F$43&amp;"*"))</f>
        <v/>
      </c>
      <c r="PM10" s="170">
        <f>SUMPRODUCT((Settings!$G$14:$G$43=$B10)*COUNTIF('INPUT - Roster'!$QC$6:$QC$206,"*"&amp;Settings!$F$14:$F$43&amp;"*"))</f>
        <v/>
      </c>
      <c r="PN10" s="170">
        <f>SUMPRODUCT((Settings!$G$14:$G$43=$B10)*COUNTIF('INPUT - Roster'!$QD$6:$QD$206,"*"&amp;Settings!$F$14:$F$43&amp;"*"))</f>
        <v/>
      </c>
      <c r="PO10" s="170">
        <f>SUMPRODUCT((Settings!$G$14:$G$43=$B10)*COUNTIF('INPUT - Roster'!$QE$6:$QE$206,"*"&amp;Settings!$F$14:$F$43&amp;"*"))</f>
        <v/>
      </c>
      <c r="PP10" s="170">
        <f>SUMPRODUCT((Settings!$G$14:$G$43=$B10)*COUNTIF('INPUT - Roster'!$QF$6:$QF$206,"*"&amp;Settings!$F$14:$F$43&amp;"*"))</f>
        <v/>
      </c>
      <c r="PQ10" s="170">
        <f>SUMPRODUCT((Settings!$G$14:$G$43=$B10)*COUNTIF('INPUT - Roster'!$QG$6:$QG$206,"*"&amp;Settings!$F$14:$F$43&amp;"*"))</f>
        <v/>
      </c>
      <c r="PR10" s="170">
        <f>SUMPRODUCT((Settings!$G$14:$G$43=$B10)*COUNTIF('INPUT - Roster'!$QH$6:$QH$206,"*"&amp;Settings!$F$14:$F$43&amp;"*"))</f>
        <v/>
      </c>
      <c r="PS10" s="170">
        <f>SUMPRODUCT((Settings!$G$14:$G$43=$B10)*COUNTIF('INPUT - Roster'!$QI$6:$QI$206,"*"&amp;Settings!$F$14:$F$43&amp;"*"))</f>
        <v/>
      </c>
      <c r="PT10" s="170">
        <f>SUMPRODUCT((Settings!$G$14:$G$43=$B10)*COUNTIF('INPUT - Roster'!$QJ$6:$QJ$206,"*"&amp;Settings!$F$14:$F$43&amp;"*"))</f>
        <v/>
      </c>
      <c r="PU10" s="170">
        <f>SUMPRODUCT((Settings!$G$14:$G$43=$B10)*COUNTIF('INPUT - Roster'!$QK$6:$QK$206,"*"&amp;Settings!$F$14:$F$43&amp;"*"))</f>
        <v/>
      </c>
      <c r="PV10" s="170">
        <f>SUMPRODUCT((Settings!$G$14:$G$43=$B10)*COUNTIF('INPUT - Roster'!$QL$6:$QL$206,"*"&amp;Settings!$F$14:$F$43&amp;"*"))</f>
        <v/>
      </c>
      <c r="PW10" s="170">
        <f>SUMPRODUCT((Settings!$G$14:$G$43=$B10)*COUNTIF('INPUT - Roster'!$QM$6:$QM$206,"*"&amp;Settings!$F$14:$F$43&amp;"*"))</f>
        <v/>
      </c>
      <c r="PX10" s="170">
        <f>SUMPRODUCT((Settings!$G$14:$G$43=$B10)*COUNTIF('INPUT - Roster'!$QN$6:$QN$206,"*"&amp;Settings!$F$14:$F$43&amp;"*"))</f>
        <v/>
      </c>
      <c r="PY10" s="170">
        <f>SUMPRODUCT((Settings!$G$14:$G$43=$B10)*COUNTIF('INPUT - Roster'!$QO$6:$QO$206,"*"&amp;Settings!$F$14:$F$43&amp;"*"))</f>
        <v/>
      </c>
      <c r="PZ10" s="170">
        <f>SUMPRODUCT((Settings!$G$14:$G$43=$B10)*COUNTIF('INPUT - Roster'!$QP$6:$QP$206,"*"&amp;Settings!$F$14:$F$43&amp;"*"))</f>
        <v/>
      </c>
      <c r="QA10" s="170">
        <f>SUMPRODUCT((Settings!$G$14:$G$43=$B10)*COUNTIF('INPUT - Roster'!$QQ$6:$QQ$206,"*"&amp;Settings!$F$14:$F$43&amp;"*"))</f>
        <v/>
      </c>
      <c r="QB10" s="170">
        <f>SUMPRODUCT((Settings!$G$14:$G$43=$B10)*COUNTIF('INPUT - Roster'!$QR$6:$QR$206,"*"&amp;Settings!$F$14:$F$43&amp;"*"))</f>
        <v/>
      </c>
      <c r="QC10" s="170">
        <f>SUMPRODUCT((Settings!$G$14:$G$43=$B10)*COUNTIF('INPUT - Roster'!$QS$6:$QS$206,"*"&amp;Settings!$F$14:$F$43&amp;"*"))</f>
        <v/>
      </c>
      <c r="QD10" s="170">
        <f>SUMPRODUCT((Settings!$G$14:$G$43=$B10)*COUNTIF('INPUT - Roster'!$QT$6:$QT$206,"*"&amp;Settings!$F$14:$F$43&amp;"*"))</f>
        <v/>
      </c>
      <c r="QE10" s="170">
        <f>SUMPRODUCT((Settings!$G$14:$G$43=$B10)*COUNTIF('INPUT - Roster'!$QU$6:$QU$206,"*"&amp;Settings!$F$14:$F$43&amp;"*"))</f>
        <v/>
      </c>
      <c r="QF10" s="170">
        <f>SUMPRODUCT((Settings!$G$14:$G$43=$B10)*COUNTIF('INPUT - Roster'!$QV$6:$QV$206,"*"&amp;Settings!$F$14:$F$43&amp;"*"))</f>
        <v/>
      </c>
      <c r="QG10" s="170">
        <f>SUMPRODUCT((Settings!$G$14:$G$43=$B10)*COUNTIF('INPUT - Roster'!$QW$6:$QW$206,"*"&amp;Settings!$F$14:$F$43&amp;"*"))</f>
        <v/>
      </c>
      <c r="QH10" s="170">
        <f>SUMPRODUCT((Settings!$G$14:$G$43=$B10)*COUNTIF('INPUT - Roster'!$QX$6:$QX$206,"*"&amp;Settings!$F$14:$F$43&amp;"*"))</f>
        <v/>
      </c>
      <c r="QI10" s="170">
        <f>SUMPRODUCT((Settings!$G$14:$G$43=$B10)*COUNTIF('INPUT - Roster'!$QY$6:$QY$206,"*"&amp;Settings!$F$14:$F$43&amp;"*"))</f>
        <v/>
      </c>
      <c r="QJ10" s="170">
        <f>SUMPRODUCT((Settings!$G$14:$G$43=$B10)*COUNTIF('INPUT - Roster'!$QZ$6:$QZ$206,"*"&amp;Settings!$F$14:$F$43&amp;"*"))</f>
        <v/>
      </c>
      <c r="QK10" s="170">
        <f>SUMPRODUCT((Settings!$G$14:$G$43=$B10)*COUNTIF('INPUT - Roster'!$RA$6:$RA$206,"*"&amp;Settings!$F$14:$F$43&amp;"*"))</f>
        <v/>
      </c>
      <c r="QL10" s="170">
        <f>SUMPRODUCT((Settings!$G$14:$G$43=$B10)*COUNTIF('INPUT - Roster'!$RB$6:$RB$206,"*"&amp;Settings!$F$14:$F$43&amp;"*"))</f>
        <v/>
      </c>
      <c r="QM10" s="170">
        <f>SUMPRODUCT((Settings!$G$14:$G$43=$B10)*COUNTIF('INPUT - Roster'!$RC$6:$RC$206,"*"&amp;Settings!$F$14:$F$43&amp;"*"))</f>
        <v/>
      </c>
      <c r="QN10" s="170">
        <f>SUMPRODUCT((Settings!$G$14:$G$43=$B10)*COUNTIF('INPUT - Roster'!$RD$6:$RD$206,"*"&amp;Settings!$F$14:$F$43&amp;"*"))</f>
        <v/>
      </c>
      <c r="QO10" s="170">
        <f>SUMPRODUCT((Settings!$G$14:$G$43=$B10)*COUNTIF('INPUT - Roster'!$RE$6:$RE$206,"*"&amp;Settings!$F$14:$F$43&amp;"*"))</f>
        <v/>
      </c>
      <c r="QP10" s="170">
        <f>SUMPRODUCT((Settings!$G$14:$G$43=$B10)*COUNTIF('INPUT - Roster'!$RF$6:$RF$206,"*"&amp;Settings!$F$14:$F$43&amp;"*"))</f>
        <v/>
      </c>
      <c r="QQ10" s="170">
        <f>SUMPRODUCT((Settings!$G$14:$G$43=$B10)*COUNTIF('INPUT - Roster'!$RG$6:$RG$206,"*"&amp;Settings!$F$14:$F$43&amp;"*"))</f>
        <v/>
      </c>
      <c r="QR10" s="170">
        <f>SUMPRODUCT((Settings!$G$14:$G$43=$B10)*COUNTIF('INPUT - Roster'!$RH$6:$RH$206,"*"&amp;Settings!$F$14:$F$43&amp;"*"))</f>
        <v/>
      </c>
      <c r="QS10" s="170">
        <f>SUMPRODUCT((Settings!$G$14:$G$43=$B10)*COUNTIF('INPUT - Roster'!$RI$6:$RI$206,"*"&amp;Settings!$F$14:$F$43&amp;"*"))</f>
        <v/>
      </c>
      <c r="QT10" s="170">
        <f>SUMPRODUCT((Settings!$G$14:$G$43=$B10)*COUNTIF('INPUT - Roster'!$RJ$6:$RJ$206,"*"&amp;Settings!$F$14:$F$43&amp;"*"))</f>
        <v/>
      </c>
      <c r="QU10" s="170">
        <f>SUMPRODUCT((Settings!$G$14:$G$43=$B10)*COUNTIF('INPUT - Roster'!$RK$6:$RK$206,"*"&amp;Settings!$F$14:$F$43&amp;"*"))</f>
        <v/>
      </c>
      <c r="QV10" s="170">
        <f>SUMPRODUCT((Settings!$G$14:$G$43=$B10)*COUNTIF('INPUT - Roster'!$RL$6:$RL$206,"*"&amp;Settings!$F$14:$F$43&amp;"*"))</f>
        <v/>
      </c>
      <c r="QW10" s="170">
        <f>SUMPRODUCT((Settings!$G$14:$G$43=$B10)*COUNTIF('INPUT - Roster'!$RM$6:$RM$206,"*"&amp;Settings!$F$14:$F$43&amp;"*"))</f>
        <v/>
      </c>
      <c r="QX10" s="170">
        <f>SUMPRODUCT((Settings!$G$14:$G$43=$B10)*COUNTIF('INPUT - Roster'!$RN$6:$RN$206,"*"&amp;Settings!$F$14:$F$43&amp;"*"))</f>
        <v/>
      </c>
      <c r="QY10" s="170">
        <f>SUMPRODUCT((Settings!$G$14:$G$43=$B10)*COUNTIF('INPUT - Roster'!$RO$6:$RO$206,"*"&amp;Settings!$F$14:$F$43&amp;"*"))</f>
        <v/>
      </c>
      <c r="QZ10" s="170">
        <f>SUMPRODUCT((Settings!$G$14:$G$43=$B10)*COUNTIF('INPUT - Roster'!$RP$6:$RP$206,"*"&amp;Settings!$F$14:$F$43&amp;"*"))</f>
        <v/>
      </c>
      <c r="RA10" s="170">
        <f>SUMPRODUCT((Settings!$G$14:$G$43=$B10)*COUNTIF('INPUT - Roster'!$RQ$6:$RQ$206,"*"&amp;Settings!$F$14:$F$43&amp;"*"))</f>
        <v/>
      </c>
      <c r="RB10" s="170">
        <f>SUMPRODUCT((Settings!$G$14:$G$43=$B10)*COUNTIF('INPUT - Roster'!$RR$6:$RR$206,"*"&amp;Settings!$F$14:$F$43&amp;"*"))</f>
        <v/>
      </c>
      <c r="RC10" s="170">
        <f>SUMPRODUCT((Settings!$G$14:$G$43=$B10)*COUNTIF('INPUT - Roster'!$RS$6:$RS$206,"*"&amp;Settings!$F$14:$F$43&amp;"*"))</f>
        <v/>
      </c>
      <c r="RD10" s="170">
        <f>SUMPRODUCT((Settings!$G$14:$G$43=$B10)*COUNTIF('INPUT - Roster'!$RT$6:$RT$206,"*"&amp;Settings!$F$14:$F$43&amp;"*"))</f>
        <v/>
      </c>
      <c r="RE10" s="170">
        <f>SUMPRODUCT((Settings!$G$14:$G$43=$B10)*COUNTIF('INPUT - Roster'!$RU$6:$RU$206,"*"&amp;Settings!$F$14:$F$43&amp;"*"))</f>
        <v/>
      </c>
      <c r="RF10" s="170">
        <f>SUMPRODUCT((Settings!$G$14:$G$43=$B10)*COUNTIF('INPUT - Roster'!$RV$6:$RV$206,"*"&amp;Settings!$F$14:$F$43&amp;"*"))</f>
        <v/>
      </c>
      <c r="RG10" s="170">
        <f>SUMPRODUCT((Settings!$G$14:$G$43=$B10)*COUNTIF('INPUT - Roster'!$RW$6:$RW$206,"*"&amp;Settings!$F$14:$F$43&amp;"*"))</f>
        <v/>
      </c>
      <c r="RH10" s="170">
        <f>SUMPRODUCT((Settings!$G$14:$G$43=$B10)*COUNTIF('INPUT - Roster'!$RX$6:$RX$206,"*"&amp;Settings!$F$14:$F$43&amp;"*"))</f>
        <v/>
      </c>
      <c r="RI10" s="170">
        <f>SUMPRODUCT((Settings!$G$14:$G$43=$B10)*COUNTIF('INPUT - Roster'!$RY$6:$RY$206,"*"&amp;Settings!$F$14:$F$43&amp;"*"))</f>
        <v/>
      </c>
      <c r="RJ10" s="170">
        <f>SUMPRODUCT((Settings!$G$14:$G$43=$B10)*COUNTIF('INPUT - Roster'!$RZ$6:$RZ$206,"*"&amp;Settings!$F$14:$F$43&amp;"*"))</f>
        <v/>
      </c>
      <c r="RK10" s="170">
        <f>SUMPRODUCT((Settings!$G$14:$G$43=$B10)*COUNTIF('INPUT - Roster'!$SA$6:$SA$206,"*"&amp;Settings!$F$14:$F$43&amp;"*"))</f>
        <v/>
      </c>
      <c r="RL10" s="170">
        <f>SUMPRODUCT((Settings!$G$14:$G$43=$B10)*COUNTIF('INPUT - Roster'!$SB$6:$SB$206,"*"&amp;Settings!$F$14:$F$43&amp;"*"))</f>
        <v/>
      </c>
      <c r="RM10" s="170">
        <f>SUMPRODUCT((Settings!$G$14:$G$43=$B10)*COUNTIF('INPUT - Roster'!$SC$6:$SC$206,"*"&amp;Settings!$F$14:$F$43&amp;"*"))</f>
        <v/>
      </c>
      <c r="RN10" s="170">
        <f>SUMPRODUCT((Settings!$G$14:$G$43=$B10)*COUNTIF('INPUT - Roster'!$SD$6:$SD$206,"*"&amp;Settings!$F$14:$F$43&amp;"*"))</f>
        <v/>
      </c>
      <c r="RO10" s="170">
        <f>SUMPRODUCT((Settings!$G$14:$G$43=$B10)*COUNTIF('INPUT - Roster'!$SE$6:$SE$206,"*"&amp;Settings!$F$14:$F$43&amp;"*"))</f>
        <v/>
      </c>
      <c r="RP10" s="170">
        <f>SUMPRODUCT((Settings!$G$14:$G$43=$B10)*COUNTIF('INPUT - Roster'!$SF$6:$SF$206,"*"&amp;Settings!$F$14:$F$43&amp;"*"))</f>
        <v/>
      </c>
      <c r="RQ10" s="170">
        <f>SUMPRODUCT((Settings!$G$14:$G$43=$B10)*COUNTIF('INPUT - Roster'!$SG$6:$SG$206,"*"&amp;Settings!$F$14:$F$43&amp;"*"))</f>
        <v/>
      </c>
      <c r="RR10" s="170">
        <f>SUMPRODUCT((Settings!$G$14:$G$43=$B10)*COUNTIF('INPUT - Roster'!$SH$6:$SH$206,"*"&amp;Settings!$F$14:$F$43&amp;"*"))</f>
        <v/>
      </c>
      <c r="RS10" s="170">
        <f>SUMPRODUCT((Settings!$G$14:$G$43=$B10)*COUNTIF('INPUT - Roster'!$SI$6:$SI$206,"*"&amp;Settings!$F$14:$F$43&amp;"*"))</f>
        <v/>
      </c>
      <c r="RT10" s="170">
        <f>SUMPRODUCT((Settings!$G$14:$G$43=$B10)*COUNTIF('INPUT - Roster'!$SJ$6:$SJ$206,"*"&amp;Settings!$F$14:$F$43&amp;"*"))</f>
        <v/>
      </c>
      <c r="RU10" s="170">
        <f>SUMPRODUCT((Settings!$G$14:$G$43=$B10)*COUNTIF('INPUT - Roster'!$SK$6:$SK$206,"*"&amp;Settings!$F$14:$F$43&amp;"*"))</f>
        <v/>
      </c>
      <c r="RV10" s="170">
        <f>SUMPRODUCT((Settings!$G$14:$G$43=$B10)*COUNTIF('INPUT - Roster'!$SL$6:$SL$206,"*"&amp;Settings!$F$14:$F$43&amp;"*"))</f>
        <v/>
      </c>
      <c r="RW10" s="170">
        <f>SUMPRODUCT((Settings!$G$14:$G$43=$B10)*COUNTIF('INPUT - Roster'!$SM$6:$SM$206,"*"&amp;Settings!$F$14:$F$43&amp;"*"))</f>
        <v/>
      </c>
      <c r="RX10" s="170">
        <f>SUMPRODUCT((Settings!$G$14:$G$43=$B10)*COUNTIF('INPUT - Roster'!$SN$6:$SN$206,"*"&amp;Settings!$F$14:$F$43&amp;"*"))</f>
        <v/>
      </c>
      <c r="RY10" s="170">
        <f>SUMPRODUCT((Settings!$G$14:$G$43=$B10)*COUNTIF('INPUT - Roster'!$SO$6:$SO$206,"*"&amp;Settings!$F$14:$F$43&amp;"*"))</f>
        <v/>
      </c>
      <c r="RZ10" s="170">
        <f>SUMPRODUCT((Settings!$G$14:$G$43=$B10)*COUNTIF('INPUT - Roster'!$SP$6:$SP$206,"*"&amp;Settings!$F$14:$F$43&amp;"*"))</f>
        <v/>
      </c>
      <c r="SA10" s="170">
        <f>SUMPRODUCT((Settings!$G$14:$G$43=$B10)*COUNTIF('INPUT - Roster'!$SQ$6:$SQ$206,"*"&amp;Settings!$F$14:$F$43&amp;"*"))</f>
        <v/>
      </c>
      <c r="SB10" s="170">
        <f>SUMPRODUCT((Settings!$G$14:$G$43=$B10)*COUNTIF('INPUT - Roster'!$SR$6:$SR$206,"*"&amp;Settings!$F$14:$F$43&amp;"*"))</f>
        <v/>
      </c>
      <c r="SC10" s="170">
        <f>SUMPRODUCT((Settings!$G$14:$G$43=$B10)*COUNTIF('INPUT - Roster'!$SS$6:$SS$206,"*"&amp;Settings!$F$14:$F$43&amp;"*"))</f>
        <v/>
      </c>
      <c r="SD10" s="170">
        <f>SUMPRODUCT((Settings!$G$14:$G$43=$B10)*COUNTIF('INPUT - Roster'!$ST$6:$ST$206,"*"&amp;Settings!$F$14:$F$43&amp;"*"))</f>
        <v/>
      </c>
      <c r="SE10" s="170">
        <f>SUMPRODUCT((Settings!$G$14:$G$43=$B10)*COUNTIF('INPUT - Roster'!$SU$6:$SU$206,"*"&amp;Settings!$F$14:$F$43&amp;"*"))</f>
        <v/>
      </c>
      <c r="SF10" s="170">
        <f>SUMPRODUCT((Settings!$G$14:$G$43=$B10)*COUNTIF('INPUT - Roster'!$SV$6:$SV$206,"*"&amp;Settings!$F$14:$F$43&amp;"*"))</f>
        <v/>
      </c>
    </row>
    <row r="11">
      <c r="B11" s="169" t="inlineStr">
        <is>
          <t>Redmont</t>
        </is>
      </c>
      <c r="C11" s="170">
        <f>SUMPRODUCT((Settings!$G$14:$G$43=$B11)*COUNTIF('INPUT - Roster'!$S$6:$S$206,"*"&amp;Settings!$F$14:$F$43&amp;"*"))</f>
        <v/>
      </c>
      <c r="D11" s="170">
        <f>SUMPRODUCT((Settings!$G$14:$G$43=$B11)*COUNTIF('INPUT - Roster'!$T$6:$T$206,"*"&amp;Settings!$F$14:$F$43&amp;"*"))</f>
        <v/>
      </c>
      <c r="E11" s="170">
        <f>SUMPRODUCT((Settings!$G$14:$G$43=$B11)*COUNTIF('INPUT - Roster'!$U$6:$U$206,"*"&amp;Settings!$F$14:$F$43&amp;"*"))</f>
        <v/>
      </c>
      <c r="F11" s="170">
        <f>SUMPRODUCT((Settings!$G$14:$G$43=$B11)*COUNTIF('INPUT - Roster'!$V$6:$V$206,"*"&amp;Settings!$F$14:$F$43&amp;"*"))</f>
        <v/>
      </c>
      <c r="G11" s="170">
        <f>SUMPRODUCT((Settings!$G$14:$G$43=$B11)*COUNTIF('INPUT - Roster'!$W$6:$W$206,"*"&amp;Settings!$F$14:$F$43&amp;"*"))</f>
        <v/>
      </c>
      <c r="H11" s="170">
        <f>SUMPRODUCT((Settings!$G$14:$G$43=$B11)*COUNTIF('INPUT - Roster'!$X$6:$X$206,"*"&amp;Settings!$F$14:$F$43&amp;"*"))</f>
        <v/>
      </c>
      <c r="I11" s="170">
        <f>SUMPRODUCT((Settings!$G$14:$G$43=$B11)*COUNTIF('INPUT - Roster'!$Y$6:$Y$206,"*"&amp;Settings!$F$14:$F$43&amp;"*"))</f>
        <v/>
      </c>
      <c r="J11" s="170">
        <f>SUMPRODUCT((Settings!$G$14:$G$43=$B11)*COUNTIF('INPUT - Roster'!$Z$6:$Z$206,"*"&amp;Settings!$F$14:$F$43&amp;"*"))</f>
        <v/>
      </c>
      <c r="K11" s="170">
        <f>SUMPRODUCT((Settings!$G$14:$G$43=$B11)*COUNTIF('INPUT - Roster'!$AA$6:$AA$206,"*"&amp;Settings!$F$14:$F$43&amp;"*"))</f>
        <v/>
      </c>
      <c r="L11" s="170">
        <f>SUMPRODUCT((Settings!$G$14:$G$43=$B11)*COUNTIF('INPUT - Roster'!$AB$6:$AB$206,"*"&amp;Settings!$F$14:$F$43&amp;"*"))</f>
        <v/>
      </c>
      <c r="M11" s="170">
        <f>SUMPRODUCT((Settings!$G$14:$G$43=$B11)*COUNTIF('INPUT - Roster'!$AC$6:$AC$206,"*"&amp;Settings!$F$14:$F$43&amp;"*"))</f>
        <v/>
      </c>
      <c r="N11" s="170">
        <f>SUMPRODUCT((Settings!$G$14:$G$43=$B11)*COUNTIF('INPUT - Roster'!$AD$6:$AD$206,"*"&amp;Settings!$F$14:$F$43&amp;"*"))</f>
        <v/>
      </c>
      <c r="O11" s="170">
        <f>SUMPRODUCT((Settings!$G$14:$G$43=$B11)*COUNTIF('INPUT - Roster'!$AE$6:$AE$206,"*"&amp;Settings!$F$14:$F$43&amp;"*"))</f>
        <v/>
      </c>
      <c r="P11" s="170">
        <f>SUMPRODUCT((Settings!$G$14:$G$43=$B11)*COUNTIF('INPUT - Roster'!$AF$6:$AF$206,"*"&amp;Settings!$F$14:$F$43&amp;"*"))</f>
        <v/>
      </c>
      <c r="Q11" s="170">
        <f>SUMPRODUCT((Settings!$G$14:$G$43=$B11)*COUNTIF('INPUT - Roster'!$AG$6:$AG$206,"*"&amp;Settings!$F$14:$F$43&amp;"*"))</f>
        <v/>
      </c>
      <c r="R11" s="170">
        <f>SUMPRODUCT((Settings!$G$14:$G$43=$B11)*COUNTIF('INPUT - Roster'!$AH$6:$AH$206,"*"&amp;Settings!$F$14:$F$43&amp;"*"))</f>
        <v/>
      </c>
      <c r="S11" s="170">
        <f>SUMPRODUCT((Settings!$G$14:$G$43=$B11)*COUNTIF('INPUT - Roster'!$AI$6:$AI$206,"*"&amp;Settings!$F$14:$F$43&amp;"*"))</f>
        <v/>
      </c>
      <c r="T11" s="170">
        <f>SUMPRODUCT((Settings!$G$14:$G$43=$B11)*COUNTIF('INPUT - Roster'!$AJ$6:$AJ$206,"*"&amp;Settings!$F$14:$F$43&amp;"*"))</f>
        <v/>
      </c>
      <c r="U11" s="170">
        <f>SUMPRODUCT((Settings!$G$14:$G$43=$B11)*COUNTIF('INPUT - Roster'!$AK$6:$AK$206,"*"&amp;Settings!$F$14:$F$43&amp;"*"))</f>
        <v/>
      </c>
      <c r="V11" s="170">
        <f>SUMPRODUCT((Settings!$G$14:$G$43=$B11)*COUNTIF('INPUT - Roster'!$AL$6:$AL$206,"*"&amp;Settings!$F$14:$F$43&amp;"*"))</f>
        <v/>
      </c>
      <c r="W11" s="170">
        <f>SUMPRODUCT((Settings!$G$14:$G$43=$B11)*COUNTIF('INPUT - Roster'!$AM$6:$AM$206,"*"&amp;Settings!$F$14:$F$43&amp;"*"))</f>
        <v/>
      </c>
      <c r="X11" s="170">
        <f>SUMPRODUCT((Settings!$G$14:$G$43=$B11)*COUNTIF('INPUT - Roster'!$AN$6:$AN$206,"*"&amp;Settings!$F$14:$F$43&amp;"*"))</f>
        <v/>
      </c>
      <c r="Y11" s="170">
        <f>SUMPRODUCT((Settings!$G$14:$G$43=$B11)*COUNTIF('INPUT - Roster'!$AO$6:$AO$206,"*"&amp;Settings!$F$14:$F$43&amp;"*"))</f>
        <v/>
      </c>
      <c r="Z11" s="170">
        <f>SUMPRODUCT((Settings!$G$14:$G$43=$B11)*COUNTIF('INPUT - Roster'!$AP$6:$AP$206,"*"&amp;Settings!$F$14:$F$43&amp;"*"))</f>
        <v/>
      </c>
      <c r="AA11" s="170">
        <f>SUMPRODUCT((Settings!$G$14:$G$43=$B11)*COUNTIF('INPUT - Roster'!$AQ$6:$AQ$206,"*"&amp;Settings!$F$14:$F$43&amp;"*"))</f>
        <v/>
      </c>
      <c r="AB11" s="170">
        <f>SUMPRODUCT((Settings!$G$14:$G$43=$B11)*COUNTIF('INPUT - Roster'!$AR$6:$AR$206,"*"&amp;Settings!$F$14:$F$43&amp;"*"))</f>
        <v/>
      </c>
      <c r="AC11" s="170">
        <f>SUMPRODUCT((Settings!$G$14:$G$43=$B11)*COUNTIF('INPUT - Roster'!$AS$6:$AS$206,"*"&amp;Settings!$F$14:$F$43&amp;"*"))</f>
        <v/>
      </c>
      <c r="AD11" s="170">
        <f>SUMPRODUCT((Settings!$G$14:$G$43=$B11)*COUNTIF('INPUT - Roster'!$AT$6:$AT$206,"*"&amp;Settings!$F$14:$F$43&amp;"*"))</f>
        <v/>
      </c>
      <c r="AE11" s="170">
        <f>SUMPRODUCT((Settings!$G$14:$G$43=$B11)*COUNTIF('INPUT - Roster'!$AU$6:$AU$206,"*"&amp;Settings!$F$14:$F$43&amp;"*"))</f>
        <v/>
      </c>
      <c r="AF11" s="170">
        <f>SUMPRODUCT((Settings!$G$14:$G$43=$B11)*COUNTIF('INPUT - Roster'!$AV$6:$AV$206,"*"&amp;Settings!$F$14:$F$43&amp;"*"))</f>
        <v/>
      </c>
      <c r="AG11" s="170">
        <f>SUMPRODUCT((Settings!$G$14:$G$43=$B11)*COUNTIF('INPUT - Roster'!$AW$6:$AW$206,"*"&amp;Settings!$F$14:$F$43&amp;"*"))</f>
        <v/>
      </c>
      <c r="AH11" s="170">
        <f>SUMPRODUCT((Settings!$G$14:$G$43=$B11)*COUNTIF('INPUT - Roster'!$AX$6:$AX$206,"*"&amp;Settings!$F$14:$F$43&amp;"*"))</f>
        <v/>
      </c>
      <c r="AI11" s="170">
        <f>SUMPRODUCT((Settings!$G$14:$G$43=$B11)*COUNTIF('INPUT - Roster'!$AY$6:$AY$206,"*"&amp;Settings!$F$14:$F$43&amp;"*"))</f>
        <v/>
      </c>
      <c r="AJ11" s="170">
        <f>SUMPRODUCT((Settings!$G$14:$G$43=$B11)*COUNTIF('INPUT - Roster'!$AZ$6:$AZ$206,"*"&amp;Settings!$F$14:$F$43&amp;"*"))</f>
        <v/>
      </c>
      <c r="AK11" s="170">
        <f>SUMPRODUCT((Settings!$G$14:$G$43=$B11)*COUNTIF('INPUT - Roster'!$BA$6:$BA$206,"*"&amp;Settings!$F$14:$F$43&amp;"*"))</f>
        <v/>
      </c>
      <c r="AL11" s="170">
        <f>SUMPRODUCT((Settings!$G$14:$G$43=$B11)*COUNTIF('INPUT - Roster'!$BB$6:$BB$206,"*"&amp;Settings!$F$14:$F$43&amp;"*"))</f>
        <v/>
      </c>
      <c r="AM11" s="170">
        <f>SUMPRODUCT((Settings!$G$14:$G$43=$B11)*COUNTIF('INPUT - Roster'!$BC$6:$BC$206,"*"&amp;Settings!$F$14:$F$43&amp;"*"))</f>
        <v/>
      </c>
      <c r="AN11" s="170">
        <f>SUMPRODUCT((Settings!$G$14:$G$43=$B11)*COUNTIF('INPUT - Roster'!$BD$6:$BD$206,"*"&amp;Settings!$F$14:$F$43&amp;"*"))</f>
        <v/>
      </c>
      <c r="AO11" s="170">
        <f>SUMPRODUCT((Settings!$G$14:$G$43=$B11)*COUNTIF('INPUT - Roster'!$BE$6:$BE$206,"*"&amp;Settings!$F$14:$F$43&amp;"*"))</f>
        <v/>
      </c>
      <c r="AP11" s="170">
        <f>SUMPRODUCT((Settings!$G$14:$G$43=$B11)*COUNTIF('INPUT - Roster'!$BF$6:$BF$206,"*"&amp;Settings!$F$14:$F$43&amp;"*"))</f>
        <v/>
      </c>
      <c r="AQ11" s="170">
        <f>SUMPRODUCT((Settings!$G$14:$G$43=$B11)*COUNTIF('INPUT - Roster'!$BG$6:$BG$206,"*"&amp;Settings!$F$14:$F$43&amp;"*"))</f>
        <v/>
      </c>
      <c r="AR11" s="170">
        <f>SUMPRODUCT((Settings!$G$14:$G$43=$B11)*COUNTIF('INPUT - Roster'!$BH$6:$BH$206,"*"&amp;Settings!$F$14:$F$43&amp;"*"))</f>
        <v/>
      </c>
      <c r="AS11" s="170">
        <f>SUMPRODUCT((Settings!$G$14:$G$43=$B11)*COUNTIF('INPUT - Roster'!$BI$6:$BI$206,"*"&amp;Settings!$F$14:$F$43&amp;"*"))</f>
        <v/>
      </c>
      <c r="AT11" s="170">
        <f>SUMPRODUCT((Settings!$G$14:$G$43=$B11)*COUNTIF('INPUT - Roster'!$BJ$6:$BJ$206,"*"&amp;Settings!$F$14:$F$43&amp;"*"))</f>
        <v/>
      </c>
      <c r="AU11" s="170">
        <f>SUMPRODUCT((Settings!$G$14:$G$43=$B11)*COUNTIF('INPUT - Roster'!$BK$6:$BK$206,"*"&amp;Settings!$F$14:$F$43&amp;"*"))</f>
        <v/>
      </c>
      <c r="AV11" s="170">
        <f>SUMPRODUCT((Settings!$G$14:$G$43=$B11)*COUNTIF('INPUT - Roster'!$BL$6:$BL$206,"*"&amp;Settings!$F$14:$F$43&amp;"*"))</f>
        <v/>
      </c>
      <c r="AW11" s="170">
        <f>SUMPRODUCT((Settings!$G$14:$G$43=$B11)*COUNTIF('INPUT - Roster'!$BM$6:$BM$206,"*"&amp;Settings!$F$14:$F$43&amp;"*"))</f>
        <v/>
      </c>
      <c r="AX11" s="170">
        <f>SUMPRODUCT((Settings!$G$14:$G$43=$B11)*COUNTIF('INPUT - Roster'!$BN$6:$BN$206,"*"&amp;Settings!$F$14:$F$43&amp;"*"))</f>
        <v/>
      </c>
      <c r="AY11" s="170">
        <f>SUMPRODUCT((Settings!$G$14:$G$43=$B11)*COUNTIF('INPUT - Roster'!$BO$6:$BO$206,"*"&amp;Settings!$F$14:$F$43&amp;"*"))</f>
        <v/>
      </c>
      <c r="AZ11" s="170">
        <f>SUMPRODUCT((Settings!$G$14:$G$43=$B11)*COUNTIF('INPUT - Roster'!$BP$6:$BP$206,"*"&amp;Settings!$F$14:$F$43&amp;"*"))</f>
        <v/>
      </c>
      <c r="BA11" s="170">
        <f>SUMPRODUCT((Settings!$G$14:$G$43=$B11)*COUNTIF('INPUT - Roster'!$BQ$6:$BQ$206,"*"&amp;Settings!$F$14:$F$43&amp;"*"))</f>
        <v/>
      </c>
      <c r="BB11" s="170">
        <f>SUMPRODUCT((Settings!$G$14:$G$43=$B11)*COUNTIF('INPUT - Roster'!$BR$6:$BR$206,"*"&amp;Settings!$F$14:$F$43&amp;"*"))</f>
        <v/>
      </c>
      <c r="BC11" s="170">
        <f>SUMPRODUCT((Settings!$G$14:$G$43=$B11)*COUNTIF('INPUT - Roster'!$BS$6:$BS$206,"*"&amp;Settings!$F$14:$F$43&amp;"*"))</f>
        <v/>
      </c>
      <c r="BD11" s="170">
        <f>SUMPRODUCT((Settings!$G$14:$G$43=$B11)*COUNTIF('INPUT - Roster'!$BT$6:$BT$206,"*"&amp;Settings!$F$14:$F$43&amp;"*"))</f>
        <v/>
      </c>
      <c r="BE11" s="170">
        <f>SUMPRODUCT((Settings!$G$14:$G$43=$B11)*COUNTIF('INPUT - Roster'!$BU$6:$BU$206,"*"&amp;Settings!$F$14:$F$43&amp;"*"))</f>
        <v/>
      </c>
      <c r="BF11" s="170">
        <f>SUMPRODUCT((Settings!$G$14:$G$43=$B11)*COUNTIF('INPUT - Roster'!$BV$6:$BV$206,"*"&amp;Settings!$F$14:$F$43&amp;"*"))</f>
        <v/>
      </c>
      <c r="BG11" s="170">
        <f>SUMPRODUCT((Settings!$G$14:$G$43=$B11)*COUNTIF('INPUT - Roster'!$BW$6:$BW$206,"*"&amp;Settings!$F$14:$F$43&amp;"*"))</f>
        <v/>
      </c>
      <c r="BH11" s="170">
        <f>SUMPRODUCT((Settings!$G$14:$G$43=$B11)*COUNTIF('INPUT - Roster'!$BX$6:$BX$206,"*"&amp;Settings!$F$14:$F$43&amp;"*"))</f>
        <v/>
      </c>
      <c r="BI11" s="170">
        <f>SUMPRODUCT((Settings!$G$14:$G$43=$B11)*COUNTIF('INPUT - Roster'!$BY$6:$BY$206,"*"&amp;Settings!$F$14:$F$43&amp;"*"))</f>
        <v/>
      </c>
      <c r="BJ11" s="170">
        <f>SUMPRODUCT((Settings!$G$14:$G$43=$B11)*COUNTIF('INPUT - Roster'!$BZ$6:$BZ$206,"*"&amp;Settings!$F$14:$F$43&amp;"*"))</f>
        <v/>
      </c>
      <c r="BK11" s="170">
        <f>SUMPRODUCT((Settings!$G$14:$G$43=$B11)*COUNTIF('INPUT - Roster'!$CA$6:$CA$206,"*"&amp;Settings!$F$14:$F$43&amp;"*"))</f>
        <v/>
      </c>
      <c r="BL11" s="170">
        <f>SUMPRODUCT((Settings!$G$14:$G$43=$B11)*COUNTIF('INPUT - Roster'!$CB$6:$CB$206,"*"&amp;Settings!$F$14:$F$43&amp;"*"))</f>
        <v/>
      </c>
      <c r="BM11" s="170">
        <f>SUMPRODUCT((Settings!$G$14:$G$43=$B11)*COUNTIF('INPUT - Roster'!$CC$6:$CC$206,"*"&amp;Settings!$F$14:$F$43&amp;"*"))</f>
        <v/>
      </c>
      <c r="BN11" s="170">
        <f>SUMPRODUCT((Settings!$G$14:$G$43=$B11)*COUNTIF('INPUT - Roster'!$CD$6:$CD$206,"*"&amp;Settings!$F$14:$F$43&amp;"*"))</f>
        <v/>
      </c>
      <c r="BO11" s="170">
        <f>SUMPRODUCT((Settings!$G$14:$G$43=$B11)*COUNTIF('INPUT - Roster'!$CE$6:$CE$206,"*"&amp;Settings!$F$14:$F$43&amp;"*"))</f>
        <v/>
      </c>
      <c r="BP11" s="170">
        <f>SUMPRODUCT((Settings!$G$14:$G$43=$B11)*COUNTIF('INPUT - Roster'!$CF$6:$CF$206,"*"&amp;Settings!$F$14:$F$43&amp;"*"))</f>
        <v/>
      </c>
      <c r="BQ11" s="170">
        <f>SUMPRODUCT((Settings!$G$14:$G$43=$B11)*COUNTIF('INPUT - Roster'!$CG$6:$CG$206,"*"&amp;Settings!$F$14:$F$43&amp;"*"))</f>
        <v/>
      </c>
      <c r="BR11" s="170">
        <f>SUMPRODUCT((Settings!$G$14:$G$43=$B11)*COUNTIF('INPUT - Roster'!$CH$6:$CH$206,"*"&amp;Settings!$F$14:$F$43&amp;"*"))</f>
        <v/>
      </c>
      <c r="BS11" s="170">
        <f>SUMPRODUCT((Settings!$G$14:$G$43=$B11)*COUNTIF('INPUT - Roster'!$CI$6:$CI$206,"*"&amp;Settings!$F$14:$F$43&amp;"*"))</f>
        <v/>
      </c>
      <c r="BT11" s="170">
        <f>SUMPRODUCT((Settings!$G$14:$G$43=$B11)*COUNTIF('INPUT - Roster'!$CJ$6:$CJ$206,"*"&amp;Settings!$F$14:$F$43&amp;"*"))</f>
        <v/>
      </c>
      <c r="BU11" s="170">
        <f>SUMPRODUCT((Settings!$G$14:$G$43=$B11)*COUNTIF('INPUT - Roster'!$CK$6:$CK$206,"*"&amp;Settings!$F$14:$F$43&amp;"*"))</f>
        <v/>
      </c>
      <c r="BV11" s="170">
        <f>SUMPRODUCT((Settings!$G$14:$G$43=$B11)*COUNTIF('INPUT - Roster'!$CL$6:$CL$206,"*"&amp;Settings!$F$14:$F$43&amp;"*"))</f>
        <v/>
      </c>
      <c r="BW11" s="170">
        <f>SUMPRODUCT((Settings!$G$14:$G$43=$B11)*COUNTIF('INPUT - Roster'!$CM$6:$CM$206,"*"&amp;Settings!$F$14:$F$43&amp;"*"))</f>
        <v/>
      </c>
      <c r="BX11" s="170">
        <f>SUMPRODUCT((Settings!$G$14:$G$43=$B11)*COUNTIF('INPUT - Roster'!$CN$6:$CN$206,"*"&amp;Settings!$F$14:$F$43&amp;"*"))</f>
        <v/>
      </c>
      <c r="BY11" s="170">
        <f>SUMPRODUCT((Settings!$G$14:$G$43=$B11)*COUNTIF('INPUT - Roster'!$CO$6:$CO$206,"*"&amp;Settings!$F$14:$F$43&amp;"*"))</f>
        <v/>
      </c>
      <c r="BZ11" s="170">
        <f>SUMPRODUCT((Settings!$G$14:$G$43=$B11)*COUNTIF('INPUT - Roster'!$CP$6:$CP$206,"*"&amp;Settings!$F$14:$F$43&amp;"*"))</f>
        <v/>
      </c>
      <c r="CA11" s="170">
        <f>SUMPRODUCT((Settings!$G$14:$G$43=$B11)*COUNTIF('INPUT - Roster'!$CQ$6:$CQ$206,"*"&amp;Settings!$F$14:$F$43&amp;"*"))</f>
        <v/>
      </c>
      <c r="CB11" s="170">
        <f>SUMPRODUCT((Settings!$G$14:$G$43=$B11)*COUNTIF('INPUT - Roster'!$CR$6:$CR$206,"*"&amp;Settings!$F$14:$F$43&amp;"*"))</f>
        <v/>
      </c>
      <c r="CC11" s="170">
        <f>SUMPRODUCT((Settings!$G$14:$G$43=$B11)*COUNTIF('INPUT - Roster'!$CS$6:$CS$206,"*"&amp;Settings!$F$14:$F$43&amp;"*"))</f>
        <v/>
      </c>
      <c r="CD11" s="170">
        <f>SUMPRODUCT((Settings!$G$14:$G$43=$B11)*COUNTIF('INPUT - Roster'!$CT$6:$CT$206,"*"&amp;Settings!$F$14:$F$43&amp;"*"))</f>
        <v/>
      </c>
      <c r="CE11" s="170">
        <f>SUMPRODUCT((Settings!$G$14:$G$43=$B11)*COUNTIF('INPUT - Roster'!$CU$6:$CU$206,"*"&amp;Settings!$F$14:$F$43&amp;"*"))</f>
        <v/>
      </c>
      <c r="CF11" s="170">
        <f>SUMPRODUCT((Settings!$G$14:$G$43=$B11)*COUNTIF('INPUT - Roster'!$CV$6:$CV$206,"*"&amp;Settings!$F$14:$F$43&amp;"*"))</f>
        <v/>
      </c>
      <c r="CG11" s="170">
        <f>SUMPRODUCT((Settings!$G$14:$G$43=$B11)*COUNTIF('INPUT - Roster'!$CW$6:$CW$206,"*"&amp;Settings!$F$14:$F$43&amp;"*"))</f>
        <v/>
      </c>
      <c r="CH11" s="170">
        <f>SUMPRODUCT((Settings!$G$14:$G$43=$B11)*COUNTIF('INPUT - Roster'!$CX$6:$CX$206,"*"&amp;Settings!$F$14:$F$43&amp;"*"))</f>
        <v/>
      </c>
      <c r="CI11" s="170">
        <f>SUMPRODUCT((Settings!$G$14:$G$43=$B11)*COUNTIF('INPUT - Roster'!$CY$6:$CY$206,"*"&amp;Settings!$F$14:$F$43&amp;"*"))</f>
        <v/>
      </c>
      <c r="CJ11" s="170">
        <f>SUMPRODUCT((Settings!$G$14:$G$43=$B11)*COUNTIF('INPUT - Roster'!$CZ$6:$CZ$206,"*"&amp;Settings!$F$14:$F$43&amp;"*"))</f>
        <v/>
      </c>
      <c r="CK11" s="170">
        <f>SUMPRODUCT((Settings!$G$14:$G$43=$B11)*COUNTIF('INPUT - Roster'!$DA$6:$DA$206,"*"&amp;Settings!$F$14:$F$43&amp;"*"))</f>
        <v/>
      </c>
      <c r="CL11" s="170">
        <f>SUMPRODUCT((Settings!$G$14:$G$43=$B11)*COUNTIF('INPUT - Roster'!$DB$6:$DB$206,"*"&amp;Settings!$F$14:$F$43&amp;"*"))</f>
        <v/>
      </c>
      <c r="CM11" s="170">
        <f>SUMPRODUCT((Settings!$G$14:$G$43=$B11)*COUNTIF('INPUT - Roster'!$DC$6:$DC$206,"*"&amp;Settings!$F$14:$F$43&amp;"*"))</f>
        <v/>
      </c>
      <c r="CN11" s="170">
        <f>SUMPRODUCT((Settings!$G$14:$G$43=$B11)*COUNTIF('INPUT - Roster'!$DD$6:$DD$206,"*"&amp;Settings!$F$14:$F$43&amp;"*"))</f>
        <v/>
      </c>
      <c r="CO11" s="170">
        <f>SUMPRODUCT((Settings!$G$14:$G$43=$B11)*COUNTIF('INPUT - Roster'!$DE$6:$DE$206,"*"&amp;Settings!$F$14:$F$43&amp;"*"))</f>
        <v/>
      </c>
      <c r="CP11" s="170">
        <f>SUMPRODUCT((Settings!$G$14:$G$43=$B11)*COUNTIF('INPUT - Roster'!$DF$6:$DF$206,"*"&amp;Settings!$F$14:$F$43&amp;"*"))</f>
        <v/>
      </c>
      <c r="CQ11" s="170">
        <f>SUMPRODUCT((Settings!$G$14:$G$43=$B11)*COUNTIF('INPUT - Roster'!$DG$6:$DG$206,"*"&amp;Settings!$F$14:$F$43&amp;"*"))</f>
        <v/>
      </c>
      <c r="CR11" s="170">
        <f>SUMPRODUCT((Settings!$G$14:$G$43=$B11)*COUNTIF('INPUT - Roster'!$DH$6:$DH$206,"*"&amp;Settings!$F$14:$F$43&amp;"*"))</f>
        <v/>
      </c>
      <c r="CS11" s="170">
        <f>SUMPRODUCT((Settings!$G$14:$G$43=$B11)*COUNTIF('INPUT - Roster'!$DI$6:$DI$206,"*"&amp;Settings!$F$14:$F$43&amp;"*"))</f>
        <v/>
      </c>
      <c r="CT11" s="170">
        <f>SUMPRODUCT((Settings!$G$14:$G$43=$B11)*COUNTIF('INPUT - Roster'!$DJ$6:$DJ$206,"*"&amp;Settings!$F$14:$F$43&amp;"*"))</f>
        <v/>
      </c>
      <c r="CU11" s="170">
        <f>SUMPRODUCT((Settings!$G$14:$G$43=$B11)*COUNTIF('INPUT - Roster'!$DK$6:$DK$206,"*"&amp;Settings!$F$14:$F$43&amp;"*"))</f>
        <v/>
      </c>
      <c r="CV11" s="170">
        <f>SUMPRODUCT((Settings!$G$14:$G$43=$B11)*COUNTIF('INPUT - Roster'!$DL$6:$DL$206,"*"&amp;Settings!$F$14:$F$43&amp;"*"))</f>
        <v/>
      </c>
      <c r="CW11" s="170">
        <f>SUMPRODUCT((Settings!$G$14:$G$43=$B11)*COUNTIF('INPUT - Roster'!$DM$6:$DM$206,"*"&amp;Settings!$F$14:$F$43&amp;"*"))</f>
        <v/>
      </c>
      <c r="CX11" s="170">
        <f>SUMPRODUCT((Settings!$G$14:$G$43=$B11)*COUNTIF('INPUT - Roster'!$DN$6:$DN$206,"*"&amp;Settings!$F$14:$F$43&amp;"*"))</f>
        <v/>
      </c>
      <c r="CY11" s="170">
        <f>SUMPRODUCT((Settings!$G$14:$G$43=$B11)*COUNTIF('INPUT - Roster'!$DO$6:$DO$206,"*"&amp;Settings!$F$14:$F$43&amp;"*"))</f>
        <v/>
      </c>
      <c r="CZ11" s="170">
        <f>SUMPRODUCT((Settings!$G$14:$G$43=$B11)*COUNTIF('INPUT - Roster'!$DP$6:$DP$206,"*"&amp;Settings!$F$14:$F$43&amp;"*"))</f>
        <v/>
      </c>
      <c r="DA11" s="170">
        <f>SUMPRODUCT((Settings!$G$14:$G$43=$B11)*COUNTIF('INPUT - Roster'!$DQ$6:$DQ$206,"*"&amp;Settings!$F$14:$F$43&amp;"*"))</f>
        <v/>
      </c>
      <c r="DB11" s="170">
        <f>SUMPRODUCT((Settings!$G$14:$G$43=$B11)*COUNTIF('INPUT - Roster'!$DR$6:$DR$206,"*"&amp;Settings!$F$14:$F$43&amp;"*"))</f>
        <v/>
      </c>
      <c r="DC11" s="170">
        <f>SUMPRODUCT((Settings!$G$14:$G$43=$B11)*COUNTIF('INPUT - Roster'!$DS$6:$DS$206,"*"&amp;Settings!$F$14:$F$43&amp;"*"))</f>
        <v/>
      </c>
      <c r="DD11" s="170">
        <f>SUMPRODUCT((Settings!$G$14:$G$43=$B11)*COUNTIF('INPUT - Roster'!$DT$6:$DT$206,"*"&amp;Settings!$F$14:$F$43&amp;"*"))</f>
        <v/>
      </c>
      <c r="DE11" s="170">
        <f>SUMPRODUCT((Settings!$G$14:$G$43=$B11)*COUNTIF('INPUT - Roster'!$DU$6:$DU$206,"*"&amp;Settings!$F$14:$F$43&amp;"*"))</f>
        <v/>
      </c>
      <c r="DF11" s="170">
        <f>SUMPRODUCT((Settings!$G$14:$G$43=$B11)*COUNTIF('INPUT - Roster'!$DV$6:$DV$206,"*"&amp;Settings!$F$14:$F$43&amp;"*"))</f>
        <v/>
      </c>
      <c r="DG11" s="170">
        <f>SUMPRODUCT((Settings!$G$14:$G$43=$B11)*COUNTIF('INPUT - Roster'!$DW$6:$DW$206,"*"&amp;Settings!$F$14:$F$43&amp;"*"))</f>
        <v/>
      </c>
      <c r="DH11" s="170">
        <f>SUMPRODUCT((Settings!$G$14:$G$43=$B11)*COUNTIF('INPUT - Roster'!$DX$6:$DX$206,"*"&amp;Settings!$F$14:$F$43&amp;"*"))</f>
        <v/>
      </c>
      <c r="DI11" s="170">
        <f>SUMPRODUCT((Settings!$G$14:$G$43=$B11)*COUNTIF('INPUT - Roster'!$DY$6:$DY$206,"*"&amp;Settings!$F$14:$F$43&amp;"*"))</f>
        <v/>
      </c>
      <c r="DJ11" s="170">
        <f>SUMPRODUCT((Settings!$G$14:$G$43=$B11)*COUNTIF('INPUT - Roster'!$DZ$6:$DZ$206,"*"&amp;Settings!$F$14:$F$43&amp;"*"))</f>
        <v/>
      </c>
      <c r="DK11" s="170">
        <f>SUMPRODUCT((Settings!$G$14:$G$43=$B11)*COUNTIF('INPUT - Roster'!$EA$6:$EA$206,"*"&amp;Settings!$F$14:$F$43&amp;"*"))</f>
        <v/>
      </c>
      <c r="DL11" s="170">
        <f>SUMPRODUCT((Settings!$G$14:$G$43=$B11)*COUNTIF('INPUT - Roster'!$EB$6:$EB$206,"*"&amp;Settings!$F$14:$F$43&amp;"*"))</f>
        <v/>
      </c>
      <c r="DM11" s="170">
        <f>SUMPRODUCT((Settings!$G$14:$G$43=$B11)*COUNTIF('INPUT - Roster'!$EC$6:$EC$206,"*"&amp;Settings!$F$14:$F$43&amp;"*"))</f>
        <v/>
      </c>
      <c r="DN11" s="170">
        <f>SUMPRODUCT((Settings!$G$14:$G$43=$B11)*COUNTIF('INPUT - Roster'!$ED$6:$ED$206,"*"&amp;Settings!$F$14:$F$43&amp;"*"))</f>
        <v/>
      </c>
      <c r="DO11" s="170">
        <f>SUMPRODUCT((Settings!$G$14:$G$43=$B11)*COUNTIF('INPUT - Roster'!$EE$6:$EE$206,"*"&amp;Settings!$F$14:$F$43&amp;"*"))</f>
        <v/>
      </c>
      <c r="DP11" s="170">
        <f>SUMPRODUCT((Settings!$G$14:$G$43=$B11)*COUNTIF('INPUT - Roster'!$EF$6:$EF$206,"*"&amp;Settings!$F$14:$F$43&amp;"*"))</f>
        <v/>
      </c>
      <c r="DQ11" s="170">
        <f>SUMPRODUCT((Settings!$G$14:$G$43=$B11)*COUNTIF('INPUT - Roster'!$EG$6:$EG$206,"*"&amp;Settings!$F$14:$F$43&amp;"*"))</f>
        <v/>
      </c>
      <c r="DR11" s="170">
        <f>SUMPRODUCT((Settings!$G$14:$G$43=$B11)*COUNTIF('INPUT - Roster'!$EH$6:$EH$206,"*"&amp;Settings!$F$14:$F$43&amp;"*"))</f>
        <v/>
      </c>
      <c r="DS11" s="170">
        <f>SUMPRODUCT((Settings!$G$14:$G$43=$B11)*COUNTIF('INPUT - Roster'!$EI$6:$EI$206,"*"&amp;Settings!$F$14:$F$43&amp;"*"))</f>
        <v/>
      </c>
      <c r="DT11" s="170">
        <f>SUMPRODUCT((Settings!$G$14:$G$43=$B11)*COUNTIF('INPUT - Roster'!$EJ$6:$EJ$206,"*"&amp;Settings!$F$14:$F$43&amp;"*"))</f>
        <v/>
      </c>
      <c r="DU11" s="170">
        <f>SUMPRODUCT((Settings!$G$14:$G$43=$B11)*COUNTIF('INPUT - Roster'!$EK$6:$EK$206,"*"&amp;Settings!$F$14:$F$43&amp;"*"))</f>
        <v/>
      </c>
      <c r="DV11" s="170">
        <f>SUMPRODUCT((Settings!$G$14:$G$43=$B11)*COUNTIF('INPUT - Roster'!$EL$6:$EL$206,"*"&amp;Settings!$F$14:$F$43&amp;"*"))</f>
        <v/>
      </c>
      <c r="DW11" s="170">
        <f>SUMPRODUCT((Settings!$G$14:$G$43=$B11)*COUNTIF('INPUT - Roster'!$EM$6:$EM$206,"*"&amp;Settings!$F$14:$F$43&amp;"*"))</f>
        <v/>
      </c>
      <c r="DX11" s="170">
        <f>SUMPRODUCT((Settings!$G$14:$G$43=$B11)*COUNTIF('INPUT - Roster'!$EN$6:$EN$206,"*"&amp;Settings!$F$14:$F$43&amp;"*"))</f>
        <v/>
      </c>
      <c r="DY11" s="170">
        <f>SUMPRODUCT((Settings!$G$14:$G$43=$B11)*COUNTIF('INPUT - Roster'!$EO$6:$EO$206,"*"&amp;Settings!$F$14:$F$43&amp;"*"))</f>
        <v/>
      </c>
      <c r="DZ11" s="170">
        <f>SUMPRODUCT((Settings!$G$14:$G$43=$B11)*COUNTIF('INPUT - Roster'!$EP$6:$EP$206,"*"&amp;Settings!$F$14:$F$43&amp;"*"))</f>
        <v/>
      </c>
      <c r="EA11" s="170">
        <f>SUMPRODUCT((Settings!$G$14:$G$43=$B11)*COUNTIF('INPUT - Roster'!$EQ$6:$EQ$206,"*"&amp;Settings!$F$14:$F$43&amp;"*"))</f>
        <v/>
      </c>
      <c r="EB11" s="170">
        <f>SUMPRODUCT((Settings!$G$14:$G$43=$B11)*COUNTIF('INPUT - Roster'!$ER$6:$ER$206,"*"&amp;Settings!$F$14:$F$43&amp;"*"))</f>
        <v/>
      </c>
      <c r="EC11" s="170">
        <f>SUMPRODUCT((Settings!$G$14:$G$43=$B11)*COUNTIF('INPUT - Roster'!$ES$6:$ES$206,"*"&amp;Settings!$F$14:$F$43&amp;"*"))</f>
        <v/>
      </c>
      <c r="ED11" s="170">
        <f>SUMPRODUCT((Settings!$G$14:$G$43=$B11)*COUNTIF('INPUT - Roster'!$ET$6:$ET$206,"*"&amp;Settings!$F$14:$F$43&amp;"*"))</f>
        <v/>
      </c>
      <c r="EE11" s="170">
        <f>SUMPRODUCT((Settings!$G$14:$G$43=$B11)*COUNTIF('INPUT - Roster'!$EU$6:$EU$206,"*"&amp;Settings!$F$14:$F$43&amp;"*"))</f>
        <v/>
      </c>
      <c r="EF11" s="170">
        <f>SUMPRODUCT((Settings!$G$14:$G$43=$B11)*COUNTIF('INPUT - Roster'!$EV$6:$EV$206,"*"&amp;Settings!$F$14:$F$43&amp;"*"))</f>
        <v/>
      </c>
      <c r="EG11" s="170">
        <f>SUMPRODUCT((Settings!$G$14:$G$43=$B11)*COUNTIF('INPUT - Roster'!$EW$6:$EW$206,"*"&amp;Settings!$F$14:$F$43&amp;"*"))</f>
        <v/>
      </c>
      <c r="EH11" s="170">
        <f>SUMPRODUCT((Settings!$G$14:$G$43=$B11)*COUNTIF('INPUT - Roster'!$EX$6:$EX$206,"*"&amp;Settings!$F$14:$F$43&amp;"*"))</f>
        <v/>
      </c>
      <c r="EI11" s="170">
        <f>SUMPRODUCT((Settings!$G$14:$G$43=$B11)*COUNTIF('INPUT - Roster'!$EY$6:$EY$206,"*"&amp;Settings!$F$14:$F$43&amp;"*"))</f>
        <v/>
      </c>
      <c r="EJ11" s="170">
        <f>SUMPRODUCT((Settings!$G$14:$G$43=$B11)*COUNTIF('INPUT - Roster'!$EZ$6:$EZ$206,"*"&amp;Settings!$F$14:$F$43&amp;"*"))</f>
        <v/>
      </c>
      <c r="EK11" s="170">
        <f>SUMPRODUCT((Settings!$G$14:$G$43=$B11)*COUNTIF('INPUT - Roster'!$FA$6:$FA$206,"*"&amp;Settings!$F$14:$F$43&amp;"*"))</f>
        <v/>
      </c>
      <c r="EL11" s="170">
        <f>SUMPRODUCT((Settings!$G$14:$G$43=$B11)*COUNTIF('INPUT - Roster'!$FB$6:$FB$206,"*"&amp;Settings!$F$14:$F$43&amp;"*"))</f>
        <v/>
      </c>
      <c r="EM11" s="170">
        <f>SUMPRODUCT((Settings!$G$14:$G$43=$B11)*COUNTIF('INPUT - Roster'!$FC$6:$FC$206,"*"&amp;Settings!$F$14:$F$43&amp;"*"))</f>
        <v/>
      </c>
      <c r="EN11" s="170">
        <f>SUMPRODUCT((Settings!$G$14:$G$43=$B11)*COUNTIF('INPUT - Roster'!$FD$6:$FD$206,"*"&amp;Settings!$F$14:$F$43&amp;"*"))</f>
        <v/>
      </c>
      <c r="EO11" s="170">
        <f>SUMPRODUCT((Settings!$G$14:$G$43=$B11)*COUNTIF('INPUT - Roster'!$FE$6:$FE$206,"*"&amp;Settings!$F$14:$F$43&amp;"*"))</f>
        <v/>
      </c>
      <c r="EP11" s="170">
        <f>SUMPRODUCT((Settings!$G$14:$G$43=$B11)*COUNTIF('INPUT - Roster'!$FF$6:$FF$206,"*"&amp;Settings!$F$14:$F$43&amp;"*"))</f>
        <v/>
      </c>
      <c r="EQ11" s="170">
        <f>SUMPRODUCT((Settings!$G$14:$G$43=$B11)*COUNTIF('INPUT - Roster'!$FG$6:$FG$206,"*"&amp;Settings!$F$14:$F$43&amp;"*"))</f>
        <v/>
      </c>
      <c r="ER11" s="170">
        <f>SUMPRODUCT((Settings!$G$14:$G$43=$B11)*COUNTIF('INPUT - Roster'!$FH$6:$FH$206,"*"&amp;Settings!$F$14:$F$43&amp;"*"))</f>
        <v/>
      </c>
      <c r="ES11" s="170">
        <f>SUMPRODUCT((Settings!$G$14:$G$43=$B11)*COUNTIF('INPUT - Roster'!$FI$6:$FI$206,"*"&amp;Settings!$F$14:$F$43&amp;"*"))</f>
        <v/>
      </c>
      <c r="ET11" s="170">
        <f>SUMPRODUCT((Settings!$G$14:$G$43=$B11)*COUNTIF('INPUT - Roster'!$FJ$6:$FJ$206,"*"&amp;Settings!$F$14:$F$43&amp;"*"))</f>
        <v/>
      </c>
      <c r="EU11" s="170">
        <f>SUMPRODUCT((Settings!$G$14:$G$43=$B11)*COUNTIF('INPUT - Roster'!$FK$6:$FK$206,"*"&amp;Settings!$F$14:$F$43&amp;"*"))</f>
        <v/>
      </c>
      <c r="EV11" s="170">
        <f>SUMPRODUCT((Settings!$G$14:$G$43=$B11)*COUNTIF('INPUT - Roster'!$FL$6:$FL$206,"*"&amp;Settings!$F$14:$F$43&amp;"*"))</f>
        <v/>
      </c>
      <c r="EW11" s="170">
        <f>SUMPRODUCT((Settings!$G$14:$G$43=$B11)*COUNTIF('INPUT - Roster'!$FM$6:$FM$206,"*"&amp;Settings!$F$14:$F$43&amp;"*"))</f>
        <v/>
      </c>
      <c r="EX11" s="170">
        <f>SUMPRODUCT((Settings!$G$14:$G$43=$B11)*COUNTIF('INPUT - Roster'!$FN$6:$FN$206,"*"&amp;Settings!$F$14:$F$43&amp;"*"))</f>
        <v/>
      </c>
      <c r="EY11" s="170">
        <f>SUMPRODUCT((Settings!$G$14:$G$43=$B11)*COUNTIF('INPUT - Roster'!$FO$6:$FO$206,"*"&amp;Settings!$F$14:$F$43&amp;"*"))</f>
        <v/>
      </c>
      <c r="EZ11" s="170">
        <f>SUMPRODUCT((Settings!$G$14:$G$43=$B11)*COUNTIF('INPUT - Roster'!$FP$6:$FP$206,"*"&amp;Settings!$F$14:$F$43&amp;"*"))</f>
        <v/>
      </c>
      <c r="FA11" s="170">
        <f>SUMPRODUCT((Settings!$G$14:$G$43=$B11)*COUNTIF('INPUT - Roster'!$FQ$6:$FQ$206,"*"&amp;Settings!$F$14:$F$43&amp;"*"))</f>
        <v/>
      </c>
      <c r="FB11" s="170">
        <f>SUMPRODUCT((Settings!$G$14:$G$43=$B11)*COUNTIF('INPUT - Roster'!$FR$6:$FR$206,"*"&amp;Settings!$F$14:$F$43&amp;"*"))</f>
        <v/>
      </c>
      <c r="FC11" s="170">
        <f>SUMPRODUCT((Settings!$G$14:$G$43=$B11)*COUNTIF('INPUT - Roster'!$FS$6:$FS$206,"*"&amp;Settings!$F$14:$F$43&amp;"*"))</f>
        <v/>
      </c>
      <c r="FD11" s="170">
        <f>SUMPRODUCT((Settings!$G$14:$G$43=$B11)*COUNTIF('INPUT - Roster'!$FT$6:$FT$206,"*"&amp;Settings!$F$14:$F$43&amp;"*"))</f>
        <v/>
      </c>
      <c r="FE11" s="170">
        <f>SUMPRODUCT((Settings!$G$14:$G$43=$B11)*COUNTIF('INPUT - Roster'!$FU$6:$FU$206,"*"&amp;Settings!$F$14:$F$43&amp;"*"))</f>
        <v/>
      </c>
      <c r="FF11" s="170">
        <f>SUMPRODUCT((Settings!$G$14:$G$43=$B11)*COUNTIF('INPUT - Roster'!$FV$6:$FV$206,"*"&amp;Settings!$F$14:$F$43&amp;"*"))</f>
        <v/>
      </c>
      <c r="FG11" s="170">
        <f>SUMPRODUCT((Settings!$G$14:$G$43=$B11)*COUNTIF('INPUT - Roster'!$FW$6:$FW$206,"*"&amp;Settings!$F$14:$F$43&amp;"*"))</f>
        <v/>
      </c>
      <c r="FH11" s="170">
        <f>SUMPRODUCT((Settings!$G$14:$G$43=$B11)*COUNTIF('INPUT - Roster'!$FX$6:$FX$206,"*"&amp;Settings!$F$14:$F$43&amp;"*"))</f>
        <v/>
      </c>
      <c r="FI11" s="170">
        <f>SUMPRODUCT((Settings!$G$14:$G$43=$B11)*COUNTIF('INPUT - Roster'!$FY$6:$FY$206,"*"&amp;Settings!$F$14:$F$43&amp;"*"))</f>
        <v/>
      </c>
      <c r="FJ11" s="170">
        <f>SUMPRODUCT((Settings!$G$14:$G$43=$B11)*COUNTIF('INPUT - Roster'!$FZ$6:$FZ$206,"*"&amp;Settings!$F$14:$F$43&amp;"*"))</f>
        <v/>
      </c>
      <c r="FK11" s="170">
        <f>SUMPRODUCT((Settings!$G$14:$G$43=$B11)*COUNTIF('INPUT - Roster'!$GA$6:$GA$206,"*"&amp;Settings!$F$14:$F$43&amp;"*"))</f>
        <v/>
      </c>
      <c r="FL11" s="170">
        <f>SUMPRODUCT((Settings!$G$14:$G$43=$B11)*COUNTIF('INPUT - Roster'!$GB$6:$GB$206,"*"&amp;Settings!$F$14:$F$43&amp;"*"))</f>
        <v/>
      </c>
      <c r="FM11" s="170">
        <f>SUMPRODUCT((Settings!$G$14:$G$43=$B11)*COUNTIF('INPUT - Roster'!$GC$6:$GC$206,"*"&amp;Settings!$F$14:$F$43&amp;"*"))</f>
        <v/>
      </c>
      <c r="FN11" s="170">
        <f>SUMPRODUCT((Settings!$G$14:$G$43=$B11)*COUNTIF('INPUT - Roster'!$GD$6:$GD$206,"*"&amp;Settings!$F$14:$F$43&amp;"*"))</f>
        <v/>
      </c>
      <c r="FO11" s="170">
        <f>SUMPRODUCT((Settings!$G$14:$G$43=$B11)*COUNTIF('INPUT - Roster'!$GE$6:$GE$206,"*"&amp;Settings!$F$14:$F$43&amp;"*"))</f>
        <v/>
      </c>
      <c r="FP11" s="170">
        <f>SUMPRODUCT((Settings!$G$14:$G$43=$B11)*COUNTIF('INPUT - Roster'!$GF$6:$GF$206,"*"&amp;Settings!$F$14:$F$43&amp;"*"))</f>
        <v/>
      </c>
      <c r="FQ11" s="170">
        <f>SUMPRODUCT((Settings!$G$14:$G$43=$B11)*COUNTIF('INPUT - Roster'!$GG$6:$GG$206,"*"&amp;Settings!$F$14:$F$43&amp;"*"))</f>
        <v/>
      </c>
      <c r="FR11" s="170">
        <f>SUMPRODUCT((Settings!$G$14:$G$43=$B11)*COUNTIF('INPUT - Roster'!$GH$6:$GH$206,"*"&amp;Settings!$F$14:$F$43&amp;"*"))</f>
        <v/>
      </c>
      <c r="FS11" s="170">
        <f>SUMPRODUCT((Settings!$G$14:$G$43=$B11)*COUNTIF('INPUT - Roster'!$GI$6:$GI$206,"*"&amp;Settings!$F$14:$F$43&amp;"*"))</f>
        <v/>
      </c>
      <c r="FT11" s="170">
        <f>SUMPRODUCT((Settings!$G$14:$G$43=$B11)*COUNTIF('INPUT - Roster'!$GJ$6:$GJ$206,"*"&amp;Settings!$F$14:$F$43&amp;"*"))</f>
        <v/>
      </c>
      <c r="FU11" s="170">
        <f>SUMPRODUCT((Settings!$G$14:$G$43=$B11)*COUNTIF('INPUT - Roster'!$GK$6:$GK$206,"*"&amp;Settings!$F$14:$F$43&amp;"*"))</f>
        <v/>
      </c>
      <c r="FV11" s="170">
        <f>SUMPRODUCT((Settings!$G$14:$G$43=$B11)*COUNTIF('INPUT - Roster'!$GL$6:$GL$206,"*"&amp;Settings!$F$14:$F$43&amp;"*"))</f>
        <v/>
      </c>
      <c r="FW11" s="170">
        <f>SUMPRODUCT((Settings!$G$14:$G$43=$B11)*COUNTIF('INPUT - Roster'!$GM$6:$GM$206,"*"&amp;Settings!$F$14:$F$43&amp;"*"))</f>
        <v/>
      </c>
      <c r="FX11" s="170">
        <f>SUMPRODUCT((Settings!$G$14:$G$43=$B11)*COUNTIF('INPUT - Roster'!$GN$6:$GN$206,"*"&amp;Settings!$F$14:$F$43&amp;"*"))</f>
        <v/>
      </c>
      <c r="FY11" s="170">
        <f>SUMPRODUCT((Settings!$G$14:$G$43=$B11)*COUNTIF('INPUT - Roster'!$GO$6:$GO$206,"*"&amp;Settings!$F$14:$F$43&amp;"*"))</f>
        <v/>
      </c>
      <c r="FZ11" s="170">
        <f>SUMPRODUCT((Settings!$G$14:$G$43=$B11)*COUNTIF('INPUT - Roster'!$GP$6:$GP$206,"*"&amp;Settings!$F$14:$F$43&amp;"*"))</f>
        <v/>
      </c>
      <c r="GA11" s="170">
        <f>SUMPRODUCT((Settings!$G$14:$G$43=$B11)*COUNTIF('INPUT - Roster'!$GQ$6:$GQ$206,"*"&amp;Settings!$F$14:$F$43&amp;"*"))</f>
        <v/>
      </c>
      <c r="GB11" s="170">
        <f>SUMPRODUCT((Settings!$G$14:$G$43=$B11)*COUNTIF('INPUT - Roster'!$GR$6:$GR$206,"*"&amp;Settings!$F$14:$F$43&amp;"*"))</f>
        <v/>
      </c>
      <c r="GC11" s="170">
        <f>SUMPRODUCT((Settings!$G$14:$G$43=$B11)*COUNTIF('INPUT - Roster'!$GS$6:$GS$206,"*"&amp;Settings!$F$14:$F$43&amp;"*"))</f>
        <v/>
      </c>
      <c r="GD11" s="170">
        <f>SUMPRODUCT((Settings!$G$14:$G$43=$B11)*COUNTIF('INPUT - Roster'!$GT$6:$GT$206,"*"&amp;Settings!$F$14:$F$43&amp;"*"))</f>
        <v/>
      </c>
      <c r="GE11" s="170">
        <f>SUMPRODUCT((Settings!$G$14:$G$43=$B11)*COUNTIF('INPUT - Roster'!$GU$6:$GU$206,"*"&amp;Settings!$F$14:$F$43&amp;"*"))</f>
        <v/>
      </c>
      <c r="GF11" s="170">
        <f>SUMPRODUCT((Settings!$G$14:$G$43=$B11)*COUNTIF('INPUT - Roster'!$GV$6:$GV$206,"*"&amp;Settings!$F$14:$F$43&amp;"*"))</f>
        <v/>
      </c>
      <c r="GG11" s="170">
        <f>SUMPRODUCT((Settings!$G$14:$G$43=$B11)*COUNTIF('INPUT - Roster'!$GW$6:$GW$206,"*"&amp;Settings!$F$14:$F$43&amp;"*"))</f>
        <v/>
      </c>
      <c r="GH11" s="170">
        <f>SUMPRODUCT((Settings!$G$14:$G$43=$B11)*COUNTIF('INPUT - Roster'!$GX$6:$GX$206,"*"&amp;Settings!$F$14:$F$43&amp;"*"))</f>
        <v/>
      </c>
      <c r="GI11" s="170">
        <f>SUMPRODUCT((Settings!$G$14:$G$43=$B11)*COUNTIF('INPUT - Roster'!$GY$6:$GY$206,"*"&amp;Settings!$F$14:$F$43&amp;"*"))</f>
        <v/>
      </c>
      <c r="GJ11" s="170">
        <f>SUMPRODUCT((Settings!$G$14:$G$43=$B11)*COUNTIF('INPUT - Roster'!$GZ$6:$GZ$206,"*"&amp;Settings!$F$14:$F$43&amp;"*"))</f>
        <v/>
      </c>
      <c r="GK11" s="170">
        <f>SUMPRODUCT((Settings!$G$14:$G$43=$B11)*COUNTIF('INPUT - Roster'!$HA$6:$HA$206,"*"&amp;Settings!$F$14:$F$43&amp;"*"))</f>
        <v/>
      </c>
      <c r="GL11" s="170">
        <f>SUMPRODUCT((Settings!$G$14:$G$43=$B11)*COUNTIF('INPUT - Roster'!$HB$6:$HB$206,"*"&amp;Settings!$F$14:$F$43&amp;"*"))</f>
        <v/>
      </c>
      <c r="GM11" s="170">
        <f>SUMPRODUCT((Settings!$G$14:$G$43=$B11)*COUNTIF('INPUT - Roster'!$HC$6:$HC$206,"*"&amp;Settings!$F$14:$F$43&amp;"*"))</f>
        <v/>
      </c>
      <c r="GN11" s="170">
        <f>SUMPRODUCT((Settings!$G$14:$G$43=$B11)*COUNTIF('INPUT - Roster'!$HD$6:$HD$206,"*"&amp;Settings!$F$14:$F$43&amp;"*"))</f>
        <v/>
      </c>
      <c r="GO11" s="170">
        <f>SUMPRODUCT((Settings!$G$14:$G$43=$B11)*COUNTIF('INPUT - Roster'!$HE$6:$HE$206,"*"&amp;Settings!$F$14:$F$43&amp;"*"))</f>
        <v/>
      </c>
      <c r="GP11" s="170">
        <f>SUMPRODUCT((Settings!$G$14:$G$43=$B11)*COUNTIF('INPUT - Roster'!$HF$6:$HF$206,"*"&amp;Settings!$F$14:$F$43&amp;"*"))</f>
        <v/>
      </c>
      <c r="GQ11" s="170">
        <f>SUMPRODUCT((Settings!$G$14:$G$43=$B11)*COUNTIF('INPUT - Roster'!$HG$6:$HG$206,"*"&amp;Settings!$F$14:$F$43&amp;"*"))</f>
        <v/>
      </c>
      <c r="GR11" s="170">
        <f>SUMPRODUCT((Settings!$G$14:$G$43=$B11)*COUNTIF('INPUT - Roster'!$HH$6:$HH$206,"*"&amp;Settings!$F$14:$F$43&amp;"*"))</f>
        <v/>
      </c>
      <c r="GS11" s="170">
        <f>SUMPRODUCT((Settings!$G$14:$G$43=$B11)*COUNTIF('INPUT - Roster'!$HI$6:$HI$206,"*"&amp;Settings!$F$14:$F$43&amp;"*"))</f>
        <v/>
      </c>
      <c r="GT11" s="170">
        <f>SUMPRODUCT((Settings!$G$14:$G$43=$B11)*COUNTIF('INPUT - Roster'!$HJ$6:$HJ$206,"*"&amp;Settings!$F$14:$F$43&amp;"*"))</f>
        <v/>
      </c>
      <c r="GU11" s="170">
        <f>SUMPRODUCT((Settings!$G$14:$G$43=$B11)*COUNTIF('INPUT - Roster'!$HK$6:$HK$206,"*"&amp;Settings!$F$14:$F$43&amp;"*"))</f>
        <v/>
      </c>
      <c r="GV11" s="170">
        <f>SUMPRODUCT((Settings!$G$14:$G$43=$B11)*COUNTIF('INPUT - Roster'!$HL$6:$HL$206,"*"&amp;Settings!$F$14:$F$43&amp;"*"))</f>
        <v/>
      </c>
      <c r="GW11" s="170">
        <f>SUMPRODUCT((Settings!$G$14:$G$43=$B11)*COUNTIF('INPUT - Roster'!$HM$6:$HM$206,"*"&amp;Settings!$F$14:$F$43&amp;"*"))</f>
        <v/>
      </c>
      <c r="GX11" s="170">
        <f>SUMPRODUCT((Settings!$G$14:$G$43=$B11)*COUNTIF('INPUT - Roster'!$HN$6:$HN$206,"*"&amp;Settings!$F$14:$F$43&amp;"*"))</f>
        <v/>
      </c>
      <c r="GY11" s="170">
        <f>SUMPRODUCT((Settings!$G$14:$G$43=$B11)*COUNTIF('INPUT - Roster'!$HO$6:$HO$206,"*"&amp;Settings!$F$14:$F$43&amp;"*"))</f>
        <v/>
      </c>
      <c r="GZ11" s="170">
        <f>SUMPRODUCT((Settings!$G$14:$G$43=$B11)*COUNTIF('INPUT - Roster'!$HP$6:$HP$206,"*"&amp;Settings!$F$14:$F$43&amp;"*"))</f>
        <v/>
      </c>
      <c r="HA11" s="170">
        <f>SUMPRODUCT((Settings!$G$14:$G$43=$B11)*COUNTIF('INPUT - Roster'!$HQ$6:$HQ$206,"*"&amp;Settings!$F$14:$F$43&amp;"*"))</f>
        <v/>
      </c>
      <c r="HB11" s="170">
        <f>SUMPRODUCT((Settings!$G$14:$G$43=$B11)*COUNTIF('INPUT - Roster'!$HR$6:$HR$206,"*"&amp;Settings!$F$14:$F$43&amp;"*"))</f>
        <v/>
      </c>
      <c r="HC11" s="170">
        <f>SUMPRODUCT((Settings!$G$14:$G$43=$B11)*COUNTIF('INPUT - Roster'!$HS$6:$HS$206,"*"&amp;Settings!$F$14:$F$43&amp;"*"))</f>
        <v/>
      </c>
      <c r="HD11" s="170">
        <f>SUMPRODUCT((Settings!$G$14:$G$43=$B11)*COUNTIF('INPUT - Roster'!$HT$6:$HT$206,"*"&amp;Settings!$F$14:$F$43&amp;"*"))</f>
        <v/>
      </c>
      <c r="HE11" s="170">
        <f>SUMPRODUCT((Settings!$G$14:$G$43=$B11)*COUNTIF('INPUT - Roster'!$HU$6:$HU$206,"*"&amp;Settings!$F$14:$F$43&amp;"*"))</f>
        <v/>
      </c>
      <c r="HF11" s="170">
        <f>SUMPRODUCT((Settings!$G$14:$G$43=$B11)*COUNTIF('INPUT - Roster'!$HV$6:$HV$206,"*"&amp;Settings!$F$14:$F$43&amp;"*"))</f>
        <v/>
      </c>
      <c r="HG11" s="170">
        <f>SUMPRODUCT((Settings!$G$14:$G$43=$B11)*COUNTIF('INPUT - Roster'!$HW$6:$HW$206,"*"&amp;Settings!$F$14:$F$43&amp;"*"))</f>
        <v/>
      </c>
      <c r="HH11" s="170">
        <f>SUMPRODUCT((Settings!$G$14:$G$43=$B11)*COUNTIF('INPUT - Roster'!$HX$6:$HX$206,"*"&amp;Settings!$F$14:$F$43&amp;"*"))</f>
        <v/>
      </c>
      <c r="HI11" s="170">
        <f>SUMPRODUCT((Settings!$G$14:$G$43=$B11)*COUNTIF('INPUT - Roster'!$HY$6:$HY$206,"*"&amp;Settings!$F$14:$F$43&amp;"*"))</f>
        <v/>
      </c>
      <c r="HJ11" s="170">
        <f>SUMPRODUCT((Settings!$G$14:$G$43=$B11)*COUNTIF('INPUT - Roster'!$HZ$6:$HZ$206,"*"&amp;Settings!$F$14:$F$43&amp;"*"))</f>
        <v/>
      </c>
      <c r="HK11" s="170">
        <f>SUMPRODUCT((Settings!$G$14:$G$43=$B11)*COUNTIF('INPUT - Roster'!$IA$6:$IA$206,"*"&amp;Settings!$F$14:$F$43&amp;"*"))</f>
        <v/>
      </c>
      <c r="HL11" s="170">
        <f>SUMPRODUCT((Settings!$G$14:$G$43=$B11)*COUNTIF('INPUT - Roster'!$IB$6:$IB$206,"*"&amp;Settings!$F$14:$F$43&amp;"*"))</f>
        <v/>
      </c>
      <c r="HM11" s="170">
        <f>SUMPRODUCT((Settings!$G$14:$G$43=$B11)*COUNTIF('INPUT - Roster'!$IC$6:$IC$206,"*"&amp;Settings!$F$14:$F$43&amp;"*"))</f>
        <v/>
      </c>
      <c r="HN11" s="170">
        <f>SUMPRODUCT((Settings!$G$14:$G$43=$B11)*COUNTIF('INPUT - Roster'!$ID$6:$ID$206,"*"&amp;Settings!$F$14:$F$43&amp;"*"))</f>
        <v/>
      </c>
      <c r="HO11" s="170">
        <f>SUMPRODUCT((Settings!$G$14:$G$43=$B11)*COUNTIF('INPUT - Roster'!$IE$6:$IE$206,"*"&amp;Settings!$F$14:$F$43&amp;"*"))</f>
        <v/>
      </c>
      <c r="HP11" s="170">
        <f>SUMPRODUCT((Settings!$G$14:$G$43=$B11)*COUNTIF('INPUT - Roster'!$IF$6:$IF$206,"*"&amp;Settings!$F$14:$F$43&amp;"*"))</f>
        <v/>
      </c>
      <c r="HQ11" s="170">
        <f>SUMPRODUCT((Settings!$G$14:$G$43=$B11)*COUNTIF('INPUT - Roster'!$IG$6:$IG$206,"*"&amp;Settings!$F$14:$F$43&amp;"*"))</f>
        <v/>
      </c>
      <c r="HR11" s="170">
        <f>SUMPRODUCT((Settings!$G$14:$G$43=$B11)*COUNTIF('INPUT - Roster'!$IH$6:$IH$206,"*"&amp;Settings!$F$14:$F$43&amp;"*"))</f>
        <v/>
      </c>
      <c r="HS11" s="170">
        <f>SUMPRODUCT((Settings!$G$14:$G$43=$B11)*COUNTIF('INPUT - Roster'!$II$6:$II$206,"*"&amp;Settings!$F$14:$F$43&amp;"*"))</f>
        <v/>
      </c>
      <c r="HT11" s="170">
        <f>SUMPRODUCT((Settings!$G$14:$G$43=$B11)*COUNTIF('INPUT - Roster'!$IJ$6:$IJ$206,"*"&amp;Settings!$F$14:$F$43&amp;"*"))</f>
        <v/>
      </c>
      <c r="HU11" s="170">
        <f>SUMPRODUCT((Settings!$G$14:$G$43=$B11)*COUNTIF('INPUT - Roster'!$IK$6:$IK$206,"*"&amp;Settings!$F$14:$F$43&amp;"*"))</f>
        <v/>
      </c>
      <c r="HV11" s="170">
        <f>SUMPRODUCT((Settings!$G$14:$G$43=$B11)*COUNTIF('INPUT - Roster'!$IL$6:$IL$206,"*"&amp;Settings!$F$14:$F$43&amp;"*"))</f>
        <v/>
      </c>
      <c r="HW11" s="170">
        <f>SUMPRODUCT((Settings!$G$14:$G$43=$B11)*COUNTIF('INPUT - Roster'!$IM$6:$IM$206,"*"&amp;Settings!$F$14:$F$43&amp;"*"))</f>
        <v/>
      </c>
      <c r="HX11" s="170">
        <f>SUMPRODUCT((Settings!$G$14:$G$43=$B11)*COUNTIF('INPUT - Roster'!$IN$6:$IN$206,"*"&amp;Settings!$F$14:$F$43&amp;"*"))</f>
        <v/>
      </c>
      <c r="HY11" s="170">
        <f>SUMPRODUCT((Settings!$G$14:$G$43=$B11)*COUNTIF('INPUT - Roster'!$IO$6:$IO$206,"*"&amp;Settings!$F$14:$F$43&amp;"*"))</f>
        <v/>
      </c>
      <c r="HZ11" s="170">
        <f>SUMPRODUCT((Settings!$G$14:$G$43=$B11)*COUNTIF('INPUT - Roster'!$IP$6:$IP$206,"*"&amp;Settings!$F$14:$F$43&amp;"*"))</f>
        <v/>
      </c>
      <c r="IA11" s="170">
        <f>SUMPRODUCT((Settings!$G$14:$G$43=$B11)*COUNTIF('INPUT - Roster'!$IQ$6:$IQ$206,"*"&amp;Settings!$F$14:$F$43&amp;"*"))</f>
        <v/>
      </c>
      <c r="IB11" s="170">
        <f>SUMPRODUCT((Settings!$G$14:$G$43=$B11)*COUNTIF('INPUT - Roster'!$IR$6:$IR$206,"*"&amp;Settings!$F$14:$F$43&amp;"*"))</f>
        <v/>
      </c>
      <c r="IC11" s="170">
        <f>SUMPRODUCT((Settings!$G$14:$G$43=$B11)*COUNTIF('INPUT - Roster'!$IS$6:$IS$206,"*"&amp;Settings!$F$14:$F$43&amp;"*"))</f>
        <v/>
      </c>
      <c r="ID11" s="170">
        <f>SUMPRODUCT((Settings!$G$14:$G$43=$B11)*COUNTIF('INPUT - Roster'!$IT$6:$IT$206,"*"&amp;Settings!$F$14:$F$43&amp;"*"))</f>
        <v/>
      </c>
      <c r="IE11" s="170">
        <f>SUMPRODUCT((Settings!$G$14:$G$43=$B11)*COUNTIF('INPUT - Roster'!$IU$6:$IU$206,"*"&amp;Settings!$F$14:$F$43&amp;"*"))</f>
        <v/>
      </c>
      <c r="IF11" s="170">
        <f>SUMPRODUCT((Settings!$G$14:$G$43=$B11)*COUNTIF('INPUT - Roster'!$IV$6:$IV$206,"*"&amp;Settings!$F$14:$F$43&amp;"*"))</f>
        <v/>
      </c>
      <c r="IG11" s="170">
        <f>SUMPRODUCT((Settings!$G$14:$G$43=$B11)*COUNTIF('INPUT - Roster'!$IW$6:$IW$206,"*"&amp;Settings!$F$14:$F$43&amp;"*"))</f>
        <v/>
      </c>
      <c r="IH11" s="170">
        <f>SUMPRODUCT((Settings!$G$14:$G$43=$B11)*COUNTIF('INPUT - Roster'!$IX$6:$IX$206,"*"&amp;Settings!$F$14:$F$43&amp;"*"))</f>
        <v/>
      </c>
      <c r="II11" s="170">
        <f>SUMPRODUCT((Settings!$G$14:$G$43=$B11)*COUNTIF('INPUT - Roster'!$IY$6:$IY$206,"*"&amp;Settings!$F$14:$F$43&amp;"*"))</f>
        <v/>
      </c>
      <c r="IJ11" s="170">
        <f>SUMPRODUCT((Settings!$G$14:$G$43=$B11)*COUNTIF('INPUT - Roster'!$IZ$6:$IZ$206,"*"&amp;Settings!$F$14:$F$43&amp;"*"))</f>
        <v/>
      </c>
      <c r="IK11" s="170">
        <f>SUMPRODUCT((Settings!$G$14:$G$43=$B11)*COUNTIF('INPUT - Roster'!$JA$6:$JA$206,"*"&amp;Settings!$F$14:$F$43&amp;"*"))</f>
        <v/>
      </c>
      <c r="IL11" s="170">
        <f>SUMPRODUCT((Settings!$G$14:$G$43=$B11)*COUNTIF('INPUT - Roster'!$JB$6:$JB$206,"*"&amp;Settings!$F$14:$F$43&amp;"*"))</f>
        <v/>
      </c>
      <c r="IM11" s="170">
        <f>SUMPRODUCT((Settings!$G$14:$G$43=$B11)*COUNTIF('INPUT - Roster'!$JC$6:$JC$206,"*"&amp;Settings!$F$14:$F$43&amp;"*"))</f>
        <v/>
      </c>
      <c r="IN11" s="170">
        <f>SUMPRODUCT((Settings!$G$14:$G$43=$B11)*COUNTIF('INPUT - Roster'!$JD$6:$JD$206,"*"&amp;Settings!$F$14:$F$43&amp;"*"))</f>
        <v/>
      </c>
      <c r="IO11" s="170">
        <f>SUMPRODUCT((Settings!$G$14:$G$43=$B11)*COUNTIF('INPUT - Roster'!$JE$6:$JE$206,"*"&amp;Settings!$F$14:$F$43&amp;"*"))</f>
        <v/>
      </c>
      <c r="IP11" s="170">
        <f>SUMPRODUCT((Settings!$G$14:$G$43=$B11)*COUNTIF('INPUT - Roster'!$JF$6:$JF$206,"*"&amp;Settings!$F$14:$F$43&amp;"*"))</f>
        <v/>
      </c>
      <c r="IQ11" s="170">
        <f>SUMPRODUCT((Settings!$G$14:$G$43=$B11)*COUNTIF('INPUT - Roster'!$JG$6:$JG$206,"*"&amp;Settings!$F$14:$F$43&amp;"*"))</f>
        <v/>
      </c>
      <c r="IR11" s="170">
        <f>SUMPRODUCT((Settings!$G$14:$G$43=$B11)*COUNTIF('INPUT - Roster'!$JH$6:$JH$206,"*"&amp;Settings!$F$14:$F$43&amp;"*"))</f>
        <v/>
      </c>
      <c r="IS11" s="170">
        <f>SUMPRODUCT((Settings!$G$14:$G$43=$B11)*COUNTIF('INPUT - Roster'!$JI$6:$JI$206,"*"&amp;Settings!$F$14:$F$43&amp;"*"))</f>
        <v/>
      </c>
      <c r="IT11" s="170">
        <f>SUMPRODUCT((Settings!$G$14:$G$43=$B11)*COUNTIF('INPUT - Roster'!$JJ$6:$JJ$206,"*"&amp;Settings!$F$14:$F$43&amp;"*"))</f>
        <v/>
      </c>
      <c r="IU11" s="170">
        <f>SUMPRODUCT((Settings!$G$14:$G$43=$B11)*COUNTIF('INPUT - Roster'!$JK$6:$JK$206,"*"&amp;Settings!$F$14:$F$43&amp;"*"))</f>
        <v/>
      </c>
      <c r="IV11" s="170">
        <f>SUMPRODUCT((Settings!$G$14:$G$43=$B11)*COUNTIF('INPUT - Roster'!$JL$6:$JL$206,"*"&amp;Settings!$F$14:$F$43&amp;"*"))</f>
        <v/>
      </c>
      <c r="IW11" s="170">
        <f>SUMPRODUCT((Settings!$G$14:$G$43=$B11)*COUNTIF('INPUT - Roster'!$JM$6:$JM$206,"*"&amp;Settings!$F$14:$F$43&amp;"*"))</f>
        <v/>
      </c>
      <c r="IX11" s="170">
        <f>SUMPRODUCT((Settings!$G$14:$G$43=$B11)*COUNTIF('INPUT - Roster'!$JN$6:$JN$206,"*"&amp;Settings!$F$14:$F$43&amp;"*"))</f>
        <v/>
      </c>
      <c r="IY11" s="170">
        <f>SUMPRODUCT((Settings!$G$14:$G$43=$B11)*COUNTIF('INPUT - Roster'!$JO$6:$JO$206,"*"&amp;Settings!$F$14:$F$43&amp;"*"))</f>
        <v/>
      </c>
      <c r="IZ11" s="170">
        <f>SUMPRODUCT((Settings!$G$14:$G$43=$B11)*COUNTIF('INPUT - Roster'!$JP$6:$JP$206,"*"&amp;Settings!$F$14:$F$43&amp;"*"))</f>
        <v/>
      </c>
      <c r="JA11" s="170">
        <f>SUMPRODUCT((Settings!$G$14:$G$43=$B11)*COUNTIF('INPUT - Roster'!$JQ$6:$JQ$206,"*"&amp;Settings!$F$14:$F$43&amp;"*"))</f>
        <v/>
      </c>
      <c r="JB11" s="170">
        <f>SUMPRODUCT((Settings!$G$14:$G$43=$B11)*COUNTIF('INPUT - Roster'!$JR$6:$JR$206,"*"&amp;Settings!$F$14:$F$43&amp;"*"))</f>
        <v/>
      </c>
      <c r="JC11" s="170">
        <f>SUMPRODUCT((Settings!$G$14:$G$43=$B11)*COUNTIF('INPUT - Roster'!$JS$6:$JS$206,"*"&amp;Settings!$F$14:$F$43&amp;"*"))</f>
        <v/>
      </c>
      <c r="JD11" s="170">
        <f>SUMPRODUCT((Settings!$G$14:$G$43=$B11)*COUNTIF('INPUT - Roster'!$JT$6:$JT$206,"*"&amp;Settings!$F$14:$F$43&amp;"*"))</f>
        <v/>
      </c>
      <c r="JE11" s="170">
        <f>SUMPRODUCT((Settings!$G$14:$G$43=$B11)*COUNTIF('INPUT - Roster'!$JU$6:$JU$206,"*"&amp;Settings!$F$14:$F$43&amp;"*"))</f>
        <v/>
      </c>
      <c r="JF11" s="170">
        <f>SUMPRODUCT((Settings!$G$14:$G$43=$B11)*COUNTIF('INPUT - Roster'!$JV$6:$JV$206,"*"&amp;Settings!$F$14:$F$43&amp;"*"))</f>
        <v/>
      </c>
      <c r="JG11" s="170">
        <f>SUMPRODUCT((Settings!$G$14:$G$43=$B11)*COUNTIF('INPUT - Roster'!$JW$6:$JW$206,"*"&amp;Settings!$F$14:$F$43&amp;"*"))</f>
        <v/>
      </c>
      <c r="JH11" s="170">
        <f>SUMPRODUCT((Settings!$G$14:$G$43=$B11)*COUNTIF('INPUT - Roster'!$JX$6:$JX$206,"*"&amp;Settings!$F$14:$F$43&amp;"*"))</f>
        <v/>
      </c>
      <c r="JI11" s="170">
        <f>SUMPRODUCT((Settings!$G$14:$G$43=$B11)*COUNTIF('INPUT - Roster'!$JY$6:$JY$206,"*"&amp;Settings!$F$14:$F$43&amp;"*"))</f>
        <v/>
      </c>
      <c r="JJ11" s="170">
        <f>SUMPRODUCT((Settings!$G$14:$G$43=$B11)*COUNTIF('INPUT - Roster'!$JZ$6:$JZ$206,"*"&amp;Settings!$F$14:$F$43&amp;"*"))</f>
        <v/>
      </c>
      <c r="JK11" s="170">
        <f>SUMPRODUCT((Settings!$G$14:$G$43=$B11)*COUNTIF('INPUT - Roster'!$KA$6:$KA$206,"*"&amp;Settings!$F$14:$F$43&amp;"*"))</f>
        <v/>
      </c>
      <c r="JL11" s="170">
        <f>SUMPRODUCT((Settings!$G$14:$G$43=$B11)*COUNTIF('INPUT - Roster'!$KB$6:$KB$206,"*"&amp;Settings!$F$14:$F$43&amp;"*"))</f>
        <v/>
      </c>
      <c r="JM11" s="170">
        <f>SUMPRODUCT((Settings!$G$14:$G$43=$B11)*COUNTIF('INPUT - Roster'!$KC$6:$KC$206,"*"&amp;Settings!$F$14:$F$43&amp;"*"))</f>
        <v/>
      </c>
      <c r="JN11" s="170">
        <f>SUMPRODUCT((Settings!$G$14:$G$43=$B11)*COUNTIF('INPUT - Roster'!$KD$6:$KD$206,"*"&amp;Settings!$F$14:$F$43&amp;"*"))</f>
        <v/>
      </c>
      <c r="JO11" s="170">
        <f>SUMPRODUCT((Settings!$G$14:$G$43=$B11)*COUNTIF('INPUT - Roster'!$KE$6:$KE$206,"*"&amp;Settings!$F$14:$F$43&amp;"*"))</f>
        <v/>
      </c>
      <c r="JP11" s="170">
        <f>SUMPRODUCT((Settings!$G$14:$G$43=$B11)*COUNTIF('INPUT - Roster'!$KF$6:$KF$206,"*"&amp;Settings!$F$14:$F$43&amp;"*"))</f>
        <v/>
      </c>
      <c r="JQ11" s="170">
        <f>SUMPRODUCT((Settings!$G$14:$G$43=$B11)*COUNTIF('INPUT - Roster'!$KG$6:$KG$206,"*"&amp;Settings!$F$14:$F$43&amp;"*"))</f>
        <v/>
      </c>
      <c r="JR11" s="170">
        <f>SUMPRODUCT((Settings!$G$14:$G$43=$B11)*COUNTIF('INPUT - Roster'!$KH$6:$KH$206,"*"&amp;Settings!$F$14:$F$43&amp;"*"))</f>
        <v/>
      </c>
      <c r="JS11" s="170">
        <f>SUMPRODUCT((Settings!$G$14:$G$43=$B11)*COUNTIF('INPUT - Roster'!$KI$6:$KI$206,"*"&amp;Settings!$F$14:$F$43&amp;"*"))</f>
        <v/>
      </c>
      <c r="JT11" s="170">
        <f>SUMPRODUCT((Settings!$G$14:$G$43=$B11)*COUNTIF('INPUT - Roster'!$KJ$6:$KJ$206,"*"&amp;Settings!$F$14:$F$43&amp;"*"))</f>
        <v/>
      </c>
      <c r="JU11" s="170">
        <f>SUMPRODUCT((Settings!$G$14:$G$43=$B11)*COUNTIF('INPUT - Roster'!$KK$6:$KK$206,"*"&amp;Settings!$F$14:$F$43&amp;"*"))</f>
        <v/>
      </c>
      <c r="JV11" s="170">
        <f>SUMPRODUCT((Settings!$G$14:$G$43=$B11)*COUNTIF('INPUT - Roster'!$KL$6:$KL$206,"*"&amp;Settings!$F$14:$F$43&amp;"*"))</f>
        <v/>
      </c>
      <c r="JW11" s="170">
        <f>SUMPRODUCT((Settings!$G$14:$G$43=$B11)*COUNTIF('INPUT - Roster'!$KM$6:$KM$206,"*"&amp;Settings!$F$14:$F$43&amp;"*"))</f>
        <v/>
      </c>
      <c r="JX11" s="170">
        <f>SUMPRODUCT((Settings!$G$14:$G$43=$B11)*COUNTIF('INPUT - Roster'!$KN$6:$KN$206,"*"&amp;Settings!$F$14:$F$43&amp;"*"))</f>
        <v/>
      </c>
      <c r="JY11" s="170">
        <f>SUMPRODUCT((Settings!$G$14:$G$43=$B11)*COUNTIF('INPUT - Roster'!$KO$6:$KO$206,"*"&amp;Settings!$F$14:$F$43&amp;"*"))</f>
        <v/>
      </c>
      <c r="JZ11" s="170">
        <f>SUMPRODUCT((Settings!$G$14:$G$43=$B11)*COUNTIF('INPUT - Roster'!$KP$6:$KP$206,"*"&amp;Settings!$F$14:$F$43&amp;"*"))</f>
        <v/>
      </c>
      <c r="KA11" s="170">
        <f>SUMPRODUCT((Settings!$G$14:$G$43=$B11)*COUNTIF('INPUT - Roster'!$KQ$6:$KQ$206,"*"&amp;Settings!$F$14:$F$43&amp;"*"))</f>
        <v/>
      </c>
      <c r="KB11" s="170">
        <f>SUMPRODUCT((Settings!$G$14:$G$43=$B11)*COUNTIF('INPUT - Roster'!$KR$6:$KR$206,"*"&amp;Settings!$F$14:$F$43&amp;"*"))</f>
        <v/>
      </c>
      <c r="KC11" s="170">
        <f>SUMPRODUCT((Settings!$G$14:$G$43=$B11)*COUNTIF('INPUT - Roster'!$KS$6:$KS$206,"*"&amp;Settings!$F$14:$F$43&amp;"*"))</f>
        <v/>
      </c>
      <c r="KD11" s="170">
        <f>SUMPRODUCT((Settings!$G$14:$G$43=$B11)*COUNTIF('INPUT - Roster'!$KT$6:$KT$206,"*"&amp;Settings!$F$14:$F$43&amp;"*"))</f>
        <v/>
      </c>
      <c r="KE11" s="170">
        <f>SUMPRODUCT((Settings!$G$14:$G$43=$B11)*COUNTIF('INPUT - Roster'!$KU$6:$KU$206,"*"&amp;Settings!$F$14:$F$43&amp;"*"))</f>
        <v/>
      </c>
      <c r="KF11" s="170">
        <f>SUMPRODUCT((Settings!$G$14:$G$43=$B11)*COUNTIF('INPUT - Roster'!$KV$6:$KV$206,"*"&amp;Settings!$F$14:$F$43&amp;"*"))</f>
        <v/>
      </c>
      <c r="KG11" s="170">
        <f>SUMPRODUCT((Settings!$G$14:$G$43=$B11)*COUNTIF('INPUT - Roster'!$KW$6:$KW$206,"*"&amp;Settings!$F$14:$F$43&amp;"*"))</f>
        <v/>
      </c>
      <c r="KH11" s="170">
        <f>SUMPRODUCT((Settings!$G$14:$G$43=$B11)*COUNTIF('INPUT - Roster'!$KX$6:$KX$206,"*"&amp;Settings!$F$14:$F$43&amp;"*"))</f>
        <v/>
      </c>
      <c r="KI11" s="170">
        <f>SUMPRODUCT((Settings!$G$14:$G$43=$B11)*COUNTIF('INPUT - Roster'!$KY$6:$KY$206,"*"&amp;Settings!$F$14:$F$43&amp;"*"))</f>
        <v/>
      </c>
      <c r="KJ11" s="170">
        <f>SUMPRODUCT((Settings!$G$14:$G$43=$B11)*COUNTIF('INPUT - Roster'!$KZ$6:$KZ$206,"*"&amp;Settings!$F$14:$F$43&amp;"*"))</f>
        <v/>
      </c>
      <c r="KK11" s="170">
        <f>SUMPRODUCT((Settings!$G$14:$G$43=$B11)*COUNTIF('INPUT - Roster'!$LA$6:$LA$206,"*"&amp;Settings!$F$14:$F$43&amp;"*"))</f>
        <v/>
      </c>
      <c r="KL11" s="170">
        <f>SUMPRODUCT((Settings!$G$14:$G$43=$B11)*COUNTIF('INPUT - Roster'!$LB$6:$LB$206,"*"&amp;Settings!$F$14:$F$43&amp;"*"))</f>
        <v/>
      </c>
      <c r="KM11" s="170">
        <f>SUMPRODUCT((Settings!$G$14:$G$43=$B11)*COUNTIF('INPUT - Roster'!$LC$6:$LC$206,"*"&amp;Settings!$F$14:$F$43&amp;"*"))</f>
        <v/>
      </c>
      <c r="KN11" s="170">
        <f>SUMPRODUCT((Settings!$G$14:$G$43=$B11)*COUNTIF('INPUT - Roster'!$LD$6:$LD$206,"*"&amp;Settings!$F$14:$F$43&amp;"*"))</f>
        <v/>
      </c>
      <c r="KO11" s="170">
        <f>SUMPRODUCT((Settings!$G$14:$G$43=$B11)*COUNTIF('INPUT - Roster'!$LE$6:$LE$206,"*"&amp;Settings!$F$14:$F$43&amp;"*"))</f>
        <v/>
      </c>
      <c r="KP11" s="170">
        <f>SUMPRODUCT((Settings!$G$14:$G$43=$B11)*COUNTIF('INPUT - Roster'!$LF$6:$LF$206,"*"&amp;Settings!$F$14:$F$43&amp;"*"))</f>
        <v/>
      </c>
      <c r="KQ11" s="170">
        <f>SUMPRODUCT((Settings!$G$14:$G$43=$B11)*COUNTIF('INPUT - Roster'!$LG$6:$LG$206,"*"&amp;Settings!$F$14:$F$43&amp;"*"))</f>
        <v/>
      </c>
      <c r="KR11" s="170">
        <f>SUMPRODUCT((Settings!$G$14:$G$43=$B11)*COUNTIF('INPUT - Roster'!$LH$6:$LH$206,"*"&amp;Settings!$F$14:$F$43&amp;"*"))</f>
        <v/>
      </c>
      <c r="KS11" s="170">
        <f>SUMPRODUCT((Settings!$G$14:$G$43=$B11)*COUNTIF('INPUT - Roster'!$LI$6:$LI$206,"*"&amp;Settings!$F$14:$F$43&amp;"*"))</f>
        <v/>
      </c>
      <c r="KT11" s="170">
        <f>SUMPRODUCT((Settings!$G$14:$G$43=$B11)*COUNTIF('INPUT - Roster'!$LJ$6:$LJ$206,"*"&amp;Settings!$F$14:$F$43&amp;"*"))</f>
        <v/>
      </c>
      <c r="KU11" s="170">
        <f>SUMPRODUCT((Settings!$G$14:$G$43=$B11)*COUNTIF('INPUT - Roster'!$LK$6:$LK$206,"*"&amp;Settings!$F$14:$F$43&amp;"*"))</f>
        <v/>
      </c>
      <c r="KV11" s="170">
        <f>SUMPRODUCT((Settings!$G$14:$G$43=$B11)*COUNTIF('INPUT - Roster'!$LL$6:$LL$206,"*"&amp;Settings!$F$14:$F$43&amp;"*"))</f>
        <v/>
      </c>
      <c r="KW11" s="170">
        <f>SUMPRODUCT((Settings!$G$14:$G$43=$B11)*COUNTIF('INPUT - Roster'!$LM$6:$LM$206,"*"&amp;Settings!$F$14:$F$43&amp;"*"))</f>
        <v/>
      </c>
      <c r="KX11" s="170">
        <f>SUMPRODUCT((Settings!$G$14:$G$43=$B11)*COUNTIF('INPUT - Roster'!$LN$6:$LN$206,"*"&amp;Settings!$F$14:$F$43&amp;"*"))</f>
        <v/>
      </c>
      <c r="KY11" s="170">
        <f>SUMPRODUCT((Settings!$G$14:$G$43=$B11)*COUNTIF('INPUT - Roster'!$LO$6:$LO$206,"*"&amp;Settings!$F$14:$F$43&amp;"*"))</f>
        <v/>
      </c>
      <c r="KZ11" s="170">
        <f>SUMPRODUCT((Settings!$G$14:$G$43=$B11)*COUNTIF('INPUT - Roster'!$LP$6:$LP$206,"*"&amp;Settings!$F$14:$F$43&amp;"*"))</f>
        <v/>
      </c>
      <c r="LA11" s="170">
        <f>SUMPRODUCT((Settings!$G$14:$G$43=$B11)*COUNTIF('INPUT - Roster'!$LQ$6:$LQ$206,"*"&amp;Settings!$F$14:$F$43&amp;"*"))</f>
        <v/>
      </c>
      <c r="LB11" s="170">
        <f>SUMPRODUCT((Settings!$G$14:$G$43=$B11)*COUNTIF('INPUT - Roster'!$LR$6:$LR$206,"*"&amp;Settings!$F$14:$F$43&amp;"*"))</f>
        <v/>
      </c>
      <c r="LC11" s="170">
        <f>SUMPRODUCT((Settings!$G$14:$G$43=$B11)*COUNTIF('INPUT - Roster'!$LS$6:$LS$206,"*"&amp;Settings!$F$14:$F$43&amp;"*"))</f>
        <v/>
      </c>
      <c r="LD11" s="170">
        <f>SUMPRODUCT((Settings!$G$14:$G$43=$B11)*COUNTIF('INPUT - Roster'!$LT$6:$LT$206,"*"&amp;Settings!$F$14:$F$43&amp;"*"))</f>
        <v/>
      </c>
      <c r="LE11" s="170">
        <f>SUMPRODUCT((Settings!$G$14:$G$43=$B11)*COUNTIF('INPUT - Roster'!$LU$6:$LU$206,"*"&amp;Settings!$F$14:$F$43&amp;"*"))</f>
        <v/>
      </c>
      <c r="LF11" s="170">
        <f>SUMPRODUCT((Settings!$G$14:$G$43=$B11)*COUNTIF('INPUT - Roster'!$LV$6:$LV$206,"*"&amp;Settings!$F$14:$F$43&amp;"*"))</f>
        <v/>
      </c>
      <c r="LG11" s="170">
        <f>SUMPRODUCT((Settings!$G$14:$G$43=$B11)*COUNTIF('INPUT - Roster'!$LW$6:$LW$206,"*"&amp;Settings!$F$14:$F$43&amp;"*"))</f>
        <v/>
      </c>
      <c r="LH11" s="170">
        <f>SUMPRODUCT((Settings!$G$14:$G$43=$B11)*COUNTIF('INPUT - Roster'!$LX$6:$LX$206,"*"&amp;Settings!$F$14:$F$43&amp;"*"))</f>
        <v/>
      </c>
      <c r="LI11" s="170">
        <f>SUMPRODUCT((Settings!$G$14:$G$43=$B11)*COUNTIF('INPUT - Roster'!$LY$6:$LY$206,"*"&amp;Settings!$F$14:$F$43&amp;"*"))</f>
        <v/>
      </c>
      <c r="LJ11" s="170">
        <f>SUMPRODUCT((Settings!$G$14:$G$43=$B11)*COUNTIF('INPUT - Roster'!$LZ$6:$LZ$206,"*"&amp;Settings!$F$14:$F$43&amp;"*"))</f>
        <v/>
      </c>
      <c r="LK11" s="170">
        <f>SUMPRODUCT((Settings!$G$14:$G$43=$B11)*COUNTIF('INPUT - Roster'!$MA$6:$MA$206,"*"&amp;Settings!$F$14:$F$43&amp;"*"))</f>
        <v/>
      </c>
      <c r="LL11" s="170">
        <f>SUMPRODUCT((Settings!$G$14:$G$43=$B11)*COUNTIF('INPUT - Roster'!$MB$6:$MB$206,"*"&amp;Settings!$F$14:$F$43&amp;"*"))</f>
        <v/>
      </c>
      <c r="LM11" s="170">
        <f>SUMPRODUCT((Settings!$G$14:$G$43=$B11)*COUNTIF('INPUT - Roster'!$MC$6:$MC$206,"*"&amp;Settings!$F$14:$F$43&amp;"*"))</f>
        <v/>
      </c>
      <c r="LN11" s="170">
        <f>SUMPRODUCT((Settings!$G$14:$G$43=$B11)*COUNTIF('INPUT - Roster'!$MD$6:$MD$206,"*"&amp;Settings!$F$14:$F$43&amp;"*"))</f>
        <v/>
      </c>
      <c r="LO11" s="170">
        <f>SUMPRODUCT((Settings!$G$14:$G$43=$B11)*COUNTIF('INPUT - Roster'!$ME$6:$ME$206,"*"&amp;Settings!$F$14:$F$43&amp;"*"))</f>
        <v/>
      </c>
      <c r="LP11" s="170">
        <f>SUMPRODUCT((Settings!$G$14:$G$43=$B11)*COUNTIF('INPUT - Roster'!$MF$6:$MF$206,"*"&amp;Settings!$F$14:$F$43&amp;"*"))</f>
        <v/>
      </c>
      <c r="LQ11" s="170">
        <f>SUMPRODUCT((Settings!$G$14:$G$43=$B11)*COUNTIF('INPUT - Roster'!$MG$6:$MG$206,"*"&amp;Settings!$F$14:$F$43&amp;"*"))</f>
        <v/>
      </c>
      <c r="LR11" s="170">
        <f>SUMPRODUCT((Settings!$G$14:$G$43=$B11)*COUNTIF('INPUT - Roster'!$MH$6:$MH$206,"*"&amp;Settings!$F$14:$F$43&amp;"*"))</f>
        <v/>
      </c>
      <c r="LS11" s="170">
        <f>SUMPRODUCT((Settings!$G$14:$G$43=$B11)*COUNTIF('INPUT - Roster'!$MI$6:$MI$206,"*"&amp;Settings!$F$14:$F$43&amp;"*"))</f>
        <v/>
      </c>
      <c r="LT11" s="170">
        <f>SUMPRODUCT((Settings!$G$14:$G$43=$B11)*COUNTIF('INPUT - Roster'!$MJ$6:$MJ$206,"*"&amp;Settings!$F$14:$F$43&amp;"*"))</f>
        <v/>
      </c>
      <c r="LU11" s="170">
        <f>SUMPRODUCT((Settings!$G$14:$G$43=$B11)*COUNTIF('INPUT - Roster'!$MK$6:$MK$206,"*"&amp;Settings!$F$14:$F$43&amp;"*"))</f>
        <v/>
      </c>
      <c r="LV11" s="170">
        <f>SUMPRODUCT((Settings!$G$14:$G$43=$B11)*COUNTIF('INPUT - Roster'!$ML$6:$ML$206,"*"&amp;Settings!$F$14:$F$43&amp;"*"))</f>
        <v/>
      </c>
      <c r="LW11" s="170">
        <f>SUMPRODUCT((Settings!$G$14:$G$43=$B11)*COUNTIF('INPUT - Roster'!$MM$6:$MM$206,"*"&amp;Settings!$F$14:$F$43&amp;"*"))</f>
        <v/>
      </c>
      <c r="LX11" s="170">
        <f>SUMPRODUCT((Settings!$G$14:$G$43=$B11)*COUNTIF('INPUT - Roster'!$MN$6:$MN$206,"*"&amp;Settings!$F$14:$F$43&amp;"*"))</f>
        <v/>
      </c>
      <c r="LY11" s="170">
        <f>SUMPRODUCT((Settings!$G$14:$G$43=$B11)*COUNTIF('INPUT - Roster'!$MO$6:$MO$206,"*"&amp;Settings!$F$14:$F$43&amp;"*"))</f>
        <v/>
      </c>
      <c r="LZ11" s="170">
        <f>SUMPRODUCT((Settings!$G$14:$G$43=$B11)*COUNTIF('INPUT - Roster'!$MP$6:$MP$206,"*"&amp;Settings!$F$14:$F$43&amp;"*"))</f>
        <v/>
      </c>
      <c r="MA11" s="170">
        <f>SUMPRODUCT((Settings!$G$14:$G$43=$B11)*COUNTIF('INPUT - Roster'!$MQ$6:$MQ$206,"*"&amp;Settings!$F$14:$F$43&amp;"*"))</f>
        <v/>
      </c>
      <c r="MB11" s="170">
        <f>SUMPRODUCT((Settings!$G$14:$G$43=$B11)*COUNTIF('INPUT - Roster'!$MR$6:$MR$206,"*"&amp;Settings!$F$14:$F$43&amp;"*"))</f>
        <v/>
      </c>
      <c r="MC11" s="170">
        <f>SUMPRODUCT((Settings!$G$14:$G$43=$B11)*COUNTIF('INPUT - Roster'!$MS$6:$MS$206,"*"&amp;Settings!$F$14:$F$43&amp;"*"))</f>
        <v/>
      </c>
      <c r="MD11" s="170">
        <f>SUMPRODUCT((Settings!$G$14:$G$43=$B11)*COUNTIF('INPUT - Roster'!$MT$6:$MT$206,"*"&amp;Settings!$F$14:$F$43&amp;"*"))</f>
        <v/>
      </c>
      <c r="ME11" s="170">
        <f>SUMPRODUCT((Settings!$G$14:$G$43=$B11)*COUNTIF('INPUT - Roster'!$MU$6:$MU$206,"*"&amp;Settings!$F$14:$F$43&amp;"*"))</f>
        <v/>
      </c>
      <c r="MF11" s="170">
        <f>SUMPRODUCT((Settings!$G$14:$G$43=$B11)*COUNTIF('INPUT - Roster'!$MV$6:$MV$206,"*"&amp;Settings!$F$14:$F$43&amp;"*"))</f>
        <v/>
      </c>
      <c r="MG11" s="170">
        <f>SUMPRODUCT((Settings!$G$14:$G$43=$B11)*COUNTIF('INPUT - Roster'!$MW$6:$MW$206,"*"&amp;Settings!$F$14:$F$43&amp;"*"))</f>
        <v/>
      </c>
      <c r="MH11" s="170">
        <f>SUMPRODUCT((Settings!$G$14:$G$43=$B11)*COUNTIF('INPUT - Roster'!$MX$6:$MX$206,"*"&amp;Settings!$F$14:$F$43&amp;"*"))</f>
        <v/>
      </c>
      <c r="MI11" s="170">
        <f>SUMPRODUCT((Settings!$G$14:$G$43=$B11)*COUNTIF('INPUT - Roster'!$MY$6:$MY$206,"*"&amp;Settings!$F$14:$F$43&amp;"*"))</f>
        <v/>
      </c>
      <c r="MJ11" s="170">
        <f>SUMPRODUCT((Settings!$G$14:$G$43=$B11)*COUNTIF('INPUT - Roster'!$MZ$6:$MZ$206,"*"&amp;Settings!$F$14:$F$43&amp;"*"))</f>
        <v/>
      </c>
      <c r="MK11" s="170">
        <f>SUMPRODUCT((Settings!$G$14:$G$43=$B11)*COUNTIF('INPUT - Roster'!$NA$6:$NA$206,"*"&amp;Settings!$F$14:$F$43&amp;"*"))</f>
        <v/>
      </c>
      <c r="ML11" s="170">
        <f>SUMPRODUCT((Settings!$G$14:$G$43=$B11)*COUNTIF('INPUT - Roster'!$NB$6:$NB$206,"*"&amp;Settings!$F$14:$F$43&amp;"*"))</f>
        <v/>
      </c>
      <c r="MM11" s="170">
        <f>SUMPRODUCT((Settings!$G$14:$G$43=$B11)*COUNTIF('INPUT - Roster'!$NC$6:$NC$206,"*"&amp;Settings!$F$14:$F$43&amp;"*"))</f>
        <v/>
      </c>
      <c r="MN11" s="170">
        <f>SUMPRODUCT((Settings!$G$14:$G$43=$B11)*COUNTIF('INPUT - Roster'!$ND$6:$ND$206,"*"&amp;Settings!$F$14:$F$43&amp;"*"))</f>
        <v/>
      </c>
      <c r="MO11" s="170">
        <f>SUMPRODUCT((Settings!$G$14:$G$43=$B11)*COUNTIF('INPUT - Roster'!$NE$6:$NE$206,"*"&amp;Settings!$F$14:$F$43&amp;"*"))</f>
        <v/>
      </c>
      <c r="MP11" s="170">
        <f>SUMPRODUCT((Settings!$G$14:$G$43=$B11)*COUNTIF('INPUT - Roster'!$NF$6:$NF$206,"*"&amp;Settings!$F$14:$F$43&amp;"*"))</f>
        <v/>
      </c>
      <c r="MQ11" s="170">
        <f>SUMPRODUCT((Settings!$G$14:$G$43=$B11)*COUNTIF('INPUT - Roster'!$NG$6:$NG$206,"*"&amp;Settings!$F$14:$F$43&amp;"*"))</f>
        <v/>
      </c>
      <c r="MR11" s="170">
        <f>SUMPRODUCT((Settings!$G$14:$G$43=$B11)*COUNTIF('INPUT - Roster'!$NH$6:$NH$206,"*"&amp;Settings!$F$14:$F$43&amp;"*"))</f>
        <v/>
      </c>
      <c r="MS11" s="170">
        <f>SUMPRODUCT((Settings!$G$14:$G$43=$B11)*COUNTIF('INPUT - Roster'!$NI$6:$NI$206,"*"&amp;Settings!$F$14:$F$43&amp;"*"))</f>
        <v/>
      </c>
      <c r="MT11" s="170">
        <f>SUMPRODUCT((Settings!$G$14:$G$43=$B11)*COUNTIF('INPUT - Roster'!$NJ$6:$NJ$206,"*"&amp;Settings!$F$14:$F$43&amp;"*"))</f>
        <v/>
      </c>
      <c r="MU11" s="170">
        <f>SUMPRODUCT((Settings!$G$14:$G$43=$B11)*COUNTIF('INPUT - Roster'!$NK$6:$NK$206,"*"&amp;Settings!$F$14:$F$43&amp;"*"))</f>
        <v/>
      </c>
      <c r="MV11" s="170">
        <f>SUMPRODUCT((Settings!$G$14:$G$43=$B11)*COUNTIF('INPUT - Roster'!$NL$6:$NL$206,"*"&amp;Settings!$F$14:$F$43&amp;"*"))</f>
        <v/>
      </c>
      <c r="MW11" s="170">
        <f>SUMPRODUCT((Settings!$G$14:$G$43=$B11)*COUNTIF('INPUT - Roster'!$NM$6:$NM$206,"*"&amp;Settings!$F$14:$F$43&amp;"*"))</f>
        <v/>
      </c>
      <c r="MX11" s="170">
        <f>SUMPRODUCT((Settings!$G$14:$G$43=$B11)*COUNTIF('INPUT - Roster'!$NN$6:$NN$206,"*"&amp;Settings!$F$14:$F$43&amp;"*"))</f>
        <v/>
      </c>
      <c r="MY11" s="170">
        <f>SUMPRODUCT((Settings!$G$14:$G$43=$B11)*COUNTIF('INPUT - Roster'!$NO$6:$NO$206,"*"&amp;Settings!$F$14:$F$43&amp;"*"))</f>
        <v/>
      </c>
      <c r="MZ11" s="170">
        <f>SUMPRODUCT((Settings!$G$14:$G$43=$B11)*COUNTIF('INPUT - Roster'!$NP$6:$NP$206,"*"&amp;Settings!$F$14:$F$43&amp;"*"))</f>
        <v/>
      </c>
      <c r="NA11" s="170">
        <f>SUMPRODUCT((Settings!$G$14:$G$43=$B11)*COUNTIF('INPUT - Roster'!$NQ$6:$NQ$206,"*"&amp;Settings!$F$14:$F$43&amp;"*"))</f>
        <v/>
      </c>
      <c r="NB11" s="170">
        <f>SUMPRODUCT((Settings!$G$14:$G$43=$B11)*COUNTIF('INPUT - Roster'!$NR$6:$NR$206,"*"&amp;Settings!$F$14:$F$43&amp;"*"))</f>
        <v/>
      </c>
      <c r="NC11" s="170">
        <f>SUMPRODUCT((Settings!$G$14:$G$43=$B11)*COUNTIF('INPUT - Roster'!$NS$6:$NS$206,"*"&amp;Settings!$F$14:$F$43&amp;"*"))</f>
        <v/>
      </c>
      <c r="ND11" s="170">
        <f>SUMPRODUCT((Settings!$G$14:$G$43=$B11)*COUNTIF('INPUT - Roster'!$NT$6:$NT$206,"*"&amp;Settings!$F$14:$F$43&amp;"*"))</f>
        <v/>
      </c>
      <c r="NE11" s="170">
        <f>SUMPRODUCT((Settings!$G$14:$G$43=$B11)*COUNTIF('INPUT - Roster'!$NU$6:$NU$206,"*"&amp;Settings!$F$14:$F$43&amp;"*"))</f>
        <v/>
      </c>
      <c r="NF11" s="170">
        <f>SUMPRODUCT((Settings!$G$14:$G$43=$B11)*COUNTIF('INPUT - Roster'!$NV$6:$NV$206,"*"&amp;Settings!$F$14:$F$43&amp;"*"))</f>
        <v/>
      </c>
      <c r="NG11" s="170">
        <f>SUMPRODUCT((Settings!$G$14:$G$43=$B11)*COUNTIF('INPUT - Roster'!$NW$6:$NW$206,"*"&amp;Settings!$F$14:$F$43&amp;"*"))</f>
        <v/>
      </c>
      <c r="NH11" s="170">
        <f>SUMPRODUCT((Settings!$G$14:$G$43=$B11)*COUNTIF('INPUT - Roster'!$NX$6:$NX$206,"*"&amp;Settings!$F$14:$F$43&amp;"*"))</f>
        <v/>
      </c>
      <c r="NI11" s="170">
        <f>SUMPRODUCT((Settings!$G$14:$G$43=$B11)*COUNTIF('INPUT - Roster'!$NY$6:$NY$206,"*"&amp;Settings!$F$14:$F$43&amp;"*"))</f>
        <v/>
      </c>
      <c r="NJ11" s="170">
        <f>SUMPRODUCT((Settings!$G$14:$G$43=$B11)*COUNTIF('INPUT - Roster'!$NZ$6:$NZ$206,"*"&amp;Settings!$F$14:$F$43&amp;"*"))</f>
        <v/>
      </c>
      <c r="NK11" s="170">
        <f>SUMPRODUCT((Settings!$G$14:$G$43=$B11)*COUNTIF('INPUT - Roster'!$OA$6:$OA$206,"*"&amp;Settings!$F$14:$F$43&amp;"*"))</f>
        <v/>
      </c>
      <c r="NL11" s="170">
        <f>SUMPRODUCT((Settings!$G$14:$G$43=$B11)*COUNTIF('INPUT - Roster'!$OB$6:$OB$206,"*"&amp;Settings!$F$14:$F$43&amp;"*"))</f>
        <v/>
      </c>
      <c r="NM11" s="170">
        <f>SUMPRODUCT((Settings!$G$14:$G$43=$B11)*COUNTIF('INPUT - Roster'!$OC$6:$OC$206,"*"&amp;Settings!$F$14:$F$43&amp;"*"))</f>
        <v/>
      </c>
      <c r="NN11" s="170">
        <f>SUMPRODUCT((Settings!$G$14:$G$43=$B11)*COUNTIF('INPUT - Roster'!$OD$6:$OD$206,"*"&amp;Settings!$F$14:$F$43&amp;"*"))</f>
        <v/>
      </c>
      <c r="NO11" s="170">
        <f>SUMPRODUCT((Settings!$G$14:$G$43=$B11)*COUNTIF('INPUT - Roster'!$OE$6:$OE$206,"*"&amp;Settings!$F$14:$F$43&amp;"*"))</f>
        <v/>
      </c>
      <c r="NP11" s="170">
        <f>SUMPRODUCT((Settings!$G$14:$G$43=$B11)*COUNTIF('INPUT - Roster'!$OF$6:$OF$206,"*"&amp;Settings!$F$14:$F$43&amp;"*"))</f>
        <v/>
      </c>
      <c r="NQ11" s="170">
        <f>SUMPRODUCT((Settings!$G$14:$G$43=$B11)*COUNTIF('INPUT - Roster'!$OG$6:$OG$206,"*"&amp;Settings!$F$14:$F$43&amp;"*"))</f>
        <v/>
      </c>
      <c r="NR11" s="170">
        <f>SUMPRODUCT((Settings!$G$14:$G$43=$B11)*COUNTIF('INPUT - Roster'!$OH$6:$OH$206,"*"&amp;Settings!$F$14:$F$43&amp;"*"))</f>
        <v/>
      </c>
      <c r="NS11" s="170">
        <f>SUMPRODUCT((Settings!$G$14:$G$43=$B11)*COUNTIF('INPUT - Roster'!$OI$6:$OI$206,"*"&amp;Settings!$F$14:$F$43&amp;"*"))</f>
        <v/>
      </c>
      <c r="NT11" s="170">
        <f>SUMPRODUCT((Settings!$G$14:$G$43=$B11)*COUNTIF('INPUT - Roster'!$OJ$6:$OJ$206,"*"&amp;Settings!$F$14:$F$43&amp;"*"))</f>
        <v/>
      </c>
      <c r="NU11" s="170">
        <f>SUMPRODUCT((Settings!$G$14:$G$43=$B11)*COUNTIF('INPUT - Roster'!$OK$6:$OK$206,"*"&amp;Settings!$F$14:$F$43&amp;"*"))</f>
        <v/>
      </c>
      <c r="NV11" s="170">
        <f>SUMPRODUCT((Settings!$G$14:$G$43=$B11)*COUNTIF('INPUT - Roster'!$OL$6:$OL$206,"*"&amp;Settings!$F$14:$F$43&amp;"*"))</f>
        <v/>
      </c>
      <c r="NW11" s="170">
        <f>SUMPRODUCT((Settings!$G$14:$G$43=$B11)*COUNTIF('INPUT - Roster'!$OM$6:$OM$206,"*"&amp;Settings!$F$14:$F$43&amp;"*"))</f>
        <v/>
      </c>
      <c r="NX11" s="170">
        <f>SUMPRODUCT((Settings!$G$14:$G$43=$B11)*COUNTIF('INPUT - Roster'!$ON$6:$ON$206,"*"&amp;Settings!$F$14:$F$43&amp;"*"))</f>
        <v/>
      </c>
      <c r="NY11" s="170">
        <f>SUMPRODUCT((Settings!$G$14:$G$43=$B11)*COUNTIF('INPUT - Roster'!$OO$6:$OO$206,"*"&amp;Settings!$F$14:$F$43&amp;"*"))</f>
        <v/>
      </c>
      <c r="NZ11" s="170">
        <f>SUMPRODUCT((Settings!$G$14:$G$43=$B11)*COUNTIF('INPUT - Roster'!$OP$6:$OP$206,"*"&amp;Settings!$F$14:$F$43&amp;"*"))</f>
        <v/>
      </c>
      <c r="OA11" s="170">
        <f>SUMPRODUCT((Settings!$G$14:$G$43=$B11)*COUNTIF('INPUT - Roster'!$OQ$6:$OQ$206,"*"&amp;Settings!$F$14:$F$43&amp;"*"))</f>
        <v/>
      </c>
      <c r="OB11" s="170">
        <f>SUMPRODUCT((Settings!$G$14:$G$43=$B11)*COUNTIF('INPUT - Roster'!$OR$6:$OR$206,"*"&amp;Settings!$F$14:$F$43&amp;"*"))</f>
        <v/>
      </c>
      <c r="OC11" s="170">
        <f>SUMPRODUCT((Settings!$G$14:$G$43=$B11)*COUNTIF('INPUT - Roster'!$OS$6:$OS$206,"*"&amp;Settings!$F$14:$F$43&amp;"*"))</f>
        <v/>
      </c>
      <c r="OD11" s="170">
        <f>SUMPRODUCT((Settings!$G$14:$G$43=$B11)*COUNTIF('INPUT - Roster'!$OT$6:$OT$206,"*"&amp;Settings!$F$14:$F$43&amp;"*"))</f>
        <v/>
      </c>
      <c r="OE11" s="170">
        <f>SUMPRODUCT((Settings!$G$14:$G$43=$B11)*COUNTIF('INPUT - Roster'!$OU$6:$OU$206,"*"&amp;Settings!$F$14:$F$43&amp;"*"))</f>
        <v/>
      </c>
      <c r="OF11" s="170">
        <f>SUMPRODUCT((Settings!$G$14:$G$43=$B11)*COUNTIF('INPUT - Roster'!$OV$6:$OV$206,"*"&amp;Settings!$F$14:$F$43&amp;"*"))</f>
        <v/>
      </c>
      <c r="OG11" s="170">
        <f>SUMPRODUCT((Settings!$G$14:$G$43=$B11)*COUNTIF('INPUT - Roster'!$OW$6:$OW$206,"*"&amp;Settings!$F$14:$F$43&amp;"*"))</f>
        <v/>
      </c>
      <c r="OH11" s="170">
        <f>SUMPRODUCT((Settings!$G$14:$G$43=$B11)*COUNTIF('INPUT - Roster'!$OX$6:$OX$206,"*"&amp;Settings!$F$14:$F$43&amp;"*"))</f>
        <v/>
      </c>
      <c r="OI11" s="170">
        <f>SUMPRODUCT((Settings!$G$14:$G$43=$B11)*COUNTIF('INPUT - Roster'!$OY$6:$OY$206,"*"&amp;Settings!$F$14:$F$43&amp;"*"))</f>
        <v/>
      </c>
      <c r="OJ11" s="170">
        <f>SUMPRODUCT((Settings!$G$14:$G$43=$B11)*COUNTIF('INPUT - Roster'!$OZ$6:$OZ$206,"*"&amp;Settings!$F$14:$F$43&amp;"*"))</f>
        <v/>
      </c>
      <c r="OK11" s="170">
        <f>SUMPRODUCT((Settings!$G$14:$G$43=$B11)*COUNTIF('INPUT - Roster'!$PA$6:$PA$206,"*"&amp;Settings!$F$14:$F$43&amp;"*"))</f>
        <v/>
      </c>
      <c r="OL11" s="170">
        <f>SUMPRODUCT((Settings!$G$14:$G$43=$B11)*COUNTIF('INPUT - Roster'!$PB$6:$PB$206,"*"&amp;Settings!$F$14:$F$43&amp;"*"))</f>
        <v/>
      </c>
      <c r="OM11" s="170">
        <f>SUMPRODUCT((Settings!$G$14:$G$43=$B11)*COUNTIF('INPUT - Roster'!$PC$6:$PC$206,"*"&amp;Settings!$F$14:$F$43&amp;"*"))</f>
        <v/>
      </c>
      <c r="ON11" s="170">
        <f>SUMPRODUCT((Settings!$G$14:$G$43=$B11)*COUNTIF('INPUT - Roster'!$PD$6:$PD$206,"*"&amp;Settings!$F$14:$F$43&amp;"*"))</f>
        <v/>
      </c>
      <c r="OO11" s="170">
        <f>SUMPRODUCT((Settings!$G$14:$G$43=$B11)*COUNTIF('INPUT - Roster'!$PE$6:$PE$206,"*"&amp;Settings!$F$14:$F$43&amp;"*"))</f>
        <v/>
      </c>
      <c r="OP11" s="170">
        <f>SUMPRODUCT((Settings!$G$14:$G$43=$B11)*COUNTIF('INPUT - Roster'!$PF$6:$PF$206,"*"&amp;Settings!$F$14:$F$43&amp;"*"))</f>
        <v/>
      </c>
      <c r="OQ11" s="170">
        <f>SUMPRODUCT((Settings!$G$14:$G$43=$B11)*COUNTIF('INPUT - Roster'!$PG$6:$PG$206,"*"&amp;Settings!$F$14:$F$43&amp;"*"))</f>
        <v/>
      </c>
      <c r="OR11" s="170">
        <f>SUMPRODUCT((Settings!$G$14:$G$43=$B11)*COUNTIF('INPUT - Roster'!$PH$6:$PH$206,"*"&amp;Settings!$F$14:$F$43&amp;"*"))</f>
        <v/>
      </c>
      <c r="OS11" s="170">
        <f>SUMPRODUCT((Settings!$G$14:$G$43=$B11)*COUNTIF('INPUT - Roster'!$PI$6:$PI$206,"*"&amp;Settings!$F$14:$F$43&amp;"*"))</f>
        <v/>
      </c>
      <c r="OT11" s="170">
        <f>SUMPRODUCT((Settings!$G$14:$G$43=$B11)*COUNTIF('INPUT - Roster'!$PJ$6:$PJ$206,"*"&amp;Settings!$F$14:$F$43&amp;"*"))</f>
        <v/>
      </c>
      <c r="OU11" s="170">
        <f>SUMPRODUCT((Settings!$G$14:$G$43=$B11)*COUNTIF('INPUT - Roster'!$PK$6:$PK$206,"*"&amp;Settings!$F$14:$F$43&amp;"*"))</f>
        <v/>
      </c>
      <c r="OV11" s="170">
        <f>SUMPRODUCT((Settings!$G$14:$G$43=$B11)*COUNTIF('INPUT - Roster'!$PL$6:$PL$206,"*"&amp;Settings!$F$14:$F$43&amp;"*"))</f>
        <v/>
      </c>
      <c r="OW11" s="170">
        <f>SUMPRODUCT((Settings!$G$14:$G$43=$B11)*COUNTIF('INPUT - Roster'!$PM$6:$PM$206,"*"&amp;Settings!$F$14:$F$43&amp;"*"))</f>
        <v/>
      </c>
      <c r="OX11" s="170">
        <f>SUMPRODUCT((Settings!$G$14:$G$43=$B11)*COUNTIF('INPUT - Roster'!$PN$6:$PN$206,"*"&amp;Settings!$F$14:$F$43&amp;"*"))</f>
        <v/>
      </c>
      <c r="OY11" s="170">
        <f>SUMPRODUCT((Settings!$G$14:$G$43=$B11)*COUNTIF('INPUT - Roster'!$PO$6:$PO$206,"*"&amp;Settings!$F$14:$F$43&amp;"*"))</f>
        <v/>
      </c>
      <c r="OZ11" s="170">
        <f>SUMPRODUCT((Settings!$G$14:$G$43=$B11)*COUNTIF('INPUT - Roster'!$PP$6:$PP$206,"*"&amp;Settings!$F$14:$F$43&amp;"*"))</f>
        <v/>
      </c>
      <c r="PA11" s="170">
        <f>SUMPRODUCT((Settings!$G$14:$G$43=$B11)*COUNTIF('INPUT - Roster'!$PQ$6:$PQ$206,"*"&amp;Settings!$F$14:$F$43&amp;"*"))</f>
        <v/>
      </c>
      <c r="PB11" s="170">
        <f>SUMPRODUCT((Settings!$G$14:$G$43=$B11)*COUNTIF('INPUT - Roster'!$PR$6:$PR$206,"*"&amp;Settings!$F$14:$F$43&amp;"*"))</f>
        <v/>
      </c>
      <c r="PC11" s="170">
        <f>SUMPRODUCT((Settings!$G$14:$G$43=$B11)*COUNTIF('INPUT - Roster'!$PS$6:$PS$206,"*"&amp;Settings!$F$14:$F$43&amp;"*"))</f>
        <v/>
      </c>
      <c r="PD11" s="170">
        <f>SUMPRODUCT((Settings!$G$14:$G$43=$B11)*COUNTIF('INPUT - Roster'!$PT$6:$PT$206,"*"&amp;Settings!$F$14:$F$43&amp;"*"))</f>
        <v/>
      </c>
      <c r="PE11" s="170">
        <f>SUMPRODUCT((Settings!$G$14:$G$43=$B11)*COUNTIF('INPUT - Roster'!$PU$6:$PU$206,"*"&amp;Settings!$F$14:$F$43&amp;"*"))</f>
        <v/>
      </c>
      <c r="PF11" s="170">
        <f>SUMPRODUCT((Settings!$G$14:$G$43=$B11)*COUNTIF('INPUT - Roster'!$PV$6:$PV$206,"*"&amp;Settings!$F$14:$F$43&amp;"*"))</f>
        <v/>
      </c>
      <c r="PG11" s="170">
        <f>SUMPRODUCT((Settings!$G$14:$G$43=$B11)*COUNTIF('INPUT - Roster'!$PW$6:$PW$206,"*"&amp;Settings!$F$14:$F$43&amp;"*"))</f>
        <v/>
      </c>
      <c r="PH11" s="170">
        <f>SUMPRODUCT((Settings!$G$14:$G$43=$B11)*COUNTIF('INPUT - Roster'!$PX$6:$PX$206,"*"&amp;Settings!$F$14:$F$43&amp;"*"))</f>
        <v/>
      </c>
      <c r="PI11" s="170">
        <f>SUMPRODUCT((Settings!$G$14:$G$43=$B11)*COUNTIF('INPUT - Roster'!$PY$6:$PY$206,"*"&amp;Settings!$F$14:$F$43&amp;"*"))</f>
        <v/>
      </c>
      <c r="PJ11" s="170">
        <f>SUMPRODUCT((Settings!$G$14:$G$43=$B11)*COUNTIF('INPUT - Roster'!$PZ$6:$PZ$206,"*"&amp;Settings!$F$14:$F$43&amp;"*"))</f>
        <v/>
      </c>
      <c r="PK11" s="170">
        <f>SUMPRODUCT((Settings!$G$14:$G$43=$B11)*COUNTIF('INPUT - Roster'!$QA$6:$QA$206,"*"&amp;Settings!$F$14:$F$43&amp;"*"))</f>
        <v/>
      </c>
      <c r="PL11" s="170">
        <f>SUMPRODUCT((Settings!$G$14:$G$43=$B11)*COUNTIF('INPUT - Roster'!$QB$6:$QB$206,"*"&amp;Settings!$F$14:$F$43&amp;"*"))</f>
        <v/>
      </c>
      <c r="PM11" s="170">
        <f>SUMPRODUCT((Settings!$G$14:$G$43=$B11)*COUNTIF('INPUT - Roster'!$QC$6:$QC$206,"*"&amp;Settings!$F$14:$F$43&amp;"*"))</f>
        <v/>
      </c>
      <c r="PN11" s="170">
        <f>SUMPRODUCT((Settings!$G$14:$G$43=$B11)*COUNTIF('INPUT - Roster'!$QD$6:$QD$206,"*"&amp;Settings!$F$14:$F$43&amp;"*"))</f>
        <v/>
      </c>
      <c r="PO11" s="170">
        <f>SUMPRODUCT((Settings!$G$14:$G$43=$B11)*COUNTIF('INPUT - Roster'!$QE$6:$QE$206,"*"&amp;Settings!$F$14:$F$43&amp;"*"))</f>
        <v/>
      </c>
      <c r="PP11" s="170">
        <f>SUMPRODUCT((Settings!$G$14:$G$43=$B11)*COUNTIF('INPUT - Roster'!$QF$6:$QF$206,"*"&amp;Settings!$F$14:$F$43&amp;"*"))</f>
        <v/>
      </c>
      <c r="PQ11" s="170">
        <f>SUMPRODUCT((Settings!$G$14:$G$43=$B11)*COUNTIF('INPUT - Roster'!$QG$6:$QG$206,"*"&amp;Settings!$F$14:$F$43&amp;"*"))</f>
        <v/>
      </c>
      <c r="PR11" s="170">
        <f>SUMPRODUCT((Settings!$G$14:$G$43=$B11)*COUNTIF('INPUT - Roster'!$QH$6:$QH$206,"*"&amp;Settings!$F$14:$F$43&amp;"*"))</f>
        <v/>
      </c>
      <c r="PS11" s="170">
        <f>SUMPRODUCT((Settings!$G$14:$G$43=$B11)*COUNTIF('INPUT - Roster'!$QI$6:$QI$206,"*"&amp;Settings!$F$14:$F$43&amp;"*"))</f>
        <v/>
      </c>
      <c r="PT11" s="170">
        <f>SUMPRODUCT((Settings!$G$14:$G$43=$B11)*COUNTIF('INPUT - Roster'!$QJ$6:$QJ$206,"*"&amp;Settings!$F$14:$F$43&amp;"*"))</f>
        <v/>
      </c>
      <c r="PU11" s="170">
        <f>SUMPRODUCT((Settings!$G$14:$G$43=$B11)*COUNTIF('INPUT - Roster'!$QK$6:$QK$206,"*"&amp;Settings!$F$14:$F$43&amp;"*"))</f>
        <v/>
      </c>
      <c r="PV11" s="170">
        <f>SUMPRODUCT((Settings!$G$14:$G$43=$B11)*COUNTIF('INPUT - Roster'!$QL$6:$QL$206,"*"&amp;Settings!$F$14:$F$43&amp;"*"))</f>
        <v/>
      </c>
      <c r="PW11" s="170">
        <f>SUMPRODUCT((Settings!$G$14:$G$43=$B11)*COUNTIF('INPUT - Roster'!$QM$6:$QM$206,"*"&amp;Settings!$F$14:$F$43&amp;"*"))</f>
        <v/>
      </c>
      <c r="PX11" s="170">
        <f>SUMPRODUCT((Settings!$G$14:$G$43=$B11)*COUNTIF('INPUT - Roster'!$QN$6:$QN$206,"*"&amp;Settings!$F$14:$F$43&amp;"*"))</f>
        <v/>
      </c>
      <c r="PY11" s="170">
        <f>SUMPRODUCT((Settings!$G$14:$G$43=$B11)*COUNTIF('INPUT - Roster'!$QO$6:$QO$206,"*"&amp;Settings!$F$14:$F$43&amp;"*"))</f>
        <v/>
      </c>
      <c r="PZ11" s="170">
        <f>SUMPRODUCT((Settings!$G$14:$G$43=$B11)*COUNTIF('INPUT - Roster'!$QP$6:$QP$206,"*"&amp;Settings!$F$14:$F$43&amp;"*"))</f>
        <v/>
      </c>
      <c r="QA11" s="170">
        <f>SUMPRODUCT((Settings!$G$14:$G$43=$B11)*COUNTIF('INPUT - Roster'!$QQ$6:$QQ$206,"*"&amp;Settings!$F$14:$F$43&amp;"*"))</f>
        <v/>
      </c>
      <c r="QB11" s="170">
        <f>SUMPRODUCT((Settings!$G$14:$G$43=$B11)*COUNTIF('INPUT - Roster'!$QR$6:$QR$206,"*"&amp;Settings!$F$14:$F$43&amp;"*"))</f>
        <v/>
      </c>
      <c r="QC11" s="170">
        <f>SUMPRODUCT((Settings!$G$14:$G$43=$B11)*COUNTIF('INPUT - Roster'!$QS$6:$QS$206,"*"&amp;Settings!$F$14:$F$43&amp;"*"))</f>
        <v/>
      </c>
      <c r="QD11" s="170">
        <f>SUMPRODUCT((Settings!$G$14:$G$43=$B11)*COUNTIF('INPUT - Roster'!$QT$6:$QT$206,"*"&amp;Settings!$F$14:$F$43&amp;"*"))</f>
        <v/>
      </c>
      <c r="QE11" s="170">
        <f>SUMPRODUCT((Settings!$G$14:$G$43=$B11)*COUNTIF('INPUT - Roster'!$QU$6:$QU$206,"*"&amp;Settings!$F$14:$F$43&amp;"*"))</f>
        <v/>
      </c>
      <c r="QF11" s="170">
        <f>SUMPRODUCT((Settings!$G$14:$G$43=$B11)*COUNTIF('INPUT - Roster'!$QV$6:$QV$206,"*"&amp;Settings!$F$14:$F$43&amp;"*"))</f>
        <v/>
      </c>
      <c r="QG11" s="170">
        <f>SUMPRODUCT((Settings!$G$14:$G$43=$B11)*COUNTIF('INPUT - Roster'!$QW$6:$QW$206,"*"&amp;Settings!$F$14:$F$43&amp;"*"))</f>
        <v/>
      </c>
      <c r="QH11" s="170">
        <f>SUMPRODUCT((Settings!$G$14:$G$43=$B11)*COUNTIF('INPUT - Roster'!$QX$6:$QX$206,"*"&amp;Settings!$F$14:$F$43&amp;"*"))</f>
        <v/>
      </c>
      <c r="QI11" s="170">
        <f>SUMPRODUCT((Settings!$G$14:$G$43=$B11)*COUNTIF('INPUT - Roster'!$QY$6:$QY$206,"*"&amp;Settings!$F$14:$F$43&amp;"*"))</f>
        <v/>
      </c>
      <c r="QJ11" s="170">
        <f>SUMPRODUCT((Settings!$G$14:$G$43=$B11)*COUNTIF('INPUT - Roster'!$QZ$6:$QZ$206,"*"&amp;Settings!$F$14:$F$43&amp;"*"))</f>
        <v/>
      </c>
      <c r="QK11" s="170">
        <f>SUMPRODUCT((Settings!$G$14:$G$43=$B11)*COUNTIF('INPUT - Roster'!$RA$6:$RA$206,"*"&amp;Settings!$F$14:$F$43&amp;"*"))</f>
        <v/>
      </c>
      <c r="QL11" s="170">
        <f>SUMPRODUCT((Settings!$G$14:$G$43=$B11)*COUNTIF('INPUT - Roster'!$RB$6:$RB$206,"*"&amp;Settings!$F$14:$F$43&amp;"*"))</f>
        <v/>
      </c>
      <c r="QM11" s="170">
        <f>SUMPRODUCT((Settings!$G$14:$G$43=$B11)*COUNTIF('INPUT - Roster'!$RC$6:$RC$206,"*"&amp;Settings!$F$14:$F$43&amp;"*"))</f>
        <v/>
      </c>
      <c r="QN11" s="170">
        <f>SUMPRODUCT((Settings!$G$14:$G$43=$B11)*COUNTIF('INPUT - Roster'!$RD$6:$RD$206,"*"&amp;Settings!$F$14:$F$43&amp;"*"))</f>
        <v/>
      </c>
      <c r="QO11" s="170">
        <f>SUMPRODUCT((Settings!$G$14:$G$43=$B11)*COUNTIF('INPUT - Roster'!$RE$6:$RE$206,"*"&amp;Settings!$F$14:$F$43&amp;"*"))</f>
        <v/>
      </c>
      <c r="QP11" s="170">
        <f>SUMPRODUCT((Settings!$G$14:$G$43=$B11)*COUNTIF('INPUT - Roster'!$RF$6:$RF$206,"*"&amp;Settings!$F$14:$F$43&amp;"*"))</f>
        <v/>
      </c>
      <c r="QQ11" s="170">
        <f>SUMPRODUCT((Settings!$G$14:$G$43=$B11)*COUNTIF('INPUT - Roster'!$RG$6:$RG$206,"*"&amp;Settings!$F$14:$F$43&amp;"*"))</f>
        <v/>
      </c>
      <c r="QR11" s="170">
        <f>SUMPRODUCT((Settings!$G$14:$G$43=$B11)*COUNTIF('INPUT - Roster'!$RH$6:$RH$206,"*"&amp;Settings!$F$14:$F$43&amp;"*"))</f>
        <v/>
      </c>
      <c r="QS11" s="170">
        <f>SUMPRODUCT((Settings!$G$14:$G$43=$B11)*COUNTIF('INPUT - Roster'!$RI$6:$RI$206,"*"&amp;Settings!$F$14:$F$43&amp;"*"))</f>
        <v/>
      </c>
      <c r="QT11" s="170">
        <f>SUMPRODUCT((Settings!$G$14:$G$43=$B11)*COUNTIF('INPUT - Roster'!$RJ$6:$RJ$206,"*"&amp;Settings!$F$14:$F$43&amp;"*"))</f>
        <v/>
      </c>
      <c r="QU11" s="170">
        <f>SUMPRODUCT((Settings!$G$14:$G$43=$B11)*COUNTIF('INPUT - Roster'!$RK$6:$RK$206,"*"&amp;Settings!$F$14:$F$43&amp;"*"))</f>
        <v/>
      </c>
      <c r="QV11" s="170">
        <f>SUMPRODUCT((Settings!$G$14:$G$43=$B11)*COUNTIF('INPUT - Roster'!$RL$6:$RL$206,"*"&amp;Settings!$F$14:$F$43&amp;"*"))</f>
        <v/>
      </c>
      <c r="QW11" s="170">
        <f>SUMPRODUCT((Settings!$G$14:$G$43=$B11)*COUNTIF('INPUT - Roster'!$RM$6:$RM$206,"*"&amp;Settings!$F$14:$F$43&amp;"*"))</f>
        <v/>
      </c>
      <c r="QX11" s="170">
        <f>SUMPRODUCT((Settings!$G$14:$G$43=$B11)*COUNTIF('INPUT - Roster'!$RN$6:$RN$206,"*"&amp;Settings!$F$14:$F$43&amp;"*"))</f>
        <v/>
      </c>
      <c r="QY11" s="170">
        <f>SUMPRODUCT((Settings!$G$14:$G$43=$B11)*COUNTIF('INPUT - Roster'!$RO$6:$RO$206,"*"&amp;Settings!$F$14:$F$43&amp;"*"))</f>
        <v/>
      </c>
      <c r="QZ11" s="170">
        <f>SUMPRODUCT((Settings!$G$14:$G$43=$B11)*COUNTIF('INPUT - Roster'!$RP$6:$RP$206,"*"&amp;Settings!$F$14:$F$43&amp;"*"))</f>
        <v/>
      </c>
      <c r="RA11" s="170">
        <f>SUMPRODUCT((Settings!$G$14:$G$43=$B11)*COUNTIF('INPUT - Roster'!$RQ$6:$RQ$206,"*"&amp;Settings!$F$14:$F$43&amp;"*"))</f>
        <v/>
      </c>
      <c r="RB11" s="170">
        <f>SUMPRODUCT((Settings!$G$14:$G$43=$B11)*COUNTIF('INPUT - Roster'!$RR$6:$RR$206,"*"&amp;Settings!$F$14:$F$43&amp;"*"))</f>
        <v/>
      </c>
      <c r="RC11" s="170">
        <f>SUMPRODUCT((Settings!$G$14:$G$43=$B11)*COUNTIF('INPUT - Roster'!$RS$6:$RS$206,"*"&amp;Settings!$F$14:$F$43&amp;"*"))</f>
        <v/>
      </c>
      <c r="RD11" s="170">
        <f>SUMPRODUCT((Settings!$G$14:$G$43=$B11)*COUNTIF('INPUT - Roster'!$RT$6:$RT$206,"*"&amp;Settings!$F$14:$F$43&amp;"*"))</f>
        <v/>
      </c>
      <c r="RE11" s="170">
        <f>SUMPRODUCT((Settings!$G$14:$G$43=$B11)*COUNTIF('INPUT - Roster'!$RU$6:$RU$206,"*"&amp;Settings!$F$14:$F$43&amp;"*"))</f>
        <v/>
      </c>
      <c r="RF11" s="170">
        <f>SUMPRODUCT((Settings!$G$14:$G$43=$B11)*COUNTIF('INPUT - Roster'!$RV$6:$RV$206,"*"&amp;Settings!$F$14:$F$43&amp;"*"))</f>
        <v/>
      </c>
      <c r="RG11" s="170">
        <f>SUMPRODUCT((Settings!$G$14:$G$43=$B11)*COUNTIF('INPUT - Roster'!$RW$6:$RW$206,"*"&amp;Settings!$F$14:$F$43&amp;"*"))</f>
        <v/>
      </c>
      <c r="RH11" s="170">
        <f>SUMPRODUCT((Settings!$G$14:$G$43=$B11)*COUNTIF('INPUT - Roster'!$RX$6:$RX$206,"*"&amp;Settings!$F$14:$F$43&amp;"*"))</f>
        <v/>
      </c>
      <c r="RI11" s="170">
        <f>SUMPRODUCT((Settings!$G$14:$G$43=$B11)*COUNTIF('INPUT - Roster'!$RY$6:$RY$206,"*"&amp;Settings!$F$14:$F$43&amp;"*"))</f>
        <v/>
      </c>
      <c r="RJ11" s="170">
        <f>SUMPRODUCT((Settings!$G$14:$G$43=$B11)*COUNTIF('INPUT - Roster'!$RZ$6:$RZ$206,"*"&amp;Settings!$F$14:$F$43&amp;"*"))</f>
        <v/>
      </c>
      <c r="RK11" s="170">
        <f>SUMPRODUCT((Settings!$G$14:$G$43=$B11)*COUNTIF('INPUT - Roster'!$SA$6:$SA$206,"*"&amp;Settings!$F$14:$F$43&amp;"*"))</f>
        <v/>
      </c>
      <c r="RL11" s="170">
        <f>SUMPRODUCT((Settings!$G$14:$G$43=$B11)*COUNTIF('INPUT - Roster'!$SB$6:$SB$206,"*"&amp;Settings!$F$14:$F$43&amp;"*"))</f>
        <v/>
      </c>
      <c r="RM11" s="170">
        <f>SUMPRODUCT((Settings!$G$14:$G$43=$B11)*COUNTIF('INPUT - Roster'!$SC$6:$SC$206,"*"&amp;Settings!$F$14:$F$43&amp;"*"))</f>
        <v/>
      </c>
      <c r="RN11" s="170">
        <f>SUMPRODUCT((Settings!$G$14:$G$43=$B11)*COUNTIF('INPUT - Roster'!$SD$6:$SD$206,"*"&amp;Settings!$F$14:$F$43&amp;"*"))</f>
        <v/>
      </c>
      <c r="RO11" s="170">
        <f>SUMPRODUCT((Settings!$G$14:$G$43=$B11)*COUNTIF('INPUT - Roster'!$SE$6:$SE$206,"*"&amp;Settings!$F$14:$F$43&amp;"*"))</f>
        <v/>
      </c>
      <c r="RP11" s="170">
        <f>SUMPRODUCT((Settings!$G$14:$G$43=$B11)*COUNTIF('INPUT - Roster'!$SF$6:$SF$206,"*"&amp;Settings!$F$14:$F$43&amp;"*"))</f>
        <v/>
      </c>
      <c r="RQ11" s="170">
        <f>SUMPRODUCT((Settings!$G$14:$G$43=$B11)*COUNTIF('INPUT - Roster'!$SG$6:$SG$206,"*"&amp;Settings!$F$14:$F$43&amp;"*"))</f>
        <v/>
      </c>
      <c r="RR11" s="170">
        <f>SUMPRODUCT((Settings!$G$14:$G$43=$B11)*COUNTIF('INPUT - Roster'!$SH$6:$SH$206,"*"&amp;Settings!$F$14:$F$43&amp;"*"))</f>
        <v/>
      </c>
      <c r="RS11" s="170">
        <f>SUMPRODUCT((Settings!$G$14:$G$43=$B11)*COUNTIF('INPUT - Roster'!$SI$6:$SI$206,"*"&amp;Settings!$F$14:$F$43&amp;"*"))</f>
        <v/>
      </c>
      <c r="RT11" s="170">
        <f>SUMPRODUCT((Settings!$G$14:$G$43=$B11)*COUNTIF('INPUT - Roster'!$SJ$6:$SJ$206,"*"&amp;Settings!$F$14:$F$43&amp;"*"))</f>
        <v/>
      </c>
      <c r="RU11" s="170">
        <f>SUMPRODUCT((Settings!$G$14:$G$43=$B11)*COUNTIF('INPUT - Roster'!$SK$6:$SK$206,"*"&amp;Settings!$F$14:$F$43&amp;"*"))</f>
        <v/>
      </c>
      <c r="RV11" s="170">
        <f>SUMPRODUCT((Settings!$G$14:$G$43=$B11)*COUNTIF('INPUT - Roster'!$SL$6:$SL$206,"*"&amp;Settings!$F$14:$F$43&amp;"*"))</f>
        <v/>
      </c>
      <c r="RW11" s="170">
        <f>SUMPRODUCT((Settings!$G$14:$G$43=$B11)*COUNTIF('INPUT - Roster'!$SM$6:$SM$206,"*"&amp;Settings!$F$14:$F$43&amp;"*"))</f>
        <v/>
      </c>
      <c r="RX11" s="170">
        <f>SUMPRODUCT((Settings!$G$14:$G$43=$B11)*COUNTIF('INPUT - Roster'!$SN$6:$SN$206,"*"&amp;Settings!$F$14:$F$43&amp;"*"))</f>
        <v/>
      </c>
      <c r="RY11" s="170">
        <f>SUMPRODUCT((Settings!$G$14:$G$43=$B11)*COUNTIF('INPUT - Roster'!$SO$6:$SO$206,"*"&amp;Settings!$F$14:$F$43&amp;"*"))</f>
        <v/>
      </c>
      <c r="RZ11" s="170">
        <f>SUMPRODUCT((Settings!$G$14:$G$43=$B11)*COUNTIF('INPUT - Roster'!$SP$6:$SP$206,"*"&amp;Settings!$F$14:$F$43&amp;"*"))</f>
        <v/>
      </c>
      <c r="SA11" s="170">
        <f>SUMPRODUCT((Settings!$G$14:$G$43=$B11)*COUNTIF('INPUT - Roster'!$SQ$6:$SQ$206,"*"&amp;Settings!$F$14:$F$43&amp;"*"))</f>
        <v/>
      </c>
      <c r="SB11" s="170">
        <f>SUMPRODUCT((Settings!$G$14:$G$43=$B11)*COUNTIF('INPUT - Roster'!$SR$6:$SR$206,"*"&amp;Settings!$F$14:$F$43&amp;"*"))</f>
        <v/>
      </c>
      <c r="SC11" s="170">
        <f>SUMPRODUCT((Settings!$G$14:$G$43=$B11)*COUNTIF('INPUT - Roster'!$SS$6:$SS$206,"*"&amp;Settings!$F$14:$F$43&amp;"*"))</f>
        <v/>
      </c>
      <c r="SD11" s="170">
        <f>SUMPRODUCT((Settings!$G$14:$G$43=$B11)*COUNTIF('INPUT - Roster'!$ST$6:$ST$206,"*"&amp;Settings!$F$14:$F$43&amp;"*"))</f>
        <v/>
      </c>
      <c r="SE11" s="170">
        <f>SUMPRODUCT((Settings!$G$14:$G$43=$B11)*COUNTIF('INPUT - Roster'!$SU$6:$SU$206,"*"&amp;Settings!$F$14:$F$43&amp;"*"))</f>
        <v/>
      </c>
      <c r="SF11" s="170">
        <f>SUMPRODUCT((Settings!$G$14:$G$43=$B11)*COUNTIF('INPUT - Roster'!$SV$6:$SV$206,"*"&amp;Settings!$F$14:$F$43&amp;"*"))</f>
        <v/>
      </c>
    </row>
    <row r="12">
      <c r="B12" s="169" t="inlineStr">
        <is>
          <t>Spinifex</t>
        </is>
      </c>
      <c r="C12" s="170">
        <f>SUMPRODUCT((Settings!$G$14:$G$43=$B12)*COUNTIF('INPUT - Roster'!$S$6:$S$206,"*"&amp;Settings!$F$14:$F$43&amp;"*"))</f>
        <v/>
      </c>
      <c r="D12" s="170">
        <f>SUMPRODUCT((Settings!$G$14:$G$43=$B12)*COUNTIF('INPUT - Roster'!$T$6:$T$206,"*"&amp;Settings!$F$14:$F$43&amp;"*"))</f>
        <v/>
      </c>
      <c r="E12" s="170">
        <f>SUMPRODUCT((Settings!$G$14:$G$43=$B12)*COUNTIF('INPUT - Roster'!$U$6:$U$206,"*"&amp;Settings!$F$14:$F$43&amp;"*"))</f>
        <v/>
      </c>
      <c r="F12" s="170">
        <f>SUMPRODUCT((Settings!$G$14:$G$43=$B12)*COUNTIF('INPUT - Roster'!$V$6:$V$206,"*"&amp;Settings!$F$14:$F$43&amp;"*"))</f>
        <v/>
      </c>
      <c r="G12" s="170">
        <f>SUMPRODUCT((Settings!$G$14:$G$43=$B12)*COUNTIF('INPUT - Roster'!$W$6:$W$206,"*"&amp;Settings!$F$14:$F$43&amp;"*"))</f>
        <v/>
      </c>
      <c r="H12" s="170">
        <f>SUMPRODUCT((Settings!$G$14:$G$43=$B12)*COUNTIF('INPUT - Roster'!$X$6:$X$206,"*"&amp;Settings!$F$14:$F$43&amp;"*"))</f>
        <v/>
      </c>
      <c r="I12" s="170">
        <f>SUMPRODUCT((Settings!$G$14:$G$43=$B12)*COUNTIF('INPUT - Roster'!$Y$6:$Y$206,"*"&amp;Settings!$F$14:$F$43&amp;"*"))</f>
        <v/>
      </c>
      <c r="J12" s="170">
        <f>SUMPRODUCT((Settings!$G$14:$G$43=$B12)*COUNTIF('INPUT - Roster'!$Z$6:$Z$206,"*"&amp;Settings!$F$14:$F$43&amp;"*"))</f>
        <v/>
      </c>
      <c r="K12" s="170">
        <f>SUMPRODUCT((Settings!$G$14:$G$43=$B12)*COUNTIF('INPUT - Roster'!$AA$6:$AA$206,"*"&amp;Settings!$F$14:$F$43&amp;"*"))</f>
        <v/>
      </c>
      <c r="L12" s="170">
        <f>SUMPRODUCT((Settings!$G$14:$G$43=$B12)*COUNTIF('INPUT - Roster'!$AB$6:$AB$206,"*"&amp;Settings!$F$14:$F$43&amp;"*"))</f>
        <v/>
      </c>
      <c r="M12" s="170">
        <f>SUMPRODUCT((Settings!$G$14:$G$43=$B12)*COUNTIF('INPUT - Roster'!$AC$6:$AC$206,"*"&amp;Settings!$F$14:$F$43&amp;"*"))</f>
        <v/>
      </c>
      <c r="N12" s="170">
        <f>SUMPRODUCT((Settings!$G$14:$G$43=$B12)*COUNTIF('INPUT - Roster'!$AD$6:$AD$206,"*"&amp;Settings!$F$14:$F$43&amp;"*"))</f>
        <v/>
      </c>
      <c r="O12" s="170">
        <f>SUMPRODUCT((Settings!$G$14:$G$43=$B12)*COUNTIF('INPUT - Roster'!$AE$6:$AE$206,"*"&amp;Settings!$F$14:$F$43&amp;"*"))</f>
        <v/>
      </c>
      <c r="P12" s="170">
        <f>SUMPRODUCT((Settings!$G$14:$G$43=$B12)*COUNTIF('INPUT - Roster'!$AF$6:$AF$206,"*"&amp;Settings!$F$14:$F$43&amp;"*"))</f>
        <v/>
      </c>
      <c r="Q12" s="170">
        <f>SUMPRODUCT((Settings!$G$14:$G$43=$B12)*COUNTIF('INPUT - Roster'!$AG$6:$AG$206,"*"&amp;Settings!$F$14:$F$43&amp;"*"))</f>
        <v/>
      </c>
      <c r="R12" s="170">
        <f>SUMPRODUCT((Settings!$G$14:$G$43=$B12)*COUNTIF('INPUT - Roster'!$AH$6:$AH$206,"*"&amp;Settings!$F$14:$F$43&amp;"*"))</f>
        <v/>
      </c>
      <c r="S12" s="170">
        <f>SUMPRODUCT((Settings!$G$14:$G$43=$B12)*COUNTIF('INPUT - Roster'!$AI$6:$AI$206,"*"&amp;Settings!$F$14:$F$43&amp;"*"))</f>
        <v/>
      </c>
      <c r="T12" s="170">
        <f>SUMPRODUCT((Settings!$G$14:$G$43=$B12)*COUNTIF('INPUT - Roster'!$AJ$6:$AJ$206,"*"&amp;Settings!$F$14:$F$43&amp;"*"))</f>
        <v/>
      </c>
      <c r="U12" s="170">
        <f>SUMPRODUCT((Settings!$G$14:$G$43=$B12)*COUNTIF('INPUT - Roster'!$AK$6:$AK$206,"*"&amp;Settings!$F$14:$F$43&amp;"*"))</f>
        <v/>
      </c>
      <c r="V12" s="170">
        <f>SUMPRODUCT((Settings!$G$14:$G$43=$B12)*COUNTIF('INPUT - Roster'!$AL$6:$AL$206,"*"&amp;Settings!$F$14:$F$43&amp;"*"))</f>
        <v/>
      </c>
      <c r="W12" s="170">
        <f>SUMPRODUCT((Settings!$G$14:$G$43=$B12)*COUNTIF('INPUT - Roster'!$AM$6:$AM$206,"*"&amp;Settings!$F$14:$F$43&amp;"*"))</f>
        <v/>
      </c>
      <c r="X12" s="170">
        <f>SUMPRODUCT((Settings!$G$14:$G$43=$B12)*COUNTIF('INPUT - Roster'!$AN$6:$AN$206,"*"&amp;Settings!$F$14:$F$43&amp;"*"))</f>
        <v/>
      </c>
      <c r="Y12" s="170">
        <f>SUMPRODUCT((Settings!$G$14:$G$43=$B12)*COUNTIF('INPUT - Roster'!$AO$6:$AO$206,"*"&amp;Settings!$F$14:$F$43&amp;"*"))</f>
        <v/>
      </c>
      <c r="Z12" s="170">
        <f>SUMPRODUCT((Settings!$G$14:$G$43=$B12)*COUNTIF('INPUT - Roster'!$AP$6:$AP$206,"*"&amp;Settings!$F$14:$F$43&amp;"*"))</f>
        <v/>
      </c>
      <c r="AA12" s="170">
        <f>SUMPRODUCT((Settings!$G$14:$G$43=$B12)*COUNTIF('INPUT - Roster'!$AQ$6:$AQ$206,"*"&amp;Settings!$F$14:$F$43&amp;"*"))</f>
        <v/>
      </c>
      <c r="AB12" s="170">
        <f>SUMPRODUCT((Settings!$G$14:$G$43=$B12)*COUNTIF('INPUT - Roster'!$AR$6:$AR$206,"*"&amp;Settings!$F$14:$F$43&amp;"*"))</f>
        <v/>
      </c>
      <c r="AC12" s="170">
        <f>SUMPRODUCT((Settings!$G$14:$G$43=$B12)*COUNTIF('INPUT - Roster'!$AS$6:$AS$206,"*"&amp;Settings!$F$14:$F$43&amp;"*"))</f>
        <v/>
      </c>
      <c r="AD12" s="170">
        <f>SUMPRODUCT((Settings!$G$14:$G$43=$B12)*COUNTIF('INPUT - Roster'!$AT$6:$AT$206,"*"&amp;Settings!$F$14:$F$43&amp;"*"))</f>
        <v/>
      </c>
      <c r="AE12" s="170">
        <f>SUMPRODUCT((Settings!$G$14:$G$43=$B12)*COUNTIF('INPUT - Roster'!$AU$6:$AU$206,"*"&amp;Settings!$F$14:$F$43&amp;"*"))</f>
        <v/>
      </c>
      <c r="AF12" s="170">
        <f>SUMPRODUCT((Settings!$G$14:$G$43=$B12)*COUNTIF('INPUT - Roster'!$AV$6:$AV$206,"*"&amp;Settings!$F$14:$F$43&amp;"*"))</f>
        <v/>
      </c>
      <c r="AG12" s="170">
        <f>SUMPRODUCT((Settings!$G$14:$G$43=$B12)*COUNTIF('INPUT - Roster'!$AW$6:$AW$206,"*"&amp;Settings!$F$14:$F$43&amp;"*"))</f>
        <v/>
      </c>
      <c r="AH12" s="170">
        <f>SUMPRODUCT((Settings!$G$14:$G$43=$B12)*COUNTIF('INPUT - Roster'!$AX$6:$AX$206,"*"&amp;Settings!$F$14:$F$43&amp;"*"))</f>
        <v/>
      </c>
      <c r="AI12" s="170">
        <f>SUMPRODUCT((Settings!$G$14:$G$43=$B12)*COUNTIF('INPUT - Roster'!$AY$6:$AY$206,"*"&amp;Settings!$F$14:$F$43&amp;"*"))</f>
        <v/>
      </c>
      <c r="AJ12" s="170">
        <f>SUMPRODUCT((Settings!$G$14:$G$43=$B12)*COUNTIF('INPUT - Roster'!$AZ$6:$AZ$206,"*"&amp;Settings!$F$14:$F$43&amp;"*"))</f>
        <v/>
      </c>
      <c r="AK12" s="170">
        <f>SUMPRODUCT((Settings!$G$14:$G$43=$B12)*COUNTIF('INPUT - Roster'!$BA$6:$BA$206,"*"&amp;Settings!$F$14:$F$43&amp;"*"))</f>
        <v/>
      </c>
      <c r="AL12" s="170">
        <f>SUMPRODUCT((Settings!$G$14:$G$43=$B12)*COUNTIF('INPUT - Roster'!$BB$6:$BB$206,"*"&amp;Settings!$F$14:$F$43&amp;"*"))</f>
        <v/>
      </c>
      <c r="AM12" s="170">
        <f>SUMPRODUCT((Settings!$G$14:$G$43=$B12)*COUNTIF('INPUT - Roster'!$BC$6:$BC$206,"*"&amp;Settings!$F$14:$F$43&amp;"*"))</f>
        <v/>
      </c>
      <c r="AN12" s="170">
        <f>SUMPRODUCT((Settings!$G$14:$G$43=$B12)*COUNTIF('INPUT - Roster'!$BD$6:$BD$206,"*"&amp;Settings!$F$14:$F$43&amp;"*"))</f>
        <v/>
      </c>
      <c r="AO12" s="170">
        <f>SUMPRODUCT((Settings!$G$14:$G$43=$B12)*COUNTIF('INPUT - Roster'!$BE$6:$BE$206,"*"&amp;Settings!$F$14:$F$43&amp;"*"))</f>
        <v/>
      </c>
      <c r="AP12" s="170">
        <f>SUMPRODUCT((Settings!$G$14:$G$43=$B12)*COUNTIF('INPUT - Roster'!$BF$6:$BF$206,"*"&amp;Settings!$F$14:$F$43&amp;"*"))</f>
        <v/>
      </c>
      <c r="AQ12" s="170">
        <f>SUMPRODUCT((Settings!$G$14:$G$43=$B12)*COUNTIF('INPUT - Roster'!$BG$6:$BG$206,"*"&amp;Settings!$F$14:$F$43&amp;"*"))</f>
        <v/>
      </c>
      <c r="AR12" s="170">
        <f>SUMPRODUCT((Settings!$G$14:$G$43=$B12)*COUNTIF('INPUT - Roster'!$BH$6:$BH$206,"*"&amp;Settings!$F$14:$F$43&amp;"*"))</f>
        <v/>
      </c>
      <c r="AS12" s="170">
        <f>SUMPRODUCT((Settings!$G$14:$G$43=$B12)*COUNTIF('INPUT - Roster'!$BI$6:$BI$206,"*"&amp;Settings!$F$14:$F$43&amp;"*"))</f>
        <v/>
      </c>
      <c r="AT12" s="170">
        <f>SUMPRODUCT((Settings!$G$14:$G$43=$B12)*COUNTIF('INPUT - Roster'!$BJ$6:$BJ$206,"*"&amp;Settings!$F$14:$F$43&amp;"*"))</f>
        <v/>
      </c>
      <c r="AU12" s="170">
        <f>SUMPRODUCT((Settings!$G$14:$G$43=$B12)*COUNTIF('INPUT - Roster'!$BK$6:$BK$206,"*"&amp;Settings!$F$14:$F$43&amp;"*"))</f>
        <v/>
      </c>
      <c r="AV12" s="170">
        <f>SUMPRODUCT((Settings!$G$14:$G$43=$B12)*COUNTIF('INPUT - Roster'!$BL$6:$BL$206,"*"&amp;Settings!$F$14:$F$43&amp;"*"))</f>
        <v/>
      </c>
      <c r="AW12" s="170">
        <f>SUMPRODUCT((Settings!$G$14:$G$43=$B12)*COUNTIF('INPUT - Roster'!$BM$6:$BM$206,"*"&amp;Settings!$F$14:$F$43&amp;"*"))</f>
        <v/>
      </c>
      <c r="AX12" s="170">
        <f>SUMPRODUCT((Settings!$G$14:$G$43=$B12)*COUNTIF('INPUT - Roster'!$BN$6:$BN$206,"*"&amp;Settings!$F$14:$F$43&amp;"*"))</f>
        <v/>
      </c>
      <c r="AY12" s="170">
        <f>SUMPRODUCT((Settings!$G$14:$G$43=$B12)*COUNTIF('INPUT - Roster'!$BO$6:$BO$206,"*"&amp;Settings!$F$14:$F$43&amp;"*"))</f>
        <v/>
      </c>
      <c r="AZ12" s="170">
        <f>SUMPRODUCT((Settings!$G$14:$G$43=$B12)*COUNTIF('INPUT - Roster'!$BP$6:$BP$206,"*"&amp;Settings!$F$14:$F$43&amp;"*"))</f>
        <v/>
      </c>
      <c r="BA12" s="170">
        <f>SUMPRODUCT((Settings!$G$14:$G$43=$B12)*COUNTIF('INPUT - Roster'!$BQ$6:$BQ$206,"*"&amp;Settings!$F$14:$F$43&amp;"*"))</f>
        <v/>
      </c>
      <c r="BB12" s="170">
        <f>SUMPRODUCT((Settings!$G$14:$G$43=$B12)*COUNTIF('INPUT - Roster'!$BR$6:$BR$206,"*"&amp;Settings!$F$14:$F$43&amp;"*"))</f>
        <v/>
      </c>
      <c r="BC12" s="170">
        <f>SUMPRODUCT((Settings!$G$14:$G$43=$B12)*COUNTIF('INPUT - Roster'!$BS$6:$BS$206,"*"&amp;Settings!$F$14:$F$43&amp;"*"))</f>
        <v/>
      </c>
      <c r="BD12" s="170">
        <f>SUMPRODUCT((Settings!$G$14:$G$43=$B12)*COUNTIF('INPUT - Roster'!$BT$6:$BT$206,"*"&amp;Settings!$F$14:$F$43&amp;"*"))</f>
        <v/>
      </c>
      <c r="BE12" s="170">
        <f>SUMPRODUCT((Settings!$G$14:$G$43=$B12)*COUNTIF('INPUT - Roster'!$BU$6:$BU$206,"*"&amp;Settings!$F$14:$F$43&amp;"*"))</f>
        <v/>
      </c>
      <c r="BF12" s="170">
        <f>SUMPRODUCT((Settings!$G$14:$G$43=$B12)*COUNTIF('INPUT - Roster'!$BV$6:$BV$206,"*"&amp;Settings!$F$14:$F$43&amp;"*"))</f>
        <v/>
      </c>
      <c r="BG12" s="170">
        <f>SUMPRODUCT((Settings!$G$14:$G$43=$B12)*COUNTIF('INPUT - Roster'!$BW$6:$BW$206,"*"&amp;Settings!$F$14:$F$43&amp;"*"))</f>
        <v/>
      </c>
      <c r="BH12" s="170">
        <f>SUMPRODUCT((Settings!$G$14:$G$43=$B12)*COUNTIF('INPUT - Roster'!$BX$6:$BX$206,"*"&amp;Settings!$F$14:$F$43&amp;"*"))</f>
        <v/>
      </c>
      <c r="BI12" s="170">
        <f>SUMPRODUCT((Settings!$G$14:$G$43=$B12)*COUNTIF('INPUT - Roster'!$BY$6:$BY$206,"*"&amp;Settings!$F$14:$F$43&amp;"*"))</f>
        <v/>
      </c>
      <c r="BJ12" s="170">
        <f>SUMPRODUCT((Settings!$G$14:$G$43=$B12)*COUNTIF('INPUT - Roster'!$BZ$6:$BZ$206,"*"&amp;Settings!$F$14:$F$43&amp;"*"))</f>
        <v/>
      </c>
      <c r="BK12" s="170">
        <f>SUMPRODUCT((Settings!$G$14:$G$43=$B12)*COUNTIF('INPUT - Roster'!$CA$6:$CA$206,"*"&amp;Settings!$F$14:$F$43&amp;"*"))</f>
        <v/>
      </c>
      <c r="BL12" s="170">
        <f>SUMPRODUCT((Settings!$G$14:$G$43=$B12)*COUNTIF('INPUT - Roster'!$CB$6:$CB$206,"*"&amp;Settings!$F$14:$F$43&amp;"*"))</f>
        <v/>
      </c>
      <c r="BM12" s="170">
        <f>SUMPRODUCT((Settings!$G$14:$G$43=$B12)*COUNTIF('INPUT - Roster'!$CC$6:$CC$206,"*"&amp;Settings!$F$14:$F$43&amp;"*"))</f>
        <v/>
      </c>
      <c r="BN12" s="170">
        <f>SUMPRODUCT((Settings!$G$14:$G$43=$B12)*COUNTIF('INPUT - Roster'!$CD$6:$CD$206,"*"&amp;Settings!$F$14:$F$43&amp;"*"))</f>
        <v/>
      </c>
      <c r="BO12" s="170">
        <f>SUMPRODUCT((Settings!$G$14:$G$43=$B12)*COUNTIF('INPUT - Roster'!$CE$6:$CE$206,"*"&amp;Settings!$F$14:$F$43&amp;"*"))</f>
        <v/>
      </c>
      <c r="BP12" s="170">
        <f>SUMPRODUCT((Settings!$G$14:$G$43=$B12)*COUNTIF('INPUT - Roster'!$CF$6:$CF$206,"*"&amp;Settings!$F$14:$F$43&amp;"*"))</f>
        <v/>
      </c>
      <c r="BQ12" s="170">
        <f>SUMPRODUCT((Settings!$G$14:$G$43=$B12)*COUNTIF('INPUT - Roster'!$CG$6:$CG$206,"*"&amp;Settings!$F$14:$F$43&amp;"*"))</f>
        <v/>
      </c>
      <c r="BR12" s="170">
        <f>SUMPRODUCT((Settings!$G$14:$G$43=$B12)*COUNTIF('INPUT - Roster'!$CH$6:$CH$206,"*"&amp;Settings!$F$14:$F$43&amp;"*"))</f>
        <v/>
      </c>
      <c r="BS12" s="170">
        <f>SUMPRODUCT((Settings!$G$14:$G$43=$B12)*COUNTIF('INPUT - Roster'!$CI$6:$CI$206,"*"&amp;Settings!$F$14:$F$43&amp;"*"))</f>
        <v/>
      </c>
      <c r="BT12" s="170">
        <f>SUMPRODUCT((Settings!$G$14:$G$43=$B12)*COUNTIF('INPUT - Roster'!$CJ$6:$CJ$206,"*"&amp;Settings!$F$14:$F$43&amp;"*"))</f>
        <v/>
      </c>
      <c r="BU12" s="170">
        <f>SUMPRODUCT((Settings!$G$14:$G$43=$B12)*COUNTIF('INPUT - Roster'!$CK$6:$CK$206,"*"&amp;Settings!$F$14:$F$43&amp;"*"))</f>
        <v/>
      </c>
      <c r="BV12" s="170">
        <f>SUMPRODUCT((Settings!$G$14:$G$43=$B12)*COUNTIF('INPUT - Roster'!$CL$6:$CL$206,"*"&amp;Settings!$F$14:$F$43&amp;"*"))</f>
        <v/>
      </c>
      <c r="BW12" s="170">
        <f>SUMPRODUCT((Settings!$G$14:$G$43=$B12)*COUNTIF('INPUT - Roster'!$CM$6:$CM$206,"*"&amp;Settings!$F$14:$F$43&amp;"*"))</f>
        <v/>
      </c>
      <c r="BX12" s="170">
        <f>SUMPRODUCT((Settings!$G$14:$G$43=$B12)*COUNTIF('INPUT - Roster'!$CN$6:$CN$206,"*"&amp;Settings!$F$14:$F$43&amp;"*"))</f>
        <v/>
      </c>
      <c r="BY12" s="170">
        <f>SUMPRODUCT((Settings!$G$14:$G$43=$B12)*COUNTIF('INPUT - Roster'!$CO$6:$CO$206,"*"&amp;Settings!$F$14:$F$43&amp;"*"))</f>
        <v/>
      </c>
      <c r="BZ12" s="170">
        <f>SUMPRODUCT((Settings!$G$14:$G$43=$B12)*COUNTIF('INPUT - Roster'!$CP$6:$CP$206,"*"&amp;Settings!$F$14:$F$43&amp;"*"))</f>
        <v/>
      </c>
      <c r="CA12" s="170">
        <f>SUMPRODUCT((Settings!$G$14:$G$43=$B12)*COUNTIF('INPUT - Roster'!$CQ$6:$CQ$206,"*"&amp;Settings!$F$14:$F$43&amp;"*"))</f>
        <v/>
      </c>
      <c r="CB12" s="170">
        <f>SUMPRODUCT((Settings!$G$14:$G$43=$B12)*COUNTIF('INPUT - Roster'!$CR$6:$CR$206,"*"&amp;Settings!$F$14:$F$43&amp;"*"))</f>
        <v/>
      </c>
      <c r="CC12" s="170">
        <f>SUMPRODUCT((Settings!$G$14:$G$43=$B12)*COUNTIF('INPUT - Roster'!$CS$6:$CS$206,"*"&amp;Settings!$F$14:$F$43&amp;"*"))</f>
        <v/>
      </c>
      <c r="CD12" s="170">
        <f>SUMPRODUCT((Settings!$G$14:$G$43=$B12)*COUNTIF('INPUT - Roster'!$CT$6:$CT$206,"*"&amp;Settings!$F$14:$F$43&amp;"*"))</f>
        <v/>
      </c>
      <c r="CE12" s="170">
        <f>SUMPRODUCT((Settings!$G$14:$G$43=$B12)*COUNTIF('INPUT - Roster'!$CU$6:$CU$206,"*"&amp;Settings!$F$14:$F$43&amp;"*"))</f>
        <v/>
      </c>
      <c r="CF12" s="170">
        <f>SUMPRODUCT((Settings!$G$14:$G$43=$B12)*COUNTIF('INPUT - Roster'!$CV$6:$CV$206,"*"&amp;Settings!$F$14:$F$43&amp;"*"))</f>
        <v/>
      </c>
      <c r="CG12" s="170">
        <f>SUMPRODUCT((Settings!$G$14:$G$43=$B12)*COUNTIF('INPUT - Roster'!$CW$6:$CW$206,"*"&amp;Settings!$F$14:$F$43&amp;"*"))</f>
        <v/>
      </c>
      <c r="CH12" s="170">
        <f>SUMPRODUCT((Settings!$G$14:$G$43=$B12)*COUNTIF('INPUT - Roster'!$CX$6:$CX$206,"*"&amp;Settings!$F$14:$F$43&amp;"*"))</f>
        <v/>
      </c>
      <c r="CI12" s="170">
        <f>SUMPRODUCT((Settings!$G$14:$G$43=$B12)*COUNTIF('INPUT - Roster'!$CY$6:$CY$206,"*"&amp;Settings!$F$14:$F$43&amp;"*"))</f>
        <v/>
      </c>
      <c r="CJ12" s="170">
        <f>SUMPRODUCT((Settings!$G$14:$G$43=$B12)*COUNTIF('INPUT - Roster'!$CZ$6:$CZ$206,"*"&amp;Settings!$F$14:$F$43&amp;"*"))</f>
        <v/>
      </c>
      <c r="CK12" s="170">
        <f>SUMPRODUCT((Settings!$G$14:$G$43=$B12)*COUNTIF('INPUT - Roster'!$DA$6:$DA$206,"*"&amp;Settings!$F$14:$F$43&amp;"*"))</f>
        <v/>
      </c>
      <c r="CL12" s="170">
        <f>SUMPRODUCT((Settings!$G$14:$G$43=$B12)*COUNTIF('INPUT - Roster'!$DB$6:$DB$206,"*"&amp;Settings!$F$14:$F$43&amp;"*"))</f>
        <v/>
      </c>
      <c r="CM12" s="170">
        <f>SUMPRODUCT((Settings!$G$14:$G$43=$B12)*COUNTIF('INPUT - Roster'!$DC$6:$DC$206,"*"&amp;Settings!$F$14:$F$43&amp;"*"))</f>
        <v/>
      </c>
      <c r="CN12" s="170">
        <f>SUMPRODUCT((Settings!$G$14:$G$43=$B12)*COUNTIF('INPUT - Roster'!$DD$6:$DD$206,"*"&amp;Settings!$F$14:$F$43&amp;"*"))</f>
        <v/>
      </c>
      <c r="CO12" s="170">
        <f>SUMPRODUCT((Settings!$G$14:$G$43=$B12)*COUNTIF('INPUT - Roster'!$DE$6:$DE$206,"*"&amp;Settings!$F$14:$F$43&amp;"*"))</f>
        <v/>
      </c>
      <c r="CP12" s="170">
        <f>SUMPRODUCT((Settings!$G$14:$G$43=$B12)*COUNTIF('INPUT - Roster'!$DF$6:$DF$206,"*"&amp;Settings!$F$14:$F$43&amp;"*"))</f>
        <v/>
      </c>
      <c r="CQ12" s="170">
        <f>SUMPRODUCT((Settings!$G$14:$G$43=$B12)*COUNTIF('INPUT - Roster'!$DG$6:$DG$206,"*"&amp;Settings!$F$14:$F$43&amp;"*"))</f>
        <v/>
      </c>
      <c r="CR12" s="170">
        <f>SUMPRODUCT((Settings!$G$14:$G$43=$B12)*COUNTIF('INPUT - Roster'!$DH$6:$DH$206,"*"&amp;Settings!$F$14:$F$43&amp;"*"))</f>
        <v/>
      </c>
      <c r="CS12" s="170">
        <f>SUMPRODUCT((Settings!$G$14:$G$43=$B12)*COUNTIF('INPUT - Roster'!$DI$6:$DI$206,"*"&amp;Settings!$F$14:$F$43&amp;"*"))</f>
        <v/>
      </c>
      <c r="CT12" s="170">
        <f>SUMPRODUCT((Settings!$G$14:$G$43=$B12)*COUNTIF('INPUT - Roster'!$DJ$6:$DJ$206,"*"&amp;Settings!$F$14:$F$43&amp;"*"))</f>
        <v/>
      </c>
      <c r="CU12" s="170">
        <f>SUMPRODUCT((Settings!$G$14:$G$43=$B12)*COUNTIF('INPUT - Roster'!$DK$6:$DK$206,"*"&amp;Settings!$F$14:$F$43&amp;"*"))</f>
        <v/>
      </c>
      <c r="CV12" s="170">
        <f>SUMPRODUCT((Settings!$G$14:$G$43=$B12)*COUNTIF('INPUT - Roster'!$DL$6:$DL$206,"*"&amp;Settings!$F$14:$F$43&amp;"*"))</f>
        <v/>
      </c>
      <c r="CW12" s="170">
        <f>SUMPRODUCT((Settings!$G$14:$G$43=$B12)*COUNTIF('INPUT - Roster'!$DM$6:$DM$206,"*"&amp;Settings!$F$14:$F$43&amp;"*"))</f>
        <v/>
      </c>
      <c r="CX12" s="170">
        <f>SUMPRODUCT((Settings!$G$14:$G$43=$B12)*COUNTIF('INPUT - Roster'!$DN$6:$DN$206,"*"&amp;Settings!$F$14:$F$43&amp;"*"))</f>
        <v/>
      </c>
      <c r="CY12" s="170">
        <f>SUMPRODUCT((Settings!$G$14:$G$43=$B12)*COUNTIF('INPUT - Roster'!$DO$6:$DO$206,"*"&amp;Settings!$F$14:$F$43&amp;"*"))</f>
        <v/>
      </c>
      <c r="CZ12" s="170">
        <f>SUMPRODUCT((Settings!$G$14:$G$43=$B12)*COUNTIF('INPUT - Roster'!$DP$6:$DP$206,"*"&amp;Settings!$F$14:$F$43&amp;"*"))</f>
        <v/>
      </c>
      <c r="DA12" s="170">
        <f>SUMPRODUCT((Settings!$G$14:$G$43=$B12)*COUNTIF('INPUT - Roster'!$DQ$6:$DQ$206,"*"&amp;Settings!$F$14:$F$43&amp;"*"))</f>
        <v/>
      </c>
      <c r="DB12" s="170">
        <f>SUMPRODUCT((Settings!$G$14:$G$43=$B12)*COUNTIF('INPUT - Roster'!$DR$6:$DR$206,"*"&amp;Settings!$F$14:$F$43&amp;"*"))</f>
        <v/>
      </c>
      <c r="DC12" s="170">
        <f>SUMPRODUCT((Settings!$G$14:$G$43=$B12)*COUNTIF('INPUT - Roster'!$DS$6:$DS$206,"*"&amp;Settings!$F$14:$F$43&amp;"*"))</f>
        <v/>
      </c>
      <c r="DD12" s="170">
        <f>SUMPRODUCT((Settings!$G$14:$G$43=$B12)*COUNTIF('INPUT - Roster'!$DT$6:$DT$206,"*"&amp;Settings!$F$14:$F$43&amp;"*"))</f>
        <v/>
      </c>
      <c r="DE12" s="170">
        <f>SUMPRODUCT((Settings!$G$14:$G$43=$B12)*COUNTIF('INPUT - Roster'!$DU$6:$DU$206,"*"&amp;Settings!$F$14:$F$43&amp;"*"))</f>
        <v/>
      </c>
      <c r="DF12" s="170">
        <f>SUMPRODUCT((Settings!$G$14:$G$43=$B12)*COUNTIF('INPUT - Roster'!$DV$6:$DV$206,"*"&amp;Settings!$F$14:$F$43&amp;"*"))</f>
        <v/>
      </c>
      <c r="DG12" s="170">
        <f>SUMPRODUCT((Settings!$G$14:$G$43=$B12)*COUNTIF('INPUT - Roster'!$DW$6:$DW$206,"*"&amp;Settings!$F$14:$F$43&amp;"*"))</f>
        <v/>
      </c>
      <c r="DH12" s="170">
        <f>SUMPRODUCT((Settings!$G$14:$G$43=$B12)*COUNTIF('INPUT - Roster'!$DX$6:$DX$206,"*"&amp;Settings!$F$14:$F$43&amp;"*"))</f>
        <v/>
      </c>
      <c r="DI12" s="170">
        <f>SUMPRODUCT((Settings!$G$14:$G$43=$B12)*COUNTIF('INPUT - Roster'!$DY$6:$DY$206,"*"&amp;Settings!$F$14:$F$43&amp;"*"))</f>
        <v/>
      </c>
      <c r="DJ12" s="170">
        <f>SUMPRODUCT((Settings!$G$14:$G$43=$B12)*COUNTIF('INPUT - Roster'!$DZ$6:$DZ$206,"*"&amp;Settings!$F$14:$F$43&amp;"*"))</f>
        <v/>
      </c>
      <c r="DK12" s="170">
        <f>SUMPRODUCT((Settings!$G$14:$G$43=$B12)*COUNTIF('INPUT - Roster'!$EA$6:$EA$206,"*"&amp;Settings!$F$14:$F$43&amp;"*"))</f>
        <v/>
      </c>
      <c r="DL12" s="170">
        <f>SUMPRODUCT((Settings!$G$14:$G$43=$B12)*COUNTIF('INPUT - Roster'!$EB$6:$EB$206,"*"&amp;Settings!$F$14:$F$43&amp;"*"))</f>
        <v/>
      </c>
      <c r="DM12" s="170">
        <f>SUMPRODUCT((Settings!$G$14:$G$43=$B12)*COUNTIF('INPUT - Roster'!$EC$6:$EC$206,"*"&amp;Settings!$F$14:$F$43&amp;"*"))</f>
        <v/>
      </c>
      <c r="DN12" s="170">
        <f>SUMPRODUCT((Settings!$G$14:$G$43=$B12)*COUNTIF('INPUT - Roster'!$ED$6:$ED$206,"*"&amp;Settings!$F$14:$F$43&amp;"*"))</f>
        <v/>
      </c>
      <c r="DO12" s="170">
        <f>SUMPRODUCT((Settings!$G$14:$G$43=$B12)*COUNTIF('INPUT - Roster'!$EE$6:$EE$206,"*"&amp;Settings!$F$14:$F$43&amp;"*"))</f>
        <v/>
      </c>
      <c r="DP12" s="170">
        <f>SUMPRODUCT((Settings!$G$14:$G$43=$B12)*COUNTIF('INPUT - Roster'!$EF$6:$EF$206,"*"&amp;Settings!$F$14:$F$43&amp;"*"))</f>
        <v/>
      </c>
      <c r="DQ12" s="170">
        <f>SUMPRODUCT((Settings!$G$14:$G$43=$B12)*COUNTIF('INPUT - Roster'!$EG$6:$EG$206,"*"&amp;Settings!$F$14:$F$43&amp;"*"))</f>
        <v/>
      </c>
      <c r="DR12" s="170">
        <f>SUMPRODUCT((Settings!$G$14:$G$43=$B12)*COUNTIF('INPUT - Roster'!$EH$6:$EH$206,"*"&amp;Settings!$F$14:$F$43&amp;"*"))</f>
        <v/>
      </c>
      <c r="DS12" s="170">
        <f>SUMPRODUCT((Settings!$G$14:$G$43=$B12)*COUNTIF('INPUT - Roster'!$EI$6:$EI$206,"*"&amp;Settings!$F$14:$F$43&amp;"*"))</f>
        <v/>
      </c>
      <c r="DT12" s="170">
        <f>SUMPRODUCT((Settings!$G$14:$G$43=$B12)*COUNTIF('INPUT - Roster'!$EJ$6:$EJ$206,"*"&amp;Settings!$F$14:$F$43&amp;"*"))</f>
        <v/>
      </c>
      <c r="DU12" s="170">
        <f>SUMPRODUCT((Settings!$G$14:$G$43=$B12)*COUNTIF('INPUT - Roster'!$EK$6:$EK$206,"*"&amp;Settings!$F$14:$F$43&amp;"*"))</f>
        <v/>
      </c>
      <c r="DV12" s="170">
        <f>SUMPRODUCT((Settings!$G$14:$G$43=$B12)*COUNTIF('INPUT - Roster'!$EL$6:$EL$206,"*"&amp;Settings!$F$14:$F$43&amp;"*"))</f>
        <v/>
      </c>
      <c r="DW12" s="170">
        <f>SUMPRODUCT((Settings!$G$14:$G$43=$B12)*COUNTIF('INPUT - Roster'!$EM$6:$EM$206,"*"&amp;Settings!$F$14:$F$43&amp;"*"))</f>
        <v/>
      </c>
      <c r="DX12" s="170">
        <f>SUMPRODUCT((Settings!$G$14:$G$43=$B12)*COUNTIF('INPUT - Roster'!$EN$6:$EN$206,"*"&amp;Settings!$F$14:$F$43&amp;"*"))</f>
        <v/>
      </c>
      <c r="DY12" s="170">
        <f>SUMPRODUCT((Settings!$G$14:$G$43=$B12)*COUNTIF('INPUT - Roster'!$EO$6:$EO$206,"*"&amp;Settings!$F$14:$F$43&amp;"*"))</f>
        <v/>
      </c>
      <c r="DZ12" s="170">
        <f>SUMPRODUCT((Settings!$G$14:$G$43=$B12)*COUNTIF('INPUT - Roster'!$EP$6:$EP$206,"*"&amp;Settings!$F$14:$F$43&amp;"*"))</f>
        <v/>
      </c>
      <c r="EA12" s="170">
        <f>SUMPRODUCT((Settings!$G$14:$G$43=$B12)*COUNTIF('INPUT - Roster'!$EQ$6:$EQ$206,"*"&amp;Settings!$F$14:$F$43&amp;"*"))</f>
        <v/>
      </c>
      <c r="EB12" s="170">
        <f>SUMPRODUCT((Settings!$G$14:$G$43=$B12)*COUNTIF('INPUT - Roster'!$ER$6:$ER$206,"*"&amp;Settings!$F$14:$F$43&amp;"*"))</f>
        <v/>
      </c>
      <c r="EC12" s="170">
        <f>SUMPRODUCT((Settings!$G$14:$G$43=$B12)*COUNTIF('INPUT - Roster'!$ES$6:$ES$206,"*"&amp;Settings!$F$14:$F$43&amp;"*"))</f>
        <v/>
      </c>
      <c r="ED12" s="170">
        <f>SUMPRODUCT((Settings!$G$14:$G$43=$B12)*COUNTIF('INPUT - Roster'!$ET$6:$ET$206,"*"&amp;Settings!$F$14:$F$43&amp;"*"))</f>
        <v/>
      </c>
      <c r="EE12" s="170">
        <f>SUMPRODUCT((Settings!$G$14:$G$43=$B12)*COUNTIF('INPUT - Roster'!$EU$6:$EU$206,"*"&amp;Settings!$F$14:$F$43&amp;"*"))</f>
        <v/>
      </c>
      <c r="EF12" s="170">
        <f>SUMPRODUCT((Settings!$G$14:$G$43=$B12)*COUNTIF('INPUT - Roster'!$EV$6:$EV$206,"*"&amp;Settings!$F$14:$F$43&amp;"*"))</f>
        <v/>
      </c>
      <c r="EG12" s="170">
        <f>SUMPRODUCT((Settings!$G$14:$G$43=$B12)*COUNTIF('INPUT - Roster'!$EW$6:$EW$206,"*"&amp;Settings!$F$14:$F$43&amp;"*"))</f>
        <v/>
      </c>
      <c r="EH12" s="170">
        <f>SUMPRODUCT((Settings!$G$14:$G$43=$B12)*COUNTIF('INPUT - Roster'!$EX$6:$EX$206,"*"&amp;Settings!$F$14:$F$43&amp;"*"))</f>
        <v/>
      </c>
      <c r="EI12" s="170">
        <f>SUMPRODUCT((Settings!$G$14:$G$43=$B12)*COUNTIF('INPUT - Roster'!$EY$6:$EY$206,"*"&amp;Settings!$F$14:$F$43&amp;"*"))</f>
        <v/>
      </c>
      <c r="EJ12" s="170">
        <f>SUMPRODUCT((Settings!$G$14:$G$43=$B12)*COUNTIF('INPUT - Roster'!$EZ$6:$EZ$206,"*"&amp;Settings!$F$14:$F$43&amp;"*"))</f>
        <v/>
      </c>
      <c r="EK12" s="170">
        <f>SUMPRODUCT((Settings!$G$14:$G$43=$B12)*COUNTIF('INPUT - Roster'!$FA$6:$FA$206,"*"&amp;Settings!$F$14:$F$43&amp;"*"))</f>
        <v/>
      </c>
      <c r="EL12" s="170">
        <f>SUMPRODUCT((Settings!$G$14:$G$43=$B12)*COUNTIF('INPUT - Roster'!$FB$6:$FB$206,"*"&amp;Settings!$F$14:$F$43&amp;"*"))</f>
        <v/>
      </c>
      <c r="EM12" s="170">
        <f>SUMPRODUCT((Settings!$G$14:$G$43=$B12)*COUNTIF('INPUT - Roster'!$FC$6:$FC$206,"*"&amp;Settings!$F$14:$F$43&amp;"*"))</f>
        <v/>
      </c>
      <c r="EN12" s="170">
        <f>SUMPRODUCT((Settings!$G$14:$G$43=$B12)*COUNTIF('INPUT - Roster'!$FD$6:$FD$206,"*"&amp;Settings!$F$14:$F$43&amp;"*"))</f>
        <v/>
      </c>
      <c r="EO12" s="170">
        <f>SUMPRODUCT((Settings!$G$14:$G$43=$B12)*COUNTIF('INPUT - Roster'!$FE$6:$FE$206,"*"&amp;Settings!$F$14:$F$43&amp;"*"))</f>
        <v/>
      </c>
      <c r="EP12" s="170">
        <f>SUMPRODUCT((Settings!$G$14:$G$43=$B12)*COUNTIF('INPUT - Roster'!$FF$6:$FF$206,"*"&amp;Settings!$F$14:$F$43&amp;"*"))</f>
        <v/>
      </c>
      <c r="EQ12" s="170">
        <f>SUMPRODUCT((Settings!$G$14:$G$43=$B12)*COUNTIF('INPUT - Roster'!$FG$6:$FG$206,"*"&amp;Settings!$F$14:$F$43&amp;"*"))</f>
        <v/>
      </c>
      <c r="ER12" s="170">
        <f>SUMPRODUCT((Settings!$G$14:$G$43=$B12)*COUNTIF('INPUT - Roster'!$FH$6:$FH$206,"*"&amp;Settings!$F$14:$F$43&amp;"*"))</f>
        <v/>
      </c>
      <c r="ES12" s="170">
        <f>SUMPRODUCT((Settings!$G$14:$G$43=$B12)*COUNTIF('INPUT - Roster'!$FI$6:$FI$206,"*"&amp;Settings!$F$14:$F$43&amp;"*"))</f>
        <v/>
      </c>
      <c r="ET12" s="170">
        <f>SUMPRODUCT((Settings!$G$14:$G$43=$B12)*COUNTIF('INPUT - Roster'!$FJ$6:$FJ$206,"*"&amp;Settings!$F$14:$F$43&amp;"*"))</f>
        <v/>
      </c>
      <c r="EU12" s="170">
        <f>SUMPRODUCT((Settings!$G$14:$G$43=$B12)*COUNTIF('INPUT - Roster'!$FK$6:$FK$206,"*"&amp;Settings!$F$14:$F$43&amp;"*"))</f>
        <v/>
      </c>
      <c r="EV12" s="170">
        <f>SUMPRODUCT((Settings!$G$14:$G$43=$B12)*COUNTIF('INPUT - Roster'!$FL$6:$FL$206,"*"&amp;Settings!$F$14:$F$43&amp;"*"))</f>
        <v/>
      </c>
      <c r="EW12" s="170">
        <f>SUMPRODUCT((Settings!$G$14:$G$43=$B12)*COUNTIF('INPUT - Roster'!$FM$6:$FM$206,"*"&amp;Settings!$F$14:$F$43&amp;"*"))</f>
        <v/>
      </c>
      <c r="EX12" s="170">
        <f>SUMPRODUCT((Settings!$G$14:$G$43=$B12)*COUNTIF('INPUT - Roster'!$FN$6:$FN$206,"*"&amp;Settings!$F$14:$F$43&amp;"*"))</f>
        <v/>
      </c>
      <c r="EY12" s="170">
        <f>SUMPRODUCT((Settings!$G$14:$G$43=$B12)*COUNTIF('INPUT - Roster'!$FO$6:$FO$206,"*"&amp;Settings!$F$14:$F$43&amp;"*"))</f>
        <v/>
      </c>
      <c r="EZ12" s="170">
        <f>SUMPRODUCT((Settings!$G$14:$G$43=$B12)*COUNTIF('INPUT - Roster'!$FP$6:$FP$206,"*"&amp;Settings!$F$14:$F$43&amp;"*"))</f>
        <v/>
      </c>
      <c r="FA12" s="170">
        <f>SUMPRODUCT((Settings!$G$14:$G$43=$B12)*COUNTIF('INPUT - Roster'!$FQ$6:$FQ$206,"*"&amp;Settings!$F$14:$F$43&amp;"*"))</f>
        <v/>
      </c>
      <c r="FB12" s="170">
        <f>SUMPRODUCT((Settings!$G$14:$G$43=$B12)*COUNTIF('INPUT - Roster'!$FR$6:$FR$206,"*"&amp;Settings!$F$14:$F$43&amp;"*"))</f>
        <v/>
      </c>
      <c r="FC12" s="170">
        <f>SUMPRODUCT((Settings!$G$14:$G$43=$B12)*COUNTIF('INPUT - Roster'!$FS$6:$FS$206,"*"&amp;Settings!$F$14:$F$43&amp;"*"))</f>
        <v/>
      </c>
      <c r="FD12" s="170">
        <f>SUMPRODUCT((Settings!$G$14:$G$43=$B12)*COUNTIF('INPUT - Roster'!$FT$6:$FT$206,"*"&amp;Settings!$F$14:$F$43&amp;"*"))</f>
        <v/>
      </c>
      <c r="FE12" s="170">
        <f>SUMPRODUCT((Settings!$G$14:$G$43=$B12)*COUNTIF('INPUT - Roster'!$FU$6:$FU$206,"*"&amp;Settings!$F$14:$F$43&amp;"*"))</f>
        <v/>
      </c>
      <c r="FF12" s="170">
        <f>SUMPRODUCT((Settings!$G$14:$G$43=$B12)*COUNTIF('INPUT - Roster'!$FV$6:$FV$206,"*"&amp;Settings!$F$14:$F$43&amp;"*"))</f>
        <v/>
      </c>
      <c r="FG12" s="170">
        <f>SUMPRODUCT((Settings!$G$14:$G$43=$B12)*COUNTIF('INPUT - Roster'!$FW$6:$FW$206,"*"&amp;Settings!$F$14:$F$43&amp;"*"))</f>
        <v/>
      </c>
      <c r="FH12" s="170">
        <f>SUMPRODUCT((Settings!$G$14:$G$43=$B12)*COUNTIF('INPUT - Roster'!$FX$6:$FX$206,"*"&amp;Settings!$F$14:$F$43&amp;"*"))</f>
        <v/>
      </c>
      <c r="FI12" s="170">
        <f>SUMPRODUCT((Settings!$G$14:$G$43=$B12)*COUNTIF('INPUT - Roster'!$FY$6:$FY$206,"*"&amp;Settings!$F$14:$F$43&amp;"*"))</f>
        <v/>
      </c>
      <c r="FJ12" s="170">
        <f>SUMPRODUCT((Settings!$G$14:$G$43=$B12)*COUNTIF('INPUT - Roster'!$FZ$6:$FZ$206,"*"&amp;Settings!$F$14:$F$43&amp;"*"))</f>
        <v/>
      </c>
      <c r="FK12" s="170">
        <f>SUMPRODUCT((Settings!$G$14:$G$43=$B12)*COUNTIF('INPUT - Roster'!$GA$6:$GA$206,"*"&amp;Settings!$F$14:$F$43&amp;"*"))</f>
        <v/>
      </c>
      <c r="FL12" s="170">
        <f>SUMPRODUCT((Settings!$G$14:$G$43=$B12)*COUNTIF('INPUT - Roster'!$GB$6:$GB$206,"*"&amp;Settings!$F$14:$F$43&amp;"*"))</f>
        <v/>
      </c>
      <c r="FM12" s="170">
        <f>SUMPRODUCT((Settings!$G$14:$G$43=$B12)*COUNTIF('INPUT - Roster'!$GC$6:$GC$206,"*"&amp;Settings!$F$14:$F$43&amp;"*"))</f>
        <v/>
      </c>
      <c r="FN12" s="170">
        <f>SUMPRODUCT((Settings!$G$14:$G$43=$B12)*COUNTIF('INPUT - Roster'!$GD$6:$GD$206,"*"&amp;Settings!$F$14:$F$43&amp;"*"))</f>
        <v/>
      </c>
      <c r="FO12" s="170">
        <f>SUMPRODUCT((Settings!$G$14:$G$43=$B12)*COUNTIF('INPUT - Roster'!$GE$6:$GE$206,"*"&amp;Settings!$F$14:$F$43&amp;"*"))</f>
        <v/>
      </c>
      <c r="FP12" s="170">
        <f>SUMPRODUCT((Settings!$G$14:$G$43=$B12)*COUNTIF('INPUT - Roster'!$GF$6:$GF$206,"*"&amp;Settings!$F$14:$F$43&amp;"*"))</f>
        <v/>
      </c>
      <c r="FQ12" s="170">
        <f>SUMPRODUCT((Settings!$G$14:$G$43=$B12)*COUNTIF('INPUT - Roster'!$GG$6:$GG$206,"*"&amp;Settings!$F$14:$F$43&amp;"*"))</f>
        <v/>
      </c>
      <c r="FR12" s="170">
        <f>SUMPRODUCT((Settings!$G$14:$G$43=$B12)*COUNTIF('INPUT - Roster'!$GH$6:$GH$206,"*"&amp;Settings!$F$14:$F$43&amp;"*"))</f>
        <v/>
      </c>
      <c r="FS12" s="170">
        <f>SUMPRODUCT((Settings!$G$14:$G$43=$B12)*COUNTIF('INPUT - Roster'!$GI$6:$GI$206,"*"&amp;Settings!$F$14:$F$43&amp;"*"))</f>
        <v/>
      </c>
      <c r="FT12" s="170">
        <f>SUMPRODUCT((Settings!$G$14:$G$43=$B12)*COUNTIF('INPUT - Roster'!$GJ$6:$GJ$206,"*"&amp;Settings!$F$14:$F$43&amp;"*"))</f>
        <v/>
      </c>
      <c r="FU12" s="170">
        <f>SUMPRODUCT((Settings!$G$14:$G$43=$B12)*COUNTIF('INPUT - Roster'!$GK$6:$GK$206,"*"&amp;Settings!$F$14:$F$43&amp;"*"))</f>
        <v/>
      </c>
      <c r="FV12" s="170">
        <f>SUMPRODUCT((Settings!$G$14:$G$43=$B12)*COUNTIF('INPUT - Roster'!$GL$6:$GL$206,"*"&amp;Settings!$F$14:$F$43&amp;"*"))</f>
        <v/>
      </c>
      <c r="FW12" s="170">
        <f>SUMPRODUCT((Settings!$G$14:$G$43=$B12)*COUNTIF('INPUT - Roster'!$GM$6:$GM$206,"*"&amp;Settings!$F$14:$F$43&amp;"*"))</f>
        <v/>
      </c>
      <c r="FX12" s="170">
        <f>SUMPRODUCT((Settings!$G$14:$G$43=$B12)*COUNTIF('INPUT - Roster'!$GN$6:$GN$206,"*"&amp;Settings!$F$14:$F$43&amp;"*"))</f>
        <v/>
      </c>
      <c r="FY12" s="170">
        <f>SUMPRODUCT((Settings!$G$14:$G$43=$B12)*COUNTIF('INPUT - Roster'!$GO$6:$GO$206,"*"&amp;Settings!$F$14:$F$43&amp;"*"))</f>
        <v/>
      </c>
      <c r="FZ12" s="170">
        <f>SUMPRODUCT((Settings!$G$14:$G$43=$B12)*COUNTIF('INPUT - Roster'!$GP$6:$GP$206,"*"&amp;Settings!$F$14:$F$43&amp;"*"))</f>
        <v/>
      </c>
      <c r="GA12" s="170">
        <f>SUMPRODUCT((Settings!$G$14:$G$43=$B12)*COUNTIF('INPUT - Roster'!$GQ$6:$GQ$206,"*"&amp;Settings!$F$14:$F$43&amp;"*"))</f>
        <v/>
      </c>
      <c r="GB12" s="170">
        <f>SUMPRODUCT((Settings!$G$14:$G$43=$B12)*COUNTIF('INPUT - Roster'!$GR$6:$GR$206,"*"&amp;Settings!$F$14:$F$43&amp;"*"))</f>
        <v/>
      </c>
      <c r="GC12" s="170">
        <f>SUMPRODUCT((Settings!$G$14:$G$43=$B12)*COUNTIF('INPUT - Roster'!$GS$6:$GS$206,"*"&amp;Settings!$F$14:$F$43&amp;"*"))</f>
        <v/>
      </c>
      <c r="GD12" s="170">
        <f>SUMPRODUCT((Settings!$G$14:$G$43=$B12)*COUNTIF('INPUT - Roster'!$GT$6:$GT$206,"*"&amp;Settings!$F$14:$F$43&amp;"*"))</f>
        <v/>
      </c>
      <c r="GE12" s="170">
        <f>SUMPRODUCT((Settings!$G$14:$G$43=$B12)*COUNTIF('INPUT - Roster'!$GU$6:$GU$206,"*"&amp;Settings!$F$14:$F$43&amp;"*"))</f>
        <v/>
      </c>
      <c r="GF12" s="170">
        <f>SUMPRODUCT((Settings!$G$14:$G$43=$B12)*COUNTIF('INPUT - Roster'!$GV$6:$GV$206,"*"&amp;Settings!$F$14:$F$43&amp;"*"))</f>
        <v/>
      </c>
      <c r="GG12" s="170">
        <f>SUMPRODUCT((Settings!$G$14:$G$43=$B12)*COUNTIF('INPUT - Roster'!$GW$6:$GW$206,"*"&amp;Settings!$F$14:$F$43&amp;"*"))</f>
        <v/>
      </c>
      <c r="GH12" s="170">
        <f>SUMPRODUCT((Settings!$G$14:$G$43=$B12)*COUNTIF('INPUT - Roster'!$GX$6:$GX$206,"*"&amp;Settings!$F$14:$F$43&amp;"*"))</f>
        <v/>
      </c>
      <c r="GI12" s="170">
        <f>SUMPRODUCT((Settings!$G$14:$G$43=$B12)*COUNTIF('INPUT - Roster'!$GY$6:$GY$206,"*"&amp;Settings!$F$14:$F$43&amp;"*"))</f>
        <v/>
      </c>
      <c r="GJ12" s="170">
        <f>SUMPRODUCT((Settings!$G$14:$G$43=$B12)*COUNTIF('INPUT - Roster'!$GZ$6:$GZ$206,"*"&amp;Settings!$F$14:$F$43&amp;"*"))</f>
        <v/>
      </c>
      <c r="GK12" s="170">
        <f>SUMPRODUCT((Settings!$G$14:$G$43=$B12)*COUNTIF('INPUT - Roster'!$HA$6:$HA$206,"*"&amp;Settings!$F$14:$F$43&amp;"*"))</f>
        <v/>
      </c>
      <c r="GL12" s="170">
        <f>SUMPRODUCT((Settings!$G$14:$G$43=$B12)*COUNTIF('INPUT - Roster'!$HB$6:$HB$206,"*"&amp;Settings!$F$14:$F$43&amp;"*"))</f>
        <v/>
      </c>
      <c r="GM12" s="170">
        <f>SUMPRODUCT((Settings!$G$14:$G$43=$B12)*COUNTIF('INPUT - Roster'!$HC$6:$HC$206,"*"&amp;Settings!$F$14:$F$43&amp;"*"))</f>
        <v/>
      </c>
      <c r="GN12" s="170">
        <f>SUMPRODUCT((Settings!$G$14:$G$43=$B12)*COUNTIF('INPUT - Roster'!$HD$6:$HD$206,"*"&amp;Settings!$F$14:$F$43&amp;"*"))</f>
        <v/>
      </c>
      <c r="GO12" s="170">
        <f>SUMPRODUCT((Settings!$G$14:$G$43=$B12)*COUNTIF('INPUT - Roster'!$HE$6:$HE$206,"*"&amp;Settings!$F$14:$F$43&amp;"*"))</f>
        <v/>
      </c>
      <c r="GP12" s="170">
        <f>SUMPRODUCT((Settings!$G$14:$G$43=$B12)*COUNTIF('INPUT - Roster'!$HF$6:$HF$206,"*"&amp;Settings!$F$14:$F$43&amp;"*"))</f>
        <v/>
      </c>
      <c r="GQ12" s="170">
        <f>SUMPRODUCT((Settings!$G$14:$G$43=$B12)*COUNTIF('INPUT - Roster'!$HG$6:$HG$206,"*"&amp;Settings!$F$14:$F$43&amp;"*"))</f>
        <v/>
      </c>
      <c r="GR12" s="170">
        <f>SUMPRODUCT((Settings!$G$14:$G$43=$B12)*COUNTIF('INPUT - Roster'!$HH$6:$HH$206,"*"&amp;Settings!$F$14:$F$43&amp;"*"))</f>
        <v/>
      </c>
      <c r="GS12" s="170">
        <f>SUMPRODUCT((Settings!$G$14:$G$43=$B12)*COUNTIF('INPUT - Roster'!$HI$6:$HI$206,"*"&amp;Settings!$F$14:$F$43&amp;"*"))</f>
        <v/>
      </c>
      <c r="GT12" s="170">
        <f>SUMPRODUCT((Settings!$G$14:$G$43=$B12)*COUNTIF('INPUT - Roster'!$HJ$6:$HJ$206,"*"&amp;Settings!$F$14:$F$43&amp;"*"))</f>
        <v/>
      </c>
      <c r="GU12" s="170">
        <f>SUMPRODUCT((Settings!$G$14:$G$43=$B12)*COUNTIF('INPUT - Roster'!$HK$6:$HK$206,"*"&amp;Settings!$F$14:$F$43&amp;"*"))</f>
        <v/>
      </c>
      <c r="GV12" s="170">
        <f>SUMPRODUCT((Settings!$G$14:$G$43=$B12)*COUNTIF('INPUT - Roster'!$HL$6:$HL$206,"*"&amp;Settings!$F$14:$F$43&amp;"*"))</f>
        <v/>
      </c>
      <c r="GW12" s="170">
        <f>SUMPRODUCT((Settings!$G$14:$G$43=$B12)*COUNTIF('INPUT - Roster'!$HM$6:$HM$206,"*"&amp;Settings!$F$14:$F$43&amp;"*"))</f>
        <v/>
      </c>
      <c r="GX12" s="170">
        <f>SUMPRODUCT((Settings!$G$14:$G$43=$B12)*COUNTIF('INPUT - Roster'!$HN$6:$HN$206,"*"&amp;Settings!$F$14:$F$43&amp;"*"))</f>
        <v/>
      </c>
      <c r="GY12" s="170">
        <f>SUMPRODUCT((Settings!$G$14:$G$43=$B12)*COUNTIF('INPUT - Roster'!$HO$6:$HO$206,"*"&amp;Settings!$F$14:$F$43&amp;"*"))</f>
        <v/>
      </c>
      <c r="GZ12" s="170">
        <f>SUMPRODUCT((Settings!$G$14:$G$43=$B12)*COUNTIF('INPUT - Roster'!$HP$6:$HP$206,"*"&amp;Settings!$F$14:$F$43&amp;"*"))</f>
        <v/>
      </c>
      <c r="HA12" s="170">
        <f>SUMPRODUCT((Settings!$G$14:$G$43=$B12)*COUNTIF('INPUT - Roster'!$HQ$6:$HQ$206,"*"&amp;Settings!$F$14:$F$43&amp;"*"))</f>
        <v/>
      </c>
      <c r="HB12" s="170">
        <f>SUMPRODUCT((Settings!$G$14:$G$43=$B12)*COUNTIF('INPUT - Roster'!$HR$6:$HR$206,"*"&amp;Settings!$F$14:$F$43&amp;"*"))</f>
        <v/>
      </c>
      <c r="HC12" s="170">
        <f>SUMPRODUCT((Settings!$G$14:$G$43=$B12)*COUNTIF('INPUT - Roster'!$HS$6:$HS$206,"*"&amp;Settings!$F$14:$F$43&amp;"*"))</f>
        <v/>
      </c>
      <c r="HD12" s="170">
        <f>SUMPRODUCT((Settings!$G$14:$G$43=$B12)*COUNTIF('INPUT - Roster'!$HT$6:$HT$206,"*"&amp;Settings!$F$14:$F$43&amp;"*"))</f>
        <v/>
      </c>
      <c r="HE12" s="170">
        <f>SUMPRODUCT((Settings!$G$14:$G$43=$B12)*COUNTIF('INPUT - Roster'!$HU$6:$HU$206,"*"&amp;Settings!$F$14:$F$43&amp;"*"))</f>
        <v/>
      </c>
      <c r="HF12" s="170">
        <f>SUMPRODUCT((Settings!$G$14:$G$43=$B12)*COUNTIF('INPUT - Roster'!$HV$6:$HV$206,"*"&amp;Settings!$F$14:$F$43&amp;"*"))</f>
        <v/>
      </c>
      <c r="HG12" s="170">
        <f>SUMPRODUCT((Settings!$G$14:$G$43=$B12)*COUNTIF('INPUT - Roster'!$HW$6:$HW$206,"*"&amp;Settings!$F$14:$F$43&amp;"*"))</f>
        <v/>
      </c>
      <c r="HH12" s="170">
        <f>SUMPRODUCT((Settings!$G$14:$G$43=$B12)*COUNTIF('INPUT - Roster'!$HX$6:$HX$206,"*"&amp;Settings!$F$14:$F$43&amp;"*"))</f>
        <v/>
      </c>
      <c r="HI12" s="170">
        <f>SUMPRODUCT((Settings!$G$14:$G$43=$B12)*COUNTIF('INPUT - Roster'!$HY$6:$HY$206,"*"&amp;Settings!$F$14:$F$43&amp;"*"))</f>
        <v/>
      </c>
      <c r="HJ12" s="170">
        <f>SUMPRODUCT((Settings!$G$14:$G$43=$B12)*COUNTIF('INPUT - Roster'!$HZ$6:$HZ$206,"*"&amp;Settings!$F$14:$F$43&amp;"*"))</f>
        <v/>
      </c>
      <c r="HK12" s="170">
        <f>SUMPRODUCT((Settings!$G$14:$G$43=$B12)*COUNTIF('INPUT - Roster'!$IA$6:$IA$206,"*"&amp;Settings!$F$14:$F$43&amp;"*"))</f>
        <v/>
      </c>
      <c r="HL12" s="170">
        <f>SUMPRODUCT((Settings!$G$14:$G$43=$B12)*COUNTIF('INPUT - Roster'!$IB$6:$IB$206,"*"&amp;Settings!$F$14:$F$43&amp;"*"))</f>
        <v/>
      </c>
      <c r="HM12" s="170">
        <f>SUMPRODUCT((Settings!$G$14:$G$43=$B12)*COUNTIF('INPUT - Roster'!$IC$6:$IC$206,"*"&amp;Settings!$F$14:$F$43&amp;"*"))</f>
        <v/>
      </c>
      <c r="HN12" s="170">
        <f>SUMPRODUCT((Settings!$G$14:$G$43=$B12)*COUNTIF('INPUT - Roster'!$ID$6:$ID$206,"*"&amp;Settings!$F$14:$F$43&amp;"*"))</f>
        <v/>
      </c>
      <c r="HO12" s="170">
        <f>SUMPRODUCT((Settings!$G$14:$G$43=$B12)*COUNTIF('INPUT - Roster'!$IE$6:$IE$206,"*"&amp;Settings!$F$14:$F$43&amp;"*"))</f>
        <v/>
      </c>
      <c r="HP12" s="170">
        <f>SUMPRODUCT((Settings!$G$14:$G$43=$B12)*COUNTIF('INPUT - Roster'!$IF$6:$IF$206,"*"&amp;Settings!$F$14:$F$43&amp;"*"))</f>
        <v/>
      </c>
      <c r="HQ12" s="170">
        <f>SUMPRODUCT((Settings!$G$14:$G$43=$B12)*COUNTIF('INPUT - Roster'!$IG$6:$IG$206,"*"&amp;Settings!$F$14:$F$43&amp;"*"))</f>
        <v/>
      </c>
      <c r="HR12" s="170">
        <f>SUMPRODUCT((Settings!$G$14:$G$43=$B12)*COUNTIF('INPUT - Roster'!$IH$6:$IH$206,"*"&amp;Settings!$F$14:$F$43&amp;"*"))</f>
        <v/>
      </c>
      <c r="HS12" s="170">
        <f>SUMPRODUCT((Settings!$G$14:$G$43=$B12)*COUNTIF('INPUT - Roster'!$II$6:$II$206,"*"&amp;Settings!$F$14:$F$43&amp;"*"))</f>
        <v/>
      </c>
      <c r="HT12" s="170">
        <f>SUMPRODUCT((Settings!$G$14:$G$43=$B12)*COUNTIF('INPUT - Roster'!$IJ$6:$IJ$206,"*"&amp;Settings!$F$14:$F$43&amp;"*"))</f>
        <v/>
      </c>
      <c r="HU12" s="170">
        <f>SUMPRODUCT((Settings!$G$14:$G$43=$B12)*COUNTIF('INPUT - Roster'!$IK$6:$IK$206,"*"&amp;Settings!$F$14:$F$43&amp;"*"))</f>
        <v/>
      </c>
      <c r="HV12" s="170">
        <f>SUMPRODUCT((Settings!$G$14:$G$43=$B12)*COUNTIF('INPUT - Roster'!$IL$6:$IL$206,"*"&amp;Settings!$F$14:$F$43&amp;"*"))</f>
        <v/>
      </c>
      <c r="HW12" s="170">
        <f>SUMPRODUCT((Settings!$G$14:$G$43=$B12)*COUNTIF('INPUT - Roster'!$IM$6:$IM$206,"*"&amp;Settings!$F$14:$F$43&amp;"*"))</f>
        <v/>
      </c>
      <c r="HX12" s="170">
        <f>SUMPRODUCT((Settings!$G$14:$G$43=$B12)*COUNTIF('INPUT - Roster'!$IN$6:$IN$206,"*"&amp;Settings!$F$14:$F$43&amp;"*"))</f>
        <v/>
      </c>
      <c r="HY12" s="170">
        <f>SUMPRODUCT((Settings!$G$14:$G$43=$B12)*COUNTIF('INPUT - Roster'!$IO$6:$IO$206,"*"&amp;Settings!$F$14:$F$43&amp;"*"))</f>
        <v/>
      </c>
      <c r="HZ12" s="170">
        <f>SUMPRODUCT((Settings!$G$14:$G$43=$B12)*COUNTIF('INPUT - Roster'!$IP$6:$IP$206,"*"&amp;Settings!$F$14:$F$43&amp;"*"))</f>
        <v/>
      </c>
      <c r="IA12" s="170">
        <f>SUMPRODUCT((Settings!$G$14:$G$43=$B12)*COUNTIF('INPUT - Roster'!$IQ$6:$IQ$206,"*"&amp;Settings!$F$14:$F$43&amp;"*"))</f>
        <v/>
      </c>
      <c r="IB12" s="170">
        <f>SUMPRODUCT((Settings!$G$14:$G$43=$B12)*COUNTIF('INPUT - Roster'!$IR$6:$IR$206,"*"&amp;Settings!$F$14:$F$43&amp;"*"))</f>
        <v/>
      </c>
      <c r="IC12" s="170">
        <f>SUMPRODUCT((Settings!$G$14:$G$43=$B12)*COUNTIF('INPUT - Roster'!$IS$6:$IS$206,"*"&amp;Settings!$F$14:$F$43&amp;"*"))</f>
        <v/>
      </c>
      <c r="ID12" s="170">
        <f>SUMPRODUCT((Settings!$G$14:$G$43=$B12)*COUNTIF('INPUT - Roster'!$IT$6:$IT$206,"*"&amp;Settings!$F$14:$F$43&amp;"*"))</f>
        <v/>
      </c>
      <c r="IE12" s="170">
        <f>SUMPRODUCT((Settings!$G$14:$G$43=$B12)*COUNTIF('INPUT - Roster'!$IU$6:$IU$206,"*"&amp;Settings!$F$14:$F$43&amp;"*"))</f>
        <v/>
      </c>
      <c r="IF12" s="170">
        <f>SUMPRODUCT((Settings!$G$14:$G$43=$B12)*COUNTIF('INPUT - Roster'!$IV$6:$IV$206,"*"&amp;Settings!$F$14:$F$43&amp;"*"))</f>
        <v/>
      </c>
      <c r="IG12" s="170">
        <f>SUMPRODUCT((Settings!$G$14:$G$43=$B12)*COUNTIF('INPUT - Roster'!$IW$6:$IW$206,"*"&amp;Settings!$F$14:$F$43&amp;"*"))</f>
        <v/>
      </c>
      <c r="IH12" s="170">
        <f>SUMPRODUCT((Settings!$G$14:$G$43=$B12)*COUNTIF('INPUT - Roster'!$IX$6:$IX$206,"*"&amp;Settings!$F$14:$F$43&amp;"*"))</f>
        <v/>
      </c>
      <c r="II12" s="170">
        <f>SUMPRODUCT((Settings!$G$14:$G$43=$B12)*COUNTIF('INPUT - Roster'!$IY$6:$IY$206,"*"&amp;Settings!$F$14:$F$43&amp;"*"))</f>
        <v/>
      </c>
      <c r="IJ12" s="170">
        <f>SUMPRODUCT((Settings!$G$14:$G$43=$B12)*COUNTIF('INPUT - Roster'!$IZ$6:$IZ$206,"*"&amp;Settings!$F$14:$F$43&amp;"*"))</f>
        <v/>
      </c>
      <c r="IK12" s="170">
        <f>SUMPRODUCT((Settings!$G$14:$G$43=$B12)*COUNTIF('INPUT - Roster'!$JA$6:$JA$206,"*"&amp;Settings!$F$14:$F$43&amp;"*"))</f>
        <v/>
      </c>
      <c r="IL12" s="170">
        <f>SUMPRODUCT((Settings!$G$14:$G$43=$B12)*COUNTIF('INPUT - Roster'!$JB$6:$JB$206,"*"&amp;Settings!$F$14:$F$43&amp;"*"))</f>
        <v/>
      </c>
      <c r="IM12" s="170">
        <f>SUMPRODUCT((Settings!$G$14:$G$43=$B12)*COUNTIF('INPUT - Roster'!$JC$6:$JC$206,"*"&amp;Settings!$F$14:$F$43&amp;"*"))</f>
        <v/>
      </c>
      <c r="IN12" s="170">
        <f>SUMPRODUCT((Settings!$G$14:$G$43=$B12)*COUNTIF('INPUT - Roster'!$JD$6:$JD$206,"*"&amp;Settings!$F$14:$F$43&amp;"*"))</f>
        <v/>
      </c>
      <c r="IO12" s="170">
        <f>SUMPRODUCT((Settings!$G$14:$G$43=$B12)*COUNTIF('INPUT - Roster'!$JE$6:$JE$206,"*"&amp;Settings!$F$14:$F$43&amp;"*"))</f>
        <v/>
      </c>
      <c r="IP12" s="170">
        <f>SUMPRODUCT((Settings!$G$14:$G$43=$B12)*COUNTIF('INPUT - Roster'!$JF$6:$JF$206,"*"&amp;Settings!$F$14:$F$43&amp;"*"))</f>
        <v/>
      </c>
      <c r="IQ12" s="170">
        <f>SUMPRODUCT((Settings!$G$14:$G$43=$B12)*COUNTIF('INPUT - Roster'!$JG$6:$JG$206,"*"&amp;Settings!$F$14:$F$43&amp;"*"))</f>
        <v/>
      </c>
      <c r="IR12" s="170">
        <f>SUMPRODUCT((Settings!$G$14:$G$43=$B12)*COUNTIF('INPUT - Roster'!$JH$6:$JH$206,"*"&amp;Settings!$F$14:$F$43&amp;"*"))</f>
        <v/>
      </c>
      <c r="IS12" s="170">
        <f>SUMPRODUCT((Settings!$G$14:$G$43=$B12)*COUNTIF('INPUT - Roster'!$JI$6:$JI$206,"*"&amp;Settings!$F$14:$F$43&amp;"*"))</f>
        <v/>
      </c>
      <c r="IT12" s="170">
        <f>SUMPRODUCT((Settings!$G$14:$G$43=$B12)*COUNTIF('INPUT - Roster'!$JJ$6:$JJ$206,"*"&amp;Settings!$F$14:$F$43&amp;"*"))</f>
        <v/>
      </c>
      <c r="IU12" s="170">
        <f>SUMPRODUCT((Settings!$G$14:$G$43=$B12)*COUNTIF('INPUT - Roster'!$JK$6:$JK$206,"*"&amp;Settings!$F$14:$F$43&amp;"*"))</f>
        <v/>
      </c>
      <c r="IV12" s="170">
        <f>SUMPRODUCT((Settings!$G$14:$G$43=$B12)*COUNTIF('INPUT - Roster'!$JL$6:$JL$206,"*"&amp;Settings!$F$14:$F$43&amp;"*"))</f>
        <v/>
      </c>
      <c r="IW12" s="170">
        <f>SUMPRODUCT((Settings!$G$14:$G$43=$B12)*COUNTIF('INPUT - Roster'!$JM$6:$JM$206,"*"&amp;Settings!$F$14:$F$43&amp;"*"))</f>
        <v/>
      </c>
      <c r="IX12" s="170">
        <f>SUMPRODUCT((Settings!$G$14:$G$43=$B12)*COUNTIF('INPUT - Roster'!$JN$6:$JN$206,"*"&amp;Settings!$F$14:$F$43&amp;"*"))</f>
        <v/>
      </c>
      <c r="IY12" s="170">
        <f>SUMPRODUCT((Settings!$G$14:$G$43=$B12)*COUNTIF('INPUT - Roster'!$JO$6:$JO$206,"*"&amp;Settings!$F$14:$F$43&amp;"*"))</f>
        <v/>
      </c>
      <c r="IZ12" s="170">
        <f>SUMPRODUCT((Settings!$G$14:$G$43=$B12)*COUNTIF('INPUT - Roster'!$JP$6:$JP$206,"*"&amp;Settings!$F$14:$F$43&amp;"*"))</f>
        <v/>
      </c>
      <c r="JA12" s="170">
        <f>SUMPRODUCT((Settings!$G$14:$G$43=$B12)*COUNTIF('INPUT - Roster'!$JQ$6:$JQ$206,"*"&amp;Settings!$F$14:$F$43&amp;"*"))</f>
        <v/>
      </c>
      <c r="JB12" s="170">
        <f>SUMPRODUCT((Settings!$G$14:$G$43=$B12)*COUNTIF('INPUT - Roster'!$JR$6:$JR$206,"*"&amp;Settings!$F$14:$F$43&amp;"*"))</f>
        <v/>
      </c>
      <c r="JC12" s="170">
        <f>SUMPRODUCT((Settings!$G$14:$G$43=$B12)*COUNTIF('INPUT - Roster'!$JS$6:$JS$206,"*"&amp;Settings!$F$14:$F$43&amp;"*"))</f>
        <v/>
      </c>
      <c r="JD12" s="170">
        <f>SUMPRODUCT((Settings!$G$14:$G$43=$B12)*COUNTIF('INPUT - Roster'!$JT$6:$JT$206,"*"&amp;Settings!$F$14:$F$43&amp;"*"))</f>
        <v/>
      </c>
      <c r="JE12" s="170">
        <f>SUMPRODUCT((Settings!$G$14:$G$43=$B12)*COUNTIF('INPUT - Roster'!$JU$6:$JU$206,"*"&amp;Settings!$F$14:$F$43&amp;"*"))</f>
        <v/>
      </c>
      <c r="JF12" s="170">
        <f>SUMPRODUCT((Settings!$G$14:$G$43=$B12)*COUNTIF('INPUT - Roster'!$JV$6:$JV$206,"*"&amp;Settings!$F$14:$F$43&amp;"*"))</f>
        <v/>
      </c>
      <c r="JG12" s="170">
        <f>SUMPRODUCT((Settings!$G$14:$G$43=$B12)*COUNTIF('INPUT - Roster'!$JW$6:$JW$206,"*"&amp;Settings!$F$14:$F$43&amp;"*"))</f>
        <v/>
      </c>
      <c r="JH12" s="170">
        <f>SUMPRODUCT((Settings!$G$14:$G$43=$B12)*COUNTIF('INPUT - Roster'!$JX$6:$JX$206,"*"&amp;Settings!$F$14:$F$43&amp;"*"))</f>
        <v/>
      </c>
      <c r="JI12" s="170">
        <f>SUMPRODUCT((Settings!$G$14:$G$43=$B12)*COUNTIF('INPUT - Roster'!$JY$6:$JY$206,"*"&amp;Settings!$F$14:$F$43&amp;"*"))</f>
        <v/>
      </c>
      <c r="JJ12" s="170">
        <f>SUMPRODUCT((Settings!$G$14:$G$43=$B12)*COUNTIF('INPUT - Roster'!$JZ$6:$JZ$206,"*"&amp;Settings!$F$14:$F$43&amp;"*"))</f>
        <v/>
      </c>
      <c r="JK12" s="170">
        <f>SUMPRODUCT((Settings!$G$14:$G$43=$B12)*COUNTIF('INPUT - Roster'!$KA$6:$KA$206,"*"&amp;Settings!$F$14:$F$43&amp;"*"))</f>
        <v/>
      </c>
      <c r="JL12" s="170">
        <f>SUMPRODUCT((Settings!$G$14:$G$43=$B12)*COUNTIF('INPUT - Roster'!$KB$6:$KB$206,"*"&amp;Settings!$F$14:$F$43&amp;"*"))</f>
        <v/>
      </c>
      <c r="JM12" s="170">
        <f>SUMPRODUCT((Settings!$G$14:$G$43=$B12)*COUNTIF('INPUT - Roster'!$KC$6:$KC$206,"*"&amp;Settings!$F$14:$F$43&amp;"*"))</f>
        <v/>
      </c>
      <c r="JN12" s="170">
        <f>SUMPRODUCT((Settings!$G$14:$G$43=$B12)*COUNTIF('INPUT - Roster'!$KD$6:$KD$206,"*"&amp;Settings!$F$14:$F$43&amp;"*"))</f>
        <v/>
      </c>
      <c r="JO12" s="170">
        <f>SUMPRODUCT((Settings!$G$14:$G$43=$B12)*COUNTIF('INPUT - Roster'!$KE$6:$KE$206,"*"&amp;Settings!$F$14:$F$43&amp;"*"))</f>
        <v/>
      </c>
      <c r="JP12" s="170">
        <f>SUMPRODUCT((Settings!$G$14:$G$43=$B12)*COUNTIF('INPUT - Roster'!$KF$6:$KF$206,"*"&amp;Settings!$F$14:$F$43&amp;"*"))</f>
        <v/>
      </c>
      <c r="JQ12" s="170">
        <f>SUMPRODUCT((Settings!$G$14:$G$43=$B12)*COUNTIF('INPUT - Roster'!$KG$6:$KG$206,"*"&amp;Settings!$F$14:$F$43&amp;"*"))</f>
        <v/>
      </c>
      <c r="JR12" s="170">
        <f>SUMPRODUCT((Settings!$G$14:$G$43=$B12)*COUNTIF('INPUT - Roster'!$KH$6:$KH$206,"*"&amp;Settings!$F$14:$F$43&amp;"*"))</f>
        <v/>
      </c>
      <c r="JS12" s="170">
        <f>SUMPRODUCT((Settings!$G$14:$G$43=$B12)*COUNTIF('INPUT - Roster'!$KI$6:$KI$206,"*"&amp;Settings!$F$14:$F$43&amp;"*"))</f>
        <v/>
      </c>
      <c r="JT12" s="170">
        <f>SUMPRODUCT((Settings!$G$14:$G$43=$B12)*COUNTIF('INPUT - Roster'!$KJ$6:$KJ$206,"*"&amp;Settings!$F$14:$F$43&amp;"*"))</f>
        <v/>
      </c>
      <c r="JU12" s="170">
        <f>SUMPRODUCT((Settings!$G$14:$G$43=$B12)*COUNTIF('INPUT - Roster'!$KK$6:$KK$206,"*"&amp;Settings!$F$14:$F$43&amp;"*"))</f>
        <v/>
      </c>
      <c r="JV12" s="170">
        <f>SUMPRODUCT((Settings!$G$14:$G$43=$B12)*COUNTIF('INPUT - Roster'!$KL$6:$KL$206,"*"&amp;Settings!$F$14:$F$43&amp;"*"))</f>
        <v/>
      </c>
      <c r="JW12" s="170">
        <f>SUMPRODUCT((Settings!$G$14:$G$43=$B12)*COUNTIF('INPUT - Roster'!$KM$6:$KM$206,"*"&amp;Settings!$F$14:$F$43&amp;"*"))</f>
        <v/>
      </c>
      <c r="JX12" s="170">
        <f>SUMPRODUCT((Settings!$G$14:$G$43=$B12)*COUNTIF('INPUT - Roster'!$KN$6:$KN$206,"*"&amp;Settings!$F$14:$F$43&amp;"*"))</f>
        <v/>
      </c>
      <c r="JY12" s="170">
        <f>SUMPRODUCT((Settings!$G$14:$G$43=$B12)*COUNTIF('INPUT - Roster'!$KO$6:$KO$206,"*"&amp;Settings!$F$14:$F$43&amp;"*"))</f>
        <v/>
      </c>
      <c r="JZ12" s="170">
        <f>SUMPRODUCT((Settings!$G$14:$G$43=$B12)*COUNTIF('INPUT - Roster'!$KP$6:$KP$206,"*"&amp;Settings!$F$14:$F$43&amp;"*"))</f>
        <v/>
      </c>
      <c r="KA12" s="170">
        <f>SUMPRODUCT((Settings!$G$14:$G$43=$B12)*COUNTIF('INPUT - Roster'!$KQ$6:$KQ$206,"*"&amp;Settings!$F$14:$F$43&amp;"*"))</f>
        <v/>
      </c>
      <c r="KB12" s="170">
        <f>SUMPRODUCT((Settings!$G$14:$G$43=$B12)*COUNTIF('INPUT - Roster'!$KR$6:$KR$206,"*"&amp;Settings!$F$14:$F$43&amp;"*"))</f>
        <v/>
      </c>
      <c r="KC12" s="170">
        <f>SUMPRODUCT((Settings!$G$14:$G$43=$B12)*COUNTIF('INPUT - Roster'!$KS$6:$KS$206,"*"&amp;Settings!$F$14:$F$43&amp;"*"))</f>
        <v/>
      </c>
      <c r="KD12" s="170">
        <f>SUMPRODUCT((Settings!$G$14:$G$43=$B12)*COUNTIF('INPUT - Roster'!$KT$6:$KT$206,"*"&amp;Settings!$F$14:$F$43&amp;"*"))</f>
        <v/>
      </c>
      <c r="KE12" s="170">
        <f>SUMPRODUCT((Settings!$G$14:$G$43=$B12)*COUNTIF('INPUT - Roster'!$KU$6:$KU$206,"*"&amp;Settings!$F$14:$F$43&amp;"*"))</f>
        <v/>
      </c>
      <c r="KF12" s="170">
        <f>SUMPRODUCT((Settings!$G$14:$G$43=$B12)*COUNTIF('INPUT - Roster'!$KV$6:$KV$206,"*"&amp;Settings!$F$14:$F$43&amp;"*"))</f>
        <v/>
      </c>
      <c r="KG12" s="170">
        <f>SUMPRODUCT((Settings!$G$14:$G$43=$B12)*COUNTIF('INPUT - Roster'!$KW$6:$KW$206,"*"&amp;Settings!$F$14:$F$43&amp;"*"))</f>
        <v/>
      </c>
      <c r="KH12" s="170">
        <f>SUMPRODUCT((Settings!$G$14:$G$43=$B12)*COUNTIF('INPUT - Roster'!$KX$6:$KX$206,"*"&amp;Settings!$F$14:$F$43&amp;"*"))</f>
        <v/>
      </c>
      <c r="KI12" s="170">
        <f>SUMPRODUCT((Settings!$G$14:$G$43=$B12)*COUNTIF('INPUT - Roster'!$KY$6:$KY$206,"*"&amp;Settings!$F$14:$F$43&amp;"*"))</f>
        <v/>
      </c>
      <c r="KJ12" s="170">
        <f>SUMPRODUCT((Settings!$G$14:$G$43=$B12)*COUNTIF('INPUT - Roster'!$KZ$6:$KZ$206,"*"&amp;Settings!$F$14:$F$43&amp;"*"))</f>
        <v/>
      </c>
      <c r="KK12" s="170">
        <f>SUMPRODUCT((Settings!$G$14:$G$43=$B12)*COUNTIF('INPUT - Roster'!$LA$6:$LA$206,"*"&amp;Settings!$F$14:$F$43&amp;"*"))</f>
        <v/>
      </c>
      <c r="KL12" s="170">
        <f>SUMPRODUCT((Settings!$G$14:$G$43=$B12)*COUNTIF('INPUT - Roster'!$LB$6:$LB$206,"*"&amp;Settings!$F$14:$F$43&amp;"*"))</f>
        <v/>
      </c>
      <c r="KM12" s="170">
        <f>SUMPRODUCT((Settings!$G$14:$G$43=$B12)*COUNTIF('INPUT - Roster'!$LC$6:$LC$206,"*"&amp;Settings!$F$14:$F$43&amp;"*"))</f>
        <v/>
      </c>
      <c r="KN12" s="170">
        <f>SUMPRODUCT((Settings!$G$14:$G$43=$B12)*COUNTIF('INPUT - Roster'!$LD$6:$LD$206,"*"&amp;Settings!$F$14:$F$43&amp;"*"))</f>
        <v/>
      </c>
      <c r="KO12" s="170">
        <f>SUMPRODUCT((Settings!$G$14:$G$43=$B12)*COUNTIF('INPUT - Roster'!$LE$6:$LE$206,"*"&amp;Settings!$F$14:$F$43&amp;"*"))</f>
        <v/>
      </c>
      <c r="KP12" s="170">
        <f>SUMPRODUCT((Settings!$G$14:$G$43=$B12)*COUNTIF('INPUT - Roster'!$LF$6:$LF$206,"*"&amp;Settings!$F$14:$F$43&amp;"*"))</f>
        <v/>
      </c>
      <c r="KQ12" s="170">
        <f>SUMPRODUCT((Settings!$G$14:$G$43=$B12)*COUNTIF('INPUT - Roster'!$LG$6:$LG$206,"*"&amp;Settings!$F$14:$F$43&amp;"*"))</f>
        <v/>
      </c>
      <c r="KR12" s="170">
        <f>SUMPRODUCT((Settings!$G$14:$G$43=$B12)*COUNTIF('INPUT - Roster'!$LH$6:$LH$206,"*"&amp;Settings!$F$14:$F$43&amp;"*"))</f>
        <v/>
      </c>
      <c r="KS12" s="170">
        <f>SUMPRODUCT((Settings!$G$14:$G$43=$B12)*COUNTIF('INPUT - Roster'!$LI$6:$LI$206,"*"&amp;Settings!$F$14:$F$43&amp;"*"))</f>
        <v/>
      </c>
      <c r="KT12" s="170">
        <f>SUMPRODUCT((Settings!$G$14:$G$43=$B12)*COUNTIF('INPUT - Roster'!$LJ$6:$LJ$206,"*"&amp;Settings!$F$14:$F$43&amp;"*"))</f>
        <v/>
      </c>
      <c r="KU12" s="170">
        <f>SUMPRODUCT((Settings!$G$14:$G$43=$B12)*COUNTIF('INPUT - Roster'!$LK$6:$LK$206,"*"&amp;Settings!$F$14:$F$43&amp;"*"))</f>
        <v/>
      </c>
      <c r="KV12" s="170">
        <f>SUMPRODUCT((Settings!$G$14:$G$43=$B12)*COUNTIF('INPUT - Roster'!$LL$6:$LL$206,"*"&amp;Settings!$F$14:$F$43&amp;"*"))</f>
        <v/>
      </c>
      <c r="KW12" s="170">
        <f>SUMPRODUCT((Settings!$G$14:$G$43=$B12)*COUNTIF('INPUT - Roster'!$LM$6:$LM$206,"*"&amp;Settings!$F$14:$F$43&amp;"*"))</f>
        <v/>
      </c>
      <c r="KX12" s="170">
        <f>SUMPRODUCT((Settings!$G$14:$G$43=$B12)*COUNTIF('INPUT - Roster'!$LN$6:$LN$206,"*"&amp;Settings!$F$14:$F$43&amp;"*"))</f>
        <v/>
      </c>
      <c r="KY12" s="170">
        <f>SUMPRODUCT((Settings!$G$14:$G$43=$B12)*COUNTIF('INPUT - Roster'!$LO$6:$LO$206,"*"&amp;Settings!$F$14:$F$43&amp;"*"))</f>
        <v/>
      </c>
      <c r="KZ12" s="170">
        <f>SUMPRODUCT((Settings!$G$14:$G$43=$B12)*COUNTIF('INPUT - Roster'!$LP$6:$LP$206,"*"&amp;Settings!$F$14:$F$43&amp;"*"))</f>
        <v/>
      </c>
      <c r="LA12" s="170">
        <f>SUMPRODUCT((Settings!$G$14:$G$43=$B12)*COUNTIF('INPUT - Roster'!$LQ$6:$LQ$206,"*"&amp;Settings!$F$14:$F$43&amp;"*"))</f>
        <v/>
      </c>
      <c r="LB12" s="170">
        <f>SUMPRODUCT((Settings!$G$14:$G$43=$B12)*COUNTIF('INPUT - Roster'!$LR$6:$LR$206,"*"&amp;Settings!$F$14:$F$43&amp;"*"))</f>
        <v/>
      </c>
      <c r="LC12" s="170">
        <f>SUMPRODUCT((Settings!$G$14:$G$43=$B12)*COUNTIF('INPUT - Roster'!$LS$6:$LS$206,"*"&amp;Settings!$F$14:$F$43&amp;"*"))</f>
        <v/>
      </c>
      <c r="LD12" s="170">
        <f>SUMPRODUCT((Settings!$G$14:$G$43=$B12)*COUNTIF('INPUT - Roster'!$LT$6:$LT$206,"*"&amp;Settings!$F$14:$F$43&amp;"*"))</f>
        <v/>
      </c>
      <c r="LE12" s="170">
        <f>SUMPRODUCT((Settings!$G$14:$G$43=$B12)*COUNTIF('INPUT - Roster'!$LU$6:$LU$206,"*"&amp;Settings!$F$14:$F$43&amp;"*"))</f>
        <v/>
      </c>
      <c r="LF12" s="170">
        <f>SUMPRODUCT((Settings!$G$14:$G$43=$B12)*COUNTIF('INPUT - Roster'!$LV$6:$LV$206,"*"&amp;Settings!$F$14:$F$43&amp;"*"))</f>
        <v/>
      </c>
      <c r="LG12" s="170">
        <f>SUMPRODUCT((Settings!$G$14:$G$43=$B12)*COUNTIF('INPUT - Roster'!$LW$6:$LW$206,"*"&amp;Settings!$F$14:$F$43&amp;"*"))</f>
        <v/>
      </c>
      <c r="LH12" s="170">
        <f>SUMPRODUCT((Settings!$G$14:$G$43=$B12)*COUNTIF('INPUT - Roster'!$LX$6:$LX$206,"*"&amp;Settings!$F$14:$F$43&amp;"*"))</f>
        <v/>
      </c>
      <c r="LI12" s="170">
        <f>SUMPRODUCT((Settings!$G$14:$G$43=$B12)*COUNTIF('INPUT - Roster'!$LY$6:$LY$206,"*"&amp;Settings!$F$14:$F$43&amp;"*"))</f>
        <v/>
      </c>
      <c r="LJ12" s="170">
        <f>SUMPRODUCT((Settings!$G$14:$G$43=$B12)*COUNTIF('INPUT - Roster'!$LZ$6:$LZ$206,"*"&amp;Settings!$F$14:$F$43&amp;"*"))</f>
        <v/>
      </c>
      <c r="LK12" s="170">
        <f>SUMPRODUCT((Settings!$G$14:$G$43=$B12)*COUNTIF('INPUT - Roster'!$MA$6:$MA$206,"*"&amp;Settings!$F$14:$F$43&amp;"*"))</f>
        <v/>
      </c>
      <c r="LL12" s="170">
        <f>SUMPRODUCT((Settings!$G$14:$G$43=$B12)*COUNTIF('INPUT - Roster'!$MB$6:$MB$206,"*"&amp;Settings!$F$14:$F$43&amp;"*"))</f>
        <v/>
      </c>
      <c r="LM12" s="170">
        <f>SUMPRODUCT((Settings!$G$14:$G$43=$B12)*COUNTIF('INPUT - Roster'!$MC$6:$MC$206,"*"&amp;Settings!$F$14:$F$43&amp;"*"))</f>
        <v/>
      </c>
      <c r="LN12" s="170">
        <f>SUMPRODUCT((Settings!$G$14:$G$43=$B12)*COUNTIF('INPUT - Roster'!$MD$6:$MD$206,"*"&amp;Settings!$F$14:$F$43&amp;"*"))</f>
        <v/>
      </c>
      <c r="LO12" s="170">
        <f>SUMPRODUCT((Settings!$G$14:$G$43=$B12)*COUNTIF('INPUT - Roster'!$ME$6:$ME$206,"*"&amp;Settings!$F$14:$F$43&amp;"*"))</f>
        <v/>
      </c>
      <c r="LP12" s="170">
        <f>SUMPRODUCT((Settings!$G$14:$G$43=$B12)*COUNTIF('INPUT - Roster'!$MF$6:$MF$206,"*"&amp;Settings!$F$14:$F$43&amp;"*"))</f>
        <v/>
      </c>
      <c r="LQ12" s="170">
        <f>SUMPRODUCT((Settings!$G$14:$G$43=$B12)*COUNTIF('INPUT - Roster'!$MG$6:$MG$206,"*"&amp;Settings!$F$14:$F$43&amp;"*"))</f>
        <v/>
      </c>
      <c r="LR12" s="170">
        <f>SUMPRODUCT((Settings!$G$14:$G$43=$B12)*COUNTIF('INPUT - Roster'!$MH$6:$MH$206,"*"&amp;Settings!$F$14:$F$43&amp;"*"))</f>
        <v/>
      </c>
      <c r="LS12" s="170">
        <f>SUMPRODUCT((Settings!$G$14:$G$43=$B12)*COUNTIF('INPUT - Roster'!$MI$6:$MI$206,"*"&amp;Settings!$F$14:$F$43&amp;"*"))</f>
        <v/>
      </c>
      <c r="LT12" s="170">
        <f>SUMPRODUCT((Settings!$G$14:$G$43=$B12)*COUNTIF('INPUT - Roster'!$MJ$6:$MJ$206,"*"&amp;Settings!$F$14:$F$43&amp;"*"))</f>
        <v/>
      </c>
      <c r="LU12" s="170">
        <f>SUMPRODUCT((Settings!$G$14:$G$43=$B12)*COUNTIF('INPUT - Roster'!$MK$6:$MK$206,"*"&amp;Settings!$F$14:$F$43&amp;"*"))</f>
        <v/>
      </c>
      <c r="LV12" s="170">
        <f>SUMPRODUCT((Settings!$G$14:$G$43=$B12)*COUNTIF('INPUT - Roster'!$ML$6:$ML$206,"*"&amp;Settings!$F$14:$F$43&amp;"*"))</f>
        <v/>
      </c>
      <c r="LW12" s="170">
        <f>SUMPRODUCT((Settings!$G$14:$G$43=$B12)*COUNTIF('INPUT - Roster'!$MM$6:$MM$206,"*"&amp;Settings!$F$14:$F$43&amp;"*"))</f>
        <v/>
      </c>
      <c r="LX12" s="170">
        <f>SUMPRODUCT((Settings!$G$14:$G$43=$B12)*COUNTIF('INPUT - Roster'!$MN$6:$MN$206,"*"&amp;Settings!$F$14:$F$43&amp;"*"))</f>
        <v/>
      </c>
      <c r="LY12" s="170">
        <f>SUMPRODUCT((Settings!$G$14:$G$43=$B12)*COUNTIF('INPUT - Roster'!$MO$6:$MO$206,"*"&amp;Settings!$F$14:$F$43&amp;"*"))</f>
        <v/>
      </c>
      <c r="LZ12" s="170">
        <f>SUMPRODUCT((Settings!$G$14:$G$43=$B12)*COUNTIF('INPUT - Roster'!$MP$6:$MP$206,"*"&amp;Settings!$F$14:$F$43&amp;"*"))</f>
        <v/>
      </c>
      <c r="MA12" s="170">
        <f>SUMPRODUCT((Settings!$G$14:$G$43=$B12)*COUNTIF('INPUT - Roster'!$MQ$6:$MQ$206,"*"&amp;Settings!$F$14:$F$43&amp;"*"))</f>
        <v/>
      </c>
      <c r="MB12" s="170">
        <f>SUMPRODUCT((Settings!$G$14:$G$43=$B12)*COUNTIF('INPUT - Roster'!$MR$6:$MR$206,"*"&amp;Settings!$F$14:$F$43&amp;"*"))</f>
        <v/>
      </c>
      <c r="MC12" s="170">
        <f>SUMPRODUCT((Settings!$G$14:$G$43=$B12)*COUNTIF('INPUT - Roster'!$MS$6:$MS$206,"*"&amp;Settings!$F$14:$F$43&amp;"*"))</f>
        <v/>
      </c>
      <c r="MD12" s="170">
        <f>SUMPRODUCT((Settings!$G$14:$G$43=$B12)*COUNTIF('INPUT - Roster'!$MT$6:$MT$206,"*"&amp;Settings!$F$14:$F$43&amp;"*"))</f>
        <v/>
      </c>
      <c r="ME12" s="170">
        <f>SUMPRODUCT((Settings!$G$14:$G$43=$B12)*COUNTIF('INPUT - Roster'!$MU$6:$MU$206,"*"&amp;Settings!$F$14:$F$43&amp;"*"))</f>
        <v/>
      </c>
      <c r="MF12" s="170">
        <f>SUMPRODUCT((Settings!$G$14:$G$43=$B12)*COUNTIF('INPUT - Roster'!$MV$6:$MV$206,"*"&amp;Settings!$F$14:$F$43&amp;"*"))</f>
        <v/>
      </c>
      <c r="MG12" s="170">
        <f>SUMPRODUCT((Settings!$G$14:$G$43=$B12)*COUNTIF('INPUT - Roster'!$MW$6:$MW$206,"*"&amp;Settings!$F$14:$F$43&amp;"*"))</f>
        <v/>
      </c>
      <c r="MH12" s="170">
        <f>SUMPRODUCT((Settings!$G$14:$G$43=$B12)*COUNTIF('INPUT - Roster'!$MX$6:$MX$206,"*"&amp;Settings!$F$14:$F$43&amp;"*"))</f>
        <v/>
      </c>
      <c r="MI12" s="170">
        <f>SUMPRODUCT((Settings!$G$14:$G$43=$B12)*COUNTIF('INPUT - Roster'!$MY$6:$MY$206,"*"&amp;Settings!$F$14:$F$43&amp;"*"))</f>
        <v/>
      </c>
      <c r="MJ12" s="170">
        <f>SUMPRODUCT((Settings!$G$14:$G$43=$B12)*COUNTIF('INPUT - Roster'!$MZ$6:$MZ$206,"*"&amp;Settings!$F$14:$F$43&amp;"*"))</f>
        <v/>
      </c>
      <c r="MK12" s="170">
        <f>SUMPRODUCT((Settings!$G$14:$G$43=$B12)*COUNTIF('INPUT - Roster'!$NA$6:$NA$206,"*"&amp;Settings!$F$14:$F$43&amp;"*"))</f>
        <v/>
      </c>
      <c r="ML12" s="170">
        <f>SUMPRODUCT((Settings!$G$14:$G$43=$B12)*COUNTIF('INPUT - Roster'!$NB$6:$NB$206,"*"&amp;Settings!$F$14:$F$43&amp;"*"))</f>
        <v/>
      </c>
      <c r="MM12" s="170">
        <f>SUMPRODUCT((Settings!$G$14:$G$43=$B12)*COUNTIF('INPUT - Roster'!$NC$6:$NC$206,"*"&amp;Settings!$F$14:$F$43&amp;"*"))</f>
        <v/>
      </c>
      <c r="MN12" s="170">
        <f>SUMPRODUCT((Settings!$G$14:$G$43=$B12)*COUNTIF('INPUT - Roster'!$ND$6:$ND$206,"*"&amp;Settings!$F$14:$F$43&amp;"*"))</f>
        <v/>
      </c>
      <c r="MO12" s="170">
        <f>SUMPRODUCT((Settings!$G$14:$G$43=$B12)*COUNTIF('INPUT - Roster'!$NE$6:$NE$206,"*"&amp;Settings!$F$14:$F$43&amp;"*"))</f>
        <v/>
      </c>
      <c r="MP12" s="170">
        <f>SUMPRODUCT((Settings!$G$14:$G$43=$B12)*COUNTIF('INPUT - Roster'!$NF$6:$NF$206,"*"&amp;Settings!$F$14:$F$43&amp;"*"))</f>
        <v/>
      </c>
      <c r="MQ12" s="170">
        <f>SUMPRODUCT((Settings!$G$14:$G$43=$B12)*COUNTIF('INPUT - Roster'!$NG$6:$NG$206,"*"&amp;Settings!$F$14:$F$43&amp;"*"))</f>
        <v/>
      </c>
      <c r="MR12" s="170">
        <f>SUMPRODUCT((Settings!$G$14:$G$43=$B12)*COUNTIF('INPUT - Roster'!$NH$6:$NH$206,"*"&amp;Settings!$F$14:$F$43&amp;"*"))</f>
        <v/>
      </c>
      <c r="MS12" s="170">
        <f>SUMPRODUCT((Settings!$G$14:$G$43=$B12)*COUNTIF('INPUT - Roster'!$NI$6:$NI$206,"*"&amp;Settings!$F$14:$F$43&amp;"*"))</f>
        <v/>
      </c>
      <c r="MT12" s="170">
        <f>SUMPRODUCT((Settings!$G$14:$G$43=$B12)*COUNTIF('INPUT - Roster'!$NJ$6:$NJ$206,"*"&amp;Settings!$F$14:$F$43&amp;"*"))</f>
        <v/>
      </c>
      <c r="MU12" s="170">
        <f>SUMPRODUCT((Settings!$G$14:$G$43=$B12)*COUNTIF('INPUT - Roster'!$NK$6:$NK$206,"*"&amp;Settings!$F$14:$F$43&amp;"*"))</f>
        <v/>
      </c>
      <c r="MV12" s="170">
        <f>SUMPRODUCT((Settings!$G$14:$G$43=$B12)*COUNTIF('INPUT - Roster'!$NL$6:$NL$206,"*"&amp;Settings!$F$14:$F$43&amp;"*"))</f>
        <v/>
      </c>
      <c r="MW12" s="170">
        <f>SUMPRODUCT((Settings!$G$14:$G$43=$B12)*COUNTIF('INPUT - Roster'!$NM$6:$NM$206,"*"&amp;Settings!$F$14:$F$43&amp;"*"))</f>
        <v/>
      </c>
      <c r="MX12" s="170">
        <f>SUMPRODUCT((Settings!$G$14:$G$43=$B12)*COUNTIF('INPUT - Roster'!$NN$6:$NN$206,"*"&amp;Settings!$F$14:$F$43&amp;"*"))</f>
        <v/>
      </c>
      <c r="MY12" s="170">
        <f>SUMPRODUCT((Settings!$G$14:$G$43=$B12)*COUNTIF('INPUT - Roster'!$NO$6:$NO$206,"*"&amp;Settings!$F$14:$F$43&amp;"*"))</f>
        <v/>
      </c>
      <c r="MZ12" s="170">
        <f>SUMPRODUCT((Settings!$G$14:$G$43=$B12)*COUNTIF('INPUT - Roster'!$NP$6:$NP$206,"*"&amp;Settings!$F$14:$F$43&amp;"*"))</f>
        <v/>
      </c>
      <c r="NA12" s="170">
        <f>SUMPRODUCT((Settings!$G$14:$G$43=$B12)*COUNTIF('INPUT - Roster'!$NQ$6:$NQ$206,"*"&amp;Settings!$F$14:$F$43&amp;"*"))</f>
        <v/>
      </c>
      <c r="NB12" s="170">
        <f>SUMPRODUCT((Settings!$G$14:$G$43=$B12)*COUNTIF('INPUT - Roster'!$NR$6:$NR$206,"*"&amp;Settings!$F$14:$F$43&amp;"*"))</f>
        <v/>
      </c>
      <c r="NC12" s="170">
        <f>SUMPRODUCT((Settings!$G$14:$G$43=$B12)*COUNTIF('INPUT - Roster'!$NS$6:$NS$206,"*"&amp;Settings!$F$14:$F$43&amp;"*"))</f>
        <v/>
      </c>
      <c r="ND12" s="170">
        <f>SUMPRODUCT((Settings!$G$14:$G$43=$B12)*COUNTIF('INPUT - Roster'!$NT$6:$NT$206,"*"&amp;Settings!$F$14:$F$43&amp;"*"))</f>
        <v/>
      </c>
      <c r="NE12" s="170">
        <f>SUMPRODUCT((Settings!$G$14:$G$43=$B12)*COUNTIF('INPUT - Roster'!$NU$6:$NU$206,"*"&amp;Settings!$F$14:$F$43&amp;"*"))</f>
        <v/>
      </c>
      <c r="NF12" s="170">
        <f>SUMPRODUCT((Settings!$G$14:$G$43=$B12)*COUNTIF('INPUT - Roster'!$NV$6:$NV$206,"*"&amp;Settings!$F$14:$F$43&amp;"*"))</f>
        <v/>
      </c>
      <c r="NG12" s="170">
        <f>SUMPRODUCT((Settings!$G$14:$G$43=$B12)*COUNTIF('INPUT - Roster'!$NW$6:$NW$206,"*"&amp;Settings!$F$14:$F$43&amp;"*"))</f>
        <v/>
      </c>
      <c r="NH12" s="170">
        <f>SUMPRODUCT((Settings!$G$14:$G$43=$B12)*COUNTIF('INPUT - Roster'!$NX$6:$NX$206,"*"&amp;Settings!$F$14:$F$43&amp;"*"))</f>
        <v/>
      </c>
      <c r="NI12" s="170">
        <f>SUMPRODUCT((Settings!$G$14:$G$43=$B12)*COUNTIF('INPUT - Roster'!$NY$6:$NY$206,"*"&amp;Settings!$F$14:$F$43&amp;"*"))</f>
        <v/>
      </c>
      <c r="NJ12" s="170">
        <f>SUMPRODUCT((Settings!$G$14:$G$43=$B12)*COUNTIF('INPUT - Roster'!$NZ$6:$NZ$206,"*"&amp;Settings!$F$14:$F$43&amp;"*"))</f>
        <v/>
      </c>
      <c r="NK12" s="170">
        <f>SUMPRODUCT((Settings!$G$14:$G$43=$B12)*COUNTIF('INPUT - Roster'!$OA$6:$OA$206,"*"&amp;Settings!$F$14:$F$43&amp;"*"))</f>
        <v/>
      </c>
      <c r="NL12" s="170">
        <f>SUMPRODUCT((Settings!$G$14:$G$43=$B12)*COUNTIF('INPUT - Roster'!$OB$6:$OB$206,"*"&amp;Settings!$F$14:$F$43&amp;"*"))</f>
        <v/>
      </c>
      <c r="NM12" s="170">
        <f>SUMPRODUCT((Settings!$G$14:$G$43=$B12)*COUNTIF('INPUT - Roster'!$OC$6:$OC$206,"*"&amp;Settings!$F$14:$F$43&amp;"*"))</f>
        <v/>
      </c>
      <c r="NN12" s="170">
        <f>SUMPRODUCT((Settings!$G$14:$G$43=$B12)*COUNTIF('INPUT - Roster'!$OD$6:$OD$206,"*"&amp;Settings!$F$14:$F$43&amp;"*"))</f>
        <v/>
      </c>
      <c r="NO12" s="170">
        <f>SUMPRODUCT((Settings!$G$14:$G$43=$B12)*COUNTIF('INPUT - Roster'!$OE$6:$OE$206,"*"&amp;Settings!$F$14:$F$43&amp;"*"))</f>
        <v/>
      </c>
      <c r="NP12" s="170">
        <f>SUMPRODUCT((Settings!$G$14:$G$43=$B12)*COUNTIF('INPUT - Roster'!$OF$6:$OF$206,"*"&amp;Settings!$F$14:$F$43&amp;"*"))</f>
        <v/>
      </c>
      <c r="NQ12" s="170">
        <f>SUMPRODUCT((Settings!$G$14:$G$43=$B12)*COUNTIF('INPUT - Roster'!$OG$6:$OG$206,"*"&amp;Settings!$F$14:$F$43&amp;"*"))</f>
        <v/>
      </c>
      <c r="NR12" s="170">
        <f>SUMPRODUCT((Settings!$G$14:$G$43=$B12)*COUNTIF('INPUT - Roster'!$OH$6:$OH$206,"*"&amp;Settings!$F$14:$F$43&amp;"*"))</f>
        <v/>
      </c>
      <c r="NS12" s="170">
        <f>SUMPRODUCT((Settings!$G$14:$G$43=$B12)*COUNTIF('INPUT - Roster'!$OI$6:$OI$206,"*"&amp;Settings!$F$14:$F$43&amp;"*"))</f>
        <v/>
      </c>
      <c r="NT12" s="170">
        <f>SUMPRODUCT((Settings!$G$14:$G$43=$B12)*COUNTIF('INPUT - Roster'!$OJ$6:$OJ$206,"*"&amp;Settings!$F$14:$F$43&amp;"*"))</f>
        <v/>
      </c>
      <c r="NU12" s="170">
        <f>SUMPRODUCT((Settings!$G$14:$G$43=$B12)*COUNTIF('INPUT - Roster'!$OK$6:$OK$206,"*"&amp;Settings!$F$14:$F$43&amp;"*"))</f>
        <v/>
      </c>
      <c r="NV12" s="170">
        <f>SUMPRODUCT((Settings!$G$14:$G$43=$B12)*COUNTIF('INPUT - Roster'!$OL$6:$OL$206,"*"&amp;Settings!$F$14:$F$43&amp;"*"))</f>
        <v/>
      </c>
      <c r="NW12" s="170">
        <f>SUMPRODUCT((Settings!$G$14:$G$43=$B12)*COUNTIF('INPUT - Roster'!$OM$6:$OM$206,"*"&amp;Settings!$F$14:$F$43&amp;"*"))</f>
        <v/>
      </c>
      <c r="NX12" s="170">
        <f>SUMPRODUCT((Settings!$G$14:$G$43=$B12)*COUNTIF('INPUT - Roster'!$ON$6:$ON$206,"*"&amp;Settings!$F$14:$F$43&amp;"*"))</f>
        <v/>
      </c>
      <c r="NY12" s="170">
        <f>SUMPRODUCT((Settings!$G$14:$G$43=$B12)*COUNTIF('INPUT - Roster'!$OO$6:$OO$206,"*"&amp;Settings!$F$14:$F$43&amp;"*"))</f>
        <v/>
      </c>
      <c r="NZ12" s="170">
        <f>SUMPRODUCT((Settings!$G$14:$G$43=$B12)*COUNTIF('INPUT - Roster'!$OP$6:$OP$206,"*"&amp;Settings!$F$14:$F$43&amp;"*"))</f>
        <v/>
      </c>
      <c r="OA12" s="170">
        <f>SUMPRODUCT((Settings!$G$14:$G$43=$B12)*COUNTIF('INPUT - Roster'!$OQ$6:$OQ$206,"*"&amp;Settings!$F$14:$F$43&amp;"*"))</f>
        <v/>
      </c>
      <c r="OB12" s="170">
        <f>SUMPRODUCT((Settings!$G$14:$G$43=$B12)*COUNTIF('INPUT - Roster'!$OR$6:$OR$206,"*"&amp;Settings!$F$14:$F$43&amp;"*"))</f>
        <v/>
      </c>
      <c r="OC12" s="170">
        <f>SUMPRODUCT((Settings!$G$14:$G$43=$B12)*COUNTIF('INPUT - Roster'!$OS$6:$OS$206,"*"&amp;Settings!$F$14:$F$43&amp;"*"))</f>
        <v/>
      </c>
      <c r="OD12" s="170">
        <f>SUMPRODUCT((Settings!$G$14:$G$43=$B12)*COUNTIF('INPUT - Roster'!$OT$6:$OT$206,"*"&amp;Settings!$F$14:$F$43&amp;"*"))</f>
        <v/>
      </c>
      <c r="OE12" s="170">
        <f>SUMPRODUCT((Settings!$G$14:$G$43=$B12)*COUNTIF('INPUT - Roster'!$OU$6:$OU$206,"*"&amp;Settings!$F$14:$F$43&amp;"*"))</f>
        <v/>
      </c>
      <c r="OF12" s="170">
        <f>SUMPRODUCT((Settings!$G$14:$G$43=$B12)*COUNTIF('INPUT - Roster'!$OV$6:$OV$206,"*"&amp;Settings!$F$14:$F$43&amp;"*"))</f>
        <v/>
      </c>
      <c r="OG12" s="170">
        <f>SUMPRODUCT((Settings!$G$14:$G$43=$B12)*COUNTIF('INPUT - Roster'!$OW$6:$OW$206,"*"&amp;Settings!$F$14:$F$43&amp;"*"))</f>
        <v/>
      </c>
      <c r="OH12" s="170">
        <f>SUMPRODUCT((Settings!$G$14:$G$43=$B12)*COUNTIF('INPUT - Roster'!$OX$6:$OX$206,"*"&amp;Settings!$F$14:$F$43&amp;"*"))</f>
        <v/>
      </c>
      <c r="OI12" s="170">
        <f>SUMPRODUCT((Settings!$G$14:$G$43=$B12)*COUNTIF('INPUT - Roster'!$OY$6:$OY$206,"*"&amp;Settings!$F$14:$F$43&amp;"*"))</f>
        <v/>
      </c>
      <c r="OJ12" s="170">
        <f>SUMPRODUCT((Settings!$G$14:$G$43=$B12)*COUNTIF('INPUT - Roster'!$OZ$6:$OZ$206,"*"&amp;Settings!$F$14:$F$43&amp;"*"))</f>
        <v/>
      </c>
      <c r="OK12" s="170">
        <f>SUMPRODUCT((Settings!$G$14:$G$43=$B12)*COUNTIF('INPUT - Roster'!$PA$6:$PA$206,"*"&amp;Settings!$F$14:$F$43&amp;"*"))</f>
        <v/>
      </c>
      <c r="OL12" s="170">
        <f>SUMPRODUCT((Settings!$G$14:$G$43=$B12)*COUNTIF('INPUT - Roster'!$PB$6:$PB$206,"*"&amp;Settings!$F$14:$F$43&amp;"*"))</f>
        <v/>
      </c>
      <c r="OM12" s="170">
        <f>SUMPRODUCT((Settings!$G$14:$G$43=$B12)*COUNTIF('INPUT - Roster'!$PC$6:$PC$206,"*"&amp;Settings!$F$14:$F$43&amp;"*"))</f>
        <v/>
      </c>
      <c r="ON12" s="170">
        <f>SUMPRODUCT((Settings!$G$14:$G$43=$B12)*COUNTIF('INPUT - Roster'!$PD$6:$PD$206,"*"&amp;Settings!$F$14:$F$43&amp;"*"))</f>
        <v/>
      </c>
      <c r="OO12" s="170">
        <f>SUMPRODUCT((Settings!$G$14:$G$43=$B12)*COUNTIF('INPUT - Roster'!$PE$6:$PE$206,"*"&amp;Settings!$F$14:$F$43&amp;"*"))</f>
        <v/>
      </c>
      <c r="OP12" s="170">
        <f>SUMPRODUCT((Settings!$G$14:$G$43=$B12)*COUNTIF('INPUT - Roster'!$PF$6:$PF$206,"*"&amp;Settings!$F$14:$F$43&amp;"*"))</f>
        <v/>
      </c>
      <c r="OQ12" s="170">
        <f>SUMPRODUCT((Settings!$G$14:$G$43=$B12)*COUNTIF('INPUT - Roster'!$PG$6:$PG$206,"*"&amp;Settings!$F$14:$F$43&amp;"*"))</f>
        <v/>
      </c>
      <c r="OR12" s="170">
        <f>SUMPRODUCT((Settings!$G$14:$G$43=$B12)*COUNTIF('INPUT - Roster'!$PH$6:$PH$206,"*"&amp;Settings!$F$14:$F$43&amp;"*"))</f>
        <v/>
      </c>
      <c r="OS12" s="170">
        <f>SUMPRODUCT((Settings!$G$14:$G$43=$B12)*COUNTIF('INPUT - Roster'!$PI$6:$PI$206,"*"&amp;Settings!$F$14:$F$43&amp;"*"))</f>
        <v/>
      </c>
      <c r="OT12" s="170">
        <f>SUMPRODUCT((Settings!$G$14:$G$43=$B12)*COUNTIF('INPUT - Roster'!$PJ$6:$PJ$206,"*"&amp;Settings!$F$14:$F$43&amp;"*"))</f>
        <v/>
      </c>
      <c r="OU12" s="170">
        <f>SUMPRODUCT((Settings!$G$14:$G$43=$B12)*COUNTIF('INPUT - Roster'!$PK$6:$PK$206,"*"&amp;Settings!$F$14:$F$43&amp;"*"))</f>
        <v/>
      </c>
      <c r="OV12" s="170">
        <f>SUMPRODUCT((Settings!$G$14:$G$43=$B12)*COUNTIF('INPUT - Roster'!$PL$6:$PL$206,"*"&amp;Settings!$F$14:$F$43&amp;"*"))</f>
        <v/>
      </c>
      <c r="OW12" s="170">
        <f>SUMPRODUCT((Settings!$G$14:$G$43=$B12)*COUNTIF('INPUT - Roster'!$PM$6:$PM$206,"*"&amp;Settings!$F$14:$F$43&amp;"*"))</f>
        <v/>
      </c>
      <c r="OX12" s="170">
        <f>SUMPRODUCT((Settings!$G$14:$G$43=$B12)*COUNTIF('INPUT - Roster'!$PN$6:$PN$206,"*"&amp;Settings!$F$14:$F$43&amp;"*"))</f>
        <v/>
      </c>
      <c r="OY12" s="170">
        <f>SUMPRODUCT((Settings!$G$14:$G$43=$B12)*COUNTIF('INPUT - Roster'!$PO$6:$PO$206,"*"&amp;Settings!$F$14:$F$43&amp;"*"))</f>
        <v/>
      </c>
      <c r="OZ12" s="170">
        <f>SUMPRODUCT((Settings!$G$14:$G$43=$B12)*COUNTIF('INPUT - Roster'!$PP$6:$PP$206,"*"&amp;Settings!$F$14:$F$43&amp;"*"))</f>
        <v/>
      </c>
      <c r="PA12" s="170">
        <f>SUMPRODUCT((Settings!$G$14:$G$43=$B12)*COUNTIF('INPUT - Roster'!$PQ$6:$PQ$206,"*"&amp;Settings!$F$14:$F$43&amp;"*"))</f>
        <v/>
      </c>
      <c r="PB12" s="170">
        <f>SUMPRODUCT((Settings!$G$14:$G$43=$B12)*COUNTIF('INPUT - Roster'!$PR$6:$PR$206,"*"&amp;Settings!$F$14:$F$43&amp;"*"))</f>
        <v/>
      </c>
      <c r="PC12" s="170">
        <f>SUMPRODUCT((Settings!$G$14:$G$43=$B12)*COUNTIF('INPUT - Roster'!$PS$6:$PS$206,"*"&amp;Settings!$F$14:$F$43&amp;"*"))</f>
        <v/>
      </c>
      <c r="PD12" s="170">
        <f>SUMPRODUCT((Settings!$G$14:$G$43=$B12)*COUNTIF('INPUT - Roster'!$PT$6:$PT$206,"*"&amp;Settings!$F$14:$F$43&amp;"*"))</f>
        <v/>
      </c>
      <c r="PE12" s="170">
        <f>SUMPRODUCT((Settings!$G$14:$G$43=$B12)*COUNTIF('INPUT - Roster'!$PU$6:$PU$206,"*"&amp;Settings!$F$14:$F$43&amp;"*"))</f>
        <v/>
      </c>
      <c r="PF12" s="170">
        <f>SUMPRODUCT((Settings!$G$14:$G$43=$B12)*COUNTIF('INPUT - Roster'!$PV$6:$PV$206,"*"&amp;Settings!$F$14:$F$43&amp;"*"))</f>
        <v/>
      </c>
      <c r="PG12" s="170">
        <f>SUMPRODUCT((Settings!$G$14:$G$43=$B12)*COUNTIF('INPUT - Roster'!$PW$6:$PW$206,"*"&amp;Settings!$F$14:$F$43&amp;"*"))</f>
        <v/>
      </c>
      <c r="PH12" s="170">
        <f>SUMPRODUCT((Settings!$G$14:$G$43=$B12)*COUNTIF('INPUT - Roster'!$PX$6:$PX$206,"*"&amp;Settings!$F$14:$F$43&amp;"*"))</f>
        <v/>
      </c>
      <c r="PI12" s="170">
        <f>SUMPRODUCT((Settings!$G$14:$G$43=$B12)*COUNTIF('INPUT - Roster'!$PY$6:$PY$206,"*"&amp;Settings!$F$14:$F$43&amp;"*"))</f>
        <v/>
      </c>
      <c r="PJ12" s="170">
        <f>SUMPRODUCT((Settings!$G$14:$G$43=$B12)*COUNTIF('INPUT - Roster'!$PZ$6:$PZ$206,"*"&amp;Settings!$F$14:$F$43&amp;"*"))</f>
        <v/>
      </c>
      <c r="PK12" s="170">
        <f>SUMPRODUCT((Settings!$G$14:$G$43=$B12)*COUNTIF('INPUT - Roster'!$QA$6:$QA$206,"*"&amp;Settings!$F$14:$F$43&amp;"*"))</f>
        <v/>
      </c>
      <c r="PL12" s="170">
        <f>SUMPRODUCT((Settings!$G$14:$G$43=$B12)*COUNTIF('INPUT - Roster'!$QB$6:$QB$206,"*"&amp;Settings!$F$14:$F$43&amp;"*"))</f>
        <v/>
      </c>
      <c r="PM12" s="170">
        <f>SUMPRODUCT((Settings!$G$14:$G$43=$B12)*COUNTIF('INPUT - Roster'!$QC$6:$QC$206,"*"&amp;Settings!$F$14:$F$43&amp;"*"))</f>
        <v/>
      </c>
      <c r="PN12" s="170">
        <f>SUMPRODUCT((Settings!$G$14:$G$43=$B12)*COUNTIF('INPUT - Roster'!$QD$6:$QD$206,"*"&amp;Settings!$F$14:$F$43&amp;"*"))</f>
        <v/>
      </c>
      <c r="PO12" s="170">
        <f>SUMPRODUCT((Settings!$G$14:$G$43=$B12)*COUNTIF('INPUT - Roster'!$QE$6:$QE$206,"*"&amp;Settings!$F$14:$F$43&amp;"*"))</f>
        <v/>
      </c>
      <c r="PP12" s="170">
        <f>SUMPRODUCT((Settings!$G$14:$G$43=$B12)*COUNTIF('INPUT - Roster'!$QF$6:$QF$206,"*"&amp;Settings!$F$14:$F$43&amp;"*"))</f>
        <v/>
      </c>
      <c r="PQ12" s="170">
        <f>SUMPRODUCT((Settings!$G$14:$G$43=$B12)*COUNTIF('INPUT - Roster'!$QG$6:$QG$206,"*"&amp;Settings!$F$14:$F$43&amp;"*"))</f>
        <v/>
      </c>
      <c r="PR12" s="170">
        <f>SUMPRODUCT((Settings!$G$14:$G$43=$B12)*COUNTIF('INPUT - Roster'!$QH$6:$QH$206,"*"&amp;Settings!$F$14:$F$43&amp;"*"))</f>
        <v/>
      </c>
      <c r="PS12" s="170">
        <f>SUMPRODUCT((Settings!$G$14:$G$43=$B12)*COUNTIF('INPUT - Roster'!$QI$6:$QI$206,"*"&amp;Settings!$F$14:$F$43&amp;"*"))</f>
        <v/>
      </c>
      <c r="PT12" s="170">
        <f>SUMPRODUCT((Settings!$G$14:$G$43=$B12)*COUNTIF('INPUT - Roster'!$QJ$6:$QJ$206,"*"&amp;Settings!$F$14:$F$43&amp;"*"))</f>
        <v/>
      </c>
      <c r="PU12" s="170">
        <f>SUMPRODUCT((Settings!$G$14:$G$43=$B12)*COUNTIF('INPUT - Roster'!$QK$6:$QK$206,"*"&amp;Settings!$F$14:$F$43&amp;"*"))</f>
        <v/>
      </c>
      <c r="PV12" s="170">
        <f>SUMPRODUCT((Settings!$G$14:$G$43=$B12)*COUNTIF('INPUT - Roster'!$QL$6:$QL$206,"*"&amp;Settings!$F$14:$F$43&amp;"*"))</f>
        <v/>
      </c>
      <c r="PW12" s="170">
        <f>SUMPRODUCT((Settings!$G$14:$G$43=$B12)*COUNTIF('INPUT - Roster'!$QM$6:$QM$206,"*"&amp;Settings!$F$14:$F$43&amp;"*"))</f>
        <v/>
      </c>
      <c r="PX12" s="170">
        <f>SUMPRODUCT((Settings!$G$14:$G$43=$B12)*COUNTIF('INPUT - Roster'!$QN$6:$QN$206,"*"&amp;Settings!$F$14:$F$43&amp;"*"))</f>
        <v/>
      </c>
      <c r="PY12" s="170">
        <f>SUMPRODUCT((Settings!$G$14:$G$43=$B12)*COUNTIF('INPUT - Roster'!$QO$6:$QO$206,"*"&amp;Settings!$F$14:$F$43&amp;"*"))</f>
        <v/>
      </c>
      <c r="PZ12" s="170">
        <f>SUMPRODUCT((Settings!$G$14:$G$43=$B12)*COUNTIF('INPUT - Roster'!$QP$6:$QP$206,"*"&amp;Settings!$F$14:$F$43&amp;"*"))</f>
        <v/>
      </c>
      <c r="QA12" s="170">
        <f>SUMPRODUCT((Settings!$G$14:$G$43=$B12)*COUNTIF('INPUT - Roster'!$QQ$6:$QQ$206,"*"&amp;Settings!$F$14:$F$43&amp;"*"))</f>
        <v/>
      </c>
      <c r="QB12" s="170">
        <f>SUMPRODUCT((Settings!$G$14:$G$43=$B12)*COUNTIF('INPUT - Roster'!$QR$6:$QR$206,"*"&amp;Settings!$F$14:$F$43&amp;"*"))</f>
        <v/>
      </c>
      <c r="QC12" s="170">
        <f>SUMPRODUCT((Settings!$G$14:$G$43=$B12)*COUNTIF('INPUT - Roster'!$QS$6:$QS$206,"*"&amp;Settings!$F$14:$F$43&amp;"*"))</f>
        <v/>
      </c>
      <c r="QD12" s="170">
        <f>SUMPRODUCT((Settings!$G$14:$G$43=$B12)*COUNTIF('INPUT - Roster'!$QT$6:$QT$206,"*"&amp;Settings!$F$14:$F$43&amp;"*"))</f>
        <v/>
      </c>
      <c r="QE12" s="170">
        <f>SUMPRODUCT((Settings!$G$14:$G$43=$B12)*COUNTIF('INPUT - Roster'!$QU$6:$QU$206,"*"&amp;Settings!$F$14:$F$43&amp;"*"))</f>
        <v/>
      </c>
      <c r="QF12" s="170">
        <f>SUMPRODUCT((Settings!$G$14:$G$43=$B12)*COUNTIF('INPUT - Roster'!$QV$6:$QV$206,"*"&amp;Settings!$F$14:$F$43&amp;"*"))</f>
        <v/>
      </c>
      <c r="QG12" s="170">
        <f>SUMPRODUCT((Settings!$G$14:$G$43=$B12)*COUNTIF('INPUT - Roster'!$QW$6:$QW$206,"*"&amp;Settings!$F$14:$F$43&amp;"*"))</f>
        <v/>
      </c>
      <c r="QH12" s="170">
        <f>SUMPRODUCT((Settings!$G$14:$G$43=$B12)*COUNTIF('INPUT - Roster'!$QX$6:$QX$206,"*"&amp;Settings!$F$14:$F$43&amp;"*"))</f>
        <v/>
      </c>
      <c r="QI12" s="170">
        <f>SUMPRODUCT((Settings!$G$14:$G$43=$B12)*COUNTIF('INPUT - Roster'!$QY$6:$QY$206,"*"&amp;Settings!$F$14:$F$43&amp;"*"))</f>
        <v/>
      </c>
      <c r="QJ12" s="170">
        <f>SUMPRODUCT((Settings!$G$14:$G$43=$B12)*COUNTIF('INPUT - Roster'!$QZ$6:$QZ$206,"*"&amp;Settings!$F$14:$F$43&amp;"*"))</f>
        <v/>
      </c>
      <c r="QK12" s="170">
        <f>SUMPRODUCT((Settings!$G$14:$G$43=$B12)*COUNTIF('INPUT - Roster'!$RA$6:$RA$206,"*"&amp;Settings!$F$14:$F$43&amp;"*"))</f>
        <v/>
      </c>
      <c r="QL12" s="170">
        <f>SUMPRODUCT((Settings!$G$14:$G$43=$B12)*COUNTIF('INPUT - Roster'!$RB$6:$RB$206,"*"&amp;Settings!$F$14:$F$43&amp;"*"))</f>
        <v/>
      </c>
      <c r="QM12" s="170">
        <f>SUMPRODUCT((Settings!$G$14:$G$43=$B12)*COUNTIF('INPUT - Roster'!$RC$6:$RC$206,"*"&amp;Settings!$F$14:$F$43&amp;"*"))</f>
        <v/>
      </c>
      <c r="QN12" s="170">
        <f>SUMPRODUCT((Settings!$G$14:$G$43=$B12)*COUNTIF('INPUT - Roster'!$RD$6:$RD$206,"*"&amp;Settings!$F$14:$F$43&amp;"*"))</f>
        <v/>
      </c>
      <c r="QO12" s="170">
        <f>SUMPRODUCT((Settings!$G$14:$G$43=$B12)*COUNTIF('INPUT - Roster'!$RE$6:$RE$206,"*"&amp;Settings!$F$14:$F$43&amp;"*"))</f>
        <v/>
      </c>
      <c r="QP12" s="170">
        <f>SUMPRODUCT((Settings!$G$14:$G$43=$B12)*COUNTIF('INPUT - Roster'!$RF$6:$RF$206,"*"&amp;Settings!$F$14:$F$43&amp;"*"))</f>
        <v/>
      </c>
      <c r="QQ12" s="170">
        <f>SUMPRODUCT((Settings!$G$14:$G$43=$B12)*COUNTIF('INPUT - Roster'!$RG$6:$RG$206,"*"&amp;Settings!$F$14:$F$43&amp;"*"))</f>
        <v/>
      </c>
      <c r="QR12" s="170">
        <f>SUMPRODUCT((Settings!$G$14:$G$43=$B12)*COUNTIF('INPUT - Roster'!$RH$6:$RH$206,"*"&amp;Settings!$F$14:$F$43&amp;"*"))</f>
        <v/>
      </c>
      <c r="QS12" s="170">
        <f>SUMPRODUCT((Settings!$G$14:$G$43=$B12)*COUNTIF('INPUT - Roster'!$RI$6:$RI$206,"*"&amp;Settings!$F$14:$F$43&amp;"*"))</f>
        <v/>
      </c>
      <c r="QT12" s="170">
        <f>SUMPRODUCT((Settings!$G$14:$G$43=$B12)*COUNTIF('INPUT - Roster'!$RJ$6:$RJ$206,"*"&amp;Settings!$F$14:$F$43&amp;"*"))</f>
        <v/>
      </c>
      <c r="QU12" s="170">
        <f>SUMPRODUCT((Settings!$G$14:$G$43=$B12)*COUNTIF('INPUT - Roster'!$RK$6:$RK$206,"*"&amp;Settings!$F$14:$F$43&amp;"*"))</f>
        <v/>
      </c>
      <c r="QV12" s="170">
        <f>SUMPRODUCT((Settings!$G$14:$G$43=$B12)*COUNTIF('INPUT - Roster'!$RL$6:$RL$206,"*"&amp;Settings!$F$14:$F$43&amp;"*"))</f>
        <v/>
      </c>
      <c r="QW12" s="170">
        <f>SUMPRODUCT((Settings!$G$14:$G$43=$B12)*COUNTIF('INPUT - Roster'!$RM$6:$RM$206,"*"&amp;Settings!$F$14:$F$43&amp;"*"))</f>
        <v/>
      </c>
      <c r="QX12" s="170">
        <f>SUMPRODUCT((Settings!$G$14:$G$43=$B12)*COUNTIF('INPUT - Roster'!$RN$6:$RN$206,"*"&amp;Settings!$F$14:$F$43&amp;"*"))</f>
        <v/>
      </c>
      <c r="QY12" s="170">
        <f>SUMPRODUCT((Settings!$G$14:$G$43=$B12)*COUNTIF('INPUT - Roster'!$RO$6:$RO$206,"*"&amp;Settings!$F$14:$F$43&amp;"*"))</f>
        <v/>
      </c>
      <c r="QZ12" s="170">
        <f>SUMPRODUCT((Settings!$G$14:$G$43=$B12)*COUNTIF('INPUT - Roster'!$RP$6:$RP$206,"*"&amp;Settings!$F$14:$F$43&amp;"*"))</f>
        <v/>
      </c>
      <c r="RA12" s="170">
        <f>SUMPRODUCT((Settings!$G$14:$G$43=$B12)*COUNTIF('INPUT - Roster'!$RQ$6:$RQ$206,"*"&amp;Settings!$F$14:$F$43&amp;"*"))</f>
        <v/>
      </c>
      <c r="RB12" s="170">
        <f>SUMPRODUCT((Settings!$G$14:$G$43=$B12)*COUNTIF('INPUT - Roster'!$RR$6:$RR$206,"*"&amp;Settings!$F$14:$F$43&amp;"*"))</f>
        <v/>
      </c>
      <c r="RC12" s="170">
        <f>SUMPRODUCT((Settings!$G$14:$G$43=$B12)*COUNTIF('INPUT - Roster'!$RS$6:$RS$206,"*"&amp;Settings!$F$14:$F$43&amp;"*"))</f>
        <v/>
      </c>
      <c r="RD12" s="170">
        <f>SUMPRODUCT((Settings!$G$14:$G$43=$B12)*COUNTIF('INPUT - Roster'!$RT$6:$RT$206,"*"&amp;Settings!$F$14:$F$43&amp;"*"))</f>
        <v/>
      </c>
      <c r="RE12" s="170">
        <f>SUMPRODUCT((Settings!$G$14:$G$43=$B12)*COUNTIF('INPUT - Roster'!$RU$6:$RU$206,"*"&amp;Settings!$F$14:$F$43&amp;"*"))</f>
        <v/>
      </c>
      <c r="RF12" s="170">
        <f>SUMPRODUCT((Settings!$G$14:$G$43=$B12)*COUNTIF('INPUT - Roster'!$RV$6:$RV$206,"*"&amp;Settings!$F$14:$F$43&amp;"*"))</f>
        <v/>
      </c>
      <c r="RG12" s="170">
        <f>SUMPRODUCT((Settings!$G$14:$G$43=$B12)*COUNTIF('INPUT - Roster'!$RW$6:$RW$206,"*"&amp;Settings!$F$14:$F$43&amp;"*"))</f>
        <v/>
      </c>
      <c r="RH12" s="170">
        <f>SUMPRODUCT((Settings!$G$14:$G$43=$B12)*COUNTIF('INPUT - Roster'!$RX$6:$RX$206,"*"&amp;Settings!$F$14:$F$43&amp;"*"))</f>
        <v/>
      </c>
      <c r="RI12" s="170">
        <f>SUMPRODUCT((Settings!$G$14:$G$43=$B12)*COUNTIF('INPUT - Roster'!$RY$6:$RY$206,"*"&amp;Settings!$F$14:$F$43&amp;"*"))</f>
        <v/>
      </c>
      <c r="RJ12" s="170">
        <f>SUMPRODUCT((Settings!$G$14:$G$43=$B12)*COUNTIF('INPUT - Roster'!$RZ$6:$RZ$206,"*"&amp;Settings!$F$14:$F$43&amp;"*"))</f>
        <v/>
      </c>
      <c r="RK12" s="170">
        <f>SUMPRODUCT((Settings!$G$14:$G$43=$B12)*COUNTIF('INPUT - Roster'!$SA$6:$SA$206,"*"&amp;Settings!$F$14:$F$43&amp;"*"))</f>
        <v/>
      </c>
      <c r="RL12" s="170">
        <f>SUMPRODUCT((Settings!$G$14:$G$43=$B12)*COUNTIF('INPUT - Roster'!$SB$6:$SB$206,"*"&amp;Settings!$F$14:$F$43&amp;"*"))</f>
        <v/>
      </c>
      <c r="RM12" s="170">
        <f>SUMPRODUCT((Settings!$G$14:$G$43=$B12)*COUNTIF('INPUT - Roster'!$SC$6:$SC$206,"*"&amp;Settings!$F$14:$F$43&amp;"*"))</f>
        <v/>
      </c>
      <c r="RN12" s="170">
        <f>SUMPRODUCT((Settings!$G$14:$G$43=$B12)*COUNTIF('INPUT - Roster'!$SD$6:$SD$206,"*"&amp;Settings!$F$14:$F$43&amp;"*"))</f>
        <v/>
      </c>
      <c r="RO12" s="170">
        <f>SUMPRODUCT((Settings!$G$14:$G$43=$B12)*COUNTIF('INPUT - Roster'!$SE$6:$SE$206,"*"&amp;Settings!$F$14:$F$43&amp;"*"))</f>
        <v/>
      </c>
      <c r="RP12" s="170">
        <f>SUMPRODUCT((Settings!$G$14:$G$43=$B12)*COUNTIF('INPUT - Roster'!$SF$6:$SF$206,"*"&amp;Settings!$F$14:$F$43&amp;"*"))</f>
        <v/>
      </c>
      <c r="RQ12" s="170">
        <f>SUMPRODUCT((Settings!$G$14:$G$43=$B12)*COUNTIF('INPUT - Roster'!$SG$6:$SG$206,"*"&amp;Settings!$F$14:$F$43&amp;"*"))</f>
        <v/>
      </c>
      <c r="RR12" s="170">
        <f>SUMPRODUCT((Settings!$G$14:$G$43=$B12)*COUNTIF('INPUT - Roster'!$SH$6:$SH$206,"*"&amp;Settings!$F$14:$F$43&amp;"*"))</f>
        <v/>
      </c>
      <c r="RS12" s="170">
        <f>SUMPRODUCT((Settings!$G$14:$G$43=$B12)*COUNTIF('INPUT - Roster'!$SI$6:$SI$206,"*"&amp;Settings!$F$14:$F$43&amp;"*"))</f>
        <v/>
      </c>
      <c r="RT12" s="170">
        <f>SUMPRODUCT((Settings!$G$14:$G$43=$B12)*COUNTIF('INPUT - Roster'!$SJ$6:$SJ$206,"*"&amp;Settings!$F$14:$F$43&amp;"*"))</f>
        <v/>
      </c>
      <c r="RU12" s="170">
        <f>SUMPRODUCT((Settings!$G$14:$G$43=$B12)*COUNTIF('INPUT - Roster'!$SK$6:$SK$206,"*"&amp;Settings!$F$14:$F$43&amp;"*"))</f>
        <v/>
      </c>
      <c r="RV12" s="170">
        <f>SUMPRODUCT((Settings!$G$14:$G$43=$B12)*COUNTIF('INPUT - Roster'!$SL$6:$SL$206,"*"&amp;Settings!$F$14:$F$43&amp;"*"))</f>
        <v/>
      </c>
      <c r="RW12" s="170">
        <f>SUMPRODUCT((Settings!$G$14:$G$43=$B12)*COUNTIF('INPUT - Roster'!$SM$6:$SM$206,"*"&amp;Settings!$F$14:$F$43&amp;"*"))</f>
        <v/>
      </c>
      <c r="RX12" s="170">
        <f>SUMPRODUCT((Settings!$G$14:$G$43=$B12)*COUNTIF('INPUT - Roster'!$SN$6:$SN$206,"*"&amp;Settings!$F$14:$F$43&amp;"*"))</f>
        <v/>
      </c>
      <c r="RY12" s="170">
        <f>SUMPRODUCT((Settings!$G$14:$G$43=$B12)*COUNTIF('INPUT - Roster'!$SO$6:$SO$206,"*"&amp;Settings!$F$14:$F$43&amp;"*"))</f>
        <v/>
      </c>
      <c r="RZ12" s="170">
        <f>SUMPRODUCT((Settings!$G$14:$G$43=$B12)*COUNTIF('INPUT - Roster'!$SP$6:$SP$206,"*"&amp;Settings!$F$14:$F$43&amp;"*"))</f>
        <v/>
      </c>
      <c r="SA12" s="170">
        <f>SUMPRODUCT((Settings!$G$14:$G$43=$B12)*COUNTIF('INPUT - Roster'!$SQ$6:$SQ$206,"*"&amp;Settings!$F$14:$F$43&amp;"*"))</f>
        <v/>
      </c>
      <c r="SB12" s="170">
        <f>SUMPRODUCT((Settings!$G$14:$G$43=$B12)*COUNTIF('INPUT - Roster'!$SR$6:$SR$206,"*"&amp;Settings!$F$14:$F$43&amp;"*"))</f>
        <v/>
      </c>
      <c r="SC12" s="170">
        <f>SUMPRODUCT((Settings!$G$14:$G$43=$B12)*COUNTIF('INPUT - Roster'!$SS$6:$SS$206,"*"&amp;Settings!$F$14:$F$43&amp;"*"))</f>
        <v/>
      </c>
      <c r="SD12" s="170">
        <f>SUMPRODUCT((Settings!$G$14:$G$43=$B12)*COUNTIF('INPUT - Roster'!$ST$6:$ST$206,"*"&amp;Settings!$F$14:$F$43&amp;"*"))</f>
        <v/>
      </c>
      <c r="SE12" s="170">
        <f>SUMPRODUCT((Settings!$G$14:$G$43=$B12)*COUNTIF('INPUT - Roster'!$SU$6:$SU$206,"*"&amp;Settings!$F$14:$F$43&amp;"*"))</f>
        <v/>
      </c>
      <c r="SF12" s="170">
        <f>SUMPRODUCT((Settings!$G$14:$G$43=$B12)*COUNTIF('INPUT - Roster'!$SV$6:$SV$206,"*"&amp;Settings!$F$14:$F$43&amp;"*"))</f>
        <v/>
      </c>
    </row>
    <row r="13">
      <c r="B13" s="169" t="inlineStr">
        <is>
          <t>Warrawandu</t>
        </is>
      </c>
      <c r="C13" s="170">
        <f>SUMPRODUCT((Settings!$G$14:$G$43=$B13)*COUNTIF('INPUT - Roster'!$S$6:$S$206,"*"&amp;Settings!$F$14:$F$43&amp;"*"))</f>
        <v/>
      </c>
      <c r="D13" s="170">
        <f>SUMPRODUCT((Settings!$G$14:$G$43=$B13)*COUNTIF('INPUT - Roster'!$T$6:$T$206,"*"&amp;Settings!$F$14:$F$43&amp;"*"))</f>
        <v/>
      </c>
      <c r="E13" s="170">
        <f>SUMPRODUCT((Settings!$G$14:$G$43=$B13)*COUNTIF('INPUT - Roster'!$U$6:$U$206,"*"&amp;Settings!$F$14:$F$43&amp;"*"))</f>
        <v/>
      </c>
      <c r="F13" s="170">
        <f>SUMPRODUCT((Settings!$G$14:$G$43=$B13)*COUNTIF('INPUT - Roster'!$V$6:$V$206,"*"&amp;Settings!$F$14:$F$43&amp;"*"))</f>
        <v/>
      </c>
      <c r="G13" s="170">
        <f>SUMPRODUCT((Settings!$G$14:$G$43=$B13)*COUNTIF('INPUT - Roster'!$W$6:$W$206,"*"&amp;Settings!$F$14:$F$43&amp;"*"))</f>
        <v/>
      </c>
      <c r="H13" s="170">
        <f>SUMPRODUCT((Settings!$G$14:$G$43=$B13)*COUNTIF('INPUT - Roster'!$X$6:$X$206,"*"&amp;Settings!$F$14:$F$43&amp;"*"))</f>
        <v/>
      </c>
      <c r="I13" s="170">
        <f>SUMPRODUCT((Settings!$G$14:$G$43=$B13)*COUNTIF('INPUT - Roster'!$Y$6:$Y$206,"*"&amp;Settings!$F$14:$F$43&amp;"*"))</f>
        <v/>
      </c>
      <c r="J13" s="170">
        <f>SUMPRODUCT((Settings!$G$14:$G$43=$B13)*COUNTIF('INPUT - Roster'!$Z$6:$Z$206,"*"&amp;Settings!$F$14:$F$43&amp;"*"))</f>
        <v/>
      </c>
      <c r="K13" s="170">
        <f>SUMPRODUCT((Settings!$G$14:$G$43=$B13)*COUNTIF('INPUT - Roster'!$AA$6:$AA$206,"*"&amp;Settings!$F$14:$F$43&amp;"*"))</f>
        <v/>
      </c>
      <c r="L13" s="170">
        <f>SUMPRODUCT((Settings!$G$14:$G$43=$B13)*COUNTIF('INPUT - Roster'!$AB$6:$AB$206,"*"&amp;Settings!$F$14:$F$43&amp;"*"))</f>
        <v/>
      </c>
      <c r="M13" s="170">
        <f>SUMPRODUCT((Settings!$G$14:$G$43=$B13)*COUNTIF('INPUT - Roster'!$AC$6:$AC$206,"*"&amp;Settings!$F$14:$F$43&amp;"*"))</f>
        <v/>
      </c>
      <c r="N13" s="170">
        <f>SUMPRODUCT((Settings!$G$14:$G$43=$B13)*COUNTIF('INPUT - Roster'!$AD$6:$AD$206,"*"&amp;Settings!$F$14:$F$43&amp;"*"))</f>
        <v/>
      </c>
      <c r="O13" s="170">
        <f>SUMPRODUCT((Settings!$G$14:$G$43=$B13)*COUNTIF('INPUT - Roster'!$AE$6:$AE$206,"*"&amp;Settings!$F$14:$F$43&amp;"*"))</f>
        <v/>
      </c>
      <c r="P13" s="170">
        <f>SUMPRODUCT((Settings!$G$14:$G$43=$B13)*COUNTIF('INPUT - Roster'!$AF$6:$AF$206,"*"&amp;Settings!$F$14:$F$43&amp;"*"))</f>
        <v/>
      </c>
      <c r="Q13" s="170">
        <f>SUMPRODUCT((Settings!$G$14:$G$43=$B13)*COUNTIF('INPUT - Roster'!$AG$6:$AG$206,"*"&amp;Settings!$F$14:$F$43&amp;"*"))</f>
        <v/>
      </c>
      <c r="R13" s="170">
        <f>SUMPRODUCT((Settings!$G$14:$G$43=$B13)*COUNTIF('INPUT - Roster'!$AH$6:$AH$206,"*"&amp;Settings!$F$14:$F$43&amp;"*"))</f>
        <v/>
      </c>
      <c r="S13" s="170">
        <f>SUMPRODUCT((Settings!$G$14:$G$43=$B13)*COUNTIF('INPUT - Roster'!$AI$6:$AI$206,"*"&amp;Settings!$F$14:$F$43&amp;"*"))</f>
        <v/>
      </c>
      <c r="T13" s="170">
        <f>SUMPRODUCT((Settings!$G$14:$G$43=$B13)*COUNTIF('INPUT - Roster'!$AJ$6:$AJ$206,"*"&amp;Settings!$F$14:$F$43&amp;"*"))</f>
        <v/>
      </c>
      <c r="U13" s="170">
        <f>SUMPRODUCT((Settings!$G$14:$G$43=$B13)*COUNTIF('INPUT - Roster'!$AK$6:$AK$206,"*"&amp;Settings!$F$14:$F$43&amp;"*"))</f>
        <v/>
      </c>
      <c r="V13" s="170">
        <f>SUMPRODUCT((Settings!$G$14:$G$43=$B13)*COUNTIF('INPUT - Roster'!$AL$6:$AL$206,"*"&amp;Settings!$F$14:$F$43&amp;"*"))</f>
        <v/>
      </c>
      <c r="W13" s="170">
        <f>SUMPRODUCT((Settings!$G$14:$G$43=$B13)*COUNTIF('INPUT - Roster'!$AM$6:$AM$206,"*"&amp;Settings!$F$14:$F$43&amp;"*"))</f>
        <v/>
      </c>
      <c r="X13" s="170">
        <f>SUMPRODUCT((Settings!$G$14:$G$43=$B13)*COUNTIF('INPUT - Roster'!$AN$6:$AN$206,"*"&amp;Settings!$F$14:$F$43&amp;"*"))</f>
        <v/>
      </c>
      <c r="Y13" s="170">
        <f>SUMPRODUCT((Settings!$G$14:$G$43=$B13)*COUNTIF('INPUT - Roster'!$AO$6:$AO$206,"*"&amp;Settings!$F$14:$F$43&amp;"*"))</f>
        <v/>
      </c>
      <c r="Z13" s="170">
        <f>SUMPRODUCT((Settings!$G$14:$G$43=$B13)*COUNTIF('INPUT - Roster'!$AP$6:$AP$206,"*"&amp;Settings!$F$14:$F$43&amp;"*"))</f>
        <v/>
      </c>
      <c r="AA13" s="170">
        <f>SUMPRODUCT((Settings!$G$14:$G$43=$B13)*COUNTIF('INPUT - Roster'!$AQ$6:$AQ$206,"*"&amp;Settings!$F$14:$F$43&amp;"*"))</f>
        <v/>
      </c>
      <c r="AB13" s="170">
        <f>SUMPRODUCT((Settings!$G$14:$G$43=$B13)*COUNTIF('INPUT - Roster'!$AR$6:$AR$206,"*"&amp;Settings!$F$14:$F$43&amp;"*"))</f>
        <v/>
      </c>
      <c r="AC13" s="170">
        <f>SUMPRODUCT((Settings!$G$14:$G$43=$B13)*COUNTIF('INPUT - Roster'!$AS$6:$AS$206,"*"&amp;Settings!$F$14:$F$43&amp;"*"))</f>
        <v/>
      </c>
      <c r="AD13" s="170">
        <f>SUMPRODUCT((Settings!$G$14:$G$43=$B13)*COUNTIF('INPUT - Roster'!$AT$6:$AT$206,"*"&amp;Settings!$F$14:$F$43&amp;"*"))</f>
        <v/>
      </c>
      <c r="AE13" s="170">
        <f>SUMPRODUCT((Settings!$G$14:$G$43=$B13)*COUNTIF('INPUT - Roster'!$AU$6:$AU$206,"*"&amp;Settings!$F$14:$F$43&amp;"*"))</f>
        <v/>
      </c>
      <c r="AF13" s="170">
        <f>SUMPRODUCT((Settings!$G$14:$G$43=$B13)*COUNTIF('INPUT - Roster'!$AV$6:$AV$206,"*"&amp;Settings!$F$14:$F$43&amp;"*"))</f>
        <v/>
      </c>
      <c r="AG13" s="170">
        <f>SUMPRODUCT((Settings!$G$14:$G$43=$B13)*COUNTIF('INPUT - Roster'!$AW$6:$AW$206,"*"&amp;Settings!$F$14:$F$43&amp;"*"))</f>
        <v/>
      </c>
      <c r="AH13" s="170">
        <f>SUMPRODUCT((Settings!$G$14:$G$43=$B13)*COUNTIF('INPUT - Roster'!$AX$6:$AX$206,"*"&amp;Settings!$F$14:$F$43&amp;"*"))</f>
        <v/>
      </c>
      <c r="AI13" s="170">
        <f>SUMPRODUCT((Settings!$G$14:$G$43=$B13)*COUNTIF('INPUT - Roster'!$AY$6:$AY$206,"*"&amp;Settings!$F$14:$F$43&amp;"*"))</f>
        <v/>
      </c>
      <c r="AJ13" s="170">
        <f>SUMPRODUCT((Settings!$G$14:$G$43=$B13)*COUNTIF('INPUT - Roster'!$AZ$6:$AZ$206,"*"&amp;Settings!$F$14:$F$43&amp;"*"))</f>
        <v/>
      </c>
      <c r="AK13" s="170">
        <f>SUMPRODUCT((Settings!$G$14:$G$43=$B13)*COUNTIF('INPUT - Roster'!$BA$6:$BA$206,"*"&amp;Settings!$F$14:$F$43&amp;"*"))</f>
        <v/>
      </c>
      <c r="AL13" s="170">
        <f>SUMPRODUCT((Settings!$G$14:$G$43=$B13)*COUNTIF('INPUT - Roster'!$BB$6:$BB$206,"*"&amp;Settings!$F$14:$F$43&amp;"*"))</f>
        <v/>
      </c>
      <c r="AM13" s="170">
        <f>SUMPRODUCT((Settings!$G$14:$G$43=$B13)*COUNTIF('INPUT - Roster'!$BC$6:$BC$206,"*"&amp;Settings!$F$14:$F$43&amp;"*"))</f>
        <v/>
      </c>
      <c r="AN13" s="170">
        <f>SUMPRODUCT((Settings!$G$14:$G$43=$B13)*COUNTIF('INPUT - Roster'!$BD$6:$BD$206,"*"&amp;Settings!$F$14:$F$43&amp;"*"))</f>
        <v/>
      </c>
      <c r="AO13" s="170">
        <f>SUMPRODUCT((Settings!$G$14:$G$43=$B13)*COUNTIF('INPUT - Roster'!$BE$6:$BE$206,"*"&amp;Settings!$F$14:$F$43&amp;"*"))</f>
        <v/>
      </c>
      <c r="AP13" s="170">
        <f>SUMPRODUCT((Settings!$G$14:$G$43=$B13)*COUNTIF('INPUT - Roster'!$BF$6:$BF$206,"*"&amp;Settings!$F$14:$F$43&amp;"*"))</f>
        <v/>
      </c>
      <c r="AQ13" s="170">
        <f>SUMPRODUCT((Settings!$G$14:$G$43=$B13)*COUNTIF('INPUT - Roster'!$BG$6:$BG$206,"*"&amp;Settings!$F$14:$F$43&amp;"*"))</f>
        <v/>
      </c>
      <c r="AR13" s="170">
        <f>SUMPRODUCT((Settings!$G$14:$G$43=$B13)*COUNTIF('INPUT - Roster'!$BH$6:$BH$206,"*"&amp;Settings!$F$14:$F$43&amp;"*"))</f>
        <v/>
      </c>
      <c r="AS13" s="170">
        <f>SUMPRODUCT((Settings!$G$14:$G$43=$B13)*COUNTIF('INPUT - Roster'!$BI$6:$BI$206,"*"&amp;Settings!$F$14:$F$43&amp;"*"))</f>
        <v/>
      </c>
      <c r="AT13" s="170">
        <f>SUMPRODUCT((Settings!$G$14:$G$43=$B13)*COUNTIF('INPUT - Roster'!$BJ$6:$BJ$206,"*"&amp;Settings!$F$14:$F$43&amp;"*"))</f>
        <v/>
      </c>
      <c r="AU13" s="170">
        <f>SUMPRODUCT((Settings!$G$14:$G$43=$B13)*COUNTIF('INPUT - Roster'!$BK$6:$BK$206,"*"&amp;Settings!$F$14:$F$43&amp;"*"))</f>
        <v/>
      </c>
      <c r="AV13" s="170">
        <f>SUMPRODUCT((Settings!$G$14:$G$43=$B13)*COUNTIF('INPUT - Roster'!$BL$6:$BL$206,"*"&amp;Settings!$F$14:$F$43&amp;"*"))</f>
        <v/>
      </c>
      <c r="AW13" s="170">
        <f>SUMPRODUCT((Settings!$G$14:$G$43=$B13)*COUNTIF('INPUT - Roster'!$BM$6:$BM$206,"*"&amp;Settings!$F$14:$F$43&amp;"*"))</f>
        <v/>
      </c>
      <c r="AX13" s="170">
        <f>SUMPRODUCT((Settings!$G$14:$G$43=$B13)*COUNTIF('INPUT - Roster'!$BN$6:$BN$206,"*"&amp;Settings!$F$14:$F$43&amp;"*"))</f>
        <v/>
      </c>
      <c r="AY13" s="170">
        <f>SUMPRODUCT((Settings!$G$14:$G$43=$B13)*COUNTIF('INPUT - Roster'!$BO$6:$BO$206,"*"&amp;Settings!$F$14:$F$43&amp;"*"))</f>
        <v/>
      </c>
      <c r="AZ13" s="170">
        <f>SUMPRODUCT((Settings!$G$14:$G$43=$B13)*COUNTIF('INPUT - Roster'!$BP$6:$BP$206,"*"&amp;Settings!$F$14:$F$43&amp;"*"))</f>
        <v/>
      </c>
      <c r="BA13" s="170">
        <f>SUMPRODUCT((Settings!$G$14:$G$43=$B13)*COUNTIF('INPUT - Roster'!$BQ$6:$BQ$206,"*"&amp;Settings!$F$14:$F$43&amp;"*"))</f>
        <v/>
      </c>
      <c r="BB13" s="170">
        <f>SUMPRODUCT((Settings!$G$14:$G$43=$B13)*COUNTIF('INPUT - Roster'!$BR$6:$BR$206,"*"&amp;Settings!$F$14:$F$43&amp;"*"))</f>
        <v/>
      </c>
      <c r="BC13" s="170">
        <f>SUMPRODUCT((Settings!$G$14:$G$43=$B13)*COUNTIF('INPUT - Roster'!$BS$6:$BS$206,"*"&amp;Settings!$F$14:$F$43&amp;"*"))</f>
        <v/>
      </c>
      <c r="BD13" s="170">
        <f>SUMPRODUCT((Settings!$G$14:$G$43=$B13)*COUNTIF('INPUT - Roster'!$BT$6:$BT$206,"*"&amp;Settings!$F$14:$F$43&amp;"*"))</f>
        <v/>
      </c>
      <c r="BE13" s="170">
        <f>SUMPRODUCT((Settings!$G$14:$G$43=$B13)*COUNTIF('INPUT - Roster'!$BU$6:$BU$206,"*"&amp;Settings!$F$14:$F$43&amp;"*"))</f>
        <v/>
      </c>
      <c r="BF13" s="170">
        <f>SUMPRODUCT((Settings!$G$14:$G$43=$B13)*COUNTIF('INPUT - Roster'!$BV$6:$BV$206,"*"&amp;Settings!$F$14:$F$43&amp;"*"))</f>
        <v/>
      </c>
      <c r="BG13" s="170">
        <f>SUMPRODUCT((Settings!$G$14:$G$43=$B13)*COUNTIF('INPUT - Roster'!$BW$6:$BW$206,"*"&amp;Settings!$F$14:$F$43&amp;"*"))</f>
        <v/>
      </c>
      <c r="BH13" s="170">
        <f>SUMPRODUCT((Settings!$G$14:$G$43=$B13)*COUNTIF('INPUT - Roster'!$BX$6:$BX$206,"*"&amp;Settings!$F$14:$F$43&amp;"*"))</f>
        <v/>
      </c>
      <c r="BI13" s="170">
        <f>SUMPRODUCT((Settings!$G$14:$G$43=$B13)*COUNTIF('INPUT - Roster'!$BY$6:$BY$206,"*"&amp;Settings!$F$14:$F$43&amp;"*"))</f>
        <v/>
      </c>
      <c r="BJ13" s="170">
        <f>SUMPRODUCT((Settings!$G$14:$G$43=$B13)*COUNTIF('INPUT - Roster'!$BZ$6:$BZ$206,"*"&amp;Settings!$F$14:$F$43&amp;"*"))</f>
        <v/>
      </c>
      <c r="BK13" s="170">
        <f>SUMPRODUCT((Settings!$G$14:$G$43=$B13)*COUNTIF('INPUT - Roster'!$CA$6:$CA$206,"*"&amp;Settings!$F$14:$F$43&amp;"*"))</f>
        <v/>
      </c>
      <c r="BL13" s="170">
        <f>SUMPRODUCT((Settings!$G$14:$G$43=$B13)*COUNTIF('INPUT - Roster'!$CB$6:$CB$206,"*"&amp;Settings!$F$14:$F$43&amp;"*"))</f>
        <v/>
      </c>
      <c r="BM13" s="170">
        <f>SUMPRODUCT((Settings!$G$14:$G$43=$B13)*COUNTIF('INPUT - Roster'!$CC$6:$CC$206,"*"&amp;Settings!$F$14:$F$43&amp;"*"))</f>
        <v/>
      </c>
      <c r="BN13" s="170">
        <f>SUMPRODUCT((Settings!$G$14:$G$43=$B13)*COUNTIF('INPUT - Roster'!$CD$6:$CD$206,"*"&amp;Settings!$F$14:$F$43&amp;"*"))</f>
        <v/>
      </c>
      <c r="BO13" s="170">
        <f>SUMPRODUCT((Settings!$G$14:$G$43=$B13)*COUNTIF('INPUT - Roster'!$CE$6:$CE$206,"*"&amp;Settings!$F$14:$F$43&amp;"*"))</f>
        <v/>
      </c>
      <c r="BP13" s="170">
        <f>SUMPRODUCT((Settings!$G$14:$G$43=$B13)*COUNTIF('INPUT - Roster'!$CF$6:$CF$206,"*"&amp;Settings!$F$14:$F$43&amp;"*"))</f>
        <v/>
      </c>
      <c r="BQ13" s="170">
        <f>SUMPRODUCT((Settings!$G$14:$G$43=$B13)*COUNTIF('INPUT - Roster'!$CG$6:$CG$206,"*"&amp;Settings!$F$14:$F$43&amp;"*"))</f>
        <v/>
      </c>
      <c r="BR13" s="170">
        <f>SUMPRODUCT((Settings!$G$14:$G$43=$B13)*COUNTIF('INPUT - Roster'!$CH$6:$CH$206,"*"&amp;Settings!$F$14:$F$43&amp;"*"))</f>
        <v/>
      </c>
      <c r="BS13" s="170">
        <f>SUMPRODUCT((Settings!$G$14:$G$43=$B13)*COUNTIF('INPUT - Roster'!$CI$6:$CI$206,"*"&amp;Settings!$F$14:$F$43&amp;"*"))</f>
        <v/>
      </c>
      <c r="BT13" s="170">
        <f>SUMPRODUCT((Settings!$G$14:$G$43=$B13)*COUNTIF('INPUT - Roster'!$CJ$6:$CJ$206,"*"&amp;Settings!$F$14:$F$43&amp;"*"))</f>
        <v/>
      </c>
      <c r="BU13" s="170">
        <f>SUMPRODUCT((Settings!$G$14:$G$43=$B13)*COUNTIF('INPUT - Roster'!$CK$6:$CK$206,"*"&amp;Settings!$F$14:$F$43&amp;"*"))</f>
        <v/>
      </c>
      <c r="BV13" s="170">
        <f>SUMPRODUCT((Settings!$G$14:$G$43=$B13)*COUNTIF('INPUT - Roster'!$CL$6:$CL$206,"*"&amp;Settings!$F$14:$F$43&amp;"*"))</f>
        <v/>
      </c>
      <c r="BW13" s="170">
        <f>SUMPRODUCT((Settings!$G$14:$G$43=$B13)*COUNTIF('INPUT - Roster'!$CM$6:$CM$206,"*"&amp;Settings!$F$14:$F$43&amp;"*"))</f>
        <v/>
      </c>
      <c r="BX13" s="170">
        <f>SUMPRODUCT((Settings!$G$14:$G$43=$B13)*COUNTIF('INPUT - Roster'!$CN$6:$CN$206,"*"&amp;Settings!$F$14:$F$43&amp;"*"))</f>
        <v/>
      </c>
      <c r="BY13" s="170">
        <f>SUMPRODUCT((Settings!$G$14:$G$43=$B13)*COUNTIF('INPUT - Roster'!$CO$6:$CO$206,"*"&amp;Settings!$F$14:$F$43&amp;"*"))</f>
        <v/>
      </c>
      <c r="BZ13" s="170">
        <f>SUMPRODUCT((Settings!$G$14:$G$43=$B13)*COUNTIF('INPUT - Roster'!$CP$6:$CP$206,"*"&amp;Settings!$F$14:$F$43&amp;"*"))</f>
        <v/>
      </c>
      <c r="CA13" s="170">
        <f>SUMPRODUCT((Settings!$G$14:$G$43=$B13)*COUNTIF('INPUT - Roster'!$CQ$6:$CQ$206,"*"&amp;Settings!$F$14:$F$43&amp;"*"))</f>
        <v/>
      </c>
      <c r="CB13" s="170">
        <f>SUMPRODUCT((Settings!$G$14:$G$43=$B13)*COUNTIF('INPUT - Roster'!$CR$6:$CR$206,"*"&amp;Settings!$F$14:$F$43&amp;"*"))</f>
        <v/>
      </c>
      <c r="CC13" s="170">
        <f>SUMPRODUCT((Settings!$G$14:$G$43=$B13)*COUNTIF('INPUT - Roster'!$CS$6:$CS$206,"*"&amp;Settings!$F$14:$F$43&amp;"*"))</f>
        <v/>
      </c>
      <c r="CD13" s="170">
        <f>SUMPRODUCT((Settings!$G$14:$G$43=$B13)*COUNTIF('INPUT - Roster'!$CT$6:$CT$206,"*"&amp;Settings!$F$14:$F$43&amp;"*"))</f>
        <v/>
      </c>
      <c r="CE13" s="170">
        <f>SUMPRODUCT((Settings!$G$14:$G$43=$B13)*COUNTIF('INPUT - Roster'!$CU$6:$CU$206,"*"&amp;Settings!$F$14:$F$43&amp;"*"))</f>
        <v/>
      </c>
      <c r="CF13" s="170">
        <f>SUMPRODUCT((Settings!$G$14:$G$43=$B13)*COUNTIF('INPUT - Roster'!$CV$6:$CV$206,"*"&amp;Settings!$F$14:$F$43&amp;"*"))</f>
        <v/>
      </c>
      <c r="CG13" s="170">
        <f>SUMPRODUCT((Settings!$G$14:$G$43=$B13)*COUNTIF('INPUT - Roster'!$CW$6:$CW$206,"*"&amp;Settings!$F$14:$F$43&amp;"*"))</f>
        <v/>
      </c>
      <c r="CH13" s="170">
        <f>SUMPRODUCT((Settings!$G$14:$G$43=$B13)*COUNTIF('INPUT - Roster'!$CX$6:$CX$206,"*"&amp;Settings!$F$14:$F$43&amp;"*"))</f>
        <v/>
      </c>
      <c r="CI13" s="170">
        <f>SUMPRODUCT((Settings!$G$14:$G$43=$B13)*COUNTIF('INPUT - Roster'!$CY$6:$CY$206,"*"&amp;Settings!$F$14:$F$43&amp;"*"))</f>
        <v/>
      </c>
      <c r="CJ13" s="170">
        <f>SUMPRODUCT((Settings!$G$14:$G$43=$B13)*COUNTIF('INPUT - Roster'!$CZ$6:$CZ$206,"*"&amp;Settings!$F$14:$F$43&amp;"*"))</f>
        <v/>
      </c>
      <c r="CK13" s="170">
        <f>SUMPRODUCT((Settings!$G$14:$G$43=$B13)*COUNTIF('INPUT - Roster'!$DA$6:$DA$206,"*"&amp;Settings!$F$14:$F$43&amp;"*"))</f>
        <v/>
      </c>
      <c r="CL13" s="170">
        <f>SUMPRODUCT((Settings!$G$14:$G$43=$B13)*COUNTIF('INPUT - Roster'!$DB$6:$DB$206,"*"&amp;Settings!$F$14:$F$43&amp;"*"))</f>
        <v/>
      </c>
      <c r="CM13" s="170">
        <f>SUMPRODUCT((Settings!$G$14:$G$43=$B13)*COUNTIF('INPUT - Roster'!$DC$6:$DC$206,"*"&amp;Settings!$F$14:$F$43&amp;"*"))</f>
        <v/>
      </c>
      <c r="CN13" s="170">
        <f>SUMPRODUCT((Settings!$G$14:$G$43=$B13)*COUNTIF('INPUT - Roster'!$DD$6:$DD$206,"*"&amp;Settings!$F$14:$F$43&amp;"*"))</f>
        <v/>
      </c>
      <c r="CO13" s="170">
        <f>SUMPRODUCT((Settings!$G$14:$G$43=$B13)*COUNTIF('INPUT - Roster'!$DE$6:$DE$206,"*"&amp;Settings!$F$14:$F$43&amp;"*"))</f>
        <v/>
      </c>
      <c r="CP13" s="170">
        <f>SUMPRODUCT((Settings!$G$14:$G$43=$B13)*COUNTIF('INPUT - Roster'!$DF$6:$DF$206,"*"&amp;Settings!$F$14:$F$43&amp;"*"))</f>
        <v/>
      </c>
      <c r="CQ13" s="170">
        <f>SUMPRODUCT((Settings!$G$14:$G$43=$B13)*COUNTIF('INPUT - Roster'!$DG$6:$DG$206,"*"&amp;Settings!$F$14:$F$43&amp;"*"))</f>
        <v/>
      </c>
      <c r="CR13" s="170">
        <f>SUMPRODUCT((Settings!$G$14:$G$43=$B13)*COUNTIF('INPUT - Roster'!$DH$6:$DH$206,"*"&amp;Settings!$F$14:$F$43&amp;"*"))</f>
        <v/>
      </c>
      <c r="CS13" s="170">
        <f>SUMPRODUCT((Settings!$G$14:$G$43=$B13)*COUNTIF('INPUT - Roster'!$DI$6:$DI$206,"*"&amp;Settings!$F$14:$F$43&amp;"*"))</f>
        <v/>
      </c>
      <c r="CT13" s="170">
        <f>SUMPRODUCT((Settings!$G$14:$G$43=$B13)*COUNTIF('INPUT - Roster'!$DJ$6:$DJ$206,"*"&amp;Settings!$F$14:$F$43&amp;"*"))</f>
        <v/>
      </c>
      <c r="CU13" s="170">
        <f>SUMPRODUCT((Settings!$G$14:$G$43=$B13)*COUNTIF('INPUT - Roster'!$DK$6:$DK$206,"*"&amp;Settings!$F$14:$F$43&amp;"*"))</f>
        <v/>
      </c>
      <c r="CV13" s="170">
        <f>SUMPRODUCT((Settings!$G$14:$G$43=$B13)*COUNTIF('INPUT - Roster'!$DL$6:$DL$206,"*"&amp;Settings!$F$14:$F$43&amp;"*"))</f>
        <v/>
      </c>
      <c r="CW13" s="170">
        <f>SUMPRODUCT((Settings!$G$14:$G$43=$B13)*COUNTIF('INPUT - Roster'!$DM$6:$DM$206,"*"&amp;Settings!$F$14:$F$43&amp;"*"))</f>
        <v/>
      </c>
      <c r="CX13" s="170">
        <f>SUMPRODUCT((Settings!$G$14:$G$43=$B13)*COUNTIF('INPUT - Roster'!$DN$6:$DN$206,"*"&amp;Settings!$F$14:$F$43&amp;"*"))</f>
        <v/>
      </c>
      <c r="CY13" s="170">
        <f>SUMPRODUCT((Settings!$G$14:$G$43=$B13)*COUNTIF('INPUT - Roster'!$DO$6:$DO$206,"*"&amp;Settings!$F$14:$F$43&amp;"*"))</f>
        <v/>
      </c>
      <c r="CZ13" s="170">
        <f>SUMPRODUCT((Settings!$G$14:$G$43=$B13)*COUNTIF('INPUT - Roster'!$DP$6:$DP$206,"*"&amp;Settings!$F$14:$F$43&amp;"*"))</f>
        <v/>
      </c>
      <c r="DA13" s="170">
        <f>SUMPRODUCT((Settings!$G$14:$G$43=$B13)*COUNTIF('INPUT - Roster'!$DQ$6:$DQ$206,"*"&amp;Settings!$F$14:$F$43&amp;"*"))</f>
        <v/>
      </c>
      <c r="DB13" s="170">
        <f>SUMPRODUCT((Settings!$G$14:$G$43=$B13)*COUNTIF('INPUT - Roster'!$DR$6:$DR$206,"*"&amp;Settings!$F$14:$F$43&amp;"*"))</f>
        <v/>
      </c>
      <c r="DC13" s="170">
        <f>SUMPRODUCT((Settings!$G$14:$G$43=$B13)*COUNTIF('INPUT - Roster'!$DS$6:$DS$206,"*"&amp;Settings!$F$14:$F$43&amp;"*"))</f>
        <v/>
      </c>
      <c r="DD13" s="170">
        <f>SUMPRODUCT((Settings!$G$14:$G$43=$B13)*COUNTIF('INPUT - Roster'!$DT$6:$DT$206,"*"&amp;Settings!$F$14:$F$43&amp;"*"))</f>
        <v/>
      </c>
      <c r="DE13" s="170">
        <f>SUMPRODUCT((Settings!$G$14:$G$43=$B13)*COUNTIF('INPUT - Roster'!$DU$6:$DU$206,"*"&amp;Settings!$F$14:$F$43&amp;"*"))</f>
        <v/>
      </c>
      <c r="DF13" s="170">
        <f>SUMPRODUCT((Settings!$G$14:$G$43=$B13)*COUNTIF('INPUT - Roster'!$DV$6:$DV$206,"*"&amp;Settings!$F$14:$F$43&amp;"*"))</f>
        <v/>
      </c>
      <c r="DG13" s="170">
        <f>SUMPRODUCT((Settings!$G$14:$G$43=$B13)*COUNTIF('INPUT - Roster'!$DW$6:$DW$206,"*"&amp;Settings!$F$14:$F$43&amp;"*"))</f>
        <v/>
      </c>
      <c r="DH13" s="170">
        <f>SUMPRODUCT((Settings!$G$14:$G$43=$B13)*COUNTIF('INPUT - Roster'!$DX$6:$DX$206,"*"&amp;Settings!$F$14:$F$43&amp;"*"))</f>
        <v/>
      </c>
      <c r="DI13" s="170">
        <f>SUMPRODUCT((Settings!$G$14:$G$43=$B13)*COUNTIF('INPUT - Roster'!$DY$6:$DY$206,"*"&amp;Settings!$F$14:$F$43&amp;"*"))</f>
        <v/>
      </c>
      <c r="DJ13" s="170">
        <f>SUMPRODUCT((Settings!$G$14:$G$43=$B13)*COUNTIF('INPUT - Roster'!$DZ$6:$DZ$206,"*"&amp;Settings!$F$14:$F$43&amp;"*"))</f>
        <v/>
      </c>
      <c r="DK13" s="170">
        <f>SUMPRODUCT((Settings!$G$14:$G$43=$B13)*COUNTIF('INPUT - Roster'!$EA$6:$EA$206,"*"&amp;Settings!$F$14:$F$43&amp;"*"))</f>
        <v/>
      </c>
      <c r="DL13" s="170">
        <f>SUMPRODUCT((Settings!$G$14:$G$43=$B13)*COUNTIF('INPUT - Roster'!$EB$6:$EB$206,"*"&amp;Settings!$F$14:$F$43&amp;"*"))</f>
        <v/>
      </c>
      <c r="DM13" s="170">
        <f>SUMPRODUCT((Settings!$G$14:$G$43=$B13)*COUNTIF('INPUT - Roster'!$EC$6:$EC$206,"*"&amp;Settings!$F$14:$F$43&amp;"*"))</f>
        <v/>
      </c>
      <c r="DN13" s="170">
        <f>SUMPRODUCT((Settings!$G$14:$G$43=$B13)*COUNTIF('INPUT - Roster'!$ED$6:$ED$206,"*"&amp;Settings!$F$14:$F$43&amp;"*"))</f>
        <v/>
      </c>
      <c r="DO13" s="170">
        <f>SUMPRODUCT((Settings!$G$14:$G$43=$B13)*COUNTIF('INPUT - Roster'!$EE$6:$EE$206,"*"&amp;Settings!$F$14:$F$43&amp;"*"))</f>
        <v/>
      </c>
      <c r="DP13" s="170">
        <f>SUMPRODUCT((Settings!$G$14:$G$43=$B13)*COUNTIF('INPUT - Roster'!$EF$6:$EF$206,"*"&amp;Settings!$F$14:$F$43&amp;"*"))</f>
        <v/>
      </c>
      <c r="DQ13" s="170">
        <f>SUMPRODUCT((Settings!$G$14:$G$43=$B13)*COUNTIF('INPUT - Roster'!$EG$6:$EG$206,"*"&amp;Settings!$F$14:$F$43&amp;"*"))</f>
        <v/>
      </c>
      <c r="DR13" s="170">
        <f>SUMPRODUCT((Settings!$G$14:$G$43=$B13)*COUNTIF('INPUT - Roster'!$EH$6:$EH$206,"*"&amp;Settings!$F$14:$F$43&amp;"*"))</f>
        <v/>
      </c>
      <c r="DS13" s="170">
        <f>SUMPRODUCT((Settings!$G$14:$G$43=$B13)*COUNTIF('INPUT - Roster'!$EI$6:$EI$206,"*"&amp;Settings!$F$14:$F$43&amp;"*"))</f>
        <v/>
      </c>
      <c r="DT13" s="170">
        <f>SUMPRODUCT((Settings!$G$14:$G$43=$B13)*COUNTIF('INPUT - Roster'!$EJ$6:$EJ$206,"*"&amp;Settings!$F$14:$F$43&amp;"*"))</f>
        <v/>
      </c>
      <c r="DU13" s="170">
        <f>SUMPRODUCT((Settings!$G$14:$G$43=$B13)*COUNTIF('INPUT - Roster'!$EK$6:$EK$206,"*"&amp;Settings!$F$14:$F$43&amp;"*"))</f>
        <v/>
      </c>
      <c r="DV13" s="170">
        <f>SUMPRODUCT((Settings!$G$14:$G$43=$B13)*COUNTIF('INPUT - Roster'!$EL$6:$EL$206,"*"&amp;Settings!$F$14:$F$43&amp;"*"))</f>
        <v/>
      </c>
      <c r="DW13" s="170">
        <f>SUMPRODUCT((Settings!$G$14:$G$43=$B13)*COUNTIF('INPUT - Roster'!$EM$6:$EM$206,"*"&amp;Settings!$F$14:$F$43&amp;"*"))</f>
        <v/>
      </c>
      <c r="DX13" s="170">
        <f>SUMPRODUCT((Settings!$G$14:$G$43=$B13)*COUNTIF('INPUT - Roster'!$EN$6:$EN$206,"*"&amp;Settings!$F$14:$F$43&amp;"*"))</f>
        <v/>
      </c>
      <c r="DY13" s="170">
        <f>SUMPRODUCT((Settings!$G$14:$G$43=$B13)*COUNTIF('INPUT - Roster'!$EO$6:$EO$206,"*"&amp;Settings!$F$14:$F$43&amp;"*"))</f>
        <v/>
      </c>
      <c r="DZ13" s="170">
        <f>SUMPRODUCT((Settings!$G$14:$G$43=$B13)*COUNTIF('INPUT - Roster'!$EP$6:$EP$206,"*"&amp;Settings!$F$14:$F$43&amp;"*"))</f>
        <v/>
      </c>
      <c r="EA13" s="170">
        <f>SUMPRODUCT((Settings!$G$14:$G$43=$B13)*COUNTIF('INPUT - Roster'!$EQ$6:$EQ$206,"*"&amp;Settings!$F$14:$F$43&amp;"*"))</f>
        <v/>
      </c>
      <c r="EB13" s="170">
        <f>SUMPRODUCT((Settings!$G$14:$G$43=$B13)*COUNTIF('INPUT - Roster'!$ER$6:$ER$206,"*"&amp;Settings!$F$14:$F$43&amp;"*"))</f>
        <v/>
      </c>
      <c r="EC13" s="170">
        <f>SUMPRODUCT((Settings!$G$14:$G$43=$B13)*COUNTIF('INPUT - Roster'!$ES$6:$ES$206,"*"&amp;Settings!$F$14:$F$43&amp;"*"))</f>
        <v/>
      </c>
      <c r="ED13" s="170">
        <f>SUMPRODUCT((Settings!$G$14:$G$43=$B13)*COUNTIF('INPUT - Roster'!$ET$6:$ET$206,"*"&amp;Settings!$F$14:$F$43&amp;"*"))</f>
        <v/>
      </c>
      <c r="EE13" s="170">
        <f>SUMPRODUCT((Settings!$G$14:$G$43=$B13)*COUNTIF('INPUT - Roster'!$EU$6:$EU$206,"*"&amp;Settings!$F$14:$F$43&amp;"*"))</f>
        <v/>
      </c>
      <c r="EF13" s="170">
        <f>SUMPRODUCT((Settings!$G$14:$G$43=$B13)*COUNTIF('INPUT - Roster'!$EV$6:$EV$206,"*"&amp;Settings!$F$14:$F$43&amp;"*"))</f>
        <v/>
      </c>
      <c r="EG13" s="170">
        <f>SUMPRODUCT((Settings!$G$14:$G$43=$B13)*COUNTIF('INPUT - Roster'!$EW$6:$EW$206,"*"&amp;Settings!$F$14:$F$43&amp;"*"))</f>
        <v/>
      </c>
      <c r="EH13" s="170">
        <f>SUMPRODUCT((Settings!$G$14:$G$43=$B13)*COUNTIF('INPUT - Roster'!$EX$6:$EX$206,"*"&amp;Settings!$F$14:$F$43&amp;"*"))</f>
        <v/>
      </c>
      <c r="EI13" s="170">
        <f>SUMPRODUCT((Settings!$G$14:$G$43=$B13)*COUNTIF('INPUT - Roster'!$EY$6:$EY$206,"*"&amp;Settings!$F$14:$F$43&amp;"*"))</f>
        <v/>
      </c>
      <c r="EJ13" s="170">
        <f>SUMPRODUCT((Settings!$G$14:$G$43=$B13)*COUNTIF('INPUT - Roster'!$EZ$6:$EZ$206,"*"&amp;Settings!$F$14:$F$43&amp;"*"))</f>
        <v/>
      </c>
      <c r="EK13" s="170">
        <f>SUMPRODUCT((Settings!$G$14:$G$43=$B13)*COUNTIF('INPUT - Roster'!$FA$6:$FA$206,"*"&amp;Settings!$F$14:$F$43&amp;"*"))</f>
        <v/>
      </c>
      <c r="EL13" s="170">
        <f>SUMPRODUCT((Settings!$G$14:$G$43=$B13)*COUNTIF('INPUT - Roster'!$FB$6:$FB$206,"*"&amp;Settings!$F$14:$F$43&amp;"*"))</f>
        <v/>
      </c>
      <c r="EM13" s="170">
        <f>SUMPRODUCT((Settings!$G$14:$G$43=$B13)*COUNTIF('INPUT - Roster'!$FC$6:$FC$206,"*"&amp;Settings!$F$14:$F$43&amp;"*"))</f>
        <v/>
      </c>
      <c r="EN13" s="170">
        <f>SUMPRODUCT((Settings!$G$14:$G$43=$B13)*COUNTIF('INPUT - Roster'!$FD$6:$FD$206,"*"&amp;Settings!$F$14:$F$43&amp;"*"))</f>
        <v/>
      </c>
      <c r="EO13" s="170">
        <f>SUMPRODUCT((Settings!$G$14:$G$43=$B13)*COUNTIF('INPUT - Roster'!$FE$6:$FE$206,"*"&amp;Settings!$F$14:$F$43&amp;"*"))</f>
        <v/>
      </c>
      <c r="EP13" s="170">
        <f>SUMPRODUCT((Settings!$G$14:$G$43=$B13)*COUNTIF('INPUT - Roster'!$FF$6:$FF$206,"*"&amp;Settings!$F$14:$F$43&amp;"*"))</f>
        <v/>
      </c>
      <c r="EQ13" s="170">
        <f>SUMPRODUCT((Settings!$G$14:$G$43=$B13)*COUNTIF('INPUT - Roster'!$FG$6:$FG$206,"*"&amp;Settings!$F$14:$F$43&amp;"*"))</f>
        <v/>
      </c>
      <c r="ER13" s="170">
        <f>SUMPRODUCT((Settings!$G$14:$G$43=$B13)*COUNTIF('INPUT - Roster'!$FH$6:$FH$206,"*"&amp;Settings!$F$14:$F$43&amp;"*"))</f>
        <v/>
      </c>
      <c r="ES13" s="170">
        <f>SUMPRODUCT((Settings!$G$14:$G$43=$B13)*COUNTIF('INPUT - Roster'!$FI$6:$FI$206,"*"&amp;Settings!$F$14:$F$43&amp;"*"))</f>
        <v/>
      </c>
      <c r="ET13" s="170">
        <f>SUMPRODUCT((Settings!$G$14:$G$43=$B13)*COUNTIF('INPUT - Roster'!$FJ$6:$FJ$206,"*"&amp;Settings!$F$14:$F$43&amp;"*"))</f>
        <v/>
      </c>
      <c r="EU13" s="170">
        <f>SUMPRODUCT((Settings!$G$14:$G$43=$B13)*COUNTIF('INPUT - Roster'!$FK$6:$FK$206,"*"&amp;Settings!$F$14:$F$43&amp;"*"))</f>
        <v/>
      </c>
      <c r="EV13" s="170">
        <f>SUMPRODUCT((Settings!$G$14:$G$43=$B13)*COUNTIF('INPUT - Roster'!$FL$6:$FL$206,"*"&amp;Settings!$F$14:$F$43&amp;"*"))</f>
        <v/>
      </c>
      <c r="EW13" s="170">
        <f>SUMPRODUCT((Settings!$G$14:$G$43=$B13)*COUNTIF('INPUT - Roster'!$FM$6:$FM$206,"*"&amp;Settings!$F$14:$F$43&amp;"*"))</f>
        <v/>
      </c>
      <c r="EX13" s="170">
        <f>SUMPRODUCT((Settings!$G$14:$G$43=$B13)*COUNTIF('INPUT - Roster'!$FN$6:$FN$206,"*"&amp;Settings!$F$14:$F$43&amp;"*"))</f>
        <v/>
      </c>
      <c r="EY13" s="170">
        <f>SUMPRODUCT((Settings!$G$14:$G$43=$B13)*COUNTIF('INPUT - Roster'!$FO$6:$FO$206,"*"&amp;Settings!$F$14:$F$43&amp;"*"))</f>
        <v/>
      </c>
      <c r="EZ13" s="170">
        <f>SUMPRODUCT((Settings!$G$14:$G$43=$B13)*COUNTIF('INPUT - Roster'!$FP$6:$FP$206,"*"&amp;Settings!$F$14:$F$43&amp;"*"))</f>
        <v/>
      </c>
      <c r="FA13" s="170">
        <f>SUMPRODUCT((Settings!$G$14:$G$43=$B13)*COUNTIF('INPUT - Roster'!$FQ$6:$FQ$206,"*"&amp;Settings!$F$14:$F$43&amp;"*"))</f>
        <v/>
      </c>
      <c r="FB13" s="170">
        <f>SUMPRODUCT((Settings!$G$14:$G$43=$B13)*COUNTIF('INPUT - Roster'!$FR$6:$FR$206,"*"&amp;Settings!$F$14:$F$43&amp;"*"))</f>
        <v/>
      </c>
      <c r="FC13" s="170">
        <f>SUMPRODUCT((Settings!$G$14:$G$43=$B13)*COUNTIF('INPUT - Roster'!$FS$6:$FS$206,"*"&amp;Settings!$F$14:$F$43&amp;"*"))</f>
        <v/>
      </c>
      <c r="FD13" s="170">
        <f>SUMPRODUCT((Settings!$G$14:$G$43=$B13)*COUNTIF('INPUT - Roster'!$FT$6:$FT$206,"*"&amp;Settings!$F$14:$F$43&amp;"*"))</f>
        <v/>
      </c>
      <c r="FE13" s="170">
        <f>SUMPRODUCT((Settings!$G$14:$G$43=$B13)*COUNTIF('INPUT - Roster'!$FU$6:$FU$206,"*"&amp;Settings!$F$14:$F$43&amp;"*"))</f>
        <v/>
      </c>
      <c r="FF13" s="170">
        <f>SUMPRODUCT((Settings!$G$14:$G$43=$B13)*COUNTIF('INPUT - Roster'!$FV$6:$FV$206,"*"&amp;Settings!$F$14:$F$43&amp;"*"))</f>
        <v/>
      </c>
      <c r="FG13" s="170">
        <f>SUMPRODUCT((Settings!$G$14:$G$43=$B13)*COUNTIF('INPUT - Roster'!$FW$6:$FW$206,"*"&amp;Settings!$F$14:$F$43&amp;"*"))</f>
        <v/>
      </c>
      <c r="FH13" s="170">
        <f>SUMPRODUCT((Settings!$G$14:$G$43=$B13)*COUNTIF('INPUT - Roster'!$FX$6:$FX$206,"*"&amp;Settings!$F$14:$F$43&amp;"*"))</f>
        <v/>
      </c>
      <c r="FI13" s="170">
        <f>SUMPRODUCT((Settings!$G$14:$G$43=$B13)*COUNTIF('INPUT - Roster'!$FY$6:$FY$206,"*"&amp;Settings!$F$14:$F$43&amp;"*"))</f>
        <v/>
      </c>
      <c r="FJ13" s="170">
        <f>SUMPRODUCT((Settings!$G$14:$G$43=$B13)*COUNTIF('INPUT - Roster'!$FZ$6:$FZ$206,"*"&amp;Settings!$F$14:$F$43&amp;"*"))</f>
        <v/>
      </c>
      <c r="FK13" s="170">
        <f>SUMPRODUCT((Settings!$G$14:$G$43=$B13)*COUNTIF('INPUT - Roster'!$GA$6:$GA$206,"*"&amp;Settings!$F$14:$F$43&amp;"*"))</f>
        <v/>
      </c>
      <c r="FL13" s="170">
        <f>SUMPRODUCT((Settings!$G$14:$G$43=$B13)*COUNTIF('INPUT - Roster'!$GB$6:$GB$206,"*"&amp;Settings!$F$14:$F$43&amp;"*"))</f>
        <v/>
      </c>
      <c r="FM13" s="170">
        <f>SUMPRODUCT((Settings!$G$14:$G$43=$B13)*COUNTIF('INPUT - Roster'!$GC$6:$GC$206,"*"&amp;Settings!$F$14:$F$43&amp;"*"))</f>
        <v/>
      </c>
      <c r="FN13" s="170">
        <f>SUMPRODUCT((Settings!$G$14:$G$43=$B13)*COUNTIF('INPUT - Roster'!$GD$6:$GD$206,"*"&amp;Settings!$F$14:$F$43&amp;"*"))</f>
        <v/>
      </c>
      <c r="FO13" s="170">
        <f>SUMPRODUCT((Settings!$G$14:$G$43=$B13)*COUNTIF('INPUT - Roster'!$GE$6:$GE$206,"*"&amp;Settings!$F$14:$F$43&amp;"*"))</f>
        <v/>
      </c>
      <c r="FP13" s="170">
        <f>SUMPRODUCT((Settings!$G$14:$G$43=$B13)*COUNTIF('INPUT - Roster'!$GF$6:$GF$206,"*"&amp;Settings!$F$14:$F$43&amp;"*"))</f>
        <v/>
      </c>
      <c r="FQ13" s="170">
        <f>SUMPRODUCT((Settings!$G$14:$G$43=$B13)*COUNTIF('INPUT - Roster'!$GG$6:$GG$206,"*"&amp;Settings!$F$14:$F$43&amp;"*"))</f>
        <v/>
      </c>
      <c r="FR13" s="170">
        <f>SUMPRODUCT((Settings!$G$14:$G$43=$B13)*COUNTIF('INPUT - Roster'!$GH$6:$GH$206,"*"&amp;Settings!$F$14:$F$43&amp;"*"))</f>
        <v/>
      </c>
      <c r="FS13" s="170">
        <f>SUMPRODUCT((Settings!$G$14:$G$43=$B13)*COUNTIF('INPUT - Roster'!$GI$6:$GI$206,"*"&amp;Settings!$F$14:$F$43&amp;"*"))</f>
        <v/>
      </c>
      <c r="FT13" s="170">
        <f>SUMPRODUCT((Settings!$G$14:$G$43=$B13)*COUNTIF('INPUT - Roster'!$GJ$6:$GJ$206,"*"&amp;Settings!$F$14:$F$43&amp;"*"))</f>
        <v/>
      </c>
      <c r="FU13" s="170">
        <f>SUMPRODUCT((Settings!$G$14:$G$43=$B13)*COUNTIF('INPUT - Roster'!$GK$6:$GK$206,"*"&amp;Settings!$F$14:$F$43&amp;"*"))</f>
        <v/>
      </c>
      <c r="FV13" s="170">
        <f>SUMPRODUCT((Settings!$G$14:$G$43=$B13)*COUNTIF('INPUT - Roster'!$GL$6:$GL$206,"*"&amp;Settings!$F$14:$F$43&amp;"*"))</f>
        <v/>
      </c>
      <c r="FW13" s="170">
        <f>SUMPRODUCT((Settings!$G$14:$G$43=$B13)*COUNTIF('INPUT - Roster'!$GM$6:$GM$206,"*"&amp;Settings!$F$14:$F$43&amp;"*"))</f>
        <v/>
      </c>
      <c r="FX13" s="170">
        <f>SUMPRODUCT((Settings!$G$14:$G$43=$B13)*COUNTIF('INPUT - Roster'!$GN$6:$GN$206,"*"&amp;Settings!$F$14:$F$43&amp;"*"))</f>
        <v/>
      </c>
      <c r="FY13" s="170">
        <f>SUMPRODUCT((Settings!$G$14:$G$43=$B13)*COUNTIF('INPUT - Roster'!$GO$6:$GO$206,"*"&amp;Settings!$F$14:$F$43&amp;"*"))</f>
        <v/>
      </c>
      <c r="FZ13" s="170">
        <f>SUMPRODUCT((Settings!$G$14:$G$43=$B13)*COUNTIF('INPUT - Roster'!$GP$6:$GP$206,"*"&amp;Settings!$F$14:$F$43&amp;"*"))</f>
        <v/>
      </c>
      <c r="GA13" s="170">
        <f>SUMPRODUCT((Settings!$G$14:$G$43=$B13)*COUNTIF('INPUT - Roster'!$GQ$6:$GQ$206,"*"&amp;Settings!$F$14:$F$43&amp;"*"))</f>
        <v/>
      </c>
      <c r="GB13" s="170">
        <f>SUMPRODUCT((Settings!$G$14:$G$43=$B13)*COUNTIF('INPUT - Roster'!$GR$6:$GR$206,"*"&amp;Settings!$F$14:$F$43&amp;"*"))</f>
        <v/>
      </c>
      <c r="GC13" s="170">
        <f>SUMPRODUCT((Settings!$G$14:$G$43=$B13)*COUNTIF('INPUT - Roster'!$GS$6:$GS$206,"*"&amp;Settings!$F$14:$F$43&amp;"*"))</f>
        <v/>
      </c>
      <c r="GD13" s="170">
        <f>SUMPRODUCT((Settings!$G$14:$G$43=$B13)*COUNTIF('INPUT - Roster'!$GT$6:$GT$206,"*"&amp;Settings!$F$14:$F$43&amp;"*"))</f>
        <v/>
      </c>
      <c r="GE13" s="170">
        <f>SUMPRODUCT((Settings!$G$14:$G$43=$B13)*COUNTIF('INPUT - Roster'!$GU$6:$GU$206,"*"&amp;Settings!$F$14:$F$43&amp;"*"))</f>
        <v/>
      </c>
      <c r="GF13" s="170">
        <f>SUMPRODUCT((Settings!$G$14:$G$43=$B13)*COUNTIF('INPUT - Roster'!$GV$6:$GV$206,"*"&amp;Settings!$F$14:$F$43&amp;"*"))</f>
        <v/>
      </c>
      <c r="GG13" s="170">
        <f>SUMPRODUCT((Settings!$G$14:$G$43=$B13)*COUNTIF('INPUT - Roster'!$GW$6:$GW$206,"*"&amp;Settings!$F$14:$F$43&amp;"*"))</f>
        <v/>
      </c>
      <c r="GH13" s="170">
        <f>SUMPRODUCT((Settings!$G$14:$G$43=$B13)*COUNTIF('INPUT - Roster'!$GX$6:$GX$206,"*"&amp;Settings!$F$14:$F$43&amp;"*"))</f>
        <v/>
      </c>
      <c r="GI13" s="170">
        <f>SUMPRODUCT((Settings!$G$14:$G$43=$B13)*COUNTIF('INPUT - Roster'!$GY$6:$GY$206,"*"&amp;Settings!$F$14:$F$43&amp;"*"))</f>
        <v/>
      </c>
      <c r="GJ13" s="170">
        <f>SUMPRODUCT((Settings!$G$14:$G$43=$B13)*COUNTIF('INPUT - Roster'!$GZ$6:$GZ$206,"*"&amp;Settings!$F$14:$F$43&amp;"*"))</f>
        <v/>
      </c>
      <c r="GK13" s="170">
        <f>SUMPRODUCT((Settings!$G$14:$G$43=$B13)*COUNTIF('INPUT - Roster'!$HA$6:$HA$206,"*"&amp;Settings!$F$14:$F$43&amp;"*"))</f>
        <v/>
      </c>
      <c r="GL13" s="170">
        <f>SUMPRODUCT((Settings!$G$14:$G$43=$B13)*COUNTIF('INPUT - Roster'!$HB$6:$HB$206,"*"&amp;Settings!$F$14:$F$43&amp;"*"))</f>
        <v/>
      </c>
      <c r="GM13" s="170">
        <f>SUMPRODUCT((Settings!$G$14:$G$43=$B13)*COUNTIF('INPUT - Roster'!$HC$6:$HC$206,"*"&amp;Settings!$F$14:$F$43&amp;"*"))</f>
        <v/>
      </c>
      <c r="GN13" s="170">
        <f>SUMPRODUCT((Settings!$G$14:$G$43=$B13)*COUNTIF('INPUT - Roster'!$HD$6:$HD$206,"*"&amp;Settings!$F$14:$F$43&amp;"*"))</f>
        <v/>
      </c>
      <c r="GO13" s="170">
        <f>SUMPRODUCT((Settings!$G$14:$G$43=$B13)*COUNTIF('INPUT - Roster'!$HE$6:$HE$206,"*"&amp;Settings!$F$14:$F$43&amp;"*"))</f>
        <v/>
      </c>
      <c r="GP13" s="170">
        <f>SUMPRODUCT((Settings!$G$14:$G$43=$B13)*COUNTIF('INPUT - Roster'!$HF$6:$HF$206,"*"&amp;Settings!$F$14:$F$43&amp;"*"))</f>
        <v/>
      </c>
      <c r="GQ13" s="170">
        <f>SUMPRODUCT((Settings!$G$14:$G$43=$B13)*COUNTIF('INPUT - Roster'!$HG$6:$HG$206,"*"&amp;Settings!$F$14:$F$43&amp;"*"))</f>
        <v/>
      </c>
      <c r="GR13" s="170">
        <f>SUMPRODUCT((Settings!$G$14:$G$43=$B13)*COUNTIF('INPUT - Roster'!$HH$6:$HH$206,"*"&amp;Settings!$F$14:$F$43&amp;"*"))</f>
        <v/>
      </c>
      <c r="GS13" s="170">
        <f>SUMPRODUCT((Settings!$G$14:$G$43=$B13)*COUNTIF('INPUT - Roster'!$HI$6:$HI$206,"*"&amp;Settings!$F$14:$F$43&amp;"*"))</f>
        <v/>
      </c>
      <c r="GT13" s="170">
        <f>SUMPRODUCT((Settings!$G$14:$G$43=$B13)*COUNTIF('INPUT - Roster'!$HJ$6:$HJ$206,"*"&amp;Settings!$F$14:$F$43&amp;"*"))</f>
        <v/>
      </c>
      <c r="GU13" s="170">
        <f>SUMPRODUCT((Settings!$G$14:$G$43=$B13)*COUNTIF('INPUT - Roster'!$HK$6:$HK$206,"*"&amp;Settings!$F$14:$F$43&amp;"*"))</f>
        <v/>
      </c>
      <c r="GV13" s="170">
        <f>SUMPRODUCT((Settings!$G$14:$G$43=$B13)*COUNTIF('INPUT - Roster'!$HL$6:$HL$206,"*"&amp;Settings!$F$14:$F$43&amp;"*"))</f>
        <v/>
      </c>
      <c r="GW13" s="170">
        <f>SUMPRODUCT((Settings!$G$14:$G$43=$B13)*COUNTIF('INPUT - Roster'!$HM$6:$HM$206,"*"&amp;Settings!$F$14:$F$43&amp;"*"))</f>
        <v/>
      </c>
      <c r="GX13" s="170">
        <f>SUMPRODUCT((Settings!$G$14:$G$43=$B13)*COUNTIF('INPUT - Roster'!$HN$6:$HN$206,"*"&amp;Settings!$F$14:$F$43&amp;"*"))</f>
        <v/>
      </c>
      <c r="GY13" s="170">
        <f>SUMPRODUCT((Settings!$G$14:$G$43=$B13)*COUNTIF('INPUT - Roster'!$HO$6:$HO$206,"*"&amp;Settings!$F$14:$F$43&amp;"*"))</f>
        <v/>
      </c>
      <c r="GZ13" s="170">
        <f>SUMPRODUCT((Settings!$G$14:$G$43=$B13)*COUNTIF('INPUT - Roster'!$HP$6:$HP$206,"*"&amp;Settings!$F$14:$F$43&amp;"*"))</f>
        <v/>
      </c>
      <c r="HA13" s="170">
        <f>SUMPRODUCT((Settings!$G$14:$G$43=$B13)*COUNTIF('INPUT - Roster'!$HQ$6:$HQ$206,"*"&amp;Settings!$F$14:$F$43&amp;"*"))</f>
        <v/>
      </c>
      <c r="HB13" s="170">
        <f>SUMPRODUCT((Settings!$G$14:$G$43=$B13)*COUNTIF('INPUT - Roster'!$HR$6:$HR$206,"*"&amp;Settings!$F$14:$F$43&amp;"*"))</f>
        <v/>
      </c>
      <c r="HC13" s="170">
        <f>SUMPRODUCT((Settings!$G$14:$G$43=$B13)*COUNTIF('INPUT - Roster'!$HS$6:$HS$206,"*"&amp;Settings!$F$14:$F$43&amp;"*"))</f>
        <v/>
      </c>
      <c r="HD13" s="170">
        <f>SUMPRODUCT((Settings!$G$14:$G$43=$B13)*COUNTIF('INPUT - Roster'!$HT$6:$HT$206,"*"&amp;Settings!$F$14:$F$43&amp;"*"))</f>
        <v/>
      </c>
      <c r="HE13" s="170">
        <f>SUMPRODUCT((Settings!$G$14:$G$43=$B13)*COUNTIF('INPUT - Roster'!$HU$6:$HU$206,"*"&amp;Settings!$F$14:$F$43&amp;"*"))</f>
        <v/>
      </c>
      <c r="HF13" s="170">
        <f>SUMPRODUCT((Settings!$G$14:$G$43=$B13)*COUNTIF('INPUT - Roster'!$HV$6:$HV$206,"*"&amp;Settings!$F$14:$F$43&amp;"*"))</f>
        <v/>
      </c>
      <c r="HG13" s="170">
        <f>SUMPRODUCT((Settings!$G$14:$G$43=$B13)*COUNTIF('INPUT - Roster'!$HW$6:$HW$206,"*"&amp;Settings!$F$14:$F$43&amp;"*"))</f>
        <v/>
      </c>
      <c r="HH13" s="170">
        <f>SUMPRODUCT((Settings!$G$14:$G$43=$B13)*COUNTIF('INPUT - Roster'!$HX$6:$HX$206,"*"&amp;Settings!$F$14:$F$43&amp;"*"))</f>
        <v/>
      </c>
      <c r="HI13" s="170">
        <f>SUMPRODUCT((Settings!$G$14:$G$43=$B13)*COUNTIF('INPUT - Roster'!$HY$6:$HY$206,"*"&amp;Settings!$F$14:$F$43&amp;"*"))</f>
        <v/>
      </c>
      <c r="HJ13" s="170">
        <f>SUMPRODUCT((Settings!$G$14:$G$43=$B13)*COUNTIF('INPUT - Roster'!$HZ$6:$HZ$206,"*"&amp;Settings!$F$14:$F$43&amp;"*"))</f>
        <v/>
      </c>
      <c r="HK13" s="170">
        <f>SUMPRODUCT((Settings!$G$14:$G$43=$B13)*COUNTIF('INPUT - Roster'!$IA$6:$IA$206,"*"&amp;Settings!$F$14:$F$43&amp;"*"))</f>
        <v/>
      </c>
      <c r="HL13" s="170">
        <f>SUMPRODUCT((Settings!$G$14:$G$43=$B13)*COUNTIF('INPUT - Roster'!$IB$6:$IB$206,"*"&amp;Settings!$F$14:$F$43&amp;"*"))</f>
        <v/>
      </c>
      <c r="HM13" s="170">
        <f>SUMPRODUCT((Settings!$G$14:$G$43=$B13)*COUNTIF('INPUT - Roster'!$IC$6:$IC$206,"*"&amp;Settings!$F$14:$F$43&amp;"*"))</f>
        <v/>
      </c>
      <c r="HN13" s="170">
        <f>SUMPRODUCT((Settings!$G$14:$G$43=$B13)*COUNTIF('INPUT - Roster'!$ID$6:$ID$206,"*"&amp;Settings!$F$14:$F$43&amp;"*"))</f>
        <v/>
      </c>
      <c r="HO13" s="170">
        <f>SUMPRODUCT((Settings!$G$14:$G$43=$B13)*COUNTIF('INPUT - Roster'!$IE$6:$IE$206,"*"&amp;Settings!$F$14:$F$43&amp;"*"))</f>
        <v/>
      </c>
      <c r="HP13" s="170">
        <f>SUMPRODUCT((Settings!$G$14:$G$43=$B13)*COUNTIF('INPUT - Roster'!$IF$6:$IF$206,"*"&amp;Settings!$F$14:$F$43&amp;"*"))</f>
        <v/>
      </c>
      <c r="HQ13" s="170">
        <f>SUMPRODUCT((Settings!$G$14:$G$43=$B13)*COUNTIF('INPUT - Roster'!$IG$6:$IG$206,"*"&amp;Settings!$F$14:$F$43&amp;"*"))</f>
        <v/>
      </c>
      <c r="HR13" s="170">
        <f>SUMPRODUCT((Settings!$G$14:$G$43=$B13)*COUNTIF('INPUT - Roster'!$IH$6:$IH$206,"*"&amp;Settings!$F$14:$F$43&amp;"*"))</f>
        <v/>
      </c>
      <c r="HS13" s="170">
        <f>SUMPRODUCT((Settings!$G$14:$G$43=$B13)*COUNTIF('INPUT - Roster'!$II$6:$II$206,"*"&amp;Settings!$F$14:$F$43&amp;"*"))</f>
        <v/>
      </c>
      <c r="HT13" s="170">
        <f>SUMPRODUCT((Settings!$G$14:$G$43=$B13)*COUNTIF('INPUT - Roster'!$IJ$6:$IJ$206,"*"&amp;Settings!$F$14:$F$43&amp;"*"))</f>
        <v/>
      </c>
      <c r="HU13" s="170">
        <f>SUMPRODUCT((Settings!$G$14:$G$43=$B13)*COUNTIF('INPUT - Roster'!$IK$6:$IK$206,"*"&amp;Settings!$F$14:$F$43&amp;"*"))</f>
        <v/>
      </c>
      <c r="HV13" s="170">
        <f>SUMPRODUCT((Settings!$G$14:$G$43=$B13)*COUNTIF('INPUT - Roster'!$IL$6:$IL$206,"*"&amp;Settings!$F$14:$F$43&amp;"*"))</f>
        <v/>
      </c>
      <c r="HW13" s="170">
        <f>SUMPRODUCT((Settings!$G$14:$G$43=$B13)*COUNTIF('INPUT - Roster'!$IM$6:$IM$206,"*"&amp;Settings!$F$14:$F$43&amp;"*"))</f>
        <v/>
      </c>
      <c r="HX13" s="170">
        <f>SUMPRODUCT((Settings!$G$14:$G$43=$B13)*COUNTIF('INPUT - Roster'!$IN$6:$IN$206,"*"&amp;Settings!$F$14:$F$43&amp;"*"))</f>
        <v/>
      </c>
      <c r="HY13" s="170">
        <f>SUMPRODUCT((Settings!$G$14:$G$43=$B13)*COUNTIF('INPUT - Roster'!$IO$6:$IO$206,"*"&amp;Settings!$F$14:$F$43&amp;"*"))</f>
        <v/>
      </c>
      <c r="HZ13" s="170">
        <f>SUMPRODUCT((Settings!$G$14:$G$43=$B13)*COUNTIF('INPUT - Roster'!$IP$6:$IP$206,"*"&amp;Settings!$F$14:$F$43&amp;"*"))</f>
        <v/>
      </c>
      <c r="IA13" s="170">
        <f>SUMPRODUCT((Settings!$G$14:$G$43=$B13)*COUNTIF('INPUT - Roster'!$IQ$6:$IQ$206,"*"&amp;Settings!$F$14:$F$43&amp;"*"))</f>
        <v/>
      </c>
      <c r="IB13" s="170">
        <f>SUMPRODUCT((Settings!$G$14:$G$43=$B13)*COUNTIF('INPUT - Roster'!$IR$6:$IR$206,"*"&amp;Settings!$F$14:$F$43&amp;"*"))</f>
        <v/>
      </c>
      <c r="IC13" s="170">
        <f>SUMPRODUCT((Settings!$G$14:$G$43=$B13)*COUNTIF('INPUT - Roster'!$IS$6:$IS$206,"*"&amp;Settings!$F$14:$F$43&amp;"*"))</f>
        <v/>
      </c>
      <c r="ID13" s="170">
        <f>SUMPRODUCT((Settings!$G$14:$G$43=$B13)*COUNTIF('INPUT - Roster'!$IT$6:$IT$206,"*"&amp;Settings!$F$14:$F$43&amp;"*"))</f>
        <v/>
      </c>
      <c r="IE13" s="170">
        <f>SUMPRODUCT((Settings!$G$14:$G$43=$B13)*COUNTIF('INPUT - Roster'!$IU$6:$IU$206,"*"&amp;Settings!$F$14:$F$43&amp;"*"))</f>
        <v/>
      </c>
      <c r="IF13" s="170">
        <f>SUMPRODUCT((Settings!$G$14:$G$43=$B13)*COUNTIF('INPUT - Roster'!$IV$6:$IV$206,"*"&amp;Settings!$F$14:$F$43&amp;"*"))</f>
        <v/>
      </c>
      <c r="IG13" s="170">
        <f>SUMPRODUCT((Settings!$G$14:$G$43=$B13)*COUNTIF('INPUT - Roster'!$IW$6:$IW$206,"*"&amp;Settings!$F$14:$F$43&amp;"*"))</f>
        <v/>
      </c>
      <c r="IH13" s="170">
        <f>SUMPRODUCT((Settings!$G$14:$G$43=$B13)*COUNTIF('INPUT - Roster'!$IX$6:$IX$206,"*"&amp;Settings!$F$14:$F$43&amp;"*"))</f>
        <v/>
      </c>
      <c r="II13" s="170">
        <f>SUMPRODUCT((Settings!$G$14:$G$43=$B13)*COUNTIF('INPUT - Roster'!$IY$6:$IY$206,"*"&amp;Settings!$F$14:$F$43&amp;"*"))</f>
        <v/>
      </c>
      <c r="IJ13" s="170">
        <f>SUMPRODUCT((Settings!$G$14:$G$43=$B13)*COUNTIF('INPUT - Roster'!$IZ$6:$IZ$206,"*"&amp;Settings!$F$14:$F$43&amp;"*"))</f>
        <v/>
      </c>
      <c r="IK13" s="170">
        <f>SUMPRODUCT((Settings!$G$14:$G$43=$B13)*COUNTIF('INPUT - Roster'!$JA$6:$JA$206,"*"&amp;Settings!$F$14:$F$43&amp;"*"))</f>
        <v/>
      </c>
      <c r="IL13" s="170">
        <f>SUMPRODUCT((Settings!$G$14:$G$43=$B13)*COUNTIF('INPUT - Roster'!$JB$6:$JB$206,"*"&amp;Settings!$F$14:$F$43&amp;"*"))</f>
        <v/>
      </c>
      <c r="IM13" s="170">
        <f>SUMPRODUCT((Settings!$G$14:$G$43=$B13)*COUNTIF('INPUT - Roster'!$JC$6:$JC$206,"*"&amp;Settings!$F$14:$F$43&amp;"*"))</f>
        <v/>
      </c>
      <c r="IN13" s="170">
        <f>SUMPRODUCT((Settings!$G$14:$G$43=$B13)*COUNTIF('INPUT - Roster'!$JD$6:$JD$206,"*"&amp;Settings!$F$14:$F$43&amp;"*"))</f>
        <v/>
      </c>
      <c r="IO13" s="170">
        <f>SUMPRODUCT((Settings!$G$14:$G$43=$B13)*COUNTIF('INPUT - Roster'!$JE$6:$JE$206,"*"&amp;Settings!$F$14:$F$43&amp;"*"))</f>
        <v/>
      </c>
      <c r="IP13" s="170">
        <f>SUMPRODUCT((Settings!$G$14:$G$43=$B13)*COUNTIF('INPUT - Roster'!$JF$6:$JF$206,"*"&amp;Settings!$F$14:$F$43&amp;"*"))</f>
        <v/>
      </c>
      <c r="IQ13" s="170">
        <f>SUMPRODUCT((Settings!$G$14:$G$43=$B13)*COUNTIF('INPUT - Roster'!$JG$6:$JG$206,"*"&amp;Settings!$F$14:$F$43&amp;"*"))</f>
        <v/>
      </c>
      <c r="IR13" s="170">
        <f>SUMPRODUCT((Settings!$G$14:$G$43=$B13)*COUNTIF('INPUT - Roster'!$JH$6:$JH$206,"*"&amp;Settings!$F$14:$F$43&amp;"*"))</f>
        <v/>
      </c>
      <c r="IS13" s="170">
        <f>SUMPRODUCT((Settings!$G$14:$G$43=$B13)*COUNTIF('INPUT - Roster'!$JI$6:$JI$206,"*"&amp;Settings!$F$14:$F$43&amp;"*"))</f>
        <v/>
      </c>
      <c r="IT13" s="170">
        <f>SUMPRODUCT((Settings!$G$14:$G$43=$B13)*COUNTIF('INPUT - Roster'!$JJ$6:$JJ$206,"*"&amp;Settings!$F$14:$F$43&amp;"*"))</f>
        <v/>
      </c>
      <c r="IU13" s="170">
        <f>SUMPRODUCT((Settings!$G$14:$G$43=$B13)*COUNTIF('INPUT - Roster'!$JK$6:$JK$206,"*"&amp;Settings!$F$14:$F$43&amp;"*"))</f>
        <v/>
      </c>
      <c r="IV13" s="170">
        <f>SUMPRODUCT((Settings!$G$14:$G$43=$B13)*COUNTIF('INPUT - Roster'!$JL$6:$JL$206,"*"&amp;Settings!$F$14:$F$43&amp;"*"))</f>
        <v/>
      </c>
      <c r="IW13" s="170">
        <f>SUMPRODUCT((Settings!$G$14:$G$43=$B13)*COUNTIF('INPUT - Roster'!$JM$6:$JM$206,"*"&amp;Settings!$F$14:$F$43&amp;"*"))</f>
        <v/>
      </c>
      <c r="IX13" s="170">
        <f>SUMPRODUCT((Settings!$G$14:$G$43=$B13)*COUNTIF('INPUT - Roster'!$JN$6:$JN$206,"*"&amp;Settings!$F$14:$F$43&amp;"*"))</f>
        <v/>
      </c>
      <c r="IY13" s="170">
        <f>SUMPRODUCT((Settings!$G$14:$G$43=$B13)*COUNTIF('INPUT - Roster'!$JO$6:$JO$206,"*"&amp;Settings!$F$14:$F$43&amp;"*"))</f>
        <v/>
      </c>
      <c r="IZ13" s="170">
        <f>SUMPRODUCT((Settings!$G$14:$G$43=$B13)*COUNTIF('INPUT - Roster'!$JP$6:$JP$206,"*"&amp;Settings!$F$14:$F$43&amp;"*"))</f>
        <v/>
      </c>
      <c r="JA13" s="170">
        <f>SUMPRODUCT((Settings!$G$14:$G$43=$B13)*COUNTIF('INPUT - Roster'!$JQ$6:$JQ$206,"*"&amp;Settings!$F$14:$F$43&amp;"*"))</f>
        <v/>
      </c>
      <c r="JB13" s="170">
        <f>SUMPRODUCT((Settings!$G$14:$G$43=$B13)*COUNTIF('INPUT - Roster'!$JR$6:$JR$206,"*"&amp;Settings!$F$14:$F$43&amp;"*"))</f>
        <v/>
      </c>
      <c r="JC13" s="170">
        <f>SUMPRODUCT((Settings!$G$14:$G$43=$B13)*COUNTIF('INPUT - Roster'!$JS$6:$JS$206,"*"&amp;Settings!$F$14:$F$43&amp;"*"))</f>
        <v/>
      </c>
      <c r="JD13" s="170">
        <f>SUMPRODUCT((Settings!$G$14:$G$43=$B13)*COUNTIF('INPUT - Roster'!$JT$6:$JT$206,"*"&amp;Settings!$F$14:$F$43&amp;"*"))</f>
        <v/>
      </c>
      <c r="JE13" s="170">
        <f>SUMPRODUCT((Settings!$G$14:$G$43=$B13)*COUNTIF('INPUT - Roster'!$JU$6:$JU$206,"*"&amp;Settings!$F$14:$F$43&amp;"*"))</f>
        <v/>
      </c>
      <c r="JF13" s="170">
        <f>SUMPRODUCT((Settings!$G$14:$G$43=$B13)*COUNTIF('INPUT - Roster'!$JV$6:$JV$206,"*"&amp;Settings!$F$14:$F$43&amp;"*"))</f>
        <v/>
      </c>
      <c r="JG13" s="170">
        <f>SUMPRODUCT((Settings!$G$14:$G$43=$B13)*COUNTIF('INPUT - Roster'!$JW$6:$JW$206,"*"&amp;Settings!$F$14:$F$43&amp;"*"))</f>
        <v/>
      </c>
      <c r="JH13" s="170">
        <f>SUMPRODUCT((Settings!$G$14:$G$43=$B13)*COUNTIF('INPUT - Roster'!$JX$6:$JX$206,"*"&amp;Settings!$F$14:$F$43&amp;"*"))</f>
        <v/>
      </c>
      <c r="JI13" s="170">
        <f>SUMPRODUCT((Settings!$G$14:$G$43=$B13)*COUNTIF('INPUT - Roster'!$JY$6:$JY$206,"*"&amp;Settings!$F$14:$F$43&amp;"*"))</f>
        <v/>
      </c>
      <c r="JJ13" s="170">
        <f>SUMPRODUCT((Settings!$G$14:$G$43=$B13)*COUNTIF('INPUT - Roster'!$JZ$6:$JZ$206,"*"&amp;Settings!$F$14:$F$43&amp;"*"))</f>
        <v/>
      </c>
      <c r="JK13" s="170">
        <f>SUMPRODUCT((Settings!$G$14:$G$43=$B13)*COUNTIF('INPUT - Roster'!$KA$6:$KA$206,"*"&amp;Settings!$F$14:$F$43&amp;"*"))</f>
        <v/>
      </c>
      <c r="JL13" s="170">
        <f>SUMPRODUCT((Settings!$G$14:$G$43=$B13)*COUNTIF('INPUT - Roster'!$KB$6:$KB$206,"*"&amp;Settings!$F$14:$F$43&amp;"*"))</f>
        <v/>
      </c>
      <c r="JM13" s="170">
        <f>SUMPRODUCT((Settings!$G$14:$G$43=$B13)*COUNTIF('INPUT - Roster'!$KC$6:$KC$206,"*"&amp;Settings!$F$14:$F$43&amp;"*"))</f>
        <v/>
      </c>
      <c r="JN13" s="170">
        <f>SUMPRODUCT((Settings!$G$14:$G$43=$B13)*COUNTIF('INPUT - Roster'!$KD$6:$KD$206,"*"&amp;Settings!$F$14:$F$43&amp;"*"))</f>
        <v/>
      </c>
      <c r="JO13" s="170">
        <f>SUMPRODUCT((Settings!$G$14:$G$43=$B13)*COUNTIF('INPUT - Roster'!$KE$6:$KE$206,"*"&amp;Settings!$F$14:$F$43&amp;"*"))</f>
        <v/>
      </c>
      <c r="JP13" s="170">
        <f>SUMPRODUCT((Settings!$G$14:$G$43=$B13)*COUNTIF('INPUT - Roster'!$KF$6:$KF$206,"*"&amp;Settings!$F$14:$F$43&amp;"*"))</f>
        <v/>
      </c>
      <c r="JQ13" s="170">
        <f>SUMPRODUCT((Settings!$G$14:$G$43=$B13)*COUNTIF('INPUT - Roster'!$KG$6:$KG$206,"*"&amp;Settings!$F$14:$F$43&amp;"*"))</f>
        <v/>
      </c>
      <c r="JR13" s="170">
        <f>SUMPRODUCT((Settings!$G$14:$G$43=$B13)*COUNTIF('INPUT - Roster'!$KH$6:$KH$206,"*"&amp;Settings!$F$14:$F$43&amp;"*"))</f>
        <v/>
      </c>
      <c r="JS13" s="170">
        <f>SUMPRODUCT((Settings!$G$14:$G$43=$B13)*COUNTIF('INPUT - Roster'!$KI$6:$KI$206,"*"&amp;Settings!$F$14:$F$43&amp;"*"))</f>
        <v/>
      </c>
      <c r="JT13" s="170">
        <f>SUMPRODUCT((Settings!$G$14:$G$43=$B13)*COUNTIF('INPUT - Roster'!$KJ$6:$KJ$206,"*"&amp;Settings!$F$14:$F$43&amp;"*"))</f>
        <v/>
      </c>
      <c r="JU13" s="170">
        <f>SUMPRODUCT((Settings!$G$14:$G$43=$B13)*COUNTIF('INPUT - Roster'!$KK$6:$KK$206,"*"&amp;Settings!$F$14:$F$43&amp;"*"))</f>
        <v/>
      </c>
      <c r="JV13" s="170">
        <f>SUMPRODUCT((Settings!$G$14:$G$43=$B13)*COUNTIF('INPUT - Roster'!$KL$6:$KL$206,"*"&amp;Settings!$F$14:$F$43&amp;"*"))</f>
        <v/>
      </c>
      <c r="JW13" s="170">
        <f>SUMPRODUCT((Settings!$G$14:$G$43=$B13)*COUNTIF('INPUT - Roster'!$KM$6:$KM$206,"*"&amp;Settings!$F$14:$F$43&amp;"*"))</f>
        <v/>
      </c>
      <c r="JX13" s="170">
        <f>SUMPRODUCT((Settings!$G$14:$G$43=$B13)*COUNTIF('INPUT - Roster'!$KN$6:$KN$206,"*"&amp;Settings!$F$14:$F$43&amp;"*"))</f>
        <v/>
      </c>
      <c r="JY13" s="170">
        <f>SUMPRODUCT((Settings!$G$14:$G$43=$B13)*COUNTIF('INPUT - Roster'!$KO$6:$KO$206,"*"&amp;Settings!$F$14:$F$43&amp;"*"))</f>
        <v/>
      </c>
      <c r="JZ13" s="170">
        <f>SUMPRODUCT((Settings!$G$14:$G$43=$B13)*COUNTIF('INPUT - Roster'!$KP$6:$KP$206,"*"&amp;Settings!$F$14:$F$43&amp;"*"))</f>
        <v/>
      </c>
      <c r="KA13" s="170">
        <f>SUMPRODUCT((Settings!$G$14:$G$43=$B13)*COUNTIF('INPUT - Roster'!$KQ$6:$KQ$206,"*"&amp;Settings!$F$14:$F$43&amp;"*"))</f>
        <v/>
      </c>
      <c r="KB13" s="170">
        <f>SUMPRODUCT((Settings!$G$14:$G$43=$B13)*COUNTIF('INPUT - Roster'!$KR$6:$KR$206,"*"&amp;Settings!$F$14:$F$43&amp;"*"))</f>
        <v/>
      </c>
      <c r="KC13" s="170">
        <f>SUMPRODUCT((Settings!$G$14:$G$43=$B13)*COUNTIF('INPUT - Roster'!$KS$6:$KS$206,"*"&amp;Settings!$F$14:$F$43&amp;"*"))</f>
        <v/>
      </c>
      <c r="KD13" s="170">
        <f>SUMPRODUCT((Settings!$G$14:$G$43=$B13)*COUNTIF('INPUT - Roster'!$KT$6:$KT$206,"*"&amp;Settings!$F$14:$F$43&amp;"*"))</f>
        <v/>
      </c>
      <c r="KE13" s="170">
        <f>SUMPRODUCT((Settings!$G$14:$G$43=$B13)*COUNTIF('INPUT - Roster'!$KU$6:$KU$206,"*"&amp;Settings!$F$14:$F$43&amp;"*"))</f>
        <v/>
      </c>
      <c r="KF13" s="170">
        <f>SUMPRODUCT((Settings!$G$14:$G$43=$B13)*COUNTIF('INPUT - Roster'!$KV$6:$KV$206,"*"&amp;Settings!$F$14:$F$43&amp;"*"))</f>
        <v/>
      </c>
      <c r="KG13" s="170">
        <f>SUMPRODUCT((Settings!$G$14:$G$43=$B13)*COUNTIF('INPUT - Roster'!$KW$6:$KW$206,"*"&amp;Settings!$F$14:$F$43&amp;"*"))</f>
        <v/>
      </c>
      <c r="KH13" s="170">
        <f>SUMPRODUCT((Settings!$G$14:$G$43=$B13)*COUNTIF('INPUT - Roster'!$KX$6:$KX$206,"*"&amp;Settings!$F$14:$F$43&amp;"*"))</f>
        <v/>
      </c>
      <c r="KI13" s="170">
        <f>SUMPRODUCT((Settings!$G$14:$G$43=$B13)*COUNTIF('INPUT - Roster'!$KY$6:$KY$206,"*"&amp;Settings!$F$14:$F$43&amp;"*"))</f>
        <v/>
      </c>
      <c r="KJ13" s="170">
        <f>SUMPRODUCT((Settings!$G$14:$G$43=$B13)*COUNTIF('INPUT - Roster'!$KZ$6:$KZ$206,"*"&amp;Settings!$F$14:$F$43&amp;"*"))</f>
        <v/>
      </c>
      <c r="KK13" s="170">
        <f>SUMPRODUCT((Settings!$G$14:$G$43=$B13)*COUNTIF('INPUT - Roster'!$LA$6:$LA$206,"*"&amp;Settings!$F$14:$F$43&amp;"*"))</f>
        <v/>
      </c>
      <c r="KL13" s="170">
        <f>SUMPRODUCT((Settings!$G$14:$G$43=$B13)*COUNTIF('INPUT - Roster'!$LB$6:$LB$206,"*"&amp;Settings!$F$14:$F$43&amp;"*"))</f>
        <v/>
      </c>
      <c r="KM13" s="170">
        <f>SUMPRODUCT((Settings!$G$14:$G$43=$B13)*COUNTIF('INPUT - Roster'!$LC$6:$LC$206,"*"&amp;Settings!$F$14:$F$43&amp;"*"))</f>
        <v/>
      </c>
      <c r="KN13" s="170">
        <f>SUMPRODUCT((Settings!$G$14:$G$43=$B13)*COUNTIF('INPUT - Roster'!$LD$6:$LD$206,"*"&amp;Settings!$F$14:$F$43&amp;"*"))</f>
        <v/>
      </c>
      <c r="KO13" s="170">
        <f>SUMPRODUCT((Settings!$G$14:$G$43=$B13)*COUNTIF('INPUT - Roster'!$LE$6:$LE$206,"*"&amp;Settings!$F$14:$F$43&amp;"*"))</f>
        <v/>
      </c>
      <c r="KP13" s="170">
        <f>SUMPRODUCT((Settings!$G$14:$G$43=$B13)*COUNTIF('INPUT - Roster'!$LF$6:$LF$206,"*"&amp;Settings!$F$14:$F$43&amp;"*"))</f>
        <v/>
      </c>
      <c r="KQ13" s="170">
        <f>SUMPRODUCT((Settings!$G$14:$G$43=$B13)*COUNTIF('INPUT - Roster'!$LG$6:$LG$206,"*"&amp;Settings!$F$14:$F$43&amp;"*"))</f>
        <v/>
      </c>
      <c r="KR13" s="170">
        <f>SUMPRODUCT((Settings!$G$14:$G$43=$B13)*COUNTIF('INPUT - Roster'!$LH$6:$LH$206,"*"&amp;Settings!$F$14:$F$43&amp;"*"))</f>
        <v/>
      </c>
      <c r="KS13" s="170">
        <f>SUMPRODUCT((Settings!$G$14:$G$43=$B13)*COUNTIF('INPUT - Roster'!$LI$6:$LI$206,"*"&amp;Settings!$F$14:$F$43&amp;"*"))</f>
        <v/>
      </c>
      <c r="KT13" s="170">
        <f>SUMPRODUCT((Settings!$G$14:$G$43=$B13)*COUNTIF('INPUT - Roster'!$LJ$6:$LJ$206,"*"&amp;Settings!$F$14:$F$43&amp;"*"))</f>
        <v/>
      </c>
      <c r="KU13" s="170">
        <f>SUMPRODUCT((Settings!$G$14:$G$43=$B13)*COUNTIF('INPUT - Roster'!$LK$6:$LK$206,"*"&amp;Settings!$F$14:$F$43&amp;"*"))</f>
        <v/>
      </c>
      <c r="KV13" s="170">
        <f>SUMPRODUCT((Settings!$G$14:$G$43=$B13)*COUNTIF('INPUT - Roster'!$LL$6:$LL$206,"*"&amp;Settings!$F$14:$F$43&amp;"*"))</f>
        <v/>
      </c>
      <c r="KW13" s="170">
        <f>SUMPRODUCT((Settings!$G$14:$G$43=$B13)*COUNTIF('INPUT - Roster'!$LM$6:$LM$206,"*"&amp;Settings!$F$14:$F$43&amp;"*"))</f>
        <v/>
      </c>
      <c r="KX13" s="170">
        <f>SUMPRODUCT((Settings!$G$14:$G$43=$B13)*COUNTIF('INPUT - Roster'!$LN$6:$LN$206,"*"&amp;Settings!$F$14:$F$43&amp;"*"))</f>
        <v/>
      </c>
      <c r="KY13" s="170">
        <f>SUMPRODUCT((Settings!$G$14:$G$43=$B13)*COUNTIF('INPUT - Roster'!$LO$6:$LO$206,"*"&amp;Settings!$F$14:$F$43&amp;"*"))</f>
        <v/>
      </c>
      <c r="KZ13" s="170">
        <f>SUMPRODUCT((Settings!$G$14:$G$43=$B13)*COUNTIF('INPUT - Roster'!$LP$6:$LP$206,"*"&amp;Settings!$F$14:$F$43&amp;"*"))</f>
        <v/>
      </c>
      <c r="LA13" s="170">
        <f>SUMPRODUCT((Settings!$G$14:$G$43=$B13)*COUNTIF('INPUT - Roster'!$LQ$6:$LQ$206,"*"&amp;Settings!$F$14:$F$43&amp;"*"))</f>
        <v/>
      </c>
      <c r="LB13" s="170">
        <f>SUMPRODUCT((Settings!$G$14:$G$43=$B13)*COUNTIF('INPUT - Roster'!$LR$6:$LR$206,"*"&amp;Settings!$F$14:$F$43&amp;"*"))</f>
        <v/>
      </c>
      <c r="LC13" s="170">
        <f>SUMPRODUCT((Settings!$G$14:$G$43=$B13)*COUNTIF('INPUT - Roster'!$LS$6:$LS$206,"*"&amp;Settings!$F$14:$F$43&amp;"*"))</f>
        <v/>
      </c>
      <c r="LD13" s="170">
        <f>SUMPRODUCT((Settings!$G$14:$G$43=$B13)*COUNTIF('INPUT - Roster'!$LT$6:$LT$206,"*"&amp;Settings!$F$14:$F$43&amp;"*"))</f>
        <v/>
      </c>
      <c r="LE13" s="170">
        <f>SUMPRODUCT((Settings!$G$14:$G$43=$B13)*COUNTIF('INPUT - Roster'!$LU$6:$LU$206,"*"&amp;Settings!$F$14:$F$43&amp;"*"))</f>
        <v/>
      </c>
      <c r="LF13" s="170">
        <f>SUMPRODUCT((Settings!$G$14:$G$43=$B13)*COUNTIF('INPUT - Roster'!$LV$6:$LV$206,"*"&amp;Settings!$F$14:$F$43&amp;"*"))</f>
        <v/>
      </c>
      <c r="LG13" s="170">
        <f>SUMPRODUCT((Settings!$G$14:$G$43=$B13)*COUNTIF('INPUT - Roster'!$LW$6:$LW$206,"*"&amp;Settings!$F$14:$F$43&amp;"*"))</f>
        <v/>
      </c>
      <c r="LH13" s="170">
        <f>SUMPRODUCT((Settings!$G$14:$G$43=$B13)*COUNTIF('INPUT - Roster'!$LX$6:$LX$206,"*"&amp;Settings!$F$14:$F$43&amp;"*"))</f>
        <v/>
      </c>
      <c r="LI13" s="170">
        <f>SUMPRODUCT((Settings!$G$14:$G$43=$B13)*COUNTIF('INPUT - Roster'!$LY$6:$LY$206,"*"&amp;Settings!$F$14:$F$43&amp;"*"))</f>
        <v/>
      </c>
      <c r="LJ13" s="170">
        <f>SUMPRODUCT((Settings!$G$14:$G$43=$B13)*COUNTIF('INPUT - Roster'!$LZ$6:$LZ$206,"*"&amp;Settings!$F$14:$F$43&amp;"*"))</f>
        <v/>
      </c>
      <c r="LK13" s="170">
        <f>SUMPRODUCT((Settings!$G$14:$G$43=$B13)*COUNTIF('INPUT - Roster'!$MA$6:$MA$206,"*"&amp;Settings!$F$14:$F$43&amp;"*"))</f>
        <v/>
      </c>
      <c r="LL13" s="170">
        <f>SUMPRODUCT((Settings!$G$14:$G$43=$B13)*COUNTIF('INPUT - Roster'!$MB$6:$MB$206,"*"&amp;Settings!$F$14:$F$43&amp;"*"))</f>
        <v/>
      </c>
      <c r="LM13" s="170">
        <f>SUMPRODUCT((Settings!$G$14:$G$43=$B13)*COUNTIF('INPUT - Roster'!$MC$6:$MC$206,"*"&amp;Settings!$F$14:$F$43&amp;"*"))</f>
        <v/>
      </c>
      <c r="LN13" s="170">
        <f>SUMPRODUCT((Settings!$G$14:$G$43=$B13)*COUNTIF('INPUT - Roster'!$MD$6:$MD$206,"*"&amp;Settings!$F$14:$F$43&amp;"*"))</f>
        <v/>
      </c>
      <c r="LO13" s="170">
        <f>SUMPRODUCT((Settings!$G$14:$G$43=$B13)*COUNTIF('INPUT - Roster'!$ME$6:$ME$206,"*"&amp;Settings!$F$14:$F$43&amp;"*"))</f>
        <v/>
      </c>
      <c r="LP13" s="170">
        <f>SUMPRODUCT((Settings!$G$14:$G$43=$B13)*COUNTIF('INPUT - Roster'!$MF$6:$MF$206,"*"&amp;Settings!$F$14:$F$43&amp;"*"))</f>
        <v/>
      </c>
      <c r="LQ13" s="170">
        <f>SUMPRODUCT((Settings!$G$14:$G$43=$B13)*COUNTIF('INPUT - Roster'!$MG$6:$MG$206,"*"&amp;Settings!$F$14:$F$43&amp;"*"))</f>
        <v/>
      </c>
      <c r="LR13" s="170">
        <f>SUMPRODUCT((Settings!$G$14:$G$43=$B13)*COUNTIF('INPUT - Roster'!$MH$6:$MH$206,"*"&amp;Settings!$F$14:$F$43&amp;"*"))</f>
        <v/>
      </c>
      <c r="LS13" s="170">
        <f>SUMPRODUCT((Settings!$G$14:$G$43=$B13)*COUNTIF('INPUT - Roster'!$MI$6:$MI$206,"*"&amp;Settings!$F$14:$F$43&amp;"*"))</f>
        <v/>
      </c>
      <c r="LT13" s="170">
        <f>SUMPRODUCT((Settings!$G$14:$G$43=$B13)*COUNTIF('INPUT - Roster'!$MJ$6:$MJ$206,"*"&amp;Settings!$F$14:$F$43&amp;"*"))</f>
        <v/>
      </c>
      <c r="LU13" s="170">
        <f>SUMPRODUCT((Settings!$G$14:$G$43=$B13)*COUNTIF('INPUT - Roster'!$MK$6:$MK$206,"*"&amp;Settings!$F$14:$F$43&amp;"*"))</f>
        <v/>
      </c>
      <c r="LV13" s="170">
        <f>SUMPRODUCT((Settings!$G$14:$G$43=$B13)*COUNTIF('INPUT - Roster'!$ML$6:$ML$206,"*"&amp;Settings!$F$14:$F$43&amp;"*"))</f>
        <v/>
      </c>
      <c r="LW13" s="170">
        <f>SUMPRODUCT((Settings!$G$14:$G$43=$B13)*COUNTIF('INPUT - Roster'!$MM$6:$MM$206,"*"&amp;Settings!$F$14:$F$43&amp;"*"))</f>
        <v/>
      </c>
      <c r="LX13" s="170">
        <f>SUMPRODUCT((Settings!$G$14:$G$43=$B13)*COUNTIF('INPUT - Roster'!$MN$6:$MN$206,"*"&amp;Settings!$F$14:$F$43&amp;"*"))</f>
        <v/>
      </c>
      <c r="LY13" s="170">
        <f>SUMPRODUCT((Settings!$G$14:$G$43=$B13)*COUNTIF('INPUT - Roster'!$MO$6:$MO$206,"*"&amp;Settings!$F$14:$F$43&amp;"*"))</f>
        <v/>
      </c>
      <c r="LZ13" s="170">
        <f>SUMPRODUCT((Settings!$G$14:$G$43=$B13)*COUNTIF('INPUT - Roster'!$MP$6:$MP$206,"*"&amp;Settings!$F$14:$F$43&amp;"*"))</f>
        <v/>
      </c>
      <c r="MA13" s="170">
        <f>SUMPRODUCT((Settings!$G$14:$G$43=$B13)*COUNTIF('INPUT - Roster'!$MQ$6:$MQ$206,"*"&amp;Settings!$F$14:$F$43&amp;"*"))</f>
        <v/>
      </c>
      <c r="MB13" s="170">
        <f>SUMPRODUCT((Settings!$G$14:$G$43=$B13)*COUNTIF('INPUT - Roster'!$MR$6:$MR$206,"*"&amp;Settings!$F$14:$F$43&amp;"*"))</f>
        <v/>
      </c>
      <c r="MC13" s="170">
        <f>SUMPRODUCT((Settings!$G$14:$G$43=$B13)*COUNTIF('INPUT - Roster'!$MS$6:$MS$206,"*"&amp;Settings!$F$14:$F$43&amp;"*"))</f>
        <v/>
      </c>
      <c r="MD13" s="170">
        <f>SUMPRODUCT((Settings!$G$14:$G$43=$B13)*COUNTIF('INPUT - Roster'!$MT$6:$MT$206,"*"&amp;Settings!$F$14:$F$43&amp;"*"))</f>
        <v/>
      </c>
      <c r="ME13" s="170">
        <f>SUMPRODUCT((Settings!$G$14:$G$43=$B13)*COUNTIF('INPUT - Roster'!$MU$6:$MU$206,"*"&amp;Settings!$F$14:$F$43&amp;"*"))</f>
        <v/>
      </c>
      <c r="MF13" s="170">
        <f>SUMPRODUCT((Settings!$G$14:$G$43=$B13)*COUNTIF('INPUT - Roster'!$MV$6:$MV$206,"*"&amp;Settings!$F$14:$F$43&amp;"*"))</f>
        <v/>
      </c>
      <c r="MG13" s="170">
        <f>SUMPRODUCT((Settings!$G$14:$G$43=$B13)*COUNTIF('INPUT - Roster'!$MW$6:$MW$206,"*"&amp;Settings!$F$14:$F$43&amp;"*"))</f>
        <v/>
      </c>
      <c r="MH13" s="170">
        <f>SUMPRODUCT((Settings!$G$14:$G$43=$B13)*COUNTIF('INPUT - Roster'!$MX$6:$MX$206,"*"&amp;Settings!$F$14:$F$43&amp;"*"))</f>
        <v/>
      </c>
      <c r="MI13" s="170">
        <f>SUMPRODUCT((Settings!$G$14:$G$43=$B13)*COUNTIF('INPUT - Roster'!$MY$6:$MY$206,"*"&amp;Settings!$F$14:$F$43&amp;"*"))</f>
        <v/>
      </c>
      <c r="MJ13" s="170">
        <f>SUMPRODUCT((Settings!$G$14:$G$43=$B13)*COUNTIF('INPUT - Roster'!$MZ$6:$MZ$206,"*"&amp;Settings!$F$14:$F$43&amp;"*"))</f>
        <v/>
      </c>
      <c r="MK13" s="170">
        <f>SUMPRODUCT((Settings!$G$14:$G$43=$B13)*COUNTIF('INPUT - Roster'!$NA$6:$NA$206,"*"&amp;Settings!$F$14:$F$43&amp;"*"))</f>
        <v/>
      </c>
      <c r="ML13" s="170">
        <f>SUMPRODUCT((Settings!$G$14:$G$43=$B13)*COUNTIF('INPUT - Roster'!$NB$6:$NB$206,"*"&amp;Settings!$F$14:$F$43&amp;"*"))</f>
        <v/>
      </c>
      <c r="MM13" s="170">
        <f>SUMPRODUCT((Settings!$G$14:$G$43=$B13)*COUNTIF('INPUT - Roster'!$NC$6:$NC$206,"*"&amp;Settings!$F$14:$F$43&amp;"*"))</f>
        <v/>
      </c>
      <c r="MN13" s="170">
        <f>SUMPRODUCT((Settings!$G$14:$G$43=$B13)*COUNTIF('INPUT - Roster'!$ND$6:$ND$206,"*"&amp;Settings!$F$14:$F$43&amp;"*"))</f>
        <v/>
      </c>
      <c r="MO13" s="170">
        <f>SUMPRODUCT((Settings!$G$14:$G$43=$B13)*COUNTIF('INPUT - Roster'!$NE$6:$NE$206,"*"&amp;Settings!$F$14:$F$43&amp;"*"))</f>
        <v/>
      </c>
      <c r="MP13" s="170">
        <f>SUMPRODUCT((Settings!$G$14:$G$43=$B13)*COUNTIF('INPUT - Roster'!$NF$6:$NF$206,"*"&amp;Settings!$F$14:$F$43&amp;"*"))</f>
        <v/>
      </c>
      <c r="MQ13" s="170">
        <f>SUMPRODUCT((Settings!$G$14:$G$43=$B13)*COUNTIF('INPUT - Roster'!$NG$6:$NG$206,"*"&amp;Settings!$F$14:$F$43&amp;"*"))</f>
        <v/>
      </c>
      <c r="MR13" s="170">
        <f>SUMPRODUCT((Settings!$G$14:$G$43=$B13)*COUNTIF('INPUT - Roster'!$NH$6:$NH$206,"*"&amp;Settings!$F$14:$F$43&amp;"*"))</f>
        <v/>
      </c>
      <c r="MS13" s="170">
        <f>SUMPRODUCT((Settings!$G$14:$G$43=$B13)*COUNTIF('INPUT - Roster'!$NI$6:$NI$206,"*"&amp;Settings!$F$14:$F$43&amp;"*"))</f>
        <v/>
      </c>
      <c r="MT13" s="170">
        <f>SUMPRODUCT((Settings!$G$14:$G$43=$B13)*COUNTIF('INPUT - Roster'!$NJ$6:$NJ$206,"*"&amp;Settings!$F$14:$F$43&amp;"*"))</f>
        <v/>
      </c>
      <c r="MU13" s="170">
        <f>SUMPRODUCT((Settings!$G$14:$G$43=$B13)*COUNTIF('INPUT - Roster'!$NK$6:$NK$206,"*"&amp;Settings!$F$14:$F$43&amp;"*"))</f>
        <v/>
      </c>
      <c r="MV13" s="170">
        <f>SUMPRODUCT((Settings!$G$14:$G$43=$B13)*COUNTIF('INPUT - Roster'!$NL$6:$NL$206,"*"&amp;Settings!$F$14:$F$43&amp;"*"))</f>
        <v/>
      </c>
      <c r="MW13" s="170">
        <f>SUMPRODUCT((Settings!$G$14:$G$43=$B13)*COUNTIF('INPUT - Roster'!$NM$6:$NM$206,"*"&amp;Settings!$F$14:$F$43&amp;"*"))</f>
        <v/>
      </c>
      <c r="MX13" s="170">
        <f>SUMPRODUCT((Settings!$G$14:$G$43=$B13)*COUNTIF('INPUT - Roster'!$NN$6:$NN$206,"*"&amp;Settings!$F$14:$F$43&amp;"*"))</f>
        <v/>
      </c>
      <c r="MY13" s="170">
        <f>SUMPRODUCT((Settings!$G$14:$G$43=$B13)*COUNTIF('INPUT - Roster'!$NO$6:$NO$206,"*"&amp;Settings!$F$14:$F$43&amp;"*"))</f>
        <v/>
      </c>
      <c r="MZ13" s="170">
        <f>SUMPRODUCT((Settings!$G$14:$G$43=$B13)*COUNTIF('INPUT - Roster'!$NP$6:$NP$206,"*"&amp;Settings!$F$14:$F$43&amp;"*"))</f>
        <v/>
      </c>
      <c r="NA13" s="170">
        <f>SUMPRODUCT((Settings!$G$14:$G$43=$B13)*COUNTIF('INPUT - Roster'!$NQ$6:$NQ$206,"*"&amp;Settings!$F$14:$F$43&amp;"*"))</f>
        <v/>
      </c>
      <c r="NB13" s="170">
        <f>SUMPRODUCT((Settings!$G$14:$G$43=$B13)*COUNTIF('INPUT - Roster'!$NR$6:$NR$206,"*"&amp;Settings!$F$14:$F$43&amp;"*"))</f>
        <v/>
      </c>
      <c r="NC13" s="170">
        <f>SUMPRODUCT((Settings!$G$14:$G$43=$B13)*COUNTIF('INPUT - Roster'!$NS$6:$NS$206,"*"&amp;Settings!$F$14:$F$43&amp;"*"))</f>
        <v/>
      </c>
      <c r="ND13" s="170">
        <f>SUMPRODUCT((Settings!$G$14:$G$43=$B13)*COUNTIF('INPUT - Roster'!$NT$6:$NT$206,"*"&amp;Settings!$F$14:$F$43&amp;"*"))</f>
        <v/>
      </c>
      <c r="NE13" s="170">
        <f>SUMPRODUCT((Settings!$G$14:$G$43=$B13)*COUNTIF('INPUT - Roster'!$NU$6:$NU$206,"*"&amp;Settings!$F$14:$F$43&amp;"*"))</f>
        <v/>
      </c>
      <c r="NF13" s="170">
        <f>SUMPRODUCT((Settings!$G$14:$G$43=$B13)*COUNTIF('INPUT - Roster'!$NV$6:$NV$206,"*"&amp;Settings!$F$14:$F$43&amp;"*"))</f>
        <v/>
      </c>
      <c r="NG13" s="170">
        <f>SUMPRODUCT((Settings!$G$14:$G$43=$B13)*COUNTIF('INPUT - Roster'!$NW$6:$NW$206,"*"&amp;Settings!$F$14:$F$43&amp;"*"))</f>
        <v/>
      </c>
      <c r="NH13" s="170">
        <f>SUMPRODUCT((Settings!$G$14:$G$43=$B13)*COUNTIF('INPUT - Roster'!$NX$6:$NX$206,"*"&amp;Settings!$F$14:$F$43&amp;"*"))</f>
        <v/>
      </c>
      <c r="NI13" s="170">
        <f>SUMPRODUCT((Settings!$G$14:$G$43=$B13)*COUNTIF('INPUT - Roster'!$NY$6:$NY$206,"*"&amp;Settings!$F$14:$F$43&amp;"*"))</f>
        <v/>
      </c>
      <c r="NJ13" s="170">
        <f>SUMPRODUCT((Settings!$G$14:$G$43=$B13)*COUNTIF('INPUT - Roster'!$NZ$6:$NZ$206,"*"&amp;Settings!$F$14:$F$43&amp;"*"))</f>
        <v/>
      </c>
      <c r="NK13" s="170">
        <f>SUMPRODUCT((Settings!$G$14:$G$43=$B13)*COUNTIF('INPUT - Roster'!$OA$6:$OA$206,"*"&amp;Settings!$F$14:$F$43&amp;"*"))</f>
        <v/>
      </c>
      <c r="NL13" s="170">
        <f>SUMPRODUCT((Settings!$G$14:$G$43=$B13)*COUNTIF('INPUT - Roster'!$OB$6:$OB$206,"*"&amp;Settings!$F$14:$F$43&amp;"*"))</f>
        <v/>
      </c>
      <c r="NM13" s="170">
        <f>SUMPRODUCT((Settings!$G$14:$G$43=$B13)*COUNTIF('INPUT - Roster'!$OC$6:$OC$206,"*"&amp;Settings!$F$14:$F$43&amp;"*"))</f>
        <v/>
      </c>
      <c r="NN13" s="170">
        <f>SUMPRODUCT((Settings!$G$14:$G$43=$B13)*COUNTIF('INPUT - Roster'!$OD$6:$OD$206,"*"&amp;Settings!$F$14:$F$43&amp;"*"))</f>
        <v/>
      </c>
      <c r="NO13" s="170">
        <f>SUMPRODUCT((Settings!$G$14:$G$43=$B13)*COUNTIF('INPUT - Roster'!$OE$6:$OE$206,"*"&amp;Settings!$F$14:$F$43&amp;"*"))</f>
        <v/>
      </c>
      <c r="NP13" s="170">
        <f>SUMPRODUCT((Settings!$G$14:$G$43=$B13)*COUNTIF('INPUT - Roster'!$OF$6:$OF$206,"*"&amp;Settings!$F$14:$F$43&amp;"*"))</f>
        <v/>
      </c>
      <c r="NQ13" s="170">
        <f>SUMPRODUCT((Settings!$G$14:$G$43=$B13)*COUNTIF('INPUT - Roster'!$OG$6:$OG$206,"*"&amp;Settings!$F$14:$F$43&amp;"*"))</f>
        <v/>
      </c>
      <c r="NR13" s="170">
        <f>SUMPRODUCT((Settings!$G$14:$G$43=$B13)*COUNTIF('INPUT - Roster'!$OH$6:$OH$206,"*"&amp;Settings!$F$14:$F$43&amp;"*"))</f>
        <v/>
      </c>
      <c r="NS13" s="170">
        <f>SUMPRODUCT((Settings!$G$14:$G$43=$B13)*COUNTIF('INPUT - Roster'!$OI$6:$OI$206,"*"&amp;Settings!$F$14:$F$43&amp;"*"))</f>
        <v/>
      </c>
      <c r="NT13" s="170">
        <f>SUMPRODUCT((Settings!$G$14:$G$43=$B13)*COUNTIF('INPUT - Roster'!$OJ$6:$OJ$206,"*"&amp;Settings!$F$14:$F$43&amp;"*"))</f>
        <v/>
      </c>
      <c r="NU13" s="170">
        <f>SUMPRODUCT((Settings!$G$14:$G$43=$B13)*COUNTIF('INPUT - Roster'!$OK$6:$OK$206,"*"&amp;Settings!$F$14:$F$43&amp;"*"))</f>
        <v/>
      </c>
      <c r="NV13" s="170">
        <f>SUMPRODUCT((Settings!$G$14:$G$43=$B13)*COUNTIF('INPUT - Roster'!$OL$6:$OL$206,"*"&amp;Settings!$F$14:$F$43&amp;"*"))</f>
        <v/>
      </c>
      <c r="NW13" s="170">
        <f>SUMPRODUCT((Settings!$G$14:$G$43=$B13)*COUNTIF('INPUT - Roster'!$OM$6:$OM$206,"*"&amp;Settings!$F$14:$F$43&amp;"*"))</f>
        <v/>
      </c>
      <c r="NX13" s="170">
        <f>SUMPRODUCT((Settings!$G$14:$G$43=$B13)*COUNTIF('INPUT - Roster'!$ON$6:$ON$206,"*"&amp;Settings!$F$14:$F$43&amp;"*"))</f>
        <v/>
      </c>
      <c r="NY13" s="170">
        <f>SUMPRODUCT((Settings!$G$14:$G$43=$B13)*COUNTIF('INPUT - Roster'!$OO$6:$OO$206,"*"&amp;Settings!$F$14:$F$43&amp;"*"))</f>
        <v/>
      </c>
      <c r="NZ13" s="170">
        <f>SUMPRODUCT((Settings!$G$14:$G$43=$B13)*COUNTIF('INPUT - Roster'!$OP$6:$OP$206,"*"&amp;Settings!$F$14:$F$43&amp;"*"))</f>
        <v/>
      </c>
      <c r="OA13" s="170">
        <f>SUMPRODUCT((Settings!$G$14:$G$43=$B13)*COUNTIF('INPUT - Roster'!$OQ$6:$OQ$206,"*"&amp;Settings!$F$14:$F$43&amp;"*"))</f>
        <v/>
      </c>
      <c r="OB13" s="170">
        <f>SUMPRODUCT((Settings!$G$14:$G$43=$B13)*COUNTIF('INPUT - Roster'!$OR$6:$OR$206,"*"&amp;Settings!$F$14:$F$43&amp;"*"))</f>
        <v/>
      </c>
      <c r="OC13" s="170">
        <f>SUMPRODUCT((Settings!$G$14:$G$43=$B13)*COUNTIF('INPUT - Roster'!$OS$6:$OS$206,"*"&amp;Settings!$F$14:$F$43&amp;"*"))</f>
        <v/>
      </c>
      <c r="OD13" s="170">
        <f>SUMPRODUCT((Settings!$G$14:$G$43=$B13)*COUNTIF('INPUT - Roster'!$OT$6:$OT$206,"*"&amp;Settings!$F$14:$F$43&amp;"*"))</f>
        <v/>
      </c>
      <c r="OE13" s="170">
        <f>SUMPRODUCT((Settings!$G$14:$G$43=$B13)*COUNTIF('INPUT - Roster'!$OU$6:$OU$206,"*"&amp;Settings!$F$14:$F$43&amp;"*"))</f>
        <v/>
      </c>
      <c r="OF13" s="170">
        <f>SUMPRODUCT((Settings!$G$14:$G$43=$B13)*COUNTIF('INPUT - Roster'!$OV$6:$OV$206,"*"&amp;Settings!$F$14:$F$43&amp;"*"))</f>
        <v/>
      </c>
      <c r="OG13" s="170">
        <f>SUMPRODUCT((Settings!$G$14:$G$43=$B13)*COUNTIF('INPUT - Roster'!$OW$6:$OW$206,"*"&amp;Settings!$F$14:$F$43&amp;"*"))</f>
        <v/>
      </c>
      <c r="OH13" s="170">
        <f>SUMPRODUCT((Settings!$G$14:$G$43=$B13)*COUNTIF('INPUT - Roster'!$OX$6:$OX$206,"*"&amp;Settings!$F$14:$F$43&amp;"*"))</f>
        <v/>
      </c>
      <c r="OI13" s="170">
        <f>SUMPRODUCT((Settings!$G$14:$G$43=$B13)*COUNTIF('INPUT - Roster'!$OY$6:$OY$206,"*"&amp;Settings!$F$14:$F$43&amp;"*"))</f>
        <v/>
      </c>
      <c r="OJ13" s="170">
        <f>SUMPRODUCT((Settings!$G$14:$G$43=$B13)*COUNTIF('INPUT - Roster'!$OZ$6:$OZ$206,"*"&amp;Settings!$F$14:$F$43&amp;"*"))</f>
        <v/>
      </c>
      <c r="OK13" s="170">
        <f>SUMPRODUCT((Settings!$G$14:$G$43=$B13)*COUNTIF('INPUT - Roster'!$PA$6:$PA$206,"*"&amp;Settings!$F$14:$F$43&amp;"*"))</f>
        <v/>
      </c>
      <c r="OL13" s="170">
        <f>SUMPRODUCT((Settings!$G$14:$G$43=$B13)*COUNTIF('INPUT - Roster'!$PB$6:$PB$206,"*"&amp;Settings!$F$14:$F$43&amp;"*"))</f>
        <v/>
      </c>
      <c r="OM13" s="170">
        <f>SUMPRODUCT((Settings!$G$14:$G$43=$B13)*COUNTIF('INPUT - Roster'!$PC$6:$PC$206,"*"&amp;Settings!$F$14:$F$43&amp;"*"))</f>
        <v/>
      </c>
      <c r="ON13" s="170">
        <f>SUMPRODUCT((Settings!$G$14:$G$43=$B13)*COUNTIF('INPUT - Roster'!$PD$6:$PD$206,"*"&amp;Settings!$F$14:$F$43&amp;"*"))</f>
        <v/>
      </c>
      <c r="OO13" s="170">
        <f>SUMPRODUCT((Settings!$G$14:$G$43=$B13)*COUNTIF('INPUT - Roster'!$PE$6:$PE$206,"*"&amp;Settings!$F$14:$F$43&amp;"*"))</f>
        <v/>
      </c>
      <c r="OP13" s="170">
        <f>SUMPRODUCT((Settings!$G$14:$G$43=$B13)*COUNTIF('INPUT - Roster'!$PF$6:$PF$206,"*"&amp;Settings!$F$14:$F$43&amp;"*"))</f>
        <v/>
      </c>
      <c r="OQ13" s="170">
        <f>SUMPRODUCT((Settings!$G$14:$G$43=$B13)*COUNTIF('INPUT - Roster'!$PG$6:$PG$206,"*"&amp;Settings!$F$14:$F$43&amp;"*"))</f>
        <v/>
      </c>
      <c r="OR13" s="170">
        <f>SUMPRODUCT((Settings!$G$14:$G$43=$B13)*COUNTIF('INPUT - Roster'!$PH$6:$PH$206,"*"&amp;Settings!$F$14:$F$43&amp;"*"))</f>
        <v/>
      </c>
      <c r="OS13" s="170">
        <f>SUMPRODUCT((Settings!$G$14:$G$43=$B13)*COUNTIF('INPUT - Roster'!$PI$6:$PI$206,"*"&amp;Settings!$F$14:$F$43&amp;"*"))</f>
        <v/>
      </c>
      <c r="OT13" s="170">
        <f>SUMPRODUCT((Settings!$G$14:$G$43=$B13)*COUNTIF('INPUT - Roster'!$PJ$6:$PJ$206,"*"&amp;Settings!$F$14:$F$43&amp;"*"))</f>
        <v/>
      </c>
      <c r="OU13" s="170">
        <f>SUMPRODUCT((Settings!$G$14:$G$43=$B13)*COUNTIF('INPUT - Roster'!$PK$6:$PK$206,"*"&amp;Settings!$F$14:$F$43&amp;"*"))</f>
        <v/>
      </c>
      <c r="OV13" s="170">
        <f>SUMPRODUCT((Settings!$G$14:$G$43=$B13)*COUNTIF('INPUT - Roster'!$PL$6:$PL$206,"*"&amp;Settings!$F$14:$F$43&amp;"*"))</f>
        <v/>
      </c>
      <c r="OW13" s="170">
        <f>SUMPRODUCT((Settings!$G$14:$G$43=$B13)*COUNTIF('INPUT - Roster'!$PM$6:$PM$206,"*"&amp;Settings!$F$14:$F$43&amp;"*"))</f>
        <v/>
      </c>
      <c r="OX13" s="170">
        <f>SUMPRODUCT((Settings!$G$14:$G$43=$B13)*COUNTIF('INPUT - Roster'!$PN$6:$PN$206,"*"&amp;Settings!$F$14:$F$43&amp;"*"))</f>
        <v/>
      </c>
      <c r="OY13" s="170">
        <f>SUMPRODUCT((Settings!$G$14:$G$43=$B13)*COUNTIF('INPUT - Roster'!$PO$6:$PO$206,"*"&amp;Settings!$F$14:$F$43&amp;"*"))</f>
        <v/>
      </c>
      <c r="OZ13" s="170">
        <f>SUMPRODUCT((Settings!$G$14:$G$43=$B13)*COUNTIF('INPUT - Roster'!$PP$6:$PP$206,"*"&amp;Settings!$F$14:$F$43&amp;"*"))</f>
        <v/>
      </c>
      <c r="PA13" s="170">
        <f>SUMPRODUCT((Settings!$G$14:$G$43=$B13)*COUNTIF('INPUT - Roster'!$PQ$6:$PQ$206,"*"&amp;Settings!$F$14:$F$43&amp;"*"))</f>
        <v/>
      </c>
      <c r="PB13" s="170">
        <f>SUMPRODUCT((Settings!$G$14:$G$43=$B13)*COUNTIF('INPUT - Roster'!$PR$6:$PR$206,"*"&amp;Settings!$F$14:$F$43&amp;"*"))</f>
        <v/>
      </c>
      <c r="PC13" s="170">
        <f>SUMPRODUCT((Settings!$G$14:$G$43=$B13)*COUNTIF('INPUT - Roster'!$PS$6:$PS$206,"*"&amp;Settings!$F$14:$F$43&amp;"*"))</f>
        <v/>
      </c>
      <c r="PD13" s="170">
        <f>SUMPRODUCT((Settings!$G$14:$G$43=$B13)*COUNTIF('INPUT - Roster'!$PT$6:$PT$206,"*"&amp;Settings!$F$14:$F$43&amp;"*"))</f>
        <v/>
      </c>
      <c r="PE13" s="170">
        <f>SUMPRODUCT((Settings!$G$14:$G$43=$B13)*COUNTIF('INPUT - Roster'!$PU$6:$PU$206,"*"&amp;Settings!$F$14:$F$43&amp;"*"))</f>
        <v/>
      </c>
      <c r="PF13" s="170">
        <f>SUMPRODUCT((Settings!$G$14:$G$43=$B13)*COUNTIF('INPUT - Roster'!$PV$6:$PV$206,"*"&amp;Settings!$F$14:$F$43&amp;"*"))</f>
        <v/>
      </c>
      <c r="PG13" s="170">
        <f>SUMPRODUCT((Settings!$G$14:$G$43=$B13)*COUNTIF('INPUT - Roster'!$PW$6:$PW$206,"*"&amp;Settings!$F$14:$F$43&amp;"*"))</f>
        <v/>
      </c>
      <c r="PH13" s="170">
        <f>SUMPRODUCT((Settings!$G$14:$G$43=$B13)*COUNTIF('INPUT - Roster'!$PX$6:$PX$206,"*"&amp;Settings!$F$14:$F$43&amp;"*"))</f>
        <v/>
      </c>
      <c r="PI13" s="170">
        <f>SUMPRODUCT((Settings!$G$14:$G$43=$B13)*COUNTIF('INPUT - Roster'!$PY$6:$PY$206,"*"&amp;Settings!$F$14:$F$43&amp;"*"))</f>
        <v/>
      </c>
      <c r="PJ13" s="170">
        <f>SUMPRODUCT((Settings!$G$14:$G$43=$B13)*COUNTIF('INPUT - Roster'!$PZ$6:$PZ$206,"*"&amp;Settings!$F$14:$F$43&amp;"*"))</f>
        <v/>
      </c>
      <c r="PK13" s="170">
        <f>SUMPRODUCT((Settings!$G$14:$G$43=$B13)*COUNTIF('INPUT - Roster'!$QA$6:$QA$206,"*"&amp;Settings!$F$14:$F$43&amp;"*"))</f>
        <v/>
      </c>
      <c r="PL13" s="170">
        <f>SUMPRODUCT((Settings!$G$14:$G$43=$B13)*COUNTIF('INPUT - Roster'!$QB$6:$QB$206,"*"&amp;Settings!$F$14:$F$43&amp;"*"))</f>
        <v/>
      </c>
      <c r="PM13" s="170">
        <f>SUMPRODUCT((Settings!$G$14:$G$43=$B13)*COUNTIF('INPUT - Roster'!$QC$6:$QC$206,"*"&amp;Settings!$F$14:$F$43&amp;"*"))</f>
        <v/>
      </c>
      <c r="PN13" s="170">
        <f>SUMPRODUCT((Settings!$G$14:$G$43=$B13)*COUNTIF('INPUT - Roster'!$QD$6:$QD$206,"*"&amp;Settings!$F$14:$F$43&amp;"*"))</f>
        <v/>
      </c>
      <c r="PO13" s="170">
        <f>SUMPRODUCT((Settings!$G$14:$G$43=$B13)*COUNTIF('INPUT - Roster'!$QE$6:$QE$206,"*"&amp;Settings!$F$14:$F$43&amp;"*"))</f>
        <v/>
      </c>
      <c r="PP13" s="170">
        <f>SUMPRODUCT((Settings!$G$14:$G$43=$B13)*COUNTIF('INPUT - Roster'!$QF$6:$QF$206,"*"&amp;Settings!$F$14:$F$43&amp;"*"))</f>
        <v/>
      </c>
      <c r="PQ13" s="170">
        <f>SUMPRODUCT((Settings!$G$14:$G$43=$B13)*COUNTIF('INPUT - Roster'!$QG$6:$QG$206,"*"&amp;Settings!$F$14:$F$43&amp;"*"))</f>
        <v/>
      </c>
      <c r="PR13" s="170">
        <f>SUMPRODUCT((Settings!$G$14:$G$43=$B13)*COUNTIF('INPUT - Roster'!$QH$6:$QH$206,"*"&amp;Settings!$F$14:$F$43&amp;"*"))</f>
        <v/>
      </c>
      <c r="PS13" s="170">
        <f>SUMPRODUCT((Settings!$G$14:$G$43=$B13)*COUNTIF('INPUT - Roster'!$QI$6:$QI$206,"*"&amp;Settings!$F$14:$F$43&amp;"*"))</f>
        <v/>
      </c>
      <c r="PT13" s="170">
        <f>SUMPRODUCT((Settings!$G$14:$G$43=$B13)*COUNTIF('INPUT - Roster'!$QJ$6:$QJ$206,"*"&amp;Settings!$F$14:$F$43&amp;"*"))</f>
        <v/>
      </c>
      <c r="PU13" s="170">
        <f>SUMPRODUCT((Settings!$G$14:$G$43=$B13)*COUNTIF('INPUT - Roster'!$QK$6:$QK$206,"*"&amp;Settings!$F$14:$F$43&amp;"*"))</f>
        <v/>
      </c>
      <c r="PV13" s="170">
        <f>SUMPRODUCT((Settings!$G$14:$G$43=$B13)*COUNTIF('INPUT - Roster'!$QL$6:$QL$206,"*"&amp;Settings!$F$14:$F$43&amp;"*"))</f>
        <v/>
      </c>
      <c r="PW13" s="170">
        <f>SUMPRODUCT((Settings!$G$14:$G$43=$B13)*COUNTIF('INPUT - Roster'!$QM$6:$QM$206,"*"&amp;Settings!$F$14:$F$43&amp;"*"))</f>
        <v/>
      </c>
      <c r="PX13" s="170">
        <f>SUMPRODUCT((Settings!$G$14:$G$43=$B13)*COUNTIF('INPUT - Roster'!$QN$6:$QN$206,"*"&amp;Settings!$F$14:$F$43&amp;"*"))</f>
        <v/>
      </c>
      <c r="PY13" s="170">
        <f>SUMPRODUCT((Settings!$G$14:$G$43=$B13)*COUNTIF('INPUT - Roster'!$QO$6:$QO$206,"*"&amp;Settings!$F$14:$F$43&amp;"*"))</f>
        <v/>
      </c>
      <c r="PZ13" s="170">
        <f>SUMPRODUCT((Settings!$G$14:$G$43=$B13)*COUNTIF('INPUT - Roster'!$QP$6:$QP$206,"*"&amp;Settings!$F$14:$F$43&amp;"*"))</f>
        <v/>
      </c>
      <c r="QA13" s="170">
        <f>SUMPRODUCT((Settings!$G$14:$G$43=$B13)*COUNTIF('INPUT - Roster'!$QQ$6:$QQ$206,"*"&amp;Settings!$F$14:$F$43&amp;"*"))</f>
        <v/>
      </c>
      <c r="QB13" s="170">
        <f>SUMPRODUCT((Settings!$G$14:$G$43=$B13)*COUNTIF('INPUT - Roster'!$QR$6:$QR$206,"*"&amp;Settings!$F$14:$F$43&amp;"*"))</f>
        <v/>
      </c>
      <c r="QC13" s="170">
        <f>SUMPRODUCT((Settings!$G$14:$G$43=$B13)*COUNTIF('INPUT - Roster'!$QS$6:$QS$206,"*"&amp;Settings!$F$14:$F$43&amp;"*"))</f>
        <v/>
      </c>
      <c r="QD13" s="170">
        <f>SUMPRODUCT((Settings!$G$14:$G$43=$B13)*COUNTIF('INPUT - Roster'!$QT$6:$QT$206,"*"&amp;Settings!$F$14:$F$43&amp;"*"))</f>
        <v/>
      </c>
      <c r="QE13" s="170">
        <f>SUMPRODUCT((Settings!$G$14:$G$43=$B13)*COUNTIF('INPUT - Roster'!$QU$6:$QU$206,"*"&amp;Settings!$F$14:$F$43&amp;"*"))</f>
        <v/>
      </c>
      <c r="QF13" s="170">
        <f>SUMPRODUCT((Settings!$G$14:$G$43=$B13)*COUNTIF('INPUT - Roster'!$QV$6:$QV$206,"*"&amp;Settings!$F$14:$F$43&amp;"*"))</f>
        <v/>
      </c>
      <c r="QG13" s="170">
        <f>SUMPRODUCT((Settings!$G$14:$G$43=$B13)*COUNTIF('INPUT - Roster'!$QW$6:$QW$206,"*"&amp;Settings!$F$14:$F$43&amp;"*"))</f>
        <v/>
      </c>
      <c r="QH13" s="170">
        <f>SUMPRODUCT((Settings!$G$14:$G$43=$B13)*COUNTIF('INPUT - Roster'!$QX$6:$QX$206,"*"&amp;Settings!$F$14:$F$43&amp;"*"))</f>
        <v/>
      </c>
      <c r="QI13" s="170">
        <f>SUMPRODUCT((Settings!$G$14:$G$43=$B13)*COUNTIF('INPUT - Roster'!$QY$6:$QY$206,"*"&amp;Settings!$F$14:$F$43&amp;"*"))</f>
        <v/>
      </c>
      <c r="QJ13" s="170">
        <f>SUMPRODUCT((Settings!$G$14:$G$43=$B13)*COUNTIF('INPUT - Roster'!$QZ$6:$QZ$206,"*"&amp;Settings!$F$14:$F$43&amp;"*"))</f>
        <v/>
      </c>
      <c r="QK13" s="170">
        <f>SUMPRODUCT((Settings!$G$14:$G$43=$B13)*COUNTIF('INPUT - Roster'!$RA$6:$RA$206,"*"&amp;Settings!$F$14:$F$43&amp;"*"))</f>
        <v/>
      </c>
      <c r="QL13" s="170">
        <f>SUMPRODUCT((Settings!$G$14:$G$43=$B13)*COUNTIF('INPUT - Roster'!$RB$6:$RB$206,"*"&amp;Settings!$F$14:$F$43&amp;"*"))</f>
        <v/>
      </c>
      <c r="QM13" s="170">
        <f>SUMPRODUCT((Settings!$G$14:$G$43=$B13)*COUNTIF('INPUT - Roster'!$RC$6:$RC$206,"*"&amp;Settings!$F$14:$F$43&amp;"*"))</f>
        <v/>
      </c>
      <c r="QN13" s="170">
        <f>SUMPRODUCT((Settings!$G$14:$G$43=$B13)*COUNTIF('INPUT - Roster'!$RD$6:$RD$206,"*"&amp;Settings!$F$14:$F$43&amp;"*"))</f>
        <v/>
      </c>
      <c r="QO13" s="170">
        <f>SUMPRODUCT((Settings!$G$14:$G$43=$B13)*COUNTIF('INPUT - Roster'!$RE$6:$RE$206,"*"&amp;Settings!$F$14:$F$43&amp;"*"))</f>
        <v/>
      </c>
      <c r="QP13" s="170">
        <f>SUMPRODUCT((Settings!$G$14:$G$43=$B13)*COUNTIF('INPUT - Roster'!$RF$6:$RF$206,"*"&amp;Settings!$F$14:$F$43&amp;"*"))</f>
        <v/>
      </c>
      <c r="QQ13" s="170">
        <f>SUMPRODUCT((Settings!$G$14:$G$43=$B13)*COUNTIF('INPUT - Roster'!$RG$6:$RG$206,"*"&amp;Settings!$F$14:$F$43&amp;"*"))</f>
        <v/>
      </c>
      <c r="QR13" s="170">
        <f>SUMPRODUCT((Settings!$G$14:$G$43=$B13)*COUNTIF('INPUT - Roster'!$RH$6:$RH$206,"*"&amp;Settings!$F$14:$F$43&amp;"*"))</f>
        <v/>
      </c>
      <c r="QS13" s="170">
        <f>SUMPRODUCT((Settings!$G$14:$G$43=$B13)*COUNTIF('INPUT - Roster'!$RI$6:$RI$206,"*"&amp;Settings!$F$14:$F$43&amp;"*"))</f>
        <v/>
      </c>
      <c r="QT13" s="170">
        <f>SUMPRODUCT((Settings!$G$14:$G$43=$B13)*COUNTIF('INPUT - Roster'!$RJ$6:$RJ$206,"*"&amp;Settings!$F$14:$F$43&amp;"*"))</f>
        <v/>
      </c>
      <c r="QU13" s="170">
        <f>SUMPRODUCT((Settings!$G$14:$G$43=$B13)*COUNTIF('INPUT - Roster'!$RK$6:$RK$206,"*"&amp;Settings!$F$14:$F$43&amp;"*"))</f>
        <v/>
      </c>
      <c r="QV13" s="170">
        <f>SUMPRODUCT((Settings!$G$14:$G$43=$B13)*COUNTIF('INPUT - Roster'!$RL$6:$RL$206,"*"&amp;Settings!$F$14:$F$43&amp;"*"))</f>
        <v/>
      </c>
      <c r="QW13" s="170">
        <f>SUMPRODUCT((Settings!$G$14:$G$43=$B13)*COUNTIF('INPUT - Roster'!$RM$6:$RM$206,"*"&amp;Settings!$F$14:$F$43&amp;"*"))</f>
        <v/>
      </c>
      <c r="QX13" s="170">
        <f>SUMPRODUCT((Settings!$G$14:$G$43=$B13)*COUNTIF('INPUT - Roster'!$RN$6:$RN$206,"*"&amp;Settings!$F$14:$F$43&amp;"*"))</f>
        <v/>
      </c>
      <c r="QY13" s="170">
        <f>SUMPRODUCT((Settings!$G$14:$G$43=$B13)*COUNTIF('INPUT - Roster'!$RO$6:$RO$206,"*"&amp;Settings!$F$14:$F$43&amp;"*"))</f>
        <v/>
      </c>
      <c r="QZ13" s="170">
        <f>SUMPRODUCT((Settings!$G$14:$G$43=$B13)*COUNTIF('INPUT - Roster'!$RP$6:$RP$206,"*"&amp;Settings!$F$14:$F$43&amp;"*"))</f>
        <v/>
      </c>
      <c r="RA13" s="170">
        <f>SUMPRODUCT((Settings!$G$14:$G$43=$B13)*COUNTIF('INPUT - Roster'!$RQ$6:$RQ$206,"*"&amp;Settings!$F$14:$F$43&amp;"*"))</f>
        <v/>
      </c>
      <c r="RB13" s="170">
        <f>SUMPRODUCT((Settings!$G$14:$G$43=$B13)*COUNTIF('INPUT - Roster'!$RR$6:$RR$206,"*"&amp;Settings!$F$14:$F$43&amp;"*"))</f>
        <v/>
      </c>
      <c r="RC13" s="170">
        <f>SUMPRODUCT((Settings!$G$14:$G$43=$B13)*COUNTIF('INPUT - Roster'!$RS$6:$RS$206,"*"&amp;Settings!$F$14:$F$43&amp;"*"))</f>
        <v/>
      </c>
      <c r="RD13" s="170">
        <f>SUMPRODUCT((Settings!$G$14:$G$43=$B13)*COUNTIF('INPUT - Roster'!$RT$6:$RT$206,"*"&amp;Settings!$F$14:$F$43&amp;"*"))</f>
        <v/>
      </c>
      <c r="RE13" s="170">
        <f>SUMPRODUCT((Settings!$G$14:$G$43=$B13)*COUNTIF('INPUT - Roster'!$RU$6:$RU$206,"*"&amp;Settings!$F$14:$F$43&amp;"*"))</f>
        <v/>
      </c>
      <c r="RF13" s="170">
        <f>SUMPRODUCT((Settings!$G$14:$G$43=$B13)*COUNTIF('INPUT - Roster'!$RV$6:$RV$206,"*"&amp;Settings!$F$14:$F$43&amp;"*"))</f>
        <v/>
      </c>
      <c r="RG13" s="170">
        <f>SUMPRODUCT((Settings!$G$14:$G$43=$B13)*COUNTIF('INPUT - Roster'!$RW$6:$RW$206,"*"&amp;Settings!$F$14:$F$43&amp;"*"))</f>
        <v/>
      </c>
      <c r="RH13" s="170">
        <f>SUMPRODUCT((Settings!$G$14:$G$43=$B13)*COUNTIF('INPUT - Roster'!$RX$6:$RX$206,"*"&amp;Settings!$F$14:$F$43&amp;"*"))</f>
        <v/>
      </c>
      <c r="RI13" s="170">
        <f>SUMPRODUCT((Settings!$G$14:$G$43=$B13)*COUNTIF('INPUT - Roster'!$RY$6:$RY$206,"*"&amp;Settings!$F$14:$F$43&amp;"*"))</f>
        <v/>
      </c>
      <c r="RJ13" s="170">
        <f>SUMPRODUCT((Settings!$G$14:$G$43=$B13)*COUNTIF('INPUT - Roster'!$RZ$6:$RZ$206,"*"&amp;Settings!$F$14:$F$43&amp;"*"))</f>
        <v/>
      </c>
      <c r="RK13" s="170">
        <f>SUMPRODUCT((Settings!$G$14:$G$43=$B13)*COUNTIF('INPUT - Roster'!$SA$6:$SA$206,"*"&amp;Settings!$F$14:$F$43&amp;"*"))</f>
        <v/>
      </c>
      <c r="RL13" s="170">
        <f>SUMPRODUCT((Settings!$G$14:$G$43=$B13)*COUNTIF('INPUT - Roster'!$SB$6:$SB$206,"*"&amp;Settings!$F$14:$F$43&amp;"*"))</f>
        <v/>
      </c>
      <c r="RM13" s="170">
        <f>SUMPRODUCT((Settings!$G$14:$G$43=$B13)*COUNTIF('INPUT - Roster'!$SC$6:$SC$206,"*"&amp;Settings!$F$14:$F$43&amp;"*"))</f>
        <v/>
      </c>
      <c r="RN13" s="170">
        <f>SUMPRODUCT((Settings!$G$14:$G$43=$B13)*COUNTIF('INPUT - Roster'!$SD$6:$SD$206,"*"&amp;Settings!$F$14:$F$43&amp;"*"))</f>
        <v/>
      </c>
      <c r="RO13" s="170">
        <f>SUMPRODUCT((Settings!$G$14:$G$43=$B13)*COUNTIF('INPUT - Roster'!$SE$6:$SE$206,"*"&amp;Settings!$F$14:$F$43&amp;"*"))</f>
        <v/>
      </c>
      <c r="RP13" s="170">
        <f>SUMPRODUCT((Settings!$G$14:$G$43=$B13)*COUNTIF('INPUT - Roster'!$SF$6:$SF$206,"*"&amp;Settings!$F$14:$F$43&amp;"*"))</f>
        <v/>
      </c>
      <c r="RQ13" s="170">
        <f>SUMPRODUCT((Settings!$G$14:$G$43=$B13)*COUNTIF('INPUT - Roster'!$SG$6:$SG$206,"*"&amp;Settings!$F$14:$F$43&amp;"*"))</f>
        <v/>
      </c>
      <c r="RR13" s="170">
        <f>SUMPRODUCT((Settings!$G$14:$G$43=$B13)*COUNTIF('INPUT - Roster'!$SH$6:$SH$206,"*"&amp;Settings!$F$14:$F$43&amp;"*"))</f>
        <v/>
      </c>
      <c r="RS13" s="170">
        <f>SUMPRODUCT((Settings!$G$14:$G$43=$B13)*COUNTIF('INPUT - Roster'!$SI$6:$SI$206,"*"&amp;Settings!$F$14:$F$43&amp;"*"))</f>
        <v/>
      </c>
      <c r="RT13" s="170">
        <f>SUMPRODUCT((Settings!$G$14:$G$43=$B13)*COUNTIF('INPUT - Roster'!$SJ$6:$SJ$206,"*"&amp;Settings!$F$14:$F$43&amp;"*"))</f>
        <v/>
      </c>
      <c r="RU13" s="170">
        <f>SUMPRODUCT((Settings!$G$14:$G$43=$B13)*COUNTIF('INPUT - Roster'!$SK$6:$SK$206,"*"&amp;Settings!$F$14:$F$43&amp;"*"))</f>
        <v/>
      </c>
      <c r="RV13" s="170">
        <f>SUMPRODUCT((Settings!$G$14:$G$43=$B13)*COUNTIF('INPUT - Roster'!$SL$6:$SL$206,"*"&amp;Settings!$F$14:$F$43&amp;"*"))</f>
        <v/>
      </c>
      <c r="RW13" s="170">
        <f>SUMPRODUCT((Settings!$G$14:$G$43=$B13)*COUNTIF('INPUT - Roster'!$SM$6:$SM$206,"*"&amp;Settings!$F$14:$F$43&amp;"*"))</f>
        <v/>
      </c>
      <c r="RX13" s="170">
        <f>SUMPRODUCT((Settings!$G$14:$G$43=$B13)*COUNTIF('INPUT - Roster'!$SN$6:$SN$206,"*"&amp;Settings!$F$14:$F$43&amp;"*"))</f>
        <v/>
      </c>
      <c r="RY13" s="170">
        <f>SUMPRODUCT((Settings!$G$14:$G$43=$B13)*COUNTIF('INPUT - Roster'!$SO$6:$SO$206,"*"&amp;Settings!$F$14:$F$43&amp;"*"))</f>
        <v/>
      </c>
      <c r="RZ13" s="170">
        <f>SUMPRODUCT((Settings!$G$14:$G$43=$B13)*COUNTIF('INPUT - Roster'!$SP$6:$SP$206,"*"&amp;Settings!$F$14:$F$43&amp;"*"))</f>
        <v/>
      </c>
      <c r="SA13" s="170">
        <f>SUMPRODUCT((Settings!$G$14:$G$43=$B13)*COUNTIF('INPUT - Roster'!$SQ$6:$SQ$206,"*"&amp;Settings!$F$14:$F$43&amp;"*"))</f>
        <v/>
      </c>
      <c r="SB13" s="170">
        <f>SUMPRODUCT((Settings!$G$14:$G$43=$B13)*COUNTIF('INPUT - Roster'!$SR$6:$SR$206,"*"&amp;Settings!$F$14:$F$43&amp;"*"))</f>
        <v/>
      </c>
      <c r="SC13" s="170">
        <f>SUMPRODUCT((Settings!$G$14:$G$43=$B13)*COUNTIF('INPUT - Roster'!$SS$6:$SS$206,"*"&amp;Settings!$F$14:$F$43&amp;"*"))</f>
        <v/>
      </c>
      <c r="SD13" s="170">
        <f>SUMPRODUCT((Settings!$G$14:$G$43=$B13)*COUNTIF('INPUT - Roster'!$ST$6:$ST$206,"*"&amp;Settings!$F$14:$F$43&amp;"*"))</f>
        <v/>
      </c>
      <c r="SE13" s="170">
        <f>SUMPRODUCT((Settings!$G$14:$G$43=$B13)*COUNTIF('INPUT - Roster'!$SU$6:$SU$206,"*"&amp;Settings!$F$14:$F$43&amp;"*"))</f>
        <v/>
      </c>
      <c r="SF13" s="170">
        <f>SUMPRODUCT((Settings!$G$14:$G$43=$B13)*COUNTIF('INPUT - Roster'!$SV$6:$SV$206,"*"&amp;Settings!$F$14:$F$43&amp;"*"))</f>
        <v/>
      </c>
    </row>
    <row r="14">
      <c r="B14" s="169" t="inlineStr">
        <is>
          <t>Kalgans Rest</t>
        </is>
      </c>
      <c r="C14" s="170">
        <f>SUMPRODUCT((Settings!$G$14:$G$43=$B14)*COUNTIF('INPUT - Roster'!$S$6:$S$206,"*"&amp;Settings!$F$14:$F$43&amp;"*"))</f>
        <v/>
      </c>
      <c r="D14" s="170">
        <f>SUMPRODUCT((Settings!$G$14:$G$43=$B14)*COUNTIF('INPUT - Roster'!$T$6:$T$206,"*"&amp;Settings!$F$14:$F$43&amp;"*"))</f>
        <v/>
      </c>
      <c r="E14" s="170">
        <f>SUMPRODUCT((Settings!$G$14:$G$43=$B14)*COUNTIF('INPUT - Roster'!$U$6:$U$206,"*"&amp;Settings!$F$14:$F$43&amp;"*"))</f>
        <v/>
      </c>
      <c r="F14" s="170">
        <f>SUMPRODUCT((Settings!$G$14:$G$43=$B14)*COUNTIF('INPUT - Roster'!$V$6:$V$206,"*"&amp;Settings!$F$14:$F$43&amp;"*"))</f>
        <v/>
      </c>
      <c r="G14" s="170">
        <f>SUMPRODUCT((Settings!$G$14:$G$43=$B14)*COUNTIF('INPUT - Roster'!$W$6:$W$206,"*"&amp;Settings!$F$14:$F$43&amp;"*"))</f>
        <v/>
      </c>
      <c r="H14" s="170">
        <f>SUMPRODUCT((Settings!$G$14:$G$43=$B14)*COUNTIF('INPUT - Roster'!$X$6:$X$206,"*"&amp;Settings!$F$14:$F$43&amp;"*"))</f>
        <v/>
      </c>
      <c r="I14" s="170">
        <f>SUMPRODUCT((Settings!$G$14:$G$43=$B14)*COUNTIF('INPUT - Roster'!$Y$6:$Y$206,"*"&amp;Settings!$F$14:$F$43&amp;"*"))</f>
        <v/>
      </c>
      <c r="J14" s="170">
        <f>SUMPRODUCT((Settings!$G$14:$G$43=$B14)*COUNTIF('INPUT - Roster'!$Z$6:$Z$206,"*"&amp;Settings!$F$14:$F$43&amp;"*"))</f>
        <v/>
      </c>
      <c r="K14" s="170">
        <f>SUMPRODUCT((Settings!$G$14:$G$43=$B14)*COUNTIF('INPUT - Roster'!$AA$6:$AA$206,"*"&amp;Settings!$F$14:$F$43&amp;"*"))</f>
        <v/>
      </c>
      <c r="L14" s="170">
        <f>SUMPRODUCT((Settings!$G$14:$G$43=$B14)*COUNTIF('INPUT - Roster'!$AB$6:$AB$206,"*"&amp;Settings!$F$14:$F$43&amp;"*"))</f>
        <v/>
      </c>
      <c r="M14" s="170">
        <f>SUMPRODUCT((Settings!$G$14:$G$43=$B14)*COUNTIF('INPUT - Roster'!$AC$6:$AC$206,"*"&amp;Settings!$F$14:$F$43&amp;"*"))</f>
        <v/>
      </c>
      <c r="N14" s="170">
        <f>SUMPRODUCT((Settings!$G$14:$G$43=$B14)*COUNTIF('INPUT - Roster'!$AD$6:$AD$206,"*"&amp;Settings!$F$14:$F$43&amp;"*"))</f>
        <v/>
      </c>
      <c r="O14" s="170">
        <f>SUMPRODUCT((Settings!$G$14:$G$43=$B14)*COUNTIF('INPUT - Roster'!$AE$6:$AE$206,"*"&amp;Settings!$F$14:$F$43&amp;"*"))</f>
        <v/>
      </c>
      <c r="P14" s="170">
        <f>SUMPRODUCT((Settings!$G$14:$G$43=$B14)*COUNTIF('INPUT - Roster'!$AF$6:$AF$206,"*"&amp;Settings!$F$14:$F$43&amp;"*"))</f>
        <v/>
      </c>
      <c r="Q14" s="170">
        <f>SUMPRODUCT((Settings!$G$14:$G$43=$B14)*COUNTIF('INPUT - Roster'!$AG$6:$AG$206,"*"&amp;Settings!$F$14:$F$43&amp;"*"))</f>
        <v/>
      </c>
      <c r="R14" s="170">
        <f>SUMPRODUCT((Settings!$G$14:$G$43=$B14)*COUNTIF('INPUT - Roster'!$AH$6:$AH$206,"*"&amp;Settings!$F$14:$F$43&amp;"*"))</f>
        <v/>
      </c>
      <c r="S14" s="170">
        <f>SUMPRODUCT((Settings!$G$14:$G$43=$B14)*COUNTIF('INPUT - Roster'!$AI$6:$AI$206,"*"&amp;Settings!$F$14:$F$43&amp;"*"))</f>
        <v/>
      </c>
      <c r="T14" s="170">
        <f>SUMPRODUCT((Settings!$G$14:$G$43=$B14)*COUNTIF('INPUT - Roster'!$AJ$6:$AJ$206,"*"&amp;Settings!$F$14:$F$43&amp;"*"))</f>
        <v/>
      </c>
      <c r="U14" s="170">
        <f>SUMPRODUCT((Settings!$G$14:$G$43=$B14)*COUNTIF('INPUT - Roster'!$AK$6:$AK$206,"*"&amp;Settings!$F$14:$F$43&amp;"*"))</f>
        <v/>
      </c>
      <c r="V14" s="170">
        <f>SUMPRODUCT((Settings!$G$14:$G$43=$B14)*COUNTIF('INPUT - Roster'!$AL$6:$AL$206,"*"&amp;Settings!$F$14:$F$43&amp;"*"))</f>
        <v/>
      </c>
      <c r="W14" s="170">
        <f>SUMPRODUCT((Settings!$G$14:$G$43=$B14)*COUNTIF('INPUT - Roster'!$AM$6:$AM$206,"*"&amp;Settings!$F$14:$F$43&amp;"*"))</f>
        <v/>
      </c>
      <c r="X14" s="170">
        <f>SUMPRODUCT((Settings!$G$14:$G$43=$B14)*COUNTIF('INPUT - Roster'!$AN$6:$AN$206,"*"&amp;Settings!$F$14:$F$43&amp;"*"))</f>
        <v/>
      </c>
      <c r="Y14" s="170">
        <f>SUMPRODUCT((Settings!$G$14:$G$43=$B14)*COUNTIF('INPUT - Roster'!$AO$6:$AO$206,"*"&amp;Settings!$F$14:$F$43&amp;"*"))</f>
        <v/>
      </c>
      <c r="Z14" s="170">
        <f>SUMPRODUCT((Settings!$G$14:$G$43=$B14)*COUNTIF('INPUT - Roster'!$AP$6:$AP$206,"*"&amp;Settings!$F$14:$F$43&amp;"*"))</f>
        <v/>
      </c>
      <c r="AA14" s="170">
        <f>SUMPRODUCT((Settings!$G$14:$G$43=$B14)*COUNTIF('INPUT - Roster'!$AQ$6:$AQ$206,"*"&amp;Settings!$F$14:$F$43&amp;"*"))</f>
        <v/>
      </c>
      <c r="AB14" s="170">
        <f>SUMPRODUCT((Settings!$G$14:$G$43=$B14)*COUNTIF('INPUT - Roster'!$AR$6:$AR$206,"*"&amp;Settings!$F$14:$F$43&amp;"*"))</f>
        <v/>
      </c>
      <c r="AC14" s="170">
        <f>SUMPRODUCT((Settings!$G$14:$G$43=$B14)*COUNTIF('INPUT - Roster'!$AS$6:$AS$206,"*"&amp;Settings!$F$14:$F$43&amp;"*"))</f>
        <v/>
      </c>
      <c r="AD14" s="170">
        <f>SUMPRODUCT((Settings!$G$14:$G$43=$B14)*COUNTIF('INPUT - Roster'!$AT$6:$AT$206,"*"&amp;Settings!$F$14:$F$43&amp;"*"))</f>
        <v/>
      </c>
      <c r="AE14" s="170">
        <f>SUMPRODUCT((Settings!$G$14:$G$43=$B14)*COUNTIF('INPUT - Roster'!$AU$6:$AU$206,"*"&amp;Settings!$F$14:$F$43&amp;"*"))</f>
        <v/>
      </c>
      <c r="AF14" s="170">
        <f>SUMPRODUCT((Settings!$G$14:$G$43=$B14)*COUNTIF('INPUT - Roster'!$AV$6:$AV$206,"*"&amp;Settings!$F$14:$F$43&amp;"*"))</f>
        <v/>
      </c>
      <c r="AG14" s="170">
        <f>SUMPRODUCT((Settings!$G$14:$G$43=$B14)*COUNTIF('INPUT - Roster'!$AW$6:$AW$206,"*"&amp;Settings!$F$14:$F$43&amp;"*"))</f>
        <v/>
      </c>
      <c r="AH14" s="170">
        <f>SUMPRODUCT((Settings!$G$14:$G$43=$B14)*COUNTIF('INPUT - Roster'!$AX$6:$AX$206,"*"&amp;Settings!$F$14:$F$43&amp;"*"))</f>
        <v/>
      </c>
      <c r="AI14" s="170">
        <f>SUMPRODUCT((Settings!$G$14:$G$43=$B14)*COUNTIF('INPUT - Roster'!$AY$6:$AY$206,"*"&amp;Settings!$F$14:$F$43&amp;"*"))</f>
        <v/>
      </c>
      <c r="AJ14" s="170">
        <f>SUMPRODUCT((Settings!$G$14:$G$43=$B14)*COUNTIF('INPUT - Roster'!$AZ$6:$AZ$206,"*"&amp;Settings!$F$14:$F$43&amp;"*"))</f>
        <v/>
      </c>
      <c r="AK14" s="170">
        <f>SUMPRODUCT((Settings!$G$14:$G$43=$B14)*COUNTIF('INPUT - Roster'!$BA$6:$BA$206,"*"&amp;Settings!$F$14:$F$43&amp;"*"))</f>
        <v/>
      </c>
      <c r="AL14" s="170">
        <f>SUMPRODUCT((Settings!$G$14:$G$43=$B14)*COUNTIF('INPUT - Roster'!$BB$6:$BB$206,"*"&amp;Settings!$F$14:$F$43&amp;"*"))</f>
        <v/>
      </c>
      <c r="AM14" s="170">
        <f>SUMPRODUCT((Settings!$G$14:$G$43=$B14)*COUNTIF('INPUT - Roster'!$BC$6:$BC$206,"*"&amp;Settings!$F$14:$F$43&amp;"*"))</f>
        <v/>
      </c>
      <c r="AN14" s="170">
        <f>SUMPRODUCT((Settings!$G$14:$G$43=$B14)*COUNTIF('INPUT - Roster'!$BD$6:$BD$206,"*"&amp;Settings!$F$14:$F$43&amp;"*"))</f>
        <v/>
      </c>
      <c r="AO14" s="170">
        <f>SUMPRODUCT((Settings!$G$14:$G$43=$B14)*COUNTIF('INPUT - Roster'!$BE$6:$BE$206,"*"&amp;Settings!$F$14:$F$43&amp;"*"))</f>
        <v/>
      </c>
      <c r="AP14" s="170">
        <f>SUMPRODUCT((Settings!$G$14:$G$43=$B14)*COUNTIF('INPUT - Roster'!$BF$6:$BF$206,"*"&amp;Settings!$F$14:$F$43&amp;"*"))</f>
        <v/>
      </c>
      <c r="AQ14" s="170">
        <f>SUMPRODUCT((Settings!$G$14:$G$43=$B14)*COUNTIF('INPUT - Roster'!$BG$6:$BG$206,"*"&amp;Settings!$F$14:$F$43&amp;"*"))</f>
        <v/>
      </c>
      <c r="AR14" s="170">
        <f>SUMPRODUCT((Settings!$G$14:$G$43=$B14)*COUNTIF('INPUT - Roster'!$BH$6:$BH$206,"*"&amp;Settings!$F$14:$F$43&amp;"*"))</f>
        <v/>
      </c>
      <c r="AS14" s="170">
        <f>SUMPRODUCT((Settings!$G$14:$G$43=$B14)*COUNTIF('INPUT - Roster'!$BI$6:$BI$206,"*"&amp;Settings!$F$14:$F$43&amp;"*"))</f>
        <v/>
      </c>
      <c r="AT14" s="170">
        <f>SUMPRODUCT((Settings!$G$14:$G$43=$B14)*COUNTIF('INPUT - Roster'!$BJ$6:$BJ$206,"*"&amp;Settings!$F$14:$F$43&amp;"*"))</f>
        <v/>
      </c>
      <c r="AU14" s="170">
        <f>SUMPRODUCT((Settings!$G$14:$G$43=$B14)*COUNTIF('INPUT - Roster'!$BK$6:$BK$206,"*"&amp;Settings!$F$14:$F$43&amp;"*"))</f>
        <v/>
      </c>
      <c r="AV14" s="170">
        <f>SUMPRODUCT((Settings!$G$14:$G$43=$B14)*COUNTIF('INPUT - Roster'!$BL$6:$BL$206,"*"&amp;Settings!$F$14:$F$43&amp;"*"))</f>
        <v/>
      </c>
      <c r="AW14" s="170">
        <f>SUMPRODUCT((Settings!$G$14:$G$43=$B14)*COUNTIF('INPUT - Roster'!$BM$6:$BM$206,"*"&amp;Settings!$F$14:$F$43&amp;"*"))</f>
        <v/>
      </c>
      <c r="AX14" s="170">
        <f>SUMPRODUCT((Settings!$G$14:$G$43=$B14)*COUNTIF('INPUT - Roster'!$BN$6:$BN$206,"*"&amp;Settings!$F$14:$F$43&amp;"*"))</f>
        <v/>
      </c>
      <c r="AY14" s="170">
        <f>SUMPRODUCT((Settings!$G$14:$G$43=$B14)*COUNTIF('INPUT - Roster'!$BO$6:$BO$206,"*"&amp;Settings!$F$14:$F$43&amp;"*"))</f>
        <v/>
      </c>
      <c r="AZ14" s="170">
        <f>SUMPRODUCT((Settings!$G$14:$G$43=$B14)*COUNTIF('INPUT - Roster'!$BP$6:$BP$206,"*"&amp;Settings!$F$14:$F$43&amp;"*"))</f>
        <v/>
      </c>
      <c r="BA14" s="170">
        <f>SUMPRODUCT((Settings!$G$14:$G$43=$B14)*COUNTIF('INPUT - Roster'!$BQ$6:$BQ$206,"*"&amp;Settings!$F$14:$F$43&amp;"*"))</f>
        <v/>
      </c>
      <c r="BB14" s="170">
        <f>SUMPRODUCT((Settings!$G$14:$G$43=$B14)*COUNTIF('INPUT - Roster'!$BR$6:$BR$206,"*"&amp;Settings!$F$14:$F$43&amp;"*"))</f>
        <v/>
      </c>
      <c r="BC14" s="170">
        <f>SUMPRODUCT((Settings!$G$14:$G$43=$B14)*COUNTIF('INPUT - Roster'!$BS$6:$BS$206,"*"&amp;Settings!$F$14:$F$43&amp;"*"))</f>
        <v/>
      </c>
      <c r="BD14" s="170">
        <f>SUMPRODUCT((Settings!$G$14:$G$43=$B14)*COUNTIF('INPUT - Roster'!$BT$6:$BT$206,"*"&amp;Settings!$F$14:$F$43&amp;"*"))</f>
        <v/>
      </c>
      <c r="BE14" s="170">
        <f>SUMPRODUCT((Settings!$G$14:$G$43=$B14)*COUNTIF('INPUT - Roster'!$BU$6:$BU$206,"*"&amp;Settings!$F$14:$F$43&amp;"*"))</f>
        <v/>
      </c>
      <c r="BF14" s="170">
        <f>SUMPRODUCT((Settings!$G$14:$G$43=$B14)*COUNTIF('INPUT - Roster'!$BV$6:$BV$206,"*"&amp;Settings!$F$14:$F$43&amp;"*"))</f>
        <v/>
      </c>
      <c r="BG14" s="170">
        <f>SUMPRODUCT((Settings!$G$14:$G$43=$B14)*COUNTIF('INPUT - Roster'!$BW$6:$BW$206,"*"&amp;Settings!$F$14:$F$43&amp;"*"))</f>
        <v/>
      </c>
      <c r="BH14" s="170">
        <f>SUMPRODUCT((Settings!$G$14:$G$43=$B14)*COUNTIF('INPUT - Roster'!$BX$6:$BX$206,"*"&amp;Settings!$F$14:$F$43&amp;"*"))</f>
        <v/>
      </c>
      <c r="BI14" s="170">
        <f>SUMPRODUCT((Settings!$G$14:$G$43=$B14)*COUNTIF('INPUT - Roster'!$BY$6:$BY$206,"*"&amp;Settings!$F$14:$F$43&amp;"*"))</f>
        <v/>
      </c>
      <c r="BJ14" s="170">
        <f>SUMPRODUCT((Settings!$G$14:$G$43=$B14)*COUNTIF('INPUT - Roster'!$BZ$6:$BZ$206,"*"&amp;Settings!$F$14:$F$43&amp;"*"))</f>
        <v/>
      </c>
      <c r="BK14" s="170">
        <f>SUMPRODUCT((Settings!$G$14:$G$43=$B14)*COUNTIF('INPUT - Roster'!$CA$6:$CA$206,"*"&amp;Settings!$F$14:$F$43&amp;"*"))</f>
        <v/>
      </c>
      <c r="BL14" s="170">
        <f>SUMPRODUCT((Settings!$G$14:$G$43=$B14)*COUNTIF('INPUT - Roster'!$CB$6:$CB$206,"*"&amp;Settings!$F$14:$F$43&amp;"*"))</f>
        <v/>
      </c>
      <c r="BM14" s="170">
        <f>SUMPRODUCT((Settings!$G$14:$G$43=$B14)*COUNTIF('INPUT - Roster'!$CC$6:$CC$206,"*"&amp;Settings!$F$14:$F$43&amp;"*"))</f>
        <v/>
      </c>
      <c r="BN14" s="170">
        <f>SUMPRODUCT((Settings!$G$14:$G$43=$B14)*COUNTIF('INPUT - Roster'!$CD$6:$CD$206,"*"&amp;Settings!$F$14:$F$43&amp;"*"))</f>
        <v/>
      </c>
      <c r="BO14" s="170">
        <f>SUMPRODUCT((Settings!$G$14:$G$43=$B14)*COUNTIF('INPUT - Roster'!$CE$6:$CE$206,"*"&amp;Settings!$F$14:$F$43&amp;"*"))</f>
        <v/>
      </c>
      <c r="BP14" s="170">
        <f>SUMPRODUCT((Settings!$G$14:$G$43=$B14)*COUNTIF('INPUT - Roster'!$CF$6:$CF$206,"*"&amp;Settings!$F$14:$F$43&amp;"*"))</f>
        <v/>
      </c>
      <c r="BQ14" s="170">
        <f>SUMPRODUCT((Settings!$G$14:$G$43=$B14)*COUNTIF('INPUT - Roster'!$CG$6:$CG$206,"*"&amp;Settings!$F$14:$F$43&amp;"*"))</f>
        <v/>
      </c>
      <c r="BR14" s="170">
        <f>SUMPRODUCT((Settings!$G$14:$G$43=$B14)*COUNTIF('INPUT - Roster'!$CH$6:$CH$206,"*"&amp;Settings!$F$14:$F$43&amp;"*"))</f>
        <v/>
      </c>
      <c r="BS14" s="170">
        <f>SUMPRODUCT((Settings!$G$14:$G$43=$B14)*COUNTIF('INPUT - Roster'!$CI$6:$CI$206,"*"&amp;Settings!$F$14:$F$43&amp;"*"))</f>
        <v/>
      </c>
      <c r="BT14" s="170">
        <f>SUMPRODUCT((Settings!$G$14:$G$43=$B14)*COUNTIF('INPUT - Roster'!$CJ$6:$CJ$206,"*"&amp;Settings!$F$14:$F$43&amp;"*"))</f>
        <v/>
      </c>
      <c r="BU14" s="170">
        <f>SUMPRODUCT((Settings!$G$14:$G$43=$B14)*COUNTIF('INPUT - Roster'!$CK$6:$CK$206,"*"&amp;Settings!$F$14:$F$43&amp;"*"))</f>
        <v/>
      </c>
      <c r="BV14" s="170">
        <f>SUMPRODUCT((Settings!$G$14:$G$43=$B14)*COUNTIF('INPUT - Roster'!$CL$6:$CL$206,"*"&amp;Settings!$F$14:$F$43&amp;"*"))</f>
        <v/>
      </c>
      <c r="BW14" s="170">
        <f>SUMPRODUCT((Settings!$G$14:$G$43=$B14)*COUNTIF('INPUT - Roster'!$CM$6:$CM$206,"*"&amp;Settings!$F$14:$F$43&amp;"*"))</f>
        <v/>
      </c>
      <c r="BX14" s="170">
        <f>SUMPRODUCT((Settings!$G$14:$G$43=$B14)*COUNTIF('INPUT - Roster'!$CN$6:$CN$206,"*"&amp;Settings!$F$14:$F$43&amp;"*"))</f>
        <v/>
      </c>
      <c r="BY14" s="170">
        <f>SUMPRODUCT((Settings!$G$14:$G$43=$B14)*COUNTIF('INPUT - Roster'!$CO$6:$CO$206,"*"&amp;Settings!$F$14:$F$43&amp;"*"))</f>
        <v/>
      </c>
      <c r="BZ14" s="170">
        <f>SUMPRODUCT((Settings!$G$14:$G$43=$B14)*COUNTIF('INPUT - Roster'!$CP$6:$CP$206,"*"&amp;Settings!$F$14:$F$43&amp;"*"))</f>
        <v/>
      </c>
      <c r="CA14" s="170">
        <f>SUMPRODUCT((Settings!$G$14:$G$43=$B14)*COUNTIF('INPUT - Roster'!$CQ$6:$CQ$206,"*"&amp;Settings!$F$14:$F$43&amp;"*"))</f>
        <v/>
      </c>
      <c r="CB14" s="170">
        <f>SUMPRODUCT((Settings!$G$14:$G$43=$B14)*COUNTIF('INPUT - Roster'!$CR$6:$CR$206,"*"&amp;Settings!$F$14:$F$43&amp;"*"))</f>
        <v/>
      </c>
      <c r="CC14" s="170">
        <f>SUMPRODUCT((Settings!$G$14:$G$43=$B14)*COUNTIF('INPUT - Roster'!$CS$6:$CS$206,"*"&amp;Settings!$F$14:$F$43&amp;"*"))</f>
        <v/>
      </c>
      <c r="CD14" s="170">
        <f>SUMPRODUCT((Settings!$G$14:$G$43=$B14)*COUNTIF('INPUT - Roster'!$CT$6:$CT$206,"*"&amp;Settings!$F$14:$F$43&amp;"*"))</f>
        <v/>
      </c>
      <c r="CE14" s="170">
        <f>SUMPRODUCT((Settings!$G$14:$G$43=$B14)*COUNTIF('INPUT - Roster'!$CU$6:$CU$206,"*"&amp;Settings!$F$14:$F$43&amp;"*"))</f>
        <v/>
      </c>
      <c r="CF14" s="170">
        <f>SUMPRODUCT((Settings!$G$14:$G$43=$B14)*COUNTIF('INPUT - Roster'!$CV$6:$CV$206,"*"&amp;Settings!$F$14:$F$43&amp;"*"))</f>
        <v/>
      </c>
      <c r="CG14" s="170">
        <f>SUMPRODUCT((Settings!$G$14:$G$43=$B14)*COUNTIF('INPUT - Roster'!$CW$6:$CW$206,"*"&amp;Settings!$F$14:$F$43&amp;"*"))</f>
        <v/>
      </c>
      <c r="CH14" s="170">
        <f>SUMPRODUCT((Settings!$G$14:$G$43=$B14)*COUNTIF('INPUT - Roster'!$CX$6:$CX$206,"*"&amp;Settings!$F$14:$F$43&amp;"*"))</f>
        <v/>
      </c>
      <c r="CI14" s="170">
        <f>SUMPRODUCT((Settings!$G$14:$G$43=$B14)*COUNTIF('INPUT - Roster'!$CY$6:$CY$206,"*"&amp;Settings!$F$14:$F$43&amp;"*"))</f>
        <v/>
      </c>
      <c r="CJ14" s="170">
        <f>SUMPRODUCT((Settings!$G$14:$G$43=$B14)*COUNTIF('INPUT - Roster'!$CZ$6:$CZ$206,"*"&amp;Settings!$F$14:$F$43&amp;"*"))</f>
        <v/>
      </c>
      <c r="CK14" s="170">
        <f>SUMPRODUCT((Settings!$G$14:$G$43=$B14)*COUNTIF('INPUT - Roster'!$DA$6:$DA$206,"*"&amp;Settings!$F$14:$F$43&amp;"*"))</f>
        <v/>
      </c>
      <c r="CL14" s="170">
        <f>SUMPRODUCT((Settings!$G$14:$G$43=$B14)*COUNTIF('INPUT - Roster'!$DB$6:$DB$206,"*"&amp;Settings!$F$14:$F$43&amp;"*"))</f>
        <v/>
      </c>
      <c r="CM14" s="170">
        <f>SUMPRODUCT((Settings!$G$14:$G$43=$B14)*COUNTIF('INPUT - Roster'!$DC$6:$DC$206,"*"&amp;Settings!$F$14:$F$43&amp;"*"))</f>
        <v/>
      </c>
      <c r="CN14" s="170">
        <f>SUMPRODUCT((Settings!$G$14:$G$43=$B14)*COUNTIF('INPUT - Roster'!$DD$6:$DD$206,"*"&amp;Settings!$F$14:$F$43&amp;"*"))</f>
        <v/>
      </c>
      <c r="CO14" s="170">
        <f>SUMPRODUCT((Settings!$G$14:$G$43=$B14)*COUNTIF('INPUT - Roster'!$DE$6:$DE$206,"*"&amp;Settings!$F$14:$F$43&amp;"*"))</f>
        <v/>
      </c>
      <c r="CP14" s="170">
        <f>SUMPRODUCT((Settings!$G$14:$G$43=$B14)*COUNTIF('INPUT - Roster'!$DF$6:$DF$206,"*"&amp;Settings!$F$14:$F$43&amp;"*"))</f>
        <v/>
      </c>
      <c r="CQ14" s="170">
        <f>SUMPRODUCT((Settings!$G$14:$G$43=$B14)*COUNTIF('INPUT - Roster'!$DG$6:$DG$206,"*"&amp;Settings!$F$14:$F$43&amp;"*"))</f>
        <v/>
      </c>
      <c r="CR14" s="170">
        <f>SUMPRODUCT((Settings!$G$14:$G$43=$B14)*COUNTIF('INPUT - Roster'!$DH$6:$DH$206,"*"&amp;Settings!$F$14:$F$43&amp;"*"))</f>
        <v/>
      </c>
      <c r="CS14" s="170">
        <f>SUMPRODUCT((Settings!$G$14:$G$43=$B14)*COUNTIF('INPUT - Roster'!$DI$6:$DI$206,"*"&amp;Settings!$F$14:$F$43&amp;"*"))</f>
        <v/>
      </c>
      <c r="CT14" s="170">
        <f>SUMPRODUCT((Settings!$G$14:$G$43=$B14)*COUNTIF('INPUT - Roster'!$DJ$6:$DJ$206,"*"&amp;Settings!$F$14:$F$43&amp;"*"))</f>
        <v/>
      </c>
      <c r="CU14" s="170">
        <f>SUMPRODUCT((Settings!$G$14:$G$43=$B14)*COUNTIF('INPUT - Roster'!$DK$6:$DK$206,"*"&amp;Settings!$F$14:$F$43&amp;"*"))</f>
        <v/>
      </c>
      <c r="CV14" s="170">
        <f>SUMPRODUCT((Settings!$G$14:$G$43=$B14)*COUNTIF('INPUT - Roster'!$DL$6:$DL$206,"*"&amp;Settings!$F$14:$F$43&amp;"*"))</f>
        <v/>
      </c>
      <c r="CW14" s="170">
        <f>SUMPRODUCT((Settings!$G$14:$G$43=$B14)*COUNTIF('INPUT - Roster'!$DM$6:$DM$206,"*"&amp;Settings!$F$14:$F$43&amp;"*"))</f>
        <v/>
      </c>
      <c r="CX14" s="170">
        <f>SUMPRODUCT((Settings!$G$14:$G$43=$B14)*COUNTIF('INPUT - Roster'!$DN$6:$DN$206,"*"&amp;Settings!$F$14:$F$43&amp;"*"))</f>
        <v/>
      </c>
      <c r="CY14" s="170">
        <f>SUMPRODUCT((Settings!$G$14:$G$43=$B14)*COUNTIF('INPUT - Roster'!$DO$6:$DO$206,"*"&amp;Settings!$F$14:$F$43&amp;"*"))</f>
        <v/>
      </c>
      <c r="CZ14" s="170">
        <f>SUMPRODUCT((Settings!$G$14:$G$43=$B14)*COUNTIF('INPUT - Roster'!$DP$6:$DP$206,"*"&amp;Settings!$F$14:$F$43&amp;"*"))</f>
        <v/>
      </c>
      <c r="DA14" s="170">
        <f>SUMPRODUCT((Settings!$G$14:$G$43=$B14)*COUNTIF('INPUT - Roster'!$DQ$6:$DQ$206,"*"&amp;Settings!$F$14:$F$43&amp;"*"))</f>
        <v/>
      </c>
      <c r="DB14" s="170">
        <f>SUMPRODUCT((Settings!$G$14:$G$43=$B14)*COUNTIF('INPUT - Roster'!$DR$6:$DR$206,"*"&amp;Settings!$F$14:$F$43&amp;"*"))</f>
        <v/>
      </c>
      <c r="DC14" s="170">
        <f>SUMPRODUCT((Settings!$G$14:$G$43=$B14)*COUNTIF('INPUT - Roster'!$DS$6:$DS$206,"*"&amp;Settings!$F$14:$F$43&amp;"*"))</f>
        <v/>
      </c>
      <c r="DD14" s="170">
        <f>SUMPRODUCT((Settings!$G$14:$G$43=$B14)*COUNTIF('INPUT - Roster'!$DT$6:$DT$206,"*"&amp;Settings!$F$14:$F$43&amp;"*"))</f>
        <v/>
      </c>
      <c r="DE14" s="170">
        <f>SUMPRODUCT((Settings!$G$14:$G$43=$B14)*COUNTIF('INPUT - Roster'!$DU$6:$DU$206,"*"&amp;Settings!$F$14:$F$43&amp;"*"))</f>
        <v/>
      </c>
      <c r="DF14" s="170">
        <f>SUMPRODUCT((Settings!$G$14:$G$43=$B14)*COUNTIF('INPUT - Roster'!$DV$6:$DV$206,"*"&amp;Settings!$F$14:$F$43&amp;"*"))</f>
        <v/>
      </c>
      <c r="DG14" s="170">
        <f>SUMPRODUCT((Settings!$G$14:$G$43=$B14)*COUNTIF('INPUT - Roster'!$DW$6:$DW$206,"*"&amp;Settings!$F$14:$F$43&amp;"*"))</f>
        <v/>
      </c>
      <c r="DH14" s="170">
        <f>SUMPRODUCT((Settings!$G$14:$G$43=$B14)*COUNTIF('INPUT - Roster'!$DX$6:$DX$206,"*"&amp;Settings!$F$14:$F$43&amp;"*"))</f>
        <v/>
      </c>
      <c r="DI14" s="170">
        <f>SUMPRODUCT((Settings!$G$14:$G$43=$B14)*COUNTIF('INPUT - Roster'!$DY$6:$DY$206,"*"&amp;Settings!$F$14:$F$43&amp;"*"))</f>
        <v/>
      </c>
      <c r="DJ14" s="170">
        <f>SUMPRODUCT((Settings!$G$14:$G$43=$B14)*COUNTIF('INPUT - Roster'!$DZ$6:$DZ$206,"*"&amp;Settings!$F$14:$F$43&amp;"*"))</f>
        <v/>
      </c>
      <c r="DK14" s="170">
        <f>SUMPRODUCT((Settings!$G$14:$G$43=$B14)*COUNTIF('INPUT - Roster'!$EA$6:$EA$206,"*"&amp;Settings!$F$14:$F$43&amp;"*"))</f>
        <v/>
      </c>
      <c r="DL14" s="170">
        <f>SUMPRODUCT((Settings!$G$14:$G$43=$B14)*COUNTIF('INPUT - Roster'!$EB$6:$EB$206,"*"&amp;Settings!$F$14:$F$43&amp;"*"))</f>
        <v/>
      </c>
      <c r="DM14" s="170">
        <f>SUMPRODUCT((Settings!$G$14:$G$43=$B14)*COUNTIF('INPUT - Roster'!$EC$6:$EC$206,"*"&amp;Settings!$F$14:$F$43&amp;"*"))</f>
        <v/>
      </c>
      <c r="DN14" s="170">
        <f>SUMPRODUCT((Settings!$G$14:$G$43=$B14)*COUNTIF('INPUT - Roster'!$ED$6:$ED$206,"*"&amp;Settings!$F$14:$F$43&amp;"*"))</f>
        <v/>
      </c>
      <c r="DO14" s="170">
        <f>SUMPRODUCT((Settings!$G$14:$G$43=$B14)*COUNTIF('INPUT - Roster'!$EE$6:$EE$206,"*"&amp;Settings!$F$14:$F$43&amp;"*"))</f>
        <v/>
      </c>
      <c r="DP14" s="170">
        <f>SUMPRODUCT((Settings!$G$14:$G$43=$B14)*COUNTIF('INPUT - Roster'!$EF$6:$EF$206,"*"&amp;Settings!$F$14:$F$43&amp;"*"))</f>
        <v/>
      </c>
      <c r="DQ14" s="170">
        <f>SUMPRODUCT((Settings!$G$14:$G$43=$B14)*COUNTIF('INPUT - Roster'!$EG$6:$EG$206,"*"&amp;Settings!$F$14:$F$43&amp;"*"))</f>
        <v/>
      </c>
      <c r="DR14" s="170">
        <f>SUMPRODUCT((Settings!$G$14:$G$43=$B14)*COUNTIF('INPUT - Roster'!$EH$6:$EH$206,"*"&amp;Settings!$F$14:$F$43&amp;"*"))</f>
        <v/>
      </c>
      <c r="DS14" s="170">
        <f>SUMPRODUCT((Settings!$G$14:$G$43=$B14)*COUNTIF('INPUT - Roster'!$EI$6:$EI$206,"*"&amp;Settings!$F$14:$F$43&amp;"*"))</f>
        <v/>
      </c>
      <c r="DT14" s="170">
        <f>SUMPRODUCT((Settings!$G$14:$G$43=$B14)*COUNTIF('INPUT - Roster'!$EJ$6:$EJ$206,"*"&amp;Settings!$F$14:$F$43&amp;"*"))</f>
        <v/>
      </c>
      <c r="DU14" s="170">
        <f>SUMPRODUCT((Settings!$G$14:$G$43=$B14)*COUNTIF('INPUT - Roster'!$EK$6:$EK$206,"*"&amp;Settings!$F$14:$F$43&amp;"*"))</f>
        <v/>
      </c>
      <c r="DV14" s="170">
        <f>SUMPRODUCT((Settings!$G$14:$G$43=$B14)*COUNTIF('INPUT - Roster'!$EL$6:$EL$206,"*"&amp;Settings!$F$14:$F$43&amp;"*"))</f>
        <v/>
      </c>
      <c r="DW14" s="170">
        <f>SUMPRODUCT((Settings!$G$14:$G$43=$B14)*COUNTIF('INPUT - Roster'!$EM$6:$EM$206,"*"&amp;Settings!$F$14:$F$43&amp;"*"))</f>
        <v/>
      </c>
      <c r="DX14" s="170">
        <f>SUMPRODUCT((Settings!$G$14:$G$43=$B14)*COUNTIF('INPUT - Roster'!$EN$6:$EN$206,"*"&amp;Settings!$F$14:$F$43&amp;"*"))</f>
        <v/>
      </c>
      <c r="DY14" s="170">
        <f>SUMPRODUCT((Settings!$G$14:$G$43=$B14)*COUNTIF('INPUT - Roster'!$EO$6:$EO$206,"*"&amp;Settings!$F$14:$F$43&amp;"*"))</f>
        <v/>
      </c>
      <c r="DZ14" s="170">
        <f>SUMPRODUCT((Settings!$G$14:$G$43=$B14)*COUNTIF('INPUT - Roster'!$EP$6:$EP$206,"*"&amp;Settings!$F$14:$F$43&amp;"*"))</f>
        <v/>
      </c>
      <c r="EA14" s="170">
        <f>SUMPRODUCT((Settings!$G$14:$G$43=$B14)*COUNTIF('INPUT - Roster'!$EQ$6:$EQ$206,"*"&amp;Settings!$F$14:$F$43&amp;"*"))</f>
        <v/>
      </c>
      <c r="EB14" s="170">
        <f>SUMPRODUCT((Settings!$G$14:$G$43=$B14)*COUNTIF('INPUT - Roster'!$ER$6:$ER$206,"*"&amp;Settings!$F$14:$F$43&amp;"*"))</f>
        <v/>
      </c>
      <c r="EC14" s="170">
        <f>SUMPRODUCT((Settings!$G$14:$G$43=$B14)*COUNTIF('INPUT - Roster'!$ES$6:$ES$206,"*"&amp;Settings!$F$14:$F$43&amp;"*"))</f>
        <v/>
      </c>
      <c r="ED14" s="170">
        <f>SUMPRODUCT((Settings!$G$14:$G$43=$B14)*COUNTIF('INPUT - Roster'!$ET$6:$ET$206,"*"&amp;Settings!$F$14:$F$43&amp;"*"))</f>
        <v/>
      </c>
      <c r="EE14" s="170">
        <f>SUMPRODUCT((Settings!$G$14:$G$43=$B14)*COUNTIF('INPUT - Roster'!$EU$6:$EU$206,"*"&amp;Settings!$F$14:$F$43&amp;"*"))</f>
        <v/>
      </c>
      <c r="EF14" s="170">
        <f>SUMPRODUCT((Settings!$G$14:$G$43=$B14)*COUNTIF('INPUT - Roster'!$EV$6:$EV$206,"*"&amp;Settings!$F$14:$F$43&amp;"*"))</f>
        <v/>
      </c>
      <c r="EG14" s="170">
        <f>SUMPRODUCT((Settings!$G$14:$G$43=$B14)*COUNTIF('INPUT - Roster'!$EW$6:$EW$206,"*"&amp;Settings!$F$14:$F$43&amp;"*"))</f>
        <v/>
      </c>
      <c r="EH14" s="170">
        <f>SUMPRODUCT((Settings!$G$14:$G$43=$B14)*COUNTIF('INPUT - Roster'!$EX$6:$EX$206,"*"&amp;Settings!$F$14:$F$43&amp;"*"))</f>
        <v/>
      </c>
      <c r="EI14" s="170">
        <f>SUMPRODUCT((Settings!$G$14:$G$43=$B14)*COUNTIF('INPUT - Roster'!$EY$6:$EY$206,"*"&amp;Settings!$F$14:$F$43&amp;"*"))</f>
        <v/>
      </c>
      <c r="EJ14" s="170">
        <f>SUMPRODUCT((Settings!$G$14:$G$43=$B14)*COUNTIF('INPUT - Roster'!$EZ$6:$EZ$206,"*"&amp;Settings!$F$14:$F$43&amp;"*"))</f>
        <v/>
      </c>
      <c r="EK14" s="170">
        <f>SUMPRODUCT((Settings!$G$14:$G$43=$B14)*COUNTIF('INPUT - Roster'!$FA$6:$FA$206,"*"&amp;Settings!$F$14:$F$43&amp;"*"))</f>
        <v/>
      </c>
      <c r="EL14" s="170">
        <f>SUMPRODUCT((Settings!$G$14:$G$43=$B14)*COUNTIF('INPUT - Roster'!$FB$6:$FB$206,"*"&amp;Settings!$F$14:$F$43&amp;"*"))</f>
        <v/>
      </c>
      <c r="EM14" s="170">
        <f>SUMPRODUCT((Settings!$G$14:$G$43=$B14)*COUNTIF('INPUT - Roster'!$FC$6:$FC$206,"*"&amp;Settings!$F$14:$F$43&amp;"*"))</f>
        <v/>
      </c>
      <c r="EN14" s="170">
        <f>SUMPRODUCT((Settings!$G$14:$G$43=$B14)*COUNTIF('INPUT - Roster'!$FD$6:$FD$206,"*"&amp;Settings!$F$14:$F$43&amp;"*"))</f>
        <v/>
      </c>
      <c r="EO14" s="170">
        <f>SUMPRODUCT((Settings!$G$14:$G$43=$B14)*COUNTIF('INPUT - Roster'!$FE$6:$FE$206,"*"&amp;Settings!$F$14:$F$43&amp;"*"))</f>
        <v/>
      </c>
      <c r="EP14" s="170">
        <f>SUMPRODUCT((Settings!$G$14:$G$43=$B14)*COUNTIF('INPUT - Roster'!$FF$6:$FF$206,"*"&amp;Settings!$F$14:$F$43&amp;"*"))</f>
        <v/>
      </c>
      <c r="EQ14" s="170">
        <f>SUMPRODUCT((Settings!$G$14:$G$43=$B14)*COUNTIF('INPUT - Roster'!$FG$6:$FG$206,"*"&amp;Settings!$F$14:$F$43&amp;"*"))</f>
        <v/>
      </c>
      <c r="ER14" s="170">
        <f>SUMPRODUCT((Settings!$G$14:$G$43=$B14)*COUNTIF('INPUT - Roster'!$FH$6:$FH$206,"*"&amp;Settings!$F$14:$F$43&amp;"*"))</f>
        <v/>
      </c>
      <c r="ES14" s="170">
        <f>SUMPRODUCT((Settings!$G$14:$G$43=$B14)*COUNTIF('INPUT - Roster'!$FI$6:$FI$206,"*"&amp;Settings!$F$14:$F$43&amp;"*"))</f>
        <v/>
      </c>
      <c r="ET14" s="170">
        <f>SUMPRODUCT((Settings!$G$14:$G$43=$B14)*COUNTIF('INPUT - Roster'!$FJ$6:$FJ$206,"*"&amp;Settings!$F$14:$F$43&amp;"*"))</f>
        <v/>
      </c>
      <c r="EU14" s="170">
        <f>SUMPRODUCT((Settings!$G$14:$G$43=$B14)*COUNTIF('INPUT - Roster'!$FK$6:$FK$206,"*"&amp;Settings!$F$14:$F$43&amp;"*"))</f>
        <v/>
      </c>
      <c r="EV14" s="170">
        <f>SUMPRODUCT((Settings!$G$14:$G$43=$B14)*COUNTIF('INPUT - Roster'!$FL$6:$FL$206,"*"&amp;Settings!$F$14:$F$43&amp;"*"))</f>
        <v/>
      </c>
      <c r="EW14" s="170">
        <f>SUMPRODUCT((Settings!$G$14:$G$43=$B14)*COUNTIF('INPUT - Roster'!$FM$6:$FM$206,"*"&amp;Settings!$F$14:$F$43&amp;"*"))</f>
        <v/>
      </c>
      <c r="EX14" s="170">
        <f>SUMPRODUCT((Settings!$G$14:$G$43=$B14)*COUNTIF('INPUT - Roster'!$FN$6:$FN$206,"*"&amp;Settings!$F$14:$F$43&amp;"*"))</f>
        <v/>
      </c>
      <c r="EY14" s="170">
        <f>SUMPRODUCT((Settings!$G$14:$G$43=$B14)*COUNTIF('INPUT - Roster'!$FO$6:$FO$206,"*"&amp;Settings!$F$14:$F$43&amp;"*"))</f>
        <v/>
      </c>
      <c r="EZ14" s="170">
        <f>SUMPRODUCT((Settings!$G$14:$G$43=$B14)*COUNTIF('INPUT - Roster'!$FP$6:$FP$206,"*"&amp;Settings!$F$14:$F$43&amp;"*"))</f>
        <v/>
      </c>
      <c r="FA14" s="170">
        <f>SUMPRODUCT((Settings!$G$14:$G$43=$B14)*COUNTIF('INPUT - Roster'!$FQ$6:$FQ$206,"*"&amp;Settings!$F$14:$F$43&amp;"*"))</f>
        <v/>
      </c>
      <c r="FB14" s="170">
        <f>SUMPRODUCT((Settings!$G$14:$G$43=$B14)*COUNTIF('INPUT - Roster'!$FR$6:$FR$206,"*"&amp;Settings!$F$14:$F$43&amp;"*"))</f>
        <v/>
      </c>
      <c r="FC14" s="170">
        <f>SUMPRODUCT((Settings!$G$14:$G$43=$B14)*COUNTIF('INPUT - Roster'!$FS$6:$FS$206,"*"&amp;Settings!$F$14:$F$43&amp;"*"))</f>
        <v/>
      </c>
      <c r="FD14" s="170">
        <f>SUMPRODUCT((Settings!$G$14:$G$43=$B14)*COUNTIF('INPUT - Roster'!$FT$6:$FT$206,"*"&amp;Settings!$F$14:$F$43&amp;"*"))</f>
        <v/>
      </c>
      <c r="FE14" s="170">
        <f>SUMPRODUCT((Settings!$G$14:$G$43=$B14)*COUNTIF('INPUT - Roster'!$FU$6:$FU$206,"*"&amp;Settings!$F$14:$F$43&amp;"*"))</f>
        <v/>
      </c>
      <c r="FF14" s="170">
        <f>SUMPRODUCT((Settings!$G$14:$G$43=$B14)*COUNTIF('INPUT - Roster'!$FV$6:$FV$206,"*"&amp;Settings!$F$14:$F$43&amp;"*"))</f>
        <v/>
      </c>
      <c r="FG14" s="170">
        <f>SUMPRODUCT((Settings!$G$14:$G$43=$B14)*COUNTIF('INPUT - Roster'!$FW$6:$FW$206,"*"&amp;Settings!$F$14:$F$43&amp;"*"))</f>
        <v/>
      </c>
      <c r="FH14" s="170">
        <f>SUMPRODUCT((Settings!$G$14:$G$43=$B14)*COUNTIF('INPUT - Roster'!$FX$6:$FX$206,"*"&amp;Settings!$F$14:$F$43&amp;"*"))</f>
        <v/>
      </c>
      <c r="FI14" s="170">
        <f>SUMPRODUCT((Settings!$G$14:$G$43=$B14)*COUNTIF('INPUT - Roster'!$FY$6:$FY$206,"*"&amp;Settings!$F$14:$F$43&amp;"*"))</f>
        <v/>
      </c>
      <c r="FJ14" s="170">
        <f>SUMPRODUCT((Settings!$G$14:$G$43=$B14)*COUNTIF('INPUT - Roster'!$FZ$6:$FZ$206,"*"&amp;Settings!$F$14:$F$43&amp;"*"))</f>
        <v/>
      </c>
      <c r="FK14" s="170">
        <f>SUMPRODUCT((Settings!$G$14:$G$43=$B14)*COUNTIF('INPUT - Roster'!$GA$6:$GA$206,"*"&amp;Settings!$F$14:$F$43&amp;"*"))</f>
        <v/>
      </c>
      <c r="FL14" s="170">
        <f>SUMPRODUCT((Settings!$G$14:$G$43=$B14)*COUNTIF('INPUT - Roster'!$GB$6:$GB$206,"*"&amp;Settings!$F$14:$F$43&amp;"*"))</f>
        <v/>
      </c>
      <c r="FM14" s="170">
        <f>SUMPRODUCT((Settings!$G$14:$G$43=$B14)*COUNTIF('INPUT - Roster'!$GC$6:$GC$206,"*"&amp;Settings!$F$14:$F$43&amp;"*"))</f>
        <v/>
      </c>
      <c r="FN14" s="170">
        <f>SUMPRODUCT((Settings!$G$14:$G$43=$B14)*COUNTIF('INPUT - Roster'!$GD$6:$GD$206,"*"&amp;Settings!$F$14:$F$43&amp;"*"))</f>
        <v/>
      </c>
      <c r="FO14" s="170">
        <f>SUMPRODUCT((Settings!$G$14:$G$43=$B14)*COUNTIF('INPUT - Roster'!$GE$6:$GE$206,"*"&amp;Settings!$F$14:$F$43&amp;"*"))</f>
        <v/>
      </c>
      <c r="FP14" s="170">
        <f>SUMPRODUCT((Settings!$G$14:$G$43=$B14)*COUNTIF('INPUT - Roster'!$GF$6:$GF$206,"*"&amp;Settings!$F$14:$F$43&amp;"*"))</f>
        <v/>
      </c>
      <c r="FQ14" s="170">
        <f>SUMPRODUCT((Settings!$G$14:$G$43=$B14)*COUNTIF('INPUT - Roster'!$GG$6:$GG$206,"*"&amp;Settings!$F$14:$F$43&amp;"*"))</f>
        <v/>
      </c>
      <c r="FR14" s="170">
        <f>SUMPRODUCT((Settings!$G$14:$G$43=$B14)*COUNTIF('INPUT - Roster'!$GH$6:$GH$206,"*"&amp;Settings!$F$14:$F$43&amp;"*"))</f>
        <v/>
      </c>
      <c r="FS14" s="170">
        <f>SUMPRODUCT((Settings!$G$14:$G$43=$B14)*COUNTIF('INPUT - Roster'!$GI$6:$GI$206,"*"&amp;Settings!$F$14:$F$43&amp;"*"))</f>
        <v/>
      </c>
      <c r="FT14" s="170">
        <f>SUMPRODUCT((Settings!$G$14:$G$43=$B14)*COUNTIF('INPUT - Roster'!$GJ$6:$GJ$206,"*"&amp;Settings!$F$14:$F$43&amp;"*"))</f>
        <v/>
      </c>
      <c r="FU14" s="170">
        <f>SUMPRODUCT((Settings!$G$14:$G$43=$B14)*COUNTIF('INPUT - Roster'!$GK$6:$GK$206,"*"&amp;Settings!$F$14:$F$43&amp;"*"))</f>
        <v/>
      </c>
      <c r="FV14" s="170">
        <f>SUMPRODUCT((Settings!$G$14:$G$43=$B14)*COUNTIF('INPUT - Roster'!$GL$6:$GL$206,"*"&amp;Settings!$F$14:$F$43&amp;"*"))</f>
        <v/>
      </c>
      <c r="FW14" s="170">
        <f>SUMPRODUCT((Settings!$G$14:$G$43=$B14)*COUNTIF('INPUT - Roster'!$GM$6:$GM$206,"*"&amp;Settings!$F$14:$F$43&amp;"*"))</f>
        <v/>
      </c>
      <c r="FX14" s="170">
        <f>SUMPRODUCT((Settings!$G$14:$G$43=$B14)*COUNTIF('INPUT - Roster'!$GN$6:$GN$206,"*"&amp;Settings!$F$14:$F$43&amp;"*"))</f>
        <v/>
      </c>
      <c r="FY14" s="170">
        <f>SUMPRODUCT((Settings!$G$14:$G$43=$B14)*COUNTIF('INPUT - Roster'!$GO$6:$GO$206,"*"&amp;Settings!$F$14:$F$43&amp;"*"))</f>
        <v/>
      </c>
      <c r="FZ14" s="170">
        <f>SUMPRODUCT((Settings!$G$14:$G$43=$B14)*COUNTIF('INPUT - Roster'!$GP$6:$GP$206,"*"&amp;Settings!$F$14:$F$43&amp;"*"))</f>
        <v/>
      </c>
      <c r="GA14" s="170">
        <f>SUMPRODUCT((Settings!$G$14:$G$43=$B14)*COUNTIF('INPUT - Roster'!$GQ$6:$GQ$206,"*"&amp;Settings!$F$14:$F$43&amp;"*"))</f>
        <v/>
      </c>
      <c r="GB14" s="170">
        <f>SUMPRODUCT((Settings!$G$14:$G$43=$B14)*COUNTIF('INPUT - Roster'!$GR$6:$GR$206,"*"&amp;Settings!$F$14:$F$43&amp;"*"))</f>
        <v/>
      </c>
      <c r="GC14" s="170">
        <f>SUMPRODUCT((Settings!$G$14:$G$43=$B14)*COUNTIF('INPUT - Roster'!$GS$6:$GS$206,"*"&amp;Settings!$F$14:$F$43&amp;"*"))</f>
        <v/>
      </c>
      <c r="GD14" s="170">
        <f>SUMPRODUCT((Settings!$G$14:$G$43=$B14)*COUNTIF('INPUT - Roster'!$GT$6:$GT$206,"*"&amp;Settings!$F$14:$F$43&amp;"*"))</f>
        <v/>
      </c>
      <c r="GE14" s="170">
        <f>SUMPRODUCT((Settings!$G$14:$G$43=$B14)*COUNTIF('INPUT - Roster'!$GU$6:$GU$206,"*"&amp;Settings!$F$14:$F$43&amp;"*"))</f>
        <v/>
      </c>
      <c r="GF14" s="170">
        <f>SUMPRODUCT((Settings!$G$14:$G$43=$B14)*COUNTIF('INPUT - Roster'!$GV$6:$GV$206,"*"&amp;Settings!$F$14:$F$43&amp;"*"))</f>
        <v/>
      </c>
      <c r="GG14" s="170">
        <f>SUMPRODUCT((Settings!$G$14:$G$43=$B14)*COUNTIF('INPUT - Roster'!$GW$6:$GW$206,"*"&amp;Settings!$F$14:$F$43&amp;"*"))</f>
        <v/>
      </c>
      <c r="GH14" s="170">
        <f>SUMPRODUCT((Settings!$G$14:$G$43=$B14)*COUNTIF('INPUT - Roster'!$GX$6:$GX$206,"*"&amp;Settings!$F$14:$F$43&amp;"*"))</f>
        <v/>
      </c>
      <c r="GI14" s="170">
        <f>SUMPRODUCT((Settings!$G$14:$G$43=$B14)*COUNTIF('INPUT - Roster'!$GY$6:$GY$206,"*"&amp;Settings!$F$14:$F$43&amp;"*"))</f>
        <v/>
      </c>
      <c r="GJ14" s="170">
        <f>SUMPRODUCT((Settings!$G$14:$G$43=$B14)*COUNTIF('INPUT - Roster'!$GZ$6:$GZ$206,"*"&amp;Settings!$F$14:$F$43&amp;"*"))</f>
        <v/>
      </c>
      <c r="GK14" s="170">
        <f>SUMPRODUCT((Settings!$G$14:$G$43=$B14)*COUNTIF('INPUT - Roster'!$HA$6:$HA$206,"*"&amp;Settings!$F$14:$F$43&amp;"*"))</f>
        <v/>
      </c>
      <c r="GL14" s="170">
        <f>SUMPRODUCT((Settings!$G$14:$G$43=$B14)*COUNTIF('INPUT - Roster'!$HB$6:$HB$206,"*"&amp;Settings!$F$14:$F$43&amp;"*"))</f>
        <v/>
      </c>
      <c r="GM14" s="170">
        <f>SUMPRODUCT((Settings!$G$14:$G$43=$B14)*COUNTIF('INPUT - Roster'!$HC$6:$HC$206,"*"&amp;Settings!$F$14:$F$43&amp;"*"))</f>
        <v/>
      </c>
      <c r="GN14" s="170">
        <f>SUMPRODUCT((Settings!$G$14:$G$43=$B14)*COUNTIF('INPUT - Roster'!$HD$6:$HD$206,"*"&amp;Settings!$F$14:$F$43&amp;"*"))</f>
        <v/>
      </c>
      <c r="GO14" s="170">
        <f>SUMPRODUCT((Settings!$G$14:$G$43=$B14)*COUNTIF('INPUT - Roster'!$HE$6:$HE$206,"*"&amp;Settings!$F$14:$F$43&amp;"*"))</f>
        <v/>
      </c>
      <c r="GP14" s="170">
        <f>SUMPRODUCT((Settings!$G$14:$G$43=$B14)*COUNTIF('INPUT - Roster'!$HF$6:$HF$206,"*"&amp;Settings!$F$14:$F$43&amp;"*"))</f>
        <v/>
      </c>
      <c r="GQ14" s="170">
        <f>SUMPRODUCT((Settings!$G$14:$G$43=$B14)*COUNTIF('INPUT - Roster'!$HG$6:$HG$206,"*"&amp;Settings!$F$14:$F$43&amp;"*"))</f>
        <v/>
      </c>
      <c r="GR14" s="170">
        <f>SUMPRODUCT((Settings!$G$14:$G$43=$B14)*COUNTIF('INPUT - Roster'!$HH$6:$HH$206,"*"&amp;Settings!$F$14:$F$43&amp;"*"))</f>
        <v/>
      </c>
      <c r="GS14" s="170">
        <f>SUMPRODUCT((Settings!$G$14:$G$43=$B14)*COUNTIF('INPUT - Roster'!$HI$6:$HI$206,"*"&amp;Settings!$F$14:$F$43&amp;"*"))</f>
        <v/>
      </c>
      <c r="GT14" s="170">
        <f>SUMPRODUCT((Settings!$G$14:$G$43=$B14)*COUNTIF('INPUT - Roster'!$HJ$6:$HJ$206,"*"&amp;Settings!$F$14:$F$43&amp;"*"))</f>
        <v/>
      </c>
      <c r="GU14" s="170">
        <f>SUMPRODUCT((Settings!$G$14:$G$43=$B14)*COUNTIF('INPUT - Roster'!$HK$6:$HK$206,"*"&amp;Settings!$F$14:$F$43&amp;"*"))</f>
        <v/>
      </c>
      <c r="GV14" s="170">
        <f>SUMPRODUCT((Settings!$G$14:$G$43=$B14)*COUNTIF('INPUT - Roster'!$HL$6:$HL$206,"*"&amp;Settings!$F$14:$F$43&amp;"*"))</f>
        <v/>
      </c>
      <c r="GW14" s="170">
        <f>SUMPRODUCT((Settings!$G$14:$G$43=$B14)*COUNTIF('INPUT - Roster'!$HM$6:$HM$206,"*"&amp;Settings!$F$14:$F$43&amp;"*"))</f>
        <v/>
      </c>
      <c r="GX14" s="170">
        <f>SUMPRODUCT((Settings!$G$14:$G$43=$B14)*COUNTIF('INPUT - Roster'!$HN$6:$HN$206,"*"&amp;Settings!$F$14:$F$43&amp;"*"))</f>
        <v/>
      </c>
      <c r="GY14" s="170">
        <f>SUMPRODUCT((Settings!$G$14:$G$43=$B14)*COUNTIF('INPUT - Roster'!$HO$6:$HO$206,"*"&amp;Settings!$F$14:$F$43&amp;"*"))</f>
        <v/>
      </c>
      <c r="GZ14" s="170">
        <f>SUMPRODUCT((Settings!$G$14:$G$43=$B14)*COUNTIF('INPUT - Roster'!$HP$6:$HP$206,"*"&amp;Settings!$F$14:$F$43&amp;"*"))</f>
        <v/>
      </c>
      <c r="HA14" s="170">
        <f>SUMPRODUCT((Settings!$G$14:$G$43=$B14)*COUNTIF('INPUT - Roster'!$HQ$6:$HQ$206,"*"&amp;Settings!$F$14:$F$43&amp;"*"))</f>
        <v/>
      </c>
      <c r="HB14" s="170">
        <f>SUMPRODUCT((Settings!$G$14:$G$43=$B14)*COUNTIF('INPUT - Roster'!$HR$6:$HR$206,"*"&amp;Settings!$F$14:$F$43&amp;"*"))</f>
        <v/>
      </c>
      <c r="HC14" s="170">
        <f>SUMPRODUCT((Settings!$G$14:$G$43=$B14)*COUNTIF('INPUT - Roster'!$HS$6:$HS$206,"*"&amp;Settings!$F$14:$F$43&amp;"*"))</f>
        <v/>
      </c>
      <c r="HD14" s="170">
        <f>SUMPRODUCT((Settings!$G$14:$G$43=$B14)*COUNTIF('INPUT - Roster'!$HT$6:$HT$206,"*"&amp;Settings!$F$14:$F$43&amp;"*"))</f>
        <v/>
      </c>
      <c r="HE14" s="170">
        <f>SUMPRODUCT((Settings!$G$14:$G$43=$B14)*COUNTIF('INPUT - Roster'!$HU$6:$HU$206,"*"&amp;Settings!$F$14:$F$43&amp;"*"))</f>
        <v/>
      </c>
      <c r="HF14" s="170">
        <f>SUMPRODUCT((Settings!$G$14:$G$43=$B14)*COUNTIF('INPUT - Roster'!$HV$6:$HV$206,"*"&amp;Settings!$F$14:$F$43&amp;"*"))</f>
        <v/>
      </c>
      <c r="HG14" s="170">
        <f>SUMPRODUCT((Settings!$G$14:$G$43=$B14)*COUNTIF('INPUT - Roster'!$HW$6:$HW$206,"*"&amp;Settings!$F$14:$F$43&amp;"*"))</f>
        <v/>
      </c>
      <c r="HH14" s="170">
        <f>SUMPRODUCT((Settings!$G$14:$G$43=$B14)*COUNTIF('INPUT - Roster'!$HX$6:$HX$206,"*"&amp;Settings!$F$14:$F$43&amp;"*"))</f>
        <v/>
      </c>
      <c r="HI14" s="170">
        <f>SUMPRODUCT((Settings!$G$14:$G$43=$B14)*COUNTIF('INPUT - Roster'!$HY$6:$HY$206,"*"&amp;Settings!$F$14:$F$43&amp;"*"))</f>
        <v/>
      </c>
      <c r="HJ14" s="170">
        <f>SUMPRODUCT((Settings!$G$14:$G$43=$B14)*COUNTIF('INPUT - Roster'!$HZ$6:$HZ$206,"*"&amp;Settings!$F$14:$F$43&amp;"*"))</f>
        <v/>
      </c>
      <c r="HK14" s="170">
        <f>SUMPRODUCT((Settings!$G$14:$G$43=$B14)*COUNTIF('INPUT - Roster'!$IA$6:$IA$206,"*"&amp;Settings!$F$14:$F$43&amp;"*"))</f>
        <v/>
      </c>
      <c r="HL14" s="170">
        <f>SUMPRODUCT((Settings!$G$14:$G$43=$B14)*COUNTIF('INPUT - Roster'!$IB$6:$IB$206,"*"&amp;Settings!$F$14:$F$43&amp;"*"))</f>
        <v/>
      </c>
      <c r="HM14" s="170">
        <f>SUMPRODUCT((Settings!$G$14:$G$43=$B14)*COUNTIF('INPUT - Roster'!$IC$6:$IC$206,"*"&amp;Settings!$F$14:$F$43&amp;"*"))</f>
        <v/>
      </c>
      <c r="HN14" s="170">
        <f>SUMPRODUCT((Settings!$G$14:$G$43=$B14)*COUNTIF('INPUT - Roster'!$ID$6:$ID$206,"*"&amp;Settings!$F$14:$F$43&amp;"*"))</f>
        <v/>
      </c>
      <c r="HO14" s="170">
        <f>SUMPRODUCT((Settings!$G$14:$G$43=$B14)*COUNTIF('INPUT - Roster'!$IE$6:$IE$206,"*"&amp;Settings!$F$14:$F$43&amp;"*"))</f>
        <v/>
      </c>
      <c r="HP14" s="170">
        <f>SUMPRODUCT((Settings!$G$14:$G$43=$B14)*COUNTIF('INPUT - Roster'!$IF$6:$IF$206,"*"&amp;Settings!$F$14:$F$43&amp;"*"))</f>
        <v/>
      </c>
      <c r="HQ14" s="170">
        <f>SUMPRODUCT((Settings!$G$14:$G$43=$B14)*COUNTIF('INPUT - Roster'!$IG$6:$IG$206,"*"&amp;Settings!$F$14:$F$43&amp;"*"))</f>
        <v/>
      </c>
      <c r="HR14" s="170">
        <f>SUMPRODUCT((Settings!$G$14:$G$43=$B14)*COUNTIF('INPUT - Roster'!$IH$6:$IH$206,"*"&amp;Settings!$F$14:$F$43&amp;"*"))</f>
        <v/>
      </c>
      <c r="HS14" s="170">
        <f>SUMPRODUCT((Settings!$G$14:$G$43=$B14)*COUNTIF('INPUT - Roster'!$II$6:$II$206,"*"&amp;Settings!$F$14:$F$43&amp;"*"))</f>
        <v/>
      </c>
      <c r="HT14" s="170">
        <f>SUMPRODUCT((Settings!$G$14:$G$43=$B14)*COUNTIF('INPUT - Roster'!$IJ$6:$IJ$206,"*"&amp;Settings!$F$14:$F$43&amp;"*"))</f>
        <v/>
      </c>
      <c r="HU14" s="170">
        <f>SUMPRODUCT((Settings!$G$14:$G$43=$B14)*COUNTIF('INPUT - Roster'!$IK$6:$IK$206,"*"&amp;Settings!$F$14:$F$43&amp;"*"))</f>
        <v/>
      </c>
      <c r="HV14" s="170">
        <f>SUMPRODUCT((Settings!$G$14:$G$43=$B14)*COUNTIF('INPUT - Roster'!$IL$6:$IL$206,"*"&amp;Settings!$F$14:$F$43&amp;"*"))</f>
        <v/>
      </c>
      <c r="HW14" s="170">
        <f>SUMPRODUCT((Settings!$G$14:$G$43=$B14)*COUNTIF('INPUT - Roster'!$IM$6:$IM$206,"*"&amp;Settings!$F$14:$F$43&amp;"*"))</f>
        <v/>
      </c>
      <c r="HX14" s="170">
        <f>SUMPRODUCT((Settings!$G$14:$G$43=$B14)*COUNTIF('INPUT - Roster'!$IN$6:$IN$206,"*"&amp;Settings!$F$14:$F$43&amp;"*"))</f>
        <v/>
      </c>
      <c r="HY14" s="170">
        <f>SUMPRODUCT((Settings!$G$14:$G$43=$B14)*COUNTIF('INPUT - Roster'!$IO$6:$IO$206,"*"&amp;Settings!$F$14:$F$43&amp;"*"))</f>
        <v/>
      </c>
      <c r="HZ14" s="170">
        <f>SUMPRODUCT((Settings!$G$14:$G$43=$B14)*COUNTIF('INPUT - Roster'!$IP$6:$IP$206,"*"&amp;Settings!$F$14:$F$43&amp;"*"))</f>
        <v/>
      </c>
      <c r="IA14" s="170">
        <f>SUMPRODUCT((Settings!$G$14:$G$43=$B14)*COUNTIF('INPUT - Roster'!$IQ$6:$IQ$206,"*"&amp;Settings!$F$14:$F$43&amp;"*"))</f>
        <v/>
      </c>
      <c r="IB14" s="170">
        <f>SUMPRODUCT((Settings!$G$14:$G$43=$B14)*COUNTIF('INPUT - Roster'!$IR$6:$IR$206,"*"&amp;Settings!$F$14:$F$43&amp;"*"))</f>
        <v/>
      </c>
      <c r="IC14" s="170">
        <f>SUMPRODUCT((Settings!$G$14:$G$43=$B14)*COUNTIF('INPUT - Roster'!$IS$6:$IS$206,"*"&amp;Settings!$F$14:$F$43&amp;"*"))</f>
        <v/>
      </c>
      <c r="ID14" s="170">
        <f>SUMPRODUCT((Settings!$G$14:$G$43=$B14)*COUNTIF('INPUT - Roster'!$IT$6:$IT$206,"*"&amp;Settings!$F$14:$F$43&amp;"*"))</f>
        <v/>
      </c>
      <c r="IE14" s="170">
        <f>SUMPRODUCT((Settings!$G$14:$G$43=$B14)*COUNTIF('INPUT - Roster'!$IU$6:$IU$206,"*"&amp;Settings!$F$14:$F$43&amp;"*"))</f>
        <v/>
      </c>
      <c r="IF14" s="170">
        <f>SUMPRODUCT((Settings!$G$14:$G$43=$B14)*COUNTIF('INPUT - Roster'!$IV$6:$IV$206,"*"&amp;Settings!$F$14:$F$43&amp;"*"))</f>
        <v/>
      </c>
      <c r="IG14" s="170">
        <f>SUMPRODUCT((Settings!$G$14:$G$43=$B14)*COUNTIF('INPUT - Roster'!$IW$6:$IW$206,"*"&amp;Settings!$F$14:$F$43&amp;"*"))</f>
        <v/>
      </c>
      <c r="IH14" s="170">
        <f>SUMPRODUCT((Settings!$G$14:$G$43=$B14)*COUNTIF('INPUT - Roster'!$IX$6:$IX$206,"*"&amp;Settings!$F$14:$F$43&amp;"*"))</f>
        <v/>
      </c>
      <c r="II14" s="170">
        <f>SUMPRODUCT((Settings!$G$14:$G$43=$B14)*COUNTIF('INPUT - Roster'!$IY$6:$IY$206,"*"&amp;Settings!$F$14:$F$43&amp;"*"))</f>
        <v/>
      </c>
      <c r="IJ14" s="170">
        <f>SUMPRODUCT((Settings!$G$14:$G$43=$B14)*COUNTIF('INPUT - Roster'!$IZ$6:$IZ$206,"*"&amp;Settings!$F$14:$F$43&amp;"*"))</f>
        <v/>
      </c>
      <c r="IK14" s="170">
        <f>SUMPRODUCT((Settings!$G$14:$G$43=$B14)*COUNTIF('INPUT - Roster'!$JA$6:$JA$206,"*"&amp;Settings!$F$14:$F$43&amp;"*"))</f>
        <v/>
      </c>
      <c r="IL14" s="170">
        <f>SUMPRODUCT((Settings!$G$14:$G$43=$B14)*COUNTIF('INPUT - Roster'!$JB$6:$JB$206,"*"&amp;Settings!$F$14:$F$43&amp;"*"))</f>
        <v/>
      </c>
      <c r="IM14" s="170">
        <f>SUMPRODUCT((Settings!$G$14:$G$43=$B14)*COUNTIF('INPUT - Roster'!$JC$6:$JC$206,"*"&amp;Settings!$F$14:$F$43&amp;"*"))</f>
        <v/>
      </c>
      <c r="IN14" s="170">
        <f>SUMPRODUCT((Settings!$G$14:$G$43=$B14)*COUNTIF('INPUT - Roster'!$JD$6:$JD$206,"*"&amp;Settings!$F$14:$F$43&amp;"*"))</f>
        <v/>
      </c>
      <c r="IO14" s="170">
        <f>SUMPRODUCT((Settings!$G$14:$G$43=$B14)*COUNTIF('INPUT - Roster'!$JE$6:$JE$206,"*"&amp;Settings!$F$14:$F$43&amp;"*"))</f>
        <v/>
      </c>
      <c r="IP14" s="170">
        <f>SUMPRODUCT((Settings!$G$14:$G$43=$B14)*COUNTIF('INPUT - Roster'!$JF$6:$JF$206,"*"&amp;Settings!$F$14:$F$43&amp;"*"))</f>
        <v/>
      </c>
      <c r="IQ14" s="170">
        <f>SUMPRODUCT((Settings!$G$14:$G$43=$B14)*COUNTIF('INPUT - Roster'!$JG$6:$JG$206,"*"&amp;Settings!$F$14:$F$43&amp;"*"))</f>
        <v/>
      </c>
      <c r="IR14" s="170">
        <f>SUMPRODUCT((Settings!$G$14:$G$43=$B14)*COUNTIF('INPUT - Roster'!$JH$6:$JH$206,"*"&amp;Settings!$F$14:$F$43&amp;"*"))</f>
        <v/>
      </c>
      <c r="IS14" s="170">
        <f>SUMPRODUCT((Settings!$G$14:$G$43=$B14)*COUNTIF('INPUT - Roster'!$JI$6:$JI$206,"*"&amp;Settings!$F$14:$F$43&amp;"*"))</f>
        <v/>
      </c>
      <c r="IT14" s="170">
        <f>SUMPRODUCT((Settings!$G$14:$G$43=$B14)*COUNTIF('INPUT - Roster'!$JJ$6:$JJ$206,"*"&amp;Settings!$F$14:$F$43&amp;"*"))</f>
        <v/>
      </c>
      <c r="IU14" s="170">
        <f>SUMPRODUCT((Settings!$G$14:$G$43=$B14)*COUNTIF('INPUT - Roster'!$JK$6:$JK$206,"*"&amp;Settings!$F$14:$F$43&amp;"*"))</f>
        <v/>
      </c>
      <c r="IV14" s="170">
        <f>SUMPRODUCT((Settings!$G$14:$G$43=$B14)*COUNTIF('INPUT - Roster'!$JL$6:$JL$206,"*"&amp;Settings!$F$14:$F$43&amp;"*"))</f>
        <v/>
      </c>
      <c r="IW14" s="170">
        <f>SUMPRODUCT((Settings!$G$14:$G$43=$B14)*COUNTIF('INPUT - Roster'!$JM$6:$JM$206,"*"&amp;Settings!$F$14:$F$43&amp;"*"))</f>
        <v/>
      </c>
      <c r="IX14" s="170">
        <f>SUMPRODUCT((Settings!$G$14:$G$43=$B14)*COUNTIF('INPUT - Roster'!$JN$6:$JN$206,"*"&amp;Settings!$F$14:$F$43&amp;"*"))</f>
        <v/>
      </c>
      <c r="IY14" s="170">
        <f>SUMPRODUCT((Settings!$G$14:$G$43=$B14)*COUNTIF('INPUT - Roster'!$JO$6:$JO$206,"*"&amp;Settings!$F$14:$F$43&amp;"*"))</f>
        <v/>
      </c>
      <c r="IZ14" s="170">
        <f>SUMPRODUCT((Settings!$G$14:$G$43=$B14)*COUNTIF('INPUT - Roster'!$JP$6:$JP$206,"*"&amp;Settings!$F$14:$F$43&amp;"*"))</f>
        <v/>
      </c>
      <c r="JA14" s="170">
        <f>SUMPRODUCT((Settings!$G$14:$G$43=$B14)*COUNTIF('INPUT - Roster'!$JQ$6:$JQ$206,"*"&amp;Settings!$F$14:$F$43&amp;"*"))</f>
        <v/>
      </c>
      <c r="JB14" s="170">
        <f>SUMPRODUCT((Settings!$G$14:$G$43=$B14)*COUNTIF('INPUT - Roster'!$JR$6:$JR$206,"*"&amp;Settings!$F$14:$F$43&amp;"*"))</f>
        <v/>
      </c>
      <c r="JC14" s="170">
        <f>SUMPRODUCT((Settings!$G$14:$G$43=$B14)*COUNTIF('INPUT - Roster'!$JS$6:$JS$206,"*"&amp;Settings!$F$14:$F$43&amp;"*"))</f>
        <v/>
      </c>
      <c r="JD14" s="170">
        <f>SUMPRODUCT((Settings!$G$14:$G$43=$B14)*COUNTIF('INPUT - Roster'!$JT$6:$JT$206,"*"&amp;Settings!$F$14:$F$43&amp;"*"))</f>
        <v/>
      </c>
      <c r="JE14" s="170">
        <f>SUMPRODUCT((Settings!$G$14:$G$43=$B14)*COUNTIF('INPUT - Roster'!$JU$6:$JU$206,"*"&amp;Settings!$F$14:$F$43&amp;"*"))</f>
        <v/>
      </c>
      <c r="JF14" s="170">
        <f>SUMPRODUCT((Settings!$G$14:$G$43=$B14)*COUNTIF('INPUT - Roster'!$JV$6:$JV$206,"*"&amp;Settings!$F$14:$F$43&amp;"*"))</f>
        <v/>
      </c>
      <c r="JG14" s="170">
        <f>SUMPRODUCT((Settings!$G$14:$G$43=$B14)*COUNTIF('INPUT - Roster'!$JW$6:$JW$206,"*"&amp;Settings!$F$14:$F$43&amp;"*"))</f>
        <v/>
      </c>
      <c r="JH14" s="170">
        <f>SUMPRODUCT((Settings!$G$14:$G$43=$B14)*COUNTIF('INPUT - Roster'!$JX$6:$JX$206,"*"&amp;Settings!$F$14:$F$43&amp;"*"))</f>
        <v/>
      </c>
      <c r="JI14" s="170">
        <f>SUMPRODUCT((Settings!$G$14:$G$43=$B14)*COUNTIF('INPUT - Roster'!$JY$6:$JY$206,"*"&amp;Settings!$F$14:$F$43&amp;"*"))</f>
        <v/>
      </c>
      <c r="JJ14" s="170">
        <f>SUMPRODUCT((Settings!$G$14:$G$43=$B14)*COUNTIF('INPUT - Roster'!$JZ$6:$JZ$206,"*"&amp;Settings!$F$14:$F$43&amp;"*"))</f>
        <v/>
      </c>
      <c r="JK14" s="170">
        <f>SUMPRODUCT((Settings!$G$14:$G$43=$B14)*COUNTIF('INPUT - Roster'!$KA$6:$KA$206,"*"&amp;Settings!$F$14:$F$43&amp;"*"))</f>
        <v/>
      </c>
      <c r="JL14" s="170">
        <f>SUMPRODUCT((Settings!$G$14:$G$43=$B14)*COUNTIF('INPUT - Roster'!$KB$6:$KB$206,"*"&amp;Settings!$F$14:$F$43&amp;"*"))</f>
        <v/>
      </c>
      <c r="JM14" s="170">
        <f>SUMPRODUCT((Settings!$G$14:$G$43=$B14)*COUNTIF('INPUT - Roster'!$KC$6:$KC$206,"*"&amp;Settings!$F$14:$F$43&amp;"*"))</f>
        <v/>
      </c>
      <c r="JN14" s="170">
        <f>SUMPRODUCT((Settings!$G$14:$G$43=$B14)*COUNTIF('INPUT - Roster'!$KD$6:$KD$206,"*"&amp;Settings!$F$14:$F$43&amp;"*"))</f>
        <v/>
      </c>
      <c r="JO14" s="170">
        <f>SUMPRODUCT((Settings!$G$14:$G$43=$B14)*COUNTIF('INPUT - Roster'!$KE$6:$KE$206,"*"&amp;Settings!$F$14:$F$43&amp;"*"))</f>
        <v/>
      </c>
      <c r="JP14" s="170">
        <f>SUMPRODUCT((Settings!$G$14:$G$43=$B14)*COUNTIF('INPUT - Roster'!$KF$6:$KF$206,"*"&amp;Settings!$F$14:$F$43&amp;"*"))</f>
        <v/>
      </c>
      <c r="JQ14" s="170">
        <f>SUMPRODUCT((Settings!$G$14:$G$43=$B14)*COUNTIF('INPUT - Roster'!$KG$6:$KG$206,"*"&amp;Settings!$F$14:$F$43&amp;"*"))</f>
        <v/>
      </c>
      <c r="JR14" s="170">
        <f>SUMPRODUCT((Settings!$G$14:$G$43=$B14)*COUNTIF('INPUT - Roster'!$KH$6:$KH$206,"*"&amp;Settings!$F$14:$F$43&amp;"*"))</f>
        <v/>
      </c>
      <c r="JS14" s="170">
        <f>SUMPRODUCT((Settings!$G$14:$G$43=$B14)*COUNTIF('INPUT - Roster'!$KI$6:$KI$206,"*"&amp;Settings!$F$14:$F$43&amp;"*"))</f>
        <v/>
      </c>
      <c r="JT14" s="170">
        <f>SUMPRODUCT((Settings!$G$14:$G$43=$B14)*COUNTIF('INPUT - Roster'!$KJ$6:$KJ$206,"*"&amp;Settings!$F$14:$F$43&amp;"*"))</f>
        <v/>
      </c>
      <c r="JU14" s="170">
        <f>SUMPRODUCT((Settings!$G$14:$G$43=$B14)*COUNTIF('INPUT - Roster'!$KK$6:$KK$206,"*"&amp;Settings!$F$14:$F$43&amp;"*"))</f>
        <v/>
      </c>
      <c r="JV14" s="170">
        <f>SUMPRODUCT((Settings!$G$14:$G$43=$B14)*COUNTIF('INPUT - Roster'!$KL$6:$KL$206,"*"&amp;Settings!$F$14:$F$43&amp;"*"))</f>
        <v/>
      </c>
      <c r="JW14" s="170">
        <f>SUMPRODUCT((Settings!$G$14:$G$43=$B14)*COUNTIF('INPUT - Roster'!$KM$6:$KM$206,"*"&amp;Settings!$F$14:$F$43&amp;"*"))</f>
        <v/>
      </c>
      <c r="JX14" s="170">
        <f>SUMPRODUCT((Settings!$G$14:$G$43=$B14)*COUNTIF('INPUT - Roster'!$KN$6:$KN$206,"*"&amp;Settings!$F$14:$F$43&amp;"*"))</f>
        <v/>
      </c>
      <c r="JY14" s="170">
        <f>SUMPRODUCT((Settings!$G$14:$G$43=$B14)*COUNTIF('INPUT - Roster'!$KO$6:$KO$206,"*"&amp;Settings!$F$14:$F$43&amp;"*"))</f>
        <v/>
      </c>
      <c r="JZ14" s="170">
        <f>SUMPRODUCT((Settings!$G$14:$G$43=$B14)*COUNTIF('INPUT - Roster'!$KP$6:$KP$206,"*"&amp;Settings!$F$14:$F$43&amp;"*"))</f>
        <v/>
      </c>
      <c r="KA14" s="170">
        <f>SUMPRODUCT((Settings!$G$14:$G$43=$B14)*COUNTIF('INPUT - Roster'!$KQ$6:$KQ$206,"*"&amp;Settings!$F$14:$F$43&amp;"*"))</f>
        <v/>
      </c>
      <c r="KB14" s="170">
        <f>SUMPRODUCT((Settings!$G$14:$G$43=$B14)*COUNTIF('INPUT - Roster'!$KR$6:$KR$206,"*"&amp;Settings!$F$14:$F$43&amp;"*"))</f>
        <v/>
      </c>
      <c r="KC14" s="170">
        <f>SUMPRODUCT((Settings!$G$14:$G$43=$B14)*COUNTIF('INPUT - Roster'!$KS$6:$KS$206,"*"&amp;Settings!$F$14:$F$43&amp;"*"))</f>
        <v/>
      </c>
      <c r="KD14" s="170">
        <f>SUMPRODUCT((Settings!$G$14:$G$43=$B14)*COUNTIF('INPUT - Roster'!$KT$6:$KT$206,"*"&amp;Settings!$F$14:$F$43&amp;"*"))</f>
        <v/>
      </c>
      <c r="KE14" s="170">
        <f>SUMPRODUCT((Settings!$G$14:$G$43=$B14)*COUNTIF('INPUT - Roster'!$KU$6:$KU$206,"*"&amp;Settings!$F$14:$F$43&amp;"*"))</f>
        <v/>
      </c>
      <c r="KF14" s="170">
        <f>SUMPRODUCT((Settings!$G$14:$G$43=$B14)*COUNTIF('INPUT - Roster'!$KV$6:$KV$206,"*"&amp;Settings!$F$14:$F$43&amp;"*"))</f>
        <v/>
      </c>
      <c r="KG14" s="170">
        <f>SUMPRODUCT((Settings!$G$14:$G$43=$B14)*COUNTIF('INPUT - Roster'!$KW$6:$KW$206,"*"&amp;Settings!$F$14:$F$43&amp;"*"))</f>
        <v/>
      </c>
      <c r="KH14" s="170">
        <f>SUMPRODUCT((Settings!$G$14:$G$43=$B14)*COUNTIF('INPUT - Roster'!$KX$6:$KX$206,"*"&amp;Settings!$F$14:$F$43&amp;"*"))</f>
        <v/>
      </c>
      <c r="KI14" s="170">
        <f>SUMPRODUCT((Settings!$G$14:$G$43=$B14)*COUNTIF('INPUT - Roster'!$KY$6:$KY$206,"*"&amp;Settings!$F$14:$F$43&amp;"*"))</f>
        <v/>
      </c>
      <c r="KJ14" s="170">
        <f>SUMPRODUCT((Settings!$G$14:$G$43=$B14)*COUNTIF('INPUT - Roster'!$KZ$6:$KZ$206,"*"&amp;Settings!$F$14:$F$43&amp;"*"))</f>
        <v/>
      </c>
      <c r="KK14" s="170">
        <f>SUMPRODUCT((Settings!$G$14:$G$43=$B14)*COUNTIF('INPUT - Roster'!$LA$6:$LA$206,"*"&amp;Settings!$F$14:$F$43&amp;"*"))</f>
        <v/>
      </c>
      <c r="KL14" s="170">
        <f>SUMPRODUCT((Settings!$G$14:$G$43=$B14)*COUNTIF('INPUT - Roster'!$LB$6:$LB$206,"*"&amp;Settings!$F$14:$F$43&amp;"*"))</f>
        <v/>
      </c>
      <c r="KM14" s="170">
        <f>SUMPRODUCT((Settings!$G$14:$G$43=$B14)*COUNTIF('INPUT - Roster'!$LC$6:$LC$206,"*"&amp;Settings!$F$14:$F$43&amp;"*"))</f>
        <v/>
      </c>
      <c r="KN14" s="170">
        <f>SUMPRODUCT((Settings!$G$14:$G$43=$B14)*COUNTIF('INPUT - Roster'!$LD$6:$LD$206,"*"&amp;Settings!$F$14:$F$43&amp;"*"))</f>
        <v/>
      </c>
      <c r="KO14" s="170">
        <f>SUMPRODUCT((Settings!$G$14:$G$43=$B14)*COUNTIF('INPUT - Roster'!$LE$6:$LE$206,"*"&amp;Settings!$F$14:$F$43&amp;"*"))</f>
        <v/>
      </c>
      <c r="KP14" s="170">
        <f>SUMPRODUCT((Settings!$G$14:$G$43=$B14)*COUNTIF('INPUT - Roster'!$LF$6:$LF$206,"*"&amp;Settings!$F$14:$F$43&amp;"*"))</f>
        <v/>
      </c>
      <c r="KQ14" s="170">
        <f>SUMPRODUCT((Settings!$G$14:$G$43=$B14)*COUNTIF('INPUT - Roster'!$LG$6:$LG$206,"*"&amp;Settings!$F$14:$F$43&amp;"*"))</f>
        <v/>
      </c>
      <c r="KR14" s="170">
        <f>SUMPRODUCT((Settings!$G$14:$G$43=$B14)*COUNTIF('INPUT - Roster'!$LH$6:$LH$206,"*"&amp;Settings!$F$14:$F$43&amp;"*"))</f>
        <v/>
      </c>
      <c r="KS14" s="170">
        <f>SUMPRODUCT((Settings!$G$14:$G$43=$B14)*COUNTIF('INPUT - Roster'!$LI$6:$LI$206,"*"&amp;Settings!$F$14:$F$43&amp;"*"))</f>
        <v/>
      </c>
      <c r="KT14" s="170">
        <f>SUMPRODUCT((Settings!$G$14:$G$43=$B14)*COUNTIF('INPUT - Roster'!$LJ$6:$LJ$206,"*"&amp;Settings!$F$14:$F$43&amp;"*"))</f>
        <v/>
      </c>
      <c r="KU14" s="170">
        <f>SUMPRODUCT((Settings!$G$14:$G$43=$B14)*COUNTIF('INPUT - Roster'!$LK$6:$LK$206,"*"&amp;Settings!$F$14:$F$43&amp;"*"))</f>
        <v/>
      </c>
      <c r="KV14" s="170">
        <f>SUMPRODUCT((Settings!$G$14:$G$43=$B14)*COUNTIF('INPUT - Roster'!$LL$6:$LL$206,"*"&amp;Settings!$F$14:$F$43&amp;"*"))</f>
        <v/>
      </c>
      <c r="KW14" s="170">
        <f>SUMPRODUCT((Settings!$G$14:$G$43=$B14)*COUNTIF('INPUT - Roster'!$LM$6:$LM$206,"*"&amp;Settings!$F$14:$F$43&amp;"*"))</f>
        <v/>
      </c>
      <c r="KX14" s="170">
        <f>SUMPRODUCT((Settings!$G$14:$G$43=$B14)*COUNTIF('INPUT - Roster'!$LN$6:$LN$206,"*"&amp;Settings!$F$14:$F$43&amp;"*"))</f>
        <v/>
      </c>
      <c r="KY14" s="170">
        <f>SUMPRODUCT((Settings!$G$14:$G$43=$B14)*COUNTIF('INPUT - Roster'!$LO$6:$LO$206,"*"&amp;Settings!$F$14:$F$43&amp;"*"))</f>
        <v/>
      </c>
      <c r="KZ14" s="170">
        <f>SUMPRODUCT((Settings!$G$14:$G$43=$B14)*COUNTIF('INPUT - Roster'!$LP$6:$LP$206,"*"&amp;Settings!$F$14:$F$43&amp;"*"))</f>
        <v/>
      </c>
      <c r="LA14" s="170">
        <f>SUMPRODUCT((Settings!$G$14:$G$43=$B14)*COUNTIF('INPUT - Roster'!$LQ$6:$LQ$206,"*"&amp;Settings!$F$14:$F$43&amp;"*"))</f>
        <v/>
      </c>
      <c r="LB14" s="170">
        <f>SUMPRODUCT((Settings!$G$14:$G$43=$B14)*COUNTIF('INPUT - Roster'!$LR$6:$LR$206,"*"&amp;Settings!$F$14:$F$43&amp;"*"))</f>
        <v/>
      </c>
      <c r="LC14" s="170">
        <f>SUMPRODUCT((Settings!$G$14:$G$43=$B14)*COUNTIF('INPUT - Roster'!$LS$6:$LS$206,"*"&amp;Settings!$F$14:$F$43&amp;"*"))</f>
        <v/>
      </c>
      <c r="LD14" s="170">
        <f>SUMPRODUCT((Settings!$G$14:$G$43=$B14)*COUNTIF('INPUT - Roster'!$LT$6:$LT$206,"*"&amp;Settings!$F$14:$F$43&amp;"*"))</f>
        <v/>
      </c>
      <c r="LE14" s="170">
        <f>SUMPRODUCT((Settings!$G$14:$G$43=$B14)*COUNTIF('INPUT - Roster'!$LU$6:$LU$206,"*"&amp;Settings!$F$14:$F$43&amp;"*"))</f>
        <v/>
      </c>
      <c r="LF14" s="170">
        <f>SUMPRODUCT((Settings!$G$14:$G$43=$B14)*COUNTIF('INPUT - Roster'!$LV$6:$LV$206,"*"&amp;Settings!$F$14:$F$43&amp;"*"))</f>
        <v/>
      </c>
      <c r="LG14" s="170">
        <f>SUMPRODUCT((Settings!$G$14:$G$43=$B14)*COUNTIF('INPUT - Roster'!$LW$6:$LW$206,"*"&amp;Settings!$F$14:$F$43&amp;"*"))</f>
        <v/>
      </c>
      <c r="LH14" s="170">
        <f>SUMPRODUCT((Settings!$G$14:$G$43=$B14)*COUNTIF('INPUT - Roster'!$LX$6:$LX$206,"*"&amp;Settings!$F$14:$F$43&amp;"*"))</f>
        <v/>
      </c>
      <c r="LI14" s="170">
        <f>SUMPRODUCT((Settings!$G$14:$G$43=$B14)*COUNTIF('INPUT - Roster'!$LY$6:$LY$206,"*"&amp;Settings!$F$14:$F$43&amp;"*"))</f>
        <v/>
      </c>
      <c r="LJ14" s="170">
        <f>SUMPRODUCT((Settings!$G$14:$G$43=$B14)*COUNTIF('INPUT - Roster'!$LZ$6:$LZ$206,"*"&amp;Settings!$F$14:$F$43&amp;"*"))</f>
        <v/>
      </c>
      <c r="LK14" s="170">
        <f>SUMPRODUCT((Settings!$G$14:$G$43=$B14)*COUNTIF('INPUT - Roster'!$MA$6:$MA$206,"*"&amp;Settings!$F$14:$F$43&amp;"*"))</f>
        <v/>
      </c>
      <c r="LL14" s="170">
        <f>SUMPRODUCT((Settings!$G$14:$G$43=$B14)*COUNTIF('INPUT - Roster'!$MB$6:$MB$206,"*"&amp;Settings!$F$14:$F$43&amp;"*"))</f>
        <v/>
      </c>
      <c r="LM14" s="170">
        <f>SUMPRODUCT((Settings!$G$14:$G$43=$B14)*COUNTIF('INPUT - Roster'!$MC$6:$MC$206,"*"&amp;Settings!$F$14:$F$43&amp;"*"))</f>
        <v/>
      </c>
      <c r="LN14" s="170">
        <f>SUMPRODUCT((Settings!$G$14:$G$43=$B14)*COUNTIF('INPUT - Roster'!$MD$6:$MD$206,"*"&amp;Settings!$F$14:$F$43&amp;"*"))</f>
        <v/>
      </c>
      <c r="LO14" s="170">
        <f>SUMPRODUCT((Settings!$G$14:$G$43=$B14)*COUNTIF('INPUT - Roster'!$ME$6:$ME$206,"*"&amp;Settings!$F$14:$F$43&amp;"*"))</f>
        <v/>
      </c>
      <c r="LP14" s="170">
        <f>SUMPRODUCT((Settings!$G$14:$G$43=$B14)*COUNTIF('INPUT - Roster'!$MF$6:$MF$206,"*"&amp;Settings!$F$14:$F$43&amp;"*"))</f>
        <v/>
      </c>
      <c r="LQ14" s="170">
        <f>SUMPRODUCT((Settings!$G$14:$G$43=$B14)*COUNTIF('INPUT - Roster'!$MG$6:$MG$206,"*"&amp;Settings!$F$14:$F$43&amp;"*"))</f>
        <v/>
      </c>
      <c r="LR14" s="170">
        <f>SUMPRODUCT((Settings!$G$14:$G$43=$B14)*COUNTIF('INPUT - Roster'!$MH$6:$MH$206,"*"&amp;Settings!$F$14:$F$43&amp;"*"))</f>
        <v/>
      </c>
      <c r="LS14" s="170">
        <f>SUMPRODUCT((Settings!$G$14:$G$43=$B14)*COUNTIF('INPUT - Roster'!$MI$6:$MI$206,"*"&amp;Settings!$F$14:$F$43&amp;"*"))</f>
        <v/>
      </c>
      <c r="LT14" s="170">
        <f>SUMPRODUCT((Settings!$G$14:$G$43=$B14)*COUNTIF('INPUT - Roster'!$MJ$6:$MJ$206,"*"&amp;Settings!$F$14:$F$43&amp;"*"))</f>
        <v/>
      </c>
      <c r="LU14" s="170">
        <f>SUMPRODUCT((Settings!$G$14:$G$43=$B14)*COUNTIF('INPUT - Roster'!$MK$6:$MK$206,"*"&amp;Settings!$F$14:$F$43&amp;"*"))</f>
        <v/>
      </c>
      <c r="LV14" s="170">
        <f>SUMPRODUCT((Settings!$G$14:$G$43=$B14)*COUNTIF('INPUT - Roster'!$ML$6:$ML$206,"*"&amp;Settings!$F$14:$F$43&amp;"*"))</f>
        <v/>
      </c>
      <c r="LW14" s="170">
        <f>SUMPRODUCT((Settings!$G$14:$G$43=$B14)*COUNTIF('INPUT - Roster'!$MM$6:$MM$206,"*"&amp;Settings!$F$14:$F$43&amp;"*"))</f>
        <v/>
      </c>
      <c r="LX14" s="170">
        <f>SUMPRODUCT((Settings!$G$14:$G$43=$B14)*COUNTIF('INPUT - Roster'!$MN$6:$MN$206,"*"&amp;Settings!$F$14:$F$43&amp;"*"))</f>
        <v/>
      </c>
      <c r="LY14" s="170">
        <f>SUMPRODUCT((Settings!$G$14:$G$43=$B14)*COUNTIF('INPUT - Roster'!$MO$6:$MO$206,"*"&amp;Settings!$F$14:$F$43&amp;"*"))</f>
        <v/>
      </c>
      <c r="LZ14" s="170">
        <f>SUMPRODUCT((Settings!$G$14:$G$43=$B14)*COUNTIF('INPUT - Roster'!$MP$6:$MP$206,"*"&amp;Settings!$F$14:$F$43&amp;"*"))</f>
        <v/>
      </c>
      <c r="MA14" s="170">
        <f>SUMPRODUCT((Settings!$G$14:$G$43=$B14)*COUNTIF('INPUT - Roster'!$MQ$6:$MQ$206,"*"&amp;Settings!$F$14:$F$43&amp;"*"))</f>
        <v/>
      </c>
      <c r="MB14" s="170">
        <f>SUMPRODUCT((Settings!$G$14:$G$43=$B14)*COUNTIF('INPUT - Roster'!$MR$6:$MR$206,"*"&amp;Settings!$F$14:$F$43&amp;"*"))</f>
        <v/>
      </c>
      <c r="MC14" s="170">
        <f>SUMPRODUCT((Settings!$G$14:$G$43=$B14)*COUNTIF('INPUT - Roster'!$MS$6:$MS$206,"*"&amp;Settings!$F$14:$F$43&amp;"*"))</f>
        <v/>
      </c>
      <c r="MD14" s="170">
        <f>SUMPRODUCT((Settings!$G$14:$G$43=$B14)*COUNTIF('INPUT - Roster'!$MT$6:$MT$206,"*"&amp;Settings!$F$14:$F$43&amp;"*"))</f>
        <v/>
      </c>
      <c r="ME14" s="170">
        <f>SUMPRODUCT((Settings!$G$14:$G$43=$B14)*COUNTIF('INPUT - Roster'!$MU$6:$MU$206,"*"&amp;Settings!$F$14:$F$43&amp;"*"))</f>
        <v/>
      </c>
      <c r="MF14" s="170">
        <f>SUMPRODUCT((Settings!$G$14:$G$43=$B14)*COUNTIF('INPUT - Roster'!$MV$6:$MV$206,"*"&amp;Settings!$F$14:$F$43&amp;"*"))</f>
        <v/>
      </c>
      <c r="MG14" s="170">
        <f>SUMPRODUCT((Settings!$G$14:$G$43=$B14)*COUNTIF('INPUT - Roster'!$MW$6:$MW$206,"*"&amp;Settings!$F$14:$F$43&amp;"*"))</f>
        <v/>
      </c>
      <c r="MH14" s="170">
        <f>SUMPRODUCT((Settings!$G$14:$G$43=$B14)*COUNTIF('INPUT - Roster'!$MX$6:$MX$206,"*"&amp;Settings!$F$14:$F$43&amp;"*"))</f>
        <v/>
      </c>
      <c r="MI14" s="170">
        <f>SUMPRODUCT((Settings!$G$14:$G$43=$B14)*COUNTIF('INPUT - Roster'!$MY$6:$MY$206,"*"&amp;Settings!$F$14:$F$43&amp;"*"))</f>
        <v/>
      </c>
      <c r="MJ14" s="170">
        <f>SUMPRODUCT((Settings!$G$14:$G$43=$B14)*COUNTIF('INPUT - Roster'!$MZ$6:$MZ$206,"*"&amp;Settings!$F$14:$F$43&amp;"*"))</f>
        <v/>
      </c>
      <c r="MK14" s="170">
        <f>SUMPRODUCT((Settings!$G$14:$G$43=$B14)*COUNTIF('INPUT - Roster'!$NA$6:$NA$206,"*"&amp;Settings!$F$14:$F$43&amp;"*"))</f>
        <v/>
      </c>
      <c r="ML14" s="170">
        <f>SUMPRODUCT((Settings!$G$14:$G$43=$B14)*COUNTIF('INPUT - Roster'!$NB$6:$NB$206,"*"&amp;Settings!$F$14:$F$43&amp;"*"))</f>
        <v/>
      </c>
      <c r="MM14" s="170">
        <f>SUMPRODUCT((Settings!$G$14:$G$43=$B14)*COUNTIF('INPUT - Roster'!$NC$6:$NC$206,"*"&amp;Settings!$F$14:$F$43&amp;"*"))</f>
        <v/>
      </c>
      <c r="MN14" s="170">
        <f>SUMPRODUCT((Settings!$G$14:$G$43=$B14)*COUNTIF('INPUT - Roster'!$ND$6:$ND$206,"*"&amp;Settings!$F$14:$F$43&amp;"*"))</f>
        <v/>
      </c>
      <c r="MO14" s="170">
        <f>SUMPRODUCT((Settings!$G$14:$G$43=$B14)*COUNTIF('INPUT - Roster'!$NE$6:$NE$206,"*"&amp;Settings!$F$14:$F$43&amp;"*"))</f>
        <v/>
      </c>
      <c r="MP14" s="170">
        <f>SUMPRODUCT((Settings!$G$14:$G$43=$B14)*COUNTIF('INPUT - Roster'!$NF$6:$NF$206,"*"&amp;Settings!$F$14:$F$43&amp;"*"))</f>
        <v/>
      </c>
      <c r="MQ14" s="170">
        <f>SUMPRODUCT((Settings!$G$14:$G$43=$B14)*COUNTIF('INPUT - Roster'!$NG$6:$NG$206,"*"&amp;Settings!$F$14:$F$43&amp;"*"))</f>
        <v/>
      </c>
      <c r="MR14" s="170">
        <f>SUMPRODUCT((Settings!$G$14:$G$43=$B14)*COUNTIF('INPUT - Roster'!$NH$6:$NH$206,"*"&amp;Settings!$F$14:$F$43&amp;"*"))</f>
        <v/>
      </c>
      <c r="MS14" s="170">
        <f>SUMPRODUCT((Settings!$G$14:$G$43=$B14)*COUNTIF('INPUT - Roster'!$NI$6:$NI$206,"*"&amp;Settings!$F$14:$F$43&amp;"*"))</f>
        <v/>
      </c>
      <c r="MT14" s="170">
        <f>SUMPRODUCT((Settings!$G$14:$G$43=$B14)*COUNTIF('INPUT - Roster'!$NJ$6:$NJ$206,"*"&amp;Settings!$F$14:$F$43&amp;"*"))</f>
        <v/>
      </c>
      <c r="MU14" s="170">
        <f>SUMPRODUCT((Settings!$G$14:$G$43=$B14)*COUNTIF('INPUT - Roster'!$NK$6:$NK$206,"*"&amp;Settings!$F$14:$F$43&amp;"*"))</f>
        <v/>
      </c>
      <c r="MV14" s="170">
        <f>SUMPRODUCT((Settings!$G$14:$G$43=$B14)*COUNTIF('INPUT - Roster'!$NL$6:$NL$206,"*"&amp;Settings!$F$14:$F$43&amp;"*"))</f>
        <v/>
      </c>
      <c r="MW14" s="170">
        <f>SUMPRODUCT((Settings!$G$14:$G$43=$B14)*COUNTIF('INPUT - Roster'!$NM$6:$NM$206,"*"&amp;Settings!$F$14:$F$43&amp;"*"))</f>
        <v/>
      </c>
      <c r="MX14" s="170">
        <f>SUMPRODUCT((Settings!$G$14:$G$43=$B14)*COUNTIF('INPUT - Roster'!$NN$6:$NN$206,"*"&amp;Settings!$F$14:$F$43&amp;"*"))</f>
        <v/>
      </c>
      <c r="MY14" s="170">
        <f>SUMPRODUCT((Settings!$G$14:$G$43=$B14)*COUNTIF('INPUT - Roster'!$NO$6:$NO$206,"*"&amp;Settings!$F$14:$F$43&amp;"*"))</f>
        <v/>
      </c>
      <c r="MZ14" s="170">
        <f>SUMPRODUCT((Settings!$G$14:$G$43=$B14)*COUNTIF('INPUT - Roster'!$NP$6:$NP$206,"*"&amp;Settings!$F$14:$F$43&amp;"*"))</f>
        <v/>
      </c>
      <c r="NA14" s="170">
        <f>SUMPRODUCT((Settings!$G$14:$G$43=$B14)*COUNTIF('INPUT - Roster'!$NQ$6:$NQ$206,"*"&amp;Settings!$F$14:$F$43&amp;"*"))</f>
        <v/>
      </c>
      <c r="NB14" s="170">
        <f>SUMPRODUCT((Settings!$G$14:$G$43=$B14)*COUNTIF('INPUT - Roster'!$NR$6:$NR$206,"*"&amp;Settings!$F$14:$F$43&amp;"*"))</f>
        <v/>
      </c>
      <c r="NC14" s="170">
        <f>SUMPRODUCT((Settings!$G$14:$G$43=$B14)*COUNTIF('INPUT - Roster'!$NS$6:$NS$206,"*"&amp;Settings!$F$14:$F$43&amp;"*"))</f>
        <v/>
      </c>
      <c r="ND14" s="170">
        <f>SUMPRODUCT((Settings!$G$14:$G$43=$B14)*COUNTIF('INPUT - Roster'!$NT$6:$NT$206,"*"&amp;Settings!$F$14:$F$43&amp;"*"))</f>
        <v/>
      </c>
      <c r="NE14" s="170">
        <f>SUMPRODUCT((Settings!$G$14:$G$43=$B14)*COUNTIF('INPUT - Roster'!$NU$6:$NU$206,"*"&amp;Settings!$F$14:$F$43&amp;"*"))</f>
        <v/>
      </c>
      <c r="NF14" s="170">
        <f>SUMPRODUCT((Settings!$G$14:$G$43=$B14)*COUNTIF('INPUT - Roster'!$NV$6:$NV$206,"*"&amp;Settings!$F$14:$F$43&amp;"*"))</f>
        <v/>
      </c>
      <c r="NG14" s="170">
        <f>SUMPRODUCT((Settings!$G$14:$G$43=$B14)*COUNTIF('INPUT - Roster'!$NW$6:$NW$206,"*"&amp;Settings!$F$14:$F$43&amp;"*"))</f>
        <v/>
      </c>
      <c r="NH14" s="170">
        <f>SUMPRODUCT((Settings!$G$14:$G$43=$B14)*COUNTIF('INPUT - Roster'!$NX$6:$NX$206,"*"&amp;Settings!$F$14:$F$43&amp;"*"))</f>
        <v/>
      </c>
      <c r="NI14" s="170">
        <f>SUMPRODUCT((Settings!$G$14:$G$43=$B14)*COUNTIF('INPUT - Roster'!$NY$6:$NY$206,"*"&amp;Settings!$F$14:$F$43&amp;"*"))</f>
        <v/>
      </c>
      <c r="NJ14" s="170">
        <f>SUMPRODUCT((Settings!$G$14:$G$43=$B14)*COUNTIF('INPUT - Roster'!$NZ$6:$NZ$206,"*"&amp;Settings!$F$14:$F$43&amp;"*"))</f>
        <v/>
      </c>
      <c r="NK14" s="170">
        <f>SUMPRODUCT((Settings!$G$14:$G$43=$B14)*COUNTIF('INPUT - Roster'!$OA$6:$OA$206,"*"&amp;Settings!$F$14:$F$43&amp;"*"))</f>
        <v/>
      </c>
      <c r="NL14" s="170">
        <f>SUMPRODUCT((Settings!$G$14:$G$43=$B14)*COUNTIF('INPUT - Roster'!$OB$6:$OB$206,"*"&amp;Settings!$F$14:$F$43&amp;"*"))</f>
        <v/>
      </c>
      <c r="NM14" s="170">
        <f>SUMPRODUCT((Settings!$G$14:$G$43=$B14)*COUNTIF('INPUT - Roster'!$OC$6:$OC$206,"*"&amp;Settings!$F$14:$F$43&amp;"*"))</f>
        <v/>
      </c>
      <c r="NN14" s="170">
        <f>SUMPRODUCT((Settings!$G$14:$G$43=$B14)*COUNTIF('INPUT - Roster'!$OD$6:$OD$206,"*"&amp;Settings!$F$14:$F$43&amp;"*"))</f>
        <v/>
      </c>
      <c r="NO14" s="170">
        <f>SUMPRODUCT((Settings!$G$14:$G$43=$B14)*COUNTIF('INPUT - Roster'!$OE$6:$OE$206,"*"&amp;Settings!$F$14:$F$43&amp;"*"))</f>
        <v/>
      </c>
      <c r="NP14" s="170">
        <f>SUMPRODUCT((Settings!$G$14:$G$43=$B14)*COUNTIF('INPUT - Roster'!$OF$6:$OF$206,"*"&amp;Settings!$F$14:$F$43&amp;"*"))</f>
        <v/>
      </c>
      <c r="NQ14" s="170">
        <f>SUMPRODUCT((Settings!$G$14:$G$43=$B14)*COUNTIF('INPUT - Roster'!$OG$6:$OG$206,"*"&amp;Settings!$F$14:$F$43&amp;"*"))</f>
        <v/>
      </c>
      <c r="NR14" s="170">
        <f>SUMPRODUCT((Settings!$G$14:$G$43=$B14)*COUNTIF('INPUT - Roster'!$OH$6:$OH$206,"*"&amp;Settings!$F$14:$F$43&amp;"*"))</f>
        <v/>
      </c>
      <c r="NS14" s="170">
        <f>SUMPRODUCT((Settings!$G$14:$G$43=$B14)*COUNTIF('INPUT - Roster'!$OI$6:$OI$206,"*"&amp;Settings!$F$14:$F$43&amp;"*"))</f>
        <v/>
      </c>
      <c r="NT14" s="170">
        <f>SUMPRODUCT((Settings!$G$14:$G$43=$B14)*COUNTIF('INPUT - Roster'!$OJ$6:$OJ$206,"*"&amp;Settings!$F$14:$F$43&amp;"*"))</f>
        <v/>
      </c>
      <c r="NU14" s="170">
        <f>SUMPRODUCT((Settings!$G$14:$G$43=$B14)*COUNTIF('INPUT - Roster'!$OK$6:$OK$206,"*"&amp;Settings!$F$14:$F$43&amp;"*"))</f>
        <v/>
      </c>
      <c r="NV14" s="170">
        <f>SUMPRODUCT((Settings!$G$14:$G$43=$B14)*COUNTIF('INPUT - Roster'!$OL$6:$OL$206,"*"&amp;Settings!$F$14:$F$43&amp;"*"))</f>
        <v/>
      </c>
      <c r="NW14" s="170">
        <f>SUMPRODUCT((Settings!$G$14:$G$43=$B14)*COUNTIF('INPUT - Roster'!$OM$6:$OM$206,"*"&amp;Settings!$F$14:$F$43&amp;"*"))</f>
        <v/>
      </c>
      <c r="NX14" s="170">
        <f>SUMPRODUCT((Settings!$G$14:$G$43=$B14)*COUNTIF('INPUT - Roster'!$ON$6:$ON$206,"*"&amp;Settings!$F$14:$F$43&amp;"*"))</f>
        <v/>
      </c>
      <c r="NY14" s="170">
        <f>SUMPRODUCT((Settings!$G$14:$G$43=$B14)*COUNTIF('INPUT - Roster'!$OO$6:$OO$206,"*"&amp;Settings!$F$14:$F$43&amp;"*"))</f>
        <v/>
      </c>
      <c r="NZ14" s="170">
        <f>SUMPRODUCT((Settings!$G$14:$G$43=$B14)*COUNTIF('INPUT - Roster'!$OP$6:$OP$206,"*"&amp;Settings!$F$14:$F$43&amp;"*"))</f>
        <v/>
      </c>
      <c r="OA14" s="170">
        <f>SUMPRODUCT((Settings!$G$14:$G$43=$B14)*COUNTIF('INPUT - Roster'!$OQ$6:$OQ$206,"*"&amp;Settings!$F$14:$F$43&amp;"*"))</f>
        <v/>
      </c>
      <c r="OB14" s="170">
        <f>SUMPRODUCT((Settings!$G$14:$G$43=$B14)*COUNTIF('INPUT - Roster'!$OR$6:$OR$206,"*"&amp;Settings!$F$14:$F$43&amp;"*"))</f>
        <v/>
      </c>
      <c r="OC14" s="170">
        <f>SUMPRODUCT((Settings!$G$14:$G$43=$B14)*COUNTIF('INPUT - Roster'!$OS$6:$OS$206,"*"&amp;Settings!$F$14:$F$43&amp;"*"))</f>
        <v/>
      </c>
      <c r="OD14" s="170">
        <f>SUMPRODUCT((Settings!$G$14:$G$43=$B14)*COUNTIF('INPUT - Roster'!$OT$6:$OT$206,"*"&amp;Settings!$F$14:$F$43&amp;"*"))</f>
        <v/>
      </c>
      <c r="OE14" s="170">
        <f>SUMPRODUCT((Settings!$G$14:$G$43=$B14)*COUNTIF('INPUT - Roster'!$OU$6:$OU$206,"*"&amp;Settings!$F$14:$F$43&amp;"*"))</f>
        <v/>
      </c>
      <c r="OF14" s="170">
        <f>SUMPRODUCT((Settings!$G$14:$G$43=$B14)*COUNTIF('INPUT - Roster'!$OV$6:$OV$206,"*"&amp;Settings!$F$14:$F$43&amp;"*"))</f>
        <v/>
      </c>
      <c r="OG14" s="170">
        <f>SUMPRODUCT((Settings!$G$14:$G$43=$B14)*COUNTIF('INPUT - Roster'!$OW$6:$OW$206,"*"&amp;Settings!$F$14:$F$43&amp;"*"))</f>
        <v/>
      </c>
      <c r="OH14" s="170">
        <f>SUMPRODUCT((Settings!$G$14:$G$43=$B14)*COUNTIF('INPUT - Roster'!$OX$6:$OX$206,"*"&amp;Settings!$F$14:$F$43&amp;"*"))</f>
        <v/>
      </c>
      <c r="OI14" s="170">
        <f>SUMPRODUCT((Settings!$G$14:$G$43=$B14)*COUNTIF('INPUT - Roster'!$OY$6:$OY$206,"*"&amp;Settings!$F$14:$F$43&amp;"*"))</f>
        <v/>
      </c>
      <c r="OJ14" s="170">
        <f>SUMPRODUCT((Settings!$G$14:$G$43=$B14)*COUNTIF('INPUT - Roster'!$OZ$6:$OZ$206,"*"&amp;Settings!$F$14:$F$43&amp;"*"))</f>
        <v/>
      </c>
      <c r="OK14" s="170">
        <f>SUMPRODUCT((Settings!$G$14:$G$43=$B14)*COUNTIF('INPUT - Roster'!$PA$6:$PA$206,"*"&amp;Settings!$F$14:$F$43&amp;"*"))</f>
        <v/>
      </c>
      <c r="OL14" s="170">
        <f>SUMPRODUCT((Settings!$G$14:$G$43=$B14)*COUNTIF('INPUT - Roster'!$PB$6:$PB$206,"*"&amp;Settings!$F$14:$F$43&amp;"*"))</f>
        <v/>
      </c>
      <c r="OM14" s="170">
        <f>SUMPRODUCT((Settings!$G$14:$G$43=$B14)*COUNTIF('INPUT - Roster'!$PC$6:$PC$206,"*"&amp;Settings!$F$14:$F$43&amp;"*"))</f>
        <v/>
      </c>
      <c r="ON14" s="170">
        <f>SUMPRODUCT((Settings!$G$14:$G$43=$B14)*COUNTIF('INPUT - Roster'!$PD$6:$PD$206,"*"&amp;Settings!$F$14:$F$43&amp;"*"))</f>
        <v/>
      </c>
      <c r="OO14" s="170">
        <f>SUMPRODUCT((Settings!$G$14:$G$43=$B14)*COUNTIF('INPUT - Roster'!$PE$6:$PE$206,"*"&amp;Settings!$F$14:$F$43&amp;"*"))</f>
        <v/>
      </c>
      <c r="OP14" s="170">
        <f>SUMPRODUCT((Settings!$G$14:$G$43=$B14)*COUNTIF('INPUT - Roster'!$PF$6:$PF$206,"*"&amp;Settings!$F$14:$F$43&amp;"*"))</f>
        <v/>
      </c>
      <c r="OQ14" s="170">
        <f>SUMPRODUCT((Settings!$G$14:$G$43=$B14)*COUNTIF('INPUT - Roster'!$PG$6:$PG$206,"*"&amp;Settings!$F$14:$F$43&amp;"*"))</f>
        <v/>
      </c>
      <c r="OR14" s="170">
        <f>SUMPRODUCT((Settings!$G$14:$G$43=$B14)*COUNTIF('INPUT - Roster'!$PH$6:$PH$206,"*"&amp;Settings!$F$14:$F$43&amp;"*"))</f>
        <v/>
      </c>
      <c r="OS14" s="170">
        <f>SUMPRODUCT((Settings!$G$14:$G$43=$B14)*COUNTIF('INPUT - Roster'!$PI$6:$PI$206,"*"&amp;Settings!$F$14:$F$43&amp;"*"))</f>
        <v/>
      </c>
      <c r="OT14" s="170">
        <f>SUMPRODUCT((Settings!$G$14:$G$43=$B14)*COUNTIF('INPUT - Roster'!$PJ$6:$PJ$206,"*"&amp;Settings!$F$14:$F$43&amp;"*"))</f>
        <v/>
      </c>
      <c r="OU14" s="170">
        <f>SUMPRODUCT((Settings!$G$14:$G$43=$B14)*COUNTIF('INPUT - Roster'!$PK$6:$PK$206,"*"&amp;Settings!$F$14:$F$43&amp;"*"))</f>
        <v/>
      </c>
      <c r="OV14" s="170">
        <f>SUMPRODUCT((Settings!$G$14:$G$43=$B14)*COUNTIF('INPUT - Roster'!$PL$6:$PL$206,"*"&amp;Settings!$F$14:$F$43&amp;"*"))</f>
        <v/>
      </c>
      <c r="OW14" s="170">
        <f>SUMPRODUCT((Settings!$G$14:$G$43=$B14)*COUNTIF('INPUT - Roster'!$PM$6:$PM$206,"*"&amp;Settings!$F$14:$F$43&amp;"*"))</f>
        <v/>
      </c>
      <c r="OX14" s="170">
        <f>SUMPRODUCT((Settings!$G$14:$G$43=$B14)*COUNTIF('INPUT - Roster'!$PN$6:$PN$206,"*"&amp;Settings!$F$14:$F$43&amp;"*"))</f>
        <v/>
      </c>
      <c r="OY14" s="170">
        <f>SUMPRODUCT((Settings!$G$14:$G$43=$B14)*COUNTIF('INPUT - Roster'!$PO$6:$PO$206,"*"&amp;Settings!$F$14:$F$43&amp;"*"))</f>
        <v/>
      </c>
      <c r="OZ14" s="170">
        <f>SUMPRODUCT((Settings!$G$14:$G$43=$B14)*COUNTIF('INPUT - Roster'!$PP$6:$PP$206,"*"&amp;Settings!$F$14:$F$43&amp;"*"))</f>
        <v/>
      </c>
      <c r="PA14" s="170">
        <f>SUMPRODUCT((Settings!$G$14:$G$43=$B14)*COUNTIF('INPUT - Roster'!$PQ$6:$PQ$206,"*"&amp;Settings!$F$14:$F$43&amp;"*"))</f>
        <v/>
      </c>
      <c r="PB14" s="170">
        <f>SUMPRODUCT((Settings!$G$14:$G$43=$B14)*COUNTIF('INPUT - Roster'!$PR$6:$PR$206,"*"&amp;Settings!$F$14:$F$43&amp;"*"))</f>
        <v/>
      </c>
      <c r="PC14" s="170">
        <f>SUMPRODUCT((Settings!$G$14:$G$43=$B14)*COUNTIF('INPUT - Roster'!$PS$6:$PS$206,"*"&amp;Settings!$F$14:$F$43&amp;"*"))</f>
        <v/>
      </c>
      <c r="PD14" s="170">
        <f>SUMPRODUCT((Settings!$G$14:$G$43=$B14)*COUNTIF('INPUT - Roster'!$PT$6:$PT$206,"*"&amp;Settings!$F$14:$F$43&amp;"*"))</f>
        <v/>
      </c>
      <c r="PE14" s="170">
        <f>SUMPRODUCT((Settings!$G$14:$G$43=$B14)*COUNTIF('INPUT - Roster'!$PU$6:$PU$206,"*"&amp;Settings!$F$14:$F$43&amp;"*"))</f>
        <v/>
      </c>
      <c r="PF14" s="170">
        <f>SUMPRODUCT((Settings!$G$14:$G$43=$B14)*COUNTIF('INPUT - Roster'!$PV$6:$PV$206,"*"&amp;Settings!$F$14:$F$43&amp;"*"))</f>
        <v/>
      </c>
      <c r="PG14" s="170">
        <f>SUMPRODUCT((Settings!$G$14:$G$43=$B14)*COUNTIF('INPUT - Roster'!$PW$6:$PW$206,"*"&amp;Settings!$F$14:$F$43&amp;"*"))</f>
        <v/>
      </c>
      <c r="PH14" s="170">
        <f>SUMPRODUCT((Settings!$G$14:$G$43=$B14)*COUNTIF('INPUT - Roster'!$PX$6:$PX$206,"*"&amp;Settings!$F$14:$F$43&amp;"*"))</f>
        <v/>
      </c>
      <c r="PI14" s="170">
        <f>SUMPRODUCT((Settings!$G$14:$G$43=$B14)*COUNTIF('INPUT - Roster'!$PY$6:$PY$206,"*"&amp;Settings!$F$14:$F$43&amp;"*"))</f>
        <v/>
      </c>
      <c r="PJ14" s="170">
        <f>SUMPRODUCT((Settings!$G$14:$G$43=$B14)*COUNTIF('INPUT - Roster'!$PZ$6:$PZ$206,"*"&amp;Settings!$F$14:$F$43&amp;"*"))</f>
        <v/>
      </c>
      <c r="PK14" s="170">
        <f>SUMPRODUCT((Settings!$G$14:$G$43=$B14)*COUNTIF('INPUT - Roster'!$QA$6:$QA$206,"*"&amp;Settings!$F$14:$F$43&amp;"*"))</f>
        <v/>
      </c>
      <c r="PL14" s="170">
        <f>SUMPRODUCT((Settings!$G$14:$G$43=$B14)*COUNTIF('INPUT - Roster'!$QB$6:$QB$206,"*"&amp;Settings!$F$14:$F$43&amp;"*"))</f>
        <v/>
      </c>
      <c r="PM14" s="170">
        <f>SUMPRODUCT((Settings!$G$14:$G$43=$B14)*COUNTIF('INPUT - Roster'!$QC$6:$QC$206,"*"&amp;Settings!$F$14:$F$43&amp;"*"))</f>
        <v/>
      </c>
      <c r="PN14" s="170">
        <f>SUMPRODUCT((Settings!$G$14:$G$43=$B14)*COUNTIF('INPUT - Roster'!$QD$6:$QD$206,"*"&amp;Settings!$F$14:$F$43&amp;"*"))</f>
        <v/>
      </c>
      <c r="PO14" s="170">
        <f>SUMPRODUCT((Settings!$G$14:$G$43=$B14)*COUNTIF('INPUT - Roster'!$QE$6:$QE$206,"*"&amp;Settings!$F$14:$F$43&amp;"*"))</f>
        <v/>
      </c>
      <c r="PP14" s="170">
        <f>SUMPRODUCT((Settings!$G$14:$G$43=$B14)*COUNTIF('INPUT - Roster'!$QF$6:$QF$206,"*"&amp;Settings!$F$14:$F$43&amp;"*"))</f>
        <v/>
      </c>
      <c r="PQ14" s="170">
        <f>SUMPRODUCT((Settings!$G$14:$G$43=$B14)*COUNTIF('INPUT - Roster'!$QG$6:$QG$206,"*"&amp;Settings!$F$14:$F$43&amp;"*"))</f>
        <v/>
      </c>
      <c r="PR14" s="170">
        <f>SUMPRODUCT((Settings!$G$14:$G$43=$B14)*COUNTIF('INPUT - Roster'!$QH$6:$QH$206,"*"&amp;Settings!$F$14:$F$43&amp;"*"))</f>
        <v/>
      </c>
      <c r="PS14" s="170">
        <f>SUMPRODUCT((Settings!$G$14:$G$43=$B14)*COUNTIF('INPUT - Roster'!$QI$6:$QI$206,"*"&amp;Settings!$F$14:$F$43&amp;"*"))</f>
        <v/>
      </c>
      <c r="PT14" s="170">
        <f>SUMPRODUCT((Settings!$G$14:$G$43=$B14)*COUNTIF('INPUT - Roster'!$QJ$6:$QJ$206,"*"&amp;Settings!$F$14:$F$43&amp;"*"))</f>
        <v/>
      </c>
      <c r="PU14" s="170">
        <f>SUMPRODUCT((Settings!$G$14:$G$43=$B14)*COUNTIF('INPUT - Roster'!$QK$6:$QK$206,"*"&amp;Settings!$F$14:$F$43&amp;"*"))</f>
        <v/>
      </c>
      <c r="PV14" s="170">
        <f>SUMPRODUCT((Settings!$G$14:$G$43=$B14)*COUNTIF('INPUT - Roster'!$QL$6:$QL$206,"*"&amp;Settings!$F$14:$F$43&amp;"*"))</f>
        <v/>
      </c>
      <c r="PW14" s="170">
        <f>SUMPRODUCT((Settings!$G$14:$G$43=$B14)*COUNTIF('INPUT - Roster'!$QM$6:$QM$206,"*"&amp;Settings!$F$14:$F$43&amp;"*"))</f>
        <v/>
      </c>
      <c r="PX14" s="170">
        <f>SUMPRODUCT((Settings!$G$14:$G$43=$B14)*COUNTIF('INPUT - Roster'!$QN$6:$QN$206,"*"&amp;Settings!$F$14:$F$43&amp;"*"))</f>
        <v/>
      </c>
      <c r="PY14" s="170">
        <f>SUMPRODUCT((Settings!$G$14:$G$43=$B14)*COUNTIF('INPUT - Roster'!$QO$6:$QO$206,"*"&amp;Settings!$F$14:$F$43&amp;"*"))</f>
        <v/>
      </c>
      <c r="PZ14" s="170">
        <f>SUMPRODUCT((Settings!$G$14:$G$43=$B14)*COUNTIF('INPUT - Roster'!$QP$6:$QP$206,"*"&amp;Settings!$F$14:$F$43&amp;"*"))</f>
        <v/>
      </c>
      <c r="QA14" s="170">
        <f>SUMPRODUCT((Settings!$G$14:$G$43=$B14)*COUNTIF('INPUT - Roster'!$QQ$6:$QQ$206,"*"&amp;Settings!$F$14:$F$43&amp;"*"))</f>
        <v/>
      </c>
      <c r="QB14" s="170">
        <f>SUMPRODUCT((Settings!$G$14:$G$43=$B14)*COUNTIF('INPUT - Roster'!$QR$6:$QR$206,"*"&amp;Settings!$F$14:$F$43&amp;"*"))</f>
        <v/>
      </c>
      <c r="QC14" s="170">
        <f>SUMPRODUCT((Settings!$G$14:$G$43=$B14)*COUNTIF('INPUT - Roster'!$QS$6:$QS$206,"*"&amp;Settings!$F$14:$F$43&amp;"*"))</f>
        <v/>
      </c>
      <c r="QD14" s="170">
        <f>SUMPRODUCT((Settings!$G$14:$G$43=$B14)*COUNTIF('INPUT - Roster'!$QT$6:$QT$206,"*"&amp;Settings!$F$14:$F$43&amp;"*"))</f>
        <v/>
      </c>
      <c r="QE14" s="170">
        <f>SUMPRODUCT((Settings!$G$14:$G$43=$B14)*COUNTIF('INPUT - Roster'!$QU$6:$QU$206,"*"&amp;Settings!$F$14:$F$43&amp;"*"))</f>
        <v/>
      </c>
      <c r="QF14" s="170">
        <f>SUMPRODUCT((Settings!$G$14:$G$43=$B14)*COUNTIF('INPUT - Roster'!$QV$6:$QV$206,"*"&amp;Settings!$F$14:$F$43&amp;"*"))</f>
        <v/>
      </c>
      <c r="QG14" s="170">
        <f>SUMPRODUCT((Settings!$G$14:$G$43=$B14)*COUNTIF('INPUT - Roster'!$QW$6:$QW$206,"*"&amp;Settings!$F$14:$F$43&amp;"*"))</f>
        <v/>
      </c>
      <c r="QH14" s="170">
        <f>SUMPRODUCT((Settings!$G$14:$G$43=$B14)*COUNTIF('INPUT - Roster'!$QX$6:$QX$206,"*"&amp;Settings!$F$14:$F$43&amp;"*"))</f>
        <v/>
      </c>
      <c r="QI14" s="170">
        <f>SUMPRODUCT((Settings!$G$14:$G$43=$B14)*COUNTIF('INPUT - Roster'!$QY$6:$QY$206,"*"&amp;Settings!$F$14:$F$43&amp;"*"))</f>
        <v/>
      </c>
      <c r="QJ14" s="170">
        <f>SUMPRODUCT((Settings!$G$14:$G$43=$B14)*COUNTIF('INPUT - Roster'!$QZ$6:$QZ$206,"*"&amp;Settings!$F$14:$F$43&amp;"*"))</f>
        <v/>
      </c>
      <c r="QK14" s="170">
        <f>SUMPRODUCT((Settings!$G$14:$G$43=$B14)*COUNTIF('INPUT - Roster'!$RA$6:$RA$206,"*"&amp;Settings!$F$14:$F$43&amp;"*"))</f>
        <v/>
      </c>
      <c r="QL14" s="170">
        <f>SUMPRODUCT((Settings!$G$14:$G$43=$B14)*COUNTIF('INPUT - Roster'!$RB$6:$RB$206,"*"&amp;Settings!$F$14:$F$43&amp;"*"))</f>
        <v/>
      </c>
      <c r="QM14" s="170">
        <f>SUMPRODUCT((Settings!$G$14:$G$43=$B14)*COUNTIF('INPUT - Roster'!$RC$6:$RC$206,"*"&amp;Settings!$F$14:$F$43&amp;"*"))</f>
        <v/>
      </c>
      <c r="QN14" s="170">
        <f>SUMPRODUCT((Settings!$G$14:$G$43=$B14)*COUNTIF('INPUT - Roster'!$RD$6:$RD$206,"*"&amp;Settings!$F$14:$F$43&amp;"*"))</f>
        <v/>
      </c>
      <c r="QO14" s="170">
        <f>SUMPRODUCT((Settings!$G$14:$G$43=$B14)*COUNTIF('INPUT - Roster'!$RE$6:$RE$206,"*"&amp;Settings!$F$14:$F$43&amp;"*"))</f>
        <v/>
      </c>
      <c r="QP14" s="170">
        <f>SUMPRODUCT((Settings!$G$14:$G$43=$B14)*COUNTIF('INPUT - Roster'!$RF$6:$RF$206,"*"&amp;Settings!$F$14:$F$43&amp;"*"))</f>
        <v/>
      </c>
      <c r="QQ14" s="170">
        <f>SUMPRODUCT((Settings!$G$14:$G$43=$B14)*COUNTIF('INPUT - Roster'!$RG$6:$RG$206,"*"&amp;Settings!$F$14:$F$43&amp;"*"))</f>
        <v/>
      </c>
      <c r="QR14" s="170">
        <f>SUMPRODUCT((Settings!$G$14:$G$43=$B14)*COUNTIF('INPUT - Roster'!$RH$6:$RH$206,"*"&amp;Settings!$F$14:$F$43&amp;"*"))</f>
        <v/>
      </c>
      <c r="QS14" s="170">
        <f>SUMPRODUCT((Settings!$G$14:$G$43=$B14)*COUNTIF('INPUT - Roster'!$RI$6:$RI$206,"*"&amp;Settings!$F$14:$F$43&amp;"*"))</f>
        <v/>
      </c>
      <c r="QT14" s="170">
        <f>SUMPRODUCT((Settings!$G$14:$G$43=$B14)*COUNTIF('INPUT - Roster'!$RJ$6:$RJ$206,"*"&amp;Settings!$F$14:$F$43&amp;"*"))</f>
        <v/>
      </c>
      <c r="QU14" s="170">
        <f>SUMPRODUCT((Settings!$G$14:$G$43=$B14)*COUNTIF('INPUT - Roster'!$RK$6:$RK$206,"*"&amp;Settings!$F$14:$F$43&amp;"*"))</f>
        <v/>
      </c>
      <c r="QV14" s="170">
        <f>SUMPRODUCT((Settings!$G$14:$G$43=$B14)*COUNTIF('INPUT - Roster'!$RL$6:$RL$206,"*"&amp;Settings!$F$14:$F$43&amp;"*"))</f>
        <v/>
      </c>
      <c r="QW14" s="170">
        <f>SUMPRODUCT((Settings!$G$14:$G$43=$B14)*COUNTIF('INPUT - Roster'!$RM$6:$RM$206,"*"&amp;Settings!$F$14:$F$43&amp;"*"))</f>
        <v/>
      </c>
      <c r="QX14" s="170">
        <f>SUMPRODUCT((Settings!$G$14:$G$43=$B14)*COUNTIF('INPUT - Roster'!$RN$6:$RN$206,"*"&amp;Settings!$F$14:$F$43&amp;"*"))</f>
        <v/>
      </c>
      <c r="QY14" s="170">
        <f>SUMPRODUCT((Settings!$G$14:$G$43=$B14)*COUNTIF('INPUT - Roster'!$RO$6:$RO$206,"*"&amp;Settings!$F$14:$F$43&amp;"*"))</f>
        <v/>
      </c>
      <c r="QZ14" s="170">
        <f>SUMPRODUCT((Settings!$G$14:$G$43=$B14)*COUNTIF('INPUT - Roster'!$RP$6:$RP$206,"*"&amp;Settings!$F$14:$F$43&amp;"*"))</f>
        <v/>
      </c>
      <c r="RA14" s="170">
        <f>SUMPRODUCT((Settings!$G$14:$G$43=$B14)*COUNTIF('INPUT - Roster'!$RQ$6:$RQ$206,"*"&amp;Settings!$F$14:$F$43&amp;"*"))</f>
        <v/>
      </c>
      <c r="RB14" s="170">
        <f>SUMPRODUCT((Settings!$G$14:$G$43=$B14)*COUNTIF('INPUT - Roster'!$RR$6:$RR$206,"*"&amp;Settings!$F$14:$F$43&amp;"*"))</f>
        <v/>
      </c>
      <c r="RC14" s="170">
        <f>SUMPRODUCT((Settings!$G$14:$G$43=$B14)*COUNTIF('INPUT - Roster'!$RS$6:$RS$206,"*"&amp;Settings!$F$14:$F$43&amp;"*"))</f>
        <v/>
      </c>
      <c r="RD14" s="170">
        <f>SUMPRODUCT((Settings!$G$14:$G$43=$B14)*COUNTIF('INPUT - Roster'!$RT$6:$RT$206,"*"&amp;Settings!$F$14:$F$43&amp;"*"))</f>
        <v/>
      </c>
      <c r="RE14" s="170">
        <f>SUMPRODUCT((Settings!$G$14:$G$43=$B14)*COUNTIF('INPUT - Roster'!$RU$6:$RU$206,"*"&amp;Settings!$F$14:$F$43&amp;"*"))</f>
        <v/>
      </c>
      <c r="RF14" s="170">
        <f>SUMPRODUCT((Settings!$G$14:$G$43=$B14)*COUNTIF('INPUT - Roster'!$RV$6:$RV$206,"*"&amp;Settings!$F$14:$F$43&amp;"*"))</f>
        <v/>
      </c>
      <c r="RG14" s="170">
        <f>SUMPRODUCT((Settings!$G$14:$G$43=$B14)*COUNTIF('INPUT - Roster'!$RW$6:$RW$206,"*"&amp;Settings!$F$14:$F$43&amp;"*"))</f>
        <v/>
      </c>
      <c r="RH14" s="170">
        <f>SUMPRODUCT((Settings!$G$14:$G$43=$B14)*COUNTIF('INPUT - Roster'!$RX$6:$RX$206,"*"&amp;Settings!$F$14:$F$43&amp;"*"))</f>
        <v/>
      </c>
      <c r="RI14" s="170">
        <f>SUMPRODUCT((Settings!$G$14:$G$43=$B14)*COUNTIF('INPUT - Roster'!$RY$6:$RY$206,"*"&amp;Settings!$F$14:$F$43&amp;"*"))</f>
        <v/>
      </c>
      <c r="RJ14" s="170">
        <f>SUMPRODUCT((Settings!$G$14:$G$43=$B14)*COUNTIF('INPUT - Roster'!$RZ$6:$RZ$206,"*"&amp;Settings!$F$14:$F$43&amp;"*"))</f>
        <v/>
      </c>
      <c r="RK14" s="170">
        <f>SUMPRODUCT((Settings!$G$14:$G$43=$B14)*COUNTIF('INPUT - Roster'!$SA$6:$SA$206,"*"&amp;Settings!$F$14:$F$43&amp;"*"))</f>
        <v/>
      </c>
      <c r="RL14" s="170">
        <f>SUMPRODUCT((Settings!$G$14:$G$43=$B14)*COUNTIF('INPUT - Roster'!$SB$6:$SB$206,"*"&amp;Settings!$F$14:$F$43&amp;"*"))</f>
        <v/>
      </c>
      <c r="RM14" s="170">
        <f>SUMPRODUCT((Settings!$G$14:$G$43=$B14)*COUNTIF('INPUT - Roster'!$SC$6:$SC$206,"*"&amp;Settings!$F$14:$F$43&amp;"*"))</f>
        <v/>
      </c>
      <c r="RN14" s="170">
        <f>SUMPRODUCT((Settings!$G$14:$G$43=$B14)*COUNTIF('INPUT - Roster'!$SD$6:$SD$206,"*"&amp;Settings!$F$14:$F$43&amp;"*"))</f>
        <v/>
      </c>
      <c r="RO14" s="170">
        <f>SUMPRODUCT((Settings!$G$14:$G$43=$B14)*COUNTIF('INPUT - Roster'!$SE$6:$SE$206,"*"&amp;Settings!$F$14:$F$43&amp;"*"))</f>
        <v/>
      </c>
      <c r="RP14" s="170">
        <f>SUMPRODUCT((Settings!$G$14:$G$43=$B14)*COUNTIF('INPUT - Roster'!$SF$6:$SF$206,"*"&amp;Settings!$F$14:$F$43&amp;"*"))</f>
        <v/>
      </c>
      <c r="RQ14" s="170">
        <f>SUMPRODUCT((Settings!$G$14:$G$43=$B14)*COUNTIF('INPUT - Roster'!$SG$6:$SG$206,"*"&amp;Settings!$F$14:$F$43&amp;"*"))</f>
        <v/>
      </c>
      <c r="RR14" s="170">
        <f>SUMPRODUCT((Settings!$G$14:$G$43=$B14)*COUNTIF('INPUT - Roster'!$SH$6:$SH$206,"*"&amp;Settings!$F$14:$F$43&amp;"*"))</f>
        <v/>
      </c>
      <c r="RS14" s="170">
        <f>SUMPRODUCT((Settings!$G$14:$G$43=$B14)*COUNTIF('INPUT - Roster'!$SI$6:$SI$206,"*"&amp;Settings!$F$14:$F$43&amp;"*"))</f>
        <v/>
      </c>
      <c r="RT14" s="170">
        <f>SUMPRODUCT((Settings!$G$14:$G$43=$B14)*COUNTIF('INPUT - Roster'!$SJ$6:$SJ$206,"*"&amp;Settings!$F$14:$F$43&amp;"*"))</f>
        <v/>
      </c>
      <c r="RU14" s="170">
        <f>SUMPRODUCT((Settings!$G$14:$G$43=$B14)*COUNTIF('INPUT - Roster'!$SK$6:$SK$206,"*"&amp;Settings!$F$14:$F$43&amp;"*"))</f>
        <v/>
      </c>
      <c r="RV14" s="170">
        <f>SUMPRODUCT((Settings!$G$14:$G$43=$B14)*COUNTIF('INPUT - Roster'!$SL$6:$SL$206,"*"&amp;Settings!$F$14:$F$43&amp;"*"))</f>
        <v/>
      </c>
      <c r="RW14" s="170">
        <f>SUMPRODUCT((Settings!$G$14:$G$43=$B14)*COUNTIF('INPUT - Roster'!$SM$6:$SM$206,"*"&amp;Settings!$F$14:$F$43&amp;"*"))</f>
        <v/>
      </c>
      <c r="RX14" s="170">
        <f>SUMPRODUCT((Settings!$G$14:$G$43=$B14)*COUNTIF('INPUT - Roster'!$SN$6:$SN$206,"*"&amp;Settings!$F$14:$F$43&amp;"*"))</f>
        <v/>
      </c>
      <c r="RY14" s="170">
        <f>SUMPRODUCT((Settings!$G$14:$G$43=$B14)*COUNTIF('INPUT - Roster'!$SO$6:$SO$206,"*"&amp;Settings!$F$14:$F$43&amp;"*"))</f>
        <v/>
      </c>
      <c r="RZ14" s="170">
        <f>SUMPRODUCT((Settings!$G$14:$G$43=$B14)*COUNTIF('INPUT - Roster'!$SP$6:$SP$206,"*"&amp;Settings!$F$14:$F$43&amp;"*"))</f>
        <v/>
      </c>
      <c r="SA14" s="170">
        <f>SUMPRODUCT((Settings!$G$14:$G$43=$B14)*COUNTIF('INPUT - Roster'!$SQ$6:$SQ$206,"*"&amp;Settings!$F$14:$F$43&amp;"*"))</f>
        <v/>
      </c>
      <c r="SB14" s="170">
        <f>SUMPRODUCT((Settings!$G$14:$G$43=$B14)*COUNTIF('INPUT - Roster'!$SR$6:$SR$206,"*"&amp;Settings!$F$14:$F$43&amp;"*"))</f>
        <v/>
      </c>
      <c r="SC14" s="170">
        <f>SUMPRODUCT((Settings!$G$14:$G$43=$B14)*COUNTIF('INPUT - Roster'!$SS$6:$SS$206,"*"&amp;Settings!$F$14:$F$43&amp;"*"))</f>
        <v/>
      </c>
      <c r="SD14" s="170">
        <f>SUMPRODUCT((Settings!$G$14:$G$43=$B14)*COUNTIF('INPUT - Roster'!$ST$6:$ST$206,"*"&amp;Settings!$F$14:$F$43&amp;"*"))</f>
        <v/>
      </c>
      <c r="SE14" s="170">
        <f>SUMPRODUCT((Settings!$G$14:$G$43=$B14)*COUNTIF('INPUT - Roster'!$SU$6:$SU$206,"*"&amp;Settings!$F$14:$F$43&amp;"*"))</f>
        <v/>
      </c>
      <c r="SF14" s="170">
        <f>SUMPRODUCT((Settings!$G$14:$G$43=$B14)*COUNTIF('INPUT - Roster'!$SV$6:$SV$206,"*"&amp;Settings!$F$14:$F$43&amp;"*"))</f>
        <v/>
      </c>
    </row>
    <row r="15">
      <c r="B15" s="169" t="inlineStr">
        <is>
          <t>Mulla Mulla</t>
        </is>
      </c>
      <c r="C15" s="170">
        <f>SUMPRODUCT((Settings!$G$14:$G$43=$B15)*COUNTIF('INPUT - Roster'!$S$6:$S$206,"*"&amp;Settings!$F$14:$F$43&amp;"*"))</f>
        <v/>
      </c>
      <c r="D15" s="170">
        <f>SUMPRODUCT((Settings!$G$14:$G$43=$B15)*COUNTIF('INPUT - Roster'!$T$6:$T$206,"*"&amp;Settings!$F$14:$F$43&amp;"*"))</f>
        <v/>
      </c>
      <c r="E15" s="170">
        <f>SUMPRODUCT((Settings!$G$14:$G$43=$B15)*COUNTIF('INPUT - Roster'!$U$6:$U$206,"*"&amp;Settings!$F$14:$F$43&amp;"*"))</f>
        <v/>
      </c>
      <c r="F15" s="170">
        <f>SUMPRODUCT((Settings!$G$14:$G$43=$B15)*COUNTIF('INPUT - Roster'!$V$6:$V$206,"*"&amp;Settings!$F$14:$F$43&amp;"*"))</f>
        <v/>
      </c>
      <c r="G15" s="170">
        <f>SUMPRODUCT((Settings!$G$14:$G$43=$B15)*COUNTIF('INPUT - Roster'!$W$6:$W$206,"*"&amp;Settings!$F$14:$F$43&amp;"*"))</f>
        <v/>
      </c>
      <c r="H15" s="170">
        <f>SUMPRODUCT((Settings!$G$14:$G$43=$B15)*COUNTIF('INPUT - Roster'!$X$6:$X$206,"*"&amp;Settings!$F$14:$F$43&amp;"*"))</f>
        <v/>
      </c>
      <c r="I15" s="170">
        <f>SUMPRODUCT((Settings!$G$14:$G$43=$B15)*COUNTIF('INPUT - Roster'!$Y$6:$Y$206,"*"&amp;Settings!$F$14:$F$43&amp;"*"))</f>
        <v/>
      </c>
      <c r="J15" s="170">
        <f>SUMPRODUCT((Settings!$G$14:$G$43=$B15)*COUNTIF('INPUT - Roster'!$Z$6:$Z$206,"*"&amp;Settings!$F$14:$F$43&amp;"*"))</f>
        <v/>
      </c>
      <c r="K15" s="170">
        <f>SUMPRODUCT((Settings!$G$14:$G$43=$B15)*COUNTIF('INPUT - Roster'!$AA$6:$AA$206,"*"&amp;Settings!$F$14:$F$43&amp;"*"))</f>
        <v/>
      </c>
      <c r="L15" s="170">
        <f>SUMPRODUCT((Settings!$G$14:$G$43=$B15)*COUNTIF('INPUT - Roster'!$AB$6:$AB$206,"*"&amp;Settings!$F$14:$F$43&amp;"*"))</f>
        <v/>
      </c>
      <c r="M15" s="170">
        <f>SUMPRODUCT((Settings!$G$14:$G$43=$B15)*COUNTIF('INPUT - Roster'!$AC$6:$AC$206,"*"&amp;Settings!$F$14:$F$43&amp;"*"))</f>
        <v/>
      </c>
      <c r="N15" s="170">
        <f>SUMPRODUCT((Settings!$G$14:$G$43=$B15)*COUNTIF('INPUT - Roster'!$AD$6:$AD$206,"*"&amp;Settings!$F$14:$F$43&amp;"*"))</f>
        <v/>
      </c>
      <c r="O15" s="170">
        <f>SUMPRODUCT((Settings!$G$14:$G$43=$B15)*COUNTIF('INPUT - Roster'!$AE$6:$AE$206,"*"&amp;Settings!$F$14:$F$43&amp;"*"))</f>
        <v/>
      </c>
      <c r="P15" s="170">
        <f>SUMPRODUCT((Settings!$G$14:$G$43=$B15)*COUNTIF('INPUT - Roster'!$AF$6:$AF$206,"*"&amp;Settings!$F$14:$F$43&amp;"*"))</f>
        <v/>
      </c>
      <c r="Q15" s="170">
        <f>SUMPRODUCT((Settings!$G$14:$G$43=$B15)*COUNTIF('INPUT - Roster'!$AG$6:$AG$206,"*"&amp;Settings!$F$14:$F$43&amp;"*"))</f>
        <v/>
      </c>
      <c r="R15" s="170">
        <f>SUMPRODUCT((Settings!$G$14:$G$43=$B15)*COUNTIF('INPUT - Roster'!$AH$6:$AH$206,"*"&amp;Settings!$F$14:$F$43&amp;"*"))</f>
        <v/>
      </c>
      <c r="S15" s="170">
        <f>SUMPRODUCT((Settings!$G$14:$G$43=$B15)*COUNTIF('INPUT - Roster'!$AI$6:$AI$206,"*"&amp;Settings!$F$14:$F$43&amp;"*"))</f>
        <v/>
      </c>
      <c r="T15" s="170">
        <f>SUMPRODUCT((Settings!$G$14:$G$43=$B15)*COUNTIF('INPUT - Roster'!$AJ$6:$AJ$206,"*"&amp;Settings!$F$14:$F$43&amp;"*"))</f>
        <v/>
      </c>
      <c r="U15" s="170">
        <f>SUMPRODUCT((Settings!$G$14:$G$43=$B15)*COUNTIF('INPUT - Roster'!$AK$6:$AK$206,"*"&amp;Settings!$F$14:$F$43&amp;"*"))</f>
        <v/>
      </c>
      <c r="V15" s="170">
        <f>SUMPRODUCT((Settings!$G$14:$G$43=$B15)*COUNTIF('INPUT - Roster'!$AL$6:$AL$206,"*"&amp;Settings!$F$14:$F$43&amp;"*"))</f>
        <v/>
      </c>
      <c r="W15" s="170">
        <f>SUMPRODUCT((Settings!$G$14:$G$43=$B15)*COUNTIF('INPUT - Roster'!$AM$6:$AM$206,"*"&amp;Settings!$F$14:$F$43&amp;"*"))</f>
        <v/>
      </c>
      <c r="X15" s="170">
        <f>SUMPRODUCT((Settings!$G$14:$G$43=$B15)*COUNTIF('INPUT - Roster'!$AN$6:$AN$206,"*"&amp;Settings!$F$14:$F$43&amp;"*"))</f>
        <v/>
      </c>
      <c r="Y15" s="170">
        <f>SUMPRODUCT((Settings!$G$14:$G$43=$B15)*COUNTIF('INPUT - Roster'!$AO$6:$AO$206,"*"&amp;Settings!$F$14:$F$43&amp;"*"))</f>
        <v/>
      </c>
      <c r="Z15" s="170">
        <f>SUMPRODUCT((Settings!$G$14:$G$43=$B15)*COUNTIF('INPUT - Roster'!$AP$6:$AP$206,"*"&amp;Settings!$F$14:$F$43&amp;"*"))</f>
        <v/>
      </c>
      <c r="AA15" s="170">
        <f>SUMPRODUCT((Settings!$G$14:$G$43=$B15)*COUNTIF('INPUT - Roster'!$AQ$6:$AQ$206,"*"&amp;Settings!$F$14:$F$43&amp;"*"))</f>
        <v/>
      </c>
      <c r="AB15" s="170">
        <f>SUMPRODUCT((Settings!$G$14:$G$43=$B15)*COUNTIF('INPUT - Roster'!$AR$6:$AR$206,"*"&amp;Settings!$F$14:$F$43&amp;"*"))</f>
        <v/>
      </c>
      <c r="AC15" s="170">
        <f>SUMPRODUCT((Settings!$G$14:$G$43=$B15)*COUNTIF('INPUT - Roster'!$AS$6:$AS$206,"*"&amp;Settings!$F$14:$F$43&amp;"*"))</f>
        <v/>
      </c>
      <c r="AD15" s="170">
        <f>SUMPRODUCT((Settings!$G$14:$G$43=$B15)*COUNTIF('INPUT - Roster'!$AT$6:$AT$206,"*"&amp;Settings!$F$14:$F$43&amp;"*"))</f>
        <v/>
      </c>
      <c r="AE15" s="170">
        <f>SUMPRODUCT((Settings!$G$14:$G$43=$B15)*COUNTIF('INPUT - Roster'!$AU$6:$AU$206,"*"&amp;Settings!$F$14:$F$43&amp;"*"))</f>
        <v/>
      </c>
      <c r="AF15" s="170">
        <f>SUMPRODUCT((Settings!$G$14:$G$43=$B15)*COUNTIF('INPUT - Roster'!$AV$6:$AV$206,"*"&amp;Settings!$F$14:$F$43&amp;"*"))</f>
        <v/>
      </c>
      <c r="AG15" s="170">
        <f>SUMPRODUCT((Settings!$G$14:$G$43=$B15)*COUNTIF('INPUT - Roster'!$AW$6:$AW$206,"*"&amp;Settings!$F$14:$F$43&amp;"*"))</f>
        <v/>
      </c>
      <c r="AH15" s="170">
        <f>SUMPRODUCT((Settings!$G$14:$G$43=$B15)*COUNTIF('INPUT - Roster'!$AX$6:$AX$206,"*"&amp;Settings!$F$14:$F$43&amp;"*"))</f>
        <v/>
      </c>
      <c r="AI15" s="170">
        <f>SUMPRODUCT((Settings!$G$14:$G$43=$B15)*COUNTIF('INPUT - Roster'!$AY$6:$AY$206,"*"&amp;Settings!$F$14:$F$43&amp;"*"))</f>
        <v/>
      </c>
      <c r="AJ15" s="170">
        <f>SUMPRODUCT((Settings!$G$14:$G$43=$B15)*COUNTIF('INPUT - Roster'!$AZ$6:$AZ$206,"*"&amp;Settings!$F$14:$F$43&amp;"*"))</f>
        <v/>
      </c>
      <c r="AK15" s="170">
        <f>SUMPRODUCT((Settings!$G$14:$G$43=$B15)*COUNTIF('INPUT - Roster'!$BA$6:$BA$206,"*"&amp;Settings!$F$14:$F$43&amp;"*"))</f>
        <v/>
      </c>
      <c r="AL15" s="170">
        <f>SUMPRODUCT((Settings!$G$14:$G$43=$B15)*COUNTIF('INPUT - Roster'!$BB$6:$BB$206,"*"&amp;Settings!$F$14:$F$43&amp;"*"))</f>
        <v/>
      </c>
      <c r="AM15" s="170">
        <f>SUMPRODUCT((Settings!$G$14:$G$43=$B15)*COUNTIF('INPUT - Roster'!$BC$6:$BC$206,"*"&amp;Settings!$F$14:$F$43&amp;"*"))</f>
        <v/>
      </c>
      <c r="AN15" s="170">
        <f>SUMPRODUCT((Settings!$G$14:$G$43=$B15)*COUNTIF('INPUT - Roster'!$BD$6:$BD$206,"*"&amp;Settings!$F$14:$F$43&amp;"*"))</f>
        <v/>
      </c>
      <c r="AO15" s="170">
        <f>SUMPRODUCT((Settings!$G$14:$G$43=$B15)*COUNTIF('INPUT - Roster'!$BE$6:$BE$206,"*"&amp;Settings!$F$14:$F$43&amp;"*"))</f>
        <v/>
      </c>
      <c r="AP15" s="170">
        <f>SUMPRODUCT((Settings!$G$14:$G$43=$B15)*COUNTIF('INPUT - Roster'!$BF$6:$BF$206,"*"&amp;Settings!$F$14:$F$43&amp;"*"))</f>
        <v/>
      </c>
      <c r="AQ15" s="170">
        <f>SUMPRODUCT((Settings!$G$14:$G$43=$B15)*COUNTIF('INPUT - Roster'!$BG$6:$BG$206,"*"&amp;Settings!$F$14:$F$43&amp;"*"))</f>
        <v/>
      </c>
      <c r="AR15" s="170">
        <f>SUMPRODUCT((Settings!$G$14:$G$43=$B15)*COUNTIF('INPUT - Roster'!$BH$6:$BH$206,"*"&amp;Settings!$F$14:$F$43&amp;"*"))</f>
        <v/>
      </c>
      <c r="AS15" s="170">
        <f>SUMPRODUCT((Settings!$G$14:$G$43=$B15)*COUNTIF('INPUT - Roster'!$BI$6:$BI$206,"*"&amp;Settings!$F$14:$F$43&amp;"*"))</f>
        <v/>
      </c>
      <c r="AT15" s="170">
        <f>SUMPRODUCT((Settings!$G$14:$G$43=$B15)*COUNTIF('INPUT - Roster'!$BJ$6:$BJ$206,"*"&amp;Settings!$F$14:$F$43&amp;"*"))</f>
        <v/>
      </c>
      <c r="AU15" s="170">
        <f>SUMPRODUCT((Settings!$G$14:$G$43=$B15)*COUNTIF('INPUT - Roster'!$BK$6:$BK$206,"*"&amp;Settings!$F$14:$F$43&amp;"*"))</f>
        <v/>
      </c>
      <c r="AV15" s="170">
        <f>SUMPRODUCT((Settings!$G$14:$G$43=$B15)*COUNTIF('INPUT - Roster'!$BL$6:$BL$206,"*"&amp;Settings!$F$14:$F$43&amp;"*"))</f>
        <v/>
      </c>
      <c r="AW15" s="170">
        <f>SUMPRODUCT((Settings!$G$14:$G$43=$B15)*COUNTIF('INPUT - Roster'!$BM$6:$BM$206,"*"&amp;Settings!$F$14:$F$43&amp;"*"))</f>
        <v/>
      </c>
      <c r="AX15" s="170">
        <f>SUMPRODUCT((Settings!$G$14:$G$43=$B15)*COUNTIF('INPUT - Roster'!$BN$6:$BN$206,"*"&amp;Settings!$F$14:$F$43&amp;"*"))</f>
        <v/>
      </c>
      <c r="AY15" s="170">
        <f>SUMPRODUCT((Settings!$G$14:$G$43=$B15)*COUNTIF('INPUT - Roster'!$BO$6:$BO$206,"*"&amp;Settings!$F$14:$F$43&amp;"*"))</f>
        <v/>
      </c>
      <c r="AZ15" s="170">
        <f>SUMPRODUCT((Settings!$G$14:$G$43=$B15)*COUNTIF('INPUT - Roster'!$BP$6:$BP$206,"*"&amp;Settings!$F$14:$F$43&amp;"*"))</f>
        <v/>
      </c>
      <c r="BA15" s="170">
        <f>SUMPRODUCT((Settings!$G$14:$G$43=$B15)*COUNTIF('INPUT - Roster'!$BQ$6:$BQ$206,"*"&amp;Settings!$F$14:$F$43&amp;"*"))</f>
        <v/>
      </c>
      <c r="BB15" s="170">
        <f>SUMPRODUCT((Settings!$G$14:$G$43=$B15)*COUNTIF('INPUT - Roster'!$BR$6:$BR$206,"*"&amp;Settings!$F$14:$F$43&amp;"*"))</f>
        <v/>
      </c>
      <c r="BC15" s="170">
        <f>SUMPRODUCT((Settings!$G$14:$G$43=$B15)*COUNTIF('INPUT - Roster'!$BS$6:$BS$206,"*"&amp;Settings!$F$14:$F$43&amp;"*"))</f>
        <v/>
      </c>
      <c r="BD15" s="170">
        <f>SUMPRODUCT((Settings!$G$14:$G$43=$B15)*COUNTIF('INPUT - Roster'!$BT$6:$BT$206,"*"&amp;Settings!$F$14:$F$43&amp;"*"))</f>
        <v/>
      </c>
      <c r="BE15" s="170">
        <f>SUMPRODUCT((Settings!$G$14:$G$43=$B15)*COUNTIF('INPUT - Roster'!$BU$6:$BU$206,"*"&amp;Settings!$F$14:$F$43&amp;"*"))</f>
        <v/>
      </c>
      <c r="BF15" s="170">
        <f>SUMPRODUCT((Settings!$G$14:$G$43=$B15)*COUNTIF('INPUT - Roster'!$BV$6:$BV$206,"*"&amp;Settings!$F$14:$F$43&amp;"*"))</f>
        <v/>
      </c>
      <c r="BG15" s="170">
        <f>SUMPRODUCT((Settings!$G$14:$G$43=$B15)*COUNTIF('INPUT - Roster'!$BW$6:$BW$206,"*"&amp;Settings!$F$14:$F$43&amp;"*"))</f>
        <v/>
      </c>
      <c r="BH15" s="170">
        <f>SUMPRODUCT((Settings!$G$14:$G$43=$B15)*COUNTIF('INPUT - Roster'!$BX$6:$BX$206,"*"&amp;Settings!$F$14:$F$43&amp;"*"))</f>
        <v/>
      </c>
      <c r="BI15" s="170">
        <f>SUMPRODUCT((Settings!$G$14:$G$43=$B15)*COUNTIF('INPUT - Roster'!$BY$6:$BY$206,"*"&amp;Settings!$F$14:$F$43&amp;"*"))</f>
        <v/>
      </c>
      <c r="BJ15" s="170">
        <f>SUMPRODUCT((Settings!$G$14:$G$43=$B15)*COUNTIF('INPUT - Roster'!$BZ$6:$BZ$206,"*"&amp;Settings!$F$14:$F$43&amp;"*"))</f>
        <v/>
      </c>
      <c r="BK15" s="170">
        <f>SUMPRODUCT((Settings!$G$14:$G$43=$B15)*COUNTIF('INPUT - Roster'!$CA$6:$CA$206,"*"&amp;Settings!$F$14:$F$43&amp;"*"))</f>
        <v/>
      </c>
      <c r="BL15" s="170">
        <f>SUMPRODUCT((Settings!$G$14:$G$43=$B15)*COUNTIF('INPUT - Roster'!$CB$6:$CB$206,"*"&amp;Settings!$F$14:$F$43&amp;"*"))</f>
        <v/>
      </c>
      <c r="BM15" s="170">
        <f>SUMPRODUCT((Settings!$G$14:$G$43=$B15)*COUNTIF('INPUT - Roster'!$CC$6:$CC$206,"*"&amp;Settings!$F$14:$F$43&amp;"*"))</f>
        <v/>
      </c>
      <c r="BN15" s="170">
        <f>SUMPRODUCT((Settings!$G$14:$G$43=$B15)*COUNTIF('INPUT - Roster'!$CD$6:$CD$206,"*"&amp;Settings!$F$14:$F$43&amp;"*"))</f>
        <v/>
      </c>
      <c r="BO15" s="170">
        <f>SUMPRODUCT((Settings!$G$14:$G$43=$B15)*COUNTIF('INPUT - Roster'!$CE$6:$CE$206,"*"&amp;Settings!$F$14:$F$43&amp;"*"))</f>
        <v/>
      </c>
      <c r="BP15" s="170">
        <f>SUMPRODUCT((Settings!$G$14:$G$43=$B15)*COUNTIF('INPUT - Roster'!$CF$6:$CF$206,"*"&amp;Settings!$F$14:$F$43&amp;"*"))</f>
        <v/>
      </c>
      <c r="BQ15" s="170">
        <f>SUMPRODUCT((Settings!$G$14:$G$43=$B15)*COUNTIF('INPUT - Roster'!$CG$6:$CG$206,"*"&amp;Settings!$F$14:$F$43&amp;"*"))</f>
        <v/>
      </c>
      <c r="BR15" s="170">
        <f>SUMPRODUCT((Settings!$G$14:$G$43=$B15)*COUNTIF('INPUT - Roster'!$CH$6:$CH$206,"*"&amp;Settings!$F$14:$F$43&amp;"*"))</f>
        <v/>
      </c>
      <c r="BS15" s="170">
        <f>SUMPRODUCT((Settings!$G$14:$G$43=$B15)*COUNTIF('INPUT - Roster'!$CI$6:$CI$206,"*"&amp;Settings!$F$14:$F$43&amp;"*"))</f>
        <v/>
      </c>
      <c r="BT15" s="170">
        <f>SUMPRODUCT((Settings!$G$14:$G$43=$B15)*COUNTIF('INPUT - Roster'!$CJ$6:$CJ$206,"*"&amp;Settings!$F$14:$F$43&amp;"*"))</f>
        <v/>
      </c>
      <c r="BU15" s="170">
        <f>SUMPRODUCT((Settings!$G$14:$G$43=$B15)*COUNTIF('INPUT - Roster'!$CK$6:$CK$206,"*"&amp;Settings!$F$14:$F$43&amp;"*"))</f>
        <v/>
      </c>
      <c r="BV15" s="170">
        <f>SUMPRODUCT((Settings!$G$14:$G$43=$B15)*COUNTIF('INPUT - Roster'!$CL$6:$CL$206,"*"&amp;Settings!$F$14:$F$43&amp;"*"))</f>
        <v/>
      </c>
      <c r="BW15" s="170">
        <f>SUMPRODUCT((Settings!$G$14:$G$43=$B15)*COUNTIF('INPUT - Roster'!$CM$6:$CM$206,"*"&amp;Settings!$F$14:$F$43&amp;"*"))</f>
        <v/>
      </c>
      <c r="BX15" s="170">
        <f>SUMPRODUCT((Settings!$G$14:$G$43=$B15)*COUNTIF('INPUT - Roster'!$CN$6:$CN$206,"*"&amp;Settings!$F$14:$F$43&amp;"*"))</f>
        <v/>
      </c>
      <c r="BY15" s="170">
        <f>SUMPRODUCT((Settings!$G$14:$G$43=$B15)*COUNTIF('INPUT - Roster'!$CO$6:$CO$206,"*"&amp;Settings!$F$14:$F$43&amp;"*"))</f>
        <v/>
      </c>
      <c r="BZ15" s="170">
        <f>SUMPRODUCT((Settings!$G$14:$G$43=$B15)*COUNTIF('INPUT - Roster'!$CP$6:$CP$206,"*"&amp;Settings!$F$14:$F$43&amp;"*"))</f>
        <v/>
      </c>
      <c r="CA15" s="170">
        <f>SUMPRODUCT((Settings!$G$14:$G$43=$B15)*COUNTIF('INPUT - Roster'!$CQ$6:$CQ$206,"*"&amp;Settings!$F$14:$F$43&amp;"*"))</f>
        <v/>
      </c>
      <c r="CB15" s="170">
        <f>SUMPRODUCT((Settings!$G$14:$G$43=$B15)*COUNTIF('INPUT - Roster'!$CR$6:$CR$206,"*"&amp;Settings!$F$14:$F$43&amp;"*"))</f>
        <v/>
      </c>
      <c r="CC15" s="170">
        <f>SUMPRODUCT((Settings!$G$14:$G$43=$B15)*COUNTIF('INPUT - Roster'!$CS$6:$CS$206,"*"&amp;Settings!$F$14:$F$43&amp;"*"))</f>
        <v/>
      </c>
      <c r="CD15" s="170">
        <f>SUMPRODUCT((Settings!$G$14:$G$43=$B15)*COUNTIF('INPUT - Roster'!$CT$6:$CT$206,"*"&amp;Settings!$F$14:$F$43&amp;"*"))</f>
        <v/>
      </c>
      <c r="CE15" s="170">
        <f>SUMPRODUCT((Settings!$G$14:$G$43=$B15)*COUNTIF('INPUT - Roster'!$CU$6:$CU$206,"*"&amp;Settings!$F$14:$F$43&amp;"*"))</f>
        <v/>
      </c>
      <c r="CF15" s="170">
        <f>SUMPRODUCT((Settings!$G$14:$G$43=$B15)*COUNTIF('INPUT - Roster'!$CV$6:$CV$206,"*"&amp;Settings!$F$14:$F$43&amp;"*"))</f>
        <v/>
      </c>
      <c r="CG15" s="170">
        <f>SUMPRODUCT((Settings!$G$14:$G$43=$B15)*COUNTIF('INPUT - Roster'!$CW$6:$CW$206,"*"&amp;Settings!$F$14:$F$43&amp;"*"))</f>
        <v/>
      </c>
      <c r="CH15" s="170">
        <f>SUMPRODUCT((Settings!$G$14:$G$43=$B15)*COUNTIF('INPUT - Roster'!$CX$6:$CX$206,"*"&amp;Settings!$F$14:$F$43&amp;"*"))</f>
        <v/>
      </c>
      <c r="CI15" s="170">
        <f>SUMPRODUCT((Settings!$G$14:$G$43=$B15)*COUNTIF('INPUT - Roster'!$CY$6:$CY$206,"*"&amp;Settings!$F$14:$F$43&amp;"*"))</f>
        <v/>
      </c>
      <c r="CJ15" s="170">
        <f>SUMPRODUCT((Settings!$G$14:$G$43=$B15)*COUNTIF('INPUT - Roster'!$CZ$6:$CZ$206,"*"&amp;Settings!$F$14:$F$43&amp;"*"))</f>
        <v/>
      </c>
      <c r="CK15" s="170">
        <f>SUMPRODUCT((Settings!$G$14:$G$43=$B15)*COUNTIF('INPUT - Roster'!$DA$6:$DA$206,"*"&amp;Settings!$F$14:$F$43&amp;"*"))</f>
        <v/>
      </c>
      <c r="CL15" s="170">
        <f>SUMPRODUCT((Settings!$G$14:$G$43=$B15)*COUNTIF('INPUT - Roster'!$DB$6:$DB$206,"*"&amp;Settings!$F$14:$F$43&amp;"*"))</f>
        <v/>
      </c>
      <c r="CM15" s="170">
        <f>SUMPRODUCT((Settings!$G$14:$G$43=$B15)*COUNTIF('INPUT - Roster'!$DC$6:$DC$206,"*"&amp;Settings!$F$14:$F$43&amp;"*"))</f>
        <v/>
      </c>
      <c r="CN15" s="170">
        <f>SUMPRODUCT((Settings!$G$14:$G$43=$B15)*COUNTIF('INPUT - Roster'!$DD$6:$DD$206,"*"&amp;Settings!$F$14:$F$43&amp;"*"))</f>
        <v/>
      </c>
      <c r="CO15" s="170">
        <f>SUMPRODUCT((Settings!$G$14:$G$43=$B15)*COUNTIF('INPUT - Roster'!$DE$6:$DE$206,"*"&amp;Settings!$F$14:$F$43&amp;"*"))</f>
        <v/>
      </c>
      <c r="CP15" s="170">
        <f>SUMPRODUCT((Settings!$G$14:$G$43=$B15)*COUNTIF('INPUT - Roster'!$DF$6:$DF$206,"*"&amp;Settings!$F$14:$F$43&amp;"*"))</f>
        <v/>
      </c>
      <c r="CQ15" s="170">
        <f>SUMPRODUCT((Settings!$G$14:$G$43=$B15)*COUNTIF('INPUT - Roster'!$DG$6:$DG$206,"*"&amp;Settings!$F$14:$F$43&amp;"*"))</f>
        <v/>
      </c>
      <c r="CR15" s="170">
        <f>SUMPRODUCT((Settings!$G$14:$G$43=$B15)*COUNTIF('INPUT - Roster'!$DH$6:$DH$206,"*"&amp;Settings!$F$14:$F$43&amp;"*"))</f>
        <v/>
      </c>
      <c r="CS15" s="170">
        <f>SUMPRODUCT((Settings!$G$14:$G$43=$B15)*COUNTIF('INPUT - Roster'!$DI$6:$DI$206,"*"&amp;Settings!$F$14:$F$43&amp;"*"))</f>
        <v/>
      </c>
      <c r="CT15" s="170">
        <f>SUMPRODUCT((Settings!$G$14:$G$43=$B15)*COUNTIF('INPUT - Roster'!$DJ$6:$DJ$206,"*"&amp;Settings!$F$14:$F$43&amp;"*"))</f>
        <v/>
      </c>
      <c r="CU15" s="170">
        <f>SUMPRODUCT((Settings!$G$14:$G$43=$B15)*COUNTIF('INPUT - Roster'!$DK$6:$DK$206,"*"&amp;Settings!$F$14:$F$43&amp;"*"))</f>
        <v/>
      </c>
      <c r="CV15" s="170">
        <f>SUMPRODUCT((Settings!$G$14:$G$43=$B15)*COUNTIF('INPUT - Roster'!$DL$6:$DL$206,"*"&amp;Settings!$F$14:$F$43&amp;"*"))</f>
        <v/>
      </c>
      <c r="CW15" s="170">
        <f>SUMPRODUCT((Settings!$G$14:$G$43=$B15)*COUNTIF('INPUT - Roster'!$DM$6:$DM$206,"*"&amp;Settings!$F$14:$F$43&amp;"*"))</f>
        <v/>
      </c>
      <c r="CX15" s="170">
        <f>SUMPRODUCT((Settings!$G$14:$G$43=$B15)*COUNTIF('INPUT - Roster'!$DN$6:$DN$206,"*"&amp;Settings!$F$14:$F$43&amp;"*"))</f>
        <v/>
      </c>
      <c r="CY15" s="170">
        <f>SUMPRODUCT((Settings!$G$14:$G$43=$B15)*COUNTIF('INPUT - Roster'!$DO$6:$DO$206,"*"&amp;Settings!$F$14:$F$43&amp;"*"))</f>
        <v/>
      </c>
      <c r="CZ15" s="170">
        <f>SUMPRODUCT((Settings!$G$14:$G$43=$B15)*COUNTIF('INPUT - Roster'!$DP$6:$DP$206,"*"&amp;Settings!$F$14:$F$43&amp;"*"))</f>
        <v/>
      </c>
      <c r="DA15" s="170">
        <f>SUMPRODUCT((Settings!$G$14:$G$43=$B15)*COUNTIF('INPUT - Roster'!$DQ$6:$DQ$206,"*"&amp;Settings!$F$14:$F$43&amp;"*"))</f>
        <v/>
      </c>
      <c r="DB15" s="170">
        <f>SUMPRODUCT((Settings!$G$14:$G$43=$B15)*COUNTIF('INPUT - Roster'!$DR$6:$DR$206,"*"&amp;Settings!$F$14:$F$43&amp;"*"))</f>
        <v/>
      </c>
      <c r="DC15" s="170">
        <f>SUMPRODUCT((Settings!$G$14:$G$43=$B15)*COUNTIF('INPUT - Roster'!$DS$6:$DS$206,"*"&amp;Settings!$F$14:$F$43&amp;"*"))</f>
        <v/>
      </c>
      <c r="DD15" s="170">
        <f>SUMPRODUCT((Settings!$G$14:$G$43=$B15)*COUNTIF('INPUT - Roster'!$DT$6:$DT$206,"*"&amp;Settings!$F$14:$F$43&amp;"*"))</f>
        <v/>
      </c>
      <c r="DE15" s="170">
        <f>SUMPRODUCT((Settings!$G$14:$G$43=$B15)*COUNTIF('INPUT - Roster'!$DU$6:$DU$206,"*"&amp;Settings!$F$14:$F$43&amp;"*"))</f>
        <v/>
      </c>
      <c r="DF15" s="170">
        <f>SUMPRODUCT((Settings!$G$14:$G$43=$B15)*COUNTIF('INPUT - Roster'!$DV$6:$DV$206,"*"&amp;Settings!$F$14:$F$43&amp;"*"))</f>
        <v/>
      </c>
      <c r="DG15" s="170">
        <f>SUMPRODUCT((Settings!$G$14:$G$43=$B15)*COUNTIF('INPUT - Roster'!$DW$6:$DW$206,"*"&amp;Settings!$F$14:$F$43&amp;"*"))</f>
        <v/>
      </c>
      <c r="DH15" s="170">
        <f>SUMPRODUCT((Settings!$G$14:$G$43=$B15)*COUNTIF('INPUT - Roster'!$DX$6:$DX$206,"*"&amp;Settings!$F$14:$F$43&amp;"*"))</f>
        <v/>
      </c>
      <c r="DI15" s="170">
        <f>SUMPRODUCT((Settings!$G$14:$G$43=$B15)*COUNTIF('INPUT - Roster'!$DY$6:$DY$206,"*"&amp;Settings!$F$14:$F$43&amp;"*"))</f>
        <v/>
      </c>
      <c r="DJ15" s="170">
        <f>SUMPRODUCT((Settings!$G$14:$G$43=$B15)*COUNTIF('INPUT - Roster'!$DZ$6:$DZ$206,"*"&amp;Settings!$F$14:$F$43&amp;"*"))</f>
        <v/>
      </c>
      <c r="DK15" s="170">
        <f>SUMPRODUCT((Settings!$G$14:$G$43=$B15)*COUNTIF('INPUT - Roster'!$EA$6:$EA$206,"*"&amp;Settings!$F$14:$F$43&amp;"*"))</f>
        <v/>
      </c>
      <c r="DL15" s="170">
        <f>SUMPRODUCT((Settings!$G$14:$G$43=$B15)*COUNTIF('INPUT - Roster'!$EB$6:$EB$206,"*"&amp;Settings!$F$14:$F$43&amp;"*"))</f>
        <v/>
      </c>
      <c r="DM15" s="170">
        <f>SUMPRODUCT((Settings!$G$14:$G$43=$B15)*COUNTIF('INPUT - Roster'!$EC$6:$EC$206,"*"&amp;Settings!$F$14:$F$43&amp;"*"))</f>
        <v/>
      </c>
      <c r="DN15" s="170">
        <f>SUMPRODUCT((Settings!$G$14:$G$43=$B15)*COUNTIF('INPUT - Roster'!$ED$6:$ED$206,"*"&amp;Settings!$F$14:$F$43&amp;"*"))</f>
        <v/>
      </c>
      <c r="DO15" s="170">
        <f>SUMPRODUCT((Settings!$G$14:$G$43=$B15)*COUNTIF('INPUT - Roster'!$EE$6:$EE$206,"*"&amp;Settings!$F$14:$F$43&amp;"*"))</f>
        <v/>
      </c>
      <c r="DP15" s="170">
        <f>SUMPRODUCT((Settings!$G$14:$G$43=$B15)*COUNTIF('INPUT - Roster'!$EF$6:$EF$206,"*"&amp;Settings!$F$14:$F$43&amp;"*"))</f>
        <v/>
      </c>
      <c r="DQ15" s="170">
        <f>SUMPRODUCT((Settings!$G$14:$G$43=$B15)*COUNTIF('INPUT - Roster'!$EG$6:$EG$206,"*"&amp;Settings!$F$14:$F$43&amp;"*"))</f>
        <v/>
      </c>
      <c r="DR15" s="170">
        <f>SUMPRODUCT((Settings!$G$14:$G$43=$B15)*COUNTIF('INPUT - Roster'!$EH$6:$EH$206,"*"&amp;Settings!$F$14:$F$43&amp;"*"))</f>
        <v/>
      </c>
      <c r="DS15" s="170">
        <f>SUMPRODUCT((Settings!$G$14:$G$43=$B15)*COUNTIF('INPUT - Roster'!$EI$6:$EI$206,"*"&amp;Settings!$F$14:$F$43&amp;"*"))</f>
        <v/>
      </c>
      <c r="DT15" s="170">
        <f>SUMPRODUCT((Settings!$G$14:$G$43=$B15)*COUNTIF('INPUT - Roster'!$EJ$6:$EJ$206,"*"&amp;Settings!$F$14:$F$43&amp;"*"))</f>
        <v/>
      </c>
      <c r="DU15" s="170">
        <f>SUMPRODUCT((Settings!$G$14:$G$43=$B15)*COUNTIF('INPUT - Roster'!$EK$6:$EK$206,"*"&amp;Settings!$F$14:$F$43&amp;"*"))</f>
        <v/>
      </c>
      <c r="DV15" s="170">
        <f>SUMPRODUCT((Settings!$G$14:$G$43=$B15)*COUNTIF('INPUT - Roster'!$EL$6:$EL$206,"*"&amp;Settings!$F$14:$F$43&amp;"*"))</f>
        <v/>
      </c>
      <c r="DW15" s="170">
        <f>SUMPRODUCT((Settings!$G$14:$G$43=$B15)*COUNTIF('INPUT - Roster'!$EM$6:$EM$206,"*"&amp;Settings!$F$14:$F$43&amp;"*"))</f>
        <v/>
      </c>
      <c r="DX15" s="170">
        <f>SUMPRODUCT((Settings!$G$14:$G$43=$B15)*COUNTIF('INPUT - Roster'!$EN$6:$EN$206,"*"&amp;Settings!$F$14:$F$43&amp;"*"))</f>
        <v/>
      </c>
      <c r="DY15" s="170">
        <f>SUMPRODUCT((Settings!$G$14:$G$43=$B15)*COUNTIF('INPUT - Roster'!$EO$6:$EO$206,"*"&amp;Settings!$F$14:$F$43&amp;"*"))</f>
        <v/>
      </c>
      <c r="DZ15" s="170">
        <f>SUMPRODUCT((Settings!$G$14:$G$43=$B15)*COUNTIF('INPUT - Roster'!$EP$6:$EP$206,"*"&amp;Settings!$F$14:$F$43&amp;"*"))</f>
        <v/>
      </c>
      <c r="EA15" s="170">
        <f>SUMPRODUCT((Settings!$G$14:$G$43=$B15)*COUNTIF('INPUT - Roster'!$EQ$6:$EQ$206,"*"&amp;Settings!$F$14:$F$43&amp;"*"))</f>
        <v/>
      </c>
      <c r="EB15" s="170">
        <f>SUMPRODUCT((Settings!$G$14:$G$43=$B15)*COUNTIF('INPUT - Roster'!$ER$6:$ER$206,"*"&amp;Settings!$F$14:$F$43&amp;"*"))</f>
        <v/>
      </c>
      <c r="EC15" s="170">
        <f>SUMPRODUCT((Settings!$G$14:$G$43=$B15)*COUNTIF('INPUT - Roster'!$ES$6:$ES$206,"*"&amp;Settings!$F$14:$F$43&amp;"*"))</f>
        <v/>
      </c>
      <c r="ED15" s="170">
        <f>SUMPRODUCT((Settings!$G$14:$G$43=$B15)*COUNTIF('INPUT - Roster'!$ET$6:$ET$206,"*"&amp;Settings!$F$14:$F$43&amp;"*"))</f>
        <v/>
      </c>
      <c r="EE15" s="170">
        <f>SUMPRODUCT((Settings!$G$14:$G$43=$B15)*COUNTIF('INPUT - Roster'!$EU$6:$EU$206,"*"&amp;Settings!$F$14:$F$43&amp;"*"))</f>
        <v/>
      </c>
      <c r="EF15" s="170">
        <f>SUMPRODUCT((Settings!$G$14:$G$43=$B15)*COUNTIF('INPUT - Roster'!$EV$6:$EV$206,"*"&amp;Settings!$F$14:$F$43&amp;"*"))</f>
        <v/>
      </c>
      <c r="EG15" s="170">
        <f>SUMPRODUCT((Settings!$G$14:$G$43=$B15)*COUNTIF('INPUT - Roster'!$EW$6:$EW$206,"*"&amp;Settings!$F$14:$F$43&amp;"*"))</f>
        <v/>
      </c>
      <c r="EH15" s="170">
        <f>SUMPRODUCT((Settings!$G$14:$G$43=$B15)*COUNTIF('INPUT - Roster'!$EX$6:$EX$206,"*"&amp;Settings!$F$14:$F$43&amp;"*"))</f>
        <v/>
      </c>
      <c r="EI15" s="170">
        <f>SUMPRODUCT((Settings!$G$14:$G$43=$B15)*COUNTIF('INPUT - Roster'!$EY$6:$EY$206,"*"&amp;Settings!$F$14:$F$43&amp;"*"))</f>
        <v/>
      </c>
      <c r="EJ15" s="170">
        <f>SUMPRODUCT((Settings!$G$14:$G$43=$B15)*COUNTIF('INPUT - Roster'!$EZ$6:$EZ$206,"*"&amp;Settings!$F$14:$F$43&amp;"*"))</f>
        <v/>
      </c>
      <c r="EK15" s="170">
        <f>SUMPRODUCT((Settings!$G$14:$G$43=$B15)*COUNTIF('INPUT - Roster'!$FA$6:$FA$206,"*"&amp;Settings!$F$14:$F$43&amp;"*"))</f>
        <v/>
      </c>
      <c r="EL15" s="170">
        <f>SUMPRODUCT((Settings!$G$14:$G$43=$B15)*COUNTIF('INPUT - Roster'!$FB$6:$FB$206,"*"&amp;Settings!$F$14:$F$43&amp;"*"))</f>
        <v/>
      </c>
      <c r="EM15" s="170">
        <f>SUMPRODUCT((Settings!$G$14:$G$43=$B15)*COUNTIF('INPUT - Roster'!$FC$6:$FC$206,"*"&amp;Settings!$F$14:$F$43&amp;"*"))</f>
        <v/>
      </c>
      <c r="EN15" s="170">
        <f>SUMPRODUCT((Settings!$G$14:$G$43=$B15)*COUNTIF('INPUT - Roster'!$FD$6:$FD$206,"*"&amp;Settings!$F$14:$F$43&amp;"*"))</f>
        <v/>
      </c>
      <c r="EO15" s="170">
        <f>SUMPRODUCT((Settings!$G$14:$G$43=$B15)*COUNTIF('INPUT - Roster'!$FE$6:$FE$206,"*"&amp;Settings!$F$14:$F$43&amp;"*"))</f>
        <v/>
      </c>
      <c r="EP15" s="170">
        <f>SUMPRODUCT((Settings!$G$14:$G$43=$B15)*COUNTIF('INPUT - Roster'!$FF$6:$FF$206,"*"&amp;Settings!$F$14:$F$43&amp;"*"))</f>
        <v/>
      </c>
      <c r="EQ15" s="170">
        <f>SUMPRODUCT((Settings!$G$14:$G$43=$B15)*COUNTIF('INPUT - Roster'!$FG$6:$FG$206,"*"&amp;Settings!$F$14:$F$43&amp;"*"))</f>
        <v/>
      </c>
      <c r="ER15" s="170">
        <f>SUMPRODUCT((Settings!$G$14:$G$43=$B15)*COUNTIF('INPUT - Roster'!$FH$6:$FH$206,"*"&amp;Settings!$F$14:$F$43&amp;"*"))</f>
        <v/>
      </c>
      <c r="ES15" s="170">
        <f>SUMPRODUCT((Settings!$G$14:$G$43=$B15)*COUNTIF('INPUT - Roster'!$FI$6:$FI$206,"*"&amp;Settings!$F$14:$F$43&amp;"*"))</f>
        <v/>
      </c>
      <c r="ET15" s="170">
        <f>SUMPRODUCT((Settings!$G$14:$G$43=$B15)*COUNTIF('INPUT - Roster'!$FJ$6:$FJ$206,"*"&amp;Settings!$F$14:$F$43&amp;"*"))</f>
        <v/>
      </c>
      <c r="EU15" s="170">
        <f>SUMPRODUCT((Settings!$G$14:$G$43=$B15)*COUNTIF('INPUT - Roster'!$FK$6:$FK$206,"*"&amp;Settings!$F$14:$F$43&amp;"*"))</f>
        <v/>
      </c>
      <c r="EV15" s="170">
        <f>SUMPRODUCT((Settings!$G$14:$G$43=$B15)*COUNTIF('INPUT - Roster'!$FL$6:$FL$206,"*"&amp;Settings!$F$14:$F$43&amp;"*"))</f>
        <v/>
      </c>
      <c r="EW15" s="170">
        <f>SUMPRODUCT((Settings!$G$14:$G$43=$B15)*COUNTIF('INPUT - Roster'!$FM$6:$FM$206,"*"&amp;Settings!$F$14:$F$43&amp;"*"))</f>
        <v/>
      </c>
      <c r="EX15" s="170">
        <f>SUMPRODUCT((Settings!$G$14:$G$43=$B15)*COUNTIF('INPUT - Roster'!$FN$6:$FN$206,"*"&amp;Settings!$F$14:$F$43&amp;"*"))</f>
        <v/>
      </c>
      <c r="EY15" s="170">
        <f>SUMPRODUCT((Settings!$G$14:$G$43=$B15)*COUNTIF('INPUT - Roster'!$FO$6:$FO$206,"*"&amp;Settings!$F$14:$F$43&amp;"*"))</f>
        <v/>
      </c>
      <c r="EZ15" s="170">
        <f>SUMPRODUCT((Settings!$G$14:$G$43=$B15)*COUNTIF('INPUT - Roster'!$FP$6:$FP$206,"*"&amp;Settings!$F$14:$F$43&amp;"*"))</f>
        <v/>
      </c>
      <c r="FA15" s="170">
        <f>SUMPRODUCT((Settings!$G$14:$G$43=$B15)*COUNTIF('INPUT - Roster'!$FQ$6:$FQ$206,"*"&amp;Settings!$F$14:$F$43&amp;"*"))</f>
        <v/>
      </c>
      <c r="FB15" s="170">
        <f>SUMPRODUCT((Settings!$G$14:$G$43=$B15)*COUNTIF('INPUT - Roster'!$FR$6:$FR$206,"*"&amp;Settings!$F$14:$F$43&amp;"*"))</f>
        <v/>
      </c>
      <c r="FC15" s="170">
        <f>SUMPRODUCT((Settings!$G$14:$G$43=$B15)*COUNTIF('INPUT - Roster'!$FS$6:$FS$206,"*"&amp;Settings!$F$14:$F$43&amp;"*"))</f>
        <v/>
      </c>
      <c r="FD15" s="170">
        <f>SUMPRODUCT((Settings!$G$14:$G$43=$B15)*COUNTIF('INPUT - Roster'!$FT$6:$FT$206,"*"&amp;Settings!$F$14:$F$43&amp;"*"))</f>
        <v/>
      </c>
      <c r="FE15" s="170">
        <f>SUMPRODUCT((Settings!$G$14:$G$43=$B15)*COUNTIF('INPUT - Roster'!$FU$6:$FU$206,"*"&amp;Settings!$F$14:$F$43&amp;"*"))</f>
        <v/>
      </c>
      <c r="FF15" s="170">
        <f>SUMPRODUCT((Settings!$G$14:$G$43=$B15)*COUNTIF('INPUT - Roster'!$FV$6:$FV$206,"*"&amp;Settings!$F$14:$F$43&amp;"*"))</f>
        <v/>
      </c>
      <c r="FG15" s="170">
        <f>SUMPRODUCT((Settings!$G$14:$G$43=$B15)*COUNTIF('INPUT - Roster'!$FW$6:$FW$206,"*"&amp;Settings!$F$14:$F$43&amp;"*"))</f>
        <v/>
      </c>
      <c r="FH15" s="170">
        <f>SUMPRODUCT((Settings!$G$14:$G$43=$B15)*COUNTIF('INPUT - Roster'!$FX$6:$FX$206,"*"&amp;Settings!$F$14:$F$43&amp;"*"))</f>
        <v/>
      </c>
      <c r="FI15" s="170">
        <f>SUMPRODUCT((Settings!$G$14:$G$43=$B15)*COUNTIF('INPUT - Roster'!$FY$6:$FY$206,"*"&amp;Settings!$F$14:$F$43&amp;"*"))</f>
        <v/>
      </c>
      <c r="FJ15" s="170">
        <f>SUMPRODUCT((Settings!$G$14:$G$43=$B15)*COUNTIF('INPUT - Roster'!$FZ$6:$FZ$206,"*"&amp;Settings!$F$14:$F$43&amp;"*"))</f>
        <v/>
      </c>
      <c r="FK15" s="170">
        <f>SUMPRODUCT((Settings!$G$14:$G$43=$B15)*COUNTIF('INPUT - Roster'!$GA$6:$GA$206,"*"&amp;Settings!$F$14:$F$43&amp;"*"))</f>
        <v/>
      </c>
      <c r="FL15" s="170">
        <f>SUMPRODUCT((Settings!$G$14:$G$43=$B15)*COUNTIF('INPUT - Roster'!$GB$6:$GB$206,"*"&amp;Settings!$F$14:$F$43&amp;"*"))</f>
        <v/>
      </c>
      <c r="FM15" s="170">
        <f>SUMPRODUCT((Settings!$G$14:$G$43=$B15)*COUNTIF('INPUT - Roster'!$GC$6:$GC$206,"*"&amp;Settings!$F$14:$F$43&amp;"*"))</f>
        <v/>
      </c>
      <c r="FN15" s="170">
        <f>SUMPRODUCT((Settings!$G$14:$G$43=$B15)*COUNTIF('INPUT - Roster'!$GD$6:$GD$206,"*"&amp;Settings!$F$14:$F$43&amp;"*"))</f>
        <v/>
      </c>
      <c r="FO15" s="170">
        <f>SUMPRODUCT((Settings!$G$14:$G$43=$B15)*COUNTIF('INPUT - Roster'!$GE$6:$GE$206,"*"&amp;Settings!$F$14:$F$43&amp;"*"))</f>
        <v/>
      </c>
      <c r="FP15" s="170">
        <f>SUMPRODUCT((Settings!$G$14:$G$43=$B15)*COUNTIF('INPUT - Roster'!$GF$6:$GF$206,"*"&amp;Settings!$F$14:$F$43&amp;"*"))</f>
        <v/>
      </c>
      <c r="FQ15" s="170">
        <f>SUMPRODUCT((Settings!$G$14:$G$43=$B15)*COUNTIF('INPUT - Roster'!$GG$6:$GG$206,"*"&amp;Settings!$F$14:$F$43&amp;"*"))</f>
        <v/>
      </c>
      <c r="FR15" s="170">
        <f>SUMPRODUCT((Settings!$G$14:$G$43=$B15)*COUNTIF('INPUT - Roster'!$GH$6:$GH$206,"*"&amp;Settings!$F$14:$F$43&amp;"*"))</f>
        <v/>
      </c>
      <c r="FS15" s="170">
        <f>SUMPRODUCT((Settings!$G$14:$G$43=$B15)*COUNTIF('INPUT - Roster'!$GI$6:$GI$206,"*"&amp;Settings!$F$14:$F$43&amp;"*"))</f>
        <v/>
      </c>
      <c r="FT15" s="170">
        <f>SUMPRODUCT((Settings!$G$14:$G$43=$B15)*COUNTIF('INPUT - Roster'!$GJ$6:$GJ$206,"*"&amp;Settings!$F$14:$F$43&amp;"*"))</f>
        <v/>
      </c>
      <c r="FU15" s="170">
        <f>SUMPRODUCT((Settings!$G$14:$G$43=$B15)*COUNTIF('INPUT - Roster'!$GK$6:$GK$206,"*"&amp;Settings!$F$14:$F$43&amp;"*"))</f>
        <v/>
      </c>
      <c r="FV15" s="170">
        <f>SUMPRODUCT((Settings!$G$14:$G$43=$B15)*COUNTIF('INPUT - Roster'!$GL$6:$GL$206,"*"&amp;Settings!$F$14:$F$43&amp;"*"))</f>
        <v/>
      </c>
      <c r="FW15" s="170">
        <f>SUMPRODUCT((Settings!$G$14:$G$43=$B15)*COUNTIF('INPUT - Roster'!$GM$6:$GM$206,"*"&amp;Settings!$F$14:$F$43&amp;"*"))</f>
        <v/>
      </c>
      <c r="FX15" s="170">
        <f>SUMPRODUCT((Settings!$G$14:$G$43=$B15)*COUNTIF('INPUT - Roster'!$GN$6:$GN$206,"*"&amp;Settings!$F$14:$F$43&amp;"*"))</f>
        <v/>
      </c>
      <c r="FY15" s="170">
        <f>SUMPRODUCT((Settings!$G$14:$G$43=$B15)*COUNTIF('INPUT - Roster'!$GO$6:$GO$206,"*"&amp;Settings!$F$14:$F$43&amp;"*"))</f>
        <v/>
      </c>
      <c r="FZ15" s="170">
        <f>SUMPRODUCT((Settings!$G$14:$G$43=$B15)*COUNTIF('INPUT - Roster'!$GP$6:$GP$206,"*"&amp;Settings!$F$14:$F$43&amp;"*"))</f>
        <v/>
      </c>
      <c r="GA15" s="170">
        <f>SUMPRODUCT((Settings!$G$14:$G$43=$B15)*COUNTIF('INPUT - Roster'!$GQ$6:$GQ$206,"*"&amp;Settings!$F$14:$F$43&amp;"*"))</f>
        <v/>
      </c>
      <c r="GB15" s="170">
        <f>SUMPRODUCT((Settings!$G$14:$G$43=$B15)*COUNTIF('INPUT - Roster'!$GR$6:$GR$206,"*"&amp;Settings!$F$14:$F$43&amp;"*"))</f>
        <v/>
      </c>
      <c r="GC15" s="170">
        <f>SUMPRODUCT((Settings!$G$14:$G$43=$B15)*COUNTIF('INPUT - Roster'!$GS$6:$GS$206,"*"&amp;Settings!$F$14:$F$43&amp;"*"))</f>
        <v/>
      </c>
      <c r="GD15" s="170">
        <f>SUMPRODUCT((Settings!$G$14:$G$43=$B15)*COUNTIF('INPUT - Roster'!$GT$6:$GT$206,"*"&amp;Settings!$F$14:$F$43&amp;"*"))</f>
        <v/>
      </c>
      <c r="GE15" s="170">
        <f>SUMPRODUCT((Settings!$G$14:$G$43=$B15)*COUNTIF('INPUT - Roster'!$GU$6:$GU$206,"*"&amp;Settings!$F$14:$F$43&amp;"*"))</f>
        <v/>
      </c>
      <c r="GF15" s="170">
        <f>SUMPRODUCT((Settings!$G$14:$G$43=$B15)*COUNTIF('INPUT - Roster'!$GV$6:$GV$206,"*"&amp;Settings!$F$14:$F$43&amp;"*"))</f>
        <v/>
      </c>
      <c r="GG15" s="170">
        <f>SUMPRODUCT((Settings!$G$14:$G$43=$B15)*COUNTIF('INPUT - Roster'!$GW$6:$GW$206,"*"&amp;Settings!$F$14:$F$43&amp;"*"))</f>
        <v/>
      </c>
      <c r="GH15" s="170">
        <f>SUMPRODUCT((Settings!$G$14:$G$43=$B15)*COUNTIF('INPUT - Roster'!$GX$6:$GX$206,"*"&amp;Settings!$F$14:$F$43&amp;"*"))</f>
        <v/>
      </c>
      <c r="GI15" s="170">
        <f>SUMPRODUCT((Settings!$G$14:$G$43=$B15)*COUNTIF('INPUT - Roster'!$GY$6:$GY$206,"*"&amp;Settings!$F$14:$F$43&amp;"*"))</f>
        <v/>
      </c>
      <c r="GJ15" s="170">
        <f>SUMPRODUCT((Settings!$G$14:$G$43=$B15)*COUNTIF('INPUT - Roster'!$GZ$6:$GZ$206,"*"&amp;Settings!$F$14:$F$43&amp;"*"))</f>
        <v/>
      </c>
      <c r="GK15" s="170">
        <f>SUMPRODUCT((Settings!$G$14:$G$43=$B15)*COUNTIF('INPUT - Roster'!$HA$6:$HA$206,"*"&amp;Settings!$F$14:$F$43&amp;"*"))</f>
        <v/>
      </c>
      <c r="GL15" s="170">
        <f>SUMPRODUCT((Settings!$G$14:$G$43=$B15)*COUNTIF('INPUT - Roster'!$HB$6:$HB$206,"*"&amp;Settings!$F$14:$F$43&amp;"*"))</f>
        <v/>
      </c>
      <c r="GM15" s="170">
        <f>SUMPRODUCT((Settings!$G$14:$G$43=$B15)*COUNTIF('INPUT - Roster'!$HC$6:$HC$206,"*"&amp;Settings!$F$14:$F$43&amp;"*"))</f>
        <v/>
      </c>
      <c r="GN15" s="170">
        <f>SUMPRODUCT((Settings!$G$14:$G$43=$B15)*COUNTIF('INPUT - Roster'!$HD$6:$HD$206,"*"&amp;Settings!$F$14:$F$43&amp;"*"))</f>
        <v/>
      </c>
      <c r="GO15" s="170">
        <f>SUMPRODUCT((Settings!$G$14:$G$43=$B15)*COUNTIF('INPUT - Roster'!$HE$6:$HE$206,"*"&amp;Settings!$F$14:$F$43&amp;"*"))</f>
        <v/>
      </c>
      <c r="GP15" s="170">
        <f>SUMPRODUCT((Settings!$G$14:$G$43=$B15)*COUNTIF('INPUT - Roster'!$HF$6:$HF$206,"*"&amp;Settings!$F$14:$F$43&amp;"*"))</f>
        <v/>
      </c>
      <c r="GQ15" s="170">
        <f>SUMPRODUCT((Settings!$G$14:$G$43=$B15)*COUNTIF('INPUT - Roster'!$HG$6:$HG$206,"*"&amp;Settings!$F$14:$F$43&amp;"*"))</f>
        <v/>
      </c>
      <c r="GR15" s="170">
        <f>SUMPRODUCT((Settings!$G$14:$G$43=$B15)*COUNTIF('INPUT - Roster'!$HH$6:$HH$206,"*"&amp;Settings!$F$14:$F$43&amp;"*"))</f>
        <v/>
      </c>
      <c r="GS15" s="170">
        <f>SUMPRODUCT((Settings!$G$14:$G$43=$B15)*COUNTIF('INPUT - Roster'!$HI$6:$HI$206,"*"&amp;Settings!$F$14:$F$43&amp;"*"))</f>
        <v/>
      </c>
      <c r="GT15" s="170">
        <f>SUMPRODUCT((Settings!$G$14:$G$43=$B15)*COUNTIF('INPUT - Roster'!$HJ$6:$HJ$206,"*"&amp;Settings!$F$14:$F$43&amp;"*"))</f>
        <v/>
      </c>
      <c r="GU15" s="170">
        <f>SUMPRODUCT((Settings!$G$14:$G$43=$B15)*COUNTIF('INPUT - Roster'!$HK$6:$HK$206,"*"&amp;Settings!$F$14:$F$43&amp;"*"))</f>
        <v/>
      </c>
      <c r="GV15" s="170">
        <f>SUMPRODUCT((Settings!$G$14:$G$43=$B15)*COUNTIF('INPUT - Roster'!$HL$6:$HL$206,"*"&amp;Settings!$F$14:$F$43&amp;"*"))</f>
        <v/>
      </c>
      <c r="GW15" s="170">
        <f>SUMPRODUCT((Settings!$G$14:$G$43=$B15)*COUNTIF('INPUT - Roster'!$HM$6:$HM$206,"*"&amp;Settings!$F$14:$F$43&amp;"*"))</f>
        <v/>
      </c>
      <c r="GX15" s="170">
        <f>SUMPRODUCT((Settings!$G$14:$G$43=$B15)*COUNTIF('INPUT - Roster'!$HN$6:$HN$206,"*"&amp;Settings!$F$14:$F$43&amp;"*"))</f>
        <v/>
      </c>
      <c r="GY15" s="170">
        <f>SUMPRODUCT((Settings!$G$14:$G$43=$B15)*COUNTIF('INPUT - Roster'!$HO$6:$HO$206,"*"&amp;Settings!$F$14:$F$43&amp;"*"))</f>
        <v/>
      </c>
      <c r="GZ15" s="170">
        <f>SUMPRODUCT((Settings!$G$14:$G$43=$B15)*COUNTIF('INPUT - Roster'!$HP$6:$HP$206,"*"&amp;Settings!$F$14:$F$43&amp;"*"))</f>
        <v/>
      </c>
      <c r="HA15" s="170">
        <f>SUMPRODUCT((Settings!$G$14:$G$43=$B15)*COUNTIF('INPUT - Roster'!$HQ$6:$HQ$206,"*"&amp;Settings!$F$14:$F$43&amp;"*"))</f>
        <v/>
      </c>
      <c r="HB15" s="170">
        <f>SUMPRODUCT((Settings!$G$14:$G$43=$B15)*COUNTIF('INPUT - Roster'!$HR$6:$HR$206,"*"&amp;Settings!$F$14:$F$43&amp;"*"))</f>
        <v/>
      </c>
      <c r="HC15" s="170">
        <f>SUMPRODUCT((Settings!$G$14:$G$43=$B15)*COUNTIF('INPUT - Roster'!$HS$6:$HS$206,"*"&amp;Settings!$F$14:$F$43&amp;"*"))</f>
        <v/>
      </c>
      <c r="HD15" s="170">
        <f>SUMPRODUCT((Settings!$G$14:$G$43=$B15)*COUNTIF('INPUT - Roster'!$HT$6:$HT$206,"*"&amp;Settings!$F$14:$F$43&amp;"*"))</f>
        <v/>
      </c>
      <c r="HE15" s="170">
        <f>SUMPRODUCT((Settings!$G$14:$G$43=$B15)*COUNTIF('INPUT - Roster'!$HU$6:$HU$206,"*"&amp;Settings!$F$14:$F$43&amp;"*"))</f>
        <v/>
      </c>
      <c r="HF15" s="170">
        <f>SUMPRODUCT((Settings!$G$14:$G$43=$B15)*COUNTIF('INPUT - Roster'!$HV$6:$HV$206,"*"&amp;Settings!$F$14:$F$43&amp;"*"))</f>
        <v/>
      </c>
      <c r="HG15" s="170">
        <f>SUMPRODUCT((Settings!$G$14:$G$43=$B15)*COUNTIF('INPUT - Roster'!$HW$6:$HW$206,"*"&amp;Settings!$F$14:$F$43&amp;"*"))</f>
        <v/>
      </c>
      <c r="HH15" s="170">
        <f>SUMPRODUCT((Settings!$G$14:$G$43=$B15)*COUNTIF('INPUT - Roster'!$HX$6:$HX$206,"*"&amp;Settings!$F$14:$F$43&amp;"*"))</f>
        <v/>
      </c>
      <c r="HI15" s="170">
        <f>SUMPRODUCT((Settings!$G$14:$G$43=$B15)*COUNTIF('INPUT - Roster'!$HY$6:$HY$206,"*"&amp;Settings!$F$14:$F$43&amp;"*"))</f>
        <v/>
      </c>
      <c r="HJ15" s="170">
        <f>SUMPRODUCT((Settings!$G$14:$G$43=$B15)*COUNTIF('INPUT - Roster'!$HZ$6:$HZ$206,"*"&amp;Settings!$F$14:$F$43&amp;"*"))</f>
        <v/>
      </c>
      <c r="HK15" s="170">
        <f>SUMPRODUCT((Settings!$G$14:$G$43=$B15)*COUNTIF('INPUT - Roster'!$IA$6:$IA$206,"*"&amp;Settings!$F$14:$F$43&amp;"*"))</f>
        <v/>
      </c>
      <c r="HL15" s="170">
        <f>SUMPRODUCT((Settings!$G$14:$G$43=$B15)*COUNTIF('INPUT - Roster'!$IB$6:$IB$206,"*"&amp;Settings!$F$14:$F$43&amp;"*"))</f>
        <v/>
      </c>
      <c r="HM15" s="170">
        <f>SUMPRODUCT((Settings!$G$14:$G$43=$B15)*COUNTIF('INPUT - Roster'!$IC$6:$IC$206,"*"&amp;Settings!$F$14:$F$43&amp;"*"))</f>
        <v/>
      </c>
      <c r="HN15" s="170">
        <f>SUMPRODUCT((Settings!$G$14:$G$43=$B15)*COUNTIF('INPUT - Roster'!$ID$6:$ID$206,"*"&amp;Settings!$F$14:$F$43&amp;"*"))</f>
        <v/>
      </c>
      <c r="HO15" s="170">
        <f>SUMPRODUCT((Settings!$G$14:$G$43=$B15)*COUNTIF('INPUT - Roster'!$IE$6:$IE$206,"*"&amp;Settings!$F$14:$F$43&amp;"*"))</f>
        <v/>
      </c>
      <c r="HP15" s="170">
        <f>SUMPRODUCT((Settings!$G$14:$G$43=$B15)*COUNTIF('INPUT - Roster'!$IF$6:$IF$206,"*"&amp;Settings!$F$14:$F$43&amp;"*"))</f>
        <v/>
      </c>
      <c r="HQ15" s="170">
        <f>SUMPRODUCT((Settings!$G$14:$G$43=$B15)*COUNTIF('INPUT - Roster'!$IG$6:$IG$206,"*"&amp;Settings!$F$14:$F$43&amp;"*"))</f>
        <v/>
      </c>
      <c r="HR15" s="170">
        <f>SUMPRODUCT((Settings!$G$14:$G$43=$B15)*COUNTIF('INPUT - Roster'!$IH$6:$IH$206,"*"&amp;Settings!$F$14:$F$43&amp;"*"))</f>
        <v/>
      </c>
      <c r="HS15" s="170">
        <f>SUMPRODUCT((Settings!$G$14:$G$43=$B15)*COUNTIF('INPUT - Roster'!$II$6:$II$206,"*"&amp;Settings!$F$14:$F$43&amp;"*"))</f>
        <v/>
      </c>
      <c r="HT15" s="170">
        <f>SUMPRODUCT((Settings!$G$14:$G$43=$B15)*COUNTIF('INPUT - Roster'!$IJ$6:$IJ$206,"*"&amp;Settings!$F$14:$F$43&amp;"*"))</f>
        <v/>
      </c>
      <c r="HU15" s="170">
        <f>SUMPRODUCT((Settings!$G$14:$G$43=$B15)*COUNTIF('INPUT - Roster'!$IK$6:$IK$206,"*"&amp;Settings!$F$14:$F$43&amp;"*"))</f>
        <v/>
      </c>
      <c r="HV15" s="170">
        <f>SUMPRODUCT((Settings!$G$14:$G$43=$B15)*COUNTIF('INPUT - Roster'!$IL$6:$IL$206,"*"&amp;Settings!$F$14:$F$43&amp;"*"))</f>
        <v/>
      </c>
      <c r="HW15" s="170">
        <f>SUMPRODUCT((Settings!$G$14:$G$43=$B15)*COUNTIF('INPUT - Roster'!$IM$6:$IM$206,"*"&amp;Settings!$F$14:$F$43&amp;"*"))</f>
        <v/>
      </c>
      <c r="HX15" s="170">
        <f>SUMPRODUCT((Settings!$G$14:$G$43=$B15)*COUNTIF('INPUT - Roster'!$IN$6:$IN$206,"*"&amp;Settings!$F$14:$F$43&amp;"*"))</f>
        <v/>
      </c>
      <c r="HY15" s="170">
        <f>SUMPRODUCT((Settings!$G$14:$G$43=$B15)*COUNTIF('INPUT - Roster'!$IO$6:$IO$206,"*"&amp;Settings!$F$14:$F$43&amp;"*"))</f>
        <v/>
      </c>
      <c r="HZ15" s="170">
        <f>SUMPRODUCT((Settings!$G$14:$G$43=$B15)*COUNTIF('INPUT - Roster'!$IP$6:$IP$206,"*"&amp;Settings!$F$14:$F$43&amp;"*"))</f>
        <v/>
      </c>
      <c r="IA15" s="170">
        <f>SUMPRODUCT((Settings!$G$14:$G$43=$B15)*COUNTIF('INPUT - Roster'!$IQ$6:$IQ$206,"*"&amp;Settings!$F$14:$F$43&amp;"*"))</f>
        <v/>
      </c>
      <c r="IB15" s="170">
        <f>SUMPRODUCT((Settings!$G$14:$G$43=$B15)*COUNTIF('INPUT - Roster'!$IR$6:$IR$206,"*"&amp;Settings!$F$14:$F$43&amp;"*"))</f>
        <v/>
      </c>
      <c r="IC15" s="170">
        <f>SUMPRODUCT((Settings!$G$14:$G$43=$B15)*COUNTIF('INPUT - Roster'!$IS$6:$IS$206,"*"&amp;Settings!$F$14:$F$43&amp;"*"))</f>
        <v/>
      </c>
      <c r="ID15" s="170">
        <f>SUMPRODUCT((Settings!$G$14:$G$43=$B15)*COUNTIF('INPUT - Roster'!$IT$6:$IT$206,"*"&amp;Settings!$F$14:$F$43&amp;"*"))</f>
        <v/>
      </c>
      <c r="IE15" s="170">
        <f>SUMPRODUCT((Settings!$G$14:$G$43=$B15)*COUNTIF('INPUT - Roster'!$IU$6:$IU$206,"*"&amp;Settings!$F$14:$F$43&amp;"*"))</f>
        <v/>
      </c>
      <c r="IF15" s="170">
        <f>SUMPRODUCT((Settings!$G$14:$G$43=$B15)*COUNTIF('INPUT - Roster'!$IV$6:$IV$206,"*"&amp;Settings!$F$14:$F$43&amp;"*"))</f>
        <v/>
      </c>
      <c r="IG15" s="170">
        <f>SUMPRODUCT((Settings!$G$14:$G$43=$B15)*COUNTIF('INPUT - Roster'!$IW$6:$IW$206,"*"&amp;Settings!$F$14:$F$43&amp;"*"))</f>
        <v/>
      </c>
      <c r="IH15" s="170">
        <f>SUMPRODUCT((Settings!$G$14:$G$43=$B15)*COUNTIF('INPUT - Roster'!$IX$6:$IX$206,"*"&amp;Settings!$F$14:$F$43&amp;"*"))</f>
        <v/>
      </c>
      <c r="II15" s="170">
        <f>SUMPRODUCT((Settings!$G$14:$G$43=$B15)*COUNTIF('INPUT - Roster'!$IY$6:$IY$206,"*"&amp;Settings!$F$14:$F$43&amp;"*"))</f>
        <v/>
      </c>
      <c r="IJ15" s="170">
        <f>SUMPRODUCT((Settings!$G$14:$G$43=$B15)*COUNTIF('INPUT - Roster'!$IZ$6:$IZ$206,"*"&amp;Settings!$F$14:$F$43&amp;"*"))</f>
        <v/>
      </c>
      <c r="IK15" s="170">
        <f>SUMPRODUCT((Settings!$G$14:$G$43=$B15)*COUNTIF('INPUT - Roster'!$JA$6:$JA$206,"*"&amp;Settings!$F$14:$F$43&amp;"*"))</f>
        <v/>
      </c>
      <c r="IL15" s="170">
        <f>SUMPRODUCT((Settings!$G$14:$G$43=$B15)*COUNTIF('INPUT - Roster'!$JB$6:$JB$206,"*"&amp;Settings!$F$14:$F$43&amp;"*"))</f>
        <v/>
      </c>
      <c r="IM15" s="170">
        <f>SUMPRODUCT((Settings!$G$14:$G$43=$B15)*COUNTIF('INPUT - Roster'!$JC$6:$JC$206,"*"&amp;Settings!$F$14:$F$43&amp;"*"))</f>
        <v/>
      </c>
      <c r="IN15" s="170">
        <f>SUMPRODUCT((Settings!$G$14:$G$43=$B15)*COUNTIF('INPUT - Roster'!$JD$6:$JD$206,"*"&amp;Settings!$F$14:$F$43&amp;"*"))</f>
        <v/>
      </c>
      <c r="IO15" s="170">
        <f>SUMPRODUCT((Settings!$G$14:$G$43=$B15)*COUNTIF('INPUT - Roster'!$JE$6:$JE$206,"*"&amp;Settings!$F$14:$F$43&amp;"*"))</f>
        <v/>
      </c>
      <c r="IP15" s="170">
        <f>SUMPRODUCT((Settings!$G$14:$G$43=$B15)*COUNTIF('INPUT - Roster'!$JF$6:$JF$206,"*"&amp;Settings!$F$14:$F$43&amp;"*"))</f>
        <v/>
      </c>
      <c r="IQ15" s="170">
        <f>SUMPRODUCT((Settings!$G$14:$G$43=$B15)*COUNTIF('INPUT - Roster'!$JG$6:$JG$206,"*"&amp;Settings!$F$14:$F$43&amp;"*"))</f>
        <v/>
      </c>
      <c r="IR15" s="170">
        <f>SUMPRODUCT((Settings!$G$14:$G$43=$B15)*COUNTIF('INPUT - Roster'!$JH$6:$JH$206,"*"&amp;Settings!$F$14:$F$43&amp;"*"))</f>
        <v/>
      </c>
      <c r="IS15" s="170">
        <f>SUMPRODUCT((Settings!$G$14:$G$43=$B15)*COUNTIF('INPUT - Roster'!$JI$6:$JI$206,"*"&amp;Settings!$F$14:$F$43&amp;"*"))</f>
        <v/>
      </c>
      <c r="IT15" s="170">
        <f>SUMPRODUCT((Settings!$G$14:$G$43=$B15)*COUNTIF('INPUT - Roster'!$JJ$6:$JJ$206,"*"&amp;Settings!$F$14:$F$43&amp;"*"))</f>
        <v/>
      </c>
      <c r="IU15" s="170">
        <f>SUMPRODUCT((Settings!$G$14:$G$43=$B15)*COUNTIF('INPUT - Roster'!$JK$6:$JK$206,"*"&amp;Settings!$F$14:$F$43&amp;"*"))</f>
        <v/>
      </c>
      <c r="IV15" s="170">
        <f>SUMPRODUCT((Settings!$G$14:$G$43=$B15)*COUNTIF('INPUT - Roster'!$JL$6:$JL$206,"*"&amp;Settings!$F$14:$F$43&amp;"*"))</f>
        <v/>
      </c>
      <c r="IW15" s="170">
        <f>SUMPRODUCT((Settings!$G$14:$G$43=$B15)*COUNTIF('INPUT - Roster'!$JM$6:$JM$206,"*"&amp;Settings!$F$14:$F$43&amp;"*"))</f>
        <v/>
      </c>
      <c r="IX15" s="170">
        <f>SUMPRODUCT((Settings!$G$14:$G$43=$B15)*COUNTIF('INPUT - Roster'!$JN$6:$JN$206,"*"&amp;Settings!$F$14:$F$43&amp;"*"))</f>
        <v/>
      </c>
      <c r="IY15" s="170">
        <f>SUMPRODUCT((Settings!$G$14:$G$43=$B15)*COUNTIF('INPUT - Roster'!$JO$6:$JO$206,"*"&amp;Settings!$F$14:$F$43&amp;"*"))</f>
        <v/>
      </c>
      <c r="IZ15" s="170">
        <f>SUMPRODUCT((Settings!$G$14:$G$43=$B15)*COUNTIF('INPUT - Roster'!$JP$6:$JP$206,"*"&amp;Settings!$F$14:$F$43&amp;"*"))</f>
        <v/>
      </c>
      <c r="JA15" s="170">
        <f>SUMPRODUCT((Settings!$G$14:$G$43=$B15)*COUNTIF('INPUT - Roster'!$JQ$6:$JQ$206,"*"&amp;Settings!$F$14:$F$43&amp;"*"))</f>
        <v/>
      </c>
      <c r="JB15" s="170">
        <f>SUMPRODUCT((Settings!$G$14:$G$43=$B15)*COUNTIF('INPUT - Roster'!$JR$6:$JR$206,"*"&amp;Settings!$F$14:$F$43&amp;"*"))</f>
        <v/>
      </c>
      <c r="JC15" s="170">
        <f>SUMPRODUCT((Settings!$G$14:$G$43=$B15)*COUNTIF('INPUT - Roster'!$JS$6:$JS$206,"*"&amp;Settings!$F$14:$F$43&amp;"*"))</f>
        <v/>
      </c>
      <c r="JD15" s="170">
        <f>SUMPRODUCT((Settings!$G$14:$G$43=$B15)*COUNTIF('INPUT - Roster'!$JT$6:$JT$206,"*"&amp;Settings!$F$14:$F$43&amp;"*"))</f>
        <v/>
      </c>
      <c r="JE15" s="170">
        <f>SUMPRODUCT((Settings!$G$14:$G$43=$B15)*COUNTIF('INPUT - Roster'!$JU$6:$JU$206,"*"&amp;Settings!$F$14:$F$43&amp;"*"))</f>
        <v/>
      </c>
      <c r="JF15" s="170">
        <f>SUMPRODUCT((Settings!$G$14:$G$43=$B15)*COUNTIF('INPUT - Roster'!$JV$6:$JV$206,"*"&amp;Settings!$F$14:$F$43&amp;"*"))</f>
        <v/>
      </c>
      <c r="JG15" s="170">
        <f>SUMPRODUCT((Settings!$G$14:$G$43=$B15)*COUNTIF('INPUT - Roster'!$JW$6:$JW$206,"*"&amp;Settings!$F$14:$F$43&amp;"*"))</f>
        <v/>
      </c>
      <c r="JH15" s="170">
        <f>SUMPRODUCT((Settings!$G$14:$G$43=$B15)*COUNTIF('INPUT - Roster'!$JX$6:$JX$206,"*"&amp;Settings!$F$14:$F$43&amp;"*"))</f>
        <v/>
      </c>
      <c r="JI15" s="170">
        <f>SUMPRODUCT((Settings!$G$14:$G$43=$B15)*COUNTIF('INPUT - Roster'!$JY$6:$JY$206,"*"&amp;Settings!$F$14:$F$43&amp;"*"))</f>
        <v/>
      </c>
      <c r="JJ15" s="170">
        <f>SUMPRODUCT((Settings!$G$14:$G$43=$B15)*COUNTIF('INPUT - Roster'!$JZ$6:$JZ$206,"*"&amp;Settings!$F$14:$F$43&amp;"*"))</f>
        <v/>
      </c>
      <c r="JK15" s="170">
        <f>SUMPRODUCT((Settings!$G$14:$G$43=$B15)*COUNTIF('INPUT - Roster'!$KA$6:$KA$206,"*"&amp;Settings!$F$14:$F$43&amp;"*"))</f>
        <v/>
      </c>
      <c r="JL15" s="170">
        <f>SUMPRODUCT((Settings!$G$14:$G$43=$B15)*COUNTIF('INPUT - Roster'!$KB$6:$KB$206,"*"&amp;Settings!$F$14:$F$43&amp;"*"))</f>
        <v/>
      </c>
      <c r="JM15" s="170">
        <f>SUMPRODUCT((Settings!$G$14:$G$43=$B15)*COUNTIF('INPUT - Roster'!$KC$6:$KC$206,"*"&amp;Settings!$F$14:$F$43&amp;"*"))</f>
        <v/>
      </c>
      <c r="JN15" s="170">
        <f>SUMPRODUCT((Settings!$G$14:$G$43=$B15)*COUNTIF('INPUT - Roster'!$KD$6:$KD$206,"*"&amp;Settings!$F$14:$F$43&amp;"*"))</f>
        <v/>
      </c>
      <c r="JO15" s="170">
        <f>SUMPRODUCT((Settings!$G$14:$G$43=$B15)*COUNTIF('INPUT - Roster'!$KE$6:$KE$206,"*"&amp;Settings!$F$14:$F$43&amp;"*"))</f>
        <v/>
      </c>
      <c r="JP15" s="170">
        <f>SUMPRODUCT((Settings!$G$14:$G$43=$B15)*COUNTIF('INPUT - Roster'!$KF$6:$KF$206,"*"&amp;Settings!$F$14:$F$43&amp;"*"))</f>
        <v/>
      </c>
      <c r="JQ15" s="170">
        <f>SUMPRODUCT((Settings!$G$14:$G$43=$B15)*COUNTIF('INPUT - Roster'!$KG$6:$KG$206,"*"&amp;Settings!$F$14:$F$43&amp;"*"))</f>
        <v/>
      </c>
      <c r="JR15" s="170">
        <f>SUMPRODUCT((Settings!$G$14:$G$43=$B15)*COUNTIF('INPUT - Roster'!$KH$6:$KH$206,"*"&amp;Settings!$F$14:$F$43&amp;"*"))</f>
        <v/>
      </c>
      <c r="JS15" s="170">
        <f>SUMPRODUCT((Settings!$G$14:$G$43=$B15)*COUNTIF('INPUT - Roster'!$KI$6:$KI$206,"*"&amp;Settings!$F$14:$F$43&amp;"*"))</f>
        <v/>
      </c>
      <c r="JT15" s="170">
        <f>SUMPRODUCT((Settings!$G$14:$G$43=$B15)*COUNTIF('INPUT - Roster'!$KJ$6:$KJ$206,"*"&amp;Settings!$F$14:$F$43&amp;"*"))</f>
        <v/>
      </c>
      <c r="JU15" s="170">
        <f>SUMPRODUCT((Settings!$G$14:$G$43=$B15)*COUNTIF('INPUT - Roster'!$KK$6:$KK$206,"*"&amp;Settings!$F$14:$F$43&amp;"*"))</f>
        <v/>
      </c>
      <c r="JV15" s="170">
        <f>SUMPRODUCT((Settings!$G$14:$G$43=$B15)*COUNTIF('INPUT - Roster'!$KL$6:$KL$206,"*"&amp;Settings!$F$14:$F$43&amp;"*"))</f>
        <v/>
      </c>
      <c r="JW15" s="170">
        <f>SUMPRODUCT((Settings!$G$14:$G$43=$B15)*COUNTIF('INPUT - Roster'!$KM$6:$KM$206,"*"&amp;Settings!$F$14:$F$43&amp;"*"))</f>
        <v/>
      </c>
      <c r="JX15" s="170">
        <f>SUMPRODUCT((Settings!$G$14:$G$43=$B15)*COUNTIF('INPUT - Roster'!$KN$6:$KN$206,"*"&amp;Settings!$F$14:$F$43&amp;"*"))</f>
        <v/>
      </c>
      <c r="JY15" s="170">
        <f>SUMPRODUCT((Settings!$G$14:$G$43=$B15)*COUNTIF('INPUT - Roster'!$KO$6:$KO$206,"*"&amp;Settings!$F$14:$F$43&amp;"*"))</f>
        <v/>
      </c>
      <c r="JZ15" s="170">
        <f>SUMPRODUCT((Settings!$G$14:$G$43=$B15)*COUNTIF('INPUT - Roster'!$KP$6:$KP$206,"*"&amp;Settings!$F$14:$F$43&amp;"*"))</f>
        <v/>
      </c>
      <c r="KA15" s="170">
        <f>SUMPRODUCT((Settings!$G$14:$G$43=$B15)*COUNTIF('INPUT - Roster'!$KQ$6:$KQ$206,"*"&amp;Settings!$F$14:$F$43&amp;"*"))</f>
        <v/>
      </c>
      <c r="KB15" s="170">
        <f>SUMPRODUCT((Settings!$G$14:$G$43=$B15)*COUNTIF('INPUT - Roster'!$KR$6:$KR$206,"*"&amp;Settings!$F$14:$F$43&amp;"*"))</f>
        <v/>
      </c>
      <c r="KC15" s="170">
        <f>SUMPRODUCT((Settings!$G$14:$G$43=$B15)*COUNTIF('INPUT - Roster'!$KS$6:$KS$206,"*"&amp;Settings!$F$14:$F$43&amp;"*"))</f>
        <v/>
      </c>
      <c r="KD15" s="170">
        <f>SUMPRODUCT((Settings!$G$14:$G$43=$B15)*COUNTIF('INPUT - Roster'!$KT$6:$KT$206,"*"&amp;Settings!$F$14:$F$43&amp;"*"))</f>
        <v/>
      </c>
      <c r="KE15" s="170">
        <f>SUMPRODUCT((Settings!$G$14:$G$43=$B15)*COUNTIF('INPUT - Roster'!$KU$6:$KU$206,"*"&amp;Settings!$F$14:$F$43&amp;"*"))</f>
        <v/>
      </c>
      <c r="KF15" s="170">
        <f>SUMPRODUCT((Settings!$G$14:$G$43=$B15)*COUNTIF('INPUT - Roster'!$KV$6:$KV$206,"*"&amp;Settings!$F$14:$F$43&amp;"*"))</f>
        <v/>
      </c>
      <c r="KG15" s="170">
        <f>SUMPRODUCT((Settings!$G$14:$G$43=$B15)*COUNTIF('INPUT - Roster'!$KW$6:$KW$206,"*"&amp;Settings!$F$14:$F$43&amp;"*"))</f>
        <v/>
      </c>
      <c r="KH15" s="170">
        <f>SUMPRODUCT((Settings!$G$14:$G$43=$B15)*COUNTIF('INPUT - Roster'!$KX$6:$KX$206,"*"&amp;Settings!$F$14:$F$43&amp;"*"))</f>
        <v/>
      </c>
      <c r="KI15" s="170">
        <f>SUMPRODUCT((Settings!$G$14:$G$43=$B15)*COUNTIF('INPUT - Roster'!$KY$6:$KY$206,"*"&amp;Settings!$F$14:$F$43&amp;"*"))</f>
        <v/>
      </c>
      <c r="KJ15" s="170">
        <f>SUMPRODUCT((Settings!$G$14:$G$43=$B15)*COUNTIF('INPUT - Roster'!$KZ$6:$KZ$206,"*"&amp;Settings!$F$14:$F$43&amp;"*"))</f>
        <v/>
      </c>
      <c r="KK15" s="170">
        <f>SUMPRODUCT((Settings!$G$14:$G$43=$B15)*COUNTIF('INPUT - Roster'!$LA$6:$LA$206,"*"&amp;Settings!$F$14:$F$43&amp;"*"))</f>
        <v/>
      </c>
      <c r="KL15" s="170">
        <f>SUMPRODUCT((Settings!$G$14:$G$43=$B15)*COUNTIF('INPUT - Roster'!$LB$6:$LB$206,"*"&amp;Settings!$F$14:$F$43&amp;"*"))</f>
        <v/>
      </c>
      <c r="KM15" s="170">
        <f>SUMPRODUCT((Settings!$G$14:$G$43=$B15)*COUNTIF('INPUT - Roster'!$LC$6:$LC$206,"*"&amp;Settings!$F$14:$F$43&amp;"*"))</f>
        <v/>
      </c>
      <c r="KN15" s="170">
        <f>SUMPRODUCT((Settings!$G$14:$G$43=$B15)*COUNTIF('INPUT - Roster'!$LD$6:$LD$206,"*"&amp;Settings!$F$14:$F$43&amp;"*"))</f>
        <v/>
      </c>
      <c r="KO15" s="170">
        <f>SUMPRODUCT((Settings!$G$14:$G$43=$B15)*COUNTIF('INPUT - Roster'!$LE$6:$LE$206,"*"&amp;Settings!$F$14:$F$43&amp;"*"))</f>
        <v/>
      </c>
      <c r="KP15" s="170">
        <f>SUMPRODUCT((Settings!$G$14:$G$43=$B15)*COUNTIF('INPUT - Roster'!$LF$6:$LF$206,"*"&amp;Settings!$F$14:$F$43&amp;"*"))</f>
        <v/>
      </c>
      <c r="KQ15" s="170">
        <f>SUMPRODUCT((Settings!$G$14:$G$43=$B15)*COUNTIF('INPUT - Roster'!$LG$6:$LG$206,"*"&amp;Settings!$F$14:$F$43&amp;"*"))</f>
        <v/>
      </c>
      <c r="KR15" s="170">
        <f>SUMPRODUCT((Settings!$G$14:$G$43=$B15)*COUNTIF('INPUT - Roster'!$LH$6:$LH$206,"*"&amp;Settings!$F$14:$F$43&amp;"*"))</f>
        <v/>
      </c>
      <c r="KS15" s="170">
        <f>SUMPRODUCT((Settings!$G$14:$G$43=$B15)*COUNTIF('INPUT - Roster'!$LI$6:$LI$206,"*"&amp;Settings!$F$14:$F$43&amp;"*"))</f>
        <v/>
      </c>
      <c r="KT15" s="170">
        <f>SUMPRODUCT((Settings!$G$14:$G$43=$B15)*COUNTIF('INPUT - Roster'!$LJ$6:$LJ$206,"*"&amp;Settings!$F$14:$F$43&amp;"*"))</f>
        <v/>
      </c>
      <c r="KU15" s="170">
        <f>SUMPRODUCT((Settings!$G$14:$G$43=$B15)*COUNTIF('INPUT - Roster'!$LK$6:$LK$206,"*"&amp;Settings!$F$14:$F$43&amp;"*"))</f>
        <v/>
      </c>
      <c r="KV15" s="170">
        <f>SUMPRODUCT((Settings!$G$14:$G$43=$B15)*COUNTIF('INPUT - Roster'!$LL$6:$LL$206,"*"&amp;Settings!$F$14:$F$43&amp;"*"))</f>
        <v/>
      </c>
      <c r="KW15" s="170">
        <f>SUMPRODUCT((Settings!$G$14:$G$43=$B15)*COUNTIF('INPUT - Roster'!$LM$6:$LM$206,"*"&amp;Settings!$F$14:$F$43&amp;"*"))</f>
        <v/>
      </c>
      <c r="KX15" s="170">
        <f>SUMPRODUCT((Settings!$G$14:$G$43=$B15)*COUNTIF('INPUT - Roster'!$LN$6:$LN$206,"*"&amp;Settings!$F$14:$F$43&amp;"*"))</f>
        <v/>
      </c>
      <c r="KY15" s="170">
        <f>SUMPRODUCT((Settings!$G$14:$G$43=$B15)*COUNTIF('INPUT - Roster'!$LO$6:$LO$206,"*"&amp;Settings!$F$14:$F$43&amp;"*"))</f>
        <v/>
      </c>
      <c r="KZ15" s="170">
        <f>SUMPRODUCT((Settings!$G$14:$G$43=$B15)*COUNTIF('INPUT - Roster'!$LP$6:$LP$206,"*"&amp;Settings!$F$14:$F$43&amp;"*"))</f>
        <v/>
      </c>
      <c r="LA15" s="170">
        <f>SUMPRODUCT((Settings!$G$14:$G$43=$B15)*COUNTIF('INPUT - Roster'!$LQ$6:$LQ$206,"*"&amp;Settings!$F$14:$F$43&amp;"*"))</f>
        <v/>
      </c>
      <c r="LB15" s="170">
        <f>SUMPRODUCT((Settings!$G$14:$G$43=$B15)*COUNTIF('INPUT - Roster'!$LR$6:$LR$206,"*"&amp;Settings!$F$14:$F$43&amp;"*"))</f>
        <v/>
      </c>
      <c r="LC15" s="170">
        <f>SUMPRODUCT((Settings!$G$14:$G$43=$B15)*COUNTIF('INPUT - Roster'!$LS$6:$LS$206,"*"&amp;Settings!$F$14:$F$43&amp;"*"))</f>
        <v/>
      </c>
      <c r="LD15" s="170">
        <f>SUMPRODUCT((Settings!$G$14:$G$43=$B15)*COUNTIF('INPUT - Roster'!$LT$6:$LT$206,"*"&amp;Settings!$F$14:$F$43&amp;"*"))</f>
        <v/>
      </c>
      <c r="LE15" s="170">
        <f>SUMPRODUCT((Settings!$G$14:$G$43=$B15)*COUNTIF('INPUT - Roster'!$LU$6:$LU$206,"*"&amp;Settings!$F$14:$F$43&amp;"*"))</f>
        <v/>
      </c>
      <c r="LF15" s="170">
        <f>SUMPRODUCT((Settings!$G$14:$G$43=$B15)*COUNTIF('INPUT - Roster'!$LV$6:$LV$206,"*"&amp;Settings!$F$14:$F$43&amp;"*"))</f>
        <v/>
      </c>
      <c r="LG15" s="170">
        <f>SUMPRODUCT((Settings!$G$14:$G$43=$B15)*COUNTIF('INPUT - Roster'!$LW$6:$LW$206,"*"&amp;Settings!$F$14:$F$43&amp;"*"))</f>
        <v/>
      </c>
      <c r="LH15" s="170">
        <f>SUMPRODUCT((Settings!$G$14:$G$43=$B15)*COUNTIF('INPUT - Roster'!$LX$6:$LX$206,"*"&amp;Settings!$F$14:$F$43&amp;"*"))</f>
        <v/>
      </c>
      <c r="LI15" s="170">
        <f>SUMPRODUCT((Settings!$G$14:$G$43=$B15)*COUNTIF('INPUT - Roster'!$LY$6:$LY$206,"*"&amp;Settings!$F$14:$F$43&amp;"*"))</f>
        <v/>
      </c>
      <c r="LJ15" s="170">
        <f>SUMPRODUCT((Settings!$G$14:$G$43=$B15)*COUNTIF('INPUT - Roster'!$LZ$6:$LZ$206,"*"&amp;Settings!$F$14:$F$43&amp;"*"))</f>
        <v/>
      </c>
      <c r="LK15" s="170">
        <f>SUMPRODUCT((Settings!$G$14:$G$43=$B15)*COUNTIF('INPUT - Roster'!$MA$6:$MA$206,"*"&amp;Settings!$F$14:$F$43&amp;"*"))</f>
        <v/>
      </c>
      <c r="LL15" s="170">
        <f>SUMPRODUCT((Settings!$G$14:$G$43=$B15)*COUNTIF('INPUT - Roster'!$MB$6:$MB$206,"*"&amp;Settings!$F$14:$F$43&amp;"*"))</f>
        <v/>
      </c>
      <c r="LM15" s="170">
        <f>SUMPRODUCT((Settings!$G$14:$G$43=$B15)*COUNTIF('INPUT - Roster'!$MC$6:$MC$206,"*"&amp;Settings!$F$14:$F$43&amp;"*"))</f>
        <v/>
      </c>
      <c r="LN15" s="170">
        <f>SUMPRODUCT((Settings!$G$14:$G$43=$B15)*COUNTIF('INPUT - Roster'!$MD$6:$MD$206,"*"&amp;Settings!$F$14:$F$43&amp;"*"))</f>
        <v/>
      </c>
      <c r="LO15" s="170">
        <f>SUMPRODUCT((Settings!$G$14:$G$43=$B15)*COUNTIF('INPUT - Roster'!$ME$6:$ME$206,"*"&amp;Settings!$F$14:$F$43&amp;"*"))</f>
        <v/>
      </c>
      <c r="LP15" s="170">
        <f>SUMPRODUCT((Settings!$G$14:$G$43=$B15)*COUNTIF('INPUT - Roster'!$MF$6:$MF$206,"*"&amp;Settings!$F$14:$F$43&amp;"*"))</f>
        <v/>
      </c>
      <c r="LQ15" s="170">
        <f>SUMPRODUCT((Settings!$G$14:$G$43=$B15)*COUNTIF('INPUT - Roster'!$MG$6:$MG$206,"*"&amp;Settings!$F$14:$F$43&amp;"*"))</f>
        <v/>
      </c>
      <c r="LR15" s="170">
        <f>SUMPRODUCT((Settings!$G$14:$G$43=$B15)*COUNTIF('INPUT - Roster'!$MH$6:$MH$206,"*"&amp;Settings!$F$14:$F$43&amp;"*"))</f>
        <v/>
      </c>
      <c r="LS15" s="170">
        <f>SUMPRODUCT((Settings!$G$14:$G$43=$B15)*COUNTIF('INPUT - Roster'!$MI$6:$MI$206,"*"&amp;Settings!$F$14:$F$43&amp;"*"))</f>
        <v/>
      </c>
      <c r="LT15" s="170">
        <f>SUMPRODUCT((Settings!$G$14:$G$43=$B15)*COUNTIF('INPUT - Roster'!$MJ$6:$MJ$206,"*"&amp;Settings!$F$14:$F$43&amp;"*"))</f>
        <v/>
      </c>
      <c r="LU15" s="170">
        <f>SUMPRODUCT((Settings!$G$14:$G$43=$B15)*COUNTIF('INPUT - Roster'!$MK$6:$MK$206,"*"&amp;Settings!$F$14:$F$43&amp;"*"))</f>
        <v/>
      </c>
      <c r="LV15" s="170">
        <f>SUMPRODUCT((Settings!$G$14:$G$43=$B15)*COUNTIF('INPUT - Roster'!$ML$6:$ML$206,"*"&amp;Settings!$F$14:$F$43&amp;"*"))</f>
        <v/>
      </c>
      <c r="LW15" s="170">
        <f>SUMPRODUCT((Settings!$G$14:$G$43=$B15)*COUNTIF('INPUT - Roster'!$MM$6:$MM$206,"*"&amp;Settings!$F$14:$F$43&amp;"*"))</f>
        <v/>
      </c>
      <c r="LX15" s="170">
        <f>SUMPRODUCT((Settings!$G$14:$G$43=$B15)*COUNTIF('INPUT - Roster'!$MN$6:$MN$206,"*"&amp;Settings!$F$14:$F$43&amp;"*"))</f>
        <v/>
      </c>
      <c r="LY15" s="170">
        <f>SUMPRODUCT((Settings!$G$14:$G$43=$B15)*COUNTIF('INPUT - Roster'!$MO$6:$MO$206,"*"&amp;Settings!$F$14:$F$43&amp;"*"))</f>
        <v/>
      </c>
      <c r="LZ15" s="170">
        <f>SUMPRODUCT((Settings!$G$14:$G$43=$B15)*COUNTIF('INPUT - Roster'!$MP$6:$MP$206,"*"&amp;Settings!$F$14:$F$43&amp;"*"))</f>
        <v/>
      </c>
      <c r="MA15" s="170">
        <f>SUMPRODUCT((Settings!$G$14:$G$43=$B15)*COUNTIF('INPUT - Roster'!$MQ$6:$MQ$206,"*"&amp;Settings!$F$14:$F$43&amp;"*"))</f>
        <v/>
      </c>
      <c r="MB15" s="170">
        <f>SUMPRODUCT((Settings!$G$14:$G$43=$B15)*COUNTIF('INPUT - Roster'!$MR$6:$MR$206,"*"&amp;Settings!$F$14:$F$43&amp;"*"))</f>
        <v/>
      </c>
      <c r="MC15" s="170">
        <f>SUMPRODUCT((Settings!$G$14:$G$43=$B15)*COUNTIF('INPUT - Roster'!$MS$6:$MS$206,"*"&amp;Settings!$F$14:$F$43&amp;"*"))</f>
        <v/>
      </c>
      <c r="MD15" s="170">
        <f>SUMPRODUCT((Settings!$G$14:$G$43=$B15)*COUNTIF('INPUT - Roster'!$MT$6:$MT$206,"*"&amp;Settings!$F$14:$F$43&amp;"*"))</f>
        <v/>
      </c>
      <c r="ME15" s="170">
        <f>SUMPRODUCT((Settings!$G$14:$G$43=$B15)*COUNTIF('INPUT - Roster'!$MU$6:$MU$206,"*"&amp;Settings!$F$14:$F$43&amp;"*"))</f>
        <v/>
      </c>
      <c r="MF15" s="170">
        <f>SUMPRODUCT((Settings!$G$14:$G$43=$B15)*COUNTIF('INPUT - Roster'!$MV$6:$MV$206,"*"&amp;Settings!$F$14:$F$43&amp;"*"))</f>
        <v/>
      </c>
      <c r="MG15" s="170">
        <f>SUMPRODUCT((Settings!$G$14:$G$43=$B15)*COUNTIF('INPUT - Roster'!$MW$6:$MW$206,"*"&amp;Settings!$F$14:$F$43&amp;"*"))</f>
        <v/>
      </c>
      <c r="MH15" s="170">
        <f>SUMPRODUCT((Settings!$G$14:$G$43=$B15)*COUNTIF('INPUT - Roster'!$MX$6:$MX$206,"*"&amp;Settings!$F$14:$F$43&amp;"*"))</f>
        <v/>
      </c>
      <c r="MI15" s="170">
        <f>SUMPRODUCT((Settings!$G$14:$G$43=$B15)*COUNTIF('INPUT - Roster'!$MY$6:$MY$206,"*"&amp;Settings!$F$14:$F$43&amp;"*"))</f>
        <v/>
      </c>
      <c r="MJ15" s="170">
        <f>SUMPRODUCT((Settings!$G$14:$G$43=$B15)*COUNTIF('INPUT - Roster'!$MZ$6:$MZ$206,"*"&amp;Settings!$F$14:$F$43&amp;"*"))</f>
        <v/>
      </c>
      <c r="MK15" s="170">
        <f>SUMPRODUCT((Settings!$G$14:$G$43=$B15)*COUNTIF('INPUT - Roster'!$NA$6:$NA$206,"*"&amp;Settings!$F$14:$F$43&amp;"*"))</f>
        <v/>
      </c>
      <c r="ML15" s="170">
        <f>SUMPRODUCT((Settings!$G$14:$G$43=$B15)*COUNTIF('INPUT - Roster'!$NB$6:$NB$206,"*"&amp;Settings!$F$14:$F$43&amp;"*"))</f>
        <v/>
      </c>
      <c r="MM15" s="170">
        <f>SUMPRODUCT((Settings!$G$14:$G$43=$B15)*COUNTIF('INPUT - Roster'!$NC$6:$NC$206,"*"&amp;Settings!$F$14:$F$43&amp;"*"))</f>
        <v/>
      </c>
      <c r="MN15" s="170">
        <f>SUMPRODUCT((Settings!$G$14:$G$43=$B15)*COUNTIF('INPUT - Roster'!$ND$6:$ND$206,"*"&amp;Settings!$F$14:$F$43&amp;"*"))</f>
        <v/>
      </c>
      <c r="MO15" s="170">
        <f>SUMPRODUCT((Settings!$G$14:$G$43=$B15)*COUNTIF('INPUT - Roster'!$NE$6:$NE$206,"*"&amp;Settings!$F$14:$F$43&amp;"*"))</f>
        <v/>
      </c>
      <c r="MP15" s="170">
        <f>SUMPRODUCT((Settings!$G$14:$G$43=$B15)*COUNTIF('INPUT - Roster'!$NF$6:$NF$206,"*"&amp;Settings!$F$14:$F$43&amp;"*"))</f>
        <v/>
      </c>
      <c r="MQ15" s="170">
        <f>SUMPRODUCT((Settings!$G$14:$G$43=$B15)*COUNTIF('INPUT - Roster'!$NG$6:$NG$206,"*"&amp;Settings!$F$14:$F$43&amp;"*"))</f>
        <v/>
      </c>
      <c r="MR15" s="170">
        <f>SUMPRODUCT((Settings!$G$14:$G$43=$B15)*COUNTIF('INPUT - Roster'!$NH$6:$NH$206,"*"&amp;Settings!$F$14:$F$43&amp;"*"))</f>
        <v/>
      </c>
      <c r="MS15" s="170">
        <f>SUMPRODUCT((Settings!$G$14:$G$43=$B15)*COUNTIF('INPUT - Roster'!$NI$6:$NI$206,"*"&amp;Settings!$F$14:$F$43&amp;"*"))</f>
        <v/>
      </c>
      <c r="MT15" s="170">
        <f>SUMPRODUCT((Settings!$G$14:$G$43=$B15)*COUNTIF('INPUT - Roster'!$NJ$6:$NJ$206,"*"&amp;Settings!$F$14:$F$43&amp;"*"))</f>
        <v/>
      </c>
      <c r="MU15" s="170">
        <f>SUMPRODUCT((Settings!$G$14:$G$43=$B15)*COUNTIF('INPUT - Roster'!$NK$6:$NK$206,"*"&amp;Settings!$F$14:$F$43&amp;"*"))</f>
        <v/>
      </c>
      <c r="MV15" s="170">
        <f>SUMPRODUCT((Settings!$G$14:$G$43=$B15)*COUNTIF('INPUT - Roster'!$NL$6:$NL$206,"*"&amp;Settings!$F$14:$F$43&amp;"*"))</f>
        <v/>
      </c>
      <c r="MW15" s="170">
        <f>SUMPRODUCT((Settings!$G$14:$G$43=$B15)*COUNTIF('INPUT - Roster'!$NM$6:$NM$206,"*"&amp;Settings!$F$14:$F$43&amp;"*"))</f>
        <v/>
      </c>
      <c r="MX15" s="170">
        <f>SUMPRODUCT((Settings!$G$14:$G$43=$B15)*COUNTIF('INPUT - Roster'!$NN$6:$NN$206,"*"&amp;Settings!$F$14:$F$43&amp;"*"))</f>
        <v/>
      </c>
      <c r="MY15" s="170">
        <f>SUMPRODUCT((Settings!$G$14:$G$43=$B15)*COUNTIF('INPUT - Roster'!$NO$6:$NO$206,"*"&amp;Settings!$F$14:$F$43&amp;"*"))</f>
        <v/>
      </c>
      <c r="MZ15" s="170">
        <f>SUMPRODUCT((Settings!$G$14:$G$43=$B15)*COUNTIF('INPUT - Roster'!$NP$6:$NP$206,"*"&amp;Settings!$F$14:$F$43&amp;"*"))</f>
        <v/>
      </c>
      <c r="NA15" s="170">
        <f>SUMPRODUCT((Settings!$G$14:$G$43=$B15)*COUNTIF('INPUT - Roster'!$NQ$6:$NQ$206,"*"&amp;Settings!$F$14:$F$43&amp;"*"))</f>
        <v/>
      </c>
      <c r="NB15" s="170">
        <f>SUMPRODUCT((Settings!$G$14:$G$43=$B15)*COUNTIF('INPUT - Roster'!$NR$6:$NR$206,"*"&amp;Settings!$F$14:$F$43&amp;"*"))</f>
        <v/>
      </c>
      <c r="NC15" s="170">
        <f>SUMPRODUCT((Settings!$G$14:$G$43=$B15)*COUNTIF('INPUT - Roster'!$NS$6:$NS$206,"*"&amp;Settings!$F$14:$F$43&amp;"*"))</f>
        <v/>
      </c>
      <c r="ND15" s="170">
        <f>SUMPRODUCT((Settings!$G$14:$G$43=$B15)*COUNTIF('INPUT - Roster'!$NT$6:$NT$206,"*"&amp;Settings!$F$14:$F$43&amp;"*"))</f>
        <v/>
      </c>
      <c r="NE15" s="170">
        <f>SUMPRODUCT((Settings!$G$14:$G$43=$B15)*COUNTIF('INPUT - Roster'!$NU$6:$NU$206,"*"&amp;Settings!$F$14:$F$43&amp;"*"))</f>
        <v/>
      </c>
      <c r="NF15" s="170">
        <f>SUMPRODUCT((Settings!$G$14:$G$43=$B15)*COUNTIF('INPUT - Roster'!$NV$6:$NV$206,"*"&amp;Settings!$F$14:$F$43&amp;"*"))</f>
        <v/>
      </c>
      <c r="NG15" s="170">
        <f>SUMPRODUCT((Settings!$G$14:$G$43=$B15)*COUNTIF('INPUT - Roster'!$NW$6:$NW$206,"*"&amp;Settings!$F$14:$F$43&amp;"*"))</f>
        <v/>
      </c>
      <c r="NH15" s="170">
        <f>SUMPRODUCT((Settings!$G$14:$G$43=$B15)*COUNTIF('INPUT - Roster'!$NX$6:$NX$206,"*"&amp;Settings!$F$14:$F$43&amp;"*"))</f>
        <v/>
      </c>
      <c r="NI15" s="170">
        <f>SUMPRODUCT((Settings!$G$14:$G$43=$B15)*COUNTIF('INPUT - Roster'!$NY$6:$NY$206,"*"&amp;Settings!$F$14:$F$43&amp;"*"))</f>
        <v/>
      </c>
      <c r="NJ15" s="170">
        <f>SUMPRODUCT((Settings!$G$14:$G$43=$B15)*COUNTIF('INPUT - Roster'!$NZ$6:$NZ$206,"*"&amp;Settings!$F$14:$F$43&amp;"*"))</f>
        <v/>
      </c>
      <c r="NK15" s="170">
        <f>SUMPRODUCT((Settings!$G$14:$G$43=$B15)*COUNTIF('INPUT - Roster'!$OA$6:$OA$206,"*"&amp;Settings!$F$14:$F$43&amp;"*"))</f>
        <v/>
      </c>
      <c r="NL15" s="170">
        <f>SUMPRODUCT((Settings!$G$14:$G$43=$B15)*COUNTIF('INPUT - Roster'!$OB$6:$OB$206,"*"&amp;Settings!$F$14:$F$43&amp;"*"))</f>
        <v/>
      </c>
      <c r="NM15" s="170">
        <f>SUMPRODUCT((Settings!$G$14:$G$43=$B15)*COUNTIF('INPUT - Roster'!$OC$6:$OC$206,"*"&amp;Settings!$F$14:$F$43&amp;"*"))</f>
        <v/>
      </c>
      <c r="NN15" s="170">
        <f>SUMPRODUCT((Settings!$G$14:$G$43=$B15)*COUNTIF('INPUT - Roster'!$OD$6:$OD$206,"*"&amp;Settings!$F$14:$F$43&amp;"*"))</f>
        <v/>
      </c>
      <c r="NO15" s="170">
        <f>SUMPRODUCT((Settings!$G$14:$G$43=$B15)*COUNTIF('INPUT - Roster'!$OE$6:$OE$206,"*"&amp;Settings!$F$14:$F$43&amp;"*"))</f>
        <v/>
      </c>
      <c r="NP15" s="170">
        <f>SUMPRODUCT((Settings!$G$14:$G$43=$B15)*COUNTIF('INPUT - Roster'!$OF$6:$OF$206,"*"&amp;Settings!$F$14:$F$43&amp;"*"))</f>
        <v/>
      </c>
      <c r="NQ15" s="170">
        <f>SUMPRODUCT((Settings!$G$14:$G$43=$B15)*COUNTIF('INPUT - Roster'!$OG$6:$OG$206,"*"&amp;Settings!$F$14:$F$43&amp;"*"))</f>
        <v/>
      </c>
      <c r="NR15" s="170">
        <f>SUMPRODUCT((Settings!$G$14:$G$43=$B15)*COUNTIF('INPUT - Roster'!$OH$6:$OH$206,"*"&amp;Settings!$F$14:$F$43&amp;"*"))</f>
        <v/>
      </c>
      <c r="NS15" s="170">
        <f>SUMPRODUCT((Settings!$G$14:$G$43=$B15)*COUNTIF('INPUT - Roster'!$OI$6:$OI$206,"*"&amp;Settings!$F$14:$F$43&amp;"*"))</f>
        <v/>
      </c>
      <c r="NT15" s="170">
        <f>SUMPRODUCT((Settings!$G$14:$G$43=$B15)*COUNTIF('INPUT - Roster'!$OJ$6:$OJ$206,"*"&amp;Settings!$F$14:$F$43&amp;"*"))</f>
        <v/>
      </c>
      <c r="NU15" s="170">
        <f>SUMPRODUCT((Settings!$G$14:$G$43=$B15)*COUNTIF('INPUT - Roster'!$OK$6:$OK$206,"*"&amp;Settings!$F$14:$F$43&amp;"*"))</f>
        <v/>
      </c>
      <c r="NV15" s="170">
        <f>SUMPRODUCT((Settings!$G$14:$G$43=$B15)*COUNTIF('INPUT - Roster'!$OL$6:$OL$206,"*"&amp;Settings!$F$14:$F$43&amp;"*"))</f>
        <v/>
      </c>
      <c r="NW15" s="170">
        <f>SUMPRODUCT((Settings!$G$14:$G$43=$B15)*COUNTIF('INPUT - Roster'!$OM$6:$OM$206,"*"&amp;Settings!$F$14:$F$43&amp;"*"))</f>
        <v/>
      </c>
      <c r="NX15" s="170">
        <f>SUMPRODUCT((Settings!$G$14:$G$43=$B15)*COUNTIF('INPUT - Roster'!$ON$6:$ON$206,"*"&amp;Settings!$F$14:$F$43&amp;"*"))</f>
        <v/>
      </c>
      <c r="NY15" s="170">
        <f>SUMPRODUCT((Settings!$G$14:$G$43=$B15)*COUNTIF('INPUT - Roster'!$OO$6:$OO$206,"*"&amp;Settings!$F$14:$F$43&amp;"*"))</f>
        <v/>
      </c>
      <c r="NZ15" s="170">
        <f>SUMPRODUCT((Settings!$G$14:$G$43=$B15)*COUNTIF('INPUT - Roster'!$OP$6:$OP$206,"*"&amp;Settings!$F$14:$F$43&amp;"*"))</f>
        <v/>
      </c>
      <c r="OA15" s="170">
        <f>SUMPRODUCT((Settings!$G$14:$G$43=$B15)*COUNTIF('INPUT - Roster'!$OQ$6:$OQ$206,"*"&amp;Settings!$F$14:$F$43&amp;"*"))</f>
        <v/>
      </c>
      <c r="OB15" s="170">
        <f>SUMPRODUCT((Settings!$G$14:$G$43=$B15)*COUNTIF('INPUT - Roster'!$OR$6:$OR$206,"*"&amp;Settings!$F$14:$F$43&amp;"*"))</f>
        <v/>
      </c>
      <c r="OC15" s="170">
        <f>SUMPRODUCT((Settings!$G$14:$G$43=$B15)*COUNTIF('INPUT - Roster'!$OS$6:$OS$206,"*"&amp;Settings!$F$14:$F$43&amp;"*"))</f>
        <v/>
      </c>
      <c r="OD15" s="170">
        <f>SUMPRODUCT((Settings!$G$14:$G$43=$B15)*COUNTIF('INPUT - Roster'!$OT$6:$OT$206,"*"&amp;Settings!$F$14:$F$43&amp;"*"))</f>
        <v/>
      </c>
      <c r="OE15" s="170">
        <f>SUMPRODUCT((Settings!$G$14:$G$43=$B15)*COUNTIF('INPUT - Roster'!$OU$6:$OU$206,"*"&amp;Settings!$F$14:$F$43&amp;"*"))</f>
        <v/>
      </c>
      <c r="OF15" s="170">
        <f>SUMPRODUCT((Settings!$G$14:$G$43=$B15)*COUNTIF('INPUT - Roster'!$OV$6:$OV$206,"*"&amp;Settings!$F$14:$F$43&amp;"*"))</f>
        <v/>
      </c>
      <c r="OG15" s="170">
        <f>SUMPRODUCT((Settings!$G$14:$G$43=$B15)*COUNTIF('INPUT - Roster'!$OW$6:$OW$206,"*"&amp;Settings!$F$14:$F$43&amp;"*"))</f>
        <v/>
      </c>
      <c r="OH15" s="170">
        <f>SUMPRODUCT((Settings!$G$14:$G$43=$B15)*COUNTIF('INPUT - Roster'!$OX$6:$OX$206,"*"&amp;Settings!$F$14:$F$43&amp;"*"))</f>
        <v/>
      </c>
      <c r="OI15" s="170">
        <f>SUMPRODUCT((Settings!$G$14:$G$43=$B15)*COUNTIF('INPUT - Roster'!$OY$6:$OY$206,"*"&amp;Settings!$F$14:$F$43&amp;"*"))</f>
        <v/>
      </c>
      <c r="OJ15" s="170">
        <f>SUMPRODUCT((Settings!$G$14:$G$43=$B15)*COUNTIF('INPUT - Roster'!$OZ$6:$OZ$206,"*"&amp;Settings!$F$14:$F$43&amp;"*"))</f>
        <v/>
      </c>
      <c r="OK15" s="170">
        <f>SUMPRODUCT((Settings!$G$14:$G$43=$B15)*COUNTIF('INPUT - Roster'!$PA$6:$PA$206,"*"&amp;Settings!$F$14:$F$43&amp;"*"))</f>
        <v/>
      </c>
      <c r="OL15" s="170">
        <f>SUMPRODUCT((Settings!$G$14:$G$43=$B15)*COUNTIF('INPUT - Roster'!$PB$6:$PB$206,"*"&amp;Settings!$F$14:$F$43&amp;"*"))</f>
        <v/>
      </c>
      <c r="OM15" s="170">
        <f>SUMPRODUCT((Settings!$G$14:$G$43=$B15)*COUNTIF('INPUT - Roster'!$PC$6:$PC$206,"*"&amp;Settings!$F$14:$F$43&amp;"*"))</f>
        <v/>
      </c>
      <c r="ON15" s="170">
        <f>SUMPRODUCT((Settings!$G$14:$G$43=$B15)*COUNTIF('INPUT - Roster'!$PD$6:$PD$206,"*"&amp;Settings!$F$14:$F$43&amp;"*"))</f>
        <v/>
      </c>
      <c r="OO15" s="170">
        <f>SUMPRODUCT((Settings!$G$14:$G$43=$B15)*COUNTIF('INPUT - Roster'!$PE$6:$PE$206,"*"&amp;Settings!$F$14:$F$43&amp;"*"))</f>
        <v/>
      </c>
      <c r="OP15" s="170">
        <f>SUMPRODUCT((Settings!$G$14:$G$43=$B15)*COUNTIF('INPUT - Roster'!$PF$6:$PF$206,"*"&amp;Settings!$F$14:$F$43&amp;"*"))</f>
        <v/>
      </c>
      <c r="OQ15" s="170">
        <f>SUMPRODUCT((Settings!$G$14:$G$43=$B15)*COUNTIF('INPUT - Roster'!$PG$6:$PG$206,"*"&amp;Settings!$F$14:$F$43&amp;"*"))</f>
        <v/>
      </c>
      <c r="OR15" s="170">
        <f>SUMPRODUCT((Settings!$G$14:$G$43=$B15)*COUNTIF('INPUT - Roster'!$PH$6:$PH$206,"*"&amp;Settings!$F$14:$F$43&amp;"*"))</f>
        <v/>
      </c>
      <c r="OS15" s="170">
        <f>SUMPRODUCT((Settings!$G$14:$G$43=$B15)*COUNTIF('INPUT - Roster'!$PI$6:$PI$206,"*"&amp;Settings!$F$14:$F$43&amp;"*"))</f>
        <v/>
      </c>
      <c r="OT15" s="170">
        <f>SUMPRODUCT((Settings!$G$14:$G$43=$B15)*COUNTIF('INPUT - Roster'!$PJ$6:$PJ$206,"*"&amp;Settings!$F$14:$F$43&amp;"*"))</f>
        <v/>
      </c>
      <c r="OU15" s="170">
        <f>SUMPRODUCT((Settings!$G$14:$G$43=$B15)*COUNTIF('INPUT - Roster'!$PK$6:$PK$206,"*"&amp;Settings!$F$14:$F$43&amp;"*"))</f>
        <v/>
      </c>
      <c r="OV15" s="170">
        <f>SUMPRODUCT((Settings!$G$14:$G$43=$B15)*COUNTIF('INPUT - Roster'!$PL$6:$PL$206,"*"&amp;Settings!$F$14:$F$43&amp;"*"))</f>
        <v/>
      </c>
      <c r="OW15" s="170">
        <f>SUMPRODUCT((Settings!$G$14:$G$43=$B15)*COUNTIF('INPUT - Roster'!$PM$6:$PM$206,"*"&amp;Settings!$F$14:$F$43&amp;"*"))</f>
        <v/>
      </c>
      <c r="OX15" s="170">
        <f>SUMPRODUCT((Settings!$G$14:$G$43=$B15)*COUNTIF('INPUT - Roster'!$PN$6:$PN$206,"*"&amp;Settings!$F$14:$F$43&amp;"*"))</f>
        <v/>
      </c>
      <c r="OY15" s="170">
        <f>SUMPRODUCT((Settings!$G$14:$G$43=$B15)*COUNTIF('INPUT - Roster'!$PO$6:$PO$206,"*"&amp;Settings!$F$14:$F$43&amp;"*"))</f>
        <v/>
      </c>
      <c r="OZ15" s="170">
        <f>SUMPRODUCT((Settings!$G$14:$G$43=$B15)*COUNTIF('INPUT - Roster'!$PP$6:$PP$206,"*"&amp;Settings!$F$14:$F$43&amp;"*"))</f>
        <v/>
      </c>
      <c r="PA15" s="170">
        <f>SUMPRODUCT((Settings!$G$14:$G$43=$B15)*COUNTIF('INPUT - Roster'!$PQ$6:$PQ$206,"*"&amp;Settings!$F$14:$F$43&amp;"*"))</f>
        <v/>
      </c>
      <c r="PB15" s="170">
        <f>SUMPRODUCT((Settings!$G$14:$G$43=$B15)*COUNTIF('INPUT - Roster'!$PR$6:$PR$206,"*"&amp;Settings!$F$14:$F$43&amp;"*"))</f>
        <v/>
      </c>
      <c r="PC15" s="170">
        <f>SUMPRODUCT((Settings!$G$14:$G$43=$B15)*COUNTIF('INPUT - Roster'!$PS$6:$PS$206,"*"&amp;Settings!$F$14:$F$43&amp;"*"))</f>
        <v/>
      </c>
      <c r="PD15" s="170">
        <f>SUMPRODUCT((Settings!$G$14:$G$43=$B15)*COUNTIF('INPUT - Roster'!$PT$6:$PT$206,"*"&amp;Settings!$F$14:$F$43&amp;"*"))</f>
        <v/>
      </c>
      <c r="PE15" s="170">
        <f>SUMPRODUCT((Settings!$G$14:$G$43=$B15)*COUNTIF('INPUT - Roster'!$PU$6:$PU$206,"*"&amp;Settings!$F$14:$F$43&amp;"*"))</f>
        <v/>
      </c>
      <c r="PF15" s="170">
        <f>SUMPRODUCT((Settings!$G$14:$G$43=$B15)*COUNTIF('INPUT - Roster'!$PV$6:$PV$206,"*"&amp;Settings!$F$14:$F$43&amp;"*"))</f>
        <v/>
      </c>
      <c r="PG15" s="170">
        <f>SUMPRODUCT((Settings!$G$14:$G$43=$B15)*COUNTIF('INPUT - Roster'!$PW$6:$PW$206,"*"&amp;Settings!$F$14:$F$43&amp;"*"))</f>
        <v/>
      </c>
      <c r="PH15" s="170">
        <f>SUMPRODUCT((Settings!$G$14:$G$43=$B15)*COUNTIF('INPUT - Roster'!$PX$6:$PX$206,"*"&amp;Settings!$F$14:$F$43&amp;"*"))</f>
        <v/>
      </c>
      <c r="PI15" s="170">
        <f>SUMPRODUCT((Settings!$G$14:$G$43=$B15)*COUNTIF('INPUT - Roster'!$PY$6:$PY$206,"*"&amp;Settings!$F$14:$F$43&amp;"*"))</f>
        <v/>
      </c>
      <c r="PJ15" s="170">
        <f>SUMPRODUCT((Settings!$G$14:$G$43=$B15)*COUNTIF('INPUT - Roster'!$PZ$6:$PZ$206,"*"&amp;Settings!$F$14:$F$43&amp;"*"))</f>
        <v/>
      </c>
      <c r="PK15" s="170">
        <f>SUMPRODUCT((Settings!$G$14:$G$43=$B15)*COUNTIF('INPUT - Roster'!$QA$6:$QA$206,"*"&amp;Settings!$F$14:$F$43&amp;"*"))</f>
        <v/>
      </c>
      <c r="PL15" s="170">
        <f>SUMPRODUCT((Settings!$G$14:$G$43=$B15)*COUNTIF('INPUT - Roster'!$QB$6:$QB$206,"*"&amp;Settings!$F$14:$F$43&amp;"*"))</f>
        <v/>
      </c>
      <c r="PM15" s="170">
        <f>SUMPRODUCT((Settings!$G$14:$G$43=$B15)*COUNTIF('INPUT - Roster'!$QC$6:$QC$206,"*"&amp;Settings!$F$14:$F$43&amp;"*"))</f>
        <v/>
      </c>
      <c r="PN15" s="170">
        <f>SUMPRODUCT((Settings!$G$14:$G$43=$B15)*COUNTIF('INPUT - Roster'!$QD$6:$QD$206,"*"&amp;Settings!$F$14:$F$43&amp;"*"))</f>
        <v/>
      </c>
      <c r="PO15" s="170">
        <f>SUMPRODUCT((Settings!$G$14:$G$43=$B15)*COUNTIF('INPUT - Roster'!$QE$6:$QE$206,"*"&amp;Settings!$F$14:$F$43&amp;"*"))</f>
        <v/>
      </c>
      <c r="PP15" s="170">
        <f>SUMPRODUCT((Settings!$G$14:$G$43=$B15)*COUNTIF('INPUT - Roster'!$QF$6:$QF$206,"*"&amp;Settings!$F$14:$F$43&amp;"*"))</f>
        <v/>
      </c>
      <c r="PQ15" s="170">
        <f>SUMPRODUCT((Settings!$G$14:$G$43=$B15)*COUNTIF('INPUT - Roster'!$QG$6:$QG$206,"*"&amp;Settings!$F$14:$F$43&amp;"*"))</f>
        <v/>
      </c>
      <c r="PR15" s="170">
        <f>SUMPRODUCT((Settings!$G$14:$G$43=$B15)*COUNTIF('INPUT - Roster'!$QH$6:$QH$206,"*"&amp;Settings!$F$14:$F$43&amp;"*"))</f>
        <v/>
      </c>
      <c r="PS15" s="170">
        <f>SUMPRODUCT((Settings!$G$14:$G$43=$B15)*COUNTIF('INPUT - Roster'!$QI$6:$QI$206,"*"&amp;Settings!$F$14:$F$43&amp;"*"))</f>
        <v/>
      </c>
      <c r="PT15" s="170">
        <f>SUMPRODUCT((Settings!$G$14:$G$43=$B15)*COUNTIF('INPUT - Roster'!$QJ$6:$QJ$206,"*"&amp;Settings!$F$14:$F$43&amp;"*"))</f>
        <v/>
      </c>
      <c r="PU15" s="170">
        <f>SUMPRODUCT((Settings!$G$14:$G$43=$B15)*COUNTIF('INPUT - Roster'!$QK$6:$QK$206,"*"&amp;Settings!$F$14:$F$43&amp;"*"))</f>
        <v/>
      </c>
      <c r="PV15" s="170">
        <f>SUMPRODUCT((Settings!$G$14:$G$43=$B15)*COUNTIF('INPUT - Roster'!$QL$6:$QL$206,"*"&amp;Settings!$F$14:$F$43&amp;"*"))</f>
        <v/>
      </c>
      <c r="PW15" s="170">
        <f>SUMPRODUCT((Settings!$G$14:$G$43=$B15)*COUNTIF('INPUT - Roster'!$QM$6:$QM$206,"*"&amp;Settings!$F$14:$F$43&amp;"*"))</f>
        <v/>
      </c>
      <c r="PX15" s="170">
        <f>SUMPRODUCT((Settings!$G$14:$G$43=$B15)*COUNTIF('INPUT - Roster'!$QN$6:$QN$206,"*"&amp;Settings!$F$14:$F$43&amp;"*"))</f>
        <v/>
      </c>
      <c r="PY15" s="170">
        <f>SUMPRODUCT((Settings!$G$14:$G$43=$B15)*COUNTIF('INPUT - Roster'!$QO$6:$QO$206,"*"&amp;Settings!$F$14:$F$43&amp;"*"))</f>
        <v/>
      </c>
      <c r="PZ15" s="170">
        <f>SUMPRODUCT((Settings!$G$14:$G$43=$B15)*COUNTIF('INPUT - Roster'!$QP$6:$QP$206,"*"&amp;Settings!$F$14:$F$43&amp;"*"))</f>
        <v/>
      </c>
      <c r="QA15" s="170">
        <f>SUMPRODUCT((Settings!$G$14:$G$43=$B15)*COUNTIF('INPUT - Roster'!$QQ$6:$QQ$206,"*"&amp;Settings!$F$14:$F$43&amp;"*"))</f>
        <v/>
      </c>
      <c r="QB15" s="170">
        <f>SUMPRODUCT((Settings!$G$14:$G$43=$B15)*COUNTIF('INPUT - Roster'!$QR$6:$QR$206,"*"&amp;Settings!$F$14:$F$43&amp;"*"))</f>
        <v/>
      </c>
      <c r="QC15" s="170">
        <f>SUMPRODUCT((Settings!$G$14:$G$43=$B15)*COUNTIF('INPUT - Roster'!$QS$6:$QS$206,"*"&amp;Settings!$F$14:$F$43&amp;"*"))</f>
        <v/>
      </c>
      <c r="QD15" s="170">
        <f>SUMPRODUCT((Settings!$G$14:$G$43=$B15)*COUNTIF('INPUT - Roster'!$QT$6:$QT$206,"*"&amp;Settings!$F$14:$F$43&amp;"*"))</f>
        <v/>
      </c>
      <c r="QE15" s="170">
        <f>SUMPRODUCT((Settings!$G$14:$G$43=$B15)*COUNTIF('INPUT - Roster'!$QU$6:$QU$206,"*"&amp;Settings!$F$14:$F$43&amp;"*"))</f>
        <v/>
      </c>
      <c r="QF15" s="170">
        <f>SUMPRODUCT((Settings!$G$14:$G$43=$B15)*COUNTIF('INPUT - Roster'!$QV$6:$QV$206,"*"&amp;Settings!$F$14:$F$43&amp;"*"))</f>
        <v/>
      </c>
      <c r="QG15" s="170">
        <f>SUMPRODUCT((Settings!$G$14:$G$43=$B15)*COUNTIF('INPUT - Roster'!$QW$6:$QW$206,"*"&amp;Settings!$F$14:$F$43&amp;"*"))</f>
        <v/>
      </c>
      <c r="QH15" s="170">
        <f>SUMPRODUCT((Settings!$G$14:$G$43=$B15)*COUNTIF('INPUT - Roster'!$QX$6:$QX$206,"*"&amp;Settings!$F$14:$F$43&amp;"*"))</f>
        <v/>
      </c>
      <c r="QI15" s="170">
        <f>SUMPRODUCT((Settings!$G$14:$G$43=$B15)*COUNTIF('INPUT - Roster'!$QY$6:$QY$206,"*"&amp;Settings!$F$14:$F$43&amp;"*"))</f>
        <v/>
      </c>
      <c r="QJ15" s="170">
        <f>SUMPRODUCT((Settings!$G$14:$G$43=$B15)*COUNTIF('INPUT - Roster'!$QZ$6:$QZ$206,"*"&amp;Settings!$F$14:$F$43&amp;"*"))</f>
        <v/>
      </c>
      <c r="QK15" s="170">
        <f>SUMPRODUCT((Settings!$G$14:$G$43=$B15)*COUNTIF('INPUT - Roster'!$RA$6:$RA$206,"*"&amp;Settings!$F$14:$F$43&amp;"*"))</f>
        <v/>
      </c>
      <c r="QL15" s="170">
        <f>SUMPRODUCT((Settings!$G$14:$G$43=$B15)*COUNTIF('INPUT - Roster'!$RB$6:$RB$206,"*"&amp;Settings!$F$14:$F$43&amp;"*"))</f>
        <v/>
      </c>
      <c r="QM15" s="170">
        <f>SUMPRODUCT((Settings!$G$14:$G$43=$B15)*COUNTIF('INPUT - Roster'!$RC$6:$RC$206,"*"&amp;Settings!$F$14:$F$43&amp;"*"))</f>
        <v/>
      </c>
      <c r="QN15" s="170">
        <f>SUMPRODUCT((Settings!$G$14:$G$43=$B15)*COUNTIF('INPUT - Roster'!$RD$6:$RD$206,"*"&amp;Settings!$F$14:$F$43&amp;"*"))</f>
        <v/>
      </c>
      <c r="QO15" s="170">
        <f>SUMPRODUCT((Settings!$G$14:$G$43=$B15)*COUNTIF('INPUT - Roster'!$RE$6:$RE$206,"*"&amp;Settings!$F$14:$F$43&amp;"*"))</f>
        <v/>
      </c>
      <c r="QP15" s="170">
        <f>SUMPRODUCT((Settings!$G$14:$G$43=$B15)*COUNTIF('INPUT - Roster'!$RF$6:$RF$206,"*"&amp;Settings!$F$14:$F$43&amp;"*"))</f>
        <v/>
      </c>
      <c r="QQ15" s="170">
        <f>SUMPRODUCT((Settings!$G$14:$G$43=$B15)*COUNTIF('INPUT - Roster'!$RG$6:$RG$206,"*"&amp;Settings!$F$14:$F$43&amp;"*"))</f>
        <v/>
      </c>
      <c r="QR15" s="170">
        <f>SUMPRODUCT((Settings!$G$14:$G$43=$B15)*COUNTIF('INPUT - Roster'!$RH$6:$RH$206,"*"&amp;Settings!$F$14:$F$43&amp;"*"))</f>
        <v/>
      </c>
      <c r="QS15" s="170">
        <f>SUMPRODUCT((Settings!$G$14:$G$43=$B15)*COUNTIF('INPUT - Roster'!$RI$6:$RI$206,"*"&amp;Settings!$F$14:$F$43&amp;"*"))</f>
        <v/>
      </c>
      <c r="QT15" s="170">
        <f>SUMPRODUCT((Settings!$G$14:$G$43=$B15)*COUNTIF('INPUT - Roster'!$RJ$6:$RJ$206,"*"&amp;Settings!$F$14:$F$43&amp;"*"))</f>
        <v/>
      </c>
      <c r="QU15" s="170">
        <f>SUMPRODUCT((Settings!$G$14:$G$43=$B15)*COUNTIF('INPUT - Roster'!$RK$6:$RK$206,"*"&amp;Settings!$F$14:$F$43&amp;"*"))</f>
        <v/>
      </c>
      <c r="QV15" s="170">
        <f>SUMPRODUCT((Settings!$G$14:$G$43=$B15)*COUNTIF('INPUT - Roster'!$RL$6:$RL$206,"*"&amp;Settings!$F$14:$F$43&amp;"*"))</f>
        <v/>
      </c>
      <c r="QW15" s="170">
        <f>SUMPRODUCT((Settings!$G$14:$G$43=$B15)*COUNTIF('INPUT - Roster'!$RM$6:$RM$206,"*"&amp;Settings!$F$14:$F$43&amp;"*"))</f>
        <v/>
      </c>
      <c r="QX15" s="170">
        <f>SUMPRODUCT((Settings!$G$14:$G$43=$B15)*COUNTIF('INPUT - Roster'!$RN$6:$RN$206,"*"&amp;Settings!$F$14:$F$43&amp;"*"))</f>
        <v/>
      </c>
      <c r="QY15" s="170">
        <f>SUMPRODUCT((Settings!$G$14:$G$43=$B15)*COUNTIF('INPUT - Roster'!$RO$6:$RO$206,"*"&amp;Settings!$F$14:$F$43&amp;"*"))</f>
        <v/>
      </c>
      <c r="QZ15" s="170">
        <f>SUMPRODUCT((Settings!$G$14:$G$43=$B15)*COUNTIF('INPUT - Roster'!$RP$6:$RP$206,"*"&amp;Settings!$F$14:$F$43&amp;"*"))</f>
        <v/>
      </c>
      <c r="RA15" s="170">
        <f>SUMPRODUCT((Settings!$G$14:$G$43=$B15)*COUNTIF('INPUT - Roster'!$RQ$6:$RQ$206,"*"&amp;Settings!$F$14:$F$43&amp;"*"))</f>
        <v/>
      </c>
      <c r="RB15" s="170">
        <f>SUMPRODUCT((Settings!$G$14:$G$43=$B15)*COUNTIF('INPUT - Roster'!$RR$6:$RR$206,"*"&amp;Settings!$F$14:$F$43&amp;"*"))</f>
        <v/>
      </c>
      <c r="RC15" s="170">
        <f>SUMPRODUCT((Settings!$G$14:$G$43=$B15)*COUNTIF('INPUT - Roster'!$RS$6:$RS$206,"*"&amp;Settings!$F$14:$F$43&amp;"*"))</f>
        <v/>
      </c>
      <c r="RD15" s="170">
        <f>SUMPRODUCT((Settings!$G$14:$G$43=$B15)*COUNTIF('INPUT - Roster'!$RT$6:$RT$206,"*"&amp;Settings!$F$14:$F$43&amp;"*"))</f>
        <v/>
      </c>
      <c r="RE15" s="170">
        <f>SUMPRODUCT((Settings!$G$14:$G$43=$B15)*COUNTIF('INPUT - Roster'!$RU$6:$RU$206,"*"&amp;Settings!$F$14:$F$43&amp;"*"))</f>
        <v/>
      </c>
      <c r="RF15" s="170">
        <f>SUMPRODUCT((Settings!$G$14:$G$43=$B15)*COUNTIF('INPUT - Roster'!$RV$6:$RV$206,"*"&amp;Settings!$F$14:$F$43&amp;"*"))</f>
        <v/>
      </c>
      <c r="RG15" s="170">
        <f>SUMPRODUCT((Settings!$G$14:$G$43=$B15)*COUNTIF('INPUT - Roster'!$RW$6:$RW$206,"*"&amp;Settings!$F$14:$F$43&amp;"*"))</f>
        <v/>
      </c>
      <c r="RH15" s="170">
        <f>SUMPRODUCT((Settings!$G$14:$G$43=$B15)*COUNTIF('INPUT - Roster'!$RX$6:$RX$206,"*"&amp;Settings!$F$14:$F$43&amp;"*"))</f>
        <v/>
      </c>
      <c r="RI15" s="170">
        <f>SUMPRODUCT((Settings!$G$14:$G$43=$B15)*COUNTIF('INPUT - Roster'!$RY$6:$RY$206,"*"&amp;Settings!$F$14:$F$43&amp;"*"))</f>
        <v/>
      </c>
      <c r="RJ15" s="170">
        <f>SUMPRODUCT((Settings!$G$14:$G$43=$B15)*COUNTIF('INPUT - Roster'!$RZ$6:$RZ$206,"*"&amp;Settings!$F$14:$F$43&amp;"*"))</f>
        <v/>
      </c>
      <c r="RK15" s="170">
        <f>SUMPRODUCT((Settings!$G$14:$G$43=$B15)*COUNTIF('INPUT - Roster'!$SA$6:$SA$206,"*"&amp;Settings!$F$14:$F$43&amp;"*"))</f>
        <v/>
      </c>
      <c r="RL15" s="170">
        <f>SUMPRODUCT((Settings!$G$14:$G$43=$B15)*COUNTIF('INPUT - Roster'!$SB$6:$SB$206,"*"&amp;Settings!$F$14:$F$43&amp;"*"))</f>
        <v/>
      </c>
      <c r="RM15" s="170">
        <f>SUMPRODUCT((Settings!$G$14:$G$43=$B15)*COUNTIF('INPUT - Roster'!$SC$6:$SC$206,"*"&amp;Settings!$F$14:$F$43&amp;"*"))</f>
        <v/>
      </c>
      <c r="RN15" s="170">
        <f>SUMPRODUCT((Settings!$G$14:$G$43=$B15)*COUNTIF('INPUT - Roster'!$SD$6:$SD$206,"*"&amp;Settings!$F$14:$F$43&amp;"*"))</f>
        <v/>
      </c>
      <c r="RO15" s="170">
        <f>SUMPRODUCT((Settings!$G$14:$G$43=$B15)*COUNTIF('INPUT - Roster'!$SE$6:$SE$206,"*"&amp;Settings!$F$14:$F$43&amp;"*"))</f>
        <v/>
      </c>
      <c r="RP15" s="170">
        <f>SUMPRODUCT((Settings!$G$14:$G$43=$B15)*COUNTIF('INPUT - Roster'!$SF$6:$SF$206,"*"&amp;Settings!$F$14:$F$43&amp;"*"))</f>
        <v/>
      </c>
      <c r="RQ15" s="170">
        <f>SUMPRODUCT((Settings!$G$14:$G$43=$B15)*COUNTIF('INPUT - Roster'!$SG$6:$SG$206,"*"&amp;Settings!$F$14:$F$43&amp;"*"))</f>
        <v/>
      </c>
      <c r="RR15" s="170">
        <f>SUMPRODUCT((Settings!$G$14:$G$43=$B15)*COUNTIF('INPUT - Roster'!$SH$6:$SH$206,"*"&amp;Settings!$F$14:$F$43&amp;"*"))</f>
        <v/>
      </c>
      <c r="RS15" s="170">
        <f>SUMPRODUCT((Settings!$G$14:$G$43=$B15)*COUNTIF('INPUT - Roster'!$SI$6:$SI$206,"*"&amp;Settings!$F$14:$F$43&amp;"*"))</f>
        <v/>
      </c>
      <c r="RT15" s="170">
        <f>SUMPRODUCT((Settings!$G$14:$G$43=$B15)*COUNTIF('INPUT - Roster'!$SJ$6:$SJ$206,"*"&amp;Settings!$F$14:$F$43&amp;"*"))</f>
        <v/>
      </c>
      <c r="RU15" s="170">
        <f>SUMPRODUCT((Settings!$G$14:$G$43=$B15)*COUNTIF('INPUT - Roster'!$SK$6:$SK$206,"*"&amp;Settings!$F$14:$F$43&amp;"*"))</f>
        <v/>
      </c>
      <c r="RV15" s="170">
        <f>SUMPRODUCT((Settings!$G$14:$G$43=$B15)*COUNTIF('INPUT - Roster'!$SL$6:$SL$206,"*"&amp;Settings!$F$14:$F$43&amp;"*"))</f>
        <v/>
      </c>
      <c r="RW15" s="170">
        <f>SUMPRODUCT((Settings!$G$14:$G$43=$B15)*COUNTIF('INPUT - Roster'!$SM$6:$SM$206,"*"&amp;Settings!$F$14:$F$43&amp;"*"))</f>
        <v/>
      </c>
      <c r="RX15" s="170">
        <f>SUMPRODUCT((Settings!$G$14:$G$43=$B15)*COUNTIF('INPUT - Roster'!$SN$6:$SN$206,"*"&amp;Settings!$F$14:$F$43&amp;"*"))</f>
        <v/>
      </c>
      <c r="RY15" s="170">
        <f>SUMPRODUCT((Settings!$G$14:$G$43=$B15)*COUNTIF('INPUT - Roster'!$SO$6:$SO$206,"*"&amp;Settings!$F$14:$F$43&amp;"*"))</f>
        <v/>
      </c>
      <c r="RZ15" s="170">
        <f>SUMPRODUCT((Settings!$G$14:$G$43=$B15)*COUNTIF('INPUT - Roster'!$SP$6:$SP$206,"*"&amp;Settings!$F$14:$F$43&amp;"*"))</f>
        <v/>
      </c>
      <c r="SA15" s="170">
        <f>SUMPRODUCT((Settings!$G$14:$G$43=$B15)*COUNTIF('INPUT - Roster'!$SQ$6:$SQ$206,"*"&amp;Settings!$F$14:$F$43&amp;"*"))</f>
        <v/>
      </c>
      <c r="SB15" s="170">
        <f>SUMPRODUCT((Settings!$G$14:$G$43=$B15)*COUNTIF('INPUT - Roster'!$SR$6:$SR$206,"*"&amp;Settings!$F$14:$F$43&amp;"*"))</f>
        <v/>
      </c>
      <c r="SC15" s="170">
        <f>SUMPRODUCT((Settings!$G$14:$G$43=$B15)*COUNTIF('INPUT - Roster'!$SS$6:$SS$206,"*"&amp;Settings!$F$14:$F$43&amp;"*"))</f>
        <v/>
      </c>
      <c r="SD15" s="170">
        <f>SUMPRODUCT((Settings!$G$14:$G$43=$B15)*COUNTIF('INPUT - Roster'!$ST$6:$ST$206,"*"&amp;Settings!$F$14:$F$43&amp;"*"))</f>
        <v/>
      </c>
      <c r="SE15" s="170">
        <f>SUMPRODUCT((Settings!$G$14:$G$43=$B15)*COUNTIF('INPUT - Roster'!$SU$6:$SU$206,"*"&amp;Settings!$F$14:$F$43&amp;"*"))</f>
        <v/>
      </c>
      <c r="SF15" s="170">
        <f>SUMPRODUCT((Settings!$G$14:$G$43=$B15)*COUNTIF('INPUT - Roster'!$SV$6:$SV$206,"*"&amp;Settings!$F$14:$F$43&amp;"*"))</f>
        <v/>
      </c>
    </row>
    <row r="16">
      <c r="B16" s="169" t="inlineStr">
        <is>
          <t>Oasis</t>
        </is>
      </c>
      <c r="C16" s="170">
        <f>SUMPRODUCT((Settings!$G$14:$G$43=$B16)*COUNTIF('INPUT - Roster'!$S$6:$S$206,"*"&amp;Settings!$F$14:$F$43&amp;"*"))</f>
        <v/>
      </c>
      <c r="D16" s="170">
        <f>SUMPRODUCT((Settings!$G$14:$G$43=$B16)*COUNTIF('INPUT - Roster'!$T$6:$T$206,"*"&amp;Settings!$F$14:$F$43&amp;"*"))</f>
        <v/>
      </c>
      <c r="E16" s="170">
        <f>SUMPRODUCT((Settings!$G$14:$G$43=$B16)*COUNTIF('INPUT - Roster'!$U$6:$U$206,"*"&amp;Settings!$F$14:$F$43&amp;"*"))</f>
        <v/>
      </c>
      <c r="F16" s="170">
        <f>SUMPRODUCT((Settings!$G$14:$G$43=$B16)*COUNTIF('INPUT - Roster'!$V$6:$V$206,"*"&amp;Settings!$F$14:$F$43&amp;"*"))</f>
        <v/>
      </c>
      <c r="G16" s="170">
        <f>SUMPRODUCT((Settings!$G$14:$G$43=$B16)*COUNTIF('INPUT - Roster'!$W$6:$W$206,"*"&amp;Settings!$F$14:$F$43&amp;"*"))</f>
        <v/>
      </c>
      <c r="H16" s="170">
        <f>SUMPRODUCT((Settings!$G$14:$G$43=$B16)*COUNTIF('INPUT - Roster'!$X$6:$X$206,"*"&amp;Settings!$F$14:$F$43&amp;"*"))</f>
        <v/>
      </c>
      <c r="I16" s="170">
        <f>SUMPRODUCT((Settings!$G$14:$G$43=$B16)*COUNTIF('INPUT - Roster'!$Y$6:$Y$206,"*"&amp;Settings!$F$14:$F$43&amp;"*"))</f>
        <v/>
      </c>
      <c r="J16" s="170">
        <f>SUMPRODUCT((Settings!$G$14:$G$43=$B16)*COUNTIF('INPUT - Roster'!$Z$6:$Z$206,"*"&amp;Settings!$F$14:$F$43&amp;"*"))</f>
        <v/>
      </c>
      <c r="K16" s="170">
        <f>SUMPRODUCT((Settings!$G$14:$G$43=$B16)*COUNTIF('INPUT - Roster'!$AA$6:$AA$206,"*"&amp;Settings!$F$14:$F$43&amp;"*"))</f>
        <v/>
      </c>
      <c r="L16" s="170">
        <f>SUMPRODUCT((Settings!$G$14:$G$43=$B16)*COUNTIF('INPUT - Roster'!$AB$6:$AB$206,"*"&amp;Settings!$F$14:$F$43&amp;"*"))</f>
        <v/>
      </c>
      <c r="M16" s="170">
        <f>SUMPRODUCT((Settings!$G$14:$G$43=$B16)*COUNTIF('INPUT - Roster'!$AC$6:$AC$206,"*"&amp;Settings!$F$14:$F$43&amp;"*"))</f>
        <v/>
      </c>
      <c r="N16" s="170">
        <f>SUMPRODUCT((Settings!$G$14:$G$43=$B16)*COUNTIF('INPUT - Roster'!$AD$6:$AD$206,"*"&amp;Settings!$F$14:$F$43&amp;"*"))</f>
        <v/>
      </c>
      <c r="O16" s="170">
        <f>SUMPRODUCT((Settings!$G$14:$G$43=$B16)*COUNTIF('INPUT - Roster'!$AE$6:$AE$206,"*"&amp;Settings!$F$14:$F$43&amp;"*"))</f>
        <v/>
      </c>
      <c r="P16" s="170">
        <f>SUMPRODUCT((Settings!$G$14:$G$43=$B16)*COUNTIF('INPUT - Roster'!$AF$6:$AF$206,"*"&amp;Settings!$F$14:$F$43&amp;"*"))</f>
        <v/>
      </c>
      <c r="Q16" s="170">
        <f>SUMPRODUCT((Settings!$G$14:$G$43=$B16)*COUNTIF('INPUT - Roster'!$AG$6:$AG$206,"*"&amp;Settings!$F$14:$F$43&amp;"*"))</f>
        <v/>
      </c>
      <c r="R16" s="170">
        <f>SUMPRODUCT((Settings!$G$14:$G$43=$B16)*COUNTIF('INPUT - Roster'!$AH$6:$AH$206,"*"&amp;Settings!$F$14:$F$43&amp;"*"))</f>
        <v/>
      </c>
      <c r="S16" s="170">
        <f>SUMPRODUCT((Settings!$G$14:$G$43=$B16)*COUNTIF('INPUT - Roster'!$AI$6:$AI$206,"*"&amp;Settings!$F$14:$F$43&amp;"*"))</f>
        <v/>
      </c>
      <c r="T16" s="170">
        <f>SUMPRODUCT((Settings!$G$14:$G$43=$B16)*COUNTIF('INPUT - Roster'!$AJ$6:$AJ$206,"*"&amp;Settings!$F$14:$F$43&amp;"*"))</f>
        <v/>
      </c>
      <c r="U16" s="170">
        <f>SUMPRODUCT((Settings!$G$14:$G$43=$B16)*COUNTIF('INPUT - Roster'!$AK$6:$AK$206,"*"&amp;Settings!$F$14:$F$43&amp;"*"))</f>
        <v/>
      </c>
      <c r="V16" s="170">
        <f>SUMPRODUCT((Settings!$G$14:$G$43=$B16)*COUNTIF('INPUT - Roster'!$AL$6:$AL$206,"*"&amp;Settings!$F$14:$F$43&amp;"*"))</f>
        <v/>
      </c>
      <c r="W16" s="170">
        <f>SUMPRODUCT((Settings!$G$14:$G$43=$B16)*COUNTIF('INPUT - Roster'!$AM$6:$AM$206,"*"&amp;Settings!$F$14:$F$43&amp;"*"))</f>
        <v/>
      </c>
      <c r="X16" s="170">
        <f>SUMPRODUCT((Settings!$G$14:$G$43=$B16)*COUNTIF('INPUT - Roster'!$AN$6:$AN$206,"*"&amp;Settings!$F$14:$F$43&amp;"*"))</f>
        <v/>
      </c>
      <c r="Y16" s="170">
        <f>SUMPRODUCT((Settings!$G$14:$G$43=$B16)*COUNTIF('INPUT - Roster'!$AO$6:$AO$206,"*"&amp;Settings!$F$14:$F$43&amp;"*"))</f>
        <v/>
      </c>
      <c r="Z16" s="170">
        <f>SUMPRODUCT((Settings!$G$14:$G$43=$B16)*COUNTIF('INPUT - Roster'!$AP$6:$AP$206,"*"&amp;Settings!$F$14:$F$43&amp;"*"))</f>
        <v/>
      </c>
      <c r="AA16" s="170">
        <f>SUMPRODUCT((Settings!$G$14:$G$43=$B16)*COUNTIF('INPUT - Roster'!$AQ$6:$AQ$206,"*"&amp;Settings!$F$14:$F$43&amp;"*"))</f>
        <v/>
      </c>
      <c r="AB16" s="170">
        <f>SUMPRODUCT((Settings!$G$14:$G$43=$B16)*COUNTIF('INPUT - Roster'!$AR$6:$AR$206,"*"&amp;Settings!$F$14:$F$43&amp;"*"))</f>
        <v/>
      </c>
      <c r="AC16" s="170">
        <f>SUMPRODUCT((Settings!$G$14:$G$43=$B16)*COUNTIF('INPUT - Roster'!$AS$6:$AS$206,"*"&amp;Settings!$F$14:$F$43&amp;"*"))</f>
        <v/>
      </c>
      <c r="AD16" s="170">
        <f>SUMPRODUCT((Settings!$G$14:$G$43=$B16)*COUNTIF('INPUT - Roster'!$AT$6:$AT$206,"*"&amp;Settings!$F$14:$F$43&amp;"*"))</f>
        <v/>
      </c>
      <c r="AE16" s="170">
        <f>SUMPRODUCT((Settings!$G$14:$G$43=$B16)*COUNTIF('INPUT - Roster'!$AU$6:$AU$206,"*"&amp;Settings!$F$14:$F$43&amp;"*"))</f>
        <v/>
      </c>
      <c r="AF16" s="170">
        <f>SUMPRODUCT((Settings!$G$14:$G$43=$B16)*COUNTIF('INPUT - Roster'!$AV$6:$AV$206,"*"&amp;Settings!$F$14:$F$43&amp;"*"))</f>
        <v/>
      </c>
      <c r="AG16" s="170">
        <f>SUMPRODUCT((Settings!$G$14:$G$43=$B16)*COUNTIF('INPUT - Roster'!$AW$6:$AW$206,"*"&amp;Settings!$F$14:$F$43&amp;"*"))</f>
        <v/>
      </c>
      <c r="AH16" s="170">
        <f>SUMPRODUCT((Settings!$G$14:$G$43=$B16)*COUNTIF('INPUT - Roster'!$AX$6:$AX$206,"*"&amp;Settings!$F$14:$F$43&amp;"*"))</f>
        <v/>
      </c>
      <c r="AI16" s="170">
        <f>SUMPRODUCT((Settings!$G$14:$G$43=$B16)*COUNTIF('INPUT - Roster'!$AY$6:$AY$206,"*"&amp;Settings!$F$14:$F$43&amp;"*"))</f>
        <v/>
      </c>
      <c r="AJ16" s="170">
        <f>SUMPRODUCT((Settings!$G$14:$G$43=$B16)*COUNTIF('INPUT - Roster'!$AZ$6:$AZ$206,"*"&amp;Settings!$F$14:$F$43&amp;"*"))</f>
        <v/>
      </c>
      <c r="AK16" s="170">
        <f>SUMPRODUCT((Settings!$G$14:$G$43=$B16)*COUNTIF('INPUT - Roster'!$BA$6:$BA$206,"*"&amp;Settings!$F$14:$F$43&amp;"*"))</f>
        <v/>
      </c>
      <c r="AL16" s="170">
        <f>SUMPRODUCT((Settings!$G$14:$G$43=$B16)*COUNTIF('INPUT - Roster'!$BB$6:$BB$206,"*"&amp;Settings!$F$14:$F$43&amp;"*"))</f>
        <v/>
      </c>
      <c r="AM16" s="170">
        <f>SUMPRODUCT((Settings!$G$14:$G$43=$B16)*COUNTIF('INPUT - Roster'!$BC$6:$BC$206,"*"&amp;Settings!$F$14:$F$43&amp;"*"))</f>
        <v/>
      </c>
      <c r="AN16" s="170">
        <f>SUMPRODUCT((Settings!$G$14:$G$43=$B16)*COUNTIF('INPUT - Roster'!$BD$6:$BD$206,"*"&amp;Settings!$F$14:$F$43&amp;"*"))</f>
        <v/>
      </c>
      <c r="AO16" s="170">
        <f>SUMPRODUCT((Settings!$G$14:$G$43=$B16)*COUNTIF('INPUT - Roster'!$BE$6:$BE$206,"*"&amp;Settings!$F$14:$F$43&amp;"*"))</f>
        <v/>
      </c>
      <c r="AP16" s="170">
        <f>SUMPRODUCT((Settings!$G$14:$G$43=$B16)*COUNTIF('INPUT - Roster'!$BF$6:$BF$206,"*"&amp;Settings!$F$14:$F$43&amp;"*"))</f>
        <v/>
      </c>
      <c r="AQ16" s="170">
        <f>SUMPRODUCT((Settings!$G$14:$G$43=$B16)*COUNTIF('INPUT - Roster'!$BG$6:$BG$206,"*"&amp;Settings!$F$14:$F$43&amp;"*"))</f>
        <v/>
      </c>
      <c r="AR16" s="170">
        <f>SUMPRODUCT((Settings!$G$14:$G$43=$B16)*COUNTIF('INPUT - Roster'!$BH$6:$BH$206,"*"&amp;Settings!$F$14:$F$43&amp;"*"))</f>
        <v/>
      </c>
      <c r="AS16" s="170">
        <f>SUMPRODUCT((Settings!$G$14:$G$43=$B16)*COUNTIF('INPUT - Roster'!$BI$6:$BI$206,"*"&amp;Settings!$F$14:$F$43&amp;"*"))</f>
        <v/>
      </c>
      <c r="AT16" s="170">
        <f>SUMPRODUCT((Settings!$G$14:$G$43=$B16)*COUNTIF('INPUT - Roster'!$BJ$6:$BJ$206,"*"&amp;Settings!$F$14:$F$43&amp;"*"))</f>
        <v/>
      </c>
      <c r="AU16" s="170">
        <f>SUMPRODUCT((Settings!$G$14:$G$43=$B16)*COUNTIF('INPUT - Roster'!$BK$6:$BK$206,"*"&amp;Settings!$F$14:$F$43&amp;"*"))</f>
        <v/>
      </c>
      <c r="AV16" s="170">
        <f>SUMPRODUCT((Settings!$G$14:$G$43=$B16)*COUNTIF('INPUT - Roster'!$BL$6:$BL$206,"*"&amp;Settings!$F$14:$F$43&amp;"*"))</f>
        <v/>
      </c>
      <c r="AW16" s="170">
        <f>SUMPRODUCT((Settings!$G$14:$G$43=$B16)*COUNTIF('INPUT - Roster'!$BM$6:$BM$206,"*"&amp;Settings!$F$14:$F$43&amp;"*"))</f>
        <v/>
      </c>
      <c r="AX16" s="170">
        <f>SUMPRODUCT((Settings!$G$14:$G$43=$B16)*COUNTIF('INPUT - Roster'!$BN$6:$BN$206,"*"&amp;Settings!$F$14:$F$43&amp;"*"))</f>
        <v/>
      </c>
      <c r="AY16" s="170">
        <f>SUMPRODUCT((Settings!$G$14:$G$43=$B16)*COUNTIF('INPUT - Roster'!$BO$6:$BO$206,"*"&amp;Settings!$F$14:$F$43&amp;"*"))</f>
        <v/>
      </c>
      <c r="AZ16" s="170">
        <f>SUMPRODUCT((Settings!$G$14:$G$43=$B16)*COUNTIF('INPUT - Roster'!$BP$6:$BP$206,"*"&amp;Settings!$F$14:$F$43&amp;"*"))</f>
        <v/>
      </c>
      <c r="BA16" s="170">
        <f>SUMPRODUCT((Settings!$G$14:$G$43=$B16)*COUNTIF('INPUT - Roster'!$BQ$6:$BQ$206,"*"&amp;Settings!$F$14:$F$43&amp;"*"))</f>
        <v/>
      </c>
      <c r="BB16" s="170">
        <f>SUMPRODUCT((Settings!$G$14:$G$43=$B16)*COUNTIF('INPUT - Roster'!$BR$6:$BR$206,"*"&amp;Settings!$F$14:$F$43&amp;"*"))</f>
        <v/>
      </c>
      <c r="BC16" s="170">
        <f>SUMPRODUCT((Settings!$G$14:$G$43=$B16)*COUNTIF('INPUT - Roster'!$BS$6:$BS$206,"*"&amp;Settings!$F$14:$F$43&amp;"*"))</f>
        <v/>
      </c>
      <c r="BD16" s="170">
        <f>SUMPRODUCT((Settings!$G$14:$G$43=$B16)*COUNTIF('INPUT - Roster'!$BT$6:$BT$206,"*"&amp;Settings!$F$14:$F$43&amp;"*"))</f>
        <v/>
      </c>
      <c r="BE16" s="170">
        <f>SUMPRODUCT((Settings!$G$14:$G$43=$B16)*COUNTIF('INPUT - Roster'!$BU$6:$BU$206,"*"&amp;Settings!$F$14:$F$43&amp;"*"))</f>
        <v/>
      </c>
      <c r="BF16" s="170">
        <f>SUMPRODUCT((Settings!$G$14:$G$43=$B16)*COUNTIF('INPUT - Roster'!$BV$6:$BV$206,"*"&amp;Settings!$F$14:$F$43&amp;"*"))</f>
        <v/>
      </c>
      <c r="BG16" s="170">
        <f>SUMPRODUCT((Settings!$G$14:$G$43=$B16)*COUNTIF('INPUT - Roster'!$BW$6:$BW$206,"*"&amp;Settings!$F$14:$F$43&amp;"*"))</f>
        <v/>
      </c>
      <c r="BH16" s="170">
        <f>SUMPRODUCT((Settings!$G$14:$G$43=$B16)*COUNTIF('INPUT - Roster'!$BX$6:$BX$206,"*"&amp;Settings!$F$14:$F$43&amp;"*"))</f>
        <v/>
      </c>
      <c r="BI16" s="170">
        <f>SUMPRODUCT((Settings!$G$14:$G$43=$B16)*COUNTIF('INPUT - Roster'!$BY$6:$BY$206,"*"&amp;Settings!$F$14:$F$43&amp;"*"))</f>
        <v/>
      </c>
      <c r="BJ16" s="170">
        <f>SUMPRODUCT((Settings!$G$14:$G$43=$B16)*COUNTIF('INPUT - Roster'!$BZ$6:$BZ$206,"*"&amp;Settings!$F$14:$F$43&amp;"*"))</f>
        <v/>
      </c>
      <c r="BK16" s="170">
        <f>SUMPRODUCT((Settings!$G$14:$G$43=$B16)*COUNTIF('INPUT - Roster'!$CA$6:$CA$206,"*"&amp;Settings!$F$14:$F$43&amp;"*"))</f>
        <v/>
      </c>
      <c r="BL16" s="170">
        <f>SUMPRODUCT((Settings!$G$14:$G$43=$B16)*COUNTIF('INPUT - Roster'!$CB$6:$CB$206,"*"&amp;Settings!$F$14:$F$43&amp;"*"))</f>
        <v/>
      </c>
      <c r="BM16" s="170">
        <f>SUMPRODUCT((Settings!$G$14:$G$43=$B16)*COUNTIF('INPUT - Roster'!$CC$6:$CC$206,"*"&amp;Settings!$F$14:$F$43&amp;"*"))</f>
        <v/>
      </c>
      <c r="BN16" s="170">
        <f>SUMPRODUCT((Settings!$G$14:$G$43=$B16)*COUNTIF('INPUT - Roster'!$CD$6:$CD$206,"*"&amp;Settings!$F$14:$F$43&amp;"*"))</f>
        <v/>
      </c>
      <c r="BO16" s="170">
        <f>SUMPRODUCT((Settings!$G$14:$G$43=$B16)*COUNTIF('INPUT - Roster'!$CE$6:$CE$206,"*"&amp;Settings!$F$14:$F$43&amp;"*"))</f>
        <v/>
      </c>
      <c r="BP16" s="170">
        <f>SUMPRODUCT((Settings!$G$14:$G$43=$B16)*COUNTIF('INPUT - Roster'!$CF$6:$CF$206,"*"&amp;Settings!$F$14:$F$43&amp;"*"))</f>
        <v/>
      </c>
      <c r="BQ16" s="170">
        <f>SUMPRODUCT((Settings!$G$14:$G$43=$B16)*COUNTIF('INPUT - Roster'!$CG$6:$CG$206,"*"&amp;Settings!$F$14:$F$43&amp;"*"))</f>
        <v/>
      </c>
      <c r="BR16" s="170">
        <f>SUMPRODUCT((Settings!$G$14:$G$43=$B16)*COUNTIF('INPUT - Roster'!$CH$6:$CH$206,"*"&amp;Settings!$F$14:$F$43&amp;"*"))</f>
        <v/>
      </c>
      <c r="BS16" s="170">
        <f>SUMPRODUCT((Settings!$G$14:$G$43=$B16)*COUNTIF('INPUT - Roster'!$CI$6:$CI$206,"*"&amp;Settings!$F$14:$F$43&amp;"*"))</f>
        <v/>
      </c>
      <c r="BT16" s="170">
        <f>SUMPRODUCT((Settings!$G$14:$G$43=$B16)*COUNTIF('INPUT - Roster'!$CJ$6:$CJ$206,"*"&amp;Settings!$F$14:$F$43&amp;"*"))</f>
        <v/>
      </c>
      <c r="BU16" s="170">
        <f>SUMPRODUCT((Settings!$G$14:$G$43=$B16)*COUNTIF('INPUT - Roster'!$CK$6:$CK$206,"*"&amp;Settings!$F$14:$F$43&amp;"*"))</f>
        <v/>
      </c>
      <c r="BV16" s="170">
        <f>SUMPRODUCT((Settings!$G$14:$G$43=$B16)*COUNTIF('INPUT - Roster'!$CL$6:$CL$206,"*"&amp;Settings!$F$14:$F$43&amp;"*"))</f>
        <v/>
      </c>
      <c r="BW16" s="170">
        <f>SUMPRODUCT((Settings!$G$14:$G$43=$B16)*COUNTIF('INPUT - Roster'!$CM$6:$CM$206,"*"&amp;Settings!$F$14:$F$43&amp;"*"))</f>
        <v/>
      </c>
      <c r="BX16" s="170">
        <f>SUMPRODUCT((Settings!$G$14:$G$43=$B16)*COUNTIF('INPUT - Roster'!$CN$6:$CN$206,"*"&amp;Settings!$F$14:$F$43&amp;"*"))</f>
        <v/>
      </c>
      <c r="BY16" s="170">
        <f>SUMPRODUCT((Settings!$G$14:$G$43=$B16)*COUNTIF('INPUT - Roster'!$CO$6:$CO$206,"*"&amp;Settings!$F$14:$F$43&amp;"*"))</f>
        <v/>
      </c>
      <c r="BZ16" s="170">
        <f>SUMPRODUCT((Settings!$G$14:$G$43=$B16)*COUNTIF('INPUT - Roster'!$CP$6:$CP$206,"*"&amp;Settings!$F$14:$F$43&amp;"*"))</f>
        <v/>
      </c>
      <c r="CA16" s="170">
        <f>SUMPRODUCT((Settings!$G$14:$G$43=$B16)*COUNTIF('INPUT - Roster'!$CQ$6:$CQ$206,"*"&amp;Settings!$F$14:$F$43&amp;"*"))</f>
        <v/>
      </c>
      <c r="CB16" s="170">
        <f>SUMPRODUCT((Settings!$G$14:$G$43=$B16)*COUNTIF('INPUT - Roster'!$CR$6:$CR$206,"*"&amp;Settings!$F$14:$F$43&amp;"*"))</f>
        <v/>
      </c>
      <c r="CC16" s="170">
        <f>SUMPRODUCT((Settings!$G$14:$G$43=$B16)*COUNTIF('INPUT - Roster'!$CS$6:$CS$206,"*"&amp;Settings!$F$14:$F$43&amp;"*"))</f>
        <v/>
      </c>
      <c r="CD16" s="170">
        <f>SUMPRODUCT((Settings!$G$14:$G$43=$B16)*COUNTIF('INPUT - Roster'!$CT$6:$CT$206,"*"&amp;Settings!$F$14:$F$43&amp;"*"))</f>
        <v/>
      </c>
      <c r="CE16" s="170">
        <f>SUMPRODUCT((Settings!$G$14:$G$43=$B16)*COUNTIF('INPUT - Roster'!$CU$6:$CU$206,"*"&amp;Settings!$F$14:$F$43&amp;"*"))</f>
        <v/>
      </c>
      <c r="CF16" s="170">
        <f>SUMPRODUCT((Settings!$G$14:$G$43=$B16)*COUNTIF('INPUT - Roster'!$CV$6:$CV$206,"*"&amp;Settings!$F$14:$F$43&amp;"*"))</f>
        <v/>
      </c>
      <c r="CG16" s="170">
        <f>SUMPRODUCT((Settings!$G$14:$G$43=$B16)*COUNTIF('INPUT - Roster'!$CW$6:$CW$206,"*"&amp;Settings!$F$14:$F$43&amp;"*"))</f>
        <v/>
      </c>
      <c r="CH16" s="170">
        <f>SUMPRODUCT((Settings!$G$14:$G$43=$B16)*COUNTIF('INPUT - Roster'!$CX$6:$CX$206,"*"&amp;Settings!$F$14:$F$43&amp;"*"))</f>
        <v/>
      </c>
      <c r="CI16" s="170">
        <f>SUMPRODUCT((Settings!$G$14:$G$43=$B16)*COUNTIF('INPUT - Roster'!$CY$6:$CY$206,"*"&amp;Settings!$F$14:$F$43&amp;"*"))</f>
        <v/>
      </c>
      <c r="CJ16" s="170">
        <f>SUMPRODUCT((Settings!$G$14:$G$43=$B16)*COUNTIF('INPUT - Roster'!$CZ$6:$CZ$206,"*"&amp;Settings!$F$14:$F$43&amp;"*"))</f>
        <v/>
      </c>
      <c r="CK16" s="170">
        <f>SUMPRODUCT((Settings!$G$14:$G$43=$B16)*COUNTIF('INPUT - Roster'!$DA$6:$DA$206,"*"&amp;Settings!$F$14:$F$43&amp;"*"))</f>
        <v/>
      </c>
      <c r="CL16" s="170">
        <f>SUMPRODUCT((Settings!$G$14:$G$43=$B16)*COUNTIF('INPUT - Roster'!$DB$6:$DB$206,"*"&amp;Settings!$F$14:$F$43&amp;"*"))</f>
        <v/>
      </c>
      <c r="CM16" s="170">
        <f>SUMPRODUCT((Settings!$G$14:$G$43=$B16)*COUNTIF('INPUT - Roster'!$DC$6:$DC$206,"*"&amp;Settings!$F$14:$F$43&amp;"*"))</f>
        <v/>
      </c>
      <c r="CN16" s="170">
        <f>SUMPRODUCT((Settings!$G$14:$G$43=$B16)*COUNTIF('INPUT - Roster'!$DD$6:$DD$206,"*"&amp;Settings!$F$14:$F$43&amp;"*"))</f>
        <v/>
      </c>
      <c r="CO16" s="170">
        <f>SUMPRODUCT((Settings!$G$14:$G$43=$B16)*COUNTIF('INPUT - Roster'!$DE$6:$DE$206,"*"&amp;Settings!$F$14:$F$43&amp;"*"))</f>
        <v/>
      </c>
      <c r="CP16" s="170">
        <f>SUMPRODUCT((Settings!$G$14:$G$43=$B16)*COUNTIF('INPUT - Roster'!$DF$6:$DF$206,"*"&amp;Settings!$F$14:$F$43&amp;"*"))</f>
        <v/>
      </c>
      <c r="CQ16" s="170">
        <f>SUMPRODUCT((Settings!$G$14:$G$43=$B16)*COUNTIF('INPUT - Roster'!$DG$6:$DG$206,"*"&amp;Settings!$F$14:$F$43&amp;"*"))</f>
        <v/>
      </c>
      <c r="CR16" s="170">
        <f>SUMPRODUCT((Settings!$G$14:$G$43=$B16)*COUNTIF('INPUT - Roster'!$DH$6:$DH$206,"*"&amp;Settings!$F$14:$F$43&amp;"*"))</f>
        <v/>
      </c>
      <c r="CS16" s="170">
        <f>SUMPRODUCT((Settings!$G$14:$G$43=$B16)*COUNTIF('INPUT - Roster'!$DI$6:$DI$206,"*"&amp;Settings!$F$14:$F$43&amp;"*"))</f>
        <v/>
      </c>
      <c r="CT16" s="170">
        <f>SUMPRODUCT((Settings!$G$14:$G$43=$B16)*COUNTIF('INPUT - Roster'!$DJ$6:$DJ$206,"*"&amp;Settings!$F$14:$F$43&amp;"*"))</f>
        <v/>
      </c>
      <c r="CU16" s="170">
        <f>SUMPRODUCT((Settings!$G$14:$G$43=$B16)*COUNTIF('INPUT - Roster'!$DK$6:$DK$206,"*"&amp;Settings!$F$14:$F$43&amp;"*"))</f>
        <v/>
      </c>
      <c r="CV16" s="170">
        <f>SUMPRODUCT((Settings!$G$14:$G$43=$B16)*COUNTIF('INPUT - Roster'!$DL$6:$DL$206,"*"&amp;Settings!$F$14:$F$43&amp;"*"))</f>
        <v/>
      </c>
      <c r="CW16" s="170">
        <f>SUMPRODUCT((Settings!$G$14:$G$43=$B16)*COUNTIF('INPUT - Roster'!$DM$6:$DM$206,"*"&amp;Settings!$F$14:$F$43&amp;"*"))</f>
        <v/>
      </c>
      <c r="CX16" s="170">
        <f>SUMPRODUCT((Settings!$G$14:$G$43=$B16)*COUNTIF('INPUT - Roster'!$DN$6:$DN$206,"*"&amp;Settings!$F$14:$F$43&amp;"*"))</f>
        <v/>
      </c>
      <c r="CY16" s="170">
        <f>SUMPRODUCT((Settings!$G$14:$G$43=$B16)*COUNTIF('INPUT - Roster'!$DO$6:$DO$206,"*"&amp;Settings!$F$14:$F$43&amp;"*"))</f>
        <v/>
      </c>
      <c r="CZ16" s="170">
        <f>SUMPRODUCT((Settings!$G$14:$G$43=$B16)*COUNTIF('INPUT - Roster'!$DP$6:$DP$206,"*"&amp;Settings!$F$14:$F$43&amp;"*"))</f>
        <v/>
      </c>
      <c r="DA16" s="170">
        <f>SUMPRODUCT((Settings!$G$14:$G$43=$B16)*COUNTIF('INPUT - Roster'!$DQ$6:$DQ$206,"*"&amp;Settings!$F$14:$F$43&amp;"*"))</f>
        <v/>
      </c>
      <c r="DB16" s="170">
        <f>SUMPRODUCT((Settings!$G$14:$G$43=$B16)*COUNTIF('INPUT - Roster'!$DR$6:$DR$206,"*"&amp;Settings!$F$14:$F$43&amp;"*"))</f>
        <v/>
      </c>
      <c r="DC16" s="170">
        <f>SUMPRODUCT((Settings!$G$14:$G$43=$B16)*COUNTIF('INPUT - Roster'!$DS$6:$DS$206,"*"&amp;Settings!$F$14:$F$43&amp;"*"))</f>
        <v/>
      </c>
      <c r="DD16" s="170">
        <f>SUMPRODUCT((Settings!$G$14:$G$43=$B16)*COUNTIF('INPUT - Roster'!$DT$6:$DT$206,"*"&amp;Settings!$F$14:$F$43&amp;"*"))</f>
        <v/>
      </c>
      <c r="DE16" s="170">
        <f>SUMPRODUCT((Settings!$G$14:$G$43=$B16)*COUNTIF('INPUT - Roster'!$DU$6:$DU$206,"*"&amp;Settings!$F$14:$F$43&amp;"*"))</f>
        <v/>
      </c>
      <c r="DF16" s="170">
        <f>SUMPRODUCT((Settings!$G$14:$G$43=$B16)*COUNTIF('INPUT - Roster'!$DV$6:$DV$206,"*"&amp;Settings!$F$14:$F$43&amp;"*"))</f>
        <v/>
      </c>
      <c r="DG16" s="170">
        <f>SUMPRODUCT((Settings!$G$14:$G$43=$B16)*COUNTIF('INPUT - Roster'!$DW$6:$DW$206,"*"&amp;Settings!$F$14:$F$43&amp;"*"))</f>
        <v/>
      </c>
      <c r="DH16" s="170">
        <f>SUMPRODUCT((Settings!$G$14:$G$43=$B16)*COUNTIF('INPUT - Roster'!$DX$6:$DX$206,"*"&amp;Settings!$F$14:$F$43&amp;"*"))</f>
        <v/>
      </c>
      <c r="DI16" s="170">
        <f>SUMPRODUCT((Settings!$G$14:$G$43=$B16)*COUNTIF('INPUT - Roster'!$DY$6:$DY$206,"*"&amp;Settings!$F$14:$F$43&amp;"*"))</f>
        <v/>
      </c>
      <c r="DJ16" s="170">
        <f>SUMPRODUCT((Settings!$G$14:$G$43=$B16)*COUNTIF('INPUT - Roster'!$DZ$6:$DZ$206,"*"&amp;Settings!$F$14:$F$43&amp;"*"))</f>
        <v/>
      </c>
      <c r="DK16" s="170">
        <f>SUMPRODUCT((Settings!$G$14:$G$43=$B16)*COUNTIF('INPUT - Roster'!$EA$6:$EA$206,"*"&amp;Settings!$F$14:$F$43&amp;"*"))</f>
        <v/>
      </c>
      <c r="DL16" s="170">
        <f>SUMPRODUCT((Settings!$G$14:$G$43=$B16)*COUNTIF('INPUT - Roster'!$EB$6:$EB$206,"*"&amp;Settings!$F$14:$F$43&amp;"*"))</f>
        <v/>
      </c>
      <c r="DM16" s="170">
        <f>SUMPRODUCT((Settings!$G$14:$G$43=$B16)*COUNTIF('INPUT - Roster'!$EC$6:$EC$206,"*"&amp;Settings!$F$14:$F$43&amp;"*"))</f>
        <v/>
      </c>
      <c r="DN16" s="170">
        <f>SUMPRODUCT((Settings!$G$14:$G$43=$B16)*COUNTIF('INPUT - Roster'!$ED$6:$ED$206,"*"&amp;Settings!$F$14:$F$43&amp;"*"))</f>
        <v/>
      </c>
      <c r="DO16" s="170">
        <f>SUMPRODUCT((Settings!$G$14:$G$43=$B16)*COUNTIF('INPUT - Roster'!$EE$6:$EE$206,"*"&amp;Settings!$F$14:$F$43&amp;"*"))</f>
        <v/>
      </c>
      <c r="DP16" s="170">
        <f>SUMPRODUCT((Settings!$G$14:$G$43=$B16)*COUNTIF('INPUT - Roster'!$EF$6:$EF$206,"*"&amp;Settings!$F$14:$F$43&amp;"*"))</f>
        <v/>
      </c>
      <c r="DQ16" s="170">
        <f>SUMPRODUCT((Settings!$G$14:$G$43=$B16)*COUNTIF('INPUT - Roster'!$EG$6:$EG$206,"*"&amp;Settings!$F$14:$F$43&amp;"*"))</f>
        <v/>
      </c>
      <c r="DR16" s="170">
        <f>SUMPRODUCT((Settings!$G$14:$G$43=$B16)*COUNTIF('INPUT - Roster'!$EH$6:$EH$206,"*"&amp;Settings!$F$14:$F$43&amp;"*"))</f>
        <v/>
      </c>
      <c r="DS16" s="170">
        <f>SUMPRODUCT((Settings!$G$14:$G$43=$B16)*COUNTIF('INPUT - Roster'!$EI$6:$EI$206,"*"&amp;Settings!$F$14:$F$43&amp;"*"))</f>
        <v/>
      </c>
      <c r="DT16" s="170">
        <f>SUMPRODUCT((Settings!$G$14:$G$43=$B16)*COUNTIF('INPUT - Roster'!$EJ$6:$EJ$206,"*"&amp;Settings!$F$14:$F$43&amp;"*"))</f>
        <v/>
      </c>
      <c r="DU16" s="170">
        <f>SUMPRODUCT((Settings!$G$14:$G$43=$B16)*COUNTIF('INPUT - Roster'!$EK$6:$EK$206,"*"&amp;Settings!$F$14:$F$43&amp;"*"))</f>
        <v/>
      </c>
      <c r="DV16" s="170">
        <f>SUMPRODUCT((Settings!$G$14:$G$43=$B16)*COUNTIF('INPUT - Roster'!$EL$6:$EL$206,"*"&amp;Settings!$F$14:$F$43&amp;"*"))</f>
        <v/>
      </c>
      <c r="DW16" s="170">
        <f>SUMPRODUCT((Settings!$G$14:$G$43=$B16)*COUNTIF('INPUT - Roster'!$EM$6:$EM$206,"*"&amp;Settings!$F$14:$F$43&amp;"*"))</f>
        <v/>
      </c>
      <c r="DX16" s="170">
        <f>SUMPRODUCT((Settings!$G$14:$G$43=$B16)*COUNTIF('INPUT - Roster'!$EN$6:$EN$206,"*"&amp;Settings!$F$14:$F$43&amp;"*"))</f>
        <v/>
      </c>
      <c r="DY16" s="170">
        <f>SUMPRODUCT((Settings!$G$14:$G$43=$B16)*COUNTIF('INPUT - Roster'!$EO$6:$EO$206,"*"&amp;Settings!$F$14:$F$43&amp;"*"))</f>
        <v/>
      </c>
      <c r="DZ16" s="170">
        <f>SUMPRODUCT((Settings!$G$14:$G$43=$B16)*COUNTIF('INPUT - Roster'!$EP$6:$EP$206,"*"&amp;Settings!$F$14:$F$43&amp;"*"))</f>
        <v/>
      </c>
      <c r="EA16" s="170">
        <f>SUMPRODUCT((Settings!$G$14:$G$43=$B16)*COUNTIF('INPUT - Roster'!$EQ$6:$EQ$206,"*"&amp;Settings!$F$14:$F$43&amp;"*"))</f>
        <v/>
      </c>
      <c r="EB16" s="170">
        <f>SUMPRODUCT((Settings!$G$14:$G$43=$B16)*COUNTIF('INPUT - Roster'!$ER$6:$ER$206,"*"&amp;Settings!$F$14:$F$43&amp;"*"))</f>
        <v/>
      </c>
      <c r="EC16" s="170">
        <f>SUMPRODUCT((Settings!$G$14:$G$43=$B16)*COUNTIF('INPUT - Roster'!$ES$6:$ES$206,"*"&amp;Settings!$F$14:$F$43&amp;"*"))</f>
        <v/>
      </c>
      <c r="ED16" s="170">
        <f>SUMPRODUCT((Settings!$G$14:$G$43=$B16)*COUNTIF('INPUT - Roster'!$ET$6:$ET$206,"*"&amp;Settings!$F$14:$F$43&amp;"*"))</f>
        <v/>
      </c>
      <c r="EE16" s="170">
        <f>SUMPRODUCT((Settings!$G$14:$G$43=$B16)*COUNTIF('INPUT - Roster'!$EU$6:$EU$206,"*"&amp;Settings!$F$14:$F$43&amp;"*"))</f>
        <v/>
      </c>
      <c r="EF16" s="170">
        <f>SUMPRODUCT((Settings!$G$14:$G$43=$B16)*COUNTIF('INPUT - Roster'!$EV$6:$EV$206,"*"&amp;Settings!$F$14:$F$43&amp;"*"))</f>
        <v/>
      </c>
      <c r="EG16" s="170">
        <f>SUMPRODUCT((Settings!$G$14:$G$43=$B16)*COUNTIF('INPUT - Roster'!$EW$6:$EW$206,"*"&amp;Settings!$F$14:$F$43&amp;"*"))</f>
        <v/>
      </c>
      <c r="EH16" s="170">
        <f>SUMPRODUCT((Settings!$G$14:$G$43=$B16)*COUNTIF('INPUT - Roster'!$EX$6:$EX$206,"*"&amp;Settings!$F$14:$F$43&amp;"*"))</f>
        <v/>
      </c>
      <c r="EI16" s="170">
        <f>SUMPRODUCT((Settings!$G$14:$G$43=$B16)*COUNTIF('INPUT - Roster'!$EY$6:$EY$206,"*"&amp;Settings!$F$14:$F$43&amp;"*"))</f>
        <v/>
      </c>
      <c r="EJ16" s="170">
        <f>SUMPRODUCT((Settings!$G$14:$G$43=$B16)*COUNTIF('INPUT - Roster'!$EZ$6:$EZ$206,"*"&amp;Settings!$F$14:$F$43&amp;"*"))</f>
        <v/>
      </c>
      <c r="EK16" s="170">
        <f>SUMPRODUCT((Settings!$G$14:$G$43=$B16)*COUNTIF('INPUT - Roster'!$FA$6:$FA$206,"*"&amp;Settings!$F$14:$F$43&amp;"*"))</f>
        <v/>
      </c>
      <c r="EL16" s="170">
        <f>SUMPRODUCT((Settings!$G$14:$G$43=$B16)*COUNTIF('INPUT - Roster'!$FB$6:$FB$206,"*"&amp;Settings!$F$14:$F$43&amp;"*"))</f>
        <v/>
      </c>
      <c r="EM16" s="170">
        <f>SUMPRODUCT((Settings!$G$14:$G$43=$B16)*COUNTIF('INPUT - Roster'!$FC$6:$FC$206,"*"&amp;Settings!$F$14:$F$43&amp;"*"))</f>
        <v/>
      </c>
      <c r="EN16" s="170">
        <f>SUMPRODUCT((Settings!$G$14:$G$43=$B16)*COUNTIF('INPUT - Roster'!$FD$6:$FD$206,"*"&amp;Settings!$F$14:$F$43&amp;"*"))</f>
        <v/>
      </c>
      <c r="EO16" s="170">
        <f>SUMPRODUCT((Settings!$G$14:$G$43=$B16)*COUNTIF('INPUT - Roster'!$FE$6:$FE$206,"*"&amp;Settings!$F$14:$F$43&amp;"*"))</f>
        <v/>
      </c>
      <c r="EP16" s="170">
        <f>SUMPRODUCT((Settings!$G$14:$G$43=$B16)*COUNTIF('INPUT - Roster'!$FF$6:$FF$206,"*"&amp;Settings!$F$14:$F$43&amp;"*"))</f>
        <v/>
      </c>
      <c r="EQ16" s="170">
        <f>SUMPRODUCT((Settings!$G$14:$G$43=$B16)*COUNTIF('INPUT - Roster'!$FG$6:$FG$206,"*"&amp;Settings!$F$14:$F$43&amp;"*"))</f>
        <v/>
      </c>
      <c r="ER16" s="170">
        <f>SUMPRODUCT((Settings!$G$14:$G$43=$B16)*COUNTIF('INPUT - Roster'!$FH$6:$FH$206,"*"&amp;Settings!$F$14:$F$43&amp;"*"))</f>
        <v/>
      </c>
      <c r="ES16" s="170">
        <f>SUMPRODUCT((Settings!$G$14:$G$43=$B16)*COUNTIF('INPUT - Roster'!$FI$6:$FI$206,"*"&amp;Settings!$F$14:$F$43&amp;"*"))</f>
        <v/>
      </c>
      <c r="ET16" s="170">
        <f>SUMPRODUCT((Settings!$G$14:$G$43=$B16)*COUNTIF('INPUT - Roster'!$FJ$6:$FJ$206,"*"&amp;Settings!$F$14:$F$43&amp;"*"))</f>
        <v/>
      </c>
      <c r="EU16" s="170">
        <f>SUMPRODUCT((Settings!$G$14:$G$43=$B16)*COUNTIF('INPUT - Roster'!$FK$6:$FK$206,"*"&amp;Settings!$F$14:$F$43&amp;"*"))</f>
        <v/>
      </c>
      <c r="EV16" s="170">
        <f>SUMPRODUCT((Settings!$G$14:$G$43=$B16)*COUNTIF('INPUT - Roster'!$FL$6:$FL$206,"*"&amp;Settings!$F$14:$F$43&amp;"*"))</f>
        <v/>
      </c>
      <c r="EW16" s="170">
        <f>SUMPRODUCT((Settings!$G$14:$G$43=$B16)*COUNTIF('INPUT - Roster'!$FM$6:$FM$206,"*"&amp;Settings!$F$14:$F$43&amp;"*"))</f>
        <v/>
      </c>
      <c r="EX16" s="170">
        <f>SUMPRODUCT((Settings!$G$14:$G$43=$B16)*COUNTIF('INPUT - Roster'!$FN$6:$FN$206,"*"&amp;Settings!$F$14:$F$43&amp;"*"))</f>
        <v/>
      </c>
      <c r="EY16" s="170">
        <f>SUMPRODUCT((Settings!$G$14:$G$43=$B16)*COUNTIF('INPUT - Roster'!$FO$6:$FO$206,"*"&amp;Settings!$F$14:$F$43&amp;"*"))</f>
        <v/>
      </c>
      <c r="EZ16" s="170">
        <f>SUMPRODUCT((Settings!$G$14:$G$43=$B16)*COUNTIF('INPUT - Roster'!$FP$6:$FP$206,"*"&amp;Settings!$F$14:$F$43&amp;"*"))</f>
        <v/>
      </c>
      <c r="FA16" s="170">
        <f>SUMPRODUCT((Settings!$G$14:$G$43=$B16)*COUNTIF('INPUT - Roster'!$FQ$6:$FQ$206,"*"&amp;Settings!$F$14:$F$43&amp;"*"))</f>
        <v/>
      </c>
      <c r="FB16" s="170">
        <f>SUMPRODUCT((Settings!$G$14:$G$43=$B16)*COUNTIF('INPUT - Roster'!$FR$6:$FR$206,"*"&amp;Settings!$F$14:$F$43&amp;"*"))</f>
        <v/>
      </c>
      <c r="FC16" s="170">
        <f>SUMPRODUCT((Settings!$G$14:$G$43=$B16)*COUNTIF('INPUT - Roster'!$FS$6:$FS$206,"*"&amp;Settings!$F$14:$F$43&amp;"*"))</f>
        <v/>
      </c>
      <c r="FD16" s="170">
        <f>SUMPRODUCT((Settings!$G$14:$G$43=$B16)*COUNTIF('INPUT - Roster'!$FT$6:$FT$206,"*"&amp;Settings!$F$14:$F$43&amp;"*"))</f>
        <v/>
      </c>
      <c r="FE16" s="170">
        <f>SUMPRODUCT((Settings!$G$14:$G$43=$B16)*COUNTIF('INPUT - Roster'!$FU$6:$FU$206,"*"&amp;Settings!$F$14:$F$43&amp;"*"))</f>
        <v/>
      </c>
      <c r="FF16" s="170">
        <f>SUMPRODUCT((Settings!$G$14:$G$43=$B16)*COUNTIF('INPUT - Roster'!$FV$6:$FV$206,"*"&amp;Settings!$F$14:$F$43&amp;"*"))</f>
        <v/>
      </c>
      <c r="FG16" s="170">
        <f>SUMPRODUCT((Settings!$G$14:$G$43=$B16)*COUNTIF('INPUT - Roster'!$FW$6:$FW$206,"*"&amp;Settings!$F$14:$F$43&amp;"*"))</f>
        <v/>
      </c>
      <c r="FH16" s="170">
        <f>SUMPRODUCT((Settings!$G$14:$G$43=$B16)*COUNTIF('INPUT - Roster'!$FX$6:$FX$206,"*"&amp;Settings!$F$14:$F$43&amp;"*"))</f>
        <v/>
      </c>
      <c r="FI16" s="170">
        <f>SUMPRODUCT((Settings!$G$14:$G$43=$B16)*COUNTIF('INPUT - Roster'!$FY$6:$FY$206,"*"&amp;Settings!$F$14:$F$43&amp;"*"))</f>
        <v/>
      </c>
      <c r="FJ16" s="170">
        <f>SUMPRODUCT((Settings!$G$14:$G$43=$B16)*COUNTIF('INPUT - Roster'!$FZ$6:$FZ$206,"*"&amp;Settings!$F$14:$F$43&amp;"*"))</f>
        <v/>
      </c>
      <c r="FK16" s="170">
        <f>SUMPRODUCT((Settings!$G$14:$G$43=$B16)*COUNTIF('INPUT - Roster'!$GA$6:$GA$206,"*"&amp;Settings!$F$14:$F$43&amp;"*"))</f>
        <v/>
      </c>
      <c r="FL16" s="170">
        <f>SUMPRODUCT((Settings!$G$14:$G$43=$B16)*COUNTIF('INPUT - Roster'!$GB$6:$GB$206,"*"&amp;Settings!$F$14:$F$43&amp;"*"))</f>
        <v/>
      </c>
      <c r="FM16" s="170">
        <f>SUMPRODUCT((Settings!$G$14:$G$43=$B16)*COUNTIF('INPUT - Roster'!$GC$6:$GC$206,"*"&amp;Settings!$F$14:$F$43&amp;"*"))</f>
        <v/>
      </c>
      <c r="FN16" s="170">
        <f>SUMPRODUCT((Settings!$G$14:$G$43=$B16)*COUNTIF('INPUT - Roster'!$GD$6:$GD$206,"*"&amp;Settings!$F$14:$F$43&amp;"*"))</f>
        <v/>
      </c>
      <c r="FO16" s="170">
        <f>SUMPRODUCT((Settings!$G$14:$G$43=$B16)*COUNTIF('INPUT - Roster'!$GE$6:$GE$206,"*"&amp;Settings!$F$14:$F$43&amp;"*"))</f>
        <v/>
      </c>
      <c r="FP16" s="170">
        <f>SUMPRODUCT((Settings!$G$14:$G$43=$B16)*COUNTIF('INPUT - Roster'!$GF$6:$GF$206,"*"&amp;Settings!$F$14:$F$43&amp;"*"))</f>
        <v/>
      </c>
      <c r="FQ16" s="170">
        <f>SUMPRODUCT((Settings!$G$14:$G$43=$B16)*COUNTIF('INPUT - Roster'!$GG$6:$GG$206,"*"&amp;Settings!$F$14:$F$43&amp;"*"))</f>
        <v/>
      </c>
      <c r="FR16" s="170">
        <f>SUMPRODUCT((Settings!$G$14:$G$43=$B16)*COUNTIF('INPUT - Roster'!$GH$6:$GH$206,"*"&amp;Settings!$F$14:$F$43&amp;"*"))</f>
        <v/>
      </c>
      <c r="FS16" s="170">
        <f>SUMPRODUCT((Settings!$G$14:$G$43=$B16)*COUNTIF('INPUT - Roster'!$GI$6:$GI$206,"*"&amp;Settings!$F$14:$F$43&amp;"*"))</f>
        <v/>
      </c>
      <c r="FT16" s="170">
        <f>SUMPRODUCT((Settings!$G$14:$G$43=$B16)*COUNTIF('INPUT - Roster'!$GJ$6:$GJ$206,"*"&amp;Settings!$F$14:$F$43&amp;"*"))</f>
        <v/>
      </c>
      <c r="FU16" s="170">
        <f>SUMPRODUCT((Settings!$G$14:$G$43=$B16)*COUNTIF('INPUT - Roster'!$GK$6:$GK$206,"*"&amp;Settings!$F$14:$F$43&amp;"*"))</f>
        <v/>
      </c>
      <c r="FV16" s="170">
        <f>SUMPRODUCT((Settings!$G$14:$G$43=$B16)*COUNTIF('INPUT - Roster'!$GL$6:$GL$206,"*"&amp;Settings!$F$14:$F$43&amp;"*"))</f>
        <v/>
      </c>
      <c r="FW16" s="170">
        <f>SUMPRODUCT((Settings!$G$14:$G$43=$B16)*COUNTIF('INPUT - Roster'!$GM$6:$GM$206,"*"&amp;Settings!$F$14:$F$43&amp;"*"))</f>
        <v/>
      </c>
      <c r="FX16" s="170">
        <f>SUMPRODUCT((Settings!$G$14:$G$43=$B16)*COUNTIF('INPUT - Roster'!$GN$6:$GN$206,"*"&amp;Settings!$F$14:$F$43&amp;"*"))</f>
        <v/>
      </c>
      <c r="FY16" s="170">
        <f>SUMPRODUCT((Settings!$G$14:$G$43=$B16)*COUNTIF('INPUT - Roster'!$GO$6:$GO$206,"*"&amp;Settings!$F$14:$F$43&amp;"*"))</f>
        <v/>
      </c>
      <c r="FZ16" s="170">
        <f>SUMPRODUCT((Settings!$G$14:$G$43=$B16)*COUNTIF('INPUT - Roster'!$GP$6:$GP$206,"*"&amp;Settings!$F$14:$F$43&amp;"*"))</f>
        <v/>
      </c>
      <c r="GA16" s="170">
        <f>SUMPRODUCT((Settings!$G$14:$G$43=$B16)*COUNTIF('INPUT - Roster'!$GQ$6:$GQ$206,"*"&amp;Settings!$F$14:$F$43&amp;"*"))</f>
        <v/>
      </c>
      <c r="GB16" s="170">
        <f>SUMPRODUCT((Settings!$G$14:$G$43=$B16)*COUNTIF('INPUT - Roster'!$GR$6:$GR$206,"*"&amp;Settings!$F$14:$F$43&amp;"*"))</f>
        <v/>
      </c>
      <c r="GC16" s="170">
        <f>SUMPRODUCT((Settings!$G$14:$G$43=$B16)*COUNTIF('INPUT - Roster'!$GS$6:$GS$206,"*"&amp;Settings!$F$14:$F$43&amp;"*"))</f>
        <v/>
      </c>
      <c r="GD16" s="170">
        <f>SUMPRODUCT((Settings!$G$14:$G$43=$B16)*COUNTIF('INPUT - Roster'!$GT$6:$GT$206,"*"&amp;Settings!$F$14:$F$43&amp;"*"))</f>
        <v/>
      </c>
      <c r="GE16" s="170">
        <f>SUMPRODUCT((Settings!$G$14:$G$43=$B16)*COUNTIF('INPUT - Roster'!$GU$6:$GU$206,"*"&amp;Settings!$F$14:$F$43&amp;"*"))</f>
        <v/>
      </c>
      <c r="GF16" s="170">
        <f>SUMPRODUCT((Settings!$G$14:$G$43=$B16)*COUNTIF('INPUT - Roster'!$GV$6:$GV$206,"*"&amp;Settings!$F$14:$F$43&amp;"*"))</f>
        <v/>
      </c>
      <c r="GG16" s="170">
        <f>SUMPRODUCT((Settings!$G$14:$G$43=$B16)*COUNTIF('INPUT - Roster'!$GW$6:$GW$206,"*"&amp;Settings!$F$14:$F$43&amp;"*"))</f>
        <v/>
      </c>
      <c r="GH16" s="170">
        <f>SUMPRODUCT((Settings!$G$14:$G$43=$B16)*COUNTIF('INPUT - Roster'!$GX$6:$GX$206,"*"&amp;Settings!$F$14:$F$43&amp;"*"))</f>
        <v/>
      </c>
      <c r="GI16" s="170">
        <f>SUMPRODUCT((Settings!$G$14:$G$43=$B16)*COUNTIF('INPUT - Roster'!$GY$6:$GY$206,"*"&amp;Settings!$F$14:$F$43&amp;"*"))</f>
        <v/>
      </c>
      <c r="GJ16" s="170">
        <f>SUMPRODUCT((Settings!$G$14:$G$43=$B16)*COUNTIF('INPUT - Roster'!$GZ$6:$GZ$206,"*"&amp;Settings!$F$14:$F$43&amp;"*"))</f>
        <v/>
      </c>
      <c r="GK16" s="170">
        <f>SUMPRODUCT((Settings!$G$14:$G$43=$B16)*COUNTIF('INPUT - Roster'!$HA$6:$HA$206,"*"&amp;Settings!$F$14:$F$43&amp;"*"))</f>
        <v/>
      </c>
      <c r="GL16" s="170">
        <f>SUMPRODUCT((Settings!$G$14:$G$43=$B16)*COUNTIF('INPUT - Roster'!$HB$6:$HB$206,"*"&amp;Settings!$F$14:$F$43&amp;"*"))</f>
        <v/>
      </c>
      <c r="GM16" s="170">
        <f>SUMPRODUCT((Settings!$G$14:$G$43=$B16)*COUNTIF('INPUT - Roster'!$HC$6:$HC$206,"*"&amp;Settings!$F$14:$F$43&amp;"*"))</f>
        <v/>
      </c>
      <c r="GN16" s="170">
        <f>SUMPRODUCT((Settings!$G$14:$G$43=$B16)*COUNTIF('INPUT - Roster'!$HD$6:$HD$206,"*"&amp;Settings!$F$14:$F$43&amp;"*"))</f>
        <v/>
      </c>
      <c r="GO16" s="170">
        <f>SUMPRODUCT((Settings!$G$14:$G$43=$B16)*COUNTIF('INPUT - Roster'!$HE$6:$HE$206,"*"&amp;Settings!$F$14:$F$43&amp;"*"))</f>
        <v/>
      </c>
      <c r="GP16" s="170">
        <f>SUMPRODUCT((Settings!$G$14:$G$43=$B16)*COUNTIF('INPUT - Roster'!$HF$6:$HF$206,"*"&amp;Settings!$F$14:$F$43&amp;"*"))</f>
        <v/>
      </c>
      <c r="GQ16" s="170">
        <f>SUMPRODUCT((Settings!$G$14:$G$43=$B16)*COUNTIF('INPUT - Roster'!$HG$6:$HG$206,"*"&amp;Settings!$F$14:$F$43&amp;"*"))</f>
        <v/>
      </c>
      <c r="GR16" s="170">
        <f>SUMPRODUCT((Settings!$G$14:$G$43=$B16)*COUNTIF('INPUT - Roster'!$HH$6:$HH$206,"*"&amp;Settings!$F$14:$F$43&amp;"*"))</f>
        <v/>
      </c>
      <c r="GS16" s="170">
        <f>SUMPRODUCT((Settings!$G$14:$G$43=$B16)*COUNTIF('INPUT - Roster'!$HI$6:$HI$206,"*"&amp;Settings!$F$14:$F$43&amp;"*"))</f>
        <v/>
      </c>
      <c r="GT16" s="170">
        <f>SUMPRODUCT((Settings!$G$14:$G$43=$B16)*COUNTIF('INPUT - Roster'!$HJ$6:$HJ$206,"*"&amp;Settings!$F$14:$F$43&amp;"*"))</f>
        <v/>
      </c>
      <c r="GU16" s="170">
        <f>SUMPRODUCT((Settings!$G$14:$G$43=$B16)*COUNTIF('INPUT - Roster'!$HK$6:$HK$206,"*"&amp;Settings!$F$14:$F$43&amp;"*"))</f>
        <v/>
      </c>
      <c r="GV16" s="170">
        <f>SUMPRODUCT((Settings!$G$14:$G$43=$B16)*COUNTIF('INPUT - Roster'!$HL$6:$HL$206,"*"&amp;Settings!$F$14:$F$43&amp;"*"))</f>
        <v/>
      </c>
      <c r="GW16" s="170">
        <f>SUMPRODUCT((Settings!$G$14:$G$43=$B16)*COUNTIF('INPUT - Roster'!$HM$6:$HM$206,"*"&amp;Settings!$F$14:$F$43&amp;"*"))</f>
        <v/>
      </c>
      <c r="GX16" s="170">
        <f>SUMPRODUCT((Settings!$G$14:$G$43=$B16)*COUNTIF('INPUT - Roster'!$HN$6:$HN$206,"*"&amp;Settings!$F$14:$F$43&amp;"*"))</f>
        <v/>
      </c>
      <c r="GY16" s="170">
        <f>SUMPRODUCT((Settings!$G$14:$G$43=$B16)*COUNTIF('INPUT - Roster'!$HO$6:$HO$206,"*"&amp;Settings!$F$14:$F$43&amp;"*"))</f>
        <v/>
      </c>
      <c r="GZ16" s="170">
        <f>SUMPRODUCT((Settings!$G$14:$G$43=$B16)*COUNTIF('INPUT - Roster'!$HP$6:$HP$206,"*"&amp;Settings!$F$14:$F$43&amp;"*"))</f>
        <v/>
      </c>
      <c r="HA16" s="170">
        <f>SUMPRODUCT((Settings!$G$14:$G$43=$B16)*COUNTIF('INPUT - Roster'!$HQ$6:$HQ$206,"*"&amp;Settings!$F$14:$F$43&amp;"*"))</f>
        <v/>
      </c>
      <c r="HB16" s="170">
        <f>SUMPRODUCT((Settings!$G$14:$G$43=$B16)*COUNTIF('INPUT - Roster'!$HR$6:$HR$206,"*"&amp;Settings!$F$14:$F$43&amp;"*"))</f>
        <v/>
      </c>
      <c r="HC16" s="170">
        <f>SUMPRODUCT((Settings!$G$14:$G$43=$B16)*COUNTIF('INPUT - Roster'!$HS$6:$HS$206,"*"&amp;Settings!$F$14:$F$43&amp;"*"))</f>
        <v/>
      </c>
      <c r="HD16" s="170">
        <f>SUMPRODUCT((Settings!$G$14:$G$43=$B16)*COUNTIF('INPUT - Roster'!$HT$6:$HT$206,"*"&amp;Settings!$F$14:$F$43&amp;"*"))</f>
        <v/>
      </c>
      <c r="HE16" s="170">
        <f>SUMPRODUCT((Settings!$G$14:$G$43=$B16)*COUNTIF('INPUT - Roster'!$HU$6:$HU$206,"*"&amp;Settings!$F$14:$F$43&amp;"*"))</f>
        <v/>
      </c>
      <c r="HF16" s="170">
        <f>SUMPRODUCT((Settings!$G$14:$G$43=$B16)*COUNTIF('INPUT - Roster'!$HV$6:$HV$206,"*"&amp;Settings!$F$14:$F$43&amp;"*"))</f>
        <v/>
      </c>
      <c r="HG16" s="170">
        <f>SUMPRODUCT((Settings!$G$14:$G$43=$B16)*COUNTIF('INPUT - Roster'!$HW$6:$HW$206,"*"&amp;Settings!$F$14:$F$43&amp;"*"))</f>
        <v/>
      </c>
      <c r="HH16" s="170">
        <f>SUMPRODUCT((Settings!$G$14:$G$43=$B16)*COUNTIF('INPUT - Roster'!$HX$6:$HX$206,"*"&amp;Settings!$F$14:$F$43&amp;"*"))</f>
        <v/>
      </c>
      <c r="HI16" s="170">
        <f>SUMPRODUCT((Settings!$G$14:$G$43=$B16)*COUNTIF('INPUT - Roster'!$HY$6:$HY$206,"*"&amp;Settings!$F$14:$F$43&amp;"*"))</f>
        <v/>
      </c>
      <c r="HJ16" s="170">
        <f>SUMPRODUCT((Settings!$G$14:$G$43=$B16)*COUNTIF('INPUT - Roster'!$HZ$6:$HZ$206,"*"&amp;Settings!$F$14:$F$43&amp;"*"))</f>
        <v/>
      </c>
      <c r="HK16" s="170">
        <f>SUMPRODUCT((Settings!$G$14:$G$43=$B16)*COUNTIF('INPUT - Roster'!$IA$6:$IA$206,"*"&amp;Settings!$F$14:$F$43&amp;"*"))</f>
        <v/>
      </c>
      <c r="HL16" s="170">
        <f>SUMPRODUCT((Settings!$G$14:$G$43=$B16)*COUNTIF('INPUT - Roster'!$IB$6:$IB$206,"*"&amp;Settings!$F$14:$F$43&amp;"*"))</f>
        <v/>
      </c>
      <c r="HM16" s="170">
        <f>SUMPRODUCT((Settings!$G$14:$G$43=$B16)*COUNTIF('INPUT - Roster'!$IC$6:$IC$206,"*"&amp;Settings!$F$14:$F$43&amp;"*"))</f>
        <v/>
      </c>
      <c r="HN16" s="170">
        <f>SUMPRODUCT((Settings!$G$14:$G$43=$B16)*COUNTIF('INPUT - Roster'!$ID$6:$ID$206,"*"&amp;Settings!$F$14:$F$43&amp;"*"))</f>
        <v/>
      </c>
      <c r="HO16" s="170">
        <f>SUMPRODUCT((Settings!$G$14:$G$43=$B16)*COUNTIF('INPUT - Roster'!$IE$6:$IE$206,"*"&amp;Settings!$F$14:$F$43&amp;"*"))</f>
        <v/>
      </c>
      <c r="HP16" s="170">
        <f>SUMPRODUCT((Settings!$G$14:$G$43=$B16)*COUNTIF('INPUT - Roster'!$IF$6:$IF$206,"*"&amp;Settings!$F$14:$F$43&amp;"*"))</f>
        <v/>
      </c>
      <c r="HQ16" s="170">
        <f>SUMPRODUCT((Settings!$G$14:$G$43=$B16)*COUNTIF('INPUT - Roster'!$IG$6:$IG$206,"*"&amp;Settings!$F$14:$F$43&amp;"*"))</f>
        <v/>
      </c>
      <c r="HR16" s="170">
        <f>SUMPRODUCT((Settings!$G$14:$G$43=$B16)*COUNTIF('INPUT - Roster'!$IH$6:$IH$206,"*"&amp;Settings!$F$14:$F$43&amp;"*"))</f>
        <v/>
      </c>
      <c r="HS16" s="170">
        <f>SUMPRODUCT((Settings!$G$14:$G$43=$B16)*COUNTIF('INPUT - Roster'!$II$6:$II$206,"*"&amp;Settings!$F$14:$F$43&amp;"*"))</f>
        <v/>
      </c>
      <c r="HT16" s="170">
        <f>SUMPRODUCT((Settings!$G$14:$G$43=$B16)*COUNTIF('INPUT - Roster'!$IJ$6:$IJ$206,"*"&amp;Settings!$F$14:$F$43&amp;"*"))</f>
        <v/>
      </c>
      <c r="HU16" s="170">
        <f>SUMPRODUCT((Settings!$G$14:$G$43=$B16)*COUNTIF('INPUT - Roster'!$IK$6:$IK$206,"*"&amp;Settings!$F$14:$F$43&amp;"*"))</f>
        <v/>
      </c>
      <c r="HV16" s="170">
        <f>SUMPRODUCT((Settings!$G$14:$G$43=$B16)*COUNTIF('INPUT - Roster'!$IL$6:$IL$206,"*"&amp;Settings!$F$14:$F$43&amp;"*"))</f>
        <v/>
      </c>
      <c r="HW16" s="170">
        <f>SUMPRODUCT((Settings!$G$14:$G$43=$B16)*COUNTIF('INPUT - Roster'!$IM$6:$IM$206,"*"&amp;Settings!$F$14:$F$43&amp;"*"))</f>
        <v/>
      </c>
      <c r="HX16" s="170">
        <f>SUMPRODUCT((Settings!$G$14:$G$43=$B16)*COUNTIF('INPUT - Roster'!$IN$6:$IN$206,"*"&amp;Settings!$F$14:$F$43&amp;"*"))</f>
        <v/>
      </c>
      <c r="HY16" s="170">
        <f>SUMPRODUCT((Settings!$G$14:$G$43=$B16)*COUNTIF('INPUT - Roster'!$IO$6:$IO$206,"*"&amp;Settings!$F$14:$F$43&amp;"*"))</f>
        <v/>
      </c>
      <c r="HZ16" s="170">
        <f>SUMPRODUCT((Settings!$G$14:$G$43=$B16)*COUNTIF('INPUT - Roster'!$IP$6:$IP$206,"*"&amp;Settings!$F$14:$F$43&amp;"*"))</f>
        <v/>
      </c>
      <c r="IA16" s="170">
        <f>SUMPRODUCT((Settings!$G$14:$G$43=$B16)*COUNTIF('INPUT - Roster'!$IQ$6:$IQ$206,"*"&amp;Settings!$F$14:$F$43&amp;"*"))</f>
        <v/>
      </c>
      <c r="IB16" s="170">
        <f>SUMPRODUCT((Settings!$G$14:$G$43=$B16)*COUNTIF('INPUT - Roster'!$IR$6:$IR$206,"*"&amp;Settings!$F$14:$F$43&amp;"*"))</f>
        <v/>
      </c>
      <c r="IC16" s="170">
        <f>SUMPRODUCT((Settings!$G$14:$G$43=$B16)*COUNTIF('INPUT - Roster'!$IS$6:$IS$206,"*"&amp;Settings!$F$14:$F$43&amp;"*"))</f>
        <v/>
      </c>
      <c r="ID16" s="170">
        <f>SUMPRODUCT((Settings!$G$14:$G$43=$B16)*COUNTIF('INPUT - Roster'!$IT$6:$IT$206,"*"&amp;Settings!$F$14:$F$43&amp;"*"))</f>
        <v/>
      </c>
      <c r="IE16" s="170">
        <f>SUMPRODUCT((Settings!$G$14:$G$43=$B16)*COUNTIF('INPUT - Roster'!$IU$6:$IU$206,"*"&amp;Settings!$F$14:$F$43&amp;"*"))</f>
        <v/>
      </c>
      <c r="IF16" s="170">
        <f>SUMPRODUCT((Settings!$G$14:$G$43=$B16)*COUNTIF('INPUT - Roster'!$IV$6:$IV$206,"*"&amp;Settings!$F$14:$F$43&amp;"*"))</f>
        <v/>
      </c>
      <c r="IG16" s="170">
        <f>SUMPRODUCT((Settings!$G$14:$G$43=$B16)*COUNTIF('INPUT - Roster'!$IW$6:$IW$206,"*"&amp;Settings!$F$14:$F$43&amp;"*"))</f>
        <v/>
      </c>
      <c r="IH16" s="170">
        <f>SUMPRODUCT((Settings!$G$14:$G$43=$B16)*COUNTIF('INPUT - Roster'!$IX$6:$IX$206,"*"&amp;Settings!$F$14:$F$43&amp;"*"))</f>
        <v/>
      </c>
      <c r="II16" s="170">
        <f>SUMPRODUCT((Settings!$G$14:$G$43=$B16)*COUNTIF('INPUT - Roster'!$IY$6:$IY$206,"*"&amp;Settings!$F$14:$F$43&amp;"*"))</f>
        <v/>
      </c>
      <c r="IJ16" s="170">
        <f>SUMPRODUCT((Settings!$G$14:$G$43=$B16)*COUNTIF('INPUT - Roster'!$IZ$6:$IZ$206,"*"&amp;Settings!$F$14:$F$43&amp;"*"))</f>
        <v/>
      </c>
      <c r="IK16" s="170">
        <f>SUMPRODUCT((Settings!$G$14:$G$43=$B16)*COUNTIF('INPUT - Roster'!$JA$6:$JA$206,"*"&amp;Settings!$F$14:$F$43&amp;"*"))</f>
        <v/>
      </c>
      <c r="IL16" s="170">
        <f>SUMPRODUCT((Settings!$G$14:$G$43=$B16)*COUNTIF('INPUT - Roster'!$JB$6:$JB$206,"*"&amp;Settings!$F$14:$F$43&amp;"*"))</f>
        <v/>
      </c>
      <c r="IM16" s="170">
        <f>SUMPRODUCT((Settings!$G$14:$G$43=$B16)*COUNTIF('INPUT - Roster'!$JC$6:$JC$206,"*"&amp;Settings!$F$14:$F$43&amp;"*"))</f>
        <v/>
      </c>
      <c r="IN16" s="170">
        <f>SUMPRODUCT((Settings!$G$14:$G$43=$B16)*COUNTIF('INPUT - Roster'!$JD$6:$JD$206,"*"&amp;Settings!$F$14:$F$43&amp;"*"))</f>
        <v/>
      </c>
      <c r="IO16" s="170">
        <f>SUMPRODUCT((Settings!$G$14:$G$43=$B16)*COUNTIF('INPUT - Roster'!$JE$6:$JE$206,"*"&amp;Settings!$F$14:$F$43&amp;"*"))</f>
        <v/>
      </c>
      <c r="IP16" s="170">
        <f>SUMPRODUCT((Settings!$G$14:$G$43=$B16)*COUNTIF('INPUT - Roster'!$JF$6:$JF$206,"*"&amp;Settings!$F$14:$F$43&amp;"*"))</f>
        <v/>
      </c>
      <c r="IQ16" s="170">
        <f>SUMPRODUCT((Settings!$G$14:$G$43=$B16)*COUNTIF('INPUT - Roster'!$JG$6:$JG$206,"*"&amp;Settings!$F$14:$F$43&amp;"*"))</f>
        <v/>
      </c>
      <c r="IR16" s="170">
        <f>SUMPRODUCT((Settings!$G$14:$G$43=$B16)*COUNTIF('INPUT - Roster'!$JH$6:$JH$206,"*"&amp;Settings!$F$14:$F$43&amp;"*"))</f>
        <v/>
      </c>
      <c r="IS16" s="170">
        <f>SUMPRODUCT((Settings!$G$14:$G$43=$B16)*COUNTIF('INPUT - Roster'!$JI$6:$JI$206,"*"&amp;Settings!$F$14:$F$43&amp;"*"))</f>
        <v/>
      </c>
      <c r="IT16" s="170">
        <f>SUMPRODUCT((Settings!$G$14:$G$43=$B16)*COUNTIF('INPUT - Roster'!$JJ$6:$JJ$206,"*"&amp;Settings!$F$14:$F$43&amp;"*"))</f>
        <v/>
      </c>
      <c r="IU16" s="170">
        <f>SUMPRODUCT((Settings!$G$14:$G$43=$B16)*COUNTIF('INPUT - Roster'!$JK$6:$JK$206,"*"&amp;Settings!$F$14:$F$43&amp;"*"))</f>
        <v/>
      </c>
      <c r="IV16" s="170">
        <f>SUMPRODUCT((Settings!$G$14:$G$43=$B16)*COUNTIF('INPUT - Roster'!$JL$6:$JL$206,"*"&amp;Settings!$F$14:$F$43&amp;"*"))</f>
        <v/>
      </c>
      <c r="IW16" s="170">
        <f>SUMPRODUCT((Settings!$G$14:$G$43=$B16)*COUNTIF('INPUT - Roster'!$JM$6:$JM$206,"*"&amp;Settings!$F$14:$F$43&amp;"*"))</f>
        <v/>
      </c>
      <c r="IX16" s="170">
        <f>SUMPRODUCT((Settings!$G$14:$G$43=$B16)*COUNTIF('INPUT - Roster'!$JN$6:$JN$206,"*"&amp;Settings!$F$14:$F$43&amp;"*"))</f>
        <v/>
      </c>
      <c r="IY16" s="170">
        <f>SUMPRODUCT((Settings!$G$14:$G$43=$B16)*COUNTIF('INPUT - Roster'!$JO$6:$JO$206,"*"&amp;Settings!$F$14:$F$43&amp;"*"))</f>
        <v/>
      </c>
      <c r="IZ16" s="170">
        <f>SUMPRODUCT((Settings!$G$14:$G$43=$B16)*COUNTIF('INPUT - Roster'!$JP$6:$JP$206,"*"&amp;Settings!$F$14:$F$43&amp;"*"))</f>
        <v/>
      </c>
      <c r="JA16" s="170">
        <f>SUMPRODUCT((Settings!$G$14:$G$43=$B16)*COUNTIF('INPUT - Roster'!$JQ$6:$JQ$206,"*"&amp;Settings!$F$14:$F$43&amp;"*"))</f>
        <v/>
      </c>
      <c r="JB16" s="170">
        <f>SUMPRODUCT((Settings!$G$14:$G$43=$B16)*COUNTIF('INPUT - Roster'!$JR$6:$JR$206,"*"&amp;Settings!$F$14:$F$43&amp;"*"))</f>
        <v/>
      </c>
      <c r="JC16" s="170">
        <f>SUMPRODUCT((Settings!$G$14:$G$43=$B16)*COUNTIF('INPUT - Roster'!$JS$6:$JS$206,"*"&amp;Settings!$F$14:$F$43&amp;"*"))</f>
        <v/>
      </c>
      <c r="JD16" s="170">
        <f>SUMPRODUCT((Settings!$G$14:$G$43=$B16)*COUNTIF('INPUT - Roster'!$JT$6:$JT$206,"*"&amp;Settings!$F$14:$F$43&amp;"*"))</f>
        <v/>
      </c>
      <c r="JE16" s="170">
        <f>SUMPRODUCT((Settings!$G$14:$G$43=$B16)*COUNTIF('INPUT - Roster'!$JU$6:$JU$206,"*"&amp;Settings!$F$14:$F$43&amp;"*"))</f>
        <v/>
      </c>
      <c r="JF16" s="170">
        <f>SUMPRODUCT((Settings!$G$14:$G$43=$B16)*COUNTIF('INPUT - Roster'!$JV$6:$JV$206,"*"&amp;Settings!$F$14:$F$43&amp;"*"))</f>
        <v/>
      </c>
      <c r="JG16" s="170">
        <f>SUMPRODUCT((Settings!$G$14:$G$43=$B16)*COUNTIF('INPUT - Roster'!$JW$6:$JW$206,"*"&amp;Settings!$F$14:$F$43&amp;"*"))</f>
        <v/>
      </c>
      <c r="JH16" s="170">
        <f>SUMPRODUCT((Settings!$G$14:$G$43=$B16)*COUNTIF('INPUT - Roster'!$JX$6:$JX$206,"*"&amp;Settings!$F$14:$F$43&amp;"*"))</f>
        <v/>
      </c>
      <c r="JI16" s="170">
        <f>SUMPRODUCT((Settings!$G$14:$G$43=$B16)*COUNTIF('INPUT - Roster'!$JY$6:$JY$206,"*"&amp;Settings!$F$14:$F$43&amp;"*"))</f>
        <v/>
      </c>
      <c r="JJ16" s="170">
        <f>SUMPRODUCT((Settings!$G$14:$G$43=$B16)*COUNTIF('INPUT - Roster'!$JZ$6:$JZ$206,"*"&amp;Settings!$F$14:$F$43&amp;"*"))</f>
        <v/>
      </c>
      <c r="JK16" s="170">
        <f>SUMPRODUCT((Settings!$G$14:$G$43=$B16)*COUNTIF('INPUT - Roster'!$KA$6:$KA$206,"*"&amp;Settings!$F$14:$F$43&amp;"*"))</f>
        <v/>
      </c>
      <c r="JL16" s="170">
        <f>SUMPRODUCT((Settings!$G$14:$G$43=$B16)*COUNTIF('INPUT - Roster'!$KB$6:$KB$206,"*"&amp;Settings!$F$14:$F$43&amp;"*"))</f>
        <v/>
      </c>
      <c r="JM16" s="170">
        <f>SUMPRODUCT((Settings!$G$14:$G$43=$B16)*COUNTIF('INPUT - Roster'!$KC$6:$KC$206,"*"&amp;Settings!$F$14:$F$43&amp;"*"))</f>
        <v/>
      </c>
      <c r="JN16" s="170">
        <f>SUMPRODUCT((Settings!$G$14:$G$43=$B16)*COUNTIF('INPUT - Roster'!$KD$6:$KD$206,"*"&amp;Settings!$F$14:$F$43&amp;"*"))</f>
        <v/>
      </c>
      <c r="JO16" s="170">
        <f>SUMPRODUCT((Settings!$G$14:$G$43=$B16)*COUNTIF('INPUT - Roster'!$KE$6:$KE$206,"*"&amp;Settings!$F$14:$F$43&amp;"*"))</f>
        <v/>
      </c>
      <c r="JP16" s="170">
        <f>SUMPRODUCT((Settings!$G$14:$G$43=$B16)*COUNTIF('INPUT - Roster'!$KF$6:$KF$206,"*"&amp;Settings!$F$14:$F$43&amp;"*"))</f>
        <v/>
      </c>
      <c r="JQ16" s="170">
        <f>SUMPRODUCT((Settings!$G$14:$G$43=$B16)*COUNTIF('INPUT - Roster'!$KG$6:$KG$206,"*"&amp;Settings!$F$14:$F$43&amp;"*"))</f>
        <v/>
      </c>
      <c r="JR16" s="170">
        <f>SUMPRODUCT((Settings!$G$14:$G$43=$B16)*COUNTIF('INPUT - Roster'!$KH$6:$KH$206,"*"&amp;Settings!$F$14:$F$43&amp;"*"))</f>
        <v/>
      </c>
      <c r="JS16" s="170">
        <f>SUMPRODUCT((Settings!$G$14:$G$43=$B16)*COUNTIF('INPUT - Roster'!$KI$6:$KI$206,"*"&amp;Settings!$F$14:$F$43&amp;"*"))</f>
        <v/>
      </c>
      <c r="JT16" s="170">
        <f>SUMPRODUCT((Settings!$G$14:$G$43=$B16)*COUNTIF('INPUT - Roster'!$KJ$6:$KJ$206,"*"&amp;Settings!$F$14:$F$43&amp;"*"))</f>
        <v/>
      </c>
      <c r="JU16" s="170">
        <f>SUMPRODUCT((Settings!$G$14:$G$43=$B16)*COUNTIF('INPUT - Roster'!$KK$6:$KK$206,"*"&amp;Settings!$F$14:$F$43&amp;"*"))</f>
        <v/>
      </c>
      <c r="JV16" s="170">
        <f>SUMPRODUCT((Settings!$G$14:$G$43=$B16)*COUNTIF('INPUT - Roster'!$KL$6:$KL$206,"*"&amp;Settings!$F$14:$F$43&amp;"*"))</f>
        <v/>
      </c>
      <c r="JW16" s="170">
        <f>SUMPRODUCT((Settings!$G$14:$G$43=$B16)*COUNTIF('INPUT - Roster'!$KM$6:$KM$206,"*"&amp;Settings!$F$14:$F$43&amp;"*"))</f>
        <v/>
      </c>
      <c r="JX16" s="170">
        <f>SUMPRODUCT((Settings!$G$14:$G$43=$B16)*COUNTIF('INPUT - Roster'!$KN$6:$KN$206,"*"&amp;Settings!$F$14:$F$43&amp;"*"))</f>
        <v/>
      </c>
      <c r="JY16" s="170">
        <f>SUMPRODUCT((Settings!$G$14:$G$43=$B16)*COUNTIF('INPUT - Roster'!$KO$6:$KO$206,"*"&amp;Settings!$F$14:$F$43&amp;"*"))</f>
        <v/>
      </c>
      <c r="JZ16" s="170">
        <f>SUMPRODUCT((Settings!$G$14:$G$43=$B16)*COUNTIF('INPUT - Roster'!$KP$6:$KP$206,"*"&amp;Settings!$F$14:$F$43&amp;"*"))</f>
        <v/>
      </c>
      <c r="KA16" s="170">
        <f>SUMPRODUCT((Settings!$G$14:$G$43=$B16)*COUNTIF('INPUT - Roster'!$KQ$6:$KQ$206,"*"&amp;Settings!$F$14:$F$43&amp;"*"))</f>
        <v/>
      </c>
      <c r="KB16" s="170">
        <f>SUMPRODUCT((Settings!$G$14:$G$43=$B16)*COUNTIF('INPUT - Roster'!$KR$6:$KR$206,"*"&amp;Settings!$F$14:$F$43&amp;"*"))</f>
        <v/>
      </c>
      <c r="KC16" s="170">
        <f>SUMPRODUCT((Settings!$G$14:$G$43=$B16)*COUNTIF('INPUT - Roster'!$KS$6:$KS$206,"*"&amp;Settings!$F$14:$F$43&amp;"*"))</f>
        <v/>
      </c>
      <c r="KD16" s="170">
        <f>SUMPRODUCT((Settings!$G$14:$G$43=$B16)*COUNTIF('INPUT - Roster'!$KT$6:$KT$206,"*"&amp;Settings!$F$14:$F$43&amp;"*"))</f>
        <v/>
      </c>
      <c r="KE16" s="170">
        <f>SUMPRODUCT((Settings!$G$14:$G$43=$B16)*COUNTIF('INPUT - Roster'!$KU$6:$KU$206,"*"&amp;Settings!$F$14:$F$43&amp;"*"))</f>
        <v/>
      </c>
      <c r="KF16" s="170">
        <f>SUMPRODUCT((Settings!$G$14:$G$43=$B16)*COUNTIF('INPUT - Roster'!$KV$6:$KV$206,"*"&amp;Settings!$F$14:$F$43&amp;"*"))</f>
        <v/>
      </c>
      <c r="KG16" s="170">
        <f>SUMPRODUCT((Settings!$G$14:$G$43=$B16)*COUNTIF('INPUT - Roster'!$KW$6:$KW$206,"*"&amp;Settings!$F$14:$F$43&amp;"*"))</f>
        <v/>
      </c>
      <c r="KH16" s="170">
        <f>SUMPRODUCT((Settings!$G$14:$G$43=$B16)*COUNTIF('INPUT - Roster'!$KX$6:$KX$206,"*"&amp;Settings!$F$14:$F$43&amp;"*"))</f>
        <v/>
      </c>
      <c r="KI16" s="170">
        <f>SUMPRODUCT((Settings!$G$14:$G$43=$B16)*COUNTIF('INPUT - Roster'!$KY$6:$KY$206,"*"&amp;Settings!$F$14:$F$43&amp;"*"))</f>
        <v/>
      </c>
      <c r="KJ16" s="170">
        <f>SUMPRODUCT((Settings!$G$14:$G$43=$B16)*COUNTIF('INPUT - Roster'!$KZ$6:$KZ$206,"*"&amp;Settings!$F$14:$F$43&amp;"*"))</f>
        <v/>
      </c>
      <c r="KK16" s="170">
        <f>SUMPRODUCT((Settings!$G$14:$G$43=$B16)*COUNTIF('INPUT - Roster'!$LA$6:$LA$206,"*"&amp;Settings!$F$14:$F$43&amp;"*"))</f>
        <v/>
      </c>
      <c r="KL16" s="170">
        <f>SUMPRODUCT((Settings!$G$14:$G$43=$B16)*COUNTIF('INPUT - Roster'!$LB$6:$LB$206,"*"&amp;Settings!$F$14:$F$43&amp;"*"))</f>
        <v/>
      </c>
      <c r="KM16" s="170">
        <f>SUMPRODUCT((Settings!$G$14:$G$43=$B16)*COUNTIF('INPUT - Roster'!$LC$6:$LC$206,"*"&amp;Settings!$F$14:$F$43&amp;"*"))</f>
        <v/>
      </c>
      <c r="KN16" s="170">
        <f>SUMPRODUCT((Settings!$G$14:$G$43=$B16)*COUNTIF('INPUT - Roster'!$LD$6:$LD$206,"*"&amp;Settings!$F$14:$F$43&amp;"*"))</f>
        <v/>
      </c>
      <c r="KO16" s="170">
        <f>SUMPRODUCT((Settings!$G$14:$G$43=$B16)*COUNTIF('INPUT - Roster'!$LE$6:$LE$206,"*"&amp;Settings!$F$14:$F$43&amp;"*"))</f>
        <v/>
      </c>
      <c r="KP16" s="170">
        <f>SUMPRODUCT((Settings!$G$14:$G$43=$B16)*COUNTIF('INPUT - Roster'!$LF$6:$LF$206,"*"&amp;Settings!$F$14:$F$43&amp;"*"))</f>
        <v/>
      </c>
      <c r="KQ16" s="170">
        <f>SUMPRODUCT((Settings!$G$14:$G$43=$B16)*COUNTIF('INPUT - Roster'!$LG$6:$LG$206,"*"&amp;Settings!$F$14:$F$43&amp;"*"))</f>
        <v/>
      </c>
      <c r="KR16" s="170">
        <f>SUMPRODUCT((Settings!$G$14:$G$43=$B16)*COUNTIF('INPUT - Roster'!$LH$6:$LH$206,"*"&amp;Settings!$F$14:$F$43&amp;"*"))</f>
        <v/>
      </c>
      <c r="KS16" s="170">
        <f>SUMPRODUCT((Settings!$G$14:$G$43=$B16)*COUNTIF('INPUT - Roster'!$LI$6:$LI$206,"*"&amp;Settings!$F$14:$F$43&amp;"*"))</f>
        <v/>
      </c>
      <c r="KT16" s="170">
        <f>SUMPRODUCT((Settings!$G$14:$G$43=$B16)*COUNTIF('INPUT - Roster'!$LJ$6:$LJ$206,"*"&amp;Settings!$F$14:$F$43&amp;"*"))</f>
        <v/>
      </c>
      <c r="KU16" s="170">
        <f>SUMPRODUCT((Settings!$G$14:$G$43=$B16)*COUNTIF('INPUT - Roster'!$LK$6:$LK$206,"*"&amp;Settings!$F$14:$F$43&amp;"*"))</f>
        <v/>
      </c>
      <c r="KV16" s="170">
        <f>SUMPRODUCT((Settings!$G$14:$G$43=$B16)*COUNTIF('INPUT - Roster'!$LL$6:$LL$206,"*"&amp;Settings!$F$14:$F$43&amp;"*"))</f>
        <v/>
      </c>
      <c r="KW16" s="170">
        <f>SUMPRODUCT((Settings!$G$14:$G$43=$B16)*COUNTIF('INPUT - Roster'!$LM$6:$LM$206,"*"&amp;Settings!$F$14:$F$43&amp;"*"))</f>
        <v/>
      </c>
      <c r="KX16" s="170">
        <f>SUMPRODUCT((Settings!$G$14:$G$43=$B16)*COUNTIF('INPUT - Roster'!$LN$6:$LN$206,"*"&amp;Settings!$F$14:$F$43&amp;"*"))</f>
        <v/>
      </c>
      <c r="KY16" s="170">
        <f>SUMPRODUCT((Settings!$G$14:$G$43=$B16)*COUNTIF('INPUT - Roster'!$LO$6:$LO$206,"*"&amp;Settings!$F$14:$F$43&amp;"*"))</f>
        <v/>
      </c>
      <c r="KZ16" s="170">
        <f>SUMPRODUCT((Settings!$G$14:$G$43=$B16)*COUNTIF('INPUT - Roster'!$LP$6:$LP$206,"*"&amp;Settings!$F$14:$F$43&amp;"*"))</f>
        <v/>
      </c>
      <c r="LA16" s="170">
        <f>SUMPRODUCT((Settings!$G$14:$G$43=$B16)*COUNTIF('INPUT - Roster'!$LQ$6:$LQ$206,"*"&amp;Settings!$F$14:$F$43&amp;"*"))</f>
        <v/>
      </c>
      <c r="LB16" s="170">
        <f>SUMPRODUCT((Settings!$G$14:$G$43=$B16)*COUNTIF('INPUT - Roster'!$LR$6:$LR$206,"*"&amp;Settings!$F$14:$F$43&amp;"*"))</f>
        <v/>
      </c>
      <c r="LC16" s="170">
        <f>SUMPRODUCT((Settings!$G$14:$G$43=$B16)*COUNTIF('INPUT - Roster'!$LS$6:$LS$206,"*"&amp;Settings!$F$14:$F$43&amp;"*"))</f>
        <v/>
      </c>
      <c r="LD16" s="170">
        <f>SUMPRODUCT((Settings!$G$14:$G$43=$B16)*COUNTIF('INPUT - Roster'!$LT$6:$LT$206,"*"&amp;Settings!$F$14:$F$43&amp;"*"))</f>
        <v/>
      </c>
      <c r="LE16" s="170">
        <f>SUMPRODUCT((Settings!$G$14:$G$43=$B16)*COUNTIF('INPUT - Roster'!$LU$6:$LU$206,"*"&amp;Settings!$F$14:$F$43&amp;"*"))</f>
        <v/>
      </c>
      <c r="LF16" s="170">
        <f>SUMPRODUCT((Settings!$G$14:$G$43=$B16)*COUNTIF('INPUT - Roster'!$LV$6:$LV$206,"*"&amp;Settings!$F$14:$F$43&amp;"*"))</f>
        <v/>
      </c>
      <c r="LG16" s="170">
        <f>SUMPRODUCT((Settings!$G$14:$G$43=$B16)*COUNTIF('INPUT - Roster'!$LW$6:$LW$206,"*"&amp;Settings!$F$14:$F$43&amp;"*"))</f>
        <v/>
      </c>
      <c r="LH16" s="170">
        <f>SUMPRODUCT((Settings!$G$14:$G$43=$B16)*COUNTIF('INPUT - Roster'!$LX$6:$LX$206,"*"&amp;Settings!$F$14:$F$43&amp;"*"))</f>
        <v/>
      </c>
      <c r="LI16" s="170">
        <f>SUMPRODUCT((Settings!$G$14:$G$43=$B16)*COUNTIF('INPUT - Roster'!$LY$6:$LY$206,"*"&amp;Settings!$F$14:$F$43&amp;"*"))</f>
        <v/>
      </c>
      <c r="LJ16" s="170">
        <f>SUMPRODUCT((Settings!$G$14:$G$43=$B16)*COUNTIF('INPUT - Roster'!$LZ$6:$LZ$206,"*"&amp;Settings!$F$14:$F$43&amp;"*"))</f>
        <v/>
      </c>
      <c r="LK16" s="170">
        <f>SUMPRODUCT((Settings!$G$14:$G$43=$B16)*COUNTIF('INPUT - Roster'!$MA$6:$MA$206,"*"&amp;Settings!$F$14:$F$43&amp;"*"))</f>
        <v/>
      </c>
      <c r="LL16" s="170">
        <f>SUMPRODUCT((Settings!$G$14:$G$43=$B16)*COUNTIF('INPUT - Roster'!$MB$6:$MB$206,"*"&amp;Settings!$F$14:$F$43&amp;"*"))</f>
        <v/>
      </c>
      <c r="LM16" s="170">
        <f>SUMPRODUCT((Settings!$G$14:$G$43=$B16)*COUNTIF('INPUT - Roster'!$MC$6:$MC$206,"*"&amp;Settings!$F$14:$F$43&amp;"*"))</f>
        <v/>
      </c>
      <c r="LN16" s="170">
        <f>SUMPRODUCT((Settings!$G$14:$G$43=$B16)*COUNTIF('INPUT - Roster'!$MD$6:$MD$206,"*"&amp;Settings!$F$14:$F$43&amp;"*"))</f>
        <v/>
      </c>
      <c r="LO16" s="170">
        <f>SUMPRODUCT((Settings!$G$14:$G$43=$B16)*COUNTIF('INPUT - Roster'!$ME$6:$ME$206,"*"&amp;Settings!$F$14:$F$43&amp;"*"))</f>
        <v/>
      </c>
      <c r="LP16" s="170">
        <f>SUMPRODUCT((Settings!$G$14:$G$43=$B16)*COUNTIF('INPUT - Roster'!$MF$6:$MF$206,"*"&amp;Settings!$F$14:$F$43&amp;"*"))</f>
        <v/>
      </c>
      <c r="LQ16" s="170">
        <f>SUMPRODUCT((Settings!$G$14:$G$43=$B16)*COUNTIF('INPUT - Roster'!$MG$6:$MG$206,"*"&amp;Settings!$F$14:$F$43&amp;"*"))</f>
        <v/>
      </c>
      <c r="LR16" s="170">
        <f>SUMPRODUCT((Settings!$G$14:$G$43=$B16)*COUNTIF('INPUT - Roster'!$MH$6:$MH$206,"*"&amp;Settings!$F$14:$F$43&amp;"*"))</f>
        <v/>
      </c>
      <c r="LS16" s="170">
        <f>SUMPRODUCT((Settings!$G$14:$G$43=$B16)*COUNTIF('INPUT - Roster'!$MI$6:$MI$206,"*"&amp;Settings!$F$14:$F$43&amp;"*"))</f>
        <v/>
      </c>
      <c r="LT16" s="170">
        <f>SUMPRODUCT((Settings!$G$14:$G$43=$B16)*COUNTIF('INPUT - Roster'!$MJ$6:$MJ$206,"*"&amp;Settings!$F$14:$F$43&amp;"*"))</f>
        <v/>
      </c>
      <c r="LU16" s="170">
        <f>SUMPRODUCT((Settings!$G$14:$G$43=$B16)*COUNTIF('INPUT - Roster'!$MK$6:$MK$206,"*"&amp;Settings!$F$14:$F$43&amp;"*"))</f>
        <v/>
      </c>
      <c r="LV16" s="170">
        <f>SUMPRODUCT((Settings!$G$14:$G$43=$B16)*COUNTIF('INPUT - Roster'!$ML$6:$ML$206,"*"&amp;Settings!$F$14:$F$43&amp;"*"))</f>
        <v/>
      </c>
      <c r="LW16" s="170">
        <f>SUMPRODUCT((Settings!$G$14:$G$43=$B16)*COUNTIF('INPUT - Roster'!$MM$6:$MM$206,"*"&amp;Settings!$F$14:$F$43&amp;"*"))</f>
        <v/>
      </c>
      <c r="LX16" s="170">
        <f>SUMPRODUCT((Settings!$G$14:$G$43=$B16)*COUNTIF('INPUT - Roster'!$MN$6:$MN$206,"*"&amp;Settings!$F$14:$F$43&amp;"*"))</f>
        <v/>
      </c>
      <c r="LY16" s="170">
        <f>SUMPRODUCT((Settings!$G$14:$G$43=$B16)*COUNTIF('INPUT - Roster'!$MO$6:$MO$206,"*"&amp;Settings!$F$14:$F$43&amp;"*"))</f>
        <v/>
      </c>
      <c r="LZ16" s="170">
        <f>SUMPRODUCT((Settings!$G$14:$G$43=$B16)*COUNTIF('INPUT - Roster'!$MP$6:$MP$206,"*"&amp;Settings!$F$14:$F$43&amp;"*"))</f>
        <v/>
      </c>
      <c r="MA16" s="170">
        <f>SUMPRODUCT((Settings!$G$14:$G$43=$B16)*COUNTIF('INPUT - Roster'!$MQ$6:$MQ$206,"*"&amp;Settings!$F$14:$F$43&amp;"*"))</f>
        <v/>
      </c>
      <c r="MB16" s="170">
        <f>SUMPRODUCT((Settings!$G$14:$G$43=$B16)*COUNTIF('INPUT - Roster'!$MR$6:$MR$206,"*"&amp;Settings!$F$14:$F$43&amp;"*"))</f>
        <v/>
      </c>
      <c r="MC16" s="170">
        <f>SUMPRODUCT((Settings!$G$14:$G$43=$B16)*COUNTIF('INPUT - Roster'!$MS$6:$MS$206,"*"&amp;Settings!$F$14:$F$43&amp;"*"))</f>
        <v/>
      </c>
      <c r="MD16" s="170">
        <f>SUMPRODUCT((Settings!$G$14:$G$43=$B16)*COUNTIF('INPUT - Roster'!$MT$6:$MT$206,"*"&amp;Settings!$F$14:$F$43&amp;"*"))</f>
        <v/>
      </c>
      <c r="ME16" s="170">
        <f>SUMPRODUCT((Settings!$G$14:$G$43=$B16)*COUNTIF('INPUT - Roster'!$MU$6:$MU$206,"*"&amp;Settings!$F$14:$F$43&amp;"*"))</f>
        <v/>
      </c>
      <c r="MF16" s="170">
        <f>SUMPRODUCT((Settings!$G$14:$G$43=$B16)*COUNTIF('INPUT - Roster'!$MV$6:$MV$206,"*"&amp;Settings!$F$14:$F$43&amp;"*"))</f>
        <v/>
      </c>
      <c r="MG16" s="170">
        <f>SUMPRODUCT((Settings!$G$14:$G$43=$B16)*COUNTIF('INPUT - Roster'!$MW$6:$MW$206,"*"&amp;Settings!$F$14:$F$43&amp;"*"))</f>
        <v/>
      </c>
      <c r="MH16" s="170">
        <f>SUMPRODUCT((Settings!$G$14:$G$43=$B16)*COUNTIF('INPUT - Roster'!$MX$6:$MX$206,"*"&amp;Settings!$F$14:$F$43&amp;"*"))</f>
        <v/>
      </c>
      <c r="MI16" s="170">
        <f>SUMPRODUCT((Settings!$G$14:$G$43=$B16)*COUNTIF('INPUT - Roster'!$MY$6:$MY$206,"*"&amp;Settings!$F$14:$F$43&amp;"*"))</f>
        <v/>
      </c>
      <c r="MJ16" s="170">
        <f>SUMPRODUCT((Settings!$G$14:$G$43=$B16)*COUNTIF('INPUT - Roster'!$MZ$6:$MZ$206,"*"&amp;Settings!$F$14:$F$43&amp;"*"))</f>
        <v/>
      </c>
      <c r="MK16" s="170">
        <f>SUMPRODUCT((Settings!$G$14:$G$43=$B16)*COUNTIF('INPUT - Roster'!$NA$6:$NA$206,"*"&amp;Settings!$F$14:$F$43&amp;"*"))</f>
        <v/>
      </c>
      <c r="ML16" s="170">
        <f>SUMPRODUCT((Settings!$G$14:$G$43=$B16)*COUNTIF('INPUT - Roster'!$NB$6:$NB$206,"*"&amp;Settings!$F$14:$F$43&amp;"*"))</f>
        <v/>
      </c>
      <c r="MM16" s="170">
        <f>SUMPRODUCT((Settings!$G$14:$G$43=$B16)*COUNTIF('INPUT - Roster'!$NC$6:$NC$206,"*"&amp;Settings!$F$14:$F$43&amp;"*"))</f>
        <v/>
      </c>
      <c r="MN16" s="170">
        <f>SUMPRODUCT((Settings!$G$14:$G$43=$B16)*COUNTIF('INPUT - Roster'!$ND$6:$ND$206,"*"&amp;Settings!$F$14:$F$43&amp;"*"))</f>
        <v/>
      </c>
      <c r="MO16" s="170">
        <f>SUMPRODUCT((Settings!$G$14:$G$43=$B16)*COUNTIF('INPUT - Roster'!$NE$6:$NE$206,"*"&amp;Settings!$F$14:$F$43&amp;"*"))</f>
        <v/>
      </c>
      <c r="MP16" s="170">
        <f>SUMPRODUCT((Settings!$G$14:$G$43=$B16)*COUNTIF('INPUT - Roster'!$NF$6:$NF$206,"*"&amp;Settings!$F$14:$F$43&amp;"*"))</f>
        <v/>
      </c>
      <c r="MQ16" s="170">
        <f>SUMPRODUCT((Settings!$G$14:$G$43=$B16)*COUNTIF('INPUT - Roster'!$NG$6:$NG$206,"*"&amp;Settings!$F$14:$F$43&amp;"*"))</f>
        <v/>
      </c>
      <c r="MR16" s="170">
        <f>SUMPRODUCT((Settings!$G$14:$G$43=$B16)*COUNTIF('INPUT - Roster'!$NH$6:$NH$206,"*"&amp;Settings!$F$14:$F$43&amp;"*"))</f>
        <v/>
      </c>
      <c r="MS16" s="170">
        <f>SUMPRODUCT((Settings!$G$14:$G$43=$B16)*COUNTIF('INPUT - Roster'!$NI$6:$NI$206,"*"&amp;Settings!$F$14:$F$43&amp;"*"))</f>
        <v/>
      </c>
      <c r="MT16" s="170">
        <f>SUMPRODUCT((Settings!$G$14:$G$43=$B16)*COUNTIF('INPUT - Roster'!$NJ$6:$NJ$206,"*"&amp;Settings!$F$14:$F$43&amp;"*"))</f>
        <v/>
      </c>
      <c r="MU16" s="170">
        <f>SUMPRODUCT((Settings!$G$14:$G$43=$B16)*COUNTIF('INPUT - Roster'!$NK$6:$NK$206,"*"&amp;Settings!$F$14:$F$43&amp;"*"))</f>
        <v/>
      </c>
      <c r="MV16" s="170">
        <f>SUMPRODUCT((Settings!$G$14:$G$43=$B16)*COUNTIF('INPUT - Roster'!$NL$6:$NL$206,"*"&amp;Settings!$F$14:$F$43&amp;"*"))</f>
        <v/>
      </c>
      <c r="MW16" s="170">
        <f>SUMPRODUCT((Settings!$G$14:$G$43=$B16)*COUNTIF('INPUT - Roster'!$NM$6:$NM$206,"*"&amp;Settings!$F$14:$F$43&amp;"*"))</f>
        <v/>
      </c>
      <c r="MX16" s="170">
        <f>SUMPRODUCT((Settings!$G$14:$G$43=$B16)*COUNTIF('INPUT - Roster'!$NN$6:$NN$206,"*"&amp;Settings!$F$14:$F$43&amp;"*"))</f>
        <v/>
      </c>
      <c r="MY16" s="170">
        <f>SUMPRODUCT((Settings!$G$14:$G$43=$B16)*COUNTIF('INPUT - Roster'!$NO$6:$NO$206,"*"&amp;Settings!$F$14:$F$43&amp;"*"))</f>
        <v/>
      </c>
      <c r="MZ16" s="170">
        <f>SUMPRODUCT((Settings!$G$14:$G$43=$B16)*COUNTIF('INPUT - Roster'!$NP$6:$NP$206,"*"&amp;Settings!$F$14:$F$43&amp;"*"))</f>
        <v/>
      </c>
      <c r="NA16" s="170">
        <f>SUMPRODUCT((Settings!$G$14:$G$43=$B16)*COUNTIF('INPUT - Roster'!$NQ$6:$NQ$206,"*"&amp;Settings!$F$14:$F$43&amp;"*"))</f>
        <v/>
      </c>
      <c r="NB16" s="170">
        <f>SUMPRODUCT((Settings!$G$14:$G$43=$B16)*COUNTIF('INPUT - Roster'!$NR$6:$NR$206,"*"&amp;Settings!$F$14:$F$43&amp;"*"))</f>
        <v/>
      </c>
      <c r="NC16" s="170">
        <f>SUMPRODUCT((Settings!$G$14:$G$43=$B16)*COUNTIF('INPUT - Roster'!$NS$6:$NS$206,"*"&amp;Settings!$F$14:$F$43&amp;"*"))</f>
        <v/>
      </c>
      <c r="ND16" s="170">
        <f>SUMPRODUCT((Settings!$G$14:$G$43=$B16)*COUNTIF('INPUT - Roster'!$NT$6:$NT$206,"*"&amp;Settings!$F$14:$F$43&amp;"*"))</f>
        <v/>
      </c>
      <c r="NE16" s="170">
        <f>SUMPRODUCT((Settings!$G$14:$G$43=$B16)*COUNTIF('INPUT - Roster'!$NU$6:$NU$206,"*"&amp;Settings!$F$14:$F$43&amp;"*"))</f>
        <v/>
      </c>
      <c r="NF16" s="170">
        <f>SUMPRODUCT((Settings!$G$14:$G$43=$B16)*COUNTIF('INPUT - Roster'!$NV$6:$NV$206,"*"&amp;Settings!$F$14:$F$43&amp;"*"))</f>
        <v/>
      </c>
      <c r="NG16" s="170">
        <f>SUMPRODUCT((Settings!$G$14:$G$43=$B16)*COUNTIF('INPUT - Roster'!$NW$6:$NW$206,"*"&amp;Settings!$F$14:$F$43&amp;"*"))</f>
        <v/>
      </c>
      <c r="NH16" s="170">
        <f>SUMPRODUCT((Settings!$G$14:$G$43=$B16)*COUNTIF('INPUT - Roster'!$NX$6:$NX$206,"*"&amp;Settings!$F$14:$F$43&amp;"*"))</f>
        <v/>
      </c>
      <c r="NI16" s="170">
        <f>SUMPRODUCT((Settings!$G$14:$G$43=$B16)*COUNTIF('INPUT - Roster'!$NY$6:$NY$206,"*"&amp;Settings!$F$14:$F$43&amp;"*"))</f>
        <v/>
      </c>
      <c r="NJ16" s="170">
        <f>SUMPRODUCT((Settings!$G$14:$G$43=$B16)*COUNTIF('INPUT - Roster'!$NZ$6:$NZ$206,"*"&amp;Settings!$F$14:$F$43&amp;"*"))</f>
        <v/>
      </c>
      <c r="NK16" s="170">
        <f>SUMPRODUCT((Settings!$G$14:$G$43=$B16)*COUNTIF('INPUT - Roster'!$OA$6:$OA$206,"*"&amp;Settings!$F$14:$F$43&amp;"*"))</f>
        <v/>
      </c>
      <c r="NL16" s="170">
        <f>SUMPRODUCT((Settings!$G$14:$G$43=$B16)*COUNTIF('INPUT - Roster'!$OB$6:$OB$206,"*"&amp;Settings!$F$14:$F$43&amp;"*"))</f>
        <v/>
      </c>
      <c r="NM16" s="170">
        <f>SUMPRODUCT((Settings!$G$14:$G$43=$B16)*COUNTIF('INPUT - Roster'!$OC$6:$OC$206,"*"&amp;Settings!$F$14:$F$43&amp;"*"))</f>
        <v/>
      </c>
      <c r="NN16" s="170">
        <f>SUMPRODUCT((Settings!$G$14:$G$43=$B16)*COUNTIF('INPUT - Roster'!$OD$6:$OD$206,"*"&amp;Settings!$F$14:$F$43&amp;"*"))</f>
        <v/>
      </c>
      <c r="NO16" s="170">
        <f>SUMPRODUCT((Settings!$G$14:$G$43=$B16)*COUNTIF('INPUT - Roster'!$OE$6:$OE$206,"*"&amp;Settings!$F$14:$F$43&amp;"*"))</f>
        <v/>
      </c>
      <c r="NP16" s="170">
        <f>SUMPRODUCT((Settings!$G$14:$G$43=$B16)*COUNTIF('INPUT - Roster'!$OF$6:$OF$206,"*"&amp;Settings!$F$14:$F$43&amp;"*"))</f>
        <v/>
      </c>
      <c r="NQ16" s="170">
        <f>SUMPRODUCT((Settings!$G$14:$G$43=$B16)*COUNTIF('INPUT - Roster'!$OG$6:$OG$206,"*"&amp;Settings!$F$14:$F$43&amp;"*"))</f>
        <v/>
      </c>
      <c r="NR16" s="170">
        <f>SUMPRODUCT((Settings!$G$14:$G$43=$B16)*COUNTIF('INPUT - Roster'!$OH$6:$OH$206,"*"&amp;Settings!$F$14:$F$43&amp;"*"))</f>
        <v/>
      </c>
      <c r="NS16" s="170">
        <f>SUMPRODUCT((Settings!$G$14:$G$43=$B16)*COUNTIF('INPUT - Roster'!$OI$6:$OI$206,"*"&amp;Settings!$F$14:$F$43&amp;"*"))</f>
        <v/>
      </c>
      <c r="NT16" s="170">
        <f>SUMPRODUCT((Settings!$G$14:$G$43=$B16)*COUNTIF('INPUT - Roster'!$OJ$6:$OJ$206,"*"&amp;Settings!$F$14:$F$43&amp;"*"))</f>
        <v/>
      </c>
      <c r="NU16" s="170">
        <f>SUMPRODUCT((Settings!$G$14:$G$43=$B16)*COUNTIF('INPUT - Roster'!$OK$6:$OK$206,"*"&amp;Settings!$F$14:$F$43&amp;"*"))</f>
        <v/>
      </c>
      <c r="NV16" s="170">
        <f>SUMPRODUCT((Settings!$G$14:$G$43=$B16)*COUNTIF('INPUT - Roster'!$OL$6:$OL$206,"*"&amp;Settings!$F$14:$F$43&amp;"*"))</f>
        <v/>
      </c>
      <c r="NW16" s="170">
        <f>SUMPRODUCT((Settings!$G$14:$G$43=$B16)*COUNTIF('INPUT - Roster'!$OM$6:$OM$206,"*"&amp;Settings!$F$14:$F$43&amp;"*"))</f>
        <v/>
      </c>
      <c r="NX16" s="170">
        <f>SUMPRODUCT((Settings!$G$14:$G$43=$B16)*COUNTIF('INPUT - Roster'!$ON$6:$ON$206,"*"&amp;Settings!$F$14:$F$43&amp;"*"))</f>
        <v/>
      </c>
      <c r="NY16" s="170">
        <f>SUMPRODUCT((Settings!$G$14:$G$43=$B16)*COUNTIF('INPUT - Roster'!$OO$6:$OO$206,"*"&amp;Settings!$F$14:$F$43&amp;"*"))</f>
        <v/>
      </c>
      <c r="NZ16" s="170">
        <f>SUMPRODUCT((Settings!$G$14:$G$43=$B16)*COUNTIF('INPUT - Roster'!$OP$6:$OP$206,"*"&amp;Settings!$F$14:$F$43&amp;"*"))</f>
        <v/>
      </c>
      <c r="OA16" s="170">
        <f>SUMPRODUCT((Settings!$G$14:$G$43=$B16)*COUNTIF('INPUT - Roster'!$OQ$6:$OQ$206,"*"&amp;Settings!$F$14:$F$43&amp;"*"))</f>
        <v/>
      </c>
      <c r="OB16" s="170">
        <f>SUMPRODUCT((Settings!$G$14:$G$43=$B16)*COUNTIF('INPUT - Roster'!$OR$6:$OR$206,"*"&amp;Settings!$F$14:$F$43&amp;"*"))</f>
        <v/>
      </c>
      <c r="OC16" s="170">
        <f>SUMPRODUCT((Settings!$G$14:$G$43=$B16)*COUNTIF('INPUT - Roster'!$OS$6:$OS$206,"*"&amp;Settings!$F$14:$F$43&amp;"*"))</f>
        <v/>
      </c>
      <c r="OD16" s="170">
        <f>SUMPRODUCT((Settings!$G$14:$G$43=$B16)*COUNTIF('INPUT - Roster'!$OT$6:$OT$206,"*"&amp;Settings!$F$14:$F$43&amp;"*"))</f>
        <v/>
      </c>
      <c r="OE16" s="170">
        <f>SUMPRODUCT((Settings!$G$14:$G$43=$B16)*COUNTIF('INPUT - Roster'!$OU$6:$OU$206,"*"&amp;Settings!$F$14:$F$43&amp;"*"))</f>
        <v/>
      </c>
      <c r="OF16" s="170">
        <f>SUMPRODUCT((Settings!$G$14:$G$43=$B16)*COUNTIF('INPUT - Roster'!$OV$6:$OV$206,"*"&amp;Settings!$F$14:$F$43&amp;"*"))</f>
        <v/>
      </c>
      <c r="OG16" s="170">
        <f>SUMPRODUCT((Settings!$G$14:$G$43=$B16)*COUNTIF('INPUT - Roster'!$OW$6:$OW$206,"*"&amp;Settings!$F$14:$F$43&amp;"*"))</f>
        <v/>
      </c>
      <c r="OH16" s="170">
        <f>SUMPRODUCT((Settings!$G$14:$G$43=$B16)*COUNTIF('INPUT - Roster'!$OX$6:$OX$206,"*"&amp;Settings!$F$14:$F$43&amp;"*"))</f>
        <v/>
      </c>
      <c r="OI16" s="170">
        <f>SUMPRODUCT((Settings!$G$14:$G$43=$B16)*COUNTIF('INPUT - Roster'!$OY$6:$OY$206,"*"&amp;Settings!$F$14:$F$43&amp;"*"))</f>
        <v/>
      </c>
      <c r="OJ16" s="170">
        <f>SUMPRODUCT((Settings!$G$14:$G$43=$B16)*COUNTIF('INPUT - Roster'!$OZ$6:$OZ$206,"*"&amp;Settings!$F$14:$F$43&amp;"*"))</f>
        <v/>
      </c>
      <c r="OK16" s="170">
        <f>SUMPRODUCT((Settings!$G$14:$G$43=$B16)*COUNTIF('INPUT - Roster'!$PA$6:$PA$206,"*"&amp;Settings!$F$14:$F$43&amp;"*"))</f>
        <v/>
      </c>
      <c r="OL16" s="170">
        <f>SUMPRODUCT((Settings!$G$14:$G$43=$B16)*COUNTIF('INPUT - Roster'!$PB$6:$PB$206,"*"&amp;Settings!$F$14:$F$43&amp;"*"))</f>
        <v/>
      </c>
      <c r="OM16" s="170">
        <f>SUMPRODUCT((Settings!$G$14:$G$43=$B16)*COUNTIF('INPUT - Roster'!$PC$6:$PC$206,"*"&amp;Settings!$F$14:$F$43&amp;"*"))</f>
        <v/>
      </c>
      <c r="ON16" s="170">
        <f>SUMPRODUCT((Settings!$G$14:$G$43=$B16)*COUNTIF('INPUT - Roster'!$PD$6:$PD$206,"*"&amp;Settings!$F$14:$F$43&amp;"*"))</f>
        <v/>
      </c>
      <c r="OO16" s="170">
        <f>SUMPRODUCT((Settings!$G$14:$G$43=$B16)*COUNTIF('INPUT - Roster'!$PE$6:$PE$206,"*"&amp;Settings!$F$14:$F$43&amp;"*"))</f>
        <v/>
      </c>
      <c r="OP16" s="170">
        <f>SUMPRODUCT((Settings!$G$14:$G$43=$B16)*COUNTIF('INPUT - Roster'!$PF$6:$PF$206,"*"&amp;Settings!$F$14:$F$43&amp;"*"))</f>
        <v/>
      </c>
      <c r="OQ16" s="170">
        <f>SUMPRODUCT((Settings!$G$14:$G$43=$B16)*COUNTIF('INPUT - Roster'!$PG$6:$PG$206,"*"&amp;Settings!$F$14:$F$43&amp;"*"))</f>
        <v/>
      </c>
      <c r="OR16" s="170">
        <f>SUMPRODUCT((Settings!$G$14:$G$43=$B16)*COUNTIF('INPUT - Roster'!$PH$6:$PH$206,"*"&amp;Settings!$F$14:$F$43&amp;"*"))</f>
        <v/>
      </c>
      <c r="OS16" s="170">
        <f>SUMPRODUCT((Settings!$G$14:$G$43=$B16)*COUNTIF('INPUT - Roster'!$PI$6:$PI$206,"*"&amp;Settings!$F$14:$F$43&amp;"*"))</f>
        <v/>
      </c>
      <c r="OT16" s="170">
        <f>SUMPRODUCT((Settings!$G$14:$G$43=$B16)*COUNTIF('INPUT - Roster'!$PJ$6:$PJ$206,"*"&amp;Settings!$F$14:$F$43&amp;"*"))</f>
        <v/>
      </c>
      <c r="OU16" s="170">
        <f>SUMPRODUCT((Settings!$G$14:$G$43=$B16)*COUNTIF('INPUT - Roster'!$PK$6:$PK$206,"*"&amp;Settings!$F$14:$F$43&amp;"*"))</f>
        <v/>
      </c>
      <c r="OV16" s="170">
        <f>SUMPRODUCT((Settings!$G$14:$G$43=$B16)*COUNTIF('INPUT - Roster'!$PL$6:$PL$206,"*"&amp;Settings!$F$14:$F$43&amp;"*"))</f>
        <v/>
      </c>
      <c r="OW16" s="170">
        <f>SUMPRODUCT((Settings!$G$14:$G$43=$B16)*COUNTIF('INPUT - Roster'!$PM$6:$PM$206,"*"&amp;Settings!$F$14:$F$43&amp;"*"))</f>
        <v/>
      </c>
      <c r="OX16" s="170">
        <f>SUMPRODUCT((Settings!$G$14:$G$43=$B16)*COUNTIF('INPUT - Roster'!$PN$6:$PN$206,"*"&amp;Settings!$F$14:$F$43&amp;"*"))</f>
        <v/>
      </c>
      <c r="OY16" s="170">
        <f>SUMPRODUCT((Settings!$G$14:$G$43=$B16)*COUNTIF('INPUT - Roster'!$PO$6:$PO$206,"*"&amp;Settings!$F$14:$F$43&amp;"*"))</f>
        <v/>
      </c>
      <c r="OZ16" s="170">
        <f>SUMPRODUCT((Settings!$G$14:$G$43=$B16)*COUNTIF('INPUT - Roster'!$PP$6:$PP$206,"*"&amp;Settings!$F$14:$F$43&amp;"*"))</f>
        <v/>
      </c>
      <c r="PA16" s="170">
        <f>SUMPRODUCT((Settings!$G$14:$G$43=$B16)*COUNTIF('INPUT - Roster'!$PQ$6:$PQ$206,"*"&amp;Settings!$F$14:$F$43&amp;"*"))</f>
        <v/>
      </c>
      <c r="PB16" s="170">
        <f>SUMPRODUCT((Settings!$G$14:$G$43=$B16)*COUNTIF('INPUT - Roster'!$PR$6:$PR$206,"*"&amp;Settings!$F$14:$F$43&amp;"*"))</f>
        <v/>
      </c>
      <c r="PC16" s="170">
        <f>SUMPRODUCT((Settings!$G$14:$G$43=$B16)*COUNTIF('INPUT - Roster'!$PS$6:$PS$206,"*"&amp;Settings!$F$14:$F$43&amp;"*"))</f>
        <v/>
      </c>
      <c r="PD16" s="170">
        <f>SUMPRODUCT((Settings!$G$14:$G$43=$B16)*COUNTIF('INPUT - Roster'!$PT$6:$PT$206,"*"&amp;Settings!$F$14:$F$43&amp;"*"))</f>
        <v/>
      </c>
      <c r="PE16" s="170">
        <f>SUMPRODUCT((Settings!$G$14:$G$43=$B16)*COUNTIF('INPUT - Roster'!$PU$6:$PU$206,"*"&amp;Settings!$F$14:$F$43&amp;"*"))</f>
        <v/>
      </c>
      <c r="PF16" s="170">
        <f>SUMPRODUCT((Settings!$G$14:$G$43=$B16)*COUNTIF('INPUT - Roster'!$PV$6:$PV$206,"*"&amp;Settings!$F$14:$F$43&amp;"*"))</f>
        <v/>
      </c>
      <c r="PG16" s="170">
        <f>SUMPRODUCT((Settings!$G$14:$G$43=$B16)*COUNTIF('INPUT - Roster'!$PW$6:$PW$206,"*"&amp;Settings!$F$14:$F$43&amp;"*"))</f>
        <v/>
      </c>
      <c r="PH16" s="170">
        <f>SUMPRODUCT((Settings!$G$14:$G$43=$B16)*COUNTIF('INPUT - Roster'!$PX$6:$PX$206,"*"&amp;Settings!$F$14:$F$43&amp;"*"))</f>
        <v/>
      </c>
      <c r="PI16" s="170">
        <f>SUMPRODUCT((Settings!$G$14:$G$43=$B16)*COUNTIF('INPUT - Roster'!$PY$6:$PY$206,"*"&amp;Settings!$F$14:$F$43&amp;"*"))</f>
        <v/>
      </c>
      <c r="PJ16" s="170">
        <f>SUMPRODUCT((Settings!$G$14:$G$43=$B16)*COUNTIF('INPUT - Roster'!$PZ$6:$PZ$206,"*"&amp;Settings!$F$14:$F$43&amp;"*"))</f>
        <v/>
      </c>
      <c r="PK16" s="170">
        <f>SUMPRODUCT((Settings!$G$14:$G$43=$B16)*COUNTIF('INPUT - Roster'!$QA$6:$QA$206,"*"&amp;Settings!$F$14:$F$43&amp;"*"))</f>
        <v/>
      </c>
      <c r="PL16" s="170">
        <f>SUMPRODUCT((Settings!$G$14:$G$43=$B16)*COUNTIF('INPUT - Roster'!$QB$6:$QB$206,"*"&amp;Settings!$F$14:$F$43&amp;"*"))</f>
        <v/>
      </c>
      <c r="PM16" s="170">
        <f>SUMPRODUCT((Settings!$G$14:$G$43=$B16)*COUNTIF('INPUT - Roster'!$QC$6:$QC$206,"*"&amp;Settings!$F$14:$F$43&amp;"*"))</f>
        <v/>
      </c>
      <c r="PN16" s="170">
        <f>SUMPRODUCT((Settings!$G$14:$G$43=$B16)*COUNTIF('INPUT - Roster'!$QD$6:$QD$206,"*"&amp;Settings!$F$14:$F$43&amp;"*"))</f>
        <v/>
      </c>
      <c r="PO16" s="170">
        <f>SUMPRODUCT((Settings!$G$14:$G$43=$B16)*COUNTIF('INPUT - Roster'!$QE$6:$QE$206,"*"&amp;Settings!$F$14:$F$43&amp;"*"))</f>
        <v/>
      </c>
      <c r="PP16" s="170">
        <f>SUMPRODUCT((Settings!$G$14:$G$43=$B16)*COUNTIF('INPUT - Roster'!$QF$6:$QF$206,"*"&amp;Settings!$F$14:$F$43&amp;"*"))</f>
        <v/>
      </c>
      <c r="PQ16" s="170">
        <f>SUMPRODUCT((Settings!$G$14:$G$43=$B16)*COUNTIF('INPUT - Roster'!$QG$6:$QG$206,"*"&amp;Settings!$F$14:$F$43&amp;"*"))</f>
        <v/>
      </c>
      <c r="PR16" s="170">
        <f>SUMPRODUCT((Settings!$G$14:$G$43=$B16)*COUNTIF('INPUT - Roster'!$QH$6:$QH$206,"*"&amp;Settings!$F$14:$F$43&amp;"*"))</f>
        <v/>
      </c>
      <c r="PS16" s="170">
        <f>SUMPRODUCT((Settings!$G$14:$G$43=$B16)*COUNTIF('INPUT - Roster'!$QI$6:$QI$206,"*"&amp;Settings!$F$14:$F$43&amp;"*"))</f>
        <v/>
      </c>
      <c r="PT16" s="170">
        <f>SUMPRODUCT((Settings!$G$14:$G$43=$B16)*COUNTIF('INPUT - Roster'!$QJ$6:$QJ$206,"*"&amp;Settings!$F$14:$F$43&amp;"*"))</f>
        <v/>
      </c>
      <c r="PU16" s="170">
        <f>SUMPRODUCT((Settings!$G$14:$G$43=$B16)*COUNTIF('INPUT - Roster'!$QK$6:$QK$206,"*"&amp;Settings!$F$14:$F$43&amp;"*"))</f>
        <v/>
      </c>
      <c r="PV16" s="170">
        <f>SUMPRODUCT((Settings!$G$14:$G$43=$B16)*COUNTIF('INPUT - Roster'!$QL$6:$QL$206,"*"&amp;Settings!$F$14:$F$43&amp;"*"))</f>
        <v/>
      </c>
      <c r="PW16" s="170">
        <f>SUMPRODUCT((Settings!$G$14:$G$43=$B16)*COUNTIF('INPUT - Roster'!$QM$6:$QM$206,"*"&amp;Settings!$F$14:$F$43&amp;"*"))</f>
        <v/>
      </c>
      <c r="PX16" s="170">
        <f>SUMPRODUCT((Settings!$G$14:$G$43=$B16)*COUNTIF('INPUT - Roster'!$QN$6:$QN$206,"*"&amp;Settings!$F$14:$F$43&amp;"*"))</f>
        <v/>
      </c>
      <c r="PY16" s="170">
        <f>SUMPRODUCT((Settings!$G$14:$G$43=$B16)*COUNTIF('INPUT - Roster'!$QO$6:$QO$206,"*"&amp;Settings!$F$14:$F$43&amp;"*"))</f>
        <v/>
      </c>
      <c r="PZ16" s="170">
        <f>SUMPRODUCT((Settings!$G$14:$G$43=$B16)*COUNTIF('INPUT - Roster'!$QP$6:$QP$206,"*"&amp;Settings!$F$14:$F$43&amp;"*"))</f>
        <v/>
      </c>
      <c r="QA16" s="170">
        <f>SUMPRODUCT((Settings!$G$14:$G$43=$B16)*COUNTIF('INPUT - Roster'!$QQ$6:$QQ$206,"*"&amp;Settings!$F$14:$F$43&amp;"*"))</f>
        <v/>
      </c>
      <c r="QB16" s="170">
        <f>SUMPRODUCT((Settings!$G$14:$G$43=$B16)*COUNTIF('INPUT - Roster'!$QR$6:$QR$206,"*"&amp;Settings!$F$14:$F$43&amp;"*"))</f>
        <v/>
      </c>
      <c r="QC16" s="170">
        <f>SUMPRODUCT((Settings!$G$14:$G$43=$B16)*COUNTIF('INPUT - Roster'!$QS$6:$QS$206,"*"&amp;Settings!$F$14:$F$43&amp;"*"))</f>
        <v/>
      </c>
      <c r="QD16" s="170">
        <f>SUMPRODUCT((Settings!$G$14:$G$43=$B16)*COUNTIF('INPUT - Roster'!$QT$6:$QT$206,"*"&amp;Settings!$F$14:$F$43&amp;"*"))</f>
        <v/>
      </c>
      <c r="QE16" s="170">
        <f>SUMPRODUCT((Settings!$G$14:$G$43=$B16)*COUNTIF('INPUT - Roster'!$QU$6:$QU$206,"*"&amp;Settings!$F$14:$F$43&amp;"*"))</f>
        <v/>
      </c>
      <c r="QF16" s="170">
        <f>SUMPRODUCT((Settings!$G$14:$G$43=$B16)*COUNTIF('INPUT - Roster'!$QV$6:$QV$206,"*"&amp;Settings!$F$14:$F$43&amp;"*"))</f>
        <v/>
      </c>
      <c r="QG16" s="170">
        <f>SUMPRODUCT((Settings!$G$14:$G$43=$B16)*COUNTIF('INPUT - Roster'!$QW$6:$QW$206,"*"&amp;Settings!$F$14:$F$43&amp;"*"))</f>
        <v/>
      </c>
      <c r="QH16" s="170">
        <f>SUMPRODUCT((Settings!$G$14:$G$43=$B16)*COUNTIF('INPUT - Roster'!$QX$6:$QX$206,"*"&amp;Settings!$F$14:$F$43&amp;"*"))</f>
        <v/>
      </c>
      <c r="QI16" s="170">
        <f>SUMPRODUCT((Settings!$G$14:$G$43=$B16)*COUNTIF('INPUT - Roster'!$QY$6:$QY$206,"*"&amp;Settings!$F$14:$F$43&amp;"*"))</f>
        <v/>
      </c>
      <c r="QJ16" s="170">
        <f>SUMPRODUCT((Settings!$G$14:$G$43=$B16)*COUNTIF('INPUT - Roster'!$QZ$6:$QZ$206,"*"&amp;Settings!$F$14:$F$43&amp;"*"))</f>
        <v/>
      </c>
      <c r="QK16" s="170">
        <f>SUMPRODUCT((Settings!$G$14:$G$43=$B16)*COUNTIF('INPUT - Roster'!$RA$6:$RA$206,"*"&amp;Settings!$F$14:$F$43&amp;"*"))</f>
        <v/>
      </c>
      <c r="QL16" s="170">
        <f>SUMPRODUCT((Settings!$G$14:$G$43=$B16)*COUNTIF('INPUT - Roster'!$RB$6:$RB$206,"*"&amp;Settings!$F$14:$F$43&amp;"*"))</f>
        <v/>
      </c>
      <c r="QM16" s="170">
        <f>SUMPRODUCT((Settings!$G$14:$G$43=$B16)*COUNTIF('INPUT - Roster'!$RC$6:$RC$206,"*"&amp;Settings!$F$14:$F$43&amp;"*"))</f>
        <v/>
      </c>
      <c r="QN16" s="170">
        <f>SUMPRODUCT((Settings!$G$14:$G$43=$B16)*COUNTIF('INPUT - Roster'!$RD$6:$RD$206,"*"&amp;Settings!$F$14:$F$43&amp;"*"))</f>
        <v/>
      </c>
      <c r="QO16" s="170">
        <f>SUMPRODUCT((Settings!$G$14:$G$43=$B16)*COUNTIF('INPUT - Roster'!$RE$6:$RE$206,"*"&amp;Settings!$F$14:$F$43&amp;"*"))</f>
        <v/>
      </c>
      <c r="QP16" s="170">
        <f>SUMPRODUCT((Settings!$G$14:$G$43=$B16)*COUNTIF('INPUT - Roster'!$RF$6:$RF$206,"*"&amp;Settings!$F$14:$F$43&amp;"*"))</f>
        <v/>
      </c>
      <c r="QQ16" s="170">
        <f>SUMPRODUCT((Settings!$G$14:$G$43=$B16)*COUNTIF('INPUT - Roster'!$RG$6:$RG$206,"*"&amp;Settings!$F$14:$F$43&amp;"*"))</f>
        <v/>
      </c>
      <c r="QR16" s="170">
        <f>SUMPRODUCT((Settings!$G$14:$G$43=$B16)*COUNTIF('INPUT - Roster'!$RH$6:$RH$206,"*"&amp;Settings!$F$14:$F$43&amp;"*"))</f>
        <v/>
      </c>
      <c r="QS16" s="170">
        <f>SUMPRODUCT((Settings!$G$14:$G$43=$B16)*COUNTIF('INPUT - Roster'!$RI$6:$RI$206,"*"&amp;Settings!$F$14:$F$43&amp;"*"))</f>
        <v/>
      </c>
      <c r="QT16" s="170">
        <f>SUMPRODUCT((Settings!$G$14:$G$43=$B16)*COUNTIF('INPUT - Roster'!$RJ$6:$RJ$206,"*"&amp;Settings!$F$14:$F$43&amp;"*"))</f>
        <v/>
      </c>
      <c r="QU16" s="170">
        <f>SUMPRODUCT((Settings!$G$14:$G$43=$B16)*COUNTIF('INPUT - Roster'!$RK$6:$RK$206,"*"&amp;Settings!$F$14:$F$43&amp;"*"))</f>
        <v/>
      </c>
      <c r="QV16" s="170">
        <f>SUMPRODUCT((Settings!$G$14:$G$43=$B16)*COUNTIF('INPUT - Roster'!$RL$6:$RL$206,"*"&amp;Settings!$F$14:$F$43&amp;"*"))</f>
        <v/>
      </c>
      <c r="QW16" s="170">
        <f>SUMPRODUCT((Settings!$G$14:$G$43=$B16)*COUNTIF('INPUT - Roster'!$RM$6:$RM$206,"*"&amp;Settings!$F$14:$F$43&amp;"*"))</f>
        <v/>
      </c>
      <c r="QX16" s="170">
        <f>SUMPRODUCT((Settings!$G$14:$G$43=$B16)*COUNTIF('INPUT - Roster'!$RN$6:$RN$206,"*"&amp;Settings!$F$14:$F$43&amp;"*"))</f>
        <v/>
      </c>
      <c r="QY16" s="170">
        <f>SUMPRODUCT((Settings!$G$14:$G$43=$B16)*COUNTIF('INPUT - Roster'!$RO$6:$RO$206,"*"&amp;Settings!$F$14:$F$43&amp;"*"))</f>
        <v/>
      </c>
      <c r="QZ16" s="170">
        <f>SUMPRODUCT((Settings!$G$14:$G$43=$B16)*COUNTIF('INPUT - Roster'!$RP$6:$RP$206,"*"&amp;Settings!$F$14:$F$43&amp;"*"))</f>
        <v/>
      </c>
      <c r="RA16" s="170">
        <f>SUMPRODUCT((Settings!$G$14:$G$43=$B16)*COUNTIF('INPUT - Roster'!$RQ$6:$RQ$206,"*"&amp;Settings!$F$14:$F$43&amp;"*"))</f>
        <v/>
      </c>
      <c r="RB16" s="170">
        <f>SUMPRODUCT((Settings!$G$14:$G$43=$B16)*COUNTIF('INPUT - Roster'!$RR$6:$RR$206,"*"&amp;Settings!$F$14:$F$43&amp;"*"))</f>
        <v/>
      </c>
      <c r="RC16" s="170">
        <f>SUMPRODUCT((Settings!$G$14:$G$43=$B16)*COUNTIF('INPUT - Roster'!$RS$6:$RS$206,"*"&amp;Settings!$F$14:$F$43&amp;"*"))</f>
        <v/>
      </c>
      <c r="RD16" s="170">
        <f>SUMPRODUCT((Settings!$G$14:$G$43=$B16)*COUNTIF('INPUT - Roster'!$RT$6:$RT$206,"*"&amp;Settings!$F$14:$F$43&amp;"*"))</f>
        <v/>
      </c>
      <c r="RE16" s="170">
        <f>SUMPRODUCT((Settings!$G$14:$G$43=$B16)*COUNTIF('INPUT - Roster'!$RU$6:$RU$206,"*"&amp;Settings!$F$14:$F$43&amp;"*"))</f>
        <v/>
      </c>
      <c r="RF16" s="170">
        <f>SUMPRODUCT((Settings!$G$14:$G$43=$B16)*COUNTIF('INPUT - Roster'!$RV$6:$RV$206,"*"&amp;Settings!$F$14:$F$43&amp;"*"))</f>
        <v/>
      </c>
      <c r="RG16" s="170">
        <f>SUMPRODUCT((Settings!$G$14:$G$43=$B16)*COUNTIF('INPUT - Roster'!$RW$6:$RW$206,"*"&amp;Settings!$F$14:$F$43&amp;"*"))</f>
        <v/>
      </c>
      <c r="RH16" s="170">
        <f>SUMPRODUCT((Settings!$G$14:$G$43=$B16)*COUNTIF('INPUT - Roster'!$RX$6:$RX$206,"*"&amp;Settings!$F$14:$F$43&amp;"*"))</f>
        <v/>
      </c>
      <c r="RI16" s="170">
        <f>SUMPRODUCT((Settings!$G$14:$G$43=$B16)*COUNTIF('INPUT - Roster'!$RY$6:$RY$206,"*"&amp;Settings!$F$14:$F$43&amp;"*"))</f>
        <v/>
      </c>
      <c r="RJ16" s="170">
        <f>SUMPRODUCT((Settings!$G$14:$G$43=$B16)*COUNTIF('INPUT - Roster'!$RZ$6:$RZ$206,"*"&amp;Settings!$F$14:$F$43&amp;"*"))</f>
        <v/>
      </c>
      <c r="RK16" s="170">
        <f>SUMPRODUCT((Settings!$G$14:$G$43=$B16)*COUNTIF('INPUT - Roster'!$SA$6:$SA$206,"*"&amp;Settings!$F$14:$F$43&amp;"*"))</f>
        <v/>
      </c>
      <c r="RL16" s="170">
        <f>SUMPRODUCT((Settings!$G$14:$G$43=$B16)*COUNTIF('INPUT - Roster'!$SB$6:$SB$206,"*"&amp;Settings!$F$14:$F$43&amp;"*"))</f>
        <v/>
      </c>
      <c r="RM16" s="170">
        <f>SUMPRODUCT((Settings!$G$14:$G$43=$B16)*COUNTIF('INPUT - Roster'!$SC$6:$SC$206,"*"&amp;Settings!$F$14:$F$43&amp;"*"))</f>
        <v/>
      </c>
      <c r="RN16" s="170">
        <f>SUMPRODUCT((Settings!$G$14:$G$43=$B16)*COUNTIF('INPUT - Roster'!$SD$6:$SD$206,"*"&amp;Settings!$F$14:$F$43&amp;"*"))</f>
        <v/>
      </c>
      <c r="RO16" s="170">
        <f>SUMPRODUCT((Settings!$G$14:$G$43=$B16)*COUNTIF('INPUT - Roster'!$SE$6:$SE$206,"*"&amp;Settings!$F$14:$F$43&amp;"*"))</f>
        <v/>
      </c>
      <c r="RP16" s="170">
        <f>SUMPRODUCT((Settings!$G$14:$G$43=$B16)*COUNTIF('INPUT - Roster'!$SF$6:$SF$206,"*"&amp;Settings!$F$14:$F$43&amp;"*"))</f>
        <v/>
      </c>
      <c r="RQ16" s="170">
        <f>SUMPRODUCT((Settings!$G$14:$G$43=$B16)*COUNTIF('INPUT - Roster'!$SG$6:$SG$206,"*"&amp;Settings!$F$14:$F$43&amp;"*"))</f>
        <v/>
      </c>
      <c r="RR16" s="170">
        <f>SUMPRODUCT((Settings!$G$14:$G$43=$B16)*COUNTIF('INPUT - Roster'!$SH$6:$SH$206,"*"&amp;Settings!$F$14:$F$43&amp;"*"))</f>
        <v/>
      </c>
      <c r="RS16" s="170">
        <f>SUMPRODUCT((Settings!$G$14:$G$43=$B16)*COUNTIF('INPUT - Roster'!$SI$6:$SI$206,"*"&amp;Settings!$F$14:$F$43&amp;"*"))</f>
        <v/>
      </c>
      <c r="RT16" s="170">
        <f>SUMPRODUCT((Settings!$G$14:$G$43=$B16)*COUNTIF('INPUT - Roster'!$SJ$6:$SJ$206,"*"&amp;Settings!$F$14:$F$43&amp;"*"))</f>
        <v/>
      </c>
      <c r="RU16" s="170">
        <f>SUMPRODUCT((Settings!$G$14:$G$43=$B16)*COUNTIF('INPUT - Roster'!$SK$6:$SK$206,"*"&amp;Settings!$F$14:$F$43&amp;"*"))</f>
        <v/>
      </c>
      <c r="RV16" s="170">
        <f>SUMPRODUCT((Settings!$G$14:$G$43=$B16)*COUNTIF('INPUT - Roster'!$SL$6:$SL$206,"*"&amp;Settings!$F$14:$F$43&amp;"*"))</f>
        <v/>
      </c>
      <c r="RW16" s="170">
        <f>SUMPRODUCT((Settings!$G$14:$G$43=$B16)*COUNTIF('INPUT - Roster'!$SM$6:$SM$206,"*"&amp;Settings!$F$14:$F$43&amp;"*"))</f>
        <v/>
      </c>
      <c r="RX16" s="170">
        <f>SUMPRODUCT((Settings!$G$14:$G$43=$B16)*COUNTIF('INPUT - Roster'!$SN$6:$SN$206,"*"&amp;Settings!$F$14:$F$43&amp;"*"))</f>
        <v/>
      </c>
      <c r="RY16" s="170">
        <f>SUMPRODUCT((Settings!$G$14:$G$43=$B16)*COUNTIF('INPUT - Roster'!$SO$6:$SO$206,"*"&amp;Settings!$F$14:$F$43&amp;"*"))</f>
        <v/>
      </c>
      <c r="RZ16" s="170">
        <f>SUMPRODUCT((Settings!$G$14:$G$43=$B16)*COUNTIF('INPUT - Roster'!$SP$6:$SP$206,"*"&amp;Settings!$F$14:$F$43&amp;"*"))</f>
        <v/>
      </c>
      <c r="SA16" s="170">
        <f>SUMPRODUCT((Settings!$G$14:$G$43=$B16)*COUNTIF('INPUT - Roster'!$SQ$6:$SQ$206,"*"&amp;Settings!$F$14:$F$43&amp;"*"))</f>
        <v/>
      </c>
      <c r="SB16" s="170">
        <f>SUMPRODUCT((Settings!$G$14:$G$43=$B16)*COUNTIF('INPUT - Roster'!$SR$6:$SR$206,"*"&amp;Settings!$F$14:$F$43&amp;"*"))</f>
        <v/>
      </c>
      <c r="SC16" s="170">
        <f>SUMPRODUCT((Settings!$G$14:$G$43=$B16)*COUNTIF('INPUT - Roster'!$SS$6:$SS$206,"*"&amp;Settings!$F$14:$F$43&amp;"*"))</f>
        <v/>
      </c>
      <c r="SD16" s="170">
        <f>SUMPRODUCT((Settings!$G$14:$G$43=$B16)*COUNTIF('INPUT - Roster'!$ST$6:$ST$206,"*"&amp;Settings!$F$14:$F$43&amp;"*"))</f>
        <v/>
      </c>
      <c r="SE16" s="170">
        <f>SUMPRODUCT((Settings!$G$14:$G$43=$B16)*COUNTIF('INPUT - Roster'!$SU$6:$SU$206,"*"&amp;Settings!$F$14:$F$43&amp;"*"))</f>
        <v/>
      </c>
      <c r="SF16" s="170">
        <f>SUMPRODUCT((Settings!$G$14:$G$43=$B16)*COUNTIF('INPUT - Roster'!$SV$6:$SV$206,"*"&amp;Settings!$F$14:$F$43&amp;"*"))</f>
        <v/>
      </c>
    </row>
    <row r="17">
      <c r="B17" s="169" t="inlineStr">
        <is>
          <t>Packsaddle</t>
        </is>
      </c>
      <c r="C17" s="170">
        <f>SUMPRODUCT((Settings!$G$14:$G$43=$B17)*COUNTIF('INPUT - Roster'!$S$6:$S$206,"*"&amp;Settings!$F$14:$F$43&amp;"*"))</f>
        <v/>
      </c>
      <c r="D17" s="170">
        <f>SUMPRODUCT((Settings!$G$14:$G$43=$B17)*COUNTIF('INPUT - Roster'!$T$6:$T$206,"*"&amp;Settings!$F$14:$F$43&amp;"*"))</f>
        <v/>
      </c>
      <c r="E17" s="170">
        <f>SUMPRODUCT((Settings!$G$14:$G$43=$B17)*COUNTIF('INPUT - Roster'!$U$6:$U$206,"*"&amp;Settings!$F$14:$F$43&amp;"*"))</f>
        <v/>
      </c>
      <c r="F17" s="170">
        <f>SUMPRODUCT((Settings!$G$14:$G$43=$B17)*COUNTIF('INPUT - Roster'!$V$6:$V$206,"*"&amp;Settings!$F$14:$F$43&amp;"*"))</f>
        <v/>
      </c>
      <c r="G17" s="170">
        <f>SUMPRODUCT((Settings!$G$14:$G$43=$B17)*COUNTIF('INPUT - Roster'!$W$6:$W$206,"*"&amp;Settings!$F$14:$F$43&amp;"*"))</f>
        <v/>
      </c>
      <c r="H17" s="170">
        <f>SUMPRODUCT((Settings!$G$14:$G$43=$B17)*COUNTIF('INPUT - Roster'!$X$6:$X$206,"*"&amp;Settings!$F$14:$F$43&amp;"*"))</f>
        <v/>
      </c>
      <c r="I17" s="170">
        <f>SUMPRODUCT((Settings!$G$14:$G$43=$B17)*COUNTIF('INPUT - Roster'!$Y$6:$Y$206,"*"&amp;Settings!$F$14:$F$43&amp;"*"))</f>
        <v/>
      </c>
      <c r="J17" s="170">
        <f>SUMPRODUCT((Settings!$G$14:$G$43=$B17)*COUNTIF('INPUT - Roster'!$Z$6:$Z$206,"*"&amp;Settings!$F$14:$F$43&amp;"*"))</f>
        <v/>
      </c>
      <c r="K17" s="170">
        <f>SUMPRODUCT((Settings!$G$14:$G$43=$B17)*COUNTIF('INPUT - Roster'!$AA$6:$AA$206,"*"&amp;Settings!$F$14:$F$43&amp;"*"))</f>
        <v/>
      </c>
      <c r="L17" s="170">
        <f>SUMPRODUCT((Settings!$G$14:$G$43=$B17)*COUNTIF('INPUT - Roster'!$AB$6:$AB$206,"*"&amp;Settings!$F$14:$F$43&amp;"*"))</f>
        <v/>
      </c>
      <c r="M17" s="170">
        <f>SUMPRODUCT((Settings!$G$14:$G$43=$B17)*COUNTIF('INPUT - Roster'!$AC$6:$AC$206,"*"&amp;Settings!$F$14:$F$43&amp;"*"))</f>
        <v/>
      </c>
      <c r="N17" s="170">
        <f>SUMPRODUCT((Settings!$G$14:$G$43=$B17)*COUNTIF('INPUT - Roster'!$AD$6:$AD$206,"*"&amp;Settings!$F$14:$F$43&amp;"*"))</f>
        <v/>
      </c>
      <c r="O17" s="170">
        <f>SUMPRODUCT((Settings!$G$14:$G$43=$B17)*COUNTIF('INPUT - Roster'!$AE$6:$AE$206,"*"&amp;Settings!$F$14:$F$43&amp;"*"))</f>
        <v/>
      </c>
      <c r="P17" s="170">
        <f>SUMPRODUCT((Settings!$G$14:$G$43=$B17)*COUNTIF('INPUT - Roster'!$AF$6:$AF$206,"*"&amp;Settings!$F$14:$F$43&amp;"*"))</f>
        <v/>
      </c>
      <c r="Q17" s="170">
        <f>SUMPRODUCT((Settings!$G$14:$G$43=$B17)*COUNTIF('INPUT - Roster'!$AG$6:$AG$206,"*"&amp;Settings!$F$14:$F$43&amp;"*"))</f>
        <v/>
      </c>
      <c r="R17" s="170">
        <f>SUMPRODUCT((Settings!$G$14:$G$43=$B17)*COUNTIF('INPUT - Roster'!$AH$6:$AH$206,"*"&amp;Settings!$F$14:$F$43&amp;"*"))</f>
        <v/>
      </c>
      <c r="S17" s="170">
        <f>SUMPRODUCT((Settings!$G$14:$G$43=$B17)*COUNTIF('INPUT - Roster'!$AI$6:$AI$206,"*"&amp;Settings!$F$14:$F$43&amp;"*"))</f>
        <v/>
      </c>
      <c r="T17" s="170">
        <f>SUMPRODUCT((Settings!$G$14:$G$43=$B17)*COUNTIF('INPUT - Roster'!$AJ$6:$AJ$206,"*"&amp;Settings!$F$14:$F$43&amp;"*"))</f>
        <v/>
      </c>
      <c r="U17" s="170">
        <f>SUMPRODUCT((Settings!$G$14:$G$43=$B17)*COUNTIF('INPUT - Roster'!$AK$6:$AK$206,"*"&amp;Settings!$F$14:$F$43&amp;"*"))</f>
        <v/>
      </c>
      <c r="V17" s="170">
        <f>SUMPRODUCT((Settings!$G$14:$G$43=$B17)*COUNTIF('INPUT - Roster'!$AL$6:$AL$206,"*"&amp;Settings!$F$14:$F$43&amp;"*"))</f>
        <v/>
      </c>
      <c r="W17" s="170">
        <f>SUMPRODUCT((Settings!$G$14:$G$43=$B17)*COUNTIF('INPUT - Roster'!$AM$6:$AM$206,"*"&amp;Settings!$F$14:$F$43&amp;"*"))</f>
        <v/>
      </c>
      <c r="X17" s="170">
        <f>SUMPRODUCT((Settings!$G$14:$G$43=$B17)*COUNTIF('INPUT - Roster'!$AN$6:$AN$206,"*"&amp;Settings!$F$14:$F$43&amp;"*"))</f>
        <v/>
      </c>
      <c r="Y17" s="170">
        <f>SUMPRODUCT((Settings!$G$14:$G$43=$B17)*COUNTIF('INPUT - Roster'!$AO$6:$AO$206,"*"&amp;Settings!$F$14:$F$43&amp;"*"))</f>
        <v/>
      </c>
      <c r="Z17" s="170">
        <f>SUMPRODUCT((Settings!$G$14:$G$43=$B17)*COUNTIF('INPUT - Roster'!$AP$6:$AP$206,"*"&amp;Settings!$F$14:$F$43&amp;"*"))</f>
        <v/>
      </c>
      <c r="AA17" s="170">
        <f>SUMPRODUCT((Settings!$G$14:$G$43=$B17)*COUNTIF('INPUT - Roster'!$AQ$6:$AQ$206,"*"&amp;Settings!$F$14:$F$43&amp;"*"))</f>
        <v/>
      </c>
      <c r="AB17" s="170">
        <f>SUMPRODUCT((Settings!$G$14:$G$43=$B17)*COUNTIF('INPUT - Roster'!$AR$6:$AR$206,"*"&amp;Settings!$F$14:$F$43&amp;"*"))</f>
        <v/>
      </c>
      <c r="AC17" s="170">
        <f>SUMPRODUCT((Settings!$G$14:$G$43=$B17)*COUNTIF('INPUT - Roster'!$AS$6:$AS$206,"*"&amp;Settings!$F$14:$F$43&amp;"*"))</f>
        <v/>
      </c>
      <c r="AD17" s="170">
        <f>SUMPRODUCT((Settings!$G$14:$G$43=$B17)*COUNTIF('INPUT - Roster'!$AT$6:$AT$206,"*"&amp;Settings!$F$14:$F$43&amp;"*"))</f>
        <v/>
      </c>
      <c r="AE17" s="170">
        <f>SUMPRODUCT((Settings!$G$14:$G$43=$B17)*COUNTIF('INPUT - Roster'!$AU$6:$AU$206,"*"&amp;Settings!$F$14:$F$43&amp;"*"))</f>
        <v/>
      </c>
      <c r="AF17" s="170">
        <f>SUMPRODUCT((Settings!$G$14:$G$43=$B17)*COUNTIF('INPUT - Roster'!$AV$6:$AV$206,"*"&amp;Settings!$F$14:$F$43&amp;"*"))</f>
        <v/>
      </c>
      <c r="AG17" s="170">
        <f>SUMPRODUCT((Settings!$G$14:$G$43=$B17)*COUNTIF('INPUT - Roster'!$AW$6:$AW$206,"*"&amp;Settings!$F$14:$F$43&amp;"*"))</f>
        <v/>
      </c>
      <c r="AH17" s="170">
        <f>SUMPRODUCT((Settings!$G$14:$G$43=$B17)*COUNTIF('INPUT - Roster'!$AX$6:$AX$206,"*"&amp;Settings!$F$14:$F$43&amp;"*"))</f>
        <v/>
      </c>
      <c r="AI17" s="170">
        <f>SUMPRODUCT((Settings!$G$14:$G$43=$B17)*COUNTIF('INPUT - Roster'!$AY$6:$AY$206,"*"&amp;Settings!$F$14:$F$43&amp;"*"))</f>
        <v/>
      </c>
      <c r="AJ17" s="170">
        <f>SUMPRODUCT((Settings!$G$14:$G$43=$B17)*COUNTIF('INPUT - Roster'!$AZ$6:$AZ$206,"*"&amp;Settings!$F$14:$F$43&amp;"*"))</f>
        <v/>
      </c>
      <c r="AK17" s="170">
        <f>SUMPRODUCT((Settings!$G$14:$G$43=$B17)*COUNTIF('INPUT - Roster'!$BA$6:$BA$206,"*"&amp;Settings!$F$14:$F$43&amp;"*"))</f>
        <v/>
      </c>
      <c r="AL17" s="170">
        <f>SUMPRODUCT((Settings!$G$14:$G$43=$B17)*COUNTIF('INPUT - Roster'!$BB$6:$BB$206,"*"&amp;Settings!$F$14:$F$43&amp;"*"))</f>
        <v/>
      </c>
      <c r="AM17" s="170">
        <f>SUMPRODUCT((Settings!$G$14:$G$43=$B17)*COUNTIF('INPUT - Roster'!$BC$6:$BC$206,"*"&amp;Settings!$F$14:$F$43&amp;"*"))</f>
        <v/>
      </c>
      <c r="AN17" s="170">
        <f>SUMPRODUCT((Settings!$G$14:$G$43=$B17)*COUNTIF('INPUT - Roster'!$BD$6:$BD$206,"*"&amp;Settings!$F$14:$F$43&amp;"*"))</f>
        <v/>
      </c>
      <c r="AO17" s="170">
        <f>SUMPRODUCT((Settings!$G$14:$G$43=$B17)*COUNTIF('INPUT - Roster'!$BE$6:$BE$206,"*"&amp;Settings!$F$14:$F$43&amp;"*"))</f>
        <v/>
      </c>
      <c r="AP17" s="170">
        <f>SUMPRODUCT((Settings!$G$14:$G$43=$B17)*COUNTIF('INPUT - Roster'!$BF$6:$BF$206,"*"&amp;Settings!$F$14:$F$43&amp;"*"))</f>
        <v/>
      </c>
      <c r="AQ17" s="170">
        <f>SUMPRODUCT((Settings!$G$14:$G$43=$B17)*COUNTIF('INPUT - Roster'!$BG$6:$BG$206,"*"&amp;Settings!$F$14:$F$43&amp;"*"))</f>
        <v/>
      </c>
      <c r="AR17" s="170">
        <f>SUMPRODUCT((Settings!$G$14:$G$43=$B17)*COUNTIF('INPUT - Roster'!$BH$6:$BH$206,"*"&amp;Settings!$F$14:$F$43&amp;"*"))</f>
        <v/>
      </c>
      <c r="AS17" s="170">
        <f>SUMPRODUCT((Settings!$G$14:$G$43=$B17)*COUNTIF('INPUT - Roster'!$BI$6:$BI$206,"*"&amp;Settings!$F$14:$F$43&amp;"*"))</f>
        <v/>
      </c>
      <c r="AT17" s="170">
        <f>SUMPRODUCT((Settings!$G$14:$G$43=$B17)*COUNTIF('INPUT - Roster'!$BJ$6:$BJ$206,"*"&amp;Settings!$F$14:$F$43&amp;"*"))</f>
        <v/>
      </c>
      <c r="AU17" s="170">
        <f>SUMPRODUCT((Settings!$G$14:$G$43=$B17)*COUNTIF('INPUT - Roster'!$BK$6:$BK$206,"*"&amp;Settings!$F$14:$F$43&amp;"*"))</f>
        <v/>
      </c>
      <c r="AV17" s="170">
        <f>SUMPRODUCT((Settings!$G$14:$G$43=$B17)*COUNTIF('INPUT - Roster'!$BL$6:$BL$206,"*"&amp;Settings!$F$14:$F$43&amp;"*"))</f>
        <v/>
      </c>
      <c r="AW17" s="170">
        <f>SUMPRODUCT((Settings!$G$14:$G$43=$B17)*COUNTIF('INPUT - Roster'!$BM$6:$BM$206,"*"&amp;Settings!$F$14:$F$43&amp;"*"))</f>
        <v/>
      </c>
      <c r="AX17" s="170">
        <f>SUMPRODUCT((Settings!$G$14:$G$43=$B17)*COUNTIF('INPUT - Roster'!$BN$6:$BN$206,"*"&amp;Settings!$F$14:$F$43&amp;"*"))</f>
        <v/>
      </c>
      <c r="AY17" s="170">
        <f>SUMPRODUCT((Settings!$G$14:$G$43=$B17)*COUNTIF('INPUT - Roster'!$BO$6:$BO$206,"*"&amp;Settings!$F$14:$F$43&amp;"*"))</f>
        <v/>
      </c>
      <c r="AZ17" s="170">
        <f>SUMPRODUCT((Settings!$G$14:$G$43=$B17)*COUNTIF('INPUT - Roster'!$BP$6:$BP$206,"*"&amp;Settings!$F$14:$F$43&amp;"*"))</f>
        <v/>
      </c>
      <c r="BA17" s="170">
        <f>SUMPRODUCT((Settings!$G$14:$G$43=$B17)*COUNTIF('INPUT - Roster'!$BQ$6:$BQ$206,"*"&amp;Settings!$F$14:$F$43&amp;"*"))</f>
        <v/>
      </c>
      <c r="BB17" s="170">
        <f>SUMPRODUCT((Settings!$G$14:$G$43=$B17)*COUNTIF('INPUT - Roster'!$BR$6:$BR$206,"*"&amp;Settings!$F$14:$F$43&amp;"*"))</f>
        <v/>
      </c>
      <c r="BC17" s="170">
        <f>SUMPRODUCT((Settings!$G$14:$G$43=$B17)*COUNTIF('INPUT - Roster'!$BS$6:$BS$206,"*"&amp;Settings!$F$14:$F$43&amp;"*"))</f>
        <v/>
      </c>
      <c r="BD17" s="170">
        <f>SUMPRODUCT((Settings!$G$14:$G$43=$B17)*COUNTIF('INPUT - Roster'!$BT$6:$BT$206,"*"&amp;Settings!$F$14:$F$43&amp;"*"))</f>
        <v/>
      </c>
      <c r="BE17" s="170">
        <f>SUMPRODUCT((Settings!$G$14:$G$43=$B17)*COUNTIF('INPUT - Roster'!$BU$6:$BU$206,"*"&amp;Settings!$F$14:$F$43&amp;"*"))</f>
        <v/>
      </c>
      <c r="BF17" s="170">
        <f>SUMPRODUCT((Settings!$G$14:$G$43=$B17)*COUNTIF('INPUT - Roster'!$BV$6:$BV$206,"*"&amp;Settings!$F$14:$F$43&amp;"*"))</f>
        <v/>
      </c>
      <c r="BG17" s="170">
        <f>SUMPRODUCT((Settings!$G$14:$G$43=$B17)*COUNTIF('INPUT - Roster'!$BW$6:$BW$206,"*"&amp;Settings!$F$14:$F$43&amp;"*"))</f>
        <v/>
      </c>
      <c r="BH17" s="170">
        <f>SUMPRODUCT((Settings!$G$14:$G$43=$B17)*COUNTIF('INPUT - Roster'!$BX$6:$BX$206,"*"&amp;Settings!$F$14:$F$43&amp;"*"))</f>
        <v/>
      </c>
      <c r="BI17" s="170">
        <f>SUMPRODUCT((Settings!$G$14:$G$43=$B17)*COUNTIF('INPUT - Roster'!$BY$6:$BY$206,"*"&amp;Settings!$F$14:$F$43&amp;"*"))</f>
        <v/>
      </c>
      <c r="BJ17" s="170">
        <f>SUMPRODUCT((Settings!$G$14:$G$43=$B17)*COUNTIF('INPUT - Roster'!$BZ$6:$BZ$206,"*"&amp;Settings!$F$14:$F$43&amp;"*"))</f>
        <v/>
      </c>
      <c r="BK17" s="170">
        <f>SUMPRODUCT((Settings!$G$14:$G$43=$B17)*COUNTIF('INPUT - Roster'!$CA$6:$CA$206,"*"&amp;Settings!$F$14:$F$43&amp;"*"))</f>
        <v/>
      </c>
      <c r="BL17" s="170">
        <f>SUMPRODUCT((Settings!$G$14:$G$43=$B17)*COUNTIF('INPUT - Roster'!$CB$6:$CB$206,"*"&amp;Settings!$F$14:$F$43&amp;"*"))</f>
        <v/>
      </c>
      <c r="BM17" s="170">
        <f>SUMPRODUCT((Settings!$G$14:$G$43=$B17)*COUNTIF('INPUT - Roster'!$CC$6:$CC$206,"*"&amp;Settings!$F$14:$F$43&amp;"*"))</f>
        <v/>
      </c>
      <c r="BN17" s="170">
        <f>SUMPRODUCT((Settings!$G$14:$G$43=$B17)*COUNTIF('INPUT - Roster'!$CD$6:$CD$206,"*"&amp;Settings!$F$14:$F$43&amp;"*"))</f>
        <v/>
      </c>
      <c r="BO17" s="170">
        <f>SUMPRODUCT((Settings!$G$14:$G$43=$B17)*COUNTIF('INPUT - Roster'!$CE$6:$CE$206,"*"&amp;Settings!$F$14:$F$43&amp;"*"))</f>
        <v/>
      </c>
      <c r="BP17" s="170">
        <f>SUMPRODUCT((Settings!$G$14:$G$43=$B17)*COUNTIF('INPUT - Roster'!$CF$6:$CF$206,"*"&amp;Settings!$F$14:$F$43&amp;"*"))</f>
        <v/>
      </c>
      <c r="BQ17" s="170">
        <f>SUMPRODUCT((Settings!$G$14:$G$43=$B17)*COUNTIF('INPUT - Roster'!$CG$6:$CG$206,"*"&amp;Settings!$F$14:$F$43&amp;"*"))</f>
        <v/>
      </c>
      <c r="BR17" s="170">
        <f>SUMPRODUCT((Settings!$G$14:$G$43=$B17)*COUNTIF('INPUT - Roster'!$CH$6:$CH$206,"*"&amp;Settings!$F$14:$F$43&amp;"*"))</f>
        <v/>
      </c>
      <c r="BS17" s="170">
        <f>SUMPRODUCT((Settings!$G$14:$G$43=$B17)*COUNTIF('INPUT - Roster'!$CI$6:$CI$206,"*"&amp;Settings!$F$14:$F$43&amp;"*"))</f>
        <v/>
      </c>
      <c r="BT17" s="170">
        <f>SUMPRODUCT((Settings!$G$14:$G$43=$B17)*COUNTIF('INPUT - Roster'!$CJ$6:$CJ$206,"*"&amp;Settings!$F$14:$F$43&amp;"*"))</f>
        <v/>
      </c>
      <c r="BU17" s="170">
        <f>SUMPRODUCT((Settings!$G$14:$G$43=$B17)*COUNTIF('INPUT - Roster'!$CK$6:$CK$206,"*"&amp;Settings!$F$14:$F$43&amp;"*"))</f>
        <v/>
      </c>
      <c r="BV17" s="170">
        <f>SUMPRODUCT((Settings!$G$14:$G$43=$B17)*COUNTIF('INPUT - Roster'!$CL$6:$CL$206,"*"&amp;Settings!$F$14:$F$43&amp;"*"))</f>
        <v/>
      </c>
      <c r="BW17" s="170">
        <f>SUMPRODUCT((Settings!$G$14:$G$43=$B17)*COUNTIF('INPUT - Roster'!$CM$6:$CM$206,"*"&amp;Settings!$F$14:$F$43&amp;"*"))</f>
        <v/>
      </c>
      <c r="BX17" s="170">
        <f>SUMPRODUCT((Settings!$G$14:$G$43=$B17)*COUNTIF('INPUT - Roster'!$CN$6:$CN$206,"*"&amp;Settings!$F$14:$F$43&amp;"*"))</f>
        <v/>
      </c>
      <c r="BY17" s="170">
        <f>SUMPRODUCT((Settings!$G$14:$G$43=$B17)*COUNTIF('INPUT - Roster'!$CO$6:$CO$206,"*"&amp;Settings!$F$14:$F$43&amp;"*"))</f>
        <v/>
      </c>
      <c r="BZ17" s="170">
        <f>SUMPRODUCT((Settings!$G$14:$G$43=$B17)*COUNTIF('INPUT - Roster'!$CP$6:$CP$206,"*"&amp;Settings!$F$14:$F$43&amp;"*"))</f>
        <v/>
      </c>
      <c r="CA17" s="170">
        <f>SUMPRODUCT((Settings!$G$14:$G$43=$B17)*COUNTIF('INPUT - Roster'!$CQ$6:$CQ$206,"*"&amp;Settings!$F$14:$F$43&amp;"*"))</f>
        <v/>
      </c>
      <c r="CB17" s="170">
        <f>SUMPRODUCT((Settings!$G$14:$G$43=$B17)*COUNTIF('INPUT - Roster'!$CR$6:$CR$206,"*"&amp;Settings!$F$14:$F$43&amp;"*"))</f>
        <v/>
      </c>
      <c r="CC17" s="170">
        <f>SUMPRODUCT((Settings!$G$14:$G$43=$B17)*COUNTIF('INPUT - Roster'!$CS$6:$CS$206,"*"&amp;Settings!$F$14:$F$43&amp;"*"))</f>
        <v/>
      </c>
      <c r="CD17" s="170">
        <f>SUMPRODUCT((Settings!$G$14:$G$43=$B17)*COUNTIF('INPUT - Roster'!$CT$6:$CT$206,"*"&amp;Settings!$F$14:$F$43&amp;"*"))</f>
        <v/>
      </c>
      <c r="CE17" s="170">
        <f>SUMPRODUCT((Settings!$G$14:$G$43=$B17)*COUNTIF('INPUT - Roster'!$CU$6:$CU$206,"*"&amp;Settings!$F$14:$F$43&amp;"*"))</f>
        <v/>
      </c>
      <c r="CF17" s="170">
        <f>SUMPRODUCT((Settings!$G$14:$G$43=$B17)*COUNTIF('INPUT - Roster'!$CV$6:$CV$206,"*"&amp;Settings!$F$14:$F$43&amp;"*"))</f>
        <v/>
      </c>
      <c r="CG17" s="170">
        <f>SUMPRODUCT((Settings!$G$14:$G$43=$B17)*COUNTIF('INPUT - Roster'!$CW$6:$CW$206,"*"&amp;Settings!$F$14:$F$43&amp;"*"))</f>
        <v/>
      </c>
      <c r="CH17" s="170">
        <f>SUMPRODUCT((Settings!$G$14:$G$43=$B17)*COUNTIF('INPUT - Roster'!$CX$6:$CX$206,"*"&amp;Settings!$F$14:$F$43&amp;"*"))</f>
        <v/>
      </c>
      <c r="CI17" s="170">
        <f>SUMPRODUCT((Settings!$G$14:$G$43=$B17)*COUNTIF('INPUT - Roster'!$CY$6:$CY$206,"*"&amp;Settings!$F$14:$F$43&amp;"*"))</f>
        <v/>
      </c>
      <c r="CJ17" s="170">
        <f>SUMPRODUCT((Settings!$G$14:$G$43=$B17)*COUNTIF('INPUT - Roster'!$CZ$6:$CZ$206,"*"&amp;Settings!$F$14:$F$43&amp;"*"))</f>
        <v/>
      </c>
      <c r="CK17" s="170">
        <f>SUMPRODUCT((Settings!$G$14:$G$43=$B17)*COUNTIF('INPUT - Roster'!$DA$6:$DA$206,"*"&amp;Settings!$F$14:$F$43&amp;"*"))</f>
        <v/>
      </c>
      <c r="CL17" s="170">
        <f>SUMPRODUCT((Settings!$G$14:$G$43=$B17)*COUNTIF('INPUT - Roster'!$DB$6:$DB$206,"*"&amp;Settings!$F$14:$F$43&amp;"*"))</f>
        <v/>
      </c>
      <c r="CM17" s="170">
        <f>SUMPRODUCT((Settings!$G$14:$G$43=$B17)*COUNTIF('INPUT - Roster'!$DC$6:$DC$206,"*"&amp;Settings!$F$14:$F$43&amp;"*"))</f>
        <v/>
      </c>
      <c r="CN17" s="170">
        <f>SUMPRODUCT((Settings!$G$14:$G$43=$B17)*COUNTIF('INPUT - Roster'!$DD$6:$DD$206,"*"&amp;Settings!$F$14:$F$43&amp;"*"))</f>
        <v/>
      </c>
      <c r="CO17" s="170">
        <f>SUMPRODUCT((Settings!$G$14:$G$43=$B17)*COUNTIF('INPUT - Roster'!$DE$6:$DE$206,"*"&amp;Settings!$F$14:$F$43&amp;"*"))</f>
        <v/>
      </c>
      <c r="CP17" s="170">
        <f>SUMPRODUCT((Settings!$G$14:$G$43=$B17)*COUNTIF('INPUT - Roster'!$DF$6:$DF$206,"*"&amp;Settings!$F$14:$F$43&amp;"*"))</f>
        <v/>
      </c>
      <c r="CQ17" s="170">
        <f>SUMPRODUCT((Settings!$G$14:$G$43=$B17)*COUNTIF('INPUT - Roster'!$DG$6:$DG$206,"*"&amp;Settings!$F$14:$F$43&amp;"*"))</f>
        <v/>
      </c>
      <c r="CR17" s="170">
        <f>SUMPRODUCT((Settings!$G$14:$G$43=$B17)*COUNTIF('INPUT - Roster'!$DH$6:$DH$206,"*"&amp;Settings!$F$14:$F$43&amp;"*"))</f>
        <v/>
      </c>
      <c r="CS17" s="170">
        <f>SUMPRODUCT((Settings!$G$14:$G$43=$B17)*COUNTIF('INPUT - Roster'!$DI$6:$DI$206,"*"&amp;Settings!$F$14:$F$43&amp;"*"))</f>
        <v/>
      </c>
      <c r="CT17" s="170">
        <f>SUMPRODUCT((Settings!$G$14:$G$43=$B17)*COUNTIF('INPUT - Roster'!$DJ$6:$DJ$206,"*"&amp;Settings!$F$14:$F$43&amp;"*"))</f>
        <v/>
      </c>
      <c r="CU17" s="170">
        <f>SUMPRODUCT((Settings!$G$14:$G$43=$B17)*COUNTIF('INPUT - Roster'!$DK$6:$DK$206,"*"&amp;Settings!$F$14:$F$43&amp;"*"))</f>
        <v/>
      </c>
      <c r="CV17" s="170">
        <f>SUMPRODUCT((Settings!$G$14:$G$43=$B17)*COUNTIF('INPUT - Roster'!$DL$6:$DL$206,"*"&amp;Settings!$F$14:$F$43&amp;"*"))</f>
        <v/>
      </c>
      <c r="CW17" s="170">
        <f>SUMPRODUCT((Settings!$G$14:$G$43=$B17)*COUNTIF('INPUT - Roster'!$DM$6:$DM$206,"*"&amp;Settings!$F$14:$F$43&amp;"*"))</f>
        <v/>
      </c>
      <c r="CX17" s="170">
        <f>SUMPRODUCT((Settings!$G$14:$G$43=$B17)*COUNTIF('INPUT - Roster'!$DN$6:$DN$206,"*"&amp;Settings!$F$14:$F$43&amp;"*"))</f>
        <v/>
      </c>
      <c r="CY17" s="170">
        <f>SUMPRODUCT((Settings!$G$14:$G$43=$B17)*COUNTIF('INPUT - Roster'!$DO$6:$DO$206,"*"&amp;Settings!$F$14:$F$43&amp;"*"))</f>
        <v/>
      </c>
      <c r="CZ17" s="170">
        <f>SUMPRODUCT((Settings!$G$14:$G$43=$B17)*COUNTIF('INPUT - Roster'!$DP$6:$DP$206,"*"&amp;Settings!$F$14:$F$43&amp;"*"))</f>
        <v/>
      </c>
      <c r="DA17" s="170">
        <f>SUMPRODUCT((Settings!$G$14:$G$43=$B17)*COUNTIF('INPUT - Roster'!$DQ$6:$DQ$206,"*"&amp;Settings!$F$14:$F$43&amp;"*"))</f>
        <v/>
      </c>
      <c r="DB17" s="170">
        <f>SUMPRODUCT((Settings!$G$14:$G$43=$B17)*COUNTIF('INPUT - Roster'!$DR$6:$DR$206,"*"&amp;Settings!$F$14:$F$43&amp;"*"))</f>
        <v/>
      </c>
      <c r="DC17" s="170">
        <f>SUMPRODUCT((Settings!$G$14:$G$43=$B17)*COUNTIF('INPUT - Roster'!$DS$6:$DS$206,"*"&amp;Settings!$F$14:$F$43&amp;"*"))</f>
        <v/>
      </c>
      <c r="DD17" s="170">
        <f>SUMPRODUCT((Settings!$G$14:$G$43=$B17)*COUNTIF('INPUT - Roster'!$DT$6:$DT$206,"*"&amp;Settings!$F$14:$F$43&amp;"*"))</f>
        <v/>
      </c>
      <c r="DE17" s="170">
        <f>SUMPRODUCT((Settings!$G$14:$G$43=$B17)*COUNTIF('INPUT - Roster'!$DU$6:$DU$206,"*"&amp;Settings!$F$14:$F$43&amp;"*"))</f>
        <v/>
      </c>
      <c r="DF17" s="170">
        <f>SUMPRODUCT((Settings!$G$14:$G$43=$B17)*COUNTIF('INPUT - Roster'!$DV$6:$DV$206,"*"&amp;Settings!$F$14:$F$43&amp;"*"))</f>
        <v/>
      </c>
      <c r="DG17" s="170">
        <f>SUMPRODUCT((Settings!$G$14:$G$43=$B17)*COUNTIF('INPUT - Roster'!$DW$6:$DW$206,"*"&amp;Settings!$F$14:$F$43&amp;"*"))</f>
        <v/>
      </c>
      <c r="DH17" s="170">
        <f>SUMPRODUCT((Settings!$G$14:$G$43=$B17)*COUNTIF('INPUT - Roster'!$DX$6:$DX$206,"*"&amp;Settings!$F$14:$F$43&amp;"*"))</f>
        <v/>
      </c>
      <c r="DI17" s="170">
        <f>SUMPRODUCT((Settings!$G$14:$G$43=$B17)*COUNTIF('INPUT - Roster'!$DY$6:$DY$206,"*"&amp;Settings!$F$14:$F$43&amp;"*"))</f>
        <v/>
      </c>
      <c r="DJ17" s="170">
        <f>SUMPRODUCT((Settings!$G$14:$G$43=$B17)*COUNTIF('INPUT - Roster'!$DZ$6:$DZ$206,"*"&amp;Settings!$F$14:$F$43&amp;"*"))</f>
        <v/>
      </c>
      <c r="DK17" s="170">
        <f>SUMPRODUCT((Settings!$G$14:$G$43=$B17)*COUNTIF('INPUT - Roster'!$EA$6:$EA$206,"*"&amp;Settings!$F$14:$F$43&amp;"*"))</f>
        <v/>
      </c>
      <c r="DL17" s="170">
        <f>SUMPRODUCT((Settings!$G$14:$G$43=$B17)*COUNTIF('INPUT - Roster'!$EB$6:$EB$206,"*"&amp;Settings!$F$14:$F$43&amp;"*"))</f>
        <v/>
      </c>
      <c r="DM17" s="170">
        <f>SUMPRODUCT((Settings!$G$14:$G$43=$B17)*COUNTIF('INPUT - Roster'!$EC$6:$EC$206,"*"&amp;Settings!$F$14:$F$43&amp;"*"))</f>
        <v/>
      </c>
      <c r="DN17" s="170">
        <f>SUMPRODUCT((Settings!$G$14:$G$43=$B17)*COUNTIF('INPUT - Roster'!$ED$6:$ED$206,"*"&amp;Settings!$F$14:$F$43&amp;"*"))</f>
        <v/>
      </c>
      <c r="DO17" s="170">
        <f>SUMPRODUCT((Settings!$G$14:$G$43=$B17)*COUNTIF('INPUT - Roster'!$EE$6:$EE$206,"*"&amp;Settings!$F$14:$F$43&amp;"*"))</f>
        <v/>
      </c>
      <c r="DP17" s="170">
        <f>SUMPRODUCT((Settings!$G$14:$G$43=$B17)*COUNTIF('INPUT - Roster'!$EF$6:$EF$206,"*"&amp;Settings!$F$14:$F$43&amp;"*"))</f>
        <v/>
      </c>
      <c r="DQ17" s="170">
        <f>SUMPRODUCT((Settings!$G$14:$G$43=$B17)*COUNTIF('INPUT - Roster'!$EG$6:$EG$206,"*"&amp;Settings!$F$14:$F$43&amp;"*"))</f>
        <v/>
      </c>
      <c r="DR17" s="170">
        <f>SUMPRODUCT((Settings!$G$14:$G$43=$B17)*COUNTIF('INPUT - Roster'!$EH$6:$EH$206,"*"&amp;Settings!$F$14:$F$43&amp;"*"))</f>
        <v/>
      </c>
      <c r="DS17" s="170">
        <f>SUMPRODUCT((Settings!$G$14:$G$43=$B17)*COUNTIF('INPUT - Roster'!$EI$6:$EI$206,"*"&amp;Settings!$F$14:$F$43&amp;"*"))</f>
        <v/>
      </c>
      <c r="DT17" s="170">
        <f>SUMPRODUCT((Settings!$G$14:$G$43=$B17)*COUNTIF('INPUT - Roster'!$EJ$6:$EJ$206,"*"&amp;Settings!$F$14:$F$43&amp;"*"))</f>
        <v/>
      </c>
      <c r="DU17" s="170">
        <f>SUMPRODUCT((Settings!$G$14:$G$43=$B17)*COUNTIF('INPUT - Roster'!$EK$6:$EK$206,"*"&amp;Settings!$F$14:$F$43&amp;"*"))</f>
        <v/>
      </c>
      <c r="DV17" s="170">
        <f>SUMPRODUCT((Settings!$G$14:$G$43=$B17)*COUNTIF('INPUT - Roster'!$EL$6:$EL$206,"*"&amp;Settings!$F$14:$F$43&amp;"*"))</f>
        <v/>
      </c>
      <c r="DW17" s="170">
        <f>SUMPRODUCT((Settings!$G$14:$G$43=$B17)*COUNTIF('INPUT - Roster'!$EM$6:$EM$206,"*"&amp;Settings!$F$14:$F$43&amp;"*"))</f>
        <v/>
      </c>
      <c r="DX17" s="170">
        <f>SUMPRODUCT((Settings!$G$14:$G$43=$B17)*COUNTIF('INPUT - Roster'!$EN$6:$EN$206,"*"&amp;Settings!$F$14:$F$43&amp;"*"))</f>
        <v/>
      </c>
      <c r="DY17" s="170">
        <f>SUMPRODUCT((Settings!$G$14:$G$43=$B17)*COUNTIF('INPUT - Roster'!$EO$6:$EO$206,"*"&amp;Settings!$F$14:$F$43&amp;"*"))</f>
        <v/>
      </c>
      <c r="DZ17" s="170">
        <f>SUMPRODUCT((Settings!$G$14:$G$43=$B17)*COUNTIF('INPUT - Roster'!$EP$6:$EP$206,"*"&amp;Settings!$F$14:$F$43&amp;"*"))</f>
        <v/>
      </c>
      <c r="EA17" s="170">
        <f>SUMPRODUCT((Settings!$G$14:$G$43=$B17)*COUNTIF('INPUT - Roster'!$EQ$6:$EQ$206,"*"&amp;Settings!$F$14:$F$43&amp;"*"))</f>
        <v/>
      </c>
      <c r="EB17" s="170">
        <f>SUMPRODUCT((Settings!$G$14:$G$43=$B17)*COUNTIF('INPUT - Roster'!$ER$6:$ER$206,"*"&amp;Settings!$F$14:$F$43&amp;"*"))</f>
        <v/>
      </c>
      <c r="EC17" s="170">
        <f>SUMPRODUCT((Settings!$G$14:$G$43=$B17)*COUNTIF('INPUT - Roster'!$ES$6:$ES$206,"*"&amp;Settings!$F$14:$F$43&amp;"*"))</f>
        <v/>
      </c>
      <c r="ED17" s="170">
        <f>SUMPRODUCT((Settings!$G$14:$G$43=$B17)*COUNTIF('INPUT - Roster'!$ET$6:$ET$206,"*"&amp;Settings!$F$14:$F$43&amp;"*"))</f>
        <v/>
      </c>
      <c r="EE17" s="170">
        <f>SUMPRODUCT((Settings!$G$14:$G$43=$B17)*COUNTIF('INPUT - Roster'!$EU$6:$EU$206,"*"&amp;Settings!$F$14:$F$43&amp;"*"))</f>
        <v/>
      </c>
      <c r="EF17" s="170">
        <f>SUMPRODUCT((Settings!$G$14:$G$43=$B17)*COUNTIF('INPUT - Roster'!$EV$6:$EV$206,"*"&amp;Settings!$F$14:$F$43&amp;"*"))</f>
        <v/>
      </c>
      <c r="EG17" s="170">
        <f>SUMPRODUCT((Settings!$G$14:$G$43=$B17)*COUNTIF('INPUT - Roster'!$EW$6:$EW$206,"*"&amp;Settings!$F$14:$F$43&amp;"*"))</f>
        <v/>
      </c>
      <c r="EH17" s="170">
        <f>SUMPRODUCT((Settings!$G$14:$G$43=$B17)*COUNTIF('INPUT - Roster'!$EX$6:$EX$206,"*"&amp;Settings!$F$14:$F$43&amp;"*"))</f>
        <v/>
      </c>
      <c r="EI17" s="170">
        <f>SUMPRODUCT((Settings!$G$14:$G$43=$B17)*COUNTIF('INPUT - Roster'!$EY$6:$EY$206,"*"&amp;Settings!$F$14:$F$43&amp;"*"))</f>
        <v/>
      </c>
      <c r="EJ17" s="170">
        <f>SUMPRODUCT((Settings!$G$14:$G$43=$B17)*COUNTIF('INPUT - Roster'!$EZ$6:$EZ$206,"*"&amp;Settings!$F$14:$F$43&amp;"*"))</f>
        <v/>
      </c>
      <c r="EK17" s="170">
        <f>SUMPRODUCT((Settings!$G$14:$G$43=$B17)*COUNTIF('INPUT - Roster'!$FA$6:$FA$206,"*"&amp;Settings!$F$14:$F$43&amp;"*"))</f>
        <v/>
      </c>
      <c r="EL17" s="170">
        <f>SUMPRODUCT((Settings!$G$14:$G$43=$B17)*COUNTIF('INPUT - Roster'!$FB$6:$FB$206,"*"&amp;Settings!$F$14:$F$43&amp;"*"))</f>
        <v/>
      </c>
      <c r="EM17" s="170">
        <f>SUMPRODUCT((Settings!$G$14:$G$43=$B17)*COUNTIF('INPUT - Roster'!$FC$6:$FC$206,"*"&amp;Settings!$F$14:$F$43&amp;"*"))</f>
        <v/>
      </c>
      <c r="EN17" s="170">
        <f>SUMPRODUCT((Settings!$G$14:$G$43=$B17)*COUNTIF('INPUT - Roster'!$FD$6:$FD$206,"*"&amp;Settings!$F$14:$F$43&amp;"*"))</f>
        <v/>
      </c>
      <c r="EO17" s="170">
        <f>SUMPRODUCT((Settings!$G$14:$G$43=$B17)*COUNTIF('INPUT - Roster'!$FE$6:$FE$206,"*"&amp;Settings!$F$14:$F$43&amp;"*"))</f>
        <v/>
      </c>
      <c r="EP17" s="170">
        <f>SUMPRODUCT((Settings!$G$14:$G$43=$B17)*COUNTIF('INPUT - Roster'!$FF$6:$FF$206,"*"&amp;Settings!$F$14:$F$43&amp;"*"))</f>
        <v/>
      </c>
      <c r="EQ17" s="170">
        <f>SUMPRODUCT((Settings!$G$14:$G$43=$B17)*COUNTIF('INPUT - Roster'!$FG$6:$FG$206,"*"&amp;Settings!$F$14:$F$43&amp;"*"))</f>
        <v/>
      </c>
      <c r="ER17" s="170">
        <f>SUMPRODUCT((Settings!$G$14:$G$43=$B17)*COUNTIF('INPUT - Roster'!$FH$6:$FH$206,"*"&amp;Settings!$F$14:$F$43&amp;"*"))</f>
        <v/>
      </c>
      <c r="ES17" s="170">
        <f>SUMPRODUCT((Settings!$G$14:$G$43=$B17)*COUNTIF('INPUT - Roster'!$FI$6:$FI$206,"*"&amp;Settings!$F$14:$F$43&amp;"*"))</f>
        <v/>
      </c>
      <c r="ET17" s="170">
        <f>SUMPRODUCT((Settings!$G$14:$G$43=$B17)*COUNTIF('INPUT - Roster'!$FJ$6:$FJ$206,"*"&amp;Settings!$F$14:$F$43&amp;"*"))</f>
        <v/>
      </c>
      <c r="EU17" s="170">
        <f>SUMPRODUCT((Settings!$G$14:$G$43=$B17)*COUNTIF('INPUT - Roster'!$FK$6:$FK$206,"*"&amp;Settings!$F$14:$F$43&amp;"*"))</f>
        <v/>
      </c>
      <c r="EV17" s="170">
        <f>SUMPRODUCT((Settings!$G$14:$G$43=$B17)*COUNTIF('INPUT - Roster'!$FL$6:$FL$206,"*"&amp;Settings!$F$14:$F$43&amp;"*"))</f>
        <v/>
      </c>
      <c r="EW17" s="170">
        <f>SUMPRODUCT((Settings!$G$14:$G$43=$B17)*COUNTIF('INPUT - Roster'!$FM$6:$FM$206,"*"&amp;Settings!$F$14:$F$43&amp;"*"))</f>
        <v/>
      </c>
      <c r="EX17" s="170">
        <f>SUMPRODUCT((Settings!$G$14:$G$43=$B17)*COUNTIF('INPUT - Roster'!$FN$6:$FN$206,"*"&amp;Settings!$F$14:$F$43&amp;"*"))</f>
        <v/>
      </c>
      <c r="EY17" s="170">
        <f>SUMPRODUCT((Settings!$G$14:$G$43=$B17)*COUNTIF('INPUT - Roster'!$FO$6:$FO$206,"*"&amp;Settings!$F$14:$F$43&amp;"*"))</f>
        <v/>
      </c>
      <c r="EZ17" s="170">
        <f>SUMPRODUCT((Settings!$G$14:$G$43=$B17)*COUNTIF('INPUT - Roster'!$FP$6:$FP$206,"*"&amp;Settings!$F$14:$F$43&amp;"*"))</f>
        <v/>
      </c>
      <c r="FA17" s="170">
        <f>SUMPRODUCT((Settings!$G$14:$G$43=$B17)*COUNTIF('INPUT - Roster'!$FQ$6:$FQ$206,"*"&amp;Settings!$F$14:$F$43&amp;"*"))</f>
        <v/>
      </c>
      <c r="FB17" s="170">
        <f>SUMPRODUCT((Settings!$G$14:$G$43=$B17)*COUNTIF('INPUT - Roster'!$FR$6:$FR$206,"*"&amp;Settings!$F$14:$F$43&amp;"*"))</f>
        <v/>
      </c>
      <c r="FC17" s="170">
        <f>SUMPRODUCT((Settings!$G$14:$G$43=$B17)*COUNTIF('INPUT - Roster'!$FS$6:$FS$206,"*"&amp;Settings!$F$14:$F$43&amp;"*"))</f>
        <v/>
      </c>
      <c r="FD17" s="170">
        <f>SUMPRODUCT((Settings!$G$14:$G$43=$B17)*COUNTIF('INPUT - Roster'!$FT$6:$FT$206,"*"&amp;Settings!$F$14:$F$43&amp;"*"))</f>
        <v/>
      </c>
      <c r="FE17" s="170">
        <f>SUMPRODUCT((Settings!$G$14:$G$43=$B17)*COUNTIF('INPUT - Roster'!$FU$6:$FU$206,"*"&amp;Settings!$F$14:$F$43&amp;"*"))</f>
        <v/>
      </c>
      <c r="FF17" s="170">
        <f>SUMPRODUCT((Settings!$G$14:$G$43=$B17)*COUNTIF('INPUT - Roster'!$FV$6:$FV$206,"*"&amp;Settings!$F$14:$F$43&amp;"*"))</f>
        <v/>
      </c>
      <c r="FG17" s="170">
        <f>SUMPRODUCT((Settings!$G$14:$G$43=$B17)*COUNTIF('INPUT - Roster'!$FW$6:$FW$206,"*"&amp;Settings!$F$14:$F$43&amp;"*"))</f>
        <v/>
      </c>
      <c r="FH17" s="170">
        <f>SUMPRODUCT((Settings!$G$14:$G$43=$B17)*COUNTIF('INPUT - Roster'!$FX$6:$FX$206,"*"&amp;Settings!$F$14:$F$43&amp;"*"))</f>
        <v/>
      </c>
      <c r="FI17" s="170">
        <f>SUMPRODUCT((Settings!$G$14:$G$43=$B17)*COUNTIF('INPUT - Roster'!$FY$6:$FY$206,"*"&amp;Settings!$F$14:$F$43&amp;"*"))</f>
        <v/>
      </c>
      <c r="FJ17" s="170">
        <f>SUMPRODUCT((Settings!$G$14:$G$43=$B17)*COUNTIF('INPUT - Roster'!$FZ$6:$FZ$206,"*"&amp;Settings!$F$14:$F$43&amp;"*"))</f>
        <v/>
      </c>
      <c r="FK17" s="170">
        <f>SUMPRODUCT((Settings!$G$14:$G$43=$B17)*COUNTIF('INPUT - Roster'!$GA$6:$GA$206,"*"&amp;Settings!$F$14:$F$43&amp;"*"))</f>
        <v/>
      </c>
      <c r="FL17" s="170">
        <f>SUMPRODUCT((Settings!$G$14:$G$43=$B17)*COUNTIF('INPUT - Roster'!$GB$6:$GB$206,"*"&amp;Settings!$F$14:$F$43&amp;"*"))</f>
        <v/>
      </c>
      <c r="FM17" s="170">
        <f>SUMPRODUCT((Settings!$G$14:$G$43=$B17)*COUNTIF('INPUT - Roster'!$GC$6:$GC$206,"*"&amp;Settings!$F$14:$F$43&amp;"*"))</f>
        <v/>
      </c>
      <c r="FN17" s="170">
        <f>SUMPRODUCT((Settings!$G$14:$G$43=$B17)*COUNTIF('INPUT - Roster'!$GD$6:$GD$206,"*"&amp;Settings!$F$14:$F$43&amp;"*"))</f>
        <v/>
      </c>
      <c r="FO17" s="170">
        <f>SUMPRODUCT((Settings!$G$14:$G$43=$B17)*COUNTIF('INPUT - Roster'!$GE$6:$GE$206,"*"&amp;Settings!$F$14:$F$43&amp;"*"))</f>
        <v/>
      </c>
      <c r="FP17" s="170">
        <f>SUMPRODUCT((Settings!$G$14:$G$43=$B17)*COUNTIF('INPUT - Roster'!$GF$6:$GF$206,"*"&amp;Settings!$F$14:$F$43&amp;"*"))</f>
        <v/>
      </c>
      <c r="FQ17" s="170">
        <f>SUMPRODUCT((Settings!$G$14:$G$43=$B17)*COUNTIF('INPUT - Roster'!$GG$6:$GG$206,"*"&amp;Settings!$F$14:$F$43&amp;"*"))</f>
        <v/>
      </c>
      <c r="FR17" s="170">
        <f>SUMPRODUCT((Settings!$G$14:$G$43=$B17)*COUNTIF('INPUT - Roster'!$GH$6:$GH$206,"*"&amp;Settings!$F$14:$F$43&amp;"*"))</f>
        <v/>
      </c>
      <c r="FS17" s="170">
        <f>SUMPRODUCT((Settings!$G$14:$G$43=$B17)*COUNTIF('INPUT - Roster'!$GI$6:$GI$206,"*"&amp;Settings!$F$14:$F$43&amp;"*"))</f>
        <v/>
      </c>
      <c r="FT17" s="170">
        <f>SUMPRODUCT((Settings!$G$14:$G$43=$B17)*COUNTIF('INPUT - Roster'!$GJ$6:$GJ$206,"*"&amp;Settings!$F$14:$F$43&amp;"*"))</f>
        <v/>
      </c>
      <c r="FU17" s="170">
        <f>SUMPRODUCT((Settings!$G$14:$G$43=$B17)*COUNTIF('INPUT - Roster'!$GK$6:$GK$206,"*"&amp;Settings!$F$14:$F$43&amp;"*"))</f>
        <v/>
      </c>
      <c r="FV17" s="170">
        <f>SUMPRODUCT((Settings!$G$14:$G$43=$B17)*COUNTIF('INPUT - Roster'!$GL$6:$GL$206,"*"&amp;Settings!$F$14:$F$43&amp;"*"))</f>
        <v/>
      </c>
      <c r="FW17" s="170">
        <f>SUMPRODUCT((Settings!$G$14:$G$43=$B17)*COUNTIF('INPUT - Roster'!$GM$6:$GM$206,"*"&amp;Settings!$F$14:$F$43&amp;"*"))</f>
        <v/>
      </c>
      <c r="FX17" s="170">
        <f>SUMPRODUCT((Settings!$G$14:$G$43=$B17)*COUNTIF('INPUT - Roster'!$GN$6:$GN$206,"*"&amp;Settings!$F$14:$F$43&amp;"*"))</f>
        <v/>
      </c>
      <c r="FY17" s="170">
        <f>SUMPRODUCT((Settings!$G$14:$G$43=$B17)*COUNTIF('INPUT - Roster'!$GO$6:$GO$206,"*"&amp;Settings!$F$14:$F$43&amp;"*"))</f>
        <v/>
      </c>
      <c r="FZ17" s="170">
        <f>SUMPRODUCT((Settings!$G$14:$G$43=$B17)*COUNTIF('INPUT - Roster'!$GP$6:$GP$206,"*"&amp;Settings!$F$14:$F$43&amp;"*"))</f>
        <v/>
      </c>
      <c r="GA17" s="170">
        <f>SUMPRODUCT((Settings!$G$14:$G$43=$B17)*COUNTIF('INPUT - Roster'!$GQ$6:$GQ$206,"*"&amp;Settings!$F$14:$F$43&amp;"*"))</f>
        <v/>
      </c>
      <c r="GB17" s="170">
        <f>SUMPRODUCT((Settings!$G$14:$G$43=$B17)*COUNTIF('INPUT - Roster'!$GR$6:$GR$206,"*"&amp;Settings!$F$14:$F$43&amp;"*"))</f>
        <v/>
      </c>
      <c r="GC17" s="170">
        <f>SUMPRODUCT((Settings!$G$14:$G$43=$B17)*COUNTIF('INPUT - Roster'!$GS$6:$GS$206,"*"&amp;Settings!$F$14:$F$43&amp;"*"))</f>
        <v/>
      </c>
      <c r="GD17" s="170">
        <f>SUMPRODUCT((Settings!$G$14:$G$43=$B17)*COUNTIF('INPUT - Roster'!$GT$6:$GT$206,"*"&amp;Settings!$F$14:$F$43&amp;"*"))</f>
        <v/>
      </c>
      <c r="GE17" s="170">
        <f>SUMPRODUCT((Settings!$G$14:$G$43=$B17)*COUNTIF('INPUT - Roster'!$GU$6:$GU$206,"*"&amp;Settings!$F$14:$F$43&amp;"*"))</f>
        <v/>
      </c>
      <c r="GF17" s="170">
        <f>SUMPRODUCT((Settings!$G$14:$G$43=$B17)*COUNTIF('INPUT - Roster'!$GV$6:$GV$206,"*"&amp;Settings!$F$14:$F$43&amp;"*"))</f>
        <v/>
      </c>
      <c r="GG17" s="170">
        <f>SUMPRODUCT((Settings!$G$14:$G$43=$B17)*COUNTIF('INPUT - Roster'!$GW$6:$GW$206,"*"&amp;Settings!$F$14:$F$43&amp;"*"))</f>
        <v/>
      </c>
      <c r="GH17" s="170">
        <f>SUMPRODUCT((Settings!$G$14:$G$43=$B17)*COUNTIF('INPUT - Roster'!$GX$6:$GX$206,"*"&amp;Settings!$F$14:$F$43&amp;"*"))</f>
        <v/>
      </c>
      <c r="GI17" s="170">
        <f>SUMPRODUCT((Settings!$G$14:$G$43=$B17)*COUNTIF('INPUT - Roster'!$GY$6:$GY$206,"*"&amp;Settings!$F$14:$F$43&amp;"*"))</f>
        <v/>
      </c>
      <c r="GJ17" s="170">
        <f>SUMPRODUCT((Settings!$G$14:$G$43=$B17)*COUNTIF('INPUT - Roster'!$GZ$6:$GZ$206,"*"&amp;Settings!$F$14:$F$43&amp;"*"))</f>
        <v/>
      </c>
      <c r="GK17" s="170">
        <f>SUMPRODUCT((Settings!$G$14:$G$43=$B17)*COUNTIF('INPUT - Roster'!$HA$6:$HA$206,"*"&amp;Settings!$F$14:$F$43&amp;"*"))</f>
        <v/>
      </c>
      <c r="GL17" s="170">
        <f>SUMPRODUCT((Settings!$G$14:$G$43=$B17)*COUNTIF('INPUT - Roster'!$HB$6:$HB$206,"*"&amp;Settings!$F$14:$F$43&amp;"*"))</f>
        <v/>
      </c>
      <c r="GM17" s="170">
        <f>SUMPRODUCT((Settings!$G$14:$G$43=$B17)*COUNTIF('INPUT - Roster'!$HC$6:$HC$206,"*"&amp;Settings!$F$14:$F$43&amp;"*"))</f>
        <v/>
      </c>
      <c r="GN17" s="170">
        <f>SUMPRODUCT((Settings!$G$14:$G$43=$B17)*COUNTIF('INPUT - Roster'!$HD$6:$HD$206,"*"&amp;Settings!$F$14:$F$43&amp;"*"))</f>
        <v/>
      </c>
      <c r="GO17" s="170">
        <f>SUMPRODUCT((Settings!$G$14:$G$43=$B17)*COUNTIF('INPUT - Roster'!$HE$6:$HE$206,"*"&amp;Settings!$F$14:$F$43&amp;"*"))</f>
        <v/>
      </c>
      <c r="GP17" s="170">
        <f>SUMPRODUCT((Settings!$G$14:$G$43=$B17)*COUNTIF('INPUT - Roster'!$HF$6:$HF$206,"*"&amp;Settings!$F$14:$F$43&amp;"*"))</f>
        <v/>
      </c>
      <c r="GQ17" s="170">
        <f>SUMPRODUCT((Settings!$G$14:$G$43=$B17)*COUNTIF('INPUT - Roster'!$HG$6:$HG$206,"*"&amp;Settings!$F$14:$F$43&amp;"*"))</f>
        <v/>
      </c>
      <c r="GR17" s="170">
        <f>SUMPRODUCT((Settings!$G$14:$G$43=$B17)*COUNTIF('INPUT - Roster'!$HH$6:$HH$206,"*"&amp;Settings!$F$14:$F$43&amp;"*"))</f>
        <v/>
      </c>
      <c r="GS17" s="170">
        <f>SUMPRODUCT((Settings!$G$14:$G$43=$B17)*COUNTIF('INPUT - Roster'!$HI$6:$HI$206,"*"&amp;Settings!$F$14:$F$43&amp;"*"))</f>
        <v/>
      </c>
      <c r="GT17" s="170">
        <f>SUMPRODUCT((Settings!$G$14:$G$43=$B17)*COUNTIF('INPUT - Roster'!$HJ$6:$HJ$206,"*"&amp;Settings!$F$14:$F$43&amp;"*"))</f>
        <v/>
      </c>
      <c r="GU17" s="170">
        <f>SUMPRODUCT((Settings!$G$14:$G$43=$B17)*COUNTIF('INPUT - Roster'!$HK$6:$HK$206,"*"&amp;Settings!$F$14:$F$43&amp;"*"))</f>
        <v/>
      </c>
      <c r="GV17" s="170">
        <f>SUMPRODUCT((Settings!$G$14:$G$43=$B17)*COUNTIF('INPUT - Roster'!$HL$6:$HL$206,"*"&amp;Settings!$F$14:$F$43&amp;"*"))</f>
        <v/>
      </c>
      <c r="GW17" s="170">
        <f>SUMPRODUCT((Settings!$G$14:$G$43=$B17)*COUNTIF('INPUT - Roster'!$HM$6:$HM$206,"*"&amp;Settings!$F$14:$F$43&amp;"*"))</f>
        <v/>
      </c>
      <c r="GX17" s="170">
        <f>SUMPRODUCT((Settings!$G$14:$G$43=$B17)*COUNTIF('INPUT - Roster'!$HN$6:$HN$206,"*"&amp;Settings!$F$14:$F$43&amp;"*"))</f>
        <v/>
      </c>
      <c r="GY17" s="170">
        <f>SUMPRODUCT((Settings!$G$14:$G$43=$B17)*COUNTIF('INPUT - Roster'!$HO$6:$HO$206,"*"&amp;Settings!$F$14:$F$43&amp;"*"))</f>
        <v/>
      </c>
      <c r="GZ17" s="170">
        <f>SUMPRODUCT((Settings!$G$14:$G$43=$B17)*COUNTIF('INPUT - Roster'!$HP$6:$HP$206,"*"&amp;Settings!$F$14:$F$43&amp;"*"))</f>
        <v/>
      </c>
      <c r="HA17" s="170">
        <f>SUMPRODUCT((Settings!$G$14:$G$43=$B17)*COUNTIF('INPUT - Roster'!$HQ$6:$HQ$206,"*"&amp;Settings!$F$14:$F$43&amp;"*"))</f>
        <v/>
      </c>
      <c r="HB17" s="170">
        <f>SUMPRODUCT((Settings!$G$14:$G$43=$B17)*COUNTIF('INPUT - Roster'!$HR$6:$HR$206,"*"&amp;Settings!$F$14:$F$43&amp;"*"))</f>
        <v/>
      </c>
      <c r="HC17" s="170">
        <f>SUMPRODUCT((Settings!$G$14:$G$43=$B17)*COUNTIF('INPUT - Roster'!$HS$6:$HS$206,"*"&amp;Settings!$F$14:$F$43&amp;"*"))</f>
        <v/>
      </c>
      <c r="HD17" s="170">
        <f>SUMPRODUCT((Settings!$G$14:$G$43=$B17)*COUNTIF('INPUT - Roster'!$HT$6:$HT$206,"*"&amp;Settings!$F$14:$F$43&amp;"*"))</f>
        <v/>
      </c>
      <c r="HE17" s="170">
        <f>SUMPRODUCT((Settings!$G$14:$G$43=$B17)*COUNTIF('INPUT - Roster'!$HU$6:$HU$206,"*"&amp;Settings!$F$14:$F$43&amp;"*"))</f>
        <v/>
      </c>
      <c r="HF17" s="170">
        <f>SUMPRODUCT((Settings!$G$14:$G$43=$B17)*COUNTIF('INPUT - Roster'!$HV$6:$HV$206,"*"&amp;Settings!$F$14:$F$43&amp;"*"))</f>
        <v/>
      </c>
      <c r="HG17" s="170">
        <f>SUMPRODUCT((Settings!$G$14:$G$43=$B17)*COUNTIF('INPUT - Roster'!$HW$6:$HW$206,"*"&amp;Settings!$F$14:$F$43&amp;"*"))</f>
        <v/>
      </c>
      <c r="HH17" s="170">
        <f>SUMPRODUCT((Settings!$G$14:$G$43=$B17)*COUNTIF('INPUT - Roster'!$HX$6:$HX$206,"*"&amp;Settings!$F$14:$F$43&amp;"*"))</f>
        <v/>
      </c>
      <c r="HI17" s="170">
        <f>SUMPRODUCT((Settings!$G$14:$G$43=$B17)*COUNTIF('INPUT - Roster'!$HY$6:$HY$206,"*"&amp;Settings!$F$14:$F$43&amp;"*"))</f>
        <v/>
      </c>
      <c r="HJ17" s="170">
        <f>SUMPRODUCT((Settings!$G$14:$G$43=$B17)*COUNTIF('INPUT - Roster'!$HZ$6:$HZ$206,"*"&amp;Settings!$F$14:$F$43&amp;"*"))</f>
        <v/>
      </c>
      <c r="HK17" s="170">
        <f>SUMPRODUCT((Settings!$G$14:$G$43=$B17)*COUNTIF('INPUT - Roster'!$IA$6:$IA$206,"*"&amp;Settings!$F$14:$F$43&amp;"*"))</f>
        <v/>
      </c>
      <c r="HL17" s="170">
        <f>SUMPRODUCT((Settings!$G$14:$G$43=$B17)*COUNTIF('INPUT - Roster'!$IB$6:$IB$206,"*"&amp;Settings!$F$14:$F$43&amp;"*"))</f>
        <v/>
      </c>
      <c r="HM17" s="170">
        <f>SUMPRODUCT((Settings!$G$14:$G$43=$B17)*COUNTIF('INPUT - Roster'!$IC$6:$IC$206,"*"&amp;Settings!$F$14:$F$43&amp;"*"))</f>
        <v/>
      </c>
      <c r="HN17" s="170">
        <f>SUMPRODUCT((Settings!$G$14:$G$43=$B17)*COUNTIF('INPUT - Roster'!$ID$6:$ID$206,"*"&amp;Settings!$F$14:$F$43&amp;"*"))</f>
        <v/>
      </c>
      <c r="HO17" s="170">
        <f>SUMPRODUCT((Settings!$G$14:$G$43=$B17)*COUNTIF('INPUT - Roster'!$IE$6:$IE$206,"*"&amp;Settings!$F$14:$F$43&amp;"*"))</f>
        <v/>
      </c>
      <c r="HP17" s="170">
        <f>SUMPRODUCT((Settings!$G$14:$G$43=$B17)*COUNTIF('INPUT - Roster'!$IF$6:$IF$206,"*"&amp;Settings!$F$14:$F$43&amp;"*"))</f>
        <v/>
      </c>
      <c r="HQ17" s="170">
        <f>SUMPRODUCT((Settings!$G$14:$G$43=$B17)*COUNTIF('INPUT - Roster'!$IG$6:$IG$206,"*"&amp;Settings!$F$14:$F$43&amp;"*"))</f>
        <v/>
      </c>
      <c r="HR17" s="170">
        <f>SUMPRODUCT((Settings!$G$14:$G$43=$B17)*COUNTIF('INPUT - Roster'!$IH$6:$IH$206,"*"&amp;Settings!$F$14:$F$43&amp;"*"))</f>
        <v/>
      </c>
      <c r="HS17" s="170">
        <f>SUMPRODUCT((Settings!$G$14:$G$43=$B17)*COUNTIF('INPUT - Roster'!$II$6:$II$206,"*"&amp;Settings!$F$14:$F$43&amp;"*"))</f>
        <v/>
      </c>
      <c r="HT17" s="170">
        <f>SUMPRODUCT((Settings!$G$14:$G$43=$B17)*COUNTIF('INPUT - Roster'!$IJ$6:$IJ$206,"*"&amp;Settings!$F$14:$F$43&amp;"*"))</f>
        <v/>
      </c>
      <c r="HU17" s="170">
        <f>SUMPRODUCT((Settings!$G$14:$G$43=$B17)*COUNTIF('INPUT - Roster'!$IK$6:$IK$206,"*"&amp;Settings!$F$14:$F$43&amp;"*"))</f>
        <v/>
      </c>
      <c r="HV17" s="170">
        <f>SUMPRODUCT((Settings!$G$14:$G$43=$B17)*COUNTIF('INPUT - Roster'!$IL$6:$IL$206,"*"&amp;Settings!$F$14:$F$43&amp;"*"))</f>
        <v/>
      </c>
      <c r="HW17" s="170">
        <f>SUMPRODUCT((Settings!$G$14:$G$43=$B17)*COUNTIF('INPUT - Roster'!$IM$6:$IM$206,"*"&amp;Settings!$F$14:$F$43&amp;"*"))</f>
        <v/>
      </c>
      <c r="HX17" s="170">
        <f>SUMPRODUCT((Settings!$G$14:$G$43=$B17)*COUNTIF('INPUT - Roster'!$IN$6:$IN$206,"*"&amp;Settings!$F$14:$F$43&amp;"*"))</f>
        <v/>
      </c>
      <c r="HY17" s="170">
        <f>SUMPRODUCT((Settings!$G$14:$G$43=$B17)*COUNTIF('INPUT - Roster'!$IO$6:$IO$206,"*"&amp;Settings!$F$14:$F$43&amp;"*"))</f>
        <v/>
      </c>
      <c r="HZ17" s="170">
        <f>SUMPRODUCT((Settings!$G$14:$G$43=$B17)*COUNTIF('INPUT - Roster'!$IP$6:$IP$206,"*"&amp;Settings!$F$14:$F$43&amp;"*"))</f>
        <v/>
      </c>
      <c r="IA17" s="170">
        <f>SUMPRODUCT((Settings!$G$14:$G$43=$B17)*COUNTIF('INPUT - Roster'!$IQ$6:$IQ$206,"*"&amp;Settings!$F$14:$F$43&amp;"*"))</f>
        <v/>
      </c>
      <c r="IB17" s="170">
        <f>SUMPRODUCT((Settings!$G$14:$G$43=$B17)*COUNTIF('INPUT - Roster'!$IR$6:$IR$206,"*"&amp;Settings!$F$14:$F$43&amp;"*"))</f>
        <v/>
      </c>
      <c r="IC17" s="170">
        <f>SUMPRODUCT((Settings!$G$14:$G$43=$B17)*COUNTIF('INPUT - Roster'!$IS$6:$IS$206,"*"&amp;Settings!$F$14:$F$43&amp;"*"))</f>
        <v/>
      </c>
      <c r="ID17" s="170">
        <f>SUMPRODUCT((Settings!$G$14:$G$43=$B17)*COUNTIF('INPUT - Roster'!$IT$6:$IT$206,"*"&amp;Settings!$F$14:$F$43&amp;"*"))</f>
        <v/>
      </c>
      <c r="IE17" s="170">
        <f>SUMPRODUCT((Settings!$G$14:$G$43=$B17)*COUNTIF('INPUT - Roster'!$IU$6:$IU$206,"*"&amp;Settings!$F$14:$F$43&amp;"*"))</f>
        <v/>
      </c>
      <c r="IF17" s="170">
        <f>SUMPRODUCT((Settings!$G$14:$G$43=$B17)*COUNTIF('INPUT - Roster'!$IV$6:$IV$206,"*"&amp;Settings!$F$14:$F$43&amp;"*"))</f>
        <v/>
      </c>
      <c r="IG17" s="170">
        <f>SUMPRODUCT((Settings!$G$14:$G$43=$B17)*COUNTIF('INPUT - Roster'!$IW$6:$IW$206,"*"&amp;Settings!$F$14:$F$43&amp;"*"))</f>
        <v/>
      </c>
      <c r="IH17" s="170">
        <f>SUMPRODUCT((Settings!$G$14:$G$43=$B17)*COUNTIF('INPUT - Roster'!$IX$6:$IX$206,"*"&amp;Settings!$F$14:$F$43&amp;"*"))</f>
        <v/>
      </c>
      <c r="II17" s="170">
        <f>SUMPRODUCT((Settings!$G$14:$G$43=$B17)*COUNTIF('INPUT - Roster'!$IY$6:$IY$206,"*"&amp;Settings!$F$14:$F$43&amp;"*"))</f>
        <v/>
      </c>
      <c r="IJ17" s="170">
        <f>SUMPRODUCT((Settings!$G$14:$G$43=$B17)*COUNTIF('INPUT - Roster'!$IZ$6:$IZ$206,"*"&amp;Settings!$F$14:$F$43&amp;"*"))</f>
        <v/>
      </c>
      <c r="IK17" s="170">
        <f>SUMPRODUCT((Settings!$G$14:$G$43=$B17)*COUNTIF('INPUT - Roster'!$JA$6:$JA$206,"*"&amp;Settings!$F$14:$F$43&amp;"*"))</f>
        <v/>
      </c>
      <c r="IL17" s="170">
        <f>SUMPRODUCT((Settings!$G$14:$G$43=$B17)*COUNTIF('INPUT - Roster'!$JB$6:$JB$206,"*"&amp;Settings!$F$14:$F$43&amp;"*"))</f>
        <v/>
      </c>
      <c r="IM17" s="170">
        <f>SUMPRODUCT((Settings!$G$14:$G$43=$B17)*COUNTIF('INPUT - Roster'!$JC$6:$JC$206,"*"&amp;Settings!$F$14:$F$43&amp;"*"))</f>
        <v/>
      </c>
      <c r="IN17" s="170">
        <f>SUMPRODUCT((Settings!$G$14:$G$43=$B17)*COUNTIF('INPUT - Roster'!$JD$6:$JD$206,"*"&amp;Settings!$F$14:$F$43&amp;"*"))</f>
        <v/>
      </c>
      <c r="IO17" s="170">
        <f>SUMPRODUCT((Settings!$G$14:$G$43=$B17)*COUNTIF('INPUT - Roster'!$JE$6:$JE$206,"*"&amp;Settings!$F$14:$F$43&amp;"*"))</f>
        <v/>
      </c>
      <c r="IP17" s="170">
        <f>SUMPRODUCT((Settings!$G$14:$G$43=$B17)*COUNTIF('INPUT - Roster'!$JF$6:$JF$206,"*"&amp;Settings!$F$14:$F$43&amp;"*"))</f>
        <v/>
      </c>
      <c r="IQ17" s="170">
        <f>SUMPRODUCT((Settings!$G$14:$G$43=$B17)*COUNTIF('INPUT - Roster'!$JG$6:$JG$206,"*"&amp;Settings!$F$14:$F$43&amp;"*"))</f>
        <v/>
      </c>
      <c r="IR17" s="170">
        <f>SUMPRODUCT((Settings!$G$14:$G$43=$B17)*COUNTIF('INPUT - Roster'!$JH$6:$JH$206,"*"&amp;Settings!$F$14:$F$43&amp;"*"))</f>
        <v/>
      </c>
      <c r="IS17" s="170">
        <f>SUMPRODUCT((Settings!$G$14:$G$43=$B17)*COUNTIF('INPUT - Roster'!$JI$6:$JI$206,"*"&amp;Settings!$F$14:$F$43&amp;"*"))</f>
        <v/>
      </c>
      <c r="IT17" s="170">
        <f>SUMPRODUCT((Settings!$G$14:$G$43=$B17)*COUNTIF('INPUT - Roster'!$JJ$6:$JJ$206,"*"&amp;Settings!$F$14:$F$43&amp;"*"))</f>
        <v/>
      </c>
      <c r="IU17" s="170">
        <f>SUMPRODUCT((Settings!$G$14:$G$43=$B17)*COUNTIF('INPUT - Roster'!$JK$6:$JK$206,"*"&amp;Settings!$F$14:$F$43&amp;"*"))</f>
        <v/>
      </c>
      <c r="IV17" s="170">
        <f>SUMPRODUCT((Settings!$G$14:$G$43=$B17)*COUNTIF('INPUT - Roster'!$JL$6:$JL$206,"*"&amp;Settings!$F$14:$F$43&amp;"*"))</f>
        <v/>
      </c>
      <c r="IW17" s="170">
        <f>SUMPRODUCT((Settings!$G$14:$G$43=$B17)*COUNTIF('INPUT - Roster'!$JM$6:$JM$206,"*"&amp;Settings!$F$14:$F$43&amp;"*"))</f>
        <v/>
      </c>
      <c r="IX17" s="170">
        <f>SUMPRODUCT((Settings!$G$14:$G$43=$B17)*COUNTIF('INPUT - Roster'!$JN$6:$JN$206,"*"&amp;Settings!$F$14:$F$43&amp;"*"))</f>
        <v/>
      </c>
      <c r="IY17" s="170">
        <f>SUMPRODUCT((Settings!$G$14:$G$43=$B17)*COUNTIF('INPUT - Roster'!$JO$6:$JO$206,"*"&amp;Settings!$F$14:$F$43&amp;"*"))</f>
        <v/>
      </c>
      <c r="IZ17" s="170">
        <f>SUMPRODUCT((Settings!$G$14:$G$43=$B17)*COUNTIF('INPUT - Roster'!$JP$6:$JP$206,"*"&amp;Settings!$F$14:$F$43&amp;"*"))</f>
        <v/>
      </c>
      <c r="JA17" s="170">
        <f>SUMPRODUCT((Settings!$G$14:$G$43=$B17)*COUNTIF('INPUT - Roster'!$JQ$6:$JQ$206,"*"&amp;Settings!$F$14:$F$43&amp;"*"))</f>
        <v/>
      </c>
      <c r="JB17" s="170">
        <f>SUMPRODUCT((Settings!$G$14:$G$43=$B17)*COUNTIF('INPUT - Roster'!$JR$6:$JR$206,"*"&amp;Settings!$F$14:$F$43&amp;"*"))</f>
        <v/>
      </c>
      <c r="JC17" s="170">
        <f>SUMPRODUCT((Settings!$G$14:$G$43=$B17)*COUNTIF('INPUT - Roster'!$JS$6:$JS$206,"*"&amp;Settings!$F$14:$F$43&amp;"*"))</f>
        <v/>
      </c>
      <c r="JD17" s="170">
        <f>SUMPRODUCT((Settings!$G$14:$G$43=$B17)*COUNTIF('INPUT - Roster'!$JT$6:$JT$206,"*"&amp;Settings!$F$14:$F$43&amp;"*"))</f>
        <v/>
      </c>
      <c r="JE17" s="170">
        <f>SUMPRODUCT((Settings!$G$14:$G$43=$B17)*COUNTIF('INPUT - Roster'!$JU$6:$JU$206,"*"&amp;Settings!$F$14:$F$43&amp;"*"))</f>
        <v/>
      </c>
      <c r="JF17" s="170">
        <f>SUMPRODUCT((Settings!$G$14:$G$43=$B17)*COUNTIF('INPUT - Roster'!$JV$6:$JV$206,"*"&amp;Settings!$F$14:$F$43&amp;"*"))</f>
        <v/>
      </c>
      <c r="JG17" s="170">
        <f>SUMPRODUCT((Settings!$G$14:$G$43=$B17)*COUNTIF('INPUT - Roster'!$JW$6:$JW$206,"*"&amp;Settings!$F$14:$F$43&amp;"*"))</f>
        <v/>
      </c>
      <c r="JH17" s="170">
        <f>SUMPRODUCT((Settings!$G$14:$G$43=$B17)*COUNTIF('INPUT - Roster'!$JX$6:$JX$206,"*"&amp;Settings!$F$14:$F$43&amp;"*"))</f>
        <v/>
      </c>
      <c r="JI17" s="170">
        <f>SUMPRODUCT((Settings!$G$14:$G$43=$B17)*COUNTIF('INPUT - Roster'!$JY$6:$JY$206,"*"&amp;Settings!$F$14:$F$43&amp;"*"))</f>
        <v/>
      </c>
      <c r="JJ17" s="170">
        <f>SUMPRODUCT((Settings!$G$14:$G$43=$B17)*COUNTIF('INPUT - Roster'!$JZ$6:$JZ$206,"*"&amp;Settings!$F$14:$F$43&amp;"*"))</f>
        <v/>
      </c>
      <c r="JK17" s="170">
        <f>SUMPRODUCT((Settings!$G$14:$G$43=$B17)*COUNTIF('INPUT - Roster'!$KA$6:$KA$206,"*"&amp;Settings!$F$14:$F$43&amp;"*"))</f>
        <v/>
      </c>
      <c r="JL17" s="170">
        <f>SUMPRODUCT((Settings!$G$14:$G$43=$B17)*COUNTIF('INPUT - Roster'!$KB$6:$KB$206,"*"&amp;Settings!$F$14:$F$43&amp;"*"))</f>
        <v/>
      </c>
      <c r="JM17" s="170">
        <f>SUMPRODUCT((Settings!$G$14:$G$43=$B17)*COUNTIF('INPUT - Roster'!$KC$6:$KC$206,"*"&amp;Settings!$F$14:$F$43&amp;"*"))</f>
        <v/>
      </c>
      <c r="JN17" s="170">
        <f>SUMPRODUCT((Settings!$G$14:$G$43=$B17)*COUNTIF('INPUT - Roster'!$KD$6:$KD$206,"*"&amp;Settings!$F$14:$F$43&amp;"*"))</f>
        <v/>
      </c>
      <c r="JO17" s="170">
        <f>SUMPRODUCT((Settings!$G$14:$G$43=$B17)*COUNTIF('INPUT - Roster'!$KE$6:$KE$206,"*"&amp;Settings!$F$14:$F$43&amp;"*"))</f>
        <v/>
      </c>
      <c r="JP17" s="170">
        <f>SUMPRODUCT((Settings!$G$14:$G$43=$B17)*COUNTIF('INPUT - Roster'!$KF$6:$KF$206,"*"&amp;Settings!$F$14:$F$43&amp;"*"))</f>
        <v/>
      </c>
      <c r="JQ17" s="170">
        <f>SUMPRODUCT((Settings!$G$14:$G$43=$B17)*COUNTIF('INPUT - Roster'!$KG$6:$KG$206,"*"&amp;Settings!$F$14:$F$43&amp;"*"))</f>
        <v/>
      </c>
      <c r="JR17" s="170">
        <f>SUMPRODUCT((Settings!$G$14:$G$43=$B17)*COUNTIF('INPUT - Roster'!$KH$6:$KH$206,"*"&amp;Settings!$F$14:$F$43&amp;"*"))</f>
        <v/>
      </c>
      <c r="JS17" s="170">
        <f>SUMPRODUCT((Settings!$G$14:$G$43=$B17)*COUNTIF('INPUT - Roster'!$KI$6:$KI$206,"*"&amp;Settings!$F$14:$F$43&amp;"*"))</f>
        <v/>
      </c>
      <c r="JT17" s="170">
        <f>SUMPRODUCT((Settings!$G$14:$G$43=$B17)*COUNTIF('INPUT - Roster'!$KJ$6:$KJ$206,"*"&amp;Settings!$F$14:$F$43&amp;"*"))</f>
        <v/>
      </c>
      <c r="JU17" s="170">
        <f>SUMPRODUCT((Settings!$G$14:$G$43=$B17)*COUNTIF('INPUT - Roster'!$KK$6:$KK$206,"*"&amp;Settings!$F$14:$F$43&amp;"*"))</f>
        <v/>
      </c>
      <c r="JV17" s="170">
        <f>SUMPRODUCT((Settings!$G$14:$G$43=$B17)*COUNTIF('INPUT - Roster'!$KL$6:$KL$206,"*"&amp;Settings!$F$14:$F$43&amp;"*"))</f>
        <v/>
      </c>
      <c r="JW17" s="170">
        <f>SUMPRODUCT((Settings!$G$14:$G$43=$B17)*COUNTIF('INPUT - Roster'!$KM$6:$KM$206,"*"&amp;Settings!$F$14:$F$43&amp;"*"))</f>
        <v/>
      </c>
      <c r="JX17" s="170">
        <f>SUMPRODUCT((Settings!$G$14:$G$43=$B17)*COUNTIF('INPUT - Roster'!$KN$6:$KN$206,"*"&amp;Settings!$F$14:$F$43&amp;"*"))</f>
        <v/>
      </c>
      <c r="JY17" s="170">
        <f>SUMPRODUCT((Settings!$G$14:$G$43=$B17)*COUNTIF('INPUT - Roster'!$KO$6:$KO$206,"*"&amp;Settings!$F$14:$F$43&amp;"*"))</f>
        <v/>
      </c>
      <c r="JZ17" s="170">
        <f>SUMPRODUCT((Settings!$G$14:$G$43=$B17)*COUNTIF('INPUT - Roster'!$KP$6:$KP$206,"*"&amp;Settings!$F$14:$F$43&amp;"*"))</f>
        <v/>
      </c>
      <c r="KA17" s="170">
        <f>SUMPRODUCT((Settings!$G$14:$G$43=$B17)*COUNTIF('INPUT - Roster'!$KQ$6:$KQ$206,"*"&amp;Settings!$F$14:$F$43&amp;"*"))</f>
        <v/>
      </c>
      <c r="KB17" s="170">
        <f>SUMPRODUCT((Settings!$G$14:$G$43=$B17)*COUNTIF('INPUT - Roster'!$KR$6:$KR$206,"*"&amp;Settings!$F$14:$F$43&amp;"*"))</f>
        <v/>
      </c>
      <c r="KC17" s="170">
        <f>SUMPRODUCT((Settings!$G$14:$G$43=$B17)*COUNTIF('INPUT - Roster'!$KS$6:$KS$206,"*"&amp;Settings!$F$14:$F$43&amp;"*"))</f>
        <v/>
      </c>
      <c r="KD17" s="170">
        <f>SUMPRODUCT((Settings!$G$14:$G$43=$B17)*COUNTIF('INPUT - Roster'!$KT$6:$KT$206,"*"&amp;Settings!$F$14:$F$43&amp;"*"))</f>
        <v/>
      </c>
      <c r="KE17" s="170">
        <f>SUMPRODUCT((Settings!$G$14:$G$43=$B17)*COUNTIF('INPUT - Roster'!$KU$6:$KU$206,"*"&amp;Settings!$F$14:$F$43&amp;"*"))</f>
        <v/>
      </c>
      <c r="KF17" s="170">
        <f>SUMPRODUCT((Settings!$G$14:$G$43=$B17)*COUNTIF('INPUT - Roster'!$KV$6:$KV$206,"*"&amp;Settings!$F$14:$F$43&amp;"*"))</f>
        <v/>
      </c>
      <c r="KG17" s="170">
        <f>SUMPRODUCT((Settings!$G$14:$G$43=$B17)*COUNTIF('INPUT - Roster'!$KW$6:$KW$206,"*"&amp;Settings!$F$14:$F$43&amp;"*"))</f>
        <v/>
      </c>
      <c r="KH17" s="170">
        <f>SUMPRODUCT((Settings!$G$14:$G$43=$B17)*COUNTIF('INPUT - Roster'!$KX$6:$KX$206,"*"&amp;Settings!$F$14:$F$43&amp;"*"))</f>
        <v/>
      </c>
      <c r="KI17" s="170">
        <f>SUMPRODUCT((Settings!$G$14:$G$43=$B17)*COUNTIF('INPUT - Roster'!$KY$6:$KY$206,"*"&amp;Settings!$F$14:$F$43&amp;"*"))</f>
        <v/>
      </c>
      <c r="KJ17" s="170">
        <f>SUMPRODUCT((Settings!$G$14:$G$43=$B17)*COUNTIF('INPUT - Roster'!$KZ$6:$KZ$206,"*"&amp;Settings!$F$14:$F$43&amp;"*"))</f>
        <v/>
      </c>
      <c r="KK17" s="170">
        <f>SUMPRODUCT((Settings!$G$14:$G$43=$B17)*COUNTIF('INPUT - Roster'!$LA$6:$LA$206,"*"&amp;Settings!$F$14:$F$43&amp;"*"))</f>
        <v/>
      </c>
      <c r="KL17" s="170">
        <f>SUMPRODUCT((Settings!$G$14:$G$43=$B17)*COUNTIF('INPUT - Roster'!$LB$6:$LB$206,"*"&amp;Settings!$F$14:$F$43&amp;"*"))</f>
        <v/>
      </c>
      <c r="KM17" s="170">
        <f>SUMPRODUCT((Settings!$G$14:$G$43=$B17)*COUNTIF('INPUT - Roster'!$LC$6:$LC$206,"*"&amp;Settings!$F$14:$F$43&amp;"*"))</f>
        <v/>
      </c>
      <c r="KN17" s="170">
        <f>SUMPRODUCT((Settings!$G$14:$G$43=$B17)*COUNTIF('INPUT - Roster'!$LD$6:$LD$206,"*"&amp;Settings!$F$14:$F$43&amp;"*"))</f>
        <v/>
      </c>
      <c r="KO17" s="170">
        <f>SUMPRODUCT((Settings!$G$14:$G$43=$B17)*COUNTIF('INPUT - Roster'!$LE$6:$LE$206,"*"&amp;Settings!$F$14:$F$43&amp;"*"))</f>
        <v/>
      </c>
      <c r="KP17" s="170">
        <f>SUMPRODUCT((Settings!$G$14:$G$43=$B17)*COUNTIF('INPUT - Roster'!$LF$6:$LF$206,"*"&amp;Settings!$F$14:$F$43&amp;"*"))</f>
        <v/>
      </c>
      <c r="KQ17" s="170">
        <f>SUMPRODUCT((Settings!$G$14:$G$43=$B17)*COUNTIF('INPUT - Roster'!$LG$6:$LG$206,"*"&amp;Settings!$F$14:$F$43&amp;"*"))</f>
        <v/>
      </c>
      <c r="KR17" s="170">
        <f>SUMPRODUCT((Settings!$G$14:$G$43=$B17)*COUNTIF('INPUT - Roster'!$LH$6:$LH$206,"*"&amp;Settings!$F$14:$F$43&amp;"*"))</f>
        <v/>
      </c>
      <c r="KS17" s="170">
        <f>SUMPRODUCT((Settings!$G$14:$G$43=$B17)*COUNTIF('INPUT - Roster'!$LI$6:$LI$206,"*"&amp;Settings!$F$14:$F$43&amp;"*"))</f>
        <v/>
      </c>
      <c r="KT17" s="170">
        <f>SUMPRODUCT((Settings!$G$14:$G$43=$B17)*COUNTIF('INPUT - Roster'!$LJ$6:$LJ$206,"*"&amp;Settings!$F$14:$F$43&amp;"*"))</f>
        <v/>
      </c>
      <c r="KU17" s="170">
        <f>SUMPRODUCT((Settings!$G$14:$G$43=$B17)*COUNTIF('INPUT - Roster'!$LK$6:$LK$206,"*"&amp;Settings!$F$14:$F$43&amp;"*"))</f>
        <v/>
      </c>
      <c r="KV17" s="170">
        <f>SUMPRODUCT((Settings!$G$14:$G$43=$B17)*COUNTIF('INPUT - Roster'!$LL$6:$LL$206,"*"&amp;Settings!$F$14:$F$43&amp;"*"))</f>
        <v/>
      </c>
      <c r="KW17" s="170">
        <f>SUMPRODUCT((Settings!$G$14:$G$43=$B17)*COUNTIF('INPUT - Roster'!$LM$6:$LM$206,"*"&amp;Settings!$F$14:$F$43&amp;"*"))</f>
        <v/>
      </c>
      <c r="KX17" s="170">
        <f>SUMPRODUCT((Settings!$G$14:$G$43=$B17)*COUNTIF('INPUT - Roster'!$LN$6:$LN$206,"*"&amp;Settings!$F$14:$F$43&amp;"*"))</f>
        <v/>
      </c>
      <c r="KY17" s="170">
        <f>SUMPRODUCT((Settings!$G$14:$G$43=$B17)*COUNTIF('INPUT - Roster'!$LO$6:$LO$206,"*"&amp;Settings!$F$14:$F$43&amp;"*"))</f>
        <v/>
      </c>
      <c r="KZ17" s="170">
        <f>SUMPRODUCT((Settings!$G$14:$G$43=$B17)*COUNTIF('INPUT - Roster'!$LP$6:$LP$206,"*"&amp;Settings!$F$14:$F$43&amp;"*"))</f>
        <v/>
      </c>
      <c r="LA17" s="170">
        <f>SUMPRODUCT((Settings!$G$14:$G$43=$B17)*COUNTIF('INPUT - Roster'!$LQ$6:$LQ$206,"*"&amp;Settings!$F$14:$F$43&amp;"*"))</f>
        <v/>
      </c>
      <c r="LB17" s="170">
        <f>SUMPRODUCT((Settings!$G$14:$G$43=$B17)*COUNTIF('INPUT - Roster'!$LR$6:$LR$206,"*"&amp;Settings!$F$14:$F$43&amp;"*"))</f>
        <v/>
      </c>
      <c r="LC17" s="170">
        <f>SUMPRODUCT((Settings!$G$14:$G$43=$B17)*COUNTIF('INPUT - Roster'!$LS$6:$LS$206,"*"&amp;Settings!$F$14:$F$43&amp;"*"))</f>
        <v/>
      </c>
      <c r="LD17" s="170">
        <f>SUMPRODUCT((Settings!$G$14:$G$43=$B17)*COUNTIF('INPUT - Roster'!$LT$6:$LT$206,"*"&amp;Settings!$F$14:$F$43&amp;"*"))</f>
        <v/>
      </c>
      <c r="LE17" s="170">
        <f>SUMPRODUCT((Settings!$G$14:$G$43=$B17)*COUNTIF('INPUT - Roster'!$LU$6:$LU$206,"*"&amp;Settings!$F$14:$F$43&amp;"*"))</f>
        <v/>
      </c>
      <c r="LF17" s="170">
        <f>SUMPRODUCT((Settings!$G$14:$G$43=$B17)*COUNTIF('INPUT - Roster'!$LV$6:$LV$206,"*"&amp;Settings!$F$14:$F$43&amp;"*"))</f>
        <v/>
      </c>
      <c r="LG17" s="170">
        <f>SUMPRODUCT((Settings!$G$14:$G$43=$B17)*COUNTIF('INPUT - Roster'!$LW$6:$LW$206,"*"&amp;Settings!$F$14:$F$43&amp;"*"))</f>
        <v/>
      </c>
      <c r="LH17" s="170">
        <f>SUMPRODUCT((Settings!$G$14:$G$43=$B17)*COUNTIF('INPUT - Roster'!$LX$6:$LX$206,"*"&amp;Settings!$F$14:$F$43&amp;"*"))</f>
        <v/>
      </c>
      <c r="LI17" s="170">
        <f>SUMPRODUCT((Settings!$G$14:$G$43=$B17)*COUNTIF('INPUT - Roster'!$LY$6:$LY$206,"*"&amp;Settings!$F$14:$F$43&amp;"*"))</f>
        <v/>
      </c>
      <c r="LJ17" s="170">
        <f>SUMPRODUCT((Settings!$G$14:$G$43=$B17)*COUNTIF('INPUT - Roster'!$LZ$6:$LZ$206,"*"&amp;Settings!$F$14:$F$43&amp;"*"))</f>
        <v/>
      </c>
      <c r="LK17" s="170">
        <f>SUMPRODUCT((Settings!$G$14:$G$43=$B17)*COUNTIF('INPUT - Roster'!$MA$6:$MA$206,"*"&amp;Settings!$F$14:$F$43&amp;"*"))</f>
        <v/>
      </c>
      <c r="LL17" s="170">
        <f>SUMPRODUCT((Settings!$G$14:$G$43=$B17)*COUNTIF('INPUT - Roster'!$MB$6:$MB$206,"*"&amp;Settings!$F$14:$F$43&amp;"*"))</f>
        <v/>
      </c>
      <c r="LM17" s="170">
        <f>SUMPRODUCT((Settings!$G$14:$G$43=$B17)*COUNTIF('INPUT - Roster'!$MC$6:$MC$206,"*"&amp;Settings!$F$14:$F$43&amp;"*"))</f>
        <v/>
      </c>
      <c r="LN17" s="170">
        <f>SUMPRODUCT((Settings!$G$14:$G$43=$B17)*COUNTIF('INPUT - Roster'!$MD$6:$MD$206,"*"&amp;Settings!$F$14:$F$43&amp;"*"))</f>
        <v/>
      </c>
      <c r="LO17" s="170">
        <f>SUMPRODUCT((Settings!$G$14:$G$43=$B17)*COUNTIF('INPUT - Roster'!$ME$6:$ME$206,"*"&amp;Settings!$F$14:$F$43&amp;"*"))</f>
        <v/>
      </c>
      <c r="LP17" s="170">
        <f>SUMPRODUCT((Settings!$G$14:$G$43=$B17)*COUNTIF('INPUT - Roster'!$MF$6:$MF$206,"*"&amp;Settings!$F$14:$F$43&amp;"*"))</f>
        <v/>
      </c>
      <c r="LQ17" s="170">
        <f>SUMPRODUCT((Settings!$G$14:$G$43=$B17)*COUNTIF('INPUT - Roster'!$MG$6:$MG$206,"*"&amp;Settings!$F$14:$F$43&amp;"*"))</f>
        <v/>
      </c>
      <c r="LR17" s="170">
        <f>SUMPRODUCT((Settings!$G$14:$G$43=$B17)*COUNTIF('INPUT - Roster'!$MH$6:$MH$206,"*"&amp;Settings!$F$14:$F$43&amp;"*"))</f>
        <v/>
      </c>
      <c r="LS17" s="170">
        <f>SUMPRODUCT((Settings!$G$14:$G$43=$B17)*COUNTIF('INPUT - Roster'!$MI$6:$MI$206,"*"&amp;Settings!$F$14:$F$43&amp;"*"))</f>
        <v/>
      </c>
      <c r="LT17" s="170">
        <f>SUMPRODUCT((Settings!$G$14:$G$43=$B17)*COUNTIF('INPUT - Roster'!$MJ$6:$MJ$206,"*"&amp;Settings!$F$14:$F$43&amp;"*"))</f>
        <v/>
      </c>
      <c r="LU17" s="170">
        <f>SUMPRODUCT((Settings!$G$14:$G$43=$B17)*COUNTIF('INPUT - Roster'!$MK$6:$MK$206,"*"&amp;Settings!$F$14:$F$43&amp;"*"))</f>
        <v/>
      </c>
      <c r="LV17" s="170">
        <f>SUMPRODUCT((Settings!$G$14:$G$43=$B17)*COUNTIF('INPUT - Roster'!$ML$6:$ML$206,"*"&amp;Settings!$F$14:$F$43&amp;"*"))</f>
        <v/>
      </c>
      <c r="LW17" s="170">
        <f>SUMPRODUCT((Settings!$G$14:$G$43=$B17)*COUNTIF('INPUT - Roster'!$MM$6:$MM$206,"*"&amp;Settings!$F$14:$F$43&amp;"*"))</f>
        <v/>
      </c>
      <c r="LX17" s="170">
        <f>SUMPRODUCT((Settings!$G$14:$G$43=$B17)*COUNTIF('INPUT - Roster'!$MN$6:$MN$206,"*"&amp;Settings!$F$14:$F$43&amp;"*"))</f>
        <v/>
      </c>
      <c r="LY17" s="170">
        <f>SUMPRODUCT((Settings!$G$14:$G$43=$B17)*COUNTIF('INPUT - Roster'!$MO$6:$MO$206,"*"&amp;Settings!$F$14:$F$43&amp;"*"))</f>
        <v/>
      </c>
      <c r="LZ17" s="170">
        <f>SUMPRODUCT((Settings!$G$14:$G$43=$B17)*COUNTIF('INPUT - Roster'!$MP$6:$MP$206,"*"&amp;Settings!$F$14:$F$43&amp;"*"))</f>
        <v/>
      </c>
      <c r="MA17" s="170">
        <f>SUMPRODUCT((Settings!$G$14:$G$43=$B17)*COUNTIF('INPUT - Roster'!$MQ$6:$MQ$206,"*"&amp;Settings!$F$14:$F$43&amp;"*"))</f>
        <v/>
      </c>
      <c r="MB17" s="170">
        <f>SUMPRODUCT((Settings!$G$14:$G$43=$B17)*COUNTIF('INPUT - Roster'!$MR$6:$MR$206,"*"&amp;Settings!$F$14:$F$43&amp;"*"))</f>
        <v/>
      </c>
      <c r="MC17" s="170">
        <f>SUMPRODUCT((Settings!$G$14:$G$43=$B17)*COUNTIF('INPUT - Roster'!$MS$6:$MS$206,"*"&amp;Settings!$F$14:$F$43&amp;"*"))</f>
        <v/>
      </c>
      <c r="MD17" s="170">
        <f>SUMPRODUCT((Settings!$G$14:$G$43=$B17)*COUNTIF('INPUT - Roster'!$MT$6:$MT$206,"*"&amp;Settings!$F$14:$F$43&amp;"*"))</f>
        <v/>
      </c>
      <c r="ME17" s="170">
        <f>SUMPRODUCT((Settings!$G$14:$G$43=$B17)*COUNTIF('INPUT - Roster'!$MU$6:$MU$206,"*"&amp;Settings!$F$14:$F$43&amp;"*"))</f>
        <v/>
      </c>
      <c r="MF17" s="170">
        <f>SUMPRODUCT((Settings!$G$14:$G$43=$B17)*COUNTIF('INPUT - Roster'!$MV$6:$MV$206,"*"&amp;Settings!$F$14:$F$43&amp;"*"))</f>
        <v/>
      </c>
      <c r="MG17" s="170">
        <f>SUMPRODUCT((Settings!$G$14:$G$43=$B17)*COUNTIF('INPUT - Roster'!$MW$6:$MW$206,"*"&amp;Settings!$F$14:$F$43&amp;"*"))</f>
        <v/>
      </c>
      <c r="MH17" s="170">
        <f>SUMPRODUCT((Settings!$G$14:$G$43=$B17)*COUNTIF('INPUT - Roster'!$MX$6:$MX$206,"*"&amp;Settings!$F$14:$F$43&amp;"*"))</f>
        <v/>
      </c>
      <c r="MI17" s="170">
        <f>SUMPRODUCT((Settings!$G$14:$G$43=$B17)*COUNTIF('INPUT - Roster'!$MY$6:$MY$206,"*"&amp;Settings!$F$14:$F$43&amp;"*"))</f>
        <v/>
      </c>
      <c r="MJ17" s="170">
        <f>SUMPRODUCT((Settings!$G$14:$G$43=$B17)*COUNTIF('INPUT - Roster'!$MZ$6:$MZ$206,"*"&amp;Settings!$F$14:$F$43&amp;"*"))</f>
        <v/>
      </c>
      <c r="MK17" s="170">
        <f>SUMPRODUCT((Settings!$G$14:$G$43=$B17)*COUNTIF('INPUT - Roster'!$NA$6:$NA$206,"*"&amp;Settings!$F$14:$F$43&amp;"*"))</f>
        <v/>
      </c>
      <c r="ML17" s="170">
        <f>SUMPRODUCT((Settings!$G$14:$G$43=$B17)*COUNTIF('INPUT - Roster'!$NB$6:$NB$206,"*"&amp;Settings!$F$14:$F$43&amp;"*"))</f>
        <v/>
      </c>
      <c r="MM17" s="170">
        <f>SUMPRODUCT((Settings!$G$14:$G$43=$B17)*COUNTIF('INPUT - Roster'!$NC$6:$NC$206,"*"&amp;Settings!$F$14:$F$43&amp;"*"))</f>
        <v/>
      </c>
      <c r="MN17" s="170">
        <f>SUMPRODUCT((Settings!$G$14:$G$43=$B17)*COUNTIF('INPUT - Roster'!$ND$6:$ND$206,"*"&amp;Settings!$F$14:$F$43&amp;"*"))</f>
        <v/>
      </c>
      <c r="MO17" s="170">
        <f>SUMPRODUCT((Settings!$G$14:$G$43=$B17)*COUNTIF('INPUT - Roster'!$NE$6:$NE$206,"*"&amp;Settings!$F$14:$F$43&amp;"*"))</f>
        <v/>
      </c>
      <c r="MP17" s="170">
        <f>SUMPRODUCT((Settings!$G$14:$G$43=$B17)*COUNTIF('INPUT - Roster'!$NF$6:$NF$206,"*"&amp;Settings!$F$14:$F$43&amp;"*"))</f>
        <v/>
      </c>
      <c r="MQ17" s="170">
        <f>SUMPRODUCT((Settings!$G$14:$G$43=$B17)*COUNTIF('INPUT - Roster'!$NG$6:$NG$206,"*"&amp;Settings!$F$14:$F$43&amp;"*"))</f>
        <v/>
      </c>
      <c r="MR17" s="170">
        <f>SUMPRODUCT((Settings!$G$14:$G$43=$B17)*COUNTIF('INPUT - Roster'!$NH$6:$NH$206,"*"&amp;Settings!$F$14:$F$43&amp;"*"))</f>
        <v/>
      </c>
      <c r="MS17" s="170">
        <f>SUMPRODUCT((Settings!$G$14:$G$43=$B17)*COUNTIF('INPUT - Roster'!$NI$6:$NI$206,"*"&amp;Settings!$F$14:$F$43&amp;"*"))</f>
        <v/>
      </c>
      <c r="MT17" s="170">
        <f>SUMPRODUCT((Settings!$G$14:$G$43=$B17)*COUNTIF('INPUT - Roster'!$NJ$6:$NJ$206,"*"&amp;Settings!$F$14:$F$43&amp;"*"))</f>
        <v/>
      </c>
      <c r="MU17" s="170">
        <f>SUMPRODUCT((Settings!$G$14:$G$43=$B17)*COUNTIF('INPUT - Roster'!$NK$6:$NK$206,"*"&amp;Settings!$F$14:$F$43&amp;"*"))</f>
        <v/>
      </c>
      <c r="MV17" s="170">
        <f>SUMPRODUCT((Settings!$G$14:$G$43=$B17)*COUNTIF('INPUT - Roster'!$NL$6:$NL$206,"*"&amp;Settings!$F$14:$F$43&amp;"*"))</f>
        <v/>
      </c>
      <c r="MW17" s="170">
        <f>SUMPRODUCT((Settings!$G$14:$G$43=$B17)*COUNTIF('INPUT - Roster'!$NM$6:$NM$206,"*"&amp;Settings!$F$14:$F$43&amp;"*"))</f>
        <v/>
      </c>
      <c r="MX17" s="170">
        <f>SUMPRODUCT((Settings!$G$14:$G$43=$B17)*COUNTIF('INPUT - Roster'!$NN$6:$NN$206,"*"&amp;Settings!$F$14:$F$43&amp;"*"))</f>
        <v/>
      </c>
      <c r="MY17" s="170">
        <f>SUMPRODUCT((Settings!$G$14:$G$43=$B17)*COUNTIF('INPUT - Roster'!$NO$6:$NO$206,"*"&amp;Settings!$F$14:$F$43&amp;"*"))</f>
        <v/>
      </c>
      <c r="MZ17" s="170">
        <f>SUMPRODUCT((Settings!$G$14:$G$43=$B17)*COUNTIF('INPUT - Roster'!$NP$6:$NP$206,"*"&amp;Settings!$F$14:$F$43&amp;"*"))</f>
        <v/>
      </c>
      <c r="NA17" s="170">
        <f>SUMPRODUCT((Settings!$G$14:$G$43=$B17)*COUNTIF('INPUT - Roster'!$NQ$6:$NQ$206,"*"&amp;Settings!$F$14:$F$43&amp;"*"))</f>
        <v/>
      </c>
      <c r="NB17" s="170">
        <f>SUMPRODUCT((Settings!$G$14:$G$43=$B17)*COUNTIF('INPUT - Roster'!$NR$6:$NR$206,"*"&amp;Settings!$F$14:$F$43&amp;"*"))</f>
        <v/>
      </c>
      <c r="NC17" s="170">
        <f>SUMPRODUCT((Settings!$G$14:$G$43=$B17)*COUNTIF('INPUT - Roster'!$NS$6:$NS$206,"*"&amp;Settings!$F$14:$F$43&amp;"*"))</f>
        <v/>
      </c>
      <c r="ND17" s="170">
        <f>SUMPRODUCT((Settings!$G$14:$G$43=$B17)*COUNTIF('INPUT - Roster'!$NT$6:$NT$206,"*"&amp;Settings!$F$14:$F$43&amp;"*"))</f>
        <v/>
      </c>
      <c r="NE17" s="170">
        <f>SUMPRODUCT((Settings!$G$14:$G$43=$B17)*COUNTIF('INPUT - Roster'!$NU$6:$NU$206,"*"&amp;Settings!$F$14:$F$43&amp;"*"))</f>
        <v/>
      </c>
      <c r="NF17" s="170">
        <f>SUMPRODUCT((Settings!$G$14:$G$43=$B17)*COUNTIF('INPUT - Roster'!$NV$6:$NV$206,"*"&amp;Settings!$F$14:$F$43&amp;"*"))</f>
        <v/>
      </c>
      <c r="NG17" s="170">
        <f>SUMPRODUCT((Settings!$G$14:$G$43=$B17)*COUNTIF('INPUT - Roster'!$NW$6:$NW$206,"*"&amp;Settings!$F$14:$F$43&amp;"*"))</f>
        <v/>
      </c>
      <c r="NH17" s="170">
        <f>SUMPRODUCT((Settings!$G$14:$G$43=$B17)*COUNTIF('INPUT - Roster'!$NX$6:$NX$206,"*"&amp;Settings!$F$14:$F$43&amp;"*"))</f>
        <v/>
      </c>
      <c r="NI17" s="170">
        <f>SUMPRODUCT((Settings!$G$14:$G$43=$B17)*COUNTIF('INPUT - Roster'!$NY$6:$NY$206,"*"&amp;Settings!$F$14:$F$43&amp;"*"))</f>
        <v/>
      </c>
      <c r="NJ17" s="170">
        <f>SUMPRODUCT((Settings!$G$14:$G$43=$B17)*COUNTIF('INPUT - Roster'!$NZ$6:$NZ$206,"*"&amp;Settings!$F$14:$F$43&amp;"*"))</f>
        <v/>
      </c>
      <c r="NK17" s="170">
        <f>SUMPRODUCT((Settings!$G$14:$G$43=$B17)*COUNTIF('INPUT - Roster'!$OA$6:$OA$206,"*"&amp;Settings!$F$14:$F$43&amp;"*"))</f>
        <v/>
      </c>
      <c r="NL17" s="170">
        <f>SUMPRODUCT((Settings!$G$14:$G$43=$B17)*COUNTIF('INPUT - Roster'!$OB$6:$OB$206,"*"&amp;Settings!$F$14:$F$43&amp;"*"))</f>
        <v/>
      </c>
      <c r="NM17" s="170">
        <f>SUMPRODUCT((Settings!$G$14:$G$43=$B17)*COUNTIF('INPUT - Roster'!$OC$6:$OC$206,"*"&amp;Settings!$F$14:$F$43&amp;"*"))</f>
        <v/>
      </c>
      <c r="NN17" s="170">
        <f>SUMPRODUCT((Settings!$G$14:$G$43=$B17)*COUNTIF('INPUT - Roster'!$OD$6:$OD$206,"*"&amp;Settings!$F$14:$F$43&amp;"*"))</f>
        <v/>
      </c>
      <c r="NO17" s="170">
        <f>SUMPRODUCT((Settings!$G$14:$G$43=$B17)*COUNTIF('INPUT - Roster'!$OE$6:$OE$206,"*"&amp;Settings!$F$14:$F$43&amp;"*"))</f>
        <v/>
      </c>
      <c r="NP17" s="170">
        <f>SUMPRODUCT((Settings!$G$14:$G$43=$B17)*COUNTIF('INPUT - Roster'!$OF$6:$OF$206,"*"&amp;Settings!$F$14:$F$43&amp;"*"))</f>
        <v/>
      </c>
      <c r="NQ17" s="170">
        <f>SUMPRODUCT((Settings!$G$14:$G$43=$B17)*COUNTIF('INPUT - Roster'!$OG$6:$OG$206,"*"&amp;Settings!$F$14:$F$43&amp;"*"))</f>
        <v/>
      </c>
      <c r="NR17" s="170">
        <f>SUMPRODUCT((Settings!$G$14:$G$43=$B17)*COUNTIF('INPUT - Roster'!$OH$6:$OH$206,"*"&amp;Settings!$F$14:$F$43&amp;"*"))</f>
        <v/>
      </c>
      <c r="NS17" s="170">
        <f>SUMPRODUCT((Settings!$G$14:$G$43=$B17)*COUNTIF('INPUT - Roster'!$OI$6:$OI$206,"*"&amp;Settings!$F$14:$F$43&amp;"*"))</f>
        <v/>
      </c>
      <c r="NT17" s="170">
        <f>SUMPRODUCT((Settings!$G$14:$G$43=$B17)*COUNTIF('INPUT - Roster'!$OJ$6:$OJ$206,"*"&amp;Settings!$F$14:$F$43&amp;"*"))</f>
        <v/>
      </c>
      <c r="NU17" s="170">
        <f>SUMPRODUCT((Settings!$G$14:$G$43=$B17)*COUNTIF('INPUT - Roster'!$OK$6:$OK$206,"*"&amp;Settings!$F$14:$F$43&amp;"*"))</f>
        <v/>
      </c>
      <c r="NV17" s="170">
        <f>SUMPRODUCT((Settings!$G$14:$G$43=$B17)*COUNTIF('INPUT - Roster'!$OL$6:$OL$206,"*"&amp;Settings!$F$14:$F$43&amp;"*"))</f>
        <v/>
      </c>
      <c r="NW17" s="170">
        <f>SUMPRODUCT((Settings!$G$14:$G$43=$B17)*COUNTIF('INPUT - Roster'!$OM$6:$OM$206,"*"&amp;Settings!$F$14:$F$43&amp;"*"))</f>
        <v/>
      </c>
      <c r="NX17" s="170">
        <f>SUMPRODUCT((Settings!$G$14:$G$43=$B17)*COUNTIF('INPUT - Roster'!$ON$6:$ON$206,"*"&amp;Settings!$F$14:$F$43&amp;"*"))</f>
        <v/>
      </c>
      <c r="NY17" s="170">
        <f>SUMPRODUCT((Settings!$G$14:$G$43=$B17)*COUNTIF('INPUT - Roster'!$OO$6:$OO$206,"*"&amp;Settings!$F$14:$F$43&amp;"*"))</f>
        <v/>
      </c>
      <c r="NZ17" s="170">
        <f>SUMPRODUCT((Settings!$G$14:$G$43=$B17)*COUNTIF('INPUT - Roster'!$OP$6:$OP$206,"*"&amp;Settings!$F$14:$F$43&amp;"*"))</f>
        <v/>
      </c>
      <c r="OA17" s="170">
        <f>SUMPRODUCT((Settings!$G$14:$G$43=$B17)*COUNTIF('INPUT - Roster'!$OQ$6:$OQ$206,"*"&amp;Settings!$F$14:$F$43&amp;"*"))</f>
        <v/>
      </c>
      <c r="OB17" s="170">
        <f>SUMPRODUCT((Settings!$G$14:$G$43=$B17)*COUNTIF('INPUT - Roster'!$OR$6:$OR$206,"*"&amp;Settings!$F$14:$F$43&amp;"*"))</f>
        <v/>
      </c>
      <c r="OC17" s="170">
        <f>SUMPRODUCT((Settings!$G$14:$G$43=$B17)*COUNTIF('INPUT - Roster'!$OS$6:$OS$206,"*"&amp;Settings!$F$14:$F$43&amp;"*"))</f>
        <v/>
      </c>
      <c r="OD17" s="170">
        <f>SUMPRODUCT((Settings!$G$14:$G$43=$B17)*COUNTIF('INPUT - Roster'!$OT$6:$OT$206,"*"&amp;Settings!$F$14:$F$43&amp;"*"))</f>
        <v/>
      </c>
      <c r="OE17" s="170">
        <f>SUMPRODUCT((Settings!$G$14:$G$43=$B17)*COUNTIF('INPUT - Roster'!$OU$6:$OU$206,"*"&amp;Settings!$F$14:$F$43&amp;"*"))</f>
        <v/>
      </c>
      <c r="OF17" s="170">
        <f>SUMPRODUCT((Settings!$G$14:$G$43=$B17)*COUNTIF('INPUT - Roster'!$OV$6:$OV$206,"*"&amp;Settings!$F$14:$F$43&amp;"*"))</f>
        <v/>
      </c>
      <c r="OG17" s="170">
        <f>SUMPRODUCT((Settings!$G$14:$G$43=$B17)*COUNTIF('INPUT - Roster'!$OW$6:$OW$206,"*"&amp;Settings!$F$14:$F$43&amp;"*"))</f>
        <v/>
      </c>
      <c r="OH17" s="170">
        <f>SUMPRODUCT((Settings!$G$14:$G$43=$B17)*COUNTIF('INPUT - Roster'!$OX$6:$OX$206,"*"&amp;Settings!$F$14:$F$43&amp;"*"))</f>
        <v/>
      </c>
      <c r="OI17" s="170">
        <f>SUMPRODUCT((Settings!$G$14:$G$43=$B17)*COUNTIF('INPUT - Roster'!$OY$6:$OY$206,"*"&amp;Settings!$F$14:$F$43&amp;"*"))</f>
        <v/>
      </c>
      <c r="OJ17" s="170">
        <f>SUMPRODUCT((Settings!$G$14:$G$43=$B17)*COUNTIF('INPUT - Roster'!$OZ$6:$OZ$206,"*"&amp;Settings!$F$14:$F$43&amp;"*"))</f>
        <v/>
      </c>
      <c r="OK17" s="170">
        <f>SUMPRODUCT((Settings!$G$14:$G$43=$B17)*COUNTIF('INPUT - Roster'!$PA$6:$PA$206,"*"&amp;Settings!$F$14:$F$43&amp;"*"))</f>
        <v/>
      </c>
      <c r="OL17" s="170">
        <f>SUMPRODUCT((Settings!$G$14:$G$43=$B17)*COUNTIF('INPUT - Roster'!$PB$6:$PB$206,"*"&amp;Settings!$F$14:$F$43&amp;"*"))</f>
        <v/>
      </c>
      <c r="OM17" s="170">
        <f>SUMPRODUCT((Settings!$G$14:$G$43=$B17)*COUNTIF('INPUT - Roster'!$PC$6:$PC$206,"*"&amp;Settings!$F$14:$F$43&amp;"*"))</f>
        <v/>
      </c>
      <c r="ON17" s="170">
        <f>SUMPRODUCT((Settings!$G$14:$G$43=$B17)*COUNTIF('INPUT - Roster'!$PD$6:$PD$206,"*"&amp;Settings!$F$14:$F$43&amp;"*"))</f>
        <v/>
      </c>
      <c r="OO17" s="170">
        <f>SUMPRODUCT((Settings!$G$14:$G$43=$B17)*COUNTIF('INPUT - Roster'!$PE$6:$PE$206,"*"&amp;Settings!$F$14:$F$43&amp;"*"))</f>
        <v/>
      </c>
      <c r="OP17" s="170">
        <f>SUMPRODUCT((Settings!$G$14:$G$43=$B17)*COUNTIF('INPUT - Roster'!$PF$6:$PF$206,"*"&amp;Settings!$F$14:$F$43&amp;"*"))</f>
        <v/>
      </c>
      <c r="OQ17" s="170">
        <f>SUMPRODUCT((Settings!$G$14:$G$43=$B17)*COUNTIF('INPUT - Roster'!$PG$6:$PG$206,"*"&amp;Settings!$F$14:$F$43&amp;"*"))</f>
        <v/>
      </c>
      <c r="OR17" s="170">
        <f>SUMPRODUCT((Settings!$G$14:$G$43=$B17)*COUNTIF('INPUT - Roster'!$PH$6:$PH$206,"*"&amp;Settings!$F$14:$F$43&amp;"*"))</f>
        <v/>
      </c>
      <c r="OS17" s="170">
        <f>SUMPRODUCT((Settings!$G$14:$G$43=$B17)*COUNTIF('INPUT - Roster'!$PI$6:$PI$206,"*"&amp;Settings!$F$14:$F$43&amp;"*"))</f>
        <v/>
      </c>
      <c r="OT17" s="170">
        <f>SUMPRODUCT((Settings!$G$14:$G$43=$B17)*COUNTIF('INPUT - Roster'!$PJ$6:$PJ$206,"*"&amp;Settings!$F$14:$F$43&amp;"*"))</f>
        <v/>
      </c>
      <c r="OU17" s="170">
        <f>SUMPRODUCT((Settings!$G$14:$G$43=$B17)*COUNTIF('INPUT - Roster'!$PK$6:$PK$206,"*"&amp;Settings!$F$14:$F$43&amp;"*"))</f>
        <v/>
      </c>
      <c r="OV17" s="170">
        <f>SUMPRODUCT((Settings!$G$14:$G$43=$B17)*COUNTIF('INPUT - Roster'!$PL$6:$PL$206,"*"&amp;Settings!$F$14:$F$43&amp;"*"))</f>
        <v/>
      </c>
      <c r="OW17" s="170">
        <f>SUMPRODUCT((Settings!$G$14:$G$43=$B17)*COUNTIF('INPUT - Roster'!$PM$6:$PM$206,"*"&amp;Settings!$F$14:$F$43&amp;"*"))</f>
        <v/>
      </c>
      <c r="OX17" s="170">
        <f>SUMPRODUCT((Settings!$G$14:$G$43=$B17)*COUNTIF('INPUT - Roster'!$PN$6:$PN$206,"*"&amp;Settings!$F$14:$F$43&amp;"*"))</f>
        <v/>
      </c>
      <c r="OY17" s="170">
        <f>SUMPRODUCT((Settings!$G$14:$G$43=$B17)*COUNTIF('INPUT - Roster'!$PO$6:$PO$206,"*"&amp;Settings!$F$14:$F$43&amp;"*"))</f>
        <v/>
      </c>
      <c r="OZ17" s="170">
        <f>SUMPRODUCT((Settings!$G$14:$G$43=$B17)*COUNTIF('INPUT - Roster'!$PP$6:$PP$206,"*"&amp;Settings!$F$14:$F$43&amp;"*"))</f>
        <v/>
      </c>
      <c r="PA17" s="170">
        <f>SUMPRODUCT((Settings!$G$14:$G$43=$B17)*COUNTIF('INPUT - Roster'!$PQ$6:$PQ$206,"*"&amp;Settings!$F$14:$F$43&amp;"*"))</f>
        <v/>
      </c>
      <c r="PB17" s="170">
        <f>SUMPRODUCT((Settings!$G$14:$G$43=$B17)*COUNTIF('INPUT - Roster'!$PR$6:$PR$206,"*"&amp;Settings!$F$14:$F$43&amp;"*"))</f>
        <v/>
      </c>
      <c r="PC17" s="170">
        <f>SUMPRODUCT((Settings!$G$14:$G$43=$B17)*COUNTIF('INPUT - Roster'!$PS$6:$PS$206,"*"&amp;Settings!$F$14:$F$43&amp;"*"))</f>
        <v/>
      </c>
      <c r="PD17" s="170">
        <f>SUMPRODUCT((Settings!$G$14:$G$43=$B17)*COUNTIF('INPUT - Roster'!$PT$6:$PT$206,"*"&amp;Settings!$F$14:$F$43&amp;"*"))</f>
        <v/>
      </c>
      <c r="PE17" s="170">
        <f>SUMPRODUCT((Settings!$G$14:$G$43=$B17)*COUNTIF('INPUT - Roster'!$PU$6:$PU$206,"*"&amp;Settings!$F$14:$F$43&amp;"*"))</f>
        <v/>
      </c>
      <c r="PF17" s="170">
        <f>SUMPRODUCT((Settings!$G$14:$G$43=$B17)*COUNTIF('INPUT - Roster'!$PV$6:$PV$206,"*"&amp;Settings!$F$14:$F$43&amp;"*"))</f>
        <v/>
      </c>
      <c r="PG17" s="170">
        <f>SUMPRODUCT((Settings!$G$14:$G$43=$B17)*COUNTIF('INPUT - Roster'!$PW$6:$PW$206,"*"&amp;Settings!$F$14:$F$43&amp;"*"))</f>
        <v/>
      </c>
      <c r="PH17" s="170">
        <f>SUMPRODUCT((Settings!$G$14:$G$43=$B17)*COUNTIF('INPUT - Roster'!$PX$6:$PX$206,"*"&amp;Settings!$F$14:$F$43&amp;"*"))</f>
        <v/>
      </c>
      <c r="PI17" s="170">
        <f>SUMPRODUCT((Settings!$G$14:$G$43=$B17)*COUNTIF('INPUT - Roster'!$PY$6:$PY$206,"*"&amp;Settings!$F$14:$F$43&amp;"*"))</f>
        <v/>
      </c>
      <c r="PJ17" s="170">
        <f>SUMPRODUCT((Settings!$G$14:$G$43=$B17)*COUNTIF('INPUT - Roster'!$PZ$6:$PZ$206,"*"&amp;Settings!$F$14:$F$43&amp;"*"))</f>
        <v/>
      </c>
      <c r="PK17" s="170">
        <f>SUMPRODUCT((Settings!$G$14:$G$43=$B17)*COUNTIF('INPUT - Roster'!$QA$6:$QA$206,"*"&amp;Settings!$F$14:$F$43&amp;"*"))</f>
        <v/>
      </c>
      <c r="PL17" s="170">
        <f>SUMPRODUCT((Settings!$G$14:$G$43=$B17)*COUNTIF('INPUT - Roster'!$QB$6:$QB$206,"*"&amp;Settings!$F$14:$F$43&amp;"*"))</f>
        <v/>
      </c>
      <c r="PM17" s="170">
        <f>SUMPRODUCT((Settings!$G$14:$G$43=$B17)*COUNTIF('INPUT - Roster'!$QC$6:$QC$206,"*"&amp;Settings!$F$14:$F$43&amp;"*"))</f>
        <v/>
      </c>
      <c r="PN17" s="170">
        <f>SUMPRODUCT((Settings!$G$14:$G$43=$B17)*COUNTIF('INPUT - Roster'!$QD$6:$QD$206,"*"&amp;Settings!$F$14:$F$43&amp;"*"))</f>
        <v/>
      </c>
      <c r="PO17" s="170">
        <f>SUMPRODUCT((Settings!$G$14:$G$43=$B17)*COUNTIF('INPUT - Roster'!$QE$6:$QE$206,"*"&amp;Settings!$F$14:$F$43&amp;"*"))</f>
        <v/>
      </c>
      <c r="PP17" s="170">
        <f>SUMPRODUCT((Settings!$G$14:$G$43=$B17)*COUNTIF('INPUT - Roster'!$QF$6:$QF$206,"*"&amp;Settings!$F$14:$F$43&amp;"*"))</f>
        <v/>
      </c>
      <c r="PQ17" s="170">
        <f>SUMPRODUCT((Settings!$G$14:$G$43=$B17)*COUNTIF('INPUT - Roster'!$QG$6:$QG$206,"*"&amp;Settings!$F$14:$F$43&amp;"*"))</f>
        <v/>
      </c>
      <c r="PR17" s="170">
        <f>SUMPRODUCT((Settings!$G$14:$G$43=$B17)*COUNTIF('INPUT - Roster'!$QH$6:$QH$206,"*"&amp;Settings!$F$14:$F$43&amp;"*"))</f>
        <v/>
      </c>
      <c r="PS17" s="170">
        <f>SUMPRODUCT((Settings!$G$14:$G$43=$B17)*COUNTIF('INPUT - Roster'!$QI$6:$QI$206,"*"&amp;Settings!$F$14:$F$43&amp;"*"))</f>
        <v/>
      </c>
      <c r="PT17" s="170">
        <f>SUMPRODUCT((Settings!$G$14:$G$43=$B17)*COUNTIF('INPUT - Roster'!$QJ$6:$QJ$206,"*"&amp;Settings!$F$14:$F$43&amp;"*"))</f>
        <v/>
      </c>
      <c r="PU17" s="170">
        <f>SUMPRODUCT((Settings!$G$14:$G$43=$B17)*COUNTIF('INPUT - Roster'!$QK$6:$QK$206,"*"&amp;Settings!$F$14:$F$43&amp;"*"))</f>
        <v/>
      </c>
      <c r="PV17" s="170">
        <f>SUMPRODUCT((Settings!$G$14:$G$43=$B17)*COUNTIF('INPUT - Roster'!$QL$6:$QL$206,"*"&amp;Settings!$F$14:$F$43&amp;"*"))</f>
        <v/>
      </c>
      <c r="PW17" s="170">
        <f>SUMPRODUCT((Settings!$G$14:$G$43=$B17)*COUNTIF('INPUT - Roster'!$QM$6:$QM$206,"*"&amp;Settings!$F$14:$F$43&amp;"*"))</f>
        <v/>
      </c>
      <c r="PX17" s="170">
        <f>SUMPRODUCT((Settings!$G$14:$G$43=$B17)*COUNTIF('INPUT - Roster'!$QN$6:$QN$206,"*"&amp;Settings!$F$14:$F$43&amp;"*"))</f>
        <v/>
      </c>
      <c r="PY17" s="170">
        <f>SUMPRODUCT((Settings!$G$14:$G$43=$B17)*COUNTIF('INPUT - Roster'!$QO$6:$QO$206,"*"&amp;Settings!$F$14:$F$43&amp;"*"))</f>
        <v/>
      </c>
      <c r="PZ17" s="170">
        <f>SUMPRODUCT((Settings!$G$14:$G$43=$B17)*COUNTIF('INPUT - Roster'!$QP$6:$QP$206,"*"&amp;Settings!$F$14:$F$43&amp;"*"))</f>
        <v/>
      </c>
      <c r="QA17" s="170">
        <f>SUMPRODUCT((Settings!$G$14:$G$43=$B17)*COUNTIF('INPUT - Roster'!$QQ$6:$QQ$206,"*"&amp;Settings!$F$14:$F$43&amp;"*"))</f>
        <v/>
      </c>
      <c r="QB17" s="170">
        <f>SUMPRODUCT((Settings!$G$14:$G$43=$B17)*COUNTIF('INPUT - Roster'!$QR$6:$QR$206,"*"&amp;Settings!$F$14:$F$43&amp;"*"))</f>
        <v/>
      </c>
      <c r="QC17" s="170">
        <f>SUMPRODUCT((Settings!$G$14:$G$43=$B17)*COUNTIF('INPUT - Roster'!$QS$6:$QS$206,"*"&amp;Settings!$F$14:$F$43&amp;"*"))</f>
        <v/>
      </c>
      <c r="QD17" s="170">
        <f>SUMPRODUCT((Settings!$G$14:$G$43=$B17)*COUNTIF('INPUT - Roster'!$QT$6:$QT$206,"*"&amp;Settings!$F$14:$F$43&amp;"*"))</f>
        <v/>
      </c>
      <c r="QE17" s="170">
        <f>SUMPRODUCT((Settings!$G$14:$G$43=$B17)*COUNTIF('INPUT - Roster'!$QU$6:$QU$206,"*"&amp;Settings!$F$14:$F$43&amp;"*"))</f>
        <v/>
      </c>
      <c r="QF17" s="170">
        <f>SUMPRODUCT((Settings!$G$14:$G$43=$B17)*COUNTIF('INPUT - Roster'!$QV$6:$QV$206,"*"&amp;Settings!$F$14:$F$43&amp;"*"))</f>
        <v/>
      </c>
      <c r="QG17" s="170">
        <f>SUMPRODUCT((Settings!$G$14:$G$43=$B17)*COUNTIF('INPUT - Roster'!$QW$6:$QW$206,"*"&amp;Settings!$F$14:$F$43&amp;"*"))</f>
        <v/>
      </c>
      <c r="QH17" s="170">
        <f>SUMPRODUCT((Settings!$G$14:$G$43=$B17)*COUNTIF('INPUT - Roster'!$QX$6:$QX$206,"*"&amp;Settings!$F$14:$F$43&amp;"*"))</f>
        <v/>
      </c>
      <c r="QI17" s="170">
        <f>SUMPRODUCT((Settings!$G$14:$G$43=$B17)*COUNTIF('INPUT - Roster'!$QY$6:$QY$206,"*"&amp;Settings!$F$14:$F$43&amp;"*"))</f>
        <v/>
      </c>
      <c r="QJ17" s="170">
        <f>SUMPRODUCT((Settings!$G$14:$G$43=$B17)*COUNTIF('INPUT - Roster'!$QZ$6:$QZ$206,"*"&amp;Settings!$F$14:$F$43&amp;"*"))</f>
        <v/>
      </c>
      <c r="QK17" s="170">
        <f>SUMPRODUCT((Settings!$G$14:$G$43=$B17)*COUNTIF('INPUT - Roster'!$RA$6:$RA$206,"*"&amp;Settings!$F$14:$F$43&amp;"*"))</f>
        <v/>
      </c>
      <c r="QL17" s="170">
        <f>SUMPRODUCT((Settings!$G$14:$G$43=$B17)*COUNTIF('INPUT - Roster'!$RB$6:$RB$206,"*"&amp;Settings!$F$14:$F$43&amp;"*"))</f>
        <v/>
      </c>
      <c r="QM17" s="170">
        <f>SUMPRODUCT((Settings!$G$14:$G$43=$B17)*COUNTIF('INPUT - Roster'!$RC$6:$RC$206,"*"&amp;Settings!$F$14:$F$43&amp;"*"))</f>
        <v/>
      </c>
      <c r="QN17" s="170">
        <f>SUMPRODUCT((Settings!$G$14:$G$43=$B17)*COUNTIF('INPUT - Roster'!$RD$6:$RD$206,"*"&amp;Settings!$F$14:$F$43&amp;"*"))</f>
        <v/>
      </c>
      <c r="QO17" s="170">
        <f>SUMPRODUCT((Settings!$G$14:$G$43=$B17)*COUNTIF('INPUT - Roster'!$RE$6:$RE$206,"*"&amp;Settings!$F$14:$F$43&amp;"*"))</f>
        <v/>
      </c>
      <c r="QP17" s="170">
        <f>SUMPRODUCT((Settings!$G$14:$G$43=$B17)*COUNTIF('INPUT - Roster'!$RF$6:$RF$206,"*"&amp;Settings!$F$14:$F$43&amp;"*"))</f>
        <v/>
      </c>
      <c r="QQ17" s="170">
        <f>SUMPRODUCT((Settings!$G$14:$G$43=$B17)*COUNTIF('INPUT - Roster'!$RG$6:$RG$206,"*"&amp;Settings!$F$14:$F$43&amp;"*"))</f>
        <v/>
      </c>
      <c r="QR17" s="170">
        <f>SUMPRODUCT((Settings!$G$14:$G$43=$B17)*COUNTIF('INPUT - Roster'!$RH$6:$RH$206,"*"&amp;Settings!$F$14:$F$43&amp;"*"))</f>
        <v/>
      </c>
      <c r="QS17" s="170">
        <f>SUMPRODUCT((Settings!$G$14:$G$43=$B17)*COUNTIF('INPUT - Roster'!$RI$6:$RI$206,"*"&amp;Settings!$F$14:$F$43&amp;"*"))</f>
        <v/>
      </c>
      <c r="QT17" s="170">
        <f>SUMPRODUCT((Settings!$G$14:$G$43=$B17)*COUNTIF('INPUT - Roster'!$RJ$6:$RJ$206,"*"&amp;Settings!$F$14:$F$43&amp;"*"))</f>
        <v/>
      </c>
      <c r="QU17" s="170">
        <f>SUMPRODUCT((Settings!$G$14:$G$43=$B17)*COUNTIF('INPUT - Roster'!$RK$6:$RK$206,"*"&amp;Settings!$F$14:$F$43&amp;"*"))</f>
        <v/>
      </c>
      <c r="QV17" s="170">
        <f>SUMPRODUCT((Settings!$G$14:$G$43=$B17)*COUNTIF('INPUT - Roster'!$RL$6:$RL$206,"*"&amp;Settings!$F$14:$F$43&amp;"*"))</f>
        <v/>
      </c>
      <c r="QW17" s="170">
        <f>SUMPRODUCT((Settings!$G$14:$G$43=$B17)*COUNTIF('INPUT - Roster'!$RM$6:$RM$206,"*"&amp;Settings!$F$14:$F$43&amp;"*"))</f>
        <v/>
      </c>
      <c r="QX17" s="170">
        <f>SUMPRODUCT((Settings!$G$14:$G$43=$B17)*COUNTIF('INPUT - Roster'!$RN$6:$RN$206,"*"&amp;Settings!$F$14:$F$43&amp;"*"))</f>
        <v/>
      </c>
      <c r="QY17" s="170">
        <f>SUMPRODUCT((Settings!$G$14:$G$43=$B17)*COUNTIF('INPUT - Roster'!$RO$6:$RO$206,"*"&amp;Settings!$F$14:$F$43&amp;"*"))</f>
        <v/>
      </c>
      <c r="QZ17" s="170">
        <f>SUMPRODUCT((Settings!$G$14:$G$43=$B17)*COUNTIF('INPUT - Roster'!$RP$6:$RP$206,"*"&amp;Settings!$F$14:$F$43&amp;"*"))</f>
        <v/>
      </c>
      <c r="RA17" s="170">
        <f>SUMPRODUCT((Settings!$G$14:$G$43=$B17)*COUNTIF('INPUT - Roster'!$RQ$6:$RQ$206,"*"&amp;Settings!$F$14:$F$43&amp;"*"))</f>
        <v/>
      </c>
      <c r="RB17" s="170">
        <f>SUMPRODUCT((Settings!$G$14:$G$43=$B17)*COUNTIF('INPUT - Roster'!$RR$6:$RR$206,"*"&amp;Settings!$F$14:$F$43&amp;"*"))</f>
        <v/>
      </c>
      <c r="RC17" s="170">
        <f>SUMPRODUCT((Settings!$G$14:$G$43=$B17)*COUNTIF('INPUT - Roster'!$RS$6:$RS$206,"*"&amp;Settings!$F$14:$F$43&amp;"*"))</f>
        <v/>
      </c>
      <c r="RD17" s="170">
        <f>SUMPRODUCT((Settings!$G$14:$G$43=$B17)*COUNTIF('INPUT - Roster'!$RT$6:$RT$206,"*"&amp;Settings!$F$14:$F$43&amp;"*"))</f>
        <v/>
      </c>
      <c r="RE17" s="170">
        <f>SUMPRODUCT((Settings!$G$14:$G$43=$B17)*COUNTIF('INPUT - Roster'!$RU$6:$RU$206,"*"&amp;Settings!$F$14:$F$43&amp;"*"))</f>
        <v/>
      </c>
      <c r="RF17" s="170">
        <f>SUMPRODUCT((Settings!$G$14:$G$43=$B17)*COUNTIF('INPUT - Roster'!$RV$6:$RV$206,"*"&amp;Settings!$F$14:$F$43&amp;"*"))</f>
        <v/>
      </c>
      <c r="RG17" s="170">
        <f>SUMPRODUCT((Settings!$G$14:$G$43=$B17)*COUNTIF('INPUT - Roster'!$RW$6:$RW$206,"*"&amp;Settings!$F$14:$F$43&amp;"*"))</f>
        <v/>
      </c>
      <c r="RH17" s="170">
        <f>SUMPRODUCT((Settings!$G$14:$G$43=$B17)*COUNTIF('INPUT - Roster'!$RX$6:$RX$206,"*"&amp;Settings!$F$14:$F$43&amp;"*"))</f>
        <v/>
      </c>
      <c r="RI17" s="170">
        <f>SUMPRODUCT((Settings!$G$14:$G$43=$B17)*COUNTIF('INPUT - Roster'!$RY$6:$RY$206,"*"&amp;Settings!$F$14:$F$43&amp;"*"))</f>
        <v/>
      </c>
      <c r="RJ17" s="170">
        <f>SUMPRODUCT((Settings!$G$14:$G$43=$B17)*COUNTIF('INPUT - Roster'!$RZ$6:$RZ$206,"*"&amp;Settings!$F$14:$F$43&amp;"*"))</f>
        <v/>
      </c>
      <c r="RK17" s="170">
        <f>SUMPRODUCT((Settings!$G$14:$G$43=$B17)*COUNTIF('INPUT - Roster'!$SA$6:$SA$206,"*"&amp;Settings!$F$14:$F$43&amp;"*"))</f>
        <v/>
      </c>
      <c r="RL17" s="170">
        <f>SUMPRODUCT((Settings!$G$14:$G$43=$B17)*COUNTIF('INPUT - Roster'!$SB$6:$SB$206,"*"&amp;Settings!$F$14:$F$43&amp;"*"))</f>
        <v/>
      </c>
      <c r="RM17" s="170">
        <f>SUMPRODUCT((Settings!$G$14:$G$43=$B17)*COUNTIF('INPUT - Roster'!$SC$6:$SC$206,"*"&amp;Settings!$F$14:$F$43&amp;"*"))</f>
        <v/>
      </c>
      <c r="RN17" s="170">
        <f>SUMPRODUCT((Settings!$G$14:$G$43=$B17)*COUNTIF('INPUT - Roster'!$SD$6:$SD$206,"*"&amp;Settings!$F$14:$F$43&amp;"*"))</f>
        <v/>
      </c>
      <c r="RO17" s="170">
        <f>SUMPRODUCT((Settings!$G$14:$G$43=$B17)*COUNTIF('INPUT - Roster'!$SE$6:$SE$206,"*"&amp;Settings!$F$14:$F$43&amp;"*"))</f>
        <v/>
      </c>
      <c r="RP17" s="170">
        <f>SUMPRODUCT((Settings!$G$14:$G$43=$B17)*COUNTIF('INPUT - Roster'!$SF$6:$SF$206,"*"&amp;Settings!$F$14:$F$43&amp;"*"))</f>
        <v/>
      </c>
      <c r="RQ17" s="170">
        <f>SUMPRODUCT((Settings!$G$14:$G$43=$B17)*COUNTIF('INPUT - Roster'!$SG$6:$SG$206,"*"&amp;Settings!$F$14:$F$43&amp;"*"))</f>
        <v/>
      </c>
      <c r="RR17" s="170">
        <f>SUMPRODUCT((Settings!$G$14:$G$43=$B17)*COUNTIF('INPUT - Roster'!$SH$6:$SH$206,"*"&amp;Settings!$F$14:$F$43&amp;"*"))</f>
        <v/>
      </c>
      <c r="RS17" s="170">
        <f>SUMPRODUCT((Settings!$G$14:$G$43=$B17)*COUNTIF('INPUT - Roster'!$SI$6:$SI$206,"*"&amp;Settings!$F$14:$F$43&amp;"*"))</f>
        <v/>
      </c>
      <c r="RT17" s="170">
        <f>SUMPRODUCT((Settings!$G$14:$G$43=$B17)*COUNTIF('INPUT - Roster'!$SJ$6:$SJ$206,"*"&amp;Settings!$F$14:$F$43&amp;"*"))</f>
        <v/>
      </c>
      <c r="RU17" s="170">
        <f>SUMPRODUCT((Settings!$G$14:$G$43=$B17)*COUNTIF('INPUT - Roster'!$SK$6:$SK$206,"*"&amp;Settings!$F$14:$F$43&amp;"*"))</f>
        <v/>
      </c>
      <c r="RV17" s="170">
        <f>SUMPRODUCT((Settings!$G$14:$G$43=$B17)*COUNTIF('INPUT - Roster'!$SL$6:$SL$206,"*"&amp;Settings!$F$14:$F$43&amp;"*"))</f>
        <v/>
      </c>
      <c r="RW17" s="170">
        <f>SUMPRODUCT((Settings!$G$14:$G$43=$B17)*COUNTIF('INPUT - Roster'!$SM$6:$SM$206,"*"&amp;Settings!$F$14:$F$43&amp;"*"))</f>
        <v/>
      </c>
      <c r="RX17" s="170">
        <f>SUMPRODUCT((Settings!$G$14:$G$43=$B17)*COUNTIF('INPUT - Roster'!$SN$6:$SN$206,"*"&amp;Settings!$F$14:$F$43&amp;"*"))</f>
        <v/>
      </c>
      <c r="RY17" s="170">
        <f>SUMPRODUCT((Settings!$G$14:$G$43=$B17)*COUNTIF('INPUT - Roster'!$SO$6:$SO$206,"*"&amp;Settings!$F$14:$F$43&amp;"*"))</f>
        <v/>
      </c>
      <c r="RZ17" s="170">
        <f>SUMPRODUCT((Settings!$G$14:$G$43=$B17)*COUNTIF('INPUT - Roster'!$SP$6:$SP$206,"*"&amp;Settings!$F$14:$F$43&amp;"*"))</f>
        <v/>
      </c>
      <c r="SA17" s="170">
        <f>SUMPRODUCT((Settings!$G$14:$G$43=$B17)*COUNTIF('INPUT - Roster'!$SQ$6:$SQ$206,"*"&amp;Settings!$F$14:$F$43&amp;"*"))</f>
        <v/>
      </c>
      <c r="SB17" s="170">
        <f>SUMPRODUCT((Settings!$G$14:$G$43=$B17)*COUNTIF('INPUT - Roster'!$SR$6:$SR$206,"*"&amp;Settings!$F$14:$F$43&amp;"*"))</f>
        <v/>
      </c>
      <c r="SC17" s="170">
        <f>SUMPRODUCT((Settings!$G$14:$G$43=$B17)*COUNTIF('INPUT - Roster'!$SS$6:$SS$206,"*"&amp;Settings!$F$14:$F$43&amp;"*"))</f>
        <v/>
      </c>
      <c r="SD17" s="170">
        <f>SUMPRODUCT((Settings!$G$14:$G$43=$B17)*COUNTIF('INPUT - Roster'!$ST$6:$ST$206,"*"&amp;Settings!$F$14:$F$43&amp;"*"))</f>
        <v/>
      </c>
      <c r="SE17" s="170">
        <f>SUMPRODUCT((Settings!$G$14:$G$43=$B17)*COUNTIF('INPUT - Roster'!$SU$6:$SU$206,"*"&amp;Settings!$F$14:$F$43&amp;"*"))</f>
        <v/>
      </c>
      <c r="SF17" s="170">
        <f>SUMPRODUCT((Settings!$G$14:$G$43=$B17)*COUNTIF('INPUT - Roster'!$SV$6:$SV$206,"*"&amp;Settings!$F$14:$F$43&amp;"*"))</f>
        <v/>
      </c>
    </row>
    <row r="18">
      <c r="B18" s="169" t="inlineStr">
        <is>
          <t>Whaleback</t>
        </is>
      </c>
      <c r="C18" s="170">
        <f>SUMPRODUCT((Settings!$G$14:$G$43=$B18)*COUNTIF('INPUT - Roster'!$S$6:$S$206,"*"&amp;Settings!$F$14:$F$43&amp;"*"))</f>
        <v/>
      </c>
      <c r="D18" s="170">
        <f>SUMPRODUCT((Settings!$G$14:$G$43=$B18)*COUNTIF('INPUT - Roster'!$T$6:$T$206,"*"&amp;Settings!$F$14:$F$43&amp;"*"))</f>
        <v/>
      </c>
      <c r="E18" s="170">
        <f>SUMPRODUCT((Settings!$G$14:$G$43=$B18)*COUNTIF('INPUT - Roster'!$U$6:$U$206,"*"&amp;Settings!$F$14:$F$43&amp;"*"))</f>
        <v/>
      </c>
      <c r="F18" s="170">
        <f>SUMPRODUCT((Settings!$G$14:$G$43=$B18)*COUNTIF('INPUT - Roster'!$V$6:$V$206,"*"&amp;Settings!$F$14:$F$43&amp;"*"))</f>
        <v/>
      </c>
      <c r="G18" s="170">
        <f>SUMPRODUCT((Settings!$G$14:$G$43=$B18)*COUNTIF('INPUT - Roster'!$W$6:$W$206,"*"&amp;Settings!$F$14:$F$43&amp;"*"))</f>
        <v/>
      </c>
      <c r="H18" s="170">
        <f>SUMPRODUCT((Settings!$G$14:$G$43=$B18)*COUNTIF('INPUT - Roster'!$X$6:$X$206,"*"&amp;Settings!$F$14:$F$43&amp;"*"))</f>
        <v/>
      </c>
      <c r="I18" s="170">
        <f>SUMPRODUCT((Settings!$G$14:$G$43=$B18)*COUNTIF('INPUT - Roster'!$Y$6:$Y$206,"*"&amp;Settings!$F$14:$F$43&amp;"*"))</f>
        <v/>
      </c>
      <c r="J18" s="170">
        <f>SUMPRODUCT((Settings!$G$14:$G$43=$B18)*COUNTIF('INPUT - Roster'!$Z$6:$Z$206,"*"&amp;Settings!$F$14:$F$43&amp;"*"))</f>
        <v/>
      </c>
      <c r="K18" s="170">
        <f>SUMPRODUCT((Settings!$G$14:$G$43=$B18)*COUNTIF('INPUT - Roster'!$AA$6:$AA$206,"*"&amp;Settings!$F$14:$F$43&amp;"*"))</f>
        <v/>
      </c>
      <c r="L18" s="170">
        <f>SUMPRODUCT((Settings!$G$14:$G$43=$B18)*COUNTIF('INPUT - Roster'!$AB$6:$AB$206,"*"&amp;Settings!$F$14:$F$43&amp;"*"))</f>
        <v/>
      </c>
      <c r="M18" s="170">
        <f>SUMPRODUCT((Settings!$G$14:$G$43=$B18)*COUNTIF('INPUT - Roster'!$AC$6:$AC$206,"*"&amp;Settings!$F$14:$F$43&amp;"*"))</f>
        <v/>
      </c>
      <c r="N18" s="170">
        <f>SUMPRODUCT((Settings!$G$14:$G$43=$B18)*COUNTIF('INPUT - Roster'!$AD$6:$AD$206,"*"&amp;Settings!$F$14:$F$43&amp;"*"))</f>
        <v/>
      </c>
      <c r="O18" s="170">
        <f>SUMPRODUCT((Settings!$G$14:$G$43=$B18)*COUNTIF('INPUT - Roster'!$AE$6:$AE$206,"*"&amp;Settings!$F$14:$F$43&amp;"*"))</f>
        <v/>
      </c>
      <c r="P18" s="170">
        <f>SUMPRODUCT((Settings!$G$14:$G$43=$B18)*COUNTIF('INPUT - Roster'!$AF$6:$AF$206,"*"&amp;Settings!$F$14:$F$43&amp;"*"))</f>
        <v/>
      </c>
      <c r="Q18" s="170">
        <f>SUMPRODUCT((Settings!$G$14:$G$43=$B18)*COUNTIF('INPUT - Roster'!$AG$6:$AG$206,"*"&amp;Settings!$F$14:$F$43&amp;"*"))</f>
        <v/>
      </c>
      <c r="R18" s="170">
        <f>SUMPRODUCT((Settings!$G$14:$G$43=$B18)*COUNTIF('INPUT - Roster'!$AH$6:$AH$206,"*"&amp;Settings!$F$14:$F$43&amp;"*"))</f>
        <v/>
      </c>
      <c r="S18" s="170">
        <f>SUMPRODUCT((Settings!$G$14:$G$43=$B18)*COUNTIF('INPUT - Roster'!$AI$6:$AI$206,"*"&amp;Settings!$F$14:$F$43&amp;"*"))</f>
        <v/>
      </c>
      <c r="T18" s="170">
        <f>SUMPRODUCT((Settings!$G$14:$G$43=$B18)*COUNTIF('INPUT - Roster'!$AJ$6:$AJ$206,"*"&amp;Settings!$F$14:$F$43&amp;"*"))</f>
        <v/>
      </c>
      <c r="U18" s="170">
        <f>SUMPRODUCT((Settings!$G$14:$G$43=$B18)*COUNTIF('INPUT - Roster'!$AK$6:$AK$206,"*"&amp;Settings!$F$14:$F$43&amp;"*"))</f>
        <v/>
      </c>
      <c r="V18" s="170">
        <f>SUMPRODUCT((Settings!$G$14:$G$43=$B18)*COUNTIF('INPUT - Roster'!$AL$6:$AL$206,"*"&amp;Settings!$F$14:$F$43&amp;"*"))</f>
        <v/>
      </c>
      <c r="W18" s="170">
        <f>SUMPRODUCT((Settings!$G$14:$G$43=$B18)*COUNTIF('INPUT - Roster'!$AM$6:$AM$206,"*"&amp;Settings!$F$14:$F$43&amp;"*"))</f>
        <v/>
      </c>
      <c r="X18" s="170">
        <f>SUMPRODUCT((Settings!$G$14:$G$43=$B18)*COUNTIF('INPUT - Roster'!$AN$6:$AN$206,"*"&amp;Settings!$F$14:$F$43&amp;"*"))</f>
        <v/>
      </c>
      <c r="Y18" s="170">
        <f>SUMPRODUCT((Settings!$G$14:$G$43=$B18)*COUNTIF('INPUT - Roster'!$AO$6:$AO$206,"*"&amp;Settings!$F$14:$F$43&amp;"*"))</f>
        <v/>
      </c>
      <c r="Z18" s="170">
        <f>SUMPRODUCT((Settings!$G$14:$G$43=$B18)*COUNTIF('INPUT - Roster'!$AP$6:$AP$206,"*"&amp;Settings!$F$14:$F$43&amp;"*"))</f>
        <v/>
      </c>
      <c r="AA18" s="170">
        <f>SUMPRODUCT((Settings!$G$14:$G$43=$B18)*COUNTIF('INPUT - Roster'!$AQ$6:$AQ$206,"*"&amp;Settings!$F$14:$F$43&amp;"*"))</f>
        <v/>
      </c>
      <c r="AB18" s="170">
        <f>SUMPRODUCT((Settings!$G$14:$G$43=$B18)*COUNTIF('INPUT - Roster'!$AR$6:$AR$206,"*"&amp;Settings!$F$14:$F$43&amp;"*"))</f>
        <v/>
      </c>
      <c r="AC18" s="170">
        <f>SUMPRODUCT((Settings!$G$14:$G$43=$B18)*COUNTIF('INPUT - Roster'!$AS$6:$AS$206,"*"&amp;Settings!$F$14:$F$43&amp;"*"))</f>
        <v/>
      </c>
      <c r="AD18" s="170">
        <f>SUMPRODUCT((Settings!$G$14:$G$43=$B18)*COUNTIF('INPUT - Roster'!$AT$6:$AT$206,"*"&amp;Settings!$F$14:$F$43&amp;"*"))</f>
        <v/>
      </c>
      <c r="AE18" s="170">
        <f>SUMPRODUCT((Settings!$G$14:$G$43=$B18)*COUNTIF('INPUT - Roster'!$AU$6:$AU$206,"*"&amp;Settings!$F$14:$F$43&amp;"*"))</f>
        <v/>
      </c>
      <c r="AF18" s="170">
        <f>SUMPRODUCT((Settings!$G$14:$G$43=$B18)*COUNTIF('INPUT - Roster'!$AV$6:$AV$206,"*"&amp;Settings!$F$14:$F$43&amp;"*"))</f>
        <v/>
      </c>
      <c r="AG18" s="170">
        <f>SUMPRODUCT((Settings!$G$14:$G$43=$B18)*COUNTIF('INPUT - Roster'!$AW$6:$AW$206,"*"&amp;Settings!$F$14:$F$43&amp;"*"))</f>
        <v/>
      </c>
      <c r="AH18" s="170">
        <f>SUMPRODUCT((Settings!$G$14:$G$43=$B18)*COUNTIF('INPUT - Roster'!$AX$6:$AX$206,"*"&amp;Settings!$F$14:$F$43&amp;"*"))</f>
        <v/>
      </c>
      <c r="AI18" s="170">
        <f>SUMPRODUCT((Settings!$G$14:$G$43=$B18)*COUNTIF('INPUT - Roster'!$AY$6:$AY$206,"*"&amp;Settings!$F$14:$F$43&amp;"*"))</f>
        <v/>
      </c>
      <c r="AJ18" s="170">
        <f>SUMPRODUCT((Settings!$G$14:$G$43=$B18)*COUNTIF('INPUT - Roster'!$AZ$6:$AZ$206,"*"&amp;Settings!$F$14:$F$43&amp;"*"))</f>
        <v/>
      </c>
      <c r="AK18" s="170">
        <f>SUMPRODUCT((Settings!$G$14:$G$43=$B18)*COUNTIF('INPUT - Roster'!$BA$6:$BA$206,"*"&amp;Settings!$F$14:$F$43&amp;"*"))</f>
        <v/>
      </c>
      <c r="AL18" s="170">
        <f>SUMPRODUCT((Settings!$G$14:$G$43=$B18)*COUNTIF('INPUT - Roster'!$BB$6:$BB$206,"*"&amp;Settings!$F$14:$F$43&amp;"*"))</f>
        <v/>
      </c>
      <c r="AM18" s="170">
        <f>SUMPRODUCT((Settings!$G$14:$G$43=$B18)*COUNTIF('INPUT - Roster'!$BC$6:$BC$206,"*"&amp;Settings!$F$14:$F$43&amp;"*"))</f>
        <v/>
      </c>
      <c r="AN18" s="170">
        <f>SUMPRODUCT((Settings!$G$14:$G$43=$B18)*COUNTIF('INPUT - Roster'!$BD$6:$BD$206,"*"&amp;Settings!$F$14:$F$43&amp;"*"))</f>
        <v/>
      </c>
      <c r="AO18" s="170">
        <f>SUMPRODUCT((Settings!$G$14:$G$43=$B18)*COUNTIF('INPUT - Roster'!$BE$6:$BE$206,"*"&amp;Settings!$F$14:$F$43&amp;"*"))</f>
        <v/>
      </c>
      <c r="AP18" s="170">
        <f>SUMPRODUCT((Settings!$G$14:$G$43=$B18)*COUNTIF('INPUT - Roster'!$BF$6:$BF$206,"*"&amp;Settings!$F$14:$F$43&amp;"*"))</f>
        <v/>
      </c>
      <c r="AQ18" s="170">
        <f>SUMPRODUCT((Settings!$G$14:$G$43=$B18)*COUNTIF('INPUT - Roster'!$BG$6:$BG$206,"*"&amp;Settings!$F$14:$F$43&amp;"*"))</f>
        <v/>
      </c>
      <c r="AR18" s="170">
        <f>SUMPRODUCT((Settings!$G$14:$G$43=$B18)*COUNTIF('INPUT - Roster'!$BH$6:$BH$206,"*"&amp;Settings!$F$14:$F$43&amp;"*"))</f>
        <v/>
      </c>
      <c r="AS18" s="170">
        <f>SUMPRODUCT((Settings!$G$14:$G$43=$B18)*COUNTIF('INPUT - Roster'!$BI$6:$BI$206,"*"&amp;Settings!$F$14:$F$43&amp;"*"))</f>
        <v/>
      </c>
      <c r="AT18" s="170">
        <f>SUMPRODUCT((Settings!$G$14:$G$43=$B18)*COUNTIF('INPUT - Roster'!$BJ$6:$BJ$206,"*"&amp;Settings!$F$14:$F$43&amp;"*"))</f>
        <v/>
      </c>
      <c r="AU18" s="170">
        <f>SUMPRODUCT((Settings!$G$14:$G$43=$B18)*COUNTIF('INPUT - Roster'!$BK$6:$BK$206,"*"&amp;Settings!$F$14:$F$43&amp;"*"))</f>
        <v/>
      </c>
      <c r="AV18" s="170">
        <f>SUMPRODUCT((Settings!$G$14:$G$43=$B18)*COUNTIF('INPUT - Roster'!$BL$6:$BL$206,"*"&amp;Settings!$F$14:$F$43&amp;"*"))</f>
        <v/>
      </c>
      <c r="AW18" s="170">
        <f>SUMPRODUCT((Settings!$G$14:$G$43=$B18)*COUNTIF('INPUT - Roster'!$BM$6:$BM$206,"*"&amp;Settings!$F$14:$F$43&amp;"*"))</f>
        <v/>
      </c>
      <c r="AX18" s="170">
        <f>SUMPRODUCT((Settings!$G$14:$G$43=$B18)*COUNTIF('INPUT - Roster'!$BN$6:$BN$206,"*"&amp;Settings!$F$14:$F$43&amp;"*"))</f>
        <v/>
      </c>
      <c r="AY18" s="170">
        <f>SUMPRODUCT((Settings!$G$14:$G$43=$B18)*COUNTIF('INPUT - Roster'!$BO$6:$BO$206,"*"&amp;Settings!$F$14:$F$43&amp;"*"))</f>
        <v/>
      </c>
      <c r="AZ18" s="170">
        <f>SUMPRODUCT((Settings!$G$14:$G$43=$B18)*COUNTIF('INPUT - Roster'!$BP$6:$BP$206,"*"&amp;Settings!$F$14:$F$43&amp;"*"))</f>
        <v/>
      </c>
      <c r="BA18" s="170">
        <f>SUMPRODUCT((Settings!$G$14:$G$43=$B18)*COUNTIF('INPUT - Roster'!$BQ$6:$BQ$206,"*"&amp;Settings!$F$14:$F$43&amp;"*"))</f>
        <v/>
      </c>
      <c r="BB18" s="170">
        <f>SUMPRODUCT((Settings!$G$14:$G$43=$B18)*COUNTIF('INPUT - Roster'!$BR$6:$BR$206,"*"&amp;Settings!$F$14:$F$43&amp;"*"))</f>
        <v/>
      </c>
      <c r="BC18" s="170">
        <f>SUMPRODUCT((Settings!$G$14:$G$43=$B18)*COUNTIF('INPUT - Roster'!$BS$6:$BS$206,"*"&amp;Settings!$F$14:$F$43&amp;"*"))</f>
        <v/>
      </c>
      <c r="BD18" s="170">
        <f>SUMPRODUCT((Settings!$G$14:$G$43=$B18)*COUNTIF('INPUT - Roster'!$BT$6:$BT$206,"*"&amp;Settings!$F$14:$F$43&amp;"*"))</f>
        <v/>
      </c>
      <c r="BE18" s="170">
        <f>SUMPRODUCT((Settings!$G$14:$G$43=$B18)*COUNTIF('INPUT - Roster'!$BU$6:$BU$206,"*"&amp;Settings!$F$14:$F$43&amp;"*"))</f>
        <v/>
      </c>
      <c r="BF18" s="170">
        <f>SUMPRODUCT((Settings!$G$14:$G$43=$B18)*COUNTIF('INPUT - Roster'!$BV$6:$BV$206,"*"&amp;Settings!$F$14:$F$43&amp;"*"))</f>
        <v/>
      </c>
      <c r="BG18" s="170">
        <f>SUMPRODUCT((Settings!$G$14:$G$43=$B18)*COUNTIF('INPUT - Roster'!$BW$6:$BW$206,"*"&amp;Settings!$F$14:$F$43&amp;"*"))</f>
        <v/>
      </c>
      <c r="BH18" s="170">
        <f>SUMPRODUCT((Settings!$G$14:$G$43=$B18)*COUNTIF('INPUT - Roster'!$BX$6:$BX$206,"*"&amp;Settings!$F$14:$F$43&amp;"*"))</f>
        <v/>
      </c>
      <c r="BI18" s="170">
        <f>SUMPRODUCT((Settings!$G$14:$G$43=$B18)*COUNTIF('INPUT - Roster'!$BY$6:$BY$206,"*"&amp;Settings!$F$14:$F$43&amp;"*"))</f>
        <v/>
      </c>
      <c r="BJ18" s="170">
        <f>SUMPRODUCT((Settings!$G$14:$G$43=$B18)*COUNTIF('INPUT - Roster'!$BZ$6:$BZ$206,"*"&amp;Settings!$F$14:$F$43&amp;"*"))</f>
        <v/>
      </c>
      <c r="BK18" s="170">
        <f>SUMPRODUCT((Settings!$G$14:$G$43=$B18)*COUNTIF('INPUT - Roster'!$CA$6:$CA$206,"*"&amp;Settings!$F$14:$F$43&amp;"*"))</f>
        <v/>
      </c>
      <c r="BL18" s="170">
        <f>SUMPRODUCT((Settings!$G$14:$G$43=$B18)*COUNTIF('INPUT - Roster'!$CB$6:$CB$206,"*"&amp;Settings!$F$14:$F$43&amp;"*"))</f>
        <v/>
      </c>
      <c r="BM18" s="170">
        <f>SUMPRODUCT((Settings!$G$14:$G$43=$B18)*COUNTIF('INPUT - Roster'!$CC$6:$CC$206,"*"&amp;Settings!$F$14:$F$43&amp;"*"))</f>
        <v/>
      </c>
      <c r="BN18" s="170">
        <f>SUMPRODUCT((Settings!$G$14:$G$43=$B18)*COUNTIF('INPUT - Roster'!$CD$6:$CD$206,"*"&amp;Settings!$F$14:$F$43&amp;"*"))</f>
        <v/>
      </c>
      <c r="BO18" s="170">
        <f>SUMPRODUCT((Settings!$G$14:$G$43=$B18)*COUNTIF('INPUT - Roster'!$CE$6:$CE$206,"*"&amp;Settings!$F$14:$F$43&amp;"*"))</f>
        <v/>
      </c>
      <c r="BP18" s="170">
        <f>SUMPRODUCT((Settings!$G$14:$G$43=$B18)*COUNTIF('INPUT - Roster'!$CF$6:$CF$206,"*"&amp;Settings!$F$14:$F$43&amp;"*"))</f>
        <v/>
      </c>
      <c r="BQ18" s="170">
        <f>SUMPRODUCT((Settings!$G$14:$G$43=$B18)*COUNTIF('INPUT - Roster'!$CG$6:$CG$206,"*"&amp;Settings!$F$14:$F$43&amp;"*"))</f>
        <v/>
      </c>
      <c r="BR18" s="170">
        <f>SUMPRODUCT((Settings!$G$14:$G$43=$B18)*COUNTIF('INPUT - Roster'!$CH$6:$CH$206,"*"&amp;Settings!$F$14:$F$43&amp;"*"))</f>
        <v/>
      </c>
      <c r="BS18" s="170">
        <f>SUMPRODUCT((Settings!$G$14:$G$43=$B18)*COUNTIF('INPUT - Roster'!$CI$6:$CI$206,"*"&amp;Settings!$F$14:$F$43&amp;"*"))</f>
        <v/>
      </c>
      <c r="BT18" s="170">
        <f>SUMPRODUCT((Settings!$G$14:$G$43=$B18)*COUNTIF('INPUT - Roster'!$CJ$6:$CJ$206,"*"&amp;Settings!$F$14:$F$43&amp;"*"))</f>
        <v/>
      </c>
      <c r="BU18" s="170">
        <f>SUMPRODUCT((Settings!$G$14:$G$43=$B18)*COUNTIF('INPUT - Roster'!$CK$6:$CK$206,"*"&amp;Settings!$F$14:$F$43&amp;"*"))</f>
        <v/>
      </c>
      <c r="BV18" s="170">
        <f>SUMPRODUCT((Settings!$G$14:$G$43=$B18)*COUNTIF('INPUT - Roster'!$CL$6:$CL$206,"*"&amp;Settings!$F$14:$F$43&amp;"*"))</f>
        <v/>
      </c>
      <c r="BW18" s="170">
        <f>SUMPRODUCT((Settings!$G$14:$G$43=$B18)*COUNTIF('INPUT - Roster'!$CM$6:$CM$206,"*"&amp;Settings!$F$14:$F$43&amp;"*"))</f>
        <v/>
      </c>
      <c r="BX18" s="170">
        <f>SUMPRODUCT((Settings!$G$14:$G$43=$B18)*COUNTIF('INPUT - Roster'!$CN$6:$CN$206,"*"&amp;Settings!$F$14:$F$43&amp;"*"))</f>
        <v/>
      </c>
      <c r="BY18" s="170">
        <f>SUMPRODUCT((Settings!$G$14:$G$43=$B18)*COUNTIF('INPUT - Roster'!$CO$6:$CO$206,"*"&amp;Settings!$F$14:$F$43&amp;"*"))</f>
        <v/>
      </c>
      <c r="BZ18" s="170">
        <f>SUMPRODUCT((Settings!$G$14:$G$43=$B18)*COUNTIF('INPUT - Roster'!$CP$6:$CP$206,"*"&amp;Settings!$F$14:$F$43&amp;"*"))</f>
        <v/>
      </c>
      <c r="CA18" s="170">
        <f>SUMPRODUCT((Settings!$G$14:$G$43=$B18)*COUNTIF('INPUT - Roster'!$CQ$6:$CQ$206,"*"&amp;Settings!$F$14:$F$43&amp;"*"))</f>
        <v/>
      </c>
      <c r="CB18" s="170">
        <f>SUMPRODUCT((Settings!$G$14:$G$43=$B18)*COUNTIF('INPUT - Roster'!$CR$6:$CR$206,"*"&amp;Settings!$F$14:$F$43&amp;"*"))</f>
        <v/>
      </c>
      <c r="CC18" s="170">
        <f>SUMPRODUCT((Settings!$G$14:$G$43=$B18)*COUNTIF('INPUT - Roster'!$CS$6:$CS$206,"*"&amp;Settings!$F$14:$F$43&amp;"*"))</f>
        <v/>
      </c>
      <c r="CD18" s="170">
        <f>SUMPRODUCT((Settings!$G$14:$G$43=$B18)*COUNTIF('INPUT - Roster'!$CT$6:$CT$206,"*"&amp;Settings!$F$14:$F$43&amp;"*"))</f>
        <v/>
      </c>
      <c r="CE18" s="170">
        <f>SUMPRODUCT((Settings!$G$14:$G$43=$B18)*COUNTIF('INPUT - Roster'!$CU$6:$CU$206,"*"&amp;Settings!$F$14:$F$43&amp;"*"))</f>
        <v/>
      </c>
      <c r="CF18" s="170">
        <f>SUMPRODUCT((Settings!$G$14:$G$43=$B18)*COUNTIF('INPUT - Roster'!$CV$6:$CV$206,"*"&amp;Settings!$F$14:$F$43&amp;"*"))</f>
        <v/>
      </c>
      <c r="CG18" s="170">
        <f>SUMPRODUCT((Settings!$G$14:$G$43=$B18)*COUNTIF('INPUT - Roster'!$CW$6:$CW$206,"*"&amp;Settings!$F$14:$F$43&amp;"*"))</f>
        <v/>
      </c>
      <c r="CH18" s="170">
        <f>SUMPRODUCT((Settings!$G$14:$G$43=$B18)*COUNTIF('INPUT - Roster'!$CX$6:$CX$206,"*"&amp;Settings!$F$14:$F$43&amp;"*"))</f>
        <v/>
      </c>
      <c r="CI18" s="170">
        <f>SUMPRODUCT((Settings!$G$14:$G$43=$B18)*COUNTIF('INPUT - Roster'!$CY$6:$CY$206,"*"&amp;Settings!$F$14:$F$43&amp;"*"))</f>
        <v/>
      </c>
      <c r="CJ18" s="170">
        <f>SUMPRODUCT((Settings!$G$14:$G$43=$B18)*COUNTIF('INPUT - Roster'!$CZ$6:$CZ$206,"*"&amp;Settings!$F$14:$F$43&amp;"*"))</f>
        <v/>
      </c>
      <c r="CK18" s="170">
        <f>SUMPRODUCT((Settings!$G$14:$G$43=$B18)*COUNTIF('INPUT - Roster'!$DA$6:$DA$206,"*"&amp;Settings!$F$14:$F$43&amp;"*"))</f>
        <v/>
      </c>
      <c r="CL18" s="170">
        <f>SUMPRODUCT((Settings!$G$14:$G$43=$B18)*COUNTIF('INPUT - Roster'!$DB$6:$DB$206,"*"&amp;Settings!$F$14:$F$43&amp;"*"))</f>
        <v/>
      </c>
      <c r="CM18" s="170">
        <f>SUMPRODUCT((Settings!$G$14:$G$43=$B18)*COUNTIF('INPUT - Roster'!$DC$6:$DC$206,"*"&amp;Settings!$F$14:$F$43&amp;"*"))</f>
        <v/>
      </c>
      <c r="CN18" s="170">
        <f>SUMPRODUCT((Settings!$G$14:$G$43=$B18)*COUNTIF('INPUT - Roster'!$DD$6:$DD$206,"*"&amp;Settings!$F$14:$F$43&amp;"*"))</f>
        <v/>
      </c>
      <c r="CO18" s="170">
        <f>SUMPRODUCT((Settings!$G$14:$G$43=$B18)*COUNTIF('INPUT - Roster'!$DE$6:$DE$206,"*"&amp;Settings!$F$14:$F$43&amp;"*"))</f>
        <v/>
      </c>
      <c r="CP18" s="170">
        <f>SUMPRODUCT((Settings!$G$14:$G$43=$B18)*COUNTIF('INPUT - Roster'!$DF$6:$DF$206,"*"&amp;Settings!$F$14:$F$43&amp;"*"))</f>
        <v/>
      </c>
      <c r="CQ18" s="170">
        <f>SUMPRODUCT((Settings!$G$14:$G$43=$B18)*COUNTIF('INPUT - Roster'!$DG$6:$DG$206,"*"&amp;Settings!$F$14:$F$43&amp;"*"))</f>
        <v/>
      </c>
      <c r="CR18" s="170">
        <f>SUMPRODUCT((Settings!$G$14:$G$43=$B18)*COUNTIF('INPUT - Roster'!$DH$6:$DH$206,"*"&amp;Settings!$F$14:$F$43&amp;"*"))</f>
        <v/>
      </c>
      <c r="CS18" s="170">
        <f>SUMPRODUCT((Settings!$G$14:$G$43=$B18)*COUNTIF('INPUT - Roster'!$DI$6:$DI$206,"*"&amp;Settings!$F$14:$F$43&amp;"*"))</f>
        <v/>
      </c>
      <c r="CT18" s="170">
        <f>SUMPRODUCT((Settings!$G$14:$G$43=$B18)*COUNTIF('INPUT - Roster'!$DJ$6:$DJ$206,"*"&amp;Settings!$F$14:$F$43&amp;"*"))</f>
        <v/>
      </c>
      <c r="CU18" s="170">
        <f>SUMPRODUCT((Settings!$G$14:$G$43=$B18)*COUNTIF('INPUT - Roster'!$DK$6:$DK$206,"*"&amp;Settings!$F$14:$F$43&amp;"*"))</f>
        <v/>
      </c>
      <c r="CV18" s="170">
        <f>SUMPRODUCT((Settings!$G$14:$G$43=$B18)*COUNTIF('INPUT - Roster'!$DL$6:$DL$206,"*"&amp;Settings!$F$14:$F$43&amp;"*"))</f>
        <v/>
      </c>
      <c r="CW18" s="170">
        <f>SUMPRODUCT((Settings!$G$14:$G$43=$B18)*COUNTIF('INPUT - Roster'!$DM$6:$DM$206,"*"&amp;Settings!$F$14:$F$43&amp;"*"))</f>
        <v/>
      </c>
      <c r="CX18" s="170">
        <f>SUMPRODUCT((Settings!$G$14:$G$43=$B18)*COUNTIF('INPUT - Roster'!$DN$6:$DN$206,"*"&amp;Settings!$F$14:$F$43&amp;"*"))</f>
        <v/>
      </c>
      <c r="CY18" s="170">
        <f>SUMPRODUCT((Settings!$G$14:$G$43=$B18)*COUNTIF('INPUT - Roster'!$DO$6:$DO$206,"*"&amp;Settings!$F$14:$F$43&amp;"*"))</f>
        <v/>
      </c>
      <c r="CZ18" s="170">
        <f>SUMPRODUCT((Settings!$G$14:$G$43=$B18)*COUNTIF('INPUT - Roster'!$DP$6:$DP$206,"*"&amp;Settings!$F$14:$F$43&amp;"*"))</f>
        <v/>
      </c>
      <c r="DA18" s="170">
        <f>SUMPRODUCT((Settings!$G$14:$G$43=$B18)*COUNTIF('INPUT - Roster'!$DQ$6:$DQ$206,"*"&amp;Settings!$F$14:$F$43&amp;"*"))</f>
        <v/>
      </c>
      <c r="DB18" s="170">
        <f>SUMPRODUCT((Settings!$G$14:$G$43=$B18)*COUNTIF('INPUT - Roster'!$DR$6:$DR$206,"*"&amp;Settings!$F$14:$F$43&amp;"*"))</f>
        <v/>
      </c>
      <c r="DC18" s="170">
        <f>SUMPRODUCT((Settings!$G$14:$G$43=$B18)*COUNTIF('INPUT - Roster'!$DS$6:$DS$206,"*"&amp;Settings!$F$14:$F$43&amp;"*"))</f>
        <v/>
      </c>
      <c r="DD18" s="170">
        <f>SUMPRODUCT((Settings!$G$14:$G$43=$B18)*COUNTIF('INPUT - Roster'!$DT$6:$DT$206,"*"&amp;Settings!$F$14:$F$43&amp;"*"))</f>
        <v/>
      </c>
      <c r="DE18" s="170">
        <f>SUMPRODUCT((Settings!$G$14:$G$43=$B18)*COUNTIF('INPUT - Roster'!$DU$6:$DU$206,"*"&amp;Settings!$F$14:$F$43&amp;"*"))</f>
        <v/>
      </c>
      <c r="DF18" s="170">
        <f>SUMPRODUCT((Settings!$G$14:$G$43=$B18)*COUNTIF('INPUT - Roster'!$DV$6:$DV$206,"*"&amp;Settings!$F$14:$F$43&amp;"*"))</f>
        <v/>
      </c>
      <c r="DG18" s="170">
        <f>SUMPRODUCT((Settings!$G$14:$G$43=$B18)*COUNTIF('INPUT - Roster'!$DW$6:$DW$206,"*"&amp;Settings!$F$14:$F$43&amp;"*"))</f>
        <v/>
      </c>
      <c r="DH18" s="170">
        <f>SUMPRODUCT((Settings!$G$14:$G$43=$B18)*COUNTIF('INPUT - Roster'!$DX$6:$DX$206,"*"&amp;Settings!$F$14:$F$43&amp;"*"))</f>
        <v/>
      </c>
      <c r="DI18" s="170">
        <f>SUMPRODUCT((Settings!$G$14:$G$43=$B18)*COUNTIF('INPUT - Roster'!$DY$6:$DY$206,"*"&amp;Settings!$F$14:$F$43&amp;"*"))</f>
        <v/>
      </c>
      <c r="DJ18" s="170">
        <f>SUMPRODUCT((Settings!$G$14:$G$43=$B18)*COUNTIF('INPUT - Roster'!$DZ$6:$DZ$206,"*"&amp;Settings!$F$14:$F$43&amp;"*"))</f>
        <v/>
      </c>
      <c r="DK18" s="170">
        <f>SUMPRODUCT((Settings!$G$14:$G$43=$B18)*COUNTIF('INPUT - Roster'!$EA$6:$EA$206,"*"&amp;Settings!$F$14:$F$43&amp;"*"))</f>
        <v/>
      </c>
      <c r="DL18" s="170">
        <f>SUMPRODUCT((Settings!$G$14:$G$43=$B18)*COUNTIF('INPUT - Roster'!$EB$6:$EB$206,"*"&amp;Settings!$F$14:$F$43&amp;"*"))</f>
        <v/>
      </c>
      <c r="DM18" s="170">
        <f>SUMPRODUCT((Settings!$G$14:$G$43=$B18)*COUNTIF('INPUT - Roster'!$EC$6:$EC$206,"*"&amp;Settings!$F$14:$F$43&amp;"*"))</f>
        <v/>
      </c>
      <c r="DN18" s="170">
        <f>SUMPRODUCT((Settings!$G$14:$G$43=$B18)*COUNTIF('INPUT - Roster'!$ED$6:$ED$206,"*"&amp;Settings!$F$14:$F$43&amp;"*"))</f>
        <v/>
      </c>
      <c r="DO18" s="170">
        <f>SUMPRODUCT((Settings!$G$14:$G$43=$B18)*COUNTIF('INPUT - Roster'!$EE$6:$EE$206,"*"&amp;Settings!$F$14:$F$43&amp;"*"))</f>
        <v/>
      </c>
      <c r="DP18" s="170">
        <f>SUMPRODUCT((Settings!$G$14:$G$43=$B18)*COUNTIF('INPUT - Roster'!$EF$6:$EF$206,"*"&amp;Settings!$F$14:$F$43&amp;"*"))</f>
        <v/>
      </c>
      <c r="DQ18" s="170">
        <f>SUMPRODUCT((Settings!$G$14:$G$43=$B18)*COUNTIF('INPUT - Roster'!$EG$6:$EG$206,"*"&amp;Settings!$F$14:$F$43&amp;"*"))</f>
        <v/>
      </c>
      <c r="DR18" s="170">
        <f>SUMPRODUCT((Settings!$G$14:$G$43=$B18)*COUNTIF('INPUT - Roster'!$EH$6:$EH$206,"*"&amp;Settings!$F$14:$F$43&amp;"*"))</f>
        <v/>
      </c>
      <c r="DS18" s="170">
        <f>SUMPRODUCT((Settings!$G$14:$G$43=$B18)*COUNTIF('INPUT - Roster'!$EI$6:$EI$206,"*"&amp;Settings!$F$14:$F$43&amp;"*"))</f>
        <v/>
      </c>
      <c r="DT18" s="170">
        <f>SUMPRODUCT((Settings!$G$14:$G$43=$B18)*COUNTIF('INPUT - Roster'!$EJ$6:$EJ$206,"*"&amp;Settings!$F$14:$F$43&amp;"*"))</f>
        <v/>
      </c>
      <c r="DU18" s="170">
        <f>SUMPRODUCT((Settings!$G$14:$G$43=$B18)*COUNTIF('INPUT - Roster'!$EK$6:$EK$206,"*"&amp;Settings!$F$14:$F$43&amp;"*"))</f>
        <v/>
      </c>
      <c r="DV18" s="170">
        <f>SUMPRODUCT((Settings!$G$14:$G$43=$B18)*COUNTIF('INPUT - Roster'!$EL$6:$EL$206,"*"&amp;Settings!$F$14:$F$43&amp;"*"))</f>
        <v/>
      </c>
      <c r="DW18" s="170">
        <f>SUMPRODUCT((Settings!$G$14:$G$43=$B18)*COUNTIF('INPUT - Roster'!$EM$6:$EM$206,"*"&amp;Settings!$F$14:$F$43&amp;"*"))</f>
        <v/>
      </c>
      <c r="DX18" s="170">
        <f>SUMPRODUCT((Settings!$G$14:$G$43=$B18)*COUNTIF('INPUT - Roster'!$EN$6:$EN$206,"*"&amp;Settings!$F$14:$F$43&amp;"*"))</f>
        <v/>
      </c>
      <c r="DY18" s="170">
        <f>SUMPRODUCT((Settings!$G$14:$G$43=$B18)*COUNTIF('INPUT - Roster'!$EO$6:$EO$206,"*"&amp;Settings!$F$14:$F$43&amp;"*"))</f>
        <v/>
      </c>
      <c r="DZ18" s="170">
        <f>SUMPRODUCT((Settings!$G$14:$G$43=$B18)*COUNTIF('INPUT - Roster'!$EP$6:$EP$206,"*"&amp;Settings!$F$14:$F$43&amp;"*"))</f>
        <v/>
      </c>
      <c r="EA18" s="170">
        <f>SUMPRODUCT((Settings!$G$14:$G$43=$B18)*COUNTIF('INPUT - Roster'!$EQ$6:$EQ$206,"*"&amp;Settings!$F$14:$F$43&amp;"*"))</f>
        <v/>
      </c>
      <c r="EB18" s="170">
        <f>SUMPRODUCT((Settings!$G$14:$G$43=$B18)*COUNTIF('INPUT - Roster'!$ER$6:$ER$206,"*"&amp;Settings!$F$14:$F$43&amp;"*"))</f>
        <v/>
      </c>
      <c r="EC18" s="170">
        <f>SUMPRODUCT((Settings!$G$14:$G$43=$B18)*COUNTIF('INPUT - Roster'!$ES$6:$ES$206,"*"&amp;Settings!$F$14:$F$43&amp;"*"))</f>
        <v/>
      </c>
      <c r="ED18" s="170">
        <f>SUMPRODUCT((Settings!$G$14:$G$43=$B18)*COUNTIF('INPUT - Roster'!$ET$6:$ET$206,"*"&amp;Settings!$F$14:$F$43&amp;"*"))</f>
        <v/>
      </c>
      <c r="EE18" s="170">
        <f>SUMPRODUCT((Settings!$G$14:$G$43=$B18)*COUNTIF('INPUT - Roster'!$EU$6:$EU$206,"*"&amp;Settings!$F$14:$F$43&amp;"*"))</f>
        <v/>
      </c>
      <c r="EF18" s="170">
        <f>SUMPRODUCT((Settings!$G$14:$G$43=$B18)*COUNTIF('INPUT - Roster'!$EV$6:$EV$206,"*"&amp;Settings!$F$14:$F$43&amp;"*"))</f>
        <v/>
      </c>
      <c r="EG18" s="170">
        <f>SUMPRODUCT((Settings!$G$14:$G$43=$B18)*COUNTIF('INPUT - Roster'!$EW$6:$EW$206,"*"&amp;Settings!$F$14:$F$43&amp;"*"))</f>
        <v/>
      </c>
      <c r="EH18" s="170">
        <f>SUMPRODUCT((Settings!$G$14:$G$43=$B18)*COUNTIF('INPUT - Roster'!$EX$6:$EX$206,"*"&amp;Settings!$F$14:$F$43&amp;"*"))</f>
        <v/>
      </c>
      <c r="EI18" s="170">
        <f>SUMPRODUCT((Settings!$G$14:$G$43=$B18)*COUNTIF('INPUT - Roster'!$EY$6:$EY$206,"*"&amp;Settings!$F$14:$F$43&amp;"*"))</f>
        <v/>
      </c>
      <c r="EJ18" s="170">
        <f>SUMPRODUCT((Settings!$G$14:$G$43=$B18)*COUNTIF('INPUT - Roster'!$EZ$6:$EZ$206,"*"&amp;Settings!$F$14:$F$43&amp;"*"))</f>
        <v/>
      </c>
      <c r="EK18" s="170">
        <f>SUMPRODUCT((Settings!$G$14:$G$43=$B18)*COUNTIF('INPUT - Roster'!$FA$6:$FA$206,"*"&amp;Settings!$F$14:$F$43&amp;"*"))</f>
        <v/>
      </c>
      <c r="EL18" s="170">
        <f>SUMPRODUCT((Settings!$G$14:$G$43=$B18)*COUNTIF('INPUT - Roster'!$FB$6:$FB$206,"*"&amp;Settings!$F$14:$F$43&amp;"*"))</f>
        <v/>
      </c>
      <c r="EM18" s="170">
        <f>SUMPRODUCT((Settings!$G$14:$G$43=$B18)*COUNTIF('INPUT - Roster'!$FC$6:$FC$206,"*"&amp;Settings!$F$14:$F$43&amp;"*"))</f>
        <v/>
      </c>
      <c r="EN18" s="170">
        <f>SUMPRODUCT((Settings!$G$14:$G$43=$B18)*COUNTIF('INPUT - Roster'!$FD$6:$FD$206,"*"&amp;Settings!$F$14:$F$43&amp;"*"))</f>
        <v/>
      </c>
      <c r="EO18" s="170">
        <f>SUMPRODUCT((Settings!$G$14:$G$43=$B18)*COUNTIF('INPUT - Roster'!$FE$6:$FE$206,"*"&amp;Settings!$F$14:$F$43&amp;"*"))</f>
        <v/>
      </c>
      <c r="EP18" s="170">
        <f>SUMPRODUCT((Settings!$G$14:$G$43=$B18)*COUNTIF('INPUT - Roster'!$FF$6:$FF$206,"*"&amp;Settings!$F$14:$F$43&amp;"*"))</f>
        <v/>
      </c>
      <c r="EQ18" s="170">
        <f>SUMPRODUCT((Settings!$G$14:$G$43=$B18)*COUNTIF('INPUT - Roster'!$FG$6:$FG$206,"*"&amp;Settings!$F$14:$F$43&amp;"*"))</f>
        <v/>
      </c>
      <c r="ER18" s="170">
        <f>SUMPRODUCT((Settings!$G$14:$G$43=$B18)*COUNTIF('INPUT - Roster'!$FH$6:$FH$206,"*"&amp;Settings!$F$14:$F$43&amp;"*"))</f>
        <v/>
      </c>
      <c r="ES18" s="170">
        <f>SUMPRODUCT((Settings!$G$14:$G$43=$B18)*COUNTIF('INPUT - Roster'!$FI$6:$FI$206,"*"&amp;Settings!$F$14:$F$43&amp;"*"))</f>
        <v/>
      </c>
      <c r="ET18" s="170">
        <f>SUMPRODUCT((Settings!$G$14:$G$43=$B18)*COUNTIF('INPUT - Roster'!$FJ$6:$FJ$206,"*"&amp;Settings!$F$14:$F$43&amp;"*"))</f>
        <v/>
      </c>
      <c r="EU18" s="170">
        <f>SUMPRODUCT((Settings!$G$14:$G$43=$B18)*COUNTIF('INPUT - Roster'!$FK$6:$FK$206,"*"&amp;Settings!$F$14:$F$43&amp;"*"))</f>
        <v/>
      </c>
      <c r="EV18" s="170">
        <f>SUMPRODUCT((Settings!$G$14:$G$43=$B18)*COUNTIF('INPUT - Roster'!$FL$6:$FL$206,"*"&amp;Settings!$F$14:$F$43&amp;"*"))</f>
        <v/>
      </c>
      <c r="EW18" s="170">
        <f>SUMPRODUCT((Settings!$G$14:$G$43=$B18)*COUNTIF('INPUT - Roster'!$FM$6:$FM$206,"*"&amp;Settings!$F$14:$F$43&amp;"*"))</f>
        <v/>
      </c>
      <c r="EX18" s="170">
        <f>SUMPRODUCT((Settings!$G$14:$G$43=$B18)*COUNTIF('INPUT - Roster'!$FN$6:$FN$206,"*"&amp;Settings!$F$14:$F$43&amp;"*"))</f>
        <v/>
      </c>
      <c r="EY18" s="170">
        <f>SUMPRODUCT((Settings!$G$14:$G$43=$B18)*COUNTIF('INPUT - Roster'!$FO$6:$FO$206,"*"&amp;Settings!$F$14:$F$43&amp;"*"))</f>
        <v/>
      </c>
      <c r="EZ18" s="170">
        <f>SUMPRODUCT((Settings!$G$14:$G$43=$B18)*COUNTIF('INPUT - Roster'!$FP$6:$FP$206,"*"&amp;Settings!$F$14:$F$43&amp;"*"))</f>
        <v/>
      </c>
      <c r="FA18" s="170">
        <f>SUMPRODUCT((Settings!$G$14:$G$43=$B18)*COUNTIF('INPUT - Roster'!$FQ$6:$FQ$206,"*"&amp;Settings!$F$14:$F$43&amp;"*"))</f>
        <v/>
      </c>
      <c r="FB18" s="170">
        <f>SUMPRODUCT((Settings!$G$14:$G$43=$B18)*COUNTIF('INPUT - Roster'!$FR$6:$FR$206,"*"&amp;Settings!$F$14:$F$43&amp;"*"))</f>
        <v/>
      </c>
      <c r="FC18" s="170">
        <f>SUMPRODUCT((Settings!$G$14:$G$43=$B18)*COUNTIF('INPUT - Roster'!$FS$6:$FS$206,"*"&amp;Settings!$F$14:$F$43&amp;"*"))</f>
        <v/>
      </c>
      <c r="FD18" s="170">
        <f>SUMPRODUCT((Settings!$G$14:$G$43=$B18)*COUNTIF('INPUT - Roster'!$FT$6:$FT$206,"*"&amp;Settings!$F$14:$F$43&amp;"*"))</f>
        <v/>
      </c>
      <c r="FE18" s="170">
        <f>SUMPRODUCT((Settings!$G$14:$G$43=$B18)*COUNTIF('INPUT - Roster'!$FU$6:$FU$206,"*"&amp;Settings!$F$14:$F$43&amp;"*"))</f>
        <v/>
      </c>
      <c r="FF18" s="170">
        <f>SUMPRODUCT((Settings!$G$14:$G$43=$B18)*COUNTIF('INPUT - Roster'!$FV$6:$FV$206,"*"&amp;Settings!$F$14:$F$43&amp;"*"))</f>
        <v/>
      </c>
      <c r="FG18" s="170">
        <f>SUMPRODUCT((Settings!$G$14:$G$43=$B18)*COUNTIF('INPUT - Roster'!$FW$6:$FW$206,"*"&amp;Settings!$F$14:$F$43&amp;"*"))</f>
        <v/>
      </c>
      <c r="FH18" s="170">
        <f>SUMPRODUCT((Settings!$G$14:$G$43=$B18)*COUNTIF('INPUT - Roster'!$FX$6:$FX$206,"*"&amp;Settings!$F$14:$F$43&amp;"*"))</f>
        <v/>
      </c>
      <c r="FI18" s="170">
        <f>SUMPRODUCT((Settings!$G$14:$G$43=$B18)*COUNTIF('INPUT - Roster'!$FY$6:$FY$206,"*"&amp;Settings!$F$14:$F$43&amp;"*"))</f>
        <v/>
      </c>
      <c r="FJ18" s="170">
        <f>SUMPRODUCT((Settings!$G$14:$G$43=$B18)*COUNTIF('INPUT - Roster'!$FZ$6:$FZ$206,"*"&amp;Settings!$F$14:$F$43&amp;"*"))</f>
        <v/>
      </c>
      <c r="FK18" s="170">
        <f>SUMPRODUCT((Settings!$G$14:$G$43=$B18)*COUNTIF('INPUT - Roster'!$GA$6:$GA$206,"*"&amp;Settings!$F$14:$F$43&amp;"*"))</f>
        <v/>
      </c>
      <c r="FL18" s="170">
        <f>SUMPRODUCT((Settings!$G$14:$G$43=$B18)*COUNTIF('INPUT - Roster'!$GB$6:$GB$206,"*"&amp;Settings!$F$14:$F$43&amp;"*"))</f>
        <v/>
      </c>
      <c r="FM18" s="170">
        <f>SUMPRODUCT((Settings!$G$14:$G$43=$B18)*COUNTIF('INPUT - Roster'!$GC$6:$GC$206,"*"&amp;Settings!$F$14:$F$43&amp;"*"))</f>
        <v/>
      </c>
      <c r="FN18" s="170">
        <f>SUMPRODUCT((Settings!$G$14:$G$43=$B18)*COUNTIF('INPUT - Roster'!$GD$6:$GD$206,"*"&amp;Settings!$F$14:$F$43&amp;"*"))</f>
        <v/>
      </c>
      <c r="FO18" s="170">
        <f>SUMPRODUCT((Settings!$G$14:$G$43=$B18)*COUNTIF('INPUT - Roster'!$GE$6:$GE$206,"*"&amp;Settings!$F$14:$F$43&amp;"*"))</f>
        <v/>
      </c>
      <c r="FP18" s="170">
        <f>SUMPRODUCT((Settings!$G$14:$G$43=$B18)*COUNTIF('INPUT - Roster'!$GF$6:$GF$206,"*"&amp;Settings!$F$14:$F$43&amp;"*"))</f>
        <v/>
      </c>
      <c r="FQ18" s="170">
        <f>SUMPRODUCT((Settings!$G$14:$G$43=$B18)*COUNTIF('INPUT - Roster'!$GG$6:$GG$206,"*"&amp;Settings!$F$14:$F$43&amp;"*"))</f>
        <v/>
      </c>
      <c r="FR18" s="170">
        <f>SUMPRODUCT((Settings!$G$14:$G$43=$B18)*COUNTIF('INPUT - Roster'!$GH$6:$GH$206,"*"&amp;Settings!$F$14:$F$43&amp;"*"))</f>
        <v/>
      </c>
      <c r="FS18" s="170">
        <f>SUMPRODUCT((Settings!$G$14:$G$43=$B18)*COUNTIF('INPUT - Roster'!$GI$6:$GI$206,"*"&amp;Settings!$F$14:$F$43&amp;"*"))</f>
        <v/>
      </c>
      <c r="FT18" s="170">
        <f>SUMPRODUCT((Settings!$G$14:$G$43=$B18)*COUNTIF('INPUT - Roster'!$GJ$6:$GJ$206,"*"&amp;Settings!$F$14:$F$43&amp;"*"))</f>
        <v/>
      </c>
      <c r="FU18" s="170">
        <f>SUMPRODUCT((Settings!$G$14:$G$43=$B18)*COUNTIF('INPUT - Roster'!$GK$6:$GK$206,"*"&amp;Settings!$F$14:$F$43&amp;"*"))</f>
        <v/>
      </c>
      <c r="FV18" s="170">
        <f>SUMPRODUCT((Settings!$G$14:$G$43=$B18)*COUNTIF('INPUT - Roster'!$GL$6:$GL$206,"*"&amp;Settings!$F$14:$F$43&amp;"*"))</f>
        <v/>
      </c>
      <c r="FW18" s="170">
        <f>SUMPRODUCT((Settings!$G$14:$G$43=$B18)*COUNTIF('INPUT - Roster'!$GM$6:$GM$206,"*"&amp;Settings!$F$14:$F$43&amp;"*"))</f>
        <v/>
      </c>
      <c r="FX18" s="170">
        <f>SUMPRODUCT((Settings!$G$14:$G$43=$B18)*COUNTIF('INPUT - Roster'!$GN$6:$GN$206,"*"&amp;Settings!$F$14:$F$43&amp;"*"))</f>
        <v/>
      </c>
      <c r="FY18" s="170">
        <f>SUMPRODUCT((Settings!$G$14:$G$43=$B18)*COUNTIF('INPUT - Roster'!$GO$6:$GO$206,"*"&amp;Settings!$F$14:$F$43&amp;"*"))</f>
        <v/>
      </c>
      <c r="FZ18" s="170">
        <f>SUMPRODUCT((Settings!$G$14:$G$43=$B18)*COUNTIF('INPUT - Roster'!$GP$6:$GP$206,"*"&amp;Settings!$F$14:$F$43&amp;"*"))</f>
        <v/>
      </c>
      <c r="GA18" s="170">
        <f>SUMPRODUCT((Settings!$G$14:$G$43=$B18)*COUNTIF('INPUT - Roster'!$GQ$6:$GQ$206,"*"&amp;Settings!$F$14:$F$43&amp;"*"))</f>
        <v/>
      </c>
      <c r="GB18" s="170">
        <f>SUMPRODUCT((Settings!$G$14:$G$43=$B18)*COUNTIF('INPUT - Roster'!$GR$6:$GR$206,"*"&amp;Settings!$F$14:$F$43&amp;"*"))</f>
        <v/>
      </c>
      <c r="GC18" s="170">
        <f>SUMPRODUCT((Settings!$G$14:$G$43=$B18)*COUNTIF('INPUT - Roster'!$GS$6:$GS$206,"*"&amp;Settings!$F$14:$F$43&amp;"*"))</f>
        <v/>
      </c>
      <c r="GD18" s="170">
        <f>SUMPRODUCT((Settings!$G$14:$G$43=$B18)*COUNTIF('INPUT - Roster'!$GT$6:$GT$206,"*"&amp;Settings!$F$14:$F$43&amp;"*"))</f>
        <v/>
      </c>
      <c r="GE18" s="170">
        <f>SUMPRODUCT((Settings!$G$14:$G$43=$B18)*COUNTIF('INPUT - Roster'!$GU$6:$GU$206,"*"&amp;Settings!$F$14:$F$43&amp;"*"))</f>
        <v/>
      </c>
      <c r="GF18" s="170">
        <f>SUMPRODUCT((Settings!$G$14:$G$43=$B18)*COUNTIF('INPUT - Roster'!$GV$6:$GV$206,"*"&amp;Settings!$F$14:$F$43&amp;"*"))</f>
        <v/>
      </c>
      <c r="GG18" s="170">
        <f>SUMPRODUCT((Settings!$G$14:$G$43=$B18)*COUNTIF('INPUT - Roster'!$GW$6:$GW$206,"*"&amp;Settings!$F$14:$F$43&amp;"*"))</f>
        <v/>
      </c>
      <c r="GH18" s="170">
        <f>SUMPRODUCT((Settings!$G$14:$G$43=$B18)*COUNTIF('INPUT - Roster'!$GX$6:$GX$206,"*"&amp;Settings!$F$14:$F$43&amp;"*"))</f>
        <v/>
      </c>
      <c r="GI18" s="170">
        <f>SUMPRODUCT((Settings!$G$14:$G$43=$B18)*COUNTIF('INPUT - Roster'!$GY$6:$GY$206,"*"&amp;Settings!$F$14:$F$43&amp;"*"))</f>
        <v/>
      </c>
      <c r="GJ18" s="170">
        <f>SUMPRODUCT((Settings!$G$14:$G$43=$B18)*COUNTIF('INPUT - Roster'!$GZ$6:$GZ$206,"*"&amp;Settings!$F$14:$F$43&amp;"*"))</f>
        <v/>
      </c>
      <c r="GK18" s="170">
        <f>SUMPRODUCT((Settings!$G$14:$G$43=$B18)*COUNTIF('INPUT - Roster'!$HA$6:$HA$206,"*"&amp;Settings!$F$14:$F$43&amp;"*"))</f>
        <v/>
      </c>
      <c r="GL18" s="170">
        <f>SUMPRODUCT((Settings!$G$14:$G$43=$B18)*COUNTIF('INPUT - Roster'!$HB$6:$HB$206,"*"&amp;Settings!$F$14:$F$43&amp;"*"))</f>
        <v/>
      </c>
      <c r="GM18" s="170">
        <f>SUMPRODUCT((Settings!$G$14:$G$43=$B18)*COUNTIF('INPUT - Roster'!$HC$6:$HC$206,"*"&amp;Settings!$F$14:$F$43&amp;"*"))</f>
        <v/>
      </c>
      <c r="GN18" s="170">
        <f>SUMPRODUCT((Settings!$G$14:$G$43=$B18)*COUNTIF('INPUT - Roster'!$HD$6:$HD$206,"*"&amp;Settings!$F$14:$F$43&amp;"*"))</f>
        <v/>
      </c>
      <c r="GO18" s="170">
        <f>SUMPRODUCT((Settings!$G$14:$G$43=$B18)*COUNTIF('INPUT - Roster'!$HE$6:$HE$206,"*"&amp;Settings!$F$14:$F$43&amp;"*"))</f>
        <v/>
      </c>
      <c r="GP18" s="170">
        <f>SUMPRODUCT((Settings!$G$14:$G$43=$B18)*COUNTIF('INPUT - Roster'!$HF$6:$HF$206,"*"&amp;Settings!$F$14:$F$43&amp;"*"))</f>
        <v/>
      </c>
      <c r="GQ18" s="170">
        <f>SUMPRODUCT((Settings!$G$14:$G$43=$B18)*COUNTIF('INPUT - Roster'!$HG$6:$HG$206,"*"&amp;Settings!$F$14:$F$43&amp;"*"))</f>
        <v/>
      </c>
      <c r="GR18" s="170">
        <f>SUMPRODUCT((Settings!$G$14:$G$43=$B18)*COUNTIF('INPUT - Roster'!$HH$6:$HH$206,"*"&amp;Settings!$F$14:$F$43&amp;"*"))</f>
        <v/>
      </c>
      <c r="GS18" s="170">
        <f>SUMPRODUCT((Settings!$G$14:$G$43=$B18)*COUNTIF('INPUT - Roster'!$HI$6:$HI$206,"*"&amp;Settings!$F$14:$F$43&amp;"*"))</f>
        <v/>
      </c>
      <c r="GT18" s="170">
        <f>SUMPRODUCT((Settings!$G$14:$G$43=$B18)*COUNTIF('INPUT - Roster'!$HJ$6:$HJ$206,"*"&amp;Settings!$F$14:$F$43&amp;"*"))</f>
        <v/>
      </c>
      <c r="GU18" s="170">
        <f>SUMPRODUCT((Settings!$G$14:$G$43=$B18)*COUNTIF('INPUT - Roster'!$HK$6:$HK$206,"*"&amp;Settings!$F$14:$F$43&amp;"*"))</f>
        <v/>
      </c>
      <c r="GV18" s="170">
        <f>SUMPRODUCT((Settings!$G$14:$G$43=$B18)*COUNTIF('INPUT - Roster'!$HL$6:$HL$206,"*"&amp;Settings!$F$14:$F$43&amp;"*"))</f>
        <v/>
      </c>
      <c r="GW18" s="170">
        <f>SUMPRODUCT((Settings!$G$14:$G$43=$B18)*COUNTIF('INPUT - Roster'!$HM$6:$HM$206,"*"&amp;Settings!$F$14:$F$43&amp;"*"))</f>
        <v/>
      </c>
      <c r="GX18" s="170">
        <f>SUMPRODUCT((Settings!$G$14:$G$43=$B18)*COUNTIF('INPUT - Roster'!$HN$6:$HN$206,"*"&amp;Settings!$F$14:$F$43&amp;"*"))</f>
        <v/>
      </c>
      <c r="GY18" s="170">
        <f>SUMPRODUCT((Settings!$G$14:$G$43=$B18)*COUNTIF('INPUT - Roster'!$HO$6:$HO$206,"*"&amp;Settings!$F$14:$F$43&amp;"*"))</f>
        <v/>
      </c>
      <c r="GZ18" s="170">
        <f>SUMPRODUCT((Settings!$G$14:$G$43=$B18)*COUNTIF('INPUT - Roster'!$HP$6:$HP$206,"*"&amp;Settings!$F$14:$F$43&amp;"*"))</f>
        <v/>
      </c>
      <c r="HA18" s="170">
        <f>SUMPRODUCT((Settings!$G$14:$G$43=$B18)*COUNTIF('INPUT - Roster'!$HQ$6:$HQ$206,"*"&amp;Settings!$F$14:$F$43&amp;"*"))</f>
        <v/>
      </c>
      <c r="HB18" s="170">
        <f>SUMPRODUCT((Settings!$G$14:$G$43=$B18)*COUNTIF('INPUT - Roster'!$HR$6:$HR$206,"*"&amp;Settings!$F$14:$F$43&amp;"*"))</f>
        <v/>
      </c>
      <c r="HC18" s="170">
        <f>SUMPRODUCT((Settings!$G$14:$G$43=$B18)*COUNTIF('INPUT - Roster'!$HS$6:$HS$206,"*"&amp;Settings!$F$14:$F$43&amp;"*"))</f>
        <v/>
      </c>
      <c r="HD18" s="170">
        <f>SUMPRODUCT((Settings!$G$14:$G$43=$B18)*COUNTIF('INPUT - Roster'!$HT$6:$HT$206,"*"&amp;Settings!$F$14:$F$43&amp;"*"))</f>
        <v/>
      </c>
      <c r="HE18" s="170">
        <f>SUMPRODUCT((Settings!$G$14:$G$43=$B18)*COUNTIF('INPUT - Roster'!$HU$6:$HU$206,"*"&amp;Settings!$F$14:$F$43&amp;"*"))</f>
        <v/>
      </c>
      <c r="HF18" s="170">
        <f>SUMPRODUCT((Settings!$G$14:$G$43=$B18)*COUNTIF('INPUT - Roster'!$HV$6:$HV$206,"*"&amp;Settings!$F$14:$F$43&amp;"*"))</f>
        <v/>
      </c>
      <c r="HG18" s="170">
        <f>SUMPRODUCT((Settings!$G$14:$G$43=$B18)*COUNTIF('INPUT - Roster'!$HW$6:$HW$206,"*"&amp;Settings!$F$14:$F$43&amp;"*"))</f>
        <v/>
      </c>
      <c r="HH18" s="170">
        <f>SUMPRODUCT((Settings!$G$14:$G$43=$B18)*COUNTIF('INPUT - Roster'!$HX$6:$HX$206,"*"&amp;Settings!$F$14:$F$43&amp;"*"))</f>
        <v/>
      </c>
      <c r="HI18" s="170">
        <f>SUMPRODUCT((Settings!$G$14:$G$43=$B18)*COUNTIF('INPUT - Roster'!$HY$6:$HY$206,"*"&amp;Settings!$F$14:$F$43&amp;"*"))</f>
        <v/>
      </c>
      <c r="HJ18" s="170">
        <f>SUMPRODUCT((Settings!$G$14:$G$43=$B18)*COUNTIF('INPUT - Roster'!$HZ$6:$HZ$206,"*"&amp;Settings!$F$14:$F$43&amp;"*"))</f>
        <v/>
      </c>
      <c r="HK18" s="170">
        <f>SUMPRODUCT((Settings!$G$14:$G$43=$B18)*COUNTIF('INPUT - Roster'!$IA$6:$IA$206,"*"&amp;Settings!$F$14:$F$43&amp;"*"))</f>
        <v/>
      </c>
      <c r="HL18" s="170">
        <f>SUMPRODUCT((Settings!$G$14:$G$43=$B18)*COUNTIF('INPUT - Roster'!$IB$6:$IB$206,"*"&amp;Settings!$F$14:$F$43&amp;"*"))</f>
        <v/>
      </c>
      <c r="HM18" s="170">
        <f>SUMPRODUCT((Settings!$G$14:$G$43=$B18)*COUNTIF('INPUT - Roster'!$IC$6:$IC$206,"*"&amp;Settings!$F$14:$F$43&amp;"*"))</f>
        <v/>
      </c>
      <c r="HN18" s="170">
        <f>SUMPRODUCT((Settings!$G$14:$G$43=$B18)*COUNTIF('INPUT - Roster'!$ID$6:$ID$206,"*"&amp;Settings!$F$14:$F$43&amp;"*"))</f>
        <v/>
      </c>
      <c r="HO18" s="170">
        <f>SUMPRODUCT((Settings!$G$14:$G$43=$B18)*COUNTIF('INPUT - Roster'!$IE$6:$IE$206,"*"&amp;Settings!$F$14:$F$43&amp;"*"))</f>
        <v/>
      </c>
      <c r="HP18" s="170">
        <f>SUMPRODUCT((Settings!$G$14:$G$43=$B18)*COUNTIF('INPUT - Roster'!$IF$6:$IF$206,"*"&amp;Settings!$F$14:$F$43&amp;"*"))</f>
        <v/>
      </c>
      <c r="HQ18" s="170">
        <f>SUMPRODUCT((Settings!$G$14:$G$43=$B18)*COUNTIF('INPUT - Roster'!$IG$6:$IG$206,"*"&amp;Settings!$F$14:$F$43&amp;"*"))</f>
        <v/>
      </c>
      <c r="HR18" s="170">
        <f>SUMPRODUCT((Settings!$G$14:$G$43=$B18)*COUNTIF('INPUT - Roster'!$IH$6:$IH$206,"*"&amp;Settings!$F$14:$F$43&amp;"*"))</f>
        <v/>
      </c>
      <c r="HS18" s="170">
        <f>SUMPRODUCT((Settings!$G$14:$G$43=$B18)*COUNTIF('INPUT - Roster'!$II$6:$II$206,"*"&amp;Settings!$F$14:$F$43&amp;"*"))</f>
        <v/>
      </c>
      <c r="HT18" s="170">
        <f>SUMPRODUCT((Settings!$G$14:$G$43=$B18)*COUNTIF('INPUT - Roster'!$IJ$6:$IJ$206,"*"&amp;Settings!$F$14:$F$43&amp;"*"))</f>
        <v/>
      </c>
      <c r="HU18" s="170">
        <f>SUMPRODUCT((Settings!$G$14:$G$43=$B18)*COUNTIF('INPUT - Roster'!$IK$6:$IK$206,"*"&amp;Settings!$F$14:$F$43&amp;"*"))</f>
        <v/>
      </c>
      <c r="HV18" s="170">
        <f>SUMPRODUCT((Settings!$G$14:$G$43=$B18)*COUNTIF('INPUT - Roster'!$IL$6:$IL$206,"*"&amp;Settings!$F$14:$F$43&amp;"*"))</f>
        <v/>
      </c>
      <c r="HW18" s="170">
        <f>SUMPRODUCT((Settings!$G$14:$G$43=$B18)*COUNTIF('INPUT - Roster'!$IM$6:$IM$206,"*"&amp;Settings!$F$14:$F$43&amp;"*"))</f>
        <v/>
      </c>
      <c r="HX18" s="170">
        <f>SUMPRODUCT((Settings!$G$14:$G$43=$B18)*COUNTIF('INPUT - Roster'!$IN$6:$IN$206,"*"&amp;Settings!$F$14:$F$43&amp;"*"))</f>
        <v/>
      </c>
      <c r="HY18" s="170">
        <f>SUMPRODUCT((Settings!$G$14:$G$43=$B18)*COUNTIF('INPUT - Roster'!$IO$6:$IO$206,"*"&amp;Settings!$F$14:$F$43&amp;"*"))</f>
        <v/>
      </c>
      <c r="HZ18" s="170">
        <f>SUMPRODUCT((Settings!$G$14:$G$43=$B18)*COUNTIF('INPUT - Roster'!$IP$6:$IP$206,"*"&amp;Settings!$F$14:$F$43&amp;"*"))</f>
        <v/>
      </c>
      <c r="IA18" s="170">
        <f>SUMPRODUCT((Settings!$G$14:$G$43=$B18)*COUNTIF('INPUT - Roster'!$IQ$6:$IQ$206,"*"&amp;Settings!$F$14:$F$43&amp;"*"))</f>
        <v/>
      </c>
      <c r="IB18" s="170">
        <f>SUMPRODUCT((Settings!$G$14:$G$43=$B18)*COUNTIF('INPUT - Roster'!$IR$6:$IR$206,"*"&amp;Settings!$F$14:$F$43&amp;"*"))</f>
        <v/>
      </c>
      <c r="IC18" s="170">
        <f>SUMPRODUCT((Settings!$G$14:$G$43=$B18)*COUNTIF('INPUT - Roster'!$IS$6:$IS$206,"*"&amp;Settings!$F$14:$F$43&amp;"*"))</f>
        <v/>
      </c>
      <c r="ID18" s="170">
        <f>SUMPRODUCT((Settings!$G$14:$G$43=$B18)*COUNTIF('INPUT - Roster'!$IT$6:$IT$206,"*"&amp;Settings!$F$14:$F$43&amp;"*"))</f>
        <v/>
      </c>
      <c r="IE18" s="170">
        <f>SUMPRODUCT((Settings!$G$14:$G$43=$B18)*COUNTIF('INPUT - Roster'!$IU$6:$IU$206,"*"&amp;Settings!$F$14:$F$43&amp;"*"))</f>
        <v/>
      </c>
      <c r="IF18" s="170">
        <f>SUMPRODUCT((Settings!$G$14:$G$43=$B18)*COUNTIF('INPUT - Roster'!$IV$6:$IV$206,"*"&amp;Settings!$F$14:$F$43&amp;"*"))</f>
        <v/>
      </c>
      <c r="IG18" s="170">
        <f>SUMPRODUCT((Settings!$G$14:$G$43=$B18)*COUNTIF('INPUT - Roster'!$IW$6:$IW$206,"*"&amp;Settings!$F$14:$F$43&amp;"*"))</f>
        <v/>
      </c>
      <c r="IH18" s="170">
        <f>SUMPRODUCT((Settings!$G$14:$G$43=$B18)*COUNTIF('INPUT - Roster'!$IX$6:$IX$206,"*"&amp;Settings!$F$14:$F$43&amp;"*"))</f>
        <v/>
      </c>
      <c r="II18" s="170">
        <f>SUMPRODUCT((Settings!$G$14:$G$43=$B18)*COUNTIF('INPUT - Roster'!$IY$6:$IY$206,"*"&amp;Settings!$F$14:$F$43&amp;"*"))</f>
        <v/>
      </c>
      <c r="IJ18" s="170">
        <f>SUMPRODUCT((Settings!$G$14:$G$43=$B18)*COUNTIF('INPUT - Roster'!$IZ$6:$IZ$206,"*"&amp;Settings!$F$14:$F$43&amp;"*"))</f>
        <v/>
      </c>
      <c r="IK18" s="170">
        <f>SUMPRODUCT((Settings!$G$14:$G$43=$B18)*COUNTIF('INPUT - Roster'!$JA$6:$JA$206,"*"&amp;Settings!$F$14:$F$43&amp;"*"))</f>
        <v/>
      </c>
      <c r="IL18" s="170">
        <f>SUMPRODUCT((Settings!$G$14:$G$43=$B18)*COUNTIF('INPUT - Roster'!$JB$6:$JB$206,"*"&amp;Settings!$F$14:$F$43&amp;"*"))</f>
        <v/>
      </c>
      <c r="IM18" s="170">
        <f>SUMPRODUCT((Settings!$G$14:$G$43=$B18)*COUNTIF('INPUT - Roster'!$JC$6:$JC$206,"*"&amp;Settings!$F$14:$F$43&amp;"*"))</f>
        <v/>
      </c>
      <c r="IN18" s="170">
        <f>SUMPRODUCT((Settings!$G$14:$G$43=$B18)*COUNTIF('INPUT - Roster'!$JD$6:$JD$206,"*"&amp;Settings!$F$14:$F$43&amp;"*"))</f>
        <v/>
      </c>
      <c r="IO18" s="170">
        <f>SUMPRODUCT((Settings!$G$14:$G$43=$B18)*COUNTIF('INPUT - Roster'!$JE$6:$JE$206,"*"&amp;Settings!$F$14:$F$43&amp;"*"))</f>
        <v/>
      </c>
      <c r="IP18" s="170">
        <f>SUMPRODUCT((Settings!$G$14:$G$43=$B18)*COUNTIF('INPUT - Roster'!$JF$6:$JF$206,"*"&amp;Settings!$F$14:$F$43&amp;"*"))</f>
        <v/>
      </c>
      <c r="IQ18" s="170">
        <f>SUMPRODUCT((Settings!$G$14:$G$43=$B18)*COUNTIF('INPUT - Roster'!$JG$6:$JG$206,"*"&amp;Settings!$F$14:$F$43&amp;"*"))</f>
        <v/>
      </c>
      <c r="IR18" s="170">
        <f>SUMPRODUCT((Settings!$G$14:$G$43=$B18)*COUNTIF('INPUT - Roster'!$JH$6:$JH$206,"*"&amp;Settings!$F$14:$F$43&amp;"*"))</f>
        <v/>
      </c>
      <c r="IS18" s="170">
        <f>SUMPRODUCT((Settings!$G$14:$G$43=$B18)*COUNTIF('INPUT - Roster'!$JI$6:$JI$206,"*"&amp;Settings!$F$14:$F$43&amp;"*"))</f>
        <v/>
      </c>
      <c r="IT18" s="170">
        <f>SUMPRODUCT((Settings!$G$14:$G$43=$B18)*COUNTIF('INPUT - Roster'!$JJ$6:$JJ$206,"*"&amp;Settings!$F$14:$F$43&amp;"*"))</f>
        <v/>
      </c>
      <c r="IU18" s="170">
        <f>SUMPRODUCT((Settings!$G$14:$G$43=$B18)*COUNTIF('INPUT - Roster'!$JK$6:$JK$206,"*"&amp;Settings!$F$14:$F$43&amp;"*"))</f>
        <v/>
      </c>
      <c r="IV18" s="170">
        <f>SUMPRODUCT((Settings!$G$14:$G$43=$B18)*COUNTIF('INPUT - Roster'!$JL$6:$JL$206,"*"&amp;Settings!$F$14:$F$43&amp;"*"))</f>
        <v/>
      </c>
      <c r="IW18" s="170">
        <f>SUMPRODUCT((Settings!$G$14:$G$43=$B18)*COUNTIF('INPUT - Roster'!$JM$6:$JM$206,"*"&amp;Settings!$F$14:$F$43&amp;"*"))</f>
        <v/>
      </c>
      <c r="IX18" s="170">
        <f>SUMPRODUCT((Settings!$G$14:$G$43=$B18)*COUNTIF('INPUT - Roster'!$JN$6:$JN$206,"*"&amp;Settings!$F$14:$F$43&amp;"*"))</f>
        <v/>
      </c>
      <c r="IY18" s="170">
        <f>SUMPRODUCT((Settings!$G$14:$G$43=$B18)*COUNTIF('INPUT - Roster'!$JO$6:$JO$206,"*"&amp;Settings!$F$14:$F$43&amp;"*"))</f>
        <v/>
      </c>
      <c r="IZ18" s="170">
        <f>SUMPRODUCT((Settings!$G$14:$G$43=$B18)*COUNTIF('INPUT - Roster'!$JP$6:$JP$206,"*"&amp;Settings!$F$14:$F$43&amp;"*"))</f>
        <v/>
      </c>
      <c r="JA18" s="170">
        <f>SUMPRODUCT((Settings!$G$14:$G$43=$B18)*COUNTIF('INPUT - Roster'!$JQ$6:$JQ$206,"*"&amp;Settings!$F$14:$F$43&amp;"*"))</f>
        <v/>
      </c>
      <c r="JB18" s="170">
        <f>SUMPRODUCT((Settings!$G$14:$G$43=$B18)*COUNTIF('INPUT - Roster'!$JR$6:$JR$206,"*"&amp;Settings!$F$14:$F$43&amp;"*"))</f>
        <v/>
      </c>
      <c r="JC18" s="170">
        <f>SUMPRODUCT((Settings!$G$14:$G$43=$B18)*COUNTIF('INPUT - Roster'!$JS$6:$JS$206,"*"&amp;Settings!$F$14:$F$43&amp;"*"))</f>
        <v/>
      </c>
      <c r="JD18" s="170">
        <f>SUMPRODUCT((Settings!$G$14:$G$43=$B18)*COUNTIF('INPUT - Roster'!$JT$6:$JT$206,"*"&amp;Settings!$F$14:$F$43&amp;"*"))</f>
        <v/>
      </c>
      <c r="JE18" s="170">
        <f>SUMPRODUCT((Settings!$G$14:$G$43=$B18)*COUNTIF('INPUT - Roster'!$JU$6:$JU$206,"*"&amp;Settings!$F$14:$F$43&amp;"*"))</f>
        <v/>
      </c>
      <c r="JF18" s="170">
        <f>SUMPRODUCT((Settings!$G$14:$G$43=$B18)*COUNTIF('INPUT - Roster'!$JV$6:$JV$206,"*"&amp;Settings!$F$14:$F$43&amp;"*"))</f>
        <v/>
      </c>
      <c r="JG18" s="170">
        <f>SUMPRODUCT((Settings!$G$14:$G$43=$B18)*COUNTIF('INPUT - Roster'!$JW$6:$JW$206,"*"&amp;Settings!$F$14:$F$43&amp;"*"))</f>
        <v/>
      </c>
      <c r="JH18" s="170">
        <f>SUMPRODUCT((Settings!$G$14:$G$43=$B18)*COUNTIF('INPUT - Roster'!$JX$6:$JX$206,"*"&amp;Settings!$F$14:$F$43&amp;"*"))</f>
        <v/>
      </c>
      <c r="JI18" s="170">
        <f>SUMPRODUCT((Settings!$G$14:$G$43=$B18)*COUNTIF('INPUT - Roster'!$JY$6:$JY$206,"*"&amp;Settings!$F$14:$F$43&amp;"*"))</f>
        <v/>
      </c>
      <c r="JJ18" s="170">
        <f>SUMPRODUCT((Settings!$G$14:$G$43=$B18)*COUNTIF('INPUT - Roster'!$JZ$6:$JZ$206,"*"&amp;Settings!$F$14:$F$43&amp;"*"))</f>
        <v/>
      </c>
      <c r="JK18" s="170">
        <f>SUMPRODUCT((Settings!$G$14:$G$43=$B18)*COUNTIF('INPUT - Roster'!$KA$6:$KA$206,"*"&amp;Settings!$F$14:$F$43&amp;"*"))</f>
        <v/>
      </c>
      <c r="JL18" s="170">
        <f>SUMPRODUCT((Settings!$G$14:$G$43=$B18)*COUNTIF('INPUT - Roster'!$KB$6:$KB$206,"*"&amp;Settings!$F$14:$F$43&amp;"*"))</f>
        <v/>
      </c>
      <c r="JM18" s="170">
        <f>SUMPRODUCT((Settings!$G$14:$G$43=$B18)*COUNTIF('INPUT - Roster'!$KC$6:$KC$206,"*"&amp;Settings!$F$14:$F$43&amp;"*"))</f>
        <v/>
      </c>
      <c r="JN18" s="170">
        <f>SUMPRODUCT((Settings!$G$14:$G$43=$B18)*COUNTIF('INPUT - Roster'!$KD$6:$KD$206,"*"&amp;Settings!$F$14:$F$43&amp;"*"))</f>
        <v/>
      </c>
      <c r="JO18" s="170">
        <f>SUMPRODUCT((Settings!$G$14:$G$43=$B18)*COUNTIF('INPUT - Roster'!$KE$6:$KE$206,"*"&amp;Settings!$F$14:$F$43&amp;"*"))</f>
        <v/>
      </c>
      <c r="JP18" s="170">
        <f>SUMPRODUCT((Settings!$G$14:$G$43=$B18)*COUNTIF('INPUT - Roster'!$KF$6:$KF$206,"*"&amp;Settings!$F$14:$F$43&amp;"*"))</f>
        <v/>
      </c>
      <c r="JQ18" s="170">
        <f>SUMPRODUCT((Settings!$G$14:$G$43=$B18)*COUNTIF('INPUT - Roster'!$KG$6:$KG$206,"*"&amp;Settings!$F$14:$F$43&amp;"*"))</f>
        <v/>
      </c>
      <c r="JR18" s="170">
        <f>SUMPRODUCT((Settings!$G$14:$G$43=$B18)*COUNTIF('INPUT - Roster'!$KH$6:$KH$206,"*"&amp;Settings!$F$14:$F$43&amp;"*"))</f>
        <v/>
      </c>
      <c r="JS18" s="170">
        <f>SUMPRODUCT((Settings!$G$14:$G$43=$B18)*COUNTIF('INPUT - Roster'!$KI$6:$KI$206,"*"&amp;Settings!$F$14:$F$43&amp;"*"))</f>
        <v/>
      </c>
      <c r="JT18" s="170">
        <f>SUMPRODUCT((Settings!$G$14:$G$43=$B18)*COUNTIF('INPUT - Roster'!$KJ$6:$KJ$206,"*"&amp;Settings!$F$14:$F$43&amp;"*"))</f>
        <v/>
      </c>
      <c r="JU18" s="170">
        <f>SUMPRODUCT((Settings!$G$14:$G$43=$B18)*COUNTIF('INPUT - Roster'!$KK$6:$KK$206,"*"&amp;Settings!$F$14:$F$43&amp;"*"))</f>
        <v/>
      </c>
      <c r="JV18" s="170">
        <f>SUMPRODUCT((Settings!$G$14:$G$43=$B18)*COUNTIF('INPUT - Roster'!$KL$6:$KL$206,"*"&amp;Settings!$F$14:$F$43&amp;"*"))</f>
        <v/>
      </c>
      <c r="JW18" s="170">
        <f>SUMPRODUCT((Settings!$G$14:$G$43=$B18)*COUNTIF('INPUT - Roster'!$KM$6:$KM$206,"*"&amp;Settings!$F$14:$F$43&amp;"*"))</f>
        <v/>
      </c>
      <c r="JX18" s="170">
        <f>SUMPRODUCT((Settings!$G$14:$G$43=$B18)*COUNTIF('INPUT - Roster'!$KN$6:$KN$206,"*"&amp;Settings!$F$14:$F$43&amp;"*"))</f>
        <v/>
      </c>
      <c r="JY18" s="170">
        <f>SUMPRODUCT((Settings!$G$14:$G$43=$B18)*COUNTIF('INPUT - Roster'!$KO$6:$KO$206,"*"&amp;Settings!$F$14:$F$43&amp;"*"))</f>
        <v/>
      </c>
      <c r="JZ18" s="170">
        <f>SUMPRODUCT((Settings!$G$14:$G$43=$B18)*COUNTIF('INPUT - Roster'!$KP$6:$KP$206,"*"&amp;Settings!$F$14:$F$43&amp;"*"))</f>
        <v/>
      </c>
      <c r="KA18" s="170">
        <f>SUMPRODUCT((Settings!$G$14:$G$43=$B18)*COUNTIF('INPUT - Roster'!$KQ$6:$KQ$206,"*"&amp;Settings!$F$14:$F$43&amp;"*"))</f>
        <v/>
      </c>
      <c r="KB18" s="170">
        <f>SUMPRODUCT((Settings!$G$14:$G$43=$B18)*COUNTIF('INPUT - Roster'!$KR$6:$KR$206,"*"&amp;Settings!$F$14:$F$43&amp;"*"))</f>
        <v/>
      </c>
      <c r="KC18" s="170">
        <f>SUMPRODUCT((Settings!$G$14:$G$43=$B18)*COUNTIF('INPUT - Roster'!$KS$6:$KS$206,"*"&amp;Settings!$F$14:$F$43&amp;"*"))</f>
        <v/>
      </c>
      <c r="KD18" s="170">
        <f>SUMPRODUCT((Settings!$G$14:$G$43=$B18)*COUNTIF('INPUT - Roster'!$KT$6:$KT$206,"*"&amp;Settings!$F$14:$F$43&amp;"*"))</f>
        <v/>
      </c>
      <c r="KE18" s="170">
        <f>SUMPRODUCT((Settings!$G$14:$G$43=$B18)*COUNTIF('INPUT - Roster'!$KU$6:$KU$206,"*"&amp;Settings!$F$14:$F$43&amp;"*"))</f>
        <v/>
      </c>
      <c r="KF18" s="170">
        <f>SUMPRODUCT((Settings!$G$14:$G$43=$B18)*COUNTIF('INPUT - Roster'!$KV$6:$KV$206,"*"&amp;Settings!$F$14:$F$43&amp;"*"))</f>
        <v/>
      </c>
      <c r="KG18" s="170">
        <f>SUMPRODUCT((Settings!$G$14:$G$43=$B18)*COUNTIF('INPUT - Roster'!$KW$6:$KW$206,"*"&amp;Settings!$F$14:$F$43&amp;"*"))</f>
        <v/>
      </c>
      <c r="KH18" s="170">
        <f>SUMPRODUCT((Settings!$G$14:$G$43=$B18)*COUNTIF('INPUT - Roster'!$KX$6:$KX$206,"*"&amp;Settings!$F$14:$F$43&amp;"*"))</f>
        <v/>
      </c>
      <c r="KI18" s="170">
        <f>SUMPRODUCT((Settings!$G$14:$G$43=$B18)*COUNTIF('INPUT - Roster'!$KY$6:$KY$206,"*"&amp;Settings!$F$14:$F$43&amp;"*"))</f>
        <v/>
      </c>
      <c r="KJ18" s="170">
        <f>SUMPRODUCT((Settings!$G$14:$G$43=$B18)*COUNTIF('INPUT - Roster'!$KZ$6:$KZ$206,"*"&amp;Settings!$F$14:$F$43&amp;"*"))</f>
        <v/>
      </c>
      <c r="KK18" s="170">
        <f>SUMPRODUCT((Settings!$G$14:$G$43=$B18)*COUNTIF('INPUT - Roster'!$LA$6:$LA$206,"*"&amp;Settings!$F$14:$F$43&amp;"*"))</f>
        <v/>
      </c>
      <c r="KL18" s="170">
        <f>SUMPRODUCT((Settings!$G$14:$G$43=$B18)*COUNTIF('INPUT - Roster'!$LB$6:$LB$206,"*"&amp;Settings!$F$14:$F$43&amp;"*"))</f>
        <v/>
      </c>
      <c r="KM18" s="170">
        <f>SUMPRODUCT((Settings!$G$14:$G$43=$B18)*COUNTIF('INPUT - Roster'!$LC$6:$LC$206,"*"&amp;Settings!$F$14:$F$43&amp;"*"))</f>
        <v/>
      </c>
      <c r="KN18" s="170">
        <f>SUMPRODUCT((Settings!$G$14:$G$43=$B18)*COUNTIF('INPUT - Roster'!$LD$6:$LD$206,"*"&amp;Settings!$F$14:$F$43&amp;"*"))</f>
        <v/>
      </c>
      <c r="KO18" s="170">
        <f>SUMPRODUCT((Settings!$G$14:$G$43=$B18)*COUNTIF('INPUT - Roster'!$LE$6:$LE$206,"*"&amp;Settings!$F$14:$F$43&amp;"*"))</f>
        <v/>
      </c>
      <c r="KP18" s="170">
        <f>SUMPRODUCT((Settings!$G$14:$G$43=$B18)*COUNTIF('INPUT - Roster'!$LF$6:$LF$206,"*"&amp;Settings!$F$14:$F$43&amp;"*"))</f>
        <v/>
      </c>
      <c r="KQ18" s="170">
        <f>SUMPRODUCT((Settings!$G$14:$G$43=$B18)*COUNTIF('INPUT - Roster'!$LG$6:$LG$206,"*"&amp;Settings!$F$14:$F$43&amp;"*"))</f>
        <v/>
      </c>
      <c r="KR18" s="170">
        <f>SUMPRODUCT((Settings!$G$14:$G$43=$B18)*COUNTIF('INPUT - Roster'!$LH$6:$LH$206,"*"&amp;Settings!$F$14:$F$43&amp;"*"))</f>
        <v/>
      </c>
      <c r="KS18" s="170">
        <f>SUMPRODUCT((Settings!$G$14:$G$43=$B18)*COUNTIF('INPUT - Roster'!$LI$6:$LI$206,"*"&amp;Settings!$F$14:$F$43&amp;"*"))</f>
        <v/>
      </c>
      <c r="KT18" s="170">
        <f>SUMPRODUCT((Settings!$G$14:$G$43=$B18)*COUNTIF('INPUT - Roster'!$LJ$6:$LJ$206,"*"&amp;Settings!$F$14:$F$43&amp;"*"))</f>
        <v/>
      </c>
      <c r="KU18" s="170">
        <f>SUMPRODUCT((Settings!$G$14:$G$43=$B18)*COUNTIF('INPUT - Roster'!$LK$6:$LK$206,"*"&amp;Settings!$F$14:$F$43&amp;"*"))</f>
        <v/>
      </c>
      <c r="KV18" s="170">
        <f>SUMPRODUCT((Settings!$G$14:$G$43=$B18)*COUNTIF('INPUT - Roster'!$LL$6:$LL$206,"*"&amp;Settings!$F$14:$F$43&amp;"*"))</f>
        <v/>
      </c>
      <c r="KW18" s="170">
        <f>SUMPRODUCT((Settings!$G$14:$G$43=$B18)*COUNTIF('INPUT - Roster'!$LM$6:$LM$206,"*"&amp;Settings!$F$14:$F$43&amp;"*"))</f>
        <v/>
      </c>
      <c r="KX18" s="170">
        <f>SUMPRODUCT((Settings!$G$14:$G$43=$B18)*COUNTIF('INPUT - Roster'!$LN$6:$LN$206,"*"&amp;Settings!$F$14:$F$43&amp;"*"))</f>
        <v/>
      </c>
      <c r="KY18" s="170">
        <f>SUMPRODUCT((Settings!$G$14:$G$43=$B18)*COUNTIF('INPUT - Roster'!$LO$6:$LO$206,"*"&amp;Settings!$F$14:$F$43&amp;"*"))</f>
        <v/>
      </c>
      <c r="KZ18" s="170">
        <f>SUMPRODUCT((Settings!$G$14:$G$43=$B18)*COUNTIF('INPUT - Roster'!$LP$6:$LP$206,"*"&amp;Settings!$F$14:$F$43&amp;"*"))</f>
        <v/>
      </c>
      <c r="LA18" s="170">
        <f>SUMPRODUCT((Settings!$G$14:$G$43=$B18)*COUNTIF('INPUT - Roster'!$LQ$6:$LQ$206,"*"&amp;Settings!$F$14:$F$43&amp;"*"))</f>
        <v/>
      </c>
      <c r="LB18" s="170">
        <f>SUMPRODUCT((Settings!$G$14:$G$43=$B18)*COUNTIF('INPUT - Roster'!$LR$6:$LR$206,"*"&amp;Settings!$F$14:$F$43&amp;"*"))</f>
        <v/>
      </c>
      <c r="LC18" s="170">
        <f>SUMPRODUCT((Settings!$G$14:$G$43=$B18)*COUNTIF('INPUT - Roster'!$LS$6:$LS$206,"*"&amp;Settings!$F$14:$F$43&amp;"*"))</f>
        <v/>
      </c>
      <c r="LD18" s="170">
        <f>SUMPRODUCT((Settings!$G$14:$G$43=$B18)*COUNTIF('INPUT - Roster'!$LT$6:$LT$206,"*"&amp;Settings!$F$14:$F$43&amp;"*"))</f>
        <v/>
      </c>
      <c r="LE18" s="170">
        <f>SUMPRODUCT((Settings!$G$14:$G$43=$B18)*COUNTIF('INPUT - Roster'!$LU$6:$LU$206,"*"&amp;Settings!$F$14:$F$43&amp;"*"))</f>
        <v/>
      </c>
      <c r="LF18" s="170">
        <f>SUMPRODUCT((Settings!$G$14:$G$43=$B18)*COUNTIF('INPUT - Roster'!$LV$6:$LV$206,"*"&amp;Settings!$F$14:$F$43&amp;"*"))</f>
        <v/>
      </c>
      <c r="LG18" s="170">
        <f>SUMPRODUCT((Settings!$G$14:$G$43=$B18)*COUNTIF('INPUT - Roster'!$LW$6:$LW$206,"*"&amp;Settings!$F$14:$F$43&amp;"*"))</f>
        <v/>
      </c>
      <c r="LH18" s="170">
        <f>SUMPRODUCT((Settings!$G$14:$G$43=$B18)*COUNTIF('INPUT - Roster'!$LX$6:$LX$206,"*"&amp;Settings!$F$14:$F$43&amp;"*"))</f>
        <v/>
      </c>
      <c r="LI18" s="170">
        <f>SUMPRODUCT((Settings!$G$14:$G$43=$B18)*COUNTIF('INPUT - Roster'!$LY$6:$LY$206,"*"&amp;Settings!$F$14:$F$43&amp;"*"))</f>
        <v/>
      </c>
      <c r="LJ18" s="170">
        <f>SUMPRODUCT((Settings!$G$14:$G$43=$B18)*COUNTIF('INPUT - Roster'!$LZ$6:$LZ$206,"*"&amp;Settings!$F$14:$F$43&amp;"*"))</f>
        <v/>
      </c>
      <c r="LK18" s="170">
        <f>SUMPRODUCT((Settings!$G$14:$G$43=$B18)*COUNTIF('INPUT - Roster'!$MA$6:$MA$206,"*"&amp;Settings!$F$14:$F$43&amp;"*"))</f>
        <v/>
      </c>
      <c r="LL18" s="170">
        <f>SUMPRODUCT((Settings!$G$14:$G$43=$B18)*COUNTIF('INPUT - Roster'!$MB$6:$MB$206,"*"&amp;Settings!$F$14:$F$43&amp;"*"))</f>
        <v/>
      </c>
      <c r="LM18" s="170">
        <f>SUMPRODUCT((Settings!$G$14:$G$43=$B18)*COUNTIF('INPUT - Roster'!$MC$6:$MC$206,"*"&amp;Settings!$F$14:$F$43&amp;"*"))</f>
        <v/>
      </c>
      <c r="LN18" s="170">
        <f>SUMPRODUCT((Settings!$G$14:$G$43=$B18)*COUNTIF('INPUT - Roster'!$MD$6:$MD$206,"*"&amp;Settings!$F$14:$F$43&amp;"*"))</f>
        <v/>
      </c>
      <c r="LO18" s="170">
        <f>SUMPRODUCT((Settings!$G$14:$G$43=$B18)*COUNTIF('INPUT - Roster'!$ME$6:$ME$206,"*"&amp;Settings!$F$14:$F$43&amp;"*"))</f>
        <v/>
      </c>
      <c r="LP18" s="170">
        <f>SUMPRODUCT((Settings!$G$14:$G$43=$B18)*COUNTIF('INPUT - Roster'!$MF$6:$MF$206,"*"&amp;Settings!$F$14:$F$43&amp;"*"))</f>
        <v/>
      </c>
      <c r="LQ18" s="170">
        <f>SUMPRODUCT((Settings!$G$14:$G$43=$B18)*COUNTIF('INPUT - Roster'!$MG$6:$MG$206,"*"&amp;Settings!$F$14:$F$43&amp;"*"))</f>
        <v/>
      </c>
      <c r="LR18" s="170">
        <f>SUMPRODUCT((Settings!$G$14:$G$43=$B18)*COUNTIF('INPUT - Roster'!$MH$6:$MH$206,"*"&amp;Settings!$F$14:$F$43&amp;"*"))</f>
        <v/>
      </c>
      <c r="LS18" s="170">
        <f>SUMPRODUCT((Settings!$G$14:$G$43=$B18)*COUNTIF('INPUT - Roster'!$MI$6:$MI$206,"*"&amp;Settings!$F$14:$F$43&amp;"*"))</f>
        <v/>
      </c>
      <c r="LT18" s="170">
        <f>SUMPRODUCT((Settings!$G$14:$G$43=$B18)*COUNTIF('INPUT - Roster'!$MJ$6:$MJ$206,"*"&amp;Settings!$F$14:$F$43&amp;"*"))</f>
        <v/>
      </c>
      <c r="LU18" s="170">
        <f>SUMPRODUCT((Settings!$G$14:$G$43=$B18)*COUNTIF('INPUT - Roster'!$MK$6:$MK$206,"*"&amp;Settings!$F$14:$F$43&amp;"*"))</f>
        <v/>
      </c>
      <c r="LV18" s="170">
        <f>SUMPRODUCT((Settings!$G$14:$G$43=$B18)*COUNTIF('INPUT - Roster'!$ML$6:$ML$206,"*"&amp;Settings!$F$14:$F$43&amp;"*"))</f>
        <v/>
      </c>
      <c r="LW18" s="170">
        <f>SUMPRODUCT((Settings!$G$14:$G$43=$B18)*COUNTIF('INPUT - Roster'!$MM$6:$MM$206,"*"&amp;Settings!$F$14:$F$43&amp;"*"))</f>
        <v/>
      </c>
      <c r="LX18" s="170">
        <f>SUMPRODUCT((Settings!$G$14:$G$43=$B18)*COUNTIF('INPUT - Roster'!$MN$6:$MN$206,"*"&amp;Settings!$F$14:$F$43&amp;"*"))</f>
        <v/>
      </c>
      <c r="LY18" s="170">
        <f>SUMPRODUCT((Settings!$G$14:$G$43=$B18)*COUNTIF('INPUT - Roster'!$MO$6:$MO$206,"*"&amp;Settings!$F$14:$F$43&amp;"*"))</f>
        <v/>
      </c>
      <c r="LZ18" s="170">
        <f>SUMPRODUCT((Settings!$G$14:$G$43=$B18)*COUNTIF('INPUT - Roster'!$MP$6:$MP$206,"*"&amp;Settings!$F$14:$F$43&amp;"*"))</f>
        <v/>
      </c>
      <c r="MA18" s="170">
        <f>SUMPRODUCT((Settings!$G$14:$G$43=$B18)*COUNTIF('INPUT - Roster'!$MQ$6:$MQ$206,"*"&amp;Settings!$F$14:$F$43&amp;"*"))</f>
        <v/>
      </c>
      <c r="MB18" s="170">
        <f>SUMPRODUCT((Settings!$G$14:$G$43=$B18)*COUNTIF('INPUT - Roster'!$MR$6:$MR$206,"*"&amp;Settings!$F$14:$F$43&amp;"*"))</f>
        <v/>
      </c>
      <c r="MC18" s="170">
        <f>SUMPRODUCT((Settings!$G$14:$G$43=$B18)*COUNTIF('INPUT - Roster'!$MS$6:$MS$206,"*"&amp;Settings!$F$14:$F$43&amp;"*"))</f>
        <v/>
      </c>
      <c r="MD18" s="170">
        <f>SUMPRODUCT((Settings!$G$14:$G$43=$B18)*COUNTIF('INPUT - Roster'!$MT$6:$MT$206,"*"&amp;Settings!$F$14:$F$43&amp;"*"))</f>
        <v/>
      </c>
      <c r="ME18" s="170">
        <f>SUMPRODUCT((Settings!$G$14:$G$43=$B18)*COUNTIF('INPUT - Roster'!$MU$6:$MU$206,"*"&amp;Settings!$F$14:$F$43&amp;"*"))</f>
        <v/>
      </c>
      <c r="MF18" s="170">
        <f>SUMPRODUCT((Settings!$G$14:$G$43=$B18)*COUNTIF('INPUT - Roster'!$MV$6:$MV$206,"*"&amp;Settings!$F$14:$F$43&amp;"*"))</f>
        <v/>
      </c>
      <c r="MG18" s="170">
        <f>SUMPRODUCT((Settings!$G$14:$G$43=$B18)*COUNTIF('INPUT - Roster'!$MW$6:$MW$206,"*"&amp;Settings!$F$14:$F$43&amp;"*"))</f>
        <v/>
      </c>
      <c r="MH18" s="170">
        <f>SUMPRODUCT((Settings!$G$14:$G$43=$B18)*COUNTIF('INPUT - Roster'!$MX$6:$MX$206,"*"&amp;Settings!$F$14:$F$43&amp;"*"))</f>
        <v/>
      </c>
      <c r="MI18" s="170">
        <f>SUMPRODUCT((Settings!$G$14:$G$43=$B18)*COUNTIF('INPUT - Roster'!$MY$6:$MY$206,"*"&amp;Settings!$F$14:$F$43&amp;"*"))</f>
        <v/>
      </c>
      <c r="MJ18" s="170">
        <f>SUMPRODUCT((Settings!$G$14:$G$43=$B18)*COUNTIF('INPUT - Roster'!$MZ$6:$MZ$206,"*"&amp;Settings!$F$14:$F$43&amp;"*"))</f>
        <v/>
      </c>
      <c r="MK18" s="170">
        <f>SUMPRODUCT((Settings!$G$14:$G$43=$B18)*COUNTIF('INPUT - Roster'!$NA$6:$NA$206,"*"&amp;Settings!$F$14:$F$43&amp;"*"))</f>
        <v/>
      </c>
      <c r="ML18" s="170">
        <f>SUMPRODUCT((Settings!$G$14:$G$43=$B18)*COUNTIF('INPUT - Roster'!$NB$6:$NB$206,"*"&amp;Settings!$F$14:$F$43&amp;"*"))</f>
        <v/>
      </c>
      <c r="MM18" s="170">
        <f>SUMPRODUCT((Settings!$G$14:$G$43=$B18)*COUNTIF('INPUT - Roster'!$NC$6:$NC$206,"*"&amp;Settings!$F$14:$F$43&amp;"*"))</f>
        <v/>
      </c>
      <c r="MN18" s="170">
        <f>SUMPRODUCT((Settings!$G$14:$G$43=$B18)*COUNTIF('INPUT - Roster'!$ND$6:$ND$206,"*"&amp;Settings!$F$14:$F$43&amp;"*"))</f>
        <v/>
      </c>
      <c r="MO18" s="170">
        <f>SUMPRODUCT((Settings!$G$14:$G$43=$B18)*COUNTIF('INPUT - Roster'!$NE$6:$NE$206,"*"&amp;Settings!$F$14:$F$43&amp;"*"))</f>
        <v/>
      </c>
      <c r="MP18" s="170">
        <f>SUMPRODUCT((Settings!$G$14:$G$43=$B18)*COUNTIF('INPUT - Roster'!$NF$6:$NF$206,"*"&amp;Settings!$F$14:$F$43&amp;"*"))</f>
        <v/>
      </c>
      <c r="MQ18" s="170">
        <f>SUMPRODUCT((Settings!$G$14:$G$43=$B18)*COUNTIF('INPUT - Roster'!$NG$6:$NG$206,"*"&amp;Settings!$F$14:$F$43&amp;"*"))</f>
        <v/>
      </c>
      <c r="MR18" s="170">
        <f>SUMPRODUCT((Settings!$G$14:$G$43=$B18)*COUNTIF('INPUT - Roster'!$NH$6:$NH$206,"*"&amp;Settings!$F$14:$F$43&amp;"*"))</f>
        <v/>
      </c>
      <c r="MS18" s="170">
        <f>SUMPRODUCT((Settings!$G$14:$G$43=$B18)*COUNTIF('INPUT - Roster'!$NI$6:$NI$206,"*"&amp;Settings!$F$14:$F$43&amp;"*"))</f>
        <v/>
      </c>
      <c r="MT18" s="170">
        <f>SUMPRODUCT((Settings!$G$14:$G$43=$B18)*COUNTIF('INPUT - Roster'!$NJ$6:$NJ$206,"*"&amp;Settings!$F$14:$F$43&amp;"*"))</f>
        <v/>
      </c>
      <c r="MU18" s="170">
        <f>SUMPRODUCT((Settings!$G$14:$G$43=$B18)*COUNTIF('INPUT - Roster'!$NK$6:$NK$206,"*"&amp;Settings!$F$14:$F$43&amp;"*"))</f>
        <v/>
      </c>
      <c r="MV18" s="170">
        <f>SUMPRODUCT((Settings!$G$14:$G$43=$B18)*COUNTIF('INPUT - Roster'!$NL$6:$NL$206,"*"&amp;Settings!$F$14:$F$43&amp;"*"))</f>
        <v/>
      </c>
      <c r="MW18" s="170">
        <f>SUMPRODUCT((Settings!$G$14:$G$43=$B18)*COUNTIF('INPUT - Roster'!$NM$6:$NM$206,"*"&amp;Settings!$F$14:$F$43&amp;"*"))</f>
        <v/>
      </c>
      <c r="MX18" s="170">
        <f>SUMPRODUCT((Settings!$G$14:$G$43=$B18)*COUNTIF('INPUT - Roster'!$NN$6:$NN$206,"*"&amp;Settings!$F$14:$F$43&amp;"*"))</f>
        <v/>
      </c>
      <c r="MY18" s="170">
        <f>SUMPRODUCT((Settings!$G$14:$G$43=$B18)*COUNTIF('INPUT - Roster'!$NO$6:$NO$206,"*"&amp;Settings!$F$14:$F$43&amp;"*"))</f>
        <v/>
      </c>
      <c r="MZ18" s="170">
        <f>SUMPRODUCT((Settings!$G$14:$G$43=$B18)*COUNTIF('INPUT - Roster'!$NP$6:$NP$206,"*"&amp;Settings!$F$14:$F$43&amp;"*"))</f>
        <v/>
      </c>
      <c r="NA18" s="170">
        <f>SUMPRODUCT((Settings!$G$14:$G$43=$B18)*COUNTIF('INPUT - Roster'!$NQ$6:$NQ$206,"*"&amp;Settings!$F$14:$F$43&amp;"*"))</f>
        <v/>
      </c>
      <c r="NB18" s="170">
        <f>SUMPRODUCT((Settings!$G$14:$G$43=$B18)*COUNTIF('INPUT - Roster'!$NR$6:$NR$206,"*"&amp;Settings!$F$14:$F$43&amp;"*"))</f>
        <v/>
      </c>
      <c r="NC18" s="170">
        <f>SUMPRODUCT((Settings!$G$14:$G$43=$B18)*COUNTIF('INPUT - Roster'!$NS$6:$NS$206,"*"&amp;Settings!$F$14:$F$43&amp;"*"))</f>
        <v/>
      </c>
      <c r="ND18" s="170">
        <f>SUMPRODUCT((Settings!$G$14:$G$43=$B18)*COUNTIF('INPUT - Roster'!$NT$6:$NT$206,"*"&amp;Settings!$F$14:$F$43&amp;"*"))</f>
        <v/>
      </c>
      <c r="NE18" s="170">
        <f>SUMPRODUCT((Settings!$G$14:$G$43=$B18)*COUNTIF('INPUT - Roster'!$NU$6:$NU$206,"*"&amp;Settings!$F$14:$F$43&amp;"*"))</f>
        <v/>
      </c>
      <c r="NF18" s="170">
        <f>SUMPRODUCT((Settings!$G$14:$G$43=$B18)*COUNTIF('INPUT - Roster'!$NV$6:$NV$206,"*"&amp;Settings!$F$14:$F$43&amp;"*"))</f>
        <v/>
      </c>
      <c r="NG18" s="170">
        <f>SUMPRODUCT((Settings!$G$14:$G$43=$B18)*COUNTIF('INPUT - Roster'!$NW$6:$NW$206,"*"&amp;Settings!$F$14:$F$43&amp;"*"))</f>
        <v/>
      </c>
      <c r="NH18" s="170">
        <f>SUMPRODUCT((Settings!$G$14:$G$43=$B18)*COUNTIF('INPUT - Roster'!$NX$6:$NX$206,"*"&amp;Settings!$F$14:$F$43&amp;"*"))</f>
        <v/>
      </c>
      <c r="NI18" s="170">
        <f>SUMPRODUCT((Settings!$G$14:$G$43=$B18)*COUNTIF('INPUT - Roster'!$NY$6:$NY$206,"*"&amp;Settings!$F$14:$F$43&amp;"*"))</f>
        <v/>
      </c>
      <c r="NJ18" s="170">
        <f>SUMPRODUCT((Settings!$G$14:$G$43=$B18)*COUNTIF('INPUT - Roster'!$NZ$6:$NZ$206,"*"&amp;Settings!$F$14:$F$43&amp;"*"))</f>
        <v/>
      </c>
      <c r="NK18" s="170">
        <f>SUMPRODUCT((Settings!$G$14:$G$43=$B18)*COUNTIF('INPUT - Roster'!$OA$6:$OA$206,"*"&amp;Settings!$F$14:$F$43&amp;"*"))</f>
        <v/>
      </c>
      <c r="NL18" s="170">
        <f>SUMPRODUCT((Settings!$G$14:$G$43=$B18)*COUNTIF('INPUT - Roster'!$OB$6:$OB$206,"*"&amp;Settings!$F$14:$F$43&amp;"*"))</f>
        <v/>
      </c>
      <c r="NM18" s="170">
        <f>SUMPRODUCT((Settings!$G$14:$G$43=$B18)*COUNTIF('INPUT - Roster'!$OC$6:$OC$206,"*"&amp;Settings!$F$14:$F$43&amp;"*"))</f>
        <v/>
      </c>
      <c r="NN18" s="170">
        <f>SUMPRODUCT((Settings!$G$14:$G$43=$B18)*COUNTIF('INPUT - Roster'!$OD$6:$OD$206,"*"&amp;Settings!$F$14:$F$43&amp;"*"))</f>
        <v/>
      </c>
      <c r="NO18" s="170">
        <f>SUMPRODUCT((Settings!$G$14:$G$43=$B18)*COUNTIF('INPUT - Roster'!$OE$6:$OE$206,"*"&amp;Settings!$F$14:$F$43&amp;"*"))</f>
        <v/>
      </c>
      <c r="NP18" s="170">
        <f>SUMPRODUCT((Settings!$G$14:$G$43=$B18)*COUNTIF('INPUT - Roster'!$OF$6:$OF$206,"*"&amp;Settings!$F$14:$F$43&amp;"*"))</f>
        <v/>
      </c>
      <c r="NQ18" s="170">
        <f>SUMPRODUCT((Settings!$G$14:$G$43=$B18)*COUNTIF('INPUT - Roster'!$OG$6:$OG$206,"*"&amp;Settings!$F$14:$F$43&amp;"*"))</f>
        <v/>
      </c>
      <c r="NR18" s="170">
        <f>SUMPRODUCT((Settings!$G$14:$G$43=$B18)*COUNTIF('INPUT - Roster'!$OH$6:$OH$206,"*"&amp;Settings!$F$14:$F$43&amp;"*"))</f>
        <v/>
      </c>
      <c r="NS18" s="170">
        <f>SUMPRODUCT((Settings!$G$14:$G$43=$B18)*COUNTIF('INPUT - Roster'!$OI$6:$OI$206,"*"&amp;Settings!$F$14:$F$43&amp;"*"))</f>
        <v/>
      </c>
      <c r="NT18" s="170">
        <f>SUMPRODUCT((Settings!$G$14:$G$43=$B18)*COUNTIF('INPUT - Roster'!$OJ$6:$OJ$206,"*"&amp;Settings!$F$14:$F$43&amp;"*"))</f>
        <v/>
      </c>
      <c r="NU18" s="170">
        <f>SUMPRODUCT((Settings!$G$14:$G$43=$B18)*COUNTIF('INPUT - Roster'!$OK$6:$OK$206,"*"&amp;Settings!$F$14:$F$43&amp;"*"))</f>
        <v/>
      </c>
      <c r="NV18" s="170">
        <f>SUMPRODUCT((Settings!$G$14:$G$43=$B18)*COUNTIF('INPUT - Roster'!$OL$6:$OL$206,"*"&amp;Settings!$F$14:$F$43&amp;"*"))</f>
        <v/>
      </c>
      <c r="NW18" s="170">
        <f>SUMPRODUCT((Settings!$G$14:$G$43=$B18)*COUNTIF('INPUT - Roster'!$OM$6:$OM$206,"*"&amp;Settings!$F$14:$F$43&amp;"*"))</f>
        <v/>
      </c>
      <c r="NX18" s="170">
        <f>SUMPRODUCT((Settings!$G$14:$G$43=$B18)*COUNTIF('INPUT - Roster'!$ON$6:$ON$206,"*"&amp;Settings!$F$14:$F$43&amp;"*"))</f>
        <v/>
      </c>
      <c r="NY18" s="170">
        <f>SUMPRODUCT((Settings!$G$14:$G$43=$B18)*COUNTIF('INPUT - Roster'!$OO$6:$OO$206,"*"&amp;Settings!$F$14:$F$43&amp;"*"))</f>
        <v/>
      </c>
      <c r="NZ18" s="170">
        <f>SUMPRODUCT((Settings!$G$14:$G$43=$B18)*COUNTIF('INPUT - Roster'!$OP$6:$OP$206,"*"&amp;Settings!$F$14:$F$43&amp;"*"))</f>
        <v/>
      </c>
      <c r="OA18" s="170">
        <f>SUMPRODUCT((Settings!$G$14:$G$43=$B18)*COUNTIF('INPUT - Roster'!$OQ$6:$OQ$206,"*"&amp;Settings!$F$14:$F$43&amp;"*"))</f>
        <v/>
      </c>
      <c r="OB18" s="170">
        <f>SUMPRODUCT((Settings!$G$14:$G$43=$B18)*COUNTIF('INPUT - Roster'!$OR$6:$OR$206,"*"&amp;Settings!$F$14:$F$43&amp;"*"))</f>
        <v/>
      </c>
      <c r="OC18" s="170">
        <f>SUMPRODUCT((Settings!$G$14:$G$43=$B18)*COUNTIF('INPUT - Roster'!$OS$6:$OS$206,"*"&amp;Settings!$F$14:$F$43&amp;"*"))</f>
        <v/>
      </c>
      <c r="OD18" s="170">
        <f>SUMPRODUCT((Settings!$G$14:$G$43=$B18)*COUNTIF('INPUT - Roster'!$OT$6:$OT$206,"*"&amp;Settings!$F$14:$F$43&amp;"*"))</f>
        <v/>
      </c>
      <c r="OE18" s="170">
        <f>SUMPRODUCT((Settings!$G$14:$G$43=$B18)*COUNTIF('INPUT - Roster'!$OU$6:$OU$206,"*"&amp;Settings!$F$14:$F$43&amp;"*"))</f>
        <v/>
      </c>
      <c r="OF18" s="170">
        <f>SUMPRODUCT((Settings!$G$14:$G$43=$B18)*COUNTIF('INPUT - Roster'!$OV$6:$OV$206,"*"&amp;Settings!$F$14:$F$43&amp;"*"))</f>
        <v/>
      </c>
      <c r="OG18" s="170">
        <f>SUMPRODUCT((Settings!$G$14:$G$43=$B18)*COUNTIF('INPUT - Roster'!$OW$6:$OW$206,"*"&amp;Settings!$F$14:$F$43&amp;"*"))</f>
        <v/>
      </c>
      <c r="OH18" s="170">
        <f>SUMPRODUCT((Settings!$G$14:$G$43=$B18)*COUNTIF('INPUT - Roster'!$OX$6:$OX$206,"*"&amp;Settings!$F$14:$F$43&amp;"*"))</f>
        <v/>
      </c>
      <c r="OI18" s="170">
        <f>SUMPRODUCT((Settings!$G$14:$G$43=$B18)*COUNTIF('INPUT - Roster'!$OY$6:$OY$206,"*"&amp;Settings!$F$14:$F$43&amp;"*"))</f>
        <v/>
      </c>
      <c r="OJ18" s="170">
        <f>SUMPRODUCT((Settings!$G$14:$G$43=$B18)*COUNTIF('INPUT - Roster'!$OZ$6:$OZ$206,"*"&amp;Settings!$F$14:$F$43&amp;"*"))</f>
        <v/>
      </c>
      <c r="OK18" s="170">
        <f>SUMPRODUCT((Settings!$G$14:$G$43=$B18)*COUNTIF('INPUT - Roster'!$PA$6:$PA$206,"*"&amp;Settings!$F$14:$F$43&amp;"*"))</f>
        <v/>
      </c>
      <c r="OL18" s="170">
        <f>SUMPRODUCT((Settings!$G$14:$G$43=$B18)*COUNTIF('INPUT - Roster'!$PB$6:$PB$206,"*"&amp;Settings!$F$14:$F$43&amp;"*"))</f>
        <v/>
      </c>
      <c r="OM18" s="170">
        <f>SUMPRODUCT((Settings!$G$14:$G$43=$B18)*COUNTIF('INPUT - Roster'!$PC$6:$PC$206,"*"&amp;Settings!$F$14:$F$43&amp;"*"))</f>
        <v/>
      </c>
      <c r="ON18" s="170">
        <f>SUMPRODUCT((Settings!$G$14:$G$43=$B18)*COUNTIF('INPUT - Roster'!$PD$6:$PD$206,"*"&amp;Settings!$F$14:$F$43&amp;"*"))</f>
        <v/>
      </c>
      <c r="OO18" s="170">
        <f>SUMPRODUCT((Settings!$G$14:$G$43=$B18)*COUNTIF('INPUT - Roster'!$PE$6:$PE$206,"*"&amp;Settings!$F$14:$F$43&amp;"*"))</f>
        <v/>
      </c>
      <c r="OP18" s="170">
        <f>SUMPRODUCT((Settings!$G$14:$G$43=$B18)*COUNTIF('INPUT - Roster'!$PF$6:$PF$206,"*"&amp;Settings!$F$14:$F$43&amp;"*"))</f>
        <v/>
      </c>
      <c r="OQ18" s="170">
        <f>SUMPRODUCT((Settings!$G$14:$G$43=$B18)*COUNTIF('INPUT - Roster'!$PG$6:$PG$206,"*"&amp;Settings!$F$14:$F$43&amp;"*"))</f>
        <v/>
      </c>
      <c r="OR18" s="170">
        <f>SUMPRODUCT((Settings!$G$14:$G$43=$B18)*COUNTIF('INPUT - Roster'!$PH$6:$PH$206,"*"&amp;Settings!$F$14:$F$43&amp;"*"))</f>
        <v/>
      </c>
      <c r="OS18" s="170">
        <f>SUMPRODUCT((Settings!$G$14:$G$43=$B18)*COUNTIF('INPUT - Roster'!$PI$6:$PI$206,"*"&amp;Settings!$F$14:$F$43&amp;"*"))</f>
        <v/>
      </c>
      <c r="OT18" s="170">
        <f>SUMPRODUCT((Settings!$G$14:$G$43=$B18)*COUNTIF('INPUT - Roster'!$PJ$6:$PJ$206,"*"&amp;Settings!$F$14:$F$43&amp;"*"))</f>
        <v/>
      </c>
      <c r="OU18" s="170">
        <f>SUMPRODUCT((Settings!$G$14:$G$43=$B18)*COUNTIF('INPUT - Roster'!$PK$6:$PK$206,"*"&amp;Settings!$F$14:$F$43&amp;"*"))</f>
        <v/>
      </c>
      <c r="OV18" s="170">
        <f>SUMPRODUCT((Settings!$G$14:$G$43=$B18)*COUNTIF('INPUT - Roster'!$PL$6:$PL$206,"*"&amp;Settings!$F$14:$F$43&amp;"*"))</f>
        <v/>
      </c>
      <c r="OW18" s="170">
        <f>SUMPRODUCT((Settings!$G$14:$G$43=$B18)*COUNTIF('INPUT - Roster'!$PM$6:$PM$206,"*"&amp;Settings!$F$14:$F$43&amp;"*"))</f>
        <v/>
      </c>
      <c r="OX18" s="170">
        <f>SUMPRODUCT((Settings!$G$14:$G$43=$B18)*COUNTIF('INPUT - Roster'!$PN$6:$PN$206,"*"&amp;Settings!$F$14:$F$43&amp;"*"))</f>
        <v/>
      </c>
      <c r="OY18" s="170">
        <f>SUMPRODUCT((Settings!$G$14:$G$43=$B18)*COUNTIF('INPUT - Roster'!$PO$6:$PO$206,"*"&amp;Settings!$F$14:$F$43&amp;"*"))</f>
        <v/>
      </c>
      <c r="OZ18" s="170">
        <f>SUMPRODUCT((Settings!$G$14:$G$43=$B18)*COUNTIF('INPUT - Roster'!$PP$6:$PP$206,"*"&amp;Settings!$F$14:$F$43&amp;"*"))</f>
        <v/>
      </c>
      <c r="PA18" s="170">
        <f>SUMPRODUCT((Settings!$G$14:$G$43=$B18)*COUNTIF('INPUT - Roster'!$PQ$6:$PQ$206,"*"&amp;Settings!$F$14:$F$43&amp;"*"))</f>
        <v/>
      </c>
      <c r="PB18" s="170">
        <f>SUMPRODUCT((Settings!$G$14:$G$43=$B18)*COUNTIF('INPUT - Roster'!$PR$6:$PR$206,"*"&amp;Settings!$F$14:$F$43&amp;"*"))</f>
        <v/>
      </c>
      <c r="PC18" s="170">
        <f>SUMPRODUCT((Settings!$G$14:$G$43=$B18)*COUNTIF('INPUT - Roster'!$PS$6:$PS$206,"*"&amp;Settings!$F$14:$F$43&amp;"*"))</f>
        <v/>
      </c>
      <c r="PD18" s="170">
        <f>SUMPRODUCT((Settings!$G$14:$G$43=$B18)*COUNTIF('INPUT - Roster'!$PT$6:$PT$206,"*"&amp;Settings!$F$14:$F$43&amp;"*"))</f>
        <v/>
      </c>
      <c r="PE18" s="170">
        <f>SUMPRODUCT((Settings!$G$14:$G$43=$B18)*COUNTIF('INPUT - Roster'!$PU$6:$PU$206,"*"&amp;Settings!$F$14:$F$43&amp;"*"))</f>
        <v/>
      </c>
      <c r="PF18" s="170">
        <f>SUMPRODUCT((Settings!$G$14:$G$43=$B18)*COUNTIF('INPUT - Roster'!$PV$6:$PV$206,"*"&amp;Settings!$F$14:$F$43&amp;"*"))</f>
        <v/>
      </c>
      <c r="PG18" s="170">
        <f>SUMPRODUCT((Settings!$G$14:$G$43=$B18)*COUNTIF('INPUT - Roster'!$PW$6:$PW$206,"*"&amp;Settings!$F$14:$F$43&amp;"*"))</f>
        <v/>
      </c>
      <c r="PH18" s="170">
        <f>SUMPRODUCT((Settings!$G$14:$G$43=$B18)*COUNTIF('INPUT - Roster'!$PX$6:$PX$206,"*"&amp;Settings!$F$14:$F$43&amp;"*"))</f>
        <v/>
      </c>
      <c r="PI18" s="170">
        <f>SUMPRODUCT((Settings!$G$14:$G$43=$B18)*COUNTIF('INPUT - Roster'!$PY$6:$PY$206,"*"&amp;Settings!$F$14:$F$43&amp;"*"))</f>
        <v/>
      </c>
      <c r="PJ18" s="170">
        <f>SUMPRODUCT((Settings!$G$14:$G$43=$B18)*COUNTIF('INPUT - Roster'!$PZ$6:$PZ$206,"*"&amp;Settings!$F$14:$F$43&amp;"*"))</f>
        <v/>
      </c>
      <c r="PK18" s="170">
        <f>SUMPRODUCT((Settings!$G$14:$G$43=$B18)*COUNTIF('INPUT - Roster'!$QA$6:$QA$206,"*"&amp;Settings!$F$14:$F$43&amp;"*"))</f>
        <v/>
      </c>
      <c r="PL18" s="170">
        <f>SUMPRODUCT((Settings!$G$14:$G$43=$B18)*COUNTIF('INPUT - Roster'!$QB$6:$QB$206,"*"&amp;Settings!$F$14:$F$43&amp;"*"))</f>
        <v/>
      </c>
      <c r="PM18" s="170">
        <f>SUMPRODUCT((Settings!$G$14:$G$43=$B18)*COUNTIF('INPUT - Roster'!$QC$6:$QC$206,"*"&amp;Settings!$F$14:$F$43&amp;"*"))</f>
        <v/>
      </c>
      <c r="PN18" s="170">
        <f>SUMPRODUCT((Settings!$G$14:$G$43=$B18)*COUNTIF('INPUT - Roster'!$QD$6:$QD$206,"*"&amp;Settings!$F$14:$F$43&amp;"*"))</f>
        <v/>
      </c>
      <c r="PO18" s="170">
        <f>SUMPRODUCT((Settings!$G$14:$G$43=$B18)*COUNTIF('INPUT - Roster'!$QE$6:$QE$206,"*"&amp;Settings!$F$14:$F$43&amp;"*"))</f>
        <v/>
      </c>
      <c r="PP18" s="170">
        <f>SUMPRODUCT((Settings!$G$14:$G$43=$B18)*COUNTIF('INPUT - Roster'!$QF$6:$QF$206,"*"&amp;Settings!$F$14:$F$43&amp;"*"))</f>
        <v/>
      </c>
      <c r="PQ18" s="170">
        <f>SUMPRODUCT((Settings!$G$14:$G$43=$B18)*COUNTIF('INPUT - Roster'!$QG$6:$QG$206,"*"&amp;Settings!$F$14:$F$43&amp;"*"))</f>
        <v/>
      </c>
      <c r="PR18" s="170">
        <f>SUMPRODUCT((Settings!$G$14:$G$43=$B18)*COUNTIF('INPUT - Roster'!$QH$6:$QH$206,"*"&amp;Settings!$F$14:$F$43&amp;"*"))</f>
        <v/>
      </c>
      <c r="PS18" s="170">
        <f>SUMPRODUCT((Settings!$G$14:$G$43=$B18)*COUNTIF('INPUT - Roster'!$QI$6:$QI$206,"*"&amp;Settings!$F$14:$F$43&amp;"*"))</f>
        <v/>
      </c>
      <c r="PT18" s="170">
        <f>SUMPRODUCT((Settings!$G$14:$G$43=$B18)*COUNTIF('INPUT - Roster'!$QJ$6:$QJ$206,"*"&amp;Settings!$F$14:$F$43&amp;"*"))</f>
        <v/>
      </c>
      <c r="PU18" s="170">
        <f>SUMPRODUCT((Settings!$G$14:$G$43=$B18)*COUNTIF('INPUT - Roster'!$QK$6:$QK$206,"*"&amp;Settings!$F$14:$F$43&amp;"*"))</f>
        <v/>
      </c>
      <c r="PV18" s="170">
        <f>SUMPRODUCT((Settings!$G$14:$G$43=$B18)*COUNTIF('INPUT - Roster'!$QL$6:$QL$206,"*"&amp;Settings!$F$14:$F$43&amp;"*"))</f>
        <v/>
      </c>
      <c r="PW18" s="170">
        <f>SUMPRODUCT((Settings!$G$14:$G$43=$B18)*COUNTIF('INPUT - Roster'!$QM$6:$QM$206,"*"&amp;Settings!$F$14:$F$43&amp;"*"))</f>
        <v/>
      </c>
      <c r="PX18" s="170">
        <f>SUMPRODUCT((Settings!$G$14:$G$43=$B18)*COUNTIF('INPUT - Roster'!$QN$6:$QN$206,"*"&amp;Settings!$F$14:$F$43&amp;"*"))</f>
        <v/>
      </c>
      <c r="PY18" s="170">
        <f>SUMPRODUCT((Settings!$G$14:$G$43=$B18)*COUNTIF('INPUT - Roster'!$QO$6:$QO$206,"*"&amp;Settings!$F$14:$F$43&amp;"*"))</f>
        <v/>
      </c>
      <c r="PZ18" s="170">
        <f>SUMPRODUCT((Settings!$G$14:$G$43=$B18)*COUNTIF('INPUT - Roster'!$QP$6:$QP$206,"*"&amp;Settings!$F$14:$F$43&amp;"*"))</f>
        <v/>
      </c>
      <c r="QA18" s="170">
        <f>SUMPRODUCT((Settings!$G$14:$G$43=$B18)*COUNTIF('INPUT - Roster'!$QQ$6:$QQ$206,"*"&amp;Settings!$F$14:$F$43&amp;"*"))</f>
        <v/>
      </c>
      <c r="QB18" s="170">
        <f>SUMPRODUCT((Settings!$G$14:$G$43=$B18)*COUNTIF('INPUT - Roster'!$QR$6:$QR$206,"*"&amp;Settings!$F$14:$F$43&amp;"*"))</f>
        <v/>
      </c>
      <c r="QC18" s="170">
        <f>SUMPRODUCT((Settings!$G$14:$G$43=$B18)*COUNTIF('INPUT - Roster'!$QS$6:$QS$206,"*"&amp;Settings!$F$14:$F$43&amp;"*"))</f>
        <v/>
      </c>
      <c r="QD18" s="170">
        <f>SUMPRODUCT((Settings!$G$14:$G$43=$B18)*COUNTIF('INPUT - Roster'!$QT$6:$QT$206,"*"&amp;Settings!$F$14:$F$43&amp;"*"))</f>
        <v/>
      </c>
      <c r="QE18" s="170">
        <f>SUMPRODUCT((Settings!$G$14:$G$43=$B18)*COUNTIF('INPUT - Roster'!$QU$6:$QU$206,"*"&amp;Settings!$F$14:$F$43&amp;"*"))</f>
        <v/>
      </c>
      <c r="QF18" s="170">
        <f>SUMPRODUCT((Settings!$G$14:$G$43=$B18)*COUNTIF('INPUT - Roster'!$QV$6:$QV$206,"*"&amp;Settings!$F$14:$F$43&amp;"*"))</f>
        <v/>
      </c>
      <c r="QG18" s="170">
        <f>SUMPRODUCT((Settings!$G$14:$G$43=$B18)*COUNTIF('INPUT - Roster'!$QW$6:$QW$206,"*"&amp;Settings!$F$14:$F$43&amp;"*"))</f>
        <v/>
      </c>
      <c r="QH18" s="170">
        <f>SUMPRODUCT((Settings!$G$14:$G$43=$B18)*COUNTIF('INPUT - Roster'!$QX$6:$QX$206,"*"&amp;Settings!$F$14:$F$43&amp;"*"))</f>
        <v/>
      </c>
      <c r="QI18" s="170">
        <f>SUMPRODUCT((Settings!$G$14:$G$43=$B18)*COUNTIF('INPUT - Roster'!$QY$6:$QY$206,"*"&amp;Settings!$F$14:$F$43&amp;"*"))</f>
        <v/>
      </c>
      <c r="QJ18" s="170">
        <f>SUMPRODUCT((Settings!$G$14:$G$43=$B18)*COUNTIF('INPUT - Roster'!$QZ$6:$QZ$206,"*"&amp;Settings!$F$14:$F$43&amp;"*"))</f>
        <v/>
      </c>
      <c r="QK18" s="170">
        <f>SUMPRODUCT((Settings!$G$14:$G$43=$B18)*COUNTIF('INPUT - Roster'!$RA$6:$RA$206,"*"&amp;Settings!$F$14:$F$43&amp;"*"))</f>
        <v/>
      </c>
      <c r="QL18" s="170">
        <f>SUMPRODUCT((Settings!$G$14:$G$43=$B18)*COUNTIF('INPUT - Roster'!$RB$6:$RB$206,"*"&amp;Settings!$F$14:$F$43&amp;"*"))</f>
        <v/>
      </c>
      <c r="QM18" s="170">
        <f>SUMPRODUCT((Settings!$G$14:$G$43=$B18)*COUNTIF('INPUT - Roster'!$RC$6:$RC$206,"*"&amp;Settings!$F$14:$F$43&amp;"*"))</f>
        <v/>
      </c>
      <c r="QN18" s="170">
        <f>SUMPRODUCT((Settings!$G$14:$G$43=$B18)*COUNTIF('INPUT - Roster'!$RD$6:$RD$206,"*"&amp;Settings!$F$14:$F$43&amp;"*"))</f>
        <v/>
      </c>
      <c r="QO18" s="170">
        <f>SUMPRODUCT((Settings!$G$14:$G$43=$B18)*COUNTIF('INPUT - Roster'!$RE$6:$RE$206,"*"&amp;Settings!$F$14:$F$43&amp;"*"))</f>
        <v/>
      </c>
      <c r="QP18" s="170">
        <f>SUMPRODUCT((Settings!$G$14:$G$43=$B18)*COUNTIF('INPUT - Roster'!$RF$6:$RF$206,"*"&amp;Settings!$F$14:$F$43&amp;"*"))</f>
        <v/>
      </c>
      <c r="QQ18" s="170">
        <f>SUMPRODUCT((Settings!$G$14:$G$43=$B18)*COUNTIF('INPUT - Roster'!$RG$6:$RG$206,"*"&amp;Settings!$F$14:$F$43&amp;"*"))</f>
        <v/>
      </c>
      <c r="QR18" s="170">
        <f>SUMPRODUCT((Settings!$G$14:$G$43=$B18)*COUNTIF('INPUT - Roster'!$RH$6:$RH$206,"*"&amp;Settings!$F$14:$F$43&amp;"*"))</f>
        <v/>
      </c>
      <c r="QS18" s="170">
        <f>SUMPRODUCT((Settings!$G$14:$G$43=$B18)*COUNTIF('INPUT - Roster'!$RI$6:$RI$206,"*"&amp;Settings!$F$14:$F$43&amp;"*"))</f>
        <v/>
      </c>
      <c r="QT18" s="170">
        <f>SUMPRODUCT((Settings!$G$14:$G$43=$B18)*COUNTIF('INPUT - Roster'!$RJ$6:$RJ$206,"*"&amp;Settings!$F$14:$F$43&amp;"*"))</f>
        <v/>
      </c>
      <c r="QU18" s="170">
        <f>SUMPRODUCT((Settings!$G$14:$G$43=$B18)*COUNTIF('INPUT - Roster'!$RK$6:$RK$206,"*"&amp;Settings!$F$14:$F$43&amp;"*"))</f>
        <v/>
      </c>
      <c r="QV18" s="170">
        <f>SUMPRODUCT((Settings!$G$14:$G$43=$B18)*COUNTIF('INPUT - Roster'!$RL$6:$RL$206,"*"&amp;Settings!$F$14:$F$43&amp;"*"))</f>
        <v/>
      </c>
      <c r="QW18" s="170">
        <f>SUMPRODUCT((Settings!$G$14:$G$43=$B18)*COUNTIF('INPUT - Roster'!$RM$6:$RM$206,"*"&amp;Settings!$F$14:$F$43&amp;"*"))</f>
        <v/>
      </c>
      <c r="QX18" s="170">
        <f>SUMPRODUCT((Settings!$G$14:$G$43=$B18)*COUNTIF('INPUT - Roster'!$RN$6:$RN$206,"*"&amp;Settings!$F$14:$F$43&amp;"*"))</f>
        <v/>
      </c>
      <c r="QY18" s="170">
        <f>SUMPRODUCT((Settings!$G$14:$G$43=$B18)*COUNTIF('INPUT - Roster'!$RO$6:$RO$206,"*"&amp;Settings!$F$14:$F$43&amp;"*"))</f>
        <v/>
      </c>
      <c r="QZ18" s="170">
        <f>SUMPRODUCT((Settings!$G$14:$G$43=$B18)*COUNTIF('INPUT - Roster'!$RP$6:$RP$206,"*"&amp;Settings!$F$14:$F$43&amp;"*"))</f>
        <v/>
      </c>
      <c r="RA18" s="170">
        <f>SUMPRODUCT((Settings!$G$14:$G$43=$B18)*COUNTIF('INPUT - Roster'!$RQ$6:$RQ$206,"*"&amp;Settings!$F$14:$F$43&amp;"*"))</f>
        <v/>
      </c>
      <c r="RB18" s="170">
        <f>SUMPRODUCT((Settings!$G$14:$G$43=$B18)*COUNTIF('INPUT - Roster'!$RR$6:$RR$206,"*"&amp;Settings!$F$14:$F$43&amp;"*"))</f>
        <v/>
      </c>
      <c r="RC18" s="170">
        <f>SUMPRODUCT((Settings!$G$14:$G$43=$B18)*COUNTIF('INPUT - Roster'!$RS$6:$RS$206,"*"&amp;Settings!$F$14:$F$43&amp;"*"))</f>
        <v/>
      </c>
      <c r="RD18" s="170">
        <f>SUMPRODUCT((Settings!$G$14:$G$43=$B18)*COUNTIF('INPUT - Roster'!$RT$6:$RT$206,"*"&amp;Settings!$F$14:$F$43&amp;"*"))</f>
        <v/>
      </c>
      <c r="RE18" s="170">
        <f>SUMPRODUCT((Settings!$G$14:$G$43=$B18)*COUNTIF('INPUT - Roster'!$RU$6:$RU$206,"*"&amp;Settings!$F$14:$F$43&amp;"*"))</f>
        <v/>
      </c>
      <c r="RF18" s="170">
        <f>SUMPRODUCT((Settings!$G$14:$G$43=$B18)*COUNTIF('INPUT - Roster'!$RV$6:$RV$206,"*"&amp;Settings!$F$14:$F$43&amp;"*"))</f>
        <v/>
      </c>
      <c r="RG18" s="170">
        <f>SUMPRODUCT((Settings!$G$14:$G$43=$B18)*COUNTIF('INPUT - Roster'!$RW$6:$RW$206,"*"&amp;Settings!$F$14:$F$43&amp;"*"))</f>
        <v/>
      </c>
      <c r="RH18" s="170">
        <f>SUMPRODUCT((Settings!$G$14:$G$43=$B18)*COUNTIF('INPUT - Roster'!$RX$6:$RX$206,"*"&amp;Settings!$F$14:$F$43&amp;"*"))</f>
        <v/>
      </c>
      <c r="RI18" s="170">
        <f>SUMPRODUCT((Settings!$G$14:$G$43=$B18)*COUNTIF('INPUT - Roster'!$RY$6:$RY$206,"*"&amp;Settings!$F$14:$F$43&amp;"*"))</f>
        <v/>
      </c>
      <c r="RJ18" s="170">
        <f>SUMPRODUCT((Settings!$G$14:$G$43=$B18)*COUNTIF('INPUT - Roster'!$RZ$6:$RZ$206,"*"&amp;Settings!$F$14:$F$43&amp;"*"))</f>
        <v/>
      </c>
      <c r="RK18" s="170">
        <f>SUMPRODUCT((Settings!$G$14:$G$43=$B18)*COUNTIF('INPUT - Roster'!$SA$6:$SA$206,"*"&amp;Settings!$F$14:$F$43&amp;"*"))</f>
        <v/>
      </c>
      <c r="RL18" s="170">
        <f>SUMPRODUCT((Settings!$G$14:$G$43=$B18)*COUNTIF('INPUT - Roster'!$SB$6:$SB$206,"*"&amp;Settings!$F$14:$F$43&amp;"*"))</f>
        <v/>
      </c>
      <c r="RM18" s="170">
        <f>SUMPRODUCT((Settings!$G$14:$G$43=$B18)*COUNTIF('INPUT - Roster'!$SC$6:$SC$206,"*"&amp;Settings!$F$14:$F$43&amp;"*"))</f>
        <v/>
      </c>
      <c r="RN18" s="170">
        <f>SUMPRODUCT((Settings!$G$14:$G$43=$B18)*COUNTIF('INPUT - Roster'!$SD$6:$SD$206,"*"&amp;Settings!$F$14:$F$43&amp;"*"))</f>
        <v/>
      </c>
      <c r="RO18" s="170">
        <f>SUMPRODUCT((Settings!$G$14:$G$43=$B18)*COUNTIF('INPUT - Roster'!$SE$6:$SE$206,"*"&amp;Settings!$F$14:$F$43&amp;"*"))</f>
        <v/>
      </c>
      <c r="RP18" s="170">
        <f>SUMPRODUCT((Settings!$G$14:$G$43=$B18)*COUNTIF('INPUT - Roster'!$SF$6:$SF$206,"*"&amp;Settings!$F$14:$F$43&amp;"*"))</f>
        <v/>
      </c>
      <c r="RQ18" s="170">
        <f>SUMPRODUCT((Settings!$G$14:$G$43=$B18)*COUNTIF('INPUT - Roster'!$SG$6:$SG$206,"*"&amp;Settings!$F$14:$F$43&amp;"*"))</f>
        <v/>
      </c>
      <c r="RR18" s="170">
        <f>SUMPRODUCT((Settings!$G$14:$G$43=$B18)*COUNTIF('INPUT - Roster'!$SH$6:$SH$206,"*"&amp;Settings!$F$14:$F$43&amp;"*"))</f>
        <v/>
      </c>
      <c r="RS18" s="170">
        <f>SUMPRODUCT((Settings!$G$14:$G$43=$B18)*COUNTIF('INPUT - Roster'!$SI$6:$SI$206,"*"&amp;Settings!$F$14:$F$43&amp;"*"))</f>
        <v/>
      </c>
      <c r="RT18" s="170">
        <f>SUMPRODUCT((Settings!$G$14:$G$43=$B18)*COUNTIF('INPUT - Roster'!$SJ$6:$SJ$206,"*"&amp;Settings!$F$14:$F$43&amp;"*"))</f>
        <v/>
      </c>
      <c r="RU18" s="170">
        <f>SUMPRODUCT((Settings!$G$14:$G$43=$B18)*COUNTIF('INPUT - Roster'!$SK$6:$SK$206,"*"&amp;Settings!$F$14:$F$43&amp;"*"))</f>
        <v/>
      </c>
      <c r="RV18" s="170">
        <f>SUMPRODUCT((Settings!$G$14:$G$43=$B18)*COUNTIF('INPUT - Roster'!$SL$6:$SL$206,"*"&amp;Settings!$F$14:$F$43&amp;"*"))</f>
        <v/>
      </c>
      <c r="RW18" s="170">
        <f>SUMPRODUCT((Settings!$G$14:$G$43=$B18)*COUNTIF('INPUT - Roster'!$SM$6:$SM$206,"*"&amp;Settings!$F$14:$F$43&amp;"*"))</f>
        <v/>
      </c>
      <c r="RX18" s="170">
        <f>SUMPRODUCT((Settings!$G$14:$G$43=$B18)*COUNTIF('INPUT - Roster'!$SN$6:$SN$206,"*"&amp;Settings!$F$14:$F$43&amp;"*"))</f>
        <v/>
      </c>
      <c r="RY18" s="170">
        <f>SUMPRODUCT((Settings!$G$14:$G$43=$B18)*COUNTIF('INPUT - Roster'!$SO$6:$SO$206,"*"&amp;Settings!$F$14:$F$43&amp;"*"))</f>
        <v/>
      </c>
      <c r="RZ18" s="170">
        <f>SUMPRODUCT((Settings!$G$14:$G$43=$B18)*COUNTIF('INPUT - Roster'!$SP$6:$SP$206,"*"&amp;Settings!$F$14:$F$43&amp;"*"))</f>
        <v/>
      </c>
      <c r="SA18" s="170">
        <f>SUMPRODUCT((Settings!$G$14:$G$43=$B18)*COUNTIF('INPUT - Roster'!$SQ$6:$SQ$206,"*"&amp;Settings!$F$14:$F$43&amp;"*"))</f>
        <v/>
      </c>
      <c r="SB18" s="170">
        <f>SUMPRODUCT((Settings!$G$14:$G$43=$B18)*COUNTIF('INPUT - Roster'!$SR$6:$SR$206,"*"&amp;Settings!$F$14:$F$43&amp;"*"))</f>
        <v/>
      </c>
      <c r="SC18" s="170">
        <f>SUMPRODUCT((Settings!$G$14:$G$43=$B18)*COUNTIF('INPUT - Roster'!$SS$6:$SS$206,"*"&amp;Settings!$F$14:$F$43&amp;"*"))</f>
        <v/>
      </c>
      <c r="SD18" s="170">
        <f>SUMPRODUCT((Settings!$G$14:$G$43=$B18)*COUNTIF('INPUT - Roster'!$ST$6:$ST$206,"*"&amp;Settings!$F$14:$F$43&amp;"*"))</f>
        <v/>
      </c>
      <c r="SE18" s="170">
        <f>SUMPRODUCT((Settings!$G$14:$G$43=$B18)*COUNTIF('INPUT - Roster'!$SU$6:$SU$206,"*"&amp;Settings!$F$14:$F$43&amp;"*"))</f>
        <v/>
      </c>
      <c r="SF18" s="170">
        <f>SUMPRODUCT((Settings!$G$14:$G$43=$B18)*COUNTIF('INPUT - Roster'!$SV$6:$SV$206,"*"&amp;Settings!$F$14:$F$43&amp;"*"))</f>
        <v/>
      </c>
    </row>
    <row r="19">
      <c r="B19" s="171" t="inlineStr">
        <is>
          <t>TOTAL BEDS</t>
        </is>
      </c>
      <c r="C19" s="172">
        <f>SUM(C6:C18)</f>
        <v/>
      </c>
      <c r="D19" s="172">
        <f>SUM(D6:D18)</f>
        <v/>
      </c>
      <c r="E19" s="172">
        <f>SUM(E6:E18)</f>
        <v/>
      </c>
      <c r="F19" s="172">
        <f>SUM(F6:F18)</f>
        <v/>
      </c>
      <c r="G19" s="172">
        <f>SUM(G6:G18)</f>
        <v/>
      </c>
      <c r="H19" s="172">
        <f>SUM(H6:H18)</f>
        <v/>
      </c>
      <c r="I19" s="172">
        <f>SUM(I6:I18)</f>
        <v/>
      </c>
      <c r="J19" s="172">
        <f>SUM(J6:J18)</f>
        <v/>
      </c>
      <c r="K19" s="172">
        <f>SUM(K6:K18)</f>
        <v/>
      </c>
      <c r="L19" s="172">
        <f>SUM(L6:L18)</f>
        <v/>
      </c>
      <c r="M19" s="172">
        <f>SUM(M6:M18)</f>
        <v/>
      </c>
      <c r="N19" s="172">
        <f>SUM(N6:N18)</f>
        <v/>
      </c>
      <c r="O19" s="172">
        <f>SUM(O6:O18)</f>
        <v/>
      </c>
      <c r="P19" s="172">
        <f>SUM(P6:P18)</f>
        <v/>
      </c>
      <c r="Q19" s="172">
        <f>SUM(Q6:Q18)</f>
        <v/>
      </c>
      <c r="R19" s="172">
        <f>SUM(R6:R18)</f>
        <v/>
      </c>
      <c r="S19" s="172">
        <f>SUM(S6:S18)</f>
        <v/>
      </c>
      <c r="T19" s="172">
        <f>SUM(T6:T18)</f>
        <v/>
      </c>
      <c r="U19" s="172">
        <f>SUM(U6:U18)</f>
        <v/>
      </c>
      <c r="V19" s="172">
        <f>SUM(V6:V18)</f>
        <v/>
      </c>
      <c r="W19" s="172">
        <f>SUM(W6:W18)</f>
        <v/>
      </c>
      <c r="X19" s="172">
        <f>SUM(X6:X18)</f>
        <v/>
      </c>
      <c r="Y19" s="172">
        <f>SUM(Y6:Y18)</f>
        <v/>
      </c>
      <c r="Z19" s="172">
        <f>SUM(Z6:Z18)</f>
        <v/>
      </c>
      <c r="AA19" s="172">
        <f>SUM(AA6:AA18)</f>
        <v/>
      </c>
      <c r="AB19" s="172">
        <f>SUM(AB6:AB18)</f>
        <v/>
      </c>
      <c r="AC19" s="172">
        <f>SUM(AC6:AC18)</f>
        <v/>
      </c>
      <c r="AD19" s="172">
        <f>SUM(AD6:AD18)</f>
        <v/>
      </c>
      <c r="AE19" s="172">
        <f>SUM(AE6:AE18)</f>
        <v/>
      </c>
      <c r="AF19" s="172">
        <f>SUM(AF6:AF18)</f>
        <v/>
      </c>
      <c r="AG19" s="172">
        <f>SUM(AG6:AG18)</f>
        <v/>
      </c>
      <c r="AH19" s="172">
        <f>SUM(AH6:AH18)</f>
        <v/>
      </c>
      <c r="AI19" s="172">
        <f>SUM(AI6:AI18)</f>
        <v/>
      </c>
      <c r="AJ19" s="172">
        <f>SUM(AJ6:AJ18)</f>
        <v/>
      </c>
      <c r="AK19" s="172">
        <f>SUM(AK6:AK18)</f>
        <v/>
      </c>
      <c r="AL19" s="172">
        <f>SUM(AL6:AL18)</f>
        <v/>
      </c>
      <c r="AM19" s="172">
        <f>SUM(AM6:AM18)</f>
        <v/>
      </c>
      <c r="AN19" s="172">
        <f>SUM(AN6:AN18)</f>
        <v/>
      </c>
      <c r="AO19" s="172">
        <f>SUM(AO6:AO18)</f>
        <v/>
      </c>
      <c r="AP19" s="172">
        <f>SUM(AP6:AP18)</f>
        <v/>
      </c>
      <c r="AQ19" s="172">
        <f>SUM(AQ6:AQ18)</f>
        <v/>
      </c>
      <c r="AR19" s="172">
        <f>SUM(AR6:AR18)</f>
        <v/>
      </c>
      <c r="AS19" s="172">
        <f>SUM(AS6:AS18)</f>
        <v/>
      </c>
      <c r="AT19" s="172">
        <f>SUM(AT6:AT18)</f>
        <v/>
      </c>
      <c r="AU19" s="172">
        <f>SUM(AU6:AU18)</f>
        <v/>
      </c>
      <c r="AV19" s="172">
        <f>SUM(AV6:AV18)</f>
        <v/>
      </c>
      <c r="AW19" s="172">
        <f>SUM(AW6:AW18)</f>
        <v/>
      </c>
      <c r="AX19" s="172">
        <f>SUM(AX6:AX18)</f>
        <v/>
      </c>
      <c r="AY19" s="172">
        <f>SUM(AY6:AY18)</f>
        <v/>
      </c>
      <c r="AZ19" s="172">
        <f>SUM(AZ6:AZ18)</f>
        <v/>
      </c>
      <c r="BA19" s="172">
        <f>SUM(BA6:BA18)</f>
        <v/>
      </c>
      <c r="BB19" s="172">
        <f>SUM(BB6:BB18)</f>
        <v/>
      </c>
      <c r="BC19" s="172">
        <f>SUM(BC6:BC18)</f>
        <v/>
      </c>
      <c r="BD19" s="172">
        <f>SUM(BD6:BD18)</f>
        <v/>
      </c>
      <c r="BE19" s="172">
        <f>SUM(BE6:BE18)</f>
        <v/>
      </c>
      <c r="BF19" s="172">
        <f>SUM(BF6:BF18)</f>
        <v/>
      </c>
      <c r="BG19" s="172">
        <f>SUM(BG6:BG18)</f>
        <v/>
      </c>
      <c r="BH19" s="172">
        <f>SUM(BH6:BH18)</f>
        <v/>
      </c>
      <c r="BI19" s="172">
        <f>SUM(BI6:BI18)</f>
        <v/>
      </c>
      <c r="BJ19" s="172">
        <f>SUM(BJ6:BJ18)</f>
        <v/>
      </c>
      <c r="BK19" s="172">
        <f>SUM(BK6:BK18)</f>
        <v/>
      </c>
      <c r="BL19" s="172">
        <f>SUM(BL6:BL18)</f>
        <v/>
      </c>
      <c r="BM19" s="172">
        <f>SUM(BM6:BM18)</f>
        <v/>
      </c>
      <c r="BN19" s="172">
        <f>SUM(BN6:BN18)</f>
        <v/>
      </c>
      <c r="BO19" s="172">
        <f>SUM(BO6:BO18)</f>
        <v/>
      </c>
      <c r="BP19" s="172">
        <f>SUM(BP6:BP18)</f>
        <v/>
      </c>
      <c r="BQ19" s="172">
        <f>SUM(BQ6:BQ18)</f>
        <v/>
      </c>
      <c r="BR19" s="172">
        <f>SUM(BR6:BR18)</f>
        <v/>
      </c>
      <c r="BS19" s="172">
        <f>SUM(BS6:BS18)</f>
        <v/>
      </c>
      <c r="BT19" s="172">
        <f>SUM(BT6:BT18)</f>
        <v/>
      </c>
      <c r="BU19" s="172">
        <f>SUM(BU6:BU18)</f>
        <v/>
      </c>
      <c r="BV19" s="172">
        <f>SUM(BV6:BV18)</f>
        <v/>
      </c>
      <c r="BW19" s="172">
        <f>SUM(BW6:BW18)</f>
        <v/>
      </c>
      <c r="BX19" s="172">
        <f>SUM(BX6:BX18)</f>
        <v/>
      </c>
      <c r="BY19" s="172">
        <f>SUM(BY6:BY18)</f>
        <v/>
      </c>
      <c r="BZ19" s="172">
        <f>SUM(BZ6:BZ18)</f>
        <v/>
      </c>
      <c r="CA19" s="172">
        <f>SUM(CA6:CA18)</f>
        <v/>
      </c>
      <c r="CB19" s="172">
        <f>SUM(CB6:CB18)</f>
        <v/>
      </c>
      <c r="CC19" s="172">
        <f>SUM(CC6:CC18)</f>
        <v/>
      </c>
      <c r="CD19" s="172">
        <f>SUM(CD6:CD18)</f>
        <v/>
      </c>
      <c r="CE19" s="172">
        <f>SUM(CE6:CE18)</f>
        <v/>
      </c>
      <c r="CF19" s="172">
        <f>SUM(CF6:CF18)</f>
        <v/>
      </c>
      <c r="CG19" s="172">
        <f>SUM(CG6:CG18)</f>
        <v/>
      </c>
      <c r="CH19" s="172">
        <f>SUM(CH6:CH18)</f>
        <v/>
      </c>
      <c r="CI19" s="172">
        <f>SUM(CI6:CI18)</f>
        <v/>
      </c>
      <c r="CJ19" s="172">
        <f>SUM(CJ6:CJ18)</f>
        <v/>
      </c>
      <c r="CK19" s="172">
        <f>SUM(CK6:CK18)</f>
        <v/>
      </c>
      <c r="CL19" s="172">
        <f>SUM(CL6:CL18)</f>
        <v/>
      </c>
      <c r="CM19" s="172">
        <f>SUM(CM6:CM18)</f>
        <v/>
      </c>
      <c r="CN19" s="172">
        <f>SUM(CN6:CN18)</f>
        <v/>
      </c>
      <c r="CO19" s="172">
        <f>SUM(CO6:CO18)</f>
        <v/>
      </c>
      <c r="CP19" s="172">
        <f>SUM(CP6:CP18)</f>
        <v/>
      </c>
      <c r="CQ19" s="172">
        <f>SUM(CQ6:CQ18)</f>
        <v/>
      </c>
      <c r="CR19" s="172">
        <f>SUM(CR6:CR18)</f>
        <v/>
      </c>
      <c r="CS19" s="172">
        <f>SUM(CS6:CS18)</f>
        <v/>
      </c>
      <c r="CT19" s="172">
        <f>SUM(CT6:CT18)</f>
        <v/>
      </c>
      <c r="CU19" s="172">
        <f>SUM(CU6:CU18)</f>
        <v/>
      </c>
      <c r="CV19" s="172">
        <f>SUM(CV6:CV18)</f>
        <v/>
      </c>
      <c r="CW19" s="172">
        <f>SUM(CW6:CW18)</f>
        <v/>
      </c>
      <c r="CX19" s="172">
        <f>SUM(CX6:CX18)</f>
        <v/>
      </c>
      <c r="CY19" s="172">
        <f>SUM(CY6:CY18)</f>
        <v/>
      </c>
      <c r="CZ19" s="172">
        <f>SUM(CZ6:CZ18)</f>
        <v/>
      </c>
      <c r="DA19" s="172">
        <f>SUM(DA6:DA18)</f>
        <v/>
      </c>
      <c r="DB19" s="172">
        <f>SUM(DB6:DB18)</f>
        <v/>
      </c>
      <c r="DC19" s="172">
        <f>SUM(DC6:DC18)</f>
        <v/>
      </c>
      <c r="DD19" s="172">
        <f>SUM(DD6:DD18)</f>
        <v/>
      </c>
      <c r="DE19" s="172">
        <f>SUM(DE6:DE18)</f>
        <v/>
      </c>
      <c r="DF19" s="172">
        <f>SUM(DF6:DF18)</f>
        <v/>
      </c>
      <c r="DG19" s="172">
        <f>SUM(DG6:DG18)</f>
        <v/>
      </c>
      <c r="DH19" s="172">
        <f>SUM(DH6:DH18)</f>
        <v/>
      </c>
      <c r="DI19" s="172">
        <f>SUM(DI6:DI18)</f>
        <v/>
      </c>
      <c r="DJ19" s="172">
        <f>SUM(DJ6:DJ18)</f>
        <v/>
      </c>
      <c r="DK19" s="172">
        <f>SUM(DK6:DK18)</f>
        <v/>
      </c>
      <c r="DL19" s="172">
        <f>SUM(DL6:DL18)</f>
        <v/>
      </c>
      <c r="DM19" s="172">
        <f>SUM(DM6:DM18)</f>
        <v/>
      </c>
      <c r="DN19" s="172">
        <f>SUM(DN6:DN18)</f>
        <v/>
      </c>
      <c r="DO19" s="172">
        <f>SUM(DO6:DO18)</f>
        <v/>
      </c>
      <c r="DP19" s="172">
        <f>SUM(DP6:DP18)</f>
        <v/>
      </c>
      <c r="DQ19" s="172">
        <f>SUM(DQ6:DQ18)</f>
        <v/>
      </c>
      <c r="DR19" s="172">
        <f>SUM(DR6:DR18)</f>
        <v/>
      </c>
      <c r="DS19" s="172">
        <f>SUM(DS6:DS18)</f>
        <v/>
      </c>
      <c r="DT19" s="172">
        <f>SUM(DT6:DT18)</f>
        <v/>
      </c>
      <c r="DU19" s="172">
        <f>SUM(DU6:DU18)</f>
        <v/>
      </c>
      <c r="DV19" s="172">
        <f>SUM(DV6:DV18)</f>
        <v/>
      </c>
      <c r="DW19" s="172">
        <f>SUM(DW6:DW18)</f>
        <v/>
      </c>
      <c r="DX19" s="172">
        <f>SUM(DX6:DX18)</f>
        <v/>
      </c>
      <c r="DY19" s="172">
        <f>SUM(DY6:DY18)</f>
        <v/>
      </c>
      <c r="DZ19" s="172">
        <f>SUM(DZ6:DZ18)</f>
        <v/>
      </c>
      <c r="EA19" s="172">
        <f>SUM(EA6:EA18)</f>
        <v/>
      </c>
      <c r="EB19" s="172">
        <f>SUM(EB6:EB18)</f>
        <v/>
      </c>
      <c r="EC19" s="172">
        <f>SUM(EC6:EC18)</f>
        <v/>
      </c>
      <c r="ED19" s="172">
        <f>SUM(ED6:ED18)</f>
        <v/>
      </c>
      <c r="EE19" s="172">
        <f>SUM(EE6:EE18)</f>
        <v/>
      </c>
      <c r="EF19" s="172">
        <f>SUM(EF6:EF18)</f>
        <v/>
      </c>
      <c r="EG19" s="172">
        <f>SUM(EG6:EG18)</f>
        <v/>
      </c>
      <c r="EH19" s="172">
        <f>SUM(EH6:EH18)</f>
        <v/>
      </c>
      <c r="EI19" s="172">
        <f>SUM(EI6:EI18)</f>
        <v/>
      </c>
      <c r="EJ19" s="172">
        <f>SUM(EJ6:EJ18)</f>
        <v/>
      </c>
      <c r="EK19" s="172">
        <f>SUM(EK6:EK18)</f>
        <v/>
      </c>
      <c r="EL19" s="172">
        <f>SUM(EL6:EL18)</f>
        <v/>
      </c>
      <c r="EM19" s="172">
        <f>SUM(EM6:EM18)</f>
        <v/>
      </c>
      <c r="EN19" s="172">
        <f>SUM(EN6:EN18)</f>
        <v/>
      </c>
      <c r="EO19" s="172">
        <f>SUM(EO6:EO18)</f>
        <v/>
      </c>
      <c r="EP19" s="172">
        <f>SUM(EP6:EP18)</f>
        <v/>
      </c>
      <c r="EQ19" s="172">
        <f>SUM(EQ6:EQ18)</f>
        <v/>
      </c>
      <c r="ER19" s="172">
        <f>SUM(ER6:ER18)</f>
        <v/>
      </c>
      <c r="ES19" s="172">
        <f>SUM(ES6:ES18)</f>
        <v/>
      </c>
      <c r="ET19" s="172">
        <f>SUM(ET6:ET18)</f>
        <v/>
      </c>
      <c r="EU19" s="172">
        <f>SUM(EU6:EU18)</f>
        <v/>
      </c>
      <c r="EV19" s="172">
        <f>SUM(EV6:EV18)</f>
        <v/>
      </c>
      <c r="EW19" s="172">
        <f>SUM(EW6:EW18)</f>
        <v/>
      </c>
      <c r="EX19" s="172">
        <f>SUM(EX6:EX18)</f>
        <v/>
      </c>
      <c r="EY19" s="172">
        <f>SUM(EY6:EY18)</f>
        <v/>
      </c>
      <c r="EZ19" s="172">
        <f>SUM(EZ6:EZ18)</f>
        <v/>
      </c>
      <c r="FA19" s="172">
        <f>SUM(FA6:FA18)</f>
        <v/>
      </c>
      <c r="FB19" s="172">
        <f>SUM(FB6:FB18)</f>
        <v/>
      </c>
      <c r="FC19" s="172">
        <f>SUM(FC6:FC18)</f>
        <v/>
      </c>
      <c r="FD19" s="172">
        <f>SUM(FD6:FD18)</f>
        <v/>
      </c>
      <c r="FE19" s="172">
        <f>SUM(FE6:FE18)</f>
        <v/>
      </c>
      <c r="FF19" s="172">
        <f>SUM(FF6:FF18)</f>
        <v/>
      </c>
      <c r="FG19" s="172">
        <f>SUM(FG6:FG18)</f>
        <v/>
      </c>
      <c r="FH19" s="172">
        <f>SUM(FH6:FH18)</f>
        <v/>
      </c>
      <c r="FI19" s="172">
        <f>SUM(FI6:FI18)</f>
        <v/>
      </c>
      <c r="FJ19" s="172">
        <f>SUM(FJ6:FJ18)</f>
        <v/>
      </c>
      <c r="FK19" s="172">
        <f>SUM(FK6:FK18)</f>
        <v/>
      </c>
      <c r="FL19" s="172">
        <f>SUM(FL6:FL18)</f>
        <v/>
      </c>
      <c r="FM19" s="172">
        <f>SUM(FM6:FM18)</f>
        <v/>
      </c>
      <c r="FN19" s="172">
        <f>SUM(FN6:FN18)</f>
        <v/>
      </c>
      <c r="FO19" s="172">
        <f>SUM(FO6:FO18)</f>
        <v/>
      </c>
      <c r="FP19" s="172">
        <f>SUM(FP6:FP18)</f>
        <v/>
      </c>
      <c r="FQ19" s="172">
        <f>SUM(FQ6:FQ18)</f>
        <v/>
      </c>
      <c r="FR19" s="172">
        <f>SUM(FR6:FR18)</f>
        <v/>
      </c>
      <c r="FS19" s="172">
        <f>SUM(FS6:FS18)</f>
        <v/>
      </c>
      <c r="FT19" s="172">
        <f>SUM(FT6:FT18)</f>
        <v/>
      </c>
      <c r="FU19" s="172">
        <f>SUM(FU6:FU18)</f>
        <v/>
      </c>
      <c r="FV19" s="172">
        <f>SUM(FV6:FV18)</f>
        <v/>
      </c>
      <c r="FW19" s="172">
        <f>SUM(FW6:FW18)</f>
        <v/>
      </c>
      <c r="FX19" s="172">
        <f>SUM(FX6:FX18)</f>
        <v/>
      </c>
      <c r="FY19" s="172">
        <f>SUM(FY6:FY18)</f>
        <v/>
      </c>
      <c r="FZ19" s="172">
        <f>SUM(FZ6:FZ18)</f>
        <v/>
      </c>
      <c r="GA19" s="172">
        <f>SUM(GA6:GA18)</f>
        <v/>
      </c>
      <c r="GB19" s="172">
        <f>SUM(GB6:GB18)</f>
        <v/>
      </c>
      <c r="GC19" s="172">
        <f>SUM(GC6:GC18)</f>
        <v/>
      </c>
      <c r="GD19" s="172">
        <f>SUM(GD6:GD18)</f>
        <v/>
      </c>
      <c r="GE19" s="172">
        <f>SUM(GE6:GE18)</f>
        <v/>
      </c>
      <c r="GF19" s="172">
        <f>SUM(GF6:GF18)</f>
        <v/>
      </c>
      <c r="GG19" s="172">
        <f>SUM(GG6:GG18)</f>
        <v/>
      </c>
      <c r="GH19" s="172">
        <f>SUM(GH6:GH18)</f>
        <v/>
      </c>
      <c r="GI19" s="172">
        <f>SUM(GI6:GI18)</f>
        <v/>
      </c>
      <c r="GJ19" s="172">
        <f>SUM(GJ6:GJ18)</f>
        <v/>
      </c>
      <c r="GK19" s="172">
        <f>SUM(GK6:GK18)</f>
        <v/>
      </c>
      <c r="GL19" s="172">
        <f>SUM(GL6:GL18)</f>
        <v/>
      </c>
      <c r="GM19" s="172">
        <f>SUM(GM6:GM18)</f>
        <v/>
      </c>
      <c r="GN19" s="172">
        <f>SUM(GN6:GN18)</f>
        <v/>
      </c>
      <c r="GO19" s="172">
        <f>SUM(GO6:GO18)</f>
        <v/>
      </c>
      <c r="GP19" s="172">
        <f>SUM(GP6:GP18)</f>
        <v/>
      </c>
      <c r="GQ19" s="172">
        <f>SUM(GQ6:GQ18)</f>
        <v/>
      </c>
      <c r="GR19" s="172">
        <f>SUM(GR6:GR18)</f>
        <v/>
      </c>
      <c r="GS19" s="172">
        <f>SUM(GS6:GS18)</f>
        <v/>
      </c>
      <c r="GT19" s="172">
        <f>SUM(GT6:GT18)</f>
        <v/>
      </c>
      <c r="GU19" s="172">
        <f>SUM(GU6:GU18)</f>
        <v/>
      </c>
      <c r="GV19" s="172">
        <f>SUM(GV6:GV18)</f>
        <v/>
      </c>
      <c r="GW19" s="172">
        <f>SUM(GW6:GW18)</f>
        <v/>
      </c>
      <c r="GX19" s="172">
        <f>SUM(GX6:GX18)</f>
        <v/>
      </c>
      <c r="GY19" s="172">
        <f>SUM(GY6:GY18)</f>
        <v/>
      </c>
      <c r="GZ19" s="172">
        <f>SUM(GZ6:GZ18)</f>
        <v/>
      </c>
      <c r="HA19" s="172">
        <f>SUM(HA6:HA18)</f>
        <v/>
      </c>
      <c r="HB19" s="172">
        <f>SUM(HB6:HB18)</f>
        <v/>
      </c>
      <c r="HC19" s="172">
        <f>SUM(HC6:HC18)</f>
        <v/>
      </c>
      <c r="HD19" s="172">
        <f>SUM(HD6:HD18)</f>
        <v/>
      </c>
      <c r="HE19" s="172">
        <f>SUM(HE6:HE18)</f>
        <v/>
      </c>
      <c r="HF19" s="172">
        <f>SUM(HF6:HF18)</f>
        <v/>
      </c>
      <c r="HG19" s="172">
        <f>SUM(HG6:HG18)</f>
        <v/>
      </c>
      <c r="HH19" s="172">
        <f>SUM(HH6:HH18)</f>
        <v/>
      </c>
      <c r="HI19" s="172">
        <f>SUM(HI6:HI18)</f>
        <v/>
      </c>
      <c r="HJ19" s="172">
        <f>SUM(HJ6:HJ18)</f>
        <v/>
      </c>
      <c r="HK19" s="172">
        <f>SUM(HK6:HK18)</f>
        <v/>
      </c>
      <c r="HL19" s="172">
        <f>SUM(HL6:HL18)</f>
        <v/>
      </c>
      <c r="HM19" s="172">
        <f>SUM(HM6:HM18)</f>
        <v/>
      </c>
      <c r="HN19" s="172">
        <f>SUM(HN6:HN18)</f>
        <v/>
      </c>
      <c r="HO19" s="172">
        <f>SUM(HO6:HO18)</f>
        <v/>
      </c>
      <c r="HP19" s="172">
        <f>SUM(HP6:HP18)</f>
        <v/>
      </c>
      <c r="HQ19" s="172">
        <f>SUM(HQ6:HQ18)</f>
        <v/>
      </c>
      <c r="HR19" s="172">
        <f>SUM(HR6:HR18)</f>
        <v/>
      </c>
      <c r="HS19" s="172">
        <f>SUM(HS6:HS18)</f>
        <v/>
      </c>
      <c r="HT19" s="172">
        <f>SUM(HT6:HT18)</f>
        <v/>
      </c>
      <c r="HU19" s="172">
        <f>SUM(HU6:HU18)</f>
        <v/>
      </c>
      <c r="HV19" s="172">
        <f>SUM(HV6:HV18)</f>
        <v/>
      </c>
      <c r="HW19" s="172">
        <f>SUM(HW6:HW18)</f>
        <v/>
      </c>
      <c r="HX19" s="172">
        <f>SUM(HX6:HX18)</f>
        <v/>
      </c>
      <c r="HY19" s="172">
        <f>SUM(HY6:HY18)</f>
        <v/>
      </c>
      <c r="HZ19" s="172">
        <f>SUM(HZ6:HZ18)</f>
        <v/>
      </c>
      <c r="IA19" s="172">
        <f>SUM(IA6:IA18)</f>
        <v/>
      </c>
      <c r="IB19" s="172">
        <f>SUM(IB6:IB18)</f>
        <v/>
      </c>
      <c r="IC19" s="172">
        <f>SUM(IC6:IC18)</f>
        <v/>
      </c>
      <c r="ID19" s="172">
        <f>SUM(ID6:ID18)</f>
        <v/>
      </c>
      <c r="IE19" s="172">
        <f>SUM(IE6:IE18)</f>
        <v/>
      </c>
      <c r="IF19" s="172">
        <f>SUM(IF6:IF18)</f>
        <v/>
      </c>
      <c r="IG19" s="172">
        <f>SUM(IG6:IG18)</f>
        <v/>
      </c>
      <c r="IH19" s="172">
        <f>SUM(IH6:IH18)</f>
        <v/>
      </c>
      <c r="II19" s="172">
        <f>SUM(II6:II18)</f>
        <v/>
      </c>
      <c r="IJ19" s="172">
        <f>SUM(IJ6:IJ18)</f>
        <v/>
      </c>
      <c r="IK19" s="172">
        <f>SUM(IK6:IK18)</f>
        <v/>
      </c>
      <c r="IL19" s="172">
        <f>SUM(IL6:IL18)</f>
        <v/>
      </c>
      <c r="IM19" s="172">
        <f>SUM(IM6:IM18)</f>
        <v/>
      </c>
      <c r="IN19" s="172">
        <f>SUM(IN6:IN18)</f>
        <v/>
      </c>
      <c r="IO19" s="172">
        <f>SUM(IO6:IO18)</f>
        <v/>
      </c>
      <c r="IP19" s="172">
        <f>SUM(IP6:IP18)</f>
        <v/>
      </c>
      <c r="IQ19" s="172">
        <f>SUM(IQ6:IQ18)</f>
        <v/>
      </c>
      <c r="IR19" s="172">
        <f>SUM(IR6:IR18)</f>
        <v/>
      </c>
      <c r="IS19" s="172">
        <f>SUM(IS6:IS18)</f>
        <v/>
      </c>
      <c r="IT19" s="172">
        <f>SUM(IT6:IT18)</f>
        <v/>
      </c>
      <c r="IU19" s="172">
        <f>SUM(IU6:IU18)</f>
        <v/>
      </c>
      <c r="IV19" s="172">
        <f>SUM(IV6:IV18)</f>
        <v/>
      </c>
      <c r="IW19" s="172">
        <f>SUM(IW6:IW18)</f>
        <v/>
      </c>
      <c r="IX19" s="172">
        <f>SUM(IX6:IX18)</f>
        <v/>
      </c>
      <c r="IY19" s="172">
        <f>SUM(IY6:IY18)</f>
        <v/>
      </c>
      <c r="IZ19" s="172">
        <f>SUM(IZ6:IZ18)</f>
        <v/>
      </c>
      <c r="JA19" s="172">
        <f>SUM(JA6:JA18)</f>
        <v/>
      </c>
      <c r="JB19" s="172">
        <f>SUM(JB6:JB18)</f>
        <v/>
      </c>
      <c r="JC19" s="172">
        <f>SUM(JC6:JC18)</f>
        <v/>
      </c>
      <c r="JD19" s="172">
        <f>SUM(JD6:JD18)</f>
        <v/>
      </c>
      <c r="JE19" s="172">
        <f>SUM(JE6:JE18)</f>
        <v/>
      </c>
      <c r="JF19" s="172">
        <f>SUM(JF6:JF18)</f>
        <v/>
      </c>
      <c r="JG19" s="172">
        <f>SUM(JG6:JG18)</f>
        <v/>
      </c>
      <c r="JH19" s="172">
        <f>SUM(JH6:JH18)</f>
        <v/>
      </c>
      <c r="JI19" s="172">
        <f>SUM(JI6:JI18)</f>
        <v/>
      </c>
      <c r="JJ19" s="172">
        <f>SUM(JJ6:JJ18)</f>
        <v/>
      </c>
      <c r="JK19" s="172">
        <f>SUM(JK6:JK18)</f>
        <v/>
      </c>
      <c r="JL19" s="172">
        <f>SUM(JL6:JL18)</f>
        <v/>
      </c>
      <c r="JM19" s="172">
        <f>SUM(JM6:JM18)</f>
        <v/>
      </c>
      <c r="JN19" s="172">
        <f>SUM(JN6:JN18)</f>
        <v/>
      </c>
      <c r="JO19" s="172">
        <f>SUM(JO6:JO18)</f>
        <v/>
      </c>
      <c r="JP19" s="172">
        <f>SUM(JP6:JP18)</f>
        <v/>
      </c>
      <c r="JQ19" s="172">
        <f>SUM(JQ6:JQ18)</f>
        <v/>
      </c>
      <c r="JR19" s="172">
        <f>SUM(JR6:JR18)</f>
        <v/>
      </c>
      <c r="JS19" s="172">
        <f>SUM(JS6:JS18)</f>
        <v/>
      </c>
      <c r="JT19" s="172">
        <f>SUM(JT6:JT18)</f>
        <v/>
      </c>
      <c r="JU19" s="172">
        <f>SUM(JU6:JU18)</f>
        <v/>
      </c>
      <c r="JV19" s="172">
        <f>SUM(JV6:JV18)</f>
        <v/>
      </c>
      <c r="JW19" s="172">
        <f>SUM(JW6:JW18)</f>
        <v/>
      </c>
      <c r="JX19" s="172">
        <f>SUM(JX6:JX18)</f>
        <v/>
      </c>
      <c r="JY19" s="172">
        <f>SUM(JY6:JY18)</f>
        <v/>
      </c>
      <c r="JZ19" s="172">
        <f>SUM(JZ6:JZ18)</f>
        <v/>
      </c>
      <c r="KA19" s="172">
        <f>SUM(KA6:KA18)</f>
        <v/>
      </c>
      <c r="KB19" s="172">
        <f>SUM(KB6:KB18)</f>
        <v/>
      </c>
      <c r="KC19" s="172">
        <f>SUM(KC6:KC18)</f>
        <v/>
      </c>
      <c r="KD19" s="172">
        <f>SUM(KD6:KD18)</f>
        <v/>
      </c>
      <c r="KE19" s="172">
        <f>SUM(KE6:KE18)</f>
        <v/>
      </c>
      <c r="KF19" s="172">
        <f>SUM(KF6:KF18)</f>
        <v/>
      </c>
      <c r="KG19" s="172">
        <f>SUM(KG6:KG18)</f>
        <v/>
      </c>
      <c r="KH19" s="172">
        <f>SUM(KH6:KH18)</f>
        <v/>
      </c>
      <c r="KI19" s="172">
        <f>SUM(KI6:KI18)</f>
        <v/>
      </c>
      <c r="KJ19" s="172">
        <f>SUM(KJ6:KJ18)</f>
        <v/>
      </c>
      <c r="KK19" s="172">
        <f>SUM(KK6:KK18)</f>
        <v/>
      </c>
      <c r="KL19" s="172">
        <f>SUM(KL6:KL18)</f>
        <v/>
      </c>
      <c r="KM19" s="172">
        <f>SUM(KM6:KM18)</f>
        <v/>
      </c>
      <c r="KN19" s="172">
        <f>SUM(KN6:KN18)</f>
        <v/>
      </c>
      <c r="KO19" s="172">
        <f>SUM(KO6:KO18)</f>
        <v/>
      </c>
      <c r="KP19" s="172">
        <f>SUM(KP6:KP18)</f>
        <v/>
      </c>
      <c r="KQ19" s="172">
        <f>SUM(KQ6:KQ18)</f>
        <v/>
      </c>
      <c r="KR19" s="172">
        <f>SUM(KR6:KR18)</f>
        <v/>
      </c>
      <c r="KS19" s="172">
        <f>SUM(KS6:KS18)</f>
        <v/>
      </c>
      <c r="KT19" s="172">
        <f>SUM(KT6:KT18)</f>
        <v/>
      </c>
      <c r="KU19" s="172">
        <f>SUM(KU6:KU18)</f>
        <v/>
      </c>
      <c r="KV19" s="172">
        <f>SUM(KV6:KV18)</f>
        <v/>
      </c>
      <c r="KW19" s="172">
        <f>SUM(KW6:KW18)</f>
        <v/>
      </c>
      <c r="KX19" s="172">
        <f>SUM(KX6:KX18)</f>
        <v/>
      </c>
      <c r="KY19" s="172">
        <f>SUM(KY6:KY18)</f>
        <v/>
      </c>
      <c r="KZ19" s="172">
        <f>SUM(KZ6:KZ18)</f>
        <v/>
      </c>
      <c r="LA19" s="172">
        <f>SUM(LA6:LA18)</f>
        <v/>
      </c>
      <c r="LB19" s="172">
        <f>SUM(LB6:LB18)</f>
        <v/>
      </c>
      <c r="LC19" s="172">
        <f>SUM(LC6:LC18)</f>
        <v/>
      </c>
      <c r="LD19" s="172">
        <f>SUM(LD6:LD18)</f>
        <v/>
      </c>
      <c r="LE19" s="172">
        <f>SUM(LE6:LE18)</f>
        <v/>
      </c>
      <c r="LF19" s="172">
        <f>SUM(LF6:LF18)</f>
        <v/>
      </c>
      <c r="LG19" s="172">
        <f>SUM(LG6:LG18)</f>
        <v/>
      </c>
      <c r="LH19" s="172">
        <f>SUM(LH6:LH18)</f>
        <v/>
      </c>
      <c r="LI19" s="172">
        <f>SUM(LI6:LI18)</f>
        <v/>
      </c>
      <c r="LJ19" s="172">
        <f>SUM(LJ6:LJ18)</f>
        <v/>
      </c>
      <c r="LK19" s="172">
        <f>SUM(LK6:LK18)</f>
        <v/>
      </c>
      <c r="LL19" s="172">
        <f>SUM(LL6:LL18)</f>
        <v/>
      </c>
      <c r="LM19" s="172">
        <f>SUM(LM6:LM18)</f>
        <v/>
      </c>
      <c r="LN19" s="172">
        <f>SUM(LN6:LN18)</f>
        <v/>
      </c>
      <c r="LO19" s="172">
        <f>SUM(LO6:LO18)</f>
        <v/>
      </c>
      <c r="LP19" s="172">
        <f>SUM(LP6:LP18)</f>
        <v/>
      </c>
      <c r="LQ19" s="172">
        <f>SUM(LQ6:LQ18)</f>
        <v/>
      </c>
      <c r="LR19" s="172">
        <f>SUM(LR6:LR18)</f>
        <v/>
      </c>
      <c r="LS19" s="172">
        <f>SUM(LS6:LS18)</f>
        <v/>
      </c>
      <c r="LT19" s="172">
        <f>SUM(LT6:LT18)</f>
        <v/>
      </c>
      <c r="LU19" s="172">
        <f>SUM(LU6:LU18)</f>
        <v/>
      </c>
      <c r="LV19" s="172">
        <f>SUM(LV6:LV18)</f>
        <v/>
      </c>
      <c r="LW19" s="172">
        <f>SUM(LW6:LW18)</f>
        <v/>
      </c>
      <c r="LX19" s="172">
        <f>SUM(LX6:LX18)</f>
        <v/>
      </c>
      <c r="LY19" s="172">
        <f>SUM(LY6:LY18)</f>
        <v/>
      </c>
      <c r="LZ19" s="172">
        <f>SUM(LZ6:LZ18)</f>
        <v/>
      </c>
      <c r="MA19" s="172">
        <f>SUM(MA6:MA18)</f>
        <v/>
      </c>
      <c r="MB19" s="172">
        <f>SUM(MB6:MB18)</f>
        <v/>
      </c>
      <c r="MC19" s="172">
        <f>SUM(MC6:MC18)</f>
        <v/>
      </c>
      <c r="MD19" s="172">
        <f>SUM(MD6:MD18)</f>
        <v/>
      </c>
      <c r="ME19" s="172">
        <f>SUM(ME6:ME18)</f>
        <v/>
      </c>
      <c r="MF19" s="172">
        <f>SUM(MF6:MF18)</f>
        <v/>
      </c>
      <c r="MG19" s="172">
        <f>SUM(MG6:MG18)</f>
        <v/>
      </c>
      <c r="MH19" s="172">
        <f>SUM(MH6:MH18)</f>
        <v/>
      </c>
      <c r="MI19" s="172">
        <f>SUM(MI6:MI18)</f>
        <v/>
      </c>
      <c r="MJ19" s="172">
        <f>SUM(MJ6:MJ18)</f>
        <v/>
      </c>
      <c r="MK19" s="172">
        <f>SUM(MK6:MK18)</f>
        <v/>
      </c>
      <c r="ML19" s="172">
        <f>SUM(ML6:ML18)</f>
        <v/>
      </c>
      <c r="MM19" s="172">
        <f>SUM(MM6:MM18)</f>
        <v/>
      </c>
      <c r="MN19" s="172">
        <f>SUM(MN6:MN18)</f>
        <v/>
      </c>
      <c r="MO19" s="172">
        <f>SUM(MO6:MO18)</f>
        <v/>
      </c>
      <c r="MP19" s="172">
        <f>SUM(MP6:MP18)</f>
        <v/>
      </c>
      <c r="MQ19" s="172">
        <f>SUM(MQ6:MQ18)</f>
        <v/>
      </c>
      <c r="MR19" s="172">
        <f>SUM(MR6:MR18)</f>
        <v/>
      </c>
      <c r="MS19" s="172">
        <f>SUM(MS6:MS18)</f>
        <v/>
      </c>
      <c r="MT19" s="172">
        <f>SUM(MT6:MT18)</f>
        <v/>
      </c>
      <c r="MU19" s="172">
        <f>SUM(MU6:MU18)</f>
        <v/>
      </c>
      <c r="MV19" s="172">
        <f>SUM(MV6:MV18)</f>
        <v/>
      </c>
      <c r="MW19" s="172">
        <f>SUM(MW6:MW18)</f>
        <v/>
      </c>
      <c r="MX19" s="172">
        <f>SUM(MX6:MX18)</f>
        <v/>
      </c>
      <c r="MY19" s="172">
        <f>SUM(MY6:MY18)</f>
        <v/>
      </c>
      <c r="MZ19" s="172">
        <f>SUM(MZ6:MZ18)</f>
        <v/>
      </c>
      <c r="NA19" s="172">
        <f>SUM(NA6:NA18)</f>
        <v/>
      </c>
      <c r="NB19" s="172">
        <f>SUM(NB6:NB18)</f>
        <v/>
      </c>
      <c r="NC19" s="172">
        <f>SUM(NC6:NC18)</f>
        <v/>
      </c>
      <c r="ND19" s="172">
        <f>SUM(ND6:ND18)</f>
        <v/>
      </c>
      <c r="NE19" s="172">
        <f>SUM(NE6:NE18)</f>
        <v/>
      </c>
      <c r="NF19" s="172">
        <f>SUM(NF6:NF18)</f>
        <v/>
      </c>
      <c r="NG19" s="172">
        <f>SUM(NG6:NG18)</f>
        <v/>
      </c>
      <c r="NH19" s="172">
        <f>SUM(NH6:NH18)</f>
        <v/>
      </c>
      <c r="NI19" s="172">
        <f>SUM(NI6:NI18)</f>
        <v/>
      </c>
      <c r="NJ19" s="172">
        <f>SUM(NJ6:NJ18)</f>
        <v/>
      </c>
      <c r="NK19" s="172">
        <f>SUM(NK6:NK18)</f>
        <v/>
      </c>
      <c r="NL19" s="172">
        <f>SUM(NL6:NL18)</f>
        <v/>
      </c>
      <c r="NM19" s="172">
        <f>SUM(NM6:NM18)</f>
        <v/>
      </c>
      <c r="NN19" s="172">
        <f>SUM(NN6:NN18)</f>
        <v/>
      </c>
      <c r="NO19" s="172">
        <f>SUM(NO6:NO18)</f>
        <v/>
      </c>
      <c r="NP19" s="172">
        <f>SUM(NP6:NP18)</f>
        <v/>
      </c>
      <c r="NQ19" s="172">
        <f>SUM(NQ6:NQ18)</f>
        <v/>
      </c>
      <c r="NR19" s="172">
        <f>SUM(NR6:NR18)</f>
        <v/>
      </c>
      <c r="NS19" s="172">
        <f>SUM(NS6:NS18)</f>
        <v/>
      </c>
      <c r="NT19" s="172">
        <f>SUM(NT6:NT18)</f>
        <v/>
      </c>
      <c r="NU19" s="172">
        <f>SUM(NU6:NU18)</f>
        <v/>
      </c>
      <c r="NV19" s="172">
        <f>SUM(NV6:NV18)</f>
        <v/>
      </c>
      <c r="NW19" s="172">
        <f>SUM(NW6:NW18)</f>
        <v/>
      </c>
      <c r="NX19" s="172">
        <f>SUM(NX6:NX18)</f>
        <v/>
      </c>
      <c r="NY19" s="172">
        <f>SUM(NY6:NY18)</f>
        <v/>
      </c>
      <c r="NZ19" s="172">
        <f>SUM(NZ6:NZ18)</f>
        <v/>
      </c>
      <c r="OA19" s="172">
        <f>SUM(OA6:OA18)</f>
        <v/>
      </c>
      <c r="OB19" s="172">
        <f>SUM(OB6:OB18)</f>
        <v/>
      </c>
      <c r="OC19" s="172">
        <f>SUM(OC6:OC18)</f>
        <v/>
      </c>
      <c r="OD19" s="172">
        <f>SUM(OD6:OD18)</f>
        <v/>
      </c>
      <c r="OE19" s="172">
        <f>SUM(OE6:OE18)</f>
        <v/>
      </c>
      <c r="OF19" s="172">
        <f>SUM(OF6:OF18)</f>
        <v/>
      </c>
      <c r="OG19" s="172">
        <f>SUM(OG6:OG18)</f>
        <v/>
      </c>
      <c r="OH19" s="172">
        <f>SUM(OH6:OH18)</f>
        <v/>
      </c>
      <c r="OI19" s="172">
        <f>SUM(OI6:OI18)</f>
        <v/>
      </c>
      <c r="OJ19" s="172">
        <f>SUM(OJ6:OJ18)</f>
        <v/>
      </c>
      <c r="OK19" s="172">
        <f>SUM(OK6:OK18)</f>
        <v/>
      </c>
      <c r="OL19" s="172">
        <f>SUM(OL6:OL18)</f>
        <v/>
      </c>
      <c r="OM19" s="172">
        <f>SUM(OM6:OM18)</f>
        <v/>
      </c>
      <c r="ON19" s="172">
        <f>SUM(ON6:ON18)</f>
        <v/>
      </c>
      <c r="OO19" s="172">
        <f>SUM(OO6:OO18)</f>
        <v/>
      </c>
      <c r="OP19" s="172">
        <f>SUM(OP6:OP18)</f>
        <v/>
      </c>
      <c r="OQ19" s="172">
        <f>SUM(OQ6:OQ18)</f>
        <v/>
      </c>
      <c r="OR19" s="172">
        <f>SUM(OR6:OR18)</f>
        <v/>
      </c>
      <c r="OS19" s="172">
        <f>SUM(OS6:OS18)</f>
        <v/>
      </c>
      <c r="OT19" s="172">
        <f>SUM(OT6:OT18)</f>
        <v/>
      </c>
      <c r="OU19" s="172">
        <f>SUM(OU6:OU18)</f>
        <v/>
      </c>
      <c r="OV19" s="172">
        <f>SUM(OV6:OV18)</f>
        <v/>
      </c>
      <c r="OW19" s="172">
        <f>SUM(OW6:OW18)</f>
        <v/>
      </c>
      <c r="OX19" s="172">
        <f>SUM(OX6:OX18)</f>
        <v/>
      </c>
      <c r="OY19" s="172">
        <f>SUM(OY6:OY18)</f>
        <v/>
      </c>
      <c r="OZ19" s="172">
        <f>SUM(OZ6:OZ18)</f>
        <v/>
      </c>
      <c r="PA19" s="172">
        <f>SUM(PA6:PA18)</f>
        <v/>
      </c>
      <c r="PB19" s="172">
        <f>SUM(PB6:PB18)</f>
        <v/>
      </c>
      <c r="PC19" s="172">
        <f>SUM(PC6:PC18)</f>
        <v/>
      </c>
      <c r="PD19" s="172">
        <f>SUM(PD6:PD18)</f>
        <v/>
      </c>
      <c r="PE19" s="172">
        <f>SUM(PE6:PE18)</f>
        <v/>
      </c>
      <c r="PF19" s="172">
        <f>SUM(PF6:PF18)</f>
        <v/>
      </c>
      <c r="PG19" s="172">
        <f>SUM(PG6:PG18)</f>
        <v/>
      </c>
      <c r="PH19" s="172">
        <f>SUM(PH6:PH18)</f>
        <v/>
      </c>
      <c r="PI19" s="172">
        <f>SUM(PI6:PI18)</f>
        <v/>
      </c>
      <c r="PJ19" s="172">
        <f>SUM(PJ6:PJ18)</f>
        <v/>
      </c>
      <c r="PK19" s="172">
        <f>SUM(PK6:PK18)</f>
        <v/>
      </c>
      <c r="PL19" s="172">
        <f>SUM(PL6:PL18)</f>
        <v/>
      </c>
      <c r="PM19" s="172">
        <f>SUM(PM6:PM18)</f>
        <v/>
      </c>
      <c r="PN19" s="172">
        <f>SUM(PN6:PN18)</f>
        <v/>
      </c>
      <c r="PO19" s="172">
        <f>SUM(PO6:PO18)</f>
        <v/>
      </c>
      <c r="PP19" s="172">
        <f>SUM(PP6:PP18)</f>
        <v/>
      </c>
      <c r="PQ19" s="172">
        <f>SUM(PQ6:PQ18)</f>
        <v/>
      </c>
      <c r="PR19" s="172">
        <f>SUM(PR6:PR18)</f>
        <v/>
      </c>
      <c r="PS19" s="172">
        <f>SUM(PS6:PS18)</f>
        <v/>
      </c>
      <c r="PT19" s="172">
        <f>SUM(PT6:PT18)</f>
        <v/>
      </c>
      <c r="PU19" s="172">
        <f>SUM(PU6:PU18)</f>
        <v/>
      </c>
      <c r="PV19" s="172">
        <f>SUM(PV6:PV18)</f>
        <v/>
      </c>
      <c r="PW19" s="172">
        <f>SUM(PW6:PW18)</f>
        <v/>
      </c>
      <c r="PX19" s="172">
        <f>SUM(PX6:PX18)</f>
        <v/>
      </c>
      <c r="PY19" s="172">
        <f>SUM(PY6:PY18)</f>
        <v/>
      </c>
      <c r="PZ19" s="172">
        <f>SUM(PZ6:PZ18)</f>
        <v/>
      </c>
      <c r="QA19" s="172">
        <f>SUM(QA6:QA18)</f>
        <v/>
      </c>
      <c r="QB19" s="172">
        <f>SUM(QB6:QB18)</f>
        <v/>
      </c>
      <c r="QC19" s="172">
        <f>SUM(QC6:QC18)</f>
        <v/>
      </c>
      <c r="QD19" s="172">
        <f>SUM(QD6:QD18)</f>
        <v/>
      </c>
      <c r="QE19" s="172">
        <f>SUM(QE6:QE18)</f>
        <v/>
      </c>
      <c r="QF19" s="172">
        <f>SUM(QF6:QF18)</f>
        <v/>
      </c>
      <c r="QG19" s="172">
        <f>SUM(QG6:QG18)</f>
        <v/>
      </c>
      <c r="QH19" s="172">
        <f>SUM(QH6:QH18)</f>
        <v/>
      </c>
      <c r="QI19" s="172">
        <f>SUM(QI6:QI18)</f>
        <v/>
      </c>
      <c r="QJ19" s="172">
        <f>SUM(QJ6:QJ18)</f>
        <v/>
      </c>
      <c r="QK19" s="172">
        <f>SUM(QK6:QK18)</f>
        <v/>
      </c>
      <c r="QL19" s="172">
        <f>SUM(QL6:QL18)</f>
        <v/>
      </c>
      <c r="QM19" s="172">
        <f>SUM(QM6:QM18)</f>
        <v/>
      </c>
      <c r="QN19" s="172">
        <f>SUM(QN6:QN18)</f>
        <v/>
      </c>
      <c r="QO19" s="172">
        <f>SUM(QO6:QO18)</f>
        <v/>
      </c>
      <c r="QP19" s="172">
        <f>SUM(QP6:QP18)</f>
        <v/>
      </c>
      <c r="QQ19" s="172">
        <f>SUM(QQ6:QQ18)</f>
        <v/>
      </c>
      <c r="QR19" s="172">
        <f>SUM(QR6:QR18)</f>
        <v/>
      </c>
      <c r="QS19" s="172">
        <f>SUM(QS6:QS18)</f>
        <v/>
      </c>
      <c r="QT19" s="172">
        <f>SUM(QT6:QT18)</f>
        <v/>
      </c>
      <c r="QU19" s="172">
        <f>SUM(QU6:QU18)</f>
        <v/>
      </c>
      <c r="QV19" s="172">
        <f>SUM(QV6:QV18)</f>
        <v/>
      </c>
      <c r="QW19" s="172">
        <f>SUM(QW6:QW18)</f>
        <v/>
      </c>
      <c r="QX19" s="172">
        <f>SUM(QX6:QX18)</f>
        <v/>
      </c>
      <c r="QY19" s="172">
        <f>SUM(QY6:QY18)</f>
        <v/>
      </c>
      <c r="QZ19" s="172">
        <f>SUM(QZ6:QZ18)</f>
        <v/>
      </c>
      <c r="RA19" s="172">
        <f>SUM(RA6:RA18)</f>
        <v/>
      </c>
      <c r="RB19" s="172">
        <f>SUM(RB6:RB18)</f>
        <v/>
      </c>
      <c r="RC19" s="172">
        <f>SUM(RC6:RC18)</f>
        <v/>
      </c>
      <c r="RD19" s="172">
        <f>SUM(RD6:RD18)</f>
        <v/>
      </c>
      <c r="RE19" s="172">
        <f>SUM(RE6:RE18)</f>
        <v/>
      </c>
      <c r="RF19" s="172">
        <f>SUM(RF6:RF18)</f>
        <v/>
      </c>
      <c r="RG19" s="172">
        <f>SUM(RG6:RG18)</f>
        <v/>
      </c>
      <c r="RH19" s="172">
        <f>SUM(RH6:RH18)</f>
        <v/>
      </c>
      <c r="RI19" s="172">
        <f>SUM(RI6:RI18)</f>
        <v/>
      </c>
      <c r="RJ19" s="172">
        <f>SUM(RJ6:RJ18)</f>
        <v/>
      </c>
      <c r="RK19" s="172">
        <f>SUM(RK6:RK18)</f>
        <v/>
      </c>
      <c r="RL19" s="172">
        <f>SUM(RL6:RL18)</f>
        <v/>
      </c>
      <c r="RM19" s="172">
        <f>SUM(RM6:RM18)</f>
        <v/>
      </c>
      <c r="RN19" s="172">
        <f>SUM(RN6:RN18)</f>
        <v/>
      </c>
      <c r="RO19" s="172">
        <f>SUM(RO6:RO18)</f>
        <v/>
      </c>
      <c r="RP19" s="172">
        <f>SUM(RP6:RP18)</f>
        <v/>
      </c>
      <c r="RQ19" s="172">
        <f>SUM(RQ6:RQ18)</f>
        <v/>
      </c>
      <c r="RR19" s="172">
        <f>SUM(RR6:RR18)</f>
        <v/>
      </c>
      <c r="RS19" s="172">
        <f>SUM(RS6:RS18)</f>
        <v/>
      </c>
      <c r="RT19" s="172">
        <f>SUM(RT6:RT18)</f>
        <v/>
      </c>
      <c r="RU19" s="172">
        <f>SUM(RU6:RU18)</f>
        <v/>
      </c>
      <c r="RV19" s="172">
        <f>SUM(RV6:RV18)</f>
        <v/>
      </c>
      <c r="RW19" s="172">
        <f>SUM(RW6:RW18)</f>
        <v/>
      </c>
      <c r="RX19" s="172">
        <f>SUM(RX6:RX18)</f>
        <v/>
      </c>
      <c r="RY19" s="172">
        <f>SUM(RY6:RY18)</f>
        <v/>
      </c>
      <c r="RZ19" s="172">
        <f>SUM(RZ6:RZ18)</f>
        <v/>
      </c>
      <c r="SA19" s="172">
        <f>SUM(SA6:SA18)</f>
        <v/>
      </c>
      <c r="SB19" s="172">
        <f>SUM(SB6:SB18)</f>
        <v/>
      </c>
      <c r="SC19" s="172">
        <f>SUM(SC6:SC18)</f>
        <v/>
      </c>
      <c r="SD19" s="172">
        <f>SUM(SD6:SD18)</f>
        <v/>
      </c>
      <c r="SE19" s="172">
        <f>SUM(SE6:SE18)</f>
        <v/>
      </c>
      <c r="SF19" s="172">
        <f>SUM(SF6:SF18)</f>
        <v/>
      </c>
    </row>
    <row r="20">
      <c r="C20" s="173" t="n"/>
      <c r="D20" s="173" t="n"/>
      <c r="E20" s="173" t="n"/>
      <c r="F20" s="173" t="n"/>
      <c r="G20" s="173" t="n"/>
      <c r="H20" s="173" t="n"/>
      <c r="I20" s="173" t="n"/>
      <c r="J20" s="173" t="n"/>
      <c r="K20" s="173" t="n"/>
      <c r="L20" s="173" t="n"/>
      <c r="M20" s="173" t="n"/>
      <c r="N20" s="173" t="n"/>
      <c r="O20" s="173" t="n"/>
      <c r="P20" s="173" t="n"/>
      <c r="Q20" s="173" t="n"/>
      <c r="R20" s="173" t="n"/>
      <c r="S20" s="173" t="n"/>
      <c r="T20" s="173" t="n"/>
      <c r="U20" s="173" t="n"/>
      <c r="V20" s="173" t="n"/>
      <c r="W20" s="173" t="n"/>
      <c r="X20" s="173" t="n"/>
      <c r="Y20" s="173" t="n"/>
      <c r="Z20" s="173" t="n"/>
      <c r="AA20" s="173" t="n"/>
      <c r="AB20" s="173" t="n"/>
      <c r="AC20" s="173" t="n"/>
      <c r="AD20" s="173" t="n"/>
      <c r="AE20" s="173" t="n"/>
      <c r="AF20" s="173" t="n"/>
      <c r="AG20" s="173" t="n"/>
      <c r="AH20" s="173" t="n"/>
      <c r="AI20" s="173" t="n"/>
      <c r="AJ20" s="173" t="n"/>
      <c r="AK20" s="173" t="n"/>
      <c r="AL20" s="173" t="n"/>
      <c r="AM20" s="173" t="n"/>
      <c r="AN20" s="173" t="n"/>
      <c r="AO20" s="173" t="n"/>
      <c r="AP20" s="173" t="n"/>
      <c r="AQ20" s="173" t="n"/>
      <c r="AR20" s="173" t="n"/>
      <c r="AS20" s="173" t="n"/>
      <c r="AT20" s="173" t="n"/>
      <c r="AU20" s="173" t="n"/>
      <c r="AV20" s="173" t="n"/>
      <c r="AW20" s="173" t="n"/>
      <c r="AX20" s="173" t="n"/>
      <c r="AY20" s="173" t="n"/>
      <c r="AZ20" s="173" t="n"/>
      <c r="BA20" s="173" t="n"/>
      <c r="BB20" s="173" t="n"/>
      <c r="BC20" s="173" t="n"/>
      <c r="BD20" s="173" t="n"/>
      <c r="BE20" s="173" t="n"/>
      <c r="BF20" s="173" t="n"/>
      <c r="BG20" s="173" t="n"/>
      <c r="BH20" s="173" t="n"/>
      <c r="BI20" s="173" t="n"/>
      <c r="BJ20" s="173" t="n"/>
      <c r="BK20" s="173" t="n"/>
      <c r="BL20" s="173" t="n"/>
      <c r="BM20" s="173" t="n"/>
      <c r="BN20" s="173" t="n"/>
      <c r="BO20" s="173" t="n"/>
      <c r="BP20" s="173" t="n"/>
      <c r="BQ20" s="173" t="n"/>
      <c r="BR20" s="173" t="n"/>
      <c r="BS20" s="173" t="n"/>
      <c r="BT20" s="173" t="n"/>
      <c r="BU20" s="173" t="n"/>
      <c r="BV20" s="173" t="n"/>
      <c r="BW20" s="173" t="n"/>
      <c r="BX20" s="173" t="n"/>
      <c r="BY20" s="173" t="n"/>
      <c r="BZ20" s="173" t="n"/>
      <c r="CA20" s="173" t="n"/>
      <c r="CB20" s="173" t="n"/>
      <c r="CC20" s="173" t="n"/>
      <c r="CD20" s="173" t="n"/>
      <c r="CE20" s="173" t="n"/>
      <c r="CF20" s="173" t="n"/>
      <c r="CG20" s="173" t="n"/>
      <c r="CH20" s="173" t="n"/>
      <c r="CI20" s="173" t="n"/>
      <c r="CJ20" s="173" t="n"/>
      <c r="CK20" s="173" t="n"/>
      <c r="CL20" s="173" t="n"/>
      <c r="CM20" s="173" t="n"/>
      <c r="CN20" s="173" t="n"/>
      <c r="CO20" s="173" t="n"/>
      <c r="CP20" s="173" t="n"/>
      <c r="CQ20" s="173" t="n"/>
      <c r="CR20" s="173" t="n"/>
      <c r="CS20" s="173" t="n"/>
      <c r="CT20" s="173" t="n"/>
      <c r="CU20" s="173" t="n"/>
      <c r="CV20" s="173" t="n"/>
      <c r="CW20" s="173" t="n"/>
      <c r="CX20" s="173" t="n"/>
      <c r="CY20" s="173" t="n"/>
      <c r="CZ20" s="173" t="n"/>
      <c r="DA20" s="173" t="n"/>
      <c r="DB20" s="173" t="n"/>
      <c r="DC20" s="173" t="n"/>
      <c r="DD20" s="173" t="n"/>
      <c r="DE20" s="173" t="n"/>
      <c r="DF20" s="173" t="n"/>
      <c r="DG20" s="173" t="n"/>
      <c r="DH20" s="173" t="n"/>
      <c r="DI20" s="173" t="n"/>
      <c r="DJ20" s="173" t="n"/>
      <c r="DK20" s="173" t="n"/>
      <c r="DL20" s="173" t="n"/>
      <c r="DM20" s="173" t="n"/>
      <c r="DN20" s="173" t="n"/>
      <c r="DO20" s="173" t="n"/>
      <c r="DP20" s="173" t="n"/>
      <c r="DQ20" s="173" t="n"/>
      <c r="DR20" s="173" t="n"/>
      <c r="DS20" s="173" t="n"/>
      <c r="DT20" s="173" t="n"/>
      <c r="DU20" s="173" t="n"/>
      <c r="DV20" s="173" t="n"/>
      <c r="DW20" s="173" t="n"/>
      <c r="DX20" s="173" t="n"/>
      <c r="DY20" s="173" t="n"/>
      <c r="DZ20" s="173" t="n"/>
      <c r="EA20" s="173" t="n"/>
      <c r="EB20" s="173" t="n"/>
      <c r="EC20" s="173" t="n"/>
      <c r="ED20" s="173" t="n"/>
      <c r="EE20" s="173" t="n"/>
      <c r="EF20" s="173" t="n"/>
      <c r="EG20" s="173" t="n"/>
      <c r="EH20" s="173" t="n"/>
      <c r="EI20" s="173" t="n"/>
      <c r="EJ20" s="173" t="n"/>
      <c r="EK20" s="173" t="n"/>
      <c r="EL20" s="173" t="n"/>
      <c r="EM20" s="173" t="n"/>
      <c r="EN20" s="173" t="n"/>
      <c r="EO20" s="173" t="n"/>
      <c r="EP20" s="173" t="n"/>
      <c r="EQ20" s="173" t="n"/>
      <c r="ER20" s="173" t="n"/>
      <c r="ES20" s="173" t="n"/>
      <c r="ET20" s="173" t="n"/>
      <c r="EU20" s="173" t="n"/>
      <c r="EV20" s="173" t="n"/>
      <c r="EW20" s="173" t="n"/>
      <c r="EX20" s="173" t="n"/>
      <c r="EY20" s="173" t="n"/>
      <c r="EZ20" s="173" t="n"/>
      <c r="FA20" s="173" t="n"/>
      <c r="FB20" s="173" t="n"/>
      <c r="FC20" s="173" t="n"/>
      <c r="FD20" s="173" t="n"/>
      <c r="FE20" s="173" t="n"/>
      <c r="FF20" s="173" t="n"/>
      <c r="FG20" s="173" t="n"/>
      <c r="FH20" s="173" t="n"/>
      <c r="FI20" s="173" t="n"/>
      <c r="FJ20" s="173" t="n"/>
      <c r="FK20" s="173" t="n"/>
      <c r="FL20" s="173" t="n"/>
      <c r="FM20" s="173" t="n"/>
      <c r="FN20" s="173" t="n"/>
      <c r="FO20" s="173" t="n"/>
      <c r="FP20" s="173" t="n"/>
      <c r="FQ20" s="173" t="n"/>
      <c r="FR20" s="173" t="n"/>
      <c r="FS20" s="173" t="n"/>
      <c r="FT20" s="173" t="n"/>
      <c r="FU20" s="173" t="n"/>
      <c r="FV20" s="173" t="n"/>
      <c r="FW20" s="173" t="n"/>
      <c r="FX20" s="173" t="n"/>
      <c r="FY20" s="173" t="n"/>
      <c r="FZ20" s="173" t="n"/>
      <c r="GA20" s="173" t="n"/>
      <c r="GB20" s="173" t="n"/>
      <c r="GC20" s="173" t="n"/>
      <c r="GD20" s="173" t="n"/>
      <c r="GE20" s="173" t="n"/>
      <c r="GF20" s="173" t="n"/>
      <c r="GG20" s="173" t="n"/>
      <c r="GH20" s="173" t="n"/>
      <c r="GI20" s="173" t="n"/>
      <c r="GJ20" s="173" t="n"/>
      <c r="GK20" s="173" t="n"/>
      <c r="GL20" s="173" t="n"/>
      <c r="GM20" s="173" t="n"/>
      <c r="GN20" s="173" t="n"/>
      <c r="GO20" s="173" t="n"/>
      <c r="GP20" s="173" t="n"/>
      <c r="GQ20" s="173" t="n"/>
      <c r="GR20" s="173" t="n"/>
      <c r="GS20" s="173" t="n"/>
      <c r="GT20" s="173" t="n"/>
      <c r="GU20" s="173" t="n"/>
      <c r="GV20" s="173" t="n"/>
      <c r="GW20" s="173" t="n"/>
      <c r="GX20" s="173" t="n"/>
      <c r="GY20" s="173" t="n"/>
      <c r="GZ20" s="173" t="n"/>
      <c r="HA20" s="173" t="n"/>
      <c r="HB20" s="173" t="n"/>
      <c r="HC20" s="173" t="n"/>
      <c r="HD20" s="173" t="n"/>
      <c r="HE20" s="173" t="n"/>
      <c r="HF20" s="173" t="n"/>
      <c r="HG20" s="173" t="n"/>
      <c r="HH20" s="173" t="n"/>
      <c r="HI20" s="173" t="n"/>
      <c r="HJ20" s="173" t="n"/>
      <c r="HK20" s="173" t="n"/>
      <c r="HL20" s="173" t="n"/>
      <c r="HM20" s="173" t="n"/>
      <c r="HN20" s="173" t="n"/>
      <c r="HO20" s="173" t="n"/>
      <c r="HP20" s="173" t="n"/>
      <c r="HQ20" s="173" t="n"/>
      <c r="HR20" s="173" t="n"/>
      <c r="HS20" s="173" t="n"/>
      <c r="HT20" s="173" t="n"/>
      <c r="HU20" s="173" t="n"/>
      <c r="HV20" s="173" t="n"/>
      <c r="HW20" s="173" t="n"/>
      <c r="HX20" s="173" t="n"/>
      <c r="HY20" s="173" t="n"/>
      <c r="HZ20" s="173" t="n"/>
      <c r="IA20" s="173" t="n"/>
      <c r="IB20" s="173" t="n"/>
      <c r="IC20" s="173" t="n"/>
      <c r="ID20" s="173" t="n"/>
      <c r="IE20" s="173" t="n"/>
      <c r="IF20" s="173" t="n"/>
      <c r="IG20" s="173" t="n"/>
      <c r="IH20" s="173" t="n"/>
      <c r="II20" s="173" t="n"/>
      <c r="IJ20" s="173" t="n"/>
      <c r="IK20" s="173" t="n"/>
      <c r="IL20" s="173" t="n"/>
      <c r="IM20" s="173" t="n"/>
      <c r="IN20" s="173" t="n"/>
      <c r="IO20" s="173" t="n"/>
      <c r="IP20" s="173" t="n"/>
      <c r="IQ20" s="173" t="n"/>
      <c r="IR20" s="173" t="n"/>
      <c r="IS20" s="173" t="n"/>
      <c r="IT20" s="173" t="n"/>
      <c r="IU20" s="173" t="n"/>
      <c r="IV20" s="173" t="n"/>
      <c r="IW20" s="173" t="n"/>
      <c r="IX20" s="173" t="n"/>
      <c r="IY20" s="173" t="n"/>
      <c r="IZ20" s="173" t="n"/>
      <c r="JA20" s="173" t="n"/>
      <c r="JB20" s="173" t="n"/>
      <c r="JC20" s="173" t="n"/>
      <c r="JD20" s="173" t="n"/>
      <c r="JE20" s="173" t="n"/>
      <c r="JF20" s="173" t="n"/>
      <c r="JG20" s="173" t="n"/>
      <c r="JH20" s="173" t="n"/>
      <c r="JI20" s="173" t="n"/>
      <c r="JJ20" s="173" t="n"/>
      <c r="JK20" s="173" t="n"/>
      <c r="JL20" s="173" t="n"/>
      <c r="JM20" s="173" t="n"/>
      <c r="JN20" s="173" t="n"/>
      <c r="JO20" s="173" t="n"/>
      <c r="JP20" s="173" t="n"/>
      <c r="JQ20" s="173" t="n"/>
      <c r="JR20" s="173" t="n"/>
      <c r="JS20" s="173" t="n"/>
      <c r="JT20" s="173" t="n"/>
      <c r="JU20" s="173" t="n"/>
      <c r="JV20" s="173" t="n"/>
      <c r="JW20" s="173" t="n"/>
      <c r="JX20" s="173" t="n"/>
      <c r="JY20" s="173" t="n"/>
      <c r="JZ20" s="173" t="n"/>
      <c r="KA20" s="173" t="n"/>
      <c r="KB20" s="173" t="n"/>
      <c r="KC20" s="173" t="n"/>
      <c r="KD20" s="173" t="n"/>
      <c r="KE20" s="173" t="n"/>
      <c r="KF20" s="173" t="n"/>
      <c r="KG20" s="173" t="n"/>
      <c r="KH20" s="173" t="n"/>
      <c r="KI20" s="173" t="n"/>
      <c r="KJ20" s="173" t="n"/>
      <c r="KK20" s="173" t="n"/>
      <c r="KL20" s="173" t="n"/>
      <c r="KM20" s="173" t="n"/>
      <c r="KN20" s="173" t="n"/>
      <c r="KO20" s="173" t="n"/>
      <c r="KP20" s="173" t="n"/>
      <c r="KQ20" s="173" t="n"/>
      <c r="KR20" s="173" t="n"/>
      <c r="KS20" s="173" t="n"/>
      <c r="KT20" s="173" t="n"/>
      <c r="KU20" s="173" t="n"/>
      <c r="KV20" s="173" t="n"/>
      <c r="KW20" s="173" t="n"/>
      <c r="KX20" s="173" t="n"/>
      <c r="KY20" s="173" t="n"/>
      <c r="KZ20" s="173" t="n"/>
      <c r="LA20" s="173" t="n"/>
      <c r="LB20" s="173" t="n"/>
      <c r="LC20" s="173" t="n"/>
      <c r="LD20" s="173" t="n"/>
      <c r="LE20" s="173" t="n"/>
      <c r="LF20" s="173" t="n"/>
      <c r="LG20" s="173" t="n"/>
      <c r="LH20" s="173" t="n"/>
      <c r="LI20" s="173" t="n"/>
      <c r="LJ20" s="173" t="n"/>
      <c r="LK20" s="173" t="n"/>
      <c r="LL20" s="173" t="n"/>
      <c r="LM20" s="173" t="n"/>
      <c r="LN20" s="173" t="n"/>
      <c r="LO20" s="173" t="n"/>
      <c r="LP20" s="173" t="n"/>
      <c r="LQ20" s="173" t="n"/>
      <c r="LR20" s="173" t="n"/>
      <c r="LS20" s="173" t="n"/>
      <c r="LT20" s="173" t="n"/>
      <c r="LU20" s="173" t="n"/>
      <c r="LV20" s="173" t="n"/>
      <c r="LW20" s="173" t="n"/>
      <c r="LX20" s="173" t="n"/>
      <c r="LY20" s="173" t="n"/>
      <c r="LZ20" s="173" t="n"/>
      <c r="MA20" s="173" t="n"/>
      <c r="MB20" s="173" t="n"/>
      <c r="MC20" s="173" t="n"/>
      <c r="MD20" s="173" t="n"/>
      <c r="ME20" s="173" t="n"/>
      <c r="MF20" s="173" t="n"/>
      <c r="MG20" s="173" t="n"/>
      <c r="MH20" s="173" t="n"/>
      <c r="MI20" s="173" t="n"/>
      <c r="MJ20" s="173" t="n"/>
      <c r="MK20" s="173" t="n"/>
      <c r="ML20" s="173" t="n"/>
      <c r="MM20" s="173" t="n"/>
      <c r="MN20" s="173" t="n"/>
      <c r="MO20" s="173" t="n"/>
      <c r="MP20" s="173" t="n"/>
      <c r="MQ20" s="173" t="n"/>
      <c r="MR20" s="173" t="n"/>
      <c r="MS20" s="173" t="n"/>
      <c r="MT20" s="173" t="n"/>
      <c r="MU20" s="173" t="n"/>
      <c r="MV20" s="173" t="n"/>
      <c r="MW20" s="173" t="n"/>
      <c r="MX20" s="173" t="n"/>
      <c r="MY20" s="173" t="n"/>
      <c r="MZ20" s="173" t="n"/>
      <c r="NA20" s="173" t="n"/>
      <c r="NB20" s="173" t="n"/>
      <c r="NC20" s="173" t="n"/>
      <c r="ND20" s="173" t="n"/>
      <c r="NE20" s="173" t="n"/>
      <c r="NF20" s="173" t="n"/>
      <c r="NG20" s="173" t="n"/>
      <c r="NH20" s="173" t="n"/>
      <c r="NI20" s="173" t="n"/>
      <c r="NJ20" s="173" t="n"/>
      <c r="NK20" s="173" t="n"/>
      <c r="NL20" s="173" t="n"/>
      <c r="NM20" s="173" t="n"/>
      <c r="NN20" s="173" t="n"/>
      <c r="NO20" s="173" t="n"/>
      <c r="NP20" s="173" t="n"/>
      <c r="NQ20" s="173" t="n"/>
      <c r="NR20" s="173" t="n"/>
      <c r="NS20" s="173" t="n"/>
      <c r="NT20" s="173" t="n"/>
      <c r="NU20" s="173" t="n"/>
      <c r="NV20" s="173" t="n"/>
      <c r="NW20" s="173" t="n"/>
      <c r="NX20" s="173" t="n"/>
      <c r="NY20" s="173" t="n"/>
      <c r="NZ20" s="173" t="n"/>
      <c r="OA20" s="173" t="n"/>
      <c r="OB20" s="173" t="n"/>
      <c r="OC20" s="173" t="n"/>
      <c r="OD20" s="173" t="n"/>
      <c r="OE20" s="173" t="n"/>
      <c r="OF20" s="173" t="n"/>
      <c r="OG20" s="173" t="n"/>
      <c r="OH20" s="173" t="n"/>
      <c r="OI20" s="173" t="n"/>
      <c r="OJ20" s="173" t="n"/>
      <c r="OK20" s="173" t="n"/>
      <c r="OL20" s="173" t="n"/>
      <c r="OM20" s="173" t="n"/>
      <c r="ON20" s="173" t="n"/>
      <c r="OO20" s="173" t="n"/>
      <c r="OP20" s="173" t="n"/>
      <c r="OQ20" s="173" t="n"/>
      <c r="OR20" s="173" t="n"/>
      <c r="OS20" s="173" t="n"/>
      <c r="OT20" s="173" t="n"/>
      <c r="OU20" s="173" t="n"/>
      <c r="OV20" s="173" t="n"/>
      <c r="OW20" s="173" t="n"/>
      <c r="OX20" s="173" t="n"/>
      <c r="OY20" s="173" t="n"/>
      <c r="OZ20" s="173" t="n"/>
      <c r="PA20" s="173" t="n"/>
      <c r="PB20" s="173" t="n"/>
      <c r="PC20" s="173" t="n"/>
      <c r="PD20" s="173" t="n"/>
      <c r="PE20" s="173" t="n"/>
      <c r="PF20" s="173" t="n"/>
      <c r="PG20" s="173" t="n"/>
      <c r="PH20" s="173" t="n"/>
      <c r="PI20" s="173" t="n"/>
      <c r="PJ20" s="173" t="n"/>
      <c r="PK20" s="173" t="n"/>
      <c r="PL20" s="173" t="n"/>
      <c r="PM20" s="173" t="n"/>
      <c r="PN20" s="173" t="n"/>
      <c r="PO20" s="173" t="n"/>
      <c r="PP20" s="173" t="n"/>
      <c r="PQ20" s="173" t="n"/>
      <c r="PR20" s="173" t="n"/>
      <c r="PS20" s="173" t="n"/>
      <c r="PT20" s="173" t="n"/>
      <c r="PU20" s="173" t="n"/>
      <c r="PV20" s="173" t="n"/>
      <c r="PW20" s="173" t="n"/>
      <c r="PX20" s="173" t="n"/>
      <c r="PY20" s="173" t="n"/>
      <c r="PZ20" s="173" t="n"/>
      <c r="QA20" s="173" t="n"/>
      <c r="QB20" s="173" t="n"/>
      <c r="QC20" s="173" t="n"/>
      <c r="QD20" s="173" t="n"/>
      <c r="QE20" s="173" t="n"/>
      <c r="QF20" s="173" t="n"/>
      <c r="QG20" s="173" t="n"/>
      <c r="QH20" s="173" t="n"/>
      <c r="QI20" s="173" t="n"/>
      <c r="QJ20" s="173" t="n"/>
      <c r="QK20" s="173" t="n"/>
      <c r="QL20" s="173" t="n"/>
      <c r="QM20" s="173" t="n"/>
      <c r="QN20" s="173" t="n"/>
      <c r="QO20" s="173" t="n"/>
      <c r="QP20" s="173" t="n"/>
      <c r="QQ20" s="173" t="n"/>
      <c r="QR20" s="173" t="n"/>
      <c r="QS20" s="173" t="n"/>
      <c r="QT20" s="173" t="n"/>
      <c r="QU20" s="173" t="n"/>
      <c r="QV20" s="173" t="n"/>
      <c r="QW20" s="173" t="n"/>
      <c r="QX20" s="173" t="n"/>
      <c r="QY20" s="173" t="n"/>
      <c r="QZ20" s="173" t="n"/>
      <c r="RA20" s="173" t="n"/>
      <c r="RB20" s="173" t="n"/>
      <c r="RC20" s="173" t="n"/>
      <c r="RD20" s="173" t="n"/>
      <c r="RE20" s="173" t="n"/>
      <c r="RF20" s="173" t="n"/>
      <c r="RG20" s="173" t="n"/>
      <c r="RH20" s="173" t="n"/>
      <c r="RI20" s="173" t="n"/>
      <c r="RJ20" s="173" t="n"/>
      <c r="RK20" s="173" t="n"/>
      <c r="RL20" s="173" t="n"/>
      <c r="RM20" s="173" t="n"/>
      <c r="RN20" s="173" t="n"/>
      <c r="RO20" s="173" t="n"/>
      <c r="RP20" s="173" t="n"/>
      <c r="RQ20" s="173" t="n"/>
      <c r="RR20" s="173" t="n"/>
      <c r="RS20" s="173" t="n"/>
      <c r="RT20" s="173" t="n"/>
      <c r="RU20" s="173" t="n"/>
      <c r="RV20" s="173" t="n"/>
      <c r="RW20" s="173" t="n"/>
      <c r="RX20" s="173" t="n"/>
      <c r="RY20" s="173" t="n"/>
      <c r="RZ20" s="173" t="n"/>
      <c r="SA20" s="173" t="n"/>
      <c r="SB20" s="173" t="n"/>
      <c r="SC20" s="173" t="n"/>
      <c r="SD20" s="173" t="n"/>
      <c r="SE20" s="173" t="n"/>
      <c r="SF20" s="173" t="n"/>
    </row>
    <row r="21">
      <c r="B21" s="167" t="inlineStr">
        <is>
          <t>TRAVEL</t>
        </is>
      </c>
      <c r="C21" s="174" t="n"/>
      <c r="D21" s="174" t="n"/>
      <c r="E21" s="174" t="n"/>
      <c r="F21" s="174" t="n"/>
      <c r="G21" s="174" t="n"/>
      <c r="H21" s="174" t="n"/>
      <c r="I21" s="174" t="n"/>
      <c r="J21" s="174" t="n"/>
      <c r="K21" s="174" t="n"/>
      <c r="L21" s="174" t="n"/>
      <c r="M21" s="174" t="n"/>
      <c r="N21" s="174" t="n"/>
      <c r="O21" s="174" t="n"/>
      <c r="P21" s="174" t="n"/>
      <c r="Q21" s="174" t="n"/>
      <c r="R21" s="174" t="n"/>
      <c r="S21" s="174" t="n"/>
      <c r="T21" s="174" t="n"/>
      <c r="U21" s="174" t="n"/>
      <c r="V21" s="174" t="n"/>
      <c r="W21" s="174" t="n"/>
      <c r="X21" s="174" t="n"/>
      <c r="Y21" s="174" t="n"/>
      <c r="Z21" s="174" t="n"/>
      <c r="AA21" s="174" t="n"/>
      <c r="AB21" s="174" t="n"/>
      <c r="AC21" s="174" t="n"/>
      <c r="AD21" s="174" t="n"/>
      <c r="AE21" s="174" t="n"/>
      <c r="AF21" s="174" t="n"/>
      <c r="AG21" s="174" t="n"/>
      <c r="AH21" s="174" t="n"/>
      <c r="AI21" s="174" t="n"/>
      <c r="AJ21" s="174" t="n"/>
      <c r="AK21" s="174" t="n"/>
      <c r="AL21" s="174" t="n"/>
      <c r="AM21" s="174" t="n"/>
      <c r="AN21" s="174" t="n"/>
      <c r="AO21" s="174" t="n"/>
      <c r="AP21" s="174" t="n"/>
      <c r="AQ21" s="174" t="n"/>
      <c r="AR21" s="174" t="n"/>
      <c r="AS21" s="174" t="n"/>
      <c r="AT21" s="174" t="n"/>
      <c r="AU21" s="174" t="n"/>
      <c r="AV21" s="174" t="n"/>
      <c r="AW21" s="174" t="n"/>
      <c r="AX21" s="174" t="n"/>
      <c r="AY21" s="174" t="n"/>
      <c r="AZ21" s="174" t="n"/>
      <c r="BA21" s="174" t="n"/>
      <c r="BB21" s="174" t="n"/>
      <c r="BC21" s="174" t="n"/>
      <c r="BD21" s="174" t="n"/>
      <c r="BE21" s="174" t="n"/>
      <c r="BF21" s="174" t="n"/>
      <c r="BG21" s="174" t="n"/>
      <c r="BH21" s="174" t="n"/>
      <c r="BI21" s="174" t="n"/>
      <c r="BJ21" s="174" t="n"/>
      <c r="BK21" s="174" t="n"/>
      <c r="BL21" s="174" t="n"/>
      <c r="BM21" s="174" t="n"/>
      <c r="BN21" s="174" t="n"/>
      <c r="BO21" s="174" t="n"/>
      <c r="BP21" s="174" t="n"/>
      <c r="BQ21" s="174" t="n"/>
      <c r="BR21" s="174" t="n"/>
      <c r="BS21" s="174" t="n"/>
      <c r="BT21" s="174" t="n"/>
      <c r="BU21" s="174" t="n"/>
      <c r="BV21" s="174" t="n"/>
      <c r="BW21" s="174" t="n"/>
      <c r="BX21" s="174" t="n"/>
      <c r="BY21" s="174" t="n"/>
      <c r="BZ21" s="174" t="n"/>
      <c r="CA21" s="174" t="n"/>
      <c r="CB21" s="174" t="n"/>
      <c r="CC21" s="174" t="n"/>
      <c r="CD21" s="174" t="n"/>
      <c r="CE21" s="174" t="n"/>
      <c r="CF21" s="174" t="n"/>
      <c r="CG21" s="174" t="n"/>
      <c r="CH21" s="174" t="n"/>
      <c r="CI21" s="174" t="n"/>
      <c r="CJ21" s="174" t="n"/>
      <c r="CK21" s="174" t="n"/>
      <c r="CL21" s="174" t="n"/>
      <c r="CM21" s="174" t="n"/>
      <c r="CN21" s="174" t="n"/>
      <c r="CO21" s="174" t="n"/>
      <c r="CP21" s="174" t="n"/>
      <c r="CQ21" s="174" t="n"/>
      <c r="CR21" s="174" t="n"/>
      <c r="CS21" s="174" t="n"/>
      <c r="CT21" s="174" t="n"/>
      <c r="CU21" s="174" t="n"/>
      <c r="CV21" s="174" t="n"/>
      <c r="CW21" s="174" t="n"/>
      <c r="CX21" s="174" t="n"/>
      <c r="CY21" s="174" t="n"/>
      <c r="CZ21" s="174" t="n"/>
      <c r="DA21" s="174" t="n"/>
      <c r="DB21" s="174" t="n"/>
      <c r="DC21" s="174" t="n"/>
      <c r="DD21" s="174" t="n"/>
      <c r="DE21" s="174" t="n"/>
      <c r="DF21" s="174" t="n"/>
      <c r="DG21" s="174" t="n"/>
      <c r="DH21" s="174" t="n"/>
      <c r="DI21" s="174" t="n"/>
      <c r="DJ21" s="174" t="n"/>
      <c r="DK21" s="174" t="n"/>
      <c r="DL21" s="174" t="n"/>
      <c r="DM21" s="174" t="n"/>
      <c r="DN21" s="174" t="n"/>
      <c r="DO21" s="174" t="n"/>
      <c r="DP21" s="174" t="n"/>
      <c r="DQ21" s="174" t="n"/>
      <c r="DR21" s="174" t="n"/>
      <c r="DS21" s="174" t="n"/>
      <c r="DT21" s="174" t="n"/>
      <c r="DU21" s="174" t="n"/>
      <c r="DV21" s="174" t="n"/>
      <c r="DW21" s="174" t="n"/>
      <c r="DX21" s="174" t="n"/>
      <c r="DY21" s="174" t="n"/>
      <c r="DZ21" s="174" t="n"/>
      <c r="EA21" s="174" t="n"/>
      <c r="EB21" s="174" t="n"/>
      <c r="EC21" s="174" t="n"/>
      <c r="ED21" s="174" t="n"/>
      <c r="EE21" s="174" t="n"/>
      <c r="EF21" s="174" t="n"/>
      <c r="EG21" s="174" t="n"/>
      <c r="EH21" s="174" t="n"/>
      <c r="EI21" s="174" t="n"/>
      <c r="EJ21" s="174" t="n"/>
      <c r="EK21" s="174" t="n"/>
      <c r="EL21" s="174" t="n"/>
      <c r="EM21" s="174" t="n"/>
      <c r="EN21" s="174" t="n"/>
      <c r="EO21" s="174" t="n"/>
      <c r="EP21" s="174" t="n"/>
      <c r="EQ21" s="174" t="n"/>
      <c r="ER21" s="174" t="n"/>
      <c r="ES21" s="174" t="n"/>
      <c r="ET21" s="174" t="n"/>
      <c r="EU21" s="174" t="n"/>
      <c r="EV21" s="174" t="n"/>
      <c r="EW21" s="174" t="n"/>
      <c r="EX21" s="174" t="n"/>
      <c r="EY21" s="174" t="n"/>
      <c r="EZ21" s="174" t="n"/>
      <c r="FA21" s="174" t="n"/>
      <c r="FB21" s="174" t="n"/>
      <c r="FC21" s="174" t="n"/>
      <c r="FD21" s="174" t="n"/>
      <c r="FE21" s="174" t="n"/>
      <c r="FF21" s="174" t="n"/>
      <c r="FG21" s="174" t="n"/>
      <c r="FH21" s="174" t="n"/>
      <c r="FI21" s="174" t="n"/>
      <c r="FJ21" s="174" t="n"/>
      <c r="FK21" s="174" t="n"/>
      <c r="FL21" s="174" t="n"/>
      <c r="FM21" s="174" t="n"/>
      <c r="FN21" s="174" t="n"/>
      <c r="FO21" s="174" t="n"/>
      <c r="FP21" s="174" t="n"/>
      <c r="FQ21" s="174" t="n"/>
      <c r="FR21" s="174" t="n"/>
      <c r="FS21" s="174" t="n"/>
      <c r="FT21" s="174" t="n"/>
      <c r="FU21" s="174" t="n"/>
      <c r="FV21" s="174" t="n"/>
      <c r="FW21" s="174" t="n"/>
      <c r="FX21" s="174" t="n"/>
      <c r="FY21" s="174" t="n"/>
      <c r="FZ21" s="174" t="n"/>
      <c r="GA21" s="174" t="n"/>
      <c r="GB21" s="174" t="n"/>
      <c r="GC21" s="174" t="n"/>
      <c r="GD21" s="174" t="n"/>
      <c r="GE21" s="174" t="n"/>
      <c r="GF21" s="174" t="n"/>
      <c r="GG21" s="174" t="n"/>
      <c r="GH21" s="174" t="n"/>
      <c r="GI21" s="174" t="n"/>
      <c r="GJ21" s="174" t="n"/>
      <c r="GK21" s="174" t="n"/>
      <c r="GL21" s="174" t="n"/>
      <c r="GM21" s="174" t="n"/>
      <c r="GN21" s="174" t="n"/>
      <c r="GO21" s="174" t="n"/>
      <c r="GP21" s="174" t="n"/>
      <c r="GQ21" s="174" t="n"/>
      <c r="GR21" s="174" t="n"/>
      <c r="GS21" s="174" t="n"/>
      <c r="GT21" s="174" t="n"/>
      <c r="GU21" s="174" t="n"/>
      <c r="GV21" s="174" t="n"/>
      <c r="GW21" s="174" t="n"/>
      <c r="GX21" s="174" t="n"/>
      <c r="GY21" s="174" t="n"/>
      <c r="GZ21" s="174" t="n"/>
      <c r="HA21" s="174" t="n"/>
      <c r="HB21" s="174" t="n"/>
      <c r="HC21" s="174" t="n"/>
      <c r="HD21" s="174" t="n"/>
      <c r="HE21" s="174" t="n"/>
      <c r="HF21" s="174" t="n"/>
      <c r="HG21" s="174" t="n"/>
      <c r="HH21" s="174" t="n"/>
      <c r="HI21" s="174" t="n"/>
      <c r="HJ21" s="174" t="n"/>
      <c r="HK21" s="174" t="n"/>
      <c r="HL21" s="174" t="n"/>
      <c r="HM21" s="174" t="n"/>
      <c r="HN21" s="174" t="n"/>
      <c r="HO21" s="174" t="n"/>
      <c r="HP21" s="174" t="n"/>
      <c r="HQ21" s="174" t="n"/>
      <c r="HR21" s="174" t="n"/>
      <c r="HS21" s="174" t="n"/>
      <c r="HT21" s="174" t="n"/>
      <c r="HU21" s="174" t="n"/>
      <c r="HV21" s="174" t="n"/>
      <c r="HW21" s="174" t="n"/>
      <c r="HX21" s="174" t="n"/>
      <c r="HY21" s="174" t="n"/>
      <c r="HZ21" s="174" t="n"/>
      <c r="IA21" s="174" t="n"/>
      <c r="IB21" s="174" t="n"/>
      <c r="IC21" s="174" t="n"/>
      <c r="ID21" s="174" t="n"/>
      <c r="IE21" s="174" t="n"/>
      <c r="IF21" s="174" t="n"/>
      <c r="IG21" s="174" t="n"/>
      <c r="IH21" s="174" t="n"/>
      <c r="II21" s="174" t="n"/>
      <c r="IJ21" s="174" t="n"/>
      <c r="IK21" s="174" t="n"/>
      <c r="IL21" s="174" t="n"/>
      <c r="IM21" s="174" t="n"/>
      <c r="IN21" s="174" t="n"/>
      <c r="IO21" s="174" t="n"/>
      <c r="IP21" s="174" t="n"/>
      <c r="IQ21" s="174" t="n"/>
      <c r="IR21" s="174" t="n"/>
      <c r="IS21" s="174" t="n"/>
      <c r="IT21" s="174" t="n"/>
      <c r="IU21" s="174" t="n"/>
      <c r="IV21" s="174" t="n"/>
      <c r="IW21" s="174" t="n"/>
      <c r="IX21" s="174" t="n"/>
      <c r="IY21" s="174" t="n"/>
      <c r="IZ21" s="174" t="n"/>
      <c r="JA21" s="174" t="n"/>
      <c r="JB21" s="174" t="n"/>
      <c r="JC21" s="174" t="n"/>
      <c r="JD21" s="174" t="n"/>
      <c r="JE21" s="174" t="n"/>
      <c r="JF21" s="174" t="n"/>
      <c r="JG21" s="174" t="n"/>
      <c r="JH21" s="174" t="n"/>
      <c r="JI21" s="174" t="n"/>
      <c r="JJ21" s="174" t="n"/>
      <c r="JK21" s="174" t="n"/>
      <c r="JL21" s="174" t="n"/>
      <c r="JM21" s="174" t="n"/>
      <c r="JN21" s="174" t="n"/>
      <c r="JO21" s="174" t="n"/>
      <c r="JP21" s="174" t="n"/>
      <c r="JQ21" s="174" t="n"/>
      <c r="JR21" s="174" t="n"/>
      <c r="JS21" s="174" t="n"/>
      <c r="JT21" s="174" t="n"/>
      <c r="JU21" s="174" t="n"/>
      <c r="JV21" s="174" t="n"/>
      <c r="JW21" s="174" t="n"/>
      <c r="JX21" s="174" t="n"/>
      <c r="JY21" s="174" t="n"/>
      <c r="JZ21" s="174" t="n"/>
      <c r="KA21" s="174" t="n"/>
      <c r="KB21" s="174" t="n"/>
      <c r="KC21" s="174" t="n"/>
      <c r="KD21" s="174" t="n"/>
      <c r="KE21" s="174" t="n"/>
      <c r="KF21" s="174" t="n"/>
      <c r="KG21" s="174" t="n"/>
      <c r="KH21" s="174" t="n"/>
      <c r="KI21" s="174" t="n"/>
      <c r="KJ21" s="174" t="n"/>
      <c r="KK21" s="174" t="n"/>
      <c r="KL21" s="174" t="n"/>
      <c r="KM21" s="174" t="n"/>
      <c r="KN21" s="174" t="n"/>
      <c r="KO21" s="174" t="n"/>
      <c r="KP21" s="174" t="n"/>
      <c r="KQ21" s="174" t="n"/>
      <c r="KR21" s="174" t="n"/>
      <c r="KS21" s="174" t="n"/>
      <c r="KT21" s="174" t="n"/>
      <c r="KU21" s="174" t="n"/>
      <c r="KV21" s="174" t="n"/>
      <c r="KW21" s="174" t="n"/>
      <c r="KX21" s="174" t="n"/>
      <c r="KY21" s="174" t="n"/>
      <c r="KZ21" s="174" t="n"/>
      <c r="LA21" s="174" t="n"/>
      <c r="LB21" s="174" t="n"/>
      <c r="LC21" s="174" t="n"/>
      <c r="LD21" s="174" t="n"/>
      <c r="LE21" s="174" t="n"/>
      <c r="LF21" s="174" t="n"/>
      <c r="LG21" s="174" t="n"/>
      <c r="LH21" s="174" t="n"/>
      <c r="LI21" s="174" t="n"/>
      <c r="LJ21" s="174" t="n"/>
      <c r="LK21" s="174" t="n"/>
      <c r="LL21" s="174" t="n"/>
      <c r="LM21" s="174" t="n"/>
      <c r="LN21" s="174" t="n"/>
      <c r="LO21" s="174" t="n"/>
      <c r="LP21" s="174" t="n"/>
      <c r="LQ21" s="174" t="n"/>
      <c r="LR21" s="174" t="n"/>
      <c r="LS21" s="174" t="n"/>
      <c r="LT21" s="174" t="n"/>
      <c r="LU21" s="174" t="n"/>
      <c r="LV21" s="174" t="n"/>
      <c r="LW21" s="174" t="n"/>
      <c r="LX21" s="174" t="n"/>
      <c r="LY21" s="174" t="n"/>
      <c r="LZ21" s="174" t="n"/>
      <c r="MA21" s="174" t="n"/>
      <c r="MB21" s="174" t="n"/>
      <c r="MC21" s="174" t="n"/>
      <c r="MD21" s="174" t="n"/>
      <c r="ME21" s="174" t="n"/>
      <c r="MF21" s="174" t="n"/>
      <c r="MG21" s="174" t="n"/>
      <c r="MH21" s="174" t="n"/>
      <c r="MI21" s="174" t="n"/>
      <c r="MJ21" s="174" t="n"/>
      <c r="MK21" s="174" t="n"/>
      <c r="ML21" s="174" t="n"/>
      <c r="MM21" s="174" t="n"/>
      <c r="MN21" s="174" t="n"/>
      <c r="MO21" s="174" t="n"/>
      <c r="MP21" s="174" t="n"/>
      <c r="MQ21" s="174" t="n"/>
      <c r="MR21" s="174" t="n"/>
      <c r="MS21" s="174" t="n"/>
      <c r="MT21" s="174" t="n"/>
      <c r="MU21" s="174" t="n"/>
      <c r="MV21" s="174" t="n"/>
      <c r="MW21" s="174" t="n"/>
      <c r="MX21" s="174" t="n"/>
      <c r="MY21" s="174" t="n"/>
      <c r="MZ21" s="174" t="n"/>
      <c r="NA21" s="174" t="n"/>
      <c r="NB21" s="174" t="n"/>
      <c r="NC21" s="174" t="n"/>
      <c r="ND21" s="174" t="n"/>
      <c r="NE21" s="174" t="n"/>
      <c r="NF21" s="174" t="n"/>
      <c r="NG21" s="174" t="n"/>
      <c r="NH21" s="174" t="n"/>
      <c r="NI21" s="174" t="n"/>
      <c r="NJ21" s="174" t="n"/>
      <c r="NK21" s="174" t="n"/>
      <c r="NL21" s="174" t="n"/>
      <c r="NM21" s="174" t="n"/>
      <c r="NN21" s="174" t="n"/>
      <c r="NO21" s="174" t="n"/>
      <c r="NP21" s="174" t="n"/>
      <c r="NQ21" s="174" t="n"/>
      <c r="NR21" s="174" t="n"/>
      <c r="NS21" s="174" t="n"/>
      <c r="NT21" s="174" t="n"/>
      <c r="NU21" s="174" t="n"/>
      <c r="NV21" s="174" t="n"/>
      <c r="NW21" s="174" t="n"/>
      <c r="NX21" s="174" t="n"/>
      <c r="NY21" s="174" t="n"/>
      <c r="NZ21" s="174" t="n"/>
      <c r="OA21" s="174" t="n"/>
      <c r="OB21" s="174" t="n"/>
      <c r="OC21" s="174" t="n"/>
      <c r="OD21" s="174" t="n"/>
      <c r="OE21" s="174" t="n"/>
      <c r="OF21" s="174" t="n"/>
      <c r="OG21" s="174" t="n"/>
      <c r="OH21" s="174" t="n"/>
      <c r="OI21" s="174" t="n"/>
      <c r="OJ21" s="174" t="n"/>
      <c r="OK21" s="174" t="n"/>
      <c r="OL21" s="174" t="n"/>
      <c r="OM21" s="174" t="n"/>
      <c r="ON21" s="174" t="n"/>
      <c r="OO21" s="174" t="n"/>
      <c r="OP21" s="174" t="n"/>
      <c r="OQ21" s="174" t="n"/>
      <c r="OR21" s="174" t="n"/>
      <c r="OS21" s="174" t="n"/>
      <c r="OT21" s="174" t="n"/>
      <c r="OU21" s="174" t="n"/>
      <c r="OV21" s="174" t="n"/>
      <c r="OW21" s="174" t="n"/>
      <c r="OX21" s="174" t="n"/>
      <c r="OY21" s="174" t="n"/>
      <c r="OZ21" s="174" t="n"/>
      <c r="PA21" s="174" t="n"/>
      <c r="PB21" s="174" t="n"/>
      <c r="PC21" s="174" t="n"/>
      <c r="PD21" s="174" t="n"/>
      <c r="PE21" s="174" t="n"/>
      <c r="PF21" s="174" t="n"/>
      <c r="PG21" s="174" t="n"/>
      <c r="PH21" s="174" t="n"/>
      <c r="PI21" s="174" t="n"/>
      <c r="PJ21" s="174" t="n"/>
      <c r="PK21" s="174" t="n"/>
      <c r="PL21" s="174" t="n"/>
      <c r="PM21" s="174" t="n"/>
      <c r="PN21" s="174" t="n"/>
      <c r="PO21" s="174" t="n"/>
      <c r="PP21" s="174" t="n"/>
      <c r="PQ21" s="174" t="n"/>
      <c r="PR21" s="174" t="n"/>
      <c r="PS21" s="174" t="n"/>
      <c r="PT21" s="174" t="n"/>
      <c r="PU21" s="174" t="n"/>
      <c r="PV21" s="174" t="n"/>
      <c r="PW21" s="174" t="n"/>
      <c r="PX21" s="174" t="n"/>
      <c r="PY21" s="174" t="n"/>
      <c r="PZ21" s="174" t="n"/>
      <c r="QA21" s="174" t="n"/>
      <c r="QB21" s="174" t="n"/>
      <c r="QC21" s="174" t="n"/>
      <c r="QD21" s="174" t="n"/>
      <c r="QE21" s="174" t="n"/>
      <c r="QF21" s="174" t="n"/>
      <c r="QG21" s="174" t="n"/>
      <c r="QH21" s="174" t="n"/>
      <c r="QI21" s="174" t="n"/>
      <c r="QJ21" s="174" t="n"/>
      <c r="QK21" s="174" t="n"/>
      <c r="QL21" s="174" t="n"/>
      <c r="QM21" s="174" t="n"/>
      <c r="QN21" s="174" t="n"/>
      <c r="QO21" s="174" t="n"/>
      <c r="QP21" s="174" t="n"/>
      <c r="QQ21" s="174" t="n"/>
      <c r="QR21" s="174" t="n"/>
      <c r="QS21" s="174" t="n"/>
      <c r="QT21" s="174" t="n"/>
      <c r="QU21" s="174" t="n"/>
      <c r="QV21" s="174" t="n"/>
      <c r="QW21" s="174" t="n"/>
      <c r="QX21" s="174" t="n"/>
      <c r="QY21" s="174" t="n"/>
      <c r="QZ21" s="174" t="n"/>
      <c r="RA21" s="174" t="n"/>
      <c r="RB21" s="174" t="n"/>
      <c r="RC21" s="174" t="n"/>
      <c r="RD21" s="174" t="n"/>
      <c r="RE21" s="174" t="n"/>
      <c r="RF21" s="174" t="n"/>
      <c r="RG21" s="174" t="n"/>
      <c r="RH21" s="174" t="n"/>
      <c r="RI21" s="174" t="n"/>
      <c r="RJ21" s="174" t="n"/>
      <c r="RK21" s="174" t="n"/>
      <c r="RL21" s="174" t="n"/>
      <c r="RM21" s="174" t="n"/>
      <c r="RN21" s="174" t="n"/>
      <c r="RO21" s="174" t="n"/>
      <c r="RP21" s="174" t="n"/>
      <c r="RQ21" s="174" t="n"/>
      <c r="RR21" s="174" t="n"/>
      <c r="RS21" s="174" t="n"/>
      <c r="RT21" s="174" t="n"/>
      <c r="RU21" s="174" t="n"/>
      <c r="RV21" s="174" t="n"/>
      <c r="RW21" s="174" t="n"/>
      <c r="RX21" s="174" t="n"/>
      <c r="RY21" s="174" t="n"/>
      <c r="RZ21" s="174" t="n"/>
      <c r="SA21" s="174" t="n"/>
      <c r="SB21" s="174" t="n"/>
      <c r="SC21" s="174" t="n"/>
      <c r="SD21" s="174" t="n"/>
      <c r="SE21" s="174" t="n"/>
      <c r="SF21" s="174" t="n"/>
    </row>
    <row r="22">
      <c r="B22" s="169" t="inlineStr">
        <is>
          <t>Fly in  PER/PHE</t>
        </is>
      </c>
      <c r="C22" s="170">
        <f>COUNTIF('INPUT - Roster'!$S$6:$S$206,"*PER/PHE*")</f>
        <v/>
      </c>
      <c r="D22" s="170">
        <f>COUNTIF('INPUT - Roster'!$T$6:$T$206,"*PER/PHE*")</f>
        <v/>
      </c>
      <c r="E22" s="170">
        <f>COUNTIF('INPUT - Roster'!$U$6:$U$206,"*PER/PHE*")</f>
        <v/>
      </c>
      <c r="F22" s="170">
        <f>COUNTIF('INPUT - Roster'!$V$6:$V$206,"*PER/PHE*")</f>
        <v/>
      </c>
      <c r="G22" s="170">
        <f>COUNTIF('INPUT - Roster'!$W$6:$W$206,"*PER/PHE*")</f>
        <v/>
      </c>
      <c r="H22" s="170">
        <f>COUNTIF('INPUT - Roster'!$X$6:$X$206,"*PER/PHE*")</f>
        <v/>
      </c>
      <c r="I22" s="170">
        <f>COUNTIF('INPUT - Roster'!$Y$6:$Y$206,"*PER/PHE*")</f>
        <v/>
      </c>
      <c r="J22" s="170">
        <f>COUNTIF('INPUT - Roster'!$Z$6:$Z$206,"*PER/PHE*")</f>
        <v/>
      </c>
      <c r="K22" s="170">
        <f>COUNTIF('INPUT - Roster'!$AA$6:$AA$206,"*PER/PHE*")</f>
        <v/>
      </c>
      <c r="L22" s="170">
        <f>COUNTIF('INPUT - Roster'!$AB$6:$AB$206,"*PER/PHE*")</f>
        <v/>
      </c>
      <c r="M22" s="170">
        <f>COUNTIF('INPUT - Roster'!$AC$6:$AC$206,"*PER/PHE*")</f>
        <v/>
      </c>
      <c r="N22" s="170">
        <f>COUNTIF('INPUT - Roster'!$AD$6:$AD$206,"*PER/PHE*")</f>
        <v/>
      </c>
      <c r="O22" s="170">
        <f>COUNTIF('INPUT - Roster'!$AE$6:$AE$206,"*PER/PHE*")</f>
        <v/>
      </c>
      <c r="P22" s="170">
        <f>COUNTIF('INPUT - Roster'!$AF$6:$AF$206,"*PER/PHE*")</f>
        <v/>
      </c>
      <c r="Q22" s="170">
        <f>COUNTIF('INPUT - Roster'!$AG$6:$AG$206,"*PER/PHE*")</f>
        <v/>
      </c>
      <c r="R22" s="170">
        <f>COUNTIF('INPUT - Roster'!$AH$6:$AH$206,"*PER/PHE*")</f>
        <v/>
      </c>
      <c r="S22" s="170">
        <f>COUNTIF('INPUT - Roster'!$AI$6:$AI$206,"*PER/PHE*")</f>
        <v/>
      </c>
      <c r="T22" s="170">
        <f>COUNTIF('INPUT - Roster'!$AJ$6:$AJ$206,"*PER/PHE*")</f>
        <v/>
      </c>
      <c r="U22" s="170">
        <f>COUNTIF('INPUT - Roster'!$AK$6:$AK$206,"*PER/PHE*")</f>
        <v/>
      </c>
      <c r="V22" s="170">
        <f>COUNTIF('INPUT - Roster'!$AL$6:$AL$206,"*PER/PHE*")</f>
        <v/>
      </c>
      <c r="W22" s="170">
        <f>COUNTIF('INPUT - Roster'!$AM$6:$AM$206,"*PER/PHE*")</f>
        <v/>
      </c>
      <c r="X22" s="170">
        <f>COUNTIF('INPUT - Roster'!$AN$6:$AN$206,"*PER/PHE*")</f>
        <v/>
      </c>
      <c r="Y22" s="170">
        <f>COUNTIF('INPUT - Roster'!$AO$6:$AO$206,"*PER/PHE*")</f>
        <v/>
      </c>
      <c r="Z22" s="170">
        <f>COUNTIF('INPUT - Roster'!$AP$6:$AP$206,"*PER/PHE*")</f>
        <v/>
      </c>
      <c r="AA22" s="170">
        <f>COUNTIF('INPUT - Roster'!$AQ$6:$AQ$206,"*PER/PHE*")</f>
        <v/>
      </c>
      <c r="AB22" s="170">
        <f>COUNTIF('INPUT - Roster'!$AR$6:$AR$206,"*PER/PHE*")</f>
        <v/>
      </c>
      <c r="AC22" s="170">
        <f>COUNTIF('INPUT - Roster'!$AS$6:$AS$206,"*PER/PHE*")</f>
        <v/>
      </c>
      <c r="AD22" s="170">
        <f>COUNTIF('INPUT - Roster'!$AT$6:$AT$206,"*PER/PHE*")</f>
        <v/>
      </c>
      <c r="AE22" s="170">
        <f>COUNTIF('INPUT - Roster'!$AU$6:$AU$206,"*PER/PHE*")</f>
        <v/>
      </c>
      <c r="AF22" s="170">
        <f>COUNTIF('INPUT - Roster'!$AV$6:$AV$206,"*PER/PHE*")</f>
        <v/>
      </c>
      <c r="AG22" s="170">
        <f>COUNTIF('INPUT - Roster'!$AW$6:$AW$206,"*PER/PHE*")</f>
        <v/>
      </c>
      <c r="AH22" s="170">
        <f>COUNTIF('INPUT - Roster'!$AX$6:$AX$206,"*PER/PHE*")</f>
        <v/>
      </c>
      <c r="AI22" s="170">
        <f>COUNTIF('INPUT - Roster'!$AY$6:$AY$206,"*PER/PHE*")</f>
        <v/>
      </c>
      <c r="AJ22" s="170">
        <f>COUNTIF('INPUT - Roster'!$AZ$6:$AZ$206,"*PER/PHE*")</f>
        <v/>
      </c>
      <c r="AK22" s="170">
        <f>COUNTIF('INPUT - Roster'!$BA$6:$BA$206,"*PER/PHE*")</f>
        <v/>
      </c>
      <c r="AL22" s="170">
        <f>COUNTIF('INPUT - Roster'!$BB$6:$BB$206,"*PER/PHE*")</f>
        <v/>
      </c>
      <c r="AM22" s="170">
        <f>COUNTIF('INPUT - Roster'!$BC$6:$BC$206,"*PER/PHE*")</f>
        <v/>
      </c>
      <c r="AN22" s="170">
        <f>COUNTIF('INPUT - Roster'!$BD$6:$BD$206,"*PER/PHE*")</f>
        <v/>
      </c>
      <c r="AO22" s="170">
        <f>COUNTIF('INPUT - Roster'!$BE$6:$BE$206,"*PER/PHE*")</f>
        <v/>
      </c>
      <c r="AP22" s="170">
        <f>COUNTIF('INPUT - Roster'!$BF$6:$BF$206,"*PER/PHE*")</f>
        <v/>
      </c>
      <c r="AQ22" s="170">
        <f>COUNTIF('INPUT - Roster'!$BG$6:$BG$206,"*PER/PHE*")</f>
        <v/>
      </c>
      <c r="AR22" s="170">
        <f>COUNTIF('INPUT - Roster'!$BH$6:$BH$206,"*PER/PHE*")</f>
        <v/>
      </c>
      <c r="AS22" s="170">
        <f>COUNTIF('INPUT - Roster'!$BI$6:$BI$206,"*PER/PHE*")</f>
        <v/>
      </c>
      <c r="AT22" s="170">
        <f>COUNTIF('INPUT - Roster'!$BJ$6:$BJ$206,"*PER/PHE*")</f>
        <v/>
      </c>
      <c r="AU22" s="170">
        <f>COUNTIF('INPUT - Roster'!$BK$6:$BK$206,"*PER/PHE*")</f>
        <v/>
      </c>
      <c r="AV22" s="170">
        <f>COUNTIF('INPUT - Roster'!$BL$6:$BL$206,"*PER/PHE*")</f>
        <v/>
      </c>
      <c r="AW22" s="170">
        <f>COUNTIF('INPUT - Roster'!$BM$6:$BM$206,"*PER/PHE*")</f>
        <v/>
      </c>
      <c r="AX22" s="170">
        <f>COUNTIF('INPUT - Roster'!$BN$6:$BN$206,"*PER/PHE*")</f>
        <v/>
      </c>
      <c r="AY22" s="170">
        <f>COUNTIF('INPUT - Roster'!$BO$6:$BO$206,"*PER/PHE*")</f>
        <v/>
      </c>
      <c r="AZ22" s="170">
        <f>COUNTIF('INPUT - Roster'!$BP$6:$BP$206,"*PER/PHE*")</f>
        <v/>
      </c>
      <c r="BA22" s="170">
        <f>COUNTIF('INPUT - Roster'!$BQ$6:$BQ$206,"*PER/PHE*")</f>
        <v/>
      </c>
      <c r="BB22" s="170">
        <f>COUNTIF('INPUT - Roster'!$BR$6:$BR$206,"*PER/PHE*")</f>
        <v/>
      </c>
      <c r="BC22" s="170">
        <f>COUNTIF('INPUT - Roster'!$BS$6:$BS$206,"*PER/PHE*")</f>
        <v/>
      </c>
      <c r="BD22" s="170">
        <f>COUNTIF('INPUT - Roster'!$BT$6:$BT$206,"*PER/PHE*")</f>
        <v/>
      </c>
      <c r="BE22" s="170">
        <f>COUNTIF('INPUT - Roster'!$BU$6:$BU$206,"*PER/PHE*")</f>
        <v/>
      </c>
      <c r="BF22" s="170">
        <f>COUNTIF('INPUT - Roster'!$BV$6:$BV$206,"*PER/PHE*")</f>
        <v/>
      </c>
      <c r="BG22" s="170">
        <f>COUNTIF('INPUT - Roster'!$BW$6:$BW$206,"*PER/PHE*")</f>
        <v/>
      </c>
      <c r="BH22" s="170">
        <f>COUNTIF('INPUT - Roster'!$BX$6:$BX$206,"*PER/PHE*")</f>
        <v/>
      </c>
      <c r="BI22" s="170">
        <f>COUNTIF('INPUT - Roster'!$BY$6:$BY$206,"*PER/PHE*")</f>
        <v/>
      </c>
      <c r="BJ22" s="170">
        <f>COUNTIF('INPUT - Roster'!$BZ$6:$BZ$206,"*PER/PHE*")</f>
        <v/>
      </c>
      <c r="BK22" s="170">
        <f>COUNTIF('INPUT - Roster'!$CA$6:$CA$206,"*PER/PHE*")</f>
        <v/>
      </c>
      <c r="BL22" s="170">
        <f>COUNTIF('INPUT - Roster'!$CB$6:$CB$206,"*PER/PHE*")</f>
        <v/>
      </c>
      <c r="BM22" s="170">
        <f>COUNTIF('INPUT - Roster'!$CC$6:$CC$206,"*PER/PHE*")</f>
        <v/>
      </c>
      <c r="BN22" s="170">
        <f>COUNTIF('INPUT - Roster'!$CD$6:$CD$206,"*PER/PHE*")</f>
        <v/>
      </c>
      <c r="BO22" s="170">
        <f>COUNTIF('INPUT - Roster'!$CE$6:$CE$206,"*PER/PHE*")</f>
        <v/>
      </c>
      <c r="BP22" s="170">
        <f>COUNTIF('INPUT - Roster'!$CF$6:$CF$206,"*PER/PHE*")</f>
        <v/>
      </c>
      <c r="BQ22" s="170">
        <f>COUNTIF('INPUT - Roster'!$CG$6:$CG$206,"*PER/PHE*")</f>
        <v/>
      </c>
      <c r="BR22" s="170">
        <f>COUNTIF('INPUT - Roster'!$CH$6:$CH$206,"*PER/PHE*")</f>
        <v/>
      </c>
      <c r="BS22" s="170">
        <f>COUNTIF('INPUT - Roster'!$CI$6:$CI$206,"*PER/PHE*")</f>
        <v/>
      </c>
      <c r="BT22" s="170">
        <f>COUNTIF('INPUT - Roster'!$CJ$6:$CJ$206,"*PER/PHE*")</f>
        <v/>
      </c>
      <c r="BU22" s="170">
        <f>COUNTIF('INPUT - Roster'!$CK$6:$CK$206,"*PER/PHE*")</f>
        <v/>
      </c>
      <c r="BV22" s="170">
        <f>COUNTIF('INPUT - Roster'!$CL$6:$CL$206,"*PER/PHE*")</f>
        <v/>
      </c>
      <c r="BW22" s="170">
        <f>COUNTIF('INPUT - Roster'!$CM$6:$CM$206,"*PER/PHE*")</f>
        <v/>
      </c>
      <c r="BX22" s="170">
        <f>COUNTIF('INPUT - Roster'!$CN$6:$CN$206,"*PER/PHE*")</f>
        <v/>
      </c>
      <c r="BY22" s="170">
        <f>COUNTIF('INPUT - Roster'!$CO$6:$CO$206,"*PER/PHE*")</f>
        <v/>
      </c>
      <c r="BZ22" s="170">
        <f>COUNTIF('INPUT - Roster'!$CP$6:$CP$206,"*PER/PHE*")</f>
        <v/>
      </c>
      <c r="CA22" s="170">
        <f>COUNTIF('INPUT - Roster'!$CQ$6:$CQ$206,"*PER/PHE*")</f>
        <v/>
      </c>
      <c r="CB22" s="170">
        <f>COUNTIF('INPUT - Roster'!$CR$6:$CR$206,"*PER/PHE*")</f>
        <v/>
      </c>
      <c r="CC22" s="170">
        <f>COUNTIF('INPUT - Roster'!$CS$6:$CS$206,"*PER/PHE*")</f>
        <v/>
      </c>
      <c r="CD22" s="170">
        <f>COUNTIF('INPUT - Roster'!$CT$6:$CT$206,"*PER/PHE*")</f>
        <v/>
      </c>
      <c r="CE22" s="170">
        <f>COUNTIF('INPUT - Roster'!$CU$6:$CU$206,"*PER/PHE*")</f>
        <v/>
      </c>
      <c r="CF22" s="170">
        <f>COUNTIF('INPUT - Roster'!$CV$6:$CV$206,"*PER/PHE*")</f>
        <v/>
      </c>
      <c r="CG22" s="170">
        <f>COUNTIF('INPUT - Roster'!$CW$6:$CW$206,"*PER/PHE*")</f>
        <v/>
      </c>
      <c r="CH22" s="170">
        <f>COUNTIF('INPUT - Roster'!$CX$6:$CX$206,"*PER/PHE*")</f>
        <v/>
      </c>
      <c r="CI22" s="170">
        <f>COUNTIF('INPUT - Roster'!$CY$6:$CY$206,"*PER/PHE*")</f>
        <v/>
      </c>
      <c r="CJ22" s="170">
        <f>COUNTIF('INPUT - Roster'!$CZ$6:$CZ$206,"*PER/PHE*")</f>
        <v/>
      </c>
      <c r="CK22" s="170">
        <f>COUNTIF('INPUT - Roster'!$DA$6:$DA$206,"*PER/PHE*")</f>
        <v/>
      </c>
      <c r="CL22" s="170">
        <f>COUNTIF('INPUT - Roster'!$DB$6:$DB$206,"*PER/PHE*")</f>
        <v/>
      </c>
      <c r="CM22" s="170">
        <f>COUNTIF('INPUT - Roster'!$DC$6:$DC$206,"*PER/PHE*")</f>
        <v/>
      </c>
      <c r="CN22" s="170">
        <f>COUNTIF('INPUT - Roster'!$DD$6:$DD$206,"*PER/PHE*")</f>
        <v/>
      </c>
      <c r="CO22" s="170">
        <f>COUNTIF('INPUT - Roster'!$DE$6:$DE$206,"*PER/PHE*")</f>
        <v/>
      </c>
      <c r="CP22" s="170">
        <f>COUNTIF('INPUT - Roster'!$DF$6:$DF$206,"*PER/PHE*")</f>
        <v/>
      </c>
      <c r="CQ22" s="170">
        <f>COUNTIF('INPUT - Roster'!$DG$6:$DG$206,"*PER/PHE*")</f>
        <v/>
      </c>
      <c r="CR22" s="170">
        <f>COUNTIF('INPUT - Roster'!$DH$6:$DH$206,"*PER/PHE*")</f>
        <v/>
      </c>
      <c r="CS22" s="170">
        <f>COUNTIF('INPUT - Roster'!$DI$6:$DI$206,"*PER/PHE*")</f>
        <v/>
      </c>
      <c r="CT22" s="170">
        <f>COUNTIF('INPUT - Roster'!$DJ$6:$DJ$206,"*PER/PHE*")</f>
        <v/>
      </c>
      <c r="CU22" s="170">
        <f>COUNTIF('INPUT - Roster'!$DK$6:$DK$206,"*PER/PHE*")</f>
        <v/>
      </c>
      <c r="CV22" s="170">
        <f>COUNTIF('INPUT - Roster'!$DL$6:$DL$206,"*PER/PHE*")</f>
        <v/>
      </c>
      <c r="CW22" s="170">
        <f>COUNTIF('INPUT - Roster'!$DM$6:$DM$206,"*PER/PHE*")</f>
        <v/>
      </c>
      <c r="CX22" s="170">
        <f>COUNTIF('INPUT - Roster'!$DN$6:$DN$206,"*PER/PHE*")</f>
        <v/>
      </c>
      <c r="CY22" s="170">
        <f>COUNTIF('INPUT - Roster'!$DO$6:$DO$206,"*PER/PHE*")</f>
        <v/>
      </c>
      <c r="CZ22" s="170">
        <f>COUNTIF('INPUT - Roster'!$DP$6:$DP$206,"*PER/PHE*")</f>
        <v/>
      </c>
      <c r="DA22" s="170">
        <f>COUNTIF('INPUT - Roster'!$DQ$6:$DQ$206,"*PER/PHE*")</f>
        <v/>
      </c>
      <c r="DB22" s="170">
        <f>COUNTIF('INPUT - Roster'!$DR$6:$DR$206,"*PER/PHE*")</f>
        <v/>
      </c>
      <c r="DC22" s="170">
        <f>COUNTIF('INPUT - Roster'!$DS$6:$DS$206,"*PER/PHE*")</f>
        <v/>
      </c>
      <c r="DD22" s="170">
        <f>COUNTIF('INPUT - Roster'!$DT$6:$DT$206,"*PER/PHE*")</f>
        <v/>
      </c>
      <c r="DE22" s="170">
        <f>COUNTIF('INPUT - Roster'!$DU$6:$DU$206,"*PER/PHE*")</f>
        <v/>
      </c>
      <c r="DF22" s="170">
        <f>COUNTIF('INPUT - Roster'!$DV$6:$DV$206,"*PER/PHE*")</f>
        <v/>
      </c>
      <c r="DG22" s="170">
        <f>COUNTIF('INPUT - Roster'!$DW$6:$DW$206,"*PER/PHE*")</f>
        <v/>
      </c>
      <c r="DH22" s="170">
        <f>COUNTIF('INPUT - Roster'!$DX$6:$DX$206,"*PER/PHE*")</f>
        <v/>
      </c>
      <c r="DI22" s="170">
        <f>COUNTIF('INPUT - Roster'!$DY$6:$DY$206,"*PER/PHE*")</f>
        <v/>
      </c>
      <c r="DJ22" s="170">
        <f>COUNTIF('INPUT - Roster'!$DZ$6:$DZ$206,"*PER/PHE*")</f>
        <v/>
      </c>
      <c r="DK22" s="170">
        <f>COUNTIF('INPUT - Roster'!$EA$6:$EA$206,"*PER/PHE*")</f>
        <v/>
      </c>
      <c r="DL22" s="170">
        <f>COUNTIF('INPUT - Roster'!$EB$6:$EB$206,"*PER/PHE*")</f>
        <v/>
      </c>
      <c r="DM22" s="170">
        <f>COUNTIF('INPUT - Roster'!$EC$6:$EC$206,"*PER/PHE*")</f>
        <v/>
      </c>
      <c r="DN22" s="170">
        <f>COUNTIF('INPUT - Roster'!$ED$6:$ED$206,"*PER/PHE*")</f>
        <v/>
      </c>
      <c r="DO22" s="170">
        <f>COUNTIF('INPUT - Roster'!$EE$6:$EE$206,"*PER/PHE*")</f>
        <v/>
      </c>
      <c r="DP22" s="170">
        <f>COUNTIF('INPUT - Roster'!$EF$6:$EF$206,"*PER/PHE*")</f>
        <v/>
      </c>
      <c r="DQ22" s="170">
        <f>COUNTIF('INPUT - Roster'!$EG$6:$EG$206,"*PER/PHE*")</f>
        <v/>
      </c>
      <c r="DR22" s="170">
        <f>COUNTIF('INPUT - Roster'!$EH$6:$EH$206,"*PER/PHE*")</f>
        <v/>
      </c>
      <c r="DS22" s="170">
        <f>COUNTIF('INPUT - Roster'!$EI$6:$EI$206,"*PER/PHE*")</f>
        <v/>
      </c>
      <c r="DT22" s="170">
        <f>COUNTIF('INPUT - Roster'!$EJ$6:$EJ$206,"*PER/PHE*")</f>
        <v/>
      </c>
      <c r="DU22" s="170">
        <f>COUNTIF('INPUT - Roster'!$EK$6:$EK$206,"*PER/PHE*")</f>
        <v/>
      </c>
      <c r="DV22" s="170">
        <f>COUNTIF('INPUT - Roster'!$EL$6:$EL$206,"*PER/PHE*")</f>
        <v/>
      </c>
      <c r="DW22" s="170">
        <f>COUNTIF('INPUT - Roster'!$EM$6:$EM$206,"*PER/PHE*")</f>
        <v/>
      </c>
      <c r="DX22" s="170">
        <f>COUNTIF('INPUT - Roster'!$EN$6:$EN$206,"*PER/PHE*")</f>
        <v/>
      </c>
      <c r="DY22" s="170">
        <f>COUNTIF('INPUT - Roster'!$EO$6:$EO$206,"*PER/PHE*")</f>
        <v/>
      </c>
      <c r="DZ22" s="170">
        <f>COUNTIF('INPUT - Roster'!$EP$6:$EP$206,"*PER/PHE*")</f>
        <v/>
      </c>
      <c r="EA22" s="170">
        <f>COUNTIF('INPUT - Roster'!$EQ$6:$EQ$206,"*PER/PHE*")</f>
        <v/>
      </c>
      <c r="EB22" s="170">
        <f>COUNTIF('INPUT - Roster'!$ER$6:$ER$206,"*PER/PHE*")</f>
        <v/>
      </c>
      <c r="EC22" s="170">
        <f>COUNTIF('INPUT - Roster'!$ES$6:$ES$206,"*PER/PHE*")</f>
        <v/>
      </c>
      <c r="ED22" s="170">
        <f>COUNTIF('INPUT - Roster'!$ET$6:$ET$206,"*PER/PHE*")</f>
        <v/>
      </c>
      <c r="EE22" s="170">
        <f>COUNTIF('INPUT - Roster'!$EU$6:$EU$206,"*PER/PHE*")</f>
        <v/>
      </c>
      <c r="EF22" s="170">
        <f>COUNTIF('INPUT - Roster'!$EV$6:$EV$206,"*PER/PHE*")</f>
        <v/>
      </c>
      <c r="EG22" s="170">
        <f>COUNTIF('INPUT - Roster'!$EW$6:$EW$206,"*PER/PHE*")</f>
        <v/>
      </c>
      <c r="EH22" s="170">
        <f>COUNTIF('INPUT - Roster'!$EX$6:$EX$206,"*PER/PHE*")</f>
        <v/>
      </c>
      <c r="EI22" s="170">
        <f>COUNTIF('INPUT - Roster'!$EY$6:$EY$206,"*PER/PHE*")</f>
        <v/>
      </c>
      <c r="EJ22" s="170">
        <f>COUNTIF('INPUT - Roster'!$EZ$6:$EZ$206,"*PER/PHE*")</f>
        <v/>
      </c>
      <c r="EK22" s="170">
        <f>COUNTIF('INPUT - Roster'!$FA$6:$FA$206,"*PER/PHE*")</f>
        <v/>
      </c>
      <c r="EL22" s="170">
        <f>COUNTIF('INPUT - Roster'!$FB$6:$FB$206,"*PER/PHE*")</f>
        <v/>
      </c>
      <c r="EM22" s="170">
        <f>COUNTIF('INPUT - Roster'!$FC$6:$FC$206,"*PER/PHE*")</f>
        <v/>
      </c>
      <c r="EN22" s="170">
        <f>COUNTIF('INPUT - Roster'!$FD$6:$FD$206,"*PER/PHE*")</f>
        <v/>
      </c>
      <c r="EO22" s="170">
        <f>COUNTIF('INPUT - Roster'!$FE$6:$FE$206,"*PER/PHE*")</f>
        <v/>
      </c>
      <c r="EP22" s="170">
        <f>COUNTIF('INPUT - Roster'!$FF$6:$FF$206,"*PER/PHE*")</f>
        <v/>
      </c>
      <c r="EQ22" s="170">
        <f>COUNTIF('INPUT - Roster'!$FG$6:$FG$206,"*PER/PHE*")</f>
        <v/>
      </c>
      <c r="ER22" s="170">
        <f>COUNTIF('INPUT - Roster'!$FH$6:$FH$206,"*PER/PHE*")</f>
        <v/>
      </c>
      <c r="ES22" s="170">
        <f>COUNTIF('INPUT - Roster'!$FI$6:$FI$206,"*PER/PHE*")</f>
        <v/>
      </c>
      <c r="ET22" s="170">
        <f>COUNTIF('INPUT - Roster'!$FJ$6:$FJ$206,"*PER/PHE*")</f>
        <v/>
      </c>
      <c r="EU22" s="170">
        <f>COUNTIF('INPUT - Roster'!$FK$6:$FK$206,"*PER/PHE*")</f>
        <v/>
      </c>
      <c r="EV22" s="170">
        <f>COUNTIF('INPUT - Roster'!$FL$6:$FL$206,"*PER/PHE*")</f>
        <v/>
      </c>
      <c r="EW22" s="170">
        <f>COUNTIF('INPUT - Roster'!$FM$6:$FM$206,"*PER/PHE*")</f>
        <v/>
      </c>
      <c r="EX22" s="170">
        <f>COUNTIF('INPUT - Roster'!$FN$6:$FN$206,"*PER/PHE*")</f>
        <v/>
      </c>
      <c r="EY22" s="170">
        <f>COUNTIF('INPUT - Roster'!$FO$6:$FO$206,"*PER/PHE*")</f>
        <v/>
      </c>
      <c r="EZ22" s="170">
        <f>COUNTIF('INPUT - Roster'!$FP$6:$FP$206,"*PER/PHE*")</f>
        <v/>
      </c>
      <c r="FA22" s="170">
        <f>COUNTIF('INPUT - Roster'!$FQ$6:$FQ$206,"*PER/PHE*")</f>
        <v/>
      </c>
      <c r="FB22" s="170">
        <f>COUNTIF('INPUT - Roster'!$FR$6:$FR$206,"*PER/PHE*")</f>
        <v/>
      </c>
      <c r="FC22" s="170">
        <f>COUNTIF('INPUT - Roster'!$FS$6:$FS$206,"*PER/PHE*")</f>
        <v/>
      </c>
      <c r="FD22" s="170">
        <f>COUNTIF('INPUT - Roster'!$FT$6:$FT$206,"*PER/PHE*")</f>
        <v/>
      </c>
      <c r="FE22" s="170">
        <f>COUNTIF('INPUT - Roster'!$FU$6:$FU$206,"*PER/PHE*")</f>
        <v/>
      </c>
      <c r="FF22" s="170">
        <f>COUNTIF('INPUT - Roster'!$FV$6:$FV$206,"*PER/PHE*")</f>
        <v/>
      </c>
      <c r="FG22" s="170">
        <f>COUNTIF('INPUT - Roster'!$FW$6:$FW$206,"*PER/PHE*")</f>
        <v/>
      </c>
      <c r="FH22" s="170">
        <f>COUNTIF('INPUT - Roster'!$FX$6:$FX$206,"*PER/PHE*")</f>
        <v/>
      </c>
      <c r="FI22" s="170">
        <f>COUNTIF('INPUT - Roster'!$FY$6:$FY$206,"*PER/PHE*")</f>
        <v/>
      </c>
      <c r="FJ22" s="170">
        <f>COUNTIF('INPUT - Roster'!$FZ$6:$FZ$206,"*PER/PHE*")</f>
        <v/>
      </c>
      <c r="FK22" s="170">
        <f>COUNTIF('INPUT - Roster'!$GA$6:$GA$206,"*PER/PHE*")</f>
        <v/>
      </c>
      <c r="FL22" s="170">
        <f>COUNTIF('INPUT - Roster'!$GB$6:$GB$206,"*PER/PHE*")</f>
        <v/>
      </c>
      <c r="FM22" s="170">
        <f>COUNTIF('INPUT - Roster'!$GC$6:$GC$206,"*PER/PHE*")</f>
        <v/>
      </c>
      <c r="FN22" s="170">
        <f>COUNTIF('INPUT - Roster'!$GD$6:$GD$206,"*PER/PHE*")</f>
        <v/>
      </c>
      <c r="FO22" s="170">
        <f>COUNTIF('INPUT - Roster'!$GE$6:$GE$206,"*PER/PHE*")</f>
        <v/>
      </c>
      <c r="FP22" s="170">
        <f>COUNTIF('INPUT - Roster'!$GF$6:$GF$206,"*PER/PHE*")</f>
        <v/>
      </c>
      <c r="FQ22" s="170">
        <f>COUNTIF('INPUT - Roster'!$GG$6:$GG$206,"*PER/PHE*")</f>
        <v/>
      </c>
      <c r="FR22" s="170">
        <f>COUNTIF('INPUT - Roster'!$GH$6:$GH$206,"*PER/PHE*")</f>
        <v/>
      </c>
      <c r="FS22" s="170">
        <f>COUNTIF('INPUT - Roster'!$GI$6:$GI$206,"*PER/PHE*")</f>
        <v/>
      </c>
      <c r="FT22" s="170">
        <f>COUNTIF('INPUT - Roster'!$GJ$6:$GJ$206,"*PER/PHE*")</f>
        <v/>
      </c>
      <c r="FU22" s="170">
        <f>COUNTIF('INPUT - Roster'!$GK$6:$GK$206,"*PER/PHE*")</f>
        <v/>
      </c>
      <c r="FV22" s="170">
        <f>COUNTIF('INPUT - Roster'!$GL$6:$GL$206,"*PER/PHE*")</f>
        <v/>
      </c>
      <c r="FW22" s="170">
        <f>COUNTIF('INPUT - Roster'!$GM$6:$GM$206,"*PER/PHE*")</f>
        <v/>
      </c>
      <c r="FX22" s="170">
        <f>COUNTIF('INPUT - Roster'!$GN$6:$GN$206,"*PER/PHE*")</f>
        <v/>
      </c>
      <c r="FY22" s="170">
        <f>COUNTIF('INPUT - Roster'!$GO$6:$GO$206,"*PER/PHE*")</f>
        <v/>
      </c>
      <c r="FZ22" s="170">
        <f>COUNTIF('INPUT - Roster'!$GP$6:$GP$206,"*PER/PHE*")</f>
        <v/>
      </c>
      <c r="GA22" s="170">
        <f>COUNTIF('INPUT - Roster'!$GQ$6:$GQ$206,"*PER/PHE*")</f>
        <v/>
      </c>
      <c r="GB22" s="170">
        <f>COUNTIF('INPUT - Roster'!$GR$6:$GR$206,"*PER/PHE*")</f>
        <v/>
      </c>
      <c r="GC22" s="170">
        <f>COUNTIF('INPUT - Roster'!$GS$6:$GS$206,"*PER/PHE*")</f>
        <v/>
      </c>
      <c r="GD22" s="170">
        <f>COUNTIF('INPUT - Roster'!$GT$6:$GT$206,"*PER/PHE*")</f>
        <v/>
      </c>
      <c r="GE22" s="170">
        <f>COUNTIF('INPUT - Roster'!$GU$6:$GU$206,"*PER/PHE*")</f>
        <v/>
      </c>
      <c r="GF22" s="170">
        <f>COUNTIF('INPUT - Roster'!$GV$6:$GV$206,"*PER/PHE*")</f>
        <v/>
      </c>
      <c r="GG22" s="170">
        <f>COUNTIF('INPUT - Roster'!$GW$6:$GW$206,"*PER/PHE*")</f>
        <v/>
      </c>
      <c r="GH22" s="170">
        <f>COUNTIF('INPUT - Roster'!$GX$6:$GX$206,"*PER/PHE*")</f>
        <v/>
      </c>
      <c r="GI22" s="170">
        <f>COUNTIF('INPUT - Roster'!$GY$6:$GY$206,"*PER/PHE*")</f>
        <v/>
      </c>
      <c r="GJ22" s="170">
        <f>COUNTIF('INPUT - Roster'!$GZ$6:$GZ$206,"*PER/PHE*")</f>
        <v/>
      </c>
      <c r="GK22" s="170">
        <f>COUNTIF('INPUT - Roster'!$HA$6:$HA$206,"*PER/PHE*")</f>
        <v/>
      </c>
      <c r="GL22" s="170">
        <f>COUNTIF('INPUT - Roster'!$HB$6:$HB$206,"*PER/PHE*")</f>
        <v/>
      </c>
      <c r="GM22" s="170">
        <f>COUNTIF('INPUT - Roster'!$HC$6:$HC$206,"*PER/PHE*")</f>
        <v/>
      </c>
      <c r="GN22" s="170">
        <f>COUNTIF('INPUT - Roster'!$HD$6:$HD$206,"*PER/PHE*")</f>
        <v/>
      </c>
      <c r="GO22" s="170">
        <f>COUNTIF('INPUT - Roster'!$HE$6:$HE$206,"*PER/PHE*")</f>
        <v/>
      </c>
      <c r="GP22" s="170">
        <f>COUNTIF('INPUT - Roster'!$HF$6:$HF$206,"*PER/PHE*")</f>
        <v/>
      </c>
      <c r="GQ22" s="170">
        <f>COUNTIF('INPUT - Roster'!$HG$6:$HG$206,"*PER/PHE*")</f>
        <v/>
      </c>
      <c r="GR22" s="170">
        <f>COUNTIF('INPUT - Roster'!$HH$6:$HH$206,"*PER/PHE*")</f>
        <v/>
      </c>
      <c r="GS22" s="170">
        <f>COUNTIF('INPUT - Roster'!$HI$6:$HI$206,"*PER/PHE*")</f>
        <v/>
      </c>
      <c r="GT22" s="170">
        <f>COUNTIF('INPUT - Roster'!$HJ$6:$HJ$206,"*PER/PHE*")</f>
        <v/>
      </c>
      <c r="GU22" s="170">
        <f>COUNTIF('INPUT - Roster'!$HK$6:$HK$206,"*PER/PHE*")</f>
        <v/>
      </c>
      <c r="GV22" s="170">
        <f>COUNTIF('INPUT - Roster'!$HL$6:$HL$206,"*PER/PHE*")</f>
        <v/>
      </c>
      <c r="GW22" s="170">
        <f>COUNTIF('INPUT - Roster'!$HM$6:$HM$206,"*PER/PHE*")</f>
        <v/>
      </c>
      <c r="GX22" s="170">
        <f>COUNTIF('INPUT - Roster'!$HN$6:$HN$206,"*PER/PHE*")</f>
        <v/>
      </c>
      <c r="GY22" s="170">
        <f>COUNTIF('INPUT - Roster'!$HO$6:$HO$206,"*PER/PHE*")</f>
        <v/>
      </c>
      <c r="GZ22" s="170">
        <f>COUNTIF('INPUT - Roster'!$HP$6:$HP$206,"*PER/PHE*")</f>
        <v/>
      </c>
      <c r="HA22" s="170">
        <f>COUNTIF('INPUT - Roster'!$HQ$6:$HQ$206,"*PER/PHE*")</f>
        <v/>
      </c>
      <c r="HB22" s="170">
        <f>COUNTIF('INPUT - Roster'!$HR$6:$HR$206,"*PER/PHE*")</f>
        <v/>
      </c>
      <c r="HC22" s="170">
        <f>COUNTIF('INPUT - Roster'!$HS$6:$HS$206,"*PER/PHE*")</f>
        <v/>
      </c>
      <c r="HD22" s="170">
        <f>COUNTIF('INPUT - Roster'!$HT$6:$HT$206,"*PER/PHE*")</f>
        <v/>
      </c>
      <c r="HE22" s="170">
        <f>COUNTIF('INPUT - Roster'!$HU$6:$HU$206,"*PER/PHE*")</f>
        <v/>
      </c>
      <c r="HF22" s="170">
        <f>COUNTIF('INPUT - Roster'!$HV$6:$HV$206,"*PER/PHE*")</f>
        <v/>
      </c>
      <c r="HG22" s="170">
        <f>COUNTIF('INPUT - Roster'!$HW$6:$HW$206,"*PER/PHE*")</f>
        <v/>
      </c>
      <c r="HH22" s="170">
        <f>COUNTIF('INPUT - Roster'!$HX$6:$HX$206,"*PER/PHE*")</f>
        <v/>
      </c>
      <c r="HI22" s="170">
        <f>COUNTIF('INPUT - Roster'!$HY$6:$HY$206,"*PER/PHE*")</f>
        <v/>
      </c>
      <c r="HJ22" s="170">
        <f>COUNTIF('INPUT - Roster'!$HZ$6:$HZ$206,"*PER/PHE*")</f>
        <v/>
      </c>
      <c r="HK22" s="170">
        <f>COUNTIF('INPUT - Roster'!$IA$6:$IA$206,"*PER/PHE*")</f>
        <v/>
      </c>
      <c r="HL22" s="170">
        <f>COUNTIF('INPUT - Roster'!$IB$6:$IB$206,"*PER/PHE*")</f>
        <v/>
      </c>
      <c r="HM22" s="170">
        <f>COUNTIF('INPUT - Roster'!$IC$6:$IC$206,"*PER/PHE*")</f>
        <v/>
      </c>
      <c r="HN22" s="170">
        <f>COUNTIF('INPUT - Roster'!$ID$6:$ID$206,"*PER/PHE*")</f>
        <v/>
      </c>
      <c r="HO22" s="170">
        <f>COUNTIF('INPUT - Roster'!$IE$6:$IE$206,"*PER/PHE*")</f>
        <v/>
      </c>
      <c r="HP22" s="170">
        <f>COUNTIF('INPUT - Roster'!$IF$6:$IF$206,"*PER/PHE*")</f>
        <v/>
      </c>
      <c r="HQ22" s="170">
        <f>COUNTIF('INPUT - Roster'!$IG$6:$IG$206,"*PER/PHE*")</f>
        <v/>
      </c>
      <c r="HR22" s="170">
        <f>COUNTIF('INPUT - Roster'!$IH$6:$IH$206,"*PER/PHE*")</f>
        <v/>
      </c>
      <c r="HS22" s="170">
        <f>COUNTIF('INPUT - Roster'!$II$6:$II$206,"*PER/PHE*")</f>
        <v/>
      </c>
      <c r="HT22" s="170">
        <f>COUNTIF('INPUT - Roster'!$IJ$6:$IJ$206,"*PER/PHE*")</f>
        <v/>
      </c>
      <c r="HU22" s="170">
        <f>COUNTIF('INPUT - Roster'!$IK$6:$IK$206,"*PER/PHE*")</f>
        <v/>
      </c>
      <c r="HV22" s="170">
        <f>COUNTIF('INPUT - Roster'!$IL$6:$IL$206,"*PER/PHE*")</f>
        <v/>
      </c>
      <c r="HW22" s="170">
        <f>COUNTIF('INPUT - Roster'!$IM$6:$IM$206,"*PER/PHE*")</f>
        <v/>
      </c>
      <c r="HX22" s="170">
        <f>COUNTIF('INPUT - Roster'!$IN$6:$IN$206,"*PER/PHE*")</f>
        <v/>
      </c>
      <c r="HY22" s="170">
        <f>COUNTIF('INPUT - Roster'!$IO$6:$IO$206,"*PER/PHE*")</f>
        <v/>
      </c>
      <c r="HZ22" s="170">
        <f>COUNTIF('INPUT - Roster'!$IP$6:$IP$206,"*PER/PHE*")</f>
        <v/>
      </c>
      <c r="IA22" s="170">
        <f>COUNTIF('INPUT - Roster'!$IQ$6:$IQ$206,"*PER/PHE*")</f>
        <v/>
      </c>
      <c r="IB22" s="170">
        <f>COUNTIF('INPUT - Roster'!$IR$6:$IR$206,"*PER/PHE*")</f>
        <v/>
      </c>
      <c r="IC22" s="170">
        <f>COUNTIF('INPUT - Roster'!$IS$6:$IS$206,"*PER/PHE*")</f>
        <v/>
      </c>
      <c r="ID22" s="170">
        <f>COUNTIF('INPUT - Roster'!$IT$6:$IT$206,"*PER/PHE*")</f>
        <v/>
      </c>
      <c r="IE22" s="170">
        <f>COUNTIF('INPUT - Roster'!$IU$6:$IU$206,"*PER/PHE*")</f>
        <v/>
      </c>
      <c r="IF22" s="170">
        <f>COUNTIF('INPUT - Roster'!$IV$6:$IV$206,"*PER/PHE*")</f>
        <v/>
      </c>
      <c r="IG22" s="170">
        <f>COUNTIF('INPUT - Roster'!$IW$6:$IW$206,"*PER/PHE*")</f>
        <v/>
      </c>
      <c r="IH22" s="170">
        <f>COUNTIF('INPUT - Roster'!$IX$6:$IX$206,"*PER/PHE*")</f>
        <v/>
      </c>
      <c r="II22" s="170">
        <f>COUNTIF('INPUT - Roster'!$IY$6:$IY$206,"*PER/PHE*")</f>
        <v/>
      </c>
      <c r="IJ22" s="170">
        <f>COUNTIF('INPUT - Roster'!$IZ$6:$IZ$206,"*PER/PHE*")</f>
        <v/>
      </c>
      <c r="IK22" s="170">
        <f>COUNTIF('INPUT - Roster'!$JA$6:$JA$206,"*PER/PHE*")</f>
        <v/>
      </c>
      <c r="IL22" s="170">
        <f>COUNTIF('INPUT - Roster'!$JB$6:$JB$206,"*PER/PHE*")</f>
        <v/>
      </c>
      <c r="IM22" s="170">
        <f>COUNTIF('INPUT - Roster'!$JC$6:$JC$206,"*PER/PHE*")</f>
        <v/>
      </c>
      <c r="IN22" s="170">
        <f>COUNTIF('INPUT - Roster'!$JD$6:$JD$206,"*PER/PHE*")</f>
        <v/>
      </c>
      <c r="IO22" s="170">
        <f>COUNTIF('INPUT - Roster'!$JE$6:$JE$206,"*PER/PHE*")</f>
        <v/>
      </c>
      <c r="IP22" s="170">
        <f>COUNTIF('INPUT - Roster'!$JF$6:$JF$206,"*PER/PHE*")</f>
        <v/>
      </c>
      <c r="IQ22" s="170">
        <f>COUNTIF('INPUT - Roster'!$JG$6:$JG$206,"*PER/PHE*")</f>
        <v/>
      </c>
      <c r="IR22" s="170">
        <f>COUNTIF('INPUT - Roster'!$JH$6:$JH$206,"*PER/PHE*")</f>
        <v/>
      </c>
      <c r="IS22" s="170">
        <f>COUNTIF('INPUT - Roster'!$JI$6:$JI$206,"*PER/PHE*")</f>
        <v/>
      </c>
      <c r="IT22" s="170">
        <f>COUNTIF('INPUT - Roster'!$JJ$6:$JJ$206,"*PER/PHE*")</f>
        <v/>
      </c>
      <c r="IU22" s="170">
        <f>COUNTIF('INPUT - Roster'!$JK$6:$JK$206,"*PER/PHE*")</f>
        <v/>
      </c>
      <c r="IV22" s="170">
        <f>COUNTIF('INPUT - Roster'!$JL$6:$JL$206,"*PER/PHE*")</f>
        <v/>
      </c>
      <c r="IW22" s="170">
        <f>COUNTIF('INPUT - Roster'!$JM$6:$JM$206,"*PER/PHE*")</f>
        <v/>
      </c>
      <c r="IX22" s="170">
        <f>COUNTIF('INPUT - Roster'!$JN$6:$JN$206,"*PER/PHE*")</f>
        <v/>
      </c>
      <c r="IY22" s="170">
        <f>COUNTIF('INPUT - Roster'!$JO$6:$JO$206,"*PER/PHE*")</f>
        <v/>
      </c>
      <c r="IZ22" s="170">
        <f>COUNTIF('INPUT - Roster'!$JP$6:$JP$206,"*PER/PHE*")</f>
        <v/>
      </c>
      <c r="JA22" s="170">
        <f>COUNTIF('INPUT - Roster'!$JQ$6:$JQ$206,"*PER/PHE*")</f>
        <v/>
      </c>
      <c r="JB22" s="170">
        <f>COUNTIF('INPUT - Roster'!$JR$6:$JR$206,"*PER/PHE*")</f>
        <v/>
      </c>
      <c r="JC22" s="170">
        <f>COUNTIF('INPUT - Roster'!$JS$6:$JS$206,"*PER/PHE*")</f>
        <v/>
      </c>
      <c r="JD22" s="170">
        <f>COUNTIF('INPUT - Roster'!$JT$6:$JT$206,"*PER/PHE*")</f>
        <v/>
      </c>
      <c r="JE22" s="170">
        <f>COUNTIF('INPUT - Roster'!$JU$6:$JU$206,"*PER/PHE*")</f>
        <v/>
      </c>
      <c r="JF22" s="170">
        <f>COUNTIF('INPUT - Roster'!$JV$6:$JV$206,"*PER/PHE*")</f>
        <v/>
      </c>
      <c r="JG22" s="170">
        <f>COUNTIF('INPUT - Roster'!$JW$6:$JW$206,"*PER/PHE*")</f>
        <v/>
      </c>
      <c r="JH22" s="170">
        <f>COUNTIF('INPUT - Roster'!$JX$6:$JX$206,"*PER/PHE*")</f>
        <v/>
      </c>
      <c r="JI22" s="170">
        <f>COUNTIF('INPUT - Roster'!$JY$6:$JY$206,"*PER/PHE*")</f>
        <v/>
      </c>
      <c r="JJ22" s="170">
        <f>COUNTIF('INPUT - Roster'!$JZ$6:$JZ$206,"*PER/PHE*")</f>
        <v/>
      </c>
      <c r="JK22" s="170">
        <f>COUNTIF('INPUT - Roster'!$KA$6:$KA$206,"*PER/PHE*")</f>
        <v/>
      </c>
      <c r="JL22" s="170">
        <f>COUNTIF('INPUT - Roster'!$KB$6:$KB$206,"*PER/PHE*")</f>
        <v/>
      </c>
      <c r="JM22" s="170">
        <f>COUNTIF('INPUT - Roster'!$KC$6:$KC$206,"*PER/PHE*")</f>
        <v/>
      </c>
      <c r="JN22" s="170">
        <f>COUNTIF('INPUT - Roster'!$KD$6:$KD$206,"*PER/PHE*")</f>
        <v/>
      </c>
      <c r="JO22" s="170">
        <f>COUNTIF('INPUT - Roster'!$KE$6:$KE$206,"*PER/PHE*")</f>
        <v/>
      </c>
      <c r="JP22" s="170">
        <f>COUNTIF('INPUT - Roster'!$KF$6:$KF$206,"*PER/PHE*")</f>
        <v/>
      </c>
      <c r="JQ22" s="170">
        <f>COUNTIF('INPUT - Roster'!$KG$6:$KG$206,"*PER/PHE*")</f>
        <v/>
      </c>
      <c r="JR22" s="170">
        <f>COUNTIF('INPUT - Roster'!$KH$6:$KH$206,"*PER/PHE*")</f>
        <v/>
      </c>
      <c r="JS22" s="170">
        <f>COUNTIF('INPUT - Roster'!$KI$6:$KI$206,"*PER/PHE*")</f>
        <v/>
      </c>
      <c r="JT22" s="170">
        <f>COUNTIF('INPUT - Roster'!$KJ$6:$KJ$206,"*PER/PHE*")</f>
        <v/>
      </c>
      <c r="JU22" s="170">
        <f>COUNTIF('INPUT - Roster'!$KK$6:$KK$206,"*PER/PHE*")</f>
        <v/>
      </c>
      <c r="JV22" s="170">
        <f>COUNTIF('INPUT - Roster'!$KL$6:$KL$206,"*PER/PHE*")</f>
        <v/>
      </c>
      <c r="JW22" s="170">
        <f>COUNTIF('INPUT - Roster'!$KM$6:$KM$206,"*PER/PHE*")</f>
        <v/>
      </c>
      <c r="JX22" s="170">
        <f>COUNTIF('INPUT - Roster'!$KN$6:$KN$206,"*PER/PHE*")</f>
        <v/>
      </c>
      <c r="JY22" s="170">
        <f>COUNTIF('INPUT - Roster'!$KO$6:$KO$206,"*PER/PHE*")</f>
        <v/>
      </c>
      <c r="JZ22" s="170">
        <f>COUNTIF('INPUT - Roster'!$KP$6:$KP$206,"*PER/PHE*")</f>
        <v/>
      </c>
      <c r="KA22" s="170">
        <f>COUNTIF('INPUT - Roster'!$KQ$6:$KQ$206,"*PER/PHE*")</f>
        <v/>
      </c>
      <c r="KB22" s="170">
        <f>COUNTIF('INPUT - Roster'!$KR$6:$KR$206,"*PER/PHE*")</f>
        <v/>
      </c>
      <c r="KC22" s="170">
        <f>COUNTIF('INPUT - Roster'!$KS$6:$KS$206,"*PER/PHE*")</f>
        <v/>
      </c>
      <c r="KD22" s="170">
        <f>COUNTIF('INPUT - Roster'!$KT$6:$KT$206,"*PER/PHE*")</f>
        <v/>
      </c>
      <c r="KE22" s="170">
        <f>COUNTIF('INPUT - Roster'!$KU$6:$KU$206,"*PER/PHE*")</f>
        <v/>
      </c>
      <c r="KF22" s="170">
        <f>COUNTIF('INPUT - Roster'!$KV$6:$KV$206,"*PER/PHE*")</f>
        <v/>
      </c>
      <c r="KG22" s="170">
        <f>COUNTIF('INPUT - Roster'!$KW$6:$KW$206,"*PER/PHE*")</f>
        <v/>
      </c>
      <c r="KH22" s="170">
        <f>COUNTIF('INPUT - Roster'!$KX$6:$KX$206,"*PER/PHE*")</f>
        <v/>
      </c>
      <c r="KI22" s="170">
        <f>COUNTIF('INPUT - Roster'!$KY$6:$KY$206,"*PER/PHE*")</f>
        <v/>
      </c>
      <c r="KJ22" s="170">
        <f>COUNTIF('INPUT - Roster'!$KZ$6:$KZ$206,"*PER/PHE*")</f>
        <v/>
      </c>
      <c r="KK22" s="170">
        <f>COUNTIF('INPUT - Roster'!$LA$6:$LA$206,"*PER/PHE*")</f>
        <v/>
      </c>
      <c r="KL22" s="170">
        <f>COUNTIF('INPUT - Roster'!$LB$6:$LB$206,"*PER/PHE*")</f>
        <v/>
      </c>
      <c r="KM22" s="170">
        <f>COUNTIF('INPUT - Roster'!$LC$6:$LC$206,"*PER/PHE*")</f>
        <v/>
      </c>
      <c r="KN22" s="170">
        <f>COUNTIF('INPUT - Roster'!$LD$6:$LD$206,"*PER/PHE*")</f>
        <v/>
      </c>
      <c r="KO22" s="170">
        <f>COUNTIF('INPUT - Roster'!$LE$6:$LE$206,"*PER/PHE*")</f>
        <v/>
      </c>
      <c r="KP22" s="170">
        <f>COUNTIF('INPUT - Roster'!$LF$6:$LF$206,"*PER/PHE*")</f>
        <v/>
      </c>
      <c r="KQ22" s="170">
        <f>COUNTIF('INPUT - Roster'!$LG$6:$LG$206,"*PER/PHE*")</f>
        <v/>
      </c>
      <c r="KR22" s="170">
        <f>COUNTIF('INPUT - Roster'!$LH$6:$LH$206,"*PER/PHE*")</f>
        <v/>
      </c>
      <c r="KS22" s="170">
        <f>COUNTIF('INPUT - Roster'!$LI$6:$LI$206,"*PER/PHE*")</f>
        <v/>
      </c>
      <c r="KT22" s="170">
        <f>COUNTIF('INPUT - Roster'!$LJ$6:$LJ$206,"*PER/PHE*")</f>
        <v/>
      </c>
      <c r="KU22" s="170">
        <f>COUNTIF('INPUT - Roster'!$LK$6:$LK$206,"*PER/PHE*")</f>
        <v/>
      </c>
      <c r="KV22" s="170">
        <f>COUNTIF('INPUT - Roster'!$LL$6:$LL$206,"*PER/PHE*")</f>
        <v/>
      </c>
      <c r="KW22" s="170">
        <f>COUNTIF('INPUT - Roster'!$LM$6:$LM$206,"*PER/PHE*")</f>
        <v/>
      </c>
      <c r="KX22" s="170">
        <f>COUNTIF('INPUT - Roster'!$LN$6:$LN$206,"*PER/PHE*")</f>
        <v/>
      </c>
      <c r="KY22" s="170">
        <f>COUNTIF('INPUT - Roster'!$LO$6:$LO$206,"*PER/PHE*")</f>
        <v/>
      </c>
      <c r="KZ22" s="170">
        <f>COUNTIF('INPUT - Roster'!$LP$6:$LP$206,"*PER/PHE*")</f>
        <v/>
      </c>
      <c r="LA22" s="170">
        <f>COUNTIF('INPUT - Roster'!$LQ$6:$LQ$206,"*PER/PHE*")</f>
        <v/>
      </c>
      <c r="LB22" s="170">
        <f>COUNTIF('INPUT - Roster'!$LR$6:$LR$206,"*PER/PHE*")</f>
        <v/>
      </c>
      <c r="LC22" s="170">
        <f>COUNTIF('INPUT - Roster'!$LS$6:$LS$206,"*PER/PHE*")</f>
        <v/>
      </c>
      <c r="LD22" s="170">
        <f>COUNTIF('INPUT - Roster'!$LT$6:$LT$206,"*PER/PHE*")</f>
        <v/>
      </c>
      <c r="LE22" s="170">
        <f>COUNTIF('INPUT - Roster'!$LU$6:$LU$206,"*PER/PHE*")</f>
        <v/>
      </c>
      <c r="LF22" s="170">
        <f>COUNTIF('INPUT - Roster'!$LV$6:$LV$206,"*PER/PHE*")</f>
        <v/>
      </c>
      <c r="LG22" s="170">
        <f>COUNTIF('INPUT - Roster'!$LW$6:$LW$206,"*PER/PHE*")</f>
        <v/>
      </c>
      <c r="LH22" s="170">
        <f>COUNTIF('INPUT - Roster'!$LX$6:$LX$206,"*PER/PHE*")</f>
        <v/>
      </c>
      <c r="LI22" s="170">
        <f>COUNTIF('INPUT - Roster'!$LY$6:$LY$206,"*PER/PHE*")</f>
        <v/>
      </c>
      <c r="LJ22" s="170">
        <f>COUNTIF('INPUT - Roster'!$LZ$6:$LZ$206,"*PER/PHE*")</f>
        <v/>
      </c>
      <c r="LK22" s="170">
        <f>COUNTIF('INPUT - Roster'!$MA$6:$MA$206,"*PER/PHE*")</f>
        <v/>
      </c>
      <c r="LL22" s="170">
        <f>COUNTIF('INPUT - Roster'!$MB$6:$MB$206,"*PER/PHE*")</f>
        <v/>
      </c>
      <c r="LM22" s="170">
        <f>COUNTIF('INPUT - Roster'!$MC$6:$MC$206,"*PER/PHE*")</f>
        <v/>
      </c>
      <c r="LN22" s="170">
        <f>COUNTIF('INPUT - Roster'!$MD$6:$MD$206,"*PER/PHE*")</f>
        <v/>
      </c>
      <c r="LO22" s="170">
        <f>COUNTIF('INPUT - Roster'!$ME$6:$ME$206,"*PER/PHE*")</f>
        <v/>
      </c>
      <c r="LP22" s="170">
        <f>COUNTIF('INPUT - Roster'!$MF$6:$MF$206,"*PER/PHE*")</f>
        <v/>
      </c>
      <c r="LQ22" s="170">
        <f>COUNTIF('INPUT - Roster'!$MG$6:$MG$206,"*PER/PHE*")</f>
        <v/>
      </c>
      <c r="LR22" s="170">
        <f>COUNTIF('INPUT - Roster'!$MH$6:$MH$206,"*PER/PHE*")</f>
        <v/>
      </c>
      <c r="LS22" s="170">
        <f>COUNTIF('INPUT - Roster'!$MI$6:$MI$206,"*PER/PHE*")</f>
        <v/>
      </c>
      <c r="LT22" s="170">
        <f>COUNTIF('INPUT - Roster'!$MJ$6:$MJ$206,"*PER/PHE*")</f>
        <v/>
      </c>
      <c r="LU22" s="170">
        <f>COUNTIF('INPUT - Roster'!$MK$6:$MK$206,"*PER/PHE*")</f>
        <v/>
      </c>
      <c r="LV22" s="170">
        <f>COUNTIF('INPUT - Roster'!$ML$6:$ML$206,"*PER/PHE*")</f>
        <v/>
      </c>
      <c r="LW22" s="170">
        <f>COUNTIF('INPUT - Roster'!$MM$6:$MM$206,"*PER/PHE*")</f>
        <v/>
      </c>
      <c r="LX22" s="170">
        <f>COUNTIF('INPUT - Roster'!$MN$6:$MN$206,"*PER/PHE*")</f>
        <v/>
      </c>
      <c r="LY22" s="170">
        <f>COUNTIF('INPUT - Roster'!$MO$6:$MO$206,"*PER/PHE*")</f>
        <v/>
      </c>
      <c r="LZ22" s="170">
        <f>COUNTIF('INPUT - Roster'!$MP$6:$MP$206,"*PER/PHE*")</f>
        <v/>
      </c>
      <c r="MA22" s="170">
        <f>COUNTIF('INPUT - Roster'!$MQ$6:$MQ$206,"*PER/PHE*")</f>
        <v/>
      </c>
      <c r="MB22" s="170">
        <f>COUNTIF('INPUT - Roster'!$MR$6:$MR$206,"*PER/PHE*")</f>
        <v/>
      </c>
      <c r="MC22" s="170">
        <f>COUNTIF('INPUT - Roster'!$MS$6:$MS$206,"*PER/PHE*")</f>
        <v/>
      </c>
      <c r="MD22" s="170">
        <f>COUNTIF('INPUT - Roster'!$MT$6:$MT$206,"*PER/PHE*")</f>
        <v/>
      </c>
      <c r="ME22" s="170">
        <f>COUNTIF('INPUT - Roster'!$MU$6:$MU$206,"*PER/PHE*")</f>
        <v/>
      </c>
      <c r="MF22" s="170">
        <f>COUNTIF('INPUT - Roster'!$MV$6:$MV$206,"*PER/PHE*")</f>
        <v/>
      </c>
      <c r="MG22" s="170">
        <f>COUNTIF('INPUT - Roster'!$MW$6:$MW$206,"*PER/PHE*")</f>
        <v/>
      </c>
      <c r="MH22" s="170">
        <f>COUNTIF('INPUT - Roster'!$MX$6:$MX$206,"*PER/PHE*")</f>
        <v/>
      </c>
      <c r="MI22" s="170">
        <f>COUNTIF('INPUT - Roster'!$MY$6:$MY$206,"*PER/PHE*")</f>
        <v/>
      </c>
      <c r="MJ22" s="170">
        <f>COUNTIF('INPUT - Roster'!$MZ$6:$MZ$206,"*PER/PHE*")</f>
        <v/>
      </c>
      <c r="MK22" s="170">
        <f>COUNTIF('INPUT - Roster'!$NA$6:$NA$206,"*PER/PHE*")</f>
        <v/>
      </c>
      <c r="ML22" s="170">
        <f>COUNTIF('INPUT - Roster'!$NB$6:$NB$206,"*PER/PHE*")</f>
        <v/>
      </c>
      <c r="MM22" s="170">
        <f>COUNTIF('INPUT - Roster'!$NC$6:$NC$206,"*PER/PHE*")</f>
        <v/>
      </c>
      <c r="MN22" s="170">
        <f>COUNTIF('INPUT - Roster'!$ND$6:$ND$206,"*PER/PHE*")</f>
        <v/>
      </c>
      <c r="MO22" s="170">
        <f>COUNTIF('INPUT - Roster'!$NE$6:$NE$206,"*PER/PHE*")</f>
        <v/>
      </c>
      <c r="MP22" s="170">
        <f>COUNTIF('INPUT - Roster'!$NF$6:$NF$206,"*PER/PHE*")</f>
        <v/>
      </c>
      <c r="MQ22" s="170">
        <f>COUNTIF('INPUT - Roster'!$NG$6:$NG$206,"*PER/PHE*")</f>
        <v/>
      </c>
      <c r="MR22" s="170">
        <f>COUNTIF('INPUT - Roster'!$NH$6:$NH$206,"*PER/PHE*")</f>
        <v/>
      </c>
      <c r="MS22" s="170">
        <f>COUNTIF('INPUT - Roster'!$NI$6:$NI$206,"*PER/PHE*")</f>
        <v/>
      </c>
      <c r="MT22" s="170">
        <f>COUNTIF('INPUT - Roster'!$NJ$6:$NJ$206,"*PER/PHE*")</f>
        <v/>
      </c>
      <c r="MU22" s="170">
        <f>COUNTIF('INPUT - Roster'!$NK$6:$NK$206,"*PER/PHE*")</f>
        <v/>
      </c>
      <c r="MV22" s="170">
        <f>COUNTIF('INPUT - Roster'!$NL$6:$NL$206,"*PER/PHE*")</f>
        <v/>
      </c>
      <c r="MW22" s="170">
        <f>COUNTIF('INPUT - Roster'!$NM$6:$NM$206,"*PER/PHE*")</f>
        <v/>
      </c>
      <c r="MX22" s="170">
        <f>COUNTIF('INPUT - Roster'!$NN$6:$NN$206,"*PER/PHE*")</f>
        <v/>
      </c>
      <c r="MY22" s="170">
        <f>COUNTIF('INPUT - Roster'!$NO$6:$NO$206,"*PER/PHE*")</f>
        <v/>
      </c>
      <c r="MZ22" s="170">
        <f>COUNTIF('INPUT - Roster'!$NP$6:$NP$206,"*PER/PHE*")</f>
        <v/>
      </c>
      <c r="NA22" s="170">
        <f>COUNTIF('INPUT - Roster'!$NQ$6:$NQ$206,"*PER/PHE*")</f>
        <v/>
      </c>
      <c r="NB22" s="170">
        <f>COUNTIF('INPUT - Roster'!$NR$6:$NR$206,"*PER/PHE*")</f>
        <v/>
      </c>
      <c r="NC22" s="170">
        <f>COUNTIF('INPUT - Roster'!$NS$6:$NS$206,"*PER/PHE*")</f>
        <v/>
      </c>
      <c r="ND22" s="170">
        <f>COUNTIF('INPUT - Roster'!$NT$6:$NT$206,"*PER/PHE*")</f>
        <v/>
      </c>
      <c r="NE22" s="170">
        <f>COUNTIF('INPUT - Roster'!$NU$6:$NU$206,"*PER/PHE*")</f>
        <v/>
      </c>
      <c r="NF22" s="170">
        <f>COUNTIF('INPUT - Roster'!$NV$6:$NV$206,"*PER/PHE*")</f>
        <v/>
      </c>
      <c r="NG22" s="170">
        <f>COUNTIF('INPUT - Roster'!$NW$6:$NW$206,"*PER/PHE*")</f>
        <v/>
      </c>
      <c r="NH22" s="170">
        <f>COUNTIF('INPUT - Roster'!$NX$6:$NX$206,"*PER/PHE*")</f>
        <v/>
      </c>
      <c r="NI22" s="170">
        <f>COUNTIF('INPUT - Roster'!$NY$6:$NY$206,"*PER/PHE*")</f>
        <v/>
      </c>
      <c r="NJ22" s="170">
        <f>COUNTIF('INPUT - Roster'!$NZ$6:$NZ$206,"*PER/PHE*")</f>
        <v/>
      </c>
      <c r="NK22" s="170">
        <f>COUNTIF('INPUT - Roster'!$OA$6:$OA$206,"*PER/PHE*")</f>
        <v/>
      </c>
      <c r="NL22" s="170">
        <f>COUNTIF('INPUT - Roster'!$OB$6:$OB$206,"*PER/PHE*")</f>
        <v/>
      </c>
      <c r="NM22" s="170">
        <f>COUNTIF('INPUT - Roster'!$OC$6:$OC$206,"*PER/PHE*")</f>
        <v/>
      </c>
      <c r="NN22" s="170">
        <f>COUNTIF('INPUT - Roster'!$OD$6:$OD$206,"*PER/PHE*")</f>
        <v/>
      </c>
      <c r="NO22" s="170">
        <f>COUNTIF('INPUT - Roster'!$OE$6:$OE$206,"*PER/PHE*")</f>
        <v/>
      </c>
      <c r="NP22" s="170">
        <f>COUNTIF('INPUT - Roster'!$OF$6:$OF$206,"*PER/PHE*")</f>
        <v/>
      </c>
      <c r="NQ22" s="170">
        <f>COUNTIF('INPUT - Roster'!$OG$6:$OG$206,"*PER/PHE*")</f>
        <v/>
      </c>
      <c r="NR22" s="170">
        <f>COUNTIF('INPUT - Roster'!$OH$6:$OH$206,"*PER/PHE*")</f>
        <v/>
      </c>
      <c r="NS22" s="170">
        <f>COUNTIF('INPUT - Roster'!$OI$6:$OI$206,"*PER/PHE*")</f>
        <v/>
      </c>
      <c r="NT22" s="170">
        <f>COUNTIF('INPUT - Roster'!$OJ$6:$OJ$206,"*PER/PHE*")</f>
        <v/>
      </c>
      <c r="NU22" s="170">
        <f>COUNTIF('INPUT - Roster'!$OK$6:$OK$206,"*PER/PHE*")</f>
        <v/>
      </c>
      <c r="NV22" s="170">
        <f>COUNTIF('INPUT - Roster'!$OL$6:$OL$206,"*PER/PHE*")</f>
        <v/>
      </c>
      <c r="NW22" s="170">
        <f>COUNTIF('INPUT - Roster'!$OM$6:$OM$206,"*PER/PHE*")</f>
        <v/>
      </c>
      <c r="NX22" s="170">
        <f>COUNTIF('INPUT - Roster'!$ON$6:$ON$206,"*PER/PHE*")</f>
        <v/>
      </c>
      <c r="NY22" s="170">
        <f>COUNTIF('INPUT - Roster'!$OO$6:$OO$206,"*PER/PHE*")</f>
        <v/>
      </c>
      <c r="NZ22" s="170">
        <f>COUNTIF('INPUT - Roster'!$OP$6:$OP$206,"*PER/PHE*")</f>
        <v/>
      </c>
      <c r="OA22" s="170">
        <f>COUNTIF('INPUT - Roster'!$OQ$6:$OQ$206,"*PER/PHE*")</f>
        <v/>
      </c>
      <c r="OB22" s="170">
        <f>COUNTIF('INPUT - Roster'!$OR$6:$OR$206,"*PER/PHE*")</f>
        <v/>
      </c>
      <c r="OC22" s="170">
        <f>COUNTIF('INPUT - Roster'!$OS$6:$OS$206,"*PER/PHE*")</f>
        <v/>
      </c>
      <c r="OD22" s="170">
        <f>COUNTIF('INPUT - Roster'!$OT$6:$OT$206,"*PER/PHE*")</f>
        <v/>
      </c>
      <c r="OE22" s="170">
        <f>COUNTIF('INPUT - Roster'!$OU$6:$OU$206,"*PER/PHE*")</f>
        <v/>
      </c>
      <c r="OF22" s="170">
        <f>COUNTIF('INPUT - Roster'!$OV$6:$OV$206,"*PER/PHE*")</f>
        <v/>
      </c>
      <c r="OG22" s="170">
        <f>COUNTIF('INPUT - Roster'!$OW$6:$OW$206,"*PER/PHE*")</f>
        <v/>
      </c>
      <c r="OH22" s="170">
        <f>COUNTIF('INPUT - Roster'!$OX$6:$OX$206,"*PER/PHE*")</f>
        <v/>
      </c>
      <c r="OI22" s="170">
        <f>COUNTIF('INPUT - Roster'!$OY$6:$OY$206,"*PER/PHE*")</f>
        <v/>
      </c>
      <c r="OJ22" s="170">
        <f>COUNTIF('INPUT - Roster'!$OZ$6:$OZ$206,"*PER/PHE*")</f>
        <v/>
      </c>
      <c r="OK22" s="170">
        <f>COUNTIF('INPUT - Roster'!$PA$6:$PA$206,"*PER/PHE*")</f>
        <v/>
      </c>
      <c r="OL22" s="170">
        <f>COUNTIF('INPUT - Roster'!$PB$6:$PB$206,"*PER/PHE*")</f>
        <v/>
      </c>
      <c r="OM22" s="170">
        <f>COUNTIF('INPUT - Roster'!$PC$6:$PC$206,"*PER/PHE*")</f>
        <v/>
      </c>
      <c r="ON22" s="170">
        <f>COUNTIF('INPUT - Roster'!$PD$6:$PD$206,"*PER/PHE*")</f>
        <v/>
      </c>
      <c r="OO22" s="170">
        <f>COUNTIF('INPUT - Roster'!$PE$6:$PE$206,"*PER/PHE*")</f>
        <v/>
      </c>
      <c r="OP22" s="170">
        <f>COUNTIF('INPUT - Roster'!$PF$6:$PF$206,"*PER/PHE*")</f>
        <v/>
      </c>
      <c r="OQ22" s="170">
        <f>COUNTIF('INPUT - Roster'!$PG$6:$PG$206,"*PER/PHE*")</f>
        <v/>
      </c>
      <c r="OR22" s="170">
        <f>COUNTIF('INPUT - Roster'!$PH$6:$PH$206,"*PER/PHE*")</f>
        <v/>
      </c>
      <c r="OS22" s="170">
        <f>COUNTIF('INPUT - Roster'!$PI$6:$PI$206,"*PER/PHE*")</f>
        <v/>
      </c>
      <c r="OT22" s="170">
        <f>COUNTIF('INPUT - Roster'!$PJ$6:$PJ$206,"*PER/PHE*")</f>
        <v/>
      </c>
      <c r="OU22" s="170">
        <f>COUNTIF('INPUT - Roster'!$PK$6:$PK$206,"*PER/PHE*")</f>
        <v/>
      </c>
      <c r="OV22" s="170">
        <f>COUNTIF('INPUT - Roster'!$PL$6:$PL$206,"*PER/PHE*")</f>
        <v/>
      </c>
      <c r="OW22" s="170">
        <f>COUNTIF('INPUT - Roster'!$PM$6:$PM$206,"*PER/PHE*")</f>
        <v/>
      </c>
      <c r="OX22" s="170">
        <f>COUNTIF('INPUT - Roster'!$PN$6:$PN$206,"*PER/PHE*")</f>
        <v/>
      </c>
      <c r="OY22" s="170">
        <f>COUNTIF('INPUT - Roster'!$PO$6:$PO$206,"*PER/PHE*")</f>
        <v/>
      </c>
      <c r="OZ22" s="170">
        <f>COUNTIF('INPUT - Roster'!$PP$6:$PP$206,"*PER/PHE*")</f>
        <v/>
      </c>
      <c r="PA22" s="170">
        <f>COUNTIF('INPUT - Roster'!$PQ$6:$PQ$206,"*PER/PHE*")</f>
        <v/>
      </c>
      <c r="PB22" s="170">
        <f>COUNTIF('INPUT - Roster'!$PR$6:$PR$206,"*PER/PHE*")</f>
        <v/>
      </c>
      <c r="PC22" s="170">
        <f>COUNTIF('INPUT - Roster'!$PS$6:$PS$206,"*PER/PHE*")</f>
        <v/>
      </c>
      <c r="PD22" s="170">
        <f>COUNTIF('INPUT - Roster'!$PT$6:$PT$206,"*PER/PHE*")</f>
        <v/>
      </c>
      <c r="PE22" s="170">
        <f>COUNTIF('INPUT - Roster'!$PU$6:$PU$206,"*PER/PHE*")</f>
        <v/>
      </c>
      <c r="PF22" s="170">
        <f>COUNTIF('INPUT - Roster'!$PV$6:$PV$206,"*PER/PHE*")</f>
        <v/>
      </c>
      <c r="PG22" s="170">
        <f>COUNTIF('INPUT - Roster'!$PW$6:$PW$206,"*PER/PHE*")</f>
        <v/>
      </c>
      <c r="PH22" s="170">
        <f>COUNTIF('INPUT - Roster'!$PX$6:$PX$206,"*PER/PHE*")</f>
        <v/>
      </c>
      <c r="PI22" s="170">
        <f>COUNTIF('INPUT - Roster'!$PY$6:$PY$206,"*PER/PHE*")</f>
        <v/>
      </c>
      <c r="PJ22" s="170">
        <f>COUNTIF('INPUT - Roster'!$PZ$6:$PZ$206,"*PER/PHE*")</f>
        <v/>
      </c>
      <c r="PK22" s="170">
        <f>COUNTIF('INPUT - Roster'!$QA$6:$QA$206,"*PER/PHE*")</f>
        <v/>
      </c>
      <c r="PL22" s="170">
        <f>COUNTIF('INPUT - Roster'!$QB$6:$QB$206,"*PER/PHE*")</f>
        <v/>
      </c>
      <c r="PM22" s="170">
        <f>COUNTIF('INPUT - Roster'!$QC$6:$QC$206,"*PER/PHE*")</f>
        <v/>
      </c>
      <c r="PN22" s="170">
        <f>COUNTIF('INPUT - Roster'!$QD$6:$QD$206,"*PER/PHE*")</f>
        <v/>
      </c>
      <c r="PO22" s="170">
        <f>COUNTIF('INPUT - Roster'!$QE$6:$QE$206,"*PER/PHE*")</f>
        <v/>
      </c>
      <c r="PP22" s="170">
        <f>COUNTIF('INPUT - Roster'!$QF$6:$QF$206,"*PER/PHE*")</f>
        <v/>
      </c>
      <c r="PQ22" s="170">
        <f>COUNTIF('INPUT - Roster'!$QG$6:$QG$206,"*PER/PHE*")</f>
        <v/>
      </c>
      <c r="PR22" s="170">
        <f>COUNTIF('INPUT - Roster'!$QH$6:$QH$206,"*PER/PHE*")</f>
        <v/>
      </c>
      <c r="PS22" s="170">
        <f>COUNTIF('INPUT - Roster'!$QI$6:$QI$206,"*PER/PHE*")</f>
        <v/>
      </c>
      <c r="PT22" s="170">
        <f>COUNTIF('INPUT - Roster'!$QJ$6:$QJ$206,"*PER/PHE*")</f>
        <v/>
      </c>
      <c r="PU22" s="170">
        <f>COUNTIF('INPUT - Roster'!$QK$6:$QK$206,"*PER/PHE*")</f>
        <v/>
      </c>
      <c r="PV22" s="170">
        <f>COUNTIF('INPUT - Roster'!$QL$6:$QL$206,"*PER/PHE*")</f>
        <v/>
      </c>
      <c r="PW22" s="170">
        <f>COUNTIF('INPUT - Roster'!$QM$6:$QM$206,"*PER/PHE*")</f>
        <v/>
      </c>
      <c r="PX22" s="170">
        <f>COUNTIF('INPUT - Roster'!$QN$6:$QN$206,"*PER/PHE*")</f>
        <v/>
      </c>
      <c r="PY22" s="170">
        <f>COUNTIF('INPUT - Roster'!$QO$6:$QO$206,"*PER/PHE*")</f>
        <v/>
      </c>
      <c r="PZ22" s="170">
        <f>COUNTIF('INPUT - Roster'!$QP$6:$QP$206,"*PER/PHE*")</f>
        <v/>
      </c>
      <c r="QA22" s="170">
        <f>COUNTIF('INPUT - Roster'!$QQ$6:$QQ$206,"*PER/PHE*")</f>
        <v/>
      </c>
      <c r="QB22" s="170">
        <f>COUNTIF('INPUT - Roster'!$QR$6:$QR$206,"*PER/PHE*")</f>
        <v/>
      </c>
      <c r="QC22" s="170">
        <f>COUNTIF('INPUT - Roster'!$QS$6:$QS$206,"*PER/PHE*")</f>
        <v/>
      </c>
      <c r="QD22" s="170">
        <f>COUNTIF('INPUT - Roster'!$QT$6:$QT$206,"*PER/PHE*")</f>
        <v/>
      </c>
      <c r="QE22" s="170">
        <f>COUNTIF('INPUT - Roster'!$QU$6:$QU$206,"*PER/PHE*")</f>
        <v/>
      </c>
      <c r="QF22" s="170">
        <f>COUNTIF('INPUT - Roster'!$QV$6:$QV$206,"*PER/PHE*")</f>
        <v/>
      </c>
      <c r="QG22" s="170">
        <f>COUNTIF('INPUT - Roster'!$QW$6:$QW$206,"*PER/PHE*")</f>
        <v/>
      </c>
      <c r="QH22" s="170">
        <f>COUNTIF('INPUT - Roster'!$QX$6:$QX$206,"*PER/PHE*")</f>
        <v/>
      </c>
      <c r="QI22" s="170">
        <f>COUNTIF('INPUT - Roster'!$QY$6:$QY$206,"*PER/PHE*")</f>
        <v/>
      </c>
      <c r="QJ22" s="170">
        <f>COUNTIF('INPUT - Roster'!$QZ$6:$QZ$206,"*PER/PHE*")</f>
        <v/>
      </c>
      <c r="QK22" s="170">
        <f>COUNTIF('INPUT - Roster'!$RA$6:$RA$206,"*PER/PHE*")</f>
        <v/>
      </c>
      <c r="QL22" s="170">
        <f>COUNTIF('INPUT - Roster'!$RB$6:$RB$206,"*PER/PHE*")</f>
        <v/>
      </c>
      <c r="QM22" s="170">
        <f>COUNTIF('INPUT - Roster'!$RC$6:$RC$206,"*PER/PHE*")</f>
        <v/>
      </c>
      <c r="QN22" s="170">
        <f>COUNTIF('INPUT - Roster'!$RD$6:$RD$206,"*PER/PHE*")</f>
        <v/>
      </c>
      <c r="QO22" s="170">
        <f>COUNTIF('INPUT - Roster'!$RE$6:$RE$206,"*PER/PHE*")</f>
        <v/>
      </c>
      <c r="QP22" s="170">
        <f>COUNTIF('INPUT - Roster'!$RF$6:$RF$206,"*PER/PHE*")</f>
        <v/>
      </c>
      <c r="QQ22" s="170">
        <f>COUNTIF('INPUT - Roster'!$RG$6:$RG$206,"*PER/PHE*")</f>
        <v/>
      </c>
      <c r="QR22" s="170">
        <f>COUNTIF('INPUT - Roster'!$RH$6:$RH$206,"*PER/PHE*")</f>
        <v/>
      </c>
      <c r="QS22" s="170">
        <f>COUNTIF('INPUT - Roster'!$RI$6:$RI$206,"*PER/PHE*")</f>
        <v/>
      </c>
      <c r="QT22" s="170">
        <f>COUNTIF('INPUT - Roster'!$RJ$6:$RJ$206,"*PER/PHE*")</f>
        <v/>
      </c>
      <c r="QU22" s="170">
        <f>COUNTIF('INPUT - Roster'!$RK$6:$RK$206,"*PER/PHE*")</f>
        <v/>
      </c>
      <c r="QV22" s="170">
        <f>COUNTIF('INPUT - Roster'!$RL$6:$RL$206,"*PER/PHE*")</f>
        <v/>
      </c>
      <c r="QW22" s="170">
        <f>COUNTIF('INPUT - Roster'!$RM$6:$RM$206,"*PER/PHE*")</f>
        <v/>
      </c>
      <c r="QX22" s="170">
        <f>COUNTIF('INPUT - Roster'!$RN$6:$RN$206,"*PER/PHE*")</f>
        <v/>
      </c>
      <c r="QY22" s="170">
        <f>COUNTIF('INPUT - Roster'!$RO$6:$RO$206,"*PER/PHE*")</f>
        <v/>
      </c>
      <c r="QZ22" s="170">
        <f>COUNTIF('INPUT - Roster'!$RP$6:$RP$206,"*PER/PHE*")</f>
        <v/>
      </c>
      <c r="RA22" s="170">
        <f>COUNTIF('INPUT - Roster'!$RQ$6:$RQ$206,"*PER/PHE*")</f>
        <v/>
      </c>
      <c r="RB22" s="170">
        <f>COUNTIF('INPUT - Roster'!$RR$6:$RR$206,"*PER/PHE*")</f>
        <v/>
      </c>
      <c r="RC22" s="170">
        <f>COUNTIF('INPUT - Roster'!$RS$6:$RS$206,"*PER/PHE*")</f>
        <v/>
      </c>
      <c r="RD22" s="170">
        <f>COUNTIF('INPUT - Roster'!$RT$6:$RT$206,"*PER/PHE*")</f>
        <v/>
      </c>
      <c r="RE22" s="170">
        <f>COUNTIF('INPUT - Roster'!$RU$6:$RU$206,"*PER/PHE*")</f>
        <v/>
      </c>
      <c r="RF22" s="170">
        <f>COUNTIF('INPUT - Roster'!$RV$6:$RV$206,"*PER/PHE*")</f>
        <v/>
      </c>
      <c r="RG22" s="170">
        <f>COUNTIF('INPUT - Roster'!$RW$6:$RW$206,"*PER/PHE*")</f>
        <v/>
      </c>
      <c r="RH22" s="170">
        <f>COUNTIF('INPUT - Roster'!$RX$6:$RX$206,"*PER/PHE*")</f>
        <v/>
      </c>
      <c r="RI22" s="170">
        <f>COUNTIF('INPUT - Roster'!$RY$6:$RY$206,"*PER/PHE*")</f>
        <v/>
      </c>
      <c r="RJ22" s="170">
        <f>COUNTIF('INPUT - Roster'!$RZ$6:$RZ$206,"*PER/PHE*")</f>
        <v/>
      </c>
      <c r="RK22" s="170">
        <f>COUNTIF('INPUT - Roster'!$SA$6:$SA$206,"*PER/PHE*")</f>
        <v/>
      </c>
      <c r="RL22" s="170">
        <f>COUNTIF('INPUT - Roster'!$SB$6:$SB$206,"*PER/PHE*")</f>
        <v/>
      </c>
      <c r="RM22" s="170">
        <f>COUNTIF('INPUT - Roster'!$SC$6:$SC$206,"*PER/PHE*")</f>
        <v/>
      </c>
      <c r="RN22" s="170">
        <f>COUNTIF('INPUT - Roster'!$SD$6:$SD$206,"*PER/PHE*")</f>
        <v/>
      </c>
      <c r="RO22" s="170">
        <f>COUNTIF('INPUT - Roster'!$SE$6:$SE$206,"*PER/PHE*")</f>
        <v/>
      </c>
      <c r="RP22" s="170">
        <f>COUNTIF('INPUT - Roster'!$SF$6:$SF$206,"*PER/PHE*")</f>
        <v/>
      </c>
      <c r="RQ22" s="170">
        <f>COUNTIF('INPUT - Roster'!$SG$6:$SG$206,"*PER/PHE*")</f>
        <v/>
      </c>
      <c r="RR22" s="170">
        <f>COUNTIF('INPUT - Roster'!$SH$6:$SH$206,"*PER/PHE*")</f>
        <v/>
      </c>
      <c r="RS22" s="170">
        <f>COUNTIF('INPUT - Roster'!$SI$6:$SI$206,"*PER/PHE*")</f>
        <v/>
      </c>
      <c r="RT22" s="170">
        <f>COUNTIF('INPUT - Roster'!$SJ$6:$SJ$206,"*PER/PHE*")</f>
        <v/>
      </c>
      <c r="RU22" s="170">
        <f>COUNTIF('INPUT - Roster'!$SK$6:$SK$206,"*PER/PHE*")</f>
        <v/>
      </c>
      <c r="RV22" s="170">
        <f>COUNTIF('INPUT - Roster'!$SL$6:$SL$206,"*PER/PHE*")</f>
        <v/>
      </c>
      <c r="RW22" s="170">
        <f>COUNTIF('INPUT - Roster'!$SM$6:$SM$206,"*PER/PHE*")</f>
        <v/>
      </c>
      <c r="RX22" s="170">
        <f>COUNTIF('INPUT - Roster'!$SN$6:$SN$206,"*PER/PHE*")</f>
        <v/>
      </c>
      <c r="RY22" s="170">
        <f>COUNTIF('INPUT - Roster'!$SO$6:$SO$206,"*PER/PHE*")</f>
        <v/>
      </c>
      <c r="RZ22" s="170">
        <f>COUNTIF('INPUT - Roster'!$SP$6:$SP$206,"*PER/PHE*")</f>
        <v/>
      </c>
      <c r="SA22" s="170">
        <f>COUNTIF('INPUT - Roster'!$SQ$6:$SQ$206,"*PER/PHE*")</f>
        <v/>
      </c>
      <c r="SB22" s="170">
        <f>COUNTIF('INPUT - Roster'!$SR$6:$SR$206,"*PER/PHE*")</f>
        <v/>
      </c>
      <c r="SC22" s="170">
        <f>COUNTIF('INPUT - Roster'!$SS$6:$SS$206,"*PER/PHE*")</f>
        <v/>
      </c>
      <c r="SD22" s="170">
        <f>COUNTIF('INPUT - Roster'!$ST$6:$ST$206,"*PER/PHE*")</f>
        <v/>
      </c>
      <c r="SE22" s="170">
        <f>COUNTIF('INPUT - Roster'!$SU$6:$SU$206,"*PER/PHE*")</f>
        <v/>
      </c>
      <c r="SF22" s="170">
        <f>COUNTIF('INPUT - Roster'!$SV$6:$SV$206,"*PER/PHE*")</f>
        <v/>
      </c>
    </row>
    <row r="23">
      <c r="B23" s="169" t="inlineStr">
        <is>
          <t>Fly out PHE/PER</t>
        </is>
      </c>
      <c r="C23" s="170">
        <f>COUNTIF('INPUT - Roster'!$S$6:$S$206,"*PHE/PER*")</f>
        <v/>
      </c>
      <c r="D23" s="170">
        <f>COUNTIF('INPUT - Roster'!$T$6:$T$206,"*PHE/PER*")</f>
        <v/>
      </c>
      <c r="E23" s="170">
        <f>COUNTIF('INPUT - Roster'!$U$6:$U$206,"*PHE/PER*")</f>
        <v/>
      </c>
      <c r="F23" s="170">
        <f>COUNTIF('INPUT - Roster'!$V$6:$V$206,"*PHE/PER*")</f>
        <v/>
      </c>
      <c r="G23" s="170">
        <f>COUNTIF('INPUT - Roster'!$W$6:$W$206,"*PHE/PER*")</f>
        <v/>
      </c>
      <c r="H23" s="170">
        <f>COUNTIF('INPUT - Roster'!$X$6:$X$206,"*PHE/PER*")</f>
        <v/>
      </c>
      <c r="I23" s="170">
        <f>COUNTIF('INPUT - Roster'!$Y$6:$Y$206,"*PHE/PER*")</f>
        <v/>
      </c>
      <c r="J23" s="170">
        <f>COUNTIF('INPUT - Roster'!$Z$6:$Z$206,"*PHE/PER*")</f>
        <v/>
      </c>
      <c r="K23" s="170">
        <f>COUNTIF('INPUT - Roster'!$AA$6:$AA$206,"*PHE/PER*")</f>
        <v/>
      </c>
      <c r="L23" s="170">
        <f>COUNTIF('INPUT - Roster'!$AB$6:$AB$206,"*PHE/PER*")</f>
        <v/>
      </c>
      <c r="M23" s="170">
        <f>COUNTIF('INPUT - Roster'!$AC$6:$AC$206,"*PHE/PER*")</f>
        <v/>
      </c>
      <c r="N23" s="170">
        <f>COUNTIF('INPUT - Roster'!$AD$6:$AD$206,"*PHE/PER*")</f>
        <v/>
      </c>
      <c r="O23" s="170">
        <f>COUNTIF('INPUT - Roster'!$AE$6:$AE$206,"*PHE/PER*")</f>
        <v/>
      </c>
      <c r="P23" s="170">
        <f>COUNTIF('INPUT - Roster'!$AF$6:$AF$206,"*PHE/PER*")</f>
        <v/>
      </c>
      <c r="Q23" s="170">
        <f>COUNTIF('INPUT - Roster'!$AG$6:$AG$206,"*PHE/PER*")</f>
        <v/>
      </c>
      <c r="R23" s="170">
        <f>COUNTIF('INPUT - Roster'!$AH$6:$AH$206,"*PHE/PER*")</f>
        <v/>
      </c>
      <c r="S23" s="170">
        <f>COUNTIF('INPUT - Roster'!$AI$6:$AI$206,"*PHE/PER*")</f>
        <v/>
      </c>
      <c r="T23" s="170">
        <f>COUNTIF('INPUT - Roster'!$AJ$6:$AJ$206,"*PHE/PER*")</f>
        <v/>
      </c>
      <c r="U23" s="170">
        <f>COUNTIF('INPUT - Roster'!$AK$6:$AK$206,"*PHE/PER*")</f>
        <v/>
      </c>
      <c r="V23" s="170">
        <f>COUNTIF('INPUT - Roster'!$AL$6:$AL$206,"*PHE/PER*")</f>
        <v/>
      </c>
      <c r="W23" s="170">
        <f>COUNTIF('INPUT - Roster'!$AM$6:$AM$206,"*PHE/PER*")</f>
        <v/>
      </c>
      <c r="X23" s="170">
        <f>COUNTIF('INPUT - Roster'!$AN$6:$AN$206,"*PHE/PER*")</f>
        <v/>
      </c>
      <c r="Y23" s="170">
        <f>COUNTIF('INPUT - Roster'!$AO$6:$AO$206,"*PHE/PER*")</f>
        <v/>
      </c>
      <c r="Z23" s="170">
        <f>COUNTIF('INPUT - Roster'!$AP$6:$AP$206,"*PHE/PER*")</f>
        <v/>
      </c>
      <c r="AA23" s="170">
        <f>COUNTIF('INPUT - Roster'!$AQ$6:$AQ$206,"*PHE/PER*")</f>
        <v/>
      </c>
      <c r="AB23" s="170">
        <f>COUNTIF('INPUT - Roster'!$AR$6:$AR$206,"*PHE/PER*")</f>
        <v/>
      </c>
      <c r="AC23" s="170">
        <f>COUNTIF('INPUT - Roster'!$AS$6:$AS$206,"*PHE/PER*")</f>
        <v/>
      </c>
      <c r="AD23" s="170">
        <f>COUNTIF('INPUT - Roster'!$AT$6:$AT$206,"*PHE/PER*")</f>
        <v/>
      </c>
      <c r="AE23" s="170">
        <f>COUNTIF('INPUT - Roster'!$AU$6:$AU$206,"*PHE/PER*")</f>
        <v/>
      </c>
      <c r="AF23" s="170">
        <f>COUNTIF('INPUT - Roster'!$AV$6:$AV$206,"*PHE/PER*")</f>
        <v/>
      </c>
      <c r="AG23" s="170">
        <f>COUNTIF('INPUT - Roster'!$AW$6:$AW$206,"*PHE/PER*")</f>
        <v/>
      </c>
      <c r="AH23" s="170">
        <f>COUNTIF('INPUT - Roster'!$AX$6:$AX$206,"*PHE/PER*")</f>
        <v/>
      </c>
      <c r="AI23" s="170">
        <f>COUNTIF('INPUT - Roster'!$AY$6:$AY$206,"*PHE/PER*")</f>
        <v/>
      </c>
      <c r="AJ23" s="170">
        <f>COUNTIF('INPUT - Roster'!$AZ$6:$AZ$206,"*PHE/PER*")</f>
        <v/>
      </c>
      <c r="AK23" s="170">
        <f>COUNTIF('INPUT - Roster'!$BA$6:$BA$206,"*PHE/PER*")</f>
        <v/>
      </c>
      <c r="AL23" s="170">
        <f>COUNTIF('INPUT - Roster'!$BB$6:$BB$206,"*PHE/PER*")</f>
        <v/>
      </c>
      <c r="AM23" s="170">
        <f>COUNTIF('INPUT - Roster'!$BC$6:$BC$206,"*PHE/PER*")</f>
        <v/>
      </c>
      <c r="AN23" s="170">
        <f>COUNTIF('INPUT - Roster'!$BD$6:$BD$206,"*PHE/PER*")</f>
        <v/>
      </c>
      <c r="AO23" s="170">
        <f>COUNTIF('INPUT - Roster'!$BE$6:$BE$206,"*PHE/PER*")</f>
        <v/>
      </c>
      <c r="AP23" s="170">
        <f>COUNTIF('INPUT - Roster'!$BF$6:$BF$206,"*PHE/PER*")</f>
        <v/>
      </c>
      <c r="AQ23" s="170">
        <f>COUNTIF('INPUT - Roster'!$BG$6:$BG$206,"*PHE/PER*")</f>
        <v/>
      </c>
      <c r="AR23" s="170">
        <f>COUNTIF('INPUT - Roster'!$BH$6:$BH$206,"*PHE/PER*")</f>
        <v/>
      </c>
      <c r="AS23" s="170">
        <f>COUNTIF('INPUT - Roster'!$BI$6:$BI$206,"*PHE/PER*")</f>
        <v/>
      </c>
      <c r="AT23" s="170">
        <f>COUNTIF('INPUT - Roster'!$BJ$6:$BJ$206,"*PHE/PER*")</f>
        <v/>
      </c>
      <c r="AU23" s="170">
        <f>COUNTIF('INPUT - Roster'!$BK$6:$BK$206,"*PHE/PER*")</f>
        <v/>
      </c>
      <c r="AV23" s="170">
        <f>COUNTIF('INPUT - Roster'!$BL$6:$BL$206,"*PHE/PER*")</f>
        <v/>
      </c>
      <c r="AW23" s="170">
        <f>COUNTIF('INPUT - Roster'!$BM$6:$BM$206,"*PHE/PER*")</f>
        <v/>
      </c>
      <c r="AX23" s="170">
        <f>COUNTIF('INPUT - Roster'!$BN$6:$BN$206,"*PHE/PER*")</f>
        <v/>
      </c>
      <c r="AY23" s="170">
        <f>COUNTIF('INPUT - Roster'!$BO$6:$BO$206,"*PHE/PER*")</f>
        <v/>
      </c>
      <c r="AZ23" s="170">
        <f>COUNTIF('INPUT - Roster'!$BP$6:$BP$206,"*PHE/PER*")</f>
        <v/>
      </c>
      <c r="BA23" s="170">
        <f>COUNTIF('INPUT - Roster'!$BQ$6:$BQ$206,"*PHE/PER*")</f>
        <v/>
      </c>
      <c r="BB23" s="170">
        <f>COUNTIF('INPUT - Roster'!$BR$6:$BR$206,"*PHE/PER*")</f>
        <v/>
      </c>
      <c r="BC23" s="170">
        <f>COUNTIF('INPUT - Roster'!$BS$6:$BS$206,"*PHE/PER*")</f>
        <v/>
      </c>
      <c r="BD23" s="170">
        <f>COUNTIF('INPUT - Roster'!$BT$6:$BT$206,"*PHE/PER*")</f>
        <v/>
      </c>
      <c r="BE23" s="170">
        <f>COUNTIF('INPUT - Roster'!$BU$6:$BU$206,"*PHE/PER*")</f>
        <v/>
      </c>
      <c r="BF23" s="170">
        <f>COUNTIF('INPUT - Roster'!$BV$6:$BV$206,"*PHE/PER*")</f>
        <v/>
      </c>
      <c r="BG23" s="170">
        <f>COUNTIF('INPUT - Roster'!$BW$6:$BW$206,"*PHE/PER*")</f>
        <v/>
      </c>
      <c r="BH23" s="170">
        <f>COUNTIF('INPUT - Roster'!$BX$6:$BX$206,"*PHE/PER*")</f>
        <v/>
      </c>
      <c r="BI23" s="170">
        <f>COUNTIF('INPUT - Roster'!$BY$6:$BY$206,"*PHE/PER*")</f>
        <v/>
      </c>
      <c r="BJ23" s="170">
        <f>COUNTIF('INPUT - Roster'!$BZ$6:$BZ$206,"*PHE/PER*")</f>
        <v/>
      </c>
      <c r="BK23" s="170">
        <f>COUNTIF('INPUT - Roster'!$CA$6:$CA$206,"*PHE/PER*")</f>
        <v/>
      </c>
      <c r="BL23" s="170">
        <f>COUNTIF('INPUT - Roster'!$CB$6:$CB$206,"*PHE/PER*")</f>
        <v/>
      </c>
      <c r="BM23" s="170">
        <f>COUNTIF('INPUT - Roster'!$CC$6:$CC$206,"*PHE/PER*")</f>
        <v/>
      </c>
      <c r="BN23" s="170">
        <f>COUNTIF('INPUT - Roster'!$CD$6:$CD$206,"*PHE/PER*")</f>
        <v/>
      </c>
      <c r="BO23" s="170">
        <f>COUNTIF('INPUT - Roster'!$CE$6:$CE$206,"*PHE/PER*")</f>
        <v/>
      </c>
      <c r="BP23" s="170">
        <f>COUNTIF('INPUT - Roster'!$CF$6:$CF$206,"*PHE/PER*")</f>
        <v/>
      </c>
      <c r="BQ23" s="170">
        <f>COUNTIF('INPUT - Roster'!$CG$6:$CG$206,"*PHE/PER*")</f>
        <v/>
      </c>
      <c r="BR23" s="170">
        <f>COUNTIF('INPUT - Roster'!$CH$6:$CH$206,"*PHE/PER*")</f>
        <v/>
      </c>
      <c r="BS23" s="170">
        <f>COUNTIF('INPUT - Roster'!$CI$6:$CI$206,"*PHE/PER*")</f>
        <v/>
      </c>
      <c r="BT23" s="170">
        <f>COUNTIF('INPUT - Roster'!$CJ$6:$CJ$206,"*PHE/PER*")</f>
        <v/>
      </c>
      <c r="BU23" s="170">
        <f>COUNTIF('INPUT - Roster'!$CK$6:$CK$206,"*PHE/PER*")</f>
        <v/>
      </c>
      <c r="BV23" s="170">
        <f>COUNTIF('INPUT - Roster'!$CL$6:$CL$206,"*PHE/PER*")</f>
        <v/>
      </c>
      <c r="BW23" s="170">
        <f>COUNTIF('INPUT - Roster'!$CM$6:$CM$206,"*PHE/PER*")</f>
        <v/>
      </c>
      <c r="BX23" s="170">
        <f>COUNTIF('INPUT - Roster'!$CN$6:$CN$206,"*PHE/PER*")</f>
        <v/>
      </c>
      <c r="BY23" s="170">
        <f>COUNTIF('INPUT - Roster'!$CO$6:$CO$206,"*PHE/PER*")</f>
        <v/>
      </c>
      <c r="BZ23" s="170">
        <f>COUNTIF('INPUT - Roster'!$CP$6:$CP$206,"*PHE/PER*")</f>
        <v/>
      </c>
      <c r="CA23" s="170">
        <f>COUNTIF('INPUT - Roster'!$CQ$6:$CQ$206,"*PHE/PER*")</f>
        <v/>
      </c>
      <c r="CB23" s="170">
        <f>COUNTIF('INPUT - Roster'!$CR$6:$CR$206,"*PHE/PER*")</f>
        <v/>
      </c>
      <c r="CC23" s="170">
        <f>COUNTIF('INPUT - Roster'!$CS$6:$CS$206,"*PHE/PER*")</f>
        <v/>
      </c>
      <c r="CD23" s="170">
        <f>COUNTIF('INPUT - Roster'!$CT$6:$CT$206,"*PHE/PER*")</f>
        <v/>
      </c>
      <c r="CE23" s="170">
        <f>COUNTIF('INPUT - Roster'!$CU$6:$CU$206,"*PHE/PER*")</f>
        <v/>
      </c>
      <c r="CF23" s="170">
        <f>COUNTIF('INPUT - Roster'!$CV$6:$CV$206,"*PHE/PER*")</f>
        <v/>
      </c>
      <c r="CG23" s="170">
        <f>COUNTIF('INPUT - Roster'!$CW$6:$CW$206,"*PHE/PER*")</f>
        <v/>
      </c>
      <c r="CH23" s="170">
        <f>COUNTIF('INPUT - Roster'!$CX$6:$CX$206,"*PHE/PER*")</f>
        <v/>
      </c>
      <c r="CI23" s="170">
        <f>COUNTIF('INPUT - Roster'!$CY$6:$CY$206,"*PHE/PER*")</f>
        <v/>
      </c>
      <c r="CJ23" s="170">
        <f>COUNTIF('INPUT - Roster'!$CZ$6:$CZ$206,"*PHE/PER*")</f>
        <v/>
      </c>
      <c r="CK23" s="170">
        <f>COUNTIF('INPUT - Roster'!$DA$6:$DA$206,"*PHE/PER*")</f>
        <v/>
      </c>
      <c r="CL23" s="170">
        <f>COUNTIF('INPUT - Roster'!$DB$6:$DB$206,"*PHE/PER*")</f>
        <v/>
      </c>
      <c r="CM23" s="170">
        <f>COUNTIF('INPUT - Roster'!$DC$6:$DC$206,"*PHE/PER*")</f>
        <v/>
      </c>
      <c r="CN23" s="170">
        <f>COUNTIF('INPUT - Roster'!$DD$6:$DD$206,"*PHE/PER*")</f>
        <v/>
      </c>
      <c r="CO23" s="170">
        <f>COUNTIF('INPUT - Roster'!$DE$6:$DE$206,"*PHE/PER*")</f>
        <v/>
      </c>
      <c r="CP23" s="170">
        <f>COUNTIF('INPUT - Roster'!$DF$6:$DF$206,"*PHE/PER*")</f>
        <v/>
      </c>
      <c r="CQ23" s="170">
        <f>COUNTIF('INPUT - Roster'!$DG$6:$DG$206,"*PHE/PER*")</f>
        <v/>
      </c>
      <c r="CR23" s="170">
        <f>COUNTIF('INPUT - Roster'!$DH$6:$DH$206,"*PHE/PER*")</f>
        <v/>
      </c>
      <c r="CS23" s="170">
        <f>COUNTIF('INPUT - Roster'!$DI$6:$DI$206,"*PHE/PER*")</f>
        <v/>
      </c>
      <c r="CT23" s="170">
        <f>COUNTIF('INPUT - Roster'!$DJ$6:$DJ$206,"*PHE/PER*")</f>
        <v/>
      </c>
      <c r="CU23" s="170">
        <f>COUNTIF('INPUT - Roster'!$DK$6:$DK$206,"*PHE/PER*")</f>
        <v/>
      </c>
      <c r="CV23" s="170">
        <f>COUNTIF('INPUT - Roster'!$DL$6:$DL$206,"*PHE/PER*")</f>
        <v/>
      </c>
      <c r="CW23" s="170">
        <f>COUNTIF('INPUT - Roster'!$DM$6:$DM$206,"*PHE/PER*")</f>
        <v/>
      </c>
      <c r="CX23" s="170">
        <f>COUNTIF('INPUT - Roster'!$DN$6:$DN$206,"*PHE/PER*")</f>
        <v/>
      </c>
      <c r="CY23" s="170">
        <f>COUNTIF('INPUT - Roster'!$DO$6:$DO$206,"*PHE/PER*")</f>
        <v/>
      </c>
      <c r="CZ23" s="170">
        <f>COUNTIF('INPUT - Roster'!$DP$6:$DP$206,"*PHE/PER*")</f>
        <v/>
      </c>
      <c r="DA23" s="170">
        <f>COUNTIF('INPUT - Roster'!$DQ$6:$DQ$206,"*PHE/PER*")</f>
        <v/>
      </c>
      <c r="DB23" s="170">
        <f>COUNTIF('INPUT - Roster'!$DR$6:$DR$206,"*PHE/PER*")</f>
        <v/>
      </c>
      <c r="DC23" s="170">
        <f>COUNTIF('INPUT - Roster'!$DS$6:$DS$206,"*PHE/PER*")</f>
        <v/>
      </c>
      <c r="DD23" s="170">
        <f>COUNTIF('INPUT - Roster'!$DT$6:$DT$206,"*PHE/PER*")</f>
        <v/>
      </c>
      <c r="DE23" s="170">
        <f>COUNTIF('INPUT - Roster'!$DU$6:$DU$206,"*PHE/PER*")</f>
        <v/>
      </c>
      <c r="DF23" s="170">
        <f>COUNTIF('INPUT - Roster'!$DV$6:$DV$206,"*PHE/PER*")</f>
        <v/>
      </c>
      <c r="DG23" s="170">
        <f>COUNTIF('INPUT - Roster'!$DW$6:$DW$206,"*PHE/PER*")</f>
        <v/>
      </c>
      <c r="DH23" s="170">
        <f>COUNTIF('INPUT - Roster'!$DX$6:$DX$206,"*PHE/PER*")</f>
        <v/>
      </c>
      <c r="DI23" s="170">
        <f>COUNTIF('INPUT - Roster'!$DY$6:$DY$206,"*PHE/PER*")</f>
        <v/>
      </c>
      <c r="DJ23" s="170">
        <f>COUNTIF('INPUT - Roster'!$DZ$6:$DZ$206,"*PHE/PER*")</f>
        <v/>
      </c>
      <c r="DK23" s="170">
        <f>COUNTIF('INPUT - Roster'!$EA$6:$EA$206,"*PHE/PER*")</f>
        <v/>
      </c>
      <c r="DL23" s="170">
        <f>COUNTIF('INPUT - Roster'!$EB$6:$EB$206,"*PHE/PER*")</f>
        <v/>
      </c>
      <c r="DM23" s="170">
        <f>COUNTIF('INPUT - Roster'!$EC$6:$EC$206,"*PHE/PER*")</f>
        <v/>
      </c>
      <c r="DN23" s="170">
        <f>COUNTIF('INPUT - Roster'!$ED$6:$ED$206,"*PHE/PER*")</f>
        <v/>
      </c>
      <c r="DO23" s="170">
        <f>COUNTIF('INPUT - Roster'!$EE$6:$EE$206,"*PHE/PER*")</f>
        <v/>
      </c>
      <c r="DP23" s="170">
        <f>COUNTIF('INPUT - Roster'!$EF$6:$EF$206,"*PHE/PER*")</f>
        <v/>
      </c>
      <c r="DQ23" s="170">
        <f>COUNTIF('INPUT - Roster'!$EG$6:$EG$206,"*PHE/PER*")</f>
        <v/>
      </c>
      <c r="DR23" s="170">
        <f>COUNTIF('INPUT - Roster'!$EH$6:$EH$206,"*PHE/PER*")</f>
        <v/>
      </c>
      <c r="DS23" s="170">
        <f>COUNTIF('INPUT - Roster'!$EI$6:$EI$206,"*PHE/PER*")</f>
        <v/>
      </c>
      <c r="DT23" s="170">
        <f>COUNTIF('INPUT - Roster'!$EJ$6:$EJ$206,"*PHE/PER*")</f>
        <v/>
      </c>
      <c r="DU23" s="170">
        <f>COUNTIF('INPUT - Roster'!$EK$6:$EK$206,"*PHE/PER*")</f>
        <v/>
      </c>
      <c r="DV23" s="170">
        <f>COUNTIF('INPUT - Roster'!$EL$6:$EL$206,"*PHE/PER*")</f>
        <v/>
      </c>
      <c r="DW23" s="170">
        <f>COUNTIF('INPUT - Roster'!$EM$6:$EM$206,"*PHE/PER*")</f>
        <v/>
      </c>
      <c r="DX23" s="170">
        <f>COUNTIF('INPUT - Roster'!$EN$6:$EN$206,"*PHE/PER*")</f>
        <v/>
      </c>
      <c r="DY23" s="170">
        <f>COUNTIF('INPUT - Roster'!$EO$6:$EO$206,"*PHE/PER*")</f>
        <v/>
      </c>
      <c r="DZ23" s="170">
        <f>COUNTIF('INPUT - Roster'!$EP$6:$EP$206,"*PHE/PER*")</f>
        <v/>
      </c>
      <c r="EA23" s="170">
        <f>COUNTIF('INPUT - Roster'!$EQ$6:$EQ$206,"*PHE/PER*")</f>
        <v/>
      </c>
      <c r="EB23" s="170">
        <f>COUNTIF('INPUT - Roster'!$ER$6:$ER$206,"*PHE/PER*")</f>
        <v/>
      </c>
      <c r="EC23" s="170">
        <f>COUNTIF('INPUT - Roster'!$ES$6:$ES$206,"*PHE/PER*")</f>
        <v/>
      </c>
      <c r="ED23" s="170">
        <f>COUNTIF('INPUT - Roster'!$ET$6:$ET$206,"*PHE/PER*")</f>
        <v/>
      </c>
      <c r="EE23" s="170">
        <f>COUNTIF('INPUT - Roster'!$EU$6:$EU$206,"*PHE/PER*")</f>
        <v/>
      </c>
      <c r="EF23" s="170">
        <f>COUNTIF('INPUT - Roster'!$EV$6:$EV$206,"*PHE/PER*")</f>
        <v/>
      </c>
      <c r="EG23" s="170">
        <f>COUNTIF('INPUT - Roster'!$EW$6:$EW$206,"*PHE/PER*")</f>
        <v/>
      </c>
      <c r="EH23" s="170">
        <f>COUNTIF('INPUT - Roster'!$EX$6:$EX$206,"*PHE/PER*")</f>
        <v/>
      </c>
      <c r="EI23" s="170">
        <f>COUNTIF('INPUT - Roster'!$EY$6:$EY$206,"*PHE/PER*")</f>
        <v/>
      </c>
      <c r="EJ23" s="170">
        <f>COUNTIF('INPUT - Roster'!$EZ$6:$EZ$206,"*PHE/PER*")</f>
        <v/>
      </c>
      <c r="EK23" s="170">
        <f>COUNTIF('INPUT - Roster'!$FA$6:$FA$206,"*PHE/PER*")</f>
        <v/>
      </c>
      <c r="EL23" s="170">
        <f>COUNTIF('INPUT - Roster'!$FB$6:$FB$206,"*PHE/PER*")</f>
        <v/>
      </c>
      <c r="EM23" s="170">
        <f>COUNTIF('INPUT - Roster'!$FC$6:$FC$206,"*PHE/PER*")</f>
        <v/>
      </c>
      <c r="EN23" s="170">
        <f>COUNTIF('INPUT - Roster'!$FD$6:$FD$206,"*PHE/PER*")</f>
        <v/>
      </c>
      <c r="EO23" s="170">
        <f>COUNTIF('INPUT - Roster'!$FE$6:$FE$206,"*PHE/PER*")</f>
        <v/>
      </c>
      <c r="EP23" s="170">
        <f>COUNTIF('INPUT - Roster'!$FF$6:$FF$206,"*PHE/PER*")</f>
        <v/>
      </c>
      <c r="EQ23" s="170">
        <f>COUNTIF('INPUT - Roster'!$FG$6:$FG$206,"*PHE/PER*")</f>
        <v/>
      </c>
      <c r="ER23" s="170">
        <f>COUNTIF('INPUT - Roster'!$FH$6:$FH$206,"*PHE/PER*")</f>
        <v/>
      </c>
      <c r="ES23" s="170">
        <f>COUNTIF('INPUT - Roster'!$FI$6:$FI$206,"*PHE/PER*")</f>
        <v/>
      </c>
      <c r="ET23" s="170">
        <f>COUNTIF('INPUT - Roster'!$FJ$6:$FJ$206,"*PHE/PER*")</f>
        <v/>
      </c>
      <c r="EU23" s="170">
        <f>COUNTIF('INPUT - Roster'!$FK$6:$FK$206,"*PHE/PER*")</f>
        <v/>
      </c>
      <c r="EV23" s="170">
        <f>COUNTIF('INPUT - Roster'!$FL$6:$FL$206,"*PHE/PER*")</f>
        <v/>
      </c>
      <c r="EW23" s="170">
        <f>COUNTIF('INPUT - Roster'!$FM$6:$FM$206,"*PHE/PER*")</f>
        <v/>
      </c>
      <c r="EX23" s="170">
        <f>COUNTIF('INPUT - Roster'!$FN$6:$FN$206,"*PHE/PER*")</f>
        <v/>
      </c>
      <c r="EY23" s="170">
        <f>COUNTIF('INPUT - Roster'!$FO$6:$FO$206,"*PHE/PER*")</f>
        <v/>
      </c>
      <c r="EZ23" s="170">
        <f>COUNTIF('INPUT - Roster'!$FP$6:$FP$206,"*PHE/PER*")</f>
        <v/>
      </c>
      <c r="FA23" s="170">
        <f>COUNTIF('INPUT - Roster'!$FQ$6:$FQ$206,"*PHE/PER*")</f>
        <v/>
      </c>
      <c r="FB23" s="170">
        <f>COUNTIF('INPUT - Roster'!$FR$6:$FR$206,"*PHE/PER*")</f>
        <v/>
      </c>
      <c r="FC23" s="170">
        <f>COUNTIF('INPUT - Roster'!$FS$6:$FS$206,"*PHE/PER*")</f>
        <v/>
      </c>
      <c r="FD23" s="170">
        <f>COUNTIF('INPUT - Roster'!$FT$6:$FT$206,"*PHE/PER*")</f>
        <v/>
      </c>
      <c r="FE23" s="170">
        <f>COUNTIF('INPUT - Roster'!$FU$6:$FU$206,"*PHE/PER*")</f>
        <v/>
      </c>
      <c r="FF23" s="170">
        <f>COUNTIF('INPUT - Roster'!$FV$6:$FV$206,"*PHE/PER*")</f>
        <v/>
      </c>
      <c r="FG23" s="170">
        <f>COUNTIF('INPUT - Roster'!$FW$6:$FW$206,"*PHE/PER*")</f>
        <v/>
      </c>
      <c r="FH23" s="170">
        <f>COUNTIF('INPUT - Roster'!$FX$6:$FX$206,"*PHE/PER*")</f>
        <v/>
      </c>
      <c r="FI23" s="170">
        <f>COUNTIF('INPUT - Roster'!$FY$6:$FY$206,"*PHE/PER*")</f>
        <v/>
      </c>
      <c r="FJ23" s="170">
        <f>COUNTIF('INPUT - Roster'!$FZ$6:$FZ$206,"*PHE/PER*")</f>
        <v/>
      </c>
      <c r="FK23" s="170">
        <f>COUNTIF('INPUT - Roster'!$GA$6:$GA$206,"*PHE/PER*")</f>
        <v/>
      </c>
      <c r="FL23" s="170">
        <f>COUNTIF('INPUT - Roster'!$GB$6:$GB$206,"*PHE/PER*")</f>
        <v/>
      </c>
      <c r="FM23" s="170">
        <f>COUNTIF('INPUT - Roster'!$GC$6:$GC$206,"*PHE/PER*")</f>
        <v/>
      </c>
      <c r="FN23" s="170">
        <f>COUNTIF('INPUT - Roster'!$GD$6:$GD$206,"*PHE/PER*")</f>
        <v/>
      </c>
      <c r="FO23" s="170">
        <f>COUNTIF('INPUT - Roster'!$GE$6:$GE$206,"*PHE/PER*")</f>
        <v/>
      </c>
      <c r="FP23" s="170">
        <f>COUNTIF('INPUT - Roster'!$GF$6:$GF$206,"*PHE/PER*")</f>
        <v/>
      </c>
      <c r="FQ23" s="170">
        <f>COUNTIF('INPUT - Roster'!$GG$6:$GG$206,"*PHE/PER*")</f>
        <v/>
      </c>
      <c r="FR23" s="170">
        <f>COUNTIF('INPUT - Roster'!$GH$6:$GH$206,"*PHE/PER*")</f>
        <v/>
      </c>
      <c r="FS23" s="170">
        <f>COUNTIF('INPUT - Roster'!$GI$6:$GI$206,"*PHE/PER*")</f>
        <v/>
      </c>
      <c r="FT23" s="170">
        <f>COUNTIF('INPUT - Roster'!$GJ$6:$GJ$206,"*PHE/PER*")</f>
        <v/>
      </c>
      <c r="FU23" s="170">
        <f>COUNTIF('INPUT - Roster'!$GK$6:$GK$206,"*PHE/PER*")</f>
        <v/>
      </c>
      <c r="FV23" s="170">
        <f>COUNTIF('INPUT - Roster'!$GL$6:$GL$206,"*PHE/PER*")</f>
        <v/>
      </c>
      <c r="FW23" s="170">
        <f>COUNTIF('INPUT - Roster'!$GM$6:$GM$206,"*PHE/PER*")</f>
        <v/>
      </c>
      <c r="FX23" s="170">
        <f>COUNTIF('INPUT - Roster'!$GN$6:$GN$206,"*PHE/PER*")</f>
        <v/>
      </c>
      <c r="FY23" s="170">
        <f>COUNTIF('INPUT - Roster'!$GO$6:$GO$206,"*PHE/PER*")</f>
        <v/>
      </c>
      <c r="FZ23" s="170">
        <f>COUNTIF('INPUT - Roster'!$GP$6:$GP$206,"*PHE/PER*")</f>
        <v/>
      </c>
      <c r="GA23" s="170">
        <f>COUNTIF('INPUT - Roster'!$GQ$6:$GQ$206,"*PHE/PER*")</f>
        <v/>
      </c>
      <c r="GB23" s="170">
        <f>COUNTIF('INPUT - Roster'!$GR$6:$GR$206,"*PHE/PER*")</f>
        <v/>
      </c>
      <c r="GC23" s="170">
        <f>COUNTIF('INPUT - Roster'!$GS$6:$GS$206,"*PHE/PER*")</f>
        <v/>
      </c>
      <c r="GD23" s="170">
        <f>COUNTIF('INPUT - Roster'!$GT$6:$GT$206,"*PHE/PER*")</f>
        <v/>
      </c>
      <c r="GE23" s="170">
        <f>COUNTIF('INPUT - Roster'!$GU$6:$GU$206,"*PHE/PER*")</f>
        <v/>
      </c>
      <c r="GF23" s="170">
        <f>COUNTIF('INPUT - Roster'!$GV$6:$GV$206,"*PHE/PER*")</f>
        <v/>
      </c>
      <c r="GG23" s="170">
        <f>COUNTIF('INPUT - Roster'!$GW$6:$GW$206,"*PHE/PER*")</f>
        <v/>
      </c>
      <c r="GH23" s="170">
        <f>COUNTIF('INPUT - Roster'!$GX$6:$GX$206,"*PHE/PER*")</f>
        <v/>
      </c>
      <c r="GI23" s="170">
        <f>COUNTIF('INPUT - Roster'!$GY$6:$GY$206,"*PHE/PER*")</f>
        <v/>
      </c>
      <c r="GJ23" s="170">
        <f>COUNTIF('INPUT - Roster'!$GZ$6:$GZ$206,"*PHE/PER*")</f>
        <v/>
      </c>
      <c r="GK23" s="170">
        <f>COUNTIF('INPUT - Roster'!$HA$6:$HA$206,"*PHE/PER*")</f>
        <v/>
      </c>
      <c r="GL23" s="170">
        <f>COUNTIF('INPUT - Roster'!$HB$6:$HB$206,"*PHE/PER*")</f>
        <v/>
      </c>
      <c r="GM23" s="170">
        <f>COUNTIF('INPUT - Roster'!$HC$6:$HC$206,"*PHE/PER*")</f>
        <v/>
      </c>
      <c r="GN23" s="170">
        <f>COUNTIF('INPUT - Roster'!$HD$6:$HD$206,"*PHE/PER*")</f>
        <v/>
      </c>
      <c r="GO23" s="170">
        <f>COUNTIF('INPUT - Roster'!$HE$6:$HE$206,"*PHE/PER*")</f>
        <v/>
      </c>
      <c r="GP23" s="170">
        <f>COUNTIF('INPUT - Roster'!$HF$6:$HF$206,"*PHE/PER*")</f>
        <v/>
      </c>
      <c r="GQ23" s="170">
        <f>COUNTIF('INPUT - Roster'!$HG$6:$HG$206,"*PHE/PER*")</f>
        <v/>
      </c>
      <c r="GR23" s="170">
        <f>COUNTIF('INPUT - Roster'!$HH$6:$HH$206,"*PHE/PER*")</f>
        <v/>
      </c>
      <c r="GS23" s="170">
        <f>COUNTIF('INPUT - Roster'!$HI$6:$HI$206,"*PHE/PER*")</f>
        <v/>
      </c>
      <c r="GT23" s="170">
        <f>COUNTIF('INPUT - Roster'!$HJ$6:$HJ$206,"*PHE/PER*")</f>
        <v/>
      </c>
      <c r="GU23" s="170">
        <f>COUNTIF('INPUT - Roster'!$HK$6:$HK$206,"*PHE/PER*")</f>
        <v/>
      </c>
      <c r="GV23" s="170">
        <f>COUNTIF('INPUT - Roster'!$HL$6:$HL$206,"*PHE/PER*")</f>
        <v/>
      </c>
      <c r="GW23" s="170">
        <f>COUNTIF('INPUT - Roster'!$HM$6:$HM$206,"*PHE/PER*")</f>
        <v/>
      </c>
      <c r="GX23" s="170">
        <f>COUNTIF('INPUT - Roster'!$HN$6:$HN$206,"*PHE/PER*")</f>
        <v/>
      </c>
      <c r="GY23" s="170">
        <f>COUNTIF('INPUT - Roster'!$HO$6:$HO$206,"*PHE/PER*")</f>
        <v/>
      </c>
      <c r="GZ23" s="170">
        <f>COUNTIF('INPUT - Roster'!$HP$6:$HP$206,"*PHE/PER*")</f>
        <v/>
      </c>
      <c r="HA23" s="170">
        <f>COUNTIF('INPUT - Roster'!$HQ$6:$HQ$206,"*PHE/PER*")</f>
        <v/>
      </c>
      <c r="HB23" s="170">
        <f>COUNTIF('INPUT - Roster'!$HR$6:$HR$206,"*PHE/PER*")</f>
        <v/>
      </c>
      <c r="HC23" s="170">
        <f>COUNTIF('INPUT - Roster'!$HS$6:$HS$206,"*PHE/PER*")</f>
        <v/>
      </c>
      <c r="HD23" s="170">
        <f>COUNTIF('INPUT - Roster'!$HT$6:$HT$206,"*PHE/PER*")</f>
        <v/>
      </c>
      <c r="HE23" s="170">
        <f>COUNTIF('INPUT - Roster'!$HU$6:$HU$206,"*PHE/PER*")</f>
        <v/>
      </c>
      <c r="HF23" s="170">
        <f>COUNTIF('INPUT - Roster'!$HV$6:$HV$206,"*PHE/PER*")</f>
        <v/>
      </c>
      <c r="HG23" s="170">
        <f>COUNTIF('INPUT - Roster'!$HW$6:$HW$206,"*PHE/PER*")</f>
        <v/>
      </c>
      <c r="HH23" s="170">
        <f>COUNTIF('INPUT - Roster'!$HX$6:$HX$206,"*PHE/PER*")</f>
        <v/>
      </c>
      <c r="HI23" s="170">
        <f>COUNTIF('INPUT - Roster'!$HY$6:$HY$206,"*PHE/PER*")</f>
        <v/>
      </c>
      <c r="HJ23" s="170">
        <f>COUNTIF('INPUT - Roster'!$HZ$6:$HZ$206,"*PHE/PER*")</f>
        <v/>
      </c>
      <c r="HK23" s="170">
        <f>COUNTIF('INPUT - Roster'!$IA$6:$IA$206,"*PHE/PER*")</f>
        <v/>
      </c>
      <c r="HL23" s="170">
        <f>COUNTIF('INPUT - Roster'!$IB$6:$IB$206,"*PHE/PER*")</f>
        <v/>
      </c>
      <c r="HM23" s="170">
        <f>COUNTIF('INPUT - Roster'!$IC$6:$IC$206,"*PHE/PER*")</f>
        <v/>
      </c>
      <c r="HN23" s="170">
        <f>COUNTIF('INPUT - Roster'!$ID$6:$ID$206,"*PHE/PER*")</f>
        <v/>
      </c>
      <c r="HO23" s="170">
        <f>COUNTIF('INPUT - Roster'!$IE$6:$IE$206,"*PHE/PER*")</f>
        <v/>
      </c>
      <c r="HP23" s="170">
        <f>COUNTIF('INPUT - Roster'!$IF$6:$IF$206,"*PHE/PER*")</f>
        <v/>
      </c>
      <c r="HQ23" s="170">
        <f>COUNTIF('INPUT - Roster'!$IG$6:$IG$206,"*PHE/PER*")</f>
        <v/>
      </c>
      <c r="HR23" s="170">
        <f>COUNTIF('INPUT - Roster'!$IH$6:$IH$206,"*PHE/PER*")</f>
        <v/>
      </c>
      <c r="HS23" s="170">
        <f>COUNTIF('INPUT - Roster'!$II$6:$II$206,"*PHE/PER*")</f>
        <v/>
      </c>
      <c r="HT23" s="170">
        <f>COUNTIF('INPUT - Roster'!$IJ$6:$IJ$206,"*PHE/PER*")</f>
        <v/>
      </c>
      <c r="HU23" s="170">
        <f>COUNTIF('INPUT - Roster'!$IK$6:$IK$206,"*PHE/PER*")</f>
        <v/>
      </c>
      <c r="HV23" s="170">
        <f>COUNTIF('INPUT - Roster'!$IL$6:$IL$206,"*PHE/PER*")</f>
        <v/>
      </c>
      <c r="HW23" s="170">
        <f>COUNTIF('INPUT - Roster'!$IM$6:$IM$206,"*PHE/PER*")</f>
        <v/>
      </c>
      <c r="HX23" s="170">
        <f>COUNTIF('INPUT - Roster'!$IN$6:$IN$206,"*PHE/PER*")</f>
        <v/>
      </c>
      <c r="HY23" s="170">
        <f>COUNTIF('INPUT - Roster'!$IO$6:$IO$206,"*PHE/PER*")</f>
        <v/>
      </c>
      <c r="HZ23" s="170">
        <f>COUNTIF('INPUT - Roster'!$IP$6:$IP$206,"*PHE/PER*")</f>
        <v/>
      </c>
      <c r="IA23" s="170">
        <f>COUNTIF('INPUT - Roster'!$IQ$6:$IQ$206,"*PHE/PER*")</f>
        <v/>
      </c>
      <c r="IB23" s="170">
        <f>COUNTIF('INPUT - Roster'!$IR$6:$IR$206,"*PHE/PER*")</f>
        <v/>
      </c>
      <c r="IC23" s="170">
        <f>COUNTIF('INPUT - Roster'!$IS$6:$IS$206,"*PHE/PER*")</f>
        <v/>
      </c>
      <c r="ID23" s="170">
        <f>COUNTIF('INPUT - Roster'!$IT$6:$IT$206,"*PHE/PER*")</f>
        <v/>
      </c>
      <c r="IE23" s="170">
        <f>COUNTIF('INPUT - Roster'!$IU$6:$IU$206,"*PHE/PER*")</f>
        <v/>
      </c>
      <c r="IF23" s="170">
        <f>COUNTIF('INPUT - Roster'!$IV$6:$IV$206,"*PHE/PER*")</f>
        <v/>
      </c>
      <c r="IG23" s="170">
        <f>COUNTIF('INPUT - Roster'!$IW$6:$IW$206,"*PHE/PER*")</f>
        <v/>
      </c>
      <c r="IH23" s="170">
        <f>COUNTIF('INPUT - Roster'!$IX$6:$IX$206,"*PHE/PER*")</f>
        <v/>
      </c>
      <c r="II23" s="170">
        <f>COUNTIF('INPUT - Roster'!$IY$6:$IY$206,"*PHE/PER*")</f>
        <v/>
      </c>
      <c r="IJ23" s="170">
        <f>COUNTIF('INPUT - Roster'!$IZ$6:$IZ$206,"*PHE/PER*")</f>
        <v/>
      </c>
      <c r="IK23" s="170">
        <f>COUNTIF('INPUT - Roster'!$JA$6:$JA$206,"*PHE/PER*")</f>
        <v/>
      </c>
      <c r="IL23" s="170">
        <f>COUNTIF('INPUT - Roster'!$JB$6:$JB$206,"*PHE/PER*")</f>
        <v/>
      </c>
      <c r="IM23" s="170">
        <f>COUNTIF('INPUT - Roster'!$JC$6:$JC$206,"*PHE/PER*")</f>
        <v/>
      </c>
      <c r="IN23" s="170">
        <f>COUNTIF('INPUT - Roster'!$JD$6:$JD$206,"*PHE/PER*")</f>
        <v/>
      </c>
      <c r="IO23" s="170">
        <f>COUNTIF('INPUT - Roster'!$JE$6:$JE$206,"*PHE/PER*")</f>
        <v/>
      </c>
      <c r="IP23" s="170">
        <f>COUNTIF('INPUT - Roster'!$JF$6:$JF$206,"*PHE/PER*")</f>
        <v/>
      </c>
      <c r="IQ23" s="170">
        <f>COUNTIF('INPUT - Roster'!$JG$6:$JG$206,"*PHE/PER*")</f>
        <v/>
      </c>
      <c r="IR23" s="170">
        <f>COUNTIF('INPUT - Roster'!$JH$6:$JH$206,"*PHE/PER*")</f>
        <v/>
      </c>
      <c r="IS23" s="170">
        <f>COUNTIF('INPUT - Roster'!$JI$6:$JI$206,"*PHE/PER*")</f>
        <v/>
      </c>
      <c r="IT23" s="170">
        <f>COUNTIF('INPUT - Roster'!$JJ$6:$JJ$206,"*PHE/PER*")</f>
        <v/>
      </c>
      <c r="IU23" s="170">
        <f>COUNTIF('INPUT - Roster'!$JK$6:$JK$206,"*PHE/PER*")</f>
        <v/>
      </c>
      <c r="IV23" s="170">
        <f>COUNTIF('INPUT - Roster'!$JL$6:$JL$206,"*PHE/PER*")</f>
        <v/>
      </c>
      <c r="IW23" s="170">
        <f>COUNTIF('INPUT - Roster'!$JM$6:$JM$206,"*PHE/PER*")</f>
        <v/>
      </c>
      <c r="IX23" s="170">
        <f>COUNTIF('INPUT - Roster'!$JN$6:$JN$206,"*PHE/PER*")</f>
        <v/>
      </c>
      <c r="IY23" s="170">
        <f>COUNTIF('INPUT - Roster'!$JO$6:$JO$206,"*PHE/PER*")</f>
        <v/>
      </c>
      <c r="IZ23" s="170">
        <f>COUNTIF('INPUT - Roster'!$JP$6:$JP$206,"*PHE/PER*")</f>
        <v/>
      </c>
      <c r="JA23" s="170">
        <f>COUNTIF('INPUT - Roster'!$JQ$6:$JQ$206,"*PHE/PER*")</f>
        <v/>
      </c>
      <c r="JB23" s="170">
        <f>COUNTIF('INPUT - Roster'!$JR$6:$JR$206,"*PHE/PER*")</f>
        <v/>
      </c>
      <c r="JC23" s="170">
        <f>COUNTIF('INPUT - Roster'!$JS$6:$JS$206,"*PHE/PER*")</f>
        <v/>
      </c>
      <c r="JD23" s="170">
        <f>COUNTIF('INPUT - Roster'!$JT$6:$JT$206,"*PHE/PER*")</f>
        <v/>
      </c>
      <c r="JE23" s="170">
        <f>COUNTIF('INPUT - Roster'!$JU$6:$JU$206,"*PHE/PER*")</f>
        <v/>
      </c>
      <c r="JF23" s="170">
        <f>COUNTIF('INPUT - Roster'!$JV$6:$JV$206,"*PHE/PER*")</f>
        <v/>
      </c>
      <c r="JG23" s="170">
        <f>COUNTIF('INPUT - Roster'!$JW$6:$JW$206,"*PHE/PER*")</f>
        <v/>
      </c>
      <c r="JH23" s="170">
        <f>COUNTIF('INPUT - Roster'!$JX$6:$JX$206,"*PHE/PER*")</f>
        <v/>
      </c>
      <c r="JI23" s="170">
        <f>COUNTIF('INPUT - Roster'!$JY$6:$JY$206,"*PHE/PER*")</f>
        <v/>
      </c>
      <c r="JJ23" s="170">
        <f>COUNTIF('INPUT - Roster'!$JZ$6:$JZ$206,"*PHE/PER*")</f>
        <v/>
      </c>
      <c r="JK23" s="170">
        <f>COUNTIF('INPUT - Roster'!$KA$6:$KA$206,"*PHE/PER*")</f>
        <v/>
      </c>
      <c r="JL23" s="170">
        <f>COUNTIF('INPUT - Roster'!$KB$6:$KB$206,"*PHE/PER*")</f>
        <v/>
      </c>
      <c r="JM23" s="170">
        <f>COUNTIF('INPUT - Roster'!$KC$6:$KC$206,"*PHE/PER*")</f>
        <v/>
      </c>
      <c r="JN23" s="170">
        <f>COUNTIF('INPUT - Roster'!$KD$6:$KD$206,"*PHE/PER*")</f>
        <v/>
      </c>
      <c r="JO23" s="170">
        <f>COUNTIF('INPUT - Roster'!$KE$6:$KE$206,"*PHE/PER*")</f>
        <v/>
      </c>
      <c r="JP23" s="170">
        <f>COUNTIF('INPUT - Roster'!$KF$6:$KF$206,"*PHE/PER*")</f>
        <v/>
      </c>
      <c r="JQ23" s="170">
        <f>COUNTIF('INPUT - Roster'!$KG$6:$KG$206,"*PHE/PER*")</f>
        <v/>
      </c>
      <c r="JR23" s="170">
        <f>COUNTIF('INPUT - Roster'!$KH$6:$KH$206,"*PHE/PER*")</f>
        <v/>
      </c>
      <c r="JS23" s="170">
        <f>COUNTIF('INPUT - Roster'!$KI$6:$KI$206,"*PHE/PER*")</f>
        <v/>
      </c>
      <c r="JT23" s="170">
        <f>COUNTIF('INPUT - Roster'!$KJ$6:$KJ$206,"*PHE/PER*")</f>
        <v/>
      </c>
      <c r="JU23" s="170">
        <f>COUNTIF('INPUT - Roster'!$KK$6:$KK$206,"*PHE/PER*")</f>
        <v/>
      </c>
      <c r="JV23" s="170">
        <f>COUNTIF('INPUT - Roster'!$KL$6:$KL$206,"*PHE/PER*")</f>
        <v/>
      </c>
      <c r="JW23" s="170">
        <f>COUNTIF('INPUT - Roster'!$KM$6:$KM$206,"*PHE/PER*")</f>
        <v/>
      </c>
      <c r="JX23" s="170">
        <f>COUNTIF('INPUT - Roster'!$KN$6:$KN$206,"*PHE/PER*")</f>
        <v/>
      </c>
      <c r="JY23" s="170">
        <f>COUNTIF('INPUT - Roster'!$KO$6:$KO$206,"*PHE/PER*")</f>
        <v/>
      </c>
      <c r="JZ23" s="170">
        <f>COUNTIF('INPUT - Roster'!$KP$6:$KP$206,"*PHE/PER*")</f>
        <v/>
      </c>
      <c r="KA23" s="170">
        <f>COUNTIF('INPUT - Roster'!$KQ$6:$KQ$206,"*PHE/PER*")</f>
        <v/>
      </c>
      <c r="KB23" s="170">
        <f>COUNTIF('INPUT - Roster'!$KR$6:$KR$206,"*PHE/PER*")</f>
        <v/>
      </c>
      <c r="KC23" s="170">
        <f>COUNTIF('INPUT - Roster'!$KS$6:$KS$206,"*PHE/PER*")</f>
        <v/>
      </c>
      <c r="KD23" s="170">
        <f>COUNTIF('INPUT - Roster'!$KT$6:$KT$206,"*PHE/PER*")</f>
        <v/>
      </c>
      <c r="KE23" s="170">
        <f>COUNTIF('INPUT - Roster'!$KU$6:$KU$206,"*PHE/PER*")</f>
        <v/>
      </c>
      <c r="KF23" s="170">
        <f>COUNTIF('INPUT - Roster'!$KV$6:$KV$206,"*PHE/PER*")</f>
        <v/>
      </c>
      <c r="KG23" s="170">
        <f>COUNTIF('INPUT - Roster'!$KW$6:$KW$206,"*PHE/PER*")</f>
        <v/>
      </c>
      <c r="KH23" s="170">
        <f>COUNTIF('INPUT - Roster'!$KX$6:$KX$206,"*PHE/PER*")</f>
        <v/>
      </c>
      <c r="KI23" s="170">
        <f>COUNTIF('INPUT - Roster'!$KY$6:$KY$206,"*PHE/PER*")</f>
        <v/>
      </c>
      <c r="KJ23" s="170">
        <f>COUNTIF('INPUT - Roster'!$KZ$6:$KZ$206,"*PHE/PER*")</f>
        <v/>
      </c>
      <c r="KK23" s="170">
        <f>COUNTIF('INPUT - Roster'!$LA$6:$LA$206,"*PHE/PER*")</f>
        <v/>
      </c>
      <c r="KL23" s="170">
        <f>COUNTIF('INPUT - Roster'!$LB$6:$LB$206,"*PHE/PER*")</f>
        <v/>
      </c>
      <c r="KM23" s="170">
        <f>COUNTIF('INPUT - Roster'!$LC$6:$LC$206,"*PHE/PER*")</f>
        <v/>
      </c>
      <c r="KN23" s="170">
        <f>COUNTIF('INPUT - Roster'!$LD$6:$LD$206,"*PHE/PER*")</f>
        <v/>
      </c>
      <c r="KO23" s="170">
        <f>COUNTIF('INPUT - Roster'!$LE$6:$LE$206,"*PHE/PER*")</f>
        <v/>
      </c>
      <c r="KP23" s="170">
        <f>COUNTIF('INPUT - Roster'!$LF$6:$LF$206,"*PHE/PER*")</f>
        <v/>
      </c>
      <c r="KQ23" s="170">
        <f>COUNTIF('INPUT - Roster'!$LG$6:$LG$206,"*PHE/PER*")</f>
        <v/>
      </c>
      <c r="KR23" s="170">
        <f>COUNTIF('INPUT - Roster'!$LH$6:$LH$206,"*PHE/PER*")</f>
        <v/>
      </c>
      <c r="KS23" s="170">
        <f>COUNTIF('INPUT - Roster'!$LI$6:$LI$206,"*PHE/PER*")</f>
        <v/>
      </c>
      <c r="KT23" s="170">
        <f>COUNTIF('INPUT - Roster'!$LJ$6:$LJ$206,"*PHE/PER*")</f>
        <v/>
      </c>
      <c r="KU23" s="170">
        <f>COUNTIF('INPUT - Roster'!$LK$6:$LK$206,"*PHE/PER*")</f>
        <v/>
      </c>
      <c r="KV23" s="170">
        <f>COUNTIF('INPUT - Roster'!$LL$6:$LL$206,"*PHE/PER*")</f>
        <v/>
      </c>
      <c r="KW23" s="170">
        <f>COUNTIF('INPUT - Roster'!$LM$6:$LM$206,"*PHE/PER*")</f>
        <v/>
      </c>
      <c r="KX23" s="170">
        <f>COUNTIF('INPUT - Roster'!$LN$6:$LN$206,"*PHE/PER*")</f>
        <v/>
      </c>
      <c r="KY23" s="170">
        <f>COUNTIF('INPUT - Roster'!$LO$6:$LO$206,"*PHE/PER*")</f>
        <v/>
      </c>
      <c r="KZ23" s="170">
        <f>COUNTIF('INPUT - Roster'!$LP$6:$LP$206,"*PHE/PER*")</f>
        <v/>
      </c>
      <c r="LA23" s="170">
        <f>COUNTIF('INPUT - Roster'!$LQ$6:$LQ$206,"*PHE/PER*")</f>
        <v/>
      </c>
      <c r="LB23" s="170">
        <f>COUNTIF('INPUT - Roster'!$LR$6:$LR$206,"*PHE/PER*")</f>
        <v/>
      </c>
      <c r="LC23" s="170">
        <f>COUNTIF('INPUT - Roster'!$LS$6:$LS$206,"*PHE/PER*")</f>
        <v/>
      </c>
      <c r="LD23" s="170">
        <f>COUNTIF('INPUT - Roster'!$LT$6:$LT$206,"*PHE/PER*")</f>
        <v/>
      </c>
      <c r="LE23" s="170">
        <f>COUNTIF('INPUT - Roster'!$LU$6:$LU$206,"*PHE/PER*")</f>
        <v/>
      </c>
      <c r="LF23" s="170">
        <f>COUNTIF('INPUT - Roster'!$LV$6:$LV$206,"*PHE/PER*")</f>
        <v/>
      </c>
      <c r="LG23" s="170">
        <f>COUNTIF('INPUT - Roster'!$LW$6:$LW$206,"*PHE/PER*")</f>
        <v/>
      </c>
      <c r="LH23" s="170">
        <f>COUNTIF('INPUT - Roster'!$LX$6:$LX$206,"*PHE/PER*")</f>
        <v/>
      </c>
      <c r="LI23" s="170">
        <f>COUNTIF('INPUT - Roster'!$LY$6:$LY$206,"*PHE/PER*")</f>
        <v/>
      </c>
      <c r="LJ23" s="170">
        <f>COUNTIF('INPUT - Roster'!$LZ$6:$LZ$206,"*PHE/PER*")</f>
        <v/>
      </c>
      <c r="LK23" s="170">
        <f>COUNTIF('INPUT - Roster'!$MA$6:$MA$206,"*PHE/PER*")</f>
        <v/>
      </c>
      <c r="LL23" s="170">
        <f>COUNTIF('INPUT - Roster'!$MB$6:$MB$206,"*PHE/PER*")</f>
        <v/>
      </c>
      <c r="LM23" s="170">
        <f>COUNTIF('INPUT - Roster'!$MC$6:$MC$206,"*PHE/PER*")</f>
        <v/>
      </c>
      <c r="LN23" s="170">
        <f>COUNTIF('INPUT - Roster'!$MD$6:$MD$206,"*PHE/PER*")</f>
        <v/>
      </c>
      <c r="LO23" s="170">
        <f>COUNTIF('INPUT - Roster'!$ME$6:$ME$206,"*PHE/PER*")</f>
        <v/>
      </c>
      <c r="LP23" s="170">
        <f>COUNTIF('INPUT - Roster'!$MF$6:$MF$206,"*PHE/PER*")</f>
        <v/>
      </c>
      <c r="LQ23" s="170">
        <f>COUNTIF('INPUT - Roster'!$MG$6:$MG$206,"*PHE/PER*")</f>
        <v/>
      </c>
      <c r="LR23" s="170">
        <f>COUNTIF('INPUT - Roster'!$MH$6:$MH$206,"*PHE/PER*")</f>
        <v/>
      </c>
      <c r="LS23" s="170">
        <f>COUNTIF('INPUT - Roster'!$MI$6:$MI$206,"*PHE/PER*")</f>
        <v/>
      </c>
      <c r="LT23" s="170">
        <f>COUNTIF('INPUT - Roster'!$MJ$6:$MJ$206,"*PHE/PER*")</f>
        <v/>
      </c>
      <c r="LU23" s="170">
        <f>COUNTIF('INPUT - Roster'!$MK$6:$MK$206,"*PHE/PER*")</f>
        <v/>
      </c>
      <c r="LV23" s="170">
        <f>COUNTIF('INPUT - Roster'!$ML$6:$ML$206,"*PHE/PER*")</f>
        <v/>
      </c>
      <c r="LW23" s="170">
        <f>COUNTIF('INPUT - Roster'!$MM$6:$MM$206,"*PHE/PER*")</f>
        <v/>
      </c>
      <c r="LX23" s="170">
        <f>COUNTIF('INPUT - Roster'!$MN$6:$MN$206,"*PHE/PER*")</f>
        <v/>
      </c>
      <c r="LY23" s="170">
        <f>COUNTIF('INPUT - Roster'!$MO$6:$MO$206,"*PHE/PER*")</f>
        <v/>
      </c>
      <c r="LZ23" s="170">
        <f>COUNTIF('INPUT - Roster'!$MP$6:$MP$206,"*PHE/PER*")</f>
        <v/>
      </c>
      <c r="MA23" s="170">
        <f>COUNTIF('INPUT - Roster'!$MQ$6:$MQ$206,"*PHE/PER*")</f>
        <v/>
      </c>
      <c r="MB23" s="170">
        <f>COUNTIF('INPUT - Roster'!$MR$6:$MR$206,"*PHE/PER*")</f>
        <v/>
      </c>
      <c r="MC23" s="170">
        <f>COUNTIF('INPUT - Roster'!$MS$6:$MS$206,"*PHE/PER*")</f>
        <v/>
      </c>
      <c r="MD23" s="170">
        <f>COUNTIF('INPUT - Roster'!$MT$6:$MT$206,"*PHE/PER*")</f>
        <v/>
      </c>
      <c r="ME23" s="170">
        <f>COUNTIF('INPUT - Roster'!$MU$6:$MU$206,"*PHE/PER*")</f>
        <v/>
      </c>
      <c r="MF23" s="170">
        <f>COUNTIF('INPUT - Roster'!$MV$6:$MV$206,"*PHE/PER*")</f>
        <v/>
      </c>
      <c r="MG23" s="170">
        <f>COUNTIF('INPUT - Roster'!$MW$6:$MW$206,"*PHE/PER*")</f>
        <v/>
      </c>
      <c r="MH23" s="170">
        <f>COUNTIF('INPUT - Roster'!$MX$6:$MX$206,"*PHE/PER*")</f>
        <v/>
      </c>
      <c r="MI23" s="170">
        <f>COUNTIF('INPUT - Roster'!$MY$6:$MY$206,"*PHE/PER*")</f>
        <v/>
      </c>
      <c r="MJ23" s="170">
        <f>COUNTIF('INPUT - Roster'!$MZ$6:$MZ$206,"*PHE/PER*")</f>
        <v/>
      </c>
      <c r="MK23" s="170">
        <f>COUNTIF('INPUT - Roster'!$NA$6:$NA$206,"*PHE/PER*")</f>
        <v/>
      </c>
      <c r="ML23" s="170">
        <f>COUNTIF('INPUT - Roster'!$NB$6:$NB$206,"*PHE/PER*")</f>
        <v/>
      </c>
      <c r="MM23" s="170">
        <f>COUNTIF('INPUT - Roster'!$NC$6:$NC$206,"*PHE/PER*")</f>
        <v/>
      </c>
      <c r="MN23" s="170">
        <f>COUNTIF('INPUT - Roster'!$ND$6:$ND$206,"*PHE/PER*")</f>
        <v/>
      </c>
      <c r="MO23" s="170">
        <f>COUNTIF('INPUT - Roster'!$NE$6:$NE$206,"*PHE/PER*")</f>
        <v/>
      </c>
      <c r="MP23" s="170">
        <f>COUNTIF('INPUT - Roster'!$NF$6:$NF$206,"*PHE/PER*")</f>
        <v/>
      </c>
      <c r="MQ23" s="170">
        <f>COUNTIF('INPUT - Roster'!$NG$6:$NG$206,"*PHE/PER*")</f>
        <v/>
      </c>
      <c r="MR23" s="170">
        <f>COUNTIF('INPUT - Roster'!$NH$6:$NH$206,"*PHE/PER*")</f>
        <v/>
      </c>
      <c r="MS23" s="170">
        <f>COUNTIF('INPUT - Roster'!$NI$6:$NI$206,"*PHE/PER*")</f>
        <v/>
      </c>
      <c r="MT23" s="170">
        <f>COUNTIF('INPUT - Roster'!$NJ$6:$NJ$206,"*PHE/PER*")</f>
        <v/>
      </c>
      <c r="MU23" s="170">
        <f>COUNTIF('INPUT - Roster'!$NK$6:$NK$206,"*PHE/PER*")</f>
        <v/>
      </c>
      <c r="MV23" s="170">
        <f>COUNTIF('INPUT - Roster'!$NL$6:$NL$206,"*PHE/PER*")</f>
        <v/>
      </c>
      <c r="MW23" s="170">
        <f>COUNTIF('INPUT - Roster'!$NM$6:$NM$206,"*PHE/PER*")</f>
        <v/>
      </c>
      <c r="MX23" s="170">
        <f>COUNTIF('INPUT - Roster'!$NN$6:$NN$206,"*PHE/PER*")</f>
        <v/>
      </c>
      <c r="MY23" s="170">
        <f>COUNTIF('INPUT - Roster'!$NO$6:$NO$206,"*PHE/PER*")</f>
        <v/>
      </c>
      <c r="MZ23" s="170">
        <f>COUNTIF('INPUT - Roster'!$NP$6:$NP$206,"*PHE/PER*")</f>
        <v/>
      </c>
      <c r="NA23" s="170">
        <f>COUNTIF('INPUT - Roster'!$NQ$6:$NQ$206,"*PHE/PER*")</f>
        <v/>
      </c>
      <c r="NB23" s="170">
        <f>COUNTIF('INPUT - Roster'!$NR$6:$NR$206,"*PHE/PER*")</f>
        <v/>
      </c>
      <c r="NC23" s="170">
        <f>COUNTIF('INPUT - Roster'!$NS$6:$NS$206,"*PHE/PER*")</f>
        <v/>
      </c>
      <c r="ND23" s="170">
        <f>COUNTIF('INPUT - Roster'!$NT$6:$NT$206,"*PHE/PER*")</f>
        <v/>
      </c>
      <c r="NE23" s="170">
        <f>COUNTIF('INPUT - Roster'!$NU$6:$NU$206,"*PHE/PER*")</f>
        <v/>
      </c>
      <c r="NF23" s="170">
        <f>COUNTIF('INPUT - Roster'!$NV$6:$NV$206,"*PHE/PER*")</f>
        <v/>
      </c>
      <c r="NG23" s="170">
        <f>COUNTIF('INPUT - Roster'!$NW$6:$NW$206,"*PHE/PER*")</f>
        <v/>
      </c>
      <c r="NH23" s="170">
        <f>COUNTIF('INPUT - Roster'!$NX$6:$NX$206,"*PHE/PER*")</f>
        <v/>
      </c>
      <c r="NI23" s="170">
        <f>COUNTIF('INPUT - Roster'!$NY$6:$NY$206,"*PHE/PER*")</f>
        <v/>
      </c>
      <c r="NJ23" s="170">
        <f>COUNTIF('INPUT - Roster'!$NZ$6:$NZ$206,"*PHE/PER*")</f>
        <v/>
      </c>
      <c r="NK23" s="170">
        <f>COUNTIF('INPUT - Roster'!$OA$6:$OA$206,"*PHE/PER*")</f>
        <v/>
      </c>
      <c r="NL23" s="170">
        <f>COUNTIF('INPUT - Roster'!$OB$6:$OB$206,"*PHE/PER*")</f>
        <v/>
      </c>
      <c r="NM23" s="170">
        <f>COUNTIF('INPUT - Roster'!$OC$6:$OC$206,"*PHE/PER*")</f>
        <v/>
      </c>
      <c r="NN23" s="170">
        <f>COUNTIF('INPUT - Roster'!$OD$6:$OD$206,"*PHE/PER*")</f>
        <v/>
      </c>
      <c r="NO23" s="170">
        <f>COUNTIF('INPUT - Roster'!$OE$6:$OE$206,"*PHE/PER*")</f>
        <v/>
      </c>
      <c r="NP23" s="170">
        <f>COUNTIF('INPUT - Roster'!$OF$6:$OF$206,"*PHE/PER*")</f>
        <v/>
      </c>
      <c r="NQ23" s="170">
        <f>COUNTIF('INPUT - Roster'!$OG$6:$OG$206,"*PHE/PER*")</f>
        <v/>
      </c>
      <c r="NR23" s="170">
        <f>COUNTIF('INPUT - Roster'!$OH$6:$OH$206,"*PHE/PER*")</f>
        <v/>
      </c>
      <c r="NS23" s="170">
        <f>COUNTIF('INPUT - Roster'!$OI$6:$OI$206,"*PHE/PER*")</f>
        <v/>
      </c>
      <c r="NT23" s="170">
        <f>COUNTIF('INPUT - Roster'!$OJ$6:$OJ$206,"*PHE/PER*")</f>
        <v/>
      </c>
      <c r="NU23" s="170">
        <f>COUNTIF('INPUT - Roster'!$OK$6:$OK$206,"*PHE/PER*")</f>
        <v/>
      </c>
      <c r="NV23" s="170">
        <f>COUNTIF('INPUT - Roster'!$OL$6:$OL$206,"*PHE/PER*")</f>
        <v/>
      </c>
      <c r="NW23" s="170">
        <f>COUNTIF('INPUT - Roster'!$OM$6:$OM$206,"*PHE/PER*")</f>
        <v/>
      </c>
      <c r="NX23" s="170">
        <f>COUNTIF('INPUT - Roster'!$ON$6:$ON$206,"*PHE/PER*")</f>
        <v/>
      </c>
      <c r="NY23" s="170">
        <f>COUNTIF('INPUT - Roster'!$OO$6:$OO$206,"*PHE/PER*")</f>
        <v/>
      </c>
      <c r="NZ23" s="170">
        <f>COUNTIF('INPUT - Roster'!$OP$6:$OP$206,"*PHE/PER*")</f>
        <v/>
      </c>
      <c r="OA23" s="170">
        <f>COUNTIF('INPUT - Roster'!$OQ$6:$OQ$206,"*PHE/PER*")</f>
        <v/>
      </c>
      <c r="OB23" s="170">
        <f>COUNTIF('INPUT - Roster'!$OR$6:$OR$206,"*PHE/PER*")</f>
        <v/>
      </c>
      <c r="OC23" s="170">
        <f>COUNTIF('INPUT - Roster'!$OS$6:$OS$206,"*PHE/PER*")</f>
        <v/>
      </c>
      <c r="OD23" s="170">
        <f>COUNTIF('INPUT - Roster'!$OT$6:$OT$206,"*PHE/PER*")</f>
        <v/>
      </c>
      <c r="OE23" s="170">
        <f>COUNTIF('INPUT - Roster'!$OU$6:$OU$206,"*PHE/PER*")</f>
        <v/>
      </c>
      <c r="OF23" s="170">
        <f>COUNTIF('INPUT - Roster'!$OV$6:$OV$206,"*PHE/PER*")</f>
        <v/>
      </c>
      <c r="OG23" s="170">
        <f>COUNTIF('INPUT - Roster'!$OW$6:$OW$206,"*PHE/PER*")</f>
        <v/>
      </c>
      <c r="OH23" s="170">
        <f>COUNTIF('INPUT - Roster'!$OX$6:$OX$206,"*PHE/PER*")</f>
        <v/>
      </c>
      <c r="OI23" s="170">
        <f>COUNTIF('INPUT - Roster'!$OY$6:$OY$206,"*PHE/PER*")</f>
        <v/>
      </c>
      <c r="OJ23" s="170">
        <f>COUNTIF('INPUT - Roster'!$OZ$6:$OZ$206,"*PHE/PER*")</f>
        <v/>
      </c>
      <c r="OK23" s="170">
        <f>COUNTIF('INPUT - Roster'!$PA$6:$PA$206,"*PHE/PER*")</f>
        <v/>
      </c>
      <c r="OL23" s="170">
        <f>COUNTIF('INPUT - Roster'!$PB$6:$PB$206,"*PHE/PER*")</f>
        <v/>
      </c>
      <c r="OM23" s="170">
        <f>COUNTIF('INPUT - Roster'!$PC$6:$PC$206,"*PHE/PER*")</f>
        <v/>
      </c>
      <c r="ON23" s="170">
        <f>COUNTIF('INPUT - Roster'!$PD$6:$PD$206,"*PHE/PER*")</f>
        <v/>
      </c>
      <c r="OO23" s="170">
        <f>COUNTIF('INPUT - Roster'!$PE$6:$PE$206,"*PHE/PER*")</f>
        <v/>
      </c>
      <c r="OP23" s="170">
        <f>COUNTIF('INPUT - Roster'!$PF$6:$PF$206,"*PHE/PER*")</f>
        <v/>
      </c>
      <c r="OQ23" s="170">
        <f>COUNTIF('INPUT - Roster'!$PG$6:$PG$206,"*PHE/PER*")</f>
        <v/>
      </c>
      <c r="OR23" s="170">
        <f>COUNTIF('INPUT - Roster'!$PH$6:$PH$206,"*PHE/PER*")</f>
        <v/>
      </c>
      <c r="OS23" s="170">
        <f>COUNTIF('INPUT - Roster'!$PI$6:$PI$206,"*PHE/PER*")</f>
        <v/>
      </c>
      <c r="OT23" s="170">
        <f>COUNTIF('INPUT - Roster'!$PJ$6:$PJ$206,"*PHE/PER*")</f>
        <v/>
      </c>
      <c r="OU23" s="170">
        <f>COUNTIF('INPUT - Roster'!$PK$6:$PK$206,"*PHE/PER*")</f>
        <v/>
      </c>
      <c r="OV23" s="170">
        <f>COUNTIF('INPUT - Roster'!$PL$6:$PL$206,"*PHE/PER*")</f>
        <v/>
      </c>
      <c r="OW23" s="170">
        <f>COUNTIF('INPUT - Roster'!$PM$6:$PM$206,"*PHE/PER*")</f>
        <v/>
      </c>
      <c r="OX23" s="170">
        <f>COUNTIF('INPUT - Roster'!$PN$6:$PN$206,"*PHE/PER*")</f>
        <v/>
      </c>
      <c r="OY23" s="170">
        <f>COUNTIF('INPUT - Roster'!$PO$6:$PO$206,"*PHE/PER*")</f>
        <v/>
      </c>
      <c r="OZ23" s="170">
        <f>COUNTIF('INPUT - Roster'!$PP$6:$PP$206,"*PHE/PER*")</f>
        <v/>
      </c>
      <c r="PA23" s="170">
        <f>COUNTIF('INPUT - Roster'!$PQ$6:$PQ$206,"*PHE/PER*")</f>
        <v/>
      </c>
      <c r="PB23" s="170">
        <f>COUNTIF('INPUT - Roster'!$PR$6:$PR$206,"*PHE/PER*")</f>
        <v/>
      </c>
      <c r="PC23" s="170">
        <f>COUNTIF('INPUT - Roster'!$PS$6:$PS$206,"*PHE/PER*")</f>
        <v/>
      </c>
      <c r="PD23" s="170">
        <f>COUNTIF('INPUT - Roster'!$PT$6:$PT$206,"*PHE/PER*")</f>
        <v/>
      </c>
      <c r="PE23" s="170">
        <f>COUNTIF('INPUT - Roster'!$PU$6:$PU$206,"*PHE/PER*")</f>
        <v/>
      </c>
      <c r="PF23" s="170">
        <f>COUNTIF('INPUT - Roster'!$PV$6:$PV$206,"*PHE/PER*")</f>
        <v/>
      </c>
      <c r="PG23" s="170">
        <f>COUNTIF('INPUT - Roster'!$PW$6:$PW$206,"*PHE/PER*")</f>
        <v/>
      </c>
      <c r="PH23" s="170">
        <f>COUNTIF('INPUT - Roster'!$PX$6:$PX$206,"*PHE/PER*")</f>
        <v/>
      </c>
      <c r="PI23" s="170">
        <f>COUNTIF('INPUT - Roster'!$PY$6:$PY$206,"*PHE/PER*")</f>
        <v/>
      </c>
      <c r="PJ23" s="170">
        <f>COUNTIF('INPUT - Roster'!$PZ$6:$PZ$206,"*PHE/PER*")</f>
        <v/>
      </c>
      <c r="PK23" s="170">
        <f>COUNTIF('INPUT - Roster'!$QA$6:$QA$206,"*PHE/PER*")</f>
        <v/>
      </c>
      <c r="PL23" s="170">
        <f>COUNTIF('INPUT - Roster'!$QB$6:$QB$206,"*PHE/PER*")</f>
        <v/>
      </c>
      <c r="PM23" s="170">
        <f>COUNTIF('INPUT - Roster'!$QC$6:$QC$206,"*PHE/PER*")</f>
        <v/>
      </c>
      <c r="PN23" s="170">
        <f>COUNTIF('INPUT - Roster'!$QD$6:$QD$206,"*PHE/PER*")</f>
        <v/>
      </c>
      <c r="PO23" s="170">
        <f>COUNTIF('INPUT - Roster'!$QE$6:$QE$206,"*PHE/PER*")</f>
        <v/>
      </c>
      <c r="PP23" s="170">
        <f>COUNTIF('INPUT - Roster'!$QF$6:$QF$206,"*PHE/PER*")</f>
        <v/>
      </c>
      <c r="PQ23" s="170">
        <f>COUNTIF('INPUT - Roster'!$QG$6:$QG$206,"*PHE/PER*")</f>
        <v/>
      </c>
      <c r="PR23" s="170">
        <f>COUNTIF('INPUT - Roster'!$QH$6:$QH$206,"*PHE/PER*")</f>
        <v/>
      </c>
      <c r="PS23" s="170">
        <f>COUNTIF('INPUT - Roster'!$QI$6:$QI$206,"*PHE/PER*")</f>
        <v/>
      </c>
      <c r="PT23" s="170">
        <f>COUNTIF('INPUT - Roster'!$QJ$6:$QJ$206,"*PHE/PER*")</f>
        <v/>
      </c>
      <c r="PU23" s="170">
        <f>COUNTIF('INPUT - Roster'!$QK$6:$QK$206,"*PHE/PER*")</f>
        <v/>
      </c>
      <c r="PV23" s="170">
        <f>COUNTIF('INPUT - Roster'!$QL$6:$QL$206,"*PHE/PER*")</f>
        <v/>
      </c>
      <c r="PW23" s="170">
        <f>COUNTIF('INPUT - Roster'!$QM$6:$QM$206,"*PHE/PER*")</f>
        <v/>
      </c>
      <c r="PX23" s="170">
        <f>COUNTIF('INPUT - Roster'!$QN$6:$QN$206,"*PHE/PER*")</f>
        <v/>
      </c>
      <c r="PY23" s="170">
        <f>COUNTIF('INPUT - Roster'!$QO$6:$QO$206,"*PHE/PER*")</f>
        <v/>
      </c>
      <c r="PZ23" s="170">
        <f>COUNTIF('INPUT - Roster'!$QP$6:$QP$206,"*PHE/PER*")</f>
        <v/>
      </c>
      <c r="QA23" s="170">
        <f>COUNTIF('INPUT - Roster'!$QQ$6:$QQ$206,"*PHE/PER*")</f>
        <v/>
      </c>
      <c r="QB23" s="170">
        <f>COUNTIF('INPUT - Roster'!$QR$6:$QR$206,"*PHE/PER*")</f>
        <v/>
      </c>
      <c r="QC23" s="170">
        <f>COUNTIF('INPUT - Roster'!$QS$6:$QS$206,"*PHE/PER*")</f>
        <v/>
      </c>
      <c r="QD23" s="170">
        <f>COUNTIF('INPUT - Roster'!$QT$6:$QT$206,"*PHE/PER*")</f>
        <v/>
      </c>
      <c r="QE23" s="170">
        <f>COUNTIF('INPUT - Roster'!$QU$6:$QU$206,"*PHE/PER*")</f>
        <v/>
      </c>
      <c r="QF23" s="170">
        <f>COUNTIF('INPUT - Roster'!$QV$6:$QV$206,"*PHE/PER*")</f>
        <v/>
      </c>
      <c r="QG23" s="170">
        <f>COUNTIF('INPUT - Roster'!$QW$6:$QW$206,"*PHE/PER*")</f>
        <v/>
      </c>
      <c r="QH23" s="170">
        <f>COUNTIF('INPUT - Roster'!$QX$6:$QX$206,"*PHE/PER*")</f>
        <v/>
      </c>
      <c r="QI23" s="170">
        <f>COUNTIF('INPUT - Roster'!$QY$6:$QY$206,"*PHE/PER*")</f>
        <v/>
      </c>
      <c r="QJ23" s="170">
        <f>COUNTIF('INPUT - Roster'!$QZ$6:$QZ$206,"*PHE/PER*")</f>
        <v/>
      </c>
      <c r="QK23" s="170">
        <f>COUNTIF('INPUT - Roster'!$RA$6:$RA$206,"*PHE/PER*")</f>
        <v/>
      </c>
      <c r="QL23" s="170">
        <f>COUNTIF('INPUT - Roster'!$RB$6:$RB$206,"*PHE/PER*")</f>
        <v/>
      </c>
      <c r="QM23" s="170">
        <f>COUNTIF('INPUT - Roster'!$RC$6:$RC$206,"*PHE/PER*")</f>
        <v/>
      </c>
      <c r="QN23" s="170">
        <f>COUNTIF('INPUT - Roster'!$RD$6:$RD$206,"*PHE/PER*")</f>
        <v/>
      </c>
      <c r="QO23" s="170">
        <f>COUNTIF('INPUT - Roster'!$RE$6:$RE$206,"*PHE/PER*")</f>
        <v/>
      </c>
      <c r="QP23" s="170">
        <f>COUNTIF('INPUT - Roster'!$RF$6:$RF$206,"*PHE/PER*")</f>
        <v/>
      </c>
      <c r="QQ23" s="170">
        <f>COUNTIF('INPUT - Roster'!$RG$6:$RG$206,"*PHE/PER*")</f>
        <v/>
      </c>
      <c r="QR23" s="170">
        <f>COUNTIF('INPUT - Roster'!$RH$6:$RH$206,"*PHE/PER*")</f>
        <v/>
      </c>
      <c r="QS23" s="170">
        <f>COUNTIF('INPUT - Roster'!$RI$6:$RI$206,"*PHE/PER*")</f>
        <v/>
      </c>
      <c r="QT23" s="170">
        <f>COUNTIF('INPUT - Roster'!$RJ$6:$RJ$206,"*PHE/PER*")</f>
        <v/>
      </c>
      <c r="QU23" s="170">
        <f>COUNTIF('INPUT - Roster'!$RK$6:$RK$206,"*PHE/PER*")</f>
        <v/>
      </c>
      <c r="QV23" s="170">
        <f>COUNTIF('INPUT - Roster'!$RL$6:$RL$206,"*PHE/PER*")</f>
        <v/>
      </c>
      <c r="QW23" s="170">
        <f>COUNTIF('INPUT - Roster'!$RM$6:$RM$206,"*PHE/PER*")</f>
        <v/>
      </c>
      <c r="QX23" s="170">
        <f>COUNTIF('INPUT - Roster'!$RN$6:$RN$206,"*PHE/PER*")</f>
        <v/>
      </c>
      <c r="QY23" s="170">
        <f>COUNTIF('INPUT - Roster'!$RO$6:$RO$206,"*PHE/PER*")</f>
        <v/>
      </c>
      <c r="QZ23" s="170">
        <f>COUNTIF('INPUT - Roster'!$RP$6:$RP$206,"*PHE/PER*")</f>
        <v/>
      </c>
      <c r="RA23" s="170">
        <f>COUNTIF('INPUT - Roster'!$RQ$6:$RQ$206,"*PHE/PER*")</f>
        <v/>
      </c>
      <c r="RB23" s="170">
        <f>COUNTIF('INPUT - Roster'!$RR$6:$RR$206,"*PHE/PER*")</f>
        <v/>
      </c>
      <c r="RC23" s="170">
        <f>COUNTIF('INPUT - Roster'!$RS$6:$RS$206,"*PHE/PER*")</f>
        <v/>
      </c>
      <c r="RD23" s="170">
        <f>COUNTIF('INPUT - Roster'!$RT$6:$RT$206,"*PHE/PER*")</f>
        <v/>
      </c>
      <c r="RE23" s="170">
        <f>COUNTIF('INPUT - Roster'!$RU$6:$RU$206,"*PHE/PER*")</f>
        <v/>
      </c>
      <c r="RF23" s="170">
        <f>COUNTIF('INPUT - Roster'!$RV$6:$RV$206,"*PHE/PER*")</f>
        <v/>
      </c>
      <c r="RG23" s="170">
        <f>COUNTIF('INPUT - Roster'!$RW$6:$RW$206,"*PHE/PER*")</f>
        <v/>
      </c>
      <c r="RH23" s="170">
        <f>COUNTIF('INPUT - Roster'!$RX$6:$RX$206,"*PHE/PER*")</f>
        <v/>
      </c>
      <c r="RI23" s="170">
        <f>COUNTIF('INPUT - Roster'!$RY$6:$RY$206,"*PHE/PER*")</f>
        <v/>
      </c>
      <c r="RJ23" s="170">
        <f>COUNTIF('INPUT - Roster'!$RZ$6:$RZ$206,"*PHE/PER*")</f>
        <v/>
      </c>
      <c r="RK23" s="170">
        <f>COUNTIF('INPUT - Roster'!$SA$6:$SA$206,"*PHE/PER*")</f>
        <v/>
      </c>
      <c r="RL23" s="170">
        <f>COUNTIF('INPUT - Roster'!$SB$6:$SB$206,"*PHE/PER*")</f>
        <v/>
      </c>
      <c r="RM23" s="170">
        <f>COUNTIF('INPUT - Roster'!$SC$6:$SC$206,"*PHE/PER*")</f>
        <v/>
      </c>
      <c r="RN23" s="170">
        <f>COUNTIF('INPUT - Roster'!$SD$6:$SD$206,"*PHE/PER*")</f>
        <v/>
      </c>
      <c r="RO23" s="170">
        <f>COUNTIF('INPUT - Roster'!$SE$6:$SE$206,"*PHE/PER*")</f>
        <v/>
      </c>
      <c r="RP23" s="170">
        <f>COUNTIF('INPUT - Roster'!$SF$6:$SF$206,"*PHE/PER*")</f>
        <v/>
      </c>
      <c r="RQ23" s="170">
        <f>COUNTIF('INPUT - Roster'!$SG$6:$SG$206,"*PHE/PER*")</f>
        <v/>
      </c>
      <c r="RR23" s="170">
        <f>COUNTIF('INPUT - Roster'!$SH$6:$SH$206,"*PHE/PER*")</f>
        <v/>
      </c>
      <c r="RS23" s="170">
        <f>COUNTIF('INPUT - Roster'!$SI$6:$SI$206,"*PHE/PER*")</f>
        <v/>
      </c>
      <c r="RT23" s="170">
        <f>COUNTIF('INPUT - Roster'!$SJ$6:$SJ$206,"*PHE/PER*")</f>
        <v/>
      </c>
      <c r="RU23" s="170">
        <f>COUNTIF('INPUT - Roster'!$SK$6:$SK$206,"*PHE/PER*")</f>
        <v/>
      </c>
      <c r="RV23" s="170">
        <f>COUNTIF('INPUT - Roster'!$SL$6:$SL$206,"*PHE/PER*")</f>
        <v/>
      </c>
      <c r="RW23" s="170">
        <f>COUNTIF('INPUT - Roster'!$SM$6:$SM$206,"*PHE/PER*")</f>
        <v/>
      </c>
      <c r="RX23" s="170">
        <f>COUNTIF('INPUT - Roster'!$SN$6:$SN$206,"*PHE/PER*")</f>
        <v/>
      </c>
      <c r="RY23" s="170">
        <f>COUNTIF('INPUT - Roster'!$SO$6:$SO$206,"*PHE/PER*")</f>
        <v/>
      </c>
      <c r="RZ23" s="170">
        <f>COUNTIF('INPUT - Roster'!$SP$6:$SP$206,"*PHE/PER*")</f>
        <v/>
      </c>
      <c r="SA23" s="170">
        <f>COUNTIF('INPUT - Roster'!$SQ$6:$SQ$206,"*PHE/PER*")</f>
        <v/>
      </c>
      <c r="SB23" s="170">
        <f>COUNTIF('INPUT - Roster'!$SR$6:$SR$206,"*PHE/PER*")</f>
        <v/>
      </c>
      <c r="SC23" s="170">
        <f>COUNTIF('INPUT - Roster'!$SS$6:$SS$206,"*PHE/PER*")</f>
        <v/>
      </c>
      <c r="SD23" s="170">
        <f>COUNTIF('INPUT - Roster'!$ST$6:$ST$206,"*PHE/PER*")</f>
        <v/>
      </c>
      <c r="SE23" s="170">
        <f>COUNTIF('INPUT - Roster'!$SU$6:$SU$206,"*PHE/PER*")</f>
        <v/>
      </c>
      <c r="SF23" s="170">
        <f>COUNTIF('INPUT - Roster'!$SV$6:$SV$206,"*PHE/PER*")</f>
        <v/>
      </c>
    </row>
    <row r="24">
      <c r="B24" s="169" t="inlineStr">
        <is>
          <t>Fly in  PER/ZNE</t>
        </is>
      </c>
      <c r="C24" s="170">
        <f>COUNTIF('INPUT - Roster'!$S$6:$S$206,"*PER/ZNE*")</f>
        <v/>
      </c>
      <c r="D24" s="170">
        <f>COUNTIF('INPUT - Roster'!$T$6:$T$206,"*PER/ZNE*")</f>
        <v/>
      </c>
      <c r="E24" s="170">
        <f>COUNTIF('INPUT - Roster'!$U$6:$U$206,"*PER/ZNE*")</f>
        <v/>
      </c>
      <c r="F24" s="170">
        <f>COUNTIF('INPUT - Roster'!$V$6:$V$206,"*PER/ZNE*")</f>
        <v/>
      </c>
      <c r="G24" s="170">
        <f>COUNTIF('INPUT - Roster'!$W$6:$W$206,"*PER/ZNE*")</f>
        <v/>
      </c>
      <c r="H24" s="170">
        <f>COUNTIF('INPUT - Roster'!$X$6:$X$206,"*PER/ZNE*")</f>
        <v/>
      </c>
      <c r="I24" s="170">
        <f>COUNTIF('INPUT - Roster'!$Y$6:$Y$206,"*PER/ZNE*")</f>
        <v/>
      </c>
      <c r="J24" s="170">
        <f>COUNTIF('INPUT - Roster'!$Z$6:$Z$206,"*PER/ZNE*")</f>
        <v/>
      </c>
      <c r="K24" s="170">
        <f>COUNTIF('INPUT - Roster'!$AA$6:$AA$206,"*PER/ZNE*")</f>
        <v/>
      </c>
      <c r="L24" s="170">
        <f>COUNTIF('INPUT - Roster'!$AB$6:$AB$206,"*PER/ZNE*")</f>
        <v/>
      </c>
      <c r="M24" s="170">
        <f>COUNTIF('INPUT - Roster'!$AC$6:$AC$206,"*PER/ZNE*")</f>
        <v/>
      </c>
      <c r="N24" s="170">
        <f>COUNTIF('INPUT - Roster'!$AD$6:$AD$206,"*PER/ZNE*")</f>
        <v/>
      </c>
      <c r="O24" s="170">
        <f>COUNTIF('INPUT - Roster'!$AE$6:$AE$206,"*PER/ZNE*")</f>
        <v/>
      </c>
      <c r="P24" s="170">
        <f>COUNTIF('INPUT - Roster'!$AF$6:$AF$206,"*PER/ZNE*")</f>
        <v/>
      </c>
      <c r="Q24" s="170">
        <f>COUNTIF('INPUT - Roster'!$AG$6:$AG$206,"*PER/ZNE*")</f>
        <v/>
      </c>
      <c r="R24" s="170">
        <f>COUNTIF('INPUT - Roster'!$AH$6:$AH$206,"*PER/ZNE*")</f>
        <v/>
      </c>
      <c r="S24" s="170">
        <f>COUNTIF('INPUT - Roster'!$AI$6:$AI$206,"*PER/ZNE*")</f>
        <v/>
      </c>
      <c r="T24" s="170">
        <f>COUNTIF('INPUT - Roster'!$AJ$6:$AJ$206,"*PER/ZNE*")</f>
        <v/>
      </c>
      <c r="U24" s="170">
        <f>COUNTIF('INPUT - Roster'!$AK$6:$AK$206,"*PER/ZNE*")</f>
        <v/>
      </c>
      <c r="V24" s="170">
        <f>COUNTIF('INPUT - Roster'!$AL$6:$AL$206,"*PER/ZNE*")</f>
        <v/>
      </c>
      <c r="W24" s="170">
        <f>COUNTIF('INPUT - Roster'!$AM$6:$AM$206,"*PER/ZNE*")</f>
        <v/>
      </c>
      <c r="X24" s="170">
        <f>COUNTIF('INPUT - Roster'!$AN$6:$AN$206,"*PER/ZNE*")</f>
        <v/>
      </c>
      <c r="Y24" s="170">
        <f>COUNTIF('INPUT - Roster'!$AO$6:$AO$206,"*PER/ZNE*")</f>
        <v/>
      </c>
      <c r="Z24" s="170">
        <f>COUNTIF('INPUT - Roster'!$AP$6:$AP$206,"*PER/ZNE*")</f>
        <v/>
      </c>
      <c r="AA24" s="170">
        <f>COUNTIF('INPUT - Roster'!$AQ$6:$AQ$206,"*PER/ZNE*")</f>
        <v/>
      </c>
      <c r="AB24" s="170">
        <f>COUNTIF('INPUT - Roster'!$AR$6:$AR$206,"*PER/ZNE*")</f>
        <v/>
      </c>
      <c r="AC24" s="170">
        <f>COUNTIF('INPUT - Roster'!$AS$6:$AS$206,"*PER/ZNE*")</f>
        <v/>
      </c>
      <c r="AD24" s="170">
        <f>COUNTIF('INPUT - Roster'!$AT$6:$AT$206,"*PER/ZNE*")</f>
        <v/>
      </c>
      <c r="AE24" s="170">
        <f>COUNTIF('INPUT - Roster'!$AU$6:$AU$206,"*PER/ZNE*")</f>
        <v/>
      </c>
      <c r="AF24" s="170">
        <f>COUNTIF('INPUT - Roster'!$AV$6:$AV$206,"*PER/ZNE*")</f>
        <v/>
      </c>
      <c r="AG24" s="170">
        <f>COUNTIF('INPUT - Roster'!$AW$6:$AW$206,"*PER/ZNE*")</f>
        <v/>
      </c>
      <c r="AH24" s="170">
        <f>COUNTIF('INPUT - Roster'!$AX$6:$AX$206,"*PER/ZNE*")</f>
        <v/>
      </c>
      <c r="AI24" s="170">
        <f>COUNTIF('INPUT - Roster'!$AY$6:$AY$206,"*PER/ZNE*")</f>
        <v/>
      </c>
      <c r="AJ24" s="170">
        <f>COUNTIF('INPUT - Roster'!$AZ$6:$AZ$206,"*PER/ZNE*")</f>
        <v/>
      </c>
      <c r="AK24" s="170">
        <f>COUNTIF('INPUT - Roster'!$BA$6:$BA$206,"*PER/ZNE*")</f>
        <v/>
      </c>
      <c r="AL24" s="170">
        <f>COUNTIF('INPUT - Roster'!$BB$6:$BB$206,"*PER/ZNE*")</f>
        <v/>
      </c>
      <c r="AM24" s="170">
        <f>COUNTIF('INPUT - Roster'!$BC$6:$BC$206,"*PER/ZNE*")</f>
        <v/>
      </c>
      <c r="AN24" s="170">
        <f>COUNTIF('INPUT - Roster'!$BD$6:$BD$206,"*PER/ZNE*")</f>
        <v/>
      </c>
      <c r="AO24" s="170">
        <f>COUNTIF('INPUT - Roster'!$BE$6:$BE$206,"*PER/ZNE*")</f>
        <v/>
      </c>
      <c r="AP24" s="170">
        <f>COUNTIF('INPUT - Roster'!$BF$6:$BF$206,"*PER/ZNE*")</f>
        <v/>
      </c>
      <c r="AQ24" s="170">
        <f>COUNTIF('INPUT - Roster'!$BG$6:$BG$206,"*PER/ZNE*")</f>
        <v/>
      </c>
      <c r="AR24" s="170">
        <f>COUNTIF('INPUT - Roster'!$BH$6:$BH$206,"*PER/ZNE*")</f>
        <v/>
      </c>
      <c r="AS24" s="170">
        <f>COUNTIF('INPUT - Roster'!$BI$6:$BI$206,"*PER/ZNE*")</f>
        <v/>
      </c>
      <c r="AT24" s="170">
        <f>COUNTIF('INPUT - Roster'!$BJ$6:$BJ$206,"*PER/ZNE*")</f>
        <v/>
      </c>
      <c r="AU24" s="170">
        <f>COUNTIF('INPUT - Roster'!$BK$6:$BK$206,"*PER/ZNE*")</f>
        <v/>
      </c>
      <c r="AV24" s="170">
        <f>COUNTIF('INPUT - Roster'!$BL$6:$BL$206,"*PER/ZNE*")</f>
        <v/>
      </c>
      <c r="AW24" s="170">
        <f>COUNTIF('INPUT - Roster'!$BM$6:$BM$206,"*PER/ZNE*")</f>
        <v/>
      </c>
      <c r="AX24" s="170">
        <f>COUNTIF('INPUT - Roster'!$BN$6:$BN$206,"*PER/ZNE*")</f>
        <v/>
      </c>
      <c r="AY24" s="170">
        <f>COUNTIF('INPUT - Roster'!$BO$6:$BO$206,"*PER/ZNE*")</f>
        <v/>
      </c>
      <c r="AZ24" s="170">
        <f>COUNTIF('INPUT - Roster'!$BP$6:$BP$206,"*PER/ZNE*")</f>
        <v/>
      </c>
      <c r="BA24" s="170">
        <f>COUNTIF('INPUT - Roster'!$BQ$6:$BQ$206,"*PER/ZNE*")</f>
        <v/>
      </c>
      <c r="BB24" s="170">
        <f>COUNTIF('INPUT - Roster'!$BR$6:$BR$206,"*PER/ZNE*")</f>
        <v/>
      </c>
      <c r="BC24" s="170">
        <f>COUNTIF('INPUT - Roster'!$BS$6:$BS$206,"*PER/ZNE*")</f>
        <v/>
      </c>
      <c r="BD24" s="170">
        <f>COUNTIF('INPUT - Roster'!$BT$6:$BT$206,"*PER/ZNE*")</f>
        <v/>
      </c>
      <c r="BE24" s="170">
        <f>COUNTIF('INPUT - Roster'!$BU$6:$BU$206,"*PER/ZNE*")</f>
        <v/>
      </c>
      <c r="BF24" s="170">
        <f>COUNTIF('INPUT - Roster'!$BV$6:$BV$206,"*PER/ZNE*")</f>
        <v/>
      </c>
      <c r="BG24" s="170">
        <f>COUNTIF('INPUT - Roster'!$BW$6:$BW$206,"*PER/ZNE*")</f>
        <v/>
      </c>
      <c r="BH24" s="170">
        <f>COUNTIF('INPUT - Roster'!$BX$6:$BX$206,"*PER/ZNE*")</f>
        <v/>
      </c>
      <c r="BI24" s="170">
        <f>COUNTIF('INPUT - Roster'!$BY$6:$BY$206,"*PER/ZNE*")</f>
        <v/>
      </c>
      <c r="BJ24" s="170">
        <f>COUNTIF('INPUT - Roster'!$BZ$6:$BZ$206,"*PER/ZNE*")</f>
        <v/>
      </c>
      <c r="BK24" s="170">
        <f>COUNTIF('INPUT - Roster'!$CA$6:$CA$206,"*PER/ZNE*")</f>
        <v/>
      </c>
      <c r="BL24" s="170">
        <f>COUNTIF('INPUT - Roster'!$CB$6:$CB$206,"*PER/ZNE*")</f>
        <v/>
      </c>
      <c r="BM24" s="170">
        <f>COUNTIF('INPUT - Roster'!$CC$6:$CC$206,"*PER/ZNE*")</f>
        <v/>
      </c>
      <c r="BN24" s="170">
        <f>COUNTIF('INPUT - Roster'!$CD$6:$CD$206,"*PER/ZNE*")</f>
        <v/>
      </c>
      <c r="BO24" s="170">
        <f>COUNTIF('INPUT - Roster'!$CE$6:$CE$206,"*PER/ZNE*")</f>
        <v/>
      </c>
      <c r="BP24" s="170">
        <f>COUNTIF('INPUT - Roster'!$CF$6:$CF$206,"*PER/ZNE*")</f>
        <v/>
      </c>
      <c r="BQ24" s="170">
        <f>COUNTIF('INPUT - Roster'!$CG$6:$CG$206,"*PER/ZNE*")</f>
        <v/>
      </c>
      <c r="BR24" s="170">
        <f>COUNTIF('INPUT - Roster'!$CH$6:$CH$206,"*PER/ZNE*")</f>
        <v/>
      </c>
      <c r="BS24" s="170">
        <f>COUNTIF('INPUT - Roster'!$CI$6:$CI$206,"*PER/ZNE*")</f>
        <v/>
      </c>
      <c r="BT24" s="170">
        <f>COUNTIF('INPUT - Roster'!$CJ$6:$CJ$206,"*PER/ZNE*")</f>
        <v/>
      </c>
      <c r="BU24" s="170">
        <f>COUNTIF('INPUT - Roster'!$CK$6:$CK$206,"*PER/ZNE*")</f>
        <v/>
      </c>
      <c r="BV24" s="170">
        <f>COUNTIF('INPUT - Roster'!$CL$6:$CL$206,"*PER/ZNE*")</f>
        <v/>
      </c>
      <c r="BW24" s="170">
        <f>COUNTIF('INPUT - Roster'!$CM$6:$CM$206,"*PER/ZNE*")</f>
        <v/>
      </c>
      <c r="BX24" s="170">
        <f>COUNTIF('INPUT - Roster'!$CN$6:$CN$206,"*PER/ZNE*")</f>
        <v/>
      </c>
      <c r="BY24" s="170">
        <f>COUNTIF('INPUT - Roster'!$CO$6:$CO$206,"*PER/ZNE*")</f>
        <v/>
      </c>
      <c r="BZ24" s="170">
        <f>COUNTIF('INPUT - Roster'!$CP$6:$CP$206,"*PER/ZNE*")</f>
        <v/>
      </c>
      <c r="CA24" s="170">
        <f>COUNTIF('INPUT - Roster'!$CQ$6:$CQ$206,"*PER/ZNE*")</f>
        <v/>
      </c>
      <c r="CB24" s="170">
        <f>COUNTIF('INPUT - Roster'!$CR$6:$CR$206,"*PER/ZNE*")</f>
        <v/>
      </c>
      <c r="CC24" s="170">
        <f>COUNTIF('INPUT - Roster'!$CS$6:$CS$206,"*PER/ZNE*")</f>
        <v/>
      </c>
      <c r="CD24" s="170">
        <f>COUNTIF('INPUT - Roster'!$CT$6:$CT$206,"*PER/ZNE*")</f>
        <v/>
      </c>
      <c r="CE24" s="170">
        <f>COUNTIF('INPUT - Roster'!$CU$6:$CU$206,"*PER/ZNE*")</f>
        <v/>
      </c>
      <c r="CF24" s="170">
        <f>COUNTIF('INPUT - Roster'!$CV$6:$CV$206,"*PER/ZNE*")</f>
        <v/>
      </c>
      <c r="CG24" s="170">
        <f>COUNTIF('INPUT - Roster'!$CW$6:$CW$206,"*PER/ZNE*")</f>
        <v/>
      </c>
      <c r="CH24" s="170">
        <f>COUNTIF('INPUT - Roster'!$CX$6:$CX$206,"*PER/ZNE*")</f>
        <v/>
      </c>
      <c r="CI24" s="170">
        <f>COUNTIF('INPUT - Roster'!$CY$6:$CY$206,"*PER/ZNE*")</f>
        <v/>
      </c>
      <c r="CJ24" s="170">
        <f>COUNTIF('INPUT - Roster'!$CZ$6:$CZ$206,"*PER/ZNE*")</f>
        <v/>
      </c>
      <c r="CK24" s="170">
        <f>COUNTIF('INPUT - Roster'!$DA$6:$DA$206,"*PER/ZNE*")</f>
        <v/>
      </c>
      <c r="CL24" s="170">
        <f>COUNTIF('INPUT - Roster'!$DB$6:$DB$206,"*PER/ZNE*")</f>
        <v/>
      </c>
      <c r="CM24" s="170">
        <f>COUNTIF('INPUT - Roster'!$DC$6:$DC$206,"*PER/ZNE*")</f>
        <v/>
      </c>
      <c r="CN24" s="170">
        <f>COUNTIF('INPUT - Roster'!$DD$6:$DD$206,"*PER/ZNE*")</f>
        <v/>
      </c>
      <c r="CO24" s="170">
        <f>COUNTIF('INPUT - Roster'!$DE$6:$DE$206,"*PER/ZNE*")</f>
        <v/>
      </c>
      <c r="CP24" s="170">
        <f>COUNTIF('INPUT - Roster'!$DF$6:$DF$206,"*PER/ZNE*")</f>
        <v/>
      </c>
      <c r="CQ24" s="170">
        <f>COUNTIF('INPUT - Roster'!$DG$6:$DG$206,"*PER/ZNE*")</f>
        <v/>
      </c>
      <c r="CR24" s="170">
        <f>COUNTIF('INPUT - Roster'!$DH$6:$DH$206,"*PER/ZNE*")</f>
        <v/>
      </c>
      <c r="CS24" s="170">
        <f>COUNTIF('INPUT - Roster'!$DI$6:$DI$206,"*PER/ZNE*")</f>
        <v/>
      </c>
      <c r="CT24" s="170">
        <f>COUNTIF('INPUT - Roster'!$DJ$6:$DJ$206,"*PER/ZNE*")</f>
        <v/>
      </c>
      <c r="CU24" s="170">
        <f>COUNTIF('INPUT - Roster'!$DK$6:$DK$206,"*PER/ZNE*")</f>
        <v/>
      </c>
      <c r="CV24" s="170">
        <f>COUNTIF('INPUT - Roster'!$DL$6:$DL$206,"*PER/ZNE*")</f>
        <v/>
      </c>
      <c r="CW24" s="170">
        <f>COUNTIF('INPUT - Roster'!$DM$6:$DM$206,"*PER/ZNE*")</f>
        <v/>
      </c>
      <c r="CX24" s="170">
        <f>COUNTIF('INPUT - Roster'!$DN$6:$DN$206,"*PER/ZNE*")</f>
        <v/>
      </c>
      <c r="CY24" s="170">
        <f>COUNTIF('INPUT - Roster'!$DO$6:$DO$206,"*PER/ZNE*")</f>
        <v/>
      </c>
      <c r="CZ24" s="170">
        <f>COUNTIF('INPUT - Roster'!$DP$6:$DP$206,"*PER/ZNE*")</f>
        <v/>
      </c>
      <c r="DA24" s="170">
        <f>COUNTIF('INPUT - Roster'!$DQ$6:$DQ$206,"*PER/ZNE*")</f>
        <v/>
      </c>
      <c r="DB24" s="170">
        <f>COUNTIF('INPUT - Roster'!$DR$6:$DR$206,"*PER/ZNE*")</f>
        <v/>
      </c>
      <c r="DC24" s="170">
        <f>COUNTIF('INPUT - Roster'!$DS$6:$DS$206,"*PER/ZNE*")</f>
        <v/>
      </c>
      <c r="DD24" s="170">
        <f>COUNTIF('INPUT - Roster'!$DT$6:$DT$206,"*PER/ZNE*")</f>
        <v/>
      </c>
      <c r="DE24" s="170">
        <f>COUNTIF('INPUT - Roster'!$DU$6:$DU$206,"*PER/ZNE*")</f>
        <v/>
      </c>
      <c r="DF24" s="170">
        <f>COUNTIF('INPUT - Roster'!$DV$6:$DV$206,"*PER/ZNE*")</f>
        <v/>
      </c>
      <c r="DG24" s="170">
        <f>COUNTIF('INPUT - Roster'!$DW$6:$DW$206,"*PER/ZNE*")</f>
        <v/>
      </c>
      <c r="DH24" s="170">
        <f>COUNTIF('INPUT - Roster'!$DX$6:$DX$206,"*PER/ZNE*")</f>
        <v/>
      </c>
      <c r="DI24" s="170">
        <f>COUNTIF('INPUT - Roster'!$DY$6:$DY$206,"*PER/ZNE*")</f>
        <v/>
      </c>
      <c r="DJ24" s="170">
        <f>COUNTIF('INPUT - Roster'!$DZ$6:$DZ$206,"*PER/ZNE*")</f>
        <v/>
      </c>
      <c r="DK24" s="170">
        <f>COUNTIF('INPUT - Roster'!$EA$6:$EA$206,"*PER/ZNE*")</f>
        <v/>
      </c>
      <c r="DL24" s="170">
        <f>COUNTIF('INPUT - Roster'!$EB$6:$EB$206,"*PER/ZNE*")</f>
        <v/>
      </c>
      <c r="DM24" s="170">
        <f>COUNTIF('INPUT - Roster'!$EC$6:$EC$206,"*PER/ZNE*")</f>
        <v/>
      </c>
      <c r="DN24" s="170">
        <f>COUNTIF('INPUT - Roster'!$ED$6:$ED$206,"*PER/ZNE*")</f>
        <v/>
      </c>
      <c r="DO24" s="170">
        <f>COUNTIF('INPUT - Roster'!$EE$6:$EE$206,"*PER/ZNE*")</f>
        <v/>
      </c>
      <c r="DP24" s="170">
        <f>COUNTIF('INPUT - Roster'!$EF$6:$EF$206,"*PER/ZNE*")</f>
        <v/>
      </c>
      <c r="DQ24" s="170">
        <f>COUNTIF('INPUT - Roster'!$EG$6:$EG$206,"*PER/ZNE*")</f>
        <v/>
      </c>
      <c r="DR24" s="170">
        <f>COUNTIF('INPUT - Roster'!$EH$6:$EH$206,"*PER/ZNE*")</f>
        <v/>
      </c>
      <c r="DS24" s="170">
        <f>COUNTIF('INPUT - Roster'!$EI$6:$EI$206,"*PER/ZNE*")</f>
        <v/>
      </c>
      <c r="DT24" s="170">
        <f>COUNTIF('INPUT - Roster'!$EJ$6:$EJ$206,"*PER/ZNE*")</f>
        <v/>
      </c>
      <c r="DU24" s="170">
        <f>COUNTIF('INPUT - Roster'!$EK$6:$EK$206,"*PER/ZNE*")</f>
        <v/>
      </c>
      <c r="DV24" s="170">
        <f>COUNTIF('INPUT - Roster'!$EL$6:$EL$206,"*PER/ZNE*")</f>
        <v/>
      </c>
      <c r="DW24" s="170">
        <f>COUNTIF('INPUT - Roster'!$EM$6:$EM$206,"*PER/ZNE*")</f>
        <v/>
      </c>
      <c r="DX24" s="170">
        <f>COUNTIF('INPUT - Roster'!$EN$6:$EN$206,"*PER/ZNE*")</f>
        <v/>
      </c>
      <c r="DY24" s="170">
        <f>COUNTIF('INPUT - Roster'!$EO$6:$EO$206,"*PER/ZNE*")</f>
        <v/>
      </c>
      <c r="DZ24" s="170">
        <f>COUNTIF('INPUT - Roster'!$EP$6:$EP$206,"*PER/ZNE*")</f>
        <v/>
      </c>
      <c r="EA24" s="170">
        <f>COUNTIF('INPUT - Roster'!$EQ$6:$EQ$206,"*PER/ZNE*")</f>
        <v/>
      </c>
      <c r="EB24" s="170">
        <f>COUNTIF('INPUT - Roster'!$ER$6:$ER$206,"*PER/ZNE*")</f>
        <v/>
      </c>
      <c r="EC24" s="170">
        <f>COUNTIF('INPUT - Roster'!$ES$6:$ES$206,"*PER/ZNE*")</f>
        <v/>
      </c>
      <c r="ED24" s="170">
        <f>COUNTIF('INPUT - Roster'!$ET$6:$ET$206,"*PER/ZNE*")</f>
        <v/>
      </c>
      <c r="EE24" s="170">
        <f>COUNTIF('INPUT - Roster'!$EU$6:$EU$206,"*PER/ZNE*")</f>
        <v/>
      </c>
      <c r="EF24" s="170">
        <f>COUNTIF('INPUT - Roster'!$EV$6:$EV$206,"*PER/ZNE*")</f>
        <v/>
      </c>
      <c r="EG24" s="170">
        <f>COUNTIF('INPUT - Roster'!$EW$6:$EW$206,"*PER/ZNE*")</f>
        <v/>
      </c>
      <c r="EH24" s="170">
        <f>COUNTIF('INPUT - Roster'!$EX$6:$EX$206,"*PER/ZNE*")</f>
        <v/>
      </c>
      <c r="EI24" s="170">
        <f>COUNTIF('INPUT - Roster'!$EY$6:$EY$206,"*PER/ZNE*")</f>
        <v/>
      </c>
      <c r="EJ24" s="170">
        <f>COUNTIF('INPUT - Roster'!$EZ$6:$EZ$206,"*PER/ZNE*")</f>
        <v/>
      </c>
      <c r="EK24" s="170">
        <f>COUNTIF('INPUT - Roster'!$FA$6:$FA$206,"*PER/ZNE*")</f>
        <v/>
      </c>
      <c r="EL24" s="170">
        <f>COUNTIF('INPUT - Roster'!$FB$6:$FB$206,"*PER/ZNE*")</f>
        <v/>
      </c>
      <c r="EM24" s="170">
        <f>COUNTIF('INPUT - Roster'!$FC$6:$FC$206,"*PER/ZNE*")</f>
        <v/>
      </c>
      <c r="EN24" s="170">
        <f>COUNTIF('INPUT - Roster'!$FD$6:$FD$206,"*PER/ZNE*")</f>
        <v/>
      </c>
      <c r="EO24" s="170">
        <f>COUNTIF('INPUT - Roster'!$FE$6:$FE$206,"*PER/ZNE*")</f>
        <v/>
      </c>
      <c r="EP24" s="170">
        <f>COUNTIF('INPUT - Roster'!$FF$6:$FF$206,"*PER/ZNE*")</f>
        <v/>
      </c>
      <c r="EQ24" s="170">
        <f>COUNTIF('INPUT - Roster'!$FG$6:$FG$206,"*PER/ZNE*")</f>
        <v/>
      </c>
      <c r="ER24" s="170">
        <f>COUNTIF('INPUT - Roster'!$FH$6:$FH$206,"*PER/ZNE*")</f>
        <v/>
      </c>
      <c r="ES24" s="170">
        <f>COUNTIF('INPUT - Roster'!$FI$6:$FI$206,"*PER/ZNE*")</f>
        <v/>
      </c>
      <c r="ET24" s="170">
        <f>COUNTIF('INPUT - Roster'!$FJ$6:$FJ$206,"*PER/ZNE*")</f>
        <v/>
      </c>
      <c r="EU24" s="170">
        <f>COUNTIF('INPUT - Roster'!$FK$6:$FK$206,"*PER/ZNE*")</f>
        <v/>
      </c>
      <c r="EV24" s="170">
        <f>COUNTIF('INPUT - Roster'!$FL$6:$FL$206,"*PER/ZNE*")</f>
        <v/>
      </c>
      <c r="EW24" s="170">
        <f>COUNTIF('INPUT - Roster'!$FM$6:$FM$206,"*PER/ZNE*")</f>
        <v/>
      </c>
      <c r="EX24" s="170">
        <f>COUNTIF('INPUT - Roster'!$FN$6:$FN$206,"*PER/ZNE*")</f>
        <v/>
      </c>
      <c r="EY24" s="170">
        <f>COUNTIF('INPUT - Roster'!$FO$6:$FO$206,"*PER/ZNE*")</f>
        <v/>
      </c>
      <c r="EZ24" s="170">
        <f>COUNTIF('INPUT - Roster'!$FP$6:$FP$206,"*PER/ZNE*")</f>
        <v/>
      </c>
      <c r="FA24" s="170">
        <f>COUNTIF('INPUT - Roster'!$FQ$6:$FQ$206,"*PER/ZNE*")</f>
        <v/>
      </c>
      <c r="FB24" s="170">
        <f>COUNTIF('INPUT - Roster'!$FR$6:$FR$206,"*PER/ZNE*")</f>
        <v/>
      </c>
      <c r="FC24" s="170">
        <f>COUNTIF('INPUT - Roster'!$FS$6:$FS$206,"*PER/ZNE*")</f>
        <v/>
      </c>
      <c r="FD24" s="170">
        <f>COUNTIF('INPUT - Roster'!$FT$6:$FT$206,"*PER/ZNE*")</f>
        <v/>
      </c>
      <c r="FE24" s="170">
        <f>COUNTIF('INPUT - Roster'!$FU$6:$FU$206,"*PER/ZNE*")</f>
        <v/>
      </c>
      <c r="FF24" s="170">
        <f>COUNTIF('INPUT - Roster'!$FV$6:$FV$206,"*PER/ZNE*")</f>
        <v/>
      </c>
      <c r="FG24" s="170">
        <f>COUNTIF('INPUT - Roster'!$FW$6:$FW$206,"*PER/ZNE*")</f>
        <v/>
      </c>
      <c r="FH24" s="170">
        <f>COUNTIF('INPUT - Roster'!$FX$6:$FX$206,"*PER/ZNE*")</f>
        <v/>
      </c>
      <c r="FI24" s="170">
        <f>COUNTIF('INPUT - Roster'!$FY$6:$FY$206,"*PER/ZNE*")</f>
        <v/>
      </c>
      <c r="FJ24" s="170">
        <f>COUNTIF('INPUT - Roster'!$FZ$6:$FZ$206,"*PER/ZNE*")</f>
        <v/>
      </c>
      <c r="FK24" s="170">
        <f>COUNTIF('INPUT - Roster'!$GA$6:$GA$206,"*PER/ZNE*")</f>
        <v/>
      </c>
      <c r="FL24" s="170">
        <f>COUNTIF('INPUT - Roster'!$GB$6:$GB$206,"*PER/ZNE*")</f>
        <v/>
      </c>
      <c r="FM24" s="170">
        <f>COUNTIF('INPUT - Roster'!$GC$6:$GC$206,"*PER/ZNE*")</f>
        <v/>
      </c>
      <c r="FN24" s="170">
        <f>COUNTIF('INPUT - Roster'!$GD$6:$GD$206,"*PER/ZNE*")</f>
        <v/>
      </c>
      <c r="FO24" s="170">
        <f>COUNTIF('INPUT - Roster'!$GE$6:$GE$206,"*PER/ZNE*")</f>
        <v/>
      </c>
      <c r="FP24" s="170">
        <f>COUNTIF('INPUT - Roster'!$GF$6:$GF$206,"*PER/ZNE*")</f>
        <v/>
      </c>
      <c r="FQ24" s="170">
        <f>COUNTIF('INPUT - Roster'!$GG$6:$GG$206,"*PER/ZNE*")</f>
        <v/>
      </c>
      <c r="FR24" s="170">
        <f>COUNTIF('INPUT - Roster'!$GH$6:$GH$206,"*PER/ZNE*")</f>
        <v/>
      </c>
      <c r="FS24" s="170">
        <f>COUNTIF('INPUT - Roster'!$GI$6:$GI$206,"*PER/ZNE*")</f>
        <v/>
      </c>
      <c r="FT24" s="170">
        <f>COUNTIF('INPUT - Roster'!$GJ$6:$GJ$206,"*PER/ZNE*")</f>
        <v/>
      </c>
      <c r="FU24" s="170">
        <f>COUNTIF('INPUT - Roster'!$GK$6:$GK$206,"*PER/ZNE*")</f>
        <v/>
      </c>
      <c r="FV24" s="170">
        <f>COUNTIF('INPUT - Roster'!$GL$6:$GL$206,"*PER/ZNE*")</f>
        <v/>
      </c>
      <c r="FW24" s="170">
        <f>COUNTIF('INPUT - Roster'!$GM$6:$GM$206,"*PER/ZNE*")</f>
        <v/>
      </c>
      <c r="FX24" s="170">
        <f>COUNTIF('INPUT - Roster'!$GN$6:$GN$206,"*PER/ZNE*")</f>
        <v/>
      </c>
      <c r="FY24" s="170">
        <f>COUNTIF('INPUT - Roster'!$GO$6:$GO$206,"*PER/ZNE*")</f>
        <v/>
      </c>
      <c r="FZ24" s="170">
        <f>COUNTIF('INPUT - Roster'!$GP$6:$GP$206,"*PER/ZNE*")</f>
        <v/>
      </c>
      <c r="GA24" s="170">
        <f>COUNTIF('INPUT - Roster'!$GQ$6:$GQ$206,"*PER/ZNE*")</f>
        <v/>
      </c>
      <c r="GB24" s="170">
        <f>COUNTIF('INPUT - Roster'!$GR$6:$GR$206,"*PER/ZNE*")</f>
        <v/>
      </c>
      <c r="GC24" s="170">
        <f>COUNTIF('INPUT - Roster'!$GS$6:$GS$206,"*PER/ZNE*")</f>
        <v/>
      </c>
      <c r="GD24" s="170">
        <f>COUNTIF('INPUT - Roster'!$GT$6:$GT$206,"*PER/ZNE*")</f>
        <v/>
      </c>
      <c r="GE24" s="170">
        <f>COUNTIF('INPUT - Roster'!$GU$6:$GU$206,"*PER/ZNE*")</f>
        <v/>
      </c>
      <c r="GF24" s="170">
        <f>COUNTIF('INPUT - Roster'!$GV$6:$GV$206,"*PER/ZNE*")</f>
        <v/>
      </c>
      <c r="GG24" s="170">
        <f>COUNTIF('INPUT - Roster'!$GW$6:$GW$206,"*PER/ZNE*")</f>
        <v/>
      </c>
      <c r="GH24" s="170">
        <f>COUNTIF('INPUT - Roster'!$GX$6:$GX$206,"*PER/ZNE*")</f>
        <v/>
      </c>
      <c r="GI24" s="170">
        <f>COUNTIF('INPUT - Roster'!$GY$6:$GY$206,"*PER/ZNE*")</f>
        <v/>
      </c>
      <c r="GJ24" s="170">
        <f>COUNTIF('INPUT - Roster'!$GZ$6:$GZ$206,"*PER/ZNE*")</f>
        <v/>
      </c>
      <c r="GK24" s="170">
        <f>COUNTIF('INPUT - Roster'!$HA$6:$HA$206,"*PER/ZNE*")</f>
        <v/>
      </c>
      <c r="GL24" s="170">
        <f>COUNTIF('INPUT - Roster'!$HB$6:$HB$206,"*PER/ZNE*")</f>
        <v/>
      </c>
      <c r="GM24" s="170">
        <f>COUNTIF('INPUT - Roster'!$HC$6:$HC$206,"*PER/ZNE*")</f>
        <v/>
      </c>
      <c r="GN24" s="170">
        <f>COUNTIF('INPUT - Roster'!$HD$6:$HD$206,"*PER/ZNE*")</f>
        <v/>
      </c>
      <c r="GO24" s="170">
        <f>COUNTIF('INPUT - Roster'!$HE$6:$HE$206,"*PER/ZNE*")</f>
        <v/>
      </c>
      <c r="GP24" s="170">
        <f>COUNTIF('INPUT - Roster'!$HF$6:$HF$206,"*PER/ZNE*")</f>
        <v/>
      </c>
      <c r="GQ24" s="170">
        <f>COUNTIF('INPUT - Roster'!$HG$6:$HG$206,"*PER/ZNE*")</f>
        <v/>
      </c>
      <c r="GR24" s="170">
        <f>COUNTIF('INPUT - Roster'!$HH$6:$HH$206,"*PER/ZNE*")</f>
        <v/>
      </c>
      <c r="GS24" s="170">
        <f>COUNTIF('INPUT - Roster'!$HI$6:$HI$206,"*PER/ZNE*")</f>
        <v/>
      </c>
      <c r="GT24" s="170">
        <f>COUNTIF('INPUT - Roster'!$HJ$6:$HJ$206,"*PER/ZNE*")</f>
        <v/>
      </c>
      <c r="GU24" s="170">
        <f>COUNTIF('INPUT - Roster'!$HK$6:$HK$206,"*PER/ZNE*")</f>
        <v/>
      </c>
      <c r="GV24" s="170">
        <f>COUNTIF('INPUT - Roster'!$HL$6:$HL$206,"*PER/ZNE*")</f>
        <v/>
      </c>
      <c r="GW24" s="170">
        <f>COUNTIF('INPUT - Roster'!$HM$6:$HM$206,"*PER/ZNE*")</f>
        <v/>
      </c>
      <c r="GX24" s="170">
        <f>COUNTIF('INPUT - Roster'!$HN$6:$HN$206,"*PER/ZNE*")</f>
        <v/>
      </c>
      <c r="GY24" s="170">
        <f>COUNTIF('INPUT - Roster'!$HO$6:$HO$206,"*PER/ZNE*")</f>
        <v/>
      </c>
      <c r="GZ24" s="170">
        <f>COUNTIF('INPUT - Roster'!$HP$6:$HP$206,"*PER/ZNE*")</f>
        <v/>
      </c>
      <c r="HA24" s="170">
        <f>COUNTIF('INPUT - Roster'!$HQ$6:$HQ$206,"*PER/ZNE*")</f>
        <v/>
      </c>
      <c r="HB24" s="170">
        <f>COUNTIF('INPUT - Roster'!$HR$6:$HR$206,"*PER/ZNE*")</f>
        <v/>
      </c>
      <c r="HC24" s="170">
        <f>COUNTIF('INPUT - Roster'!$HS$6:$HS$206,"*PER/ZNE*")</f>
        <v/>
      </c>
      <c r="HD24" s="170">
        <f>COUNTIF('INPUT - Roster'!$HT$6:$HT$206,"*PER/ZNE*")</f>
        <v/>
      </c>
      <c r="HE24" s="170">
        <f>COUNTIF('INPUT - Roster'!$HU$6:$HU$206,"*PER/ZNE*")</f>
        <v/>
      </c>
      <c r="HF24" s="170">
        <f>COUNTIF('INPUT - Roster'!$HV$6:$HV$206,"*PER/ZNE*")</f>
        <v/>
      </c>
      <c r="HG24" s="170">
        <f>COUNTIF('INPUT - Roster'!$HW$6:$HW$206,"*PER/ZNE*")</f>
        <v/>
      </c>
      <c r="HH24" s="170">
        <f>COUNTIF('INPUT - Roster'!$HX$6:$HX$206,"*PER/ZNE*")</f>
        <v/>
      </c>
      <c r="HI24" s="170">
        <f>COUNTIF('INPUT - Roster'!$HY$6:$HY$206,"*PER/ZNE*")</f>
        <v/>
      </c>
      <c r="HJ24" s="170">
        <f>COUNTIF('INPUT - Roster'!$HZ$6:$HZ$206,"*PER/ZNE*")</f>
        <v/>
      </c>
      <c r="HK24" s="170">
        <f>COUNTIF('INPUT - Roster'!$IA$6:$IA$206,"*PER/ZNE*")</f>
        <v/>
      </c>
      <c r="HL24" s="170">
        <f>COUNTIF('INPUT - Roster'!$IB$6:$IB$206,"*PER/ZNE*")</f>
        <v/>
      </c>
      <c r="HM24" s="170">
        <f>COUNTIF('INPUT - Roster'!$IC$6:$IC$206,"*PER/ZNE*")</f>
        <v/>
      </c>
      <c r="HN24" s="170">
        <f>COUNTIF('INPUT - Roster'!$ID$6:$ID$206,"*PER/ZNE*")</f>
        <v/>
      </c>
      <c r="HO24" s="170">
        <f>COUNTIF('INPUT - Roster'!$IE$6:$IE$206,"*PER/ZNE*")</f>
        <v/>
      </c>
      <c r="HP24" s="170">
        <f>COUNTIF('INPUT - Roster'!$IF$6:$IF$206,"*PER/ZNE*")</f>
        <v/>
      </c>
      <c r="HQ24" s="170">
        <f>COUNTIF('INPUT - Roster'!$IG$6:$IG$206,"*PER/ZNE*")</f>
        <v/>
      </c>
      <c r="HR24" s="170">
        <f>COUNTIF('INPUT - Roster'!$IH$6:$IH$206,"*PER/ZNE*")</f>
        <v/>
      </c>
      <c r="HS24" s="170">
        <f>COUNTIF('INPUT - Roster'!$II$6:$II$206,"*PER/ZNE*")</f>
        <v/>
      </c>
      <c r="HT24" s="170">
        <f>COUNTIF('INPUT - Roster'!$IJ$6:$IJ$206,"*PER/ZNE*")</f>
        <v/>
      </c>
      <c r="HU24" s="170">
        <f>COUNTIF('INPUT - Roster'!$IK$6:$IK$206,"*PER/ZNE*")</f>
        <v/>
      </c>
      <c r="HV24" s="170">
        <f>COUNTIF('INPUT - Roster'!$IL$6:$IL$206,"*PER/ZNE*")</f>
        <v/>
      </c>
      <c r="HW24" s="170">
        <f>COUNTIF('INPUT - Roster'!$IM$6:$IM$206,"*PER/ZNE*")</f>
        <v/>
      </c>
      <c r="HX24" s="170">
        <f>COUNTIF('INPUT - Roster'!$IN$6:$IN$206,"*PER/ZNE*")</f>
        <v/>
      </c>
      <c r="HY24" s="170">
        <f>COUNTIF('INPUT - Roster'!$IO$6:$IO$206,"*PER/ZNE*")</f>
        <v/>
      </c>
      <c r="HZ24" s="170">
        <f>COUNTIF('INPUT - Roster'!$IP$6:$IP$206,"*PER/ZNE*")</f>
        <v/>
      </c>
      <c r="IA24" s="170">
        <f>COUNTIF('INPUT - Roster'!$IQ$6:$IQ$206,"*PER/ZNE*")</f>
        <v/>
      </c>
      <c r="IB24" s="170">
        <f>COUNTIF('INPUT - Roster'!$IR$6:$IR$206,"*PER/ZNE*")</f>
        <v/>
      </c>
      <c r="IC24" s="170">
        <f>COUNTIF('INPUT - Roster'!$IS$6:$IS$206,"*PER/ZNE*")</f>
        <v/>
      </c>
      <c r="ID24" s="170">
        <f>COUNTIF('INPUT - Roster'!$IT$6:$IT$206,"*PER/ZNE*")</f>
        <v/>
      </c>
      <c r="IE24" s="170">
        <f>COUNTIF('INPUT - Roster'!$IU$6:$IU$206,"*PER/ZNE*")</f>
        <v/>
      </c>
      <c r="IF24" s="170">
        <f>COUNTIF('INPUT - Roster'!$IV$6:$IV$206,"*PER/ZNE*")</f>
        <v/>
      </c>
      <c r="IG24" s="170">
        <f>COUNTIF('INPUT - Roster'!$IW$6:$IW$206,"*PER/ZNE*")</f>
        <v/>
      </c>
      <c r="IH24" s="170">
        <f>COUNTIF('INPUT - Roster'!$IX$6:$IX$206,"*PER/ZNE*")</f>
        <v/>
      </c>
      <c r="II24" s="170">
        <f>COUNTIF('INPUT - Roster'!$IY$6:$IY$206,"*PER/ZNE*")</f>
        <v/>
      </c>
      <c r="IJ24" s="170">
        <f>COUNTIF('INPUT - Roster'!$IZ$6:$IZ$206,"*PER/ZNE*")</f>
        <v/>
      </c>
      <c r="IK24" s="170">
        <f>COUNTIF('INPUT - Roster'!$JA$6:$JA$206,"*PER/ZNE*")</f>
        <v/>
      </c>
      <c r="IL24" s="170">
        <f>COUNTIF('INPUT - Roster'!$JB$6:$JB$206,"*PER/ZNE*")</f>
        <v/>
      </c>
      <c r="IM24" s="170">
        <f>COUNTIF('INPUT - Roster'!$JC$6:$JC$206,"*PER/ZNE*")</f>
        <v/>
      </c>
      <c r="IN24" s="170">
        <f>COUNTIF('INPUT - Roster'!$JD$6:$JD$206,"*PER/ZNE*")</f>
        <v/>
      </c>
      <c r="IO24" s="170">
        <f>COUNTIF('INPUT - Roster'!$JE$6:$JE$206,"*PER/ZNE*")</f>
        <v/>
      </c>
      <c r="IP24" s="170">
        <f>COUNTIF('INPUT - Roster'!$JF$6:$JF$206,"*PER/ZNE*")</f>
        <v/>
      </c>
      <c r="IQ24" s="170">
        <f>COUNTIF('INPUT - Roster'!$JG$6:$JG$206,"*PER/ZNE*")</f>
        <v/>
      </c>
      <c r="IR24" s="170">
        <f>COUNTIF('INPUT - Roster'!$JH$6:$JH$206,"*PER/ZNE*")</f>
        <v/>
      </c>
      <c r="IS24" s="170">
        <f>COUNTIF('INPUT - Roster'!$JI$6:$JI$206,"*PER/ZNE*")</f>
        <v/>
      </c>
      <c r="IT24" s="170">
        <f>COUNTIF('INPUT - Roster'!$JJ$6:$JJ$206,"*PER/ZNE*")</f>
        <v/>
      </c>
      <c r="IU24" s="170">
        <f>COUNTIF('INPUT - Roster'!$JK$6:$JK$206,"*PER/ZNE*")</f>
        <v/>
      </c>
      <c r="IV24" s="170">
        <f>COUNTIF('INPUT - Roster'!$JL$6:$JL$206,"*PER/ZNE*")</f>
        <v/>
      </c>
      <c r="IW24" s="170">
        <f>COUNTIF('INPUT - Roster'!$JM$6:$JM$206,"*PER/ZNE*")</f>
        <v/>
      </c>
      <c r="IX24" s="170">
        <f>COUNTIF('INPUT - Roster'!$JN$6:$JN$206,"*PER/ZNE*")</f>
        <v/>
      </c>
      <c r="IY24" s="170">
        <f>COUNTIF('INPUT - Roster'!$JO$6:$JO$206,"*PER/ZNE*")</f>
        <v/>
      </c>
      <c r="IZ24" s="170">
        <f>COUNTIF('INPUT - Roster'!$JP$6:$JP$206,"*PER/ZNE*")</f>
        <v/>
      </c>
      <c r="JA24" s="170">
        <f>COUNTIF('INPUT - Roster'!$JQ$6:$JQ$206,"*PER/ZNE*")</f>
        <v/>
      </c>
      <c r="JB24" s="170">
        <f>COUNTIF('INPUT - Roster'!$JR$6:$JR$206,"*PER/ZNE*")</f>
        <v/>
      </c>
      <c r="JC24" s="170">
        <f>COUNTIF('INPUT - Roster'!$JS$6:$JS$206,"*PER/ZNE*")</f>
        <v/>
      </c>
      <c r="JD24" s="170">
        <f>COUNTIF('INPUT - Roster'!$JT$6:$JT$206,"*PER/ZNE*")</f>
        <v/>
      </c>
      <c r="JE24" s="170">
        <f>COUNTIF('INPUT - Roster'!$JU$6:$JU$206,"*PER/ZNE*")</f>
        <v/>
      </c>
      <c r="JF24" s="170">
        <f>COUNTIF('INPUT - Roster'!$JV$6:$JV$206,"*PER/ZNE*")</f>
        <v/>
      </c>
      <c r="JG24" s="170">
        <f>COUNTIF('INPUT - Roster'!$JW$6:$JW$206,"*PER/ZNE*")</f>
        <v/>
      </c>
      <c r="JH24" s="170">
        <f>COUNTIF('INPUT - Roster'!$JX$6:$JX$206,"*PER/ZNE*")</f>
        <v/>
      </c>
      <c r="JI24" s="170">
        <f>COUNTIF('INPUT - Roster'!$JY$6:$JY$206,"*PER/ZNE*")</f>
        <v/>
      </c>
      <c r="JJ24" s="170">
        <f>COUNTIF('INPUT - Roster'!$JZ$6:$JZ$206,"*PER/ZNE*")</f>
        <v/>
      </c>
      <c r="JK24" s="170">
        <f>COUNTIF('INPUT - Roster'!$KA$6:$KA$206,"*PER/ZNE*")</f>
        <v/>
      </c>
      <c r="JL24" s="170">
        <f>COUNTIF('INPUT - Roster'!$KB$6:$KB$206,"*PER/ZNE*")</f>
        <v/>
      </c>
      <c r="JM24" s="170">
        <f>COUNTIF('INPUT - Roster'!$KC$6:$KC$206,"*PER/ZNE*")</f>
        <v/>
      </c>
      <c r="JN24" s="170">
        <f>COUNTIF('INPUT - Roster'!$KD$6:$KD$206,"*PER/ZNE*")</f>
        <v/>
      </c>
      <c r="JO24" s="170">
        <f>COUNTIF('INPUT - Roster'!$KE$6:$KE$206,"*PER/ZNE*")</f>
        <v/>
      </c>
      <c r="JP24" s="170">
        <f>COUNTIF('INPUT - Roster'!$KF$6:$KF$206,"*PER/ZNE*")</f>
        <v/>
      </c>
      <c r="JQ24" s="170">
        <f>COUNTIF('INPUT - Roster'!$KG$6:$KG$206,"*PER/ZNE*")</f>
        <v/>
      </c>
      <c r="JR24" s="170">
        <f>COUNTIF('INPUT - Roster'!$KH$6:$KH$206,"*PER/ZNE*")</f>
        <v/>
      </c>
      <c r="JS24" s="170">
        <f>COUNTIF('INPUT - Roster'!$KI$6:$KI$206,"*PER/ZNE*")</f>
        <v/>
      </c>
      <c r="JT24" s="170">
        <f>COUNTIF('INPUT - Roster'!$KJ$6:$KJ$206,"*PER/ZNE*")</f>
        <v/>
      </c>
      <c r="JU24" s="170">
        <f>COUNTIF('INPUT - Roster'!$KK$6:$KK$206,"*PER/ZNE*")</f>
        <v/>
      </c>
      <c r="JV24" s="170">
        <f>COUNTIF('INPUT - Roster'!$KL$6:$KL$206,"*PER/ZNE*")</f>
        <v/>
      </c>
      <c r="JW24" s="170">
        <f>COUNTIF('INPUT - Roster'!$KM$6:$KM$206,"*PER/ZNE*")</f>
        <v/>
      </c>
      <c r="JX24" s="170">
        <f>COUNTIF('INPUT - Roster'!$KN$6:$KN$206,"*PER/ZNE*")</f>
        <v/>
      </c>
      <c r="JY24" s="170">
        <f>COUNTIF('INPUT - Roster'!$KO$6:$KO$206,"*PER/ZNE*")</f>
        <v/>
      </c>
      <c r="JZ24" s="170">
        <f>COUNTIF('INPUT - Roster'!$KP$6:$KP$206,"*PER/ZNE*")</f>
        <v/>
      </c>
      <c r="KA24" s="170">
        <f>COUNTIF('INPUT - Roster'!$KQ$6:$KQ$206,"*PER/ZNE*")</f>
        <v/>
      </c>
      <c r="KB24" s="170">
        <f>COUNTIF('INPUT - Roster'!$KR$6:$KR$206,"*PER/ZNE*")</f>
        <v/>
      </c>
      <c r="KC24" s="170">
        <f>COUNTIF('INPUT - Roster'!$KS$6:$KS$206,"*PER/ZNE*")</f>
        <v/>
      </c>
      <c r="KD24" s="170">
        <f>COUNTIF('INPUT - Roster'!$KT$6:$KT$206,"*PER/ZNE*")</f>
        <v/>
      </c>
      <c r="KE24" s="170">
        <f>COUNTIF('INPUT - Roster'!$KU$6:$KU$206,"*PER/ZNE*")</f>
        <v/>
      </c>
      <c r="KF24" s="170">
        <f>COUNTIF('INPUT - Roster'!$KV$6:$KV$206,"*PER/ZNE*")</f>
        <v/>
      </c>
      <c r="KG24" s="170">
        <f>COUNTIF('INPUT - Roster'!$KW$6:$KW$206,"*PER/ZNE*")</f>
        <v/>
      </c>
      <c r="KH24" s="170">
        <f>COUNTIF('INPUT - Roster'!$KX$6:$KX$206,"*PER/ZNE*")</f>
        <v/>
      </c>
      <c r="KI24" s="170">
        <f>COUNTIF('INPUT - Roster'!$KY$6:$KY$206,"*PER/ZNE*")</f>
        <v/>
      </c>
      <c r="KJ24" s="170">
        <f>COUNTIF('INPUT - Roster'!$KZ$6:$KZ$206,"*PER/ZNE*")</f>
        <v/>
      </c>
      <c r="KK24" s="170">
        <f>COUNTIF('INPUT - Roster'!$LA$6:$LA$206,"*PER/ZNE*")</f>
        <v/>
      </c>
      <c r="KL24" s="170">
        <f>COUNTIF('INPUT - Roster'!$LB$6:$LB$206,"*PER/ZNE*")</f>
        <v/>
      </c>
      <c r="KM24" s="170">
        <f>COUNTIF('INPUT - Roster'!$LC$6:$LC$206,"*PER/ZNE*")</f>
        <v/>
      </c>
      <c r="KN24" s="170">
        <f>COUNTIF('INPUT - Roster'!$LD$6:$LD$206,"*PER/ZNE*")</f>
        <v/>
      </c>
      <c r="KO24" s="170">
        <f>COUNTIF('INPUT - Roster'!$LE$6:$LE$206,"*PER/ZNE*")</f>
        <v/>
      </c>
      <c r="KP24" s="170">
        <f>COUNTIF('INPUT - Roster'!$LF$6:$LF$206,"*PER/ZNE*")</f>
        <v/>
      </c>
      <c r="KQ24" s="170">
        <f>COUNTIF('INPUT - Roster'!$LG$6:$LG$206,"*PER/ZNE*")</f>
        <v/>
      </c>
      <c r="KR24" s="170">
        <f>COUNTIF('INPUT - Roster'!$LH$6:$LH$206,"*PER/ZNE*")</f>
        <v/>
      </c>
      <c r="KS24" s="170">
        <f>COUNTIF('INPUT - Roster'!$LI$6:$LI$206,"*PER/ZNE*")</f>
        <v/>
      </c>
      <c r="KT24" s="170">
        <f>COUNTIF('INPUT - Roster'!$LJ$6:$LJ$206,"*PER/ZNE*")</f>
        <v/>
      </c>
      <c r="KU24" s="170">
        <f>COUNTIF('INPUT - Roster'!$LK$6:$LK$206,"*PER/ZNE*")</f>
        <v/>
      </c>
      <c r="KV24" s="170">
        <f>COUNTIF('INPUT - Roster'!$LL$6:$LL$206,"*PER/ZNE*")</f>
        <v/>
      </c>
      <c r="KW24" s="170">
        <f>COUNTIF('INPUT - Roster'!$LM$6:$LM$206,"*PER/ZNE*")</f>
        <v/>
      </c>
      <c r="KX24" s="170">
        <f>COUNTIF('INPUT - Roster'!$LN$6:$LN$206,"*PER/ZNE*")</f>
        <v/>
      </c>
      <c r="KY24" s="170">
        <f>COUNTIF('INPUT - Roster'!$LO$6:$LO$206,"*PER/ZNE*")</f>
        <v/>
      </c>
      <c r="KZ24" s="170">
        <f>COUNTIF('INPUT - Roster'!$LP$6:$LP$206,"*PER/ZNE*")</f>
        <v/>
      </c>
      <c r="LA24" s="170">
        <f>COUNTIF('INPUT - Roster'!$LQ$6:$LQ$206,"*PER/ZNE*")</f>
        <v/>
      </c>
      <c r="LB24" s="170">
        <f>COUNTIF('INPUT - Roster'!$LR$6:$LR$206,"*PER/ZNE*")</f>
        <v/>
      </c>
      <c r="LC24" s="170">
        <f>COUNTIF('INPUT - Roster'!$LS$6:$LS$206,"*PER/ZNE*")</f>
        <v/>
      </c>
      <c r="LD24" s="170">
        <f>COUNTIF('INPUT - Roster'!$LT$6:$LT$206,"*PER/ZNE*")</f>
        <v/>
      </c>
      <c r="LE24" s="170">
        <f>COUNTIF('INPUT - Roster'!$LU$6:$LU$206,"*PER/ZNE*")</f>
        <v/>
      </c>
      <c r="LF24" s="170">
        <f>COUNTIF('INPUT - Roster'!$LV$6:$LV$206,"*PER/ZNE*")</f>
        <v/>
      </c>
      <c r="LG24" s="170">
        <f>COUNTIF('INPUT - Roster'!$LW$6:$LW$206,"*PER/ZNE*")</f>
        <v/>
      </c>
      <c r="LH24" s="170">
        <f>COUNTIF('INPUT - Roster'!$LX$6:$LX$206,"*PER/ZNE*")</f>
        <v/>
      </c>
      <c r="LI24" s="170">
        <f>COUNTIF('INPUT - Roster'!$LY$6:$LY$206,"*PER/ZNE*")</f>
        <v/>
      </c>
      <c r="LJ24" s="170">
        <f>COUNTIF('INPUT - Roster'!$LZ$6:$LZ$206,"*PER/ZNE*")</f>
        <v/>
      </c>
      <c r="LK24" s="170">
        <f>COUNTIF('INPUT - Roster'!$MA$6:$MA$206,"*PER/ZNE*")</f>
        <v/>
      </c>
      <c r="LL24" s="170">
        <f>COUNTIF('INPUT - Roster'!$MB$6:$MB$206,"*PER/ZNE*")</f>
        <v/>
      </c>
      <c r="LM24" s="170">
        <f>COUNTIF('INPUT - Roster'!$MC$6:$MC$206,"*PER/ZNE*")</f>
        <v/>
      </c>
      <c r="LN24" s="170">
        <f>COUNTIF('INPUT - Roster'!$MD$6:$MD$206,"*PER/ZNE*")</f>
        <v/>
      </c>
      <c r="LO24" s="170">
        <f>COUNTIF('INPUT - Roster'!$ME$6:$ME$206,"*PER/ZNE*")</f>
        <v/>
      </c>
      <c r="LP24" s="170">
        <f>COUNTIF('INPUT - Roster'!$MF$6:$MF$206,"*PER/ZNE*")</f>
        <v/>
      </c>
      <c r="LQ24" s="170">
        <f>COUNTIF('INPUT - Roster'!$MG$6:$MG$206,"*PER/ZNE*")</f>
        <v/>
      </c>
      <c r="LR24" s="170">
        <f>COUNTIF('INPUT - Roster'!$MH$6:$MH$206,"*PER/ZNE*")</f>
        <v/>
      </c>
      <c r="LS24" s="170">
        <f>COUNTIF('INPUT - Roster'!$MI$6:$MI$206,"*PER/ZNE*")</f>
        <v/>
      </c>
      <c r="LT24" s="170">
        <f>COUNTIF('INPUT - Roster'!$MJ$6:$MJ$206,"*PER/ZNE*")</f>
        <v/>
      </c>
      <c r="LU24" s="170">
        <f>COUNTIF('INPUT - Roster'!$MK$6:$MK$206,"*PER/ZNE*")</f>
        <v/>
      </c>
      <c r="LV24" s="170">
        <f>COUNTIF('INPUT - Roster'!$ML$6:$ML$206,"*PER/ZNE*")</f>
        <v/>
      </c>
      <c r="LW24" s="170">
        <f>COUNTIF('INPUT - Roster'!$MM$6:$MM$206,"*PER/ZNE*")</f>
        <v/>
      </c>
      <c r="LX24" s="170">
        <f>COUNTIF('INPUT - Roster'!$MN$6:$MN$206,"*PER/ZNE*")</f>
        <v/>
      </c>
      <c r="LY24" s="170">
        <f>COUNTIF('INPUT - Roster'!$MO$6:$MO$206,"*PER/ZNE*")</f>
        <v/>
      </c>
      <c r="LZ24" s="170">
        <f>COUNTIF('INPUT - Roster'!$MP$6:$MP$206,"*PER/ZNE*")</f>
        <v/>
      </c>
      <c r="MA24" s="170">
        <f>COUNTIF('INPUT - Roster'!$MQ$6:$MQ$206,"*PER/ZNE*")</f>
        <v/>
      </c>
      <c r="MB24" s="170">
        <f>COUNTIF('INPUT - Roster'!$MR$6:$MR$206,"*PER/ZNE*")</f>
        <v/>
      </c>
      <c r="MC24" s="170">
        <f>COUNTIF('INPUT - Roster'!$MS$6:$MS$206,"*PER/ZNE*")</f>
        <v/>
      </c>
      <c r="MD24" s="170">
        <f>COUNTIF('INPUT - Roster'!$MT$6:$MT$206,"*PER/ZNE*")</f>
        <v/>
      </c>
      <c r="ME24" s="170">
        <f>COUNTIF('INPUT - Roster'!$MU$6:$MU$206,"*PER/ZNE*")</f>
        <v/>
      </c>
      <c r="MF24" s="170">
        <f>COUNTIF('INPUT - Roster'!$MV$6:$MV$206,"*PER/ZNE*")</f>
        <v/>
      </c>
      <c r="MG24" s="170">
        <f>COUNTIF('INPUT - Roster'!$MW$6:$MW$206,"*PER/ZNE*")</f>
        <v/>
      </c>
      <c r="MH24" s="170">
        <f>COUNTIF('INPUT - Roster'!$MX$6:$MX$206,"*PER/ZNE*")</f>
        <v/>
      </c>
      <c r="MI24" s="170">
        <f>COUNTIF('INPUT - Roster'!$MY$6:$MY$206,"*PER/ZNE*")</f>
        <v/>
      </c>
      <c r="MJ24" s="170">
        <f>COUNTIF('INPUT - Roster'!$MZ$6:$MZ$206,"*PER/ZNE*")</f>
        <v/>
      </c>
      <c r="MK24" s="170">
        <f>COUNTIF('INPUT - Roster'!$NA$6:$NA$206,"*PER/ZNE*")</f>
        <v/>
      </c>
      <c r="ML24" s="170">
        <f>COUNTIF('INPUT - Roster'!$NB$6:$NB$206,"*PER/ZNE*")</f>
        <v/>
      </c>
      <c r="MM24" s="170">
        <f>COUNTIF('INPUT - Roster'!$NC$6:$NC$206,"*PER/ZNE*")</f>
        <v/>
      </c>
      <c r="MN24" s="170">
        <f>COUNTIF('INPUT - Roster'!$ND$6:$ND$206,"*PER/ZNE*")</f>
        <v/>
      </c>
      <c r="MO24" s="170">
        <f>COUNTIF('INPUT - Roster'!$NE$6:$NE$206,"*PER/ZNE*")</f>
        <v/>
      </c>
      <c r="MP24" s="170">
        <f>COUNTIF('INPUT - Roster'!$NF$6:$NF$206,"*PER/ZNE*")</f>
        <v/>
      </c>
      <c r="MQ24" s="170">
        <f>COUNTIF('INPUT - Roster'!$NG$6:$NG$206,"*PER/ZNE*")</f>
        <v/>
      </c>
      <c r="MR24" s="170">
        <f>COUNTIF('INPUT - Roster'!$NH$6:$NH$206,"*PER/ZNE*")</f>
        <v/>
      </c>
      <c r="MS24" s="170">
        <f>COUNTIF('INPUT - Roster'!$NI$6:$NI$206,"*PER/ZNE*")</f>
        <v/>
      </c>
      <c r="MT24" s="170">
        <f>COUNTIF('INPUT - Roster'!$NJ$6:$NJ$206,"*PER/ZNE*")</f>
        <v/>
      </c>
      <c r="MU24" s="170">
        <f>COUNTIF('INPUT - Roster'!$NK$6:$NK$206,"*PER/ZNE*")</f>
        <v/>
      </c>
      <c r="MV24" s="170">
        <f>COUNTIF('INPUT - Roster'!$NL$6:$NL$206,"*PER/ZNE*")</f>
        <v/>
      </c>
      <c r="MW24" s="170">
        <f>COUNTIF('INPUT - Roster'!$NM$6:$NM$206,"*PER/ZNE*")</f>
        <v/>
      </c>
      <c r="MX24" s="170">
        <f>COUNTIF('INPUT - Roster'!$NN$6:$NN$206,"*PER/ZNE*")</f>
        <v/>
      </c>
      <c r="MY24" s="170">
        <f>COUNTIF('INPUT - Roster'!$NO$6:$NO$206,"*PER/ZNE*")</f>
        <v/>
      </c>
      <c r="MZ24" s="170">
        <f>COUNTIF('INPUT - Roster'!$NP$6:$NP$206,"*PER/ZNE*")</f>
        <v/>
      </c>
      <c r="NA24" s="170">
        <f>COUNTIF('INPUT - Roster'!$NQ$6:$NQ$206,"*PER/ZNE*")</f>
        <v/>
      </c>
      <c r="NB24" s="170">
        <f>COUNTIF('INPUT - Roster'!$NR$6:$NR$206,"*PER/ZNE*")</f>
        <v/>
      </c>
      <c r="NC24" s="170">
        <f>COUNTIF('INPUT - Roster'!$NS$6:$NS$206,"*PER/ZNE*")</f>
        <v/>
      </c>
      <c r="ND24" s="170">
        <f>COUNTIF('INPUT - Roster'!$NT$6:$NT$206,"*PER/ZNE*")</f>
        <v/>
      </c>
      <c r="NE24" s="170">
        <f>COUNTIF('INPUT - Roster'!$NU$6:$NU$206,"*PER/ZNE*")</f>
        <v/>
      </c>
      <c r="NF24" s="170">
        <f>COUNTIF('INPUT - Roster'!$NV$6:$NV$206,"*PER/ZNE*")</f>
        <v/>
      </c>
      <c r="NG24" s="170">
        <f>COUNTIF('INPUT - Roster'!$NW$6:$NW$206,"*PER/ZNE*")</f>
        <v/>
      </c>
      <c r="NH24" s="170">
        <f>COUNTIF('INPUT - Roster'!$NX$6:$NX$206,"*PER/ZNE*")</f>
        <v/>
      </c>
      <c r="NI24" s="170">
        <f>COUNTIF('INPUT - Roster'!$NY$6:$NY$206,"*PER/ZNE*")</f>
        <v/>
      </c>
      <c r="NJ24" s="170">
        <f>COUNTIF('INPUT - Roster'!$NZ$6:$NZ$206,"*PER/ZNE*")</f>
        <v/>
      </c>
      <c r="NK24" s="170">
        <f>COUNTIF('INPUT - Roster'!$OA$6:$OA$206,"*PER/ZNE*")</f>
        <v/>
      </c>
      <c r="NL24" s="170">
        <f>COUNTIF('INPUT - Roster'!$OB$6:$OB$206,"*PER/ZNE*")</f>
        <v/>
      </c>
      <c r="NM24" s="170">
        <f>COUNTIF('INPUT - Roster'!$OC$6:$OC$206,"*PER/ZNE*")</f>
        <v/>
      </c>
      <c r="NN24" s="170">
        <f>COUNTIF('INPUT - Roster'!$OD$6:$OD$206,"*PER/ZNE*")</f>
        <v/>
      </c>
      <c r="NO24" s="170">
        <f>COUNTIF('INPUT - Roster'!$OE$6:$OE$206,"*PER/ZNE*")</f>
        <v/>
      </c>
      <c r="NP24" s="170">
        <f>COUNTIF('INPUT - Roster'!$OF$6:$OF$206,"*PER/ZNE*")</f>
        <v/>
      </c>
      <c r="NQ24" s="170">
        <f>COUNTIF('INPUT - Roster'!$OG$6:$OG$206,"*PER/ZNE*")</f>
        <v/>
      </c>
      <c r="NR24" s="170">
        <f>COUNTIF('INPUT - Roster'!$OH$6:$OH$206,"*PER/ZNE*")</f>
        <v/>
      </c>
      <c r="NS24" s="170">
        <f>COUNTIF('INPUT - Roster'!$OI$6:$OI$206,"*PER/ZNE*")</f>
        <v/>
      </c>
      <c r="NT24" s="170">
        <f>COUNTIF('INPUT - Roster'!$OJ$6:$OJ$206,"*PER/ZNE*")</f>
        <v/>
      </c>
      <c r="NU24" s="170">
        <f>COUNTIF('INPUT - Roster'!$OK$6:$OK$206,"*PER/ZNE*")</f>
        <v/>
      </c>
      <c r="NV24" s="170">
        <f>COUNTIF('INPUT - Roster'!$OL$6:$OL$206,"*PER/ZNE*")</f>
        <v/>
      </c>
      <c r="NW24" s="170">
        <f>COUNTIF('INPUT - Roster'!$OM$6:$OM$206,"*PER/ZNE*")</f>
        <v/>
      </c>
      <c r="NX24" s="170">
        <f>COUNTIF('INPUT - Roster'!$ON$6:$ON$206,"*PER/ZNE*")</f>
        <v/>
      </c>
      <c r="NY24" s="170">
        <f>COUNTIF('INPUT - Roster'!$OO$6:$OO$206,"*PER/ZNE*")</f>
        <v/>
      </c>
      <c r="NZ24" s="170">
        <f>COUNTIF('INPUT - Roster'!$OP$6:$OP$206,"*PER/ZNE*")</f>
        <v/>
      </c>
      <c r="OA24" s="170">
        <f>COUNTIF('INPUT - Roster'!$OQ$6:$OQ$206,"*PER/ZNE*")</f>
        <v/>
      </c>
      <c r="OB24" s="170">
        <f>COUNTIF('INPUT - Roster'!$OR$6:$OR$206,"*PER/ZNE*")</f>
        <v/>
      </c>
      <c r="OC24" s="170">
        <f>COUNTIF('INPUT - Roster'!$OS$6:$OS$206,"*PER/ZNE*")</f>
        <v/>
      </c>
      <c r="OD24" s="170">
        <f>COUNTIF('INPUT - Roster'!$OT$6:$OT$206,"*PER/ZNE*")</f>
        <v/>
      </c>
      <c r="OE24" s="170">
        <f>COUNTIF('INPUT - Roster'!$OU$6:$OU$206,"*PER/ZNE*")</f>
        <v/>
      </c>
      <c r="OF24" s="170">
        <f>COUNTIF('INPUT - Roster'!$OV$6:$OV$206,"*PER/ZNE*")</f>
        <v/>
      </c>
      <c r="OG24" s="170">
        <f>COUNTIF('INPUT - Roster'!$OW$6:$OW$206,"*PER/ZNE*")</f>
        <v/>
      </c>
      <c r="OH24" s="170">
        <f>COUNTIF('INPUT - Roster'!$OX$6:$OX$206,"*PER/ZNE*")</f>
        <v/>
      </c>
      <c r="OI24" s="170">
        <f>COUNTIF('INPUT - Roster'!$OY$6:$OY$206,"*PER/ZNE*")</f>
        <v/>
      </c>
      <c r="OJ24" s="170">
        <f>COUNTIF('INPUT - Roster'!$OZ$6:$OZ$206,"*PER/ZNE*")</f>
        <v/>
      </c>
      <c r="OK24" s="170">
        <f>COUNTIF('INPUT - Roster'!$PA$6:$PA$206,"*PER/ZNE*")</f>
        <v/>
      </c>
      <c r="OL24" s="170">
        <f>COUNTIF('INPUT - Roster'!$PB$6:$PB$206,"*PER/ZNE*")</f>
        <v/>
      </c>
      <c r="OM24" s="170">
        <f>COUNTIF('INPUT - Roster'!$PC$6:$PC$206,"*PER/ZNE*")</f>
        <v/>
      </c>
      <c r="ON24" s="170">
        <f>COUNTIF('INPUT - Roster'!$PD$6:$PD$206,"*PER/ZNE*")</f>
        <v/>
      </c>
      <c r="OO24" s="170">
        <f>COUNTIF('INPUT - Roster'!$PE$6:$PE$206,"*PER/ZNE*")</f>
        <v/>
      </c>
      <c r="OP24" s="170">
        <f>COUNTIF('INPUT - Roster'!$PF$6:$PF$206,"*PER/ZNE*")</f>
        <v/>
      </c>
      <c r="OQ24" s="170">
        <f>COUNTIF('INPUT - Roster'!$PG$6:$PG$206,"*PER/ZNE*")</f>
        <v/>
      </c>
      <c r="OR24" s="170">
        <f>COUNTIF('INPUT - Roster'!$PH$6:$PH$206,"*PER/ZNE*")</f>
        <v/>
      </c>
      <c r="OS24" s="170">
        <f>COUNTIF('INPUT - Roster'!$PI$6:$PI$206,"*PER/ZNE*")</f>
        <v/>
      </c>
      <c r="OT24" s="170">
        <f>COUNTIF('INPUT - Roster'!$PJ$6:$PJ$206,"*PER/ZNE*")</f>
        <v/>
      </c>
      <c r="OU24" s="170">
        <f>COUNTIF('INPUT - Roster'!$PK$6:$PK$206,"*PER/ZNE*")</f>
        <v/>
      </c>
      <c r="OV24" s="170">
        <f>COUNTIF('INPUT - Roster'!$PL$6:$PL$206,"*PER/ZNE*")</f>
        <v/>
      </c>
      <c r="OW24" s="170">
        <f>COUNTIF('INPUT - Roster'!$PM$6:$PM$206,"*PER/ZNE*")</f>
        <v/>
      </c>
      <c r="OX24" s="170">
        <f>COUNTIF('INPUT - Roster'!$PN$6:$PN$206,"*PER/ZNE*")</f>
        <v/>
      </c>
      <c r="OY24" s="170">
        <f>COUNTIF('INPUT - Roster'!$PO$6:$PO$206,"*PER/ZNE*")</f>
        <v/>
      </c>
      <c r="OZ24" s="170">
        <f>COUNTIF('INPUT - Roster'!$PP$6:$PP$206,"*PER/ZNE*")</f>
        <v/>
      </c>
      <c r="PA24" s="170">
        <f>COUNTIF('INPUT - Roster'!$PQ$6:$PQ$206,"*PER/ZNE*")</f>
        <v/>
      </c>
      <c r="PB24" s="170">
        <f>COUNTIF('INPUT - Roster'!$PR$6:$PR$206,"*PER/ZNE*")</f>
        <v/>
      </c>
      <c r="PC24" s="170">
        <f>COUNTIF('INPUT - Roster'!$PS$6:$PS$206,"*PER/ZNE*")</f>
        <v/>
      </c>
      <c r="PD24" s="170">
        <f>COUNTIF('INPUT - Roster'!$PT$6:$PT$206,"*PER/ZNE*")</f>
        <v/>
      </c>
      <c r="PE24" s="170">
        <f>COUNTIF('INPUT - Roster'!$PU$6:$PU$206,"*PER/ZNE*")</f>
        <v/>
      </c>
      <c r="PF24" s="170">
        <f>COUNTIF('INPUT - Roster'!$PV$6:$PV$206,"*PER/ZNE*")</f>
        <v/>
      </c>
      <c r="PG24" s="170">
        <f>COUNTIF('INPUT - Roster'!$PW$6:$PW$206,"*PER/ZNE*")</f>
        <v/>
      </c>
      <c r="PH24" s="170">
        <f>COUNTIF('INPUT - Roster'!$PX$6:$PX$206,"*PER/ZNE*")</f>
        <v/>
      </c>
      <c r="PI24" s="170">
        <f>COUNTIF('INPUT - Roster'!$PY$6:$PY$206,"*PER/ZNE*")</f>
        <v/>
      </c>
      <c r="PJ24" s="170">
        <f>COUNTIF('INPUT - Roster'!$PZ$6:$PZ$206,"*PER/ZNE*")</f>
        <v/>
      </c>
      <c r="PK24" s="170">
        <f>COUNTIF('INPUT - Roster'!$QA$6:$QA$206,"*PER/ZNE*")</f>
        <v/>
      </c>
      <c r="PL24" s="170">
        <f>COUNTIF('INPUT - Roster'!$QB$6:$QB$206,"*PER/ZNE*")</f>
        <v/>
      </c>
      <c r="PM24" s="170">
        <f>COUNTIF('INPUT - Roster'!$QC$6:$QC$206,"*PER/ZNE*")</f>
        <v/>
      </c>
      <c r="PN24" s="170">
        <f>COUNTIF('INPUT - Roster'!$QD$6:$QD$206,"*PER/ZNE*")</f>
        <v/>
      </c>
      <c r="PO24" s="170">
        <f>COUNTIF('INPUT - Roster'!$QE$6:$QE$206,"*PER/ZNE*")</f>
        <v/>
      </c>
      <c r="PP24" s="170">
        <f>COUNTIF('INPUT - Roster'!$QF$6:$QF$206,"*PER/ZNE*")</f>
        <v/>
      </c>
      <c r="PQ24" s="170">
        <f>COUNTIF('INPUT - Roster'!$QG$6:$QG$206,"*PER/ZNE*")</f>
        <v/>
      </c>
      <c r="PR24" s="170">
        <f>COUNTIF('INPUT - Roster'!$QH$6:$QH$206,"*PER/ZNE*")</f>
        <v/>
      </c>
      <c r="PS24" s="170">
        <f>COUNTIF('INPUT - Roster'!$QI$6:$QI$206,"*PER/ZNE*")</f>
        <v/>
      </c>
      <c r="PT24" s="170">
        <f>COUNTIF('INPUT - Roster'!$QJ$6:$QJ$206,"*PER/ZNE*")</f>
        <v/>
      </c>
      <c r="PU24" s="170">
        <f>COUNTIF('INPUT - Roster'!$QK$6:$QK$206,"*PER/ZNE*")</f>
        <v/>
      </c>
      <c r="PV24" s="170">
        <f>COUNTIF('INPUT - Roster'!$QL$6:$QL$206,"*PER/ZNE*")</f>
        <v/>
      </c>
      <c r="PW24" s="170">
        <f>COUNTIF('INPUT - Roster'!$QM$6:$QM$206,"*PER/ZNE*")</f>
        <v/>
      </c>
      <c r="PX24" s="170">
        <f>COUNTIF('INPUT - Roster'!$QN$6:$QN$206,"*PER/ZNE*")</f>
        <v/>
      </c>
      <c r="PY24" s="170">
        <f>COUNTIF('INPUT - Roster'!$QO$6:$QO$206,"*PER/ZNE*")</f>
        <v/>
      </c>
      <c r="PZ24" s="170">
        <f>COUNTIF('INPUT - Roster'!$QP$6:$QP$206,"*PER/ZNE*")</f>
        <v/>
      </c>
      <c r="QA24" s="170">
        <f>COUNTIF('INPUT - Roster'!$QQ$6:$QQ$206,"*PER/ZNE*")</f>
        <v/>
      </c>
      <c r="QB24" s="170">
        <f>COUNTIF('INPUT - Roster'!$QR$6:$QR$206,"*PER/ZNE*")</f>
        <v/>
      </c>
      <c r="QC24" s="170">
        <f>COUNTIF('INPUT - Roster'!$QS$6:$QS$206,"*PER/ZNE*")</f>
        <v/>
      </c>
      <c r="QD24" s="170">
        <f>COUNTIF('INPUT - Roster'!$QT$6:$QT$206,"*PER/ZNE*")</f>
        <v/>
      </c>
      <c r="QE24" s="170">
        <f>COUNTIF('INPUT - Roster'!$QU$6:$QU$206,"*PER/ZNE*")</f>
        <v/>
      </c>
      <c r="QF24" s="170">
        <f>COUNTIF('INPUT - Roster'!$QV$6:$QV$206,"*PER/ZNE*")</f>
        <v/>
      </c>
      <c r="QG24" s="170">
        <f>COUNTIF('INPUT - Roster'!$QW$6:$QW$206,"*PER/ZNE*")</f>
        <v/>
      </c>
      <c r="QH24" s="170">
        <f>COUNTIF('INPUT - Roster'!$QX$6:$QX$206,"*PER/ZNE*")</f>
        <v/>
      </c>
      <c r="QI24" s="170">
        <f>COUNTIF('INPUT - Roster'!$QY$6:$QY$206,"*PER/ZNE*")</f>
        <v/>
      </c>
      <c r="QJ24" s="170">
        <f>COUNTIF('INPUT - Roster'!$QZ$6:$QZ$206,"*PER/ZNE*")</f>
        <v/>
      </c>
      <c r="QK24" s="170">
        <f>COUNTIF('INPUT - Roster'!$RA$6:$RA$206,"*PER/ZNE*")</f>
        <v/>
      </c>
      <c r="QL24" s="170">
        <f>COUNTIF('INPUT - Roster'!$RB$6:$RB$206,"*PER/ZNE*")</f>
        <v/>
      </c>
      <c r="QM24" s="170">
        <f>COUNTIF('INPUT - Roster'!$RC$6:$RC$206,"*PER/ZNE*")</f>
        <v/>
      </c>
      <c r="QN24" s="170">
        <f>COUNTIF('INPUT - Roster'!$RD$6:$RD$206,"*PER/ZNE*")</f>
        <v/>
      </c>
      <c r="QO24" s="170">
        <f>COUNTIF('INPUT - Roster'!$RE$6:$RE$206,"*PER/ZNE*")</f>
        <v/>
      </c>
      <c r="QP24" s="170">
        <f>COUNTIF('INPUT - Roster'!$RF$6:$RF$206,"*PER/ZNE*")</f>
        <v/>
      </c>
      <c r="QQ24" s="170">
        <f>COUNTIF('INPUT - Roster'!$RG$6:$RG$206,"*PER/ZNE*")</f>
        <v/>
      </c>
      <c r="QR24" s="170">
        <f>COUNTIF('INPUT - Roster'!$RH$6:$RH$206,"*PER/ZNE*")</f>
        <v/>
      </c>
      <c r="QS24" s="170">
        <f>COUNTIF('INPUT - Roster'!$RI$6:$RI$206,"*PER/ZNE*")</f>
        <v/>
      </c>
      <c r="QT24" s="170">
        <f>COUNTIF('INPUT - Roster'!$RJ$6:$RJ$206,"*PER/ZNE*")</f>
        <v/>
      </c>
      <c r="QU24" s="170">
        <f>COUNTIF('INPUT - Roster'!$RK$6:$RK$206,"*PER/ZNE*")</f>
        <v/>
      </c>
      <c r="QV24" s="170">
        <f>COUNTIF('INPUT - Roster'!$RL$6:$RL$206,"*PER/ZNE*")</f>
        <v/>
      </c>
      <c r="QW24" s="170">
        <f>COUNTIF('INPUT - Roster'!$RM$6:$RM$206,"*PER/ZNE*")</f>
        <v/>
      </c>
      <c r="QX24" s="170">
        <f>COUNTIF('INPUT - Roster'!$RN$6:$RN$206,"*PER/ZNE*")</f>
        <v/>
      </c>
      <c r="QY24" s="170">
        <f>COUNTIF('INPUT - Roster'!$RO$6:$RO$206,"*PER/ZNE*")</f>
        <v/>
      </c>
      <c r="QZ24" s="170">
        <f>COUNTIF('INPUT - Roster'!$RP$6:$RP$206,"*PER/ZNE*")</f>
        <v/>
      </c>
      <c r="RA24" s="170">
        <f>COUNTIF('INPUT - Roster'!$RQ$6:$RQ$206,"*PER/ZNE*")</f>
        <v/>
      </c>
      <c r="RB24" s="170">
        <f>COUNTIF('INPUT - Roster'!$RR$6:$RR$206,"*PER/ZNE*")</f>
        <v/>
      </c>
      <c r="RC24" s="170">
        <f>COUNTIF('INPUT - Roster'!$RS$6:$RS$206,"*PER/ZNE*")</f>
        <v/>
      </c>
      <c r="RD24" s="170">
        <f>COUNTIF('INPUT - Roster'!$RT$6:$RT$206,"*PER/ZNE*")</f>
        <v/>
      </c>
      <c r="RE24" s="170">
        <f>COUNTIF('INPUT - Roster'!$RU$6:$RU$206,"*PER/ZNE*")</f>
        <v/>
      </c>
      <c r="RF24" s="170">
        <f>COUNTIF('INPUT - Roster'!$RV$6:$RV$206,"*PER/ZNE*")</f>
        <v/>
      </c>
      <c r="RG24" s="170">
        <f>COUNTIF('INPUT - Roster'!$RW$6:$RW$206,"*PER/ZNE*")</f>
        <v/>
      </c>
      <c r="RH24" s="170">
        <f>COUNTIF('INPUT - Roster'!$RX$6:$RX$206,"*PER/ZNE*")</f>
        <v/>
      </c>
      <c r="RI24" s="170">
        <f>COUNTIF('INPUT - Roster'!$RY$6:$RY$206,"*PER/ZNE*")</f>
        <v/>
      </c>
      <c r="RJ24" s="170">
        <f>COUNTIF('INPUT - Roster'!$RZ$6:$RZ$206,"*PER/ZNE*")</f>
        <v/>
      </c>
      <c r="RK24" s="170">
        <f>COUNTIF('INPUT - Roster'!$SA$6:$SA$206,"*PER/ZNE*")</f>
        <v/>
      </c>
      <c r="RL24" s="170">
        <f>COUNTIF('INPUT - Roster'!$SB$6:$SB$206,"*PER/ZNE*")</f>
        <v/>
      </c>
      <c r="RM24" s="170">
        <f>COUNTIF('INPUT - Roster'!$SC$6:$SC$206,"*PER/ZNE*")</f>
        <v/>
      </c>
      <c r="RN24" s="170">
        <f>COUNTIF('INPUT - Roster'!$SD$6:$SD$206,"*PER/ZNE*")</f>
        <v/>
      </c>
      <c r="RO24" s="170">
        <f>COUNTIF('INPUT - Roster'!$SE$6:$SE$206,"*PER/ZNE*")</f>
        <v/>
      </c>
      <c r="RP24" s="170">
        <f>COUNTIF('INPUT - Roster'!$SF$6:$SF$206,"*PER/ZNE*")</f>
        <v/>
      </c>
      <c r="RQ24" s="170">
        <f>COUNTIF('INPUT - Roster'!$SG$6:$SG$206,"*PER/ZNE*")</f>
        <v/>
      </c>
      <c r="RR24" s="170">
        <f>COUNTIF('INPUT - Roster'!$SH$6:$SH$206,"*PER/ZNE*")</f>
        <v/>
      </c>
      <c r="RS24" s="170">
        <f>COUNTIF('INPUT - Roster'!$SI$6:$SI$206,"*PER/ZNE*")</f>
        <v/>
      </c>
      <c r="RT24" s="170">
        <f>COUNTIF('INPUT - Roster'!$SJ$6:$SJ$206,"*PER/ZNE*")</f>
        <v/>
      </c>
      <c r="RU24" s="170">
        <f>COUNTIF('INPUT - Roster'!$SK$6:$SK$206,"*PER/ZNE*")</f>
        <v/>
      </c>
      <c r="RV24" s="170">
        <f>COUNTIF('INPUT - Roster'!$SL$6:$SL$206,"*PER/ZNE*")</f>
        <v/>
      </c>
      <c r="RW24" s="170">
        <f>COUNTIF('INPUT - Roster'!$SM$6:$SM$206,"*PER/ZNE*")</f>
        <v/>
      </c>
      <c r="RX24" s="170">
        <f>COUNTIF('INPUT - Roster'!$SN$6:$SN$206,"*PER/ZNE*")</f>
        <v/>
      </c>
      <c r="RY24" s="170">
        <f>COUNTIF('INPUT - Roster'!$SO$6:$SO$206,"*PER/ZNE*")</f>
        <v/>
      </c>
      <c r="RZ24" s="170">
        <f>COUNTIF('INPUT - Roster'!$SP$6:$SP$206,"*PER/ZNE*")</f>
        <v/>
      </c>
      <c r="SA24" s="170">
        <f>COUNTIF('INPUT - Roster'!$SQ$6:$SQ$206,"*PER/ZNE*")</f>
        <v/>
      </c>
      <c r="SB24" s="170">
        <f>COUNTIF('INPUT - Roster'!$SR$6:$SR$206,"*PER/ZNE*")</f>
        <v/>
      </c>
      <c r="SC24" s="170">
        <f>COUNTIF('INPUT - Roster'!$SS$6:$SS$206,"*PER/ZNE*")</f>
        <v/>
      </c>
      <c r="SD24" s="170">
        <f>COUNTIF('INPUT - Roster'!$ST$6:$ST$206,"*PER/ZNE*")</f>
        <v/>
      </c>
      <c r="SE24" s="170">
        <f>COUNTIF('INPUT - Roster'!$SU$6:$SU$206,"*PER/ZNE*")</f>
        <v/>
      </c>
      <c r="SF24" s="170">
        <f>COUNTIF('INPUT - Roster'!$SV$6:$SV$206,"*PER/ZNE*")</f>
        <v/>
      </c>
    </row>
    <row r="25">
      <c r="B25" s="169" t="inlineStr">
        <is>
          <t>Fly out ZNE/PER</t>
        </is>
      </c>
      <c r="C25" s="170">
        <f>COUNTIF('INPUT - Roster'!$S$6:$S$206,"*ZNE/PER*")</f>
        <v/>
      </c>
      <c r="D25" s="170">
        <f>COUNTIF('INPUT - Roster'!$T$6:$T$206,"*ZNE/PER*")</f>
        <v/>
      </c>
      <c r="E25" s="170">
        <f>COUNTIF('INPUT - Roster'!$U$6:$U$206,"*ZNE/PER*")</f>
        <v/>
      </c>
      <c r="F25" s="170">
        <f>COUNTIF('INPUT - Roster'!$V$6:$V$206,"*ZNE/PER*")</f>
        <v/>
      </c>
      <c r="G25" s="170">
        <f>COUNTIF('INPUT - Roster'!$W$6:$W$206,"*ZNE/PER*")</f>
        <v/>
      </c>
      <c r="H25" s="170">
        <f>COUNTIF('INPUT - Roster'!$X$6:$X$206,"*ZNE/PER*")</f>
        <v/>
      </c>
      <c r="I25" s="170">
        <f>COUNTIF('INPUT - Roster'!$Y$6:$Y$206,"*ZNE/PER*")</f>
        <v/>
      </c>
      <c r="J25" s="170">
        <f>COUNTIF('INPUT - Roster'!$Z$6:$Z$206,"*ZNE/PER*")</f>
        <v/>
      </c>
      <c r="K25" s="170">
        <f>COUNTIF('INPUT - Roster'!$AA$6:$AA$206,"*ZNE/PER*")</f>
        <v/>
      </c>
      <c r="L25" s="170">
        <f>COUNTIF('INPUT - Roster'!$AB$6:$AB$206,"*ZNE/PER*")</f>
        <v/>
      </c>
      <c r="M25" s="170">
        <f>COUNTIF('INPUT - Roster'!$AC$6:$AC$206,"*ZNE/PER*")</f>
        <v/>
      </c>
      <c r="N25" s="170">
        <f>COUNTIF('INPUT - Roster'!$AD$6:$AD$206,"*ZNE/PER*")</f>
        <v/>
      </c>
      <c r="O25" s="170">
        <f>COUNTIF('INPUT - Roster'!$AE$6:$AE$206,"*ZNE/PER*")</f>
        <v/>
      </c>
      <c r="P25" s="170">
        <f>COUNTIF('INPUT - Roster'!$AF$6:$AF$206,"*ZNE/PER*")</f>
        <v/>
      </c>
      <c r="Q25" s="170">
        <f>COUNTIF('INPUT - Roster'!$AG$6:$AG$206,"*ZNE/PER*")</f>
        <v/>
      </c>
      <c r="R25" s="170">
        <f>COUNTIF('INPUT - Roster'!$AH$6:$AH$206,"*ZNE/PER*")</f>
        <v/>
      </c>
      <c r="S25" s="170">
        <f>COUNTIF('INPUT - Roster'!$AI$6:$AI$206,"*ZNE/PER*")</f>
        <v/>
      </c>
      <c r="T25" s="170">
        <f>COUNTIF('INPUT - Roster'!$AJ$6:$AJ$206,"*ZNE/PER*")</f>
        <v/>
      </c>
      <c r="U25" s="170">
        <f>COUNTIF('INPUT - Roster'!$AK$6:$AK$206,"*ZNE/PER*")</f>
        <v/>
      </c>
      <c r="V25" s="170">
        <f>COUNTIF('INPUT - Roster'!$AL$6:$AL$206,"*ZNE/PER*")</f>
        <v/>
      </c>
      <c r="W25" s="170">
        <f>COUNTIF('INPUT - Roster'!$AM$6:$AM$206,"*ZNE/PER*")</f>
        <v/>
      </c>
      <c r="X25" s="170">
        <f>COUNTIF('INPUT - Roster'!$AN$6:$AN$206,"*ZNE/PER*")</f>
        <v/>
      </c>
      <c r="Y25" s="170">
        <f>COUNTIF('INPUT - Roster'!$AO$6:$AO$206,"*ZNE/PER*")</f>
        <v/>
      </c>
      <c r="Z25" s="170">
        <f>COUNTIF('INPUT - Roster'!$AP$6:$AP$206,"*ZNE/PER*")</f>
        <v/>
      </c>
      <c r="AA25" s="170">
        <f>COUNTIF('INPUT - Roster'!$AQ$6:$AQ$206,"*ZNE/PER*")</f>
        <v/>
      </c>
      <c r="AB25" s="170">
        <f>COUNTIF('INPUT - Roster'!$AR$6:$AR$206,"*ZNE/PER*")</f>
        <v/>
      </c>
      <c r="AC25" s="170">
        <f>COUNTIF('INPUT - Roster'!$AS$6:$AS$206,"*ZNE/PER*")</f>
        <v/>
      </c>
      <c r="AD25" s="170">
        <f>COUNTIF('INPUT - Roster'!$AT$6:$AT$206,"*ZNE/PER*")</f>
        <v/>
      </c>
      <c r="AE25" s="170">
        <f>COUNTIF('INPUT - Roster'!$AU$6:$AU$206,"*ZNE/PER*")</f>
        <v/>
      </c>
      <c r="AF25" s="170">
        <f>COUNTIF('INPUT - Roster'!$AV$6:$AV$206,"*ZNE/PER*")</f>
        <v/>
      </c>
      <c r="AG25" s="170">
        <f>COUNTIF('INPUT - Roster'!$AW$6:$AW$206,"*ZNE/PER*")</f>
        <v/>
      </c>
      <c r="AH25" s="170">
        <f>COUNTIF('INPUT - Roster'!$AX$6:$AX$206,"*ZNE/PER*")</f>
        <v/>
      </c>
      <c r="AI25" s="170">
        <f>COUNTIF('INPUT - Roster'!$AY$6:$AY$206,"*ZNE/PER*")</f>
        <v/>
      </c>
      <c r="AJ25" s="170">
        <f>COUNTIF('INPUT - Roster'!$AZ$6:$AZ$206,"*ZNE/PER*")</f>
        <v/>
      </c>
      <c r="AK25" s="170">
        <f>COUNTIF('INPUT - Roster'!$BA$6:$BA$206,"*ZNE/PER*")</f>
        <v/>
      </c>
      <c r="AL25" s="170">
        <f>COUNTIF('INPUT - Roster'!$BB$6:$BB$206,"*ZNE/PER*")</f>
        <v/>
      </c>
      <c r="AM25" s="170">
        <f>COUNTIF('INPUT - Roster'!$BC$6:$BC$206,"*ZNE/PER*")</f>
        <v/>
      </c>
      <c r="AN25" s="170">
        <f>COUNTIF('INPUT - Roster'!$BD$6:$BD$206,"*ZNE/PER*")</f>
        <v/>
      </c>
      <c r="AO25" s="170">
        <f>COUNTIF('INPUT - Roster'!$BE$6:$BE$206,"*ZNE/PER*")</f>
        <v/>
      </c>
      <c r="AP25" s="170">
        <f>COUNTIF('INPUT - Roster'!$BF$6:$BF$206,"*ZNE/PER*")</f>
        <v/>
      </c>
      <c r="AQ25" s="170">
        <f>COUNTIF('INPUT - Roster'!$BG$6:$BG$206,"*ZNE/PER*")</f>
        <v/>
      </c>
      <c r="AR25" s="170">
        <f>COUNTIF('INPUT - Roster'!$BH$6:$BH$206,"*ZNE/PER*")</f>
        <v/>
      </c>
      <c r="AS25" s="170">
        <f>COUNTIF('INPUT - Roster'!$BI$6:$BI$206,"*ZNE/PER*")</f>
        <v/>
      </c>
      <c r="AT25" s="170">
        <f>COUNTIF('INPUT - Roster'!$BJ$6:$BJ$206,"*ZNE/PER*")</f>
        <v/>
      </c>
      <c r="AU25" s="170">
        <f>COUNTIF('INPUT - Roster'!$BK$6:$BK$206,"*ZNE/PER*")</f>
        <v/>
      </c>
      <c r="AV25" s="170">
        <f>COUNTIF('INPUT - Roster'!$BL$6:$BL$206,"*ZNE/PER*")</f>
        <v/>
      </c>
      <c r="AW25" s="170">
        <f>COUNTIF('INPUT - Roster'!$BM$6:$BM$206,"*ZNE/PER*")</f>
        <v/>
      </c>
      <c r="AX25" s="170">
        <f>COUNTIF('INPUT - Roster'!$BN$6:$BN$206,"*ZNE/PER*")</f>
        <v/>
      </c>
      <c r="AY25" s="170">
        <f>COUNTIF('INPUT - Roster'!$BO$6:$BO$206,"*ZNE/PER*")</f>
        <v/>
      </c>
      <c r="AZ25" s="170">
        <f>COUNTIF('INPUT - Roster'!$BP$6:$BP$206,"*ZNE/PER*")</f>
        <v/>
      </c>
      <c r="BA25" s="170">
        <f>COUNTIF('INPUT - Roster'!$BQ$6:$BQ$206,"*ZNE/PER*")</f>
        <v/>
      </c>
      <c r="BB25" s="170">
        <f>COUNTIF('INPUT - Roster'!$BR$6:$BR$206,"*ZNE/PER*")</f>
        <v/>
      </c>
      <c r="BC25" s="170">
        <f>COUNTIF('INPUT - Roster'!$BS$6:$BS$206,"*ZNE/PER*")</f>
        <v/>
      </c>
      <c r="BD25" s="170">
        <f>COUNTIF('INPUT - Roster'!$BT$6:$BT$206,"*ZNE/PER*")</f>
        <v/>
      </c>
      <c r="BE25" s="170">
        <f>COUNTIF('INPUT - Roster'!$BU$6:$BU$206,"*ZNE/PER*")</f>
        <v/>
      </c>
      <c r="BF25" s="170">
        <f>COUNTIF('INPUT - Roster'!$BV$6:$BV$206,"*ZNE/PER*")</f>
        <v/>
      </c>
      <c r="BG25" s="170">
        <f>COUNTIF('INPUT - Roster'!$BW$6:$BW$206,"*ZNE/PER*")</f>
        <v/>
      </c>
      <c r="BH25" s="170">
        <f>COUNTIF('INPUT - Roster'!$BX$6:$BX$206,"*ZNE/PER*")</f>
        <v/>
      </c>
      <c r="BI25" s="170">
        <f>COUNTIF('INPUT - Roster'!$BY$6:$BY$206,"*ZNE/PER*")</f>
        <v/>
      </c>
      <c r="BJ25" s="170">
        <f>COUNTIF('INPUT - Roster'!$BZ$6:$BZ$206,"*ZNE/PER*")</f>
        <v/>
      </c>
      <c r="BK25" s="170">
        <f>COUNTIF('INPUT - Roster'!$CA$6:$CA$206,"*ZNE/PER*")</f>
        <v/>
      </c>
      <c r="BL25" s="170">
        <f>COUNTIF('INPUT - Roster'!$CB$6:$CB$206,"*ZNE/PER*")</f>
        <v/>
      </c>
      <c r="BM25" s="170">
        <f>COUNTIF('INPUT - Roster'!$CC$6:$CC$206,"*ZNE/PER*")</f>
        <v/>
      </c>
      <c r="BN25" s="170">
        <f>COUNTIF('INPUT - Roster'!$CD$6:$CD$206,"*ZNE/PER*")</f>
        <v/>
      </c>
      <c r="BO25" s="170">
        <f>COUNTIF('INPUT - Roster'!$CE$6:$CE$206,"*ZNE/PER*")</f>
        <v/>
      </c>
      <c r="BP25" s="170">
        <f>COUNTIF('INPUT - Roster'!$CF$6:$CF$206,"*ZNE/PER*")</f>
        <v/>
      </c>
      <c r="BQ25" s="170">
        <f>COUNTIF('INPUT - Roster'!$CG$6:$CG$206,"*ZNE/PER*")</f>
        <v/>
      </c>
      <c r="BR25" s="170">
        <f>COUNTIF('INPUT - Roster'!$CH$6:$CH$206,"*ZNE/PER*")</f>
        <v/>
      </c>
      <c r="BS25" s="170">
        <f>COUNTIF('INPUT - Roster'!$CI$6:$CI$206,"*ZNE/PER*")</f>
        <v/>
      </c>
      <c r="BT25" s="170">
        <f>COUNTIF('INPUT - Roster'!$CJ$6:$CJ$206,"*ZNE/PER*")</f>
        <v/>
      </c>
      <c r="BU25" s="170">
        <f>COUNTIF('INPUT - Roster'!$CK$6:$CK$206,"*ZNE/PER*")</f>
        <v/>
      </c>
      <c r="BV25" s="170">
        <f>COUNTIF('INPUT - Roster'!$CL$6:$CL$206,"*ZNE/PER*")</f>
        <v/>
      </c>
      <c r="BW25" s="170">
        <f>COUNTIF('INPUT - Roster'!$CM$6:$CM$206,"*ZNE/PER*")</f>
        <v/>
      </c>
      <c r="BX25" s="170">
        <f>COUNTIF('INPUT - Roster'!$CN$6:$CN$206,"*ZNE/PER*")</f>
        <v/>
      </c>
      <c r="BY25" s="170">
        <f>COUNTIF('INPUT - Roster'!$CO$6:$CO$206,"*ZNE/PER*")</f>
        <v/>
      </c>
      <c r="BZ25" s="170">
        <f>COUNTIF('INPUT - Roster'!$CP$6:$CP$206,"*ZNE/PER*")</f>
        <v/>
      </c>
      <c r="CA25" s="170">
        <f>COUNTIF('INPUT - Roster'!$CQ$6:$CQ$206,"*ZNE/PER*")</f>
        <v/>
      </c>
      <c r="CB25" s="170">
        <f>COUNTIF('INPUT - Roster'!$CR$6:$CR$206,"*ZNE/PER*")</f>
        <v/>
      </c>
      <c r="CC25" s="170">
        <f>COUNTIF('INPUT - Roster'!$CS$6:$CS$206,"*ZNE/PER*")</f>
        <v/>
      </c>
      <c r="CD25" s="170">
        <f>COUNTIF('INPUT - Roster'!$CT$6:$CT$206,"*ZNE/PER*")</f>
        <v/>
      </c>
      <c r="CE25" s="170">
        <f>COUNTIF('INPUT - Roster'!$CU$6:$CU$206,"*ZNE/PER*")</f>
        <v/>
      </c>
      <c r="CF25" s="170">
        <f>COUNTIF('INPUT - Roster'!$CV$6:$CV$206,"*ZNE/PER*")</f>
        <v/>
      </c>
      <c r="CG25" s="170">
        <f>COUNTIF('INPUT - Roster'!$CW$6:$CW$206,"*ZNE/PER*")</f>
        <v/>
      </c>
      <c r="CH25" s="170">
        <f>COUNTIF('INPUT - Roster'!$CX$6:$CX$206,"*ZNE/PER*")</f>
        <v/>
      </c>
      <c r="CI25" s="170">
        <f>COUNTIF('INPUT - Roster'!$CY$6:$CY$206,"*ZNE/PER*")</f>
        <v/>
      </c>
      <c r="CJ25" s="170">
        <f>COUNTIF('INPUT - Roster'!$CZ$6:$CZ$206,"*ZNE/PER*")</f>
        <v/>
      </c>
      <c r="CK25" s="170">
        <f>COUNTIF('INPUT - Roster'!$DA$6:$DA$206,"*ZNE/PER*")</f>
        <v/>
      </c>
      <c r="CL25" s="170">
        <f>COUNTIF('INPUT - Roster'!$DB$6:$DB$206,"*ZNE/PER*")</f>
        <v/>
      </c>
      <c r="CM25" s="170">
        <f>COUNTIF('INPUT - Roster'!$DC$6:$DC$206,"*ZNE/PER*")</f>
        <v/>
      </c>
      <c r="CN25" s="170">
        <f>COUNTIF('INPUT - Roster'!$DD$6:$DD$206,"*ZNE/PER*")</f>
        <v/>
      </c>
      <c r="CO25" s="170">
        <f>COUNTIF('INPUT - Roster'!$DE$6:$DE$206,"*ZNE/PER*")</f>
        <v/>
      </c>
      <c r="CP25" s="170">
        <f>COUNTIF('INPUT - Roster'!$DF$6:$DF$206,"*ZNE/PER*")</f>
        <v/>
      </c>
      <c r="CQ25" s="170">
        <f>COUNTIF('INPUT - Roster'!$DG$6:$DG$206,"*ZNE/PER*")</f>
        <v/>
      </c>
      <c r="CR25" s="170">
        <f>COUNTIF('INPUT - Roster'!$DH$6:$DH$206,"*ZNE/PER*")</f>
        <v/>
      </c>
      <c r="CS25" s="170">
        <f>COUNTIF('INPUT - Roster'!$DI$6:$DI$206,"*ZNE/PER*")</f>
        <v/>
      </c>
      <c r="CT25" s="170">
        <f>COUNTIF('INPUT - Roster'!$DJ$6:$DJ$206,"*ZNE/PER*")</f>
        <v/>
      </c>
      <c r="CU25" s="170">
        <f>COUNTIF('INPUT - Roster'!$DK$6:$DK$206,"*ZNE/PER*")</f>
        <v/>
      </c>
      <c r="CV25" s="170">
        <f>COUNTIF('INPUT - Roster'!$DL$6:$DL$206,"*ZNE/PER*")</f>
        <v/>
      </c>
      <c r="CW25" s="170">
        <f>COUNTIF('INPUT - Roster'!$DM$6:$DM$206,"*ZNE/PER*")</f>
        <v/>
      </c>
      <c r="CX25" s="170">
        <f>COUNTIF('INPUT - Roster'!$DN$6:$DN$206,"*ZNE/PER*")</f>
        <v/>
      </c>
      <c r="CY25" s="170">
        <f>COUNTIF('INPUT - Roster'!$DO$6:$DO$206,"*ZNE/PER*")</f>
        <v/>
      </c>
      <c r="CZ25" s="170">
        <f>COUNTIF('INPUT - Roster'!$DP$6:$DP$206,"*ZNE/PER*")</f>
        <v/>
      </c>
      <c r="DA25" s="170">
        <f>COUNTIF('INPUT - Roster'!$DQ$6:$DQ$206,"*ZNE/PER*")</f>
        <v/>
      </c>
      <c r="DB25" s="170">
        <f>COUNTIF('INPUT - Roster'!$DR$6:$DR$206,"*ZNE/PER*")</f>
        <v/>
      </c>
      <c r="DC25" s="170">
        <f>COUNTIF('INPUT - Roster'!$DS$6:$DS$206,"*ZNE/PER*")</f>
        <v/>
      </c>
      <c r="DD25" s="170">
        <f>COUNTIF('INPUT - Roster'!$DT$6:$DT$206,"*ZNE/PER*")</f>
        <v/>
      </c>
      <c r="DE25" s="170">
        <f>COUNTIF('INPUT - Roster'!$DU$6:$DU$206,"*ZNE/PER*")</f>
        <v/>
      </c>
      <c r="DF25" s="170">
        <f>COUNTIF('INPUT - Roster'!$DV$6:$DV$206,"*ZNE/PER*")</f>
        <v/>
      </c>
      <c r="DG25" s="170">
        <f>COUNTIF('INPUT - Roster'!$DW$6:$DW$206,"*ZNE/PER*")</f>
        <v/>
      </c>
      <c r="DH25" s="170">
        <f>COUNTIF('INPUT - Roster'!$DX$6:$DX$206,"*ZNE/PER*")</f>
        <v/>
      </c>
      <c r="DI25" s="170">
        <f>COUNTIF('INPUT - Roster'!$DY$6:$DY$206,"*ZNE/PER*")</f>
        <v/>
      </c>
      <c r="DJ25" s="170">
        <f>COUNTIF('INPUT - Roster'!$DZ$6:$DZ$206,"*ZNE/PER*")</f>
        <v/>
      </c>
      <c r="DK25" s="170">
        <f>COUNTIF('INPUT - Roster'!$EA$6:$EA$206,"*ZNE/PER*")</f>
        <v/>
      </c>
      <c r="DL25" s="170">
        <f>COUNTIF('INPUT - Roster'!$EB$6:$EB$206,"*ZNE/PER*")</f>
        <v/>
      </c>
      <c r="DM25" s="170">
        <f>COUNTIF('INPUT - Roster'!$EC$6:$EC$206,"*ZNE/PER*")</f>
        <v/>
      </c>
      <c r="DN25" s="170">
        <f>COUNTIF('INPUT - Roster'!$ED$6:$ED$206,"*ZNE/PER*")</f>
        <v/>
      </c>
      <c r="DO25" s="170">
        <f>COUNTIF('INPUT - Roster'!$EE$6:$EE$206,"*ZNE/PER*")</f>
        <v/>
      </c>
      <c r="DP25" s="170">
        <f>COUNTIF('INPUT - Roster'!$EF$6:$EF$206,"*ZNE/PER*")</f>
        <v/>
      </c>
      <c r="DQ25" s="170">
        <f>COUNTIF('INPUT - Roster'!$EG$6:$EG$206,"*ZNE/PER*")</f>
        <v/>
      </c>
      <c r="DR25" s="170">
        <f>COUNTIF('INPUT - Roster'!$EH$6:$EH$206,"*ZNE/PER*")</f>
        <v/>
      </c>
      <c r="DS25" s="170">
        <f>COUNTIF('INPUT - Roster'!$EI$6:$EI$206,"*ZNE/PER*")</f>
        <v/>
      </c>
      <c r="DT25" s="170">
        <f>COUNTIF('INPUT - Roster'!$EJ$6:$EJ$206,"*ZNE/PER*")</f>
        <v/>
      </c>
      <c r="DU25" s="170">
        <f>COUNTIF('INPUT - Roster'!$EK$6:$EK$206,"*ZNE/PER*")</f>
        <v/>
      </c>
      <c r="DV25" s="170">
        <f>COUNTIF('INPUT - Roster'!$EL$6:$EL$206,"*ZNE/PER*")</f>
        <v/>
      </c>
      <c r="DW25" s="170">
        <f>COUNTIF('INPUT - Roster'!$EM$6:$EM$206,"*ZNE/PER*")</f>
        <v/>
      </c>
      <c r="DX25" s="170">
        <f>COUNTIF('INPUT - Roster'!$EN$6:$EN$206,"*ZNE/PER*")</f>
        <v/>
      </c>
      <c r="DY25" s="170">
        <f>COUNTIF('INPUT - Roster'!$EO$6:$EO$206,"*ZNE/PER*")</f>
        <v/>
      </c>
      <c r="DZ25" s="170">
        <f>COUNTIF('INPUT - Roster'!$EP$6:$EP$206,"*ZNE/PER*")</f>
        <v/>
      </c>
      <c r="EA25" s="170">
        <f>COUNTIF('INPUT - Roster'!$EQ$6:$EQ$206,"*ZNE/PER*")</f>
        <v/>
      </c>
      <c r="EB25" s="170">
        <f>COUNTIF('INPUT - Roster'!$ER$6:$ER$206,"*ZNE/PER*")</f>
        <v/>
      </c>
      <c r="EC25" s="170">
        <f>COUNTIF('INPUT - Roster'!$ES$6:$ES$206,"*ZNE/PER*")</f>
        <v/>
      </c>
      <c r="ED25" s="170">
        <f>COUNTIF('INPUT - Roster'!$ET$6:$ET$206,"*ZNE/PER*")</f>
        <v/>
      </c>
      <c r="EE25" s="170">
        <f>COUNTIF('INPUT - Roster'!$EU$6:$EU$206,"*ZNE/PER*")</f>
        <v/>
      </c>
      <c r="EF25" s="170">
        <f>COUNTIF('INPUT - Roster'!$EV$6:$EV$206,"*ZNE/PER*")</f>
        <v/>
      </c>
      <c r="EG25" s="170">
        <f>COUNTIF('INPUT - Roster'!$EW$6:$EW$206,"*ZNE/PER*")</f>
        <v/>
      </c>
      <c r="EH25" s="170">
        <f>COUNTIF('INPUT - Roster'!$EX$6:$EX$206,"*ZNE/PER*")</f>
        <v/>
      </c>
      <c r="EI25" s="170">
        <f>COUNTIF('INPUT - Roster'!$EY$6:$EY$206,"*ZNE/PER*")</f>
        <v/>
      </c>
      <c r="EJ25" s="170">
        <f>COUNTIF('INPUT - Roster'!$EZ$6:$EZ$206,"*ZNE/PER*")</f>
        <v/>
      </c>
      <c r="EK25" s="170">
        <f>COUNTIF('INPUT - Roster'!$FA$6:$FA$206,"*ZNE/PER*")</f>
        <v/>
      </c>
      <c r="EL25" s="170">
        <f>COUNTIF('INPUT - Roster'!$FB$6:$FB$206,"*ZNE/PER*")</f>
        <v/>
      </c>
      <c r="EM25" s="170">
        <f>COUNTIF('INPUT - Roster'!$FC$6:$FC$206,"*ZNE/PER*")</f>
        <v/>
      </c>
      <c r="EN25" s="170">
        <f>COUNTIF('INPUT - Roster'!$FD$6:$FD$206,"*ZNE/PER*")</f>
        <v/>
      </c>
      <c r="EO25" s="170">
        <f>COUNTIF('INPUT - Roster'!$FE$6:$FE$206,"*ZNE/PER*")</f>
        <v/>
      </c>
      <c r="EP25" s="170">
        <f>COUNTIF('INPUT - Roster'!$FF$6:$FF$206,"*ZNE/PER*")</f>
        <v/>
      </c>
      <c r="EQ25" s="170">
        <f>COUNTIF('INPUT - Roster'!$FG$6:$FG$206,"*ZNE/PER*")</f>
        <v/>
      </c>
      <c r="ER25" s="170">
        <f>COUNTIF('INPUT - Roster'!$FH$6:$FH$206,"*ZNE/PER*")</f>
        <v/>
      </c>
      <c r="ES25" s="170">
        <f>COUNTIF('INPUT - Roster'!$FI$6:$FI$206,"*ZNE/PER*")</f>
        <v/>
      </c>
      <c r="ET25" s="170">
        <f>COUNTIF('INPUT - Roster'!$FJ$6:$FJ$206,"*ZNE/PER*")</f>
        <v/>
      </c>
      <c r="EU25" s="170">
        <f>COUNTIF('INPUT - Roster'!$FK$6:$FK$206,"*ZNE/PER*")</f>
        <v/>
      </c>
      <c r="EV25" s="170">
        <f>COUNTIF('INPUT - Roster'!$FL$6:$FL$206,"*ZNE/PER*")</f>
        <v/>
      </c>
      <c r="EW25" s="170">
        <f>COUNTIF('INPUT - Roster'!$FM$6:$FM$206,"*ZNE/PER*")</f>
        <v/>
      </c>
      <c r="EX25" s="170">
        <f>COUNTIF('INPUT - Roster'!$FN$6:$FN$206,"*ZNE/PER*")</f>
        <v/>
      </c>
      <c r="EY25" s="170">
        <f>COUNTIF('INPUT - Roster'!$FO$6:$FO$206,"*ZNE/PER*")</f>
        <v/>
      </c>
      <c r="EZ25" s="170">
        <f>COUNTIF('INPUT - Roster'!$FP$6:$FP$206,"*ZNE/PER*")</f>
        <v/>
      </c>
      <c r="FA25" s="170">
        <f>COUNTIF('INPUT - Roster'!$FQ$6:$FQ$206,"*ZNE/PER*")</f>
        <v/>
      </c>
      <c r="FB25" s="170">
        <f>COUNTIF('INPUT - Roster'!$FR$6:$FR$206,"*ZNE/PER*")</f>
        <v/>
      </c>
      <c r="FC25" s="170">
        <f>COUNTIF('INPUT - Roster'!$FS$6:$FS$206,"*ZNE/PER*")</f>
        <v/>
      </c>
      <c r="FD25" s="170">
        <f>COUNTIF('INPUT - Roster'!$FT$6:$FT$206,"*ZNE/PER*")</f>
        <v/>
      </c>
      <c r="FE25" s="170">
        <f>COUNTIF('INPUT - Roster'!$FU$6:$FU$206,"*ZNE/PER*")</f>
        <v/>
      </c>
      <c r="FF25" s="170">
        <f>COUNTIF('INPUT - Roster'!$FV$6:$FV$206,"*ZNE/PER*")</f>
        <v/>
      </c>
      <c r="FG25" s="170">
        <f>COUNTIF('INPUT - Roster'!$FW$6:$FW$206,"*ZNE/PER*")</f>
        <v/>
      </c>
      <c r="FH25" s="170">
        <f>COUNTIF('INPUT - Roster'!$FX$6:$FX$206,"*ZNE/PER*")</f>
        <v/>
      </c>
      <c r="FI25" s="170">
        <f>COUNTIF('INPUT - Roster'!$FY$6:$FY$206,"*ZNE/PER*")</f>
        <v/>
      </c>
      <c r="FJ25" s="170">
        <f>COUNTIF('INPUT - Roster'!$FZ$6:$FZ$206,"*ZNE/PER*")</f>
        <v/>
      </c>
      <c r="FK25" s="170">
        <f>COUNTIF('INPUT - Roster'!$GA$6:$GA$206,"*ZNE/PER*")</f>
        <v/>
      </c>
      <c r="FL25" s="170">
        <f>COUNTIF('INPUT - Roster'!$GB$6:$GB$206,"*ZNE/PER*")</f>
        <v/>
      </c>
      <c r="FM25" s="170">
        <f>COUNTIF('INPUT - Roster'!$GC$6:$GC$206,"*ZNE/PER*")</f>
        <v/>
      </c>
      <c r="FN25" s="170">
        <f>COUNTIF('INPUT - Roster'!$GD$6:$GD$206,"*ZNE/PER*")</f>
        <v/>
      </c>
      <c r="FO25" s="170">
        <f>COUNTIF('INPUT - Roster'!$GE$6:$GE$206,"*ZNE/PER*")</f>
        <v/>
      </c>
      <c r="FP25" s="170">
        <f>COUNTIF('INPUT - Roster'!$GF$6:$GF$206,"*ZNE/PER*")</f>
        <v/>
      </c>
      <c r="FQ25" s="170">
        <f>COUNTIF('INPUT - Roster'!$GG$6:$GG$206,"*ZNE/PER*")</f>
        <v/>
      </c>
      <c r="FR25" s="170">
        <f>COUNTIF('INPUT - Roster'!$GH$6:$GH$206,"*ZNE/PER*")</f>
        <v/>
      </c>
      <c r="FS25" s="170">
        <f>COUNTIF('INPUT - Roster'!$GI$6:$GI$206,"*ZNE/PER*")</f>
        <v/>
      </c>
      <c r="FT25" s="170">
        <f>COUNTIF('INPUT - Roster'!$GJ$6:$GJ$206,"*ZNE/PER*")</f>
        <v/>
      </c>
      <c r="FU25" s="170">
        <f>COUNTIF('INPUT - Roster'!$GK$6:$GK$206,"*ZNE/PER*")</f>
        <v/>
      </c>
      <c r="FV25" s="170">
        <f>COUNTIF('INPUT - Roster'!$GL$6:$GL$206,"*ZNE/PER*")</f>
        <v/>
      </c>
      <c r="FW25" s="170">
        <f>COUNTIF('INPUT - Roster'!$GM$6:$GM$206,"*ZNE/PER*")</f>
        <v/>
      </c>
      <c r="FX25" s="170">
        <f>COUNTIF('INPUT - Roster'!$GN$6:$GN$206,"*ZNE/PER*")</f>
        <v/>
      </c>
      <c r="FY25" s="170">
        <f>COUNTIF('INPUT - Roster'!$GO$6:$GO$206,"*ZNE/PER*")</f>
        <v/>
      </c>
      <c r="FZ25" s="170">
        <f>COUNTIF('INPUT - Roster'!$GP$6:$GP$206,"*ZNE/PER*")</f>
        <v/>
      </c>
      <c r="GA25" s="170">
        <f>COUNTIF('INPUT - Roster'!$GQ$6:$GQ$206,"*ZNE/PER*")</f>
        <v/>
      </c>
      <c r="GB25" s="170">
        <f>COUNTIF('INPUT - Roster'!$GR$6:$GR$206,"*ZNE/PER*")</f>
        <v/>
      </c>
      <c r="GC25" s="170">
        <f>COUNTIF('INPUT - Roster'!$GS$6:$GS$206,"*ZNE/PER*")</f>
        <v/>
      </c>
      <c r="GD25" s="170">
        <f>COUNTIF('INPUT - Roster'!$GT$6:$GT$206,"*ZNE/PER*")</f>
        <v/>
      </c>
      <c r="GE25" s="170">
        <f>COUNTIF('INPUT - Roster'!$GU$6:$GU$206,"*ZNE/PER*")</f>
        <v/>
      </c>
      <c r="GF25" s="170">
        <f>COUNTIF('INPUT - Roster'!$GV$6:$GV$206,"*ZNE/PER*")</f>
        <v/>
      </c>
      <c r="GG25" s="170">
        <f>COUNTIF('INPUT - Roster'!$GW$6:$GW$206,"*ZNE/PER*")</f>
        <v/>
      </c>
      <c r="GH25" s="170">
        <f>COUNTIF('INPUT - Roster'!$GX$6:$GX$206,"*ZNE/PER*")</f>
        <v/>
      </c>
      <c r="GI25" s="170">
        <f>COUNTIF('INPUT - Roster'!$GY$6:$GY$206,"*ZNE/PER*")</f>
        <v/>
      </c>
      <c r="GJ25" s="170">
        <f>COUNTIF('INPUT - Roster'!$GZ$6:$GZ$206,"*ZNE/PER*")</f>
        <v/>
      </c>
      <c r="GK25" s="170">
        <f>COUNTIF('INPUT - Roster'!$HA$6:$HA$206,"*ZNE/PER*")</f>
        <v/>
      </c>
      <c r="GL25" s="170">
        <f>COUNTIF('INPUT - Roster'!$HB$6:$HB$206,"*ZNE/PER*")</f>
        <v/>
      </c>
      <c r="GM25" s="170">
        <f>COUNTIF('INPUT - Roster'!$HC$6:$HC$206,"*ZNE/PER*")</f>
        <v/>
      </c>
      <c r="GN25" s="170">
        <f>COUNTIF('INPUT - Roster'!$HD$6:$HD$206,"*ZNE/PER*")</f>
        <v/>
      </c>
      <c r="GO25" s="170">
        <f>COUNTIF('INPUT - Roster'!$HE$6:$HE$206,"*ZNE/PER*")</f>
        <v/>
      </c>
      <c r="GP25" s="170">
        <f>COUNTIF('INPUT - Roster'!$HF$6:$HF$206,"*ZNE/PER*")</f>
        <v/>
      </c>
      <c r="GQ25" s="170">
        <f>COUNTIF('INPUT - Roster'!$HG$6:$HG$206,"*ZNE/PER*")</f>
        <v/>
      </c>
      <c r="GR25" s="170">
        <f>COUNTIF('INPUT - Roster'!$HH$6:$HH$206,"*ZNE/PER*")</f>
        <v/>
      </c>
      <c r="GS25" s="170">
        <f>COUNTIF('INPUT - Roster'!$HI$6:$HI$206,"*ZNE/PER*")</f>
        <v/>
      </c>
      <c r="GT25" s="170">
        <f>COUNTIF('INPUT - Roster'!$HJ$6:$HJ$206,"*ZNE/PER*")</f>
        <v/>
      </c>
      <c r="GU25" s="170">
        <f>COUNTIF('INPUT - Roster'!$HK$6:$HK$206,"*ZNE/PER*")</f>
        <v/>
      </c>
      <c r="GV25" s="170">
        <f>COUNTIF('INPUT - Roster'!$HL$6:$HL$206,"*ZNE/PER*")</f>
        <v/>
      </c>
      <c r="GW25" s="170">
        <f>COUNTIF('INPUT - Roster'!$HM$6:$HM$206,"*ZNE/PER*")</f>
        <v/>
      </c>
      <c r="GX25" s="170">
        <f>COUNTIF('INPUT - Roster'!$HN$6:$HN$206,"*ZNE/PER*")</f>
        <v/>
      </c>
      <c r="GY25" s="170">
        <f>COUNTIF('INPUT - Roster'!$HO$6:$HO$206,"*ZNE/PER*")</f>
        <v/>
      </c>
      <c r="GZ25" s="170">
        <f>COUNTIF('INPUT - Roster'!$HP$6:$HP$206,"*ZNE/PER*")</f>
        <v/>
      </c>
      <c r="HA25" s="170">
        <f>COUNTIF('INPUT - Roster'!$HQ$6:$HQ$206,"*ZNE/PER*")</f>
        <v/>
      </c>
      <c r="HB25" s="170">
        <f>COUNTIF('INPUT - Roster'!$HR$6:$HR$206,"*ZNE/PER*")</f>
        <v/>
      </c>
      <c r="HC25" s="170">
        <f>COUNTIF('INPUT - Roster'!$HS$6:$HS$206,"*ZNE/PER*")</f>
        <v/>
      </c>
      <c r="HD25" s="170">
        <f>COUNTIF('INPUT - Roster'!$HT$6:$HT$206,"*ZNE/PER*")</f>
        <v/>
      </c>
      <c r="HE25" s="170">
        <f>COUNTIF('INPUT - Roster'!$HU$6:$HU$206,"*ZNE/PER*")</f>
        <v/>
      </c>
      <c r="HF25" s="170">
        <f>COUNTIF('INPUT - Roster'!$HV$6:$HV$206,"*ZNE/PER*")</f>
        <v/>
      </c>
      <c r="HG25" s="170">
        <f>COUNTIF('INPUT - Roster'!$HW$6:$HW$206,"*ZNE/PER*")</f>
        <v/>
      </c>
      <c r="HH25" s="170">
        <f>COUNTIF('INPUT - Roster'!$HX$6:$HX$206,"*ZNE/PER*")</f>
        <v/>
      </c>
      <c r="HI25" s="170">
        <f>COUNTIF('INPUT - Roster'!$HY$6:$HY$206,"*ZNE/PER*")</f>
        <v/>
      </c>
      <c r="HJ25" s="170">
        <f>COUNTIF('INPUT - Roster'!$HZ$6:$HZ$206,"*ZNE/PER*")</f>
        <v/>
      </c>
      <c r="HK25" s="170">
        <f>COUNTIF('INPUT - Roster'!$IA$6:$IA$206,"*ZNE/PER*")</f>
        <v/>
      </c>
      <c r="HL25" s="170">
        <f>COUNTIF('INPUT - Roster'!$IB$6:$IB$206,"*ZNE/PER*")</f>
        <v/>
      </c>
      <c r="HM25" s="170">
        <f>COUNTIF('INPUT - Roster'!$IC$6:$IC$206,"*ZNE/PER*")</f>
        <v/>
      </c>
      <c r="HN25" s="170">
        <f>COUNTIF('INPUT - Roster'!$ID$6:$ID$206,"*ZNE/PER*")</f>
        <v/>
      </c>
      <c r="HO25" s="170">
        <f>COUNTIF('INPUT - Roster'!$IE$6:$IE$206,"*ZNE/PER*")</f>
        <v/>
      </c>
      <c r="HP25" s="170">
        <f>COUNTIF('INPUT - Roster'!$IF$6:$IF$206,"*ZNE/PER*")</f>
        <v/>
      </c>
      <c r="HQ25" s="170">
        <f>COUNTIF('INPUT - Roster'!$IG$6:$IG$206,"*ZNE/PER*")</f>
        <v/>
      </c>
      <c r="HR25" s="170">
        <f>COUNTIF('INPUT - Roster'!$IH$6:$IH$206,"*ZNE/PER*")</f>
        <v/>
      </c>
      <c r="HS25" s="170">
        <f>COUNTIF('INPUT - Roster'!$II$6:$II$206,"*ZNE/PER*")</f>
        <v/>
      </c>
      <c r="HT25" s="170">
        <f>COUNTIF('INPUT - Roster'!$IJ$6:$IJ$206,"*ZNE/PER*")</f>
        <v/>
      </c>
      <c r="HU25" s="170">
        <f>COUNTIF('INPUT - Roster'!$IK$6:$IK$206,"*ZNE/PER*")</f>
        <v/>
      </c>
      <c r="HV25" s="170">
        <f>COUNTIF('INPUT - Roster'!$IL$6:$IL$206,"*ZNE/PER*")</f>
        <v/>
      </c>
      <c r="HW25" s="170">
        <f>COUNTIF('INPUT - Roster'!$IM$6:$IM$206,"*ZNE/PER*")</f>
        <v/>
      </c>
      <c r="HX25" s="170">
        <f>COUNTIF('INPUT - Roster'!$IN$6:$IN$206,"*ZNE/PER*")</f>
        <v/>
      </c>
      <c r="HY25" s="170">
        <f>COUNTIF('INPUT - Roster'!$IO$6:$IO$206,"*ZNE/PER*")</f>
        <v/>
      </c>
      <c r="HZ25" s="170">
        <f>COUNTIF('INPUT - Roster'!$IP$6:$IP$206,"*ZNE/PER*")</f>
        <v/>
      </c>
      <c r="IA25" s="170">
        <f>COUNTIF('INPUT - Roster'!$IQ$6:$IQ$206,"*ZNE/PER*")</f>
        <v/>
      </c>
      <c r="IB25" s="170">
        <f>COUNTIF('INPUT - Roster'!$IR$6:$IR$206,"*ZNE/PER*")</f>
        <v/>
      </c>
      <c r="IC25" s="170">
        <f>COUNTIF('INPUT - Roster'!$IS$6:$IS$206,"*ZNE/PER*")</f>
        <v/>
      </c>
      <c r="ID25" s="170">
        <f>COUNTIF('INPUT - Roster'!$IT$6:$IT$206,"*ZNE/PER*")</f>
        <v/>
      </c>
      <c r="IE25" s="170">
        <f>COUNTIF('INPUT - Roster'!$IU$6:$IU$206,"*ZNE/PER*")</f>
        <v/>
      </c>
      <c r="IF25" s="170">
        <f>COUNTIF('INPUT - Roster'!$IV$6:$IV$206,"*ZNE/PER*")</f>
        <v/>
      </c>
      <c r="IG25" s="170">
        <f>COUNTIF('INPUT - Roster'!$IW$6:$IW$206,"*ZNE/PER*")</f>
        <v/>
      </c>
      <c r="IH25" s="170">
        <f>COUNTIF('INPUT - Roster'!$IX$6:$IX$206,"*ZNE/PER*")</f>
        <v/>
      </c>
      <c r="II25" s="170">
        <f>COUNTIF('INPUT - Roster'!$IY$6:$IY$206,"*ZNE/PER*")</f>
        <v/>
      </c>
      <c r="IJ25" s="170">
        <f>COUNTIF('INPUT - Roster'!$IZ$6:$IZ$206,"*ZNE/PER*")</f>
        <v/>
      </c>
      <c r="IK25" s="170">
        <f>COUNTIF('INPUT - Roster'!$JA$6:$JA$206,"*ZNE/PER*")</f>
        <v/>
      </c>
      <c r="IL25" s="170">
        <f>COUNTIF('INPUT - Roster'!$JB$6:$JB$206,"*ZNE/PER*")</f>
        <v/>
      </c>
      <c r="IM25" s="170">
        <f>COUNTIF('INPUT - Roster'!$JC$6:$JC$206,"*ZNE/PER*")</f>
        <v/>
      </c>
      <c r="IN25" s="170">
        <f>COUNTIF('INPUT - Roster'!$JD$6:$JD$206,"*ZNE/PER*")</f>
        <v/>
      </c>
      <c r="IO25" s="170">
        <f>COUNTIF('INPUT - Roster'!$JE$6:$JE$206,"*ZNE/PER*")</f>
        <v/>
      </c>
      <c r="IP25" s="170">
        <f>COUNTIF('INPUT - Roster'!$JF$6:$JF$206,"*ZNE/PER*")</f>
        <v/>
      </c>
      <c r="IQ25" s="170">
        <f>COUNTIF('INPUT - Roster'!$JG$6:$JG$206,"*ZNE/PER*")</f>
        <v/>
      </c>
      <c r="IR25" s="170">
        <f>COUNTIF('INPUT - Roster'!$JH$6:$JH$206,"*ZNE/PER*")</f>
        <v/>
      </c>
      <c r="IS25" s="170">
        <f>COUNTIF('INPUT - Roster'!$JI$6:$JI$206,"*ZNE/PER*")</f>
        <v/>
      </c>
      <c r="IT25" s="170">
        <f>COUNTIF('INPUT - Roster'!$JJ$6:$JJ$206,"*ZNE/PER*")</f>
        <v/>
      </c>
      <c r="IU25" s="170">
        <f>COUNTIF('INPUT - Roster'!$JK$6:$JK$206,"*ZNE/PER*")</f>
        <v/>
      </c>
      <c r="IV25" s="170">
        <f>COUNTIF('INPUT - Roster'!$JL$6:$JL$206,"*ZNE/PER*")</f>
        <v/>
      </c>
      <c r="IW25" s="170">
        <f>COUNTIF('INPUT - Roster'!$JM$6:$JM$206,"*ZNE/PER*")</f>
        <v/>
      </c>
      <c r="IX25" s="170">
        <f>COUNTIF('INPUT - Roster'!$JN$6:$JN$206,"*ZNE/PER*")</f>
        <v/>
      </c>
      <c r="IY25" s="170">
        <f>COUNTIF('INPUT - Roster'!$JO$6:$JO$206,"*ZNE/PER*")</f>
        <v/>
      </c>
      <c r="IZ25" s="170">
        <f>COUNTIF('INPUT - Roster'!$JP$6:$JP$206,"*ZNE/PER*")</f>
        <v/>
      </c>
      <c r="JA25" s="170">
        <f>COUNTIF('INPUT - Roster'!$JQ$6:$JQ$206,"*ZNE/PER*")</f>
        <v/>
      </c>
      <c r="JB25" s="170">
        <f>COUNTIF('INPUT - Roster'!$JR$6:$JR$206,"*ZNE/PER*")</f>
        <v/>
      </c>
      <c r="JC25" s="170">
        <f>COUNTIF('INPUT - Roster'!$JS$6:$JS$206,"*ZNE/PER*")</f>
        <v/>
      </c>
      <c r="JD25" s="170">
        <f>COUNTIF('INPUT - Roster'!$JT$6:$JT$206,"*ZNE/PER*")</f>
        <v/>
      </c>
      <c r="JE25" s="170">
        <f>COUNTIF('INPUT - Roster'!$JU$6:$JU$206,"*ZNE/PER*")</f>
        <v/>
      </c>
      <c r="JF25" s="170">
        <f>COUNTIF('INPUT - Roster'!$JV$6:$JV$206,"*ZNE/PER*")</f>
        <v/>
      </c>
      <c r="JG25" s="170">
        <f>COUNTIF('INPUT - Roster'!$JW$6:$JW$206,"*ZNE/PER*")</f>
        <v/>
      </c>
      <c r="JH25" s="170">
        <f>COUNTIF('INPUT - Roster'!$JX$6:$JX$206,"*ZNE/PER*")</f>
        <v/>
      </c>
      <c r="JI25" s="170">
        <f>COUNTIF('INPUT - Roster'!$JY$6:$JY$206,"*ZNE/PER*")</f>
        <v/>
      </c>
      <c r="JJ25" s="170">
        <f>COUNTIF('INPUT - Roster'!$JZ$6:$JZ$206,"*ZNE/PER*")</f>
        <v/>
      </c>
      <c r="JK25" s="170">
        <f>COUNTIF('INPUT - Roster'!$KA$6:$KA$206,"*ZNE/PER*")</f>
        <v/>
      </c>
      <c r="JL25" s="170">
        <f>COUNTIF('INPUT - Roster'!$KB$6:$KB$206,"*ZNE/PER*")</f>
        <v/>
      </c>
      <c r="JM25" s="170">
        <f>COUNTIF('INPUT - Roster'!$KC$6:$KC$206,"*ZNE/PER*")</f>
        <v/>
      </c>
      <c r="JN25" s="170">
        <f>COUNTIF('INPUT - Roster'!$KD$6:$KD$206,"*ZNE/PER*")</f>
        <v/>
      </c>
      <c r="JO25" s="170">
        <f>COUNTIF('INPUT - Roster'!$KE$6:$KE$206,"*ZNE/PER*")</f>
        <v/>
      </c>
      <c r="JP25" s="170">
        <f>COUNTIF('INPUT - Roster'!$KF$6:$KF$206,"*ZNE/PER*")</f>
        <v/>
      </c>
      <c r="JQ25" s="170">
        <f>COUNTIF('INPUT - Roster'!$KG$6:$KG$206,"*ZNE/PER*")</f>
        <v/>
      </c>
      <c r="JR25" s="170">
        <f>COUNTIF('INPUT - Roster'!$KH$6:$KH$206,"*ZNE/PER*")</f>
        <v/>
      </c>
      <c r="JS25" s="170">
        <f>COUNTIF('INPUT - Roster'!$KI$6:$KI$206,"*ZNE/PER*")</f>
        <v/>
      </c>
      <c r="JT25" s="170">
        <f>COUNTIF('INPUT - Roster'!$KJ$6:$KJ$206,"*ZNE/PER*")</f>
        <v/>
      </c>
      <c r="JU25" s="170">
        <f>COUNTIF('INPUT - Roster'!$KK$6:$KK$206,"*ZNE/PER*")</f>
        <v/>
      </c>
      <c r="JV25" s="170">
        <f>COUNTIF('INPUT - Roster'!$KL$6:$KL$206,"*ZNE/PER*")</f>
        <v/>
      </c>
      <c r="JW25" s="170">
        <f>COUNTIF('INPUT - Roster'!$KM$6:$KM$206,"*ZNE/PER*")</f>
        <v/>
      </c>
      <c r="JX25" s="170">
        <f>COUNTIF('INPUT - Roster'!$KN$6:$KN$206,"*ZNE/PER*")</f>
        <v/>
      </c>
      <c r="JY25" s="170">
        <f>COUNTIF('INPUT - Roster'!$KO$6:$KO$206,"*ZNE/PER*")</f>
        <v/>
      </c>
      <c r="JZ25" s="170">
        <f>COUNTIF('INPUT - Roster'!$KP$6:$KP$206,"*ZNE/PER*")</f>
        <v/>
      </c>
      <c r="KA25" s="170">
        <f>COUNTIF('INPUT - Roster'!$KQ$6:$KQ$206,"*ZNE/PER*")</f>
        <v/>
      </c>
      <c r="KB25" s="170">
        <f>COUNTIF('INPUT - Roster'!$KR$6:$KR$206,"*ZNE/PER*")</f>
        <v/>
      </c>
      <c r="KC25" s="170">
        <f>COUNTIF('INPUT - Roster'!$KS$6:$KS$206,"*ZNE/PER*")</f>
        <v/>
      </c>
      <c r="KD25" s="170">
        <f>COUNTIF('INPUT - Roster'!$KT$6:$KT$206,"*ZNE/PER*")</f>
        <v/>
      </c>
      <c r="KE25" s="170">
        <f>COUNTIF('INPUT - Roster'!$KU$6:$KU$206,"*ZNE/PER*")</f>
        <v/>
      </c>
      <c r="KF25" s="170">
        <f>COUNTIF('INPUT - Roster'!$KV$6:$KV$206,"*ZNE/PER*")</f>
        <v/>
      </c>
      <c r="KG25" s="170">
        <f>COUNTIF('INPUT - Roster'!$KW$6:$KW$206,"*ZNE/PER*")</f>
        <v/>
      </c>
      <c r="KH25" s="170">
        <f>COUNTIF('INPUT - Roster'!$KX$6:$KX$206,"*ZNE/PER*")</f>
        <v/>
      </c>
      <c r="KI25" s="170">
        <f>COUNTIF('INPUT - Roster'!$KY$6:$KY$206,"*ZNE/PER*")</f>
        <v/>
      </c>
      <c r="KJ25" s="170">
        <f>COUNTIF('INPUT - Roster'!$KZ$6:$KZ$206,"*ZNE/PER*")</f>
        <v/>
      </c>
      <c r="KK25" s="170">
        <f>COUNTIF('INPUT - Roster'!$LA$6:$LA$206,"*ZNE/PER*")</f>
        <v/>
      </c>
      <c r="KL25" s="170">
        <f>COUNTIF('INPUT - Roster'!$LB$6:$LB$206,"*ZNE/PER*")</f>
        <v/>
      </c>
      <c r="KM25" s="170">
        <f>COUNTIF('INPUT - Roster'!$LC$6:$LC$206,"*ZNE/PER*")</f>
        <v/>
      </c>
      <c r="KN25" s="170">
        <f>COUNTIF('INPUT - Roster'!$LD$6:$LD$206,"*ZNE/PER*")</f>
        <v/>
      </c>
      <c r="KO25" s="170">
        <f>COUNTIF('INPUT - Roster'!$LE$6:$LE$206,"*ZNE/PER*")</f>
        <v/>
      </c>
      <c r="KP25" s="170">
        <f>COUNTIF('INPUT - Roster'!$LF$6:$LF$206,"*ZNE/PER*")</f>
        <v/>
      </c>
      <c r="KQ25" s="170">
        <f>COUNTIF('INPUT - Roster'!$LG$6:$LG$206,"*ZNE/PER*")</f>
        <v/>
      </c>
      <c r="KR25" s="170">
        <f>COUNTIF('INPUT - Roster'!$LH$6:$LH$206,"*ZNE/PER*")</f>
        <v/>
      </c>
      <c r="KS25" s="170">
        <f>COUNTIF('INPUT - Roster'!$LI$6:$LI$206,"*ZNE/PER*")</f>
        <v/>
      </c>
      <c r="KT25" s="170">
        <f>COUNTIF('INPUT - Roster'!$LJ$6:$LJ$206,"*ZNE/PER*")</f>
        <v/>
      </c>
      <c r="KU25" s="170">
        <f>COUNTIF('INPUT - Roster'!$LK$6:$LK$206,"*ZNE/PER*")</f>
        <v/>
      </c>
      <c r="KV25" s="170">
        <f>COUNTIF('INPUT - Roster'!$LL$6:$LL$206,"*ZNE/PER*")</f>
        <v/>
      </c>
      <c r="KW25" s="170">
        <f>COUNTIF('INPUT - Roster'!$LM$6:$LM$206,"*ZNE/PER*")</f>
        <v/>
      </c>
      <c r="KX25" s="170">
        <f>COUNTIF('INPUT - Roster'!$LN$6:$LN$206,"*ZNE/PER*")</f>
        <v/>
      </c>
      <c r="KY25" s="170">
        <f>COUNTIF('INPUT - Roster'!$LO$6:$LO$206,"*ZNE/PER*")</f>
        <v/>
      </c>
      <c r="KZ25" s="170">
        <f>COUNTIF('INPUT - Roster'!$LP$6:$LP$206,"*ZNE/PER*")</f>
        <v/>
      </c>
      <c r="LA25" s="170">
        <f>COUNTIF('INPUT - Roster'!$LQ$6:$LQ$206,"*ZNE/PER*")</f>
        <v/>
      </c>
      <c r="LB25" s="170">
        <f>COUNTIF('INPUT - Roster'!$LR$6:$LR$206,"*ZNE/PER*")</f>
        <v/>
      </c>
      <c r="LC25" s="170">
        <f>COUNTIF('INPUT - Roster'!$LS$6:$LS$206,"*ZNE/PER*")</f>
        <v/>
      </c>
      <c r="LD25" s="170">
        <f>COUNTIF('INPUT - Roster'!$LT$6:$LT$206,"*ZNE/PER*")</f>
        <v/>
      </c>
      <c r="LE25" s="170">
        <f>COUNTIF('INPUT - Roster'!$LU$6:$LU$206,"*ZNE/PER*")</f>
        <v/>
      </c>
      <c r="LF25" s="170">
        <f>COUNTIF('INPUT - Roster'!$LV$6:$LV$206,"*ZNE/PER*")</f>
        <v/>
      </c>
      <c r="LG25" s="170">
        <f>COUNTIF('INPUT - Roster'!$LW$6:$LW$206,"*ZNE/PER*")</f>
        <v/>
      </c>
      <c r="LH25" s="170">
        <f>COUNTIF('INPUT - Roster'!$LX$6:$LX$206,"*ZNE/PER*")</f>
        <v/>
      </c>
      <c r="LI25" s="170">
        <f>COUNTIF('INPUT - Roster'!$LY$6:$LY$206,"*ZNE/PER*")</f>
        <v/>
      </c>
      <c r="LJ25" s="170">
        <f>COUNTIF('INPUT - Roster'!$LZ$6:$LZ$206,"*ZNE/PER*")</f>
        <v/>
      </c>
      <c r="LK25" s="170">
        <f>COUNTIF('INPUT - Roster'!$MA$6:$MA$206,"*ZNE/PER*")</f>
        <v/>
      </c>
      <c r="LL25" s="170">
        <f>COUNTIF('INPUT - Roster'!$MB$6:$MB$206,"*ZNE/PER*")</f>
        <v/>
      </c>
      <c r="LM25" s="170">
        <f>COUNTIF('INPUT - Roster'!$MC$6:$MC$206,"*ZNE/PER*")</f>
        <v/>
      </c>
      <c r="LN25" s="170">
        <f>COUNTIF('INPUT - Roster'!$MD$6:$MD$206,"*ZNE/PER*")</f>
        <v/>
      </c>
      <c r="LO25" s="170">
        <f>COUNTIF('INPUT - Roster'!$ME$6:$ME$206,"*ZNE/PER*")</f>
        <v/>
      </c>
      <c r="LP25" s="170">
        <f>COUNTIF('INPUT - Roster'!$MF$6:$MF$206,"*ZNE/PER*")</f>
        <v/>
      </c>
      <c r="LQ25" s="170">
        <f>COUNTIF('INPUT - Roster'!$MG$6:$MG$206,"*ZNE/PER*")</f>
        <v/>
      </c>
      <c r="LR25" s="170">
        <f>COUNTIF('INPUT - Roster'!$MH$6:$MH$206,"*ZNE/PER*")</f>
        <v/>
      </c>
      <c r="LS25" s="170">
        <f>COUNTIF('INPUT - Roster'!$MI$6:$MI$206,"*ZNE/PER*")</f>
        <v/>
      </c>
      <c r="LT25" s="170">
        <f>COUNTIF('INPUT - Roster'!$MJ$6:$MJ$206,"*ZNE/PER*")</f>
        <v/>
      </c>
      <c r="LU25" s="170">
        <f>COUNTIF('INPUT - Roster'!$MK$6:$MK$206,"*ZNE/PER*")</f>
        <v/>
      </c>
      <c r="LV25" s="170">
        <f>COUNTIF('INPUT - Roster'!$ML$6:$ML$206,"*ZNE/PER*")</f>
        <v/>
      </c>
      <c r="LW25" s="170">
        <f>COUNTIF('INPUT - Roster'!$MM$6:$MM$206,"*ZNE/PER*")</f>
        <v/>
      </c>
      <c r="LX25" s="170">
        <f>COUNTIF('INPUT - Roster'!$MN$6:$MN$206,"*ZNE/PER*")</f>
        <v/>
      </c>
      <c r="LY25" s="170">
        <f>COUNTIF('INPUT - Roster'!$MO$6:$MO$206,"*ZNE/PER*")</f>
        <v/>
      </c>
      <c r="LZ25" s="170">
        <f>COUNTIF('INPUT - Roster'!$MP$6:$MP$206,"*ZNE/PER*")</f>
        <v/>
      </c>
      <c r="MA25" s="170">
        <f>COUNTIF('INPUT - Roster'!$MQ$6:$MQ$206,"*ZNE/PER*")</f>
        <v/>
      </c>
      <c r="MB25" s="170">
        <f>COUNTIF('INPUT - Roster'!$MR$6:$MR$206,"*ZNE/PER*")</f>
        <v/>
      </c>
      <c r="MC25" s="170">
        <f>COUNTIF('INPUT - Roster'!$MS$6:$MS$206,"*ZNE/PER*")</f>
        <v/>
      </c>
      <c r="MD25" s="170">
        <f>COUNTIF('INPUT - Roster'!$MT$6:$MT$206,"*ZNE/PER*")</f>
        <v/>
      </c>
      <c r="ME25" s="170">
        <f>COUNTIF('INPUT - Roster'!$MU$6:$MU$206,"*ZNE/PER*")</f>
        <v/>
      </c>
      <c r="MF25" s="170">
        <f>COUNTIF('INPUT - Roster'!$MV$6:$MV$206,"*ZNE/PER*")</f>
        <v/>
      </c>
      <c r="MG25" s="170">
        <f>COUNTIF('INPUT - Roster'!$MW$6:$MW$206,"*ZNE/PER*")</f>
        <v/>
      </c>
      <c r="MH25" s="170">
        <f>COUNTIF('INPUT - Roster'!$MX$6:$MX$206,"*ZNE/PER*")</f>
        <v/>
      </c>
      <c r="MI25" s="170">
        <f>COUNTIF('INPUT - Roster'!$MY$6:$MY$206,"*ZNE/PER*")</f>
        <v/>
      </c>
      <c r="MJ25" s="170">
        <f>COUNTIF('INPUT - Roster'!$MZ$6:$MZ$206,"*ZNE/PER*")</f>
        <v/>
      </c>
      <c r="MK25" s="170">
        <f>COUNTIF('INPUT - Roster'!$NA$6:$NA$206,"*ZNE/PER*")</f>
        <v/>
      </c>
      <c r="ML25" s="170">
        <f>COUNTIF('INPUT - Roster'!$NB$6:$NB$206,"*ZNE/PER*")</f>
        <v/>
      </c>
      <c r="MM25" s="170">
        <f>COUNTIF('INPUT - Roster'!$NC$6:$NC$206,"*ZNE/PER*")</f>
        <v/>
      </c>
      <c r="MN25" s="170">
        <f>COUNTIF('INPUT - Roster'!$ND$6:$ND$206,"*ZNE/PER*")</f>
        <v/>
      </c>
      <c r="MO25" s="170">
        <f>COUNTIF('INPUT - Roster'!$NE$6:$NE$206,"*ZNE/PER*")</f>
        <v/>
      </c>
      <c r="MP25" s="170">
        <f>COUNTIF('INPUT - Roster'!$NF$6:$NF$206,"*ZNE/PER*")</f>
        <v/>
      </c>
      <c r="MQ25" s="170">
        <f>COUNTIF('INPUT - Roster'!$NG$6:$NG$206,"*ZNE/PER*")</f>
        <v/>
      </c>
      <c r="MR25" s="170">
        <f>COUNTIF('INPUT - Roster'!$NH$6:$NH$206,"*ZNE/PER*")</f>
        <v/>
      </c>
      <c r="MS25" s="170">
        <f>COUNTIF('INPUT - Roster'!$NI$6:$NI$206,"*ZNE/PER*")</f>
        <v/>
      </c>
      <c r="MT25" s="170">
        <f>COUNTIF('INPUT - Roster'!$NJ$6:$NJ$206,"*ZNE/PER*")</f>
        <v/>
      </c>
      <c r="MU25" s="170">
        <f>COUNTIF('INPUT - Roster'!$NK$6:$NK$206,"*ZNE/PER*")</f>
        <v/>
      </c>
      <c r="MV25" s="170">
        <f>COUNTIF('INPUT - Roster'!$NL$6:$NL$206,"*ZNE/PER*")</f>
        <v/>
      </c>
      <c r="MW25" s="170">
        <f>COUNTIF('INPUT - Roster'!$NM$6:$NM$206,"*ZNE/PER*")</f>
        <v/>
      </c>
      <c r="MX25" s="170">
        <f>COUNTIF('INPUT - Roster'!$NN$6:$NN$206,"*ZNE/PER*")</f>
        <v/>
      </c>
      <c r="MY25" s="170">
        <f>COUNTIF('INPUT - Roster'!$NO$6:$NO$206,"*ZNE/PER*")</f>
        <v/>
      </c>
      <c r="MZ25" s="170">
        <f>COUNTIF('INPUT - Roster'!$NP$6:$NP$206,"*ZNE/PER*")</f>
        <v/>
      </c>
      <c r="NA25" s="170">
        <f>COUNTIF('INPUT - Roster'!$NQ$6:$NQ$206,"*ZNE/PER*")</f>
        <v/>
      </c>
      <c r="NB25" s="170">
        <f>COUNTIF('INPUT - Roster'!$NR$6:$NR$206,"*ZNE/PER*")</f>
        <v/>
      </c>
      <c r="NC25" s="170">
        <f>COUNTIF('INPUT - Roster'!$NS$6:$NS$206,"*ZNE/PER*")</f>
        <v/>
      </c>
      <c r="ND25" s="170">
        <f>COUNTIF('INPUT - Roster'!$NT$6:$NT$206,"*ZNE/PER*")</f>
        <v/>
      </c>
      <c r="NE25" s="170">
        <f>COUNTIF('INPUT - Roster'!$NU$6:$NU$206,"*ZNE/PER*")</f>
        <v/>
      </c>
      <c r="NF25" s="170">
        <f>COUNTIF('INPUT - Roster'!$NV$6:$NV$206,"*ZNE/PER*")</f>
        <v/>
      </c>
      <c r="NG25" s="170">
        <f>COUNTIF('INPUT - Roster'!$NW$6:$NW$206,"*ZNE/PER*")</f>
        <v/>
      </c>
      <c r="NH25" s="170">
        <f>COUNTIF('INPUT - Roster'!$NX$6:$NX$206,"*ZNE/PER*")</f>
        <v/>
      </c>
      <c r="NI25" s="170">
        <f>COUNTIF('INPUT - Roster'!$NY$6:$NY$206,"*ZNE/PER*")</f>
        <v/>
      </c>
      <c r="NJ25" s="170">
        <f>COUNTIF('INPUT - Roster'!$NZ$6:$NZ$206,"*ZNE/PER*")</f>
        <v/>
      </c>
      <c r="NK25" s="170">
        <f>COUNTIF('INPUT - Roster'!$OA$6:$OA$206,"*ZNE/PER*")</f>
        <v/>
      </c>
      <c r="NL25" s="170">
        <f>COUNTIF('INPUT - Roster'!$OB$6:$OB$206,"*ZNE/PER*")</f>
        <v/>
      </c>
      <c r="NM25" s="170">
        <f>COUNTIF('INPUT - Roster'!$OC$6:$OC$206,"*ZNE/PER*")</f>
        <v/>
      </c>
      <c r="NN25" s="170">
        <f>COUNTIF('INPUT - Roster'!$OD$6:$OD$206,"*ZNE/PER*")</f>
        <v/>
      </c>
      <c r="NO25" s="170">
        <f>COUNTIF('INPUT - Roster'!$OE$6:$OE$206,"*ZNE/PER*")</f>
        <v/>
      </c>
      <c r="NP25" s="170">
        <f>COUNTIF('INPUT - Roster'!$OF$6:$OF$206,"*ZNE/PER*")</f>
        <v/>
      </c>
      <c r="NQ25" s="170">
        <f>COUNTIF('INPUT - Roster'!$OG$6:$OG$206,"*ZNE/PER*")</f>
        <v/>
      </c>
      <c r="NR25" s="170">
        <f>COUNTIF('INPUT - Roster'!$OH$6:$OH$206,"*ZNE/PER*")</f>
        <v/>
      </c>
      <c r="NS25" s="170">
        <f>COUNTIF('INPUT - Roster'!$OI$6:$OI$206,"*ZNE/PER*")</f>
        <v/>
      </c>
      <c r="NT25" s="170">
        <f>COUNTIF('INPUT - Roster'!$OJ$6:$OJ$206,"*ZNE/PER*")</f>
        <v/>
      </c>
      <c r="NU25" s="170">
        <f>COUNTIF('INPUT - Roster'!$OK$6:$OK$206,"*ZNE/PER*")</f>
        <v/>
      </c>
      <c r="NV25" s="170">
        <f>COUNTIF('INPUT - Roster'!$OL$6:$OL$206,"*ZNE/PER*")</f>
        <v/>
      </c>
      <c r="NW25" s="170">
        <f>COUNTIF('INPUT - Roster'!$OM$6:$OM$206,"*ZNE/PER*")</f>
        <v/>
      </c>
      <c r="NX25" s="170">
        <f>COUNTIF('INPUT - Roster'!$ON$6:$ON$206,"*ZNE/PER*")</f>
        <v/>
      </c>
      <c r="NY25" s="170">
        <f>COUNTIF('INPUT - Roster'!$OO$6:$OO$206,"*ZNE/PER*")</f>
        <v/>
      </c>
      <c r="NZ25" s="170">
        <f>COUNTIF('INPUT - Roster'!$OP$6:$OP$206,"*ZNE/PER*")</f>
        <v/>
      </c>
      <c r="OA25" s="170">
        <f>COUNTIF('INPUT - Roster'!$OQ$6:$OQ$206,"*ZNE/PER*")</f>
        <v/>
      </c>
      <c r="OB25" s="170">
        <f>COUNTIF('INPUT - Roster'!$OR$6:$OR$206,"*ZNE/PER*")</f>
        <v/>
      </c>
      <c r="OC25" s="170">
        <f>COUNTIF('INPUT - Roster'!$OS$6:$OS$206,"*ZNE/PER*")</f>
        <v/>
      </c>
      <c r="OD25" s="170">
        <f>COUNTIF('INPUT - Roster'!$OT$6:$OT$206,"*ZNE/PER*")</f>
        <v/>
      </c>
      <c r="OE25" s="170">
        <f>COUNTIF('INPUT - Roster'!$OU$6:$OU$206,"*ZNE/PER*")</f>
        <v/>
      </c>
      <c r="OF25" s="170">
        <f>COUNTIF('INPUT - Roster'!$OV$6:$OV$206,"*ZNE/PER*")</f>
        <v/>
      </c>
      <c r="OG25" s="170">
        <f>COUNTIF('INPUT - Roster'!$OW$6:$OW$206,"*ZNE/PER*")</f>
        <v/>
      </c>
      <c r="OH25" s="170">
        <f>COUNTIF('INPUT - Roster'!$OX$6:$OX$206,"*ZNE/PER*")</f>
        <v/>
      </c>
      <c r="OI25" s="170">
        <f>COUNTIF('INPUT - Roster'!$OY$6:$OY$206,"*ZNE/PER*")</f>
        <v/>
      </c>
      <c r="OJ25" s="170">
        <f>COUNTIF('INPUT - Roster'!$OZ$6:$OZ$206,"*ZNE/PER*")</f>
        <v/>
      </c>
      <c r="OK25" s="170">
        <f>COUNTIF('INPUT - Roster'!$PA$6:$PA$206,"*ZNE/PER*")</f>
        <v/>
      </c>
      <c r="OL25" s="170">
        <f>COUNTIF('INPUT - Roster'!$PB$6:$PB$206,"*ZNE/PER*")</f>
        <v/>
      </c>
      <c r="OM25" s="170">
        <f>COUNTIF('INPUT - Roster'!$PC$6:$PC$206,"*ZNE/PER*")</f>
        <v/>
      </c>
      <c r="ON25" s="170">
        <f>COUNTIF('INPUT - Roster'!$PD$6:$PD$206,"*ZNE/PER*")</f>
        <v/>
      </c>
      <c r="OO25" s="170">
        <f>COUNTIF('INPUT - Roster'!$PE$6:$PE$206,"*ZNE/PER*")</f>
        <v/>
      </c>
      <c r="OP25" s="170">
        <f>COUNTIF('INPUT - Roster'!$PF$6:$PF$206,"*ZNE/PER*")</f>
        <v/>
      </c>
      <c r="OQ25" s="170">
        <f>COUNTIF('INPUT - Roster'!$PG$6:$PG$206,"*ZNE/PER*")</f>
        <v/>
      </c>
      <c r="OR25" s="170">
        <f>COUNTIF('INPUT - Roster'!$PH$6:$PH$206,"*ZNE/PER*")</f>
        <v/>
      </c>
      <c r="OS25" s="170">
        <f>COUNTIF('INPUT - Roster'!$PI$6:$PI$206,"*ZNE/PER*")</f>
        <v/>
      </c>
      <c r="OT25" s="170">
        <f>COUNTIF('INPUT - Roster'!$PJ$6:$PJ$206,"*ZNE/PER*")</f>
        <v/>
      </c>
      <c r="OU25" s="170">
        <f>COUNTIF('INPUT - Roster'!$PK$6:$PK$206,"*ZNE/PER*")</f>
        <v/>
      </c>
      <c r="OV25" s="170">
        <f>COUNTIF('INPUT - Roster'!$PL$6:$PL$206,"*ZNE/PER*")</f>
        <v/>
      </c>
      <c r="OW25" s="170">
        <f>COUNTIF('INPUT - Roster'!$PM$6:$PM$206,"*ZNE/PER*")</f>
        <v/>
      </c>
      <c r="OX25" s="170">
        <f>COUNTIF('INPUT - Roster'!$PN$6:$PN$206,"*ZNE/PER*")</f>
        <v/>
      </c>
      <c r="OY25" s="170">
        <f>COUNTIF('INPUT - Roster'!$PO$6:$PO$206,"*ZNE/PER*")</f>
        <v/>
      </c>
      <c r="OZ25" s="170">
        <f>COUNTIF('INPUT - Roster'!$PP$6:$PP$206,"*ZNE/PER*")</f>
        <v/>
      </c>
      <c r="PA25" s="170">
        <f>COUNTIF('INPUT - Roster'!$PQ$6:$PQ$206,"*ZNE/PER*")</f>
        <v/>
      </c>
      <c r="PB25" s="170">
        <f>COUNTIF('INPUT - Roster'!$PR$6:$PR$206,"*ZNE/PER*")</f>
        <v/>
      </c>
      <c r="PC25" s="170">
        <f>COUNTIF('INPUT - Roster'!$PS$6:$PS$206,"*ZNE/PER*")</f>
        <v/>
      </c>
      <c r="PD25" s="170">
        <f>COUNTIF('INPUT - Roster'!$PT$6:$PT$206,"*ZNE/PER*")</f>
        <v/>
      </c>
      <c r="PE25" s="170">
        <f>COUNTIF('INPUT - Roster'!$PU$6:$PU$206,"*ZNE/PER*")</f>
        <v/>
      </c>
      <c r="PF25" s="170">
        <f>COUNTIF('INPUT - Roster'!$PV$6:$PV$206,"*ZNE/PER*")</f>
        <v/>
      </c>
      <c r="PG25" s="170">
        <f>COUNTIF('INPUT - Roster'!$PW$6:$PW$206,"*ZNE/PER*")</f>
        <v/>
      </c>
      <c r="PH25" s="170">
        <f>COUNTIF('INPUT - Roster'!$PX$6:$PX$206,"*ZNE/PER*")</f>
        <v/>
      </c>
      <c r="PI25" s="170">
        <f>COUNTIF('INPUT - Roster'!$PY$6:$PY$206,"*ZNE/PER*")</f>
        <v/>
      </c>
      <c r="PJ25" s="170">
        <f>COUNTIF('INPUT - Roster'!$PZ$6:$PZ$206,"*ZNE/PER*")</f>
        <v/>
      </c>
      <c r="PK25" s="170">
        <f>COUNTIF('INPUT - Roster'!$QA$6:$QA$206,"*ZNE/PER*")</f>
        <v/>
      </c>
      <c r="PL25" s="170">
        <f>COUNTIF('INPUT - Roster'!$QB$6:$QB$206,"*ZNE/PER*")</f>
        <v/>
      </c>
      <c r="PM25" s="170">
        <f>COUNTIF('INPUT - Roster'!$QC$6:$QC$206,"*ZNE/PER*")</f>
        <v/>
      </c>
      <c r="PN25" s="170">
        <f>COUNTIF('INPUT - Roster'!$QD$6:$QD$206,"*ZNE/PER*")</f>
        <v/>
      </c>
      <c r="PO25" s="170">
        <f>COUNTIF('INPUT - Roster'!$QE$6:$QE$206,"*ZNE/PER*")</f>
        <v/>
      </c>
      <c r="PP25" s="170">
        <f>COUNTIF('INPUT - Roster'!$QF$6:$QF$206,"*ZNE/PER*")</f>
        <v/>
      </c>
      <c r="PQ25" s="170">
        <f>COUNTIF('INPUT - Roster'!$QG$6:$QG$206,"*ZNE/PER*")</f>
        <v/>
      </c>
      <c r="PR25" s="170">
        <f>COUNTIF('INPUT - Roster'!$QH$6:$QH$206,"*ZNE/PER*")</f>
        <v/>
      </c>
      <c r="PS25" s="170">
        <f>COUNTIF('INPUT - Roster'!$QI$6:$QI$206,"*ZNE/PER*")</f>
        <v/>
      </c>
      <c r="PT25" s="170">
        <f>COUNTIF('INPUT - Roster'!$QJ$6:$QJ$206,"*ZNE/PER*")</f>
        <v/>
      </c>
      <c r="PU25" s="170">
        <f>COUNTIF('INPUT - Roster'!$QK$6:$QK$206,"*ZNE/PER*")</f>
        <v/>
      </c>
      <c r="PV25" s="170">
        <f>COUNTIF('INPUT - Roster'!$QL$6:$QL$206,"*ZNE/PER*")</f>
        <v/>
      </c>
      <c r="PW25" s="170">
        <f>COUNTIF('INPUT - Roster'!$QM$6:$QM$206,"*ZNE/PER*")</f>
        <v/>
      </c>
      <c r="PX25" s="170">
        <f>COUNTIF('INPUT - Roster'!$QN$6:$QN$206,"*ZNE/PER*")</f>
        <v/>
      </c>
      <c r="PY25" s="170">
        <f>COUNTIF('INPUT - Roster'!$QO$6:$QO$206,"*ZNE/PER*")</f>
        <v/>
      </c>
      <c r="PZ25" s="170">
        <f>COUNTIF('INPUT - Roster'!$QP$6:$QP$206,"*ZNE/PER*")</f>
        <v/>
      </c>
      <c r="QA25" s="170">
        <f>COUNTIF('INPUT - Roster'!$QQ$6:$QQ$206,"*ZNE/PER*")</f>
        <v/>
      </c>
      <c r="QB25" s="170">
        <f>COUNTIF('INPUT - Roster'!$QR$6:$QR$206,"*ZNE/PER*")</f>
        <v/>
      </c>
      <c r="QC25" s="170">
        <f>COUNTIF('INPUT - Roster'!$QS$6:$QS$206,"*ZNE/PER*")</f>
        <v/>
      </c>
      <c r="QD25" s="170">
        <f>COUNTIF('INPUT - Roster'!$QT$6:$QT$206,"*ZNE/PER*")</f>
        <v/>
      </c>
      <c r="QE25" s="170">
        <f>COUNTIF('INPUT - Roster'!$QU$6:$QU$206,"*ZNE/PER*")</f>
        <v/>
      </c>
      <c r="QF25" s="170">
        <f>COUNTIF('INPUT - Roster'!$QV$6:$QV$206,"*ZNE/PER*")</f>
        <v/>
      </c>
      <c r="QG25" s="170">
        <f>COUNTIF('INPUT - Roster'!$QW$6:$QW$206,"*ZNE/PER*")</f>
        <v/>
      </c>
      <c r="QH25" s="170">
        <f>COUNTIF('INPUT - Roster'!$QX$6:$QX$206,"*ZNE/PER*")</f>
        <v/>
      </c>
      <c r="QI25" s="170">
        <f>COUNTIF('INPUT - Roster'!$QY$6:$QY$206,"*ZNE/PER*")</f>
        <v/>
      </c>
      <c r="QJ25" s="170">
        <f>COUNTIF('INPUT - Roster'!$QZ$6:$QZ$206,"*ZNE/PER*")</f>
        <v/>
      </c>
      <c r="QK25" s="170">
        <f>COUNTIF('INPUT - Roster'!$RA$6:$RA$206,"*ZNE/PER*")</f>
        <v/>
      </c>
      <c r="QL25" s="170">
        <f>COUNTIF('INPUT - Roster'!$RB$6:$RB$206,"*ZNE/PER*")</f>
        <v/>
      </c>
      <c r="QM25" s="170">
        <f>COUNTIF('INPUT - Roster'!$RC$6:$RC$206,"*ZNE/PER*")</f>
        <v/>
      </c>
      <c r="QN25" s="170">
        <f>COUNTIF('INPUT - Roster'!$RD$6:$RD$206,"*ZNE/PER*")</f>
        <v/>
      </c>
      <c r="QO25" s="170">
        <f>COUNTIF('INPUT - Roster'!$RE$6:$RE$206,"*ZNE/PER*")</f>
        <v/>
      </c>
      <c r="QP25" s="170">
        <f>COUNTIF('INPUT - Roster'!$RF$6:$RF$206,"*ZNE/PER*")</f>
        <v/>
      </c>
      <c r="QQ25" s="170">
        <f>COUNTIF('INPUT - Roster'!$RG$6:$RG$206,"*ZNE/PER*")</f>
        <v/>
      </c>
      <c r="QR25" s="170">
        <f>COUNTIF('INPUT - Roster'!$RH$6:$RH$206,"*ZNE/PER*")</f>
        <v/>
      </c>
      <c r="QS25" s="170">
        <f>COUNTIF('INPUT - Roster'!$RI$6:$RI$206,"*ZNE/PER*")</f>
        <v/>
      </c>
      <c r="QT25" s="170">
        <f>COUNTIF('INPUT - Roster'!$RJ$6:$RJ$206,"*ZNE/PER*")</f>
        <v/>
      </c>
      <c r="QU25" s="170">
        <f>COUNTIF('INPUT - Roster'!$RK$6:$RK$206,"*ZNE/PER*")</f>
        <v/>
      </c>
      <c r="QV25" s="170">
        <f>COUNTIF('INPUT - Roster'!$RL$6:$RL$206,"*ZNE/PER*")</f>
        <v/>
      </c>
      <c r="QW25" s="170">
        <f>COUNTIF('INPUT - Roster'!$RM$6:$RM$206,"*ZNE/PER*")</f>
        <v/>
      </c>
      <c r="QX25" s="170">
        <f>COUNTIF('INPUT - Roster'!$RN$6:$RN$206,"*ZNE/PER*")</f>
        <v/>
      </c>
      <c r="QY25" s="170">
        <f>COUNTIF('INPUT - Roster'!$RO$6:$RO$206,"*ZNE/PER*")</f>
        <v/>
      </c>
      <c r="QZ25" s="170">
        <f>COUNTIF('INPUT - Roster'!$RP$6:$RP$206,"*ZNE/PER*")</f>
        <v/>
      </c>
      <c r="RA25" s="170">
        <f>COUNTIF('INPUT - Roster'!$RQ$6:$RQ$206,"*ZNE/PER*")</f>
        <v/>
      </c>
      <c r="RB25" s="170">
        <f>COUNTIF('INPUT - Roster'!$RR$6:$RR$206,"*ZNE/PER*")</f>
        <v/>
      </c>
      <c r="RC25" s="170">
        <f>COUNTIF('INPUT - Roster'!$RS$6:$RS$206,"*ZNE/PER*")</f>
        <v/>
      </c>
      <c r="RD25" s="170">
        <f>COUNTIF('INPUT - Roster'!$RT$6:$RT$206,"*ZNE/PER*")</f>
        <v/>
      </c>
      <c r="RE25" s="170">
        <f>COUNTIF('INPUT - Roster'!$RU$6:$RU$206,"*ZNE/PER*")</f>
        <v/>
      </c>
      <c r="RF25" s="170">
        <f>COUNTIF('INPUT - Roster'!$RV$6:$RV$206,"*ZNE/PER*")</f>
        <v/>
      </c>
      <c r="RG25" s="170">
        <f>COUNTIF('INPUT - Roster'!$RW$6:$RW$206,"*ZNE/PER*")</f>
        <v/>
      </c>
      <c r="RH25" s="170">
        <f>COUNTIF('INPUT - Roster'!$RX$6:$RX$206,"*ZNE/PER*")</f>
        <v/>
      </c>
      <c r="RI25" s="170">
        <f>COUNTIF('INPUT - Roster'!$RY$6:$RY$206,"*ZNE/PER*")</f>
        <v/>
      </c>
      <c r="RJ25" s="170">
        <f>COUNTIF('INPUT - Roster'!$RZ$6:$RZ$206,"*ZNE/PER*")</f>
        <v/>
      </c>
      <c r="RK25" s="170">
        <f>COUNTIF('INPUT - Roster'!$SA$6:$SA$206,"*ZNE/PER*")</f>
        <v/>
      </c>
      <c r="RL25" s="170">
        <f>COUNTIF('INPUT - Roster'!$SB$6:$SB$206,"*ZNE/PER*")</f>
        <v/>
      </c>
      <c r="RM25" s="170">
        <f>COUNTIF('INPUT - Roster'!$SC$6:$SC$206,"*ZNE/PER*")</f>
        <v/>
      </c>
      <c r="RN25" s="170">
        <f>COUNTIF('INPUT - Roster'!$SD$6:$SD$206,"*ZNE/PER*")</f>
        <v/>
      </c>
      <c r="RO25" s="170">
        <f>COUNTIF('INPUT - Roster'!$SE$6:$SE$206,"*ZNE/PER*")</f>
        <v/>
      </c>
      <c r="RP25" s="170">
        <f>COUNTIF('INPUT - Roster'!$SF$6:$SF$206,"*ZNE/PER*")</f>
        <v/>
      </c>
      <c r="RQ25" s="170">
        <f>COUNTIF('INPUT - Roster'!$SG$6:$SG$206,"*ZNE/PER*")</f>
        <v/>
      </c>
      <c r="RR25" s="170">
        <f>COUNTIF('INPUT - Roster'!$SH$6:$SH$206,"*ZNE/PER*")</f>
        <v/>
      </c>
      <c r="RS25" s="170">
        <f>COUNTIF('INPUT - Roster'!$SI$6:$SI$206,"*ZNE/PER*")</f>
        <v/>
      </c>
      <c r="RT25" s="170">
        <f>COUNTIF('INPUT - Roster'!$SJ$6:$SJ$206,"*ZNE/PER*")</f>
        <v/>
      </c>
      <c r="RU25" s="170">
        <f>COUNTIF('INPUT - Roster'!$SK$6:$SK$206,"*ZNE/PER*")</f>
        <v/>
      </c>
      <c r="RV25" s="170">
        <f>COUNTIF('INPUT - Roster'!$SL$6:$SL$206,"*ZNE/PER*")</f>
        <v/>
      </c>
      <c r="RW25" s="170">
        <f>COUNTIF('INPUT - Roster'!$SM$6:$SM$206,"*ZNE/PER*")</f>
        <v/>
      </c>
      <c r="RX25" s="170">
        <f>COUNTIF('INPUT - Roster'!$SN$6:$SN$206,"*ZNE/PER*")</f>
        <v/>
      </c>
      <c r="RY25" s="170">
        <f>COUNTIF('INPUT - Roster'!$SO$6:$SO$206,"*ZNE/PER*")</f>
        <v/>
      </c>
      <c r="RZ25" s="170">
        <f>COUNTIF('INPUT - Roster'!$SP$6:$SP$206,"*ZNE/PER*")</f>
        <v/>
      </c>
      <c r="SA25" s="170">
        <f>COUNTIF('INPUT - Roster'!$SQ$6:$SQ$206,"*ZNE/PER*")</f>
        <v/>
      </c>
      <c r="SB25" s="170">
        <f>COUNTIF('INPUT - Roster'!$SR$6:$SR$206,"*ZNE/PER*")</f>
        <v/>
      </c>
      <c r="SC25" s="170">
        <f>COUNTIF('INPUT - Roster'!$SS$6:$SS$206,"*ZNE/PER*")</f>
        <v/>
      </c>
      <c r="SD25" s="170">
        <f>COUNTIF('INPUT - Roster'!$ST$6:$ST$206,"*ZNE/PER*")</f>
        <v/>
      </c>
      <c r="SE25" s="170">
        <f>COUNTIF('INPUT - Roster'!$SU$6:$SU$206,"*ZNE/PER*")</f>
        <v/>
      </c>
      <c r="SF25" s="170">
        <f>COUNTIF('INPUT - Roster'!$SV$6:$SV$206,"*ZNE/PER*")</f>
        <v/>
      </c>
    </row>
    <row r="26">
      <c r="B26" s="169" t="inlineStr">
        <is>
          <t>Fly in  PER/CJF</t>
        </is>
      </c>
      <c r="C26" s="170">
        <f>COUNTIF('INPUT - Roster'!$S$6:$S$206,"*PER/CJF*")</f>
        <v/>
      </c>
      <c r="D26" s="170">
        <f>COUNTIF('INPUT - Roster'!$T$6:$T$206,"*PER/CJF*")</f>
        <v/>
      </c>
      <c r="E26" s="170">
        <f>COUNTIF('INPUT - Roster'!$U$6:$U$206,"*PER/CJF*")</f>
        <v/>
      </c>
      <c r="F26" s="170">
        <f>COUNTIF('INPUT - Roster'!$V$6:$V$206,"*PER/CJF*")</f>
        <v/>
      </c>
      <c r="G26" s="170">
        <f>COUNTIF('INPUT - Roster'!$W$6:$W$206,"*PER/CJF*")</f>
        <v/>
      </c>
      <c r="H26" s="170">
        <f>COUNTIF('INPUT - Roster'!$X$6:$X$206,"*PER/CJF*")</f>
        <v/>
      </c>
      <c r="I26" s="170">
        <f>COUNTIF('INPUT - Roster'!$Y$6:$Y$206,"*PER/CJF*")</f>
        <v/>
      </c>
      <c r="J26" s="170">
        <f>COUNTIF('INPUT - Roster'!$Z$6:$Z$206,"*PER/CJF*")</f>
        <v/>
      </c>
      <c r="K26" s="170">
        <f>COUNTIF('INPUT - Roster'!$AA$6:$AA$206,"*PER/CJF*")</f>
        <v/>
      </c>
      <c r="L26" s="170">
        <f>COUNTIF('INPUT - Roster'!$AB$6:$AB$206,"*PER/CJF*")</f>
        <v/>
      </c>
      <c r="M26" s="170">
        <f>COUNTIF('INPUT - Roster'!$AC$6:$AC$206,"*PER/CJF*")</f>
        <v/>
      </c>
      <c r="N26" s="170">
        <f>COUNTIF('INPUT - Roster'!$AD$6:$AD$206,"*PER/CJF*")</f>
        <v/>
      </c>
      <c r="O26" s="170">
        <f>COUNTIF('INPUT - Roster'!$AE$6:$AE$206,"*PER/CJF*")</f>
        <v/>
      </c>
      <c r="P26" s="170">
        <f>COUNTIF('INPUT - Roster'!$AF$6:$AF$206,"*PER/CJF*")</f>
        <v/>
      </c>
      <c r="Q26" s="170">
        <f>COUNTIF('INPUT - Roster'!$AG$6:$AG$206,"*PER/CJF*")</f>
        <v/>
      </c>
      <c r="R26" s="170">
        <f>COUNTIF('INPUT - Roster'!$AH$6:$AH$206,"*PER/CJF*")</f>
        <v/>
      </c>
      <c r="S26" s="170">
        <f>COUNTIF('INPUT - Roster'!$AI$6:$AI$206,"*PER/CJF*")</f>
        <v/>
      </c>
      <c r="T26" s="170">
        <f>COUNTIF('INPUT - Roster'!$AJ$6:$AJ$206,"*PER/CJF*")</f>
        <v/>
      </c>
      <c r="U26" s="170">
        <f>COUNTIF('INPUT - Roster'!$AK$6:$AK$206,"*PER/CJF*")</f>
        <v/>
      </c>
      <c r="V26" s="170">
        <f>COUNTIF('INPUT - Roster'!$AL$6:$AL$206,"*PER/CJF*")</f>
        <v/>
      </c>
      <c r="W26" s="170">
        <f>COUNTIF('INPUT - Roster'!$AM$6:$AM$206,"*PER/CJF*")</f>
        <v/>
      </c>
      <c r="X26" s="170">
        <f>COUNTIF('INPUT - Roster'!$AN$6:$AN$206,"*PER/CJF*")</f>
        <v/>
      </c>
      <c r="Y26" s="170">
        <f>COUNTIF('INPUT - Roster'!$AO$6:$AO$206,"*PER/CJF*")</f>
        <v/>
      </c>
      <c r="Z26" s="170">
        <f>COUNTIF('INPUT - Roster'!$AP$6:$AP$206,"*PER/CJF*")</f>
        <v/>
      </c>
      <c r="AA26" s="170">
        <f>COUNTIF('INPUT - Roster'!$AQ$6:$AQ$206,"*PER/CJF*")</f>
        <v/>
      </c>
      <c r="AB26" s="170">
        <f>COUNTIF('INPUT - Roster'!$AR$6:$AR$206,"*PER/CJF*")</f>
        <v/>
      </c>
      <c r="AC26" s="170">
        <f>COUNTIF('INPUT - Roster'!$AS$6:$AS$206,"*PER/CJF*")</f>
        <v/>
      </c>
      <c r="AD26" s="170">
        <f>COUNTIF('INPUT - Roster'!$AT$6:$AT$206,"*PER/CJF*")</f>
        <v/>
      </c>
      <c r="AE26" s="170">
        <f>COUNTIF('INPUT - Roster'!$AU$6:$AU$206,"*PER/CJF*")</f>
        <v/>
      </c>
      <c r="AF26" s="170">
        <f>COUNTIF('INPUT - Roster'!$AV$6:$AV$206,"*PER/CJF*")</f>
        <v/>
      </c>
      <c r="AG26" s="170">
        <f>COUNTIF('INPUT - Roster'!$AW$6:$AW$206,"*PER/CJF*")</f>
        <v/>
      </c>
      <c r="AH26" s="170">
        <f>COUNTIF('INPUT - Roster'!$AX$6:$AX$206,"*PER/CJF*")</f>
        <v/>
      </c>
      <c r="AI26" s="170">
        <f>COUNTIF('INPUT - Roster'!$AY$6:$AY$206,"*PER/CJF*")</f>
        <v/>
      </c>
      <c r="AJ26" s="170">
        <f>COUNTIF('INPUT - Roster'!$AZ$6:$AZ$206,"*PER/CJF*")</f>
        <v/>
      </c>
      <c r="AK26" s="170">
        <f>COUNTIF('INPUT - Roster'!$BA$6:$BA$206,"*PER/CJF*")</f>
        <v/>
      </c>
      <c r="AL26" s="170">
        <f>COUNTIF('INPUT - Roster'!$BB$6:$BB$206,"*PER/CJF*")</f>
        <v/>
      </c>
      <c r="AM26" s="170">
        <f>COUNTIF('INPUT - Roster'!$BC$6:$BC$206,"*PER/CJF*")</f>
        <v/>
      </c>
      <c r="AN26" s="170">
        <f>COUNTIF('INPUT - Roster'!$BD$6:$BD$206,"*PER/CJF*")</f>
        <v/>
      </c>
      <c r="AO26" s="170">
        <f>COUNTIF('INPUT - Roster'!$BE$6:$BE$206,"*PER/CJF*")</f>
        <v/>
      </c>
      <c r="AP26" s="170">
        <f>COUNTIF('INPUT - Roster'!$BF$6:$BF$206,"*PER/CJF*")</f>
        <v/>
      </c>
      <c r="AQ26" s="170">
        <f>COUNTIF('INPUT - Roster'!$BG$6:$BG$206,"*PER/CJF*")</f>
        <v/>
      </c>
      <c r="AR26" s="170">
        <f>COUNTIF('INPUT - Roster'!$BH$6:$BH$206,"*PER/CJF*")</f>
        <v/>
      </c>
      <c r="AS26" s="170">
        <f>COUNTIF('INPUT - Roster'!$BI$6:$BI$206,"*PER/CJF*")</f>
        <v/>
      </c>
      <c r="AT26" s="170">
        <f>COUNTIF('INPUT - Roster'!$BJ$6:$BJ$206,"*PER/CJF*")</f>
        <v/>
      </c>
      <c r="AU26" s="170">
        <f>COUNTIF('INPUT - Roster'!$BK$6:$BK$206,"*PER/CJF*")</f>
        <v/>
      </c>
      <c r="AV26" s="170">
        <f>COUNTIF('INPUT - Roster'!$BL$6:$BL$206,"*PER/CJF*")</f>
        <v/>
      </c>
      <c r="AW26" s="170">
        <f>COUNTIF('INPUT - Roster'!$BM$6:$BM$206,"*PER/CJF*")</f>
        <v/>
      </c>
      <c r="AX26" s="170">
        <f>COUNTIF('INPUT - Roster'!$BN$6:$BN$206,"*PER/CJF*")</f>
        <v/>
      </c>
      <c r="AY26" s="170">
        <f>COUNTIF('INPUT - Roster'!$BO$6:$BO$206,"*PER/CJF*")</f>
        <v/>
      </c>
      <c r="AZ26" s="170">
        <f>COUNTIF('INPUT - Roster'!$BP$6:$BP$206,"*PER/CJF*")</f>
        <v/>
      </c>
      <c r="BA26" s="170">
        <f>COUNTIF('INPUT - Roster'!$BQ$6:$BQ$206,"*PER/CJF*")</f>
        <v/>
      </c>
      <c r="BB26" s="170">
        <f>COUNTIF('INPUT - Roster'!$BR$6:$BR$206,"*PER/CJF*")</f>
        <v/>
      </c>
      <c r="BC26" s="170">
        <f>COUNTIF('INPUT - Roster'!$BS$6:$BS$206,"*PER/CJF*")</f>
        <v/>
      </c>
      <c r="BD26" s="170">
        <f>COUNTIF('INPUT - Roster'!$BT$6:$BT$206,"*PER/CJF*")</f>
        <v/>
      </c>
      <c r="BE26" s="170">
        <f>COUNTIF('INPUT - Roster'!$BU$6:$BU$206,"*PER/CJF*")</f>
        <v/>
      </c>
      <c r="BF26" s="170">
        <f>COUNTIF('INPUT - Roster'!$BV$6:$BV$206,"*PER/CJF*")</f>
        <v/>
      </c>
      <c r="BG26" s="170">
        <f>COUNTIF('INPUT - Roster'!$BW$6:$BW$206,"*PER/CJF*")</f>
        <v/>
      </c>
      <c r="BH26" s="170">
        <f>COUNTIF('INPUT - Roster'!$BX$6:$BX$206,"*PER/CJF*")</f>
        <v/>
      </c>
      <c r="BI26" s="170">
        <f>COUNTIF('INPUT - Roster'!$BY$6:$BY$206,"*PER/CJF*")</f>
        <v/>
      </c>
      <c r="BJ26" s="170">
        <f>COUNTIF('INPUT - Roster'!$BZ$6:$BZ$206,"*PER/CJF*")</f>
        <v/>
      </c>
      <c r="BK26" s="170">
        <f>COUNTIF('INPUT - Roster'!$CA$6:$CA$206,"*PER/CJF*")</f>
        <v/>
      </c>
      <c r="BL26" s="170">
        <f>COUNTIF('INPUT - Roster'!$CB$6:$CB$206,"*PER/CJF*")</f>
        <v/>
      </c>
      <c r="BM26" s="170">
        <f>COUNTIF('INPUT - Roster'!$CC$6:$CC$206,"*PER/CJF*")</f>
        <v/>
      </c>
      <c r="BN26" s="170">
        <f>COUNTIF('INPUT - Roster'!$CD$6:$CD$206,"*PER/CJF*")</f>
        <v/>
      </c>
      <c r="BO26" s="170">
        <f>COUNTIF('INPUT - Roster'!$CE$6:$CE$206,"*PER/CJF*")</f>
        <v/>
      </c>
      <c r="BP26" s="170">
        <f>COUNTIF('INPUT - Roster'!$CF$6:$CF$206,"*PER/CJF*")</f>
        <v/>
      </c>
      <c r="BQ26" s="170">
        <f>COUNTIF('INPUT - Roster'!$CG$6:$CG$206,"*PER/CJF*")</f>
        <v/>
      </c>
      <c r="BR26" s="170">
        <f>COUNTIF('INPUT - Roster'!$CH$6:$CH$206,"*PER/CJF*")</f>
        <v/>
      </c>
      <c r="BS26" s="170">
        <f>COUNTIF('INPUT - Roster'!$CI$6:$CI$206,"*PER/CJF*")</f>
        <v/>
      </c>
      <c r="BT26" s="170">
        <f>COUNTIF('INPUT - Roster'!$CJ$6:$CJ$206,"*PER/CJF*")</f>
        <v/>
      </c>
      <c r="BU26" s="170">
        <f>COUNTIF('INPUT - Roster'!$CK$6:$CK$206,"*PER/CJF*")</f>
        <v/>
      </c>
      <c r="BV26" s="170">
        <f>COUNTIF('INPUT - Roster'!$CL$6:$CL$206,"*PER/CJF*")</f>
        <v/>
      </c>
      <c r="BW26" s="170">
        <f>COUNTIF('INPUT - Roster'!$CM$6:$CM$206,"*PER/CJF*")</f>
        <v/>
      </c>
      <c r="BX26" s="170">
        <f>COUNTIF('INPUT - Roster'!$CN$6:$CN$206,"*PER/CJF*")</f>
        <v/>
      </c>
      <c r="BY26" s="170">
        <f>COUNTIF('INPUT - Roster'!$CO$6:$CO$206,"*PER/CJF*")</f>
        <v/>
      </c>
      <c r="BZ26" s="170">
        <f>COUNTIF('INPUT - Roster'!$CP$6:$CP$206,"*PER/CJF*")</f>
        <v/>
      </c>
      <c r="CA26" s="170">
        <f>COUNTIF('INPUT - Roster'!$CQ$6:$CQ$206,"*PER/CJF*")</f>
        <v/>
      </c>
      <c r="CB26" s="170">
        <f>COUNTIF('INPUT - Roster'!$CR$6:$CR$206,"*PER/CJF*")</f>
        <v/>
      </c>
      <c r="CC26" s="170">
        <f>COUNTIF('INPUT - Roster'!$CS$6:$CS$206,"*PER/CJF*")</f>
        <v/>
      </c>
      <c r="CD26" s="170">
        <f>COUNTIF('INPUT - Roster'!$CT$6:$CT$206,"*PER/CJF*")</f>
        <v/>
      </c>
      <c r="CE26" s="170">
        <f>COUNTIF('INPUT - Roster'!$CU$6:$CU$206,"*PER/CJF*")</f>
        <v/>
      </c>
      <c r="CF26" s="170">
        <f>COUNTIF('INPUT - Roster'!$CV$6:$CV$206,"*PER/CJF*")</f>
        <v/>
      </c>
      <c r="CG26" s="170">
        <f>COUNTIF('INPUT - Roster'!$CW$6:$CW$206,"*PER/CJF*")</f>
        <v/>
      </c>
      <c r="CH26" s="170">
        <f>COUNTIF('INPUT - Roster'!$CX$6:$CX$206,"*PER/CJF*")</f>
        <v/>
      </c>
      <c r="CI26" s="170">
        <f>COUNTIF('INPUT - Roster'!$CY$6:$CY$206,"*PER/CJF*")</f>
        <v/>
      </c>
      <c r="CJ26" s="170">
        <f>COUNTIF('INPUT - Roster'!$CZ$6:$CZ$206,"*PER/CJF*")</f>
        <v/>
      </c>
      <c r="CK26" s="170">
        <f>COUNTIF('INPUT - Roster'!$DA$6:$DA$206,"*PER/CJF*")</f>
        <v/>
      </c>
      <c r="CL26" s="170">
        <f>COUNTIF('INPUT - Roster'!$DB$6:$DB$206,"*PER/CJF*")</f>
        <v/>
      </c>
      <c r="CM26" s="170">
        <f>COUNTIF('INPUT - Roster'!$DC$6:$DC$206,"*PER/CJF*")</f>
        <v/>
      </c>
      <c r="CN26" s="170">
        <f>COUNTIF('INPUT - Roster'!$DD$6:$DD$206,"*PER/CJF*")</f>
        <v/>
      </c>
      <c r="CO26" s="170">
        <f>COUNTIF('INPUT - Roster'!$DE$6:$DE$206,"*PER/CJF*")</f>
        <v/>
      </c>
      <c r="CP26" s="170">
        <f>COUNTIF('INPUT - Roster'!$DF$6:$DF$206,"*PER/CJF*")</f>
        <v/>
      </c>
      <c r="CQ26" s="170">
        <f>COUNTIF('INPUT - Roster'!$DG$6:$DG$206,"*PER/CJF*")</f>
        <v/>
      </c>
      <c r="CR26" s="170">
        <f>COUNTIF('INPUT - Roster'!$DH$6:$DH$206,"*PER/CJF*")</f>
        <v/>
      </c>
      <c r="CS26" s="170">
        <f>COUNTIF('INPUT - Roster'!$DI$6:$DI$206,"*PER/CJF*")</f>
        <v/>
      </c>
      <c r="CT26" s="170">
        <f>COUNTIF('INPUT - Roster'!$DJ$6:$DJ$206,"*PER/CJF*")</f>
        <v/>
      </c>
      <c r="CU26" s="170">
        <f>COUNTIF('INPUT - Roster'!$DK$6:$DK$206,"*PER/CJF*")</f>
        <v/>
      </c>
      <c r="CV26" s="170">
        <f>COUNTIF('INPUT - Roster'!$DL$6:$DL$206,"*PER/CJF*")</f>
        <v/>
      </c>
      <c r="CW26" s="170">
        <f>COUNTIF('INPUT - Roster'!$DM$6:$DM$206,"*PER/CJF*")</f>
        <v/>
      </c>
      <c r="CX26" s="170">
        <f>COUNTIF('INPUT - Roster'!$DN$6:$DN$206,"*PER/CJF*")</f>
        <v/>
      </c>
      <c r="CY26" s="170">
        <f>COUNTIF('INPUT - Roster'!$DO$6:$DO$206,"*PER/CJF*")</f>
        <v/>
      </c>
      <c r="CZ26" s="170">
        <f>COUNTIF('INPUT - Roster'!$DP$6:$DP$206,"*PER/CJF*")</f>
        <v/>
      </c>
      <c r="DA26" s="170">
        <f>COUNTIF('INPUT - Roster'!$DQ$6:$DQ$206,"*PER/CJF*")</f>
        <v/>
      </c>
      <c r="DB26" s="170">
        <f>COUNTIF('INPUT - Roster'!$DR$6:$DR$206,"*PER/CJF*")</f>
        <v/>
      </c>
      <c r="DC26" s="170">
        <f>COUNTIF('INPUT - Roster'!$DS$6:$DS$206,"*PER/CJF*")</f>
        <v/>
      </c>
      <c r="DD26" s="170">
        <f>COUNTIF('INPUT - Roster'!$DT$6:$DT$206,"*PER/CJF*")</f>
        <v/>
      </c>
      <c r="DE26" s="170">
        <f>COUNTIF('INPUT - Roster'!$DU$6:$DU$206,"*PER/CJF*")</f>
        <v/>
      </c>
      <c r="DF26" s="170">
        <f>COUNTIF('INPUT - Roster'!$DV$6:$DV$206,"*PER/CJF*")</f>
        <v/>
      </c>
      <c r="DG26" s="170">
        <f>COUNTIF('INPUT - Roster'!$DW$6:$DW$206,"*PER/CJF*")</f>
        <v/>
      </c>
      <c r="DH26" s="170">
        <f>COUNTIF('INPUT - Roster'!$DX$6:$DX$206,"*PER/CJF*")</f>
        <v/>
      </c>
      <c r="DI26" s="170">
        <f>COUNTIF('INPUT - Roster'!$DY$6:$DY$206,"*PER/CJF*")</f>
        <v/>
      </c>
      <c r="DJ26" s="170">
        <f>COUNTIF('INPUT - Roster'!$DZ$6:$DZ$206,"*PER/CJF*")</f>
        <v/>
      </c>
      <c r="DK26" s="170">
        <f>COUNTIF('INPUT - Roster'!$EA$6:$EA$206,"*PER/CJF*")</f>
        <v/>
      </c>
      <c r="DL26" s="170">
        <f>COUNTIF('INPUT - Roster'!$EB$6:$EB$206,"*PER/CJF*")</f>
        <v/>
      </c>
      <c r="DM26" s="170">
        <f>COUNTIF('INPUT - Roster'!$EC$6:$EC$206,"*PER/CJF*")</f>
        <v/>
      </c>
      <c r="DN26" s="170">
        <f>COUNTIF('INPUT - Roster'!$ED$6:$ED$206,"*PER/CJF*")</f>
        <v/>
      </c>
      <c r="DO26" s="170">
        <f>COUNTIF('INPUT - Roster'!$EE$6:$EE$206,"*PER/CJF*")</f>
        <v/>
      </c>
      <c r="DP26" s="170">
        <f>COUNTIF('INPUT - Roster'!$EF$6:$EF$206,"*PER/CJF*")</f>
        <v/>
      </c>
      <c r="DQ26" s="170">
        <f>COUNTIF('INPUT - Roster'!$EG$6:$EG$206,"*PER/CJF*")</f>
        <v/>
      </c>
      <c r="DR26" s="170">
        <f>COUNTIF('INPUT - Roster'!$EH$6:$EH$206,"*PER/CJF*")</f>
        <v/>
      </c>
      <c r="DS26" s="170">
        <f>COUNTIF('INPUT - Roster'!$EI$6:$EI$206,"*PER/CJF*")</f>
        <v/>
      </c>
      <c r="DT26" s="170">
        <f>COUNTIF('INPUT - Roster'!$EJ$6:$EJ$206,"*PER/CJF*")</f>
        <v/>
      </c>
      <c r="DU26" s="170">
        <f>COUNTIF('INPUT - Roster'!$EK$6:$EK$206,"*PER/CJF*")</f>
        <v/>
      </c>
      <c r="DV26" s="170">
        <f>COUNTIF('INPUT - Roster'!$EL$6:$EL$206,"*PER/CJF*")</f>
        <v/>
      </c>
      <c r="DW26" s="170">
        <f>COUNTIF('INPUT - Roster'!$EM$6:$EM$206,"*PER/CJF*")</f>
        <v/>
      </c>
      <c r="DX26" s="170">
        <f>COUNTIF('INPUT - Roster'!$EN$6:$EN$206,"*PER/CJF*")</f>
        <v/>
      </c>
      <c r="DY26" s="170">
        <f>COUNTIF('INPUT - Roster'!$EO$6:$EO$206,"*PER/CJF*")</f>
        <v/>
      </c>
      <c r="DZ26" s="170">
        <f>COUNTIF('INPUT - Roster'!$EP$6:$EP$206,"*PER/CJF*")</f>
        <v/>
      </c>
      <c r="EA26" s="170">
        <f>COUNTIF('INPUT - Roster'!$EQ$6:$EQ$206,"*PER/CJF*")</f>
        <v/>
      </c>
      <c r="EB26" s="170">
        <f>COUNTIF('INPUT - Roster'!$ER$6:$ER$206,"*PER/CJF*")</f>
        <v/>
      </c>
      <c r="EC26" s="170">
        <f>COUNTIF('INPUT - Roster'!$ES$6:$ES$206,"*PER/CJF*")</f>
        <v/>
      </c>
      <c r="ED26" s="170">
        <f>COUNTIF('INPUT - Roster'!$ET$6:$ET$206,"*PER/CJF*")</f>
        <v/>
      </c>
      <c r="EE26" s="170">
        <f>COUNTIF('INPUT - Roster'!$EU$6:$EU$206,"*PER/CJF*")</f>
        <v/>
      </c>
      <c r="EF26" s="170">
        <f>COUNTIF('INPUT - Roster'!$EV$6:$EV$206,"*PER/CJF*")</f>
        <v/>
      </c>
      <c r="EG26" s="170">
        <f>COUNTIF('INPUT - Roster'!$EW$6:$EW$206,"*PER/CJF*")</f>
        <v/>
      </c>
      <c r="EH26" s="170">
        <f>COUNTIF('INPUT - Roster'!$EX$6:$EX$206,"*PER/CJF*")</f>
        <v/>
      </c>
      <c r="EI26" s="170">
        <f>COUNTIF('INPUT - Roster'!$EY$6:$EY$206,"*PER/CJF*")</f>
        <v/>
      </c>
      <c r="EJ26" s="170">
        <f>COUNTIF('INPUT - Roster'!$EZ$6:$EZ$206,"*PER/CJF*")</f>
        <v/>
      </c>
      <c r="EK26" s="170">
        <f>COUNTIF('INPUT - Roster'!$FA$6:$FA$206,"*PER/CJF*")</f>
        <v/>
      </c>
      <c r="EL26" s="170">
        <f>COUNTIF('INPUT - Roster'!$FB$6:$FB$206,"*PER/CJF*")</f>
        <v/>
      </c>
      <c r="EM26" s="170">
        <f>COUNTIF('INPUT - Roster'!$FC$6:$FC$206,"*PER/CJF*")</f>
        <v/>
      </c>
      <c r="EN26" s="170">
        <f>COUNTIF('INPUT - Roster'!$FD$6:$FD$206,"*PER/CJF*")</f>
        <v/>
      </c>
      <c r="EO26" s="170">
        <f>COUNTIF('INPUT - Roster'!$FE$6:$FE$206,"*PER/CJF*")</f>
        <v/>
      </c>
      <c r="EP26" s="170">
        <f>COUNTIF('INPUT - Roster'!$FF$6:$FF$206,"*PER/CJF*")</f>
        <v/>
      </c>
      <c r="EQ26" s="170">
        <f>COUNTIF('INPUT - Roster'!$FG$6:$FG$206,"*PER/CJF*")</f>
        <v/>
      </c>
      <c r="ER26" s="170">
        <f>COUNTIF('INPUT - Roster'!$FH$6:$FH$206,"*PER/CJF*")</f>
        <v/>
      </c>
      <c r="ES26" s="170">
        <f>COUNTIF('INPUT - Roster'!$FI$6:$FI$206,"*PER/CJF*")</f>
        <v/>
      </c>
      <c r="ET26" s="170">
        <f>COUNTIF('INPUT - Roster'!$FJ$6:$FJ$206,"*PER/CJF*")</f>
        <v/>
      </c>
      <c r="EU26" s="170">
        <f>COUNTIF('INPUT - Roster'!$FK$6:$FK$206,"*PER/CJF*")</f>
        <v/>
      </c>
      <c r="EV26" s="170">
        <f>COUNTIF('INPUT - Roster'!$FL$6:$FL$206,"*PER/CJF*")</f>
        <v/>
      </c>
      <c r="EW26" s="170">
        <f>COUNTIF('INPUT - Roster'!$FM$6:$FM$206,"*PER/CJF*")</f>
        <v/>
      </c>
      <c r="EX26" s="170">
        <f>COUNTIF('INPUT - Roster'!$FN$6:$FN$206,"*PER/CJF*")</f>
        <v/>
      </c>
      <c r="EY26" s="170">
        <f>COUNTIF('INPUT - Roster'!$FO$6:$FO$206,"*PER/CJF*")</f>
        <v/>
      </c>
      <c r="EZ26" s="170">
        <f>COUNTIF('INPUT - Roster'!$FP$6:$FP$206,"*PER/CJF*")</f>
        <v/>
      </c>
      <c r="FA26" s="170">
        <f>COUNTIF('INPUT - Roster'!$FQ$6:$FQ$206,"*PER/CJF*")</f>
        <v/>
      </c>
      <c r="FB26" s="170">
        <f>COUNTIF('INPUT - Roster'!$FR$6:$FR$206,"*PER/CJF*")</f>
        <v/>
      </c>
      <c r="FC26" s="170">
        <f>COUNTIF('INPUT - Roster'!$FS$6:$FS$206,"*PER/CJF*")</f>
        <v/>
      </c>
      <c r="FD26" s="170">
        <f>COUNTIF('INPUT - Roster'!$FT$6:$FT$206,"*PER/CJF*")</f>
        <v/>
      </c>
      <c r="FE26" s="170">
        <f>COUNTIF('INPUT - Roster'!$FU$6:$FU$206,"*PER/CJF*")</f>
        <v/>
      </c>
      <c r="FF26" s="170">
        <f>COUNTIF('INPUT - Roster'!$FV$6:$FV$206,"*PER/CJF*")</f>
        <v/>
      </c>
      <c r="FG26" s="170">
        <f>COUNTIF('INPUT - Roster'!$FW$6:$FW$206,"*PER/CJF*")</f>
        <v/>
      </c>
      <c r="FH26" s="170">
        <f>COUNTIF('INPUT - Roster'!$FX$6:$FX$206,"*PER/CJF*")</f>
        <v/>
      </c>
      <c r="FI26" s="170">
        <f>COUNTIF('INPUT - Roster'!$FY$6:$FY$206,"*PER/CJF*")</f>
        <v/>
      </c>
      <c r="FJ26" s="170">
        <f>COUNTIF('INPUT - Roster'!$FZ$6:$FZ$206,"*PER/CJF*")</f>
        <v/>
      </c>
      <c r="FK26" s="170">
        <f>COUNTIF('INPUT - Roster'!$GA$6:$GA$206,"*PER/CJF*")</f>
        <v/>
      </c>
      <c r="FL26" s="170">
        <f>COUNTIF('INPUT - Roster'!$GB$6:$GB$206,"*PER/CJF*")</f>
        <v/>
      </c>
      <c r="FM26" s="170">
        <f>COUNTIF('INPUT - Roster'!$GC$6:$GC$206,"*PER/CJF*")</f>
        <v/>
      </c>
      <c r="FN26" s="170">
        <f>COUNTIF('INPUT - Roster'!$GD$6:$GD$206,"*PER/CJF*")</f>
        <v/>
      </c>
      <c r="FO26" s="170">
        <f>COUNTIF('INPUT - Roster'!$GE$6:$GE$206,"*PER/CJF*")</f>
        <v/>
      </c>
      <c r="FP26" s="170">
        <f>COUNTIF('INPUT - Roster'!$GF$6:$GF$206,"*PER/CJF*")</f>
        <v/>
      </c>
      <c r="FQ26" s="170">
        <f>COUNTIF('INPUT - Roster'!$GG$6:$GG$206,"*PER/CJF*")</f>
        <v/>
      </c>
      <c r="FR26" s="170">
        <f>COUNTIF('INPUT - Roster'!$GH$6:$GH$206,"*PER/CJF*")</f>
        <v/>
      </c>
      <c r="FS26" s="170">
        <f>COUNTIF('INPUT - Roster'!$GI$6:$GI$206,"*PER/CJF*")</f>
        <v/>
      </c>
      <c r="FT26" s="170">
        <f>COUNTIF('INPUT - Roster'!$GJ$6:$GJ$206,"*PER/CJF*")</f>
        <v/>
      </c>
      <c r="FU26" s="170">
        <f>COUNTIF('INPUT - Roster'!$GK$6:$GK$206,"*PER/CJF*")</f>
        <v/>
      </c>
      <c r="FV26" s="170">
        <f>COUNTIF('INPUT - Roster'!$GL$6:$GL$206,"*PER/CJF*")</f>
        <v/>
      </c>
      <c r="FW26" s="170">
        <f>COUNTIF('INPUT - Roster'!$GM$6:$GM$206,"*PER/CJF*")</f>
        <v/>
      </c>
      <c r="FX26" s="170">
        <f>COUNTIF('INPUT - Roster'!$GN$6:$GN$206,"*PER/CJF*")</f>
        <v/>
      </c>
      <c r="FY26" s="170">
        <f>COUNTIF('INPUT - Roster'!$GO$6:$GO$206,"*PER/CJF*")</f>
        <v/>
      </c>
      <c r="FZ26" s="170">
        <f>COUNTIF('INPUT - Roster'!$GP$6:$GP$206,"*PER/CJF*")</f>
        <v/>
      </c>
      <c r="GA26" s="170">
        <f>COUNTIF('INPUT - Roster'!$GQ$6:$GQ$206,"*PER/CJF*")</f>
        <v/>
      </c>
      <c r="GB26" s="170">
        <f>COUNTIF('INPUT - Roster'!$GR$6:$GR$206,"*PER/CJF*")</f>
        <v/>
      </c>
      <c r="GC26" s="170">
        <f>COUNTIF('INPUT - Roster'!$GS$6:$GS$206,"*PER/CJF*")</f>
        <v/>
      </c>
      <c r="GD26" s="170">
        <f>COUNTIF('INPUT - Roster'!$GT$6:$GT$206,"*PER/CJF*")</f>
        <v/>
      </c>
      <c r="GE26" s="170">
        <f>COUNTIF('INPUT - Roster'!$GU$6:$GU$206,"*PER/CJF*")</f>
        <v/>
      </c>
      <c r="GF26" s="170">
        <f>COUNTIF('INPUT - Roster'!$GV$6:$GV$206,"*PER/CJF*")</f>
        <v/>
      </c>
      <c r="GG26" s="170">
        <f>COUNTIF('INPUT - Roster'!$GW$6:$GW$206,"*PER/CJF*")</f>
        <v/>
      </c>
      <c r="GH26" s="170">
        <f>COUNTIF('INPUT - Roster'!$GX$6:$GX$206,"*PER/CJF*")</f>
        <v/>
      </c>
      <c r="GI26" s="170">
        <f>COUNTIF('INPUT - Roster'!$GY$6:$GY$206,"*PER/CJF*")</f>
        <v/>
      </c>
      <c r="GJ26" s="170">
        <f>COUNTIF('INPUT - Roster'!$GZ$6:$GZ$206,"*PER/CJF*")</f>
        <v/>
      </c>
      <c r="GK26" s="170">
        <f>COUNTIF('INPUT - Roster'!$HA$6:$HA$206,"*PER/CJF*")</f>
        <v/>
      </c>
      <c r="GL26" s="170">
        <f>COUNTIF('INPUT - Roster'!$HB$6:$HB$206,"*PER/CJF*")</f>
        <v/>
      </c>
      <c r="GM26" s="170">
        <f>COUNTIF('INPUT - Roster'!$HC$6:$HC$206,"*PER/CJF*")</f>
        <v/>
      </c>
      <c r="GN26" s="170">
        <f>COUNTIF('INPUT - Roster'!$HD$6:$HD$206,"*PER/CJF*")</f>
        <v/>
      </c>
      <c r="GO26" s="170">
        <f>COUNTIF('INPUT - Roster'!$HE$6:$HE$206,"*PER/CJF*")</f>
        <v/>
      </c>
      <c r="GP26" s="170">
        <f>COUNTIF('INPUT - Roster'!$HF$6:$HF$206,"*PER/CJF*")</f>
        <v/>
      </c>
      <c r="GQ26" s="170">
        <f>COUNTIF('INPUT - Roster'!$HG$6:$HG$206,"*PER/CJF*")</f>
        <v/>
      </c>
      <c r="GR26" s="170">
        <f>COUNTIF('INPUT - Roster'!$HH$6:$HH$206,"*PER/CJF*")</f>
        <v/>
      </c>
      <c r="GS26" s="170">
        <f>COUNTIF('INPUT - Roster'!$HI$6:$HI$206,"*PER/CJF*")</f>
        <v/>
      </c>
      <c r="GT26" s="170">
        <f>COUNTIF('INPUT - Roster'!$HJ$6:$HJ$206,"*PER/CJF*")</f>
        <v/>
      </c>
      <c r="GU26" s="170">
        <f>COUNTIF('INPUT - Roster'!$HK$6:$HK$206,"*PER/CJF*")</f>
        <v/>
      </c>
      <c r="GV26" s="170">
        <f>COUNTIF('INPUT - Roster'!$HL$6:$HL$206,"*PER/CJF*")</f>
        <v/>
      </c>
      <c r="GW26" s="170">
        <f>COUNTIF('INPUT - Roster'!$HM$6:$HM$206,"*PER/CJF*")</f>
        <v/>
      </c>
      <c r="GX26" s="170">
        <f>COUNTIF('INPUT - Roster'!$HN$6:$HN$206,"*PER/CJF*")</f>
        <v/>
      </c>
      <c r="GY26" s="170">
        <f>COUNTIF('INPUT - Roster'!$HO$6:$HO$206,"*PER/CJF*")</f>
        <v/>
      </c>
      <c r="GZ26" s="170">
        <f>COUNTIF('INPUT - Roster'!$HP$6:$HP$206,"*PER/CJF*")</f>
        <v/>
      </c>
      <c r="HA26" s="170">
        <f>COUNTIF('INPUT - Roster'!$HQ$6:$HQ$206,"*PER/CJF*")</f>
        <v/>
      </c>
      <c r="HB26" s="170">
        <f>COUNTIF('INPUT - Roster'!$HR$6:$HR$206,"*PER/CJF*")</f>
        <v/>
      </c>
      <c r="HC26" s="170">
        <f>COUNTIF('INPUT - Roster'!$HS$6:$HS$206,"*PER/CJF*")</f>
        <v/>
      </c>
      <c r="HD26" s="170">
        <f>COUNTIF('INPUT - Roster'!$HT$6:$HT$206,"*PER/CJF*")</f>
        <v/>
      </c>
      <c r="HE26" s="170">
        <f>COUNTIF('INPUT - Roster'!$HU$6:$HU$206,"*PER/CJF*")</f>
        <v/>
      </c>
      <c r="HF26" s="170">
        <f>COUNTIF('INPUT - Roster'!$HV$6:$HV$206,"*PER/CJF*")</f>
        <v/>
      </c>
      <c r="HG26" s="170">
        <f>COUNTIF('INPUT - Roster'!$HW$6:$HW$206,"*PER/CJF*")</f>
        <v/>
      </c>
      <c r="HH26" s="170">
        <f>COUNTIF('INPUT - Roster'!$HX$6:$HX$206,"*PER/CJF*")</f>
        <v/>
      </c>
      <c r="HI26" s="170">
        <f>COUNTIF('INPUT - Roster'!$HY$6:$HY$206,"*PER/CJF*")</f>
        <v/>
      </c>
      <c r="HJ26" s="170">
        <f>COUNTIF('INPUT - Roster'!$HZ$6:$HZ$206,"*PER/CJF*")</f>
        <v/>
      </c>
      <c r="HK26" s="170">
        <f>COUNTIF('INPUT - Roster'!$IA$6:$IA$206,"*PER/CJF*")</f>
        <v/>
      </c>
      <c r="HL26" s="170">
        <f>COUNTIF('INPUT - Roster'!$IB$6:$IB$206,"*PER/CJF*")</f>
        <v/>
      </c>
      <c r="HM26" s="170">
        <f>COUNTIF('INPUT - Roster'!$IC$6:$IC$206,"*PER/CJF*")</f>
        <v/>
      </c>
      <c r="HN26" s="170">
        <f>COUNTIF('INPUT - Roster'!$ID$6:$ID$206,"*PER/CJF*")</f>
        <v/>
      </c>
      <c r="HO26" s="170">
        <f>COUNTIF('INPUT - Roster'!$IE$6:$IE$206,"*PER/CJF*")</f>
        <v/>
      </c>
      <c r="HP26" s="170">
        <f>COUNTIF('INPUT - Roster'!$IF$6:$IF$206,"*PER/CJF*")</f>
        <v/>
      </c>
      <c r="HQ26" s="170">
        <f>COUNTIF('INPUT - Roster'!$IG$6:$IG$206,"*PER/CJF*")</f>
        <v/>
      </c>
      <c r="HR26" s="170">
        <f>COUNTIF('INPUT - Roster'!$IH$6:$IH$206,"*PER/CJF*")</f>
        <v/>
      </c>
      <c r="HS26" s="170">
        <f>COUNTIF('INPUT - Roster'!$II$6:$II$206,"*PER/CJF*")</f>
        <v/>
      </c>
      <c r="HT26" s="170">
        <f>COUNTIF('INPUT - Roster'!$IJ$6:$IJ$206,"*PER/CJF*")</f>
        <v/>
      </c>
      <c r="HU26" s="170">
        <f>COUNTIF('INPUT - Roster'!$IK$6:$IK$206,"*PER/CJF*")</f>
        <v/>
      </c>
      <c r="HV26" s="170">
        <f>COUNTIF('INPUT - Roster'!$IL$6:$IL$206,"*PER/CJF*")</f>
        <v/>
      </c>
      <c r="HW26" s="170">
        <f>COUNTIF('INPUT - Roster'!$IM$6:$IM$206,"*PER/CJF*")</f>
        <v/>
      </c>
      <c r="HX26" s="170">
        <f>COUNTIF('INPUT - Roster'!$IN$6:$IN$206,"*PER/CJF*")</f>
        <v/>
      </c>
      <c r="HY26" s="170">
        <f>COUNTIF('INPUT - Roster'!$IO$6:$IO$206,"*PER/CJF*")</f>
        <v/>
      </c>
      <c r="HZ26" s="170">
        <f>COUNTIF('INPUT - Roster'!$IP$6:$IP$206,"*PER/CJF*")</f>
        <v/>
      </c>
      <c r="IA26" s="170">
        <f>COUNTIF('INPUT - Roster'!$IQ$6:$IQ$206,"*PER/CJF*")</f>
        <v/>
      </c>
      <c r="IB26" s="170">
        <f>COUNTIF('INPUT - Roster'!$IR$6:$IR$206,"*PER/CJF*")</f>
        <v/>
      </c>
      <c r="IC26" s="170">
        <f>COUNTIF('INPUT - Roster'!$IS$6:$IS$206,"*PER/CJF*")</f>
        <v/>
      </c>
      <c r="ID26" s="170">
        <f>COUNTIF('INPUT - Roster'!$IT$6:$IT$206,"*PER/CJF*")</f>
        <v/>
      </c>
      <c r="IE26" s="170">
        <f>COUNTIF('INPUT - Roster'!$IU$6:$IU$206,"*PER/CJF*")</f>
        <v/>
      </c>
      <c r="IF26" s="170">
        <f>COUNTIF('INPUT - Roster'!$IV$6:$IV$206,"*PER/CJF*")</f>
        <v/>
      </c>
      <c r="IG26" s="170">
        <f>COUNTIF('INPUT - Roster'!$IW$6:$IW$206,"*PER/CJF*")</f>
        <v/>
      </c>
      <c r="IH26" s="170">
        <f>COUNTIF('INPUT - Roster'!$IX$6:$IX$206,"*PER/CJF*")</f>
        <v/>
      </c>
      <c r="II26" s="170">
        <f>COUNTIF('INPUT - Roster'!$IY$6:$IY$206,"*PER/CJF*")</f>
        <v/>
      </c>
      <c r="IJ26" s="170">
        <f>COUNTIF('INPUT - Roster'!$IZ$6:$IZ$206,"*PER/CJF*")</f>
        <v/>
      </c>
      <c r="IK26" s="170">
        <f>COUNTIF('INPUT - Roster'!$JA$6:$JA$206,"*PER/CJF*")</f>
        <v/>
      </c>
      <c r="IL26" s="170">
        <f>COUNTIF('INPUT - Roster'!$JB$6:$JB$206,"*PER/CJF*")</f>
        <v/>
      </c>
      <c r="IM26" s="170">
        <f>COUNTIF('INPUT - Roster'!$JC$6:$JC$206,"*PER/CJF*")</f>
        <v/>
      </c>
      <c r="IN26" s="170">
        <f>COUNTIF('INPUT - Roster'!$JD$6:$JD$206,"*PER/CJF*")</f>
        <v/>
      </c>
      <c r="IO26" s="170">
        <f>COUNTIF('INPUT - Roster'!$JE$6:$JE$206,"*PER/CJF*")</f>
        <v/>
      </c>
      <c r="IP26" s="170">
        <f>COUNTIF('INPUT - Roster'!$JF$6:$JF$206,"*PER/CJF*")</f>
        <v/>
      </c>
      <c r="IQ26" s="170">
        <f>COUNTIF('INPUT - Roster'!$JG$6:$JG$206,"*PER/CJF*")</f>
        <v/>
      </c>
      <c r="IR26" s="170">
        <f>COUNTIF('INPUT - Roster'!$JH$6:$JH$206,"*PER/CJF*")</f>
        <v/>
      </c>
      <c r="IS26" s="170">
        <f>COUNTIF('INPUT - Roster'!$JI$6:$JI$206,"*PER/CJF*")</f>
        <v/>
      </c>
      <c r="IT26" s="170">
        <f>COUNTIF('INPUT - Roster'!$JJ$6:$JJ$206,"*PER/CJF*")</f>
        <v/>
      </c>
      <c r="IU26" s="170">
        <f>COUNTIF('INPUT - Roster'!$JK$6:$JK$206,"*PER/CJF*")</f>
        <v/>
      </c>
      <c r="IV26" s="170">
        <f>COUNTIF('INPUT - Roster'!$JL$6:$JL$206,"*PER/CJF*")</f>
        <v/>
      </c>
      <c r="IW26" s="170">
        <f>COUNTIF('INPUT - Roster'!$JM$6:$JM$206,"*PER/CJF*")</f>
        <v/>
      </c>
      <c r="IX26" s="170">
        <f>COUNTIF('INPUT - Roster'!$JN$6:$JN$206,"*PER/CJF*")</f>
        <v/>
      </c>
      <c r="IY26" s="170">
        <f>COUNTIF('INPUT - Roster'!$JO$6:$JO$206,"*PER/CJF*")</f>
        <v/>
      </c>
      <c r="IZ26" s="170">
        <f>COUNTIF('INPUT - Roster'!$JP$6:$JP$206,"*PER/CJF*")</f>
        <v/>
      </c>
      <c r="JA26" s="170">
        <f>COUNTIF('INPUT - Roster'!$JQ$6:$JQ$206,"*PER/CJF*")</f>
        <v/>
      </c>
      <c r="JB26" s="170">
        <f>COUNTIF('INPUT - Roster'!$JR$6:$JR$206,"*PER/CJF*")</f>
        <v/>
      </c>
      <c r="JC26" s="170">
        <f>COUNTIF('INPUT - Roster'!$JS$6:$JS$206,"*PER/CJF*")</f>
        <v/>
      </c>
      <c r="JD26" s="170">
        <f>COUNTIF('INPUT - Roster'!$JT$6:$JT$206,"*PER/CJF*")</f>
        <v/>
      </c>
      <c r="JE26" s="170">
        <f>COUNTIF('INPUT - Roster'!$JU$6:$JU$206,"*PER/CJF*")</f>
        <v/>
      </c>
      <c r="JF26" s="170">
        <f>COUNTIF('INPUT - Roster'!$JV$6:$JV$206,"*PER/CJF*")</f>
        <v/>
      </c>
      <c r="JG26" s="170">
        <f>COUNTIF('INPUT - Roster'!$JW$6:$JW$206,"*PER/CJF*")</f>
        <v/>
      </c>
      <c r="JH26" s="170">
        <f>COUNTIF('INPUT - Roster'!$JX$6:$JX$206,"*PER/CJF*")</f>
        <v/>
      </c>
      <c r="JI26" s="170">
        <f>COUNTIF('INPUT - Roster'!$JY$6:$JY$206,"*PER/CJF*")</f>
        <v/>
      </c>
      <c r="JJ26" s="170">
        <f>COUNTIF('INPUT - Roster'!$JZ$6:$JZ$206,"*PER/CJF*")</f>
        <v/>
      </c>
      <c r="JK26" s="170">
        <f>COUNTIF('INPUT - Roster'!$KA$6:$KA$206,"*PER/CJF*")</f>
        <v/>
      </c>
      <c r="JL26" s="170">
        <f>COUNTIF('INPUT - Roster'!$KB$6:$KB$206,"*PER/CJF*")</f>
        <v/>
      </c>
      <c r="JM26" s="170">
        <f>COUNTIF('INPUT - Roster'!$KC$6:$KC$206,"*PER/CJF*")</f>
        <v/>
      </c>
      <c r="JN26" s="170">
        <f>COUNTIF('INPUT - Roster'!$KD$6:$KD$206,"*PER/CJF*")</f>
        <v/>
      </c>
      <c r="JO26" s="170">
        <f>COUNTIF('INPUT - Roster'!$KE$6:$KE$206,"*PER/CJF*")</f>
        <v/>
      </c>
      <c r="JP26" s="170">
        <f>COUNTIF('INPUT - Roster'!$KF$6:$KF$206,"*PER/CJF*")</f>
        <v/>
      </c>
      <c r="JQ26" s="170">
        <f>COUNTIF('INPUT - Roster'!$KG$6:$KG$206,"*PER/CJF*")</f>
        <v/>
      </c>
      <c r="JR26" s="170">
        <f>COUNTIF('INPUT - Roster'!$KH$6:$KH$206,"*PER/CJF*")</f>
        <v/>
      </c>
      <c r="JS26" s="170">
        <f>COUNTIF('INPUT - Roster'!$KI$6:$KI$206,"*PER/CJF*")</f>
        <v/>
      </c>
      <c r="JT26" s="170">
        <f>COUNTIF('INPUT - Roster'!$KJ$6:$KJ$206,"*PER/CJF*")</f>
        <v/>
      </c>
      <c r="JU26" s="170">
        <f>COUNTIF('INPUT - Roster'!$KK$6:$KK$206,"*PER/CJF*")</f>
        <v/>
      </c>
      <c r="JV26" s="170">
        <f>COUNTIF('INPUT - Roster'!$KL$6:$KL$206,"*PER/CJF*")</f>
        <v/>
      </c>
      <c r="JW26" s="170">
        <f>COUNTIF('INPUT - Roster'!$KM$6:$KM$206,"*PER/CJF*")</f>
        <v/>
      </c>
      <c r="JX26" s="170">
        <f>COUNTIF('INPUT - Roster'!$KN$6:$KN$206,"*PER/CJF*")</f>
        <v/>
      </c>
      <c r="JY26" s="170">
        <f>COUNTIF('INPUT - Roster'!$KO$6:$KO$206,"*PER/CJF*")</f>
        <v/>
      </c>
      <c r="JZ26" s="170">
        <f>COUNTIF('INPUT - Roster'!$KP$6:$KP$206,"*PER/CJF*")</f>
        <v/>
      </c>
      <c r="KA26" s="170">
        <f>COUNTIF('INPUT - Roster'!$KQ$6:$KQ$206,"*PER/CJF*")</f>
        <v/>
      </c>
      <c r="KB26" s="170">
        <f>COUNTIF('INPUT - Roster'!$KR$6:$KR$206,"*PER/CJF*")</f>
        <v/>
      </c>
      <c r="KC26" s="170">
        <f>COUNTIF('INPUT - Roster'!$KS$6:$KS$206,"*PER/CJF*")</f>
        <v/>
      </c>
      <c r="KD26" s="170">
        <f>COUNTIF('INPUT - Roster'!$KT$6:$KT$206,"*PER/CJF*")</f>
        <v/>
      </c>
      <c r="KE26" s="170">
        <f>COUNTIF('INPUT - Roster'!$KU$6:$KU$206,"*PER/CJF*")</f>
        <v/>
      </c>
      <c r="KF26" s="170">
        <f>COUNTIF('INPUT - Roster'!$KV$6:$KV$206,"*PER/CJF*")</f>
        <v/>
      </c>
      <c r="KG26" s="170">
        <f>COUNTIF('INPUT - Roster'!$KW$6:$KW$206,"*PER/CJF*")</f>
        <v/>
      </c>
      <c r="KH26" s="170">
        <f>COUNTIF('INPUT - Roster'!$KX$6:$KX$206,"*PER/CJF*")</f>
        <v/>
      </c>
      <c r="KI26" s="170">
        <f>COUNTIF('INPUT - Roster'!$KY$6:$KY$206,"*PER/CJF*")</f>
        <v/>
      </c>
      <c r="KJ26" s="170">
        <f>COUNTIF('INPUT - Roster'!$KZ$6:$KZ$206,"*PER/CJF*")</f>
        <v/>
      </c>
      <c r="KK26" s="170">
        <f>COUNTIF('INPUT - Roster'!$LA$6:$LA$206,"*PER/CJF*")</f>
        <v/>
      </c>
      <c r="KL26" s="170">
        <f>COUNTIF('INPUT - Roster'!$LB$6:$LB$206,"*PER/CJF*")</f>
        <v/>
      </c>
      <c r="KM26" s="170">
        <f>COUNTIF('INPUT - Roster'!$LC$6:$LC$206,"*PER/CJF*")</f>
        <v/>
      </c>
      <c r="KN26" s="170">
        <f>COUNTIF('INPUT - Roster'!$LD$6:$LD$206,"*PER/CJF*")</f>
        <v/>
      </c>
      <c r="KO26" s="170">
        <f>COUNTIF('INPUT - Roster'!$LE$6:$LE$206,"*PER/CJF*")</f>
        <v/>
      </c>
      <c r="KP26" s="170">
        <f>COUNTIF('INPUT - Roster'!$LF$6:$LF$206,"*PER/CJF*")</f>
        <v/>
      </c>
      <c r="KQ26" s="170">
        <f>COUNTIF('INPUT - Roster'!$LG$6:$LG$206,"*PER/CJF*")</f>
        <v/>
      </c>
      <c r="KR26" s="170">
        <f>COUNTIF('INPUT - Roster'!$LH$6:$LH$206,"*PER/CJF*")</f>
        <v/>
      </c>
      <c r="KS26" s="170">
        <f>COUNTIF('INPUT - Roster'!$LI$6:$LI$206,"*PER/CJF*")</f>
        <v/>
      </c>
      <c r="KT26" s="170">
        <f>COUNTIF('INPUT - Roster'!$LJ$6:$LJ$206,"*PER/CJF*")</f>
        <v/>
      </c>
      <c r="KU26" s="170">
        <f>COUNTIF('INPUT - Roster'!$LK$6:$LK$206,"*PER/CJF*")</f>
        <v/>
      </c>
      <c r="KV26" s="170">
        <f>COUNTIF('INPUT - Roster'!$LL$6:$LL$206,"*PER/CJF*")</f>
        <v/>
      </c>
      <c r="KW26" s="170">
        <f>COUNTIF('INPUT - Roster'!$LM$6:$LM$206,"*PER/CJF*")</f>
        <v/>
      </c>
      <c r="KX26" s="170">
        <f>COUNTIF('INPUT - Roster'!$LN$6:$LN$206,"*PER/CJF*")</f>
        <v/>
      </c>
      <c r="KY26" s="170">
        <f>COUNTIF('INPUT - Roster'!$LO$6:$LO$206,"*PER/CJF*")</f>
        <v/>
      </c>
      <c r="KZ26" s="170">
        <f>COUNTIF('INPUT - Roster'!$LP$6:$LP$206,"*PER/CJF*")</f>
        <v/>
      </c>
      <c r="LA26" s="170">
        <f>COUNTIF('INPUT - Roster'!$LQ$6:$LQ$206,"*PER/CJF*")</f>
        <v/>
      </c>
      <c r="LB26" s="170">
        <f>COUNTIF('INPUT - Roster'!$LR$6:$LR$206,"*PER/CJF*")</f>
        <v/>
      </c>
      <c r="LC26" s="170">
        <f>COUNTIF('INPUT - Roster'!$LS$6:$LS$206,"*PER/CJF*")</f>
        <v/>
      </c>
      <c r="LD26" s="170">
        <f>COUNTIF('INPUT - Roster'!$LT$6:$LT$206,"*PER/CJF*")</f>
        <v/>
      </c>
      <c r="LE26" s="170">
        <f>COUNTIF('INPUT - Roster'!$LU$6:$LU$206,"*PER/CJF*")</f>
        <v/>
      </c>
      <c r="LF26" s="170">
        <f>COUNTIF('INPUT - Roster'!$LV$6:$LV$206,"*PER/CJF*")</f>
        <v/>
      </c>
      <c r="LG26" s="170">
        <f>COUNTIF('INPUT - Roster'!$LW$6:$LW$206,"*PER/CJF*")</f>
        <v/>
      </c>
      <c r="LH26" s="170">
        <f>COUNTIF('INPUT - Roster'!$LX$6:$LX$206,"*PER/CJF*")</f>
        <v/>
      </c>
      <c r="LI26" s="170">
        <f>COUNTIF('INPUT - Roster'!$LY$6:$LY$206,"*PER/CJF*")</f>
        <v/>
      </c>
      <c r="LJ26" s="170">
        <f>COUNTIF('INPUT - Roster'!$LZ$6:$LZ$206,"*PER/CJF*")</f>
        <v/>
      </c>
      <c r="LK26" s="170">
        <f>COUNTIF('INPUT - Roster'!$MA$6:$MA$206,"*PER/CJF*")</f>
        <v/>
      </c>
      <c r="LL26" s="170">
        <f>COUNTIF('INPUT - Roster'!$MB$6:$MB$206,"*PER/CJF*")</f>
        <v/>
      </c>
      <c r="LM26" s="170">
        <f>COUNTIF('INPUT - Roster'!$MC$6:$MC$206,"*PER/CJF*")</f>
        <v/>
      </c>
      <c r="LN26" s="170">
        <f>COUNTIF('INPUT - Roster'!$MD$6:$MD$206,"*PER/CJF*")</f>
        <v/>
      </c>
      <c r="LO26" s="170">
        <f>COUNTIF('INPUT - Roster'!$ME$6:$ME$206,"*PER/CJF*")</f>
        <v/>
      </c>
      <c r="LP26" s="170">
        <f>COUNTIF('INPUT - Roster'!$MF$6:$MF$206,"*PER/CJF*")</f>
        <v/>
      </c>
      <c r="LQ26" s="170">
        <f>COUNTIF('INPUT - Roster'!$MG$6:$MG$206,"*PER/CJF*")</f>
        <v/>
      </c>
      <c r="LR26" s="170">
        <f>COUNTIF('INPUT - Roster'!$MH$6:$MH$206,"*PER/CJF*")</f>
        <v/>
      </c>
      <c r="LS26" s="170">
        <f>COUNTIF('INPUT - Roster'!$MI$6:$MI$206,"*PER/CJF*")</f>
        <v/>
      </c>
      <c r="LT26" s="170">
        <f>COUNTIF('INPUT - Roster'!$MJ$6:$MJ$206,"*PER/CJF*")</f>
        <v/>
      </c>
      <c r="LU26" s="170">
        <f>COUNTIF('INPUT - Roster'!$MK$6:$MK$206,"*PER/CJF*")</f>
        <v/>
      </c>
      <c r="LV26" s="170">
        <f>COUNTIF('INPUT - Roster'!$ML$6:$ML$206,"*PER/CJF*")</f>
        <v/>
      </c>
      <c r="LW26" s="170">
        <f>COUNTIF('INPUT - Roster'!$MM$6:$MM$206,"*PER/CJF*")</f>
        <v/>
      </c>
      <c r="LX26" s="170">
        <f>COUNTIF('INPUT - Roster'!$MN$6:$MN$206,"*PER/CJF*")</f>
        <v/>
      </c>
      <c r="LY26" s="170">
        <f>COUNTIF('INPUT - Roster'!$MO$6:$MO$206,"*PER/CJF*")</f>
        <v/>
      </c>
      <c r="LZ26" s="170">
        <f>COUNTIF('INPUT - Roster'!$MP$6:$MP$206,"*PER/CJF*")</f>
        <v/>
      </c>
      <c r="MA26" s="170">
        <f>COUNTIF('INPUT - Roster'!$MQ$6:$MQ$206,"*PER/CJF*")</f>
        <v/>
      </c>
      <c r="MB26" s="170">
        <f>COUNTIF('INPUT - Roster'!$MR$6:$MR$206,"*PER/CJF*")</f>
        <v/>
      </c>
      <c r="MC26" s="170">
        <f>COUNTIF('INPUT - Roster'!$MS$6:$MS$206,"*PER/CJF*")</f>
        <v/>
      </c>
      <c r="MD26" s="170">
        <f>COUNTIF('INPUT - Roster'!$MT$6:$MT$206,"*PER/CJF*")</f>
        <v/>
      </c>
      <c r="ME26" s="170">
        <f>COUNTIF('INPUT - Roster'!$MU$6:$MU$206,"*PER/CJF*")</f>
        <v/>
      </c>
      <c r="MF26" s="170">
        <f>COUNTIF('INPUT - Roster'!$MV$6:$MV$206,"*PER/CJF*")</f>
        <v/>
      </c>
      <c r="MG26" s="170">
        <f>COUNTIF('INPUT - Roster'!$MW$6:$MW$206,"*PER/CJF*")</f>
        <v/>
      </c>
      <c r="MH26" s="170">
        <f>COUNTIF('INPUT - Roster'!$MX$6:$MX$206,"*PER/CJF*")</f>
        <v/>
      </c>
      <c r="MI26" s="170">
        <f>COUNTIF('INPUT - Roster'!$MY$6:$MY$206,"*PER/CJF*")</f>
        <v/>
      </c>
      <c r="MJ26" s="170">
        <f>COUNTIF('INPUT - Roster'!$MZ$6:$MZ$206,"*PER/CJF*")</f>
        <v/>
      </c>
      <c r="MK26" s="170">
        <f>COUNTIF('INPUT - Roster'!$NA$6:$NA$206,"*PER/CJF*")</f>
        <v/>
      </c>
      <c r="ML26" s="170">
        <f>COUNTIF('INPUT - Roster'!$NB$6:$NB$206,"*PER/CJF*")</f>
        <v/>
      </c>
      <c r="MM26" s="170">
        <f>COUNTIF('INPUT - Roster'!$NC$6:$NC$206,"*PER/CJF*")</f>
        <v/>
      </c>
      <c r="MN26" s="170">
        <f>COUNTIF('INPUT - Roster'!$ND$6:$ND$206,"*PER/CJF*")</f>
        <v/>
      </c>
      <c r="MO26" s="170">
        <f>COUNTIF('INPUT - Roster'!$NE$6:$NE$206,"*PER/CJF*")</f>
        <v/>
      </c>
      <c r="MP26" s="170">
        <f>COUNTIF('INPUT - Roster'!$NF$6:$NF$206,"*PER/CJF*")</f>
        <v/>
      </c>
      <c r="MQ26" s="170">
        <f>COUNTIF('INPUT - Roster'!$NG$6:$NG$206,"*PER/CJF*")</f>
        <v/>
      </c>
      <c r="MR26" s="170">
        <f>COUNTIF('INPUT - Roster'!$NH$6:$NH$206,"*PER/CJF*")</f>
        <v/>
      </c>
      <c r="MS26" s="170">
        <f>COUNTIF('INPUT - Roster'!$NI$6:$NI$206,"*PER/CJF*")</f>
        <v/>
      </c>
      <c r="MT26" s="170">
        <f>COUNTIF('INPUT - Roster'!$NJ$6:$NJ$206,"*PER/CJF*")</f>
        <v/>
      </c>
      <c r="MU26" s="170">
        <f>COUNTIF('INPUT - Roster'!$NK$6:$NK$206,"*PER/CJF*")</f>
        <v/>
      </c>
      <c r="MV26" s="170">
        <f>COUNTIF('INPUT - Roster'!$NL$6:$NL$206,"*PER/CJF*")</f>
        <v/>
      </c>
      <c r="MW26" s="170">
        <f>COUNTIF('INPUT - Roster'!$NM$6:$NM$206,"*PER/CJF*")</f>
        <v/>
      </c>
      <c r="MX26" s="170">
        <f>COUNTIF('INPUT - Roster'!$NN$6:$NN$206,"*PER/CJF*")</f>
        <v/>
      </c>
      <c r="MY26" s="170">
        <f>COUNTIF('INPUT - Roster'!$NO$6:$NO$206,"*PER/CJF*")</f>
        <v/>
      </c>
      <c r="MZ26" s="170">
        <f>COUNTIF('INPUT - Roster'!$NP$6:$NP$206,"*PER/CJF*")</f>
        <v/>
      </c>
      <c r="NA26" s="170">
        <f>COUNTIF('INPUT - Roster'!$NQ$6:$NQ$206,"*PER/CJF*")</f>
        <v/>
      </c>
      <c r="NB26" s="170">
        <f>COUNTIF('INPUT - Roster'!$NR$6:$NR$206,"*PER/CJF*")</f>
        <v/>
      </c>
      <c r="NC26" s="170">
        <f>COUNTIF('INPUT - Roster'!$NS$6:$NS$206,"*PER/CJF*")</f>
        <v/>
      </c>
      <c r="ND26" s="170">
        <f>COUNTIF('INPUT - Roster'!$NT$6:$NT$206,"*PER/CJF*")</f>
        <v/>
      </c>
      <c r="NE26" s="170">
        <f>COUNTIF('INPUT - Roster'!$NU$6:$NU$206,"*PER/CJF*")</f>
        <v/>
      </c>
      <c r="NF26" s="170">
        <f>COUNTIF('INPUT - Roster'!$NV$6:$NV$206,"*PER/CJF*")</f>
        <v/>
      </c>
      <c r="NG26" s="170">
        <f>COUNTIF('INPUT - Roster'!$NW$6:$NW$206,"*PER/CJF*")</f>
        <v/>
      </c>
      <c r="NH26" s="170">
        <f>COUNTIF('INPUT - Roster'!$NX$6:$NX$206,"*PER/CJF*")</f>
        <v/>
      </c>
      <c r="NI26" s="170">
        <f>COUNTIF('INPUT - Roster'!$NY$6:$NY$206,"*PER/CJF*")</f>
        <v/>
      </c>
      <c r="NJ26" s="170">
        <f>COUNTIF('INPUT - Roster'!$NZ$6:$NZ$206,"*PER/CJF*")</f>
        <v/>
      </c>
      <c r="NK26" s="170">
        <f>COUNTIF('INPUT - Roster'!$OA$6:$OA$206,"*PER/CJF*")</f>
        <v/>
      </c>
      <c r="NL26" s="170">
        <f>COUNTIF('INPUT - Roster'!$OB$6:$OB$206,"*PER/CJF*")</f>
        <v/>
      </c>
      <c r="NM26" s="170">
        <f>COUNTIF('INPUT - Roster'!$OC$6:$OC$206,"*PER/CJF*")</f>
        <v/>
      </c>
      <c r="NN26" s="170">
        <f>COUNTIF('INPUT - Roster'!$OD$6:$OD$206,"*PER/CJF*")</f>
        <v/>
      </c>
      <c r="NO26" s="170">
        <f>COUNTIF('INPUT - Roster'!$OE$6:$OE$206,"*PER/CJF*")</f>
        <v/>
      </c>
      <c r="NP26" s="170">
        <f>COUNTIF('INPUT - Roster'!$OF$6:$OF$206,"*PER/CJF*")</f>
        <v/>
      </c>
      <c r="NQ26" s="170">
        <f>COUNTIF('INPUT - Roster'!$OG$6:$OG$206,"*PER/CJF*")</f>
        <v/>
      </c>
      <c r="NR26" s="170">
        <f>COUNTIF('INPUT - Roster'!$OH$6:$OH$206,"*PER/CJF*")</f>
        <v/>
      </c>
      <c r="NS26" s="170">
        <f>COUNTIF('INPUT - Roster'!$OI$6:$OI$206,"*PER/CJF*")</f>
        <v/>
      </c>
      <c r="NT26" s="170">
        <f>COUNTIF('INPUT - Roster'!$OJ$6:$OJ$206,"*PER/CJF*")</f>
        <v/>
      </c>
      <c r="NU26" s="170">
        <f>COUNTIF('INPUT - Roster'!$OK$6:$OK$206,"*PER/CJF*")</f>
        <v/>
      </c>
      <c r="NV26" s="170">
        <f>COUNTIF('INPUT - Roster'!$OL$6:$OL$206,"*PER/CJF*")</f>
        <v/>
      </c>
      <c r="NW26" s="170">
        <f>COUNTIF('INPUT - Roster'!$OM$6:$OM$206,"*PER/CJF*")</f>
        <v/>
      </c>
      <c r="NX26" s="170">
        <f>COUNTIF('INPUT - Roster'!$ON$6:$ON$206,"*PER/CJF*")</f>
        <v/>
      </c>
      <c r="NY26" s="170">
        <f>COUNTIF('INPUT - Roster'!$OO$6:$OO$206,"*PER/CJF*")</f>
        <v/>
      </c>
      <c r="NZ26" s="170">
        <f>COUNTIF('INPUT - Roster'!$OP$6:$OP$206,"*PER/CJF*")</f>
        <v/>
      </c>
      <c r="OA26" s="170">
        <f>COUNTIF('INPUT - Roster'!$OQ$6:$OQ$206,"*PER/CJF*")</f>
        <v/>
      </c>
      <c r="OB26" s="170">
        <f>COUNTIF('INPUT - Roster'!$OR$6:$OR$206,"*PER/CJF*")</f>
        <v/>
      </c>
      <c r="OC26" s="170">
        <f>COUNTIF('INPUT - Roster'!$OS$6:$OS$206,"*PER/CJF*")</f>
        <v/>
      </c>
      <c r="OD26" s="170">
        <f>COUNTIF('INPUT - Roster'!$OT$6:$OT$206,"*PER/CJF*")</f>
        <v/>
      </c>
      <c r="OE26" s="170">
        <f>COUNTIF('INPUT - Roster'!$OU$6:$OU$206,"*PER/CJF*")</f>
        <v/>
      </c>
      <c r="OF26" s="170">
        <f>COUNTIF('INPUT - Roster'!$OV$6:$OV$206,"*PER/CJF*")</f>
        <v/>
      </c>
      <c r="OG26" s="170">
        <f>COUNTIF('INPUT - Roster'!$OW$6:$OW$206,"*PER/CJF*")</f>
        <v/>
      </c>
      <c r="OH26" s="170">
        <f>COUNTIF('INPUT - Roster'!$OX$6:$OX$206,"*PER/CJF*")</f>
        <v/>
      </c>
      <c r="OI26" s="170">
        <f>COUNTIF('INPUT - Roster'!$OY$6:$OY$206,"*PER/CJF*")</f>
        <v/>
      </c>
      <c r="OJ26" s="170">
        <f>COUNTIF('INPUT - Roster'!$OZ$6:$OZ$206,"*PER/CJF*")</f>
        <v/>
      </c>
      <c r="OK26" s="170">
        <f>COUNTIF('INPUT - Roster'!$PA$6:$PA$206,"*PER/CJF*")</f>
        <v/>
      </c>
      <c r="OL26" s="170">
        <f>COUNTIF('INPUT - Roster'!$PB$6:$PB$206,"*PER/CJF*")</f>
        <v/>
      </c>
      <c r="OM26" s="170">
        <f>COUNTIF('INPUT - Roster'!$PC$6:$PC$206,"*PER/CJF*")</f>
        <v/>
      </c>
      <c r="ON26" s="170">
        <f>COUNTIF('INPUT - Roster'!$PD$6:$PD$206,"*PER/CJF*")</f>
        <v/>
      </c>
      <c r="OO26" s="170">
        <f>COUNTIF('INPUT - Roster'!$PE$6:$PE$206,"*PER/CJF*")</f>
        <v/>
      </c>
      <c r="OP26" s="170">
        <f>COUNTIF('INPUT - Roster'!$PF$6:$PF$206,"*PER/CJF*")</f>
        <v/>
      </c>
      <c r="OQ26" s="170">
        <f>COUNTIF('INPUT - Roster'!$PG$6:$PG$206,"*PER/CJF*")</f>
        <v/>
      </c>
      <c r="OR26" s="170">
        <f>COUNTIF('INPUT - Roster'!$PH$6:$PH$206,"*PER/CJF*")</f>
        <v/>
      </c>
      <c r="OS26" s="170">
        <f>COUNTIF('INPUT - Roster'!$PI$6:$PI$206,"*PER/CJF*")</f>
        <v/>
      </c>
      <c r="OT26" s="170">
        <f>COUNTIF('INPUT - Roster'!$PJ$6:$PJ$206,"*PER/CJF*")</f>
        <v/>
      </c>
      <c r="OU26" s="170">
        <f>COUNTIF('INPUT - Roster'!$PK$6:$PK$206,"*PER/CJF*")</f>
        <v/>
      </c>
      <c r="OV26" s="170">
        <f>COUNTIF('INPUT - Roster'!$PL$6:$PL$206,"*PER/CJF*")</f>
        <v/>
      </c>
      <c r="OW26" s="170">
        <f>COUNTIF('INPUT - Roster'!$PM$6:$PM$206,"*PER/CJF*")</f>
        <v/>
      </c>
      <c r="OX26" s="170">
        <f>COUNTIF('INPUT - Roster'!$PN$6:$PN$206,"*PER/CJF*")</f>
        <v/>
      </c>
      <c r="OY26" s="170">
        <f>COUNTIF('INPUT - Roster'!$PO$6:$PO$206,"*PER/CJF*")</f>
        <v/>
      </c>
      <c r="OZ26" s="170">
        <f>COUNTIF('INPUT - Roster'!$PP$6:$PP$206,"*PER/CJF*")</f>
        <v/>
      </c>
      <c r="PA26" s="170">
        <f>COUNTIF('INPUT - Roster'!$PQ$6:$PQ$206,"*PER/CJF*")</f>
        <v/>
      </c>
      <c r="PB26" s="170">
        <f>COUNTIF('INPUT - Roster'!$PR$6:$PR$206,"*PER/CJF*")</f>
        <v/>
      </c>
      <c r="PC26" s="170">
        <f>COUNTIF('INPUT - Roster'!$PS$6:$PS$206,"*PER/CJF*")</f>
        <v/>
      </c>
      <c r="PD26" s="170">
        <f>COUNTIF('INPUT - Roster'!$PT$6:$PT$206,"*PER/CJF*")</f>
        <v/>
      </c>
      <c r="PE26" s="170">
        <f>COUNTIF('INPUT - Roster'!$PU$6:$PU$206,"*PER/CJF*")</f>
        <v/>
      </c>
      <c r="PF26" s="170">
        <f>COUNTIF('INPUT - Roster'!$PV$6:$PV$206,"*PER/CJF*")</f>
        <v/>
      </c>
      <c r="PG26" s="170">
        <f>COUNTIF('INPUT - Roster'!$PW$6:$PW$206,"*PER/CJF*")</f>
        <v/>
      </c>
      <c r="PH26" s="170">
        <f>COUNTIF('INPUT - Roster'!$PX$6:$PX$206,"*PER/CJF*")</f>
        <v/>
      </c>
      <c r="PI26" s="170">
        <f>COUNTIF('INPUT - Roster'!$PY$6:$PY$206,"*PER/CJF*")</f>
        <v/>
      </c>
      <c r="PJ26" s="170">
        <f>COUNTIF('INPUT - Roster'!$PZ$6:$PZ$206,"*PER/CJF*")</f>
        <v/>
      </c>
      <c r="PK26" s="170">
        <f>COUNTIF('INPUT - Roster'!$QA$6:$QA$206,"*PER/CJF*")</f>
        <v/>
      </c>
      <c r="PL26" s="170">
        <f>COUNTIF('INPUT - Roster'!$QB$6:$QB$206,"*PER/CJF*")</f>
        <v/>
      </c>
      <c r="PM26" s="170">
        <f>COUNTIF('INPUT - Roster'!$QC$6:$QC$206,"*PER/CJF*")</f>
        <v/>
      </c>
      <c r="PN26" s="170">
        <f>COUNTIF('INPUT - Roster'!$QD$6:$QD$206,"*PER/CJF*")</f>
        <v/>
      </c>
      <c r="PO26" s="170">
        <f>COUNTIF('INPUT - Roster'!$QE$6:$QE$206,"*PER/CJF*")</f>
        <v/>
      </c>
      <c r="PP26" s="170">
        <f>COUNTIF('INPUT - Roster'!$QF$6:$QF$206,"*PER/CJF*")</f>
        <v/>
      </c>
      <c r="PQ26" s="170">
        <f>COUNTIF('INPUT - Roster'!$QG$6:$QG$206,"*PER/CJF*")</f>
        <v/>
      </c>
      <c r="PR26" s="170">
        <f>COUNTIF('INPUT - Roster'!$QH$6:$QH$206,"*PER/CJF*")</f>
        <v/>
      </c>
      <c r="PS26" s="170">
        <f>COUNTIF('INPUT - Roster'!$QI$6:$QI$206,"*PER/CJF*")</f>
        <v/>
      </c>
      <c r="PT26" s="170">
        <f>COUNTIF('INPUT - Roster'!$QJ$6:$QJ$206,"*PER/CJF*")</f>
        <v/>
      </c>
      <c r="PU26" s="170">
        <f>COUNTIF('INPUT - Roster'!$QK$6:$QK$206,"*PER/CJF*")</f>
        <v/>
      </c>
      <c r="PV26" s="170">
        <f>COUNTIF('INPUT - Roster'!$QL$6:$QL$206,"*PER/CJF*")</f>
        <v/>
      </c>
      <c r="PW26" s="170">
        <f>COUNTIF('INPUT - Roster'!$QM$6:$QM$206,"*PER/CJF*")</f>
        <v/>
      </c>
      <c r="PX26" s="170">
        <f>COUNTIF('INPUT - Roster'!$QN$6:$QN$206,"*PER/CJF*")</f>
        <v/>
      </c>
      <c r="PY26" s="170">
        <f>COUNTIF('INPUT - Roster'!$QO$6:$QO$206,"*PER/CJF*")</f>
        <v/>
      </c>
      <c r="PZ26" s="170">
        <f>COUNTIF('INPUT - Roster'!$QP$6:$QP$206,"*PER/CJF*")</f>
        <v/>
      </c>
      <c r="QA26" s="170">
        <f>COUNTIF('INPUT - Roster'!$QQ$6:$QQ$206,"*PER/CJF*")</f>
        <v/>
      </c>
      <c r="QB26" s="170">
        <f>COUNTIF('INPUT - Roster'!$QR$6:$QR$206,"*PER/CJF*")</f>
        <v/>
      </c>
      <c r="QC26" s="170">
        <f>COUNTIF('INPUT - Roster'!$QS$6:$QS$206,"*PER/CJF*")</f>
        <v/>
      </c>
      <c r="QD26" s="170">
        <f>COUNTIF('INPUT - Roster'!$QT$6:$QT$206,"*PER/CJF*")</f>
        <v/>
      </c>
      <c r="QE26" s="170">
        <f>COUNTIF('INPUT - Roster'!$QU$6:$QU$206,"*PER/CJF*")</f>
        <v/>
      </c>
      <c r="QF26" s="170">
        <f>COUNTIF('INPUT - Roster'!$QV$6:$QV$206,"*PER/CJF*")</f>
        <v/>
      </c>
      <c r="QG26" s="170">
        <f>COUNTIF('INPUT - Roster'!$QW$6:$QW$206,"*PER/CJF*")</f>
        <v/>
      </c>
      <c r="QH26" s="170">
        <f>COUNTIF('INPUT - Roster'!$QX$6:$QX$206,"*PER/CJF*")</f>
        <v/>
      </c>
      <c r="QI26" s="170">
        <f>COUNTIF('INPUT - Roster'!$QY$6:$QY$206,"*PER/CJF*")</f>
        <v/>
      </c>
      <c r="QJ26" s="170">
        <f>COUNTIF('INPUT - Roster'!$QZ$6:$QZ$206,"*PER/CJF*")</f>
        <v/>
      </c>
      <c r="QK26" s="170">
        <f>COUNTIF('INPUT - Roster'!$RA$6:$RA$206,"*PER/CJF*")</f>
        <v/>
      </c>
      <c r="QL26" s="170">
        <f>COUNTIF('INPUT - Roster'!$RB$6:$RB$206,"*PER/CJF*")</f>
        <v/>
      </c>
      <c r="QM26" s="170">
        <f>COUNTIF('INPUT - Roster'!$RC$6:$RC$206,"*PER/CJF*")</f>
        <v/>
      </c>
      <c r="QN26" s="170">
        <f>COUNTIF('INPUT - Roster'!$RD$6:$RD$206,"*PER/CJF*")</f>
        <v/>
      </c>
      <c r="QO26" s="170">
        <f>COUNTIF('INPUT - Roster'!$RE$6:$RE$206,"*PER/CJF*")</f>
        <v/>
      </c>
      <c r="QP26" s="170">
        <f>COUNTIF('INPUT - Roster'!$RF$6:$RF$206,"*PER/CJF*")</f>
        <v/>
      </c>
      <c r="QQ26" s="170">
        <f>COUNTIF('INPUT - Roster'!$RG$6:$RG$206,"*PER/CJF*")</f>
        <v/>
      </c>
      <c r="QR26" s="170">
        <f>COUNTIF('INPUT - Roster'!$RH$6:$RH$206,"*PER/CJF*")</f>
        <v/>
      </c>
      <c r="QS26" s="170">
        <f>COUNTIF('INPUT - Roster'!$RI$6:$RI$206,"*PER/CJF*")</f>
        <v/>
      </c>
      <c r="QT26" s="170">
        <f>COUNTIF('INPUT - Roster'!$RJ$6:$RJ$206,"*PER/CJF*")</f>
        <v/>
      </c>
      <c r="QU26" s="170">
        <f>COUNTIF('INPUT - Roster'!$RK$6:$RK$206,"*PER/CJF*")</f>
        <v/>
      </c>
      <c r="QV26" s="170">
        <f>COUNTIF('INPUT - Roster'!$RL$6:$RL$206,"*PER/CJF*")</f>
        <v/>
      </c>
      <c r="QW26" s="170">
        <f>COUNTIF('INPUT - Roster'!$RM$6:$RM$206,"*PER/CJF*")</f>
        <v/>
      </c>
      <c r="QX26" s="170">
        <f>COUNTIF('INPUT - Roster'!$RN$6:$RN$206,"*PER/CJF*")</f>
        <v/>
      </c>
      <c r="QY26" s="170">
        <f>COUNTIF('INPUT - Roster'!$RO$6:$RO$206,"*PER/CJF*")</f>
        <v/>
      </c>
      <c r="QZ26" s="170">
        <f>COUNTIF('INPUT - Roster'!$RP$6:$RP$206,"*PER/CJF*")</f>
        <v/>
      </c>
      <c r="RA26" s="170">
        <f>COUNTIF('INPUT - Roster'!$RQ$6:$RQ$206,"*PER/CJF*")</f>
        <v/>
      </c>
      <c r="RB26" s="170">
        <f>COUNTIF('INPUT - Roster'!$RR$6:$RR$206,"*PER/CJF*")</f>
        <v/>
      </c>
      <c r="RC26" s="170">
        <f>COUNTIF('INPUT - Roster'!$RS$6:$RS$206,"*PER/CJF*")</f>
        <v/>
      </c>
      <c r="RD26" s="170">
        <f>COUNTIF('INPUT - Roster'!$RT$6:$RT$206,"*PER/CJF*")</f>
        <v/>
      </c>
      <c r="RE26" s="170">
        <f>COUNTIF('INPUT - Roster'!$RU$6:$RU$206,"*PER/CJF*")</f>
        <v/>
      </c>
      <c r="RF26" s="170">
        <f>COUNTIF('INPUT - Roster'!$RV$6:$RV$206,"*PER/CJF*")</f>
        <v/>
      </c>
      <c r="RG26" s="170">
        <f>COUNTIF('INPUT - Roster'!$RW$6:$RW$206,"*PER/CJF*")</f>
        <v/>
      </c>
      <c r="RH26" s="170">
        <f>COUNTIF('INPUT - Roster'!$RX$6:$RX$206,"*PER/CJF*")</f>
        <v/>
      </c>
      <c r="RI26" s="170">
        <f>COUNTIF('INPUT - Roster'!$RY$6:$RY$206,"*PER/CJF*")</f>
        <v/>
      </c>
      <c r="RJ26" s="170">
        <f>COUNTIF('INPUT - Roster'!$RZ$6:$RZ$206,"*PER/CJF*")</f>
        <v/>
      </c>
      <c r="RK26" s="170">
        <f>COUNTIF('INPUT - Roster'!$SA$6:$SA$206,"*PER/CJF*")</f>
        <v/>
      </c>
      <c r="RL26" s="170">
        <f>COUNTIF('INPUT - Roster'!$SB$6:$SB$206,"*PER/CJF*")</f>
        <v/>
      </c>
      <c r="RM26" s="170">
        <f>COUNTIF('INPUT - Roster'!$SC$6:$SC$206,"*PER/CJF*")</f>
        <v/>
      </c>
      <c r="RN26" s="170">
        <f>COUNTIF('INPUT - Roster'!$SD$6:$SD$206,"*PER/CJF*")</f>
        <v/>
      </c>
      <c r="RO26" s="170">
        <f>COUNTIF('INPUT - Roster'!$SE$6:$SE$206,"*PER/CJF*")</f>
        <v/>
      </c>
      <c r="RP26" s="170">
        <f>COUNTIF('INPUT - Roster'!$SF$6:$SF$206,"*PER/CJF*")</f>
        <v/>
      </c>
      <c r="RQ26" s="170">
        <f>COUNTIF('INPUT - Roster'!$SG$6:$SG$206,"*PER/CJF*")</f>
        <v/>
      </c>
      <c r="RR26" s="170">
        <f>COUNTIF('INPUT - Roster'!$SH$6:$SH$206,"*PER/CJF*")</f>
        <v/>
      </c>
      <c r="RS26" s="170">
        <f>COUNTIF('INPUT - Roster'!$SI$6:$SI$206,"*PER/CJF*")</f>
        <v/>
      </c>
      <c r="RT26" s="170">
        <f>COUNTIF('INPUT - Roster'!$SJ$6:$SJ$206,"*PER/CJF*")</f>
        <v/>
      </c>
      <c r="RU26" s="170">
        <f>COUNTIF('INPUT - Roster'!$SK$6:$SK$206,"*PER/CJF*")</f>
        <v/>
      </c>
      <c r="RV26" s="170">
        <f>COUNTIF('INPUT - Roster'!$SL$6:$SL$206,"*PER/CJF*")</f>
        <v/>
      </c>
      <c r="RW26" s="170">
        <f>COUNTIF('INPUT - Roster'!$SM$6:$SM$206,"*PER/CJF*")</f>
        <v/>
      </c>
      <c r="RX26" s="170">
        <f>COUNTIF('INPUT - Roster'!$SN$6:$SN$206,"*PER/CJF*")</f>
        <v/>
      </c>
      <c r="RY26" s="170">
        <f>COUNTIF('INPUT - Roster'!$SO$6:$SO$206,"*PER/CJF*")</f>
        <v/>
      </c>
      <c r="RZ26" s="170">
        <f>COUNTIF('INPUT - Roster'!$SP$6:$SP$206,"*PER/CJF*")</f>
        <v/>
      </c>
      <c r="SA26" s="170">
        <f>COUNTIF('INPUT - Roster'!$SQ$6:$SQ$206,"*PER/CJF*")</f>
        <v/>
      </c>
      <c r="SB26" s="170">
        <f>COUNTIF('INPUT - Roster'!$SR$6:$SR$206,"*PER/CJF*")</f>
        <v/>
      </c>
      <c r="SC26" s="170">
        <f>COUNTIF('INPUT - Roster'!$SS$6:$SS$206,"*PER/CJF*")</f>
        <v/>
      </c>
      <c r="SD26" s="170">
        <f>COUNTIF('INPUT - Roster'!$ST$6:$ST$206,"*PER/CJF*")</f>
        <v/>
      </c>
      <c r="SE26" s="170">
        <f>COUNTIF('INPUT - Roster'!$SU$6:$SU$206,"*PER/CJF*")</f>
        <v/>
      </c>
      <c r="SF26" s="170">
        <f>COUNTIF('INPUT - Roster'!$SV$6:$SV$206,"*PER/CJF*")</f>
        <v/>
      </c>
    </row>
    <row r="27">
      <c r="B27" s="169" t="inlineStr">
        <is>
          <t>Fly out CJF/PER</t>
        </is>
      </c>
      <c r="C27" s="170">
        <f>COUNTIF('INPUT - Roster'!$S$6:$S$206,"*CJF/PER*")</f>
        <v/>
      </c>
      <c r="D27" s="170">
        <f>COUNTIF('INPUT - Roster'!$T$6:$T$206,"*CJF/PER*")</f>
        <v/>
      </c>
      <c r="E27" s="170">
        <f>COUNTIF('INPUT - Roster'!$U$6:$U$206,"*CJF/PER*")</f>
        <v/>
      </c>
      <c r="F27" s="170">
        <f>COUNTIF('INPUT - Roster'!$V$6:$V$206,"*CJF/PER*")</f>
        <v/>
      </c>
      <c r="G27" s="170">
        <f>COUNTIF('INPUT - Roster'!$W$6:$W$206,"*CJF/PER*")</f>
        <v/>
      </c>
      <c r="H27" s="170">
        <f>COUNTIF('INPUT - Roster'!$X$6:$X$206,"*CJF/PER*")</f>
        <v/>
      </c>
      <c r="I27" s="170">
        <f>COUNTIF('INPUT - Roster'!$Y$6:$Y$206,"*CJF/PER*")</f>
        <v/>
      </c>
      <c r="J27" s="170">
        <f>COUNTIF('INPUT - Roster'!$Z$6:$Z$206,"*CJF/PER*")</f>
        <v/>
      </c>
      <c r="K27" s="170">
        <f>COUNTIF('INPUT - Roster'!$AA$6:$AA$206,"*CJF/PER*")</f>
        <v/>
      </c>
      <c r="L27" s="170">
        <f>COUNTIF('INPUT - Roster'!$AB$6:$AB$206,"*CJF/PER*")</f>
        <v/>
      </c>
      <c r="M27" s="170">
        <f>COUNTIF('INPUT - Roster'!$AC$6:$AC$206,"*CJF/PER*")</f>
        <v/>
      </c>
      <c r="N27" s="170">
        <f>COUNTIF('INPUT - Roster'!$AD$6:$AD$206,"*CJF/PER*")</f>
        <v/>
      </c>
      <c r="O27" s="170">
        <f>COUNTIF('INPUT - Roster'!$AE$6:$AE$206,"*CJF/PER*")</f>
        <v/>
      </c>
      <c r="P27" s="170">
        <f>COUNTIF('INPUT - Roster'!$AF$6:$AF$206,"*CJF/PER*")</f>
        <v/>
      </c>
      <c r="Q27" s="170">
        <f>COUNTIF('INPUT - Roster'!$AG$6:$AG$206,"*CJF/PER*")</f>
        <v/>
      </c>
      <c r="R27" s="170">
        <f>COUNTIF('INPUT - Roster'!$AH$6:$AH$206,"*CJF/PER*")</f>
        <v/>
      </c>
      <c r="S27" s="170">
        <f>COUNTIF('INPUT - Roster'!$AI$6:$AI$206,"*CJF/PER*")</f>
        <v/>
      </c>
      <c r="T27" s="170">
        <f>COUNTIF('INPUT - Roster'!$AJ$6:$AJ$206,"*CJF/PER*")</f>
        <v/>
      </c>
      <c r="U27" s="170">
        <f>COUNTIF('INPUT - Roster'!$AK$6:$AK$206,"*CJF/PER*")</f>
        <v/>
      </c>
      <c r="V27" s="170">
        <f>COUNTIF('INPUT - Roster'!$AL$6:$AL$206,"*CJF/PER*")</f>
        <v/>
      </c>
      <c r="W27" s="170">
        <f>COUNTIF('INPUT - Roster'!$AM$6:$AM$206,"*CJF/PER*")</f>
        <v/>
      </c>
      <c r="X27" s="170">
        <f>COUNTIF('INPUT - Roster'!$AN$6:$AN$206,"*CJF/PER*")</f>
        <v/>
      </c>
      <c r="Y27" s="170">
        <f>COUNTIF('INPUT - Roster'!$AO$6:$AO$206,"*CJF/PER*")</f>
        <v/>
      </c>
      <c r="Z27" s="170">
        <f>COUNTIF('INPUT - Roster'!$AP$6:$AP$206,"*CJF/PER*")</f>
        <v/>
      </c>
      <c r="AA27" s="170">
        <f>COUNTIF('INPUT - Roster'!$AQ$6:$AQ$206,"*CJF/PER*")</f>
        <v/>
      </c>
      <c r="AB27" s="170">
        <f>COUNTIF('INPUT - Roster'!$AR$6:$AR$206,"*CJF/PER*")</f>
        <v/>
      </c>
      <c r="AC27" s="170">
        <f>COUNTIF('INPUT - Roster'!$AS$6:$AS$206,"*CJF/PER*")</f>
        <v/>
      </c>
      <c r="AD27" s="170">
        <f>COUNTIF('INPUT - Roster'!$AT$6:$AT$206,"*CJF/PER*")</f>
        <v/>
      </c>
      <c r="AE27" s="170">
        <f>COUNTIF('INPUT - Roster'!$AU$6:$AU$206,"*CJF/PER*")</f>
        <v/>
      </c>
      <c r="AF27" s="170">
        <f>COUNTIF('INPUT - Roster'!$AV$6:$AV$206,"*CJF/PER*")</f>
        <v/>
      </c>
      <c r="AG27" s="170">
        <f>COUNTIF('INPUT - Roster'!$AW$6:$AW$206,"*CJF/PER*")</f>
        <v/>
      </c>
      <c r="AH27" s="170">
        <f>COUNTIF('INPUT - Roster'!$AX$6:$AX$206,"*CJF/PER*")</f>
        <v/>
      </c>
      <c r="AI27" s="170">
        <f>COUNTIF('INPUT - Roster'!$AY$6:$AY$206,"*CJF/PER*")</f>
        <v/>
      </c>
      <c r="AJ27" s="170">
        <f>COUNTIF('INPUT - Roster'!$AZ$6:$AZ$206,"*CJF/PER*")</f>
        <v/>
      </c>
      <c r="AK27" s="170">
        <f>COUNTIF('INPUT - Roster'!$BA$6:$BA$206,"*CJF/PER*")</f>
        <v/>
      </c>
      <c r="AL27" s="170">
        <f>COUNTIF('INPUT - Roster'!$BB$6:$BB$206,"*CJF/PER*")</f>
        <v/>
      </c>
      <c r="AM27" s="170">
        <f>COUNTIF('INPUT - Roster'!$BC$6:$BC$206,"*CJF/PER*")</f>
        <v/>
      </c>
      <c r="AN27" s="170">
        <f>COUNTIF('INPUT - Roster'!$BD$6:$BD$206,"*CJF/PER*")</f>
        <v/>
      </c>
      <c r="AO27" s="170">
        <f>COUNTIF('INPUT - Roster'!$BE$6:$BE$206,"*CJF/PER*")</f>
        <v/>
      </c>
      <c r="AP27" s="170">
        <f>COUNTIF('INPUT - Roster'!$BF$6:$BF$206,"*CJF/PER*")</f>
        <v/>
      </c>
      <c r="AQ27" s="170">
        <f>COUNTIF('INPUT - Roster'!$BG$6:$BG$206,"*CJF/PER*")</f>
        <v/>
      </c>
      <c r="AR27" s="170">
        <f>COUNTIF('INPUT - Roster'!$BH$6:$BH$206,"*CJF/PER*")</f>
        <v/>
      </c>
      <c r="AS27" s="170">
        <f>COUNTIF('INPUT - Roster'!$BI$6:$BI$206,"*CJF/PER*")</f>
        <v/>
      </c>
      <c r="AT27" s="170">
        <f>COUNTIF('INPUT - Roster'!$BJ$6:$BJ$206,"*CJF/PER*")</f>
        <v/>
      </c>
      <c r="AU27" s="170">
        <f>COUNTIF('INPUT - Roster'!$BK$6:$BK$206,"*CJF/PER*")</f>
        <v/>
      </c>
      <c r="AV27" s="170">
        <f>COUNTIF('INPUT - Roster'!$BL$6:$BL$206,"*CJF/PER*")</f>
        <v/>
      </c>
      <c r="AW27" s="170">
        <f>COUNTIF('INPUT - Roster'!$BM$6:$BM$206,"*CJF/PER*")</f>
        <v/>
      </c>
      <c r="AX27" s="170">
        <f>COUNTIF('INPUT - Roster'!$BN$6:$BN$206,"*CJF/PER*")</f>
        <v/>
      </c>
      <c r="AY27" s="170">
        <f>COUNTIF('INPUT - Roster'!$BO$6:$BO$206,"*CJF/PER*")</f>
        <v/>
      </c>
      <c r="AZ27" s="170">
        <f>COUNTIF('INPUT - Roster'!$BP$6:$BP$206,"*CJF/PER*")</f>
        <v/>
      </c>
      <c r="BA27" s="170">
        <f>COUNTIF('INPUT - Roster'!$BQ$6:$BQ$206,"*CJF/PER*")</f>
        <v/>
      </c>
      <c r="BB27" s="170">
        <f>COUNTIF('INPUT - Roster'!$BR$6:$BR$206,"*CJF/PER*")</f>
        <v/>
      </c>
      <c r="BC27" s="170">
        <f>COUNTIF('INPUT - Roster'!$BS$6:$BS$206,"*CJF/PER*")</f>
        <v/>
      </c>
      <c r="BD27" s="170">
        <f>COUNTIF('INPUT - Roster'!$BT$6:$BT$206,"*CJF/PER*")</f>
        <v/>
      </c>
      <c r="BE27" s="170">
        <f>COUNTIF('INPUT - Roster'!$BU$6:$BU$206,"*CJF/PER*")</f>
        <v/>
      </c>
      <c r="BF27" s="170">
        <f>COUNTIF('INPUT - Roster'!$BV$6:$BV$206,"*CJF/PER*")</f>
        <v/>
      </c>
      <c r="BG27" s="170">
        <f>COUNTIF('INPUT - Roster'!$BW$6:$BW$206,"*CJF/PER*")</f>
        <v/>
      </c>
      <c r="BH27" s="170">
        <f>COUNTIF('INPUT - Roster'!$BX$6:$BX$206,"*CJF/PER*")</f>
        <v/>
      </c>
      <c r="BI27" s="170">
        <f>COUNTIF('INPUT - Roster'!$BY$6:$BY$206,"*CJF/PER*")</f>
        <v/>
      </c>
      <c r="BJ27" s="170">
        <f>COUNTIF('INPUT - Roster'!$BZ$6:$BZ$206,"*CJF/PER*")</f>
        <v/>
      </c>
      <c r="BK27" s="170">
        <f>COUNTIF('INPUT - Roster'!$CA$6:$CA$206,"*CJF/PER*")</f>
        <v/>
      </c>
      <c r="BL27" s="170">
        <f>COUNTIF('INPUT - Roster'!$CB$6:$CB$206,"*CJF/PER*")</f>
        <v/>
      </c>
      <c r="BM27" s="170">
        <f>COUNTIF('INPUT - Roster'!$CC$6:$CC$206,"*CJF/PER*")</f>
        <v/>
      </c>
      <c r="BN27" s="170">
        <f>COUNTIF('INPUT - Roster'!$CD$6:$CD$206,"*CJF/PER*")</f>
        <v/>
      </c>
      <c r="BO27" s="170">
        <f>COUNTIF('INPUT - Roster'!$CE$6:$CE$206,"*CJF/PER*")</f>
        <v/>
      </c>
      <c r="BP27" s="170">
        <f>COUNTIF('INPUT - Roster'!$CF$6:$CF$206,"*CJF/PER*")</f>
        <v/>
      </c>
      <c r="BQ27" s="170">
        <f>COUNTIF('INPUT - Roster'!$CG$6:$CG$206,"*CJF/PER*")</f>
        <v/>
      </c>
      <c r="BR27" s="170">
        <f>COUNTIF('INPUT - Roster'!$CH$6:$CH$206,"*CJF/PER*")</f>
        <v/>
      </c>
      <c r="BS27" s="170">
        <f>COUNTIF('INPUT - Roster'!$CI$6:$CI$206,"*CJF/PER*")</f>
        <v/>
      </c>
      <c r="BT27" s="170">
        <f>COUNTIF('INPUT - Roster'!$CJ$6:$CJ$206,"*CJF/PER*")</f>
        <v/>
      </c>
      <c r="BU27" s="170">
        <f>COUNTIF('INPUT - Roster'!$CK$6:$CK$206,"*CJF/PER*")</f>
        <v/>
      </c>
      <c r="BV27" s="170">
        <f>COUNTIF('INPUT - Roster'!$CL$6:$CL$206,"*CJF/PER*")</f>
        <v/>
      </c>
      <c r="BW27" s="170">
        <f>COUNTIF('INPUT - Roster'!$CM$6:$CM$206,"*CJF/PER*")</f>
        <v/>
      </c>
      <c r="BX27" s="170">
        <f>COUNTIF('INPUT - Roster'!$CN$6:$CN$206,"*CJF/PER*")</f>
        <v/>
      </c>
      <c r="BY27" s="170">
        <f>COUNTIF('INPUT - Roster'!$CO$6:$CO$206,"*CJF/PER*")</f>
        <v/>
      </c>
      <c r="BZ27" s="170">
        <f>COUNTIF('INPUT - Roster'!$CP$6:$CP$206,"*CJF/PER*")</f>
        <v/>
      </c>
      <c r="CA27" s="170">
        <f>COUNTIF('INPUT - Roster'!$CQ$6:$CQ$206,"*CJF/PER*")</f>
        <v/>
      </c>
      <c r="CB27" s="170">
        <f>COUNTIF('INPUT - Roster'!$CR$6:$CR$206,"*CJF/PER*")</f>
        <v/>
      </c>
      <c r="CC27" s="170">
        <f>COUNTIF('INPUT - Roster'!$CS$6:$CS$206,"*CJF/PER*")</f>
        <v/>
      </c>
      <c r="CD27" s="170">
        <f>COUNTIF('INPUT - Roster'!$CT$6:$CT$206,"*CJF/PER*")</f>
        <v/>
      </c>
      <c r="CE27" s="170">
        <f>COUNTIF('INPUT - Roster'!$CU$6:$CU$206,"*CJF/PER*")</f>
        <v/>
      </c>
      <c r="CF27" s="170">
        <f>COUNTIF('INPUT - Roster'!$CV$6:$CV$206,"*CJF/PER*")</f>
        <v/>
      </c>
      <c r="CG27" s="170">
        <f>COUNTIF('INPUT - Roster'!$CW$6:$CW$206,"*CJF/PER*")</f>
        <v/>
      </c>
      <c r="CH27" s="170">
        <f>COUNTIF('INPUT - Roster'!$CX$6:$CX$206,"*CJF/PER*")</f>
        <v/>
      </c>
      <c r="CI27" s="170">
        <f>COUNTIF('INPUT - Roster'!$CY$6:$CY$206,"*CJF/PER*")</f>
        <v/>
      </c>
      <c r="CJ27" s="170">
        <f>COUNTIF('INPUT - Roster'!$CZ$6:$CZ$206,"*CJF/PER*")</f>
        <v/>
      </c>
      <c r="CK27" s="170">
        <f>COUNTIF('INPUT - Roster'!$DA$6:$DA$206,"*CJF/PER*")</f>
        <v/>
      </c>
      <c r="CL27" s="170">
        <f>COUNTIF('INPUT - Roster'!$DB$6:$DB$206,"*CJF/PER*")</f>
        <v/>
      </c>
      <c r="CM27" s="170">
        <f>COUNTIF('INPUT - Roster'!$DC$6:$DC$206,"*CJF/PER*")</f>
        <v/>
      </c>
      <c r="CN27" s="170">
        <f>COUNTIF('INPUT - Roster'!$DD$6:$DD$206,"*CJF/PER*")</f>
        <v/>
      </c>
      <c r="CO27" s="170">
        <f>COUNTIF('INPUT - Roster'!$DE$6:$DE$206,"*CJF/PER*")</f>
        <v/>
      </c>
      <c r="CP27" s="170">
        <f>COUNTIF('INPUT - Roster'!$DF$6:$DF$206,"*CJF/PER*")</f>
        <v/>
      </c>
      <c r="CQ27" s="170">
        <f>COUNTIF('INPUT - Roster'!$DG$6:$DG$206,"*CJF/PER*")</f>
        <v/>
      </c>
      <c r="CR27" s="170">
        <f>COUNTIF('INPUT - Roster'!$DH$6:$DH$206,"*CJF/PER*")</f>
        <v/>
      </c>
      <c r="CS27" s="170">
        <f>COUNTIF('INPUT - Roster'!$DI$6:$DI$206,"*CJF/PER*")</f>
        <v/>
      </c>
      <c r="CT27" s="170">
        <f>COUNTIF('INPUT - Roster'!$DJ$6:$DJ$206,"*CJF/PER*")</f>
        <v/>
      </c>
      <c r="CU27" s="170">
        <f>COUNTIF('INPUT - Roster'!$DK$6:$DK$206,"*CJF/PER*")</f>
        <v/>
      </c>
      <c r="CV27" s="170">
        <f>COUNTIF('INPUT - Roster'!$DL$6:$DL$206,"*CJF/PER*")</f>
        <v/>
      </c>
      <c r="CW27" s="170">
        <f>COUNTIF('INPUT - Roster'!$DM$6:$DM$206,"*CJF/PER*")</f>
        <v/>
      </c>
      <c r="CX27" s="170">
        <f>COUNTIF('INPUT - Roster'!$DN$6:$DN$206,"*CJF/PER*")</f>
        <v/>
      </c>
      <c r="CY27" s="170">
        <f>COUNTIF('INPUT - Roster'!$DO$6:$DO$206,"*CJF/PER*")</f>
        <v/>
      </c>
      <c r="CZ27" s="170">
        <f>COUNTIF('INPUT - Roster'!$DP$6:$DP$206,"*CJF/PER*")</f>
        <v/>
      </c>
      <c r="DA27" s="170">
        <f>COUNTIF('INPUT - Roster'!$DQ$6:$DQ$206,"*CJF/PER*")</f>
        <v/>
      </c>
      <c r="DB27" s="170">
        <f>COUNTIF('INPUT - Roster'!$DR$6:$DR$206,"*CJF/PER*")</f>
        <v/>
      </c>
      <c r="DC27" s="170">
        <f>COUNTIF('INPUT - Roster'!$DS$6:$DS$206,"*CJF/PER*")</f>
        <v/>
      </c>
      <c r="DD27" s="170">
        <f>COUNTIF('INPUT - Roster'!$DT$6:$DT$206,"*CJF/PER*")</f>
        <v/>
      </c>
      <c r="DE27" s="170">
        <f>COUNTIF('INPUT - Roster'!$DU$6:$DU$206,"*CJF/PER*")</f>
        <v/>
      </c>
      <c r="DF27" s="170">
        <f>COUNTIF('INPUT - Roster'!$DV$6:$DV$206,"*CJF/PER*")</f>
        <v/>
      </c>
      <c r="DG27" s="170">
        <f>COUNTIF('INPUT - Roster'!$DW$6:$DW$206,"*CJF/PER*")</f>
        <v/>
      </c>
      <c r="DH27" s="170">
        <f>COUNTIF('INPUT - Roster'!$DX$6:$DX$206,"*CJF/PER*")</f>
        <v/>
      </c>
      <c r="DI27" s="170">
        <f>COUNTIF('INPUT - Roster'!$DY$6:$DY$206,"*CJF/PER*")</f>
        <v/>
      </c>
      <c r="DJ27" s="170">
        <f>COUNTIF('INPUT - Roster'!$DZ$6:$DZ$206,"*CJF/PER*")</f>
        <v/>
      </c>
      <c r="DK27" s="170">
        <f>COUNTIF('INPUT - Roster'!$EA$6:$EA$206,"*CJF/PER*")</f>
        <v/>
      </c>
      <c r="DL27" s="170">
        <f>COUNTIF('INPUT - Roster'!$EB$6:$EB$206,"*CJF/PER*")</f>
        <v/>
      </c>
      <c r="DM27" s="170">
        <f>COUNTIF('INPUT - Roster'!$EC$6:$EC$206,"*CJF/PER*")</f>
        <v/>
      </c>
      <c r="DN27" s="170">
        <f>COUNTIF('INPUT - Roster'!$ED$6:$ED$206,"*CJF/PER*")</f>
        <v/>
      </c>
      <c r="DO27" s="170">
        <f>COUNTIF('INPUT - Roster'!$EE$6:$EE$206,"*CJF/PER*")</f>
        <v/>
      </c>
      <c r="DP27" s="170">
        <f>COUNTIF('INPUT - Roster'!$EF$6:$EF$206,"*CJF/PER*")</f>
        <v/>
      </c>
      <c r="DQ27" s="170">
        <f>COUNTIF('INPUT - Roster'!$EG$6:$EG$206,"*CJF/PER*")</f>
        <v/>
      </c>
      <c r="DR27" s="170">
        <f>COUNTIF('INPUT - Roster'!$EH$6:$EH$206,"*CJF/PER*")</f>
        <v/>
      </c>
      <c r="DS27" s="170">
        <f>COUNTIF('INPUT - Roster'!$EI$6:$EI$206,"*CJF/PER*")</f>
        <v/>
      </c>
      <c r="DT27" s="170">
        <f>COUNTIF('INPUT - Roster'!$EJ$6:$EJ$206,"*CJF/PER*")</f>
        <v/>
      </c>
      <c r="DU27" s="170">
        <f>COUNTIF('INPUT - Roster'!$EK$6:$EK$206,"*CJF/PER*")</f>
        <v/>
      </c>
      <c r="DV27" s="170">
        <f>COUNTIF('INPUT - Roster'!$EL$6:$EL$206,"*CJF/PER*")</f>
        <v/>
      </c>
      <c r="DW27" s="170">
        <f>COUNTIF('INPUT - Roster'!$EM$6:$EM$206,"*CJF/PER*")</f>
        <v/>
      </c>
      <c r="DX27" s="170">
        <f>COUNTIF('INPUT - Roster'!$EN$6:$EN$206,"*CJF/PER*")</f>
        <v/>
      </c>
      <c r="DY27" s="170">
        <f>COUNTIF('INPUT - Roster'!$EO$6:$EO$206,"*CJF/PER*")</f>
        <v/>
      </c>
      <c r="DZ27" s="170">
        <f>COUNTIF('INPUT - Roster'!$EP$6:$EP$206,"*CJF/PER*")</f>
        <v/>
      </c>
      <c r="EA27" s="170">
        <f>COUNTIF('INPUT - Roster'!$EQ$6:$EQ$206,"*CJF/PER*")</f>
        <v/>
      </c>
      <c r="EB27" s="170">
        <f>COUNTIF('INPUT - Roster'!$ER$6:$ER$206,"*CJF/PER*")</f>
        <v/>
      </c>
      <c r="EC27" s="170">
        <f>COUNTIF('INPUT - Roster'!$ES$6:$ES$206,"*CJF/PER*")</f>
        <v/>
      </c>
      <c r="ED27" s="170">
        <f>COUNTIF('INPUT - Roster'!$ET$6:$ET$206,"*CJF/PER*")</f>
        <v/>
      </c>
      <c r="EE27" s="170">
        <f>COUNTIF('INPUT - Roster'!$EU$6:$EU$206,"*CJF/PER*")</f>
        <v/>
      </c>
      <c r="EF27" s="170">
        <f>COUNTIF('INPUT - Roster'!$EV$6:$EV$206,"*CJF/PER*")</f>
        <v/>
      </c>
      <c r="EG27" s="170">
        <f>COUNTIF('INPUT - Roster'!$EW$6:$EW$206,"*CJF/PER*")</f>
        <v/>
      </c>
      <c r="EH27" s="170">
        <f>COUNTIF('INPUT - Roster'!$EX$6:$EX$206,"*CJF/PER*")</f>
        <v/>
      </c>
      <c r="EI27" s="170">
        <f>COUNTIF('INPUT - Roster'!$EY$6:$EY$206,"*CJF/PER*")</f>
        <v/>
      </c>
      <c r="EJ27" s="170">
        <f>COUNTIF('INPUT - Roster'!$EZ$6:$EZ$206,"*CJF/PER*")</f>
        <v/>
      </c>
      <c r="EK27" s="170">
        <f>COUNTIF('INPUT - Roster'!$FA$6:$FA$206,"*CJF/PER*")</f>
        <v/>
      </c>
      <c r="EL27" s="170">
        <f>COUNTIF('INPUT - Roster'!$FB$6:$FB$206,"*CJF/PER*")</f>
        <v/>
      </c>
      <c r="EM27" s="170">
        <f>COUNTIF('INPUT - Roster'!$FC$6:$FC$206,"*CJF/PER*")</f>
        <v/>
      </c>
      <c r="EN27" s="170">
        <f>COUNTIF('INPUT - Roster'!$FD$6:$FD$206,"*CJF/PER*")</f>
        <v/>
      </c>
      <c r="EO27" s="170">
        <f>COUNTIF('INPUT - Roster'!$FE$6:$FE$206,"*CJF/PER*")</f>
        <v/>
      </c>
      <c r="EP27" s="170">
        <f>COUNTIF('INPUT - Roster'!$FF$6:$FF$206,"*CJF/PER*")</f>
        <v/>
      </c>
      <c r="EQ27" s="170">
        <f>COUNTIF('INPUT - Roster'!$FG$6:$FG$206,"*CJF/PER*")</f>
        <v/>
      </c>
      <c r="ER27" s="170">
        <f>COUNTIF('INPUT - Roster'!$FH$6:$FH$206,"*CJF/PER*")</f>
        <v/>
      </c>
      <c r="ES27" s="170">
        <f>COUNTIF('INPUT - Roster'!$FI$6:$FI$206,"*CJF/PER*")</f>
        <v/>
      </c>
      <c r="ET27" s="170">
        <f>COUNTIF('INPUT - Roster'!$FJ$6:$FJ$206,"*CJF/PER*")</f>
        <v/>
      </c>
      <c r="EU27" s="170">
        <f>COUNTIF('INPUT - Roster'!$FK$6:$FK$206,"*CJF/PER*")</f>
        <v/>
      </c>
      <c r="EV27" s="170">
        <f>COUNTIF('INPUT - Roster'!$FL$6:$FL$206,"*CJF/PER*")</f>
        <v/>
      </c>
      <c r="EW27" s="170">
        <f>COUNTIF('INPUT - Roster'!$FM$6:$FM$206,"*CJF/PER*")</f>
        <v/>
      </c>
      <c r="EX27" s="170">
        <f>COUNTIF('INPUT - Roster'!$FN$6:$FN$206,"*CJF/PER*")</f>
        <v/>
      </c>
      <c r="EY27" s="170">
        <f>COUNTIF('INPUT - Roster'!$FO$6:$FO$206,"*CJF/PER*")</f>
        <v/>
      </c>
      <c r="EZ27" s="170">
        <f>COUNTIF('INPUT - Roster'!$FP$6:$FP$206,"*CJF/PER*")</f>
        <v/>
      </c>
      <c r="FA27" s="170">
        <f>COUNTIF('INPUT - Roster'!$FQ$6:$FQ$206,"*CJF/PER*")</f>
        <v/>
      </c>
      <c r="FB27" s="170">
        <f>COUNTIF('INPUT - Roster'!$FR$6:$FR$206,"*CJF/PER*")</f>
        <v/>
      </c>
      <c r="FC27" s="170">
        <f>COUNTIF('INPUT - Roster'!$FS$6:$FS$206,"*CJF/PER*")</f>
        <v/>
      </c>
      <c r="FD27" s="170">
        <f>COUNTIF('INPUT - Roster'!$FT$6:$FT$206,"*CJF/PER*")</f>
        <v/>
      </c>
      <c r="FE27" s="170">
        <f>COUNTIF('INPUT - Roster'!$FU$6:$FU$206,"*CJF/PER*")</f>
        <v/>
      </c>
      <c r="FF27" s="170">
        <f>COUNTIF('INPUT - Roster'!$FV$6:$FV$206,"*CJF/PER*")</f>
        <v/>
      </c>
      <c r="FG27" s="170">
        <f>COUNTIF('INPUT - Roster'!$FW$6:$FW$206,"*CJF/PER*")</f>
        <v/>
      </c>
      <c r="FH27" s="170">
        <f>COUNTIF('INPUT - Roster'!$FX$6:$FX$206,"*CJF/PER*")</f>
        <v/>
      </c>
      <c r="FI27" s="170">
        <f>COUNTIF('INPUT - Roster'!$FY$6:$FY$206,"*CJF/PER*")</f>
        <v/>
      </c>
      <c r="FJ27" s="170">
        <f>COUNTIF('INPUT - Roster'!$FZ$6:$FZ$206,"*CJF/PER*")</f>
        <v/>
      </c>
      <c r="FK27" s="170">
        <f>COUNTIF('INPUT - Roster'!$GA$6:$GA$206,"*CJF/PER*")</f>
        <v/>
      </c>
      <c r="FL27" s="170">
        <f>COUNTIF('INPUT - Roster'!$GB$6:$GB$206,"*CJF/PER*")</f>
        <v/>
      </c>
      <c r="FM27" s="170">
        <f>COUNTIF('INPUT - Roster'!$GC$6:$GC$206,"*CJF/PER*")</f>
        <v/>
      </c>
      <c r="FN27" s="170">
        <f>COUNTIF('INPUT - Roster'!$GD$6:$GD$206,"*CJF/PER*")</f>
        <v/>
      </c>
      <c r="FO27" s="170">
        <f>COUNTIF('INPUT - Roster'!$GE$6:$GE$206,"*CJF/PER*")</f>
        <v/>
      </c>
      <c r="FP27" s="170">
        <f>COUNTIF('INPUT - Roster'!$GF$6:$GF$206,"*CJF/PER*")</f>
        <v/>
      </c>
      <c r="FQ27" s="170">
        <f>COUNTIF('INPUT - Roster'!$GG$6:$GG$206,"*CJF/PER*")</f>
        <v/>
      </c>
      <c r="FR27" s="170">
        <f>COUNTIF('INPUT - Roster'!$GH$6:$GH$206,"*CJF/PER*")</f>
        <v/>
      </c>
      <c r="FS27" s="170">
        <f>COUNTIF('INPUT - Roster'!$GI$6:$GI$206,"*CJF/PER*")</f>
        <v/>
      </c>
      <c r="FT27" s="170">
        <f>COUNTIF('INPUT - Roster'!$GJ$6:$GJ$206,"*CJF/PER*")</f>
        <v/>
      </c>
      <c r="FU27" s="170">
        <f>COUNTIF('INPUT - Roster'!$GK$6:$GK$206,"*CJF/PER*")</f>
        <v/>
      </c>
      <c r="FV27" s="170">
        <f>COUNTIF('INPUT - Roster'!$GL$6:$GL$206,"*CJF/PER*")</f>
        <v/>
      </c>
      <c r="FW27" s="170">
        <f>COUNTIF('INPUT - Roster'!$GM$6:$GM$206,"*CJF/PER*")</f>
        <v/>
      </c>
      <c r="FX27" s="170">
        <f>COUNTIF('INPUT - Roster'!$GN$6:$GN$206,"*CJF/PER*")</f>
        <v/>
      </c>
      <c r="FY27" s="170">
        <f>COUNTIF('INPUT - Roster'!$GO$6:$GO$206,"*CJF/PER*")</f>
        <v/>
      </c>
      <c r="FZ27" s="170">
        <f>COUNTIF('INPUT - Roster'!$GP$6:$GP$206,"*CJF/PER*")</f>
        <v/>
      </c>
      <c r="GA27" s="170">
        <f>COUNTIF('INPUT - Roster'!$GQ$6:$GQ$206,"*CJF/PER*")</f>
        <v/>
      </c>
      <c r="GB27" s="170">
        <f>COUNTIF('INPUT - Roster'!$GR$6:$GR$206,"*CJF/PER*")</f>
        <v/>
      </c>
      <c r="GC27" s="170">
        <f>COUNTIF('INPUT - Roster'!$GS$6:$GS$206,"*CJF/PER*")</f>
        <v/>
      </c>
      <c r="GD27" s="170">
        <f>COUNTIF('INPUT - Roster'!$GT$6:$GT$206,"*CJF/PER*")</f>
        <v/>
      </c>
      <c r="GE27" s="170">
        <f>COUNTIF('INPUT - Roster'!$GU$6:$GU$206,"*CJF/PER*")</f>
        <v/>
      </c>
      <c r="GF27" s="170">
        <f>COUNTIF('INPUT - Roster'!$GV$6:$GV$206,"*CJF/PER*")</f>
        <v/>
      </c>
      <c r="GG27" s="170">
        <f>COUNTIF('INPUT - Roster'!$GW$6:$GW$206,"*CJF/PER*")</f>
        <v/>
      </c>
      <c r="GH27" s="170">
        <f>COUNTIF('INPUT - Roster'!$GX$6:$GX$206,"*CJF/PER*")</f>
        <v/>
      </c>
      <c r="GI27" s="170">
        <f>COUNTIF('INPUT - Roster'!$GY$6:$GY$206,"*CJF/PER*")</f>
        <v/>
      </c>
      <c r="GJ27" s="170">
        <f>COUNTIF('INPUT - Roster'!$GZ$6:$GZ$206,"*CJF/PER*")</f>
        <v/>
      </c>
      <c r="GK27" s="170">
        <f>COUNTIF('INPUT - Roster'!$HA$6:$HA$206,"*CJF/PER*")</f>
        <v/>
      </c>
      <c r="GL27" s="170">
        <f>COUNTIF('INPUT - Roster'!$HB$6:$HB$206,"*CJF/PER*")</f>
        <v/>
      </c>
      <c r="GM27" s="170">
        <f>COUNTIF('INPUT - Roster'!$HC$6:$HC$206,"*CJF/PER*")</f>
        <v/>
      </c>
      <c r="GN27" s="170">
        <f>COUNTIF('INPUT - Roster'!$HD$6:$HD$206,"*CJF/PER*")</f>
        <v/>
      </c>
      <c r="GO27" s="170">
        <f>COUNTIF('INPUT - Roster'!$HE$6:$HE$206,"*CJF/PER*")</f>
        <v/>
      </c>
      <c r="GP27" s="170">
        <f>COUNTIF('INPUT - Roster'!$HF$6:$HF$206,"*CJF/PER*")</f>
        <v/>
      </c>
      <c r="GQ27" s="170">
        <f>COUNTIF('INPUT - Roster'!$HG$6:$HG$206,"*CJF/PER*")</f>
        <v/>
      </c>
      <c r="GR27" s="170">
        <f>COUNTIF('INPUT - Roster'!$HH$6:$HH$206,"*CJF/PER*")</f>
        <v/>
      </c>
      <c r="GS27" s="170">
        <f>COUNTIF('INPUT - Roster'!$HI$6:$HI$206,"*CJF/PER*")</f>
        <v/>
      </c>
      <c r="GT27" s="170">
        <f>COUNTIF('INPUT - Roster'!$HJ$6:$HJ$206,"*CJF/PER*")</f>
        <v/>
      </c>
      <c r="GU27" s="170">
        <f>COUNTIF('INPUT - Roster'!$HK$6:$HK$206,"*CJF/PER*")</f>
        <v/>
      </c>
      <c r="GV27" s="170">
        <f>COUNTIF('INPUT - Roster'!$HL$6:$HL$206,"*CJF/PER*")</f>
        <v/>
      </c>
      <c r="GW27" s="170">
        <f>COUNTIF('INPUT - Roster'!$HM$6:$HM$206,"*CJF/PER*")</f>
        <v/>
      </c>
      <c r="GX27" s="170">
        <f>COUNTIF('INPUT - Roster'!$HN$6:$HN$206,"*CJF/PER*")</f>
        <v/>
      </c>
      <c r="GY27" s="170">
        <f>COUNTIF('INPUT - Roster'!$HO$6:$HO$206,"*CJF/PER*")</f>
        <v/>
      </c>
      <c r="GZ27" s="170">
        <f>COUNTIF('INPUT - Roster'!$HP$6:$HP$206,"*CJF/PER*")</f>
        <v/>
      </c>
      <c r="HA27" s="170">
        <f>COUNTIF('INPUT - Roster'!$HQ$6:$HQ$206,"*CJF/PER*")</f>
        <v/>
      </c>
      <c r="HB27" s="170">
        <f>COUNTIF('INPUT - Roster'!$HR$6:$HR$206,"*CJF/PER*")</f>
        <v/>
      </c>
      <c r="HC27" s="170">
        <f>COUNTIF('INPUT - Roster'!$HS$6:$HS$206,"*CJF/PER*")</f>
        <v/>
      </c>
      <c r="HD27" s="170">
        <f>COUNTIF('INPUT - Roster'!$HT$6:$HT$206,"*CJF/PER*")</f>
        <v/>
      </c>
      <c r="HE27" s="170">
        <f>COUNTIF('INPUT - Roster'!$HU$6:$HU$206,"*CJF/PER*")</f>
        <v/>
      </c>
      <c r="HF27" s="170">
        <f>COUNTIF('INPUT - Roster'!$HV$6:$HV$206,"*CJF/PER*")</f>
        <v/>
      </c>
      <c r="HG27" s="170">
        <f>COUNTIF('INPUT - Roster'!$HW$6:$HW$206,"*CJF/PER*")</f>
        <v/>
      </c>
      <c r="HH27" s="170">
        <f>COUNTIF('INPUT - Roster'!$HX$6:$HX$206,"*CJF/PER*")</f>
        <v/>
      </c>
      <c r="HI27" s="170">
        <f>COUNTIF('INPUT - Roster'!$HY$6:$HY$206,"*CJF/PER*")</f>
        <v/>
      </c>
      <c r="HJ27" s="170">
        <f>COUNTIF('INPUT - Roster'!$HZ$6:$HZ$206,"*CJF/PER*")</f>
        <v/>
      </c>
      <c r="HK27" s="170">
        <f>COUNTIF('INPUT - Roster'!$IA$6:$IA$206,"*CJF/PER*")</f>
        <v/>
      </c>
      <c r="HL27" s="170">
        <f>COUNTIF('INPUT - Roster'!$IB$6:$IB$206,"*CJF/PER*")</f>
        <v/>
      </c>
      <c r="HM27" s="170">
        <f>COUNTIF('INPUT - Roster'!$IC$6:$IC$206,"*CJF/PER*")</f>
        <v/>
      </c>
      <c r="HN27" s="170">
        <f>COUNTIF('INPUT - Roster'!$ID$6:$ID$206,"*CJF/PER*")</f>
        <v/>
      </c>
      <c r="HO27" s="170">
        <f>COUNTIF('INPUT - Roster'!$IE$6:$IE$206,"*CJF/PER*")</f>
        <v/>
      </c>
      <c r="HP27" s="170">
        <f>COUNTIF('INPUT - Roster'!$IF$6:$IF$206,"*CJF/PER*")</f>
        <v/>
      </c>
      <c r="HQ27" s="170">
        <f>COUNTIF('INPUT - Roster'!$IG$6:$IG$206,"*CJF/PER*")</f>
        <v/>
      </c>
      <c r="HR27" s="170">
        <f>COUNTIF('INPUT - Roster'!$IH$6:$IH$206,"*CJF/PER*")</f>
        <v/>
      </c>
      <c r="HS27" s="170">
        <f>COUNTIF('INPUT - Roster'!$II$6:$II$206,"*CJF/PER*")</f>
        <v/>
      </c>
      <c r="HT27" s="170">
        <f>COUNTIF('INPUT - Roster'!$IJ$6:$IJ$206,"*CJF/PER*")</f>
        <v/>
      </c>
      <c r="HU27" s="170">
        <f>COUNTIF('INPUT - Roster'!$IK$6:$IK$206,"*CJF/PER*")</f>
        <v/>
      </c>
      <c r="HV27" s="170">
        <f>COUNTIF('INPUT - Roster'!$IL$6:$IL$206,"*CJF/PER*")</f>
        <v/>
      </c>
      <c r="HW27" s="170">
        <f>COUNTIF('INPUT - Roster'!$IM$6:$IM$206,"*CJF/PER*")</f>
        <v/>
      </c>
      <c r="HX27" s="170">
        <f>COUNTIF('INPUT - Roster'!$IN$6:$IN$206,"*CJF/PER*")</f>
        <v/>
      </c>
      <c r="HY27" s="170">
        <f>COUNTIF('INPUT - Roster'!$IO$6:$IO$206,"*CJF/PER*")</f>
        <v/>
      </c>
      <c r="HZ27" s="170">
        <f>COUNTIF('INPUT - Roster'!$IP$6:$IP$206,"*CJF/PER*")</f>
        <v/>
      </c>
      <c r="IA27" s="170">
        <f>COUNTIF('INPUT - Roster'!$IQ$6:$IQ$206,"*CJF/PER*")</f>
        <v/>
      </c>
      <c r="IB27" s="170">
        <f>COUNTIF('INPUT - Roster'!$IR$6:$IR$206,"*CJF/PER*")</f>
        <v/>
      </c>
      <c r="IC27" s="170">
        <f>COUNTIF('INPUT - Roster'!$IS$6:$IS$206,"*CJF/PER*")</f>
        <v/>
      </c>
      <c r="ID27" s="170">
        <f>COUNTIF('INPUT - Roster'!$IT$6:$IT$206,"*CJF/PER*")</f>
        <v/>
      </c>
      <c r="IE27" s="170">
        <f>COUNTIF('INPUT - Roster'!$IU$6:$IU$206,"*CJF/PER*")</f>
        <v/>
      </c>
      <c r="IF27" s="170">
        <f>COUNTIF('INPUT - Roster'!$IV$6:$IV$206,"*CJF/PER*")</f>
        <v/>
      </c>
      <c r="IG27" s="170">
        <f>COUNTIF('INPUT - Roster'!$IW$6:$IW$206,"*CJF/PER*")</f>
        <v/>
      </c>
      <c r="IH27" s="170">
        <f>COUNTIF('INPUT - Roster'!$IX$6:$IX$206,"*CJF/PER*")</f>
        <v/>
      </c>
      <c r="II27" s="170">
        <f>COUNTIF('INPUT - Roster'!$IY$6:$IY$206,"*CJF/PER*")</f>
        <v/>
      </c>
      <c r="IJ27" s="170">
        <f>COUNTIF('INPUT - Roster'!$IZ$6:$IZ$206,"*CJF/PER*")</f>
        <v/>
      </c>
      <c r="IK27" s="170">
        <f>COUNTIF('INPUT - Roster'!$JA$6:$JA$206,"*CJF/PER*")</f>
        <v/>
      </c>
      <c r="IL27" s="170">
        <f>COUNTIF('INPUT - Roster'!$JB$6:$JB$206,"*CJF/PER*")</f>
        <v/>
      </c>
      <c r="IM27" s="170">
        <f>COUNTIF('INPUT - Roster'!$JC$6:$JC$206,"*CJF/PER*")</f>
        <v/>
      </c>
      <c r="IN27" s="170">
        <f>COUNTIF('INPUT - Roster'!$JD$6:$JD$206,"*CJF/PER*")</f>
        <v/>
      </c>
      <c r="IO27" s="170">
        <f>COUNTIF('INPUT - Roster'!$JE$6:$JE$206,"*CJF/PER*")</f>
        <v/>
      </c>
      <c r="IP27" s="170">
        <f>COUNTIF('INPUT - Roster'!$JF$6:$JF$206,"*CJF/PER*")</f>
        <v/>
      </c>
      <c r="IQ27" s="170">
        <f>COUNTIF('INPUT - Roster'!$JG$6:$JG$206,"*CJF/PER*")</f>
        <v/>
      </c>
      <c r="IR27" s="170">
        <f>COUNTIF('INPUT - Roster'!$JH$6:$JH$206,"*CJF/PER*")</f>
        <v/>
      </c>
      <c r="IS27" s="170">
        <f>COUNTIF('INPUT - Roster'!$JI$6:$JI$206,"*CJF/PER*")</f>
        <v/>
      </c>
      <c r="IT27" s="170">
        <f>COUNTIF('INPUT - Roster'!$JJ$6:$JJ$206,"*CJF/PER*")</f>
        <v/>
      </c>
      <c r="IU27" s="170">
        <f>COUNTIF('INPUT - Roster'!$JK$6:$JK$206,"*CJF/PER*")</f>
        <v/>
      </c>
      <c r="IV27" s="170">
        <f>COUNTIF('INPUT - Roster'!$JL$6:$JL$206,"*CJF/PER*")</f>
        <v/>
      </c>
      <c r="IW27" s="170">
        <f>COUNTIF('INPUT - Roster'!$JM$6:$JM$206,"*CJF/PER*")</f>
        <v/>
      </c>
      <c r="IX27" s="170">
        <f>COUNTIF('INPUT - Roster'!$JN$6:$JN$206,"*CJF/PER*")</f>
        <v/>
      </c>
      <c r="IY27" s="170">
        <f>COUNTIF('INPUT - Roster'!$JO$6:$JO$206,"*CJF/PER*")</f>
        <v/>
      </c>
      <c r="IZ27" s="170">
        <f>COUNTIF('INPUT - Roster'!$JP$6:$JP$206,"*CJF/PER*")</f>
        <v/>
      </c>
      <c r="JA27" s="170">
        <f>COUNTIF('INPUT - Roster'!$JQ$6:$JQ$206,"*CJF/PER*")</f>
        <v/>
      </c>
      <c r="JB27" s="170">
        <f>COUNTIF('INPUT - Roster'!$JR$6:$JR$206,"*CJF/PER*")</f>
        <v/>
      </c>
      <c r="JC27" s="170">
        <f>COUNTIF('INPUT - Roster'!$JS$6:$JS$206,"*CJF/PER*")</f>
        <v/>
      </c>
      <c r="JD27" s="170">
        <f>COUNTIF('INPUT - Roster'!$JT$6:$JT$206,"*CJF/PER*")</f>
        <v/>
      </c>
      <c r="JE27" s="170">
        <f>COUNTIF('INPUT - Roster'!$JU$6:$JU$206,"*CJF/PER*")</f>
        <v/>
      </c>
      <c r="JF27" s="170">
        <f>COUNTIF('INPUT - Roster'!$JV$6:$JV$206,"*CJF/PER*")</f>
        <v/>
      </c>
      <c r="JG27" s="170">
        <f>COUNTIF('INPUT - Roster'!$JW$6:$JW$206,"*CJF/PER*")</f>
        <v/>
      </c>
      <c r="JH27" s="170">
        <f>COUNTIF('INPUT - Roster'!$JX$6:$JX$206,"*CJF/PER*")</f>
        <v/>
      </c>
      <c r="JI27" s="170">
        <f>COUNTIF('INPUT - Roster'!$JY$6:$JY$206,"*CJF/PER*")</f>
        <v/>
      </c>
      <c r="JJ27" s="170">
        <f>COUNTIF('INPUT - Roster'!$JZ$6:$JZ$206,"*CJF/PER*")</f>
        <v/>
      </c>
      <c r="JK27" s="170">
        <f>COUNTIF('INPUT - Roster'!$KA$6:$KA$206,"*CJF/PER*")</f>
        <v/>
      </c>
      <c r="JL27" s="170">
        <f>COUNTIF('INPUT - Roster'!$KB$6:$KB$206,"*CJF/PER*")</f>
        <v/>
      </c>
      <c r="JM27" s="170">
        <f>COUNTIF('INPUT - Roster'!$KC$6:$KC$206,"*CJF/PER*")</f>
        <v/>
      </c>
      <c r="JN27" s="170">
        <f>COUNTIF('INPUT - Roster'!$KD$6:$KD$206,"*CJF/PER*")</f>
        <v/>
      </c>
      <c r="JO27" s="170">
        <f>COUNTIF('INPUT - Roster'!$KE$6:$KE$206,"*CJF/PER*")</f>
        <v/>
      </c>
      <c r="JP27" s="170">
        <f>COUNTIF('INPUT - Roster'!$KF$6:$KF$206,"*CJF/PER*")</f>
        <v/>
      </c>
      <c r="JQ27" s="170">
        <f>COUNTIF('INPUT - Roster'!$KG$6:$KG$206,"*CJF/PER*")</f>
        <v/>
      </c>
      <c r="JR27" s="170">
        <f>COUNTIF('INPUT - Roster'!$KH$6:$KH$206,"*CJF/PER*")</f>
        <v/>
      </c>
      <c r="JS27" s="170">
        <f>COUNTIF('INPUT - Roster'!$KI$6:$KI$206,"*CJF/PER*")</f>
        <v/>
      </c>
      <c r="JT27" s="170">
        <f>COUNTIF('INPUT - Roster'!$KJ$6:$KJ$206,"*CJF/PER*")</f>
        <v/>
      </c>
      <c r="JU27" s="170">
        <f>COUNTIF('INPUT - Roster'!$KK$6:$KK$206,"*CJF/PER*")</f>
        <v/>
      </c>
      <c r="JV27" s="170">
        <f>COUNTIF('INPUT - Roster'!$KL$6:$KL$206,"*CJF/PER*")</f>
        <v/>
      </c>
      <c r="JW27" s="170">
        <f>COUNTIF('INPUT - Roster'!$KM$6:$KM$206,"*CJF/PER*")</f>
        <v/>
      </c>
      <c r="JX27" s="170">
        <f>COUNTIF('INPUT - Roster'!$KN$6:$KN$206,"*CJF/PER*")</f>
        <v/>
      </c>
      <c r="JY27" s="170">
        <f>COUNTIF('INPUT - Roster'!$KO$6:$KO$206,"*CJF/PER*")</f>
        <v/>
      </c>
      <c r="JZ27" s="170">
        <f>COUNTIF('INPUT - Roster'!$KP$6:$KP$206,"*CJF/PER*")</f>
        <v/>
      </c>
      <c r="KA27" s="170">
        <f>COUNTIF('INPUT - Roster'!$KQ$6:$KQ$206,"*CJF/PER*")</f>
        <v/>
      </c>
      <c r="KB27" s="170">
        <f>COUNTIF('INPUT - Roster'!$KR$6:$KR$206,"*CJF/PER*")</f>
        <v/>
      </c>
      <c r="KC27" s="170">
        <f>COUNTIF('INPUT - Roster'!$KS$6:$KS$206,"*CJF/PER*")</f>
        <v/>
      </c>
      <c r="KD27" s="170">
        <f>COUNTIF('INPUT - Roster'!$KT$6:$KT$206,"*CJF/PER*")</f>
        <v/>
      </c>
      <c r="KE27" s="170">
        <f>COUNTIF('INPUT - Roster'!$KU$6:$KU$206,"*CJF/PER*")</f>
        <v/>
      </c>
      <c r="KF27" s="170">
        <f>COUNTIF('INPUT - Roster'!$KV$6:$KV$206,"*CJF/PER*")</f>
        <v/>
      </c>
      <c r="KG27" s="170">
        <f>COUNTIF('INPUT - Roster'!$KW$6:$KW$206,"*CJF/PER*")</f>
        <v/>
      </c>
      <c r="KH27" s="170">
        <f>COUNTIF('INPUT - Roster'!$KX$6:$KX$206,"*CJF/PER*")</f>
        <v/>
      </c>
      <c r="KI27" s="170">
        <f>COUNTIF('INPUT - Roster'!$KY$6:$KY$206,"*CJF/PER*")</f>
        <v/>
      </c>
      <c r="KJ27" s="170">
        <f>COUNTIF('INPUT - Roster'!$KZ$6:$KZ$206,"*CJF/PER*")</f>
        <v/>
      </c>
      <c r="KK27" s="170">
        <f>COUNTIF('INPUT - Roster'!$LA$6:$LA$206,"*CJF/PER*")</f>
        <v/>
      </c>
      <c r="KL27" s="170">
        <f>COUNTIF('INPUT - Roster'!$LB$6:$LB$206,"*CJF/PER*")</f>
        <v/>
      </c>
      <c r="KM27" s="170">
        <f>COUNTIF('INPUT - Roster'!$LC$6:$LC$206,"*CJF/PER*")</f>
        <v/>
      </c>
      <c r="KN27" s="170">
        <f>COUNTIF('INPUT - Roster'!$LD$6:$LD$206,"*CJF/PER*")</f>
        <v/>
      </c>
      <c r="KO27" s="170">
        <f>COUNTIF('INPUT - Roster'!$LE$6:$LE$206,"*CJF/PER*")</f>
        <v/>
      </c>
      <c r="KP27" s="170">
        <f>COUNTIF('INPUT - Roster'!$LF$6:$LF$206,"*CJF/PER*")</f>
        <v/>
      </c>
      <c r="KQ27" s="170">
        <f>COUNTIF('INPUT - Roster'!$LG$6:$LG$206,"*CJF/PER*")</f>
        <v/>
      </c>
      <c r="KR27" s="170">
        <f>COUNTIF('INPUT - Roster'!$LH$6:$LH$206,"*CJF/PER*")</f>
        <v/>
      </c>
      <c r="KS27" s="170">
        <f>COUNTIF('INPUT - Roster'!$LI$6:$LI$206,"*CJF/PER*")</f>
        <v/>
      </c>
      <c r="KT27" s="170">
        <f>COUNTIF('INPUT - Roster'!$LJ$6:$LJ$206,"*CJF/PER*")</f>
        <v/>
      </c>
      <c r="KU27" s="170">
        <f>COUNTIF('INPUT - Roster'!$LK$6:$LK$206,"*CJF/PER*")</f>
        <v/>
      </c>
      <c r="KV27" s="170">
        <f>COUNTIF('INPUT - Roster'!$LL$6:$LL$206,"*CJF/PER*")</f>
        <v/>
      </c>
      <c r="KW27" s="170">
        <f>COUNTIF('INPUT - Roster'!$LM$6:$LM$206,"*CJF/PER*")</f>
        <v/>
      </c>
      <c r="KX27" s="170">
        <f>COUNTIF('INPUT - Roster'!$LN$6:$LN$206,"*CJF/PER*")</f>
        <v/>
      </c>
      <c r="KY27" s="170">
        <f>COUNTIF('INPUT - Roster'!$LO$6:$LO$206,"*CJF/PER*")</f>
        <v/>
      </c>
      <c r="KZ27" s="170">
        <f>COUNTIF('INPUT - Roster'!$LP$6:$LP$206,"*CJF/PER*")</f>
        <v/>
      </c>
      <c r="LA27" s="170">
        <f>COUNTIF('INPUT - Roster'!$LQ$6:$LQ$206,"*CJF/PER*")</f>
        <v/>
      </c>
      <c r="LB27" s="170">
        <f>COUNTIF('INPUT - Roster'!$LR$6:$LR$206,"*CJF/PER*")</f>
        <v/>
      </c>
      <c r="LC27" s="170">
        <f>COUNTIF('INPUT - Roster'!$LS$6:$LS$206,"*CJF/PER*")</f>
        <v/>
      </c>
      <c r="LD27" s="170">
        <f>COUNTIF('INPUT - Roster'!$LT$6:$LT$206,"*CJF/PER*")</f>
        <v/>
      </c>
      <c r="LE27" s="170">
        <f>COUNTIF('INPUT - Roster'!$LU$6:$LU$206,"*CJF/PER*")</f>
        <v/>
      </c>
      <c r="LF27" s="170">
        <f>COUNTIF('INPUT - Roster'!$LV$6:$LV$206,"*CJF/PER*")</f>
        <v/>
      </c>
      <c r="LG27" s="170">
        <f>COUNTIF('INPUT - Roster'!$LW$6:$LW$206,"*CJF/PER*")</f>
        <v/>
      </c>
      <c r="LH27" s="170">
        <f>COUNTIF('INPUT - Roster'!$LX$6:$LX$206,"*CJF/PER*")</f>
        <v/>
      </c>
      <c r="LI27" s="170">
        <f>COUNTIF('INPUT - Roster'!$LY$6:$LY$206,"*CJF/PER*")</f>
        <v/>
      </c>
      <c r="LJ27" s="170">
        <f>COUNTIF('INPUT - Roster'!$LZ$6:$LZ$206,"*CJF/PER*")</f>
        <v/>
      </c>
      <c r="LK27" s="170">
        <f>COUNTIF('INPUT - Roster'!$MA$6:$MA$206,"*CJF/PER*")</f>
        <v/>
      </c>
      <c r="LL27" s="170">
        <f>COUNTIF('INPUT - Roster'!$MB$6:$MB$206,"*CJF/PER*")</f>
        <v/>
      </c>
      <c r="LM27" s="170">
        <f>COUNTIF('INPUT - Roster'!$MC$6:$MC$206,"*CJF/PER*")</f>
        <v/>
      </c>
      <c r="LN27" s="170">
        <f>COUNTIF('INPUT - Roster'!$MD$6:$MD$206,"*CJF/PER*")</f>
        <v/>
      </c>
      <c r="LO27" s="170">
        <f>COUNTIF('INPUT - Roster'!$ME$6:$ME$206,"*CJF/PER*")</f>
        <v/>
      </c>
      <c r="LP27" s="170">
        <f>COUNTIF('INPUT - Roster'!$MF$6:$MF$206,"*CJF/PER*")</f>
        <v/>
      </c>
      <c r="LQ27" s="170">
        <f>COUNTIF('INPUT - Roster'!$MG$6:$MG$206,"*CJF/PER*")</f>
        <v/>
      </c>
      <c r="LR27" s="170">
        <f>COUNTIF('INPUT - Roster'!$MH$6:$MH$206,"*CJF/PER*")</f>
        <v/>
      </c>
      <c r="LS27" s="170">
        <f>COUNTIF('INPUT - Roster'!$MI$6:$MI$206,"*CJF/PER*")</f>
        <v/>
      </c>
      <c r="LT27" s="170">
        <f>COUNTIF('INPUT - Roster'!$MJ$6:$MJ$206,"*CJF/PER*")</f>
        <v/>
      </c>
      <c r="LU27" s="170">
        <f>COUNTIF('INPUT - Roster'!$MK$6:$MK$206,"*CJF/PER*")</f>
        <v/>
      </c>
      <c r="LV27" s="170">
        <f>COUNTIF('INPUT - Roster'!$ML$6:$ML$206,"*CJF/PER*")</f>
        <v/>
      </c>
      <c r="LW27" s="170">
        <f>COUNTIF('INPUT - Roster'!$MM$6:$MM$206,"*CJF/PER*")</f>
        <v/>
      </c>
      <c r="LX27" s="170">
        <f>COUNTIF('INPUT - Roster'!$MN$6:$MN$206,"*CJF/PER*")</f>
        <v/>
      </c>
      <c r="LY27" s="170">
        <f>COUNTIF('INPUT - Roster'!$MO$6:$MO$206,"*CJF/PER*")</f>
        <v/>
      </c>
      <c r="LZ27" s="170">
        <f>COUNTIF('INPUT - Roster'!$MP$6:$MP$206,"*CJF/PER*")</f>
        <v/>
      </c>
      <c r="MA27" s="170">
        <f>COUNTIF('INPUT - Roster'!$MQ$6:$MQ$206,"*CJF/PER*")</f>
        <v/>
      </c>
      <c r="MB27" s="170">
        <f>COUNTIF('INPUT - Roster'!$MR$6:$MR$206,"*CJF/PER*")</f>
        <v/>
      </c>
      <c r="MC27" s="170">
        <f>COUNTIF('INPUT - Roster'!$MS$6:$MS$206,"*CJF/PER*")</f>
        <v/>
      </c>
      <c r="MD27" s="170">
        <f>COUNTIF('INPUT - Roster'!$MT$6:$MT$206,"*CJF/PER*")</f>
        <v/>
      </c>
      <c r="ME27" s="170">
        <f>COUNTIF('INPUT - Roster'!$MU$6:$MU$206,"*CJF/PER*")</f>
        <v/>
      </c>
      <c r="MF27" s="170">
        <f>COUNTIF('INPUT - Roster'!$MV$6:$MV$206,"*CJF/PER*")</f>
        <v/>
      </c>
      <c r="MG27" s="170">
        <f>COUNTIF('INPUT - Roster'!$MW$6:$MW$206,"*CJF/PER*")</f>
        <v/>
      </c>
      <c r="MH27" s="170">
        <f>COUNTIF('INPUT - Roster'!$MX$6:$MX$206,"*CJF/PER*")</f>
        <v/>
      </c>
      <c r="MI27" s="170">
        <f>COUNTIF('INPUT - Roster'!$MY$6:$MY$206,"*CJF/PER*")</f>
        <v/>
      </c>
      <c r="MJ27" s="170">
        <f>COUNTIF('INPUT - Roster'!$MZ$6:$MZ$206,"*CJF/PER*")</f>
        <v/>
      </c>
      <c r="MK27" s="170">
        <f>COUNTIF('INPUT - Roster'!$NA$6:$NA$206,"*CJF/PER*")</f>
        <v/>
      </c>
      <c r="ML27" s="170">
        <f>COUNTIF('INPUT - Roster'!$NB$6:$NB$206,"*CJF/PER*")</f>
        <v/>
      </c>
      <c r="MM27" s="170">
        <f>COUNTIF('INPUT - Roster'!$NC$6:$NC$206,"*CJF/PER*")</f>
        <v/>
      </c>
      <c r="MN27" s="170">
        <f>COUNTIF('INPUT - Roster'!$ND$6:$ND$206,"*CJF/PER*")</f>
        <v/>
      </c>
      <c r="MO27" s="170">
        <f>COUNTIF('INPUT - Roster'!$NE$6:$NE$206,"*CJF/PER*")</f>
        <v/>
      </c>
      <c r="MP27" s="170">
        <f>COUNTIF('INPUT - Roster'!$NF$6:$NF$206,"*CJF/PER*")</f>
        <v/>
      </c>
      <c r="MQ27" s="170">
        <f>COUNTIF('INPUT - Roster'!$NG$6:$NG$206,"*CJF/PER*")</f>
        <v/>
      </c>
      <c r="MR27" s="170">
        <f>COUNTIF('INPUT - Roster'!$NH$6:$NH$206,"*CJF/PER*")</f>
        <v/>
      </c>
      <c r="MS27" s="170">
        <f>COUNTIF('INPUT - Roster'!$NI$6:$NI$206,"*CJF/PER*")</f>
        <v/>
      </c>
      <c r="MT27" s="170">
        <f>COUNTIF('INPUT - Roster'!$NJ$6:$NJ$206,"*CJF/PER*")</f>
        <v/>
      </c>
      <c r="MU27" s="170">
        <f>COUNTIF('INPUT - Roster'!$NK$6:$NK$206,"*CJF/PER*")</f>
        <v/>
      </c>
      <c r="MV27" s="170">
        <f>COUNTIF('INPUT - Roster'!$NL$6:$NL$206,"*CJF/PER*")</f>
        <v/>
      </c>
      <c r="MW27" s="170">
        <f>COUNTIF('INPUT - Roster'!$NM$6:$NM$206,"*CJF/PER*")</f>
        <v/>
      </c>
      <c r="MX27" s="170">
        <f>COUNTIF('INPUT - Roster'!$NN$6:$NN$206,"*CJF/PER*")</f>
        <v/>
      </c>
      <c r="MY27" s="170">
        <f>COUNTIF('INPUT - Roster'!$NO$6:$NO$206,"*CJF/PER*")</f>
        <v/>
      </c>
      <c r="MZ27" s="170">
        <f>COUNTIF('INPUT - Roster'!$NP$6:$NP$206,"*CJF/PER*")</f>
        <v/>
      </c>
      <c r="NA27" s="170">
        <f>COUNTIF('INPUT - Roster'!$NQ$6:$NQ$206,"*CJF/PER*")</f>
        <v/>
      </c>
      <c r="NB27" s="170">
        <f>COUNTIF('INPUT - Roster'!$NR$6:$NR$206,"*CJF/PER*")</f>
        <v/>
      </c>
      <c r="NC27" s="170">
        <f>COUNTIF('INPUT - Roster'!$NS$6:$NS$206,"*CJF/PER*")</f>
        <v/>
      </c>
      <c r="ND27" s="170">
        <f>COUNTIF('INPUT - Roster'!$NT$6:$NT$206,"*CJF/PER*")</f>
        <v/>
      </c>
      <c r="NE27" s="170">
        <f>COUNTIF('INPUT - Roster'!$NU$6:$NU$206,"*CJF/PER*")</f>
        <v/>
      </c>
      <c r="NF27" s="170">
        <f>COUNTIF('INPUT - Roster'!$NV$6:$NV$206,"*CJF/PER*")</f>
        <v/>
      </c>
      <c r="NG27" s="170">
        <f>COUNTIF('INPUT - Roster'!$NW$6:$NW$206,"*CJF/PER*")</f>
        <v/>
      </c>
      <c r="NH27" s="170">
        <f>COUNTIF('INPUT - Roster'!$NX$6:$NX$206,"*CJF/PER*")</f>
        <v/>
      </c>
      <c r="NI27" s="170">
        <f>COUNTIF('INPUT - Roster'!$NY$6:$NY$206,"*CJF/PER*")</f>
        <v/>
      </c>
      <c r="NJ27" s="170">
        <f>COUNTIF('INPUT - Roster'!$NZ$6:$NZ$206,"*CJF/PER*")</f>
        <v/>
      </c>
      <c r="NK27" s="170">
        <f>COUNTIF('INPUT - Roster'!$OA$6:$OA$206,"*CJF/PER*")</f>
        <v/>
      </c>
      <c r="NL27" s="170">
        <f>COUNTIF('INPUT - Roster'!$OB$6:$OB$206,"*CJF/PER*")</f>
        <v/>
      </c>
      <c r="NM27" s="170">
        <f>COUNTIF('INPUT - Roster'!$OC$6:$OC$206,"*CJF/PER*")</f>
        <v/>
      </c>
      <c r="NN27" s="170">
        <f>COUNTIF('INPUT - Roster'!$OD$6:$OD$206,"*CJF/PER*")</f>
        <v/>
      </c>
      <c r="NO27" s="170">
        <f>COUNTIF('INPUT - Roster'!$OE$6:$OE$206,"*CJF/PER*")</f>
        <v/>
      </c>
      <c r="NP27" s="170">
        <f>COUNTIF('INPUT - Roster'!$OF$6:$OF$206,"*CJF/PER*")</f>
        <v/>
      </c>
      <c r="NQ27" s="170">
        <f>COUNTIF('INPUT - Roster'!$OG$6:$OG$206,"*CJF/PER*")</f>
        <v/>
      </c>
      <c r="NR27" s="170">
        <f>COUNTIF('INPUT - Roster'!$OH$6:$OH$206,"*CJF/PER*")</f>
        <v/>
      </c>
      <c r="NS27" s="170">
        <f>COUNTIF('INPUT - Roster'!$OI$6:$OI$206,"*CJF/PER*")</f>
        <v/>
      </c>
      <c r="NT27" s="170">
        <f>COUNTIF('INPUT - Roster'!$OJ$6:$OJ$206,"*CJF/PER*")</f>
        <v/>
      </c>
      <c r="NU27" s="170">
        <f>COUNTIF('INPUT - Roster'!$OK$6:$OK$206,"*CJF/PER*")</f>
        <v/>
      </c>
      <c r="NV27" s="170">
        <f>COUNTIF('INPUT - Roster'!$OL$6:$OL$206,"*CJF/PER*")</f>
        <v/>
      </c>
      <c r="NW27" s="170">
        <f>COUNTIF('INPUT - Roster'!$OM$6:$OM$206,"*CJF/PER*")</f>
        <v/>
      </c>
      <c r="NX27" s="170">
        <f>COUNTIF('INPUT - Roster'!$ON$6:$ON$206,"*CJF/PER*")</f>
        <v/>
      </c>
      <c r="NY27" s="170">
        <f>COUNTIF('INPUT - Roster'!$OO$6:$OO$206,"*CJF/PER*")</f>
        <v/>
      </c>
      <c r="NZ27" s="170">
        <f>COUNTIF('INPUT - Roster'!$OP$6:$OP$206,"*CJF/PER*")</f>
        <v/>
      </c>
      <c r="OA27" s="170">
        <f>COUNTIF('INPUT - Roster'!$OQ$6:$OQ$206,"*CJF/PER*")</f>
        <v/>
      </c>
      <c r="OB27" s="170">
        <f>COUNTIF('INPUT - Roster'!$OR$6:$OR$206,"*CJF/PER*")</f>
        <v/>
      </c>
      <c r="OC27" s="170">
        <f>COUNTIF('INPUT - Roster'!$OS$6:$OS$206,"*CJF/PER*")</f>
        <v/>
      </c>
      <c r="OD27" s="170">
        <f>COUNTIF('INPUT - Roster'!$OT$6:$OT$206,"*CJF/PER*")</f>
        <v/>
      </c>
      <c r="OE27" s="170">
        <f>COUNTIF('INPUT - Roster'!$OU$6:$OU$206,"*CJF/PER*")</f>
        <v/>
      </c>
      <c r="OF27" s="170">
        <f>COUNTIF('INPUT - Roster'!$OV$6:$OV$206,"*CJF/PER*")</f>
        <v/>
      </c>
      <c r="OG27" s="170">
        <f>COUNTIF('INPUT - Roster'!$OW$6:$OW$206,"*CJF/PER*")</f>
        <v/>
      </c>
      <c r="OH27" s="170">
        <f>COUNTIF('INPUT - Roster'!$OX$6:$OX$206,"*CJF/PER*")</f>
        <v/>
      </c>
      <c r="OI27" s="170">
        <f>COUNTIF('INPUT - Roster'!$OY$6:$OY$206,"*CJF/PER*")</f>
        <v/>
      </c>
      <c r="OJ27" s="170">
        <f>COUNTIF('INPUT - Roster'!$OZ$6:$OZ$206,"*CJF/PER*")</f>
        <v/>
      </c>
      <c r="OK27" s="170">
        <f>COUNTIF('INPUT - Roster'!$PA$6:$PA$206,"*CJF/PER*")</f>
        <v/>
      </c>
      <c r="OL27" s="170">
        <f>COUNTIF('INPUT - Roster'!$PB$6:$PB$206,"*CJF/PER*")</f>
        <v/>
      </c>
      <c r="OM27" s="170">
        <f>COUNTIF('INPUT - Roster'!$PC$6:$PC$206,"*CJF/PER*")</f>
        <v/>
      </c>
      <c r="ON27" s="170">
        <f>COUNTIF('INPUT - Roster'!$PD$6:$PD$206,"*CJF/PER*")</f>
        <v/>
      </c>
      <c r="OO27" s="170">
        <f>COUNTIF('INPUT - Roster'!$PE$6:$PE$206,"*CJF/PER*")</f>
        <v/>
      </c>
      <c r="OP27" s="170">
        <f>COUNTIF('INPUT - Roster'!$PF$6:$PF$206,"*CJF/PER*")</f>
        <v/>
      </c>
      <c r="OQ27" s="170">
        <f>COUNTIF('INPUT - Roster'!$PG$6:$PG$206,"*CJF/PER*")</f>
        <v/>
      </c>
      <c r="OR27" s="170">
        <f>COUNTIF('INPUT - Roster'!$PH$6:$PH$206,"*CJF/PER*")</f>
        <v/>
      </c>
      <c r="OS27" s="170">
        <f>COUNTIF('INPUT - Roster'!$PI$6:$PI$206,"*CJF/PER*")</f>
        <v/>
      </c>
      <c r="OT27" s="170">
        <f>COUNTIF('INPUT - Roster'!$PJ$6:$PJ$206,"*CJF/PER*")</f>
        <v/>
      </c>
      <c r="OU27" s="170">
        <f>COUNTIF('INPUT - Roster'!$PK$6:$PK$206,"*CJF/PER*")</f>
        <v/>
      </c>
      <c r="OV27" s="170">
        <f>COUNTIF('INPUT - Roster'!$PL$6:$PL$206,"*CJF/PER*")</f>
        <v/>
      </c>
      <c r="OW27" s="170">
        <f>COUNTIF('INPUT - Roster'!$PM$6:$PM$206,"*CJF/PER*")</f>
        <v/>
      </c>
      <c r="OX27" s="170">
        <f>COUNTIF('INPUT - Roster'!$PN$6:$PN$206,"*CJF/PER*")</f>
        <v/>
      </c>
      <c r="OY27" s="170">
        <f>COUNTIF('INPUT - Roster'!$PO$6:$PO$206,"*CJF/PER*")</f>
        <v/>
      </c>
      <c r="OZ27" s="170">
        <f>COUNTIF('INPUT - Roster'!$PP$6:$PP$206,"*CJF/PER*")</f>
        <v/>
      </c>
      <c r="PA27" s="170">
        <f>COUNTIF('INPUT - Roster'!$PQ$6:$PQ$206,"*CJF/PER*")</f>
        <v/>
      </c>
      <c r="PB27" s="170">
        <f>COUNTIF('INPUT - Roster'!$PR$6:$PR$206,"*CJF/PER*")</f>
        <v/>
      </c>
      <c r="PC27" s="170">
        <f>COUNTIF('INPUT - Roster'!$PS$6:$PS$206,"*CJF/PER*")</f>
        <v/>
      </c>
      <c r="PD27" s="170">
        <f>COUNTIF('INPUT - Roster'!$PT$6:$PT$206,"*CJF/PER*")</f>
        <v/>
      </c>
      <c r="PE27" s="170">
        <f>COUNTIF('INPUT - Roster'!$PU$6:$PU$206,"*CJF/PER*")</f>
        <v/>
      </c>
      <c r="PF27" s="170">
        <f>COUNTIF('INPUT - Roster'!$PV$6:$PV$206,"*CJF/PER*")</f>
        <v/>
      </c>
      <c r="PG27" s="170">
        <f>COUNTIF('INPUT - Roster'!$PW$6:$PW$206,"*CJF/PER*")</f>
        <v/>
      </c>
      <c r="PH27" s="170">
        <f>COUNTIF('INPUT - Roster'!$PX$6:$PX$206,"*CJF/PER*")</f>
        <v/>
      </c>
      <c r="PI27" s="170">
        <f>COUNTIF('INPUT - Roster'!$PY$6:$PY$206,"*CJF/PER*")</f>
        <v/>
      </c>
      <c r="PJ27" s="170">
        <f>COUNTIF('INPUT - Roster'!$PZ$6:$PZ$206,"*CJF/PER*")</f>
        <v/>
      </c>
      <c r="PK27" s="170">
        <f>COUNTIF('INPUT - Roster'!$QA$6:$QA$206,"*CJF/PER*")</f>
        <v/>
      </c>
      <c r="PL27" s="170">
        <f>COUNTIF('INPUT - Roster'!$QB$6:$QB$206,"*CJF/PER*")</f>
        <v/>
      </c>
      <c r="PM27" s="170">
        <f>COUNTIF('INPUT - Roster'!$QC$6:$QC$206,"*CJF/PER*")</f>
        <v/>
      </c>
      <c r="PN27" s="170">
        <f>COUNTIF('INPUT - Roster'!$QD$6:$QD$206,"*CJF/PER*")</f>
        <v/>
      </c>
      <c r="PO27" s="170">
        <f>COUNTIF('INPUT - Roster'!$QE$6:$QE$206,"*CJF/PER*")</f>
        <v/>
      </c>
      <c r="PP27" s="170">
        <f>COUNTIF('INPUT - Roster'!$QF$6:$QF$206,"*CJF/PER*")</f>
        <v/>
      </c>
      <c r="PQ27" s="170">
        <f>COUNTIF('INPUT - Roster'!$QG$6:$QG$206,"*CJF/PER*")</f>
        <v/>
      </c>
      <c r="PR27" s="170">
        <f>COUNTIF('INPUT - Roster'!$QH$6:$QH$206,"*CJF/PER*")</f>
        <v/>
      </c>
      <c r="PS27" s="170">
        <f>COUNTIF('INPUT - Roster'!$QI$6:$QI$206,"*CJF/PER*")</f>
        <v/>
      </c>
      <c r="PT27" s="170">
        <f>COUNTIF('INPUT - Roster'!$QJ$6:$QJ$206,"*CJF/PER*")</f>
        <v/>
      </c>
      <c r="PU27" s="170">
        <f>COUNTIF('INPUT - Roster'!$QK$6:$QK$206,"*CJF/PER*")</f>
        <v/>
      </c>
      <c r="PV27" s="170">
        <f>COUNTIF('INPUT - Roster'!$QL$6:$QL$206,"*CJF/PER*")</f>
        <v/>
      </c>
      <c r="PW27" s="170">
        <f>COUNTIF('INPUT - Roster'!$QM$6:$QM$206,"*CJF/PER*")</f>
        <v/>
      </c>
      <c r="PX27" s="170">
        <f>COUNTIF('INPUT - Roster'!$QN$6:$QN$206,"*CJF/PER*")</f>
        <v/>
      </c>
      <c r="PY27" s="170">
        <f>COUNTIF('INPUT - Roster'!$QO$6:$QO$206,"*CJF/PER*")</f>
        <v/>
      </c>
      <c r="PZ27" s="170">
        <f>COUNTIF('INPUT - Roster'!$QP$6:$QP$206,"*CJF/PER*")</f>
        <v/>
      </c>
      <c r="QA27" s="170">
        <f>COUNTIF('INPUT - Roster'!$QQ$6:$QQ$206,"*CJF/PER*")</f>
        <v/>
      </c>
      <c r="QB27" s="170">
        <f>COUNTIF('INPUT - Roster'!$QR$6:$QR$206,"*CJF/PER*")</f>
        <v/>
      </c>
      <c r="QC27" s="170">
        <f>COUNTIF('INPUT - Roster'!$QS$6:$QS$206,"*CJF/PER*")</f>
        <v/>
      </c>
      <c r="QD27" s="170">
        <f>COUNTIF('INPUT - Roster'!$QT$6:$QT$206,"*CJF/PER*")</f>
        <v/>
      </c>
      <c r="QE27" s="170">
        <f>COUNTIF('INPUT - Roster'!$QU$6:$QU$206,"*CJF/PER*")</f>
        <v/>
      </c>
      <c r="QF27" s="170">
        <f>COUNTIF('INPUT - Roster'!$QV$6:$QV$206,"*CJF/PER*")</f>
        <v/>
      </c>
      <c r="QG27" s="170">
        <f>COUNTIF('INPUT - Roster'!$QW$6:$QW$206,"*CJF/PER*")</f>
        <v/>
      </c>
      <c r="QH27" s="170">
        <f>COUNTIF('INPUT - Roster'!$QX$6:$QX$206,"*CJF/PER*")</f>
        <v/>
      </c>
      <c r="QI27" s="170">
        <f>COUNTIF('INPUT - Roster'!$QY$6:$QY$206,"*CJF/PER*")</f>
        <v/>
      </c>
      <c r="QJ27" s="170">
        <f>COUNTIF('INPUT - Roster'!$QZ$6:$QZ$206,"*CJF/PER*")</f>
        <v/>
      </c>
      <c r="QK27" s="170">
        <f>COUNTIF('INPUT - Roster'!$RA$6:$RA$206,"*CJF/PER*")</f>
        <v/>
      </c>
      <c r="QL27" s="170">
        <f>COUNTIF('INPUT - Roster'!$RB$6:$RB$206,"*CJF/PER*")</f>
        <v/>
      </c>
      <c r="QM27" s="170">
        <f>COUNTIF('INPUT - Roster'!$RC$6:$RC$206,"*CJF/PER*")</f>
        <v/>
      </c>
      <c r="QN27" s="170">
        <f>COUNTIF('INPUT - Roster'!$RD$6:$RD$206,"*CJF/PER*")</f>
        <v/>
      </c>
      <c r="QO27" s="170">
        <f>COUNTIF('INPUT - Roster'!$RE$6:$RE$206,"*CJF/PER*")</f>
        <v/>
      </c>
      <c r="QP27" s="170">
        <f>COUNTIF('INPUT - Roster'!$RF$6:$RF$206,"*CJF/PER*")</f>
        <v/>
      </c>
      <c r="QQ27" s="170">
        <f>COUNTIF('INPUT - Roster'!$RG$6:$RG$206,"*CJF/PER*")</f>
        <v/>
      </c>
      <c r="QR27" s="170">
        <f>COUNTIF('INPUT - Roster'!$RH$6:$RH$206,"*CJF/PER*")</f>
        <v/>
      </c>
      <c r="QS27" s="170">
        <f>COUNTIF('INPUT - Roster'!$RI$6:$RI$206,"*CJF/PER*")</f>
        <v/>
      </c>
      <c r="QT27" s="170">
        <f>COUNTIF('INPUT - Roster'!$RJ$6:$RJ$206,"*CJF/PER*")</f>
        <v/>
      </c>
      <c r="QU27" s="170">
        <f>COUNTIF('INPUT - Roster'!$RK$6:$RK$206,"*CJF/PER*")</f>
        <v/>
      </c>
      <c r="QV27" s="170">
        <f>COUNTIF('INPUT - Roster'!$RL$6:$RL$206,"*CJF/PER*")</f>
        <v/>
      </c>
      <c r="QW27" s="170">
        <f>COUNTIF('INPUT - Roster'!$RM$6:$RM$206,"*CJF/PER*")</f>
        <v/>
      </c>
      <c r="QX27" s="170">
        <f>COUNTIF('INPUT - Roster'!$RN$6:$RN$206,"*CJF/PER*")</f>
        <v/>
      </c>
      <c r="QY27" s="170">
        <f>COUNTIF('INPUT - Roster'!$RO$6:$RO$206,"*CJF/PER*")</f>
        <v/>
      </c>
      <c r="QZ27" s="170">
        <f>COUNTIF('INPUT - Roster'!$RP$6:$RP$206,"*CJF/PER*")</f>
        <v/>
      </c>
      <c r="RA27" s="170">
        <f>COUNTIF('INPUT - Roster'!$RQ$6:$RQ$206,"*CJF/PER*")</f>
        <v/>
      </c>
      <c r="RB27" s="170">
        <f>COUNTIF('INPUT - Roster'!$RR$6:$RR$206,"*CJF/PER*")</f>
        <v/>
      </c>
      <c r="RC27" s="170">
        <f>COUNTIF('INPUT - Roster'!$RS$6:$RS$206,"*CJF/PER*")</f>
        <v/>
      </c>
      <c r="RD27" s="170">
        <f>COUNTIF('INPUT - Roster'!$RT$6:$RT$206,"*CJF/PER*")</f>
        <v/>
      </c>
      <c r="RE27" s="170">
        <f>COUNTIF('INPUT - Roster'!$RU$6:$RU$206,"*CJF/PER*")</f>
        <v/>
      </c>
      <c r="RF27" s="170">
        <f>COUNTIF('INPUT - Roster'!$RV$6:$RV$206,"*CJF/PER*")</f>
        <v/>
      </c>
      <c r="RG27" s="170">
        <f>COUNTIF('INPUT - Roster'!$RW$6:$RW$206,"*CJF/PER*")</f>
        <v/>
      </c>
      <c r="RH27" s="170">
        <f>COUNTIF('INPUT - Roster'!$RX$6:$RX$206,"*CJF/PER*")</f>
        <v/>
      </c>
      <c r="RI27" s="170">
        <f>COUNTIF('INPUT - Roster'!$RY$6:$RY$206,"*CJF/PER*")</f>
        <v/>
      </c>
      <c r="RJ27" s="170">
        <f>COUNTIF('INPUT - Roster'!$RZ$6:$RZ$206,"*CJF/PER*")</f>
        <v/>
      </c>
      <c r="RK27" s="170">
        <f>COUNTIF('INPUT - Roster'!$SA$6:$SA$206,"*CJF/PER*")</f>
        <v/>
      </c>
      <c r="RL27" s="170">
        <f>COUNTIF('INPUT - Roster'!$SB$6:$SB$206,"*CJF/PER*")</f>
        <v/>
      </c>
      <c r="RM27" s="170">
        <f>COUNTIF('INPUT - Roster'!$SC$6:$SC$206,"*CJF/PER*")</f>
        <v/>
      </c>
      <c r="RN27" s="170">
        <f>COUNTIF('INPUT - Roster'!$SD$6:$SD$206,"*CJF/PER*")</f>
        <v/>
      </c>
      <c r="RO27" s="170">
        <f>COUNTIF('INPUT - Roster'!$SE$6:$SE$206,"*CJF/PER*")</f>
        <v/>
      </c>
      <c r="RP27" s="170">
        <f>COUNTIF('INPUT - Roster'!$SF$6:$SF$206,"*CJF/PER*")</f>
        <v/>
      </c>
      <c r="RQ27" s="170">
        <f>COUNTIF('INPUT - Roster'!$SG$6:$SG$206,"*CJF/PER*")</f>
        <v/>
      </c>
      <c r="RR27" s="170">
        <f>COUNTIF('INPUT - Roster'!$SH$6:$SH$206,"*CJF/PER*")</f>
        <v/>
      </c>
      <c r="RS27" s="170">
        <f>COUNTIF('INPUT - Roster'!$SI$6:$SI$206,"*CJF/PER*")</f>
        <v/>
      </c>
      <c r="RT27" s="170">
        <f>COUNTIF('INPUT - Roster'!$SJ$6:$SJ$206,"*CJF/PER*")</f>
        <v/>
      </c>
      <c r="RU27" s="170">
        <f>COUNTIF('INPUT - Roster'!$SK$6:$SK$206,"*CJF/PER*")</f>
        <v/>
      </c>
      <c r="RV27" s="170">
        <f>COUNTIF('INPUT - Roster'!$SL$6:$SL$206,"*CJF/PER*")</f>
        <v/>
      </c>
      <c r="RW27" s="170">
        <f>COUNTIF('INPUT - Roster'!$SM$6:$SM$206,"*CJF/PER*")</f>
        <v/>
      </c>
      <c r="RX27" s="170">
        <f>COUNTIF('INPUT - Roster'!$SN$6:$SN$206,"*CJF/PER*")</f>
        <v/>
      </c>
      <c r="RY27" s="170">
        <f>COUNTIF('INPUT - Roster'!$SO$6:$SO$206,"*CJF/PER*")</f>
        <v/>
      </c>
      <c r="RZ27" s="170">
        <f>COUNTIF('INPUT - Roster'!$SP$6:$SP$206,"*CJF/PER*")</f>
        <v/>
      </c>
      <c r="SA27" s="170">
        <f>COUNTIF('INPUT - Roster'!$SQ$6:$SQ$206,"*CJF/PER*")</f>
        <v/>
      </c>
      <c r="SB27" s="170">
        <f>COUNTIF('INPUT - Roster'!$SR$6:$SR$206,"*CJF/PER*")</f>
        <v/>
      </c>
      <c r="SC27" s="170">
        <f>COUNTIF('INPUT - Roster'!$SS$6:$SS$206,"*CJF/PER*")</f>
        <v/>
      </c>
      <c r="SD27" s="170">
        <f>COUNTIF('INPUT - Roster'!$ST$6:$ST$206,"*CJF/PER*")</f>
        <v/>
      </c>
      <c r="SE27" s="170">
        <f>COUNTIF('INPUT - Roster'!$SU$6:$SU$206,"*CJF/PER*")</f>
        <v/>
      </c>
      <c r="SF27" s="170">
        <f>COUNTIF('INPUT - Roster'!$SV$6:$SV$206,"*CJF/PER*")</f>
        <v/>
      </c>
    </row>
    <row r="28">
      <c r="B28" s="169" t="inlineStr">
        <is>
          <t>Fly in  PER/BYP</t>
        </is>
      </c>
      <c r="C28" s="170">
        <f>COUNTIF('INPUT - Roster'!$S$6:$S$206,"*PER/BYP*")</f>
        <v/>
      </c>
      <c r="D28" s="170">
        <f>COUNTIF('INPUT - Roster'!$T$6:$T$206,"*PER/BYP*")</f>
        <v/>
      </c>
      <c r="E28" s="170">
        <f>COUNTIF('INPUT - Roster'!$U$6:$U$206,"*PER/BYP*")</f>
        <v/>
      </c>
      <c r="F28" s="170">
        <f>COUNTIF('INPUT - Roster'!$V$6:$V$206,"*PER/BYP*")</f>
        <v/>
      </c>
      <c r="G28" s="170">
        <f>COUNTIF('INPUT - Roster'!$W$6:$W$206,"*PER/BYP*")</f>
        <v/>
      </c>
      <c r="H28" s="170">
        <f>COUNTIF('INPUT - Roster'!$X$6:$X$206,"*PER/BYP*")</f>
        <v/>
      </c>
      <c r="I28" s="170">
        <f>COUNTIF('INPUT - Roster'!$Y$6:$Y$206,"*PER/BYP*")</f>
        <v/>
      </c>
      <c r="J28" s="170">
        <f>COUNTIF('INPUT - Roster'!$Z$6:$Z$206,"*PER/BYP*")</f>
        <v/>
      </c>
      <c r="K28" s="170">
        <f>COUNTIF('INPUT - Roster'!$AA$6:$AA$206,"*PER/BYP*")</f>
        <v/>
      </c>
      <c r="L28" s="170">
        <f>COUNTIF('INPUT - Roster'!$AB$6:$AB$206,"*PER/BYP*")</f>
        <v/>
      </c>
      <c r="M28" s="170">
        <f>COUNTIF('INPUT - Roster'!$AC$6:$AC$206,"*PER/BYP*")</f>
        <v/>
      </c>
      <c r="N28" s="170">
        <f>COUNTIF('INPUT - Roster'!$AD$6:$AD$206,"*PER/BYP*")</f>
        <v/>
      </c>
      <c r="O28" s="170">
        <f>COUNTIF('INPUT - Roster'!$AE$6:$AE$206,"*PER/BYP*")</f>
        <v/>
      </c>
      <c r="P28" s="170">
        <f>COUNTIF('INPUT - Roster'!$AF$6:$AF$206,"*PER/BYP*")</f>
        <v/>
      </c>
      <c r="Q28" s="170">
        <f>COUNTIF('INPUT - Roster'!$AG$6:$AG$206,"*PER/BYP*")</f>
        <v/>
      </c>
      <c r="R28" s="170">
        <f>COUNTIF('INPUT - Roster'!$AH$6:$AH$206,"*PER/BYP*")</f>
        <v/>
      </c>
      <c r="S28" s="170">
        <f>COUNTIF('INPUT - Roster'!$AI$6:$AI$206,"*PER/BYP*")</f>
        <v/>
      </c>
      <c r="T28" s="170">
        <f>COUNTIF('INPUT - Roster'!$AJ$6:$AJ$206,"*PER/BYP*")</f>
        <v/>
      </c>
      <c r="U28" s="170">
        <f>COUNTIF('INPUT - Roster'!$AK$6:$AK$206,"*PER/BYP*")</f>
        <v/>
      </c>
      <c r="V28" s="170">
        <f>COUNTIF('INPUT - Roster'!$AL$6:$AL$206,"*PER/BYP*")</f>
        <v/>
      </c>
      <c r="W28" s="170">
        <f>COUNTIF('INPUT - Roster'!$AM$6:$AM$206,"*PER/BYP*")</f>
        <v/>
      </c>
      <c r="X28" s="170">
        <f>COUNTIF('INPUT - Roster'!$AN$6:$AN$206,"*PER/BYP*")</f>
        <v/>
      </c>
      <c r="Y28" s="170">
        <f>COUNTIF('INPUT - Roster'!$AO$6:$AO$206,"*PER/BYP*")</f>
        <v/>
      </c>
      <c r="Z28" s="170">
        <f>COUNTIF('INPUT - Roster'!$AP$6:$AP$206,"*PER/BYP*")</f>
        <v/>
      </c>
      <c r="AA28" s="170">
        <f>COUNTIF('INPUT - Roster'!$AQ$6:$AQ$206,"*PER/BYP*")</f>
        <v/>
      </c>
      <c r="AB28" s="170">
        <f>COUNTIF('INPUT - Roster'!$AR$6:$AR$206,"*PER/BYP*")</f>
        <v/>
      </c>
      <c r="AC28" s="170">
        <f>COUNTIF('INPUT - Roster'!$AS$6:$AS$206,"*PER/BYP*")</f>
        <v/>
      </c>
      <c r="AD28" s="170">
        <f>COUNTIF('INPUT - Roster'!$AT$6:$AT$206,"*PER/BYP*")</f>
        <v/>
      </c>
      <c r="AE28" s="170">
        <f>COUNTIF('INPUT - Roster'!$AU$6:$AU$206,"*PER/BYP*")</f>
        <v/>
      </c>
      <c r="AF28" s="170">
        <f>COUNTIF('INPUT - Roster'!$AV$6:$AV$206,"*PER/BYP*")</f>
        <v/>
      </c>
      <c r="AG28" s="170">
        <f>COUNTIF('INPUT - Roster'!$AW$6:$AW$206,"*PER/BYP*")</f>
        <v/>
      </c>
      <c r="AH28" s="170">
        <f>COUNTIF('INPUT - Roster'!$AX$6:$AX$206,"*PER/BYP*")</f>
        <v/>
      </c>
      <c r="AI28" s="170">
        <f>COUNTIF('INPUT - Roster'!$AY$6:$AY$206,"*PER/BYP*")</f>
        <v/>
      </c>
      <c r="AJ28" s="170">
        <f>COUNTIF('INPUT - Roster'!$AZ$6:$AZ$206,"*PER/BYP*")</f>
        <v/>
      </c>
      <c r="AK28" s="170">
        <f>COUNTIF('INPUT - Roster'!$BA$6:$BA$206,"*PER/BYP*")</f>
        <v/>
      </c>
      <c r="AL28" s="170">
        <f>COUNTIF('INPUT - Roster'!$BB$6:$BB$206,"*PER/BYP*")</f>
        <v/>
      </c>
      <c r="AM28" s="170">
        <f>COUNTIF('INPUT - Roster'!$BC$6:$BC$206,"*PER/BYP*")</f>
        <v/>
      </c>
      <c r="AN28" s="170">
        <f>COUNTIF('INPUT - Roster'!$BD$6:$BD$206,"*PER/BYP*")</f>
        <v/>
      </c>
      <c r="AO28" s="170">
        <f>COUNTIF('INPUT - Roster'!$BE$6:$BE$206,"*PER/BYP*")</f>
        <v/>
      </c>
      <c r="AP28" s="170">
        <f>COUNTIF('INPUT - Roster'!$BF$6:$BF$206,"*PER/BYP*")</f>
        <v/>
      </c>
      <c r="AQ28" s="170">
        <f>COUNTIF('INPUT - Roster'!$BG$6:$BG$206,"*PER/BYP*")</f>
        <v/>
      </c>
      <c r="AR28" s="170">
        <f>COUNTIF('INPUT - Roster'!$BH$6:$BH$206,"*PER/BYP*")</f>
        <v/>
      </c>
      <c r="AS28" s="170">
        <f>COUNTIF('INPUT - Roster'!$BI$6:$BI$206,"*PER/BYP*")</f>
        <v/>
      </c>
      <c r="AT28" s="170">
        <f>COUNTIF('INPUT - Roster'!$BJ$6:$BJ$206,"*PER/BYP*")</f>
        <v/>
      </c>
      <c r="AU28" s="170">
        <f>COUNTIF('INPUT - Roster'!$BK$6:$BK$206,"*PER/BYP*")</f>
        <v/>
      </c>
      <c r="AV28" s="170">
        <f>COUNTIF('INPUT - Roster'!$BL$6:$BL$206,"*PER/BYP*")</f>
        <v/>
      </c>
      <c r="AW28" s="170">
        <f>COUNTIF('INPUT - Roster'!$BM$6:$BM$206,"*PER/BYP*")</f>
        <v/>
      </c>
      <c r="AX28" s="170">
        <f>COUNTIF('INPUT - Roster'!$BN$6:$BN$206,"*PER/BYP*")</f>
        <v/>
      </c>
      <c r="AY28" s="170">
        <f>COUNTIF('INPUT - Roster'!$BO$6:$BO$206,"*PER/BYP*")</f>
        <v/>
      </c>
      <c r="AZ28" s="170">
        <f>COUNTIF('INPUT - Roster'!$BP$6:$BP$206,"*PER/BYP*")</f>
        <v/>
      </c>
      <c r="BA28" s="170">
        <f>COUNTIF('INPUT - Roster'!$BQ$6:$BQ$206,"*PER/BYP*")</f>
        <v/>
      </c>
      <c r="BB28" s="170">
        <f>COUNTIF('INPUT - Roster'!$BR$6:$BR$206,"*PER/BYP*")</f>
        <v/>
      </c>
      <c r="BC28" s="170">
        <f>COUNTIF('INPUT - Roster'!$BS$6:$BS$206,"*PER/BYP*")</f>
        <v/>
      </c>
      <c r="BD28" s="170">
        <f>COUNTIF('INPUT - Roster'!$BT$6:$BT$206,"*PER/BYP*")</f>
        <v/>
      </c>
      <c r="BE28" s="170">
        <f>COUNTIF('INPUT - Roster'!$BU$6:$BU$206,"*PER/BYP*")</f>
        <v/>
      </c>
      <c r="BF28" s="170">
        <f>COUNTIF('INPUT - Roster'!$BV$6:$BV$206,"*PER/BYP*")</f>
        <v/>
      </c>
      <c r="BG28" s="170">
        <f>COUNTIF('INPUT - Roster'!$BW$6:$BW$206,"*PER/BYP*")</f>
        <v/>
      </c>
      <c r="BH28" s="170">
        <f>COUNTIF('INPUT - Roster'!$BX$6:$BX$206,"*PER/BYP*")</f>
        <v/>
      </c>
      <c r="BI28" s="170">
        <f>COUNTIF('INPUT - Roster'!$BY$6:$BY$206,"*PER/BYP*")</f>
        <v/>
      </c>
      <c r="BJ28" s="170">
        <f>COUNTIF('INPUT - Roster'!$BZ$6:$BZ$206,"*PER/BYP*")</f>
        <v/>
      </c>
      <c r="BK28" s="170">
        <f>COUNTIF('INPUT - Roster'!$CA$6:$CA$206,"*PER/BYP*")</f>
        <v/>
      </c>
      <c r="BL28" s="170">
        <f>COUNTIF('INPUT - Roster'!$CB$6:$CB$206,"*PER/BYP*")</f>
        <v/>
      </c>
      <c r="BM28" s="170">
        <f>COUNTIF('INPUT - Roster'!$CC$6:$CC$206,"*PER/BYP*")</f>
        <v/>
      </c>
      <c r="BN28" s="170">
        <f>COUNTIF('INPUT - Roster'!$CD$6:$CD$206,"*PER/BYP*")</f>
        <v/>
      </c>
      <c r="BO28" s="170">
        <f>COUNTIF('INPUT - Roster'!$CE$6:$CE$206,"*PER/BYP*")</f>
        <v/>
      </c>
      <c r="BP28" s="170">
        <f>COUNTIF('INPUT - Roster'!$CF$6:$CF$206,"*PER/BYP*")</f>
        <v/>
      </c>
      <c r="BQ28" s="170">
        <f>COUNTIF('INPUT - Roster'!$CG$6:$CG$206,"*PER/BYP*")</f>
        <v/>
      </c>
      <c r="BR28" s="170">
        <f>COUNTIF('INPUT - Roster'!$CH$6:$CH$206,"*PER/BYP*")</f>
        <v/>
      </c>
      <c r="BS28" s="170">
        <f>COUNTIF('INPUT - Roster'!$CI$6:$CI$206,"*PER/BYP*")</f>
        <v/>
      </c>
      <c r="BT28" s="170">
        <f>COUNTIF('INPUT - Roster'!$CJ$6:$CJ$206,"*PER/BYP*")</f>
        <v/>
      </c>
      <c r="BU28" s="170">
        <f>COUNTIF('INPUT - Roster'!$CK$6:$CK$206,"*PER/BYP*")</f>
        <v/>
      </c>
      <c r="BV28" s="170">
        <f>COUNTIF('INPUT - Roster'!$CL$6:$CL$206,"*PER/BYP*")</f>
        <v/>
      </c>
      <c r="BW28" s="170">
        <f>COUNTIF('INPUT - Roster'!$CM$6:$CM$206,"*PER/BYP*")</f>
        <v/>
      </c>
      <c r="BX28" s="170">
        <f>COUNTIF('INPUT - Roster'!$CN$6:$CN$206,"*PER/BYP*")</f>
        <v/>
      </c>
      <c r="BY28" s="170">
        <f>COUNTIF('INPUT - Roster'!$CO$6:$CO$206,"*PER/BYP*")</f>
        <v/>
      </c>
      <c r="BZ28" s="170">
        <f>COUNTIF('INPUT - Roster'!$CP$6:$CP$206,"*PER/BYP*")</f>
        <v/>
      </c>
      <c r="CA28" s="170">
        <f>COUNTIF('INPUT - Roster'!$CQ$6:$CQ$206,"*PER/BYP*")</f>
        <v/>
      </c>
      <c r="CB28" s="170">
        <f>COUNTIF('INPUT - Roster'!$CR$6:$CR$206,"*PER/BYP*")</f>
        <v/>
      </c>
      <c r="CC28" s="170">
        <f>COUNTIF('INPUT - Roster'!$CS$6:$CS$206,"*PER/BYP*")</f>
        <v/>
      </c>
      <c r="CD28" s="170">
        <f>COUNTIF('INPUT - Roster'!$CT$6:$CT$206,"*PER/BYP*")</f>
        <v/>
      </c>
      <c r="CE28" s="170">
        <f>COUNTIF('INPUT - Roster'!$CU$6:$CU$206,"*PER/BYP*")</f>
        <v/>
      </c>
      <c r="CF28" s="170">
        <f>COUNTIF('INPUT - Roster'!$CV$6:$CV$206,"*PER/BYP*")</f>
        <v/>
      </c>
      <c r="CG28" s="170">
        <f>COUNTIF('INPUT - Roster'!$CW$6:$CW$206,"*PER/BYP*")</f>
        <v/>
      </c>
      <c r="CH28" s="170">
        <f>COUNTIF('INPUT - Roster'!$CX$6:$CX$206,"*PER/BYP*")</f>
        <v/>
      </c>
      <c r="CI28" s="170">
        <f>COUNTIF('INPUT - Roster'!$CY$6:$CY$206,"*PER/BYP*")</f>
        <v/>
      </c>
      <c r="CJ28" s="170">
        <f>COUNTIF('INPUT - Roster'!$CZ$6:$CZ$206,"*PER/BYP*")</f>
        <v/>
      </c>
      <c r="CK28" s="170">
        <f>COUNTIF('INPUT - Roster'!$DA$6:$DA$206,"*PER/BYP*")</f>
        <v/>
      </c>
      <c r="CL28" s="170">
        <f>COUNTIF('INPUT - Roster'!$DB$6:$DB$206,"*PER/BYP*")</f>
        <v/>
      </c>
      <c r="CM28" s="170">
        <f>COUNTIF('INPUT - Roster'!$DC$6:$DC$206,"*PER/BYP*")</f>
        <v/>
      </c>
      <c r="CN28" s="170">
        <f>COUNTIF('INPUT - Roster'!$DD$6:$DD$206,"*PER/BYP*")</f>
        <v/>
      </c>
      <c r="CO28" s="170">
        <f>COUNTIF('INPUT - Roster'!$DE$6:$DE$206,"*PER/BYP*")</f>
        <v/>
      </c>
      <c r="CP28" s="170">
        <f>COUNTIF('INPUT - Roster'!$DF$6:$DF$206,"*PER/BYP*")</f>
        <v/>
      </c>
      <c r="CQ28" s="170">
        <f>COUNTIF('INPUT - Roster'!$DG$6:$DG$206,"*PER/BYP*")</f>
        <v/>
      </c>
      <c r="CR28" s="170">
        <f>COUNTIF('INPUT - Roster'!$DH$6:$DH$206,"*PER/BYP*")</f>
        <v/>
      </c>
      <c r="CS28" s="170">
        <f>COUNTIF('INPUT - Roster'!$DI$6:$DI$206,"*PER/BYP*")</f>
        <v/>
      </c>
      <c r="CT28" s="170">
        <f>COUNTIF('INPUT - Roster'!$DJ$6:$DJ$206,"*PER/BYP*")</f>
        <v/>
      </c>
      <c r="CU28" s="170">
        <f>COUNTIF('INPUT - Roster'!$DK$6:$DK$206,"*PER/BYP*")</f>
        <v/>
      </c>
      <c r="CV28" s="170">
        <f>COUNTIF('INPUT - Roster'!$DL$6:$DL$206,"*PER/BYP*")</f>
        <v/>
      </c>
      <c r="CW28" s="170">
        <f>COUNTIF('INPUT - Roster'!$DM$6:$DM$206,"*PER/BYP*")</f>
        <v/>
      </c>
      <c r="CX28" s="170">
        <f>COUNTIF('INPUT - Roster'!$DN$6:$DN$206,"*PER/BYP*")</f>
        <v/>
      </c>
      <c r="CY28" s="170">
        <f>COUNTIF('INPUT - Roster'!$DO$6:$DO$206,"*PER/BYP*")</f>
        <v/>
      </c>
      <c r="CZ28" s="170">
        <f>COUNTIF('INPUT - Roster'!$DP$6:$DP$206,"*PER/BYP*")</f>
        <v/>
      </c>
      <c r="DA28" s="170">
        <f>COUNTIF('INPUT - Roster'!$DQ$6:$DQ$206,"*PER/BYP*")</f>
        <v/>
      </c>
      <c r="DB28" s="170">
        <f>COUNTIF('INPUT - Roster'!$DR$6:$DR$206,"*PER/BYP*")</f>
        <v/>
      </c>
      <c r="DC28" s="170">
        <f>COUNTIF('INPUT - Roster'!$DS$6:$DS$206,"*PER/BYP*")</f>
        <v/>
      </c>
      <c r="DD28" s="170">
        <f>COUNTIF('INPUT - Roster'!$DT$6:$DT$206,"*PER/BYP*")</f>
        <v/>
      </c>
      <c r="DE28" s="170">
        <f>COUNTIF('INPUT - Roster'!$DU$6:$DU$206,"*PER/BYP*")</f>
        <v/>
      </c>
      <c r="DF28" s="170">
        <f>COUNTIF('INPUT - Roster'!$DV$6:$DV$206,"*PER/BYP*")</f>
        <v/>
      </c>
      <c r="DG28" s="170">
        <f>COUNTIF('INPUT - Roster'!$DW$6:$DW$206,"*PER/BYP*")</f>
        <v/>
      </c>
      <c r="DH28" s="170">
        <f>COUNTIF('INPUT - Roster'!$DX$6:$DX$206,"*PER/BYP*")</f>
        <v/>
      </c>
      <c r="DI28" s="170">
        <f>COUNTIF('INPUT - Roster'!$DY$6:$DY$206,"*PER/BYP*")</f>
        <v/>
      </c>
      <c r="DJ28" s="170">
        <f>COUNTIF('INPUT - Roster'!$DZ$6:$DZ$206,"*PER/BYP*")</f>
        <v/>
      </c>
      <c r="DK28" s="170">
        <f>COUNTIF('INPUT - Roster'!$EA$6:$EA$206,"*PER/BYP*")</f>
        <v/>
      </c>
      <c r="DL28" s="170">
        <f>COUNTIF('INPUT - Roster'!$EB$6:$EB$206,"*PER/BYP*")</f>
        <v/>
      </c>
      <c r="DM28" s="170">
        <f>COUNTIF('INPUT - Roster'!$EC$6:$EC$206,"*PER/BYP*")</f>
        <v/>
      </c>
      <c r="DN28" s="170">
        <f>COUNTIF('INPUT - Roster'!$ED$6:$ED$206,"*PER/BYP*")</f>
        <v/>
      </c>
      <c r="DO28" s="170">
        <f>COUNTIF('INPUT - Roster'!$EE$6:$EE$206,"*PER/BYP*")</f>
        <v/>
      </c>
      <c r="DP28" s="170">
        <f>COUNTIF('INPUT - Roster'!$EF$6:$EF$206,"*PER/BYP*")</f>
        <v/>
      </c>
      <c r="DQ28" s="170">
        <f>COUNTIF('INPUT - Roster'!$EG$6:$EG$206,"*PER/BYP*")</f>
        <v/>
      </c>
      <c r="DR28" s="170">
        <f>COUNTIF('INPUT - Roster'!$EH$6:$EH$206,"*PER/BYP*")</f>
        <v/>
      </c>
      <c r="DS28" s="170">
        <f>COUNTIF('INPUT - Roster'!$EI$6:$EI$206,"*PER/BYP*")</f>
        <v/>
      </c>
      <c r="DT28" s="170">
        <f>COUNTIF('INPUT - Roster'!$EJ$6:$EJ$206,"*PER/BYP*")</f>
        <v/>
      </c>
      <c r="DU28" s="170">
        <f>COUNTIF('INPUT - Roster'!$EK$6:$EK$206,"*PER/BYP*")</f>
        <v/>
      </c>
      <c r="DV28" s="170">
        <f>COUNTIF('INPUT - Roster'!$EL$6:$EL$206,"*PER/BYP*")</f>
        <v/>
      </c>
      <c r="DW28" s="170">
        <f>COUNTIF('INPUT - Roster'!$EM$6:$EM$206,"*PER/BYP*")</f>
        <v/>
      </c>
      <c r="DX28" s="170">
        <f>COUNTIF('INPUT - Roster'!$EN$6:$EN$206,"*PER/BYP*")</f>
        <v/>
      </c>
      <c r="DY28" s="170">
        <f>COUNTIF('INPUT - Roster'!$EO$6:$EO$206,"*PER/BYP*")</f>
        <v/>
      </c>
      <c r="DZ28" s="170">
        <f>COUNTIF('INPUT - Roster'!$EP$6:$EP$206,"*PER/BYP*")</f>
        <v/>
      </c>
      <c r="EA28" s="170">
        <f>COUNTIF('INPUT - Roster'!$EQ$6:$EQ$206,"*PER/BYP*")</f>
        <v/>
      </c>
      <c r="EB28" s="170">
        <f>COUNTIF('INPUT - Roster'!$ER$6:$ER$206,"*PER/BYP*")</f>
        <v/>
      </c>
      <c r="EC28" s="170">
        <f>COUNTIF('INPUT - Roster'!$ES$6:$ES$206,"*PER/BYP*")</f>
        <v/>
      </c>
      <c r="ED28" s="170">
        <f>COUNTIF('INPUT - Roster'!$ET$6:$ET$206,"*PER/BYP*")</f>
        <v/>
      </c>
      <c r="EE28" s="170">
        <f>COUNTIF('INPUT - Roster'!$EU$6:$EU$206,"*PER/BYP*")</f>
        <v/>
      </c>
      <c r="EF28" s="170">
        <f>COUNTIF('INPUT - Roster'!$EV$6:$EV$206,"*PER/BYP*")</f>
        <v/>
      </c>
      <c r="EG28" s="170">
        <f>COUNTIF('INPUT - Roster'!$EW$6:$EW$206,"*PER/BYP*")</f>
        <v/>
      </c>
      <c r="EH28" s="170">
        <f>COUNTIF('INPUT - Roster'!$EX$6:$EX$206,"*PER/BYP*")</f>
        <v/>
      </c>
      <c r="EI28" s="170">
        <f>COUNTIF('INPUT - Roster'!$EY$6:$EY$206,"*PER/BYP*")</f>
        <v/>
      </c>
      <c r="EJ28" s="170">
        <f>COUNTIF('INPUT - Roster'!$EZ$6:$EZ$206,"*PER/BYP*")</f>
        <v/>
      </c>
      <c r="EK28" s="170">
        <f>COUNTIF('INPUT - Roster'!$FA$6:$FA$206,"*PER/BYP*")</f>
        <v/>
      </c>
      <c r="EL28" s="170">
        <f>COUNTIF('INPUT - Roster'!$FB$6:$FB$206,"*PER/BYP*")</f>
        <v/>
      </c>
      <c r="EM28" s="170">
        <f>COUNTIF('INPUT - Roster'!$FC$6:$FC$206,"*PER/BYP*")</f>
        <v/>
      </c>
      <c r="EN28" s="170">
        <f>COUNTIF('INPUT - Roster'!$FD$6:$FD$206,"*PER/BYP*")</f>
        <v/>
      </c>
      <c r="EO28" s="170">
        <f>COUNTIF('INPUT - Roster'!$FE$6:$FE$206,"*PER/BYP*")</f>
        <v/>
      </c>
      <c r="EP28" s="170">
        <f>COUNTIF('INPUT - Roster'!$FF$6:$FF$206,"*PER/BYP*")</f>
        <v/>
      </c>
      <c r="EQ28" s="170">
        <f>COUNTIF('INPUT - Roster'!$FG$6:$FG$206,"*PER/BYP*")</f>
        <v/>
      </c>
      <c r="ER28" s="170">
        <f>COUNTIF('INPUT - Roster'!$FH$6:$FH$206,"*PER/BYP*")</f>
        <v/>
      </c>
      <c r="ES28" s="170">
        <f>COUNTIF('INPUT - Roster'!$FI$6:$FI$206,"*PER/BYP*")</f>
        <v/>
      </c>
      <c r="ET28" s="170">
        <f>COUNTIF('INPUT - Roster'!$FJ$6:$FJ$206,"*PER/BYP*")</f>
        <v/>
      </c>
      <c r="EU28" s="170">
        <f>COUNTIF('INPUT - Roster'!$FK$6:$FK$206,"*PER/BYP*")</f>
        <v/>
      </c>
      <c r="EV28" s="170">
        <f>COUNTIF('INPUT - Roster'!$FL$6:$FL$206,"*PER/BYP*")</f>
        <v/>
      </c>
      <c r="EW28" s="170">
        <f>COUNTIF('INPUT - Roster'!$FM$6:$FM$206,"*PER/BYP*")</f>
        <v/>
      </c>
      <c r="EX28" s="170">
        <f>COUNTIF('INPUT - Roster'!$FN$6:$FN$206,"*PER/BYP*")</f>
        <v/>
      </c>
      <c r="EY28" s="170">
        <f>COUNTIF('INPUT - Roster'!$FO$6:$FO$206,"*PER/BYP*")</f>
        <v/>
      </c>
      <c r="EZ28" s="170">
        <f>COUNTIF('INPUT - Roster'!$FP$6:$FP$206,"*PER/BYP*")</f>
        <v/>
      </c>
      <c r="FA28" s="170">
        <f>COUNTIF('INPUT - Roster'!$FQ$6:$FQ$206,"*PER/BYP*")</f>
        <v/>
      </c>
      <c r="FB28" s="170">
        <f>COUNTIF('INPUT - Roster'!$FR$6:$FR$206,"*PER/BYP*")</f>
        <v/>
      </c>
      <c r="FC28" s="170">
        <f>COUNTIF('INPUT - Roster'!$FS$6:$FS$206,"*PER/BYP*")</f>
        <v/>
      </c>
      <c r="FD28" s="170">
        <f>COUNTIF('INPUT - Roster'!$FT$6:$FT$206,"*PER/BYP*")</f>
        <v/>
      </c>
      <c r="FE28" s="170">
        <f>COUNTIF('INPUT - Roster'!$FU$6:$FU$206,"*PER/BYP*")</f>
        <v/>
      </c>
      <c r="FF28" s="170">
        <f>COUNTIF('INPUT - Roster'!$FV$6:$FV$206,"*PER/BYP*")</f>
        <v/>
      </c>
      <c r="FG28" s="170">
        <f>COUNTIF('INPUT - Roster'!$FW$6:$FW$206,"*PER/BYP*")</f>
        <v/>
      </c>
      <c r="FH28" s="170">
        <f>COUNTIF('INPUT - Roster'!$FX$6:$FX$206,"*PER/BYP*")</f>
        <v/>
      </c>
      <c r="FI28" s="170">
        <f>COUNTIF('INPUT - Roster'!$FY$6:$FY$206,"*PER/BYP*")</f>
        <v/>
      </c>
      <c r="FJ28" s="170">
        <f>COUNTIF('INPUT - Roster'!$FZ$6:$FZ$206,"*PER/BYP*")</f>
        <v/>
      </c>
      <c r="FK28" s="170">
        <f>COUNTIF('INPUT - Roster'!$GA$6:$GA$206,"*PER/BYP*")</f>
        <v/>
      </c>
      <c r="FL28" s="170">
        <f>COUNTIF('INPUT - Roster'!$GB$6:$GB$206,"*PER/BYP*")</f>
        <v/>
      </c>
      <c r="FM28" s="170">
        <f>COUNTIF('INPUT - Roster'!$GC$6:$GC$206,"*PER/BYP*")</f>
        <v/>
      </c>
      <c r="FN28" s="170">
        <f>COUNTIF('INPUT - Roster'!$GD$6:$GD$206,"*PER/BYP*")</f>
        <v/>
      </c>
      <c r="FO28" s="170">
        <f>COUNTIF('INPUT - Roster'!$GE$6:$GE$206,"*PER/BYP*")</f>
        <v/>
      </c>
      <c r="FP28" s="170">
        <f>COUNTIF('INPUT - Roster'!$GF$6:$GF$206,"*PER/BYP*")</f>
        <v/>
      </c>
      <c r="FQ28" s="170">
        <f>COUNTIF('INPUT - Roster'!$GG$6:$GG$206,"*PER/BYP*")</f>
        <v/>
      </c>
      <c r="FR28" s="170">
        <f>COUNTIF('INPUT - Roster'!$GH$6:$GH$206,"*PER/BYP*")</f>
        <v/>
      </c>
      <c r="FS28" s="170">
        <f>COUNTIF('INPUT - Roster'!$GI$6:$GI$206,"*PER/BYP*")</f>
        <v/>
      </c>
      <c r="FT28" s="170">
        <f>COUNTIF('INPUT - Roster'!$GJ$6:$GJ$206,"*PER/BYP*")</f>
        <v/>
      </c>
      <c r="FU28" s="170">
        <f>COUNTIF('INPUT - Roster'!$GK$6:$GK$206,"*PER/BYP*")</f>
        <v/>
      </c>
      <c r="FV28" s="170">
        <f>COUNTIF('INPUT - Roster'!$GL$6:$GL$206,"*PER/BYP*")</f>
        <v/>
      </c>
      <c r="FW28" s="170">
        <f>COUNTIF('INPUT - Roster'!$GM$6:$GM$206,"*PER/BYP*")</f>
        <v/>
      </c>
      <c r="FX28" s="170">
        <f>COUNTIF('INPUT - Roster'!$GN$6:$GN$206,"*PER/BYP*")</f>
        <v/>
      </c>
      <c r="FY28" s="170">
        <f>COUNTIF('INPUT - Roster'!$GO$6:$GO$206,"*PER/BYP*")</f>
        <v/>
      </c>
      <c r="FZ28" s="170">
        <f>COUNTIF('INPUT - Roster'!$GP$6:$GP$206,"*PER/BYP*")</f>
        <v/>
      </c>
      <c r="GA28" s="170">
        <f>COUNTIF('INPUT - Roster'!$GQ$6:$GQ$206,"*PER/BYP*")</f>
        <v/>
      </c>
      <c r="GB28" s="170">
        <f>COUNTIF('INPUT - Roster'!$GR$6:$GR$206,"*PER/BYP*")</f>
        <v/>
      </c>
      <c r="GC28" s="170">
        <f>COUNTIF('INPUT - Roster'!$GS$6:$GS$206,"*PER/BYP*")</f>
        <v/>
      </c>
      <c r="GD28" s="170">
        <f>COUNTIF('INPUT - Roster'!$GT$6:$GT$206,"*PER/BYP*")</f>
        <v/>
      </c>
      <c r="GE28" s="170">
        <f>COUNTIF('INPUT - Roster'!$GU$6:$GU$206,"*PER/BYP*")</f>
        <v/>
      </c>
      <c r="GF28" s="170">
        <f>COUNTIF('INPUT - Roster'!$GV$6:$GV$206,"*PER/BYP*")</f>
        <v/>
      </c>
      <c r="GG28" s="170">
        <f>COUNTIF('INPUT - Roster'!$GW$6:$GW$206,"*PER/BYP*")</f>
        <v/>
      </c>
      <c r="GH28" s="170">
        <f>COUNTIF('INPUT - Roster'!$GX$6:$GX$206,"*PER/BYP*")</f>
        <v/>
      </c>
      <c r="GI28" s="170">
        <f>COUNTIF('INPUT - Roster'!$GY$6:$GY$206,"*PER/BYP*")</f>
        <v/>
      </c>
      <c r="GJ28" s="170">
        <f>COUNTIF('INPUT - Roster'!$GZ$6:$GZ$206,"*PER/BYP*")</f>
        <v/>
      </c>
      <c r="GK28" s="170">
        <f>COUNTIF('INPUT - Roster'!$HA$6:$HA$206,"*PER/BYP*")</f>
        <v/>
      </c>
      <c r="GL28" s="170">
        <f>COUNTIF('INPUT - Roster'!$HB$6:$HB$206,"*PER/BYP*")</f>
        <v/>
      </c>
      <c r="GM28" s="170">
        <f>COUNTIF('INPUT - Roster'!$HC$6:$HC$206,"*PER/BYP*")</f>
        <v/>
      </c>
      <c r="GN28" s="170">
        <f>COUNTIF('INPUT - Roster'!$HD$6:$HD$206,"*PER/BYP*")</f>
        <v/>
      </c>
      <c r="GO28" s="170">
        <f>COUNTIF('INPUT - Roster'!$HE$6:$HE$206,"*PER/BYP*")</f>
        <v/>
      </c>
      <c r="GP28" s="170">
        <f>COUNTIF('INPUT - Roster'!$HF$6:$HF$206,"*PER/BYP*")</f>
        <v/>
      </c>
      <c r="GQ28" s="170">
        <f>COUNTIF('INPUT - Roster'!$HG$6:$HG$206,"*PER/BYP*")</f>
        <v/>
      </c>
      <c r="GR28" s="170">
        <f>COUNTIF('INPUT - Roster'!$HH$6:$HH$206,"*PER/BYP*")</f>
        <v/>
      </c>
      <c r="GS28" s="170">
        <f>COUNTIF('INPUT - Roster'!$HI$6:$HI$206,"*PER/BYP*")</f>
        <v/>
      </c>
      <c r="GT28" s="170">
        <f>COUNTIF('INPUT - Roster'!$HJ$6:$HJ$206,"*PER/BYP*")</f>
        <v/>
      </c>
      <c r="GU28" s="170">
        <f>COUNTIF('INPUT - Roster'!$HK$6:$HK$206,"*PER/BYP*")</f>
        <v/>
      </c>
      <c r="GV28" s="170">
        <f>COUNTIF('INPUT - Roster'!$HL$6:$HL$206,"*PER/BYP*")</f>
        <v/>
      </c>
      <c r="GW28" s="170">
        <f>COUNTIF('INPUT - Roster'!$HM$6:$HM$206,"*PER/BYP*")</f>
        <v/>
      </c>
      <c r="GX28" s="170">
        <f>COUNTIF('INPUT - Roster'!$HN$6:$HN$206,"*PER/BYP*")</f>
        <v/>
      </c>
      <c r="GY28" s="170">
        <f>COUNTIF('INPUT - Roster'!$HO$6:$HO$206,"*PER/BYP*")</f>
        <v/>
      </c>
      <c r="GZ28" s="170">
        <f>COUNTIF('INPUT - Roster'!$HP$6:$HP$206,"*PER/BYP*")</f>
        <v/>
      </c>
      <c r="HA28" s="170">
        <f>COUNTIF('INPUT - Roster'!$HQ$6:$HQ$206,"*PER/BYP*")</f>
        <v/>
      </c>
      <c r="HB28" s="170">
        <f>COUNTIF('INPUT - Roster'!$HR$6:$HR$206,"*PER/BYP*")</f>
        <v/>
      </c>
      <c r="HC28" s="170">
        <f>COUNTIF('INPUT - Roster'!$HS$6:$HS$206,"*PER/BYP*")</f>
        <v/>
      </c>
      <c r="HD28" s="170">
        <f>COUNTIF('INPUT - Roster'!$HT$6:$HT$206,"*PER/BYP*")</f>
        <v/>
      </c>
      <c r="HE28" s="170">
        <f>COUNTIF('INPUT - Roster'!$HU$6:$HU$206,"*PER/BYP*")</f>
        <v/>
      </c>
      <c r="HF28" s="170">
        <f>COUNTIF('INPUT - Roster'!$HV$6:$HV$206,"*PER/BYP*")</f>
        <v/>
      </c>
      <c r="HG28" s="170">
        <f>COUNTIF('INPUT - Roster'!$HW$6:$HW$206,"*PER/BYP*")</f>
        <v/>
      </c>
      <c r="HH28" s="170">
        <f>COUNTIF('INPUT - Roster'!$HX$6:$HX$206,"*PER/BYP*")</f>
        <v/>
      </c>
      <c r="HI28" s="170">
        <f>COUNTIF('INPUT - Roster'!$HY$6:$HY$206,"*PER/BYP*")</f>
        <v/>
      </c>
      <c r="HJ28" s="170">
        <f>COUNTIF('INPUT - Roster'!$HZ$6:$HZ$206,"*PER/BYP*")</f>
        <v/>
      </c>
      <c r="HK28" s="170">
        <f>COUNTIF('INPUT - Roster'!$IA$6:$IA$206,"*PER/BYP*")</f>
        <v/>
      </c>
      <c r="HL28" s="170">
        <f>COUNTIF('INPUT - Roster'!$IB$6:$IB$206,"*PER/BYP*")</f>
        <v/>
      </c>
      <c r="HM28" s="170">
        <f>COUNTIF('INPUT - Roster'!$IC$6:$IC$206,"*PER/BYP*")</f>
        <v/>
      </c>
      <c r="HN28" s="170">
        <f>COUNTIF('INPUT - Roster'!$ID$6:$ID$206,"*PER/BYP*")</f>
        <v/>
      </c>
      <c r="HO28" s="170">
        <f>COUNTIF('INPUT - Roster'!$IE$6:$IE$206,"*PER/BYP*")</f>
        <v/>
      </c>
      <c r="HP28" s="170">
        <f>COUNTIF('INPUT - Roster'!$IF$6:$IF$206,"*PER/BYP*")</f>
        <v/>
      </c>
      <c r="HQ28" s="170">
        <f>COUNTIF('INPUT - Roster'!$IG$6:$IG$206,"*PER/BYP*")</f>
        <v/>
      </c>
      <c r="HR28" s="170">
        <f>COUNTIF('INPUT - Roster'!$IH$6:$IH$206,"*PER/BYP*")</f>
        <v/>
      </c>
      <c r="HS28" s="170">
        <f>COUNTIF('INPUT - Roster'!$II$6:$II$206,"*PER/BYP*")</f>
        <v/>
      </c>
      <c r="HT28" s="170">
        <f>COUNTIF('INPUT - Roster'!$IJ$6:$IJ$206,"*PER/BYP*")</f>
        <v/>
      </c>
      <c r="HU28" s="170">
        <f>COUNTIF('INPUT - Roster'!$IK$6:$IK$206,"*PER/BYP*")</f>
        <v/>
      </c>
      <c r="HV28" s="170">
        <f>COUNTIF('INPUT - Roster'!$IL$6:$IL$206,"*PER/BYP*")</f>
        <v/>
      </c>
      <c r="HW28" s="170">
        <f>COUNTIF('INPUT - Roster'!$IM$6:$IM$206,"*PER/BYP*")</f>
        <v/>
      </c>
      <c r="HX28" s="170">
        <f>COUNTIF('INPUT - Roster'!$IN$6:$IN$206,"*PER/BYP*")</f>
        <v/>
      </c>
      <c r="HY28" s="170">
        <f>COUNTIF('INPUT - Roster'!$IO$6:$IO$206,"*PER/BYP*")</f>
        <v/>
      </c>
      <c r="HZ28" s="170">
        <f>COUNTIF('INPUT - Roster'!$IP$6:$IP$206,"*PER/BYP*")</f>
        <v/>
      </c>
      <c r="IA28" s="170">
        <f>COUNTIF('INPUT - Roster'!$IQ$6:$IQ$206,"*PER/BYP*")</f>
        <v/>
      </c>
      <c r="IB28" s="170">
        <f>COUNTIF('INPUT - Roster'!$IR$6:$IR$206,"*PER/BYP*")</f>
        <v/>
      </c>
      <c r="IC28" s="170">
        <f>COUNTIF('INPUT - Roster'!$IS$6:$IS$206,"*PER/BYP*")</f>
        <v/>
      </c>
      <c r="ID28" s="170">
        <f>COUNTIF('INPUT - Roster'!$IT$6:$IT$206,"*PER/BYP*")</f>
        <v/>
      </c>
      <c r="IE28" s="170">
        <f>COUNTIF('INPUT - Roster'!$IU$6:$IU$206,"*PER/BYP*")</f>
        <v/>
      </c>
      <c r="IF28" s="170">
        <f>COUNTIF('INPUT - Roster'!$IV$6:$IV$206,"*PER/BYP*")</f>
        <v/>
      </c>
      <c r="IG28" s="170">
        <f>COUNTIF('INPUT - Roster'!$IW$6:$IW$206,"*PER/BYP*")</f>
        <v/>
      </c>
      <c r="IH28" s="170">
        <f>COUNTIF('INPUT - Roster'!$IX$6:$IX$206,"*PER/BYP*")</f>
        <v/>
      </c>
      <c r="II28" s="170">
        <f>COUNTIF('INPUT - Roster'!$IY$6:$IY$206,"*PER/BYP*")</f>
        <v/>
      </c>
      <c r="IJ28" s="170">
        <f>COUNTIF('INPUT - Roster'!$IZ$6:$IZ$206,"*PER/BYP*")</f>
        <v/>
      </c>
      <c r="IK28" s="170">
        <f>COUNTIF('INPUT - Roster'!$JA$6:$JA$206,"*PER/BYP*")</f>
        <v/>
      </c>
      <c r="IL28" s="170">
        <f>COUNTIF('INPUT - Roster'!$JB$6:$JB$206,"*PER/BYP*")</f>
        <v/>
      </c>
      <c r="IM28" s="170">
        <f>COUNTIF('INPUT - Roster'!$JC$6:$JC$206,"*PER/BYP*")</f>
        <v/>
      </c>
      <c r="IN28" s="170">
        <f>COUNTIF('INPUT - Roster'!$JD$6:$JD$206,"*PER/BYP*")</f>
        <v/>
      </c>
      <c r="IO28" s="170">
        <f>COUNTIF('INPUT - Roster'!$JE$6:$JE$206,"*PER/BYP*")</f>
        <v/>
      </c>
      <c r="IP28" s="170">
        <f>COUNTIF('INPUT - Roster'!$JF$6:$JF$206,"*PER/BYP*")</f>
        <v/>
      </c>
      <c r="IQ28" s="170">
        <f>COUNTIF('INPUT - Roster'!$JG$6:$JG$206,"*PER/BYP*")</f>
        <v/>
      </c>
      <c r="IR28" s="170">
        <f>COUNTIF('INPUT - Roster'!$JH$6:$JH$206,"*PER/BYP*")</f>
        <v/>
      </c>
      <c r="IS28" s="170">
        <f>COUNTIF('INPUT - Roster'!$JI$6:$JI$206,"*PER/BYP*")</f>
        <v/>
      </c>
      <c r="IT28" s="170">
        <f>COUNTIF('INPUT - Roster'!$JJ$6:$JJ$206,"*PER/BYP*")</f>
        <v/>
      </c>
      <c r="IU28" s="170">
        <f>COUNTIF('INPUT - Roster'!$JK$6:$JK$206,"*PER/BYP*")</f>
        <v/>
      </c>
      <c r="IV28" s="170">
        <f>COUNTIF('INPUT - Roster'!$JL$6:$JL$206,"*PER/BYP*")</f>
        <v/>
      </c>
      <c r="IW28" s="170">
        <f>COUNTIF('INPUT - Roster'!$JM$6:$JM$206,"*PER/BYP*")</f>
        <v/>
      </c>
      <c r="IX28" s="170">
        <f>COUNTIF('INPUT - Roster'!$JN$6:$JN$206,"*PER/BYP*")</f>
        <v/>
      </c>
      <c r="IY28" s="170">
        <f>COUNTIF('INPUT - Roster'!$JO$6:$JO$206,"*PER/BYP*")</f>
        <v/>
      </c>
      <c r="IZ28" s="170">
        <f>COUNTIF('INPUT - Roster'!$JP$6:$JP$206,"*PER/BYP*")</f>
        <v/>
      </c>
      <c r="JA28" s="170">
        <f>COUNTIF('INPUT - Roster'!$JQ$6:$JQ$206,"*PER/BYP*")</f>
        <v/>
      </c>
      <c r="JB28" s="170">
        <f>COUNTIF('INPUT - Roster'!$JR$6:$JR$206,"*PER/BYP*")</f>
        <v/>
      </c>
      <c r="JC28" s="170">
        <f>COUNTIF('INPUT - Roster'!$JS$6:$JS$206,"*PER/BYP*")</f>
        <v/>
      </c>
      <c r="JD28" s="170">
        <f>COUNTIF('INPUT - Roster'!$JT$6:$JT$206,"*PER/BYP*")</f>
        <v/>
      </c>
      <c r="JE28" s="170">
        <f>COUNTIF('INPUT - Roster'!$JU$6:$JU$206,"*PER/BYP*")</f>
        <v/>
      </c>
      <c r="JF28" s="170">
        <f>COUNTIF('INPUT - Roster'!$JV$6:$JV$206,"*PER/BYP*")</f>
        <v/>
      </c>
      <c r="JG28" s="170">
        <f>COUNTIF('INPUT - Roster'!$JW$6:$JW$206,"*PER/BYP*")</f>
        <v/>
      </c>
      <c r="JH28" s="170">
        <f>COUNTIF('INPUT - Roster'!$JX$6:$JX$206,"*PER/BYP*")</f>
        <v/>
      </c>
      <c r="JI28" s="170">
        <f>COUNTIF('INPUT - Roster'!$JY$6:$JY$206,"*PER/BYP*")</f>
        <v/>
      </c>
      <c r="JJ28" s="170">
        <f>COUNTIF('INPUT - Roster'!$JZ$6:$JZ$206,"*PER/BYP*")</f>
        <v/>
      </c>
      <c r="JK28" s="170">
        <f>COUNTIF('INPUT - Roster'!$KA$6:$KA$206,"*PER/BYP*")</f>
        <v/>
      </c>
      <c r="JL28" s="170">
        <f>COUNTIF('INPUT - Roster'!$KB$6:$KB$206,"*PER/BYP*")</f>
        <v/>
      </c>
      <c r="JM28" s="170">
        <f>COUNTIF('INPUT - Roster'!$KC$6:$KC$206,"*PER/BYP*")</f>
        <v/>
      </c>
      <c r="JN28" s="170">
        <f>COUNTIF('INPUT - Roster'!$KD$6:$KD$206,"*PER/BYP*")</f>
        <v/>
      </c>
      <c r="JO28" s="170">
        <f>COUNTIF('INPUT - Roster'!$KE$6:$KE$206,"*PER/BYP*")</f>
        <v/>
      </c>
      <c r="JP28" s="170">
        <f>COUNTIF('INPUT - Roster'!$KF$6:$KF$206,"*PER/BYP*")</f>
        <v/>
      </c>
      <c r="JQ28" s="170">
        <f>COUNTIF('INPUT - Roster'!$KG$6:$KG$206,"*PER/BYP*")</f>
        <v/>
      </c>
      <c r="JR28" s="170">
        <f>COUNTIF('INPUT - Roster'!$KH$6:$KH$206,"*PER/BYP*")</f>
        <v/>
      </c>
      <c r="JS28" s="170">
        <f>COUNTIF('INPUT - Roster'!$KI$6:$KI$206,"*PER/BYP*")</f>
        <v/>
      </c>
      <c r="JT28" s="170">
        <f>COUNTIF('INPUT - Roster'!$KJ$6:$KJ$206,"*PER/BYP*")</f>
        <v/>
      </c>
      <c r="JU28" s="170">
        <f>COUNTIF('INPUT - Roster'!$KK$6:$KK$206,"*PER/BYP*")</f>
        <v/>
      </c>
      <c r="JV28" s="170">
        <f>COUNTIF('INPUT - Roster'!$KL$6:$KL$206,"*PER/BYP*")</f>
        <v/>
      </c>
      <c r="JW28" s="170">
        <f>COUNTIF('INPUT - Roster'!$KM$6:$KM$206,"*PER/BYP*")</f>
        <v/>
      </c>
      <c r="JX28" s="170">
        <f>COUNTIF('INPUT - Roster'!$KN$6:$KN$206,"*PER/BYP*")</f>
        <v/>
      </c>
      <c r="JY28" s="170">
        <f>COUNTIF('INPUT - Roster'!$KO$6:$KO$206,"*PER/BYP*")</f>
        <v/>
      </c>
      <c r="JZ28" s="170">
        <f>COUNTIF('INPUT - Roster'!$KP$6:$KP$206,"*PER/BYP*")</f>
        <v/>
      </c>
      <c r="KA28" s="170">
        <f>COUNTIF('INPUT - Roster'!$KQ$6:$KQ$206,"*PER/BYP*")</f>
        <v/>
      </c>
      <c r="KB28" s="170">
        <f>COUNTIF('INPUT - Roster'!$KR$6:$KR$206,"*PER/BYP*")</f>
        <v/>
      </c>
      <c r="KC28" s="170">
        <f>COUNTIF('INPUT - Roster'!$KS$6:$KS$206,"*PER/BYP*")</f>
        <v/>
      </c>
      <c r="KD28" s="170">
        <f>COUNTIF('INPUT - Roster'!$KT$6:$KT$206,"*PER/BYP*")</f>
        <v/>
      </c>
      <c r="KE28" s="170">
        <f>COUNTIF('INPUT - Roster'!$KU$6:$KU$206,"*PER/BYP*")</f>
        <v/>
      </c>
      <c r="KF28" s="170">
        <f>COUNTIF('INPUT - Roster'!$KV$6:$KV$206,"*PER/BYP*")</f>
        <v/>
      </c>
      <c r="KG28" s="170">
        <f>COUNTIF('INPUT - Roster'!$KW$6:$KW$206,"*PER/BYP*")</f>
        <v/>
      </c>
      <c r="KH28" s="170">
        <f>COUNTIF('INPUT - Roster'!$KX$6:$KX$206,"*PER/BYP*")</f>
        <v/>
      </c>
      <c r="KI28" s="170">
        <f>COUNTIF('INPUT - Roster'!$KY$6:$KY$206,"*PER/BYP*")</f>
        <v/>
      </c>
      <c r="KJ28" s="170">
        <f>COUNTIF('INPUT - Roster'!$KZ$6:$KZ$206,"*PER/BYP*")</f>
        <v/>
      </c>
      <c r="KK28" s="170">
        <f>COUNTIF('INPUT - Roster'!$LA$6:$LA$206,"*PER/BYP*")</f>
        <v/>
      </c>
      <c r="KL28" s="170">
        <f>COUNTIF('INPUT - Roster'!$LB$6:$LB$206,"*PER/BYP*")</f>
        <v/>
      </c>
      <c r="KM28" s="170">
        <f>COUNTIF('INPUT - Roster'!$LC$6:$LC$206,"*PER/BYP*")</f>
        <v/>
      </c>
      <c r="KN28" s="170">
        <f>COUNTIF('INPUT - Roster'!$LD$6:$LD$206,"*PER/BYP*")</f>
        <v/>
      </c>
      <c r="KO28" s="170">
        <f>COUNTIF('INPUT - Roster'!$LE$6:$LE$206,"*PER/BYP*")</f>
        <v/>
      </c>
      <c r="KP28" s="170">
        <f>COUNTIF('INPUT - Roster'!$LF$6:$LF$206,"*PER/BYP*")</f>
        <v/>
      </c>
      <c r="KQ28" s="170">
        <f>COUNTIF('INPUT - Roster'!$LG$6:$LG$206,"*PER/BYP*")</f>
        <v/>
      </c>
      <c r="KR28" s="170">
        <f>COUNTIF('INPUT - Roster'!$LH$6:$LH$206,"*PER/BYP*")</f>
        <v/>
      </c>
      <c r="KS28" s="170">
        <f>COUNTIF('INPUT - Roster'!$LI$6:$LI$206,"*PER/BYP*")</f>
        <v/>
      </c>
      <c r="KT28" s="170">
        <f>COUNTIF('INPUT - Roster'!$LJ$6:$LJ$206,"*PER/BYP*")</f>
        <v/>
      </c>
      <c r="KU28" s="170">
        <f>COUNTIF('INPUT - Roster'!$LK$6:$LK$206,"*PER/BYP*")</f>
        <v/>
      </c>
      <c r="KV28" s="170">
        <f>COUNTIF('INPUT - Roster'!$LL$6:$LL$206,"*PER/BYP*")</f>
        <v/>
      </c>
      <c r="KW28" s="170">
        <f>COUNTIF('INPUT - Roster'!$LM$6:$LM$206,"*PER/BYP*")</f>
        <v/>
      </c>
      <c r="KX28" s="170">
        <f>COUNTIF('INPUT - Roster'!$LN$6:$LN$206,"*PER/BYP*")</f>
        <v/>
      </c>
      <c r="KY28" s="170">
        <f>COUNTIF('INPUT - Roster'!$LO$6:$LO$206,"*PER/BYP*")</f>
        <v/>
      </c>
      <c r="KZ28" s="170">
        <f>COUNTIF('INPUT - Roster'!$LP$6:$LP$206,"*PER/BYP*")</f>
        <v/>
      </c>
      <c r="LA28" s="170">
        <f>COUNTIF('INPUT - Roster'!$LQ$6:$LQ$206,"*PER/BYP*")</f>
        <v/>
      </c>
      <c r="LB28" s="170">
        <f>COUNTIF('INPUT - Roster'!$LR$6:$LR$206,"*PER/BYP*")</f>
        <v/>
      </c>
      <c r="LC28" s="170">
        <f>COUNTIF('INPUT - Roster'!$LS$6:$LS$206,"*PER/BYP*")</f>
        <v/>
      </c>
      <c r="LD28" s="170">
        <f>COUNTIF('INPUT - Roster'!$LT$6:$LT$206,"*PER/BYP*")</f>
        <v/>
      </c>
      <c r="LE28" s="170">
        <f>COUNTIF('INPUT - Roster'!$LU$6:$LU$206,"*PER/BYP*")</f>
        <v/>
      </c>
      <c r="LF28" s="170">
        <f>COUNTIF('INPUT - Roster'!$LV$6:$LV$206,"*PER/BYP*")</f>
        <v/>
      </c>
      <c r="LG28" s="170">
        <f>COUNTIF('INPUT - Roster'!$LW$6:$LW$206,"*PER/BYP*")</f>
        <v/>
      </c>
      <c r="LH28" s="170">
        <f>COUNTIF('INPUT - Roster'!$LX$6:$LX$206,"*PER/BYP*")</f>
        <v/>
      </c>
      <c r="LI28" s="170">
        <f>COUNTIF('INPUT - Roster'!$LY$6:$LY$206,"*PER/BYP*")</f>
        <v/>
      </c>
      <c r="LJ28" s="170">
        <f>COUNTIF('INPUT - Roster'!$LZ$6:$LZ$206,"*PER/BYP*")</f>
        <v/>
      </c>
      <c r="LK28" s="170">
        <f>COUNTIF('INPUT - Roster'!$MA$6:$MA$206,"*PER/BYP*")</f>
        <v/>
      </c>
      <c r="LL28" s="170">
        <f>COUNTIF('INPUT - Roster'!$MB$6:$MB$206,"*PER/BYP*")</f>
        <v/>
      </c>
      <c r="LM28" s="170">
        <f>COUNTIF('INPUT - Roster'!$MC$6:$MC$206,"*PER/BYP*")</f>
        <v/>
      </c>
      <c r="LN28" s="170">
        <f>COUNTIF('INPUT - Roster'!$MD$6:$MD$206,"*PER/BYP*")</f>
        <v/>
      </c>
      <c r="LO28" s="170">
        <f>COUNTIF('INPUT - Roster'!$ME$6:$ME$206,"*PER/BYP*")</f>
        <v/>
      </c>
      <c r="LP28" s="170">
        <f>COUNTIF('INPUT - Roster'!$MF$6:$MF$206,"*PER/BYP*")</f>
        <v/>
      </c>
      <c r="LQ28" s="170">
        <f>COUNTIF('INPUT - Roster'!$MG$6:$MG$206,"*PER/BYP*")</f>
        <v/>
      </c>
      <c r="LR28" s="170">
        <f>COUNTIF('INPUT - Roster'!$MH$6:$MH$206,"*PER/BYP*")</f>
        <v/>
      </c>
      <c r="LS28" s="170">
        <f>COUNTIF('INPUT - Roster'!$MI$6:$MI$206,"*PER/BYP*")</f>
        <v/>
      </c>
      <c r="LT28" s="170">
        <f>COUNTIF('INPUT - Roster'!$MJ$6:$MJ$206,"*PER/BYP*")</f>
        <v/>
      </c>
      <c r="LU28" s="170">
        <f>COUNTIF('INPUT - Roster'!$MK$6:$MK$206,"*PER/BYP*")</f>
        <v/>
      </c>
      <c r="LV28" s="170">
        <f>COUNTIF('INPUT - Roster'!$ML$6:$ML$206,"*PER/BYP*")</f>
        <v/>
      </c>
      <c r="LW28" s="170">
        <f>COUNTIF('INPUT - Roster'!$MM$6:$MM$206,"*PER/BYP*")</f>
        <v/>
      </c>
      <c r="LX28" s="170">
        <f>COUNTIF('INPUT - Roster'!$MN$6:$MN$206,"*PER/BYP*")</f>
        <v/>
      </c>
      <c r="LY28" s="170">
        <f>COUNTIF('INPUT - Roster'!$MO$6:$MO$206,"*PER/BYP*")</f>
        <v/>
      </c>
      <c r="LZ28" s="170">
        <f>COUNTIF('INPUT - Roster'!$MP$6:$MP$206,"*PER/BYP*")</f>
        <v/>
      </c>
      <c r="MA28" s="170">
        <f>COUNTIF('INPUT - Roster'!$MQ$6:$MQ$206,"*PER/BYP*")</f>
        <v/>
      </c>
      <c r="MB28" s="170">
        <f>COUNTIF('INPUT - Roster'!$MR$6:$MR$206,"*PER/BYP*")</f>
        <v/>
      </c>
      <c r="MC28" s="170">
        <f>COUNTIF('INPUT - Roster'!$MS$6:$MS$206,"*PER/BYP*")</f>
        <v/>
      </c>
      <c r="MD28" s="170">
        <f>COUNTIF('INPUT - Roster'!$MT$6:$MT$206,"*PER/BYP*")</f>
        <v/>
      </c>
      <c r="ME28" s="170">
        <f>COUNTIF('INPUT - Roster'!$MU$6:$MU$206,"*PER/BYP*")</f>
        <v/>
      </c>
      <c r="MF28" s="170">
        <f>COUNTIF('INPUT - Roster'!$MV$6:$MV$206,"*PER/BYP*")</f>
        <v/>
      </c>
      <c r="MG28" s="170">
        <f>COUNTIF('INPUT - Roster'!$MW$6:$MW$206,"*PER/BYP*")</f>
        <v/>
      </c>
      <c r="MH28" s="170">
        <f>COUNTIF('INPUT - Roster'!$MX$6:$MX$206,"*PER/BYP*")</f>
        <v/>
      </c>
      <c r="MI28" s="170">
        <f>COUNTIF('INPUT - Roster'!$MY$6:$MY$206,"*PER/BYP*")</f>
        <v/>
      </c>
      <c r="MJ28" s="170">
        <f>COUNTIF('INPUT - Roster'!$MZ$6:$MZ$206,"*PER/BYP*")</f>
        <v/>
      </c>
      <c r="MK28" s="170">
        <f>COUNTIF('INPUT - Roster'!$NA$6:$NA$206,"*PER/BYP*")</f>
        <v/>
      </c>
      <c r="ML28" s="170">
        <f>COUNTIF('INPUT - Roster'!$NB$6:$NB$206,"*PER/BYP*")</f>
        <v/>
      </c>
      <c r="MM28" s="170">
        <f>COUNTIF('INPUT - Roster'!$NC$6:$NC$206,"*PER/BYP*")</f>
        <v/>
      </c>
      <c r="MN28" s="170">
        <f>COUNTIF('INPUT - Roster'!$ND$6:$ND$206,"*PER/BYP*")</f>
        <v/>
      </c>
      <c r="MO28" s="170">
        <f>COUNTIF('INPUT - Roster'!$NE$6:$NE$206,"*PER/BYP*")</f>
        <v/>
      </c>
      <c r="MP28" s="170">
        <f>COUNTIF('INPUT - Roster'!$NF$6:$NF$206,"*PER/BYP*")</f>
        <v/>
      </c>
      <c r="MQ28" s="170">
        <f>COUNTIF('INPUT - Roster'!$NG$6:$NG$206,"*PER/BYP*")</f>
        <v/>
      </c>
      <c r="MR28" s="170">
        <f>COUNTIF('INPUT - Roster'!$NH$6:$NH$206,"*PER/BYP*")</f>
        <v/>
      </c>
      <c r="MS28" s="170">
        <f>COUNTIF('INPUT - Roster'!$NI$6:$NI$206,"*PER/BYP*")</f>
        <v/>
      </c>
      <c r="MT28" s="170">
        <f>COUNTIF('INPUT - Roster'!$NJ$6:$NJ$206,"*PER/BYP*")</f>
        <v/>
      </c>
      <c r="MU28" s="170">
        <f>COUNTIF('INPUT - Roster'!$NK$6:$NK$206,"*PER/BYP*")</f>
        <v/>
      </c>
      <c r="MV28" s="170">
        <f>COUNTIF('INPUT - Roster'!$NL$6:$NL$206,"*PER/BYP*")</f>
        <v/>
      </c>
      <c r="MW28" s="170">
        <f>COUNTIF('INPUT - Roster'!$NM$6:$NM$206,"*PER/BYP*")</f>
        <v/>
      </c>
      <c r="MX28" s="170">
        <f>COUNTIF('INPUT - Roster'!$NN$6:$NN$206,"*PER/BYP*")</f>
        <v/>
      </c>
      <c r="MY28" s="170">
        <f>COUNTIF('INPUT - Roster'!$NO$6:$NO$206,"*PER/BYP*")</f>
        <v/>
      </c>
      <c r="MZ28" s="170">
        <f>COUNTIF('INPUT - Roster'!$NP$6:$NP$206,"*PER/BYP*")</f>
        <v/>
      </c>
      <c r="NA28" s="170">
        <f>COUNTIF('INPUT - Roster'!$NQ$6:$NQ$206,"*PER/BYP*")</f>
        <v/>
      </c>
      <c r="NB28" s="170">
        <f>COUNTIF('INPUT - Roster'!$NR$6:$NR$206,"*PER/BYP*")</f>
        <v/>
      </c>
      <c r="NC28" s="170">
        <f>COUNTIF('INPUT - Roster'!$NS$6:$NS$206,"*PER/BYP*")</f>
        <v/>
      </c>
      <c r="ND28" s="170">
        <f>COUNTIF('INPUT - Roster'!$NT$6:$NT$206,"*PER/BYP*")</f>
        <v/>
      </c>
      <c r="NE28" s="170">
        <f>COUNTIF('INPUT - Roster'!$NU$6:$NU$206,"*PER/BYP*")</f>
        <v/>
      </c>
      <c r="NF28" s="170">
        <f>COUNTIF('INPUT - Roster'!$NV$6:$NV$206,"*PER/BYP*")</f>
        <v/>
      </c>
      <c r="NG28" s="170">
        <f>COUNTIF('INPUT - Roster'!$NW$6:$NW$206,"*PER/BYP*")</f>
        <v/>
      </c>
      <c r="NH28" s="170">
        <f>COUNTIF('INPUT - Roster'!$NX$6:$NX$206,"*PER/BYP*")</f>
        <v/>
      </c>
      <c r="NI28" s="170">
        <f>COUNTIF('INPUT - Roster'!$NY$6:$NY$206,"*PER/BYP*")</f>
        <v/>
      </c>
      <c r="NJ28" s="170">
        <f>COUNTIF('INPUT - Roster'!$NZ$6:$NZ$206,"*PER/BYP*")</f>
        <v/>
      </c>
      <c r="NK28" s="170">
        <f>COUNTIF('INPUT - Roster'!$OA$6:$OA$206,"*PER/BYP*")</f>
        <v/>
      </c>
      <c r="NL28" s="170">
        <f>COUNTIF('INPUT - Roster'!$OB$6:$OB$206,"*PER/BYP*")</f>
        <v/>
      </c>
      <c r="NM28" s="170">
        <f>COUNTIF('INPUT - Roster'!$OC$6:$OC$206,"*PER/BYP*")</f>
        <v/>
      </c>
      <c r="NN28" s="170">
        <f>COUNTIF('INPUT - Roster'!$OD$6:$OD$206,"*PER/BYP*")</f>
        <v/>
      </c>
      <c r="NO28" s="170">
        <f>COUNTIF('INPUT - Roster'!$OE$6:$OE$206,"*PER/BYP*")</f>
        <v/>
      </c>
      <c r="NP28" s="170">
        <f>COUNTIF('INPUT - Roster'!$OF$6:$OF$206,"*PER/BYP*")</f>
        <v/>
      </c>
      <c r="NQ28" s="170">
        <f>COUNTIF('INPUT - Roster'!$OG$6:$OG$206,"*PER/BYP*")</f>
        <v/>
      </c>
      <c r="NR28" s="170">
        <f>COUNTIF('INPUT - Roster'!$OH$6:$OH$206,"*PER/BYP*")</f>
        <v/>
      </c>
      <c r="NS28" s="170">
        <f>COUNTIF('INPUT - Roster'!$OI$6:$OI$206,"*PER/BYP*")</f>
        <v/>
      </c>
      <c r="NT28" s="170">
        <f>COUNTIF('INPUT - Roster'!$OJ$6:$OJ$206,"*PER/BYP*")</f>
        <v/>
      </c>
      <c r="NU28" s="170">
        <f>COUNTIF('INPUT - Roster'!$OK$6:$OK$206,"*PER/BYP*")</f>
        <v/>
      </c>
      <c r="NV28" s="170">
        <f>COUNTIF('INPUT - Roster'!$OL$6:$OL$206,"*PER/BYP*")</f>
        <v/>
      </c>
      <c r="NW28" s="170">
        <f>COUNTIF('INPUT - Roster'!$OM$6:$OM$206,"*PER/BYP*")</f>
        <v/>
      </c>
      <c r="NX28" s="170">
        <f>COUNTIF('INPUT - Roster'!$ON$6:$ON$206,"*PER/BYP*")</f>
        <v/>
      </c>
      <c r="NY28" s="170">
        <f>COUNTIF('INPUT - Roster'!$OO$6:$OO$206,"*PER/BYP*")</f>
        <v/>
      </c>
      <c r="NZ28" s="170">
        <f>COUNTIF('INPUT - Roster'!$OP$6:$OP$206,"*PER/BYP*")</f>
        <v/>
      </c>
      <c r="OA28" s="170">
        <f>COUNTIF('INPUT - Roster'!$OQ$6:$OQ$206,"*PER/BYP*")</f>
        <v/>
      </c>
      <c r="OB28" s="170">
        <f>COUNTIF('INPUT - Roster'!$OR$6:$OR$206,"*PER/BYP*")</f>
        <v/>
      </c>
      <c r="OC28" s="170">
        <f>COUNTIF('INPUT - Roster'!$OS$6:$OS$206,"*PER/BYP*")</f>
        <v/>
      </c>
      <c r="OD28" s="170">
        <f>COUNTIF('INPUT - Roster'!$OT$6:$OT$206,"*PER/BYP*")</f>
        <v/>
      </c>
      <c r="OE28" s="170">
        <f>COUNTIF('INPUT - Roster'!$OU$6:$OU$206,"*PER/BYP*")</f>
        <v/>
      </c>
      <c r="OF28" s="170">
        <f>COUNTIF('INPUT - Roster'!$OV$6:$OV$206,"*PER/BYP*")</f>
        <v/>
      </c>
      <c r="OG28" s="170">
        <f>COUNTIF('INPUT - Roster'!$OW$6:$OW$206,"*PER/BYP*")</f>
        <v/>
      </c>
      <c r="OH28" s="170">
        <f>COUNTIF('INPUT - Roster'!$OX$6:$OX$206,"*PER/BYP*")</f>
        <v/>
      </c>
      <c r="OI28" s="170">
        <f>COUNTIF('INPUT - Roster'!$OY$6:$OY$206,"*PER/BYP*")</f>
        <v/>
      </c>
      <c r="OJ28" s="170">
        <f>COUNTIF('INPUT - Roster'!$OZ$6:$OZ$206,"*PER/BYP*")</f>
        <v/>
      </c>
      <c r="OK28" s="170">
        <f>COUNTIF('INPUT - Roster'!$PA$6:$PA$206,"*PER/BYP*")</f>
        <v/>
      </c>
      <c r="OL28" s="170">
        <f>COUNTIF('INPUT - Roster'!$PB$6:$PB$206,"*PER/BYP*")</f>
        <v/>
      </c>
      <c r="OM28" s="170">
        <f>COUNTIF('INPUT - Roster'!$PC$6:$PC$206,"*PER/BYP*")</f>
        <v/>
      </c>
      <c r="ON28" s="170">
        <f>COUNTIF('INPUT - Roster'!$PD$6:$PD$206,"*PER/BYP*")</f>
        <v/>
      </c>
      <c r="OO28" s="170">
        <f>COUNTIF('INPUT - Roster'!$PE$6:$PE$206,"*PER/BYP*")</f>
        <v/>
      </c>
      <c r="OP28" s="170">
        <f>COUNTIF('INPUT - Roster'!$PF$6:$PF$206,"*PER/BYP*")</f>
        <v/>
      </c>
      <c r="OQ28" s="170">
        <f>COUNTIF('INPUT - Roster'!$PG$6:$PG$206,"*PER/BYP*")</f>
        <v/>
      </c>
      <c r="OR28" s="170">
        <f>COUNTIF('INPUT - Roster'!$PH$6:$PH$206,"*PER/BYP*")</f>
        <v/>
      </c>
      <c r="OS28" s="170">
        <f>COUNTIF('INPUT - Roster'!$PI$6:$PI$206,"*PER/BYP*")</f>
        <v/>
      </c>
      <c r="OT28" s="170">
        <f>COUNTIF('INPUT - Roster'!$PJ$6:$PJ$206,"*PER/BYP*")</f>
        <v/>
      </c>
      <c r="OU28" s="170">
        <f>COUNTIF('INPUT - Roster'!$PK$6:$PK$206,"*PER/BYP*")</f>
        <v/>
      </c>
      <c r="OV28" s="170">
        <f>COUNTIF('INPUT - Roster'!$PL$6:$PL$206,"*PER/BYP*")</f>
        <v/>
      </c>
      <c r="OW28" s="170">
        <f>COUNTIF('INPUT - Roster'!$PM$6:$PM$206,"*PER/BYP*")</f>
        <v/>
      </c>
      <c r="OX28" s="170">
        <f>COUNTIF('INPUT - Roster'!$PN$6:$PN$206,"*PER/BYP*")</f>
        <v/>
      </c>
      <c r="OY28" s="170">
        <f>COUNTIF('INPUT - Roster'!$PO$6:$PO$206,"*PER/BYP*")</f>
        <v/>
      </c>
      <c r="OZ28" s="170">
        <f>COUNTIF('INPUT - Roster'!$PP$6:$PP$206,"*PER/BYP*")</f>
        <v/>
      </c>
      <c r="PA28" s="170">
        <f>COUNTIF('INPUT - Roster'!$PQ$6:$PQ$206,"*PER/BYP*")</f>
        <v/>
      </c>
      <c r="PB28" s="170">
        <f>COUNTIF('INPUT - Roster'!$PR$6:$PR$206,"*PER/BYP*")</f>
        <v/>
      </c>
      <c r="PC28" s="170">
        <f>COUNTIF('INPUT - Roster'!$PS$6:$PS$206,"*PER/BYP*")</f>
        <v/>
      </c>
      <c r="PD28" s="170">
        <f>COUNTIF('INPUT - Roster'!$PT$6:$PT$206,"*PER/BYP*")</f>
        <v/>
      </c>
      <c r="PE28" s="170">
        <f>COUNTIF('INPUT - Roster'!$PU$6:$PU$206,"*PER/BYP*")</f>
        <v/>
      </c>
      <c r="PF28" s="170">
        <f>COUNTIF('INPUT - Roster'!$PV$6:$PV$206,"*PER/BYP*")</f>
        <v/>
      </c>
      <c r="PG28" s="170">
        <f>COUNTIF('INPUT - Roster'!$PW$6:$PW$206,"*PER/BYP*")</f>
        <v/>
      </c>
      <c r="PH28" s="170">
        <f>COUNTIF('INPUT - Roster'!$PX$6:$PX$206,"*PER/BYP*")</f>
        <v/>
      </c>
      <c r="PI28" s="170">
        <f>COUNTIF('INPUT - Roster'!$PY$6:$PY$206,"*PER/BYP*")</f>
        <v/>
      </c>
      <c r="PJ28" s="170">
        <f>COUNTIF('INPUT - Roster'!$PZ$6:$PZ$206,"*PER/BYP*")</f>
        <v/>
      </c>
      <c r="PK28" s="170">
        <f>COUNTIF('INPUT - Roster'!$QA$6:$QA$206,"*PER/BYP*")</f>
        <v/>
      </c>
      <c r="PL28" s="170">
        <f>COUNTIF('INPUT - Roster'!$QB$6:$QB$206,"*PER/BYP*")</f>
        <v/>
      </c>
      <c r="PM28" s="170">
        <f>COUNTIF('INPUT - Roster'!$QC$6:$QC$206,"*PER/BYP*")</f>
        <v/>
      </c>
      <c r="PN28" s="170">
        <f>COUNTIF('INPUT - Roster'!$QD$6:$QD$206,"*PER/BYP*")</f>
        <v/>
      </c>
      <c r="PO28" s="170">
        <f>COUNTIF('INPUT - Roster'!$QE$6:$QE$206,"*PER/BYP*")</f>
        <v/>
      </c>
      <c r="PP28" s="170">
        <f>COUNTIF('INPUT - Roster'!$QF$6:$QF$206,"*PER/BYP*")</f>
        <v/>
      </c>
      <c r="PQ28" s="170">
        <f>COUNTIF('INPUT - Roster'!$QG$6:$QG$206,"*PER/BYP*")</f>
        <v/>
      </c>
      <c r="PR28" s="170">
        <f>COUNTIF('INPUT - Roster'!$QH$6:$QH$206,"*PER/BYP*")</f>
        <v/>
      </c>
      <c r="PS28" s="170">
        <f>COUNTIF('INPUT - Roster'!$QI$6:$QI$206,"*PER/BYP*")</f>
        <v/>
      </c>
      <c r="PT28" s="170">
        <f>COUNTIF('INPUT - Roster'!$QJ$6:$QJ$206,"*PER/BYP*")</f>
        <v/>
      </c>
      <c r="PU28" s="170">
        <f>COUNTIF('INPUT - Roster'!$QK$6:$QK$206,"*PER/BYP*")</f>
        <v/>
      </c>
      <c r="PV28" s="170">
        <f>COUNTIF('INPUT - Roster'!$QL$6:$QL$206,"*PER/BYP*")</f>
        <v/>
      </c>
      <c r="PW28" s="170">
        <f>COUNTIF('INPUT - Roster'!$QM$6:$QM$206,"*PER/BYP*")</f>
        <v/>
      </c>
      <c r="PX28" s="170">
        <f>COUNTIF('INPUT - Roster'!$QN$6:$QN$206,"*PER/BYP*")</f>
        <v/>
      </c>
      <c r="PY28" s="170">
        <f>COUNTIF('INPUT - Roster'!$QO$6:$QO$206,"*PER/BYP*")</f>
        <v/>
      </c>
      <c r="PZ28" s="170">
        <f>COUNTIF('INPUT - Roster'!$QP$6:$QP$206,"*PER/BYP*")</f>
        <v/>
      </c>
      <c r="QA28" s="170">
        <f>COUNTIF('INPUT - Roster'!$QQ$6:$QQ$206,"*PER/BYP*")</f>
        <v/>
      </c>
      <c r="QB28" s="170">
        <f>COUNTIF('INPUT - Roster'!$QR$6:$QR$206,"*PER/BYP*")</f>
        <v/>
      </c>
      <c r="QC28" s="170">
        <f>COUNTIF('INPUT - Roster'!$QS$6:$QS$206,"*PER/BYP*")</f>
        <v/>
      </c>
      <c r="QD28" s="170">
        <f>COUNTIF('INPUT - Roster'!$QT$6:$QT$206,"*PER/BYP*")</f>
        <v/>
      </c>
      <c r="QE28" s="170">
        <f>COUNTIF('INPUT - Roster'!$QU$6:$QU$206,"*PER/BYP*")</f>
        <v/>
      </c>
      <c r="QF28" s="170">
        <f>COUNTIF('INPUT - Roster'!$QV$6:$QV$206,"*PER/BYP*")</f>
        <v/>
      </c>
      <c r="QG28" s="170">
        <f>COUNTIF('INPUT - Roster'!$QW$6:$QW$206,"*PER/BYP*")</f>
        <v/>
      </c>
      <c r="QH28" s="170">
        <f>COUNTIF('INPUT - Roster'!$QX$6:$QX$206,"*PER/BYP*")</f>
        <v/>
      </c>
      <c r="QI28" s="170">
        <f>COUNTIF('INPUT - Roster'!$QY$6:$QY$206,"*PER/BYP*")</f>
        <v/>
      </c>
      <c r="QJ28" s="170">
        <f>COUNTIF('INPUT - Roster'!$QZ$6:$QZ$206,"*PER/BYP*")</f>
        <v/>
      </c>
      <c r="QK28" s="170">
        <f>COUNTIF('INPUT - Roster'!$RA$6:$RA$206,"*PER/BYP*")</f>
        <v/>
      </c>
      <c r="QL28" s="170">
        <f>COUNTIF('INPUT - Roster'!$RB$6:$RB$206,"*PER/BYP*")</f>
        <v/>
      </c>
      <c r="QM28" s="170">
        <f>COUNTIF('INPUT - Roster'!$RC$6:$RC$206,"*PER/BYP*")</f>
        <v/>
      </c>
      <c r="QN28" s="170">
        <f>COUNTIF('INPUT - Roster'!$RD$6:$RD$206,"*PER/BYP*")</f>
        <v/>
      </c>
      <c r="QO28" s="170">
        <f>COUNTIF('INPUT - Roster'!$RE$6:$RE$206,"*PER/BYP*")</f>
        <v/>
      </c>
      <c r="QP28" s="170">
        <f>COUNTIF('INPUT - Roster'!$RF$6:$RF$206,"*PER/BYP*")</f>
        <v/>
      </c>
      <c r="QQ28" s="170">
        <f>COUNTIF('INPUT - Roster'!$RG$6:$RG$206,"*PER/BYP*")</f>
        <v/>
      </c>
      <c r="QR28" s="170">
        <f>COUNTIF('INPUT - Roster'!$RH$6:$RH$206,"*PER/BYP*")</f>
        <v/>
      </c>
      <c r="QS28" s="170">
        <f>COUNTIF('INPUT - Roster'!$RI$6:$RI$206,"*PER/BYP*")</f>
        <v/>
      </c>
      <c r="QT28" s="170">
        <f>COUNTIF('INPUT - Roster'!$RJ$6:$RJ$206,"*PER/BYP*")</f>
        <v/>
      </c>
      <c r="QU28" s="170">
        <f>COUNTIF('INPUT - Roster'!$RK$6:$RK$206,"*PER/BYP*")</f>
        <v/>
      </c>
      <c r="QV28" s="170">
        <f>COUNTIF('INPUT - Roster'!$RL$6:$RL$206,"*PER/BYP*")</f>
        <v/>
      </c>
      <c r="QW28" s="170">
        <f>COUNTIF('INPUT - Roster'!$RM$6:$RM$206,"*PER/BYP*")</f>
        <v/>
      </c>
      <c r="QX28" s="170">
        <f>COUNTIF('INPUT - Roster'!$RN$6:$RN$206,"*PER/BYP*")</f>
        <v/>
      </c>
      <c r="QY28" s="170">
        <f>COUNTIF('INPUT - Roster'!$RO$6:$RO$206,"*PER/BYP*")</f>
        <v/>
      </c>
      <c r="QZ28" s="170">
        <f>COUNTIF('INPUT - Roster'!$RP$6:$RP$206,"*PER/BYP*")</f>
        <v/>
      </c>
      <c r="RA28" s="170">
        <f>COUNTIF('INPUT - Roster'!$RQ$6:$RQ$206,"*PER/BYP*")</f>
        <v/>
      </c>
      <c r="RB28" s="170">
        <f>COUNTIF('INPUT - Roster'!$RR$6:$RR$206,"*PER/BYP*")</f>
        <v/>
      </c>
      <c r="RC28" s="170">
        <f>COUNTIF('INPUT - Roster'!$RS$6:$RS$206,"*PER/BYP*")</f>
        <v/>
      </c>
      <c r="RD28" s="170">
        <f>COUNTIF('INPUT - Roster'!$RT$6:$RT$206,"*PER/BYP*")</f>
        <v/>
      </c>
      <c r="RE28" s="170">
        <f>COUNTIF('INPUT - Roster'!$RU$6:$RU$206,"*PER/BYP*")</f>
        <v/>
      </c>
      <c r="RF28" s="170">
        <f>COUNTIF('INPUT - Roster'!$RV$6:$RV$206,"*PER/BYP*")</f>
        <v/>
      </c>
      <c r="RG28" s="170">
        <f>COUNTIF('INPUT - Roster'!$RW$6:$RW$206,"*PER/BYP*")</f>
        <v/>
      </c>
      <c r="RH28" s="170">
        <f>COUNTIF('INPUT - Roster'!$RX$6:$RX$206,"*PER/BYP*")</f>
        <v/>
      </c>
      <c r="RI28" s="170">
        <f>COUNTIF('INPUT - Roster'!$RY$6:$RY$206,"*PER/BYP*")</f>
        <v/>
      </c>
      <c r="RJ28" s="170">
        <f>COUNTIF('INPUT - Roster'!$RZ$6:$RZ$206,"*PER/BYP*")</f>
        <v/>
      </c>
      <c r="RK28" s="170">
        <f>COUNTIF('INPUT - Roster'!$SA$6:$SA$206,"*PER/BYP*")</f>
        <v/>
      </c>
      <c r="RL28" s="170">
        <f>COUNTIF('INPUT - Roster'!$SB$6:$SB$206,"*PER/BYP*")</f>
        <v/>
      </c>
      <c r="RM28" s="170">
        <f>COUNTIF('INPUT - Roster'!$SC$6:$SC$206,"*PER/BYP*")</f>
        <v/>
      </c>
      <c r="RN28" s="170">
        <f>COUNTIF('INPUT - Roster'!$SD$6:$SD$206,"*PER/BYP*")</f>
        <v/>
      </c>
      <c r="RO28" s="170">
        <f>COUNTIF('INPUT - Roster'!$SE$6:$SE$206,"*PER/BYP*")</f>
        <v/>
      </c>
      <c r="RP28" s="170">
        <f>COUNTIF('INPUT - Roster'!$SF$6:$SF$206,"*PER/BYP*")</f>
        <v/>
      </c>
      <c r="RQ28" s="170">
        <f>COUNTIF('INPUT - Roster'!$SG$6:$SG$206,"*PER/BYP*")</f>
        <v/>
      </c>
      <c r="RR28" s="170">
        <f>COUNTIF('INPUT - Roster'!$SH$6:$SH$206,"*PER/BYP*")</f>
        <v/>
      </c>
      <c r="RS28" s="170">
        <f>COUNTIF('INPUT - Roster'!$SI$6:$SI$206,"*PER/BYP*")</f>
        <v/>
      </c>
      <c r="RT28" s="170">
        <f>COUNTIF('INPUT - Roster'!$SJ$6:$SJ$206,"*PER/BYP*")</f>
        <v/>
      </c>
      <c r="RU28" s="170">
        <f>COUNTIF('INPUT - Roster'!$SK$6:$SK$206,"*PER/BYP*")</f>
        <v/>
      </c>
      <c r="RV28" s="170">
        <f>COUNTIF('INPUT - Roster'!$SL$6:$SL$206,"*PER/BYP*")</f>
        <v/>
      </c>
      <c r="RW28" s="170">
        <f>COUNTIF('INPUT - Roster'!$SM$6:$SM$206,"*PER/BYP*")</f>
        <v/>
      </c>
      <c r="RX28" s="170">
        <f>COUNTIF('INPUT - Roster'!$SN$6:$SN$206,"*PER/BYP*")</f>
        <v/>
      </c>
      <c r="RY28" s="170">
        <f>COUNTIF('INPUT - Roster'!$SO$6:$SO$206,"*PER/BYP*")</f>
        <v/>
      </c>
      <c r="RZ28" s="170">
        <f>COUNTIF('INPUT - Roster'!$SP$6:$SP$206,"*PER/BYP*")</f>
        <v/>
      </c>
      <c r="SA28" s="170">
        <f>COUNTIF('INPUT - Roster'!$SQ$6:$SQ$206,"*PER/BYP*")</f>
        <v/>
      </c>
      <c r="SB28" s="170">
        <f>COUNTIF('INPUT - Roster'!$SR$6:$SR$206,"*PER/BYP*")</f>
        <v/>
      </c>
      <c r="SC28" s="170">
        <f>COUNTIF('INPUT - Roster'!$SS$6:$SS$206,"*PER/BYP*")</f>
        <v/>
      </c>
      <c r="SD28" s="170">
        <f>COUNTIF('INPUT - Roster'!$ST$6:$ST$206,"*PER/BYP*")</f>
        <v/>
      </c>
      <c r="SE28" s="170">
        <f>COUNTIF('INPUT - Roster'!$SU$6:$SU$206,"*PER/BYP*")</f>
        <v/>
      </c>
      <c r="SF28" s="170">
        <f>COUNTIF('INPUT - Roster'!$SV$6:$SV$206,"*PER/BYP*")</f>
        <v/>
      </c>
    </row>
    <row r="29">
      <c r="B29" s="169" t="inlineStr">
        <is>
          <t>Fly out BYP/PER</t>
        </is>
      </c>
      <c r="C29" s="170">
        <f>COUNTIF('INPUT - Roster'!$S$6:$S$206,"*BYP/PER*")</f>
        <v/>
      </c>
      <c r="D29" s="170">
        <f>COUNTIF('INPUT - Roster'!$T$6:$T$206,"*BYP/PER*")</f>
        <v/>
      </c>
      <c r="E29" s="170">
        <f>COUNTIF('INPUT - Roster'!$U$6:$U$206,"*BYP/PER*")</f>
        <v/>
      </c>
      <c r="F29" s="170">
        <f>COUNTIF('INPUT - Roster'!$V$6:$V$206,"*BYP/PER*")</f>
        <v/>
      </c>
      <c r="G29" s="170">
        <f>COUNTIF('INPUT - Roster'!$W$6:$W$206,"*BYP/PER*")</f>
        <v/>
      </c>
      <c r="H29" s="170">
        <f>COUNTIF('INPUT - Roster'!$X$6:$X$206,"*BYP/PER*")</f>
        <v/>
      </c>
      <c r="I29" s="170">
        <f>COUNTIF('INPUT - Roster'!$Y$6:$Y$206,"*BYP/PER*")</f>
        <v/>
      </c>
      <c r="J29" s="170">
        <f>COUNTIF('INPUT - Roster'!$Z$6:$Z$206,"*BYP/PER*")</f>
        <v/>
      </c>
      <c r="K29" s="170">
        <f>COUNTIF('INPUT - Roster'!$AA$6:$AA$206,"*BYP/PER*")</f>
        <v/>
      </c>
      <c r="L29" s="170">
        <f>COUNTIF('INPUT - Roster'!$AB$6:$AB$206,"*BYP/PER*")</f>
        <v/>
      </c>
      <c r="M29" s="170">
        <f>COUNTIF('INPUT - Roster'!$AC$6:$AC$206,"*BYP/PER*")</f>
        <v/>
      </c>
      <c r="N29" s="170">
        <f>COUNTIF('INPUT - Roster'!$AD$6:$AD$206,"*BYP/PER*")</f>
        <v/>
      </c>
      <c r="O29" s="170">
        <f>COUNTIF('INPUT - Roster'!$AE$6:$AE$206,"*BYP/PER*")</f>
        <v/>
      </c>
      <c r="P29" s="170">
        <f>COUNTIF('INPUT - Roster'!$AF$6:$AF$206,"*BYP/PER*")</f>
        <v/>
      </c>
      <c r="Q29" s="170">
        <f>COUNTIF('INPUT - Roster'!$AG$6:$AG$206,"*BYP/PER*")</f>
        <v/>
      </c>
      <c r="R29" s="170">
        <f>COUNTIF('INPUT - Roster'!$AH$6:$AH$206,"*BYP/PER*")</f>
        <v/>
      </c>
      <c r="S29" s="170">
        <f>COUNTIF('INPUT - Roster'!$AI$6:$AI$206,"*BYP/PER*")</f>
        <v/>
      </c>
      <c r="T29" s="170">
        <f>COUNTIF('INPUT - Roster'!$AJ$6:$AJ$206,"*BYP/PER*")</f>
        <v/>
      </c>
      <c r="U29" s="170">
        <f>COUNTIF('INPUT - Roster'!$AK$6:$AK$206,"*BYP/PER*")</f>
        <v/>
      </c>
      <c r="V29" s="170">
        <f>COUNTIF('INPUT - Roster'!$AL$6:$AL$206,"*BYP/PER*")</f>
        <v/>
      </c>
      <c r="W29" s="170">
        <f>COUNTIF('INPUT - Roster'!$AM$6:$AM$206,"*BYP/PER*")</f>
        <v/>
      </c>
      <c r="X29" s="170">
        <f>COUNTIF('INPUT - Roster'!$AN$6:$AN$206,"*BYP/PER*")</f>
        <v/>
      </c>
      <c r="Y29" s="170">
        <f>COUNTIF('INPUT - Roster'!$AO$6:$AO$206,"*BYP/PER*")</f>
        <v/>
      </c>
      <c r="Z29" s="170">
        <f>COUNTIF('INPUT - Roster'!$AP$6:$AP$206,"*BYP/PER*")</f>
        <v/>
      </c>
      <c r="AA29" s="170">
        <f>COUNTIF('INPUT - Roster'!$AQ$6:$AQ$206,"*BYP/PER*")</f>
        <v/>
      </c>
      <c r="AB29" s="170">
        <f>COUNTIF('INPUT - Roster'!$AR$6:$AR$206,"*BYP/PER*")</f>
        <v/>
      </c>
      <c r="AC29" s="170">
        <f>COUNTIF('INPUT - Roster'!$AS$6:$AS$206,"*BYP/PER*")</f>
        <v/>
      </c>
      <c r="AD29" s="170">
        <f>COUNTIF('INPUT - Roster'!$AT$6:$AT$206,"*BYP/PER*")</f>
        <v/>
      </c>
      <c r="AE29" s="170">
        <f>COUNTIF('INPUT - Roster'!$AU$6:$AU$206,"*BYP/PER*")</f>
        <v/>
      </c>
      <c r="AF29" s="170">
        <f>COUNTIF('INPUT - Roster'!$AV$6:$AV$206,"*BYP/PER*")</f>
        <v/>
      </c>
      <c r="AG29" s="170">
        <f>COUNTIF('INPUT - Roster'!$AW$6:$AW$206,"*BYP/PER*")</f>
        <v/>
      </c>
      <c r="AH29" s="170">
        <f>COUNTIF('INPUT - Roster'!$AX$6:$AX$206,"*BYP/PER*")</f>
        <v/>
      </c>
      <c r="AI29" s="170">
        <f>COUNTIF('INPUT - Roster'!$AY$6:$AY$206,"*BYP/PER*")</f>
        <v/>
      </c>
      <c r="AJ29" s="170">
        <f>COUNTIF('INPUT - Roster'!$AZ$6:$AZ$206,"*BYP/PER*")</f>
        <v/>
      </c>
      <c r="AK29" s="170">
        <f>COUNTIF('INPUT - Roster'!$BA$6:$BA$206,"*BYP/PER*")</f>
        <v/>
      </c>
      <c r="AL29" s="170">
        <f>COUNTIF('INPUT - Roster'!$BB$6:$BB$206,"*BYP/PER*")</f>
        <v/>
      </c>
      <c r="AM29" s="170">
        <f>COUNTIF('INPUT - Roster'!$BC$6:$BC$206,"*BYP/PER*")</f>
        <v/>
      </c>
      <c r="AN29" s="170">
        <f>COUNTIF('INPUT - Roster'!$BD$6:$BD$206,"*BYP/PER*")</f>
        <v/>
      </c>
      <c r="AO29" s="170">
        <f>COUNTIF('INPUT - Roster'!$BE$6:$BE$206,"*BYP/PER*")</f>
        <v/>
      </c>
      <c r="AP29" s="170">
        <f>COUNTIF('INPUT - Roster'!$BF$6:$BF$206,"*BYP/PER*")</f>
        <v/>
      </c>
      <c r="AQ29" s="170">
        <f>COUNTIF('INPUT - Roster'!$BG$6:$BG$206,"*BYP/PER*")</f>
        <v/>
      </c>
      <c r="AR29" s="170">
        <f>COUNTIF('INPUT - Roster'!$BH$6:$BH$206,"*BYP/PER*")</f>
        <v/>
      </c>
      <c r="AS29" s="170">
        <f>COUNTIF('INPUT - Roster'!$BI$6:$BI$206,"*BYP/PER*")</f>
        <v/>
      </c>
      <c r="AT29" s="170">
        <f>COUNTIF('INPUT - Roster'!$BJ$6:$BJ$206,"*BYP/PER*")</f>
        <v/>
      </c>
      <c r="AU29" s="170">
        <f>COUNTIF('INPUT - Roster'!$BK$6:$BK$206,"*BYP/PER*")</f>
        <v/>
      </c>
      <c r="AV29" s="170">
        <f>COUNTIF('INPUT - Roster'!$BL$6:$BL$206,"*BYP/PER*")</f>
        <v/>
      </c>
      <c r="AW29" s="170">
        <f>COUNTIF('INPUT - Roster'!$BM$6:$BM$206,"*BYP/PER*")</f>
        <v/>
      </c>
      <c r="AX29" s="170">
        <f>COUNTIF('INPUT - Roster'!$BN$6:$BN$206,"*BYP/PER*")</f>
        <v/>
      </c>
      <c r="AY29" s="170">
        <f>COUNTIF('INPUT - Roster'!$BO$6:$BO$206,"*BYP/PER*")</f>
        <v/>
      </c>
      <c r="AZ29" s="170">
        <f>COUNTIF('INPUT - Roster'!$BP$6:$BP$206,"*BYP/PER*")</f>
        <v/>
      </c>
      <c r="BA29" s="170">
        <f>COUNTIF('INPUT - Roster'!$BQ$6:$BQ$206,"*BYP/PER*")</f>
        <v/>
      </c>
      <c r="BB29" s="170">
        <f>COUNTIF('INPUT - Roster'!$BR$6:$BR$206,"*BYP/PER*")</f>
        <v/>
      </c>
      <c r="BC29" s="170">
        <f>COUNTIF('INPUT - Roster'!$BS$6:$BS$206,"*BYP/PER*")</f>
        <v/>
      </c>
      <c r="BD29" s="170">
        <f>COUNTIF('INPUT - Roster'!$BT$6:$BT$206,"*BYP/PER*")</f>
        <v/>
      </c>
      <c r="BE29" s="170">
        <f>COUNTIF('INPUT - Roster'!$BU$6:$BU$206,"*BYP/PER*")</f>
        <v/>
      </c>
      <c r="BF29" s="170">
        <f>COUNTIF('INPUT - Roster'!$BV$6:$BV$206,"*BYP/PER*")</f>
        <v/>
      </c>
      <c r="BG29" s="170">
        <f>COUNTIF('INPUT - Roster'!$BW$6:$BW$206,"*BYP/PER*")</f>
        <v/>
      </c>
      <c r="BH29" s="170">
        <f>COUNTIF('INPUT - Roster'!$BX$6:$BX$206,"*BYP/PER*")</f>
        <v/>
      </c>
      <c r="BI29" s="170">
        <f>COUNTIF('INPUT - Roster'!$BY$6:$BY$206,"*BYP/PER*")</f>
        <v/>
      </c>
      <c r="BJ29" s="170">
        <f>COUNTIF('INPUT - Roster'!$BZ$6:$BZ$206,"*BYP/PER*")</f>
        <v/>
      </c>
      <c r="BK29" s="170">
        <f>COUNTIF('INPUT - Roster'!$CA$6:$CA$206,"*BYP/PER*")</f>
        <v/>
      </c>
      <c r="BL29" s="170">
        <f>COUNTIF('INPUT - Roster'!$CB$6:$CB$206,"*BYP/PER*")</f>
        <v/>
      </c>
      <c r="BM29" s="170">
        <f>COUNTIF('INPUT - Roster'!$CC$6:$CC$206,"*BYP/PER*")</f>
        <v/>
      </c>
      <c r="BN29" s="170">
        <f>COUNTIF('INPUT - Roster'!$CD$6:$CD$206,"*BYP/PER*")</f>
        <v/>
      </c>
      <c r="BO29" s="170">
        <f>COUNTIF('INPUT - Roster'!$CE$6:$CE$206,"*BYP/PER*")</f>
        <v/>
      </c>
      <c r="BP29" s="170">
        <f>COUNTIF('INPUT - Roster'!$CF$6:$CF$206,"*BYP/PER*")</f>
        <v/>
      </c>
      <c r="BQ29" s="170">
        <f>COUNTIF('INPUT - Roster'!$CG$6:$CG$206,"*BYP/PER*")</f>
        <v/>
      </c>
      <c r="BR29" s="170">
        <f>COUNTIF('INPUT - Roster'!$CH$6:$CH$206,"*BYP/PER*")</f>
        <v/>
      </c>
      <c r="BS29" s="170">
        <f>COUNTIF('INPUT - Roster'!$CI$6:$CI$206,"*BYP/PER*")</f>
        <v/>
      </c>
      <c r="BT29" s="170">
        <f>COUNTIF('INPUT - Roster'!$CJ$6:$CJ$206,"*BYP/PER*")</f>
        <v/>
      </c>
      <c r="BU29" s="170">
        <f>COUNTIF('INPUT - Roster'!$CK$6:$CK$206,"*BYP/PER*")</f>
        <v/>
      </c>
      <c r="BV29" s="170">
        <f>COUNTIF('INPUT - Roster'!$CL$6:$CL$206,"*BYP/PER*")</f>
        <v/>
      </c>
      <c r="BW29" s="170">
        <f>COUNTIF('INPUT - Roster'!$CM$6:$CM$206,"*BYP/PER*")</f>
        <v/>
      </c>
      <c r="BX29" s="170">
        <f>COUNTIF('INPUT - Roster'!$CN$6:$CN$206,"*BYP/PER*")</f>
        <v/>
      </c>
      <c r="BY29" s="170">
        <f>COUNTIF('INPUT - Roster'!$CO$6:$CO$206,"*BYP/PER*")</f>
        <v/>
      </c>
      <c r="BZ29" s="170">
        <f>COUNTIF('INPUT - Roster'!$CP$6:$CP$206,"*BYP/PER*")</f>
        <v/>
      </c>
      <c r="CA29" s="170">
        <f>COUNTIF('INPUT - Roster'!$CQ$6:$CQ$206,"*BYP/PER*")</f>
        <v/>
      </c>
      <c r="CB29" s="170">
        <f>COUNTIF('INPUT - Roster'!$CR$6:$CR$206,"*BYP/PER*")</f>
        <v/>
      </c>
      <c r="CC29" s="170">
        <f>COUNTIF('INPUT - Roster'!$CS$6:$CS$206,"*BYP/PER*")</f>
        <v/>
      </c>
      <c r="CD29" s="170">
        <f>COUNTIF('INPUT - Roster'!$CT$6:$CT$206,"*BYP/PER*")</f>
        <v/>
      </c>
      <c r="CE29" s="170">
        <f>COUNTIF('INPUT - Roster'!$CU$6:$CU$206,"*BYP/PER*")</f>
        <v/>
      </c>
      <c r="CF29" s="170">
        <f>COUNTIF('INPUT - Roster'!$CV$6:$CV$206,"*BYP/PER*")</f>
        <v/>
      </c>
      <c r="CG29" s="170">
        <f>COUNTIF('INPUT - Roster'!$CW$6:$CW$206,"*BYP/PER*")</f>
        <v/>
      </c>
      <c r="CH29" s="170">
        <f>COUNTIF('INPUT - Roster'!$CX$6:$CX$206,"*BYP/PER*")</f>
        <v/>
      </c>
      <c r="CI29" s="170">
        <f>COUNTIF('INPUT - Roster'!$CY$6:$CY$206,"*BYP/PER*")</f>
        <v/>
      </c>
      <c r="CJ29" s="170">
        <f>COUNTIF('INPUT - Roster'!$CZ$6:$CZ$206,"*BYP/PER*")</f>
        <v/>
      </c>
      <c r="CK29" s="170">
        <f>COUNTIF('INPUT - Roster'!$DA$6:$DA$206,"*BYP/PER*")</f>
        <v/>
      </c>
      <c r="CL29" s="170">
        <f>COUNTIF('INPUT - Roster'!$DB$6:$DB$206,"*BYP/PER*")</f>
        <v/>
      </c>
      <c r="CM29" s="170">
        <f>COUNTIF('INPUT - Roster'!$DC$6:$DC$206,"*BYP/PER*")</f>
        <v/>
      </c>
      <c r="CN29" s="170">
        <f>COUNTIF('INPUT - Roster'!$DD$6:$DD$206,"*BYP/PER*")</f>
        <v/>
      </c>
      <c r="CO29" s="170">
        <f>COUNTIF('INPUT - Roster'!$DE$6:$DE$206,"*BYP/PER*")</f>
        <v/>
      </c>
      <c r="CP29" s="170">
        <f>COUNTIF('INPUT - Roster'!$DF$6:$DF$206,"*BYP/PER*")</f>
        <v/>
      </c>
      <c r="CQ29" s="170">
        <f>COUNTIF('INPUT - Roster'!$DG$6:$DG$206,"*BYP/PER*")</f>
        <v/>
      </c>
      <c r="CR29" s="170">
        <f>COUNTIF('INPUT - Roster'!$DH$6:$DH$206,"*BYP/PER*")</f>
        <v/>
      </c>
      <c r="CS29" s="170">
        <f>COUNTIF('INPUT - Roster'!$DI$6:$DI$206,"*BYP/PER*")</f>
        <v/>
      </c>
      <c r="CT29" s="170">
        <f>COUNTIF('INPUT - Roster'!$DJ$6:$DJ$206,"*BYP/PER*")</f>
        <v/>
      </c>
      <c r="CU29" s="170">
        <f>COUNTIF('INPUT - Roster'!$DK$6:$DK$206,"*BYP/PER*")</f>
        <v/>
      </c>
      <c r="CV29" s="170">
        <f>COUNTIF('INPUT - Roster'!$DL$6:$DL$206,"*BYP/PER*")</f>
        <v/>
      </c>
      <c r="CW29" s="170">
        <f>COUNTIF('INPUT - Roster'!$DM$6:$DM$206,"*BYP/PER*")</f>
        <v/>
      </c>
      <c r="CX29" s="170">
        <f>COUNTIF('INPUT - Roster'!$DN$6:$DN$206,"*BYP/PER*")</f>
        <v/>
      </c>
      <c r="CY29" s="170">
        <f>COUNTIF('INPUT - Roster'!$DO$6:$DO$206,"*BYP/PER*")</f>
        <v/>
      </c>
      <c r="CZ29" s="170">
        <f>COUNTIF('INPUT - Roster'!$DP$6:$DP$206,"*BYP/PER*")</f>
        <v/>
      </c>
      <c r="DA29" s="170">
        <f>COUNTIF('INPUT - Roster'!$DQ$6:$DQ$206,"*BYP/PER*")</f>
        <v/>
      </c>
      <c r="DB29" s="170">
        <f>COUNTIF('INPUT - Roster'!$DR$6:$DR$206,"*BYP/PER*")</f>
        <v/>
      </c>
      <c r="DC29" s="170">
        <f>COUNTIF('INPUT - Roster'!$DS$6:$DS$206,"*BYP/PER*")</f>
        <v/>
      </c>
      <c r="DD29" s="170">
        <f>COUNTIF('INPUT - Roster'!$DT$6:$DT$206,"*BYP/PER*")</f>
        <v/>
      </c>
      <c r="DE29" s="170">
        <f>COUNTIF('INPUT - Roster'!$DU$6:$DU$206,"*BYP/PER*")</f>
        <v/>
      </c>
      <c r="DF29" s="170">
        <f>COUNTIF('INPUT - Roster'!$DV$6:$DV$206,"*BYP/PER*")</f>
        <v/>
      </c>
      <c r="DG29" s="170">
        <f>COUNTIF('INPUT - Roster'!$DW$6:$DW$206,"*BYP/PER*")</f>
        <v/>
      </c>
      <c r="DH29" s="170">
        <f>COUNTIF('INPUT - Roster'!$DX$6:$DX$206,"*BYP/PER*")</f>
        <v/>
      </c>
      <c r="DI29" s="170">
        <f>COUNTIF('INPUT - Roster'!$DY$6:$DY$206,"*BYP/PER*")</f>
        <v/>
      </c>
      <c r="DJ29" s="170">
        <f>COUNTIF('INPUT - Roster'!$DZ$6:$DZ$206,"*BYP/PER*")</f>
        <v/>
      </c>
      <c r="DK29" s="170">
        <f>COUNTIF('INPUT - Roster'!$EA$6:$EA$206,"*BYP/PER*")</f>
        <v/>
      </c>
      <c r="DL29" s="170">
        <f>COUNTIF('INPUT - Roster'!$EB$6:$EB$206,"*BYP/PER*")</f>
        <v/>
      </c>
      <c r="DM29" s="170">
        <f>COUNTIF('INPUT - Roster'!$EC$6:$EC$206,"*BYP/PER*")</f>
        <v/>
      </c>
      <c r="DN29" s="170">
        <f>COUNTIF('INPUT - Roster'!$ED$6:$ED$206,"*BYP/PER*")</f>
        <v/>
      </c>
      <c r="DO29" s="170">
        <f>COUNTIF('INPUT - Roster'!$EE$6:$EE$206,"*BYP/PER*")</f>
        <v/>
      </c>
      <c r="DP29" s="170">
        <f>COUNTIF('INPUT - Roster'!$EF$6:$EF$206,"*BYP/PER*")</f>
        <v/>
      </c>
      <c r="DQ29" s="170">
        <f>COUNTIF('INPUT - Roster'!$EG$6:$EG$206,"*BYP/PER*")</f>
        <v/>
      </c>
      <c r="DR29" s="170">
        <f>COUNTIF('INPUT - Roster'!$EH$6:$EH$206,"*BYP/PER*")</f>
        <v/>
      </c>
      <c r="DS29" s="170">
        <f>COUNTIF('INPUT - Roster'!$EI$6:$EI$206,"*BYP/PER*")</f>
        <v/>
      </c>
      <c r="DT29" s="170">
        <f>COUNTIF('INPUT - Roster'!$EJ$6:$EJ$206,"*BYP/PER*")</f>
        <v/>
      </c>
      <c r="DU29" s="170">
        <f>COUNTIF('INPUT - Roster'!$EK$6:$EK$206,"*BYP/PER*")</f>
        <v/>
      </c>
      <c r="DV29" s="170">
        <f>COUNTIF('INPUT - Roster'!$EL$6:$EL$206,"*BYP/PER*")</f>
        <v/>
      </c>
      <c r="DW29" s="170">
        <f>COUNTIF('INPUT - Roster'!$EM$6:$EM$206,"*BYP/PER*")</f>
        <v/>
      </c>
      <c r="DX29" s="170">
        <f>COUNTIF('INPUT - Roster'!$EN$6:$EN$206,"*BYP/PER*")</f>
        <v/>
      </c>
      <c r="DY29" s="170">
        <f>COUNTIF('INPUT - Roster'!$EO$6:$EO$206,"*BYP/PER*")</f>
        <v/>
      </c>
      <c r="DZ29" s="170">
        <f>COUNTIF('INPUT - Roster'!$EP$6:$EP$206,"*BYP/PER*")</f>
        <v/>
      </c>
      <c r="EA29" s="170">
        <f>COUNTIF('INPUT - Roster'!$EQ$6:$EQ$206,"*BYP/PER*")</f>
        <v/>
      </c>
      <c r="EB29" s="170">
        <f>COUNTIF('INPUT - Roster'!$ER$6:$ER$206,"*BYP/PER*")</f>
        <v/>
      </c>
      <c r="EC29" s="170">
        <f>COUNTIF('INPUT - Roster'!$ES$6:$ES$206,"*BYP/PER*")</f>
        <v/>
      </c>
      <c r="ED29" s="170">
        <f>COUNTIF('INPUT - Roster'!$ET$6:$ET$206,"*BYP/PER*")</f>
        <v/>
      </c>
      <c r="EE29" s="170">
        <f>COUNTIF('INPUT - Roster'!$EU$6:$EU$206,"*BYP/PER*")</f>
        <v/>
      </c>
      <c r="EF29" s="170">
        <f>COUNTIF('INPUT - Roster'!$EV$6:$EV$206,"*BYP/PER*")</f>
        <v/>
      </c>
      <c r="EG29" s="170">
        <f>COUNTIF('INPUT - Roster'!$EW$6:$EW$206,"*BYP/PER*")</f>
        <v/>
      </c>
      <c r="EH29" s="170">
        <f>COUNTIF('INPUT - Roster'!$EX$6:$EX$206,"*BYP/PER*")</f>
        <v/>
      </c>
      <c r="EI29" s="170">
        <f>COUNTIF('INPUT - Roster'!$EY$6:$EY$206,"*BYP/PER*")</f>
        <v/>
      </c>
      <c r="EJ29" s="170">
        <f>COUNTIF('INPUT - Roster'!$EZ$6:$EZ$206,"*BYP/PER*")</f>
        <v/>
      </c>
      <c r="EK29" s="170">
        <f>COUNTIF('INPUT - Roster'!$FA$6:$FA$206,"*BYP/PER*")</f>
        <v/>
      </c>
      <c r="EL29" s="170">
        <f>COUNTIF('INPUT - Roster'!$FB$6:$FB$206,"*BYP/PER*")</f>
        <v/>
      </c>
      <c r="EM29" s="170">
        <f>COUNTIF('INPUT - Roster'!$FC$6:$FC$206,"*BYP/PER*")</f>
        <v/>
      </c>
      <c r="EN29" s="170">
        <f>COUNTIF('INPUT - Roster'!$FD$6:$FD$206,"*BYP/PER*")</f>
        <v/>
      </c>
      <c r="EO29" s="170">
        <f>COUNTIF('INPUT - Roster'!$FE$6:$FE$206,"*BYP/PER*")</f>
        <v/>
      </c>
      <c r="EP29" s="170">
        <f>COUNTIF('INPUT - Roster'!$FF$6:$FF$206,"*BYP/PER*")</f>
        <v/>
      </c>
      <c r="EQ29" s="170">
        <f>COUNTIF('INPUT - Roster'!$FG$6:$FG$206,"*BYP/PER*")</f>
        <v/>
      </c>
      <c r="ER29" s="170">
        <f>COUNTIF('INPUT - Roster'!$FH$6:$FH$206,"*BYP/PER*")</f>
        <v/>
      </c>
      <c r="ES29" s="170">
        <f>COUNTIF('INPUT - Roster'!$FI$6:$FI$206,"*BYP/PER*")</f>
        <v/>
      </c>
      <c r="ET29" s="170">
        <f>COUNTIF('INPUT - Roster'!$FJ$6:$FJ$206,"*BYP/PER*")</f>
        <v/>
      </c>
      <c r="EU29" s="170">
        <f>COUNTIF('INPUT - Roster'!$FK$6:$FK$206,"*BYP/PER*")</f>
        <v/>
      </c>
      <c r="EV29" s="170">
        <f>COUNTIF('INPUT - Roster'!$FL$6:$FL$206,"*BYP/PER*")</f>
        <v/>
      </c>
      <c r="EW29" s="170">
        <f>COUNTIF('INPUT - Roster'!$FM$6:$FM$206,"*BYP/PER*")</f>
        <v/>
      </c>
      <c r="EX29" s="170">
        <f>COUNTIF('INPUT - Roster'!$FN$6:$FN$206,"*BYP/PER*")</f>
        <v/>
      </c>
      <c r="EY29" s="170">
        <f>COUNTIF('INPUT - Roster'!$FO$6:$FO$206,"*BYP/PER*")</f>
        <v/>
      </c>
      <c r="EZ29" s="170">
        <f>COUNTIF('INPUT - Roster'!$FP$6:$FP$206,"*BYP/PER*")</f>
        <v/>
      </c>
      <c r="FA29" s="170">
        <f>COUNTIF('INPUT - Roster'!$FQ$6:$FQ$206,"*BYP/PER*")</f>
        <v/>
      </c>
      <c r="FB29" s="170">
        <f>COUNTIF('INPUT - Roster'!$FR$6:$FR$206,"*BYP/PER*")</f>
        <v/>
      </c>
      <c r="FC29" s="170">
        <f>COUNTIF('INPUT - Roster'!$FS$6:$FS$206,"*BYP/PER*")</f>
        <v/>
      </c>
      <c r="FD29" s="170">
        <f>COUNTIF('INPUT - Roster'!$FT$6:$FT$206,"*BYP/PER*")</f>
        <v/>
      </c>
      <c r="FE29" s="170">
        <f>COUNTIF('INPUT - Roster'!$FU$6:$FU$206,"*BYP/PER*")</f>
        <v/>
      </c>
      <c r="FF29" s="170">
        <f>COUNTIF('INPUT - Roster'!$FV$6:$FV$206,"*BYP/PER*")</f>
        <v/>
      </c>
      <c r="FG29" s="170">
        <f>COUNTIF('INPUT - Roster'!$FW$6:$FW$206,"*BYP/PER*")</f>
        <v/>
      </c>
      <c r="FH29" s="170">
        <f>COUNTIF('INPUT - Roster'!$FX$6:$FX$206,"*BYP/PER*")</f>
        <v/>
      </c>
      <c r="FI29" s="170">
        <f>COUNTIF('INPUT - Roster'!$FY$6:$FY$206,"*BYP/PER*")</f>
        <v/>
      </c>
      <c r="FJ29" s="170">
        <f>COUNTIF('INPUT - Roster'!$FZ$6:$FZ$206,"*BYP/PER*")</f>
        <v/>
      </c>
      <c r="FK29" s="170">
        <f>COUNTIF('INPUT - Roster'!$GA$6:$GA$206,"*BYP/PER*")</f>
        <v/>
      </c>
      <c r="FL29" s="170">
        <f>COUNTIF('INPUT - Roster'!$GB$6:$GB$206,"*BYP/PER*")</f>
        <v/>
      </c>
      <c r="FM29" s="170">
        <f>COUNTIF('INPUT - Roster'!$GC$6:$GC$206,"*BYP/PER*")</f>
        <v/>
      </c>
      <c r="FN29" s="170">
        <f>COUNTIF('INPUT - Roster'!$GD$6:$GD$206,"*BYP/PER*")</f>
        <v/>
      </c>
      <c r="FO29" s="170">
        <f>COUNTIF('INPUT - Roster'!$GE$6:$GE$206,"*BYP/PER*")</f>
        <v/>
      </c>
      <c r="FP29" s="170">
        <f>COUNTIF('INPUT - Roster'!$GF$6:$GF$206,"*BYP/PER*")</f>
        <v/>
      </c>
      <c r="FQ29" s="170">
        <f>COUNTIF('INPUT - Roster'!$GG$6:$GG$206,"*BYP/PER*")</f>
        <v/>
      </c>
      <c r="FR29" s="170">
        <f>COUNTIF('INPUT - Roster'!$GH$6:$GH$206,"*BYP/PER*")</f>
        <v/>
      </c>
      <c r="FS29" s="170">
        <f>COUNTIF('INPUT - Roster'!$GI$6:$GI$206,"*BYP/PER*")</f>
        <v/>
      </c>
      <c r="FT29" s="170">
        <f>COUNTIF('INPUT - Roster'!$GJ$6:$GJ$206,"*BYP/PER*")</f>
        <v/>
      </c>
      <c r="FU29" s="170">
        <f>COUNTIF('INPUT - Roster'!$GK$6:$GK$206,"*BYP/PER*")</f>
        <v/>
      </c>
      <c r="FV29" s="170">
        <f>COUNTIF('INPUT - Roster'!$GL$6:$GL$206,"*BYP/PER*")</f>
        <v/>
      </c>
      <c r="FW29" s="170">
        <f>COUNTIF('INPUT - Roster'!$GM$6:$GM$206,"*BYP/PER*")</f>
        <v/>
      </c>
      <c r="FX29" s="170">
        <f>COUNTIF('INPUT - Roster'!$GN$6:$GN$206,"*BYP/PER*")</f>
        <v/>
      </c>
      <c r="FY29" s="170">
        <f>COUNTIF('INPUT - Roster'!$GO$6:$GO$206,"*BYP/PER*")</f>
        <v/>
      </c>
      <c r="FZ29" s="170">
        <f>COUNTIF('INPUT - Roster'!$GP$6:$GP$206,"*BYP/PER*")</f>
        <v/>
      </c>
      <c r="GA29" s="170">
        <f>COUNTIF('INPUT - Roster'!$GQ$6:$GQ$206,"*BYP/PER*")</f>
        <v/>
      </c>
      <c r="GB29" s="170">
        <f>COUNTIF('INPUT - Roster'!$GR$6:$GR$206,"*BYP/PER*")</f>
        <v/>
      </c>
      <c r="GC29" s="170">
        <f>COUNTIF('INPUT - Roster'!$GS$6:$GS$206,"*BYP/PER*")</f>
        <v/>
      </c>
      <c r="GD29" s="170">
        <f>COUNTIF('INPUT - Roster'!$GT$6:$GT$206,"*BYP/PER*")</f>
        <v/>
      </c>
      <c r="GE29" s="170">
        <f>COUNTIF('INPUT - Roster'!$GU$6:$GU$206,"*BYP/PER*")</f>
        <v/>
      </c>
      <c r="GF29" s="170">
        <f>COUNTIF('INPUT - Roster'!$GV$6:$GV$206,"*BYP/PER*")</f>
        <v/>
      </c>
      <c r="GG29" s="170">
        <f>COUNTIF('INPUT - Roster'!$GW$6:$GW$206,"*BYP/PER*")</f>
        <v/>
      </c>
      <c r="GH29" s="170">
        <f>COUNTIF('INPUT - Roster'!$GX$6:$GX$206,"*BYP/PER*")</f>
        <v/>
      </c>
      <c r="GI29" s="170">
        <f>COUNTIF('INPUT - Roster'!$GY$6:$GY$206,"*BYP/PER*")</f>
        <v/>
      </c>
      <c r="GJ29" s="170">
        <f>COUNTIF('INPUT - Roster'!$GZ$6:$GZ$206,"*BYP/PER*")</f>
        <v/>
      </c>
      <c r="GK29" s="170">
        <f>COUNTIF('INPUT - Roster'!$HA$6:$HA$206,"*BYP/PER*")</f>
        <v/>
      </c>
      <c r="GL29" s="170">
        <f>COUNTIF('INPUT - Roster'!$HB$6:$HB$206,"*BYP/PER*")</f>
        <v/>
      </c>
      <c r="GM29" s="170">
        <f>COUNTIF('INPUT - Roster'!$HC$6:$HC$206,"*BYP/PER*")</f>
        <v/>
      </c>
      <c r="GN29" s="170">
        <f>COUNTIF('INPUT - Roster'!$HD$6:$HD$206,"*BYP/PER*")</f>
        <v/>
      </c>
      <c r="GO29" s="170">
        <f>COUNTIF('INPUT - Roster'!$HE$6:$HE$206,"*BYP/PER*")</f>
        <v/>
      </c>
      <c r="GP29" s="170">
        <f>COUNTIF('INPUT - Roster'!$HF$6:$HF$206,"*BYP/PER*")</f>
        <v/>
      </c>
      <c r="GQ29" s="170">
        <f>COUNTIF('INPUT - Roster'!$HG$6:$HG$206,"*BYP/PER*")</f>
        <v/>
      </c>
      <c r="GR29" s="170">
        <f>COUNTIF('INPUT - Roster'!$HH$6:$HH$206,"*BYP/PER*")</f>
        <v/>
      </c>
      <c r="GS29" s="170">
        <f>COUNTIF('INPUT - Roster'!$HI$6:$HI$206,"*BYP/PER*")</f>
        <v/>
      </c>
      <c r="GT29" s="170">
        <f>COUNTIF('INPUT - Roster'!$HJ$6:$HJ$206,"*BYP/PER*")</f>
        <v/>
      </c>
      <c r="GU29" s="170">
        <f>COUNTIF('INPUT - Roster'!$HK$6:$HK$206,"*BYP/PER*")</f>
        <v/>
      </c>
      <c r="GV29" s="170">
        <f>COUNTIF('INPUT - Roster'!$HL$6:$HL$206,"*BYP/PER*")</f>
        <v/>
      </c>
      <c r="GW29" s="170">
        <f>COUNTIF('INPUT - Roster'!$HM$6:$HM$206,"*BYP/PER*")</f>
        <v/>
      </c>
      <c r="GX29" s="170">
        <f>COUNTIF('INPUT - Roster'!$HN$6:$HN$206,"*BYP/PER*")</f>
        <v/>
      </c>
      <c r="GY29" s="170">
        <f>COUNTIF('INPUT - Roster'!$HO$6:$HO$206,"*BYP/PER*")</f>
        <v/>
      </c>
      <c r="GZ29" s="170">
        <f>COUNTIF('INPUT - Roster'!$HP$6:$HP$206,"*BYP/PER*")</f>
        <v/>
      </c>
      <c r="HA29" s="170">
        <f>COUNTIF('INPUT - Roster'!$HQ$6:$HQ$206,"*BYP/PER*")</f>
        <v/>
      </c>
      <c r="HB29" s="170">
        <f>COUNTIF('INPUT - Roster'!$HR$6:$HR$206,"*BYP/PER*")</f>
        <v/>
      </c>
      <c r="HC29" s="170">
        <f>COUNTIF('INPUT - Roster'!$HS$6:$HS$206,"*BYP/PER*")</f>
        <v/>
      </c>
      <c r="HD29" s="170">
        <f>COUNTIF('INPUT - Roster'!$HT$6:$HT$206,"*BYP/PER*")</f>
        <v/>
      </c>
      <c r="HE29" s="170">
        <f>COUNTIF('INPUT - Roster'!$HU$6:$HU$206,"*BYP/PER*")</f>
        <v/>
      </c>
      <c r="HF29" s="170">
        <f>COUNTIF('INPUT - Roster'!$HV$6:$HV$206,"*BYP/PER*")</f>
        <v/>
      </c>
      <c r="HG29" s="170">
        <f>COUNTIF('INPUT - Roster'!$HW$6:$HW$206,"*BYP/PER*")</f>
        <v/>
      </c>
      <c r="HH29" s="170">
        <f>COUNTIF('INPUT - Roster'!$HX$6:$HX$206,"*BYP/PER*")</f>
        <v/>
      </c>
      <c r="HI29" s="170">
        <f>COUNTIF('INPUT - Roster'!$HY$6:$HY$206,"*BYP/PER*")</f>
        <v/>
      </c>
      <c r="HJ29" s="170">
        <f>COUNTIF('INPUT - Roster'!$HZ$6:$HZ$206,"*BYP/PER*")</f>
        <v/>
      </c>
      <c r="HK29" s="170">
        <f>COUNTIF('INPUT - Roster'!$IA$6:$IA$206,"*BYP/PER*")</f>
        <v/>
      </c>
      <c r="HL29" s="170">
        <f>COUNTIF('INPUT - Roster'!$IB$6:$IB$206,"*BYP/PER*")</f>
        <v/>
      </c>
      <c r="HM29" s="170">
        <f>COUNTIF('INPUT - Roster'!$IC$6:$IC$206,"*BYP/PER*")</f>
        <v/>
      </c>
      <c r="HN29" s="170">
        <f>COUNTIF('INPUT - Roster'!$ID$6:$ID$206,"*BYP/PER*")</f>
        <v/>
      </c>
      <c r="HO29" s="170">
        <f>COUNTIF('INPUT - Roster'!$IE$6:$IE$206,"*BYP/PER*")</f>
        <v/>
      </c>
      <c r="HP29" s="170">
        <f>COUNTIF('INPUT - Roster'!$IF$6:$IF$206,"*BYP/PER*")</f>
        <v/>
      </c>
      <c r="HQ29" s="170">
        <f>COUNTIF('INPUT - Roster'!$IG$6:$IG$206,"*BYP/PER*")</f>
        <v/>
      </c>
      <c r="HR29" s="170">
        <f>COUNTIF('INPUT - Roster'!$IH$6:$IH$206,"*BYP/PER*")</f>
        <v/>
      </c>
      <c r="HS29" s="170">
        <f>COUNTIF('INPUT - Roster'!$II$6:$II$206,"*BYP/PER*")</f>
        <v/>
      </c>
      <c r="HT29" s="170">
        <f>COUNTIF('INPUT - Roster'!$IJ$6:$IJ$206,"*BYP/PER*")</f>
        <v/>
      </c>
      <c r="HU29" s="170">
        <f>COUNTIF('INPUT - Roster'!$IK$6:$IK$206,"*BYP/PER*")</f>
        <v/>
      </c>
      <c r="HV29" s="170">
        <f>COUNTIF('INPUT - Roster'!$IL$6:$IL$206,"*BYP/PER*")</f>
        <v/>
      </c>
      <c r="HW29" s="170">
        <f>COUNTIF('INPUT - Roster'!$IM$6:$IM$206,"*BYP/PER*")</f>
        <v/>
      </c>
      <c r="HX29" s="170">
        <f>COUNTIF('INPUT - Roster'!$IN$6:$IN$206,"*BYP/PER*")</f>
        <v/>
      </c>
      <c r="HY29" s="170">
        <f>COUNTIF('INPUT - Roster'!$IO$6:$IO$206,"*BYP/PER*")</f>
        <v/>
      </c>
      <c r="HZ29" s="170">
        <f>COUNTIF('INPUT - Roster'!$IP$6:$IP$206,"*BYP/PER*")</f>
        <v/>
      </c>
      <c r="IA29" s="170">
        <f>COUNTIF('INPUT - Roster'!$IQ$6:$IQ$206,"*BYP/PER*")</f>
        <v/>
      </c>
      <c r="IB29" s="170">
        <f>COUNTIF('INPUT - Roster'!$IR$6:$IR$206,"*BYP/PER*")</f>
        <v/>
      </c>
      <c r="IC29" s="170">
        <f>COUNTIF('INPUT - Roster'!$IS$6:$IS$206,"*BYP/PER*")</f>
        <v/>
      </c>
      <c r="ID29" s="170">
        <f>COUNTIF('INPUT - Roster'!$IT$6:$IT$206,"*BYP/PER*")</f>
        <v/>
      </c>
      <c r="IE29" s="170">
        <f>COUNTIF('INPUT - Roster'!$IU$6:$IU$206,"*BYP/PER*")</f>
        <v/>
      </c>
      <c r="IF29" s="170">
        <f>COUNTIF('INPUT - Roster'!$IV$6:$IV$206,"*BYP/PER*")</f>
        <v/>
      </c>
      <c r="IG29" s="170">
        <f>COUNTIF('INPUT - Roster'!$IW$6:$IW$206,"*BYP/PER*")</f>
        <v/>
      </c>
      <c r="IH29" s="170">
        <f>COUNTIF('INPUT - Roster'!$IX$6:$IX$206,"*BYP/PER*")</f>
        <v/>
      </c>
      <c r="II29" s="170">
        <f>COUNTIF('INPUT - Roster'!$IY$6:$IY$206,"*BYP/PER*")</f>
        <v/>
      </c>
      <c r="IJ29" s="170">
        <f>COUNTIF('INPUT - Roster'!$IZ$6:$IZ$206,"*BYP/PER*")</f>
        <v/>
      </c>
      <c r="IK29" s="170">
        <f>COUNTIF('INPUT - Roster'!$JA$6:$JA$206,"*BYP/PER*")</f>
        <v/>
      </c>
      <c r="IL29" s="170">
        <f>COUNTIF('INPUT - Roster'!$JB$6:$JB$206,"*BYP/PER*")</f>
        <v/>
      </c>
      <c r="IM29" s="170">
        <f>COUNTIF('INPUT - Roster'!$JC$6:$JC$206,"*BYP/PER*")</f>
        <v/>
      </c>
      <c r="IN29" s="170">
        <f>COUNTIF('INPUT - Roster'!$JD$6:$JD$206,"*BYP/PER*")</f>
        <v/>
      </c>
      <c r="IO29" s="170">
        <f>COUNTIF('INPUT - Roster'!$JE$6:$JE$206,"*BYP/PER*")</f>
        <v/>
      </c>
      <c r="IP29" s="170">
        <f>COUNTIF('INPUT - Roster'!$JF$6:$JF$206,"*BYP/PER*")</f>
        <v/>
      </c>
      <c r="IQ29" s="170">
        <f>COUNTIF('INPUT - Roster'!$JG$6:$JG$206,"*BYP/PER*")</f>
        <v/>
      </c>
      <c r="IR29" s="170">
        <f>COUNTIF('INPUT - Roster'!$JH$6:$JH$206,"*BYP/PER*")</f>
        <v/>
      </c>
      <c r="IS29" s="170">
        <f>COUNTIF('INPUT - Roster'!$JI$6:$JI$206,"*BYP/PER*")</f>
        <v/>
      </c>
      <c r="IT29" s="170">
        <f>COUNTIF('INPUT - Roster'!$JJ$6:$JJ$206,"*BYP/PER*")</f>
        <v/>
      </c>
      <c r="IU29" s="170">
        <f>COUNTIF('INPUT - Roster'!$JK$6:$JK$206,"*BYP/PER*")</f>
        <v/>
      </c>
      <c r="IV29" s="170">
        <f>COUNTIF('INPUT - Roster'!$JL$6:$JL$206,"*BYP/PER*")</f>
        <v/>
      </c>
      <c r="IW29" s="170">
        <f>COUNTIF('INPUT - Roster'!$JM$6:$JM$206,"*BYP/PER*")</f>
        <v/>
      </c>
      <c r="IX29" s="170">
        <f>COUNTIF('INPUT - Roster'!$JN$6:$JN$206,"*BYP/PER*")</f>
        <v/>
      </c>
      <c r="IY29" s="170">
        <f>COUNTIF('INPUT - Roster'!$JO$6:$JO$206,"*BYP/PER*")</f>
        <v/>
      </c>
      <c r="IZ29" s="170">
        <f>COUNTIF('INPUT - Roster'!$JP$6:$JP$206,"*BYP/PER*")</f>
        <v/>
      </c>
      <c r="JA29" s="170">
        <f>COUNTIF('INPUT - Roster'!$JQ$6:$JQ$206,"*BYP/PER*")</f>
        <v/>
      </c>
      <c r="JB29" s="170">
        <f>COUNTIF('INPUT - Roster'!$JR$6:$JR$206,"*BYP/PER*")</f>
        <v/>
      </c>
      <c r="JC29" s="170">
        <f>COUNTIF('INPUT - Roster'!$JS$6:$JS$206,"*BYP/PER*")</f>
        <v/>
      </c>
      <c r="JD29" s="170">
        <f>COUNTIF('INPUT - Roster'!$JT$6:$JT$206,"*BYP/PER*")</f>
        <v/>
      </c>
      <c r="JE29" s="170">
        <f>COUNTIF('INPUT - Roster'!$JU$6:$JU$206,"*BYP/PER*")</f>
        <v/>
      </c>
      <c r="JF29" s="170">
        <f>COUNTIF('INPUT - Roster'!$JV$6:$JV$206,"*BYP/PER*")</f>
        <v/>
      </c>
      <c r="JG29" s="170">
        <f>COUNTIF('INPUT - Roster'!$JW$6:$JW$206,"*BYP/PER*")</f>
        <v/>
      </c>
      <c r="JH29" s="170">
        <f>COUNTIF('INPUT - Roster'!$JX$6:$JX$206,"*BYP/PER*")</f>
        <v/>
      </c>
      <c r="JI29" s="170">
        <f>COUNTIF('INPUT - Roster'!$JY$6:$JY$206,"*BYP/PER*")</f>
        <v/>
      </c>
      <c r="JJ29" s="170">
        <f>COUNTIF('INPUT - Roster'!$JZ$6:$JZ$206,"*BYP/PER*")</f>
        <v/>
      </c>
      <c r="JK29" s="170">
        <f>COUNTIF('INPUT - Roster'!$KA$6:$KA$206,"*BYP/PER*")</f>
        <v/>
      </c>
      <c r="JL29" s="170">
        <f>COUNTIF('INPUT - Roster'!$KB$6:$KB$206,"*BYP/PER*")</f>
        <v/>
      </c>
      <c r="JM29" s="170">
        <f>COUNTIF('INPUT - Roster'!$KC$6:$KC$206,"*BYP/PER*")</f>
        <v/>
      </c>
      <c r="JN29" s="170">
        <f>COUNTIF('INPUT - Roster'!$KD$6:$KD$206,"*BYP/PER*")</f>
        <v/>
      </c>
      <c r="JO29" s="170">
        <f>COUNTIF('INPUT - Roster'!$KE$6:$KE$206,"*BYP/PER*")</f>
        <v/>
      </c>
      <c r="JP29" s="170">
        <f>COUNTIF('INPUT - Roster'!$KF$6:$KF$206,"*BYP/PER*")</f>
        <v/>
      </c>
      <c r="JQ29" s="170">
        <f>COUNTIF('INPUT - Roster'!$KG$6:$KG$206,"*BYP/PER*")</f>
        <v/>
      </c>
      <c r="JR29" s="170">
        <f>COUNTIF('INPUT - Roster'!$KH$6:$KH$206,"*BYP/PER*")</f>
        <v/>
      </c>
      <c r="JS29" s="170">
        <f>COUNTIF('INPUT - Roster'!$KI$6:$KI$206,"*BYP/PER*")</f>
        <v/>
      </c>
      <c r="JT29" s="170">
        <f>COUNTIF('INPUT - Roster'!$KJ$6:$KJ$206,"*BYP/PER*")</f>
        <v/>
      </c>
      <c r="JU29" s="170">
        <f>COUNTIF('INPUT - Roster'!$KK$6:$KK$206,"*BYP/PER*")</f>
        <v/>
      </c>
      <c r="JV29" s="170">
        <f>COUNTIF('INPUT - Roster'!$KL$6:$KL$206,"*BYP/PER*")</f>
        <v/>
      </c>
      <c r="JW29" s="170">
        <f>COUNTIF('INPUT - Roster'!$KM$6:$KM$206,"*BYP/PER*")</f>
        <v/>
      </c>
      <c r="JX29" s="170">
        <f>COUNTIF('INPUT - Roster'!$KN$6:$KN$206,"*BYP/PER*")</f>
        <v/>
      </c>
      <c r="JY29" s="170">
        <f>COUNTIF('INPUT - Roster'!$KO$6:$KO$206,"*BYP/PER*")</f>
        <v/>
      </c>
      <c r="JZ29" s="170">
        <f>COUNTIF('INPUT - Roster'!$KP$6:$KP$206,"*BYP/PER*")</f>
        <v/>
      </c>
      <c r="KA29" s="170">
        <f>COUNTIF('INPUT - Roster'!$KQ$6:$KQ$206,"*BYP/PER*")</f>
        <v/>
      </c>
      <c r="KB29" s="170">
        <f>COUNTIF('INPUT - Roster'!$KR$6:$KR$206,"*BYP/PER*")</f>
        <v/>
      </c>
      <c r="KC29" s="170">
        <f>COUNTIF('INPUT - Roster'!$KS$6:$KS$206,"*BYP/PER*")</f>
        <v/>
      </c>
      <c r="KD29" s="170">
        <f>COUNTIF('INPUT - Roster'!$KT$6:$KT$206,"*BYP/PER*")</f>
        <v/>
      </c>
      <c r="KE29" s="170">
        <f>COUNTIF('INPUT - Roster'!$KU$6:$KU$206,"*BYP/PER*")</f>
        <v/>
      </c>
      <c r="KF29" s="170">
        <f>COUNTIF('INPUT - Roster'!$KV$6:$KV$206,"*BYP/PER*")</f>
        <v/>
      </c>
      <c r="KG29" s="170">
        <f>COUNTIF('INPUT - Roster'!$KW$6:$KW$206,"*BYP/PER*")</f>
        <v/>
      </c>
      <c r="KH29" s="170">
        <f>COUNTIF('INPUT - Roster'!$KX$6:$KX$206,"*BYP/PER*")</f>
        <v/>
      </c>
      <c r="KI29" s="170">
        <f>COUNTIF('INPUT - Roster'!$KY$6:$KY$206,"*BYP/PER*")</f>
        <v/>
      </c>
      <c r="KJ29" s="170">
        <f>COUNTIF('INPUT - Roster'!$KZ$6:$KZ$206,"*BYP/PER*")</f>
        <v/>
      </c>
      <c r="KK29" s="170">
        <f>COUNTIF('INPUT - Roster'!$LA$6:$LA$206,"*BYP/PER*")</f>
        <v/>
      </c>
      <c r="KL29" s="170">
        <f>COUNTIF('INPUT - Roster'!$LB$6:$LB$206,"*BYP/PER*")</f>
        <v/>
      </c>
      <c r="KM29" s="170">
        <f>COUNTIF('INPUT - Roster'!$LC$6:$LC$206,"*BYP/PER*")</f>
        <v/>
      </c>
      <c r="KN29" s="170">
        <f>COUNTIF('INPUT - Roster'!$LD$6:$LD$206,"*BYP/PER*")</f>
        <v/>
      </c>
      <c r="KO29" s="170">
        <f>COUNTIF('INPUT - Roster'!$LE$6:$LE$206,"*BYP/PER*")</f>
        <v/>
      </c>
      <c r="KP29" s="170">
        <f>COUNTIF('INPUT - Roster'!$LF$6:$LF$206,"*BYP/PER*")</f>
        <v/>
      </c>
      <c r="KQ29" s="170">
        <f>COUNTIF('INPUT - Roster'!$LG$6:$LG$206,"*BYP/PER*")</f>
        <v/>
      </c>
      <c r="KR29" s="170">
        <f>COUNTIF('INPUT - Roster'!$LH$6:$LH$206,"*BYP/PER*")</f>
        <v/>
      </c>
      <c r="KS29" s="170">
        <f>COUNTIF('INPUT - Roster'!$LI$6:$LI$206,"*BYP/PER*")</f>
        <v/>
      </c>
      <c r="KT29" s="170">
        <f>COUNTIF('INPUT - Roster'!$LJ$6:$LJ$206,"*BYP/PER*")</f>
        <v/>
      </c>
      <c r="KU29" s="170">
        <f>COUNTIF('INPUT - Roster'!$LK$6:$LK$206,"*BYP/PER*")</f>
        <v/>
      </c>
      <c r="KV29" s="170">
        <f>COUNTIF('INPUT - Roster'!$LL$6:$LL$206,"*BYP/PER*")</f>
        <v/>
      </c>
      <c r="KW29" s="170">
        <f>COUNTIF('INPUT - Roster'!$LM$6:$LM$206,"*BYP/PER*")</f>
        <v/>
      </c>
      <c r="KX29" s="170">
        <f>COUNTIF('INPUT - Roster'!$LN$6:$LN$206,"*BYP/PER*")</f>
        <v/>
      </c>
      <c r="KY29" s="170">
        <f>COUNTIF('INPUT - Roster'!$LO$6:$LO$206,"*BYP/PER*")</f>
        <v/>
      </c>
      <c r="KZ29" s="170">
        <f>COUNTIF('INPUT - Roster'!$LP$6:$LP$206,"*BYP/PER*")</f>
        <v/>
      </c>
      <c r="LA29" s="170">
        <f>COUNTIF('INPUT - Roster'!$LQ$6:$LQ$206,"*BYP/PER*")</f>
        <v/>
      </c>
      <c r="LB29" s="170">
        <f>COUNTIF('INPUT - Roster'!$LR$6:$LR$206,"*BYP/PER*")</f>
        <v/>
      </c>
      <c r="LC29" s="170">
        <f>COUNTIF('INPUT - Roster'!$LS$6:$LS$206,"*BYP/PER*")</f>
        <v/>
      </c>
      <c r="LD29" s="170">
        <f>COUNTIF('INPUT - Roster'!$LT$6:$LT$206,"*BYP/PER*")</f>
        <v/>
      </c>
      <c r="LE29" s="170">
        <f>COUNTIF('INPUT - Roster'!$LU$6:$LU$206,"*BYP/PER*")</f>
        <v/>
      </c>
      <c r="LF29" s="170">
        <f>COUNTIF('INPUT - Roster'!$LV$6:$LV$206,"*BYP/PER*")</f>
        <v/>
      </c>
      <c r="LG29" s="170">
        <f>COUNTIF('INPUT - Roster'!$LW$6:$LW$206,"*BYP/PER*")</f>
        <v/>
      </c>
      <c r="LH29" s="170">
        <f>COUNTIF('INPUT - Roster'!$LX$6:$LX$206,"*BYP/PER*")</f>
        <v/>
      </c>
      <c r="LI29" s="170">
        <f>COUNTIF('INPUT - Roster'!$LY$6:$LY$206,"*BYP/PER*")</f>
        <v/>
      </c>
      <c r="LJ29" s="170">
        <f>COUNTIF('INPUT - Roster'!$LZ$6:$LZ$206,"*BYP/PER*")</f>
        <v/>
      </c>
      <c r="LK29" s="170">
        <f>COUNTIF('INPUT - Roster'!$MA$6:$MA$206,"*BYP/PER*")</f>
        <v/>
      </c>
      <c r="LL29" s="170">
        <f>COUNTIF('INPUT - Roster'!$MB$6:$MB$206,"*BYP/PER*")</f>
        <v/>
      </c>
      <c r="LM29" s="170">
        <f>COUNTIF('INPUT - Roster'!$MC$6:$MC$206,"*BYP/PER*")</f>
        <v/>
      </c>
      <c r="LN29" s="170">
        <f>COUNTIF('INPUT - Roster'!$MD$6:$MD$206,"*BYP/PER*")</f>
        <v/>
      </c>
      <c r="LO29" s="170">
        <f>COUNTIF('INPUT - Roster'!$ME$6:$ME$206,"*BYP/PER*")</f>
        <v/>
      </c>
      <c r="LP29" s="170">
        <f>COUNTIF('INPUT - Roster'!$MF$6:$MF$206,"*BYP/PER*")</f>
        <v/>
      </c>
      <c r="LQ29" s="170">
        <f>COUNTIF('INPUT - Roster'!$MG$6:$MG$206,"*BYP/PER*")</f>
        <v/>
      </c>
      <c r="LR29" s="170">
        <f>COUNTIF('INPUT - Roster'!$MH$6:$MH$206,"*BYP/PER*")</f>
        <v/>
      </c>
      <c r="LS29" s="170">
        <f>COUNTIF('INPUT - Roster'!$MI$6:$MI$206,"*BYP/PER*")</f>
        <v/>
      </c>
      <c r="LT29" s="170">
        <f>COUNTIF('INPUT - Roster'!$MJ$6:$MJ$206,"*BYP/PER*")</f>
        <v/>
      </c>
      <c r="LU29" s="170">
        <f>COUNTIF('INPUT - Roster'!$MK$6:$MK$206,"*BYP/PER*")</f>
        <v/>
      </c>
      <c r="LV29" s="170">
        <f>COUNTIF('INPUT - Roster'!$ML$6:$ML$206,"*BYP/PER*")</f>
        <v/>
      </c>
      <c r="LW29" s="170">
        <f>COUNTIF('INPUT - Roster'!$MM$6:$MM$206,"*BYP/PER*")</f>
        <v/>
      </c>
      <c r="LX29" s="170">
        <f>COUNTIF('INPUT - Roster'!$MN$6:$MN$206,"*BYP/PER*")</f>
        <v/>
      </c>
      <c r="LY29" s="170">
        <f>COUNTIF('INPUT - Roster'!$MO$6:$MO$206,"*BYP/PER*")</f>
        <v/>
      </c>
      <c r="LZ29" s="170">
        <f>COUNTIF('INPUT - Roster'!$MP$6:$MP$206,"*BYP/PER*")</f>
        <v/>
      </c>
      <c r="MA29" s="170">
        <f>COUNTIF('INPUT - Roster'!$MQ$6:$MQ$206,"*BYP/PER*")</f>
        <v/>
      </c>
      <c r="MB29" s="170">
        <f>COUNTIF('INPUT - Roster'!$MR$6:$MR$206,"*BYP/PER*")</f>
        <v/>
      </c>
      <c r="MC29" s="170">
        <f>COUNTIF('INPUT - Roster'!$MS$6:$MS$206,"*BYP/PER*")</f>
        <v/>
      </c>
      <c r="MD29" s="170">
        <f>COUNTIF('INPUT - Roster'!$MT$6:$MT$206,"*BYP/PER*")</f>
        <v/>
      </c>
      <c r="ME29" s="170">
        <f>COUNTIF('INPUT - Roster'!$MU$6:$MU$206,"*BYP/PER*")</f>
        <v/>
      </c>
      <c r="MF29" s="170">
        <f>COUNTIF('INPUT - Roster'!$MV$6:$MV$206,"*BYP/PER*")</f>
        <v/>
      </c>
      <c r="MG29" s="170">
        <f>COUNTIF('INPUT - Roster'!$MW$6:$MW$206,"*BYP/PER*")</f>
        <v/>
      </c>
      <c r="MH29" s="170">
        <f>COUNTIF('INPUT - Roster'!$MX$6:$MX$206,"*BYP/PER*")</f>
        <v/>
      </c>
      <c r="MI29" s="170">
        <f>COUNTIF('INPUT - Roster'!$MY$6:$MY$206,"*BYP/PER*")</f>
        <v/>
      </c>
      <c r="MJ29" s="170">
        <f>COUNTIF('INPUT - Roster'!$MZ$6:$MZ$206,"*BYP/PER*")</f>
        <v/>
      </c>
      <c r="MK29" s="170">
        <f>COUNTIF('INPUT - Roster'!$NA$6:$NA$206,"*BYP/PER*")</f>
        <v/>
      </c>
      <c r="ML29" s="170">
        <f>COUNTIF('INPUT - Roster'!$NB$6:$NB$206,"*BYP/PER*")</f>
        <v/>
      </c>
      <c r="MM29" s="170">
        <f>COUNTIF('INPUT - Roster'!$NC$6:$NC$206,"*BYP/PER*")</f>
        <v/>
      </c>
      <c r="MN29" s="170">
        <f>COUNTIF('INPUT - Roster'!$ND$6:$ND$206,"*BYP/PER*")</f>
        <v/>
      </c>
      <c r="MO29" s="170">
        <f>COUNTIF('INPUT - Roster'!$NE$6:$NE$206,"*BYP/PER*")</f>
        <v/>
      </c>
      <c r="MP29" s="170">
        <f>COUNTIF('INPUT - Roster'!$NF$6:$NF$206,"*BYP/PER*")</f>
        <v/>
      </c>
      <c r="MQ29" s="170">
        <f>COUNTIF('INPUT - Roster'!$NG$6:$NG$206,"*BYP/PER*")</f>
        <v/>
      </c>
      <c r="MR29" s="170">
        <f>COUNTIF('INPUT - Roster'!$NH$6:$NH$206,"*BYP/PER*")</f>
        <v/>
      </c>
      <c r="MS29" s="170">
        <f>COUNTIF('INPUT - Roster'!$NI$6:$NI$206,"*BYP/PER*")</f>
        <v/>
      </c>
      <c r="MT29" s="170">
        <f>COUNTIF('INPUT - Roster'!$NJ$6:$NJ$206,"*BYP/PER*")</f>
        <v/>
      </c>
      <c r="MU29" s="170">
        <f>COUNTIF('INPUT - Roster'!$NK$6:$NK$206,"*BYP/PER*")</f>
        <v/>
      </c>
      <c r="MV29" s="170">
        <f>COUNTIF('INPUT - Roster'!$NL$6:$NL$206,"*BYP/PER*")</f>
        <v/>
      </c>
      <c r="MW29" s="170">
        <f>COUNTIF('INPUT - Roster'!$NM$6:$NM$206,"*BYP/PER*")</f>
        <v/>
      </c>
      <c r="MX29" s="170">
        <f>COUNTIF('INPUT - Roster'!$NN$6:$NN$206,"*BYP/PER*")</f>
        <v/>
      </c>
      <c r="MY29" s="170">
        <f>COUNTIF('INPUT - Roster'!$NO$6:$NO$206,"*BYP/PER*")</f>
        <v/>
      </c>
      <c r="MZ29" s="170">
        <f>COUNTIF('INPUT - Roster'!$NP$6:$NP$206,"*BYP/PER*")</f>
        <v/>
      </c>
      <c r="NA29" s="170">
        <f>COUNTIF('INPUT - Roster'!$NQ$6:$NQ$206,"*BYP/PER*")</f>
        <v/>
      </c>
      <c r="NB29" s="170">
        <f>COUNTIF('INPUT - Roster'!$NR$6:$NR$206,"*BYP/PER*")</f>
        <v/>
      </c>
      <c r="NC29" s="170">
        <f>COUNTIF('INPUT - Roster'!$NS$6:$NS$206,"*BYP/PER*")</f>
        <v/>
      </c>
      <c r="ND29" s="170">
        <f>COUNTIF('INPUT - Roster'!$NT$6:$NT$206,"*BYP/PER*")</f>
        <v/>
      </c>
      <c r="NE29" s="170">
        <f>COUNTIF('INPUT - Roster'!$NU$6:$NU$206,"*BYP/PER*")</f>
        <v/>
      </c>
      <c r="NF29" s="170">
        <f>COUNTIF('INPUT - Roster'!$NV$6:$NV$206,"*BYP/PER*")</f>
        <v/>
      </c>
      <c r="NG29" s="170">
        <f>COUNTIF('INPUT - Roster'!$NW$6:$NW$206,"*BYP/PER*")</f>
        <v/>
      </c>
      <c r="NH29" s="170">
        <f>COUNTIF('INPUT - Roster'!$NX$6:$NX$206,"*BYP/PER*")</f>
        <v/>
      </c>
      <c r="NI29" s="170">
        <f>COUNTIF('INPUT - Roster'!$NY$6:$NY$206,"*BYP/PER*")</f>
        <v/>
      </c>
      <c r="NJ29" s="170">
        <f>COUNTIF('INPUT - Roster'!$NZ$6:$NZ$206,"*BYP/PER*")</f>
        <v/>
      </c>
      <c r="NK29" s="170">
        <f>COUNTIF('INPUT - Roster'!$OA$6:$OA$206,"*BYP/PER*")</f>
        <v/>
      </c>
      <c r="NL29" s="170">
        <f>COUNTIF('INPUT - Roster'!$OB$6:$OB$206,"*BYP/PER*")</f>
        <v/>
      </c>
      <c r="NM29" s="170">
        <f>COUNTIF('INPUT - Roster'!$OC$6:$OC$206,"*BYP/PER*")</f>
        <v/>
      </c>
      <c r="NN29" s="170">
        <f>COUNTIF('INPUT - Roster'!$OD$6:$OD$206,"*BYP/PER*")</f>
        <v/>
      </c>
      <c r="NO29" s="170">
        <f>COUNTIF('INPUT - Roster'!$OE$6:$OE$206,"*BYP/PER*")</f>
        <v/>
      </c>
      <c r="NP29" s="170">
        <f>COUNTIF('INPUT - Roster'!$OF$6:$OF$206,"*BYP/PER*")</f>
        <v/>
      </c>
      <c r="NQ29" s="170">
        <f>COUNTIF('INPUT - Roster'!$OG$6:$OG$206,"*BYP/PER*")</f>
        <v/>
      </c>
      <c r="NR29" s="170">
        <f>COUNTIF('INPUT - Roster'!$OH$6:$OH$206,"*BYP/PER*")</f>
        <v/>
      </c>
      <c r="NS29" s="170">
        <f>COUNTIF('INPUT - Roster'!$OI$6:$OI$206,"*BYP/PER*")</f>
        <v/>
      </c>
      <c r="NT29" s="170">
        <f>COUNTIF('INPUT - Roster'!$OJ$6:$OJ$206,"*BYP/PER*")</f>
        <v/>
      </c>
      <c r="NU29" s="170">
        <f>COUNTIF('INPUT - Roster'!$OK$6:$OK$206,"*BYP/PER*")</f>
        <v/>
      </c>
      <c r="NV29" s="170">
        <f>COUNTIF('INPUT - Roster'!$OL$6:$OL$206,"*BYP/PER*")</f>
        <v/>
      </c>
      <c r="NW29" s="170">
        <f>COUNTIF('INPUT - Roster'!$OM$6:$OM$206,"*BYP/PER*")</f>
        <v/>
      </c>
      <c r="NX29" s="170">
        <f>COUNTIF('INPUT - Roster'!$ON$6:$ON$206,"*BYP/PER*")</f>
        <v/>
      </c>
      <c r="NY29" s="170">
        <f>COUNTIF('INPUT - Roster'!$OO$6:$OO$206,"*BYP/PER*")</f>
        <v/>
      </c>
      <c r="NZ29" s="170">
        <f>COUNTIF('INPUT - Roster'!$OP$6:$OP$206,"*BYP/PER*")</f>
        <v/>
      </c>
      <c r="OA29" s="170">
        <f>COUNTIF('INPUT - Roster'!$OQ$6:$OQ$206,"*BYP/PER*")</f>
        <v/>
      </c>
      <c r="OB29" s="170">
        <f>COUNTIF('INPUT - Roster'!$OR$6:$OR$206,"*BYP/PER*")</f>
        <v/>
      </c>
      <c r="OC29" s="170">
        <f>COUNTIF('INPUT - Roster'!$OS$6:$OS$206,"*BYP/PER*")</f>
        <v/>
      </c>
      <c r="OD29" s="170">
        <f>COUNTIF('INPUT - Roster'!$OT$6:$OT$206,"*BYP/PER*")</f>
        <v/>
      </c>
      <c r="OE29" s="170">
        <f>COUNTIF('INPUT - Roster'!$OU$6:$OU$206,"*BYP/PER*")</f>
        <v/>
      </c>
      <c r="OF29" s="170">
        <f>COUNTIF('INPUT - Roster'!$OV$6:$OV$206,"*BYP/PER*")</f>
        <v/>
      </c>
      <c r="OG29" s="170">
        <f>COUNTIF('INPUT - Roster'!$OW$6:$OW$206,"*BYP/PER*")</f>
        <v/>
      </c>
      <c r="OH29" s="170">
        <f>COUNTIF('INPUT - Roster'!$OX$6:$OX$206,"*BYP/PER*")</f>
        <v/>
      </c>
      <c r="OI29" s="170">
        <f>COUNTIF('INPUT - Roster'!$OY$6:$OY$206,"*BYP/PER*")</f>
        <v/>
      </c>
      <c r="OJ29" s="170">
        <f>COUNTIF('INPUT - Roster'!$OZ$6:$OZ$206,"*BYP/PER*")</f>
        <v/>
      </c>
      <c r="OK29" s="170">
        <f>COUNTIF('INPUT - Roster'!$PA$6:$PA$206,"*BYP/PER*")</f>
        <v/>
      </c>
      <c r="OL29" s="170">
        <f>COUNTIF('INPUT - Roster'!$PB$6:$PB$206,"*BYP/PER*")</f>
        <v/>
      </c>
      <c r="OM29" s="170">
        <f>COUNTIF('INPUT - Roster'!$PC$6:$PC$206,"*BYP/PER*")</f>
        <v/>
      </c>
      <c r="ON29" s="170">
        <f>COUNTIF('INPUT - Roster'!$PD$6:$PD$206,"*BYP/PER*")</f>
        <v/>
      </c>
      <c r="OO29" s="170">
        <f>COUNTIF('INPUT - Roster'!$PE$6:$PE$206,"*BYP/PER*")</f>
        <v/>
      </c>
      <c r="OP29" s="170">
        <f>COUNTIF('INPUT - Roster'!$PF$6:$PF$206,"*BYP/PER*")</f>
        <v/>
      </c>
      <c r="OQ29" s="170">
        <f>COUNTIF('INPUT - Roster'!$PG$6:$PG$206,"*BYP/PER*")</f>
        <v/>
      </c>
      <c r="OR29" s="170">
        <f>COUNTIF('INPUT - Roster'!$PH$6:$PH$206,"*BYP/PER*")</f>
        <v/>
      </c>
      <c r="OS29" s="170">
        <f>COUNTIF('INPUT - Roster'!$PI$6:$PI$206,"*BYP/PER*")</f>
        <v/>
      </c>
      <c r="OT29" s="170">
        <f>COUNTIF('INPUT - Roster'!$PJ$6:$PJ$206,"*BYP/PER*")</f>
        <v/>
      </c>
      <c r="OU29" s="170">
        <f>COUNTIF('INPUT - Roster'!$PK$6:$PK$206,"*BYP/PER*")</f>
        <v/>
      </c>
      <c r="OV29" s="170">
        <f>COUNTIF('INPUT - Roster'!$PL$6:$PL$206,"*BYP/PER*")</f>
        <v/>
      </c>
      <c r="OW29" s="170">
        <f>COUNTIF('INPUT - Roster'!$PM$6:$PM$206,"*BYP/PER*")</f>
        <v/>
      </c>
      <c r="OX29" s="170">
        <f>COUNTIF('INPUT - Roster'!$PN$6:$PN$206,"*BYP/PER*")</f>
        <v/>
      </c>
      <c r="OY29" s="170">
        <f>COUNTIF('INPUT - Roster'!$PO$6:$PO$206,"*BYP/PER*")</f>
        <v/>
      </c>
      <c r="OZ29" s="170">
        <f>COUNTIF('INPUT - Roster'!$PP$6:$PP$206,"*BYP/PER*")</f>
        <v/>
      </c>
      <c r="PA29" s="170">
        <f>COUNTIF('INPUT - Roster'!$PQ$6:$PQ$206,"*BYP/PER*")</f>
        <v/>
      </c>
      <c r="PB29" s="170">
        <f>COUNTIF('INPUT - Roster'!$PR$6:$PR$206,"*BYP/PER*")</f>
        <v/>
      </c>
      <c r="PC29" s="170">
        <f>COUNTIF('INPUT - Roster'!$PS$6:$PS$206,"*BYP/PER*")</f>
        <v/>
      </c>
      <c r="PD29" s="170">
        <f>COUNTIF('INPUT - Roster'!$PT$6:$PT$206,"*BYP/PER*")</f>
        <v/>
      </c>
      <c r="PE29" s="170">
        <f>COUNTIF('INPUT - Roster'!$PU$6:$PU$206,"*BYP/PER*")</f>
        <v/>
      </c>
      <c r="PF29" s="170">
        <f>COUNTIF('INPUT - Roster'!$PV$6:$PV$206,"*BYP/PER*")</f>
        <v/>
      </c>
      <c r="PG29" s="170">
        <f>COUNTIF('INPUT - Roster'!$PW$6:$PW$206,"*BYP/PER*")</f>
        <v/>
      </c>
      <c r="PH29" s="170">
        <f>COUNTIF('INPUT - Roster'!$PX$6:$PX$206,"*BYP/PER*")</f>
        <v/>
      </c>
      <c r="PI29" s="170">
        <f>COUNTIF('INPUT - Roster'!$PY$6:$PY$206,"*BYP/PER*")</f>
        <v/>
      </c>
      <c r="PJ29" s="170">
        <f>COUNTIF('INPUT - Roster'!$PZ$6:$PZ$206,"*BYP/PER*")</f>
        <v/>
      </c>
      <c r="PK29" s="170">
        <f>COUNTIF('INPUT - Roster'!$QA$6:$QA$206,"*BYP/PER*")</f>
        <v/>
      </c>
      <c r="PL29" s="170">
        <f>COUNTIF('INPUT - Roster'!$QB$6:$QB$206,"*BYP/PER*")</f>
        <v/>
      </c>
      <c r="PM29" s="170">
        <f>COUNTIF('INPUT - Roster'!$QC$6:$QC$206,"*BYP/PER*")</f>
        <v/>
      </c>
      <c r="PN29" s="170">
        <f>COUNTIF('INPUT - Roster'!$QD$6:$QD$206,"*BYP/PER*")</f>
        <v/>
      </c>
      <c r="PO29" s="170">
        <f>COUNTIF('INPUT - Roster'!$QE$6:$QE$206,"*BYP/PER*")</f>
        <v/>
      </c>
      <c r="PP29" s="170">
        <f>COUNTIF('INPUT - Roster'!$QF$6:$QF$206,"*BYP/PER*")</f>
        <v/>
      </c>
      <c r="PQ29" s="170">
        <f>COUNTIF('INPUT - Roster'!$QG$6:$QG$206,"*BYP/PER*")</f>
        <v/>
      </c>
      <c r="PR29" s="170">
        <f>COUNTIF('INPUT - Roster'!$QH$6:$QH$206,"*BYP/PER*")</f>
        <v/>
      </c>
      <c r="PS29" s="170">
        <f>COUNTIF('INPUT - Roster'!$QI$6:$QI$206,"*BYP/PER*")</f>
        <v/>
      </c>
      <c r="PT29" s="170">
        <f>COUNTIF('INPUT - Roster'!$QJ$6:$QJ$206,"*BYP/PER*")</f>
        <v/>
      </c>
      <c r="PU29" s="170">
        <f>COUNTIF('INPUT - Roster'!$QK$6:$QK$206,"*BYP/PER*")</f>
        <v/>
      </c>
      <c r="PV29" s="170">
        <f>COUNTIF('INPUT - Roster'!$QL$6:$QL$206,"*BYP/PER*")</f>
        <v/>
      </c>
      <c r="PW29" s="170">
        <f>COUNTIF('INPUT - Roster'!$QM$6:$QM$206,"*BYP/PER*")</f>
        <v/>
      </c>
      <c r="PX29" s="170">
        <f>COUNTIF('INPUT - Roster'!$QN$6:$QN$206,"*BYP/PER*")</f>
        <v/>
      </c>
      <c r="PY29" s="170">
        <f>COUNTIF('INPUT - Roster'!$QO$6:$QO$206,"*BYP/PER*")</f>
        <v/>
      </c>
      <c r="PZ29" s="170">
        <f>COUNTIF('INPUT - Roster'!$QP$6:$QP$206,"*BYP/PER*")</f>
        <v/>
      </c>
      <c r="QA29" s="170">
        <f>COUNTIF('INPUT - Roster'!$QQ$6:$QQ$206,"*BYP/PER*")</f>
        <v/>
      </c>
      <c r="QB29" s="170">
        <f>COUNTIF('INPUT - Roster'!$QR$6:$QR$206,"*BYP/PER*")</f>
        <v/>
      </c>
      <c r="QC29" s="170">
        <f>COUNTIF('INPUT - Roster'!$QS$6:$QS$206,"*BYP/PER*")</f>
        <v/>
      </c>
      <c r="QD29" s="170">
        <f>COUNTIF('INPUT - Roster'!$QT$6:$QT$206,"*BYP/PER*")</f>
        <v/>
      </c>
      <c r="QE29" s="170">
        <f>COUNTIF('INPUT - Roster'!$QU$6:$QU$206,"*BYP/PER*")</f>
        <v/>
      </c>
      <c r="QF29" s="170">
        <f>COUNTIF('INPUT - Roster'!$QV$6:$QV$206,"*BYP/PER*")</f>
        <v/>
      </c>
      <c r="QG29" s="170">
        <f>COUNTIF('INPUT - Roster'!$QW$6:$QW$206,"*BYP/PER*")</f>
        <v/>
      </c>
      <c r="QH29" s="170">
        <f>COUNTIF('INPUT - Roster'!$QX$6:$QX$206,"*BYP/PER*")</f>
        <v/>
      </c>
      <c r="QI29" s="170">
        <f>COUNTIF('INPUT - Roster'!$QY$6:$QY$206,"*BYP/PER*")</f>
        <v/>
      </c>
      <c r="QJ29" s="170">
        <f>COUNTIF('INPUT - Roster'!$QZ$6:$QZ$206,"*BYP/PER*")</f>
        <v/>
      </c>
      <c r="QK29" s="170">
        <f>COUNTIF('INPUT - Roster'!$RA$6:$RA$206,"*BYP/PER*")</f>
        <v/>
      </c>
      <c r="QL29" s="170">
        <f>COUNTIF('INPUT - Roster'!$RB$6:$RB$206,"*BYP/PER*")</f>
        <v/>
      </c>
      <c r="QM29" s="170">
        <f>COUNTIF('INPUT - Roster'!$RC$6:$RC$206,"*BYP/PER*")</f>
        <v/>
      </c>
      <c r="QN29" s="170">
        <f>COUNTIF('INPUT - Roster'!$RD$6:$RD$206,"*BYP/PER*")</f>
        <v/>
      </c>
      <c r="QO29" s="170">
        <f>COUNTIF('INPUT - Roster'!$RE$6:$RE$206,"*BYP/PER*")</f>
        <v/>
      </c>
      <c r="QP29" s="170">
        <f>COUNTIF('INPUT - Roster'!$RF$6:$RF$206,"*BYP/PER*")</f>
        <v/>
      </c>
      <c r="QQ29" s="170">
        <f>COUNTIF('INPUT - Roster'!$RG$6:$RG$206,"*BYP/PER*")</f>
        <v/>
      </c>
      <c r="QR29" s="170">
        <f>COUNTIF('INPUT - Roster'!$RH$6:$RH$206,"*BYP/PER*")</f>
        <v/>
      </c>
      <c r="QS29" s="170">
        <f>COUNTIF('INPUT - Roster'!$RI$6:$RI$206,"*BYP/PER*")</f>
        <v/>
      </c>
      <c r="QT29" s="170">
        <f>COUNTIF('INPUT - Roster'!$RJ$6:$RJ$206,"*BYP/PER*")</f>
        <v/>
      </c>
      <c r="QU29" s="170">
        <f>COUNTIF('INPUT - Roster'!$RK$6:$RK$206,"*BYP/PER*")</f>
        <v/>
      </c>
      <c r="QV29" s="170">
        <f>COUNTIF('INPUT - Roster'!$RL$6:$RL$206,"*BYP/PER*")</f>
        <v/>
      </c>
      <c r="QW29" s="170">
        <f>COUNTIF('INPUT - Roster'!$RM$6:$RM$206,"*BYP/PER*")</f>
        <v/>
      </c>
      <c r="QX29" s="170">
        <f>COUNTIF('INPUT - Roster'!$RN$6:$RN$206,"*BYP/PER*")</f>
        <v/>
      </c>
      <c r="QY29" s="170">
        <f>COUNTIF('INPUT - Roster'!$RO$6:$RO$206,"*BYP/PER*")</f>
        <v/>
      </c>
      <c r="QZ29" s="170">
        <f>COUNTIF('INPUT - Roster'!$RP$6:$RP$206,"*BYP/PER*")</f>
        <v/>
      </c>
      <c r="RA29" s="170">
        <f>COUNTIF('INPUT - Roster'!$RQ$6:$RQ$206,"*BYP/PER*")</f>
        <v/>
      </c>
      <c r="RB29" s="170">
        <f>COUNTIF('INPUT - Roster'!$RR$6:$RR$206,"*BYP/PER*")</f>
        <v/>
      </c>
      <c r="RC29" s="170">
        <f>COUNTIF('INPUT - Roster'!$RS$6:$RS$206,"*BYP/PER*")</f>
        <v/>
      </c>
      <c r="RD29" s="170">
        <f>COUNTIF('INPUT - Roster'!$RT$6:$RT$206,"*BYP/PER*")</f>
        <v/>
      </c>
      <c r="RE29" s="170">
        <f>COUNTIF('INPUT - Roster'!$RU$6:$RU$206,"*BYP/PER*")</f>
        <v/>
      </c>
      <c r="RF29" s="170">
        <f>COUNTIF('INPUT - Roster'!$RV$6:$RV$206,"*BYP/PER*")</f>
        <v/>
      </c>
      <c r="RG29" s="170">
        <f>COUNTIF('INPUT - Roster'!$RW$6:$RW$206,"*BYP/PER*")</f>
        <v/>
      </c>
      <c r="RH29" s="170">
        <f>COUNTIF('INPUT - Roster'!$RX$6:$RX$206,"*BYP/PER*")</f>
        <v/>
      </c>
      <c r="RI29" s="170">
        <f>COUNTIF('INPUT - Roster'!$RY$6:$RY$206,"*BYP/PER*")</f>
        <v/>
      </c>
      <c r="RJ29" s="170">
        <f>COUNTIF('INPUT - Roster'!$RZ$6:$RZ$206,"*BYP/PER*")</f>
        <v/>
      </c>
      <c r="RK29" s="170">
        <f>COUNTIF('INPUT - Roster'!$SA$6:$SA$206,"*BYP/PER*")</f>
        <v/>
      </c>
      <c r="RL29" s="170">
        <f>COUNTIF('INPUT - Roster'!$SB$6:$SB$206,"*BYP/PER*")</f>
        <v/>
      </c>
      <c r="RM29" s="170">
        <f>COUNTIF('INPUT - Roster'!$SC$6:$SC$206,"*BYP/PER*")</f>
        <v/>
      </c>
      <c r="RN29" s="170">
        <f>COUNTIF('INPUT - Roster'!$SD$6:$SD$206,"*BYP/PER*")</f>
        <v/>
      </c>
      <c r="RO29" s="170">
        <f>COUNTIF('INPUT - Roster'!$SE$6:$SE$206,"*BYP/PER*")</f>
        <v/>
      </c>
      <c r="RP29" s="170">
        <f>COUNTIF('INPUT - Roster'!$SF$6:$SF$206,"*BYP/PER*")</f>
        <v/>
      </c>
      <c r="RQ29" s="170">
        <f>COUNTIF('INPUT - Roster'!$SG$6:$SG$206,"*BYP/PER*")</f>
        <v/>
      </c>
      <c r="RR29" s="170">
        <f>COUNTIF('INPUT - Roster'!$SH$6:$SH$206,"*BYP/PER*")</f>
        <v/>
      </c>
      <c r="RS29" s="170">
        <f>COUNTIF('INPUT - Roster'!$SI$6:$SI$206,"*BYP/PER*")</f>
        <v/>
      </c>
      <c r="RT29" s="170">
        <f>COUNTIF('INPUT - Roster'!$SJ$6:$SJ$206,"*BYP/PER*")</f>
        <v/>
      </c>
      <c r="RU29" s="170">
        <f>COUNTIF('INPUT - Roster'!$SK$6:$SK$206,"*BYP/PER*")</f>
        <v/>
      </c>
      <c r="RV29" s="170">
        <f>COUNTIF('INPUT - Roster'!$SL$6:$SL$206,"*BYP/PER*")</f>
        <v/>
      </c>
      <c r="RW29" s="170">
        <f>COUNTIF('INPUT - Roster'!$SM$6:$SM$206,"*BYP/PER*")</f>
        <v/>
      </c>
      <c r="RX29" s="170">
        <f>COUNTIF('INPUT - Roster'!$SN$6:$SN$206,"*BYP/PER*")</f>
        <v/>
      </c>
      <c r="RY29" s="170">
        <f>COUNTIF('INPUT - Roster'!$SO$6:$SO$206,"*BYP/PER*")</f>
        <v/>
      </c>
      <c r="RZ29" s="170">
        <f>COUNTIF('INPUT - Roster'!$SP$6:$SP$206,"*BYP/PER*")</f>
        <v/>
      </c>
      <c r="SA29" s="170">
        <f>COUNTIF('INPUT - Roster'!$SQ$6:$SQ$206,"*BYP/PER*")</f>
        <v/>
      </c>
      <c r="SB29" s="170">
        <f>COUNTIF('INPUT - Roster'!$SR$6:$SR$206,"*BYP/PER*")</f>
        <v/>
      </c>
      <c r="SC29" s="170">
        <f>COUNTIF('INPUT - Roster'!$SS$6:$SS$206,"*BYP/PER*")</f>
        <v/>
      </c>
      <c r="SD29" s="170">
        <f>COUNTIF('INPUT - Roster'!$ST$6:$ST$206,"*BYP/PER*")</f>
        <v/>
      </c>
      <c r="SE29" s="170">
        <f>COUNTIF('INPUT - Roster'!$SU$6:$SU$206,"*BYP/PER*")</f>
        <v/>
      </c>
      <c r="SF29" s="170">
        <f>COUNTIF('INPUT - Roster'!$SV$6:$SV$206,"*BYP/PER*")</f>
        <v/>
      </c>
    </row>
    <row r="30">
      <c r="B30" s="169" t="inlineStr">
        <is>
          <t>Drive in</t>
        </is>
      </c>
      <c r="C30" s="170">
        <f>COUNTIF('INPUT - Roster'!$S$6:$S$206,"*DRV-IN*")+COUNTIF('INPUT - Roster'!$S$6:$S$206,"*DRIVE IN*")+COUNTIF('INPUT - Roster'!$S$6:$S$206,"DI *")</f>
        <v/>
      </c>
      <c r="D30" s="170">
        <f>COUNTIF('INPUT - Roster'!$T$6:$T$206,"*DRV-IN*")+COUNTIF('INPUT - Roster'!$T$6:$T$206,"*DRIVE IN*")+COUNTIF('INPUT - Roster'!$T$6:$T$206,"DI *")</f>
        <v/>
      </c>
      <c r="E30" s="170">
        <f>COUNTIF('INPUT - Roster'!$U$6:$U$206,"*DRV-IN*")+COUNTIF('INPUT - Roster'!$U$6:$U$206,"*DRIVE IN*")+COUNTIF('INPUT - Roster'!$U$6:$U$206,"DI *")</f>
        <v/>
      </c>
      <c r="F30" s="170">
        <f>COUNTIF('INPUT - Roster'!$V$6:$V$206,"*DRV-IN*")+COUNTIF('INPUT - Roster'!$V$6:$V$206,"*DRIVE IN*")+COUNTIF('INPUT - Roster'!$V$6:$V$206,"DI *")</f>
        <v/>
      </c>
      <c r="G30" s="170">
        <f>COUNTIF('INPUT - Roster'!$W$6:$W$206,"*DRV-IN*")+COUNTIF('INPUT - Roster'!$W$6:$W$206,"*DRIVE IN*")+COUNTIF('INPUT - Roster'!$W$6:$W$206,"DI *")</f>
        <v/>
      </c>
      <c r="H30" s="170">
        <f>COUNTIF('INPUT - Roster'!$X$6:$X$206,"*DRV-IN*")+COUNTIF('INPUT - Roster'!$X$6:$X$206,"*DRIVE IN*")+COUNTIF('INPUT - Roster'!$X$6:$X$206,"DI *")</f>
        <v/>
      </c>
      <c r="I30" s="170">
        <f>COUNTIF('INPUT - Roster'!$Y$6:$Y$206,"*DRV-IN*")+COUNTIF('INPUT - Roster'!$Y$6:$Y$206,"*DRIVE IN*")+COUNTIF('INPUT - Roster'!$Y$6:$Y$206,"DI *")</f>
        <v/>
      </c>
      <c r="J30" s="170">
        <f>COUNTIF('INPUT - Roster'!$Z$6:$Z$206,"*DRV-IN*")+COUNTIF('INPUT - Roster'!$Z$6:$Z$206,"*DRIVE IN*")+COUNTIF('INPUT - Roster'!$Z$6:$Z$206,"DI *")</f>
        <v/>
      </c>
      <c r="K30" s="170">
        <f>COUNTIF('INPUT - Roster'!$AA$6:$AA$206,"*DRV-IN*")+COUNTIF('INPUT - Roster'!$AA$6:$AA$206,"*DRIVE IN*")+COUNTIF('INPUT - Roster'!$AA$6:$AA$206,"DI *")</f>
        <v/>
      </c>
      <c r="L30" s="170">
        <f>COUNTIF('INPUT - Roster'!$AB$6:$AB$206,"*DRV-IN*")+COUNTIF('INPUT - Roster'!$AB$6:$AB$206,"*DRIVE IN*")+COUNTIF('INPUT - Roster'!$AB$6:$AB$206,"DI *")</f>
        <v/>
      </c>
      <c r="M30" s="170">
        <f>COUNTIF('INPUT - Roster'!$AC$6:$AC$206,"*DRV-IN*")+COUNTIF('INPUT - Roster'!$AC$6:$AC$206,"*DRIVE IN*")+COUNTIF('INPUT - Roster'!$AC$6:$AC$206,"DI *")</f>
        <v/>
      </c>
      <c r="N30" s="170">
        <f>COUNTIF('INPUT - Roster'!$AD$6:$AD$206,"*DRV-IN*")+COUNTIF('INPUT - Roster'!$AD$6:$AD$206,"*DRIVE IN*")+COUNTIF('INPUT - Roster'!$AD$6:$AD$206,"DI *")</f>
        <v/>
      </c>
      <c r="O30" s="170">
        <f>COUNTIF('INPUT - Roster'!$AE$6:$AE$206,"*DRV-IN*")+COUNTIF('INPUT - Roster'!$AE$6:$AE$206,"*DRIVE IN*")+COUNTIF('INPUT - Roster'!$AE$6:$AE$206,"DI *")</f>
        <v/>
      </c>
      <c r="P30" s="170">
        <f>COUNTIF('INPUT - Roster'!$AF$6:$AF$206,"*DRV-IN*")+COUNTIF('INPUT - Roster'!$AF$6:$AF$206,"*DRIVE IN*")+COUNTIF('INPUT - Roster'!$AF$6:$AF$206,"DI *")</f>
        <v/>
      </c>
      <c r="Q30" s="170">
        <f>COUNTIF('INPUT - Roster'!$AG$6:$AG$206,"*DRV-IN*")+COUNTIF('INPUT - Roster'!$AG$6:$AG$206,"*DRIVE IN*")+COUNTIF('INPUT - Roster'!$AG$6:$AG$206,"DI *")</f>
        <v/>
      </c>
      <c r="R30" s="170">
        <f>COUNTIF('INPUT - Roster'!$AH$6:$AH$206,"*DRV-IN*")+COUNTIF('INPUT - Roster'!$AH$6:$AH$206,"*DRIVE IN*")+COUNTIF('INPUT - Roster'!$AH$6:$AH$206,"DI *")</f>
        <v/>
      </c>
      <c r="S30" s="170">
        <f>COUNTIF('INPUT - Roster'!$AI$6:$AI$206,"*DRV-IN*")+COUNTIF('INPUT - Roster'!$AI$6:$AI$206,"*DRIVE IN*")+COUNTIF('INPUT - Roster'!$AI$6:$AI$206,"DI *")</f>
        <v/>
      </c>
      <c r="T30" s="170">
        <f>COUNTIF('INPUT - Roster'!$AJ$6:$AJ$206,"*DRV-IN*")+COUNTIF('INPUT - Roster'!$AJ$6:$AJ$206,"*DRIVE IN*")+COUNTIF('INPUT - Roster'!$AJ$6:$AJ$206,"DI *")</f>
        <v/>
      </c>
      <c r="U30" s="170">
        <f>COUNTIF('INPUT - Roster'!$AK$6:$AK$206,"*DRV-IN*")+COUNTIF('INPUT - Roster'!$AK$6:$AK$206,"*DRIVE IN*")+COUNTIF('INPUT - Roster'!$AK$6:$AK$206,"DI *")</f>
        <v/>
      </c>
      <c r="V30" s="170">
        <f>COUNTIF('INPUT - Roster'!$AL$6:$AL$206,"*DRV-IN*")+COUNTIF('INPUT - Roster'!$AL$6:$AL$206,"*DRIVE IN*")+COUNTIF('INPUT - Roster'!$AL$6:$AL$206,"DI *")</f>
        <v/>
      </c>
      <c r="W30" s="170">
        <f>COUNTIF('INPUT - Roster'!$AM$6:$AM$206,"*DRV-IN*")+COUNTIF('INPUT - Roster'!$AM$6:$AM$206,"*DRIVE IN*")+COUNTIF('INPUT - Roster'!$AM$6:$AM$206,"DI *")</f>
        <v/>
      </c>
      <c r="X30" s="170">
        <f>COUNTIF('INPUT - Roster'!$AN$6:$AN$206,"*DRV-IN*")+COUNTIF('INPUT - Roster'!$AN$6:$AN$206,"*DRIVE IN*")+COUNTIF('INPUT - Roster'!$AN$6:$AN$206,"DI *")</f>
        <v/>
      </c>
      <c r="Y30" s="170">
        <f>COUNTIF('INPUT - Roster'!$AO$6:$AO$206,"*DRV-IN*")+COUNTIF('INPUT - Roster'!$AO$6:$AO$206,"*DRIVE IN*")+COUNTIF('INPUT - Roster'!$AO$6:$AO$206,"DI *")</f>
        <v/>
      </c>
      <c r="Z30" s="170">
        <f>COUNTIF('INPUT - Roster'!$AP$6:$AP$206,"*DRV-IN*")+COUNTIF('INPUT - Roster'!$AP$6:$AP$206,"*DRIVE IN*")+COUNTIF('INPUT - Roster'!$AP$6:$AP$206,"DI *")</f>
        <v/>
      </c>
      <c r="AA30" s="170">
        <f>COUNTIF('INPUT - Roster'!$AQ$6:$AQ$206,"*DRV-IN*")+COUNTIF('INPUT - Roster'!$AQ$6:$AQ$206,"*DRIVE IN*")+COUNTIF('INPUT - Roster'!$AQ$6:$AQ$206,"DI *")</f>
        <v/>
      </c>
      <c r="AB30" s="170">
        <f>COUNTIF('INPUT - Roster'!$AR$6:$AR$206,"*DRV-IN*")+COUNTIF('INPUT - Roster'!$AR$6:$AR$206,"*DRIVE IN*")+COUNTIF('INPUT - Roster'!$AR$6:$AR$206,"DI *")</f>
        <v/>
      </c>
      <c r="AC30" s="170">
        <f>COUNTIF('INPUT - Roster'!$AS$6:$AS$206,"*DRV-IN*")+COUNTIF('INPUT - Roster'!$AS$6:$AS$206,"*DRIVE IN*")+COUNTIF('INPUT - Roster'!$AS$6:$AS$206,"DI *")</f>
        <v/>
      </c>
      <c r="AD30" s="170">
        <f>COUNTIF('INPUT - Roster'!$AT$6:$AT$206,"*DRV-IN*")+COUNTIF('INPUT - Roster'!$AT$6:$AT$206,"*DRIVE IN*")+COUNTIF('INPUT - Roster'!$AT$6:$AT$206,"DI *")</f>
        <v/>
      </c>
      <c r="AE30" s="170">
        <f>COUNTIF('INPUT - Roster'!$AU$6:$AU$206,"*DRV-IN*")+COUNTIF('INPUT - Roster'!$AU$6:$AU$206,"*DRIVE IN*")+COUNTIF('INPUT - Roster'!$AU$6:$AU$206,"DI *")</f>
        <v/>
      </c>
      <c r="AF30" s="170">
        <f>COUNTIF('INPUT - Roster'!$AV$6:$AV$206,"*DRV-IN*")+COUNTIF('INPUT - Roster'!$AV$6:$AV$206,"*DRIVE IN*")+COUNTIF('INPUT - Roster'!$AV$6:$AV$206,"DI *")</f>
        <v/>
      </c>
      <c r="AG30" s="170">
        <f>COUNTIF('INPUT - Roster'!$AW$6:$AW$206,"*DRV-IN*")+COUNTIF('INPUT - Roster'!$AW$6:$AW$206,"*DRIVE IN*")+COUNTIF('INPUT - Roster'!$AW$6:$AW$206,"DI *")</f>
        <v/>
      </c>
      <c r="AH30" s="170">
        <f>COUNTIF('INPUT - Roster'!$AX$6:$AX$206,"*DRV-IN*")+COUNTIF('INPUT - Roster'!$AX$6:$AX$206,"*DRIVE IN*")+COUNTIF('INPUT - Roster'!$AX$6:$AX$206,"DI *")</f>
        <v/>
      </c>
      <c r="AI30" s="170">
        <f>COUNTIF('INPUT - Roster'!$AY$6:$AY$206,"*DRV-IN*")+COUNTIF('INPUT - Roster'!$AY$6:$AY$206,"*DRIVE IN*")+COUNTIF('INPUT - Roster'!$AY$6:$AY$206,"DI *")</f>
        <v/>
      </c>
      <c r="AJ30" s="170">
        <f>COUNTIF('INPUT - Roster'!$AZ$6:$AZ$206,"*DRV-IN*")+COUNTIF('INPUT - Roster'!$AZ$6:$AZ$206,"*DRIVE IN*")+COUNTIF('INPUT - Roster'!$AZ$6:$AZ$206,"DI *")</f>
        <v/>
      </c>
      <c r="AK30" s="170">
        <f>COUNTIF('INPUT - Roster'!$BA$6:$BA$206,"*DRV-IN*")+COUNTIF('INPUT - Roster'!$BA$6:$BA$206,"*DRIVE IN*")+COUNTIF('INPUT - Roster'!$BA$6:$BA$206,"DI *")</f>
        <v/>
      </c>
      <c r="AL30" s="170">
        <f>COUNTIF('INPUT - Roster'!$BB$6:$BB$206,"*DRV-IN*")+COUNTIF('INPUT - Roster'!$BB$6:$BB$206,"*DRIVE IN*")+COUNTIF('INPUT - Roster'!$BB$6:$BB$206,"DI *")</f>
        <v/>
      </c>
      <c r="AM30" s="170">
        <f>COUNTIF('INPUT - Roster'!$BC$6:$BC$206,"*DRV-IN*")+COUNTIF('INPUT - Roster'!$BC$6:$BC$206,"*DRIVE IN*")+COUNTIF('INPUT - Roster'!$BC$6:$BC$206,"DI *")</f>
        <v/>
      </c>
      <c r="AN30" s="170">
        <f>COUNTIF('INPUT - Roster'!$BD$6:$BD$206,"*DRV-IN*")+COUNTIF('INPUT - Roster'!$BD$6:$BD$206,"*DRIVE IN*")+COUNTIF('INPUT - Roster'!$BD$6:$BD$206,"DI *")</f>
        <v/>
      </c>
      <c r="AO30" s="170">
        <f>COUNTIF('INPUT - Roster'!$BE$6:$BE$206,"*DRV-IN*")+COUNTIF('INPUT - Roster'!$BE$6:$BE$206,"*DRIVE IN*")+COUNTIF('INPUT - Roster'!$BE$6:$BE$206,"DI *")</f>
        <v/>
      </c>
      <c r="AP30" s="170">
        <f>COUNTIF('INPUT - Roster'!$BF$6:$BF$206,"*DRV-IN*")+COUNTIF('INPUT - Roster'!$BF$6:$BF$206,"*DRIVE IN*")+COUNTIF('INPUT - Roster'!$BF$6:$BF$206,"DI *")</f>
        <v/>
      </c>
      <c r="AQ30" s="170">
        <f>COUNTIF('INPUT - Roster'!$BG$6:$BG$206,"*DRV-IN*")+COUNTIF('INPUT - Roster'!$BG$6:$BG$206,"*DRIVE IN*")+COUNTIF('INPUT - Roster'!$BG$6:$BG$206,"DI *")</f>
        <v/>
      </c>
      <c r="AR30" s="170">
        <f>COUNTIF('INPUT - Roster'!$BH$6:$BH$206,"*DRV-IN*")+COUNTIF('INPUT - Roster'!$BH$6:$BH$206,"*DRIVE IN*")+COUNTIF('INPUT - Roster'!$BH$6:$BH$206,"DI *")</f>
        <v/>
      </c>
      <c r="AS30" s="170">
        <f>COUNTIF('INPUT - Roster'!$BI$6:$BI$206,"*DRV-IN*")+COUNTIF('INPUT - Roster'!$BI$6:$BI$206,"*DRIVE IN*")+COUNTIF('INPUT - Roster'!$BI$6:$BI$206,"DI *")</f>
        <v/>
      </c>
      <c r="AT30" s="170">
        <f>COUNTIF('INPUT - Roster'!$BJ$6:$BJ$206,"*DRV-IN*")+COUNTIF('INPUT - Roster'!$BJ$6:$BJ$206,"*DRIVE IN*")+COUNTIF('INPUT - Roster'!$BJ$6:$BJ$206,"DI *")</f>
        <v/>
      </c>
      <c r="AU30" s="170">
        <f>COUNTIF('INPUT - Roster'!$BK$6:$BK$206,"*DRV-IN*")+COUNTIF('INPUT - Roster'!$BK$6:$BK$206,"*DRIVE IN*")+COUNTIF('INPUT - Roster'!$BK$6:$BK$206,"DI *")</f>
        <v/>
      </c>
      <c r="AV30" s="170">
        <f>COUNTIF('INPUT - Roster'!$BL$6:$BL$206,"*DRV-IN*")+COUNTIF('INPUT - Roster'!$BL$6:$BL$206,"*DRIVE IN*")+COUNTIF('INPUT - Roster'!$BL$6:$BL$206,"DI *")</f>
        <v/>
      </c>
      <c r="AW30" s="170">
        <f>COUNTIF('INPUT - Roster'!$BM$6:$BM$206,"*DRV-IN*")+COUNTIF('INPUT - Roster'!$BM$6:$BM$206,"*DRIVE IN*")+COUNTIF('INPUT - Roster'!$BM$6:$BM$206,"DI *")</f>
        <v/>
      </c>
      <c r="AX30" s="170">
        <f>COUNTIF('INPUT - Roster'!$BN$6:$BN$206,"*DRV-IN*")+COUNTIF('INPUT - Roster'!$BN$6:$BN$206,"*DRIVE IN*")+COUNTIF('INPUT - Roster'!$BN$6:$BN$206,"DI *")</f>
        <v/>
      </c>
      <c r="AY30" s="170">
        <f>COUNTIF('INPUT - Roster'!$BO$6:$BO$206,"*DRV-IN*")+COUNTIF('INPUT - Roster'!$BO$6:$BO$206,"*DRIVE IN*")+COUNTIF('INPUT - Roster'!$BO$6:$BO$206,"DI *")</f>
        <v/>
      </c>
      <c r="AZ30" s="170">
        <f>COUNTIF('INPUT - Roster'!$BP$6:$BP$206,"*DRV-IN*")+COUNTIF('INPUT - Roster'!$BP$6:$BP$206,"*DRIVE IN*")+COUNTIF('INPUT - Roster'!$BP$6:$BP$206,"DI *")</f>
        <v/>
      </c>
      <c r="BA30" s="170">
        <f>COUNTIF('INPUT - Roster'!$BQ$6:$BQ$206,"*DRV-IN*")+COUNTIF('INPUT - Roster'!$BQ$6:$BQ$206,"*DRIVE IN*")+COUNTIF('INPUT - Roster'!$BQ$6:$BQ$206,"DI *")</f>
        <v/>
      </c>
      <c r="BB30" s="170">
        <f>COUNTIF('INPUT - Roster'!$BR$6:$BR$206,"*DRV-IN*")+COUNTIF('INPUT - Roster'!$BR$6:$BR$206,"*DRIVE IN*")+COUNTIF('INPUT - Roster'!$BR$6:$BR$206,"DI *")</f>
        <v/>
      </c>
      <c r="BC30" s="170">
        <f>COUNTIF('INPUT - Roster'!$BS$6:$BS$206,"*DRV-IN*")+COUNTIF('INPUT - Roster'!$BS$6:$BS$206,"*DRIVE IN*")+COUNTIF('INPUT - Roster'!$BS$6:$BS$206,"DI *")</f>
        <v/>
      </c>
      <c r="BD30" s="170">
        <f>COUNTIF('INPUT - Roster'!$BT$6:$BT$206,"*DRV-IN*")+COUNTIF('INPUT - Roster'!$BT$6:$BT$206,"*DRIVE IN*")+COUNTIF('INPUT - Roster'!$BT$6:$BT$206,"DI *")</f>
        <v/>
      </c>
      <c r="BE30" s="170">
        <f>COUNTIF('INPUT - Roster'!$BU$6:$BU$206,"*DRV-IN*")+COUNTIF('INPUT - Roster'!$BU$6:$BU$206,"*DRIVE IN*")+COUNTIF('INPUT - Roster'!$BU$6:$BU$206,"DI *")</f>
        <v/>
      </c>
      <c r="BF30" s="170">
        <f>COUNTIF('INPUT - Roster'!$BV$6:$BV$206,"*DRV-IN*")+COUNTIF('INPUT - Roster'!$BV$6:$BV$206,"*DRIVE IN*")+COUNTIF('INPUT - Roster'!$BV$6:$BV$206,"DI *")</f>
        <v/>
      </c>
      <c r="BG30" s="170">
        <f>COUNTIF('INPUT - Roster'!$BW$6:$BW$206,"*DRV-IN*")+COUNTIF('INPUT - Roster'!$BW$6:$BW$206,"*DRIVE IN*")+COUNTIF('INPUT - Roster'!$BW$6:$BW$206,"DI *")</f>
        <v/>
      </c>
      <c r="BH30" s="170">
        <f>COUNTIF('INPUT - Roster'!$BX$6:$BX$206,"*DRV-IN*")+COUNTIF('INPUT - Roster'!$BX$6:$BX$206,"*DRIVE IN*")+COUNTIF('INPUT - Roster'!$BX$6:$BX$206,"DI *")</f>
        <v/>
      </c>
      <c r="BI30" s="170">
        <f>COUNTIF('INPUT - Roster'!$BY$6:$BY$206,"*DRV-IN*")+COUNTIF('INPUT - Roster'!$BY$6:$BY$206,"*DRIVE IN*")+COUNTIF('INPUT - Roster'!$BY$6:$BY$206,"DI *")</f>
        <v/>
      </c>
      <c r="BJ30" s="170">
        <f>COUNTIF('INPUT - Roster'!$BZ$6:$BZ$206,"*DRV-IN*")+COUNTIF('INPUT - Roster'!$BZ$6:$BZ$206,"*DRIVE IN*")+COUNTIF('INPUT - Roster'!$BZ$6:$BZ$206,"DI *")</f>
        <v/>
      </c>
      <c r="BK30" s="170">
        <f>COUNTIF('INPUT - Roster'!$CA$6:$CA$206,"*DRV-IN*")+COUNTIF('INPUT - Roster'!$CA$6:$CA$206,"*DRIVE IN*")+COUNTIF('INPUT - Roster'!$CA$6:$CA$206,"DI *")</f>
        <v/>
      </c>
      <c r="BL30" s="170">
        <f>COUNTIF('INPUT - Roster'!$CB$6:$CB$206,"*DRV-IN*")+COUNTIF('INPUT - Roster'!$CB$6:$CB$206,"*DRIVE IN*")+COUNTIF('INPUT - Roster'!$CB$6:$CB$206,"DI *")</f>
        <v/>
      </c>
      <c r="BM30" s="170">
        <f>COUNTIF('INPUT - Roster'!$CC$6:$CC$206,"*DRV-IN*")+COUNTIF('INPUT - Roster'!$CC$6:$CC$206,"*DRIVE IN*")+COUNTIF('INPUT - Roster'!$CC$6:$CC$206,"DI *")</f>
        <v/>
      </c>
      <c r="BN30" s="170">
        <f>COUNTIF('INPUT - Roster'!$CD$6:$CD$206,"*DRV-IN*")+COUNTIF('INPUT - Roster'!$CD$6:$CD$206,"*DRIVE IN*")+COUNTIF('INPUT - Roster'!$CD$6:$CD$206,"DI *")</f>
        <v/>
      </c>
      <c r="BO30" s="170">
        <f>COUNTIF('INPUT - Roster'!$CE$6:$CE$206,"*DRV-IN*")+COUNTIF('INPUT - Roster'!$CE$6:$CE$206,"*DRIVE IN*")+COUNTIF('INPUT - Roster'!$CE$6:$CE$206,"DI *")</f>
        <v/>
      </c>
      <c r="BP30" s="170">
        <f>COUNTIF('INPUT - Roster'!$CF$6:$CF$206,"*DRV-IN*")+COUNTIF('INPUT - Roster'!$CF$6:$CF$206,"*DRIVE IN*")+COUNTIF('INPUT - Roster'!$CF$6:$CF$206,"DI *")</f>
        <v/>
      </c>
      <c r="BQ30" s="170">
        <f>COUNTIF('INPUT - Roster'!$CG$6:$CG$206,"*DRV-IN*")+COUNTIF('INPUT - Roster'!$CG$6:$CG$206,"*DRIVE IN*")+COUNTIF('INPUT - Roster'!$CG$6:$CG$206,"DI *")</f>
        <v/>
      </c>
      <c r="BR30" s="170">
        <f>COUNTIF('INPUT - Roster'!$CH$6:$CH$206,"*DRV-IN*")+COUNTIF('INPUT - Roster'!$CH$6:$CH$206,"*DRIVE IN*")+COUNTIF('INPUT - Roster'!$CH$6:$CH$206,"DI *")</f>
        <v/>
      </c>
      <c r="BS30" s="170">
        <f>COUNTIF('INPUT - Roster'!$CI$6:$CI$206,"*DRV-IN*")+COUNTIF('INPUT - Roster'!$CI$6:$CI$206,"*DRIVE IN*")+COUNTIF('INPUT - Roster'!$CI$6:$CI$206,"DI *")</f>
        <v/>
      </c>
      <c r="BT30" s="170">
        <f>COUNTIF('INPUT - Roster'!$CJ$6:$CJ$206,"*DRV-IN*")+COUNTIF('INPUT - Roster'!$CJ$6:$CJ$206,"*DRIVE IN*")+COUNTIF('INPUT - Roster'!$CJ$6:$CJ$206,"DI *")</f>
        <v/>
      </c>
      <c r="BU30" s="170">
        <f>COUNTIF('INPUT - Roster'!$CK$6:$CK$206,"*DRV-IN*")+COUNTIF('INPUT - Roster'!$CK$6:$CK$206,"*DRIVE IN*")+COUNTIF('INPUT - Roster'!$CK$6:$CK$206,"DI *")</f>
        <v/>
      </c>
      <c r="BV30" s="170">
        <f>COUNTIF('INPUT - Roster'!$CL$6:$CL$206,"*DRV-IN*")+COUNTIF('INPUT - Roster'!$CL$6:$CL$206,"*DRIVE IN*")+COUNTIF('INPUT - Roster'!$CL$6:$CL$206,"DI *")</f>
        <v/>
      </c>
      <c r="BW30" s="170">
        <f>COUNTIF('INPUT - Roster'!$CM$6:$CM$206,"*DRV-IN*")+COUNTIF('INPUT - Roster'!$CM$6:$CM$206,"*DRIVE IN*")+COUNTIF('INPUT - Roster'!$CM$6:$CM$206,"DI *")</f>
        <v/>
      </c>
      <c r="BX30" s="170">
        <f>COUNTIF('INPUT - Roster'!$CN$6:$CN$206,"*DRV-IN*")+COUNTIF('INPUT - Roster'!$CN$6:$CN$206,"*DRIVE IN*")+COUNTIF('INPUT - Roster'!$CN$6:$CN$206,"DI *")</f>
        <v/>
      </c>
      <c r="BY30" s="170">
        <f>COUNTIF('INPUT - Roster'!$CO$6:$CO$206,"*DRV-IN*")+COUNTIF('INPUT - Roster'!$CO$6:$CO$206,"*DRIVE IN*")+COUNTIF('INPUT - Roster'!$CO$6:$CO$206,"DI *")</f>
        <v/>
      </c>
      <c r="BZ30" s="170">
        <f>COUNTIF('INPUT - Roster'!$CP$6:$CP$206,"*DRV-IN*")+COUNTIF('INPUT - Roster'!$CP$6:$CP$206,"*DRIVE IN*")+COUNTIF('INPUT - Roster'!$CP$6:$CP$206,"DI *")</f>
        <v/>
      </c>
      <c r="CA30" s="170">
        <f>COUNTIF('INPUT - Roster'!$CQ$6:$CQ$206,"*DRV-IN*")+COUNTIF('INPUT - Roster'!$CQ$6:$CQ$206,"*DRIVE IN*")+COUNTIF('INPUT - Roster'!$CQ$6:$CQ$206,"DI *")</f>
        <v/>
      </c>
      <c r="CB30" s="170">
        <f>COUNTIF('INPUT - Roster'!$CR$6:$CR$206,"*DRV-IN*")+COUNTIF('INPUT - Roster'!$CR$6:$CR$206,"*DRIVE IN*")+COUNTIF('INPUT - Roster'!$CR$6:$CR$206,"DI *")</f>
        <v/>
      </c>
      <c r="CC30" s="170">
        <f>COUNTIF('INPUT - Roster'!$CS$6:$CS$206,"*DRV-IN*")+COUNTIF('INPUT - Roster'!$CS$6:$CS$206,"*DRIVE IN*")+COUNTIF('INPUT - Roster'!$CS$6:$CS$206,"DI *")</f>
        <v/>
      </c>
      <c r="CD30" s="170">
        <f>COUNTIF('INPUT - Roster'!$CT$6:$CT$206,"*DRV-IN*")+COUNTIF('INPUT - Roster'!$CT$6:$CT$206,"*DRIVE IN*")+COUNTIF('INPUT - Roster'!$CT$6:$CT$206,"DI *")</f>
        <v/>
      </c>
      <c r="CE30" s="170">
        <f>COUNTIF('INPUT - Roster'!$CU$6:$CU$206,"*DRV-IN*")+COUNTIF('INPUT - Roster'!$CU$6:$CU$206,"*DRIVE IN*")+COUNTIF('INPUT - Roster'!$CU$6:$CU$206,"DI *")</f>
        <v/>
      </c>
      <c r="CF30" s="170">
        <f>COUNTIF('INPUT - Roster'!$CV$6:$CV$206,"*DRV-IN*")+COUNTIF('INPUT - Roster'!$CV$6:$CV$206,"*DRIVE IN*")+COUNTIF('INPUT - Roster'!$CV$6:$CV$206,"DI *")</f>
        <v/>
      </c>
      <c r="CG30" s="170">
        <f>COUNTIF('INPUT - Roster'!$CW$6:$CW$206,"*DRV-IN*")+COUNTIF('INPUT - Roster'!$CW$6:$CW$206,"*DRIVE IN*")+COUNTIF('INPUT - Roster'!$CW$6:$CW$206,"DI *")</f>
        <v/>
      </c>
      <c r="CH30" s="170">
        <f>COUNTIF('INPUT - Roster'!$CX$6:$CX$206,"*DRV-IN*")+COUNTIF('INPUT - Roster'!$CX$6:$CX$206,"*DRIVE IN*")+COUNTIF('INPUT - Roster'!$CX$6:$CX$206,"DI *")</f>
        <v/>
      </c>
      <c r="CI30" s="170">
        <f>COUNTIF('INPUT - Roster'!$CY$6:$CY$206,"*DRV-IN*")+COUNTIF('INPUT - Roster'!$CY$6:$CY$206,"*DRIVE IN*")+COUNTIF('INPUT - Roster'!$CY$6:$CY$206,"DI *")</f>
        <v/>
      </c>
      <c r="CJ30" s="170">
        <f>COUNTIF('INPUT - Roster'!$CZ$6:$CZ$206,"*DRV-IN*")+COUNTIF('INPUT - Roster'!$CZ$6:$CZ$206,"*DRIVE IN*")+COUNTIF('INPUT - Roster'!$CZ$6:$CZ$206,"DI *")</f>
        <v/>
      </c>
      <c r="CK30" s="170">
        <f>COUNTIF('INPUT - Roster'!$DA$6:$DA$206,"*DRV-IN*")+COUNTIF('INPUT - Roster'!$DA$6:$DA$206,"*DRIVE IN*")+COUNTIF('INPUT - Roster'!$DA$6:$DA$206,"DI *")</f>
        <v/>
      </c>
      <c r="CL30" s="170">
        <f>COUNTIF('INPUT - Roster'!$DB$6:$DB$206,"*DRV-IN*")+COUNTIF('INPUT - Roster'!$DB$6:$DB$206,"*DRIVE IN*")+COUNTIF('INPUT - Roster'!$DB$6:$DB$206,"DI *")</f>
        <v/>
      </c>
      <c r="CM30" s="170">
        <f>COUNTIF('INPUT - Roster'!$DC$6:$DC$206,"*DRV-IN*")+COUNTIF('INPUT - Roster'!$DC$6:$DC$206,"*DRIVE IN*")+COUNTIF('INPUT - Roster'!$DC$6:$DC$206,"DI *")</f>
        <v/>
      </c>
      <c r="CN30" s="170">
        <f>COUNTIF('INPUT - Roster'!$DD$6:$DD$206,"*DRV-IN*")+COUNTIF('INPUT - Roster'!$DD$6:$DD$206,"*DRIVE IN*")+COUNTIF('INPUT - Roster'!$DD$6:$DD$206,"DI *")</f>
        <v/>
      </c>
      <c r="CO30" s="170">
        <f>COUNTIF('INPUT - Roster'!$DE$6:$DE$206,"*DRV-IN*")+COUNTIF('INPUT - Roster'!$DE$6:$DE$206,"*DRIVE IN*")+COUNTIF('INPUT - Roster'!$DE$6:$DE$206,"DI *")</f>
        <v/>
      </c>
      <c r="CP30" s="170">
        <f>COUNTIF('INPUT - Roster'!$DF$6:$DF$206,"*DRV-IN*")+COUNTIF('INPUT - Roster'!$DF$6:$DF$206,"*DRIVE IN*")+COUNTIF('INPUT - Roster'!$DF$6:$DF$206,"DI *")</f>
        <v/>
      </c>
      <c r="CQ30" s="170">
        <f>COUNTIF('INPUT - Roster'!$DG$6:$DG$206,"*DRV-IN*")+COUNTIF('INPUT - Roster'!$DG$6:$DG$206,"*DRIVE IN*")+COUNTIF('INPUT - Roster'!$DG$6:$DG$206,"DI *")</f>
        <v/>
      </c>
      <c r="CR30" s="170">
        <f>COUNTIF('INPUT - Roster'!$DH$6:$DH$206,"*DRV-IN*")+COUNTIF('INPUT - Roster'!$DH$6:$DH$206,"*DRIVE IN*")+COUNTIF('INPUT - Roster'!$DH$6:$DH$206,"DI *")</f>
        <v/>
      </c>
      <c r="CS30" s="170">
        <f>COUNTIF('INPUT - Roster'!$DI$6:$DI$206,"*DRV-IN*")+COUNTIF('INPUT - Roster'!$DI$6:$DI$206,"*DRIVE IN*")+COUNTIF('INPUT - Roster'!$DI$6:$DI$206,"DI *")</f>
        <v/>
      </c>
      <c r="CT30" s="170">
        <f>COUNTIF('INPUT - Roster'!$DJ$6:$DJ$206,"*DRV-IN*")+COUNTIF('INPUT - Roster'!$DJ$6:$DJ$206,"*DRIVE IN*")+COUNTIF('INPUT - Roster'!$DJ$6:$DJ$206,"DI *")</f>
        <v/>
      </c>
      <c r="CU30" s="170">
        <f>COUNTIF('INPUT - Roster'!$DK$6:$DK$206,"*DRV-IN*")+COUNTIF('INPUT - Roster'!$DK$6:$DK$206,"*DRIVE IN*")+COUNTIF('INPUT - Roster'!$DK$6:$DK$206,"DI *")</f>
        <v/>
      </c>
      <c r="CV30" s="170">
        <f>COUNTIF('INPUT - Roster'!$DL$6:$DL$206,"*DRV-IN*")+COUNTIF('INPUT - Roster'!$DL$6:$DL$206,"*DRIVE IN*")+COUNTIF('INPUT - Roster'!$DL$6:$DL$206,"DI *")</f>
        <v/>
      </c>
      <c r="CW30" s="170">
        <f>COUNTIF('INPUT - Roster'!$DM$6:$DM$206,"*DRV-IN*")+COUNTIF('INPUT - Roster'!$DM$6:$DM$206,"*DRIVE IN*")+COUNTIF('INPUT - Roster'!$DM$6:$DM$206,"DI *")</f>
        <v/>
      </c>
      <c r="CX30" s="170">
        <f>COUNTIF('INPUT - Roster'!$DN$6:$DN$206,"*DRV-IN*")+COUNTIF('INPUT - Roster'!$DN$6:$DN$206,"*DRIVE IN*")+COUNTIF('INPUT - Roster'!$DN$6:$DN$206,"DI *")</f>
        <v/>
      </c>
      <c r="CY30" s="170">
        <f>COUNTIF('INPUT - Roster'!$DO$6:$DO$206,"*DRV-IN*")+COUNTIF('INPUT - Roster'!$DO$6:$DO$206,"*DRIVE IN*")+COUNTIF('INPUT - Roster'!$DO$6:$DO$206,"DI *")</f>
        <v/>
      </c>
      <c r="CZ30" s="170">
        <f>COUNTIF('INPUT - Roster'!$DP$6:$DP$206,"*DRV-IN*")+COUNTIF('INPUT - Roster'!$DP$6:$DP$206,"*DRIVE IN*")+COUNTIF('INPUT - Roster'!$DP$6:$DP$206,"DI *")</f>
        <v/>
      </c>
      <c r="DA30" s="170">
        <f>COUNTIF('INPUT - Roster'!$DQ$6:$DQ$206,"*DRV-IN*")+COUNTIF('INPUT - Roster'!$DQ$6:$DQ$206,"*DRIVE IN*")+COUNTIF('INPUT - Roster'!$DQ$6:$DQ$206,"DI *")</f>
        <v/>
      </c>
      <c r="DB30" s="170">
        <f>COUNTIF('INPUT - Roster'!$DR$6:$DR$206,"*DRV-IN*")+COUNTIF('INPUT - Roster'!$DR$6:$DR$206,"*DRIVE IN*")+COUNTIF('INPUT - Roster'!$DR$6:$DR$206,"DI *")</f>
        <v/>
      </c>
      <c r="DC30" s="170">
        <f>COUNTIF('INPUT - Roster'!$DS$6:$DS$206,"*DRV-IN*")+COUNTIF('INPUT - Roster'!$DS$6:$DS$206,"*DRIVE IN*")+COUNTIF('INPUT - Roster'!$DS$6:$DS$206,"DI *")</f>
        <v/>
      </c>
      <c r="DD30" s="170">
        <f>COUNTIF('INPUT - Roster'!$DT$6:$DT$206,"*DRV-IN*")+COUNTIF('INPUT - Roster'!$DT$6:$DT$206,"*DRIVE IN*")+COUNTIF('INPUT - Roster'!$DT$6:$DT$206,"DI *")</f>
        <v/>
      </c>
      <c r="DE30" s="170">
        <f>COUNTIF('INPUT - Roster'!$DU$6:$DU$206,"*DRV-IN*")+COUNTIF('INPUT - Roster'!$DU$6:$DU$206,"*DRIVE IN*")+COUNTIF('INPUT - Roster'!$DU$6:$DU$206,"DI *")</f>
        <v/>
      </c>
      <c r="DF30" s="170">
        <f>COUNTIF('INPUT - Roster'!$DV$6:$DV$206,"*DRV-IN*")+COUNTIF('INPUT - Roster'!$DV$6:$DV$206,"*DRIVE IN*")+COUNTIF('INPUT - Roster'!$DV$6:$DV$206,"DI *")</f>
        <v/>
      </c>
      <c r="DG30" s="170">
        <f>COUNTIF('INPUT - Roster'!$DW$6:$DW$206,"*DRV-IN*")+COUNTIF('INPUT - Roster'!$DW$6:$DW$206,"*DRIVE IN*")+COUNTIF('INPUT - Roster'!$DW$6:$DW$206,"DI *")</f>
        <v/>
      </c>
      <c r="DH30" s="170">
        <f>COUNTIF('INPUT - Roster'!$DX$6:$DX$206,"*DRV-IN*")+COUNTIF('INPUT - Roster'!$DX$6:$DX$206,"*DRIVE IN*")+COUNTIF('INPUT - Roster'!$DX$6:$DX$206,"DI *")</f>
        <v/>
      </c>
      <c r="DI30" s="170">
        <f>COUNTIF('INPUT - Roster'!$DY$6:$DY$206,"*DRV-IN*")+COUNTIF('INPUT - Roster'!$DY$6:$DY$206,"*DRIVE IN*")+COUNTIF('INPUT - Roster'!$DY$6:$DY$206,"DI *")</f>
        <v/>
      </c>
      <c r="DJ30" s="170">
        <f>COUNTIF('INPUT - Roster'!$DZ$6:$DZ$206,"*DRV-IN*")+COUNTIF('INPUT - Roster'!$DZ$6:$DZ$206,"*DRIVE IN*")+COUNTIF('INPUT - Roster'!$DZ$6:$DZ$206,"DI *")</f>
        <v/>
      </c>
      <c r="DK30" s="170">
        <f>COUNTIF('INPUT - Roster'!$EA$6:$EA$206,"*DRV-IN*")+COUNTIF('INPUT - Roster'!$EA$6:$EA$206,"*DRIVE IN*")+COUNTIF('INPUT - Roster'!$EA$6:$EA$206,"DI *")</f>
        <v/>
      </c>
      <c r="DL30" s="170">
        <f>COUNTIF('INPUT - Roster'!$EB$6:$EB$206,"*DRV-IN*")+COUNTIF('INPUT - Roster'!$EB$6:$EB$206,"*DRIVE IN*")+COUNTIF('INPUT - Roster'!$EB$6:$EB$206,"DI *")</f>
        <v/>
      </c>
      <c r="DM30" s="170">
        <f>COUNTIF('INPUT - Roster'!$EC$6:$EC$206,"*DRV-IN*")+COUNTIF('INPUT - Roster'!$EC$6:$EC$206,"*DRIVE IN*")+COUNTIF('INPUT - Roster'!$EC$6:$EC$206,"DI *")</f>
        <v/>
      </c>
      <c r="DN30" s="170">
        <f>COUNTIF('INPUT - Roster'!$ED$6:$ED$206,"*DRV-IN*")+COUNTIF('INPUT - Roster'!$ED$6:$ED$206,"*DRIVE IN*")+COUNTIF('INPUT - Roster'!$ED$6:$ED$206,"DI *")</f>
        <v/>
      </c>
      <c r="DO30" s="170">
        <f>COUNTIF('INPUT - Roster'!$EE$6:$EE$206,"*DRV-IN*")+COUNTIF('INPUT - Roster'!$EE$6:$EE$206,"*DRIVE IN*")+COUNTIF('INPUT - Roster'!$EE$6:$EE$206,"DI *")</f>
        <v/>
      </c>
      <c r="DP30" s="170">
        <f>COUNTIF('INPUT - Roster'!$EF$6:$EF$206,"*DRV-IN*")+COUNTIF('INPUT - Roster'!$EF$6:$EF$206,"*DRIVE IN*")+COUNTIF('INPUT - Roster'!$EF$6:$EF$206,"DI *")</f>
        <v/>
      </c>
      <c r="DQ30" s="170">
        <f>COUNTIF('INPUT - Roster'!$EG$6:$EG$206,"*DRV-IN*")+COUNTIF('INPUT - Roster'!$EG$6:$EG$206,"*DRIVE IN*")+COUNTIF('INPUT - Roster'!$EG$6:$EG$206,"DI *")</f>
        <v/>
      </c>
      <c r="DR30" s="170">
        <f>COUNTIF('INPUT - Roster'!$EH$6:$EH$206,"*DRV-IN*")+COUNTIF('INPUT - Roster'!$EH$6:$EH$206,"*DRIVE IN*")+COUNTIF('INPUT - Roster'!$EH$6:$EH$206,"DI *")</f>
        <v/>
      </c>
      <c r="DS30" s="170">
        <f>COUNTIF('INPUT - Roster'!$EI$6:$EI$206,"*DRV-IN*")+COUNTIF('INPUT - Roster'!$EI$6:$EI$206,"*DRIVE IN*")+COUNTIF('INPUT - Roster'!$EI$6:$EI$206,"DI *")</f>
        <v/>
      </c>
      <c r="DT30" s="170">
        <f>COUNTIF('INPUT - Roster'!$EJ$6:$EJ$206,"*DRV-IN*")+COUNTIF('INPUT - Roster'!$EJ$6:$EJ$206,"*DRIVE IN*")+COUNTIF('INPUT - Roster'!$EJ$6:$EJ$206,"DI *")</f>
        <v/>
      </c>
      <c r="DU30" s="170">
        <f>COUNTIF('INPUT - Roster'!$EK$6:$EK$206,"*DRV-IN*")+COUNTIF('INPUT - Roster'!$EK$6:$EK$206,"*DRIVE IN*")+COUNTIF('INPUT - Roster'!$EK$6:$EK$206,"DI *")</f>
        <v/>
      </c>
      <c r="DV30" s="170">
        <f>COUNTIF('INPUT - Roster'!$EL$6:$EL$206,"*DRV-IN*")+COUNTIF('INPUT - Roster'!$EL$6:$EL$206,"*DRIVE IN*")+COUNTIF('INPUT - Roster'!$EL$6:$EL$206,"DI *")</f>
        <v/>
      </c>
      <c r="DW30" s="170">
        <f>COUNTIF('INPUT - Roster'!$EM$6:$EM$206,"*DRV-IN*")+COUNTIF('INPUT - Roster'!$EM$6:$EM$206,"*DRIVE IN*")+COUNTIF('INPUT - Roster'!$EM$6:$EM$206,"DI *")</f>
        <v/>
      </c>
      <c r="DX30" s="170">
        <f>COUNTIF('INPUT - Roster'!$EN$6:$EN$206,"*DRV-IN*")+COUNTIF('INPUT - Roster'!$EN$6:$EN$206,"*DRIVE IN*")+COUNTIF('INPUT - Roster'!$EN$6:$EN$206,"DI *")</f>
        <v/>
      </c>
      <c r="DY30" s="170">
        <f>COUNTIF('INPUT - Roster'!$EO$6:$EO$206,"*DRV-IN*")+COUNTIF('INPUT - Roster'!$EO$6:$EO$206,"*DRIVE IN*")+COUNTIF('INPUT - Roster'!$EO$6:$EO$206,"DI *")</f>
        <v/>
      </c>
      <c r="DZ30" s="170">
        <f>COUNTIF('INPUT - Roster'!$EP$6:$EP$206,"*DRV-IN*")+COUNTIF('INPUT - Roster'!$EP$6:$EP$206,"*DRIVE IN*")+COUNTIF('INPUT - Roster'!$EP$6:$EP$206,"DI *")</f>
        <v/>
      </c>
      <c r="EA30" s="170">
        <f>COUNTIF('INPUT - Roster'!$EQ$6:$EQ$206,"*DRV-IN*")+COUNTIF('INPUT - Roster'!$EQ$6:$EQ$206,"*DRIVE IN*")+COUNTIF('INPUT - Roster'!$EQ$6:$EQ$206,"DI *")</f>
        <v/>
      </c>
      <c r="EB30" s="170">
        <f>COUNTIF('INPUT - Roster'!$ER$6:$ER$206,"*DRV-IN*")+COUNTIF('INPUT - Roster'!$ER$6:$ER$206,"*DRIVE IN*")+COUNTIF('INPUT - Roster'!$ER$6:$ER$206,"DI *")</f>
        <v/>
      </c>
      <c r="EC30" s="170">
        <f>COUNTIF('INPUT - Roster'!$ES$6:$ES$206,"*DRV-IN*")+COUNTIF('INPUT - Roster'!$ES$6:$ES$206,"*DRIVE IN*")+COUNTIF('INPUT - Roster'!$ES$6:$ES$206,"DI *")</f>
        <v/>
      </c>
      <c r="ED30" s="170">
        <f>COUNTIF('INPUT - Roster'!$ET$6:$ET$206,"*DRV-IN*")+COUNTIF('INPUT - Roster'!$ET$6:$ET$206,"*DRIVE IN*")+COUNTIF('INPUT - Roster'!$ET$6:$ET$206,"DI *")</f>
        <v/>
      </c>
      <c r="EE30" s="170">
        <f>COUNTIF('INPUT - Roster'!$EU$6:$EU$206,"*DRV-IN*")+COUNTIF('INPUT - Roster'!$EU$6:$EU$206,"*DRIVE IN*")+COUNTIF('INPUT - Roster'!$EU$6:$EU$206,"DI *")</f>
        <v/>
      </c>
      <c r="EF30" s="170">
        <f>COUNTIF('INPUT - Roster'!$EV$6:$EV$206,"*DRV-IN*")+COUNTIF('INPUT - Roster'!$EV$6:$EV$206,"*DRIVE IN*")+COUNTIF('INPUT - Roster'!$EV$6:$EV$206,"DI *")</f>
        <v/>
      </c>
      <c r="EG30" s="170">
        <f>COUNTIF('INPUT - Roster'!$EW$6:$EW$206,"*DRV-IN*")+COUNTIF('INPUT - Roster'!$EW$6:$EW$206,"*DRIVE IN*")+COUNTIF('INPUT - Roster'!$EW$6:$EW$206,"DI *")</f>
        <v/>
      </c>
      <c r="EH30" s="170">
        <f>COUNTIF('INPUT - Roster'!$EX$6:$EX$206,"*DRV-IN*")+COUNTIF('INPUT - Roster'!$EX$6:$EX$206,"*DRIVE IN*")+COUNTIF('INPUT - Roster'!$EX$6:$EX$206,"DI *")</f>
        <v/>
      </c>
      <c r="EI30" s="170">
        <f>COUNTIF('INPUT - Roster'!$EY$6:$EY$206,"*DRV-IN*")+COUNTIF('INPUT - Roster'!$EY$6:$EY$206,"*DRIVE IN*")+COUNTIF('INPUT - Roster'!$EY$6:$EY$206,"DI *")</f>
        <v/>
      </c>
      <c r="EJ30" s="170">
        <f>COUNTIF('INPUT - Roster'!$EZ$6:$EZ$206,"*DRV-IN*")+COUNTIF('INPUT - Roster'!$EZ$6:$EZ$206,"*DRIVE IN*")+COUNTIF('INPUT - Roster'!$EZ$6:$EZ$206,"DI *")</f>
        <v/>
      </c>
      <c r="EK30" s="170">
        <f>COUNTIF('INPUT - Roster'!$FA$6:$FA$206,"*DRV-IN*")+COUNTIF('INPUT - Roster'!$FA$6:$FA$206,"*DRIVE IN*")+COUNTIF('INPUT - Roster'!$FA$6:$FA$206,"DI *")</f>
        <v/>
      </c>
      <c r="EL30" s="170">
        <f>COUNTIF('INPUT - Roster'!$FB$6:$FB$206,"*DRV-IN*")+COUNTIF('INPUT - Roster'!$FB$6:$FB$206,"*DRIVE IN*")+COUNTIF('INPUT - Roster'!$FB$6:$FB$206,"DI *")</f>
        <v/>
      </c>
      <c r="EM30" s="170">
        <f>COUNTIF('INPUT - Roster'!$FC$6:$FC$206,"*DRV-IN*")+COUNTIF('INPUT - Roster'!$FC$6:$FC$206,"*DRIVE IN*")+COUNTIF('INPUT - Roster'!$FC$6:$FC$206,"DI *")</f>
        <v/>
      </c>
      <c r="EN30" s="170">
        <f>COUNTIF('INPUT - Roster'!$FD$6:$FD$206,"*DRV-IN*")+COUNTIF('INPUT - Roster'!$FD$6:$FD$206,"*DRIVE IN*")+COUNTIF('INPUT - Roster'!$FD$6:$FD$206,"DI *")</f>
        <v/>
      </c>
      <c r="EO30" s="170">
        <f>COUNTIF('INPUT - Roster'!$FE$6:$FE$206,"*DRV-IN*")+COUNTIF('INPUT - Roster'!$FE$6:$FE$206,"*DRIVE IN*")+COUNTIF('INPUT - Roster'!$FE$6:$FE$206,"DI *")</f>
        <v/>
      </c>
      <c r="EP30" s="170">
        <f>COUNTIF('INPUT - Roster'!$FF$6:$FF$206,"*DRV-IN*")+COUNTIF('INPUT - Roster'!$FF$6:$FF$206,"*DRIVE IN*")+COUNTIF('INPUT - Roster'!$FF$6:$FF$206,"DI *")</f>
        <v/>
      </c>
      <c r="EQ30" s="170">
        <f>COUNTIF('INPUT - Roster'!$FG$6:$FG$206,"*DRV-IN*")+COUNTIF('INPUT - Roster'!$FG$6:$FG$206,"*DRIVE IN*")+COUNTIF('INPUT - Roster'!$FG$6:$FG$206,"DI *")</f>
        <v/>
      </c>
      <c r="ER30" s="170">
        <f>COUNTIF('INPUT - Roster'!$FH$6:$FH$206,"*DRV-IN*")+COUNTIF('INPUT - Roster'!$FH$6:$FH$206,"*DRIVE IN*")+COUNTIF('INPUT - Roster'!$FH$6:$FH$206,"DI *")</f>
        <v/>
      </c>
      <c r="ES30" s="170">
        <f>COUNTIF('INPUT - Roster'!$FI$6:$FI$206,"*DRV-IN*")+COUNTIF('INPUT - Roster'!$FI$6:$FI$206,"*DRIVE IN*")+COUNTIF('INPUT - Roster'!$FI$6:$FI$206,"DI *")</f>
        <v/>
      </c>
      <c r="ET30" s="170">
        <f>COUNTIF('INPUT - Roster'!$FJ$6:$FJ$206,"*DRV-IN*")+COUNTIF('INPUT - Roster'!$FJ$6:$FJ$206,"*DRIVE IN*")+COUNTIF('INPUT - Roster'!$FJ$6:$FJ$206,"DI *")</f>
        <v/>
      </c>
      <c r="EU30" s="170">
        <f>COUNTIF('INPUT - Roster'!$FK$6:$FK$206,"*DRV-IN*")+COUNTIF('INPUT - Roster'!$FK$6:$FK$206,"*DRIVE IN*")+COUNTIF('INPUT - Roster'!$FK$6:$FK$206,"DI *")</f>
        <v/>
      </c>
      <c r="EV30" s="170">
        <f>COUNTIF('INPUT - Roster'!$FL$6:$FL$206,"*DRV-IN*")+COUNTIF('INPUT - Roster'!$FL$6:$FL$206,"*DRIVE IN*")+COUNTIF('INPUT - Roster'!$FL$6:$FL$206,"DI *")</f>
        <v/>
      </c>
      <c r="EW30" s="170">
        <f>COUNTIF('INPUT - Roster'!$FM$6:$FM$206,"*DRV-IN*")+COUNTIF('INPUT - Roster'!$FM$6:$FM$206,"*DRIVE IN*")+COUNTIF('INPUT - Roster'!$FM$6:$FM$206,"DI *")</f>
        <v/>
      </c>
      <c r="EX30" s="170">
        <f>COUNTIF('INPUT - Roster'!$FN$6:$FN$206,"*DRV-IN*")+COUNTIF('INPUT - Roster'!$FN$6:$FN$206,"*DRIVE IN*")+COUNTIF('INPUT - Roster'!$FN$6:$FN$206,"DI *")</f>
        <v/>
      </c>
      <c r="EY30" s="170">
        <f>COUNTIF('INPUT - Roster'!$FO$6:$FO$206,"*DRV-IN*")+COUNTIF('INPUT - Roster'!$FO$6:$FO$206,"*DRIVE IN*")+COUNTIF('INPUT - Roster'!$FO$6:$FO$206,"DI *")</f>
        <v/>
      </c>
      <c r="EZ30" s="170">
        <f>COUNTIF('INPUT - Roster'!$FP$6:$FP$206,"*DRV-IN*")+COUNTIF('INPUT - Roster'!$FP$6:$FP$206,"*DRIVE IN*")+COUNTIF('INPUT - Roster'!$FP$6:$FP$206,"DI *")</f>
        <v/>
      </c>
      <c r="FA30" s="170">
        <f>COUNTIF('INPUT - Roster'!$FQ$6:$FQ$206,"*DRV-IN*")+COUNTIF('INPUT - Roster'!$FQ$6:$FQ$206,"*DRIVE IN*")+COUNTIF('INPUT - Roster'!$FQ$6:$FQ$206,"DI *")</f>
        <v/>
      </c>
      <c r="FB30" s="170">
        <f>COUNTIF('INPUT - Roster'!$FR$6:$FR$206,"*DRV-IN*")+COUNTIF('INPUT - Roster'!$FR$6:$FR$206,"*DRIVE IN*")+COUNTIF('INPUT - Roster'!$FR$6:$FR$206,"DI *")</f>
        <v/>
      </c>
      <c r="FC30" s="170">
        <f>COUNTIF('INPUT - Roster'!$FS$6:$FS$206,"*DRV-IN*")+COUNTIF('INPUT - Roster'!$FS$6:$FS$206,"*DRIVE IN*")+COUNTIF('INPUT - Roster'!$FS$6:$FS$206,"DI *")</f>
        <v/>
      </c>
      <c r="FD30" s="170">
        <f>COUNTIF('INPUT - Roster'!$FT$6:$FT$206,"*DRV-IN*")+COUNTIF('INPUT - Roster'!$FT$6:$FT$206,"*DRIVE IN*")+COUNTIF('INPUT - Roster'!$FT$6:$FT$206,"DI *")</f>
        <v/>
      </c>
      <c r="FE30" s="170">
        <f>COUNTIF('INPUT - Roster'!$FU$6:$FU$206,"*DRV-IN*")+COUNTIF('INPUT - Roster'!$FU$6:$FU$206,"*DRIVE IN*")+COUNTIF('INPUT - Roster'!$FU$6:$FU$206,"DI *")</f>
        <v/>
      </c>
      <c r="FF30" s="170">
        <f>COUNTIF('INPUT - Roster'!$FV$6:$FV$206,"*DRV-IN*")+COUNTIF('INPUT - Roster'!$FV$6:$FV$206,"*DRIVE IN*")+COUNTIF('INPUT - Roster'!$FV$6:$FV$206,"DI *")</f>
        <v/>
      </c>
      <c r="FG30" s="170">
        <f>COUNTIF('INPUT - Roster'!$FW$6:$FW$206,"*DRV-IN*")+COUNTIF('INPUT - Roster'!$FW$6:$FW$206,"*DRIVE IN*")+COUNTIF('INPUT - Roster'!$FW$6:$FW$206,"DI *")</f>
        <v/>
      </c>
      <c r="FH30" s="170">
        <f>COUNTIF('INPUT - Roster'!$FX$6:$FX$206,"*DRV-IN*")+COUNTIF('INPUT - Roster'!$FX$6:$FX$206,"*DRIVE IN*")+COUNTIF('INPUT - Roster'!$FX$6:$FX$206,"DI *")</f>
        <v/>
      </c>
      <c r="FI30" s="170">
        <f>COUNTIF('INPUT - Roster'!$FY$6:$FY$206,"*DRV-IN*")+COUNTIF('INPUT - Roster'!$FY$6:$FY$206,"*DRIVE IN*")+COUNTIF('INPUT - Roster'!$FY$6:$FY$206,"DI *")</f>
        <v/>
      </c>
      <c r="FJ30" s="170">
        <f>COUNTIF('INPUT - Roster'!$FZ$6:$FZ$206,"*DRV-IN*")+COUNTIF('INPUT - Roster'!$FZ$6:$FZ$206,"*DRIVE IN*")+COUNTIF('INPUT - Roster'!$FZ$6:$FZ$206,"DI *")</f>
        <v/>
      </c>
      <c r="FK30" s="170">
        <f>COUNTIF('INPUT - Roster'!$GA$6:$GA$206,"*DRV-IN*")+COUNTIF('INPUT - Roster'!$GA$6:$GA$206,"*DRIVE IN*")+COUNTIF('INPUT - Roster'!$GA$6:$GA$206,"DI *")</f>
        <v/>
      </c>
      <c r="FL30" s="170">
        <f>COUNTIF('INPUT - Roster'!$GB$6:$GB$206,"*DRV-IN*")+COUNTIF('INPUT - Roster'!$GB$6:$GB$206,"*DRIVE IN*")+COUNTIF('INPUT - Roster'!$GB$6:$GB$206,"DI *")</f>
        <v/>
      </c>
      <c r="FM30" s="170">
        <f>COUNTIF('INPUT - Roster'!$GC$6:$GC$206,"*DRV-IN*")+COUNTIF('INPUT - Roster'!$GC$6:$GC$206,"*DRIVE IN*")+COUNTIF('INPUT - Roster'!$GC$6:$GC$206,"DI *")</f>
        <v/>
      </c>
      <c r="FN30" s="170">
        <f>COUNTIF('INPUT - Roster'!$GD$6:$GD$206,"*DRV-IN*")+COUNTIF('INPUT - Roster'!$GD$6:$GD$206,"*DRIVE IN*")+COUNTIF('INPUT - Roster'!$GD$6:$GD$206,"DI *")</f>
        <v/>
      </c>
      <c r="FO30" s="170">
        <f>COUNTIF('INPUT - Roster'!$GE$6:$GE$206,"*DRV-IN*")+COUNTIF('INPUT - Roster'!$GE$6:$GE$206,"*DRIVE IN*")+COUNTIF('INPUT - Roster'!$GE$6:$GE$206,"DI *")</f>
        <v/>
      </c>
      <c r="FP30" s="170">
        <f>COUNTIF('INPUT - Roster'!$GF$6:$GF$206,"*DRV-IN*")+COUNTIF('INPUT - Roster'!$GF$6:$GF$206,"*DRIVE IN*")+COUNTIF('INPUT - Roster'!$GF$6:$GF$206,"DI *")</f>
        <v/>
      </c>
      <c r="FQ30" s="170">
        <f>COUNTIF('INPUT - Roster'!$GG$6:$GG$206,"*DRV-IN*")+COUNTIF('INPUT - Roster'!$GG$6:$GG$206,"*DRIVE IN*")+COUNTIF('INPUT - Roster'!$GG$6:$GG$206,"DI *")</f>
        <v/>
      </c>
      <c r="FR30" s="170">
        <f>COUNTIF('INPUT - Roster'!$GH$6:$GH$206,"*DRV-IN*")+COUNTIF('INPUT - Roster'!$GH$6:$GH$206,"*DRIVE IN*")+COUNTIF('INPUT - Roster'!$GH$6:$GH$206,"DI *")</f>
        <v/>
      </c>
      <c r="FS30" s="170">
        <f>COUNTIF('INPUT - Roster'!$GI$6:$GI$206,"*DRV-IN*")+COUNTIF('INPUT - Roster'!$GI$6:$GI$206,"*DRIVE IN*")+COUNTIF('INPUT - Roster'!$GI$6:$GI$206,"DI *")</f>
        <v/>
      </c>
      <c r="FT30" s="170">
        <f>COUNTIF('INPUT - Roster'!$GJ$6:$GJ$206,"*DRV-IN*")+COUNTIF('INPUT - Roster'!$GJ$6:$GJ$206,"*DRIVE IN*")+COUNTIF('INPUT - Roster'!$GJ$6:$GJ$206,"DI *")</f>
        <v/>
      </c>
      <c r="FU30" s="170">
        <f>COUNTIF('INPUT - Roster'!$GK$6:$GK$206,"*DRV-IN*")+COUNTIF('INPUT - Roster'!$GK$6:$GK$206,"*DRIVE IN*")+COUNTIF('INPUT - Roster'!$GK$6:$GK$206,"DI *")</f>
        <v/>
      </c>
      <c r="FV30" s="170">
        <f>COUNTIF('INPUT - Roster'!$GL$6:$GL$206,"*DRV-IN*")+COUNTIF('INPUT - Roster'!$GL$6:$GL$206,"*DRIVE IN*")+COUNTIF('INPUT - Roster'!$GL$6:$GL$206,"DI *")</f>
        <v/>
      </c>
      <c r="FW30" s="170">
        <f>COUNTIF('INPUT - Roster'!$GM$6:$GM$206,"*DRV-IN*")+COUNTIF('INPUT - Roster'!$GM$6:$GM$206,"*DRIVE IN*")+COUNTIF('INPUT - Roster'!$GM$6:$GM$206,"DI *")</f>
        <v/>
      </c>
      <c r="FX30" s="170">
        <f>COUNTIF('INPUT - Roster'!$GN$6:$GN$206,"*DRV-IN*")+COUNTIF('INPUT - Roster'!$GN$6:$GN$206,"*DRIVE IN*")+COUNTIF('INPUT - Roster'!$GN$6:$GN$206,"DI *")</f>
        <v/>
      </c>
      <c r="FY30" s="170">
        <f>COUNTIF('INPUT - Roster'!$GO$6:$GO$206,"*DRV-IN*")+COUNTIF('INPUT - Roster'!$GO$6:$GO$206,"*DRIVE IN*")+COUNTIF('INPUT - Roster'!$GO$6:$GO$206,"DI *")</f>
        <v/>
      </c>
      <c r="FZ30" s="170">
        <f>COUNTIF('INPUT - Roster'!$GP$6:$GP$206,"*DRV-IN*")+COUNTIF('INPUT - Roster'!$GP$6:$GP$206,"*DRIVE IN*")+COUNTIF('INPUT - Roster'!$GP$6:$GP$206,"DI *")</f>
        <v/>
      </c>
      <c r="GA30" s="170">
        <f>COUNTIF('INPUT - Roster'!$GQ$6:$GQ$206,"*DRV-IN*")+COUNTIF('INPUT - Roster'!$GQ$6:$GQ$206,"*DRIVE IN*")+COUNTIF('INPUT - Roster'!$GQ$6:$GQ$206,"DI *")</f>
        <v/>
      </c>
      <c r="GB30" s="170">
        <f>COUNTIF('INPUT - Roster'!$GR$6:$GR$206,"*DRV-IN*")+COUNTIF('INPUT - Roster'!$GR$6:$GR$206,"*DRIVE IN*")+COUNTIF('INPUT - Roster'!$GR$6:$GR$206,"DI *")</f>
        <v/>
      </c>
      <c r="GC30" s="170">
        <f>COUNTIF('INPUT - Roster'!$GS$6:$GS$206,"*DRV-IN*")+COUNTIF('INPUT - Roster'!$GS$6:$GS$206,"*DRIVE IN*")+COUNTIF('INPUT - Roster'!$GS$6:$GS$206,"DI *")</f>
        <v/>
      </c>
      <c r="GD30" s="170">
        <f>COUNTIF('INPUT - Roster'!$GT$6:$GT$206,"*DRV-IN*")+COUNTIF('INPUT - Roster'!$GT$6:$GT$206,"*DRIVE IN*")+COUNTIF('INPUT - Roster'!$GT$6:$GT$206,"DI *")</f>
        <v/>
      </c>
      <c r="GE30" s="170">
        <f>COUNTIF('INPUT - Roster'!$GU$6:$GU$206,"*DRV-IN*")+COUNTIF('INPUT - Roster'!$GU$6:$GU$206,"*DRIVE IN*")+COUNTIF('INPUT - Roster'!$GU$6:$GU$206,"DI *")</f>
        <v/>
      </c>
      <c r="GF30" s="170">
        <f>COUNTIF('INPUT - Roster'!$GV$6:$GV$206,"*DRV-IN*")+COUNTIF('INPUT - Roster'!$GV$6:$GV$206,"*DRIVE IN*")+COUNTIF('INPUT - Roster'!$GV$6:$GV$206,"DI *")</f>
        <v/>
      </c>
      <c r="GG30" s="170">
        <f>COUNTIF('INPUT - Roster'!$GW$6:$GW$206,"*DRV-IN*")+COUNTIF('INPUT - Roster'!$GW$6:$GW$206,"*DRIVE IN*")+COUNTIF('INPUT - Roster'!$GW$6:$GW$206,"DI *")</f>
        <v/>
      </c>
      <c r="GH30" s="170">
        <f>COUNTIF('INPUT - Roster'!$GX$6:$GX$206,"*DRV-IN*")+COUNTIF('INPUT - Roster'!$GX$6:$GX$206,"*DRIVE IN*")+COUNTIF('INPUT - Roster'!$GX$6:$GX$206,"DI *")</f>
        <v/>
      </c>
      <c r="GI30" s="170">
        <f>COUNTIF('INPUT - Roster'!$GY$6:$GY$206,"*DRV-IN*")+COUNTIF('INPUT - Roster'!$GY$6:$GY$206,"*DRIVE IN*")+COUNTIF('INPUT - Roster'!$GY$6:$GY$206,"DI *")</f>
        <v/>
      </c>
      <c r="GJ30" s="170">
        <f>COUNTIF('INPUT - Roster'!$GZ$6:$GZ$206,"*DRV-IN*")+COUNTIF('INPUT - Roster'!$GZ$6:$GZ$206,"*DRIVE IN*")+COUNTIF('INPUT - Roster'!$GZ$6:$GZ$206,"DI *")</f>
        <v/>
      </c>
      <c r="GK30" s="170">
        <f>COUNTIF('INPUT - Roster'!$HA$6:$HA$206,"*DRV-IN*")+COUNTIF('INPUT - Roster'!$HA$6:$HA$206,"*DRIVE IN*")+COUNTIF('INPUT - Roster'!$HA$6:$HA$206,"DI *")</f>
        <v/>
      </c>
      <c r="GL30" s="170">
        <f>COUNTIF('INPUT - Roster'!$HB$6:$HB$206,"*DRV-IN*")+COUNTIF('INPUT - Roster'!$HB$6:$HB$206,"*DRIVE IN*")+COUNTIF('INPUT - Roster'!$HB$6:$HB$206,"DI *")</f>
        <v/>
      </c>
      <c r="GM30" s="170">
        <f>COUNTIF('INPUT - Roster'!$HC$6:$HC$206,"*DRV-IN*")+COUNTIF('INPUT - Roster'!$HC$6:$HC$206,"*DRIVE IN*")+COUNTIF('INPUT - Roster'!$HC$6:$HC$206,"DI *")</f>
        <v/>
      </c>
      <c r="GN30" s="170">
        <f>COUNTIF('INPUT - Roster'!$HD$6:$HD$206,"*DRV-IN*")+COUNTIF('INPUT - Roster'!$HD$6:$HD$206,"*DRIVE IN*")+COUNTIF('INPUT - Roster'!$HD$6:$HD$206,"DI *")</f>
        <v/>
      </c>
      <c r="GO30" s="170">
        <f>COUNTIF('INPUT - Roster'!$HE$6:$HE$206,"*DRV-IN*")+COUNTIF('INPUT - Roster'!$HE$6:$HE$206,"*DRIVE IN*")+COUNTIF('INPUT - Roster'!$HE$6:$HE$206,"DI *")</f>
        <v/>
      </c>
      <c r="GP30" s="170">
        <f>COUNTIF('INPUT - Roster'!$HF$6:$HF$206,"*DRV-IN*")+COUNTIF('INPUT - Roster'!$HF$6:$HF$206,"*DRIVE IN*")+COUNTIF('INPUT - Roster'!$HF$6:$HF$206,"DI *")</f>
        <v/>
      </c>
      <c r="GQ30" s="170">
        <f>COUNTIF('INPUT - Roster'!$HG$6:$HG$206,"*DRV-IN*")+COUNTIF('INPUT - Roster'!$HG$6:$HG$206,"*DRIVE IN*")+COUNTIF('INPUT - Roster'!$HG$6:$HG$206,"DI *")</f>
        <v/>
      </c>
      <c r="GR30" s="170">
        <f>COUNTIF('INPUT - Roster'!$HH$6:$HH$206,"*DRV-IN*")+COUNTIF('INPUT - Roster'!$HH$6:$HH$206,"*DRIVE IN*")+COUNTIF('INPUT - Roster'!$HH$6:$HH$206,"DI *")</f>
        <v/>
      </c>
      <c r="GS30" s="170">
        <f>COUNTIF('INPUT - Roster'!$HI$6:$HI$206,"*DRV-IN*")+COUNTIF('INPUT - Roster'!$HI$6:$HI$206,"*DRIVE IN*")+COUNTIF('INPUT - Roster'!$HI$6:$HI$206,"DI *")</f>
        <v/>
      </c>
      <c r="GT30" s="170">
        <f>COUNTIF('INPUT - Roster'!$HJ$6:$HJ$206,"*DRV-IN*")+COUNTIF('INPUT - Roster'!$HJ$6:$HJ$206,"*DRIVE IN*")+COUNTIF('INPUT - Roster'!$HJ$6:$HJ$206,"DI *")</f>
        <v/>
      </c>
      <c r="GU30" s="170">
        <f>COUNTIF('INPUT - Roster'!$HK$6:$HK$206,"*DRV-IN*")+COUNTIF('INPUT - Roster'!$HK$6:$HK$206,"*DRIVE IN*")+COUNTIF('INPUT - Roster'!$HK$6:$HK$206,"DI *")</f>
        <v/>
      </c>
      <c r="GV30" s="170">
        <f>COUNTIF('INPUT - Roster'!$HL$6:$HL$206,"*DRV-IN*")+COUNTIF('INPUT - Roster'!$HL$6:$HL$206,"*DRIVE IN*")+COUNTIF('INPUT - Roster'!$HL$6:$HL$206,"DI *")</f>
        <v/>
      </c>
      <c r="GW30" s="170">
        <f>COUNTIF('INPUT - Roster'!$HM$6:$HM$206,"*DRV-IN*")+COUNTIF('INPUT - Roster'!$HM$6:$HM$206,"*DRIVE IN*")+COUNTIF('INPUT - Roster'!$HM$6:$HM$206,"DI *")</f>
        <v/>
      </c>
      <c r="GX30" s="170">
        <f>COUNTIF('INPUT - Roster'!$HN$6:$HN$206,"*DRV-IN*")+COUNTIF('INPUT - Roster'!$HN$6:$HN$206,"*DRIVE IN*")+COUNTIF('INPUT - Roster'!$HN$6:$HN$206,"DI *")</f>
        <v/>
      </c>
      <c r="GY30" s="170">
        <f>COUNTIF('INPUT - Roster'!$HO$6:$HO$206,"*DRV-IN*")+COUNTIF('INPUT - Roster'!$HO$6:$HO$206,"*DRIVE IN*")+COUNTIF('INPUT - Roster'!$HO$6:$HO$206,"DI *")</f>
        <v/>
      </c>
      <c r="GZ30" s="170">
        <f>COUNTIF('INPUT - Roster'!$HP$6:$HP$206,"*DRV-IN*")+COUNTIF('INPUT - Roster'!$HP$6:$HP$206,"*DRIVE IN*")+COUNTIF('INPUT - Roster'!$HP$6:$HP$206,"DI *")</f>
        <v/>
      </c>
      <c r="HA30" s="170">
        <f>COUNTIF('INPUT - Roster'!$HQ$6:$HQ$206,"*DRV-IN*")+COUNTIF('INPUT - Roster'!$HQ$6:$HQ$206,"*DRIVE IN*")+COUNTIF('INPUT - Roster'!$HQ$6:$HQ$206,"DI *")</f>
        <v/>
      </c>
      <c r="HB30" s="170">
        <f>COUNTIF('INPUT - Roster'!$HR$6:$HR$206,"*DRV-IN*")+COUNTIF('INPUT - Roster'!$HR$6:$HR$206,"*DRIVE IN*")+COUNTIF('INPUT - Roster'!$HR$6:$HR$206,"DI *")</f>
        <v/>
      </c>
      <c r="HC30" s="170">
        <f>COUNTIF('INPUT - Roster'!$HS$6:$HS$206,"*DRV-IN*")+COUNTIF('INPUT - Roster'!$HS$6:$HS$206,"*DRIVE IN*")+COUNTIF('INPUT - Roster'!$HS$6:$HS$206,"DI *")</f>
        <v/>
      </c>
      <c r="HD30" s="170">
        <f>COUNTIF('INPUT - Roster'!$HT$6:$HT$206,"*DRV-IN*")+COUNTIF('INPUT - Roster'!$HT$6:$HT$206,"*DRIVE IN*")+COUNTIF('INPUT - Roster'!$HT$6:$HT$206,"DI *")</f>
        <v/>
      </c>
      <c r="HE30" s="170">
        <f>COUNTIF('INPUT - Roster'!$HU$6:$HU$206,"*DRV-IN*")+COUNTIF('INPUT - Roster'!$HU$6:$HU$206,"*DRIVE IN*")+COUNTIF('INPUT - Roster'!$HU$6:$HU$206,"DI *")</f>
        <v/>
      </c>
      <c r="HF30" s="170">
        <f>COUNTIF('INPUT - Roster'!$HV$6:$HV$206,"*DRV-IN*")+COUNTIF('INPUT - Roster'!$HV$6:$HV$206,"*DRIVE IN*")+COUNTIF('INPUT - Roster'!$HV$6:$HV$206,"DI *")</f>
        <v/>
      </c>
      <c r="HG30" s="170">
        <f>COUNTIF('INPUT - Roster'!$HW$6:$HW$206,"*DRV-IN*")+COUNTIF('INPUT - Roster'!$HW$6:$HW$206,"*DRIVE IN*")+COUNTIF('INPUT - Roster'!$HW$6:$HW$206,"DI *")</f>
        <v/>
      </c>
      <c r="HH30" s="170">
        <f>COUNTIF('INPUT - Roster'!$HX$6:$HX$206,"*DRV-IN*")+COUNTIF('INPUT - Roster'!$HX$6:$HX$206,"*DRIVE IN*")+COUNTIF('INPUT - Roster'!$HX$6:$HX$206,"DI *")</f>
        <v/>
      </c>
      <c r="HI30" s="170">
        <f>COUNTIF('INPUT - Roster'!$HY$6:$HY$206,"*DRV-IN*")+COUNTIF('INPUT - Roster'!$HY$6:$HY$206,"*DRIVE IN*")+COUNTIF('INPUT - Roster'!$HY$6:$HY$206,"DI *")</f>
        <v/>
      </c>
      <c r="HJ30" s="170">
        <f>COUNTIF('INPUT - Roster'!$HZ$6:$HZ$206,"*DRV-IN*")+COUNTIF('INPUT - Roster'!$HZ$6:$HZ$206,"*DRIVE IN*")+COUNTIF('INPUT - Roster'!$HZ$6:$HZ$206,"DI *")</f>
        <v/>
      </c>
      <c r="HK30" s="170">
        <f>COUNTIF('INPUT - Roster'!$IA$6:$IA$206,"*DRV-IN*")+COUNTIF('INPUT - Roster'!$IA$6:$IA$206,"*DRIVE IN*")+COUNTIF('INPUT - Roster'!$IA$6:$IA$206,"DI *")</f>
        <v/>
      </c>
      <c r="HL30" s="170">
        <f>COUNTIF('INPUT - Roster'!$IB$6:$IB$206,"*DRV-IN*")+COUNTIF('INPUT - Roster'!$IB$6:$IB$206,"*DRIVE IN*")+COUNTIF('INPUT - Roster'!$IB$6:$IB$206,"DI *")</f>
        <v/>
      </c>
      <c r="HM30" s="170">
        <f>COUNTIF('INPUT - Roster'!$IC$6:$IC$206,"*DRV-IN*")+COUNTIF('INPUT - Roster'!$IC$6:$IC$206,"*DRIVE IN*")+COUNTIF('INPUT - Roster'!$IC$6:$IC$206,"DI *")</f>
        <v/>
      </c>
      <c r="HN30" s="170">
        <f>COUNTIF('INPUT - Roster'!$ID$6:$ID$206,"*DRV-IN*")+COUNTIF('INPUT - Roster'!$ID$6:$ID$206,"*DRIVE IN*")+COUNTIF('INPUT - Roster'!$ID$6:$ID$206,"DI *")</f>
        <v/>
      </c>
      <c r="HO30" s="170">
        <f>COUNTIF('INPUT - Roster'!$IE$6:$IE$206,"*DRV-IN*")+COUNTIF('INPUT - Roster'!$IE$6:$IE$206,"*DRIVE IN*")+COUNTIF('INPUT - Roster'!$IE$6:$IE$206,"DI *")</f>
        <v/>
      </c>
      <c r="HP30" s="170">
        <f>COUNTIF('INPUT - Roster'!$IF$6:$IF$206,"*DRV-IN*")+COUNTIF('INPUT - Roster'!$IF$6:$IF$206,"*DRIVE IN*")+COUNTIF('INPUT - Roster'!$IF$6:$IF$206,"DI *")</f>
        <v/>
      </c>
      <c r="HQ30" s="170">
        <f>COUNTIF('INPUT - Roster'!$IG$6:$IG$206,"*DRV-IN*")+COUNTIF('INPUT - Roster'!$IG$6:$IG$206,"*DRIVE IN*")+COUNTIF('INPUT - Roster'!$IG$6:$IG$206,"DI *")</f>
        <v/>
      </c>
      <c r="HR30" s="170">
        <f>COUNTIF('INPUT - Roster'!$IH$6:$IH$206,"*DRV-IN*")+COUNTIF('INPUT - Roster'!$IH$6:$IH$206,"*DRIVE IN*")+COUNTIF('INPUT - Roster'!$IH$6:$IH$206,"DI *")</f>
        <v/>
      </c>
      <c r="HS30" s="170">
        <f>COUNTIF('INPUT - Roster'!$II$6:$II$206,"*DRV-IN*")+COUNTIF('INPUT - Roster'!$II$6:$II$206,"*DRIVE IN*")+COUNTIF('INPUT - Roster'!$II$6:$II$206,"DI *")</f>
        <v/>
      </c>
      <c r="HT30" s="170">
        <f>COUNTIF('INPUT - Roster'!$IJ$6:$IJ$206,"*DRV-IN*")+COUNTIF('INPUT - Roster'!$IJ$6:$IJ$206,"*DRIVE IN*")+COUNTIF('INPUT - Roster'!$IJ$6:$IJ$206,"DI *")</f>
        <v/>
      </c>
      <c r="HU30" s="170">
        <f>COUNTIF('INPUT - Roster'!$IK$6:$IK$206,"*DRV-IN*")+COUNTIF('INPUT - Roster'!$IK$6:$IK$206,"*DRIVE IN*")+COUNTIF('INPUT - Roster'!$IK$6:$IK$206,"DI *")</f>
        <v/>
      </c>
      <c r="HV30" s="170">
        <f>COUNTIF('INPUT - Roster'!$IL$6:$IL$206,"*DRV-IN*")+COUNTIF('INPUT - Roster'!$IL$6:$IL$206,"*DRIVE IN*")+COUNTIF('INPUT - Roster'!$IL$6:$IL$206,"DI *")</f>
        <v/>
      </c>
      <c r="HW30" s="170">
        <f>COUNTIF('INPUT - Roster'!$IM$6:$IM$206,"*DRV-IN*")+COUNTIF('INPUT - Roster'!$IM$6:$IM$206,"*DRIVE IN*")+COUNTIF('INPUT - Roster'!$IM$6:$IM$206,"DI *")</f>
        <v/>
      </c>
      <c r="HX30" s="170">
        <f>COUNTIF('INPUT - Roster'!$IN$6:$IN$206,"*DRV-IN*")+COUNTIF('INPUT - Roster'!$IN$6:$IN$206,"*DRIVE IN*")+COUNTIF('INPUT - Roster'!$IN$6:$IN$206,"DI *")</f>
        <v/>
      </c>
      <c r="HY30" s="170">
        <f>COUNTIF('INPUT - Roster'!$IO$6:$IO$206,"*DRV-IN*")+COUNTIF('INPUT - Roster'!$IO$6:$IO$206,"*DRIVE IN*")+COUNTIF('INPUT - Roster'!$IO$6:$IO$206,"DI *")</f>
        <v/>
      </c>
      <c r="HZ30" s="170">
        <f>COUNTIF('INPUT - Roster'!$IP$6:$IP$206,"*DRV-IN*")+COUNTIF('INPUT - Roster'!$IP$6:$IP$206,"*DRIVE IN*")+COUNTIF('INPUT - Roster'!$IP$6:$IP$206,"DI *")</f>
        <v/>
      </c>
      <c r="IA30" s="170">
        <f>COUNTIF('INPUT - Roster'!$IQ$6:$IQ$206,"*DRV-IN*")+COUNTIF('INPUT - Roster'!$IQ$6:$IQ$206,"*DRIVE IN*")+COUNTIF('INPUT - Roster'!$IQ$6:$IQ$206,"DI *")</f>
        <v/>
      </c>
      <c r="IB30" s="170">
        <f>COUNTIF('INPUT - Roster'!$IR$6:$IR$206,"*DRV-IN*")+COUNTIF('INPUT - Roster'!$IR$6:$IR$206,"*DRIVE IN*")+COUNTIF('INPUT - Roster'!$IR$6:$IR$206,"DI *")</f>
        <v/>
      </c>
      <c r="IC30" s="170">
        <f>COUNTIF('INPUT - Roster'!$IS$6:$IS$206,"*DRV-IN*")+COUNTIF('INPUT - Roster'!$IS$6:$IS$206,"*DRIVE IN*")+COUNTIF('INPUT - Roster'!$IS$6:$IS$206,"DI *")</f>
        <v/>
      </c>
      <c r="ID30" s="170">
        <f>COUNTIF('INPUT - Roster'!$IT$6:$IT$206,"*DRV-IN*")+COUNTIF('INPUT - Roster'!$IT$6:$IT$206,"*DRIVE IN*")+COUNTIF('INPUT - Roster'!$IT$6:$IT$206,"DI *")</f>
        <v/>
      </c>
      <c r="IE30" s="170">
        <f>COUNTIF('INPUT - Roster'!$IU$6:$IU$206,"*DRV-IN*")+COUNTIF('INPUT - Roster'!$IU$6:$IU$206,"*DRIVE IN*")+COUNTIF('INPUT - Roster'!$IU$6:$IU$206,"DI *")</f>
        <v/>
      </c>
      <c r="IF30" s="170">
        <f>COUNTIF('INPUT - Roster'!$IV$6:$IV$206,"*DRV-IN*")+COUNTIF('INPUT - Roster'!$IV$6:$IV$206,"*DRIVE IN*")+COUNTIF('INPUT - Roster'!$IV$6:$IV$206,"DI *")</f>
        <v/>
      </c>
      <c r="IG30" s="170">
        <f>COUNTIF('INPUT - Roster'!$IW$6:$IW$206,"*DRV-IN*")+COUNTIF('INPUT - Roster'!$IW$6:$IW$206,"*DRIVE IN*")+COUNTIF('INPUT - Roster'!$IW$6:$IW$206,"DI *")</f>
        <v/>
      </c>
      <c r="IH30" s="170">
        <f>COUNTIF('INPUT - Roster'!$IX$6:$IX$206,"*DRV-IN*")+COUNTIF('INPUT - Roster'!$IX$6:$IX$206,"*DRIVE IN*")+COUNTIF('INPUT - Roster'!$IX$6:$IX$206,"DI *")</f>
        <v/>
      </c>
      <c r="II30" s="170">
        <f>COUNTIF('INPUT - Roster'!$IY$6:$IY$206,"*DRV-IN*")+COUNTIF('INPUT - Roster'!$IY$6:$IY$206,"*DRIVE IN*")+COUNTIF('INPUT - Roster'!$IY$6:$IY$206,"DI *")</f>
        <v/>
      </c>
      <c r="IJ30" s="170">
        <f>COUNTIF('INPUT - Roster'!$IZ$6:$IZ$206,"*DRV-IN*")+COUNTIF('INPUT - Roster'!$IZ$6:$IZ$206,"*DRIVE IN*")+COUNTIF('INPUT - Roster'!$IZ$6:$IZ$206,"DI *")</f>
        <v/>
      </c>
      <c r="IK30" s="170">
        <f>COUNTIF('INPUT - Roster'!$JA$6:$JA$206,"*DRV-IN*")+COUNTIF('INPUT - Roster'!$JA$6:$JA$206,"*DRIVE IN*")+COUNTIF('INPUT - Roster'!$JA$6:$JA$206,"DI *")</f>
        <v/>
      </c>
      <c r="IL30" s="170">
        <f>COUNTIF('INPUT - Roster'!$JB$6:$JB$206,"*DRV-IN*")+COUNTIF('INPUT - Roster'!$JB$6:$JB$206,"*DRIVE IN*")+COUNTIF('INPUT - Roster'!$JB$6:$JB$206,"DI *")</f>
        <v/>
      </c>
      <c r="IM30" s="170">
        <f>COUNTIF('INPUT - Roster'!$JC$6:$JC$206,"*DRV-IN*")+COUNTIF('INPUT - Roster'!$JC$6:$JC$206,"*DRIVE IN*")+COUNTIF('INPUT - Roster'!$JC$6:$JC$206,"DI *")</f>
        <v/>
      </c>
      <c r="IN30" s="170">
        <f>COUNTIF('INPUT - Roster'!$JD$6:$JD$206,"*DRV-IN*")+COUNTIF('INPUT - Roster'!$JD$6:$JD$206,"*DRIVE IN*")+COUNTIF('INPUT - Roster'!$JD$6:$JD$206,"DI *")</f>
        <v/>
      </c>
      <c r="IO30" s="170">
        <f>COUNTIF('INPUT - Roster'!$JE$6:$JE$206,"*DRV-IN*")+COUNTIF('INPUT - Roster'!$JE$6:$JE$206,"*DRIVE IN*")+COUNTIF('INPUT - Roster'!$JE$6:$JE$206,"DI *")</f>
        <v/>
      </c>
      <c r="IP30" s="170">
        <f>COUNTIF('INPUT - Roster'!$JF$6:$JF$206,"*DRV-IN*")+COUNTIF('INPUT - Roster'!$JF$6:$JF$206,"*DRIVE IN*")+COUNTIF('INPUT - Roster'!$JF$6:$JF$206,"DI *")</f>
        <v/>
      </c>
      <c r="IQ30" s="170">
        <f>COUNTIF('INPUT - Roster'!$JG$6:$JG$206,"*DRV-IN*")+COUNTIF('INPUT - Roster'!$JG$6:$JG$206,"*DRIVE IN*")+COUNTIF('INPUT - Roster'!$JG$6:$JG$206,"DI *")</f>
        <v/>
      </c>
      <c r="IR30" s="170">
        <f>COUNTIF('INPUT - Roster'!$JH$6:$JH$206,"*DRV-IN*")+COUNTIF('INPUT - Roster'!$JH$6:$JH$206,"*DRIVE IN*")+COUNTIF('INPUT - Roster'!$JH$6:$JH$206,"DI *")</f>
        <v/>
      </c>
      <c r="IS30" s="170">
        <f>COUNTIF('INPUT - Roster'!$JI$6:$JI$206,"*DRV-IN*")+COUNTIF('INPUT - Roster'!$JI$6:$JI$206,"*DRIVE IN*")+COUNTIF('INPUT - Roster'!$JI$6:$JI$206,"DI *")</f>
        <v/>
      </c>
      <c r="IT30" s="170">
        <f>COUNTIF('INPUT - Roster'!$JJ$6:$JJ$206,"*DRV-IN*")+COUNTIF('INPUT - Roster'!$JJ$6:$JJ$206,"*DRIVE IN*")+COUNTIF('INPUT - Roster'!$JJ$6:$JJ$206,"DI *")</f>
        <v/>
      </c>
      <c r="IU30" s="170">
        <f>COUNTIF('INPUT - Roster'!$JK$6:$JK$206,"*DRV-IN*")+COUNTIF('INPUT - Roster'!$JK$6:$JK$206,"*DRIVE IN*")+COUNTIF('INPUT - Roster'!$JK$6:$JK$206,"DI *")</f>
        <v/>
      </c>
      <c r="IV30" s="170">
        <f>COUNTIF('INPUT - Roster'!$JL$6:$JL$206,"*DRV-IN*")+COUNTIF('INPUT - Roster'!$JL$6:$JL$206,"*DRIVE IN*")+COUNTIF('INPUT - Roster'!$JL$6:$JL$206,"DI *")</f>
        <v/>
      </c>
      <c r="IW30" s="170">
        <f>COUNTIF('INPUT - Roster'!$JM$6:$JM$206,"*DRV-IN*")+COUNTIF('INPUT - Roster'!$JM$6:$JM$206,"*DRIVE IN*")+COUNTIF('INPUT - Roster'!$JM$6:$JM$206,"DI *")</f>
        <v/>
      </c>
      <c r="IX30" s="170">
        <f>COUNTIF('INPUT - Roster'!$JN$6:$JN$206,"*DRV-IN*")+COUNTIF('INPUT - Roster'!$JN$6:$JN$206,"*DRIVE IN*")+COUNTIF('INPUT - Roster'!$JN$6:$JN$206,"DI *")</f>
        <v/>
      </c>
      <c r="IY30" s="170">
        <f>COUNTIF('INPUT - Roster'!$JO$6:$JO$206,"*DRV-IN*")+COUNTIF('INPUT - Roster'!$JO$6:$JO$206,"*DRIVE IN*")+COUNTIF('INPUT - Roster'!$JO$6:$JO$206,"DI *")</f>
        <v/>
      </c>
      <c r="IZ30" s="170">
        <f>COUNTIF('INPUT - Roster'!$JP$6:$JP$206,"*DRV-IN*")+COUNTIF('INPUT - Roster'!$JP$6:$JP$206,"*DRIVE IN*")+COUNTIF('INPUT - Roster'!$JP$6:$JP$206,"DI *")</f>
        <v/>
      </c>
      <c r="JA30" s="170">
        <f>COUNTIF('INPUT - Roster'!$JQ$6:$JQ$206,"*DRV-IN*")+COUNTIF('INPUT - Roster'!$JQ$6:$JQ$206,"*DRIVE IN*")+COUNTIF('INPUT - Roster'!$JQ$6:$JQ$206,"DI *")</f>
        <v/>
      </c>
      <c r="JB30" s="170">
        <f>COUNTIF('INPUT - Roster'!$JR$6:$JR$206,"*DRV-IN*")+COUNTIF('INPUT - Roster'!$JR$6:$JR$206,"*DRIVE IN*")+COUNTIF('INPUT - Roster'!$JR$6:$JR$206,"DI *")</f>
        <v/>
      </c>
      <c r="JC30" s="170">
        <f>COUNTIF('INPUT - Roster'!$JS$6:$JS$206,"*DRV-IN*")+COUNTIF('INPUT - Roster'!$JS$6:$JS$206,"*DRIVE IN*")+COUNTIF('INPUT - Roster'!$JS$6:$JS$206,"DI *")</f>
        <v/>
      </c>
      <c r="JD30" s="170">
        <f>COUNTIF('INPUT - Roster'!$JT$6:$JT$206,"*DRV-IN*")+COUNTIF('INPUT - Roster'!$JT$6:$JT$206,"*DRIVE IN*")+COUNTIF('INPUT - Roster'!$JT$6:$JT$206,"DI *")</f>
        <v/>
      </c>
      <c r="JE30" s="170">
        <f>COUNTIF('INPUT - Roster'!$JU$6:$JU$206,"*DRV-IN*")+COUNTIF('INPUT - Roster'!$JU$6:$JU$206,"*DRIVE IN*")+COUNTIF('INPUT - Roster'!$JU$6:$JU$206,"DI *")</f>
        <v/>
      </c>
      <c r="JF30" s="170">
        <f>COUNTIF('INPUT - Roster'!$JV$6:$JV$206,"*DRV-IN*")+COUNTIF('INPUT - Roster'!$JV$6:$JV$206,"*DRIVE IN*")+COUNTIF('INPUT - Roster'!$JV$6:$JV$206,"DI *")</f>
        <v/>
      </c>
      <c r="JG30" s="170">
        <f>COUNTIF('INPUT - Roster'!$JW$6:$JW$206,"*DRV-IN*")+COUNTIF('INPUT - Roster'!$JW$6:$JW$206,"*DRIVE IN*")+COUNTIF('INPUT - Roster'!$JW$6:$JW$206,"DI *")</f>
        <v/>
      </c>
      <c r="JH30" s="170">
        <f>COUNTIF('INPUT - Roster'!$JX$6:$JX$206,"*DRV-IN*")+COUNTIF('INPUT - Roster'!$JX$6:$JX$206,"*DRIVE IN*")+COUNTIF('INPUT - Roster'!$JX$6:$JX$206,"DI *")</f>
        <v/>
      </c>
      <c r="JI30" s="170">
        <f>COUNTIF('INPUT - Roster'!$JY$6:$JY$206,"*DRV-IN*")+COUNTIF('INPUT - Roster'!$JY$6:$JY$206,"*DRIVE IN*")+COUNTIF('INPUT - Roster'!$JY$6:$JY$206,"DI *")</f>
        <v/>
      </c>
      <c r="JJ30" s="170">
        <f>COUNTIF('INPUT - Roster'!$JZ$6:$JZ$206,"*DRV-IN*")+COUNTIF('INPUT - Roster'!$JZ$6:$JZ$206,"*DRIVE IN*")+COUNTIF('INPUT - Roster'!$JZ$6:$JZ$206,"DI *")</f>
        <v/>
      </c>
      <c r="JK30" s="170">
        <f>COUNTIF('INPUT - Roster'!$KA$6:$KA$206,"*DRV-IN*")+COUNTIF('INPUT - Roster'!$KA$6:$KA$206,"*DRIVE IN*")+COUNTIF('INPUT - Roster'!$KA$6:$KA$206,"DI *")</f>
        <v/>
      </c>
      <c r="JL30" s="170">
        <f>COUNTIF('INPUT - Roster'!$KB$6:$KB$206,"*DRV-IN*")+COUNTIF('INPUT - Roster'!$KB$6:$KB$206,"*DRIVE IN*")+COUNTIF('INPUT - Roster'!$KB$6:$KB$206,"DI *")</f>
        <v/>
      </c>
      <c r="JM30" s="170">
        <f>COUNTIF('INPUT - Roster'!$KC$6:$KC$206,"*DRV-IN*")+COUNTIF('INPUT - Roster'!$KC$6:$KC$206,"*DRIVE IN*")+COUNTIF('INPUT - Roster'!$KC$6:$KC$206,"DI *")</f>
        <v/>
      </c>
      <c r="JN30" s="170">
        <f>COUNTIF('INPUT - Roster'!$KD$6:$KD$206,"*DRV-IN*")+COUNTIF('INPUT - Roster'!$KD$6:$KD$206,"*DRIVE IN*")+COUNTIF('INPUT - Roster'!$KD$6:$KD$206,"DI *")</f>
        <v/>
      </c>
      <c r="JO30" s="170">
        <f>COUNTIF('INPUT - Roster'!$KE$6:$KE$206,"*DRV-IN*")+COUNTIF('INPUT - Roster'!$KE$6:$KE$206,"*DRIVE IN*")+COUNTIF('INPUT - Roster'!$KE$6:$KE$206,"DI *")</f>
        <v/>
      </c>
      <c r="JP30" s="170">
        <f>COUNTIF('INPUT - Roster'!$KF$6:$KF$206,"*DRV-IN*")+COUNTIF('INPUT - Roster'!$KF$6:$KF$206,"*DRIVE IN*")+COUNTIF('INPUT - Roster'!$KF$6:$KF$206,"DI *")</f>
        <v/>
      </c>
      <c r="JQ30" s="170">
        <f>COUNTIF('INPUT - Roster'!$KG$6:$KG$206,"*DRV-IN*")+COUNTIF('INPUT - Roster'!$KG$6:$KG$206,"*DRIVE IN*")+COUNTIF('INPUT - Roster'!$KG$6:$KG$206,"DI *")</f>
        <v/>
      </c>
      <c r="JR30" s="170">
        <f>COUNTIF('INPUT - Roster'!$KH$6:$KH$206,"*DRV-IN*")+COUNTIF('INPUT - Roster'!$KH$6:$KH$206,"*DRIVE IN*")+COUNTIF('INPUT - Roster'!$KH$6:$KH$206,"DI *")</f>
        <v/>
      </c>
      <c r="JS30" s="170">
        <f>COUNTIF('INPUT - Roster'!$KI$6:$KI$206,"*DRV-IN*")+COUNTIF('INPUT - Roster'!$KI$6:$KI$206,"*DRIVE IN*")+COUNTIF('INPUT - Roster'!$KI$6:$KI$206,"DI *")</f>
        <v/>
      </c>
      <c r="JT30" s="170">
        <f>COUNTIF('INPUT - Roster'!$KJ$6:$KJ$206,"*DRV-IN*")+COUNTIF('INPUT - Roster'!$KJ$6:$KJ$206,"*DRIVE IN*")+COUNTIF('INPUT - Roster'!$KJ$6:$KJ$206,"DI *")</f>
        <v/>
      </c>
      <c r="JU30" s="170">
        <f>COUNTIF('INPUT - Roster'!$KK$6:$KK$206,"*DRV-IN*")+COUNTIF('INPUT - Roster'!$KK$6:$KK$206,"*DRIVE IN*")+COUNTIF('INPUT - Roster'!$KK$6:$KK$206,"DI *")</f>
        <v/>
      </c>
      <c r="JV30" s="170">
        <f>COUNTIF('INPUT - Roster'!$KL$6:$KL$206,"*DRV-IN*")+COUNTIF('INPUT - Roster'!$KL$6:$KL$206,"*DRIVE IN*")+COUNTIF('INPUT - Roster'!$KL$6:$KL$206,"DI *")</f>
        <v/>
      </c>
      <c r="JW30" s="170">
        <f>COUNTIF('INPUT - Roster'!$KM$6:$KM$206,"*DRV-IN*")+COUNTIF('INPUT - Roster'!$KM$6:$KM$206,"*DRIVE IN*")+COUNTIF('INPUT - Roster'!$KM$6:$KM$206,"DI *")</f>
        <v/>
      </c>
      <c r="JX30" s="170">
        <f>COUNTIF('INPUT - Roster'!$KN$6:$KN$206,"*DRV-IN*")+COUNTIF('INPUT - Roster'!$KN$6:$KN$206,"*DRIVE IN*")+COUNTIF('INPUT - Roster'!$KN$6:$KN$206,"DI *")</f>
        <v/>
      </c>
      <c r="JY30" s="170">
        <f>COUNTIF('INPUT - Roster'!$KO$6:$KO$206,"*DRV-IN*")+COUNTIF('INPUT - Roster'!$KO$6:$KO$206,"*DRIVE IN*")+COUNTIF('INPUT - Roster'!$KO$6:$KO$206,"DI *")</f>
        <v/>
      </c>
      <c r="JZ30" s="170">
        <f>COUNTIF('INPUT - Roster'!$KP$6:$KP$206,"*DRV-IN*")+COUNTIF('INPUT - Roster'!$KP$6:$KP$206,"*DRIVE IN*")+COUNTIF('INPUT - Roster'!$KP$6:$KP$206,"DI *")</f>
        <v/>
      </c>
      <c r="KA30" s="170">
        <f>COUNTIF('INPUT - Roster'!$KQ$6:$KQ$206,"*DRV-IN*")+COUNTIF('INPUT - Roster'!$KQ$6:$KQ$206,"*DRIVE IN*")+COUNTIF('INPUT - Roster'!$KQ$6:$KQ$206,"DI *")</f>
        <v/>
      </c>
      <c r="KB30" s="170">
        <f>COUNTIF('INPUT - Roster'!$KR$6:$KR$206,"*DRV-IN*")+COUNTIF('INPUT - Roster'!$KR$6:$KR$206,"*DRIVE IN*")+COUNTIF('INPUT - Roster'!$KR$6:$KR$206,"DI *")</f>
        <v/>
      </c>
      <c r="KC30" s="170">
        <f>COUNTIF('INPUT - Roster'!$KS$6:$KS$206,"*DRV-IN*")+COUNTIF('INPUT - Roster'!$KS$6:$KS$206,"*DRIVE IN*")+COUNTIF('INPUT - Roster'!$KS$6:$KS$206,"DI *")</f>
        <v/>
      </c>
      <c r="KD30" s="170">
        <f>COUNTIF('INPUT - Roster'!$KT$6:$KT$206,"*DRV-IN*")+COUNTIF('INPUT - Roster'!$KT$6:$KT$206,"*DRIVE IN*")+COUNTIF('INPUT - Roster'!$KT$6:$KT$206,"DI *")</f>
        <v/>
      </c>
      <c r="KE30" s="170">
        <f>COUNTIF('INPUT - Roster'!$KU$6:$KU$206,"*DRV-IN*")+COUNTIF('INPUT - Roster'!$KU$6:$KU$206,"*DRIVE IN*")+COUNTIF('INPUT - Roster'!$KU$6:$KU$206,"DI *")</f>
        <v/>
      </c>
      <c r="KF30" s="170">
        <f>COUNTIF('INPUT - Roster'!$KV$6:$KV$206,"*DRV-IN*")+COUNTIF('INPUT - Roster'!$KV$6:$KV$206,"*DRIVE IN*")+COUNTIF('INPUT - Roster'!$KV$6:$KV$206,"DI *")</f>
        <v/>
      </c>
      <c r="KG30" s="170">
        <f>COUNTIF('INPUT - Roster'!$KW$6:$KW$206,"*DRV-IN*")+COUNTIF('INPUT - Roster'!$KW$6:$KW$206,"*DRIVE IN*")+COUNTIF('INPUT - Roster'!$KW$6:$KW$206,"DI *")</f>
        <v/>
      </c>
      <c r="KH30" s="170">
        <f>COUNTIF('INPUT - Roster'!$KX$6:$KX$206,"*DRV-IN*")+COUNTIF('INPUT - Roster'!$KX$6:$KX$206,"*DRIVE IN*")+COUNTIF('INPUT - Roster'!$KX$6:$KX$206,"DI *")</f>
        <v/>
      </c>
      <c r="KI30" s="170">
        <f>COUNTIF('INPUT - Roster'!$KY$6:$KY$206,"*DRV-IN*")+COUNTIF('INPUT - Roster'!$KY$6:$KY$206,"*DRIVE IN*")+COUNTIF('INPUT - Roster'!$KY$6:$KY$206,"DI *")</f>
        <v/>
      </c>
      <c r="KJ30" s="170">
        <f>COUNTIF('INPUT - Roster'!$KZ$6:$KZ$206,"*DRV-IN*")+COUNTIF('INPUT - Roster'!$KZ$6:$KZ$206,"*DRIVE IN*")+COUNTIF('INPUT - Roster'!$KZ$6:$KZ$206,"DI *")</f>
        <v/>
      </c>
      <c r="KK30" s="170">
        <f>COUNTIF('INPUT - Roster'!$LA$6:$LA$206,"*DRV-IN*")+COUNTIF('INPUT - Roster'!$LA$6:$LA$206,"*DRIVE IN*")+COUNTIF('INPUT - Roster'!$LA$6:$LA$206,"DI *")</f>
        <v/>
      </c>
      <c r="KL30" s="170">
        <f>COUNTIF('INPUT - Roster'!$LB$6:$LB$206,"*DRV-IN*")+COUNTIF('INPUT - Roster'!$LB$6:$LB$206,"*DRIVE IN*")+COUNTIF('INPUT - Roster'!$LB$6:$LB$206,"DI *")</f>
        <v/>
      </c>
      <c r="KM30" s="170">
        <f>COUNTIF('INPUT - Roster'!$LC$6:$LC$206,"*DRV-IN*")+COUNTIF('INPUT - Roster'!$LC$6:$LC$206,"*DRIVE IN*")+COUNTIF('INPUT - Roster'!$LC$6:$LC$206,"DI *")</f>
        <v/>
      </c>
      <c r="KN30" s="170">
        <f>COUNTIF('INPUT - Roster'!$LD$6:$LD$206,"*DRV-IN*")+COUNTIF('INPUT - Roster'!$LD$6:$LD$206,"*DRIVE IN*")+COUNTIF('INPUT - Roster'!$LD$6:$LD$206,"DI *")</f>
        <v/>
      </c>
      <c r="KO30" s="170">
        <f>COUNTIF('INPUT - Roster'!$LE$6:$LE$206,"*DRV-IN*")+COUNTIF('INPUT - Roster'!$LE$6:$LE$206,"*DRIVE IN*")+COUNTIF('INPUT - Roster'!$LE$6:$LE$206,"DI *")</f>
        <v/>
      </c>
      <c r="KP30" s="170">
        <f>COUNTIF('INPUT - Roster'!$LF$6:$LF$206,"*DRV-IN*")+COUNTIF('INPUT - Roster'!$LF$6:$LF$206,"*DRIVE IN*")+COUNTIF('INPUT - Roster'!$LF$6:$LF$206,"DI *")</f>
        <v/>
      </c>
      <c r="KQ30" s="170">
        <f>COUNTIF('INPUT - Roster'!$LG$6:$LG$206,"*DRV-IN*")+COUNTIF('INPUT - Roster'!$LG$6:$LG$206,"*DRIVE IN*")+COUNTIF('INPUT - Roster'!$LG$6:$LG$206,"DI *")</f>
        <v/>
      </c>
      <c r="KR30" s="170">
        <f>COUNTIF('INPUT - Roster'!$LH$6:$LH$206,"*DRV-IN*")+COUNTIF('INPUT - Roster'!$LH$6:$LH$206,"*DRIVE IN*")+COUNTIF('INPUT - Roster'!$LH$6:$LH$206,"DI *")</f>
        <v/>
      </c>
      <c r="KS30" s="170">
        <f>COUNTIF('INPUT - Roster'!$LI$6:$LI$206,"*DRV-IN*")+COUNTIF('INPUT - Roster'!$LI$6:$LI$206,"*DRIVE IN*")+COUNTIF('INPUT - Roster'!$LI$6:$LI$206,"DI *")</f>
        <v/>
      </c>
      <c r="KT30" s="170">
        <f>COUNTIF('INPUT - Roster'!$LJ$6:$LJ$206,"*DRV-IN*")+COUNTIF('INPUT - Roster'!$LJ$6:$LJ$206,"*DRIVE IN*")+COUNTIF('INPUT - Roster'!$LJ$6:$LJ$206,"DI *")</f>
        <v/>
      </c>
      <c r="KU30" s="170">
        <f>COUNTIF('INPUT - Roster'!$LK$6:$LK$206,"*DRV-IN*")+COUNTIF('INPUT - Roster'!$LK$6:$LK$206,"*DRIVE IN*")+COUNTIF('INPUT - Roster'!$LK$6:$LK$206,"DI *")</f>
        <v/>
      </c>
      <c r="KV30" s="170">
        <f>COUNTIF('INPUT - Roster'!$LL$6:$LL$206,"*DRV-IN*")+COUNTIF('INPUT - Roster'!$LL$6:$LL$206,"*DRIVE IN*")+COUNTIF('INPUT - Roster'!$LL$6:$LL$206,"DI *")</f>
        <v/>
      </c>
      <c r="KW30" s="170">
        <f>COUNTIF('INPUT - Roster'!$LM$6:$LM$206,"*DRV-IN*")+COUNTIF('INPUT - Roster'!$LM$6:$LM$206,"*DRIVE IN*")+COUNTIF('INPUT - Roster'!$LM$6:$LM$206,"DI *")</f>
        <v/>
      </c>
      <c r="KX30" s="170">
        <f>COUNTIF('INPUT - Roster'!$LN$6:$LN$206,"*DRV-IN*")+COUNTIF('INPUT - Roster'!$LN$6:$LN$206,"*DRIVE IN*")+COUNTIF('INPUT - Roster'!$LN$6:$LN$206,"DI *")</f>
        <v/>
      </c>
      <c r="KY30" s="170">
        <f>COUNTIF('INPUT - Roster'!$LO$6:$LO$206,"*DRV-IN*")+COUNTIF('INPUT - Roster'!$LO$6:$LO$206,"*DRIVE IN*")+COUNTIF('INPUT - Roster'!$LO$6:$LO$206,"DI *")</f>
        <v/>
      </c>
      <c r="KZ30" s="170">
        <f>COUNTIF('INPUT - Roster'!$LP$6:$LP$206,"*DRV-IN*")+COUNTIF('INPUT - Roster'!$LP$6:$LP$206,"*DRIVE IN*")+COUNTIF('INPUT - Roster'!$LP$6:$LP$206,"DI *")</f>
        <v/>
      </c>
      <c r="LA30" s="170">
        <f>COUNTIF('INPUT - Roster'!$LQ$6:$LQ$206,"*DRV-IN*")+COUNTIF('INPUT - Roster'!$LQ$6:$LQ$206,"*DRIVE IN*")+COUNTIF('INPUT - Roster'!$LQ$6:$LQ$206,"DI *")</f>
        <v/>
      </c>
      <c r="LB30" s="170">
        <f>COUNTIF('INPUT - Roster'!$LR$6:$LR$206,"*DRV-IN*")+COUNTIF('INPUT - Roster'!$LR$6:$LR$206,"*DRIVE IN*")+COUNTIF('INPUT - Roster'!$LR$6:$LR$206,"DI *")</f>
        <v/>
      </c>
      <c r="LC30" s="170">
        <f>COUNTIF('INPUT - Roster'!$LS$6:$LS$206,"*DRV-IN*")+COUNTIF('INPUT - Roster'!$LS$6:$LS$206,"*DRIVE IN*")+COUNTIF('INPUT - Roster'!$LS$6:$LS$206,"DI *")</f>
        <v/>
      </c>
      <c r="LD30" s="170">
        <f>COUNTIF('INPUT - Roster'!$LT$6:$LT$206,"*DRV-IN*")+COUNTIF('INPUT - Roster'!$LT$6:$LT$206,"*DRIVE IN*")+COUNTIF('INPUT - Roster'!$LT$6:$LT$206,"DI *")</f>
        <v/>
      </c>
      <c r="LE30" s="170">
        <f>COUNTIF('INPUT - Roster'!$LU$6:$LU$206,"*DRV-IN*")+COUNTIF('INPUT - Roster'!$LU$6:$LU$206,"*DRIVE IN*")+COUNTIF('INPUT - Roster'!$LU$6:$LU$206,"DI *")</f>
        <v/>
      </c>
      <c r="LF30" s="170">
        <f>COUNTIF('INPUT - Roster'!$LV$6:$LV$206,"*DRV-IN*")+COUNTIF('INPUT - Roster'!$LV$6:$LV$206,"*DRIVE IN*")+COUNTIF('INPUT - Roster'!$LV$6:$LV$206,"DI *")</f>
        <v/>
      </c>
      <c r="LG30" s="170">
        <f>COUNTIF('INPUT - Roster'!$LW$6:$LW$206,"*DRV-IN*")+COUNTIF('INPUT - Roster'!$LW$6:$LW$206,"*DRIVE IN*")+COUNTIF('INPUT - Roster'!$LW$6:$LW$206,"DI *")</f>
        <v/>
      </c>
      <c r="LH30" s="170">
        <f>COUNTIF('INPUT - Roster'!$LX$6:$LX$206,"*DRV-IN*")+COUNTIF('INPUT - Roster'!$LX$6:$LX$206,"*DRIVE IN*")+COUNTIF('INPUT - Roster'!$LX$6:$LX$206,"DI *")</f>
        <v/>
      </c>
      <c r="LI30" s="170">
        <f>COUNTIF('INPUT - Roster'!$LY$6:$LY$206,"*DRV-IN*")+COUNTIF('INPUT - Roster'!$LY$6:$LY$206,"*DRIVE IN*")+COUNTIF('INPUT - Roster'!$LY$6:$LY$206,"DI *")</f>
        <v/>
      </c>
      <c r="LJ30" s="170">
        <f>COUNTIF('INPUT - Roster'!$LZ$6:$LZ$206,"*DRV-IN*")+COUNTIF('INPUT - Roster'!$LZ$6:$LZ$206,"*DRIVE IN*")+COUNTIF('INPUT - Roster'!$LZ$6:$LZ$206,"DI *")</f>
        <v/>
      </c>
      <c r="LK30" s="170">
        <f>COUNTIF('INPUT - Roster'!$MA$6:$MA$206,"*DRV-IN*")+COUNTIF('INPUT - Roster'!$MA$6:$MA$206,"*DRIVE IN*")+COUNTIF('INPUT - Roster'!$MA$6:$MA$206,"DI *")</f>
        <v/>
      </c>
      <c r="LL30" s="170">
        <f>COUNTIF('INPUT - Roster'!$MB$6:$MB$206,"*DRV-IN*")+COUNTIF('INPUT - Roster'!$MB$6:$MB$206,"*DRIVE IN*")+COUNTIF('INPUT - Roster'!$MB$6:$MB$206,"DI *")</f>
        <v/>
      </c>
      <c r="LM30" s="170">
        <f>COUNTIF('INPUT - Roster'!$MC$6:$MC$206,"*DRV-IN*")+COUNTIF('INPUT - Roster'!$MC$6:$MC$206,"*DRIVE IN*")+COUNTIF('INPUT - Roster'!$MC$6:$MC$206,"DI *")</f>
        <v/>
      </c>
      <c r="LN30" s="170">
        <f>COUNTIF('INPUT - Roster'!$MD$6:$MD$206,"*DRV-IN*")+COUNTIF('INPUT - Roster'!$MD$6:$MD$206,"*DRIVE IN*")+COUNTIF('INPUT - Roster'!$MD$6:$MD$206,"DI *")</f>
        <v/>
      </c>
      <c r="LO30" s="170">
        <f>COUNTIF('INPUT - Roster'!$ME$6:$ME$206,"*DRV-IN*")+COUNTIF('INPUT - Roster'!$ME$6:$ME$206,"*DRIVE IN*")+COUNTIF('INPUT - Roster'!$ME$6:$ME$206,"DI *")</f>
        <v/>
      </c>
      <c r="LP30" s="170">
        <f>COUNTIF('INPUT - Roster'!$MF$6:$MF$206,"*DRV-IN*")+COUNTIF('INPUT - Roster'!$MF$6:$MF$206,"*DRIVE IN*")+COUNTIF('INPUT - Roster'!$MF$6:$MF$206,"DI *")</f>
        <v/>
      </c>
      <c r="LQ30" s="170">
        <f>COUNTIF('INPUT - Roster'!$MG$6:$MG$206,"*DRV-IN*")+COUNTIF('INPUT - Roster'!$MG$6:$MG$206,"*DRIVE IN*")+COUNTIF('INPUT - Roster'!$MG$6:$MG$206,"DI *")</f>
        <v/>
      </c>
      <c r="LR30" s="170">
        <f>COUNTIF('INPUT - Roster'!$MH$6:$MH$206,"*DRV-IN*")+COUNTIF('INPUT - Roster'!$MH$6:$MH$206,"*DRIVE IN*")+COUNTIF('INPUT - Roster'!$MH$6:$MH$206,"DI *")</f>
        <v/>
      </c>
      <c r="LS30" s="170">
        <f>COUNTIF('INPUT - Roster'!$MI$6:$MI$206,"*DRV-IN*")+COUNTIF('INPUT - Roster'!$MI$6:$MI$206,"*DRIVE IN*")+COUNTIF('INPUT - Roster'!$MI$6:$MI$206,"DI *")</f>
        <v/>
      </c>
      <c r="LT30" s="170">
        <f>COUNTIF('INPUT - Roster'!$MJ$6:$MJ$206,"*DRV-IN*")+COUNTIF('INPUT - Roster'!$MJ$6:$MJ$206,"*DRIVE IN*")+COUNTIF('INPUT - Roster'!$MJ$6:$MJ$206,"DI *")</f>
        <v/>
      </c>
      <c r="LU30" s="170">
        <f>COUNTIF('INPUT - Roster'!$MK$6:$MK$206,"*DRV-IN*")+COUNTIF('INPUT - Roster'!$MK$6:$MK$206,"*DRIVE IN*")+COUNTIF('INPUT - Roster'!$MK$6:$MK$206,"DI *")</f>
        <v/>
      </c>
      <c r="LV30" s="170">
        <f>COUNTIF('INPUT - Roster'!$ML$6:$ML$206,"*DRV-IN*")+COUNTIF('INPUT - Roster'!$ML$6:$ML$206,"*DRIVE IN*")+COUNTIF('INPUT - Roster'!$ML$6:$ML$206,"DI *")</f>
        <v/>
      </c>
      <c r="LW30" s="170">
        <f>COUNTIF('INPUT - Roster'!$MM$6:$MM$206,"*DRV-IN*")+COUNTIF('INPUT - Roster'!$MM$6:$MM$206,"*DRIVE IN*")+COUNTIF('INPUT - Roster'!$MM$6:$MM$206,"DI *")</f>
        <v/>
      </c>
      <c r="LX30" s="170">
        <f>COUNTIF('INPUT - Roster'!$MN$6:$MN$206,"*DRV-IN*")+COUNTIF('INPUT - Roster'!$MN$6:$MN$206,"*DRIVE IN*")+COUNTIF('INPUT - Roster'!$MN$6:$MN$206,"DI *")</f>
        <v/>
      </c>
      <c r="LY30" s="170">
        <f>COUNTIF('INPUT - Roster'!$MO$6:$MO$206,"*DRV-IN*")+COUNTIF('INPUT - Roster'!$MO$6:$MO$206,"*DRIVE IN*")+COUNTIF('INPUT - Roster'!$MO$6:$MO$206,"DI *")</f>
        <v/>
      </c>
      <c r="LZ30" s="170">
        <f>COUNTIF('INPUT - Roster'!$MP$6:$MP$206,"*DRV-IN*")+COUNTIF('INPUT - Roster'!$MP$6:$MP$206,"*DRIVE IN*")+COUNTIF('INPUT - Roster'!$MP$6:$MP$206,"DI *")</f>
        <v/>
      </c>
      <c r="MA30" s="170">
        <f>COUNTIF('INPUT - Roster'!$MQ$6:$MQ$206,"*DRV-IN*")+COUNTIF('INPUT - Roster'!$MQ$6:$MQ$206,"*DRIVE IN*")+COUNTIF('INPUT - Roster'!$MQ$6:$MQ$206,"DI *")</f>
        <v/>
      </c>
      <c r="MB30" s="170">
        <f>COUNTIF('INPUT - Roster'!$MR$6:$MR$206,"*DRV-IN*")+COUNTIF('INPUT - Roster'!$MR$6:$MR$206,"*DRIVE IN*")+COUNTIF('INPUT - Roster'!$MR$6:$MR$206,"DI *")</f>
        <v/>
      </c>
      <c r="MC30" s="170">
        <f>COUNTIF('INPUT - Roster'!$MS$6:$MS$206,"*DRV-IN*")+COUNTIF('INPUT - Roster'!$MS$6:$MS$206,"*DRIVE IN*")+COUNTIF('INPUT - Roster'!$MS$6:$MS$206,"DI *")</f>
        <v/>
      </c>
      <c r="MD30" s="170">
        <f>COUNTIF('INPUT - Roster'!$MT$6:$MT$206,"*DRV-IN*")+COUNTIF('INPUT - Roster'!$MT$6:$MT$206,"*DRIVE IN*")+COUNTIF('INPUT - Roster'!$MT$6:$MT$206,"DI *")</f>
        <v/>
      </c>
      <c r="ME30" s="170">
        <f>COUNTIF('INPUT - Roster'!$MU$6:$MU$206,"*DRV-IN*")+COUNTIF('INPUT - Roster'!$MU$6:$MU$206,"*DRIVE IN*")+COUNTIF('INPUT - Roster'!$MU$6:$MU$206,"DI *")</f>
        <v/>
      </c>
      <c r="MF30" s="170">
        <f>COUNTIF('INPUT - Roster'!$MV$6:$MV$206,"*DRV-IN*")+COUNTIF('INPUT - Roster'!$MV$6:$MV$206,"*DRIVE IN*")+COUNTIF('INPUT - Roster'!$MV$6:$MV$206,"DI *")</f>
        <v/>
      </c>
      <c r="MG30" s="170">
        <f>COUNTIF('INPUT - Roster'!$MW$6:$MW$206,"*DRV-IN*")+COUNTIF('INPUT - Roster'!$MW$6:$MW$206,"*DRIVE IN*")+COUNTIF('INPUT - Roster'!$MW$6:$MW$206,"DI *")</f>
        <v/>
      </c>
      <c r="MH30" s="170">
        <f>COUNTIF('INPUT - Roster'!$MX$6:$MX$206,"*DRV-IN*")+COUNTIF('INPUT - Roster'!$MX$6:$MX$206,"*DRIVE IN*")+COUNTIF('INPUT - Roster'!$MX$6:$MX$206,"DI *")</f>
        <v/>
      </c>
      <c r="MI30" s="170">
        <f>COUNTIF('INPUT - Roster'!$MY$6:$MY$206,"*DRV-IN*")+COUNTIF('INPUT - Roster'!$MY$6:$MY$206,"*DRIVE IN*")+COUNTIF('INPUT - Roster'!$MY$6:$MY$206,"DI *")</f>
        <v/>
      </c>
      <c r="MJ30" s="170">
        <f>COUNTIF('INPUT - Roster'!$MZ$6:$MZ$206,"*DRV-IN*")+COUNTIF('INPUT - Roster'!$MZ$6:$MZ$206,"*DRIVE IN*")+COUNTIF('INPUT - Roster'!$MZ$6:$MZ$206,"DI *")</f>
        <v/>
      </c>
      <c r="MK30" s="170">
        <f>COUNTIF('INPUT - Roster'!$NA$6:$NA$206,"*DRV-IN*")+COUNTIF('INPUT - Roster'!$NA$6:$NA$206,"*DRIVE IN*")+COUNTIF('INPUT - Roster'!$NA$6:$NA$206,"DI *")</f>
        <v/>
      </c>
      <c r="ML30" s="170">
        <f>COUNTIF('INPUT - Roster'!$NB$6:$NB$206,"*DRV-IN*")+COUNTIF('INPUT - Roster'!$NB$6:$NB$206,"*DRIVE IN*")+COUNTIF('INPUT - Roster'!$NB$6:$NB$206,"DI *")</f>
        <v/>
      </c>
      <c r="MM30" s="170">
        <f>COUNTIF('INPUT - Roster'!$NC$6:$NC$206,"*DRV-IN*")+COUNTIF('INPUT - Roster'!$NC$6:$NC$206,"*DRIVE IN*")+COUNTIF('INPUT - Roster'!$NC$6:$NC$206,"DI *")</f>
        <v/>
      </c>
      <c r="MN30" s="170">
        <f>COUNTIF('INPUT - Roster'!$ND$6:$ND$206,"*DRV-IN*")+COUNTIF('INPUT - Roster'!$ND$6:$ND$206,"*DRIVE IN*")+COUNTIF('INPUT - Roster'!$ND$6:$ND$206,"DI *")</f>
        <v/>
      </c>
      <c r="MO30" s="170">
        <f>COUNTIF('INPUT - Roster'!$NE$6:$NE$206,"*DRV-IN*")+COUNTIF('INPUT - Roster'!$NE$6:$NE$206,"*DRIVE IN*")+COUNTIF('INPUT - Roster'!$NE$6:$NE$206,"DI *")</f>
        <v/>
      </c>
      <c r="MP30" s="170">
        <f>COUNTIF('INPUT - Roster'!$NF$6:$NF$206,"*DRV-IN*")+COUNTIF('INPUT - Roster'!$NF$6:$NF$206,"*DRIVE IN*")+COUNTIF('INPUT - Roster'!$NF$6:$NF$206,"DI *")</f>
        <v/>
      </c>
      <c r="MQ30" s="170">
        <f>COUNTIF('INPUT - Roster'!$NG$6:$NG$206,"*DRV-IN*")+COUNTIF('INPUT - Roster'!$NG$6:$NG$206,"*DRIVE IN*")+COUNTIF('INPUT - Roster'!$NG$6:$NG$206,"DI *")</f>
        <v/>
      </c>
      <c r="MR30" s="170">
        <f>COUNTIF('INPUT - Roster'!$NH$6:$NH$206,"*DRV-IN*")+COUNTIF('INPUT - Roster'!$NH$6:$NH$206,"*DRIVE IN*")+COUNTIF('INPUT - Roster'!$NH$6:$NH$206,"DI *")</f>
        <v/>
      </c>
      <c r="MS30" s="170">
        <f>COUNTIF('INPUT - Roster'!$NI$6:$NI$206,"*DRV-IN*")+COUNTIF('INPUT - Roster'!$NI$6:$NI$206,"*DRIVE IN*")+COUNTIF('INPUT - Roster'!$NI$6:$NI$206,"DI *")</f>
        <v/>
      </c>
      <c r="MT30" s="170">
        <f>COUNTIF('INPUT - Roster'!$NJ$6:$NJ$206,"*DRV-IN*")+COUNTIF('INPUT - Roster'!$NJ$6:$NJ$206,"*DRIVE IN*")+COUNTIF('INPUT - Roster'!$NJ$6:$NJ$206,"DI *")</f>
        <v/>
      </c>
      <c r="MU30" s="170">
        <f>COUNTIF('INPUT - Roster'!$NK$6:$NK$206,"*DRV-IN*")+COUNTIF('INPUT - Roster'!$NK$6:$NK$206,"*DRIVE IN*")+COUNTIF('INPUT - Roster'!$NK$6:$NK$206,"DI *")</f>
        <v/>
      </c>
      <c r="MV30" s="170">
        <f>COUNTIF('INPUT - Roster'!$NL$6:$NL$206,"*DRV-IN*")+COUNTIF('INPUT - Roster'!$NL$6:$NL$206,"*DRIVE IN*")+COUNTIF('INPUT - Roster'!$NL$6:$NL$206,"DI *")</f>
        <v/>
      </c>
      <c r="MW30" s="170">
        <f>COUNTIF('INPUT - Roster'!$NM$6:$NM$206,"*DRV-IN*")+COUNTIF('INPUT - Roster'!$NM$6:$NM$206,"*DRIVE IN*")+COUNTIF('INPUT - Roster'!$NM$6:$NM$206,"DI *")</f>
        <v/>
      </c>
      <c r="MX30" s="170">
        <f>COUNTIF('INPUT - Roster'!$NN$6:$NN$206,"*DRV-IN*")+COUNTIF('INPUT - Roster'!$NN$6:$NN$206,"*DRIVE IN*")+COUNTIF('INPUT - Roster'!$NN$6:$NN$206,"DI *")</f>
        <v/>
      </c>
      <c r="MY30" s="170">
        <f>COUNTIF('INPUT - Roster'!$NO$6:$NO$206,"*DRV-IN*")+COUNTIF('INPUT - Roster'!$NO$6:$NO$206,"*DRIVE IN*")+COUNTIF('INPUT - Roster'!$NO$6:$NO$206,"DI *")</f>
        <v/>
      </c>
      <c r="MZ30" s="170">
        <f>COUNTIF('INPUT - Roster'!$NP$6:$NP$206,"*DRV-IN*")+COUNTIF('INPUT - Roster'!$NP$6:$NP$206,"*DRIVE IN*")+COUNTIF('INPUT - Roster'!$NP$6:$NP$206,"DI *")</f>
        <v/>
      </c>
      <c r="NA30" s="170">
        <f>COUNTIF('INPUT - Roster'!$NQ$6:$NQ$206,"*DRV-IN*")+COUNTIF('INPUT - Roster'!$NQ$6:$NQ$206,"*DRIVE IN*")+COUNTIF('INPUT - Roster'!$NQ$6:$NQ$206,"DI *")</f>
        <v/>
      </c>
      <c r="NB30" s="170">
        <f>COUNTIF('INPUT - Roster'!$NR$6:$NR$206,"*DRV-IN*")+COUNTIF('INPUT - Roster'!$NR$6:$NR$206,"*DRIVE IN*")+COUNTIF('INPUT - Roster'!$NR$6:$NR$206,"DI *")</f>
        <v/>
      </c>
      <c r="NC30" s="170">
        <f>COUNTIF('INPUT - Roster'!$NS$6:$NS$206,"*DRV-IN*")+COUNTIF('INPUT - Roster'!$NS$6:$NS$206,"*DRIVE IN*")+COUNTIF('INPUT - Roster'!$NS$6:$NS$206,"DI *")</f>
        <v/>
      </c>
      <c r="ND30" s="170">
        <f>COUNTIF('INPUT - Roster'!$NT$6:$NT$206,"*DRV-IN*")+COUNTIF('INPUT - Roster'!$NT$6:$NT$206,"*DRIVE IN*")+COUNTIF('INPUT - Roster'!$NT$6:$NT$206,"DI *")</f>
        <v/>
      </c>
      <c r="NE30" s="170">
        <f>COUNTIF('INPUT - Roster'!$NU$6:$NU$206,"*DRV-IN*")+COUNTIF('INPUT - Roster'!$NU$6:$NU$206,"*DRIVE IN*")+COUNTIF('INPUT - Roster'!$NU$6:$NU$206,"DI *")</f>
        <v/>
      </c>
      <c r="NF30" s="170">
        <f>COUNTIF('INPUT - Roster'!$NV$6:$NV$206,"*DRV-IN*")+COUNTIF('INPUT - Roster'!$NV$6:$NV$206,"*DRIVE IN*")+COUNTIF('INPUT - Roster'!$NV$6:$NV$206,"DI *")</f>
        <v/>
      </c>
      <c r="NG30" s="170">
        <f>COUNTIF('INPUT - Roster'!$NW$6:$NW$206,"*DRV-IN*")+COUNTIF('INPUT - Roster'!$NW$6:$NW$206,"*DRIVE IN*")+COUNTIF('INPUT - Roster'!$NW$6:$NW$206,"DI *")</f>
        <v/>
      </c>
      <c r="NH30" s="170">
        <f>COUNTIF('INPUT - Roster'!$NX$6:$NX$206,"*DRV-IN*")+COUNTIF('INPUT - Roster'!$NX$6:$NX$206,"*DRIVE IN*")+COUNTIF('INPUT - Roster'!$NX$6:$NX$206,"DI *")</f>
        <v/>
      </c>
      <c r="NI30" s="170">
        <f>COUNTIF('INPUT - Roster'!$NY$6:$NY$206,"*DRV-IN*")+COUNTIF('INPUT - Roster'!$NY$6:$NY$206,"*DRIVE IN*")+COUNTIF('INPUT - Roster'!$NY$6:$NY$206,"DI *")</f>
        <v/>
      </c>
      <c r="NJ30" s="170">
        <f>COUNTIF('INPUT - Roster'!$NZ$6:$NZ$206,"*DRV-IN*")+COUNTIF('INPUT - Roster'!$NZ$6:$NZ$206,"*DRIVE IN*")+COUNTIF('INPUT - Roster'!$NZ$6:$NZ$206,"DI *")</f>
        <v/>
      </c>
      <c r="NK30" s="170">
        <f>COUNTIF('INPUT - Roster'!$OA$6:$OA$206,"*DRV-IN*")+COUNTIF('INPUT - Roster'!$OA$6:$OA$206,"*DRIVE IN*")+COUNTIF('INPUT - Roster'!$OA$6:$OA$206,"DI *")</f>
        <v/>
      </c>
      <c r="NL30" s="170">
        <f>COUNTIF('INPUT - Roster'!$OB$6:$OB$206,"*DRV-IN*")+COUNTIF('INPUT - Roster'!$OB$6:$OB$206,"*DRIVE IN*")+COUNTIF('INPUT - Roster'!$OB$6:$OB$206,"DI *")</f>
        <v/>
      </c>
      <c r="NM30" s="170">
        <f>COUNTIF('INPUT - Roster'!$OC$6:$OC$206,"*DRV-IN*")+COUNTIF('INPUT - Roster'!$OC$6:$OC$206,"*DRIVE IN*")+COUNTIF('INPUT - Roster'!$OC$6:$OC$206,"DI *")</f>
        <v/>
      </c>
      <c r="NN30" s="170">
        <f>COUNTIF('INPUT - Roster'!$OD$6:$OD$206,"*DRV-IN*")+COUNTIF('INPUT - Roster'!$OD$6:$OD$206,"*DRIVE IN*")+COUNTIF('INPUT - Roster'!$OD$6:$OD$206,"DI *")</f>
        <v/>
      </c>
      <c r="NO30" s="170">
        <f>COUNTIF('INPUT - Roster'!$OE$6:$OE$206,"*DRV-IN*")+COUNTIF('INPUT - Roster'!$OE$6:$OE$206,"*DRIVE IN*")+COUNTIF('INPUT - Roster'!$OE$6:$OE$206,"DI *")</f>
        <v/>
      </c>
      <c r="NP30" s="170">
        <f>COUNTIF('INPUT - Roster'!$OF$6:$OF$206,"*DRV-IN*")+COUNTIF('INPUT - Roster'!$OF$6:$OF$206,"*DRIVE IN*")+COUNTIF('INPUT - Roster'!$OF$6:$OF$206,"DI *")</f>
        <v/>
      </c>
      <c r="NQ30" s="170">
        <f>COUNTIF('INPUT - Roster'!$OG$6:$OG$206,"*DRV-IN*")+COUNTIF('INPUT - Roster'!$OG$6:$OG$206,"*DRIVE IN*")+COUNTIF('INPUT - Roster'!$OG$6:$OG$206,"DI *")</f>
        <v/>
      </c>
      <c r="NR30" s="170">
        <f>COUNTIF('INPUT - Roster'!$OH$6:$OH$206,"*DRV-IN*")+COUNTIF('INPUT - Roster'!$OH$6:$OH$206,"*DRIVE IN*")+COUNTIF('INPUT - Roster'!$OH$6:$OH$206,"DI *")</f>
        <v/>
      </c>
      <c r="NS30" s="170">
        <f>COUNTIF('INPUT - Roster'!$OI$6:$OI$206,"*DRV-IN*")+COUNTIF('INPUT - Roster'!$OI$6:$OI$206,"*DRIVE IN*")+COUNTIF('INPUT - Roster'!$OI$6:$OI$206,"DI *")</f>
        <v/>
      </c>
      <c r="NT30" s="170">
        <f>COUNTIF('INPUT - Roster'!$OJ$6:$OJ$206,"*DRV-IN*")+COUNTIF('INPUT - Roster'!$OJ$6:$OJ$206,"*DRIVE IN*")+COUNTIF('INPUT - Roster'!$OJ$6:$OJ$206,"DI *")</f>
        <v/>
      </c>
      <c r="NU30" s="170">
        <f>COUNTIF('INPUT - Roster'!$OK$6:$OK$206,"*DRV-IN*")+COUNTIF('INPUT - Roster'!$OK$6:$OK$206,"*DRIVE IN*")+COUNTIF('INPUT - Roster'!$OK$6:$OK$206,"DI *")</f>
        <v/>
      </c>
      <c r="NV30" s="170">
        <f>COUNTIF('INPUT - Roster'!$OL$6:$OL$206,"*DRV-IN*")+COUNTIF('INPUT - Roster'!$OL$6:$OL$206,"*DRIVE IN*")+COUNTIF('INPUT - Roster'!$OL$6:$OL$206,"DI *")</f>
        <v/>
      </c>
      <c r="NW30" s="170">
        <f>COUNTIF('INPUT - Roster'!$OM$6:$OM$206,"*DRV-IN*")+COUNTIF('INPUT - Roster'!$OM$6:$OM$206,"*DRIVE IN*")+COUNTIF('INPUT - Roster'!$OM$6:$OM$206,"DI *")</f>
        <v/>
      </c>
      <c r="NX30" s="170">
        <f>COUNTIF('INPUT - Roster'!$ON$6:$ON$206,"*DRV-IN*")+COUNTIF('INPUT - Roster'!$ON$6:$ON$206,"*DRIVE IN*")+COUNTIF('INPUT - Roster'!$ON$6:$ON$206,"DI *")</f>
        <v/>
      </c>
      <c r="NY30" s="170">
        <f>COUNTIF('INPUT - Roster'!$OO$6:$OO$206,"*DRV-IN*")+COUNTIF('INPUT - Roster'!$OO$6:$OO$206,"*DRIVE IN*")+COUNTIF('INPUT - Roster'!$OO$6:$OO$206,"DI *")</f>
        <v/>
      </c>
      <c r="NZ30" s="170">
        <f>COUNTIF('INPUT - Roster'!$OP$6:$OP$206,"*DRV-IN*")+COUNTIF('INPUT - Roster'!$OP$6:$OP$206,"*DRIVE IN*")+COUNTIF('INPUT - Roster'!$OP$6:$OP$206,"DI *")</f>
        <v/>
      </c>
      <c r="OA30" s="170">
        <f>COUNTIF('INPUT - Roster'!$OQ$6:$OQ$206,"*DRV-IN*")+COUNTIF('INPUT - Roster'!$OQ$6:$OQ$206,"*DRIVE IN*")+COUNTIF('INPUT - Roster'!$OQ$6:$OQ$206,"DI *")</f>
        <v/>
      </c>
      <c r="OB30" s="170">
        <f>COUNTIF('INPUT - Roster'!$OR$6:$OR$206,"*DRV-IN*")+COUNTIF('INPUT - Roster'!$OR$6:$OR$206,"*DRIVE IN*")+COUNTIF('INPUT - Roster'!$OR$6:$OR$206,"DI *")</f>
        <v/>
      </c>
      <c r="OC30" s="170">
        <f>COUNTIF('INPUT - Roster'!$OS$6:$OS$206,"*DRV-IN*")+COUNTIF('INPUT - Roster'!$OS$6:$OS$206,"*DRIVE IN*")+COUNTIF('INPUT - Roster'!$OS$6:$OS$206,"DI *")</f>
        <v/>
      </c>
      <c r="OD30" s="170">
        <f>COUNTIF('INPUT - Roster'!$OT$6:$OT$206,"*DRV-IN*")+COUNTIF('INPUT - Roster'!$OT$6:$OT$206,"*DRIVE IN*")+COUNTIF('INPUT - Roster'!$OT$6:$OT$206,"DI *")</f>
        <v/>
      </c>
      <c r="OE30" s="170">
        <f>COUNTIF('INPUT - Roster'!$OU$6:$OU$206,"*DRV-IN*")+COUNTIF('INPUT - Roster'!$OU$6:$OU$206,"*DRIVE IN*")+COUNTIF('INPUT - Roster'!$OU$6:$OU$206,"DI *")</f>
        <v/>
      </c>
      <c r="OF30" s="170">
        <f>COUNTIF('INPUT - Roster'!$OV$6:$OV$206,"*DRV-IN*")+COUNTIF('INPUT - Roster'!$OV$6:$OV$206,"*DRIVE IN*")+COUNTIF('INPUT - Roster'!$OV$6:$OV$206,"DI *")</f>
        <v/>
      </c>
      <c r="OG30" s="170">
        <f>COUNTIF('INPUT - Roster'!$OW$6:$OW$206,"*DRV-IN*")+COUNTIF('INPUT - Roster'!$OW$6:$OW$206,"*DRIVE IN*")+COUNTIF('INPUT - Roster'!$OW$6:$OW$206,"DI *")</f>
        <v/>
      </c>
      <c r="OH30" s="170">
        <f>COUNTIF('INPUT - Roster'!$OX$6:$OX$206,"*DRV-IN*")+COUNTIF('INPUT - Roster'!$OX$6:$OX$206,"*DRIVE IN*")+COUNTIF('INPUT - Roster'!$OX$6:$OX$206,"DI *")</f>
        <v/>
      </c>
      <c r="OI30" s="170">
        <f>COUNTIF('INPUT - Roster'!$OY$6:$OY$206,"*DRV-IN*")+COUNTIF('INPUT - Roster'!$OY$6:$OY$206,"*DRIVE IN*")+COUNTIF('INPUT - Roster'!$OY$6:$OY$206,"DI *")</f>
        <v/>
      </c>
      <c r="OJ30" s="170">
        <f>COUNTIF('INPUT - Roster'!$OZ$6:$OZ$206,"*DRV-IN*")+COUNTIF('INPUT - Roster'!$OZ$6:$OZ$206,"*DRIVE IN*")+COUNTIF('INPUT - Roster'!$OZ$6:$OZ$206,"DI *")</f>
        <v/>
      </c>
      <c r="OK30" s="170">
        <f>COUNTIF('INPUT - Roster'!$PA$6:$PA$206,"*DRV-IN*")+COUNTIF('INPUT - Roster'!$PA$6:$PA$206,"*DRIVE IN*")+COUNTIF('INPUT - Roster'!$PA$6:$PA$206,"DI *")</f>
        <v/>
      </c>
      <c r="OL30" s="170">
        <f>COUNTIF('INPUT - Roster'!$PB$6:$PB$206,"*DRV-IN*")+COUNTIF('INPUT - Roster'!$PB$6:$PB$206,"*DRIVE IN*")+COUNTIF('INPUT - Roster'!$PB$6:$PB$206,"DI *")</f>
        <v/>
      </c>
      <c r="OM30" s="170">
        <f>COUNTIF('INPUT - Roster'!$PC$6:$PC$206,"*DRV-IN*")+COUNTIF('INPUT - Roster'!$PC$6:$PC$206,"*DRIVE IN*")+COUNTIF('INPUT - Roster'!$PC$6:$PC$206,"DI *")</f>
        <v/>
      </c>
      <c r="ON30" s="170">
        <f>COUNTIF('INPUT - Roster'!$PD$6:$PD$206,"*DRV-IN*")+COUNTIF('INPUT - Roster'!$PD$6:$PD$206,"*DRIVE IN*")+COUNTIF('INPUT - Roster'!$PD$6:$PD$206,"DI *")</f>
        <v/>
      </c>
      <c r="OO30" s="170">
        <f>COUNTIF('INPUT - Roster'!$PE$6:$PE$206,"*DRV-IN*")+COUNTIF('INPUT - Roster'!$PE$6:$PE$206,"*DRIVE IN*")+COUNTIF('INPUT - Roster'!$PE$6:$PE$206,"DI *")</f>
        <v/>
      </c>
      <c r="OP30" s="170">
        <f>COUNTIF('INPUT - Roster'!$PF$6:$PF$206,"*DRV-IN*")+COUNTIF('INPUT - Roster'!$PF$6:$PF$206,"*DRIVE IN*")+COUNTIF('INPUT - Roster'!$PF$6:$PF$206,"DI *")</f>
        <v/>
      </c>
      <c r="OQ30" s="170">
        <f>COUNTIF('INPUT - Roster'!$PG$6:$PG$206,"*DRV-IN*")+COUNTIF('INPUT - Roster'!$PG$6:$PG$206,"*DRIVE IN*")+COUNTIF('INPUT - Roster'!$PG$6:$PG$206,"DI *")</f>
        <v/>
      </c>
      <c r="OR30" s="170">
        <f>COUNTIF('INPUT - Roster'!$PH$6:$PH$206,"*DRV-IN*")+COUNTIF('INPUT - Roster'!$PH$6:$PH$206,"*DRIVE IN*")+COUNTIF('INPUT - Roster'!$PH$6:$PH$206,"DI *")</f>
        <v/>
      </c>
      <c r="OS30" s="170">
        <f>COUNTIF('INPUT - Roster'!$PI$6:$PI$206,"*DRV-IN*")+COUNTIF('INPUT - Roster'!$PI$6:$PI$206,"*DRIVE IN*")+COUNTIF('INPUT - Roster'!$PI$6:$PI$206,"DI *")</f>
        <v/>
      </c>
      <c r="OT30" s="170">
        <f>COUNTIF('INPUT - Roster'!$PJ$6:$PJ$206,"*DRV-IN*")+COUNTIF('INPUT - Roster'!$PJ$6:$PJ$206,"*DRIVE IN*")+COUNTIF('INPUT - Roster'!$PJ$6:$PJ$206,"DI *")</f>
        <v/>
      </c>
      <c r="OU30" s="170">
        <f>COUNTIF('INPUT - Roster'!$PK$6:$PK$206,"*DRV-IN*")+COUNTIF('INPUT - Roster'!$PK$6:$PK$206,"*DRIVE IN*")+COUNTIF('INPUT - Roster'!$PK$6:$PK$206,"DI *")</f>
        <v/>
      </c>
      <c r="OV30" s="170">
        <f>COUNTIF('INPUT - Roster'!$PL$6:$PL$206,"*DRV-IN*")+COUNTIF('INPUT - Roster'!$PL$6:$PL$206,"*DRIVE IN*")+COUNTIF('INPUT - Roster'!$PL$6:$PL$206,"DI *")</f>
        <v/>
      </c>
      <c r="OW30" s="170">
        <f>COUNTIF('INPUT - Roster'!$PM$6:$PM$206,"*DRV-IN*")+COUNTIF('INPUT - Roster'!$PM$6:$PM$206,"*DRIVE IN*")+COUNTIF('INPUT - Roster'!$PM$6:$PM$206,"DI *")</f>
        <v/>
      </c>
      <c r="OX30" s="170">
        <f>COUNTIF('INPUT - Roster'!$PN$6:$PN$206,"*DRV-IN*")+COUNTIF('INPUT - Roster'!$PN$6:$PN$206,"*DRIVE IN*")+COUNTIF('INPUT - Roster'!$PN$6:$PN$206,"DI *")</f>
        <v/>
      </c>
      <c r="OY30" s="170">
        <f>COUNTIF('INPUT - Roster'!$PO$6:$PO$206,"*DRV-IN*")+COUNTIF('INPUT - Roster'!$PO$6:$PO$206,"*DRIVE IN*")+COUNTIF('INPUT - Roster'!$PO$6:$PO$206,"DI *")</f>
        <v/>
      </c>
      <c r="OZ30" s="170">
        <f>COUNTIF('INPUT - Roster'!$PP$6:$PP$206,"*DRV-IN*")+COUNTIF('INPUT - Roster'!$PP$6:$PP$206,"*DRIVE IN*")+COUNTIF('INPUT - Roster'!$PP$6:$PP$206,"DI *")</f>
        <v/>
      </c>
      <c r="PA30" s="170">
        <f>COUNTIF('INPUT - Roster'!$PQ$6:$PQ$206,"*DRV-IN*")+COUNTIF('INPUT - Roster'!$PQ$6:$PQ$206,"*DRIVE IN*")+COUNTIF('INPUT - Roster'!$PQ$6:$PQ$206,"DI *")</f>
        <v/>
      </c>
      <c r="PB30" s="170">
        <f>COUNTIF('INPUT - Roster'!$PR$6:$PR$206,"*DRV-IN*")+COUNTIF('INPUT - Roster'!$PR$6:$PR$206,"*DRIVE IN*")+COUNTIF('INPUT - Roster'!$PR$6:$PR$206,"DI *")</f>
        <v/>
      </c>
      <c r="PC30" s="170">
        <f>COUNTIF('INPUT - Roster'!$PS$6:$PS$206,"*DRV-IN*")+COUNTIF('INPUT - Roster'!$PS$6:$PS$206,"*DRIVE IN*")+COUNTIF('INPUT - Roster'!$PS$6:$PS$206,"DI *")</f>
        <v/>
      </c>
      <c r="PD30" s="170">
        <f>COUNTIF('INPUT - Roster'!$PT$6:$PT$206,"*DRV-IN*")+COUNTIF('INPUT - Roster'!$PT$6:$PT$206,"*DRIVE IN*")+COUNTIF('INPUT - Roster'!$PT$6:$PT$206,"DI *")</f>
        <v/>
      </c>
      <c r="PE30" s="170">
        <f>COUNTIF('INPUT - Roster'!$PU$6:$PU$206,"*DRV-IN*")+COUNTIF('INPUT - Roster'!$PU$6:$PU$206,"*DRIVE IN*")+COUNTIF('INPUT - Roster'!$PU$6:$PU$206,"DI *")</f>
        <v/>
      </c>
      <c r="PF30" s="170">
        <f>COUNTIF('INPUT - Roster'!$PV$6:$PV$206,"*DRV-IN*")+COUNTIF('INPUT - Roster'!$PV$6:$PV$206,"*DRIVE IN*")+COUNTIF('INPUT - Roster'!$PV$6:$PV$206,"DI *")</f>
        <v/>
      </c>
      <c r="PG30" s="170">
        <f>COUNTIF('INPUT - Roster'!$PW$6:$PW$206,"*DRV-IN*")+COUNTIF('INPUT - Roster'!$PW$6:$PW$206,"*DRIVE IN*")+COUNTIF('INPUT - Roster'!$PW$6:$PW$206,"DI *")</f>
        <v/>
      </c>
      <c r="PH30" s="170">
        <f>COUNTIF('INPUT - Roster'!$PX$6:$PX$206,"*DRV-IN*")+COUNTIF('INPUT - Roster'!$PX$6:$PX$206,"*DRIVE IN*")+COUNTIF('INPUT - Roster'!$PX$6:$PX$206,"DI *")</f>
        <v/>
      </c>
      <c r="PI30" s="170">
        <f>COUNTIF('INPUT - Roster'!$PY$6:$PY$206,"*DRV-IN*")+COUNTIF('INPUT - Roster'!$PY$6:$PY$206,"*DRIVE IN*")+COUNTIF('INPUT - Roster'!$PY$6:$PY$206,"DI *")</f>
        <v/>
      </c>
      <c r="PJ30" s="170">
        <f>COUNTIF('INPUT - Roster'!$PZ$6:$PZ$206,"*DRV-IN*")+COUNTIF('INPUT - Roster'!$PZ$6:$PZ$206,"*DRIVE IN*")+COUNTIF('INPUT - Roster'!$PZ$6:$PZ$206,"DI *")</f>
        <v/>
      </c>
      <c r="PK30" s="170">
        <f>COUNTIF('INPUT - Roster'!$QA$6:$QA$206,"*DRV-IN*")+COUNTIF('INPUT - Roster'!$QA$6:$QA$206,"*DRIVE IN*")+COUNTIF('INPUT - Roster'!$QA$6:$QA$206,"DI *")</f>
        <v/>
      </c>
      <c r="PL30" s="170">
        <f>COUNTIF('INPUT - Roster'!$QB$6:$QB$206,"*DRV-IN*")+COUNTIF('INPUT - Roster'!$QB$6:$QB$206,"*DRIVE IN*")+COUNTIF('INPUT - Roster'!$QB$6:$QB$206,"DI *")</f>
        <v/>
      </c>
      <c r="PM30" s="170">
        <f>COUNTIF('INPUT - Roster'!$QC$6:$QC$206,"*DRV-IN*")+COUNTIF('INPUT - Roster'!$QC$6:$QC$206,"*DRIVE IN*")+COUNTIF('INPUT - Roster'!$QC$6:$QC$206,"DI *")</f>
        <v/>
      </c>
      <c r="PN30" s="170">
        <f>COUNTIF('INPUT - Roster'!$QD$6:$QD$206,"*DRV-IN*")+COUNTIF('INPUT - Roster'!$QD$6:$QD$206,"*DRIVE IN*")+COUNTIF('INPUT - Roster'!$QD$6:$QD$206,"DI *")</f>
        <v/>
      </c>
      <c r="PO30" s="170">
        <f>COUNTIF('INPUT - Roster'!$QE$6:$QE$206,"*DRV-IN*")+COUNTIF('INPUT - Roster'!$QE$6:$QE$206,"*DRIVE IN*")+COUNTIF('INPUT - Roster'!$QE$6:$QE$206,"DI *")</f>
        <v/>
      </c>
      <c r="PP30" s="170">
        <f>COUNTIF('INPUT - Roster'!$QF$6:$QF$206,"*DRV-IN*")+COUNTIF('INPUT - Roster'!$QF$6:$QF$206,"*DRIVE IN*")+COUNTIF('INPUT - Roster'!$QF$6:$QF$206,"DI *")</f>
        <v/>
      </c>
      <c r="PQ30" s="170">
        <f>COUNTIF('INPUT - Roster'!$QG$6:$QG$206,"*DRV-IN*")+COUNTIF('INPUT - Roster'!$QG$6:$QG$206,"*DRIVE IN*")+COUNTIF('INPUT - Roster'!$QG$6:$QG$206,"DI *")</f>
        <v/>
      </c>
      <c r="PR30" s="170">
        <f>COUNTIF('INPUT - Roster'!$QH$6:$QH$206,"*DRV-IN*")+COUNTIF('INPUT - Roster'!$QH$6:$QH$206,"*DRIVE IN*")+COUNTIF('INPUT - Roster'!$QH$6:$QH$206,"DI *")</f>
        <v/>
      </c>
      <c r="PS30" s="170">
        <f>COUNTIF('INPUT - Roster'!$QI$6:$QI$206,"*DRV-IN*")+COUNTIF('INPUT - Roster'!$QI$6:$QI$206,"*DRIVE IN*")+COUNTIF('INPUT - Roster'!$QI$6:$QI$206,"DI *")</f>
        <v/>
      </c>
      <c r="PT30" s="170">
        <f>COUNTIF('INPUT - Roster'!$QJ$6:$QJ$206,"*DRV-IN*")+COUNTIF('INPUT - Roster'!$QJ$6:$QJ$206,"*DRIVE IN*")+COUNTIF('INPUT - Roster'!$QJ$6:$QJ$206,"DI *")</f>
        <v/>
      </c>
      <c r="PU30" s="170">
        <f>COUNTIF('INPUT - Roster'!$QK$6:$QK$206,"*DRV-IN*")+COUNTIF('INPUT - Roster'!$QK$6:$QK$206,"*DRIVE IN*")+COUNTIF('INPUT - Roster'!$QK$6:$QK$206,"DI *")</f>
        <v/>
      </c>
      <c r="PV30" s="170">
        <f>COUNTIF('INPUT - Roster'!$QL$6:$QL$206,"*DRV-IN*")+COUNTIF('INPUT - Roster'!$QL$6:$QL$206,"*DRIVE IN*")+COUNTIF('INPUT - Roster'!$QL$6:$QL$206,"DI *")</f>
        <v/>
      </c>
      <c r="PW30" s="170">
        <f>COUNTIF('INPUT - Roster'!$QM$6:$QM$206,"*DRV-IN*")+COUNTIF('INPUT - Roster'!$QM$6:$QM$206,"*DRIVE IN*")+COUNTIF('INPUT - Roster'!$QM$6:$QM$206,"DI *")</f>
        <v/>
      </c>
      <c r="PX30" s="170">
        <f>COUNTIF('INPUT - Roster'!$QN$6:$QN$206,"*DRV-IN*")+COUNTIF('INPUT - Roster'!$QN$6:$QN$206,"*DRIVE IN*")+COUNTIF('INPUT - Roster'!$QN$6:$QN$206,"DI *")</f>
        <v/>
      </c>
      <c r="PY30" s="170">
        <f>COUNTIF('INPUT - Roster'!$QO$6:$QO$206,"*DRV-IN*")+COUNTIF('INPUT - Roster'!$QO$6:$QO$206,"*DRIVE IN*")+COUNTIF('INPUT - Roster'!$QO$6:$QO$206,"DI *")</f>
        <v/>
      </c>
      <c r="PZ30" s="170">
        <f>COUNTIF('INPUT - Roster'!$QP$6:$QP$206,"*DRV-IN*")+COUNTIF('INPUT - Roster'!$QP$6:$QP$206,"*DRIVE IN*")+COUNTIF('INPUT - Roster'!$QP$6:$QP$206,"DI *")</f>
        <v/>
      </c>
      <c r="QA30" s="170">
        <f>COUNTIF('INPUT - Roster'!$QQ$6:$QQ$206,"*DRV-IN*")+COUNTIF('INPUT - Roster'!$QQ$6:$QQ$206,"*DRIVE IN*")+COUNTIF('INPUT - Roster'!$QQ$6:$QQ$206,"DI *")</f>
        <v/>
      </c>
      <c r="QB30" s="170">
        <f>COUNTIF('INPUT - Roster'!$QR$6:$QR$206,"*DRV-IN*")+COUNTIF('INPUT - Roster'!$QR$6:$QR$206,"*DRIVE IN*")+COUNTIF('INPUT - Roster'!$QR$6:$QR$206,"DI *")</f>
        <v/>
      </c>
      <c r="QC30" s="170">
        <f>COUNTIF('INPUT - Roster'!$QS$6:$QS$206,"*DRV-IN*")+COUNTIF('INPUT - Roster'!$QS$6:$QS$206,"*DRIVE IN*")+COUNTIF('INPUT - Roster'!$QS$6:$QS$206,"DI *")</f>
        <v/>
      </c>
      <c r="QD30" s="170">
        <f>COUNTIF('INPUT - Roster'!$QT$6:$QT$206,"*DRV-IN*")+COUNTIF('INPUT - Roster'!$QT$6:$QT$206,"*DRIVE IN*")+COUNTIF('INPUT - Roster'!$QT$6:$QT$206,"DI *")</f>
        <v/>
      </c>
      <c r="QE30" s="170">
        <f>COUNTIF('INPUT - Roster'!$QU$6:$QU$206,"*DRV-IN*")+COUNTIF('INPUT - Roster'!$QU$6:$QU$206,"*DRIVE IN*")+COUNTIF('INPUT - Roster'!$QU$6:$QU$206,"DI *")</f>
        <v/>
      </c>
      <c r="QF30" s="170">
        <f>COUNTIF('INPUT - Roster'!$QV$6:$QV$206,"*DRV-IN*")+COUNTIF('INPUT - Roster'!$QV$6:$QV$206,"*DRIVE IN*")+COUNTIF('INPUT - Roster'!$QV$6:$QV$206,"DI *")</f>
        <v/>
      </c>
      <c r="QG30" s="170">
        <f>COUNTIF('INPUT - Roster'!$QW$6:$QW$206,"*DRV-IN*")+COUNTIF('INPUT - Roster'!$QW$6:$QW$206,"*DRIVE IN*")+COUNTIF('INPUT - Roster'!$QW$6:$QW$206,"DI *")</f>
        <v/>
      </c>
      <c r="QH30" s="170">
        <f>COUNTIF('INPUT - Roster'!$QX$6:$QX$206,"*DRV-IN*")+COUNTIF('INPUT - Roster'!$QX$6:$QX$206,"*DRIVE IN*")+COUNTIF('INPUT - Roster'!$QX$6:$QX$206,"DI *")</f>
        <v/>
      </c>
      <c r="QI30" s="170">
        <f>COUNTIF('INPUT - Roster'!$QY$6:$QY$206,"*DRV-IN*")+COUNTIF('INPUT - Roster'!$QY$6:$QY$206,"*DRIVE IN*")+COUNTIF('INPUT - Roster'!$QY$6:$QY$206,"DI *")</f>
        <v/>
      </c>
      <c r="QJ30" s="170">
        <f>COUNTIF('INPUT - Roster'!$QZ$6:$QZ$206,"*DRV-IN*")+COUNTIF('INPUT - Roster'!$QZ$6:$QZ$206,"*DRIVE IN*")+COUNTIF('INPUT - Roster'!$QZ$6:$QZ$206,"DI *")</f>
        <v/>
      </c>
      <c r="QK30" s="170">
        <f>COUNTIF('INPUT - Roster'!$RA$6:$RA$206,"*DRV-IN*")+COUNTIF('INPUT - Roster'!$RA$6:$RA$206,"*DRIVE IN*")+COUNTIF('INPUT - Roster'!$RA$6:$RA$206,"DI *")</f>
        <v/>
      </c>
      <c r="QL30" s="170">
        <f>COUNTIF('INPUT - Roster'!$RB$6:$RB$206,"*DRV-IN*")+COUNTIF('INPUT - Roster'!$RB$6:$RB$206,"*DRIVE IN*")+COUNTIF('INPUT - Roster'!$RB$6:$RB$206,"DI *")</f>
        <v/>
      </c>
      <c r="QM30" s="170">
        <f>COUNTIF('INPUT - Roster'!$RC$6:$RC$206,"*DRV-IN*")+COUNTIF('INPUT - Roster'!$RC$6:$RC$206,"*DRIVE IN*")+COUNTIF('INPUT - Roster'!$RC$6:$RC$206,"DI *")</f>
        <v/>
      </c>
      <c r="QN30" s="170">
        <f>COUNTIF('INPUT - Roster'!$RD$6:$RD$206,"*DRV-IN*")+COUNTIF('INPUT - Roster'!$RD$6:$RD$206,"*DRIVE IN*")+COUNTIF('INPUT - Roster'!$RD$6:$RD$206,"DI *")</f>
        <v/>
      </c>
      <c r="QO30" s="170">
        <f>COUNTIF('INPUT - Roster'!$RE$6:$RE$206,"*DRV-IN*")+COUNTIF('INPUT - Roster'!$RE$6:$RE$206,"*DRIVE IN*")+COUNTIF('INPUT - Roster'!$RE$6:$RE$206,"DI *")</f>
        <v/>
      </c>
      <c r="QP30" s="170">
        <f>COUNTIF('INPUT - Roster'!$RF$6:$RF$206,"*DRV-IN*")+COUNTIF('INPUT - Roster'!$RF$6:$RF$206,"*DRIVE IN*")+COUNTIF('INPUT - Roster'!$RF$6:$RF$206,"DI *")</f>
        <v/>
      </c>
      <c r="QQ30" s="170">
        <f>COUNTIF('INPUT - Roster'!$RG$6:$RG$206,"*DRV-IN*")+COUNTIF('INPUT - Roster'!$RG$6:$RG$206,"*DRIVE IN*")+COUNTIF('INPUT - Roster'!$RG$6:$RG$206,"DI *")</f>
        <v/>
      </c>
      <c r="QR30" s="170">
        <f>COUNTIF('INPUT - Roster'!$RH$6:$RH$206,"*DRV-IN*")+COUNTIF('INPUT - Roster'!$RH$6:$RH$206,"*DRIVE IN*")+COUNTIF('INPUT - Roster'!$RH$6:$RH$206,"DI *")</f>
        <v/>
      </c>
      <c r="QS30" s="170">
        <f>COUNTIF('INPUT - Roster'!$RI$6:$RI$206,"*DRV-IN*")+COUNTIF('INPUT - Roster'!$RI$6:$RI$206,"*DRIVE IN*")+COUNTIF('INPUT - Roster'!$RI$6:$RI$206,"DI *")</f>
        <v/>
      </c>
      <c r="QT30" s="170">
        <f>COUNTIF('INPUT - Roster'!$RJ$6:$RJ$206,"*DRV-IN*")+COUNTIF('INPUT - Roster'!$RJ$6:$RJ$206,"*DRIVE IN*")+COUNTIF('INPUT - Roster'!$RJ$6:$RJ$206,"DI *")</f>
        <v/>
      </c>
      <c r="QU30" s="170">
        <f>COUNTIF('INPUT - Roster'!$RK$6:$RK$206,"*DRV-IN*")+COUNTIF('INPUT - Roster'!$RK$6:$RK$206,"*DRIVE IN*")+COUNTIF('INPUT - Roster'!$RK$6:$RK$206,"DI *")</f>
        <v/>
      </c>
      <c r="QV30" s="170">
        <f>COUNTIF('INPUT - Roster'!$RL$6:$RL$206,"*DRV-IN*")+COUNTIF('INPUT - Roster'!$RL$6:$RL$206,"*DRIVE IN*")+COUNTIF('INPUT - Roster'!$RL$6:$RL$206,"DI *")</f>
        <v/>
      </c>
      <c r="QW30" s="170">
        <f>COUNTIF('INPUT - Roster'!$RM$6:$RM$206,"*DRV-IN*")+COUNTIF('INPUT - Roster'!$RM$6:$RM$206,"*DRIVE IN*")+COUNTIF('INPUT - Roster'!$RM$6:$RM$206,"DI *")</f>
        <v/>
      </c>
      <c r="QX30" s="170">
        <f>COUNTIF('INPUT - Roster'!$RN$6:$RN$206,"*DRV-IN*")+COUNTIF('INPUT - Roster'!$RN$6:$RN$206,"*DRIVE IN*")+COUNTIF('INPUT - Roster'!$RN$6:$RN$206,"DI *")</f>
        <v/>
      </c>
      <c r="QY30" s="170">
        <f>COUNTIF('INPUT - Roster'!$RO$6:$RO$206,"*DRV-IN*")+COUNTIF('INPUT - Roster'!$RO$6:$RO$206,"*DRIVE IN*")+COUNTIF('INPUT - Roster'!$RO$6:$RO$206,"DI *")</f>
        <v/>
      </c>
      <c r="QZ30" s="170">
        <f>COUNTIF('INPUT - Roster'!$RP$6:$RP$206,"*DRV-IN*")+COUNTIF('INPUT - Roster'!$RP$6:$RP$206,"*DRIVE IN*")+COUNTIF('INPUT - Roster'!$RP$6:$RP$206,"DI *")</f>
        <v/>
      </c>
      <c r="RA30" s="170">
        <f>COUNTIF('INPUT - Roster'!$RQ$6:$RQ$206,"*DRV-IN*")+COUNTIF('INPUT - Roster'!$RQ$6:$RQ$206,"*DRIVE IN*")+COUNTIF('INPUT - Roster'!$RQ$6:$RQ$206,"DI *")</f>
        <v/>
      </c>
      <c r="RB30" s="170">
        <f>COUNTIF('INPUT - Roster'!$RR$6:$RR$206,"*DRV-IN*")+COUNTIF('INPUT - Roster'!$RR$6:$RR$206,"*DRIVE IN*")+COUNTIF('INPUT - Roster'!$RR$6:$RR$206,"DI *")</f>
        <v/>
      </c>
      <c r="RC30" s="170">
        <f>COUNTIF('INPUT - Roster'!$RS$6:$RS$206,"*DRV-IN*")+COUNTIF('INPUT - Roster'!$RS$6:$RS$206,"*DRIVE IN*")+COUNTIF('INPUT - Roster'!$RS$6:$RS$206,"DI *")</f>
        <v/>
      </c>
      <c r="RD30" s="170">
        <f>COUNTIF('INPUT - Roster'!$RT$6:$RT$206,"*DRV-IN*")+COUNTIF('INPUT - Roster'!$RT$6:$RT$206,"*DRIVE IN*")+COUNTIF('INPUT - Roster'!$RT$6:$RT$206,"DI *")</f>
        <v/>
      </c>
      <c r="RE30" s="170">
        <f>COUNTIF('INPUT - Roster'!$RU$6:$RU$206,"*DRV-IN*")+COUNTIF('INPUT - Roster'!$RU$6:$RU$206,"*DRIVE IN*")+COUNTIF('INPUT - Roster'!$RU$6:$RU$206,"DI *")</f>
        <v/>
      </c>
      <c r="RF30" s="170">
        <f>COUNTIF('INPUT - Roster'!$RV$6:$RV$206,"*DRV-IN*")+COUNTIF('INPUT - Roster'!$RV$6:$RV$206,"*DRIVE IN*")+COUNTIF('INPUT - Roster'!$RV$6:$RV$206,"DI *")</f>
        <v/>
      </c>
      <c r="RG30" s="170">
        <f>COUNTIF('INPUT - Roster'!$RW$6:$RW$206,"*DRV-IN*")+COUNTIF('INPUT - Roster'!$RW$6:$RW$206,"*DRIVE IN*")+COUNTIF('INPUT - Roster'!$RW$6:$RW$206,"DI *")</f>
        <v/>
      </c>
      <c r="RH30" s="170">
        <f>COUNTIF('INPUT - Roster'!$RX$6:$RX$206,"*DRV-IN*")+COUNTIF('INPUT - Roster'!$RX$6:$RX$206,"*DRIVE IN*")+COUNTIF('INPUT - Roster'!$RX$6:$RX$206,"DI *")</f>
        <v/>
      </c>
      <c r="RI30" s="170">
        <f>COUNTIF('INPUT - Roster'!$RY$6:$RY$206,"*DRV-IN*")+COUNTIF('INPUT - Roster'!$RY$6:$RY$206,"*DRIVE IN*")+COUNTIF('INPUT - Roster'!$RY$6:$RY$206,"DI *")</f>
        <v/>
      </c>
      <c r="RJ30" s="170">
        <f>COUNTIF('INPUT - Roster'!$RZ$6:$RZ$206,"*DRV-IN*")+COUNTIF('INPUT - Roster'!$RZ$6:$RZ$206,"*DRIVE IN*")+COUNTIF('INPUT - Roster'!$RZ$6:$RZ$206,"DI *")</f>
        <v/>
      </c>
      <c r="RK30" s="170">
        <f>COUNTIF('INPUT - Roster'!$SA$6:$SA$206,"*DRV-IN*")+COUNTIF('INPUT - Roster'!$SA$6:$SA$206,"*DRIVE IN*")+COUNTIF('INPUT - Roster'!$SA$6:$SA$206,"DI *")</f>
        <v/>
      </c>
      <c r="RL30" s="170">
        <f>COUNTIF('INPUT - Roster'!$SB$6:$SB$206,"*DRV-IN*")+COUNTIF('INPUT - Roster'!$SB$6:$SB$206,"*DRIVE IN*")+COUNTIF('INPUT - Roster'!$SB$6:$SB$206,"DI *")</f>
        <v/>
      </c>
      <c r="RM30" s="170">
        <f>COUNTIF('INPUT - Roster'!$SC$6:$SC$206,"*DRV-IN*")+COUNTIF('INPUT - Roster'!$SC$6:$SC$206,"*DRIVE IN*")+COUNTIF('INPUT - Roster'!$SC$6:$SC$206,"DI *")</f>
        <v/>
      </c>
      <c r="RN30" s="170">
        <f>COUNTIF('INPUT - Roster'!$SD$6:$SD$206,"*DRV-IN*")+COUNTIF('INPUT - Roster'!$SD$6:$SD$206,"*DRIVE IN*")+COUNTIF('INPUT - Roster'!$SD$6:$SD$206,"DI *")</f>
        <v/>
      </c>
      <c r="RO30" s="170">
        <f>COUNTIF('INPUT - Roster'!$SE$6:$SE$206,"*DRV-IN*")+COUNTIF('INPUT - Roster'!$SE$6:$SE$206,"*DRIVE IN*")+COUNTIF('INPUT - Roster'!$SE$6:$SE$206,"DI *")</f>
        <v/>
      </c>
      <c r="RP30" s="170">
        <f>COUNTIF('INPUT - Roster'!$SF$6:$SF$206,"*DRV-IN*")+COUNTIF('INPUT - Roster'!$SF$6:$SF$206,"*DRIVE IN*")+COUNTIF('INPUT - Roster'!$SF$6:$SF$206,"DI *")</f>
        <v/>
      </c>
      <c r="RQ30" s="170">
        <f>COUNTIF('INPUT - Roster'!$SG$6:$SG$206,"*DRV-IN*")+COUNTIF('INPUT - Roster'!$SG$6:$SG$206,"*DRIVE IN*")+COUNTIF('INPUT - Roster'!$SG$6:$SG$206,"DI *")</f>
        <v/>
      </c>
      <c r="RR30" s="170">
        <f>COUNTIF('INPUT - Roster'!$SH$6:$SH$206,"*DRV-IN*")+COUNTIF('INPUT - Roster'!$SH$6:$SH$206,"*DRIVE IN*")+COUNTIF('INPUT - Roster'!$SH$6:$SH$206,"DI *")</f>
        <v/>
      </c>
      <c r="RS30" s="170">
        <f>COUNTIF('INPUT - Roster'!$SI$6:$SI$206,"*DRV-IN*")+COUNTIF('INPUT - Roster'!$SI$6:$SI$206,"*DRIVE IN*")+COUNTIF('INPUT - Roster'!$SI$6:$SI$206,"DI *")</f>
        <v/>
      </c>
      <c r="RT30" s="170">
        <f>COUNTIF('INPUT - Roster'!$SJ$6:$SJ$206,"*DRV-IN*")+COUNTIF('INPUT - Roster'!$SJ$6:$SJ$206,"*DRIVE IN*")+COUNTIF('INPUT - Roster'!$SJ$6:$SJ$206,"DI *")</f>
        <v/>
      </c>
      <c r="RU30" s="170">
        <f>COUNTIF('INPUT - Roster'!$SK$6:$SK$206,"*DRV-IN*")+COUNTIF('INPUT - Roster'!$SK$6:$SK$206,"*DRIVE IN*")+COUNTIF('INPUT - Roster'!$SK$6:$SK$206,"DI *")</f>
        <v/>
      </c>
      <c r="RV30" s="170">
        <f>COUNTIF('INPUT - Roster'!$SL$6:$SL$206,"*DRV-IN*")+COUNTIF('INPUT - Roster'!$SL$6:$SL$206,"*DRIVE IN*")+COUNTIF('INPUT - Roster'!$SL$6:$SL$206,"DI *")</f>
        <v/>
      </c>
      <c r="RW30" s="170">
        <f>COUNTIF('INPUT - Roster'!$SM$6:$SM$206,"*DRV-IN*")+COUNTIF('INPUT - Roster'!$SM$6:$SM$206,"*DRIVE IN*")+COUNTIF('INPUT - Roster'!$SM$6:$SM$206,"DI *")</f>
        <v/>
      </c>
      <c r="RX30" s="170">
        <f>COUNTIF('INPUT - Roster'!$SN$6:$SN$206,"*DRV-IN*")+COUNTIF('INPUT - Roster'!$SN$6:$SN$206,"*DRIVE IN*")+COUNTIF('INPUT - Roster'!$SN$6:$SN$206,"DI *")</f>
        <v/>
      </c>
      <c r="RY30" s="170">
        <f>COUNTIF('INPUT - Roster'!$SO$6:$SO$206,"*DRV-IN*")+COUNTIF('INPUT - Roster'!$SO$6:$SO$206,"*DRIVE IN*")+COUNTIF('INPUT - Roster'!$SO$6:$SO$206,"DI *")</f>
        <v/>
      </c>
      <c r="RZ30" s="170">
        <f>COUNTIF('INPUT - Roster'!$SP$6:$SP$206,"*DRV-IN*")+COUNTIF('INPUT - Roster'!$SP$6:$SP$206,"*DRIVE IN*")+COUNTIF('INPUT - Roster'!$SP$6:$SP$206,"DI *")</f>
        <v/>
      </c>
      <c r="SA30" s="170">
        <f>COUNTIF('INPUT - Roster'!$SQ$6:$SQ$206,"*DRV-IN*")+COUNTIF('INPUT - Roster'!$SQ$6:$SQ$206,"*DRIVE IN*")+COUNTIF('INPUT - Roster'!$SQ$6:$SQ$206,"DI *")</f>
        <v/>
      </c>
      <c r="SB30" s="170">
        <f>COUNTIF('INPUT - Roster'!$SR$6:$SR$206,"*DRV-IN*")+COUNTIF('INPUT - Roster'!$SR$6:$SR$206,"*DRIVE IN*")+COUNTIF('INPUT - Roster'!$SR$6:$SR$206,"DI *")</f>
        <v/>
      </c>
      <c r="SC30" s="170">
        <f>COUNTIF('INPUT - Roster'!$SS$6:$SS$206,"*DRV-IN*")+COUNTIF('INPUT - Roster'!$SS$6:$SS$206,"*DRIVE IN*")+COUNTIF('INPUT - Roster'!$SS$6:$SS$206,"DI *")</f>
        <v/>
      </c>
      <c r="SD30" s="170">
        <f>COUNTIF('INPUT - Roster'!$ST$6:$ST$206,"*DRV-IN*")+COUNTIF('INPUT - Roster'!$ST$6:$ST$206,"*DRIVE IN*")+COUNTIF('INPUT - Roster'!$ST$6:$ST$206,"DI *")</f>
        <v/>
      </c>
      <c r="SE30" s="170">
        <f>COUNTIF('INPUT - Roster'!$SU$6:$SU$206,"*DRV-IN*")+COUNTIF('INPUT - Roster'!$SU$6:$SU$206,"*DRIVE IN*")+COUNTIF('INPUT - Roster'!$SU$6:$SU$206,"DI *")</f>
        <v/>
      </c>
      <c r="SF30" s="170">
        <f>COUNTIF('INPUT - Roster'!$SV$6:$SV$206,"*DRV-IN*")+COUNTIF('INPUT - Roster'!$SV$6:$SV$206,"*DRIVE IN*")+COUNTIF('INPUT - Roster'!$SV$6:$SV$206,"DI *")</f>
        <v/>
      </c>
    </row>
    <row r="31">
      <c r="B31" s="169" t="inlineStr">
        <is>
          <t>Drive out</t>
        </is>
      </c>
      <c r="C31" s="170">
        <f>COUNTIF('INPUT - Roster'!$S$6:$S$206,"*DRV-OUT*")+COUNTIF('INPUT - Roster'!$S$6:$S$206,"*DRIVE OUT*")+COUNTIF('INPUT - Roster'!$S$6:$S$206,"DO *")</f>
        <v/>
      </c>
      <c r="D31" s="170">
        <f>COUNTIF('INPUT - Roster'!$T$6:$T$206,"*DRV-OUT*")+COUNTIF('INPUT - Roster'!$T$6:$T$206,"*DRIVE OUT*")+COUNTIF('INPUT - Roster'!$T$6:$T$206,"DO *")</f>
        <v/>
      </c>
      <c r="E31" s="170">
        <f>COUNTIF('INPUT - Roster'!$U$6:$U$206,"*DRV-OUT*")+COUNTIF('INPUT - Roster'!$U$6:$U$206,"*DRIVE OUT*")+COUNTIF('INPUT - Roster'!$U$6:$U$206,"DO *")</f>
        <v/>
      </c>
      <c r="F31" s="170">
        <f>COUNTIF('INPUT - Roster'!$V$6:$V$206,"*DRV-OUT*")+COUNTIF('INPUT - Roster'!$V$6:$V$206,"*DRIVE OUT*")+COUNTIF('INPUT - Roster'!$V$6:$V$206,"DO *")</f>
        <v/>
      </c>
      <c r="G31" s="170">
        <f>COUNTIF('INPUT - Roster'!$W$6:$W$206,"*DRV-OUT*")+COUNTIF('INPUT - Roster'!$W$6:$W$206,"*DRIVE OUT*")+COUNTIF('INPUT - Roster'!$W$6:$W$206,"DO *")</f>
        <v/>
      </c>
      <c r="H31" s="170">
        <f>COUNTIF('INPUT - Roster'!$X$6:$X$206,"*DRV-OUT*")+COUNTIF('INPUT - Roster'!$X$6:$X$206,"*DRIVE OUT*")+COUNTIF('INPUT - Roster'!$X$6:$X$206,"DO *")</f>
        <v/>
      </c>
      <c r="I31" s="170">
        <f>COUNTIF('INPUT - Roster'!$Y$6:$Y$206,"*DRV-OUT*")+COUNTIF('INPUT - Roster'!$Y$6:$Y$206,"*DRIVE OUT*")+COUNTIF('INPUT - Roster'!$Y$6:$Y$206,"DO *")</f>
        <v/>
      </c>
      <c r="J31" s="170">
        <f>COUNTIF('INPUT - Roster'!$Z$6:$Z$206,"*DRV-OUT*")+COUNTIF('INPUT - Roster'!$Z$6:$Z$206,"*DRIVE OUT*")+COUNTIF('INPUT - Roster'!$Z$6:$Z$206,"DO *")</f>
        <v/>
      </c>
      <c r="K31" s="170">
        <f>COUNTIF('INPUT - Roster'!$AA$6:$AA$206,"*DRV-OUT*")+COUNTIF('INPUT - Roster'!$AA$6:$AA$206,"*DRIVE OUT*")+COUNTIF('INPUT - Roster'!$AA$6:$AA$206,"DO *")</f>
        <v/>
      </c>
      <c r="L31" s="170">
        <f>COUNTIF('INPUT - Roster'!$AB$6:$AB$206,"*DRV-OUT*")+COUNTIF('INPUT - Roster'!$AB$6:$AB$206,"*DRIVE OUT*")+COUNTIF('INPUT - Roster'!$AB$6:$AB$206,"DO *")</f>
        <v/>
      </c>
      <c r="M31" s="170">
        <f>COUNTIF('INPUT - Roster'!$AC$6:$AC$206,"*DRV-OUT*")+COUNTIF('INPUT - Roster'!$AC$6:$AC$206,"*DRIVE OUT*")+COUNTIF('INPUT - Roster'!$AC$6:$AC$206,"DO *")</f>
        <v/>
      </c>
      <c r="N31" s="170">
        <f>COUNTIF('INPUT - Roster'!$AD$6:$AD$206,"*DRV-OUT*")+COUNTIF('INPUT - Roster'!$AD$6:$AD$206,"*DRIVE OUT*")+COUNTIF('INPUT - Roster'!$AD$6:$AD$206,"DO *")</f>
        <v/>
      </c>
      <c r="O31" s="170">
        <f>COUNTIF('INPUT - Roster'!$AE$6:$AE$206,"*DRV-OUT*")+COUNTIF('INPUT - Roster'!$AE$6:$AE$206,"*DRIVE OUT*")+COUNTIF('INPUT - Roster'!$AE$6:$AE$206,"DO *")</f>
        <v/>
      </c>
      <c r="P31" s="170">
        <f>COUNTIF('INPUT - Roster'!$AF$6:$AF$206,"*DRV-OUT*")+COUNTIF('INPUT - Roster'!$AF$6:$AF$206,"*DRIVE OUT*")+COUNTIF('INPUT - Roster'!$AF$6:$AF$206,"DO *")</f>
        <v/>
      </c>
      <c r="Q31" s="170">
        <f>COUNTIF('INPUT - Roster'!$AG$6:$AG$206,"*DRV-OUT*")+COUNTIF('INPUT - Roster'!$AG$6:$AG$206,"*DRIVE OUT*")+COUNTIF('INPUT - Roster'!$AG$6:$AG$206,"DO *")</f>
        <v/>
      </c>
      <c r="R31" s="170">
        <f>COUNTIF('INPUT - Roster'!$AH$6:$AH$206,"*DRV-OUT*")+COUNTIF('INPUT - Roster'!$AH$6:$AH$206,"*DRIVE OUT*")+COUNTIF('INPUT - Roster'!$AH$6:$AH$206,"DO *")</f>
        <v/>
      </c>
      <c r="S31" s="170">
        <f>COUNTIF('INPUT - Roster'!$AI$6:$AI$206,"*DRV-OUT*")+COUNTIF('INPUT - Roster'!$AI$6:$AI$206,"*DRIVE OUT*")+COUNTIF('INPUT - Roster'!$AI$6:$AI$206,"DO *")</f>
        <v/>
      </c>
      <c r="T31" s="170">
        <f>COUNTIF('INPUT - Roster'!$AJ$6:$AJ$206,"*DRV-OUT*")+COUNTIF('INPUT - Roster'!$AJ$6:$AJ$206,"*DRIVE OUT*")+COUNTIF('INPUT - Roster'!$AJ$6:$AJ$206,"DO *")</f>
        <v/>
      </c>
      <c r="U31" s="170">
        <f>COUNTIF('INPUT - Roster'!$AK$6:$AK$206,"*DRV-OUT*")+COUNTIF('INPUT - Roster'!$AK$6:$AK$206,"*DRIVE OUT*")+COUNTIF('INPUT - Roster'!$AK$6:$AK$206,"DO *")</f>
        <v/>
      </c>
      <c r="V31" s="170">
        <f>COUNTIF('INPUT - Roster'!$AL$6:$AL$206,"*DRV-OUT*")+COUNTIF('INPUT - Roster'!$AL$6:$AL$206,"*DRIVE OUT*")+COUNTIF('INPUT - Roster'!$AL$6:$AL$206,"DO *")</f>
        <v/>
      </c>
      <c r="W31" s="170">
        <f>COUNTIF('INPUT - Roster'!$AM$6:$AM$206,"*DRV-OUT*")+COUNTIF('INPUT - Roster'!$AM$6:$AM$206,"*DRIVE OUT*")+COUNTIF('INPUT - Roster'!$AM$6:$AM$206,"DO *")</f>
        <v/>
      </c>
      <c r="X31" s="170">
        <f>COUNTIF('INPUT - Roster'!$AN$6:$AN$206,"*DRV-OUT*")+COUNTIF('INPUT - Roster'!$AN$6:$AN$206,"*DRIVE OUT*")+COUNTIF('INPUT - Roster'!$AN$6:$AN$206,"DO *")</f>
        <v/>
      </c>
      <c r="Y31" s="170">
        <f>COUNTIF('INPUT - Roster'!$AO$6:$AO$206,"*DRV-OUT*")+COUNTIF('INPUT - Roster'!$AO$6:$AO$206,"*DRIVE OUT*")+COUNTIF('INPUT - Roster'!$AO$6:$AO$206,"DO *")</f>
        <v/>
      </c>
      <c r="Z31" s="170">
        <f>COUNTIF('INPUT - Roster'!$AP$6:$AP$206,"*DRV-OUT*")+COUNTIF('INPUT - Roster'!$AP$6:$AP$206,"*DRIVE OUT*")+COUNTIF('INPUT - Roster'!$AP$6:$AP$206,"DO *")</f>
        <v/>
      </c>
      <c r="AA31" s="170">
        <f>COUNTIF('INPUT - Roster'!$AQ$6:$AQ$206,"*DRV-OUT*")+COUNTIF('INPUT - Roster'!$AQ$6:$AQ$206,"*DRIVE OUT*")+COUNTIF('INPUT - Roster'!$AQ$6:$AQ$206,"DO *")</f>
        <v/>
      </c>
      <c r="AB31" s="170">
        <f>COUNTIF('INPUT - Roster'!$AR$6:$AR$206,"*DRV-OUT*")+COUNTIF('INPUT - Roster'!$AR$6:$AR$206,"*DRIVE OUT*")+COUNTIF('INPUT - Roster'!$AR$6:$AR$206,"DO *")</f>
        <v/>
      </c>
      <c r="AC31" s="170">
        <f>COUNTIF('INPUT - Roster'!$AS$6:$AS$206,"*DRV-OUT*")+COUNTIF('INPUT - Roster'!$AS$6:$AS$206,"*DRIVE OUT*")+COUNTIF('INPUT - Roster'!$AS$6:$AS$206,"DO *")</f>
        <v/>
      </c>
      <c r="AD31" s="170">
        <f>COUNTIF('INPUT - Roster'!$AT$6:$AT$206,"*DRV-OUT*")+COUNTIF('INPUT - Roster'!$AT$6:$AT$206,"*DRIVE OUT*")+COUNTIF('INPUT - Roster'!$AT$6:$AT$206,"DO *")</f>
        <v/>
      </c>
      <c r="AE31" s="170">
        <f>COUNTIF('INPUT - Roster'!$AU$6:$AU$206,"*DRV-OUT*")+COUNTIF('INPUT - Roster'!$AU$6:$AU$206,"*DRIVE OUT*")+COUNTIF('INPUT - Roster'!$AU$6:$AU$206,"DO *")</f>
        <v/>
      </c>
      <c r="AF31" s="170">
        <f>COUNTIF('INPUT - Roster'!$AV$6:$AV$206,"*DRV-OUT*")+COUNTIF('INPUT - Roster'!$AV$6:$AV$206,"*DRIVE OUT*")+COUNTIF('INPUT - Roster'!$AV$6:$AV$206,"DO *")</f>
        <v/>
      </c>
      <c r="AG31" s="170">
        <f>COUNTIF('INPUT - Roster'!$AW$6:$AW$206,"*DRV-OUT*")+COUNTIF('INPUT - Roster'!$AW$6:$AW$206,"*DRIVE OUT*")+COUNTIF('INPUT - Roster'!$AW$6:$AW$206,"DO *")</f>
        <v/>
      </c>
      <c r="AH31" s="170">
        <f>COUNTIF('INPUT - Roster'!$AX$6:$AX$206,"*DRV-OUT*")+COUNTIF('INPUT - Roster'!$AX$6:$AX$206,"*DRIVE OUT*")+COUNTIF('INPUT - Roster'!$AX$6:$AX$206,"DO *")</f>
        <v/>
      </c>
      <c r="AI31" s="170">
        <f>COUNTIF('INPUT - Roster'!$AY$6:$AY$206,"*DRV-OUT*")+COUNTIF('INPUT - Roster'!$AY$6:$AY$206,"*DRIVE OUT*")+COUNTIF('INPUT - Roster'!$AY$6:$AY$206,"DO *")</f>
        <v/>
      </c>
      <c r="AJ31" s="170">
        <f>COUNTIF('INPUT - Roster'!$AZ$6:$AZ$206,"*DRV-OUT*")+COUNTIF('INPUT - Roster'!$AZ$6:$AZ$206,"*DRIVE OUT*")+COUNTIF('INPUT - Roster'!$AZ$6:$AZ$206,"DO *")</f>
        <v/>
      </c>
      <c r="AK31" s="170">
        <f>COUNTIF('INPUT - Roster'!$BA$6:$BA$206,"*DRV-OUT*")+COUNTIF('INPUT - Roster'!$BA$6:$BA$206,"*DRIVE OUT*")+COUNTIF('INPUT - Roster'!$BA$6:$BA$206,"DO *")</f>
        <v/>
      </c>
      <c r="AL31" s="170">
        <f>COUNTIF('INPUT - Roster'!$BB$6:$BB$206,"*DRV-OUT*")+COUNTIF('INPUT - Roster'!$BB$6:$BB$206,"*DRIVE OUT*")+COUNTIF('INPUT - Roster'!$BB$6:$BB$206,"DO *")</f>
        <v/>
      </c>
      <c r="AM31" s="170">
        <f>COUNTIF('INPUT - Roster'!$BC$6:$BC$206,"*DRV-OUT*")+COUNTIF('INPUT - Roster'!$BC$6:$BC$206,"*DRIVE OUT*")+COUNTIF('INPUT - Roster'!$BC$6:$BC$206,"DO *")</f>
        <v/>
      </c>
      <c r="AN31" s="170">
        <f>COUNTIF('INPUT - Roster'!$BD$6:$BD$206,"*DRV-OUT*")+COUNTIF('INPUT - Roster'!$BD$6:$BD$206,"*DRIVE OUT*")+COUNTIF('INPUT - Roster'!$BD$6:$BD$206,"DO *")</f>
        <v/>
      </c>
      <c r="AO31" s="170">
        <f>COUNTIF('INPUT - Roster'!$BE$6:$BE$206,"*DRV-OUT*")+COUNTIF('INPUT - Roster'!$BE$6:$BE$206,"*DRIVE OUT*")+COUNTIF('INPUT - Roster'!$BE$6:$BE$206,"DO *")</f>
        <v/>
      </c>
      <c r="AP31" s="170">
        <f>COUNTIF('INPUT - Roster'!$BF$6:$BF$206,"*DRV-OUT*")+COUNTIF('INPUT - Roster'!$BF$6:$BF$206,"*DRIVE OUT*")+COUNTIF('INPUT - Roster'!$BF$6:$BF$206,"DO *")</f>
        <v/>
      </c>
      <c r="AQ31" s="170">
        <f>COUNTIF('INPUT - Roster'!$BG$6:$BG$206,"*DRV-OUT*")+COUNTIF('INPUT - Roster'!$BG$6:$BG$206,"*DRIVE OUT*")+COUNTIF('INPUT - Roster'!$BG$6:$BG$206,"DO *")</f>
        <v/>
      </c>
      <c r="AR31" s="170">
        <f>COUNTIF('INPUT - Roster'!$BH$6:$BH$206,"*DRV-OUT*")+COUNTIF('INPUT - Roster'!$BH$6:$BH$206,"*DRIVE OUT*")+COUNTIF('INPUT - Roster'!$BH$6:$BH$206,"DO *")</f>
        <v/>
      </c>
      <c r="AS31" s="170">
        <f>COUNTIF('INPUT - Roster'!$BI$6:$BI$206,"*DRV-OUT*")+COUNTIF('INPUT - Roster'!$BI$6:$BI$206,"*DRIVE OUT*")+COUNTIF('INPUT - Roster'!$BI$6:$BI$206,"DO *")</f>
        <v/>
      </c>
      <c r="AT31" s="170">
        <f>COUNTIF('INPUT - Roster'!$BJ$6:$BJ$206,"*DRV-OUT*")+COUNTIF('INPUT - Roster'!$BJ$6:$BJ$206,"*DRIVE OUT*")+COUNTIF('INPUT - Roster'!$BJ$6:$BJ$206,"DO *")</f>
        <v/>
      </c>
      <c r="AU31" s="170">
        <f>COUNTIF('INPUT - Roster'!$BK$6:$BK$206,"*DRV-OUT*")+COUNTIF('INPUT - Roster'!$BK$6:$BK$206,"*DRIVE OUT*")+COUNTIF('INPUT - Roster'!$BK$6:$BK$206,"DO *")</f>
        <v/>
      </c>
      <c r="AV31" s="170">
        <f>COUNTIF('INPUT - Roster'!$BL$6:$BL$206,"*DRV-OUT*")+COUNTIF('INPUT - Roster'!$BL$6:$BL$206,"*DRIVE OUT*")+COUNTIF('INPUT - Roster'!$BL$6:$BL$206,"DO *")</f>
        <v/>
      </c>
      <c r="AW31" s="170">
        <f>COUNTIF('INPUT - Roster'!$BM$6:$BM$206,"*DRV-OUT*")+COUNTIF('INPUT - Roster'!$BM$6:$BM$206,"*DRIVE OUT*")+COUNTIF('INPUT - Roster'!$BM$6:$BM$206,"DO *")</f>
        <v/>
      </c>
      <c r="AX31" s="170">
        <f>COUNTIF('INPUT - Roster'!$BN$6:$BN$206,"*DRV-OUT*")+COUNTIF('INPUT - Roster'!$BN$6:$BN$206,"*DRIVE OUT*")+COUNTIF('INPUT - Roster'!$BN$6:$BN$206,"DO *")</f>
        <v/>
      </c>
      <c r="AY31" s="170">
        <f>COUNTIF('INPUT - Roster'!$BO$6:$BO$206,"*DRV-OUT*")+COUNTIF('INPUT - Roster'!$BO$6:$BO$206,"*DRIVE OUT*")+COUNTIF('INPUT - Roster'!$BO$6:$BO$206,"DO *")</f>
        <v/>
      </c>
      <c r="AZ31" s="170">
        <f>COUNTIF('INPUT - Roster'!$BP$6:$BP$206,"*DRV-OUT*")+COUNTIF('INPUT - Roster'!$BP$6:$BP$206,"*DRIVE OUT*")+COUNTIF('INPUT - Roster'!$BP$6:$BP$206,"DO *")</f>
        <v/>
      </c>
      <c r="BA31" s="170">
        <f>COUNTIF('INPUT - Roster'!$BQ$6:$BQ$206,"*DRV-OUT*")+COUNTIF('INPUT - Roster'!$BQ$6:$BQ$206,"*DRIVE OUT*")+COUNTIF('INPUT - Roster'!$BQ$6:$BQ$206,"DO *")</f>
        <v/>
      </c>
      <c r="BB31" s="170">
        <f>COUNTIF('INPUT - Roster'!$BR$6:$BR$206,"*DRV-OUT*")+COUNTIF('INPUT - Roster'!$BR$6:$BR$206,"*DRIVE OUT*")+COUNTIF('INPUT - Roster'!$BR$6:$BR$206,"DO *")</f>
        <v/>
      </c>
      <c r="BC31" s="170">
        <f>COUNTIF('INPUT - Roster'!$BS$6:$BS$206,"*DRV-OUT*")+COUNTIF('INPUT - Roster'!$BS$6:$BS$206,"*DRIVE OUT*")+COUNTIF('INPUT - Roster'!$BS$6:$BS$206,"DO *")</f>
        <v/>
      </c>
      <c r="BD31" s="170">
        <f>COUNTIF('INPUT - Roster'!$BT$6:$BT$206,"*DRV-OUT*")+COUNTIF('INPUT - Roster'!$BT$6:$BT$206,"*DRIVE OUT*")+COUNTIF('INPUT - Roster'!$BT$6:$BT$206,"DO *")</f>
        <v/>
      </c>
      <c r="BE31" s="170">
        <f>COUNTIF('INPUT - Roster'!$BU$6:$BU$206,"*DRV-OUT*")+COUNTIF('INPUT - Roster'!$BU$6:$BU$206,"*DRIVE OUT*")+COUNTIF('INPUT - Roster'!$BU$6:$BU$206,"DO *")</f>
        <v/>
      </c>
      <c r="BF31" s="170">
        <f>COUNTIF('INPUT - Roster'!$BV$6:$BV$206,"*DRV-OUT*")+COUNTIF('INPUT - Roster'!$BV$6:$BV$206,"*DRIVE OUT*")+COUNTIF('INPUT - Roster'!$BV$6:$BV$206,"DO *")</f>
        <v/>
      </c>
      <c r="BG31" s="170">
        <f>COUNTIF('INPUT - Roster'!$BW$6:$BW$206,"*DRV-OUT*")+COUNTIF('INPUT - Roster'!$BW$6:$BW$206,"*DRIVE OUT*")+COUNTIF('INPUT - Roster'!$BW$6:$BW$206,"DO *")</f>
        <v/>
      </c>
      <c r="BH31" s="170">
        <f>COUNTIF('INPUT - Roster'!$BX$6:$BX$206,"*DRV-OUT*")+COUNTIF('INPUT - Roster'!$BX$6:$BX$206,"*DRIVE OUT*")+COUNTIF('INPUT - Roster'!$BX$6:$BX$206,"DO *")</f>
        <v/>
      </c>
      <c r="BI31" s="170">
        <f>COUNTIF('INPUT - Roster'!$BY$6:$BY$206,"*DRV-OUT*")+COUNTIF('INPUT - Roster'!$BY$6:$BY$206,"*DRIVE OUT*")+COUNTIF('INPUT - Roster'!$BY$6:$BY$206,"DO *")</f>
        <v/>
      </c>
      <c r="BJ31" s="170">
        <f>COUNTIF('INPUT - Roster'!$BZ$6:$BZ$206,"*DRV-OUT*")+COUNTIF('INPUT - Roster'!$BZ$6:$BZ$206,"*DRIVE OUT*")+COUNTIF('INPUT - Roster'!$BZ$6:$BZ$206,"DO *")</f>
        <v/>
      </c>
      <c r="BK31" s="170">
        <f>COUNTIF('INPUT - Roster'!$CA$6:$CA$206,"*DRV-OUT*")+COUNTIF('INPUT - Roster'!$CA$6:$CA$206,"*DRIVE OUT*")+COUNTIF('INPUT - Roster'!$CA$6:$CA$206,"DO *")</f>
        <v/>
      </c>
      <c r="BL31" s="170">
        <f>COUNTIF('INPUT - Roster'!$CB$6:$CB$206,"*DRV-OUT*")+COUNTIF('INPUT - Roster'!$CB$6:$CB$206,"*DRIVE OUT*")+COUNTIF('INPUT - Roster'!$CB$6:$CB$206,"DO *")</f>
        <v/>
      </c>
      <c r="BM31" s="170">
        <f>COUNTIF('INPUT - Roster'!$CC$6:$CC$206,"*DRV-OUT*")+COUNTIF('INPUT - Roster'!$CC$6:$CC$206,"*DRIVE OUT*")+COUNTIF('INPUT - Roster'!$CC$6:$CC$206,"DO *")</f>
        <v/>
      </c>
      <c r="BN31" s="170">
        <f>COUNTIF('INPUT - Roster'!$CD$6:$CD$206,"*DRV-OUT*")+COUNTIF('INPUT - Roster'!$CD$6:$CD$206,"*DRIVE OUT*")+COUNTIF('INPUT - Roster'!$CD$6:$CD$206,"DO *")</f>
        <v/>
      </c>
      <c r="BO31" s="170">
        <f>COUNTIF('INPUT - Roster'!$CE$6:$CE$206,"*DRV-OUT*")+COUNTIF('INPUT - Roster'!$CE$6:$CE$206,"*DRIVE OUT*")+COUNTIF('INPUT - Roster'!$CE$6:$CE$206,"DO *")</f>
        <v/>
      </c>
      <c r="BP31" s="170">
        <f>COUNTIF('INPUT - Roster'!$CF$6:$CF$206,"*DRV-OUT*")+COUNTIF('INPUT - Roster'!$CF$6:$CF$206,"*DRIVE OUT*")+COUNTIF('INPUT - Roster'!$CF$6:$CF$206,"DO *")</f>
        <v/>
      </c>
      <c r="BQ31" s="170">
        <f>COUNTIF('INPUT - Roster'!$CG$6:$CG$206,"*DRV-OUT*")+COUNTIF('INPUT - Roster'!$CG$6:$CG$206,"*DRIVE OUT*")+COUNTIF('INPUT - Roster'!$CG$6:$CG$206,"DO *")</f>
        <v/>
      </c>
      <c r="BR31" s="170">
        <f>COUNTIF('INPUT - Roster'!$CH$6:$CH$206,"*DRV-OUT*")+COUNTIF('INPUT - Roster'!$CH$6:$CH$206,"*DRIVE OUT*")+COUNTIF('INPUT - Roster'!$CH$6:$CH$206,"DO *")</f>
        <v/>
      </c>
      <c r="BS31" s="170">
        <f>COUNTIF('INPUT - Roster'!$CI$6:$CI$206,"*DRV-OUT*")+COUNTIF('INPUT - Roster'!$CI$6:$CI$206,"*DRIVE OUT*")+COUNTIF('INPUT - Roster'!$CI$6:$CI$206,"DO *")</f>
        <v/>
      </c>
      <c r="BT31" s="170">
        <f>COUNTIF('INPUT - Roster'!$CJ$6:$CJ$206,"*DRV-OUT*")+COUNTIF('INPUT - Roster'!$CJ$6:$CJ$206,"*DRIVE OUT*")+COUNTIF('INPUT - Roster'!$CJ$6:$CJ$206,"DO *")</f>
        <v/>
      </c>
      <c r="BU31" s="170">
        <f>COUNTIF('INPUT - Roster'!$CK$6:$CK$206,"*DRV-OUT*")+COUNTIF('INPUT - Roster'!$CK$6:$CK$206,"*DRIVE OUT*")+COUNTIF('INPUT - Roster'!$CK$6:$CK$206,"DO *")</f>
        <v/>
      </c>
      <c r="BV31" s="170">
        <f>COUNTIF('INPUT - Roster'!$CL$6:$CL$206,"*DRV-OUT*")+COUNTIF('INPUT - Roster'!$CL$6:$CL$206,"*DRIVE OUT*")+COUNTIF('INPUT - Roster'!$CL$6:$CL$206,"DO *")</f>
        <v/>
      </c>
      <c r="BW31" s="170">
        <f>COUNTIF('INPUT - Roster'!$CM$6:$CM$206,"*DRV-OUT*")+COUNTIF('INPUT - Roster'!$CM$6:$CM$206,"*DRIVE OUT*")+COUNTIF('INPUT - Roster'!$CM$6:$CM$206,"DO *")</f>
        <v/>
      </c>
      <c r="BX31" s="170">
        <f>COUNTIF('INPUT - Roster'!$CN$6:$CN$206,"*DRV-OUT*")+COUNTIF('INPUT - Roster'!$CN$6:$CN$206,"*DRIVE OUT*")+COUNTIF('INPUT - Roster'!$CN$6:$CN$206,"DO *")</f>
        <v/>
      </c>
      <c r="BY31" s="170">
        <f>COUNTIF('INPUT - Roster'!$CO$6:$CO$206,"*DRV-OUT*")+COUNTIF('INPUT - Roster'!$CO$6:$CO$206,"*DRIVE OUT*")+COUNTIF('INPUT - Roster'!$CO$6:$CO$206,"DO *")</f>
        <v/>
      </c>
      <c r="BZ31" s="170">
        <f>COUNTIF('INPUT - Roster'!$CP$6:$CP$206,"*DRV-OUT*")+COUNTIF('INPUT - Roster'!$CP$6:$CP$206,"*DRIVE OUT*")+COUNTIF('INPUT - Roster'!$CP$6:$CP$206,"DO *")</f>
        <v/>
      </c>
      <c r="CA31" s="170">
        <f>COUNTIF('INPUT - Roster'!$CQ$6:$CQ$206,"*DRV-OUT*")+COUNTIF('INPUT - Roster'!$CQ$6:$CQ$206,"*DRIVE OUT*")+COUNTIF('INPUT - Roster'!$CQ$6:$CQ$206,"DO *")</f>
        <v/>
      </c>
      <c r="CB31" s="170">
        <f>COUNTIF('INPUT - Roster'!$CR$6:$CR$206,"*DRV-OUT*")+COUNTIF('INPUT - Roster'!$CR$6:$CR$206,"*DRIVE OUT*")+COUNTIF('INPUT - Roster'!$CR$6:$CR$206,"DO *")</f>
        <v/>
      </c>
      <c r="CC31" s="170">
        <f>COUNTIF('INPUT - Roster'!$CS$6:$CS$206,"*DRV-OUT*")+COUNTIF('INPUT - Roster'!$CS$6:$CS$206,"*DRIVE OUT*")+COUNTIF('INPUT - Roster'!$CS$6:$CS$206,"DO *")</f>
        <v/>
      </c>
      <c r="CD31" s="170">
        <f>COUNTIF('INPUT - Roster'!$CT$6:$CT$206,"*DRV-OUT*")+COUNTIF('INPUT - Roster'!$CT$6:$CT$206,"*DRIVE OUT*")+COUNTIF('INPUT - Roster'!$CT$6:$CT$206,"DO *")</f>
        <v/>
      </c>
      <c r="CE31" s="170">
        <f>COUNTIF('INPUT - Roster'!$CU$6:$CU$206,"*DRV-OUT*")+COUNTIF('INPUT - Roster'!$CU$6:$CU$206,"*DRIVE OUT*")+COUNTIF('INPUT - Roster'!$CU$6:$CU$206,"DO *")</f>
        <v/>
      </c>
      <c r="CF31" s="170">
        <f>COUNTIF('INPUT - Roster'!$CV$6:$CV$206,"*DRV-OUT*")+COUNTIF('INPUT - Roster'!$CV$6:$CV$206,"*DRIVE OUT*")+COUNTIF('INPUT - Roster'!$CV$6:$CV$206,"DO *")</f>
        <v/>
      </c>
      <c r="CG31" s="170">
        <f>COUNTIF('INPUT - Roster'!$CW$6:$CW$206,"*DRV-OUT*")+COUNTIF('INPUT - Roster'!$CW$6:$CW$206,"*DRIVE OUT*")+COUNTIF('INPUT - Roster'!$CW$6:$CW$206,"DO *")</f>
        <v/>
      </c>
      <c r="CH31" s="170">
        <f>COUNTIF('INPUT - Roster'!$CX$6:$CX$206,"*DRV-OUT*")+COUNTIF('INPUT - Roster'!$CX$6:$CX$206,"*DRIVE OUT*")+COUNTIF('INPUT - Roster'!$CX$6:$CX$206,"DO *")</f>
        <v/>
      </c>
      <c r="CI31" s="170">
        <f>COUNTIF('INPUT - Roster'!$CY$6:$CY$206,"*DRV-OUT*")+COUNTIF('INPUT - Roster'!$CY$6:$CY$206,"*DRIVE OUT*")+COUNTIF('INPUT - Roster'!$CY$6:$CY$206,"DO *")</f>
        <v/>
      </c>
      <c r="CJ31" s="170">
        <f>COUNTIF('INPUT - Roster'!$CZ$6:$CZ$206,"*DRV-OUT*")+COUNTIF('INPUT - Roster'!$CZ$6:$CZ$206,"*DRIVE OUT*")+COUNTIF('INPUT - Roster'!$CZ$6:$CZ$206,"DO *")</f>
        <v/>
      </c>
      <c r="CK31" s="170">
        <f>COUNTIF('INPUT - Roster'!$DA$6:$DA$206,"*DRV-OUT*")+COUNTIF('INPUT - Roster'!$DA$6:$DA$206,"*DRIVE OUT*")+COUNTIF('INPUT - Roster'!$DA$6:$DA$206,"DO *")</f>
        <v/>
      </c>
      <c r="CL31" s="170">
        <f>COUNTIF('INPUT - Roster'!$DB$6:$DB$206,"*DRV-OUT*")+COUNTIF('INPUT - Roster'!$DB$6:$DB$206,"*DRIVE OUT*")+COUNTIF('INPUT - Roster'!$DB$6:$DB$206,"DO *")</f>
        <v/>
      </c>
      <c r="CM31" s="170">
        <f>COUNTIF('INPUT - Roster'!$DC$6:$DC$206,"*DRV-OUT*")+COUNTIF('INPUT - Roster'!$DC$6:$DC$206,"*DRIVE OUT*")+COUNTIF('INPUT - Roster'!$DC$6:$DC$206,"DO *")</f>
        <v/>
      </c>
      <c r="CN31" s="170">
        <f>COUNTIF('INPUT - Roster'!$DD$6:$DD$206,"*DRV-OUT*")+COUNTIF('INPUT - Roster'!$DD$6:$DD$206,"*DRIVE OUT*")+COUNTIF('INPUT - Roster'!$DD$6:$DD$206,"DO *")</f>
        <v/>
      </c>
      <c r="CO31" s="170">
        <f>COUNTIF('INPUT - Roster'!$DE$6:$DE$206,"*DRV-OUT*")+COUNTIF('INPUT - Roster'!$DE$6:$DE$206,"*DRIVE OUT*")+COUNTIF('INPUT - Roster'!$DE$6:$DE$206,"DO *")</f>
        <v/>
      </c>
      <c r="CP31" s="170">
        <f>COUNTIF('INPUT - Roster'!$DF$6:$DF$206,"*DRV-OUT*")+COUNTIF('INPUT - Roster'!$DF$6:$DF$206,"*DRIVE OUT*")+COUNTIF('INPUT - Roster'!$DF$6:$DF$206,"DO *")</f>
        <v/>
      </c>
      <c r="CQ31" s="170">
        <f>COUNTIF('INPUT - Roster'!$DG$6:$DG$206,"*DRV-OUT*")+COUNTIF('INPUT - Roster'!$DG$6:$DG$206,"*DRIVE OUT*")+COUNTIF('INPUT - Roster'!$DG$6:$DG$206,"DO *")</f>
        <v/>
      </c>
      <c r="CR31" s="170">
        <f>COUNTIF('INPUT - Roster'!$DH$6:$DH$206,"*DRV-OUT*")+COUNTIF('INPUT - Roster'!$DH$6:$DH$206,"*DRIVE OUT*")+COUNTIF('INPUT - Roster'!$DH$6:$DH$206,"DO *")</f>
        <v/>
      </c>
      <c r="CS31" s="170">
        <f>COUNTIF('INPUT - Roster'!$DI$6:$DI$206,"*DRV-OUT*")+COUNTIF('INPUT - Roster'!$DI$6:$DI$206,"*DRIVE OUT*")+COUNTIF('INPUT - Roster'!$DI$6:$DI$206,"DO *")</f>
        <v/>
      </c>
      <c r="CT31" s="170">
        <f>COUNTIF('INPUT - Roster'!$DJ$6:$DJ$206,"*DRV-OUT*")+COUNTIF('INPUT - Roster'!$DJ$6:$DJ$206,"*DRIVE OUT*")+COUNTIF('INPUT - Roster'!$DJ$6:$DJ$206,"DO *")</f>
        <v/>
      </c>
      <c r="CU31" s="170">
        <f>COUNTIF('INPUT - Roster'!$DK$6:$DK$206,"*DRV-OUT*")+COUNTIF('INPUT - Roster'!$DK$6:$DK$206,"*DRIVE OUT*")+COUNTIF('INPUT - Roster'!$DK$6:$DK$206,"DO *")</f>
        <v/>
      </c>
      <c r="CV31" s="170">
        <f>COUNTIF('INPUT - Roster'!$DL$6:$DL$206,"*DRV-OUT*")+COUNTIF('INPUT - Roster'!$DL$6:$DL$206,"*DRIVE OUT*")+COUNTIF('INPUT - Roster'!$DL$6:$DL$206,"DO *")</f>
        <v/>
      </c>
      <c r="CW31" s="170">
        <f>COUNTIF('INPUT - Roster'!$DM$6:$DM$206,"*DRV-OUT*")+COUNTIF('INPUT - Roster'!$DM$6:$DM$206,"*DRIVE OUT*")+COUNTIF('INPUT - Roster'!$DM$6:$DM$206,"DO *")</f>
        <v/>
      </c>
      <c r="CX31" s="170">
        <f>COUNTIF('INPUT - Roster'!$DN$6:$DN$206,"*DRV-OUT*")+COUNTIF('INPUT - Roster'!$DN$6:$DN$206,"*DRIVE OUT*")+COUNTIF('INPUT - Roster'!$DN$6:$DN$206,"DO *")</f>
        <v/>
      </c>
      <c r="CY31" s="170">
        <f>COUNTIF('INPUT - Roster'!$DO$6:$DO$206,"*DRV-OUT*")+COUNTIF('INPUT - Roster'!$DO$6:$DO$206,"*DRIVE OUT*")+COUNTIF('INPUT - Roster'!$DO$6:$DO$206,"DO *")</f>
        <v/>
      </c>
      <c r="CZ31" s="170">
        <f>COUNTIF('INPUT - Roster'!$DP$6:$DP$206,"*DRV-OUT*")+COUNTIF('INPUT - Roster'!$DP$6:$DP$206,"*DRIVE OUT*")+COUNTIF('INPUT - Roster'!$DP$6:$DP$206,"DO *")</f>
        <v/>
      </c>
      <c r="DA31" s="170">
        <f>COUNTIF('INPUT - Roster'!$DQ$6:$DQ$206,"*DRV-OUT*")+COUNTIF('INPUT - Roster'!$DQ$6:$DQ$206,"*DRIVE OUT*")+COUNTIF('INPUT - Roster'!$DQ$6:$DQ$206,"DO *")</f>
        <v/>
      </c>
      <c r="DB31" s="170">
        <f>COUNTIF('INPUT - Roster'!$DR$6:$DR$206,"*DRV-OUT*")+COUNTIF('INPUT - Roster'!$DR$6:$DR$206,"*DRIVE OUT*")+COUNTIF('INPUT - Roster'!$DR$6:$DR$206,"DO *")</f>
        <v/>
      </c>
      <c r="DC31" s="170">
        <f>COUNTIF('INPUT - Roster'!$DS$6:$DS$206,"*DRV-OUT*")+COUNTIF('INPUT - Roster'!$DS$6:$DS$206,"*DRIVE OUT*")+COUNTIF('INPUT - Roster'!$DS$6:$DS$206,"DO *")</f>
        <v/>
      </c>
      <c r="DD31" s="170">
        <f>COUNTIF('INPUT - Roster'!$DT$6:$DT$206,"*DRV-OUT*")+COUNTIF('INPUT - Roster'!$DT$6:$DT$206,"*DRIVE OUT*")+COUNTIF('INPUT - Roster'!$DT$6:$DT$206,"DO *")</f>
        <v/>
      </c>
      <c r="DE31" s="170">
        <f>COUNTIF('INPUT - Roster'!$DU$6:$DU$206,"*DRV-OUT*")+COUNTIF('INPUT - Roster'!$DU$6:$DU$206,"*DRIVE OUT*")+COUNTIF('INPUT - Roster'!$DU$6:$DU$206,"DO *")</f>
        <v/>
      </c>
      <c r="DF31" s="170">
        <f>COUNTIF('INPUT - Roster'!$DV$6:$DV$206,"*DRV-OUT*")+COUNTIF('INPUT - Roster'!$DV$6:$DV$206,"*DRIVE OUT*")+COUNTIF('INPUT - Roster'!$DV$6:$DV$206,"DO *")</f>
        <v/>
      </c>
      <c r="DG31" s="170">
        <f>COUNTIF('INPUT - Roster'!$DW$6:$DW$206,"*DRV-OUT*")+COUNTIF('INPUT - Roster'!$DW$6:$DW$206,"*DRIVE OUT*")+COUNTIF('INPUT - Roster'!$DW$6:$DW$206,"DO *")</f>
        <v/>
      </c>
      <c r="DH31" s="170">
        <f>COUNTIF('INPUT - Roster'!$DX$6:$DX$206,"*DRV-OUT*")+COUNTIF('INPUT - Roster'!$DX$6:$DX$206,"*DRIVE OUT*")+COUNTIF('INPUT - Roster'!$DX$6:$DX$206,"DO *")</f>
        <v/>
      </c>
      <c r="DI31" s="170">
        <f>COUNTIF('INPUT - Roster'!$DY$6:$DY$206,"*DRV-OUT*")+COUNTIF('INPUT - Roster'!$DY$6:$DY$206,"*DRIVE OUT*")+COUNTIF('INPUT - Roster'!$DY$6:$DY$206,"DO *")</f>
        <v/>
      </c>
      <c r="DJ31" s="170">
        <f>COUNTIF('INPUT - Roster'!$DZ$6:$DZ$206,"*DRV-OUT*")+COUNTIF('INPUT - Roster'!$DZ$6:$DZ$206,"*DRIVE OUT*")+COUNTIF('INPUT - Roster'!$DZ$6:$DZ$206,"DO *")</f>
        <v/>
      </c>
      <c r="DK31" s="170">
        <f>COUNTIF('INPUT - Roster'!$EA$6:$EA$206,"*DRV-OUT*")+COUNTIF('INPUT - Roster'!$EA$6:$EA$206,"*DRIVE OUT*")+COUNTIF('INPUT - Roster'!$EA$6:$EA$206,"DO *")</f>
        <v/>
      </c>
      <c r="DL31" s="170">
        <f>COUNTIF('INPUT - Roster'!$EB$6:$EB$206,"*DRV-OUT*")+COUNTIF('INPUT - Roster'!$EB$6:$EB$206,"*DRIVE OUT*")+COUNTIF('INPUT - Roster'!$EB$6:$EB$206,"DO *")</f>
        <v/>
      </c>
      <c r="DM31" s="170">
        <f>COUNTIF('INPUT - Roster'!$EC$6:$EC$206,"*DRV-OUT*")+COUNTIF('INPUT - Roster'!$EC$6:$EC$206,"*DRIVE OUT*")+COUNTIF('INPUT - Roster'!$EC$6:$EC$206,"DO *")</f>
        <v/>
      </c>
      <c r="DN31" s="170">
        <f>COUNTIF('INPUT - Roster'!$ED$6:$ED$206,"*DRV-OUT*")+COUNTIF('INPUT - Roster'!$ED$6:$ED$206,"*DRIVE OUT*")+COUNTIF('INPUT - Roster'!$ED$6:$ED$206,"DO *")</f>
        <v/>
      </c>
      <c r="DO31" s="170">
        <f>COUNTIF('INPUT - Roster'!$EE$6:$EE$206,"*DRV-OUT*")+COUNTIF('INPUT - Roster'!$EE$6:$EE$206,"*DRIVE OUT*")+COUNTIF('INPUT - Roster'!$EE$6:$EE$206,"DO *")</f>
        <v/>
      </c>
      <c r="DP31" s="170">
        <f>COUNTIF('INPUT - Roster'!$EF$6:$EF$206,"*DRV-OUT*")+COUNTIF('INPUT - Roster'!$EF$6:$EF$206,"*DRIVE OUT*")+COUNTIF('INPUT - Roster'!$EF$6:$EF$206,"DO *")</f>
        <v/>
      </c>
      <c r="DQ31" s="170">
        <f>COUNTIF('INPUT - Roster'!$EG$6:$EG$206,"*DRV-OUT*")+COUNTIF('INPUT - Roster'!$EG$6:$EG$206,"*DRIVE OUT*")+COUNTIF('INPUT - Roster'!$EG$6:$EG$206,"DO *")</f>
        <v/>
      </c>
      <c r="DR31" s="170">
        <f>COUNTIF('INPUT - Roster'!$EH$6:$EH$206,"*DRV-OUT*")+COUNTIF('INPUT - Roster'!$EH$6:$EH$206,"*DRIVE OUT*")+COUNTIF('INPUT - Roster'!$EH$6:$EH$206,"DO *")</f>
        <v/>
      </c>
      <c r="DS31" s="170">
        <f>COUNTIF('INPUT - Roster'!$EI$6:$EI$206,"*DRV-OUT*")+COUNTIF('INPUT - Roster'!$EI$6:$EI$206,"*DRIVE OUT*")+COUNTIF('INPUT - Roster'!$EI$6:$EI$206,"DO *")</f>
        <v/>
      </c>
      <c r="DT31" s="170">
        <f>COUNTIF('INPUT - Roster'!$EJ$6:$EJ$206,"*DRV-OUT*")+COUNTIF('INPUT - Roster'!$EJ$6:$EJ$206,"*DRIVE OUT*")+COUNTIF('INPUT - Roster'!$EJ$6:$EJ$206,"DO *")</f>
        <v/>
      </c>
      <c r="DU31" s="170">
        <f>COUNTIF('INPUT - Roster'!$EK$6:$EK$206,"*DRV-OUT*")+COUNTIF('INPUT - Roster'!$EK$6:$EK$206,"*DRIVE OUT*")+COUNTIF('INPUT - Roster'!$EK$6:$EK$206,"DO *")</f>
        <v/>
      </c>
      <c r="DV31" s="170">
        <f>COUNTIF('INPUT - Roster'!$EL$6:$EL$206,"*DRV-OUT*")+COUNTIF('INPUT - Roster'!$EL$6:$EL$206,"*DRIVE OUT*")+COUNTIF('INPUT - Roster'!$EL$6:$EL$206,"DO *")</f>
        <v/>
      </c>
      <c r="DW31" s="170">
        <f>COUNTIF('INPUT - Roster'!$EM$6:$EM$206,"*DRV-OUT*")+COUNTIF('INPUT - Roster'!$EM$6:$EM$206,"*DRIVE OUT*")+COUNTIF('INPUT - Roster'!$EM$6:$EM$206,"DO *")</f>
        <v/>
      </c>
      <c r="DX31" s="170">
        <f>COUNTIF('INPUT - Roster'!$EN$6:$EN$206,"*DRV-OUT*")+COUNTIF('INPUT - Roster'!$EN$6:$EN$206,"*DRIVE OUT*")+COUNTIF('INPUT - Roster'!$EN$6:$EN$206,"DO *")</f>
        <v/>
      </c>
      <c r="DY31" s="170">
        <f>COUNTIF('INPUT - Roster'!$EO$6:$EO$206,"*DRV-OUT*")+COUNTIF('INPUT - Roster'!$EO$6:$EO$206,"*DRIVE OUT*")+COUNTIF('INPUT - Roster'!$EO$6:$EO$206,"DO *")</f>
        <v/>
      </c>
      <c r="DZ31" s="170">
        <f>COUNTIF('INPUT - Roster'!$EP$6:$EP$206,"*DRV-OUT*")+COUNTIF('INPUT - Roster'!$EP$6:$EP$206,"*DRIVE OUT*")+COUNTIF('INPUT - Roster'!$EP$6:$EP$206,"DO *")</f>
        <v/>
      </c>
      <c r="EA31" s="170">
        <f>COUNTIF('INPUT - Roster'!$EQ$6:$EQ$206,"*DRV-OUT*")+COUNTIF('INPUT - Roster'!$EQ$6:$EQ$206,"*DRIVE OUT*")+COUNTIF('INPUT - Roster'!$EQ$6:$EQ$206,"DO *")</f>
        <v/>
      </c>
      <c r="EB31" s="170">
        <f>COUNTIF('INPUT - Roster'!$ER$6:$ER$206,"*DRV-OUT*")+COUNTIF('INPUT - Roster'!$ER$6:$ER$206,"*DRIVE OUT*")+COUNTIF('INPUT - Roster'!$ER$6:$ER$206,"DO *")</f>
        <v/>
      </c>
      <c r="EC31" s="170">
        <f>COUNTIF('INPUT - Roster'!$ES$6:$ES$206,"*DRV-OUT*")+COUNTIF('INPUT - Roster'!$ES$6:$ES$206,"*DRIVE OUT*")+COUNTIF('INPUT - Roster'!$ES$6:$ES$206,"DO *")</f>
        <v/>
      </c>
      <c r="ED31" s="170">
        <f>COUNTIF('INPUT - Roster'!$ET$6:$ET$206,"*DRV-OUT*")+COUNTIF('INPUT - Roster'!$ET$6:$ET$206,"*DRIVE OUT*")+COUNTIF('INPUT - Roster'!$ET$6:$ET$206,"DO *")</f>
        <v/>
      </c>
      <c r="EE31" s="170">
        <f>COUNTIF('INPUT - Roster'!$EU$6:$EU$206,"*DRV-OUT*")+COUNTIF('INPUT - Roster'!$EU$6:$EU$206,"*DRIVE OUT*")+COUNTIF('INPUT - Roster'!$EU$6:$EU$206,"DO *")</f>
        <v/>
      </c>
      <c r="EF31" s="170">
        <f>COUNTIF('INPUT - Roster'!$EV$6:$EV$206,"*DRV-OUT*")+COUNTIF('INPUT - Roster'!$EV$6:$EV$206,"*DRIVE OUT*")+COUNTIF('INPUT - Roster'!$EV$6:$EV$206,"DO *")</f>
        <v/>
      </c>
      <c r="EG31" s="170">
        <f>COUNTIF('INPUT - Roster'!$EW$6:$EW$206,"*DRV-OUT*")+COUNTIF('INPUT - Roster'!$EW$6:$EW$206,"*DRIVE OUT*")+COUNTIF('INPUT - Roster'!$EW$6:$EW$206,"DO *")</f>
        <v/>
      </c>
      <c r="EH31" s="170">
        <f>COUNTIF('INPUT - Roster'!$EX$6:$EX$206,"*DRV-OUT*")+COUNTIF('INPUT - Roster'!$EX$6:$EX$206,"*DRIVE OUT*")+COUNTIF('INPUT - Roster'!$EX$6:$EX$206,"DO *")</f>
        <v/>
      </c>
      <c r="EI31" s="170">
        <f>COUNTIF('INPUT - Roster'!$EY$6:$EY$206,"*DRV-OUT*")+COUNTIF('INPUT - Roster'!$EY$6:$EY$206,"*DRIVE OUT*")+COUNTIF('INPUT - Roster'!$EY$6:$EY$206,"DO *")</f>
        <v/>
      </c>
      <c r="EJ31" s="170">
        <f>COUNTIF('INPUT - Roster'!$EZ$6:$EZ$206,"*DRV-OUT*")+COUNTIF('INPUT - Roster'!$EZ$6:$EZ$206,"*DRIVE OUT*")+COUNTIF('INPUT - Roster'!$EZ$6:$EZ$206,"DO *")</f>
        <v/>
      </c>
      <c r="EK31" s="170">
        <f>COUNTIF('INPUT - Roster'!$FA$6:$FA$206,"*DRV-OUT*")+COUNTIF('INPUT - Roster'!$FA$6:$FA$206,"*DRIVE OUT*")+COUNTIF('INPUT - Roster'!$FA$6:$FA$206,"DO *")</f>
        <v/>
      </c>
      <c r="EL31" s="170">
        <f>COUNTIF('INPUT - Roster'!$FB$6:$FB$206,"*DRV-OUT*")+COUNTIF('INPUT - Roster'!$FB$6:$FB$206,"*DRIVE OUT*")+COUNTIF('INPUT - Roster'!$FB$6:$FB$206,"DO *")</f>
        <v/>
      </c>
      <c r="EM31" s="170">
        <f>COUNTIF('INPUT - Roster'!$FC$6:$FC$206,"*DRV-OUT*")+COUNTIF('INPUT - Roster'!$FC$6:$FC$206,"*DRIVE OUT*")+COUNTIF('INPUT - Roster'!$FC$6:$FC$206,"DO *")</f>
        <v/>
      </c>
      <c r="EN31" s="170">
        <f>COUNTIF('INPUT - Roster'!$FD$6:$FD$206,"*DRV-OUT*")+COUNTIF('INPUT - Roster'!$FD$6:$FD$206,"*DRIVE OUT*")+COUNTIF('INPUT - Roster'!$FD$6:$FD$206,"DO *")</f>
        <v/>
      </c>
      <c r="EO31" s="170">
        <f>COUNTIF('INPUT - Roster'!$FE$6:$FE$206,"*DRV-OUT*")+COUNTIF('INPUT - Roster'!$FE$6:$FE$206,"*DRIVE OUT*")+COUNTIF('INPUT - Roster'!$FE$6:$FE$206,"DO *")</f>
        <v/>
      </c>
      <c r="EP31" s="170">
        <f>COUNTIF('INPUT - Roster'!$FF$6:$FF$206,"*DRV-OUT*")+COUNTIF('INPUT - Roster'!$FF$6:$FF$206,"*DRIVE OUT*")+COUNTIF('INPUT - Roster'!$FF$6:$FF$206,"DO *")</f>
        <v/>
      </c>
      <c r="EQ31" s="170">
        <f>COUNTIF('INPUT - Roster'!$FG$6:$FG$206,"*DRV-OUT*")+COUNTIF('INPUT - Roster'!$FG$6:$FG$206,"*DRIVE OUT*")+COUNTIF('INPUT - Roster'!$FG$6:$FG$206,"DO *")</f>
        <v/>
      </c>
      <c r="ER31" s="170">
        <f>COUNTIF('INPUT - Roster'!$FH$6:$FH$206,"*DRV-OUT*")+COUNTIF('INPUT - Roster'!$FH$6:$FH$206,"*DRIVE OUT*")+COUNTIF('INPUT - Roster'!$FH$6:$FH$206,"DO *")</f>
        <v/>
      </c>
      <c r="ES31" s="170">
        <f>COUNTIF('INPUT - Roster'!$FI$6:$FI$206,"*DRV-OUT*")+COUNTIF('INPUT - Roster'!$FI$6:$FI$206,"*DRIVE OUT*")+COUNTIF('INPUT - Roster'!$FI$6:$FI$206,"DO *")</f>
        <v/>
      </c>
      <c r="ET31" s="170">
        <f>COUNTIF('INPUT - Roster'!$FJ$6:$FJ$206,"*DRV-OUT*")+COUNTIF('INPUT - Roster'!$FJ$6:$FJ$206,"*DRIVE OUT*")+COUNTIF('INPUT - Roster'!$FJ$6:$FJ$206,"DO *")</f>
        <v/>
      </c>
      <c r="EU31" s="170">
        <f>COUNTIF('INPUT - Roster'!$FK$6:$FK$206,"*DRV-OUT*")+COUNTIF('INPUT - Roster'!$FK$6:$FK$206,"*DRIVE OUT*")+COUNTIF('INPUT - Roster'!$FK$6:$FK$206,"DO *")</f>
        <v/>
      </c>
      <c r="EV31" s="170">
        <f>COUNTIF('INPUT - Roster'!$FL$6:$FL$206,"*DRV-OUT*")+COUNTIF('INPUT - Roster'!$FL$6:$FL$206,"*DRIVE OUT*")+COUNTIF('INPUT - Roster'!$FL$6:$FL$206,"DO *")</f>
        <v/>
      </c>
      <c r="EW31" s="170">
        <f>COUNTIF('INPUT - Roster'!$FM$6:$FM$206,"*DRV-OUT*")+COUNTIF('INPUT - Roster'!$FM$6:$FM$206,"*DRIVE OUT*")+COUNTIF('INPUT - Roster'!$FM$6:$FM$206,"DO *")</f>
        <v/>
      </c>
      <c r="EX31" s="170">
        <f>COUNTIF('INPUT - Roster'!$FN$6:$FN$206,"*DRV-OUT*")+COUNTIF('INPUT - Roster'!$FN$6:$FN$206,"*DRIVE OUT*")+COUNTIF('INPUT - Roster'!$FN$6:$FN$206,"DO *")</f>
        <v/>
      </c>
      <c r="EY31" s="170">
        <f>COUNTIF('INPUT - Roster'!$FO$6:$FO$206,"*DRV-OUT*")+COUNTIF('INPUT - Roster'!$FO$6:$FO$206,"*DRIVE OUT*")+COUNTIF('INPUT - Roster'!$FO$6:$FO$206,"DO *")</f>
        <v/>
      </c>
      <c r="EZ31" s="170">
        <f>COUNTIF('INPUT - Roster'!$FP$6:$FP$206,"*DRV-OUT*")+COUNTIF('INPUT - Roster'!$FP$6:$FP$206,"*DRIVE OUT*")+COUNTIF('INPUT - Roster'!$FP$6:$FP$206,"DO *")</f>
        <v/>
      </c>
      <c r="FA31" s="170">
        <f>COUNTIF('INPUT - Roster'!$FQ$6:$FQ$206,"*DRV-OUT*")+COUNTIF('INPUT - Roster'!$FQ$6:$FQ$206,"*DRIVE OUT*")+COUNTIF('INPUT - Roster'!$FQ$6:$FQ$206,"DO *")</f>
        <v/>
      </c>
      <c r="FB31" s="170">
        <f>COUNTIF('INPUT - Roster'!$FR$6:$FR$206,"*DRV-OUT*")+COUNTIF('INPUT - Roster'!$FR$6:$FR$206,"*DRIVE OUT*")+COUNTIF('INPUT - Roster'!$FR$6:$FR$206,"DO *")</f>
        <v/>
      </c>
      <c r="FC31" s="170">
        <f>COUNTIF('INPUT - Roster'!$FS$6:$FS$206,"*DRV-OUT*")+COUNTIF('INPUT - Roster'!$FS$6:$FS$206,"*DRIVE OUT*")+COUNTIF('INPUT - Roster'!$FS$6:$FS$206,"DO *")</f>
        <v/>
      </c>
      <c r="FD31" s="170">
        <f>COUNTIF('INPUT - Roster'!$FT$6:$FT$206,"*DRV-OUT*")+COUNTIF('INPUT - Roster'!$FT$6:$FT$206,"*DRIVE OUT*")+COUNTIF('INPUT - Roster'!$FT$6:$FT$206,"DO *")</f>
        <v/>
      </c>
      <c r="FE31" s="170">
        <f>COUNTIF('INPUT - Roster'!$FU$6:$FU$206,"*DRV-OUT*")+COUNTIF('INPUT - Roster'!$FU$6:$FU$206,"*DRIVE OUT*")+COUNTIF('INPUT - Roster'!$FU$6:$FU$206,"DO *")</f>
        <v/>
      </c>
      <c r="FF31" s="170">
        <f>COUNTIF('INPUT - Roster'!$FV$6:$FV$206,"*DRV-OUT*")+COUNTIF('INPUT - Roster'!$FV$6:$FV$206,"*DRIVE OUT*")+COUNTIF('INPUT - Roster'!$FV$6:$FV$206,"DO *")</f>
        <v/>
      </c>
      <c r="FG31" s="170">
        <f>COUNTIF('INPUT - Roster'!$FW$6:$FW$206,"*DRV-OUT*")+COUNTIF('INPUT - Roster'!$FW$6:$FW$206,"*DRIVE OUT*")+COUNTIF('INPUT - Roster'!$FW$6:$FW$206,"DO *")</f>
        <v/>
      </c>
      <c r="FH31" s="170">
        <f>COUNTIF('INPUT - Roster'!$FX$6:$FX$206,"*DRV-OUT*")+COUNTIF('INPUT - Roster'!$FX$6:$FX$206,"*DRIVE OUT*")+COUNTIF('INPUT - Roster'!$FX$6:$FX$206,"DO *")</f>
        <v/>
      </c>
      <c r="FI31" s="170">
        <f>COUNTIF('INPUT - Roster'!$FY$6:$FY$206,"*DRV-OUT*")+COUNTIF('INPUT - Roster'!$FY$6:$FY$206,"*DRIVE OUT*")+COUNTIF('INPUT - Roster'!$FY$6:$FY$206,"DO *")</f>
        <v/>
      </c>
      <c r="FJ31" s="170">
        <f>COUNTIF('INPUT - Roster'!$FZ$6:$FZ$206,"*DRV-OUT*")+COUNTIF('INPUT - Roster'!$FZ$6:$FZ$206,"*DRIVE OUT*")+COUNTIF('INPUT - Roster'!$FZ$6:$FZ$206,"DO *")</f>
        <v/>
      </c>
      <c r="FK31" s="170">
        <f>COUNTIF('INPUT - Roster'!$GA$6:$GA$206,"*DRV-OUT*")+COUNTIF('INPUT - Roster'!$GA$6:$GA$206,"*DRIVE OUT*")+COUNTIF('INPUT - Roster'!$GA$6:$GA$206,"DO *")</f>
        <v/>
      </c>
      <c r="FL31" s="170">
        <f>COUNTIF('INPUT - Roster'!$GB$6:$GB$206,"*DRV-OUT*")+COUNTIF('INPUT - Roster'!$GB$6:$GB$206,"*DRIVE OUT*")+COUNTIF('INPUT - Roster'!$GB$6:$GB$206,"DO *")</f>
        <v/>
      </c>
      <c r="FM31" s="170">
        <f>COUNTIF('INPUT - Roster'!$GC$6:$GC$206,"*DRV-OUT*")+COUNTIF('INPUT - Roster'!$GC$6:$GC$206,"*DRIVE OUT*")+COUNTIF('INPUT - Roster'!$GC$6:$GC$206,"DO *")</f>
        <v/>
      </c>
      <c r="FN31" s="170">
        <f>COUNTIF('INPUT - Roster'!$GD$6:$GD$206,"*DRV-OUT*")+COUNTIF('INPUT - Roster'!$GD$6:$GD$206,"*DRIVE OUT*")+COUNTIF('INPUT - Roster'!$GD$6:$GD$206,"DO *")</f>
        <v/>
      </c>
      <c r="FO31" s="170">
        <f>COUNTIF('INPUT - Roster'!$GE$6:$GE$206,"*DRV-OUT*")+COUNTIF('INPUT - Roster'!$GE$6:$GE$206,"*DRIVE OUT*")+COUNTIF('INPUT - Roster'!$GE$6:$GE$206,"DO *")</f>
        <v/>
      </c>
      <c r="FP31" s="170">
        <f>COUNTIF('INPUT - Roster'!$GF$6:$GF$206,"*DRV-OUT*")+COUNTIF('INPUT - Roster'!$GF$6:$GF$206,"*DRIVE OUT*")+COUNTIF('INPUT - Roster'!$GF$6:$GF$206,"DO *")</f>
        <v/>
      </c>
      <c r="FQ31" s="170">
        <f>COUNTIF('INPUT - Roster'!$GG$6:$GG$206,"*DRV-OUT*")+COUNTIF('INPUT - Roster'!$GG$6:$GG$206,"*DRIVE OUT*")+COUNTIF('INPUT - Roster'!$GG$6:$GG$206,"DO *")</f>
        <v/>
      </c>
      <c r="FR31" s="170">
        <f>COUNTIF('INPUT - Roster'!$GH$6:$GH$206,"*DRV-OUT*")+COUNTIF('INPUT - Roster'!$GH$6:$GH$206,"*DRIVE OUT*")+COUNTIF('INPUT - Roster'!$GH$6:$GH$206,"DO *")</f>
        <v/>
      </c>
      <c r="FS31" s="170">
        <f>COUNTIF('INPUT - Roster'!$GI$6:$GI$206,"*DRV-OUT*")+COUNTIF('INPUT - Roster'!$GI$6:$GI$206,"*DRIVE OUT*")+COUNTIF('INPUT - Roster'!$GI$6:$GI$206,"DO *")</f>
        <v/>
      </c>
      <c r="FT31" s="170">
        <f>COUNTIF('INPUT - Roster'!$GJ$6:$GJ$206,"*DRV-OUT*")+COUNTIF('INPUT - Roster'!$GJ$6:$GJ$206,"*DRIVE OUT*")+COUNTIF('INPUT - Roster'!$GJ$6:$GJ$206,"DO *")</f>
        <v/>
      </c>
      <c r="FU31" s="170">
        <f>COUNTIF('INPUT - Roster'!$GK$6:$GK$206,"*DRV-OUT*")+COUNTIF('INPUT - Roster'!$GK$6:$GK$206,"*DRIVE OUT*")+COUNTIF('INPUT - Roster'!$GK$6:$GK$206,"DO *")</f>
        <v/>
      </c>
      <c r="FV31" s="170">
        <f>COUNTIF('INPUT - Roster'!$GL$6:$GL$206,"*DRV-OUT*")+COUNTIF('INPUT - Roster'!$GL$6:$GL$206,"*DRIVE OUT*")+COUNTIF('INPUT - Roster'!$GL$6:$GL$206,"DO *")</f>
        <v/>
      </c>
      <c r="FW31" s="170">
        <f>COUNTIF('INPUT - Roster'!$GM$6:$GM$206,"*DRV-OUT*")+COUNTIF('INPUT - Roster'!$GM$6:$GM$206,"*DRIVE OUT*")+COUNTIF('INPUT - Roster'!$GM$6:$GM$206,"DO *")</f>
        <v/>
      </c>
      <c r="FX31" s="170">
        <f>COUNTIF('INPUT - Roster'!$GN$6:$GN$206,"*DRV-OUT*")+COUNTIF('INPUT - Roster'!$GN$6:$GN$206,"*DRIVE OUT*")+COUNTIF('INPUT - Roster'!$GN$6:$GN$206,"DO *")</f>
        <v/>
      </c>
      <c r="FY31" s="170">
        <f>COUNTIF('INPUT - Roster'!$GO$6:$GO$206,"*DRV-OUT*")+COUNTIF('INPUT - Roster'!$GO$6:$GO$206,"*DRIVE OUT*")+COUNTIF('INPUT - Roster'!$GO$6:$GO$206,"DO *")</f>
        <v/>
      </c>
      <c r="FZ31" s="170">
        <f>COUNTIF('INPUT - Roster'!$GP$6:$GP$206,"*DRV-OUT*")+COUNTIF('INPUT - Roster'!$GP$6:$GP$206,"*DRIVE OUT*")+COUNTIF('INPUT - Roster'!$GP$6:$GP$206,"DO *")</f>
        <v/>
      </c>
      <c r="GA31" s="170">
        <f>COUNTIF('INPUT - Roster'!$GQ$6:$GQ$206,"*DRV-OUT*")+COUNTIF('INPUT - Roster'!$GQ$6:$GQ$206,"*DRIVE OUT*")+COUNTIF('INPUT - Roster'!$GQ$6:$GQ$206,"DO *")</f>
        <v/>
      </c>
      <c r="GB31" s="170">
        <f>COUNTIF('INPUT - Roster'!$GR$6:$GR$206,"*DRV-OUT*")+COUNTIF('INPUT - Roster'!$GR$6:$GR$206,"*DRIVE OUT*")+COUNTIF('INPUT - Roster'!$GR$6:$GR$206,"DO *")</f>
        <v/>
      </c>
      <c r="GC31" s="170">
        <f>COUNTIF('INPUT - Roster'!$GS$6:$GS$206,"*DRV-OUT*")+COUNTIF('INPUT - Roster'!$GS$6:$GS$206,"*DRIVE OUT*")+COUNTIF('INPUT - Roster'!$GS$6:$GS$206,"DO *")</f>
        <v/>
      </c>
      <c r="GD31" s="170">
        <f>COUNTIF('INPUT - Roster'!$GT$6:$GT$206,"*DRV-OUT*")+COUNTIF('INPUT - Roster'!$GT$6:$GT$206,"*DRIVE OUT*")+COUNTIF('INPUT - Roster'!$GT$6:$GT$206,"DO *")</f>
        <v/>
      </c>
      <c r="GE31" s="170">
        <f>COUNTIF('INPUT - Roster'!$GU$6:$GU$206,"*DRV-OUT*")+COUNTIF('INPUT - Roster'!$GU$6:$GU$206,"*DRIVE OUT*")+COUNTIF('INPUT - Roster'!$GU$6:$GU$206,"DO *")</f>
        <v/>
      </c>
      <c r="GF31" s="170">
        <f>COUNTIF('INPUT - Roster'!$GV$6:$GV$206,"*DRV-OUT*")+COUNTIF('INPUT - Roster'!$GV$6:$GV$206,"*DRIVE OUT*")+COUNTIF('INPUT - Roster'!$GV$6:$GV$206,"DO *")</f>
        <v/>
      </c>
      <c r="GG31" s="170">
        <f>COUNTIF('INPUT - Roster'!$GW$6:$GW$206,"*DRV-OUT*")+COUNTIF('INPUT - Roster'!$GW$6:$GW$206,"*DRIVE OUT*")+COUNTIF('INPUT - Roster'!$GW$6:$GW$206,"DO *")</f>
        <v/>
      </c>
      <c r="GH31" s="170">
        <f>COUNTIF('INPUT - Roster'!$GX$6:$GX$206,"*DRV-OUT*")+COUNTIF('INPUT - Roster'!$GX$6:$GX$206,"*DRIVE OUT*")+COUNTIF('INPUT - Roster'!$GX$6:$GX$206,"DO *")</f>
        <v/>
      </c>
      <c r="GI31" s="170">
        <f>COUNTIF('INPUT - Roster'!$GY$6:$GY$206,"*DRV-OUT*")+COUNTIF('INPUT - Roster'!$GY$6:$GY$206,"*DRIVE OUT*")+COUNTIF('INPUT - Roster'!$GY$6:$GY$206,"DO *")</f>
        <v/>
      </c>
      <c r="GJ31" s="170">
        <f>COUNTIF('INPUT - Roster'!$GZ$6:$GZ$206,"*DRV-OUT*")+COUNTIF('INPUT - Roster'!$GZ$6:$GZ$206,"*DRIVE OUT*")+COUNTIF('INPUT - Roster'!$GZ$6:$GZ$206,"DO *")</f>
        <v/>
      </c>
      <c r="GK31" s="170">
        <f>COUNTIF('INPUT - Roster'!$HA$6:$HA$206,"*DRV-OUT*")+COUNTIF('INPUT - Roster'!$HA$6:$HA$206,"*DRIVE OUT*")+COUNTIF('INPUT - Roster'!$HA$6:$HA$206,"DO *")</f>
        <v/>
      </c>
      <c r="GL31" s="170">
        <f>COUNTIF('INPUT - Roster'!$HB$6:$HB$206,"*DRV-OUT*")+COUNTIF('INPUT - Roster'!$HB$6:$HB$206,"*DRIVE OUT*")+COUNTIF('INPUT - Roster'!$HB$6:$HB$206,"DO *")</f>
        <v/>
      </c>
      <c r="GM31" s="170">
        <f>COUNTIF('INPUT - Roster'!$HC$6:$HC$206,"*DRV-OUT*")+COUNTIF('INPUT - Roster'!$HC$6:$HC$206,"*DRIVE OUT*")+COUNTIF('INPUT - Roster'!$HC$6:$HC$206,"DO *")</f>
        <v/>
      </c>
      <c r="GN31" s="170">
        <f>COUNTIF('INPUT - Roster'!$HD$6:$HD$206,"*DRV-OUT*")+COUNTIF('INPUT - Roster'!$HD$6:$HD$206,"*DRIVE OUT*")+COUNTIF('INPUT - Roster'!$HD$6:$HD$206,"DO *")</f>
        <v/>
      </c>
      <c r="GO31" s="170">
        <f>COUNTIF('INPUT - Roster'!$HE$6:$HE$206,"*DRV-OUT*")+COUNTIF('INPUT - Roster'!$HE$6:$HE$206,"*DRIVE OUT*")+COUNTIF('INPUT - Roster'!$HE$6:$HE$206,"DO *")</f>
        <v/>
      </c>
      <c r="GP31" s="170">
        <f>COUNTIF('INPUT - Roster'!$HF$6:$HF$206,"*DRV-OUT*")+COUNTIF('INPUT - Roster'!$HF$6:$HF$206,"*DRIVE OUT*")+COUNTIF('INPUT - Roster'!$HF$6:$HF$206,"DO *")</f>
        <v/>
      </c>
      <c r="GQ31" s="170">
        <f>COUNTIF('INPUT - Roster'!$HG$6:$HG$206,"*DRV-OUT*")+COUNTIF('INPUT - Roster'!$HG$6:$HG$206,"*DRIVE OUT*")+COUNTIF('INPUT - Roster'!$HG$6:$HG$206,"DO *")</f>
        <v/>
      </c>
      <c r="GR31" s="170">
        <f>COUNTIF('INPUT - Roster'!$HH$6:$HH$206,"*DRV-OUT*")+COUNTIF('INPUT - Roster'!$HH$6:$HH$206,"*DRIVE OUT*")+COUNTIF('INPUT - Roster'!$HH$6:$HH$206,"DO *")</f>
        <v/>
      </c>
      <c r="GS31" s="170">
        <f>COUNTIF('INPUT - Roster'!$HI$6:$HI$206,"*DRV-OUT*")+COUNTIF('INPUT - Roster'!$HI$6:$HI$206,"*DRIVE OUT*")+COUNTIF('INPUT - Roster'!$HI$6:$HI$206,"DO *")</f>
        <v/>
      </c>
      <c r="GT31" s="170">
        <f>COUNTIF('INPUT - Roster'!$HJ$6:$HJ$206,"*DRV-OUT*")+COUNTIF('INPUT - Roster'!$HJ$6:$HJ$206,"*DRIVE OUT*")+COUNTIF('INPUT - Roster'!$HJ$6:$HJ$206,"DO *")</f>
        <v/>
      </c>
      <c r="GU31" s="170">
        <f>COUNTIF('INPUT - Roster'!$HK$6:$HK$206,"*DRV-OUT*")+COUNTIF('INPUT - Roster'!$HK$6:$HK$206,"*DRIVE OUT*")+COUNTIF('INPUT - Roster'!$HK$6:$HK$206,"DO *")</f>
        <v/>
      </c>
      <c r="GV31" s="170">
        <f>COUNTIF('INPUT - Roster'!$HL$6:$HL$206,"*DRV-OUT*")+COUNTIF('INPUT - Roster'!$HL$6:$HL$206,"*DRIVE OUT*")+COUNTIF('INPUT - Roster'!$HL$6:$HL$206,"DO *")</f>
        <v/>
      </c>
      <c r="GW31" s="170">
        <f>COUNTIF('INPUT - Roster'!$HM$6:$HM$206,"*DRV-OUT*")+COUNTIF('INPUT - Roster'!$HM$6:$HM$206,"*DRIVE OUT*")+COUNTIF('INPUT - Roster'!$HM$6:$HM$206,"DO *")</f>
        <v/>
      </c>
      <c r="GX31" s="170">
        <f>COUNTIF('INPUT - Roster'!$HN$6:$HN$206,"*DRV-OUT*")+COUNTIF('INPUT - Roster'!$HN$6:$HN$206,"*DRIVE OUT*")+COUNTIF('INPUT - Roster'!$HN$6:$HN$206,"DO *")</f>
        <v/>
      </c>
      <c r="GY31" s="170">
        <f>COUNTIF('INPUT - Roster'!$HO$6:$HO$206,"*DRV-OUT*")+COUNTIF('INPUT - Roster'!$HO$6:$HO$206,"*DRIVE OUT*")+COUNTIF('INPUT - Roster'!$HO$6:$HO$206,"DO *")</f>
        <v/>
      </c>
      <c r="GZ31" s="170">
        <f>COUNTIF('INPUT - Roster'!$HP$6:$HP$206,"*DRV-OUT*")+COUNTIF('INPUT - Roster'!$HP$6:$HP$206,"*DRIVE OUT*")+COUNTIF('INPUT - Roster'!$HP$6:$HP$206,"DO *")</f>
        <v/>
      </c>
      <c r="HA31" s="170">
        <f>COUNTIF('INPUT - Roster'!$HQ$6:$HQ$206,"*DRV-OUT*")+COUNTIF('INPUT - Roster'!$HQ$6:$HQ$206,"*DRIVE OUT*")+COUNTIF('INPUT - Roster'!$HQ$6:$HQ$206,"DO *")</f>
        <v/>
      </c>
      <c r="HB31" s="170">
        <f>COUNTIF('INPUT - Roster'!$HR$6:$HR$206,"*DRV-OUT*")+COUNTIF('INPUT - Roster'!$HR$6:$HR$206,"*DRIVE OUT*")+COUNTIF('INPUT - Roster'!$HR$6:$HR$206,"DO *")</f>
        <v/>
      </c>
      <c r="HC31" s="170">
        <f>COUNTIF('INPUT - Roster'!$HS$6:$HS$206,"*DRV-OUT*")+COUNTIF('INPUT - Roster'!$HS$6:$HS$206,"*DRIVE OUT*")+COUNTIF('INPUT - Roster'!$HS$6:$HS$206,"DO *")</f>
        <v/>
      </c>
      <c r="HD31" s="170">
        <f>COUNTIF('INPUT - Roster'!$HT$6:$HT$206,"*DRV-OUT*")+COUNTIF('INPUT - Roster'!$HT$6:$HT$206,"*DRIVE OUT*")+COUNTIF('INPUT - Roster'!$HT$6:$HT$206,"DO *")</f>
        <v/>
      </c>
      <c r="HE31" s="170">
        <f>COUNTIF('INPUT - Roster'!$HU$6:$HU$206,"*DRV-OUT*")+COUNTIF('INPUT - Roster'!$HU$6:$HU$206,"*DRIVE OUT*")+COUNTIF('INPUT - Roster'!$HU$6:$HU$206,"DO *")</f>
        <v/>
      </c>
      <c r="HF31" s="170">
        <f>COUNTIF('INPUT - Roster'!$HV$6:$HV$206,"*DRV-OUT*")+COUNTIF('INPUT - Roster'!$HV$6:$HV$206,"*DRIVE OUT*")+COUNTIF('INPUT - Roster'!$HV$6:$HV$206,"DO *")</f>
        <v/>
      </c>
      <c r="HG31" s="170">
        <f>COUNTIF('INPUT - Roster'!$HW$6:$HW$206,"*DRV-OUT*")+COUNTIF('INPUT - Roster'!$HW$6:$HW$206,"*DRIVE OUT*")+COUNTIF('INPUT - Roster'!$HW$6:$HW$206,"DO *")</f>
        <v/>
      </c>
      <c r="HH31" s="170">
        <f>COUNTIF('INPUT - Roster'!$HX$6:$HX$206,"*DRV-OUT*")+COUNTIF('INPUT - Roster'!$HX$6:$HX$206,"*DRIVE OUT*")+COUNTIF('INPUT - Roster'!$HX$6:$HX$206,"DO *")</f>
        <v/>
      </c>
      <c r="HI31" s="170">
        <f>COUNTIF('INPUT - Roster'!$HY$6:$HY$206,"*DRV-OUT*")+COUNTIF('INPUT - Roster'!$HY$6:$HY$206,"*DRIVE OUT*")+COUNTIF('INPUT - Roster'!$HY$6:$HY$206,"DO *")</f>
        <v/>
      </c>
      <c r="HJ31" s="170">
        <f>COUNTIF('INPUT - Roster'!$HZ$6:$HZ$206,"*DRV-OUT*")+COUNTIF('INPUT - Roster'!$HZ$6:$HZ$206,"*DRIVE OUT*")+COUNTIF('INPUT - Roster'!$HZ$6:$HZ$206,"DO *")</f>
        <v/>
      </c>
      <c r="HK31" s="170">
        <f>COUNTIF('INPUT - Roster'!$IA$6:$IA$206,"*DRV-OUT*")+COUNTIF('INPUT - Roster'!$IA$6:$IA$206,"*DRIVE OUT*")+COUNTIF('INPUT - Roster'!$IA$6:$IA$206,"DO *")</f>
        <v/>
      </c>
      <c r="HL31" s="170">
        <f>COUNTIF('INPUT - Roster'!$IB$6:$IB$206,"*DRV-OUT*")+COUNTIF('INPUT - Roster'!$IB$6:$IB$206,"*DRIVE OUT*")+COUNTIF('INPUT - Roster'!$IB$6:$IB$206,"DO *")</f>
        <v/>
      </c>
      <c r="HM31" s="170">
        <f>COUNTIF('INPUT - Roster'!$IC$6:$IC$206,"*DRV-OUT*")+COUNTIF('INPUT - Roster'!$IC$6:$IC$206,"*DRIVE OUT*")+COUNTIF('INPUT - Roster'!$IC$6:$IC$206,"DO *")</f>
        <v/>
      </c>
      <c r="HN31" s="170">
        <f>COUNTIF('INPUT - Roster'!$ID$6:$ID$206,"*DRV-OUT*")+COUNTIF('INPUT - Roster'!$ID$6:$ID$206,"*DRIVE OUT*")+COUNTIF('INPUT - Roster'!$ID$6:$ID$206,"DO *")</f>
        <v/>
      </c>
      <c r="HO31" s="170">
        <f>COUNTIF('INPUT - Roster'!$IE$6:$IE$206,"*DRV-OUT*")+COUNTIF('INPUT - Roster'!$IE$6:$IE$206,"*DRIVE OUT*")+COUNTIF('INPUT - Roster'!$IE$6:$IE$206,"DO *")</f>
        <v/>
      </c>
      <c r="HP31" s="170">
        <f>COUNTIF('INPUT - Roster'!$IF$6:$IF$206,"*DRV-OUT*")+COUNTIF('INPUT - Roster'!$IF$6:$IF$206,"*DRIVE OUT*")+COUNTIF('INPUT - Roster'!$IF$6:$IF$206,"DO *")</f>
        <v/>
      </c>
      <c r="HQ31" s="170">
        <f>COUNTIF('INPUT - Roster'!$IG$6:$IG$206,"*DRV-OUT*")+COUNTIF('INPUT - Roster'!$IG$6:$IG$206,"*DRIVE OUT*")+COUNTIF('INPUT - Roster'!$IG$6:$IG$206,"DO *")</f>
        <v/>
      </c>
      <c r="HR31" s="170">
        <f>COUNTIF('INPUT - Roster'!$IH$6:$IH$206,"*DRV-OUT*")+COUNTIF('INPUT - Roster'!$IH$6:$IH$206,"*DRIVE OUT*")+COUNTIF('INPUT - Roster'!$IH$6:$IH$206,"DO *")</f>
        <v/>
      </c>
      <c r="HS31" s="170">
        <f>COUNTIF('INPUT - Roster'!$II$6:$II$206,"*DRV-OUT*")+COUNTIF('INPUT - Roster'!$II$6:$II$206,"*DRIVE OUT*")+COUNTIF('INPUT - Roster'!$II$6:$II$206,"DO *")</f>
        <v/>
      </c>
      <c r="HT31" s="170">
        <f>COUNTIF('INPUT - Roster'!$IJ$6:$IJ$206,"*DRV-OUT*")+COUNTIF('INPUT - Roster'!$IJ$6:$IJ$206,"*DRIVE OUT*")+COUNTIF('INPUT - Roster'!$IJ$6:$IJ$206,"DO *")</f>
        <v/>
      </c>
      <c r="HU31" s="170">
        <f>COUNTIF('INPUT - Roster'!$IK$6:$IK$206,"*DRV-OUT*")+COUNTIF('INPUT - Roster'!$IK$6:$IK$206,"*DRIVE OUT*")+COUNTIF('INPUT - Roster'!$IK$6:$IK$206,"DO *")</f>
        <v/>
      </c>
      <c r="HV31" s="170">
        <f>COUNTIF('INPUT - Roster'!$IL$6:$IL$206,"*DRV-OUT*")+COUNTIF('INPUT - Roster'!$IL$6:$IL$206,"*DRIVE OUT*")+COUNTIF('INPUT - Roster'!$IL$6:$IL$206,"DO *")</f>
        <v/>
      </c>
      <c r="HW31" s="170">
        <f>COUNTIF('INPUT - Roster'!$IM$6:$IM$206,"*DRV-OUT*")+COUNTIF('INPUT - Roster'!$IM$6:$IM$206,"*DRIVE OUT*")+COUNTIF('INPUT - Roster'!$IM$6:$IM$206,"DO *")</f>
        <v/>
      </c>
      <c r="HX31" s="170">
        <f>COUNTIF('INPUT - Roster'!$IN$6:$IN$206,"*DRV-OUT*")+COUNTIF('INPUT - Roster'!$IN$6:$IN$206,"*DRIVE OUT*")+COUNTIF('INPUT - Roster'!$IN$6:$IN$206,"DO *")</f>
        <v/>
      </c>
      <c r="HY31" s="170">
        <f>COUNTIF('INPUT - Roster'!$IO$6:$IO$206,"*DRV-OUT*")+COUNTIF('INPUT - Roster'!$IO$6:$IO$206,"*DRIVE OUT*")+COUNTIF('INPUT - Roster'!$IO$6:$IO$206,"DO *")</f>
        <v/>
      </c>
      <c r="HZ31" s="170">
        <f>COUNTIF('INPUT - Roster'!$IP$6:$IP$206,"*DRV-OUT*")+COUNTIF('INPUT - Roster'!$IP$6:$IP$206,"*DRIVE OUT*")+COUNTIF('INPUT - Roster'!$IP$6:$IP$206,"DO *")</f>
        <v/>
      </c>
      <c r="IA31" s="170">
        <f>COUNTIF('INPUT - Roster'!$IQ$6:$IQ$206,"*DRV-OUT*")+COUNTIF('INPUT - Roster'!$IQ$6:$IQ$206,"*DRIVE OUT*")+COUNTIF('INPUT - Roster'!$IQ$6:$IQ$206,"DO *")</f>
        <v/>
      </c>
      <c r="IB31" s="170">
        <f>COUNTIF('INPUT - Roster'!$IR$6:$IR$206,"*DRV-OUT*")+COUNTIF('INPUT - Roster'!$IR$6:$IR$206,"*DRIVE OUT*")+COUNTIF('INPUT - Roster'!$IR$6:$IR$206,"DO *")</f>
        <v/>
      </c>
      <c r="IC31" s="170">
        <f>COUNTIF('INPUT - Roster'!$IS$6:$IS$206,"*DRV-OUT*")+COUNTIF('INPUT - Roster'!$IS$6:$IS$206,"*DRIVE OUT*")+COUNTIF('INPUT - Roster'!$IS$6:$IS$206,"DO *")</f>
        <v/>
      </c>
      <c r="ID31" s="170">
        <f>COUNTIF('INPUT - Roster'!$IT$6:$IT$206,"*DRV-OUT*")+COUNTIF('INPUT - Roster'!$IT$6:$IT$206,"*DRIVE OUT*")+COUNTIF('INPUT - Roster'!$IT$6:$IT$206,"DO *")</f>
        <v/>
      </c>
      <c r="IE31" s="170">
        <f>COUNTIF('INPUT - Roster'!$IU$6:$IU$206,"*DRV-OUT*")+COUNTIF('INPUT - Roster'!$IU$6:$IU$206,"*DRIVE OUT*")+COUNTIF('INPUT - Roster'!$IU$6:$IU$206,"DO *")</f>
        <v/>
      </c>
      <c r="IF31" s="170">
        <f>COUNTIF('INPUT - Roster'!$IV$6:$IV$206,"*DRV-OUT*")+COUNTIF('INPUT - Roster'!$IV$6:$IV$206,"*DRIVE OUT*")+COUNTIF('INPUT - Roster'!$IV$6:$IV$206,"DO *")</f>
        <v/>
      </c>
      <c r="IG31" s="170">
        <f>COUNTIF('INPUT - Roster'!$IW$6:$IW$206,"*DRV-OUT*")+COUNTIF('INPUT - Roster'!$IW$6:$IW$206,"*DRIVE OUT*")+COUNTIF('INPUT - Roster'!$IW$6:$IW$206,"DO *")</f>
        <v/>
      </c>
      <c r="IH31" s="170">
        <f>COUNTIF('INPUT - Roster'!$IX$6:$IX$206,"*DRV-OUT*")+COUNTIF('INPUT - Roster'!$IX$6:$IX$206,"*DRIVE OUT*")+COUNTIF('INPUT - Roster'!$IX$6:$IX$206,"DO *")</f>
        <v/>
      </c>
      <c r="II31" s="170">
        <f>COUNTIF('INPUT - Roster'!$IY$6:$IY$206,"*DRV-OUT*")+COUNTIF('INPUT - Roster'!$IY$6:$IY$206,"*DRIVE OUT*")+COUNTIF('INPUT - Roster'!$IY$6:$IY$206,"DO *")</f>
        <v/>
      </c>
      <c r="IJ31" s="170">
        <f>COUNTIF('INPUT - Roster'!$IZ$6:$IZ$206,"*DRV-OUT*")+COUNTIF('INPUT - Roster'!$IZ$6:$IZ$206,"*DRIVE OUT*")+COUNTIF('INPUT - Roster'!$IZ$6:$IZ$206,"DO *")</f>
        <v/>
      </c>
      <c r="IK31" s="170">
        <f>COUNTIF('INPUT - Roster'!$JA$6:$JA$206,"*DRV-OUT*")+COUNTIF('INPUT - Roster'!$JA$6:$JA$206,"*DRIVE OUT*")+COUNTIF('INPUT - Roster'!$JA$6:$JA$206,"DO *")</f>
        <v/>
      </c>
      <c r="IL31" s="170">
        <f>COUNTIF('INPUT - Roster'!$JB$6:$JB$206,"*DRV-OUT*")+COUNTIF('INPUT - Roster'!$JB$6:$JB$206,"*DRIVE OUT*")+COUNTIF('INPUT - Roster'!$JB$6:$JB$206,"DO *")</f>
        <v/>
      </c>
      <c r="IM31" s="170">
        <f>COUNTIF('INPUT - Roster'!$JC$6:$JC$206,"*DRV-OUT*")+COUNTIF('INPUT - Roster'!$JC$6:$JC$206,"*DRIVE OUT*")+COUNTIF('INPUT - Roster'!$JC$6:$JC$206,"DO *")</f>
        <v/>
      </c>
      <c r="IN31" s="170">
        <f>COUNTIF('INPUT - Roster'!$JD$6:$JD$206,"*DRV-OUT*")+COUNTIF('INPUT - Roster'!$JD$6:$JD$206,"*DRIVE OUT*")+COUNTIF('INPUT - Roster'!$JD$6:$JD$206,"DO *")</f>
        <v/>
      </c>
      <c r="IO31" s="170">
        <f>COUNTIF('INPUT - Roster'!$JE$6:$JE$206,"*DRV-OUT*")+COUNTIF('INPUT - Roster'!$JE$6:$JE$206,"*DRIVE OUT*")+COUNTIF('INPUT - Roster'!$JE$6:$JE$206,"DO *")</f>
        <v/>
      </c>
      <c r="IP31" s="170">
        <f>COUNTIF('INPUT - Roster'!$JF$6:$JF$206,"*DRV-OUT*")+COUNTIF('INPUT - Roster'!$JF$6:$JF$206,"*DRIVE OUT*")+COUNTIF('INPUT - Roster'!$JF$6:$JF$206,"DO *")</f>
        <v/>
      </c>
      <c r="IQ31" s="170">
        <f>COUNTIF('INPUT - Roster'!$JG$6:$JG$206,"*DRV-OUT*")+COUNTIF('INPUT - Roster'!$JG$6:$JG$206,"*DRIVE OUT*")+COUNTIF('INPUT - Roster'!$JG$6:$JG$206,"DO *")</f>
        <v/>
      </c>
      <c r="IR31" s="170">
        <f>COUNTIF('INPUT - Roster'!$JH$6:$JH$206,"*DRV-OUT*")+COUNTIF('INPUT - Roster'!$JH$6:$JH$206,"*DRIVE OUT*")+COUNTIF('INPUT - Roster'!$JH$6:$JH$206,"DO *")</f>
        <v/>
      </c>
      <c r="IS31" s="170">
        <f>COUNTIF('INPUT - Roster'!$JI$6:$JI$206,"*DRV-OUT*")+COUNTIF('INPUT - Roster'!$JI$6:$JI$206,"*DRIVE OUT*")+COUNTIF('INPUT - Roster'!$JI$6:$JI$206,"DO *")</f>
        <v/>
      </c>
      <c r="IT31" s="170">
        <f>COUNTIF('INPUT - Roster'!$JJ$6:$JJ$206,"*DRV-OUT*")+COUNTIF('INPUT - Roster'!$JJ$6:$JJ$206,"*DRIVE OUT*")+COUNTIF('INPUT - Roster'!$JJ$6:$JJ$206,"DO *")</f>
        <v/>
      </c>
      <c r="IU31" s="170">
        <f>COUNTIF('INPUT - Roster'!$JK$6:$JK$206,"*DRV-OUT*")+COUNTIF('INPUT - Roster'!$JK$6:$JK$206,"*DRIVE OUT*")+COUNTIF('INPUT - Roster'!$JK$6:$JK$206,"DO *")</f>
        <v/>
      </c>
      <c r="IV31" s="170">
        <f>COUNTIF('INPUT - Roster'!$JL$6:$JL$206,"*DRV-OUT*")+COUNTIF('INPUT - Roster'!$JL$6:$JL$206,"*DRIVE OUT*")+COUNTIF('INPUT - Roster'!$JL$6:$JL$206,"DO *")</f>
        <v/>
      </c>
      <c r="IW31" s="170">
        <f>COUNTIF('INPUT - Roster'!$JM$6:$JM$206,"*DRV-OUT*")+COUNTIF('INPUT - Roster'!$JM$6:$JM$206,"*DRIVE OUT*")+COUNTIF('INPUT - Roster'!$JM$6:$JM$206,"DO *")</f>
        <v/>
      </c>
      <c r="IX31" s="170">
        <f>COUNTIF('INPUT - Roster'!$JN$6:$JN$206,"*DRV-OUT*")+COUNTIF('INPUT - Roster'!$JN$6:$JN$206,"*DRIVE OUT*")+COUNTIF('INPUT - Roster'!$JN$6:$JN$206,"DO *")</f>
        <v/>
      </c>
      <c r="IY31" s="170">
        <f>COUNTIF('INPUT - Roster'!$JO$6:$JO$206,"*DRV-OUT*")+COUNTIF('INPUT - Roster'!$JO$6:$JO$206,"*DRIVE OUT*")+COUNTIF('INPUT - Roster'!$JO$6:$JO$206,"DO *")</f>
        <v/>
      </c>
      <c r="IZ31" s="170">
        <f>COUNTIF('INPUT - Roster'!$JP$6:$JP$206,"*DRV-OUT*")+COUNTIF('INPUT - Roster'!$JP$6:$JP$206,"*DRIVE OUT*")+COUNTIF('INPUT - Roster'!$JP$6:$JP$206,"DO *")</f>
        <v/>
      </c>
      <c r="JA31" s="170">
        <f>COUNTIF('INPUT - Roster'!$JQ$6:$JQ$206,"*DRV-OUT*")+COUNTIF('INPUT - Roster'!$JQ$6:$JQ$206,"*DRIVE OUT*")+COUNTIF('INPUT - Roster'!$JQ$6:$JQ$206,"DO *")</f>
        <v/>
      </c>
      <c r="JB31" s="170">
        <f>COUNTIF('INPUT - Roster'!$JR$6:$JR$206,"*DRV-OUT*")+COUNTIF('INPUT - Roster'!$JR$6:$JR$206,"*DRIVE OUT*")+COUNTIF('INPUT - Roster'!$JR$6:$JR$206,"DO *")</f>
        <v/>
      </c>
      <c r="JC31" s="170">
        <f>COUNTIF('INPUT - Roster'!$JS$6:$JS$206,"*DRV-OUT*")+COUNTIF('INPUT - Roster'!$JS$6:$JS$206,"*DRIVE OUT*")+COUNTIF('INPUT - Roster'!$JS$6:$JS$206,"DO *")</f>
        <v/>
      </c>
      <c r="JD31" s="170">
        <f>COUNTIF('INPUT - Roster'!$JT$6:$JT$206,"*DRV-OUT*")+COUNTIF('INPUT - Roster'!$JT$6:$JT$206,"*DRIVE OUT*")+COUNTIF('INPUT - Roster'!$JT$6:$JT$206,"DO *")</f>
        <v/>
      </c>
      <c r="JE31" s="170">
        <f>COUNTIF('INPUT - Roster'!$JU$6:$JU$206,"*DRV-OUT*")+COUNTIF('INPUT - Roster'!$JU$6:$JU$206,"*DRIVE OUT*")+COUNTIF('INPUT - Roster'!$JU$6:$JU$206,"DO *")</f>
        <v/>
      </c>
      <c r="JF31" s="170">
        <f>COUNTIF('INPUT - Roster'!$JV$6:$JV$206,"*DRV-OUT*")+COUNTIF('INPUT - Roster'!$JV$6:$JV$206,"*DRIVE OUT*")+COUNTIF('INPUT - Roster'!$JV$6:$JV$206,"DO *")</f>
        <v/>
      </c>
      <c r="JG31" s="170">
        <f>COUNTIF('INPUT - Roster'!$JW$6:$JW$206,"*DRV-OUT*")+COUNTIF('INPUT - Roster'!$JW$6:$JW$206,"*DRIVE OUT*")+COUNTIF('INPUT - Roster'!$JW$6:$JW$206,"DO *")</f>
        <v/>
      </c>
      <c r="JH31" s="170">
        <f>COUNTIF('INPUT - Roster'!$JX$6:$JX$206,"*DRV-OUT*")+COUNTIF('INPUT - Roster'!$JX$6:$JX$206,"*DRIVE OUT*")+COUNTIF('INPUT - Roster'!$JX$6:$JX$206,"DO *")</f>
        <v/>
      </c>
      <c r="JI31" s="170">
        <f>COUNTIF('INPUT - Roster'!$JY$6:$JY$206,"*DRV-OUT*")+COUNTIF('INPUT - Roster'!$JY$6:$JY$206,"*DRIVE OUT*")+COUNTIF('INPUT - Roster'!$JY$6:$JY$206,"DO *")</f>
        <v/>
      </c>
      <c r="JJ31" s="170">
        <f>COUNTIF('INPUT - Roster'!$JZ$6:$JZ$206,"*DRV-OUT*")+COUNTIF('INPUT - Roster'!$JZ$6:$JZ$206,"*DRIVE OUT*")+COUNTIF('INPUT - Roster'!$JZ$6:$JZ$206,"DO *")</f>
        <v/>
      </c>
      <c r="JK31" s="170">
        <f>COUNTIF('INPUT - Roster'!$KA$6:$KA$206,"*DRV-OUT*")+COUNTIF('INPUT - Roster'!$KA$6:$KA$206,"*DRIVE OUT*")+COUNTIF('INPUT - Roster'!$KA$6:$KA$206,"DO *")</f>
        <v/>
      </c>
      <c r="JL31" s="170">
        <f>COUNTIF('INPUT - Roster'!$KB$6:$KB$206,"*DRV-OUT*")+COUNTIF('INPUT - Roster'!$KB$6:$KB$206,"*DRIVE OUT*")+COUNTIF('INPUT - Roster'!$KB$6:$KB$206,"DO *")</f>
        <v/>
      </c>
      <c r="JM31" s="170">
        <f>COUNTIF('INPUT - Roster'!$KC$6:$KC$206,"*DRV-OUT*")+COUNTIF('INPUT - Roster'!$KC$6:$KC$206,"*DRIVE OUT*")+COUNTIF('INPUT - Roster'!$KC$6:$KC$206,"DO *")</f>
        <v/>
      </c>
      <c r="JN31" s="170">
        <f>COUNTIF('INPUT - Roster'!$KD$6:$KD$206,"*DRV-OUT*")+COUNTIF('INPUT - Roster'!$KD$6:$KD$206,"*DRIVE OUT*")+COUNTIF('INPUT - Roster'!$KD$6:$KD$206,"DO *")</f>
        <v/>
      </c>
      <c r="JO31" s="170">
        <f>COUNTIF('INPUT - Roster'!$KE$6:$KE$206,"*DRV-OUT*")+COUNTIF('INPUT - Roster'!$KE$6:$KE$206,"*DRIVE OUT*")+COUNTIF('INPUT - Roster'!$KE$6:$KE$206,"DO *")</f>
        <v/>
      </c>
      <c r="JP31" s="170">
        <f>COUNTIF('INPUT - Roster'!$KF$6:$KF$206,"*DRV-OUT*")+COUNTIF('INPUT - Roster'!$KF$6:$KF$206,"*DRIVE OUT*")+COUNTIF('INPUT - Roster'!$KF$6:$KF$206,"DO *")</f>
        <v/>
      </c>
      <c r="JQ31" s="170">
        <f>COUNTIF('INPUT - Roster'!$KG$6:$KG$206,"*DRV-OUT*")+COUNTIF('INPUT - Roster'!$KG$6:$KG$206,"*DRIVE OUT*")+COUNTIF('INPUT - Roster'!$KG$6:$KG$206,"DO *")</f>
        <v/>
      </c>
      <c r="JR31" s="170">
        <f>COUNTIF('INPUT - Roster'!$KH$6:$KH$206,"*DRV-OUT*")+COUNTIF('INPUT - Roster'!$KH$6:$KH$206,"*DRIVE OUT*")+COUNTIF('INPUT - Roster'!$KH$6:$KH$206,"DO *")</f>
        <v/>
      </c>
      <c r="JS31" s="170">
        <f>COUNTIF('INPUT - Roster'!$KI$6:$KI$206,"*DRV-OUT*")+COUNTIF('INPUT - Roster'!$KI$6:$KI$206,"*DRIVE OUT*")+COUNTIF('INPUT - Roster'!$KI$6:$KI$206,"DO *")</f>
        <v/>
      </c>
      <c r="JT31" s="170">
        <f>COUNTIF('INPUT - Roster'!$KJ$6:$KJ$206,"*DRV-OUT*")+COUNTIF('INPUT - Roster'!$KJ$6:$KJ$206,"*DRIVE OUT*")+COUNTIF('INPUT - Roster'!$KJ$6:$KJ$206,"DO *")</f>
        <v/>
      </c>
      <c r="JU31" s="170">
        <f>COUNTIF('INPUT - Roster'!$KK$6:$KK$206,"*DRV-OUT*")+COUNTIF('INPUT - Roster'!$KK$6:$KK$206,"*DRIVE OUT*")+COUNTIF('INPUT - Roster'!$KK$6:$KK$206,"DO *")</f>
        <v/>
      </c>
      <c r="JV31" s="170">
        <f>COUNTIF('INPUT - Roster'!$KL$6:$KL$206,"*DRV-OUT*")+COUNTIF('INPUT - Roster'!$KL$6:$KL$206,"*DRIVE OUT*")+COUNTIF('INPUT - Roster'!$KL$6:$KL$206,"DO *")</f>
        <v/>
      </c>
      <c r="JW31" s="170">
        <f>COUNTIF('INPUT - Roster'!$KM$6:$KM$206,"*DRV-OUT*")+COUNTIF('INPUT - Roster'!$KM$6:$KM$206,"*DRIVE OUT*")+COUNTIF('INPUT - Roster'!$KM$6:$KM$206,"DO *")</f>
        <v/>
      </c>
      <c r="JX31" s="170">
        <f>COUNTIF('INPUT - Roster'!$KN$6:$KN$206,"*DRV-OUT*")+COUNTIF('INPUT - Roster'!$KN$6:$KN$206,"*DRIVE OUT*")+COUNTIF('INPUT - Roster'!$KN$6:$KN$206,"DO *")</f>
        <v/>
      </c>
      <c r="JY31" s="170">
        <f>COUNTIF('INPUT - Roster'!$KO$6:$KO$206,"*DRV-OUT*")+COUNTIF('INPUT - Roster'!$KO$6:$KO$206,"*DRIVE OUT*")+COUNTIF('INPUT - Roster'!$KO$6:$KO$206,"DO *")</f>
        <v/>
      </c>
      <c r="JZ31" s="170">
        <f>COUNTIF('INPUT - Roster'!$KP$6:$KP$206,"*DRV-OUT*")+COUNTIF('INPUT - Roster'!$KP$6:$KP$206,"*DRIVE OUT*")+COUNTIF('INPUT - Roster'!$KP$6:$KP$206,"DO *")</f>
        <v/>
      </c>
      <c r="KA31" s="170">
        <f>COUNTIF('INPUT - Roster'!$KQ$6:$KQ$206,"*DRV-OUT*")+COUNTIF('INPUT - Roster'!$KQ$6:$KQ$206,"*DRIVE OUT*")+COUNTIF('INPUT - Roster'!$KQ$6:$KQ$206,"DO *")</f>
        <v/>
      </c>
      <c r="KB31" s="170">
        <f>COUNTIF('INPUT - Roster'!$KR$6:$KR$206,"*DRV-OUT*")+COUNTIF('INPUT - Roster'!$KR$6:$KR$206,"*DRIVE OUT*")+COUNTIF('INPUT - Roster'!$KR$6:$KR$206,"DO *")</f>
        <v/>
      </c>
      <c r="KC31" s="170">
        <f>COUNTIF('INPUT - Roster'!$KS$6:$KS$206,"*DRV-OUT*")+COUNTIF('INPUT - Roster'!$KS$6:$KS$206,"*DRIVE OUT*")+COUNTIF('INPUT - Roster'!$KS$6:$KS$206,"DO *")</f>
        <v/>
      </c>
      <c r="KD31" s="170">
        <f>COUNTIF('INPUT - Roster'!$KT$6:$KT$206,"*DRV-OUT*")+COUNTIF('INPUT - Roster'!$KT$6:$KT$206,"*DRIVE OUT*")+COUNTIF('INPUT - Roster'!$KT$6:$KT$206,"DO *")</f>
        <v/>
      </c>
      <c r="KE31" s="170">
        <f>COUNTIF('INPUT - Roster'!$KU$6:$KU$206,"*DRV-OUT*")+COUNTIF('INPUT - Roster'!$KU$6:$KU$206,"*DRIVE OUT*")+COUNTIF('INPUT - Roster'!$KU$6:$KU$206,"DO *")</f>
        <v/>
      </c>
      <c r="KF31" s="170">
        <f>COUNTIF('INPUT - Roster'!$KV$6:$KV$206,"*DRV-OUT*")+COUNTIF('INPUT - Roster'!$KV$6:$KV$206,"*DRIVE OUT*")+COUNTIF('INPUT - Roster'!$KV$6:$KV$206,"DO *")</f>
        <v/>
      </c>
      <c r="KG31" s="170">
        <f>COUNTIF('INPUT - Roster'!$KW$6:$KW$206,"*DRV-OUT*")+COUNTIF('INPUT - Roster'!$KW$6:$KW$206,"*DRIVE OUT*")+COUNTIF('INPUT - Roster'!$KW$6:$KW$206,"DO *")</f>
        <v/>
      </c>
      <c r="KH31" s="170">
        <f>COUNTIF('INPUT - Roster'!$KX$6:$KX$206,"*DRV-OUT*")+COUNTIF('INPUT - Roster'!$KX$6:$KX$206,"*DRIVE OUT*")+COUNTIF('INPUT - Roster'!$KX$6:$KX$206,"DO *")</f>
        <v/>
      </c>
      <c r="KI31" s="170">
        <f>COUNTIF('INPUT - Roster'!$KY$6:$KY$206,"*DRV-OUT*")+COUNTIF('INPUT - Roster'!$KY$6:$KY$206,"*DRIVE OUT*")+COUNTIF('INPUT - Roster'!$KY$6:$KY$206,"DO *")</f>
        <v/>
      </c>
      <c r="KJ31" s="170">
        <f>COUNTIF('INPUT - Roster'!$KZ$6:$KZ$206,"*DRV-OUT*")+COUNTIF('INPUT - Roster'!$KZ$6:$KZ$206,"*DRIVE OUT*")+COUNTIF('INPUT - Roster'!$KZ$6:$KZ$206,"DO *")</f>
        <v/>
      </c>
      <c r="KK31" s="170">
        <f>COUNTIF('INPUT - Roster'!$LA$6:$LA$206,"*DRV-OUT*")+COUNTIF('INPUT - Roster'!$LA$6:$LA$206,"*DRIVE OUT*")+COUNTIF('INPUT - Roster'!$LA$6:$LA$206,"DO *")</f>
        <v/>
      </c>
      <c r="KL31" s="170">
        <f>COUNTIF('INPUT - Roster'!$LB$6:$LB$206,"*DRV-OUT*")+COUNTIF('INPUT - Roster'!$LB$6:$LB$206,"*DRIVE OUT*")+COUNTIF('INPUT - Roster'!$LB$6:$LB$206,"DO *")</f>
        <v/>
      </c>
      <c r="KM31" s="170">
        <f>COUNTIF('INPUT - Roster'!$LC$6:$LC$206,"*DRV-OUT*")+COUNTIF('INPUT - Roster'!$LC$6:$LC$206,"*DRIVE OUT*")+COUNTIF('INPUT - Roster'!$LC$6:$LC$206,"DO *")</f>
        <v/>
      </c>
      <c r="KN31" s="170">
        <f>COUNTIF('INPUT - Roster'!$LD$6:$LD$206,"*DRV-OUT*")+COUNTIF('INPUT - Roster'!$LD$6:$LD$206,"*DRIVE OUT*")+COUNTIF('INPUT - Roster'!$LD$6:$LD$206,"DO *")</f>
        <v/>
      </c>
      <c r="KO31" s="170">
        <f>COUNTIF('INPUT - Roster'!$LE$6:$LE$206,"*DRV-OUT*")+COUNTIF('INPUT - Roster'!$LE$6:$LE$206,"*DRIVE OUT*")+COUNTIF('INPUT - Roster'!$LE$6:$LE$206,"DO *")</f>
        <v/>
      </c>
      <c r="KP31" s="170">
        <f>COUNTIF('INPUT - Roster'!$LF$6:$LF$206,"*DRV-OUT*")+COUNTIF('INPUT - Roster'!$LF$6:$LF$206,"*DRIVE OUT*")+COUNTIF('INPUT - Roster'!$LF$6:$LF$206,"DO *")</f>
        <v/>
      </c>
      <c r="KQ31" s="170">
        <f>COUNTIF('INPUT - Roster'!$LG$6:$LG$206,"*DRV-OUT*")+COUNTIF('INPUT - Roster'!$LG$6:$LG$206,"*DRIVE OUT*")+COUNTIF('INPUT - Roster'!$LG$6:$LG$206,"DO *")</f>
        <v/>
      </c>
      <c r="KR31" s="170">
        <f>COUNTIF('INPUT - Roster'!$LH$6:$LH$206,"*DRV-OUT*")+COUNTIF('INPUT - Roster'!$LH$6:$LH$206,"*DRIVE OUT*")+COUNTIF('INPUT - Roster'!$LH$6:$LH$206,"DO *")</f>
        <v/>
      </c>
      <c r="KS31" s="170">
        <f>COUNTIF('INPUT - Roster'!$LI$6:$LI$206,"*DRV-OUT*")+COUNTIF('INPUT - Roster'!$LI$6:$LI$206,"*DRIVE OUT*")+COUNTIF('INPUT - Roster'!$LI$6:$LI$206,"DO *")</f>
        <v/>
      </c>
      <c r="KT31" s="170">
        <f>COUNTIF('INPUT - Roster'!$LJ$6:$LJ$206,"*DRV-OUT*")+COUNTIF('INPUT - Roster'!$LJ$6:$LJ$206,"*DRIVE OUT*")+COUNTIF('INPUT - Roster'!$LJ$6:$LJ$206,"DO *")</f>
        <v/>
      </c>
      <c r="KU31" s="170">
        <f>COUNTIF('INPUT - Roster'!$LK$6:$LK$206,"*DRV-OUT*")+COUNTIF('INPUT - Roster'!$LK$6:$LK$206,"*DRIVE OUT*")+COUNTIF('INPUT - Roster'!$LK$6:$LK$206,"DO *")</f>
        <v/>
      </c>
      <c r="KV31" s="170">
        <f>COUNTIF('INPUT - Roster'!$LL$6:$LL$206,"*DRV-OUT*")+COUNTIF('INPUT - Roster'!$LL$6:$LL$206,"*DRIVE OUT*")+COUNTIF('INPUT - Roster'!$LL$6:$LL$206,"DO *")</f>
        <v/>
      </c>
      <c r="KW31" s="170">
        <f>COUNTIF('INPUT - Roster'!$LM$6:$LM$206,"*DRV-OUT*")+COUNTIF('INPUT - Roster'!$LM$6:$LM$206,"*DRIVE OUT*")+COUNTIF('INPUT - Roster'!$LM$6:$LM$206,"DO *")</f>
        <v/>
      </c>
      <c r="KX31" s="170">
        <f>COUNTIF('INPUT - Roster'!$LN$6:$LN$206,"*DRV-OUT*")+COUNTIF('INPUT - Roster'!$LN$6:$LN$206,"*DRIVE OUT*")+COUNTIF('INPUT - Roster'!$LN$6:$LN$206,"DO *")</f>
        <v/>
      </c>
      <c r="KY31" s="170">
        <f>COUNTIF('INPUT - Roster'!$LO$6:$LO$206,"*DRV-OUT*")+COUNTIF('INPUT - Roster'!$LO$6:$LO$206,"*DRIVE OUT*")+COUNTIF('INPUT - Roster'!$LO$6:$LO$206,"DO *")</f>
        <v/>
      </c>
      <c r="KZ31" s="170">
        <f>COUNTIF('INPUT - Roster'!$LP$6:$LP$206,"*DRV-OUT*")+COUNTIF('INPUT - Roster'!$LP$6:$LP$206,"*DRIVE OUT*")+COUNTIF('INPUT - Roster'!$LP$6:$LP$206,"DO *")</f>
        <v/>
      </c>
      <c r="LA31" s="170">
        <f>COUNTIF('INPUT - Roster'!$LQ$6:$LQ$206,"*DRV-OUT*")+COUNTIF('INPUT - Roster'!$LQ$6:$LQ$206,"*DRIVE OUT*")+COUNTIF('INPUT - Roster'!$LQ$6:$LQ$206,"DO *")</f>
        <v/>
      </c>
      <c r="LB31" s="170">
        <f>COUNTIF('INPUT - Roster'!$LR$6:$LR$206,"*DRV-OUT*")+COUNTIF('INPUT - Roster'!$LR$6:$LR$206,"*DRIVE OUT*")+COUNTIF('INPUT - Roster'!$LR$6:$LR$206,"DO *")</f>
        <v/>
      </c>
      <c r="LC31" s="170">
        <f>COUNTIF('INPUT - Roster'!$LS$6:$LS$206,"*DRV-OUT*")+COUNTIF('INPUT - Roster'!$LS$6:$LS$206,"*DRIVE OUT*")+COUNTIF('INPUT - Roster'!$LS$6:$LS$206,"DO *")</f>
        <v/>
      </c>
      <c r="LD31" s="170">
        <f>COUNTIF('INPUT - Roster'!$LT$6:$LT$206,"*DRV-OUT*")+COUNTIF('INPUT - Roster'!$LT$6:$LT$206,"*DRIVE OUT*")+COUNTIF('INPUT - Roster'!$LT$6:$LT$206,"DO *")</f>
        <v/>
      </c>
      <c r="LE31" s="170">
        <f>COUNTIF('INPUT - Roster'!$LU$6:$LU$206,"*DRV-OUT*")+COUNTIF('INPUT - Roster'!$LU$6:$LU$206,"*DRIVE OUT*")+COUNTIF('INPUT - Roster'!$LU$6:$LU$206,"DO *")</f>
        <v/>
      </c>
      <c r="LF31" s="170">
        <f>COUNTIF('INPUT - Roster'!$LV$6:$LV$206,"*DRV-OUT*")+COUNTIF('INPUT - Roster'!$LV$6:$LV$206,"*DRIVE OUT*")+COUNTIF('INPUT - Roster'!$LV$6:$LV$206,"DO *")</f>
        <v/>
      </c>
      <c r="LG31" s="170">
        <f>COUNTIF('INPUT - Roster'!$LW$6:$LW$206,"*DRV-OUT*")+COUNTIF('INPUT - Roster'!$LW$6:$LW$206,"*DRIVE OUT*")+COUNTIF('INPUT - Roster'!$LW$6:$LW$206,"DO *")</f>
        <v/>
      </c>
      <c r="LH31" s="170">
        <f>COUNTIF('INPUT - Roster'!$LX$6:$LX$206,"*DRV-OUT*")+COUNTIF('INPUT - Roster'!$LX$6:$LX$206,"*DRIVE OUT*")+COUNTIF('INPUT - Roster'!$LX$6:$LX$206,"DO *")</f>
        <v/>
      </c>
      <c r="LI31" s="170">
        <f>COUNTIF('INPUT - Roster'!$LY$6:$LY$206,"*DRV-OUT*")+COUNTIF('INPUT - Roster'!$LY$6:$LY$206,"*DRIVE OUT*")+COUNTIF('INPUT - Roster'!$LY$6:$LY$206,"DO *")</f>
        <v/>
      </c>
      <c r="LJ31" s="170">
        <f>COUNTIF('INPUT - Roster'!$LZ$6:$LZ$206,"*DRV-OUT*")+COUNTIF('INPUT - Roster'!$LZ$6:$LZ$206,"*DRIVE OUT*")+COUNTIF('INPUT - Roster'!$LZ$6:$LZ$206,"DO *")</f>
        <v/>
      </c>
      <c r="LK31" s="170">
        <f>COUNTIF('INPUT - Roster'!$MA$6:$MA$206,"*DRV-OUT*")+COUNTIF('INPUT - Roster'!$MA$6:$MA$206,"*DRIVE OUT*")+COUNTIF('INPUT - Roster'!$MA$6:$MA$206,"DO *")</f>
        <v/>
      </c>
      <c r="LL31" s="170">
        <f>COUNTIF('INPUT - Roster'!$MB$6:$MB$206,"*DRV-OUT*")+COUNTIF('INPUT - Roster'!$MB$6:$MB$206,"*DRIVE OUT*")+COUNTIF('INPUT - Roster'!$MB$6:$MB$206,"DO *")</f>
        <v/>
      </c>
      <c r="LM31" s="170">
        <f>COUNTIF('INPUT - Roster'!$MC$6:$MC$206,"*DRV-OUT*")+COUNTIF('INPUT - Roster'!$MC$6:$MC$206,"*DRIVE OUT*")+COUNTIF('INPUT - Roster'!$MC$6:$MC$206,"DO *")</f>
        <v/>
      </c>
      <c r="LN31" s="170">
        <f>COUNTIF('INPUT - Roster'!$MD$6:$MD$206,"*DRV-OUT*")+COUNTIF('INPUT - Roster'!$MD$6:$MD$206,"*DRIVE OUT*")+COUNTIF('INPUT - Roster'!$MD$6:$MD$206,"DO *")</f>
        <v/>
      </c>
      <c r="LO31" s="170">
        <f>COUNTIF('INPUT - Roster'!$ME$6:$ME$206,"*DRV-OUT*")+COUNTIF('INPUT - Roster'!$ME$6:$ME$206,"*DRIVE OUT*")+COUNTIF('INPUT - Roster'!$ME$6:$ME$206,"DO *")</f>
        <v/>
      </c>
      <c r="LP31" s="170">
        <f>COUNTIF('INPUT - Roster'!$MF$6:$MF$206,"*DRV-OUT*")+COUNTIF('INPUT - Roster'!$MF$6:$MF$206,"*DRIVE OUT*")+COUNTIF('INPUT - Roster'!$MF$6:$MF$206,"DO *")</f>
        <v/>
      </c>
      <c r="LQ31" s="170">
        <f>COUNTIF('INPUT - Roster'!$MG$6:$MG$206,"*DRV-OUT*")+COUNTIF('INPUT - Roster'!$MG$6:$MG$206,"*DRIVE OUT*")+COUNTIF('INPUT - Roster'!$MG$6:$MG$206,"DO *")</f>
        <v/>
      </c>
      <c r="LR31" s="170">
        <f>COUNTIF('INPUT - Roster'!$MH$6:$MH$206,"*DRV-OUT*")+COUNTIF('INPUT - Roster'!$MH$6:$MH$206,"*DRIVE OUT*")+COUNTIF('INPUT - Roster'!$MH$6:$MH$206,"DO *")</f>
        <v/>
      </c>
      <c r="LS31" s="170">
        <f>COUNTIF('INPUT - Roster'!$MI$6:$MI$206,"*DRV-OUT*")+COUNTIF('INPUT - Roster'!$MI$6:$MI$206,"*DRIVE OUT*")+COUNTIF('INPUT - Roster'!$MI$6:$MI$206,"DO *")</f>
        <v/>
      </c>
      <c r="LT31" s="170">
        <f>COUNTIF('INPUT - Roster'!$MJ$6:$MJ$206,"*DRV-OUT*")+COUNTIF('INPUT - Roster'!$MJ$6:$MJ$206,"*DRIVE OUT*")+COUNTIF('INPUT - Roster'!$MJ$6:$MJ$206,"DO *")</f>
        <v/>
      </c>
      <c r="LU31" s="170">
        <f>COUNTIF('INPUT - Roster'!$MK$6:$MK$206,"*DRV-OUT*")+COUNTIF('INPUT - Roster'!$MK$6:$MK$206,"*DRIVE OUT*")+COUNTIF('INPUT - Roster'!$MK$6:$MK$206,"DO *")</f>
        <v/>
      </c>
      <c r="LV31" s="170">
        <f>COUNTIF('INPUT - Roster'!$ML$6:$ML$206,"*DRV-OUT*")+COUNTIF('INPUT - Roster'!$ML$6:$ML$206,"*DRIVE OUT*")+COUNTIF('INPUT - Roster'!$ML$6:$ML$206,"DO *")</f>
        <v/>
      </c>
      <c r="LW31" s="170">
        <f>COUNTIF('INPUT - Roster'!$MM$6:$MM$206,"*DRV-OUT*")+COUNTIF('INPUT - Roster'!$MM$6:$MM$206,"*DRIVE OUT*")+COUNTIF('INPUT - Roster'!$MM$6:$MM$206,"DO *")</f>
        <v/>
      </c>
      <c r="LX31" s="170">
        <f>COUNTIF('INPUT - Roster'!$MN$6:$MN$206,"*DRV-OUT*")+COUNTIF('INPUT - Roster'!$MN$6:$MN$206,"*DRIVE OUT*")+COUNTIF('INPUT - Roster'!$MN$6:$MN$206,"DO *")</f>
        <v/>
      </c>
      <c r="LY31" s="170">
        <f>COUNTIF('INPUT - Roster'!$MO$6:$MO$206,"*DRV-OUT*")+COUNTIF('INPUT - Roster'!$MO$6:$MO$206,"*DRIVE OUT*")+COUNTIF('INPUT - Roster'!$MO$6:$MO$206,"DO *")</f>
        <v/>
      </c>
      <c r="LZ31" s="170">
        <f>COUNTIF('INPUT - Roster'!$MP$6:$MP$206,"*DRV-OUT*")+COUNTIF('INPUT - Roster'!$MP$6:$MP$206,"*DRIVE OUT*")+COUNTIF('INPUT - Roster'!$MP$6:$MP$206,"DO *")</f>
        <v/>
      </c>
      <c r="MA31" s="170">
        <f>COUNTIF('INPUT - Roster'!$MQ$6:$MQ$206,"*DRV-OUT*")+COUNTIF('INPUT - Roster'!$MQ$6:$MQ$206,"*DRIVE OUT*")+COUNTIF('INPUT - Roster'!$MQ$6:$MQ$206,"DO *")</f>
        <v/>
      </c>
      <c r="MB31" s="170">
        <f>COUNTIF('INPUT - Roster'!$MR$6:$MR$206,"*DRV-OUT*")+COUNTIF('INPUT - Roster'!$MR$6:$MR$206,"*DRIVE OUT*")+COUNTIF('INPUT - Roster'!$MR$6:$MR$206,"DO *")</f>
        <v/>
      </c>
      <c r="MC31" s="170">
        <f>COUNTIF('INPUT - Roster'!$MS$6:$MS$206,"*DRV-OUT*")+COUNTIF('INPUT - Roster'!$MS$6:$MS$206,"*DRIVE OUT*")+COUNTIF('INPUT - Roster'!$MS$6:$MS$206,"DO *")</f>
        <v/>
      </c>
      <c r="MD31" s="170">
        <f>COUNTIF('INPUT - Roster'!$MT$6:$MT$206,"*DRV-OUT*")+COUNTIF('INPUT - Roster'!$MT$6:$MT$206,"*DRIVE OUT*")+COUNTIF('INPUT - Roster'!$MT$6:$MT$206,"DO *")</f>
        <v/>
      </c>
      <c r="ME31" s="170">
        <f>COUNTIF('INPUT - Roster'!$MU$6:$MU$206,"*DRV-OUT*")+COUNTIF('INPUT - Roster'!$MU$6:$MU$206,"*DRIVE OUT*")+COUNTIF('INPUT - Roster'!$MU$6:$MU$206,"DO *")</f>
        <v/>
      </c>
      <c r="MF31" s="170">
        <f>COUNTIF('INPUT - Roster'!$MV$6:$MV$206,"*DRV-OUT*")+COUNTIF('INPUT - Roster'!$MV$6:$MV$206,"*DRIVE OUT*")+COUNTIF('INPUT - Roster'!$MV$6:$MV$206,"DO *")</f>
        <v/>
      </c>
      <c r="MG31" s="170">
        <f>COUNTIF('INPUT - Roster'!$MW$6:$MW$206,"*DRV-OUT*")+COUNTIF('INPUT - Roster'!$MW$6:$MW$206,"*DRIVE OUT*")+COUNTIF('INPUT - Roster'!$MW$6:$MW$206,"DO *")</f>
        <v/>
      </c>
      <c r="MH31" s="170">
        <f>COUNTIF('INPUT - Roster'!$MX$6:$MX$206,"*DRV-OUT*")+COUNTIF('INPUT - Roster'!$MX$6:$MX$206,"*DRIVE OUT*")+COUNTIF('INPUT - Roster'!$MX$6:$MX$206,"DO *")</f>
        <v/>
      </c>
      <c r="MI31" s="170">
        <f>COUNTIF('INPUT - Roster'!$MY$6:$MY$206,"*DRV-OUT*")+COUNTIF('INPUT - Roster'!$MY$6:$MY$206,"*DRIVE OUT*")+COUNTIF('INPUT - Roster'!$MY$6:$MY$206,"DO *")</f>
        <v/>
      </c>
      <c r="MJ31" s="170">
        <f>COUNTIF('INPUT - Roster'!$MZ$6:$MZ$206,"*DRV-OUT*")+COUNTIF('INPUT - Roster'!$MZ$6:$MZ$206,"*DRIVE OUT*")+COUNTIF('INPUT - Roster'!$MZ$6:$MZ$206,"DO *")</f>
        <v/>
      </c>
      <c r="MK31" s="170">
        <f>COUNTIF('INPUT - Roster'!$NA$6:$NA$206,"*DRV-OUT*")+COUNTIF('INPUT - Roster'!$NA$6:$NA$206,"*DRIVE OUT*")+COUNTIF('INPUT - Roster'!$NA$6:$NA$206,"DO *")</f>
        <v/>
      </c>
      <c r="ML31" s="170">
        <f>COUNTIF('INPUT - Roster'!$NB$6:$NB$206,"*DRV-OUT*")+COUNTIF('INPUT - Roster'!$NB$6:$NB$206,"*DRIVE OUT*")+COUNTIF('INPUT - Roster'!$NB$6:$NB$206,"DO *")</f>
        <v/>
      </c>
      <c r="MM31" s="170">
        <f>COUNTIF('INPUT - Roster'!$NC$6:$NC$206,"*DRV-OUT*")+COUNTIF('INPUT - Roster'!$NC$6:$NC$206,"*DRIVE OUT*")+COUNTIF('INPUT - Roster'!$NC$6:$NC$206,"DO *")</f>
        <v/>
      </c>
      <c r="MN31" s="170">
        <f>COUNTIF('INPUT - Roster'!$ND$6:$ND$206,"*DRV-OUT*")+COUNTIF('INPUT - Roster'!$ND$6:$ND$206,"*DRIVE OUT*")+COUNTIF('INPUT - Roster'!$ND$6:$ND$206,"DO *")</f>
        <v/>
      </c>
      <c r="MO31" s="170">
        <f>COUNTIF('INPUT - Roster'!$NE$6:$NE$206,"*DRV-OUT*")+COUNTIF('INPUT - Roster'!$NE$6:$NE$206,"*DRIVE OUT*")+COUNTIF('INPUT - Roster'!$NE$6:$NE$206,"DO *")</f>
        <v/>
      </c>
      <c r="MP31" s="170">
        <f>COUNTIF('INPUT - Roster'!$NF$6:$NF$206,"*DRV-OUT*")+COUNTIF('INPUT - Roster'!$NF$6:$NF$206,"*DRIVE OUT*")+COUNTIF('INPUT - Roster'!$NF$6:$NF$206,"DO *")</f>
        <v/>
      </c>
      <c r="MQ31" s="170">
        <f>COUNTIF('INPUT - Roster'!$NG$6:$NG$206,"*DRV-OUT*")+COUNTIF('INPUT - Roster'!$NG$6:$NG$206,"*DRIVE OUT*")+COUNTIF('INPUT - Roster'!$NG$6:$NG$206,"DO *")</f>
        <v/>
      </c>
      <c r="MR31" s="170">
        <f>COUNTIF('INPUT - Roster'!$NH$6:$NH$206,"*DRV-OUT*")+COUNTIF('INPUT - Roster'!$NH$6:$NH$206,"*DRIVE OUT*")+COUNTIF('INPUT - Roster'!$NH$6:$NH$206,"DO *")</f>
        <v/>
      </c>
      <c r="MS31" s="170">
        <f>COUNTIF('INPUT - Roster'!$NI$6:$NI$206,"*DRV-OUT*")+COUNTIF('INPUT - Roster'!$NI$6:$NI$206,"*DRIVE OUT*")+COUNTIF('INPUT - Roster'!$NI$6:$NI$206,"DO *")</f>
        <v/>
      </c>
      <c r="MT31" s="170">
        <f>COUNTIF('INPUT - Roster'!$NJ$6:$NJ$206,"*DRV-OUT*")+COUNTIF('INPUT - Roster'!$NJ$6:$NJ$206,"*DRIVE OUT*")+COUNTIF('INPUT - Roster'!$NJ$6:$NJ$206,"DO *")</f>
        <v/>
      </c>
      <c r="MU31" s="170">
        <f>COUNTIF('INPUT - Roster'!$NK$6:$NK$206,"*DRV-OUT*")+COUNTIF('INPUT - Roster'!$NK$6:$NK$206,"*DRIVE OUT*")+COUNTIF('INPUT - Roster'!$NK$6:$NK$206,"DO *")</f>
        <v/>
      </c>
      <c r="MV31" s="170">
        <f>COUNTIF('INPUT - Roster'!$NL$6:$NL$206,"*DRV-OUT*")+COUNTIF('INPUT - Roster'!$NL$6:$NL$206,"*DRIVE OUT*")+COUNTIF('INPUT - Roster'!$NL$6:$NL$206,"DO *")</f>
        <v/>
      </c>
      <c r="MW31" s="170">
        <f>COUNTIF('INPUT - Roster'!$NM$6:$NM$206,"*DRV-OUT*")+COUNTIF('INPUT - Roster'!$NM$6:$NM$206,"*DRIVE OUT*")+COUNTIF('INPUT - Roster'!$NM$6:$NM$206,"DO *")</f>
        <v/>
      </c>
      <c r="MX31" s="170">
        <f>COUNTIF('INPUT - Roster'!$NN$6:$NN$206,"*DRV-OUT*")+COUNTIF('INPUT - Roster'!$NN$6:$NN$206,"*DRIVE OUT*")+COUNTIF('INPUT - Roster'!$NN$6:$NN$206,"DO *")</f>
        <v/>
      </c>
      <c r="MY31" s="170">
        <f>COUNTIF('INPUT - Roster'!$NO$6:$NO$206,"*DRV-OUT*")+COUNTIF('INPUT - Roster'!$NO$6:$NO$206,"*DRIVE OUT*")+COUNTIF('INPUT - Roster'!$NO$6:$NO$206,"DO *")</f>
        <v/>
      </c>
      <c r="MZ31" s="170">
        <f>COUNTIF('INPUT - Roster'!$NP$6:$NP$206,"*DRV-OUT*")+COUNTIF('INPUT - Roster'!$NP$6:$NP$206,"*DRIVE OUT*")+COUNTIF('INPUT - Roster'!$NP$6:$NP$206,"DO *")</f>
        <v/>
      </c>
      <c r="NA31" s="170">
        <f>COUNTIF('INPUT - Roster'!$NQ$6:$NQ$206,"*DRV-OUT*")+COUNTIF('INPUT - Roster'!$NQ$6:$NQ$206,"*DRIVE OUT*")+COUNTIF('INPUT - Roster'!$NQ$6:$NQ$206,"DO *")</f>
        <v/>
      </c>
      <c r="NB31" s="170">
        <f>COUNTIF('INPUT - Roster'!$NR$6:$NR$206,"*DRV-OUT*")+COUNTIF('INPUT - Roster'!$NR$6:$NR$206,"*DRIVE OUT*")+COUNTIF('INPUT - Roster'!$NR$6:$NR$206,"DO *")</f>
        <v/>
      </c>
      <c r="NC31" s="170">
        <f>COUNTIF('INPUT - Roster'!$NS$6:$NS$206,"*DRV-OUT*")+COUNTIF('INPUT - Roster'!$NS$6:$NS$206,"*DRIVE OUT*")+COUNTIF('INPUT - Roster'!$NS$6:$NS$206,"DO *")</f>
        <v/>
      </c>
      <c r="ND31" s="170">
        <f>COUNTIF('INPUT - Roster'!$NT$6:$NT$206,"*DRV-OUT*")+COUNTIF('INPUT - Roster'!$NT$6:$NT$206,"*DRIVE OUT*")+COUNTIF('INPUT - Roster'!$NT$6:$NT$206,"DO *")</f>
        <v/>
      </c>
      <c r="NE31" s="170">
        <f>COUNTIF('INPUT - Roster'!$NU$6:$NU$206,"*DRV-OUT*")+COUNTIF('INPUT - Roster'!$NU$6:$NU$206,"*DRIVE OUT*")+COUNTIF('INPUT - Roster'!$NU$6:$NU$206,"DO *")</f>
        <v/>
      </c>
      <c r="NF31" s="170">
        <f>COUNTIF('INPUT - Roster'!$NV$6:$NV$206,"*DRV-OUT*")+COUNTIF('INPUT - Roster'!$NV$6:$NV$206,"*DRIVE OUT*")+COUNTIF('INPUT - Roster'!$NV$6:$NV$206,"DO *")</f>
        <v/>
      </c>
      <c r="NG31" s="170">
        <f>COUNTIF('INPUT - Roster'!$NW$6:$NW$206,"*DRV-OUT*")+COUNTIF('INPUT - Roster'!$NW$6:$NW$206,"*DRIVE OUT*")+COUNTIF('INPUT - Roster'!$NW$6:$NW$206,"DO *")</f>
        <v/>
      </c>
      <c r="NH31" s="170">
        <f>COUNTIF('INPUT - Roster'!$NX$6:$NX$206,"*DRV-OUT*")+COUNTIF('INPUT - Roster'!$NX$6:$NX$206,"*DRIVE OUT*")+COUNTIF('INPUT - Roster'!$NX$6:$NX$206,"DO *")</f>
        <v/>
      </c>
      <c r="NI31" s="170">
        <f>COUNTIF('INPUT - Roster'!$NY$6:$NY$206,"*DRV-OUT*")+COUNTIF('INPUT - Roster'!$NY$6:$NY$206,"*DRIVE OUT*")+COUNTIF('INPUT - Roster'!$NY$6:$NY$206,"DO *")</f>
        <v/>
      </c>
      <c r="NJ31" s="170">
        <f>COUNTIF('INPUT - Roster'!$NZ$6:$NZ$206,"*DRV-OUT*")+COUNTIF('INPUT - Roster'!$NZ$6:$NZ$206,"*DRIVE OUT*")+COUNTIF('INPUT - Roster'!$NZ$6:$NZ$206,"DO *")</f>
        <v/>
      </c>
      <c r="NK31" s="170">
        <f>COUNTIF('INPUT - Roster'!$OA$6:$OA$206,"*DRV-OUT*")+COUNTIF('INPUT - Roster'!$OA$6:$OA$206,"*DRIVE OUT*")+COUNTIF('INPUT - Roster'!$OA$6:$OA$206,"DO *")</f>
        <v/>
      </c>
      <c r="NL31" s="170">
        <f>COUNTIF('INPUT - Roster'!$OB$6:$OB$206,"*DRV-OUT*")+COUNTIF('INPUT - Roster'!$OB$6:$OB$206,"*DRIVE OUT*")+COUNTIF('INPUT - Roster'!$OB$6:$OB$206,"DO *")</f>
        <v/>
      </c>
      <c r="NM31" s="170">
        <f>COUNTIF('INPUT - Roster'!$OC$6:$OC$206,"*DRV-OUT*")+COUNTIF('INPUT - Roster'!$OC$6:$OC$206,"*DRIVE OUT*")+COUNTIF('INPUT - Roster'!$OC$6:$OC$206,"DO *")</f>
        <v/>
      </c>
      <c r="NN31" s="170">
        <f>COUNTIF('INPUT - Roster'!$OD$6:$OD$206,"*DRV-OUT*")+COUNTIF('INPUT - Roster'!$OD$6:$OD$206,"*DRIVE OUT*")+COUNTIF('INPUT - Roster'!$OD$6:$OD$206,"DO *")</f>
        <v/>
      </c>
      <c r="NO31" s="170">
        <f>COUNTIF('INPUT - Roster'!$OE$6:$OE$206,"*DRV-OUT*")+COUNTIF('INPUT - Roster'!$OE$6:$OE$206,"*DRIVE OUT*")+COUNTIF('INPUT - Roster'!$OE$6:$OE$206,"DO *")</f>
        <v/>
      </c>
      <c r="NP31" s="170">
        <f>COUNTIF('INPUT - Roster'!$OF$6:$OF$206,"*DRV-OUT*")+COUNTIF('INPUT - Roster'!$OF$6:$OF$206,"*DRIVE OUT*")+COUNTIF('INPUT - Roster'!$OF$6:$OF$206,"DO *")</f>
        <v/>
      </c>
      <c r="NQ31" s="170">
        <f>COUNTIF('INPUT - Roster'!$OG$6:$OG$206,"*DRV-OUT*")+COUNTIF('INPUT - Roster'!$OG$6:$OG$206,"*DRIVE OUT*")+COUNTIF('INPUT - Roster'!$OG$6:$OG$206,"DO *")</f>
        <v/>
      </c>
      <c r="NR31" s="170">
        <f>COUNTIF('INPUT - Roster'!$OH$6:$OH$206,"*DRV-OUT*")+COUNTIF('INPUT - Roster'!$OH$6:$OH$206,"*DRIVE OUT*")+COUNTIF('INPUT - Roster'!$OH$6:$OH$206,"DO *")</f>
        <v/>
      </c>
      <c r="NS31" s="170">
        <f>COUNTIF('INPUT - Roster'!$OI$6:$OI$206,"*DRV-OUT*")+COUNTIF('INPUT - Roster'!$OI$6:$OI$206,"*DRIVE OUT*")+COUNTIF('INPUT - Roster'!$OI$6:$OI$206,"DO *")</f>
        <v/>
      </c>
      <c r="NT31" s="170">
        <f>COUNTIF('INPUT - Roster'!$OJ$6:$OJ$206,"*DRV-OUT*")+COUNTIF('INPUT - Roster'!$OJ$6:$OJ$206,"*DRIVE OUT*")+COUNTIF('INPUT - Roster'!$OJ$6:$OJ$206,"DO *")</f>
        <v/>
      </c>
      <c r="NU31" s="170">
        <f>COUNTIF('INPUT - Roster'!$OK$6:$OK$206,"*DRV-OUT*")+COUNTIF('INPUT - Roster'!$OK$6:$OK$206,"*DRIVE OUT*")+COUNTIF('INPUT - Roster'!$OK$6:$OK$206,"DO *")</f>
        <v/>
      </c>
      <c r="NV31" s="170">
        <f>COUNTIF('INPUT - Roster'!$OL$6:$OL$206,"*DRV-OUT*")+COUNTIF('INPUT - Roster'!$OL$6:$OL$206,"*DRIVE OUT*")+COUNTIF('INPUT - Roster'!$OL$6:$OL$206,"DO *")</f>
        <v/>
      </c>
      <c r="NW31" s="170">
        <f>COUNTIF('INPUT - Roster'!$OM$6:$OM$206,"*DRV-OUT*")+COUNTIF('INPUT - Roster'!$OM$6:$OM$206,"*DRIVE OUT*")+COUNTIF('INPUT - Roster'!$OM$6:$OM$206,"DO *")</f>
        <v/>
      </c>
      <c r="NX31" s="170">
        <f>COUNTIF('INPUT - Roster'!$ON$6:$ON$206,"*DRV-OUT*")+COUNTIF('INPUT - Roster'!$ON$6:$ON$206,"*DRIVE OUT*")+COUNTIF('INPUT - Roster'!$ON$6:$ON$206,"DO *")</f>
        <v/>
      </c>
      <c r="NY31" s="170">
        <f>COUNTIF('INPUT - Roster'!$OO$6:$OO$206,"*DRV-OUT*")+COUNTIF('INPUT - Roster'!$OO$6:$OO$206,"*DRIVE OUT*")+COUNTIF('INPUT - Roster'!$OO$6:$OO$206,"DO *")</f>
        <v/>
      </c>
      <c r="NZ31" s="170">
        <f>COUNTIF('INPUT - Roster'!$OP$6:$OP$206,"*DRV-OUT*")+COUNTIF('INPUT - Roster'!$OP$6:$OP$206,"*DRIVE OUT*")+COUNTIF('INPUT - Roster'!$OP$6:$OP$206,"DO *")</f>
        <v/>
      </c>
      <c r="OA31" s="170">
        <f>COUNTIF('INPUT - Roster'!$OQ$6:$OQ$206,"*DRV-OUT*")+COUNTIF('INPUT - Roster'!$OQ$6:$OQ$206,"*DRIVE OUT*")+COUNTIF('INPUT - Roster'!$OQ$6:$OQ$206,"DO *")</f>
        <v/>
      </c>
      <c r="OB31" s="170">
        <f>COUNTIF('INPUT - Roster'!$OR$6:$OR$206,"*DRV-OUT*")+COUNTIF('INPUT - Roster'!$OR$6:$OR$206,"*DRIVE OUT*")+COUNTIF('INPUT - Roster'!$OR$6:$OR$206,"DO *")</f>
        <v/>
      </c>
      <c r="OC31" s="170">
        <f>COUNTIF('INPUT - Roster'!$OS$6:$OS$206,"*DRV-OUT*")+COUNTIF('INPUT - Roster'!$OS$6:$OS$206,"*DRIVE OUT*")+COUNTIF('INPUT - Roster'!$OS$6:$OS$206,"DO *")</f>
        <v/>
      </c>
      <c r="OD31" s="170">
        <f>COUNTIF('INPUT - Roster'!$OT$6:$OT$206,"*DRV-OUT*")+COUNTIF('INPUT - Roster'!$OT$6:$OT$206,"*DRIVE OUT*")+COUNTIF('INPUT - Roster'!$OT$6:$OT$206,"DO *")</f>
        <v/>
      </c>
      <c r="OE31" s="170">
        <f>COUNTIF('INPUT - Roster'!$OU$6:$OU$206,"*DRV-OUT*")+COUNTIF('INPUT - Roster'!$OU$6:$OU$206,"*DRIVE OUT*")+COUNTIF('INPUT - Roster'!$OU$6:$OU$206,"DO *")</f>
        <v/>
      </c>
      <c r="OF31" s="170">
        <f>COUNTIF('INPUT - Roster'!$OV$6:$OV$206,"*DRV-OUT*")+COUNTIF('INPUT - Roster'!$OV$6:$OV$206,"*DRIVE OUT*")+COUNTIF('INPUT - Roster'!$OV$6:$OV$206,"DO *")</f>
        <v/>
      </c>
      <c r="OG31" s="170">
        <f>COUNTIF('INPUT - Roster'!$OW$6:$OW$206,"*DRV-OUT*")+COUNTIF('INPUT - Roster'!$OW$6:$OW$206,"*DRIVE OUT*")+COUNTIF('INPUT - Roster'!$OW$6:$OW$206,"DO *")</f>
        <v/>
      </c>
      <c r="OH31" s="170">
        <f>COUNTIF('INPUT - Roster'!$OX$6:$OX$206,"*DRV-OUT*")+COUNTIF('INPUT - Roster'!$OX$6:$OX$206,"*DRIVE OUT*")+COUNTIF('INPUT - Roster'!$OX$6:$OX$206,"DO *")</f>
        <v/>
      </c>
      <c r="OI31" s="170">
        <f>COUNTIF('INPUT - Roster'!$OY$6:$OY$206,"*DRV-OUT*")+COUNTIF('INPUT - Roster'!$OY$6:$OY$206,"*DRIVE OUT*")+COUNTIF('INPUT - Roster'!$OY$6:$OY$206,"DO *")</f>
        <v/>
      </c>
      <c r="OJ31" s="170">
        <f>COUNTIF('INPUT - Roster'!$OZ$6:$OZ$206,"*DRV-OUT*")+COUNTIF('INPUT - Roster'!$OZ$6:$OZ$206,"*DRIVE OUT*")+COUNTIF('INPUT - Roster'!$OZ$6:$OZ$206,"DO *")</f>
        <v/>
      </c>
      <c r="OK31" s="170">
        <f>COUNTIF('INPUT - Roster'!$PA$6:$PA$206,"*DRV-OUT*")+COUNTIF('INPUT - Roster'!$PA$6:$PA$206,"*DRIVE OUT*")+COUNTIF('INPUT - Roster'!$PA$6:$PA$206,"DO *")</f>
        <v/>
      </c>
      <c r="OL31" s="170">
        <f>COUNTIF('INPUT - Roster'!$PB$6:$PB$206,"*DRV-OUT*")+COUNTIF('INPUT - Roster'!$PB$6:$PB$206,"*DRIVE OUT*")+COUNTIF('INPUT - Roster'!$PB$6:$PB$206,"DO *")</f>
        <v/>
      </c>
      <c r="OM31" s="170">
        <f>COUNTIF('INPUT - Roster'!$PC$6:$PC$206,"*DRV-OUT*")+COUNTIF('INPUT - Roster'!$PC$6:$PC$206,"*DRIVE OUT*")+COUNTIF('INPUT - Roster'!$PC$6:$PC$206,"DO *")</f>
        <v/>
      </c>
      <c r="ON31" s="170">
        <f>COUNTIF('INPUT - Roster'!$PD$6:$PD$206,"*DRV-OUT*")+COUNTIF('INPUT - Roster'!$PD$6:$PD$206,"*DRIVE OUT*")+COUNTIF('INPUT - Roster'!$PD$6:$PD$206,"DO *")</f>
        <v/>
      </c>
      <c r="OO31" s="170">
        <f>COUNTIF('INPUT - Roster'!$PE$6:$PE$206,"*DRV-OUT*")+COUNTIF('INPUT - Roster'!$PE$6:$PE$206,"*DRIVE OUT*")+COUNTIF('INPUT - Roster'!$PE$6:$PE$206,"DO *")</f>
        <v/>
      </c>
      <c r="OP31" s="170">
        <f>COUNTIF('INPUT - Roster'!$PF$6:$PF$206,"*DRV-OUT*")+COUNTIF('INPUT - Roster'!$PF$6:$PF$206,"*DRIVE OUT*")+COUNTIF('INPUT - Roster'!$PF$6:$PF$206,"DO *")</f>
        <v/>
      </c>
      <c r="OQ31" s="170">
        <f>COUNTIF('INPUT - Roster'!$PG$6:$PG$206,"*DRV-OUT*")+COUNTIF('INPUT - Roster'!$PG$6:$PG$206,"*DRIVE OUT*")+COUNTIF('INPUT - Roster'!$PG$6:$PG$206,"DO *")</f>
        <v/>
      </c>
      <c r="OR31" s="170">
        <f>COUNTIF('INPUT - Roster'!$PH$6:$PH$206,"*DRV-OUT*")+COUNTIF('INPUT - Roster'!$PH$6:$PH$206,"*DRIVE OUT*")+COUNTIF('INPUT - Roster'!$PH$6:$PH$206,"DO *")</f>
        <v/>
      </c>
      <c r="OS31" s="170">
        <f>COUNTIF('INPUT - Roster'!$PI$6:$PI$206,"*DRV-OUT*")+COUNTIF('INPUT - Roster'!$PI$6:$PI$206,"*DRIVE OUT*")+COUNTIF('INPUT - Roster'!$PI$6:$PI$206,"DO *")</f>
        <v/>
      </c>
      <c r="OT31" s="170">
        <f>COUNTIF('INPUT - Roster'!$PJ$6:$PJ$206,"*DRV-OUT*")+COUNTIF('INPUT - Roster'!$PJ$6:$PJ$206,"*DRIVE OUT*")+COUNTIF('INPUT - Roster'!$PJ$6:$PJ$206,"DO *")</f>
        <v/>
      </c>
      <c r="OU31" s="170">
        <f>COUNTIF('INPUT - Roster'!$PK$6:$PK$206,"*DRV-OUT*")+COUNTIF('INPUT - Roster'!$PK$6:$PK$206,"*DRIVE OUT*")+COUNTIF('INPUT - Roster'!$PK$6:$PK$206,"DO *")</f>
        <v/>
      </c>
      <c r="OV31" s="170">
        <f>COUNTIF('INPUT - Roster'!$PL$6:$PL$206,"*DRV-OUT*")+COUNTIF('INPUT - Roster'!$PL$6:$PL$206,"*DRIVE OUT*")+COUNTIF('INPUT - Roster'!$PL$6:$PL$206,"DO *")</f>
        <v/>
      </c>
      <c r="OW31" s="170">
        <f>COUNTIF('INPUT - Roster'!$PM$6:$PM$206,"*DRV-OUT*")+COUNTIF('INPUT - Roster'!$PM$6:$PM$206,"*DRIVE OUT*")+COUNTIF('INPUT - Roster'!$PM$6:$PM$206,"DO *")</f>
        <v/>
      </c>
      <c r="OX31" s="170">
        <f>COUNTIF('INPUT - Roster'!$PN$6:$PN$206,"*DRV-OUT*")+COUNTIF('INPUT - Roster'!$PN$6:$PN$206,"*DRIVE OUT*")+COUNTIF('INPUT - Roster'!$PN$6:$PN$206,"DO *")</f>
        <v/>
      </c>
      <c r="OY31" s="170">
        <f>COUNTIF('INPUT - Roster'!$PO$6:$PO$206,"*DRV-OUT*")+COUNTIF('INPUT - Roster'!$PO$6:$PO$206,"*DRIVE OUT*")+COUNTIF('INPUT - Roster'!$PO$6:$PO$206,"DO *")</f>
        <v/>
      </c>
      <c r="OZ31" s="170">
        <f>COUNTIF('INPUT - Roster'!$PP$6:$PP$206,"*DRV-OUT*")+COUNTIF('INPUT - Roster'!$PP$6:$PP$206,"*DRIVE OUT*")+COUNTIF('INPUT - Roster'!$PP$6:$PP$206,"DO *")</f>
        <v/>
      </c>
      <c r="PA31" s="170">
        <f>COUNTIF('INPUT - Roster'!$PQ$6:$PQ$206,"*DRV-OUT*")+COUNTIF('INPUT - Roster'!$PQ$6:$PQ$206,"*DRIVE OUT*")+COUNTIF('INPUT - Roster'!$PQ$6:$PQ$206,"DO *")</f>
        <v/>
      </c>
      <c r="PB31" s="170">
        <f>COUNTIF('INPUT - Roster'!$PR$6:$PR$206,"*DRV-OUT*")+COUNTIF('INPUT - Roster'!$PR$6:$PR$206,"*DRIVE OUT*")+COUNTIF('INPUT - Roster'!$PR$6:$PR$206,"DO *")</f>
        <v/>
      </c>
      <c r="PC31" s="170">
        <f>COUNTIF('INPUT - Roster'!$PS$6:$PS$206,"*DRV-OUT*")+COUNTIF('INPUT - Roster'!$PS$6:$PS$206,"*DRIVE OUT*")+COUNTIF('INPUT - Roster'!$PS$6:$PS$206,"DO *")</f>
        <v/>
      </c>
      <c r="PD31" s="170">
        <f>COUNTIF('INPUT - Roster'!$PT$6:$PT$206,"*DRV-OUT*")+COUNTIF('INPUT - Roster'!$PT$6:$PT$206,"*DRIVE OUT*")+COUNTIF('INPUT - Roster'!$PT$6:$PT$206,"DO *")</f>
        <v/>
      </c>
      <c r="PE31" s="170">
        <f>COUNTIF('INPUT - Roster'!$PU$6:$PU$206,"*DRV-OUT*")+COUNTIF('INPUT - Roster'!$PU$6:$PU$206,"*DRIVE OUT*")+COUNTIF('INPUT - Roster'!$PU$6:$PU$206,"DO *")</f>
        <v/>
      </c>
      <c r="PF31" s="170">
        <f>COUNTIF('INPUT - Roster'!$PV$6:$PV$206,"*DRV-OUT*")+COUNTIF('INPUT - Roster'!$PV$6:$PV$206,"*DRIVE OUT*")+COUNTIF('INPUT - Roster'!$PV$6:$PV$206,"DO *")</f>
        <v/>
      </c>
      <c r="PG31" s="170">
        <f>COUNTIF('INPUT - Roster'!$PW$6:$PW$206,"*DRV-OUT*")+COUNTIF('INPUT - Roster'!$PW$6:$PW$206,"*DRIVE OUT*")+COUNTIF('INPUT - Roster'!$PW$6:$PW$206,"DO *")</f>
        <v/>
      </c>
      <c r="PH31" s="170">
        <f>COUNTIF('INPUT - Roster'!$PX$6:$PX$206,"*DRV-OUT*")+COUNTIF('INPUT - Roster'!$PX$6:$PX$206,"*DRIVE OUT*")+COUNTIF('INPUT - Roster'!$PX$6:$PX$206,"DO *")</f>
        <v/>
      </c>
      <c r="PI31" s="170">
        <f>COUNTIF('INPUT - Roster'!$PY$6:$PY$206,"*DRV-OUT*")+COUNTIF('INPUT - Roster'!$PY$6:$PY$206,"*DRIVE OUT*")+COUNTIF('INPUT - Roster'!$PY$6:$PY$206,"DO *")</f>
        <v/>
      </c>
      <c r="PJ31" s="170">
        <f>COUNTIF('INPUT - Roster'!$PZ$6:$PZ$206,"*DRV-OUT*")+COUNTIF('INPUT - Roster'!$PZ$6:$PZ$206,"*DRIVE OUT*")+COUNTIF('INPUT - Roster'!$PZ$6:$PZ$206,"DO *")</f>
        <v/>
      </c>
      <c r="PK31" s="170">
        <f>COUNTIF('INPUT - Roster'!$QA$6:$QA$206,"*DRV-OUT*")+COUNTIF('INPUT - Roster'!$QA$6:$QA$206,"*DRIVE OUT*")+COUNTIF('INPUT - Roster'!$QA$6:$QA$206,"DO *")</f>
        <v/>
      </c>
      <c r="PL31" s="170">
        <f>COUNTIF('INPUT - Roster'!$QB$6:$QB$206,"*DRV-OUT*")+COUNTIF('INPUT - Roster'!$QB$6:$QB$206,"*DRIVE OUT*")+COUNTIF('INPUT - Roster'!$QB$6:$QB$206,"DO *")</f>
        <v/>
      </c>
      <c r="PM31" s="170">
        <f>COUNTIF('INPUT - Roster'!$QC$6:$QC$206,"*DRV-OUT*")+COUNTIF('INPUT - Roster'!$QC$6:$QC$206,"*DRIVE OUT*")+COUNTIF('INPUT - Roster'!$QC$6:$QC$206,"DO *")</f>
        <v/>
      </c>
      <c r="PN31" s="170">
        <f>COUNTIF('INPUT - Roster'!$QD$6:$QD$206,"*DRV-OUT*")+COUNTIF('INPUT - Roster'!$QD$6:$QD$206,"*DRIVE OUT*")+COUNTIF('INPUT - Roster'!$QD$6:$QD$206,"DO *")</f>
        <v/>
      </c>
      <c r="PO31" s="170">
        <f>COUNTIF('INPUT - Roster'!$QE$6:$QE$206,"*DRV-OUT*")+COUNTIF('INPUT - Roster'!$QE$6:$QE$206,"*DRIVE OUT*")+COUNTIF('INPUT - Roster'!$QE$6:$QE$206,"DO *")</f>
        <v/>
      </c>
      <c r="PP31" s="170">
        <f>COUNTIF('INPUT - Roster'!$QF$6:$QF$206,"*DRV-OUT*")+COUNTIF('INPUT - Roster'!$QF$6:$QF$206,"*DRIVE OUT*")+COUNTIF('INPUT - Roster'!$QF$6:$QF$206,"DO *")</f>
        <v/>
      </c>
      <c r="PQ31" s="170">
        <f>COUNTIF('INPUT - Roster'!$QG$6:$QG$206,"*DRV-OUT*")+COUNTIF('INPUT - Roster'!$QG$6:$QG$206,"*DRIVE OUT*")+COUNTIF('INPUT - Roster'!$QG$6:$QG$206,"DO *")</f>
        <v/>
      </c>
      <c r="PR31" s="170">
        <f>COUNTIF('INPUT - Roster'!$QH$6:$QH$206,"*DRV-OUT*")+COUNTIF('INPUT - Roster'!$QH$6:$QH$206,"*DRIVE OUT*")+COUNTIF('INPUT - Roster'!$QH$6:$QH$206,"DO *")</f>
        <v/>
      </c>
      <c r="PS31" s="170">
        <f>COUNTIF('INPUT - Roster'!$QI$6:$QI$206,"*DRV-OUT*")+COUNTIF('INPUT - Roster'!$QI$6:$QI$206,"*DRIVE OUT*")+COUNTIF('INPUT - Roster'!$QI$6:$QI$206,"DO *")</f>
        <v/>
      </c>
      <c r="PT31" s="170">
        <f>COUNTIF('INPUT - Roster'!$QJ$6:$QJ$206,"*DRV-OUT*")+COUNTIF('INPUT - Roster'!$QJ$6:$QJ$206,"*DRIVE OUT*")+COUNTIF('INPUT - Roster'!$QJ$6:$QJ$206,"DO *")</f>
        <v/>
      </c>
      <c r="PU31" s="170">
        <f>COUNTIF('INPUT - Roster'!$QK$6:$QK$206,"*DRV-OUT*")+COUNTIF('INPUT - Roster'!$QK$6:$QK$206,"*DRIVE OUT*")+COUNTIF('INPUT - Roster'!$QK$6:$QK$206,"DO *")</f>
        <v/>
      </c>
      <c r="PV31" s="170">
        <f>COUNTIF('INPUT - Roster'!$QL$6:$QL$206,"*DRV-OUT*")+COUNTIF('INPUT - Roster'!$QL$6:$QL$206,"*DRIVE OUT*")+COUNTIF('INPUT - Roster'!$QL$6:$QL$206,"DO *")</f>
        <v/>
      </c>
      <c r="PW31" s="170">
        <f>COUNTIF('INPUT - Roster'!$QM$6:$QM$206,"*DRV-OUT*")+COUNTIF('INPUT - Roster'!$QM$6:$QM$206,"*DRIVE OUT*")+COUNTIF('INPUT - Roster'!$QM$6:$QM$206,"DO *")</f>
        <v/>
      </c>
      <c r="PX31" s="170">
        <f>COUNTIF('INPUT - Roster'!$QN$6:$QN$206,"*DRV-OUT*")+COUNTIF('INPUT - Roster'!$QN$6:$QN$206,"*DRIVE OUT*")+COUNTIF('INPUT - Roster'!$QN$6:$QN$206,"DO *")</f>
        <v/>
      </c>
      <c r="PY31" s="170">
        <f>COUNTIF('INPUT - Roster'!$QO$6:$QO$206,"*DRV-OUT*")+COUNTIF('INPUT - Roster'!$QO$6:$QO$206,"*DRIVE OUT*")+COUNTIF('INPUT - Roster'!$QO$6:$QO$206,"DO *")</f>
        <v/>
      </c>
      <c r="PZ31" s="170">
        <f>COUNTIF('INPUT - Roster'!$QP$6:$QP$206,"*DRV-OUT*")+COUNTIF('INPUT - Roster'!$QP$6:$QP$206,"*DRIVE OUT*")+COUNTIF('INPUT - Roster'!$QP$6:$QP$206,"DO *")</f>
        <v/>
      </c>
      <c r="QA31" s="170">
        <f>COUNTIF('INPUT - Roster'!$QQ$6:$QQ$206,"*DRV-OUT*")+COUNTIF('INPUT - Roster'!$QQ$6:$QQ$206,"*DRIVE OUT*")+COUNTIF('INPUT - Roster'!$QQ$6:$QQ$206,"DO *")</f>
        <v/>
      </c>
      <c r="QB31" s="170">
        <f>COUNTIF('INPUT - Roster'!$QR$6:$QR$206,"*DRV-OUT*")+COUNTIF('INPUT - Roster'!$QR$6:$QR$206,"*DRIVE OUT*")+COUNTIF('INPUT - Roster'!$QR$6:$QR$206,"DO *")</f>
        <v/>
      </c>
      <c r="QC31" s="170">
        <f>COUNTIF('INPUT - Roster'!$QS$6:$QS$206,"*DRV-OUT*")+COUNTIF('INPUT - Roster'!$QS$6:$QS$206,"*DRIVE OUT*")+COUNTIF('INPUT - Roster'!$QS$6:$QS$206,"DO *")</f>
        <v/>
      </c>
      <c r="QD31" s="170">
        <f>COUNTIF('INPUT - Roster'!$QT$6:$QT$206,"*DRV-OUT*")+COUNTIF('INPUT - Roster'!$QT$6:$QT$206,"*DRIVE OUT*")+COUNTIF('INPUT - Roster'!$QT$6:$QT$206,"DO *")</f>
        <v/>
      </c>
      <c r="QE31" s="170">
        <f>COUNTIF('INPUT - Roster'!$QU$6:$QU$206,"*DRV-OUT*")+COUNTIF('INPUT - Roster'!$QU$6:$QU$206,"*DRIVE OUT*")+COUNTIF('INPUT - Roster'!$QU$6:$QU$206,"DO *")</f>
        <v/>
      </c>
      <c r="QF31" s="170">
        <f>COUNTIF('INPUT - Roster'!$QV$6:$QV$206,"*DRV-OUT*")+COUNTIF('INPUT - Roster'!$QV$6:$QV$206,"*DRIVE OUT*")+COUNTIF('INPUT - Roster'!$QV$6:$QV$206,"DO *")</f>
        <v/>
      </c>
      <c r="QG31" s="170">
        <f>COUNTIF('INPUT - Roster'!$QW$6:$QW$206,"*DRV-OUT*")+COUNTIF('INPUT - Roster'!$QW$6:$QW$206,"*DRIVE OUT*")+COUNTIF('INPUT - Roster'!$QW$6:$QW$206,"DO *")</f>
        <v/>
      </c>
      <c r="QH31" s="170">
        <f>COUNTIF('INPUT - Roster'!$QX$6:$QX$206,"*DRV-OUT*")+COUNTIF('INPUT - Roster'!$QX$6:$QX$206,"*DRIVE OUT*")+COUNTIF('INPUT - Roster'!$QX$6:$QX$206,"DO *")</f>
        <v/>
      </c>
      <c r="QI31" s="170">
        <f>COUNTIF('INPUT - Roster'!$QY$6:$QY$206,"*DRV-OUT*")+COUNTIF('INPUT - Roster'!$QY$6:$QY$206,"*DRIVE OUT*")+COUNTIF('INPUT - Roster'!$QY$6:$QY$206,"DO *")</f>
        <v/>
      </c>
      <c r="QJ31" s="170">
        <f>COUNTIF('INPUT - Roster'!$QZ$6:$QZ$206,"*DRV-OUT*")+COUNTIF('INPUT - Roster'!$QZ$6:$QZ$206,"*DRIVE OUT*")+COUNTIF('INPUT - Roster'!$QZ$6:$QZ$206,"DO *")</f>
        <v/>
      </c>
      <c r="QK31" s="170">
        <f>COUNTIF('INPUT - Roster'!$RA$6:$RA$206,"*DRV-OUT*")+COUNTIF('INPUT - Roster'!$RA$6:$RA$206,"*DRIVE OUT*")+COUNTIF('INPUT - Roster'!$RA$6:$RA$206,"DO *")</f>
        <v/>
      </c>
      <c r="QL31" s="170">
        <f>COUNTIF('INPUT - Roster'!$RB$6:$RB$206,"*DRV-OUT*")+COUNTIF('INPUT - Roster'!$RB$6:$RB$206,"*DRIVE OUT*")+COUNTIF('INPUT - Roster'!$RB$6:$RB$206,"DO *")</f>
        <v/>
      </c>
      <c r="QM31" s="170">
        <f>COUNTIF('INPUT - Roster'!$RC$6:$RC$206,"*DRV-OUT*")+COUNTIF('INPUT - Roster'!$RC$6:$RC$206,"*DRIVE OUT*")+COUNTIF('INPUT - Roster'!$RC$6:$RC$206,"DO *")</f>
        <v/>
      </c>
      <c r="QN31" s="170">
        <f>COUNTIF('INPUT - Roster'!$RD$6:$RD$206,"*DRV-OUT*")+COUNTIF('INPUT - Roster'!$RD$6:$RD$206,"*DRIVE OUT*")+COUNTIF('INPUT - Roster'!$RD$6:$RD$206,"DO *")</f>
        <v/>
      </c>
      <c r="QO31" s="170">
        <f>COUNTIF('INPUT - Roster'!$RE$6:$RE$206,"*DRV-OUT*")+COUNTIF('INPUT - Roster'!$RE$6:$RE$206,"*DRIVE OUT*")+COUNTIF('INPUT - Roster'!$RE$6:$RE$206,"DO *")</f>
        <v/>
      </c>
      <c r="QP31" s="170">
        <f>COUNTIF('INPUT - Roster'!$RF$6:$RF$206,"*DRV-OUT*")+COUNTIF('INPUT - Roster'!$RF$6:$RF$206,"*DRIVE OUT*")+COUNTIF('INPUT - Roster'!$RF$6:$RF$206,"DO *")</f>
        <v/>
      </c>
      <c r="QQ31" s="170">
        <f>COUNTIF('INPUT - Roster'!$RG$6:$RG$206,"*DRV-OUT*")+COUNTIF('INPUT - Roster'!$RG$6:$RG$206,"*DRIVE OUT*")+COUNTIF('INPUT - Roster'!$RG$6:$RG$206,"DO *")</f>
        <v/>
      </c>
      <c r="QR31" s="170">
        <f>COUNTIF('INPUT - Roster'!$RH$6:$RH$206,"*DRV-OUT*")+COUNTIF('INPUT - Roster'!$RH$6:$RH$206,"*DRIVE OUT*")+COUNTIF('INPUT - Roster'!$RH$6:$RH$206,"DO *")</f>
        <v/>
      </c>
      <c r="QS31" s="170">
        <f>COUNTIF('INPUT - Roster'!$RI$6:$RI$206,"*DRV-OUT*")+COUNTIF('INPUT - Roster'!$RI$6:$RI$206,"*DRIVE OUT*")+COUNTIF('INPUT - Roster'!$RI$6:$RI$206,"DO *")</f>
        <v/>
      </c>
      <c r="QT31" s="170">
        <f>COUNTIF('INPUT - Roster'!$RJ$6:$RJ$206,"*DRV-OUT*")+COUNTIF('INPUT - Roster'!$RJ$6:$RJ$206,"*DRIVE OUT*")+COUNTIF('INPUT - Roster'!$RJ$6:$RJ$206,"DO *")</f>
        <v/>
      </c>
      <c r="QU31" s="170">
        <f>COUNTIF('INPUT - Roster'!$RK$6:$RK$206,"*DRV-OUT*")+COUNTIF('INPUT - Roster'!$RK$6:$RK$206,"*DRIVE OUT*")+COUNTIF('INPUT - Roster'!$RK$6:$RK$206,"DO *")</f>
        <v/>
      </c>
      <c r="QV31" s="170">
        <f>COUNTIF('INPUT - Roster'!$RL$6:$RL$206,"*DRV-OUT*")+COUNTIF('INPUT - Roster'!$RL$6:$RL$206,"*DRIVE OUT*")+COUNTIF('INPUT - Roster'!$RL$6:$RL$206,"DO *")</f>
        <v/>
      </c>
      <c r="QW31" s="170">
        <f>COUNTIF('INPUT - Roster'!$RM$6:$RM$206,"*DRV-OUT*")+COUNTIF('INPUT - Roster'!$RM$6:$RM$206,"*DRIVE OUT*")+COUNTIF('INPUT - Roster'!$RM$6:$RM$206,"DO *")</f>
        <v/>
      </c>
      <c r="QX31" s="170">
        <f>COUNTIF('INPUT - Roster'!$RN$6:$RN$206,"*DRV-OUT*")+COUNTIF('INPUT - Roster'!$RN$6:$RN$206,"*DRIVE OUT*")+COUNTIF('INPUT - Roster'!$RN$6:$RN$206,"DO *")</f>
        <v/>
      </c>
      <c r="QY31" s="170">
        <f>COUNTIF('INPUT - Roster'!$RO$6:$RO$206,"*DRV-OUT*")+COUNTIF('INPUT - Roster'!$RO$6:$RO$206,"*DRIVE OUT*")+COUNTIF('INPUT - Roster'!$RO$6:$RO$206,"DO *")</f>
        <v/>
      </c>
      <c r="QZ31" s="170">
        <f>COUNTIF('INPUT - Roster'!$RP$6:$RP$206,"*DRV-OUT*")+COUNTIF('INPUT - Roster'!$RP$6:$RP$206,"*DRIVE OUT*")+COUNTIF('INPUT - Roster'!$RP$6:$RP$206,"DO *")</f>
        <v/>
      </c>
      <c r="RA31" s="170">
        <f>COUNTIF('INPUT - Roster'!$RQ$6:$RQ$206,"*DRV-OUT*")+COUNTIF('INPUT - Roster'!$RQ$6:$RQ$206,"*DRIVE OUT*")+COUNTIF('INPUT - Roster'!$RQ$6:$RQ$206,"DO *")</f>
        <v/>
      </c>
      <c r="RB31" s="170">
        <f>COUNTIF('INPUT - Roster'!$RR$6:$RR$206,"*DRV-OUT*")+COUNTIF('INPUT - Roster'!$RR$6:$RR$206,"*DRIVE OUT*")+COUNTIF('INPUT - Roster'!$RR$6:$RR$206,"DO *")</f>
        <v/>
      </c>
      <c r="RC31" s="170">
        <f>COUNTIF('INPUT - Roster'!$RS$6:$RS$206,"*DRV-OUT*")+COUNTIF('INPUT - Roster'!$RS$6:$RS$206,"*DRIVE OUT*")+COUNTIF('INPUT - Roster'!$RS$6:$RS$206,"DO *")</f>
        <v/>
      </c>
      <c r="RD31" s="170">
        <f>COUNTIF('INPUT - Roster'!$RT$6:$RT$206,"*DRV-OUT*")+COUNTIF('INPUT - Roster'!$RT$6:$RT$206,"*DRIVE OUT*")+COUNTIF('INPUT - Roster'!$RT$6:$RT$206,"DO *")</f>
        <v/>
      </c>
      <c r="RE31" s="170">
        <f>COUNTIF('INPUT - Roster'!$RU$6:$RU$206,"*DRV-OUT*")+COUNTIF('INPUT - Roster'!$RU$6:$RU$206,"*DRIVE OUT*")+COUNTIF('INPUT - Roster'!$RU$6:$RU$206,"DO *")</f>
        <v/>
      </c>
      <c r="RF31" s="170">
        <f>COUNTIF('INPUT - Roster'!$RV$6:$RV$206,"*DRV-OUT*")+COUNTIF('INPUT - Roster'!$RV$6:$RV$206,"*DRIVE OUT*")+COUNTIF('INPUT - Roster'!$RV$6:$RV$206,"DO *")</f>
        <v/>
      </c>
      <c r="RG31" s="170">
        <f>COUNTIF('INPUT - Roster'!$RW$6:$RW$206,"*DRV-OUT*")+COUNTIF('INPUT - Roster'!$RW$6:$RW$206,"*DRIVE OUT*")+COUNTIF('INPUT - Roster'!$RW$6:$RW$206,"DO *")</f>
        <v/>
      </c>
      <c r="RH31" s="170">
        <f>COUNTIF('INPUT - Roster'!$RX$6:$RX$206,"*DRV-OUT*")+COUNTIF('INPUT - Roster'!$RX$6:$RX$206,"*DRIVE OUT*")+COUNTIF('INPUT - Roster'!$RX$6:$RX$206,"DO *")</f>
        <v/>
      </c>
      <c r="RI31" s="170">
        <f>COUNTIF('INPUT - Roster'!$RY$6:$RY$206,"*DRV-OUT*")+COUNTIF('INPUT - Roster'!$RY$6:$RY$206,"*DRIVE OUT*")+COUNTIF('INPUT - Roster'!$RY$6:$RY$206,"DO *")</f>
        <v/>
      </c>
      <c r="RJ31" s="170">
        <f>COUNTIF('INPUT - Roster'!$RZ$6:$RZ$206,"*DRV-OUT*")+COUNTIF('INPUT - Roster'!$RZ$6:$RZ$206,"*DRIVE OUT*")+COUNTIF('INPUT - Roster'!$RZ$6:$RZ$206,"DO *")</f>
        <v/>
      </c>
      <c r="RK31" s="170">
        <f>COUNTIF('INPUT - Roster'!$SA$6:$SA$206,"*DRV-OUT*")+COUNTIF('INPUT - Roster'!$SA$6:$SA$206,"*DRIVE OUT*")+COUNTIF('INPUT - Roster'!$SA$6:$SA$206,"DO *")</f>
        <v/>
      </c>
      <c r="RL31" s="170">
        <f>COUNTIF('INPUT - Roster'!$SB$6:$SB$206,"*DRV-OUT*")+COUNTIF('INPUT - Roster'!$SB$6:$SB$206,"*DRIVE OUT*")+COUNTIF('INPUT - Roster'!$SB$6:$SB$206,"DO *")</f>
        <v/>
      </c>
      <c r="RM31" s="170">
        <f>COUNTIF('INPUT - Roster'!$SC$6:$SC$206,"*DRV-OUT*")+COUNTIF('INPUT - Roster'!$SC$6:$SC$206,"*DRIVE OUT*")+COUNTIF('INPUT - Roster'!$SC$6:$SC$206,"DO *")</f>
        <v/>
      </c>
      <c r="RN31" s="170">
        <f>COUNTIF('INPUT - Roster'!$SD$6:$SD$206,"*DRV-OUT*")+COUNTIF('INPUT - Roster'!$SD$6:$SD$206,"*DRIVE OUT*")+COUNTIF('INPUT - Roster'!$SD$6:$SD$206,"DO *")</f>
        <v/>
      </c>
      <c r="RO31" s="170">
        <f>COUNTIF('INPUT - Roster'!$SE$6:$SE$206,"*DRV-OUT*")+COUNTIF('INPUT - Roster'!$SE$6:$SE$206,"*DRIVE OUT*")+COUNTIF('INPUT - Roster'!$SE$6:$SE$206,"DO *")</f>
        <v/>
      </c>
      <c r="RP31" s="170">
        <f>COUNTIF('INPUT - Roster'!$SF$6:$SF$206,"*DRV-OUT*")+COUNTIF('INPUT - Roster'!$SF$6:$SF$206,"*DRIVE OUT*")+COUNTIF('INPUT - Roster'!$SF$6:$SF$206,"DO *")</f>
        <v/>
      </c>
      <c r="RQ31" s="170">
        <f>COUNTIF('INPUT - Roster'!$SG$6:$SG$206,"*DRV-OUT*")+COUNTIF('INPUT - Roster'!$SG$6:$SG$206,"*DRIVE OUT*")+COUNTIF('INPUT - Roster'!$SG$6:$SG$206,"DO *")</f>
        <v/>
      </c>
      <c r="RR31" s="170">
        <f>COUNTIF('INPUT - Roster'!$SH$6:$SH$206,"*DRV-OUT*")+COUNTIF('INPUT - Roster'!$SH$6:$SH$206,"*DRIVE OUT*")+COUNTIF('INPUT - Roster'!$SH$6:$SH$206,"DO *")</f>
        <v/>
      </c>
      <c r="RS31" s="170">
        <f>COUNTIF('INPUT - Roster'!$SI$6:$SI$206,"*DRV-OUT*")+COUNTIF('INPUT - Roster'!$SI$6:$SI$206,"*DRIVE OUT*")+COUNTIF('INPUT - Roster'!$SI$6:$SI$206,"DO *")</f>
        <v/>
      </c>
      <c r="RT31" s="170">
        <f>COUNTIF('INPUT - Roster'!$SJ$6:$SJ$206,"*DRV-OUT*")+COUNTIF('INPUT - Roster'!$SJ$6:$SJ$206,"*DRIVE OUT*")+COUNTIF('INPUT - Roster'!$SJ$6:$SJ$206,"DO *")</f>
        <v/>
      </c>
      <c r="RU31" s="170">
        <f>COUNTIF('INPUT - Roster'!$SK$6:$SK$206,"*DRV-OUT*")+COUNTIF('INPUT - Roster'!$SK$6:$SK$206,"*DRIVE OUT*")+COUNTIF('INPUT - Roster'!$SK$6:$SK$206,"DO *")</f>
        <v/>
      </c>
      <c r="RV31" s="170">
        <f>COUNTIF('INPUT - Roster'!$SL$6:$SL$206,"*DRV-OUT*")+COUNTIF('INPUT - Roster'!$SL$6:$SL$206,"*DRIVE OUT*")+COUNTIF('INPUT - Roster'!$SL$6:$SL$206,"DO *")</f>
        <v/>
      </c>
      <c r="RW31" s="170">
        <f>COUNTIF('INPUT - Roster'!$SM$6:$SM$206,"*DRV-OUT*")+COUNTIF('INPUT - Roster'!$SM$6:$SM$206,"*DRIVE OUT*")+COUNTIF('INPUT - Roster'!$SM$6:$SM$206,"DO *")</f>
        <v/>
      </c>
      <c r="RX31" s="170">
        <f>COUNTIF('INPUT - Roster'!$SN$6:$SN$206,"*DRV-OUT*")+COUNTIF('INPUT - Roster'!$SN$6:$SN$206,"*DRIVE OUT*")+COUNTIF('INPUT - Roster'!$SN$6:$SN$206,"DO *")</f>
        <v/>
      </c>
      <c r="RY31" s="170">
        <f>COUNTIF('INPUT - Roster'!$SO$6:$SO$206,"*DRV-OUT*")+COUNTIF('INPUT - Roster'!$SO$6:$SO$206,"*DRIVE OUT*")+COUNTIF('INPUT - Roster'!$SO$6:$SO$206,"DO *")</f>
        <v/>
      </c>
      <c r="RZ31" s="170">
        <f>COUNTIF('INPUT - Roster'!$SP$6:$SP$206,"*DRV-OUT*")+COUNTIF('INPUT - Roster'!$SP$6:$SP$206,"*DRIVE OUT*")+COUNTIF('INPUT - Roster'!$SP$6:$SP$206,"DO *")</f>
        <v/>
      </c>
      <c r="SA31" s="170">
        <f>COUNTIF('INPUT - Roster'!$SQ$6:$SQ$206,"*DRV-OUT*")+COUNTIF('INPUT - Roster'!$SQ$6:$SQ$206,"*DRIVE OUT*")+COUNTIF('INPUT - Roster'!$SQ$6:$SQ$206,"DO *")</f>
        <v/>
      </c>
      <c r="SB31" s="170">
        <f>COUNTIF('INPUT - Roster'!$SR$6:$SR$206,"*DRV-OUT*")+COUNTIF('INPUT - Roster'!$SR$6:$SR$206,"*DRIVE OUT*")+COUNTIF('INPUT - Roster'!$SR$6:$SR$206,"DO *")</f>
        <v/>
      </c>
      <c r="SC31" s="170">
        <f>COUNTIF('INPUT - Roster'!$SS$6:$SS$206,"*DRV-OUT*")+COUNTIF('INPUT - Roster'!$SS$6:$SS$206,"*DRIVE OUT*")+COUNTIF('INPUT - Roster'!$SS$6:$SS$206,"DO *")</f>
        <v/>
      </c>
      <c r="SD31" s="170">
        <f>COUNTIF('INPUT - Roster'!$ST$6:$ST$206,"*DRV-OUT*")+COUNTIF('INPUT - Roster'!$ST$6:$ST$206,"*DRIVE OUT*")+COUNTIF('INPUT - Roster'!$ST$6:$ST$206,"DO *")</f>
        <v/>
      </c>
      <c r="SE31" s="170">
        <f>COUNTIF('INPUT - Roster'!$SU$6:$SU$206,"*DRV-OUT*")+COUNTIF('INPUT - Roster'!$SU$6:$SU$206,"*DRIVE OUT*")+COUNTIF('INPUT - Roster'!$SU$6:$SU$206,"DO *")</f>
        <v/>
      </c>
      <c r="SF31" s="170">
        <f>COUNTIF('INPUT - Roster'!$SV$6:$SV$206,"*DRV-OUT*")+COUNTIF('INPUT - Roster'!$SV$6:$SV$206,"*DRIVE OUT*")+COUNTIF('INPUT - Roster'!$SV$6:$SV$206,"DO *")</f>
        <v/>
      </c>
    </row>
    <row r="32">
      <c r="B32" s="175" t="inlineStr">
        <is>
          <t>Total travelling in</t>
        </is>
      </c>
      <c r="C32" s="176">
        <f>C22+C24+C26+C28+C30</f>
        <v/>
      </c>
      <c r="D32" s="176">
        <f>D22+D24+D26+D28+D30</f>
        <v/>
      </c>
      <c r="E32" s="176">
        <f>E22+E24+E26+E28+E30</f>
        <v/>
      </c>
      <c r="F32" s="176">
        <f>F22+F24+F26+F28+F30</f>
        <v/>
      </c>
      <c r="G32" s="176">
        <f>G22+G24+G26+G28+G30</f>
        <v/>
      </c>
      <c r="H32" s="176">
        <f>H22+H24+H26+H28+H30</f>
        <v/>
      </c>
      <c r="I32" s="176">
        <f>I22+I24+I26+I28+I30</f>
        <v/>
      </c>
      <c r="J32" s="176">
        <f>J22+J24+J26+J28+J30</f>
        <v/>
      </c>
      <c r="K32" s="176">
        <f>K22+K24+K26+K28+K30</f>
        <v/>
      </c>
      <c r="L32" s="176">
        <f>L22+L24+L26+L28+L30</f>
        <v/>
      </c>
      <c r="M32" s="176">
        <f>M22+M24+M26+M28+M30</f>
        <v/>
      </c>
      <c r="N32" s="176">
        <f>N22+N24+N26+N28+N30</f>
        <v/>
      </c>
      <c r="O32" s="176">
        <f>O22+O24+O26+O28+O30</f>
        <v/>
      </c>
      <c r="P32" s="176">
        <f>P22+P24+P26+P28+P30</f>
        <v/>
      </c>
      <c r="Q32" s="176">
        <f>Q22+Q24+Q26+Q28+Q30</f>
        <v/>
      </c>
      <c r="R32" s="176">
        <f>R22+R24+R26+R28+R30</f>
        <v/>
      </c>
      <c r="S32" s="176">
        <f>S22+S24+S26+S28+S30</f>
        <v/>
      </c>
      <c r="T32" s="176">
        <f>T22+T24+T26+T28+T30</f>
        <v/>
      </c>
      <c r="U32" s="176">
        <f>U22+U24+U26+U28+U30</f>
        <v/>
      </c>
      <c r="V32" s="176">
        <f>V22+V24+V26+V28+V30</f>
        <v/>
      </c>
      <c r="W32" s="176">
        <f>W22+W24+W26+W28+W30</f>
        <v/>
      </c>
      <c r="X32" s="176">
        <f>X22+X24+X26+X28+X30</f>
        <v/>
      </c>
      <c r="Y32" s="176">
        <f>Y22+Y24+Y26+Y28+Y30</f>
        <v/>
      </c>
      <c r="Z32" s="176">
        <f>Z22+Z24+Z26+Z28+Z30</f>
        <v/>
      </c>
      <c r="AA32" s="176">
        <f>AA22+AA24+AA26+AA28+AA30</f>
        <v/>
      </c>
      <c r="AB32" s="176">
        <f>AB22+AB24+AB26+AB28+AB30</f>
        <v/>
      </c>
      <c r="AC32" s="176">
        <f>AC22+AC24+AC26+AC28+AC30</f>
        <v/>
      </c>
      <c r="AD32" s="176">
        <f>AD22+AD24+AD26+AD28+AD30</f>
        <v/>
      </c>
      <c r="AE32" s="176">
        <f>AE22+AE24+AE26+AE28+AE30</f>
        <v/>
      </c>
      <c r="AF32" s="176">
        <f>AF22+AF24+AF26+AF28+AF30</f>
        <v/>
      </c>
      <c r="AG32" s="176">
        <f>AG22+AG24+AG26+AG28+AG30</f>
        <v/>
      </c>
      <c r="AH32" s="176">
        <f>AH22+AH24+AH26+AH28+AH30</f>
        <v/>
      </c>
      <c r="AI32" s="176">
        <f>AI22+AI24+AI26+AI28+AI30</f>
        <v/>
      </c>
      <c r="AJ32" s="176">
        <f>AJ22+AJ24+AJ26+AJ28+AJ30</f>
        <v/>
      </c>
      <c r="AK32" s="176">
        <f>AK22+AK24+AK26+AK28+AK30</f>
        <v/>
      </c>
      <c r="AL32" s="176">
        <f>AL22+AL24+AL26+AL28+AL30</f>
        <v/>
      </c>
      <c r="AM32" s="176">
        <f>AM22+AM24+AM26+AM28+AM30</f>
        <v/>
      </c>
      <c r="AN32" s="176">
        <f>AN22+AN24+AN26+AN28+AN30</f>
        <v/>
      </c>
      <c r="AO32" s="176">
        <f>AO22+AO24+AO26+AO28+AO30</f>
        <v/>
      </c>
      <c r="AP32" s="176">
        <f>AP22+AP24+AP26+AP28+AP30</f>
        <v/>
      </c>
      <c r="AQ32" s="176">
        <f>AQ22+AQ24+AQ26+AQ28+AQ30</f>
        <v/>
      </c>
      <c r="AR32" s="176">
        <f>AR22+AR24+AR26+AR28+AR30</f>
        <v/>
      </c>
      <c r="AS32" s="176">
        <f>AS22+AS24+AS26+AS28+AS30</f>
        <v/>
      </c>
      <c r="AT32" s="176">
        <f>AT22+AT24+AT26+AT28+AT30</f>
        <v/>
      </c>
      <c r="AU32" s="176">
        <f>AU22+AU24+AU26+AU28+AU30</f>
        <v/>
      </c>
      <c r="AV32" s="176">
        <f>AV22+AV24+AV26+AV28+AV30</f>
        <v/>
      </c>
      <c r="AW32" s="176">
        <f>AW22+AW24+AW26+AW28+AW30</f>
        <v/>
      </c>
      <c r="AX32" s="176">
        <f>AX22+AX24+AX26+AX28+AX30</f>
        <v/>
      </c>
      <c r="AY32" s="176">
        <f>AY22+AY24+AY26+AY28+AY30</f>
        <v/>
      </c>
      <c r="AZ32" s="176">
        <f>AZ22+AZ24+AZ26+AZ28+AZ30</f>
        <v/>
      </c>
      <c r="BA32" s="176">
        <f>BA22+BA24+BA26+BA28+BA30</f>
        <v/>
      </c>
      <c r="BB32" s="176">
        <f>BB22+BB24+BB26+BB28+BB30</f>
        <v/>
      </c>
      <c r="BC32" s="176">
        <f>BC22+BC24+BC26+BC28+BC30</f>
        <v/>
      </c>
      <c r="BD32" s="176">
        <f>BD22+BD24+BD26+BD28+BD30</f>
        <v/>
      </c>
      <c r="BE32" s="176">
        <f>BE22+BE24+BE26+BE28+BE30</f>
        <v/>
      </c>
      <c r="BF32" s="176">
        <f>BF22+BF24+BF26+BF28+BF30</f>
        <v/>
      </c>
      <c r="BG32" s="176">
        <f>BG22+BG24+BG26+BG28+BG30</f>
        <v/>
      </c>
      <c r="BH32" s="176">
        <f>BH22+BH24+BH26+BH28+BH30</f>
        <v/>
      </c>
      <c r="BI32" s="176">
        <f>BI22+BI24+BI26+BI28+BI30</f>
        <v/>
      </c>
      <c r="BJ32" s="176">
        <f>BJ22+BJ24+BJ26+BJ28+BJ30</f>
        <v/>
      </c>
      <c r="BK32" s="176">
        <f>BK22+BK24+BK26+BK28+BK30</f>
        <v/>
      </c>
      <c r="BL32" s="176">
        <f>BL22+BL24+BL26+BL28+BL30</f>
        <v/>
      </c>
      <c r="BM32" s="176">
        <f>BM22+BM24+BM26+BM28+BM30</f>
        <v/>
      </c>
      <c r="BN32" s="176">
        <f>BN22+BN24+BN26+BN28+BN30</f>
        <v/>
      </c>
      <c r="BO32" s="176">
        <f>BO22+BO24+BO26+BO28+BO30</f>
        <v/>
      </c>
      <c r="BP32" s="176">
        <f>BP22+BP24+BP26+BP28+BP30</f>
        <v/>
      </c>
      <c r="BQ32" s="176">
        <f>BQ22+BQ24+BQ26+BQ28+BQ30</f>
        <v/>
      </c>
      <c r="BR32" s="176">
        <f>BR22+BR24+BR26+BR28+BR30</f>
        <v/>
      </c>
      <c r="BS32" s="176">
        <f>BS22+BS24+BS26+BS28+BS30</f>
        <v/>
      </c>
      <c r="BT32" s="176">
        <f>BT22+BT24+BT26+BT28+BT30</f>
        <v/>
      </c>
      <c r="BU32" s="176">
        <f>BU22+BU24+BU26+BU28+BU30</f>
        <v/>
      </c>
      <c r="BV32" s="176">
        <f>BV22+BV24+BV26+BV28+BV30</f>
        <v/>
      </c>
      <c r="BW32" s="176">
        <f>BW22+BW24+BW26+BW28+BW30</f>
        <v/>
      </c>
      <c r="BX32" s="176">
        <f>BX22+BX24+BX26+BX28+BX30</f>
        <v/>
      </c>
      <c r="BY32" s="176">
        <f>BY22+BY24+BY26+BY28+BY30</f>
        <v/>
      </c>
      <c r="BZ32" s="176">
        <f>BZ22+BZ24+BZ26+BZ28+BZ30</f>
        <v/>
      </c>
      <c r="CA32" s="176">
        <f>CA22+CA24+CA26+CA28+CA30</f>
        <v/>
      </c>
      <c r="CB32" s="176">
        <f>CB22+CB24+CB26+CB28+CB30</f>
        <v/>
      </c>
      <c r="CC32" s="176">
        <f>CC22+CC24+CC26+CC28+CC30</f>
        <v/>
      </c>
      <c r="CD32" s="176">
        <f>CD22+CD24+CD26+CD28+CD30</f>
        <v/>
      </c>
      <c r="CE32" s="176">
        <f>CE22+CE24+CE26+CE28+CE30</f>
        <v/>
      </c>
      <c r="CF32" s="176">
        <f>CF22+CF24+CF26+CF28+CF30</f>
        <v/>
      </c>
      <c r="CG32" s="176">
        <f>CG22+CG24+CG26+CG28+CG30</f>
        <v/>
      </c>
      <c r="CH32" s="176">
        <f>CH22+CH24+CH26+CH28+CH30</f>
        <v/>
      </c>
      <c r="CI32" s="176">
        <f>CI22+CI24+CI26+CI28+CI30</f>
        <v/>
      </c>
      <c r="CJ32" s="176">
        <f>CJ22+CJ24+CJ26+CJ28+CJ30</f>
        <v/>
      </c>
      <c r="CK32" s="176">
        <f>CK22+CK24+CK26+CK28+CK30</f>
        <v/>
      </c>
      <c r="CL32" s="176">
        <f>CL22+CL24+CL26+CL28+CL30</f>
        <v/>
      </c>
      <c r="CM32" s="176">
        <f>CM22+CM24+CM26+CM28+CM30</f>
        <v/>
      </c>
      <c r="CN32" s="176">
        <f>CN22+CN24+CN26+CN28+CN30</f>
        <v/>
      </c>
      <c r="CO32" s="176">
        <f>CO22+CO24+CO26+CO28+CO30</f>
        <v/>
      </c>
      <c r="CP32" s="176">
        <f>CP22+CP24+CP26+CP28+CP30</f>
        <v/>
      </c>
      <c r="CQ32" s="176">
        <f>CQ22+CQ24+CQ26+CQ28+CQ30</f>
        <v/>
      </c>
      <c r="CR32" s="176">
        <f>CR22+CR24+CR26+CR28+CR30</f>
        <v/>
      </c>
      <c r="CS32" s="176">
        <f>CS22+CS24+CS26+CS28+CS30</f>
        <v/>
      </c>
      <c r="CT32" s="176">
        <f>CT22+CT24+CT26+CT28+CT30</f>
        <v/>
      </c>
      <c r="CU32" s="176">
        <f>CU22+CU24+CU26+CU28+CU30</f>
        <v/>
      </c>
      <c r="CV32" s="176">
        <f>CV22+CV24+CV26+CV28+CV30</f>
        <v/>
      </c>
      <c r="CW32" s="176">
        <f>CW22+CW24+CW26+CW28+CW30</f>
        <v/>
      </c>
      <c r="CX32" s="176">
        <f>CX22+CX24+CX26+CX28+CX30</f>
        <v/>
      </c>
      <c r="CY32" s="176">
        <f>CY22+CY24+CY26+CY28+CY30</f>
        <v/>
      </c>
      <c r="CZ32" s="176">
        <f>CZ22+CZ24+CZ26+CZ28+CZ30</f>
        <v/>
      </c>
      <c r="DA32" s="176">
        <f>DA22+DA24+DA26+DA28+DA30</f>
        <v/>
      </c>
      <c r="DB32" s="176">
        <f>DB22+DB24+DB26+DB28+DB30</f>
        <v/>
      </c>
      <c r="DC32" s="176">
        <f>DC22+DC24+DC26+DC28+DC30</f>
        <v/>
      </c>
      <c r="DD32" s="176">
        <f>DD22+DD24+DD26+DD28+DD30</f>
        <v/>
      </c>
      <c r="DE32" s="176">
        <f>DE22+DE24+DE26+DE28+DE30</f>
        <v/>
      </c>
      <c r="DF32" s="176">
        <f>DF22+DF24+DF26+DF28+DF30</f>
        <v/>
      </c>
      <c r="DG32" s="176">
        <f>DG22+DG24+DG26+DG28+DG30</f>
        <v/>
      </c>
      <c r="DH32" s="176">
        <f>DH22+DH24+DH26+DH28+DH30</f>
        <v/>
      </c>
      <c r="DI32" s="176">
        <f>DI22+DI24+DI26+DI28+DI30</f>
        <v/>
      </c>
      <c r="DJ32" s="176">
        <f>DJ22+DJ24+DJ26+DJ28+DJ30</f>
        <v/>
      </c>
      <c r="DK32" s="176">
        <f>DK22+DK24+DK26+DK28+DK30</f>
        <v/>
      </c>
      <c r="DL32" s="176">
        <f>DL22+DL24+DL26+DL28+DL30</f>
        <v/>
      </c>
      <c r="DM32" s="176">
        <f>DM22+DM24+DM26+DM28+DM30</f>
        <v/>
      </c>
      <c r="DN32" s="176">
        <f>DN22+DN24+DN26+DN28+DN30</f>
        <v/>
      </c>
      <c r="DO32" s="176">
        <f>DO22+DO24+DO26+DO28+DO30</f>
        <v/>
      </c>
      <c r="DP32" s="176">
        <f>DP22+DP24+DP26+DP28+DP30</f>
        <v/>
      </c>
      <c r="DQ32" s="176">
        <f>DQ22+DQ24+DQ26+DQ28+DQ30</f>
        <v/>
      </c>
      <c r="DR32" s="176">
        <f>DR22+DR24+DR26+DR28+DR30</f>
        <v/>
      </c>
      <c r="DS32" s="176">
        <f>DS22+DS24+DS26+DS28+DS30</f>
        <v/>
      </c>
      <c r="DT32" s="176">
        <f>DT22+DT24+DT26+DT28+DT30</f>
        <v/>
      </c>
      <c r="DU32" s="176">
        <f>DU22+DU24+DU26+DU28+DU30</f>
        <v/>
      </c>
      <c r="DV32" s="176">
        <f>DV22+DV24+DV26+DV28+DV30</f>
        <v/>
      </c>
      <c r="DW32" s="176">
        <f>DW22+DW24+DW26+DW28+DW30</f>
        <v/>
      </c>
      <c r="DX32" s="176">
        <f>DX22+DX24+DX26+DX28+DX30</f>
        <v/>
      </c>
      <c r="DY32" s="176">
        <f>DY22+DY24+DY26+DY28+DY30</f>
        <v/>
      </c>
      <c r="DZ32" s="176">
        <f>DZ22+DZ24+DZ26+DZ28+DZ30</f>
        <v/>
      </c>
      <c r="EA32" s="176">
        <f>EA22+EA24+EA26+EA28+EA30</f>
        <v/>
      </c>
      <c r="EB32" s="176">
        <f>EB22+EB24+EB26+EB28+EB30</f>
        <v/>
      </c>
      <c r="EC32" s="176">
        <f>EC22+EC24+EC26+EC28+EC30</f>
        <v/>
      </c>
      <c r="ED32" s="176">
        <f>ED22+ED24+ED26+ED28+ED30</f>
        <v/>
      </c>
      <c r="EE32" s="176">
        <f>EE22+EE24+EE26+EE28+EE30</f>
        <v/>
      </c>
      <c r="EF32" s="176">
        <f>EF22+EF24+EF26+EF28+EF30</f>
        <v/>
      </c>
      <c r="EG32" s="176">
        <f>EG22+EG24+EG26+EG28+EG30</f>
        <v/>
      </c>
      <c r="EH32" s="176">
        <f>EH22+EH24+EH26+EH28+EH30</f>
        <v/>
      </c>
      <c r="EI32" s="176">
        <f>EI22+EI24+EI26+EI28+EI30</f>
        <v/>
      </c>
      <c r="EJ32" s="176">
        <f>EJ22+EJ24+EJ26+EJ28+EJ30</f>
        <v/>
      </c>
      <c r="EK32" s="176">
        <f>EK22+EK24+EK26+EK28+EK30</f>
        <v/>
      </c>
      <c r="EL32" s="176">
        <f>EL22+EL24+EL26+EL28+EL30</f>
        <v/>
      </c>
      <c r="EM32" s="176">
        <f>EM22+EM24+EM26+EM28+EM30</f>
        <v/>
      </c>
      <c r="EN32" s="176">
        <f>EN22+EN24+EN26+EN28+EN30</f>
        <v/>
      </c>
      <c r="EO32" s="176">
        <f>EO22+EO24+EO26+EO28+EO30</f>
        <v/>
      </c>
      <c r="EP32" s="176">
        <f>EP22+EP24+EP26+EP28+EP30</f>
        <v/>
      </c>
      <c r="EQ32" s="176">
        <f>EQ22+EQ24+EQ26+EQ28+EQ30</f>
        <v/>
      </c>
      <c r="ER32" s="176">
        <f>ER22+ER24+ER26+ER28+ER30</f>
        <v/>
      </c>
      <c r="ES32" s="176">
        <f>ES22+ES24+ES26+ES28+ES30</f>
        <v/>
      </c>
      <c r="ET32" s="176">
        <f>ET22+ET24+ET26+ET28+ET30</f>
        <v/>
      </c>
      <c r="EU32" s="176">
        <f>EU22+EU24+EU26+EU28+EU30</f>
        <v/>
      </c>
      <c r="EV32" s="176">
        <f>EV22+EV24+EV26+EV28+EV30</f>
        <v/>
      </c>
      <c r="EW32" s="176">
        <f>EW22+EW24+EW26+EW28+EW30</f>
        <v/>
      </c>
      <c r="EX32" s="176">
        <f>EX22+EX24+EX26+EX28+EX30</f>
        <v/>
      </c>
      <c r="EY32" s="176">
        <f>EY22+EY24+EY26+EY28+EY30</f>
        <v/>
      </c>
      <c r="EZ32" s="176">
        <f>EZ22+EZ24+EZ26+EZ28+EZ30</f>
        <v/>
      </c>
      <c r="FA32" s="176">
        <f>FA22+FA24+FA26+FA28+FA30</f>
        <v/>
      </c>
      <c r="FB32" s="176">
        <f>FB22+FB24+FB26+FB28+FB30</f>
        <v/>
      </c>
      <c r="FC32" s="176">
        <f>FC22+FC24+FC26+FC28+FC30</f>
        <v/>
      </c>
      <c r="FD32" s="176">
        <f>FD22+FD24+FD26+FD28+FD30</f>
        <v/>
      </c>
      <c r="FE32" s="176">
        <f>FE22+FE24+FE26+FE28+FE30</f>
        <v/>
      </c>
      <c r="FF32" s="176">
        <f>FF22+FF24+FF26+FF28+FF30</f>
        <v/>
      </c>
      <c r="FG32" s="176">
        <f>FG22+FG24+FG26+FG28+FG30</f>
        <v/>
      </c>
      <c r="FH32" s="176">
        <f>FH22+FH24+FH26+FH28+FH30</f>
        <v/>
      </c>
      <c r="FI32" s="176">
        <f>FI22+FI24+FI26+FI28+FI30</f>
        <v/>
      </c>
      <c r="FJ32" s="176">
        <f>FJ22+FJ24+FJ26+FJ28+FJ30</f>
        <v/>
      </c>
      <c r="FK32" s="176">
        <f>FK22+FK24+FK26+FK28+FK30</f>
        <v/>
      </c>
      <c r="FL32" s="176">
        <f>FL22+FL24+FL26+FL28+FL30</f>
        <v/>
      </c>
      <c r="FM32" s="176">
        <f>FM22+FM24+FM26+FM28+FM30</f>
        <v/>
      </c>
      <c r="FN32" s="176">
        <f>FN22+FN24+FN26+FN28+FN30</f>
        <v/>
      </c>
      <c r="FO32" s="176">
        <f>FO22+FO24+FO26+FO28+FO30</f>
        <v/>
      </c>
      <c r="FP32" s="176">
        <f>FP22+FP24+FP26+FP28+FP30</f>
        <v/>
      </c>
      <c r="FQ32" s="176">
        <f>FQ22+FQ24+FQ26+FQ28+FQ30</f>
        <v/>
      </c>
      <c r="FR32" s="176">
        <f>FR22+FR24+FR26+FR28+FR30</f>
        <v/>
      </c>
      <c r="FS32" s="176">
        <f>FS22+FS24+FS26+FS28+FS30</f>
        <v/>
      </c>
      <c r="FT32" s="176">
        <f>FT22+FT24+FT26+FT28+FT30</f>
        <v/>
      </c>
      <c r="FU32" s="176">
        <f>FU22+FU24+FU26+FU28+FU30</f>
        <v/>
      </c>
      <c r="FV32" s="176">
        <f>FV22+FV24+FV26+FV28+FV30</f>
        <v/>
      </c>
      <c r="FW32" s="176">
        <f>FW22+FW24+FW26+FW28+FW30</f>
        <v/>
      </c>
      <c r="FX32" s="176">
        <f>FX22+FX24+FX26+FX28+FX30</f>
        <v/>
      </c>
      <c r="FY32" s="176">
        <f>FY22+FY24+FY26+FY28+FY30</f>
        <v/>
      </c>
      <c r="FZ32" s="176">
        <f>FZ22+FZ24+FZ26+FZ28+FZ30</f>
        <v/>
      </c>
      <c r="GA32" s="176">
        <f>GA22+GA24+GA26+GA28+GA30</f>
        <v/>
      </c>
      <c r="GB32" s="176">
        <f>GB22+GB24+GB26+GB28+GB30</f>
        <v/>
      </c>
      <c r="GC32" s="176">
        <f>GC22+GC24+GC26+GC28+GC30</f>
        <v/>
      </c>
      <c r="GD32" s="176">
        <f>GD22+GD24+GD26+GD28+GD30</f>
        <v/>
      </c>
      <c r="GE32" s="176">
        <f>GE22+GE24+GE26+GE28+GE30</f>
        <v/>
      </c>
      <c r="GF32" s="176">
        <f>GF22+GF24+GF26+GF28+GF30</f>
        <v/>
      </c>
      <c r="GG32" s="176">
        <f>GG22+GG24+GG26+GG28+GG30</f>
        <v/>
      </c>
      <c r="GH32" s="176">
        <f>GH22+GH24+GH26+GH28+GH30</f>
        <v/>
      </c>
      <c r="GI32" s="176">
        <f>GI22+GI24+GI26+GI28+GI30</f>
        <v/>
      </c>
      <c r="GJ32" s="176">
        <f>GJ22+GJ24+GJ26+GJ28+GJ30</f>
        <v/>
      </c>
      <c r="GK32" s="176">
        <f>GK22+GK24+GK26+GK28+GK30</f>
        <v/>
      </c>
      <c r="GL32" s="176">
        <f>GL22+GL24+GL26+GL28+GL30</f>
        <v/>
      </c>
      <c r="GM32" s="176">
        <f>GM22+GM24+GM26+GM28+GM30</f>
        <v/>
      </c>
      <c r="GN32" s="176">
        <f>GN22+GN24+GN26+GN28+GN30</f>
        <v/>
      </c>
      <c r="GO32" s="176">
        <f>GO22+GO24+GO26+GO28+GO30</f>
        <v/>
      </c>
      <c r="GP32" s="176">
        <f>GP22+GP24+GP26+GP28+GP30</f>
        <v/>
      </c>
      <c r="GQ32" s="176">
        <f>GQ22+GQ24+GQ26+GQ28+GQ30</f>
        <v/>
      </c>
      <c r="GR32" s="176">
        <f>GR22+GR24+GR26+GR28+GR30</f>
        <v/>
      </c>
      <c r="GS32" s="176">
        <f>GS22+GS24+GS26+GS28+GS30</f>
        <v/>
      </c>
      <c r="GT32" s="176">
        <f>GT22+GT24+GT26+GT28+GT30</f>
        <v/>
      </c>
      <c r="GU32" s="176">
        <f>GU22+GU24+GU26+GU28+GU30</f>
        <v/>
      </c>
      <c r="GV32" s="176">
        <f>GV22+GV24+GV26+GV28+GV30</f>
        <v/>
      </c>
      <c r="GW32" s="176">
        <f>GW22+GW24+GW26+GW28+GW30</f>
        <v/>
      </c>
      <c r="GX32" s="176">
        <f>GX22+GX24+GX26+GX28+GX30</f>
        <v/>
      </c>
      <c r="GY32" s="176">
        <f>GY22+GY24+GY26+GY28+GY30</f>
        <v/>
      </c>
      <c r="GZ32" s="176">
        <f>GZ22+GZ24+GZ26+GZ28+GZ30</f>
        <v/>
      </c>
      <c r="HA32" s="176">
        <f>HA22+HA24+HA26+HA28+HA30</f>
        <v/>
      </c>
      <c r="HB32" s="176">
        <f>HB22+HB24+HB26+HB28+HB30</f>
        <v/>
      </c>
      <c r="HC32" s="176">
        <f>HC22+HC24+HC26+HC28+HC30</f>
        <v/>
      </c>
      <c r="HD32" s="176">
        <f>HD22+HD24+HD26+HD28+HD30</f>
        <v/>
      </c>
      <c r="HE32" s="176">
        <f>HE22+HE24+HE26+HE28+HE30</f>
        <v/>
      </c>
      <c r="HF32" s="176">
        <f>HF22+HF24+HF26+HF28+HF30</f>
        <v/>
      </c>
      <c r="HG32" s="176">
        <f>HG22+HG24+HG26+HG28+HG30</f>
        <v/>
      </c>
      <c r="HH32" s="176">
        <f>HH22+HH24+HH26+HH28+HH30</f>
        <v/>
      </c>
      <c r="HI32" s="176">
        <f>HI22+HI24+HI26+HI28+HI30</f>
        <v/>
      </c>
      <c r="HJ32" s="176">
        <f>HJ22+HJ24+HJ26+HJ28+HJ30</f>
        <v/>
      </c>
      <c r="HK32" s="176">
        <f>HK22+HK24+HK26+HK28+HK30</f>
        <v/>
      </c>
      <c r="HL32" s="176">
        <f>HL22+HL24+HL26+HL28+HL30</f>
        <v/>
      </c>
      <c r="HM32" s="176">
        <f>HM22+HM24+HM26+HM28+HM30</f>
        <v/>
      </c>
      <c r="HN32" s="176">
        <f>HN22+HN24+HN26+HN28+HN30</f>
        <v/>
      </c>
      <c r="HO32" s="176">
        <f>HO22+HO24+HO26+HO28+HO30</f>
        <v/>
      </c>
      <c r="HP32" s="176">
        <f>HP22+HP24+HP26+HP28+HP30</f>
        <v/>
      </c>
      <c r="HQ32" s="176">
        <f>HQ22+HQ24+HQ26+HQ28+HQ30</f>
        <v/>
      </c>
      <c r="HR32" s="176">
        <f>HR22+HR24+HR26+HR28+HR30</f>
        <v/>
      </c>
      <c r="HS32" s="176">
        <f>HS22+HS24+HS26+HS28+HS30</f>
        <v/>
      </c>
      <c r="HT32" s="176">
        <f>HT22+HT24+HT26+HT28+HT30</f>
        <v/>
      </c>
      <c r="HU32" s="176">
        <f>HU22+HU24+HU26+HU28+HU30</f>
        <v/>
      </c>
      <c r="HV32" s="176">
        <f>HV22+HV24+HV26+HV28+HV30</f>
        <v/>
      </c>
      <c r="HW32" s="176">
        <f>HW22+HW24+HW26+HW28+HW30</f>
        <v/>
      </c>
      <c r="HX32" s="176">
        <f>HX22+HX24+HX26+HX28+HX30</f>
        <v/>
      </c>
      <c r="HY32" s="176">
        <f>HY22+HY24+HY26+HY28+HY30</f>
        <v/>
      </c>
      <c r="HZ32" s="176">
        <f>HZ22+HZ24+HZ26+HZ28+HZ30</f>
        <v/>
      </c>
      <c r="IA32" s="176">
        <f>IA22+IA24+IA26+IA28+IA30</f>
        <v/>
      </c>
      <c r="IB32" s="176">
        <f>IB22+IB24+IB26+IB28+IB30</f>
        <v/>
      </c>
      <c r="IC32" s="176">
        <f>IC22+IC24+IC26+IC28+IC30</f>
        <v/>
      </c>
      <c r="ID32" s="176">
        <f>ID22+ID24+ID26+ID28+ID30</f>
        <v/>
      </c>
      <c r="IE32" s="176">
        <f>IE22+IE24+IE26+IE28+IE30</f>
        <v/>
      </c>
      <c r="IF32" s="176">
        <f>IF22+IF24+IF26+IF28+IF30</f>
        <v/>
      </c>
      <c r="IG32" s="176">
        <f>IG22+IG24+IG26+IG28+IG30</f>
        <v/>
      </c>
      <c r="IH32" s="176">
        <f>IH22+IH24+IH26+IH28+IH30</f>
        <v/>
      </c>
      <c r="II32" s="176">
        <f>II22+II24+II26+II28+II30</f>
        <v/>
      </c>
      <c r="IJ32" s="176">
        <f>IJ22+IJ24+IJ26+IJ28+IJ30</f>
        <v/>
      </c>
      <c r="IK32" s="176">
        <f>IK22+IK24+IK26+IK28+IK30</f>
        <v/>
      </c>
      <c r="IL32" s="176">
        <f>IL22+IL24+IL26+IL28+IL30</f>
        <v/>
      </c>
      <c r="IM32" s="176">
        <f>IM22+IM24+IM26+IM28+IM30</f>
        <v/>
      </c>
      <c r="IN32" s="176">
        <f>IN22+IN24+IN26+IN28+IN30</f>
        <v/>
      </c>
      <c r="IO32" s="176">
        <f>IO22+IO24+IO26+IO28+IO30</f>
        <v/>
      </c>
      <c r="IP32" s="176">
        <f>IP22+IP24+IP26+IP28+IP30</f>
        <v/>
      </c>
      <c r="IQ32" s="176">
        <f>IQ22+IQ24+IQ26+IQ28+IQ30</f>
        <v/>
      </c>
      <c r="IR32" s="176">
        <f>IR22+IR24+IR26+IR28+IR30</f>
        <v/>
      </c>
      <c r="IS32" s="176">
        <f>IS22+IS24+IS26+IS28+IS30</f>
        <v/>
      </c>
      <c r="IT32" s="176">
        <f>IT22+IT24+IT26+IT28+IT30</f>
        <v/>
      </c>
      <c r="IU32" s="176">
        <f>IU22+IU24+IU26+IU28+IU30</f>
        <v/>
      </c>
      <c r="IV32" s="176">
        <f>IV22+IV24+IV26+IV28+IV30</f>
        <v/>
      </c>
      <c r="IW32" s="176">
        <f>IW22+IW24+IW26+IW28+IW30</f>
        <v/>
      </c>
      <c r="IX32" s="176">
        <f>IX22+IX24+IX26+IX28+IX30</f>
        <v/>
      </c>
      <c r="IY32" s="176">
        <f>IY22+IY24+IY26+IY28+IY30</f>
        <v/>
      </c>
      <c r="IZ32" s="176">
        <f>IZ22+IZ24+IZ26+IZ28+IZ30</f>
        <v/>
      </c>
      <c r="JA32" s="176">
        <f>JA22+JA24+JA26+JA28+JA30</f>
        <v/>
      </c>
      <c r="JB32" s="176">
        <f>JB22+JB24+JB26+JB28+JB30</f>
        <v/>
      </c>
      <c r="JC32" s="176">
        <f>JC22+JC24+JC26+JC28+JC30</f>
        <v/>
      </c>
      <c r="JD32" s="176">
        <f>JD22+JD24+JD26+JD28+JD30</f>
        <v/>
      </c>
      <c r="JE32" s="176">
        <f>JE22+JE24+JE26+JE28+JE30</f>
        <v/>
      </c>
      <c r="JF32" s="176">
        <f>JF22+JF24+JF26+JF28+JF30</f>
        <v/>
      </c>
      <c r="JG32" s="176">
        <f>JG22+JG24+JG26+JG28+JG30</f>
        <v/>
      </c>
      <c r="JH32" s="176">
        <f>JH22+JH24+JH26+JH28+JH30</f>
        <v/>
      </c>
      <c r="JI32" s="176">
        <f>JI22+JI24+JI26+JI28+JI30</f>
        <v/>
      </c>
      <c r="JJ32" s="176">
        <f>JJ22+JJ24+JJ26+JJ28+JJ30</f>
        <v/>
      </c>
      <c r="JK32" s="176">
        <f>JK22+JK24+JK26+JK28+JK30</f>
        <v/>
      </c>
      <c r="JL32" s="176">
        <f>JL22+JL24+JL26+JL28+JL30</f>
        <v/>
      </c>
      <c r="JM32" s="176">
        <f>JM22+JM24+JM26+JM28+JM30</f>
        <v/>
      </c>
      <c r="JN32" s="176">
        <f>JN22+JN24+JN26+JN28+JN30</f>
        <v/>
      </c>
      <c r="JO32" s="176">
        <f>JO22+JO24+JO26+JO28+JO30</f>
        <v/>
      </c>
      <c r="JP32" s="176">
        <f>JP22+JP24+JP26+JP28+JP30</f>
        <v/>
      </c>
      <c r="JQ32" s="176">
        <f>JQ22+JQ24+JQ26+JQ28+JQ30</f>
        <v/>
      </c>
      <c r="JR32" s="176">
        <f>JR22+JR24+JR26+JR28+JR30</f>
        <v/>
      </c>
      <c r="JS32" s="176">
        <f>JS22+JS24+JS26+JS28+JS30</f>
        <v/>
      </c>
      <c r="JT32" s="176">
        <f>JT22+JT24+JT26+JT28+JT30</f>
        <v/>
      </c>
      <c r="JU32" s="176">
        <f>JU22+JU24+JU26+JU28+JU30</f>
        <v/>
      </c>
      <c r="JV32" s="176">
        <f>JV22+JV24+JV26+JV28+JV30</f>
        <v/>
      </c>
      <c r="JW32" s="176">
        <f>JW22+JW24+JW26+JW28+JW30</f>
        <v/>
      </c>
      <c r="JX32" s="176">
        <f>JX22+JX24+JX26+JX28+JX30</f>
        <v/>
      </c>
      <c r="JY32" s="176">
        <f>JY22+JY24+JY26+JY28+JY30</f>
        <v/>
      </c>
      <c r="JZ32" s="176">
        <f>JZ22+JZ24+JZ26+JZ28+JZ30</f>
        <v/>
      </c>
      <c r="KA32" s="176">
        <f>KA22+KA24+KA26+KA28+KA30</f>
        <v/>
      </c>
      <c r="KB32" s="176">
        <f>KB22+KB24+KB26+KB28+KB30</f>
        <v/>
      </c>
      <c r="KC32" s="176">
        <f>KC22+KC24+KC26+KC28+KC30</f>
        <v/>
      </c>
      <c r="KD32" s="176">
        <f>KD22+KD24+KD26+KD28+KD30</f>
        <v/>
      </c>
      <c r="KE32" s="176">
        <f>KE22+KE24+KE26+KE28+KE30</f>
        <v/>
      </c>
      <c r="KF32" s="176">
        <f>KF22+KF24+KF26+KF28+KF30</f>
        <v/>
      </c>
      <c r="KG32" s="176">
        <f>KG22+KG24+KG26+KG28+KG30</f>
        <v/>
      </c>
      <c r="KH32" s="176">
        <f>KH22+KH24+KH26+KH28+KH30</f>
        <v/>
      </c>
      <c r="KI32" s="176">
        <f>KI22+KI24+KI26+KI28+KI30</f>
        <v/>
      </c>
      <c r="KJ32" s="176">
        <f>KJ22+KJ24+KJ26+KJ28+KJ30</f>
        <v/>
      </c>
      <c r="KK32" s="176">
        <f>KK22+KK24+KK26+KK28+KK30</f>
        <v/>
      </c>
      <c r="KL32" s="176">
        <f>KL22+KL24+KL26+KL28+KL30</f>
        <v/>
      </c>
      <c r="KM32" s="176">
        <f>KM22+KM24+KM26+KM28+KM30</f>
        <v/>
      </c>
      <c r="KN32" s="176">
        <f>KN22+KN24+KN26+KN28+KN30</f>
        <v/>
      </c>
      <c r="KO32" s="176">
        <f>KO22+KO24+KO26+KO28+KO30</f>
        <v/>
      </c>
      <c r="KP32" s="176">
        <f>KP22+KP24+KP26+KP28+KP30</f>
        <v/>
      </c>
      <c r="KQ32" s="176">
        <f>KQ22+KQ24+KQ26+KQ28+KQ30</f>
        <v/>
      </c>
      <c r="KR32" s="176">
        <f>KR22+KR24+KR26+KR28+KR30</f>
        <v/>
      </c>
      <c r="KS32" s="176">
        <f>KS22+KS24+KS26+KS28+KS30</f>
        <v/>
      </c>
      <c r="KT32" s="176">
        <f>KT22+KT24+KT26+KT28+KT30</f>
        <v/>
      </c>
      <c r="KU32" s="176">
        <f>KU22+KU24+KU26+KU28+KU30</f>
        <v/>
      </c>
      <c r="KV32" s="176">
        <f>KV22+KV24+KV26+KV28+KV30</f>
        <v/>
      </c>
      <c r="KW32" s="176">
        <f>KW22+KW24+KW26+KW28+KW30</f>
        <v/>
      </c>
      <c r="KX32" s="176">
        <f>KX22+KX24+KX26+KX28+KX30</f>
        <v/>
      </c>
      <c r="KY32" s="176">
        <f>KY22+KY24+KY26+KY28+KY30</f>
        <v/>
      </c>
      <c r="KZ32" s="176">
        <f>KZ22+KZ24+KZ26+KZ28+KZ30</f>
        <v/>
      </c>
      <c r="LA32" s="176">
        <f>LA22+LA24+LA26+LA28+LA30</f>
        <v/>
      </c>
      <c r="LB32" s="176">
        <f>LB22+LB24+LB26+LB28+LB30</f>
        <v/>
      </c>
      <c r="LC32" s="176">
        <f>LC22+LC24+LC26+LC28+LC30</f>
        <v/>
      </c>
      <c r="LD32" s="176">
        <f>LD22+LD24+LD26+LD28+LD30</f>
        <v/>
      </c>
      <c r="LE32" s="176">
        <f>LE22+LE24+LE26+LE28+LE30</f>
        <v/>
      </c>
      <c r="LF32" s="176">
        <f>LF22+LF24+LF26+LF28+LF30</f>
        <v/>
      </c>
      <c r="LG32" s="176">
        <f>LG22+LG24+LG26+LG28+LG30</f>
        <v/>
      </c>
      <c r="LH32" s="176">
        <f>LH22+LH24+LH26+LH28+LH30</f>
        <v/>
      </c>
      <c r="LI32" s="176">
        <f>LI22+LI24+LI26+LI28+LI30</f>
        <v/>
      </c>
      <c r="LJ32" s="176">
        <f>LJ22+LJ24+LJ26+LJ28+LJ30</f>
        <v/>
      </c>
      <c r="LK32" s="176">
        <f>LK22+LK24+LK26+LK28+LK30</f>
        <v/>
      </c>
      <c r="LL32" s="176">
        <f>LL22+LL24+LL26+LL28+LL30</f>
        <v/>
      </c>
      <c r="LM32" s="176">
        <f>LM22+LM24+LM26+LM28+LM30</f>
        <v/>
      </c>
      <c r="LN32" s="176">
        <f>LN22+LN24+LN26+LN28+LN30</f>
        <v/>
      </c>
      <c r="LO32" s="176">
        <f>LO22+LO24+LO26+LO28+LO30</f>
        <v/>
      </c>
      <c r="LP32" s="176">
        <f>LP22+LP24+LP26+LP28+LP30</f>
        <v/>
      </c>
      <c r="LQ32" s="176">
        <f>LQ22+LQ24+LQ26+LQ28+LQ30</f>
        <v/>
      </c>
      <c r="LR32" s="176">
        <f>LR22+LR24+LR26+LR28+LR30</f>
        <v/>
      </c>
      <c r="LS32" s="176">
        <f>LS22+LS24+LS26+LS28+LS30</f>
        <v/>
      </c>
      <c r="LT32" s="176">
        <f>LT22+LT24+LT26+LT28+LT30</f>
        <v/>
      </c>
      <c r="LU32" s="176">
        <f>LU22+LU24+LU26+LU28+LU30</f>
        <v/>
      </c>
      <c r="LV32" s="176">
        <f>LV22+LV24+LV26+LV28+LV30</f>
        <v/>
      </c>
      <c r="LW32" s="176">
        <f>LW22+LW24+LW26+LW28+LW30</f>
        <v/>
      </c>
      <c r="LX32" s="176">
        <f>LX22+LX24+LX26+LX28+LX30</f>
        <v/>
      </c>
      <c r="LY32" s="176">
        <f>LY22+LY24+LY26+LY28+LY30</f>
        <v/>
      </c>
      <c r="LZ32" s="176">
        <f>LZ22+LZ24+LZ26+LZ28+LZ30</f>
        <v/>
      </c>
      <c r="MA32" s="176">
        <f>MA22+MA24+MA26+MA28+MA30</f>
        <v/>
      </c>
      <c r="MB32" s="176">
        <f>MB22+MB24+MB26+MB28+MB30</f>
        <v/>
      </c>
      <c r="MC32" s="176">
        <f>MC22+MC24+MC26+MC28+MC30</f>
        <v/>
      </c>
      <c r="MD32" s="176">
        <f>MD22+MD24+MD26+MD28+MD30</f>
        <v/>
      </c>
      <c r="ME32" s="176">
        <f>ME22+ME24+ME26+ME28+ME30</f>
        <v/>
      </c>
      <c r="MF32" s="176">
        <f>MF22+MF24+MF26+MF28+MF30</f>
        <v/>
      </c>
      <c r="MG32" s="176">
        <f>MG22+MG24+MG26+MG28+MG30</f>
        <v/>
      </c>
      <c r="MH32" s="176">
        <f>MH22+MH24+MH26+MH28+MH30</f>
        <v/>
      </c>
      <c r="MI32" s="176">
        <f>MI22+MI24+MI26+MI28+MI30</f>
        <v/>
      </c>
      <c r="MJ32" s="176">
        <f>MJ22+MJ24+MJ26+MJ28+MJ30</f>
        <v/>
      </c>
      <c r="MK32" s="176">
        <f>MK22+MK24+MK26+MK28+MK30</f>
        <v/>
      </c>
      <c r="ML32" s="176">
        <f>ML22+ML24+ML26+ML28+ML30</f>
        <v/>
      </c>
      <c r="MM32" s="176">
        <f>MM22+MM24+MM26+MM28+MM30</f>
        <v/>
      </c>
      <c r="MN32" s="176">
        <f>MN22+MN24+MN26+MN28+MN30</f>
        <v/>
      </c>
      <c r="MO32" s="176">
        <f>MO22+MO24+MO26+MO28+MO30</f>
        <v/>
      </c>
      <c r="MP32" s="176">
        <f>MP22+MP24+MP26+MP28+MP30</f>
        <v/>
      </c>
      <c r="MQ32" s="176">
        <f>MQ22+MQ24+MQ26+MQ28+MQ30</f>
        <v/>
      </c>
      <c r="MR32" s="176">
        <f>MR22+MR24+MR26+MR28+MR30</f>
        <v/>
      </c>
      <c r="MS32" s="176">
        <f>MS22+MS24+MS26+MS28+MS30</f>
        <v/>
      </c>
      <c r="MT32" s="176">
        <f>MT22+MT24+MT26+MT28+MT30</f>
        <v/>
      </c>
      <c r="MU32" s="176">
        <f>MU22+MU24+MU26+MU28+MU30</f>
        <v/>
      </c>
      <c r="MV32" s="176">
        <f>MV22+MV24+MV26+MV28+MV30</f>
        <v/>
      </c>
      <c r="MW32" s="176">
        <f>MW22+MW24+MW26+MW28+MW30</f>
        <v/>
      </c>
      <c r="MX32" s="176">
        <f>MX22+MX24+MX26+MX28+MX30</f>
        <v/>
      </c>
      <c r="MY32" s="176">
        <f>MY22+MY24+MY26+MY28+MY30</f>
        <v/>
      </c>
      <c r="MZ32" s="176">
        <f>MZ22+MZ24+MZ26+MZ28+MZ30</f>
        <v/>
      </c>
      <c r="NA32" s="176">
        <f>NA22+NA24+NA26+NA28+NA30</f>
        <v/>
      </c>
      <c r="NB32" s="176">
        <f>NB22+NB24+NB26+NB28+NB30</f>
        <v/>
      </c>
      <c r="NC32" s="176">
        <f>NC22+NC24+NC26+NC28+NC30</f>
        <v/>
      </c>
      <c r="ND32" s="176">
        <f>ND22+ND24+ND26+ND28+ND30</f>
        <v/>
      </c>
      <c r="NE32" s="176">
        <f>NE22+NE24+NE26+NE28+NE30</f>
        <v/>
      </c>
      <c r="NF32" s="176">
        <f>NF22+NF24+NF26+NF28+NF30</f>
        <v/>
      </c>
      <c r="NG32" s="176">
        <f>NG22+NG24+NG26+NG28+NG30</f>
        <v/>
      </c>
      <c r="NH32" s="176">
        <f>NH22+NH24+NH26+NH28+NH30</f>
        <v/>
      </c>
      <c r="NI32" s="176">
        <f>NI22+NI24+NI26+NI28+NI30</f>
        <v/>
      </c>
      <c r="NJ32" s="176">
        <f>NJ22+NJ24+NJ26+NJ28+NJ30</f>
        <v/>
      </c>
      <c r="NK32" s="176">
        <f>NK22+NK24+NK26+NK28+NK30</f>
        <v/>
      </c>
      <c r="NL32" s="176">
        <f>NL22+NL24+NL26+NL28+NL30</f>
        <v/>
      </c>
      <c r="NM32" s="176">
        <f>NM22+NM24+NM26+NM28+NM30</f>
        <v/>
      </c>
      <c r="NN32" s="176">
        <f>NN22+NN24+NN26+NN28+NN30</f>
        <v/>
      </c>
      <c r="NO32" s="176">
        <f>NO22+NO24+NO26+NO28+NO30</f>
        <v/>
      </c>
      <c r="NP32" s="176">
        <f>NP22+NP24+NP26+NP28+NP30</f>
        <v/>
      </c>
      <c r="NQ32" s="176">
        <f>NQ22+NQ24+NQ26+NQ28+NQ30</f>
        <v/>
      </c>
      <c r="NR32" s="176">
        <f>NR22+NR24+NR26+NR28+NR30</f>
        <v/>
      </c>
      <c r="NS32" s="176">
        <f>NS22+NS24+NS26+NS28+NS30</f>
        <v/>
      </c>
      <c r="NT32" s="176">
        <f>NT22+NT24+NT26+NT28+NT30</f>
        <v/>
      </c>
      <c r="NU32" s="176">
        <f>NU22+NU24+NU26+NU28+NU30</f>
        <v/>
      </c>
      <c r="NV32" s="176">
        <f>NV22+NV24+NV26+NV28+NV30</f>
        <v/>
      </c>
      <c r="NW32" s="176">
        <f>NW22+NW24+NW26+NW28+NW30</f>
        <v/>
      </c>
      <c r="NX32" s="176">
        <f>NX22+NX24+NX26+NX28+NX30</f>
        <v/>
      </c>
      <c r="NY32" s="176">
        <f>NY22+NY24+NY26+NY28+NY30</f>
        <v/>
      </c>
      <c r="NZ32" s="176">
        <f>NZ22+NZ24+NZ26+NZ28+NZ30</f>
        <v/>
      </c>
      <c r="OA32" s="176">
        <f>OA22+OA24+OA26+OA28+OA30</f>
        <v/>
      </c>
      <c r="OB32" s="176">
        <f>OB22+OB24+OB26+OB28+OB30</f>
        <v/>
      </c>
      <c r="OC32" s="176">
        <f>OC22+OC24+OC26+OC28+OC30</f>
        <v/>
      </c>
      <c r="OD32" s="176">
        <f>OD22+OD24+OD26+OD28+OD30</f>
        <v/>
      </c>
      <c r="OE32" s="176">
        <f>OE22+OE24+OE26+OE28+OE30</f>
        <v/>
      </c>
      <c r="OF32" s="176">
        <f>OF22+OF24+OF26+OF28+OF30</f>
        <v/>
      </c>
      <c r="OG32" s="176">
        <f>OG22+OG24+OG26+OG28+OG30</f>
        <v/>
      </c>
      <c r="OH32" s="176">
        <f>OH22+OH24+OH26+OH28+OH30</f>
        <v/>
      </c>
      <c r="OI32" s="176">
        <f>OI22+OI24+OI26+OI28+OI30</f>
        <v/>
      </c>
      <c r="OJ32" s="176">
        <f>OJ22+OJ24+OJ26+OJ28+OJ30</f>
        <v/>
      </c>
      <c r="OK32" s="176">
        <f>OK22+OK24+OK26+OK28+OK30</f>
        <v/>
      </c>
      <c r="OL32" s="176">
        <f>OL22+OL24+OL26+OL28+OL30</f>
        <v/>
      </c>
      <c r="OM32" s="176">
        <f>OM22+OM24+OM26+OM28+OM30</f>
        <v/>
      </c>
      <c r="ON32" s="176">
        <f>ON22+ON24+ON26+ON28+ON30</f>
        <v/>
      </c>
      <c r="OO32" s="176">
        <f>OO22+OO24+OO26+OO28+OO30</f>
        <v/>
      </c>
      <c r="OP32" s="176">
        <f>OP22+OP24+OP26+OP28+OP30</f>
        <v/>
      </c>
      <c r="OQ32" s="176">
        <f>OQ22+OQ24+OQ26+OQ28+OQ30</f>
        <v/>
      </c>
      <c r="OR32" s="176">
        <f>OR22+OR24+OR26+OR28+OR30</f>
        <v/>
      </c>
      <c r="OS32" s="176">
        <f>OS22+OS24+OS26+OS28+OS30</f>
        <v/>
      </c>
      <c r="OT32" s="176">
        <f>OT22+OT24+OT26+OT28+OT30</f>
        <v/>
      </c>
      <c r="OU32" s="176">
        <f>OU22+OU24+OU26+OU28+OU30</f>
        <v/>
      </c>
      <c r="OV32" s="176">
        <f>OV22+OV24+OV26+OV28+OV30</f>
        <v/>
      </c>
      <c r="OW32" s="176">
        <f>OW22+OW24+OW26+OW28+OW30</f>
        <v/>
      </c>
      <c r="OX32" s="176">
        <f>OX22+OX24+OX26+OX28+OX30</f>
        <v/>
      </c>
      <c r="OY32" s="176">
        <f>OY22+OY24+OY26+OY28+OY30</f>
        <v/>
      </c>
      <c r="OZ32" s="176">
        <f>OZ22+OZ24+OZ26+OZ28+OZ30</f>
        <v/>
      </c>
      <c r="PA32" s="176">
        <f>PA22+PA24+PA26+PA28+PA30</f>
        <v/>
      </c>
      <c r="PB32" s="176">
        <f>PB22+PB24+PB26+PB28+PB30</f>
        <v/>
      </c>
      <c r="PC32" s="176">
        <f>PC22+PC24+PC26+PC28+PC30</f>
        <v/>
      </c>
      <c r="PD32" s="176">
        <f>PD22+PD24+PD26+PD28+PD30</f>
        <v/>
      </c>
      <c r="PE32" s="176">
        <f>PE22+PE24+PE26+PE28+PE30</f>
        <v/>
      </c>
      <c r="PF32" s="176">
        <f>PF22+PF24+PF26+PF28+PF30</f>
        <v/>
      </c>
      <c r="PG32" s="176">
        <f>PG22+PG24+PG26+PG28+PG30</f>
        <v/>
      </c>
      <c r="PH32" s="176">
        <f>PH22+PH24+PH26+PH28+PH30</f>
        <v/>
      </c>
      <c r="PI32" s="176">
        <f>PI22+PI24+PI26+PI28+PI30</f>
        <v/>
      </c>
      <c r="PJ32" s="176">
        <f>PJ22+PJ24+PJ26+PJ28+PJ30</f>
        <v/>
      </c>
      <c r="PK32" s="176">
        <f>PK22+PK24+PK26+PK28+PK30</f>
        <v/>
      </c>
      <c r="PL32" s="176">
        <f>PL22+PL24+PL26+PL28+PL30</f>
        <v/>
      </c>
      <c r="PM32" s="176">
        <f>PM22+PM24+PM26+PM28+PM30</f>
        <v/>
      </c>
      <c r="PN32" s="176">
        <f>PN22+PN24+PN26+PN28+PN30</f>
        <v/>
      </c>
      <c r="PO32" s="176">
        <f>PO22+PO24+PO26+PO28+PO30</f>
        <v/>
      </c>
      <c r="PP32" s="176">
        <f>PP22+PP24+PP26+PP28+PP30</f>
        <v/>
      </c>
      <c r="PQ32" s="176">
        <f>PQ22+PQ24+PQ26+PQ28+PQ30</f>
        <v/>
      </c>
      <c r="PR32" s="176">
        <f>PR22+PR24+PR26+PR28+PR30</f>
        <v/>
      </c>
      <c r="PS32" s="176">
        <f>PS22+PS24+PS26+PS28+PS30</f>
        <v/>
      </c>
      <c r="PT32" s="176">
        <f>PT22+PT24+PT26+PT28+PT30</f>
        <v/>
      </c>
      <c r="PU32" s="176">
        <f>PU22+PU24+PU26+PU28+PU30</f>
        <v/>
      </c>
      <c r="PV32" s="176">
        <f>PV22+PV24+PV26+PV28+PV30</f>
        <v/>
      </c>
      <c r="PW32" s="176">
        <f>PW22+PW24+PW26+PW28+PW30</f>
        <v/>
      </c>
      <c r="PX32" s="176">
        <f>PX22+PX24+PX26+PX28+PX30</f>
        <v/>
      </c>
      <c r="PY32" s="176">
        <f>PY22+PY24+PY26+PY28+PY30</f>
        <v/>
      </c>
      <c r="PZ32" s="176">
        <f>PZ22+PZ24+PZ26+PZ28+PZ30</f>
        <v/>
      </c>
      <c r="QA32" s="176">
        <f>QA22+QA24+QA26+QA28+QA30</f>
        <v/>
      </c>
      <c r="QB32" s="176">
        <f>QB22+QB24+QB26+QB28+QB30</f>
        <v/>
      </c>
      <c r="QC32" s="176">
        <f>QC22+QC24+QC26+QC28+QC30</f>
        <v/>
      </c>
      <c r="QD32" s="176">
        <f>QD22+QD24+QD26+QD28+QD30</f>
        <v/>
      </c>
      <c r="QE32" s="176">
        <f>QE22+QE24+QE26+QE28+QE30</f>
        <v/>
      </c>
      <c r="QF32" s="176">
        <f>QF22+QF24+QF26+QF28+QF30</f>
        <v/>
      </c>
      <c r="QG32" s="176">
        <f>QG22+QG24+QG26+QG28+QG30</f>
        <v/>
      </c>
      <c r="QH32" s="176">
        <f>QH22+QH24+QH26+QH28+QH30</f>
        <v/>
      </c>
      <c r="QI32" s="176">
        <f>QI22+QI24+QI26+QI28+QI30</f>
        <v/>
      </c>
      <c r="QJ32" s="176">
        <f>QJ22+QJ24+QJ26+QJ28+QJ30</f>
        <v/>
      </c>
      <c r="QK32" s="176">
        <f>QK22+QK24+QK26+QK28+QK30</f>
        <v/>
      </c>
      <c r="QL32" s="176">
        <f>QL22+QL24+QL26+QL28+QL30</f>
        <v/>
      </c>
      <c r="QM32" s="176">
        <f>QM22+QM24+QM26+QM28+QM30</f>
        <v/>
      </c>
      <c r="QN32" s="176">
        <f>QN22+QN24+QN26+QN28+QN30</f>
        <v/>
      </c>
      <c r="QO32" s="176">
        <f>QO22+QO24+QO26+QO28+QO30</f>
        <v/>
      </c>
      <c r="QP32" s="176">
        <f>QP22+QP24+QP26+QP28+QP30</f>
        <v/>
      </c>
      <c r="QQ32" s="176">
        <f>QQ22+QQ24+QQ26+QQ28+QQ30</f>
        <v/>
      </c>
      <c r="QR32" s="176">
        <f>QR22+QR24+QR26+QR28+QR30</f>
        <v/>
      </c>
      <c r="QS32" s="176">
        <f>QS22+QS24+QS26+QS28+QS30</f>
        <v/>
      </c>
      <c r="QT32" s="176">
        <f>QT22+QT24+QT26+QT28+QT30</f>
        <v/>
      </c>
      <c r="QU32" s="176">
        <f>QU22+QU24+QU26+QU28+QU30</f>
        <v/>
      </c>
      <c r="QV32" s="176">
        <f>QV22+QV24+QV26+QV28+QV30</f>
        <v/>
      </c>
      <c r="QW32" s="176">
        <f>QW22+QW24+QW26+QW28+QW30</f>
        <v/>
      </c>
      <c r="QX32" s="176">
        <f>QX22+QX24+QX26+QX28+QX30</f>
        <v/>
      </c>
      <c r="QY32" s="176">
        <f>QY22+QY24+QY26+QY28+QY30</f>
        <v/>
      </c>
      <c r="QZ32" s="176">
        <f>QZ22+QZ24+QZ26+QZ28+QZ30</f>
        <v/>
      </c>
      <c r="RA32" s="176">
        <f>RA22+RA24+RA26+RA28+RA30</f>
        <v/>
      </c>
      <c r="RB32" s="176">
        <f>RB22+RB24+RB26+RB28+RB30</f>
        <v/>
      </c>
      <c r="RC32" s="176">
        <f>RC22+RC24+RC26+RC28+RC30</f>
        <v/>
      </c>
      <c r="RD32" s="176">
        <f>RD22+RD24+RD26+RD28+RD30</f>
        <v/>
      </c>
      <c r="RE32" s="176">
        <f>RE22+RE24+RE26+RE28+RE30</f>
        <v/>
      </c>
      <c r="RF32" s="176">
        <f>RF22+RF24+RF26+RF28+RF30</f>
        <v/>
      </c>
      <c r="RG32" s="176">
        <f>RG22+RG24+RG26+RG28+RG30</f>
        <v/>
      </c>
      <c r="RH32" s="176">
        <f>RH22+RH24+RH26+RH28+RH30</f>
        <v/>
      </c>
      <c r="RI32" s="176">
        <f>RI22+RI24+RI26+RI28+RI30</f>
        <v/>
      </c>
      <c r="RJ32" s="176">
        <f>RJ22+RJ24+RJ26+RJ28+RJ30</f>
        <v/>
      </c>
      <c r="RK32" s="176">
        <f>RK22+RK24+RK26+RK28+RK30</f>
        <v/>
      </c>
      <c r="RL32" s="176">
        <f>RL22+RL24+RL26+RL28+RL30</f>
        <v/>
      </c>
      <c r="RM32" s="176">
        <f>RM22+RM24+RM26+RM28+RM30</f>
        <v/>
      </c>
      <c r="RN32" s="176">
        <f>RN22+RN24+RN26+RN28+RN30</f>
        <v/>
      </c>
      <c r="RO32" s="176">
        <f>RO22+RO24+RO26+RO28+RO30</f>
        <v/>
      </c>
      <c r="RP32" s="176">
        <f>RP22+RP24+RP26+RP28+RP30</f>
        <v/>
      </c>
      <c r="RQ32" s="176">
        <f>RQ22+RQ24+RQ26+RQ28+RQ30</f>
        <v/>
      </c>
      <c r="RR32" s="176">
        <f>RR22+RR24+RR26+RR28+RR30</f>
        <v/>
      </c>
      <c r="RS32" s="176">
        <f>RS22+RS24+RS26+RS28+RS30</f>
        <v/>
      </c>
      <c r="RT32" s="176">
        <f>RT22+RT24+RT26+RT28+RT30</f>
        <v/>
      </c>
      <c r="RU32" s="176">
        <f>RU22+RU24+RU26+RU28+RU30</f>
        <v/>
      </c>
      <c r="RV32" s="176">
        <f>RV22+RV24+RV26+RV28+RV30</f>
        <v/>
      </c>
      <c r="RW32" s="176">
        <f>RW22+RW24+RW26+RW28+RW30</f>
        <v/>
      </c>
      <c r="RX32" s="176">
        <f>RX22+RX24+RX26+RX28+RX30</f>
        <v/>
      </c>
      <c r="RY32" s="176">
        <f>RY22+RY24+RY26+RY28+RY30</f>
        <v/>
      </c>
      <c r="RZ32" s="176">
        <f>RZ22+RZ24+RZ26+RZ28+RZ30</f>
        <v/>
      </c>
      <c r="SA32" s="176">
        <f>SA22+SA24+SA26+SA28+SA30</f>
        <v/>
      </c>
      <c r="SB32" s="176">
        <f>SB22+SB24+SB26+SB28+SB30</f>
        <v/>
      </c>
      <c r="SC32" s="176">
        <f>SC22+SC24+SC26+SC28+SC30</f>
        <v/>
      </c>
      <c r="SD32" s="176">
        <f>SD22+SD24+SD26+SD28+SD30</f>
        <v/>
      </c>
      <c r="SE32" s="176">
        <f>SE22+SE24+SE26+SE28+SE30</f>
        <v/>
      </c>
      <c r="SF32" s="176">
        <f>SF22+SF24+SF26+SF28+SF30</f>
        <v/>
      </c>
    </row>
    <row r="33">
      <c r="B33" s="177" t="inlineStr">
        <is>
          <t>Total travelling out</t>
        </is>
      </c>
      <c r="C33" s="176">
        <f>C23+C25+C27+C29+C31</f>
        <v/>
      </c>
      <c r="D33" s="176">
        <f>D23+D25+D27+D29+D31</f>
        <v/>
      </c>
      <c r="E33" s="176">
        <f>E23+E25+E27+E29+E31</f>
        <v/>
      </c>
      <c r="F33" s="176">
        <f>F23+F25+F27+F29+F31</f>
        <v/>
      </c>
      <c r="G33" s="176">
        <f>G23+G25+G27+G29+G31</f>
        <v/>
      </c>
      <c r="H33" s="176">
        <f>H23+H25+H27+H29+H31</f>
        <v/>
      </c>
      <c r="I33" s="176">
        <f>I23+I25+I27+I29+I31</f>
        <v/>
      </c>
      <c r="J33" s="176">
        <f>J23+J25+J27+J29+J31</f>
        <v/>
      </c>
      <c r="K33" s="176">
        <f>K23+K25+K27+K29+K31</f>
        <v/>
      </c>
      <c r="L33" s="176">
        <f>L23+L25+L27+L29+L31</f>
        <v/>
      </c>
      <c r="M33" s="176">
        <f>M23+M25+M27+M29+M31</f>
        <v/>
      </c>
      <c r="N33" s="176">
        <f>N23+N25+N27+N29+N31</f>
        <v/>
      </c>
      <c r="O33" s="176">
        <f>O23+O25+O27+O29+O31</f>
        <v/>
      </c>
      <c r="P33" s="176">
        <f>P23+P25+P27+P29+P31</f>
        <v/>
      </c>
      <c r="Q33" s="176">
        <f>Q23+Q25+Q27+Q29+Q31</f>
        <v/>
      </c>
      <c r="R33" s="176">
        <f>R23+R25+R27+R29+R31</f>
        <v/>
      </c>
      <c r="S33" s="176">
        <f>S23+S25+S27+S29+S31</f>
        <v/>
      </c>
      <c r="T33" s="176">
        <f>T23+T25+T27+T29+T31</f>
        <v/>
      </c>
      <c r="U33" s="176">
        <f>U23+U25+U27+U29+U31</f>
        <v/>
      </c>
      <c r="V33" s="176">
        <f>V23+V25+V27+V29+V31</f>
        <v/>
      </c>
      <c r="W33" s="176">
        <f>W23+W25+W27+W29+W31</f>
        <v/>
      </c>
      <c r="X33" s="176">
        <f>X23+X25+X27+X29+X31</f>
        <v/>
      </c>
      <c r="Y33" s="176">
        <f>Y23+Y25+Y27+Y29+Y31</f>
        <v/>
      </c>
      <c r="Z33" s="176">
        <f>Z23+Z25+Z27+Z29+Z31</f>
        <v/>
      </c>
      <c r="AA33" s="176">
        <f>AA23+AA25+AA27+AA29+AA31</f>
        <v/>
      </c>
      <c r="AB33" s="176">
        <f>AB23+AB25+AB27+AB29+AB31</f>
        <v/>
      </c>
      <c r="AC33" s="176">
        <f>AC23+AC25+AC27+AC29+AC31</f>
        <v/>
      </c>
      <c r="AD33" s="176">
        <f>AD23+AD25+AD27+AD29+AD31</f>
        <v/>
      </c>
      <c r="AE33" s="176">
        <f>AE23+AE25+AE27+AE29+AE31</f>
        <v/>
      </c>
      <c r="AF33" s="176">
        <f>AF23+AF25+AF27+AF29+AF31</f>
        <v/>
      </c>
      <c r="AG33" s="176">
        <f>AG23+AG25+AG27+AG29+AG31</f>
        <v/>
      </c>
      <c r="AH33" s="176">
        <f>AH23+AH25+AH27+AH29+AH31</f>
        <v/>
      </c>
      <c r="AI33" s="176">
        <f>AI23+AI25+AI27+AI29+AI31</f>
        <v/>
      </c>
      <c r="AJ33" s="176">
        <f>AJ23+AJ25+AJ27+AJ29+AJ31</f>
        <v/>
      </c>
      <c r="AK33" s="176">
        <f>AK23+AK25+AK27+AK29+AK31</f>
        <v/>
      </c>
      <c r="AL33" s="176">
        <f>AL23+AL25+AL27+AL29+AL31</f>
        <v/>
      </c>
      <c r="AM33" s="176">
        <f>AM23+AM25+AM27+AM29+AM31</f>
        <v/>
      </c>
      <c r="AN33" s="176">
        <f>AN23+AN25+AN27+AN29+AN31</f>
        <v/>
      </c>
      <c r="AO33" s="176">
        <f>AO23+AO25+AO27+AO29+AO31</f>
        <v/>
      </c>
      <c r="AP33" s="176">
        <f>AP23+AP25+AP27+AP29+AP31</f>
        <v/>
      </c>
      <c r="AQ33" s="176">
        <f>AQ23+AQ25+AQ27+AQ29+AQ31</f>
        <v/>
      </c>
      <c r="AR33" s="176">
        <f>AR23+AR25+AR27+AR29+AR31</f>
        <v/>
      </c>
      <c r="AS33" s="176">
        <f>AS23+AS25+AS27+AS29+AS31</f>
        <v/>
      </c>
      <c r="AT33" s="176">
        <f>AT23+AT25+AT27+AT29+AT31</f>
        <v/>
      </c>
      <c r="AU33" s="176">
        <f>AU23+AU25+AU27+AU29+AU31</f>
        <v/>
      </c>
      <c r="AV33" s="176">
        <f>AV23+AV25+AV27+AV29+AV31</f>
        <v/>
      </c>
      <c r="AW33" s="176">
        <f>AW23+AW25+AW27+AW29+AW31</f>
        <v/>
      </c>
      <c r="AX33" s="176">
        <f>AX23+AX25+AX27+AX29+AX31</f>
        <v/>
      </c>
      <c r="AY33" s="176">
        <f>AY23+AY25+AY27+AY29+AY31</f>
        <v/>
      </c>
      <c r="AZ33" s="176">
        <f>AZ23+AZ25+AZ27+AZ29+AZ31</f>
        <v/>
      </c>
      <c r="BA33" s="176">
        <f>BA23+BA25+BA27+BA29+BA31</f>
        <v/>
      </c>
      <c r="BB33" s="176">
        <f>BB23+BB25+BB27+BB29+BB31</f>
        <v/>
      </c>
      <c r="BC33" s="176">
        <f>BC23+BC25+BC27+BC29+BC31</f>
        <v/>
      </c>
      <c r="BD33" s="176">
        <f>BD23+BD25+BD27+BD29+BD31</f>
        <v/>
      </c>
      <c r="BE33" s="176">
        <f>BE23+BE25+BE27+BE29+BE31</f>
        <v/>
      </c>
      <c r="BF33" s="176">
        <f>BF23+BF25+BF27+BF29+BF31</f>
        <v/>
      </c>
      <c r="BG33" s="176">
        <f>BG23+BG25+BG27+BG29+BG31</f>
        <v/>
      </c>
      <c r="BH33" s="176">
        <f>BH23+BH25+BH27+BH29+BH31</f>
        <v/>
      </c>
      <c r="BI33" s="176">
        <f>BI23+BI25+BI27+BI29+BI31</f>
        <v/>
      </c>
      <c r="BJ33" s="176">
        <f>BJ23+BJ25+BJ27+BJ29+BJ31</f>
        <v/>
      </c>
      <c r="BK33" s="176">
        <f>BK23+BK25+BK27+BK29+BK31</f>
        <v/>
      </c>
      <c r="BL33" s="176">
        <f>BL23+BL25+BL27+BL29+BL31</f>
        <v/>
      </c>
      <c r="BM33" s="176">
        <f>BM23+BM25+BM27+BM29+BM31</f>
        <v/>
      </c>
      <c r="BN33" s="176">
        <f>BN23+BN25+BN27+BN29+BN31</f>
        <v/>
      </c>
      <c r="BO33" s="176">
        <f>BO23+BO25+BO27+BO29+BO31</f>
        <v/>
      </c>
      <c r="BP33" s="176">
        <f>BP23+BP25+BP27+BP29+BP31</f>
        <v/>
      </c>
      <c r="BQ33" s="176">
        <f>BQ23+BQ25+BQ27+BQ29+BQ31</f>
        <v/>
      </c>
      <c r="BR33" s="176">
        <f>BR23+BR25+BR27+BR29+BR31</f>
        <v/>
      </c>
      <c r="BS33" s="176">
        <f>BS23+BS25+BS27+BS29+BS31</f>
        <v/>
      </c>
      <c r="BT33" s="176">
        <f>BT23+BT25+BT27+BT29+BT31</f>
        <v/>
      </c>
      <c r="BU33" s="176">
        <f>BU23+BU25+BU27+BU29+BU31</f>
        <v/>
      </c>
      <c r="BV33" s="176">
        <f>BV23+BV25+BV27+BV29+BV31</f>
        <v/>
      </c>
      <c r="BW33" s="176">
        <f>BW23+BW25+BW27+BW29+BW31</f>
        <v/>
      </c>
      <c r="BX33" s="176">
        <f>BX23+BX25+BX27+BX29+BX31</f>
        <v/>
      </c>
      <c r="BY33" s="176">
        <f>BY23+BY25+BY27+BY29+BY31</f>
        <v/>
      </c>
      <c r="BZ33" s="176">
        <f>BZ23+BZ25+BZ27+BZ29+BZ31</f>
        <v/>
      </c>
      <c r="CA33" s="176">
        <f>CA23+CA25+CA27+CA29+CA31</f>
        <v/>
      </c>
      <c r="CB33" s="176">
        <f>CB23+CB25+CB27+CB29+CB31</f>
        <v/>
      </c>
      <c r="CC33" s="176">
        <f>CC23+CC25+CC27+CC29+CC31</f>
        <v/>
      </c>
      <c r="CD33" s="176">
        <f>CD23+CD25+CD27+CD29+CD31</f>
        <v/>
      </c>
      <c r="CE33" s="176">
        <f>CE23+CE25+CE27+CE29+CE31</f>
        <v/>
      </c>
      <c r="CF33" s="176">
        <f>CF23+CF25+CF27+CF29+CF31</f>
        <v/>
      </c>
      <c r="CG33" s="176">
        <f>CG23+CG25+CG27+CG29+CG31</f>
        <v/>
      </c>
      <c r="CH33" s="176">
        <f>CH23+CH25+CH27+CH29+CH31</f>
        <v/>
      </c>
      <c r="CI33" s="176">
        <f>CI23+CI25+CI27+CI29+CI31</f>
        <v/>
      </c>
      <c r="CJ33" s="176">
        <f>CJ23+CJ25+CJ27+CJ29+CJ31</f>
        <v/>
      </c>
      <c r="CK33" s="176">
        <f>CK23+CK25+CK27+CK29+CK31</f>
        <v/>
      </c>
      <c r="CL33" s="176">
        <f>CL23+CL25+CL27+CL29+CL31</f>
        <v/>
      </c>
      <c r="CM33" s="176">
        <f>CM23+CM25+CM27+CM29+CM31</f>
        <v/>
      </c>
      <c r="CN33" s="176">
        <f>CN23+CN25+CN27+CN29+CN31</f>
        <v/>
      </c>
      <c r="CO33" s="176">
        <f>CO23+CO25+CO27+CO29+CO31</f>
        <v/>
      </c>
      <c r="CP33" s="176">
        <f>CP23+CP25+CP27+CP29+CP31</f>
        <v/>
      </c>
      <c r="CQ33" s="176">
        <f>CQ23+CQ25+CQ27+CQ29+CQ31</f>
        <v/>
      </c>
      <c r="CR33" s="176">
        <f>CR23+CR25+CR27+CR29+CR31</f>
        <v/>
      </c>
      <c r="CS33" s="176">
        <f>CS23+CS25+CS27+CS29+CS31</f>
        <v/>
      </c>
      <c r="CT33" s="176">
        <f>CT23+CT25+CT27+CT29+CT31</f>
        <v/>
      </c>
      <c r="CU33" s="176">
        <f>CU23+CU25+CU27+CU29+CU31</f>
        <v/>
      </c>
      <c r="CV33" s="176">
        <f>CV23+CV25+CV27+CV29+CV31</f>
        <v/>
      </c>
      <c r="CW33" s="176">
        <f>CW23+CW25+CW27+CW29+CW31</f>
        <v/>
      </c>
      <c r="CX33" s="176">
        <f>CX23+CX25+CX27+CX29+CX31</f>
        <v/>
      </c>
      <c r="CY33" s="176">
        <f>CY23+CY25+CY27+CY29+CY31</f>
        <v/>
      </c>
      <c r="CZ33" s="176">
        <f>CZ23+CZ25+CZ27+CZ29+CZ31</f>
        <v/>
      </c>
      <c r="DA33" s="176">
        <f>DA23+DA25+DA27+DA29+DA31</f>
        <v/>
      </c>
      <c r="DB33" s="176">
        <f>DB23+DB25+DB27+DB29+DB31</f>
        <v/>
      </c>
      <c r="DC33" s="176">
        <f>DC23+DC25+DC27+DC29+DC31</f>
        <v/>
      </c>
      <c r="DD33" s="176">
        <f>DD23+DD25+DD27+DD29+DD31</f>
        <v/>
      </c>
      <c r="DE33" s="176">
        <f>DE23+DE25+DE27+DE29+DE31</f>
        <v/>
      </c>
      <c r="DF33" s="176">
        <f>DF23+DF25+DF27+DF29+DF31</f>
        <v/>
      </c>
      <c r="DG33" s="176">
        <f>DG23+DG25+DG27+DG29+DG31</f>
        <v/>
      </c>
      <c r="DH33" s="176">
        <f>DH23+DH25+DH27+DH29+DH31</f>
        <v/>
      </c>
      <c r="DI33" s="176">
        <f>DI23+DI25+DI27+DI29+DI31</f>
        <v/>
      </c>
      <c r="DJ33" s="176">
        <f>DJ23+DJ25+DJ27+DJ29+DJ31</f>
        <v/>
      </c>
      <c r="DK33" s="176">
        <f>DK23+DK25+DK27+DK29+DK31</f>
        <v/>
      </c>
      <c r="DL33" s="176">
        <f>DL23+DL25+DL27+DL29+DL31</f>
        <v/>
      </c>
      <c r="DM33" s="176">
        <f>DM23+DM25+DM27+DM29+DM31</f>
        <v/>
      </c>
      <c r="DN33" s="176">
        <f>DN23+DN25+DN27+DN29+DN31</f>
        <v/>
      </c>
      <c r="DO33" s="176">
        <f>DO23+DO25+DO27+DO29+DO31</f>
        <v/>
      </c>
      <c r="DP33" s="176">
        <f>DP23+DP25+DP27+DP29+DP31</f>
        <v/>
      </c>
      <c r="DQ33" s="176">
        <f>DQ23+DQ25+DQ27+DQ29+DQ31</f>
        <v/>
      </c>
      <c r="DR33" s="176">
        <f>DR23+DR25+DR27+DR29+DR31</f>
        <v/>
      </c>
      <c r="DS33" s="176">
        <f>DS23+DS25+DS27+DS29+DS31</f>
        <v/>
      </c>
      <c r="DT33" s="176">
        <f>DT23+DT25+DT27+DT29+DT31</f>
        <v/>
      </c>
      <c r="DU33" s="176">
        <f>DU23+DU25+DU27+DU29+DU31</f>
        <v/>
      </c>
      <c r="DV33" s="176">
        <f>DV23+DV25+DV27+DV29+DV31</f>
        <v/>
      </c>
      <c r="DW33" s="176">
        <f>DW23+DW25+DW27+DW29+DW31</f>
        <v/>
      </c>
      <c r="DX33" s="176">
        <f>DX23+DX25+DX27+DX29+DX31</f>
        <v/>
      </c>
      <c r="DY33" s="176">
        <f>DY23+DY25+DY27+DY29+DY31</f>
        <v/>
      </c>
      <c r="DZ33" s="176">
        <f>DZ23+DZ25+DZ27+DZ29+DZ31</f>
        <v/>
      </c>
      <c r="EA33" s="176">
        <f>EA23+EA25+EA27+EA29+EA31</f>
        <v/>
      </c>
      <c r="EB33" s="176">
        <f>EB23+EB25+EB27+EB29+EB31</f>
        <v/>
      </c>
      <c r="EC33" s="176">
        <f>EC23+EC25+EC27+EC29+EC31</f>
        <v/>
      </c>
      <c r="ED33" s="176">
        <f>ED23+ED25+ED27+ED29+ED31</f>
        <v/>
      </c>
      <c r="EE33" s="176">
        <f>EE23+EE25+EE27+EE29+EE31</f>
        <v/>
      </c>
      <c r="EF33" s="176">
        <f>EF23+EF25+EF27+EF29+EF31</f>
        <v/>
      </c>
      <c r="EG33" s="176">
        <f>EG23+EG25+EG27+EG29+EG31</f>
        <v/>
      </c>
      <c r="EH33" s="176">
        <f>EH23+EH25+EH27+EH29+EH31</f>
        <v/>
      </c>
      <c r="EI33" s="176">
        <f>EI23+EI25+EI27+EI29+EI31</f>
        <v/>
      </c>
      <c r="EJ33" s="176">
        <f>EJ23+EJ25+EJ27+EJ29+EJ31</f>
        <v/>
      </c>
      <c r="EK33" s="176">
        <f>EK23+EK25+EK27+EK29+EK31</f>
        <v/>
      </c>
      <c r="EL33" s="176">
        <f>EL23+EL25+EL27+EL29+EL31</f>
        <v/>
      </c>
      <c r="EM33" s="176">
        <f>EM23+EM25+EM27+EM29+EM31</f>
        <v/>
      </c>
      <c r="EN33" s="176">
        <f>EN23+EN25+EN27+EN29+EN31</f>
        <v/>
      </c>
      <c r="EO33" s="176">
        <f>EO23+EO25+EO27+EO29+EO31</f>
        <v/>
      </c>
      <c r="EP33" s="176">
        <f>EP23+EP25+EP27+EP29+EP31</f>
        <v/>
      </c>
      <c r="EQ33" s="176">
        <f>EQ23+EQ25+EQ27+EQ29+EQ31</f>
        <v/>
      </c>
      <c r="ER33" s="176">
        <f>ER23+ER25+ER27+ER29+ER31</f>
        <v/>
      </c>
      <c r="ES33" s="176">
        <f>ES23+ES25+ES27+ES29+ES31</f>
        <v/>
      </c>
      <c r="ET33" s="176">
        <f>ET23+ET25+ET27+ET29+ET31</f>
        <v/>
      </c>
      <c r="EU33" s="176">
        <f>EU23+EU25+EU27+EU29+EU31</f>
        <v/>
      </c>
      <c r="EV33" s="176">
        <f>EV23+EV25+EV27+EV29+EV31</f>
        <v/>
      </c>
      <c r="EW33" s="176">
        <f>EW23+EW25+EW27+EW29+EW31</f>
        <v/>
      </c>
      <c r="EX33" s="176">
        <f>EX23+EX25+EX27+EX29+EX31</f>
        <v/>
      </c>
      <c r="EY33" s="176">
        <f>EY23+EY25+EY27+EY29+EY31</f>
        <v/>
      </c>
      <c r="EZ33" s="176">
        <f>EZ23+EZ25+EZ27+EZ29+EZ31</f>
        <v/>
      </c>
      <c r="FA33" s="176">
        <f>FA23+FA25+FA27+FA29+FA31</f>
        <v/>
      </c>
      <c r="FB33" s="176">
        <f>FB23+FB25+FB27+FB29+FB31</f>
        <v/>
      </c>
      <c r="FC33" s="176">
        <f>FC23+FC25+FC27+FC29+FC31</f>
        <v/>
      </c>
      <c r="FD33" s="176">
        <f>FD23+FD25+FD27+FD29+FD31</f>
        <v/>
      </c>
      <c r="FE33" s="176">
        <f>FE23+FE25+FE27+FE29+FE31</f>
        <v/>
      </c>
      <c r="FF33" s="176">
        <f>FF23+FF25+FF27+FF29+FF31</f>
        <v/>
      </c>
      <c r="FG33" s="176">
        <f>FG23+FG25+FG27+FG29+FG31</f>
        <v/>
      </c>
      <c r="FH33" s="176">
        <f>FH23+FH25+FH27+FH29+FH31</f>
        <v/>
      </c>
      <c r="FI33" s="176">
        <f>FI23+FI25+FI27+FI29+FI31</f>
        <v/>
      </c>
      <c r="FJ33" s="176">
        <f>FJ23+FJ25+FJ27+FJ29+FJ31</f>
        <v/>
      </c>
      <c r="FK33" s="176">
        <f>FK23+FK25+FK27+FK29+FK31</f>
        <v/>
      </c>
      <c r="FL33" s="176">
        <f>FL23+FL25+FL27+FL29+FL31</f>
        <v/>
      </c>
      <c r="FM33" s="176">
        <f>FM23+FM25+FM27+FM29+FM31</f>
        <v/>
      </c>
      <c r="FN33" s="176">
        <f>FN23+FN25+FN27+FN29+FN31</f>
        <v/>
      </c>
      <c r="FO33" s="176">
        <f>FO23+FO25+FO27+FO29+FO31</f>
        <v/>
      </c>
      <c r="FP33" s="176">
        <f>FP23+FP25+FP27+FP29+FP31</f>
        <v/>
      </c>
      <c r="FQ33" s="176">
        <f>FQ23+FQ25+FQ27+FQ29+FQ31</f>
        <v/>
      </c>
      <c r="FR33" s="176">
        <f>FR23+FR25+FR27+FR29+FR31</f>
        <v/>
      </c>
      <c r="FS33" s="176">
        <f>FS23+FS25+FS27+FS29+FS31</f>
        <v/>
      </c>
      <c r="FT33" s="176">
        <f>FT23+FT25+FT27+FT29+FT31</f>
        <v/>
      </c>
      <c r="FU33" s="176">
        <f>FU23+FU25+FU27+FU29+FU31</f>
        <v/>
      </c>
      <c r="FV33" s="176">
        <f>FV23+FV25+FV27+FV29+FV31</f>
        <v/>
      </c>
      <c r="FW33" s="176">
        <f>FW23+FW25+FW27+FW29+FW31</f>
        <v/>
      </c>
      <c r="FX33" s="176">
        <f>FX23+FX25+FX27+FX29+FX31</f>
        <v/>
      </c>
      <c r="FY33" s="176">
        <f>FY23+FY25+FY27+FY29+FY31</f>
        <v/>
      </c>
      <c r="FZ33" s="176">
        <f>FZ23+FZ25+FZ27+FZ29+FZ31</f>
        <v/>
      </c>
      <c r="GA33" s="176">
        <f>GA23+GA25+GA27+GA29+GA31</f>
        <v/>
      </c>
      <c r="GB33" s="176">
        <f>GB23+GB25+GB27+GB29+GB31</f>
        <v/>
      </c>
      <c r="GC33" s="176">
        <f>GC23+GC25+GC27+GC29+GC31</f>
        <v/>
      </c>
      <c r="GD33" s="176">
        <f>GD23+GD25+GD27+GD29+GD31</f>
        <v/>
      </c>
      <c r="GE33" s="176">
        <f>GE23+GE25+GE27+GE29+GE31</f>
        <v/>
      </c>
      <c r="GF33" s="176">
        <f>GF23+GF25+GF27+GF29+GF31</f>
        <v/>
      </c>
      <c r="GG33" s="176">
        <f>GG23+GG25+GG27+GG29+GG31</f>
        <v/>
      </c>
      <c r="GH33" s="176">
        <f>GH23+GH25+GH27+GH29+GH31</f>
        <v/>
      </c>
      <c r="GI33" s="176">
        <f>GI23+GI25+GI27+GI29+GI31</f>
        <v/>
      </c>
      <c r="GJ33" s="176">
        <f>GJ23+GJ25+GJ27+GJ29+GJ31</f>
        <v/>
      </c>
      <c r="GK33" s="176">
        <f>GK23+GK25+GK27+GK29+GK31</f>
        <v/>
      </c>
      <c r="GL33" s="176">
        <f>GL23+GL25+GL27+GL29+GL31</f>
        <v/>
      </c>
      <c r="GM33" s="176">
        <f>GM23+GM25+GM27+GM29+GM31</f>
        <v/>
      </c>
      <c r="GN33" s="176">
        <f>GN23+GN25+GN27+GN29+GN31</f>
        <v/>
      </c>
      <c r="GO33" s="176">
        <f>GO23+GO25+GO27+GO29+GO31</f>
        <v/>
      </c>
      <c r="GP33" s="176">
        <f>GP23+GP25+GP27+GP29+GP31</f>
        <v/>
      </c>
      <c r="GQ33" s="176">
        <f>GQ23+GQ25+GQ27+GQ29+GQ31</f>
        <v/>
      </c>
      <c r="GR33" s="176">
        <f>GR23+GR25+GR27+GR29+GR31</f>
        <v/>
      </c>
      <c r="GS33" s="176">
        <f>GS23+GS25+GS27+GS29+GS31</f>
        <v/>
      </c>
      <c r="GT33" s="176">
        <f>GT23+GT25+GT27+GT29+GT31</f>
        <v/>
      </c>
      <c r="GU33" s="176">
        <f>GU23+GU25+GU27+GU29+GU31</f>
        <v/>
      </c>
      <c r="GV33" s="176">
        <f>GV23+GV25+GV27+GV29+GV31</f>
        <v/>
      </c>
      <c r="GW33" s="176">
        <f>GW23+GW25+GW27+GW29+GW31</f>
        <v/>
      </c>
      <c r="GX33" s="176">
        <f>GX23+GX25+GX27+GX29+GX31</f>
        <v/>
      </c>
      <c r="GY33" s="176">
        <f>GY23+GY25+GY27+GY29+GY31</f>
        <v/>
      </c>
      <c r="GZ33" s="176">
        <f>GZ23+GZ25+GZ27+GZ29+GZ31</f>
        <v/>
      </c>
      <c r="HA33" s="176">
        <f>HA23+HA25+HA27+HA29+HA31</f>
        <v/>
      </c>
      <c r="HB33" s="176">
        <f>HB23+HB25+HB27+HB29+HB31</f>
        <v/>
      </c>
      <c r="HC33" s="176">
        <f>HC23+HC25+HC27+HC29+HC31</f>
        <v/>
      </c>
      <c r="HD33" s="176">
        <f>HD23+HD25+HD27+HD29+HD31</f>
        <v/>
      </c>
      <c r="HE33" s="176">
        <f>HE23+HE25+HE27+HE29+HE31</f>
        <v/>
      </c>
      <c r="HF33" s="176">
        <f>HF23+HF25+HF27+HF29+HF31</f>
        <v/>
      </c>
      <c r="HG33" s="176">
        <f>HG23+HG25+HG27+HG29+HG31</f>
        <v/>
      </c>
      <c r="HH33" s="176">
        <f>HH23+HH25+HH27+HH29+HH31</f>
        <v/>
      </c>
      <c r="HI33" s="176">
        <f>HI23+HI25+HI27+HI29+HI31</f>
        <v/>
      </c>
      <c r="HJ33" s="176">
        <f>HJ23+HJ25+HJ27+HJ29+HJ31</f>
        <v/>
      </c>
      <c r="HK33" s="176">
        <f>HK23+HK25+HK27+HK29+HK31</f>
        <v/>
      </c>
      <c r="HL33" s="176">
        <f>HL23+HL25+HL27+HL29+HL31</f>
        <v/>
      </c>
      <c r="HM33" s="176">
        <f>HM23+HM25+HM27+HM29+HM31</f>
        <v/>
      </c>
      <c r="HN33" s="176">
        <f>HN23+HN25+HN27+HN29+HN31</f>
        <v/>
      </c>
      <c r="HO33" s="176">
        <f>HO23+HO25+HO27+HO29+HO31</f>
        <v/>
      </c>
      <c r="HP33" s="176">
        <f>HP23+HP25+HP27+HP29+HP31</f>
        <v/>
      </c>
      <c r="HQ33" s="176">
        <f>HQ23+HQ25+HQ27+HQ29+HQ31</f>
        <v/>
      </c>
      <c r="HR33" s="176">
        <f>HR23+HR25+HR27+HR29+HR31</f>
        <v/>
      </c>
      <c r="HS33" s="176">
        <f>HS23+HS25+HS27+HS29+HS31</f>
        <v/>
      </c>
      <c r="HT33" s="176">
        <f>HT23+HT25+HT27+HT29+HT31</f>
        <v/>
      </c>
      <c r="HU33" s="176">
        <f>HU23+HU25+HU27+HU29+HU31</f>
        <v/>
      </c>
      <c r="HV33" s="176">
        <f>HV23+HV25+HV27+HV29+HV31</f>
        <v/>
      </c>
      <c r="HW33" s="176">
        <f>HW23+HW25+HW27+HW29+HW31</f>
        <v/>
      </c>
      <c r="HX33" s="176">
        <f>HX23+HX25+HX27+HX29+HX31</f>
        <v/>
      </c>
      <c r="HY33" s="176">
        <f>HY23+HY25+HY27+HY29+HY31</f>
        <v/>
      </c>
      <c r="HZ33" s="176">
        <f>HZ23+HZ25+HZ27+HZ29+HZ31</f>
        <v/>
      </c>
      <c r="IA33" s="176">
        <f>IA23+IA25+IA27+IA29+IA31</f>
        <v/>
      </c>
      <c r="IB33" s="176">
        <f>IB23+IB25+IB27+IB29+IB31</f>
        <v/>
      </c>
      <c r="IC33" s="176">
        <f>IC23+IC25+IC27+IC29+IC31</f>
        <v/>
      </c>
      <c r="ID33" s="176">
        <f>ID23+ID25+ID27+ID29+ID31</f>
        <v/>
      </c>
      <c r="IE33" s="176">
        <f>IE23+IE25+IE27+IE29+IE31</f>
        <v/>
      </c>
      <c r="IF33" s="176">
        <f>IF23+IF25+IF27+IF29+IF31</f>
        <v/>
      </c>
      <c r="IG33" s="176">
        <f>IG23+IG25+IG27+IG29+IG31</f>
        <v/>
      </c>
      <c r="IH33" s="176">
        <f>IH23+IH25+IH27+IH29+IH31</f>
        <v/>
      </c>
      <c r="II33" s="176">
        <f>II23+II25+II27+II29+II31</f>
        <v/>
      </c>
      <c r="IJ33" s="176">
        <f>IJ23+IJ25+IJ27+IJ29+IJ31</f>
        <v/>
      </c>
      <c r="IK33" s="176">
        <f>IK23+IK25+IK27+IK29+IK31</f>
        <v/>
      </c>
      <c r="IL33" s="176">
        <f>IL23+IL25+IL27+IL29+IL31</f>
        <v/>
      </c>
      <c r="IM33" s="176">
        <f>IM23+IM25+IM27+IM29+IM31</f>
        <v/>
      </c>
      <c r="IN33" s="176">
        <f>IN23+IN25+IN27+IN29+IN31</f>
        <v/>
      </c>
      <c r="IO33" s="176">
        <f>IO23+IO25+IO27+IO29+IO31</f>
        <v/>
      </c>
      <c r="IP33" s="176">
        <f>IP23+IP25+IP27+IP29+IP31</f>
        <v/>
      </c>
      <c r="IQ33" s="176">
        <f>IQ23+IQ25+IQ27+IQ29+IQ31</f>
        <v/>
      </c>
      <c r="IR33" s="176">
        <f>IR23+IR25+IR27+IR29+IR31</f>
        <v/>
      </c>
      <c r="IS33" s="176">
        <f>IS23+IS25+IS27+IS29+IS31</f>
        <v/>
      </c>
      <c r="IT33" s="176">
        <f>IT23+IT25+IT27+IT29+IT31</f>
        <v/>
      </c>
      <c r="IU33" s="176">
        <f>IU23+IU25+IU27+IU29+IU31</f>
        <v/>
      </c>
      <c r="IV33" s="176">
        <f>IV23+IV25+IV27+IV29+IV31</f>
        <v/>
      </c>
      <c r="IW33" s="176">
        <f>IW23+IW25+IW27+IW29+IW31</f>
        <v/>
      </c>
      <c r="IX33" s="176">
        <f>IX23+IX25+IX27+IX29+IX31</f>
        <v/>
      </c>
      <c r="IY33" s="176">
        <f>IY23+IY25+IY27+IY29+IY31</f>
        <v/>
      </c>
      <c r="IZ33" s="176">
        <f>IZ23+IZ25+IZ27+IZ29+IZ31</f>
        <v/>
      </c>
      <c r="JA33" s="176">
        <f>JA23+JA25+JA27+JA29+JA31</f>
        <v/>
      </c>
      <c r="JB33" s="176">
        <f>JB23+JB25+JB27+JB29+JB31</f>
        <v/>
      </c>
      <c r="JC33" s="176">
        <f>JC23+JC25+JC27+JC29+JC31</f>
        <v/>
      </c>
      <c r="JD33" s="176">
        <f>JD23+JD25+JD27+JD29+JD31</f>
        <v/>
      </c>
      <c r="JE33" s="176">
        <f>JE23+JE25+JE27+JE29+JE31</f>
        <v/>
      </c>
      <c r="JF33" s="176">
        <f>JF23+JF25+JF27+JF29+JF31</f>
        <v/>
      </c>
      <c r="JG33" s="176">
        <f>JG23+JG25+JG27+JG29+JG31</f>
        <v/>
      </c>
      <c r="JH33" s="176">
        <f>JH23+JH25+JH27+JH29+JH31</f>
        <v/>
      </c>
      <c r="JI33" s="176">
        <f>JI23+JI25+JI27+JI29+JI31</f>
        <v/>
      </c>
      <c r="JJ33" s="176">
        <f>JJ23+JJ25+JJ27+JJ29+JJ31</f>
        <v/>
      </c>
      <c r="JK33" s="176">
        <f>JK23+JK25+JK27+JK29+JK31</f>
        <v/>
      </c>
      <c r="JL33" s="176">
        <f>JL23+JL25+JL27+JL29+JL31</f>
        <v/>
      </c>
      <c r="JM33" s="176">
        <f>JM23+JM25+JM27+JM29+JM31</f>
        <v/>
      </c>
      <c r="JN33" s="176">
        <f>JN23+JN25+JN27+JN29+JN31</f>
        <v/>
      </c>
      <c r="JO33" s="176">
        <f>JO23+JO25+JO27+JO29+JO31</f>
        <v/>
      </c>
      <c r="JP33" s="176">
        <f>JP23+JP25+JP27+JP29+JP31</f>
        <v/>
      </c>
      <c r="JQ33" s="176">
        <f>JQ23+JQ25+JQ27+JQ29+JQ31</f>
        <v/>
      </c>
      <c r="JR33" s="176">
        <f>JR23+JR25+JR27+JR29+JR31</f>
        <v/>
      </c>
      <c r="JS33" s="176">
        <f>JS23+JS25+JS27+JS29+JS31</f>
        <v/>
      </c>
      <c r="JT33" s="176">
        <f>JT23+JT25+JT27+JT29+JT31</f>
        <v/>
      </c>
      <c r="JU33" s="176">
        <f>JU23+JU25+JU27+JU29+JU31</f>
        <v/>
      </c>
      <c r="JV33" s="176">
        <f>JV23+JV25+JV27+JV29+JV31</f>
        <v/>
      </c>
      <c r="JW33" s="176">
        <f>JW23+JW25+JW27+JW29+JW31</f>
        <v/>
      </c>
      <c r="JX33" s="176">
        <f>JX23+JX25+JX27+JX29+JX31</f>
        <v/>
      </c>
      <c r="JY33" s="176">
        <f>JY23+JY25+JY27+JY29+JY31</f>
        <v/>
      </c>
      <c r="JZ33" s="176">
        <f>JZ23+JZ25+JZ27+JZ29+JZ31</f>
        <v/>
      </c>
      <c r="KA33" s="176">
        <f>KA23+KA25+KA27+KA29+KA31</f>
        <v/>
      </c>
      <c r="KB33" s="176">
        <f>KB23+KB25+KB27+KB29+KB31</f>
        <v/>
      </c>
      <c r="KC33" s="176">
        <f>KC23+KC25+KC27+KC29+KC31</f>
        <v/>
      </c>
      <c r="KD33" s="176">
        <f>KD23+KD25+KD27+KD29+KD31</f>
        <v/>
      </c>
      <c r="KE33" s="176">
        <f>KE23+KE25+KE27+KE29+KE31</f>
        <v/>
      </c>
      <c r="KF33" s="176">
        <f>KF23+KF25+KF27+KF29+KF31</f>
        <v/>
      </c>
      <c r="KG33" s="176">
        <f>KG23+KG25+KG27+KG29+KG31</f>
        <v/>
      </c>
      <c r="KH33" s="176">
        <f>KH23+KH25+KH27+KH29+KH31</f>
        <v/>
      </c>
      <c r="KI33" s="176">
        <f>KI23+KI25+KI27+KI29+KI31</f>
        <v/>
      </c>
      <c r="KJ33" s="176">
        <f>KJ23+KJ25+KJ27+KJ29+KJ31</f>
        <v/>
      </c>
      <c r="KK33" s="176">
        <f>KK23+KK25+KK27+KK29+KK31</f>
        <v/>
      </c>
      <c r="KL33" s="176">
        <f>KL23+KL25+KL27+KL29+KL31</f>
        <v/>
      </c>
      <c r="KM33" s="176">
        <f>KM23+KM25+KM27+KM29+KM31</f>
        <v/>
      </c>
      <c r="KN33" s="176">
        <f>KN23+KN25+KN27+KN29+KN31</f>
        <v/>
      </c>
      <c r="KO33" s="176">
        <f>KO23+KO25+KO27+KO29+KO31</f>
        <v/>
      </c>
      <c r="KP33" s="176">
        <f>KP23+KP25+KP27+KP29+KP31</f>
        <v/>
      </c>
      <c r="KQ33" s="176">
        <f>KQ23+KQ25+KQ27+KQ29+KQ31</f>
        <v/>
      </c>
      <c r="KR33" s="176">
        <f>KR23+KR25+KR27+KR29+KR31</f>
        <v/>
      </c>
      <c r="KS33" s="176">
        <f>KS23+KS25+KS27+KS29+KS31</f>
        <v/>
      </c>
      <c r="KT33" s="176">
        <f>KT23+KT25+KT27+KT29+KT31</f>
        <v/>
      </c>
      <c r="KU33" s="176">
        <f>KU23+KU25+KU27+KU29+KU31</f>
        <v/>
      </c>
      <c r="KV33" s="176">
        <f>KV23+KV25+KV27+KV29+KV31</f>
        <v/>
      </c>
      <c r="KW33" s="176">
        <f>KW23+KW25+KW27+KW29+KW31</f>
        <v/>
      </c>
      <c r="KX33" s="176">
        <f>KX23+KX25+KX27+KX29+KX31</f>
        <v/>
      </c>
      <c r="KY33" s="176">
        <f>KY23+KY25+KY27+KY29+KY31</f>
        <v/>
      </c>
      <c r="KZ33" s="176">
        <f>KZ23+KZ25+KZ27+KZ29+KZ31</f>
        <v/>
      </c>
      <c r="LA33" s="176">
        <f>LA23+LA25+LA27+LA29+LA31</f>
        <v/>
      </c>
      <c r="LB33" s="176">
        <f>LB23+LB25+LB27+LB29+LB31</f>
        <v/>
      </c>
      <c r="LC33" s="176">
        <f>LC23+LC25+LC27+LC29+LC31</f>
        <v/>
      </c>
      <c r="LD33" s="176">
        <f>LD23+LD25+LD27+LD29+LD31</f>
        <v/>
      </c>
      <c r="LE33" s="176">
        <f>LE23+LE25+LE27+LE29+LE31</f>
        <v/>
      </c>
      <c r="LF33" s="176">
        <f>LF23+LF25+LF27+LF29+LF31</f>
        <v/>
      </c>
      <c r="LG33" s="176">
        <f>LG23+LG25+LG27+LG29+LG31</f>
        <v/>
      </c>
      <c r="LH33" s="176">
        <f>LH23+LH25+LH27+LH29+LH31</f>
        <v/>
      </c>
      <c r="LI33" s="176">
        <f>LI23+LI25+LI27+LI29+LI31</f>
        <v/>
      </c>
      <c r="LJ33" s="176">
        <f>LJ23+LJ25+LJ27+LJ29+LJ31</f>
        <v/>
      </c>
      <c r="LK33" s="176">
        <f>LK23+LK25+LK27+LK29+LK31</f>
        <v/>
      </c>
      <c r="LL33" s="176">
        <f>LL23+LL25+LL27+LL29+LL31</f>
        <v/>
      </c>
      <c r="LM33" s="176">
        <f>LM23+LM25+LM27+LM29+LM31</f>
        <v/>
      </c>
      <c r="LN33" s="176">
        <f>LN23+LN25+LN27+LN29+LN31</f>
        <v/>
      </c>
      <c r="LO33" s="176">
        <f>LO23+LO25+LO27+LO29+LO31</f>
        <v/>
      </c>
      <c r="LP33" s="176">
        <f>LP23+LP25+LP27+LP29+LP31</f>
        <v/>
      </c>
      <c r="LQ33" s="176">
        <f>LQ23+LQ25+LQ27+LQ29+LQ31</f>
        <v/>
      </c>
      <c r="LR33" s="176">
        <f>LR23+LR25+LR27+LR29+LR31</f>
        <v/>
      </c>
      <c r="LS33" s="176">
        <f>LS23+LS25+LS27+LS29+LS31</f>
        <v/>
      </c>
      <c r="LT33" s="176">
        <f>LT23+LT25+LT27+LT29+LT31</f>
        <v/>
      </c>
      <c r="LU33" s="176">
        <f>LU23+LU25+LU27+LU29+LU31</f>
        <v/>
      </c>
      <c r="LV33" s="176">
        <f>LV23+LV25+LV27+LV29+LV31</f>
        <v/>
      </c>
      <c r="LW33" s="176">
        <f>LW23+LW25+LW27+LW29+LW31</f>
        <v/>
      </c>
      <c r="LX33" s="176">
        <f>LX23+LX25+LX27+LX29+LX31</f>
        <v/>
      </c>
      <c r="LY33" s="176">
        <f>LY23+LY25+LY27+LY29+LY31</f>
        <v/>
      </c>
      <c r="LZ33" s="176">
        <f>LZ23+LZ25+LZ27+LZ29+LZ31</f>
        <v/>
      </c>
      <c r="MA33" s="176">
        <f>MA23+MA25+MA27+MA29+MA31</f>
        <v/>
      </c>
      <c r="MB33" s="176">
        <f>MB23+MB25+MB27+MB29+MB31</f>
        <v/>
      </c>
      <c r="MC33" s="176">
        <f>MC23+MC25+MC27+MC29+MC31</f>
        <v/>
      </c>
      <c r="MD33" s="176">
        <f>MD23+MD25+MD27+MD29+MD31</f>
        <v/>
      </c>
      <c r="ME33" s="176">
        <f>ME23+ME25+ME27+ME29+ME31</f>
        <v/>
      </c>
      <c r="MF33" s="176">
        <f>MF23+MF25+MF27+MF29+MF31</f>
        <v/>
      </c>
      <c r="MG33" s="176">
        <f>MG23+MG25+MG27+MG29+MG31</f>
        <v/>
      </c>
      <c r="MH33" s="176">
        <f>MH23+MH25+MH27+MH29+MH31</f>
        <v/>
      </c>
      <c r="MI33" s="176">
        <f>MI23+MI25+MI27+MI29+MI31</f>
        <v/>
      </c>
      <c r="MJ33" s="176">
        <f>MJ23+MJ25+MJ27+MJ29+MJ31</f>
        <v/>
      </c>
      <c r="MK33" s="176">
        <f>MK23+MK25+MK27+MK29+MK31</f>
        <v/>
      </c>
      <c r="ML33" s="176">
        <f>ML23+ML25+ML27+ML29+ML31</f>
        <v/>
      </c>
      <c r="MM33" s="176">
        <f>MM23+MM25+MM27+MM29+MM31</f>
        <v/>
      </c>
      <c r="MN33" s="176">
        <f>MN23+MN25+MN27+MN29+MN31</f>
        <v/>
      </c>
      <c r="MO33" s="176">
        <f>MO23+MO25+MO27+MO29+MO31</f>
        <v/>
      </c>
      <c r="MP33" s="176">
        <f>MP23+MP25+MP27+MP29+MP31</f>
        <v/>
      </c>
      <c r="MQ33" s="176">
        <f>MQ23+MQ25+MQ27+MQ29+MQ31</f>
        <v/>
      </c>
      <c r="MR33" s="176">
        <f>MR23+MR25+MR27+MR29+MR31</f>
        <v/>
      </c>
      <c r="MS33" s="176">
        <f>MS23+MS25+MS27+MS29+MS31</f>
        <v/>
      </c>
      <c r="MT33" s="176">
        <f>MT23+MT25+MT27+MT29+MT31</f>
        <v/>
      </c>
      <c r="MU33" s="176">
        <f>MU23+MU25+MU27+MU29+MU31</f>
        <v/>
      </c>
      <c r="MV33" s="176">
        <f>MV23+MV25+MV27+MV29+MV31</f>
        <v/>
      </c>
      <c r="MW33" s="176">
        <f>MW23+MW25+MW27+MW29+MW31</f>
        <v/>
      </c>
      <c r="MX33" s="176">
        <f>MX23+MX25+MX27+MX29+MX31</f>
        <v/>
      </c>
      <c r="MY33" s="176">
        <f>MY23+MY25+MY27+MY29+MY31</f>
        <v/>
      </c>
      <c r="MZ33" s="176">
        <f>MZ23+MZ25+MZ27+MZ29+MZ31</f>
        <v/>
      </c>
      <c r="NA33" s="176">
        <f>NA23+NA25+NA27+NA29+NA31</f>
        <v/>
      </c>
      <c r="NB33" s="176">
        <f>NB23+NB25+NB27+NB29+NB31</f>
        <v/>
      </c>
      <c r="NC33" s="176">
        <f>NC23+NC25+NC27+NC29+NC31</f>
        <v/>
      </c>
      <c r="ND33" s="176">
        <f>ND23+ND25+ND27+ND29+ND31</f>
        <v/>
      </c>
      <c r="NE33" s="176">
        <f>NE23+NE25+NE27+NE29+NE31</f>
        <v/>
      </c>
      <c r="NF33" s="176">
        <f>NF23+NF25+NF27+NF29+NF31</f>
        <v/>
      </c>
      <c r="NG33" s="176">
        <f>NG23+NG25+NG27+NG29+NG31</f>
        <v/>
      </c>
      <c r="NH33" s="176">
        <f>NH23+NH25+NH27+NH29+NH31</f>
        <v/>
      </c>
      <c r="NI33" s="176">
        <f>NI23+NI25+NI27+NI29+NI31</f>
        <v/>
      </c>
      <c r="NJ33" s="176">
        <f>NJ23+NJ25+NJ27+NJ29+NJ31</f>
        <v/>
      </c>
      <c r="NK33" s="176">
        <f>NK23+NK25+NK27+NK29+NK31</f>
        <v/>
      </c>
      <c r="NL33" s="176">
        <f>NL23+NL25+NL27+NL29+NL31</f>
        <v/>
      </c>
      <c r="NM33" s="176">
        <f>NM23+NM25+NM27+NM29+NM31</f>
        <v/>
      </c>
      <c r="NN33" s="176">
        <f>NN23+NN25+NN27+NN29+NN31</f>
        <v/>
      </c>
      <c r="NO33" s="176">
        <f>NO23+NO25+NO27+NO29+NO31</f>
        <v/>
      </c>
      <c r="NP33" s="176">
        <f>NP23+NP25+NP27+NP29+NP31</f>
        <v/>
      </c>
      <c r="NQ33" s="176">
        <f>NQ23+NQ25+NQ27+NQ29+NQ31</f>
        <v/>
      </c>
      <c r="NR33" s="176">
        <f>NR23+NR25+NR27+NR29+NR31</f>
        <v/>
      </c>
      <c r="NS33" s="176">
        <f>NS23+NS25+NS27+NS29+NS31</f>
        <v/>
      </c>
      <c r="NT33" s="176">
        <f>NT23+NT25+NT27+NT29+NT31</f>
        <v/>
      </c>
      <c r="NU33" s="176">
        <f>NU23+NU25+NU27+NU29+NU31</f>
        <v/>
      </c>
      <c r="NV33" s="176">
        <f>NV23+NV25+NV27+NV29+NV31</f>
        <v/>
      </c>
      <c r="NW33" s="176">
        <f>NW23+NW25+NW27+NW29+NW31</f>
        <v/>
      </c>
      <c r="NX33" s="176">
        <f>NX23+NX25+NX27+NX29+NX31</f>
        <v/>
      </c>
      <c r="NY33" s="176">
        <f>NY23+NY25+NY27+NY29+NY31</f>
        <v/>
      </c>
      <c r="NZ33" s="176">
        <f>NZ23+NZ25+NZ27+NZ29+NZ31</f>
        <v/>
      </c>
      <c r="OA33" s="176">
        <f>OA23+OA25+OA27+OA29+OA31</f>
        <v/>
      </c>
      <c r="OB33" s="176">
        <f>OB23+OB25+OB27+OB29+OB31</f>
        <v/>
      </c>
      <c r="OC33" s="176">
        <f>OC23+OC25+OC27+OC29+OC31</f>
        <v/>
      </c>
      <c r="OD33" s="176">
        <f>OD23+OD25+OD27+OD29+OD31</f>
        <v/>
      </c>
      <c r="OE33" s="176">
        <f>OE23+OE25+OE27+OE29+OE31</f>
        <v/>
      </c>
      <c r="OF33" s="176">
        <f>OF23+OF25+OF27+OF29+OF31</f>
        <v/>
      </c>
      <c r="OG33" s="176">
        <f>OG23+OG25+OG27+OG29+OG31</f>
        <v/>
      </c>
      <c r="OH33" s="176">
        <f>OH23+OH25+OH27+OH29+OH31</f>
        <v/>
      </c>
      <c r="OI33" s="176">
        <f>OI23+OI25+OI27+OI29+OI31</f>
        <v/>
      </c>
      <c r="OJ33" s="176">
        <f>OJ23+OJ25+OJ27+OJ29+OJ31</f>
        <v/>
      </c>
      <c r="OK33" s="176">
        <f>OK23+OK25+OK27+OK29+OK31</f>
        <v/>
      </c>
      <c r="OL33" s="176">
        <f>OL23+OL25+OL27+OL29+OL31</f>
        <v/>
      </c>
      <c r="OM33" s="176">
        <f>OM23+OM25+OM27+OM29+OM31</f>
        <v/>
      </c>
      <c r="ON33" s="176">
        <f>ON23+ON25+ON27+ON29+ON31</f>
        <v/>
      </c>
      <c r="OO33" s="176">
        <f>OO23+OO25+OO27+OO29+OO31</f>
        <v/>
      </c>
      <c r="OP33" s="176">
        <f>OP23+OP25+OP27+OP29+OP31</f>
        <v/>
      </c>
      <c r="OQ33" s="176">
        <f>OQ23+OQ25+OQ27+OQ29+OQ31</f>
        <v/>
      </c>
      <c r="OR33" s="176">
        <f>OR23+OR25+OR27+OR29+OR31</f>
        <v/>
      </c>
      <c r="OS33" s="176">
        <f>OS23+OS25+OS27+OS29+OS31</f>
        <v/>
      </c>
      <c r="OT33" s="176">
        <f>OT23+OT25+OT27+OT29+OT31</f>
        <v/>
      </c>
      <c r="OU33" s="176">
        <f>OU23+OU25+OU27+OU29+OU31</f>
        <v/>
      </c>
      <c r="OV33" s="176">
        <f>OV23+OV25+OV27+OV29+OV31</f>
        <v/>
      </c>
      <c r="OW33" s="176">
        <f>OW23+OW25+OW27+OW29+OW31</f>
        <v/>
      </c>
      <c r="OX33" s="176">
        <f>OX23+OX25+OX27+OX29+OX31</f>
        <v/>
      </c>
      <c r="OY33" s="176">
        <f>OY23+OY25+OY27+OY29+OY31</f>
        <v/>
      </c>
      <c r="OZ33" s="176">
        <f>OZ23+OZ25+OZ27+OZ29+OZ31</f>
        <v/>
      </c>
      <c r="PA33" s="176">
        <f>PA23+PA25+PA27+PA29+PA31</f>
        <v/>
      </c>
      <c r="PB33" s="176">
        <f>PB23+PB25+PB27+PB29+PB31</f>
        <v/>
      </c>
      <c r="PC33" s="176">
        <f>PC23+PC25+PC27+PC29+PC31</f>
        <v/>
      </c>
      <c r="PD33" s="176">
        <f>PD23+PD25+PD27+PD29+PD31</f>
        <v/>
      </c>
      <c r="PE33" s="176">
        <f>PE23+PE25+PE27+PE29+PE31</f>
        <v/>
      </c>
      <c r="PF33" s="176">
        <f>PF23+PF25+PF27+PF29+PF31</f>
        <v/>
      </c>
      <c r="PG33" s="176">
        <f>PG23+PG25+PG27+PG29+PG31</f>
        <v/>
      </c>
      <c r="PH33" s="176">
        <f>PH23+PH25+PH27+PH29+PH31</f>
        <v/>
      </c>
      <c r="PI33" s="176">
        <f>PI23+PI25+PI27+PI29+PI31</f>
        <v/>
      </c>
      <c r="PJ33" s="176">
        <f>PJ23+PJ25+PJ27+PJ29+PJ31</f>
        <v/>
      </c>
      <c r="PK33" s="176">
        <f>PK23+PK25+PK27+PK29+PK31</f>
        <v/>
      </c>
      <c r="PL33" s="176">
        <f>PL23+PL25+PL27+PL29+PL31</f>
        <v/>
      </c>
      <c r="PM33" s="176">
        <f>PM23+PM25+PM27+PM29+PM31</f>
        <v/>
      </c>
      <c r="PN33" s="176">
        <f>PN23+PN25+PN27+PN29+PN31</f>
        <v/>
      </c>
      <c r="PO33" s="176">
        <f>PO23+PO25+PO27+PO29+PO31</f>
        <v/>
      </c>
      <c r="PP33" s="176">
        <f>PP23+PP25+PP27+PP29+PP31</f>
        <v/>
      </c>
      <c r="PQ33" s="176">
        <f>PQ23+PQ25+PQ27+PQ29+PQ31</f>
        <v/>
      </c>
      <c r="PR33" s="176">
        <f>PR23+PR25+PR27+PR29+PR31</f>
        <v/>
      </c>
      <c r="PS33" s="176">
        <f>PS23+PS25+PS27+PS29+PS31</f>
        <v/>
      </c>
      <c r="PT33" s="176">
        <f>PT23+PT25+PT27+PT29+PT31</f>
        <v/>
      </c>
      <c r="PU33" s="176">
        <f>PU23+PU25+PU27+PU29+PU31</f>
        <v/>
      </c>
      <c r="PV33" s="176">
        <f>PV23+PV25+PV27+PV29+PV31</f>
        <v/>
      </c>
      <c r="PW33" s="176">
        <f>PW23+PW25+PW27+PW29+PW31</f>
        <v/>
      </c>
      <c r="PX33" s="176">
        <f>PX23+PX25+PX27+PX29+PX31</f>
        <v/>
      </c>
      <c r="PY33" s="176">
        <f>PY23+PY25+PY27+PY29+PY31</f>
        <v/>
      </c>
      <c r="PZ33" s="176">
        <f>PZ23+PZ25+PZ27+PZ29+PZ31</f>
        <v/>
      </c>
      <c r="QA33" s="176">
        <f>QA23+QA25+QA27+QA29+QA31</f>
        <v/>
      </c>
      <c r="QB33" s="176">
        <f>QB23+QB25+QB27+QB29+QB31</f>
        <v/>
      </c>
      <c r="QC33" s="176">
        <f>QC23+QC25+QC27+QC29+QC31</f>
        <v/>
      </c>
      <c r="QD33" s="176">
        <f>QD23+QD25+QD27+QD29+QD31</f>
        <v/>
      </c>
      <c r="QE33" s="176">
        <f>QE23+QE25+QE27+QE29+QE31</f>
        <v/>
      </c>
      <c r="QF33" s="176">
        <f>QF23+QF25+QF27+QF29+QF31</f>
        <v/>
      </c>
      <c r="QG33" s="176">
        <f>QG23+QG25+QG27+QG29+QG31</f>
        <v/>
      </c>
      <c r="QH33" s="176">
        <f>QH23+QH25+QH27+QH29+QH31</f>
        <v/>
      </c>
      <c r="QI33" s="176">
        <f>QI23+QI25+QI27+QI29+QI31</f>
        <v/>
      </c>
      <c r="QJ33" s="176">
        <f>QJ23+QJ25+QJ27+QJ29+QJ31</f>
        <v/>
      </c>
      <c r="QK33" s="176">
        <f>QK23+QK25+QK27+QK29+QK31</f>
        <v/>
      </c>
      <c r="QL33" s="176">
        <f>QL23+QL25+QL27+QL29+QL31</f>
        <v/>
      </c>
      <c r="QM33" s="176">
        <f>QM23+QM25+QM27+QM29+QM31</f>
        <v/>
      </c>
      <c r="QN33" s="176">
        <f>QN23+QN25+QN27+QN29+QN31</f>
        <v/>
      </c>
      <c r="QO33" s="176">
        <f>QO23+QO25+QO27+QO29+QO31</f>
        <v/>
      </c>
      <c r="QP33" s="176">
        <f>QP23+QP25+QP27+QP29+QP31</f>
        <v/>
      </c>
      <c r="QQ33" s="176">
        <f>QQ23+QQ25+QQ27+QQ29+QQ31</f>
        <v/>
      </c>
      <c r="QR33" s="176">
        <f>QR23+QR25+QR27+QR29+QR31</f>
        <v/>
      </c>
      <c r="QS33" s="176">
        <f>QS23+QS25+QS27+QS29+QS31</f>
        <v/>
      </c>
      <c r="QT33" s="176">
        <f>QT23+QT25+QT27+QT29+QT31</f>
        <v/>
      </c>
      <c r="QU33" s="176">
        <f>QU23+QU25+QU27+QU29+QU31</f>
        <v/>
      </c>
      <c r="QV33" s="176">
        <f>QV23+QV25+QV27+QV29+QV31</f>
        <v/>
      </c>
      <c r="QW33" s="176">
        <f>QW23+QW25+QW27+QW29+QW31</f>
        <v/>
      </c>
      <c r="QX33" s="176">
        <f>QX23+QX25+QX27+QX29+QX31</f>
        <v/>
      </c>
      <c r="QY33" s="176">
        <f>QY23+QY25+QY27+QY29+QY31</f>
        <v/>
      </c>
      <c r="QZ33" s="176">
        <f>QZ23+QZ25+QZ27+QZ29+QZ31</f>
        <v/>
      </c>
      <c r="RA33" s="176">
        <f>RA23+RA25+RA27+RA29+RA31</f>
        <v/>
      </c>
      <c r="RB33" s="176">
        <f>RB23+RB25+RB27+RB29+RB31</f>
        <v/>
      </c>
      <c r="RC33" s="176">
        <f>RC23+RC25+RC27+RC29+RC31</f>
        <v/>
      </c>
      <c r="RD33" s="176">
        <f>RD23+RD25+RD27+RD29+RD31</f>
        <v/>
      </c>
      <c r="RE33" s="176">
        <f>RE23+RE25+RE27+RE29+RE31</f>
        <v/>
      </c>
      <c r="RF33" s="176">
        <f>RF23+RF25+RF27+RF29+RF31</f>
        <v/>
      </c>
      <c r="RG33" s="176">
        <f>RG23+RG25+RG27+RG29+RG31</f>
        <v/>
      </c>
      <c r="RH33" s="176">
        <f>RH23+RH25+RH27+RH29+RH31</f>
        <v/>
      </c>
      <c r="RI33" s="176">
        <f>RI23+RI25+RI27+RI29+RI31</f>
        <v/>
      </c>
      <c r="RJ33" s="176">
        <f>RJ23+RJ25+RJ27+RJ29+RJ31</f>
        <v/>
      </c>
      <c r="RK33" s="176">
        <f>RK23+RK25+RK27+RK29+RK31</f>
        <v/>
      </c>
      <c r="RL33" s="176">
        <f>RL23+RL25+RL27+RL29+RL31</f>
        <v/>
      </c>
      <c r="RM33" s="176">
        <f>RM23+RM25+RM27+RM29+RM31</f>
        <v/>
      </c>
      <c r="RN33" s="176">
        <f>RN23+RN25+RN27+RN29+RN31</f>
        <v/>
      </c>
      <c r="RO33" s="176">
        <f>RO23+RO25+RO27+RO29+RO31</f>
        <v/>
      </c>
      <c r="RP33" s="176">
        <f>RP23+RP25+RP27+RP29+RP31</f>
        <v/>
      </c>
      <c r="RQ33" s="176">
        <f>RQ23+RQ25+RQ27+RQ29+RQ31</f>
        <v/>
      </c>
      <c r="RR33" s="176">
        <f>RR23+RR25+RR27+RR29+RR31</f>
        <v/>
      </c>
      <c r="RS33" s="176">
        <f>RS23+RS25+RS27+RS29+RS31</f>
        <v/>
      </c>
      <c r="RT33" s="176">
        <f>RT23+RT25+RT27+RT29+RT31</f>
        <v/>
      </c>
      <c r="RU33" s="176">
        <f>RU23+RU25+RU27+RU29+RU31</f>
        <v/>
      </c>
      <c r="RV33" s="176">
        <f>RV23+RV25+RV27+RV29+RV31</f>
        <v/>
      </c>
      <c r="RW33" s="176">
        <f>RW23+RW25+RW27+RW29+RW31</f>
        <v/>
      </c>
      <c r="RX33" s="176">
        <f>RX23+RX25+RX27+RX29+RX31</f>
        <v/>
      </c>
      <c r="RY33" s="176">
        <f>RY23+RY25+RY27+RY29+RY31</f>
        <v/>
      </c>
      <c r="RZ33" s="176">
        <f>RZ23+RZ25+RZ27+RZ29+RZ31</f>
        <v/>
      </c>
      <c r="SA33" s="176">
        <f>SA23+SA25+SA27+SA29+SA31</f>
        <v/>
      </c>
      <c r="SB33" s="176">
        <f>SB23+SB25+SB27+SB29+SB31</f>
        <v/>
      </c>
      <c r="SC33" s="176">
        <f>SC23+SC25+SC27+SC29+SC31</f>
        <v/>
      </c>
      <c r="SD33" s="176">
        <f>SD23+SD25+SD27+SD29+SD31</f>
        <v/>
      </c>
      <c r="SE33" s="176">
        <f>SE23+SE25+SE27+SE29+SE31</f>
        <v/>
      </c>
      <c r="SF33" s="176">
        <f>SF23+SF25+SF27+SF29+SF31</f>
        <v/>
      </c>
    </row>
    <row r="34">
      <c r="C34" s="173" t="n"/>
      <c r="D34" s="173" t="n"/>
      <c r="E34" s="173" t="n"/>
      <c r="F34" s="173" t="n"/>
      <c r="G34" s="173" t="n"/>
      <c r="H34" s="173" t="n"/>
      <c r="I34" s="173" t="n"/>
      <c r="J34" s="173" t="n"/>
      <c r="K34" s="173" t="n"/>
      <c r="L34" s="173" t="n"/>
      <c r="M34" s="173" t="n"/>
      <c r="N34" s="173" t="n"/>
      <c r="O34" s="173" t="n"/>
      <c r="P34" s="173" t="n"/>
      <c r="Q34" s="173" t="n"/>
      <c r="R34" s="173" t="n"/>
      <c r="S34" s="173" t="n"/>
      <c r="T34" s="173" t="n"/>
      <c r="U34" s="173" t="n"/>
      <c r="V34" s="173" t="n"/>
      <c r="W34" s="173" t="n"/>
      <c r="X34" s="173" t="n"/>
      <c r="Y34" s="173" t="n"/>
      <c r="Z34" s="173" t="n"/>
      <c r="AA34" s="173" t="n"/>
      <c r="AB34" s="173" t="n"/>
      <c r="AC34" s="173" t="n"/>
      <c r="AD34" s="173" t="n"/>
      <c r="AE34" s="173" t="n"/>
      <c r="AF34" s="173" t="n"/>
      <c r="AG34" s="173" t="n"/>
      <c r="AH34" s="173" t="n"/>
      <c r="AI34" s="173" t="n"/>
      <c r="AJ34" s="173" t="n"/>
      <c r="AK34" s="173" t="n"/>
      <c r="AL34" s="173" t="n"/>
      <c r="AM34" s="173" t="n"/>
      <c r="AN34" s="173" t="n"/>
      <c r="AO34" s="173" t="n"/>
      <c r="AP34" s="173" t="n"/>
      <c r="AQ34" s="173" t="n"/>
      <c r="AR34" s="173" t="n"/>
      <c r="AS34" s="173" t="n"/>
      <c r="AT34" s="173" t="n"/>
      <c r="AU34" s="173" t="n"/>
      <c r="AV34" s="173" t="n"/>
      <c r="AW34" s="173" t="n"/>
      <c r="AX34" s="173" t="n"/>
      <c r="AY34" s="173" t="n"/>
      <c r="AZ34" s="173" t="n"/>
      <c r="BA34" s="173" t="n"/>
      <c r="BB34" s="173" t="n"/>
      <c r="BC34" s="173" t="n"/>
      <c r="BD34" s="173" t="n"/>
      <c r="BE34" s="173" t="n"/>
      <c r="BF34" s="173" t="n"/>
      <c r="BG34" s="173" t="n"/>
      <c r="BH34" s="173" t="n"/>
      <c r="BI34" s="173" t="n"/>
      <c r="BJ34" s="173" t="n"/>
      <c r="BK34" s="173" t="n"/>
      <c r="BL34" s="173" t="n"/>
      <c r="BM34" s="173" t="n"/>
      <c r="BN34" s="173" t="n"/>
      <c r="BO34" s="173" t="n"/>
      <c r="BP34" s="173" t="n"/>
      <c r="BQ34" s="173" t="n"/>
      <c r="BR34" s="173" t="n"/>
      <c r="BS34" s="173" t="n"/>
      <c r="BT34" s="173" t="n"/>
      <c r="BU34" s="173" t="n"/>
      <c r="BV34" s="173" t="n"/>
      <c r="BW34" s="173" t="n"/>
      <c r="BX34" s="173" t="n"/>
      <c r="BY34" s="173" t="n"/>
      <c r="BZ34" s="173" t="n"/>
      <c r="CA34" s="173" t="n"/>
      <c r="CB34" s="173" t="n"/>
      <c r="CC34" s="173" t="n"/>
      <c r="CD34" s="173" t="n"/>
      <c r="CE34" s="173" t="n"/>
      <c r="CF34" s="173" t="n"/>
      <c r="CG34" s="173" t="n"/>
      <c r="CH34" s="173" t="n"/>
      <c r="CI34" s="173" t="n"/>
      <c r="CJ34" s="173" t="n"/>
      <c r="CK34" s="173" t="n"/>
      <c r="CL34" s="173" t="n"/>
      <c r="CM34" s="173" t="n"/>
      <c r="CN34" s="173" t="n"/>
      <c r="CO34" s="173" t="n"/>
      <c r="CP34" s="173" t="n"/>
      <c r="CQ34" s="173" t="n"/>
      <c r="CR34" s="173" t="n"/>
      <c r="CS34" s="173" t="n"/>
      <c r="CT34" s="173" t="n"/>
      <c r="CU34" s="173" t="n"/>
      <c r="CV34" s="173" t="n"/>
      <c r="CW34" s="173" t="n"/>
      <c r="CX34" s="173" t="n"/>
      <c r="CY34" s="173" t="n"/>
      <c r="CZ34" s="173" t="n"/>
      <c r="DA34" s="173" t="n"/>
      <c r="DB34" s="173" t="n"/>
      <c r="DC34" s="173" t="n"/>
      <c r="DD34" s="173" t="n"/>
      <c r="DE34" s="173" t="n"/>
      <c r="DF34" s="173" t="n"/>
      <c r="DG34" s="173" t="n"/>
      <c r="DH34" s="173" t="n"/>
      <c r="DI34" s="173" t="n"/>
      <c r="DJ34" s="173" t="n"/>
      <c r="DK34" s="173" t="n"/>
      <c r="DL34" s="173" t="n"/>
      <c r="DM34" s="173" t="n"/>
      <c r="DN34" s="173" t="n"/>
      <c r="DO34" s="173" t="n"/>
      <c r="DP34" s="173" t="n"/>
      <c r="DQ34" s="173" t="n"/>
      <c r="DR34" s="173" t="n"/>
      <c r="DS34" s="173" t="n"/>
      <c r="DT34" s="173" t="n"/>
      <c r="DU34" s="173" t="n"/>
      <c r="DV34" s="173" t="n"/>
      <c r="DW34" s="173" t="n"/>
      <c r="DX34" s="173" t="n"/>
      <c r="DY34" s="173" t="n"/>
      <c r="DZ34" s="173" t="n"/>
      <c r="EA34" s="173" t="n"/>
      <c r="EB34" s="173" t="n"/>
      <c r="EC34" s="173" t="n"/>
      <c r="ED34" s="173" t="n"/>
      <c r="EE34" s="173" t="n"/>
      <c r="EF34" s="173" t="n"/>
      <c r="EG34" s="173" t="n"/>
      <c r="EH34" s="173" t="n"/>
      <c r="EI34" s="173" t="n"/>
      <c r="EJ34" s="173" t="n"/>
      <c r="EK34" s="173" t="n"/>
      <c r="EL34" s="173" t="n"/>
      <c r="EM34" s="173" t="n"/>
      <c r="EN34" s="173" t="n"/>
      <c r="EO34" s="173" t="n"/>
      <c r="EP34" s="173" t="n"/>
      <c r="EQ34" s="173" t="n"/>
      <c r="ER34" s="173" t="n"/>
      <c r="ES34" s="173" t="n"/>
      <c r="ET34" s="173" t="n"/>
      <c r="EU34" s="173" t="n"/>
      <c r="EV34" s="173" t="n"/>
      <c r="EW34" s="173" t="n"/>
      <c r="EX34" s="173" t="n"/>
      <c r="EY34" s="173" t="n"/>
      <c r="EZ34" s="173" t="n"/>
      <c r="FA34" s="173" t="n"/>
      <c r="FB34" s="173" t="n"/>
      <c r="FC34" s="173" t="n"/>
      <c r="FD34" s="173" t="n"/>
      <c r="FE34" s="173" t="n"/>
      <c r="FF34" s="173" t="n"/>
      <c r="FG34" s="173" t="n"/>
      <c r="FH34" s="173" t="n"/>
      <c r="FI34" s="173" t="n"/>
      <c r="FJ34" s="173" t="n"/>
      <c r="FK34" s="173" t="n"/>
      <c r="FL34" s="173" t="n"/>
      <c r="FM34" s="173" t="n"/>
      <c r="FN34" s="173" t="n"/>
      <c r="FO34" s="173" t="n"/>
      <c r="FP34" s="173" t="n"/>
      <c r="FQ34" s="173" t="n"/>
      <c r="FR34" s="173" t="n"/>
      <c r="FS34" s="173" t="n"/>
      <c r="FT34" s="173" t="n"/>
      <c r="FU34" s="173" t="n"/>
      <c r="FV34" s="173" t="n"/>
      <c r="FW34" s="173" t="n"/>
      <c r="FX34" s="173" t="n"/>
      <c r="FY34" s="173" t="n"/>
      <c r="FZ34" s="173" t="n"/>
      <c r="GA34" s="173" t="n"/>
      <c r="GB34" s="173" t="n"/>
      <c r="GC34" s="173" t="n"/>
      <c r="GD34" s="173" t="n"/>
      <c r="GE34" s="173" t="n"/>
      <c r="GF34" s="173" t="n"/>
      <c r="GG34" s="173" t="n"/>
      <c r="GH34" s="173" t="n"/>
      <c r="GI34" s="173" t="n"/>
      <c r="GJ34" s="173" t="n"/>
      <c r="GK34" s="173" t="n"/>
      <c r="GL34" s="173" t="n"/>
      <c r="GM34" s="173" t="n"/>
      <c r="GN34" s="173" t="n"/>
      <c r="GO34" s="173" t="n"/>
      <c r="GP34" s="173" t="n"/>
      <c r="GQ34" s="173" t="n"/>
      <c r="GR34" s="173" t="n"/>
      <c r="GS34" s="173" t="n"/>
      <c r="GT34" s="173" t="n"/>
      <c r="GU34" s="173" t="n"/>
      <c r="GV34" s="173" t="n"/>
      <c r="GW34" s="173" t="n"/>
      <c r="GX34" s="173" t="n"/>
      <c r="GY34" s="173" t="n"/>
      <c r="GZ34" s="173" t="n"/>
      <c r="HA34" s="173" t="n"/>
      <c r="HB34" s="173" t="n"/>
      <c r="HC34" s="173" t="n"/>
      <c r="HD34" s="173" t="n"/>
      <c r="HE34" s="173" t="n"/>
      <c r="HF34" s="173" t="n"/>
      <c r="HG34" s="173" t="n"/>
      <c r="HH34" s="173" t="n"/>
      <c r="HI34" s="173" t="n"/>
      <c r="HJ34" s="173" t="n"/>
      <c r="HK34" s="173" t="n"/>
      <c r="HL34" s="173" t="n"/>
      <c r="HM34" s="173" t="n"/>
      <c r="HN34" s="173" t="n"/>
      <c r="HO34" s="173" t="n"/>
      <c r="HP34" s="173" t="n"/>
      <c r="HQ34" s="173" t="n"/>
      <c r="HR34" s="173" t="n"/>
      <c r="HS34" s="173" t="n"/>
      <c r="HT34" s="173" t="n"/>
      <c r="HU34" s="173" t="n"/>
      <c r="HV34" s="173" t="n"/>
      <c r="HW34" s="173" t="n"/>
      <c r="HX34" s="173" t="n"/>
      <c r="HY34" s="173" t="n"/>
      <c r="HZ34" s="173" t="n"/>
      <c r="IA34" s="173" t="n"/>
      <c r="IB34" s="173" t="n"/>
      <c r="IC34" s="173" t="n"/>
      <c r="ID34" s="173" t="n"/>
      <c r="IE34" s="173" t="n"/>
      <c r="IF34" s="173" t="n"/>
      <c r="IG34" s="173" t="n"/>
      <c r="IH34" s="173" t="n"/>
      <c r="II34" s="173" t="n"/>
      <c r="IJ34" s="173" t="n"/>
      <c r="IK34" s="173" t="n"/>
      <c r="IL34" s="173" t="n"/>
      <c r="IM34" s="173" t="n"/>
      <c r="IN34" s="173" t="n"/>
      <c r="IO34" s="173" t="n"/>
      <c r="IP34" s="173" t="n"/>
      <c r="IQ34" s="173" t="n"/>
      <c r="IR34" s="173" t="n"/>
      <c r="IS34" s="173" t="n"/>
      <c r="IT34" s="173" t="n"/>
      <c r="IU34" s="173" t="n"/>
      <c r="IV34" s="173" t="n"/>
      <c r="IW34" s="173" t="n"/>
      <c r="IX34" s="173" t="n"/>
      <c r="IY34" s="173" t="n"/>
      <c r="IZ34" s="173" t="n"/>
      <c r="JA34" s="173" t="n"/>
      <c r="JB34" s="173" t="n"/>
      <c r="JC34" s="173" t="n"/>
      <c r="JD34" s="173" t="n"/>
      <c r="JE34" s="173" t="n"/>
      <c r="JF34" s="173" t="n"/>
      <c r="JG34" s="173" t="n"/>
      <c r="JH34" s="173" t="n"/>
      <c r="JI34" s="173" t="n"/>
      <c r="JJ34" s="173" t="n"/>
      <c r="JK34" s="173" t="n"/>
      <c r="JL34" s="173" t="n"/>
      <c r="JM34" s="173" t="n"/>
      <c r="JN34" s="173" t="n"/>
      <c r="JO34" s="173" t="n"/>
      <c r="JP34" s="173" t="n"/>
      <c r="JQ34" s="173" t="n"/>
      <c r="JR34" s="173" t="n"/>
      <c r="JS34" s="173" t="n"/>
      <c r="JT34" s="173" t="n"/>
      <c r="JU34" s="173" t="n"/>
      <c r="JV34" s="173" t="n"/>
      <c r="JW34" s="173" t="n"/>
      <c r="JX34" s="173" t="n"/>
      <c r="JY34" s="173" t="n"/>
      <c r="JZ34" s="173" t="n"/>
      <c r="KA34" s="173" t="n"/>
      <c r="KB34" s="173" t="n"/>
      <c r="KC34" s="173" t="n"/>
      <c r="KD34" s="173" t="n"/>
      <c r="KE34" s="173" t="n"/>
      <c r="KF34" s="173" t="n"/>
      <c r="KG34" s="173" t="n"/>
      <c r="KH34" s="173" t="n"/>
      <c r="KI34" s="173" t="n"/>
      <c r="KJ34" s="173" t="n"/>
      <c r="KK34" s="173" t="n"/>
      <c r="KL34" s="173" t="n"/>
      <c r="KM34" s="173" t="n"/>
      <c r="KN34" s="173" t="n"/>
      <c r="KO34" s="173" t="n"/>
      <c r="KP34" s="173" t="n"/>
      <c r="KQ34" s="173" t="n"/>
      <c r="KR34" s="173" t="n"/>
      <c r="KS34" s="173" t="n"/>
      <c r="KT34" s="173" t="n"/>
      <c r="KU34" s="173" t="n"/>
      <c r="KV34" s="173" t="n"/>
      <c r="KW34" s="173" t="n"/>
      <c r="KX34" s="173" t="n"/>
      <c r="KY34" s="173" t="n"/>
      <c r="KZ34" s="173" t="n"/>
      <c r="LA34" s="173" t="n"/>
      <c r="LB34" s="173" t="n"/>
      <c r="LC34" s="173" t="n"/>
      <c r="LD34" s="173" t="n"/>
      <c r="LE34" s="173" t="n"/>
      <c r="LF34" s="173" t="n"/>
      <c r="LG34" s="173" t="n"/>
      <c r="LH34" s="173" t="n"/>
      <c r="LI34" s="173" t="n"/>
      <c r="LJ34" s="173" t="n"/>
      <c r="LK34" s="173" t="n"/>
      <c r="LL34" s="173" t="n"/>
      <c r="LM34" s="173" t="n"/>
      <c r="LN34" s="173" t="n"/>
      <c r="LO34" s="173" t="n"/>
      <c r="LP34" s="173" t="n"/>
      <c r="LQ34" s="173" t="n"/>
      <c r="LR34" s="173" t="n"/>
      <c r="LS34" s="173" t="n"/>
      <c r="LT34" s="173" t="n"/>
      <c r="LU34" s="173" t="n"/>
      <c r="LV34" s="173" t="n"/>
      <c r="LW34" s="173" t="n"/>
      <c r="LX34" s="173" t="n"/>
      <c r="LY34" s="173" t="n"/>
      <c r="LZ34" s="173" t="n"/>
      <c r="MA34" s="173" t="n"/>
      <c r="MB34" s="173" t="n"/>
      <c r="MC34" s="173" t="n"/>
      <c r="MD34" s="173" t="n"/>
      <c r="ME34" s="173" t="n"/>
      <c r="MF34" s="173" t="n"/>
      <c r="MG34" s="173" t="n"/>
      <c r="MH34" s="173" t="n"/>
      <c r="MI34" s="173" t="n"/>
      <c r="MJ34" s="173" t="n"/>
      <c r="MK34" s="173" t="n"/>
      <c r="ML34" s="173" t="n"/>
      <c r="MM34" s="173" t="n"/>
      <c r="MN34" s="173" t="n"/>
      <c r="MO34" s="173" t="n"/>
      <c r="MP34" s="173" t="n"/>
      <c r="MQ34" s="173" t="n"/>
      <c r="MR34" s="173" t="n"/>
      <c r="MS34" s="173" t="n"/>
      <c r="MT34" s="173" t="n"/>
      <c r="MU34" s="173" t="n"/>
      <c r="MV34" s="173" t="n"/>
      <c r="MW34" s="173" t="n"/>
      <c r="MX34" s="173" t="n"/>
      <c r="MY34" s="173" t="n"/>
      <c r="MZ34" s="173" t="n"/>
      <c r="NA34" s="173" t="n"/>
      <c r="NB34" s="173" t="n"/>
      <c r="NC34" s="173" t="n"/>
      <c r="ND34" s="173" t="n"/>
      <c r="NE34" s="173" t="n"/>
      <c r="NF34" s="173" t="n"/>
      <c r="NG34" s="173" t="n"/>
      <c r="NH34" s="173" t="n"/>
      <c r="NI34" s="173" t="n"/>
      <c r="NJ34" s="173" t="n"/>
      <c r="NK34" s="173" t="n"/>
      <c r="NL34" s="173" t="n"/>
      <c r="NM34" s="173" t="n"/>
      <c r="NN34" s="173" t="n"/>
      <c r="NO34" s="173" t="n"/>
      <c r="NP34" s="173" t="n"/>
      <c r="NQ34" s="173" t="n"/>
      <c r="NR34" s="173" t="n"/>
      <c r="NS34" s="173" t="n"/>
      <c r="NT34" s="173" t="n"/>
      <c r="NU34" s="173" t="n"/>
      <c r="NV34" s="173" t="n"/>
      <c r="NW34" s="173" t="n"/>
      <c r="NX34" s="173" t="n"/>
      <c r="NY34" s="173" t="n"/>
      <c r="NZ34" s="173" t="n"/>
      <c r="OA34" s="173" t="n"/>
      <c r="OB34" s="173" t="n"/>
      <c r="OC34" s="173" t="n"/>
      <c r="OD34" s="173" t="n"/>
      <c r="OE34" s="173" t="n"/>
      <c r="OF34" s="173" t="n"/>
      <c r="OG34" s="173" t="n"/>
      <c r="OH34" s="173" t="n"/>
      <c r="OI34" s="173" t="n"/>
      <c r="OJ34" s="173" t="n"/>
      <c r="OK34" s="173" t="n"/>
      <c r="OL34" s="173" t="n"/>
      <c r="OM34" s="173" t="n"/>
      <c r="ON34" s="173" t="n"/>
      <c r="OO34" s="173" t="n"/>
      <c r="OP34" s="173" t="n"/>
      <c r="OQ34" s="173" t="n"/>
      <c r="OR34" s="173" t="n"/>
      <c r="OS34" s="173" t="n"/>
      <c r="OT34" s="173" t="n"/>
      <c r="OU34" s="173" t="n"/>
      <c r="OV34" s="173" t="n"/>
      <c r="OW34" s="173" t="n"/>
      <c r="OX34" s="173" t="n"/>
      <c r="OY34" s="173" t="n"/>
      <c r="OZ34" s="173" t="n"/>
      <c r="PA34" s="173" t="n"/>
      <c r="PB34" s="173" t="n"/>
      <c r="PC34" s="173" t="n"/>
      <c r="PD34" s="173" t="n"/>
      <c r="PE34" s="173" t="n"/>
      <c r="PF34" s="173" t="n"/>
      <c r="PG34" s="173" t="n"/>
      <c r="PH34" s="173" t="n"/>
      <c r="PI34" s="173" t="n"/>
      <c r="PJ34" s="173" t="n"/>
      <c r="PK34" s="173" t="n"/>
      <c r="PL34" s="173" t="n"/>
      <c r="PM34" s="173" t="n"/>
      <c r="PN34" s="173" t="n"/>
      <c r="PO34" s="173" t="n"/>
      <c r="PP34" s="173" t="n"/>
      <c r="PQ34" s="173" t="n"/>
      <c r="PR34" s="173" t="n"/>
      <c r="PS34" s="173" t="n"/>
      <c r="PT34" s="173" t="n"/>
      <c r="PU34" s="173" t="n"/>
      <c r="PV34" s="173" t="n"/>
      <c r="PW34" s="173" t="n"/>
      <c r="PX34" s="173" t="n"/>
      <c r="PY34" s="173" t="n"/>
      <c r="PZ34" s="173" t="n"/>
      <c r="QA34" s="173" t="n"/>
      <c r="QB34" s="173" t="n"/>
      <c r="QC34" s="173" t="n"/>
      <c r="QD34" s="173" t="n"/>
      <c r="QE34" s="173" t="n"/>
      <c r="QF34" s="173" t="n"/>
      <c r="QG34" s="173" t="n"/>
      <c r="QH34" s="173" t="n"/>
      <c r="QI34" s="173" t="n"/>
      <c r="QJ34" s="173" t="n"/>
      <c r="QK34" s="173" t="n"/>
      <c r="QL34" s="173" t="n"/>
      <c r="QM34" s="173" t="n"/>
      <c r="QN34" s="173" t="n"/>
      <c r="QO34" s="173" t="n"/>
      <c r="QP34" s="173" t="n"/>
      <c r="QQ34" s="173" t="n"/>
      <c r="QR34" s="173" t="n"/>
      <c r="QS34" s="173" t="n"/>
      <c r="QT34" s="173" t="n"/>
      <c r="QU34" s="173" t="n"/>
      <c r="QV34" s="173" t="n"/>
      <c r="QW34" s="173" t="n"/>
      <c r="QX34" s="173" t="n"/>
      <c r="QY34" s="173" t="n"/>
      <c r="QZ34" s="173" t="n"/>
      <c r="RA34" s="173" t="n"/>
      <c r="RB34" s="173" t="n"/>
      <c r="RC34" s="173" t="n"/>
      <c r="RD34" s="173" t="n"/>
      <c r="RE34" s="173" t="n"/>
      <c r="RF34" s="173" t="n"/>
      <c r="RG34" s="173" t="n"/>
      <c r="RH34" s="173" t="n"/>
      <c r="RI34" s="173" t="n"/>
      <c r="RJ34" s="173" t="n"/>
      <c r="RK34" s="173" t="n"/>
      <c r="RL34" s="173" t="n"/>
      <c r="RM34" s="173" t="n"/>
      <c r="RN34" s="173" t="n"/>
      <c r="RO34" s="173" t="n"/>
      <c r="RP34" s="173" t="n"/>
      <c r="RQ34" s="173" t="n"/>
      <c r="RR34" s="173" t="n"/>
      <c r="RS34" s="173" t="n"/>
      <c r="RT34" s="173" t="n"/>
      <c r="RU34" s="173" t="n"/>
      <c r="RV34" s="173" t="n"/>
      <c r="RW34" s="173" t="n"/>
      <c r="RX34" s="173" t="n"/>
      <c r="RY34" s="173" t="n"/>
      <c r="RZ34" s="173" t="n"/>
      <c r="SA34" s="173" t="n"/>
      <c r="SB34" s="173" t="n"/>
      <c r="SC34" s="173" t="n"/>
      <c r="SD34" s="173" t="n"/>
      <c r="SE34" s="173" t="n"/>
      <c r="SF34" s="173" t="n"/>
    </row>
    <row r="35">
      <c r="B35" s="167" t="inlineStr">
        <is>
          <t>OFF SITE / OTHER</t>
        </is>
      </c>
      <c r="C35" s="174" t="n"/>
      <c r="D35" s="174" t="n"/>
      <c r="E35" s="174" t="n"/>
      <c r="F35" s="174" t="n"/>
      <c r="G35" s="174" t="n"/>
      <c r="H35" s="174" t="n"/>
      <c r="I35" s="174" t="n"/>
      <c r="J35" s="174" t="n"/>
      <c r="K35" s="174" t="n"/>
      <c r="L35" s="174" t="n"/>
      <c r="M35" s="174" t="n"/>
      <c r="N35" s="174" t="n"/>
      <c r="O35" s="174" t="n"/>
      <c r="P35" s="174" t="n"/>
      <c r="Q35" s="174" t="n"/>
      <c r="R35" s="174" t="n"/>
      <c r="S35" s="174" t="n"/>
      <c r="T35" s="174" t="n"/>
      <c r="U35" s="174" t="n"/>
      <c r="V35" s="174" t="n"/>
      <c r="W35" s="174" t="n"/>
      <c r="X35" s="174" t="n"/>
      <c r="Y35" s="174" t="n"/>
      <c r="Z35" s="174" t="n"/>
      <c r="AA35" s="174" t="n"/>
      <c r="AB35" s="174" t="n"/>
      <c r="AC35" s="174" t="n"/>
      <c r="AD35" s="174" t="n"/>
      <c r="AE35" s="174" t="n"/>
      <c r="AF35" s="174" t="n"/>
      <c r="AG35" s="174" t="n"/>
      <c r="AH35" s="174" t="n"/>
      <c r="AI35" s="174" t="n"/>
      <c r="AJ35" s="174" t="n"/>
      <c r="AK35" s="174" t="n"/>
      <c r="AL35" s="174" t="n"/>
      <c r="AM35" s="174" t="n"/>
      <c r="AN35" s="174" t="n"/>
      <c r="AO35" s="174" t="n"/>
      <c r="AP35" s="174" t="n"/>
      <c r="AQ35" s="174" t="n"/>
      <c r="AR35" s="174" t="n"/>
      <c r="AS35" s="174" t="n"/>
      <c r="AT35" s="174" t="n"/>
      <c r="AU35" s="174" t="n"/>
      <c r="AV35" s="174" t="n"/>
      <c r="AW35" s="174" t="n"/>
      <c r="AX35" s="174" t="n"/>
      <c r="AY35" s="174" t="n"/>
      <c r="AZ35" s="174" t="n"/>
      <c r="BA35" s="174" t="n"/>
      <c r="BB35" s="174" t="n"/>
      <c r="BC35" s="174" t="n"/>
      <c r="BD35" s="174" t="n"/>
      <c r="BE35" s="174" t="n"/>
      <c r="BF35" s="174" t="n"/>
      <c r="BG35" s="174" t="n"/>
      <c r="BH35" s="174" t="n"/>
      <c r="BI35" s="174" t="n"/>
      <c r="BJ35" s="174" t="n"/>
      <c r="BK35" s="174" t="n"/>
      <c r="BL35" s="174" t="n"/>
      <c r="BM35" s="174" t="n"/>
      <c r="BN35" s="174" t="n"/>
      <c r="BO35" s="174" t="n"/>
      <c r="BP35" s="174" t="n"/>
      <c r="BQ35" s="174" t="n"/>
      <c r="BR35" s="174" t="n"/>
      <c r="BS35" s="174" t="n"/>
      <c r="BT35" s="174" t="n"/>
      <c r="BU35" s="174" t="n"/>
      <c r="BV35" s="174" t="n"/>
      <c r="BW35" s="174" t="n"/>
      <c r="BX35" s="174" t="n"/>
      <c r="BY35" s="174" t="n"/>
      <c r="BZ35" s="174" t="n"/>
      <c r="CA35" s="174" t="n"/>
      <c r="CB35" s="174" t="n"/>
      <c r="CC35" s="174" t="n"/>
      <c r="CD35" s="174" t="n"/>
      <c r="CE35" s="174" t="n"/>
      <c r="CF35" s="174" t="n"/>
      <c r="CG35" s="174" t="n"/>
      <c r="CH35" s="174" t="n"/>
      <c r="CI35" s="174" t="n"/>
      <c r="CJ35" s="174" t="n"/>
      <c r="CK35" s="174" t="n"/>
      <c r="CL35" s="174" t="n"/>
      <c r="CM35" s="174" t="n"/>
      <c r="CN35" s="174" t="n"/>
      <c r="CO35" s="174" t="n"/>
      <c r="CP35" s="174" t="n"/>
      <c r="CQ35" s="174" t="n"/>
      <c r="CR35" s="174" t="n"/>
      <c r="CS35" s="174" t="n"/>
      <c r="CT35" s="174" t="n"/>
      <c r="CU35" s="174" t="n"/>
      <c r="CV35" s="174" t="n"/>
      <c r="CW35" s="174" t="n"/>
      <c r="CX35" s="174" t="n"/>
      <c r="CY35" s="174" t="n"/>
      <c r="CZ35" s="174" t="n"/>
      <c r="DA35" s="174" t="n"/>
      <c r="DB35" s="174" t="n"/>
      <c r="DC35" s="174" t="n"/>
      <c r="DD35" s="174" t="n"/>
      <c r="DE35" s="174" t="n"/>
      <c r="DF35" s="174" t="n"/>
      <c r="DG35" s="174" t="n"/>
      <c r="DH35" s="174" t="n"/>
      <c r="DI35" s="174" t="n"/>
      <c r="DJ35" s="174" t="n"/>
      <c r="DK35" s="174" t="n"/>
      <c r="DL35" s="174" t="n"/>
      <c r="DM35" s="174" t="n"/>
      <c r="DN35" s="174" t="n"/>
      <c r="DO35" s="174" t="n"/>
      <c r="DP35" s="174" t="n"/>
      <c r="DQ35" s="174" t="n"/>
      <c r="DR35" s="174" t="n"/>
      <c r="DS35" s="174" t="n"/>
      <c r="DT35" s="174" t="n"/>
      <c r="DU35" s="174" t="n"/>
      <c r="DV35" s="174" t="n"/>
      <c r="DW35" s="174" t="n"/>
      <c r="DX35" s="174" t="n"/>
      <c r="DY35" s="174" t="n"/>
      <c r="DZ35" s="174" t="n"/>
      <c r="EA35" s="174" t="n"/>
      <c r="EB35" s="174" t="n"/>
      <c r="EC35" s="174" t="n"/>
      <c r="ED35" s="174" t="n"/>
      <c r="EE35" s="174" t="n"/>
      <c r="EF35" s="174" t="n"/>
      <c r="EG35" s="174" t="n"/>
      <c r="EH35" s="174" t="n"/>
      <c r="EI35" s="174" t="n"/>
      <c r="EJ35" s="174" t="n"/>
      <c r="EK35" s="174" t="n"/>
      <c r="EL35" s="174" t="n"/>
      <c r="EM35" s="174" t="n"/>
      <c r="EN35" s="174" t="n"/>
      <c r="EO35" s="174" t="n"/>
      <c r="EP35" s="174" t="n"/>
      <c r="EQ35" s="174" t="n"/>
      <c r="ER35" s="174" t="n"/>
      <c r="ES35" s="174" t="n"/>
      <c r="ET35" s="174" t="n"/>
      <c r="EU35" s="174" t="n"/>
      <c r="EV35" s="174" t="n"/>
      <c r="EW35" s="174" t="n"/>
      <c r="EX35" s="174" t="n"/>
      <c r="EY35" s="174" t="n"/>
      <c r="EZ35" s="174" t="n"/>
      <c r="FA35" s="174" t="n"/>
      <c r="FB35" s="174" t="n"/>
      <c r="FC35" s="174" t="n"/>
      <c r="FD35" s="174" t="n"/>
      <c r="FE35" s="174" t="n"/>
      <c r="FF35" s="174" t="n"/>
      <c r="FG35" s="174" t="n"/>
      <c r="FH35" s="174" t="n"/>
      <c r="FI35" s="174" t="n"/>
      <c r="FJ35" s="174" t="n"/>
      <c r="FK35" s="174" t="n"/>
      <c r="FL35" s="174" t="n"/>
      <c r="FM35" s="174" t="n"/>
      <c r="FN35" s="174" t="n"/>
      <c r="FO35" s="174" t="n"/>
      <c r="FP35" s="174" t="n"/>
      <c r="FQ35" s="174" t="n"/>
      <c r="FR35" s="174" t="n"/>
      <c r="FS35" s="174" t="n"/>
      <c r="FT35" s="174" t="n"/>
      <c r="FU35" s="174" t="n"/>
      <c r="FV35" s="174" t="n"/>
      <c r="FW35" s="174" t="n"/>
      <c r="FX35" s="174" t="n"/>
      <c r="FY35" s="174" t="n"/>
      <c r="FZ35" s="174" t="n"/>
      <c r="GA35" s="174" t="n"/>
      <c r="GB35" s="174" t="n"/>
      <c r="GC35" s="174" t="n"/>
      <c r="GD35" s="174" t="n"/>
      <c r="GE35" s="174" t="n"/>
      <c r="GF35" s="174" t="n"/>
      <c r="GG35" s="174" t="n"/>
      <c r="GH35" s="174" t="n"/>
      <c r="GI35" s="174" t="n"/>
      <c r="GJ35" s="174" t="n"/>
      <c r="GK35" s="174" t="n"/>
      <c r="GL35" s="174" t="n"/>
      <c r="GM35" s="174" t="n"/>
      <c r="GN35" s="174" t="n"/>
      <c r="GO35" s="174" t="n"/>
      <c r="GP35" s="174" t="n"/>
      <c r="GQ35" s="174" t="n"/>
      <c r="GR35" s="174" t="n"/>
      <c r="GS35" s="174" t="n"/>
      <c r="GT35" s="174" t="n"/>
      <c r="GU35" s="174" t="n"/>
      <c r="GV35" s="174" t="n"/>
      <c r="GW35" s="174" t="n"/>
      <c r="GX35" s="174" t="n"/>
      <c r="GY35" s="174" t="n"/>
      <c r="GZ35" s="174" t="n"/>
      <c r="HA35" s="174" t="n"/>
      <c r="HB35" s="174" t="n"/>
      <c r="HC35" s="174" t="n"/>
      <c r="HD35" s="174" t="n"/>
      <c r="HE35" s="174" t="n"/>
      <c r="HF35" s="174" t="n"/>
      <c r="HG35" s="174" t="n"/>
      <c r="HH35" s="174" t="n"/>
      <c r="HI35" s="174" t="n"/>
      <c r="HJ35" s="174" t="n"/>
      <c r="HK35" s="174" t="n"/>
      <c r="HL35" s="174" t="n"/>
      <c r="HM35" s="174" t="n"/>
      <c r="HN35" s="174" t="n"/>
      <c r="HO35" s="174" t="n"/>
      <c r="HP35" s="174" t="n"/>
      <c r="HQ35" s="174" t="n"/>
      <c r="HR35" s="174" t="n"/>
      <c r="HS35" s="174" t="n"/>
      <c r="HT35" s="174" t="n"/>
      <c r="HU35" s="174" t="n"/>
      <c r="HV35" s="174" t="n"/>
      <c r="HW35" s="174" t="n"/>
      <c r="HX35" s="174" t="n"/>
      <c r="HY35" s="174" t="n"/>
      <c r="HZ35" s="174" t="n"/>
      <c r="IA35" s="174" t="n"/>
      <c r="IB35" s="174" t="n"/>
      <c r="IC35" s="174" t="n"/>
      <c r="ID35" s="174" t="n"/>
      <c r="IE35" s="174" t="n"/>
      <c r="IF35" s="174" t="n"/>
      <c r="IG35" s="174" t="n"/>
      <c r="IH35" s="174" t="n"/>
      <c r="II35" s="174" t="n"/>
      <c r="IJ35" s="174" t="n"/>
      <c r="IK35" s="174" t="n"/>
      <c r="IL35" s="174" t="n"/>
      <c r="IM35" s="174" t="n"/>
      <c r="IN35" s="174" t="n"/>
      <c r="IO35" s="174" t="n"/>
      <c r="IP35" s="174" t="n"/>
      <c r="IQ35" s="174" t="n"/>
      <c r="IR35" s="174" t="n"/>
      <c r="IS35" s="174" t="n"/>
      <c r="IT35" s="174" t="n"/>
      <c r="IU35" s="174" t="n"/>
      <c r="IV35" s="174" t="n"/>
      <c r="IW35" s="174" t="n"/>
      <c r="IX35" s="174" t="n"/>
      <c r="IY35" s="174" t="n"/>
      <c r="IZ35" s="174" t="n"/>
      <c r="JA35" s="174" t="n"/>
      <c r="JB35" s="174" t="n"/>
      <c r="JC35" s="174" t="n"/>
      <c r="JD35" s="174" t="n"/>
      <c r="JE35" s="174" t="n"/>
      <c r="JF35" s="174" t="n"/>
      <c r="JG35" s="174" t="n"/>
      <c r="JH35" s="174" t="n"/>
      <c r="JI35" s="174" t="n"/>
      <c r="JJ35" s="174" t="n"/>
      <c r="JK35" s="174" t="n"/>
      <c r="JL35" s="174" t="n"/>
      <c r="JM35" s="174" t="n"/>
      <c r="JN35" s="174" t="n"/>
      <c r="JO35" s="174" t="n"/>
      <c r="JP35" s="174" t="n"/>
      <c r="JQ35" s="174" t="n"/>
      <c r="JR35" s="174" t="n"/>
      <c r="JS35" s="174" t="n"/>
      <c r="JT35" s="174" t="n"/>
      <c r="JU35" s="174" t="n"/>
      <c r="JV35" s="174" t="n"/>
      <c r="JW35" s="174" t="n"/>
      <c r="JX35" s="174" t="n"/>
      <c r="JY35" s="174" t="n"/>
      <c r="JZ35" s="174" t="n"/>
      <c r="KA35" s="174" t="n"/>
      <c r="KB35" s="174" t="n"/>
      <c r="KC35" s="174" t="n"/>
      <c r="KD35" s="174" t="n"/>
      <c r="KE35" s="174" t="n"/>
      <c r="KF35" s="174" t="n"/>
      <c r="KG35" s="174" t="n"/>
      <c r="KH35" s="174" t="n"/>
      <c r="KI35" s="174" t="n"/>
      <c r="KJ35" s="174" t="n"/>
      <c r="KK35" s="174" t="n"/>
      <c r="KL35" s="174" t="n"/>
      <c r="KM35" s="174" t="n"/>
      <c r="KN35" s="174" t="n"/>
      <c r="KO35" s="174" t="n"/>
      <c r="KP35" s="174" t="n"/>
      <c r="KQ35" s="174" t="n"/>
      <c r="KR35" s="174" t="n"/>
      <c r="KS35" s="174" t="n"/>
      <c r="KT35" s="174" t="n"/>
      <c r="KU35" s="174" t="n"/>
      <c r="KV35" s="174" t="n"/>
      <c r="KW35" s="174" t="n"/>
      <c r="KX35" s="174" t="n"/>
      <c r="KY35" s="174" t="n"/>
      <c r="KZ35" s="174" t="n"/>
      <c r="LA35" s="174" t="n"/>
      <c r="LB35" s="174" t="n"/>
      <c r="LC35" s="174" t="n"/>
      <c r="LD35" s="174" t="n"/>
      <c r="LE35" s="174" t="n"/>
      <c r="LF35" s="174" t="n"/>
      <c r="LG35" s="174" t="n"/>
      <c r="LH35" s="174" t="n"/>
      <c r="LI35" s="174" t="n"/>
      <c r="LJ35" s="174" t="n"/>
      <c r="LK35" s="174" t="n"/>
      <c r="LL35" s="174" t="n"/>
      <c r="LM35" s="174" t="n"/>
      <c r="LN35" s="174" t="n"/>
      <c r="LO35" s="174" t="n"/>
      <c r="LP35" s="174" t="n"/>
      <c r="LQ35" s="174" t="n"/>
      <c r="LR35" s="174" t="n"/>
      <c r="LS35" s="174" t="n"/>
      <c r="LT35" s="174" t="n"/>
      <c r="LU35" s="174" t="n"/>
      <c r="LV35" s="174" t="n"/>
      <c r="LW35" s="174" t="n"/>
      <c r="LX35" s="174" t="n"/>
      <c r="LY35" s="174" t="n"/>
      <c r="LZ35" s="174" t="n"/>
      <c r="MA35" s="174" t="n"/>
      <c r="MB35" s="174" t="n"/>
      <c r="MC35" s="174" t="n"/>
      <c r="MD35" s="174" t="n"/>
      <c r="ME35" s="174" t="n"/>
      <c r="MF35" s="174" t="n"/>
      <c r="MG35" s="174" t="n"/>
      <c r="MH35" s="174" t="n"/>
      <c r="MI35" s="174" t="n"/>
      <c r="MJ35" s="174" t="n"/>
      <c r="MK35" s="174" t="n"/>
      <c r="ML35" s="174" t="n"/>
      <c r="MM35" s="174" t="n"/>
      <c r="MN35" s="174" t="n"/>
      <c r="MO35" s="174" t="n"/>
      <c r="MP35" s="174" t="n"/>
      <c r="MQ35" s="174" t="n"/>
      <c r="MR35" s="174" t="n"/>
      <c r="MS35" s="174" t="n"/>
      <c r="MT35" s="174" t="n"/>
      <c r="MU35" s="174" t="n"/>
      <c r="MV35" s="174" t="n"/>
      <c r="MW35" s="174" t="n"/>
      <c r="MX35" s="174" t="n"/>
      <c r="MY35" s="174" t="n"/>
      <c r="MZ35" s="174" t="n"/>
      <c r="NA35" s="174" t="n"/>
      <c r="NB35" s="174" t="n"/>
      <c r="NC35" s="174" t="n"/>
      <c r="ND35" s="174" t="n"/>
      <c r="NE35" s="174" t="n"/>
      <c r="NF35" s="174" t="n"/>
      <c r="NG35" s="174" t="n"/>
      <c r="NH35" s="174" t="n"/>
      <c r="NI35" s="174" t="n"/>
      <c r="NJ35" s="174" t="n"/>
      <c r="NK35" s="174" t="n"/>
      <c r="NL35" s="174" t="n"/>
      <c r="NM35" s="174" t="n"/>
      <c r="NN35" s="174" t="n"/>
      <c r="NO35" s="174" t="n"/>
      <c r="NP35" s="174" t="n"/>
      <c r="NQ35" s="174" t="n"/>
      <c r="NR35" s="174" t="n"/>
      <c r="NS35" s="174" t="n"/>
      <c r="NT35" s="174" t="n"/>
      <c r="NU35" s="174" t="n"/>
      <c r="NV35" s="174" t="n"/>
      <c r="NW35" s="174" t="n"/>
      <c r="NX35" s="174" t="n"/>
      <c r="NY35" s="174" t="n"/>
      <c r="NZ35" s="174" t="n"/>
      <c r="OA35" s="174" t="n"/>
      <c r="OB35" s="174" t="n"/>
      <c r="OC35" s="174" t="n"/>
      <c r="OD35" s="174" t="n"/>
      <c r="OE35" s="174" t="n"/>
      <c r="OF35" s="174" t="n"/>
      <c r="OG35" s="174" t="n"/>
      <c r="OH35" s="174" t="n"/>
      <c r="OI35" s="174" t="n"/>
      <c r="OJ35" s="174" t="n"/>
      <c r="OK35" s="174" t="n"/>
      <c r="OL35" s="174" t="n"/>
      <c r="OM35" s="174" t="n"/>
      <c r="ON35" s="174" t="n"/>
      <c r="OO35" s="174" t="n"/>
      <c r="OP35" s="174" t="n"/>
      <c r="OQ35" s="174" t="n"/>
      <c r="OR35" s="174" t="n"/>
      <c r="OS35" s="174" t="n"/>
      <c r="OT35" s="174" t="n"/>
      <c r="OU35" s="174" t="n"/>
      <c r="OV35" s="174" t="n"/>
      <c r="OW35" s="174" t="n"/>
      <c r="OX35" s="174" t="n"/>
      <c r="OY35" s="174" t="n"/>
      <c r="OZ35" s="174" t="n"/>
      <c r="PA35" s="174" t="n"/>
      <c r="PB35" s="174" t="n"/>
      <c r="PC35" s="174" t="n"/>
      <c r="PD35" s="174" t="n"/>
      <c r="PE35" s="174" t="n"/>
      <c r="PF35" s="174" t="n"/>
      <c r="PG35" s="174" t="n"/>
      <c r="PH35" s="174" t="n"/>
      <c r="PI35" s="174" t="n"/>
      <c r="PJ35" s="174" t="n"/>
      <c r="PK35" s="174" t="n"/>
      <c r="PL35" s="174" t="n"/>
      <c r="PM35" s="174" t="n"/>
      <c r="PN35" s="174" t="n"/>
      <c r="PO35" s="174" t="n"/>
      <c r="PP35" s="174" t="n"/>
      <c r="PQ35" s="174" t="n"/>
      <c r="PR35" s="174" t="n"/>
      <c r="PS35" s="174" t="n"/>
      <c r="PT35" s="174" t="n"/>
      <c r="PU35" s="174" t="n"/>
      <c r="PV35" s="174" t="n"/>
      <c r="PW35" s="174" t="n"/>
      <c r="PX35" s="174" t="n"/>
      <c r="PY35" s="174" t="n"/>
      <c r="PZ35" s="174" t="n"/>
      <c r="QA35" s="174" t="n"/>
      <c r="QB35" s="174" t="n"/>
      <c r="QC35" s="174" t="n"/>
      <c r="QD35" s="174" t="n"/>
      <c r="QE35" s="174" t="n"/>
      <c r="QF35" s="174" t="n"/>
      <c r="QG35" s="174" t="n"/>
      <c r="QH35" s="174" t="n"/>
      <c r="QI35" s="174" t="n"/>
      <c r="QJ35" s="174" t="n"/>
      <c r="QK35" s="174" t="n"/>
      <c r="QL35" s="174" t="n"/>
      <c r="QM35" s="174" t="n"/>
      <c r="QN35" s="174" t="n"/>
      <c r="QO35" s="174" t="n"/>
      <c r="QP35" s="174" t="n"/>
      <c r="QQ35" s="174" t="n"/>
      <c r="QR35" s="174" t="n"/>
      <c r="QS35" s="174" t="n"/>
      <c r="QT35" s="174" t="n"/>
      <c r="QU35" s="174" t="n"/>
      <c r="QV35" s="174" t="n"/>
      <c r="QW35" s="174" t="n"/>
      <c r="QX35" s="174" t="n"/>
      <c r="QY35" s="174" t="n"/>
      <c r="QZ35" s="174" t="n"/>
      <c r="RA35" s="174" t="n"/>
      <c r="RB35" s="174" t="n"/>
      <c r="RC35" s="174" t="n"/>
      <c r="RD35" s="174" t="n"/>
      <c r="RE35" s="174" t="n"/>
      <c r="RF35" s="174" t="n"/>
      <c r="RG35" s="174" t="n"/>
      <c r="RH35" s="174" t="n"/>
      <c r="RI35" s="174" t="n"/>
      <c r="RJ35" s="174" t="n"/>
      <c r="RK35" s="174" t="n"/>
      <c r="RL35" s="174" t="n"/>
      <c r="RM35" s="174" t="n"/>
      <c r="RN35" s="174" t="n"/>
      <c r="RO35" s="174" t="n"/>
      <c r="RP35" s="174" t="n"/>
      <c r="RQ35" s="174" t="n"/>
      <c r="RR35" s="174" t="n"/>
      <c r="RS35" s="174" t="n"/>
      <c r="RT35" s="174" t="n"/>
      <c r="RU35" s="174" t="n"/>
      <c r="RV35" s="174" t="n"/>
      <c r="RW35" s="174" t="n"/>
      <c r="RX35" s="174" t="n"/>
      <c r="RY35" s="174" t="n"/>
      <c r="RZ35" s="174" t="n"/>
      <c r="SA35" s="174" t="n"/>
      <c r="SB35" s="174" t="n"/>
      <c r="SC35" s="174" t="n"/>
      <c r="SD35" s="174" t="n"/>
      <c r="SE35" s="174" t="n"/>
      <c r="SF35" s="174" t="n"/>
    </row>
    <row r="36">
      <c r="B36" s="169" t="inlineStr">
        <is>
          <t>R&amp;R</t>
        </is>
      </c>
      <c r="C36" s="170">
        <f>COUNTIF('INPUT - Roster'!$S$6:$S$206,"RnR")+COUNTIF('INPUT - Roster'!$S$6:$S$206,"R&amp;R")</f>
        <v/>
      </c>
      <c r="D36" s="170">
        <f>COUNTIF('INPUT - Roster'!$T$6:$T$206,"RnR")+COUNTIF('INPUT - Roster'!$T$6:$T$206,"R&amp;R")</f>
        <v/>
      </c>
      <c r="E36" s="170">
        <f>COUNTIF('INPUT - Roster'!$U$6:$U$206,"RnR")+COUNTIF('INPUT - Roster'!$U$6:$U$206,"R&amp;R")</f>
        <v/>
      </c>
      <c r="F36" s="170">
        <f>COUNTIF('INPUT - Roster'!$V$6:$V$206,"RnR")+COUNTIF('INPUT - Roster'!$V$6:$V$206,"R&amp;R")</f>
        <v/>
      </c>
      <c r="G36" s="170">
        <f>COUNTIF('INPUT - Roster'!$W$6:$W$206,"RnR")+COUNTIF('INPUT - Roster'!$W$6:$W$206,"R&amp;R")</f>
        <v/>
      </c>
      <c r="H36" s="170">
        <f>COUNTIF('INPUT - Roster'!$X$6:$X$206,"RnR")+COUNTIF('INPUT - Roster'!$X$6:$X$206,"R&amp;R")</f>
        <v/>
      </c>
      <c r="I36" s="170">
        <f>COUNTIF('INPUT - Roster'!$Y$6:$Y$206,"RnR")+COUNTIF('INPUT - Roster'!$Y$6:$Y$206,"R&amp;R")</f>
        <v/>
      </c>
      <c r="J36" s="170">
        <f>COUNTIF('INPUT - Roster'!$Z$6:$Z$206,"RnR")+COUNTIF('INPUT - Roster'!$Z$6:$Z$206,"R&amp;R")</f>
        <v/>
      </c>
      <c r="K36" s="170">
        <f>COUNTIF('INPUT - Roster'!$AA$6:$AA$206,"RnR")+COUNTIF('INPUT - Roster'!$AA$6:$AA$206,"R&amp;R")</f>
        <v/>
      </c>
      <c r="L36" s="170">
        <f>COUNTIF('INPUT - Roster'!$AB$6:$AB$206,"RnR")+COUNTIF('INPUT - Roster'!$AB$6:$AB$206,"R&amp;R")</f>
        <v/>
      </c>
      <c r="M36" s="170">
        <f>COUNTIF('INPUT - Roster'!$AC$6:$AC$206,"RnR")+COUNTIF('INPUT - Roster'!$AC$6:$AC$206,"R&amp;R")</f>
        <v/>
      </c>
      <c r="N36" s="170">
        <f>COUNTIF('INPUT - Roster'!$AD$6:$AD$206,"RnR")+COUNTIF('INPUT - Roster'!$AD$6:$AD$206,"R&amp;R")</f>
        <v/>
      </c>
      <c r="O36" s="170">
        <f>COUNTIF('INPUT - Roster'!$AE$6:$AE$206,"RnR")+COUNTIF('INPUT - Roster'!$AE$6:$AE$206,"R&amp;R")</f>
        <v/>
      </c>
      <c r="P36" s="170">
        <f>COUNTIF('INPUT - Roster'!$AF$6:$AF$206,"RnR")+COUNTIF('INPUT - Roster'!$AF$6:$AF$206,"R&amp;R")</f>
        <v/>
      </c>
      <c r="Q36" s="170">
        <f>COUNTIF('INPUT - Roster'!$AG$6:$AG$206,"RnR")+COUNTIF('INPUT - Roster'!$AG$6:$AG$206,"R&amp;R")</f>
        <v/>
      </c>
      <c r="R36" s="170">
        <f>COUNTIF('INPUT - Roster'!$AH$6:$AH$206,"RnR")+COUNTIF('INPUT - Roster'!$AH$6:$AH$206,"R&amp;R")</f>
        <v/>
      </c>
      <c r="S36" s="170">
        <f>COUNTIF('INPUT - Roster'!$AI$6:$AI$206,"RnR")+COUNTIF('INPUT - Roster'!$AI$6:$AI$206,"R&amp;R")</f>
        <v/>
      </c>
      <c r="T36" s="170">
        <f>COUNTIF('INPUT - Roster'!$AJ$6:$AJ$206,"RnR")+COUNTIF('INPUT - Roster'!$AJ$6:$AJ$206,"R&amp;R")</f>
        <v/>
      </c>
      <c r="U36" s="170">
        <f>COUNTIF('INPUT - Roster'!$AK$6:$AK$206,"RnR")+COUNTIF('INPUT - Roster'!$AK$6:$AK$206,"R&amp;R")</f>
        <v/>
      </c>
      <c r="V36" s="170">
        <f>COUNTIF('INPUT - Roster'!$AL$6:$AL$206,"RnR")+COUNTIF('INPUT - Roster'!$AL$6:$AL$206,"R&amp;R")</f>
        <v/>
      </c>
      <c r="W36" s="170">
        <f>COUNTIF('INPUT - Roster'!$AM$6:$AM$206,"RnR")+COUNTIF('INPUT - Roster'!$AM$6:$AM$206,"R&amp;R")</f>
        <v/>
      </c>
      <c r="X36" s="170">
        <f>COUNTIF('INPUT - Roster'!$AN$6:$AN$206,"RnR")+COUNTIF('INPUT - Roster'!$AN$6:$AN$206,"R&amp;R")</f>
        <v/>
      </c>
      <c r="Y36" s="170">
        <f>COUNTIF('INPUT - Roster'!$AO$6:$AO$206,"RnR")+COUNTIF('INPUT - Roster'!$AO$6:$AO$206,"R&amp;R")</f>
        <v/>
      </c>
      <c r="Z36" s="170">
        <f>COUNTIF('INPUT - Roster'!$AP$6:$AP$206,"RnR")+COUNTIF('INPUT - Roster'!$AP$6:$AP$206,"R&amp;R")</f>
        <v/>
      </c>
      <c r="AA36" s="170">
        <f>COUNTIF('INPUT - Roster'!$AQ$6:$AQ$206,"RnR")+COUNTIF('INPUT - Roster'!$AQ$6:$AQ$206,"R&amp;R")</f>
        <v/>
      </c>
      <c r="AB36" s="170">
        <f>COUNTIF('INPUT - Roster'!$AR$6:$AR$206,"RnR")+COUNTIF('INPUT - Roster'!$AR$6:$AR$206,"R&amp;R")</f>
        <v/>
      </c>
      <c r="AC36" s="170">
        <f>COUNTIF('INPUT - Roster'!$AS$6:$AS$206,"RnR")+COUNTIF('INPUT - Roster'!$AS$6:$AS$206,"R&amp;R")</f>
        <v/>
      </c>
      <c r="AD36" s="170">
        <f>COUNTIF('INPUT - Roster'!$AT$6:$AT$206,"RnR")+COUNTIF('INPUT - Roster'!$AT$6:$AT$206,"R&amp;R")</f>
        <v/>
      </c>
      <c r="AE36" s="170">
        <f>COUNTIF('INPUT - Roster'!$AU$6:$AU$206,"RnR")+COUNTIF('INPUT - Roster'!$AU$6:$AU$206,"R&amp;R")</f>
        <v/>
      </c>
      <c r="AF36" s="170">
        <f>COUNTIF('INPUT - Roster'!$AV$6:$AV$206,"RnR")+COUNTIF('INPUT - Roster'!$AV$6:$AV$206,"R&amp;R")</f>
        <v/>
      </c>
      <c r="AG36" s="170">
        <f>COUNTIF('INPUT - Roster'!$AW$6:$AW$206,"RnR")+COUNTIF('INPUT - Roster'!$AW$6:$AW$206,"R&amp;R")</f>
        <v/>
      </c>
      <c r="AH36" s="170">
        <f>COUNTIF('INPUT - Roster'!$AX$6:$AX$206,"RnR")+COUNTIF('INPUT - Roster'!$AX$6:$AX$206,"R&amp;R")</f>
        <v/>
      </c>
      <c r="AI36" s="170">
        <f>COUNTIF('INPUT - Roster'!$AY$6:$AY$206,"RnR")+COUNTIF('INPUT - Roster'!$AY$6:$AY$206,"R&amp;R")</f>
        <v/>
      </c>
      <c r="AJ36" s="170">
        <f>COUNTIF('INPUT - Roster'!$AZ$6:$AZ$206,"RnR")+COUNTIF('INPUT - Roster'!$AZ$6:$AZ$206,"R&amp;R")</f>
        <v/>
      </c>
      <c r="AK36" s="170">
        <f>COUNTIF('INPUT - Roster'!$BA$6:$BA$206,"RnR")+COUNTIF('INPUT - Roster'!$BA$6:$BA$206,"R&amp;R")</f>
        <v/>
      </c>
      <c r="AL36" s="170">
        <f>COUNTIF('INPUT - Roster'!$BB$6:$BB$206,"RnR")+COUNTIF('INPUT - Roster'!$BB$6:$BB$206,"R&amp;R")</f>
        <v/>
      </c>
      <c r="AM36" s="170">
        <f>COUNTIF('INPUT - Roster'!$BC$6:$BC$206,"RnR")+COUNTIF('INPUT - Roster'!$BC$6:$BC$206,"R&amp;R")</f>
        <v/>
      </c>
      <c r="AN36" s="170">
        <f>COUNTIF('INPUT - Roster'!$BD$6:$BD$206,"RnR")+COUNTIF('INPUT - Roster'!$BD$6:$BD$206,"R&amp;R")</f>
        <v/>
      </c>
      <c r="AO36" s="170">
        <f>COUNTIF('INPUT - Roster'!$BE$6:$BE$206,"RnR")+COUNTIF('INPUT - Roster'!$BE$6:$BE$206,"R&amp;R")</f>
        <v/>
      </c>
      <c r="AP36" s="170">
        <f>COUNTIF('INPUT - Roster'!$BF$6:$BF$206,"RnR")+COUNTIF('INPUT - Roster'!$BF$6:$BF$206,"R&amp;R")</f>
        <v/>
      </c>
      <c r="AQ36" s="170">
        <f>COUNTIF('INPUT - Roster'!$BG$6:$BG$206,"RnR")+COUNTIF('INPUT - Roster'!$BG$6:$BG$206,"R&amp;R")</f>
        <v/>
      </c>
      <c r="AR36" s="170">
        <f>COUNTIF('INPUT - Roster'!$BH$6:$BH$206,"RnR")+COUNTIF('INPUT - Roster'!$BH$6:$BH$206,"R&amp;R")</f>
        <v/>
      </c>
      <c r="AS36" s="170">
        <f>COUNTIF('INPUT - Roster'!$BI$6:$BI$206,"RnR")+COUNTIF('INPUT - Roster'!$BI$6:$BI$206,"R&amp;R")</f>
        <v/>
      </c>
      <c r="AT36" s="170">
        <f>COUNTIF('INPUT - Roster'!$BJ$6:$BJ$206,"RnR")+COUNTIF('INPUT - Roster'!$BJ$6:$BJ$206,"R&amp;R")</f>
        <v/>
      </c>
      <c r="AU36" s="170">
        <f>COUNTIF('INPUT - Roster'!$BK$6:$BK$206,"RnR")+COUNTIF('INPUT - Roster'!$BK$6:$BK$206,"R&amp;R")</f>
        <v/>
      </c>
      <c r="AV36" s="170">
        <f>COUNTIF('INPUT - Roster'!$BL$6:$BL$206,"RnR")+COUNTIF('INPUT - Roster'!$BL$6:$BL$206,"R&amp;R")</f>
        <v/>
      </c>
      <c r="AW36" s="170">
        <f>COUNTIF('INPUT - Roster'!$BM$6:$BM$206,"RnR")+COUNTIF('INPUT - Roster'!$BM$6:$BM$206,"R&amp;R")</f>
        <v/>
      </c>
      <c r="AX36" s="170">
        <f>COUNTIF('INPUT - Roster'!$BN$6:$BN$206,"RnR")+COUNTIF('INPUT - Roster'!$BN$6:$BN$206,"R&amp;R")</f>
        <v/>
      </c>
      <c r="AY36" s="170">
        <f>COUNTIF('INPUT - Roster'!$BO$6:$BO$206,"RnR")+COUNTIF('INPUT - Roster'!$BO$6:$BO$206,"R&amp;R")</f>
        <v/>
      </c>
      <c r="AZ36" s="170">
        <f>COUNTIF('INPUT - Roster'!$BP$6:$BP$206,"RnR")+COUNTIF('INPUT - Roster'!$BP$6:$BP$206,"R&amp;R")</f>
        <v/>
      </c>
      <c r="BA36" s="170">
        <f>COUNTIF('INPUT - Roster'!$BQ$6:$BQ$206,"RnR")+COUNTIF('INPUT - Roster'!$BQ$6:$BQ$206,"R&amp;R")</f>
        <v/>
      </c>
      <c r="BB36" s="170">
        <f>COUNTIF('INPUT - Roster'!$BR$6:$BR$206,"RnR")+COUNTIF('INPUT - Roster'!$BR$6:$BR$206,"R&amp;R")</f>
        <v/>
      </c>
      <c r="BC36" s="170">
        <f>COUNTIF('INPUT - Roster'!$BS$6:$BS$206,"RnR")+COUNTIF('INPUT - Roster'!$BS$6:$BS$206,"R&amp;R")</f>
        <v/>
      </c>
      <c r="BD36" s="170">
        <f>COUNTIF('INPUT - Roster'!$BT$6:$BT$206,"RnR")+COUNTIF('INPUT - Roster'!$BT$6:$BT$206,"R&amp;R")</f>
        <v/>
      </c>
      <c r="BE36" s="170">
        <f>COUNTIF('INPUT - Roster'!$BU$6:$BU$206,"RnR")+COUNTIF('INPUT - Roster'!$BU$6:$BU$206,"R&amp;R")</f>
        <v/>
      </c>
      <c r="BF36" s="170">
        <f>COUNTIF('INPUT - Roster'!$BV$6:$BV$206,"RnR")+COUNTIF('INPUT - Roster'!$BV$6:$BV$206,"R&amp;R")</f>
        <v/>
      </c>
      <c r="BG36" s="170">
        <f>COUNTIF('INPUT - Roster'!$BW$6:$BW$206,"RnR")+COUNTIF('INPUT - Roster'!$BW$6:$BW$206,"R&amp;R")</f>
        <v/>
      </c>
      <c r="BH36" s="170">
        <f>COUNTIF('INPUT - Roster'!$BX$6:$BX$206,"RnR")+COUNTIF('INPUT - Roster'!$BX$6:$BX$206,"R&amp;R")</f>
        <v/>
      </c>
      <c r="BI36" s="170">
        <f>COUNTIF('INPUT - Roster'!$BY$6:$BY$206,"RnR")+COUNTIF('INPUT - Roster'!$BY$6:$BY$206,"R&amp;R")</f>
        <v/>
      </c>
      <c r="BJ36" s="170">
        <f>COUNTIF('INPUT - Roster'!$BZ$6:$BZ$206,"RnR")+COUNTIF('INPUT - Roster'!$BZ$6:$BZ$206,"R&amp;R")</f>
        <v/>
      </c>
      <c r="BK36" s="170">
        <f>COUNTIF('INPUT - Roster'!$CA$6:$CA$206,"RnR")+COUNTIF('INPUT - Roster'!$CA$6:$CA$206,"R&amp;R")</f>
        <v/>
      </c>
      <c r="BL36" s="170">
        <f>COUNTIF('INPUT - Roster'!$CB$6:$CB$206,"RnR")+COUNTIF('INPUT - Roster'!$CB$6:$CB$206,"R&amp;R")</f>
        <v/>
      </c>
      <c r="BM36" s="170">
        <f>COUNTIF('INPUT - Roster'!$CC$6:$CC$206,"RnR")+COUNTIF('INPUT - Roster'!$CC$6:$CC$206,"R&amp;R")</f>
        <v/>
      </c>
      <c r="BN36" s="170">
        <f>COUNTIF('INPUT - Roster'!$CD$6:$CD$206,"RnR")+COUNTIF('INPUT - Roster'!$CD$6:$CD$206,"R&amp;R")</f>
        <v/>
      </c>
      <c r="BO36" s="170">
        <f>COUNTIF('INPUT - Roster'!$CE$6:$CE$206,"RnR")+COUNTIF('INPUT - Roster'!$CE$6:$CE$206,"R&amp;R")</f>
        <v/>
      </c>
      <c r="BP36" s="170">
        <f>COUNTIF('INPUT - Roster'!$CF$6:$CF$206,"RnR")+COUNTIF('INPUT - Roster'!$CF$6:$CF$206,"R&amp;R")</f>
        <v/>
      </c>
      <c r="BQ36" s="170">
        <f>COUNTIF('INPUT - Roster'!$CG$6:$CG$206,"RnR")+COUNTIF('INPUT - Roster'!$CG$6:$CG$206,"R&amp;R")</f>
        <v/>
      </c>
      <c r="BR36" s="170">
        <f>COUNTIF('INPUT - Roster'!$CH$6:$CH$206,"RnR")+COUNTIF('INPUT - Roster'!$CH$6:$CH$206,"R&amp;R")</f>
        <v/>
      </c>
      <c r="BS36" s="170">
        <f>COUNTIF('INPUT - Roster'!$CI$6:$CI$206,"RnR")+COUNTIF('INPUT - Roster'!$CI$6:$CI$206,"R&amp;R")</f>
        <v/>
      </c>
      <c r="BT36" s="170">
        <f>COUNTIF('INPUT - Roster'!$CJ$6:$CJ$206,"RnR")+COUNTIF('INPUT - Roster'!$CJ$6:$CJ$206,"R&amp;R")</f>
        <v/>
      </c>
      <c r="BU36" s="170">
        <f>COUNTIF('INPUT - Roster'!$CK$6:$CK$206,"RnR")+COUNTIF('INPUT - Roster'!$CK$6:$CK$206,"R&amp;R")</f>
        <v/>
      </c>
      <c r="BV36" s="170">
        <f>COUNTIF('INPUT - Roster'!$CL$6:$CL$206,"RnR")+COUNTIF('INPUT - Roster'!$CL$6:$CL$206,"R&amp;R")</f>
        <v/>
      </c>
      <c r="BW36" s="170">
        <f>COUNTIF('INPUT - Roster'!$CM$6:$CM$206,"RnR")+COUNTIF('INPUT - Roster'!$CM$6:$CM$206,"R&amp;R")</f>
        <v/>
      </c>
      <c r="BX36" s="170">
        <f>COUNTIF('INPUT - Roster'!$CN$6:$CN$206,"RnR")+COUNTIF('INPUT - Roster'!$CN$6:$CN$206,"R&amp;R")</f>
        <v/>
      </c>
      <c r="BY36" s="170">
        <f>COUNTIF('INPUT - Roster'!$CO$6:$CO$206,"RnR")+COUNTIF('INPUT - Roster'!$CO$6:$CO$206,"R&amp;R")</f>
        <v/>
      </c>
      <c r="BZ36" s="170">
        <f>COUNTIF('INPUT - Roster'!$CP$6:$CP$206,"RnR")+COUNTIF('INPUT - Roster'!$CP$6:$CP$206,"R&amp;R")</f>
        <v/>
      </c>
      <c r="CA36" s="170">
        <f>COUNTIF('INPUT - Roster'!$CQ$6:$CQ$206,"RnR")+COUNTIF('INPUT - Roster'!$CQ$6:$CQ$206,"R&amp;R")</f>
        <v/>
      </c>
      <c r="CB36" s="170">
        <f>COUNTIF('INPUT - Roster'!$CR$6:$CR$206,"RnR")+COUNTIF('INPUT - Roster'!$CR$6:$CR$206,"R&amp;R")</f>
        <v/>
      </c>
      <c r="CC36" s="170">
        <f>COUNTIF('INPUT - Roster'!$CS$6:$CS$206,"RnR")+COUNTIF('INPUT - Roster'!$CS$6:$CS$206,"R&amp;R")</f>
        <v/>
      </c>
      <c r="CD36" s="170">
        <f>COUNTIF('INPUT - Roster'!$CT$6:$CT$206,"RnR")+COUNTIF('INPUT - Roster'!$CT$6:$CT$206,"R&amp;R")</f>
        <v/>
      </c>
      <c r="CE36" s="170">
        <f>COUNTIF('INPUT - Roster'!$CU$6:$CU$206,"RnR")+COUNTIF('INPUT - Roster'!$CU$6:$CU$206,"R&amp;R")</f>
        <v/>
      </c>
      <c r="CF36" s="170">
        <f>COUNTIF('INPUT - Roster'!$CV$6:$CV$206,"RnR")+COUNTIF('INPUT - Roster'!$CV$6:$CV$206,"R&amp;R")</f>
        <v/>
      </c>
      <c r="CG36" s="170">
        <f>COUNTIF('INPUT - Roster'!$CW$6:$CW$206,"RnR")+COUNTIF('INPUT - Roster'!$CW$6:$CW$206,"R&amp;R")</f>
        <v/>
      </c>
      <c r="CH36" s="170">
        <f>COUNTIF('INPUT - Roster'!$CX$6:$CX$206,"RnR")+COUNTIF('INPUT - Roster'!$CX$6:$CX$206,"R&amp;R")</f>
        <v/>
      </c>
      <c r="CI36" s="170">
        <f>COUNTIF('INPUT - Roster'!$CY$6:$CY$206,"RnR")+COUNTIF('INPUT - Roster'!$CY$6:$CY$206,"R&amp;R")</f>
        <v/>
      </c>
      <c r="CJ36" s="170">
        <f>COUNTIF('INPUT - Roster'!$CZ$6:$CZ$206,"RnR")+COUNTIF('INPUT - Roster'!$CZ$6:$CZ$206,"R&amp;R")</f>
        <v/>
      </c>
      <c r="CK36" s="170">
        <f>COUNTIF('INPUT - Roster'!$DA$6:$DA$206,"RnR")+COUNTIF('INPUT - Roster'!$DA$6:$DA$206,"R&amp;R")</f>
        <v/>
      </c>
      <c r="CL36" s="170">
        <f>COUNTIF('INPUT - Roster'!$DB$6:$DB$206,"RnR")+COUNTIF('INPUT - Roster'!$DB$6:$DB$206,"R&amp;R")</f>
        <v/>
      </c>
      <c r="CM36" s="170">
        <f>COUNTIF('INPUT - Roster'!$DC$6:$DC$206,"RnR")+COUNTIF('INPUT - Roster'!$DC$6:$DC$206,"R&amp;R")</f>
        <v/>
      </c>
      <c r="CN36" s="170">
        <f>COUNTIF('INPUT - Roster'!$DD$6:$DD$206,"RnR")+COUNTIF('INPUT - Roster'!$DD$6:$DD$206,"R&amp;R")</f>
        <v/>
      </c>
      <c r="CO36" s="170">
        <f>COUNTIF('INPUT - Roster'!$DE$6:$DE$206,"RnR")+COUNTIF('INPUT - Roster'!$DE$6:$DE$206,"R&amp;R")</f>
        <v/>
      </c>
      <c r="CP36" s="170">
        <f>COUNTIF('INPUT - Roster'!$DF$6:$DF$206,"RnR")+COUNTIF('INPUT - Roster'!$DF$6:$DF$206,"R&amp;R")</f>
        <v/>
      </c>
      <c r="CQ36" s="170">
        <f>COUNTIF('INPUT - Roster'!$DG$6:$DG$206,"RnR")+COUNTIF('INPUT - Roster'!$DG$6:$DG$206,"R&amp;R")</f>
        <v/>
      </c>
      <c r="CR36" s="170">
        <f>COUNTIF('INPUT - Roster'!$DH$6:$DH$206,"RnR")+COUNTIF('INPUT - Roster'!$DH$6:$DH$206,"R&amp;R")</f>
        <v/>
      </c>
      <c r="CS36" s="170">
        <f>COUNTIF('INPUT - Roster'!$DI$6:$DI$206,"RnR")+COUNTIF('INPUT - Roster'!$DI$6:$DI$206,"R&amp;R")</f>
        <v/>
      </c>
      <c r="CT36" s="170">
        <f>COUNTIF('INPUT - Roster'!$DJ$6:$DJ$206,"RnR")+COUNTIF('INPUT - Roster'!$DJ$6:$DJ$206,"R&amp;R")</f>
        <v/>
      </c>
      <c r="CU36" s="170">
        <f>COUNTIF('INPUT - Roster'!$DK$6:$DK$206,"RnR")+COUNTIF('INPUT - Roster'!$DK$6:$DK$206,"R&amp;R")</f>
        <v/>
      </c>
      <c r="CV36" s="170">
        <f>COUNTIF('INPUT - Roster'!$DL$6:$DL$206,"RnR")+COUNTIF('INPUT - Roster'!$DL$6:$DL$206,"R&amp;R")</f>
        <v/>
      </c>
      <c r="CW36" s="170">
        <f>COUNTIF('INPUT - Roster'!$DM$6:$DM$206,"RnR")+COUNTIF('INPUT - Roster'!$DM$6:$DM$206,"R&amp;R")</f>
        <v/>
      </c>
      <c r="CX36" s="170">
        <f>COUNTIF('INPUT - Roster'!$DN$6:$DN$206,"RnR")+COUNTIF('INPUT - Roster'!$DN$6:$DN$206,"R&amp;R")</f>
        <v/>
      </c>
      <c r="CY36" s="170">
        <f>COUNTIF('INPUT - Roster'!$DO$6:$DO$206,"RnR")+COUNTIF('INPUT - Roster'!$DO$6:$DO$206,"R&amp;R")</f>
        <v/>
      </c>
      <c r="CZ36" s="170">
        <f>COUNTIF('INPUT - Roster'!$DP$6:$DP$206,"RnR")+COUNTIF('INPUT - Roster'!$DP$6:$DP$206,"R&amp;R")</f>
        <v/>
      </c>
      <c r="DA36" s="170">
        <f>COUNTIF('INPUT - Roster'!$DQ$6:$DQ$206,"RnR")+COUNTIF('INPUT - Roster'!$DQ$6:$DQ$206,"R&amp;R")</f>
        <v/>
      </c>
      <c r="DB36" s="170">
        <f>COUNTIF('INPUT - Roster'!$DR$6:$DR$206,"RnR")+COUNTIF('INPUT - Roster'!$DR$6:$DR$206,"R&amp;R")</f>
        <v/>
      </c>
      <c r="DC36" s="170">
        <f>COUNTIF('INPUT - Roster'!$DS$6:$DS$206,"RnR")+COUNTIF('INPUT - Roster'!$DS$6:$DS$206,"R&amp;R")</f>
        <v/>
      </c>
      <c r="DD36" s="170">
        <f>COUNTIF('INPUT - Roster'!$DT$6:$DT$206,"RnR")+COUNTIF('INPUT - Roster'!$DT$6:$DT$206,"R&amp;R")</f>
        <v/>
      </c>
      <c r="DE36" s="170">
        <f>COUNTIF('INPUT - Roster'!$DU$6:$DU$206,"RnR")+COUNTIF('INPUT - Roster'!$DU$6:$DU$206,"R&amp;R")</f>
        <v/>
      </c>
      <c r="DF36" s="170">
        <f>COUNTIF('INPUT - Roster'!$DV$6:$DV$206,"RnR")+COUNTIF('INPUT - Roster'!$DV$6:$DV$206,"R&amp;R")</f>
        <v/>
      </c>
      <c r="DG36" s="170">
        <f>COUNTIF('INPUT - Roster'!$DW$6:$DW$206,"RnR")+COUNTIF('INPUT - Roster'!$DW$6:$DW$206,"R&amp;R")</f>
        <v/>
      </c>
      <c r="DH36" s="170">
        <f>COUNTIF('INPUT - Roster'!$DX$6:$DX$206,"RnR")+COUNTIF('INPUT - Roster'!$DX$6:$DX$206,"R&amp;R")</f>
        <v/>
      </c>
      <c r="DI36" s="170">
        <f>COUNTIF('INPUT - Roster'!$DY$6:$DY$206,"RnR")+COUNTIF('INPUT - Roster'!$DY$6:$DY$206,"R&amp;R")</f>
        <v/>
      </c>
      <c r="DJ36" s="170">
        <f>COUNTIF('INPUT - Roster'!$DZ$6:$DZ$206,"RnR")+COUNTIF('INPUT - Roster'!$DZ$6:$DZ$206,"R&amp;R")</f>
        <v/>
      </c>
      <c r="DK36" s="170">
        <f>COUNTIF('INPUT - Roster'!$EA$6:$EA$206,"RnR")+COUNTIF('INPUT - Roster'!$EA$6:$EA$206,"R&amp;R")</f>
        <v/>
      </c>
      <c r="DL36" s="170">
        <f>COUNTIF('INPUT - Roster'!$EB$6:$EB$206,"RnR")+COUNTIF('INPUT - Roster'!$EB$6:$EB$206,"R&amp;R")</f>
        <v/>
      </c>
      <c r="DM36" s="170">
        <f>COUNTIF('INPUT - Roster'!$EC$6:$EC$206,"RnR")+COUNTIF('INPUT - Roster'!$EC$6:$EC$206,"R&amp;R")</f>
        <v/>
      </c>
      <c r="DN36" s="170">
        <f>COUNTIF('INPUT - Roster'!$ED$6:$ED$206,"RnR")+COUNTIF('INPUT - Roster'!$ED$6:$ED$206,"R&amp;R")</f>
        <v/>
      </c>
      <c r="DO36" s="170">
        <f>COUNTIF('INPUT - Roster'!$EE$6:$EE$206,"RnR")+COUNTIF('INPUT - Roster'!$EE$6:$EE$206,"R&amp;R")</f>
        <v/>
      </c>
      <c r="DP36" s="170">
        <f>COUNTIF('INPUT - Roster'!$EF$6:$EF$206,"RnR")+COUNTIF('INPUT - Roster'!$EF$6:$EF$206,"R&amp;R")</f>
        <v/>
      </c>
      <c r="DQ36" s="170">
        <f>COUNTIF('INPUT - Roster'!$EG$6:$EG$206,"RnR")+COUNTIF('INPUT - Roster'!$EG$6:$EG$206,"R&amp;R")</f>
        <v/>
      </c>
      <c r="DR36" s="170">
        <f>COUNTIF('INPUT - Roster'!$EH$6:$EH$206,"RnR")+COUNTIF('INPUT - Roster'!$EH$6:$EH$206,"R&amp;R")</f>
        <v/>
      </c>
      <c r="DS36" s="170">
        <f>COUNTIF('INPUT - Roster'!$EI$6:$EI$206,"RnR")+COUNTIF('INPUT - Roster'!$EI$6:$EI$206,"R&amp;R")</f>
        <v/>
      </c>
      <c r="DT36" s="170">
        <f>COUNTIF('INPUT - Roster'!$EJ$6:$EJ$206,"RnR")+COUNTIF('INPUT - Roster'!$EJ$6:$EJ$206,"R&amp;R")</f>
        <v/>
      </c>
      <c r="DU36" s="170">
        <f>COUNTIF('INPUT - Roster'!$EK$6:$EK$206,"RnR")+COUNTIF('INPUT - Roster'!$EK$6:$EK$206,"R&amp;R")</f>
        <v/>
      </c>
      <c r="DV36" s="170">
        <f>COUNTIF('INPUT - Roster'!$EL$6:$EL$206,"RnR")+COUNTIF('INPUT - Roster'!$EL$6:$EL$206,"R&amp;R")</f>
        <v/>
      </c>
      <c r="DW36" s="170">
        <f>COUNTIF('INPUT - Roster'!$EM$6:$EM$206,"RnR")+COUNTIF('INPUT - Roster'!$EM$6:$EM$206,"R&amp;R")</f>
        <v/>
      </c>
      <c r="DX36" s="170">
        <f>COUNTIF('INPUT - Roster'!$EN$6:$EN$206,"RnR")+COUNTIF('INPUT - Roster'!$EN$6:$EN$206,"R&amp;R")</f>
        <v/>
      </c>
      <c r="DY36" s="170">
        <f>COUNTIF('INPUT - Roster'!$EO$6:$EO$206,"RnR")+COUNTIF('INPUT - Roster'!$EO$6:$EO$206,"R&amp;R")</f>
        <v/>
      </c>
      <c r="DZ36" s="170">
        <f>COUNTIF('INPUT - Roster'!$EP$6:$EP$206,"RnR")+COUNTIF('INPUT - Roster'!$EP$6:$EP$206,"R&amp;R")</f>
        <v/>
      </c>
      <c r="EA36" s="170">
        <f>COUNTIF('INPUT - Roster'!$EQ$6:$EQ$206,"RnR")+COUNTIF('INPUT - Roster'!$EQ$6:$EQ$206,"R&amp;R")</f>
        <v/>
      </c>
      <c r="EB36" s="170">
        <f>COUNTIF('INPUT - Roster'!$ER$6:$ER$206,"RnR")+COUNTIF('INPUT - Roster'!$ER$6:$ER$206,"R&amp;R")</f>
        <v/>
      </c>
      <c r="EC36" s="170">
        <f>COUNTIF('INPUT - Roster'!$ES$6:$ES$206,"RnR")+COUNTIF('INPUT - Roster'!$ES$6:$ES$206,"R&amp;R")</f>
        <v/>
      </c>
      <c r="ED36" s="170">
        <f>COUNTIF('INPUT - Roster'!$ET$6:$ET$206,"RnR")+COUNTIF('INPUT - Roster'!$ET$6:$ET$206,"R&amp;R")</f>
        <v/>
      </c>
      <c r="EE36" s="170">
        <f>COUNTIF('INPUT - Roster'!$EU$6:$EU$206,"RnR")+COUNTIF('INPUT - Roster'!$EU$6:$EU$206,"R&amp;R")</f>
        <v/>
      </c>
      <c r="EF36" s="170">
        <f>COUNTIF('INPUT - Roster'!$EV$6:$EV$206,"RnR")+COUNTIF('INPUT - Roster'!$EV$6:$EV$206,"R&amp;R")</f>
        <v/>
      </c>
      <c r="EG36" s="170">
        <f>COUNTIF('INPUT - Roster'!$EW$6:$EW$206,"RnR")+COUNTIF('INPUT - Roster'!$EW$6:$EW$206,"R&amp;R")</f>
        <v/>
      </c>
      <c r="EH36" s="170">
        <f>COUNTIF('INPUT - Roster'!$EX$6:$EX$206,"RnR")+COUNTIF('INPUT - Roster'!$EX$6:$EX$206,"R&amp;R")</f>
        <v/>
      </c>
      <c r="EI36" s="170">
        <f>COUNTIF('INPUT - Roster'!$EY$6:$EY$206,"RnR")+COUNTIF('INPUT - Roster'!$EY$6:$EY$206,"R&amp;R")</f>
        <v/>
      </c>
      <c r="EJ36" s="170">
        <f>COUNTIF('INPUT - Roster'!$EZ$6:$EZ$206,"RnR")+COUNTIF('INPUT - Roster'!$EZ$6:$EZ$206,"R&amp;R")</f>
        <v/>
      </c>
      <c r="EK36" s="170">
        <f>COUNTIF('INPUT - Roster'!$FA$6:$FA$206,"RnR")+COUNTIF('INPUT - Roster'!$FA$6:$FA$206,"R&amp;R")</f>
        <v/>
      </c>
      <c r="EL36" s="170">
        <f>COUNTIF('INPUT - Roster'!$FB$6:$FB$206,"RnR")+COUNTIF('INPUT - Roster'!$FB$6:$FB$206,"R&amp;R")</f>
        <v/>
      </c>
      <c r="EM36" s="170">
        <f>COUNTIF('INPUT - Roster'!$FC$6:$FC$206,"RnR")+COUNTIF('INPUT - Roster'!$FC$6:$FC$206,"R&amp;R")</f>
        <v/>
      </c>
      <c r="EN36" s="170">
        <f>COUNTIF('INPUT - Roster'!$FD$6:$FD$206,"RnR")+COUNTIF('INPUT - Roster'!$FD$6:$FD$206,"R&amp;R")</f>
        <v/>
      </c>
      <c r="EO36" s="170">
        <f>COUNTIF('INPUT - Roster'!$FE$6:$FE$206,"RnR")+COUNTIF('INPUT - Roster'!$FE$6:$FE$206,"R&amp;R")</f>
        <v/>
      </c>
      <c r="EP36" s="170">
        <f>COUNTIF('INPUT - Roster'!$FF$6:$FF$206,"RnR")+COUNTIF('INPUT - Roster'!$FF$6:$FF$206,"R&amp;R")</f>
        <v/>
      </c>
      <c r="EQ36" s="170">
        <f>COUNTIF('INPUT - Roster'!$FG$6:$FG$206,"RnR")+COUNTIF('INPUT - Roster'!$FG$6:$FG$206,"R&amp;R")</f>
        <v/>
      </c>
      <c r="ER36" s="170">
        <f>COUNTIF('INPUT - Roster'!$FH$6:$FH$206,"RnR")+COUNTIF('INPUT - Roster'!$FH$6:$FH$206,"R&amp;R")</f>
        <v/>
      </c>
      <c r="ES36" s="170">
        <f>COUNTIF('INPUT - Roster'!$FI$6:$FI$206,"RnR")+COUNTIF('INPUT - Roster'!$FI$6:$FI$206,"R&amp;R")</f>
        <v/>
      </c>
      <c r="ET36" s="170">
        <f>COUNTIF('INPUT - Roster'!$FJ$6:$FJ$206,"RnR")+COUNTIF('INPUT - Roster'!$FJ$6:$FJ$206,"R&amp;R")</f>
        <v/>
      </c>
      <c r="EU36" s="170">
        <f>COUNTIF('INPUT - Roster'!$FK$6:$FK$206,"RnR")+COUNTIF('INPUT - Roster'!$FK$6:$FK$206,"R&amp;R")</f>
        <v/>
      </c>
      <c r="EV36" s="170">
        <f>COUNTIF('INPUT - Roster'!$FL$6:$FL$206,"RnR")+COUNTIF('INPUT - Roster'!$FL$6:$FL$206,"R&amp;R")</f>
        <v/>
      </c>
      <c r="EW36" s="170">
        <f>COUNTIF('INPUT - Roster'!$FM$6:$FM$206,"RnR")+COUNTIF('INPUT - Roster'!$FM$6:$FM$206,"R&amp;R")</f>
        <v/>
      </c>
      <c r="EX36" s="170">
        <f>COUNTIF('INPUT - Roster'!$FN$6:$FN$206,"RnR")+COUNTIF('INPUT - Roster'!$FN$6:$FN$206,"R&amp;R")</f>
        <v/>
      </c>
      <c r="EY36" s="170">
        <f>COUNTIF('INPUT - Roster'!$FO$6:$FO$206,"RnR")+COUNTIF('INPUT - Roster'!$FO$6:$FO$206,"R&amp;R")</f>
        <v/>
      </c>
      <c r="EZ36" s="170">
        <f>COUNTIF('INPUT - Roster'!$FP$6:$FP$206,"RnR")+COUNTIF('INPUT - Roster'!$FP$6:$FP$206,"R&amp;R")</f>
        <v/>
      </c>
      <c r="FA36" s="170">
        <f>COUNTIF('INPUT - Roster'!$FQ$6:$FQ$206,"RnR")+COUNTIF('INPUT - Roster'!$FQ$6:$FQ$206,"R&amp;R")</f>
        <v/>
      </c>
      <c r="FB36" s="170">
        <f>COUNTIF('INPUT - Roster'!$FR$6:$FR$206,"RnR")+COUNTIF('INPUT - Roster'!$FR$6:$FR$206,"R&amp;R")</f>
        <v/>
      </c>
      <c r="FC36" s="170">
        <f>COUNTIF('INPUT - Roster'!$FS$6:$FS$206,"RnR")+COUNTIF('INPUT - Roster'!$FS$6:$FS$206,"R&amp;R")</f>
        <v/>
      </c>
      <c r="FD36" s="170">
        <f>COUNTIF('INPUT - Roster'!$FT$6:$FT$206,"RnR")+COUNTIF('INPUT - Roster'!$FT$6:$FT$206,"R&amp;R")</f>
        <v/>
      </c>
      <c r="FE36" s="170">
        <f>COUNTIF('INPUT - Roster'!$FU$6:$FU$206,"RnR")+COUNTIF('INPUT - Roster'!$FU$6:$FU$206,"R&amp;R")</f>
        <v/>
      </c>
      <c r="FF36" s="170">
        <f>COUNTIF('INPUT - Roster'!$FV$6:$FV$206,"RnR")+COUNTIF('INPUT - Roster'!$FV$6:$FV$206,"R&amp;R")</f>
        <v/>
      </c>
      <c r="FG36" s="170">
        <f>COUNTIF('INPUT - Roster'!$FW$6:$FW$206,"RnR")+COUNTIF('INPUT - Roster'!$FW$6:$FW$206,"R&amp;R")</f>
        <v/>
      </c>
      <c r="FH36" s="170">
        <f>COUNTIF('INPUT - Roster'!$FX$6:$FX$206,"RnR")+COUNTIF('INPUT - Roster'!$FX$6:$FX$206,"R&amp;R")</f>
        <v/>
      </c>
      <c r="FI36" s="170">
        <f>COUNTIF('INPUT - Roster'!$FY$6:$FY$206,"RnR")+COUNTIF('INPUT - Roster'!$FY$6:$FY$206,"R&amp;R")</f>
        <v/>
      </c>
      <c r="FJ36" s="170">
        <f>COUNTIF('INPUT - Roster'!$FZ$6:$FZ$206,"RnR")+COUNTIF('INPUT - Roster'!$FZ$6:$FZ$206,"R&amp;R")</f>
        <v/>
      </c>
      <c r="FK36" s="170">
        <f>COUNTIF('INPUT - Roster'!$GA$6:$GA$206,"RnR")+COUNTIF('INPUT - Roster'!$GA$6:$GA$206,"R&amp;R")</f>
        <v/>
      </c>
      <c r="FL36" s="170">
        <f>COUNTIF('INPUT - Roster'!$GB$6:$GB$206,"RnR")+COUNTIF('INPUT - Roster'!$GB$6:$GB$206,"R&amp;R")</f>
        <v/>
      </c>
      <c r="FM36" s="170">
        <f>COUNTIF('INPUT - Roster'!$GC$6:$GC$206,"RnR")+COUNTIF('INPUT - Roster'!$GC$6:$GC$206,"R&amp;R")</f>
        <v/>
      </c>
      <c r="FN36" s="170">
        <f>COUNTIF('INPUT - Roster'!$GD$6:$GD$206,"RnR")+COUNTIF('INPUT - Roster'!$GD$6:$GD$206,"R&amp;R")</f>
        <v/>
      </c>
      <c r="FO36" s="170">
        <f>COUNTIF('INPUT - Roster'!$GE$6:$GE$206,"RnR")+COUNTIF('INPUT - Roster'!$GE$6:$GE$206,"R&amp;R")</f>
        <v/>
      </c>
      <c r="FP36" s="170">
        <f>COUNTIF('INPUT - Roster'!$GF$6:$GF$206,"RnR")+COUNTIF('INPUT - Roster'!$GF$6:$GF$206,"R&amp;R")</f>
        <v/>
      </c>
      <c r="FQ36" s="170">
        <f>COUNTIF('INPUT - Roster'!$GG$6:$GG$206,"RnR")+COUNTIF('INPUT - Roster'!$GG$6:$GG$206,"R&amp;R")</f>
        <v/>
      </c>
      <c r="FR36" s="170">
        <f>COUNTIF('INPUT - Roster'!$GH$6:$GH$206,"RnR")+COUNTIF('INPUT - Roster'!$GH$6:$GH$206,"R&amp;R")</f>
        <v/>
      </c>
      <c r="FS36" s="170">
        <f>COUNTIF('INPUT - Roster'!$GI$6:$GI$206,"RnR")+COUNTIF('INPUT - Roster'!$GI$6:$GI$206,"R&amp;R")</f>
        <v/>
      </c>
      <c r="FT36" s="170">
        <f>COUNTIF('INPUT - Roster'!$GJ$6:$GJ$206,"RnR")+COUNTIF('INPUT - Roster'!$GJ$6:$GJ$206,"R&amp;R")</f>
        <v/>
      </c>
      <c r="FU36" s="170">
        <f>COUNTIF('INPUT - Roster'!$GK$6:$GK$206,"RnR")+COUNTIF('INPUT - Roster'!$GK$6:$GK$206,"R&amp;R")</f>
        <v/>
      </c>
      <c r="FV36" s="170">
        <f>COUNTIF('INPUT - Roster'!$GL$6:$GL$206,"RnR")+COUNTIF('INPUT - Roster'!$GL$6:$GL$206,"R&amp;R")</f>
        <v/>
      </c>
      <c r="FW36" s="170">
        <f>COUNTIF('INPUT - Roster'!$GM$6:$GM$206,"RnR")+COUNTIF('INPUT - Roster'!$GM$6:$GM$206,"R&amp;R")</f>
        <v/>
      </c>
      <c r="FX36" s="170">
        <f>COUNTIF('INPUT - Roster'!$GN$6:$GN$206,"RnR")+COUNTIF('INPUT - Roster'!$GN$6:$GN$206,"R&amp;R")</f>
        <v/>
      </c>
      <c r="FY36" s="170">
        <f>COUNTIF('INPUT - Roster'!$GO$6:$GO$206,"RnR")+COUNTIF('INPUT - Roster'!$GO$6:$GO$206,"R&amp;R")</f>
        <v/>
      </c>
      <c r="FZ36" s="170">
        <f>COUNTIF('INPUT - Roster'!$GP$6:$GP$206,"RnR")+COUNTIF('INPUT - Roster'!$GP$6:$GP$206,"R&amp;R")</f>
        <v/>
      </c>
      <c r="GA36" s="170">
        <f>COUNTIF('INPUT - Roster'!$GQ$6:$GQ$206,"RnR")+COUNTIF('INPUT - Roster'!$GQ$6:$GQ$206,"R&amp;R")</f>
        <v/>
      </c>
      <c r="GB36" s="170">
        <f>COUNTIF('INPUT - Roster'!$GR$6:$GR$206,"RnR")+COUNTIF('INPUT - Roster'!$GR$6:$GR$206,"R&amp;R")</f>
        <v/>
      </c>
      <c r="GC36" s="170">
        <f>COUNTIF('INPUT - Roster'!$GS$6:$GS$206,"RnR")+COUNTIF('INPUT - Roster'!$GS$6:$GS$206,"R&amp;R")</f>
        <v/>
      </c>
      <c r="GD36" s="170">
        <f>COUNTIF('INPUT - Roster'!$GT$6:$GT$206,"RnR")+COUNTIF('INPUT - Roster'!$GT$6:$GT$206,"R&amp;R")</f>
        <v/>
      </c>
      <c r="GE36" s="170">
        <f>COUNTIF('INPUT - Roster'!$GU$6:$GU$206,"RnR")+COUNTIF('INPUT - Roster'!$GU$6:$GU$206,"R&amp;R")</f>
        <v/>
      </c>
      <c r="GF36" s="170">
        <f>COUNTIF('INPUT - Roster'!$GV$6:$GV$206,"RnR")+COUNTIF('INPUT - Roster'!$GV$6:$GV$206,"R&amp;R")</f>
        <v/>
      </c>
      <c r="GG36" s="170">
        <f>COUNTIF('INPUT - Roster'!$GW$6:$GW$206,"RnR")+COUNTIF('INPUT - Roster'!$GW$6:$GW$206,"R&amp;R")</f>
        <v/>
      </c>
      <c r="GH36" s="170">
        <f>COUNTIF('INPUT - Roster'!$GX$6:$GX$206,"RnR")+COUNTIF('INPUT - Roster'!$GX$6:$GX$206,"R&amp;R")</f>
        <v/>
      </c>
      <c r="GI36" s="170">
        <f>COUNTIF('INPUT - Roster'!$GY$6:$GY$206,"RnR")+COUNTIF('INPUT - Roster'!$GY$6:$GY$206,"R&amp;R")</f>
        <v/>
      </c>
      <c r="GJ36" s="170">
        <f>COUNTIF('INPUT - Roster'!$GZ$6:$GZ$206,"RnR")+COUNTIF('INPUT - Roster'!$GZ$6:$GZ$206,"R&amp;R")</f>
        <v/>
      </c>
      <c r="GK36" s="170">
        <f>COUNTIF('INPUT - Roster'!$HA$6:$HA$206,"RnR")+COUNTIF('INPUT - Roster'!$HA$6:$HA$206,"R&amp;R")</f>
        <v/>
      </c>
      <c r="GL36" s="170">
        <f>COUNTIF('INPUT - Roster'!$HB$6:$HB$206,"RnR")+COUNTIF('INPUT - Roster'!$HB$6:$HB$206,"R&amp;R")</f>
        <v/>
      </c>
      <c r="GM36" s="170">
        <f>COUNTIF('INPUT - Roster'!$HC$6:$HC$206,"RnR")+COUNTIF('INPUT - Roster'!$HC$6:$HC$206,"R&amp;R")</f>
        <v/>
      </c>
      <c r="GN36" s="170">
        <f>COUNTIF('INPUT - Roster'!$HD$6:$HD$206,"RnR")+COUNTIF('INPUT - Roster'!$HD$6:$HD$206,"R&amp;R")</f>
        <v/>
      </c>
      <c r="GO36" s="170">
        <f>COUNTIF('INPUT - Roster'!$HE$6:$HE$206,"RnR")+COUNTIF('INPUT - Roster'!$HE$6:$HE$206,"R&amp;R")</f>
        <v/>
      </c>
      <c r="GP36" s="170">
        <f>COUNTIF('INPUT - Roster'!$HF$6:$HF$206,"RnR")+COUNTIF('INPUT - Roster'!$HF$6:$HF$206,"R&amp;R")</f>
        <v/>
      </c>
      <c r="GQ36" s="170">
        <f>COUNTIF('INPUT - Roster'!$HG$6:$HG$206,"RnR")+COUNTIF('INPUT - Roster'!$HG$6:$HG$206,"R&amp;R")</f>
        <v/>
      </c>
      <c r="GR36" s="170">
        <f>COUNTIF('INPUT - Roster'!$HH$6:$HH$206,"RnR")+COUNTIF('INPUT - Roster'!$HH$6:$HH$206,"R&amp;R")</f>
        <v/>
      </c>
      <c r="GS36" s="170">
        <f>COUNTIF('INPUT - Roster'!$HI$6:$HI$206,"RnR")+COUNTIF('INPUT - Roster'!$HI$6:$HI$206,"R&amp;R")</f>
        <v/>
      </c>
      <c r="GT36" s="170">
        <f>COUNTIF('INPUT - Roster'!$HJ$6:$HJ$206,"RnR")+COUNTIF('INPUT - Roster'!$HJ$6:$HJ$206,"R&amp;R")</f>
        <v/>
      </c>
      <c r="GU36" s="170">
        <f>COUNTIF('INPUT - Roster'!$HK$6:$HK$206,"RnR")+COUNTIF('INPUT - Roster'!$HK$6:$HK$206,"R&amp;R")</f>
        <v/>
      </c>
      <c r="GV36" s="170">
        <f>COUNTIF('INPUT - Roster'!$HL$6:$HL$206,"RnR")+COUNTIF('INPUT - Roster'!$HL$6:$HL$206,"R&amp;R")</f>
        <v/>
      </c>
      <c r="GW36" s="170">
        <f>COUNTIF('INPUT - Roster'!$HM$6:$HM$206,"RnR")+COUNTIF('INPUT - Roster'!$HM$6:$HM$206,"R&amp;R")</f>
        <v/>
      </c>
      <c r="GX36" s="170">
        <f>COUNTIF('INPUT - Roster'!$HN$6:$HN$206,"RnR")+COUNTIF('INPUT - Roster'!$HN$6:$HN$206,"R&amp;R")</f>
        <v/>
      </c>
      <c r="GY36" s="170">
        <f>COUNTIF('INPUT - Roster'!$HO$6:$HO$206,"RnR")+COUNTIF('INPUT - Roster'!$HO$6:$HO$206,"R&amp;R")</f>
        <v/>
      </c>
      <c r="GZ36" s="170">
        <f>COUNTIF('INPUT - Roster'!$HP$6:$HP$206,"RnR")+COUNTIF('INPUT - Roster'!$HP$6:$HP$206,"R&amp;R")</f>
        <v/>
      </c>
      <c r="HA36" s="170">
        <f>COUNTIF('INPUT - Roster'!$HQ$6:$HQ$206,"RnR")+COUNTIF('INPUT - Roster'!$HQ$6:$HQ$206,"R&amp;R")</f>
        <v/>
      </c>
      <c r="HB36" s="170">
        <f>COUNTIF('INPUT - Roster'!$HR$6:$HR$206,"RnR")+COUNTIF('INPUT - Roster'!$HR$6:$HR$206,"R&amp;R")</f>
        <v/>
      </c>
      <c r="HC36" s="170">
        <f>COUNTIF('INPUT - Roster'!$HS$6:$HS$206,"RnR")+COUNTIF('INPUT - Roster'!$HS$6:$HS$206,"R&amp;R")</f>
        <v/>
      </c>
      <c r="HD36" s="170">
        <f>COUNTIF('INPUT - Roster'!$HT$6:$HT$206,"RnR")+COUNTIF('INPUT - Roster'!$HT$6:$HT$206,"R&amp;R")</f>
        <v/>
      </c>
      <c r="HE36" s="170">
        <f>COUNTIF('INPUT - Roster'!$HU$6:$HU$206,"RnR")+COUNTIF('INPUT - Roster'!$HU$6:$HU$206,"R&amp;R")</f>
        <v/>
      </c>
      <c r="HF36" s="170">
        <f>COUNTIF('INPUT - Roster'!$HV$6:$HV$206,"RnR")+COUNTIF('INPUT - Roster'!$HV$6:$HV$206,"R&amp;R")</f>
        <v/>
      </c>
      <c r="HG36" s="170">
        <f>COUNTIF('INPUT - Roster'!$HW$6:$HW$206,"RnR")+COUNTIF('INPUT - Roster'!$HW$6:$HW$206,"R&amp;R")</f>
        <v/>
      </c>
      <c r="HH36" s="170">
        <f>COUNTIF('INPUT - Roster'!$HX$6:$HX$206,"RnR")+COUNTIF('INPUT - Roster'!$HX$6:$HX$206,"R&amp;R")</f>
        <v/>
      </c>
      <c r="HI36" s="170">
        <f>COUNTIF('INPUT - Roster'!$HY$6:$HY$206,"RnR")+COUNTIF('INPUT - Roster'!$HY$6:$HY$206,"R&amp;R")</f>
        <v/>
      </c>
      <c r="HJ36" s="170">
        <f>COUNTIF('INPUT - Roster'!$HZ$6:$HZ$206,"RnR")+COUNTIF('INPUT - Roster'!$HZ$6:$HZ$206,"R&amp;R")</f>
        <v/>
      </c>
      <c r="HK36" s="170">
        <f>COUNTIF('INPUT - Roster'!$IA$6:$IA$206,"RnR")+COUNTIF('INPUT - Roster'!$IA$6:$IA$206,"R&amp;R")</f>
        <v/>
      </c>
      <c r="HL36" s="170">
        <f>COUNTIF('INPUT - Roster'!$IB$6:$IB$206,"RnR")+COUNTIF('INPUT - Roster'!$IB$6:$IB$206,"R&amp;R")</f>
        <v/>
      </c>
      <c r="HM36" s="170">
        <f>COUNTIF('INPUT - Roster'!$IC$6:$IC$206,"RnR")+COUNTIF('INPUT - Roster'!$IC$6:$IC$206,"R&amp;R")</f>
        <v/>
      </c>
      <c r="HN36" s="170">
        <f>COUNTIF('INPUT - Roster'!$ID$6:$ID$206,"RnR")+COUNTIF('INPUT - Roster'!$ID$6:$ID$206,"R&amp;R")</f>
        <v/>
      </c>
      <c r="HO36" s="170">
        <f>COUNTIF('INPUT - Roster'!$IE$6:$IE$206,"RnR")+COUNTIF('INPUT - Roster'!$IE$6:$IE$206,"R&amp;R")</f>
        <v/>
      </c>
      <c r="HP36" s="170">
        <f>COUNTIF('INPUT - Roster'!$IF$6:$IF$206,"RnR")+COUNTIF('INPUT - Roster'!$IF$6:$IF$206,"R&amp;R")</f>
        <v/>
      </c>
      <c r="HQ36" s="170">
        <f>COUNTIF('INPUT - Roster'!$IG$6:$IG$206,"RnR")+COUNTIF('INPUT - Roster'!$IG$6:$IG$206,"R&amp;R")</f>
        <v/>
      </c>
      <c r="HR36" s="170">
        <f>COUNTIF('INPUT - Roster'!$IH$6:$IH$206,"RnR")+COUNTIF('INPUT - Roster'!$IH$6:$IH$206,"R&amp;R")</f>
        <v/>
      </c>
      <c r="HS36" s="170">
        <f>COUNTIF('INPUT - Roster'!$II$6:$II$206,"RnR")+COUNTIF('INPUT - Roster'!$II$6:$II$206,"R&amp;R")</f>
        <v/>
      </c>
      <c r="HT36" s="170">
        <f>COUNTIF('INPUT - Roster'!$IJ$6:$IJ$206,"RnR")+COUNTIF('INPUT - Roster'!$IJ$6:$IJ$206,"R&amp;R")</f>
        <v/>
      </c>
      <c r="HU36" s="170">
        <f>COUNTIF('INPUT - Roster'!$IK$6:$IK$206,"RnR")+COUNTIF('INPUT - Roster'!$IK$6:$IK$206,"R&amp;R")</f>
        <v/>
      </c>
      <c r="HV36" s="170">
        <f>COUNTIF('INPUT - Roster'!$IL$6:$IL$206,"RnR")+COUNTIF('INPUT - Roster'!$IL$6:$IL$206,"R&amp;R")</f>
        <v/>
      </c>
      <c r="HW36" s="170">
        <f>COUNTIF('INPUT - Roster'!$IM$6:$IM$206,"RnR")+COUNTIF('INPUT - Roster'!$IM$6:$IM$206,"R&amp;R")</f>
        <v/>
      </c>
      <c r="HX36" s="170">
        <f>COUNTIF('INPUT - Roster'!$IN$6:$IN$206,"RnR")+COUNTIF('INPUT - Roster'!$IN$6:$IN$206,"R&amp;R")</f>
        <v/>
      </c>
      <c r="HY36" s="170">
        <f>COUNTIF('INPUT - Roster'!$IO$6:$IO$206,"RnR")+COUNTIF('INPUT - Roster'!$IO$6:$IO$206,"R&amp;R")</f>
        <v/>
      </c>
      <c r="HZ36" s="170">
        <f>COUNTIF('INPUT - Roster'!$IP$6:$IP$206,"RnR")+COUNTIF('INPUT - Roster'!$IP$6:$IP$206,"R&amp;R")</f>
        <v/>
      </c>
      <c r="IA36" s="170">
        <f>COUNTIF('INPUT - Roster'!$IQ$6:$IQ$206,"RnR")+COUNTIF('INPUT - Roster'!$IQ$6:$IQ$206,"R&amp;R")</f>
        <v/>
      </c>
      <c r="IB36" s="170">
        <f>COUNTIF('INPUT - Roster'!$IR$6:$IR$206,"RnR")+COUNTIF('INPUT - Roster'!$IR$6:$IR$206,"R&amp;R")</f>
        <v/>
      </c>
      <c r="IC36" s="170">
        <f>COUNTIF('INPUT - Roster'!$IS$6:$IS$206,"RnR")+COUNTIF('INPUT - Roster'!$IS$6:$IS$206,"R&amp;R")</f>
        <v/>
      </c>
      <c r="ID36" s="170">
        <f>COUNTIF('INPUT - Roster'!$IT$6:$IT$206,"RnR")+COUNTIF('INPUT - Roster'!$IT$6:$IT$206,"R&amp;R")</f>
        <v/>
      </c>
      <c r="IE36" s="170">
        <f>COUNTIF('INPUT - Roster'!$IU$6:$IU$206,"RnR")+COUNTIF('INPUT - Roster'!$IU$6:$IU$206,"R&amp;R")</f>
        <v/>
      </c>
      <c r="IF36" s="170">
        <f>COUNTIF('INPUT - Roster'!$IV$6:$IV$206,"RnR")+COUNTIF('INPUT - Roster'!$IV$6:$IV$206,"R&amp;R")</f>
        <v/>
      </c>
      <c r="IG36" s="170">
        <f>COUNTIF('INPUT - Roster'!$IW$6:$IW$206,"RnR")+COUNTIF('INPUT - Roster'!$IW$6:$IW$206,"R&amp;R")</f>
        <v/>
      </c>
      <c r="IH36" s="170">
        <f>COUNTIF('INPUT - Roster'!$IX$6:$IX$206,"RnR")+COUNTIF('INPUT - Roster'!$IX$6:$IX$206,"R&amp;R")</f>
        <v/>
      </c>
      <c r="II36" s="170">
        <f>COUNTIF('INPUT - Roster'!$IY$6:$IY$206,"RnR")+COUNTIF('INPUT - Roster'!$IY$6:$IY$206,"R&amp;R")</f>
        <v/>
      </c>
      <c r="IJ36" s="170">
        <f>COUNTIF('INPUT - Roster'!$IZ$6:$IZ$206,"RnR")+COUNTIF('INPUT - Roster'!$IZ$6:$IZ$206,"R&amp;R")</f>
        <v/>
      </c>
      <c r="IK36" s="170">
        <f>COUNTIF('INPUT - Roster'!$JA$6:$JA$206,"RnR")+COUNTIF('INPUT - Roster'!$JA$6:$JA$206,"R&amp;R")</f>
        <v/>
      </c>
      <c r="IL36" s="170">
        <f>COUNTIF('INPUT - Roster'!$JB$6:$JB$206,"RnR")+COUNTIF('INPUT - Roster'!$JB$6:$JB$206,"R&amp;R")</f>
        <v/>
      </c>
      <c r="IM36" s="170">
        <f>COUNTIF('INPUT - Roster'!$JC$6:$JC$206,"RnR")+COUNTIF('INPUT - Roster'!$JC$6:$JC$206,"R&amp;R")</f>
        <v/>
      </c>
      <c r="IN36" s="170">
        <f>COUNTIF('INPUT - Roster'!$JD$6:$JD$206,"RnR")+COUNTIF('INPUT - Roster'!$JD$6:$JD$206,"R&amp;R")</f>
        <v/>
      </c>
      <c r="IO36" s="170">
        <f>COUNTIF('INPUT - Roster'!$JE$6:$JE$206,"RnR")+COUNTIF('INPUT - Roster'!$JE$6:$JE$206,"R&amp;R")</f>
        <v/>
      </c>
      <c r="IP36" s="170">
        <f>COUNTIF('INPUT - Roster'!$JF$6:$JF$206,"RnR")+COUNTIF('INPUT - Roster'!$JF$6:$JF$206,"R&amp;R")</f>
        <v/>
      </c>
      <c r="IQ36" s="170">
        <f>COUNTIF('INPUT - Roster'!$JG$6:$JG$206,"RnR")+COUNTIF('INPUT - Roster'!$JG$6:$JG$206,"R&amp;R")</f>
        <v/>
      </c>
      <c r="IR36" s="170">
        <f>COUNTIF('INPUT - Roster'!$JH$6:$JH$206,"RnR")+COUNTIF('INPUT - Roster'!$JH$6:$JH$206,"R&amp;R")</f>
        <v/>
      </c>
      <c r="IS36" s="170">
        <f>COUNTIF('INPUT - Roster'!$JI$6:$JI$206,"RnR")+COUNTIF('INPUT - Roster'!$JI$6:$JI$206,"R&amp;R")</f>
        <v/>
      </c>
      <c r="IT36" s="170">
        <f>COUNTIF('INPUT - Roster'!$JJ$6:$JJ$206,"RnR")+COUNTIF('INPUT - Roster'!$JJ$6:$JJ$206,"R&amp;R")</f>
        <v/>
      </c>
      <c r="IU36" s="170">
        <f>COUNTIF('INPUT - Roster'!$JK$6:$JK$206,"RnR")+COUNTIF('INPUT - Roster'!$JK$6:$JK$206,"R&amp;R")</f>
        <v/>
      </c>
      <c r="IV36" s="170">
        <f>COUNTIF('INPUT - Roster'!$JL$6:$JL$206,"RnR")+COUNTIF('INPUT - Roster'!$JL$6:$JL$206,"R&amp;R")</f>
        <v/>
      </c>
      <c r="IW36" s="170">
        <f>COUNTIF('INPUT - Roster'!$JM$6:$JM$206,"RnR")+COUNTIF('INPUT - Roster'!$JM$6:$JM$206,"R&amp;R")</f>
        <v/>
      </c>
      <c r="IX36" s="170">
        <f>COUNTIF('INPUT - Roster'!$JN$6:$JN$206,"RnR")+COUNTIF('INPUT - Roster'!$JN$6:$JN$206,"R&amp;R")</f>
        <v/>
      </c>
      <c r="IY36" s="170">
        <f>COUNTIF('INPUT - Roster'!$JO$6:$JO$206,"RnR")+COUNTIF('INPUT - Roster'!$JO$6:$JO$206,"R&amp;R")</f>
        <v/>
      </c>
      <c r="IZ36" s="170">
        <f>COUNTIF('INPUT - Roster'!$JP$6:$JP$206,"RnR")+COUNTIF('INPUT - Roster'!$JP$6:$JP$206,"R&amp;R")</f>
        <v/>
      </c>
      <c r="JA36" s="170">
        <f>COUNTIF('INPUT - Roster'!$JQ$6:$JQ$206,"RnR")+COUNTIF('INPUT - Roster'!$JQ$6:$JQ$206,"R&amp;R")</f>
        <v/>
      </c>
      <c r="JB36" s="170">
        <f>COUNTIF('INPUT - Roster'!$JR$6:$JR$206,"RnR")+COUNTIF('INPUT - Roster'!$JR$6:$JR$206,"R&amp;R")</f>
        <v/>
      </c>
      <c r="JC36" s="170">
        <f>COUNTIF('INPUT - Roster'!$JS$6:$JS$206,"RnR")+COUNTIF('INPUT - Roster'!$JS$6:$JS$206,"R&amp;R")</f>
        <v/>
      </c>
      <c r="JD36" s="170">
        <f>COUNTIF('INPUT - Roster'!$JT$6:$JT$206,"RnR")+COUNTIF('INPUT - Roster'!$JT$6:$JT$206,"R&amp;R")</f>
        <v/>
      </c>
      <c r="JE36" s="170">
        <f>COUNTIF('INPUT - Roster'!$JU$6:$JU$206,"RnR")+COUNTIF('INPUT - Roster'!$JU$6:$JU$206,"R&amp;R")</f>
        <v/>
      </c>
      <c r="JF36" s="170">
        <f>COUNTIF('INPUT - Roster'!$JV$6:$JV$206,"RnR")+COUNTIF('INPUT - Roster'!$JV$6:$JV$206,"R&amp;R")</f>
        <v/>
      </c>
      <c r="JG36" s="170">
        <f>COUNTIF('INPUT - Roster'!$JW$6:$JW$206,"RnR")+COUNTIF('INPUT - Roster'!$JW$6:$JW$206,"R&amp;R")</f>
        <v/>
      </c>
      <c r="JH36" s="170">
        <f>COUNTIF('INPUT - Roster'!$JX$6:$JX$206,"RnR")+COUNTIF('INPUT - Roster'!$JX$6:$JX$206,"R&amp;R")</f>
        <v/>
      </c>
      <c r="JI36" s="170">
        <f>COUNTIF('INPUT - Roster'!$JY$6:$JY$206,"RnR")+COUNTIF('INPUT - Roster'!$JY$6:$JY$206,"R&amp;R")</f>
        <v/>
      </c>
      <c r="JJ36" s="170">
        <f>COUNTIF('INPUT - Roster'!$JZ$6:$JZ$206,"RnR")+COUNTIF('INPUT - Roster'!$JZ$6:$JZ$206,"R&amp;R")</f>
        <v/>
      </c>
      <c r="JK36" s="170">
        <f>COUNTIF('INPUT - Roster'!$KA$6:$KA$206,"RnR")+COUNTIF('INPUT - Roster'!$KA$6:$KA$206,"R&amp;R")</f>
        <v/>
      </c>
      <c r="JL36" s="170">
        <f>COUNTIF('INPUT - Roster'!$KB$6:$KB$206,"RnR")+COUNTIF('INPUT - Roster'!$KB$6:$KB$206,"R&amp;R")</f>
        <v/>
      </c>
      <c r="JM36" s="170">
        <f>COUNTIF('INPUT - Roster'!$KC$6:$KC$206,"RnR")+COUNTIF('INPUT - Roster'!$KC$6:$KC$206,"R&amp;R")</f>
        <v/>
      </c>
      <c r="JN36" s="170">
        <f>COUNTIF('INPUT - Roster'!$KD$6:$KD$206,"RnR")+COUNTIF('INPUT - Roster'!$KD$6:$KD$206,"R&amp;R")</f>
        <v/>
      </c>
      <c r="JO36" s="170">
        <f>COUNTIF('INPUT - Roster'!$KE$6:$KE$206,"RnR")+COUNTIF('INPUT - Roster'!$KE$6:$KE$206,"R&amp;R")</f>
        <v/>
      </c>
      <c r="JP36" s="170">
        <f>COUNTIF('INPUT - Roster'!$KF$6:$KF$206,"RnR")+COUNTIF('INPUT - Roster'!$KF$6:$KF$206,"R&amp;R")</f>
        <v/>
      </c>
      <c r="JQ36" s="170">
        <f>COUNTIF('INPUT - Roster'!$KG$6:$KG$206,"RnR")+COUNTIF('INPUT - Roster'!$KG$6:$KG$206,"R&amp;R")</f>
        <v/>
      </c>
      <c r="JR36" s="170">
        <f>COUNTIF('INPUT - Roster'!$KH$6:$KH$206,"RnR")+COUNTIF('INPUT - Roster'!$KH$6:$KH$206,"R&amp;R")</f>
        <v/>
      </c>
      <c r="JS36" s="170">
        <f>COUNTIF('INPUT - Roster'!$KI$6:$KI$206,"RnR")+COUNTIF('INPUT - Roster'!$KI$6:$KI$206,"R&amp;R")</f>
        <v/>
      </c>
      <c r="JT36" s="170">
        <f>COUNTIF('INPUT - Roster'!$KJ$6:$KJ$206,"RnR")+COUNTIF('INPUT - Roster'!$KJ$6:$KJ$206,"R&amp;R")</f>
        <v/>
      </c>
      <c r="JU36" s="170">
        <f>COUNTIF('INPUT - Roster'!$KK$6:$KK$206,"RnR")+COUNTIF('INPUT - Roster'!$KK$6:$KK$206,"R&amp;R")</f>
        <v/>
      </c>
      <c r="JV36" s="170">
        <f>COUNTIF('INPUT - Roster'!$KL$6:$KL$206,"RnR")+COUNTIF('INPUT - Roster'!$KL$6:$KL$206,"R&amp;R")</f>
        <v/>
      </c>
      <c r="JW36" s="170">
        <f>COUNTIF('INPUT - Roster'!$KM$6:$KM$206,"RnR")+COUNTIF('INPUT - Roster'!$KM$6:$KM$206,"R&amp;R")</f>
        <v/>
      </c>
      <c r="JX36" s="170">
        <f>COUNTIF('INPUT - Roster'!$KN$6:$KN$206,"RnR")+COUNTIF('INPUT - Roster'!$KN$6:$KN$206,"R&amp;R")</f>
        <v/>
      </c>
      <c r="JY36" s="170">
        <f>COUNTIF('INPUT - Roster'!$KO$6:$KO$206,"RnR")+COUNTIF('INPUT - Roster'!$KO$6:$KO$206,"R&amp;R")</f>
        <v/>
      </c>
      <c r="JZ36" s="170">
        <f>COUNTIF('INPUT - Roster'!$KP$6:$KP$206,"RnR")+COUNTIF('INPUT - Roster'!$KP$6:$KP$206,"R&amp;R")</f>
        <v/>
      </c>
      <c r="KA36" s="170">
        <f>COUNTIF('INPUT - Roster'!$KQ$6:$KQ$206,"RnR")+COUNTIF('INPUT - Roster'!$KQ$6:$KQ$206,"R&amp;R")</f>
        <v/>
      </c>
      <c r="KB36" s="170">
        <f>COUNTIF('INPUT - Roster'!$KR$6:$KR$206,"RnR")+COUNTIF('INPUT - Roster'!$KR$6:$KR$206,"R&amp;R")</f>
        <v/>
      </c>
      <c r="KC36" s="170">
        <f>COUNTIF('INPUT - Roster'!$KS$6:$KS$206,"RnR")+COUNTIF('INPUT - Roster'!$KS$6:$KS$206,"R&amp;R")</f>
        <v/>
      </c>
      <c r="KD36" s="170">
        <f>COUNTIF('INPUT - Roster'!$KT$6:$KT$206,"RnR")+COUNTIF('INPUT - Roster'!$KT$6:$KT$206,"R&amp;R")</f>
        <v/>
      </c>
      <c r="KE36" s="170">
        <f>COUNTIF('INPUT - Roster'!$KU$6:$KU$206,"RnR")+COUNTIF('INPUT - Roster'!$KU$6:$KU$206,"R&amp;R")</f>
        <v/>
      </c>
      <c r="KF36" s="170">
        <f>COUNTIF('INPUT - Roster'!$KV$6:$KV$206,"RnR")+COUNTIF('INPUT - Roster'!$KV$6:$KV$206,"R&amp;R")</f>
        <v/>
      </c>
      <c r="KG36" s="170">
        <f>COUNTIF('INPUT - Roster'!$KW$6:$KW$206,"RnR")+COUNTIF('INPUT - Roster'!$KW$6:$KW$206,"R&amp;R")</f>
        <v/>
      </c>
      <c r="KH36" s="170">
        <f>COUNTIF('INPUT - Roster'!$KX$6:$KX$206,"RnR")+COUNTIF('INPUT - Roster'!$KX$6:$KX$206,"R&amp;R")</f>
        <v/>
      </c>
      <c r="KI36" s="170">
        <f>COUNTIF('INPUT - Roster'!$KY$6:$KY$206,"RnR")+COUNTIF('INPUT - Roster'!$KY$6:$KY$206,"R&amp;R")</f>
        <v/>
      </c>
      <c r="KJ36" s="170">
        <f>COUNTIF('INPUT - Roster'!$KZ$6:$KZ$206,"RnR")+COUNTIF('INPUT - Roster'!$KZ$6:$KZ$206,"R&amp;R")</f>
        <v/>
      </c>
      <c r="KK36" s="170">
        <f>COUNTIF('INPUT - Roster'!$LA$6:$LA$206,"RnR")+COUNTIF('INPUT - Roster'!$LA$6:$LA$206,"R&amp;R")</f>
        <v/>
      </c>
      <c r="KL36" s="170">
        <f>COUNTIF('INPUT - Roster'!$LB$6:$LB$206,"RnR")+COUNTIF('INPUT - Roster'!$LB$6:$LB$206,"R&amp;R")</f>
        <v/>
      </c>
      <c r="KM36" s="170">
        <f>COUNTIF('INPUT - Roster'!$LC$6:$LC$206,"RnR")+COUNTIF('INPUT - Roster'!$LC$6:$LC$206,"R&amp;R")</f>
        <v/>
      </c>
      <c r="KN36" s="170">
        <f>COUNTIF('INPUT - Roster'!$LD$6:$LD$206,"RnR")+COUNTIF('INPUT - Roster'!$LD$6:$LD$206,"R&amp;R")</f>
        <v/>
      </c>
      <c r="KO36" s="170">
        <f>COUNTIF('INPUT - Roster'!$LE$6:$LE$206,"RnR")+COUNTIF('INPUT - Roster'!$LE$6:$LE$206,"R&amp;R")</f>
        <v/>
      </c>
      <c r="KP36" s="170">
        <f>COUNTIF('INPUT - Roster'!$LF$6:$LF$206,"RnR")+COUNTIF('INPUT - Roster'!$LF$6:$LF$206,"R&amp;R")</f>
        <v/>
      </c>
      <c r="KQ36" s="170">
        <f>COUNTIF('INPUT - Roster'!$LG$6:$LG$206,"RnR")+COUNTIF('INPUT - Roster'!$LG$6:$LG$206,"R&amp;R")</f>
        <v/>
      </c>
      <c r="KR36" s="170">
        <f>COUNTIF('INPUT - Roster'!$LH$6:$LH$206,"RnR")+COUNTIF('INPUT - Roster'!$LH$6:$LH$206,"R&amp;R")</f>
        <v/>
      </c>
      <c r="KS36" s="170">
        <f>COUNTIF('INPUT - Roster'!$LI$6:$LI$206,"RnR")+COUNTIF('INPUT - Roster'!$LI$6:$LI$206,"R&amp;R")</f>
        <v/>
      </c>
      <c r="KT36" s="170">
        <f>COUNTIF('INPUT - Roster'!$LJ$6:$LJ$206,"RnR")+COUNTIF('INPUT - Roster'!$LJ$6:$LJ$206,"R&amp;R")</f>
        <v/>
      </c>
      <c r="KU36" s="170">
        <f>COUNTIF('INPUT - Roster'!$LK$6:$LK$206,"RnR")+COUNTIF('INPUT - Roster'!$LK$6:$LK$206,"R&amp;R")</f>
        <v/>
      </c>
      <c r="KV36" s="170">
        <f>COUNTIF('INPUT - Roster'!$LL$6:$LL$206,"RnR")+COUNTIF('INPUT - Roster'!$LL$6:$LL$206,"R&amp;R")</f>
        <v/>
      </c>
      <c r="KW36" s="170">
        <f>COUNTIF('INPUT - Roster'!$LM$6:$LM$206,"RnR")+COUNTIF('INPUT - Roster'!$LM$6:$LM$206,"R&amp;R")</f>
        <v/>
      </c>
      <c r="KX36" s="170">
        <f>COUNTIF('INPUT - Roster'!$LN$6:$LN$206,"RnR")+COUNTIF('INPUT - Roster'!$LN$6:$LN$206,"R&amp;R")</f>
        <v/>
      </c>
      <c r="KY36" s="170">
        <f>COUNTIF('INPUT - Roster'!$LO$6:$LO$206,"RnR")+COUNTIF('INPUT - Roster'!$LO$6:$LO$206,"R&amp;R")</f>
        <v/>
      </c>
      <c r="KZ36" s="170">
        <f>COUNTIF('INPUT - Roster'!$LP$6:$LP$206,"RnR")+COUNTIF('INPUT - Roster'!$LP$6:$LP$206,"R&amp;R")</f>
        <v/>
      </c>
      <c r="LA36" s="170">
        <f>COUNTIF('INPUT - Roster'!$LQ$6:$LQ$206,"RnR")+COUNTIF('INPUT - Roster'!$LQ$6:$LQ$206,"R&amp;R")</f>
        <v/>
      </c>
      <c r="LB36" s="170">
        <f>COUNTIF('INPUT - Roster'!$LR$6:$LR$206,"RnR")+COUNTIF('INPUT - Roster'!$LR$6:$LR$206,"R&amp;R")</f>
        <v/>
      </c>
      <c r="LC36" s="170">
        <f>COUNTIF('INPUT - Roster'!$LS$6:$LS$206,"RnR")+COUNTIF('INPUT - Roster'!$LS$6:$LS$206,"R&amp;R")</f>
        <v/>
      </c>
      <c r="LD36" s="170">
        <f>COUNTIF('INPUT - Roster'!$LT$6:$LT$206,"RnR")+COUNTIF('INPUT - Roster'!$LT$6:$LT$206,"R&amp;R")</f>
        <v/>
      </c>
      <c r="LE36" s="170">
        <f>COUNTIF('INPUT - Roster'!$LU$6:$LU$206,"RnR")+COUNTIF('INPUT - Roster'!$LU$6:$LU$206,"R&amp;R")</f>
        <v/>
      </c>
      <c r="LF36" s="170">
        <f>COUNTIF('INPUT - Roster'!$LV$6:$LV$206,"RnR")+COUNTIF('INPUT - Roster'!$LV$6:$LV$206,"R&amp;R")</f>
        <v/>
      </c>
      <c r="LG36" s="170">
        <f>COUNTIF('INPUT - Roster'!$LW$6:$LW$206,"RnR")+COUNTIF('INPUT - Roster'!$LW$6:$LW$206,"R&amp;R")</f>
        <v/>
      </c>
      <c r="LH36" s="170">
        <f>COUNTIF('INPUT - Roster'!$LX$6:$LX$206,"RnR")+COUNTIF('INPUT - Roster'!$LX$6:$LX$206,"R&amp;R")</f>
        <v/>
      </c>
      <c r="LI36" s="170">
        <f>COUNTIF('INPUT - Roster'!$LY$6:$LY$206,"RnR")+COUNTIF('INPUT - Roster'!$LY$6:$LY$206,"R&amp;R")</f>
        <v/>
      </c>
      <c r="LJ36" s="170">
        <f>COUNTIF('INPUT - Roster'!$LZ$6:$LZ$206,"RnR")+COUNTIF('INPUT - Roster'!$LZ$6:$LZ$206,"R&amp;R")</f>
        <v/>
      </c>
      <c r="LK36" s="170">
        <f>COUNTIF('INPUT - Roster'!$MA$6:$MA$206,"RnR")+COUNTIF('INPUT - Roster'!$MA$6:$MA$206,"R&amp;R")</f>
        <v/>
      </c>
      <c r="LL36" s="170">
        <f>COUNTIF('INPUT - Roster'!$MB$6:$MB$206,"RnR")+COUNTIF('INPUT - Roster'!$MB$6:$MB$206,"R&amp;R")</f>
        <v/>
      </c>
      <c r="LM36" s="170">
        <f>COUNTIF('INPUT - Roster'!$MC$6:$MC$206,"RnR")+COUNTIF('INPUT - Roster'!$MC$6:$MC$206,"R&amp;R")</f>
        <v/>
      </c>
      <c r="LN36" s="170">
        <f>COUNTIF('INPUT - Roster'!$MD$6:$MD$206,"RnR")+COUNTIF('INPUT - Roster'!$MD$6:$MD$206,"R&amp;R")</f>
        <v/>
      </c>
      <c r="LO36" s="170">
        <f>COUNTIF('INPUT - Roster'!$ME$6:$ME$206,"RnR")+COUNTIF('INPUT - Roster'!$ME$6:$ME$206,"R&amp;R")</f>
        <v/>
      </c>
      <c r="LP36" s="170">
        <f>COUNTIF('INPUT - Roster'!$MF$6:$MF$206,"RnR")+COUNTIF('INPUT - Roster'!$MF$6:$MF$206,"R&amp;R")</f>
        <v/>
      </c>
      <c r="LQ36" s="170">
        <f>COUNTIF('INPUT - Roster'!$MG$6:$MG$206,"RnR")+COUNTIF('INPUT - Roster'!$MG$6:$MG$206,"R&amp;R")</f>
        <v/>
      </c>
      <c r="LR36" s="170">
        <f>COUNTIF('INPUT - Roster'!$MH$6:$MH$206,"RnR")+COUNTIF('INPUT - Roster'!$MH$6:$MH$206,"R&amp;R")</f>
        <v/>
      </c>
      <c r="LS36" s="170">
        <f>COUNTIF('INPUT - Roster'!$MI$6:$MI$206,"RnR")+COUNTIF('INPUT - Roster'!$MI$6:$MI$206,"R&amp;R")</f>
        <v/>
      </c>
      <c r="LT36" s="170">
        <f>COUNTIF('INPUT - Roster'!$MJ$6:$MJ$206,"RnR")+COUNTIF('INPUT - Roster'!$MJ$6:$MJ$206,"R&amp;R")</f>
        <v/>
      </c>
      <c r="LU36" s="170">
        <f>COUNTIF('INPUT - Roster'!$MK$6:$MK$206,"RnR")+COUNTIF('INPUT - Roster'!$MK$6:$MK$206,"R&amp;R")</f>
        <v/>
      </c>
      <c r="LV36" s="170">
        <f>COUNTIF('INPUT - Roster'!$ML$6:$ML$206,"RnR")+COUNTIF('INPUT - Roster'!$ML$6:$ML$206,"R&amp;R")</f>
        <v/>
      </c>
      <c r="LW36" s="170">
        <f>COUNTIF('INPUT - Roster'!$MM$6:$MM$206,"RnR")+COUNTIF('INPUT - Roster'!$MM$6:$MM$206,"R&amp;R")</f>
        <v/>
      </c>
      <c r="LX36" s="170">
        <f>COUNTIF('INPUT - Roster'!$MN$6:$MN$206,"RnR")+COUNTIF('INPUT - Roster'!$MN$6:$MN$206,"R&amp;R")</f>
        <v/>
      </c>
      <c r="LY36" s="170">
        <f>COUNTIF('INPUT - Roster'!$MO$6:$MO$206,"RnR")+COUNTIF('INPUT - Roster'!$MO$6:$MO$206,"R&amp;R")</f>
        <v/>
      </c>
      <c r="LZ36" s="170">
        <f>COUNTIF('INPUT - Roster'!$MP$6:$MP$206,"RnR")+COUNTIF('INPUT - Roster'!$MP$6:$MP$206,"R&amp;R")</f>
        <v/>
      </c>
      <c r="MA36" s="170">
        <f>COUNTIF('INPUT - Roster'!$MQ$6:$MQ$206,"RnR")+COUNTIF('INPUT - Roster'!$MQ$6:$MQ$206,"R&amp;R")</f>
        <v/>
      </c>
      <c r="MB36" s="170">
        <f>COUNTIF('INPUT - Roster'!$MR$6:$MR$206,"RnR")+COUNTIF('INPUT - Roster'!$MR$6:$MR$206,"R&amp;R")</f>
        <v/>
      </c>
      <c r="MC36" s="170">
        <f>COUNTIF('INPUT - Roster'!$MS$6:$MS$206,"RnR")+COUNTIF('INPUT - Roster'!$MS$6:$MS$206,"R&amp;R")</f>
        <v/>
      </c>
      <c r="MD36" s="170">
        <f>COUNTIF('INPUT - Roster'!$MT$6:$MT$206,"RnR")+COUNTIF('INPUT - Roster'!$MT$6:$MT$206,"R&amp;R")</f>
        <v/>
      </c>
      <c r="ME36" s="170">
        <f>COUNTIF('INPUT - Roster'!$MU$6:$MU$206,"RnR")+COUNTIF('INPUT - Roster'!$MU$6:$MU$206,"R&amp;R")</f>
        <v/>
      </c>
      <c r="MF36" s="170">
        <f>COUNTIF('INPUT - Roster'!$MV$6:$MV$206,"RnR")+COUNTIF('INPUT - Roster'!$MV$6:$MV$206,"R&amp;R")</f>
        <v/>
      </c>
      <c r="MG36" s="170">
        <f>COUNTIF('INPUT - Roster'!$MW$6:$MW$206,"RnR")+COUNTIF('INPUT - Roster'!$MW$6:$MW$206,"R&amp;R")</f>
        <v/>
      </c>
      <c r="MH36" s="170">
        <f>COUNTIF('INPUT - Roster'!$MX$6:$MX$206,"RnR")+COUNTIF('INPUT - Roster'!$MX$6:$MX$206,"R&amp;R")</f>
        <v/>
      </c>
      <c r="MI36" s="170">
        <f>COUNTIF('INPUT - Roster'!$MY$6:$MY$206,"RnR")+COUNTIF('INPUT - Roster'!$MY$6:$MY$206,"R&amp;R")</f>
        <v/>
      </c>
      <c r="MJ36" s="170">
        <f>COUNTIF('INPUT - Roster'!$MZ$6:$MZ$206,"RnR")+COUNTIF('INPUT - Roster'!$MZ$6:$MZ$206,"R&amp;R")</f>
        <v/>
      </c>
      <c r="MK36" s="170">
        <f>COUNTIF('INPUT - Roster'!$NA$6:$NA$206,"RnR")+COUNTIF('INPUT - Roster'!$NA$6:$NA$206,"R&amp;R")</f>
        <v/>
      </c>
      <c r="ML36" s="170">
        <f>COUNTIF('INPUT - Roster'!$NB$6:$NB$206,"RnR")+COUNTIF('INPUT - Roster'!$NB$6:$NB$206,"R&amp;R")</f>
        <v/>
      </c>
      <c r="MM36" s="170">
        <f>COUNTIF('INPUT - Roster'!$NC$6:$NC$206,"RnR")+COUNTIF('INPUT - Roster'!$NC$6:$NC$206,"R&amp;R")</f>
        <v/>
      </c>
      <c r="MN36" s="170">
        <f>COUNTIF('INPUT - Roster'!$ND$6:$ND$206,"RnR")+COUNTIF('INPUT - Roster'!$ND$6:$ND$206,"R&amp;R")</f>
        <v/>
      </c>
      <c r="MO36" s="170">
        <f>COUNTIF('INPUT - Roster'!$NE$6:$NE$206,"RnR")+COUNTIF('INPUT - Roster'!$NE$6:$NE$206,"R&amp;R")</f>
        <v/>
      </c>
      <c r="MP36" s="170">
        <f>COUNTIF('INPUT - Roster'!$NF$6:$NF$206,"RnR")+COUNTIF('INPUT - Roster'!$NF$6:$NF$206,"R&amp;R")</f>
        <v/>
      </c>
      <c r="MQ36" s="170">
        <f>COUNTIF('INPUT - Roster'!$NG$6:$NG$206,"RnR")+COUNTIF('INPUT - Roster'!$NG$6:$NG$206,"R&amp;R")</f>
        <v/>
      </c>
      <c r="MR36" s="170">
        <f>COUNTIF('INPUT - Roster'!$NH$6:$NH$206,"RnR")+COUNTIF('INPUT - Roster'!$NH$6:$NH$206,"R&amp;R")</f>
        <v/>
      </c>
      <c r="MS36" s="170">
        <f>COUNTIF('INPUT - Roster'!$NI$6:$NI$206,"RnR")+COUNTIF('INPUT - Roster'!$NI$6:$NI$206,"R&amp;R")</f>
        <v/>
      </c>
      <c r="MT36" s="170">
        <f>COUNTIF('INPUT - Roster'!$NJ$6:$NJ$206,"RnR")+COUNTIF('INPUT - Roster'!$NJ$6:$NJ$206,"R&amp;R")</f>
        <v/>
      </c>
      <c r="MU36" s="170">
        <f>COUNTIF('INPUT - Roster'!$NK$6:$NK$206,"RnR")+COUNTIF('INPUT - Roster'!$NK$6:$NK$206,"R&amp;R")</f>
        <v/>
      </c>
      <c r="MV36" s="170">
        <f>COUNTIF('INPUT - Roster'!$NL$6:$NL$206,"RnR")+COUNTIF('INPUT - Roster'!$NL$6:$NL$206,"R&amp;R")</f>
        <v/>
      </c>
      <c r="MW36" s="170">
        <f>COUNTIF('INPUT - Roster'!$NM$6:$NM$206,"RnR")+COUNTIF('INPUT - Roster'!$NM$6:$NM$206,"R&amp;R")</f>
        <v/>
      </c>
      <c r="MX36" s="170">
        <f>COUNTIF('INPUT - Roster'!$NN$6:$NN$206,"RnR")+COUNTIF('INPUT - Roster'!$NN$6:$NN$206,"R&amp;R")</f>
        <v/>
      </c>
      <c r="MY36" s="170">
        <f>COUNTIF('INPUT - Roster'!$NO$6:$NO$206,"RnR")+COUNTIF('INPUT - Roster'!$NO$6:$NO$206,"R&amp;R")</f>
        <v/>
      </c>
      <c r="MZ36" s="170">
        <f>COUNTIF('INPUT - Roster'!$NP$6:$NP$206,"RnR")+COUNTIF('INPUT - Roster'!$NP$6:$NP$206,"R&amp;R")</f>
        <v/>
      </c>
      <c r="NA36" s="170">
        <f>COUNTIF('INPUT - Roster'!$NQ$6:$NQ$206,"RnR")+COUNTIF('INPUT - Roster'!$NQ$6:$NQ$206,"R&amp;R")</f>
        <v/>
      </c>
      <c r="NB36" s="170">
        <f>COUNTIF('INPUT - Roster'!$NR$6:$NR$206,"RnR")+COUNTIF('INPUT - Roster'!$NR$6:$NR$206,"R&amp;R")</f>
        <v/>
      </c>
      <c r="NC36" s="170">
        <f>COUNTIF('INPUT - Roster'!$NS$6:$NS$206,"RnR")+COUNTIF('INPUT - Roster'!$NS$6:$NS$206,"R&amp;R")</f>
        <v/>
      </c>
      <c r="ND36" s="170">
        <f>COUNTIF('INPUT - Roster'!$NT$6:$NT$206,"RnR")+COUNTIF('INPUT - Roster'!$NT$6:$NT$206,"R&amp;R")</f>
        <v/>
      </c>
      <c r="NE36" s="170">
        <f>COUNTIF('INPUT - Roster'!$NU$6:$NU$206,"RnR")+COUNTIF('INPUT - Roster'!$NU$6:$NU$206,"R&amp;R")</f>
        <v/>
      </c>
      <c r="NF36" s="170">
        <f>COUNTIF('INPUT - Roster'!$NV$6:$NV$206,"RnR")+COUNTIF('INPUT - Roster'!$NV$6:$NV$206,"R&amp;R")</f>
        <v/>
      </c>
      <c r="NG36" s="170">
        <f>COUNTIF('INPUT - Roster'!$NW$6:$NW$206,"RnR")+COUNTIF('INPUT - Roster'!$NW$6:$NW$206,"R&amp;R")</f>
        <v/>
      </c>
      <c r="NH36" s="170">
        <f>COUNTIF('INPUT - Roster'!$NX$6:$NX$206,"RnR")+COUNTIF('INPUT - Roster'!$NX$6:$NX$206,"R&amp;R")</f>
        <v/>
      </c>
      <c r="NI36" s="170">
        <f>COUNTIF('INPUT - Roster'!$NY$6:$NY$206,"RnR")+COUNTIF('INPUT - Roster'!$NY$6:$NY$206,"R&amp;R")</f>
        <v/>
      </c>
      <c r="NJ36" s="170">
        <f>COUNTIF('INPUT - Roster'!$NZ$6:$NZ$206,"RnR")+COUNTIF('INPUT - Roster'!$NZ$6:$NZ$206,"R&amp;R")</f>
        <v/>
      </c>
      <c r="NK36" s="170">
        <f>COUNTIF('INPUT - Roster'!$OA$6:$OA$206,"RnR")+COUNTIF('INPUT - Roster'!$OA$6:$OA$206,"R&amp;R")</f>
        <v/>
      </c>
      <c r="NL36" s="170">
        <f>COUNTIF('INPUT - Roster'!$OB$6:$OB$206,"RnR")+COUNTIF('INPUT - Roster'!$OB$6:$OB$206,"R&amp;R")</f>
        <v/>
      </c>
      <c r="NM36" s="170">
        <f>COUNTIF('INPUT - Roster'!$OC$6:$OC$206,"RnR")+COUNTIF('INPUT - Roster'!$OC$6:$OC$206,"R&amp;R")</f>
        <v/>
      </c>
      <c r="NN36" s="170">
        <f>COUNTIF('INPUT - Roster'!$OD$6:$OD$206,"RnR")+COUNTIF('INPUT - Roster'!$OD$6:$OD$206,"R&amp;R")</f>
        <v/>
      </c>
      <c r="NO36" s="170">
        <f>COUNTIF('INPUT - Roster'!$OE$6:$OE$206,"RnR")+COUNTIF('INPUT - Roster'!$OE$6:$OE$206,"R&amp;R")</f>
        <v/>
      </c>
      <c r="NP36" s="170">
        <f>COUNTIF('INPUT - Roster'!$OF$6:$OF$206,"RnR")+COUNTIF('INPUT - Roster'!$OF$6:$OF$206,"R&amp;R")</f>
        <v/>
      </c>
      <c r="NQ36" s="170">
        <f>COUNTIF('INPUT - Roster'!$OG$6:$OG$206,"RnR")+COUNTIF('INPUT - Roster'!$OG$6:$OG$206,"R&amp;R")</f>
        <v/>
      </c>
      <c r="NR36" s="170">
        <f>COUNTIF('INPUT - Roster'!$OH$6:$OH$206,"RnR")+COUNTIF('INPUT - Roster'!$OH$6:$OH$206,"R&amp;R")</f>
        <v/>
      </c>
      <c r="NS36" s="170">
        <f>COUNTIF('INPUT - Roster'!$OI$6:$OI$206,"RnR")+COUNTIF('INPUT - Roster'!$OI$6:$OI$206,"R&amp;R")</f>
        <v/>
      </c>
      <c r="NT36" s="170">
        <f>COUNTIF('INPUT - Roster'!$OJ$6:$OJ$206,"RnR")+COUNTIF('INPUT - Roster'!$OJ$6:$OJ$206,"R&amp;R")</f>
        <v/>
      </c>
      <c r="NU36" s="170">
        <f>COUNTIF('INPUT - Roster'!$OK$6:$OK$206,"RnR")+COUNTIF('INPUT - Roster'!$OK$6:$OK$206,"R&amp;R")</f>
        <v/>
      </c>
      <c r="NV36" s="170">
        <f>COUNTIF('INPUT - Roster'!$OL$6:$OL$206,"RnR")+COUNTIF('INPUT - Roster'!$OL$6:$OL$206,"R&amp;R")</f>
        <v/>
      </c>
      <c r="NW36" s="170">
        <f>COUNTIF('INPUT - Roster'!$OM$6:$OM$206,"RnR")+COUNTIF('INPUT - Roster'!$OM$6:$OM$206,"R&amp;R")</f>
        <v/>
      </c>
      <c r="NX36" s="170">
        <f>COUNTIF('INPUT - Roster'!$ON$6:$ON$206,"RnR")+COUNTIF('INPUT - Roster'!$ON$6:$ON$206,"R&amp;R")</f>
        <v/>
      </c>
      <c r="NY36" s="170">
        <f>COUNTIF('INPUT - Roster'!$OO$6:$OO$206,"RnR")+COUNTIF('INPUT - Roster'!$OO$6:$OO$206,"R&amp;R")</f>
        <v/>
      </c>
      <c r="NZ36" s="170">
        <f>COUNTIF('INPUT - Roster'!$OP$6:$OP$206,"RnR")+COUNTIF('INPUT - Roster'!$OP$6:$OP$206,"R&amp;R")</f>
        <v/>
      </c>
      <c r="OA36" s="170">
        <f>COUNTIF('INPUT - Roster'!$OQ$6:$OQ$206,"RnR")+COUNTIF('INPUT - Roster'!$OQ$6:$OQ$206,"R&amp;R")</f>
        <v/>
      </c>
      <c r="OB36" s="170">
        <f>COUNTIF('INPUT - Roster'!$OR$6:$OR$206,"RnR")+COUNTIF('INPUT - Roster'!$OR$6:$OR$206,"R&amp;R")</f>
        <v/>
      </c>
      <c r="OC36" s="170">
        <f>COUNTIF('INPUT - Roster'!$OS$6:$OS$206,"RnR")+COUNTIF('INPUT - Roster'!$OS$6:$OS$206,"R&amp;R")</f>
        <v/>
      </c>
      <c r="OD36" s="170">
        <f>COUNTIF('INPUT - Roster'!$OT$6:$OT$206,"RnR")+COUNTIF('INPUT - Roster'!$OT$6:$OT$206,"R&amp;R")</f>
        <v/>
      </c>
      <c r="OE36" s="170">
        <f>COUNTIF('INPUT - Roster'!$OU$6:$OU$206,"RnR")+COUNTIF('INPUT - Roster'!$OU$6:$OU$206,"R&amp;R")</f>
        <v/>
      </c>
      <c r="OF36" s="170">
        <f>COUNTIF('INPUT - Roster'!$OV$6:$OV$206,"RnR")+COUNTIF('INPUT - Roster'!$OV$6:$OV$206,"R&amp;R")</f>
        <v/>
      </c>
      <c r="OG36" s="170">
        <f>COUNTIF('INPUT - Roster'!$OW$6:$OW$206,"RnR")+COUNTIF('INPUT - Roster'!$OW$6:$OW$206,"R&amp;R")</f>
        <v/>
      </c>
      <c r="OH36" s="170">
        <f>COUNTIF('INPUT - Roster'!$OX$6:$OX$206,"RnR")+COUNTIF('INPUT - Roster'!$OX$6:$OX$206,"R&amp;R")</f>
        <v/>
      </c>
      <c r="OI36" s="170">
        <f>COUNTIF('INPUT - Roster'!$OY$6:$OY$206,"RnR")+COUNTIF('INPUT - Roster'!$OY$6:$OY$206,"R&amp;R")</f>
        <v/>
      </c>
      <c r="OJ36" s="170">
        <f>COUNTIF('INPUT - Roster'!$OZ$6:$OZ$206,"RnR")+COUNTIF('INPUT - Roster'!$OZ$6:$OZ$206,"R&amp;R")</f>
        <v/>
      </c>
      <c r="OK36" s="170">
        <f>COUNTIF('INPUT - Roster'!$PA$6:$PA$206,"RnR")+COUNTIF('INPUT - Roster'!$PA$6:$PA$206,"R&amp;R")</f>
        <v/>
      </c>
      <c r="OL36" s="170">
        <f>COUNTIF('INPUT - Roster'!$PB$6:$PB$206,"RnR")+COUNTIF('INPUT - Roster'!$PB$6:$PB$206,"R&amp;R")</f>
        <v/>
      </c>
      <c r="OM36" s="170">
        <f>COUNTIF('INPUT - Roster'!$PC$6:$PC$206,"RnR")+COUNTIF('INPUT - Roster'!$PC$6:$PC$206,"R&amp;R")</f>
        <v/>
      </c>
      <c r="ON36" s="170">
        <f>COUNTIF('INPUT - Roster'!$PD$6:$PD$206,"RnR")+COUNTIF('INPUT - Roster'!$PD$6:$PD$206,"R&amp;R")</f>
        <v/>
      </c>
      <c r="OO36" s="170">
        <f>COUNTIF('INPUT - Roster'!$PE$6:$PE$206,"RnR")+COUNTIF('INPUT - Roster'!$PE$6:$PE$206,"R&amp;R")</f>
        <v/>
      </c>
      <c r="OP36" s="170">
        <f>COUNTIF('INPUT - Roster'!$PF$6:$PF$206,"RnR")+COUNTIF('INPUT - Roster'!$PF$6:$PF$206,"R&amp;R")</f>
        <v/>
      </c>
      <c r="OQ36" s="170">
        <f>COUNTIF('INPUT - Roster'!$PG$6:$PG$206,"RnR")+COUNTIF('INPUT - Roster'!$PG$6:$PG$206,"R&amp;R")</f>
        <v/>
      </c>
      <c r="OR36" s="170">
        <f>COUNTIF('INPUT - Roster'!$PH$6:$PH$206,"RnR")+COUNTIF('INPUT - Roster'!$PH$6:$PH$206,"R&amp;R")</f>
        <v/>
      </c>
      <c r="OS36" s="170">
        <f>COUNTIF('INPUT - Roster'!$PI$6:$PI$206,"RnR")+COUNTIF('INPUT - Roster'!$PI$6:$PI$206,"R&amp;R")</f>
        <v/>
      </c>
      <c r="OT36" s="170">
        <f>COUNTIF('INPUT - Roster'!$PJ$6:$PJ$206,"RnR")+COUNTIF('INPUT - Roster'!$PJ$6:$PJ$206,"R&amp;R")</f>
        <v/>
      </c>
      <c r="OU36" s="170">
        <f>COUNTIF('INPUT - Roster'!$PK$6:$PK$206,"RnR")+COUNTIF('INPUT - Roster'!$PK$6:$PK$206,"R&amp;R")</f>
        <v/>
      </c>
      <c r="OV36" s="170">
        <f>COUNTIF('INPUT - Roster'!$PL$6:$PL$206,"RnR")+COUNTIF('INPUT - Roster'!$PL$6:$PL$206,"R&amp;R")</f>
        <v/>
      </c>
      <c r="OW36" s="170">
        <f>COUNTIF('INPUT - Roster'!$PM$6:$PM$206,"RnR")+COUNTIF('INPUT - Roster'!$PM$6:$PM$206,"R&amp;R")</f>
        <v/>
      </c>
      <c r="OX36" s="170">
        <f>COUNTIF('INPUT - Roster'!$PN$6:$PN$206,"RnR")+COUNTIF('INPUT - Roster'!$PN$6:$PN$206,"R&amp;R")</f>
        <v/>
      </c>
      <c r="OY36" s="170">
        <f>COUNTIF('INPUT - Roster'!$PO$6:$PO$206,"RnR")+COUNTIF('INPUT - Roster'!$PO$6:$PO$206,"R&amp;R")</f>
        <v/>
      </c>
      <c r="OZ36" s="170">
        <f>COUNTIF('INPUT - Roster'!$PP$6:$PP$206,"RnR")+COUNTIF('INPUT - Roster'!$PP$6:$PP$206,"R&amp;R")</f>
        <v/>
      </c>
      <c r="PA36" s="170">
        <f>COUNTIF('INPUT - Roster'!$PQ$6:$PQ$206,"RnR")+COUNTIF('INPUT - Roster'!$PQ$6:$PQ$206,"R&amp;R")</f>
        <v/>
      </c>
      <c r="PB36" s="170">
        <f>COUNTIF('INPUT - Roster'!$PR$6:$PR$206,"RnR")+COUNTIF('INPUT - Roster'!$PR$6:$PR$206,"R&amp;R")</f>
        <v/>
      </c>
      <c r="PC36" s="170">
        <f>COUNTIF('INPUT - Roster'!$PS$6:$PS$206,"RnR")+COUNTIF('INPUT - Roster'!$PS$6:$PS$206,"R&amp;R")</f>
        <v/>
      </c>
      <c r="PD36" s="170">
        <f>COUNTIF('INPUT - Roster'!$PT$6:$PT$206,"RnR")+COUNTIF('INPUT - Roster'!$PT$6:$PT$206,"R&amp;R")</f>
        <v/>
      </c>
      <c r="PE36" s="170">
        <f>COUNTIF('INPUT - Roster'!$PU$6:$PU$206,"RnR")+COUNTIF('INPUT - Roster'!$PU$6:$PU$206,"R&amp;R")</f>
        <v/>
      </c>
      <c r="PF36" s="170">
        <f>COUNTIF('INPUT - Roster'!$PV$6:$PV$206,"RnR")+COUNTIF('INPUT - Roster'!$PV$6:$PV$206,"R&amp;R")</f>
        <v/>
      </c>
      <c r="PG36" s="170">
        <f>COUNTIF('INPUT - Roster'!$PW$6:$PW$206,"RnR")+COUNTIF('INPUT - Roster'!$PW$6:$PW$206,"R&amp;R")</f>
        <v/>
      </c>
      <c r="PH36" s="170">
        <f>COUNTIF('INPUT - Roster'!$PX$6:$PX$206,"RnR")+COUNTIF('INPUT - Roster'!$PX$6:$PX$206,"R&amp;R")</f>
        <v/>
      </c>
      <c r="PI36" s="170">
        <f>COUNTIF('INPUT - Roster'!$PY$6:$PY$206,"RnR")+COUNTIF('INPUT - Roster'!$PY$6:$PY$206,"R&amp;R")</f>
        <v/>
      </c>
      <c r="PJ36" s="170">
        <f>COUNTIF('INPUT - Roster'!$PZ$6:$PZ$206,"RnR")+COUNTIF('INPUT - Roster'!$PZ$6:$PZ$206,"R&amp;R")</f>
        <v/>
      </c>
      <c r="PK36" s="170">
        <f>COUNTIF('INPUT - Roster'!$QA$6:$QA$206,"RnR")+COUNTIF('INPUT - Roster'!$QA$6:$QA$206,"R&amp;R")</f>
        <v/>
      </c>
      <c r="PL36" s="170">
        <f>COUNTIF('INPUT - Roster'!$QB$6:$QB$206,"RnR")+COUNTIF('INPUT - Roster'!$QB$6:$QB$206,"R&amp;R")</f>
        <v/>
      </c>
      <c r="PM36" s="170">
        <f>COUNTIF('INPUT - Roster'!$QC$6:$QC$206,"RnR")+COUNTIF('INPUT - Roster'!$QC$6:$QC$206,"R&amp;R")</f>
        <v/>
      </c>
      <c r="PN36" s="170">
        <f>COUNTIF('INPUT - Roster'!$QD$6:$QD$206,"RnR")+COUNTIF('INPUT - Roster'!$QD$6:$QD$206,"R&amp;R")</f>
        <v/>
      </c>
      <c r="PO36" s="170">
        <f>COUNTIF('INPUT - Roster'!$QE$6:$QE$206,"RnR")+COUNTIF('INPUT - Roster'!$QE$6:$QE$206,"R&amp;R")</f>
        <v/>
      </c>
      <c r="PP36" s="170">
        <f>COUNTIF('INPUT - Roster'!$QF$6:$QF$206,"RnR")+COUNTIF('INPUT - Roster'!$QF$6:$QF$206,"R&amp;R")</f>
        <v/>
      </c>
      <c r="PQ36" s="170">
        <f>COUNTIF('INPUT - Roster'!$QG$6:$QG$206,"RnR")+COUNTIF('INPUT - Roster'!$QG$6:$QG$206,"R&amp;R")</f>
        <v/>
      </c>
      <c r="PR36" s="170">
        <f>COUNTIF('INPUT - Roster'!$QH$6:$QH$206,"RnR")+COUNTIF('INPUT - Roster'!$QH$6:$QH$206,"R&amp;R")</f>
        <v/>
      </c>
      <c r="PS36" s="170">
        <f>COUNTIF('INPUT - Roster'!$QI$6:$QI$206,"RnR")+COUNTIF('INPUT - Roster'!$QI$6:$QI$206,"R&amp;R")</f>
        <v/>
      </c>
      <c r="PT36" s="170">
        <f>COUNTIF('INPUT - Roster'!$QJ$6:$QJ$206,"RnR")+COUNTIF('INPUT - Roster'!$QJ$6:$QJ$206,"R&amp;R")</f>
        <v/>
      </c>
      <c r="PU36" s="170">
        <f>COUNTIF('INPUT - Roster'!$QK$6:$QK$206,"RnR")+COUNTIF('INPUT - Roster'!$QK$6:$QK$206,"R&amp;R")</f>
        <v/>
      </c>
      <c r="PV36" s="170">
        <f>COUNTIF('INPUT - Roster'!$QL$6:$QL$206,"RnR")+COUNTIF('INPUT - Roster'!$QL$6:$QL$206,"R&amp;R")</f>
        <v/>
      </c>
      <c r="PW36" s="170">
        <f>COUNTIF('INPUT - Roster'!$QM$6:$QM$206,"RnR")+COUNTIF('INPUT - Roster'!$QM$6:$QM$206,"R&amp;R")</f>
        <v/>
      </c>
      <c r="PX36" s="170">
        <f>COUNTIF('INPUT - Roster'!$QN$6:$QN$206,"RnR")+COUNTIF('INPUT - Roster'!$QN$6:$QN$206,"R&amp;R")</f>
        <v/>
      </c>
      <c r="PY36" s="170">
        <f>COUNTIF('INPUT - Roster'!$QO$6:$QO$206,"RnR")+COUNTIF('INPUT - Roster'!$QO$6:$QO$206,"R&amp;R")</f>
        <v/>
      </c>
      <c r="PZ36" s="170">
        <f>COUNTIF('INPUT - Roster'!$QP$6:$QP$206,"RnR")+COUNTIF('INPUT - Roster'!$QP$6:$QP$206,"R&amp;R")</f>
        <v/>
      </c>
      <c r="QA36" s="170">
        <f>COUNTIF('INPUT - Roster'!$QQ$6:$QQ$206,"RnR")+COUNTIF('INPUT - Roster'!$QQ$6:$QQ$206,"R&amp;R")</f>
        <v/>
      </c>
      <c r="QB36" s="170">
        <f>COUNTIF('INPUT - Roster'!$QR$6:$QR$206,"RnR")+COUNTIF('INPUT - Roster'!$QR$6:$QR$206,"R&amp;R")</f>
        <v/>
      </c>
      <c r="QC36" s="170">
        <f>COUNTIF('INPUT - Roster'!$QS$6:$QS$206,"RnR")+COUNTIF('INPUT - Roster'!$QS$6:$QS$206,"R&amp;R")</f>
        <v/>
      </c>
      <c r="QD36" s="170">
        <f>COUNTIF('INPUT - Roster'!$QT$6:$QT$206,"RnR")+COUNTIF('INPUT - Roster'!$QT$6:$QT$206,"R&amp;R")</f>
        <v/>
      </c>
      <c r="QE36" s="170">
        <f>COUNTIF('INPUT - Roster'!$QU$6:$QU$206,"RnR")+COUNTIF('INPUT - Roster'!$QU$6:$QU$206,"R&amp;R")</f>
        <v/>
      </c>
      <c r="QF36" s="170">
        <f>COUNTIF('INPUT - Roster'!$QV$6:$QV$206,"RnR")+COUNTIF('INPUT - Roster'!$QV$6:$QV$206,"R&amp;R")</f>
        <v/>
      </c>
      <c r="QG36" s="170">
        <f>COUNTIF('INPUT - Roster'!$QW$6:$QW$206,"RnR")+COUNTIF('INPUT - Roster'!$QW$6:$QW$206,"R&amp;R")</f>
        <v/>
      </c>
      <c r="QH36" s="170">
        <f>COUNTIF('INPUT - Roster'!$QX$6:$QX$206,"RnR")+COUNTIF('INPUT - Roster'!$QX$6:$QX$206,"R&amp;R")</f>
        <v/>
      </c>
      <c r="QI36" s="170">
        <f>COUNTIF('INPUT - Roster'!$QY$6:$QY$206,"RnR")+COUNTIF('INPUT - Roster'!$QY$6:$QY$206,"R&amp;R")</f>
        <v/>
      </c>
      <c r="QJ36" s="170">
        <f>COUNTIF('INPUT - Roster'!$QZ$6:$QZ$206,"RnR")+COUNTIF('INPUT - Roster'!$QZ$6:$QZ$206,"R&amp;R")</f>
        <v/>
      </c>
      <c r="QK36" s="170">
        <f>COUNTIF('INPUT - Roster'!$RA$6:$RA$206,"RnR")+COUNTIF('INPUT - Roster'!$RA$6:$RA$206,"R&amp;R")</f>
        <v/>
      </c>
      <c r="QL36" s="170">
        <f>COUNTIF('INPUT - Roster'!$RB$6:$RB$206,"RnR")+COUNTIF('INPUT - Roster'!$RB$6:$RB$206,"R&amp;R")</f>
        <v/>
      </c>
      <c r="QM36" s="170">
        <f>COUNTIF('INPUT - Roster'!$RC$6:$RC$206,"RnR")+COUNTIF('INPUT - Roster'!$RC$6:$RC$206,"R&amp;R")</f>
        <v/>
      </c>
      <c r="QN36" s="170">
        <f>COUNTIF('INPUT - Roster'!$RD$6:$RD$206,"RnR")+COUNTIF('INPUT - Roster'!$RD$6:$RD$206,"R&amp;R")</f>
        <v/>
      </c>
      <c r="QO36" s="170">
        <f>COUNTIF('INPUT - Roster'!$RE$6:$RE$206,"RnR")+COUNTIF('INPUT - Roster'!$RE$6:$RE$206,"R&amp;R")</f>
        <v/>
      </c>
      <c r="QP36" s="170">
        <f>COUNTIF('INPUT - Roster'!$RF$6:$RF$206,"RnR")+COUNTIF('INPUT - Roster'!$RF$6:$RF$206,"R&amp;R")</f>
        <v/>
      </c>
      <c r="QQ36" s="170">
        <f>COUNTIF('INPUT - Roster'!$RG$6:$RG$206,"RnR")+COUNTIF('INPUT - Roster'!$RG$6:$RG$206,"R&amp;R")</f>
        <v/>
      </c>
      <c r="QR36" s="170">
        <f>COUNTIF('INPUT - Roster'!$RH$6:$RH$206,"RnR")+COUNTIF('INPUT - Roster'!$RH$6:$RH$206,"R&amp;R")</f>
        <v/>
      </c>
      <c r="QS36" s="170">
        <f>COUNTIF('INPUT - Roster'!$RI$6:$RI$206,"RnR")+COUNTIF('INPUT - Roster'!$RI$6:$RI$206,"R&amp;R")</f>
        <v/>
      </c>
      <c r="QT36" s="170">
        <f>COUNTIF('INPUT - Roster'!$RJ$6:$RJ$206,"RnR")+COUNTIF('INPUT - Roster'!$RJ$6:$RJ$206,"R&amp;R")</f>
        <v/>
      </c>
      <c r="QU36" s="170">
        <f>COUNTIF('INPUT - Roster'!$RK$6:$RK$206,"RnR")+COUNTIF('INPUT - Roster'!$RK$6:$RK$206,"R&amp;R")</f>
        <v/>
      </c>
      <c r="QV36" s="170">
        <f>COUNTIF('INPUT - Roster'!$RL$6:$RL$206,"RnR")+COUNTIF('INPUT - Roster'!$RL$6:$RL$206,"R&amp;R")</f>
        <v/>
      </c>
      <c r="QW36" s="170">
        <f>COUNTIF('INPUT - Roster'!$RM$6:$RM$206,"RnR")+COUNTIF('INPUT - Roster'!$RM$6:$RM$206,"R&amp;R")</f>
        <v/>
      </c>
      <c r="QX36" s="170">
        <f>COUNTIF('INPUT - Roster'!$RN$6:$RN$206,"RnR")+COUNTIF('INPUT - Roster'!$RN$6:$RN$206,"R&amp;R")</f>
        <v/>
      </c>
      <c r="QY36" s="170">
        <f>COUNTIF('INPUT - Roster'!$RO$6:$RO$206,"RnR")+COUNTIF('INPUT - Roster'!$RO$6:$RO$206,"R&amp;R")</f>
        <v/>
      </c>
      <c r="QZ36" s="170">
        <f>COUNTIF('INPUT - Roster'!$RP$6:$RP$206,"RnR")+COUNTIF('INPUT - Roster'!$RP$6:$RP$206,"R&amp;R")</f>
        <v/>
      </c>
      <c r="RA36" s="170">
        <f>COUNTIF('INPUT - Roster'!$RQ$6:$RQ$206,"RnR")+COUNTIF('INPUT - Roster'!$RQ$6:$RQ$206,"R&amp;R")</f>
        <v/>
      </c>
      <c r="RB36" s="170">
        <f>COUNTIF('INPUT - Roster'!$RR$6:$RR$206,"RnR")+COUNTIF('INPUT - Roster'!$RR$6:$RR$206,"R&amp;R")</f>
        <v/>
      </c>
      <c r="RC36" s="170">
        <f>COUNTIF('INPUT - Roster'!$RS$6:$RS$206,"RnR")+COUNTIF('INPUT - Roster'!$RS$6:$RS$206,"R&amp;R")</f>
        <v/>
      </c>
      <c r="RD36" s="170">
        <f>COUNTIF('INPUT - Roster'!$RT$6:$RT$206,"RnR")+COUNTIF('INPUT - Roster'!$RT$6:$RT$206,"R&amp;R")</f>
        <v/>
      </c>
      <c r="RE36" s="170">
        <f>COUNTIF('INPUT - Roster'!$RU$6:$RU$206,"RnR")+COUNTIF('INPUT - Roster'!$RU$6:$RU$206,"R&amp;R")</f>
        <v/>
      </c>
      <c r="RF36" s="170">
        <f>COUNTIF('INPUT - Roster'!$RV$6:$RV$206,"RnR")+COUNTIF('INPUT - Roster'!$RV$6:$RV$206,"R&amp;R")</f>
        <v/>
      </c>
      <c r="RG36" s="170">
        <f>COUNTIF('INPUT - Roster'!$RW$6:$RW$206,"RnR")+COUNTIF('INPUT - Roster'!$RW$6:$RW$206,"R&amp;R")</f>
        <v/>
      </c>
      <c r="RH36" s="170">
        <f>COUNTIF('INPUT - Roster'!$RX$6:$RX$206,"RnR")+COUNTIF('INPUT - Roster'!$RX$6:$RX$206,"R&amp;R")</f>
        <v/>
      </c>
      <c r="RI36" s="170">
        <f>COUNTIF('INPUT - Roster'!$RY$6:$RY$206,"RnR")+COUNTIF('INPUT - Roster'!$RY$6:$RY$206,"R&amp;R")</f>
        <v/>
      </c>
      <c r="RJ36" s="170">
        <f>COUNTIF('INPUT - Roster'!$RZ$6:$RZ$206,"RnR")+COUNTIF('INPUT - Roster'!$RZ$6:$RZ$206,"R&amp;R")</f>
        <v/>
      </c>
      <c r="RK36" s="170">
        <f>COUNTIF('INPUT - Roster'!$SA$6:$SA$206,"RnR")+COUNTIF('INPUT - Roster'!$SA$6:$SA$206,"R&amp;R")</f>
        <v/>
      </c>
      <c r="RL36" s="170">
        <f>COUNTIF('INPUT - Roster'!$SB$6:$SB$206,"RnR")+COUNTIF('INPUT - Roster'!$SB$6:$SB$206,"R&amp;R")</f>
        <v/>
      </c>
      <c r="RM36" s="170">
        <f>COUNTIF('INPUT - Roster'!$SC$6:$SC$206,"RnR")+COUNTIF('INPUT - Roster'!$SC$6:$SC$206,"R&amp;R")</f>
        <v/>
      </c>
      <c r="RN36" s="170">
        <f>COUNTIF('INPUT - Roster'!$SD$6:$SD$206,"RnR")+COUNTIF('INPUT - Roster'!$SD$6:$SD$206,"R&amp;R")</f>
        <v/>
      </c>
      <c r="RO36" s="170">
        <f>COUNTIF('INPUT - Roster'!$SE$6:$SE$206,"RnR")+COUNTIF('INPUT - Roster'!$SE$6:$SE$206,"R&amp;R")</f>
        <v/>
      </c>
      <c r="RP36" s="170">
        <f>COUNTIF('INPUT - Roster'!$SF$6:$SF$206,"RnR")+COUNTIF('INPUT - Roster'!$SF$6:$SF$206,"R&amp;R")</f>
        <v/>
      </c>
      <c r="RQ36" s="170">
        <f>COUNTIF('INPUT - Roster'!$SG$6:$SG$206,"RnR")+COUNTIF('INPUT - Roster'!$SG$6:$SG$206,"R&amp;R")</f>
        <v/>
      </c>
      <c r="RR36" s="170">
        <f>COUNTIF('INPUT - Roster'!$SH$6:$SH$206,"RnR")+COUNTIF('INPUT - Roster'!$SH$6:$SH$206,"R&amp;R")</f>
        <v/>
      </c>
      <c r="RS36" s="170">
        <f>COUNTIF('INPUT - Roster'!$SI$6:$SI$206,"RnR")+COUNTIF('INPUT - Roster'!$SI$6:$SI$206,"R&amp;R")</f>
        <v/>
      </c>
      <c r="RT36" s="170">
        <f>COUNTIF('INPUT - Roster'!$SJ$6:$SJ$206,"RnR")+COUNTIF('INPUT - Roster'!$SJ$6:$SJ$206,"R&amp;R")</f>
        <v/>
      </c>
      <c r="RU36" s="170">
        <f>COUNTIF('INPUT - Roster'!$SK$6:$SK$206,"RnR")+COUNTIF('INPUT - Roster'!$SK$6:$SK$206,"R&amp;R")</f>
        <v/>
      </c>
      <c r="RV36" s="170">
        <f>COUNTIF('INPUT - Roster'!$SL$6:$SL$206,"RnR")+COUNTIF('INPUT - Roster'!$SL$6:$SL$206,"R&amp;R")</f>
        <v/>
      </c>
      <c r="RW36" s="170">
        <f>COUNTIF('INPUT - Roster'!$SM$6:$SM$206,"RnR")+COUNTIF('INPUT - Roster'!$SM$6:$SM$206,"R&amp;R")</f>
        <v/>
      </c>
      <c r="RX36" s="170">
        <f>COUNTIF('INPUT - Roster'!$SN$6:$SN$206,"RnR")+COUNTIF('INPUT - Roster'!$SN$6:$SN$206,"R&amp;R")</f>
        <v/>
      </c>
      <c r="RY36" s="170">
        <f>COUNTIF('INPUT - Roster'!$SO$6:$SO$206,"RnR")+COUNTIF('INPUT - Roster'!$SO$6:$SO$206,"R&amp;R")</f>
        <v/>
      </c>
      <c r="RZ36" s="170">
        <f>COUNTIF('INPUT - Roster'!$SP$6:$SP$206,"RnR")+COUNTIF('INPUT - Roster'!$SP$6:$SP$206,"R&amp;R")</f>
        <v/>
      </c>
      <c r="SA36" s="170">
        <f>COUNTIF('INPUT - Roster'!$SQ$6:$SQ$206,"RnR")+COUNTIF('INPUT - Roster'!$SQ$6:$SQ$206,"R&amp;R")</f>
        <v/>
      </c>
      <c r="SB36" s="170">
        <f>COUNTIF('INPUT - Roster'!$SR$6:$SR$206,"RnR")+COUNTIF('INPUT - Roster'!$SR$6:$SR$206,"R&amp;R")</f>
        <v/>
      </c>
      <c r="SC36" s="170">
        <f>COUNTIF('INPUT - Roster'!$SS$6:$SS$206,"RnR")+COUNTIF('INPUT - Roster'!$SS$6:$SS$206,"R&amp;R")</f>
        <v/>
      </c>
      <c r="SD36" s="170">
        <f>COUNTIF('INPUT - Roster'!$ST$6:$ST$206,"RnR")+COUNTIF('INPUT - Roster'!$ST$6:$ST$206,"R&amp;R")</f>
        <v/>
      </c>
      <c r="SE36" s="170">
        <f>COUNTIF('INPUT - Roster'!$SU$6:$SU$206,"RnR")+COUNTIF('INPUT - Roster'!$SU$6:$SU$206,"R&amp;R")</f>
        <v/>
      </c>
      <c r="SF36" s="170">
        <f>COUNTIF('INPUT - Roster'!$SV$6:$SV$206,"RnR")+COUNTIF('INPUT - Roster'!$SV$6:$SV$206,"R&amp;R")</f>
        <v/>
      </c>
    </row>
    <row r="37">
      <c r="B37" s="169" t="inlineStr">
        <is>
          <t>Annual leave</t>
        </is>
      </c>
      <c r="C37" s="170">
        <f>COUNTIF('INPUT - Roster'!$S$6:$S$206,"*A/L*")</f>
        <v/>
      </c>
      <c r="D37" s="170">
        <f>COUNTIF('INPUT - Roster'!$T$6:$T$206,"*A/L*")</f>
        <v/>
      </c>
      <c r="E37" s="170">
        <f>COUNTIF('INPUT - Roster'!$U$6:$U$206,"*A/L*")</f>
        <v/>
      </c>
      <c r="F37" s="170">
        <f>COUNTIF('INPUT - Roster'!$V$6:$V$206,"*A/L*")</f>
        <v/>
      </c>
      <c r="G37" s="170">
        <f>COUNTIF('INPUT - Roster'!$W$6:$W$206,"*A/L*")</f>
        <v/>
      </c>
      <c r="H37" s="170">
        <f>COUNTIF('INPUT - Roster'!$X$6:$X$206,"*A/L*")</f>
        <v/>
      </c>
      <c r="I37" s="170">
        <f>COUNTIF('INPUT - Roster'!$Y$6:$Y$206,"*A/L*")</f>
        <v/>
      </c>
      <c r="J37" s="170">
        <f>COUNTIF('INPUT - Roster'!$Z$6:$Z$206,"*A/L*")</f>
        <v/>
      </c>
      <c r="K37" s="170">
        <f>COUNTIF('INPUT - Roster'!$AA$6:$AA$206,"*A/L*")</f>
        <v/>
      </c>
      <c r="L37" s="170">
        <f>COUNTIF('INPUT - Roster'!$AB$6:$AB$206,"*A/L*")</f>
        <v/>
      </c>
      <c r="M37" s="170">
        <f>COUNTIF('INPUT - Roster'!$AC$6:$AC$206,"*A/L*")</f>
        <v/>
      </c>
      <c r="N37" s="170">
        <f>COUNTIF('INPUT - Roster'!$AD$6:$AD$206,"*A/L*")</f>
        <v/>
      </c>
      <c r="O37" s="170">
        <f>COUNTIF('INPUT - Roster'!$AE$6:$AE$206,"*A/L*")</f>
        <v/>
      </c>
      <c r="P37" s="170">
        <f>COUNTIF('INPUT - Roster'!$AF$6:$AF$206,"*A/L*")</f>
        <v/>
      </c>
      <c r="Q37" s="170">
        <f>COUNTIF('INPUT - Roster'!$AG$6:$AG$206,"*A/L*")</f>
        <v/>
      </c>
      <c r="R37" s="170">
        <f>COUNTIF('INPUT - Roster'!$AH$6:$AH$206,"*A/L*")</f>
        <v/>
      </c>
      <c r="S37" s="170">
        <f>COUNTIF('INPUT - Roster'!$AI$6:$AI$206,"*A/L*")</f>
        <v/>
      </c>
      <c r="T37" s="170">
        <f>COUNTIF('INPUT - Roster'!$AJ$6:$AJ$206,"*A/L*")</f>
        <v/>
      </c>
      <c r="U37" s="170">
        <f>COUNTIF('INPUT - Roster'!$AK$6:$AK$206,"*A/L*")</f>
        <v/>
      </c>
      <c r="V37" s="170">
        <f>COUNTIF('INPUT - Roster'!$AL$6:$AL$206,"*A/L*")</f>
        <v/>
      </c>
      <c r="W37" s="170">
        <f>COUNTIF('INPUT - Roster'!$AM$6:$AM$206,"*A/L*")</f>
        <v/>
      </c>
      <c r="X37" s="170">
        <f>COUNTIF('INPUT - Roster'!$AN$6:$AN$206,"*A/L*")</f>
        <v/>
      </c>
      <c r="Y37" s="170">
        <f>COUNTIF('INPUT - Roster'!$AO$6:$AO$206,"*A/L*")</f>
        <v/>
      </c>
      <c r="Z37" s="170">
        <f>COUNTIF('INPUT - Roster'!$AP$6:$AP$206,"*A/L*")</f>
        <v/>
      </c>
      <c r="AA37" s="170">
        <f>COUNTIF('INPUT - Roster'!$AQ$6:$AQ$206,"*A/L*")</f>
        <v/>
      </c>
      <c r="AB37" s="170">
        <f>COUNTIF('INPUT - Roster'!$AR$6:$AR$206,"*A/L*")</f>
        <v/>
      </c>
      <c r="AC37" s="170">
        <f>COUNTIF('INPUT - Roster'!$AS$6:$AS$206,"*A/L*")</f>
        <v/>
      </c>
      <c r="AD37" s="170">
        <f>COUNTIF('INPUT - Roster'!$AT$6:$AT$206,"*A/L*")</f>
        <v/>
      </c>
      <c r="AE37" s="170">
        <f>COUNTIF('INPUT - Roster'!$AU$6:$AU$206,"*A/L*")</f>
        <v/>
      </c>
      <c r="AF37" s="170">
        <f>COUNTIF('INPUT - Roster'!$AV$6:$AV$206,"*A/L*")</f>
        <v/>
      </c>
      <c r="AG37" s="170">
        <f>COUNTIF('INPUT - Roster'!$AW$6:$AW$206,"*A/L*")</f>
        <v/>
      </c>
      <c r="AH37" s="170">
        <f>COUNTIF('INPUT - Roster'!$AX$6:$AX$206,"*A/L*")</f>
        <v/>
      </c>
      <c r="AI37" s="170">
        <f>COUNTIF('INPUT - Roster'!$AY$6:$AY$206,"*A/L*")</f>
        <v/>
      </c>
      <c r="AJ37" s="170">
        <f>COUNTIF('INPUT - Roster'!$AZ$6:$AZ$206,"*A/L*")</f>
        <v/>
      </c>
      <c r="AK37" s="170">
        <f>COUNTIF('INPUT - Roster'!$BA$6:$BA$206,"*A/L*")</f>
        <v/>
      </c>
      <c r="AL37" s="170">
        <f>COUNTIF('INPUT - Roster'!$BB$6:$BB$206,"*A/L*")</f>
        <v/>
      </c>
      <c r="AM37" s="170">
        <f>COUNTIF('INPUT - Roster'!$BC$6:$BC$206,"*A/L*")</f>
        <v/>
      </c>
      <c r="AN37" s="170">
        <f>COUNTIF('INPUT - Roster'!$BD$6:$BD$206,"*A/L*")</f>
        <v/>
      </c>
      <c r="AO37" s="170">
        <f>COUNTIF('INPUT - Roster'!$BE$6:$BE$206,"*A/L*")</f>
        <v/>
      </c>
      <c r="AP37" s="170">
        <f>COUNTIF('INPUT - Roster'!$BF$6:$BF$206,"*A/L*")</f>
        <v/>
      </c>
      <c r="AQ37" s="170">
        <f>COUNTIF('INPUT - Roster'!$BG$6:$BG$206,"*A/L*")</f>
        <v/>
      </c>
      <c r="AR37" s="170">
        <f>COUNTIF('INPUT - Roster'!$BH$6:$BH$206,"*A/L*")</f>
        <v/>
      </c>
      <c r="AS37" s="170">
        <f>COUNTIF('INPUT - Roster'!$BI$6:$BI$206,"*A/L*")</f>
        <v/>
      </c>
      <c r="AT37" s="170">
        <f>COUNTIF('INPUT - Roster'!$BJ$6:$BJ$206,"*A/L*")</f>
        <v/>
      </c>
      <c r="AU37" s="170">
        <f>COUNTIF('INPUT - Roster'!$BK$6:$BK$206,"*A/L*")</f>
        <v/>
      </c>
      <c r="AV37" s="170">
        <f>COUNTIF('INPUT - Roster'!$BL$6:$BL$206,"*A/L*")</f>
        <v/>
      </c>
      <c r="AW37" s="170">
        <f>COUNTIF('INPUT - Roster'!$BM$6:$BM$206,"*A/L*")</f>
        <v/>
      </c>
      <c r="AX37" s="170">
        <f>COUNTIF('INPUT - Roster'!$BN$6:$BN$206,"*A/L*")</f>
        <v/>
      </c>
      <c r="AY37" s="170">
        <f>COUNTIF('INPUT - Roster'!$BO$6:$BO$206,"*A/L*")</f>
        <v/>
      </c>
      <c r="AZ37" s="170">
        <f>COUNTIF('INPUT - Roster'!$BP$6:$BP$206,"*A/L*")</f>
        <v/>
      </c>
      <c r="BA37" s="170">
        <f>COUNTIF('INPUT - Roster'!$BQ$6:$BQ$206,"*A/L*")</f>
        <v/>
      </c>
      <c r="BB37" s="170">
        <f>COUNTIF('INPUT - Roster'!$BR$6:$BR$206,"*A/L*")</f>
        <v/>
      </c>
      <c r="BC37" s="170">
        <f>COUNTIF('INPUT - Roster'!$BS$6:$BS$206,"*A/L*")</f>
        <v/>
      </c>
      <c r="BD37" s="170">
        <f>COUNTIF('INPUT - Roster'!$BT$6:$BT$206,"*A/L*")</f>
        <v/>
      </c>
      <c r="BE37" s="170">
        <f>COUNTIF('INPUT - Roster'!$BU$6:$BU$206,"*A/L*")</f>
        <v/>
      </c>
      <c r="BF37" s="170">
        <f>COUNTIF('INPUT - Roster'!$BV$6:$BV$206,"*A/L*")</f>
        <v/>
      </c>
      <c r="BG37" s="170">
        <f>COUNTIF('INPUT - Roster'!$BW$6:$BW$206,"*A/L*")</f>
        <v/>
      </c>
      <c r="BH37" s="170">
        <f>COUNTIF('INPUT - Roster'!$BX$6:$BX$206,"*A/L*")</f>
        <v/>
      </c>
      <c r="BI37" s="170">
        <f>COUNTIF('INPUT - Roster'!$BY$6:$BY$206,"*A/L*")</f>
        <v/>
      </c>
      <c r="BJ37" s="170">
        <f>COUNTIF('INPUT - Roster'!$BZ$6:$BZ$206,"*A/L*")</f>
        <v/>
      </c>
      <c r="BK37" s="170">
        <f>COUNTIF('INPUT - Roster'!$CA$6:$CA$206,"*A/L*")</f>
        <v/>
      </c>
      <c r="BL37" s="170">
        <f>COUNTIF('INPUT - Roster'!$CB$6:$CB$206,"*A/L*")</f>
        <v/>
      </c>
      <c r="BM37" s="170">
        <f>COUNTIF('INPUT - Roster'!$CC$6:$CC$206,"*A/L*")</f>
        <v/>
      </c>
      <c r="BN37" s="170">
        <f>COUNTIF('INPUT - Roster'!$CD$6:$CD$206,"*A/L*")</f>
        <v/>
      </c>
      <c r="BO37" s="170">
        <f>COUNTIF('INPUT - Roster'!$CE$6:$CE$206,"*A/L*")</f>
        <v/>
      </c>
      <c r="BP37" s="170">
        <f>COUNTIF('INPUT - Roster'!$CF$6:$CF$206,"*A/L*")</f>
        <v/>
      </c>
      <c r="BQ37" s="170">
        <f>COUNTIF('INPUT - Roster'!$CG$6:$CG$206,"*A/L*")</f>
        <v/>
      </c>
      <c r="BR37" s="170">
        <f>COUNTIF('INPUT - Roster'!$CH$6:$CH$206,"*A/L*")</f>
        <v/>
      </c>
      <c r="BS37" s="170">
        <f>COUNTIF('INPUT - Roster'!$CI$6:$CI$206,"*A/L*")</f>
        <v/>
      </c>
      <c r="BT37" s="170">
        <f>COUNTIF('INPUT - Roster'!$CJ$6:$CJ$206,"*A/L*")</f>
        <v/>
      </c>
      <c r="BU37" s="170">
        <f>COUNTIF('INPUT - Roster'!$CK$6:$CK$206,"*A/L*")</f>
        <v/>
      </c>
      <c r="BV37" s="170">
        <f>COUNTIF('INPUT - Roster'!$CL$6:$CL$206,"*A/L*")</f>
        <v/>
      </c>
      <c r="BW37" s="170">
        <f>COUNTIF('INPUT - Roster'!$CM$6:$CM$206,"*A/L*")</f>
        <v/>
      </c>
      <c r="BX37" s="170">
        <f>COUNTIF('INPUT - Roster'!$CN$6:$CN$206,"*A/L*")</f>
        <v/>
      </c>
      <c r="BY37" s="170">
        <f>COUNTIF('INPUT - Roster'!$CO$6:$CO$206,"*A/L*")</f>
        <v/>
      </c>
      <c r="BZ37" s="170">
        <f>COUNTIF('INPUT - Roster'!$CP$6:$CP$206,"*A/L*")</f>
        <v/>
      </c>
      <c r="CA37" s="170">
        <f>COUNTIF('INPUT - Roster'!$CQ$6:$CQ$206,"*A/L*")</f>
        <v/>
      </c>
      <c r="CB37" s="170">
        <f>COUNTIF('INPUT - Roster'!$CR$6:$CR$206,"*A/L*")</f>
        <v/>
      </c>
      <c r="CC37" s="170">
        <f>COUNTIF('INPUT - Roster'!$CS$6:$CS$206,"*A/L*")</f>
        <v/>
      </c>
      <c r="CD37" s="170">
        <f>COUNTIF('INPUT - Roster'!$CT$6:$CT$206,"*A/L*")</f>
        <v/>
      </c>
      <c r="CE37" s="170">
        <f>COUNTIF('INPUT - Roster'!$CU$6:$CU$206,"*A/L*")</f>
        <v/>
      </c>
      <c r="CF37" s="170">
        <f>COUNTIF('INPUT - Roster'!$CV$6:$CV$206,"*A/L*")</f>
        <v/>
      </c>
      <c r="CG37" s="170">
        <f>COUNTIF('INPUT - Roster'!$CW$6:$CW$206,"*A/L*")</f>
        <v/>
      </c>
      <c r="CH37" s="170">
        <f>COUNTIF('INPUT - Roster'!$CX$6:$CX$206,"*A/L*")</f>
        <v/>
      </c>
      <c r="CI37" s="170">
        <f>COUNTIF('INPUT - Roster'!$CY$6:$CY$206,"*A/L*")</f>
        <v/>
      </c>
      <c r="CJ37" s="170">
        <f>COUNTIF('INPUT - Roster'!$CZ$6:$CZ$206,"*A/L*")</f>
        <v/>
      </c>
      <c r="CK37" s="170">
        <f>COUNTIF('INPUT - Roster'!$DA$6:$DA$206,"*A/L*")</f>
        <v/>
      </c>
      <c r="CL37" s="170">
        <f>COUNTIF('INPUT - Roster'!$DB$6:$DB$206,"*A/L*")</f>
        <v/>
      </c>
      <c r="CM37" s="170">
        <f>COUNTIF('INPUT - Roster'!$DC$6:$DC$206,"*A/L*")</f>
        <v/>
      </c>
      <c r="CN37" s="170">
        <f>COUNTIF('INPUT - Roster'!$DD$6:$DD$206,"*A/L*")</f>
        <v/>
      </c>
      <c r="CO37" s="170">
        <f>COUNTIF('INPUT - Roster'!$DE$6:$DE$206,"*A/L*")</f>
        <v/>
      </c>
      <c r="CP37" s="170">
        <f>COUNTIF('INPUT - Roster'!$DF$6:$DF$206,"*A/L*")</f>
        <v/>
      </c>
      <c r="CQ37" s="170">
        <f>COUNTIF('INPUT - Roster'!$DG$6:$DG$206,"*A/L*")</f>
        <v/>
      </c>
      <c r="CR37" s="170">
        <f>COUNTIF('INPUT - Roster'!$DH$6:$DH$206,"*A/L*")</f>
        <v/>
      </c>
      <c r="CS37" s="170">
        <f>COUNTIF('INPUT - Roster'!$DI$6:$DI$206,"*A/L*")</f>
        <v/>
      </c>
      <c r="CT37" s="170">
        <f>COUNTIF('INPUT - Roster'!$DJ$6:$DJ$206,"*A/L*")</f>
        <v/>
      </c>
      <c r="CU37" s="170">
        <f>COUNTIF('INPUT - Roster'!$DK$6:$DK$206,"*A/L*")</f>
        <v/>
      </c>
      <c r="CV37" s="170">
        <f>COUNTIF('INPUT - Roster'!$DL$6:$DL$206,"*A/L*")</f>
        <v/>
      </c>
      <c r="CW37" s="170">
        <f>COUNTIF('INPUT - Roster'!$DM$6:$DM$206,"*A/L*")</f>
        <v/>
      </c>
      <c r="CX37" s="170">
        <f>COUNTIF('INPUT - Roster'!$DN$6:$DN$206,"*A/L*")</f>
        <v/>
      </c>
      <c r="CY37" s="170">
        <f>COUNTIF('INPUT - Roster'!$DO$6:$DO$206,"*A/L*")</f>
        <v/>
      </c>
      <c r="CZ37" s="170">
        <f>COUNTIF('INPUT - Roster'!$DP$6:$DP$206,"*A/L*")</f>
        <v/>
      </c>
      <c r="DA37" s="170">
        <f>COUNTIF('INPUT - Roster'!$DQ$6:$DQ$206,"*A/L*")</f>
        <v/>
      </c>
      <c r="DB37" s="170">
        <f>COUNTIF('INPUT - Roster'!$DR$6:$DR$206,"*A/L*")</f>
        <v/>
      </c>
      <c r="DC37" s="170">
        <f>COUNTIF('INPUT - Roster'!$DS$6:$DS$206,"*A/L*")</f>
        <v/>
      </c>
      <c r="DD37" s="170">
        <f>COUNTIF('INPUT - Roster'!$DT$6:$DT$206,"*A/L*")</f>
        <v/>
      </c>
      <c r="DE37" s="170">
        <f>COUNTIF('INPUT - Roster'!$DU$6:$DU$206,"*A/L*")</f>
        <v/>
      </c>
      <c r="DF37" s="170">
        <f>COUNTIF('INPUT - Roster'!$DV$6:$DV$206,"*A/L*")</f>
        <v/>
      </c>
      <c r="DG37" s="170">
        <f>COUNTIF('INPUT - Roster'!$DW$6:$DW$206,"*A/L*")</f>
        <v/>
      </c>
      <c r="DH37" s="170">
        <f>COUNTIF('INPUT - Roster'!$DX$6:$DX$206,"*A/L*")</f>
        <v/>
      </c>
      <c r="DI37" s="170">
        <f>COUNTIF('INPUT - Roster'!$DY$6:$DY$206,"*A/L*")</f>
        <v/>
      </c>
      <c r="DJ37" s="170">
        <f>COUNTIF('INPUT - Roster'!$DZ$6:$DZ$206,"*A/L*")</f>
        <v/>
      </c>
      <c r="DK37" s="170">
        <f>COUNTIF('INPUT - Roster'!$EA$6:$EA$206,"*A/L*")</f>
        <v/>
      </c>
      <c r="DL37" s="170">
        <f>COUNTIF('INPUT - Roster'!$EB$6:$EB$206,"*A/L*")</f>
        <v/>
      </c>
      <c r="DM37" s="170">
        <f>COUNTIF('INPUT - Roster'!$EC$6:$EC$206,"*A/L*")</f>
        <v/>
      </c>
      <c r="DN37" s="170">
        <f>COUNTIF('INPUT - Roster'!$ED$6:$ED$206,"*A/L*")</f>
        <v/>
      </c>
      <c r="DO37" s="170">
        <f>COUNTIF('INPUT - Roster'!$EE$6:$EE$206,"*A/L*")</f>
        <v/>
      </c>
      <c r="DP37" s="170">
        <f>COUNTIF('INPUT - Roster'!$EF$6:$EF$206,"*A/L*")</f>
        <v/>
      </c>
      <c r="DQ37" s="170">
        <f>COUNTIF('INPUT - Roster'!$EG$6:$EG$206,"*A/L*")</f>
        <v/>
      </c>
      <c r="DR37" s="170">
        <f>COUNTIF('INPUT - Roster'!$EH$6:$EH$206,"*A/L*")</f>
        <v/>
      </c>
      <c r="DS37" s="170">
        <f>COUNTIF('INPUT - Roster'!$EI$6:$EI$206,"*A/L*")</f>
        <v/>
      </c>
      <c r="DT37" s="170">
        <f>COUNTIF('INPUT - Roster'!$EJ$6:$EJ$206,"*A/L*")</f>
        <v/>
      </c>
      <c r="DU37" s="170">
        <f>COUNTIF('INPUT - Roster'!$EK$6:$EK$206,"*A/L*")</f>
        <v/>
      </c>
      <c r="DV37" s="170">
        <f>COUNTIF('INPUT - Roster'!$EL$6:$EL$206,"*A/L*")</f>
        <v/>
      </c>
      <c r="DW37" s="170">
        <f>COUNTIF('INPUT - Roster'!$EM$6:$EM$206,"*A/L*")</f>
        <v/>
      </c>
      <c r="DX37" s="170">
        <f>COUNTIF('INPUT - Roster'!$EN$6:$EN$206,"*A/L*")</f>
        <v/>
      </c>
      <c r="DY37" s="170">
        <f>COUNTIF('INPUT - Roster'!$EO$6:$EO$206,"*A/L*")</f>
        <v/>
      </c>
      <c r="DZ37" s="170">
        <f>COUNTIF('INPUT - Roster'!$EP$6:$EP$206,"*A/L*")</f>
        <v/>
      </c>
      <c r="EA37" s="170">
        <f>COUNTIF('INPUT - Roster'!$EQ$6:$EQ$206,"*A/L*")</f>
        <v/>
      </c>
      <c r="EB37" s="170">
        <f>COUNTIF('INPUT - Roster'!$ER$6:$ER$206,"*A/L*")</f>
        <v/>
      </c>
      <c r="EC37" s="170">
        <f>COUNTIF('INPUT - Roster'!$ES$6:$ES$206,"*A/L*")</f>
        <v/>
      </c>
      <c r="ED37" s="170">
        <f>COUNTIF('INPUT - Roster'!$ET$6:$ET$206,"*A/L*")</f>
        <v/>
      </c>
      <c r="EE37" s="170">
        <f>COUNTIF('INPUT - Roster'!$EU$6:$EU$206,"*A/L*")</f>
        <v/>
      </c>
      <c r="EF37" s="170">
        <f>COUNTIF('INPUT - Roster'!$EV$6:$EV$206,"*A/L*")</f>
        <v/>
      </c>
      <c r="EG37" s="170">
        <f>COUNTIF('INPUT - Roster'!$EW$6:$EW$206,"*A/L*")</f>
        <v/>
      </c>
      <c r="EH37" s="170">
        <f>COUNTIF('INPUT - Roster'!$EX$6:$EX$206,"*A/L*")</f>
        <v/>
      </c>
      <c r="EI37" s="170">
        <f>COUNTIF('INPUT - Roster'!$EY$6:$EY$206,"*A/L*")</f>
        <v/>
      </c>
      <c r="EJ37" s="170">
        <f>COUNTIF('INPUT - Roster'!$EZ$6:$EZ$206,"*A/L*")</f>
        <v/>
      </c>
      <c r="EK37" s="170">
        <f>COUNTIF('INPUT - Roster'!$FA$6:$FA$206,"*A/L*")</f>
        <v/>
      </c>
      <c r="EL37" s="170">
        <f>COUNTIF('INPUT - Roster'!$FB$6:$FB$206,"*A/L*")</f>
        <v/>
      </c>
      <c r="EM37" s="170">
        <f>COUNTIF('INPUT - Roster'!$FC$6:$FC$206,"*A/L*")</f>
        <v/>
      </c>
      <c r="EN37" s="170">
        <f>COUNTIF('INPUT - Roster'!$FD$6:$FD$206,"*A/L*")</f>
        <v/>
      </c>
      <c r="EO37" s="170">
        <f>COUNTIF('INPUT - Roster'!$FE$6:$FE$206,"*A/L*")</f>
        <v/>
      </c>
      <c r="EP37" s="170">
        <f>COUNTIF('INPUT - Roster'!$FF$6:$FF$206,"*A/L*")</f>
        <v/>
      </c>
      <c r="EQ37" s="170">
        <f>COUNTIF('INPUT - Roster'!$FG$6:$FG$206,"*A/L*")</f>
        <v/>
      </c>
      <c r="ER37" s="170">
        <f>COUNTIF('INPUT - Roster'!$FH$6:$FH$206,"*A/L*")</f>
        <v/>
      </c>
      <c r="ES37" s="170">
        <f>COUNTIF('INPUT - Roster'!$FI$6:$FI$206,"*A/L*")</f>
        <v/>
      </c>
      <c r="ET37" s="170">
        <f>COUNTIF('INPUT - Roster'!$FJ$6:$FJ$206,"*A/L*")</f>
        <v/>
      </c>
      <c r="EU37" s="170">
        <f>COUNTIF('INPUT - Roster'!$FK$6:$FK$206,"*A/L*")</f>
        <v/>
      </c>
      <c r="EV37" s="170">
        <f>COUNTIF('INPUT - Roster'!$FL$6:$FL$206,"*A/L*")</f>
        <v/>
      </c>
      <c r="EW37" s="170">
        <f>COUNTIF('INPUT - Roster'!$FM$6:$FM$206,"*A/L*")</f>
        <v/>
      </c>
      <c r="EX37" s="170">
        <f>COUNTIF('INPUT - Roster'!$FN$6:$FN$206,"*A/L*")</f>
        <v/>
      </c>
      <c r="EY37" s="170">
        <f>COUNTIF('INPUT - Roster'!$FO$6:$FO$206,"*A/L*")</f>
        <v/>
      </c>
      <c r="EZ37" s="170">
        <f>COUNTIF('INPUT - Roster'!$FP$6:$FP$206,"*A/L*")</f>
        <v/>
      </c>
      <c r="FA37" s="170">
        <f>COUNTIF('INPUT - Roster'!$FQ$6:$FQ$206,"*A/L*")</f>
        <v/>
      </c>
      <c r="FB37" s="170">
        <f>COUNTIF('INPUT - Roster'!$FR$6:$FR$206,"*A/L*")</f>
        <v/>
      </c>
      <c r="FC37" s="170">
        <f>COUNTIF('INPUT - Roster'!$FS$6:$FS$206,"*A/L*")</f>
        <v/>
      </c>
      <c r="FD37" s="170">
        <f>COUNTIF('INPUT - Roster'!$FT$6:$FT$206,"*A/L*")</f>
        <v/>
      </c>
      <c r="FE37" s="170">
        <f>COUNTIF('INPUT - Roster'!$FU$6:$FU$206,"*A/L*")</f>
        <v/>
      </c>
      <c r="FF37" s="170">
        <f>COUNTIF('INPUT - Roster'!$FV$6:$FV$206,"*A/L*")</f>
        <v/>
      </c>
      <c r="FG37" s="170">
        <f>COUNTIF('INPUT - Roster'!$FW$6:$FW$206,"*A/L*")</f>
        <v/>
      </c>
      <c r="FH37" s="170">
        <f>COUNTIF('INPUT - Roster'!$FX$6:$FX$206,"*A/L*")</f>
        <v/>
      </c>
      <c r="FI37" s="170">
        <f>COUNTIF('INPUT - Roster'!$FY$6:$FY$206,"*A/L*")</f>
        <v/>
      </c>
      <c r="FJ37" s="170">
        <f>COUNTIF('INPUT - Roster'!$FZ$6:$FZ$206,"*A/L*")</f>
        <v/>
      </c>
      <c r="FK37" s="170">
        <f>COUNTIF('INPUT - Roster'!$GA$6:$GA$206,"*A/L*")</f>
        <v/>
      </c>
      <c r="FL37" s="170">
        <f>COUNTIF('INPUT - Roster'!$GB$6:$GB$206,"*A/L*")</f>
        <v/>
      </c>
      <c r="FM37" s="170">
        <f>COUNTIF('INPUT - Roster'!$GC$6:$GC$206,"*A/L*")</f>
        <v/>
      </c>
      <c r="FN37" s="170">
        <f>COUNTIF('INPUT - Roster'!$GD$6:$GD$206,"*A/L*")</f>
        <v/>
      </c>
      <c r="FO37" s="170">
        <f>COUNTIF('INPUT - Roster'!$GE$6:$GE$206,"*A/L*")</f>
        <v/>
      </c>
      <c r="FP37" s="170">
        <f>COUNTIF('INPUT - Roster'!$GF$6:$GF$206,"*A/L*")</f>
        <v/>
      </c>
      <c r="FQ37" s="170">
        <f>COUNTIF('INPUT - Roster'!$GG$6:$GG$206,"*A/L*")</f>
        <v/>
      </c>
      <c r="FR37" s="170">
        <f>COUNTIF('INPUT - Roster'!$GH$6:$GH$206,"*A/L*")</f>
        <v/>
      </c>
      <c r="FS37" s="170">
        <f>COUNTIF('INPUT - Roster'!$GI$6:$GI$206,"*A/L*")</f>
        <v/>
      </c>
      <c r="FT37" s="170">
        <f>COUNTIF('INPUT - Roster'!$GJ$6:$GJ$206,"*A/L*")</f>
        <v/>
      </c>
      <c r="FU37" s="170">
        <f>COUNTIF('INPUT - Roster'!$GK$6:$GK$206,"*A/L*")</f>
        <v/>
      </c>
      <c r="FV37" s="170">
        <f>COUNTIF('INPUT - Roster'!$GL$6:$GL$206,"*A/L*")</f>
        <v/>
      </c>
      <c r="FW37" s="170">
        <f>COUNTIF('INPUT - Roster'!$GM$6:$GM$206,"*A/L*")</f>
        <v/>
      </c>
      <c r="FX37" s="170">
        <f>COUNTIF('INPUT - Roster'!$GN$6:$GN$206,"*A/L*")</f>
        <v/>
      </c>
      <c r="FY37" s="170">
        <f>COUNTIF('INPUT - Roster'!$GO$6:$GO$206,"*A/L*")</f>
        <v/>
      </c>
      <c r="FZ37" s="170">
        <f>COUNTIF('INPUT - Roster'!$GP$6:$GP$206,"*A/L*")</f>
        <v/>
      </c>
      <c r="GA37" s="170">
        <f>COUNTIF('INPUT - Roster'!$GQ$6:$GQ$206,"*A/L*")</f>
        <v/>
      </c>
      <c r="GB37" s="170">
        <f>COUNTIF('INPUT - Roster'!$GR$6:$GR$206,"*A/L*")</f>
        <v/>
      </c>
      <c r="GC37" s="170">
        <f>COUNTIF('INPUT - Roster'!$GS$6:$GS$206,"*A/L*")</f>
        <v/>
      </c>
      <c r="GD37" s="170">
        <f>COUNTIF('INPUT - Roster'!$GT$6:$GT$206,"*A/L*")</f>
        <v/>
      </c>
      <c r="GE37" s="170">
        <f>COUNTIF('INPUT - Roster'!$GU$6:$GU$206,"*A/L*")</f>
        <v/>
      </c>
      <c r="GF37" s="170">
        <f>COUNTIF('INPUT - Roster'!$GV$6:$GV$206,"*A/L*")</f>
        <v/>
      </c>
      <c r="GG37" s="170">
        <f>COUNTIF('INPUT - Roster'!$GW$6:$GW$206,"*A/L*")</f>
        <v/>
      </c>
      <c r="GH37" s="170">
        <f>COUNTIF('INPUT - Roster'!$GX$6:$GX$206,"*A/L*")</f>
        <v/>
      </c>
      <c r="GI37" s="170">
        <f>COUNTIF('INPUT - Roster'!$GY$6:$GY$206,"*A/L*")</f>
        <v/>
      </c>
      <c r="GJ37" s="170">
        <f>COUNTIF('INPUT - Roster'!$GZ$6:$GZ$206,"*A/L*")</f>
        <v/>
      </c>
      <c r="GK37" s="170">
        <f>COUNTIF('INPUT - Roster'!$HA$6:$HA$206,"*A/L*")</f>
        <v/>
      </c>
      <c r="GL37" s="170">
        <f>COUNTIF('INPUT - Roster'!$HB$6:$HB$206,"*A/L*")</f>
        <v/>
      </c>
      <c r="GM37" s="170">
        <f>COUNTIF('INPUT - Roster'!$HC$6:$HC$206,"*A/L*")</f>
        <v/>
      </c>
      <c r="GN37" s="170">
        <f>COUNTIF('INPUT - Roster'!$HD$6:$HD$206,"*A/L*")</f>
        <v/>
      </c>
      <c r="GO37" s="170">
        <f>COUNTIF('INPUT - Roster'!$HE$6:$HE$206,"*A/L*")</f>
        <v/>
      </c>
      <c r="GP37" s="170">
        <f>COUNTIF('INPUT - Roster'!$HF$6:$HF$206,"*A/L*")</f>
        <v/>
      </c>
      <c r="GQ37" s="170">
        <f>COUNTIF('INPUT - Roster'!$HG$6:$HG$206,"*A/L*")</f>
        <v/>
      </c>
      <c r="GR37" s="170">
        <f>COUNTIF('INPUT - Roster'!$HH$6:$HH$206,"*A/L*")</f>
        <v/>
      </c>
      <c r="GS37" s="170">
        <f>COUNTIF('INPUT - Roster'!$HI$6:$HI$206,"*A/L*")</f>
        <v/>
      </c>
      <c r="GT37" s="170">
        <f>COUNTIF('INPUT - Roster'!$HJ$6:$HJ$206,"*A/L*")</f>
        <v/>
      </c>
      <c r="GU37" s="170">
        <f>COUNTIF('INPUT - Roster'!$HK$6:$HK$206,"*A/L*")</f>
        <v/>
      </c>
      <c r="GV37" s="170">
        <f>COUNTIF('INPUT - Roster'!$HL$6:$HL$206,"*A/L*")</f>
        <v/>
      </c>
      <c r="GW37" s="170">
        <f>COUNTIF('INPUT - Roster'!$HM$6:$HM$206,"*A/L*")</f>
        <v/>
      </c>
      <c r="GX37" s="170">
        <f>COUNTIF('INPUT - Roster'!$HN$6:$HN$206,"*A/L*")</f>
        <v/>
      </c>
      <c r="GY37" s="170">
        <f>COUNTIF('INPUT - Roster'!$HO$6:$HO$206,"*A/L*")</f>
        <v/>
      </c>
      <c r="GZ37" s="170">
        <f>COUNTIF('INPUT - Roster'!$HP$6:$HP$206,"*A/L*")</f>
        <v/>
      </c>
      <c r="HA37" s="170">
        <f>COUNTIF('INPUT - Roster'!$HQ$6:$HQ$206,"*A/L*")</f>
        <v/>
      </c>
      <c r="HB37" s="170">
        <f>COUNTIF('INPUT - Roster'!$HR$6:$HR$206,"*A/L*")</f>
        <v/>
      </c>
      <c r="HC37" s="170">
        <f>COUNTIF('INPUT - Roster'!$HS$6:$HS$206,"*A/L*")</f>
        <v/>
      </c>
      <c r="HD37" s="170">
        <f>COUNTIF('INPUT - Roster'!$HT$6:$HT$206,"*A/L*")</f>
        <v/>
      </c>
      <c r="HE37" s="170">
        <f>COUNTIF('INPUT - Roster'!$HU$6:$HU$206,"*A/L*")</f>
        <v/>
      </c>
      <c r="HF37" s="170">
        <f>COUNTIF('INPUT - Roster'!$HV$6:$HV$206,"*A/L*")</f>
        <v/>
      </c>
      <c r="HG37" s="170">
        <f>COUNTIF('INPUT - Roster'!$HW$6:$HW$206,"*A/L*")</f>
        <v/>
      </c>
      <c r="HH37" s="170">
        <f>COUNTIF('INPUT - Roster'!$HX$6:$HX$206,"*A/L*")</f>
        <v/>
      </c>
      <c r="HI37" s="170">
        <f>COUNTIF('INPUT - Roster'!$HY$6:$HY$206,"*A/L*")</f>
        <v/>
      </c>
      <c r="HJ37" s="170">
        <f>COUNTIF('INPUT - Roster'!$HZ$6:$HZ$206,"*A/L*")</f>
        <v/>
      </c>
      <c r="HK37" s="170">
        <f>COUNTIF('INPUT - Roster'!$IA$6:$IA$206,"*A/L*")</f>
        <v/>
      </c>
      <c r="HL37" s="170">
        <f>COUNTIF('INPUT - Roster'!$IB$6:$IB$206,"*A/L*")</f>
        <v/>
      </c>
      <c r="HM37" s="170">
        <f>COUNTIF('INPUT - Roster'!$IC$6:$IC$206,"*A/L*")</f>
        <v/>
      </c>
      <c r="HN37" s="170">
        <f>COUNTIF('INPUT - Roster'!$ID$6:$ID$206,"*A/L*")</f>
        <v/>
      </c>
      <c r="HO37" s="170">
        <f>COUNTIF('INPUT - Roster'!$IE$6:$IE$206,"*A/L*")</f>
        <v/>
      </c>
      <c r="HP37" s="170">
        <f>COUNTIF('INPUT - Roster'!$IF$6:$IF$206,"*A/L*")</f>
        <v/>
      </c>
      <c r="HQ37" s="170">
        <f>COUNTIF('INPUT - Roster'!$IG$6:$IG$206,"*A/L*")</f>
        <v/>
      </c>
      <c r="HR37" s="170">
        <f>COUNTIF('INPUT - Roster'!$IH$6:$IH$206,"*A/L*")</f>
        <v/>
      </c>
      <c r="HS37" s="170">
        <f>COUNTIF('INPUT - Roster'!$II$6:$II$206,"*A/L*")</f>
        <v/>
      </c>
      <c r="HT37" s="170">
        <f>COUNTIF('INPUT - Roster'!$IJ$6:$IJ$206,"*A/L*")</f>
        <v/>
      </c>
      <c r="HU37" s="170">
        <f>COUNTIF('INPUT - Roster'!$IK$6:$IK$206,"*A/L*")</f>
        <v/>
      </c>
      <c r="HV37" s="170">
        <f>COUNTIF('INPUT - Roster'!$IL$6:$IL$206,"*A/L*")</f>
        <v/>
      </c>
      <c r="HW37" s="170">
        <f>COUNTIF('INPUT - Roster'!$IM$6:$IM$206,"*A/L*")</f>
        <v/>
      </c>
      <c r="HX37" s="170">
        <f>COUNTIF('INPUT - Roster'!$IN$6:$IN$206,"*A/L*")</f>
        <v/>
      </c>
      <c r="HY37" s="170">
        <f>COUNTIF('INPUT - Roster'!$IO$6:$IO$206,"*A/L*")</f>
        <v/>
      </c>
      <c r="HZ37" s="170">
        <f>COUNTIF('INPUT - Roster'!$IP$6:$IP$206,"*A/L*")</f>
        <v/>
      </c>
      <c r="IA37" s="170">
        <f>COUNTIF('INPUT - Roster'!$IQ$6:$IQ$206,"*A/L*")</f>
        <v/>
      </c>
      <c r="IB37" s="170">
        <f>COUNTIF('INPUT - Roster'!$IR$6:$IR$206,"*A/L*")</f>
        <v/>
      </c>
      <c r="IC37" s="170">
        <f>COUNTIF('INPUT - Roster'!$IS$6:$IS$206,"*A/L*")</f>
        <v/>
      </c>
      <c r="ID37" s="170">
        <f>COUNTIF('INPUT - Roster'!$IT$6:$IT$206,"*A/L*")</f>
        <v/>
      </c>
      <c r="IE37" s="170">
        <f>COUNTIF('INPUT - Roster'!$IU$6:$IU$206,"*A/L*")</f>
        <v/>
      </c>
      <c r="IF37" s="170">
        <f>COUNTIF('INPUT - Roster'!$IV$6:$IV$206,"*A/L*")</f>
        <v/>
      </c>
      <c r="IG37" s="170">
        <f>COUNTIF('INPUT - Roster'!$IW$6:$IW$206,"*A/L*")</f>
        <v/>
      </c>
      <c r="IH37" s="170">
        <f>COUNTIF('INPUT - Roster'!$IX$6:$IX$206,"*A/L*")</f>
        <v/>
      </c>
      <c r="II37" s="170">
        <f>COUNTIF('INPUT - Roster'!$IY$6:$IY$206,"*A/L*")</f>
        <v/>
      </c>
      <c r="IJ37" s="170">
        <f>COUNTIF('INPUT - Roster'!$IZ$6:$IZ$206,"*A/L*")</f>
        <v/>
      </c>
      <c r="IK37" s="170">
        <f>COUNTIF('INPUT - Roster'!$JA$6:$JA$206,"*A/L*")</f>
        <v/>
      </c>
      <c r="IL37" s="170">
        <f>COUNTIF('INPUT - Roster'!$JB$6:$JB$206,"*A/L*")</f>
        <v/>
      </c>
      <c r="IM37" s="170">
        <f>COUNTIF('INPUT - Roster'!$JC$6:$JC$206,"*A/L*")</f>
        <v/>
      </c>
      <c r="IN37" s="170">
        <f>COUNTIF('INPUT - Roster'!$JD$6:$JD$206,"*A/L*")</f>
        <v/>
      </c>
      <c r="IO37" s="170">
        <f>COUNTIF('INPUT - Roster'!$JE$6:$JE$206,"*A/L*")</f>
        <v/>
      </c>
      <c r="IP37" s="170">
        <f>COUNTIF('INPUT - Roster'!$JF$6:$JF$206,"*A/L*")</f>
        <v/>
      </c>
      <c r="IQ37" s="170">
        <f>COUNTIF('INPUT - Roster'!$JG$6:$JG$206,"*A/L*")</f>
        <v/>
      </c>
      <c r="IR37" s="170">
        <f>COUNTIF('INPUT - Roster'!$JH$6:$JH$206,"*A/L*")</f>
        <v/>
      </c>
      <c r="IS37" s="170">
        <f>COUNTIF('INPUT - Roster'!$JI$6:$JI$206,"*A/L*")</f>
        <v/>
      </c>
      <c r="IT37" s="170">
        <f>COUNTIF('INPUT - Roster'!$JJ$6:$JJ$206,"*A/L*")</f>
        <v/>
      </c>
      <c r="IU37" s="170">
        <f>COUNTIF('INPUT - Roster'!$JK$6:$JK$206,"*A/L*")</f>
        <v/>
      </c>
      <c r="IV37" s="170">
        <f>COUNTIF('INPUT - Roster'!$JL$6:$JL$206,"*A/L*")</f>
        <v/>
      </c>
      <c r="IW37" s="170">
        <f>COUNTIF('INPUT - Roster'!$JM$6:$JM$206,"*A/L*")</f>
        <v/>
      </c>
      <c r="IX37" s="170">
        <f>COUNTIF('INPUT - Roster'!$JN$6:$JN$206,"*A/L*")</f>
        <v/>
      </c>
      <c r="IY37" s="170">
        <f>COUNTIF('INPUT - Roster'!$JO$6:$JO$206,"*A/L*")</f>
        <v/>
      </c>
      <c r="IZ37" s="170">
        <f>COUNTIF('INPUT - Roster'!$JP$6:$JP$206,"*A/L*")</f>
        <v/>
      </c>
      <c r="JA37" s="170">
        <f>COUNTIF('INPUT - Roster'!$JQ$6:$JQ$206,"*A/L*")</f>
        <v/>
      </c>
      <c r="JB37" s="170">
        <f>COUNTIF('INPUT - Roster'!$JR$6:$JR$206,"*A/L*")</f>
        <v/>
      </c>
      <c r="JC37" s="170">
        <f>COUNTIF('INPUT - Roster'!$JS$6:$JS$206,"*A/L*")</f>
        <v/>
      </c>
      <c r="JD37" s="170">
        <f>COUNTIF('INPUT - Roster'!$JT$6:$JT$206,"*A/L*")</f>
        <v/>
      </c>
      <c r="JE37" s="170">
        <f>COUNTIF('INPUT - Roster'!$JU$6:$JU$206,"*A/L*")</f>
        <v/>
      </c>
      <c r="JF37" s="170">
        <f>COUNTIF('INPUT - Roster'!$JV$6:$JV$206,"*A/L*")</f>
        <v/>
      </c>
      <c r="JG37" s="170">
        <f>COUNTIF('INPUT - Roster'!$JW$6:$JW$206,"*A/L*")</f>
        <v/>
      </c>
      <c r="JH37" s="170">
        <f>COUNTIF('INPUT - Roster'!$JX$6:$JX$206,"*A/L*")</f>
        <v/>
      </c>
      <c r="JI37" s="170">
        <f>COUNTIF('INPUT - Roster'!$JY$6:$JY$206,"*A/L*")</f>
        <v/>
      </c>
      <c r="JJ37" s="170">
        <f>COUNTIF('INPUT - Roster'!$JZ$6:$JZ$206,"*A/L*")</f>
        <v/>
      </c>
      <c r="JK37" s="170">
        <f>COUNTIF('INPUT - Roster'!$KA$6:$KA$206,"*A/L*")</f>
        <v/>
      </c>
      <c r="JL37" s="170">
        <f>COUNTIF('INPUT - Roster'!$KB$6:$KB$206,"*A/L*")</f>
        <v/>
      </c>
      <c r="JM37" s="170">
        <f>COUNTIF('INPUT - Roster'!$KC$6:$KC$206,"*A/L*")</f>
        <v/>
      </c>
      <c r="JN37" s="170">
        <f>COUNTIF('INPUT - Roster'!$KD$6:$KD$206,"*A/L*")</f>
        <v/>
      </c>
      <c r="JO37" s="170">
        <f>COUNTIF('INPUT - Roster'!$KE$6:$KE$206,"*A/L*")</f>
        <v/>
      </c>
      <c r="JP37" s="170">
        <f>COUNTIF('INPUT - Roster'!$KF$6:$KF$206,"*A/L*")</f>
        <v/>
      </c>
      <c r="JQ37" s="170">
        <f>COUNTIF('INPUT - Roster'!$KG$6:$KG$206,"*A/L*")</f>
        <v/>
      </c>
      <c r="JR37" s="170">
        <f>COUNTIF('INPUT - Roster'!$KH$6:$KH$206,"*A/L*")</f>
        <v/>
      </c>
      <c r="JS37" s="170">
        <f>COUNTIF('INPUT - Roster'!$KI$6:$KI$206,"*A/L*")</f>
        <v/>
      </c>
      <c r="JT37" s="170">
        <f>COUNTIF('INPUT - Roster'!$KJ$6:$KJ$206,"*A/L*")</f>
        <v/>
      </c>
      <c r="JU37" s="170">
        <f>COUNTIF('INPUT - Roster'!$KK$6:$KK$206,"*A/L*")</f>
        <v/>
      </c>
      <c r="JV37" s="170">
        <f>COUNTIF('INPUT - Roster'!$KL$6:$KL$206,"*A/L*")</f>
        <v/>
      </c>
      <c r="JW37" s="170">
        <f>COUNTIF('INPUT - Roster'!$KM$6:$KM$206,"*A/L*")</f>
        <v/>
      </c>
      <c r="JX37" s="170">
        <f>COUNTIF('INPUT - Roster'!$KN$6:$KN$206,"*A/L*")</f>
        <v/>
      </c>
      <c r="JY37" s="170">
        <f>COUNTIF('INPUT - Roster'!$KO$6:$KO$206,"*A/L*")</f>
        <v/>
      </c>
      <c r="JZ37" s="170">
        <f>COUNTIF('INPUT - Roster'!$KP$6:$KP$206,"*A/L*")</f>
        <v/>
      </c>
      <c r="KA37" s="170">
        <f>COUNTIF('INPUT - Roster'!$KQ$6:$KQ$206,"*A/L*")</f>
        <v/>
      </c>
      <c r="KB37" s="170">
        <f>COUNTIF('INPUT - Roster'!$KR$6:$KR$206,"*A/L*")</f>
        <v/>
      </c>
      <c r="KC37" s="170">
        <f>COUNTIF('INPUT - Roster'!$KS$6:$KS$206,"*A/L*")</f>
        <v/>
      </c>
      <c r="KD37" s="170">
        <f>COUNTIF('INPUT - Roster'!$KT$6:$KT$206,"*A/L*")</f>
        <v/>
      </c>
      <c r="KE37" s="170">
        <f>COUNTIF('INPUT - Roster'!$KU$6:$KU$206,"*A/L*")</f>
        <v/>
      </c>
      <c r="KF37" s="170">
        <f>COUNTIF('INPUT - Roster'!$KV$6:$KV$206,"*A/L*")</f>
        <v/>
      </c>
      <c r="KG37" s="170">
        <f>COUNTIF('INPUT - Roster'!$KW$6:$KW$206,"*A/L*")</f>
        <v/>
      </c>
      <c r="KH37" s="170">
        <f>COUNTIF('INPUT - Roster'!$KX$6:$KX$206,"*A/L*")</f>
        <v/>
      </c>
      <c r="KI37" s="170">
        <f>COUNTIF('INPUT - Roster'!$KY$6:$KY$206,"*A/L*")</f>
        <v/>
      </c>
      <c r="KJ37" s="170">
        <f>COUNTIF('INPUT - Roster'!$KZ$6:$KZ$206,"*A/L*")</f>
        <v/>
      </c>
      <c r="KK37" s="170">
        <f>COUNTIF('INPUT - Roster'!$LA$6:$LA$206,"*A/L*")</f>
        <v/>
      </c>
      <c r="KL37" s="170">
        <f>COUNTIF('INPUT - Roster'!$LB$6:$LB$206,"*A/L*")</f>
        <v/>
      </c>
      <c r="KM37" s="170">
        <f>COUNTIF('INPUT - Roster'!$LC$6:$LC$206,"*A/L*")</f>
        <v/>
      </c>
      <c r="KN37" s="170">
        <f>COUNTIF('INPUT - Roster'!$LD$6:$LD$206,"*A/L*")</f>
        <v/>
      </c>
      <c r="KO37" s="170">
        <f>COUNTIF('INPUT - Roster'!$LE$6:$LE$206,"*A/L*")</f>
        <v/>
      </c>
      <c r="KP37" s="170">
        <f>COUNTIF('INPUT - Roster'!$LF$6:$LF$206,"*A/L*")</f>
        <v/>
      </c>
      <c r="KQ37" s="170">
        <f>COUNTIF('INPUT - Roster'!$LG$6:$LG$206,"*A/L*")</f>
        <v/>
      </c>
      <c r="KR37" s="170">
        <f>COUNTIF('INPUT - Roster'!$LH$6:$LH$206,"*A/L*")</f>
        <v/>
      </c>
      <c r="KS37" s="170">
        <f>COUNTIF('INPUT - Roster'!$LI$6:$LI$206,"*A/L*")</f>
        <v/>
      </c>
      <c r="KT37" s="170">
        <f>COUNTIF('INPUT - Roster'!$LJ$6:$LJ$206,"*A/L*")</f>
        <v/>
      </c>
      <c r="KU37" s="170">
        <f>COUNTIF('INPUT - Roster'!$LK$6:$LK$206,"*A/L*")</f>
        <v/>
      </c>
      <c r="KV37" s="170">
        <f>COUNTIF('INPUT - Roster'!$LL$6:$LL$206,"*A/L*")</f>
        <v/>
      </c>
      <c r="KW37" s="170">
        <f>COUNTIF('INPUT - Roster'!$LM$6:$LM$206,"*A/L*")</f>
        <v/>
      </c>
      <c r="KX37" s="170">
        <f>COUNTIF('INPUT - Roster'!$LN$6:$LN$206,"*A/L*")</f>
        <v/>
      </c>
      <c r="KY37" s="170">
        <f>COUNTIF('INPUT - Roster'!$LO$6:$LO$206,"*A/L*")</f>
        <v/>
      </c>
      <c r="KZ37" s="170">
        <f>COUNTIF('INPUT - Roster'!$LP$6:$LP$206,"*A/L*")</f>
        <v/>
      </c>
      <c r="LA37" s="170">
        <f>COUNTIF('INPUT - Roster'!$LQ$6:$LQ$206,"*A/L*")</f>
        <v/>
      </c>
      <c r="LB37" s="170">
        <f>COUNTIF('INPUT - Roster'!$LR$6:$LR$206,"*A/L*")</f>
        <v/>
      </c>
      <c r="LC37" s="170">
        <f>COUNTIF('INPUT - Roster'!$LS$6:$LS$206,"*A/L*")</f>
        <v/>
      </c>
      <c r="LD37" s="170">
        <f>COUNTIF('INPUT - Roster'!$LT$6:$LT$206,"*A/L*")</f>
        <v/>
      </c>
      <c r="LE37" s="170">
        <f>COUNTIF('INPUT - Roster'!$LU$6:$LU$206,"*A/L*")</f>
        <v/>
      </c>
      <c r="LF37" s="170">
        <f>COUNTIF('INPUT - Roster'!$LV$6:$LV$206,"*A/L*")</f>
        <v/>
      </c>
      <c r="LG37" s="170">
        <f>COUNTIF('INPUT - Roster'!$LW$6:$LW$206,"*A/L*")</f>
        <v/>
      </c>
      <c r="LH37" s="170">
        <f>COUNTIF('INPUT - Roster'!$LX$6:$LX$206,"*A/L*")</f>
        <v/>
      </c>
      <c r="LI37" s="170">
        <f>COUNTIF('INPUT - Roster'!$LY$6:$LY$206,"*A/L*")</f>
        <v/>
      </c>
      <c r="LJ37" s="170">
        <f>COUNTIF('INPUT - Roster'!$LZ$6:$LZ$206,"*A/L*")</f>
        <v/>
      </c>
      <c r="LK37" s="170">
        <f>COUNTIF('INPUT - Roster'!$MA$6:$MA$206,"*A/L*")</f>
        <v/>
      </c>
      <c r="LL37" s="170">
        <f>COUNTIF('INPUT - Roster'!$MB$6:$MB$206,"*A/L*")</f>
        <v/>
      </c>
      <c r="LM37" s="170">
        <f>COUNTIF('INPUT - Roster'!$MC$6:$MC$206,"*A/L*")</f>
        <v/>
      </c>
      <c r="LN37" s="170">
        <f>COUNTIF('INPUT - Roster'!$MD$6:$MD$206,"*A/L*")</f>
        <v/>
      </c>
      <c r="LO37" s="170">
        <f>COUNTIF('INPUT - Roster'!$ME$6:$ME$206,"*A/L*")</f>
        <v/>
      </c>
      <c r="LP37" s="170">
        <f>COUNTIF('INPUT - Roster'!$MF$6:$MF$206,"*A/L*")</f>
        <v/>
      </c>
      <c r="LQ37" s="170">
        <f>COUNTIF('INPUT - Roster'!$MG$6:$MG$206,"*A/L*")</f>
        <v/>
      </c>
      <c r="LR37" s="170">
        <f>COUNTIF('INPUT - Roster'!$MH$6:$MH$206,"*A/L*")</f>
        <v/>
      </c>
      <c r="LS37" s="170">
        <f>COUNTIF('INPUT - Roster'!$MI$6:$MI$206,"*A/L*")</f>
        <v/>
      </c>
      <c r="LT37" s="170">
        <f>COUNTIF('INPUT - Roster'!$MJ$6:$MJ$206,"*A/L*")</f>
        <v/>
      </c>
      <c r="LU37" s="170">
        <f>COUNTIF('INPUT - Roster'!$MK$6:$MK$206,"*A/L*")</f>
        <v/>
      </c>
      <c r="LV37" s="170">
        <f>COUNTIF('INPUT - Roster'!$ML$6:$ML$206,"*A/L*")</f>
        <v/>
      </c>
      <c r="LW37" s="170">
        <f>COUNTIF('INPUT - Roster'!$MM$6:$MM$206,"*A/L*")</f>
        <v/>
      </c>
      <c r="LX37" s="170">
        <f>COUNTIF('INPUT - Roster'!$MN$6:$MN$206,"*A/L*")</f>
        <v/>
      </c>
      <c r="LY37" s="170">
        <f>COUNTIF('INPUT - Roster'!$MO$6:$MO$206,"*A/L*")</f>
        <v/>
      </c>
      <c r="LZ37" s="170">
        <f>COUNTIF('INPUT - Roster'!$MP$6:$MP$206,"*A/L*")</f>
        <v/>
      </c>
      <c r="MA37" s="170">
        <f>COUNTIF('INPUT - Roster'!$MQ$6:$MQ$206,"*A/L*")</f>
        <v/>
      </c>
      <c r="MB37" s="170">
        <f>COUNTIF('INPUT - Roster'!$MR$6:$MR$206,"*A/L*")</f>
        <v/>
      </c>
      <c r="MC37" s="170">
        <f>COUNTIF('INPUT - Roster'!$MS$6:$MS$206,"*A/L*")</f>
        <v/>
      </c>
      <c r="MD37" s="170">
        <f>COUNTIF('INPUT - Roster'!$MT$6:$MT$206,"*A/L*")</f>
        <v/>
      </c>
      <c r="ME37" s="170">
        <f>COUNTIF('INPUT - Roster'!$MU$6:$MU$206,"*A/L*")</f>
        <v/>
      </c>
      <c r="MF37" s="170">
        <f>COUNTIF('INPUT - Roster'!$MV$6:$MV$206,"*A/L*")</f>
        <v/>
      </c>
      <c r="MG37" s="170">
        <f>COUNTIF('INPUT - Roster'!$MW$6:$MW$206,"*A/L*")</f>
        <v/>
      </c>
      <c r="MH37" s="170">
        <f>COUNTIF('INPUT - Roster'!$MX$6:$MX$206,"*A/L*")</f>
        <v/>
      </c>
      <c r="MI37" s="170">
        <f>COUNTIF('INPUT - Roster'!$MY$6:$MY$206,"*A/L*")</f>
        <v/>
      </c>
      <c r="MJ37" s="170">
        <f>COUNTIF('INPUT - Roster'!$MZ$6:$MZ$206,"*A/L*")</f>
        <v/>
      </c>
      <c r="MK37" s="170">
        <f>COUNTIF('INPUT - Roster'!$NA$6:$NA$206,"*A/L*")</f>
        <v/>
      </c>
      <c r="ML37" s="170">
        <f>COUNTIF('INPUT - Roster'!$NB$6:$NB$206,"*A/L*")</f>
        <v/>
      </c>
      <c r="MM37" s="170">
        <f>COUNTIF('INPUT - Roster'!$NC$6:$NC$206,"*A/L*")</f>
        <v/>
      </c>
      <c r="MN37" s="170">
        <f>COUNTIF('INPUT - Roster'!$ND$6:$ND$206,"*A/L*")</f>
        <v/>
      </c>
      <c r="MO37" s="170">
        <f>COUNTIF('INPUT - Roster'!$NE$6:$NE$206,"*A/L*")</f>
        <v/>
      </c>
      <c r="MP37" s="170">
        <f>COUNTIF('INPUT - Roster'!$NF$6:$NF$206,"*A/L*")</f>
        <v/>
      </c>
      <c r="MQ37" s="170">
        <f>COUNTIF('INPUT - Roster'!$NG$6:$NG$206,"*A/L*")</f>
        <v/>
      </c>
      <c r="MR37" s="170">
        <f>COUNTIF('INPUT - Roster'!$NH$6:$NH$206,"*A/L*")</f>
        <v/>
      </c>
      <c r="MS37" s="170">
        <f>COUNTIF('INPUT - Roster'!$NI$6:$NI$206,"*A/L*")</f>
        <v/>
      </c>
      <c r="MT37" s="170">
        <f>COUNTIF('INPUT - Roster'!$NJ$6:$NJ$206,"*A/L*")</f>
        <v/>
      </c>
      <c r="MU37" s="170">
        <f>COUNTIF('INPUT - Roster'!$NK$6:$NK$206,"*A/L*")</f>
        <v/>
      </c>
      <c r="MV37" s="170">
        <f>COUNTIF('INPUT - Roster'!$NL$6:$NL$206,"*A/L*")</f>
        <v/>
      </c>
      <c r="MW37" s="170">
        <f>COUNTIF('INPUT - Roster'!$NM$6:$NM$206,"*A/L*")</f>
        <v/>
      </c>
      <c r="MX37" s="170">
        <f>COUNTIF('INPUT - Roster'!$NN$6:$NN$206,"*A/L*")</f>
        <v/>
      </c>
      <c r="MY37" s="170">
        <f>COUNTIF('INPUT - Roster'!$NO$6:$NO$206,"*A/L*")</f>
        <v/>
      </c>
      <c r="MZ37" s="170">
        <f>COUNTIF('INPUT - Roster'!$NP$6:$NP$206,"*A/L*")</f>
        <v/>
      </c>
      <c r="NA37" s="170">
        <f>COUNTIF('INPUT - Roster'!$NQ$6:$NQ$206,"*A/L*")</f>
        <v/>
      </c>
      <c r="NB37" s="170">
        <f>COUNTIF('INPUT - Roster'!$NR$6:$NR$206,"*A/L*")</f>
        <v/>
      </c>
      <c r="NC37" s="170">
        <f>COUNTIF('INPUT - Roster'!$NS$6:$NS$206,"*A/L*")</f>
        <v/>
      </c>
      <c r="ND37" s="170">
        <f>COUNTIF('INPUT - Roster'!$NT$6:$NT$206,"*A/L*")</f>
        <v/>
      </c>
      <c r="NE37" s="170">
        <f>COUNTIF('INPUT - Roster'!$NU$6:$NU$206,"*A/L*")</f>
        <v/>
      </c>
      <c r="NF37" s="170">
        <f>COUNTIF('INPUT - Roster'!$NV$6:$NV$206,"*A/L*")</f>
        <v/>
      </c>
      <c r="NG37" s="170">
        <f>COUNTIF('INPUT - Roster'!$NW$6:$NW$206,"*A/L*")</f>
        <v/>
      </c>
      <c r="NH37" s="170">
        <f>COUNTIF('INPUT - Roster'!$NX$6:$NX$206,"*A/L*")</f>
        <v/>
      </c>
      <c r="NI37" s="170">
        <f>COUNTIF('INPUT - Roster'!$NY$6:$NY$206,"*A/L*")</f>
        <v/>
      </c>
      <c r="NJ37" s="170">
        <f>COUNTIF('INPUT - Roster'!$NZ$6:$NZ$206,"*A/L*")</f>
        <v/>
      </c>
      <c r="NK37" s="170">
        <f>COUNTIF('INPUT - Roster'!$OA$6:$OA$206,"*A/L*")</f>
        <v/>
      </c>
      <c r="NL37" s="170">
        <f>COUNTIF('INPUT - Roster'!$OB$6:$OB$206,"*A/L*")</f>
        <v/>
      </c>
      <c r="NM37" s="170">
        <f>COUNTIF('INPUT - Roster'!$OC$6:$OC$206,"*A/L*")</f>
        <v/>
      </c>
      <c r="NN37" s="170">
        <f>COUNTIF('INPUT - Roster'!$OD$6:$OD$206,"*A/L*")</f>
        <v/>
      </c>
      <c r="NO37" s="170">
        <f>COUNTIF('INPUT - Roster'!$OE$6:$OE$206,"*A/L*")</f>
        <v/>
      </c>
      <c r="NP37" s="170">
        <f>COUNTIF('INPUT - Roster'!$OF$6:$OF$206,"*A/L*")</f>
        <v/>
      </c>
      <c r="NQ37" s="170">
        <f>COUNTIF('INPUT - Roster'!$OG$6:$OG$206,"*A/L*")</f>
        <v/>
      </c>
      <c r="NR37" s="170">
        <f>COUNTIF('INPUT - Roster'!$OH$6:$OH$206,"*A/L*")</f>
        <v/>
      </c>
      <c r="NS37" s="170">
        <f>COUNTIF('INPUT - Roster'!$OI$6:$OI$206,"*A/L*")</f>
        <v/>
      </c>
      <c r="NT37" s="170">
        <f>COUNTIF('INPUT - Roster'!$OJ$6:$OJ$206,"*A/L*")</f>
        <v/>
      </c>
      <c r="NU37" s="170">
        <f>COUNTIF('INPUT - Roster'!$OK$6:$OK$206,"*A/L*")</f>
        <v/>
      </c>
      <c r="NV37" s="170">
        <f>COUNTIF('INPUT - Roster'!$OL$6:$OL$206,"*A/L*")</f>
        <v/>
      </c>
      <c r="NW37" s="170">
        <f>COUNTIF('INPUT - Roster'!$OM$6:$OM$206,"*A/L*")</f>
        <v/>
      </c>
      <c r="NX37" s="170">
        <f>COUNTIF('INPUT - Roster'!$ON$6:$ON$206,"*A/L*")</f>
        <v/>
      </c>
      <c r="NY37" s="170">
        <f>COUNTIF('INPUT - Roster'!$OO$6:$OO$206,"*A/L*")</f>
        <v/>
      </c>
      <c r="NZ37" s="170">
        <f>COUNTIF('INPUT - Roster'!$OP$6:$OP$206,"*A/L*")</f>
        <v/>
      </c>
      <c r="OA37" s="170">
        <f>COUNTIF('INPUT - Roster'!$OQ$6:$OQ$206,"*A/L*")</f>
        <v/>
      </c>
      <c r="OB37" s="170">
        <f>COUNTIF('INPUT - Roster'!$OR$6:$OR$206,"*A/L*")</f>
        <v/>
      </c>
      <c r="OC37" s="170">
        <f>COUNTIF('INPUT - Roster'!$OS$6:$OS$206,"*A/L*")</f>
        <v/>
      </c>
      <c r="OD37" s="170">
        <f>COUNTIF('INPUT - Roster'!$OT$6:$OT$206,"*A/L*")</f>
        <v/>
      </c>
      <c r="OE37" s="170">
        <f>COUNTIF('INPUT - Roster'!$OU$6:$OU$206,"*A/L*")</f>
        <v/>
      </c>
      <c r="OF37" s="170">
        <f>COUNTIF('INPUT - Roster'!$OV$6:$OV$206,"*A/L*")</f>
        <v/>
      </c>
      <c r="OG37" s="170">
        <f>COUNTIF('INPUT - Roster'!$OW$6:$OW$206,"*A/L*")</f>
        <v/>
      </c>
      <c r="OH37" s="170">
        <f>COUNTIF('INPUT - Roster'!$OX$6:$OX$206,"*A/L*")</f>
        <v/>
      </c>
      <c r="OI37" s="170">
        <f>COUNTIF('INPUT - Roster'!$OY$6:$OY$206,"*A/L*")</f>
        <v/>
      </c>
      <c r="OJ37" s="170">
        <f>COUNTIF('INPUT - Roster'!$OZ$6:$OZ$206,"*A/L*")</f>
        <v/>
      </c>
      <c r="OK37" s="170">
        <f>COUNTIF('INPUT - Roster'!$PA$6:$PA$206,"*A/L*")</f>
        <v/>
      </c>
      <c r="OL37" s="170">
        <f>COUNTIF('INPUT - Roster'!$PB$6:$PB$206,"*A/L*")</f>
        <v/>
      </c>
      <c r="OM37" s="170">
        <f>COUNTIF('INPUT - Roster'!$PC$6:$PC$206,"*A/L*")</f>
        <v/>
      </c>
      <c r="ON37" s="170">
        <f>COUNTIF('INPUT - Roster'!$PD$6:$PD$206,"*A/L*")</f>
        <v/>
      </c>
      <c r="OO37" s="170">
        <f>COUNTIF('INPUT - Roster'!$PE$6:$PE$206,"*A/L*")</f>
        <v/>
      </c>
      <c r="OP37" s="170">
        <f>COUNTIF('INPUT - Roster'!$PF$6:$PF$206,"*A/L*")</f>
        <v/>
      </c>
      <c r="OQ37" s="170">
        <f>COUNTIF('INPUT - Roster'!$PG$6:$PG$206,"*A/L*")</f>
        <v/>
      </c>
      <c r="OR37" s="170">
        <f>COUNTIF('INPUT - Roster'!$PH$6:$PH$206,"*A/L*")</f>
        <v/>
      </c>
      <c r="OS37" s="170">
        <f>COUNTIF('INPUT - Roster'!$PI$6:$PI$206,"*A/L*")</f>
        <v/>
      </c>
      <c r="OT37" s="170">
        <f>COUNTIF('INPUT - Roster'!$PJ$6:$PJ$206,"*A/L*")</f>
        <v/>
      </c>
      <c r="OU37" s="170">
        <f>COUNTIF('INPUT - Roster'!$PK$6:$PK$206,"*A/L*")</f>
        <v/>
      </c>
      <c r="OV37" s="170">
        <f>COUNTIF('INPUT - Roster'!$PL$6:$PL$206,"*A/L*")</f>
        <v/>
      </c>
      <c r="OW37" s="170">
        <f>COUNTIF('INPUT - Roster'!$PM$6:$PM$206,"*A/L*")</f>
        <v/>
      </c>
      <c r="OX37" s="170">
        <f>COUNTIF('INPUT - Roster'!$PN$6:$PN$206,"*A/L*")</f>
        <v/>
      </c>
      <c r="OY37" s="170">
        <f>COUNTIF('INPUT - Roster'!$PO$6:$PO$206,"*A/L*")</f>
        <v/>
      </c>
      <c r="OZ37" s="170">
        <f>COUNTIF('INPUT - Roster'!$PP$6:$PP$206,"*A/L*")</f>
        <v/>
      </c>
      <c r="PA37" s="170">
        <f>COUNTIF('INPUT - Roster'!$PQ$6:$PQ$206,"*A/L*")</f>
        <v/>
      </c>
      <c r="PB37" s="170">
        <f>COUNTIF('INPUT - Roster'!$PR$6:$PR$206,"*A/L*")</f>
        <v/>
      </c>
      <c r="PC37" s="170">
        <f>COUNTIF('INPUT - Roster'!$PS$6:$PS$206,"*A/L*")</f>
        <v/>
      </c>
      <c r="PD37" s="170">
        <f>COUNTIF('INPUT - Roster'!$PT$6:$PT$206,"*A/L*")</f>
        <v/>
      </c>
      <c r="PE37" s="170">
        <f>COUNTIF('INPUT - Roster'!$PU$6:$PU$206,"*A/L*")</f>
        <v/>
      </c>
      <c r="PF37" s="170">
        <f>COUNTIF('INPUT - Roster'!$PV$6:$PV$206,"*A/L*")</f>
        <v/>
      </c>
      <c r="PG37" s="170">
        <f>COUNTIF('INPUT - Roster'!$PW$6:$PW$206,"*A/L*")</f>
        <v/>
      </c>
      <c r="PH37" s="170">
        <f>COUNTIF('INPUT - Roster'!$PX$6:$PX$206,"*A/L*")</f>
        <v/>
      </c>
      <c r="PI37" s="170">
        <f>COUNTIF('INPUT - Roster'!$PY$6:$PY$206,"*A/L*")</f>
        <v/>
      </c>
      <c r="PJ37" s="170">
        <f>COUNTIF('INPUT - Roster'!$PZ$6:$PZ$206,"*A/L*")</f>
        <v/>
      </c>
      <c r="PK37" s="170">
        <f>COUNTIF('INPUT - Roster'!$QA$6:$QA$206,"*A/L*")</f>
        <v/>
      </c>
      <c r="PL37" s="170">
        <f>COUNTIF('INPUT - Roster'!$QB$6:$QB$206,"*A/L*")</f>
        <v/>
      </c>
      <c r="PM37" s="170">
        <f>COUNTIF('INPUT - Roster'!$QC$6:$QC$206,"*A/L*")</f>
        <v/>
      </c>
      <c r="PN37" s="170">
        <f>COUNTIF('INPUT - Roster'!$QD$6:$QD$206,"*A/L*")</f>
        <v/>
      </c>
      <c r="PO37" s="170">
        <f>COUNTIF('INPUT - Roster'!$QE$6:$QE$206,"*A/L*")</f>
        <v/>
      </c>
      <c r="PP37" s="170">
        <f>COUNTIF('INPUT - Roster'!$QF$6:$QF$206,"*A/L*")</f>
        <v/>
      </c>
      <c r="PQ37" s="170">
        <f>COUNTIF('INPUT - Roster'!$QG$6:$QG$206,"*A/L*")</f>
        <v/>
      </c>
      <c r="PR37" s="170">
        <f>COUNTIF('INPUT - Roster'!$QH$6:$QH$206,"*A/L*")</f>
        <v/>
      </c>
      <c r="PS37" s="170">
        <f>COUNTIF('INPUT - Roster'!$QI$6:$QI$206,"*A/L*")</f>
        <v/>
      </c>
      <c r="PT37" s="170">
        <f>COUNTIF('INPUT - Roster'!$QJ$6:$QJ$206,"*A/L*")</f>
        <v/>
      </c>
      <c r="PU37" s="170">
        <f>COUNTIF('INPUT - Roster'!$QK$6:$QK$206,"*A/L*")</f>
        <v/>
      </c>
      <c r="PV37" s="170">
        <f>COUNTIF('INPUT - Roster'!$QL$6:$QL$206,"*A/L*")</f>
        <v/>
      </c>
      <c r="PW37" s="170">
        <f>COUNTIF('INPUT - Roster'!$QM$6:$QM$206,"*A/L*")</f>
        <v/>
      </c>
      <c r="PX37" s="170">
        <f>COUNTIF('INPUT - Roster'!$QN$6:$QN$206,"*A/L*")</f>
        <v/>
      </c>
      <c r="PY37" s="170">
        <f>COUNTIF('INPUT - Roster'!$QO$6:$QO$206,"*A/L*")</f>
        <v/>
      </c>
      <c r="PZ37" s="170">
        <f>COUNTIF('INPUT - Roster'!$QP$6:$QP$206,"*A/L*")</f>
        <v/>
      </c>
      <c r="QA37" s="170">
        <f>COUNTIF('INPUT - Roster'!$QQ$6:$QQ$206,"*A/L*")</f>
        <v/>
      </c>
      <c r="QB37" s="170">
        <f>COUNTIF('INPUT - Roster'!$QR$6:$QR$206,"*A/L*")</f>
        <v/>
      </c>
      <c r="QC37" s="170">
        <f>COUNTIF('INPUT - Roster'!$QS$6:$QS$206,"*A/L*")</f>
        <v/>
      </c>
      <c r="QD37" s="170">
        <f>COUNTIF('INPUT - Roster'!$QT$6:$QT$206,"*A/L*")</f>
        <v/>
      </c>
      <c r="QE37" s="170">
        <f>COUNTIF('INPUT - Roster'!$QU$6:$QU$206,"*A/L*")</f>
        <v/>
      </c>
      <c r="QF37" s="170">
        <f>COUNTIF('INPUT - Roster'!$QV$6:$QV$206,"*A/L*")</f>
        <v/>
      </c>
      <c r="QG37" s="170">
        <f>COUNTIF('INPUT - Roster'!$QW$6:$QW$206,"*A/L*")</f>
        <v/>
      </c>
      <c r="QH37" s="170">
        <f>COUNTIF('INPUT - Roster'!$QX$6:$QX$206,"*A/L*")</f>
        <v/>
      </c>
      <c r="QI37" s="170">
        <f>COUNTIF('INPUT - Roster'!$QY$6:$QY$206,"*A/L*")</f>
        <v/>
      </c>
      <c r="QJ37" s="170">
        <f>COUNTIF('INPUT - Roster'!$QZ$6:$QZ$206,"*A/L*")</f>
        <v/>
      </c>
      <c r="QK37" s="170">
        <f>COUNTIF('INPUT - Roster'!$RA$6:$RA$206,"*A/L*")</f>
        <v/>
      </c>
      <c r="QL37" s="170">
        <f>COUNTIF('INPUT - Roster'!$RB$6:$RB$206,"*A/L*")</f>
        <v/>
      </c>
      <c r="QM37" s="170">
        <f>COUNTIF('INPUT - Roster'!$RC$6:$RC$206,"*A/L*")</f>
        <v/>
      </c>
      <c r="QN37" s="170">
        <f>COUNTIF('INPUT - Roster'!$RD$6:$RD$206,"*A/L*")</f>
        <v/>
      </c>
      <c r="QO37" s="170">
        <f>COUNTIF('INPUT - Roster'!$RE$6:$RE$206,"*A/L*")</f>
        <v/>
      </c>
      <c r="QP37" s="170">
        <f>COUNTIF('INPUT - Roster'!$RF$6:$RF$206,"*A/L*")</f>
        <v/>
      </c>
      <c r="QQ37" s="170">
        <f>COUNTIF('INPUT - Roster'!$RG$6:$RG$206,"*A/L*")</f>
        <v/>
      </c>
      <c r="QR37" s="170">
        <f>COUNTIF('INPUT - Roster'!$RH$6:$RH$206,"*A/L*")</f>
        <v/>
      </c>
      <c r="QS37" s="170">
        <f>COUNTIF('INPUT - Roster'!$RI$6:$RI$206,"*A/L*")</f>
        <v/>
      </c>
      <c r="QT37" s="170">
        <f>COUNTIF('INPUT - Roster'!$RJ$6:$RJ$206,"*A/L*")</f>
        <v/>
      </c>
      <c r="QU37" s="170">
        <f>COUNTIF('INPUT - Roster'!$RK$6:$RK$206,"*A/L*")</f>
        <v/>
      </c>
      <c r="QV37" s="170">
        <f>COUNTIF('INPUT - Roster'!$RL$6:$RL$206,"*A/L*")</f>
        <v/>
      </c>
      <c r="QW37" s="170">
        <f>COUNTIF('INPUT - Roster'!$RM$6:$RM$206,"*A/L*")</f>
        <v/>
      </c>
      <c r="QX37" s="170">
        <f>COUNTIF('INPUT - Roster'!$RN$6:$RN$206,"*A/L*")</f>
        <v/>
      </c>
      <c r="QY37" s="170">
        <f>COUNTIF('INPUT - Roster'!$RO$6:$RO$206,"*A/L*")</f>
        <v/>
      </c>
      <c r="QZ37" s="170">
        <f>COUNTIF('INPUT - Roster'!$RP$6:$RP$206,"*A/L*")</f>
        <v/>
      </c>
      <c r="RA37" s="170">
        <f>COUNTIF('INPUT - Roster'!$RQ$6:$RQ$206,"*A/L*")</f>
        <v/>
      </c>
      <c r="RB37" s="170">
        <f>COUNTIF('INPUT - Roster'!$RR$6:$RR$206,"*A/L*")</f>
        <v/>
      </c>
      <c r="RC37" s="170">
        <f>COUNTIF('INPUT - Roster'!$RS$6:$RS$206,"*A/L*")</f>
        <v/>
      </c>
      <c r="RD37" s="170">
        <f>COUNTIF('INPUT - Roster'!$RT$6:$RT$206,"*A/L*")</f>
        <v/>
      </c>
      <c r="RE37" s="170">
        <f>COUNTIF('INPUT - Roster'!$RU$6:$RU$206,"*A/L*")</f>
        <v/>
      </c>
      <c r="RF37" s="170">
        <f>COUNTIF('INPUT - Roster'!$RV$6:$RV$206,"*A/L*")</f>
        <v/>
      </c>
      <c r="RG37" s="170">
        <f>COUNTIF('INPUT - Roster'!$RW$6:$RW$206,"*A/L*")</f>
        <v/>
      </c>
      <c r="RH37" s="170">
        <f>COUNTIF('INPUT - Roster'!$RX$6:$RX$206,"*A/L*")</f>
        <v/>
      </c>
      <c r="RI37" s="170">
        <f>COUNTIF('INPUT - Roster'!$RY$6:$RY$206,"*A/L*")</f>
        <v/>
      </c>
      <c r="RJ37" s="170">
        <f>COUNTIF('INPUT - Roster'!$RZ$6:$RZ$206,"*A/L*")</f>
        <v/>
      </c>
      <c r="RK37" s="170">
        <f>COUNTIF('INPUT - Roster'!$SA$6:$SA$206,"*A/L*")</f>
        <v/>
      </c>
      <c r="RL37" s="170">
        <f>COUNTIF('INPUT - Roster'!$SB$6:$SB$206,"*A/L*")</f>
        <v/>
      </c>
      <c r="RM37" s="170">
        <f>COUNTIF('INPUT - Roster'!$SC$6:$SC$206,"*A/L*")</f>
        <v/>
      </c>
      <c r="RN37" s="170">
        <f>COUNTIF('INPUT - Roster'!$SD$6:$SD$206,"*A/L*")</f>
        <v/>
      </c>
      <c r="RO37" s="170">
        <f>COUNTIF('INPUT - Roster'!$SE$6:$SE$206,"*A/L*")</f>
        <v/>
      </c>
      <c r="RP37" s="170">
        <f>COUNTIF('INPUT - Roster'!$SF$6:$SF$206,"*A/L*")</f>
        <v/>
      </c>
      <c r="RQ37" s="170">
        <f>COUNTIF('INPUT - Roster'!$SG$6:$SG$206,"*A/L*")</f>
        <v/>
      </c>
      <c r="RR37" s="170">
        <f>COUNTIF('INPUT - Roster'!$SH$6:$SH$206,"*A/L*")</f>
        <v/>
      </c>
      <c r="RS37" s="170">
        <f>COUNTIF('INPUT - Roster'!$SI$6:$SI$206,"*A/L*")</f>
        <v/>
      </c>
      <c r="RT37" s="170">
        <f>COUNTIF('INPUT - Roster'!$SJ$6:$SJ$206,"*A/L*")</f>
        <v/>
      </c>
      <c r="RU37" s="170">
        <f>COUNTIF('INPUT - Roster'!$SK$6:$SK$206,"*A/L*")</f>
        <v/>
      </c>
      <c r="RV37" s="170">
        <f>COUNTIF('INPUT - Roster'!$SL$6:$SL$206,"*A/L*")</f>
        <v/>
      </c>
      <c r="RW37" s="170">
        <f>COUNTIF('INPUT - Roster'!$SM$6:$SM$206,"*A/L*")</f>
        <v/>
      </c>
      <c r="RX37" s="170">
        <f>COUNTIF('INPUT - Roster'!$SN$6:$SN$206,"*A/L*")</f>
        <v/>
      </c>
      <c r="RY37" s="170">
        <f>COUNTIF('INPUT - Roster'!$SO$6:$SO$206,"*A/L*")</f>
        <v/>
      </c>
      <c r="RZ37" s="170">
        <f>COUNTIF('INPUT - Roster'!$SP$6:$SP$206,"*A/L*")</f>
        <v/>
      </c>
      <c r="SA37" s="170">
        <f>COUNTIF('INPUT - Roster'!$SQ$6:$SQ$206,"*A/L*")</f>
        <v/>
      </c>
      <c r="SB37" s="170">
        <f>COUNTIF('INPUT - Roster'!$SR$6:$SR$206,"*A/L*")</f>
        <v/>
      </c>
      <c r="SC37" s="170">
        <f>COUNTIF('INPUT - Roster'!$SS$6:$SS$206,"*A/L*")</f>
        <v/>
      </c>
      <c r="SD37" s="170">
        <f>COUNTIF('INPUT - Roster'!$ST$6:$ST$206,"*A/L*")</f>
        <v/>
      </c>
      <c r="SE37" s="170">
        <f>COUNTIF('INPUT - Roster'!$SU$6:$SU$206,"*A/L*")</f>
        <v/>
      </c>
      <c r="SF37" s="170">
        <f>COUNTIF('INPUT - Roster'!$SV$6:$SV$206,"*A/L*")</f>
        <v/>
      </c>
    </row>
    <row r="38">
      <c r="B38" s="169" t="inlineStr">
        <is>
          <t>Sick leave</t>
        </is>
      </c>
      <c r="C38" s="170">
        <f>COUNTIF('INPUT - Roster'!$S$6:$S$206,"*S/L*")+COUNTIF('INPUT - Roster'!$S$6:$S$206,"*SICK*")</f>
        <v/>
      </c>
      <c r="D38" s="170">
        <f>COUNTIF('INPUT - Roster'!$T$6:$T$206,"*S/L*")+COUNTIF('INPUT - Roster'!$T$6:$T$206,"*SICK*")</f>
        <v/>
      </c>
      <c r="E38" s="170">
        <f>COUNTIF('INPUT - Roster'!$U$6:$U$206,"*S/L*")+COUNTIF('INPUT - Roster'!$U$6:$U$206,"*SICK*")</f>
        <v/>
      </c>
      <c r="F38" s="170">
        <f>COUNTIF('INPUT - Roster'!$V$6:$V$206,"*S/L*")+COUNTIF('INPUT - Roster'!$V$6:$V$206,"*SICK*")</f>
        <v/>
      </c>
      <c r="G38" s="170">
        <f>COUNTIF('INPUT - Roster'!$W$6:$W$206,"*S/L*")+COUNTIF('INPUT - Roster'!$W$6:$W$206,"*SICK*")</f>
        <v/>
      </c>
      <c r="H38" s="170">
        <f>COUNTIF('INPUT - Roster'!$X$6:$X$206,"*S/L*")+COUNTIF('INPUT - Roster'!$X$6:$X$206,"*SICK*")</f>
        <v/>
      </c>
      <c r="I38" s="170">
        <f>COUNTIF('INPUT - Roster'!$Y$6:$Y$206,"*S/L*")+COUNTIF('INPUT - Roster'!$Y$6:$Y$206,"*SICK*")</f>
        <v/>
      </c>
      <c r="J38" s="170">
        <f>COUNTIF('INPUT - Roster'!$Z$6:$Z$206,"*S/L*")+COUNTIF('INPUT - Roster'!$Z$6:$Z$206,"*SICK*")</f>
        <v/>
      </c>
      <c r="K38" s="170">
        <f>COUNTIF('INPUT - Roster'!$AA$6:$AA$206,"*S/L*")+COUNTIF('INPUT - Roster'!$AA$6:$AA$206,"*SICK*")</f>
        <v/>
      </c>
      <c r="L38" s="170">
        <f>COUNTIF('INPUT - Roster'!$AB$6:$AB$206,"*S/L*")+COUNTIF('INPUT - Roster'!$AB$6:$AB$206,"*SICK*")</f>
        <v/>
      </c>
      <c r="M38" s="170">
        <f>COUNTIF('INPUT - Roster'!$AC$6:$AC$206,"*S/L*")+COUNTIF('INPUT - Roster'!$AC$6:$AC$206,"*SICK*")</f>
        <v/>
      </c>
      <c r="N38" s="170">
        <f>COUNTIF('INPUT - Roster'!$AD$6:$AD$206,"*S/L*")+COUNTIF('INPUT - Roster'!$AD$6:$AD$206,"*SICK*")</f>
        <v/>
      </c>
      <c r="O38" s="170">
        <f>COUNTIF('INPUT - Roster'!$AE$6:$AE$206,"*S/L*")+COUNTIF('INPUT - Roster'!$AE$6:$AE$206,"*SICK*")</f>
        <v/>
      </c>
      <c r="P38" s="170">
        <f>COUNTIF('INPUT - Roster'!$AF$6:$AF$206,"*S/L*")+COUNTIF('INPUT - Roster'!$AF$6:$AF$206,"*SICK*")</f>
        <v/>
      </c>
      <c r="Q38" s="170">
        <f>COUNTIF('INPUT - Roster'!$AG$6:$AG$206,"*S/L*")+COUNTIF('INPUT - Roster'!$AG$6:$AG$206,"*SICK*")</f>
        <v/>
      </c>
      <c r="R38" s="170">
        <f>COUNTIF('INPUT - Roster'!$AH$6:$AH$206,"*S/L*")+COUNTIF('INPUT - Roster'!$AH$6:$AH$206,"*SICK*")</f>
        <v/>
      </c>
      <c r="S38" s="170">
        <f>COUNTIF('INPUT - Roster'!$AI$6:$AI$206,"*S/L*")+COUNTIF('INPUT - Roster'!$AI$6:$AI$206,"*SICK*")</f>
        <v/>
      </c>
      <c r="T38" s="170">
        <f>COUNTIF('INPUT - Roster'!$AJ$6:$AJ$206,"*S/L*")+COUNTIF('INPUT - Roster'!$AJ$6:$AJ$206,"*SICK*")</f>
        <v/>
      </c>
      <c r="U38" s="170">
        <f>COUNTIF('INPUT - Roster'!$AK$6:$AK$206,"*S/L*")+COUNTIF('INPUT - Roster'!$AK$6:$AK$206,"*SICK*")</f>
        <v/>
      </c>
      <c r="V38" s="170">
        <f>COUNTIF('INPUT - Roster'!$AL$6:$AL$206,"*S/L*")+COUNTIF('INPUT - Roster'!$AL$6:$AL$206,"*SICK*")</f>
        <v/>
      </c>
      <c r="W38" s="170">
        <f>COUNTIF('INPUT - Roster'!$AM$6:$AM$206,"*S/L*")+COUNTIF('INPUT - Roster'!$AM$6:$AM$206,"*SICK*")</f>
        <v/>
      </c>
      <c r="X38" s="170">
        <f>COUNTIF('INPUT - Roster'!$AN$6:$AN$206,"*S/L*")+COUNTIF('INPUT - Roster'!$AN$6:$AN$206,"*SICK*")</f>
        <v/>
      </c>
      <c r="Y38" s="170">
        <f>COUNTIF('INPUT - Roster'!$AO$6:$AO$206,"*S/L*")+COUNTIF('INPUT - Roster'!$AO$6:$AO$206,"*SICK*")</f>
        <v/>
      </c>
      <c r="Z38" s="170">
        <f>COUNTIF('INPUT - Roster'!$AP$6:$AP$206,"*S/L*")+COUNTIF('INPUT - Roster'!$AP$6:$AP$206,"*SICK*")</f>
        <v/>
      </c>
      <c r="AA38" s="170">
        <f>COUNTIF('INPUT - Roster'!$AQ$6:$AQ$206,"*S/L*")+COUNTIF('INPUT - Roster'!$AQ$6:$AQ$206,"*SICK*")</f>
        <v/>
      </c>
      <c r="AB38" s="170">
        <f>COUNTIF('INPUT - Roster'!$AR$6:$AR$206,"*S/L*")+COUNTIF('INPUT - Roster'!$AR$6:$AR$206,"*SICK*")</f>
        <v/>
      </c>
      <c r="AC38" s="170">
        <f>COUNTIF('INPUT - Roster'!$AS$6:$AS$206,"*S/L*")+COUNTIF('INPUT - Roster'!$AS$6:$AS$206,"*SICK*")</f>
        <v/>
      </c>
      <c r="AD38" s="170">
        <f>COUNTIF('INPUT - Roster'!$AT$6:$AT$206,"*S/L*")+COUNTIF('INPUT - Roster'!$AT$6:$AT$206,"*SICK*")</f>
        <v/>
      </c>
      <c r="AE38" s="170">
        <f>COUNTIF('INPUT - Roster'!$AU$6:$AU$206,"*S/L*")+COUNTIF('INPUT - Roster'!$AU$6:$AU$206,"*SICK*")</f>
        <v/>
      </c>
      <c r="AF38" s="170">
        <f>COUNTIF('INPUT - Roster'!$AV$6:$AV$206,"*S/L*")+COUNTIF('INPUT - Roster'!$AV$6:$AV$206,"*SICK*")</f>
        <v/>
      </c>
      <c r="AG38" s="170">
        <f>COUNTIF('INPUT - Roster'!$AW$6:$AW$206,"*S/L*")+COUNTIF('INPUT - Roster'!$AW$6:$AW$206,"*SICK*")</f>
        <v/>
      </c>
      <c r="AH38" s="170">
        <f>COUNTIF('INPUT - Roster'!$AX$6:$AX$206,"*S/L*")+COUNTIF('INPUT - Roster'!$AX$6:$AX$206,"*SICK*")</f>
        <v/>
      </c>
      <c r="AI38" s="170">
        <f>COUNTIF('INPUT - Roster'!$AY$6:$AY$206,"*S/L*")+COUNTIF('INPUT - Roster'!$AY$6:$AY$206,"*SICK*")</f>
        <v/>
      </c>
      <c r="AJ38" s="170">
        <f>COUNTIF('INPUT - Roster'!$AZ$6:$AZ$206,"*S/L*")+COUNTIF('INPUT - Roster'!$AZ$6:$AZ$206,"*SICK*")</f>
        <v/>
      </c>
      <c r="AK38" s="170">
        <f>COUNTIF('INPUT - Roster'!$BA$6:$BA$206,"*S/L*")+COUNTIF('INPUT - Roster'!$BA$6:$BA$206,"*SICK*")</f>
        <v/>
      </c>
      <c r="AL38" s="170">
        <f>COUNTIF('INPUT - Roster'!$BB$6:$BB$206,"*S/L*")+COUNTIF('INPUT - Roster'!$BB$6:$BB$206,"*SICK*")</f>
        <v/>
      </c>
      <c r="AM38" s="170">
        <f>COUNTIF('INPUT - Roster'!$BC$6:$BC$206,"*S/L*")+COUNTIF('INPUT - Roster'!$BC$6:$BC$206,"*SICK*")</f>
        <v/>
      </c>
      <c r="AN38" s="170">
        <f>COUNTIF('INPUT - Roster'!$BD$6:$BD$206,"*S/L*")+COUNTIF('INPUT - Roster'!$BD$6:$BD$206,"*SICK*")</f>
        <v/>
      </c>
      <c r="AO38" s="170">
        <f>COUNTIF('INPUT - Roster'!$BE$6:$BE$206,"*S/L*")+COUNTIF('INPUT - Roster'!$BE$6:$BE$206,"*SICK*")</f>
        <v/>
      </c>
      <c r="AP38" s="170">
        <f>COUNTIF('INPUT - Roster'!$BF$6:$BF$206,"*S/L*")+COUNTIF('INPUT - Roster'!$BF$6:$BF$206,"*SICK*")</f>
        <v/>
      </c>
      <c r="AQ38" s="170">
        <f>COUNTIF('INPUT - Roster'!$BG$6:$BG$206,"*S/L*")+COUNTIF('INPUT - Roster'!$BG$6:$BG$206,"*SICK*")</f>
        <v/>
      </c>
      <c r="AR38" s="170">
        <f>COUNTIF('INPUT - Roster'!$BH$6:$BH$206,"*S/L*")+COUNTIF('INPUT - Roster'!$BH$6:$BH$206,"*SICK*")</f>
        <v/>
      </c>
      <c r="AS38" s="170">
        <f>COUNTIF('INPUT - Roster'!$BI$6:$BI$206,"*S/L*")+COUNTIF('INPUT - Roster'!$BI$6:$BI$206,"*SICK*")</f>
        <v/>
      </c>
      <c r="AT38" s="170">
        <f>COUNTIF('INPUT - Roster'!$BJ$6:$BJ$206,"*S/L*")+COUNTIF('INPUT - Roster'!$BJ$6:$BJ$206,"*SICK*")</f>
        <v/>
      </c>
      <c r="AU38" s="170">
        <f>COUNTIF('INPUT - Roster'!$BK$6:$BK$206,"*S/L*")+COUNTIF('INPUT - Roster'!$BK$6:$BK$206,"*SICK*")</f>
        <v/>
      </c>
      <c r="AV38" s="170">
        <f>COUNTIF('INPUT - Roster'!$BL$6:$BL$206,"*S/L*")+COUNTIF('INPUT - Roster'!$BL$6:$BL$206,"*SICK*")</f>
        <v/>
      </c>
      <c r="AW38" s="170">
        <f>COUNTIF('INPUT - Roster'!$BM$6:$BM$206,"*S/L*")+COUNTIF('INPUT - Roster'!$BM$6:$BM$206,"*SICK*")</f>
        <v/>
      </c>
      <c r="AX38" s="170">
        <f>COUNTIF('INPUT - Roster'!$BN$6:$BN$206,"*S/L*")+COUNTIF('INPUT - Roster'!$BN$6:$BN$206,"*SICK*")</f>
        <v/>
      </c>
      <c r="AY38" s="170">
        <f>COUNTIF('INPUT - Roster'!$BO$6:$BO$206,"*S/L*")+COUNTIF('INPUT - Roster'!$BO$6:$BO$206,"*SICK*")</f>
        <v/>
      </c>
      <c r="AZ38" s="170">
        <f>COUNTIF('INPUT - Roster'!$BP$6:$BP$206,"*S/L*")+COUNTIF('INPUT - Roster'!$BP$6:$BP$206,"*SICK*")</f>
        <v/>
      </c>
      <c r="BA38" s="170">
        <f>COUNTIF('INPUT - Roster'!$BQ$6:$BQ$206,"*S/L*")+COUNTIF('INPUT - Roster'!$BQ$6:$BQ$206,"*SICK*")</f>
        <v/>
      </c>
      <c r="BB38" s="170">
        <f>COUNTIF('INPUT - Roster'!$BR$6:$BR$206,"*S/L*")+COUNTIF('INPUT - Roster'!$BR$6:$BR$206,"*SICK*")</f>
        <v/>
      </c>
      <c r="BC38" s="170">
        <f>COUNTIF('INPUT - Roster'!$BS$6:$BS$206,"*S/L*")+COUNTIF('INPUT - Roster'!$BS$6:$BS$206,"*SICK*")</f>
        <v/>
      </c>
      <c r="BD38" s="170">
        <f>COUNTIF('INPUT - Roster'!$BT$6:$BT$206,"*S/L*")+COUNTIF('INPUT - Roster'!$BT$6:$BT$206,"*SICK*")</f>
        <v/>
      </c>
      <c r="BE38" s="170">
        <f>COUNTIF('INPUT - Roster'!$BU$6:$BU$206,"*S/L*")+COUNTIF('INPUT - Roster'!$BU$6:$BU$206,"*SICK*")</f>
        <v/>
      </c>
      <c r="BF38" s="170">
        <f>COUNTIF('INPUT - Roster'!$BV$6:$BV$206,"*S/L*")+COUNTIF('INPUT - Roster'!$BV$6:$BV$206,"*SICK*")</f>
        <v/>
      </c>
      <c r="BG38" s="170">
        <f>COUNTIF('INPUT - Roster'!$BW$6:$BW$206,"*S/L*")+COUNTIF('INPUT - Roster'!$BW$6:$BW$206,"*SICK*")</f>
        <v/>
      </c>
      <c r="BH38" s="170">
        <f>COUNTIF('INPUT - Roster'!$BX$6:$BX$206,"*S/L*")+COUNTIF('INPUT - Roster'!$BX$6:$BX$206,"*SICK*")</f>
        <v/>
      </c>
      <c r="BI38" s="170">
        <f>COUNTIF('INPUT - Roster'!$BY$6:$BY$206,"*S/L*")+COUNTIF('INPUT - Roster'!$BY$6:$BY$206,"*SICK*")</f>
        <v/>
      </c>
      <c r="BJ38" s="170">
        <f>COUNTIF('INPUT - Roster'!$BZ$6:$BZ$206,"*S/L*")+COUNTIF('INPUT - Roster'!$BZ$6:$BZ$206,"*SICK*")</f>
        <v/>
      </c>
      <c r="BK38" s="170">
        <f>COUNTIF('INPUT - Roster'!$CA$6:$CA$206,"*S/L*")+COUNTIF('INPUT - Roster'!$CA$6:$CA$206,"*SICK*")</f>
        <v/>
      </c>
      <c r="BL38" s="170">
        <f>COUNTIF('INPUT - Roster'!$CB$6:$CB$206,"*S/L*")+COUNTIF('INPUT - Roster'!$CB$6:$CB$206,"*SICK*")</f>
        <v/>
      </c>
      <c r="BM38" s="170">
        <f>COUNTIF('INPUT - Roster'!$CC$6:$CC$206,"*S/L*")+COUNTIF('INPUT - Roster'!$CC$6:$CC$206,"*SICK*")</f>
        <v/>
      </c>
      <c r="BN38" s="170">
        <f>COUNTIF('INPUT - Roster'!$CD$6:$CD$206,"*S/L*")+COUNTIF('INPUT - Roster'!$CD$6:$CD$206,"*SICK*")</f>
        <v/>
      </c>
      <c r="BO38" s="170">
        <f>COUNTIF('INPUT - Roster'!$CE$6:$CE$206,"*S/L*")+COUNTIF('INPUT - Roster'!$CE$6:$CE$206,"*SICK*")</f>
        <v/>
      </c>
      <c r="BP38" s="170">
        <f>COUNTIF('INPUT - Roster'!$CF$6:$CF$206,"*S/L*")+COUNTIF('INPUT - Roster'!$CF$6:$CF$206,"*SICK*")</f>
        <v/>
      </c>
      <c r="BQ38" s="170">
        <f>COUNTIF('INPUT - Roster'!$CG$6:$CG$206,"*S/L*")+COUNTIF('INPUT - Roster'!$CG$6:$CG$206,"*SICK*")</f>
        <v/>
      </c>
      <c r="BR38" s="170">
        <f>COUNTIF('INPUT - Roster'!$CH$6:$CH$206,"*S/L*")+COUNTIF('INPUT - Roster'!$CH$6:$CH$206,"*SICK*")</f>
        <v/>
      </c>
      <c r="BS38" s="170">
        <f>COUNTIF('INPUT - Roster'!$CI$6:$CI$206,"*S/L*")+COUNTIF('INPUT - Roster'!$CI$6:$CI$206,"*SICK*")</f>
        <v/>
      </c>
      <c r="BT38" s="170">
        <f>COUNTIF('INPUT - Roster'!$CJ$6:$CJ$206,"*S/L*")+COUNTIF('INPUT - Roster'!$CJ$6:$CJ$206,"*SICK*")</f>
        <v/>
      </c>
      <c r="BU38" s="170">
        <f>COUNTIF('INPUT - Roster'!$CK$6:$CK$206,"*S/L*")+COUNTIF('INPUT - Roster'!$CK$6:$CK$206,"*SICK*")</f>
        <v/>
      </c>
      <c r="BV38" s="170">
        <f>COUNTIF('INPUT - Roster'!$CL$6:$CL$206,"*S/L*")+COUNTIF('INPUT - Roster'!$CL$6:$CL$206,"*SICK*")</f>
        <v/>
      </c>
      <c r="BW38" s="170">
        <f>COUNTIF('INPUT - Roster'!$CM$6:$CM$206,"*S/L*")+COUNTIF('INPUT - Roster'!$CM$6:$CM$206,"*SICK*")</f>
        <v/>
      </c>
      <c r="BX38" s="170">
        <f>COUNTIF('INPUT - Roster'!$CN$6:$CN$206,"*S/L*")+COUNTIF('INPUT - Roster'!$CN$6:$CN$206,"*SICK*")</f>
        <v/>
      </c>
      <c r="BY38" s="170">
        <f>COUNTIF('INPUT - Roster'!$CO$6:$CO$206,"*S/L*")+COUNTIF('INPUT - Roster'!$CO$6:$CO$206,"*SICK*")</f>
        <v/>
      </c>
      <c r="BZ38" s="170">
        <f>COUNTIF('INPUT - Roster'!$CP$6:$CP$206,"*S/L*")+COUNTIF('INPUT - Roster'!$CP$6:$CP$206,"*SICK*")</f>
        <v/>
      </c>
      <c r="CA38" s="170">
        <f>COUNTIF('INPUT - Roster'!$CQ$6:$CQ$206,"*S/L*")+COUNTIF('INPUT - Roster'!$CQ$6:$CQ$206,"*SICK*")</f>
        <v/>
      </c>
      <c r="CB38" s="170">
        <f>COUNTIF('INPUT - Roster'!$CR$6:$CR$206,"*S/L*")+COUNTIF('INPUT - Roster'!$CR$6:$CR$206,"*SICK*")</f>
        <v/>
      </c>
      <c r="CC38" s="170">
        <f>COUNTIF('INPUT - Roster'!$CS$6:$CS$206,"*S/L*")+COUNTIF('INPUT - Roster'!$CS$6:$CS$206,"*SICK*")</f>
        <v/>
      </c>
      <c r="CD38" s="170">
        <f>COUNTIF('INPUT - Roster'!$CT$6:$CT$206,"*S/L*")+COUNTIF('INPUT - Roster'!$CT$6:$CT$206,"*SICK*")</f>
        <v/>
      </c>
      <c r="CE38" s="170">
        <f>COUNTIF('INPUT - Roster'!$CU$6:$CU$206,"*S/L*")+COUNTIF('INPUT - Roster'!$CU$6:$CU$206,"*SICK*")</f>
        <v/>
      </c>
      <c r="CF38" s="170">
        <f>COUNTIF('INPUT - Roster'!$CV$6:$CV$206,"*S/L*")+COUNTIF('INPUT - Roster'!$CV$6:$CV$206,"*SICK*")</f>
        <v/>
      </c>
      <c r="CG38" s="170">
        <f>COUNTIF('INPUT - Roster'!$CW$6:$CW$206,"*S/L*")+COUNTIF('INPUT - Roster'!$CW$6:$CW$206,"*SICK*")</f>
        <v/>
      </c>
      <c r="CH38" s="170">
        <f>COUNTIF('INPUT - Roster'!$CX$6:$CX$206,"*S/L*")+COUNTIF('INPUT - Roster'!$CX$6:$CX$206,"*SICK*")</f>
        <v/>
      </c>
      <c r="CI38" s="170">
        <f>COUNTIF('INPUT - Roster'!$CY$6:$CY$206,"*S/L*")+COUNTIF('INPUT - Roster'!$CY$6:$CY$206,"*SICK*")</f>
        <v/>
      </c>
      <c r="CJ38" s="170">
        <f>COUNTIF('INPUT - Roster'!$CZ$6:$CZ$206,"*S/L*")+COUNTIF('INPUT - Roster'!$CZ$6:$CZ$206,"*SICK*")</f>
        <v/>
      </c>
      <c r="CK38" s="170">
        <f>COUNTIF('INPUT - Roster'!$DA$6:$DA$206,"*S/L*")+COUNTIF('INPUT - Roster'!$DA$6:$DA$206,"*SICK*")</f>
        <v/>
      </c>
      <c r="CL38" s="170">
        <f>COUNTIF('INPUT - Roster'!$DB$6:$DB$206,"*S/L*")+COUNTIF('INPUT - Roster'!$DB$6:$DB$206,"*SICK*")</f>
        <v/>
      </c>
      <c r="CM38" s="170">
        <f>COUNTIF('INPUT - Roster'!$DC$6:$DC$206,"*S/L*")+COUNTIF('INPUT - Roster'!$DC$6:$DC$206,"*SICK*")</f>
        <v/>
      </c>
      <c r="CN38" s="170">
        <f>COUNTIF('INPUT - Roster'!$DD$6:$DD$206,"*S/L*")+COUNTIF('INPUT - Roster'!$DD$6:$DD$206,"*SICK*")</f>
        <v/>
      </c>
      <c r="CO38" s="170">
        <f>COUNTIF('INPUT - Roster'!$DE$6:$DE$206,"*S/L*")+COUNTIF('INPUT - Roster'!$DE$6:$DE$206,"*SICK*")</f>
        <v/>
      </c>
      <c r="CP38" s="170">
        <f>COUNTIF('INPUT - Roster'!$DF$6:$DF$206,"*S/L*")+COUNTIF('INPUT - Roster'!$DF$6:$DF$206,"*SICK*")</f>
        <v/>
      </c>
      <c r="CQ38" s="170">
        <f>COUNTIF('INPUT - Roster'!$DG$6:$DG$206,"*S/L*")+COUNTIF('INPUT - Roster'!$DG$6:$DG$206,"*SICK*")</f>
        <v/>
      </c>
      <c r="CR38" s="170">
        <f>COUNTIF('INPUT - Roster'!$DH$6:$DH$206,"*S/L*")+COUNTIF('INPUT - Roster'!$DH$6:$DH$206,"*SICK*")</f>
        <v/>
      </c>
      <c r="CS38" s="170">
        <f>COUNTIF('INPUT - Roster'!$DI$6:$DI$206,"*S/L*")+COUNTIF('INPUT - Roster'!$DI$6:$DI$206,"*SICK*")</f>
        <v/>
      </c>
      <c r="CT38" s="170">
        <f>COUNTIF('INPUT - Roster'!$DJ$6:$DJ$206,"*S/L*")+COUNTIF('INPUT - Roster'!$DJ$6:$DJ$206,"*SICK*")</f>
        <v/>
      </c>
      <c r="CU38" s="170">
        <f>COUNTIF('INPUT - Roster'!$DK$6:$DK$206,"*S/L*")+COUNTIF('INPUT - Roster'!$DK$6:$DK$206,"*SICK*")</f>
        <v/>
      </c>
      <c r="CV38" s="170">
        <f>COUNTIF('INPUT - Roster'!$DL$6:$DL$206,"*S/L*")+COUNTIF('INPUT - Roster'!$DL$6:$DL$206,"*SICK*")</f>
        <v/>
      </c>
      <c r="CW38" s="170">
        <f>COUNTIF('INPUT - Roster'!$DM$6:$DM$206,"*S/L*")+COUNTIF('INPUT - Roster'!$DM$6:$DM$206,"*SICK*")</f>
        <v/>
      </c>
      <c r="CX38" s="170">
        <f>COUNTIF('INPUT - Roster'!$DN$6:$DN$206,"*S/L*")+COUNTIF('INPUT - Roster'!$DN$6:$DN$206,"*SICK*")</f>
        <v/>
      </c>
      <c r="CY38" s="170">
        <f>COUNTIF('INPUT - Roster'!$DO$6:$DO$206,"*S/L*")+COUNTIF('INPUT - Roster'!$DO$6:$DO$206,"*SICK*")</f>
        <v/>
      </c>
      <c r="CZ38" s="170">
        <f>COUNTIF('INPUT - Roster'!$DP$6:$DP$206,"*S/L*")+COUNTIF('INPUT - Roster'!$DP$6:$DP$206,"*SICK*")</f>
        <v/>
      </c>
      <c r="DA38" s="170">
        <f>COUNTIF('INPUT - Roster'!$DQ$6:$DQ$206,"*S/L*")+COUNTIF('INPUT - Roster'!$DQ$6:$DQ$206,"*SICK*")</f>
        <v/>
      </c>
      <c r="DB38" s="170">
        <f>COUNTIF('INPUT - Roster'!$DR$6:$DR$206,"*S/L*")+COUNTIF('INPUT - Roster'!$DR$6:$DR$206,"*SICK*")</f>
        <v/>
      </c>
      <c r="DC38" s="170">
        <f>COUNTIF('INPUT - Roster'!$DS$6:$DS$206,"*S/L*")+COUNTIF('INPUT - Roster'!$DS$6:$DS$206,"*SICK*")</f>
        <v/>
      </c>
      <c r="DD38" s="170">
        <f>COUNTIF('INPUT - Roster'!$DT$6:$DT$206,"*S/L*")+COUNTIF('INPUT - Roster'!$DT$6:$DT$206,"*SICK*")</f>
        <v/>
      </c>
      <c r="DE38" s="170">
        <f>COUNTIF('INPUT - Roster'!$DU$6:$DU$206,"*S/L*")+COUNTIF('INPUT - Roster'!$DU$6:$DU$206,"*SICK*")</f>
        <v/>
      </c>
      <c r="DF38" s="170">
        <f>COUNTIF('INPUT - Roster'!$DV$6:$DV$206,"*S/L*")+COUNTIF('INPUT - Roster'!$DV$6:$DV$206,"*SICK*")</f>
        <v/>
      </c>
      <c r="DG38" s="170">
        <f>COUNTIF('INPUT - Roster'!$DW$6:$DW$206,"*S/L*")+COUNTIF('INPUT - Roster'!$DW$6:$DW$206,"*SICK*")</f>
        <v/>
      </c>
      <c r="DH38" s="170">
        <f>COUNTIF('INPUT - Roster'!$DX$6:$DX$206,"*S/L*")+COUNTIF('INPUT - Roster'!$DX$6:$DX$206,"*SICK*")</f>
        <v/>
      </c>
      <c r="DI38" s="170">
        <f>COUNTIF('INPUT - Roster'!$DY$6:$DY$206,"*S/L*")+COUNTIF('INPUT - Roster'!$DY$6:$DY$206,"*SICK*")</f>
        <v/>
      </c>
      <c r="DJ38" s="170">
        <f>COUNTIF('INPUT - Roster'!$DZ$6:$DZ$206,"*S/L*")+COUNTIF('INPUT - Roster'!$DZ$6:$DZ$206,"*SICK*")</f>
        <v/>
      </c>
      <c r="DK38" s="170">
        <f>COUNTIF('INPUT - Roster'!$EA$6:$EA$206,"*S/L*")+COUNTIF('INPUT - Roster'!$EA$6:$EA$206,"*SICK*")</f>
        <v/>
      </c>
      <c r="DL38" s="170">
        <f>COUNTIF('INPUT - Roster'!$EB$6:$EB$206,"*S/L*")+COUNTIF('INPUT - Roster'!$EB$6:$EB$206,"*SICK*")</f>
        <v/>
      </c>
      <c r="DM38" s="170">
        <f>COUNTIF('INPUT - Roster'!$EC$6:$EC$206,"*S/L*")+COUNTIF('INPUT - Roster'!$EC$6:$EC$206,"*SICK*")</f>
        <v/>
      </c>
      <c r="DN38" s="170">
        <f>COUNTIF('INPUT - Roster'!$ED$6:$ED$206,"*S/L*")+COUNTIF('INPUT - Roster'!$ED$6:$ED$206,"*SICK*")</f>
        <v/>
      </c>
      <c r="DO38" s="170">
        <f>COUNTIF('INPUT - Roster'!$EE$6:$EE$206,"*S/L*")+COUNTIF('INPUT - Roster'!$EE$6:$EE$206,"*SICK*")</f>
        <v/>
      </c>
      <c r="DP38" s="170">
        <f>COUNTIF('INPUT - Roster'!$EF$6:$EF$206,"*S/L*")+COUNTIF('INPUT - Roster'!$EF$6:$EF$206,"*SICK*")</f>
        <v/>
      </c>
      <c r="DQ38" s="170">
        <f>COUNTIF('INPUT - Roster'!$EG$6:$EG$206,"*S/L*")+COUNTIF('INPUT - Roster'!$EG$6:$EG$206,"*SICK*")</f>
        <v/>
      </c>
      <c r="DR38" s="170">
        <f>COUNTIF('INPUT - Roster'!$EH$6:$EH$206,"*S/L*")+COUNTIF('INPUT - Roster'!$EH$6:$EH$206,"*SICK*")</f>
        <v/>
      </c>
      <c r="DS38" s="170">
        <f>COUNTIF('INPUT - Roster'!$EI$6:$EI$206,"*S/L*")+COUNTIF('INPUT - Roster'!$EI$6:$EI$206,"*SICK*")</f>
        <v/>
      </c>
      <c r="DT38" s="170">
        <f>COUNTIF('INPUT - Roster'!$EJ$6:$EJ$206,"*S/L*")+COUNTIF('INPUT - Roster'!$EJ$6:$EJ$206,"*SICK*")</f>
        <v/>
      </c>
      <c r="DU38" s="170">
        <f>COUNTIF('INPUT - Roster'!$EK$6:$EK$206,"*S/L*")+COUNTIF('INPUT - Roster'!$EK$6:$EK$206,"*SICK*")</f>
        <v/>
      </c>
      <c r="DV38" s="170">
        <f>COUNTIF('INPUT - Roster'!$EL$6:$EL$206,"*S/L*")+COUNTIF('INPUT - Roster'!$EL$6:$EL$206,"*SICK*")</f>
        <v/>
      </c>
      <c r="DW38" s="170">
        <f>COUNTIF('INPUT - Roster'!$EM$6:$EM$206,"*S/L*")+COUNTIF('INPUT - Roster'!$EM$6:$EM$206,"*SICK*")</f>
        <v/>
      </c>
      <c r="DX38" s="170">
        <f>COUNTIF('INPUT - Roster'!$EN$6:$EN$206,"*S/L*")+COUNTIF('INPUT - Roster'!$EN$6:$EN$206,"*SICK*")</f>
        <v/>
      </c>
      <c r="DY38" s="170">
        <f>COUNTIF('INPUT - Roster'!$EO$6:$EO$206,"*S/L*")+COUNTIF('INPUT - Roster'!$EO$6:$EO$206,"*SICK*")</f>
        <v/>
      </c>
      <c r="DZ38" s="170">
        <f>COUNTIF('INPUT - Roster'!$EP$6:$EP$206,"*S/L*")+COUNTIF('INPUT - Roster'!$EP$6:$EP$206,"*SICK*")</f>
        <v/>
      </c>
      <c r="EA38" s="170">
        <f>COUNTIF('INPUT - Roster'!$EQ$6:$EQ$206,"*S/L*")+COUNTIF('INPUT - Roster'!$EQ$6:$EQ$206,"*SICK*")</f>
        <v/>
      </c>
      <c r="EB38" s="170">
        <f>COUNTIF('INPUT - Roster'!$ER$6:$ER$206,"*S/L*")+COUNTIF('INPUT - Roster'!$ER$6:$ER$206,"*SICK*")</f>
        <v/>
      </c>
      <c r="EC38" s="170">
        <f>COUNTIF('INPUT - Roster'!$ES$6:$ES$206,"*S/L*")+COUNTIF('INPUT - Roster'!$ES$6:$ES$206,"*SICK*")</f>
        <v/>
      </c>
      <c r="ED38" s="170">
        <f>COUNTIF('INPUT - Roster'!$ET$6:$ET$206,"*S/L*")+COUNTIF('INPUT - Roster'!$ET$6:$ET$206,"*SICK*")</f>
        <v/>
      </c>
      <c r="EE38" s="170">
        <f>COUNTIF('INPUT - Roster'!$EU$6:$EU$206,"*S/L*")+COUNTIF('INPUT - Roster'!$EU$6:$EU$206,"*SICK*")</f>
        <v/>
      </c>
      <c r="EF38" s="170">
        <f>COUNTIF('INPUT - Roster'!$EV$6:$EV$206,"*S/L*")+COUNTIF('INPUT - Roster'!$EV$6:$EV$206,"*SICK*")</f>
        <v/>
      </c>
      <c r="EG38" s="170">
        <f>COUNTIF('INPUT - Roster'!$EW$6:$EW$206,"*S/L*")+COUNTIF('INPUT - Roster'!$EW$6:$EW$206,"*SICK*")</f>
        <v/>
      </c>
      <c r="EH38" s="170">
        <f>COUNTIF('INPUT - Roster'!$EX$6:$EX$206,"*S/L*")+COUNTIF('INPUT - Roster'!$EX$6:$EX$206,"*SICK*")</f>
        <v/>
      </c>
      <c r="EI38" s="170">
        <f>COUNTIF('INPUT - Roster'!$EY$6:$EY$206,"*S/L*")+COUNTIF('INPUT - Roster'!$EY$6:$EY$206,"*SICK*")</f>
        <v/>
      </c>
      <c r="EJ38" s="170">
        <f>COUNTIF('INPUT - Roster'!$EZ$6:$EZ$206,"*S/L*")+COUNTIF('INPUT - Roster'!$EZ$6:$EZ$206,"*SICK*")</f>
        <v/>
      </c>
      <c r="EK38" s="170">
        <f>COUNTIF('INPUT - Roster'!$FA$6:$FA$206,"*S/L*")+COUNTIF('INPUT - Roster'!$FA$6:$FA$206,"*SICK*")</f>
        <v/>
      </c>
      <c r="EL38" s="170">
        <f>COUNTIF('INPUT - Roster'!$FB$6:$FB$206,"*S/L*")+COUNTIF('INPUT - Roster'!$FB$6:$FB$206,"*SICK*")</f>
        <v/>
      </c>
      <c r="EM38" s="170">
        <f>COUNTIF('INPUT - Roster'!$FC$6:$FC$206,"*S/L*")+COUNTIF('INPUT - Roster'!$FC$6:$FC$206,"*SICK*")</f>
        <v/>
      </c>
      <c r="EN38" s="170">
        <f>COUNTIF('INPUT - Roster'!$FD$6:$FD$206,"*S/L*")+COUNTIF('INPUT - Roster'!$FD$6:$FD$206,"*SICK*")</f>
        <v/>
      </c>
      <c r="EO38" s="170">
        <f>COUNTIF('INPUT - Roster'!$FE$6:$FE$206,"*S/L*")+COUNTIF('INPUT - Roster'!$FE$6:$FE$206,"*SICK*")</f>
        <v/>
      </c>
      <c r="EP38" s="170">
        <f>COUNTIF('INPUT - Roster'!$FF$6:$FF$206,"*S/L*")+COUNTIF('INPUT - Roster'!$FF$6:$FF$206,"*SICK*")</f>
        <v/>
      </c>
      <c r="EQ38" s="170">
        <f>COUNTIF('INPUT - Roster'!$FG$6:$FG$206,"*S/L*")+COUNTIF('INPUT - Roster'!$FG$6:$FG$206,"*SICK*")</f>
        <v/>
      </c>
      <c r="ER38" s="170">
        <f>COUNTIF('INPUT - Roster'!$FH$6:$FH$206,"*S/L*")+COUNTIF('INPUT - Roster'!$FH$6:$FH$206,"*SICK*")</f>
        <v/>
      </c>
      <c r="ES38" s="170">
        <f>COUNTIF('INPUT - Roster'!$FI$6:$FI$206,"*S/L*")+COUNTIF('INPUT - Roster'!$FI$6:$FI$206,"*SICK*")</f>
        <v/>
      </c>
      <c r="ET38" s="170">
        <f>COUNTIF('INPUT - Roster'!$FJ$6:$FJ$206,"*S/L*")+COUNTIF('INPUT - Roster'!$FJ$6:$FJ$206,"*SICK*")</f>
        <v/>
      </c>
      <c r="EU38" s="170">
        <f>COUNTIF('INPUT - Roster'!$FK$6:$FK$206,"*S/L*")+COUNTIF('INPUT - Roster'!$FK$6:$FK$206,"*SICK*")</f>
        <v/>
      </c>
      <c r="EV38" s="170">
        <f>COUNTIF('INPUT - Roster'!$FL$6:$FL$206,"*S/L*")+COUNTIF('INPUT - Roster'!$FL$6:$FL$206,"*SICK*")</f>
        <v/>
      </c>
      <c r="EW38" s="170">
        <f>COUNTIF('INPUT - Roster'!$FM$6:$FM$206,"*S/L*")+COUNTIF('INPUT - Roster'!$FM$6:$FM$206,"*SICK*")</f>
        <v/>
      </c>
      <c r="EX38" s="170">
        <f>COUNTIF('INPUT - Roster'!$FN$6:$FN$206,"*S/L*")+COUNTIF('INPUT - Roster'!$FN$6:$FN$206,"*SICK*")</f>
        <v/>
      </c>
      <c r="EY38" s="170">
        <f>COUNTIF('INPUT - Roster'!$FO$6:$FO$206,"*S/L*")+COUNTIF('INPUT - Roster'!$FO$6:$FO$206,"*SICK*")</f>
        <v/>
      </c>
      <c r="EZ38" s="170">
        <f>COUNTIF('INPUT - Roster'!$FP$6:$FP$206,"*S/L*")+COUNTIF('INPUT - Roster'!$FP$6:$FP$206,"*SICK*")</f>
        <v/>
      </c>
      <c r="FA38" s="170">
        <f>COUNTIF('INPUT - Roster'!$FQ$6:$FQ$206,"*S/L*")+COUNTIF('INPUT - Roster'!$FQ$6:$FQ$206,"*SICK*")</f>
        <v/>
      </c>
      <c r="FB38" s="170">
        <f>COUNTIF('INPUT - Roster'!$FR$6:$FR$206,"*S/L*")+COUNTIF('INPUT - Roster'!$FR$6:$FR$206,"*SICK*")</f>
        <v/>
      </c>
      <c r="FC38" s="170">
        <f>COUNTIF('INPUT - Roster'!$FS$6:$FS$206,"*S/L*")+COUNTIF('INPUT - Roster'!$FS$6:$FS$206,"*SICK*")</f>
        <v/>
      </c>
      <c r="FD38" s="170">
        <f>COUNTIF('INPUT - Roster'!$FT$6:$FT$206,"*S/L*")+COUNTIF('INPUT - Roster'!$FT$6:$FT$206,"*SICK*")</f>
        <v/>
      </c>
      <c r="FE38" s="170">
        <f>COUNTIF('INPUT - Roster'!$FU$6:$FU$206,"*S/L*")+COUNTIF('INPUT - Roster'!$FU$6:$FU$206,"*SICK*")</f>
        <v/>
      </c>
      <c r="FF38" s="170">
        <f>COUNTIF('INPUT - Roster'!$FV$6:$FV$206,"*S/L*")+COUNTIF('INPUT - Roster'!$FV$6:$FV$206,"*SICK*")</f>
        <v/>
      </c>
      <c r="FG38" s="170">
        <f>COUNTIF('INPUT - Roster'!$FW$6:$FW$206,"*S/L*")+COUNTIF('INPUT - Roster'!$FW$6:$FW$206,"*SICK*")</f>
        <v/>
      </c>
      <c r="FH38" s="170">
        <f>COUNTIF('INPUT - Roster'!$FX$6:$FX$206,"*S/L*")+COUNTIF('INPUT - Roster'!$FX$6:$FX$206,"*SICK*")</f>
        <v/>
      </c>
      <c r="FI38" s="170">
        <f>COUNTIF('INPUT - Roster'!$FY$6:$FY$206,"*S/L*")+COUNTIF('INPUT - Roster'!$FY$6:$FY$206,"*SICK*")</f>
        <v/>
      </c>
      <c r="FJ38" s="170">
        <f>COUNTIF('INPUT - Roster'!$FZ$6:$FZ$206,"*S/L*")+COUNTIF('INPUT - Roster'!$FZ$6:$FZ$206,"*SICK*")</f>
        <v/>
      </c>
      <c r="FK38" s="170">
        <f>COUNTIF('INPUT - Roster'!$GA$6:$GA$206,"*S/L*")+COUNTIF('INPUT - Roster'!$GA$6:$GA$206,"*SICK*")</f>
        <v/>
      </c>
      <c r="FL38" s="170">
        <f>COUNTIF('INPUT - Roster'!$GB$6:$GB$206,"*S/L*")+COUNTIF('INPUT - Roster'!$GB$6:$GB$206,"*SICK*")</f>
        <v/>
      </c>
      <c r="FM38" s="170">
        <f>COUNTIF('INPUT - Roster'!$GC$6:$GC$206,"*S/L*")+COUNTIF('INPUT - Roster'!$GC$6:$GC$206,"*SICK*")</f>
        <v/>
      </c>
      <c r="FN38" s="170">
        <f>COUNTIF('INPUT - Roster'!$GD$6:$GD$206,"*S/L*")+COUNTIF('INPUT - Roster'!$GD$6:$GD$206,"*SICK*")</f>
        <v/>
      </c>
      <c r="FO38" s="170">
        <f>COUNTIF('INPUT - Roster'!$GE$6:$GE$206,"*S/L*")+COUNTIF('INPUT - Roster'!$GE$6:$GE$206,"*SICK*")</f>
        <v/>
      </c>
      <c r="FP38" s="170">
        <f>COUNTIF('INPUT - Roster'!$GF$6:$GF$206,"*S/L*")+COUNTIF('INPUT - Roster'!$GF$6:$GF$206,"*SICK*")</f>
        <v/>
      </c>
      <c r="FQ38" s="170">
        <f>COUNTIF('INPUT - Roster'!$GG$6:$GG$206,"*S/L*")+COUNTIF('INPUT - Roster'!$GG$6:$GG$206,"*SICK*")</f>
        <v/>
      </c>
      <c r="FR38" s="170">
        <f>COUNTIF('INPUT - Roster'!$GH$6:$GH$206,"*S/L*")+COUNTIF('INPUT - Roster'!$GH$6:$GH$206,"*SICK*")</f>
        <v/>
      </c>
      <c r="FS38" s="170">
        <f>COUNTIF('INPUT - Roster'!$GI$6:$GI$206,"*S/L*")+COUNTIF('INPUT - Roster'!$GI$6:$GI$206,"*SICK*")</f>
        <v/>
      </c>
      <c r="FT38" s="170">
        <f>COUNTIF('INPUT - Roster'!$GJ$6:$GJ$206,"*S/L*")+COUNTIF('INPUT - Roster'!$GJ$6:$GJ$206,"*SICK*")</f>
        <v/>
      </c>
      <c r="FU38" s="170">
        <f>COUNTIF('INPUT - Roster'!$GK$6:$GK$206,"*S/L*")+COUNTIF('INPUT - Roster'!$GK$6:$GK$206,"*SICK*")</f>
        <v/>
      </c>
      <c r="FV38" s="170">
        <f>COUNTIF('INPUT - Roster'!$GL$6:$GL$206,"*S/L*")+COUNTIF('INPUT - Roster'!$GL$6:$GL$206,"*SICK*")</f>
        <v/>
      </c>
      <c r="FW38" s="170">
        <f>COUNTIF('INPUT - Roster'!$GM$6:$GM$206,"*S/L*")+COUNTIF('INPUT - Roster'!$GM$6:$GM$206,"*SICK*")</f>
        <v/>
      </c>
      <c r="FX38" s="170">
        <f>COUNTIF('INPUT - Roster'!$GN$6:$GN$206,"*S/L*")+COUNTIF('INPUT - Roster'!$GN$6:$GN$206,"*SICK*")</f>
        <v/>
      </c>
      <c r="FY38" s="170">
        <f>COUNTIF('INPUT - Roster'!$GO$6:$GO$206,"*S/L*")+COUNTIF('INPUT - Roster'!$GO$6:$GO$206,"*SICK*")</f>
        <v/>
      </c>
      <c r="FZ38" s="170">
        <f>COUNTIF('INPUT - Roster'!$GP$6:$GP$206,"*S/L*")+COUNTIF('INPUT - Roster'!$GP$6:$GP$206,"*SICK*")</f>
        <v/>
      </c>
      <c r="GA38" s="170">
        <f>COUNTIF('INPUT - Roster'!$GQ$6:$GQ$206,"*S/L*")+COUNTIF('INPUT - Roster'!$GQ$6:$GQ$206,"*SICK*")</f>
        <v/>
      </c>
      <c r="GB38" s="170">
        <f>COUNTIF('INPUT - Roster'!$GR$6:$GR$206,"*S/L*")+COUNTIF('INPUT - Roster'!$GR$6:$GR$206,"*SICK*")</f>
        <v/>
      </c>
      <c r="GC38" s="170">
        <f>COUNTIF('INPUT - Roster'!$GS$6:$GS$206,"*S/L*")+COUNTIF('INPUT - Roster'!$GS$6:$GS$206,"*SICK*")</f>
        <v/>
      </c>
      <c r="GD38" s="170">
        <f>COUNTIF('INPUT - Roster'!$GT$6:$GT$206,"*S/L*")+COUNTIF('INPUT - Roster'!$GT$6:$GT$206,"*SICK*")</f>
        <v/>
      </c>
      <c r="GE38" s="170">
        <f>COUNTIF('INPUT - Roster'!$GU$6:$GU$206,"*S/L*")+COUNTIF('INPUT - Roster'!$GU$6:$GU$206,"*SICK*")</f>
        <v/>
      </c>
      <c r="GF38" s="170">
        <f>COUNTIF('INPUT - Roster'!$GV$6:$GV$206,"*S/L*")+COUNTIF('INPUT - Roster'!$GV$6:$GV$206,"*SICK*")</f>
        <v/>
      </c>
      <c r="GG38" s="170">
        <f>COUNTIF('INPUT - Roster'!$GW$6:$GW$206,"*S/L*")+COUNTIF('INPUT - Roster'!$GW$6:$GW$206,"*SICK*")</f>
        <v/>
      </c>
      <c r="GH38" s="170">
        <f>COUNTIF('INPUT - Roster'!$GX$6:$GX$206,"*S/L*")+COUNTIF('INPUT - Roster'!$GX$6:$GX$206,"*SICK*")</f>
        <v/>
      </c>
      <c r="GI38" s="170">
        <f>COUNTIF('INPUT - Roster'!$GY$6:$GY$206,"*S/L*")+COUNTIF('INPUT - Roster'!$GY$6:$GY$206,"*SICK*")</f>
        <v/>
      </c>
      <c r="GJ38" s="170">
        <f>COUNTIF('INPUT - Roster'!$GZ$6:$GZ$206,"*S/L*")+COUNTIF('INPUT - Roster'!$GZ$6:$GZ$206,"*SICK*")</f>
        <v/>
      </c>
      <c r="GK38" s="170">
        <f>COUNTIF('INPUT - Roster'!$HA$6:$HA$206,"*S/L*")+COUNTIF('INPUT - Roster'!$HA$6:$HA$206,"*SICK*")</f>
        <v/>
      </c>
      <c r="GL38" s="170">
        <f>COUNTIF('INPUT - Roster'!$HB$6:$HB$206,"*S/L*")+COUNTIF('INPUT - Roster'!$HB$6:$HB$206,"*SICK*")</f>
        <v/>
      </c>
      <c r="GM38" s="170">
        <f>COUNTIF('INPUT - Roster'!$HC$6:$HC$206,"*S/L*")+COUNTIF('INPUT - Roster'!$HC$6:$HC$206,"*SICK*")</f>
        <v/>
      </c>
      <c r="GN38" s="170">
        <f>COUNTIF('INPUT - Roster'!$HD$6:$HD$206,"*S/L*")+COUNTIF('INPUT - Roster'!$HD$6:$HD$206,"*SICK*")</f>
        <v/>
      </c>
      <c r="GO38" s="170">
        <f>COUNTIF('INPUT - Roster'!$HE$6:$HE$206,"*S/L*")+COUNTIF('INPUT - Roster'!$HE$6:$HE$206,"*SICK*")</f>
        <v/>
      </c>
      <c r="GP38" s="170">
        <f>COUNTIF('INPUT - Roster'!$HF$6:$HF$206,"*S/L*")+COUNTIF('INPUT - Roster'!$HF$6:$HF$206,"*SICK*")</f>
        <v/>
      </c>
      <c r="GQ38" s="170">
        <f>COUNTIF('INPUT - Roster'!$HG$6:$HG$206,"*S/L*")+COUNTIF('INPUT - Roster'!$HG$6:$HG$206,"*SICK*")</f>
        <v/>
      </c>
      <c r="GR38" s="170">
        <f>COUNTIF('INPUT - Roster'!$HH$6:$HH$206,"*S/L*")+COUNTIF('INPUT - Roster'!$HH$6:$HH$206,"*SICK*")</f>
        <v/>
      </c>
      <c r="GS38" s="170">
        <f>COUNTIF('INPUT - Roster'!$HI$6:$HI$206,"*S/L*")+COUNTIF('INPUT - Roster'!$HI$6:$HI$206,"*SICK*")</f>
        <v/>
      </c>
      <c r="GT38" s="170">
        <f>COUNTIF('INPUT - Roster'!$HJ$6:$HJ$206,"*S/L*")+COUNTIF('INPUT - Roster'!$HJ$6:$HJ$206,"*SICK*")</f>
        <v/>
      </c>
      <c r="GU38" s="170">
        <f>COUNTIF('INPUT - Roster'!$HK$6:$HK$206,"*S/L*")+COUNTIF('INPUT - Roster'!$HK$6:$HK$206,"*SICK*")</f>
        <v/>
      </c>
      <c r="GV38" s="170">
        <f>COUNTIF('INPUT - Roster'!$HL$6:$HL$206,"*S/L*")+COUNTIF('INPUT - Roster'!$HL$6:$HL$206,"*SICK*")</f>
        <v/>
      </c>
      <c r="GW38" s="170">
        <f>COUNTIF('INPUT - Roster'!$HM$6:$HM$206,"*S/L*")+COUNTIF('INPUT - Roster'!$HM$6:$HM$206,"*SICK*")</f>
        <v/>
      </c>
      <c r="GX38" s="170">
        <f>COUNTIF('INPUT - Roster'!$HN$6:$HN$206,"*S/L*")+COUNTIF('INPUT - Roster'!$HN$6:$HN$206,"*SICK*")</f>
        <v/>
      </c>
      <c r="GY38" s="170">
        <f>COUNTIF('INPUT - Roster'!$HO$6:$HO$206,"*S/L*")+COUNTIF('INPUT - Roster'!$HO$6:$HO$206,"*SICK*")</f>
        <v/>
      </c>
      <c r="GZ38" s="170">
        <f>COUNTIF('INPUT - Roster'!$HP$6:$HP$206,"*S/L*")+COUNTIF('INPUT - Roster'!$HP$6:$HP$206,"*SICK*")</f>
        <v/>
      </c>
      <c r="HA38" s="170">
        <f>COUNTIF('INPUT - Roster'!$HQ$6:$HQ$206,"*S/L*")+COUNTIF('INPUT - Roster'!$HQ$6:$HQ$206,"*SICK*")</f>
        <v/>
      </c>
      <c r="HB38" s="170">
        <f>COUNTIF('INPUT - Roster'!$HR$6:$HR$206,"*S/L*")+COUNTIF('INPUT - Roster'!$HR$6:$HR$206,"*SICK*")</f>
        <v/>
      </c>
      <c r="HC38" s="170">
        <f>COUNTIF('INPUT - Roster'!$HS$6:$HS$206,"*S/L*")+COUNTIF('INPUT - Roster'!$HS$6:$HS$206,"*SICK*")</f>
        <v/>
      </c>
      <c r="HD38" s="170">
        <f>COUNTIF('INPUT - Roster'!$HT$6:$HT$206,"*S/L*")+COUNTIF('INPUT - Roster'!$HT$6:$HT$206,"*SICK*")</f>
        <v/>
      </c>
      <c r="HE38" s="170">
        <f>COUNTIF('INPUT - Roster'!$HU$6:$HU$206,"*S/L*")+COUNTIF('INPUT - Roster'!$HU$6:$HU$206,"*SICK*")</f>
        <v/>
      </c>
      <c r="HF38" s="170">
        <f>COUNTIF('INPUT - Roster'!$HV$6:$HV$206,"*S/L*")+COUNTIF('INPUT - Roster'!$HV$6:$HV$206,"*SICK*")</f>
        <v/>
      </c>
      <c r="HG38" s="170">
        <f>COUNTIF('INPUT - Roster'!$HW$6:$HW$206,"*S/L*")+COUNTIF('INPUT - Roster'!$HW$6:$HW$206,"*SICK*")</f>
        <v/>
      </c>
      <c r="HH38" s="170">
        <f>COUNTIF('INPUT - Roster'!$HX$6:$HX$206,"*S/L*")+COUNTIF('INPUT - Roster'!$HX$6:$HX$206,"*SICK*")</f>
        <v/>
      </c>
      <c r="HI38" s="170">
        <f>COUNTIF('INPUT - Roster'!$HY$6:$HY$206,"*S/L*")+COUNTIF('INPUT - Roster'!$HY$6:$HY$206,"*SICK*")</f>
        <v/>
      </c>
      <c r="HJ38" s="170">
        <f>COUNTIF('INPUT - Roster'!$HZ$6:$HZ$206,"*S/L*")+COUNTIF('INPUT - Roster'!$HZ$6:$HZ$206,"*SICK*")</f>
        <v/>
      </c>
      <c r="HK38" s="170">
        <f>COUNTIF('INPUT - Roster'!$IA$6:$IA$206,"*S/L*")+COUNTIF('INPUT - Roster'!$IA$6:$IA$206,"*SICK*")</f>
        <v/>
      </c>
      <c r="HL38" s="170">
        <f>COUNTIF('INPUT - Roster'!$IB$6:$IB$206,"*S/L*")+COUNTIF('INPUT - Roster'!$IB$6:$IB$206,"*SICK*")</f>
        <v/>
      </c>
      <c r="HM38" s="170">
        <f>COUNTIF('INPUT - Roster'!$IC$6:$IC$206,"*S/L*")+COUNTIF('INPUT - Roster'!$IC$6:$IC$206,"*SICK*")</f>
        <v/>
      </c>
      <c r="HN38" s="170">
        <f>COUNTIF('INPUT - Roster'!$ID$6:$ID$206,"*S/L*")+COUNTIF('INPUT - Roster'!$ID$6:$ID$206,"*SICK*")</f>
        <v/>
      </c>
      <c r="HO38" s="170">
        <f>COUNTIF('INPUT - Roster'!$IE$6:$IE$206,"*S/L*")+COUNTIF('INPUT - Roster'!$IE$6:$IE$206,"*SICK*")</f>
        <v/>
      </c>
      <c r="HP38" s="170">
        <f>COUNTIF('INPUT - Roster'!$IF$6:$IF$206,"*S/L*")+COUNTIF('INPUT - Roster'!$IF$6:$IF$206,"*SICK*")</f>
        <v/>
      </c>
      <c r="HQ38" s="170">
        <f>COUNTIF('INPUT - Roster'!$IG$6:$IG$206,"*S/L*")+COUNTIF('INPUT - Roster'!$IG$6:$IG$206,"*SICK*")</f>
        <v/>
      </c>
      <c r="HR38" s="170">
        <f>COUNTIF('INPUT - Roster'!$IH$6:$IH$206,"*S/L*")+COUNTIF('INPUT - Roster'!$IH$6:$IH$206,"*SICK*")</f>
        <v/>
      </c>
      <c r="HS38" s="170">
        <f>COUNTIF('INPUT - Roster'!$II$6:$II$206,"*S/L*")+COUNTIF('INPUT - Roster'!$II$6:$II$206,"*SICK*")</f>
        <v/>
      </c>
      <c r="HT38" s="170">
        <f>COUNTIF('INPUT - Roster'!$IJ$6:$IJ$206,"*S/L*")+COUNTIF('INPUT - Roster'!$IJ$6:$IJ$206,"*SICK*")</f>
        <v/>
      </c>
      <c r="HU38" s="170">
        <f>COUNTIF('INPUT - Roster'!$IK$6:$IK$206,"*S/L*")+COUNTIF('INPUT - Roster'!$IK$6:$IK$206,"*SICK*")</f>
        <v/>
      </c>
      <c r="HV38" s="170">
        <f>COUNTIF('INPUT - Roster'!$IL$6:$IL$206,"*S/L*")+COUNTIF('INPUT - Roster'!$IL$6:$IL$206,"*SICK*")</f>
        <v/>
      </c>
      <c r="HW38" s="170">
        <f>COUNTIF('INPUT - Roster'!$IM$6:$IM$206,"*S/L*")+COUNTIF('INPUT - Roster'!$IM$6:$IM$206,"*SICK*")</f>
        <v/>
      </c>
      <c r="HX38" s="170">
        <f>COUNTIF('INPUT - Roster'!$IN$6:$IN$206,"*S/L*")+COUNTIF('INPUT - Roster'!$IN$6:$IN$206,"*SICK*")</f>
        <v/>
      </c>
      <c r="HY38" s="170">
        <f>COUNTIF('INPUT - Roster'!$IO$6:$IO$206,"*S/L*")+COUNTIF('INPUT - Roster'!$IO$6:$IO$206,"*SICK*")</f>
        <v/>
      </c>
      <c r="HZ38" s="170">
        <f>COUNTIF('INPUT - Roster'!$IP$6:$IP$206,"*S/L*")+COUNTIF('INPUT - Roster'!$IP$6:$IP$206,"*SICK*")</f>
        <v/>
      </c>
      <c r="IA38" s="170">
        <f>COUNTIF('INPUT - Roster'!$IQ$6:$IQ$206,"*S/L*")+COUNTIF('INPUT - Roster'!$IQ$6:$IQ$206,"*SICK*")</f>
        <v/>
      </c>
      <c r="IB38" s="170">
        <f>COUNTIF('INPUT - Roster'!$IR$6:$IR$206,"*S/L*")+COUNTIF('INPUT - Roster'!$IR$6:$IR$206,"*SICK*")</f>
        <v/>
      </c>
      <c r="IC38" s="170">
        <f>COUNTIF('INPUT - Roster'!$IS$6:$IS$206,"*S/L*")+COUNTIF('INPUT - Roster'!$IS$6:$IS$206,"*SICK*")</f>
        <v/>
      </c>
      <c r="ID38" s="170">
        <f>COUNTIF('INPUT - Roster'!$IT$6:$IT$206,"*S/L*")+COUNTIF('INPUT - Roster'!$IT$6:$IT$206,"*SICK*")</f>
        <v/>
      </c>
      <c r="IE38" s="170">
        <f>COUNTIF('INPUT - Roster'!$IU$6:$IU$206,"*S/L*")+COUNTIF('INPUT - Roster'!$IU$6:$IU$206,"*SICK*")</f>
        <v/>
      </c>
      <c r="IF38" s="170">
        <f>COUNTIF('INPUT - Roster'!$IV$6:$IV$206,"*S/L*")+COUNTIF('INPUT - Roster'!$IV$6:$IV$206,"*SICK*")</f>
        <v/>
      </c>
      <c r="IG38" s="170">
        <f>COUNTIF('INPUT - Roster'!$IW$6:$IW$206,"*S/L*")+COUNTIF('INPUT - Roster'!$IW$6:$IW$206,"*SICK*")</f>
        <v/>
      </c>
      <c r="IH38" s="170">
        <f>COUNTIF('INPUT - Roster'!$IX$6:$IX$206,"*S/L*")+COUNTIF('INPUT - Roster'!$IX$6:$IX$206,"*SICK*")</f>
        <v/>
      </c>
      <c r="II38" s="170">
        <f>COUNTIF('INPUT - Roster'!$IY$6:$IY$206,"*S/L*")+COUNTIF('INPUT - Roster'!$IY$6:$IY$206,"*SICK*")</f>
        <v/>
      </c>
      <c r="IJ38" s="170">
        <f>COUNTIF('INPUT - Roster'!$IZ$6:$IZ$206,"*S/L*")+COUNTIF('INPUT - Roster'!$IZ$6:$IZ$206,"*SICK*")</f>
        <v/>
      </c>
      <c r="IK38" s="170">
        <f>COUNTIF('INPUT - Roster'!$JA$6:$JA$206,"*S/L*")+COUNTIF('INPUT - Roster'!$JA$6:$JA$206,"*SICK*")</f>
        <v/>
      </c>
      <c r="IL38" s="170">
        <f>COUNTIF('INPUT - Roster'!$JB$6:$JB$206,"*S/L*")+COUNTIF('INPUT - Roster'!$JB$6:$JB$206,"*SICK*")</f>
        <v/>
      </c>
      <c r="IM38" s="170">
        <f>COUNTIF('INPUT - Roster'!$JC$6:$JC$206,"*S/L*")+COUNTIF('INPUT - Roster'!$JC$6:$JC$206,"*SICK*")</f>
        <v/>
      </c>
      <c r="IN38" s="170">
        <f>COUNTIF('INPUT - Roster'!$JD$6:$JD$206,"*S/L*")+COUNTIF('INPUT - Roster'!$JD$6:$JD$206,"*SICK*")</f>
        <v/>
      </c>
      <c r="IO38" s="170">
        <f>COUNTIF('INPUT - Roster'!$JE$6:$JE$206,"*S/L*")+COUNTIF('INPUT - Roster'!$JE$6:$JE$206,"*SICK*")</f>
        <v/>
      </c>
      <c r="IP38" s="170">
        <f>COUNTIF('INPUT - Roster'!$JF$6:$JF$206,"*S/L*")+COUNTIF('INPUT - Roster'!$JF$6:$JF$206,"*SICK*")</f>
        <v/>
      </c>
      <c r="IQ38" s="170">
        <f>COUNTIF('INPUT - Roster'!$JG$6:$JG$206,"*S/L*")+COUNTIF('INPUT - Roster'!$JG$6:$JG$206,"*SICK*")</f>
        <v/>
      </c>
      <c r="IR38" s="170">
        <f>COUNTIF('INPUT - Roster'!$JH$6:$JH$206,"*S/L*")+COUNTIF('INPUT - Roster'!$JH$6:$JH$206,"*SICK*")</f>
        <v/>
      </c>
      <c r="IS38" s="170">
        <f>COUNTIF('INPUT - Roster'!$JI$6:$JI$206,"*S/L*")+COUNTIF('INPUT - Roster'!$JI$6:$JI$206,"*SICK*")</f>
        <v/>
      </c>
      <c r="IT38" s="170">
        <f>COUNTIF('INPUT - Roster'!$JJ$6:$JJ$206,"*S/L*")+COUNTIF('INPUT - Roster'!$JJ$6:$JJ$206,"*SICK*")</f>
        <v/>
      </c>
      <c r="IU38" s="170">
        <f>COUNTIF('INPUT - Roster'!$JK$6:$JK$206,"*S/L*")+COUNTIF('INPUT - Roster'!$JK$6:$JK$206,"*SICK*")</f>
        <v/>
      </c>
      <c r="IV38" s="170">
        <f>COUNTIF('INPUT - Roster'!$JL$6:$JL$206,"*S/L*")+COUNTIF('INPUT - Roster'!$JL$6:$JL$206,"*SICK*")</f>
        <v/>
      </c>
      <c r="IW38" s="170">
        <f>COUNTIF('INPUT - Roster'!$JM$6:$JM$206,"*S/L*")+COUNTIF('INPUT - Roster'!$JM$6:$JM$206,"*SICK*")</f>
        <v/>
      </c>
      <c r="IX38" s="170">
        <f>COUNTIF('INPUT - Roster'!$JN$6:$JN$206,"*S/L*")+COUNTIF('INPUT - Roster'!$JN$6:$JN$206,"*SICK*")</f>
        <v/>
      </c>
      <c r="IY38" s="170">
        <f>COUNTIF('INPUT - Roster'!$JO$6:$JO$206,"*S/L*")+COUNTIF('INPUT - Roster'!$JO$6:$JO$206,"*SICK*")</f>
        <v/>
      </c>
      <c r="IZ38" s="170">
        <f>COUNTIF('INPUT - Roster'!$JP$6:$JP$206,"*S/L*")+COUNTIF('INPUT - Roster'!$JP$6:$JP$206,"*SICK*")</f>
        <v/>
      </c>
      <c r="JA38" s="170">
        <f>COUNTIF('INPUT - Roster'!$JQ$6:$JQ$206,"*S/L*")+COUNTIF('INPUT - Roster'!$JQ$6:$JQ$206,"*SICK*")</f>
        <v/>
      </c>
      <c r="JB38" s="170">
        <f>COUNTIF('INPUT - Roster'!$JR$6:$JR$206,"*S/L*")+COUNTIF('INPUT - Roster'!$JR$6:$JR$206,"*SICK*")</f>
        <v/>
      </c>
      <c r="JC38" s="170">
        <f>COUNTIF('INPUT - Roster'!$JS$6:$JS$206,"*S/L*")+COUNTIF('INPUT - Roster'!$JS$6:$JS$206,"*SICK*")</f>
        <v/>
      </c>
      <c r="JD38" s="170">
        <f>COUNTIF('INPUT - Roster'!$JT$6:$JT$206,"*S/L*")+COUNTIF('INPUT - Roster'!$JT$6:$JT$206,"*SICK*")</f>
        <v/>
      </c>
      <c r="JE38" s="170">
        <f>COUNTIF('INPUT - Roster'!$JU$6:$JU$206,"*S/L*")+COUNTIF('INPUT - Roster'!$JU$6:$JU$206,"*SICK*")</f>
        <v/>
      </c>
      <c r="JF38" s="170">
        <f>COUNTIF('INPUT - Roster'!$JV$6:$JV$206,"*S/L*")+COUNTIF('INPUT - Roster'!$JV$6:$JV$206,"*SICK*")</f>
        <v/>
      </c>
      <c r="JG38" s="170">
        <f>COUNTIF('INPUT - Roster'!$JW$6:$JW$206,"*S/L*")+COUNTIF('INPUT - Roster'!$JW$6:$JW$206,"*SICK*")</f>
        <v/>
      </c>
      <c r="JH38" s="170">
        <f>COUNTIF('INPUT - Roster'!$JX$6:$JX$206,"*S/L*")+COUNTIF('INPUT - Roster'!$JX$6:$JX$206,"*SICK*")</f>
        <v/>
      </c>
      <c r="JI38" s="170">
        <f>COUNTIF('INPUT - Roster'!$JY$6:$JY$206,"*S/L*")+COUNTIF('INPUT - Roster'!$JY$6:$JY$206,"*SICK*")</f>
        <v/>
      </c>
      <c r="JJ38" s="170">
        <f>COUNTIF('INPUT - Roster'!$JZ$6:$JZ$206,"*S/L*")+COUNTIF('INPUT - Roster'!$JZ$6:$JZ$206,"*SICK*")</f>
        <v/>
      </c>
      <c r="JK38" s="170">
        <f>COUNTIF('INPUT - Roster'!$KA$6:$KA$206,"*S/L*")+COUNTIF('INPUT - Roster'!$KA$6:$KA$206,"*SICK*")</f>
        <v/>
      </c>
      <c r="JL38" s="170">
        <f>COUNTIF('INPUT - Roster'!$KB$6:$KB$206,"*S/L*")+COUNTIF('INPUT - Roster'!$KB$6:$KB$206,"*SICK*")</f>
        <v/>
      </c>
      <c r="JM38" s="170">
        <f>COUNTIF('INPUT - Roster'!$KC$6:$KC$206,"*S/L*")+COUNTIF('INPUT - Roster'!$KC$6:$KC$206,"*SICK*")</f>
        <v/>
      </c>
      <c r="JN38" s="170">
        <f>COUNTIF('INPUT - Roster'!$KD$6:$KD$206,"*S/L*")+COUNTIF('INPUT - Roster'!$KD$6:$KD$206,"*SICK*")</f>
        <v/>
      </c>
      <c r="JO38" s="170">
        <f>COUNTIF('INPUT - Roster'!$KE$6:$KE$206,"*S/L*")+COUNTIF('INPUT - Roster'!$KE$6:$KE$206,"*SICK*")</f>
        <v/>
      </c>
      <c r="JP38" s="170">
        <f>COUNTIF('INPUT - Roster'!$KF$6:$KF$206,"*S/L*")+COUNTIF('INPUT - Roster'!$KF$6:$KF$206,"*SICK*")</f>
        <v/>
      </c>
      <c r="JQ38" s="170">
        <f>COUNTIF('INPUT - Roster'!$KG$6:$KG$206,"*S/L*")+COUNTIF('INPUT - Roster'!$KG$6:$KG$206,"*SICK*")</f>
        <v/>
      </c>
      <c r="JR38" s="170">
        <f>COUNTIF('INPUT - Roster'!$KH$6:$KH$206,"*S/L*")+COUNTIF('INPUT - Roster'!$KH$6:$KH$206,"*SICK*")</f>
        <v/>
      </c>
      <c r="JS38" s="170">
        <f>COUNTIF('INPUT - Roster'!$KI$6:$KI$206,"*S/L*")+COUNTIF('INPUT - Roster'!$KI$6:$KI$206,"*SICK*")</f>
        <v/>
      </c>
      <c r="JT38" s="170">
        <f>COUNTIF('INPUT - Roster'!$KJ$6:$KJ$206,"*S/L*")+COUNTIF('INPUT - Roster'!$KJ$6:$KJ$206,"*SICK*")</f>
        <v/>
      </c>
      <c r="JU38" s="170">
        <f>COUNTIF('INPUT - Roster'!$KK$6:$KK$206,"*S/L*")+COUNTIF('INPUT - Roster'!$KK$6:$KK$206,"*SICK*")</f>
        <v/>
      </c>
      <c r="JV38" s="170">
        <f>COUNTIF('INPUT - Roster'!$KL$6:$KL$206,"*S/L*")+COUNTIF('INPUT - Roster'!$KL$6:$KL$206,"*SICK*")</f>
        <v/>
      </c>
      <c r="JW38" s="170">
        <f>COUNTIF('INPUT - Roster'!$KM$6:$KM$206,"*S/L*")+COUNTIF('INPUT - Roster'!$KM$6:$KM$206,"*SICK*")</f>
        <v/>
      </c>
      <c r="JX38" s="170">
        <f>COUNTIF('INPUT - Roster'!$KN$6:$KN$206,"*S/L*")+COUNTIF('INPUT - Roster'!$KN$6:$KN$206,"*SICK*")</f>
        <v/>
      </c>
      <c r="JY38" s="170">
        <f>COUNTIF('INPUT - Roster'!$KO$6:$KO$206,"*S/L*")+COUNTIF('INPUT - Roster'!$KO$6:$KO$206,"*SICK*")</f>
        <v/>
      </c>
      <c r="JZ38" s="170">
        <f>COUNTIF('INPUT - Roster'!$KP$6:$KP$206,"*S/L*")+COUNTIF('INPUT - Roster'!$KP$6:$KP$206,"*SICK*")</f>
        <v/>
      </c>
      <c r="KA38" s="170">
        <f>COUNTIF('INPUT - Roster'!$KQ$6:$KQ$206,"*S/L*")+COUNTIF('INPUT - Roster'!$KQ$6:$KQ$206,"*SICK*")</f>
        <v/>
      </c>
      <c r="KB38" s="170">
        <f>COUNTIF('INPUT - Roster'!$KR$6:$KR$206,"*S/L*")+COUNTIF('INPUT - Roster'!$KR$6:$KR$206,"*SICK*")</f>
        <v/>
      </c>
      <c r="KC38" s="170">
        <f>COUNTIF('INPUT - Roster'!$KS$6:$KS$206,"*S/L*")+COUNTIF('INPUT - Roster'!$KS$6:$KS$206,"*SICK*")</f>
        <v/>
      </c>
      <c r="KD38" s="170">
        <f>COUNTIF('INPUT - Roster'!$KT$6:$KT$206,"*S/L*")+COUNTIF('INPUT - Roster'!$KT$6:$KT$206,"*SICK*")</f>
        <v/>
      </c>
      <c r="KE38" s="170">
        <f>COUNTIF('INPUT - Roster'!$KU$6:$KU$206,"*S/L*")+COUNTIF('INPUT - Roster'!$KU$6:$KU$206,"*SICK*")</f>
        <v/>
      </c>
      <c r="KF38" s="170">
        <f>COUNTIF('INPUT - Roster'!$KV$6:$KV$206,"*S/L*")+COUNTIF('INPUT - Roster'!$KV$6:$KV$206,"*SICK*")</f>
        <v/>
      </c>
      <c r="KG38" s="170">
        <f>COUNTIF('INPUT - Roster'!$KW$6:$KW$206,"*S/L*")+COUNTIF('INPUT - Roster'!$KW$6:$KW$206,"*SICK*")</f>
        <v/>
      </c>
      <c r="KH38" s="170">
        <f>COUNTIF('INPUT - Roster'!$KX$6:$KX$206,"*S/L*")+COUNTIF('INPUT - Roster'!$KX$6:$KX$206,"*SICK*")</f>
        <v/>
      </c>
      <c r="KI38" s="170">
        <f>COUNTIF('INPUT - Roster'!$KY$6:$KY$206,"*S/L*")+COUNTIF('INPUT - Roster'!$KY$6:$KY$206,"*SICK*")</f>
        <v/>
      </c>
      <c r="KJ38" s="170">
        <f>COUNTIF('INPUT - Roster'!$KZ$6:$KZ$206,"*S/L*")+COUNTIF('INPUT - Roster'!$KZ$6:$KZ$206,"*SICK*")</f>
        <v/>
      </c>
      <c r="KK38" s="170">
        <f>COUNTIF('INPUT - Roster'!$LA$6:$LA$206,"*S/L*")+COUNTIF('INPUT - Roster'!$LA$6:$LA$206,"*SICK*")</f>
        <v/>
      </c>
      <c r="KL38" s="170">
        <f>COUNTIF('INPUT - Roster'!$LB$6:$LB$206,"*S/L*")+COUNTIF('INPUT - Roster'!$LB$6:$LB$206,"*SICK*")</f>
        <v/>
      </c>
      <c r="KM38" s="170">
        <f>COUNTIF('INPUT - Roster'!$LC$6:$LC$206,"*S/L*")+COUNTIF('INPUT - Roster'!$LC$6:$LC$206,"*SICK*")</f>
        <v/>
      </c>
      <c r="KN38" s="170">
        <f>COUNTIF('INPUT - Roster'!$LD$6:$LD$206,"*S/L*")+COUNTIF('INPUT - Roster'!$LD$6:$LD$206,"*SICK*")</f>
        <v/>
      </c>
      <c r="KO38" s="170">
        <f>COUNTIF('INPUT - Roster'!$LE$6:$LE$206,"*S/L*")+COUNTIF('INPUT - Roster'!$LE$6:$LE$206,"*SICK*")</f>
        <v/>
      </c>
      <c r="KP38" s="170">
        <f>COUNTIF('INPUT - Roster'!$LF$6:$LF$206,"*S/L*")+COUNTIF('INPUT - Roster'!$LF$6:$LF$206,"*SICK*")</f>
        <v/>
      </c>
      <c r="KQ38" s="170">
        <f>COUNTIF('INPUT - Roster'!$LG$6:$LG$206,"*S/L*")+COUNTIF('INPUT - Roster'!$LG$6:$LG$206,"*SICK*")</f>
        <v/>
      </c>
      <c r="KR38" s="170">
        <f>COUNTIF('INPUT - Roster'!$LH$6:$LH$206,"*S/L*")+COUNTIF('INPUT - Roster'!$LH$6:$LH$206,"*SICK*")</f>
        <v/>
      </c>
      <c r="KS38" s="170">
        <f>COUNTIF('INPUT - Roster'!$LI$6:$LI$206,"*S/L*")+COUNTIF('INPUT - Roster'!$LI$6:$LI$206,"*SICK*")</f>
        <v/>
      </c>
      <c r="KT38" s="170">
        <f>COUNTIF('INPUT - Roster'!$LJ$6:$LJ$206,"*S/L*")+COUNTIF('INPUT - Roster'!$LJ$6:$LJ$206,"*SICK*")</f>
        <v/>
      </c>
      <c r="KU38" s="170">
        <f>COUNTIF('INPUT - Roster'!$LK$6:$LK$206,"*S/L*")+COUNTIF('INPUT - Roster'!$LK$6:$LK$206,"*SICK*")</f>
        <v/>
      </c>
      <c r="KV38" s="170">
        <f>COUNTIF('INPUT - Roster'!$LL$6:$LL$206,"*S/L*")+COUNTIF('INPUT - Roster'!$LL$6:$LL$206,"*SICK*")</f>
        <v/>
      </c>
      <c r="KW38" s="170">
        <f>COUNTIF('INPUT - Roster'!$LM$6:$LM$206,"*S/L*")+COUNTIF('INPUT - Roster'!$LM$6:$LM$206,"*SICK*")</f>
        <v/>
      </c>
      <c r="KX38" s="170">
        <f>COUNTIF('INPUT - Roster'!$LN$6:$LN$206,"*S/L*")+COUNTIF('INPUT - Roster'!$LN$6:$LN$206,"*SICK*")</f>
        <v/>
      </c>
      <c r="KY38" s="170">
        <f>COUNTIF('INPUT - Roster'!$LO$6:$LO$206,"*S/L*")+COUNTIF('INPUT - Roster'!$LO$6:$LO$206,"*SICK*")</f>
        <v/>
      </c>
      <c r="KZ38" s="170">
        <f>COUNTIF('INPUT - Roster'!$LP$6:$LP$206,"*S/L*")+COUNTIF('INPUT - Roster'!$LP$6:$LP$206,"*SICK*")</f>
        <v/>
      </c>
      <c r="LA38" s="170">
        <f>COUNTIF('INPUT - Roster'!$LQ$6:$LQ$206,"*S/L*")+COUNTIF('INPUT - Roster'!$LQ$6:$LQ$206,"*SICK*")</f>
        <v/>
      </c>
      <c r="LB38" s="170">
        <f>COUNTIF('INPUT - Roster'!$LR$6:$LR$206,"*S/L*")+COUNTIF('INPUT - Roster'!$LR$6:$LR$206,"*SICK*")</f>
        <v/>
      </c>
      <c r="LC38" s="170">
        <f>COUNTIF('INPUT - Roster'!$LS$6:$LS$206,"*S/L*")+COUNTIF('INPUT - Roster'!$LS$6:$LS$206,"*SICK*")</f>
        <v/>
      </c>
      <c r="LD38" s="170">
        <f>COUNTIF('INPUT - Roster'!$LT$6:$LT$206,"*S/L*")+COUNTIF('INPUT - Roster'!$LT$6:$LT$206,"*SICK*")</f>
        <v/>
      </c>
      <c r="LE38" s="170">
        <f>COUNTIF('INPUT - Roster'!$LU$6:$LU$206,"*S/L*")+COUNTIF('INPUT - Roster'!$LU$6:$LU$206,"*SICK*")</f>
        <v/>
      </c>
      <c r="LF38" s="170">
        <f>COUNTIF('INPUT - Roster'!$LV$6:$LV$206,"*S/L*")+COUNTIF('INPUT - Roster'!$LV$6:$LV$206,"*SICK*")</f>
        <v/>
      </c>
      <c r="LG38" s="170">
        <f>COUNTIF('INPUT - Roster'!$LW$6:$LW$206,"*S/L*")+COUNTIF('INPUT - Roster'!$LW$6:$LW$206,"*SICK*")</f>
        <v/>
      </c>
      <c r="LH38" s="170">
        <f>COUNTIF('INPUT - Roster'!$LX$6:$LX$206,"*S/L*")+COUNTIF('INPUT - Roster'!$LX$6:$LX$206,"*SICK*")</f>
        <v/>
      </c>
      <c r="LI38" s="170">
        <f>COUNTIF('INPUT - Roster'!$LY$6:$LY$206,"*S/L*")+COUNTIF('INPUT - Roster'!$LY$6:$LY$206,"*SICK*")</f>
        <v/>
      </c>
      <c r="LJ38" s="170">
        <f>COUNTIF('INPUT - Roster'!$LZ$6:$LZ$206,"*S/L*")+COUNTIF('INPUT - Roster'!$LZ$6:$LZ$206,"*SICK*")</f>
        <v/>
      </c>
      <c r="LK38" s="170">
        <f>COUNTIF('INPUT - Roster'!$MA$6:$MA$206,"*S/L*")+COUNTIF('INPUT - Roster'!$MA$6:$MA$206,"*SICK*")</f>
        <v/>
      </c>
      <c r="LL38" s="170">
        <f>COUNTIF('INPUT - Roster'!$MB$6:$MB$206,"*S/L*")+COUNTIF('INPUT - Roster'!$MB$6:$MB$206,"*SICK*")</f>
        <v/>
      </c>
      <c r="LM38" s="170">
        <f>COUNTIF('INPUT - Roster'!$MC$6:$MC$206,"*S/L*")+COUNTIF('INPUT - Roster'!$MC$6:$MC$206,"*SICK*")</f>
        <v/>
      </c>
      <c r="LN38" s="170">
        <f>COUNTIF('INPUT - Roster'!$MD$6:$MD$206,"*S/L*")+COUNTIF('INPUT - Roster'!$MD$6:$MD$206,"*SICK*")</f>
        <v/>
      </c>
      <c r="LO38" s="170">
        <f>COUNTIF('INPUT - Roster'!$ME$6:$ME$206,"*S/L*")+COUNTIF('INPUT - Roster'!$ME$6:$ME$206,"*SICK*")</f>
        <v/>
      </c>
      <c r="LP38" s="170">
        <f>COUNTIF('INPUT - Roster'!$MF$6:$MF$206,"*S/L*")+COUNTIF('INPUT - Roster'!$MF$6:$MF$206,"*SICK*")</f>
        <v/>
      </c>
      <c r="LQ38" s="170">
        <f>COUNTIF('INPUT - Roster'!$MG$6:$MG$206,"*S/L*")+COUNTIF('INPUT - Roster'!$MG$6:$MG$206,"*SICK*")</f>
        <v/>
      </c>
      <c r="LR38" s="170">
        <f>COUNTIF('INPUT - Roster'!$MH$6:$MH$206,"*S/L*")+COUNTIF('INPUT - Roster'!$MH$6:$MH$206,"*SICK*")</f>
        <v/>
      </c>
      <c r="LS38" s="170">
        <f>COUNTIF('INPUT - Roster'!$MI$6:$MI$206,"*S/L*")+COUNTIF('INPUT - Roster'!$MI$6:$MI$206,"*SICK*")</f>
        <v/>
      </c>
      <c r="LT38" s="170">
        <f>COUNTIF('INPUT - Roster'!$MJ$6:$MJ$206,"*S/L*")+COUNTIF('INPUT - Roster'!$MJ$6:$MJ$206,"*SICK*")</f>
        <v/>
      </c>
      <c r="LU38" s="170">
        <f>COUNTIF('INPUT - Roster'!$MK$6:$MK$206,"*S/L*")+COUNTIF('INPUT - Roster'!$MK$6:$MK$206,"*SICK*")</f>
        <v/>
      </c>
      <c r="LV38" s="170">
        <f>COUNTIF('INPUT - Roster'!$ML$6:$ML$206,"*S/L*")+COUNTIF('INPUT - Roster'!$ML$6:$ML$206,"*SICK*")</f>
        <v/>
      </c>
      <c r="LW38" s="170">
        <f>COUNTIF('INPUT - Roster'!$MM$6:$MM$206,"*S/L*")+COUNTIF('INPUT - Roster'!$MM$6:$MM$206,"*SICK*")</f>
        <v/>
      </c>
      <c r="LX38" s="170">
        <f>COUNTIF('INPUT - Roster'!$MN$6:$MN$206,"*S/L*")+COUNTIF('INPUT - Roster'!$MN$6:$MN$206,"*SICK*")</f>
        <v/>
      </c>
      <c r="LY38" s="170">
        <f>COUNTIF('INPUT - Roster'!$MO$6:$MO$206,"*S/L*")+COUNTIF('INPUT - Roster'!$MO$6:$MO$206,"*SICK*")</f>
        <v/>
      </c>
      <c r="LZ38" s="170">
        <f>COUNTIF('INPUT - Roster'!$MP$6:$MP$206,"*S/L*")+COUNTIF('INPUT - Roster'!$MP$6:$MP$206,"*SICK*")</f>
        <v/>
      </c>
      <c r="MA38" s="170">
        <f>COUNTIF('INPUT - Roster'!$MQ$6:$MQ$206,"*S/L*")+COUNTIF('INPUT - Roster'!$MQ$6:$MQ$206,"*SICK*")</f>
        <v/>
      </c>
      <c r="MB38" s="170">
        <f>COUNTIF('INPUT - Roster'!$MR$6:$MR$206,"*S/L*")+COUNTIF('INPUT - Roster'!$MR$6:$MR$206,"*SICK*")</f>
        <v/>
      </c>
      <c r="MC38" s="170">
        <f>COUNTIF('INPUT - Roster'!$MS$6:$MS$206,"*S/L*")+COUNTIF('INPUT - Roster'!$MS$6:$MS$206,"*SICK*")</f>
        <v/>
      </c>
      <c r="MD38" s="170">
        <f>COUNTIF('INPUT - Roster'!$MT$6:$MT$206,"*S/L*")+COUNTIF('INPUT - Roster'!$MT$6:$MT$206,"*SICK*")</f>
        <v/>
      </c>
      <c r="ME38" s="170">
        <f>COUNTIF('INPUT - Roster'!$MU$6:$MU$206,"*S/L*")+COUNTIF('INPUT - Roster'!$MU$6:$MU$206,"*SICK*")</f>
        <v/>
      </c>
      <c r="MF38" s="170">
        <f>COUNTIF('INPUT - Roster'!$MV$6:$MV$206,"*S/L*")+COUNTIF('INPUT - Roster'!$MV$6:$MV$206,"*SICK*")</f>
        <v/>
      </c>
      <c r="MG38" s="170">
        <f>COUNTIF('INPUT - Roster'!$MW$6:$MW$206,"*S/L*")+COUNTIF('INPUT - Roster'!$MW$6:$MW$206,"*SICK*")</f>
        <v/>
      </c>
      <c r="MH38" s="170">
        <f>COUNTIF('INPUT - Roster'!$MX$6:$MX$206,"*S/L*")+COUNTIF('INPUT - Roster'!$MX$6:$MX$206,"*SICK*")</f>
        <v/>
      </c>
      <c r="MI38" s="170">
        <f>COUNTIF('INPUT - Roster'!$MY$6:$MY$206,"*S/L*")+COUNTIF('INPUT - Roster'!$MY$6:$MY$206,"*SICK*")</f>
        <v/>
      </c>
      <c r="MJ38" s="170">
        <f>COUNTIF('INPUT - Roster'!$MZ$6:$MZ$206,"*S/L*")+COUNTIF('INPUT - Roster'!$MZ$6:$MZ$206,"*SICK*")</f>
        <v/>
      </c>
      <c r="MK38" s="170">
        <f>COUNTIF('INPUT - Roster'!$NA$6:$NA$206,"*S/L*")+COUNTIF('INPUT - Roster'!$NA$6:$NA$206,"*SICK*")</f>
        <v/>
      </c>
      <c r="ML38" s="170">
        <f>COUNTIF('INPUT - Roster'!$NB$6:$NB$206,"*S/L*")+COUNTIF('INPUT - Roster'!$NB$6:$NB$206,"*SICK*")</f>
        <v/>
      </c>
      <c r="MM38" s="170">
        <f>COUNTIF('INPUT - Roster'!$NC$6:$NC$206,"*S/L*")+COUNTIF('INPUT - Roster'!$NC$6:$NC$206,"*SICK*")</f>
        <v/>
      </c>
      <c r="MN38" s="170">
        <f>COUNTIF('INPUT - Roster'!$ND$6:$ND$206,"*S/L*")+COUNTIF('INPUT - Roster'!$ND$6:$ND$206,"*SICK*")</f>
        <v/>
      </c>
      <c r="MO38" s="170">
        <f>COUNTIF('INPUT - Roster'!$NE$6:$NE$206,"*S/L*")+COUNTIF('INPUT - Roster'!$NE$6:$NE$206,"*SICK*")</f>
        <v/>
      </c>
      <c r="MP38" s="170">
        <f>COUNTIF('INPUT - Roster'!$NF$6:$NF$206,"*S/L*")+COUNTIF('INPUT - Roster'!$NF$6:$NF$206,"*SICK*")</f>
        <v/>
      </c>
      <c r="MQ38" s="170">
        <f>COUNTIF('INPUT - Roster'!$NG$6:$NG$206,"*S/L*")+COUNTIF('INPUT - Roster'!$NG$6:$NG$206,"*SICK*")</f>
        <v/>
      </c>
      <c r="MR38" s="170">
        <f>COUNTIF('INPUT - Roster'!$NH$6:$NH$206,"*S/L*")+COUNTIF('INPUT - Roster'!$NH$6:$NH$206,"*SICK*")</f>
        <v/>
      </c>
      <c r="MS38" s="170">
        <f>COUNTIF('INPUT - Roster'!$NI$6:$NI$206,"*S/L*")+COUNTIF('INPUT - Roster'!$NI$6:$NI$206,"*SICK*")</f>
        <v/>
      </c>
      <c r="MT38" s="170">
        <f>COUNTIF('INPUT - Roster'!$NJ$6:$NJ$206,"*S/L*")+COUNTIF('INPUT - Roster'!$NJ$6:$NJ$206,"*SICK*")</f>
        <v/>
      </c>
      <c r="MU38" s="170">
        <f>COUNTIF('INPUT - Roster'!$NK$6:$NK$206,"*S/L*")+COUNTIF('INPUT - Roster'!$NK$6:$NK$206,"*SICK*")</f>
        <v/>
      </c>
      <c r="MV38" s="170">
        <f>COUNTIF('INPUT - Roster'!$NL$6:$NL$206,"*S/L*")+COUNTIF('INPUT - Roster'!$NL$6:$NL$206,"*SICK*")</f>
        <v/>
      </c>
      <c r="MW38" s="170">
        <f>COUNTIF('INPUT - Roster'!$NM$6:$NM$206,"*S/L*")+COUNTIF('INPUT - Roster'!$NM$6:$NM$206,"*SICK*")</f>
        <v/>
      </c>
      <c r="MX38" s="170">
        <f>COUNTIF('INPUT - Roster'!$NN$6:$NN$206,"*S/L*")+COUNTIF('INPUT - Roster'!$NN$6:$NN$206,"*SICK*")</f>
        <v/>
      </c>
      <c r="MY38" s="170">
        <f>COUNTIF('INPUT - Roster'!$NO$6:$NO$206,"*S/L*")+COUNTIF('INPUT - Roster'!$NO$6:$NO$206,"*SICK*")</f>
        <v/>
      </c>
      <c r="MZ38" s="170">
        <f>COUNTIF('INPUT - Roster'!$NP$6:$NP$206,"*S/L*")+COUNTIF('INPUT - Roster'!$NP$6:$NP$206,"*SICK*")</f>
        <v/>
      </c>
      <c r="NA38" s="170">
        <f>COUNTIF('INPUT - Roster'!$NQ$6:$NQ$206,"*S/L*")+COUNTIF('INPUT - Roster'!$NQ$6:$NQ$206,"*SICK*")</f>
        <v/>
      </c>
      <c r="NB38" s="170">
        <f>COUNTIF('INPUT - Roster'!$NR$6:$NR$206,"*S/L*")+COUNTIF('INPUT - Roster'!$NR$6:$NR$206,"*SICK*")</f>
        <v/>
      </c>
      <c r="NC38" s="170">
        <f>COUNTIF('INPUT - Roster'!$NS$6:$NS$206,"*S/L*")+COUNTIF('INPUT - Roster'!$NS$6:$NS$206,"*SICK*")</f>
        <v/>
      </c>
      <c r="ND38" s="170">
        <f>COUNTIF('INPUT - Roster'!$NT$6:$NT$206,"*S/L*")+COUNTIF('INPUT - Roster'!$NT$6:$NT$206,"*SICK*")</f>
        <v/>
      </c>
      <c r="NE38" s="170">
        <f>COUNTIF('INPUT - Roster'!$NU$6:$NU$206,"*S/L*")+COUNTIF('INPUT - Roster'!$NU$6:$NU$206,"*SICK*")</f>
        <v/>
      </c>
      <c r="NF38" s="170">
        <f>COUNTIF('INPUT - Roster'!$NV$6:$NV$206,"*S/L*")+COUNTIF('INPUT - Roster'!$NV$6:$NV$206,"*SICK*")</f>
        <v/>
      </c>
      <c r="NG38" s="170">
        <f>COUNTIF('INPUT - Roster'!$NW$6:$NW$206,"*S/L*")+COUNTIF('INPUT - Roster'!$NW$6:$NW$206,"*SICK*")</f>
        <v/>
      </c>
      <c r="NH38" s="170">
        <f>COUNTIF('INPUT - Roster'!$NX$6:$NX$206,"*S/L*")+COUNTIF('INPUT - Roster'!$NX$6:$NX$206,"*SICK*")</f>
        <v/>
      </c>
      <c r="NI38" s="170">
        <f>COUNTIF('INPUT - Roster'!$NY$6:$NY$206,"*S/L*")+COUNTIF('INPUT - Roster'!$NY$6:$NY$206,"*SICK*")</f>
        <v/>
      </c>
      <c r="NJ38" s="170">
        <f>COUNTIF('INPUT - Roster'!$NZ$6:$NZ$206,"*S/L*")+COUNTIF('INPUT - Roster'!$NZ$6:$NZ$206,"*SICK*")</f>
        <v/>
      </c>
      <c r="NK38" s="170">
        <f>COUNTIF('INPUT - Roster'!$OA$6:$OA$206,"*S/L*")+COUNTIF('INPUT - Roster'!$OA$6:$OA$206,"*SICK*")</f>
        <v/>
      </c>
      <c r="NL38" s="170">
        <f>COUNTIF('INPUT - Roster'!$OB$6:$OB$206,"*S/L*")+COUNTIF('INPUT - Roster'!$OB$6:$OB$206,"*SICK*")</f>
        <v/>
      </c>
      <c r="NM38" s="170">
        <f>COUNTIF('INPUT - Roster'!$OC$6:$OC$206,"*S/L*")+COUNTIF('INPUT - Roster'!$OC$6:$OC$206,"*SICK*")</f>
        <v/>
      </c>
      <c r="NN38" s="170">
        <f>COUNTIF('INPUT - Roster'!$OD$6:$OD$206,"*S/L*")+COUNTIF('INPUT - Roster'!$OD$6:$OD$206,"*SICK*")</f>
        <v/>
      </c>
      <c r="NO38" s="170">
        <f>COUNTIF('INPUT - Roster'!$OE$6:$OE$206,"*S/L*")+COUNTIF('INPUT - Roster'!$OE$6:$OE$206,"*SICK*")</f>
        <v/>
      </c>
      <c r="NP38" s="170">
        <f>COUNTIF('INPUT - Roster'!$OF$6:$OF$206,"*S/L*")+COUNTIF('INPUT - Roster'!$OF$6:$OF$206,"*SICK*")</f>
        <v/>
      </c>
      <c r="NQ38" s="170">
        <f>COUNTIF('INPUT - Roster'!$OG$6:$OG$206,"*S/L*")+COUNTIF('INPUT - Roster'!$OG$6:$OG$206,"*SICK*")</f>
        <v/>
      </c>
      <c r="NR38" s="170">
        <f>COUNTIF('INPUT - Roster'!$OH$6:$OH$206,"*S/L*")+COUNTIF('INPUT - Roster'!$OH$6:$OH$206,"*SICK*")</f>
        <v/>
      </c>
      <c r="NS38" s="170">
        <f>COUNTIF('INPUT - Roster'!$OI$6:$OI$206,"*S/L*")+COUNTIF('INPUT - Roster'!$OI$6:$OI$206,"*SICK*")</f>
        <v/>
      </c>
      <c r="NT38" s="170">
        <f>COUNTIF('INPUT - Roster'!$OJ$6:$OJ$206,"*S/L*")+COUNTIF('INPUT - Roster'!$OJ$6:$OJ$206,"*SICK*")</f>
        <v/>
      </c>
      <c r="NU38" s="170">
        <f>COUNTIF('INPUT - Roster'!$OK$6:$OK$206,"*S/L*")+COUNTIF('INPUT - Roster'!$OK$6:$OK$206,"*SICK*")</f>
        <v/>
      </c>
      <c r="NV38" s="170">
        <f>COUNTIF('INPUT - Roster'!$OL$6:$OL$206,"*S/L*")+COUNTIF('INPUT - Roster'!$OL$6:$OL$206,"*SICK*")</f>
        <v/>
      </c>
      <c r="NW38" s="170">
        <f>COUNTIF('INPUT - Roster'!$OM$6:$OM$206,"*S/L*")+COUNTIF('INPUT - Roster'!$OM$6:$OM$206,"*SICK*")</f>
        <v/>
      </c>
      <c r="NX38" s="170">
        <f>COUNTIF('INPUT - Roster'!$ON$6:$ON$206,"*S/L*")+COUNTIF('INPUT - Roster'!$ON$6:$ON$206,"*SICK*")</f>
        <v/>
      </c>
      <c r="NY38" s="170">
        <f>COUNTIF('INPUT - Roster'!$OO$6:$OO$206,"*S/L*")+COUNTIF('INPUT - Roster'!$OO$6:$OO$206,"*SICK*")</f>
        <v/>
      </c>
      <c r="NZ38" s="170">
        <f>COUNTIF('INPUT - Roster'!$OP$6:$OP$206,"*S/L*")+COUNTIF('INPUT - Roster'!$OP$6:$OP$206,"*SICK*")</f>
        <v/>
      </c>
      <c r="OA38" s="170">
        <f>COUNTIF('INPUT - Roster'!$OQ$6:$OQ$206,"*S/L*")+COUNTIF('INPUT - Roster'!$OQ$6:$OQ$206,"*SICK*")</f>
        <v/>
      </c>
      <c r="OB38" s="170">
        <f>COUNTIF('INPUT - Roster'!$OR$6:$OR$206,"*S/L*")+COUNTIF('INPUT - Roster'!$OR$6:$OR$206,"*SICK*")</f>
        <v/>
      </c>
      <c r="OC38" s="170">
        <f>COUNTIF('INPUT - Roster'!$OS$6:$OS$206,"*S/L*")+COUNTIF('INPUT - Roster'!$OS$6:$OS$206,"*SICK*")</f>
        <v/>
      </c>
      <c r="OD38" s="170">
        <f>COUNTIF('INPUT - Roster'!$OT$6:$OT$206,"*S/L*")+COUNTIF('INPUT - Roster'!$OT$6:$OT$206,"*SICK*")</f>
        <v/>
      </c>
      <c r="OE38" s="170">
        <f>COUNTIF('INPUT - Roster'!$OU$6:$OU$206,"*S/L*")+COUNTIF('INPUT - Roster'!$OU$6:$OU$206,"*SICK*")</f>
        <v/>
      </c>
      <c r="OF38" s="170">
        <f>COUNTIF('INPUT - Roster'!$OV$6:$OV$206,"*S/L*")+COUNTIF('INPUT - Roster'!$OV$6:$OV$206,"*SICK*")</f>
        <v/>
      </c>
      <c r="OG38" s="170">
        <f>COUNTIF('INPUT - Roster'!$OW$6:$OW$206,"*S/L*")+COUNTIF('INPUT - Roster'!$OW$6:$OW$206,"*SICK*")</f>
        <v/>
      </c>
      <c r="OH38" s="170">
        <f>COUNTIF('INPUT - Roster'!$OX$6:$OX$206,"*S/L*")+COUNTIF('INPUT - Roster'!$OX$6:$OX$206,"*SICK*")</f>
        <v/>
      </c>
      <c r="OI38" s="170">
        <f>COUNTIF('INPUT - Roster'!$OY$6:$OY$206,"*S/L*")+COUNTIF('INPUT - Roster'!$OY$6:$OY$206,"*SICK*")</f>
        <v/>
      </c>
      <c r="OJ38" s="170">
        <f>COUNTIF('INPUT - Roster'!$OZ$6:$OZ$206,"*S/L*")+COUNTIF('INPUT - Roster'!$OZ$6:$OZ$206,"*SICK*")</f>
        <v/>
      </c>
      <c r="OK38" s="170">
        <f>COUNTIF('INPUT - Roster'!$PA$6:$PA$206,"*S/L*")+COUNTIF('INPUT - Roster'!$PA$6:$PA$206,"*SICK*")</f>
        <v/>
      </c>
      <c r="OL38" s="170">
        <f>COUNTIF('INPUT - Roster'!$PB$6:$PB$206,"*S/L*")+COUNTIF('INPUT - Roster'!$PB$6:$PB$206,"*SICK*")</f>
        <v/>
      </c>
      <c r="OM38" s="170">
        <f>COUNTIF('INPUT - Roster'!$PC$6:$PC$206,"*S/L*")+COUNTIF('INPUT - Roster'!$PC$6:$PC$206,"*SICK*")</f>
        <v/>
      </c>
      <c r="ON38" s="170">
        <f>COUNTIF('INPUT - Roster'!$PD$6:$PD$206,"*S/L*")+COUNTIF('INPUT - Roster'!$PD$6:$PD$206,"*SICK*")</f>
        <v/>
      </c>
      <c r="OO38" s="170">
        <f>COUNTIF('INPUT - Roster'!$PE$6:$PE$206,"*S/L*")+COUNTIF('INPUT - Roster'!$PE$6:$PE$206,"*SICK*")</f>
        <v/>
      </c>
      <c r="OP38" s="170">
        <f>COUNTIF('INPUT - Roster'!$PF$6:$PF$206,"*S/L*")+COUNTIF('INPUT - Roster'!$PF$6:$PF$206,"*SICK*")</f>
        <v/>
      </c>
      <c r="OQ38" s="170">
        <f>COUNTIF('INPUT - Roster'!$PG$6:$PG$206,"*S/L*")+COUNTIF('INPUT - Roster'!$PG$6:$PG$206,"*SICK*")</f>
        <v/>
      </c>
      <c r="OR38" s="170">
        <f>COUNTIF('INPUT - Roster'!$PH$6:$PH$206,"*S/L*")+COUNTIF('INPUT - Roster'!$PH$6:$PH$206,"*SICK*")</f>
        <v/>
      </c>
      <c r="OS38" s="170">
        <f>COUNTIF('INPUT - Roster'!$PI$6:$PI$206,"*S/L*")+COUNTIF('INPUT - Roster'!$PI$6:$PI$206,"*SICK*")</f>
        <v/>
      </c>
      <c r="OT38" s="170">
        <f>COUNTIF('INPUT - Roster'!$PJ$6:$PJ$206,"*S/L*")+COUNTIF('INPUT - Roster'!$PJ$6:$PJ$206,"*SICK*")</f>
        <v/>
      </c>
      <c r="OU38" s="170">
        <f>COUNTIF('INPUT - Roster'!$PK$6:$PK$206,"*S/L*")+COUNTIF('INPUT - Roster'!$PK$6:$PK$206,"*SICK*")</f>
        <v/>
      </c>
      <c r="OV38" s="170">
        <f>COUNTIF('INPUT - Roster'!$PL$6:$PL$206,"*S/L*")+COUNTIF('INPUT - Roster'!$PL$6:$PL$206,"*SICK*")</f>
        <v/>
      </c>
      <c r="OW38" s="170">
        <f>COUNTIF('INPUT - Roster'!$PM$6:$PM$206,"*S/L*")+COUNTIF('INPUT - Roster'!$PM$6:$PM$206,"*SICK*")</f>
        <v/>
      </c>
      <c r="OX38" s="170">
        <f>COUNTIF('INPUT - Roster'!$PN$6:$PN$206,"*S/L*")+COUNTIF('INPUT - Roster'!$PN$6:$PN$206,"*SICK*")</f>
        <v/>
      </c>
      <c r="OY38" s="170">
        <f>COUNTIF('INPUT - Roster'!$PO$6:$PO$206,"*S/L*")+COUNTIF('INPUT - Roster'!$PO$6:$PO$206,"*SICK*")</f>
        <v/>
      </c>
      <c r="OZ38" s="170">
        <f>COUNTIF('INPUT - Roster'!$PP$6:$PP$206,"*S/L*")+COUNTIF('INPUT - Roster'!$PP$6:$PP$206,"*SICK*")</f>
        <v/>
      </c>
      <c r="PA38" s="170">
        <f>COUNTIF('INPUT - Roster'!$PQ$6:$PQ$206,"*S/L*")+COUNTIF('INPUT - Roster'!$PQ$6:$PQ$206,"*SICK*")</f>
        <v/>
      </c>
      <c r="PB38" s="170">
        <f>COUNTIF('INPUT - Roster'!$PR$6:$PR$206,"*S/L*")+COUNTIF('INPUT - Roster'!$PR$6:$PR$206,"*SICK*")</f>
        <v/>
      </c>
      <c r="PC38" s="170">
        <f>COUNTIF('INPUT - Roster'!$PS$6:$PS$206,"*S/L*")+COUNTIF('INPUT - Roster'!$PS$6:$PS$206,"*SICK*")</f>
        <v/>
      </c>
      <c r="PD38" s="170">
        <f>COUNTIF('INPUT - Roster'!$PT$6:$PT$206,"*S/L*")+COUNTIF('INPUT - Roster'!$PT$6:$PT$206,"*SICK*")</f>
        <v/>
      </c>
      <c r="PE38" s="170">
        <f>COUNTIF('INPUT - Roster'!$PU$6:$PU$206,"*S/L*")+COUNTIF('INPUT - Roster'!$PU$6:$PU$206,"*SICK*")</f>
        <v/>
      </c>
      <c r="PF38" s="170">
        <f>COUNTIF('INPUT - Roster'!$PV$6:$PV$206,"*S/L*")+COUNTIF('INPUT - Roster'!$PV$6:$PV$206,"*SICK*")</f>
        <v/>
      </c>
      <c r="PG38" s="170">
        <f>COUNTIF('INPUT - Roster'!$PW$6:$PW$206,"*S/L*")+COUNTIF('INPUT - Roster'!$PW$6:$PW$206,"*SICK*")</f>
        <v/>
      </c>
      <c r="PH38" s="170">
        <f>COUNTIF('INPUT - Roster'!$PX$6:$PX$206,"*S/L*")+COUNTIF('INPUT - Roster'!$PX$6:$PX$206,"*SICK*")</f>
        <v/>
      </c>
      <c r="PI38" s="170">
        <f>COUNTIF('INPUT - Roster'!$PY$6:$PY$206,"*S/L*")+COUNTIF('INPUT - Roster'!$PY$6:$PY$206,"*SICK*")</f>
        <v/>
      </c>
      <c r="PJ38" s="170">
        <f>COUNTIF('INPUT - Roster'!$PZ$6:$PZ$206,"*S/L*")+COUNTIF('INPUT - Roster'!$PZ$6:$PZ$206,"*SICK*")</f>
        <v/>
      </c>
      <c r="PK38" s="170">
        <f>COUNTIF('INPUT - Roster'!$QA$6:$QA$206,"*S/L*")+COUNTIF('INPUT - Roster'!$QA$6:$QA$206,"*SICK*")</f>
        <v/>
      </c>
      <c r="PL38" s="170">
        <f>COUNTIF('INPUT - Roster'!$QB$6:$QB$206,"*S/L*")+COUNTIF('INPUT - Roster'!$QB$6:$QB$206,"*SICK*")</f>
        <v/>
      </c>
      <c r="PM38" s="170">
        <f>COUNTIF('INPUT - Roster'!$QC$6:$QC$206,"*S/L*")+COUNTIF('INPUT - Roster'!$QC$6:$QC$206,"*SICK*")</f>
        <v/>
      </c>
      <c r="PN38" s="170">
        <f>COUNTIF('INPUT - Roster'!$QD$6:$QD$206,"*S/L*")+COUNTIF('INPUT - Roster'!$QD$6:$QD$206,"*SICK*")</f>
        <v/>
      </c>
      <c r="PO38" s="170">
        <f>COUNTIF('INPUT - Roster'!$QE$6:$QE$206,"*S/L*")+COUNTIF('INPUT - Roster'!$QE$6:$QE$206,"*SICK*")</f>
        <v/>
      </c>
      <c r="PP38" s="170">
        <f>COUNTIF('INPUT - Roster'!$QF$6:$QF$206,"*S/L*")+COUNTIF('INPUT - Roster'!$QF$6:$QF$206,"*SICK*")</f>
        <v/>
      </c>
      <c r="PQ38" s="170">
        <f>COUNTIF('INPUT - Roster'!$QG$6:$QG$206,"*S/L*")+COUNTIF('INPUT - Roster'!$QG$6:$QG$206,"*SICK*")</f>
        <v/>
      </c>
      <c r="PR38" s="170">
        <f>COUNTIF('INPUT - Roster'!$QH$6:$QH$206,"*S/L*")+COUNTIF('INPUT - Roster'!$QH$6:$QH$206,"*SICK*")</f>
        <v/>
      </c>
      <c r="PS38" s="170">
        <f>COUNTIF('INPUT - Roster'!$QI$6:$QI$206,"*S/L*")+COUNTIF('INPUT - Roster'!$QI$6:$QI$206,"*SICK*")</f>
        <v/>
      </c>
      <c r="PT38" s="170">
        <f>COUNTIF('INPUT - Roster'!$QJ$6:$QJ$206,"*S/L*")+COUNTIF('INPUT - Roster'!$QJ$6:$QJ$206,"*SICK*")</f>
        <v/>
      </c>
      <c r="PU38" s="170">
        <f>COUNTIF('INPUT - Roster'!$QK$6:$QK$206,"*S/L*")+COUNTIF('INPUT - Roster'!$QK$6:$QK$206,"*SICK*")</f>
        <v/>
      </c>
      <c r="PV38" s="170">
        <f>COUNTIF('INPUT - Roster'!$QL$6:$QL$206,"*S/L*")+COUNTIF('INPUT - Roster'!$QL$6:$QL$206,"*SICK*")</f>
        <v/>
      </c>
      <c r="PW38" s="170">
        <f>COUNTIF('INPUT - Roster'!$QM$6:$QM$206,"*S/L*")+COUNTIF('INPUT - Roster'!$QM$6:$QM$206,"*SICK*")</f>
        <v/>
      </c>
      <c r="PX38" s="170">
        <f>COUNTIF('INPUT - Roster'!$QN$6:$QN$206,"*S/L*")+COUNTIF('INPUT - Roster'!$QN$6:$QN$206,"*SICK*")</f>
        <v/>
      </c>
      <c r="PY38" s="170">
        <f>COUNTIF('INPUT - Roster'!$QO$6:$QO$206,"*S/L*")+COUNTIF('INPUT - Roster'!$QO$6:$QO$206,"*SICK*")</f>
        <v/>
      </c>
      <c r="PZ38" s="170">
        <f>COUNTIF('INPUT - Roster'!$QP$6:$QP$206,"*S/L*")+COUNTIF('INPUT - Roster'!$QP$6:$QP$206,"*SICK*")</f>
        <v/>
      </c>
      <c r="QA38" s="170">
        <f>COUNTIF('INPUT - Roster'!$QQ$6:$QQ$206,"*S/L*")+COUNTIF('INPUT - Roster'!$QQ$6:$QQ$206,"*SICK*")</f>
        <v/>
      </c>
      <c r="QB38" s="170">
        <f>COUNTIF('INPUT - Roster'!$QR$6:$QR$206,"*S/L*")+COUNTIF('INPUT - Roster'!$QR$6:$QR$206,"*SICK*")</f>
        <v/>
      </c>
      <c r="QC38" s="170">
        <f>COUNTIF('INPUT - Roster'!$QS$6:$QS$206,"*S/L*")+COUNTIF('INPUT - Roster'!$QS$6:$QS$206,"*SICK*")</f>
        <v/>
      </c>
      <c r="QD38" s="170">
        <f>COUNTIF('INPUT - Roster'!$QT$6:$QT$206,"*S/L*")+COUNTIF('INPUT - Roster'!$QT$6:$QT$206,"*SICK*")</f>
        <v/>
      </c>
      <c r="QE38" s="170">
        <f>COUNTIF('INPUT - Roster'!$QU$6:$QU$206,"*S/L*")+COUNTIF('INPUT - Roster'!$QU$6:$QU$206,"*SICK*")</f>
        <v/>
      </c>
      <c r="QF38" s="170">
        <f>COUNTIF('INPUT - Roster'!$QV$6:$QV$206,"*S/L*")+COUNTIF('INPUT - Roster'!$QV$6:$QV$206,"*SICK*")</f>
        <v/>
      </c>
      <c r="QG38" s="170">
        <f>COUNTIF('INPUT - Roster'!$QW$6:$QW$206,"*S/L*")+COUNTIF('INPUT - Roster'!$QW$6:$QW$206,"*SICK*")</f>
        <v/>
      </c>
      <c r="QH38" s="170">
        <f>COUNTIF('INPUT - Roster'!$QX$6:$QX$206,"*S/L*")+COUNTIF('INPUT - Roster'!$QX$6:$QX$206,"*SICK*")</f>
        <v/>
      </c>
      <c r="QI38" s="170">
        <f>COUNTIF('INPUT - Roster'!$QY$6:$QY$206,"*S/L*")+COUNTIF('INPUT - Roster'!$QY$6:$QY$206,"*SICK*")</f>
        <v/>
      </c>
      <c r="QJ38" s="170">
        <f>COUNTIF('INPUT - Roster'!$QZ$6:$QZ$206,"*S/L*")+COUNTIF('INPUT - Roster'!$QZ$6:$QZ$206,"*SICK*")</f>
        <v/>
      </c>
      <c r="QK38" s="170">
        <f>COUNTIF('INPUT - Roster'!$RA$6:$RA$206,"*S/L*")+COUNTIF('INPUT - Roster'!$RA$6:$RA$206,"*SICK*")</f>
        <v/>
      </c>
      <c r="QL38" s="170">
        <f>COUNTIF('INPUT - Roster'!$RB$6:$RB$206,"*S/L*")+COUNTIF('INPUT - Roster'!$RB$6:$RB$206,"*SICK*")</f>
        <v/>
      </c>
      <c r="QM38" s="170">
        <f>COUNTIF('INPUT - Roster'!$RC$6:$RC$206,"*S/L*")+COUNTIF('INPUT - Roster'!$RC$6:$RC$206,"*SICK*")</f>
        <v/>
      </c>
      <c r="QN38" s="170">
        <f>COUNTIF('INPUT - Roster'!$RD$6:$RD$206,"*S/L*")+COUNTIF('INPUT - Roster'!$RD$6:$RD$206,"*SICK*")</f>
        <v/>
      </c>
      <c r="QO38" s="170">
        <f>COUNTIF('INPUT - Roster'!$RE$6:$RE$206,"*S/L*")+COUNTIF('INPUT - Roster'!$RE$6:$RE$206,"*SICK*")</f>
        <v/>
      </c>
      <c r="QP38" s="170">
        <f>COUNTIF('INPUT - Roster'!$RF$6:$RF$206,"*S/L*")+COUNTIF('INPUT - Roster'!$RF$6:$RF$206,"*SICK*")</f>
        <v/>
      </c>
      <c r="QQ38" s="170">
        <f>COUNTIF('INPUT - Roster'!$RG$6:$RG$206,"*S/L*")+COUNTIF('INPUT - Roster'!$RG$6:$RG$206,"*SICK*")</f>
        <v/>
      </c>
      <c r="QR38" s="170">
        <f>COUNTIF('INPUT - Roster'!$RH$6:$RH$206,"*S/L*")+COUNTIF('INPUT - Roster'!$RH$6:$RH$206,"*SICK*")</f>
        <v/>
      </c>
      <c r="QS38" s="170">
        <f>COUNTIF('INPUT - Roster'!$RI$6:$RI$206,"*S/L*")+COUNTIF('INPUT - Roster'!$RI$6:$RI$206,"*SICK*")</f>
        <v/>
      </c>
      <c r="QT38" s="170">
        <f>COUNTIF('INPUT - Roster'!$RJ$6:$RJ$206,"*S/L*")+COUNTIF('INPUT - Roster'!$RJ$6:$RJ$206,"*SICK*")</f>
        <v/>
      </c>
      <c r="QU38" s="170">
        <f>COUNTIF('INPUT - Roster'!$RK$6:$RK$206,"*S/L*")+COUNTIF('INPUT - Roster'!$RK$6:$RK$206,"*SICK*")</f>
        <v/>
      </c>
      <c r="QV38" s="170">
        <f>COUNTIF('INPUT - Roster'!$RL$6:$RL$206,"*S/L*")+COUNTIF('INPUT - Roster'!$RL$6:$RL$206,"*SICK*")</f>
        <v/>
      </c>
      <c r="QW38" s="170">
        <f>COUNTIF('INPUT - Roster'!$RM$6:$RM$206,"*S/L*")+COUNTIF('INPUT - Roster'!$RM$6:$RM$206,"*SICK*")</f>
        <v/>
      </c>
      <c r="QX38" s="170">
        <f>COUNTIF('INPUT - Roster'!$RN$6:$RN$206,"*S/L*")+COUNTIF('INPUT - Roster'!$RN$6:$RN$206,"*SICK*")</f>
        <v/>
      </c>
      <c r="QY38" s="170">
        <f>COUNTIF('INPUT - Roster'!$RO$6:$RO$206,"*S/L*")+COUNTIF('INPUT - Roster'!$RO$6:$RO$206,"*SICK*")</f>
        <v/>
      </c>
      <c r="QZ38" s="170">
        <f>COUNTIF('INPUT - Roster'!$RP$6:$RP$206,"*S/L*")+COUNTIF('INPUT - Roster'!$RP$6:$RP$206,"*SICK*")</f>
        <v/>
      </c>
      <c r="RA38" s="170">
        <f>COUNTIF('INPUT - Roster'!$RQ$6:$RQ$206,"*S/L*")+COUNTIF('INPUT - Roster'!$RQ$6:$RQ$206,"*SICK*")</f>
        <v/>
      </c>
      <c r="RB38" s="170">
        <f>COUNTIF('INPUT - Roster'!$RR$6:$RR$206,"*S/L*")+COUNTIF('INPUT - Roster'!$RR$6:$RR$206,"*SICK*")</f>
        <v/>
      </c>
      <c r="RC38" s="170">
        <f>COUNTIF('INPUT - Roster'!$RS$6:$RS$206,"*S/L*")+COUNTIF('INPUT - Roster'!$RS$6:$RS$206,"*SICK*")</f>
        <v/>
      </c>
      <c r="RD38" s="170">
        <f>COUNTIF('INPUT - Roster'!$RT$6:$RT$206,"*S/L*")+COUNTIF('INPUT - Roster'!$RT$6:$RT$206,"*SICK*")</f>
        <v/>
      </c>
      <c r="RE38" s="170">
        <f>COUNTIF('INPUT - Roster'!$RU$6:$RU$206,"*S/L*")+COUNTIF('INPUT - Roster'!$RU$6:$RU$206,"*SICK*")</f>
        <v/>
      </c>
      <c r="RF38" s="170">
        <f>COUNTIF('INPUT - Roster'!$RV$6:$RV$206,"*S/L*")+COUNTIF('INPUT - Roster'!$RV$6:$RV$206,"*SICK*")</f>
        <v/>
      </c>
      <c r="RG38" s="170">
        <f>COUNTIF('INPUT - Roster'!$RW$6:$RW$206,"*S/L*")+COUNTIF('INPUT - Roster'!$RW$6:$RW$206,"*SICK*")</f>
        <v/>
      </c>
      <c r="RH38" s="170">
        <f>COUNTIF('INPUT - Roster'!$RX$6:$RX$206,"*S/L*")+COUNTIF('INPUT - Roster'!$RX$6:$RX$206,"*SICK*")</f>
        <v/>
      </c>
      <c r="RI38" s="170">
        <f>COUNTIF('INPUT - Roster'!$RY$6:$RY$206,"*S/L*")+COUNTIF('INPUT - Roster'!$RY$6:$RY$206,"*SICK*")</f>
        <v/>
      </c>
      <c r="RJ38" s="170">
        <f>COUNTIF('INPUT - Roster'!$RZ$6:$RZ$206,"*S/L*")+COUNTIF('INPUT - Roster'!$RZ$6:$RZ$206,"*SICK*")</f>
        <v/>
      </c>
      <c r="RK38" s="170">
        <f>COUNTIF('INPUT - Roster'!$SA$6:$SA$206,"*S/L*")+COUNTIF('INPUT - Roster'!$SA$6:$SA$206,"*SICK*")</f>
        <v/>
      </c>
      <c r="RL38" s="170">
        <f>COUNTIF('INPUT - Roster'!$SB$6:$SB$206,"*S/L*")+COUNTIF('INPUT - Roster'!$SB$6:$SB$206,"*SICK*")</f>
        <v/>
      </c>
      <c r="RM38" s="170">
        <f>COUNTIF('INPUT - Roster'!$SC$6:$SC$206,"*S/L*")+COUNTIF('INPUT - Roster'!$SC$6:$SC$206,"*SICK*")</f>
        <v/>
      </c>
      <c r="RN38" s="170">
        <f>COUNTIF('INPUT - Roster'!$SD$6:$SD$206,"*S/L*")+COUNTIF('INPUT - Roster'!$SD$6:$SD$206,"*SICK*")</f>
        <v/>
      </c>
      <c r="RO38" s="170">
        <f>COUNTIF('INPUT - Roster'!$SE$6:$SE$206,"*S/L*")+COUNTIF('INPUT - Roster'!$SE$6:$SE$206,"*SICK*")</f>
        <v/>
      </c>
      <c r="RP38" s="170">
        <f>COUNTIF('INPUT - Roster'!$SF$6:$SF$206,"*S/L*")+COUNTIF('INPUT - Roster'!$SF$6:$SF$206,"*SICK*")</f>
        <v/>
      </c>
      <c r="RQ38" s="170">
        <f>COUNTIF('INPUT - Roster'!$SG$6:$SG$206,"*S/L*")+COUNTIF('INPUT - Roster'!$SG$6:$SG$206,"*SICK*")</f>
        <v/>
      </c>
      <c r="RR38" s="170">
        <f>COUNTIF('INPUT - Roster'!$SH$6:$SH$206,"*S/L*")+COUNTIF('INPUT - Roster'!$SH$6:$SH$206,"*SICK*")</f>
        <v/>
      </c>
      <c r="RS38" s="170">
        <f>COUNTIF('INPUT - Roster'!$SI$6:$SI$206,"*S/L*")+COUNTIF('INPUT - Roster'!$SI$6:$SI$206,"*SICK*")</f>
        <v/>
      </c>
      <c r="RT38" s="170">
        <f>COUNTIF('INPUT - Roster'!$SJ$6:$SJ$206,"*S/L*")+COUNTIF('INPUT - Roster'!$SJ$6:$SJ$206,"*SICK*")</f>
        <v/>
      </c>
      <c r="RU38" s="170">
        <f>COUNTIF('INPUT - Roster'!$SK$6:$SK$206,"*S/L*")+COUNTIF('INPUT - Roster'!$SK$6:$SK$206,"*SICK*")</f>
        <v/>
      </c>
      <c r="RV38" s="170">
        <f>COUNTIF('INPUT - Roster'!$SL$6:$SL$206,"*S/L*")+COUNTIF('INPUT - Roster'!$SL$6:$SL$206,"*SICK*")</f>
        <v/>
      </c>
      <c r="RW38" s="170">
        <f>COUNTIF('INPUT - Roster'!$SM$6:$SM$206,"*S/L*")+COUNTIF('INPUT - Roster'!$SM$6:$SM$206,"*SICK*")</f>
        <v/>
      </c>
      <c r="RX38" s="170">
        <f>COUNTIF('INPUT - Roster'!$SN$6:$SN$206,"*S/L*")+COUNTIF('INPUT - Roster'!$SN$6:$SN$206,"*SICK*")</f>
        <v/>
      </c>
      <c r="RY38" s="170">
        <f>COUNTIF('INPUT - Roster'!$SO$6:$SO$206,"*S/L*")+COUNTIF('INPUT - Roster'!$SO$6:$SO$206,"*SICK*")</f>
        <v/>
      </c>
      <c r="RZ38" s="170">
        <f>COUNTIF('INPUT - Roster'!$SP$6:$SP$206,"*S/L*")+COUNTIF('INPUT - Roster'!$SP$6:$SP$206,"*SICK*")</f>
        <v/>
      </c>
      <c r="SA38" s="170">
        <f>COUNTIF('INPUT - Roster'!$SQ$6:$SQ$206,"*S/L*")+COUNTIF('INPUT - Roster'!$SQ$6:$SQ$206,"*SICK*")</f>
        <v/>
      </c>
      <c r="SB38" s="170">
        <f>COUNTIF('INPUT - Roster'!$SR$6:$SR$206,"*S/L*")+COUNTIF('INPUT - Roster'!$SR$6:$SR$206,"*SICK*")</f>
        <v/>
      </c>
      <c r="SC38" s="170">
        <f>COUNTIF('INPUT - Roster'!$SS$6:$SS$206,"*S/L*")+COUNTIF('INPUT - Roster'!$SS$6:$SS$206,"*SICK*")</f>
        <v/>
      </c>
      <c r="SD38" s="170">
        <f>COUNTIF('INPUT - Roster'!$ST$6:$ST$206,"*S/L*")+COUNTIF('INPUT - Roster'!$ST$6:$ST$206,"*SICK*")</f>
        <v/>
      </c>
      <c r="SE38" s="170">
        <f>COUNTIF('INPUT - Roster'!$SU$6:$SU$206,"*S/L*")+COUNTIF('INPUT - Roster'!$SU$6:$SU$206,"*SICK*")</f>
        <v/>
      </c>
      <c r="SF38" s="170">
        <f>COUNTIF('INPUT - Roster'!$SV$6:$SV$206,"*S/L*")+COUNTIF('INPUT - Roster'!$SV$6:$SV$206,"*SICK*")</f>
        <v/>
      </c>
    </row>
    <row r="39">
      <c r="B39" s="169" t="inlineStr">
        <is>
          <t>Personal leave</t>
        </is>
      </c>
      <c r="C39" s="170">
        <f>COUNTIF('INPUT - Roster'!$S$6:$S$206,"*P/L*")</f>
        <v/>
      </c>
      <c r="D39" s="170">
        <f>COUNTIF('INPUT - Roster'!$T$6:$T$206,"*P/L*")</f>
        <v/>
      </c>
      <c r="E39" s="170">
        <f>COUNTIF('INPUT - Roster'!$U$6:$U$206,"*P/L*")</f>
        <v/>
      </c>
      <c r="F39" s="170">
        <f>COUNTIF('INPUT - Roster'!$V$6:$V$206,"*P/L*")</f>
        <v/>
      </c>
      <c r="G39" s="170">
        <f>COUNTIF('INPUT - Roster'!$W$6:$W$206,"*P/L*")</f>
        <v/>
      </c>
      <c r="H39" s="170">
        <f>COUNTIF('INPUT - Roster'!$X$6:$X$206,"*P/L*")</f>
        <v/>
      </c>
      <c r="I39" s="170">
        <f>COUNTIF('INPUT - Roster'!$Y$6:$Y$206,"*P/L*")</f>
        <v/>
      </c>
      <c r="J39" s="170">
        <f>COUNTIF('INPUT - Roster'!$Z$6:$Z$206,"*P/L*")</f>
        <v/>
      </c>
      <c r="K39" s="170">
        <f>COUNTIF('INPUT - Roster'!$AA$6:$AA$206,"*P/L*")</f>
        <v/>
      </c>
      <c r="L39" s="170">
        <f>COUNTIF('INPUT - Roster'!$AB$6:$AB$206,"*P/L*")</f>
        <v/>
      </c>
      <c r="M39" s="170">
        <f>COUNTIF('INPUT - Roster'!$AC$6:$AC$206,"*P/L*")</f>
        <v/>
      </c>
      <c r="N39" s="170">
        <f>COUNTIF('INPUT - Roster'!$AD$6:$AD$206,"*P/L*")</f>
        <v/>
      </c>
      <c r="O39" s="170">
        <f>COUNTIF('INPUT - Roster'!$AE$6:$AE$206,"*P/L*")</f>
        <v/>
      </c>
      <c r="P39" s="170">
        <f>COUNTIF('INPUT - Roster'!$AF$6:$AF$206,"*P/L*")</f>
        <v/>
      </c>
      <c r="Q39" s="170">
        <f>COUNTIF('INPUT - Roster'!$AG$6:$AG$206,"*P/L*")</f>
        <v/>
      </c>
      <c r="R39" s="170">
        <f>COUNTIF('INPUT - Roster'!$AH$6:$AH$206,"*P/L*")</f>
        <v/>
      </c>
      <c r="S39" s="170">
        <f>COUNTIF('INPUT - Roster'!$AI$6:$AI$206,"*P/L*")</f>
        <v/>
      </c>
      <c r="T39" s="170">
        <f>COUNTIF('INPUT - Roster'!$AJ$6:$AJ$206,"*P/L*")</f>
        <v/>
      </c>
      <c r="U39" s="170">
        <f>COUNTIF('INPUT - Roster'!$AK$6:$AK$206,"*P/L*")</f>
        <v/>
      </c>
      <c r="V39" s="170">
        <f>COUNTIF('INPUT - Roster'!$AL$6:$AL$206,"*P/L*")</f>
        <v/>
      </c>
      <c r="W39" s="170">
        <f>COUNTIF('INPUT - Roster'!$AM$6:$AM$206,"*P/L*")</f>
        <v/>
      </c>
      <c r="X39" s="170">
        <f>COUNTIF('INPUT - Roster'!$AN$6:$AN$206,"*P/L*")</f>
        <v/>
      </c>
      <c r="Y39" s="170">
        <f>COUNTIF('INPUT - Roster'!$AO$6:$AO$206,"*P/L*")</f>
        <v/>
      </c>
      <c r="Z39" s="170">
        <f>COUNTIF('INPUT - Roster'!$AP$6:$AP$206,"*P/L*")</f>
        <v/>
      </c>
      <c r="AA39" s="170">
        <f>COUNTIF('INPUT - Roster'!$AQ$6:$AQ$206,"*P/L*")</f>
        <v/>
      </c>
      <c r="AB39" s="170">
        <f>COUNTIF('INPUT - Roster'!$AR$6:$AR$206,"*P/L*")</f>
        <v/>
      </c>
      <c r="AC39" s="170">
        <f>COUNTIF('INPUT - Roster'!$AS$6:$AS$206,"*P/L*")</f>
        <v/>
      </c>
      <c r="AD39" s="170">
        <f>COUNTIF('INPUT - Roster'!$AT$6:$AT$206,"*P/L*")</f>
        <v/>
      </c>
      <c r="AE39" s="170">
        <f>COUNTIF('INPUT - Roster'!$AU$6:$AU$206,"*P/L*")</f>
        <v/>
      </c>
      <c r="AF39" s="170">
        <f>COUNTIF('INPUT - Roster'!$AV$6:$AV$206,"*P/L*")</f>
        <v/>
      </c>
      <c r="AG39" s="170">
        <f>COUNTIF('INPUT - Roster'!$AW$6:$AW$206,"*P/L*")</f>
        <v/>
      </c>
      <c r="AH39" s="170">
        <f>COUNTIF('INPUT - Roster'!$AX$6:$AX$206,"*P/L*")</f>
        <v/>
      </c>
      <c r="AI39" s="170">
        <f>COUNTIF('INPUT - Roster'!$AY$6:$AY$206,"*P/L*")</f>
        <v/>
      </c>
      <c r="AJ39" s="170">
        <f>COUNTIF('INPUT - Roster'!$AZ$6:$AZ$206,"*P/L*")</f>
        <v/>
      </c>
      <c r="AK39" s="170">
        <f>COUNTIF('INPUT - Roster'!$BA$6:$BA$206,"*P/L*")</f>
        <v/>
      </c>
      <c r="AL39" s="170">
        <f>COUNTIF('INPUT - Roster'!$BB$6:$BB$206,"*P/L*")</f>
        <v/>
      </c>
      <c r="AM39" s="170">
        <f>COUNTIF('INPUT - Roster'!$BC$6:$BC$206,"*P/L*")</f>
        <v/>
      </c>
      <c r="AN39" s="170">
        <f>COUNTIF('INPUT - Roster'!$BD$6:$BD$206,"*P/L*")</f>
        <v/>
      </c>
      <c r="AO39" s="170">
        <f>COUNTIF('INPUT - Roster'!$BE$6:$BE$206,"*P/L*")</f>
        <v/>
      </c>
      <c r="AP39" s="170">
        <f>COUNTIF('INPUT - Roster'!$BF$6:$BF$206,"*P/L*")</f>
        <v/>
      </c>
      <c r="AQ39" s="170">
        <f>COUNTIF('INPUT - Roster'!$BG$6:$BG$206,"*P/L*")</f>
        <v/>
      </c>
      <c r="AR39" s="170">
        <f>COUNTIF('INPUT - Roster'!$BH$6:$BH$206,"*P/L*")</f>
        <v/>
      </c>
      <c r="AS39" s="170">
        <f>COUNTIF('INPUT - Roster'!$BI$6:$BI$206,"*P/L*")</f>
        <v/>
      </c>
      <c r="AT39" s="170">
        <f>COUNTIF('INPUT - Roster'!$BJ$6:$BJ$206,"*P/L*")</f>
        <v/>
      </c>
      <c r="AU39" s="170">
        <f>COUNTIF('INPUT - Roster'!$BK$6:$BK$206,"*P/L*")</f>
        <v/>
      </c>
      <c r="AV39" s="170">
        <f>COUNTIF('INPUT - Roster'!$BL$6:$BL$206,"*P/L*")</f>
        <v/>
      </c>
      <c r="AW39" s="170">
        <f>COUNTIF('INPUT - Roster'!$BM$6:$BM$206,"*P/L*")</f>
        <v/>
      </c>
      <c r="AX39" s="170">
        <f>COUNTIF('INPUT - Roster'!$BN$6:$BN$206,"*P/L*")</f>
        <v/>
      </c>
      <c r="AY39" s="170">
        <f>COUNTIF('INPUT - Roster'!$BO$6:$BO$206,"*P/L*")</f>
        <v/>
      </c>
      <c r="AZ39" s="170">
        <f>COUNTIF('INPUT - Roster'!$BP$6:$BP$206,"*P/L*")</f>
        <v/>
      </c>
      <c r="BA39" s="170">
        <f>COUNTIF('INPUT - Roster'!$BQ$6:$BQ$206,"*P/L*")</f>
        <v/>
      </c>
      <c r="BB39" s="170">
        <f>COUNTIF('INPUT - Roster'!$BR$6:$BR$206,"*P/L*")</f>
        <v/>
      </c>
      <c r="BC39" s="170">
        <f>COUNTIF('INPUT - Roster'!$BS$6:$BS$206,"*P/L*")</f>
        <v/>
      </c>
      <c r="BD39" s="170">
        <f>COUNTIF('INPUT - Roster'!$BT$6:$BT$206,"*P/L*")</f>
        <v/>
      </c>
      <c r="BE39" s="170">
        <f>COUNTIF('INPUT - Roster'!$BU$6:$BU$206,"*P/L*")</f>
        <v/>
      </c>
      <c r="BF39" s="170">
        <f>COUNTIF('INPUT - Roster'!$BV$6:$BV$206,"*P/L*")</f>
        <v/>
      </c>
      <c r="BG39" s="170">
        <f>COUNTIF('INPUT - Roster'!$BW$6:$BW$206,"*P/L*")</f>
        <v/>
      </c>
      <c r="BH39" s="170">
        <f>COUNTIF('INPUT - Roster'!$BX$6:$BX$206,"*P/L*")</f>
        <v/>
      </c>
      <c r="BI39" s="170">
        <f>COUNTIF('INPUT - Roster'!$BY$6:$BY$206,"*P/L*")</f>
        <v/>
      </c>
      <c r="BJ39" s="170">
        <f>COUNTIF('INPUT - Roster'!$BZ$6:$BZ$206,"*P/L*")</f>
        <v/>
      </c>
      <c r="BK39" s="170">
        <f>COUNTIF('INPUT - Roster'!$CA$6:$CA$206,"*P/L*")</f>
        <v/>
      </c>
      <c r="BL39" s="170">
        <f>COUNTIF('INPUT - Roster'!$CB$6:$CB$206,"*P/L*")</f>
        <v/>
      </c>
      <c r="BM39" s="170">
        <f>COUNTIF('INPUT - Roster'!$CC$6:$CC$206,"*P/L*")</f>
        <v/>
      </c>
      <c r="BN39" s="170">
        <f>COUNTIF('INPUT - Roster'!$CD$6:$CD$206,"*P/L*")</f>
        <v/>
      </c>
      <c r="BO39" s="170">
        <f>COUNTIF('INPUT - Roster'!$CE$6:$CE$206,"*P/L*")</f>
        <v/>
      </c>
      <c r="BP39" s="170">
        <f>COUNTIF('INPUT - Roster'!$CF$6:$CF$206,"*P/L*")</f>
        <v/>
      </c>
      <c r="BQ39" s="170">
        <f>COUNTIF('INPUT - Roster'!$CG$6:$CG$206,"*P/L*")</f>
        <v/>
      </c>
      <c r="BR39" s="170">
        <f>COUNTIF('INPUT - Roster'!$CH$6:$CH$206,"*P/L*")</f>
        <v/>
      </c>
      <c r="BS39" s="170">
        <f>COUNTIF('INPUT - Roster'!$CI$6:$CI$206,"*P/L*")</f>
        <v/>
      </c>
      <c r="BT39" s="170">
        <f>COUNTIF('INPUT - Roster'!$CJ$6:$CJ$206,"*P/L*")</f>
        <v/>
      </c>
      <c r="BU39" s="170">
        <f>COUNTIF('INPUT - Roster'!$CK$6:$CK$206,"*P/L*")</f>
        <v/>
      </c>
      <c r="BV39" s="170">
        <f>COUNTIF('INPUT - Roster'!$CL$6:$CL$206,"*P/L*")</f>
        <v/>
      </c>
      <c r="BW39" s="170">
        <f>COUNTIF('INPUT - Roster'!$CM$6:$CM$206,"*P/L*")</f>
        <v/>
      </c>
      <c r="BX39" s="170">
        <f>COUNTIF('INPUT - Roster'!$CN$6:$CN$206,"*P/L*")</f>
        <v/>
      </c>
      <c r="BY39" s="170">
        <f>COUNTIF('INPUT - Roster'!$CO$6:$CO$206,"*P/L*")</f>
        <v/>
      </c>
      <c r="BZ39" s="170">
        <f>COUNTIF('INPUT - Roster'!$CP$6:$CP$206,"*P/L*")</f>
        <v/>
      </c>
      <c r="CA39" s="170">
        <f>COUNTIF('INPUT - Roster'!$CQ$6:$CQ$206,"*P/L*")</f>
        <v/>
      </c>
      <c r="CB39" s="170">
        <f>COUNTIF('INPUT - Roster'!$CR$6:$CR$206,"*P/L*")</f>
        <v/>
      </c>
      <c r="CC39" s="170">
        <f>COUNTIF('INPUT - Roster'!$CS$6:$CS$206,"*P/L*")</f>
        <v/>
      </c>
      <c r="CD39" s="170">
        <f>COUNTIF('INPUT - Roster'!$CT$6:$CT$206,"*P/L*")</f>
        <v/>
      </c>
      <c r="CE39" s="170">
        <f>COUNTIF('INPUT - Roster'!$CU$6:$CU$206,"*P/L*")</f>
        <v/>
      </c>
      <c r="CF39" s="170">
        <f>COUNTIF('INPUT - Roster'!$CV$6:$CV$206,"*P/L*")</f>
        <v/>
      </c>
      <c r="CG39" s="170">
        <f>COUNTIF('INPUT - Roster'!$CW$6:$CW$206,"*P/L*")</f>
        <v/>
      </c>
      <c r="CH39" s="170">
        <f>COUNTIF('INPUT - Roster'!$CX$6:$CX$206,"*P/L*")</f>
        <v/>
      </c>
      <c r="CI39" s="170">
        <f>COUNTIF('INPUT - Roster'!$CY$6:$CY$206,"*P/L*")</f>
        <v/>
      </c>
      <c r="CJ39" s="170">
        <f>COUNTIF('INPUT - Roster'!$CZ$6:$CZ$206,"*P/L*")</f>
        <v/>
      </c>
      <c r="CK39" s="170">
        <f>COUNTIF('INPUT - Roster'!$DA$6:$DA$206,"*P/L*")</f>
        <v/>
      </c>
      <c r="CL39" s="170">
        <f>COUNTIF('INPUT - Roster'!$DB$6:$DB$206,"*P/L*")</f>
        <v/>
      </c>
      <c r="CM39" s="170">
        <f>COUNTIF('INPUT - Roster'!$DC$6:$DC$206,"*P/L*")</f>
        <v/>
      </c>
      <c r="CN39" s="170">
        <f>COUNTIF('INPUT - Roster'!$DD$6:$DD$206,"*P/L*")</f>
        <v/>
      </c>
      <c r="CO39" s="170">
        <f>COUNTIF('INPUT - Roster'!$DE$6:$DE$206,"*P/L*")</f>
        <v/>
      </c>
      <c r="CP39" s="170">
        <f>COUNTIF('INPUT - Roster'!$DF$6:$DF$206,"*P/L*")</f>
        <v/>
      </c>
      <c r="CQ39" s="170">
        <f>COUNTIF('INPUT - Roster'!$DG$6:$DG$206,"*P/L*")</f>
        <v/>
      </c>
      <c r="CR39" s="170">
        <f>COUNTIF('INPUT - Roster'!$DH$6:$DH$206,"*P/L*")</f>
        <v/>
      </c>
      <c r="CS39" s="170">
        <f>COUNTIF('INPUT - Roster'!$DI$6:$DI$206,"*P/L*")</f>
        <v/>
      </c>
      <c r="CT39" s="170">
        <f>COUNTIF('INPUT - Roster'!$DJ$6:$DJ$206,"*P/L*")</f>
        <v/>
      </c>
      <c r="CU39" s="170">
        <f>COUNTIF('INPUT - Roster'!$DK$6:$DK$206,"*P/L*")</f>
        <v/>
      </c>
      <c r="CV39" s="170">
        <f>COUNTIF('INPUT - Roster'!$DL$6:$DL$206,"*P/L*")</f>
        <v/>
      </c>
      <c r="CW39" s="170">
        <f>COUNTIF('INPUT - Roster'!$DM$6:$DM$206,"*P/L*")</f>
        <v/>
      </c>
      <c r="CX39" s="170">
        <f>COUNTIF('INPUT - Roster'!$DN$6:$DN$206,"*P/L*")</f>
        <v/>
      </c>
      <c r="CY39" s="170">
        <f>COUNTIF('INPUT - Roster'!$DO$6:$DO$206,"*P/L*")</f>
        <v/>
      </c>
      <c r="CZ39" s="170">
        <f>COUNTIF('INPUT - Roster'!$DP$6:$DP$206,"*P/L*")</f>
        <v/>
      </c>
      <c r="DA39" s="170">
        <f>COUNTIF('INPUT - Roster'!$DQ$6:$DQ$206,"*P/L*")</f>
        <v/>
      </c>
      <c r="DB39" s="170">
        <f>COUNTIF('INPUT - Roster'!$DR$6:$DR$206,"*P/L*")</f>
        <v/>
      </c>
      <c r="DC39" s="170">
        <f>COUNTIF('INPUT - Roster'!$DS$6:$DS$206,"*P/L*")</f>
        <v/>
      </c>
      <c r="DD39" s="170">
        <f>COUNTIF('INPUT - Roster'!$DT$6:$DT$206,"*P/L*")</f>
        <v/>
      </c>
      <c r="DE39" s="170">
        <f>COUNTIF('INPUT - Roster'!$DU$6:$DU$206,"*P/L*")</f>
        <v/>
      </c>
      <c r="DF39" s="170">
        <f>COUNTIF('INPUT - Roster'!$DV$6:$DV$206,"*P/L*")</f>
        <v/>
      </c>
      <c r="DG39" s="170">
        <f>COUNTIF('INPUT - Roster'!$DW$6:$DW$206,"*P/L*")</f>
        <v/>
      </c>
      <c r="DH39" s="170">
        <f>COUNTIF('INPUT - Roster'!$DX$6:$DX$206,"*P/L*")</f>
        <v/>
      </c>
      <c r="DI39" s="170">
        <f>COUNTIF('INPUT - Roster'!$DY$6:$DY$206,"*P/L*")</f>
        <v/>
      </c>
      <c r="DJ39" s="170">
        <f>COUNTIF('INPUT - Roster'!$DZ$6:$DZ$206,"*P/L*")</f>
        <v/>
      </c>
      <c r="DK39" s="170">
        <f>COUNTIF('INPUT - Roster'!$EA$6:$EA$206,"*P/L*")</f>
        <v/>
      </c>
      <c r="DL39" s="170">
        <f>COUNTIF('INPUT - Roster'!$EB$6:$EB$206,"*P/L*")</f>
        <v/>
      </c>
      <c r="DM39" s="170">
        <f>COUNTIF('INPUT - Roster'!$EC$6:$EC$206,"*P/L*")</f>
        <v/>
      </c>
      <c r="DN39" s="170">
        <f>COUNTIF('INPUT - Roster'!$ED$6:$ED$206,"*P/L*")</f>
        <v/>
      </c>
      <c r="DO39" s="170">
        <f>COUNTIF('INPUT - Roster'!$EE$6:$EE$206,"*P/L*")</f>
        <v/>
      </c>
      <c r="DP39" s="170">
        <f>COUNTIF('INPUT - Roster'!$EF$6:$EF$206,"*P/L*")</f>
        <v/>
      </c>
      <c r="DQ39" s="170">
        <f>COUNTIF('INPUT - Roster'!$EG$6:$EG$206,"*P/L*")</f>
        <v/>
      </c>
      <c r="DR39" s="170">
        <f>COUNTIF('INPUT - Roster'!$EH$6:$EH$206,"*P/L*")</f>
        <v/>
      </c>
      <c r="DS39" s="170">
        <f>COUNTIF('INPUT - Roster'!$EI$6:$EI$206,"*P/L*")</f>
        <v/>
      </c>
      <c r="DT39" s="170">
        <f>COUNTIF('INPUT - Roster'!$EJ$6:$EJ$206,"*P/L*")</f>
        <v/>
      </c>
      <c r="DU39" s="170">
        <f>COUNTIF('INPUT - Roster'!$EK$6:$EK$206,"*P/L*")</f>
        <v/>
      </c>
      <c r="DV39" s="170">
        <f>COUNTIF('INPUT - Roster'!$EL$6:$EL$206,"*P/L*")</f>
        <v/>
      </c>
      <c r="DW39" s="170">
        <f>COUNTIF('INPUT - Roster'!$EM$6:$EM$206,"*P/L*")</f>
        <v/>
      </c>
      <c r="DX39" s="170">
        <f>COUNTIF('INPUT - Roster'!$EN$6:$EN$206,"*P/L*")</f>
        <v/>
      </c>
      <c r="DY39" s="170">
        <f>COUNTIF('INPUT - Roster'!$EO$6:$EO$206,"*P/L*")</f>
        <v/>
      </c>
      <c r="DZ39" s="170">
        <f>COUNTIF('INPUT - Roster'!$EP$6:$EP$206,"*P/L*")</f>
        <v/>
      </c>
      <c r="EA39" s="170">
        <f>COUNTIF('INPUT - Roster'!$EQ$6:$EQ$206,"*P/L*")</f>
        <v/>
      </c>
      <c r="EB39" s="170">
        <f>COUNTIF('INPUT - Roster'!$ER$6:$ER$206,"*P/L*")</f>
        <v/>
      </c>
      <c r="EC39" s="170">
        <f>COUNTIF('INPUT - Roster'!$ES$6:$ES$206,"*P/L*")</f>
        <v/>
      </c>
      <c r="ED39" s="170">
        <f>COUNTIF('INPUT - Roster'!$ET$6:$ET$206,"*P/L*")</f>
        <v/>
      </c>
      <c r="EE39" s="170">
        <f>COUNTIF('INPUT - Roster'!$EU$6:$EU$206,"*P/L*")</f>
        <v/>
      </c>
      <c r="EF39" s="170">
        <f>COUNTIF('INPUT - Roster'!$EV$6:$EV$206,"*P/L*")</f>
        <v/>
      </c>
      <c r="EG39" s="170">
        <f>COUNTIF('INPUT - Roster'!$EW$6:$EW$206,"*P/L*")</f>
        <v/>
      </c>
      <c r="EH39" s="170">
        <f>COUNTIF('INPUT - Roster'!$EX$6:$EX$206,"*P/L*")</f>
        <v/>
      </c>
      <c r="EI39" s="170">
        <f>COUNTIF('INPUT - Roster'!$EY$6:$EY$206,"*P/L*")</f>
        <v/>
      </c>
      <c r="EJ39" s="170">
        <f>COUNTIF('INPUT - Roster'!$EZ$6:$EZ$206,"*P/L*")</f>
        <v/>
      </c>
      <c r="EK39" s="170">
        <f>COUNTIF('INPUT - Roster'!$FA$6:$FA$206,"*P/L*")</f>
        <v/>
      </c>
      <c r="EL39" s="170">
        <f>COUNTIF('INPUT - Roster'!$FB$6:$FB$206,"*P/L*")</f>
        <v/>
      </c>
      <c r="EM39" s="170">
        <f>COUNTIF('INPUT - Roster'!$FC$6:$FC$206,"*P/L*")</f>
        <v/>
      </c>
      <c r="EN39" s="170">
        <f>COUNTIF('INPUT - Roster'!$FD$6:$FD$206,"*P/L*")</f>
        <v/>
      </c>
      <c r="EO39" s="170">
        <f>COUNTIF('INPUT - Roster'!$FE$6:$FE$206,"*P/L*")</f>
        <v/>
      </c>
      <c r="EP39" s="170">
        <f>COUNTIF('INPUT - Roster'!$FF$6:$FF$206,"*P/L*")</f>
        <v/>
      </c>
      <c r="EQ39" s="170">
        <f>COUNTIF('INPUT - Roster'!$FG$6:$FG$206,"*P/L*")</f>
        <v/>
      </c>
      <c r="ER39" s="170">
        <f>COUNTIF('INPUT - Roster'!$FH$6:$FH$206,"*P/L*")</f>
        <v/>
      </c>
      <c r="ES39" s="170">
        <f>COUNTIF('INPUT - Roster'!$FI$6:$FI$206,"*P/L*")</f>
        <v/>
      </c>
      <c r="ET39" s="170">
        <f>COUNTIF('INPUT - Roster'!$FJ$6:$FJ$206,"*P/L*")</f>
        <v/>
      </c>
      <c r="EU39" s="170">
        <f>COUNTIF('INPUT - Roster'!$FK$6:$FK$206,"*P/L*")</f>
        <v/>
      </c>
      <c r="EV39" s="170">
        <f>COUNTIF('INPUT - Roster'!$FL$6:$FL$206,"*P/L*")</f>
        <v/>
      </c>
      <c r="EW39" s="170">
        <f>COUNTIF('INPUT - Roster'!$FM$6:$FM$206,"*P/L*")</f>
        <v/>
      </c>
      <c r="EX39" s="170">
        <f>COUNTIF('INPUT - Roster'!$FN$6:$FN$206,"*P/L*")</f>
        <v/>
      </c>
      <c r="EY39" s="170">
        <f>COUNTIF('INPUT - Roster'!$FO$6:$FO$206,"*P/L*")</f>
        <v/>
      </c>
      <c r="EZ39" s="170">
        <f>COUNTIF('INPUT - Roster'!$FP$6:$FP$206,"*P/L*")</f>
        <v/>
      </c>
      <c r="FA39" s="170">
        <f>COUNTIF('INPUT - Roster'!$FQ$6:$FQ$206,"*P/L*")</f>
        <v/>
      </c>
      <c r="FB39" s="170">
        <f>COUNTIF('INPUT - Roster'!$FR$6:$FR$206,"*P/L*")</f>
        <v/>
      </c>
      <c r="FC39" s="170">
        <f>COUNTIF('INPUT - Roster'!$FS$6:$FS$206,"*P/L*")</f>
        <v/>
      </c>
      <c r="FD39" s="170">
        <f>COUNTIF('INPUT - Roster'!$FT$6:$FT$206,"*P/L*")</f>
        <v/>
      </c>
      <c r="FE39" s="170">
        <f>COUNTIF('INPUT - Roster'!$FU$6:$FU$206,"*P/L*")</f>
        <v/>
      </c>
      <c r="FF39" s="170">
        <f>COUNTIF('INPUT - Roster'!$FV$6:$FV$206,"*P/L*")</f>
        <v/>
      </c>
      <c r="FG39" s="170">
        <f>COUNTIF('INPUT - Roster'!$FW$6:$FW$206,"*P/L*")</f>
        <v/>
      </c>
      <c r="FH39" s="170">
        <f>COUNTIF('INPUT - Roster'!$FX$6:$FX$206,"*P/L*")</f>
        <v/>
      </c>
      <c r="FI39" s="170">
        <f>COUNTIF('INPUT - Roster'!$FY$6:$FY$206,"*P/L*")</f>
        <v/>
      </c>
      <c r="FJ39" s="170">
        <f>COUNTIF('INPUT - Roster'!$FZ$6:$FZ$206,"*P/L*")</f>
        <v/>
      </c>
      <c r="FK39" s="170">
        <f>COUNTIF('INPUT - Roster'!$GA$6:$GA$206,"*P/L*")</f>
        <v/>
      </c>
      <c r="FL39" s="170">
        <f>COUNTIF('INPUT - Roster'!$GB$6:$GB$206,"*P/L*")</f>
        <v/>
      </c>
      <c r="FM39" s="170">
        <f>COUNTIF('INPUT - Roster'!$GC$6:$GC$206,"*P/L*")</f>
        <v/>
      </c>
      <c r="FN39" s="170">
        <f>COUNTIF('INPUT - Roster'!$GD$6:$GD$206,"*P/L*")</f>
        <v/>
      </c>
      <c r="FO39" s="170">
        <f>COUNTIF('INPUT - Roster'!$GE$6:$GE$206,"*P/L*")</f>
        <v/>
      </c>
      <c r="FP39" s="170">
        <f>COUNTIF('INPUT - Roster'!$GF$6:$GF$206,"*P/L*")</f>
        <v/>
      </c>
      <c r="FQ39" s="170">
        <f>COUNTIF('INPUT - Roster'!$GG$6:$GG$206,"*P/L*")</f>
        <v/>
      </c>
      <c r="FR39" s="170">
        <f>COUNTIF('INPUT - Roster'!$GH$6:$GH$206,"*P/L*")</f>
        <v/>
      </c>
      <c r="FS39" s="170">
        <f>COUNTIF('INPUT - Roster'!$GI$6:$GI$206,"*P/L*")</f>
        <v/>
      </c>
      <c r="FT39" s="170">
        <f>COUNTIF('INPUT - Roster'!$GJ$6:$GJ$206,"*P/L*")</f>
        <v/>
      </c>
      <c r="FU39" s="170">
        <f>COUNTIF('INPUT - Roster'!$GK$6:$GK$206,"*P/L*")</f>
        <v/>
      </c>
      <c r="FV39" s="170">
        <f>COUNTIF('INPUT - Roster'!$GL$6:$GL$206,"*P/L*")</f>
        <v/>
      </c>
      <c r="FW39" s="170">
        <f>COUNTIF('INPUT - Roster'!$GM$6:$GM$206,"*P/L*")</f>
        <v/>
      </c>
      <c r="FX39" s="170">
        <f>COUNTIF('INPUT - Roster'!$GN$6:$GN$206,"*P/L*")</f>
        <v/>
      </c>
      <c r="FY39" s="170">
        <f>COUNTIF('INPUT - Roster'!$GO$6:$GO$206,"*P/L*")</f>
        <v/>
      </c>
      <c r="FZ39" s="170">
        <f>COUNTIF('INPUT - Roster'!$GP$6:$GP$206,"*P/L*")</f>
        <v/>
      </c>
      <c r="GA39" s="170">
        <f>COUNTIF('INPUT - Roster'!$GQ$6:$GQ$206,"*P/L*")</f>
        <v/>
      </c>
      <c r="GB39" s="170">
        <f>COUNTIF('INPUT - Roster'!$GR$6:$GR$206,"*P/L*")</f>
        <v/>
      </c>
      <c r="GC39" s="170">
        <f>COUNTIF('INPUT - Roster'!$GS$6:$GS$206,"*P/L*")</f>
        <v/>
      </c>
      <c r="GD39" s="170">
        <f>COUNTIF('INPUT - Roster'!$GT$6:$GT$206,"*P/L*")</f>
        <v/>
      </c>
      <c r="GE39" s="170">
        <f>COUNTIF('INPUT - Roster'!$GU$6:$GU$206,"*P/L*")</f>
        <v/>
      </c>
      <c r="GF39" s="170">
        <f>COUNTIF('INPUT - Roster'!$GV$6:$GV$206,"*P/L*")</f>
        <v/>
      </c>
      <c r="GG39" s="170">
        <f>COUNTIF('INPUT - Roster'!$GW$6:$GW$206,"*P/L*")</f>
        <v/>
      </c>
      <c r="GH39" s="170">
        <f>COUNTIF('INPUT - Roster'!$GX$6:$GX$206,"*P/L*")</f>
        <v/>
      </c>
      <c r="GI39" s="170">
        <f>COUNTIF('INPUT - Roster'!$GY$6:$GY$206,"*P/L*")</f>
        <v/>
      </c>
      <c r="GJ39" s="170">
        <f>COUNTIF('INPUT - Roster'!$GZ$6:$GZ$206,"*P/L*")</f>
        <v/>
      </c>
      <c r="GK39" s="170">
        <f>COUNTIF('INPUT - Roster'!$HA$6:$HA$206,"*P/L*")</f>
        <v/>
      </c>
      <c r="GL39" s="170">
        <f>COUNTIF('INPUT - Roster'!$HB$6:$HB$206,"*P/L*")</f>
        <v/>
      </c>
      <c r="GM39" s="170">
        <f>COUNTIF('INPUT - Roster'!$HC$6:$HC$206,"*P/L*")</f>
        <v/>
      </c>
      <c r="GN39" s="170">
        <f>COUNTIF('INPUT - Roster'!$HD$6:$HD$206,"*P/L*")</f>
        <v/>
      </c>
      <c r="GO39" s="170">
        <f>COUNTIF('INPUT - Roster'!$HE$6:$HE$206,"*P/L*")</f>
        <v/>
      </c>
      <c r="GP39" s="170">
        <f>COUNTIF('INPUT - Roster'!$HF$6:$HF$206,"*P/L*")</f>
        <v/>
      </c>
      <c r="GQ39" s="170">
        <f>COUNTIF('INPUT - Roster'!$HG$6:$HG$206,"*P/L*")</f>
        <v/>
      </c>
      <c r="GR39" s="170">
        <f>COUNTIF('INPUT - Roster'!$HH$6:$HH$206,"*P/L*")</f>
        <v/>
      </c>
      <c r="GS39" s="170">
        <f>COUNTIF('INPUT - Roster'!$HI$6:$HI$206,"*P/L*")</f>
        <v/>
      </c>
      <c r="GT39" s="170">
        <f>COUNTIF('INPUT - Roster'!$HJ$6:$HJ$206,"*P/L*")</f>
        <v/>
      </c>
      <c r="GU39" s="170">
        <f>COUNTIF('INPUT - Roster'!$HK$6:$HK$206,"*P/L*")</f>
        <v/>
      </c>
      <c r="GV39" s="170">
        <f>COUNTIF('INPUT - Roster'!$HL$6:$HL$206,"*P/L*")</f>
        <v/>
      </c>
      <c r="GW39" s="170">
        <f>COUNTIF('INPUT - Roster'!$HM$6:$HM$206,"*P/L*")</f>
        <v/>
      </c>
      <c r="GX39" s="170">
        <f>COUNTIF('INPUT - Roster'!$HN$6:$HN$206,"*P/L*")</f>
        <v/>
      </c>
      <c r="GY39" s="170">
        <f>COUNTIF('INPUT - Roster'!$HO$6:$HO$206,"*P/L*")</f>
        <v/>
      </c>
      <c r="GZ39" s="170">
        <f>COUNTIF('INPUT - Roster'!$HP$6:$HP$206,"*P/L*")</f>
        <v/>
      </c>
      <c r="HA39" s="170">
        <f>COUNTIF('INPUT - Roster'!$HQ$6:$HQ$206,"*P/L*")</f>
        <v/>
      </c>
      <c r="HB39" s="170">
        <f>COUNTIF('INPUT - Roster'!$HR$6:$HR$206,"*P/L*")</f>
        <v/>
      </c>
      <c r="HC39" s="170">
        <f>COUNTIF('INPUT - Roster'!$HS$6:$HS$206,"*P/L*")</f>
        <v/>
      </c>
      <c r="HD39" s="170">
        <f>COUNTIF('INPUT - Roster'!$HT$6:$HT$206,"*P/L*")</f>
        <v/>
      </c>
      <c r="HE39" s="170">
        <f>COUNTIF('INPUT - Roster'!$HU$6:$HU$206,"*P/L*")</f>
        <v/>
      </c>
      <c r="HF39" s="170">
        <f>COUNTIF('INPUT - Roster'!$HV$6:$HV$206,"*P/L*")</f>
        <v/>
      </c>
      <c r="HG39" s="170">
        <f>COUNTIF('INPUT - Roster'!$HW$6:$HW$206,"*P/L*")</f>
        <v/>
      </c>
      <c r="HH39" s="170">
        <f>COUNTIF('INPUT - Roster'!$HX$6:$HX$206,"*P/L*")</f>
        <v/>
      </c>
      <c r="HI39" s="170">
        <f>COUNTIF('INPUT - Roster'!$HY$6:$HY$206,"*P/L*")</f>
        <v/>
      </c>
      <c r="HJ39" s="170">
        <f>COUNTIF('INPUT - Roster'!$HZ$6:$HZ$206,"*P/L*")</f>
        <v/>
      </c>
      <c r="HK39" s="170">
        <f>COUNTIF('INPUT - Roster'!$IA$6:$IA$206,"*P/L*")</f>
        <v/>
      </c>
      <c r="HL39" s="170">
        <f>COUNTIF('INPUT - Roster'!$IB$6:$IB$206,"*P/L*")</f>
        <v/>
      </c>
      <c r="HM39" s="170">
        <f>COUNTIF('INPUT - Roster'!$IC$6:$IC$206,"*P/L*")</f>
        <v/>
      </c>
      <c r="HN39" s="170">
        <f>COUNTIF('INPUT - Roster'!$ID$6:$ID$206,"*P/L*")</f>
        <v/>
      </c>
      <c r="HO39" s="170">
        <f>COUNTIF('INPUT - Roster'!$IE$6:$IE$206,"*P/L*")</f>
        <v/>
      </c>
      <c r="HP39" s="170">
        <f>COUNTIF('INPUT - Roster'!$IF$6:$IF$206,"*P/L*")</f>
        <v/>
      </c>
      <c r="HQ39" s="170">
        <f>COUNTIF('INPUT - Roster'!$IG$6:$IG$206,"*P/L*")</f>
        <v/>
      </c>
      <c r="HR39" s="170">
        <f>COUNTIF('INPUT - Roster'!$IH$6:$IH$206,"*P/L*")</f>
        <v/>
      </c>
      <c r="HS39" s="170">
        <f>COUNTIF('INPUT - Roster'!$II$6:$II$206,"*P/L*")</f>
        <v/>
      </c>
      <c r="HT39" s="170">
        <f>COUNTIF('INPUT - Roster'!$IJ$6:$IJ$206,"*P/L*")</f>
        <v/>
      </c>
      <c r="HU39" s="170">
        <f>COUNTIF('INPUT - Roster'!$IK$6:$IK$206,"*P/L*")</f>
        <v/>
      </c>
      <c r="HV39" s="170">
        <f>COUNTIF('INPUT - Roster'!$IL$6:$IL$206,"*P/L*")</f>
        <v/>
      </c>
      <c r="HW39" s="170">
        <f>COUNTIF('INPUT - Roster'!$IM$6:$IM$206,"*P/L*")</f>
        <v/>
      </c>
      <c r="HX39" s="170">
        <f>COUNTIF('INPUT - Roster'!$IN$6:$IN$206,"*P/L*")</f>
        <v/>
      </c>
      <c r="HY39" s="170">
        <f>COUNTIF('INPUT - Roster'!$IO$6:$IO$206,"*P/L*")</f>
        <v/>
      </c>
      <c r="HZ39" s="170">
        <f>COUNTIF('INPUT - Roster'!$IP$6:$IP$206,"*P/L*")</f>
        <v/>
      </c>
      <c r="IA39" s="170">
        <f>COUNTIF('INPUT - Roster'!$IQ$6:$IQ$206,"*P/L*")</f>
        <v/>
      </c>
      <c r="IB39" s="170">
        <f>COUNTIF('INPUT - Roster'!$IR$6:$IR$206,"*P/L*")</f>
        <v/>
      </c>
      <c r="IC39" s="170">
        <f>COUNTIF('INPUT - Roster'!$IS$6:$IS$206,"*P/L*")</f>
        <v/>
      </c>
      <c r="ID39" s="170">
        <f>COUNTIF('INPUT - Roster'!$IT$6:$IT$206,"*P/L*")</f>
        <v/>
      </c>
      <c r="IE39" s="170">
        <f>COUNTIF('INPUT - Roster'!$IU$6:$IU$206,"*P/L*")</f>
        <v/>
      </c>
      <c r="IF39" s="170">
        <f>COUNTIF('INPUT - Roster'!$IV$6:$IV$206,"*P/L*")</f>
        <v/>
      </c>
      <c r="IG39" s="170">
        <f>COUNTIF('INPUT - Roster'!$IW$6:$IW$206,"*P/L*")</f>
        <v/>
      </c>
      <c r="IH39" s="170">
        <f>COUNTIF('INPUT - Roster'!$IX$6:$IX$206,"*P/L*")</f>
        <v/>
      </c>
      <c r="II39" s="170">
        <f>COUNTIF('INPUT - Roster'!$IY$6:$IY$206,"*P/L*")</f>
        <v/>
      </c>
      <c r="IJ39" s="170">
        <f>COUNTIF('INPUT - Roster'!$IZ$6:$IZ$206,"*P/L*")</f>
        <v/>
      </c>
      <c r="IK39" s="170">
        <f>COUNTIF('INPUT - Roster'!$JA$6:$JA$206,"*P/L*")</f>
        <v/>
      </c>
      <c r="IL39" s="170">
        <f>COUNTIF('INPUT - Roster'!$JB$6:$JB$206,"*P/L*")</f>
        <v/>
      </c>
      <c r="IM39" s="170">
        <f>COUNTIF('INPUT - Roster'!$JC$6:$JC$206,"*P/L*")</f>
        <v/>
      </c>
      <c r="IN39" s="170">
        <f>COUNTIF('INPUT - Roster'!$JD$6:$JD$206,"*P/L*")</f>
        <v/>
      </c>
      <c r="IO39" s="170">
        <f>COUNTIF('INPUT - Roster'!$JE$6:$JE$206,"*P/L*")</f>
        <v/>
      </c>
      <c r="IP39" s="170">
        <f>COUNTIF('INPUT - Roster'!$JF$6:$JF$206,"*P/L*")</f>
        <v/>
      </c>
      <c r="IQ39" s="170">
        <f>COUNTIF('INPUT - Roster'!$JG$6:$JG$206,"*P/L*")</f>
        <v/>
      </c>
      <c r="IR39" s="170">
        <f>COUNTIF('INPUT - Roster'!$JH$6:$JH$206,"*P/L*")</f>
        <v/>
      </c>
      <c r="IS39" s="170">
        <f>COUNTIF('INPUT - Roster'!$JI$6:$JI$206,"*P/L*")</f>
        <v/>
      </c>
      <c r="IT39" s="170">
        <f>COUNTIF('INPUT - Roster'!$JJ$6:$JJ$206,"*P/L*")</f>
        <v/>
      </c>
      <c r="IU39" s="170">
        <f>COUNTIF('INPUT - Roster'!$JK$6:$JK$206,"*P/L*")</f>
        <v/>
      </c>
      <c r="IV39" s="170">
        <f>COUNTIF('INPUT - Roster'!$JL$6:$JL$206,"*P/L*")</f>
        <v/>
      </c>
      <c r="IW39" s="170">
        <f>COUNTIF('INPUT - Roster'!$JM$6:$JM$206,"*P/L*")</f>
        <v/>
      </c>
      <c r="IX39" s="170">
        <f>COUNTIF('INPUT - Roster'!$JN$6:$JN$206,"*P/L*")</f>
        <v/>
      </c>
      <c r="IY39" s="170">
        <f>COUNTIF('INPUT - Roster'!$JO$6:$JO$206,"*P/L*")</f>
        <v/>
      </c>
      <c r="IZ39" s="170">
        <f>COUNTIF('INPUT - Roster'!$JP$6:$JP$206,"*P/L*")</f>
        <v/>
      </c>
      <c r="JA39" s="170">
        <f>COUNTIF('INPUT - Roster'!$JQ$6:$JQ$206,"*P/L*")</f>
        <v/>
      </c>
      <c r="JB39" s="170">
        <f>COUNTIF('INPUT - Roster'!$JR$6:$JR$206,"*P/L*")</f>
        <v/>
      </c>
      <c r="JC39" s="170">
        <f>COUNTIF('INPUT - Roster'!$JS$6:$JS$206,"*P/L*")</f>
        <v/>
      </c>
      <c r="JD39" s="170">
        <f>COUNTIF('INPUT - Roster'!$JT$6:$JT$206,"*P/L*")</f>
        <v/>
      </c>
      <c r="JE39" s="170">
        <f>COUNTIF('INPUT - Roster'!$JU$6:$JU$206,"*P/L*")</f>
        <v/>
      </c>
      <c r="JF39" s="170">
        <f>COUNTIF('INPUT - Roster'!$JV$6:$JV$206,"*P/L*")</f>
        <v/>
      </c>
      <c r="JG39" s="170">
        <f>COUNTIF('INPUT - Roster'!$JW$6:$JW$206,"*P/L*")</f>
        <v/>
      </c>
      <c r="JH39" s="170">
        <f>COUNTIF('INPUT - Roster'!$JX$6:$JX$206,"*P/L*")</f>
        <v/>
      </c>
      <c r="JI39" s="170">
        <f>COUNTIF('INPUT - Roster'!$JY$6:$JY$206,"*P/L*")</f>
        <v/>
      </c>
      <c r="JJ39" s="170">
        <f>COUNTIF('INPUT - Roster'!$JZ$6:$JZ$206,"*P/L*")</f>
        <v/>
      </c>
      <c r="JK39" s="170">
        <f>COUNTIF('INPUT - Roster'!$KA$6:$KA$206,"*P/L*")</f>
        <v/>
      </c>
      <c r="JL39" s="170">
        <f>COUNTIF('INPUT - Roster'!$KB$6:$KB$206,"*P/L*")</f>
        <v/>
      </c>
      <c r="JM39" s="170">
        <f>COUNTIF('INPUT - Roster'!$KC$6:$KC$206,"*P/L*")</f>
        <v/>
      </c>
      <c r="JN39" s="170">
        <f>COUNTIF('INPUT - Roster'!$KD$6:$KD$206,"*P/L*")</f>
        <v/>
      </c>
      <c r="JO39" s="170">
        <f>COUNTIF('INPUT - Roster'!$KE$6:$KE$206,"*P/L*")</f>
        <v/>
      </c>
      <c r="JP39" s="170">
        <f>COUNTIF('INPUT - Roster'!$KF$6:$KF$206,"*P/L*")</f>
        <v/>
      </c>
      <c r="JQ39" s="170">
        <f>COUNTIF('INPUT - Roster'!$KG$6:$KG$206,"*P/L*")</f>
        <v/>
      </c>
      <c r="JR39" s="170">
        <f>COUNTIF('INPUT - Roster'!$KH$6:$KH$206,"*P/L*")</f>
        <v/>
      </c>
      <c r="JS39" s="170">
        <f>COUNTIF('INPUT - Roster'!$KI$6:$KI$206,"*P/L*")</f>
        <v/>
      </c>
      <c r="JT39" s="170">
        <f>COUNTIF('INPUT - Roster'!$KJ$6:$KJ$206,"*P/L*")</f>
        <v/>
      </c>
      <c r="JU39" s="170">
        <f>COUNTIF('INPUT - Roster'!$KK$6:$KK$206,"*P/L*")</f>
        <v/>
      </c>
      <c r="JV39" s="170">
        <f>COUNTIF('INPUT - Roster'!$KL$6:$KL$206,"*P/L*")</f>
        <v/>
      </c>
      <c r="JW39" s="170">
        <f>COUNTIF('INPUT - Roster'!$KM$6:$KM$206,"*P/L*")</f>
        <v/>
      </c>
      <c r="JX39" s="170">
        <f>COUNTIF('INPUT - Roster'!$KN$6:$KN$206,"*P/L*")</f>
        <v/>
      </c>
      <c r="JY39" s="170">
        <f>COUNTIF('INPUT - Roster'!$KO$6:$KO$206,"*P/L*")</f>
        <v/>
      </c>
      <c r="JZ39" s="170">
        <f>COUNTIF('INPUT - Roster'!$KP$6:$KP$206,"*P/L*")</f>
        <v/>
      </c>
      <c r="KA39" s="170">
        <f>COUNTIF('INPUT - Roster'!$KQ$6:$KQ$206,"*P/L*")</f>
        <v/>
      </c>
      <c r="KB39" s="170">
        <f>COUNTIF('INPUT - Roster'!$KR$6:$KR$206,"*P/L*")</f>
        <v/>
      </c>
      <c r="KC39" s="170">
        <f>COUNTIF('INPUT - Roster'!$KS$6:$KS$206,"*P/L*")</f>
        <v/>
      </c>
      <c r="KD39" s="170">
        <f>COUNTIF('INPUT - Roster'!$KT$6:$KT$206,"*P/L*")</f>
        <v/>
      </c>
      <c r="KE39" s="170">
        <f>COUNTIF('INPUT - Roster'!$KU$6:$KU$206,"*P/L*")</f>
        <v/>
      </c>
      <c r="KF39" s="170">
        <f>COUNTIF('INPUT - Roster'!$KV$6:$KV$206,"*P/L*")</f>
        <v/>
      </c>
      <c r="KG39" s="170">
        <f>COUNTIF('INPUT - Roster'!$KW$6:$KW$206,"*P/L*")</f>
        <v/>
      </c>
      <c r="KH39" s="170">
        <f>COUNTIF('INPUT - Roster'!$KX$6:$KX$206,"*P/L*")</f>
        <v/>
      </c>
      <c r="KI39" s="170">
        <f>COUNTIF('INPUT - Roster'!$KY$6:$KY$206,"*P/L*")</f>
        <v/>
      </c>
      <c r="KJ39" s="170">
        <f>COUNTIF('INPUT - Roster'!$KZ$6:$KZ$206,"*P/L*")</f>
        <v/>
      </c>
      <c r="KK39" s="170">
        <f>COUNTIF('INPUT - Roster'!$LA$6:$LA$206,"*P/L*")</f>
        <v/>
      </c>
      <c r="KL39" s="170">
        <f>COUNTIF('INPUT - Roster'!$LB$6:$LB$206,"*P/L*")</f>
        <v/>
      </c>
      <c r="KM39" s="170">
        <f>COUNTIF('INPUT - Roster'!$LC$6:$LC$206,"*P/L*")</f>
        <v/>
      </c>
      <c r="KN39" s="170">
        <f>COUNTIF('INPUT - Roster'!$LD$6:$LD$206,"*P/L*")</f>
        <v/>
      </c>
      <c r="KO39" s="170">
        <f>COUNTIF('INPUT - Roster'!$LE$6:$LE$206,"*P/L*")</f>
        <v/>
      </c>
      <c r="KP39" s="170">
        <f>COUNTIF('INPUT - Roster'!$LF$6:$LF$206,"*P/L*")</f>
        <v/>
      </c>
      <c r="KQ39" s="170">
        <f>COUNTIF('INPUT - Roster'!$LG$6:$LG$206,"*P/L*")</f>
        <v/>
      </c>
      <c r="KR39" s="170">
        <f>COUNTIF('INPUT - Roster'!$LH$6:$LH$206,"*P/L*")</f>
        <v/>
      </c>
      <c r="KS39" s="170">
        <f>COUNTIF('INPUT - Roster'!$LI$6:$LI$206,"*P/L*")</f>
        <v/>
      </c>
      <c r="KT39" s="170">
        <f>COUNTIF('INPUT - Roster'!$LJ$6:$LJ$206,"*P/L*")</f>
        <v/>
      </c>
      <c r="KU39" s="170">
        <f>COUNTIF('INPUT - Roster'!$LK$6:$LK$206,"*P/L*")</f>
        <v/>
      </c>
      <c r="KV39" s="170">
        <f>COUNTIF('INPUT - Roster'!$LL$6:$LL$206,"*P/L*")</f>
        <v/>
      </c>
      <c r="KW39" s="170">
        <f>COUNTIF('INPUT - Roster'!$LM$6:$LM$206,"*P/L*")</f>
        <v/>
      </c>
      <c r="KX39" s="170">
        <f>COUNTIF('INPUT - Roster'!$LN$6:$LN$206,"*P/L*")</f>
        <v/>
      </c>
      <c r="KY39" s="170">
        <f>COUNTIF('INPUT - Roster'!$LO$6:$LO$206,"*P/L*")</f>
        <v/>
      </c>
      <c r="KZ39" s="170">
        <f>COUNTIF('INPUT - Roster'!$LP$6:$LP$206,"*P/L*")</f>
        <v/>
      </c>
      <c r="LA39" s="170">
        <f>COUNTIF('INPUT - Roster'!$LQ$6:$LQ$206,"*P/L*")</f>
        <v/>
      </c>
      <c r="LB39" s="170">
        <f>COUNTIF('INPUT - Roster'!$LR$6:$LR$206,"*P/L*")</f>
        <v/>
      </c>
      <c r="LC39" s="170">
        <f>COUNTIF('INPUT - Roster'!$LS$6:$LS$206,"*P/L*")</f>
        <v/>
      </c>
      <c r="LD39" s="170">
        <f>COUNTIF('INPUT - Roster'!$LT$6:$LT$206,"*P/L*")</f>
        <v/>
      </c>
      <c r="LE39" s="170">
        <f>COUNTIF('INPUT - Roster'!$LU$6:$LU$206,"*P/L*")</f>
        <v/>
      </c>
      <c r="LF39" s="170">
        <f>COUNTIF('INPUT - Roster'!$LV$6:$LV$206,"*P/L*")</f>
        <v/>
      </c>
      <c r="LG39" s="170">
        <f>COUNTIF('INPUT - Roster'!$LW$6:$LW$206,"*P/L*")</f>
        <v/>
      </c>
      <c r="LH39" s="170">
        <f>COUNTIF('INPUT - Roster'!$LX$6:$LX$206,"*P/L*")</f>
        <v/>
      </c>
      <c r="LI39" s="170">
        <f>COUNTIF('INPUT - Roster'!$LY$6:$LY$206,"*P/L*")</f>
        <v/>
      </c>
      <c r="LJ39" s="170">
        <f>COUNTIF('INPUT - Roster'!$LZ$6:$LZ$206,"*P/L*")</f>
        <v/>
      </c>
      <c r="LK39" s="170">
        <f>COUNTIF('INPUT - Roster'!$MA$6:$MA$206,"*P/L*")</f>
        <v/>
      </c>
      <c r="LL39" s="170">
        <f>COUNTIF('INPUT - Roster'!$MB$6:$MB$206,"*P/L*")</f>
        <v/>
      </c>
      <c r="LM39" s="170">
        <f>COUNTIF('INPUT - Roster'!$MC$6:$MC$206,"*P/L*")</f>
        <v/>
      </c>
      <c r="LN39" s="170">
        <f>COUNTIF('INPUT - Roster'!$MD$6:$MD$206,"*P/L*")</f>
        <v/>
      </c>
      <c r="LO39" s="170">
        <f>COUNTIF('INPUT - Roster'!$ME$6:$ME$206,"*P/L*")</f>
        <v/>
      </c>
      <c r="LP39" s="170">
        <f>COUNTIF('INPUT - Roster'!$MF$6:$MF$206,"*P/L*")</f>
        <v/>
      </c>
      <c r="LQ39" s="170">
        <f>COUNTIF('INPUT - Roster'!$MG$6:$MG$206,"*P/L*")</f>
        <v/>
      </c>
      <c r="LR39" s="170">
        <f>COUNTIF('INPUT - Roster'!$MH$6:$MH$206,"*P/L*")</f>
        <v/>
      </c>
      <c r="LS39" s="170">
        <f>COUNTIF('INPUT - Roster'!$MI$6:$MI$206,"*P/L*")</f>
        <v/>
      </c>
      <c r="LT39" s="170">
        <f>COUNTIF('INPUT - Roster'!$MJ$6:$MJ$206,"*P/L*")</f>
        <v/>
      </c>
      <c r="LU39" s="170">
        <f>COUNTIF('INPUT - Roster'!$MK$6:$MK$206,"*P/L*")</f>
        <v/>
      </c>
      <c r="LV39" s="170">
        <f>COUNTIF('INPUT - Roster'!$ML$6:$ML$206,"*P/L*")</f>
        <v/>
      </c>
      <c r="LW39" s="170">
        <f>COUNTIF('INPUT - Roster'!$MM$6:$MM$206,"*P/L*")</f>
        <v/>
      </c>
      <c r="LX39" s="170">
        <f>COUNTIF('INPUT - Roster'!$MN$6:$MN$206,"*P/L*")</f>
        <v/>
      </c>
      <c r="LY39" s="170">
        <f>COUNTIF('INPUT - Roster'!$MO$6:$MO$206,"*P/L*")</f>
        <v/>
      </c>
      <c r="LZ39" s="170">
        <f>COUNTIF('INPUT - Roster'!$MP$6:$MP$206,"*P/L*")</f>
        <v/>
      </c>
      <c r="MA39" s="170">
        <f>COUNTIF('INPUT - Roster'!$MQ$6:$MQ$206,"*P/L*")</f>
        <v/>
      </c>
      <c r="MB39" s="170">
        <f>COUNTIF('INPUT - Roster'!$MR$6:$MR$206,"*P/L*")</f>
        <v/>
      </c>
      <c r="MC39" s="170">
        <f>COUNTIF('INPUT - Roster'!$MS$6:$MS$206,"*P/L*")</f>
        <v/>
      </c>
      <c r="MD39" s="170">
        <f>COUNTIF('INPUT - Roster'!$MT$6:$MT$206,"*P/L*")</f>
        <v/>
      </c>
      <c r="ME39" s="170">
        <f>COUNTIF('INPUT - Roster'!$MU$6:$MU$206,"*P/L*")</f>
        <v/>
      </c>
      <c r="MF39" s="170">
        <f>COUNTIF('INPUT - Roster'!$MV$6:$MV$206,"*P/L*")</f>
        <v/>
      </c>
      <c r="MG39" s="170">
        <f>COUNTIF('INPUT - Roster'!$MW$6:$MW$206,"*P/L*")</f>
        <v/>
      </c>
      <c r="MH39" s="170">
        <f>COUNTIF('INPUT - Roster'!$MX$6:$MX$206,"*P/L*")</f>
        <v/>
      </c>
      <c r="MI39" s="170">
        <f>COUNTIF('INPUT - Roster'!$MY$6:$MY$206,"*P/L*")</f>
        <v/>
      </c>
      <c r="MJ39" s="170">
        <f>COUNTIF('INPUT - Roster'!$MZ$6:$MZ$206,"*P/L*")</f>
        <v/>
      </c>
      <c r="MK39" s="170">
        <f>COUNTIF('INPUT - Roster'!$NA$6:$NA$206,"*P/L*")</f>
        <v/>
      </c>
      <c r="ML39" s="170">
        <f>COUNTIF('INPUT - Roster'!$NB$6:$NB$206,"*P/L*")</f>
        <v/>
      </c>
      <c r="MM39" s="170">
        <f>COUNTIF('INPUT - Roster'!$NC$6:$NC$206,"*P/L*")</f>
        <v/>
      </c>
      <c r="MN39" s="170">
        <f>COUNTIF('INPUT - Roster'!$ND$6:$ND$206,"*P/L*")</f>
        <v/>
      </c>
      <c r="MO39" s="170">
        <f>COUNTIF('INPUT - Roster'!$NE$6:$NE$206,"*P/L*")</f>
        <v/>
      </c>
      <c r="MP39" s="170">
        <f>COUNTIF('INPUT - Roster'!$NF$6:$NF$206,"*P/L*")</f>
        <v/>
      </c>
      <c r="MQ39" s="170">
        <f>COUNTIF('INPUT - Roster'!$NG$6:$NG$206,"*P/L*")</f>
        <v/>
      </c>
      <c r="MR39" s="170">
        <f>COUNTIF('INPUT - Roster'!$NH$6:$NH$206,"*P/L*")</f>
        <v/>
      </c>
      <c r="MS39" s="170">
        <f>COUNTIF('INPUT - Roster'!$NI$6:$NI$206,"*P/L*")</f>
        <v/>
      </c>
      <c r="MT39" s="170">
        <f>COUNTIF('INPUT - Roster'!$NJ$6:$NJ$206,"*P/L*")</f>
        <v/>
      </c>
      <c r="MU39" s="170">
        <f>COUNTIF('INPUT - Roster'!$NK$6:$NK$206,"*P/L*")</f>
        <v/>
      </c>
      <c r="MV39" s="170">
        <f>COUNTIF('INPUT - Roster'!$NL$6:$NL$206,"*P/L*")</f>
        <v/>
      </c>
      <c r="MW39" s="170">
        <f>COUNTIF('INPUT - Roster'!$NM$6:$NM$206,"*P/L*")</f>
        <v/>
      </c>
      <c r="MX39" s="170">
        <f>COUNTIF('INPUT - Roster'!$NN$6:$NN$206,"*P/L*")</f>
        <v/>
      </c>
      <c r="MY39" s="170">
        <f>COUNTIF('INPUT - Roster'!$NO$6:$NO$206,"*P/L*")</f>
        <v/>
      </c>
      <c r="MZ39" s="170">
        <f>COUNTIF('INPUT - Roster'!$NP$6:$NP$206,"*P/L*")</f>
        <v/>
      </c>
      <c r="NA39" s="170">
        <f>COUNTIF('INPUT - Roster'!$NQ$6:$NQ$206,"*P/L*")</f>
        <v/>
      </c>
      <c r="NB39" s="170">
        <f>COUNTIF('INPUT - Roster'!$NR$6:$NR$206,"*P/L*")</f>
        <v/>
      </c>
      <c r="NC39" s="170">
        <f>COUNTIF('INPUT - Roster'!$NS$6:$NS$206,"*P/L*")</f>
        <v/>
      </c>
      <c r="ND39" s="170">
        <f>COUNTIF('INPUT - Roster'!$NT$6:$NT$206,"*P/L*")</f>
        <v/>
      </c>
      <c r="NE39" s="170">
        <f>COUNTIF('INPUT - Roster'!$NU$6:$NU$206,"*P/L*")</f>
        <v/>
      </c>
      <c r="NF39" s="170">
        <f>COUNTIF('INPUT - Roster'!$NV$6:$NV$206,"*P/L*")</f>
        <v/>
      </c>
      <c r="NG39" s="170">
        <f>COUNTIF('INPUT - Roster'!$NW$6:$NW$206,"*P/L*")</f>
        <v/>
      </c>
      <c r="NH39" s="170">
        <f>COUNTIF('INPUT - Roster'!$NX$6:$NX$206,"*P/L*")</f>
        <v/>
      </c>
      <c r="NI39" s="170">
        <f>COUNTIF('INPUT - Roster'!$NY$6:$NY$206,"*P/L*")</f>
        <v/>
      </c>
      <c r="NJ39" s="170">
        <f>COUNTIF('INPUT - Roster'!$NZ$6:$NZ$206,"*P/L*")</f>
        <v/>
      </c>
      <c r="NK39" s="170">
        <f>COUNTIF('INPUT - Roster'!$OA$6:$OA$206,"*P/L*")</f>
        <v/>
      </c>
      <c r="NL39" s="170">
        <f>COUNTIF('INPUT - Roster'!$OB$6:$OB$206,"*P/L*")</f>
        <v/>
      </c>
      <c r="NM39" s="170">
        <f>COUNTIF('INPUT - Roster'!$OC$6:$OC$206,"*P/L*")</f>
        <v/>
      </c>
      <c r="NN39" s="170">
        <f>COUNTIF('INPUT - Roster'!$OD$6:$OD$206,"*P/L*")</f>
        <v/>
      </c>
      <c r="NO39" s="170">
        <f>COUNTIF('INPUT - Roster'!$OE$6:$OE$206,"*P/L*")</f>
        <v/>
      </c>
      <c r="NP39" s="170">
        <f>COUNTIF('INPUT - Roster'!$OF$6:$OF$206,"*P/L*")</f>
        <v/>
      </c>
      <c r="NQ39" s="170">
        <f>COUNTIF('INPUT - Roster'!$OG$6:$OG$206,"*P/L*")</f>
        <v/>
      </c>
      <c r="NR39" s="170">
        <f>COUNTIF('INPUT - Roster'!$OH$6:$OH$206,"*P/L*")</f>
        <v/>
      </c>
      <c r="NS39" s="170">
        <f>COUNTIF('INPUT - Roster'!$OI$6:$OI$206,"*P/L*")</f>
        <v/>
      </c>
      <c r="NT39" s="170">
        <f>COUNTIF('INPUT - Roster'!$OJ$6:$OJ$206,"*P/L*")</f>
        <v/>
      </c>
      <c r="NU39" s="170">
        <f>COUNTIF('INPUT - Roster'!$OK$6:$OK$206,"*P/L*")</f>
        <v/>
      </c>
      <c r="NV39" s="170">
        <f>COUNTIF('INPUT - Roster'!$OL$6:$OL$206,"*P/L*")</f>
        <v/>
      </c>
      <c r="NW39" s="170">
        <f>COUNTIF('INPUT - Roster'!$OM$6:$OM$206,"*P/L*")</f>
        <v/>
      </c>
      <c r="NX39" s="170">
        <f>COUNTIF('INPUT - Roster'!$ON$6:$ON$206,"*P/L*")</f>
        <v/>
      </c>
      <c r="NY39" s="170">
        <f>COUNTIF('INPUT - Roster'!$OO$6:$OO$206,"*P/L*")</f>
        <v/>
      </c>
      <c r="NZ39" s="170">
        <f>COUNTIF('INPUT - Roster'!$OP$6:$OP$206,"*P/L*")</f>
        <v/>
      </c>
      <c r="OA39" s="170">
        <f>COUNTIF('INPUT - Roster'!$OQ$6:$OQ$206,"*P/L*")</f>
        <v/>
      </c>
      <c r="OB39" s="170">
        <f>COUNTIF('INPUT - Roster'!$OR$6:$OR$206,"*P/L*")</f>
        <v/>
      </c>
      <c r="OC39" s="170">
        <f>COUNTIF('INPUT - Roster'!$OS$6:$OS$206,"*P/L*")</f>
        <v/>
      </c>
      <c r="OD39" s="170">
        <f>COUNTIF('INPUT - Roster'!$OT$6:$OT$206,"*P/L*")</f>
        <v/>
      </c>
      <c r="OE39" s="170">
        <f>COUNTIF('INPUT - Roster'!$OU$6:$OU$206,"*P/L*")</f>
        <v/>
      </c>
      <c r="OF39" s="170">
        <f>COUNTIF('INPUT - Roster'!$OV$6:$OV$206,"*P/L*")</f>
        <v/>
      </c>
      <c r="OG39" s="170">
        <f>COUNTIF('INPUT - Roster'!$OW$6:$OW$206,"*P/L*")</f>
        <v/>
      </c>
      <c r="OH39" s="170">
        <f>COUNTIF('INPUT - Roster'!$OX$6:$OX$206,"*P/L*")</f>
        <v/>
      </c>
      <c r="OI39" s="170">
        <f>COUNTIF('INPUT - Roster'!$OY$6:$OY$206,"*P/L*")</f>
        <v/>
      </c>
      <c r="OJ39" s="170">
        <f>COUNTIF('INPUT - Roster'!$OZ$6:$OZ$206,"*P/L*")</f>
        <v/>
      </c>
      <c r="OK39" s="170">
        <f>COUNTIF('INPUT - Roster'!$PA$6:$PA$206,"*P/L*")</f>
        <v/>
      </c>
      <c r="OL39" s="170">
        <f>COUNTIF('INPUT - Roster'!$PB$6:$PB$206,"*P/L*")</f>
        <v/>
      </c>
      <c r="OM39" s="170">
        <f>COUNTIF('INPUT - Roster'!$PC$6:$PC$206,"*P/L*")</f>
        <v/>
      </c>
      <c r="ON39" s="170">
        <f>COUNTIF('INPUT - Roster'!$PD$6:$PD$206,"*P/L*")</f>
        <v/>
      </c>
      <c r="OO39" s="170">
        <f>COUNTIF('INPUT - Roster'!$PE$6:$PE$206,"*P/L*")</f>
        <v/>
      </c>
      <c r="OP39" s="170">
        <f>COUNTIF('INPUT - Roster'!$PF$6:$PF$206,"*P/L*")</f>
        <v/>
      </c>
      <c r="OQ39" s="170">
        <f>COUNTIF('INPUT - Roster'!$PG$6:$PG$206,"*P/L*")</f>
        <v/>
      </c>
      <c r="OR39" s="170">
        <f>COUNTIF('INPUT - Roster'!$PH$6:$PH$206,"*P/L*")</f>
        <v/>
      </c>
      <c r="OS39" s="170">
        <f>COUNTIF('INPUT - Roster'!$PI$6:$PI$206,"*P/L*")</f>
        <v/>
      </c>
      <c r="OT39" s="170">
        <f>COUNTIF('INPUT - Roster'!$PJ$6:$PJ$206,"*P/L*")</f>
        <v/>
      </c>
      <c r="OU39" s="170">
        <f>COUNTIF('INPUT - Roster'!$PK$6:$PK$206,"*P/L*")</f>
        <v/>
      </c>
      <c r="OV39" s="170">
        <f>COUNTIF('INPUT - Roster'!$PL$6:$PL$206,"*P/L*")</f>
        <v/>
      </c>
      <c r="OW39" s="170">
        <f>COUNTIF('INPUT - Roster'!$PM$6:$PM$206,"*P/L*")</f>
        <v/>
      </c>
      <c r="OX39" s="170">
        <f>COUNTIF('INPUT - Roster'!$PN$6:$PN$206,"*P/L*")</f>
        <v/>
      </c>
      <c r="OY39" s="170">
        <f>COUNTIF('INPUT - Roster'!$PO$6:$PO$206,"*P/L*")</f>
        <v/>
      </c>
      <c r="OZ39" s="170">
        <f>COUNTIF('INPUT - Roster'!$PP$6:$PP$206,"*P/L*")</f>
        <v/>
      </c>
      <c r="PA39" s="170">
        <f>COUNTIF('INPUT - Roster'!$PQ$6:$PQ$206,"*P/L*")</f>
        <v/>
      </c>
      <c r="PB39" s="170">
        <f>COUNTIF('INPUT - Roster'!$PR$6:$PR$206,"*P/L*")</f>
        <v/>
      </c>
      <c r="PC39" s="170">
        <f>COUNTIF('INPUT - Roster'!$PS$6:$PS$206,"*P/L*")</f>
        <v/>
      </c>
      <c r="PD39" s="170">
        <f>COUNTIF('INPUT - Roster'!$PT$6:$PT$206,"*P/L*")</f>
        <v/>
      </c>
      <c r="PE39" s="170">
        <f>COUNTIF('INPUT - Roster'!$PU$6:$PU$206,"*P/L*")</f>
        <v/>
      </c>
      <c r="PF39" s="170">
        <f>COUNTIF('INPUT - Roster'!$PV$6:$PV$206,"*P/L*")</f>
        <v/>
      </c>
      <c r="PG39" s="170">
        <f>COUNTIF('INPUT - Roster'!$PW$6:$PW$206,"*P/L*")</f>
        <v/>
      </c>
      <c r="PH39" s="170">
        <f>COUNTIF('INPUT - Roster'!$PX$6:$PX$206,"*P/L*")</f>
        <v/>
      </c>
      <c r="PI39" s="170">
        <f>COUNTIF('INPUT - Roster'!$PY$6:$PY$206,"*P/L*")</f>
        <v/>
      </c>
      <c r="PJ39" s="170">
        <f>COUNTIF('INPUT - Roster'!$PZ$6:$PZ$206,"*P/L*")</f>
        <v/>
      </c>
      <c r="PK39" s="170">
        <f>COUNTIF('INPUT - Roster'!$QA$6:$QA$206,"*P/L*")</f>
        <v/>
      </c>
      <c r="PL39" s="170">
        <f>COUNTIF('INPUT - Roster'!$QB$6:$QB$206,"*P/L*")</f>
        <v/>
      </c>
      <c r="PM39" s="170">
        <f>COUNTIF('INPUT - Roster'!$QC$6:$QC$206,"*P/L*")</f>
        <v/>
      </c>
      <c r="PN39" s="170">
        <f>COUNTIF('INPUT - Roster'!$QD$6:$QD$206,"*P/L*")</f>
        <v/>
      </c>
      <c r="PO39" s="170">
        <f>COUNTIF('INPUT - Roster'!$QE$6:$QE$206,"*P/L*")</f>
        <v/>
      </c>
      <c r="PP39" s="170">
        <f>COUNTIF('INPUT - Roster'!$QF$6:$QF$206,"*P/L*")</f>
        <v/>
      </c>
      <c r="PQ39" s="170">
        <f>COUNTIF('INPUT - Roster'!$QG$6:$QG$206,"*P/L*")</f>
        <v/>
      </c>
      <c r="PR39" s="170">
        <f>COUNTIF('INPUT - Roster'!$QH$6:$QH$206,"*P/L*")</f>
        <v/>
      </c>
      <c r="PS39" s="170">
        <f>COUNTIF('INPUT - Roster'!$QI$6:$QI$206,"*P/L*")</f>
        <v/>
      </c>
      <c r="PT39" s="170">
        <f>COUNTIF('INPUT - Roster'!$QJ$6:$QJ$206,"*P/L*")</f>
        <v/>
      </c>
      <c r="PU39" s="170">
        <f>COUNTIF('INPUT - Roster'!$QK$6:$QK$206,"*P/L*")</f>
        <v/>
      </c>
      <c r="PV39" s="170">
        <f>COUNTIF('INPUT - Roster'!$QL$6:$QL$206,"*P/L*")</f>
        <v/>
      </c>
      <c r="PW39" s="170">
        <f>COUNTIF('INPUT - Roster'!$QM$6:$QM$206,"*P/L*")</f>
        <v/>
      </c>
      <c r="PX39" s="170">
        <f>COUNTIF('INPUT - Roster'!$QN$6:$QN$206,"*P/L*")</f>
        <v/>
      </c>
      <c r="PY39" s="170">
        <f>COUNTIF('INPUT - Roster'!$QO$6:$QO$206,"*P/L*")</f>
        <v/>
      </c>
      <c r="PZ39" s="170">
        <f>COUNTIF('INPUT - Roster'!$QP$6:$QP$206,"*P/L*")</f>
        <v/>
      </c>
      <c r="QA39" s="170">
        <f>COUNTIF('INPUT - Roster'!$QQ$6:$QQ$206,"*P/L*")</f>
        <v/>
      </c>
      <c r="QB39" s="170">
        <f>COUNTIF('INPUT - Roster'!$QR$6:$QR$206,"*P/L*")</f>
        <v/>
      </c>
      <c r="QC39" s="170">
        <f>COUNTIF('INPUT - Roster'!$QS$6:$QS$206,"*P/L*")</f>
        <v/>
      </c>
      <c r="QD39" s="170">
        <f>COUNTIF('INPUT - Roster'!$QT$6:$QT$206,"*P/L*")</f>
        <v/>
      </c>
      <c r="QE39" s="170">
        <f>COUNTIF('INPUT - Roster'!$QU$6:$QU$206,"*P/L*")</f>
        <v/>
      </c>
      <c r="QF39" s="170">
        <f>COUNTIF('INPUT - Roster'!$QV$6:$QV$206,"*P/L*")</f>
        <v/>
      </c>
      <c r="QG39" s="170">
        <f>COUNTIF('INPUT - Roster'!$QW$6:$QW$206,"*P/L*")</f>
        <v/>
      </c>
      <c r="QH39" s="170">
        <f>COUNTIF('INPUT - Roster'!$QX$6:$QX$206,"*P/L*")</f>
        <v/>
      </c>
      <c r="QI39" s="170">
        <f>COUNTIF('INPUT - Roster'!$QY$6:$QY$206,"*P/L*")</f>
        <v/>
      </c>
      <c r="QJ39" s="170">
        <f>COUNTIF('INPUT - Roster'!$QZ$6:$QZ$206,"*P/L*")</f>
        <v/>
      </c>
      <c r="QK39" s="170">
        <f>COUNTIF('INPUT - Roster'!$RA$6:$RA$206,"*P/L*")</f>
        <v/>
      </c>
      <c r="QL39" s="170">
        <f>COUNTIF('INPUT - Roster'!$RB$6:$RB$206,"*P/L*")</f>
        <v/>
      </c>
      <c r="QM39" s="170">
        <f>COUNTIF('INPUT - Roster'!$RC$6:$RC$206,"*P/L*")</f>
        <v/>
      </c>
      <c r="QN39" s="170">
        <f>COUNTIF('INPUT - Roster'!$RD$6:$RD$206,"*P/L*")</f>
        <v/>
      </c>
      <c r="QO39" s="170">
        <f>COUNTIF('INPUT - Roster'!$RE$6:$RE$206,"*P/L*")</f>
        <v/>
      </c>
      <c r="QP39" s="170">
        <f>COUNTIF('INPUT - Roster'!$RF$6:$RF$206,"*P/L*")</f>
        <v/>
      </c>
      <c r="QQ39" s="170">
        <f>COUNTIF('INPUT - Roster'!$RG$6:$RG$206,"*P/L*")</f>
        <v/>
      </c>
      <c r="QR39" s="170">
        <f>COUNTIF('INPUT - Roster'!$RH$6:$RH$206,"*P/L*")</f>
        <v/>
      </c>
      <c r="QS39" s="170">
        <f>COUNTIF('INPUT - Roster'!$RI$6:$RI$206,"*P/L*")</f>
        <v/>
      </c>
      <c r="QT39" s="170">
        <f>COUNTIF('INPUT - Roster'!$RJ$6:$RJ$206,"*P/L*")</f>
        <v/>
      </c>
      <c r="QU39" s="170">
        <f>COUNTIF('INPUT - Roster'!$RK$6:$RK$206,"*P/L*")</f>
        <v/>
      </c>
      <c r="QV39" s="170">
        <f>COUNTIF('INPUT - Roster'!$RL$6:$RL$206,"*P/L*")</f>
        <v/>
      </c>
      <c r="QW39" s="170">
        <f>COUNTIF('INPUT - Roster'!$RM$6:$RM$206,"*P/L*")</f>
        <v/>
      </c>
      <c r="QX39" s="170">
        <f>COUNTIF('INPUT - Roster'!$RN$6:$RN$206,"*P/L*")</f>
        <v/>
      </c>
      <c r="QY39" s="170">
        <f>COUNTIF('INPUT - Roster'!$RO$6:$RO$206,"*P/L*")</f>
        <v/>
      </c>
      <c r="QZ39" s="170">
        <f>COUNTIF('INPUT - Roster'!$RP$6:$RP$206,"*P/L*")</f>
        <v/>
      </c>
      <c r="RA39" s="170">
        <f>COUNTIF('INPUT - Roster'!$RQ$6:$RQ$206,"*P/L*")</f>
        <v/>
      </c>
      <c r="RB39" s="170">
        <f>COUNTIF('INPUT - Roster'!$RR$6:$RR$206,"*P/L*")</f>
        <v/>
      </c>
      <c r="RC39" s="170">
        <f>COUNTIF('INPUT - Roster'!$RS$6:$RS$206,"*P/L*")</f>
        <v/>
      </c>
      <c r="RD39" s="170">
        <f>COUNTIF('INPUT - Roster'!$RT$6:$RT$206,"*P/L*")</f>
        <v/>
      </c>
      <c r="RE39" s="170">
        <f>COUNTIF('INPUT - Roster'!$RU$6:$RU$206,"*P/L*")</f>
        <v/>
      </c>
      <c r="RF39" s="170">
        <f>COUNTIF('INPUT - Roster'!$RV$6:$RV$206,"*P/L*")</f>
        <v/>
      </c>
      <c r="RG39" s="170">
        <f>COUNTIF('INPUT - Roster'!$RW$6:$RW$206,"*P/L*")</f>
        <v/>
      </c>
      <c r="RH39" s="170">
        <f>COUNTIF('INPUT - Roster'!$RX$6:$RX$206,"*P/L*")</f>
        <v/>
      </c>
      <c r="RI39" s="170">
        <f>COUNTIF('INPUT - Roster'!$RY$6:$RY$206,"*P/L*")</f>
        <v/>
      </c>
      <c r="RJ39" s="170">
        <f>COUNTIF('INPUT - Roster'!$RZ$6:$RZ$206,"*P/L*")</f>
        <v/>
      </c>
      <c r="RK39" s="170">
        <f>COUNTIF('INPUT - Roster'!$SA$6:$SA$206,"*P/L*")</f>
        <v/>
      </c>
      <c r="RL39" s="170">
        <f>COUNTIF('INPUT - Roster'!$SB$6:$SB$206,"*P/L*")</f>
        <v/>
      </c>
      <c r="RM39" s="170">
        <f>COUNTIF('INPUT - Roster'!$SC$6:$SC$206,"*P/L*")</f>
        <v/>
      </c>
      <c r="RN39" s="170">
        <f>COUNTIF('INPUT - Roster'!$SD$6:$SD$206,"*P/L*")</f>
        <v/>
      </c>
      <c r="RO39" s="170">
        <f>COUNTIF('INPUT - Roster'!$SE$6:$SE$206,"*P/L*")</f>
        <v/>
      </c>
      <c r="RP39" s="170">
        <f>COUNTIF('INPUT - Roster'!$SF$6:$SF$206,"*P/L*")</f>
        <v/>
      </c>
      <c r="RQ39" s="170">
        <f>COUNTIF('INPUT - Roster'!$SG$6:$SG$206,"*P/L*")</f>
        <v/>
      </c>
      <c r="RR39" s="170">
        <f>COUNTIF('INPUT - Roster'!$SH$6:$SH$206,"*P/L*")</f>
        <v/>
      </c>
      <c r="RS39" s="170">
        <f>COUNTIF('INPUT - Roster'!$SI$6:$SI$206,"*P/L*")</f>
        <v/>
      </c>
      <c r="RT39" s="170">
        <f>COUNTIF('INPUT - Roster'!$SJ$6:$SJ$206,"*P/L*")</f>
        <v/>
      </c>
      <c r="RU39" s="170">
        <f>COUNTIF('INPUT - Roster'!$SK$6:$SK$206,"*P/L*")</f>
        <v/>
      </c>
      <c r="RV39" s="170">
        <f>COUNTIF('INPUT - Roster'!$SL$6:$SL$206,"*P/L*")</f>
        <v/>
      </c>
      <c r="RW39" s="170">
        <f>COUNTIF('INPUT - Roster'!$SM$6:$SM$206,"*P/L*")</f>
        <v/>
      </c>
      <c r="RX39" s="170">
        <f>COUNTIF('INPUT - Roster'!$SN$6:$SN$206,"*P/L*")</f>
        <v/>
      </c>
      <c r="RY39" s="170">
        <f>COUNTIF('INPUT - Roster'!$SO$6:$SO$206,"*P/L*")</f>
        <v/>
      </c>
      <c r="RZ39" s="170">
        <f>COUNTIF('INPUT - Roster'!$SP$6:$SP$206,"*P/L*")</f>
        <v/>
      </c>
      <c r="SA39" s="170">
        <f>COUNTIF('INPUT - Roster'!$SQ$6:$SQ$206,"*P/L*")</f>
        <v/>
      </c>
      <c r="SB39" s="170">
        <f>COUNTIF('INPUT - Roster'!$SR$6:$SR$206,"*P/L*")</f>
        <v/>
      </c>
      <c r="SC39" s="170">
        <f>COUNTIF('INPUT - Roster'!$SS$6:$SS$206,"*P/L*")</f>
        <v/>
      </c>
      <c r="SD39" s="170">
        <f>COUNTIF('INPUT - Roster'!$ST$6:$ST$206,"*P/L*")</f>
        <v/>
      </c>
      <c r="SE39" s="170">
        <f>COUNTIF('INPUT - Roster'!$SU$6:$SU$206,"*P/L*")</f>
        <v/>
      </c>
      <c r="SF39" s="170">
        <f>COUNTIF('INPUT - Roster'!$SV$6:$SV$206,"*P/L*")</f>
        <v/>
      </c>
    </row>
    <row r="40">
      <c r="B40" s="169" t="inlineStr">
        <is>
          <t>Rest on site (RDO)</t>
        </is>
      </c>
      <c r="C40" s="170">
        <f>COUNTIF('INPUT - Roster'!$S$6:$S$206,"*RDO*")</f>
        <v/>
      </c>
      <c r="D40" s="170">
        <f>COUNTIF('INPUT - Roster'!$T$6:$T$206,"*RDO*")</f>
        <v/>
      </c>
      <c r="E40" s="170">
        <f>COUNTIF('INPUT - Roster'!$U$6:$U$206,"*RDO*")</f>
        <v/>
      </c>
      <c r="F40" s="170">
        <f>COUNTIF('INPUT - Roster'!$V$6:$V$206,"*RDO*")</f>
        <v/>
      </c>
      <c r="G40" s="170">
        <f>COUNTIF('INPUT - Roster'!$W$6:$W$206,"*RDO*")</f>
        <v/>
      </c>
      <c r="H40" s="170">
        <f>COUNTIF('INPUT - Roster'!$X$6:$X$206,"*RDO*")</f>
        <v/>
      </c>
      <c r="I40" s="170">
        <f>COUNTIF('INPUT - Roster'!$Y$6:$Y$206,"*RDO*")</f>
        <v/>
      </c>
      <c r="J40" s="170">
        <f>COUNTIF('INPUT - Roster'!$Z$6:$Z$206,"*RDO*")</f>
        <v/>
      </c>
      <c r="K40" s="170">
        <f>COUNTIF('INPUT - Roster'!$AA$6:$AA$206,"*RDO*")</f>
        <v/>
      </c>
      <c r="L40" s="170">
        <f>COUNTIF('INPUT - Roster'!$AB$6:$AB$206,"*RDO*")</f>
        <v/>
      </c>
      <c r="M40" s="170">
        <f>COUNTIF('INPUT - Roster'!$AC$6:$AC$206,"*RDO*")</f>
        <v/>
      </c>
      <c r="N40" s="170">
        <f>COUNTIF('INPUT - Roster'!$AD$6:$AD$206,"*RDO*")</f>
        <v/>
      </c>
      <c r="O40" s="170">
        <f>COUNTIF('INPUT - Roster'!$AE$6:$AE$206,"*RDO*")</f>
        <v/>
      </c>
      <c r="P40" s="170">
        <f>COUNTIF('INPUT - Roster'!$AF$6:$AF$206,"*RDO*")</f>
        <v/>
      </c>
      <c r="Q40" s="170">
        <f>COUNTIF('INPUT - Roster'!$AG$6:$AG$206,"*RDO*")</f>
        <v/>
      </c>
      <c r="R40" s="170">
        <f>COUNTIF('INPUT - Roster'!$AH$6:$AH$206,"*RDO*")</f>
        <v/>
      </c>
      <c r="S40" s="170">
        <f>COUNTIF('INPUT - Roster'!$AI$6:$AI$206,"*RDO*")</f>
        <v/>
      </c>
      <c r="T40" s="170">
        <f>COUNTIF('INPUT - Roster'!$AJ$6:$AJ$206,"*RDO*")</f>
        <v/>
      </c>
      <c r="U40" s="170">
        <f>COUNTIF('INPUT - Roster'!$AK$6:$AK$206,"*RDO*")</f>
        <v/>
      </c>
      <c r="V40" s="170">
        <f>COUNTIF('INPUT - Roster'!$AL$6:$AL$206,"*RDO*")</f>
        <v/>
      </c>
      <c r="W40" s="170">
        <f>COUNTIF('INPUT - Roster'!$AM$6:$AM$206,"*RDO*")</f>
        <v/>
      </c>
      <c r="X40" s="170">
        <f>COUNTIF('INPUT - Roster'!$AN$6:$AN$206,"*RDO*")</f>
        <v/>
      </c>
      <c r="Y40" s="170">
        <f>COUNTIF('INPUT - Roster'!$AO$6:$AO$206,"*RDO*")</f>
        <v/>
      </c>
      <c r="Z40" s="170">
        <f>COUNTIF('INPUT - Roster'!$AP$6:$AP$206,"*RDO*")</f>
        <v/>
      </c>
      <c r="AA40" s="170">
        <f>COUNTIF('INPUT - Roster'!$AQ$6:$AQ$206,"*RDO*")</f>
        <v/>
      </c>
      <c r="AB40" s="170">
        <f>COUNTIF('INPUT - Roster'!$AR$6:$AR$206,"*RDO*")</f>
        <v/>
      </c>
      <c r="AC40" s="170">
        <f>COUNTIF('INPUT - Roster'!$AS$6:$AS$206,"*RDO*")</f>
        <v/>
      </c>
      <c r="AD40" s="170">
        <f>COUNTIF('INPUT - Roster'!$AT$6:$AT$206,"*RDO*")</f>
        <v/>
      </c>
      <c r="AE40" s="170">
        <f>COUNTIF('INPUT - Roster'!$AU$6:$AU$206,"*RDO*")</f>
        <v/>
      </c>
      <c r="AF40" s="170">
        <f>COUNTIF('INPUT - Roster'!$AV$6:$AV$206,"*RDO*")</f>
        <v/>
      </c>
      <c r="AG40" s="170">
        <f>COUNTIF('INPUT - Roster'!$AW$6:$AW$206,"*RDO*")</f>
        <v/>
      </c>
      <c r="AH40" s="170">
        <f>COUNTIF('INPUT - Roster'!$AX$6:$AX$206,"*RDO*")</f>
        <v/>
      </c>
      <c r="AI40" s="170">
        <f>COUNTIF('INPUT - Roster'!$AY$6:$AY$206,"*RDO*")</f>
        <v/>
      </c>
      <c r="AJ40" s="170">
        <f>COUNTIF('INPUT - Roster'!$AZ$6:$AZ$206,"*RDO*")</f>
        <v/>
      </c>
      <c r="AK40" s="170">
        <f>COUNTIF('INPUT - Roster'!$BA$6:$BA$206,"*RDO*")</f>
        <v/>
      </c>
      <c r="AL40" s="170">
        <f>COUNTIF('INPUT - Roster'!$BB$6:$BB$206,"*RDO*")</f>
        <v/>
      </c>
      <c r="AM40" s="170">
        <f>COUNTIF('INPUT - Roster'!$BC$6:$BC$206,"*RDO*")</f>
        <v/>
      </c>
      <c r="AN40" s="170">
        <f>COUNTIF('INPUT - Roster'!$BD$6:$BD$206,"*RDO*")</f>
        <v/>
      </c>
      <c r="AO40" s="170">
        <f>COUNTIF('INPUT - Roster'!$BE$6:$BE$206,"*RDO*")</f>
        <v/>
      </c>
      <c r="AP40" s="170">
        <f>COUNTIF('INPUT - Roster'!$BF$6:$BF$206,"*RDO*")</f>
        <v/>
      </c>
      <c r="AQ40" s="170">
        <f>COUNTIF('INPUT - Roster'!$BG$6:$BG$206,"*RDO*")</f>
        <v/>
      </c>
      <c r="AR40" s="170">
        <f>COUNTIF('INPUT - Roster'!$BH$6:$BH$206,"*RDO*")</f>
        <v/>
      </c>
      <c r="AS40" s="170">
        <f>COUNTIF('INPUT - Roster'!$BI$6:$BI$206,"*RDO*")</f>
        <v/>
      </c>
      <c r="AT40" s="170">
        <f>COUNTIF('INPUT - Roster'!$BJ$6:$BJ$206,"*RDO*")</f>
        <v/>
      </c>
      <c r="AU40" s="170">
        <f>COUNTIF('INPUT - Roster'!$BK$6:$BK$206,"*RDO*")</f>
        <v/>
      </c>
      <c r="AV40" s="170">
        <f>COUNTIF('INPUT - Roster'!$BL$6:$BL$206,"*RDO*")</f>
        <v/>
      </c>
      <c r="AW40" s="170">
        <f>COUNTIF('INPUT - Roster'!$BM$6:$BM$206,"*RDO*")</f>
        <v/>
      </c>
      <c r="AX40" s="170">
        <f>COUNTIF('INPUT - Roster'!$BN$6:$BN$206,"*RDO*")</f>
        <v/>
      </c>
      <c r="AY40" s="170">
        <f>COUNTIF('INPUT - Roster'!$BO$6:$BO$206,"*RDO*")</f>
        <v/>
      </c>
      <c r="AZ40" s="170">
        <f>COUNTIF('INPUT - Roster'!$BP$6:$BP$206,"*RDO*")</f>
        <v/>
      </c>
      <c r="BA40" s="170">
        <f>COUNTIF('INPUT - Roster'!$BQ$6:$BQ$206,"*RDO*")</f>
        <v/>
      </c>
      <c r="BB40" s="170">
        <f>COUNTIF('INPUT - Roster'!$BR$6:$BR$206,"*RDO*")</f>
        <v/>
      </c>
      <c r="BC40" s="170">
        <f>COUNTIF('INPUT - Roster'!$BS$6:$BS$206,"*RDO*")</f>
        <v/>
      </c>
      <c r="BD40" s="170">
        <f>COUNTIF('INPUT - Roster'!$BT$6:$BT$206,"*RDO*")</f>
        <v/>
      </c>
      <c r="BE40" s="170">
        <f>COUNTIF('INPUT - Roster'!$BU$6:$BU$206,"*RDO*")</f>
        <v/>
      </c>
      <c r="BF40" s="170">
        <f>COUNTIF('INPUT - Roster'!$BV$6:$BV$206,"*RDO*")</f>
        <v/>
      </c>
      <c r="BG40" s="170">
        <f>COUNTIF('INPUT - Roster'!$BW$6:$BW$206,"*RDO*")</f>
        <v/>
      </c>
      <c r="BH40" s="170">
        <f>COUNTIF('INPUT - Roster'!$BX$6:$BX$206,"*RDO*")</f>
        <v/>
      </c>
      <c r="BI40" s="170">
        <f>COUNTIF('INPUT - Roster'!$BY$6:$BY$206,"*RDO*")</f>
        <v/>
      </c>
      <c r="BJ40" s="170">
        <f>COUNTIF('INPUT - Roster'!$BZ$6:$BZ$206,"*RDO*")</f>
        <v/>
      </c>
      <c r="BK40" s="170">
        <f>COUNTIF('INPUT - Roster'!$CA$6:$CA$206,"*RDO*")</f>
        <v/>
      </c>
      <c r="BL40" s="170">
        <f>COUNTIF('INPUT - Roster'!$CB$6:$CB$206,"*RDO*")</f>
        <v/>
      </c>
      <c r="BM40" s="170">
        <f>COUNTIF('INPUT - Roster'!$CC$6:$CC$206,"*RDO*")</f>
        <v/>
      </c>
      <c r="BN40" s="170">
        <f>COUNTIF('INPUT - Roster'!$CD$6:$CD$206,"*RDO*")</f>
        <v/>
      </c>
      <c r="BO40" s="170">
        <f>COUNTIF('INPUT - Roster'!$CE$6:$CE$206,"*RDO*")</f>
        <v/>
      </c>
      <c r="BP40" s="170">
        <f>COUNTIF('INPUT - Roster'!$CF$6:$CF$206,"*RDO*")</f>
        <v/>
      </c>
      <c r="BQ40" s="170">
        <f>COUNTIF('INPUT - Roster'!$CG$6:$CG$206,"*RDO*")</f>
        <v/>
      </c>
      <c r="BR40" s="170">
        <f>COUNTIF('INPUT - Roster'!$CH$6:$CH$206,"*RDO*")</f>
        <v/>
      </c>
      <c r="BS40" s="170">
        <f>COUNTIF('INPUT - Roster'!$CI$6:$CI$206,"*RDO*")</f>
        <v/>
      </c>
      <c r="BT40" s="170">
        <f>COUNTIF('INPUT - Roster'!$CJ$6:$CJ$206,"*RDO*")</f>
        <v/>
      </c>
      <c r="BU40" s="170">
        <f>COUNTIF('INPUT - Roster'!$CK$6:$CK$206,"*RDO*")</f>
        <v/>
      </c>
      <c r="BV40" s="170">
        <f>COUNTIF('INPUT - Roster'!$CL$6:$CL$206,"*RDO*")</f>
        <v/>
      </c>
      <c r="BW40" s="170">
        <f>COUNTIF('INPUT - Roster'!$CM$6:$CM$206,"*RDO*")</f>
        <v/>
      </c>
      <c r="BX40" s="170">
        <f>COUNTIF('INPUT - Roster'!$CN$6:$CN$206,"*RDO*")</f>
        <v/>
      </c>
      <c r="BY40" s="170">
        <f>COUNTIF('INPUT - Roster'!$CO$6:$CO$206,"*RDO*")</f>
        <v/>
      </c>
      <c r="BZ40" s="170">
        <f>COUNTIF('INPUT - Roster'!$CP$6:$CP$206,"*RDO*")</f>
        <v/>
      </c>
      <c r="CA40" s="170">
        <f>COUNTIF('INPUT - Roster'!$CQ$6:$CQ$206,"*RDO*")</f>
        <v/>
      </c>
      <c r="CB40" s="170">
        <f>COUNTIF('INPUT - Roster'!$CR$6:$CR$206,"*RDO*")</f>
        <v/>
      </c>
      <c r="CC40" s="170">
        <f>COUNTIF('INPUT - Roster'!$CS$6:$CS$206,"*RDO*")</f>
        <v/>
      </c>
      <c r="CD40" s="170">
        <f>COUNTIF('INPUT - Roster'!$CT$6:$CT$206,"*RDO*")</f>
        <v/>
      </c>
      <c r="CE40" s="170">
        <f>COUNTIF('INPUT - Roster'!$CU$6:$CU$206,"*RDO*")</f>
        <v/>
      </c>
      <c r="CF40" s="170">
        <f>COUNTIF('INPUT - Roster'!$CV$6:$CV$206,"*RDO*")</f>
        <v/>
      </c>
      <c r="CG40" s="170">
        <f>COUNTIF('INPUT - Roster'!$CW$6:$CW$206,"*RDO*")</f>
        <v/>
      </c>
      <c r="CH40" s="170">
        <f>COUNTIF('INPUT - Roster'!$CX$6:$CX$206,"*RDO*")</f>
        <v/>
      </c>
      <c r="CI40" s="170">
        <f>COUNTIF('INPUT - Roster'!$CY$6:$CY$206,"*RDO*")</f>
        <v/>
      </c>
      <c r="CJ40" s="170">
        <f>COUNTIF('INPUT - Roster'!$CZ$6:$CZ$206,"*RDO*")</f>
        <v/>
      </c>
      <c r="CK40" s="170">
        <f>COUNTIF('INPUT - Roster'!$DA$6:$DA$206,"*RDO*")</f>
        <v/>
      </c>
      <c r="CL40" s="170">
        <f>COUNTIF('INPUT - Roster'!$DB$6:$DB$206,"*RDO*")</f>
        <v/>
      </c>
      <c r="CM40" s="170">
        <f>COUNTIF('INPUT - Roster'!$DC$6:$DC$206,"*RDO*")</f>
        <v/>
      </c>
      <c r="CN40" s="170">
        <f>COUNTIF('INPUT - Roster'!$DD$6:$DD$206,"*RDO*")</f>
        <v/>
      </c>
      <c r="CO40" s="170">
        <f>COUNTIF('INPUT - Roster'!$DE$6:$DE$206,"*RDO*")</f>
        <v/>
      </c>
      <c r="CP40" s="170">
        <f>COUNTIF('INPUT - Roster'!$DF$6:$DF$206,"*RDO*")</f>
        <v/>
      </c>
      <c r="CQ40" s="170">
        <f>COUNTIF('INPUT - Roster'!$DG$6:$DG$206,"*RDO*")</f>
        <v/>
      </c>
      <c r="CR40" s="170">
        <f>COUNTIF('INPUT - Roster'!$DH$6:$DH$206,"*RDO*")</f>
        <v/>
      </c>
      <c r="CS40" s="170">
        <f>COUNTIF('INPUT - Roster'!$DI$6:$DI$206,"*RDO*")</f>
        <v/>
      </c>
      <c r="CT40" s="170">
        <f>COUNTIF('INPUT - Roster'!$DJ$6:$DJ$206,"*RDO*")</f>
        <v/>
      </c>
      <c r="CU40" s="170">
        <f>COUNTIF('INPUT - Roster'!$DK$6:$DK$206,"*RDO*")</f>
        <v/>
      </c>
      <c r="CV40" s="170">
        <f>COUNTIF('INPUT - Roster'!$DL$6:$DL$206,"*RDO*")</f>
        <v/>
      </c>
      <c r="CW40" s="170">
        <f>COUNTIF('INPUT - Roster'!$DM$6:$DM$206,"*RDO*")</f>
        <v/>
      </c>
      <c r="CX40" s="170">
        <f>COUNTIF('INPUT - Roster'!$DN$6:$DN$206,"*RDO*")</f>
        <v/>
      </c>
      <c r="CY40" s="170">
        <f>COUNTIF('INPUT - Roster'!$DO$6:$DO$206,"*RDO*")</f>
        <v/>
      </c>
      <c r="CZ40" s="170">
        <f>COUNTIF('INPUT - Roster'!$DP$6:$DP$206,"*RDO*")</f>
        <v/>
      </c>
      <c r="DA40" s="170">
        <f>COUNTIF('INPUT - Roster'!$DQ$6:$DQ$206,"*RDO*")</f>
        <v/>
      </c>
      <c r="DB40" s="170">
        <f>COUNTIF('INPUT - Roster'!$DR$6:$DR$206,"*RDO*")</f>
        <v/>
      </c>
      <c r="DC40" s="170">
        <f>COUNTIF('INPUT - Roster'!$DS$6:$DS$206,"*RDO*")</f>
        <v/>
      </c>
      <c r="DD40" s="170">
        <f>COUNTIF('INPUT - Roster'!$DT$6:$DT$206,"*RDO*")</f>
        <v/>
      </c>
      <c r="DE40" s="170">
        <f>COUNTIF('INPUT - Roster'!$DU$6:$DU$206,"*RDO*")</f>
        <v/>
      </c>
      <c r="DF40" s="170">
        <f>COUNTIF('INPUT - Roster'!$DV$6:$DV$206,"*RDO*")</f>
        <v/>
      </c>
      <c r="DG40" s="170">
        <f>COUNTIF('INPUT - Roster'!$DW$6:$DW$206,"*RDO*")</f>
        <v/>
      </c>
      <c r="DH40" s="170">
        <f>COUNTIF('INPUT - Roster'!$DX$6:$DX$206,"*RDO*")</f>
        <v/>
      </c>
      <c r="DI40" s="170">
        <f>COUNTIF('INPUT - Roster'!$DY$6:$DY$206,"*RDO*")</f>
        <v/>
      </c>
      <c r="DJ40" s="170">
        <f>COUNTIF('INPUT - Roster'!$DZ$6:$DZ$206,"*RDO*")</f>
        <v/>
      </c>
      <c r="DK40" s="170">
        <f>COUNTIF('INPUT - Roster'!$EA$6:$EA$206,"*RDO*")</f>
        <v/>
      </c>
      <c r="DL40" s="170">
        <f>COUNTIF('INPUT - Roster'!$EB$6:$EB$206,"*RDO*")</f>
        <v/>
      </c>
      <c r="DM40" s="170">
        <f>COUNTIF('INPUT - Roster'!$EC$6:$EC$206,"*RDO*")</f>
        <v/>
      </c>
      <c r="DN40" s="170">
        <f>COUNTIF('INPUT - Roster'!$ED$6:$ED$206,"*RDO*")</f>
        <v/>
      </c>
      <c r="DO40" s="170">
        <f>COUNTIF('INPUT - Roster'!$EE$6:$EE$206,"*RDO*")</f>
        <v/>
      </c>
      <c r="DP40" s="170">
        <f>COUNTIF('INPUT - Roster'!$EF$6:$EF$206,"*RDO*")</f>
        <v/>
      </c>
      <c r="DQ40" s="170">
        <f>COUNTIF('INPUT - Roster'!$EG$6:$EG$206,"*RDO*")</f>
        <v/>
      </c>
      <c r="DR40" s="170">
        <f>COUNTIF('INPUT - Roster'!$EH$6:$EH$206,"*RDO*")</f>
        <v/>
      </c>
      <c r="DS40" s="170">
        <f>COUNTIF('INPUT - Roster'!$EI$6:$EI$206,"*RDO*")</f>
        <v/>
      </c>
      <c r="DT40" s="170">
        <f>COUNTIF('INPUT - Roster'!$EJ$6:$EJ$206,"*RDO*")</f>
        <v/>
      </c>
      <c r="DU40" s="170">
        <f>COUNTIF('INPUT - Roster'!$EK$6:$EK$206,"*RDO*")</f>
        <v/>
      </c>
      <c r="DV40" s="170">
        <f>COUNTIF('INPUT - Roster'!$EL$6:$EL$206,"*RDO*")</f>
        <v/>
      </c>
      <c r="DW40" s="170">
        <f>COUNTIF('INPUT - Roster'!$EM$6:$EM$206,"*RDO*")</f>
        <v/>
      </c>
      <c r="DX40" s="170">
        <f>COUNTIF('INPUT - Roster'!$EN$6:$EN$206,"*RDO*")</f>
        <v/>
      </c>
      <c r="DY40" s="170">
        <f>COUNTIF('INPUT - Roster'!$EO$6:$EO$206,"*RDO*")</f>
        <v/>
      </c>
      <c r="DZ40" s="170">
        <f>COUNTIF('INPUT - Roster'!$EP$6:$EP$206,"*RDO*")</f>
        <v/>
      </c>
      <c r="EA40" s="170">
        <f>COUNTIF('INPUT - Roster'!$EQ$6:$EQ$206,"*RDO*")</f>
        <v/>
      </c>
      <c r="EB40" s="170">
        <f>COUNTIF('INPUT - Roster'!$ER$6:$ER$206,"*RDO*")</f>
        <v/>
      </c>
      <c r="EC40" s="170">
        <f>COUNTIF('INPUT - Roster'!$ES$6:$ES$206,"*RDO*")</f>
        <v/>
      </c>
      <c r="ED40" s="170">
        <f>COUNTIF('INPUT - Roster'!$ET$6:$ET$206,"*RDO*")</f>
        <v/>
      </c>
      <c r="EE40" s="170">
        <f>COUNTIF('INPUT - Roster'!$EU$6:$EU$206,"*RDO*")</f>
        <v/>
      </c>
      <c r="EF40" s="170">
        <f>COUNTIF('INPUT - Roster'!$EV$6:$EV$206,"*RDO*")</f>
        <v/>
      </c>
      <c r="EG40" s="170">
        <f>COUNTIF('INPUT - Roster'!$EW$6:$EW$206,"*RDO*")</f>
        <v/>
      </c>
      <c r="EH40" s="170">
        <f>COUNTIF('INPUT - Roster'!$EX$6:$EX$206,"*RDO*")</f>
        <v/>
      </c>
      <c r="EI40" s="170">
        <f>COUNTIF('INPUT - Roster'!$EY$6:$EY$206,"*RDO*")</f>
        <v/>
      </c>
      <c r="EJ40" s="170">
        <f>COUNTIF('INPUT - Roster'!$EZ$6:$EZ$206,"*RDO*")</f>
        <v/>
      </c>
      <c r="EK40" s="170">
        <f>COUNTIF('INPUT - Roster'!$FA$6:$FA$206,"*RDO*")</f>
        <v/>
      </c>
      <c r="EL40" s="170">
        <f>COUNTIF('INPUT - Roster'!$FB$6:$FB$206,"*RDO*")</f>
        <v/>
      </c>
      <c r="EM40" s="170">
        <f>COUNTIF('INPUT - Roster'!$FC$6:$FC$206,"*RDO*")</f>
        <v/>
      </c>
      <c r="EN40" s="170">
        <f>COUNTIF('INPUT - Roster'!$FD$6:$FD$206,"*RDO*")</f>
        <v/>
      </c>
      <c r="EO40" s="170">
        <f>COUNTIF('INPUT - Roster'!$FE$6:$FE$206,"*RDO*")</f>
        <v/>
      </c>
      <c r="EP40" s="170">
        <f>COUNTIF('INPUT - Roster'!$FF$6:$FF$206,"*RDO*")</f>
        <v/>
      </c>
      <c r="EQ40" s="170">
        <f>COUNTIF('INPUT - Roster'!$FG$6:$FG$206,"*RDO*")</f>
        <v/>
      </c>
      <c r="ER40" s="170">
        <f>COUNTIF('INPUT - Roster'!$FH$6:$FH$206,"*RDO*")</f>
        <v/>
      </c>
      <c r="ES40" s="170">
        <f>COUNTIF('INPUT - Roster'!$FI$6:$FI$206,"*RDO*")</f>
        <v/>
      </c>
      <c r="ET40" s="170">
        <f>COUNTIF('INPUT - Roster'!$FJ$6:$FJ$206,"*RDO*")</f>
        <v/>
      </c>
      <c r="EU40" s="170">
        <f>COUNTIF('INPUT - Roster'!$FK$6:$FK$206,"*RDO*")</f>
        <v/>
      </c>
      <c r="EV40" s="170">
        <f>COUNTIF('INPUT - Roster'!$FL$6:$FL$206,"*RDO*")</f>
        <v/>
      </c>
      <c r="EW40" s="170">
        <f>COUNTIF('INPUT - Roster'!$FM$6:$FM$206,"*RDO*")</f>
        <v/>
      </c>
      <c r="EX40" s="170">
        <f>COUNTIF('INPUT - Roster'!$FN$6:$FN$206,"*RDO*")</f>
        <v/>
      </c>
      <c r="EY40" s="170">
        <f>COUNTIF('INPUT - Roster'!$FO$6:$FO$206,"*RDO*")</f>
        <v/>
      </c>
      <c r="EZ40" s="170">
        <f>COUNTIF('INPUT - Roster'!$FP$6:$FP$206,"*RDO*")</f>
        <v/>
      </c>
      <c r="FA40" s="170">
        <f>COUNTIF('INPUT - Roster'!$FQ$6:$FQ$206,"*RDO*")</f>
        <v/>
      </c>
      <c r="FB40" s="170">
        <f>COUNTIF('INPUT - Roster'!$FR$6:$FR$206,"*RDO*")</f>
        <v/>
      </c>
      <c r="FC40" s="170">
        <f>COUNTIF('INPUT - Roster'!$FS$6:$FS$206,"*RDO*")</f>
        <v/>
      </c>
      <c r="FD40" s="170">
        <f>COUNTIF('INPUT - Roster'!$FT$6:$FT$206,"*RDO*")</f>
        <v/>
      </c>
      <c r="FE40" s="170">
        <f>COUNTIF('INPUT - Roster'!$FU$6:$FU$206,"*RDO*")</f>
        <v/>
      </c>
      <c r="FF40" s="170">
        <f>COUNTIF('INPUT - Roster'!$FV$6:$FV$206,"*RDO*")</f>
        <v/>
      </c>
      <c r="FG40" s="170">
        <f>COUNTIF('INPUT - Roster'!$FW$6:$FW$206,"*RDO*")</f>
        <v/>
      </c>
      <c r="FH40" s="170">
        <f>COUNTIF('INPUT - Roster'!$FX$6:$FX$206,"*RDO*")</f>
        <v/>
      </c>
      <c r="FI40" s="170">
        <f>COUNTIF('INPUT - Roster'!$FY$6:$FY$206,"*RDO*")</f>
        <v/>
      </c>
      <c r="FJ40" s="170">
        <f>COUNTIF('INPUT - Roster'!$FZ$6:$FZ$206,"*RDO*")</f>
        <v/>
      </c>
      <c r="FK40" s="170">
        <f>COUNTIF('INPUT - Roster'!$GA$6:$GA$206,"*RDO*")</f>
        <v/>
      </c>
      <c r="FL40" s="170">
        <f>COUNTIF('INPUT - Roster'!$GB$6:$GB$206,"*RDO*")</f>
        <v/>
      </c>
      <c r="FM40" s="170">
        <f>COUNTIF('INPUT - Roster'!$GC$6:$GC$206,"*RDO*")</f>
        <v/>
      </c>
      <c r="FN40" s="170">
        <f>COUNTIF('INPUT - Roster'!$GD$6:$GD$206,"*RDO*")</f>
        <v/>
      </c>
      <c r="FO40" s="170">
        <f>COUNTIF('INPUT - Roster'!$GE$6:$GE$206,"*RDO*")</f>
        <v/>
      </c>
      <c r="FP40" s="170">
        <f>COUNTIF('INPUT - Roster'!$GF$6:$GF$206,"*RDO*")</f>
        <v/>
      </c>
      <c r="FQ40" s="170">
        <f>COUNTIF('INPUT - Roster'!$GG$6:$GG$206,"*RDO*")</f>
        <v/>
      </c>
      <c r="FR40" s="170">
        <f>COUNTIF('INPUT - Roster'!$GH$6:$GH$206,"*RDO*")</f>
        <v/>
      </c>
      <c r="FS40" s="170">
        <f>COUNTIF('INPUT - Roster'!$GI$6:$GI$206,"*RDO*")</f>
        <v/>
      </c>
      <c r="FT40" s="170">
        <f>COUNTIF('INPUT - Roster'!$GJ$6:$GJ$206,"*RDO*")</f>
        <v/>
      </c>
      <c r="FU40" s="170">
        <f>COUNTIF('INPUT - Roster'!$GK$6:$GK$206,"*RDO*")</f>
        <v/>
      </c>
      <c r="FV40" s="170">
        <f>COUNTIF('INPUT - Roster'!$GL$6:$GL$206,"*RDO*")</f>
        <v/>
      </c>
      <c r="FW40" s="170">
        <f>COUNTIF('INPUT - Roster'!$GM$6:$GM$206,"*RDO*")</f>
        <v/>
      </c>
      <c r="FX40" s="170">
        <f>COUNTIF('INPUT - Roster'!$GN$6:$GN$206,"*RDO*")</f>
        <v/>
      </c>
      <c r="FY40" s="170">
        <f>COUNTIF('INPUT - Roster'!$GO$6:$GO$206,"*RDO*")</f>
        <v/>
      </c>
      <c r="FZ40" s="170">
        <f>COUNTIF('INPUT - Roster'!$GP$6:$GP$206,"*RDO*")</f>
        <v/>
      </c>
      <c r="GA40" s="170">
        <f>COUNTIF('INPUT - Roster'!$GQ$6:$GQ$206,"*RDO*")</f>
        <v/>
      </c>
      <c r="GB40" s="170">
        <f>COUNTIF('INPUT - Roster'!$GR$6:$GR$206,"*RDO*")</f>
        <v/>
      </c>
      <c r="GC40" s="170">
        <f>COUNTIF('INPUT - Roster'!$GS$6:$GS$206,"*RDO*")</f>
        <v/>
      </c>
      <c r="GD40" s="170">
        <f>COUNTIF('INPUT - Roster'!$GT$6:$GT$206,"*RDO*")</f>
        <v/>
      </c>
      <c r="GE40" s="170">
        <f>COUNTIF('INPUT - Roster'!$GU$6:$GU$206,"*RDO*")</f>
        <v/>
      </c>
      <c r="GF40" s="170">
        <f>COUNTIF('INPUT - Roster'!$GV$6:$GV$206,"*RDO*")</f>
        <v/>
      </c>
      <c r="GG40" s="170">
        <f>COUNTIF('INPUT - Roster'!$GW$6:$GW$206,"*RDO*")</f>
        <v/>
      </c>
      <c r="GH40" s="170">
        <f>COUNTIF('INPUT - Roster'!$GX$6:$GX$206,"*RDO*")</f>
        <v/>
      </c>
      <c r="GI40" s="170">
        <f>COUNTIF('INPUT - Roster'!$GY$6:$GY$206,"*RDO*")</f>
        <v/>
      </c>
      <c r="GJ40" s="170">
        <f>COUNTIF('INPUT - Roster'!$GZ$6:$GZ$206,"*RDO*")</f>
        <v/>
      </c>
      <c r="GK40" s="170">
        <f>COUNTIF('INPUT - Roster'!$HA$6:$HA$206,"*RDO*")</f>
        <v/>
      </c>
      <c r="GL40" s="170">
        <f>COUNTIF('INPUT - Roster'!$HB$6:$HB$206,"*RDO*")</f>
        <v/>
      </c>
      <c r="GM40" s="170">
        <f>COUNTIF('INPUT - Roster'!$HC$6:$HC$206,"*RDO*")</f>
        <v/>
      </c>
      <c r="GN40" s="170">
        <f>COUNTIF('INPUT - Roster'!$HD$6:$HD$206,"*RDO*")</f>
        <v/>
      </c>
      <c r="GO40" s="170">
        <f>COUNTIF('INPUT - Roster'!$HE$6:$HE$206,"*RDO*")</f>
        <v/>
      </c>
      <c r="GP40" s="170">
        <f>COUNTIF('INPUT - Roster'!$HF$6:$HF$206,"*RDO*")</f>
        <v/>
      </c>
      <c r="GQ40" s="170">
        <f>COUNTIF('INPUT - Roster'!$HG$6:$HG$206,"*RDO*")</f>
        <v/>
      </c>
      <c r="GR40" s="170">
        <f>COUNTIF('INPUT - Roster'!$HH$6:$HH$206,"*RDO*")</f>
        <v/>
      </c>
      <c r="GS40" s="170">
        <f>COUNTIF('INPUT - Roster'!$HI$6:$HI$206,"*RDO*")</f>
        <v/>
      </c>
      <c r="GT40" s="170">
        <f>COUNTIF('INPUT - Roster'!$HJ$6:$HJ$206,"*RDO*")</f>
        <v/>
      </c>
      <c r="GU40" s="170">
        <f>COUNTIF('INPUT - Roster'!$HK$6:$HK$206,"*RDO*")</f>
        <v/>
      </c>
      <c r="GV40" s="170">
        <f>COUNTIF('INPUT - Roster'!$HL$6:$HL$206,"*RDO*")</f>
        <v/>
      </c>
      <c r="GW40" s="170">
        <f>COUNTIF('INPUT - Roster'!$HM$6:$HM$206,"*RDO*")</f>
        <v/>
      </c>
      <c r="GX40" s="170">
        <f>COUNTIF('INPUT - Roster'!$HN$6:$HN$206,"*RDO*")</f>
        <v/>
      </c>
      <c r="GY40" s="170">
        <f>COUNTIF('INPUT - Roster'!$HO$6:$HO$206,"*RDO*")</f>
        <v/>
      </c>
      <c r="GZ40" s="170">
        <f>COUNTIF('INPUT - Roster'!$HP$6:$HP$206,"*RDO*")</f>
        <v/>
      </c>
      <c r="HA40" s="170">
        <f>COUNTIF('INPUT - Roster'!$HQ$6:$HQ$206,"*RDO*")</f>
        <v/>
      </c>
      <c r="HB40" s="170">
        <f>COUNTIF('INPUT - Roster'!$HR$6:$HR$206,"*RDO*")</f>
        <v/>
      </c>
      <c r="HC40" s="170">
        <f>COUNTIF('INPUT - Roster'!$HS$6:$HS$206,"*RDO*")</f>
        <v/>
      </c>
      <c r="HD40" s="170">
        <f>COUNTIF('INPUT - Roster'!$HT$6:$HT$206,"*RDO*")</f>
        <v/>
      </c>
      <c r="HE40" s="170">
        <f>COUNTIF('INPUT - Roster'!$HU$6:$HU$206,"*RDO*")</f>
        <v/>
      </c>
      <c r="HF40" s="170">
        <f>COUNTIF('INPUT - Roster'!$HV$6:$HV$206,"*RDO*")</f>
        <v/>
      </c>
      <c r="HG40" s="170">
        <f>COUNTIF('INPUT - Roster'!$HW$6:$HW$206,"*RDO*")</f>
        <v/>
      </c>
      <c r="HH40" s="170">
        <f>COUNTIF('INPUT - Roster'!$HX$6:$HX$206,"*RDO*")</f>
        <v/>
      </c>
      <c r="HI40" s="170">
        <f>COUNTIF('INPUT - Roster'!$HY$6:$HY$206,"*RDO*")</f>
        <v/>
      </c>
      <c r="HJ40" s="170">
        <f>COUNTIF('INPUT - Roster'!$HZ$6:$HZ$206,"*RDO*")</f>
        <v/>
      </c>
      <c r="HK40" s="170">
        <f>COUNTIF('INPUT - Roster'!$IA$6:$IA$206,"*RDO*")</f>
        <v/>
      </c>
      <c r="HL40" s="170">
        <f>COUNTIF('INPUT - Roster'!$IB$6:$IB$206,"*RDO*")</f>
        <v/>
      </c>
      <c r="HM40" s="170">
        <f>COUNTIF('INPUT - Roster'!$IC$6:$IC$206,"*RDO*")</f>
        <v/>
      </c>
      <c r="HN40" s="170">
        <f>COUNTIF('INPUT - Roster'!$ID$6:$ID$206,"*RDO*")</f>
        <v/>
      </c>
      <c r="HO40" s="170">
        <f>COUNTIF('INPUT - Roster'!$IE$6:$IE$206,"*RDO*")</f>
        <v/>
      </c>
      <c r="HP40" s="170">
        <f>COUNTIF('INPUT - Roster'!$IF$6:$IF$206,"*RDO*")</f>
        <v/>
      </c>
      <c r="HQ40" s="170">
        <f>COUNTIF('INPUT - Roster'!$IG$6:$IG$206,"*RDO*")</f>
        <v/>
      </c>
      <c r="HR40" s="170">
        <f>COUNTIF('INPUT - Roster'!$IH$6:$IH$206,"*RDO*")</f>
        <v/>
      </c>
      <c r="HS40" s="170">
        <f>COUNTIF('INPUT - Roster'!$II$6:$II$206,"*RDO*")</f>
        <v/>
      </c>
      <c r="HT40" s="170">
        <f>COUNTIF('INPUT - Roster'!$IJ$6:$IJ$206,"*RDO*")</f>
        <v/>
      </c>
      <c r="HU40" s="170">
        <f>COUNTIF('INPUT - Roster'!$IK$6:$IK$206,"*RDO*")</f>
        <v/>
      </c>
      <c r="HV40" s="170">
        <f>COUNTIF('INPUT - Roster'!$IL$6:$IL$206,"*RDO*")</f>
        <v/>
      </c>
      <c r="HW40" s="170">
        <f>COUNTIF('INPUT - Roster'!$IM$6:$IM$206,"*RDO*")</f>
        <v/>
      </c>
      <c r="HX40" s="170">
        <f>COUNTIF('INPUT - Roster'!$IN$6:$IN$206,"*RDO*")</f>
        <v/>
      </c>
      <c r="HY40" s="170">
        <f>COUNTIF('INPUT - Roster'!$IO$6:$IO$206,"*RDO*")</f>
        <v/>
      </c>
      <c r="HZ40" s="170">
        <f>COUNTIF('INPUT - Roster'!$IP$6:$IP$206,"*RDO*")</f>
        <v/>
      </c>
      <c r="IA40" s="170">
        <f>COUNTIF('INPUT - Roster'!$IQ$6:$IQ$206,"*RDO*")</f>
        <v/>
      </c>
      <c r="IB40" s="170">
        <f>COUNTIF('INPUT - Roster'!$IR$6:$IR$206,"*RDO*")</f>
        <v/>
      </c>
      <c r="IC40" s="170">
        <f>COUNTIF('INPUT - Roster'!$IS$6:$IS$206,"*RDO*")</f>
        <v/>
      </c>
      <c r="ID40" s="170">
        <f>COUNTIF('INPUT - Roster'!$IT$6:$IT$206,"*RDO*")</f>
        <v/>
      </c>
      <c r="IE40" s="170">
        <f>COUNTIF('INPUT - Roster'!$IU$6:$IU$206,"*RDO*")</f>
        <v/>
      </c>
      <c r="IF40" s="170">
        <f>COUNTIF('INPUT - Roster'!$IV$6:$IV$206,"*RDO*")</f>
        <v/>
      </c>
      <c r="IG40" s="170">
        <f>COUNTIF('INPUT - Roster'!$IW$6:$IW$206,"*RDO*")</f>
        <v/>
      </c>
      <c r="IH40" s="170">
        <f>COUNTIF('INPUT - Roster'!$IX$6:$IX$206,"*RDO*")</f>
        <v/>
      </c>
      <c r="II40" s="170">
        <f>COUNTIF('INPUT - Roster'!$IY$6:$IY$206,"*RDO*")</f>
        <v/>
      </c>
      <c r="IJ40" s="170">
        <f>COUNTIF('INPUT - Roster'!$IZ$6:$IZ$206,"*RDO*")</f>
        <v/>
      </c>
      <c r="IK40" s="170">
        <f>COUNTIF('INPUT - Roster'!$JA$6:$JA$206,"*RDO*")</f>
        <v/>
      </c>
      <c r="IL40" s="170">
        <f>COUNTIF('INPUT - Roster'!$JB$6:$JB$206,"*RDO*")</f>
        <v/>
      </c>
      <c r="IM40" s="170">
        <f>COUNTIF('INPUT - Roster'!$JC$6:$JC$206,"*RDO*")</f>
        <v/>
      </c>
      <c r="IN40" s="170">
        <f>COUNTIF('INPUT - Roster'!$JD$6:$JD$206,"*RDO*")</f>
        <v/>
      </c>
      <c r="IO40" s="170">
        <f>COUNTIF('INPUT - Roster'!$JE$6:$JE$206,"*RDO*")</f>
        <v/>
      </c>
      <c r="IP40" s="170">
        <f>COUNTIF('INPUT - Roster'!$JF$6:$JF$206,"*RDO*")</f>
        <v/>
      </c>
      <c r="IQ40" s="170">
        <f>COUNTIF('INPUT - Roster'!$JG$6:$JG$206,"*RDO*")</f>
        <v/>
      </c>
      <c r="IR40" s="170">
        <f>COUNTIF('INPUT - Roster'!$JH$6:$JH$206,"*RDO*")</f>
        <v/>
      </c>
      <c r="IS40" s="170">
        <f>COUNTIF('INPUT - Roster'!$JI$6:$JI$206,"*RDO*")</f>
        <v/>
      </c>
      <c r="IT40" s="170">
        <f>COUNTIF('INPUT - Roster'!$JJ$6:$JJ$206,"*RDO*")</f>
        <v/>
      </c>
      <c r="IU40" s="170">
        <f>COUNTIF('INPUT - Roster'!$JK$6:$JK$206,"*RDO*")</f>
        <v/>
      </c>
      <c r="IV40" s="170">
        <f>COUNTIF('INPUT - Roster'!$JL$6:$JL$206,"*RDO*")</f>
        <v/>
      </c>
      <c r="IW40" s="170">
        <f>COUNTIF('INPUT - Roster'!$JM$6:$JM$206,"*RDO*")</f>
        <v/>
      </c>
      <c r="IX40" s="170">
        <f>COUNTIF('INPUT - Roster'!$JN$6:$JN$206,"*RDO*")</f>
        <v/>
      </c>
      <c r="IY40" s="170">
        <f>COUNTIF('INPUT - Roster'!$JO$6:$JO$206,"*RDO*")</f>
        <v/>
      </c>
      <c r="IZ40" s="170">
        <f>COUNTIF('INPUT - Roster'!$JP$6:$JP$206,"*RDO*")</f>
        <v/>
      </c>
      <c r="JA40" s="170">
        <f>COUNTIF('INPUT - Roster'!$JQ$6:$JQ$206,"*RDO*")</f>
        <v/>
      </c>
      <c r="JB40" s="170">
        <f>COUNTIF('INPUT - Roster'!$JR$6:$JR$206,"*RDO*")</f>
        <v/>
      </c>
      <c r="JC40" s="170">
        <f>COUNTIF('INPUT - Roster'!$JS$6:$JS$206,"*RDO*")</f>
        <v/>
      </c>
      <c r="JD40" s="170">
        <f>COUNTIF('INPUT - Roster'!$JT$6:$JT$206,"*RDO*")</f>
        <v/>
      </c>
      <c r="JE40" s="170">
        <f>COUNTIF('INPUT - Roster'!$JU$6:$JU$206,"*RDO*")</f>
        <v/>
      </c>
      <c r="JF40" s="170">
        <f>COUNTIF('INPUT - Roster'!$JV$6:$JV$206,"*RDO*")</f>
        <v/>
      </c>
      <c r="JG40" s="170">
        <f>COUNTIF('INPUT - Roster'!$JW$6:$JW$206,"*RDO*")</f>
        <v/>
      </c>
      <c r="JH40" s="170">
        <f>COUNTIF('INPUT - Roster'!$JX$6:$JX$206,"*RDO*")</f>
        <v/>
      </c>
      <c r="JI40" s="170">
        <f>COUNTIF('INPUT - Roster'!$JY$6:$JY$206,"*RDO*")</f>
        <v/>
      </c>
      <c r="JJ40" s="170">
        <f>COUNTIF('INPUT - Roster'!$JZ$6:$JZ$206,"*RDO*")</f>
        <v/>
      </c>
      <c r="JK40" s="170">
        <f>COUNTIF('INPUT - Roster'!$KA$6:$KA$206,"*RDO*")</f>
        <v/>
      </c>
      <c r="JL40" s="170">
        <f>COUNTIF('INPUT - Roster'!$KB$6:$KB$206,"*RDO*")</f>
        <v/>
      </c>
      <c r="JM40" s="170">
        <f>COUNTIF('INPUT - Roster'!$KC$6:$KC$206,"*RDO*")</f>
        <v/>
      </c>
      <c r="JN40" s="170">
        <f>COUNTIF('INPUT - Roster'!$KD$6:$KD$206,"*RDO*")</f>
        <v/>
      </c>
      <c r="JO40" s="170">
        <f>COUNTIF('INPUT - Roster'!$KE$6:$KE$206,"*RDO*")</f>
        <v/>
      </c>
      <c r="JP40" s="170">
        <f>COUNTIF('INPUT - Roster'!$KF$6:$KF$206,"*RDO*")</f>
        <v/>
      </c>
      <c r="JQ40" s="170">
        <f>COUNTIF('INPUT - Roster'!$KG$6:$KG$206,"*RDO*")</f>
        <v/>
      </c>
      <c r="JR40" s="170">
        <f>COUNTIF('INPUT - Roster'!$KH$6:$KH$206,"*RDO*")</f>
        <v/>
      </c>
      <c r="JS40" s="170">
        <f>COUNTIF('INPUT - Roster'!$KI$6:$KI$206,"*RDO*")</f>
        <v/>
      </c>
      <c r="JT40" s="170">
        <f>COUNTIF('INPUT - Roster'!$KJ$6:$KJ$206,"*RDO*")</f>
        <v/>
      </c>
      <c r="JU40" s="170">
        <f>COUNTIF('INPUT - Roster'!$KK$6:$KK$206,"*RDO*")</f>
        <v/>
      </c>
      <c r="JV40" s="170">
        <f>COUNTIF('INPUT - Roster'!$KL$6:$KL$206,"*RDO*")</f>
        <v/>
      </c>
      <c r="JW40" s="170">
        <f>COUNTIF('INPUT - Roster'!$KM$6:$KM$206,"*RDO*")</f>
        <v/>
      </c>
      <c r="JX40" s="170">
        <f>COUNTIF('INPUT - Roster'!$KN$6:$KN$206,"*RDO*")</f>
        <v/>
      </c>
      <c r="JY40" s="170">
        <f>COUNTIF('INPUT - Roster'!$KO$6:$KO$206,"*RDO*")</f>
        <v/>
      </c>
      <c r="JZ40" s="170">
        <f>COUNTIF('INPUT - Roster'!$KP$6:$KP$206,"*RDO*")</f>
        <v/>
      </c>
      <c r="KA40" s="170">
        <f>COUNTIF('INPUT - Roster'!$KQ$6:$KQ$206,"*RDO*")</f>
        <v/>
      </c>
      <c r="KB40" s="170">
        <f>COUNTIF('INPUT - Roster'!$KR$6:$KR$206,"*RDO*")</f>
        <v/>
      </c>
      <c r="KC40" s="170">
        <f>COUNTIF('INPUT - Roster'!$KS$6:$KS$206,"*RDO*")</f>
        <v/>
      </c>
      <c r="KD40" s="170">
        <f>COUNTIF('INPUT - Roster'!$KT$6:$KT$206,"*RDO*")</f>
        <v/>
      </c>
      <c r="KE40" s="170">
        <f>COUNTIF('INPUT - Roster'!$KU$6:$KU$206,"*RDO*")</f>
        <v/>
      </c>
      <c r="KF40" s="170">
        <f>COUNTIF('INPUT - Roster'!$KV$6:$KV$206,"*RDO*")</f>
        <v/>
      </c>
      <c r="KG40" s="170">
        <f>COUNTIF('INPUT - Roster'!$KW$6:$KW$206,"*RDO*")</f>
        <v/>
      </c>
      <c r="KH40" s="170">
        <f>COUNTIF('INPUT - Roster'!$KX$6:$KX$206,"*RDO*")</f>
        <v/>
      </c>
      <c r="KI40" s="170">
        <f>COUNTIF('INPUT - Roster'!$KY$6:$KY$206,"*RDO*")</f>
        <v/>
      </c>
      <c r="KJ40" s="170">
        <f>COUNTIF('INPUT - Roster'!$KZ$6:$KZ$206,"*RDO*")</f>
        <v/>
      </c>
      <c r="KK40" s="170">
        <f>COUNTIF('INPUT - Roster'!$LA$6:$LA$206,"*RDO*")</f>
        <v/>
      </c>
      <c r="KL40" s="170">
        <f>COUNTIF('INPUT - Roster'!$LB$6:$LB$206,"*RDO*")</f>
        <v/>
      </c>
      <c r="KM40" s="170">
        <f>COUNTIF('INPUT - Roster'!$LC$6:$LC$206,"*RDO*")</f>
        <v/>
      </c>
      <c r="KN40" s="170">
        <f>COUNTIF('INPUT - Roster'!$LD$6:$LD$206,"*RDO*")</f>
        <v/>
      </c>
      <c r="KO40" s="170">
        <f>COUNTIF('INPUT - Roster'!$LE$6:$LE$206,"*RDO*")</f>
        <v/>
      </c>
      <c r="KP40" s="170">
        <f>COUNTIF('INPUT - Roster'!$LF$6:$LF$206,"*RDO*")</f>
        <v/>
      </c>
      <c r="KQ40" s="170">
        <f>COUNTIF('INPUT - Roster'!$LG$6:$LG$206,"*RDO*")</f>
        <v/>
      </c>
      <c r="KR40" s="170">
        <f>COUNTIF('INPUT - Roster'!$LH$6:$LH$206,"*RDO*")</f>
        <v/>
      </c>
      <c r="KS40" s="170">
        <f>COUNTIF('INPUT - Roster'!$LI$6:$LI$206,"*RDO*")</f>
        <v/>
      </c>
      <c r="KT40" s="170">
        <f>COUNTIF('INPUT - Roster'!$LJ$6:$LJ$206,"*RDO*")</f>
        <v/>
      </c>
      <c r="KU40" s="170">
        <f>COUNTIF('INPUT - Roster'!$LK$6:$LK$206,"*RDO*")</f>
        <v/>
      </c>
      <c r="KV40" s="170">
        <f>COUNTIF('INPUT - Roster'!$LL$6:$LL$206,"*RDO*")</f>
        <v/>
      </c>
      <c r="KW40" s="170">
        <f>COUNTIF('INPUT - Roster'!$LM$6:$LM$206,"*RDO*")</f>
        <v/>
      </c>
      <c r="KX40" s="170">
        <f>COUNTIF('INPUT - Roster'!$LN$6:$LN$206,"*RDO*")</f>
        <v/>
      </c>
      <c r="KY40" s="170">
        <f>COUNTIF('INPUT - Roster'!$LO$6:$LO$206,"*RDO*")</f>
        <v/>
      </c>
      <c r="KZ40" s="170">
        <f>COUNTIF('INPUT - Roster'!$LP$6:$LP$206,"*RDO*")</f>
        <v/>
      </c>
      <c r="LA40" s="170">
        <f>COUNTIF('INPUT - Roster'!$LQ$6:$LQ$206,"*RDO*")</f>
        <v/>
      </c>
      <c r="LB40" s="170">
        <f>COUNTIF('INPUT - Roster'!$LR$6:$LR$206,"*RDO*")</f>
        <v/>
      </c>
      <c r="LC40" s="170">
        <f>COUNTIF('INPUT - Roster'!$LS$6:$LS$206,"*RDO*")</f>
        <v/>
      </c>
      <c r="LD40" s="170">
        <f>COUNTIF('INPUT - Roster'!$LT$6:$LT$206,"*RDO*")</f>
        <v/>
      </c>
      <c r="LE40" s="170">
        <f>COUNTIF('INPUT - Roster'!$LU$6:$LU$206,"*RDO*")</f>
        <v/>
      </c>
      <c r="LF40" s="170">
        <f>COUNTIF('INPUT - Roster'!$LV$6:$LV$206,"*RDO*")</f>
        <v/>
      </c>
      <c r="LG40" s="170">
        <f>COUNTIF('INPUT - Roster'!$LW$6:$LW$206,"*RDO*")</f>
        <v/>
      </c>
      <c r="LH40" s="170">
        <f>COUNTIF('INPUT - Roster'!$LX$6:$LX$206,"*RDO*")</f>
        <v/>
      </c>
      <c r="LI40" s="170">
        <f>COUNTIF('INPUT - Roster'!$LY$6:$LY$206,"*RDO*")</f>
        <v/>
      </c>
      <c r="LJ40" s="170">
        <f>COUNTIF('INPUT - Roster'!$LZ$6:$LZ$206,"*RDO*")</f>
        <v/>
      </c>
      <c r="LK40" s="170">
        <f>COUNTIF('INPUT - Roster'!$MA$6:$MA$206,"*RDO*")</f>
        <v/>
      </c>
      <c r="LL40" s="170">
        <f>COUNTIF('INPUT - Roster'!$MB$6:$MB$206,"*RDO*")</f>
        <v/>
      </c>
      <c r="LM40" s="170">
        <f>COUNTIF('INPUT - Roster'!$MC$6:$MC$206,"*RDO*")</f>
        <v/>
      </c>
      <c r="LN40" s="170">
        <f>COUNTIF('INPUT - Roster'!$MD$6:$MD$206,"*RDO*")</f>
        <v/>
      </c>
      <c r="LO40" s="170">
        <f>COUNTIF('INPUT - Roster'!$ME$6:$ME$206,"*RDO*")</f>
        <v/>
      </c>
      <c r="LP40" s="170">
        <f>COUNTIF('INPUT - Roster'!$MF$6:$MF$206,"*RDO*")</f>
        <v/>
      </c>
      <c r="LQ40" s="170">
        <f>COUNTIF('INPUT - Roster'!$MG$6:$MG$206,"*RDO*")</f>
        <v/>
      </c>
      <c r="LR40" s="170">
        <f>COUNTIF('INPUT - Roster'!$MH$6:$MH$206,"*RDO*")</f>
        <v/>
      </c>
      <c r="LS40" s="170">
        <f>COUNTIF('INPUT - Roster'!$MI$6:$MI$206,"*RDO*")</f>
        <v/>
      </c>
      <c r="LT40" s="170">
        <f>COUNTIF('INPUT - Roster'!$MJ$6:$MJ$206,"*RDO*")</f>
        <v/>
      </c>
      <c r="LU40" s="170">
        <f>COUNTIF('INPUT - Roster'!$MK$6:$MK$206,"*RDO*")</f>
        <v/>
      </c>
      <c r="LV40" s="170">
        <f>COUNTIF('INPUT - Roster'!$ML$6:$ML$206,"*RDO*")</f>
        <v/>
      </c>
      <c r="LW40" s="170">
        <f>COUNTIF('INPUT - Roster'!$MM$6:$MM$206,"*RDO*")</f>
        <v/>
      </c>
      <c r="LX40" s="170">
        <f>COUNTIF('INPUT - Roster'!$MN$6:$MN$206,"*RDO*")</f>
        <v/>
      </c>
      <c r="LY40" s="170">
        <f>COUNTIF('INPUT - Roster'!$MO$6:$MO$206,"*RDO*")</f>
        <v/>
      </c>
      <c r="LZ40" s="170">
        <f>COUNTIF('INPUT - Roster'!$MP$6:$MP$206,"*RDO*")</f>
        <v/>
      </c>
      <c r="MA40" s="170">
        <f>COUNTIF('INPUT - Roster'!$MQ$6:$MQ$206,"*RDO*")</f>
        <v/>
      </c>
      <c r="MB40" s="170">
        <f>COUNTIF('INPUT - Roster'!$MR$6:$MR$206,"*RDO*")</f>
        <v/>
      </c>
      <c r="MC40" s="170">
        <f>COUNTIF('INPUT - Roster'!$MS$6:$MS$206,"*RDO*")</f>
        <v/>
      </c>
      <c r="MD40" s="170">
        <f>COUNTIF('INPUT - Roster'!$MT$6:$MT$206,"*RDO*")</f>
        <v/>
      </c>
      <c r="ME40" s="170">
        <f>COUNTIF('INPUT - Roster'!$MU$6:$MU$206,"*RDO*")</f>
        <v/>
      </c>
      <c r="MF40" s="170">
        <f>COUNTIF('INPUT - Roster'!$MV$6:$MV$206,"*RDO*")</f>
        <v/>
      </c>
      <c r="MG40" s="170">
        <f>COUNTIF('INPUT - Roster'!$MW$6:$MW$206,"*RDO*")</f>
        <v/>
      </c>
      <c r="MH40" s="170">
        <f>COUNTIF('INPUT - Roster'!$MX$6:$MX$206,"*RDO*")</f>
        <v/>
      </c>
      <c r="MI40" s="170">
        <f>COUNTIF('INPUT - Roster'!$MY$6:$MY$206,"*RDO*")</f>
        <v/>
      </c>
      <c r="MJ40" s="170">
        <f>COUNTIF('INPUT - Roster'!$MZ$6:$MZ$206,"*RDO*")</f>
        <v/>
      </c>
      <c r="MK40" s="170">
        <f>COUNTIF('INPUT - Roster'!$NA$6:$NA$206,"*RDO*")</f>
        <v/>
      </c>
      <c r="ML40" s="170">
        <f>COUNTIF('INPUT - Roster'!$NB$6:$NB$206,"*RDO*")</f>
        <v/>
      </c>
      <c r="MM40" s="170">
        <f>COUNTIF('INPUT - Roster'!$NC$6:$NC$206,"*RDO*")</f>
        <v/>
      </c>
      <c r="MN40" s="170">
        <f>COUNTIF('INPUT - Roster'!$ND$6:$ND$206,"*RDO*")</f>
        <v/>
      </c>
      <c r="MO40" s="170">
        <f>COUNTIF('INPUT - Roster'!$NE$6:$NE$206,"*RDO*")</f>
        <v/>
      </c>
      <c r="MP40" s="170">
        <f>COUNTIF('INPUT - Roster'!$NF$6:$NF$206,"*RDO*")</f>
        <v/>
      </c>
      <c r="MQ40" s="170">
        <f>COUNTIF('INPUT - Roster'!$NG$6:$NG$206,"*RDO*")</f>
        <v/>
      </c>
      <c r="MR40" s="170">
        <f>COUNTIF('INPUT - Roster'!$NH$6:$NH$206,"*RDO*")</f>
        <v/>
      </c>
      <c r="MS40" s="170">
        <f>COUNTIF('INPUT - Roster'!$NI$6:$NI$206,"*RDO*")</f>
        <v/>
      </c>
      <c r="MT40" s="170">
        <f>COUNTIF('INPUT - Roster'!$NJ$6:$NJ$206,"*RDO*")</f>
        <v/>
      </c>
      <c r="MU40" s="170">
        <f>COUNTIF('INPUT - Roster'!$NK$6:$NK$206,"*RDO*")</f>
        <v/>
      </c>
      <c r="MV40" s="170">
        <f>COUNTIF('INPUT - Roster'!$NL$6:$NL$206,"*RDO*")</f>
        <v/>
      </c>
      <c r="MW40" s="170">
        <f>COUNTIF('INPUT - Roster'!$NM$6:$NM$206,"*RDO*")</f>
        <v/>
      </c>
      <c r="MX40" s="170">
        <f>COUNTIF('INPUT - Roster'!$NN$6:$NN$206,"*RDO*")</f>
        <v/>
      </c>
      <c r="MY40" s="170">
        <f>COUNTIF('INPUT - Roster'!$NO$6:$NO$206,"*RDO*")</f>
        <v/>
      </c>
      <c r="MZ40" s="170">
        <f>COUNTIF('INPUT - Roster'!$NP$6:$NP$206,"*RDO*")</f>
        <v/>
      </c>
      <c r="NA40" s="170">
        <f>COUNTIF('INPUT - Roster'!$NQ$6:$NQ$206,"*RDO*")</f>
        <v/>
      </c>
      <c r="NB40" s="170">
        <f>COUNTIF('INPUT - Roster'!$NR$6:$NR$206,"*RDO*")</f>
        <v/>
      </c>
      <c r="NC40" s="170">
        <f>COUNTIF('INPUT - Roster'!$NS$6:$NS$206,"*RDO*")</f>
        <v/>
      </c>
      <c r="ND40" s="170">
        <f>COUNTIF('INPUT - Roster'!$NT$6:$NT$206,"*RDO*")</f>
        <v/>
      </c>
      <c r="NE40" s="170">
        <f>COUNTIF('INPUT - Roster'!$NU$6:$NU$206,"*RDO*")</f>
        <v/>
      </c>
      <c r="NF40" s="170">
        <f>COUNTIF('INPUT - Roster'!$NV$6:$NV$206,"*RDO*")</f>
        <v/>
      </c>
      <c r="NG40" s="170">
        <f>COUNTIF('INPUT - Roster'!$NW$6:$NW$206,"*RDO*")</f>
        <v/>
      </c>
      <c r="NH40" s="170">
        <f>COUNTIF('INPUT - Roster'!$NX$6:$NX$206,"*RDO*")</f>
        <v/>
      </c>
      <c r="NI40" s="170">
        <f>COUNTIF('INPUT - Roster'!$NY$6:$NY$206,"*RDO*")</f>
        <v/>
      </c>
      <c r="NJ40" s="170">
        <f>COUNTIF('INPUT - Roster'!$NZ$6:$NZ$206,"*RDO*")</f>
        <v/>
      </c>
      <c r="NK40" s="170">
        <f>COUNTIF('INPUT - Roster'!$OA$6:$OA$206,"*RDO*")</f>
        <v/>
      </c>
      <c r="NL40" s="170">
        <f>COUNTIF('INPUT - Roster'!$OB$6:$OB$206,"*RDO*")</f>
        <v/>
      </c>
      <c r="NM40" s="170">
        <f>COUNTIF('INPUT - Roster'!$OC$6:$OC$206,"*RDO*")</f>
        <v/>
      </c>
      <c r="NN40" s="170">
        <f>COUNTIF('INPUT - Roster'!$OD$6:$OD$206,"*RDO*")</f>
        <v/>
      </c>
      <c r="NO40" s="170">
        <f>COUNTIF('INPUT - Roster'!$OE$6:$OE$206,"*RDO*")</f>
        <v/>
      </c>
      <c r="NP40" s="170">
        <f>COUNTIF('INPUT - Roster'!$OF$6:$OF$206,"*RDO*")</f>
        <v/>
      </c>
      <c r="NQ40" s="170">
        <f>COUNTIF('INPUT - Roster'!$OG$6:$OG$206,"*RDO*")</f>
        <v/>
      </c>
      <c r="NR40" s="170">
        <f>COUNTIF('INPUT - Roster'!$OH$6:$OH$206,"*RDO*")</f>
        <v/>
      </c>
      <c r="NS40" s="170">
        <f>COUNTIF('INPUT - Roster'!$OI$6:$OI$206,"*RDO*")</f>
        <v/>
      </c>
      <c r="NT40" s="170">
        <f>COUNTIF('INPUT - Roster'!$OJ$6:$OJ$206,"*RDO*")</f>
        <v/>
      </c>
      <c r="NU40" s="170">
        <f>COUNTIF('INPUT - Roster'!$OK$6:$OK$206,"*RDO*")</f>
        <v/>
      </c>
      <c r="NV40" s="170">
        <f>COUNTIF('INPUT - Roster'!$OL$6:$OL$206,"*RDO*")</f>
        <v/>
      </c>
      <c r="NW40" s="170">
        <f>COUNTIF('INPUT - Roster'!$OM$6:$OM$206,"*RDO*")</f>
        <v/>
      </c>
      <c r="NX40" s="170">
        <f>COUNTIF('INPUT - Roster'!$ON$6:$ON$206,"*RDO*")</f>
        <v/>
      </c>
      <c r="NY40" s="170">
        <f>COUNTIF('INPUT - Roster'!$OO$6:$OO$206,"*RDO*")</f>
        <v/>
      </c>
      <c r="NZ40" s="170">
        <f>COUNTIF('INPUT - Roster'!$OP$6:$OP$206,"*RDO*")</f>
        <v/>
      </c>
      <c r="OA40" s="170">
        <f>COUNTIF('INPUT - Roster'!$OQ$6:$OQ$206,"*RDO*")</f>
        <v/>
      </c>
      <c r="OB40" s="170">
        <f>COUNTIF('INPUT - Roster'!$OR$6:$OR$206,"*RDO*")</f>
        <v/>
      </c>
      <c r="OC40" s="170">
        <f>COUNTIF('INPUT - Roster'!$OS$6:$OS$206,"*RDO*")</f>
        <v/>
      </c>
      <c r="OD40" s="170">
        <f>COUNTIF('INPUT - Roster'!$OT$6:$OT$206,"*RDO*")</f>
        <v/>
      </c>
      <c r="OE40" s="170">
        <f>COUNTIF('INPUT - Roster'!$OU$6:$OU$206,"*RDO*")</f>
        <v/>
      </c>
      <c r="OF40" s="170">
        <f>COUNTIF('INPUT - Roster'!$OV$6:$OV$206,"*RDO*")</f>
        <v/>
      </c>
      <c r="OG40" s="170">
        <f>COUNTIF('INPUT - Roster'!$OW$6:$OW$206,"*RDO*")</f>
        <v/>
      </c>
      <c r="OH40" s="170">
        <f>COUNTIF('INPUT - Roster'!$OX$6:$OX$206,"*RDO*")</f>
        <v/>
      </c>
      <c r="OI40" s="170">
        <f>COUNTIF('INPUT - Roster'!$OY$6:$OY$206,"*RDO*")</f>
        <v/>
      </c>
      <c r="OJ40" s="170">
        <f>COUNTIF('INPUT - Roster'!$OZ$6:$OZ$206,"*RDO*")</f>
        <v/>
      </c>
      <c r="OK40" s="170">
        <f>COUNTIF('INPUT - Roster'!$PA$6:$PA$206,"*RDO*")</f>
        <v/>
      </c>
      <c r="OL40" s="170">
        <f>COUNTIF('INPUT - Roster'!$PB$6:$PB$206,"*RDO*")</f>
        <v/>
      </c>
      <c r="OM40" s="170">
        <f>COUNTIF('INPUT - Roster'!$PC$6:$PC$206,"*RDO*")</f>
        <v/>
      </c>
      <c r="ON40" s="170">
        <f>COUNTIF('INPUT - Roster'!$PD$6:$PD$206,"*RDO*")</f>
        <v/>
      </c>
      <c r="OO40" s="170">
        <f>COUNTIF('INPUT - Roster'!$PE$6:$PE$206,"*RDO*")</f>
        <v/>
      </c>
      <c r="OP40" s="170">
        <f>COUNTIF('INPUT - Roster'!$PF$6:$PF$206,"*RDO*")</f>
        <v/>
      </c>
      <c r="OQ40" s="170">
        <f>COUNTIF('INPUT - Roster'!$PG$6:$PG$206,"*RDO*")</f>
        <v/>
      </c>
      <c r="OR40" s="170">
        <f>COUNTIF('INPUT - Roster'!$PH$6:$PH$206,"*RDO*")</f>
        <v/>
      </c>
      <c r="OS40" s="170">
        <f>COUNTIF('INPUT - Roster'!$PI$6:$PI$206,"*RDO*")</f>
        <v/>
      </c>
      <c r="OT40" s="170">
        <f>COUNTIF('INPUT - Roster'!$PJ$6:$PJ$206,"*RDO*")</f>
        <v/>
      </c>
      <c r="OU40" s="170">
        <f>COUNTIF('INPUT - Roster'!$PK$6:$PK$206,"*RDO*")</f>
        <v/>
      </c>
      <c r="OV40" s="170">
        <f>COUNTIF('INPUT - Roster'!$PL$6:$PL$206,"*RDO*")</f>
        <v/>
      </c>
      <c r="OW40" s="170">
        <f>COUNTIF('INPUT - Roster'!$PM$6:$PM$206,"*RDO*")</f>
        <v/>
      </c>
      <c r="OX40" s="170">
        <f>COUNTIF('INPUT - Roster'!$PN$6:$PN$206,"*RDO*")</f>
        <v/>
      </c>
      <c r="OY40" s="170">
        <f>COUNTIF('INPUT - Roster'!$PO$6:$PO$206,"*RDO*")</f>
        <v/>
      </c>
      <c r="OZ40" s="170">
        <f>COUNTIF('INPUT - Roster'!$PP$6:$PP$206,"*RDO*")</f>
        <v/>
      </c>
      <c r="PA40" s="170">
        <f>COUNTIF('INPUT - Roster'!$PQ$6:$PQ$206,"*RDO*")</f>
        <v/>
      </c>
      <c r="PB40" s="170">
        <f>COUNTIF('INPUT - Roster'!$PR$6:$PR$206,"*RDO*")</f>
        <v/>
      </c>
      <c r="PC40" s="170">
        <f>COUNTIF('INPUT - Roster'!$PS$6:$PS$206,"*RDO*")</f>
        <v/>
      </c>
      <c r="PD40" s="170">
        <f>COUNTIF('INPUT - Roster'!$PT$6:$PT$206,"*RDO*")</f>
        <v/>
      </c>
      <c r="PE40" s="170">
        <f>COUNTIF('INPUT - Roster'!$PU$6:$PU$206,"*RDO*")</f>
        <v/>
      </c>
      <c r="PF40" s="170">
        <f>COUNTIF('INPUT - Roster'!$PV$6:$PV$206,"*RDO*")</f>
        <v/>
      </c>
      <c r="PG40" s="170">
        <f>COUNTIF('INPUT - Roster'!$PW$6:$PW$206,"*RDO*")</f>
        <v/>
      </c>
      <c r="PH40" s="170">
        <f>COUNTIF('INPUT - Roster'!$PX$6:$PX$206,"*RDO*")</f>
        <v/>
      </c>
      <c r="PI40" s="170">
        <f>COUNTIF('INPUT - Roster'!$PY$6:$PY$206,"*RDO*")</f>
        <v/>
      </c>
      <c r="PJ40" s="170">
        <f>COUNTIF('INPUT - Roster'!$PZ$6:$PZ$206,"*RDO*")</f>
        <v/>
      </c>
      <c r="PK40" s="170">
        <f>COUNTIF('INPUT - Roster'!$QA$6:$QA$206,"*RDO*")</f>
        <v/>
      </c>
      <c r="PL40" s="170">
        <f>COUNTIF('INPUT - Roster'!$QB$6:$QB$206,"*RDO*")</f>
        <v/>
      </c>
      <c r="PM40" s="170">
        <f>COUNTIF('INPUT - Roster'!$QC$6:$QC$206,"*RDO*")</f>
        <v/>
      </c>
      <c r="PN40" s="170">
        <f>COUNTIF('INPUT - Roster'!$QD$6:$QD$206,"*RDO*")</f>
        <v/>
      </c>
      <c r="PO40" s="170">
        <f>COUNTIF('INPUT - Roster'!$QE$6:$QE$206,"*RDO*")</f>
        <v/>
      </c>
      <c r="PP40" s="170">
        <f>COUNTIF('INPUT - Roster'!$QF$6:$QF$206,"*RDO*")</f>
        <v/>
      </c>
      <c r="PQ40" s="170">
        <f>COUNTIF('INPUT - Roster'!$QG$6:$QG$206,"*RDO*")</f>
        <v/>
      </c>
      <c r="PR40" s="170">
        <f>COUNTIF('INPUT - Roster'!$QH$6:$QH$206,"*RDO*")</f>
        <v/>
      </c>
      <c r="PS40" s="170">
        <f>COUNTIF('INPUT - Roster'!$QI$6:$QI$206,"*RDO*")</f>
        <v/>
      </c>
      <c r="PT40" s="170">
        <f>COUNTIF('INPUT - Roster'!$QJ$6:$QJ$206,"*RDO*")</f>
        <v/>
      </c>
      <c r="PU40" s="170">
        <f>COUNTIF('INPUT - Roster'!$QK$6:$QK$206,"*RDO*")</f>
        <v/>
      </c>
      <c r="PV40" s="170">
        <f>COUNTIF('INPUT - Roster'!$QL$6:$QL$206,"*RDO*")</f>
        <v/>
      </c>
      <c r="PW40" s="170">
        <f>COUNTIF('INPUT - Roster'!$QM$6:$QM$206,"*RDO*")</f>
        <v/>
      </c>
      <c r="PX40" s="170">
        <f>COUNTIF('INPUT - Roster'!$QN$6:$QN$206,"*RDO*")</f>
        <v/>
      </c>
      <c r="PY40" s="170">
        <f>COUNTIF('INPUT - Roster'!$QO$6:$QO$206,"*RDO*")</f>
        <v/>
      </c>
      <c r="PZ40" s="170">
        <f>COUNTIF('INPUT - Roster'!$QP$6:$QP$206,"*RDO*")</f>
        <v/>
      </c>
      <c r="QA40" s="170">
        <f>COUNTIF('INPUT - Roster'!$QQ$6:$QQ$206,"*RDO*")</f>
        <v/>
      </c>
      <c r="QB40" s="170">
        <f>COUNTIF('INPUT - Roster'!$QR$6:$QR$206,"*RDO*")</f>
        <v/>
      </c>
      <c r="QC40" s="170">
        <f>COUNTIF('INPUT - Roster'!$QS$6:$QS$206,"*RDO*")</f>
        <v/>
      </c>
      <c r="QD40" s="170">
        <f>COUNTIF('INPUT - Roster'!$QT$6:$QT$206,"*RDO*")</f>
        <v/>
      </c>
      <c r="QE40" s="170">
        <f>COUNTIF('INPUT - Roster'!$QU$6:$QU$206,"*RDO*")</f>
        <v/>
      </c>
      <c r="QF40" s="170">
        <f>COUNTIF('INPUT - Roster'!$QV$6:$QV$206,"*RDO*")</f>
        <v/>
      </c>
      <c r="QG40" s="170">
        <f>COUNTIF('INPUT - Roster'!$QW$6:$QW$206,"*RDO*")</f>
        <v/>
      </c>
      <c r="QH40" s="170">
        <f>COUNTIF('INPUT - Roster'!$QX$6:$QX$206,"*RDO*")</f>
        <v/>
      </c>
      <c r="QI40" s="170">
        <f>COUNTIF('INPUT - Roster'!$QY$6:$QY$206,"*RDO*")</f>
        <v/>
      </c>
      <c r="QJ40" s="170">
        <f>COUNTIF('INPUT - Roster'!$QZ$6:$QZ$206,"*RDO*")</f>
        <v/>
      </c>
      <c r="QK40" s="170">
        <f>COUNTIF('INPUT - Roster'!$RA$6:$RA$206,"*RDO*")</f>
        <v/>
      </c>
      <c r="QL40" s="170">
        <f>COUNTIF('INPUT - Roster'!$RB$6:$RB$206,"*RDO*")</f>
        <v/>
      </c>
      <c r="QM40" s="170">
        <f>COUNTIF('INPUT - Roster'!$RC$6:$RC$206,"*RDO*")</f>
        <v/>
      </c>
      <c r="QN40" s="170">
        <f>COUNTIF('INPUT - Roster'!$RD$6:$RD$206,"*RDO*")</f>
        <v/>
      </c>
      <c r="QO40" s="170">
        <f>COUNTIF('INPUT - Roster'!$RE$6:$RE$206,"*RDO*")</f>
        <v/>
      </c>
      <c r="QP40" s="170">
        <f>COUNTIF('INPUT - Roster'!$RF$6:$RF$206,"*RDO*")</f>
        <v/>
      </c>
      <c r="QQ40" s="170">
        <f>COUNTIF('INPUT - Roster'!$RG$6:$RG$206,"*RDO*")</f>
        <v/>
      </c>
      <c r="QR40" s="170">
        <f>COUNTIF('INPUT - Roster'!$RH$6:$RH$206,"*RDO*")</f>
        <v/>
      </c>
      <c r="QS40" s="170">
        <f>COUNTIF('INPUT - Roster'!$RI$6:$RI$206,"*RDO*")</f>
        <v/>
      </c>
      <c r="QT40" s="170">
        <f>COUNTIF('INPUT - Roster'!$RJ$6:$RJ$206,"*RDO*")</f>
        <v/>
      </c>
      <c r="QU40" s="170">
        <f>COUNTIF('INPUT - Roster'!$RK$6:$RK$206,"*RDO*")</f>
        <v/>
      </c>
      <c r="QV40" s="170">
        <f>COUNTIF('INPUT - Roster'!$RL$6:$RL$206,"*RDO*")</f>
        <v/>
      </c>
      <c r="QW40" s="170">
        <f>COUNTIF('INPUT - Roster'!$RM$6:$RM$206,"*RDO*")</f>
        <v/>
      </c>
      <c r="QX40" s="170">
        <f>COUNTIF('INPUT - Roster'!$RN$6:$RN$206,"*RDO*")</f>
        <v/>
      </c>
      <c r="QY40" s="170">
        <f>COUNTIF('INPUT - Roster'!$RO$6:$RO$206,"*RDO*")</f>
        <v/>
      </c>
      <c r="QZ40" s="170">
        <f>COUNTIF('INPUT - Roster'!$RP$6:$RP$206,"*RDO*")</f>
        <v/>
      </c>
      <c r="RA40" s="170">
        <f>COUNTIF('INPUT - Roster'!$RQ$6:$RQ$206,"*RDO*")</f>
        <v/>
      </c>
      <c r="RB40" s="170">
        <f>COUNTIF('INPUT - Roster'!$RR$6:$RR$206,"*RDO*")</f>
        <v/>
      </c>
      <c r="RC40" s="170">
        <f>COUNTIF('INPUT - Roster'!$RS$6:$RS$206,"*RDO*")</f>
        <v/>
      </c>
      <c r="RD40" s="170">
        <f>COUNTIF('INPUT - Roster'!$RT$6:$RT$206,"*RDO*")</f>
        <v/>
      </c>
      <c r="RE40" s="170">
        <f>COUNTIF('INPUT - Roster'!$RU$6:$RU$206,"*RDO*")</f>
        <v/>
      </c>
      <c r="RF40" s="170">
        <f>COUNTIF('INPUT - Roster'!$RV$6:$RV$206,"*RDO*")</f>
        <v/>
      </c>
      <c r="RG40" s="170">
        <f>COUNTIF('INPUT - Roster'!$RW$6:$RW$206,"*RDO*")</f>
        <v/>
      </c>
      <c r="RH40" s="170">
        <f>COUNTIF('INPUT - Roster'!$RX$6:$RX$206,"*RDO*")</f>
        <v/>
      </c>
      <c r="RI40" s="170">
        <f>COUNTIF('INPUT - Roster'!$RY$6:$RY$206,"*RDO*")</f>
        <v/>
      </c>
      <c r="RJ40" s="170">
        <f>COUNTIF('INPUT - Roster'!$RZ$6:$RZ$206,"*RDO*")</f>
        <v/>
      </c>
      <c r="RK40" s="170">
        <f>COUNTIF('INPUT - Roster'!$SA$6:$SA$206,"*RDO*")</f>
        <v/>
      </c>
      <c r="RL40" s="170">
        <f>COUNTIF('INPUT - Roster'!$SB$6:$SB$206,"*RDO*")</f>
        <v/>
      </c>
      <c r="RM40" s="170">
        <f>COUNTIF('INPUT - Roster'!$SC$6:$SC$206,"*RDO*")</f>
        <v/>
      </c>
      <c r="RN40" s="170">
        <f>COUNTIF('INPUT - Roster'!$SD$6:$SD$206,"*RDO*")</f>
        <v/>
      </c>
      <c r="RO40" s="170">
        <f>COUNTIF('INPUT - Roster'!$SE$6:$SE$206,"*RDO*")</f>
        <v/>
      </c>
      <c r="RP40" s="170">
        <f>COUNTIF('INPUT - Roster'!$SF$6:$SF$206,"*RDO*")</f>
        <v/>
      </c>
      <c r="RQ40" s="170">
        <f>COUNTIF('INPUT - Roster'!$SG$6:$SG$206,"*RDO*")</f>
        <v/>
      </c>
      <c r="RR40" s="170">
        <f>COUNTIF('INPUT - Roster'!$SH$6:$SH$206,"*RDO*")</f>
        <v/>
      </c>
      <c r="RS40" s="170">
        <f>COUNTIF('INPUT - Roster'!$SI$6:$SI$206,"*RDO*")</f>
        <v/>
      </c>
      <c r="RT40" s="170">
        <f>COUNTIF('INPUT - Roster'!$SJ$6:$SJ$206,"*RDO*")</f>
        <v/>
      </c>
      <c r="RU40" s="170">
        <f>COUNTIF('INPUT - Roster'!$SK$6:$SK$206,"*RDO*")</f>
        <v/>
      </c>
      <c r="RV40" s="170">
        <f>COUNTIF('INPUT - Roster'!$SL$6:$SL$206,"*RDO*")</f>
        <v/>
      </c>
      <c r="RW40" s="170">
        <f>COUNTIF('INPUT - Roster'!$SM$6:$SM$206,"*RDO*")</f>
        <v/>
      </c>
      <c r="RX40" s="170">
        <f>COUNTIF('INPUT - Roster'!$SN$6:$SN$206,"*RDO*")</f>
        <v/>
      </c>
      <c r="RY40" s="170">
        <f>COUNTIF('INPUT - Roster'!$SO$6:$SO$206,"*RDO*")</f>
        <v/>
      </c>
      <c r="RZ40" s="170">
        <f>COUNTIF('INPUT - Roster'!$SP$6:$SP$206,"*RDO*")</f>
        <v/>
      </c>
      <c r="SA40" s="170">
        <f>COUNTIF('INPUT - Roster'!$SQ$6:$SQ$206,"*RDO*")</f>
        <v/>
      </c>
      <c r="SB40" s="170">
        <f>COUNTIF('INPUT - Roster'!$SR$6:$SR$206,"*RDO*")</f>
        <v/>
      </c>
      <c r="SC40" s="170">
        <f>COUNTIF('INPUT - Roster'!$SS$6:$SS$206,"*RDO*")</f>
        <v/>
      </c>
      <c r="SD40" s="170">
        <f>COUNTIF('INPUT - Roster'!$ST$6:$ST$206,"*RDO*")</f>
        <v/>
      </c>
      <c r="SE40" s="170">
        <f>COUNTIF('INPUT - Roster'!$SU$6:$SU$206,"*RDO*")</f>
        <v/>
      </c>
      <c r="SF40" s="170">
        <f>COUNTIF('INPUT - Roster'!$SV$6:$SV$206,"*RDO*")</f>
        <v/>
      </c>
    </row>
    <row r="41">
      <c r="B41" s="169" t="inlineStr">
        <is>
          <t>Not mobilised (N/A)</t>
        </is>
      </c>
      <c r="C41" s="170">
        <f>COUNTIF('INPUT - Roster'!$S$6:$S$206,"N/A")</f>
        <v/>
      </c>
      <c r="D41" s="170">
        <f>COUNTIF('INPUT - Roster'!$T$6:$T$206,"N/A")</f>
        <v/>
      </c>
      <c r="E41" s="170">
        <f>COUNTIF('INPUT - Roster'!$U$6:$U$206,"N/A")</f>
        <v/>
      </c>
      <c r="F41" s="170">
        <f>COUNTIF('INPUT - Roster'!$V$6:$V$206,"N/A")</f>
        <v/>
      </c>
      <c r="G41" s="170">
        <f>COUNTIF('INPUT - Roster'!$W$6:$W$206,"N/A")</f>
        <v/>
      </c>
      <c r="H41" s="170">
        <f>COUNTIF('INPUT - Roster'!$X$6:$X$206,"N/A")</f>
        <v/>
      </c>
      <c r="I41" s="170">
        <f>COUNTIF('INPUT - Roster'!$Y$6:$Y$206,"N/A")</f>
        <v/>
      </c>
      <c r="J41" s="170">
        <f>COUNTIF('INPUT - Roster'!$Z$6:$Z$206,"N/A")</f>
        <v/>
      </c>
      <c r="K41" s="170">
        <f>COUNTIF('INPUT - Roster'!$AA$6:$AA$206,"N/A")</f>
        <v/>
      </c>
      <c r="L41" s="170">
        <f>COUNTIF('INPUT - Roster'!$AB$6:$AB$206,"N/A")</f>
        <v/>
      </c>
      <c r="M41" s="170">
        <f>COUNTIF('INPUT - Roster'!$AC$6:$AC$206,"N/A")</f>
        <v/>
      </c>
      <c r="N41" s="170">
        <f>COUNTIF('INPUT - Roster'!$AD$6:$AD$206,"N/A")</f>
        <v/>
      </c>
      <c r="O41" s="170">
        <f>COUNTIF('INPUT - Roster'!$AE$6:$AE$206,"N/A")</f>
        <v/>
      </c>
      <c r="P41" s="170">
        <f>COUNTIF('INPUT - Roster'!$AF$6:$AF$206,"N/A")</f>
        <v/>
      </c>
      <c r="Q41" s="170">
        <f>COUNTIF('INPUT - Roster'!$AG$6:$AG$206,"N/A")</f>
        <v/>
      </c>
      <c r="R41" s="170">
        <f>COUNTIF('INPUT - Roster'!$AH$6:$AH$206,"N/A")</f>
        <v/>
      </c>
      <c r="S41" s="170">
        <f>COUNTIF('INPUT - Roster'!$AI$6:$AI$206,"N/A")</f>
        <v/>
      </c>
      <c r="T41" s="170">
        <f>COUNTIF('INPUT - Roster'!$AJ$6:$AJ$206,"N/A")</f>
        <v/>
      </c>
      <c r="U41" s="170">
        <f>COUNTIF('INPUT - Roster'!$AK$6:$AK$206,"N/A")</f>
        <v/>
      </c>
      <c r="V41" s="170">
        <f>COUNTIF('INPUT - Roster'!$AL$6:$AL$206,"N/A")</f>
        <v/>
      </c>
      <c r="W41" s="170">
        <f>COUNTIF('INPUT - Roster'!$AM$6:$AM$206,"N/A")</f>
        <v/>
      </c>
      <c r="X41" s="170">
        <f>COUNTIF('INPUT - Roster'!$AN$6:$AN$206,"N/A")</f>
        <v/>
      </c>
      <c r="Y41" s="170">
        <f>COUNTIF('INPUT - Roster'!$AO$6:$AO$206,"N/A")</f>
        <v/>
      </c>
      <c r="Z41" s="170">
        <f>COUNTIF('INPUT - Roster'!$AP$6:$AP$206,"N/A")</f>
        <v/>
      </c>
      <c r="AA41" s="170">
        <f>COUNTIF('INPUT - Roster'!$AQ$6:$AQ$206,"N/A")</f>
        <v/>
      </c>
      <c r="AB41" s="170">
        <f>COUNTIF('INPUT - Roster'!$AR$6:$AR$206,"N/A")</f>
        <v/>
      </c>
      <c r="AC41" s="170">
        <f>COUNTIF('INPUT - Roster'!$AS$6:$AS$206,"N/A")</f>
        <v/>
      </c>
      <c r="AD41" s="170">
        <f>COUNTIF('INPUT - Roster'!$AT$6:$AT$206,"N/A")</f>
        <v/>
      </c>
      <c r="AE41" s="170">
        <f>COUNTIF('INPUT - Roster'!$AU$6:$AU$206,"N/A")</f>
        <v/>
      </c>
      <c r="AF41" s="170">
        <f>COUNTIF('INPUT - Roster'!$AV$6:$AV$206,"N/A")</f>
        <v/>
      </c>
      <c r="AG41" s="170">
        <f>COUNTIF('INPUT - Roster'!$AW$6:$AW$206,"N/A")</f>
        <v/>
      </c>
      <c r="AH41" s="170">
        <f>COUNTIF('INPUT - Roster'!$AX$6:$AX$206,"N/A")</f>
        <v/>
      </c>
      <c r="AI41" s="170">
        <f>COUNTIF('INPUT - Roster'!$AY$6:$AY$206,"N/A")</f>
        <v/>
      </c>
      <c r="AJ41" s="170">
        <f>COUNTIF('INPUT - Roster'!$AZ$6:$AZ$206,"N/A")</f>
        <v/>
      </c>
      <c r="AK41" s="170">
        <f>COUNTIF('INPUT - Roster'!$BA$6:$BA$206,"N/A")</f>
        <v/>
      </c>
      <c r="AL41" s="170">
        <f>COUNTIF('INPUT - Roster'!$BB$6:$BB$206,"N/A")</f>
        <v/>
      </c>
      <c r="AM41" s="170">
        <f>COUNTIF('INPUT - Roster'!$BC$6:$BC$206,"N/A")</f>
        <v/>
      </c>
      <c r="AN41" s="170">
        <f>COUNTIF('INPUT - Roster'!$BD$6:$BD$206,"N/A")</f>
        <v/>
      </c>
      <c r="AO41" s="170">
        <f>COUNTIF('INPUT - Roster'!$BE$6:$BE$206,"N/A")</f>
        <v/>
      </c>
      <c r="AP41" s="170">
        <f>COUNTIF('INPUT - Roster'!$BF$6:$BF$206,"N/A")</f>
        <v/>
      </c>
      <c r="AQ41" s="170">
        <f>COUNTIF('INPUT - Roster'!$BG$6:$BG$206,"N/A")</f>
        <v/>
      </c>
      <c r="AR41" s="170">
        <f>COUNTIF('INPUT - Roster'!$BH$6:$BH$206,"N/A")</f>
        <v/>
      </c>
      <c r="AS41" s="170">
        <f>COUNTIF('INPUT - Roster'!$BI$6:$BI$206,"N/A")</f>
        <v/>
      </c>
      <c r="AT41" s="170">
        <f>COUNTIF('INPUT - Roster'!$BJ$6:$BJ$206,"N/A")</f>
        <v/>
      </c>
      <c r="AU41" s="170">
        <f>COUNTIF('INPUT - Roster'!$BK$6:$BK$206,"N/A")</f>
        <v/>
      </c>
      <c r="AV41" s="170">
        <f>COUNTIF('INPUT - Roster'!$BL$6:$BL$206,"N/A")</f>
        <v/>
      </c>
      <c r="AW41" s="170">
        <f>COUNTIF('INPUT - Roster'!$BM$6:$BM$206,"N/A")</f>
        <v/>
      </c>
      <c r="AX41" s="170">
        <f>COUNTIF('INPUT - Roster'!$BN$6:$BN$206,"N/A")</f>
        <v/>
      </c>
      <c r="AY41" s="170">
        <f>COUNTIF('INPUT - Roster'!$BO$6:$BO$206,"N/A")</f>
        <v/>
      </c>
      <c r="AZ41" s="170">
        <f>COUNTIF('INPUT - Roster'!$BP$6:$BP$206,"N/A")</f>
        <v/>
      </c>
      <c r="BA41" s="170">
        <f>COUNTIF('INPUT - Roster'!$BQ$6:$BQ$206,"N/A")</f>
        <v/>
      </c>
      <c r="BB41" s="170">
        <f>COUNTIF('INPUT - Roster'!$BR$6:$BR$206,"N/A")</f>
        <v/>
      </c>
      <c r="BC41" s="170">
        <f>COUNTIF('INPUT - Roster'!$BS$6:$BS$206,"N/A")</f>
        <v/>
      </c>
      <c r="BD41" s="170">
        <f>COUNTIF('INPUT - Roster'!$BT$6:$BT$206,"N/A")</f>
        <v/>
      </c>
      <c r="BE41" s="170">
        <f>COUNTIF('INPUT - Roster'!$BU$6:$BU$206,"N/A")</f>
        <v/>
      </c>
      <c r="BF41" s="170">
        <f>COUNTIF('INPUT - Roster'!$BV$6:$BV$206,"N/A")</f>
        <v/>
      </c>
      <c r="BG41" s="170">
        <f>COUNTIF('INPUT - Roster'!$BW$6:$BW$206,"N/A")</f>
        <v/>
      </c>
      <c r="BH41" s="170">
        <f>COUNTIF('INPUT - Roster'!$BX$6:$BX$206,"N/A")</f>
        <v/>
      </c>
      <c r="BI41" s="170">
        <f>COUNTIF('INPUT - Roster'!$BY$6:$BY$206,"N/A")</f>
        <v/>
      </c>
      <c r="BJ41" s="170">
        <f>COUNTIF('INPUT - Roster'!$BZ$6:$BZ$206,"N/A")</f>
        <v/>
      </c>
      <c r="BK41" s="170">
        <f>COUNTIF('INPUT - Roster'!$CA$6:$CA$206,"N/A")</f>
        <v/>
      </c>
      <c r="BL41" s="170">
        <f>COUNTIF('INPUT - Roster'!$CB$6:$CB$206,"N/A")</f>
        <v/>
      </c>
      <c r="BM41" s="170">
        <f>COUNTIF('INPUT - Roster'!$CC$6:$CC$206,"N/A")</f>
        <v/>
      </c>
      <c r="BN41" s="170">
        <f>COUNTIF('INPUT - Roster'!$CD$6:$CD$206,"N/A")</f>
        <v/>
      </c>
      <c r="BO41" s="170">
        <f>COUNTIF('INPUT - Roster'!$CE$6:$CE$206,"N/A")</f>
        <v/>
      </c>
      <c r="BP41" s="170">
        <f>COUNTIF('INPUT - Roster'!$CF$6:$CF$206,"N/A")</f>
        <v/>
      </c>
      <c r="BQ41" s="170">
        <f>COUNTIF('INPUT - Roster'!$CG$6:$CG$206,"N/A")</f>
        <v/>
      </c>
      <c r="BR41" s="170">
        <f>COUNTIF('INPUT - Roster'!$CH$6:$CH$206,"N/A")</f>
        <v/>
      </c>
      <c r="BS41" s="170">
        <f>COUNTIF('INPUT - Roster'!$CI$6:$CI$206,"N/A")</f>
        <v/>
      </c>
      <c r="BT41" s="170">
        <f>COUNTIF('INPUT - Roster'!$CJ$6:$CJ$206,"N/A")</f>
        <v/>
      </c>
      <c r="BU41" s="170">
        <f>COUNTIF('INPUT - Roster'!$CK$6:$CK$206,"N/A")</f>
        <v/>
      </c>
      <c r="BV41" s="170">
        <f>COUNTIF('INPUT - Roster'!$CL$6:$CL$206,"N/A")</f>
        <v/>
      </c>
      <c r="BW41" s="170">
        <f>COUNTIF('INPUT - Roster'!$CM$6:$CM$206,"N/A")</f>
        <v/>
      </c>
      <c r="BX41" s="170">
        <f>COUNTIF('INPUT - Roster'!$CN$6:$CN$206,"N/A")</f>
        <v/>
      </c>
      <c r="BY41" s="170">
        <f>COUNTIF('INPUT - Roster'!$CO$6:$CO$206,"N/A")</f>
        <v/>
      </c>
      <c r="BZ41" s="170">
        <f>COUNTIF('INPUT - Roster'!$CP$6:$CP$206,"N/A")</f>
        <v/>
      </c>
      <c r="CA41" s="170">
        <f>COUNTIF('INPUT - Roster'!$CQ$6:$CQ$206,"N/A")</f>
        <v/>
      </c>
      <c r="CB41" s="170">
        <f>COUNTIF('INPUT - Roster'!$CR$6:$CR$206,"N/A")</f>
        <v/>
      </c>
      <c r="CC41" s="170">
        <f>COUNTIF('INPUT - Roster'!$CS$6:$CS$206,"N/A")</f>
        <v/>
      </c>
      <c r="CD41" s="170">
        <f>COUNTIF('INPUT - Roster'!$CT$6:$CT$206,"N/A")</f>
        <v/>
      </c>
      <c r="CE41" s="170">
        <f>COUNTIF('INPUT - Roster'!$CU$6:$CU$206,"N/A")</f>
        <v/>
      </c>
      <c r="CF41" s="170">
        <f>COUNTIF('INPUT - Roster'!$CV$6:$CV$206,"N/A")</f>
        <v/>
      </c>
      <c r="CG41" s="170">
        <f>COUNTIF('INPUT - Roster'!$CW$6:$CW$206,"N/A")</f>
        <v/>
      </c>
      <c r="CH41" s="170">
        <f>COUNTIF('INPUT - Roster'!$CX$6:$CX$206,"N/A")</f>
        <v/>
      </c>
      <c r="CI41" s="170">
        <f>COUNTIF('INPUT - Roster'!$CY$6:$CY$206,"N/A")</f>
        <v/>
      </c>
      <c r="CJ41" s="170">
        <f>COUNTIF('INPUT - Roster'!$CZ$6:$CZ$206,"N/A")</f>
        <v/>
      </c>
      <c r="CK41" s="170">
        <f>COUNTIF('INPUT - Roster'!$DA$6:$DA$206,"N/A")</f>
        <v/>
      </c>
      <c r="CL41" s="170">
        <f>COUNTIF('INPUT - Roster'!$DB$6:$DB$206,"N/A")</f>
        <v/>
      </c>
      <c r="CM41" s="170">
        <f>COUNTIF('INPUT - Roster'!$DC$6:$DC$206,"N/A")</f>
        <v/>
      </c>
      <c r="CN41" s="170">
        <f>COUNTIF('INPUT - Roster'!$DD$6:$DD$206,"N/A")</f>
        <v/>
      </c>
      <c r="CO41" s="170">
        <f>COUNTIF('INPUT - Roster'!$DE$6:$DE$206,"N/A")</f>
        <v/>
      </c>
      <c r="CP41" s="170">
        <f>COUNTIF('INPUT - Roster'!$DF$6:$DF$206,"N/A")</f>
        <v/>
      </c>
      <c r="CQ41" s="170">
        <f>COUNTIF('INPUT - Roster'!$DG$6:$DG$206,"N/A")</f>
        <v/>
      </c>
      <c r="CR41" s="170">
        <f>COUNTIF('INPUT - Roster'!$DH$6:$DH$206,"N/A")</f>
        <v/>
      </c>
      <c r="CS41" s="170">
        <f>COUNTIF('INPUT - Roster'!$DI$6:$DI$206,"N/A")</f>
        <v/>
      </c>
      <c r="CT41" s="170">
        <f>COUNTIF('INPUT - Roster'!$DJ$6:$DJ$206,"N/A")</f>
        <v/>
      </c>
      <c r="CU41" s="170">
        <f>COUNTIF('INPUT - Roster'!$DK$6:$DK$206,"N/A")</f>
        <v/>
      </c>
      <c r="CV41" s="170">
        <f>COUNTIF('INPUT - Roster'!$DL$6:$DL$206,"N/A")</f>
        <v/>
      </c>
      <c r="CW41" s="170">
        <f>COUNTIF('INPUT - Roster'!$DM$6:$DM$206,"N/A")</f>
        <v/>
      </c>
      <c r="CX41" s="170">
        <f>COUNTIF('INPUT - Roster'!$DN$6:$DN$206,"N/A")</f>
        <v/>
      </c>
      <c r="CY41" s="170">
        <f>COUNTIF('INPUT - Roster'!$DO$6:$DO$206,"N/A")</f>
        <v/>
      </c>
      <c r="CZ41" s="170">
        <f>COUNTIF('INPUT - Roster'!$DP$6:$DP$206,"N/A")</f>
        <v/>
      </c>
      <c r="DA41" s="170">
        <f>COUNTIF('INPUT - Roster'!$DQ$6:$DQ$206,"N/A")</f>
        <v/>
      </c>
      <c r="DB41" s="170">
        <f>COUNTIF('INPUT - Roster'!$DR$6:$DR$206,"N/A")</f>
        <v/>
      </c>
      <c r="DC41" s="170">
        <f>COUNTIF('INPUT - Roster'!$DS$6:$DS$206,"N/A")</f>
        <v/>
      </c>
      <c r="DD41" s="170">
        <f>COUNTIF('INPUT - Roster'!$DT$6:$DT$206,"N/A")</f>
        <v/>
      </c>
      <c r="DE41" s="170">
        <f>COUNTIF('INPUT - Roster'!$DU$6:$DU$206,"N/A")</f>
        <v/>
      </c>
      <c r="DF41" s="170">
        <f>COUNTIF('INPUT - Roster'!$DV$6:$DV$206,"N/A")</f>
        <v/>
      </c>
      <c r="DG41" s="170">
        <f>COUNTIF('INPUT - Roster'!$DW$6:$DW$206,"N/A")</f>
        <v/>
      </c>
      <c r="DH41" s="170">
        <f>COUNTIF('INPUT - Roster'!$DX$6:$DX$206,"N/A")</f>
        <v/>
      </c>
      <c r="DI41" s="170">
        <f>COUNTIF('INPUT - Roster'!$DY$6:$DY$206,"N/A")</f>
        <v/>
      </c>
      <c r="DJ41" s="170">
        <f>COUNTIF('INPUT - Roster'!$DZ$6:$DZ$206,"N/A")</f>
        <v/>
      </c>
      <c r="DK41" s="170">
        <f>COUNTIF('INPUT - Roster'!$EA$6:$EA$206,"N/A")</f>
        <v/>
      </c>
      <c r="DL41" s="170">
        <f>COUNTIF('INPUT - Roster'!$EB$6:$EB$206,"N/A")</f>
        <v/>
      </c>
      <c r="DM41" s="170">
        <f>COUNTIF('INPUT - Roster'!$EC$6:$EC$206,"N/A")</f>
        <v/>
      </c>
      <c r="DN41" s="170">
        <f>COUNTIF('INPUT - Roster'!$ED$6:$ED$206,"N/A")</f>
        <v/>
      </c>
      <c r="DO41" s="170">
        <f>COUNTIF('INPUT - Roster'!$EE$6:$EE$206,"N/A")</f>
        <v/>
      </c>
      <c r="DP41" s="170">
        <f>COUNTIF('INPUT - Roster'!$EF$6:$EF$206,"N/A")</f>
        <v/>
      </c>
      <c r="DQ41" s="170">
        <f>COUNTIF('INPUT - Roster'!$EG$6:$EG$206,"N/A")</f>
        <v/>
      </c>
      <c r="DR41" s="170">
        <f>COUNTIF('INPUT - Roster'!$EH$6:$EH$206,"N/A")</f>
        <v/>
      </c>
      <c r="DS41" s="170">
        <f>COUNTIF('INPUT - Roster'!$EI$6:$EI$206,"N/A")</f>
        <v/>
      </c>
      <c r="DT41" s="170">
        <f>COUNTIF('INPUT - Roster'!$EJ$6:$EJ$206,"N/A")</f>
        <v/>
      </c>
      <c r="DU41" s="170">
        <f>COUNTIF('INPUT - Roster'!$EK$6:$EK$206,"N/A")</f>
        <v/>
      </c>
      <c r="DV41" s="170">
        <f>COUNTIF('INPUT - Roster'!$EL$6:$EL$206,"N/A")</f>
        <v/>
      </c>
      <c r="DW41" s="170">
        <f>COUNTIF('INPUT - Roster'!$EM$6:$EM$206,"N/A")</f>
        <v/>
      </c>
      <c r="DX41" s="170">
        <f>COUNTIF('INPUT - Roster'!$EN$6:$EN$206,"N/A")</f>
        <v/>
      </c>
      <c r="DY41" s="170">
        <f>COUNTIF('INPUT - Roster'!$EO$6:$EO$206,"N/A")</f>
        <v/>
      </c>
      <c r="DZ41" s="170">
        <f>COUNTIF('INPUT - Roster'!$EP$6:$EP$206,"N/A")</f>
        <v/>
      </c>
      <c r="EA41" s="170">
        <f>COUNTIF('INPUT - Roster'!$EQ$6:$EQ$206,"N/A")</f>
        <v/>
      </c>
      <c r="EB41" s="170">
        <f>COUNTIF('INPUT - Roster'!$ER$6:$ER$206,"N/A")</f>
        <v/>
      </c>
      <c r="EC41" s="170">
        <f>COUNTIF('INPUT - Roster'!$ES$6:$ES$206,"N/A")</f>
        <v/>
      </c>
      <c r="ED41" s="170">
        <f>COUNTIF('INPUT - Roster'!$ET$6:$ET$206,"N/A")</f>
        <v/>
      </c>
      <c r="EE41" s="170">
        <f>COUNTIF('INPUT - Roster'!$EU$6:$EU$206,"N/A")</f>
        <v/>
      </c>
      <c r="EF41" s="170">
        <f>COUNTIF('INPUT - Roster'!$EV$6:$EV$206,"N/A")</f>
        <v/>
      </c>
      <c r="EG41" s="170">
        <f>COUNTIF('INPUT - Roster'!$EW$6:$EW$206,"N/A")</f>
        <v/>
      </c>
      <c r="EH41" s="170">
        <f>COUNTIF('INPUT - Roster'!$EX$6:$EX$206,"N/A")</f>
        <v/>
      </c>
      <c r="EI41" s="170">
        <f>COUNTIF('INPUT - Roster'!$EY$6:$EY$206,"N/A")</f>
        <v/>
      </c>
      <c r="EJ41" s="170">
        <f>COUNTIF('INPUT - Roster'!$EZ$6:$EZ$206,"N/A")</f>
        <v/>
      </c>
      <c r="EK41" s="170">
        <f>COUNTIF('INPUT - Roster'!$FA$6:$FA$206,"N/A")</f>
        <v/>
      </c>
      <c r="EL41" s="170">
        <f>COUNTIF('INPUT - Roster'!$FB$6:$FB$206,"N/A")</f>
        <v/>
      </c>
      <c r="EM41" s="170">
        <f>COUNTIF('INPUT - Roster'!$FC$6:$FC$206,"N/A")</f>
        <v/>
      </c>
      <c r="EN41" s="170">
        <f>COUNTIF('INPUT - Roster'!$FD$6:$FD$206,"N/A")</f>
        <v/>
      </c>
      <c r="EO41" s="170">
        <f>COUNTIF('INPUT - Roster'!$FE$6:$FE$206,"N/A")</f>
        <v/>
      </c>
      <c r="EP41" s="170">
        <f>COUNTIF('INPUT - Roster'!$FF$6:$FF$206,"N/A")</f>
        <v/>
      </c>
      <c r="EQ41" s="170">
        <f>COUNTIF('INPUT - Roster'!$FG$6:$FG$206,"N/A")</f>
        <v/>
      </c>
      <c r="ER41" s="170">
        <f>COUNTIF('INPUT - Roster'!$FH$6:$FH$206,"N/A")</f>
        <v/>
      </c>
      <c r="ES41" s="170">
        <f>COUNTIF('INPUT - Roster'!$FI$6:$FI$206,"N/A")</f>
        <v/>
      </c>
      <c r="ET41" s="170">
        <f>COUNTIF('INPUT - Roster'!$FJ$6:$FJ$206,"N/A")</f>
        <v/>
      </c>
      <c r="EU41" s="170">
        <f>COUNTIF('INPUT - Roster'!$FK$6:$FK$206,"N/A")</f>
        <v/>
      </c>
      <c r="EV41" s="170">
        <f>COUNTIF('INPUT - Roster'!$FL$6:$FL$206,"N/A")</f>
        <v/>
      </c>
      <c r="EW41" s="170">
        <f>COUNTIF('INPUT - Roster'!$FM$6:$FM$206,"N/A")</f>
        <v/>
      </c>
      <c r="EX41" s="170">
        <f>COUNTIF('INPUT - Roster'!$FN$6:$FN$206,"N/A")</f>
        <v/>
      </c>
      <c r="EY41" s="170">
        <f>COUNTIF('INPUT - Roster'!$FO$6:$FO$206,"N/A")</f>
        <v/>
      </c>
      <c r="EZ41" s="170">
        <f>COUNTIF('INPUT - Roster'!$FP$6:$FP$206,"N/A")</f>
        <v/>
      </c>
      <c r="FA41" s="170">
        <f>COUNTIF('INPUT - Roster'!$FQ$6:$FQ$206,"N/A")</f>
        <v/>
      </c>
      <c r="FB41" s="170">
        <f>COUNTIF('INPUT - Roster'!$FR$6:$FR$206,"N/A")</f>
        <v/>
      </c>
      <c r="FC41" s="170">
        <f>COUNTIF('INPUT - Roster'!$FS$6:$FS$206,"N/A")</f>
        <v/>
      </c>
      <c r="FD41" s="170">
        <f>COUNTIF('INPUT - Roster'!$FT$6:$FT$206,"N/A")</f>
        <v/>
      </c>
      <c r="FE41" s="170">
        <f>COUNTIF('INPUT - Roster'!$FU$6:$FU$206,"N/A")</f>
        <v/>
      </c>
      <c r="FF41" s="170">
        <f>COUNTIF('INPUT - Roster'!$FV$6:$FV$206,"N/A")</f>
        <v/>
      </c>
      <c r="FG41" s="170">
        <f>COUNTIF('INPUT - Roster'!$FW$6:$FW$206,"N/A")</f>
        <v/>
      </c>
      <c r="FH41" s="170">
        <f>COUNTIF('INPUT - Roster'!$FX$6:$FX$206,"N/A")</f>
        <v/>
      </c>
      <c r="FI41" s="170">
        <f>COUNTIF('INPUT - Roster'!$FY$6:$FY$206,"N/A")</f>
        <v/>
      </c>
      <c r="FJ41" s="170">
        <f>COUNTIF('INPUT - Roster'!$FZ$6:$FZ$206,"N/A")</f>
        <v/>
      </c>
      <c r="FK41" s="170">
        <f>COUNTIF('INPUT - Roster'!$GA$6:$GA$206,"N/A")</f>
        <v/>
      </c>
      <c r="FL41" s="170">
        <f>COUNTIF('INPUT - Roster'!$GB$6:$GB$206,"N/A")</f>
        <v/>
      </c>
      <c r="FM41" s="170">
        <f>COUNTIF('INPUT - Roster'!$GC$6:$GC$206,"N/A")</f>
        <v/>
      </c>
      <c r="FN41" s="170">
        <f>COUNTIF('INPUT - Roster'!$GD$6:$GD$206,"N/A")</f>
        <v/>
      </c>
      <c r="FO41" s="170">
        <f>COUNTIF('INPUT - Roster'!$GE$6:$GE$206,"N/A")</f>
        <v/>
      </c>
      <c r="FP41" s="170">
        <f>COUNTIF('INPUT - Roster'!$GF$6:$GF$206,"N/A")</f>
        <v/>
      </c>
      <c r="FQ41" s="170">
        <f>COUNTIF('INPUT - Roster'!$GG$6:$GG$206,"N/A")</f>
        <v/>
      </c>
      <c r="FR41" s="170">
        <f>COUNTIF('INPUT - Roster'!$GH$6:$GH$206,"N/A")</f>
        <v/>
      </c>
      <c r="FS41" s="170">
        <f>COUNTIF('INPUT - Roster'!$GI$6:$GI$206,"N/A")</f>
        <v/>
      </c>
      <c r="FT41" s="170">
        <f>COUNTIF('INPUT - Roster'!$GJ$6:$GJ$206,"N/A")</f>
        <v/>
      </c>
      <c r="FU41" s="170">
        <f>COUNTIF('INPUT - Roster'!$GK$6:$GK$206,"N/A")</f>
        <v/>
      </c>
      <c r="FV41" s="170">
        <f>COUNTIF('INPUT - Roster'!$GL$6:$GL$206,"N/A")</f>
        <v/>
      </c>
      <c r="FW41" s="170">
        <f>COUNTIF('INPUT - Roster'!$GM$6:$GM$206,"N/A")</f>
        <v/>
      </c>
      <c r="FX41" s="170">
        <f>COUNTIF('INPUT - Roster'!$GN$6:$GN$206,"N/A")</f>
        <v/>
      </c>
      <c r="FY41" s="170">
        <f>COUNTIF('INPUT - Roster'!$GO$6:$GO$206,"N/A")</f>
        <v/>
      </c>
      <c r="FZ41" s="170">
        <f>COUNTIF('INPUT - Roster'!$GP$6:$GP$206,"N/A")</f>
        <v/>
      </c>
      <c r="GA41" s="170">
        <f>COUNTIF('INPUT - Roster'!$GQ$6:$GQ$206,"N/A")</f>
        <v/>
      </c>
      <c r="GB41" s="170">
        <f>COUNTIF('INPUT - Roster'!$GR$6:$GR$206,"N/A")</f>
        <v/>
      </c>
      <c r="GC41" s="170">
        <f>COUNTIF('INPUT - Roster'!$GS$6:$GS$206,"N/A")</f>
        <v/>
      </c>
      <c r="GD41" s="170">
        <f>COUNTIF('INPUT - Roster'!$GT$6:$GT$206,"N/A")</f>
        <v/>
      </c>
      <c r="GE41" s="170">
        <f>COUNTIF('INPUT - Roster'!$GU$6:$GU$206,"N/A")</f>
        <v/>
      </c>
      <c r="GF41" s="170">
        <f>COUNTIF('INPUT - Roster'!$GV$6:$GV$206,"N/A")</f>
        <v/>
      </c>
      <c r="GG41" s="170">
        <f>COUNTIF('INPUT - Roster'!$GW$6:$GW$206,"N/A")</f>
        <v/>
      </c>
      <c r="GH41" s="170">
        <f>COUNTIF('INPUT - Roster'!$GX$6:$GX$206,"N/A")</f>
        <v/>
      </c>
      <c r="GI41" s="170">
        <f>COUNTIF('INPUT - Roster'!$GY$6:$GY$206,"N/A")</f>
        <v/>
      </c>
      <c r="GJ41" s="170">
        <f>COUNTIF('INPUT - Roster'!$GZ$6:$GZ$206,"N/A")</f>
        <v/>
      </c>
      <c r="GK41" s="170">
        <f>COUNTIF('INPUT - Roster'!$HA$6:$HA$206,"N/A")</f>
        <v/>
      </c>
      <c r="GL41" s="170">
        <f>COUNTIF('INPUT - Roster'!$HB$6:$HB$206,"N/A")</f>
        <v/>
      </c>
      <c r="GM41" s="170">
        <f>COUNTIF('INPUT - Roster'!$HC$6:$HC$206,"N/A")</f>
        <v/>
      </c>
      <c r="GN41" s="170">
        <f>COUNTIF('INPUT - Roster'!$HD$6:$HD$206,"N/A")</f>
        <v/>
      </c>
      <c r="GO41" s="170">
        <f>COUNTIF('INPUT - Roster'!$HE$6:$HE$206,"N/A")</f>
        <v/>
      </c>
      <c r="GP41" s="170">
        <f>COUNTIF('INPUT - Roster'!$HF$6:$HF$206,"N/A")</f>
        <v/>
      </c>
      <c r="GQ41" s="170">
        <f>COUNTIF('INPUT - Roster'!$HG$6:$HG$206,"N/A")</f>
        <v/>
      </c>
      <c r="GR41" s="170">
        <f>COUNTIF('INPUT - Roster'!$HH$6:$HH$206,"N/A")</f>
        <v/>
      </c>
      <c r="GS41" s="170">
        <f>COUNTIF('INPUT - Roster'!$HI$6:$HI$206,"N/A")</f>
        <v/>
      </c>
      <c r="GT41" s="170">
        <f>COUNTIF('INPUT - Roster'!$HJ$6:$HJ$206,"N/A")</f>
        <v/>
      </c>
      <c r="GU41" s="170">
        <f>COUNTIF('INPUT - Roster'!$HK$6:$HK$206,"N/A")</f>
        <v/>
      </c>
      <c r="GV41" s="170">
        <f>COUNTIF('INPUT - Roster'!$HL$6:$HL$206,"N/A")</f>
        <v/>
      </c>
      <c r="GW41" s="170">
        <f>COUNTIF('INPUT - Roster'!$HM$6:$HM$206,"N/A")</f>
        <v/>
      </c>
      <c r="GX41" s="170">
        <f>COUNTIF('INPUT - Roster'!$HN$6:$HN$206,"N/A")</f>
        <v/>
      </c>
      <c r="GY41" s="170">
        <f>COUNTIF('INPUT - Roster'!$HO$6:$HO$206,"N/A")</f>
        <v/>
      </c>
      <c r="GZ41" s="170">
        <f>COUNTIF('INPUT - Roster'!$HP$6:$HP$206,"N/A")</f>
        <v/>
      </c>
      <c r="HA41" s="170">
        <f>COUNTIF('INPUT - Roster'!$HQ$6:$HQ$206,"N/A")</f>
        <v/>
      </c>
      <c r="HB41" s="170">
        <f>COUNTIF('INPUT - Roster'!$HR$6:$HR$206,"N/A")</f>
        <v/>
      </c>
      <c r="HC41" s="170">
        <f>COUNTIF('INPUT - Roster'!$HS$6:$HS$206,"N/A")</f>
        <v/>
      </c>
      <c r="HD41" s="170">
        <f>COUNTIF('INPUT - Roster'!$HT$6:$HT$206,"N/A")</f>
        <v/>
      </c>
      <c r="HE41" s="170">
        <f>COUNTIF('INPUT - Roster'!$HU$6:$HU$206,"N/A")</f>
        <v/>
      </c>
      <c r="HF41" s="170">
        <f>COUNTIF('INPUT - Roster'!$HV$6:$HV$206,"N/A")</f>
        <v/>
      </c>
      <c r="HG41" s="170">
        <f>COUNTIF('INPUT - Roster'!$HW$6:$HW$206,"N/A")</f>
        <v/>
      </c>
      <c r="HH41" s="170">
        <f>COUNTIF('INPUT - Roster'!$HX$6:$HX$206,"N/A")</f>
        <v/>
      </c>
      <c r="HI41" s="170">
        <f>COUNTIF('INPUT - Roster'!$HY$6:$HY$206,"N/A")</f>
        <v/>
      </c>
      <c r="HJ41" s="170">
        <f>COUNTIF('INPUT - Roster'!$HZ$6:$HZ$206,"N/A")</f>
        <v/>
      </c>
      <c r="HK41" s="170">
        <f>COUNTIF('INPUT - Roster'!$IA$6:$IA$206,"N/A")</f>
        <v/>
      </c>
      <c r="HL41" s="170">
        <f>COUNTIF('INPUT - Roster'!$IB$6:$IB$206,"N/A")</f>
        <v/>
      </c>
      <c r="HM41" s="170">
        <f>COUNTIF('INPUT - Roster'!$IC$6:$IC$206,"N/A")</f>
        <v/>
      </c>
      <c r="HN41" s="170">
        <f>COUNTIF('INPUT - Roster'!$ID$6:$ID$206,"N/A")</f>
        <v/>
      </c>
      <c r="HO41" s="170">
        <f>COUNTIF('INPUT - Roster'!$IE$6:$IE$206,"N/A")</f>
        <v/>
      </c>
      <c r="HP41" s="170">
        <f>COUNTIF('INPUT - Roster'!$IF$6:$IF$206,"N/A")</f>
        <v/>
      </c>
      <c r="HQ41" s="170">
        <f>COUNTIF('INPUT - Roster'!$IG$6:$IG$206,"N/A")</f>
        <v/>
      </c>
      <c r="HR41" s="170">
        <f>COUNTIF('INPUT - Roster'!$IH$6:$IH$206,"N/A")</f>
        <v/>
      </c>
      <c r="HS41" s="170">
        <f>COUNTIF('INPUT - Roster'!$II$6:$II$206,"N/A")</f>
        <v/>
      </c>
      <c r="HT41" s="170">
        <f>COUNTIF('INPUT - Roster'!$IJ$6:$IJ$206,"N/A")</f>
        <v/>
      </c>
      <c r="HU41" s="170">
        <f>COUNTIF('INPUT - Roster'!$IK$6:$IK$206,"N/A")</f>
        <v/>
      </c>
      <c r="HV41" s="170">
        <f>COUNTIF('INPUT - Roster'!$IL$6:$IL$206,"N/A")</f>
        <v/>
      </c>
      <c r="HW41" s="170">
        <f>COUNTIF('INPUT - Roster'!$IM$6:$IM$206,"N/A")</f>
        <v/>
      </c>
      <c r="HX41" s="170">
        <f>COUNTIF('INPUT - Roster'!$IN$6:$IN$206,"N/A")</f>
        <v/>
      </c>
      <c r="HY41" s="170">
        <f>COUNTIF('INPUT - Roster'!$IO$6:$IO$206,"N/A")</f>
        <v/>
      </c>
      <c r="HZ41" s="170">
        <f>COUNTIF('INPUT - Roster'!$IP$6:$IP$206,"N/A")</f>
        <v/>
      </c>
      <c r="IA41" s="170">
        <f>COUNTIF('INPUT - Roster'!$IQ$6:$IQ$206,"N/A")</f>
        <v/>
      </c>
      <c r="IB41" s="170">
        <f>COUNTIF('INPUT - Roster'!$IR$6:$IR$206,"N/A")</f>
        <v/>
      </c>
      <c r="IC41" s="170">
        <f>COUNTIF('INPUT - Roster'!$IS$6:$IS$206,"N/A")</f>
        <v/>
      </c>
      <c r="ID41" s="170">
        <f>COUNTIF('INPUT - Roster'!$IT$6:$IT$206,"N/A")</f>
        <v/>
      </c>
      <c r="IE41" s="170">
        <f>COUNTIF('INPUT - Roster'!$IU$6:$IU$206,"N/A")</f>
        <v/>
      </c>
      <c r="IF41" s="170">
        <f>COUNTIF('INPUT - Roster'!$IV$6:$IV$206,"N/A")</f>
        <v/>
      </c>
      <c r="IG41" s="170">
        <f>COUNTIF('INPUT - Roster'!$IW$6:$IW$206,"N/A")</f>
        <v/>
      </c>
      <c r="IH41" s="170">
        <f>COUNTIF('INPUT - Roster'!$IX$6:$IX$206,"N/A")</f>
        <v/>
      </c>
      <c r="II41" s="170">
        <f>COUNTIF('INPUT - Roster'!$IY$6:$IY$206,"N/A")</f>
        <v/>
      </c>
      <c r="IJ41" s="170">
        <f>COUNTIF('INPUT - Roster'!$IZ$6:$IZ$206,"N/A")</f>
        <v/>
      </c>
      <c r="IK41" s="170">
        <f>COUNTIF('INPUT - Roster'!$JA$6:$JA$206,"N/A")</f>
        <v/>
      </c>
      <c r="IL41" s="170">
        <f>COUNTIF('INPUT - Roster'!$JB$6:$JB$206,"N/A")</f>
        <v/>
      </c>
      <c r="IM41" s="170">
        <f>COUNTIF('INPUT - Roster'!$JC$6:$JC$206,"N/A")</f>
        <v/>
      </c>
      <c r="IN41" s="170">
        <f>COUNTIF('INPUT - Roster'!$JD$6:$JD$206,"N/A")</f>
        <v/>
      </c>
      <c r="IO41" s="170">
        <f>COUNTIF('INPUT - Roster'!$JE$6:$JE$206,"N/A")</f>
        <v/>
      </c>
      <c r="IP41" s="170">
        <f>COUNTIF('INPUT - Roster'!$JF$6:$JF$206,"N/A")</f>
        <v/>
      </c>
      <c r="IQ41" s="170">
        <f>COUNTIF('INPUT - Roster'!$JG$6:$JG$206,"N/A")</f>
        <v/>
      </c>
      <c r="IR41" s="170">
        <f>COUNTIF('INPUT - Roster'!$JH$6:$JH$206,"N/A")</f>
        <v/>
      </c>
      <c r="IS41" s="170">
        <f>COUNTIF('INPUT - Roster'!$JI$6:$JI$206,"N/A")</f>
        <v/>
      </c>
      <c r="IT41" s="170">
        <f>COUNTIF('INPUT - Roster'!$JJ$6:$JJ$206,"N/A")</f>
        <v/>
      </c>
      <c r="IU41" s="170">
        <f>COUNTIF('INPUT - Roster'!$JK$6:$JK$206,"N/A")</f>
        <v/>
      </c>
      <c r="IV41" s="170">
        <f>COUNTIF('INPUT - Roster'!$JL$6:$JL$206,"N/A")</f>
        <v/>
      </c>
      <c r="IW41" s="170">
        <f>COUNTIF('INPUT - Roster'!$JM$6:$JM$206,"N/A")</f>
        <v/>
      </c>
      <c r="IX41" s="170">
        <f>COUNTIF('INPUT - Roster'!$JN$6:$JN$206,"N/A")</f>
        <v/>
      </c>
      <c r="IY41" s="170">
        <f>COUNTIF('INPUT - Roster'!$JO$6:$JO$206,"N/A")</f>
        <v/>
      </c>
      <c r="IZ41" s="170">
        <f>COUNTIF('INPUT - Roster'!$JP$6:$JP$206,"N/A")</f>
        <v/>
      </c>
      <c r="JA41" s="170">
        <f>COUNTIF('INPUT - Roster'!$JQ$6:$JQ$206,"N/A")</f>
        <v/>
      </c>
      <c r="JB41" s="170">
        <f>COUNTIF('INPUT - Roster'!$JR$6:$JR$206,"N/A")</f>
        <v/>
      </c>
      <c r="JC41" s="170">
        <f>COUNTIF('INPUT - Roster'!$JS$6:$JS$206,"N/A")</f>
        <v/>
      </c>
      <c r="JD41" s="170">
        <f>COUNTIF('INPUT - Roster'!$JT$6:$JT$206,"N/A")</f>
        <v/>
      </c>
      <c r="JE41" s="170">
        <f>COUNTIF('INPUT - Roster'!$JU$6:$JU$206,"N/A")</f>
        <v/>
      </c>
      <c r="JF41" s="170">
        <f>COUNTIF('INPUT - Roster'!$JV$6:$JV$206,"N/A")</f>
        <v/>
      </c>
      <c r="JG41" s="170">
        <f>COUNTIF('INPUT - Roster'!$JW$6:$JW$206,"N/A")</f>
        <v/>
      </c>
      <c r="JH41" s="170">
        <f>COUNTIF('INPUT - Roster'!$JX$6:$JX$206,"N/A")</f>
        <v/>
      </c>
      <c r="JI41" s="170">
        <f>COUNTIF('INPUT - Roster'!$JY$6:$JY$206,"N/A")</f>
        <v/>
      </c>
      <c r="JJ41" s="170">
        <f>COUNTIF('INPUT - Roster'!$JZ$6:$JZ$206,"N/A")</f>
        <v/>
      </c>
      <c r="JK41" s="170">
        <f>COUNTIF('INPUT - Roster'!$KA$6:$KA$206,"N/A")</f>
        <v/>
      </c>
      <c r="JL41" s="170">
        <f>COUNTIF('INPUT - Roster'!$KB$6:$KB$206,"N/A")</f>
        <v/>
      </c>
      <c r="JM41" s="170">
        <f>COUNTIF('INPUT - Roster'!$KC$6:$KC$206,"N/A")</f>
        <v/>
      </c>
      <c r="JN41" s="170">
        <f>COUNTIF('INPUT - Roster'!$KD$6:$KD$206,"N/A")</f>
        <v/>
      </c>
      <c r="JO41" s="170">
        <f>COUNTIF('INPUT - Roster'!$KE$6:$KE$206,"N/A")</f>
        <v/>
      </c>
      <c r="JP41" s="170">
        <f>COUNTIF('INPUT - Roster'!$KF$6:$KF$206,"N/A")</f>
        <v/>
      </c>
      <c r="JQ41" s="170">
        <f>COUNTIF('INPUT - Roster'!$KG$6:$KG$206,"N/A")</f>
        <v/>
      </c>
      <c r="JR41" s="170">
        <f>COUNTIF('INPUT - Roster'!$KH$6:$KH$206,"N/A")</f>
        <v/>
      </c>
      <c r="JS41" s="170">
        <f>COUNTIF('INPUT - Roster'!$KI$6:$KI$206,"N/A")</f>
        <v/>
      </c>
      <c r="JT41" s="170">
        <f>COUNTIF('INPUT - Roster'!$KJ$6:$KJ$206,"N/A")</f>
        <v/>
      </c>
      <c r="JU41" s="170">
        <f>COUNTIF('INPUT - Roster'!$KK$6:$KK$206,"N/A")</f>
        <v/>
      </c>
      <c r="JV41" s="170">
        <f>COUNTIF('INPUT - Roster'!$KL$6:$KL$206,"N/A")</f>
        <v/>
      </c>
      <c r="JW41" s="170">
        <f>COUNTIF('INPUT - Roster'!$KM$6:$KM$206,"N/A")</f>
        <v/>
      </c>
      <c r="JX41" s="170">
        <f>COUNTIF('INPUT - Roster'!$KN$6:$KN$206,"N/A")</f>
        <v/>
      </c>
      <c r="JY41" s="170">
        <f>COUNTIF('INPUT - Roster'!$KO$6:$KO$206,"N/A")</f>
        <v/>
      </c>
      <c r="JZ41" s="170">
        <f>COUNTIF('INPUT - Roster'!$KP$6:$KP$206,"N/A")</f>
        <v/>
      </c>
      <c r="KA41" s="170">
        <f>COUNTIF('INPUT - Roster'!$KQ$6:$KQ$206,"N/A")</f>
        <v/>
      </c>
      <c r="KB41" s="170">
        <f>COUNTIF('INPUT - Roster'!$KR$6:$KR$206,"N/A")</f>
        <v/>
      </c>
      <c r="KC41" s="170">
        <f>COUNTIF('INPUT - Roster'!$KS$6:$KS$206,"N/A")</f>
        <v/>
      </c>
      <c r="KD41" s="170">
        <f>COUNTIF('INPUT - Roster'!$KT$6:$KT$206,"N/A")</f>
        <v/>
      </c>
      <c r="KE41" s="170">
        <f>COUNTIF('INPUT - Roster'!$KU$6:$KU$206,"N/A")</f>
        <v/>
      </c>
      <c r="KF41" s="170">
        <f>COUNTIF('INPUT - Roster'!$KV$6:$KV$206,"N/A")</f>
        <v/>
      </c>
      <c r="KG41" s="170">
        <f>COUNTIF('INPUT - Roster'!$KW$6:$KW$206,"N/A")</f>
        <v/>
      </c>
      <c r="KH41" s="170">
        <f>COUNTIF('INPUT - Roster'!$KX$6:$KX$206,"N/A")</f>
        <v/>
      </c>
      <c r="KI41" s="170">
        <f>COUNTIF('INPUT - Roster'!$KY$6:$KY$206,"N/A")</f>
        <v/>
      </c>
      <c r="KJ41" s="170">
        <f>COUNTIF('INPUT - Roster'!$KZ$6:$KZ$206,"N/A")</f>
        <v/>
      </c>
      <c r="KK41" s="170">
        <f>COUNTIF('INPUT - Roster'!$LA$6:$LA$206,"N/A")</f>
        <v/>
      </c>
      <c r="KL41" s="170">
        <f>COUNTIF('INPUT - Roster'!$LB$6:$LB$206,"N/A")</f>
        <v/>
      </c>
      <c r="KM41" s="170">
        <f>COUNTIF('INPUT - Roster'!$LC$6:$LC$206,"N/A")</f>
        <v/>
      </c>
      <c r="KN41" s="170">
        <f>COUNTIF('INPUT - Roster'!$LD$6:$LD$206,"N/A")</f>
        <v/>
      </c>
      <c r="KO41" s="170">
        <f>COUNTIF('INPUT - Roster'!$LE$6:$LE$206,"N/A")</f>
        <v/>
      </c>
      <c r="KP41" s="170">
        <f>COUNTIF('INPUT - Roster'!$LF$6:$LF$206,"N/A")</f>
        <v/>
      </c>
      <c r="KQ41" s="170">
        <f>COUNTIF('INPUT - Roster'!$LG$6:$LG$206,"N/A")</f>
        <v/>
      </c>
      <c r="KR41" s="170">
        <f>COUNTIF('INPUT - Roster'!$LH$6:$LH$206,"N/A")</f>
        <v/>
      </c>
      <c r="KS41" s="170">
        <f>COUNTIF('INPUT - Roster'!$LI$6:$LI$206,"N/A")</f>
        <v/>
      </c>
      <c r="KT41" s="170">
        <f>COUNTIF('INPUT - Roster'!$LJ$6:$LJ$206,"N/A")</f>
        <v/>
      </c>
      <c r="KU41" s="170">
        <f>COUNTIF('INPUT - Roster'!$LK$6:$LK$206,"N/A")</f>
        <v/>
      </c>
      <c r="KV41" s="170">
        <f>COUNTIF('INPUT - Roster'!$LL$6:$LL$206,"N/A")</f>
        <v/>
      </c>
      <c r="KW41" s="170">
        <f>COUNTIF('INPUT - Roster'!$LM$6:$LM$206,"N/A")</f>
        <v/>
      </c>
      <c r="KX41" s="170">
        <f>COUNTIF('INPUT - Roster'!$LN$6:$LN$206,"N/A")</f>
        <v/>
      </c>
      <c r="KY41" s="170">
        <f>COUNTIF('INPUT - Roster'!$LO$6:$LO$206,"N/A")</f>
        <v/>
      </c>
      <c r="KZ41" s="170">
        <f>COUNTIF('INPUT - Roster'!$LP$6:$LP$206,"N/A")</f>
        <v/>
      </c>
      <c r="LA41" s="170">
        <f>COUNTIF('INPUT - Roster'!$LQ$6:$LQ$206,"N/A")</f>
        <v/>
      </c>
      <c r="LB41" s="170">
        <f>COUNTIF('INPUT - Roster'!$LR$6:$LR$206,"N/A")</f>
        <v/>
      </c>
      <c r="LC41" s="170">
        <f>COUNTIF('INPUT - Roster'!$LS$6:$LS$206,"N/A")</f>
        <v/>
      </c>
      <c r="LD41" s="170">
        <f>COUNTIF('INPUT - Roster'!$LT$6:$LT$206,"N/A")</f>
        <v/>
      </c>
      <c r="LE41" s="170">
        <f>COUNTIF('INPUT - Roster'!$LU$6:$LU$206,"N/A")</f>
        <v/>
      </c>
      <c r="LF41" s="170">
        <f>COUNTIF('INPUT - Roster'!$LV$6:$LV$206,"N/A")</f>
        <v/>
      </c>
      <c r="LG41" s="170">
        <f>COUNTIF('INPUT - Roster'!$LW$6:$LW$206,"N/A")</f>
        <v/>
      </c>
      <c r="LH41" s="170">
        <f>COUNTIF('INPUT - Roster'!$LX$6:$LX$206,"N/A")</f>
        <v/>
      </c>
      <c r="LI41" s="170">
        <f>COUNTIF('INPUT - Roster'!$LY$6:$LY$206,"N/A")</f>
        <v/>
      </c>
      <c r="LJ41" s="170">
        <f>COUNTIF('INPUT - Roster'!$LZ$6:$LZ$206,"N/A")</f>
        <v/>
      </c>
      <c r="LK41" s="170">
        <f>COUNTIF('INPUT - Roster'!$MA$6:$MA$206,"N/A")</f>
        <v/>
      </c>
      <c r="LL41" s="170">
        <f>COUNTIF('INPUT - Roster'!$MB$6:$MB$206,"N/A")</f>
        <v/>
      </c>
      <c r="LM41" s="170">
        <f>COUNTIF('INPUT - Roster'!$MC$6:$MC$206,"N/A")</f>
        <v/>
      </c>
      <c r="LN41" s="170">
        <f>COUNTIF('INPUT - Roster'!$MD$6:$MD$206,"N/A")</f>
        <v/>
      </c>
      <c r="LO41" s="170">
        <f>COUNTIF('INPUT - Roster'!$ME$6:$ME$206,"N/A")</f>
        <v/>
      </c>
      <c r="LP41" s="170">
        <f>COUNTIF('INPUT - Roster'!$MF$6:$MF$206,"N/A")</f>
        <v/>
      </c>
      <c r="LQ41" s="170">
        <f>COUNTIF('INPUT - Roster'!$MG$6:$MG$206,"N/A")</f>
        <v/>
      </c>
      <c r="LR41" s="170">
        <f>COUNTIF('INPUT - Roster'!$MH$6:$MH$206,"N/A")</f>
        <v/>
      </c>
      <c r="LS41" s="170">
        <f>COUNTIF('INPUT - Roster'!$MI$6:$MI$206,"N/A")</f>
        <v/>
      </c>
      <c r="LT41" s="170">
        <f>COUNTIF('INPUT - Roster'!$MJ$6:$MJ$206,"N/A")</f>
        <v/>
      </c>
      <c r="LU41" s="170">
        <f>COUNTIF('INPUT - Roster'!$MK$6:$MK$206,"N/A")</f>
        <v/>
      </c>
      <c r="LV41" s="170">
        <f>COUNTIF('INPUT - Roster'!$ML$6:$ML$206,"N/A")</f>
        <v/>
      </c>
      <c r="LW41" s="170">
        <f>COUNTIF('INPUT - Roster'!$MM$6:$MM$206,"N/A")</f>
        <v/>
      </c>
      <c r="LX41" s="170">
        <f>COUNTIF('INPUT - Roster'!$MN$6:$MN$206,"N/A")</f>
        <v/>
      </c>
      <c r="LY41" s="170">
        <f>COUNTIF('INPUT - Roster'!$MO$6:$MO$206,"N/A")</f>
        <v/>
      </c>
      <c r="LZ41" s="170">
        <f>COUNTIF('INPUT - Roster'!$MP$6:$MP$206,"N/A")</f>
        <v/>
      </c>
      <c r="MA41" s="170">
        <f>COUNTIF('INPUT - Roster'!$MQ$6:$MQ$206,"N/A")</f>
        <v/>
      </c>
      <c r="MB41" s="170">
        <f>COUNTIF('INPUT - Roster'!$MR$6:$MR$206,"N/A")</f>
        <v/>
      </c>
      <c r="MC41" s="170">
        <f>COUNTIF('INPUT - Roster'!$MS$6:$MS$206,"N/A")</f>
        <v/>
      </c>
      <c r="MD41" s="170">
        <f>COUNTIF('INPUT - Roster'!$MT$6:$MT$206,"N/A")</f>
        <v/>
      </c>
      <c r="ME41" s="170">
        <f>COUNTIF('INPUT - Roster'!$MU$6:$MU$206,"N/A")</f>
        <v/>
      </c>
      <c r="MF41" s="170">
        <f>COUNTIF('INPUT - Roster'!$MV$6:$MV$206,"N/A")</f>
        <v/>
      </c>
      <c r="MG41" s="170">
        <f>COUNTIF('INPUT - Roster'!$MW$6:$MW$206,"N/A")</f>
        <v/>
      </c>
      <c r="MH41" s="170">
        <f>COUNTIF('INPUT - Roster'!$MX$6:$MX$206,"N/A")</f>
        <v/>
      </c>
      <c r="MI41" s="170">
        <f>COUNTIF('INPUT - Roster'!$MY$6:$MY$206,"N/A")</f>
        <v/>
      </c>
      <c r="MJ41" s="170">
        <f>COUNTIF('INPUT - Roster'!$MZ$6:$MZ$206,"N/A")</f>
        <v/>
      </c>
      <c r="MK41" s="170">
        <f>COUNTIF('INPUT - Roster'!$NA$6:$NA$206,"N/A")</f>
        <v/>
      </c>
      <c r="ML41" s="170">
        <f>COUNTIF('INPUT - Roster'!$NB$6:$NB$206,"N/A")</f>
        <v/>
      </c>
      <c r="MM41" s="170">
        <f>COUNTIF('INPUT - Roster'!$NC$6:$NC$206,"N/A")</f>
        <v/>
      </c>
      <c r="MN41" s="170">
        <f>COUNTIF('INPUT - Roster'!$ND$6:$ND$206,"N/A")</f>
        <v/>
      </c>
      <c r="MO41" s="170">
        <f>COUNTIF('INPUT - Roster'!$NE$6:$NE$206,"N/A")</f>
        <v/>
      </c>
      <c r="MP41" s="170">
        <f>COUNTIF('INPUT - Roster'!$NF$6:$NF$206,"N/A")</f>
        <v/>
      </c>
      <c r="MQ41" s="170">
        <f>COUNTIF('INPUT - Roster'!$NG$6:$NG$206,"N/A")</f>
        <v/>
      </c>
      <c r="MR41" s="170">
        <f>COUNTIF('INPUT - Roster'!$NH$6:$NH$206,"N/A")</f>
        <v/>
      </c>
      <c r="MS41" s="170">
        <f>COUNTIF('INPUT - Roster'!$NI$6:$NI$206,"N/A")</f>
        <v/>
      </c>
      <c r="MT41" s="170">
        <f>COUNTIF('INPUT - Roster'!$NJ$6:$NJ$206,"N/A")</f>
        <v/>
      </c>
      <c r="MU41" s="170">
        <f>COUNTIF('INPUT - Roster'!$NK$6:$NK$206,"N/A")</f>
        <v/>
      </c>
      <c r="MV41" s="170">
        <f>COUNTIF('INPUT - Roster'!$NL$6:$NL$206,"N/A")</f>
        <v/>
      </c>
      <c r="MW41" s="170">
        <f>COUNTIF('INPUT - Roster'!$NM$6:$NM$206,"N/A")</f>
        <v/>
      </c>
      <c r="MX41" s="170">
        <f>COUNTIF('INPUT - Roster'!$NN$6:$NN$206,"N/A")</f>
        <v/>
      </c>
      <c r="MY41" s="170">
        <f>COUNTIF('INPUT - Roster'!$NO$6:$NO$206,"N/A")</f>
        <v/>
      </c>
      <c r="MZ41" s="170">
        <f>COUNTIF('INPUT - Roster'!$NP$6:$NP$206,"N/A")</f>
        <v/>
      </c>
      <c r="NA41" s="170">
        <f>COUNTIF('INPUT - Roster'!$NQ$6:$NQ$206,"N/A")</f>
        <v/>
      </c>
      <c r="NB41" s="170">
        <f>COUNTIF('INPUT - Roster'!$NR$6:$NR$206,"N/A")</f>
        <v/>
      </c>
      <c r="NC41" s="170">
        <f>COUNTIF('INPUT - Roster'!$NS$6:$NS$206,"N/A")</f>
        <v/>
      </c>
      <c r="ND41" s="170">
        <f>COUNTIF('INPUT - Roster'!$NT$6:$NT$206,"N/A")</f>
        <v/>
      </c>
      <c r="NE41" s="170">
        <f>COUNTIF('INPUT - Roster'!$NU$6:$NU$206,"N/A")</f>
        <v/>
      </c>
      <c r="NF41" s="170">
        <f>COUNTIF('INPUT - Roster'!$NV$6:$NV$206,"N/A")</f>
        <v/>
      </c>
      <c r="NG41" s="170">
        <f>COUNTIF('INPUT - Roster'!$NW$6:$NW$206,"N/A")</f>
        <v/>
      </c>
      <c r="NH41" s="170">
        <f>COUNTIF('INPUT - Roster'!$NX$6:$NX$206,"N/A")</f>
        <v/>
      </c>
      <c r="NI41" s="170">
        <f>COUNTIF('INPUT - Roster'!$NY$6:$NY$206,"N/A")</f>
        <v/>
      </c>
      <c r="NJ41" s="170">
        <f>COUNTIF('INPUT - Roster'!$NZ$6:$NZ$206,"N/A")</f>
        <v/>
      </c>
      <c r="NK41" s="170">
        <f>COUNTIF('INPUT - Roster'!$OA$6:$OA$206,"N/A")</f>
        <v/>
      </c>
      <c r="NL41" s="170">
        <f>COUNTIF('INPUT - Roster'!$OB$6:$OB$206,"N/A")</f>
        <v/>
      </c>
      <c r="NM41" s="170">
        <f>COUNTIF('INPUT - Roster'!$OC$6:$OC$206,"N/A")</f>
        <v/>
      </c>
      <c r="NN41" s="170">
        <f>COUNTIF('INPUT - Roster'!$OD$6:$OD$206,"N/A")</f>
        <v/>
      </c>
      <c r="NO41" s="170">
        <f>COUNTIF('INPUT - Roster'!$OE$6:$OE$206,"N/A")</f>
        <v/>
      </c>
      <c r="NP41" s="170">
        <f>COUNTIF('INPUT - Roster'!$OF$6:$OF$206,"N/A")</f>
        <v/>
      </c>
      <c r="NQ41" s="170">
        <f>COUNTIF('INPUT - Roster'!$OG$6:$OG$206,"N/A")</f>
        <v/>
      </c>
      <c r="NR41" s="170">
        <f>COUNTIF('INPUT - Roster'!$OH$6:$OH$206,"N/A")</f>
        <v/>
      </c>
      <c r="NS41" s="170">
        <f>COUNTIF('INPUT - Roster'!$OI$6:$OI$206,"N/A")</f>
        <v/>
      </c>
      <c r="NT41" s="170">
        <f>COUNTIF('INPUT - Roster'!$OJ$6:$OJ$206,"N/A")</f>
        <v/>
      </c>
      <c r="NU41" s="170">
        <f>COUNTIF('INPUT - Roster'!$OK$6:$OK$206,"N/A")</f>
        <v/>
      </c>
      <c r="NV41" s="170">
        <f>COUNTIF('INPUT - Roster'!$OL$6:$OL$206,"N/A")</f>
        <v/>
      </c>
      <c r="NW41" s="170">
        <f>COUNTIF('INPUT - Roster'!$OM$6:$OM$206,"N/A")</f>
        <v/>
      </c>
      <c r="NX41" s="170">
        <f>COUNTIF('INPUT - Roster'!$ON$6:$ON$206,"N/A")</f>
        <v/>
      </c>
      <c r="NY41" s="170">
        <f>COUNTIF('INPUT - Roster'!$OO$6:$OO$206,"N/A")</f>
        <v/>
      </c>
      <c r="NZ41" s="170">
        <f>COUNTIF('INPUT - Roster'!$OP$6:$OP$206,"N/A")</f>
        <v/>
      </c>
      <c r="OA41" s="170">
        <f>COUNTIF('INPUT - Roster'!$OQ$6:$OQ$206,"N/A")</f>
        <v/>
      </c>
      <c r="OB41" s="170">
        <f>COUNTIF('INPUT - Roster'!$OR$6:$OR$206,"N/A")</f>
        <v/>
      </c>
      <c r="OC41" s="170">
        <f>COUNTIF('INPUT - Roster'!$OS$6:$OS$206,"N/A")</f>
        <v/>
      </c>
      <c r="OD41" s="170">
        <f>COUNTIF('INPUT - Roster'!$OT$6:$OT$206,"N/A")</f>
        <v/>
      </c>
      <c r="OE41" s="170">
        <f>COUNTIF('INPUT - Roster'!$OU$6:$OU$206,"N/A")</f>
        <v/>
      </c>
      <c r="OF41" s="170">
        <f>COUNTIF('INPUT - Roster'!$OV$6:$OV$206,"N/A")</f>
        <v/>
      </c>
      <c r="OG41" s="170">
        <f>COUNTIF('INPUT - Roster'!$OW$6:$OW$206,"N/A")</f>
        <v/>
      </c>
      <c r="OH41" s="170">
        <f>COUNTIF('INPUT - Roster'!$OX$6:$OX$206,"N/A")</f>
        <v/>
      </c>
      <c r="OI41" s="170">
        <f>COUNTIF('INPUT - Roster'!$OY$6:$OY$206,"N/A")</f>
        <v/>
      </c>
      <c r="OJ41" s="170">
        <f>COUNTIF('INPUT - Roster'!$OZ$6:$OZ$206,"N/A")</f>
        <v/>
      </c>
      <c r="OK41" s="170">
        <f>COUNTIF('INPUT - Roster'!$PA$6:$PA$206,"N/A")</f>
        <v/>
      </c>
      <c r="OL41" s="170">
        <f>COUNTIF('INPUT - Roster'!$PB$6:$PB$206,"N/A")</f>
        <v/>
      </c>
      <c r="OM41" s="170">
        <f>COUNTIF('INPUT - Roster'!$PC$6:$PC$206,"N/A")</f>
        <v/>
      </c>
      <c r="ON41" s="170">
        <f>COUNTIF('INPUT - Roster'!$PD$6:$PD$206,"N/A")</f>
        <v/>
      </c>
      <c r="OO41" s="170">
        <f>COUNTIF('INPUT - Roster'!$PE$6:$PE$206,"N/A")</f>
        <v/>
      </c>
      <c r="OP41" s="170">
        <f>COUNTIF('INPUT - Roster'!$PF$6:$PF$206,"N/A")</f>
        <v/>
      </c>
      <c r="OQ41" s="170">
        <f>COUNTIF('INPUT - Roster'!$PG$6:$PG$206,"N/A")</f>
        <v/>
      </c>
      <c r="OR41" s="170">
        <f>COUNTIF('INPUT - Roster'!$PH$6:$PH$206,"N/A")</f>
        <v/>
      </c>
      <c r="OS41" s="170">
        <f>COUNTIF('INPUT - Roster'!$PI$6:$PI$206,"N/A")</f>
        <v/>
      </c>
      <c r="OT41" s="170">
        <f>COUNTIF('INPUT - Roster'!$PJ$6:$PJ$206,"N/A")</f>
        <v/>
      </c>
      <c r="OU41" s="170">
        <f>COUNTIF('INPUT - Roster'!$PK$6:$PK$206,"N/A")</f>
        <v/>
      </c>
      <c r="OV41" s="170">
        <f>COUNTIF('INPUT - Roster'!$PL$6:$PL$206,"N/A")</f>
        <v/>
      </c>
      <c r="OW41" s="170">
        <f>COUNTIF('INPUT - Roster'!$PM$6:$PM$206,"N/A")</f>
        <v/>
      </c>
      <c r="OX41" s="170">
        <f>COUNTIF('INPUT - Roster'!$PN$6:$PN$206,"N/A")</f>
        <v/>
      </c>
      <c r="OY41" s="170">
        <f>COUNTIF('INPUT - Roster'!$PO$6:$PO$206,"N/A")</f>
        <v/>
      </c>
      <c r="OZ41" s="170">
        <f>COUNTIF('INPUT - Roster'!$PP$6:$PP$206,"N/A")</f>
        <v/>
      </c>
      <c r="PA41" s="170">
        <f>COUNTIF('INPUT - Roster'!$PQ$6:$PQ$206,"N/A")</f>
        <v/>
      </c>
      <c r="PB41" s="170">
        <f>COUNTIF('INPUT - Roster'!$PR$6:$PR$206,"N/A")</f>
        <v/>
      </c>
      <c r="PC41" s="170">
        <f>COUNTIF('INPUT - Roster'!$PS$6:$PS$206,"N/A")</f>
        <v/>
      </c>
      <c r="PD41" s="170">
        <f>COUNTIF('INPUT - Roster'!$PT$6:$PT$206,"N/A")</f>
        <v/>
      </c>
      <c r="PE41" s="170">
        <f>COUNTIF('INPUT - Roster'!$PU$6:$PU$206,"N/A")</f>
        <v/>
      </c>
      <c r="PF41" s="170">
        <f>COUNTIF('INPUT - Roster'!$PV$6:$PV$206,"N/A")</f>
        <v/>
      </c>
      <c r="PG41" s="170">
        <f>COUNTIF('INPUT - Roster'!$PW$6:$PW$206,"N/A")</f>
        <v/>
      </c>
      <c r="PH41" s="170">
        <f>COUNTIF('INPUT - Roster'!$PX$6:$PX$206,"N/A")</f>
        <v/>
      </c>
      <c r="PI41" s="170">
        <f>COUNTIF('INPUT - Roster'!$PY$6:$PY$206,"N/A")</f>
        <v/>
      </c>
      <c r="PJ41" s="170">
        <f>COUNTIF('INPUT - Roster'!$PZ$6:$PZ$206,"N/A")</f>
        <v/>
      </c>
      <c r="PK41" s="170">
        <f>COUNTIF('INPUT - Roster'!$QA$6:$QA$206,"N/A")</f>
        <v/>
      </c>
      <c r="PL41" s="170">
        <f>COUNTIF('INPUT - Roster'!$QB$6:$QB$206,"N/A")</f>
        <v/>
      </c>
      <c r="PM41" s="170">
        <f>COUNTIF('INPUT - Roster'!$QC$6:$QC$206,"N/A")</f>
        <v/>
      </c>
      <c r="PN41" s="170">
        <f>COUNTIF('INPUT - Roster'!$QD$6:$QD$206,"N/A")</f>
        <v/>
      </c>
      <c r="PO41" s="170">
        <f>COUNTIF('INPUT - Roster'!$QE$6:$QE$206,"N/A")</f>
        <v/>
      </c>
      <c r="PP41" s="170">
        <f>COUNTIF('INPUT - Roster'!$QF$6:$QF$206,"N/A")</f>
        <v/>
      </c>
      <c r="PQ41" s="170">
        <f>COUNTIF('INPUT - Roster'!$QG$6:$QG$206,"N/A")</f>
        <v/>
      </c>
      <c r="PR41" s="170">
        <f>COUNTIF('INPUT - Roster'!$QH$6:$QH$206,"N/A")</f>
        <v/>
      </c>
      <c r="PS41" s="170">
        <f>COUNTIF('INPUT - Roster'!$QI$6:$QI$206,"N/A")</f>
        <v/>
      </c>
      <c r="PT41" s="170">
        <f>COUNTIF('INPUT - Roster'!$QJ$6:$QJ$206,"N/A")</f>
        <v/>
      </c>
      <c r="PU41" s="170">
        <f>COUNTIF('INPUT - Roster'!$QK$6:$QK$206,"N/A")</f>
        <v/>
      </c>
      <c r="PV41" s="170">
        <f>COUNTIF('INPUT - Roster'!$QL$6:$QL$206,"N/A")</f>
        <v/>
      </c>
      <c r="PW41" s="170">
        <f>COUNTIF('INPUT - Roster'!$QM$6:$QM$206,"N/A")</f>
        <v/>
      </c>
      <c r="PX41" s="170">
        <f>COUNTIF('INPUT - Roster'!$QN$6:$QN$206,"N/A")</f>
        <v/>
      </c>
      <c r="PY41" s="170">
        <f>COUNTIF('INPUT - Roster'!$QO$6:$QO$206,"N/A")</f>
        <v/>
      </c>
      <c r="PZ41" s="170">
        <f>COUNTIF('INPUT - Roster'!$QP$6:$QP$206,"N/A")</f>
        <v/>
      </c>
      <c r="QA41" s="170">
        <f>COUNTIF('INPUT - Roster'!$QQ$6:$QQ$206,"N/A")</f>
        <v/>
      </c>
      <c r="QB41" s="170">
        <f>COUNTIF('INPUT - Roster'!$QR$6:$QR$206,"N/A")</f>
        <v/>
      </c>
      <c r="QC41" s="170">
        <f>COUNTIF('INPUT - Roster'!$QS$6:$QS$206,"N/A")</f>
        <v/>
      </c>
      <c r="QD41" s="170">
        <f>COUNTIF('INPUT - Roster'!$QT$6:$QT$206,"N/A")</f>
        <v/>
      </c>
      <c r="QE41" s="170">
        <f>COUNTIF('INPUT - Roster'!$QU$6:$QU$206,"N/A")</f>
        <v/>
      </c>
      <c r="QF41" s="170">
        <f>COUNTIF('INPUT - Roster'!$QV$6:$QV$206,"N/A")</f>
        <v/>
      </c>
      <c r="QG41" s="170">
        <f>COUNTIF('INPUT - Roster'!$QW$6:$QW$206,"N/A")</f>
        <v/>
      </c>
      <c r="QH41" s="170">
        <f>COUNTIF('INPUT - Roster'!$QX$6:$QX$206,"N/A")</f>
        <v/>
      </c>
      <c r="QI41" s="170">
        <f>COUNTIF('INPUT - Roster'!$QY$6:$QY$206,"N/A")</f>
        <v/>
      </c>
      <c r="QJ41" s="170">
        <f>COUNTIF('INPUT - Roster'!$QZ$6:$QZ$206,"N/A")</f>
        <v/>
      </c>
      <c r="QK41" s="170">
        <f>COUNTIF('INPUT - Roster'!$RA$6:$RA$206,"N/A")</f>
        <v/>
      </c>
      <c r="QL41" s="170">
        <f>COUNTIF('INPUT - Roster'!$RB$6:$RB$206,"N/A")</f>
        <v/>
      </c>
      <c r="QM41" s="170">
        <f>COUNTIF('INPUT - Roster'!$RC$6:$RC$206,"N/A")</f>
        <v/>
      </c>
      <c r="QN41" s="170">
        <f>COUNTIF('INPUT - Roster'!$RD$6:$RD$206,"N/A")</f>
        <v/>
      </c>
      <c r="QO41" s="170">
        <f>COUNTIF('INPUT - Roster'!$RE$6:$RE$206,"N/A")</f>
        <v/>
      </c>
      <c r="QP41" s="170">
        <f>COUNTIF('INPUT - Roster'!$RF$6:$RF$206,"N/A")</f>
        <v/>
      </c>
      <c r="QQ41" s="170">
        <f>COUNTIF('INPUT - Roster'!$RG$6:$RG$206,"N/A")</f>
        <v/>
      </c>
      <c r="QR41" s="170">
        <f>COUNTIF('INPUT - Roster'!$RH$6:$RH$206,"N/A")</f>
        <v/>
      </c>
      <c r="QS41" s="170">
        <f>COUNTIF('INPUT - Roster'!$RI$6:$RI$206,"N/A")</f>
        <v/>
      </c>
      <c r="QT41" s="170">
        <f>COUNTIF('INPUT - Roster'!$RJ$6:$RJ$206,"N/A")</f>
        <v/>
      </c>
      <c r="QU41" s="170">
        <f>COUNTIF('INPUT - Roster'!$RK$6:$RK$206,"N/A")</f>
        <v/>
      </c>
      <c r="QV41" s="170">
        <f>COUNTIF('INPUT - Roster'!$RL$6:$RL$206,"N/A")</f>
        <v/>
      </c>
      <c r="QW41" s="170">
        <f>COUNTIF('INPUT - Roster'!$RM$6:$RM$206,"N/A")</f>
        <v/>
      </c>
      <c r="QX41" s="170">
        <f>COUNTIF('INPUT - Roster'!$RN$6:$RN$206,"N/A")</f>
        <v/>
      </c>
      <c r="QY41" s="170">
        <f>COUNTIF('INPUT - Roster'!$RO$6:$RO$206,"N/A")</f>
        <v/>
      </c>
      <c r="QZ41" s="170">
        <f>COUNTIF('INPUT - Roster'!$RP$6:$RP$206,"N/A")</f>
        <v/>
      </c>
      <c r="RA41" s="170">
        <f>COUNTIF('INPUT - Roster'!$RQ$6:$RQ$206,"N/A")</f>
        <v/>
      </c>
      <c r="RB41" s="170">
        <f>COUNTIF('INPUT - Roster'!$RR$6:$RR$206,"N/A")</f>
        <v/>
      </c>
      <c r="RC41" s="170">
        <f>COUNTIF('INPUT - Roster'!$RS$6:$RS$206,"N/A")</f>
        <v/>
      </c>
      <c r="RD41" s="170">
        <f>COUNTIF('INPUT - Roster'!$RT$6:$RT$206,"N/A")</f>
        <v/>
      </c>
      <c r="RE41" s="170">
        <f>COUNTIF('INPUT - Roster'!$RU$6:$RU$206,"N/A")</f>
        <v/>
      </c>
      <c r="RF41" s="170">
        <f>COUNTIF('INPUT - Roster'!$RV$6:$RV$206,"N/A")</f>
        <v/>
      </c>
      <c r="RG41" s="170">
        <f>COUNTIF('INPUT - Roster'!$RW$6:$RW$206,"N/A")</f>
        <v/>
      </c>
      <c r="RH41" s="170">
        <f>COUNTIF('INPUT - Roster'!$RX$6:$RX$206,"N/A")</f>
        <v/>
      </c>
      <c r="RI41" s="170">
        <f>COUNTIF('INPUT - Roster'!$RY$6:$RY$206,"N/A")</f>
        <v/>
      </c>
      <c r="RJ41" s="170">
        <f>COUNTIF('INPUT - Roster'!$RZ$6:$RZ$206,"N/A")</f>
        <v/>
      </c>
      <c r="RK41" s="170">
        <f>COUNTIF('INPUT - Roster'!$SA$6:$SA$206,"N/A")</f>
        <v/>
      </c>
      <c r="RL41" s="170">
        <f>COUNTIF('INPUT - Roster'!$SB$6:$SB$206,"N/A")</f>
        <v/>
      </c>
      <c r="RM41" s="170">
        <f>COUNTIF('INPUT - Roster'!$SC$6:$SC$206,"N/A")</f>
        <v/>
      </c>
      <c r="RN41" s="170">
        <f>COUNTIF('INPUT - Roster'!$SD$6:$SD$206,"N/A")</f>
        <v/>
      </c>
      <c r="RO41" s="170">
        <f>COUNTIF('INPUT - Roster'!$SE$6:$SE$206,"N/A")</f>
        <v/>
      </c>
      <c r="RP41" s="170">
        <f>COUNTIF('INPUT - Roster'!$SF$6:$SF$206,"N/A")</f>
        <v/>
      </c>
      <c r="RQ41" s="170">
        <f>COUNTIF('INPUT - Roster'!$SG$6:$SG$206,"N/A")</f>
        <v/>
      </c>
      <c r="RR41" s="170">
        <f>COUNTIF('INPUT - Roster'!$SH$6:$SH$206,"N/A")</f>
        <v/>
      </c>
      <c r="RS41" s="170">
        <f>COUNTIF('INPUT - Roster'!$SI$6:$SI$206,"N/A")</f>
        <v/>
      </c>
      <c r="RT41" s="170">
        <f>COUNTIF('INPUT - Roster'!$SJ$6:$SJ$206,"N/A")</f>
        <v/>
      </c>
      <c r="RU41" s="170">
        <f>COUNTIF('INPUT - Roster'!$SK$6:$SK$206,"N/A")</f>
        <v/>
      </c>
      <c r="RV41" s="170">
        <f>COUNTIF('INPUT - Roster'!$SL$6:$SL$206,"N/A")</f>
        <v/>
      </c>
      <c r="RW41" s="170">
        <f>COUNTIF('INPUT - Roster'!$SM$6:$SM$206,"N/A")</f>
        <v/>
      </c>
      <c r="RX41" s="170">
        <f>COUNTIF('INPUT - Roster'!$SN$6:$SN$206,"N/A")</f>
        <v/>
      </c>
      <c r="RY41" s="170">
        <f>COUNTIF('INPUT - Roster'!$SO$6:$SO$206,"N/A")</f>
        <v/>
      </c>
      <c r="RZ41" s="170">
        <f>COUNTIF('INPUT - Roster'!$SP$6:$SP$206,"N/A")</f>
        <v/>
      </c>
      <c r="SA41" s="170">
        <f>COUNTIF('INPUT - Roster'!$SQ$6:$SQ$206,"N/A")</f>
        <v/>
      </c>
      <c r="SB41" s="170">
        <f>COUNTIF('INPUT - Roster'!$SR$6:$SR$206,"N/A")</f>
        <v/>
      </c>
      <c r="SC41" s="170">
        <f>COUNTIF('INPUT - Roster'!$SS$6:$SS$206,"N/A")</f>
        <v/>
      </c>
      <c r="SD41" s="170">
        <f>COUNTIF('INPUT - Roster'!$ST$6:$ST$206,"N/A")</f>
        <v/>
      </c>
      <c r="SE41" s="170">
        <f>COUNTIF('INPUT - Roster'!$SU$6:$SU$206,"N/A")</f>
        <v/>
      </c>
      <c r="SF41" s="170">
        <f>COUNTIF('INPUT - Roster'!$SV$6:$SV$206,"N/A")</f>
        <v/>
      </c>
    </row>
    <row r="42">
      <c r="B42" s="169" t="inlineStr">
        <is>
          <t>Demobilised</t>
        </is>
      </c>
      <c r="C42" s="170">
        <f>COUNTIF('INPUT - Roster'!$S$6:$S$206,"*DEMOB*")</f>
        <v/>
      </c>
      <c r="D42" s="170">
        <f>COUNTIF('INPUT - Roster'!$T$6:$T$206,"*DEMOB*")</f>
        <v/>
      </c>
      <c r="E42" s="170">
        <f>COUNTIF('INPUT - Roster'!$U$6:$U$206,"*DEMOB*")</f>
        <v/>
      </c>
      <c r="F42" s="170">
        <f>COUNTIF('INPUT - Roster'!$V$6:$V$206,"*DEMOB*")</f>
        <v/>
      </c>
      <c r="G42" s="170">
        <f>COUNTIF('INPUT - Roster'!$W$6:$W$206,"*DEMOB*")</f>
        <v/>
      </c>
      <c r="H42" s="170">
        <f>COUNTIF('INPUT - Roster'!$X$6:$X$206,"*DEMOB*")</f>
        <v/>
      </c>
      <c r="I42" s="170">
        <f>COUNTIF('INPUT - Roster'!$Y$6:$Y$206,"*DEMOB*")</f>
        <v/>
      </c>
      <c r="J42" s="170">
        <f>COUNTIF('INPUT - Roster'!$Z$6:$Z$206,"*DEMOB*")</f>
        <v/>
      </c>
      <c r="K42" s="170">
        <f>COUNTIF('INPUT - Roster'!$AA$6:$AA$206,"*DEMOB*")</f>
        <v/>
      </c>
      <c r="L42" s="170">
        <f>COUNTIF('INPUT - Roster'!$AB$6:$AB$206,"*DEMOB*")</f>
        <v/>
      </c>
      <c r="M42" s="170">
        <f>COUNTIF('INPUT - Roster'!$AC$6:$AC$206,"*DEMOB*")</f>
        <v/>
      </c>
      <c r="N42" s="170">
        <f>COUNTIF('INPUT - Roster'!$AD$6:$AD$206,"*DEMOB*")</f>
        <v/>
      </c>
      <c r="O42" s="170">
        <f>COUNTIF('INPUT - Roster'!$AE$6:$AE$206,"*DEMOB*")</f>
        <v/>
      </c>
      <c r="P42" s="170">
        <f>COUNTIF('INPUT - Roster'!$AF$6:$AF$206,"*DEMOB*")</f>
        <v/>
      </c>
      <c r="Q42" s="170">
        <f>COUNTIF('INPUT - Roster'!$AG$6:$AG$206,"*DEMOB*")</f>
        <v/>
      </c>
      <c r="R42" s="170">
        <f>COUNTIF('INPUT - Roster'!$AH$6:$AH$206,"*DEMOB*")</f>
        <v/>
      </c>
      <c r="S42" s="170">
        <f>COUNTIF('INPUT - Roster'!$AI$6:$AI$206,"*DEMOB*")</f>
        <v/>
      </c>
      <c r="T42" s="170">
        <f>COUNTIF('INPUT - Roster'!$AJ$6:$AJ$206,"*DEMOB*")</f>
        <v/>
      </c>
      <c r="U42" s="170">
        <f>COUNTIF('INPUT - Roster'!$AK$6:$AK$206,"*DEMOB*")</f>
        <v/>
      </c>
      <c r="V42" s="170">
        <f>COUNTIF('INPUT - Roster'!$AL$6:$AL$206,"*DEMOB*")</f>
        <v/>
      </c>
      <c r="W42" s="170">
        <f>COUNTIF('INPUT - Roster'!$AM$6:$AM$206,"*DEMOB*")</f>
        <v/>
      </c>
      <c r="X42" s="170">
        <f>COUNTIF('INPUT - Roster'!$AN$6:$AN$206,"*DEMOB*")</f>
        <v/>
      </c>
      <c r="Y42" s="170">
        <f>COUNTIF('INPUT - Roster'!$AO$6:$AO$206,"*DEMOB*")</f>
        <v/>
      </c>
      <c r="Z42" s="170">
        <f>COUNTIF('INPUT - Roster'!$AP$6:$AP$206,"*DEMOB*")</f>
        <v/>
      </c>
      <c r="AA42" s="170">
        <f>COUNTIF('INPUT - Roster'!$AQ$6:$AQ$206,"*DEMOB*")</f>
        <v/>
      </c>
      <c r="AB42" s="170">
        <f>COUNTIF('INPUT - Roster'!$AR$6:$AR$206,"*DEMOB*")</f>
        <v/>
      </c>
      <c r="AC42" s="170">
        <f>COUNTIF('INPUT - Roster'!$AS$6:$AS$206,"*DEMOB*")</f>
        <v/>
      </c>
      <c r="AD42" s="170">
        <f>COUNTIF('INPUT - Roster'!$AT$6:$AT$206,"*DEMOB*")</f>
        <v/>
      </c>
      <c r="AE42" s="170">
        <f>COUNTIF('INPUT - Roster'!$AU$6:$AU$206,"*DEMOB*")</f>
        <v/>
      </c>
      <c r="AF42" s="170">
        <f>COUNTIF('INPUT - Roster'!$AV$6:$AV$206,"*DEMOB*")</f>
        <v/>
      </c>
      <c r="AG42" s="170">
        <f>COUNTIF('INPUT - Roster'!$AW$6:$AW$206,"*DEMOB*")</f>
        <v/>
      </c>
      <c r="AH42" s="170">
        <f>COUNTIF('INPUT - Roster'!$AX$6:$AX$206,"*DEMOB*")</f>
        <v/>
      </c>
      <c r="AI42" s="170">
        <f>COUNTIF('INPUT - Roster'!$AY$6:$AY$206,"*DEMOB*")</f>
        <v/>
      </c>
      <c r="AJ42" s="170">
        <f>COUNTIF('INPUT - Roster'!$AZ$6:$AZ$206,"*DEMOB*")</f>
        <v/>
      </c>
      <c r="AK42" s="170">
        <f>COUNTIF('INPUT - Roster'!$BA$6:$BA$206,"*DEMOB*")</f>
        <v/>
      </c>
      <c r="AL42" s="170">
        <f>COUNTIF('INPUT - Roster'!$BB$6:$BB$206,"*DEMOB*")</f>
        <v/>
      </c>
      <c r="AM42" s="170">
        <f>COUNTIF('INPUT - Roster'!$BC$6:$BC$206,"*DEMOB*")</f>
        <v/>
      </c>
      <c r="AN42" s="170">
        <f>COUNTIF('INPUT - Roster'!$BD$6:$BD$206,"*DEMOB*")</f>
        <v/>
      </c>
      <c r="AO42" s="170">
        <f>COUNTIF('INPUT - Roster'!$BE$6:$BE$206,"*DEMOB*")</f>
        <v/>
      </c>
      <c r="AP42" s="170">
        <f>COUNTIF('INPUT - Roster'!$BF$6:$BF$206,"*DEMOB*")</f>
        <v/>
      </c>
      <c r="AQ42" s="170">
        <f>COUNTIF('INPUT - Roster'!$BG$6:$BG$206,"*DEMOB*")</f>
        <v/>
      </c>
      <c r="AR42" s="170">
        <f>COUNTIF('INPUT - Roster'!$BH$6:$BH$206,"*DEMOB*")</f>
        <v/>
      </c>
      <c r="AS42" s="170">
        <f>COUNTIF('INPUT - Roster'!$BI$6:$BI$206,"*DEMOB*")</f>
        <v/>
      </c>
      <c r="AT42" s="170">
        <f>COUNTIF('INPUT - Roster'!$BJ$6:$BJ$206,"*DEMOB*")</f>
        <v/>
      </c>
      <c r="AU42" s="170">
        <f>COUNTIF('INPUT - Roster'!$BK$6:$BK$206,"*DEMOB*")</f>
        <v/>
      </c>
      <c r="AV42" s="170">
        <f>COUNTIF('INPUT - Roster'!$BL$6:$BL$206,"*DEMOB*")</f>
        <v/>
      </c>
      <c r="AW42" s="170">
        <f>COUNTIF('INPUT - Roster'!$BM$6:$BM$206,"*DEMOB*")</f>
        <v/>
      </c>
      <c r="AX42" s="170">
        <f>COUNTIF('INPUT - Roster'!$BN$6:$BN$206,"*DEMOB*")</f>
        <v/>
      </c>
      <c r="AY42" s="170">
        <f>COUNTIF('INPUT - Roster'!$BO$6:$BO$206,"*DEMOB*")</f>
        <v/>
      </c>
      <c r="AZ42" s="170">
        <f>COUNTIF('INPUT - Roster'!$BP$6:$BP$206,"*DEMOB*")</f>
        <v/>
      </c>
      <c r="BA42" s="170">
        <f>COUNTIF('INPUT - Roster'!$BQ$6:$BQ$206,"*DEMOB*")</f>
        <v/>
      </c>
      <c r="BB42" s="170">
        <f>COUNTIF('INPUT - Roster'!$BR$6:$BR$206,"*DEMOB*")</f>
        <v/>
      </c>
      <c r="BC42" s="170">
        <f>COUNTIF('INPUT - Roster'!$BS$6:$BS$206,"*DEMOB*")</f>
        <v/>
      </c>
      <c r="BD42" s="170">
        <f>COUNTIF('INPUT - Roster'!$BT$6:$BT$206,"*DEMOB*")</f>
        <v/>
      </c>
      <c r="BE42" s="170">
        <f>COUNTIF('INPUT - Roster'!$BU$6:$BU$206,"*DEMOB*")</f>
        <v/>
      </c>
      <c r="BF42" s="170">
        <f>COUNTIF('INPUT - Roster'!$BV$6:$BV$206,"*DEMOB*")</f>
        <v/>
      </c>
      <c r="BG42" s="170">
        <f>COUNTIF('INPUT - Roster'!$BW$6:$BW$206,"*DEMOB*")</f>
        <v/>
      </c>
      <c r="BH42" s="170">
        <f>COUNTIF('INPUT - Roster'!$BX$6:$BX$206,"*DEMOB*")</f>
        <v/>
      </c>
      <c r="BI42" s="170">
        <f>COUNTIF('INPUT - Roster'!$BY$6:$BY$206,"*DEMOB*")</f>
        <v/>
      </c>
      <c r="BJ42" s="170">
        <f>COUNTIF('INPUT - Roster'!$BZ$6:$BZ$206,"*DEMOB*")</f>
        <v/>
      </c>
      <c r="BK42" s="170">
        <f>COUNTIF('INPUT - Roster'!$CA$6:$CA$206,"*DEMOB*")</f>
        <v/>
      </c>
      <c r="BL42" s="170">
        <f>COUNTIF('INPUT - Roster'!$CB$6:$CB$206,"*DEMOB*")</f>
        <v/>
      </c>
      <c r="BM42" s="170">
        <f>COUNTIF('INPUT - Roster'!$CC$6:$CC$206,"*DEMOB*")</f>
        <v/>
      </c>
      <c r="BN42" s="170">
        <f>COUNTIF('INPUT - Roster'!$CD$6:$CD$206,"*DEMOB*")</f>
        <v/>
      </c>
      <c r="BO42" s="170">
        <f>COUNTIF('INPUT - Roster'!$CE$6:$CE$206,"*DEMOB*")</f>
        <v/>
      </c>
      <c r="BP42" s="170">
        <f>COUNTIF('INPUT - Roster'!$CF$6:$CF$206,"*DEMOB*")</f>
        <v/>
      </c>
      <c r="BQ42" s="170">
        <f>COUNTIF('INPUT - Roster'!$CG$6:$CG$206,"*DEMOB*")</f>
        <v/>
      </c>
      <c r="BR42" s="170">
        <f>COUNTIF('INPUT - Roster'!$CH$6:$CH$206,"*DEMOB*")</f>
        <v/>
      </c>
      <c r="BS42" s="170">
        <f>COUNTIF('INPUT - Roster'!$CI$6:$CI$206,"*DEMOB*")</f>
        <v/>
      </c>
      <c r="BT42" s="170">
        <f>COUNTIF('INPUT - Roster'!$CJ$6:$CJ$206,"*DEMOB*")</f>
        <v/>
      </c>
      <c r="BU42" s="170">
        <f>COUNTIF('INPUT - Roster'!$CK$6:$CK$206,"*DEMOB*")</f>
        <v/>
      </c>
      <c r="BV42" s="170">
        <f>COUNTIF('INPUT - Roster'!$CL$6:$CL$206,"*DEMOB*")</f>
        <v/>
      </c>
      <c r="BW42" s="170">
        <f>COUNTIF('INPUT - Roster'!$CM$6:$CM$206,"*DEMOB*")</f>
        <v/>
      </c>
      <c r="BX42" s="170">
        <f>COUNTIF('INPUT - Roster'!$CN$6:$CN$206,"*DEMOB*")</f>
        <v/>
      </c>
      <c r="BY42" s="170">
        <f>COUNTIF('INPUT - Roster'!$CO$6:$CO$206,"*DEMOB*")</f>
        <v/>
      </c>
      <c r="BZ42" s="170">
        <f>COUNTIF('INPUT - Roster'!$CP$6:$CP$206,"*DEMOB*")</f>
        <v/>
      </c>
      <c r="CA42" s="170">
        <f>COUNTIF('INPUT - Roster'!$CQ$6:$CQ$206,"*DEMOB*")</f>
        <v/>
      </c>
      <c r="CB42" s="170">
        <f>COUNTIF('INPUT - Roster'!$CR$6:$CR$206,"*DEMOB*")</f>
        <v/>
      </c>
      <c r="CC42" s="170">
        <f>COUNTIF('INPUT - Roster'!$CS$6:$CS$206,"*DEMOB*")</f>
        <v/>
      </c>
      <c r="CD42" s="170">
        <f>COUNTIF('INPUT - Roster'!$CT$6:$CT$206,"*DEMOB*")</f>
        <v/>
      </c>
      <c r="CE42" s="170">
        <f>COUNTIF('INPUT - Roster'!$CU$6:$CU$206,"*DEMOB*")</f>
        <v/>
      </c>
      <c r="CF42" s="170">
        <f>COUNTIF('INPUT - Roster'!$CV$6:$CV$206,"*DEMOB*")</f>
        <v/>
      </c>
      <c r="CG42" s="170">
        <f>COUNTIF('INPUT - Roster'!$CW$6:$CW$206,"*DEMOB*")</f>
        <v/>
      </c>
      <c r="CH42" s="170">
        <f>COUNTIF('INPUT - Roster'!$CX$6:$CX$206,"*DEMOB*")</f>
        <v/>
      </c>
      <c r="CI42" s="170">
        <f>COUNTIF('INPUT - Roster'!$CY$6:$CY$206,"*DEMOB*")</f>
        <v/>
      </c>
      <c r="CJ42" s="170">
        <f>COUNTIF('INPUT - Roster'!$CZ$6:$CZ$206,"*DEMOB*")</f>
        <v/>
      </c>
      <c r="CK42" s="170">
        <f>COUNTIF('INPUT - Roster'!$DA$6:$DA$206,"*DEMOB*")</f>
        <v/>
      </c>
      <c r="CL42" s="170">
        <f>COUNTIF('INPUT - Roster'!$DB$6:$DB$206,"*DEMOB*")</f>
        <v/>
      </c>
      <c r="CM42" s="170">
        <f>COUNTIF('INPUT - Roster'!$DC$6:$DC$206,"*DEMOB*")</f>
        <v/>
      </c>
      <c r="CN42" s="170">
        <f>COUNTIF('INPUT - Roster'!$DD$6:$DD$206,"*DEMOB*")</f>
        <v/>
      </c>
      <c r="CO42" s="170">
        <f>COUNTIF('INPUT - Roster'!$DE$6:$DE$206,"*DEMOB*")</f>
        <v/>
      </c>
      <c r="CP42" s="170">
        <f>COUNTIF('INPUT - Roster'!$DF$6:$DF$206,"*DEMOB*")</f>
        <v/>
      </c>
      <c r="CQ42" s="170">
        <f>COUNTIF('INPUT - Roster'!$DG$6:$DG$206,"*DEMOB*")</f>
        <v/>
      </c>
      <c r="CR42" s="170">
        <f>COUNTIF('INPUT - Roster'!$DH$6:$DH$206,"*DEMOB*")</f>
        <v/>
      </c>
      <c r="CS42" s="170">
        <f>COUNTIF('INPUT - Roster'!$DI$6:$DI$206,"*DEMOB*")</f>
        <v/>
      </c>
      <c r="CT42" s="170">
        <f>COUNTIF('INPUT - Roster'!$DJ$6:$DJ$206,"*DEMOB*")</f>
        <v/>
      </c>
      <c r="CU42" s="170">
        <f>COUNTIF('INPUT - Roster'!$DK$6:$DK$206,"*DEMOB*")</f>
        <v/>
      </c>
      <c r="CV42" s="170">
        <f>COUNTIF('INPUT - Roster'!$DL$6:$DL$206,"*DEMOB*")</f>
        <v/>
      </c>
      <c r="CW42" s="170">
        <f>COUNTIF('INPUT - Roster'!$DM$6:$DM$206,"*DEMOB*")</f>
        <v/>
      </c>
      <c r="CX42" s="170">
        <f>COUNTIF('INPUT - Roster'!$DN$6:$DN$206,"*DEMOB*")</f>
        <v/>
      </c>
      <c r="CY42" s="170">
        <f>COUNTIF('INPUT - Roster'!$DO$6:$DO$206,"*DEMOB*")</f>
        <v/>
      </c>
      <c r="CZ42" s="170">
        <f>COUNTIF('INPUT - Roster'!$DP$6:$DP$206,"*DEMOB*")</f>
        <v/>
      </c>
      <c r="DA42" s="170">
        <f>COUNTIF('INPUT - Roster'!$DQ$6:$DQ$206,"*DEMOB*")</f>
        <v/>
      </c>
      <c r="DB42" s="170">
        <f>COUNTIF('INPUT - Roster'!$DR$6:$DR$206,"*DEMOB*")</f>
        <v/>
      </c>
      <c r="DC42" s="170">
        <f>COUNTIF('INPUT - Roster'!$DS$6:$DS$206,"*DEMOB*")</f>
        <v/>
      </c>
      <c r="DD42" s="170">
        <f>COUNTIF('INPUT - Roster'!$DT$6:$DT$206,"*DEMOB*")</f>
        <v/>
      </c>
      <c r="DE42" s="170">
        <f>COUNTIF('INPUT - Roster'!$DU$6:$DU$206,"*DEMOB*")</f>
        <v/>
      </c>
      <c r="DF42" s="170">
        <f>COUNTIF('INPUT - Roster'!$DV$6:$DV$206,"*DEMOB*")</f>
        <v/>
      </c>
      <c r="DG42" s="170">
        <f>COUNTIF('INPUT - Roster'!$DW$6:$DW$206,"*DEMOB*")</f>
        <v/>
      </c>
      <c r="DH42" s="170">
        <f>COUNTIF('INPUT - Roster'!$DX$6:$DX$206,"*DEMOB*")</f>
        <v/>
      </c>
      <c r="DI42" s="170">
        <f>COUNTIF('INPUT - Roster'!$DY$6:$DY$206,"*DEMOB*")</f>
        <v/>
      </c>
      <c r="DJ42" s="170">
        <f>COUNTIF('INPUT - Roster'!$DZ$6:$DZ$206,"*DEMOB*")</f>
        <v/>
      </c>
      <c r="DK42" s="170">
        <f>COUNTIF('INPUT - Roster'!$EA$6:$EA$206,"*DEMOB*")</f>
        <v/>
      </c>
      <c r="DL42" s="170">
        <f>COUNTIF('INPUT - Roster'!$EB$6:$EB$206,"*DEMOB*")</f>
        <v/>
      </c>
      <c r="DM42" s="170">
        <f>COUNTIF('INPUT - Roster'!$EC$6:$EC$206,"*DEMOB*")</f>
        <v/>
      </c>
      <c r="DN42" s="170">
        <f>COUNTIF('INPUT - Roster'!$ED$6:$ED$206,"*DEMOB*")</f>
        <v/>
      </c>
      <c r="DO42" s="170">
        <f>COUNTIF('INPUT - Roster'!$EE$6:$EE$206,"*DEMOB*")</f>
        <v/>
      </c>
      <c r="DP42" s="170">
        <f>COUNTIF('INPUT - Roster'!$EF$6:$EF$206,"*DEMOB*")</f>
        <v/>
      </c>
      <c r="DQ42" s="170">
        <f>COUNTIF('INPUT - Roster'!$EG$6:$EG$206,"*DEMOB*")</f>
        <v/>
      </c>
      <c r="DR42" s="170">
        <f>COUNTIF('INPUT - Roster'!$EH$6:$EH$206,"*DEMOB*")</f>
        <v/>
      </c>
      <c r="DS42" s="170">
        <f>COUNTIF('INPUT - Roster'!$EI$6:$EI$206,"*DEMOB*")</f>
        <v/>
      </c>
      <c r="DT42" s="170">
        <f>COUNTIF('INPUT - Roster'!$EJ$6:$EJ$206,"*DEMOB*")</f>
        <v/>
      </c>
      <c r="DU42" s="170">
        <f>COUNTIF('INPUT - Roster'!$EK$6:$EK$206,"*DEMOB*")</f>
        <v/>
      </c>
      <c r="DV42" s="170">
        <f>COUNTIF('INPUT - Roster'!$EL$6:$EL$206,"*DEMOB*")</f>
        <v/>
      </c>
      <c r="DW42" s="170">
        <f>COUNTIF('INPUT - Roster'!$EM$6:$EM$206,"*DEMOB*")</f>
        <v/>
      </c>
      <c r="DX42" s="170">
        <f>COUNTIF('INPUT - Roster'!$EN$6:$EN$206,"*DEMOB*")</f>
        <v/>
      </c>
      <c r="DY42" s="170">
        <f>COUNTIF('INPUT - Roster'!$EO$6:$EO$206,"*DEMOB*")</f>
        <v/>
      </c>
      <c r="DZ42" s="170">
        <f>COUNTIF('INPUT - Roster'!$EP$6:$EP$206,"*DEMOB*")</f>
        <v/>
      </c>
      <c r="EA42" s="170">
        <f>COUNTIF('INPUT - Roster'!$EQ$6:$EQ$206,"*DEMOB*")</f>
        <v/>
      </c>
      <c r="EB42" s="170">
        <f>COUNTIF('INPUT - Roster'!$ER$6:$ER$206,"*DEMOB*")</f>
        <v/>
      </c>
      <c r="EC42" s="170">
        <f>COUNTIF('INPUT - Roster'!$ES$6:$ES$206,"*DEMOB*")</f>
        <v/>
      </c>
      <c r="ED42" s="170">
        <f>COUNTIF('INPUT - Roster'!$ET$6:$ET$206,"*DEMOB*")</f>
        <v/>
      </c>
      <c r="EE42" s="170">
        <f>COUNTIF('INPUT - Roster'!$EU$6:$EU$206,"*DEMOB*")</f>
        <v/>
      </c>
      <c r="EF42" s="170">
        <f>COUNTIF('INPUT - Roster'!$EV$6:$EV$206,"*DEMOB*")</f>
        <v/>
      </c>
      <c r="EG42" s="170">
        <f>COUNTIF('INPUT - Roster'!$EW$6:$EW$206,"*DEMOB*")</f>
        <v/>
      </c>
      <c r="EH42" s="170">
        <f>COUNTIF('INPUT - Roster'!$EX$6:$EX$206,"*DEMOB*")</f>
        <v/>
      </c>
      <c r="EI42" s="170">
        <f>COUNTIF('INPUT - Roster'!$EY$6:$EY$206,"*DEMOB*")</f>
        <v/>
      </c>
      <c r="EJ42" s="170">
        <f>COUNTIF('INPUT - Roster'!$EZ$6:$EZ$206,"*DEMOB*")</f>
        <v/>
      </c>
      <c r="EK42" s="170">
        <f>COUNTIF('INPUT - Roster'!$FA$6:$FA$206,"*DEMOB*")</f>
        <v/>
      </c>
      <c r="EL42" s="170">
        <f>COUNTIF('INPUT - Roster'!$FB$6:$FB$206,"*DEMOB*")</f>
        <v/>
      </c>
      <c r="EM42" s="170">
        <f>COUNTIF('INPUT - Roster'!$FC$6:$FC$206,"*DEMOB*")</f>
        <v/>
      </c>
      <c r="EN42" s="170">
        <f>COUNTIF('INPUT - Roster'!$FD$6:$FD$206,"*DEMOB*")</f>
        <v/>
      </c>
      <c r="EO42" s="170">
        <f>COUNTIF('INPUT - Roster'!$FE$6:$FE$206,"*DEMOB*")</f>
        <v/>
      </c>
      <c r="EP42" s="170">
        <f>COUNTIF('INPUT - Roster'!$FF$6:$FF$206,"*DEMOB*")</f>
        <v/>
      </c>
      <c r="EQ42" s="170">
        <f>COUNTIF('INPUT - Roster'!$FG$6:$FG$206,"*DEMOB*")</f>
        <v/>
      </c>
      <c r="ER42" s="170">
        <f>COUNTIF('INPUT - Roster'!$FH$6:$FH$206,"*DEMOB*")</f>
        <v/>
      </c>
      <c r="ES42" s="170">
        <f>COUNTIF('INPUT - Roster'!$FI$6:$FI$206,"*DEMOB*")</f>
        <v/>
      </c>
      <c r="ET42" s="170">
        <f>COUNTIF('INPUT - Roster'!$FJ$6:$FJ$206,"*DEMOB*")</f>
        <v/>
      </c>
      <c r="EU42" s="170">
        <f>COUNTIF('INPUT - Roster'!$FK$6:$FK$206,"*DEMOB*")</f>
        <v/>
      </c>
      <c r="EV42" s="170">
        <f>COUNTIF('INPUT - Roster'!$FL$6:$FL$206,"*DEMOB*")</f>
        <v/>
      </c>
      <c r="EW42" s="170">
        <f>COUNTIF('INPUT - Roster'!$FM$6:$FM$206,"*DEMOB*")</f>
        <v/>
      </c>
      <c r="EX42" s="170">
        <f>COUNTIF('INPUT - Roster'!$FN$6:$FN$206,"*DEMOB*")</f>
        <v/>
      </c>
      <c r="EY42" s="170">
        <f>COUNTIF('INPUT - Roster'!$FO$6:$FO$206,"*DEMOB*")</f>
        <v/>
      </c>
      <c r="EZ42" s="170">
        <f>COUNTIF('INPUT - Roster'!$FP$6:$FP$206,"*DEMOB*")</f>
        <v/>
      </c>
      <c r="FA42" s="170">
        <f>COUNTIF('INPUT - Roster'!$FQ$6:$FQ$206,"*DEMOB*")</f>
        <v/>
      </c>
      <c r="FB42" s="170">
        <f>COUNTIF('INPUT - Roster'!$FR$6:$FR$206,"*DEMOB*")</f>
        <v/>
      </c>
      <c r="FC42" s="170">
        <f>COUNTIF('INPUT - Roster'!$FS$6:$FS$206,"*DEMOB*")</f>
        <v/>
      </c>
      <c r="FD42" s="170">
        <f>COUNTIF('INPUT - Roster'!$FT$6:$FT$206,"*DEMOB*")</f>
        <v/>
      </c>
      <c r="FE42" s="170">
        <f>COUNTIF('INPUT - Roster'!$FU$6:$FU$206,"*DEMOB*")</f>
        <v/>
      </c>
      <c r="FF42" s="170">
        <f>COUNTIF('INPUT - Roster'!$FV$6:$FV$206,"*DEMOB*")</f>
        <v/>
      </c>
      <c r="FG42" s="170">
        <f>COUNTIF('INPUT - Roster'!$FW$6:$FW$206,"*DEMOB*")</f>
        <v/>
      </c>
      <c r="FH42" s="170">
        <f>COUNTIF('INPUT - Roster'!$FX$6:$FX$206,"*DEMOB*")</f>
        <v/>
      </c>
      <c r="FI42" s="170">
        <f>COUNTIF('INPUT - Roster'!$FY$6:$FY$206,"*DEMOB*")</f>
        <v/>
      </c>
      <c r="FJ42" s="170">
        <f>COUNTIF('INPUT - Roster'!$FZ$6:$FZ$206,"*DEMOB*")</f>
        <v/>
      </c>
      <c r="FK42" s="170">
        <f>COUNTIF('INPUT - Roster'!$GA$6:$GA$206,"*DEMOB*")</f>
        <v/>
      </c>
      <c r="FL42" s="170">
        <f>COUNTIF('INPUT - Roster'!$GB$6:$GB$206,"*DEMOB*")</f>
        <v/>
      </c>
      <c r="FM42" s="170">
        <f>COUNTIF('INPUT - Roster'!$GC$6:$GC$206,"*DEMOB*")</f>
        <v/>
      </c>
      <c r="FN42" s="170">
        <f>COUNTIF('INPUT - Roster'!$GD$6:$GD$206,"*DEMOB*")</f>
        <v/>
      </c>
      <c r="FO42" s="170">
        <f>COUNTIF('INPUT - Roster'!$GE$6:$GE$206,"*DEMOB*")</f>
        <v/>
      </c>
      <c r="FP42" s="170">
        <f>COUNTIF('INPUT - Roster'!$GF$6:$GF$206,"*DEMOB*")</f>
        <v/>
      </c>
      <c r="FQ42" s="170">
        <f>COUNTIF('INPUT - Roster'!$GG$6:$GG$206,"*DEMOB*")</f>
        <v/>
      </c>
      <c r="FR42" s="170">
        <f>COUNTIF('INPUT - Roster'!$GH$6:$GH$206,"*DEMOB*")</f>
        <v/>
      </c>
      <c r="FS42" s="170">
        <f>COUNTIF('INPUT - Roster'!$GI$6:$GI$206,"*DEMOB*")</f>
        <v/>
      </c>
      <c r="FT42" s="170">
        <f>COUNTIF('INPUT - Roster'!$GJ$6:$GJ$206,"*DEMOB*")</f>
        <v/>
      </c>
      <c r="FU42" s="170">
        <f>COUNTIF('INPUT - Roster'!$GK$6:$GK$206,"*DEMOB*")</f>
        <v/>
      </c>
      <c r="FV42" s="170">
        <f>COUNTIF('INPUT - Roster'!$GL$6:$GL$206,"*DEMOB*")</f>
        <v/>
      </c>
      <c r="FW42" s="170">
        <f>COUNTIF('INPUT - Roster'!$GM$6:$GM$206,"*DEMOB*")</f>
        <v/>
      </c>
      <c r="FX42" s="170">
        <f>COUNTIF('INPUT - Roster'!$GN$6:$GN$206,"*DEMOB*")</f>
        <v/>
      </c>
      <c r="FY42" s="170">
        <f>COUNTIF('INPUT - Roster'!$GO$6:$GO$206,"*DEMOB*")</f>
        <v/>
      </c>
      <c r="FZ42" s="170">
        <f>COUNTIF('INPUT - Roster'!$GP$6:$GP$206,"*DEMOB*")</f>
        <v/>
      </c>
      <c r="GA42" s="170">
        <f>COUNTIF('INPUT - Roster'!$GQ$6:$GQ$206,"*DEMOB*")</f>
        <v/>
      </c>
      <c r="GB42" s="170">
        <f>COUNTIF('INPUT - Roster'!$GR$6:$GR$206,"*DEMOB*")</f>
        <v/>
      </c>
      <c r="GC42" s="170">
        <f>COUNTIF('INPUT - Roster'!$GS$6:$GS$206,"*DEMOB*")</f>
        <v/>
      </c>
      <c r="GD42" s="170">
        <f>COUNTIF('INPUT - Roster'!$GT$6:$GT$206,"*DEMOB*")</f>
        <v/>
      </c>
      <c r="GE42" s="170">
        <f>COUNTIF('INPUT - Roster'!$GU$6:$GU$206,"*DEMOB*")</f>
        <v/>
      </c>
      <c r="GF42" s="170">
        <f>COUNTIF('INPUT - Roster'!$GV$6:$GV$206,"*DEMOB*")</f>
        <v/>
      </c>
      <c r="GG42" s="170">
        <f>COUNTIF('INPUT - Roster'!$GW$6:$GW$206,"*DEMOB*")</f>
        <v/>
      </c>
      <c r="GH42" s="170">
        <f>COUNTIF('INPUT - Roster'!$GX$6:$GX$206,"*DEMOB*")</f>
        <v/>
      </c>
      <c r="GI42" s="170">
        <f>COUNTIF('INPUT - Roster'!$GY$6:$GY$206,"*DEMOB*")</f>
        <v/>
      </c>
      <c r="GJ42" s="170">
        <f>COUNTIF('INPUT - Roster'!$GZ$6:$GZ$206,"*DEMOB*")</f>
        <v/>
      </c>
      <c r="GK42" s="170">
        <f>COUNTIF('INPUT - Roster'!$HA$6:$HA$206,"*DEMOB*")</f>
        <v/>
      </c>
      <c r="GL42" s="170">
        <f>COUNTIF('INPUT - Roster'!$HB$6:$HB$206,"*DEMOB*")</f>
        <v/>
      </c>
      <c r="GM42" s="170">
        <f>COUNTIF('INPUT - Roster'!$HC$6:$HC$206,"*DEMOB*")</f>
        <v/>
      </c>
      <c r="GN42" s="170">
        <f>COUNTIF('INPUT - Roster'!$HD$6:$HD$206,"*DEMOB*")</f>
        <v/>
      </c>
      <c r="GO42" s="170">
        <f>COUNTIF('INPUT - Roster'!$HE$6:$HE$206,"*DEMOB*")</f>
        <v/>
      </c>
      <c r="GP42" s="170">
        <f>COUNTIF('INPUT - Roster'!$HF$6:$HF$206,"*DEMOB*")</f>
        <v/>
      </c>
      <c r="GQ42" s="170">
        <f>COUNTIF('INPUT - Roster'!$HG$6:$HG$206,"*DEMOB*")</f>
        <v/>
      </c>
      <c r="GR42" s="170">
        <f>COUNTIF('INPUT - Roster'!$HH$6:$HH$206,"*DEMOB*")</f>
        <v/>
      </c>
      <c r="GS42" s="170">
        <f>COUNTIF('INPUT - Roster'!$HI$6:$HI$206,"*DEMOB*")</f>
        <v/>
      </c>
      <c r="GT42" s="170">
        <f>COUNTIF('INPUT - Roster'!$HJ$6:$HJ$206,"*DEMOB*")</f>
        <v/>
      </c>
      <c r="GU42" s="170">
        <f>COUNTIF('INPUT - Roster'!$HK$6:$HK$206,"*DEMOB*")</f>
        <v/>
      </c>
      <c r="GV42" s="170">
        <f>COUNTIF('INPUT - Roster'!$HL$6:$HL$206,"*DEMOB*")</f>
        <v/>
      </c>
      <c r="GW42" s="170">
        <f>COUNTIF('INPUT - Roster'!$HM$6:$HM$206,"*DEMOB*")</f>
        <v/>
      </c>
      <c r="GX42" s="170">
        <f>COUNTIF('INPUT - Roster'!$HN$6:$HN$206,"*DEMOB*")</f>
        <v/>
      </c>
      <c r="GY42" s="170">
        <f>COUNTIF('INPUT - Roster'!$HO$6:$HO$206,"*DEMOB*")</f>
        <v/>
      </c>
      <c r="GZ42" s="170">
        <f>COUNTIF('INPUT - Roster'!$HP$6:$HP$206,"*DEMOB*")</f>
        <v/>
      </c>
      <c r="HA42" s="170">
        <f>COUNTIF('INPUT - Roster'!$HQ$6:$HQ$206,"*DEMOB*")</f>
        <v/>
      </c>
      <c r="HB42" s="170">
        <f>COUNTIF('INPUT - Roster'!$HR$6:$HR$206,"*DEMOB*")</f>
        <v/>
      </c>
      <c r="HC42" s="170">
        <f>COUNTIF('INPUT - Roster'!$HS$6:$HS$206,"*DEMOB*")</f>
        <v/>
      </c>
      <c r="HD42" s="170">
        <f>COUNTIF('INPUT - Roster'!$HT$6:$HT$206,"*DEMOB*")</f>
        <v/>
      </c>
      <c r="HE42" s="170">
        <f>COUNTIF('INPUT - Roster'!$HU$6:$HU$206,"*DEMOB*")</f>
        <v/>
      </c>
      <c r="HF42" s="170">
        <f>COUNTIF('INPUT - Roster'!$HV$6:$HV$206,"*DEMOB*")</f>
        <v/>
      </c>
      <c r="HG42" s="170">
        <f>COUNTIF('INPUT - Roster'!$HW$6:$HW$206,"*DEMOB*")</f>
        <v/>
      </c>
      <c r="HH42" s="170">
        <f>COUNTIF('INPUT - Roster'!$HX$6:$HX$206,"*DEMOB*")</f>
        <v/>
      </c>
      <c r="HI42" s="170">
        <f>COUNTIF('INPUT - Roster'!$HY$6:$HY$206,"*DEMOB*")</f>
        <v/>
      </c>
      <c r="HJ42" s="170">
        <f>COUNTIF('INPUT - Roster'!$HZ$6:$HZ$206,"*DEMOB*")</f>
        <v/>
      </c>
      <c r="HK42" s="170">
        <f>COUNTIF('INPUT - Roster'!$IA$6:$IA$206,"*DEMOB*")</f>
        <v/>
      </c>
      <c r="HL42" s="170">
        <f>COUNTIF('INPUT - Roster'!$IB$6:$IB$206,"*DEMOB*")</f>
        <v/>
      </c>
      <c r="HM42" s="170">
        <f>COUNTIF('INPUT - Roster'!$IC$6:$IC$206,"*DEMOB*")</f>
        <v/>
      </c>
      <c r="HN42" s="170">
        <f>COUNTIF('INPUT - Roster'!$ID$6:$ID$206,"*DEMOB*")</f>
        <v/>
      </c>
      <c r="HO42" s="170">
        <f>COUNTIF('INPUT - Roster'!$IE$6:$IE$206,"*DEMOB*")</f>
        <v/>
      </c>
      <c r="HP42" s="170">
        <f>COUNTIF('INPUT - Roster'!$IF$6:$IF$206,"*DEMOB*")</f>
        <v/>
      </c>
      <c r="HQ42" s="170">
        <f>COUNTIF('INPUT - Roster'!$IG$6:$IG$206,"*DEMOB*")</f>
        <v/>
      </c>
      <c r="HR42" s="170">
        <f>COUNTIF('INPUT - Roster'!$IH$6:$IH$206,"*DEMOB*")</f>
        <v/>
      </c>
      <c r="HS42" s="170">
        <f>COUNTIF('INPUT - Roster'!$II$6:$II$206,"*DEMOB*")</f>
        <v/>
      </c>
      <c r="HT42" s="170">
        <f>COUNTIF('INPUT - Roster'!$IJ$6:$IJ$206,"*DEMOB*")</f>
        <v/>
      </c>
      <c r="HU42" s="170">
        <f>COUNTIF('INPUT - Roster'!$IK$6:$IK$206,"*DEMOB*")</f>
        <v/>
      </c>
      <c r="HV42" s="170">
        <f>COUNTIF('INPUT - Roster'!$IL$6:$IL$206,"*DEMOB*")</f>
        <v/>
      </c>
      <c r="HW42" s="170">
        <f>COUNTIF('INPUT - Roster'!$IM$6:$IM$206,"*DEMOB*")</f>
        <v/>
      </c>
      <c r="HX42" s="170">
        <f>COUNTIF('INPUT - Roster'!$IN$6:$IN$206,"*DEMOB*")</f>
        <v/>
      </c>
      <c r="HY42" s="170">
        <f>COUNTIF('INPUT - Roster'!$IO$6:$IO$206,"*DEMOB*")</f>
        <v/>
      </c>
      <c r="HZ42" s="170">
        <f>COUNTIF('INPUT - Roster'!$IP$6:$IP$206,"*DEMOB*")</f>
        <v/>
      </c>
      <c r="IA42" s="170">
        <f>COUNTIF('INPUT - Roster'!$IQ$6:$IQ$206,"*DEMOB*")</f>
        <v/>
      </c>
      <c r="IB42" s="170">
        <f>COUNTIF('INPUT - Roster'!$IR$6:$IR$206,"*DEMOB*")</f>
        <v/>
      </c>
      <c r="IC42" s="170">
        <f>COUNTIF('INPUT - Roster'!$IS$6:$IS$206,"*DEMOB*")</f>
        <v/>
      </c>
      <c r="ID42" s="170">
        <f>COUNTIF('INPUT - Roster'!$IT$6:$IT$206,"*DEMOB*")</f>
        <v/>
      </c>
      <c r="IE42" s="170">
        <f>COUNTIF('INPUT - Roster'!$IU$6:$IU$206,"*DEMOB*")</f>
        <v/>
      </c>
      <c r="IF42" s="170">
        <f>COUNTIF('INPUT - Roster'!$IV$6:$IV$206,"*DEMOB*")</f>
        <v/>
      </c>
      <c r="IG42" s="170">
        <f>COUNTIF('INPUT - Roster'!$IW$6:$IW$206,"*DEMOB*")</f>
        <v/>
      </c>
      <c r="IH42" s="170">
        <f>COUNTIF('INPUT - Roster'!$IX$6:$IX$206,"*DEMOB*")</f>
        <v/>
      </c>
      <c r="II42" s="170">
        <f>COUNTIF('INPUT - Roster'!$IY$6:$IY$206,"*DEMOB*")</f>
        <v/>
      </c>
      <c r="IJ42" s="170">
        <f>COUNTIF('INPUT - Roster'!$IZ$6:$IZ$206,"*DEMOB*")</f>
        <v/>
      </c>
      <c r="IK42" s="170">
        <f>COUNTIF('INPUT - Roster'!$JA$6:$JA$206,"*DEMOB*")</f>
        <v/>
      </c>
      <c r="IL42" s="170">
        <f>COUNTIF('INPUT - Roster'!$JB$6:$JB$206,"*DEMOB*")</f>
        <v/>
      </c>
      <c r="IM42" s="170">
        <f>COUNTIF('INPUT - Roster'!$JC$6:$JC$206,"*DEMOB*")</f>
        <v/>
      </c>
      <c r="IN42" s="170">
        <f>COUNTIF('INPUT - Roster'!$JD$6:$JD$206,"*DEMOB*")</f>
        <v/>
      </c>
      <c r="IO42" s="170">
        <f>COUNTIF('INPUT - Roster'!$JE$6:$JE$206,"*DEMOB*")</f>
        <v/>
      </c>
      <c r="IP42" s="170">
        <f>COUNTIF('INPUT - Roster'!$JF$6:$JF$206,"*DEMOB*")</f>
        <v/>
      </c>
      <c r="IQ42" s="170">
        <f>COUNTIF('INPUT - Roster'!$JG$6:$JG$206,"*DEMOB*")</f>
        <v/>
      </c>
      <c r="IR42" s="170">
        <f>COUNTIF('INPUT - Roster'!$JH$6:$JH$206,"*DEMOB*")</f>
        <v/>
      </c>
      <c r="IS42" s="170">
        <f>COUNTIF('INPUT - Roster'!$JI$6:$JI$206,"*DEMOB*")</f>
        <v/>
      </c>
      <c r="IT42" s="170">
        <f>COUNTIF('INPUT - Roster'!$JJ$6:$JJ$206,"*DEMOB*")</f>
        <v/>
      </c>
      <c r="IU42" s="170">
        <f>COUNTIF('INPUT - Roster'!$JK$6:$JK$206,"*DEMOB*")</f>
        <v/>
      </c>
      <c r="IV42" s="170">
        <f>COUNTIF('INPUT - Roster'!$JL$6:$JL$206,"*DEMOB*")</f>
        <v/>
      </c>
      <c r="IW42" s="170">
        <f>COUNTIF('INPUT - Roster'!$JM$6:$JM$206,"*DEMOB*")</f>
        <v/>
      </c>
      <c r="IX42" s="170">
        <f>COUNTIF('INPUT - Roster'!$JN$6:$JN$206,"*DEMOB*")</f>
        <v/>
      </c>
      <c r="IY42" s="170">
        <f>COUNTIF('INPUT - Roster'!$JO$6:$JO$206,"*DEMOB*")</f>
        <v/>
      </c>
      <c r="IZ42" s="170">
        <f>COUNTIF('INPUT - Roster'!$JP$6:$JP$206,"*DEMOB*")</f>
        <v/>
      </c>
      <c r="JA42" s="170">
        <f>COUNTIF('INPUT - Roster'!$JQ$6:$JQ$206,"*DEMOB*")</f>
        <v/>
      </c>
      <c r="JB42" s="170">
        <f>COUNTIF('INPUT - Roster'!$JR$6:$JR$206,"*DEMOB*")</f>
        <v/>
      </c>
      <c r="JC42" s="170">
        <f>COUNTIF('INPUT - Roster'!$JS$6:$JS$206,"*DEMOB*")</f>
        <v/>
      </c>
      <c r="JD42" s="170">
        <f>COUNTIF('INPUT - Roster'!$JT$6:$JT$206,"*DEMOB*")</f>
        <v/>
      </c>
      <c r="JE42" s="170">
        <f>COUNTIF('INPUT - Roster'!$JU$6:$JU$206,"*DEMOB*")</f>
        <v/>
      </c>
      <c r="JF42" s="170">
        <f>COUNTIF('INPUT - Roster'!$JV$6:$JV$206,"*DEMOB*")</f>
        <v/>
      </c>
      <c r="JG42" s="170">
        <f>COUNTIF('INPUT - Roster'!$JW$6:$JW$206,"*DEMOB*")</f>
        <v/>
      </c>
      <c r="JH42" s="170">
        <f>COUNTIF('INPUT - Roster'!$JX$6:$JX$206,"*DEMOB*")</f>
        <v/>
      </c>
      <c r="JI42" s="170">
        <f>COUNTIF('INPUT - Roster'!$JY$6:$JY$206,"*DEMOB*")</f>
        <v/>
      </c>
      <c r="JJ42" s="170">
        <f>COUNTIF('INPUT - Roster'!$JZ$6:$JZ$206,"*DEMOB*")</f>
        <v/>
      </c>
      <c r="JK42" s="170">
        <f>COUNTIF('INPUT - Roster'!$KA$6:$KA$206,"*DEMOB*")</f>
        <v/>
      </c>
      <c r="JL42" s="170">
        <f>COUNTIF('INPUT - Roster'!$KB$6:$KB$206,"*DEMOB*")</f>
        <v/>
      </c>
      <c r="JM42" s="170">
        <f>COUNTIF('INPUT - Roster'!$KC$6:$KC$206,"*DEMOB*")</f>
        <v/>
      </c>
      <c r="JN42" s="170">
        <f>COUNTIF('INPUT - Roster'!$KD$6:$KD$206,"*DEMOB*")</f>
        <v/>
      </c>
      <c r="JO42" s="170">
        <f>COUNTIF('INPUT - Roster'!$KE$6:$KE$206,"*DEMOB*")</f>
        <v/>
      </c>
      <c r="JP42" s="170">
        <f>COUNTIF('INPUT - Roster'!$KF$6:$KF$206,"*DEMOB*")</f>
        <v/>
      </c>
      <c r="JQ42" s="170">
        <f>COUNTIF('INPUT - Roster'!$KG$6:$KG$206,"*DEMOB*")</f>
        <v/>
      </c>
      <c r="JR42" s="170">
        <f>COUNTIF('INPUT - Roster'!$KH$6:$KH$206,"*DEMOB*")</f>
        <v/>
      </c>
      <c r="JS42" s="170">
        <f>COUNTIF('INPUT - Roster'!$KI$6:$KI$206,"*DEMOB*")</f>
        <v/>
      </c>
      <c r="JT42" s="170">
        <f>COUNTIF('INPUT - Roster'!$KJ$6:$KJ$206,"*DEMOB*")</f>
        <v/>
      </c>
      <c r="JU42" s="170">
        <f>COUNTIF('INPUT - Roster'!$KK$6:$KK$206,"*DEMOB*")</f>
        <v/>
      </c>
      <c r="JV42" s="170">
        <f>COUNTIF('INPUT - Roster'!$KL$6:$KL$206,"*DEMOB*")</f>
        <v/>
      </c>
      <c r="JW42" s="170">
        <f>COUNTIF('INPUT - Roster'!$KM$6:$KM$206,"*DEMOB*")</f>
        <v/>
      </c>
      <c r="JX42" s="170">
        <f>COUNTIF('INPUT - Roster'!$KN$6:$KN$206,"*DEMOB*")</f>
        <v/>
      </c>
      <c r="JY42" s="170">
        <f>COUNTIF('INPUT - Roster'!$KO$6:$KO$206,"*DEMOB*")</f>
        <v/>
      </c>
      <c r="JZ42" s="170">
        <f>COUNTIF('INPUT - Roster'!$KP$6:$KP$206,"*DEMOB*")</f>
        <v/>
      </c>
      <c r="KA42" s="170">
        <f>COUNTIF('INPUT - Roster'!$KQ$6:$KQ$206,"*DEMOB*")</f>
        <v/>
      </c>
      <c r="KB42" s="170">
        <f>COUNTIF('INPUT - Roster'!$KR$6:$KR$206,"*DEMOB*")</f>
        <v/>
      </c>
      <c r="KC42" s="170">
        <f>COUNTIF('INPUT - Roster'!$KS$6:$KS$206,"*DEMOB*")</f>
        <v/>
      </c>
      <c r="KD42" s="170">
        <f>COUNTIF('INPUT - Roster'!$KT$6:$KT$206,"*DEMOB*")</f>
        <v/>
      </c>
      <c r="KE42" s="170">
        <f>COUNTIF('INPUT - Roster'!$KU$6:$KU$206,"*DEMOB*")</f>
        <v/>
      </c>
      <c r="KF42" s="170">
        <f>COUNTIF('INPUT - Roster'!$KV$6:$KV$206,"*DEMOB*")</f>
        <v/>
      </c>
      <c r="KG42" s="170">
        <f>COUNTIF('INPUT - Roster'!$KW$6:$KW$206,"*DEMOB*")</f>
        <v/>
      </c>
      <c r="KH42" s="170">
        <f>COUNTIF('INPUT - Roster'!$KX$6:$KX$206,"*DEMOB*")</f>
        <v/>
      </c>
      <c r="KI42" s="170">
        <f>COUNTIF('INPUT - Roster'!$KY$6:$KY$206,"*DEMOB*")</f>
        <v/>
      </c>
      <c r="KJ42" s="170">
        <f>COUNTIF('INPUT - Roster'!$KZ$6:$KZ$206,"*DEMOB*")</f>
        <v/>
      </c>
      <c r="KK42" s="170">
        <f>COUNTIF('INPUT - Roster'!$LA$6:$LA$206,"*DEMOB*")</f>
        <v/>
      </c>
      <c r="KL42" s="170">
        <f>COUNTIF('INPUT - Roster'!$LB$6:$LB$206,"*DEMOB*")</f>
        <v/>
      </c>
      <c r="KM42" s="170">
        <f>COUNTIF('INPUT - Roster'!$LC$6:$LC$206,"*DEMOB*")</f>
        <v/>
      </c>
      <c r="KN42" s="170">
        <f>COUNTIF('INPUT - Roster'!$LD$6:$LD$206,"*DEMOB*")</f>
        <v/>
      </c>
      <c r="KO42" s="170">
        <f>COUNTIF('INPUT - Roster'!$LE$6:$LE$206,"*DEMOB*")</f>
        <v/>
      </c>
      <c r="KP42" s="170">
        <f>COUNTIF('INPUT - Roster'!$LF$6:$LF$206,"*DEMOB*")</f>
        <v/>
      </c>
      <c r="KQ42" s="170">
        <f>COUNTIF('INPUT - Roster'!$LG$6:$LG$206,"*DEMOB*")</f>
        <v/>
      </c>
      <c r="KR42" s="170">
        <f>COUNTIF('INPUT - Roster'!$LH$6:$LH$206,"*DEMOB*")</f>
        <v/>
      </c>
      <c r="KS42" s="170">
        <f>COUNTIF('INPUT - Roster'!$LI$6:$LI$206,"*DEMOB*")</f>
        <v/>
      </c>
      <c r="KT42" s="170">
        <f>COUNTIF('INPUT - Roster'!$LJ$6:$LJ$206,"*DEMOB*")</f>
        <v/>
      </c>
      <c r="KU42" s="170">
        <f>COUNTIF('INPUT - Roster'!$LK$6:$LK$206,"*DEMOB*")</f>
        <v/>
      </c>
      <c r="KV42" s="170">
        <f>COUNTIF('INPUT - Roster'!$LL$6:$LL$206,"*DEMOB*")</f>
        <v/>
      </c>
      <c r="KW42" s="170">
        <f>COUNTIF('INPUT - Roster'!$LM$6:$LM$206,"*DEMOB*")</f>
        <v/>
      </c>
      <c r="KX42" s="170">
        <f>COUNTIF('INPUT - Roster'!$LN$6:$LN$206,"*DEMOB*")</f>
        <v/>
      </c>
      <c r="KY42" s="170">
        <f>COUNTIF('INPUT - Roster'!$LO$6:$LO$206,"*DEMOB*")</f>
        <v/>
      </c>
      <c r="KZ42" s="170">
        <f>COUNTIF('INPUT - Roster'!$LP$6:$LP$206,"*DEMOB*")</f>
        <v/>
      </c>
      <c r="LA42" s="170">
        <f>COUNTIF('INPUT - Roster'!$LQ$6:$LQ$206,"*DEMOB*")</f>
        <v/>
      </c>
      <c r="LB42" s="170">
        <f>COUNTIF('INPUT - Roster'!$LR$6:$LR$206,"*DEMOB*")</f>
        <v/>
      </c>
      <c r="LC42" s="170">
        <f>COUNTIF('INPUT - Roster'!$LS$6:$LS$206,"*DEMOB*")</f>
        <v/>
      </c>
      <c r="LD42" s="170">
        <f>COUNTIF('INPUT - Roster'!$LT$6:$LT$206,"*DEMOB*")</f>
        <v/>
      </c>
      <c r="LE42" s="170">
        <f>COUNTIF('INPUT - Roster'!$LU$6:$LU$206,"*DEMOB*")</f>
        <v/>
      </c>
      <c r="LF42" s="170">
        <f>COUNTIF('INPUT - Roster'!$LV$6:$LV$206,"*DEMOB*")</f>
        <v/>
      </c>
      <c r="LG42" s="170">
        <f>COUNTIF('INPUT - Roster'!$LW$6:$LW$206,"*DEMOB*")</f>
        <v/>
      </c>
      <c r="LH42" s="170">
        <f>COUNTIF('INPUT - Roster'!$LX$6:$LX$206,"*DEMOB*")</f>
        <v/>
      </c>
      <c r="LI42" s="170">
        <f>COUNTIF('INPUT - Roster'!$LY$6:$LY$206,"*DEMOB*")</f>
        <v/>
      </c>
      <c r="LJ42" s="170">
        <f>COUNTIF('INPUT - Roster'!$LZ$6:$LZ$206,"*DEMOB*")</f>
        <v/>
      </c>
      <c r="LK42" s="170">
        <f>COUNTIF('INPUT - Roster'!$MA$6:$MA$206,"*DEMOB*")</f>
        <v/>
      </c>
      <c r="LL42" s="170">
        <f>COUNTIF('INPUT - Roster'!$MB$6:$MB$206,"*DEMOB*")</f>
        <v/>
      </c>
      <c r="LM42" s="170">
        <f>COUNTIF('INPUT - Roster'!$MC$6:$MC$206,"*DEMOB*")</f>
        <v/>
      </c>
      <c r="LN42" s="170">
        <f>COUNTIF('INPUT - Roster'!$MD$6:$MD$206,"*DEMOB*")</f>
        <v/>
      </c>
      <c r="LO42" s="170">
        <f>COUNTIF('INPUT - Roster'!$ME$6:$ME$206,"*DEMOB*")</f>
        <v/>
      </c>
      <c r="LP42" s="170">
        <f>COUNTIF('INPUT - Roster'!$MF$6:$MF$206,"*DEMOB*")</f>
        <v/>
      </c>
      <c r="LQ42" s="170">
        <f>COUNTIF('INPUT - Roster'!$MG$6:$MG$206,"*DEMOB*")</f>
        <v/>
      </c>
      <c r="LR42" s="170">
        <f>COUNTIF('INPUT - Roster'!$MH$6:$MH$206,"*DEMOB*")</f>
        <v/>
      </c>
      <c r="LS42" s="170">
        <f>COUNTIF('INPUT - Roster'!$MI$6:$MI$206,"*DEMOB*")</f>
        <v/>
      </c>
      <c r="LT42" s="170">
        <f>COUNTIF('INPUT - Roster'!$MJ$6:$MJ$206,"*DEMOB*")</f>
        <v/>
      </c>
      <c r="LU42" s="170">
        <f>COUNTIF('INPUT - Roster'!$MK$6:$MK$206,"*DEMOB*")</f>
        <v/>
      </c>
      <c r="LV42" s="170">
        <f>COUNTIF('INPUT - Roster'!$ML$6:$ML$206,"*DEMOB*")</f>
        <v/>
      </c>
      <c r="LW42" s="170">
        <f>COUNTIF('INPUT - Roster'!$MM$6:$MM$206,"*DEMOB*")</f>
        <v/>
      </c>
      <c r="LX42" s="170">
        <f>COUNTIF('INPUT - Roster'!$MN$6:$MN$206,"*DEMOB*")</f>
        <v/>
      </c>
      <c r="LY42" s="170">
        <f>COUNTIF('INPUT - Roster'!$MO$6:$MO$206,"*DEMOB*")</f>
        <v/>
      </c>
      <c r="LZ42" s="170">
        <f>COUNTIF('INPUT - Roster'!$MP$6:$MP$206,"*DEMOB*")</f>
        <v/>
      </c>
      <c r="MA42" s="170">
        <f>COUNTIF('INPUT - Roster'!$MQ$6:$MQ$206,"*DEMOB*")</f>
        <v/>
      </c>
      <c r="MB42" s="170">
        <f>COUNTIF('INPUT - Roster'!$MR$6:$MR$206,"*DEMOB*")</f>
        <v/>
      </c>
      <c r="MC42" s="170">
        <f>COUNTIF('INPUT - Roster'!$MS$6:$MS$206,"*DEMOB*")</f>
        <v/>
      </c>
      <c r="MD42" s="170">
        <f>COUNTIF('INPUT - Roster'!$MT$6:$MT$206,"*DEMOB*")</f>
        <v/>
      </c>
      <c r="ME42" s="170">
        <f>COUNTIF('INPUT - Roster'!$MU$6:$MU$206,"*DEMOB*")</f>
        <v/>
      </c>
      <c r="MF42" s="170">
        <f>COUNTIF('INPUT - Roster'!$MV$6:$MV$206,"*DEMOB*")</f>
        <v/>
      </c>
      <c r="MG42" s="170">
        <f>COUNTIF('INPUT - Roster'!$MW$6:$MW$206,"*DEMOB*")</f>
        <v/>
      </c>
      <c r="MH42" s="170">
        <f>COUNTIF('INPUT - Roster'!$MX$6:$MX$206,"*DEMOB*")</f>
        <v/>
      </c>
      <c r="MI42" s="170">
        <f>COUNTIF('INPUT - Roster'!$MY$6:$MY$206,"*DEMOB*")</f>
        <v/>
      </c>
      <c r="MJ42" s="170">
        <f>COUNTIF('INPUT - Roster'!$MZ$6:$MZ$206,"*DEMOB*")</f>
        <v/>
      </c>
      <c r="MK42" s="170">
        <f>COUNTIF('INPUT - Roster'!$NA$6:$NA$206,"*DEMOB*")</f>
        <v/>
      </c>
      <c r="ML42" s="170">
        <f>COUNTIF('INPUT - Roster'!$NB$6:$NB$206,"*DEMOB*")</f>
        <v/>
      </c>
      <c r="MM42" s="170">
        <f>COUNTIF('INPUT - Roster'!$NC$6:$NC$206,"*DEMOB*")</f>
        <v/>
      </c>
      <c r="MN42" s="170">
        <f>COUNTIF('INPUT - Roster'!$ND$6:$ND$206,"*DEMOB*")</f>
        <v/>
      </c>
      <c r="MO42" s="170">
        <f>COUNTIF('INPUT - Roster'!$NE$6:$NE$206,"*DEMOB*")</f>
        <v/>
      </c>
      <c r="MP42" s="170">
        <f>COUNTIF('INPUT - Roster'!$NF$6:$NF$206,"*DEMOB*")</f>
        <v/>
      </c>
      <c r="MQ42" s="170">
        <f>COUNTIF('INPUT - Roster'!$NG$6:$NG$206,"*DEMOB*")</f>
        <v/>
      </c>
      <c r="MR42" s="170">
        <f>COUNTIF('INPUT - Roster'!$NH$6:$NH$206,"*DEMOB*")</f>
        <v/>
      </c>
      <c r="MS42" s="170">
        <f>COUNTIF('INPUT - Roster'!$NI$6:$NI$206,"*DEMOB*")</f>
        <v/>
      </c>
      <c r="MT42" s="170">
        <f>COUNTIF('INPUT - Roster'!$NJ$6:$NJ$206,"*DEMOB*")</f>
        <v/>
      </c>
      <c r="MU42" s="170">
        <f>COUNTIF('INPUT - Roster'!$NK$6:$NK$206,"*DEMOB*")</f>
        <v/>
      </c>
      <c r="MV42" s="170">
        <f>COUNTIF('INPUT - Roster'!$NL$6:$NL$206,"*DEMOB*")</f>
        <v/>
      </c>
      <c r="MW42" s="170">
        <f>COUNTIF('INPUT - Roster'!$NM$6:$NM$206,"*DEMOB*")</f>
        <v/>
      </c>
      <c r="MX42" s="170">
        <f>COUNTIF('INPUT - Roster'!$NN$6:$NN$206,"*DEMOB*")</f>
        <v/>
      </c>
      <c r="MY42" s="170">
        <f>COUNTIF('INPUT - Roster'!$NO$6:$NO$206,"*DEMOB*")</f>
        <v/>
      </c>
      <c r="MZ42" s="170">
        <f>COUNTIF('INPUT - Roster'!$NP$6:$NP$206,"*DEMOB*")</f>
        <v/>
      </c>
      <c r="NA42" s="170">
        <f>COUNTIF('INPUT - Roster'!$NQ$6:$NQ$206,"*DEMOB*")</f>
        <v/>
      </c>
      <c r="NB42" s="170">
        <f>COUNTIF('INPUT - Roster'!$NR$6:$NR$206,"*DEMOB*")</f>
        <v/>
      </c>
      <c r="NC42" s="170">
        <f>COUNTIF('INPUT - Roster'!$NS$6:$NS$206,"*DEMOB*")</f>
        <v/>
      </c>
      <c r="ND42" s="170">
        <f>COUNTIF('INPUT - Roster'!$NT$6:$NT$206,"*DEMOB*")</f>
        <v/>
      </c>
      <c r="NE42" s="170">
        <f>COUNTIF('INPUT - Roster'!$NU$6:$NU$206,"*DEMOB*")</f>
        <v/>
      </c>
      <c r="NF42" s="170">
        <f>COUNTIF('INPUT - Roster'!$NV$6:$NV$206,"*DEMOB*")</f>
        <v/>
      </c>
      <c r="NG42" s="170">
        <f>COUNTIF('INPUT - Roster'!$NW$6:$NW$206,"*DEMOB*")</f>
        <v/>
      </c>
      <c r="NH42" s="170">
        <f>COUNTIF('INPUT - Roster'!$NX$6:$NX$206,"*DEMOB*")</f>
        <v/>
      </c>
      <c r="NI42" s="170">
        <f>COUNTIF('INPUT - Roster'!$NY$6:$NY$206,"*DEMOB*")</f>
        <v/>
      </c>
      <c r="NJ42" s="170">
        <f>COUNTIF('INPUT - Roster'!$NZ$6:$NZ$206,"*DEMOB*")</f>
        <v/>
      </c>
      <c r="NK42" s="170">
        <f>COUNTIF('INPUT - Roster'!$OA$6:$OA$206,"*DEMOB*")</f>
        <v/>
      </c>
      <c r="NL42" s="170">
        <f>COUNTIF('INPUT - Roster'!$OB$6:$OB$206,"*DEMOB*")</f>
        <v/>
      </c>
      <c r="NM42" s="170">
        <f>COUNTIF('INPUT - Roster'!$OC$6:$OC$206,"*DEMOB*")</f>
        <v/>
      </c>
      <c r="NN42" s="170">
        <f>COUNTIF('INPUT - Roster'!$OD$6:$OD$206,"*DEMOB*")</f>
        <v/>
      </c>
      <c r="NO42" s="170">
        <f>COUNTIF('INPUT - Roster'!$OE$6:$OE$206,"*DEMOB*")</f>
        <v/>
      </c>
      <c r="NP42" s="170">
        <f>COUNTIF('INPUT - Roster'!$OF$6:$OF$206,"*DEMOB*")</f>
        <v/>
      </c>
      <c r="NQ42" s="170">
        <f>COUNTIF('INPUT - Roster'!$OG$6:$OG$206,"*DEMOB*")</f>
        <v/>
      </c>
      <c r="NR42" s="170">
        <f>COUNTIF('INPUT - Roster'!$OH$6:$OH$206,"*DEMOB*")</f>
        <v/>
      </c>
      <c r="NS42" s="170">
        <f>COUNTIF('INPUT - Roster'!$OI$6:$OI$206,"*DEMOB*")</f>
        <v/>
      </c>
      <c r="NT42" s="170">
        <f>COUNTIF('INPUT - Roster'!$OJ$6:$OJ$206,"*DEMOB*")</f>
        <v/>
      </c>
      <c r="NU42" s="170">
        <f>COUNTIF('INPUT - Roster'!$OK$6:$OK$206,"*DEMOB*")</f>
        <v/>
      </c>
      <c r="NV42" s="170">
        <f>COUNTIF('INPUT - Roster'!$OL$6:$OL$206,"*DEMOB*")</f>
        <v/>
      </c>
      <c r="NW42" s="170">
        <f>COUNTIF('INPUT - Roster'!$OM$6:$OM$206,"*DEMOB*")</f>
        <v/>
      </c>
      <c r="NX42" s="170">
        <f>COUNTIF('INPUT - Roster'!$ON$6:$ON$206,"*DEMOB*")</f>
        <v/>
      </c>
      <c r="NY42" s="170">
        <f>COUNTIF('INPUT - Roster'!$OO$6:$OO$206,"*DEMOB*")</f>
        <v/>
      </c>
      <c r="NZ42" s="170">
        <f>COUNTIF('INPUT - Roster'!$OP$6:$OP$206,"*DEMOB*")</f>
        <v/>
      </c>
      <c r="OA42" s="170">
        <f>COUNTIF('INPUT - Roster'!$OQ$6:$OQ$206,"*DEMOB*")</f>
        <v/>
      </c>
      <c r="OB42" s="170">
        <f>COUNTIF('INPUT - Roster'!$OR$6:$OR$206,"*DEMOB*")</f>
        <v/>
      </c>
      <c r="OC42" s="170">
        <f>COUNTIF('INPUT - Roster'!$OS$6:$OS$206,"*DEMOB*")</f>
        <v/>
      </c>
      <c r="OD42" s="170">
        <f>COUNTIF('INPUT - Roster'!$OT$6:$OT$206,"*DEMOB*")</f>
        <v/>
      </c>
      <c r="OE42" s="170">
        <f>COUNTIF('INPUT - Roster'!$OU$6:$OU$206,"*DEMOB*")</f>
        <v/>
      </c>
      <c r="OF42" s="170">
        <f>COUNTIF('INPUT - Roster'!$OV$6:$OV$206,"*DEMOB*")</f>
        <v/>
      </c>
      <c r="OG42" s="170">
        <f>COUNTIF('INPUT - Roster'!$OW$6:$OW$206,"*DEMOB*")</f>
        <v/>
      </c>
      <c r="OH42" s="170">
        <f>COUNTIF('INPUT - Roster'!$OX$6:$OX$206,"*DEMOB*")</f>
        <v/>
      </c>
      <c r="OI42" s="170">
        <f>COUNTIF('INPUT - Roster'!$OY$6:$OY$206,"*DEMOB*")</f>
        <v/>
      </c>
      <c r="OJ42" s="170">
        <f>COUNTIF('INPUT - Roster'!$OZ$6:$OZ$206,"*DEMOB*")</f>
        <v/>
      </c>
      <c r="OK42" s="170">
        <f>COUNTIF('INPUT - Roster'!$PA$6:$PA$206,"*DEMOB*")</f>
        <v/>
      </c>
      <c r="OL42" s="170">
        <f>COUNTIF('INPUT - Roster'!$PB$6:$PB$206,"*DEMOB*")</f>
        <v/>
      </c>
      <c r="OM42" s="170">
        <f>COUNTIF('INPUT - Roster'!$PC$6:$PC$206,"*DEMOB*")</f>
        <v/>
      </c>
      <c r="ON42" s="170">
        <f>COUNTIF('INPUT - Roster'!$PD$6:$PD$206,"*DEMOB*")</f>
        <v/>
      </c>
      <c r="OO42" s="170">
        <f>COUNTIF('INPUT - Roster'!$PE$6:$PE$206,"*DEMOB*")</f>
        <v/>
      </c>
      <c r="OP42" s="170">
        <f>COUNTIF('INPUT - Roster'!$PF$6:$PF$206,"*DEMOB*")</f>
        <v/>
      </c>
      <c r="OQ42" s="170">
        <f>COUNTIF('INPUT - Roster'!$PG$6:$PG$206,"*DEMOB*")</f>
        <v/>
      </c>
      <c r="OR42" s="170">
        <f>COUNTIF('INPUT - Roster'!$PH$6:$PH$206,"*DEMOB*")</f>
        <v/>
      </c>
      <c r="OS42" s="170">
        <f>COUNTIF('INPUT - Roster'!$PI$6:$PI$206,"*DEMOB*")</f>
        <v/>
      </c>
      <c r="OT42" s="170">
        <f>COUNTIF('INPUT - Roster'!$PJ$6:$PJ$206,"*DEMOB*")</f>
        <v/>
      </c>
      <c r="OU42" s="170">
        <f>COUNTIF('INPUT - Roster'!$PK$6:$PK$206,"*DEMOB*")</f>
        <v/>
      </c>
      <c r="OV42" s="170">
        <f>COUNTIF('INPUT - Roster'!$PL$6:$PL$206,"*DEMOB*")</f>
        <v/>
      </c>
      <c r="OW42" s="170">
        <f>COUNTIF('INPUT - Roster'!$PM$6:$PM$206,"*DEMOB*")</f>
        <v/>
      </c>
      <c r="OX42" s="170">
        <f>COUNTIF('INPUT - Roster'!$PN$6:$PN$206,"*DEMOB*")</f>
        <v/>
      </c>
      <c r="OY42" s="170">
        <f>COUNTIF('INPUT - Roster'!$PO$6:$PO$206,"*DEMOB*")</f>
        <v/>
      </c>
      <c r="OZ42" s="170">
        <f>COUNTIF('INPUT - Roster'!$PP$6:$PP$206,"*DEMOB*")</f>
        <v/>
      </c>
      <c r="PA42" s="170">
        <f>COUNTIF('INPUT - Roster'!$PQ$6:$PQ$206,"*DEMOB*")</f>
        <v/>
      </c>
      <c r="PB42" s="170">
        <f>COUNTIF('INPUT - Roster'!$PR$6:$PR$206,"*DEMOB*")</f>
        <v/>
      </c>
      <c r="PC42" s="170">
        <f>COUNTIF('INPUT - Roster'!$PS$6:$PS$206,"*DEMOB*")</f>
        <v/>
      </c>
      <c r="PD42" s="170">
        <f>COUNTIF('INPUT - Roster'!$PT$6:$PT$206,"*DEMOB*")</f>
        <v/>
      </c>
      <c r="PE42" s="170">
        <f>COUNTIF('INPUT - Roster'!$PU$6:$PU$206,"*DEMOB*")</f>
        <v/>
      </c>
      <c r="PF42" s="170">
        <f>COUNTIF('INPUT - Roster'!$PV$6:$PV$206,"*DEMOB*")</f>
        <v/>
      </c>
      <c r="PG42" s="170">
        <f>COUNTIF('INPUT - Roster'!$PW$6:$PW$206,"*DEMOB*")</f>
        <v/>
      </c>
      <c r="PH42" s="170">
        <f>COUNTIF('INPUT - Roster'!$PX$6:$PX$206,"*DEMOB*")</f>
        <v/>
      </c>
      <c r="PI42" s="170">
        <f>COUNTIF('INPUT - Roster'!$PY$6:$PY$206,"*DEMOB*")</f>
        <v/>
      </c>
      <c r="PJ42" s="170">
        <f>COUNTIF('INPUT - Roster'!$PZ$6:$PZ$206,"*DEMOB*")</f>
        <v/>
      </c>
      <c r="PK42" s="170">
        <f>COUNTIF('INPUT - Roster'!$QA$6:$QA$206,"*DEMOB*")</f>
        <v/>
      </c>
      <c r="PL42" s="170">
        <f>COUNTIF('INPUT - Roster'!$QB$6:$QB$206,"*DEMOB*")</f>
        <v/>
      </c>
      <c r="PM42" s="170">
        <f>COUNTIF('INPUT - Roster'!$QC$6:$QC$206,"*DEMOB*")</f>
        <v/>
      </c>
      <c r="PN42" s="170">
        <f>COUNTIF('INPUT - Roster'!$QD$6:$QD$206,"*DEMOB*")</f>
        <v/>
      </c>
      <c r="PO42" s="170">
        <f>COUNTIF('INPUT - Roster'!$QE$6:$QE$206,"*DEMOB*")</f>
        <v/>
      </c>
      <c r="PP42" s="170">
        <f>COUNTIF('INPUT - Roster'!$QF$6:$QF$206,"*DEMOB*")</f>
        <v/>
      </c>
      <c r="PQ42" s="170">
        <f>COUNTIF('INPUT - Roster'!$QG$6:$QG$206,"*DEMOB*")</f>
        <v/>
      </c>
      <c r="PR42" s="170">
        <f>COUNTIF('INPUT - Roster'!$QH$6:$QH$206,"*DEMOB*")</f>
        <v/>
      </c>
      <c r="PS42" s="170">
        <f>COUNTIF('INPUT - Roster'!$QI$6:$QI$206,"*DEMOB*")</f>
        <v/>
      </c>
      <c r="PT42" s="170">
        <f>COUNTIF('INPUT - Roster'!$QJ$6:$QJ$206,"*DEMOB*")</f>
        <v/>
      </c>
      <c r="PU42" s="170">
        <f>COUNTIF('INPUT - Roster'!$QK$6:$QK$206,"*DEMOB*")</f>
        <v/>
      </c>
      <c r="PV42" s="170">
        <f>COUNTIF('INPUT - Roster'!$QL$6:$QL$206,"*DEMOB*")</f>
        <v/>
      </c>
      <c r="PW42" s="170">
        <f>COUNTIF('INPUT - Roster'!$QM$6:$QM$206,"*DEMOB*")</f>
        <v/>
      </c>
      <c r="PX42" s="170">
        <f>COUNTIF('INPUT - Roster'!$QN$6:$QN$206,"*DEMOB*")</f>
        <v/>
      </c>
      <c r="PY42" s="170">
        <f>COUNTIF('INPUT - Roster'!$QO$6:$QO$206,"*DEMOB*")</f>
        <v/>
      </c>
      <c r="PZ42" s="170">
        <f>COUNTIF('INPUT - Roster'!$QP$6:$QP$206,"*DEMOB*")</f>
        <v/>
      </c>
      <c r="QA42" s="170">
        <f>COUNTIF('INPUT - Roster'!$QQ$6:$QQ$206,"*DEMOB*")</f>
        <v/>
      </c>
      <c r="QB42" s="170">
        <f>COUNTIF('INPUT - Roster'!$QR$6:$QR$206,"*DEMOB*")</f>
        <v/>
      </c>
      <c r="QC42" s="170">
        <f>COUNTIF('INPUT - Roster'!$QS$6:$QS$206,"*DEMOB*")</f>
        <v/>
      </c>
      <c r="QD42" s="170">
        <f>COUNTIF('INPUT - Roster'!$QT$6:$QT$206,"*DEMOB*")</f>
        <v/>
      </c>
      <c r="QE42" s="170">
        <f>COUNTIF('INPUT - Roster'!$QU$6:$QU$206,"*DEMOB*")</f>
        <v/>
      </c>
      <c r="QF42" s="170">
        <f>COUNTIF('INPUT - Roster'!$QV$6:$QV$206,"*DEMOB*")</f>
        <v/>
      </c>
      <c r="QG42" s="170">
        <f>COUNTIF('INPUT - Roster'!$QW$6:$QW$206,"*DEMOB*")</f>
        <v/>
      </c>
      <c r="QH42" s="170">
        <f>COUNTIF('INPUT - Roster'!$QX$6:$QX$206,"*DEMOB*")</f>
        <v/>
      </c>
      <c r="QI42" s="170">
        <f>COUNTIF('INPUT - Roster'!$QY$6:$QY$206,"*DEMOB*")</f>
        <v/>
      </c>
      <c r="QJ42" s="170">
        <f>COUNTIF('INPUT - Roster'!$QZ$6:$QZ$206,"*DEMOB*")</f>
        <v/>
      </c>
      <c r="QK42" s="170">
        <f>COUNTIF('INPUT - Roster'!$RA$6:$RA$206,"*DEMOB*")</f>
        <v/>
      </c>
      <c r="QL42" s="170">
        <f>COUNTIF('INPUT - Roster'!$RB$6:$RB$206,"*DEMOB*")</f>
        <v/>
      </c>
      <c r="QM42" s="170">
        <f>COUNTIF('INPUT - Roster'!$RC$6:$RC$206,"*DEMOB*")</f>
        <v/>
      </c>
      <c r="QN42" s="170">
        <f>COUNTIF('INPUT - Roster'!$RD$6:$RD$206,"*DEMOB*")</f>
        <v/>
      </c>
      <c r="QO42" s="170">
        <f>COUNTIF('INPUT - Roster'!$RE$6:$RE$206,"*DEMOB*")</f>
        <v/>
      </c>
      <c r="QP42" s="170">
        <f>COUNTIF('INPUT - Roster'!$RF$6:$RF$206,"*DEMOB*")</f>
        <v/>
      </c>
      <c r="QQ42" s="170">
        <f>COUNTIF('INPUT - Roster'!$RG$6:$RG$206,"*DEMOB*")</f>
        <v/>
      </c>
      <c r="QR42" s="170">
        <f>COUNTIF('INPUT - Roster'!$RH$6:$RH$206,"*DEMOB*")</f>
        <v/>
      </c>
      <c r="QS42" s="170">
        <f>COUNTIF('INPUT - Roster'!$RI$6:$RI$206,"*DEMOB*")</f>
        <v/>
      </c>
      <c r="QT42" s="170">
        <f>COUNTIF('INPUT - Roster'!$RJ$6:$RJ$206,"*DEMOB*")</f>
        <v/>
      </c>
      <c r="QU42" s="170">
        <f>COUNTIF('INPUT - Roster'!$RK$6:$RK$206,"*DEMOB*")</f>
        <v/>
      </c>
      <c r="QV42" s="170">
        <f>COUNTIF('INPUT - Roster'!$RL$6:$RL$206,"*DEMOB*")</f>
        <v/>
      </c>
      <c r="QW42" s="170">
        <f>COUNTIF('INPUT - Roster'!$RM$6:$RM$206,"*DEMOB*")</f>
        <v/>
      </c>
      <c r="QX42" s="170">
        <f>COUNTIF('INPUT - Roster'!$RN$6:$RN$206,"*DEMOB*")</f>
        <v/>
      </c>
      <c r="QY42" s="170">
        <f>COUNTIF('INPUT - Roster'!$RO$6:$RO$206,"*DEMOB*")</f>
        <v/>
      </c>
      <c r="QZ42" s="170">
        <f>COUNTIF('INPUT - Roster'!$RP$6:$RP$206,"*DEMOB*")</f>
        <v/>
      </c>
      <c r="RA42" s="170">
        <f>COUNTIF('INPUT - Roster'!$RQ$6:$RQ$206,"*DEMOB*")</f>
        <v/>
      </c>
      <c r="RB42" s="170">
        <f>COUNTIF('INPUT - Roster'!$RR$6:$RR$206,"*DEMOB*")</f>
        <v/>
      </c>
      <c r="RC42" s="170">
        <f>COUNTIF('INPUT - Roster'!$RS$6:$RS$206,"*DEMOB*")</f>
        <v/>
      </c>
      <c r="RD42" s="170">
        <f>COUNTIF('INPUT - Roster'!$RT$6:$RT$206,"*DEMOB*")</f>
        <v/>
      </c>
      <c r="RE42" s="170">
        <f>COUNTIF('INPUT - Roster'!$RU$6:$RU$206,"*DEMOB*")</f>
        <v/>
      </c>
      <c r="RF42" s="170">
        <f>COUNTIF('INPUT - Roster'!$RV$6:$RV$206,"*DEMOB*")</f>
        <v/>
      </c>
      <c r="RG42" s="170">
        <f>COUNTIF('INPUT - Roster'!$RW$6:$RW$206,"*DEMOB*")</f>
        <v/>
      </c>
      <c r="RH42" s="170">
        <f>COUNTIF('INPUT - Roster'!$RX$6:$RX$206,"*DEMOB*")</f>
        <v/>
      </c>
      <c r="RI42" s="170">
        <f>COUNTIF('INPUT - Roster'!$RY$6:$RY$206,"*DEMOB*")</f>
        <v/>
      </c>
      <c r="RJ42" s="170">
        <f>COUNTIF('INPUT - Roster'!$RZ$6:$RZ$206,"*DEMOB*")</f>
        <v/>
      </c>
      <c r="RK42" s="170">
        <f>COUNTIF('INPUT - Roster'!$SA$6:$SA$206,"*DEMOB*")</f>
        <v/>
      </c>
      <c r="RL42" s="170">
        <f>COUNTIF('INPUT - Roster'!$SB$6:$SB$206,"*DEMOB*")</f>
        <v/>
      </c>
      <c r="RM42" s="170">
        <f>COUNTIF('INPUT - Roster'!$SC$6:$SC$206,"*DEMOB*")</f>
        <v/>
      </c>
      <c r="RN42" s="170">
        <f>COUNTIF('INPUT - Roster'!$SD$6:$SD$206,"*DEMOB*")</f>
        <v/>
      </c>
      <c r="RO42" s="170">
        <f>COUNTIF('INPUT - Roster'!$SE$6:$SE$206,"*DEMOB*")</f>
        <v/>
      </c>
      <c r="RP42" s="170">
        <f>COUNTIF('INPUT - Roster'!$SF$6:$SF$206,"*DEMOB*")</f>
        <v/>
      </c>
      <c r="RQ42" s="170">
        <f>COUNTIF('INPUT - Roster'!$SG$6:$SG$206,"*DEMOB*")</f>
        <v/>
      </c>
      <c r="RR42" s="170">
        <f>COUNTIF('INPUT - Roster'!$SH$6:$SH$206,"*DEMOB*")</f>
        <v/>
      </c>
      <c r="RS42" s="170">
        <f>COUNTIF('INPUT - Roster'!$SI$6:$SI$206,"*DEMOB*")</f>
        <v/>
      </c>
      <c r="RT42" s="170">
        <f>COUNTIF('INPUT - Roster'!$SJ$6:$SJ$206,"*DEMOB*")</f>
        <v/>
      </c>
      <c r="RU42" s="170">
        <f>COUNTIF('INPUT - Roster'!$SK$6:$SK$206,"*DEMOB*")</f>
        <v/>
      </c>
      <c r="RV42" s="170">
        <f>COUNTIF('INPUT - Roster'!$SL$6:$SL$206,"*DEMOB*")</f>
        <v/>
      </c>
      <c r="RW42" s="170">
        <f>COUNTIF('INPUT - Roster'!$SM$6:$SM$206,"*DEMOB*")</f>
        <v/>
      </c>
      <c r="RX42" s="170">
        <f>COUNTIF('INPUT - Roster'!$SN$6:$SN$206,"*DEMOB*")</f>
        <v/>
      </c>
      <c r="RY42" s="170">
        <f>COUNTIF('INPUT - Roster'!$SO$6:$SO$206,"*DEMOB*")</f>
        <v/>
      </c>
      <c r="RZ42" s="170">
        <f>COUNTIF('INPUT - Roster'!$SP$6:$SP$206,"*DEMOB*")</f>
        <v/>
      </c>
      <c r="SA42" s="170">
        <f>COUNTIF('INPUT - Roster'!$SQ$6:$SQ$206,"*DEMOB*")</f>
        <v/>
      </c>
      <c r="SB42" s="170">
        <f>COUNTIF('INPUT - Roster'!$SR$6:$SR$206,"*DEMOB*")</f>
        <v/>
      </c>
      <c r="SC42" s="170">
        <f>COUNTIF('INPUT - Roster'!$SS$6:$SS$206,"*DEMOB*")</f>
        <v/>
      </c>
      <c r="SD42" s="170">
        <f>COUNTIF('INPUT - Roster'!$ST$6:$ST$206,"*DEMOB*")</f>
        <v/>
      </c>
      <c r="SE42" s="170">
        <f>COUNTIF('INPUT - Roster'!$SU$6:$SU$206,"*DEMOB*")</f>
        <v/>
      </c>
      <c r="SF42" s="170">
        <f>COUNTIF('INPUT - Roster'!$SV$6:$SV$206,"*DEMOB*")</f>
        <v/>
      </c>
    </row>
  </sheetData>
  <conditionalFormatting sqref="C3:SF4">
    <cfRule type="expression" priority="1" dxfId="23">
      <formula>C$4=Settings!$C$8</formula>
    </cfRule>
  </conditionalFormatting>
  <conditionalFormatting sqref="C6:SF18">
    <cfRule type="expression" priority="2" dxfId="24">
      <formula>C6&gt;0</formula>
    </cfRule>
  </conditionalFormatting>
  <conditionalFormatting sqref="C22:SF33">
    <cfRule type="expression" priority="3" dxfId="25">
      <formula>C22&gt;0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8F5B"/>
    <outlinePr summaryBelow="1" summaryRight="1"/>
    <pageSetUpPr fitToPage="1"/>
  </sheetPr>
  <dimension ref="A1:AN1013"/>
  <sheetViews>
    <sheetView showGridLines="0" tabSelected="0" zoomScaleNormal="100" workbookViewId="0">
      <pane xSplit="5" ySplit="7" topLeftCell="F8" activePane="bottomRight" state="frozen"/>
      <selection pane="topRight"/>
      <selection pane="bottomLeft"/>
      <selection pane="bottomRight" activeCell="E1" sqref="E1"/>
      <selection pane="bottomLeft" activeCell="A7" sqref="A7"/>
      <selection pane="bottomRight" activeCell="M20" sqref="M20"/>
    </sheetView>
  </sheetViews>
  <sheetFormatPr baseColWidth="8" defaultColWidth="8.7109375" defaultRowHeight="15"/>
  <cols>
    <col width="22" customWidth="1" style="53" min="2" max="2"/>
    <col width="22" customWidth="1" style="53" min="3" max="3"/>
    <col width="12" customWidth="1" style="53" min="4" max="4"/>
    <col width="18" customWidth="1" style="53" min="5" max="5"/>
    <col width="10" customWidth="1" style="53" min="6" max="18"/>
    <col width="10" customWidth="1" style="53" min="19" max="21"/>
    <col width="10" customWidth="1" style="53" min="22" max="22"/>
    <col width="10" customWidth="1" style="53" min="23" max="29"/>
    <col width="10" customWidth="1" style="53" min="30" max="31"/>
  </cols>
  <sheetData>
    <row r="1" ht="15.75" customHeight="1" s="53" thickBot="1"/>
    <row r="2" ht="21.75" customHeight="1" s="53">
      <c r="E2" s="178" t="inlineStr">
        <is>
          <t>Who's Where - Next 4 Weeks</t>
        </is>
      </c>
      <c r="F2" s="49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  <c r="AA2" s="49" t="n"/>
      <c r="AB2" s="49" t="n"/>
      <c r="AC2" s="51" t="n"/>
    </row>
    <row r="3" ht="21.75" customHeight="1" s="53">
      <c r="AC3" s="55" t="n"/>
    </row>
    <row r="4" ht="21.75" customHeight="1" s="53" thickBot="1">
      <c r="E4" s="179">
        <f>"From "&amp;TEXT(Settings!C8,"ddd dd mmm yyyy")&amp;"  |  Company: "&amp;Dashboard!D9&amp;"  |  Crew: "&amp;Dashboard!J9&amp;"  |  colour = status, text = roster entry"</f>
        <v/>
      </c>
      <c r="AC4" s="55" t="n"/>
    </row>
    <row r="5" ht="18" customHeight="1" s="53" thickBot="1">
      <c r="F5" s="180" t="inlineStr">
        <is>
          <t>On site</t>
        </is>
      </c>
      <c r="G5" s="73" t="n"/>
      <c r="H5" s="181" t="inlineStr">
        <is>
          <t>Travel in</t>
        </is>
      </c>
      <c r="I5" s="73" t="n"/>
      <c r="J5" s="182" t="inlineStr">
        <is>
          <t>Travel out</t>
        </is>
      </c>
      <c r="K5" s="73" t="n"/>
      <c r="L5" s="183" t="inlineStr">
        <is>
          <t>R&amp;R</t>
        </is>
      </c>
      <c r="M5" s="73" t="n"/>
      <c r="N5" s="184" t="inlineStr">
        <is>
          <t>Leave</t>
        </is>
      </c>
      <c r="O5" s="73" t="n"/>
      <c r="P5" s="185" t="inlineStr">
        <is>
          <t>Not mobilised</t>
        </is>
      </c>
      <c r="Q5" s="73" t="n"/>
      <c r="R5" s="186" t="inlineStr">
        <is>
          <t>TBC</t>
        </is>
      </c>
      <c r="S5" s="73" t="n"/>
      <c r="T5" s="187" t="inlineStr">
        <is>
          <t>Other</t>
        </is>
      </c>
      <c r="U5" s="73" t="n"/>
      <c r="V5" s="188" t="inlineStr">
        <is>
          <t>Not rostered</t>
        </is>
      </c>
      <c r="W5" s="73" t="n"/>
    </row>
    <row r="6" ht="3.75" customHeight="1" s="53" thickBot="1">
      <c r="B6" s="57" t="n"/>
      <c r="C6" s="57" t="n"/>
      <c r="D6" s="57" t="n"/>
      <c r="E6" s="57" t="n"/>
      <c r="F6" s="57" t="n"/>
      <c r="G6" s="57" t="n"/>
      <c r="H6" s="57" t="n"/>
      <c r="I6" s="57" t="n"/>
      <c r="J6" s="57" t="n"/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  <c r="AF6" s="57" t="n"/>
      <c r="AG6" s="57" t="n"/>
    </row>
    <row r="7" ht="30" customHeight="1" s="53">
      <c r="B7" s="125" t="inlineStr">
        <is>
          <t>Name</t>
        </is>
      </c>
      <c r="C7" s="125" t="inlineStr">
        <is>
          <t>Crew</t>
        </is>
      </c>
      <c r="D7" s="125" t="inlineStr">
        <is>
          <t>Company</t>
        </is>
      </c>
      <c r="E7" s="125" t="inlineStr">
        <is>
          <t>Role</t>
        </is>
      </c>
      <c r="F7" s="189">
        <f>Grid!F2</f>
        <v/>
      </c>
      <c r="G7" s="190">
        <f>Grid!G2</f>
        <v/>
      </c>
      <c r="H7" s="190">
        <f>Grid!H2</f>
        <v/>
      </c>
      <c r="I7" s="190">
        <f>Grid!I2</f>
        <v/>
      </c>
      <c r="J7" s="190">
        <f>Grid!J2</f>
        <v/>
      </c>
      <c r="K7" s="190">
        <f>Grid!K2</f>
        <v/>
      </c>
      <c r="L7" s="190">
        <f>Grid!L2</f>
        <v/>
      </c>
      <c r="M7" s="190">
        <f>Grid!M2</f>
        <v/>
      </c>
      <c r="N7" s="190">
        <f>Grid!N2</f>
        <v/>
      </c>
      <c r="O7" s="190">
        <f>Grid!O2</f>
        <v/>
      </c>
      <c r="P7" s="190">
        <f>Grid!P2</f>
        <v/>
      </c>
      <c r="Q7" s="190">
        <f>Grid!Q2</f>
        <v/>
      </c>
      <c r="R7" s="190">
        <f>Grid!R2</f>
        <v/>
      </c>
      <c r="S7" s="190">
        <f>Grid!S2</f>
        <v/>
      </c>
      <c r="T7" s="190">
        <f>Grid!T2</f>
        <v/>
      </c>
      <c r="U7" s="190">
        <f>Grid!U2</f>
        <v/>
      </c>
      <c r="V7" s="190">
        <f>Grid!V2</f>
        <v/>
      </c>
      <c r="W7" s="190">
        <f>Grid!W2</f>
        <v/>
      </c>
      <c r="X7" s="190">
        <f>Grid!X2</f>
        <v/>
      </c>
      <c r="Y7" s="190">
        <f>Grid!Y2</f>
        <v/>
      </c>
      <c r="Z7" s="190">
        <f>Grid!Z2</f>
        <v/>
      </c>
      <c r="AA7" s="190">
        <f>Grid!AA2</f>
        <v/>
      </c>
      <c r="AB7" s="190">
        <f>Grid!AB2</f>
        <v/>
      </c>
      <c r="AC7" s="190">
        <f>Grid!AC2</f>
        <v/>
      </c>
      <c r="AD7" s="190">
        <f>Grid!AD2</f>
        <v/>
      </c>
      <c r="AE7" s="190">
        <f>Grid!AE2</f>
        <v/>
      </c>
      <c r="AF7" s="190">
        <f>Grid!AF2</f>
        <v/>
      </c>
      <c r="AG7" s="190">
        <f>Grid!AG2</f>
        <v/>
      </c>
    </row>
    <row r="8">
      <c r="B8" s="191">
        <f>'Roster Summary'!C31</f>
        <v/>
      </c>
      <c r="C8" s="192">
        <f>'Roster Summary'!E31</f>
        <v/>
      </c>
      <c r="D8" s="192">
        <f>'Roster Summary'!D31</f>
        <v/>
      </c>
      <c r="E8" s="192">
        <f>'Roster Summary'!F31</f>
        <v/>
      </c>
      <c r="F8" s="193">
        <f>Grid!F3</f>
        <v/>
      </c>
      <c r="G8" s="193">
        <f>Grid!G3</f>
        <v/>
      </c>
      <c r="H8" s="193">
        <f>Grid!H3</f>
        <v/>
      </c>
      <c r="I8" s="193">
        <f>Grid!I3</f>
        <v/>
      </c>
      <c r="J8" s="193">
        <f>Grid!J3</f>
        <v/>
      </c>
      <c r="K8" s="193">
        <f>Grid!K3</f>
        <v/>
      </c>
      <c r="L8" s="193">
        <f>Grid!L3</f>
        <v/>
      </c>
      <c r="M8" s="193">
        <f>Grid!M3</f>
        <v/>
      </c>
      <c r="N8" s="193">
        <f>Grid!N3</f>
        <v/>
      </c>
      <c r="O8" s="193">
        <f>Grid!O3</f>
        <v/>
      </c>
      <c r="P8" s="193">
        <f>Grid!P3</f>
        <v/>
      </c>
      <c r="Q8" s="193">
        <f>Grid!Q3</f>
        <v/>
      </c>
      <c r="R8" s="193">
        <f>Grid!R3</f>
        <v/>
      </c>
      <c r="S8" s="193">
        <f>Grid!S3</f>
        <v/>
      </c>
      <c r="T8" s="193">
        <f>Grid!T3</f>
        <v/>
      </c>
      <c r="U8" s="193">
        <f>Grid!U3</f>
        <v/>
      </c>
      <c r="V8" s="193">
        <f>Grid!V3</f>
        <v/>
      </c>
      <c r="W8" s="193">
        <f>Grid!W3</f>
        <v/>
      </c>
      <c r="X8" s="193">
        <f>Grid!X3</f>
        <v/>
      </c>
      <c r="Y8" s="193">
        <f>Grid!Y3</f>
        <v/>
      </c>
      <c r="Z8" s="193">
        <f>Grid!Z3</f>
        <v/>
      </c>
      <c r="AA8" s="193">
        <f>Grid!AA3</f>
        <v/>
      </c>
      <c r="AB8" s="193">
        <f>Grid!AB3</f>
        <v/>
      </c>
      <c r="AC8" s="193">
        <f>Grid!AC3</f>
        <v/>
      </c>
      <c r="AD8" s="193">
        <f>Grid!AD3</f>
        <v/>
      </c>
      <c r="AE8" s="193">
        <f>Grid!AE3</f>
        <v/>
      </c>
      <c r="AF8" s="193">
        <f>Grid!AF3</f>
        <v/>
      </c>
      <c r="AG8" s="193">
        <f>Grid!AG3</f>
        <v/>
      </c>
    </row>
    <row r="9">
      <c r="B9" s="191">
        <f>'Roster Summary'!C32</f>
        <v/>
      </c>
      <c r="C9" s="192">
        <f>'Roster Summary'!E32</f>
        <v/>
      </c>
      <c r="D9" s="192">
        <f>'Roster Summary'!D32</f>
        <v/>
      </c>
      <c r="E9" s="192">
        <f>'Roster Summary'!F32</f>
        <v/>
      </c>
      <c r="F9" s="193">
        <f>Grid!F4</f>
        <v/>
      </c>
      <c r="G9" s="193">
        <f>Grid!G4</f>
        <v/>
      </c>
      <c r="H9" s="193">
        <f>Grid!H4</f>
        <v/>
      </c>
      <c r="I9" s="193">
        <f>Grid!I4</f>
        <v/>
      </c>
      <c r="J9" s="193">
        <f>Grid!J4</f>
        <v/>
      </c>
      <c r="K9" s="193">
        <f>Grid!K4</f>
        <v/>
      </c>
      <c r="L9" s="193">
        <f>Grid!L4</f>
        <v/>
      </c>
      <c r="M9" s="193">
        <f>Grid!M4</f>
        <v/>
      </c>
      <c r="N9" s="193">
        <f>Grid!N4</f>
        <v/>
      </c>
      <c r="O9" s="193">
        <f>Grid!O4</f>
        <v/>
      </c>
      <c r="P9" s="193">
        <f>Grid!P4</f>
        <v/>
      </c>
      <c r="Q9" s="193">
        <f>Grid!Q4</f>
        <v/>
      </c>
      <c r="R9" s="193">
        <f>Grid!R4</f>
        <v/>
      </c>
      <c r="S9" s="193">
        <f>Grid!S4</f>
        <v/>
      </c>
      <c r="T9" s="193">
        <f>Grid!T4</f>
        <v/>
      </c>
      <c r="U9" s="193">
        <f>Grid!U4</f>
        <v/>
      </c>
      <c r="V9" s="193">
        <f>Grid!V4</f>
        <v/>
      </c>
      <c r="W9" s="193">
        <f>Grid!W4</f>
        <v/>
      </c>
      <c r="X9" s="193">
        <f>Grid!X4</f>
        <v/>
      </c>
      <c r="Y9" s="193">
        <f>Grid!Y4</f>
        <v/>
      </c>
      <c r="Z9" s="193">
        <f>Grid!Z4</f>
        <v/>
      </c>
      <c r="AA9" s="193">
        <f>Grid!AA4</f>
        <v/>
      </c>
      <c r="AB9" s="193">
        <f>Grid!AB4</f>
        <v/>
      </c>
      <c r="AC9" s="193">
        <f>Grid!AC4</f>
        <v/>
      </c>
      <c r="AD9" s="193">
        <f>Grid!AD4</f>
        <v/>
      </c>
      <c r="AE9" s="193">
        <f>Grid!AE4</f>
        <v/>
      </c>
      <c r="AF9" s="193">
        <f>Grid!AF4</f>
        <v/>
      </c>
      <c r="AG9" s="193">
        <f>Grid!AG4</f>
        <v/>
      </c>
    </row>
    <row r="10">
      <c r="B10" s="191">
        <f>'Roster Summary'!C33</f>
        <v/>
      </c>
      <c r="C10" s="192">
        <f>'Roster Summary'!E33</f>
        <v/>
      </c>
      <c r="D10" s="192">
        <f>'Roster Summary'!D33</f>
        <v/>
      </c>
      <c r="E10" s="192">
        <f>'Roster Summary'!F33</f>
        <v/>
      </c>
      <c r="F10" s="193">
        <f>Grid!F5</f>
        <v/>
      </c>
      <c r="G10" s="193">
        <f>Grid!G5</f>
        <v/>
      </c>
      <c r="H10" s="193">
        <f>Grid!H5</f>
        <v/>
      </c>
      <c r="I10" s="193">
        <f>Grid!I5</f>
        <v/>
      </c>
      <c r="J10" s="193">
        <f>Grid!J5</f>
        <v/>
      </c>
      <c r="K10" s="193">
        <f>Grid!K5</f>
        <v/>
      </c>
      <c r="L10" s="193">
        <f>Grid!L5</f>
        <v/>
      </c>
      <c r="M10" s="193">
        <f>Grid!M5</f>
        <v/>
      </c>
      <c r="N10" s="193">
        <f>Grid!N5</f>
        <v/>
      </c>
      <c r="O10" s="193">
        <f>Grid!O5</f>
        <v/>
      </c>
      <c r="P10" s="193">
        <f>Grid!P5</f>
        <v/>
      </c>
      <c r="Q10" s="193">
        <f>Grid!Q5</f>
        <v/>
      </c>
      <c r="R10" s="193">
        <f>Grid!R5</f>
        <v/>
      </c>
      <c r="S10" s="193">
        <f>Grid!S5</f>
        <v/>
      </c>
      <c r="T10" s="193">
        <f>Grid!T5</f>
        <v/>
      </c>
      <c r="U10" s="193">
        <f>Grid!U5</f>
        <v/>
      </c>
      <c r="V10" s="193">
        <f>Grid!V5</f>
        <v/>
      </c>
      <c r="W10" s="193">
        <f>Grid!W5</f>
        <v/>
      </c>
      <c r="X10" s="193">
        <f>Grid!X5</f>
        <v/>
      </c>
      <c r="Y10" s="193">
        <f>Grid!Y5</f>
        <v/>
      </c>
      <c r="Z10" s="193">
        <f>Grid!Z5</f>
        <v/>
      </c>
      <c r="AA10" s="193">
        <f>Grid!AA5</f>
        <v/>
      </c>
      <c r="AB10" s="193">
        <f>Grid!AB5</f>
        <v/>
      </c>
      <c r="AC10" s="193">
        <f>Grid!AC5</f>
        <v/>
      </c>
      <c r="AD10" s="193">
        <f>Grid!AD5</f>
        <v/>
      </c>
      <c r="AE10" s="193">
        <f>Grid!AE5</f>
        <v/>
      </c>
      <c r="AF10" s="193">
        <f>Grid!AF5</f>
        <v/>
      </c>
      <c r="AG10" s="193">
        <f>Grid!AG5</f>
        <v/>
      </c>
    </row>
    <row r="11">
      <c r="B11" s="191">
        <f>'Roster Summary'!C34</f>
        <v/>
      </c>
      <c r="C11" s="192">
        <f>'Roster Summary'!E34</f>
        <v/>
      </c>
      <c r="D11" s="192">
        <f>'Roster Summary'!D34</f>
        <v/>
      </c>
      <c r="E11" s="192">
        <f>'Roster Summary'!F34</f>
        <v/>
      </c>
      <c r="F11" s="193">
        <f>Grid!F6</f>
        <v/>
      </c>
      <c r="G11" s="193">
        <f>Grid!G6</f>
        <v/>
      </c>
      <c r="H11" s="193">
        <f>Grid!H6</f>
        <v/>
      </c>
      <c r="I11" s="193">
        <f>Grid!I6</f>
        <v/>
      </c>
      <c r="J11" s="193">
        <f>Grid!J6</f>
        <v/>
      </c>
      <c r="K11" s="193">
        <f>Grid!K6</f>
        <v/>
      </c>
      <c r="L11" s="193">
        <f>Grid!L6</f>
        <v/>
      </c>
      <c r="M11" s="193">
        <f>Grid!M6</f>
        <v/>
      </c>
      <c r="N11" s="193">
        <f>Grid!N6</f>
        <v/>
      </c>
      <c r="O11" s="193">
        <f>Grid!O6</f>
        <v/>
      </c>
      <c r="P11" s="193">
        <f>Grid!P6</f>
        <v/>
      </c>
      <c r="Q11" s="193">
        <f>Grid!Q6</f>
        <v/>
      </c>
      <c r="R11" s="193">
        <f>Grid!R6</f>
        <v/>
      </c>
      <c r="S11" s="193">
        <f>Grid!S6</f>
        <v/>
      </c>
      <c r="T11" s="193">
        <f>Grid!T6</f>
        <v/>
      </c>
      <c r="U11" s="193">
        <f>Grid!U6</f>
        <v/>
      </c>
      <c r="V11" s="193">
        <f>Grid!V6</f>
        <v/>
      </c>
      <c r="W11" s="193">
        <f>Grid!W6</f>
        <v/>
      </c>
      <c r="X11" s="193">
        <f>Grid!X6</f>
        <v/>
      </c>
      <c r="Y11" s="193">
        <f>Grid!Y6</f>
        <v/>
      </c>
      <c r="Z11" s="193">
        <f>Grid!Z6</f>
        <v/>
      </c>
      <c r="AA11" s="193">
        <f>Grid!AA6</f>
        <v/>
      </c>
      <c r="AB11" s="193">
        <f>Grid!AB6</f>
        <v/>
      </c>
      <c r="AC11" s="193">
        <f>Grid!AC6</f>
        <v/>
      </c>
      <c r="AD11" s="193">
        <f>Grid!AD6</f>
        <v/>
      </c>
      <c r="AE11" s="193">
        <f>Grid!AE6</f>
        <v/>
      </c>
      <c r="AF11" s="193">
        <f>Grid!AF6</f>
        <v/>
      </c>
      <c r="AG11" s="193">
        <f>Grid!AG6</f>
        <v/>
      </c>
    </row>
    <row r="12">
      <c r="B12" s="191">
        <f>'Roster Summary'!C35</f>
        <v/>
      </c>
      <c r="C12" s="192">
        <f>'Roster Summary'!E35</f>
        <v/>
      </c>
      <c r="D12" s="192">
        <f>'Roster Summary'!D35</f>
        <v/>
      </c>
      <c r="E12" s="192">
        <f>'Roster Summary'!F35</f>
        <v/>
      </c>
      <c r="F12" s="193">
        <f>Grid!F7</f>
        <v/>
      </c>
      <c r="G12" s="193">
        <f>Grid!G7</f>
        <v/>
      </c>
      <c r="H12" s="193">
        <f>Grid!H7</f>
        <v/>
      </c>
      <c r="I12" s="193">
        <f>Grid!I7</f>
        <v/>
      </c>
      <c r="J12" s="193">
        <f>Grid!J7</f>
        <v/>
      </c>
      <c r="K12" s="193">
        <f>Grid!K7</f>
        <v/>
      </c>
      <c r="L12" s="193">
        <f>Grid!L7</f>
        <v/>
      </c>
      <c r="M12" s="193">
        <f>Grid!M7</f>
        <v/>
      </c>
      <c r="N12" s="193">
        <f>Grid!N7</f>
        <v/>
      </c>
      <c r="O12" s="193">
        <f>Grid!O7</f>
        <v/>
      </c>
      <c r="P12" s="193">
        <f>Grid!P7</f>
        <v/>
      </c>
      <c r="Q12" s="193">
        <f>Grid!Q7</f>
        <v/>
      </c>
      <c r="R12" s="193">
        <f>Grid!R7</f>
        <v/>
      </c>
      <c r="S12" s="193">
        <f>Grid!S7</f>
        <v/>
      </c>
      <c r="T12" s="193">
        <f>Grid!T7</f>
        <v/>
      </c>
      <c r="U12" s="193">
        <f>Grid!U7</f>
        <v/>
      </c>
      <c r="V12" s="193">
        <f>Grid!V7</f>
        <v/>
      </c>
      <c r="W12" s="193">
        <f>Grid!W7</f>
        <v/>
      </c>
      <c r="X12" s="193">
        <f>Grid!X7</f>
        <v/>
      </c>
      <c r="Y12" s="193">
        <f>Grid!Y7</f>
        <v/>
      </c>
      <c r="Z12" s="193">
        <f>Grid!Z7</f>
        <v/>
      </c>
      <c r="AA12" s="193">
        <f>Grid!AA7</f>
        <v/>
      </c>
      <c r="AB12" s="193">
        <f>Grid!AB7</f>
        <v/>
      </c>
      <c r="AC12" s="193">
        <f>Grid!AC7</f>
        <v/>
      </c>
      <c r="AD12" s="193">
        <f>Grid!AD7</f>
        <v/>
      </c>
      <c r="AE12" s="193">
        <f>Grid!AE7</f>
        <v/>
      </c>
      <c r="AF12" s="193">
        <f>Grid!AF7</f>
        <v/>
      </c>
      <c r="AG12" s="193">
        <f>Grid!AG7</f>
        <v/>
      </c>
    </row>
    <row r="13">
      <c r="B13" s="191">
        <f>'Roster Summary'!C36</f>
        <v/>
      </c>
      <c r="C13" s="192">
        <f>'Roster Summary'!E36</f>
        <v/>
      </c>
      <c r="D13" s="192">
        <f>'Roster Summary'!D36</f>
        <v/>
      </c>
      <c r="E13" s="192">
        <f>'Roster Summary'!F36</f>
        <v/>
      </c>
      <c r="F13" s="193">
        <f>Grid!F8</f>
        <v/>
      </c>
      <c r="G13" s="193">
        <f>Grid!G8</f>
        <v/>
      </c>
      <c r="H13" s="193">
        <f>Grid!H8</f>
        <v/>
      </c>
      <c r="I13" s="193">
        <f>Grid!I8</f>
        <v/>
      </c>
      <c r="J13" s="193">
        <f>Grid!J8</f>
        <v/>
      </c>
      <c r="K13" s="193">
        <f>Grid!K8</f>
        <v/>
      </c>
      <c r="L13" s="193">
        <f>Grid!L8</f>
        <v/>
      </c>
      <c r="M13" s="193">
        <f>Grid!M8</f>
        <v/>
      </c>
      <c r="N13" s="193">
        <f>Grid!N8</f>
        <v/>
      </c>
      <c r="O13" s="193">
        <f>Grid!O8</f>
        <v/>
      </c>
      <c r="P13" s="193">
        <f>Grid!P8</f>
        <v/>
      </c>
      <c r="Q13" s="193">
        <f>Grid!Q8</f>
        <v/>
      </c>
      <c r="R13" s="193">
        <f>Grid!R8</f>
        <v/>
      </c>
      <c r="S13" s="193">
        <f>Grid!S8</f>
        <v/>
      </c>
      <c r="T13" s="193">
        <f>Grid!T8</f>
        <v/>
      </c>
      <c r="U13" s="193">
        <f>Grid!U8</f>
        <v/>
      </c>
      <c r="V13" s="193">
        <f>Grid!V8</f>
        <v/>
      </c>
      <c r="W13" s="193">
        <f>Grid!W8</f>
        <v/>
      </c>
      <c r="X13" s="193">
        <f>Grid!X8</f>
        <v/>
      </c>
      <c r="Y13" s="193">
        <f>Grid!Y8</f>
        <v/>
      </c>
      <c r="Z13" s="193">
        <f>Grid!Z8</f>
        <v/>
      </c>
      <c r="AA13" s="193">
        <f>Grid!AA8</f>
        <v/>
      </c>
      <c r="AB13" s="193">
        <f>Grid!AB8</f>
        <v/>
      </c>
      <c r="AC13" s="193">
        <f>Grid!AC8</f>
        <v/>
      </c>
      <c r="AD13" s="193">
        <f>Grid!AD8</f>
        <v/>
      </c>
      <c r="AE13" s="193">
        <f>Grid!AE8</f>
        <v/>
      </c>
      <c r="AF13" s="193">
        <f>Grid!AF8</f>
        <v/>
      </c>
      <c r="AG13" s="193">
        <f>Grid!AG8</f>
        <v/>
      </c>
    </row>
    <row r="14">
      <c r="B14" s="191">
        <f>'Roster Summary'!C37</f>
        <v/>
      </c>
      <c r="C14" s="192">
        <f>'Roster Summary'!E37</f>
        <v/>
      </c>
      <c r="D14" s="192">
        <f>'Roster Summary'!D37</f>
        <v/>
      </c>
      <c r="E14" s="192">
        <f>'Roster Summary'!F37</f>
        <v/>
      </c>
      <c r="F14" s="193">
        <f>Grid!F9</f>
        <v/>
      </c>
      <c r="G14" s="193">
        <f>Grid!G9</f>
        <v/>
      </c>
      <c r="H14" s="193">
        <f>Grid!H9</f>
        <v/>
      </c>
      <c r="I14" s="193">
        <f>Grid!I9</f>
        <v/>
      </c>
      <c r="J14" s="193">
        <f>Grid!J9</f>
        <v/>
      </c>
      <c r="K14" s="193">
        <f>Grid!K9</f>
        <v/>
      </c>
      <c r="L14" s="193">
        <f>Grid!L9</f>
        <v/>
      </c>
      <c r="M14" s="193">
        <f>Grid!M9</f>
        <v/>
      </c>
      <c r="N14" s="193">
        <f>Grid!N9</f>
        <v/>
      </c>
      <c r="O14" s="193">
        <f>Grid!O9</f>
        <v/>
      </c>
      <c r="P14" s="193">
        <f>Grid!P9</f>
        <v/>
      </c>
      <c r="Q14" s="193">
        <f>Grid!Q9</f>
        <v/>
      </c>
      <c r="R14" s="193">
        <f>Grid!R9</f>
        <v/>
      </c>
      <c r="S14" s="193">
        <f>Grid!S9</f>
        <v/>
      </c>
      <c r="T14" s="193">
        <f>Grid!T9</f>
        <v/>
      </c>
      <c r="U14" s="193">
        <f>Grid!U9</f>
        <v/>
      </c>
      <c r="V14" s="193">
        <f>Grid!V9</f>
        <v/>
      </c>
      <c r="W14" s="193">
        <f>Grid!W9</f>
        <v/>
      </c>
      <c r="X14" s="193">
        <f>Grid!X9</f>
        <v/>
      </c>
      <c r="Y14" s="193">
        <f>Grid!Y9</f>
        <v/>
      </c>
      <c r="Z14" s="193">
        <f>Grid!Z9</f>
        <v/>
      </c>
      <c r="AA14" s="193">
        <f>Grid!AA9</f>
        <v/>
      </c>
      <c r="AB14" s="193">
        <f>Grid!AB9</f>
        <v/>
      </c>
      <c r="AC14" s="193">
        <f>Grid!AC9</f>
        <v/>
      </c>
      <c r="AD14" s="193">
        <f>Grid!AD9</f>
        <v/>
      </c>
      <c r="AE14" s="193">
        <f>Grid!AE9</f>
        <v/>
      </c>
      <c r="AF14" s="193">
        <f>Grid!AF9</f>
        <v/>
      </c>
      <c r="AG14" s="193">
        <f>Grid!AG9</f>
        <v/>
      </c>
    </row>
    <row r="15">
      <c r="B15" s="191">
        <f>'Roster Summary'!C38</f>
        <v/>
      </c>
      <c r="C15" s="192">
        <f>'Roster Summary'!E38</f>
        <v/>
      </c>
      <c r="D15" s="192">
        <f>'Roster Summary'!D38</f>
        <v/>
      </c>
      <c r="E15" s="192">
        <f>'Roster Summary'!F38</f>
        <v/>
      </c>
      <c r="F15" s="193">
        <f>Grid!F10</f>
        <v/>
      </c>
      <c r="G15" s="193">
        <f>Grid!G10</f>
        <v/>
      </c>
      <c r="H15" s="193">
        <f>Grid!H10</f>
        <v/>
      </c>
      <c r="I15" s="193">
        <f>Grid!I10</f>
        <v/>
      </c>
      <c r="J15" s="193">
        <f>Grid!J10</f>
        <v/>
      </c>
      <c r="K15" s="193">
        <f>Grid!K10</f>
        <v/>
      </c>
      <c r="L15" s="193">
        <f>Grid!L10</f>
        <v/>
      </c>
      <c r="M15" s="193">
        <f>Grid!M10</f>
        <v/>
      </c>
      <c r="N15" s="193">
        <f>Grid!N10</f>
        <v/>
      </c>
      <c r="O15" s="193">
        <f>Grid!O10</f>
        <v/>
      </c>
      <c r="P15" s="193">
        <f>Grid!P10</f>
        <v/>
      </c>
      <c r="Q15" s="193">
        <f>Grid!Q10</f>
        <v/>
      </c>
      <c r="R15" s="193">
        <f>Grid!R10</f>
        <v/>
      </c>
      <c r="S15" s="193">
        <f>Grid!S10</f>
        <v/>
      </c>
      <c r="T15" s="193">
        <f>Grid!T10</f>
        <v/>
      </c>
      <c r="U15" s="193">
        <f>Grid!U10</f>
        <v/>
      </c>
      <c r="V15" s="193">
        <f>Grid!V10</f>
        <v/>
      </c>
      <c r="W15" s="193">
        <f>Grid!W10</f>
        <v/>
      </c>
      <c r="X15" s="193">
        <f>Grid!X10</f>
        <v/>
      </c>
      <c r="Y15" s="193">
        <f>Grid!Y10</f>
        <v/>
      </c>
      <c r="Z15" s="193">
        <f>Grid!Z10</f>
        <v/>
      </c>
      <c r="AA15" s="193">
        <f>Grid!AA10</f>
        <v/>
      </c>
      <c r="AB15" s="193">
        <f>Grid!AB10</f>
        <v/>
      </c>
      <c r="AC15" s="193">
        <f>Grid!AC10</f>
        <v/>
      </c>
      <c r="AD15" s="193">
        <f>Grid!AD10</f>
        <v/>
      </c>
      <c r="AE15" s="193">
        <f>Grid!AE10</f>
        <v/>
      </c>
      <c r="AF15" s="193">
        <f>Grid!AF10</f>
        <v/>
      </c>
      <c r="AG15" s="193">
        <f>Grid!AG10</f>
        <v/>
      </c>
    </row>
    <row r="16">
      <c r="B16" s="191">
        <f>'Roster Summary'!C39</f>
        <v/>
      </c>
      <c r="C16" s="192">
        <f>'Roster Summary'!E39</f>
        <v/>
      </c>
      <c r="D16" s="192">
        <f>'Roster Summary'!D39</f>
        <v/>
      </c>
      <c r="E16" s="192">
        <f>'Roster Summary'!F39</f>
        <v/>
      </c>
      <c r="F16" s="193">
        <f>Grid!F11</f>
        <v/>
      </c>
      <c r="G16" s="193">
        <f>Grid!G11</f>
        <v/>
      </c>
      <c r="H16" s="193">
        <f>Grid!H11</f>
        <v/>
      </c>
      <c r="I16" s="193">
        <f>Grid!I11</f>
        <v/>
      </c>
      <c r="J16" s="193">
        <f>Grid!J11</f>
        <v/>
      </c>
      <c r="K16" s="193">
        <f>Grid!K11</f>
        <v/>
      </c>
      <c r="L16" s="193">
        <f>Grid!L11</f>
        <v/>
      </c>
      <c r="M16" s="193">
        <f>Grid!M11</f>
        <v/>
      </c>
      <c r="N16" s="193">
        <f>Grid!N11</f>
        <v/>
      </c>
      <c r="O16" s="193">
        <f>Grid!O11</f>
        <v/>
      </c>
      <c r="P16" s="193">
        <f>Grid!P11</f>
        <v/>
      </c>
      <c r="Q16" s="193">
        <f>Grid!Q11</f>
        <v/>
      </c>
      <c r="R16" s="193">
        <f>Grid!R11</f>
        <v/>
      </c>
      <c r="S16" s="193">
        <f>Grid!S11</f>
        <v/>
      </c>
      <c r="T16" s="193">
        <f>Grid!T11</f>
        <v/>
      </c>
      <c r="U16" s="193">
        <f>Grid!U11</f>
        <v/>
      </c>
      <c r="V16" s="193">
        <f>Grid!V11</f>
        <v/>
      </c>
      <c r="W16" s="193">
        <f>Grid!W11</f>
        <v/>
      </c>
      <c r="X16" s="193">
        <f>Grid!X11</f>
        <v/>
      </c>
      <c r="Y16" s="193">
        <f>Grid!Y11</f>
        <v/>
      </c>
      <c r="Z16" s="193">
        <f>Grid!Z11</f>
        <v/>
      </c>
      <c r="AA16" s="193">
        <f>Grid!AA11</f>
        <v/>
      </c>
      <c r="AB16" s="193">
        <f>Grid!AB11</f>
        <v/>
      </c>
      <c r="AC16" s="193">
        <f>Grid!AC11</f>
        <v/>
      </c>
      <c r="AD16" s="193">
        <f>Grid!AD11</f>
        <v/>
      </c>
      <c r="AE16" s="193">
        <f>Grid!AE11</f>
        <v/>
      </c>
      <c r="AF16" s="193">
        <f>Grid!AF11</f>
        <v/>
      </c>
      <c r="AG16" s="193">
        <f>Grid!AG11</f>
        <v/>
      </c>
    </row>
    <row r="17">
      <c r="B17" s="191">
        <f>'Roster Summary'!C40</f>
        <v/>
      </c>
      <c r="C17" s="192">
        <f>'Roster Summary'!E40</f>
        <v/>
      </c>
      <c r="D17" s="192">
        <f>'Roster Summary'!D40</f>
        <v/>
      </c>
      <c r="E17" s="192">
        <f>'Roster Summary'!F40</f>
        <v/>
      </c>
      <c r="F17" s="193">
        <f>Grid!F12</f>
        <v/>
      </c>
      <c r="G17" s="193">
        <f>Grid!G12</f>
        <v/>
      </c>
      <c r="H17" s="193">
        <f>Grid!H12</f>
        <v/>
      </c>
      <c r="I17" s="193">
        <f>Grid!I12</f>
        <v/>
      </c>
      <c r="J17" s="193">
        <f>Grid!J12</f>
        <v/>
      </c>
      <c r="K17" s="193">
        <f>Grid!K12</f>
        <v/>
      </c>
      <c r="L17" s="193">
        <f>Grid!L12</f>
        <v/>
      </c>
      <c r="M17" s="193">
        <f>Grid!M12</f>
        <v/>
      </c>
      <c r="N17" s="193">
        <f>Grid!N12</f>
        <v/>
      </c>
      <c r="O17" s="193">
        <f>Grid!O12</f>
        <v/>
      </c>
      <c r="P17" s="193">
        <f>Grid!P12</f>
        <v/>
      </c>
      <c r="Q17" s="193">
        <f>Grid!Q12</f>
        <v/>
      </c>
      <c r="R17" s="193">
        <f>Grid!R12</f>
        <v/>
      </c>
      <c r="S17" s="193">
        <f>Grid!S12</f>
        <v/>
      </c>
      <c r="T17" s="193">
        <f>Grid!T12</f>
        <v/>
      </c>
      <c r="U17" s="193">
        <f>Grid!U12</f>
        <v/>
      </c>
      <c r="V17" s="193">
        <f>Grid!V12</f>
        <v/>
      </c>
      <c r="W17" s="193">
        <f>Grid!W12</f>
        <v/>
      </c>
      <c r="X17" s="193">
        <f>Grid!X12</f>
        <v/>
      </c>
      <c r="Y17" s="193">
        <f>Grid!Y12</f>
        <v/>
      </c>
      <c r="Z17" s="193">
        <f>Grid!Z12</f>
        <v/>
      </c>
      <c r="AA17" s="193">
        <f>Grid!AA12</f>
        <v/>
      </c>
      <c r="AB17" s="193">
        <f>Grid!AB12</f>
        <v/>
      </c>
      <c r="AC17" s="193">
        <f>Grid!AC12</f>
        <v/>
      </c>
      <c r="AD17" s="193">
        <f>Grid!AD12</f>
        <v/>
      </c>
      <c r="AE17" s="193">
        <f>Grid!AE12</f>
        <v/>
      </c>
      <c r="AF17" s="193">
        <f>Grid!AF12</f>
        <v/>
      </c>
      <c r="AG17" s="193">
        <f>Grid!AG12</f>
        <v/>
      </c>
    </row>
    <row r="18">
      <c r="B18" s="191">
        <f>'Roster Summary'!C41</f>
        <v/>
      </c>
      <c r="C18" s="192">
        <f>'Roster Summary'!E41</f>
        <v/>
      </c>
      <c r="D18" s="192">
        <f>'Roster Summary'!D41</f>
        <v/>
      </c>
      <c r="E18" s="192">
        <f>'Roster Summary'!F41</f>
        <v/>
      </c>
      <c r="F18" s="193">
        <f>Grid!F13</f>
        <v/>
      </c>
      <c r="G18" s="193">
        <f>Grid!G13</f>
        <v/>
      </c>
      <c r="H18" s="193">
        <f>Grid!H13</f>
        <v/>
      </c>
      <c r="I18" s="193">
        <f>Grid!I13</f>
        <v/>
      </c>
      <c r="J18" s="193">
        <f>Grid!J13</f>
        <v/>
      </c>
      <c r="K18" s="193">
        <f>Grid!K13</f>
        <v/>
      </c>
      <c r="L18" s="193">
        <f>Grid!L13</f>
        <v/>
      </c>
      <c r="M18" s="193">
        <f>Grid!M13</f>
        <v/>
      </c>
      <c r="N18" s="193">
        <f>Grid!N13</f>
        <v/>
      </c>
      <c r="O18" s="193">
        <f>Grid!O13</f>
        <v/>
      </c>
      <c r="P18" s="193">
        <f>Grid!P13</f>
        <v/>
      </c>
      <c r="Q18" s="193">
        <f>Grid!Q13</f>
        <v/>
      </c>
      <c r="R18" s="193">
        <f>Grid!R13</f>
        <v/>
      </c>
      <c r="S18" s="193">
        <f>Grid!S13</f>
        <v/>
      </c>
      <c r="T18" s="193">
        <f>Grid!T13</f>
        <v/>
      </c>
      <c r="U18" s="193">
        <f>Grid!U13</f>
        <v/>
      </c>
      <c r="V18" s="193">
        <f>Grid!V13</f>
        <v/>
      </c>
      <c r="W18" s="193">
        <f>Grid!W13</f>
        <v/>
      </c>
      <c r="X18" s="193">
        <f>Grid!X13</f>
        <v/>
      </c>
      <c r="Y18" s="193">
        <f>Grid!Y13</f>
        <v/>
      </c>
      <c r="Z18" s="193">
        <f>Grid!Z13</f>
        <v/>
      </c>
      <c r="AA18" s="193">
        <f>Grid!AA13</f>
        <v/>
      </c>
      <c r="AB18" s="193">
        <f>Grid!AB13</f>
        <v/>
      </c>
      <c r="AC18" s="193">
        <f>Grid!AC13</f>
        <v/>
      </c>
      <c r="AD18" s="193">
        <f>Grid!AD13</f>
        <v/>
      </c>
      <c r="AE18" s="193">
        <f>Grid!AE13</f>
        <v/>
      </c>
      <c r="AF18" s="193">
        <f>Grid!AF13</f>
        <v/>
      </c>
      <c r="AG18" s="193">
        <f>Grid!AG13</f>
        <v/>
      </c>
    </row>
    <row r="19">
      <c r="B19" s="191">
        <f>'Roster Summary'!C42</f>
        <v/>
      </c>
      <c r="C19" s="192">
        <f>'Roster Summary'!E42</f>
        <v/>
      </c>
      <c r="D19" s="192">
        <f>'Roster Summary'!D42</f>
        <v/>
      </c>
      <c r="E19" s="192">
        <f>'Roster Summary'!F42</f>
        <v/>
      </c>
      <c r="F19" s="193">
        <f>Grid!F14</f>
        <v/>
      </c>
      <c r="G19" s="193">
        <f>Grid!G14</f>
        <v/>
      </c>
      <c r="H19" s="193">
        <f>Grid!H14</f>
        <v/>
      </c>
      <c r="I19" s="193">
        <f>Grid!I14</f>
        <v/>
      </c>
      <c r="J19" s="193">
        <f>Grid!J14</f>
        <v/>
      </c>
      <c r="K19" s="193">
        <f>Grid!K14</f>
        <v/>
      </c>
      <c r="L19" s="193">
        <f>Grid!L14</f>
        <v/>
      </c>
      <c r="M19" s="193">
        <f>Grid!M14</f>
        <v/>
      </c>
      <c r="N19" s="193">
        <f>Grid!N14</f>
        <v/>
      </c>
      <c r="O19" s="193">
        <f>Grid!O14</f>
        <v/>
      </c>
      <c r="P19" s="193">
        <f>Grid!P14</f>
        <v/>
      </c>
      <c r="Q19" s="193">
        <f>Grid!Q14</f>
        <v/>
      </c>
      <c r="R19" s="193">
        <f>Grid!R14</f>
        <v/>
      </c>
      <c r="S19" s="193">
        <f>Grid!S14</f>
        <v/>
      </c>
      <c r="T19" s="193">
        <f>Grid!T14</f>
        <v/>
      </c>
      <c r="U19" s="193">
        <f>Grid!U14</f>
        <v/>
      </c>
      <c r="V19" s="193">
        <f>Grid!V14</f>
        <v/>
      </c>
      <c r="W19" s="193">
        <f>Grid!W14</f>
        <v/>
      </c>
      <c r="X19" s="193">
        <f>Grid!X14</f>
        <v/>
      </c>
      <c r="Y19" s="193">
        <f>Grid!Y14</f>
        <v/>
      </c>
      <c r="Z19" s="193">
        <f>Grid!Z14</f>
        <v/>
      </c>
      <c r="AA19" s="193">
        <f>Grid!AA14</f>
        <v/>
      </c>
      <c r="AB19" s="193">
        <f>Grid!AB14</f>
        <v/>
      </c>
      <c r="AC19" s="193">
        <f>Grid!AC14</f>
        <v/>
      </c>
      <c r="AD19" s="193">
        <f>Grid!AD14</f>
        <v/>
      </c>
      <c r="AE19" s="193">
        <f>Grid!AE14</f>
        <v/>
      </c>
      <c r="AF19" s="193">
        <f>Grid!AF14</f>
        <v/>
      </c>
      <c r="AG19" s="193">
        <f>Grid!AG14</f>
        <v/>
      </c>
    </row>
    <row r="20">
      <c r="B20" s="191">
        <f>'Roster Summary'!C43</f>
        <v/>
      </c>
      <c r="C20" s="192">
        <f>'Roster Summary'!E43</f>
        <v/>
      </c>
      <c r="D20" s="192">
        <f>'Roster Summary'!D43</f>
        <v/>
      </c>
      <c r="E20" s="192">
        <f>'Roster Summary'!F43</f>
        <v/>
      </c>
      <c r="F20" s="193">
        <f>Grid!F15</f>
        <v/>
      </c>
      <c r="G20" s="193">
        <f>Grid!G15</f>
        <v/>
      </c>
      <c r="H20" s="193">
        <f>Grid!H15</f>
        <v/>
      </c>
      <c r="I20" s="193">
        <f>Grid!I15</f>
        <v/>
      </c>
      <c r="J20" s="193">
        <f>Grid!J15</f>
        <v/>
      </c>
      <c r="K20" s="193">
        <f>Grid!K15</f>
        <v/>
      </c>
      <c r="L20" s="193">
        <f>Grid!L15</f>
        <v/>
      </c>
      <c r="M20" s="193">
        <f>Grid!M15</f>
        <v/>
      </c>
      <c r="N20" s="193">
        <f>Grid!N15</f>
        <v/>
      </c>
      <c r="O20" s="193">
        <f>Grid!O15</f>
        <v/>
      </c>
      <c r="P20" s="193">
        <f>Grid!P15</f>
        <v/>
      </c>
      <c r="Q20" s="193">
        <f>Grid!Q15</f>
        <v/>
      </c>
      <c r="R20" s="193">
        <f>Grid!R15</f>
        <v/>
      </c>
      <c r="S20" s="193">
        <f>Grid!S15</f>
        <v/>
      </c>
      <c r="T20" s="193">
        <f>Grid!T15</f>
        <v/>
      </c>
      <c r="U20" s="193">
        <f>Grid!U15</f>
        <v/>
      </c>
      <c r="V20" s="193">
        <f>Grid!V15</f>
        <v/>
      </c>
      <c r="W20" s="193">
        <f>Grid!W15</f>
        <v/>
      </c>
      <c r="X20" s="193">
        <f>Grid!X15</f>
        <v/>
      </c>
      <c r="Y20" s="193">
        <f>Grid!Y15</f>
        <v/>
      </c>
      <c r="Z20" s="193">
        <f>Grid!Z15</f>
        <v/>
      </c>
      <c r="AA20" s="193">
        <f>Grid!AA15</f>
        <v/>
      </c>
      <c r="AB20" s="193">
        <f>Grid!AB15</f>
        <v/>
      </c>
      <c r="AC20" s="193">
        <f>Grid!AC15</f>
        <v/>
      </c>
      <c r="AD20" s="193">
        <f>Grid!AD15</f>
        <v/>
      </c>
      <c r="AE20" s="193">
        <f>Grid!AE15</f>
        <v/>
      </c>
      <c r="AF20" s="193">
        <f>Grid!AF15</f>
        <v/>
      </c>
      <c r="AG20" s="193">
        <f>Grid!AG15</f>
        <v/>
      </c>
    </row>
    <row r="21">
      <c r="B21" s="191">
        <f>'Roster Summary'!C44</f>
        <v/>
      </c>
      <c r="C21" s="192">
        <f>'Roster Summary'!E44</f>
        <v/>
      </c>
      <c r="D21" s="192">
        <f>'Roster Summary'!D44</f>
        <v/>
      </c>
      <c r="E21" s="192">
        <f>'Roster Summary'!F44</f>
        <v/>
      </c>
      <c r="F21" s="193">
        <f>Grid!F16</f>
        <v/>
      </c>
      <c r="G21" s="193">
        <f>Grid!G16</f>
        <v/>
      </c>
      <c r="H21" s="193">
        <f>Grid!H16</f>
        <v/>
      </c>
      <c r="I21" s="193">
        <f>Grid!I16</f>
        <v/>
      </c>
      <c r="J21" s="193">
        <f>Grid!J16</f>
        <v/>
      </c>
      <c r="K21" s="193">
        <f>Grid!K16</f>
        <v/>
      </c>
      <c r="L21" s="193">
        <f>Grid!L16</f>
        <v/>
      </c>
      <c r="M21" s="193">
        <f>Grid!M16</f>
        <v/>
      </c>
      <c r="N21" s="193">
        <f>Grid!N16</f>
        <v/>
      </c>
      <c r="O21" s="193">
        <f>Grid!O16</f>
        <v/>
      </c>
      <c r="P21" s="193">
        <f>Grid!P16</f>
        <v/>
      </c>
      <c r="Q21" s="193">
        <f>Grid!Q16</f>
        <v/>
      </c>
      <c r="R21" s="193">
        <f>Grid!R16</f>
        <v/>
      </c>
      <c r="S21" s="193">
        <f>Grid!S16</f>
        <v/>
      </c>
      <c r="T21" s="193">
        <f>Grid!T16</f>
        <v/>
      </c>
      <c r="U21" s="193">
        <f>Grid!U16</f>
        <v/>
      </c>
      <c r="V21" s="193">
        <f>Grid!V16</f>
        <v/>
      </c>
      <c r="W21" s="193">
        <f>Grid!W16</f>
        <v/>
      </c>
      <c r="X21" s="193">
        <f>Grid!X16</f>
        <v/>
      </c>
      <c r="Y21" s="193">
        <f>Grid!Y16</f>
        <v/>
      </c>
      <c r="Z21" s="193">
        <f>Grid!Z16</f>
        <v/>
      </c>
      <c r="AA21" s="193">
        <f>Grid!AA16</f>
        <v/>
      </c>
      <c r="AB21" s="193">
        <f>Grid!AB16</f>
        <v/>
      </c>
      <c r="AC21" s="193">
        <f>Grid!AC16</f>
        <v/>
      </c>
      <c r="AD21" s="193">
        <f>Grid!AD16</f>
        <v/>
      </c>
      <c r="AE21" s="193">
        <f>Grid!AE16</f>
        <v/>
      </c>
      <c r="AF21" s="193">
        <f>Grid!AF16</f>
        <v/>
      </c>
      <c r="AG21" s="193">
        <f>Grid!AG16</f>
        <v/>
      </c>
    </row>
    <row r="22">
      <c r="B22" s="191">
        <f>'Roster Summary'!C45</f>
        <v/>
      </c>
      <c r="C22" s="192">
        <f>'Roster Summary'!E45</f>
        <v/>
      </c>
      <c r="D22" s="192">
        <f>'Roster Summary'!D45</f>
        <v/>
      </c>
      <c r="E22" s="192">
        <f>'Roster Summary'!F45</f>
        <v/>
      </c>
      <c r="F22" s="193">
        <f>Grid!F17</f>
        <v/>
      </c>
      <c r="G22" s="193">
        <f>Grid!G17</f>
        <v/>
      </c>
      <c r="H22" s="193">
        <f>Grid!H17</f>
        <v/>
      </c>
      <c r="I22" s="193">
        <f>Grid!I17</f>
        <v/>
      </c>
      <c r="J22" s="193">
        <f>Grid!J17</f>
        <v/>
      </c>
      <c r="K22" s="193">
        <f>Grid!K17</f>
        <v/>
      </c>
      <c r="L22" s="193">
        <f>Grid!L17</f>
        <v/>
      </c>
      <c r="M22" s="193">
        <f>Grid!M17</f>
        <v/>
      </c>
      <c r="N22" s="193">
        <f>Grid!N17</f>
        <v/>
      </c>
      <c r="O22" s="193">
        <f>Grid!O17</f>
        <v/>
      </c>
      <c r="P22" s="193">
        <f>Grid!P17</f>
        <v/>
      </c>
      <c r="Q22" s="193">
        <f>Grid!Q17</f>
        <v/>
      </c>
      <c r="R22" s="193">
        <f>Grid!R17</f>
        <v/>
      </c>
      <c r="S22" s="193">
        <f>Grid!S17</f>
        <v/>
      </c>
      <c r="T22" s="193">
        <f>Grid!T17</f>
        <v/>
      </c>
      <c r="U22" s="193">
        <f>Grid!U17</f>
        <v/>
      </c>
      <c r="V22" s="193">
        <f>Grid!V17</f>
        <v/>
      </c>
      <c r="W22" s="193">
        <f>Grid!W17</f>
        <v/>
      </c>
      <c r="X22" s="193">
        <f>Grid!X17</f>
        <v/>
      </c>
      <c r="Y22" s="193">
        <f>Grid!Y17</f>
        <v/>
      </c>
      <c r="Z22" s="193">
        <f>Grid!Z17</f>
        <v/>
      </c>
      <c r="AA22" s="193">
        <f>Grid!AA17</f>
        <v/>
      </c>
      <c r="AB22" s="193">
        <f>Grid!AB17</f>
        <v/>
      </c>
      <c r="AC22" s="193">
        <f>Grid!AC17</f>
        <v/>
      </c>
      <c r="AD22" s="193">
        <f>Grid!AD17</f>
        <v/>
      </c>
      <c r="AE22" s="193">
        <f>Grid!AE17</f>
        <v/>
      </c>
      <c r="AF22" s="193">
        <f>Grid!AF17</f>
        <v/>
      </c>
      <c r="AG22" s="193">
        <f>Grid!AG17</f>
        <v/>
      </c>
    </row>
    <row r="23">
      <c r="B23" s="191">
        <f>'Roster Summary'!C46</f>
        <v/>
      </c>
      <c r="C23" s="192">
        <f>'Roster Summary'!E46</f>
        <v/>
      </c>
      <c r="D23" s="192">
        <f>'Roster Summary'!D46</f>
        <v/>
      </c>
      <c r="E23" s="192">
        <f>'Roster Summary'!F46</f>
        <v/>
      </c>
      <c r="F23" s="193">
        <f>Grid!F18</f>
        <v/>
      </c>
      <c r="G23" s="193">
        <f>Grid!G18</f>
        <v/>
      </c>
      <c r="H23" s="193">
        <f>Grid!H18</f>
        <v/>
      </c>
      <c r="I23" s="193">
        <f>Grid!I18</f>
        <v/>
      </c>
      <c r="J23" s="193">
        <f>Grid!J18</f>
        <v/>
      </c>
      <c r="K23" s="193">
        <f>Grid!K18</f>
        <v/>
      </c>
      <c r="L23" s="193">
        <f>Grid!L18</f>
        <v/>
      </c>
      <c r="M23" s="193">
        <f>Grid!M18</f>
        <v/>
      </c>
      <c r="N23" s="193">
        <f>Grid!N18</f>
        <v/>
      </c>
      <c r="O23" s="193">
        <f>Grid!O18</f>
        <v/>
      </c>
      <c r="P23" s="193">
        <f>Grid!P18</f>
        <v/>
      </c>
      <c r="Q23" s="193">
        <f>Grid!Q18</f>
        <v/>
      </c>
      <c r="R23" s="193">
        <f>Grid!R18</f>
        <v/>
      </c>
      <c r="S23" s="193">
        <f>Grid!S18</f>
        <v/>
      </c>
      <c r="T23" s="193">
        <f>Grid!T18</f>
        <v/>
      </c>
      <c r="U23" s="193">
        <f>Grid!U18</f>
        <v/>
      </c>
      <c r="V23" s="193">
        <f>Grid!V18</f>
        <v/>
      </c>
      <c r="W23" s="193">
        <f>Grid!W18</f>
        <v/>
      </c>
      <c r="X23" s="193">
        <f>Grid!X18</f>
        <v/>
      </c>
      <c r="Y23" s="193">
        <f>Grid!Y18</f>
        <v/>
      </c>
      <c r="Z23" s="193">
        <f>Grid!Z18</f>
        <v/>
      </c>
      <c r="AA23" s="193">
        <f>Grid!AA18</f>
        <v/>
      </c>
      <c r="AB23" s="193">
        <f>Grid!AB18</f>
        <v/>
      </c>
      <c r="AC23" s="193">
        <f>Grid!AC18</f>
        <v/>
      </c>
      <c r="AD23" s="193">
        <f>Grid!AD18</f>
        <v/>
      </c>
      <c r="AE23" s="193">
        <f>Grid!AE18</f>
        <v/>
      </c>
      <c r="AF23" s="193">
        <f>Grid!AF18</f>
        <v/>
      </c>
      <c r="AG23" s="193">
        <f>Grid!AG18</f>
        <v/>
      </c>
    </row>
    <row r="24">
      <c r="B24" s="191">
        <f>'Roster Summary'!C47</f>
        <v/>
      </c>
      <c r="C24" s="192">
        <f>'Roster Summary'!E47</f>
        <v/>
      </c>
      <c r="D24" s="192">
        <f>'Roster Summary'!D47</f>
        <v/>
      </c>
      <c r="E24" s="192">
        <f>'Roster Summary'!F47</f>
        <v/>
      </c>
      <c r="F24" s="193">
        <f>Grid!F19</f>
        <v/>
      </c>
      <c r="G24" s="193">
        <f>Grid!G19</f>
        <v/>
      </c>
      <c r="H24" s="193">
        <f>Grid!H19</f>
        <v/>
      </c>
      <c r="I24" s="193">
        <f>Grid!I19</f>
        <v/>
      </c>
      <c r="J24" s="193">
        <f>Grid!J19</f>
        <v/>
      </c>
      <c r="K24" s="193">
        <f>Grid!K19</f>
        <v/>
      </c>
      <c r="L24" s="193">
        <f>Grid!L19</f>
        <v/>
      </c>
      <c r="M24" s="193">
        <f>Grid!M19</f>
        <v/>
      </c>
      <c r="N24" s="193">
        <f>Grid!N19</f>
        <v/>
      </c>
      <c r="O24" s="193">
        <f>Grid!O19</f>
        <v/>
      </c>
      <c r="P24" s="193">
        <f>Grid!P19</f>
        <v/>
      </c>
      <c r="Q24" s="193">
        <f>Grid!Q19</f>
        <v/>
      </c>
      <c r="R24" s="193">
        <f>Grid!R19</f>
        <v/>
      </c>
      <c r="S24" s="193">
        <f>Grid!S19</f>
        <v/>
      </c>
      <c r="T24" s="193">
        <f>Grid!T19</f>
        <v/>
      </c>
      <c r="U24" s="193">
        <f>Grid!U19</f>
        <v/>
      </c>
      <c r="V24" s="193">
        <f>Grid!V19</f>
        <v/>
      </c>
      <c r="W24" s="193">
        <f>Grid!W19</f>
        <v/>
      </c>
      <c r="X24" s="193">
        <f>Grid!X19</f>
        <v/>
      </c>
      <c r="Y24" s="193">
        <f>Grid!Y19</f>
        <v/>
      </c>
      <c r="Z24" s="193">
        <f>Grid!Z19</f>
        <v/>
      </c>
      <c r="AA24" s="193">
        <f>Grid!AA19</f>
        <v/>
      </c>
      <c r="AB24" s="193">
        <f>Grid!AB19</f>
        <v/>
      </c>
      <c r="AC24" s="193">
        <f>Grid!AC19</f>
        <v/>
      </c>
      <c r="AD24" s="193">
        <f>Grid!AD19</f>
        <v/>
      </c>
      <c r="AE24" s="193">
        <f>Grid!AE19</f>
        <v/>
      </c>
      <c r="AF24" s="193">
        <f>Grid!AF19</f>
        <v/>
      </c>
      <c r="AG24" s="193">
        <f>Grid!AG19</f>
        <v/>
      </c>
    </row>
    <row r="25">
      <c r="B25" s="191">
        <f>'Roster Summary'!C48</f>
        <v/>
      </c>
      <c r="C25" s="192">
        <f>'Roster Summary'!E48</f>
        <v/>
      </c>
      <c r="D25" s="192">
        <f>'Roster Summary'!D48</f>
        <v/>
      </c>
      <c r="E25" s="192">
        <f>'Roster Summary'!F48</f>
        <v/>
      </c>
      <c r="F25" s="193">
        <f>Grid!F20</f>
        <v/>
      </c>
      <c r="G25" s="193">
        <f>Grid!G20</f>
        <v/>
      </c>
      <c r="H25" s="193">
        <f>Grid!H20</f>
        <v/>
      </c>
      <c r="I25" s="193">
        <f>Grid!I20</f>
        <v/>
      </c>
      <c r="J25" s="193">
        <f>Grid!J20</f>
        <v/>
      </c>
      <c r="K25" s="193">
        <f>Grid!K20</f>
        <v/>
      </c>
      <c r="L25" s="193">
        <f>Grid!L20</f>
        <v/>
      </c>
      <c r="M25" s="193">
        <f>Grid!M20</f>
        <v/>
      </c>
      <c r="N25" s="193">
        <f>Grid!N20</f>
        <v/>
      </c>
      <c r="O25" s="193">
        <f>Grid!O20</f>
        <v/>
      </c>
      <c r="P25" s="193">
        <f>Grid!P20</f>
        <v/>
      </c>
      <c r="Q25" s="193">
        <f>Grid!Q20</f>
        <v/>
      </c>
      <c r="R25" s="193">
        <f>Grid!R20</f>
        <v/>
      </c>
      <c r="S25" s="193">
        <f>Grid!S20</f>
        <v/>
      </c>
      <c r="T25" s="193">
        <f>Grid!T20</f>
        <v/>
      </c>
      <c r="U25" s="193">
        <f>Grid!U20</f>
        <v/>
      </c>
      <c r="V25" s="193">
        <f>Grid!V20</f>
        <v/>
      </c>
      <c r="W25" s="193">
        <f>Grid!W20</f>
        <v/>
      </c>
      <c r="X25" s="193">
        <f>Grid!X20</f>
        <v/>
      </c>
      <c r="Y25" s="193">
        <f>Grid!Y20</f>
        <v/>
      </c>
      <c r="Z25" s="193">
        <f>Grid!Z20</f>
        <v/>
      </c>
      <c r="AA25" s="193">
        <f>Grid!AA20</f>
        <v/>
      </c>
      <c r="AB25" s="193">
        <f>Grid!AB20</f>
        <v/>
      </c>
      <c r="AC25" s="193">
        <f>Grid!AC20</f>
        <v/>
      </c>
      <c r="AD25" s="193">
        <f>Grid!AD20</f>
        <v/>
      </c>
      <c r="AE25" s="193">
        <f>Grid!AE20</f>
        <v/>
      </c>
      <c r="AF25" s="193">
        <f>Grid!AF20</f>
        <v/>
      </c>
      <c r="AG25" s="193">
        <f>Grid!AG20</f>
        <v/>
      </c>
    </row>
    <row r="26">
      <c r="B26" s="191">
        <f>'Roster Summary'!C49</f>
        <v/>
      </c>
      <c r="C26" s="192">
        <f>'Roster Summary'!E49</f>
        <v/>
      </c>
      <c r="D26" s="192">
        <f>'Roster Summary'!D49</f>
        <v/>
      </c>
      <c r="E26" s="192">
        <f>'Roster Summary'!F49</f>
        <v/>
      </c>
      <c r="F26" s="193">
        <f>Grid!F21</f>
        <v/>
      </c>
      <c r="G26" s="193">
        <f>Grid!G21</f>
        <v/>
      </c>
      <c r="H26" s="193">
        <f>Grid!H21</f>
        <v/>
      </c>
      <c r="I26" s="193">
        <f>Grid!I21</f>
        <v/>
      </c>
      <c r="J26" s="193">
        <f>Grid!J21</f>
        <v/>
      </c>
      <c r="K26" s="193">
        <f>Grid!K21</f>
        <v/>
      </c>
      <c r="L26" s="193">
        <f>Grid!L21</f>
        <v/>
      </c>
      <c r="M26" s="193">
        <f>Grid!M21</f>
        <v/>
      </c>
      <c r="N26" s="193">
        <f>Grid!N21</f>
        <v/>
      </c>
      <c r="O26" s="193">
        <f>Grid!O21</f>
        <v/>
      </c>
      <c r="P26" s="193">
        <f>Grid!P21</f>
        <v/>
      </c>
      <c r="Q26" s="193">
        <f>Grid!Q21</f>
        <v/>
      </c>
      <c r="R26" s="193">
        <f>Grid!R21</f>
        <v/>
      </c>
      <c r="S26" s="193">
        <f>Grid!S21</f>
        <v/>
      </c>
      <c r="T26" s="193">
        <f>Grid!T21</f>
        <v/>
      </c>
      <c r="U26" s="193">
        <f>Grid!U21</f>
        <v/>
      </c>
      <c r="V26" s="193">
        <f>Grid!V21</f>
        <v/>
      </c>
      <c r="W26" s="193">
        <f>Grid!W21</f>
        <v/>
      </c>
      <c r="X26" s="193">
        <f>Grid!X21</f>
        <v/>
      </c>
      <c r="Y26" s="193">
        <f>Grid!Y21</f>
        <v/>
      </c>
      <c r="Z26" s="193">
        <f>Grid!Z21</f>
        <v/>
      </c>
      <c r="AA26" s="193">
        <f>Grid!AA21</f>
        <v/>
      </c>
      <c r="AB26" s="193">
        <f>Grid!AB21</f>
        <v/>
      </c>
      <c r="AC26" s="193">
        <f>Grid!AC21</f>
        <v/>
      </c>
      <c r="AD26" s="193">
        <f>Grid!AD21</f>
        <v/>
      </c>
      <c r="AE26" s="193">
        <f>Grid!AE21</f>
        <v/>
      </c>
      <c r="AF26" s="193">
        <f>Grid!AF21</f>
        <v/>
      </c>
      <c r="AG26" s="193">
        <f>Grid!AG21</f>
        <v/>
      </c>
    </row>
    <row r="27">
      <c r="B27" s="191">
        <f>'Roster Summary'!C50</f>
        <v/>
      </c>
      <c r="C27" s="192">
        <f>'Roster Summary'!E50</f>
        <v/>
      </c>
      <c r="D27" s="192">
        <f>'Roster Summary'!D50</f>
        <v/>
      </c>
      <c r="E27" s="192">
        <f>'Roster Summary'!F50</f>
        <v/>
      </c>
      <c r="F27" s="193">
        <f>Grid!F22</f>
        <v/>
      </c>
      <c r="G27" s="193">
        <f>Grid!G22</f>
        <v/>
      </c>
      <c r="H27" s="193">
        <f>Grid!H22</f>
        <v/>
      </c>
      <c r="I27" s="193">
        <f>Grid!I22</f>
        <v/>
      </c>
      <c r="J27" s="193">
        <f>Grid!J22</f>
        <v/>
      </c>
      <c r="K27" s="193">
        <f>Grid!K22</f>
        <v/>
      </c>
      <c r="L27" s="193">
        <f>Grid!L22</f>
        <v/>
      </c>
      <c r="M27" s="193">
        <f>Grid!M22</f>
        <v/>
      </c>
      <c r="N27" s="193">
        <f>Grid!N22</f>
        <v/>
      </c>
      <c r="O27" s="193">
        <f>Grid!O22</f>
        <v/>
      </c>
      <c r="P27" s="193">
        <f>Grid!P22</f>
        <v/>
      </c>
      <c r="Q27" s="193">
        <f>Grid!Q22</f>
        <v/>
      </c>
      <c r="R27" s="193">
        <f>Grid!R22</f>
        <v/>
      </c>
      <c r="S27" s="193">
        <f>Grid!S22</f>
        <v/>
      </c>
      <c r="T27" s="193">
        <f>Grid!T22</f>
        <v/>
      </c>
      <c r="U27" s="193">
        <f>Grid!U22</f>
        <v/>
      </c>
      <c r="V27" s="193">
        <f>Grid!V22</f>
        <v/>
      </c>
      <c r="W27" s="193">
        <f>Grid!W22</f>
        <v/>
      </c>
      <c r="X27" s="193">
        <f>Grid!X22</f>
        <v/>
      </c>
      <c r="Y27" s="193">
        <f>Grid!Y22</f>
        <v/>
      </c>
      <c r="Z27" s="193">
        <f>Grid!Z22</f>
        <v/>
      </c>
      <c r="AA27" s="193">
        <f>Grid!AA22</f>
        <v/>
      </c>
      <c r="AB27" s="193">
        <f>Grid!AB22</f>
        <v/>
      </c>
      <c r="AC27" s="193">
        <f>Grid!AC22</f>
        <v/>
      </c>
      <c r="AD27" s="193">
        <f>Grid!AD22</f>
        <v/>
      </c>
      <c r="AE27" s="193">
        <f>Grid!AE22</f>
        <v/>
      </c>
      <c r="AF27" s="193">
        <f>Grid!AF22</f>
        <v/>
      </c>
      <c r="AG27" s="193">
        <f>Grid!AG22</f>
        <v/>
      </c>
    </row>
    <row r="28">
      <c r="B28" s="191">
        <f>'Roster Summary'!C51</f>
        <v/>
      </c>
      <c r="C28" s="192">
        <f>'Roster Summary'!E51</f>
        <v/>
      </c>
      <c r="D28" s="192">
        <f>'Roster Summary'!D51</f>
        <v/>
      </c>
      <c r="E28" s="192">
        <f>'Roster Summary'!F51</f>
        <v/>
      </c>
      <c r="F28" s="193">
        <f>Grid!F23</f>
        <v/>
      </c>
      <c r="G28" s="193">
        <f>Grid!G23</f>
        <v/>
      </c>
      <c r="H28" s="193">
        <f>Grid!H23</f>
        <v/>
      </c>
      <c r="I28" s="193">
        <f>Grid!I23</f>
        <v/>
      </c>
      <c r="J28" s="193">
        <f>Grid!J23</f>
        <v/>
      </c>
      <c r="K28" s="193">
        <f>Grid!K23</f>
        <v/>
      </c>
      <c r="L28" s="193">
        <f>Grid!L23</f>
        <v/>
      </c>
      <c r="M28" s="193">
        <f>Grid!M23</f>
        <v/>
      </c>
      <c r="N28" s="193">
        <f>Grid!N23</f>
        <v/>
      </c>
      <c r="O28" s="193">
        <f>Grid!O23</f>
        <v/>
      </c>
      <c r="P28" s="193">
        <f>Grid!P23</f>
        <v/>
      </c>
      <c r="Q28" s="193">
        <f>Grid!Q23</f>
        <v/>
      </c>
      <c r="R28" s="193">
        <f>Grid!R23</f>
        <v/>
      </c>
      <c r="S28" s="193">
        <f>Grid!S23</f>
        <v/>
      </c>
      <c r="T28" s="193">
        <f>Grid!T23</f>
        <v/>
      </c>
      <c r="U28" s="193">
        <f>Grid!U23</f>
        <v/>
      </c>
      <c r="V28" s="193">
        <f>Grid!V23</f>
        <v/>
      </c>
      <c r="W28" s="193">
        <f>Grid!W23</f>
        <v/>
      </c>
      <c r="X28" s="193">
        <f>Grid!X23</f>
        <v/>
      </c>
      <c r="Y28" s="193">
        <f>Grid!Y23</f>
        <v/>
      </c>
      <c r="Z28" s="193">
        <f>Grid!Z23</f>
        <v/>
      </c>
      <c r="AA28" s="193">
        <f>Grid!AA23</f>
        <v/>
      </c>
      <c r="AB28" s="193">
        <f>Grid!AB23</f>
        <v/>
      </c>
      <c r="AC28" s="193">
        <f>Grid!AC23</f>
        <v/>
      </c>
      <c r="AD28" s="193">
        <f>Grid!AD23</f>
        <v/>
      </c>
      <c r="AE28" s="193">
        <f>Grid!AE23</f>
        <v/>
      </c>
      <c r="AF28" s="193">
        <f>Grid!AF23</f>
        <v/>
      </c>
      <c r="AG28" s="193">
        <f>Grid!AG23</f>
        <v/>
      </c>
    </row>
    <row r="29">
      <c r="B29" s="191">
        <f>'Roster Summary'!C52</f>
        <v/>
      </c>
      <c r="C29" s="192">
        <f>'Roster Summary'!E52</f>
        <v/>
      </c>
      <c r="D29" s="192">
        <f>'Roster Summary'!D52</f>
        <v/>
      </c>
      <c r="E29" s="192">
        <f>'Roster Summary'!F52</f>
        <v/>
      </c>
      <c r="F29" s="193">
        <f>Grid!F24</f>
        <v/>
      </c>
      <c r="G29" s="193">
        <f>Grid!G24</f>
        <v/>
      </c>
      <c r="H29" s="193">
        <f>Grid!H24</f>
        <v/>
      </c>
      <c r="I29" s="193">
        <f>Grid!I24</f>
        <v/>
      </c>
      <c r="J29" s="193">
        <f>Grid!J24</f>
        <v/>
      </c>
      <c r="K29" s="193">
        <f>Grid!K24</f>
        <v/>
      </c>
      <c r="L29" s="193">
        <f>Grid!L24</f>
        <v/>
      </c>
      <c r="M29" s="193">
        <f>Grid!M24</f>
        <v/>
      </c>
      <c r="N29" s="193">
        <f>Grid!N24</f>
        <v/>
      </c>
      <c r="O29" s="193">
        <f>Grid!O24</f>
        <v/>
      </c>
      <c r="P29" s="193">
        <f>Grid!P24</f>
        <v/>
      </c>
      <c r="Q29" s="193">
        <f>Grid!Q24</f>
        <v/>
      </c>
      <c r="R29" s="193">
        <f>Grid!R24</f>
        <v/>
      </c>
      <c r="S29" s="193">
        <f>Grid!S24</f>
        <v/>
      </c>
      <c r="T29" s="193">
        <f>Grid!T24</f>
        <v/>
      </c>
      <c r="U29" s="193">
        <f>Grid!U24</f>
        <v/>
      </c>
      <c r="V29" s="193">
        <f>Grid!V24</f>
        <v/>
      </c>
      <c r="W29" s="193">
        <f>Grid!W24</f>
        <v/>
      </c>
      <c r="X29" s="193">
        <f>Grid!X24</f>
        <v/>
      </c>
      <c r="Y29" s="193">
        <f>Grid!Y24</f>
        <v/>
      </c>
      <c r="Z29" s="193">
        <f>Grid!Z24</f>
        <v/>
      </c>
      <c r="AA29" s="193">
        <f>Grid!AA24</f>
        <v/>
      </c>
      <c r="AB29" s="193">
        <f>Grid!AB24</f>
        <v/>
      </c>
      <c r="AC29" s="193">
        <f>Grid!AC24</f>
        <v/>
      </c>
      <c r="AD29" s="193">
        <f>Grid!AD24</f>
        <v/>
      </c>
      <c r="AE29" s="193">
        <f>Grid!AE24</f>
        <v/>
      </c>
      <c r="AF29" s="193">
        <f>Grid!AF24</f>
        <v/>
      </c>
      <c r="AG29" s="193">
        <f>Grid!AG24</f>
        <v/>
      </c>
    </row>
    <row r="30">
      <c r="B30" s="191">
        <f>'Roster Summary'!C53</f>
        <v/>
      </c>
      <c r="C30" s="192">
        <f>'Roster Summary'!E53</f>
        <v/>
      </c>
      <c r="D30" s="192">
        <f>'Roster Summary'!D53</f>
        <v/>
      </c>
      <c r="E30" s="192">
        <f>'Roster Summary'!F53</f>
        <v/>
      </c>
      <c r="F30" s="193">
        <f>Grid!F25</f>
        <v/>
      </c>
      <c r="G30" s="193">
        <f>Grid!G25</f>
        <v/>
      </c>
      <c r="H30" s="193">
        <f>Grid!H25</f>
        <v/>
      </c>
      <c r="I30" s="193">
        <f>Grid!I25</f>
        <v/>
      </c>
      <c r="J30" s="193">
        <f>Grid!J25</f>
        <v/>
      </c>
      <c r="K30" s="193">
        <f>Grid!K25</f>
        <v/>
      </c>
      <c r="L30" s="193">
        <f>Grid!L25</f>
        <v/>
      </c>
      <c r="M30" s="193">
        <f>Grid!M25</f>
        <v/>
      </c>
      <c r="N30" s="193">
        <f>Grid!N25</f>
        <v/>
      </c>
      <c r="O30" s="193">
        <f>Grid!O25</f>
        <v/>
      </c>
      <c r="P30" s="193">
        <f>Grid!P25</f>
        <v/>
      </c>
      <c r="Q30" s="193">
        <f>Grid!Q25</f>
        <v/>
      </c>
      <c r="R30" s="193">
        <f>Grid!R25</f>
        <v/>
      </c>
      <c r="S30" s="193">
        <f>Grid!S25</f>
        <v/>
      </c>
      <c r="T30" s="193">
        <f>Grid!T25</f>
        <v/>
      </c>
      <c r="U30" s="193">
        <f>Grid!U25</f>
        <v/>
      </c>
      <c r="V30" s="193">
        <f>Grid!V25</f>
        <v/>
      </c>
      <c r="W30" s="193">
        <f>Grid!W25</f>
        <v/>
      </c>
      <c r="X30" s="193">
        <f>Grid!X25</f>
        <v/>
      </c>
      <c r="Y30" s="193">
        <f>Grid!Y25</f>
        <v/>
      </c>
      <c r="Z30" s="193">
        <f>Grid!Z25</f>
        <v/>
      </c>
      <c r="AA30" s="193">
        <f>Grid!AA25</f>
        <v/>
      </c>
      <c r="AB30" s="193">
        <f>Grid!AB25</f>
        <v/>
      </c>
      <c r="AC30" s="193">
        <f>Grid!AC25</f>
        <v/>
      </c>
      <c r="AD30" s="193">
        <f>Grid!AD25</f>
        <v/>
      </c>
      <c r="AE30" s="193">
        <f>Grid!AE25</f>
        <v/>
      </c>
      <c r="AF30" s="193">
        <f>Grid!AF25</f>
        <v/>
      </c>
      <c r="AG30" s="193">
        <f>Grid!AG25</f>
        <v/>
      </c>
    </row>
    <row r="31">
      <c r="B31" s="191">
        <f>'Roster Summary'!C54</f>
        <v/>
      </c>
      <c r="C31" s="192">
        <f>'Roster Summary'!E54</f>
        <v/>
      </c>
      <c r="D31" s="192">
        <f>'Roster Summary'!D54</f>
        <v/>
      </c>
      <c r="E31" s="192">
        <f>'Roster Summary'!F54</f>
        <v/>
      </c>
      <c r="F31" s="193">
        <f>Grid!F26</f>
        <v/>
      </c>
      <c r="G31" s="193">
        <f>Grid!G26</f>
        <v/>
      </c>
      <c r="H31" s="193">
        <f>Grid!H26</f>
        <v/>
      </c>
      <c r="I31" s="193">
        <f>Grid!I26</f>
        <v/>
      </c>
      <c r="J31" s="193">
        <f>Grid!J26</f>
        <v/>
      </c>
      <c r="K31" s="193">
        <f>Grid!K26</f>
        <v/>
      </c>
      <c r="L31" s="193">
        <f>Grid!L26</f>
        <v/>
      </c>
      <c r="M31" s="193">
        <f>Grid!M26</f>
        <v/>
      </c>
      <c r="N31" s="193">
        <f>Grid!N26</f>
        <v/>
      </c>
      <c r="O31" s="193">
        <f>Grid!O26</f>
        <v/>
      </c>
      <c r="P31" s="193">
        <f>Grid!P26</f>
        <v/>
      </c>
      <c r="Q31" s="193">
        <f>Grid!Q26</f>
        <v/>
      </c>
      <c r="R31" s="193">
        <f>Grid!R26</f>
        <v/>
      </c>
      <c r="S31" s="193">
        <f>Grid!S26</f>
        <v/>
      </c>
      <c r="T31" s="193">
        <f>Grid!T26</f>
        <v/>
      </c>
      <c r="U31" s="193">
        <f>Grid!U26</f>
        <v/>
      </c>
      <c r="V31" s="193">
        <f>Grid!V26</f>
        <v/>
      </c>
      <c r="W31" s="193">
        <f>Grid!W26</f>
        <v/>
      </c>
      <c r="X31" s="193">
        <f>Grid!X26</f>
        <v/>
      </c>
      <c r="Y31" s="193">
        <f>Grid!Y26</f>
        <v/>
      </c>
      <c r="Z31" s="193">
        <f>Grid!Z26</f>
        <v/>
      </c>
      <c r="AA31" s="193">
        <f>Grid!AA26</f>
        <v/>
      </c>
      <c r="AB31" s="193">
        <f>Grid!AB26</f>
        <v/>
      </c>
      <c r="AC31" s="193">
        <f>Grid!AC26</f>
        <v/>
      </c>
      <c r="AD31" s="193">
        <f>Grid!AD26</f>
        <v/>
      </c>
      <c r="AE31" s="193">
        <f>Grid!AE26</f>
        <v/>
      </c>
      <c r="AF31" s="193">
        <f>Grid!AF26</f>
        <v/>
      </c>
      <c r="AG31" s="193">
        <f>Grid!AG26</f>
        <v/>
      </c>
    </row>
    <row r="32">
      <c r="B32" s="191">
        <f>'Roster Summary'!C55</f>
        <v/>
      </c>
      <c r="C32" s="192">
        <f>'Roster Summary'!E55</f>
        <v/>
      </c>
      <c r="D32" s="192">
        <f>'Roster Summary'!D55</f>
        <v/>
      </c>
      <c r="E32" s="192">
        <f>'Roster Summary'!F55</f>
        <v/>
      </c>
      <c r="F32" s="193">
        <f>Grid!F27</f>
        <v/>
      </c>
      <c r="G32" s="193">
        <f>Grid!G27</f>
        <v/>
      </c>
      <c r="H32" s="193">
        <f>Grid!H27</f>
        <v/>
      </c>
      <c r="I32" s="193">
        <f>Grid!I27</f>
        <v/>
      </c>
      <c r="J32" s="193">
        <f>Grid!J27</f>
        <v/>
      </c>
      <c r="K32" s="193">
        <f>Grid!K27</f>
        <v/>
      </c>
      <c r="L32" s="193">
        <f>Grid!L27</f>
        <v/>
      </c>
      <c r="M32" s="193">
        <f>Grid!M27</f>
        <v/>
      </c>
      <c r="N32" s="193">
        <f>Grid!N27</f>
        <v/>
      </c>
      <c r="O32" s="193">
        <f>Grid!O27</f>
        <v/>
      </c>
      <c r="P32" s="193">
        <f>Grid!P27</f>
        <v/>
      </c>
      <c r="Q32" s="193">
        <f>Grid!Q27</f>
        <v/>
      </c>
      <c r="R32" s="193">
        <f>Grid!R27</f>
        <v/>
      </c>
      <c r="S32" s="193">
        <f>Grid!S27</f>
        <v/>
      </c>
      <c r="T32" s="193">
        <f>Grid!T27</f>
        <v/>
      </c>
      <c r="U32" s="193">
        <f>Grid!U27</f>
        <v/>
      </c>
      <c r="V32" s="193">
        <f>Grid!V27</f>
        <v/>
      </c>
      <c r="W32" s="193">
        <f>Grid!W27</f>
        <v/>
      </c>
      <c r="X32" s="193">
        <f>Grid!X27</f>
        <v/>
      </c>
      <c r="Y32" s="193">
        <f>Grid!Y27</f>
        <v/>
      </c>
      <c r="Z32" s="193">
        <f>Grid!Z27</f>
        <v/>
      </c>
      <c r="AA32" s="193">
        <f>Grid!AA27</f>
        <v/>
      </c>
      <c r="AB32" s="193">
        <f>Grid!AB27</f>
        <v/>
      </c>
      <c r="AC32" s="193">
        <f>Grid!AC27</f>
        <v/>
      </c>
      <c r="AD32" s="193">
        <f>Grid!AD27</f>
        <v/>
      </c>
      <c r="AE32" s="193">
        <f>Grid!AE27</f>
        <v/>
      </c>
      <c r="AF32" s="193">
        <f>Grid!AF27</f>
        <v/>
      </c>
      <c r="AG32" s="193">
        <f>Grid!AG27</f>
        <v/>
      </c>
    </row>
    <row r="33">
      <c r="B33" s="191">
        <f>'Roster Summary'!C56</f>
        <v/>
      </c>
      <c r="C33" s="192">
        <f>'Roster Summary'!E56</f>
        <v/>
      </c>
      <c r="D33" s="192">
        <f>'Roster Summary'!D56</f>
        <v/>
      </c>
      <c r="E33" s="192">
        <f>'Roster Summary'!F56</f>
        <v/>
      </c>
      <c r="F33" s="193">
        <f>Grid!F28</f>
        <v/>
      </c>
      <c r="G33" s="193">
        <f>Grid!G28</f>
        <v/>
      </c>
      <c r="H33" s="193">
        <f>Grid!H28</f>
        <v/>
      </c>
      <c r="I33" s="193">
        <f>Grid!I28</f>
        <v/>
      </c>
      <c r="J33" s="193">
        <f>Grid!J28</f>
        <v/>
      </c>
      <c r="K33" s="193">
        <f>Grid!K28</f>
        <v/>
      </c>
      <c r="L33" s="193">
        <f>Grid!L28</f>
        <v/>
      </c>
      <c r="M33" s="193">
        <f>Grid!M28</f>
        <v/>
      </c>
      <c r="N33" s="193">
        <f>Grid!N28</f>
        <v/>
      </c>
      <c r="O33" s="193">
        <f>Grid!O28</f>
        <v/>
      </c>
      <c r="P33" s="193">
        <f>Grid!P28</f>
        <v/>
      </c>
      <c r="Q33" s="193">
        <f>Grid!Q28</f>
        <v/>
      </c>
      <c r="R33" s="193">
        <f>Grid!R28</f>
        <v/>
      </c>
      <c r="S33" s="193">
        <f>Grid!S28</f>
        <v/>
      </c>
      <c r="T33" s="193">
        <f>Grid!T28</f>
        <v/>
      </c>
      <c r="U33" s="193">
        <f>Grid!U28</f>
        <v/>
      </c>
      <c r="V33" s="193">
        <f>Grid!V28</f>
        <v/>
      </c>
      <c r="W33" s="193">
        <f>Grid!W28</f>
        <v/>
      </c>
      <c r="X33" s="193">
        <f>Grid!X28</f>
        <v/>
      </c>
      <c r="Y33" s="193">
        <f>Grid!Y28</f>
        <v/>
      </c>
      <c r="Z33" s="193">
        <f>Grid!Z28</f>
        <v/>
      </c>
      <c r="AA33" s="193">
        <f>Grid!AA28</f>
        <v/>
      </c>
      <c r="AB33" s="193">
        <f>Grid!AB28</f>
        <v/>
      </c>
      <c r="AC33" s="193">
        <f>Grid!AC28</f>
        <v/>
      </c>
      <c r="AD33" s="193">
        <f>Grid!AD28</f>
        <v/>
      </c>
      <c r="AE33" s="193">
        <f>Grid!AE28</f>
        <v/>
      </c>
      <c r="AF33" s="193">
        <f>Grid!AF28</f>
        <v/>
      </c>
      <c r="AG33" s="193">
        <f>Grid!AG28</f>
        <v/>
      </c>
    </row>
    <row r="34">
      <c r="B34" s="191">
        <f>'Roster Summary'!C57</f>
        <v/>
      </c>
      <c r="C34" s="192">
        <f>'Roster Summary'!E57</f>
        <v/>
      </c>
      <c r="D34" s="192">
        <f>'Roster Summary'!D57</f>
        <v/>
      </c>
      <c r="E34" s="192">
        <f>'Roster Summary'!F57</f>
        <v/>
      </c>
      <c r="F34" s="193">
        <f>Grid!F29</f>
        <v/>
      </c>
      <c r="G34" s="193">
        <f>Grid!G29</f>
        <v/>
      </c>
      <c r="H34" s="193">
        <f>Grid!H29</f>
        <v/>
      </c>
      <c r="I34" s="193">
        <f>Grid!I29</f>
        <v/>
      </c>
      <c r="J34" s="193">
        <f>Grid!J29</f>
        <v/>
      </c>
      <c r="K34" s="193">
        <f>Grid!K29</f>
        <v/>
      </c>
      <c r="L34" s="193">
        <f>Grid!L29</f>
        <v/>
      </c>
      <c r="M34" s="193">
        <f>Grid!M29</f>
        <v/>
      </c>
      <c r="N34" s="193">
        <f>Grid!N29</f>
        <v/>
      </c>
      <c r="O34" s="193">
        <f>Grid!O29</f>
        <v/>
      </c>
      <c r="P34" s="193">
        <f>Grid!P29</f>
        <v/>
      </c>
      <c r="Q34" s="193">
        <f>Grid!Q29</f>
        <v/>
      </c>
      <c r="R34" s="193">
        <f>Grid!R29</f>
        <v/>
      </c>
      <c r="S34" s="193">
        <f>Grid!S29</f>
        <v/>
      </c>
      <c r="T34" s="193">
        <f>Grid!T29</f>
        <v/>
      </c>
      <c r="U34" s="193">
        <f>Grid!U29</f>
        <v/>
      </c>
      <c r="V34" s="193">
        <f>Grid!V29</f>
        <v/>
      </c>
      <c r="W34" s="193">
        <f>Grid!W29</f>
        <v/>
      </c>
      <c r="X34" s="193">
        <f>Grid!X29</f>
        <v/>
      </c>
      <c r="Y34" s="193">
        <f>Grid!Y29</f>
        <v/>
      </c>
      <c r="Z34" s="193">
        <f>Grid!Z29</f>
        <v/>
      </c>
      <c r="AA34" s="193">
        <f>Grid!AA29</f>
        <v/>
      </c>
      <c r="AB34" s="193">
        <f>Grid!AB29</f>
        <v/>
      </c>
      <c r="AC34" s="193">
        <f>Grid!AC29</f>
        <v/>
      </c>
      <c r="AD34" s="193">
        <f>Grid!AD29</f>
        <v/>
      </c>
      <c r="AE34" s="193">
        <f>Grid!AE29</f>
        <v/>
      </c>
      <c r="AF34" s="193">
        <f>Grid!AF29</f>
        <v/>
      </c>
      <c r="AG34" s="193">
        <f>Grid!AG29</f>
        <v/>
      </c>
    </row>
    <row r="35">
      <c r="B35" s="191">
        <f>'Roster Summary'!C58</f>
        <v/>
      </c>
      <c r="C35" s="192">
        <f>'Roster Summary'!E58</f>
        <v/>
      </c>
      <c r="D35" s="192">
        <f>'Roster Summary'!D58</f>
        <v/>
      </c>
      <c r="E35" s="192">
        <f>'Roster Summary'!F58</f>
        <v/>
      </c>
      <c r="F35" s="193">
        <f>Grid!F30</f>
        <v/>
      </c>
      <c r="G35" s="193">
        <f>Grid!G30</f>
        <v/>
      </c>
      <c r="H35" s="193">
        <f>Grid!H30</f>
        <v/>
      </c>
      <c r="I35" s="193">
        <f>Grid!I30</f>
        <v/>
      </c>
      <c r="J35" s="193">
        <f>Grid!J30</f>
        <v/>
      </c>
      <c r="K35" s="193">
        <f>Grid!K30</f>
        <v/>
      </c>
      <c r="L35" s="193">
        <f>Grid!L30</f>
        <v/>
      </c>
      <c r="M35" s="193">
        <f>Grid!M30</f>
        <v/>
      </c>
      <c r="N35" s="193">
        <f>Grid!N30</f>
        <v/>
      </c>
      <c r="O35" s="193">
        <f>Grid!O30</f>
        <v/>
      </c>
      <c r="P35" s="193">
        <f>Grid!P30</f>
        <v/>
      </c>
      <c r="Q35" s="193">
        <f>Grid!Q30</f>
        <v/>
      </c>
      <c r="R35" s="193">
        <f>Grid!R30</f>
        <v/>
      </c>
      <c r="S35" s="193">
        <f>Grid!S30</f>
        <v/>
      </c>
      <c r="T35" s="193">
        <f>Grid!T30</f>
        <v/>
      </c>
      <c r="U35" s="193">
        <f>Grid!U30</f>
        <v/>
      </c>
      <c r="V35" s="193">
        <f>Grid!V30</f>
        <v/>
      </c>
      <c r="W35" s="193">
        <f>Grid!W30</f>
        <v/>
      </c>
      <c r="X35" s="193">
        <f>Grid!X30</f>
        <v/>
      </c>
      <c r="Y35" s="193">
        <f>Grid!Y30</f>
        <v/>
      </c>
      <c r="Z35" s="193">
        <f>Grid!Z30</f>
        <v/>
      </c>
      <c r="AA35" s="193">
        <f>Grid!AA30</f>
        <v/>
      </c>
      <c r="AB35" s="193">
        <f>Grid!AB30</f>
        <v/>
      </c>
      <c r="AC35" s="193">
        <f>Grid!AC30</f>
        <v/>
      </c>
      <c r="AD35" s="193">
        <f>Grid!AD30</f>
        <v/>
      </c>
      <c r="AE35" s="193">
        <f>Grid!AE30</f>
        <v/>
      </c>
      <c r="AF35" s="193">
        <f>Grid!AF30</f>
        <v/>
      </c>
      <c r="AG35" s="193">
        <f>Grid!AG30</f>
        <v/>
      </c>
    </row>
    <row r="36">
      <c r="B36" s="191">
        <f>'Roster Summary'!C59</f>
        <v/>
      </c>
      <c r="C36" s="192">
        <f>'Roster Summary'!E59</f>
        <v/>
      </c>
      <c r="D36" s="192">
        <f>'Roster Summary'!D59</f>
        <v/>
      </c>
      <c r="E36" s="192">
        <f>'Roster Summary'!F59</f>
        <v/>
      </c>
      <c r="F36" s="193">
        <f>Grid!F31</f>
        <v/>
      </c>
      <c r="G36" s="193">
        <f>Grid!G31</f>
        <v/>
      </c>
      <c r="H36" s="193">
        <f>Grid!H31</f>
        <v/>
      </c>
      <c r="I36" s="193">
        <f>Grid!I31</f>
        <v/>
      </c>
      <c r="J36" s="193">
        <f>Grid!J31</f>
        <v/>
      </c>
      <c r="K36" s="193">
        <f>Grid!K31</f>
        <v/>
      </c>
      <c r="L36" s="193">
        <f>Grid!L31</f>
        <v/>
      </c>
      <c r="M36" s="193">
        <f>Grid!M31</f>
        <v/>
      </c>
      <c r="N36" s="193">
        <f>Grid!N31</f>
        <v/>
      </c>
      <c r="O36" s="193">
        <f>Grid!O31</f>
        <v/>
      </c>
      <c r="P36" s="193">
        <f>Grid!P31</f>
        <v/>
      </c>
      <c r="Q36" s="193">
        <f>Grid!Q31</f>
        <v/>
      </c>
      <c r="R36" s="193">
        <f>Grid!R31</f>
        <v/>
      </c>
      <c r="S36" s="193">
        <f>Grid!S31</f>
        <v/>
      </c>
      <c r="T36" s="193">
        <f>Grid!T31</f>
        <v/>
      </c>
      <c r="U36" s="193">
        <f>Grid!U31</f>
        <v/>
      </c>
      <c r="V36" s="193">
        <f>Grid!V31</f>
        <v/>
      </c>
      <c r="W36" s="193">
        <f>Grid!W31</f>
        <v/>
      </c>
      <c r="X36" s="193">
        <f>Grid!X31</f>
        <v/>
      </c>
      <c r="Y36" s="193">
        <f>Grid!Y31</f>
        <v/>
      </c>
      <c r="Z36" s="193">
        <f>Grid!Z31</f>
        <v/>
      </c>
      <c r="AA36" s="193">
        <f>Grid!AA31</f>
        <v/>
      </c>
      <c r="AB36" s="193">
        <f>Grid!AB31</f>
        <v/>
      </c>
      <c r="AC36" s="193">
        <f>Grid!AC31</f>
        <v/>
      </c>
      <c r="AD36" s="193">
        <f>Grid!AD31</f>
        <v/>
      </c>
      <c r="AE36" s="193">
        <f>Grid!AE31</f>
        <v/>
      </c>
      <c r="AF36" s="193">
        <f>Grid!AF31</f>
        <v/>
      </c>
      <c r="AG36" s="193">
        <f>Grid!AG31</f>
        <v/>
      </c>
    </row>
    <row r="37">
      <c r="B37" s="191">
        <f>'Roster Summary'!C60</f>
        <v/>
      </c>
      <c r="C37" s="192">
        <f>'Roster Summary'!E60</f>
        <v/>
      </c>
      <c r="D37" s="192">
        <f>'Roster Summary'!D60</f>
        <v/>
      </c>
      <c r="E37" s="192">
        <f>'Roster Summary'!F60</f>
        <v/>
      </c>
      <c r="F37" s="193">
        <f>Grid!F32</f>
        <v/>
      </c>
      <c r="G37" s="193">
        <f>Grid!G32</f>
        <v/>
      </c>
      <c r="H37" s="193">
        <f>Grid!H32</f>
        <v/>
      </c>
      <c r="I37" s="193">
        <f>Grid!I32</f>
        <v/>
      </c>
      <c r="J37" s="193">
        <f>Grid!J32</f>
        <v/>
      </c>
      <c r="K37" s="193">
        <f>Grid!K32</f>
        <v/>
      </c>
      <c r="L37" s="193">
        <f>Grid!L32</f>
        <v/>
      </c>
      <c r="M37" s="193">
        <f>Grid!M32</f>
        <v/>
      </c>
      <c r="N37" s="193">
        <f>Grid!N32</f>
        <v/>
      </c>
      <c r="O37" s="193">
        <f>Grid!O32</f>
        <v/>
      </c>
      <c r="P37" s="193">
        <f>Grid!P32</f>
        <v/>
      </c>
      <c r="Q37" s="193">
        <f>Grid!Q32</f>
        <v/>
      </c>
      <c r="R37" s="193">
        <f>Grid!R32</f>
        <v/>
      </c>
      <c r="S37" s="193">
        <f>Grid!S32</f>
        <v/>
      </c>
      <c r="T37" s="193">
        <f>Grid!T32</f>
        <v/>
      </c>
      <c r="U37" s="193">
        <f>Grid!U32</f>
        <v/>
      </c>
      <c r="V37" s="193">
        <f>Grid!V32</f>
        <v/>
      </c>
      <c r="W37" s="193">
        <f>Grid!W32</f>
        <v/>
      </c>
      <c r="X37" s="193">
        <f>Grid!X32</f>
        <v/>
      </c>
      <c r="Y37" s="193">
        <f>Grid!Y32</f>
        <v/>
      </c>
      <c r="Z37" s="193">
        <f>Grid!Z32</f>
        <v/>
      </c>
      <c r="AA37" s="193">
        <f>Grid!AA32</f>
        <v/>
      </c>
      <c r="AB37" s="193">
        <f>Grid!AB32</f>
        <v/>
      </c>
      <c r="AC37" s="193">
        <f>Grid!AC32</f>
        <v/>
      </c>
      <c r="AD37" s="193">
        <f>Grid!AD32</f>
        <v/>
      </c>
      <c r="AE37" s="193">
        <f>Grid!AE32</f>
        <v/>
      </c>
      <c r="AF37" s="193">
        <f>Grid!AF32</f>
        <v/>
      </c>
      <c r="AG37" s="193">
        <f>Grid!AG32</f>
        <v/>
      </c>
    </row>
    <row r="38">
      <c r="B38" s="191">
        <f>'Roster Summary'!C61</f>
        <v/>
      </c>
      <c r="C38" s="192">
        <f>'Roster Summary'!E61</f>
        <v/>
      </c>
      <c r="D38" s="192">
        <f>'Roster Summary'!D61</f>
        <v/>
      </c>
      <c r="E38" s="192">
        <f>'Roster Summary'!F61</f>
        <v/>
      </c>
      <c r="F38" s="193">
        <f>Grid!F33</f>
        <v/>
      </c>
      <c r="G38" s="193">
        <f>Grid!G33</f>
        <v/>
      </c>
      <c r="H38" s="193">
        <f>Grid!H33</f>
        <v/>
      </c>
      <c r="I38" s="193">
        <f>Grid!I33</f>
        <v/>
      </c>
      <c r="J38" s="193">
        <f>Grid!J33</f>
        <v/>
      </c>
      <c r="K38" s="193">
        <f>Grid!K33</f>
        <v/>
      </c>
      <c r="L38" s="193">
        <f>Grid!L33</f>
        <v/>
      </c>
      <c r="M38" s="193">
        <f>Grid!M33</f>
        <v/>
      </c>
      <c r="N38" s="193">
        <f>Grid!N33</f>
        <v/>
      </c>
      <c r="O38" s="193">
        <f>Grid!O33</f>
        <v/>
      </c>
      <c r="P38" s="193">
        <f>Grid!P33</f>
        <v/>
      </c>
      <c r="Q38" s="193">
        <f>Grid!Q33</f>
        <v/>
      </c>
      <c r="R38" s="193">
        <f>Grid!R33</f>
        <v/>
      </c>
      <c r="S38" s="193">
        <f>Grid!S33</f>
        <v/>
      </c>
      <c r="T38" s="193">
        <f>Grid!T33</f>
        <v/>
      </c>
      <c r="U38" s="193">
        <f>Grid!U33</f>
        <v/>
      </c>
      <c r="V38" s="193">
        <f>Grid!V33</f>
        <v/>
      </c>
      <c r="W38" s="193">
        <f>Grid!W33</f>
        <v/>
      </c>
      <c r="X38" s="193">
        <f>Grid!X33</f>
        <v/>
      </c>
      <c r="Y38" s="193">
        <f>Grid!Y33</f>
        <v/>
      </c>
      <c r="Z38" s="193">
        <f>Grid!Z33</f>
        <v/>
      </c>
      <c r="AA38" s="193">
        <f>Grid!AA33</f>
        <v/>
      </c>
      <c r="AB38" s="193">
        <f>Grid!AB33</f>
        <v/>
      </c>
      <c r="AC38" s="193">
        <f>Grid!AC33</f>
        <v/>
      </c>
      <c r="AD38" s="193">
        <f>Grid!AD33</f>
        <v/>
      </c>
      <c r="AE38" s="193">
        <f>Grid!AE33</f>
        <v/>
      </c>
      <c r="AF38" s="193">
        <f>Grid!AF33</f>
        <v/>
      </c>
      <c r="AG38" s="193">
        <f>Grid!AG33</f>
        <v/>
      </c>
    </row>
    <row r="39">
      <c r="B39" s="191">
        <f>'Roster Summary'!C62</f>
        <v/>
      </c>
      <c r="C39" s="192">
        <f>'Roster Summary'!E62</f>
        <v/>
      </c>
      <c r="D39" s="192">
        <f>'Roster Summary'!D62</f>
        <v/>
      </c>
      <c r="E39" s="192">
        <f>'Roster Summary'!F62</f>
        <v/>
      </c>
      <c r="F39" s="193">
        <f>Grid!F34</f>
        <v/>
      </c>
      <c r="G39" s="193">
        <f>Grid!G34</f>
        <v/>
      </c>
      <c r="H39" s="193">
        <f>Grid!H34</f>
        <v/>
      </c>
      <c r="I39" s="193">
        <f>Grid!I34</f>
        <v/>
      </c>
      <c r="J39" s="193">
        <f>Grid!J34</f>
        <v/>
      </c>
      <c r="K39" s="193">
        <f>Grid!K34</f>
        <v/>
      </c>
      <c r="L39" s="193">
        <f>Grid!L34</f>
        <v/>
      </c>
      <c r="M39" s="193">
        <f>Grid!M34</f>
        <v/>
      </c>
      <c r="N39" s="193">
        <f>Grid!N34</f>
        <v/>
      </c>
      <c r="O39" s="193">
        <f>Grid!O34</f>
        <v/>
      </c>
      <c r="P39" s="193">
        <f>Grid!P34</f>
        <v/>
      </c>
      <c r="Q39" s="193">
        <f>Grid!Q34</f>
        <v/>
      </c>
      <c r="R39" s="193">
        <f>Grid!R34</f>
        <v/>
      </c>
      <c r="S39" s="193">
        <f>Grid!S34</f>
        <v/>
      </c>
      <c r="T39" s="193">
        <f>Grid!T34</f>
        <v/>
      </c>
      <c r="U39" s="193">
        <f>Grid!U34</f>
        <v/>
      </c>
      <c r="V39" s="193">
        <f>Grid!V34</f>
        <v/>
      </c>
      <c r="W39" s="193">
        <f>Grid!W34</f>
        <v/>
      </c>
      <c r="X39" s="193">
        <f>Grid!X34</f>
        <v/>
      </c>
      <c r="Y39" s="193">
        <f>Grid!Y34</f>
        <v/>
      </c>
      <c r="Z39" s="193">
        <f>Grid!Z34</f>
        <v/>
      </c>
      <c r="AA39" s="193">
        <f>Grid!AA34</f>
        <v/>
      </c>
      <c r="AB39" s="193">
        <f>Grid!AB34</f>
        <v/>
      </c>
      <c r="AC39" s="193">
        <f>Grid!AC34</f>
        <v/>
      </c>
      <c r="AD39" s="193">
        <f>Grid!AD34</f>
        <v/>
      </c>
      <c r="AE39" s="193">
        <f>Grid!AE34</f>
        <v/>
      </c>
      <c r="AF39" s="193">
        <f>Grid!AF34</f>
        <v/>
      </c>
      <c r="AG39" s="193">
        <f>Grid!AG34</f>
        <v/>
      </c>
    </row>
    <row r="40">
      <c r="B40" s="191">
        <f>'Roster Summary'!C63</f>
        <v/>
      </c>
      <c r="C40" s="192">
        <f>'Roster Summary'!E63</f>
        <v/>
      </c>
      <c r="D40" s="192">
        <f>'Roster Summary'!D63</f>
        <v/>
      </c>
      <c r="E40" s="192">
        <f>'Roster Summary'!F63</f>
        <v/>
      </c>
      <c r="F40" s="193">
        <f>Grid!F35</f>
        <v/>
      </c>
      <c r="G40" s="193">
        <f>Grid!G35</f>
        <v/>
      </c>
      <c r="H40" s="193">
        <f>Grid!H35</f>
        <v/>
      </c>
      <c r="I40" s="193">
        <f>Grid!I35</f>
        <v/>
      </c>
      <c r="J40" s="193">
        <f>Grid!J35</f>
        <v/>
      </c>
      <c r="K40" s="193">
        <f>Grid!K35</f>
        <v/>
      </c>
      <c r="L40" s="193">
        <f>Grid!L35</f>
        <v/>
      </c>
      <c r="M40" s="193">
        <f>Grid!M35</f>
        <v/>
      </c>
      <c r="N40" s="193">
        <f>Grid!N35</f>
        <v/>
      </c>
      <c r="O40" s="193">
        <f>Grid!O35</f>
        <v/>
      </c>
      <c r="P40" s="193">
        <f>Grid!P35</f>
        <v/>
      </c>
      <c r="Q40" s="193">
        <f>Grid!Q35</f>
        <v/>
      </c>
      <c r="R40" s="193">
        <f>Grid!R35</f>
        <v/>
      </c>
      <c r="S40" s="193">
        <f>Grid!S35</f>
        <v/>
      </c>
      <c r="T40" s="193">
        <f>Grid!T35</f>
        <v/>
      </c>
      <c r="U40" s="193">
        <f>Grid!U35</f>
        <v/>
      </c>
      <c r="V40" s="193">
        <f>Grid!V35</f>
        <v/>
      </c>
      <c r="W40" s="193">
        <f>Grid!W35</f>
        <v/>
      </c>
      <c r="X40" s="193">
        <f>Grid!X35</f>
        <v/>
      </c>
      <c r="Y40" s="193">
        <f>Grid!Y35</f>
        <v/>
      </c>
      <c r="Z40" s="193">
        <f>Grid!Z35</f>
        <v/>
      </c>
      <c r="AA40" s="193">
        <f>Grid!AA35</f>
        <v/>
      </c>
      <c r="AB40" s="193">
        <f>Grid!AB35</f>
        <v/>
      </c>
      <c r="AC40" s="193">
        <f>Grid!AC35</f>
        <v/>
      </c>
      <c r="AD40" s="193">
        <f>Grid!AD35</f>
        <v/>
      </c>
      <c r="AE40" s="193">
        <f>Grid!AE35</f>
        <v/>
      </c>
      <c r="AF40" s="193">
        <f>Grid!AF35</f>
        <v/>
      </c>
      <c r="AG40" s="193">
        <f>Grid!AG35</f>
        <v/>
      </c>
    </row>
    <row r="41">
      <c r="B41" s="191">
        <f>'Roster Summary'!C64</f>
        <v/>
      </c>
      <c r="C41" s="192">
        <f>'Roster Summary'!E64</f>
        <v/>
      </c>
      <c r="D41" s="192">
        <f>'Roster Summary'!D64</f>
        <v/>
      </c>
      <c r="E41" s="192">
        <f>'Roster Summary'!F64</f>
        <v/>
      </c>
      <c r="F41" s="193">
        <f>Grid!F36</f>
        <v/>
      </c>
      <c r="G41" s="193">
        <f>Grid!G36</f>
        <v/>
      </c>
      <c r="H41" s="193">
        <f>Grid!H36</f>
        <v/>
      </c>
      <c r="I41" s="193">
        <f>Grid!I36</f>
        <v/>
      </c>
      <c r="J41" s="193">
        <f>Grid!J36</f>
        <v/>
      </c>
      <c r="K41" s="193">
        <f>Grid!K36</f>
        <v/>
      </c>
      <c r="L41" s="193">
        <f>Grid!L36</f>
        <v/>
      </c>
      <c r="M41" s="193">
        <f>Grid!M36</f>
        <v/>
      </c>
      <c r="N41" s="193">
        <f>Grid!N36</f>
        <v/>
      </c>
      <c r="O41" s="193">
        <f>Grid!O36</f>
        <v/>
      </c>
      <c r="P41" s="193">
        <f>Grid!P36</f>
        <v/>
      </c>
      <c r="Q41" s="193">
        <f>Grid!Q36</f>
        <v/>
      </c>
      <c r="R41" s="193">
        <f>Grid!R36</f>
        <v/>
      </c>
      <c r="S41" s="193">
        <f>Grid!S36</f>
        <v/>
      </c>
      <c r="T41" s="193">
        <f>Grid!T36</f>
        <v/>
      </c>
      <c r="U41" s="193">
        <f>Grid!U36</f>
        <v/>
      </c>
      <c r="V41" s="193">
        <f>Grid!V36</f>
        <v/>
      </c>
      <c r="W41" s="193">
        <f>Grid!W36</f>
        <v/>
      </c>
      <c r="X41" s="193">
        <f>Grid!X36</f>
        <v/>
      </c>
      <c r="Y41" s="193">
        <f>Grid!Y36</f>
        <v/>
      </c>
      <c r="Z41" s="193">
        <f>Grid!Z36</f>
        <v/>
      </c>
      <c r="AA41" s="193">
        <f>Grid!AA36</f>
        <v/>
      </c>
      <c r="AB41" s="193">
        <f>Grid!AB36</f>
        <v/>
      </c>
      <c r="AC41" s="193">
        <f>Grid!AC36</f>
        <v/>
      </c>
      <c r="AD41" s="193">
        <f>Grid!AD36</f>
        <v/>
      </c>
      <c r="AE41" s="193">
        <f>Grid!AE36</f>
        <v/>
      </c>
      <c r="AF41" s="193">
        <f>Grid!AF36</f>
        <v/>
      </c>
      <c r="AG41" s="193">
        <f>Grid!AG36</f>
        <v/>
      </c>
    </row>
    <row r="42">
      <c r="B42" s="191">
        <f>'Roster Summary'!C65</f>
        <v/>
      </c>
      <c r="C42" s="192">
        <f>'Roster Summary'!E65</f>
        <v/>
      </c>
      <c r="D42" s="192">
        <f>'Roster Summary'!D65</f>
        <v/>
      </c>
      <c r="E42" s="192">
        <f>'Roster Summary'!F65</f>
        <v/>
      </c>
      <c r="F42" s="193">
        <f>Grid!F37</f>
        <v/>
      </c>
      <c r="G42" s="193">
        <f>Grid!G37</f>
        <v/>
      </c>
      <c r="H42" s="193">
        <f>Grid!H37</f>
        <v/>
      </c>
      <c r="I42" s="193">
        <f>Grid!I37</f>
        <v/>
      </c>
      <c r="J42" s="193">
        <f>Grid!J37</f>
        <v/>
      </c>
      <c r="K42" s="193">
        <f>Grid!K37</f>
        <v/>
      </c>
      <c r="L42" s="193">
        <f>Grid!L37</f>
        <v/>
      </c>
      <c r="M42" s="193">
        <f>Grid!M37</f>
        <v/>
      </c>
      <c r="N42" s="193">
        <f>Grid!N37</f>
        <v/>
      </c>
      <c r="O42" s="193">
        <f>Grid!O37</f>
        <v/>
      </c>
      <c r="P42" s="193">
        <f>Grid!P37</f>
        <v/>
      </c>
      <c r="Q42" s="193">
        <f>Grid!Q37</f>
        <v/>
      </c>
      <c r="R42" s="193">
        <f>Grid!R37</f>
        <v/>
      </c>
      <c r="S42" s="193">
        <f>Grid!S37</f>
        <v/>
      </c>
      <c r="T42" s="193">
        <f>Grid!T37</f>
        <v/>
      </c>
      <c r="U42" s="193">
        <f>Grid!U37</f>
        <v/>
      </c>
      <c r="V42" s="193">
        <f>Grid!V37</f>
        <v/>
      </c>
      <c r="W42" s="193">
        <f>Grid!W37</f>
        <v/>
      </c>
      <c r="X42" s="193">
        <f>Grid!X37</f>
        <v/>
      </c>
      <c r="Y42" s="193">
        <f>Grid!Y37</f>
        <v/>
      </c>
      <c r="Z42" s="193">
        <f>Grid!Z37</f>
        <v/>
      </c>
      <c r="AA42" s="193">
        <f>Grid!AA37</f>
        <v/>
      </c>
      <c r="AB42" s="193">
        <f>Grid!AB37</f>
        <v/>
      </c>
      <c r="AC42" s="193">
        <f>Grid!AC37</f>
        <v/>
      </c>
      <c r="AD42" s="193">
        <f>Grid!AD37</f>
        <v/>
      </c>
      <c r="AE42" s="193">
        <f>Grid!AE37</f>
        <v/>
      </c>
      <c r="AF42" s="193">
        <f>Grid!AF37</f>
        <v/>
      </c>
      <c r="AG42" s="193">
        <f>Grid!AG37</f>
        <v/>
      </c>
    </row>
    <row r="43">
      <c r="B43" s="191">
        <f>'Roster Summary'!C66</f>
        <v/>
      </c>
      <c r="C43" s="192">
        <f>'Roster Summary'!E66</f>
        <v/>
      </c>
      <c r="D43" s="192">
        <f>'Roster Summary'!D66</f>
        <v/>
      </c>
      <c r="E43" s="192">
        <f>'Roster Summary'!F66</f>
        <v/>
      </c>
      <c r="F43" s="193">
        <f>Grid!F38</f>
        <v/>
      </c>
      <c r="G43" s="193">
        <f>Grid!G38</f>
        <v/>
      </c>
      <c r="H43" s="193">
        <f>Grid!H38</f>
        <v/>
      </c>
      <c r="I43" s="193">
        <f>Grid!I38</f>
        <v/>
      </c>
      <c r="J43" s="193">
        <f>Grid!J38</f>
        <v/>
      </c>
      <c r="K43" s="193">
        <f>Grid!K38</f>
        <v/>
      </c>
      <c r="L43" s="193">
        <f>Grid!L38</f>
        <v/>
      </c>
      <c r="M43" s="193">
        <f>Grid!M38</f>
        <v/>
      </c>
      <c r="N43" s="193">
        <f>Grid!N38</f>
        <v/>
      </c>
      <c r="O43" s="193">
        <f>Grid!O38</f>
        <v/>
      </c>
      <c r="P43" s="193">
        <f>Grid!P38</f>
        <v/>
      </c>
      <c r="Q43" s="193">
        <f>Grid!Q38</f>
        <v/>
      </c>
      <c r="R43" s="193">
        <f>Grid!R38</f>
        <v/>
      </c>
      <c r="S43" s="193">
        <f>Grid!S38</f>
        <v/>
      </c>
      <c r="T43" s="193">
        <f>Grid!T38</f>
        <v/>
      </c>
      <c r="U43" s="193">
        <f>Grid!U38</f>
        <v/>
      </c>
      <c r="V43" s="193">
        <f>Grid!V38</f>
        <v/>
      </c>
      <c r="W43" s="193">
        <f>Grid!W38</f>
        <v/>
      </c>
      <c r="X43" s="193">
        <f>Grid!X38</f>
        <v/>
      </c>
      <c r="Y43" s="193">
        <f>Grid!Y38</f>
        <v/>
      </c>
      <c r="Z43" s="193">
        <f>Grid!Z38</f>
        <v/>
      </c>
      <c r="AA43" s="193">
        <f>Grid!AA38</f>
        <v/>
      </c>
      <c r="AB43" s="193">
        <f>Grid!AB38</f>
        <v/>
      </c>
      <c r="AC43" s="193">
        <f>Grid!AC38</f>
        <v/>
      </c>
      <c r="AD43" s="193">
        <f>Grid!AD38</f>
        <v/>
      </c>
      <c r="AE43" s="193">
        <f>Grid!AE38</f>
        <v/>
      </c>
      <c r="AF43" s="193">
        <f>Grid!AF38</f>
        <v/>
      </c>
      <c r="AG43" s="193">
        <f>Grid!AG38</f>
        <v/>
      </c>
    </row>
    <row r="44">
      <c r="B44" s="191">
        <f>'Roster Summary'!C67</f>
        <v/>
      </c>
      <c r="C44" s="192">
        <f>'Roster Summary'!E67</f>
        <v/>
      </c>
      <c r="D44" s="192">
        <f>'Roster Summary'!D67</f>
        <v/>
      </c>
      <c r="E44" s="192">
        <f>'Roster Summary'!F67</f>
        <v/>
      </c>
      <c r="F44" s="193">
        <f>Grid!F39</f>
        <v/>
      </c>
      <c r="G44" s="193">
        <f>Grid!G39</f>
        <v/>
      </c>
      <c r="H44" s="193">
        <f>Grid!H39</f>
        <v/>
      </c>
      <c r="I44" s="193">
        <f>Grid!I39</f>
        <v/>
      </c>
      <c r="J44" s="193">
        <f>Grid!J39</f>
        <v/>
      </c>
      <c r="K44" s="193">
        <f>Grid!K39</f>
        <v/>
      </c>
      <c r="L44" s="193">
        <f>Grid!L39</f>
        <v/>
      </c>
      <c r="M44" s="193">
        <f>Grid!M39</f>
        <v/>
      </c>
      <c r="N44" s="193">
        <f>Grid!N39</f>
        <v/>
      </c>
      <c r="O44" s="193">
        <f>Grid!O39</f>
        <v/>
      </c>
      <c r="P44" s="193">
        <f>Grid!P39</f>
        <v/>
      </c>
      <c r="Q44" s="193">
        <f>Grid!Q39</f>
        <v/>
      </c>
      <c r="R44" s="193">
        <f>Grid!R39</f>
        <v/>
      </c>
      <c r="S44" s="193">
        <f>Grid!S39</f>
        <v/>
      </c>
      <c r="T44" s="193">
        <f>Grid!T39</f>
        <v/>
      </c>
      <c r="U44" s="193">
        <f>Grid!U39</f>
        <v/>
      </c>
      <c r="V44" s="193">
        <f>Grid!V39</f>
        <v/>
      </c>
      <c r="W44" s="193">
        <f>Grid!W39</f>
        <v/>
      </c>
      <c r="X44" s="193">
        <f>Grid!X39</f>
        <v/>
      </c>
      <c r="Y44" s="193">
        <f>Grid!Y39</f>
        <v/>
      </c>
      <c r="Z44" s="193">
        <f>Grid!Z39</f>
        <v/>
      </c>
      <c r="AA44" s="193">
        <f>Grid!AA39</f>
        <v/>
      </c>
      <c r="AB44" s="193">
        <f>Grid!AB39</f>
        <v/>
      </c>
      <c r="AC44" s="193">
        <f>Grid!AC39</f>
        <v/>
      </c>
      <c r="AD44" s="193">
        <f>Grid!AD39</f>
        <v/>
      </c>
      <c r="AE44" s="193">
        <f>Grid!AE39</f>
        <v/>
      </c>
      <c r="AF44" s="193">
        <f>Grid!AF39</f>
        <v/>
      </c>
      <c r="AG44" s="193">
        <f>Grid!AG39</f>
        <v/>
      </c>
    </row>
    <row r="45">
      <c r="B45" s="191">
        <f>'Roster Summary'!C68</f>
        <v/>
      </c>
      <c r="C45" s="192">
        <f>'Roster Summary'!E68</f>
        <v/>
      </c>
      <c r="D45" s="192">
        <f>'Roster Summary'!D68</f>
        <v/>
      </c>
      <c r="E45" s="192">
        <f>'Roster Summary'!F68</f>
        <v/>
      </c>
      <c r="F45" s="193">
        <f>Grid!F40</f>
        <v/>
      </c>
      <c r="G45" s="193">
        <f>Grid!G40</f>
        <v/>
      </c>
      <c r="H45" s="193">
        <f>Grid!H40</f>
        <v/>
      </c>
      <c r="I45" s="193">
        <f>Grid!I40</f>
        <v/>
      </c>
      <c r="J45" s="193">
        <f>Grid!J40</f>
        <v/>
      </c>
      <c r="K45" s="193">
        <f>Grid!K40</f>
        <v/>
      </c>
      <c r="L45" s="193">
        <f>Grid!L40</f>
        <v/>
      </c>
      <c r="M45" s="193">
        <f>Grid!M40</f>
        <v/>
      </c>
      <c r="N45" s="193">
        <f>Grid!N40</f>
        <v/>
      </c>
      <c r="O45" s="193">
        <f>Grid!O40</f>
        <v/>
      </c>
      <c r="P45" s="193">
        <f>Grid!P40</f>
        <v/>
      </c>
      <c r="Q45" s="193">
        <f>Grid!Q40</f>
        <v/>
      </c>
      <c r="R45" s="193">
        <f>Grid!R40</f>
        <v/>
      </c>
      <c r="S45" s="193">
        <f>Grid!S40</f>
        <v/>
      </c>
      <c r="T45" s="193">
        <f>Grid!T40</f>
        <v/>
      </c>
      <c r="U45" s="193">
        <f>Grid!U40</f>
        <v/>
      </c>
      <c r="V45" s="193">
        <f>Grid!V40</f>
        <v/>
      </c>
      <c r="W45" s="193">
        <f>Grid!W40</f>
        <v/>
      </c>
      <c r="X45" s="193">
        <f>Grid!X40</f>
        <v/>
      </c>
      <c r="Y45" s="193">
        <f>Grid!Y40</f>
        <v/>
      </c>
      <c r="Z45" s="193">
        <f>Grid!Z40</f>
        <v/>
      </c>
      <c r="AA45" s="193">
        <f>Grid!AA40</f>
        <v/>
      </c>
      <c r="AB45" s="193">
        <f>Grid!AB40</f>
        <v/>
      </c>
      <c r="AC45" s="193">
        <f>Grid!AC40</f>
        <v/>
      </c>
      <c r="AD45" s="193">
        <f>Grid!AD40</f>
        <v/>
      </c>
      <c r="AE45" s="193">
        <f>Grid!AE40</f>
        <v/>
      </c>
      <c r="AF45" s="193">
        <f>Grid!AF40</f>
        <v/>
      </c>
      <c r="AG45" s="193">
        <f>Grid!AG40</f>
        <v/>
      </c>
    </row>
    <row r="46">
      <c r="B46" s="191">
        <f>'Roster Summary'!C69</f>
        <v/>
      </c>
      <c r="C46" s="192">
        <f>'Roster Summary'!E69</f>
        <v/>
      </c>
      <c r="D46" s="192">
        <f>'Roster Summary'!D69</f>
        <v/>
      </c>
      <c r="E46" s="192">
        <f>'Roster Summary'!F69</f>
        <v/>
      </c>
      <c r="F46" s="193">
        <f>Grid!F41</f>
        <v/>
      </c>
      <c r="G46" s="193">
        <f>Grid!G41</f>
        <v/>
      </c>
      <c r="H46" s="193">
        <f>Grid!H41</f>
        <v/>
      </c>
      <c r="I46" s="193">
        <f>Grid!I41</f>
        <v/>
      </c>
      <c r="J46" s="193">
        <f>Grid!J41</f>
        <v/>
      </c>
      <c r="K46" s="193">
        <f>Grid!K41</f>
        <v/>
      </c>
      <c r="L46" s="193">
        <f>Grid!L41</f>
        <v/>
      </c>
      <c r="M46" s="193">
        <f>Grid!M41</f>
        <v/>
      </c>
      <c r="N46" s="193">
        <f>Grid!N41</f>
        <v/>
      </c>
      <c r="O46" s="193">
        <f>Grid!O41</f>
        <v/>
      </c>
      <c r="P46" s="193">
        <f>Grid!P41</f>
        <v/>
      </c>
      <c r="Q46" s="193">
        <f>Grid!Q41</f>
        <v/>
      </c>
      <c r="R46" s="193">
        <f>Grid!R41</f>
        <v/>
      </c>
      <c r="S46" s="193">
        <f>Grid!S41</f>
        <v/>
      </c>
      <c r="T46" s="193">
        <f>Grid!T41</f>
        <v/>
      </c>
      <c r="U46" s="193">
        <f>Grid!U41</f>
        <v/>
      </c>
      <c r="V46" s="193">
        <f>Grid!V41</f>
        <v/>
      </c>
      <c r="W46" s="193">
        <f>Grid!W41</f>
        <v/>
      </c>
      <c r="X46" s="193">
        <f>Grid!X41</f>
        <v/>
      </c>
      <c r="Y46" s="193">
        <f>Grid!Y41</f>
        <v/>
      </c>
      <c r="Z46" s="193">
        <f>Grid!Z41</f>
        <v/>
      </c>
      <c r="AA46" s="193">
        <f>Grid!AA41</f>
        <v/>
      </c>
      <c r="AB46" s="193">
        <f>Grid!AB41</f>
        <v/>
      </c>
      <c r="AC46" s="193">
        <f>Grid!AC41</f>
        <v/>
      </c>
      <c r="AD46" s="193">
        <f>Grid!AD41</f>
        <v/>
      </c>
      <c r="AE46" s="193">
        <f>Grid!AE41</f>
        <v/>
      </c>
      <c r="AF46" s="193">
        <f>Grid!AF41</f>
        <v/>
      </c>
      <c r="AG46" s="193">
        <f>Grid!AG41</f>
        <v/>
      </c>
    </row>
    <row r="47">
      <c r="B47" s="191">
        <f>'Roster Summary'!C70</f>
        <v/>
      </c>
      <c r="C47" s="192">
        <f>'Roster Summary'!E70</f>
        <v/>
      </c>
      <c r="D47" s="192">
        <f>'Roster Summary'!D70</f>
        <v/>
      </c>
      <c r="E47" s="192">
        <f>'Roster Summary'!F70</f>
        <v/>
      </c>
      <c r="F47" s="193">
        <f>Grid!F42</f>
        <v/>
      </c>
      <c r="G47" s="193">
        <f>Grid!G42</f>
        <v/>
      </c>
      <c r="H47" s="193">
        <f>Grid!H42</f>
        <v/>
      </c>
      <c r="I47" s="193">
        <f>Grid!I42</f>
        <v/>
      </c>
      <c r="J47" s="193">
        <f>Grid!J42</f>
        <v/>
      </c>
      <c r="K47" s="193">
        <f>Grid!K42</f>
        <v/>
      </c>
      <c r="L47" s="193">
        <f>Grid!L42</f>
        <v/>
      </c>
      <c r="M47" s="193">
        <f>Grid!M42</f>
        <v/>
      </c>
      <c r="N47" s="193">
        <f>Grid!N42</f>
        <v/>
      </c>
      <c r="O47" s="193">
        <f>Grid!O42</f>
        <v/>
      </c>
      <c r="P47" s="193">
        <f>Grid!P42</f>
        <v/>
      </c>
      <c r="Q47" s="193">
        <f>Grid!Q42</f>
        <v/>
      </c>
      <c r="R47" s="193">
        <f>Grid!R42</f>
        <v/>
      </c>
      <c r="S47" s="193">
        <f>Grid!S42</f>
        <v/>
      </c>
      <c r="T47" s="193">
        <f>Grid!T42</f>
        <v/>
      </c>
      <c r="U47" s="193">
        <f>Grid!U42</f>
        <v/>
      </c>
      <c r="V47" s="193">
        <f>Grid!V42</f>
        <v/>
      </c>
      <c r="W47" s="193">
        <f>Grid!W42</f>
        <v/>
      </c>
      <c r="X47" s="193">
        <f>Grid!X42</f>
        <v/>
      </c>
      <c r="Y47" s="193">
        <f>Grid!Y42</f>
        <v/>
      </c>
      <c r="Z47" s="193">
        <f>Grid!Z42</f>
        <v/>
      </c>
      <c r="AA47" s="193">
        <f>Grid!AA42</f>
        <v/>
      </c>
      <c r="AB47" s="193">
        <f>Grid!AB42</f>
        <v/>
      </c>
      <c r="AC47" s="193">
        <f>Grid!AC42</f>
        <v/>
      </c>
      <c r="AD47" s="193">
        <f>Grid!AD42</f>
        <v/>
      </c>
      <c r="AE47" s="193">
        <f>Grid!AE42</f>
        <v/>
      </c>
      <c r="AF47" s="193">
        <f>Grid!AF42</f>
        <v/>
      </c>
      <c r="AG47" s="193">
        <f>Grid!AG42</f>
        <v/>
      </c>
    </row>
    <row r="48">
      <c r="B48" s="191">
        <f>'Roster Summary'!C71</f>
        <v/>
      </c>
      <c r="C48" s="192">
        <f>'Roster Summary'!E71</f>
        <v/>
      </c>
      <c r="D48" s="192">
        <f>'Roster Summary'!D71</f>
        <v/>
      </c>
      <c r="E48" s="192">
        <f>'Roster Summary'!F71</f>
        <v/>
      </c>
      <c r="F48" s="193">
        <f>Grid!F43</f>
        <v/>
      </c>
      <c r="G48" s="193">
        <f>Grid!G43</f>
        <v/>
      </c>
      <c r="H48" s="193">
        <f>Grid!H43</f>
        <v/>
      </c>
      <c r="I48" s="193">
        <f>Grid!I43</f>
        <v/>
      </c>
      <c r="J48" s="193">
        <f>Grid!J43</f>
        <v/>
      </c>
      <c r="K48" s="193">
        <f>Grid!K43</f>
        <v/>
      </c>
      <c r="L48" s="193">
        <f>Grid!L43</f>
        <v/>
      </c>
      <c r="M48" s="193">
        <f>Grid!M43</f>
        <v/>
      </c>
      <c r="N48" s="193">
        <f>Grid!N43</f>
        <v/>
      </c>
      <c r="O48" s="193">
        <f>Grid!O43</f>
        <v/>
      </c>
      <c r="P48" s="193">
        <f>Grid!P43</f>
        <v/>
      </c>
      <c r="Q48" s="193">
        <f>Grid!Q43</f>
        <v/>
      </c>
      <c r="R48" s="193">
        <f>Grid!R43</f>
        <v/>
      </c>
      <c r="S48" s="193">
        <f>Grid!S43</f>
        <v/>
      </c>
      <c r="T48" s="193">
        <f>Grid!T43</f>
        <v/>
      </c>
      <c r="U48" s="193">
        <f>Grid!U43</f>
        <v/>
      </c>
      <c r="V48" s="193">
        <f>Grid!V43</f>
        <v/>
      </c>
      <c r="W48" s="193">
        <f>Grid!W43</f>
        <v/>
      </c>
      <c r="X48" s="193">
        <f>Grid!X43</f>
        <v/>
      </c>
      <c r="Y48" s="193">
        <f>Grid!Y43</f>
        <v/>
      </c>
      <c r="Z48" s="193">
        <f>Grid!Z43</f>
        <v/>
      </c>
      <c r="AA48" s="193">
        <f>Grid!AA43</f>
        <v/>
      </c>
      <c r="AB48" s="193">
        <f>Grid!AB43</f>
        <v/>
      </c>
      <c r="AC48" s="193">
        <f>Grid!AC43</f>
        <v/>
      </c>
      <c r="AD48" s="193">
        <f>Grid!AD43</f>
        <v/>
      </c>
      <c r="AE48" s="193">
        <f>Grid!AE43</f>
        <v/>
      </c>
      <c r="AF48" s="193">
        <f>Grid!AF43</f>
        <v/>
      </c>
      <c r="AG48" s="193">
        <f>Grid!AG43</f>
        <v/>
      </c>
    </row>
    <row r="49">
      <c r="B49" s="191">
        <f>'Roster Summary'!C72</f>
        <v/>
      </c>
      <c r="C49" s="192">
        <f>'Roster Summary'!E72</f>
        <v/>
      </c>
      <c r="D49" s="192">
        <f>'Roster Summary'!D72</f>
        <v/>
      </c>
      <c r="E49" s="192">
        <f>'Roster Summary'!F72</f>
        <v/>
      </c>
      <c r="F49" s="193">
        <f>Grid!F44</f>
        <v/>
      </c>
      <c r="G49" s="193">
        <f>Grid!G44</f>
        <v/>
      </c>
      <c r="H49" s="193">
        <f>Grid!H44</f>
        <v/>
      </c>
      <c r="I49" s="193">
        <f>Grid!I44</f>
        <v/>
      </c>
      <c r="J49" s="193">
        <f>Grid!J44</f>
        <v/>
      </c>
      <c r="K49" s="193">
        <f>Grid!K44</f>
        <v/>
      </c>
      <c r="L49" s="193">
        <f>Grid!L44</f>
        <v/>
      </c>
      <c r="M49" s="193">
        <f>Grid!M44</f>
        <v/>
      </c>
      <c r="N49" s="193">
        <f>Grid!N44</f>
        <v/>
      </c>
      <c r="O49" s="193">
        <f>Grid!O44</f>
        <v/>
      </c>
      <c r="P49" s="193">
        <f>Grid!P44</f>
        <v/>
      </c>
      <c r="Q49" s="193">
        <f>Grid!Q44</f>
        <v/>
      </c>
      <c r="R49" s="193">
        <f>Grid!R44</f>
        <v/>
      </c>
      <c r="S49" s="193">
        <f>Grid!S44</f>
        <v/>
      </c>
      <c r="T49" s="193">
        <f>Grid!T44</f>
        <v/>
      </c>
      <c r="U49" s="193">
        <f>Grid!U44</f>
        <v/>
      </c>
      <c r="V49" s="193">
        <f>Grid!V44</f>
        <v/>
      </c>
      <c r="W49" s="193">
        <f>Grid!W44</f>
        <v/>
      </c>
      <c r="X49" s="193">
        <f>Grid!X44</f>
        <v/>
      </c>
      <c r="Y49" s="193">
        <f>Grid!Y44</f>
        <v/>
      </c>
      <c r="Z49" s="193">
        <f>Grid!Z44</f>
        <v/>
      </c>
      <c r="AA49" s="193">
        <f>Grid!AA44</f>
        <v/>
      </c>
      <c r="AB49" s="193">
        <f>Grid!AB44</f>
        <v/>
      </c>
      <c r="AC49" s="193">
        <f>Grid!AC44</f>
        <v/>
      </c>
      <c r="AD49" s="193">
        <f>Grid!AD44</f>
        <v/>
      </c>
      <c r="AE49" s="193">
        <f>Grid!AE44</f>
        <v/>
      </c>
      <c r="AF49" s="193">
        <f>Grid!AF44</f>
        <v/>
      </c>
      <c r="AG49" s="193">
        <f>Grid!AG44</f>
        <v/>
      </c>
    </row>
    <row r="50">
      <c r="B50" s="191">
        <f>'Roster Summary'!C73</f>
        <v/>
      </c>
      <c r="C50" s="192">
        <f>'Roster Summary'!E73</f>
        <v/>
      </c>
      <c r="D50" s="192">
        <f>'Roster Summary'!D73</f>
        <v/>
      </c>
      <c r="E50" s="192">
        <f>'Roster Summary'!F73</f>
        <v/>
      </c>
      <c r="F50" s="193">
        <f>Grid!F45</f>
        <v/>
      </c>
      <c r="G50" s="193">
        <f>Grid!G45</f>
        <v/>
      </c>
      <c r="H50" s="193">
        <f>Grid!H45</f>
        <v/>
      </c>
      <c r="I50" s="193">
        <f>Grid!I45</f>
        <v/>
      </c>
      <c r="J50" s="193">
        <f>Grid!J45</f>
        <v/>
      </c>
      <c r="K50" s="193">
        <f>Grid!K45</f>
        <v/>
      </c>
      <c r="L50" s="193">
        <f>Grid!L45</f>
        <v/>
      </c>
      <c r="M50" s="193">
        <f>Grid!M45</f>
        <v/>
      </c>
      <c r="N50" s="193">
        <f>Grid!N45</f>
        <v/>
      </c>
      <c r="O50" s="193">
        <f>Grid!O45</f>
        <v/>
      </c>
      <c r="P50" s="193">
        <f>Grid!P45</f>
        <v/>
      </c>
      <c r="Q50" s="193">
        <f>Grid!Q45</f>
        <v/>
      </c>
      <c r="R50" s="193">
        <f>Grid!R45</f>
        <v/>
      </c>
      <c r="S50" s="193">
        <f>Grid!S45</f>
        <v/>
      </c>
      <c r="T50" s="193">
        <f>Grid!T45</f>
        <v/>
      </c>
      <c r="U50" s="193">
        <f>Grid!U45</f>
        <v/>
      </c>
      <c r="V50" s="193">
        <f>Grid!V45</f>
        <v/>
      </c>
      <c r="W50" s="193">
        <f>Grid!W45</f>
        <v/>
      </c>
      <c r="X50" s="193">
        <f>Grid!X45</f>
        <v/>
      </c>
      <c r="Y50" s="193">
        <f>Grid!Y45</f>
        <v/>
      </c>
      <c r="Z50" s="193">
        <f>Grid!Z45</f>
        <v/>
      </c>
      <c r="AA50" s="193">
        <f>Grid!AA45</f>
        <v/>
      </c>
      <c r="AB50" s="193">
        <f>Grid!AB45</f>
        <v/>
      </c>
      <c r="AC50" s="193">
        <f>Grid!AC45</f>
        <v/>
      </c>
      <c r="AD50" s="193">
        <f>Grid!AD45</f>
        <v/>
      </c>
      <c r="AE50" s="193">
        <f>Grid!AE45</f>
        <v/>
      </c>
      <c r="AF50" s="193">
        <f>Grid!AF45</f>
        <v/>
      </c>
      <c r="AG50" s="193">
        <f>Grid!AG45</f>
        <v/>
      </c>
    </row>
    <row r="51">
      <c r="B51" s="191">
        <f>'Roster Summary'!C74</f>
        <v/>
      </c>
      <c r="C51" s="192">
        <f>'Roster Summary'!E74</f>
        <v/>
      </c>
      <c r="D51" s="192">
        <f>'Roster Summary'!D74</f>
        <v/>
      </c>
      <c r="E51" s="192">
        <f>'Roster Summary'!F74</f>
        <v/>
      </c>
      <c r="F51" s="193">
        <f>Grid!F46</f>
        <v/>
      </c>
      <c r="G51" s="193">
        <f>Grid!G46</f>
        <v/>
      </c>
      <c r="H51" s="193">
        <f>Grid!H46</f>
        <v/>
      </c>
      <c r="I51" s="193">
        <f>Grid!I46</f>
        <v/>
      </c>
      <c r="J51" s="193">
        <f>Grid!J46</f>
        <v/>
      </c>
      <c r="K51" s="193">
        <f>Grid!K46</f>
        <v/>
      </c>
      <c r="L51" s="193">
        <f>Grid!L46</f>
        <v/>
      </c>
      <c r="M51" s="193">
        <f>Grid!M46</f>
        <v/>
      </c>
      <c r="N51" s="193">
        <f>Grid!N46</f>
        <v/>
      </c>
      <c r="O51" s="193">
        <f>Grid!O46</f>
        <v/>
      </c>
      <c r="P51" s="193">
        <f>Grid!P46</f>
        <v/>
      </c>
      <c r="Q51" s="193">
        <f>Grid!Q46</f>
        <v/>
      </c>
      <c r="R51" s="193">
        <f>Grid!R46</f>
        <v/>
      </c>
      <c r="S51" s="193">
        <f>Grid!S46</f>
        <v/>
      </c>
      <c r="T51" s="193">
        <f>Grid!T46</f>
        <v/>
      </c>
      <c r="U51" s="193">
        <f>Grid!U46</f>
        <v/>
      </c>
      <c r="V51" s="193">
        <f>Grid!V46</f>
        <v/>
      </c>
      <c r="W51" s="193">
        <f>Grid!W46</f>
        <v/>
      </c>
      <c r="X51" s="193">
        <f>Grid!X46</f>
        <v/>
      </c>
      <c r="Y51" s="193">
        <f>Grid!Y46</f>
        <v/>
      </c>
      <c r="Z51" s="193">
        <f>Grid!Z46</f>
        <v/>
      </c>
      <c r="AA51" s="193">
        <f>Grid!AA46</f>
        <v/>
      </c>
      <c r="AB51" s="193">
        <f>Grid!AB46</f>
        <v/>
      </c>
      <c r="AC51" s="193">
        <f>Grid!AC46</f>
        <v/>
      </c>
      <c r="AD51" s="193">
        <f>Grid!AD46</f>
        <v/>
      </c>
      <c r="AE51" s="193">
        <f>Grid!AE46</f>
        <v/>
      </c>
      <c r="AF51" s="193">
        <f>Grid!AF46</f>
        <v/>
      </c>
      <c r="AG51" s="193">
        <f>Grid!AG46</f>
        <v/>
      </c>
    </row>
    <row r="52">
      <c r="B52" s="191">
        <f>'Roster Summary'!C75</f>
        <v/>
      </c>
      <c r="C52" s="192">
        <f>'Roster Summary'!E75</f>
        <v/>
      </c>
      <c r="D52" s="192">
        <f>'Roster Summary'!D75</f>
        <v/>
      </c>
      <c r="E52" s="192">
        <f>'Roster Summary'!F75</f>
        <v/>
      </c>
      <c r="F52" s="193">
        <f>Grid!F47</f>
        <v/>
      </c>
      <c r="G52" s="193">
        <f>Grid!G47</f>
        <v/>
      </c>
      <c r="H52" s="193">
        <f>Grid!H47</f>
        <v/>
      </c>
      <c r="I52" s="193">
        <f>Grid!I47</f>
        <v/>
      </c>
      <c r="J52" s="193">
        <f>Grid!J47</f>
        <v/>
      </c>
      <c r="K52" s="193">
        <f>Grid!K47</f>
        <v/>
      </c>
      <c r="L52" s="193">
        <f>Grid!L47</f>
        <v/>
      </c>
      <c r="M52" s="193">
        <f>Grid!M47</f>
        <v/>
      </c>
      <c r="N52" s="193">
        <f>Grid!N47</f>
        <v/>
      </c>
      <c r="O52" s="193">
        <f>Grid!O47</f>
        <v/>
      </c>
      <c r="P52" s="193">
        <f>Grid!P47</f>
        <v/>
      </c>
      <c r="Q52" s="193">
        <f>Grid!Q47</f>
        <v/>
      </c>
      <c r="R52" s="193">
        <f>Grid!R47</f>
        <v/>
      </c>
      <c r="S52" s="193">
        <f>Grid!S47</f>
        <v/>
      </c>
      <c r="T52" s="193">
        <f>Grid!T47</f>
        <v/>
      </c>
      <c r="U52" s="193">
        <f>Grid!U47</f>
        <v/>
      </c>
      <c r="V52" s="193">
        <f>Grid!V47</f>
        <v/>
      </c>
      <c r="W52" s="193">
        <f>Grid!W47</f>
        <v/>
      </c>
      <c r="X52" s="193">
        <f>Grid!X47</f>
        <v/>
      </c>
      <c r="Y52" s="193">
        <f>Grid!Y47</f>
        <v/>
      </c>
      <c r="Z52" s="193">
        <f>Grid!Z47</f>
        <v/>
      </c>
      <c r="AA52" s="193">
        <f>Grid!AA47</f>
        <v/>
      </c>
      <c r="AB52" s="193">
        <f>Grid!AB47</f>
        <v/>
      </c>
      <c r="AC52" s="193">
        <f>Grid!AC47</f>
        <v/>
      </c>
      <c r="AD52" s="193">
        <f>Grid!AD47</f>
        <v/>
      </c>
      <c r="AE52" s="193">
        <f>Grid!AE47</f>
        <v/>
      </c>
      <c r="AF52" s="193">
        <f>Grid!AF47</f>
        <v/>
      </c>
      <c r="AG52" s="193">
        <f>Grid!AG47</f>
        <v/>
      </c>
    </row>
    <row r="53">
      <c r="B53" s="191">
        <f>'Roster Summary'!C76</f>
        <v/>
      </c>
      <c r="C53" s="192">
        <f>'Roster Summary'!E76</f>
        <v/>
      </c>
      <c r="D53" s="192">
        <f>'Roster Summary'!D76</f>
        <v/>
      </c>
      <c r="E53" s="192">
        <f>'Roster Summary'!F76</f>
        <v/>
      </c>
      <c r="F53" s="193">
        <f>Grid!F48</f>
        <v/>
      </c>
      <c r="G53" s="193">
        <f>Grid!G48</f>
        <v/>
      </c>
      <c r="H53" s="193">
        <f>Grid!H48</f>
        <v/>
      </c>
      <c r="I53" s="193">
        <f>Grid!I48</f>
        <v/>
      </c>
      <c r="J53" s="193">
        <f>Grid!J48</f>
        <v/>
      </c>
      <c r="K53" s="193">
        <f>Grid!K48</f>
        <v/>
      </c>
      <c r="L53" s="193">
        <f>Grid!L48</f>
        <v/>
      </c>
      <c r="M53" s="193">
        <f>Grid!M48</f>
        <v/>
      </c>
      <c r="N53" s="193">
        <f>Grid!N48</f>
        <v/>
      </c>
      <c r="O53" s="193">
        <f>Grid!O48</f>
        <v/>
      </c>
      <c r="P53" s="193">
        <f>Grid!P48</f>
        <v/>
      </c>
      <c r="Q53" s="193">
        <f>Grid!Q48</f>
        <v/>
      </c>
      <c r="R53" s="193">
        <f>Grid!R48</f>
        <v/>
      </c>
      <c r="S53" s="193">
        <f>Grid!S48</f>
        <v/>
      </c>
      <c r="T53" s="193">
        <f>Grid!T48</f>
        <v/>
      </c>
      <c r="U53" s="193">
        <f>Grid!U48</f>
        <v/>
      </c>
      <c r="V53" s="193">
        <f>Grid!V48</f>
        <v/>
      </c>
      <c r="W53" s="193">
        <f>Grid!W48</f>
        <v/>
      </c>
      <c r="X53" s="193">
        <f>Grid!X48</f>
        <v/>
      </c>
      <c r="Y53" s="193">
        <f>Grid!Y48</f>
        <v/>
      </c>
      <c r="Z53" s="193">
        <f>Grid!Z48</f>
        <v/>
      </c>
      <c r="AA53" s="193">
        <f>Grid!AA48</f>
        <v/>
      </c>
      <c r="AB53" s="193">
        <f>Grid!AB48</f>
        <v/>
      </c>
      <c r="AC53" s="193">
        <f>Grid!AC48</f>
        <v/>
      </c>
      <c r="AD53" s="193">
        <f>Grid!AD48</f>
        <v/>
      </c>
      <c r="AE53" s="193">
        <f>Grid!AE48</f>
        <v/>
      </c>
      <c r="AF53" s="193">
        <f>Grid!AF48</f>
        <v/>
      </c>
      <c r="AG53" s="193">
        <f>Grid!AG48</f>
        <v/>
      </c>
    </row>
    <row r="54">
      <c r="B54" s="191">
        <f>'Roster Summary'!C77</f>
        <v/>
      </c>
      <c r="C54" s="192">
        <f>'Roster Summary'!E77</f>
        <v/>
      </c>
      <c r="D54" s="192">
        <f>'Roster Summary'!D77</f>
        <v/>
      </c>
      <c r="E54" s="192">
        <f>'Roster Summary'!F77</f>
        <v/>
      </c>
      <c r="F54" s="193">
        <f>Grid!F49</f>
        <v/>
      </c>
      <c r="G54" s="193">
        <f>Grid!G49</f>
        <v/>
      </c>
      <c r="H54" s="193">
        <f>Grid!H49</f>
        <v/>
      </c>
      <c r="I54" s="193">
        <f>Grid!I49</f>
        <v/>
      </c>
      <c r="J54" s="193">
        <f>Grid!J49</f>
        <v/>
      </c>
      <c r="K54" s="193">
        <f>Grid!K49</f>
        <v/>
      </c>
      <c r="L54" s="193">
        <f>Grid!L49</f>
        <v/>
      </c>
      <c r="M54" s="193">
        <f>Grid!M49</f>
        <v/>
      </c>
      <c r="N54" s="193">
        <f>Grid!N49</f>
        <v/>
      </c>
      <c r="O54" s="193">
        <f>Grid!O49</f>
        <v/>
      </c>
      <c r="P54" s="193">
        <f>Grid!P49</f>
        <v/>
      </c>
      <c r="Q54" s="193">
        <f>Grid!Q49</f>
        <v/>
      </c>
      <c r="R54" s="193">
        <f>Grid!R49</f>
        <v/>
      </c>
      <c r="S54" s="193">
        <f>Grid!S49</f>
        <v/>
      </c>
      <c r="T54" s="193">
        <f>Grid!T49</f>
        <v/>
      </c>
      <c r="U54" s="193">
        <f>Grid!U49</f>
        <v/>
      </c>
      <c r="V54" s="193">
        <f>Grid!V49</f>
        <v/>
      </c>
      <c r="W54" s="193">
        <f>Grid!W49</f>
        <v/>
      </c>
      <c r="X54" s="193">
        <f>Grid!X49</f>
        <v/>
      </c>
      <c r="Y54" s="193">
        <f>Grid!Y49</f>
        <v/>
      </c>
      <c r="Z54" s="193">
        <f>Grid!Z49</f>
        <v/>
      </c>
      <c r="AA54" s="193">
        <f>Grid!AA49</f>
        <v/>
      </c>
      <c r="AB54" s="193">
        <f>Grid!AB49</f>
        <v/>
      </c>
      <c r="AC54" s="193">
        <f>Grid!AC49</f>
        <v/>
      </c>
      <c r="AD54" s="193">
        <f>Grid!AD49</f>
        <v/>
      </c>
      <c r="AE54" s="193">
        <f>Grid!AE49</f>
        <v/>
      </c>
      <c r="AF54" s="193">
        <f>Grid!AF49</f>
        <v/>
      </c>
      <c r="AG54" s="193">
        <f>Grid!AG49</f>
        <v/>
      </c>
    </row>
    <row r="55">
      <c r="B55" s="191">
        <f>'Roster Summary'!C78</f>
        <v/>
      </c>
      <c r="C55" s="192">
        <f>'Roster Summary'!E78</f>
        <v/>
      </c>
      <c r="D55" s="192">
        <f>'Roster Summary'!D78</f>
        <v/>
      </c>
      <c r="E55" s="192">
        <f>'Roster Summary'!F78</f>
        <v/>
      </c>
      <c r="F55" s="193">
        <f>Grid!F50</f>
        <v/>
      </c>
      <c r="G55" s="193">
        <f>Grid!G50</f>
        <v/>
      </c>
      <c r="H55" s="193">
        <f>Grid!H50</f>
        <v/>
      </c>
      <c r="I55" s="193">
        <f>Grid!I50</f>
        <v/>
      </c>
      <c r="J55" s="193">
        <f>Grid!J50</f>
        <v/>
      </c>
      <c r="K55" s="193">
        <f>Grid!K50</f>
        <v/>
      </c>
      <c r="L55" s="193">
        <f>Grid!L50</f>
        <v/>
      </c>
      <c r="M55" s="193">
        <f>Grid!M50</f>
        <v/>
      </c>
      <c r="N55" s="193">
        <f>Grid!N50</f>
        <v/>
      </c>
      <c r="O55" s="193">
        <f>Grid!O50</f>
        <v/>
      </c>
      <c r="P55" s="193">
        <f>Grid!P50</f>
        <v/>
      </c>
      <c r="Q55" s="193">
        <f>Grid!Q50</f>
        <v/>
      </c>
      <c r="R55" s="193">
        <f>Grid!R50</f>
        <v/>
      </c>
      <c r="S55" s="193">
        <f>Grid!S50</f>
        <v/>
      </c>
      <c r="T55" s="193">
        <f>Grid!T50</f>
        <v/>
      </c>
      <c r="U55" s="193">
        <f>Grid!U50</f>
        <v/>
      </c>
      <c r="V55" s="193">
        <f>Grid!V50</f>
        <v/>
      </c>
      <c r="W55" s="193">
        <f>Grid!W50</f>
        <v/>
      </c>
      <c r="X55" s="193">
        <f>Grid!X50</f>
        <v/>
      </c>
      <c r="Y55" s="193">
        <f>Grid!Y50</f>
        <v/>
      </c>
      <c r="Z55" s="193">
        <f>Grid!Z50</f>
        <v/>
      </c>
      <c r="AA55" s="193">
        <f>Grid!AA50</f>
        <v/>
      </c>
      <c r="AB55" s="193">
        <f>Grid!AB50</f>
        <v/>
      </c>
      <c r="AC55" s="193">
        <f>Grid!AC50</f>
        <v/>
      </c>
      <c r="AD55" s="193">
        <f>Grid!AD50</f>
        <v/>
      </c>
      <c r="AE55" s="193">
        <f>Grid!AE50</f>
        <v/>
      </c>
      <c r="AF55" s="193">
        <f>Grid!AF50</f>
        <v/>
      </c>
      <c r="AG55" s="193">
        <f>Grid!AG50</f>
        <v/>
      </c>
    </row>
    <row r="56">
      <c r="B56" s="191">
        <f>'Roster Summary'!C79</f>
        <v/>
      </c>
      <c r="C56" s="192">
        <f>'Roster Summary'!E79</f>
        <v/>
      </c>
      <c r="D56" s="192">
        <f>'Roster Summary'!D79</f>
        <v/>
      </c>
      <c r="E56" s="192">
        <f>'Roster Summary'!F79</f>
        <v/>
      </c>
      <c r="F56" s="193">
        <f>Grid!F51</f>
        <v/>
      </c>
      <c r="G56" s="193">
        <f>Grid!G51</f>
        <v/>
      </c>
      <c r="H56" s="193">
        <f>Grid!H51</f>
        <v/>
      </c>
      <c r="I56" s="193">
        <f>Grid!I51</f>
        <v/>
      </c>
      <c r="J56" s="193">
        <f>Grid!J51</f>
        <v/>
      </c>
      <c r="K56" s="193">
        <f>Grid!K51</f>
        <v/>
      </c>
      <c r="L56" s="193">
        <f>Grid!L51</f>
        <v/>
      </c>
      <c r="M56" s="193">
        <f>Grid!M51</f>
        <v/>
      </c>
      <c r="N56" s="193">
        <f>Grid!N51</f>
        <v/>
      </c>
      <c r="O56" s="193">
        <f>Grid!O51</f>
        <v/>
      </c>
      <c r="P56" s="193">
        <f>Grid!P51</f>
        <v/>
      </c>
      <c r="Q56" s="193">
        <f>Grid!Q51</f>
        <v/>
      </c>
      <c r="R56" s="193">
        <f>Grid!R51</f>
        <v/>
      </c>
      <c r="S56" s="193">
        <f>Grid!S51</f>
        <v/>
      </c>
      <c r="T56" s="193">
        <f>Grid!T51</f>
        <v/>
      </c>
      <c r="U56" s="193">
        <f>Grid!U51</f>
        <v/>
      </c>
      <c r="V56" s="193">
        <f>Grid!V51</f>
        <v/>
      </c>
      <c r="W56" s="193">
        <f>Grid!W51</f>
        <v/>
      </c>
      <c r="X56" s="193">
        <f>Grid!X51</f>
        <v/>
      </c>
      <c r="Y56" s="193">
        <f>Grid!Y51</f>
        <v/>
      </c>
      <c r="Z56" s="193">
        <f>Grid!Z51</f>
        <v/>
      </c>
      <c r="AA56" s="193">
        <f>Grid!AA51</f>
        <v/>
      </c>
      <c r="AB56" s="193">
        <f>Grid!AB51</f>
        <v/>
      </c>
      <c r="AC56" s="193">
        <f>Grid!AC51</f>
        <v/>
      </c>
      <c r="AD56" s="193">
        <f>Grid!AD51</f>
        <v/>
      </c>
      <c r="AE56" s="193">
        <f>Grid!AE51</f>
        <v/>
      </c>
      <c r="AF56" s="193">
        <f>Grid!AF51</f>
        <v/>
      </c>
      <c r="AG56" s="193">
        <f>Grid!AG51</f>
        <v/>
      </c>
    </row>
    <row r="57">
      <c r="B57" s="191">
        <f>'Roster Summary'!C80</f>
        <v/>
      </c>
      <c r="C57" s="192">
        <f>'Roster Summary'!E80</f>
        <v/>
      </c>
      <c r="D57" s="192">
        <f>'Roster Summary'!D80</f>
        <v/>
      </c>
      <c r="E57" s="192">
        <f>'Roster Summary'!F80</f>
        <v/>
      </c>
      <c r="F57" s="193">
        <f>Grid!F52</f>
        <v/>
      </c>
      <c r="G57" s="193">
        <f>Grid!G52</f>
        <v/>
      </c>
      <c r="H57" s="193">
        <f>Grid!H52</f>
        <v/>
      </c>
      <c r="I57" s="193">
        <f>Grid!I52</f>
        <v/>
      </c>
      <c r="J57" s="193">
        <f>Grid!J52</f>
        <v/>
      </c>
      <c r="K57" s="193">
        <f>Grid!K52</f>
        <v/>
      </c>
      <c r="L57" s="193">
        <f>Grid!L52</f>
        <v/>
      </c>
      <c r="M57" s="193">
        <f>Grid!M52</f>
        <v/>
      </c>
      <c r="N57" s="193">
        <f>Grid!N52</f>
        <v/>
      </c>
      <c r="O57" s="193">
        <f>Grid!O52</f>
        <v/>
      </c>
      <c r="P57" s="193">
        <f>Grid!P52</f>
        <v/>
      </c>
      <c r="Q57" s="193">
        <f>Grid!Q52</f>
        <v/>
      </c>
      <c r="R57" s="193">
        <f>Grid!R52</f>
        <v/>
      </c>
      <c r="S57" s="193">
        <f>Grid!S52</f>
        <v/>
      </c>
      <c r="T57" s="193">
        <f>Grid!T52</f>
        <v/>
      </c>
      <c r="U57" s="193">
        <f>Grid!U52</f>
        <v/>
      </c>
      <c r="V57" s="193">
        <f>Grid!V52</f>
        <v/>
      </c>
      <c r="W57" s="193">
        <f>Grid!W52</f>
        <v/>
      </c>
      <c r="X57" s="193">
        <f>Grid!X52</f>
        <v/>
      </c>
      <c r="Y57" s="193">
        <f>Grid!Y52</f>
        <v/>
      </c>
      <c r="Z57" s="193">
        <f>Grid!Z52</f>
        <v/>
      </c>
      <c r="AA57" s="193">
        <f>Grid!AA52</f>
        <v/>
      </c>
      <c r="AB57" s="193">
        <f>Grid!AB52</f>
        <v/>
      </c>
      <c r="AC57" s="193">
        <f>Grid!AC52</f>
        <v/>
      </c>
      <c r="AD57" s="193">
        <f>Grid!AD52</f>
        <v/>
      </c>
      <c r="AE57" s="193">
        <f>Grid!AE52</f>
        <v/>
      </c>
      <c r="AF57" s="193">
        <f>Grid!AF52</f>
        <v/>
      </c>
      <c r="AG57" s="193">
        <f>Grid!AG52</f>
        <v/>
      </c>
    </row>
    <row r="58">
      <c r="B58" s="191">
        <f>'Roster Summary'!C81</f>
        <v/>
      </c>
      <c r="C58" s="192">
        <f>'Roster Summary'!E81</f>
        <v/>
      </c>
      <c r="D58" s="192">
        <f>'Roster Summary'!D81</f>
        <v/>
      </c>
      <c r="E58" s="192">
        <f>'Roster Summary'!F81</f>
        <v/>
      </c>
      <c r="F58" s="193">
        <f>Grid!F53</f>
        <v/>
      </c>
      <c r="G58" s="193">
        <f>Grid!G53</f>
        <v/>
      </c>
      <c r="H58" s="193">
        <f>Grid!H53</f>
        <v/>
      </c>
      <c r="I58" s="193">
        <f>Grid!I53</f>
        <v/>
      </c>
      <c r="J58" s="193">
        <f>Grid!J53</f>
        <v/>
      </c>
      <c r="K58" s="193">
        <f>Grid!K53</f>
        <v/>
      </c>
      <c r="L58" s="193">
        <f>Grid!L53</f>
        <v/>
      </c>
      <c r="M58" s="193">
        <f>Grid!M53</f>
        <v/>
      </c>
      <c r="N58" s="193">
        <f>Grid!N53</f>
        <v/>
      </c>
      <c r="O58" s="193">
        <f>Grid!O53</f>
        <v/>
      </c>
      <c r="P58" s="193">
        <f>Grid!P53</f>
        <v/>
      </c>
      <c r="Q58" s="193">
        <f>Grid!Q53</f>
        <v/>
      </c>
      <c r="R58" s="193">
        <f>Grid!R53</f>
        <v/>
      </c>
      <c r="S58" s="193">
        <f>Grid!S53</f>
        <v/>
      </c>
      <c r="T58" s="193">
        <f>Grid!T53</f>
        <v/>
      </c>
      <c r="U58" s="193">
        <f>Grid!U53</f>
        <v/>
      </c>
      <c r="V58" s="193">
        <f>Grid!V53</f>
        <v/>
      </c>
      <c r="W58" s="193">
        <f>Grid!W53</f>
        <v/>
      </c>
      <c r="X58" s="193">
        <f>Grid!X53</f>
        <v/>
      </c>
      <c r="Y58" s="193">
        <f>Grid!Y53</f>
        <v/>
      </c>
      <c r="Z58" s="193">
        <f>Grid!Z53</f>
        <v/>
      </c>
      <c r="AA58" s="193">
        <f>Grid!AA53</f>
        <v/>
      </c>
      <c r="AB58" s="193">
        <f>Grid!AB53</f>
        <v/>
      </c>
      <c r="AC58" s="193">
        <f>Grid!AC53</f>
        <v/>
      </c>
      <c r="AD58" s="193">
        <f>Grid!AD53</f>
        <v/>
      </c>
      <c r="AE58" s="193">
        <f>Grid!AE53</f>
        <v/>
      </c>
      <c r="AF58" s="193">
        <f>Grid!AF53</f>
        <v/>
      </c>
      <c r="AG58" s="193">
        <f>Grid!AG53</f>
        <v/>
      </c>
    </row>
    <row r="59">
      <c r="B59" s="191">
        <f>'Roster Summary'!C82</f>
        <v/>
      </c>
      <c r="C59" s="192">
        <f>'Roster Summary'!E82</f>
        <v/>
      </c>
      <c r="D59" s="192">
        <f>'Roster Summary'!D82</f>
        <v/>
      </c>
      <c r="E59" s="192">
        <f>'Roster Summary'!F82</f>
        <v/>
      </c>
      <c r="F59" s="193">
        <f>Grid!F54</f>
        <v/>
      </c>
      <c r="G59" s="193">
        <f>Grid!G54</f>
        <v/>
      </c>
      <c r="H59" s="193">
        <f>Grid!H54</f>
        <v/>
      </c>
      <c r="I59" s="193">
        <f>Grid!I54</f>
        <v/>
      </c>
      <c r="J59" s="193">
        <f>Grid!J54</f>
        <v/>
      </c>
      <c r="K59" s="193">
        <f>Grid!K54</f>
        <v/>
      </c>
      <c r="L59" s="193">
        <f>Grid!L54</f>
        <v/>
      </c>
      <c r="M59" s="193">
        <f>Grid!M54</f>
        <v/>
      </c>
      <c r="N59" s="193">
        <f>Grid!N54</f>
        <v/>
      </c>
      <c r="O59" s="193">
        <f>Grid!O54</f>
        <v/>
      </c>
      <c r="P59" s="193">
        <f>Grid!P54</f>
        <v/>
      </c>
      <c r="Q59" s="193">
        <f>Grid!Q54</f>
        <v/>
      </c>
      <c r="R59" s="193">
        <f>Grid!R54</f>
        <v/>
      </c>
      <c r="S59" s="193">
        <f>Grid!S54</f>
        <v/>
      </c>
      <c r="T59" s="193">
        <f>Grid!T54</f>
        <v/>
      </c>
      <c r="U59" s="193">
        <f>Grid!U54</f>
        <v/>
      </c>
      <c r="V59" s="193">
        <f>Grid!V54</f>
        <v/>
      </c>
      <c r="W59" s="193">
        <f>Grid!W54</f>
        <v/>
      </c>
      <c r="X59" s="193">
        <f>Grid!X54</f>
        <v/>
      </c>
      <c r="Y59" s="193">
        <f>Grid!Y54</f>
        <v/>
      </c>
      <c r="Z59" s="193">
        <f>Grid!Z54</f>
        <v/>
      </c>
      <c r="AA59" s="193">
        <f>Grid!AA54</f>
        <v/>
      </c>
      <c r="AB59" s="193">
        <f>Grid!AB54</f>
        <v/>
      </c>
      <c r="AC59" s="193">
        <f>Grid!AC54</f>
        <v/>
      </c>
      <c r="AD59" s="193">
        <f>Grid!AD54</f>
        <v/>
      </c>
      <c r="AE59" s="193">
        <f>Grid!AE54</f>
        <v/>
      </c>
      <c r="AF59" s="193">
        <f>Grid!AF54</f>
        <v/>
      </c>
      <c r="AG59" s="193">
        <f>Grid!AG54</f>
        <v/>
      </c>
    </row>
    <row r="60">
      <c r="B60" s="191">
        <f>'Roster Summary'!C83</f>
        <v/>
      </c>
      <c r="C60" s="192">
        <f>'Roster Summary'!E83</f>
        <v/>
      </c>
      <c r="D60" s="192">
        <f>'Roster Summary'!D83</f>
        <v/>
      </c>
      <c r="E60" s="192">
        <f>'Roster Summary'!F83</f>
        <v/>
      </c>
      <c r="F60" s="193">
        <f>Grid!F55</f>
        <v/>
      </c>
      <c r="G60" s="193">
        <f>Grid!G55</f>
        <v/>
      </c>
      <c r="H60" s="193">
        <f>Grid!H55</f>
        <v/>
      </c>
      <c r="I60" s="193">
        <f>Grid!I55</f>
        <v/>
      </c>
      <c r="J60" s="193">
        <f>Grid!J55</f>
        <v/>
      </c>
      <c r="K60" s="193">
        <f>Grid!K55</f>
        <v/>
      </c>
      <c r="L60" s="193">
        <f>Grid!L55</f>
        <v/>
      </c>
      <c r="M60" s="193">
        <f>Grid!M55</f>
        <v/>
      </c>
      <c r="N60" s="193">
        <f>Grid!N55</f>
        <v/>
      </c>
      <c r="O60" s="193">
        <f>Grid!O55</f>
        <v/>
      </c>
      <c r="P60" s="193">
        <f>Grid!P55</f>
        <v/>
      </c>
      <c r="Q60" s="193">
        <f>Grid!Q55</f>
        <v/>
      </c>
      <c r="R60" s="193">
        <f>Grid!R55</f>
        <v/>
      </c>
      <c r="S60" s="193">
        <f>Grid!S55</f>
        <v/>
      </c>
      <c r="T60" s="193">
        <f>Grid!T55</f>
        <v/>
      </c>
      <c r="U60" s="193">
        <f>Grid!U55</f>
        <v/>
      </c>
      <c r="V60" s="193">
        <f>Grid!V55</f>
        <v/>
      </c>
      <c r="W60" s="193">
        <f>Grid!W55</f>
        <v/>
      </c>
      <c r="X60" s="193">
        <f>Grid!X55</f>
        <v/>
      </c>
      <c r="Y60" s="193">
        <f>Grid!Y55</f>
        <v/>
      </c>
      <c r="Z60" s="193">
        <f>Grid!Z55</f>
        <v/>
      </c>
      <c r="AA60" s="193">
        <f>Grid!AA55</f>
        <v/>
      </c>
      <c r="AB60" s="193">
        <f>Grid!AB55</f>
        <v/>
      </c>
      <c r="AC60" s="193">
        <f>Grid!AC55</f>
        <v/>
      </c>
      <c r="AD60" s="193">
        <f>Grid!AD55</f>
        <v/>
      </c>
      <c r="AE60" s="193">
        <f>Grid!AE55</f>
        <v/>
      </c>
      <c r="AF60" s="193">
        <f>Grid!AF55</f>
        <v/>
      </c>
      <c r="AG60" s="193">
        <f>Grid!AG55</f>
        <v/>
      </c>
    </row>
    <row r="61">
      <c r="B61" s="191">
        <f>'Roster Summary'!C84</f>
        <v/>
      </c>
      <c r="C61" s="192">
        <f>'Roster Summary'!E84</f>
        <v/>
      </c>
      <c r="D61" s="192">
        <f>'Roster Summary'!D84</f>
        <v/>
      </c>
      <c r="E61" s="192">
        <f>'Roster Summary'!F84</f>
        <v/>
      </c>
      <c r="F61" s="193">
        <f>Grid!F56</f>
        <v/>
      </c>
      <c r="G61" s="193">
        <f>Grid!G56</f>
        <v/>
      </c>
      <c r="H61" s="193">
        <f>Grid!H56</f>
        <v/>
      </c>
      <c r="I61" s="193">
        <f>Grid!I56</f>
        <v/>
      </c>
      <c r="J61" s="193">
        <f>Grid!J56</f>
        <v/>
      </c>
      <c r="K61" s="193">
        <f>Grid!K56</f>
        <v/>
      </c>
      <c r="L61" s="193">
        <f>Grid!L56</f>
        <v/>
      </c>
      <c r="M61" s="193">
        <f>Grid!M56</f>
        <v/>
      </c>
      <c r="N61" s="193">
        <f>Grid!N56</f>
        <v/>
      </c>
      <c r="O61" s="193">
        <f>Grid!O56</f>
        <v/>
      </c>
      <c r="P61" s="193">
        <f>Grid!P56</f>
        <v/>
      </c>
      <c r="Q61" s="193">
        <f>Grid!Q56</f>
        <v/>
      </c>
      <c r="R61" s="193">
        <f>Grid!R56</f>
        <v/>
      </c>
      <c r="S61" s="193">
        <f>Grid!S56</f>
        <v/>
      </c>
      <c r="T61" s="193">
        <f>Grid!T56</f>
        <v/>
      </c>
      <c r="U61" s="193">
        <f>Grid!U56</f>
        <v/>
      </c>
      <c r="V61" s="193">
        <f>Grid!V56</f>
        <v/>
      </c>
      <c r="W61" s="193">
        <f>Grid!W56</f>
        <v/>
      </c>
      <c r="X61" s="193">
        <f>Grid!X56</f>
        <v/>
      </c>
      <c r="Y61" s="193">
        <f>Grid!Y56</f>
        <v/>
      </c>
      <c r="Z61" s="193">
        <f>Grid!Z56</f>
        <v/>
      </c>
      <c r="AA61" s="193">
        <f>Grid!AA56</f>
        <v/>
      </c>
      <c r="AB61" s="193">
        <f>Grid!AB56</f>
        <v/>
      </c>
      <c r="AC61" s="193">
        <f>Grid!AC56</f>
        <v/>
      </c>
      <c r="AD61" s="193">
        <f>Grid!AD56</f>
        <v/>
      </c>
      <c r="AE61" s="193">
        <f>Grid!AE56</f>
        <v/>
      </c>
      <c r="AF61" s="193">
        <f>Grid!AF56</f>
        <v/>
      </c>
      <c r="AG61" s="193">
        <f>Grid!AG56</f>
        <v/>
      </c>
    </row>
    <row r="62">
      <c r="B62" s="191">
        <f>'Roster Summary'!C85</f>
        <v/>
      </c>
      <c r="C62" s="192">
        <f>'Roster Summary'!E85</f>
        <v/>
      </c>
      <c r="D62" s="192">
        <f>'Roster Summary'!D85</f>
        <v/>
      </c>
      <c r="E62" s="192">
        <f>'Roster Summary'!F85</f>
        <v/>
      </c>
      <c r="F62" s="193">
        <f>Grid!F57</f>
        <v/>
      </c>
      <c r="G62" s="193">
        <f>Grid!G57</f>
        <v/>
      </c>
      <c r="H62" s="193">
        <f>Grid!H57</f>
        <v/>
      </c>
      <c r="I62" s="193">
        <f>Grid!I57</f>
        <v/>
      </c>
      <c r="J62" s="193">
        <f>Grid!J57</f>
        <v/>
      </c>
      <c r="K62" s="193">
        <f>Grid!K57</f>
        <v/>
      </c>
      <c r="L62" s="193">
        <f>Grid!L57</f>
        <v/>
      </c>
      <c r="M62" s="193">
        <f>Grid!M57</f>
        <v/>
      </c>
      <c r="N62" s="193">
        <f>Grid!N57</f>
        <v/>
      </c>
      <c r="O62" s="193">
        <f>Grid!O57</f>
        <v/>
      </c>
      <c r="P62" s="193">
        <f>Grid!P57</f>
        <v/>
      </c>
      <c r="Q62" s="193">
        <f>Grid!Q57</f>
        <v/>
      </c>
      <c r="R62" s="193">
        <f>Grid!R57</f>
        <v/>
      </c>
      <c r="S62" s="193">
        <f>Grid!S57</f>
        <v/>
      </c>
      <c r="T62" s="193">
        <f>Grid!T57</f>
        <v/>
      </c>
      <c r="U62" s="193">
        <f>Grid!U57</f>
        <v/>
      </c>
      <c r="V62" s="193">
        <f>Grid!V57</f>
        <v/>
      </c>
      <c r="W62" s="193">
        <f>Grid!W57</f>
        <v/>
      </c>
      <c r="X62" s="193">
        <f>Grid!X57</f>
        <v/>
      </c>
      <c r="Y62" s="193">
        <f>Grid!Y57</f>
        <v/>
      </c>
      <c r="Z62" s="193">
        <f>Grid!Z57</f>
        <v/>
      </c>
      <c r="AA62" s="193">
        <f>Grid!AA57</f>
        <v/>
      </c>
      <c r="AB62" s="193">
        <f>Grid!AB57</f>
        <v/>
      </c>
      <c r="AC62" s="193">
        <f>Grid!AC57</f>
        <v/>
      </c>
      <c r="AD62" s="193">
        <f>Grid!AD57</f>
        <v/>
      </c>
      <c r="AE62" s="193">
        <f>Grid!AE57</f>
        <v/>
      </c>
      <c r="AF62" s="193">
        <f>Grid!AF57</f>
        <v/>
      </c>
      <c r="AG62" s="193">
        <f>Grid!AG57</f>
        <v/>
      </c>
    </row>
    <row r="63">
      <c r="B63" s="191">
        <f>'Roster Summary'!C86</f>
        <v/>
      </c>
      <c r="C63" s="192">
        <f>'Roster Summary'!E86</f>
        <v/>
      </c>
      <c r="D63" s="192">
        <f>'Roster Summary'!D86</f>
        <v/>
      </c>
      <c r="E63" s="192">
        <f>'Roster Summary'!F86</f>
        <v/>
      </c>
      <c r="F63" s="193">
        <f>Grid!F58</f>
        <v/>
      </c>
      <c r="G63" s="193">
        <f>Grid!G58</f>
        <v/>
      </c>
      <c r="H63" s="193">
        <f>Grid!H58</f>
        <v/>
      </c>
      <c r="I63" s="193">
        <f>Grid!I58</f>
        <v/>
      </c>
      <c r="J63" s="193">
        <f>Grid!J58</f>
        <v/>
      </c>
      <c r="K63" s="193">
        <f>Grid!K58</f>
        <v/>
      </c>
      <c r="L63" s="193">
        <f>Grid!L58</f>
        <v/>
      </c>
      <c r="M63" s="193">
        <f>Grid!M58</f>
        <v/>
      </c>
      <c r="N63" s="193">
        <f>Grid!N58</f>
        <v/>
      </c>
      <c r="O63" s="193">
        <f>Grid!O58</f>
        <v/>
      </c>
      <c r="P63" s="193">
        <f>Grid!P58</f>
        <v/>
      </c>
      <c r="Q63" s="193">
        <f>Grid!Q58</f>
        <v/>
      </c>
      <c r="R63" s="193">
        <f>Grid!R58</f>
        <v/>
      </c>
      <c r="S63" s="193">
        <f>Grid!S58</f>
        <v/>
      </c>
      <c r="T63" s="193">
        <f>Grid!T58</f>
        <v/>
      </c>
      <c r="U63" s="193">
        <f>Grid!U58</f>
        <v/>
      </c>
      <c r="V63" s="193">
        <f>Grid!V58</f>
        <v/>
      </c>
      <c r="W63" s="193">
        <f>Grid!W58</f>
        <v/>
      </c>
      <c r="X63" s="193">
        <f>Grid!X58</f>
        <v/>
      </c>
      <c r="Y63" s="193">
        <f>Grid!Y58</f>
        <v/>
      </c>
      <c r="Z63" s="193">
        <f>Grid!Z58</f>
        <v/>
      </c>
      <c r="AA63" s="193">
        <f>Grid!AA58</f>
        <v/>
      </c>
      <c r="AB63" s="193">
        <f>Grid!AB58</f>
        <v/>
      </c>
      <c r="AC63" s="193">
        <f>Grid!AC58</f>
        <v/>
      </c>
      <c r="AD63" s="193">
        <f>Grid!AD58</f>
        <v/>
      </c>
      <c r="AE63" s="193">
        <f>Grid!AE58</f>
        <v/>
      </c>
      <c r="AF63" s="193">
        <f>Grid!AF58</f>
        <v/>
      </c>
      <c r="AG63" s="193">
        <f>Grid!AG58</f>
        <v/>
      </c>
    </row>
    <row r="64">
      <c r="B64" s="191">
        <f>'Roster Summary'!C87</f>
        <v/>
      </c>
      <c r="C64" s="192">
        <f>'Roster Summary'!E87</f>
        <v/>
      </c>
      <c r="D64" s="192">
        <f>'Roster Summary'!D87</f>
        <v/>
      </c>
      <c r="E64" s="192">
        <f>'Roster Summary'!F87</f>
        <v/>
      </c>
      <c r="F64" s="193">
        <f>Grid!F59</f>
        <v/>
      </c>
      <c r="G64" s="193">
        <f>Grid!G59</f>
        <v/>
      </c>
      <c r="H64" s="193">
        <f>Grid!H59</f>
        <v/>
      </c>
      <c r="I64" s="193">
        <f>Grid!I59</f>
        <v/>
      </c>
      <c r="J64" s="193">
        <f>Grid!J59</f>
        <v/>
      </c>
      <c r="K64" s="193">
        <f>Grid!K59</f>
        <v/>
      </c>
      <c r="L64" s="193">
        <f>Grid!L59</f>
        <v/>
      </c>
      <c r="M64" s="193">
        <f>Grid!M59</f>
        <v/>
      </c>
      <c r="N64" s="193">
        <f>Grid!N59</f>
        <v/>
      </c>
      <c r="O64" s="193">
        <f>Grid!O59</f>
        <v/>
      </c>
      <c r="P64" s="193">
        <f>Grid!P59</f>
        <v/>
      </c>
      <c r="Q64" s="193">
        <f>Grid!Q59</f>
        <v/>
      </c>
      <c r="R64" s="193">
        <f>Grid!R59</f>
        <v/>
      </c>
      <c r="S64" s="193">
        <f>Grid!S59</f>
        <v/>
      </c>
      <c r="T64" s="193">
        <f>Grid!T59</f>
        <v/>
      </c>
      <c r="U64" s="193">
        <f>Grid!U59</f>
        <v/>
      </c>
      <c r="V64" s="193">
        <f>Grid!V59</f>
        <v/>
      </c>
      <c r="W64" s="193">
        <f>Grid!W59</f>
        <v/>
      </c>
      <c r="X64" s="193">
        <f>Grid!X59</f>
        <v/>
      </c>
      <c r="Y64" s="193">
        <f>Grid!Y59</f>
        <v/>
      </c>
      <c r="Z64" s="193">
        <f>Grid!Z59</f>
        <v/>
      </c>
      <c r="AA64" s="193">
        <f>Grid!AA59</f>
        <v/>
      </c>
      <c r="AB64" s="193">
        <f>Grid!AB59</f>
        <v/>
      </c>
      <c r="AC64" s="193">
        <f>Grid!AC59</f>
        <v/>
      </c>
      <c r="AD64" s="193">
        <f>Grid!AD59</f>
        <v/>
      </c>
      <c r="AE64" s="193">
        <f>Grid!AE59</f>
        <v/>
      </c>
      <c r="AF64" s="193">
        <f>Grid!AF59</f>
        <v/>
      </c>
      <c r="AG64" s="193">
        <f>Grid!AG59</f>
        <v/>
      </c>
    </row>
    <row r="65">
      <c r="B65" s="191">
        <f>'Roster Summary'!C88</f>
        <v/>
      </c>
      <c r="C65" s="192">
        <f>'Roster Summary'!E88</f>
        <v/>
      </c>
      <c r="D65" s="192">
        <f>'Roster Summary'!D88</f>
        <v/>
      </c>
      <c r="E65" s="192">
        <f>'Roster Summary'!F88</f>
        <v/>
      </c>
      <c r="F65" s="193">
        <f>Grid!F60</f>
        <v/>
      </c>
      <c r="G65" s="193">
        <f>Grid!G60</f>
        <v/>
      </c>
      <c r="H65" s="193">
        <f>Grid!H60</f>
        <v/>
      </c>
      <c r="I65" s="193">
        <f>Grid!I60</f>
        <v/>
      </c>
      <c r="J65" s="193">
        <f>Grid!J60</f>
        <v/>
      </c>
      <c r="K65" s="193">
        <f>Grid!K60</f>
        <v/>
      </c>
      <c r="L65" s="193">
        <f>Grid!L60</f>
        <v/>
      </c>
      <c r="M65" s="193">
        <f>Grid!M60</f>
        <v/>
      </c>
      <c r="N65" s="193">
        <f>Grid!N60</f>
        <v/>
      </c>
      <c r="O65" s="193">
        <f>Grid!O60</f>
        <v/>
      </c>
      <c r="P65" s="193">
        <f>Grid!P60</f>
        <v/>
      </c>
      <c r="Q65" s="193">
        <f>Grid!Q60</f>
        <v/>
      </c>
      <c r="R65" s="193">
        <f>Grid!R60</f>
        <v/>
      </c>
      <c r="S65" s="193">
        <f>Grid!S60</f>
        <v/>
      </c>
      <c r="T65" s="193">
        <f>Grid!T60</f>
        <v/>
      </c>
      <c r="U65" s="193">
        <f>Grid!U60</f>
        <v/>
      </c>
      <c r="V65" s="193">
        <f>Grid!V60</f>
        <v/>
      </c>
      <c r="W65" s="193">
        <f>Grid!W60</f>
        <v/>
      </c>
      <c r="X65" s="193">
        <f>Grid!X60</f>
        <v/>
      </c>
      <c r="Y65" s="193">
        <f>Grid!Y60</f>
        <v/>
      </c>
      <c r="Z65" s="193">
        <f>Grid!Z60</f>
        <v/>
      </c>
      <c r="AA65" s="193">
        <f>Grid!AA60</f>
        <v/>
      </c>
      <c r="AB65" s="193">
        <f>Grid!AB60</f>
        <v/>
      </c>
      <c r="AC65" s="193">
        <f>Grid!AC60</f>
        <v/>
      </c>
      <c r="AD65" s="193">
        <f>Grid!AD60</f>
        <v/>
      </c>
      <c r="AE65" s="193">
        <f>Grid!AE60</f>
        <v/>
      </c>
      <c r="AF65" s="193">
        <f>Grid!AF60</f>
        <v/>
      </c>
      <c r="AG65" s="193">
        <f>Grid!AG60</f>
        <v/>
      </c>
    </row>
    <row r="66">
      <c r="B66" s="191">
        <f>'Roster Summary'!C89</f>
        <v/>
      </c>
      <c r="C66" s="192">
        <f>'Roster Summary'!E89</f>
        <v/>
      </c>
      <c r="D66" s="192">
        <f>'Roster Summary'!D89</f>
        <v/>
      </c>
      <c r="E66" s="192">
        <f>'Roster Summary'!F89</f>
        <v/>
      </c>
      <c r="F66" s="193">
        <f>Grid!F61</f>
        <v/>
      </c>
      <c r="G66" s="193">
        <f>Grid!G61</f>
        <v/>
      </c>
      <c r="H66" s="193">
        <f>Grid!H61</f>
        <v/>
      </c>
      <c r="I66" s="193">
        <f>Grid!I61</f>
        <v/>
      </c>
      <c r="J66" s="193">
        <f>Grid!J61</f>
        <v/>
      </c>
      <c r="K66" s="193">
        <f>Grid!K61</f>
        <v/>
      </c>
      <c r="L66" s="193">
        <f>Grid!L61</f>
        <v/>
      </c>
      <c r="M66" s="193">
        <f>Grid!M61</f>
        <v/>
      </c>
      <c r="N66" s="193">
        <f>Grid!N61</f>
        <v/>
      </c>
      <c r="O66" s="193">
        <f>Grid!O61</f>
        <v/>
      </c>
      <c r="P66" s="193">
        <f>Grid!P61</f>
        <v/>
      </c>
      <c r="Q66" s="193">
        <f>Grid!Q61</f>
        <v/>
      </c>
      <c r="R66" s="193">
        <f>Grid!R61</f>
        <v/>
      </c>
      <c r="S66" s="193">
        <f>Grid!S61</f>
        <v/>
      </c>
      <c r="T66" s="193">
        <f>Grid!T61</f>
        <v/>
      </c>
      <c r="U66" s="193">
        <f>Grid!U61</f>
        <v/>
      </c>
      <c r="V66" s="193">
        <f>Grid!V61</f>
        <v/>
      </c>
      <c r="W66" s="193">
        <f>Grid!W61</f>
        <v/>
      </c>
      <c r="X66" s="193">
        <f>Grid!X61</f>
        <v/>
      </c>
      <c r="Y66" s="193">
        <f>Grid!Y61</f>
        <v/>
      </c>
      <c r="Z66" s="193">
        <f>Grid!Z61</f>
        <v/>
      </c>
      <c r="AA66" s="193">
        <f>Grid!AA61</f>
        <v/>
      </c>
      <c r="AB66" s="193">
        <f>Grid!AB61</f>
        <v/>
      </c>
      <c r="AC66" s="193">
        <f>Grid!AC61</f>
        <v/>
      </c>
      <c r="AD66" s="193">
        <f>Grid!AD61</f>
        <v/>
      </c>
      <c r="AE66" s="193">
        <f>Grid!AE61</f>
        <v/>
      </c>
      <c r="AF66" s="193">
        <f>Grid!AF61</f>
        <v/>
      </c>
      <c r="AG66" s="193">
        <f>Grid!AG61</f>
        <v/>
      </c>
    </row>
    <row r="67">
      <c r="B67" s="191">
        <f>'Roster Summary'!C90</f>
        <v/>
      </c>
      <c r="C67" s="192">
        <f>'Roster Summary'!E90</f>
        <v/>
      </c>
      <c r="D67" s="192">
        <f>'Roster Summary'!D90</f>
        <v/>
      </c>
      <c r="E67" s="192">
        <f>'Roster Summary'!F90</f>
        <v/>
      </c>
      <c r="F67" s="193">
        <f>Grid!F62</f>
        <v/>
      </c>
      <c r="G67" s="193">
        <f>Grid!G62</f>
        <v/>
      </c>
      <c r="H67" s="193">
        <f>Grid!H62</f>
        <v/>
      </c>
      <c r="I67" s="193">
        <f>Grid!I62</f>
        <v/>
      </c>
      <c r="J67" s="193">
        <f>Grid!J62</f>
        <v/>
      </c>
      <c r="K67" s="193">
        <f>Grid!K62</f>
        <v/>
      </c>
      <c r="L67" s="193">
        <f>Grid!L62</f>
        <v/>
      </c>
      <c r="M67" s="193">
        <f>Grid!M62</f>
        <v/>
      </c>
      <c r="N67" s="193">
        <f>Grid!N62</f>
        <v/>
      </c>
      <c r="O67" s="193">
        <f>Grid!O62</f>
        <v/>
      </c>
      <c r="P67" s="193">
        <f>Grid!P62</f>
        <v/>
      </c>
      <c r="Q67" s="193">
        <f>Grid!Q62</f>
        <v/>
      </c>
      <c r="R67" s="193">
        <f>Grid!R62</f>
        <v/>
      </c>
      <c r="S67" s="193">
        <f>Grid!S62</f>
        <v/>
      </c>
      <c r="T67" s="193">
        <f>Grid!T62</f>
        <v/>
      </c>
      <c r="U67" s="193">
        <f>Grid!U62</f>
        <v/>
      </c>
      <c r="V67" s="193">
        <f>Grid!V62</f>
        <v/>
      </c>
      <c r="W67" s="193">
        <f>Grid!W62</f>
        <v/>
      </c>
      <c r="X67" s="193">
        <f>Grid!X62</f>
        <v/>
      </c>
      <c r="Y67" s="193">
        <f>Grid!Y62</f>
        <v/>
      </c>
      <c r="Z67" s="193">
        <f>Grid!Z62</f>
        <v/>
      </c>
      <c r="AA67" s="193">
        <f>Grid!AA62</f>
        <v/>
      </c>
      <c r="AB67" s="193">
        <f>Grid!AB62</f>
        <v/>
      </c>
      <c r="AC67" s="193">
        <f>Grid!AC62</f>
        <v/>
      </c>
      <c r="AD67" s="193">
        <f>Grid!AD62</f>
        <v/>
      </c>
      <c r="AE67" s="193">
        <f>Grid!AE62</f>
        <v/>
      </c>
      <c r="AF67" s="193">
        <f>Grid!AF62</f>
        <v/>
      </c>
      <c r="AG67" s="193">
        <f>Grid!AG62</f>
        <v/>
      </c>
    </row>
    <row r="68">
      <c r="B68" s="191">
        <f>'Roster Summary'!C91</f>
        <v/>
      </c>
      <c r="C68" s="192">
        <f>'Roster Summary'!E91</f>
        <v/>
      </c>
      <c r="D68" s="192">
        <f>'Roster Summary'!D91</f>
        <v/>
      </c>
      <c r="E68" s="192">
        <f>'Roster Summary'!F91</f>
        <v/>
      </c>
      <c r="F68" s="193">
        <f>Grid!F63</f>
        <v/>
      </c>
      <c r="G68" s="193">
        <f>Grid!G63</f>
        <v/>
      </c>
      <c r="H68" s="193">
        <f>Grid!H63</f>
        <v/>
      </c>
      <c r="I68" s="193">
        <f>Grid!I63</f>
        <v/>
      </c>
      <c r="J68" s="193">
        <f>Grid!J63</f>
        <v/>
      </c>
      <c r="K68" s="193">
        <f>Grid!K63</f>
        <v/>
      </c>
      <c r="L68" s="193">
        <f>Grid!L63</f>
        <v/>
      </c>
      <c r="M68" s="193">
        <f>Grid!M63</f>
        <v/>
      </c>
      <c r="N68" s="193">
        <f>Grid!N63</f>
        <v/>
      </c>
      <c r="O68" s="193">
        <f>Grid!O63</f>
        <v/>
      </c>
      <c r="P68" s="193">
        <f>Grid!P63</f>
        <v/>
      </c>
      <c r="Q68" s="193">
        <f>Grid!Q63</f>
        <v/>
      </c>
      <c r="R68" s="193">
        <f>Grid!R63</f>
        <v/>
      </c>
      <c r="S68" s="193">
        <f>Grid!S63</f>
        <v/>
      </c>
      <c r="T68" s="193">
        <f>Grid!T63</f>
        <v/>
      </c>
      <c r="U68" s="193">
        <f>Grid!U63</f>
        <v/>
      </c>
      <c r="V68" s="193">
        <f>Grid!V63</f>
        <v/>
      </c>
      <c r="W68" s="193">
        <f>Grid!W63</f>
        <v/>
      </c>
      <c r="X68" s="193">
        <f>Grid!X63</f>
        <v/>
      </c>
      <c r="Y68" s="193">
        <f>Grid!Y63</f>
        <v/>
      </c>
      <c r="Z68" s="193">
        <f>Grid!Z63</f>
        <v/>
      </c>
      <c r="AA68" s="193">
        <f>Grid!AA63</f>
        <v/>
      </c>
      <c r="AB68" s="193">
        <f>Grid!AB63</f>
        <v/>
      </c>
      <c r="AC68" s="193">
        <f>Grid!AC63</f>
        <v/>
      </c>
      <c r="AD68" s="193">
        <f>Grid!AD63</f>
        <v/>
      </c>
      <c r="AE68" s="193">
        <f>Grid!AE63</f>
        <v/>
      </c>
      <c r="AF68" s="193">
        <f>Grid!AF63</f>
        <v/>
      </c>
      <c r="AG68" s="193">
        <f>Grid!AG63</f>
        <v/>
      </c>
    </row>
    <row r="69">
      <c r="B69" s="191">
        <f>'Roster Summary'!C92</f>
        <v/>
      </c>
      <c r="C69" s="192">
        <f>'Roster Summary'!E92</f>
        <v/>
      </c>
      <c r="D69" s="192">
        <f>'Roster Summary'!D92</f>
        <v/>
      </c>
      <c r="E69" s="192">
        <f>'Roster Summary'!F92</f>
        <v/>
      </c>
      <c r="F69" s="193">
        <f>Grid!F64</f>
        <v/>
      </c>
      <c r="G69" s="193">
        <f>Grid!G64</f>
        <v/>
      </c>
      <c r="H69" s="193">
        <f>Grid!H64</f>
        <v/>
      </c>
      <c r="I69" s="193">
        <f>Grid!I64</f>
        <v/>
      </c>
      <c r="J69" s="193">
        <f>Grid!J64</f>
        <v/>
      </c>
      <c r="K69" s="193">
        <f>Grid!K64</f>
        <v/>
      </c>
      <c r="L69" s="193">
        <f>Grid!L64</f>
        <v/>
      </c>
      <c r="M69" s="193">
        <f>Grid!M64</f>
        <v/>
      </c>
      <c r="N69" s="193">
        <f>Grid!N64</f>
        <v/>
      </c>
      <c r="O69" s="193">
        <f>Grid!O64</f>
        <v/>
      </c>
      <c r="P69" s="193">
        <f>Grid!P64</f>
        <v/>
      </c>
      <c r="Q69" s="193">
        <f>Grid!Q64</f>
        <v/>
      </c>
      <c r="R69" s="193">
        <f>Grid!R64</f>
        <v/>
      </c>
      <c r="S69" s="193">
        <f>Grid!S64</f>
        <v/>
      </c>
      <c r="T69" s="193">
        <f>Grid!T64</f>
        <v/>
      </c>
      <c r="U69" s="193">
        <f>Grid!U64</f>
        <v/>
      </c>
      <c r="V69" s="193">
        <f>Grid!V64</f>
        <v/>
      </c>
      <c r="W69" s="193">
        <f>Grid!W64</f>
        <v/>
      </c>
      <c r="X69" s="193">
        <f>Grid!X64</f>
        <v/>
      </c>
      <c r="Y69" s="193">
        <f>Grid!Y64</f>
        <v/>
      </c>
      <c r="Z69" s="193">
        <f>Grid!Z64</f>
        <v/>
      </c>
      <c r="AA69" s="193">
        <f>Grid!AA64</f>
        <v/>
      </c>
      <c r="AB69" s="193">
        <f>Grid!AB64</f>
        <v/>
      </c>
      <c r="AC69" s="193">
        <f>Grid!AC64</f>
        <v/>
      </c>
      <c r="AD69" s="193">
        <f>Grid!AD64</f>
        <v/>
      </c>
      <c r="AE69" s="193">
        <f>Grid!AE64</f>
        <v/>
      </c>
      <c r="AF69" s="193">
        <f>Grid!AF64</f>
        <v/>
      </c>
      <c r="AG69" s="193">
        <f>Grid!AG64</f>
        <v/>
      </c>
    </row>
    <row r="70">
      <c r="B70" s="191">
        <f>'Roster Summary'!C93</f>
        <v/>
      </c>
      <c r="C70" s="192">
        <f>'Roster Summary'!E93</f>
        <v/>
      </c>
      <c r="D70" s="192">
        <f>'Roster Summary'!D93</f>
        <v/>
      </c>
      <c r="E70" s="192">
        <f>'Roster Summary'!F93</f>
        <v/>
      </c>
      <c r="F70" s="193">
        <f>Grid!F65</f>
        <v/>
      </c>
      <c r="G70" s="193">
        <f>Grid!G65</f>
        <v/>
      </c>
      <c r="H70" s="193">
        <f>Grid!H65</f>
        <v/>
      </c>
      <c r="I70" s="193">
        <f>Grid!I65</f>
        <v/>
      </c>
      <c r="J70" s="193">
        <f>Grid!J65</f>
        <v/>
      </c>
      <c r="K70" s="193">
        <f>Grid!K65</f>
        <v/>
      </c>
      <c r="L70" s="193">
        <f>Grid!L65</f>
        <v/>
      </c>
      <c r="M70" s="193">
        <f>Grid!M65</f>
        <v/>
      </c>
      <c r="N70" s="193">
        <f>Grid!N65</f>
        <v/>
      </c>
      <c r="O70" s="193">
        <f>Grid!O65</f>
        <v/>
      </c>
      <c r="P70" s="193">
        <f>Grid!P65</f>
        <v/>
      </c>
      <c r="Q70" s="193">
        <f>Grid!Q65</f>
        <v/>
      </c>
      <c r="R70" s="193">
        <f>Grid!R65</f>
        <v/>
      </c>
      <c r="S70" s="193">
        <f>Grid!S65</f>
        <v/>
      </c>
      <c r="T70" s="193">
        <f>Grid!T65</f>
        <v/>
      </c>
      <c r="U70" s="193">
        <f>Grid!U65</f>
        <v/>
      </c>
      <c r="V70" s="193">
        <f>Grid!V65</f>
        <v/>
      </c>
      <c r="W70" s="193">
        <f>Grid!W65</f>
        <v/>
      </c>
      <c r="X70" s="193">
        <f>Grid!X65</f>
        <v/>
      </c>
      <c r="Y70" s="193">
        <f>Grid!Y65</f>
        <v/>
      </c>
      <c r="Z70" s="193">
        <f>Grid!Z65</f>
        <v/>
      </c>
      <c r="AA70" s="193">
        <f>Grid!AA65</f>
        <v/>
      </c>
      <c r="AB70" s="193">
        <f>Grid!AB65</f>
        <v/>
      </c>
      <c r="AC70" s="193">
        <f>Grid!AC65</f>
        <v/>
      </c>
      <c r="AD70" s="193">
        <f>Grid!AD65</f>
        <v/>
      </c>
      <c r="AE70" s="193">
        <f>Grid!AE65</f>
        <v/>
      </c>
      <c r="AF70" s="193">
        <f>Grid!AF65</f>
        <v/>
      </c>
      <c r="AG70" s="193">
        <f>Grid!AG65</f>
        <v/>
      </c>
    </row>
    <row r="71">
      <c r="B71" s="191">
        <f>'Roster Summary'!C94</f>
        <v/>
      </c>
      <c r="C71" s="192">
        <f>'Roster Summary'!E94</f>
        <v/>
      </c>
      <c r="D71" s="192">
        <f>'Roster Summary'!D94</f>
        <v/>
      </c>
      <c r="E71" s="192">
        <f>'Roster Summary'!F94</f>
        <v/>
      </c>
      <c r="F71" s="193">
        <f>Grid!F66</f>
        <v/>
      </c>
      <c r="G71" s="193">
        <f>Grid!G66</f>
        <v/>
      </c>
      <c r="H71" s="193">
        <f>Grid!H66</f>
        <v/>
      </c>
      <c r="I71" s="193">
        <f>Grid!I66</f>
        <v/>
      </c>
      <c r="J71" s="193">
        <f>Grid!J66</f>
        <v/>
      </c>
      <c r="K71" s="193">
        <f>Grid!K66</f>
        <v/>
      </c>
      <c r="L71" s="193">
        <f>Grid!L66</f>
        <v/>
      </c>
      <c r="M71" s="193">
        <f>Grid!M66</f>
        <v/>
      </c>
      <c r="N71" s="193">
        <f>Grid!N66</f>
        <v/>
      </c>
      <c r="O71" s="193">
        <f>Grid!O66</f>
        <v/>
      </c>
      <c r="P71" s="193">
        <f>Grid!P66</f>
        <v/>
      </c>
      <c r="Q71" s="193">
        <f>Grid!Q66</f>
        <v/>
      </c>
      <c r="R71" s="193">
        <f>Grid!R66</f>
        <v/>
      </c>
      <c r="S71" s="193">
        <f>Grid!S66</f>
        <v/>
      </c>
      <c r="T71" s="193">
        <f>Grid!T66</f>
        <v/>
      </c>
      <c r="U71" s="193">
        <f>Grid!U66</f>
        <v/>
      </c>
      <c r="V71" s="193">
        <f>Grid!V66</f>
        <v/>
      </c>
      <c r="W71" s="193">
        <f>Grid!W66</f>
        <v/>
      </c>
      <c r="X71" s="193">
        <f>Grid!X66</f>
        <v/>
      </c>
      <c r="Y71" s="193">
        <f>Grid!Y66</f>
        <v/>
      </c>
      <c r="Z71" s="193">
        <f>Grid!Z66</f>
        <v/>
      </c>
      <c r="AA71" s="193">
        <f>Grid!AA66</f>
        <v/>
      </c>
      <c r="AB71" s="193">
        <f>Grid!AB66</f>
        <v/>
      </c>
      <c r="AC71" s="193">
        <f>Grid!AC66</f>
        <v/>
      </c>
      <c r="AD71" s="193">
        <f>Grid!AD66</f>
        <v/>
      </c>
      <c r="AE71" s="193">
        <f>Grid!AE66</f>
        <v/>
      </c>
      <c r="AF71" s="193">
        <f>Grid!AF66</f>
        <v/>
      </c>
      <c r="AG71" s="193">
        <f>Grid!AG66</f>
        <v/>
      </c>
    </row>
    <row r="72">
      <c r="B72" s="191">
        <f>'Roster Summary'!C95</f>
        <v/>
      </c>
      <c r="C72" s="192">
        <f>'Roster Summary'!E95</f>
        <v/>
      </c>
      <c r="D72" s="192">
        <f>'Roster Summary'!D95</f>
        <v/>
      </c>
      <c r="E72" s="192">
        <f>'Roster Summary'!F95</f>
        <v/>
      </c>
      <c r="F72" s="193">
        <f>Grid!F67</f>
        <v/>
      </c>
      <c r="G72" s="193">
        <f>Grid!G67</f>
        <v/>
      </c>
      <c r="H72" s="193">
        <f>Grid!H67</f>
        <v/>
      </c>
      <c r="I72" s="193">
        <f>Grid!I67</f>
        <v/>
      </c>
      <c r="J72" s="193">
        <f>Grid!J67</f>
        <v/>
      </c>
      <c r="K72" s="193">
        <f>Grid!K67</f>
        <v/>
      </c>
      <c r="L72" s="193">
        <f>Grid!L67</f>
        <v/>
      </c>
      <c r="M72" s="193">
        <f>Grid!M67</f>
        <v/>
      </c>
      <c r="N72" s="193">
        <f>Grid!N67</f>
        <v/>
      </c>
      <c r="O72" s="193">
        <f>Grid!O67</f>
        <v/>
      </c>
      <c r="P72" s="193">
        <f>Grid!P67</f>
        <v/>
      </c>
      <c r="Q72" s="193">
        <f>Grid!Q67</f>
        <v/>
      </c>
      <c r="R72" s="193">
        <f>Grid!R67</f>
        <v/>
      </c>
      <c r="S72" s="193">
        <f>Grid!S67</f>
        <v/>
      </c>
      <c r="T72" s="193">
        <f>Grid!T67</f>
        <v/>
      </c>
      <c r="U72" s="193">
        <f>Grid!U67</f>
        <v/>
      </c>
      <c r="V72" s="193">
        <f>Grid!V67</f>
        <v/>
      </c>
      <c r="W72" s="193">
        <f>Grid!W67</f>
        <v/>
      </c>
      <c r="X72" s="193">
        <f>Grid!X67</f>
        <v/>
      </c>
      <c r="Y72" s="193">
        <f>Grid!Y67</f>
        <v/>
      </c>
      <c r="Z72" s="193">
        <f>Grid!Z67</f>
        <v/>
      </c>
      <c r="AA72" s="193">
        <f>Grid!AA67</f>
        <v/>
      </c>
      <c r="AB72" s="193">
        <f>Grid!AB67</f>
        <v/>
      </c>
      <c r="AC72" s="193">
        <f>Grid!AC67</f>
        <v/>
      </c>
      <c r="AD72" s="193">
        <f>Grid!AD67</f>
        <v/>
      </c>
      <c r="AE72" s="193">
        <f>Grid!AE67</f>
        <v/>
      </c>
      <c r="AF72" s="193">
        <f>Grid!AF67</f>
        <v/>
      </c>
      <c r="AG72" s="193">
        <f>Grid!AG67</f>
        <v/>
      </c>
    </row>
    <row r="73">
      <c r="B73" s="191">
        <f>'Roster Summary'!C96</f>
        <v/>
      </c>
      <c r="C73" s="192">
        <f>'Roster Summary'!E96</f>
        <v/>
      </c>
      <c r="D73" s="192">
        <f>'Roster Summary'!D96</f>
        <v/>
      </c>
      <c r="E73" s="192">
        <f>'Roster Summary'!F96</f>
        <v/>
      </c>
      <c r="F73" s="193">
        <f>Grid!F68</f>
        <v/>
      </c>
      <c r="G73" s="193">
        <f>Grid!G68</f>
        <v/>
      </c>
      <c r="H73" s="193">
        <f>Grid!H68</f>
        <v/>
      </c>
      <c r="I73" s="193">
        <f>Grid!I68</f>
        <v/>
      </c>
      <c r="J73" s="193">
        <f>Grid!J68</f>
        <v/>
      </c>
      <c r="K73" s="193">
        <f>Grid!K68</f>
        <v/>
      </c>
      <c r="L73" s="193">
        <f>Grid!L68</f>
        <v/>
      </c>
      <c r="M73" s="193">
        <f>Grid!M68</f>
        <v/>
      </c>
      <c r="N73" s="193">
        <f>Grid!N68</f>
        <v/>
      </c>
      <c r="O73" s="193">
        <f>Grid!O68</f>
        <v/>
      </c>
      <c r="P73" s="193">
        <f>Grid!P68</f>
        <v/>
      </c>
      <c r="Q73" s="193">
        <f>Grid!Q68</f>
        <v/>
      </c>
      <c r="R73" s="193">
        <f>Grid!R68</f>
        <v/>
      </c>
      <c r="S73" s="193">
        <f>Grid!S68</f>
        <v/>
      </c>
      <c r="T73" s="193">
        <f>Grid!T68</f>
        <v/>
      </c>
      <c r="U73" s="193">
        <f>Grid!U68</f>
        <v/>
      </c>
      <c r="V73" s="193">
        <f>Grid!V68</f>
        <v/>
      </c>
      <c r="W73" s="193">
        <f>Grid!W68</f>
        <v/>
      </c>
      <c r="X73" s="193">
        <f>Grid!X68</f>
        <v/>
      </c>
      <c r="Y73" s="193">
        <f>Grid!Y68</f>
        <v/>
      </c>
      <c r="Z73" s="193">
        <f>Grid!Z68</f>
        <v/>
      </c>
      <c r="AA73" s="193">
        <f>Grid!AA68</f>
        <v/>
      </c>
      <c r="AB73" s="193">
        <f>Grid!AB68</f>
        <v/>
      </c>
      <c r="AC73" s="193">
        <f>Grid!AC68</f>
        <v/>
      </c>
      <c r="AD73" s="193">
        <f>Grid!AD68</f>
        <v/>
      </c>
      <c r="AE73" s="193">
        <f>Grid!AE68</f>
        <v/>
      </c>
      <c r="AF73" s="193">
        <f>Grid!AF68</f>
        <v/>
      </c>
      <c r="AG73" s="193">
        <f>Grid!AG68</f>
        <v/>
      </c>
    </row>
    <row r="74">
      <c r="B74" s="191">
        <f>'Roster Summary'!C97</f>
        <v/>
      </c>
      <c r="C74" s="192">
        <f>'Roster Summary'!E97</f>
        <v/>
      </c>
      <c r="D74" s="192">
        <f>'Roster Summary'!D97</f>
        <v/>
      </c>
      <c r="E74" s="192">
        <f>'Roster Summary'!F97</f>
        <v/>
      </c>
      <c r="F74" s="193">
        <f>Grid!F69</f>
        <v/>
      </c>
      <c r="G74" s="193">
        <f>Grid!G69</f>
        <v/>
      </c>
      <c r="H74" s="193">
        <f>Grid!H69</f>
        <v/>
      </c>
      <c r="I74" s="193">
        <f>Grid!I69</f>
        <v/>
      </c>
      <c r="J74" s="193">
        <f>Grid!J69</f>
        <v/>
      </c>
      <c r="K74" s="193">
        <f>Grid!K69</f>
        <v/>
      </c>
      <c r="L74" s="193">
        <f>Grid!L69</f>
        <v/>
      </c>
      <c r="M74" s="193">
        <f>Grid!M69</f>
        <v/>
      </c>
      <c r="N74" s="193">
        <f>Grid!N69</f>
        <v/>
      </c>
      <c r="O74" s="193">
        <f>Grid!O69</f>
        <v/>
      </c>
      <c r="P74" s="193">
        <f>Grid!P69</f>
        <v/>
      </c>
      <c r="Q74" s="193">
        <f>Grid!Q69</f>
        <v/>
      </c>
      <c r="R74" s="193">
        <f>Grid!R69</f>
        <v/>
      </c>
      <c r="S74" s="193">
        <f>Grid!S69</f>
        <v/>
      </c>
      <c r="T74" s="193">
        <f>Grid!T69</f>
        <v/>
      </c>
      <c r="U74" s="193">
        <f>Grid!U69</f>
        <v/>
      </c>
      <c r="V74" s="193">
        <f>Grid!V69</f>
        <v/>
      </c>
      <c r="W74" s="193">
        <f>Grid!W69</f>
        <v/>
      </c>
      <c r="X74" s="193">
        <f>Grid!X69</f>
        <v/>
      </c>
      <c r="Y74" s="193">
        <f>Grid!Y69</f>
        <v/>
      </c>
      <c r="Z74" s="193">
        <f>Grid!Z69</f>
        <v/>
      </c>
      <c r="AA74" s="193">
        <f>Grid!AA69</f>
        <v/>
      </c>
      <c r="AB74" s="193">
        <f>Grid!AB69</f>
        <v/>
      </c>
      <c r="AC74" s="193">
        <f>Grid!AC69</f>
        <v/>
      </c>
      <c r="AD74" s="193">
        <f>Grid!AD69</f>
        <v/>
      </c>
      <c r="AE74" s="193">
        <f>Grid!AE69</f>
        <v/>
      </c>
      <c r="AF74" s="193">
        <f>Grid!AF69</f>
        <v/>
      </c>
      <c r="AG74" s="193">
        <f>Grid!AG69</f>
        <v/>
      </c>
    </row>
    <row r="75">
      <c r="B75" s="191">
        <f>'Roster Summary'!C98</f>
        <v/>
      </c>
      <c r="C75" s="192">
        <f>'Roster Summary'!E98</f>
        <v/>
      </c>
      <c r="D75" s="192">
        <f>'Roster Summary'!D98</f>
        <v/>
      </c>
      <c r="E75" s="192">
        <f>'Roster Summary'!F98</f>
        <v/>
      </c>
      <c r="F75" s="193">
        <f>Grid!F70</f>
        <v/>
      </c>
      <c r="G75" s="193">
        <f>Grid!G70</f>
        <v/>
      </c>
      <c r="H75" s="193">
        <f>Grid!H70</f>
        <v/>
      </c>
      <c r="I75" s="193">
        <f>Grid!I70</f>
        <v/>
      </c>
      <c r="J75" s="193">
        <f>Grid!J70</f>
        <v/>
      </c>
      <c r="K75" s="193">
        <f>Grid!K70</f>
        <v/>
      </c>
      <c r="L75" s="193">
        <f>Grid!L70</f>
        <v/>
      </c>
      <c r="M75" s="193">
        <f>Grid!M70</f>
        <v/>
      </c>
      <c r="N75" s="193">
        <f>Grid!N70</f>
        <v/>
      </c>
      <c r="O75" s="193">
        <f>Grid!O70</f>
        <v/>
      </c>
      <c r="P75" s="193">
        <f>Grid!P70</f>
        <v/>
      </c>
      <c r="Q75" s="193">
        <f>Grid!Q70</f>
        <v/>
      </c>
      <c r="R75" s="193">
        <f>Grid!R70</f>
        <v/>
      </c>
      <c r="S75" s="193">
        <f>Grid!S70</f>
        <v/>
      </c>
      <c r="T75" s="193">
        <f>Grid!T70</f>
        <v/>
      </c>
      <c r="U75" s="193">
        <f>Grid!U70</f>
        <v/>
      </c>
      <c r="V75" s="193">
        <f>Grid!V70</f>
        <v/>
      </c>
      <c r="W75" s="193">
        <f>Grid!W70</f>
        <v/>
      </c>
      <c r="X75" s="193">
        <f>Grid!X70</f>
        <v/>
      </c>
      <c r="Y75" s="193">
        <f>Grid!Y70</f>
        <v/>
      </c>
      <c r="Z75" s="193">
        <f>Grid!Z70</f>
        <v/>
      </c>
      <c r="AA75" s="193">
        <f>Grid!AA70</f>
        <v/>
      </c>
      <c r="AB75" s="193">
        <f>Grid!AB70</f>
        <v/>
      </c>
      <c r="AC75" s="193">
        <f>Grid!AC70</f>
        <v/>
      </c>
      <c r="AD75" s="193">
        <f>Grid!AD70</f>
        <v/>
      </c>
      <c r="AE75" s="193">
        <f>Grid!AE70</f>
        <v/>
      </c>
      <c r="AF75" s="193">
        <f>Grid!AF70</f>
        <v/>
      </c>
      <c r="AG75" s="193">
        <f>Grid!AG70</f>
        <v/>
      </c>
    </row>
    <row r="76">
      <c r="B76" s="191">
        <f>'Roster Summary'!C99</f>
        <v/>
      </c>
      <c r="C76" s="192">
        <f>'Roster Summary'!E99</f>
        <v/>
      </c>
      <c r="D76" s="192">
        <f>'Roster Summary'!D99</f>
        <v/>
      </c>
      <c r="E76" s="192">
        <f>'Roster Summary'!F99</f>
        <v/>
      </c>
      <c r="F76" s="193">
        <f>Grid!F71</f>
        <v/>
      </c>
      <c r="G76" s="193">
        <f>Grid!G71</f>
        <v/>
      </c>
      <c r="H76" s="193">
        <f>Grid!H71</f>
        <v/>
      </c>
      <c r="I76" s="193">
        <f>Grid!I71</f>
        <v/>
      </c>
      <c r="J76" s="193">
        <f>Grid!J71</f>
        <v/>
      </c>
      <c r="K76" s="193">
        <f>Grid!K71</f>
        <v/>
      </c>
      <c r="L76" s="193">
        <f>Grid!L71</f>
        <v/>
      </c>
      <c r="M76" s="193">
        <f>Grid!M71</f>
        <v/>
      </c>
      <c r="N76" s="193">
        <f>Grid!N71</f>
        <v/>
      </c>
      <c r="O76" s="193">
        <f>Grid!O71</f>
        <v/>
      </c>
      <c r="P76" s="193">
        <f>Grid!P71</f>
        <v/>
      </c>
      <c r="Q76" s="193">
        <f>Grid!Q71</f>
        <v/>
      </c>
      <c r="R76" s="193">
        <f>Grid!R71</f>
        <v/>
      </c>
      <c r="S76" s="193">
        <f>Grid!S71</f>
        <v/>
      </c>
      <c r="T76" s="193">
        <f>Grid!T71</f>
        <v/>
      </c>
      <c r="U76" s="193">
        <f>Grid!U71</f>
        <v/>
      </c>
      <c r="V76" s="193">
        <f>Grid!V71</f>
        <v/>
      </c>
      <c r="W76" s="193">
        <f>Grid!W71</f>
        <v/>
      </c>
      <c r="X76" s="193">
        <f>Grid!X71</f>
        <v/>
      </c>
      <c r="Y76" s="193">
        <f>Grid!Y71</f>
        <v/>
      </c>
      <c r="Z76" s="193">
        <f>Grid!Z71</f>
        <v/>
      </c>
      <c r="AA76" s="193">
        <f>Grid!AA71</f>
        <v/>
      </c>
      <c r="AB76" s="193">
        <f>Grid!AB71</f>
        <v/>
      </c>
      <c r="AC76" s="193">
        <f>Grid!AC71</f>
        <v/>
      </c>
      <c r="AD76" s="193">
        <f>Grid!AD71</f>
        <v/>
      </c>
      <c r="AE76" s="193">
        <f>Grid!AE71</f>
        <v/>
      </c>
      <c r="AF76" s="193">
        <f>Grid!AF71</f>
        <v/>
      </c>
      <c r="AG76" s="193">
        <f>Grid!AG71</f>
        <v/>
      </c>
    </row>
    <row r="77">
      <c r="B77" s="191">
        <f>'Roster Summary'!C100</f>
        <v/>
      </c>
      <c r="C77" s="192">
        <f>'Roster Summary'!E100</f>
        <v/>
      </c>
      <c r="D77" s="192">
        <f>'Roster Summary'!D100</f>
        <v/>
      </c>
      <c r="E77" s="192">
        <f>'Roster Summary'!F100</f>
        <v/>
      </c>
      <c r="F77" s="193">
        <f>Grid!F72</f>
        <v/>
      </c>
      <c r="G77" s="193">
        <f>Grid!G72</f>
        <v/>
      </c>
      <c r="H77" s="193">
        <f>Grid!H72</f>
        <v/>
      </c>
      <c r="I77" s="193">
        <f>Grid!I72</f>
        <v/>
      </c>
      <c r="J77" s="193">
        <f>Grid!J72</f>
        <v/>
      </c>
      <c r="K77" s="193">
        <f>Grid!K72</f>
        <v/>
      </c>
      <c r="L77" s="193">
        <f>Grid!L72</f>
        <v/>
      </c>
      <c r="M77" s="193">
        <f>Grid!M72</f>
        <v/>
      </c>
      <c r="N77" s="193">
        <f>Grid!N72</f>
        <v/>
      </c>
      <c r="O77" s="193">
        <f>Grid!O72</f>
        <v/>
      </c>
      <c r="P77" s="193">
        <f>Grid!P72</f>
        <v/>
      </c>
      <c r="Q77" s="193">
        <f>Grid!Q72</f>
        <v/>
      </c>
      <c r="R77" s="193">
        <f>Grid!R72</f>
        <v/>
      </c>
      <c r="S77" s="193">
        <f>Grid!S72</f>
        <v/>
      </c>
      <c r="T77" s="193">
        <f>Grid!T72</f>
        <v/>
      </c>
      <c r="U77" s="193">
        <f>Grid!U72</f>
        <v/>
      </c>
      <c r="V77" s="193">
        <f>Grid!V72</f>
        <v/>
      </c>
      <c r="W77" s="193">
        <f>Grid!W72</f>
        <v/>
      </c>
      <c r="X77" s="193">
        <f>Grid!X72</f>
        <v/>
      </c>
      <c r="Y77" s="193">
        <f>Grid!Y72</f>
        <v/>
      </c>
      <c r="Z77" s="193">
        <f>Grid!Z72</f>
        <v/>
      </c>
      <c r="AA77" s="193">
        <f>Grid!AA72</f>
        <v/>
      </c>
      <c r="AB77" s="193">
        <f>Grid!AB72</f>
        <v/>
      </c>
      <c r="AC77" s="193">
        <f>Grid!AC72</f>
        <v/>
      </c>
      <c r="AD77" s="193">
        <f>Grid!AD72</f>
        <v/>
      </c>
      <c r="AE77" s="193">
        <f>Grid!AE72</f>
        <v/>
      </c>
      <c r="AF77" s="193">
        <f>Grid!AF72</f>
        <v/>
      </c>
      <c r="AG77" s="193">
        <f>Grid!AG72</f>
        <v/>
      </c>
    </row>
    <row r="78">
      <c r="B78" s="191">
        <f>'Roster Summary'!C101</f>
        <v/>
      </c>
      <c r="C78" s="192">
        <f>'Roster Summary'!E101</f>
        <v/>
      </c>
      <c r="D78" s="192">
        <f>'Roster Summary'!D101</f>
        <v/>
      </c>
      <c r="E78" s="192">
        <f>'Roster Summary'!F101</f>
        <v/>
      </c>
      <c r="F78" s="193">
        <f>Grid!F73</f>
        <v/>
      </c>
      <c r="G78" s="193">
        <f>Grid!G73</f>
        <v/>
      </c>
      <c r="H78" s="193">
        <f>Grid!H73</f>
        <v/>
      </c>
      <c r="I78" s="193">
        <f>Grid!I73</f>
        <v/>
      </c>
      <c r="J78" s="193">
        <f>Grid!J73</f>
        <v/>
      </c>
      <c r="K78" s="193">
        <f>Grid!K73</f>
        <v/>
      </c>
      <c r="L78" s="193">
        <f>Grid!L73</f>
        <v/>
      </c>
      <c r="M78" s="193">
        <f>Grid!M73</f>
        <v/>
      </c>
      <c r="N78" s="193">
        <f>Grid!N73</f>
        <v/>
      </c>
      <c r="O78" s="193">
        <f>Grid!O73</f>
        <v/>
      </c>
      <c r="P78" s="193">
        <f>Grid!P73</f>
        <v/>
      </c>
      <c r="Q78" s="193">
        <f>Grid!Q73</f>
        <v/>
      </c>
      <c r="R78" s="193">
        <f>Grid!R73</f>
        <v/>
      </c>
      <c r="S78" s="193">
        <f>Grid!S73</f>
        <v/>
      </c>
      <c r="T78" s="193">
        <f>Grid!T73</f>
        <v/>
      </c>
      <c r="U78" s="193">
        <f>Grid!U73</f>
        <v/>
      </c>
      <c r="V78" s="193">
        <f>Grid!V73</f>
        <v/>
      </c>
      <c r="W78" s="193">
        <f>Grid!W73</f>
        <v/>
      </c>
      <c r="X78" s="193">
        <f>Grid!X73</f>
        <v/>
      </c>
      <c r="Y78" s="193">
        <f>Grid!Y73</f>
        <v/>
      </c>
      <c r="Z78" s="193">
        <f>Grid!Z73</f>
        <v/>
      </c>
      <c r="AA78" s="193">
        <f>Grid!AA73</f>
        <v/>
      </c>
      <c r="AB78" s="193">
        <f>Grid!AB73</f>
        <v/>
      </c>
      <c r="AC78" s="193">
        <f>Grid!AC73</f>
        <v/>
      </c>
      <c r="AD78" s="193">
        <f>Grid!AD73</f>
        <v/>
      </c>
      <c r="AE78" s="193">
        <f>Grid!AE73</f>
        <v/>
      </c>
      <c r="AF78" s="193">
        <f>Grid!AF73</f>
        <v/>
      </c>
      <c r="AG78" s="193">
        <f>Grid!AG73</f>
        <v/>
      </c>
    </row>
    <row r="79">
      <c r="B79" s="191">
        <f>'Roster Summary'!C102</f>
        <v/>
      </c>
      <c r="C79" s="192">
        <f>'Roster Summary'!E102</f>
        <v/>
      </c>
      <c r="D79" s="192">
        <f>'Roster Summary'!D102</f>
        <v/>
      </c>
      <c r="E79" s="192">
        <f>'Roster Summary'!F102</f>
        <v/>
      </c>
      <c r="F79" s="193">
        <f>Grid!F74</f>
        <v/>
      </c>
      <c r="G79" s="193">
        <f>Grid!G74</f>
        <v/>
      </c>
      <c r="H79" s="193">
        <f>Grid!H74</f>
        <v/>
      </c>
      <c r="I79" s="193">
        <f>Grid!I74</f>
        <v/>
      </c>
      <c r="J79" s="193">
        <f>Grid!J74</f>
        <v/>
      </c>
      <c r="K79" s="193">
        <f>Grid!K74</f>
        <v/>
      </c>
      <c r="L79" s="193">
        <f>Grid!L74</f>
        <v/>
      </c>
      <c r="M79" s="193">
        <f>Grid!M74</f>
        <v/>
      </c>
      <c r="N79" s="193">
        <f>Grid!N74</f>
        <v/>
      </c>
      <c r="O79" s="193">
        <f>Grid!O74</f>
        <v/>
      </c>
      <c r="P79" s="193">
        <f>Grid!P74</f>
        <v/>
      </c>
      <c r="Q79" s="193">
        <f>Grid!Q74</f>
        <v/>
      </c>
      <c r="R79" s="193">
        <f>Grid!R74</f>
        <v/>
      </c>
      <c r="S79" s="193">
        <f>Grid!S74</f>
        <v/>
      </c>
      <c r="T79" s="193">
        <f>Grid!T74</f>
        <v/>
      </c>
      <c r="U79" s="193">
        <f>Grid!U74</f>
        <v/>
      </c>
      <c r="V79" s="193">
        <f>Grid!V74</f>
        <v/>
      </c>
      <c r="W79" s="193">
        <f>Grid!W74</f>
        <v/>
      </c>
      <c r="X79" s="193">
        <f>Grid!X74</f>
        <v/>
      </c>
      <c r="Y79" s="193">
        <f>Grid!Y74</f>
        <v/>
      </c>
      <c r="Z79" s="193">
        <f>Grid!Z74</f>
        <v/>
      </c>
      <c r="AA79" s="193">
        <f>Grid!AA74</f>
        <v/>
      </c>
      <c r="AB79" s="193">
        <f>Grid!AB74</f>
        <v/>
      </c>
      <c r="AC79" s="193">
        <f>Grid!AC74</f>
        <v/>
      </c>
      <c r="AD79" s="193">
        <f>Grid!AD74</f>
        <v/>
      </c>
      <c r="AE79" s="193">
        <f>Grid!AE74</f>
        <v/>
      </c>
      <c r="AF79" s="193">
        <f>Grid!AF74</f>
        <v/>
      </c>
      <c r="AG79" s="193">
        <f>Grid!AG74</f>
        <v/>
      </c>
    </row>
    <row r="80">
      <c r="B80" s="191">
        <f>'Roster Summary'!C103</f>
        <v/>
      </c>
      <c r="C80" s="192">
        <f>'Roster Summary'!E103</f>
        <v/>
      </c>
      <c r="D80" s="192">
        <f>'Roster Summary'!D103</f>
        <v/>
      </c>
      <c r="E80" s="192">
        <f>'Roster Summary'!F103</f>
        <v/>
      </c>
      <c r="F80" s="193">
        <f>Grid!F75</f>
        <v/>
      </c>
      <c r="G80" s="193">
        <f>Grid!G75</f>
        <v/>
      </c>
      <c r="H80" s="193">
        <f>Grid!H75</f>
        <v/>
      </c>
      <c r="I80" s="193">
        <f>Grid!I75</f>
        <v/>
      </c>
      <c r="J80" s="193">
        <f>Grid!J75</f>
        <v/>
      </c>
      <c r="K80" s="193">
        <f>Grid!K75</f>
        <v/>
      </c>
      <c r="L80" s="193">
        <f>Grid!L75</f>
        <v/>
      </c>
      <c r="M80" s="193">
        <f>Grid!M75</f>
        <v/>
      </c>
      <c r="N80" s="193">
        <f>Grid!N75</f>
        <v/>
      </c>
      <c r="O80" s="193">
        <f>Grid!O75</f>
        <v/>
      </c>
      <c r="P80" s="193">
        <f>Grid!P75</f>
        <v/>
      </c>
      <c r="Q80" s="193">
        <f>Grid!Q75</f>
        <v/>
      </c>
      <c r="R80" s="193">
        <f>Grid!R75</f>
        <v/>
      </c>
      <c r="S80" s="193">
        <f>Grid!S75</f>
        <v/>
      </c>
      <c r="T80" s="193">
        <f>Grid!T75</f>
        <v/>
      </c>
      <c r="U80" s="193">
        <f>Grid!U75</f>
        <v/>
      </c>
      <c r="V80" s="193">
        <f>Grid!V75</f>
        <v/>
      </c>
      <c r="W80" s="193">
        <f>Grid!W75</f>
        <v/>
      </c>
      <c r="X80" s="193">
        <f>Grid!X75</f>
        <v/>
      </c>
      <c r="Y80" s="193">
        <f>Grid!Y75</f>
        <v/>
      </c>
      <c r="Z80" s="193">
        <f>Grid!Z75</f>
        <v/>
      </c>
      <c r="AA80" s="193">
        <f>Grid!AA75</f>
        <v/>
      </c>
      <c r="AB80" s="193">
        <f>Grid!AB75</f>
        <v/>
      </c>
      <c r="AC80" s="193">
        <f>Grid!AC75</f>
        <v/>
      </c>
      <c r="AD80" s="193">
        <f>Grid!AD75</f>
        <v/>
      </c>
      <c r="AE80" s="193">
        <f>Grid!AE75</f>
        <v/>
      </c>
      <c r="AF80" s="193">
        <f>Grid!AF75</f>
        <v/>
      </c>
      <c r="AG80" s="193">
        <f>Grid!AG75</f>
        <v/>
      </c>
    </row>
    <row r="81">
      <c r="B81" s="191">
        <f>'Roster Summary'!C104</f>
        <v/>
      </c>
      <c r="C81" s="192">
        <f>'Roster Summary'!E104</f>
        <v/>
      </c>
      <c r="D81" s="192">
        <f>'Roster Summary'!D104</f>
        <v/>
      </c>
      <c r="E81" s="192">
        <f>'Roster Summary'!F104</f>
        <v/>
      </c>
      <c r="F81" s="193">
        <f>Grid!F76</f>
        <v/>
      </c>
      <c r="G81" s="193">
        <f>Grid!G76</f>
        <v/>
      </c>
      <c r="H81" s="193">
        <f>Grid!H76</f>
        <v/>
      </c>
      <c r="I81" s="193">
        <f>Grid!I76</f>
        <v/>
      </c>
      <c r="J81" s="193">
        <f>Grid!J76</f>
        <v/>
      </c>
      <c r="K81" s="193">
        <f>Grid!K76</f>
        <v/>
      </c>
      <c r="L81" s="193">
        <f>Grid!L76</f>
        <v/>
      </c>
      <c r="M81" s="193">
        <f>Grid!M76</f>
        <v/>
      </c>
      <c r="N81" s="193">
        <f>Grid!N76</f>
        <v/>
      </c>
      <c r="O81" s="193">
        <f>Grid!O76</f>
        <v/>
      </c>
      <c r="P81" s="193">
        <f>Grid!P76</f>
        <v/>
      </c>
      <c r="Q81" s="193">
        <f>Grid!Q76</f>
        <v/>
      </c>
      <c r="R81" s="193">
        <f>Grid!R76</f>
        <v/>
      </c>
      <c r="S81" s="193">
        <f>Grid!S76</f>
        <v/>
      </c>
      <c r="T81" s="193">
        <f>Grid!T76</f>
        <v/>
      </c>
      <c r="U81" s="193">
        <f>Grid!U76</f>
        <v/>
      </c>
      <c r="V81" s="193">
        <f>Grid!V76</f>
        <v/>
      </c>
      <c r="W81" s="193">
        <f>Grid!W76</f>
        <v/>
      </c>
      <c r="X81" s="193">
        <f>Grid!X76</f>
        <v/>
      </c>
      <c r="Y81" s="193">
        <f>Grid!Y76</f>
        <v/>
      </c>
      <c r="Z81" s="193">
        <f>Grid!Z76</f>
        <v/>
      </c>
      <c r="AA81" s="193">
        <f>Grid!AA76</f>
        <v/>
      </c>
      <c r="AB81" s="193">
        <f>Grid!AB76</f>
        <v/>
      </c>
      <c r="AC81" s="193">
        <f>Grid!AC76</f>
        <v/>
      </c>
      <c r="AD81" s="193">
        <f>Grid!AD76</f>
        <v/>
      </c>
      <c r="AE81" s="193">
        <f>Grid!AE76</f>
        <v/>
      </c>
      <c r="AF81" s="193">
        <f>Grid!AF76</f>
        <v/>
      </c>
      <c r="AG81" s="193">
        <f>Grid!AG76</f>
        <v/>
      </c>
    </row>
    <row r="82">
      <c r="B82" s="191">
        <f>'Roster Summary'!C105</f>
        <v/>
      </c>
      <c r="C82" s="192">
        <f>'Roster Summary'!E105</f>
        <v/>
      </c>
      <c r="D82" s="192">
        <f>'Roster Summary'!D105</f>
        <v/>
      </c>
      <c r="E82" s="192">
        <f>'Roster Summary'!F105</f>
        <v/>
      </c>
      <c r="F82" s="193">
        <f>Grid!F77</f>
        <v/>
      </c>
      <c r="G82" s="193">
        <f>Grid!G77</f>
        <v/>
      </c>
      <c r="H82" s="193">
        <f>Grid!H77</f>
        <v/>
      </c>
      <c r="I82" s="193">
        <f>Grid!I77</f>
        <v/>
      </c>
      <c r="J82" s="193">
        <f>Grid!J77</f>
        <v/>
      </c>
      <c r="K82" s="193">
        <f>Grid!K77</f>
        <v/>
      </c>
      <c r="L82" s="193">
        <f>Grid!L77</f>
        <v/>
      </c>
      <c r="M82" s="193">
        <f>Grid!M77</f>
        <v/>
      </c>
      <c r="N82" s="193">
        <f>Grid!N77</f>
        <v/>
      </c>
      <c r="O82" s="193">
        <f>Grid!O77</f>
        <v/>
      </c>
      <c r="P82" s="193">
        <f>Grid!P77</f>
        <v/>
      </c>
      <c r="Q82" s="193">
        <f>Grid!Q77</f>
        <v/>
      </c>
      <c r="R82" s="193">
        <f>Grid!R77</f>
        <v/>
      </c>
      <c r="S82" s="193">
        <f>Grid!S77</f>
        <v/>
      </c>
      <c r="T82" s="193">
        <f>Grid!T77</f>
        <v/>
      </c>
      <c r="U82" s="193">
        <f>Grid!U77</f>
        <v/>
      </c>
      <c r="V82" s="193">
        <f>Grid!V77</f>
        <v/>
      </c>
      <c r="W82" s="193">
        <f>Grid!W77</f>
        <v/>
      </c>
      <c r="X82" s="193">
        <f>Grid!X77</f>
        <v/>
      </c>
      <c r="Y82" s="193">
        <f>Grid!Y77</f>
        <v/>
      </c>
      <c r="Z82" s="193">
        <f>Grid!Z77</f>
        <v/>
      </c>
      <c r="AA82" s="193">
        <f>Grid!AA77</f>
        <v/>
      </c>
      <c r="AB82" s="193">
        <f>Grid!AB77</f>
        <v/>
      </c>
      <c r="AC82" s="193">
        <f>Grid!AC77</f>
        <v/>
      </c>
      <c r="AD82" s="193">
        <f>Grid!AD77</f>
        <v/>
      </c>
      <c r="AE82" s="193">
        <f>Grid!AE77</f>
        <v/>
      </c>
      <c r="AF82" s="193">
        <f>Grid!AF77</f>
        <v/>
      </c>
      <c r="AG82" s="193">
        <f>Grid!AG77</f>
        <v/>
      </c>
    </row>
    <row r="83">
      <c r="B83" s="191">
        <f>'Roster Summary'!C106</f>
        <v/>
      </c>
      <c r="C83" s="192">
        <f>'Roster Summary'!E106</f>
        <v/>
      </c>
      <c r="D83" s="192">
        <f>'Roster Summary'!D106</f>
        <v/>
      </c>
      <c r="E83" s="192">
        <f>'Roster Summary'!F106</f>
        <v/>
      </c>
      <c r="F83" s="193">
        <f>Grid!F78</f>
        <v/>
      </c>
      <c r="G83" s="193">
        <f>Grid!G78</f>
        <v/>
      </c>
      <c r="H83" s="193">
        <f>Grid!H78</f>
        <v/>
      </c>
      <c r="I83" s="193">
        <f>Grid!I78</f>
        <v/>
      </c>
      <c r="J83" s="193">
        <f>Grid!J78</f>
        <v/>
      </c>
      <c r="K83" s="193">
        <f>Grid!K78</f>
        <v/>
      </c>
      <c r="L83" s="193">
        <f>Grid!L78</f>
        <v/>
      </c>
      <c r="M83" s="193">
        <f>Grid!M78</f>
        <v/>
      </c>
      <c r="N83" s="193">
        <f>Grid!N78</f>
        <v/>
      </c>
      <c r="O83" s="193">
        <f>Grid!O78</f>
        <v/>
      </c>
      <c r="P83" s="193">
        <f>Grid!P78</f>
        <v/>
      </c>
      <c r="Q83" s="193">
        <f>Grid!Q78</f>
        <v/>
      </c>
      <c r="R83" s="193">
        <f>Grid!R78</f>
        <v/>
      </c>
      <c r="S83" s="193">
        <f>Grid!S78</f>
        <v/>
      </c>
      <c r="T83" s="193">
        <f>Grid!T78</f>
        <v/>
      </c>
      <c r="U83" s="193">
        <f>Grid!U78</f>
        <v/>
      </c>
      <c r="V83" s="193">
        <f>Grid!V78</f>
        <v/>
      </c>
      <c r="W83" s="193">
        <f>Grid!W78</f>
        <v/>
      </c>
      <c r="X83" s="193">
        <f>Grid!X78</f>
        <v/>
      </c>
      <c r="Y83" s="193">
        <f>Grid!Y78</f>
        <v/>
      </c>
      <c r="Z83" s="193">
        <f>Grid!Z78</f>
        <v/>
      </c>
      <c r="AA83" s="193">
        <f>Grid!AA78</f>
        <v/>
      </c>
      <c r="AB83" s="193">
        <f>Grid!AB78</f>
        <v/>
      </c>
      <c r="AC83" s="193">
        <f>Grid!AC78</f>
        <v/>
      </c>
      <c r="AD83" s="193">
        <f>Grid!AD78</f>
        <v/>
      </c>
      <c r="AE83" s="193">
        <f>Grid!AE78</f>
        <v/>
      </c>
      <c r="AF83" s="193">
        <f>Grid!AF78</f>
        <v/>
      </c>
      <c r="AG83" s="193">
        <f>Grid!AG78</f>
        <v/>
      </c>
    </row>
    <row r="84">
      <c r="B84" s="191">
        <f>'Roster Summary'!C107</f>
        <v/>
      </c>
      <c r="C84" s="192">
        <f>'Roster Summary'!E107</f>
        <v/>
      </c>
      <c r="D84" s="192">
        <f>'Roster Summary'!D107</f>
        <v/>
      </c>
      <c r="E84" s="192">
        <f>'Roster Summary'!F107</f>
        <v/>
      </c>
      <c r="F84" s="193">
        <f>Grid!F79</f>
        <v/>
      </c>
      <c r="G84" s="193">
        <f>Grid!G79</f>
        <v/>
      </c>
      <c r="H84" s="193">
        <f>Grid!H79</f>
        <v/>
      </c>
      <c r="I84" s="193">
        <f>Grid!I79</f>
        <v/>
      </c>
      <c r="J84" s="193">
        <f>Grid!J79</f>
        <v/>
      </c>
      <c r="K84" s="193">
        <f>Grid!K79</f>
        <v/>
      </c>
      <c r="L84" s="193">
        <f>Grid!L79</f>
        <v/>
      </c>
      <c r="M84" s="193">
        <f>Grid!M79</f>
        <v/>
      </c>
      <c r="N84" s="193">
        <f>Grid!N79</f>
        <v/>
      </c>
      <c r="O84" s="193">
        <f>Grid!O79</f>
        <v/>
      </c>
      <c r="P84" s="193">
        <f>Grid!P79</f>
        <v/>
      </c>
      <c r="Q84" s="193">
        <f>Grid!Q79</f>
        <v/>
      </c>
      <c r="R84" s="193">
        <f>Grid!R79</f>
        <v/>
      </c>
      <c r="S84" s="193">
        <f>Grid!S79</f>
        <v/>
      </c>
      <c r="T84" s="193">
        <f>Grid!T79</f>
        <v/>
      </c>
      <c r="U84" s="193">
        <f>Grid!U79</f>
        <v/>
      </c>
      <c r="V84" s="193">
        <f>Grid!V79</f>
        <v/>
      </c>
      <c r="W84" s="193">
        <f>Grid!W79</f>
        <v/>
      </c>
      <c r="X84" s="193">
        <f>Grid!X79</f>
        <v/>
      </c>
      <c r="Y84" s="193">
        <f>Grid!Y79</f>
        <v/>
      </c>
      <c r="Z84" s="193">
        <f>Grid!Z79</f>
        <v/>
      </c>
      <c r="AA84" s="193">
        <f>Grid!AA79</f>
        <v/>
      </c>
      <c r="AB84" s="193">
        <f>Grid!AB79</f>
        <v/>
      </c>
      <c r="AC84" s="193">
        <f>Grid!AC79</f>
        <v/>
      </c>
      <c r="AD84" s="193">
        <f>Grid!AD79</f>
        <v/>
      </c>
      <c r="AE84" s="193">
        <f>Grid!AE79</f>
        <v/>
      </c>
      <c r="AF84" s="193">
        <f>Grid!AF79</f>
        <v/>
      </c>
      <c r="AG84" s="193">
        <f>Grid!AG79</f>
        <v/>
      </c>
    </row>
    <row r="85">
      <c r="B85" s="191">
        <f>'Roster Summary'!C108</f>
        <v/>
      </c>
      <c r="C85" s="192">
        <f>'Roster Summary'!E108</f>
        <v/>
      </c>
      <c r="D85" s="192">
        <f>'Roster Summary'!D108</f>
        <v/>
      </c>
      <c r="E85" s="192">
        <f>'Roster Summary'!F108</f>
        <v/>
      </c>
      <c r="F85" s="193">
        <f>Grid!F80</f>
        <v/>
      </c>
      <c r="G85" s="193">
        <f>Grid!G80</f>
        <v/>
      </c>
      <c r="H85" s="193">
        <f>Grid!H80</f>
        <v/>
      </c>
      <c r="I85" s="193">
        <f>Grid!I80</f>
        <v/>
      </c>
      <c r="J85" s="193">
        <f>Grid!J80</f>
        <v/>
      </c>
      <c r="K85" s="193">
        <f>Grid!K80</f>
        <v/>
      </c>
      <c r="L85" s="193">
        <f>Grid!L80</f>
        <v/>
      </c>
      <c r="M85" s="193">
        <f>Grid!M80</f>
        <v/>
      </c>
      <c r="N85" s="193">
        <f>Grid!N80</f>
        <v/>
      </c>
      <c r="O85" s="193">
        <f>Grid!O80</f>
        <v/>
      </c>
      <c r="P85" s="193">
        <f>Grid!P80</f>
        <v/>
      </c>
      <c r="Q85" s="193">
        <f>Grid!Q80</f>
        <v/>
      </c>
      <c r="R85" s="193">
        <f>Grid!R80</f>
        <v/>
      </c>
      <c r="S85" s="193">
        <f>Grid!S80</f>
        <v/>
      </c>
      <c r="T85" s="193">
        <f>Grid!T80</f>
        <v/>
      </c>
      <c r="U85" s="193">
        <f>Grid!U80</f>
        <v/>
      </c>
      <c r="V85" s="193">
        <f>Grid!V80</f>
        <v/>
      </c>
      <c r="W85" s="193">
        <f>Grid!W80</f>
        <v/>
      </c>
      <c r="X85" s="193">
        <f>Grid!X80</f>
        <v/>
      </c>
      <c r="Y85" s="193">
        <f>Grid!Y80</f>
        <v/>
      </c>
      <c r="Z85" s="193">
        <f>Grid!Z80</f>
        <v/>
      </c>
      <c r="AA85" s="193">
        <f>Grid!AA80</f>
        <v/>
      </c>
      <c r="AB85" s="193">
        <f>Grid!AB80</f>
        <v/>
      </c>
      <c r="AC85" s="193">
        <f>Grid!AC80</f>
        <v/>
      </c>
      <c r="AD85" s="193">
        <f>Grid!AD80</f>
        <v/>
      </c>
      <c r="AE85" s="193">
        <f>Grid!AE80</f>
        <v/>
      </c>
      <c r="AF85" s="193">
        <f>Grid!AF80</f>
        <v/>
      </c>
      <c r="AG85" s="193">
        <f>Grid!AG80</f>
        <v/>
      </c>
    </row>
    <row r="86">
      <c r="B86" s="191">
        <f>'Roster Summary'!C109</f>
        <v/>
      </c>
      <c r="C86" s="192">
        <f>'Roster Summary'!E109</f>
        <v/>
      </c>
      <c r="D86" s="192">
        <f>'Roster Summary'!D109</f>
        <v/>
      </c>
      <c r="E86" s="192">
        <f>'Roster Summary'!F109</f>
        <v/>
      </c>
      <c r="F86" s="193">
        <f>Grid!F81</f>
        <v/>
      </c>
      <c r="G86" s="193">
        <f>Grid!G81</f>
        <v/>
      </c>
      <c r="H86" s="193">
        <f>Grid!H81</f>
        <v/>
      </c>
      <c r="I86" s="193">
        <f>Grid!I81</f>
        <v/>
      </c>
      <c r="J86" s="193">
        <f>Grid!J81</f>
        <v/>
      </c>
      <c r="K86" s="193">
        <f>Grid!K81</f>
        <v/>
      </c>
      <c r="L86" s="193">
        <f>Grid!L81</f>
        <v/>
      </c>
      <c r="M86" s="193">
        <f>Grid!M81</f>
        <v/>
      </c>
      <c r="N86" s="193">
        <f>Grid!N81</f>
        <v/>
      </c>
      <c r="O86" s="193">
        <f>Grid!O81</f>
        <v/>
      </c>
      <c r="P86" s="193">
        <f>Grid!P81</f>
        <v/>
      </c>
      <c r="Q86" s="193">
        <f>Grid!Q81</f>
        <v/>
      </c>
      <c r="R86" s="193">
        <f>Grid!R81</f>
        <v/>
      </c>
      <c r="S86" s="193">
        <f>Grid!S81</f>
        <v/>
      </c>
      <c r="T86" s="193">
        <f>Grid!T81</f>
        <v/>
      </c>
      <c r="U86" s="193">
        <f>Grid!U81</f>
        <v/>
      </c>
      <c r="V86" s="193">
        <f>Grid!V81</f>
        <v/>
      </c>
      <c r="W86" s="193">
        <f>Grid!W81</f>
        <v/>
      </c>
      <c r="X86" s="193">
        <f>Grid!X81</f>
        <v/>
      </c>
      <c r="Y86" s="193">
        <f>Grid!Y81</f>
        <v/>
      </c>
      <c r="Z86" s="193">
        <f>Grid!Z81</f>
        <v/>
      </c>
      <c r="AA86" s="193">
        <f>Grid!AA81</f>
        <v/>
      </c>
      <c r="AB86" s="193">
        <f>Grid!AB81</f>
        <v/>
      </c>
      <c r="AC86" s="193">
        <f>Grid!AC81</f>
        <v/>
      </c>
      <c r="AD86" s="193">
        <f>Grid!AD81</f>
        <v/>
      </c>
      <c r="AE86" s="193">
        <f>Grid!AE81</f>
        <v/>
      </c>
      <c r="AF86" s="193">
        <f>Grid!AF81</f>
        <v/>
      </c>
      <c r="AG86" s="193">
        <f>Grid!AG81</f>
        <v/>
      </c>
    </row>
    <row r="87">
      <c r="B87" s="191">
        <f>'Roster Summary'!C110</f>
        <v/>
      </c>
      <c r="C87" s="192">
        <f>'Roster Summary'!E110</f>
        <v/>
      </c>
      <c r="D87" s="192">
        <f>'Roster Summary'!D110</f>
        <v/>
      </c>
      <c r="E87" s="192">
        <f>'Roster Summary'!F110</f>
        <v/>
      </c>
      <c r="F87" s="193">
        <f>Grid!F82</f>
        <v/>
      </c>
      <c r="G87" s="193">
        <f>Grid!G82</f>
        <v/>
      </c>
      <c r="H87" s="193">
        <f>Grid!H82</f>
        <v/>
      </c>
      <c r="I87" s="193">
        <f>Grid!I82</f>
        <v/>
      </c>
      <c r="J87" s="193">
        <f>Grid!J82</f>
        <v/>
      </c>
      <c r="K87" s="193">
        <f>Grid!K82</f>
        <v/>
      </c>
      <c r="L87" s="193">
        <f>Grid!L82</f>
        <v/>
      </c>
      <c r="M87" s="193">
        <f>Grid!M82</f>
        <v/>
      </c>
      <c r="N87" s="193">
        <f>Grid!N82</f>
        <v/>
      </c>
      <c r="O87" s="193">
        <f>Grid!O82</f>
        <v/>
      </c>
      <c r="P87" s="193">
        <f>Grid!P82</f>
        <v/>
      </c>
      <c r="Q87" s="193">
        <f>Grid!Q82</f>
        <v/>
      </c>
      <c r="R87" s="193">
        <f>Grid!R82</f>
        <v/>
      </c>
      <c r="S87" s="193">
        <f>Grid!S82</f>
        <v/>
      </c>
      <c r="T87" s="193">
        <f>Grid!T82</f>
        <v/>
      </c>
      <c r="U87" s="193">
        <f>Grid!U82</f>
        <v/>
      </c>
      <c r="V87" s="193">
        <f>Grid!V82</f>
        <v/>
      </c>
      <c r="W87" s="193">
        <f>Grid!W82</f>
        <v/>
      </c>
      <c r="X87" s="193">
        <f>Grid!X82</f>
        <v/>
      </c>
      <c r="Y87" s="193">
        <f>Grid!Y82</f>
        <v/>
      </c>
      <c r="Z87" s="193">
        <f>Grid!Z82</f>
        <v/>
      </c>
      <c r="AA87" s="193">
        <f>Grid!AA82</f>
        <v/>
      </c>
      <c r="AB87" s="193">
        <f>Grid!AB82</f>
        <v/>
      </c>
      <c r="AC87" s="193">
        <f>Grid!AC82</f>
        <v/>
      </c>
      <c r="AD87" s="193">
        <f>Grid!AD82</f>
        <v/>
      </c>
      <c r="AE87" s="193">
        <f>Grid!AE82</f>
        <v/>
      </c>
      <c r="AF87" s="193">
        <f>Grid!AF82</f>
        <v/>
      </c>
      <c r="AG87" s="193">
        <f>Grid!AG82</f>
        <v/>
      </c>
    </row>
    <row r="88">
      <c r="B88" s="191">
        <f>'Roster Summary'!C111</f>
        <v/>
      </c>
      <c r="C88" s="192">
        <f>'Roster Summary'!E111</f>
        <v/>
      </c>
      <c r="D88" s="192">
        <f>'Roster Summary'!D111</f>
        <v/>
      </c>
      <c r="E88" s="192">
        <f>'Roster Summary'!F111</f>
        <v/>
      </c>
      <c r="F88" s="193">
        <f>Grid!F83</f>
        <v/>
      </c>
      <c r="G88" s="193">
        <f>Grid!G83</f>
        <v/>
      </c>
      <c r="H88" s="193">
        <f>Grid!H83</f>
        <v/>
      </c>
      <c r="I88" s="193">
        <f>Grid!I83</f>
        <v/>
      </c>
      <c r="J88" s="193">
        <f>Grid!J83</f>
        <v/>
      </c>
      <c r="K88" s="193">
        <f>Grid!K83</f>
        <v/>
      </c>
      <c r="L88" s="193">
        <f>Grid!L83</f>
        <v/>
      </c>
      <c r="M88" s="193">
        <f>Grid!M83</f>
        <v/>
      </c>
      <c r="N88" s="193">
        <f>Grid!N83</f>
        <v/>
      </c>
      <c r="O88" s="193">
        <f>Grid!O83</f>
        <v/>
      </c>
      <c r="P88" s="193">
        <f>Grid!P83</f>
        <v/>
      </c>
      <c r="Q88" s="193">
        <f>Grid!Q83</f>
        <v/>
      </c>
      <c r="R88" s="193">
        <f>Grid!R83</f>
        <v/>
      </c>
      <c r="S88" s="193">
        <f>Grid!S83</f>
        <v/>
      </c>
      <c r="T88" s="193">
        <f>Grid!T83</f>
        <v/>
      </c>
      <c r="U88" s="193">
        <f>Grid!U83</f>
        <v/>
      </c>
      <c r="V88" s="193">
        <f>Grid!V83</f>
        <v/>
      </c>
      <c r="W88" s="193">
        <f>Grid!W83</f>
        <v/>
      </c>
      <c r="X88" s="193">
        <f>Grid!X83</f>
        <v/>
      </c>
      <c r="Y88" s="193">
        <f>Grid!Y83</f>
        <v/>
      </c>
      <c r="Z88" s="193">
        <f>Grid!Z83</f>
        <v/>
      </c>
      <c r="AA88" s="193">
        <f>Grid!AA83</f>
        <v/>
      </c>
      <c r="AB88" s="193">
        <f>Grid!AB83</f>
        <v/>
      </c>
      <c r="AC88" s="193">
        <f>Grid!AC83</f>
        <v/>
      </c>
      <c r="AD88" s="193">
        <f>Grid!AD83</f>
        <v/>
      </c>
      <c r="AE88" s="193">
        <f>Grid!AE83</f>
        <v/>
      </c>
      <c r="AF88" s="193">
        <f>Grid!AF83</f>
        <v/>
      </c>
      <c r="AG88" s="193">
        <f>Grid!AG83</f>
        <v/>
      </c>
    </row>
    <row r="89">
      <c r="B89" s="191">
        <f>'Roster Summary'!C112</f>
        <v/>
      </c>
      <c r="C89" s="192">
        <f>'Roster Summary'!E112</f>
        <v/>
      </c>
      <c r="D89" s="192">
        <f>'Roster Summary'!D112</f>
        <v/>
      </c>
      <c r="E89" s="192">
        <f>'Roster Summary'!F112</f>
        <v/>
      </c>
      <c r="F89" s="193">
        <f>Grid!F84</f>
        <v/>
      </c>
      <c r="G89" s="193">
        <f>Grid!G84</f>
        <v/>
      </c>
      <c r="H89" s="193">
        <f>Grid!H84</f>
        <v/>
      </c>
      <c r="I89" s="193">
        <f>Grid!I84</f>
        <v/>
      </c>
      <c r="J89" s="193">
        <f>Grid!J84</f>
        <v/>
      </c>
      <c r="K89" s="193">
        <f>Grid!K84</f>
        <v/>
      </c>
      <c r="L89" s="193">
        <f>Grid!L84</f>
        <v/>
      </c>
      <c r="M89" s="193">
        <f>Grid!M84</f>
        <v/>
      </c>
      <c r="N89" s="193">
        <f>Grid!N84</f>
        <v/>
      </c>
      <c r="O89" s="193">
        <f>Grid!O84</f>
        <v/>
      </c>
      <c r="P89" s="193">
        <f>Grid!P84</f>
        <v/>
      </c>
      <c r="Q89" s="193">
        <f>Grid!Q84</f>
        <v/>
      </c>
      <c r="R89" s="193">
        <f>Grid!R84</f>
        <v/>
      </c>
      <c r="S89" s="193">
        <f>Grid!S84</f>
        <v/>
      </c>
      <c r="T89" s="193">
        <f>Grid!T84</f>
        <v/>
      </c>
      <c r="U89" s="193">
        <f>Grid!U84</f>
        <v/>
      </c>
      <c r="V89" s="193">
        <f>Grid!V84</f>
        <v/>
      </c>
      <c r="W89" s="193">
        <f>Grid!W84</f>
        <v/>
      </c>
      <c r="X89" s="193">
        <f>Grid!X84</f>
        <v/>
      </c>
      <c r="Y89" s="193">
        <f>Grid!Y84</f>
        <v/>
      </c>
      <c r="Z89" s="193">
        <f>Grid!Z84</f>
        <v/>
      </c>
      <c r="AA89" s="193">
        <f>Grid!AA84</f>
        <v/>
      </c>
      <c r="AB89" s="193">
        <f>Grid!AB84</f>
        <v/>
      </c>
      <c r="AC89" s="193">
        <f>Grid!AC84</f>
        <v/>
      </c>
      <c r="AD89" s="193">
        <f>Grid!AD84</f>
        <v/>
      </c>
      <c r="AE89" s="193">
        <f>Grid!AE84</f>
        <v/>
      </c>
      <c r="AF89" s="193">
        <f>Grid!AF84</f>
        <v/>
      </c>
      <c r="AG89" s="193">
        <f>Grid!AG84</f>
        <v/>
      </c>
    </row>
    <row r="90">
      <c r="B90" s="191">
        <f>'Roster Summary'!C113</f>
        <v/>
      </c>
      <c r="C90" s="192">
        <f>'Roster Summary'!E113</f>
        <v/>
      </c>
      <c r="D90" s="192">
        <f>'Roster Summary'!D113</f>
        <v/>
      </c>
      <c r="E90" s="192">
        <f>'Roster Summary'!F113</f>
        <v/>
      </c>
      <c r="F90" s="193">
        <f>Grid!F85</f>
        <v/>
      </c>
      <c r="G90" s="193">
        <f>Grid!G85</f>
        <v/>
      </c>
      <c r="H90" s="193">
        <f>Grid!H85</f>
        <v/>
      </c>
      <c r="I90" s="193">
        <f>Grid!I85</f>
        <v/>
      </c>
      <c r="J90" s="193">
        <f>Grid!J85</f>
        <v/>
      </c>
      <c r="K90" s="193">
        <f>Grid!K85</f>
        <v/>
      </c>
      <c r="L90" s="193">
        <f>Grid!L85</f>
        <v/>
      </c>
      <c r="M90" s="193">
        <f>Grid!M85</f>
        <v/>
      </c>
      <c r="N90" s="193">
        <f>Grid!N85</f>
        <v/>
      </c>
      <c r="O90" s="193">
        <f>Grid!O85</f>
        <v/>
      </c>
      <c r="P90" s="193">
        <f>Grid!P85</f>
        <v/>
      </c>
      <c r="Q90" s="193">
        <f>Grid!Q85</f>
        <v/>
      </c>
      <c r="R90" s="193">
        <f>Grid!R85</f>
        <v/>
      </c>
      <c r="S90" s="193">
        <f>Grid!S85</f>
        <v/>
      </c>
      <c r="T90" s="193">
        <f>Grid!T85</f>
        <v/>
      </c>
      <c r="U90" s="193">
        <f>Grid!U85</f>
        <v/>
      </c>
      <c r="V90" s="193">
        <f>Grid!V85</f>
        <v/>
      </c>
      <c r="W90" s="193">
        <f>Grid!W85</f>
        <v/>
      </c>
      <c r="X90" s="193">
        <f>Grid!X85</f>
        <v/>
      </c>
      <c r="Y90" s="193">
        <f>Grid!Y85</f>
        <v/>
      </c>
      <c r="Z90" s="193">
        <f>Grid!Z85</f>
        <v/>
      </c>
      <c r="AA90" s="193">
        <f>Grid!AA85</f>
        <v/>
      </c>
      <c r="AB90" s="193">
        <f>Grid!AB85</f>
        <v/>
      </c>
      <c r="AC90" s="193">
        <f>Grid!AC85</f>
        <v/>
      </c>
      <c r="AD90" s="193">
        <f>Grid!AD85</f>
        <v/>
      </c>
      <c r="AE90" s="193">
        <f>Grid!AE85</f>
        <v/>
      </c>
      <c r="AF90" s="193">
        <f>Grid!AF85</f>
        <v/>
      </c>
      <c r="AG90" s="193">
        <f>Grid!AG85</f>
        <v/>
      </c>
    </row>
    <row r="91">
      <c r="B91" s="191">
        <f>'Roster Summary'!C114</f>
        <v/>
      </c>
      <c r="C91" s="192">
        <f>'Roster Summary'!E114</f>
        <v/>
      </c>
      <c r="D91" s="192">
        <f>'Roster Summary'!D114</f>
        <v/>
      </c>
      <c r="E91" s="192">
        <f>'Roster Summary'!F114</f>
        <v/>
      </c>
      <c r="F91" s="193">
        <f>Grid!F86</f>
        <v/>
      </c>
      <c r="G91" s="193">
        <f>Grid!G86</f>
        <v/>
      </c>
      <c r="H91" s="193">
        <f>Grid!H86</f>
        <v/>
      </c>
      <c r="I91" s="193">
        <f>Grid!I86</f>
        <v/>
      </c>
      <c r="J91" s="193">
        <f>Grid!J86</f>
        <v/>
      </c>
      <c r="K91" s="193">
        <f>Grid!K86</f>
        <v/>
      </c>
      <c r="L91" s="193">
        <f>Grid!L86</f>
        <v/>
      </c>
      <c r="M91" s="193">
        <f>Grid!M86</f>
        <v/>
      </c>
      <c r="N91" s="193">
        <f>Grid!N86</f>
        <v/>
      </c>
      <c r="O91" s="193">
        <f>Grid!O86</f>
        <v/>
      </c>
      <c r="P91" s="193">
        <f>Grid!P86</f>
        <v/>
      </c>
      <c r="Q91" s="193">
        <f>Grid!Q86</f>
        <v/>
      </c>
      <c r="R91" s="193">
        <f>Grid!R86</f>
        <v/>
      </c>
      <c r="S91" s="193">
        <f>Grid!S86</f>
        <v/>
      </c>
      <c r="T91" s="193">
        <f>Grid!T86</f>
        <v/>
      </c>
      <c r="U91" s="193">
        <f>Grid!U86</f>
        <v/>
      </c>
      <c r="V91" s="193">
        <f>Grid!V86</f>
        <v/>
      </c>
      <c r="W91" s="193">
        <f>Grid!W86</f>
        <v/>
      </c>
      <c r="X91" s="193">
        <f>Grid!X86</f>
        <v/>
      </c>
      <c r="Y91" s="193">
        <f>Grid!Y86</f>
        <v/>
      </c>
      <c r="Z91" s="193">
        <f>Grid!Z86</f>
        <v/>
      </c>
      <c r="AA91" s="193">
        <f>Grid!AA86</f>
        <v/>
      </c>
      <c r="AB91" s="193">
        <f>Grid!AB86</f>
        <v/>
      </c>
      <c r="AC91" s="193">
        <f>Grid!AC86</f>
        <v/>
      </c>
      <c r="AD91" s="193">
        <f>Grid!AD86</f>
        <v/>
      </c>
      <c r="AE91" s="193">
        <f>Grid!AE86</f>
        <v/>
      </c>
      <c r="AF91" s="193">
        <f>Grid!AF86</f>
        <v/>
      </c>
      <c r="AG91" s="193">
        <f>Grid!AG86</f>
        <v/>
      </c>
    </row>
    <row r="92">
      <c r="B92" s="191">
        <f>'Roster Summary'!C115</f>
        <v/>
      </c>
      <c r="C92" s="192">
        <f>'Roster Summary'!E115</f>
        <v/>
      </c>
      <c r="D92" s="192">
        <f>'Roster Summary'!D115</f>
        <v/>
      </c>
      <c r="E92" s="192">
        <f>'Roster Summary'!F115</f>
        <v/>
      </c>
      <c r="F92" s="193">
        <f>Grid!F87</f>
        <v/>
      </c>
      <c r="G92" s="193">
        <f>Grid!G87</f>
        <v/>
      </c>
      <c r="H92" s="193">
        <f>Grid!H87</f>
        <v/>
      </c>
      <c r="I92" s="193">
        <f>Grid!I87</f>
        <v/>
      </c>
      <c r="J92" s="193">
        <f>Grid!J87</f>
        <v/>
      </c>
      <c r="K92" s="193">
        <f>Grid!K87</f>
        <v/>
      </c>
      <c r="L92" s="193">
        <f>Grid!L87</f>
        <v/>
      </c>
      <c r="M92" s="193">
        <f>Grid!M87</f>
        <v/>
      </c>
      <c r="N92" s="193">
        <f>Grid!N87</f>
        <v/>
      </c>
      <c r="O92" s="193">
        <f>Grid!O87</f>
        <v/>
      </c>
      <c r="P92" s="193">
        <f>Grid!P87</f>
        <v/>
      </c>
      <c r="Q92" s="193">
        <f>Grid!Q87</f>
        <v/>
      </c>
      <c r="R92" s="193">
        <f>Grid!R87</f>
        <v/>
      </c>
      <c r="S92" s="193">
        <f>Grid!S87</f>
        <v/>
      </c>
      <c r="T92" s="193">
        <f>Grid!T87</f>
        <v/>
      </c>
      <c r="U92" s="193">
        <f>Grid!U87</f>
        <v/>
      </c>
      <c r="V92" s="193">
        <f>Grid!V87</f>
        <v/>
      </c>
      <c r="W92" s="193">
        <f>Grid!W87</f>
        <v/>
      </c>
      <c r="X92" s="193">
        <f>Grid!X87</f>
        <v/>
      </c>
      <c r="Y92" s="193">
        <f>Grid!Y87</f>
        <v/>
      </c>
      <c r="Z92" s="193">
        <f>Grid!Z87</f>
        <v/>
      </c>
      <c r="AA92" s="193">
        <f>Grid!AA87</f>
        <v/>
      </c>
      <c r="AB92" s="193">
        <f>Grid!AB87</f>
        <v/>
      </c>
      <c r="AC92" s="193">
        <f>Grid!AC87</f>
        <v/>
      </c>
      <c r="AD92" s="193">
        <f>Grid!AD87</f>
        <v/>
      </c>
      <c r="AE92" s="193">
        <f>Grid!AE87</f>
        <v/>
      </c>
      <c r="AF92" s="193">
        <f>Grid!AF87</f>
        <v/>
      </c>
      <c r="AG92" s="193">
        <f>Grid!AG87</f>
        <v/>
      </c>
    </row>
    <row r="93">
      <c r="B93" s="191">
        <f>'Roster Summary'!C116</f>
        <v/>
      </c>
      <c r="C93" s="192">
        <f>'Roster Summary'!E116</f>
        <v/>
      </c>
      <c r="D93" s="192">
        <f>'Roster Summary'!D116</f>
        <v/>
      </c>
      <c r="E93" s="192">
        <f>'Roster Summary'!F116</f>
        <v/>
      </c>
      <c r="F93" s="193">
        <f>Grid!F88</f>
        <v/>
      </c>
      <c r="G93" s="193">
        <f>Grid!G88</f>
        <v/>
      </c>
      <c r="H93" s="193">
        <f>Grid!H88</f>
        <v/>
      </c>
      <c r="I93" s="193">
        <f>Grid!I88</f>
        <v/>
      </c>
      <c r="J93" s="193">
        <f>Grid!J88</f>
        <v/>
      </c>
      <c r="K93" s="193">
        <f>Grid!K88</f>
        <v/>
      </c>
      <c r="L93" s="193">
        <f>Grid!L88</f>
        <v/>
      </c>
      <c r="M93" s="193">
        <f>Grid!M88</f>
        <v/>
      </c>
      <c r="N93" s="193">
        <f>Grid!N88</f>
        <v/>
      </c>
      <c r="O93" s="193">
        <f>Grid!O88</f>
        <v/>
      </c>
      <c r="P93" s="193">
        <f>Grid!P88</f>
        <v/>
      </c>
      <c r="Q93" s="193">
        <f>Grid!Q88</f>
        <v/>
      </c>
      <c r="R93" s="193">
        <f>Grid!R88</f>
        <v/>
      </c>
      <c r="S93" s="193">
        <f>Grid!S88</f>
        <v/>
      </c>
      <c r="T93" s="193">
        <f>Grid!T88</f>
        <v/>
      </c>
      <c r="U93" s="193">
        <f>Grid!U88</f>
        <v/>
      </c>
      <c r="V93" s="193">
        <f>Grid!V88</f>
        <v/>
      </c>
      <c r="W93" s="193">
        <f>Grid!W88</f>
        <v/>
      </c>
      <c r="X93" s="193">
        <f>Grid!X88</f>
        <v/>
      </c>
      <c r="Y93" s="193">
        <f>Grid!Y88</f>
        <v/>
      </c>
      <c r="Z93" s="193">
        <f>Grid!Z88</f>
        <v/>
      </c>
      <c r="AA93" s="193">
        <f>Grid!AA88</f>
        <v/>
      </c>
      <c r="AB93" s="193">
        <f>Grid!AB88</f>
        <v/>
      </c>
      <c r="AC93" s="193">
        <f>Grid!AC88</f>
        <v/>
      </c>
      <c r="AD93" s="193">
        <f>Grid!AD88</f>
        <v/>
      </c>
      <c r="AE93" s="193">
        <f>Grid!AE88</f>
        <v/>
      </c>
      <c r="AF93" s="193">
        <f>Grid!AF88</f>
        <v/>
      </c>
      <c r="AG93" s="193">
        <f>Grid!AG88</f>
        <v/>
      </c>
    </row>
    <row r="94">
      <c r="B94" s="191">
        <f>'Roster Summary'!C117</f>
        <v/>
      </c>
      <c r="C94" s="192">
        <f>'Roster Summary'!E117</f>
        <v/>
      </c>
      <c r="D94" s="192">
        <f>'Roster Summary'!D117</f>
        <v/>
      </c>
      <c r="E94" s="192">
        <f>'Roster Summary'!F117</f>
        <v/>
      </c>
      <c r="F94" s="193">
        <f>Grid!F89</f>
        <v/>
      </c>
      <c r="G94" s="193">
        <f>Grid!G89</f>
        <v/>
      </c>
      <c r="H94" s="193">
        <f>Grid!H89</f>
        <v/>
      </c>
      <c r="I94" s="193">
        <f>Grid!I89</f>
        <v/>
      </c>
      <c r="J94" s="193">
        <f>Grid!J89</f>
        <v/>
      </c>
      <c r="K94" s="193">
        <f>Grid!K89</f>
        <v/>
      </c>
      <c r="L94" s="193">
        <f>Grid!L89</f>
        <v/>
      </c>
      <c r="M94" s="193">
        <f>Grid!M89</f>
        <v/>
      </c>
      <c r="N94" s="193">
        <f>Grid!N89</f>
        <v/>
      </c>
      <c r="O94" s="193">
        <f>Grid!O89</f>
        <v/>
      </c>
      <c r="P94" s="193">
        <f>Grid!P89</f>
        <v/>
      </c>
      <c r="Q94" s="193">
        <f>Grid!Q89</f>
        <v/>
      </c>
      <c r="R94" s="193">
        <f>Grid!R89</f>
        <v/>
      </c>
      <c r="S94" s="193">
        <f>Grid!S89</f>
        <v/>
      </c>
      <c r="T94" s="193">
        <f>Grid!T89</f>
        <v/>
      </c>
      <c r="U94" s="193">
        <f>Grid!U89</f>
        <v/>
      </c>
      <c r="V94" s="193">
        <f>Grid!V89</f>
        <v/>
      </c>
      <c r="W94" s="193">
        <f>Grid!W89</f>
        <v/>
      </c>
      <c r="X94" s="193">
        <f>Grid!X89</f>
        <v/>
      </c>
      <c r="Y94" s="193">
        <f>Grid!Y89</f>
        <v/>
      </c>
      <c r="Z94" s="193">
        <f>Grid!Z89</f>
        <v/>
      </c>
      <c r="AA94" s="193">
        <f>Grid!AA89</f>
        <v/>
      </c>
      <c r="AB94" s="193">
        <f>Grid!AB89</f>
        <v/>
      </c>
      <c r="AC94" s="193">
        <f>Grid!AC89</f>
        <v/>
      </c>
      <c r="AD94" s="193">
        <f>Grid!AD89</f>
        <v/>
      </c>
      <c r="AE94" s="193">
        <f>Grid!AE89</f>
        <v/>
      </c>
      <c r="AF94" s="193">
        <f>Grid!AF89</f>
        <v/>
      </c>
      <c r="AG94" s="193">
        <f>Grid!AG89</f>
        <v/>
      </c>
    </row>
    <row r="95">
      <c r="B95" s="191">
        <f>'Roster Summary'!C118</f>
        <v/>
      </c>
      <c r="C95" s="192">
        <f>'Roster Summary'!E118</f>
        <v/>
      </c>
      <c r="D95" s="192">
        <f>'Roster Summary'!D118</f>
        <v/>
      </c>
      <c r="E95" s="192">
        <f>'Roster Summary'!F118</f>
        <v/>
      </c>
      <c r="F95" s="193">
        <f>Grid!F90</f>
        <v/>
      </c>
      <c r="G95" s="193">
        <f>Grid!G90</f>
        <v/>
      </c>
      <c r="H95" s="193">
        <f>Grid!H90</f>
        <v/>
      </c>
      <c r="I95" s="193">
        <f>Grid!I90</f>
        <v/>
      </c>
      <c r="J95" s="193">
        <f>Grid!J90</f>
        <v/>
      </c>
      <c r="K95" s="193">
        <f>Grid!K90</f>
        <v/>
      </c>
      <c r="L95" s="193">
        <f>Grid!L90</f>
        <v/>
      </c>
      <c r="M95" s="193">
        <f>Grid!M90</f>
        <v/>
      </c>
      <c r="N95" s="193">
        <f>Grid!N90</f>
        <v/>
      </c>
      <c r="O95" s="193">
        <f>Grid!O90</f>
        <v/>
      </c>
      <c r="P95" s="193">
        <f>Grid!P90</f>
        <v/>
      </c>
      <c r="Q95" s="193">
        <f>Grid!Q90</f>
        <v/>
      </c>
      <c r="R95" s="193">
        <f>Grid!R90</f>
        <v/>
      </c>
      <c r="S95" s="193">
        <f>Grid!S90</f>
        <v/>
      </c>
      <c r="T95" s="193">
        <f>Grid!T90</f>
        <v/>
      </c>
      <c r="U95" s="193">
        <f>Grid!U90</f>
        <v/>
      </c>
      <c r="V95" s="193">
        <f>Grid!V90</f>
        <v/>
      </c>
      <c r="W95" s="193">
        <f>Grid!W90</f>
        <v/>
      </c>
      <c r="X95" s="193">
        <f>Grid!X90</f>
        <v/>
      </c>
      <c r="Y95" s="193">
        <f>Grid!Y90</f>
        <v/>
      </c>
      <c r="Z95" s="193">
        <f>Grid!Z90</f>
        <v/>
      </c>
      <c r="AA95" s="193">
        <f>Grid!AA90</f>
        <v/>
      </c>
      <c r="AB95" s="193">
        <f>Grid!AB90</f>
        <v/>
      </c>
      <c r="AC95" s="193">
        <f>Grid!AC90</f>
        <v/>
      </c>
      <c r="AD95" s="193">
        <f>Grid!AD90</f>
        <v/>
      </c>
      <c r="AE95" s="193">
        <f>Grid!AE90</f>
        <v/>
      </c>
      <c r="AF95" s="193">
        <f>Grid!AF90</f>
        <v/>
      </c>
      <c r="AG95" s="193">
        <f>Grid!AG90</f>
        <v/>
      </c>
    </row>
    <row r="96">
      <c r="B96" s="191">
        <f>'Roster Summary'!C119</f>
        <v/>
      </c>
      <c r="C96" s="192">
        <f>'Roster Summary'!E119</f>
        <v/>
      </c>
      <c r="D96" s="192">
        <f>'Roster Summary'!D119</f>
        <v/>
      </c>
      <c r="E96" s="192">
        <f>'Roster Summary'!F119</f>
        <v/>
      </c>
      <c r="F96" s="193">
        <f>Grid!F91</f>
        <v/>
      </c>
      <c r="G96" s="193">
        <f>Grid!G91</f>
        <v/>
      </c>
      <c r="H96" s="193">
        <f>Grid!H91</f>
        <v/>
      </c>
      <c r="I96" s="193">
        <f>Grid!I91</f>
        <v/>
      </c>
      <c r="J96" s="193">
        <f>Grid!J91</f>
        <v/>
      </c>
      <c r="K96" s="193">
        <f>Grid!K91</f>
        <v/>
      </c>
      <c r="L96" s="193">
        <f>Grid!L91</f>
        <v/>
      </c>
      <c r="M96" s="193">
        <f>Grid!M91</f>
        <v/>
      </c>
      <c r="N96" s="193">
        <f>Grid!N91</f>
        <v/>
      </c>
      <c r="O96" s="193">
        <f>Grid!O91</f>
        <v/>
      </c>
      <c r="P96" s="193">
        <f>Grid!P91</f>
        <v/>
      </c>
      <c r="Q96" s="193">
        <f>Grid!Q91</f>
        <v/>
      </c>
      <c r="R96" s="193">
        <f>Grid!R91</f>
        <v/>
      </c>
      <c r="S96" s="193">
        <f>Grid!S91</f>
        <v/>
      </c>
      <c r="T96" s="193">
        <f>Grid!T91</f>
        <v/>
      </c>
      <c r="U96" s="193">
        <f>Grid!U91</f>
        <v/>
      </c>
      <c r="V96" s="193">
        <f>Grid!V91</f>
        <v/>
      </c>
      <c r="W96" s="193">
        <f>Grid!W91</f>
        <v/>
      </c>
      <c r="X96" s="193">
        <f>Grid!X91</f>
        <v/>
      </c>
      <c r="Y96" s="193">
        <f>Grid!Y91</f>
        <v/>
      </c>
      <c r="Z96" s="193">
        <f>Grid!Z91</f>
        <v/>
      </c>
      <c r="AA96" s="193">
        <f>Grid!AA91</f>
        <v/>
      </c>
      <c r="AB96" s="193">
        <f>Grid!AB91</f>
        <v/>
      </c>
      <c r="AC96" s="193">
        <f>Grid!AC91</f>
        <v/>
      </c>
      <c r="AD96" s="193">
        <f>Grid!AD91</f>
        <v/>
      </c>
      <c r="AE96" s="193">
        <f>Grid!AE91</f>
        <v/>
      </c>
      <c r="AF96" s="193">
        <f>Grid!AF91</f>
        <v/>
      </c>
      <c r="AG96" s="193">
        <f>Grid!AG91</f>
        <v/>
      </c>
    </row>
    <row r="97">
      <c r="B97" s="191">
        <f>'Roster Summary'!C120</f>
        <v/>
      </c>
      <c r="C97" s="192">
        <f>'Roster Summary'!E120</f>
        <v/>
      </c>
      <c r="D97" s="192">
        <f>'Roster Summary'!D120</f>
        <v/>
      </c>
      <c r="E97" s="192">
        <f>'Roster Summary'!F120</f>
        <v/>
      </c>
      <c r="F97" s="193">
        <f>Grid!F92</f>
        <v/>
      </c>
      <c r="G97" s="193">
        <f>Grid!G92</f>
        <v/>
      </c>
      <c r="H97" s="193">
        <f>Grid!H92</f>
        <v/>
      </c>
      <c r="I97" s="193">
        <f>Grid!I92</f>
        <v/>
      </c>
      <c r="J97" s="193">
        <f>Grid!J92</f>
        <v/>
      </c>
      <c r="K97" s="193">
        <f>Grid!K92</f>
        <v/>
      </c>
      <c r="L97" s="193">
        <f>Grid!L92</f>
        <v/>
      </c>
      <c r="M97" s="193">
        <f>Grid!M92</f>
        <v/>
      </c>
      <c r="N97" s="193">
        <f>Grid!N92</f>
        <v/>
      </c>
      <c r="O97" s="193">
        <f>Grid!O92</f>
        <v/>
      </c>
      <c r="P97" s="193">
        <f>Grid!P92</f>
        <v/>
      </c>
      <c r="Q97" s="193">
        <f>Grid!Q92</f>
        <v/>
      </c>
      <c r="R97" s="193">
        <f>Grid!R92</f>
        <v/>
      </c>
      <c r="S97" s="193">
        <f>Grid!S92</f>
        <v/>
      </c>
      <c r="T97" s="193">
        <f>Grid!T92</f>
        <v/>
      </c>
      <c r="U97" s="193">
        <f>Grid!U92</f>
        <v/>
      </c>
      <c r="V97" s="193">
        <f>Grid!V92</f>
        <v/>
      </c>
      <c r="W97" s="193">
        <f>Grid!W92</f>
        <v/>
      </c>
      <c r="X97" s="193">
        <f>Grid!X92</f>
        <v/>
      </c>
      <c r="Y97" s="193">
        <f>Grid!Y92</f>
        <v/>
      </c>
      <c r="Z97" s="193">
        <f>Grid!Z92</f>
        <v/>
      </c>
      <c r="AA97" s="193">
        <f>Grid!AA92</f>
        <v/>
      </c>
      <c r="AB97" s="193">
        <f>Grid!AB92</f>
        <v/>
      </c>
      <c r="AC97" s="193">
        <f>Grid!AC92</f>
        <v/>
      </c>
      <c r="AD97" s="193">
        <f>Grid!AD92</f>
        <v/>
      </c>
      <c r="AE97" s="193">
        <f>Grid!AE92</f>
        <v/>
      </c>
      <c r="AF97" s="193">
        <f>Grid!AF92</f>
        <v/>
      </c>
      <c r="AG97" s="193">
        <f>Grid!AG92</f>
        <v/>
      </c>
    </row>
    <row r="98">
      <c r="B98" s="191">
        <f>'Roster Summary'!C121</f>
        <v/>
      </c>
      <c r="C98" s="192">
        <f>'Roster Summary'!E121</f>
        <v/>
      </c>
      <c r="D98" s="192">
        <f>'Roster Summary'!D121</f>
        <v/>
      </c>
      <c r="E98" s="192">
        <f>'Roster Summary'!F121</f>
        <v/>
      </c>
      <c r="F98" s="193">
        <f>Grid!F93</f>
        <v/>
      </c>
      <c r="G98" s="193">
        <f>Grid!G93</f>
        <v/>
      </c>
      <c r="H98" s="193">
        <f>Grid!H93</f>
        <v/>
      </c>
      <c r="I98" s="193">
        <f>Grid!I93</f>
        <v/>
      </c>
      <c r="J98" s="193">
        <f>Grid!J93</f>
        <v/>
      </c>
      <c r="K98" s="193">
        <f>Grid!K93</f>
        <v/>
      </c>
      <c r="L98" s="193">
        <f>Grid!L93</f>
        <v/>
      </c>
      <c r="M98" s="193">
        <f>Grid!M93</f>
        <v/>
      </c>
      <c r="N98" s="193">
        <f>Grid!N93</f>
        <v/>
      </c>
      <c r="O98" s="193">
        <f>Grid!O93</f>
        <v/>
      </c>
      <c r="P98" s="193">
        <f>Grid!P93</f>
        <v/>
      </c>
      <c r="Q98" s="193">
        <f>Grid!Q93</f>
        <v/>
      </c>
      <c r="R98" s="193">
        <f>Grid!R93</f>
        <v/>
      </c>
      <c r="S98" s="193">
        <f>Grid!S93</f>
        <v/>
      </c>
      <c r="T98" s="193">
        <f>Grid!T93</f>
        <v/>
      </c>
      <c r="U98" s="193">
        <f>Grid!U93</f>
        <v/>
      </c>
      <c r="V98" s="193">
        <f>Grid!V93</f>
        <v/>
      </c>
      <c r="W98" s="193">
        <f>Grid!W93</f>
        <v/>
      </c>
      <c r="X98" s="193">
        <f>Grid!X93</f>
        <v/>
      </c>
      <c r="Y98" s="193">
        <f>Grid!Y93</f>
        <v/>
      </c>
      <c r="Z98" s="193">
        <f>Grid!Z93</f>
        <v/>
      </c>
      <c r="AA98" s="193">
        <f>Grid!AA93</f>
        <v/>
      </c>
      <c r="AB98" s="193">
        <f>Grid!AB93</f>
        <v/>
      </c>
      <c r="AC98" s="193">
        <f>Grid!AC93</f>
        <v/>
      </c>
      <c r="AD98" s="193">
        <f>Grid!AD93</f>
        <v/>
      </c>
      <c r="AE98" s="193">
        <f>Grid!AE93</f>
        <v/>
      </c>
      <c r="AF98" s="193">
        <f>Grid!AF93</f>
        <v/>
      </c>
      <c r="AG98" s="193">
        <f>Grid!AG93</f>
        <v/>
      </c>
    </row>
    <row r="99">
      <c r="B99" s="191">
        <f>'Roster Summary'!C122</f>
        <v/>
      </c>
      <c r="C99" s="192">
        <f>'Roster Summary'!E122</f>
        <v/>
      </c>
      <c r="D99" s="192">
        <f>'Roster Summary'!D122</f>
        <v/>
      </c>
      <c r="E99" s="192">
        <f>'Roster Summary'!F122</f>
        <v/>
      </c>
      <c r="F99" s="193">
        <f>Grid!F94</f>
        <v/>
      </c>
      <c r="G99" s="193">
        <f>Grid!G94</f>
        <v/>
      </c>
      <c r="H99" s="193">
        <f>Grid!H94</f>
        <v/>
      </c>
      <c r="I99" s="193">
        <f>Grid!I94</f>
        <v/>
      </c>
      <c r="J99" s="193">
        <f>Grid!J94</f>
        <v/>
      </c>
      <c r="K99" s="193">
        <f>Grid!K94</f>
        <v/>
      </c>
      <c r="L99" s="193">
        <f>Grid!L94</f>
        <v/>
      </c>
      <c r="M99" s="193">
        <f>Grid!M94</f>
        <v/>
      </c>
      <c r="N99" s="193">
        <f>Grid!N94</f>
        <v/>
      </c>
      <c r="O99" s="193">
        <f>Grid!O94</f>
        <v/>
      </c>
      <c r="P99" s="193">
        <f>Grid!P94</f>
        <v/>
      </c>
      <c r="Q99" s="193">
        <f>Grid!Q94</f>
        <v/>
      </c>
      <c r="R99" s="193">
        <f>Grid!R94</f>
        <v/>
      </c>
      <c r="S99" s="193">
        <f>Grid!S94</f>
        <v/>
      </c>
      <c r="T99" s="193">
        <f>Grid!T94</f>
        <v/>
      </c>
      <c r="U99" s="193">
        <f>Grid!U94</f>
        <v/>
      </c>
      <c r="V99" s="193">
        <f>Grid!V94</f>
        <v/>
      </c>
      <c r="W99" s="193">
        <f>Grid!W94</f>
        <v/>
      </c>
      <c r="X99" s="193">
        <f>Grid!X94</f>
        <v/>
      </c>
      <c r="Y99" s="193">
        <f>Grid!Y94</f>
        <v/>
      </c>
      <c r="Z99" s="193">
        <f>Grid!Z94</f>
        <v/>
      </c>
      <c r="AA99" s="193">
        <f>Grid!AA94</f>
        <v/>
      </c>
      <c r="AB99" s="193">
        <f>Grid!AB94</f>
        <v/>
      </c>
      <c r="AC99" s="193">
        <f>Grid!AC94</f>
        <v/>
      </c>
      <c r="AD99" s="193">
        <f>Grid!AD94</f>
        <v/>
      </c>
      <c r="AE99" s="193">
        <f>Grid!AE94</f>
        <v/>
      </c>
      <c r="AF99" s="193">
        <f>Grid!AF94</f>
        <v/>
      </c>
      <c r="AG99" s="193">
        <f>Grid!AG94</f>
        <v/>
      </c>
    </row>
    <row r="100">
      <c r="B100" s="191">
        <f>'Roster Summary'!C123</f>
        <v/>
      </c>
      <c r="C100" s="192">
        <f>'Roster Summary'!E123</f>
        <v/>
      </c>
      <c r="D100" s="192">
        <f>'Roster Summary'!D123</f>
        <v/>
      </c>
      <c r="E100" s="192">
        <f>'Roster Summary'!F123</f>
        <v/>
      </c>
      <c r="F100" s="193">
        <f>Grid!F95</f>
        <v/>
      </c>
      <c r="G100" s="193">
        <f>Grid!G95</f>
        <v/>
      </c>
      <c r="H100" s="193">
        <f>Grid!H95</f>
        <v/>
      </c>
      <c r="I100" s="193">
        <f>Grid!I95</f>
        <v/>
      </c>
      <c r="J100" s="193">
        <f>Grid!J95</f>
        <v/>
      </c>
      <c r="K100" s="193">
        <f>Grid!K95</f>
        <v/>
      </c>
      <c r="L100" s="193">
        <f>Grid!L95</f>
        <v/>
      </c>
      <c r="M100" s="193">
        <f>Grid!M95</f>
        <v/>
      </c>
      <c r="N100" s="193">
        <f>Grid!N95</f>
        <v/>
      </c>
      <c r="O100" s="193">
        <f>Grid!O95</f>
        <v/>
      </c>
      <c r="P100" s="193">
        <f>Grid!P95</f>
        <v/>
      </c>
      <c r="Q100" s="193">
        <f>Grid!Q95</f>
        <v/>
      </c>
      <c r="R100" s="193">
        <f>Grid!R95</f>
        <v/>
      </c>
      <c r="S100" s="193">
        <f>Grid!S95</f>
        <v/>
      </c>
      <c r="T100" s="193">
        <f>Grid!T95</f>
        <v/>
      </c>
      <c r="U100" s="193">
        <f>Grid!U95</f>
        <v/>
      </c>
      <c r="V100" s="193">
        <f>Grid!V95</f>
        <v/>
      </c>
      <c r="W100" s="193">
        <f>Grid!W95</f>
        <v/>
      </c>
      <c r="X100" s="193">
        <f>Grid!X95</f>
        <v/>
      </c>
      <c r="Y100" s="193">
        <f>Grid!Y95</f>
        <v/>
      </c>
      <c r="Z100" s="193">
        <f>Grid!Z95</f>
        <v/>
      </c>
      <c r="AA100" s="193">
        <f>Grid!AA95</f>
        <v/>
      </c>
      <c r="AB100" s="193">
        <f>Grid!AB95</f>
        <v/>
      </c>
      <c r="AC100" s="193">
        <f>Grid!AC95</f>
        <v/>
      </c>
      <c r="AD100" s="193">
        <f>Grid!AD95</f>
        <v/>
      </c>
      <c r="AE100" s="193">
        <f>Grid!AE95</f>
        <v/>
      </c>
      <c r="AF100" s="193">
        <f>Grid!AF95</f>
        <v/>
      </c>
      <c r="AG100" s="193">
        <f>Grid!AG95</f>
        <v/>
      </c>
    </row>
    <row r="101">
      <c r="B101" s="191">
        <f>'Roster Summary'!C124</f>
        <v/>
      </c>
      <c r="C101" s="192">
        <f>'Roster Summary'!E124</f>
        <v/>
      </c>
      <c r="D101" s="192">
        <f>'Roster Summary'!D124</f>
        <v/>
      </c>
      <c r="E101" s="192">
        <f>'Roster Summary'!F124</f>
        <v/>
      </c>
      <c r="F101" s="193">
        <f>Grid!F96</f>
        <v/>
      </c>
      <c r="G101" s="193">
        <f>Grid!G96</f>
        <v/>
      </c>
      <c r="H101" s="193">
        <f>Grid!H96</f>
        <v/>
      </c>
      <c r="I101" s="193">
        <f>Grid!I96</f>
        <v/>
      </c>
      <c r="J101" s="193">
        <f>Grid!J96</f>
        <v/>
      </c>
      <c r="K101" s="193">
        <f>Grid!K96</f>
        <v/>
      </c>
      <c r="L101" s="193">
        <f>Grid!L96</f>
        <v/>
      </c>
      <c r="M101" s="193">
        <f>Grid!M96</f>
        <v/>
      </c>
      <c r="N101" s="193">
        <f>Grid!N96</f>
        <v/>
      </c>
      <c r="O101" s="193">
        <f>Grid!O96</f>
        <v/>
      </c>
      <c r="P101" s="193">
        <f>Grid!P96</f>
        <v/>
      </c>
      <c r="Q101" s="193">
        <f>Grid!Q96</f>
        <v/>
      </c>
      <c r="R101" s="193">
        <f>Grid!R96</f>
        <v/>
      </c>
      <c r="S101" s="193">
        <f>Grid!S96</f>
        <v/>
      </c>
      <c r="T101" s="193">
        <f>Grid!T96</f>
        <v/>
      </c>
      <c r="U101" s="193">
        <f>Grid!U96</f>
        <v/>
      </c>
      <c r="V101" s="193">
        <f>Grid!V96</f>
        <v/>
      </c>
      <c r="W101" s="193">
        <f>Grid!W96</f>
        <v/>
      </c>
      <c r="X101" s="193">
        <f>Grid!X96</f>
        <v/>
      </c>
      <c r="Y101" s="193">
        <f>Grid!Y96</f>
        <v/>
      </c>
      <c r="Z101" s="193">
        <f>Grid!Z96</f>
        <v/>
      </c>
      <c r="AA101" s="193">
        <f>Grid!AA96</f>
        <v/>
      </c>
      <c r="AB101" s="193">
        <f>Grid!AB96</f>
        <v/>
      </c>
      <c r="AC101" s="193">
        <f>Grid!AC96</f>
        <v/>
      </c>
      <c r="AD101" s="193">
        <f>Grid!AD96</f>
        <v/>
      </c>
      <c r="AE101" s="193">
        <f>Grid!AE96</f>
        <v/>
      </c>
      <c r="AF101" s="193">
        <f>Grid!AF96</f>
        <v/>
      </c>
      <c r="AG101" s="193">
        <f>Grid!AG96</f>
        <v/>
      </c>
    </row>
    <row r="102">
      <c r="B102" s="191">
        <f>'Roster Summary'!C125</f>
        <v/>
      </c>
      <c r="C102" s="192">
        <f>'Roster Summary'!E125</f>
        <v/>
      </c>
      <c r="D102" s="192">
        <f>'Roster Summary'!D125</f>
        <v/>
      </c>
      <c r="E102" s="192">
        <f>'Roster Summary'!F125</f>
        <v/>
      </c>
      <c r="F102" s="193">
        <f>Grid!F97</f>
        <v/>
      </c>
      <c r="G102" s="193">
        <f>Grid!G97</f>
        <v/>
      </c>
      <c r="H102" s="193">
        <f>Grid!H97</f>
        <v/>
      </c>
      <c r="I102" s="193">
        <f>Grid!I97</f>
        <v/>
      </c>
      <c r="J102" s="193">
        <f>Grid!J97</f>
        <v/>
      </c>
      <c r="K102" s="193">
        <f>Grid!K97</f>
        <v/>
      </c>
      <c r="L102" s="193">
        <f>Grid!L97</f>
        <v/>
      </c>
      <c r="M102" s="193">
        <f>Grid!M97</f>
        <v/>
      </c>
      <c r="N102" s="193">
        <f>Grid!N97</f>
        <v/>
      </c>
      <c r="O102" s="193">
        <f>Grid!O97</f>
        <v/>
      </c>
      <c r="P102" s="193">
        <f>Grid!P97</f>
        <v/>
      </c>
      <c r="Q102" s="193">
        <f>Grid!Q97</f>
        <v/>
      </c>
      <c r="R102" s="193">
        <f>Grid!R97</f>
        <v/>
      </c>
      <c r="S102" s="193">
        <f>Grid!S97</f>
        <v/>
      </c>
      <c r="T102" s="193">
        <f>Grid!T97</f>
        <v/>
      </c>
      <c r="U102" s="193">
        <f>Grid!U97</f>
        <v/>
      </c>
      <c r="V102" s="193">
        <f>Grid!V97</f>
        <v/>
      </c>
      <c r="W102" s="193">
        <f>Grid!W97</f>
        <v/>
      </c>
      <c r="X102" s="193">
        <f>Grid!X97</f>
        <v/>
      </c>
      <c r="Y102" s="193">
        <f>Grid!Y97</f>
        <v/>
      </c>
      <c r="Z102" s="193">
        <f>Grid!Z97</f>
        <v/>
      </c>
      <c r="AA102" s="193">
        <f>Grid!AA97</f>
        <v/>
      </c>
      <c r="AB102" s="193">
        <f>Grid!AB97</f>
        <v/>
      </c>
      <c r="AC102" s="193">
        <f>Grid!AC97</f>
        <v/>
      </c>
      <c r="AD102" s="193">
        <f>Grid!AD97</f>
        <v/>
      </c>
      <c r="AE102" s="193">
        <f>Grid!AE97</f>
        <v/>
      </c>
      <c r="AF102" s="193">
        <f>Grid!AF97</f>
        <v/>
      </c>
      <c r="AG102" s="193">
        <f>Grid!AG97</f>
        <v/>
      </c>
    </row>
    <row r="103">
      <c r="B103" s="191">
        <f>'Roster Summary'!C126</f>
        <v/>
      </c>
      <c r="C103" s="192">
        <f>'Roster Summary'!E126</f>
        <v/>
      </c>
      <c r="D103" s="192">
        <f>'Roster Summary'!D126</f>
        <v/>
      </c>
      <c r="E103" s="192">
        <f>'Roster Summary'!F126</f>
        <v/>
      </c>
      <c r="F103" s="193">
        <f>Grid!F98</f>
        <v/>
      </c>
      <c r="G103" s="193">
        <f>Grid!G98</f>
        <v/>
      </c>
      <c r="H103" s="193">
        <f>Grid!H98</f>
        <v/>
      </c>
      <c r="I103" s="193">
        <f>Grid!I98</f>
        <v/>
      </c>
      <c r="J103" s="193">
        <f>Grid!J98</f>
        <v/>
      </c>
      <c r="K103" s="193">
        <f>Grid!K98</f>
        <v/>
      </c>
      <c r="L103" s="193">
        <f>Grid!L98</f>
        <v/>
      </c>
      <c r="M103" s="193">
        <f>Grid!M98</f>
        <v/>
      </c>
      <c r="N103" s="193">
        <f>Grid!N98</f>
        <v/>
      </c>
      <c r="O103" s="193">
        <f>Grid!O98</f>
        <v/>
      </c>
      <c r="P103" s="193">
        <f>Grid!P98</f>
        <v/>
      </c>
      <c r="Q103" s="193">
        <f>Grid!Q98</f>
        <v/>
      </c>
      <c r="R103" s="193">
        <f>Grid!R98</f>
        <v/>
      </c>
      <c r="S103" s="193">
        <f>Grid!S98</f>
        <v/>
      </c>
      <c r="T103" s="193">
        <f>Grid!T98</f>
        <v/>
      </c>
      <c r="U103" s="193">
        <f>Grid!U98</f>
        <v/>
      </c>
      <c r="V103" s="193">
        <f>Grid!V98</f>
        <v/>
      </c>
      <c r="W103" s="193">
        <f>Grid!W98</f>
        <v/>
      </c>
      <c r="X103" s="193">
        <f>Grid!X98</f>
        <v/>
      </c>
      <c r="Y103" s="193">
        <f>Grid!Y98</f>
        <v/>
      </c>
      <c r="Z103" s="193">
        <f>Grid!Z98</f>
        <v/>
      </c>
      <c r="AA103" s="193">
        <f>Grid!AA98</f>
        <v/>
      </c>
      <c r="AB103" s="193">
        <f>Grid!AB98</f>
        <v/>
      </c>
      <c r="AC103" s="193">
        <f>Grid!AC98</f>
        <v/>
      </c>
      <c r="AD103" s="193">
        <f>Grid!AD98</f>
        <v/>
      </c>
      <c r="AE103" s="193">
        <f>Grid!AE98</f>
        <v/>
      </c>
      <c r="AF103" s="193">
        <f>Grid!AF98</f>
        <v/>
      </c>
      <c r="AG103" s="193">
        <f>Grid!AG98</f>
        <v/>
      </c>
    </row>
    <row r="104">
      <c r="B104" s="191">
        <f>'Roster Summary'!C127</f>
        <v/>
      </c>
      <c r="C104" s="192">
        <f>'Roster Summary'!E127</f>
        <v/>
      </c>
      <c r="D104" s="192">
        <f>'Roster Summary'!D127</f>
        <v/>
      </c>
      <c r="E104" s="192">
        <f>'Roster Summary'!F127</f>
        <v/>
      </c>
      <c r="F104" s="193">
        <f>Grid!F99</f>
        <v/>
      </c>
      <c r="G104" s="193">
        <f>Grid!G99</f>
        <v/>
      </c>
      <c r="H104" s="193">
        <f>Grid!H99</f>
        <v/>
      </c>
      <c r="I104" s="193">
        <f>Grid!I99</f>
        <v/>
      </c>
      <c r="J104" s="193">
        <f>Grid!J99</f>
        <v/>
      </c>
      <c r="K104" s="193">
        <f>Grid!K99</f>
        <v/>
      </c>
      <c r="L104" s="193">
        <f>Grid!L99</f>
        <v/>
      </c>
      <c r="M104" s="193">
        <f>Grid!M99</f>
        <v/>
      </c>
      <c r="N104" s="193">
        <f>Grid!N99</f>
        <v/>
      </c>
      <c r="O104" s="193">
        <f>Grid!O99</f>
        <v/>
      </c>
      <c r="P104" s="193">
        <f>Grid!P99</f>
        <v/>
      </c>
      <c r="Q104" s="193">
        <f>Grid!Q99</f>
        <v/>
      </c>
      <c r="R104" s="193">
        <f>Grid!R99</f>
        <v/>
      </c>
      <c r="S104" s="193">
        <f>Grid!S99</f>
        <v/>
      </c>
      <c r="T104" s="193">
        <f>Grid!T99</f>
        <v/>
      </c>
      <c r="U104" s="193">
        <f>Grid!U99</f>
        <v/>
      </c>
      <c r="V104" s="193">
        <f>Grid!V99</f>
        <v/>
      </c>
      <c r="W104" s="193">
        <f>Grid!W99</f>
        <v/>
      </c>
      <c r="X104" s="193">
        <f>Grid!X99</f>
        <v/>
      </c>
      <c r="Y104" s="193">
        <f>Grid!Y99</f>
        <v/>
      </c>
      <c r="Z104" s="193">
        <f>Grid!Z99</f>
        <v/>
      </c>
      <c r="AA104" s="193">
        <f>Grid!AA99</f>
        <v/>
      </c>
      <c r="AB104" s="193">
        <f>Grid!AB99</f>
        <v/>
      </c>
      <c r="AC104" s="193">
        <f>Grid!AC99</f>
        <v/>
      </c>
      <c r="AD104" s="193">
        <f>Grid!AD99</f>
        <v/>
      </c>
      <c r="AE104" s="193">
        <f>Grid!AE99</f>
        <v/>
      </c>
      <c r="AF104" s="193">
        <f>Grid!AF99</f>
        <v/>
      </c>
      <c r="AG104" s="193">
        <f>Grid!AG99</f>
        <v/>
      </c>
    </row>
    <row r="105">
      <c r="B105" s="191">
        <f>'Roster Summary'!C128</f>
        <v/>
      </c>
      <c r="C105" s="192">
        <f>'Roster Summary'!E128</f>
        <v/>
      </c>
      <c r="D105" s="192">
        <f>'Roster Summary'!D128</f>
        <v/>
      </c>
      <c r="E105" s="192">
        <f>'Roster Summary'!F128</f>
        <v/>
      </c>
      <c r="F105" s="193">
        <f>Grid!F100</f>
        <v/>
      </c>
      <c r="G105" s="193">
        <f>Grid!G100</f>
        <v/>
      </c>
      <c r="H105" s="193">
        <f>Grid!H100</f>
        <v/>
      </c>
      <c r="I105" s="193">
        <f>Grid!I100</f>
        <v/>
      </c>
      <c r="J105" s="193">
        <f>Grid!J100</f>
        <v/>
      </c>
      <c r="K105" s="193">
        <f>Grid!K100</f>
        <v/>
      </c>
      <c r="L105" s="193">
        <f>Grid!L100</f>
        <v/>
      </c>
      <c r="M105" s="193">
        <f>Grid!M100</f>
        <v/>
      </c>
      <c r="N105" s="193">
        <f>Grid!N100</f>
        <v/>
      </c>
      <c r="O105" s="193">
        <f>Grid!O100</f>
        <v/>
      </c>
      <c r="P105" s="193">
        <f>Grid!P100</f>
        <v/>
      </c>
      <c r="Q105" s="193">
        <f>Grid!Q100</f>
        <v/>
      </c>
      <c r="R105" s="193">
        <f>Grid!R100</f>
        <v/>
      </c>
      <c r="S105" s="193">
        <f>Grid!S100</f>
        <v/>
      </c>
      <c r="T105" s="193">
        <f>Grid!T100</f>
        <v/>
      </c>
      <c r="U105" s="193">
        <f>Grid!U100</f>
        <v/>
      </c>
      <c r="V105" s="193">
        <f>Grid!V100</f>
        <v/>
      </c>
      <c r="W105" s="193">
        <f>Grid!W100</f>
        <v/>
      </c>
      <c r="X105" s="193">
        <f>Grid!X100</f>
        <v/>
      </c>
      <c r="Y105" s="193">
        <f>Grid!Y100</f>
        <v/>
      </c>
      <c r="Z105" s="193">
        <f>Grid!Z100</f>
        <v/>
      </c>
      <c r="AA105" s="193">
        <f>Grid!AA100</f>
        <v/>
      </c>
      <c r="AB105" s="193">
        <f>Grid!AB100</f>
        <v/>
      </c>
      <c r="AC105" s="193">
        <f>Grid!AC100</f>
        <v/>
      </c>
      <c r="AD105" s="193">
        <f>Grid!AD100</f>
        <v/>
      </c>
      <c r="AE105" s="193">
        <f>Grid!AE100</f>
        <v/>
      </c>
      <c r="AF105" s="193">
        <f>Grid!AF100</f>
        <v/>
      </c>
      <c r="AG105" s="193">
        <f>Grid!AG100</f>
        <v/>
      </c>
    </row>
    <row r="106">
      <c r="B106" s="191">
        <f>'Roster Summary'!C129</f>
        <v/>
      </c>
      <c r="C106" s="192">
        <f>'Roster Summary'!E129</f>
        <v/>
      </c>
      <c r="D106" s="192">
        <f>'Roster Summary'!D129</f>
        <v/>
      </c>
      <c r="E106" s="192">
        <f>'Roster Summary'!F129</f>
        <v/>
      </c>
      <c r="F106" s="193">
        <f>Grid!F101</f>
        <v/>
      </c>
      <c r="G106" s="193">
        <f>Grid!G101</f>
        <v/>
      </c>
      <c r="H106" s="193">
        <f>Grid!H101</f>
        <v/>
      </c>
      <c r="I106" s="193">
        <f>Grid!I101</f>
        <v/>
      </c>
      <c r="J106" s="193">
        <f>Grid!J101</f>
        <v/>
      </c>
      <c r="K106" s="193">
        <f>Grid!K101</f>
        <v/>
      </c>
      <c r="L106" s="193">
        <f>Grid!L101</f>
        <v/>
      </c>
      <c r="M106" s="193">
        <f>Grid!M101</f>
        <v/>
      </c>
      <c r="N106" s="193">
        <f>Grid!N101</f>
        <v/>
      </c>
      <c r="O106" s="193">
        <f>Grid!O101</f>
        <v/>
      </c>
      <c r="P106" s="193">
        <f>Grid!P101</f>
        <v/>
      </c>
      <c r="Q106" s="193">
        <f>Grid!Q101</f>
        <v/>
      </c>
      <c r="R106" s="193">
        <f>Grid!R101</f>
        <v/>
      </c>
      <c r="S106" s="193">
        <f>Grid!S101</f>
        <v/>
      </c>
      <c r="T106" s="193">
        <f>Grid!T101</f>
        <v/>
      </c>
      <c r="U106" s="193">
        <f>Grid!U101</f>
        <v/>
      </c>
      <c r="V106" s="193">
        <f>Grid!V101</f>
        <v/>
      </c>
      <c r="W106" s="193">
        <f>Grid!W101</f>
        <v/>
      </c>
      <c r="X106" s="193">
        <f>Grid!X101</f>
        <v/>
      </c>
      <c r="Y106" s="193">
        <f>Grid!Y101</f>
        <v/>
      </c>
      <c r="Z106" s="193">
        <f>Grid!Z101</f>
        <v/>
      </c>
      <c r="AA106" s="193">
        <f>Grid!AA101</f>
        <v/>
      </c>
      <c r="AB106" s="193">
        <f>Grid!AB101</f>
        <v/>
      </c>
      <c r="AC106" s="193">
        <f>Grid!AC101</f>
        <v/>
      </c>
      <c r="AD106" s="193">
        <f>Grid!AD101</f>
        <v/>
      </c>
      <c r="AE106" s="193">
        <f>Grid!AE101</f>
        <v/>
      </c>
      <c r="AF106" s="193">
        <f>Grid!AF101</f>
        <v/>
      </c>
      <c r="AG106" s="193">
        <f>Grid!AG101</f>
        <v/>
      </c>
    </row>
    <row r="107">
      <c r="B107" s="191">
        <f>'Roster Summary'!C130</f>
        <v/>
      </c>
      <c r="C107" s="192">
        <f>'Roster Summary'!E130</f>
        <v/>
      </c>
      <c r="D107" s="192">
        <f>'Roster Summary'!D130</f>
        <v/>
      </c>
      <c r="E107" s="192">
        <f>'Roster Summary'!F130</f>
        <v/>
      </c>
      <c r="F107" s="193">
        <f>Grid!F102</f>
        <v/>
      </c>
      <c r="G107" s="193">
        <f>Grid!G102</f>
        <v/>
      </c>
      <c r="H107" s="193">
        <f>Grid!H102</f>
        <v/>
      </c>
      <c r="I107" s="193">
        <f>Grid!I102</f>
        <v/>
      </c>
      <c r="J107" s="193">
        <f>Grid!J102</f>
        <v/>
      </c>
      <c r="K107" s="193">
        <f>Grid!K102</f>
        <v/>
      </c>
      <c r="L107" s="193">
        <f>Grid!L102</f>
        <v/>
      </c>
      <c r="M107" s="193">
        <f>Grid!M102</f>
        <v/>
      </c>
      <c r="N107" s="193">
        <f>Grid!N102</f>
        <v/>
      </c>
      <c r="O107" s="193">
        <f>Grid!O102</f>
        <v/>
      </c>
      <c r="P107" s="193">
        <f>Grid!P102</f>
        <v/>
      </c>
      <c r="Q107" s="193">
        <f>Grid!Q102</f>
        <v/>
      </c>
      <c r="R107" s="193">
        <f>Grid!R102</f>
        <v/>
      </c>
      <c r="S107" s="193">
        <f>Grid!S102</f>
        <v/>
      </c>
      <c r="T107" s="193">
        <f>Grid!T102</f>
        <v/>
      </c>
      <c r="U107" s="193">
        <f>Grid!U102</f>
        <v/>
      </c>
      <c r="V107" s="193">
        <f>Grid!V102</f>
        <v/>
      </c>
      <c r="W107" s="193">
        <f>Grid!W102</f>
        <v/>
      </c>
      <c r="X107" s="193">
        <f>Grid!X102</f>
        <v/>
      </c>
      <c r="Y107" s="193">
        <f>Grid!Y102</f>
        <v/>
      </c>
      <c r="Z107" s="193">
        <f>Grid!Z102</f>
        <v/>
      </c>
      <c r="AA107" s="193">
        <f>Grid!AA102</f>
        <v/>
      </c>
      <c r="AB107" s="193">
        <f>Grid!AB102</f>
        <v/>
      </c>
      <c r="AC107" s="193">
        <f>Grid!AC102</f>
        <v/>
      </c>
      <c r="AD107" s="193">
        <f>Grid!AD102</f>
        <v/>
      </c>
      <c r="AE107" s="193">
        <f>Grid!AE102</f>
        <v/>
      </c>
      <c r="AF107" s="193">
        <f>Grid!AF102</f>
        <v/>
      </c>
      <c r="AG107" s="193">
        <f>Grid!AG102</f>
        <v/>
      </c>
    </row>
    <row r="108">
      <c r="B108" s="191">
        <f>'Roster Summary'!C131</f>
        <v/>
      </c>
      <c r="C108" s="192">
        <f>'Roster Summary'!E131</f>
        <v/>
      </c>
      <c r="D108" s="192">
        <f>'Roster Summary'!D131</f>
        <v/>
      </c>
      <c r="E108" s="192">
        <f>'Roster Summary'!F131</f>
        <v/>
      </c>
      <c r="F108" s="193">
        <f>Grid!F103</f>
        <v/>
      </c>
      <c r="G108" s="193">
        <f>Grid!G103</f>
        <v/>
      </c>
      <c r="H108" s="193">
        <f>Grid!H103</f>
        <v/>
      </c>
      <c r="I108" s="193">
        <f>Grid!I103</f>
        <v/>
      </c>
      <c r="J108" s="193">
        <f>Grid!J103</f>
        <v/>
      </c>
      <c r="K108" s="193">
        <f>Grid!K103</f>
        <v/>
      </c>
      <c r="L108" s="193">
        <f>Grid!L103</f>
        <v/>
      </c>
      <c r="M108" s="193">
        <f>Grid!M103</f>
        <v/>
      </c>
      <c r="N108" s="193">
        <f>Grid!N103</f>
        <v/>
      </c>
      <c r="O108" s="193">
        <f>Grid!O103</f>
        <v/>
      </c>
      <c r="P108" s="193">
        <f>Grid!P103</f>
        <v/>
      </c>
      <c r="Q108" s="193">
        <f>Grid!Q103</f>
        <v/>
      </c>
      <c r="R108" s="193">
        <f>Grid!R103</f>
        <v/>
      </c>
      <c r="S108" s="193">
        <f>Grid!S103</f>
        <v/>
      </c>
      <c r="T108" s="193">
        <f>Grid!T103</f>
        <v/>
      </c>
      <c r="U108" s="193">
        <f>Grid!U103</f>
        <v/>
      </c>
      <c r="V108" s="193">
        <f>Grid!V103</f>
        <v/>
      </c>
      <c r="W108" s="193">
        <f>Grid!W103</f>
        <v/>
      </c>
      <c r="X108" s="193">
        <f>Grid!X103</f>
        <v/>
      </c>
      <c r="Y108" s="193">
        <f>Grid!Y103</f>
        <v/>
      </c>
      <c r="Z108" s="193">
        <f>Grid!Z103</f>
        <v/>
      </c>
      <c r="AA108" s="193">
        <f>Grid!AA103</f>
        <v/>
      </c>
      <c r="AB108" s="193">
        <f>Grid!AB103</f>
        <v/>
      </c>
      <c r="AC108" s="193">
        <f>Grid!AC103</f>
        <v/>
      </c>
      <c r="AD108" s="193">
        <f>Grid!AD103</f>
        <v/>
      </c>
      <c r="AE108" s="193">
        <f>Grid!AE103</f>
        <v/>
      </c>
      <c r="AF108" s="193">
        <f>Grid!AF103</f>
        <v/>
      </c>
      <c r="AG108" s="193">
        <f>Grid!AG103</f>
        <v/>
      </c>
    </row>
    <row r="109">
      <c r="B109" s="191">
        <f>'Roster Summary'!C132</f>
        <v/>
      </c>
      <c r="C109" s="192">
        <f>'Roster Summary'!E132</f>
        <v/>
      </c>
      <c r="D109" s="192">
        <f>'Roster Summary'!D132</f>
        <v/>
      </c>
      <c r="E109" s="192">
        <f>'Roster Summary'!F132</f>
        <v/>
      </c>
      <c r="F109" s="193">
        <f>Grid!F104</f>
        <v/>
      </c>
      <c r="G109" s="193">
        <f>Grid!G104</f>
        <v/>
      </c>
      <c r="H109" s="193">
        <f>Grid!H104</f>
        <v/>
      </c>
      <c r="I109" s="193">
        <f>Grid!I104</f>
        <v/>
      </c>
      <c r="J109" s="193">
        <f>Grid!J104</f>
        <v/>
      </c>
      <c r="K109" s="193">
        <f>Grid!K104</f>
        <v/>
      </c>
      <c r="L109" s="193">
        <f>Grid!L104</f>
        <v/>
      </c>
      <c r="M109" s="193">
        <f>Grid!M104</f>
        <v/>
      </c>
      <c r="N109" s="193">
        <f>Grid!N104</f>
        <v/>
      </c>
      <c r="O109" s="193">
        <f>Grid!O104</f>
        <v/>
      </c>
      <c r="P109" s="193">
        <f>Grid!P104</f>
        <v/>
      </c>
      <c r="Q109" s="193">
        <f>Grid!Q104</f>
        <v/>
      </c>
      <c r="R109" s="193">
        <f>Grid!R104</f>
        <v/>
      </c>
      <c r="S109" s="193">
        <f>Grid!S104</f>
        <v/>
      </c>
      <c r="T109" s="193">
        <f>Grid!T104</f>
        <v/>
      </c>
      <c r="U109" s="193">
        <f>Grid!U104</f>
        <v/>
      </c>
      <c r="V109" s="193">
        <f>Grid!V104</f>
        <v/>
      </c>
      <c r="W109" s="193">
        <f>Grid!W104</f>
        <v/>
      </c>
      <c r="X109" s="193">
        <f>Grid!X104</f>
        <v/>
      </c>
      <c r="Y109" s="193">
        <f>Grid!Y104</f>
        <v/>
      </c>
      <c r="Z109" s="193">
        <f>Grid!Z104</f>
        <v/>
      </c>
      <c r="AA109" s="193">
        <f>Grid!AA104</f>
        <v/>
      </c>
      <c r="AB109" s="193">
        <f>Grid!AB104</f>
        <v/>
      </c>
      <c r="AC109" s="193">
        <f>Grid!AC104</f>
        <v/>
      </c>
      <c r="AD109" s="193">
        <f>Grid!AD104</f>
        <v/>
      </c>
      <c r="AE109" s="193">
        <f>Grid!AE104</f>
        <v/>
      </c>
      <c r="AF109" s="193">
        <f>Grid!AF104</f>
        <v/>
      </c>
      <c r="AG109" s="193">
        <f>Grid!AG104</f>
        <v/>
      </c>
    </row>
    <row r="110">
      <c r="B110" s="191">
        <f>'Roster Summary'!C133</f>
        <v/>
      </c>
      <c r="C110" s="192">
        <f>'Roster Summary'!E133</f>
        <v/>
      </c>
      <c r="D110" s="192">
        <f>'Roster Summary'!D133</f>
        <v/>
      </c>
      <c r="E110" s="192">
        <f>'Roster Summary'!F133</f>
        <v/>
      </c>
      <c r="F110" s="193">
        <f>Grid!F105</f>
        <v/>
      </c>
      <c r="G110" s="193">
        <f>Grid!G105</f>
        <v/>
      </c>
      <c r="H110" s="193">
        <f>Grid!H105</f>
        <v/>
      </c>
      <c r="I110" s="193">
        <f>Grid!I105</f>
        <v/>
      </c>
      <c r="J110" s="193">
        <f>Grid!J105</f>
        <v/>
      </c>
      <c r="K110" s="193">
        <f>Grid!K105</f>
        <v/>
      </c>
      <c r="L110" s="193">
        <f>Grid!L105</f>
        <v/>
      </c>
      <c r="M110" s="193">
        <f>Grid!M105</f>
        <v/>
      </c>
      <c r="N110" s="193">
        <f>Grid!N105</f>
        <v/>
      </c>
      <c r="O110" s="193">
        <f>Grid!O105</f>
        <v/>
      </c>
      <c r="P110" s="193">
        <f>Grid!P105</f>
        <v/>
      </c>
      <c r="Q110" s="193">
        <f>Grid!Q105</f>
        <v/>
      </c>
      <c r="R110" s="193">
        <f>Grid!R105</f>
        <v/>
      </c>
      <c r="S110" s="193">
        <f>Grid!S105</f>
        <v/>
      </c>
      <c r="T110" s="193">
        <f>Grid!T105</f>
        <v/>
      </c>
      <c r="U110" s="193">
        <f>Grid!U105</f>
        <v/>
      </c>
      <c r="V110" s="193">
        <f>Grid!V105</f>
        <v/>
      </c>
      <c r="W110" s="193">
        <f>Grid!W105</f>
        <v/>
      </c>
      <c r="X110" s="193">
        <f>Grid!X105</f>
        <v/>
      </c>
      <c r="Y110" s="193">
        <f>Grid!Y105</f>
        <v/>
      </c>
      <c r="Z110" s="193">
        <f>Grid!Z105</f>
        <v/>
      </c>
      <c r="AA110" s="193">
        <f>Grid!AA105</f>
        <v/>
      </c>
      <c r="AB110" s="193">
        <f>Grid!AB105</f>
        <v/>
      </c>
      <c r="AC110" s="193">
        <f>Grid!AC105</f>
        <v/>
      </c>
      <c r="AD110" s="193">
        <f>Grid!AD105</f>
        <v/>
      </c>
      <c r="AE110" s="193">
        <f>Grid!AE105</f>
        <v/>
      </c>
      <c r="AF110" s="193">
        <f>Grid!AF105</f>
        <v/>
      </c>
      <c r="AG110" s="193">
        <f>Grid!AG105</f>
        <v/>
      </c>
    </row>
    <row r="111">
      <c r="B111" s="191">
        <f>'Roster Summary'!C134</f>
        <v/>
      </c>
      <c r="C111" s="192">
        <f>'Roster Summary'!E134</f>
        <v/>
      </c>
      <c r="D111" s="192">
        <f>'Roster Summary'!D134</f>
        <v/>
      </c>
      <c r="E111" s="192">
        <f>'Roster Summary'!F134</f>
        <v/>
      </c>
      <c r="F111" s="193">
        <f>Grid!F106</f>
        <v/>
      </c>
      <c r="G111" s="193">
        <f>Grid!G106</f>
        <v/>
      </c>
      <c r="H111" s="193">
        <f>Grid!H106</f>
        <v/>
      </c>
      <c r="I111" s="193">
        <f>Grid!I106</f>
        <v/>
      </c>
      <c r="J111" s="193">
        <f>Grid!J106</f>
        <v/>
      </c>
      <c r="K111" s="193">
        <f>Grid!K106</f>
        <v/>
      </c>
      <c r="L111" s="193">
        <f>Grid!L106</f>
        <v/>
      </c>
      <c r="M111" s="193">
        <f>Grid!M106</f>
        <v/>
      </c>
      <c r="N111" s="193">
        <f>Grid!N106</f>
        <v/>
      </c>
      <c r="O111" s="193">
        <f>Grid!O106</f>
        <v/>
      </c>
      <c r="P111" s="193">
        <f>Grid!P106</f>
        <v/>
      </c>
      <c r="Q111" s="193">
        <f>Grid!Q106</f>
        <v/>
      </c>
      <c r="R111" s="193">
        <f>Grid!R106</f>
        <v/>
      </c>
      <c r="S111" s="193">
        <f>Grid!S106</f>
        <v/>
      </c>
      <c r="T111" s="193">
        <f>Grid!T106</f>
        <v/>
      </c>
      <c r="U111" s="193">
        <f>Grid!U106</f>
        <v/>
      </c>
      <c r="V111" s="193">
        <f>Grid!V106</f>
        <v/>
      </c>
      <c r="W111" s="193">
        <f>Grid!W106</f>
        <v/>
      </c>
      <c r="X111" s="193">
        <f>Grid!X106</f>
        <v/>
      </c>
      <c r="Y111" s="193">
        <f>Grid!Y106</f>
        <v/>
      </c>
      <c r="Z111" s="193">
        <f>Grid!Z106</f>
        <v/>
      </c>
      <c r="AA111" s="193">
        <f>Grid!AA106</f>
        <v/>
      </c>
      <c r="AB111" s="193">
        <f>Grid!AB106</f>
        <v/>
      </c>
      <c r="AC111" s="193">
        <f>Grid!AC106</f>
        <v/>
      </c>
      <c r="AD111" s="193">
        <f>Grid!AD106</f>
        <v/>
      </c>
      <c r="AE111" s="193">
        <f>Grid!AE106</f>
        <v/>
      </c>
      <c r="AF111" s="193">
        <f>Grid!AF106</f>
        <v/>
      </c>
      <c r="AG111" s="193">
        <f>Grid!AG106</f>
        <v/>
      </c>
    </row>
    <row r="112">
      <c r="B112" s="191">
        <f>'Roster Summary'!C135</f>
        <v/>
      </c>
      <c r="C112" s="192">
        <f>'Roster Summary'!E135</f>
        <v/>
      </c>
      <c r="D112" s="192">
        <f>'Roster Summary'!D135</f>
        <v/>
      </c>
      <c r="E112" s="192">
        <f>'Roster Summary'!F135</f>
        <v/>
      </c>
      <c r="F112" s="193">
        <f>Grid!F107</f>
        <v/>
      </c>
      <c r="G112" s="193">
        <f>Grid!G107</f>
        <v/>
      </c>
      <c r="H112" s="193">
        <f>Grid!H107</f>
        <v/>
      </c>
      <c r="I112" s="193">
        <f>Grid!I107</f>
        <v/>
      </c>
      <c r="J112" s="193">
        <f>Grid!J107</f>
        <v/>
      </c>
      <c r="K112" s="193">
        <f>Grid!K107</f>
        <v/>
      </c>
      <c r="L112" s="193">
        <f>Grid!L107</f>
        <v/>
      </c>
      <c r="M112" s="193">
        <f>Grid!M107</f>
        <v/>
      </c>
      <c r="N112" s="193">
        <f>Grid!N107</f>
        <v/>
      </c>
      <c r="O112" s="193">
        <f>Grid!O107</f>
        <v/>
      </c>
      <c r="P112" s="193">
        <f>Grid!P107</f>
        <v/>
      </c>
      <c r="Q112" s="193">
        <f>Grid!Q107</f>
        <v/>
      </c>
      <c r="R112" s="193">
        <f>Grid!R107</f>
        <v/>
      </c>
      <c r="S112" s="193">
        <f>Grid!S107</f>
        <v/>
      </c>
      <c r="T112" s="193">
        <f>Grid!T107</f>
        <v/>
      </c>
      <c r="U112" s="193">
        <f>Grid!U107</f>
        <v/>
      </c>
      <c r="V112" s="193">
        <f>Grid!V107</f>
        <v/>
      </c>
      <c r="W112" s="193">
        <f>Grid!W107</f>
        <v/>
      </c>
      <c r="X112" s="193">
        <f>Grid!X107</f>
        <v/>
      </c>
      <c r="Y112" s="193">
        <f>Grid!Y107</f>
        <v/>
      </c>
      <c r="Z112" s="193">
        <f>Grid!Z107</f>
        <v/>
      </c>
      <c r="AA112" s="193">
        <f>Grid!AA107</f>
        <v/>
      </c>
      <c r="AB112" s="193">
        <f>Grid!AB107</f>
        <v/>
      </c>
      <c r="AC112" s="193">
        <f>Grid!AC107</f>
        <v/>
      </c>
      <c r="AD112" s="193">
        <f>Grid!AD107</f>
        <v/>
      </c>
      <c r="AE112" s="193">
        <f>Grid!AE107</f>
        <v/>
      </c>
      <c r="AF112" s="193">
        <f>Grid!AF107</f>
        <v/>
      </c>
      <c r="AG112" s="193">
        <f>Grid!AG107</f>
        <v/>
      </c>
    </row>
    <row r="113">
      <c r="B113" s="191">
        <f>'Roster Summary'!C136</f>
        <v/>
      </c>
      <c r="C113" s="192">
        <f>'Roster Summary'!E136</f>
        <v/>
      </c>
      <c r="D113" s="192">
        <f>'Roster Summary'!D136</f>
        <v/>
      </c>
      <c r="E113" s="192">
        <f>'Roster Summary'!F136</f>
        <v/>
      </c>
      <c r="F113" s="193">
        <f>Grid!F108</f>
        <v/>
      </c>
      <c r="G113" s="193">
        <f>Grid!G108</f>
        <v/>
      </c>
      <c r="H113" s="193">
        <f>Grid!H108</f>
        <v/>
      </c>
      <c r="I113" s="193">
        <f>Grid!I108</f>
        <v/>
      </c>
      <c r="J113" s="193">
        <f>Grid!J108</f>
        <v/>
      </c>
      <c r="K113" s="193">
        <f>Grid!K108</f>
        <v/>
      </c>
      <c r="L113" s="193">
        <f>Grid!L108</f>
        <v/>
      </c>
      <c r="M113" s="193">
        <f>Grid!M108</f>
        <v/>
      </c>
      <c r="N113" s="193">
        <f>Grid!N108</f>
        <v/>
      </c>
      <c r="O113" s="193">
        <f>Grid!O108</f>
        <v/>
      </c>
      <c r="P113" s="193">
        <f>Grid!P108</f>
        <v/>
      </c>
      <c r="Q113" s="193">
        <f>Grid!Q108</f>
        <v/>
      </c>
      <c r="R113" s="193">
        <f>Grid!R108</f>
        <v/>
      </c>
      <c r="S113" s="193">
        <f>Grid!S108</f>
        <v/>
      </c>
      <c r="T113" s="193">
        <f>Grid!T108</f>
        <v/>
      </c>
      <c r="U113" s="193">
        <f>Grid!U108</f>
        <v/>
      </c>
      <c r="V113" s="193">
        <f>Grid!V108</f>
        <v/>
      </c>
      <c r="W113" s="193">
        <f>Grid!W108</f>
        <v/>
      </c>
      <c r="X113" s="193">
        <f>Grid!X108</f>
        <v/>
      </c>
      <c r="Y113" s="193">
        <f>Grid!Y108</f>
        <v/>
      </c>
      <c r="Z113" s="193">
        <f>Grid!Z108</f>
        <v/>
      </c>
      <c r="AA113" s="193">
        <f>Grid!AA108</f>
        <v/>
      </c>
      <c r="AB113" s="193">
        <f>Grid!AB108</f>
        <v/>
      </c>
      <c r="AC113" s="193">
        <f>Grid!AC108</f>
        <v/>
      </c>
      <c r="AD113" s="193">
        <f>Grid!AD108</f>
        <v/>
      </c>
      <c r="AE113" s="193">
        <f>Grid!AE108</f>
        <v/>
      </c>
      <c r="AF113" s="193">
        <f>Grid!AF108</f>
        <v/>
      </c>
      <c r="AG113" s="193">
        <f>Grid!AG108</f>
        <v/>
      </c>
    </row>
    <row r="114">
      <c r="B114" s="191">
        <f>'Roster Summary'!C137</f>
        <v/>
      </c>
      <c r="C114" s="192">
        <f>'Roster Summary'!E137</f>
        <v/>
      </c>
      <c r="D114" s="192">
        <f>'Roster Summary'!D137</f>
        <v/>
      </c>
      <c r="E114" s="192">
        <f>'Roster Summary'!F137</f>
        <v/>
      </c>
      <c r="F114" s="193">
        <f>Grid!F109</f>
        <v/>
      </c>
      <c r="G114" s="193">
        <f>Grid!G109</f>
        <v/>
      </c>
      <c r="H114" s="193">
        <f>Grid!H109</f>
        <v/>
      </c>
      <c r="I114" s="193">
        <f>Grid!I109</f>
        <v/>
      </c>
      <c r="J114" s="193">
        <f>Grid!J109</f>
        <v/>
      </c>
      <c r="K114" s="193">
        <f>Grid!K109</f>
        <v/>
      </c>
      <c r="L114" s="193">
        <f>Grid!L109</f>
        <v/>
      </c>
      <c r="M114" s="193">
        <f>Grid!M109</f>
        <v/>
      </c>
      <c r="N114" s="193">
        <f>Grid!N109</f>
        <v/>
      </c>
      <c r="O114" s="193">
        <f>Grid!O109</f>
        <v/>
      </c>
      <c r="P114" s="193">
        <f>Grid!P109</f>
        <v/>
      </c>
      <c r="Q114" s="193">
        <f>Grid!Q109</f>
        <v/>
      </c>
      <c r="R114" s="193">
        <f>Grid!R109</f>
        <v/>
      </c>
      <c r="S114" s="193">
        <f>Grid!S109</f>
        <v/>
      </c>
      <c r="T114" s="193">
        <f>Grid!T109</f>
        <v/>
      </c>
      <c r="U114" s="193">
        <f>Grid!U109</f>
        <v/>
      </c>
      <c r="V114" s="193">
        <f>Grid!V109</f>
        <v/>
      </c>
      <c r="W114" s="193">
        <f>Grid!W109</f>
        <v/>
      </c>
      <c r="X114" s="193">
        <f>Grid!X109</f>
        <v/>
      </c>
      <c r="Y114" s="193">
        <f>Grid!Y109</f>
        <v/>
      </c>
      <c r="Z114" s="193">
        <f>Grid!Z109</f>
        <v/>
      </c>
      <c r="AA114" s="193">
        <f>Grid!AA109</f>
        <v/>
      </c>
      <c r="AB114" s="193">
        <f>Grid!AB109</f>
        <v/>
      </c>
      <c r="AC114" s="193">
        <f>Grid!AC109</f>
        <v/>
      </c>
      <c r="AD114" s="193">
        <f>Grid!AD109</f>
        <v/>
      </c>
      <c r="AE114" s="193">
        <f>Grid!AE109</f>
        <v/>
      </c>
      <c r="AF114" s="193">
        <f>Grid!AF109</f>
        <v/>
      </c>
      <c r="AG114" s="193">
        <f>Grid!AG109</f>
        <v/>
      </c>
    </row>
    <row r="115">
      <c r="B115" s="191">
        <f>'Roster Summary'!C138</f>
        <v/>
      </c>
      <c r="C115" s="192">
        <f>'Roster Summary'!E138</f>
        <v/>
      </c>
      <c r="D115" s="192">
        <f>'Roster Summary'!D138</f>
        <v/>
      </c>
      <c r="E115" s="192">
        <f>'Roster Summary'!F138</f>
        <v/>
      </c>
      <c r="F115" s="193">
        <f>Grid!F110</f>
        <v/>
      </c>
      <c r="G115" s="193">
        <f>Grid!G110</f>
        <v/>
      </c>
      <c r="H115" s="193">
        <f>Grid!H110</f>
        <v/>
      </c>
      <c r="I115" s="193">
        <f>Grid!I110</f>
        <v/>
      </c>
      <c r="J115" s="193">
        <f>Grid!J110</f>
        <v/>
      </c>
      <c r="K115" s="193">
        <f>Grid!K110</f>
        <v/>
      </c>
      <c r="L115" s="193">
        <f>Grid!L110</f>
        <v/>
      </c>
      <c r="M115" s="193">
        <f>Grid!M110</f>
        <v/>
      </c>
      <c r="N115" s="193">
        <f>Grid!N110</f>
        <v/>
      </c>
      <c r="O115" s="193">
        <f>Grid!O110</f>
        <v/>
      </c>
      <c r="P115" s="193">
        <f>Grid!P110</f>
        <v/>
      </c>
      <c r="Q115" s="193">
        <f>Grid!Q110</f>
        <v/>
      </c>
      <c r="R115" s="193">
        <f>Grid!R110</f>
        <v/>
      </c>
      <c r="S115" s="193">
        <f>Grid!S110</f>
        <v/>
      </c>
      <c r="T115" s="193">
        <f>Grid!T110</f>
        <v/>
      </c>
      <c r="U115" s="193">
        <f>Grid!U110</f>
        <v/>
      </c>
      <c r="V115" s="193">
        <f>Grid!V110</f>
        <v/>
      </c>
      <c r="W115" s="193">
        <f>Grid!W110</f>
        <v/>
      </c>
      <c r="X115" s="193">
        <f>Grid!X110</f>
        <v/>
      </c>
      <c r="Y115" s="193">
        <f>Grid!Y110</f>
        <v/>
      </c>
      <c r="Z115" s="193">
        <f>Grid!Z110</f>
        <v/>
      </c>
      <c r="AA115" s="193">
        <f>Grid!AA110</f>
        <v/>
      </c>
      <c r="AB115" s="193">
        <f>Grid!AB110</f>
        <v/>
      </c>
      <c r="AC115" s="193">
        <f>Grid!AC110</f>
        <v/>
      </c>
      <c r="AD115" s="193">
        <f>Grid!AD110</f>
        <v/>
      </c>
      <c r="AE115" s="193">
        <f>Grid!AE110</f>
        <v/>
      </c>
      <c r="AF115" s="193">
        <f>Grid!AF110</f>
        <v/>
      </c>
      <c r="AG115" s="193">
        <f>Grid!AG110</f>
        <v/>
      </c>
    </row>
    <row r="116">
      <c r="B116" s="191">
        <f>'Roster Summary'!C139</f>
        <v/>
      </c>
      <c r="C116" s="192">
        <f>'Roster Summary'!E139</f>
        <v/>
      </c>
      <c r="D116" s="192">
        <f>'Roster Summary'!D139</f>
        <v/>
      </c>
      <c r="E116" s="192">
        <f>'Roster Summary'!F139</f>
        <v/>
      </c>
      <c r="F116" s="193">
        <f>Grid!F111</f>
        <v/>
      </c>
      <c r="G116" s="193">
        <f>Grid!G111</f>
        <v/>
      </c>
      <c r="H116" s="193">
        <f>Grid!H111</f>
        <v/>
      </c>
      <c r="I116" s="193">
        <f>Grid!I111</f>
        <v/>
      </c>
      <c r="J116" s="193">
        <f>Grid!J111</f>
        <v/>
      </c>
      <c r="K116" s="193">
        <f>Grid!K111</f>
        <v/>
      </c>
      <c r="L116" s="193">
        <f>Grid!L111</f>
        <v/>
      </c>
      <c r="M116" s="193">
        <f>Grid!M111</f>
        <v/>
      </c>
      <c r="N116" s="193">
        <f>Grid!N111</f>
        <v/>
      </c>
      <c r="O116" s="193">
        <f>Grid!O111</f>
        <v/>
      </c>
      <c r="P116" s="193">
        <f>Grid!P111</f>
        <v/>
      </c>
      <c r="Q116" s="193">
        <f>Grid!Q111</f>
        <v/>
      </c>
      <c r="R116" s="193">
        <f>Grid!R111</f>
        <v/>
      </c>
      <c r="S116" s="193">
        <f>Grid!S111</f>
        <v/>
      </c>
      <c r="T116" s="193">
        <f>Grid!T111</f>
        <v/>
      </c>
      <c r="U116" s="193">
        <f>Grid!U111</f>
        <v/>
      </c>
      <c r="V116" s="193">
        <f>Grid!V111</f>
        <v/>
      </c>
      <c r="W116" s="193">
        <f>Grid!W111</f>
        <v/>
      </c>
      <c r="X116" s="193">
        <f>Grid!X111</f>
        <v/>
      </c>
      <c r="Y116" s="193">
        <f>Grid!Y111</f>
        <v/>
      </c>
      <c r="Z116" s="193">
        <f>Grid!Z111</f>
        <v/>
      </c>
      <c r="AA116" s="193">
        <f>Grid!AA111</f>
        <v/>
      </c>
      <c r="AB116" s="193">
        <f>Grid!AB111</f>
        <v/>
      </c>
      <c r="AC116" s="193">
        <f>Grid!AC111</f>
        <v/>
      </c>
      <c r="AD116" s="193">
        <f>Grid!AD111</f>
        <v/>
      </c>
      <c r="AE116" s="193">
        <f>Grid!AE111</f>
        <v/>
      </c>
      <c r="AF116" s="193">
        <f>Grid!AF111</f>
        <v/>
      </c>
      <c r="AG116" s="193">
        <f>Grid!AG111</f>
        <v/>
      </c>
    </row>
    <row r="117">
      <c r="B117" s="191">
        <f>'Roster Summary'!C140</f>
        <v/>
      </c>
      <c r="C117" s="192">
        <f>'Roster Summary'!E140</f>
        <v/>
      </c>
      <c r="D117" s="192">
        <f>'Roster Summary'!D140</f>
        <v/>
      </c>
      <c r="E117" s="192">
        <f>'Roster Summary'!F140</f>
        <v/>
      </c>
      <c r="F117" s="193">
        <f>Grid!F112</f>
        <v/>
      </c>
      <c r="G117" s="193">
        <f>Grid!G112</f>
        <v/>
      </c>
      <c r="H117" s="193">
        <f>Grid!H112</f>
        <v/>
      </c>
      <c r="I117" s="193">
        <f>Grid!I112</f>
        <v/>
      </c>
      <c r="J117" s="193">
        <f>Grid!J112</f>
        <v/>
      </c>
      <c r="K117" s="193">
        <f>Grid!K112</f>
        <v/>
      </c>
      <c r="L117" s="193">
        <f>Grid!L112</f>
        <v/>
      </c>
      <c r="M117" s="193">
        <f>Grid!M112</f>
        <v/>
      </c>
      <c r="N117" s="193">
        <f>Grid!N112</f>
        <v/>
      </c>
      <c r="O117" s="193">
        <f>Grid!O112</f>
        <v/>
      </c>
      <c r="P117" s="193">
        <f>Grid!P112</f>
        <v/>
      </c>
      <c r="Q117" s="193">
        <f>Grid!Q112</f>
        <v/>
      </c>
      <c r="R117" s="193">
        <f>Grid!R112</f>
        <v/>
      </c>
      <c r="S117" s="193">
        <f>Grid!S112</f>
        <v/>
      </c>
      <c r="T117" s="193">
        <f>Grid!T112</f>
        <v/>
      </c>
      <c r="U117" s="193">
        <f>Grid!U112</f>
        <v/>
      </c>
      <c r="V117" s="193">
        <f>Grid!V112</f>
        <v/>
      </c>
      <c r="W117" s="193">
        <f>Grid!W112</f>
        <v/>
      </c>
      <c r="X117" s="193">
        <f>Grid!X112</f>
        <v/>
      </c>
      <c r="Y117" s="193">
        <f>Grid!Y112</f>
        <v/>
      </c>
      <c r="Z117" s="193">
        <f>Grid!Z112</f>
        <v/>
      </c>
      <c r="AA117" s="193">
        <f>Grid!AA112</f>
        <v/>
      </c>
      <c r="AB117" s="193">
        <f>Grid!AB112</f>
        <v/>
      </c>
      <c r="AC117" s="193">
        <f>Grid!AC112</f>
        <v/>
      </c>
      <c r="AD117" s="193">
        <f>Grid!AD112</f>
        <v/>
      </c>
      <c r="AE117" s="193">
        <f>Grid!AE112</f>
        <v/>
      </c>
      <c r="AF117" s="193">
        <f>Grid!AF112</f>
        <v/>
      </c>
      <c r="AG117" s="193">
        <f>Grid!AG112</f>
        <v/>
      </c>
    </row>
    <row r="118">
      <c r="B118" s="191">
        <f>'Roster Summary'!C141</f>
        <v/>
      </c>
      <c r="C118" s="192">
        <f>'Roster Summary'!E141</f>
        <v/>
      </c>
      <c r="D118" s="192">
        <f>'Roster Summary'!D141</f>
        <v/>
      </c>
      <c r="E118" s="192">
        <f>'Roster Summary'!F141</f>
        <v/>
      </c>
      <c r="F118" s="193">
        <f>Grid!F113</f>
        <v/>
      </c>
      <c r="G118" s="193">
        <f>Grid!G113</f>
        <v/>
      </c>
      <c r="H118" s="193">
        <f>Grid!H113</f>
        <v/>
      </c>
      <c r="I118" s="193">
        <f>Grid!I113</f>
        <v/>
      </c>
      <c r="J118" s="193">
        <f>Grid!J113</f>
        <v/>
      </c>
      <c r="K118" s="193">
        <f>Grid!K113</f>
        <v/>
      </c>
      <c r="L118" s="193">
        <f>Grid!L113</f>
        <v/>
      </c>
      <c r="M118" s="193">
        <f>Grid!M113</f>
        <v/>
      </c>
      <c r="N118" s="193">
        <f>Grid!N113</f>
        <v/>
      </c>
      <c r="O118" s="193">
        <f>Grid!O113</f>
        <v/>
      </c>
      <c r="P118" s="193">
        <f>Grid!P113</f>
        <v/>
      </c>
      <c r="Q118" s="193">
        <f>Grid!Q113</f>
        <v/>
      </c>
      <c r="R118" s="193">
        <f>Grid!R113</f>
        <v/>
      </c>
      <c r="S118" s="193">
        <f>Grid!S113</f>
        <v/>
      </c>
      <c r="T118" s="193">
        <f>Grid!T113</f>
        <v/>
      </c>
      <c r="U118" s="193">
        <f>Grid!U113</f>
        <v/>
      </c>
      <c r="V118" s="193">
        <f>Grid!V113</f>
        <v/>
      </c>
      <c r="W118" s="193">
        <f>Grid!W113</f>
        <v/>
      </c>
      <c r="X118" s="193">
        <f>Grid!X113</f>
        <v/>
      </c>
      <c r="Y118" s="193">
        <f>Grid!Y113</f>
        <v/>
      </c>
      <c r="Z118" s="193">
        <f>Grid!Z113</f>
        <v/>
      </c>
      <c r="AA118" s="193">
        <f>Grid!AA113</f>
        <v/>
      </c>
      <c r="AB118" s="193">
        <f>Grid!AB113</f>
        <v/>
      </c>
      <c r="AC118" s="193">
        <f>Grid!AC113</f>
        <v/>
      </c>
      <c r="AD118" s="193">
        <f>Grid!AD113</f>
        <v/>
      </c>
      <c r="AE118" s="193">
        <f>Grid!AE113</f>
        <v/>
      </c>
      <c r="AF118" s="193">
        <f>Grid!AF113</f>
        <v/>
      </c>
      <c r="AG118" s="193">
        <f>Grid!AG113</f>
        <v/>
      </c>
    </row>
    <row r="119">
      <c r="B119" s="191">
        <f>'Roster Summary'!C142</f>
        <v/>
      </c>
      <c r="C119" s="192">
        <f>'Roster Summary'!E142</f>
        <v/>
      </c>
      <c r="D119" s="192">
        <f>'Roster Summary'!D142</f>
        <v/>
      </c>
      <c r="E119" s="192">
        <f>'Roster Summary'!F142</f>
        <v/>
      </c>
      <c r="F119" s="193">
        <f>Grid!F114</f>
        <v/>
      </c>
      <c r="G119" s="193">
        <f>Grid!G114</f>
        <v/>
      </c>
      <c r="H119" s="193">
        <f>Grid!H114</f>
        <v/>
      </c>
      <c r="I119" s="193">
        <f>Grid!I114</f>
        <v/>
      </c>
      <c r="J119" s="193">
        <f>Grid!J114</f>
        <v/>
      </c>
      <c r="K119" s="193">
        <f>Grid!K114</f>
        <v/>
      </c>
      <c r="L119" s="193">
        <f>Grid!L114</f>
        <v/>
      </c>
      <c r="M119" s="193">
        <f>Grid!M114</f>
        <v/>
      </c>
      <c r="N119" s="193">
        <f>Grid!N114</f>
        <v/>
      </c>
      <c r="O119" s="193">
        <f>Grid!O114</f>
        <v/>
      </c>
      <c r="P119" s="193">
        <f>Grid!P114</f>
        <v/>
      </c>
      <c r="Q119" s="193">
        <f>Grid!Q114</f>
        <v/>
      </c>
      <c r="R119" s="193">
        <f>Grid!R114</f>
        <v/>
      </c>
      <c r="S119" s="193">
        <f>Grid!S114</f>
        <v/>
      </c>
      <c r="T119" s="193">
        <f>Grid!T114</f>
        <v/>
      </c>
      <c r="U119" s="193">
        <f>Grid!U114</f>
        <v/>
      </c>
      <c r="V119" s="193">
        <f>Grid!V114</f>
        <v/>
      </c>
      <c r="W119" s="193">
        <f>Grid!W114</f>
        <v/>
      </c>
      <c r="X119" s="193">
        <f>Grid!X114</f>
        <v/>
      </c>
      <c r="Y119" s="193">
        <f>Grid!Y114</f>
        <v/>
      </c>
      <c r="Z119" s="193">
        <f>Grid!Z114</f>
        <v/>
      </c>
      <c r="AA119" s="193">
        <f>Grid!AA114</f>
        <v/>
      </c>
      <c r="AB119" s="193">
        <f>Grid!AB114</f>
        <v/>
      </c>
      <c r="AC119" s="193">
        <f>Grid!AC114</f>
        <v/>
      </c>
      <c r="AD119" s="193">
        <f>Grid!AD114</f>
        <v/>
      </c>
      <c r="AE119" s="193">
        <f>Grid!AE114</f>
        <v/>
      </c>
      <c r="AF119" s="193">
        <f>Grid!AF114</f>
        <v/>
      </c>
      <c r="AG119" s="193">
        <f>Grid!AG114</f>
        <v/>
      </c>
    </row>
    <row r="120">
      <c r="B120" s="191">
        <f>'Roster Summary'!C143</f>
        <v/>
      </c>
      <c r="C120" s="192">
        <f>'Roster Summary'!E143</f>
        <v/>
      </c>
      <c r="D120" s="192">
        <f>'Roster Summary'!D143</f>
        <v/>
      </c>
      <c r="E120" s="192">
        <f>'Roster Summary'!F143</f>
        <v/>
      </c>
      <c r="F120" s="193">
        <f>Grid!F115</f>
        <v/>
      </c>
      <c r="G120" s="193">
        <f>Grid!G115</f>
        <v/>
      </c>
      <c r="H120" s="193">
        <f>Grid!H115</f>
        <v/>
      </c>
      <c r="I120" s="193">
        <f>Grid!I115</f>
        <v/>
      </c>
      <c r="J120" s="193">
        <f>Grid!J115</f>
        <v/>
      </c>
      <c r="K120" s="193">
        <f>Grid!K115</f>
        <v/>
      </c>
      <c r="L120" s="193">
        <f>Grid!L115</f>
        <v/>
      </c>
      <c r="M120" s="193">
        <f>Grid!M115</f>
        <v/>
      </c>
      <c r="N120" s="193">
        <f>Grid!N115</f>
        <v/>
      </c>
      <c r="O120" s="193">
        <f>Grid!O115</f>
        <v/>
      </c>
      <c r="P120" s="193">
        <f>Grid!P115</f>
        <v/>
      </c>
      <c r="Q120" s="193">
        <f>Grid!Q115</f>
        <v/>
      </c>
      <c r="R120" s="193">
        <f>Grid!R115</f>
        <v/>
      </c>
      <c r="S120" s="193">
        <f>Grid!S115</f>
        <v/>
      </c>
      <c r="T120" s="193">
        <f>Grid!T115</f>
        <v/>
      </c>
      <c r="U120" s="193">
        <f>Grid!U115</f>
        <v/>
      </c>
      <c r="V120" s="193">
        <f>Grid!V115</f>
        <v/>
      </c>
      <c r="W120" s="193">
        <f>Grid!W115</f>
        <v/>
      </c>
      <c r="X120" s="193">
        <f>Grid!X115</f>
        <v/>
      </c>
      <c r="Y120" s="193">
        <f>Grid!Y115</f>
        <v/>
      </c>
      <c r="Z120" s="193">
        <f>Grid!Z115</f>
        <v/>
      </c>
      <c r="AA120" s="193">
        <f>Grid!AA115</f>
        <v/>
      </c>
      <c r="AB120" s="193">
        <f>Grid!AB115</f>
        <v/>
      </c>
      <c r="AC120" s="193">
        <f>Grid!AC115</f>
        <v/>
      </c>
      <c r="AD120" s="193">
        <f>Grid!AD115</f>
        <v/>
      </c>
      <c r="AE120" s="193">
        <f>Grid!AE115</f>
        <v/>
      </c>
      <c r="AF120" s="193">
        <f>Grid!AF115</f>
        <v/>
      </c>
      <c r="AG120" s="193">
        <f>Grid!AG115</f>
        <v/>
      </c>
    </row>
    <row r="121">
      <c r="B121" s="191">
        <f>'Roster Summary'!C144</f>
        <v/>
      </c>
      <c r="C121" s="192">
        <f>'Roster Summary'!E144</f>
        <v/>
      </c>
      <c r="D121" s="192">
        <f>'Roster Summary'!D144</f>
        <v/>
      </c>
      <c r="E121" s="192">
        <f>'Roster Summary'!F144</f>
        <v/>
      </c>
      <c r="F121" s="193">
        <f>Grid!F116</f>
        <v/>
      </c>
      <c r="G121" s="193">
        <f>Grid!G116</f>
        <v/>
      </c>
      <c r="H121" s="193">
        <f>Grid!H116</f>
        <v/>
      </c>
      <c r="I121" s="193">
        <f>Grid!I116</f>
        <v/>
      </c>
      <c r="J121" s="193">
        <f>Grid!J116</f>
        <v/>
      </c>
      <c r="K121" s="193">
        <f>Grid!K116</f>
        <v/>
      </c>
      <c r="L121" s="193">
        <f>Grid!L116</f>
        <v/>
      </c>
      <c r="M121" s="193">
        <f>Grid!M116</f>
        <v/>
      </c>
      <c r="N121" s="193">
        <f>Grid!N116</f>
        <v/>
      </c>
      <c r="O121" s="193">
        <f>Grid!O116</f>
        <v/>
      </c>
      <c r="P121" s="193">
        <f>Grid!P116</f>
        <v/>
      </c>
      <c r="Q121" s="193">
        <f>Grid!Q116</f>
        <v/>
      </c>
      <c r="R121" s="193">
        <f>Grid!R116</f>
        <v/>
      </c>
      <c r="S121" s="193">
        <f>Grid!S116</f>
        <v/>
      </c>
      <c r="T121" s="193">
        <f>Grid!T116</f>
        <v/>
      </c>
      <c r="U121" s="193">
        <f>Grid!U116</f>
        <v/>
      </c>
      <c r="V121" s="193">
        <f>Grid!V116</f>
        <v/>
      </c>
      <c r="W121" s="193">
        <f>Grid!W116</f>
        <v/>
      </c>
      <c r="X121" s="193">
        <f>Grid!X116</f>
        <v/>
      </c>
      <c r="Y121" s="193">
        <f>Grid!Y116</f>
        <v/>
      </c>
      <c r="Z121" s="193">
        <f>Grid!Z116</f>
        <v/>
      </c>
      <c r="AA121" s="193">
        <f>Grid!AA116</f>
        <v/>
      </c>
      <c r="AB121" s="193">
        <f>Grid!AB116</f>
        <v/>
      </c>
      <c r="AC121" s="193">
        <f>Grid!AC116</f>
        <v/>
      </c>
      <c r="AD121" s="193">
        <f>Grid!AD116</f>
        <v/>
      </c>
      <c r="AE121" s="193">
        <f>Grid!AE116</f>
        <v/>
      </c>
      <c r="AF121" s="193">
        <f>Grid!AF116</f>
        <v/>
      </c>
      <c r="AG121" s="193">
        <f>Grid!AG116</f>
        <v/>
      </c>
    </row>
    <row r="122">
      <c r="B122" s="191">
        <f>'Roster Summary'!C145</f>
        <v/>
      </c>
      <c r="C122" s="192">
        <f>'Roster Summary'!E145</f>
        <v/>
      </c>
      <c r="D122" s="192">
        <f>'Roster Summary'!D145</f>
        <v/>
      </c>
      <c r="E122" s="192">
        <f>'Roster Summary'!F145</f>
        <v/>
      </c>
      <c r="F122" s="193">
        <f>Grid!F117</f>
        <v/>
      </c>
      <c r="G122" s="193">
        <f>Grid!G117</f>
        <v/>
      </c>
      <c r="H122" s="193">
        <f>Grid!H117</f>
        <v/>
      </c>
      <c r="I122" s="193">
        <f>Grid!I117</f>
        <v/>
      </c>
      <c r="J122" s="193">
        <f>Grid!J117</f>
        <v/>
      </c>
      <c r="K122" s="193">
        <f>Grid!K117</f>
        <v/>
      </c>
      <c r="L122" s="193">
        <f>Grid!L117</f>
        <v/>
      </c>
      <c r="M122" s="193">
        <f>Grid!M117</f>
        <v/>
      </c>
      <c r="N122" s="193">
        <f>Grid!N117</f>
        <v/>
      </c>
      <c r="O122" s="193">
        <f>Grid!O117</f>
        <v/>
      </c>
      <c r="P122" s="193">
        <f>Grid!P117</f>
        <v/>
      </c>
      <c r="Q122" s="193">
        <f>Grid!Q117</f>
        <v/>
      </c>
      <c r="R122" s="193">
        <f>Grid!R117</f>
        <v/>
      </c>
      <c r="S122" s="193">
        <f>Grid!S117</f>
        <v/>
      </c>
      <c r="T122" s="193">
        <f>Grid!T117</f>
        <v/>
      </c>
      <c r="U122" s="193">
        <f>Grid!U117</f>
        <v/>
      </c>
      <c r="V122" s="193">
        <f>Grid!V117</f>
        <v/>
      </c>
      <c r="W122" s="193">
        <f>Grid!W117</f>
        <v/>
      </c>
      <c r="X122" s="193">
        <f>Grid!X117</f>
        <v/>
      </c>
      <c r="Y122" s="193">
        <f>Grid!Y117</f>
        <v/>
      </c>
      <c r="Z122" s="193">
        <f>Grid!Z117</f>
        <v/>
      </c>
      <c r="AA122" s="193">
        <f>Grid!AA117</f>
        <v/>
      </c>
      <c r="AB122" s="193">
        <f>Grid!AB117</f>
        <v/>
      </c>
      <c r="AC122" s="193">
        <f>Grid!AC117</f>
        <v/>
      </c>
      <c r="AD122" s="193">
        <f>Grid!AD117</f>
        <v/>
      </c>
      <c r="AE122" s="193">
        <f>Grid!AE117</f>
        <v/>
      </c>
      <c r="AF122" s="193">
        <f>Grid!AF117</f>
        <v/>
      </c>
      <c r="AG122" s="193">
        <f>Grid!AG117</f>
        <v/>
      </c>
    </row>
    <row r="123">
      <c r="B123" s="191">
        <f>'Roster Summary'!C146</f>
        <v/>
      </c>
      <c r="C123" s="192">
        <f>'Roster Summary'!E146</f>
        <v/>
      </c>
      <c r="D123" s="192">
        <f>'Roster Summary'!D146</f>
        <v/>
      </c>
      <c r="E123" s="192">
        <f>'Roster Summary'!F146</f>
        <v/>
      </c>
      <c r="F123" s="193">
        <f>Grid!F118</f>
        <v/>
      </c>
      <c r="G123" s="193">
        <f>Grid!G118</f>
        <v/>
      </c>
      <c r="H123" s="193">
        <f>Grid!H118</f>
        <v/>
      </c>
      <c r="I123" s="193">
        <f>Grid!I118</f>
        <v/>
      </c>
      <c r="J123" s="193">
        <f>Grid!J118</f>
        <v/>
      </c>
      <c r="K123" s="193">
        <f>Grid!K118</f>
        <v/>
      </c>
      <c r="L123" s="193">
        <f>Grid!L118</f>
        <v/>
      </c>
      <c r="M123" s="193">
        <f>Grid!M118</f>
        <v/>
      </c>
      <c r="N123" s="193">
        <f>Grid!N118</f>
        <v/>
      </c>
      <c r="O123" s="193">
        <f>Grid!O118</f>
        <v/>
      </c>
      <c r="P123" s="193">
        <f>Grid!P118</f>
        <v/>
      </c>
      <c r="Q123" s="193">
        <f>Grid!Q118</f>
        <v/>
      </c>
      <c r="R123" s="193">
        <f>Grid!R118</f>
        <v/>
      </c>
      <c r="S123" s="193">
        <f>Grid!S118</f>
        <v/>
      </c>
      <c r="T123" s="193">
        <f>Grid!T118</f>
        <v/>
      </c>
      <c r="U123" s="193">
        <f>Grid!U118</f>
        <v/>
      </c>
      <c r="V123" s="193">
        <f>Grid!V118</f>
        <v/>
      </c>
      <c r="W123" s="193">
        <f>Grid!W118</f>
        <v/>
      </c>
      <c r="X123" s="193">
        <f>Grid!X118</f>
        <v/>
      </c>
      <c r="Y123" s="193">
        <f>Grid!Y118</f>
        <v/>
      </c>
      <c r="Z123" s="193">
        <f>Grid!Z118</f>
        <v/>
      </c>
      <c r="AA123" s="193">
        <f>Grid!AA118</f>
        <v/>
      </c>
      <c r="AB123" s="193">
        <f>Grid!AB118</f>
        <v/>
      </c>
      <c r="AC123" s="193">
        <f>Grid!AC118</f>
        <v/>
      </c>
      <c r="AD123" s="193">
        <f>Grid!AD118</f>
        <v/>
      </c>
      <c r="AE123" s="193">
        <f>Grid!AE118</f>
        <v/>
      </c>
      <c r="AF123" s="193">
        <f>Grid!AF118</f>
        <v/>
      </c>
      <c r="AG123" s="193">
        <f>Grid!AG118</f>
        <v/>
      </c>
    </row>
    <row r="124">
      <c r="B124" s="191">
        <f>'Roster Summary'!C147</f>
        <v/>
      </c>
      <c r="C124" s="192">
        <f>'Roster Summary'!E147</f>
        <v/>
      </c>
      <c r="D124" s="192">
        <f>'Roster Summary'!D147</f>
        <v/>
      </c>
      <c r="E124" s="192">
        <f>'Roster Summary'!F147</f>
        <v/>
      </c>
      <c r="F124" s="193">
        <f>Grid!F119</f>
        <v/>
      </c>
      <c r="G124" s="193">
        <f>Grid!G119</f>
        <v/>
      </c>
      <c r="H124" s="193">
        <f>Grid!H119</f>
        <v/>
      </c>
      <c r="I124" s="193">
        <f>Grid!I119</f>
        <v/>
      </c>
      <c r="J124" s="193">
        <f>Grid!J119</f>
        <v/>
      </c>
      <c r="K124" s="193">
        <f>Grid!K119</f>
        <v/>
      </c>
      <c r="L124" s="193">
        <f>Grid!L119</f>
        <v/>
      </c>
      <c r="M124" s="193">
        <f>Grid!M119</f>
        <v/>
      </c>
      <c r="N124" s="193">
        <f>Grid!N119</f>
        <v/>
      </c>
      <c r="O124" s="193">
        <f>Grid!O119</f>
        <v/>
      </c>
      <c r="P124" s="193">
        <f>Grid!P119</f>
        <v/>
      </c>
      <c r="Q124" s="193">
        <f>Grid!Q119</f>
        <v/>
      </c>
      <c r="R124" s="193">
        <f>Grid!R119</f>
        <v/>
      </c>
      <c r="S124" s="193">
        <f>Grid!S119</f>
        <v/>
      </c>
      <c r="T124" s="193">
        <f>Grid!T119</f>
        <v/>
      </c>
      <c r="U124" s="193">
        <f>Grid!U119</f>
        <v/>
      </c>
      <c r="V124" s="193">
        <f>Grid!V119</f>
        <v/>
      </c>
      <c r="W124" s="193">
        <f>Grid!W119</f>
        <v/>
      </c>
      <c r="X124" s="193">
        <f>Grid!X119</f>
        <v/>
      </c>
      <c r="Y124" s="193">
        <f>Grid!Y119</f>
        <v/>
      </c>
      <c r="Z124" s="193">
        <f>Grid!Z119</f>
        <v/>
      </c>
      <c r="AA124" s="193">
        <f>Grid!AA119</f>
        <v/>
      </c>
      <c r="AB124" s="193">
        <f>Grid!AB119</f>
        <v/>
      </c>
      <c r="AC124" s="193">
        <f>Grid!AC119</f>
        <v/>
      </c>
      <c r="AD124" s="193">
        <f>Grid!AD119</f>
        <v/>
      </c>
      <c r="AE124" s="193">
        <f>Grid!AE119</f>
        <v/>
      </c>
      <c r="AF124" s="193">
        <f>Grid!AF119</f>
        <v/>
      </c>
      <c r="AG124" s="193">
        <f>Grid!AG119</f>
        <v/>
      </c>
    </row>
    <row r="125">
      <c r="B125" s="191">
        <f>'Roster Summary'!C148</f>
        <v/>
      </c>
      <c r="C125" s="192">
        <f>'Roster Summary'!E148</f>
        <v/>
      </c>
      <c r="D125" s="192">
        <f>'Roster Summary'!D148</f>
        <v/>
      </c>
      <c r="E125" s="192">
        <f>'Roster Summary'!F148</f>
        <v/>
      </c>
      <c r="F125" s="193">
        <f>Grid!F120</f>
        <v/>
      </c>
      <c r="G125" s="193">
        <f>Grid!G120</f>
        <v/>
      </c>
      <c r="H125" s="193">
        <f>Grid!H120</f>
        <v/>
      </c>
      <c r="I125" s="193">
        <f>Grid!I120</f>
        <v/>
      </c>
      <c r="J125" s="193">
        <f>Grid!J120</f>
        <v/>
      </c>
      <c r="K125" s="193">
        <f>Grid!K120</f>
        <v/>
      </c>
      <c r="L125" s="193">
        <f>Grid!L120</f>
        <v/>
      </c>
      <c r="M125" s="193">
        <f>Grid!M120</f>
        <v/>
      </c>
      <c r="N125" s="193">
        <f>Grid!N120</f>
        <v/>
      </c>
      <c r="O125" s="193">
        <f>Grid!O120</f>
        <v/>
      </c>
      <c r="P125" s="193">
        <f>Grid!P120</f>
        <v/>
      </c>
      <c r="Q125" s="193">
        <f>Grid!Q120</f>
        <v/>
      </c>
      <c r="R125" s="193">
        <f>Grid!R120</f>
        <v/>
      </c>
      <c r="S125" s="193">
        <f>Grid!S120</f>
        <v/>
      </c>
      <c r="T125" s="193">
        <f>Grid!T120</f>
        <v/>
      </c>
      <c r="U125" s="193">
        <f>Grid!U120</f>
        <v/>
      </c>
      <c r="V125" s="193">
        <f>Grid!V120</f>
        <v/>
      </c>
      <c r="W125" s="193">
        <f>Grid!W120</f>
        <v/>
      </c>
      <c r="X125" s="193">
        <f>Grid!X120</f>
        <v/>
      </c>
      <c r="Y125" s="193">
        <f>Grid!Y120</f>
        <v/>
      </c>
      <c r="Z125" s="193">
        <f>Grid!Z120</f>
        <v/>
      </c>
      <c r="AA125" s="193">
        <f>Grid!AA120</f>
        <v/>
      </c>
      <c r="AB125" s="193">
        <f>Grid!AB120</f>
        <v/>
      </c>
      <c r="AC125" s="193">
        <f>Grid!AC120</f>
        <v/>
      </c>
      <c r="AD125" s="193">
        <f>Grid!AD120</f>
        <v/>
      </c>
      <c r="AE125" s="193">
        <f>Grid!AE120</f>
        <v/>
      </c>
      <c r="AF125" s="193">
        <f>Grid!AF120</f>
        <v/>
      </c>
      <c r="AG125" s="193">
        <f>Grid!AG120</f>
        <v/>
      </c>
    </row>
    <row r="126">
      <c r="B126" s="191">
        <f>'Roster Summary'!C149</f>
        <v/>
      </c>
      <c r="C126" s="192">
        <f>'Roster Summary'!E149</f>
        <v/>
      </c>
      <c r="D126" s="192">
        <f>'Roster Summary'!D149</f>
        <v/>
      </c>
      <c r="E126" s="192">
        <f>'Roster Summary'!F149</f>
        <v/>
      </c>
      <c r="F126" s="193">
        <f>Grid!F121</f>
        <v/>
      </c>
      <c r="G126" s="193">
        <f>Grid!G121</f>
        <v/>
      </c>
      <c r="H126" s="193">
        <f>Grid!H121</f>
        <v/>
      </c>
      <c r="I126" s="193">
        <f>Grid!I121</f>
        <v/>
      </c>
      <c r="J126" s="193">
        <f>Grid!J121</f>
        <v/>
      </c>
      <c r="K126" s="193">
        <f>Grid!K121</f>
        <v/>
      </c>
      <c r="L126" s="193">
        <f>Grid!L121</f>
        <v/>
      </c>
      <c r="M126" s="193">
        <f>Grid!M121</f>
        <v/>
      </c>
      <c r="N126" s="193">
        <f>Grid!N121</f>
        <v/>
      </c>
      <c r="O126" s="193">
        <f>Grid!O121</f>
        <v/>
      </c>
      <c r="P126" s="193">
        <f>Grid!P121</f>
        <v/>
      </c>
      <c r="Q126" s="193">
        <f>Grid!Q121</f>
        <v/>
      </c>
      <c r="R126" s="193">
        <f>Grid!R121</f>
        <v/>
      </c>
      <c r="S126" s="193">
        <f>Grid!S121</f>
        <v/>
      </c>
      <c r="T126" s="193">
        <f>Grid!T121</f>
        <v/>
      </c>
      <c r="U126" s="193">
        <f>Grid!U121</f>
        <v/>
      </c>
      <c r="V126" s="193">
        <f>Grid!V121</f>
        <v/>
      </c>
      <c r="W126" s="193">
        <f>Grid!W121</f>
        <v/>
      </c>
      <c r="X126" s="193">
        <f>Grid!X121</f>
        <v/>
      </c>
      <c r="Y126" s="193">
        <f>Grid!Y121</f>
        <v/>
      </c>
      <c r="Z126" s="193">
        <f>Grid!Z121</f>
        <v/>
      </c>
      <c r="AA126" s="193">
        <f>Grid!AA121</f>
        <v/>
      </c>
      <c r="AB126" s="193">
        <f>Grid!AB121</f>
        <v/>
      </c>
      <c r="AC126" s="193">
        <f>Grid!AC121</f>
        <v/>
      </c>
      <c r="AD126" s="193">
        <f>Grid!AD121</f>
        <v/>
      </c>
      <c r="AE126" s="193">
        <f>Grid!AE121</f>
        <v/>
      </c>
      <c r="AF126" s="193">
        <f>Grid!AF121</f>
        <v/>
      </c>
      <c r="AG126" s="193">
        <f>Grid!AG121</f>
        <v/>
      </c>
    </row>
    <row r="127">
      <c r="B127" s="191">
        <f>'Roster Summary'!C150</f>
        <v/>
      </c>
      <c r="C127" s="192">
        <f>'Roster Summary'!E150</f>
        <v/>
      </c>
      <c r="D127" s="192">
        <f>'Roster Summary'!D150</f>
        <v/>
      </c>
      <c r="E127" s="192">
        <f>'Roster Summary'!F150</f>
        <v/>
      </c>
      <c r="F127" s="193">
        <f>Grid!F122</f>
        <v/>
      </c>
      <c r="G127" s="193">
        <f>Grid!G122</f>
        <v/>
      </c>
      <c r="H127" s="193">
        <f>Grid!H122</f>
        <v/>
      </c>
      <c r="I127" s="193">
        <f>Grid!I122</f>
        <v/>
      </c>
      <c r="J127" s="193">
        <f>Grid!J122</f>
        <v/>
      </c>
      <c r="K127" s="193">
        <f>Grid!K122</f>
        <v/>
      </c>
      <c r="L127" s="193">
        <f>Grid!L122</f>
        <v/>
      </c>
      <c r="M127" s="193">
        <f>Grid!M122</f>
        <v/>
      </c>
      <c r="N127" s="193">
        <f>Grid!N122</f>
        <v/>
      </c>
      <c r="O127" s="193">
        <f>Grid!O122</f>
        <v/>
      </c>
      <c r="P127" s="193">
        <f>Grid!P122</f>
        <v/>
      </c>
      <c r="Q127" s="193">
        <f>Grid!Q122</f>
        <v/>
      </c>
      <c r="R127" s="193">
        <f>Grid!R122</f>
        <v/>
      </c>
      <c r="S127" s="193">
        <f>Grid!S122</f>
        <v/>
      </c>
      <c r="T127" s="193">
        <f>Grid!T122</f>
        <v/>
      </c>
      <c r="U127" s="193">
        <f>Grid!U122</f>
        <v/>
      </c>
      <c r="V127" s="193">
        <f>Grid!V122</f>
        <v/>
      </c>
      <c r="W127" s="193">
        <f>Grid!W122</f>
        <v/>
      </c>
      <c r="X127" s="193">
        <f>Grid!X122</f>
        <v/>
      </c>
      <c r="Y127" s="193">
        <f>Grid!Y122</f>
        <v/>
      </c>
      <c r="Z127" s="193">
        <f>Grid!Z122</f>
        <v/>
      </c>
      <c r="AA127" s="193">
        <f>Grid!AA122</f>
        <v/>
      </c>
      <c r="AB127" s="193">
        <f>Grid!AB122</f>
        <v/>
      </c>
      <c r="AC127" s="193">
        <f>Grid!AC122</f>
        <v/>
      </c>
      <c r="AD127" s="193">
        <f>Grid!AD122</f>
        <v/>
      </c>
      <c r="AE127" s="193">
        <f>Grid!AE122</f>
        <v/>
      </c>
      <c r="AF127" s="193">
        <f>Grid!AF122</f>
        <v/>
      </c>
      <c r="AG127" s="193">
        <f>Grid!AG122</f>
        <v/>
      </c>
    </row>
    <row r="128">
      <c r="B128" s="191">
        <f>'Roster Summary'!C151</f>
        <v/>
      </c>
      <c r="C128" s="192">
        <f>'Roster Summary'!E151</f>
        <v/>
      </c>
      <c r="D128" s="192">
        <f>'Roster Summary'!D151</f>
        <v/>
      </c>
      <c r="E128" s="192">
        <f>'Roster Summary'!F151</f>
        <v/>
      </c>
      <c r="F128" s="193">
        <f>Grid!F123</f>
        <v/>
      </c>
      <c r="G128" s="193">
        <f>Grid!G123</f>
        <v/>
      </c>
      <c r="H128" s="193">
        <f>Grid!H123</f>
        <v/>
      </c>
      <c r="I128" s="193">
        <f>Grid!I123</f>
        <v/>
      </c>
      <c r="J128" s="193">
        <f>Grid!J123</f>
        <v/>
      </c>
      <c r="K128" s="193">
        <f>Grid!K123</f>
        <v/>
      </c>
      <c r="L128" s="193">
        <f>Grid!L123</f>
        <v/>
      </c>
      <c r="M128" s="193">
        <f>Grid!M123</f>
        <v/>
      </c>
      <c r="N128" s="193">
        <f>Grid!N123</f>
        <v/>
      </c>
      <c r="O128" s="193">
        <f>Grid!O123</f>
        <v/>
      </c>
      <c r="P128" s="193">
        <f>Grid!P123</f>
        <v/>
      </c>
      <c r="Q128" s="193">
        <f>Grid!Q123</f>
        <v/>
      </c>
      <c r="R128" s="193">
        <f>Grid!R123</f>
        <v/>
      </c>
      <c r="S128" s="193">
        <f>Grid!S123</f>
        <v/>
      </c>
      <c r="T128" s="193">
        <f>Grid!T123</f>
        <v/>
      </c>
      <c r="U128" s="193">
        <f>Grid!U123</f>
        <v/>
      </c>
      <c r="V128" s="193">
        <f>Grid!V123</f>
        <v/>
      </c>
      <c r="W128" s="193">
        <f>Grid!W123</f>
        <v/>
      </c>
      <c r="X128" s="193">
        <f>Grid!X123</f>
        <v/>
      </c>
      <c r="Y128" s="193">
        <f>Grid!Y123</f>
        <v/>
      </c>
      <c r="Z128" s="193">
        <f>Grid!Z123</f>
        <v/>
      </c>
      <c r="AA128" s="193">
        <f>Grid!AA123</f>
        <v/>
      </c>
      <c r="AB128" s="193">
        <f>Grid!AB123</f>
        <v/>
      </c>
      <c r="AC128" s="193">
        <f>Grid!AC123</f>
        <v/>
      </c>
      <c r="AD128" s="193">
        <f>Grid!AD123</f>
        <v/>
      </c>
      <c r="AE128" s="193">
        <f>Grid!AE123</f>
        <v/>
      </c>
      <c r="AF128" s="193">
        <f>Grid!AF123</f>
        <v/>
      </c>
      <c r="AG128" s="193">
        <f>Grid!AG123</f>
        <v/>
      </c>
    </row>
    <row r="129">
      <c r="B129" s="191">
        <f>'Roster Summary'!C152</f>
        <v/>
      </c>
      <c r="C129" s="192">
        <f>'Roster Summary'!E152</f>
        <v/>
      </c>
      <c r="D129" s="192">
        <f>'Roster Summary'!D152</f>
        <v/>
      </c>
      <c r="E129" s="192">
        <f>'Roster Summary'!F152</f>
        <v/>
      </c>
      <c r="F129" s="193">
        <f>Grid!F124</f>
        <v/>
      </c>
      <c r="G129" s="193">
        <f>Grid!G124</f>
        <v/>
      </c>
      <c r="H129" s="193">
        <f>Grid!H124</f>
        <v/>
      </c>
      <c r="I129" s="193">
        <f>Grid!I124</f>
        <v/>
      </c>
      <c r="J129" s="193">
        <f>Grid!J124</f>
        <v/>
      </c>
      <c r="K129" s="193">
        <f>Grid!K124</f>
        <v/>
      </c>
      <c r="L129" s="193">
        <f>Grid!L124</f>
        <v/>
      </c>
      <c r="M129" s="193">
        <f>Grid!M124</f>
        <v/>
      </c>
      <c r="N129" s="193">
        <f>Grid!N124</f>
        <v/>
      </c>
      <c r="O129" s="193">
        <f>Grid!O124</f>
        <v/>
      </c>
      <c r="P129" s="193">
        <f>Grid!P124</f>
        <v/>
      </c>
      <c r="Q129" s="193">
        <f>Grid!Q124</f>
        <v/>
      </c>
      <c r="R129" s="193">
        <f>Grid!R124</f>
        <v/>
      </c>
      <c r="S129" s="193">
        <f>Grid!S124</f>
        <v/>
      </c>
      <c r="T129" s="193">
        <f>Grid!T124</f>
        <v/>
      </c>
      <c r="U129" s="193">
        <f>Grid!U124</f>
        <v/>
      </c>
      <c r="V129" s="193">
        <f>Grid!V124</f>
        <v/>
      </c>
      <c r="W129" s="193">
        <f>Grid!W124</f>
        <v/>
      </c>
      <c r="X129" s="193">
        <f>Grid!X124</f>
        <v/>
      </c>
      <c r="Y129" s="193">
        <f>Grid!Y124</f>
        <v/>
      </c>
      <c r="Z129" s="193">
        <f>Grid!Z124</f>
        <v/>
      </c>
      <c r="AA129" s="193">
        <f>Grid!AA124</f>
        <v/>
      </c>
      <c r="AB129" s="193">
        <f>Grid!AB124</f>
        <v/>
      </c>
      <c r="AC129" s="193">
        <f>Grid!AC124</f>
        <v/>
      </c>
      <c r="AD129" s="193">
        <f>Grid!AD124</f>
        <v/>
      </c>
      <c r="AE129" s="193">
        <f>Grid!AE124</f>
        <v/>
      </c>
      <c r="AF129" s="193">
        <f>Grid!AF124</f>
        <v/>
      </c>
      <c r="AG129" s="193">
        <f>Grid!AG124</f>
        <v/>
      </c>
    </row>
    <row r="130">
      <c r="B130" s="191">
        <f>'Roster Summary'!C153</f>
        <v/>
      </c>
      <c r="C130" s="192">
        <f>'Roster Summary'!E153</f>
        <v/>
      </c>
      <c r="D130" s="192">
        <f>'Roster Summary'!D153</f>
        <v/>
      </c>
      <c r="E130" s="192">
        <f>'Roster Summary'!F153</f>
        <v/>
      </c>
      <c r="F130" s="193">
        <f>Grid!F125</f>
        <v/>
      </c>
      <c r="G130" s="193">
        <f>Grid!G125</f>
        <v/>
      </c>
      <c r="H130" s="193">
        <f>Grid!H125</f>
        <v/>
      </c>
      <c r="I130" s="193">
        <f>Grid!I125</f>
        <v/>
      </c>
      <c r="J130" s="193">
        <f>Grid!J125</f>
        <v/>
      </c>
      <c r="K130" s="193">
        <f>Grid!K125</f>
        <v/>
      </c>
      <c r="L130" s="193">
        <f>Grid!L125</f>
        <v/>
      </c>
      <c r="M130" s="193">
        <f>Grid!M125</f>
        <v/>
      </c>
      <c r="N130" s="193">
        <f>Grid!N125</f>
        <v/>
      </c>
      <c r="O130" s="193">
        <f>Grid!O125</f>
        <v/>
      </c>
      <c r="P130" s="193">
        <f>Grid!P125</f>
        <v/>
      </c>
      <c r="Q130" s="193">
        <f>Grid!Q125</f>
        <v/>
      </c>
      <c r="R130" s="193">
        <f>Grid!R125</f>
        <v/>
      </c>
      <c r="S130" s="193">
        <f>Grid!S125</f>
        <v/>
      </c>
      <c r="T130" s="193">
        <f>Grid!T125</f>
        <v/>
      </c>
      <c r="U130" s="193">
        <f>Grid!U125</f>
        <v/>
      </c>
      <c r="V130" s="193">
        <f>Grid!V125</f>
        <v/>
      </c>
      <c r="W130" s="193">
        <f>Grid!W125</f>
        <v/>
      </c>
      <c r="X130" s="193">
        <f>Grid!X125</f>
        <v/>
      </c>
      <c r="Y130" s="193">
        <f>Grid!Y125</f>
        <v/>
      </c>
      <c r="Z130" s="193">
        <f>Grid!Z125</f>
        <v/>
      </c>
      <c r="AA130" s="193">
        <f>Grid!AA125</f>
        <v/>
      </c>
      <c r="AB130" s="193">
        <f>Grid!AB125</f>
        <v/>
      </c>
      <c r="AC130" s="193">
        <f>Grid!AC125</f>
        <v/>
      </c>
      <c r="AD130" s="193">
        <f>Grid!AD125</f>
        <v/>
      </c>
      <c r="AE130" s="193">
        <f>Grid!AE125</f>
        <v/>
      </c>
      <c r="AF130" s="193">
        <f>Grid!AF125</f>
        <v/>
      </c>
      <c r="AG130" s="193">
        <f>Grid!AG125</f>
        <v/>
      </c>
    </row>
    <row r="131">
      <c r="B131" s="191">
        <f>'Roster Summary'!C154</f>
        <v/>
      </c>
      <c r="C131" s="192">
        <f>'Roster Summary'!E154</f>
        <v/>
      </c>
      <c r="D131" s="192">
        <f>'Roster Summary'!D154</f>
        <v/>
      </c>
      <c r="E131" s="192">
        <f>'Roster Summary'!F154</f>
        <v/>
      </c>
      <c r="F131" s="193">
        <f>Grid!F126</f>
        <v/>
      </c>
      <c r="G131" s="193">
        <f>Grid!G126</f>
        <v/>
      </c>
      <c r="H131" s="193">
        <f>Grid!H126</f>
        <v/>
      </c>
      <c r="I131" s="193">
        <f>Grid!I126</f>
        <v/>
      </c>
      <c r="J131" s="193">
        <f>Grid!J126</f>
        <v/>
      </c>
      <c r="K131" s="193">
        <f>Grid!K126</f>
        <v/>
      </c>
      <c r="L131" s="193">
        <f>Grid!L126</f>
        <v/>
      </c>
      <c r="M131" s="193">
        <f>Grid!M126</f>
        <v/>
      </c>
      <c r="N131" s="193">
        <f>Grid!N126</f>
        <v/>
      </c>
      <c r="O131" s="193">
        <f>Grid!O126</f>
        <v/>
      </c>
      <c r="P131" s="193">
        <f>Grid!P126</f>
        <v/>
      </c>
      <c r="Q131" s="193">
        <f>Grid!Q126</f>
        <v/>
      </c>
      <c r="R131" s="193">
        <f>Grid!R126</f>
        <v/>
      </c>
      <c r="S131" s="193">
        <f>Grid!S126</f>
        <v/>
      </c>
      <c r="T131" s="193">
        <f>Grid!T126</f>
        <v/>
      </c>
      <c r="U131" s="193">
        <f>Grid!U126</f>
        <v/>
      </c>
      <c r="V131" s="193">
        <f>Grid!V126</f>
        <v/>
      </c>
      <c r="W131" s="193">
        <f>Grid!W126</f>
        <v/>
      </c>
      <c r="X131" s="193">
        <f>Grid!X126</f>
        <v/>
      </c>
      <c r="Y131" s="193">
        <f>Grid!Y126</f>
        <v/>
      </c>
      <c r="Z131" s="193">
        <f>Grid!Z126</f>
        <v/>
      </c>
      <c r="AA131" s="193">
        <f>Grid!AA126</f>
        <v/>
      </c>
      <c r="AB131" s="193">
        <f>Grid!AB126</f>
        <v/>
      </c>
      <c r="AC131" s="193">
        <f>Grid!AC126</f>
        <v/>
      </c>
      <c r="AD131" s="193">
        <f>Grid!AD126</f>
        <v/>
      </c>
      <c r="AE131" s="193">
        <f>Grid!AE126</f>
        <v/>
      </c>
      <c r="AF131" s="193">
        <f>Grid!AF126</f>
        <v/>
      </c>
      <c r="AG131" s="193">
        <f>Grid!AG126</f>
        <v/>
      </c>
    </row>
    <row r="132">
      <c r="B132" s="191">
        <f>'Roster Summary'!C155</f>
        <v/>
      </c>
      <c r="C132" s="192">
        <f>'Roster Summary'!E155</f>
        <v/>
      </c>
      <c r="D132" s="192">
        <f>'Roster Summary'!D155</f>
        <v/>
      </c>
      <c r="E132" s="192">
        <f>'Roster Summary'!F155</f>
        <v/>
      </c>
      <c r="F132" s="193">
        <f>Grid!F127</f>
        <v/>
      </c>
      <c r="G132" s="193">
        <f>Grid!G127</f>
        <v/>
      </c>
      <c r="H132" s="193">
        <f>Grid!H127</f>
        <v/>
      </c>
      <c r="I132" s="193">
        <f>Grid!I127</f>
        <v/>
      </c>
      <c r="J132" s="193">
        <f>Grid!J127</f>
        <v/>
      </c>
      <c r="K132" s="193">
        <f>Grid!K127</f>
        <v/>
      </c>
      <c r="L132" s="193">
        <f>Grid!L127</f>
        <v/>
      </c>
      <c r="M132" s="193">
        <f>Grid!M127</f>
        <v/>
      </c>
      <c r="N132" s="193">
        <f>Grid!N127</f>
        <v/>
      </c>
      <c r="O132" s="193">
        <f>Grid!O127</f>
        <v/>
      </c>
      <c r="P132" s="193">
        <f>Grid!P127</f>
        <v/>
      </c>
      <c r="Q132" s="193">
        <f>Grid!Q127</f>
        <v/>
      </c>
      <c r="R132" s="193">
        <f>Grid!R127</f>
        <v/>
      </c>
      <c r="S132" s="193">
        <f>Grid!S127</f>
        <v/>
      </c>
      <c r="T132" s="193">
        <f>Grid!T127</f>
        <v/>
      </c>
      <c r="U132" s="193">
        <f>Grid!U127</f>
        <v/>
      </c>
      <c r="V132" s="193">
        <f>Grid!V127</f>
        <v/>
      </c>
      <c r="W132" s="193">
        <f>Grid!W127</f>
        <v/>
      </c>
      <c r="X132" s="193">
        <f>Grid!X127</f>
        <v/>
      </c>
      <c r="Y132" s="193">
        <f>Grid!Y127</f>
        <v/>
      </c>
      <c r="Z132" s="193">
        <f>Grid!Z127</f>
        <v/>
      </c>
      <c r="AA132" s="193">
        <f>Grid!AA127</f>
        <v/>
      </c>
      <c r="AB132" s="193">
        <f>Grid!AB127</f>
        <v/>
      </c>
      <c r="AC132" s="193">
        <f>Grid!AC127</f>
        <v/>
      </c>
      <c r="AD132" s="193">
        <f>Grid!AD127</f>
        <v/>
      </c>
      <c r="AE132" s="193">
        <f>Grid!AE127</f>
        <v/>
      </c>
      <c r="AF132" s="193">
        <f>Grid!AF127</f>
        <v/>
      </c>
      <c r="AG132" s="193">
        <f>Grid!AG127</f>
        <v/>
      </c>
    </row>
    <row r="133">
      <c r="B133" s="191">
        <f>'Roster Summary'!C156</f>
        <v/>
      </c>
      <c r="C133" s="192">
        <f>'Roster Summary'!E156</f>
        <v/>
      </c>
      <c r="D133" s="192">
        <f>'Roster Summary'!D156</f>
        <v/>
      </c>
      <c r="E133" s="192">
        <f>'Roster Summary'!F156</f>
        <v/>
      </c>
      <c r="F133" s="193">
        <f>Grid!F128</f>
        <v/>
      </c>
      <c r="G133" s="193">
        <f>Grid!G128</f>
        <v/>
      </c>
      <c r="H133" s="193">
        <f>Grid!H128</f>
        <v/>
      </c>
      <c r="I133" s="193">
        <f>Grid!I128</f>
        <v/>
      </c>
      <c r="J133" s="193">
        <f>Grid!J128</f>
        <v/>
      </c>
      <c r="K133" s="193">
        <f>Grid!K128</f>
        <v/>
      </c>
      <c r="L133" s="193">
        <f>Grid!L128</f>
        <v/>
      </c>
      <c r="M133" s="193">
        <f>Grid!M128</f>
        <v/>
      </c>
      <c r="N133" s="193">
        <f>Grid!N128</f>
        <v/>
      </c>
      <c r="O133" s="193">
        <f>Grid!O128</f>
        <v/>
      </c>
      <c r="P133" s="193">
        <f>Grid!P128</f>
        <v/>
      </c>
      <c r="Q133" s="193">
        <f>Grid!Q128</f>
        <v/>
      </c>
      <c r="R133" s="193">
        <f>Grid!R128</f>
        <v/>
      </c>
      <c r="S133" s="193">
        <f>Grid!S128</f>
        <v/>
      </c>
      <c r="T133" s="193">
        <f>Grid!T128</f>
        <v/>
      </c>
      <c r="U133" s="193">
        <f>Grid!U128</f>
        <v/>
      </c>
      <c r="V133" s="193">
        <f>Grid!V128</f>
        <v/>
      </c>
      <c r="W133" s="193">
        <f>Grid!W128</f>
        <v/>
      </c>
      <c r="X133" s="193">
        <f>Grid!X128</f>
        <v/>
      </c>
      <c r="Y133" s="193">
        <f>Grid!Y128</f>
        <v/>
      </c>
      <c r="Z133" s="193">
        <f>Grid!Z128</f>
        <v/>
      </c>
      <c r="AA133" s="193">
        <f>Grid!AA128</f>
        <v/>
      </c>
      <c r="AB133" s="193">
        <f>Grid!AB128</f>
        <v/>
      </c>
      <c r="AC133" s="193">
        <f>Grid!AC128</f>
        <v/>
      </c>
      <c r="AD133" s="193">
        <f>Grid!AD128</f>
        <v/>
      </c>
      <c r="AE133" s="193">
        <f>Grid!AE128</f>
        <v/>
      </c>
      <c r="AF133" s="193">
        <f>Grid!AF128</f>
        <v/>
      </c>
      <c r="AG133" s="193">
        <f>Grid!AG128</f>
        <v/>
      </c>
    </row>
    <row r="134">
      <c r="B134" s="191">
        <f>'Roster Summary'!C157</f>
        <v/>
      </c>
      <c r="C134" s="192">
        <f>'Roster Summary'!E157</f>
        <v/>
      </c>
      <c r="D134" s="192">
        <f>'Roster Summary'!D157</f>
        <v/>
      </c>
      <c r="E134" s="192">
        <f>'Roster Summary'!F157</f>
        <v/>
      </c>
      <c r="F134" s="193">
        <f>Grid!F129</f>
        <v/>
      </c>
      <c r="G134" s="193">
        <f>Grid!G129</f>
        <v/>
      </c>
      <c r="H134" s="193">
        <f>Grid!H129</f>
        <v/>
      </c>
      <c r="I134" s="193">
        <f>Grid!I129</f>
        <v/>
      </c>
      <c r="J134" s="193">
        <f>Grid!J129</f>
        <v/>
      </c>
      <c r="K134" s="193">
        <f>Grid!K129</f>
        <v/>
      </c>
      <c r="L134" s="193">
        <f>Grid!L129</f>
        <v/>
      </c>
      <c r="M134" s="193">
        <f>Grid!M129</f>
        <v/>
      </c>
      <c r="N134" s="193">
        <f>Grid!N129</f>
        <v/>
      </c>
      <c r="O134" s="193">
        <f>Grid!O129</f>
        <v/>
      </c>
      <c r="P134" s="193">
        <f>Grid!P129</f>
        <v/>
      </c>
      <c r="Q134" s="193">
        <f>Grid!Q129</f>
        <v/>
      </c>
      <c r="R134" s="193">
        <f>Grid!R129</f>
        <v/>
      </c>
      <c r="S134" s="193">
        <f>Grid!S129</f>
        <v/>
      </c>
      <c r="T134" s="193">
        <f>Grid!T129</f>
        <v/>
      </c>
      <c r="U134" s="193">
        <f>Grid!U129</f>
        <v/>
      </c>
      <c r="V134" s="193">
        <f>Grid!V129</f>
        <v/>
      </c>
      <c r="W134" s="193">
        <f>Grid!W129</f>
        <v/>
      </c>
      <c r="X134" s="193">
        <f>Grid!X129</f>
        <v/>
      </c>
      <c r="Y134" s="193">
        <f>Grid!Y129</f>
        <v/>
      </c>
      <c r="Z134" s="193">
        <f>Grid!Z129</f>
        <v/>
      </c>
      <c r="AA134" s="193">
        <f>Grid!AA129</f>
        <v/>
      </c>
      <c r="AB134" s="193">
        <f>Grid!AB129</f>
        <v/>
      </c>
      <c r="AC134" s="193">
        <f>Grid!AC129</f>
        <v/>
      </c>
      <c r="AD134" s="193">
        <f>Grid!AD129</f>
        <v/>
      </c>
      <c r="AE134" s="193">
        <f>Grid!AE129</f>
        <v/>
      </c>
      <c r="AF134" s="193">
        <f>Grid!AF129</f>
        <v/>
      </c>
      <c r="AG134" s="193">
        <f>Grid!AG129</f>
        <v/>
      </c>
    </row>
    <row r="135">
      <c r="B135" s="191">
        <f>'Roster Summary'!C158</f>
        <v/>
      </c>
      <c r="C135" s="192">
        <f>'Roster Summary'!E158</f>
        <v/>
      </c>
      <c r="D135" s="192">
        <f>'Roster Summary'!D158</f>
        <v/>
      </c>
      <c r="E135" s="192">
        <f>'Roster Summary'!F158</f>
        <v/>
      </c>
      <c r="F135" s="193">
        <f>Grid!F130</f>
        <v/>
      </c>
      <c r="G135" s="193">
        <f>Grid!G130</f>
        <v/>
      </c>
      <c r="H135" s="193">
        <f>Grid!H130</f>
        <v/>
      </c>
      <c r="I135" s="193">
        <f>Grid!I130</f>
        <v/>
      </c>
      <c r="J135" s="193">
        <f>Grid!J130</f>
        <v/>
      </c>
      <c r="K135" s="193">
        <f>Grid!K130</f>
        <v/>
      </c>
      <c r="L135" s="193">
        <f>Grid!L130</f>
        <v/>
      </c>
      <c r="M135" s="193">
        <f>Grid!M130</f>
        <v/>
      </c>
      <c r="N135" s="193">
        <f>Grid!N130</f>
        <v/>
      </c>
      <c r="O135" s="193">
        <f>Grid!O130</f>
        <v/>
      </c>
      <c r="P135" s="193">
        <f>Grid!P130</f>
        <v/>
      </c>
      <c r="Q135" s="193">
        <f>Grid!Q130</f>
        <v/>
      </c>
      <c r="R135" s="193">
        <f>Grid!R130</f>
        <v/>
      </c>
      <c r="S135" s="193">
        <f>Grid!S130</f>
        <v/>
      </c>
      <c r="T135" s="193">
        <f>Grid!T130</f>
        <v/>
      </c>
      <c r="U135" s="193">
        <f>Grid!U130</f>
        <v/>
      </c>
      <c r="V135" s="193">
        <f>Grid!V130</f>
        <v/>
      </c>
      <c r="W135" s="193">
        <f>Grid!W130</f>
        <v/>
      </c>
      <c r="X135" s="193">
        <f>Grid!X130</f>
        <v/>
      </c>
      <c r="Y135" s="193">
        <f>Grid!Y130</f>
        <v/>
      </c>
      <c r="Z135" s="193">
        <f>Grid!Z130</f>
        <v/>
      </c>
      <c r="AA135" s="193">
        <f>Grid!AA130</f>
        <v/>
      </c>
      <c r="AB135" s="193">
        <f>Grid!AB130</f>
        <v/>
      </c>
      <c r="AC135" s="193">
        <f>Grid!AC130</f>
        <v/>
      </c>
      <c r="AD135" s="193">
        <f>Grid!AD130</f>
        <v/>
      </c>
      <c r="AE135" s="193">
        <f>Grid!AE130</f>
        <v/>
      </c>
      <c r="AF135" s="193">
        <f>Grid!AF130</f>
        <v/>
      </c>
      <c r="AG135" s="193">
        <f>Grid!AG130</f>
        <v/>
      </c>
    </row>
    <row r="136">
      <c r="B136" s="191">
        <f>'Roster Summary'!C159</f>
        <v/>
      </c>
      <c r="C136" s="192">
        <f>'Roster Summary'!E159</f>
        <v/>
      </c>
      <c r="D136" s="192">
        <f>'Roster Summary'!D159</f>
        <v/>
      </c>
      <c r="E136" s="192">
        <f>'Roster Summary'!F159</f>
        <v/>
      </c>
      <c r="F136" s="193">
        <f>Grid!F131</f>
        <v/>
      </c>
      <c r="G136" s="193">
        <f>Grid!G131</f>
        <v/>
      </c>
      <c r="H136" s="193">
        <f>Grid!H131</f>
        <v/>
      </c>
      <c r="I136" s="193">
        <f>Grid!I131</f>
        <v/>
      </c>
      <c r="J136" s="193">
        <f>Grid!J131</f>
        <v/>
      </c>
      <c r="K136" s="193">
        <f>Grid!K131</f>
        <v/>
      </c>
      <c r="L136" s="193">
        <f>Grid!L131</f>
        <v/>
      </c>
      <c r="M136" s="193">
        <f>Grid!M131</f>
        <v/>
      </c>
      <c r="N136" s="193">
        <f>Grid!N131</f>
        <v/>
      </c>
      <c r="O136" s="193">
        <f>Grid!O131</f>
        <v/>
      </c>
      <c r="P136" s="193">
        <f>Grid!P131</f>
        <v/>
      </c>
      <c r="Q136" s="193">
        <f>Grid!Q131</f>
        <v/>
      </c>
      <c r="R136" s="193">
        <f>Grid!R131</f>
        <v/>
      </c>
      <c r="S136" s="193">
        <f>Grid!S131</f>
        <v/>
      </c>
      <c r="T136" s="193">
        <f>Grid!T131</f>
        <v/>
      </c>
      <c r="U136" s="193">
        <f>Grid!U131</f>
        <v/>
      </c>
      <c r="V136" s="193">
        <f>Grid!V131</f>
        <v/>
      </c>
      <c r="W136" s="193">
        <f>Grid!W131</f>
        <v/>
      </c>
      <c r="X136" s="193">
        <f>Grid!X131</f>
        <v/>
      </c>
      <c r="Y136" s="193">
        <f>Grid!Y131</f>
        <v/>
      </c>
      <c r="Z136" s="193">
        <f>Grid!Z131</f>
        <v/>
      </c>
      <c r="AA136" s="193">
        <f>Grid!AA131</f>
        <v/>
      </c>
      <c r="AB136" s="193">
        <f>Grid!AB131</f>
        <v/>
      </c>
      <c r="AC136" s="193">
        <f>Grid!AC131</f>
        <v/>
      </c>
      <c r="AD136" s="193">
        <f>Grid!AD131</f>
        <v/>
      </c>
      <c r="AE136" s="193">
        <f>Grid!AE131</f>
        <v/>
      </c>
      <c r="AF136" s="193">
        <f>Grid!AF131</f>
        <v/>
      </c>
      <c r="AG136" s="193">
        <f>Grid!AG131</f>
        <v/>
      </c>
    </row>
    <row r="137">
      <c r="B137" s="191">
        <f>'Roster Summary'!C160</f>
        <v/>
      </c>
      <c r="C137" s="192">
        <f>'Roster Summary'!E160</f>
        <v/>
      </c>
      <c r="D137" s="192">
        <f>'Roster Summary'!D160</f>
        <v/>
      </c>
      <c r="E137" s="192">
        <f>'Roster Summary'!F160</f>
        <v/>
      </c>
      <c r="F137" s="193">
        <f>Grid!F132</f>
        <v/>
      </c>
      <c r="G137" s="193">
        <f>Grid!G132</f>
        <v/>
      </c>
      <c r="H137" s="193">
        <f>Grid!H132</f>
        <v/>
      </c>
      <c r="I137" s="193">
        <f>Grid!I132</f>
        <v/>
      </c>
      <c r="J137" s="193">
        <f>Grid!J132</f>
        <v/>
      </c>
      <c r="K137" s="193">
        <f>Grid!K132</f>
        <v/>
      </c>
      <c r="L137" s="193">
        <f>Grid!L132</f>
        <v/>
      </c>
      <c r="M137" s="193">
        <f>Grid!M132</f>
        <v/>
      </c>
      <c r="N137" s="193">
        <f>Grid!N132</f>
        <v/>
      </c>
      <c r="O137" s="193">
        <f>Grid!O132</f>
        <v/>
      </c>
      <c r="P137" s="193">
        <f>Grid!P132</f>
        <v/>
      </c>
      <c r="Q137" s="193">
        <f>Grid!Q132</f>
        <v/>
      </c>
      <c r="R137" s="193">
        <f>Grid!R132</f>
        <v/>
      </c>
      <c r="S137" s="193">
        <f>Grid!S132</f>
        <v/>
      </c>
      <c r="T137" s="193">
        <f>Grid!T132</f>
        <v/>
      </c>
      <c r="U137" s="193">
        <f>Grid!U132</f>
        <v/>
      </c>
      <c r="V137" s="193">
        <f>Grid!V132</f>
        <v/>
      </c>
      <c r="W137" s="193">
        <f>Grid!W132</f>
        <v/>
      </c>
      <c r="X137" s="193">
        <f>Grid!X132</f>
        <v/>
      </c>
      <c r="Y137" s="193">
        <f>Grid!Y132</f>
        <v/>
      </c>
      <c r="Z137" s="193">
        <f>Grid!Z132</f>
        <v/>
      </c>
      <c r="AA137" s="193">
        <f>Grid!AA132</f>
        <v/>
      </c>
      <c r="AB137" s="193">
        <f>Grid!AB132</f>
        <v/>
      </c>
      <c r="AC137" s="193">
        <f>Grid!AC132</f>
        <v/>
      </c>
      <c r="AD137" s="193">
        <f>Grid!AD132</f>
        <v/>
      </c>
      <c r="AE137" s="193">
        <f>Grid!AE132</f>
        <v/>
      </c>
      <c r="AF137" s="193">
        <f>Grid!AF132</f>
        <v/>
      </c>
      <c r="AG137" s="193">
        <f>Grid!AG132</f>
        <v/>
      </c>
    </row>
    <row r="138">
      <c r="B138" s="191">
        <f>'Roster Summary'!C161</f>
        <v/>
      </c>
      <c r="C138" s="192">
        <f>'Roster Summary'!E161</f>
        <v/>
      </c>
      <c r="D138" s="192">
        <f>'Roster Summary'!D161</f>
        <v/>
      </c>
      <c r="E138" s="192">
        <f>'Roster Summary'!F161</f>
        <v/>
      </c>
      <c r="F138" s="193">
        <f>Grid!F133</f>
        <v/>
      </c>
      <c r="G138" s="193">
        <f>Grid!G133</f>
        <v/>
      </c>
      <c r="H138" s="193">
        <f>Grid!H133</f>
        <v/>
      </c>
      <c r="I138" s="193">
        <f>Grid!I133</f>
        <v/>
      </c>
      <c r="J138" s="193">
        <f>Grid!J133</f>
        <v/>
      </c>
      <c r="K138" s="193">
        <f>Grid!K133</f>
        <v/>
      </c>
      <c r="L138" s="193">
        <f>Grid!L133</f>
        <v/>
      </c>
      <c r="M138" s="193">
        <f>Grid!M133</f>
        <v/>
      </c>
      <c r="N138" s="193">
        <f>Grid!N133</f>
        <v/>
      </c>
      <c r="O138" s="193">
        <f>Grid!O133</f>
        <v/>
      </c>
      <c r="P138" s="193">
        <f>Grid!P133</f>
        <v/>
      </c>
      <c r="Q138" s="193">
        <f>Grid!Q133</f>
        <v/>
      </c>
      <c r="R138" s="193">
        <f>Grid!R133</f>
        <v/>
      </c>
      <c r="S138" s="193">
        <f>Grid!S133</f>
        <v/>
      </c>
      <c r="T138" s="193">
        <f>Grid!T133</f>
        <v/>
      </c>
      <c r="U138" s="193">
        <f>Grid!U133</f>
        <v/>
      </c>
      <c r="V138" s="193">
        <f>Grid!V133</f>
        <v/>
      </c>
      <c r="W138" s="193">
        <f>Grid!W133</f>
        <v/>
      </c>
      <c r="X138" s="193">
        <f>Grid!X133</f>
        <v/>
      </c>
      <c r="Y138" s="193">
        <f>Grid!Y133</f>
        <v/>
      </c>
      <c r="Z138" s="193">
        <f>Grid!Z133</f>
        <v/>
      </c>
      <c r="AA138" s="193">
        <f>Grid!AA133</f>
        <v/>
      </c>
      <c r="AB138" s="193">
        <f>Grid!AB133</f>
        <v/>
      </c>
      <c r="AC138" s="193">
        <f>Grid!AC133</f>
        <v/>
      </c>
      <c r="AD138" s="193">
        <f>Grid!AD133</f>
        <v/>
      </c>
      <c r="AE138" s="193">
        <f>Grid!AE133</f>
        <v/>
      </c>
      <c r="AF138" s="193">
        <f>Grid!AF133</f>
        <v/>
      </c>
      <c r="AG138" s="193">
        <f>Grid!AG133</f>
        <v/>
      </c>
    </row>
    <row r="139">
      <c r="B139" s="191">
        <f>'Roster Summary'!C162</f>
        <v/>
      </c>
      <c r="C139" s="192">
        <f>'Roster Summary'!E162</f>
        <v/>
      </c>
      <c r="D139" s="192">
        <f>'Roster Summary'!D162</f>
        <v/>
      </c>
      <c r="E139" s="192">
        <f>'Roster Summary'!F162</f>
        <v/>
      </c>
      <c r="F139" s="193">
        <f>Grid!F134</f>
        <v/>
      </c>
      <c r="G139" s="193">
        <f>Grid!G134</f>
        <v/>
      </c>
      <c r="H139" s="193">
        <f>Grid!H134</f>
        <v/>
      </c>
      <c r="I139" s="193">
        <f>Grid!I134</f>
        <v/>
      </c>
      <c r="J139" s="193">
        <f>Grid!J134</f>
        <v/>
      </c>
      <c r="K139" s="193">
        <f>Grid!K134</f>
        <v/>
      </c>
      <c r="L139" s="193">
        <f>Grid!L134</f>
        <v/>
      </c>
      <c r="M139" s="193">
        <f>Grid!M134</f>
        <v/>
      </c>
      <c r="N139" s="193">
        <f>Grid!N134</f>
        <v/>
      </c>
      <c r="O139" s="193">
        <f>Grid!O134</f>
        <v/>
      </c>
      <c r="P139" s="193">
        <f>Grid!P134</f>
        <v/>
      </c>
      <c r="Q139" s="193">
        <f>Grid!Q134</f>
        <v/>
      </c>
      <c r="R139" s="193">
        <f>Grid!R134</f>
        <v/>
      </c>
      <c r="S139" s="193">
        <f>Grid!S134</f>
        <v/>
      </c>
      <c r="T139" s="193">
        <f>Grid!T134</f>
        <v/>
      </c>
      <c r="U139" s="193">
        <f>Grid!U134</f>
        <v/>
      </c>
      <c r="V139" s="193">
        <f>Grid!V134</f>
        <v/>
      </c>
      <c r="W139" s="193">
        <f>Grid!W134</f>
        <v/>
      </c>
      <c r="X139" s="193">
        <f>Grid!X134</f>
        <v/>
      </c>
      <c r="Y139" s="193">
        <f>Grid!Y134</f>
        <v/>
      </c>
      <c r="Z139" s="193">
        <f>Grid!Z134</f>
        <v/>
      </c>
      <c r="AA139" s="193">
        <f>Grid!AA134</f>
        <v/>
      </c>
      <c r="AB139" s="193">
        <f>Grid!AB134</f>
        <v/>
      </c>
      <c r="AC139" s="193">
        <f>Grid!AC134</f>
        <v/>
      </c>
      <c r="AD139" s="193">
        <f>Grid!AD134</f>
        <v/>
      </c>
      <c r="AE139" s="193">
        <f>Grid!AE134</f>
        <v/>
      </c>
      <c r="AF139" s="193">
        <f>Grid!AF134</f>
        <v/>
      </c>
      <c r="AG139" s="193">
        <f>Grid!AG134</f>
        <v/>
      </c>
    </row>
    <row r="140">
      <c r="B140" s="191">
        <f>'Roster Summary'!C163</f>
        <v/>
      </c>
      <c r="C140" s="192">
        <f>'Roster Summary'!E163</f>
        <v/>
      </c>
      <c r="D140" s="192">
        <f>'Roster Summary'!D163</f>
        <v/>
      </c>
      <c r="E140" s="192">
        <f>'Roster Summary'!F163</f>
        <v/>
      </c>
      <c r="F140" s="193">
        <f>Grid!F135</f>
        <v/>
      </c>
      <c r="G140" s="193">
        <f>Grid!G135</f>
        <v/>
      </c>
      <c r="H140" s="193">
        <f>Grid!H135</f>
        <v/>
      </c>
      <c r="I140" s="193">
        <f>Grid!I135</f>
        <v/>
      </c>
      <c r="J140" s="193">
        <f>Grid!J135</f>
        <v/>
      </c>
      <c r="K140" s="193">
        <f>Grid!K135</f>
        <v/>
      </c>
      <c r="L140" s="193">
        <f>Grid!L135</f>
        <v/>
      </c>
      <c r="M140" s="193">
        <f>Grid!M135</f>
        <v/>
      </c>
      <c r="N140" s="193">
        <f>Grid!N135</f>
        <v/>
      </c>
      <c r="O140" s="193">
        <f>Grid!O135</f>
        <v/>
      </c>
      <c r="P140" s="193">
        <f>Grid!P135</f>
        <v/>
      </c>
      <c r="Q140" s="193">
        <f>Grid!Q135</f>
        <v/>
      </c>
      <c r="R140" s="193">
        <f>Grid!R135</f>
        <v/>
      </c>
      <c r="S140" s="193">
        <f>Grid!S135</f>
        <v/>
      </c>
      <c r="T140" s="193">
        <f>Grid!T135</f>
        <v/>
      </c>
      <c r="U140" s="193">
        <f>Grid!U135</f>
        <v/>
      </c>
      <c r="V140" s="193">
        <f>Grid!V135</f>
        <v/>
      </c>
      <c r="W140" s="193">
        <f>Grid!W135</f>
        <v/>
      </c>
      <c r="X140" s="193">
        <f>Grid!X135</f>
        <v/>
      </c>
      <c r="Y140" s="193">
        <f>Grid!Y135</f>
        <v/>
      </c>
      <c r="Z140" s="193">
        <f>Grid!Z135</f>
        <v/>
      </c>
      <c r="AA140" s="193">
        <f>Grid!AA135</f>
        <v/>
      </c>
      <c r="AB140" s="193">
        <f>Grid!AB135</f>
        <v/>
      </c>
      <c r="AC140" s="193">
        <f>Grid!AC135</f>
        <v/>
      </c>
      <c r="AD140" s="193">
        <f>Grid!AD135</f>
        <v/>
      </c>
      <c r="AE140" s="193">
        <f>Grid!AE135</f>
        <v/>
      </c>
      <c r="AF140" s="193">
        <f>Grid!AF135</f>
        <v/>
      </c>
      <c r="AG140" s="193">
        <f>Grid!AG135</f>
        <v/>
      </c>
    </row>
    <row r="141">
      <c r="B141" s="191">
        <f>'Roster Summary'!C164</f>
        <v/>
      </c>
      <c r="C141" s="192">
        <f>'Roster Summary'!E164</f>
        <v/>
      </c>
      <c r="D141" s="192">
        <f>'Roster Summary'!D164</f>
        <v/>
      </c>
      <c r="E141" s="192">
        <f>'Roster Summary'!F164</f>
        <v/>
      </c>
      <c r="F141" s="193">
        <f>Grid!F136</f>
        <v/>
      </c>
      <c r="G141" s="193">
        <f>Grid!G136</f>
        <v/>
      </c>
      <c r="H141" s="193">
        <f>Grid!H136</f>
        <v/>
      </c>
      <c r="I141" s="193">
        <f>Grid!I136</f>
        <v/>
      </c>
      <c r="J141" s="193">
        <f>Grid!J136</f>
        <v/>
      </c>
      <c r="K141" s="193">
        <f>Grid!K136</f>
        <v/>
      </c>
      <c r="L141" s="193">
        <f>Grid!L136</f>
        <v/>
      </c>
      <c r="M141" s="193">
        <f>Grid!M136</f>
        <v/>
      </c>
      <c r="N141" s="193">
        <f>Grid!N136</f>
        <v/>
      </c>
      <c r="O141" s="193">
        <f>Grid!O136</f>
        <v/>
      </c>
      <c r="P141" s="193">
        <f>Grid!P136</f>
        <v/>
      </c>
      <c r="Q141" s="193">
        <f>Grid!Q136</f>
        <v/>
      </c>
      <c r="R141" s="193">
        <f>Grid!R136</f>
        <v/>
      </c>
      <c r="S141" s="193">
        <f>Grid!S136</f>
        <v/>
      </c>
      <c r="T141" s="193">
        <f>Grid!T136</f>
        <v/>
      </c>
      <c r="U141" s="193">
        <f>Grid!U136</f>
        <v/>
      </c>
      <c r="V141" s="193">
        <f>Grid!V136</f>
        <v/>
      </c>
      <c r="W141" s="193">
        <f>Grid!W136</f>
        <v/>
      </c>
      <c r="X141" s="193">
        <f>Grid!X136</f>
        <v/>
      </c>
      <c r="Y141" s="193">
        <f>Grid!Y136</f>
        <v/>
      </c>
      <c r="Z141" s="193">
        <f>Grid!Z136</f>
        <v/>
      </c>
      <c r="AA141" s="193">
        <f>Grid!AA136</f>
        <v/>
      </c>
      <c r="AB141" s="193">
        <f>Grid!AB136</f>
        <v/>
      </c>
      <c r="AC141" s="193">
        <f>Grid!AC136</f>
        <v/>
      </c>
      <c r="AD141" s="193">
        <f>Grid!AD136</f>
        <v/>
      </c>
      <c r="AE141" s="193">
        <f>Grid!AE136</f>
        <v/>
      </c>
      <c r="AF141" s="193">
        <f>Grid!AF136</f>
        <v/>
      </c>
      <c r="AG141" s="193">
        <f>Grid!AG136</f>
        <v/>
      </c>
    </row>
    <row r="142">
      <c r="B142" s="191">
        <f>'Roster Summary'!C165</f>
        <v/>
      </c>
      <c r="C142" s="192">
        <f>'Roster Summary'!E165</f>
        <v/>
      </c>
      <c r="D142" s="192">
        <f>'Roster Summary'!D165</f>
        <v/>
      </c>
      <c r="E142" s="192">
        <f>'Roster Summary'!F165</f>
        <v/>
      </c>
      <c r="F142" s="193">
        <f>Grid!F137</f>
        <v/>
      </c>
      <c r="G142" s="193">
        <f>Grid!G137</f>
        <v/>
      </c>
      <c r="H142" s="193">
        <f>Grid!H137</f>
        <v/>
      </c>
      <c r="I142" s="193">
        <f>Grid!I137</f>
        <v/>
      </c>
      <c r="J142" s="193">
        <f>Grid!J137</f>
        <v/>
      </c>
      <c r="K142" s="193">
        <f>Grid!K137</f>
        <v/>
      </c>
      <c r="L142" s="193">
        <f>Grid!L137</f>
        <v/>
      </c>
      <c r="M142" s="193">
        <f>Grid!M137</f>
        <v/>
      </c>
      <c r="N142" s="193">
        <f>Grid!N137</f>
        <v/>
      </c>
      <c r="O142" s="193">
        <f>Grid!O137</f>
        <v/>
      </c>
      <c r="P142" s="193">
        <f>Grid!P137</f>
        <v/>
      </c>
      <c r="Q142" s="193">
        <f>Grid!Q137</f>
        <v/>
      </c>
      <c r="R142" s="193">
        <f>Grid!R137</f>
        <v/>
      </c>
      <c r="S142" s="193">
        <f>Grid!S137</f>
        <v/>
      </c>
      <c r="T142" s="193">
        <f>Grid!T137</f>
        <v/>
      </c>
      <c r="U142" s="193">
        <f>Grid!U137</f>
        <v/>
      </c>
      <c r="V142" s="193">
        <f>Grid!V137</f>
        <v/>
      </c>
      <c r="W142" s="193">
        <f>Grid!W137</f>
        <v/>
      </c>
      <c r="X142" s="193">
        <f>Grid!X137</f>
        <v/>
      </c>
      <c r="Y142" s="193">
        <f>Grid!Y137</f>
        <v/>
      </c>
      <c r="Z142" s="193">
        <f>Grid!Z137</f>
        <v/>
      </c>
      <c r="AA142" s="193">
        <f>Grid!AA137</f>
        <v/>
      </c>
      <c r="AB142" s="193">
        <f>Grid!AB137</f>
        <v/>
      </c>
      <c r="AC142" s="193">
        <f>Grid!AC137</f>
        <v/>
      </c>
      <c r="AD142" s="193">
        <f>Grid!AD137</f>
        <v/>
      </c>
      <c r="AE142" s="193">
        <f>Grid!AE137</f>
        <v/>
      </c>
      <c r="AF142" s="193">
        <f>Grid!AF137</f>
        <v/>
      </c>
      <c r="AG142" s="193">
        <f>Grid!AG137</f>
        <v/>
      </c>
    </row>
    <row r="143">
      <c r="B143" s="191">
        <f>'Roster Summary'!C166</f>
        <v/>
      </c>
      <c r="C143" s="192">
        <f>'Roster Summary'!E166</f>
        <v/>
      </c>
      <c r="D143" s="192">
        <f>'Roster Summary'!D166</f>
        <v/>
      </c>
      <c r="E143" s="192">
        <f>'Roster Summary'!F166</f>
        <v/>
      </c>
      <c r="F143" s="193">
        <f>Grid!F138</f>
        <v/>
      </c>
      <c r="G143" s="193">
        <f>Grid!G138</f>
        <v/>
      </c>
      <c r="H143" s="193">
        <f>Grid!H138</f>
        <v/>
      </c>
      <c r="I143" s="193">
        <f>Grid!I138</f>
        <v/>
      </c>
      <c r="J143" s="193">
        <f>Grid!J138</f>
        <v/>
      </c>
      <c r="K143" s="193">
        <f>Grid!K138</f>
        <v/>
      </c>
      <c r="L143" s="193">
        <f>Grid!L138</f>
        <v/>
      </c>
      <c r="M143" s="193">
        <f>Grid!M138</f>
        <v/>
      </c>
      <c r="N143" s="193">
        <f>Grid!N138</f>
        <v/>
      </c>
      <c r="O143" s="193">
        <f>Grid!O138</f>
        <v/>
      </c>
      <c r="P143" s="193">
        <f>Grid!P138</f>
        <v/>
      </c>
      <c r="Q143" s="193">
        <f>Grid!Q138</f>
        <v/>
      </c>
      <c r="R143" s="193">
        <f>Grid!R138</f>
        <v/>
      </c>
      <c r="S143" s="193">
        <f>Grid!S138</f>
        <v/>
      </c>
      <c r="T143" s="193">
        <f>Grid!T138</f>
        <v/>
      </c>
      <c r="U143" s="193">
        <f>Grid!U138</f>
        <v/>
      </c>
      <c r="V143" s="193">
        <f>Grid!V138</f>
        <v/>
      </c>
      <c r="W143" s="193">
        <f>Grid!W138</f>
        <v/>
      </c>
      <c r="X143" s="193">
        <f>Grid!X138</f>
        <v/>
      </c>
      <c r="Y143" s="193">
        <f>Grid!Y138</f>
        <v/>
      </c>
      <c r="Z143" s="193">
        <f>Grid!Z138</f>
        <v/>
      </c>
      <c r="AA143" s="193">
        <f>Grid!AA138</f>
        <v/>
      </c>
      <c r="AB143" s="193">
        <f>Grid!AB138</f>
        <v/>
      </c>
      <c r="AC143" s="193">
        <f>Grid!AC138</f>
        <v/>
      </c>
      <c r="AD143" s="193">
        <f>Grid!AD138</f>
        <v/>
      </c>
      <c r="AE143" s="193">
        <f>Grid!AE138</f>
        <v/>
      </c>
      <c r="AF143" s="193">
        <f>Grid!AF138</f>
        <v/>
      </c>
      <c r="AG143" s="193">
        <f>Grid!AG138</f>
        <v/>
      </c>
    </row>
    <row r="144">
      <c r="B144" s="191">
        <f>'Roster Summary'!C167</f>
        <v/>
      </c>
      <c r="C144" s="192">
        <f>'Roster Summary'!E167</f>
        <v/>
      </c>
      <c r="D144" s="192">
        <f>'Roster Summary'!D167</f>
        <v/>
      </c>
      <c r="E144" s="192">
        <f>'Roster Summary'!F167</f>
        <v/>
      </c>
      <c r="F144" s="193">
        <f>Grid!F139</f>
        <v/>
      </c>
      <c r="G144" s="193">
        <f>Grid!G139</f>
        <v/>
      </c>
      <c r="H144" s="193">
        <f>Grid!H139</f>
        <v/>
      </c>
      <c r="I144" s="193">
        <f>Grid!I139</f>
        <v/>
      </c>
      <c r="J144" s="193">
        <f>Grid!J139</f>
        <v/>
      </c>
      <c r="K144" s="193">
        <f>Grid!K139</f>
        <v/>
      </c>
      <c r="L144" s="193">
        <f>Grid!L139</f>
        <v/>
      </c>
      <c r="M144" s="193">
        <f>Grid!M139</f>
        <v/>
      </c>
      <c r="N144" s="193">
        <f>Grid!N139</f>
        <v/>
      </c>
      <c r="O144" s="193">
        <f>Grid!O139</f>
        <v/>
      </c>
      <c r="P144" s="193">
        <f>Grid!P139</f>
        <v/>
      </c>
      <c r="Q144" s="193">
        <f>Grid!Q139</f>
        <v/>
      </c>
      <c r="R144" s="193">
        <f>Grid!R139</f>
        <v/>
      </c>
      <c r="S144" s="193">
        <f>Grid!S139</f>
        <v/>
      </c>
      <c r="T144" s="193">
        <f>Grid!T139</f>
        <v/>
      </c>
      <c r="U144" s="193">
        <f>Grid!U139</f>
        <v/>
      </c>
      <c r="V144" s="193">
        <f>Grid!V139</f>
        <v/>
      </c>
      <c r="W144" s="193">
        <f>Grid!W139</f>
        <v/>
      </c>
      <c r="X144" s="193">
        <f>Grid!X139</f>
        <v/>
      </c>
      <c r="Y144" s="193">
        <f>Grid!Y139</f>
        <v/>
      </c>
      <c r="Z144" s="193">
        <f>Grid!Z139</f>
        <v/>
      </c>
      <c r="AA144" s="193">
        <f>Grid!AA139</f>
        <v/>
      </c>
      <c r="AB144" s="193">
        <f>Grid!AB139</f>
        <v/>
      </c>
      <c r="AC144" s="193">
        <f>Grid!AC139</f>
        <v/>
      </c>
      <c r="AD144" s="193">
        <f>Grid!AD139</f>
        <v/>
      </c>
      <c r="AE144" s="193">
        <f>Grid!AE139</f>
        <v/>
      </c>
      <c r="AF144" s="193">
        <f>Grid!AF139</f>
        <v/>
      </c>
      <c r="AG144" s="193">
        <f>Grid!AG139</f>
        <v/>
      </c>
    </row>
    <row r="145">
      <c r="B145" s="191">
        <f>'Roster Summary'!C168</f>
        <v/>
      </c>
      <c r="C145" s="192">
        <f>'Roster Summary'!E168</f>
        <v/>
      </c>
      <c r="D145" s="192">
        <f>'Roster Summary'!D168</f>
        <v/>
      </c>
      <c r="E145" s="192">
        <f>'Roster Summary'!F168</f>
        <v/>
      </c>
      <c r="F145" s="193">
        <f>Grid!F140</f>
        <v/>
      </c>
      <c r="G145" s="193">
        <f>Grid!G140</f>
        <v/>
      </c>
      <c r="H145" s="193">
        <f>Grid!H140</f>
        <v/>
      </c>
      <c r="I145" s="193">
        <f>Grid!I140</f>
        <v/>
      </c>
      <c r="J145" s="193">
        <f>Grid!J140</f>
        <v/>
      </c>
      <c r="K145" s="193">
        <f>Grid!K140</f>
        <v/>
      </c>
      <c r="L145" s="193">
        <f>Grid!L140</f>
        <v/>
      </c>
      <c r="M145" s="193">
        <f>Grid!M140</f>
        <v/>
      </c>
      <c r="N145" s="193">
        <f>Grid!N140</f>
        <v/>
      </c>
      <c r="O145" s="193">
        <f>Grid!O140</f>
        <v/>
      </c>
      <c r="P145" s="193">
        <f>Grid!P140</f>
        <v/>
      </c>
      <c r="Q145" s="193">
        <f>Grid!Q140</f>
        <v/>
      </c>
      <c r="R145" s="193">
        <f>Grid!R140</f>
        <v/>
      </c>
      <c r="S145" s="193">
        <f>Grid!S140</f>
        <v/>
      </c>
      <c r="T145" s="193">
        <f>Grid!T140</f>
        <v/>
      </c>
      <c r="U145" s="193">
        <f>Grid!U140</f>
        <v/>
      </c>
      <c r="V145" s="193">
        <f>Grid!V140</f>
        <v/>
      </c>
      <c r="W145" s="193">
        <f>Grid!W140</f>
        <v/>
      </c>
      <c r="X145" s="193">
        <f>Grid!X140</f>
        <v/>
      </c>
      <c r="Y145" s="193">
        <f>Grid!Y140</f>
        <v/>
      </c>
      <c r="Z145" s="193">
        <f>Grid!Z140</f>
        <v/>
      </c>
      <c r="AA145" s="193">
        <f>Grid!AA140</f>
        <v/>
      </c>
      <c r="AB145" s="193">
        <f>Grid!AB140</f>
        <v/>
      </c>
      <c r="AC145" s="193">
        <f>Grid!AC140</f>
        <v/>
      </c>
      <c r="AD145" s="193">
        <f>Grid!AD140</f>
        <v/>
      </c>
      <c r="AE145" s="193">
        <f>Grid!AE140</f>
        <v/>
      </c>
      <c r="AF145" s="193">
        <f>Grid!AF140</f>
        <v/>
      </c>
      <c r="AG145" s="193">
        <f>Grid!AG140</f>
        <v/>
      </c>
    </row>
    <row r="146">
      <c r="B146" s="191">
        <f>'Roster Summary'!C169</f>
        <v/>
      </c>
      <c r="C146" s="192">
        <f>'Roster Summary'!E169</f>
        <v/>
      </c>
      <c r="D146" s="192">
        <f>'Roster Summary'!D169</f>
        <v/>
      </c>
      <c r="E146" s="192">
        <f>'Roster Summary'!F169</f>
        <v/>
      </c>
      <c r="F146" s="193">
        <f>Grid!F141</f>
        <v/>
      </c>
      <c r="G146" s="193">
        <f>Grid!G141</f>
        <v/>
      </c>
      <c r="H146" s="193">
        <f>Grid!H141</f>
        <v/>
      </c>
      <c r="I146" s="193">
        <f>Grid!I141</f>
        <v/>
      </c>
      <c r="J146" s="193">
        <f>Grid!J141</f>
        <v/>
      </c>
      <c r="K146" s="193">
        <f>Grid!K141</f>
        <v/>
      </c>
      <c r="L146" s="193">
        <f>Grid!L141</f>
        <v/>
      </c>
      <c r="M146" s="193">
        <f>Grid!M141</f>
        <v/>
      </c>
      <c r="N146" s="193">
        <f>Grid!N141</f>
        <v/>
      </c>
      <c r="O146" s="193">
        <f>Grid!O141</f>
        <v/>
      </c>
      <c r="P146" s="193">
        <f>Grid!P141</f>
        <v/>
      </c>
      <c r="Q146" s="193">
        <f>Grid!Q141</f>
        <v/>
      </c>
      <c r="R146" s="193">
        <f>Grid!R141</f>
        <v/>
      </c>
      <c r="S146" s="193">
        <f>Grid!S141</f>
        <v/>
      </c>
      <c r="T146" s="193">
        <f>Grid!T141</f>
        <v/>
      </c>
      <c r="U146" s="193">
        <f>Grid!U141</f>
        <v/>
      </c>
      <c r="V146" s="193">
        <f>Grid!V141</f>
        <v/>
      </c>
      <c r="W146" s="193">
        <f>Grid!W141</f>
        <v/>
      </c>
      <c r="X146" s="193">
        <f>Grid!X141</f>
        <v/>
      </c>
      <c r="Y146" s="193">
        <f>Grid!Y141</f>
        <v/>
      </c>
      <c r="Z146" s="193">
        <f>Grid!Z141</f>
        <v/>
      </c>
      <c r="AA146" s="193">
        <f>Grid!AA141</f>
        <v/>
      </c>
      <c r="AB146" s="193">
        <f>Grid!AB141</f>
        <v/>
      </c>
      <c r="AC146" s="193">
        <f>Grid!AC141</f>
        <v/>
      </c>
      <c r="AD146" s="193">
        <f>Grid!AD141</f>
        <v/>
      </c>
      <c r="AE146" s="193">
        <f>Grid!AE141</f>
        <v/>
      </c>
      <c r="AF146" s="193">
        <f>Grid!AF141</f>
        <v/>
      </c>
      <c r="AG146" s="193">
        <f>Grid!AG141</f>
        <v/>
      </c>
    </row>
    <row r="147">
      <c r="B147" s="191">
        <f>'Roster Summary'!C170</f>
        <v/>
      </c>
      <c r="C147" s="192">
        <f>'Roster Summary'!E170</f>
        <v/>
      </c>
      <c r="D147" s="192">
        <f>'Roster Summary'!D170</f>
        <v/>
      </c>
      <c r="E147" s="192">
        <f>'Roster Summary'!F170</f>
        <v/>
      </c>
      <c r="F147" s="193">
        <f>Grid!F142</f>
        <v/>
      </c>
      <c r="G147" s="193">
        <f>Grid!G142</f>
        <v/>
      </c>
      <c r="H147" s="193">
        <f>Grid!H142</f>
        <v/>
      </c>
      <c r="I147" s="193">
        <f>Grid!I142</f>
        <v/>
      </c>
      <c r="J147" s="193">
        <f>Grid!J142</f>
        <v/>
      </c>
      <c r="K147" s="193">
        <f>Grid!K142</f>
        <v/>
      </c>
      <c r="L147" s="193">
        <f>Grid!L142</f>
        <v/>
      </c>
      <c r="M147" s="193">
        <f>Grid!M142</f>
        <v/>
      </c>
      <c r="N147" s="193">
        <f>Grid!N142</f>
        <v/>
      </c>
      <c r="O147" s="193">
        <f>Grid!O142</f>
        <v/>
      </c>
      <c r="P147" s="193">
        <f>Grid!P142</f>
        <v/>
      </c>
      <c r="Q147" s="193">
        <f>Grid!Q142</f>
        <v/>
      </c>
      <c r="R147" s="193">
        <f>Grid!R142</f>
        <v/>
      </c>
      <c r="S147" s="193">
        <f>Grid!S142</f>
        <v/>
      </c>
      <c r="T147" s="193">
        <f>Grid!T142</f>
        <v/>
      </c>
      <c r="U147" s="193">
        <f>Grid!U142</f>
        <v/>
      </c>
      <c r="V147" s="193">
        <f>Grid!V142</f>
        <v/>
      </c>
      <c r="W147" s="193">
        <f>Grid!W142</f>
        <v/>
      </c>
      <c r="X147" s="193">
        <f>Grid!X142</f>
        <v/>
      </c>
      <c r="Y147" s="193">
        <f>Grid!Y142</f>
        <v/>
      </c>
      <c r="Z147" s="193">
        <f>Grid!Z142</f>
        <v/>
      </c>
      <c r="AA147" s="193">
        <f>Grid!AA142</f>
        <v/>
      </c>
      <c r="AB147" s="193">
        <f>Grid!AB142</f>
        <v/>
      </c>
      <c r="AC147" s="193">
        <f>Grid!AC142</f>
        <v/>
      </c>
      <c r="AD147" s="193">
        <f>Grid!AD142</f>
        <v/>
      </c>
      <c r="AE147" s="193">
        <f>Grid!AE142</f>
        <v/>
      </c>
      <c r="AF147" s="193">
        <f>Grid!AF142</f>
        <v/>
      </c>
      <c r="AG147" s="193">
        <f>Grid!AG142</f>
        <v/>
      </c>
    </row>
    <row r="148">
      <c r="B148" s="191">
        <f>'Roster Summary'!C171</f>
        <v/>
      </c>
      <c r="C148" s="192">
        <f>'Roster Summary'!E171</f>
        <v/>
      </c>
      <c r="D148" s="192">
        <f>'Roster Summary'!D171</f>
        <v/>
      </c>
      <c r="E148" s="192">
        <f>'Roster Summary'!F171</f>
        <v/>
      </c>
      <c r="F148" s="193">
        <f>Grid!F143</f>
        <v/>
      </c>
      <c r="G148" s="193">
        <f>Grid!G143</f>
        <v/>
      </c>
      <c r="H148" s="193">
        <f>Grid!H143</f>
        <v/>
      </c>
      <c r="I148" s="193">
        <f>Grid!I143</f>
        <v/>
      </c>
      <c r="J148" s="193">
        <f>Grid!J143</f>
        <v/>
      </c>
      <c r="K148" s="193">
        <f>Grid!K143</f>
        <v/>
      </c>
      <c r="L148" s="193">
        <f>Grid!L143</f>
        <v/>
      </c>
      <c r="M148" s="193">
        <f>Grid!M143</f>
        <v/>
      </c>
      <c r="N148" s="193">
        <f>Grid!N143</f>
        <v/>
      </c>
      <c r="O148" s="193">
        <f>Grid!O143</f>
        <v/>
      </c>
      <c r="P148" s="193">
        <f>Grid!P143</f>
        <v/>
      </c>
      <c r="Q148" s="193">
        <f>Grid!Q143</f>
        <v/>
      </c>
      <c r="R148" s="193">
        <f>Grid!R143</f>
        <v/>
      </c>
      <c r="S148" s="193">
        <f>Grid!S143</f>
        <v/>
      </c>
      <c r="T148" s="193">
        <f>Grid!T143</f>
        <v/>
      </c>
      <c r="U148" s="193">
        <f>Grid!U143</f>
        <v/>
      </c>
      <c r="V148" s="193">
        <f>Grid!V143</f>
        <v/>
      </c>
      <c r="W148" s="193">
        <f>Grid!W143</f>
        <v/>
      </c>
      <c r="X148" s="193">
        <f>Grid!X143</f>
        <v/>
      </c>
      <c r="Y148" s="193">
        <f>Grid!Y143</f>
        <v/>
      </c>
      <c r="Z148" s="193">
        <f>Grid!Z143</f>
        <v/>
      </c>
      <c r="AA148" s="193">
        <f>Grid!AA143</f>
        <v/>
      </c>
      <c r="AB148" s="193">
        <f>Grid!AB143</f>
        <v/>
      </c>
      <c r="AC148" s="193">
        <f>Grid!AC143</f>
        <v/>
      </c>
      <c r="AD148" s="193">
        <f>Grid!AD143</f>
        <v/>
      </c>
      <c r="AE148" s="193">
        <f>Grid!AE143</f>
        <v/>
      </c>
      <c r="AF148" s="193">
        <f>Grid!AF143</f>
        <v/>
      </c>
      <c r="AG148" s="193">
        <f>Grid!AG143</f>
        <v/>
      </c>
    </row>
    <row r="149">
      <c r="B149" s="191">
        <f>'Roster Summary'!C172</f>
        <v/>
      </c>
      <c r="C149" s="192">
        <f>'Roster Summary'!E172</f>
        <v/>
      </c>
      <c r="D149" s="192">
        <f>'Roster Summary'!D172</f>
        <v/>
      </c>
      <c r="E149" s="192">
        <f>'Roster Summary'!F172</f>
        <v/>
      </c>
      <c r="F149" s="193">
        <f>Grid!F144</f>
        <v/>
      </c>
      <c r="G149" s="193">
        <f>Grid!G144</f>
        <v/>
      </c>
      <c r="H149" s="193">
        <f>Grid!H144</f>
        <v/>
      </c>
      <c r="I149" s="193">
        <f>Grid!I144</f>
        <v/>
      </c>
      <c r="J149" s="193">
        <f>Grid!J144</f>
        <v/>
      </c>
      <c r="K149" s="193">
        <f>Grid!K144</f>
        <v/>
      </c>
      <c r="L149" s="193">
        <f>Grid!L144</f>
        <v/>
      </c>
      <c r="M149" s="193">
        <f>Grid!M144</f>
        <v/>
      </c>
      <c r="N149" s="193">
        <f>Grid!N144</f>
        <v/>
      </c>
      <c r="O149" s="193">
        <f>Grid!O144</f>
        <v/>
      </c>
      <c r="P149" s="193">
        <f>Grid!P144</f>
        <v/>
      </c>
      <c r="Q149" s="193">
        <f>Grid!Q144</f>
        <v/>
      </c>
      <c r="R149" s="193">
        <f>Grid!R144</f>
        <v/>
      </c>
      <c r="S149" s="193">
        <f>Grid!S144</f>
        <v/>
      </c>
      <c r="T149" s="193">
        <f>Grid!T144</f>
        <v/>
      </c>
      <c r="U149" s="193">
        <f>Grid!U144</f>
        <v/>
      </c>
      <c r="V149" s="193">
        <f>Grid!V144</f>
        <v/>
      </c>
      <c r="W149" s="193">
        <f>Grid!W144</f>
        <v/>
      </c>
      <c r="X149" s="193">
        <f>Grid!X144</f>
        <v/>
      </c>
      <c r="Y149" s="193">
        <f>Grid!Y144</f>
        <v/>
      </c>
      <c r="Z149" s="193">
        <f>Grid!Z144</f>
        <v/>
      </c>
      <c r="AA149" s="193">
        <f>Grid!AA144</f>
        <v/>
      </c>
      <c r="AB149" s="193">
        <f>Grid!AB144</f>
        <v/>
      </c>
      <c r="AC149" s="193">
        <f>Grid!AC144</f>
        <v/>
      </c>
      <c r="AD149" s="193">
        <f>Grid!AD144</f>
        <v/>
      </c>
      <c r="AE149" s="193">
        <f>Grid!AE144</f>
        <v/>
      </c>
      <c r="AF149" s="193">
        <f>Grid!AF144</f>
        <v/>
      </c>
      <c r="AG149" s="193">
        <f>Grid!AG144</f>
        <v/>
      </c>
    </row>
    <row r="150">
      <c r="B150" s="191">
        <f>'Roster Summary'!C173</f>
        <v/>
      </c>
      <c r="C150" s="192">
        <f>'Roster Summary'!E173</f>
        <v/>
      </c>
      <c r="D150" s="192">
        <f>'Roster Summary'!D173</f>
        <v/>
      </c>
      <c r="E150" s="192">
        <f>'Roster Summary'!F173</f>
        <v/>
      </c>
      <c r="F150" s="193">
        <f>Grid!F145</f>
        <v/>
      </c>
      <c r="G150" s="193">
        <f>Grid!G145</f>
        <v/>
      </c>
      <c r="H150" s="193">
        <f>Grid!H145</f>
        <v/>
      </c>
      <c r="I150" s="193">
        <f>Grid!I145</f>
        <v/>
      </c>
      <c r="J150" s="193">
        <f>Grid!J145</f>
        <v/>
      </c>
      <c r="K150" s="193">
        <f>Grid!K145</f>
        <v/>
      </c>
      <c r="L150" s="193">
        <f>Grid!L145</f>
        <v/>
      </c>
      <c r="M150" s="193">
        <f>Grid!M145</f>
        <v/>
      </c>
      <c r="N150" s="193">
        <f>Grid!N145</f>
        <v/>
      </c>
      <c r="O150" s="193">
        <f>Grid!O145</f>
        <v/>
      </c>
      <c r="P150" s="193">
        <f>Grid!P145</f>
        <v/>
      </c>
      <c r="Q150" s="193">
        <f>Grid!Q145</f>
        <v/>
      </c>
      <c r="R150" s="193">
        <f>Grid!R145</f>
        <v/>
      </c>
      <c r="S150" s="193">
        <f>Grid!S145</f>
        <v/>
      </c>
      <c r="T150" s="193">
        <f>Grid!T145</f>
        <v/>
      </c>
      <c r="U150" s="193">
        <f>Grid!U145</f>
        <v/>
      </c>
      <c r="V150" s="193">
        <f>Grid!V145</f>
        <v/>
      </c>
      <c r="W150" s="193">
        <f>Grid!W145</f>
        <v/>
      </c>
      <c r="X150" s="193">
        <f>Grid!X145</f>
        <v/>
      </c>
      <c r="Y150" s="193">
        <f>Grid!Y145</f>
        <v/>
      </c>
      <c r="Z150" s="193">
        <f>Grid!Z145</f>
        <v/>
      </c>
      <c r="AA150" s="193">
        <f>Grid!AA145</f>
        <v/>
      </c>
      <c r="AB150" s="193">
        <f>Grid!AB145</f>
        <v/>
      </c>
      <c r="AC150" s="193">
        <f>Grid!AC145</f>
        <v/>
      </c>
      <c r="AD150" s="193">
        <f>Grid!AD145</f>
        <v/>
      </c>
      <c r="AE150" s="193">
        <f>Grid!AE145</f>
        <v/>
      </c>
      <c r="AF150" s="193">
        <f>Grid!AF145</f>
        <v/>
      </c>
      <c r="AG150" s="193">
        <f>Grid!AG145</f>
        <v/>
      </c>
    </row>
    <row r="151">
      <c r="B151" s="191">
        <f>'Roster Summary'!C174</f>
        <v/>
      </c>
      <c r="C151" s="192">
        <f>'Roster Summary'!E174</f>
        <v/>
      </c>
      <c r="D151" s="192">
        <f>'Roster Summary'!D174</f>
        <v/>
      </c>
      <c r="E151" s="192">
        <f>'Roster Summary'!F174</f>
        <v/>
      </c>
      <c r="F151" s="193">
        <f>Grid!F146</f>
        <v/>
      </c>
      <c r="G151" s="193">
        <f>Grid!G146</f>
        <v/>
      </c>
      <c r="H151" s="193">
        <f>Grid!H146</f>
        <v/>
      </c>
      <c r="I151" s="193">
        <f>Grid!I146</f>
        <v/>
      </c>
      <c r="J151" s="193">
        <f>Grid!J146</f>
        <v/>
      </c>
      <c r="K151" s="193">
        <f>Grid!K146</f>
        <v/>
      </c>
      <c r="L151" s="193">
        <f>Grid!L146</f>
        <v/>
      </c>
      <c r="M151" s="193">
        <f>Grid!M146</f>
        <v/>
      </c>
      <c r="N151" s="193">
        <f>Grid!N146</f>
        <v/>
      </c>
      <c r="O151" s="193">
        <f>Grid!O146</f>
        <v/>
      </c>
      <c r="P151" s="193">
        <f>Grid!P146</f>
        <v/>
      </c>
      <c r="Q151" s="193">
        <f>Grid!Q146</f>
        <v/>
      </c>
      <c r="R151" s="193">
        <f>Grid!R146</f>
        <v/>
      </c>
      <c r="S151" s="193">
        <f>Grid!S146</f>
        <v/>
      </c>
      <c r="T151" s="193">
        <f>Grid!T146</f>
        <v/>
      </c>
      <c r="U151" s="193">
        <f>Grid!U146</f>
        <v/>
      </c>
      <c r="V151" s="193">
        <f>Grid!V146</f>
        <v/>
      </c>
      <c r="W151" s="193">
        <f>Grid!W146</f>
        <v/>
      </c>
      <c r="X151" s="193">
        <f>Grid!X146</f>
        <v/>
      </c>
      <c r="Y151" s="193">
        <f>Grid!Y146</f>
        <v/>
      </c>
      <c r="Z151" s="193">
        <f>Grid!Z146</f>
        <v/>
      </c>
      <c r="AA151" s="193">
        <f>Grid!AA146</f>
        <v/>
      </c>
      <c r="AB151" s="193">
        <f>Grid!AB146</f>
        <v/>
      </c>
      <c r="AC151" s="193">
        <f>Grid!AC146</f>
        <v/>
      </c>
      <c r="AD151" s="193">
        <f>Grid!AD146</f>
        <v/>
      </c>
      <c r="AE151" s="193">
        <f>Grid!AE146</f>
        <v/>
      </c>
      <c r="AF151" s="193">
        <f>Grid!AF146</f>
        <v/>
      </c>
      <c r="AG151" s="193">
        <f>Grid!AG146</f>
        <v/>
      </c>
    </row>
    <row r="152">
      <c r="B152" s="191">
        <f>'Roster Summary'!C175</f>
        <v/>
      </c>
      <c r="C152" s="192">
        <f>'Roster Summary'!E175</f>
        <v/>
      </c>
      <c r="D152" s="192">
        <f>'Roster Summary'!D175</f>
        <v/>
      </c>
      <c r="E152" s="192">
        <f>'Roster Summary'!F175</f>
        <v/>
      </c>
      <c r="F152" s="193">
        <f>Grid!F147</f>
        <v/>
      </c>
      <c r="G152" s="193">
        <f>Grid!G147</f>
        <v/>
      </c>
      <c r="H152" s="193">
        <f>Grid!H147</f>
        <v/>
      </c>
      <c r="I152" s="193">
        <f>Grid!I147</f>
        <v/>
      </c>
      <c r="J152" s="193">
        <f>Grid!J147</f>
        <v/>
      </c>
      <c r="K152" s="193">
        <f>Grid!K147</f>
        <v/>
      </c>
      <c r="L152" s="193">
        <f>Grid!L147</f>
        <v/>
      </c>
      <c r="M152" s="193">
        <f>Grid!M147</f>
        <v/>
      </c>
      <c r="N152" s="193">
        <f>Grid!N147</f>
        <v/>
      </c>
      <c r="O152" s="193">
        <f>Grid!O147</f>
        <v/>
      </c>
      <c r="P152" s="193">
        <f>Grid!P147</f>
        <v/>
      </c>
      <c r="Q152" s="193">
        <f>Grid!Q147</f>
        <v/>
      </c>
      <c r="R152" s="193">
        <f>Grid!R147</f>
        <v/>
      </c>
      <c r="S152" s="193">
        <f>Grid!S147</f>
        <v/>
      </c>
      <c r="T152" s="193">
        <f>Grid!T147</f>
        <v/>
      </c>
      <c r="U152" s="193">
        <f>Grid!U147</f>
        <v/>
      </c>
      <c r="V152" s="193">
        <f>Grid!V147</f>
        <v/>
      </c>
      <c r="W152" s="193">
        <f>Grid!W147</f>
        <v/>
      </c>
      <c r="X152" s="193">
        <f>Grid!X147</f>
        <v/>
      </c>
      <c r="Y152" s="193">
        <f>Grid!Y147</f>
        <v/>
      </c>
      <c r="Z152" s="193">
        <f>Grid!Z147</f>
        <v/>
      </c>
      <c r="AA152" s="193">
        <f>Grid!AA147</f>
        <v/>
      </c>
      <c r="AB152" s="193">
        <f>Grid!AB147</f>
        <v/>
      </c>
      <c r="AC152" s="193">
        <f>Grid!AC147</f>
        <v/>
      </c>
      <c r="AD152" s="193">
        <f>Grid!AD147</f>
        <v/>
      </c>
      <c r="AE152" s="193">
        <f>Grid!AE147</f>
        <v/>
      </c>
      <c r="AF152" s="193">
        <f>Grid!AF147</f>
        <v/>
      </c>
      <c r="AG152" s="193">
        <f>Grid!AG147</f>
        <v/>
      </c>
    </row>
    <row r="153">
      <c r="B153" s="191">
        <f>'Roster Summary'!C176</f>
        <v/>
      </c>
      <c r="C153" s="192">
        <f>'Roster Summary'!E176</f>
        <v/>
      </c>
      <c r="D153" s="192">
        <f>'Roster Summary'!D176</f>
        <v/>
      </c>
      <c r="E153" s="192">
        <f>'Roster Summary'!F176</f>
        <v/>
      </c>
      <c r="F153" s="193">
        <f>Grid!F148</f>
        <v/>
      </c>
      <c r="G153" s="193">
        <f>Grid!G148</f>
        <v/>
      </c>
      <c r="H153" s="193">
        <f>Grid!H148</f>
        <v/>
      </c>
      <c r="I153" s="193">
        <f>Grid!I148</f>
        <v/>
      </c>
      <c r="J153" s="193">
        <f>Grid!J148</f>
        <v/>
      </c>
      <c r="K153" s="193">
        <f>Grid!K148</f>
        <v/>
      </c>
      <c r="L153" s="193">
        <f>Grid!L148</f>
        <v/>
      </c>
      <c r="M153" s="193">
        <f>Grid!M148</f>
        <v/>
      </c>
      <c r="N153" s="193">
        <f>Grid!N148</f>
        <v/>
      </c>
      <c r="O153" s="193">
        <f>Grid!O148</f>
        <v/>
      </c>
      <c r="P153" s="193">
        <f>Grid!P148</f>
        <v/>
      </c>
      <c r="Q153" s="193">
        <f>Grid!Q148</f>
        <v/>
      </c>
      <c r="R153" s="193">
        <f>Grid!R148</f>
        <v/>
      </c>
      <c r="S153" s="193">
        <f>Grid!S148</f>
        <v/>
      </c>
      <c r="T153" s="193">
        <f>Grid!T148</f>
        <v/>
      </c>
      <c r="U153" s="193">
        <f>Grid!U148</f>
        <v/>
      </c>
      <c r="V153" s="193">
        <f>Grid!V148</f>
        <v/>
      </c>
      <c r="W153" s="193">
        <f>Grid!W148</f>
        <v/>
      </c>
      <c r="X153" s="193">
        <f>Grid!X148</f>
        <v/>
      </c>
      <c r="Y153" s="193">
        <f>Grid!Y148</f>
        <v/>
      </c>
      <c r="Z153" s="193">
        <f>Grid!Z148</f>
        <v/>
      </c>
      <c r="AA153" s="193">
        <f>Grid!AA148</f>
        <v/>
      </c>
      <c r="AB153" s="193">
        <f>Grid!AB148</f>
        <v/>
      </c>
      <c r="AC153" s="193">
        <f>Grid!AC148</f>
        <v/>
      </c>
      <c r="AD153" s="193">
        <f>Grid!AD148</f>
        <v/>
      </c>
      <c r="AE153" s="193">
        <f>Grid!AE148</f>
        <v/>
      </c>
      <c r="AF153" s="193">
        <f>Grid!AF148</f>
        <v/>
      </c>
      <c r="AG153" s="193">
        <f>Grid!AG148</f>
        <v/>
      </c>
    </row>
    <row r="154">
      <c r="B154" s="191">
        <f>'Roster Summary'!C177</f>
        <v/>
      </c>
      <c r="C154" s="192">
        <f>'Roster Summary'!E177</f>
        <v/>
      </c>
      <c r="D154" s="192">
        <f>'Roster Summary'!D177</f>
        <v/>
      </c>
      <c r="E154" s="192">
        <f>'Roster Summary'!F177</f>
        <v/>
      </c>
      <c r="F154" s="193">
        <f>Grid!F149</f>
        <v/>
      </c>
      <c r="G154" s="193">
        <f>Grid!G149</f>
        <v/>
      </c>
      <c r="H154" s="193">
        <f>Grid!H149</f>
        <v/>
      </c>
      <c r="I154" s="193">
        <f>Grid!I149</f>
        <v/>
      </c>
      <c r="J154" s="193">
        <f>Grid!J149</f>
        <v/>
      </c>
      <c r="K154" s="193">
        <f>Grid!K149</f>
        <v/>
      </c>
      <c r="L154" s="193">
        <f>Grid!L149</f>
        <v/>
      </c>
      <c r="M154" s="193">
        <f>Grid!M149</f>
        <v/>
      </c>
      <c r="N154" s="193">
        <f>Grid!N149</f>
        <v/>
      </c>
      <c r="O154" s="193">
        <f>Grid!O149</f>
        <v/>
      </c>
      <c r="P154" s="193">
        <f>Grid!P149</f>
        <v/>
      </c>
      <c r="Q154" s="193">
        <f>Grid!Q149</f>
        <v/>
      </c>
      <c r="R154" s="193">
        <f>Grid!R149</f>
        <v/>
      </c>
      <c r="S154" s="193">
        <f>Grid!S149</f>
        <v/>
      </c>
      <c r="T154" s="193">
        <f>Grid!T149</f>
        <v/>
      </c>
      <c r="U154" s="193">
        <f>Grid!U149</f>
        <v/>
      </c>
      <c r="V154" s="193">
        <f>Grid!V149</f>
        <v/>
      </c>
      <c r="W154" s="193">
        <f>Grid!W149</f>
        <v/>
      </c>
      <c r="X154" s="193">
        <f>Grid!X149</f>
        <v/>
      </c>
      <c r="Y154" s="193">
        <f>Grid!Y149</f>
        <v/>
      </c>
      <c r="Z154" s="193">
        <f>Grid!Z149</f>
        <v/>
      </c>
      <c r="AA154" s="193">
        <f>Grid!AA149</f>
        <v/>
      </c>
      <c r="AB154" s="193">
        <f>Grid!AB149</f>
        <v/>
      </c>
      <c r="AC154" s="193">
        <f>Grid!AC149</f>
        <v/>
      </c>
      <c r="AD154" s="193">
        <f>Grid!AD149</f>
        <v/>
      </c>
      <c r="AE154" s="193">
        <f>Grid!AE149</f>
        <v/>
      </c>
      <c r="AF154" s="193">
        <f>Grid!AF149</f>
        <v/>
      </c>
      <c r="AG154" s="193">
        <f>Grid!AG149</f>
        <v/>
      </c>
    </row>
    <row r="155">
      <c r="B155" s="191">
        <f>'Roster Summary'!C178</f>
        <v/>
      </c>
      <c r="C155" s="192">
        <f>'Roster Summary'!E178</f>
        <v/>
      </c>
      <c r="D155" s="192">
        <f>'Roster Summary'!D178</f>
        <v/>
      </c>
      <c r="E155" s="192">
        <f>'Roster Summary'!F178</f>
        <v/>
      </c>
      <c r="F155" s="193">
        <f>Grid!F150</f>
        <v/>
      </c>
      <c r="G155" s="193">
        <f>Grid!G150</f>
        <v/>
      </c>
      <c r="H155" s="193">
        <f>Grid!H150</f>
        <v/>
      </c>
      <c r="I155" s="193">
        <f>Grid!I150</f>
        <v/>
      </c>
      <c r="J155" s="193">
        <f>Grid!J150</f>
        <v/>
      </c>
      <c r="K155" s="193">
        <f>Grid!K150</f>
        <v/>
      </c>
      <c r="L155" s="193">
        <f>Grid!L150</f>
        <v/>
      </c>
      <c r="M155" s="193">
        <f>Grid!M150</f>
        <v/>
      </c>
      <c r="N155" s="193">
        <f>Grid!N150</f>
        <v/>
      </c>
      <c r="O155" s="193">
        <f>Grid!O150</f>
        <v/>
      </c>
      <c r="P155" s="193">
        <f>Grid!P150</f>
        <v/>
      </c>
      <c r="Q155" s="193">
        <f>Grid!Q150</f>
        <v/>
      </c>
      <c r="R155" s="193">
        <f>Grid!R150</f>
        <v/>
      </c>
      <c r="S155" s="193">
        <f>Grid!S150</f>
        <v/>
      </c>
      <c r="T155" s="193">
        <f>Grid!T150</f>
        <v/>
      </c>
      <c r="U155" s="193">
        <f>Grid!U150</f>
        <v/>
      </c>
      <c r="V155" s="193">
        <f>Grid!V150</f>
        <v/>
      </c>
      <c r="W155" s="193">
        <f>Grid!W150</f>
        <v/>
      </c>
      <c r="X155" s="193">
        <f>Grid!X150</f>
        <v/>
      </c>
      <c r="Y155" s="193">
        <f>Grid!Y150</f>
        <v/>
      </c>
      <c r="Z155" s="193">
        <f>Grid!Z150</f>
        <v/>
      </c>
      <c r="AA155" s="193">
        <f>Grid!AA150</f>
        <v/>
      </c>
      <c r="AB155" s="193">
        <f>Grid!AB150</f>
        <v/>
      </c>
      <c r="AC155" s="193">
        <f>Grid!AC150</f>
        <v/>
      </c>
      <c r="AD155" s="193">
        <f>Grid!AD150</f>
        <v/>
      </c>
      <c r="AE155" s="193">
        <f>Grid!AE150</f>
        <v/>
      </c>
      <c r="AF155" s="193">
        <f>Grid!AF150</f>
        <v/>
      </c>
      <c r="AG155" s="193">
        <f>Grid!AG150</f>
        <v/>
      </c>
    </row>
    <row r="156">
      <c r="B156" s="191">
        <f>'Roster Summary'!C179</f>
        <v/>
      </c>
      <c r="C156" s="192">
        <f>'Roster Summary'!E179</f>
        <v/>
      </c>
      <c r="D156" s="192">
        <f>'Roster Summary'!D179</f>
        <v/>
      </c>
      <c r="E156" s="192">
        <f>'Roster Summary'!F179</f>
        <v/>
      </c>
      <c r="F156" s="193">
        <f>Grid!F151</f>
        <v/>
      </c>
      <c r="G156" s="193">
        <f>Grid!G151</f>
        <v/>
      </c>
      <c r="H156" s="193">
        <f>Grid!H151</f>
        <v/>
      </c>
      <c r="I156" s="193">
        <f>Grid!I151</f>
        <v/>
      </c>
      <c r="J156" s="193">
        <f>Grid!J151</f>
        <v/>
      </c>
      <c r="K156" s="193">
        <f>Grid!K151</f>
        <v/>
      </c>
      <c r="L156" s="193">
        <f>Grid!L151</f>
        <v/>
      </c>
      <c r="M156" s="193">
        <f>Grid!M151</f>
        <v/>
      </c>
      <c r="N156" s="193">
        <f>Grid!N151</f>
        <v/>
      </c>
      <c r="O156" s="193">
        <f>Grid!O151</f>
        <v/>
      </c>
      <c r="P156" s="193">
        <f>Grid!P151</f>
        <v/>
      </c>
      <c r="Q156" s="193">
        <f>Grid!Q151</f>
        <v/>
      </c>
      <c r="R156" s="193">
        <f>Grid!R151</f>
        <v/>
      </c>
      <c r="S156" s="193">
        <f>Grid!S151</f>
        <v/>
      </c>
      <c r="T156" s="193">
        <f>Grid!T151</f>
        <v/>
      </c>
      <c r="U156" s="193">
        <f>Grid!U151</f>
        <v/>
      </c>
      <c r="V156" s="193">
        <f>Grid!V151</f>
        <v/>
      </c>
      <c r="W156" s="193">
        <f>Grid!W151</f>
        <v/>
      </c>
      <c r="X156" s="193">
        <f>Grid!X151</f>
        <v/>
      </c>
      <c r="Y156" s="193">
        <f>Grid!Y151</f>
        <v/>
      </c>
      <c r="Z156" s="193">
        <f>Grid!Z151</f>
        <v/>
      </c>
      <c r="AA156" s="193">
        <f>Grid!AA151</f>
        <v/>
      </c>
      <c r="AB156" s="193">
        <f>Grid!AB151</f>
        <v/>
      </c>
      <c r="AC156" s="193">
        <f>Grid!AC151</f>
        <v/>
      </c>
      <c r="AD156" s="193">
        <f>Grid!AD151</f>
        <v/>
      </c>
      <c r="AE156" s="193">
        <f>Grid!AE151</f>
        <v/>
      </c>
      <c r="AF156" s="193">
        <f>Grid!AF151</f>
        <v/>
      </c>
      <c r="AG156" s="193">
        <f>Grid!AG151</f>
        <v/>
      </c>
    </row>
    <row r="157">
      <c r="B157" s="191">
        <f>'Roster Summary'!C180</f>
        <v/>
      </c>
      <c r="C157" s="192">
        <f>'Roster Summary'!E180</f>
        <v/>
      </c>
      <c r="D157" s="192">
        <f>'Roster Summary'!D180</f>
        <v/>
      </c>
      <c r="E157" s="192">
        <f>'Roster Summary'!F180</f>
        <v/>
      </c>
      <c r="F157" s="193">
        <f>Grid!F152</f>
        <v/>
      </c>
      <c r="G157" s="193">
        <f>Grid!G152</f>
        <v/>
      </c>
      <c r="H157" s="193">
        <f>Grid!H152</f>
        <v/>
      </c>
      <c r="I157" s="193">
        <f>Grid!I152</f>
        <v/>
      </c>
      <c r="J157" s="193">
        <f>Grid!J152</f>
        <v/>
      </c>
      <c r="K157" s="193">
        <f>Grid!K152</f>
        <v/>
      </c>
      <c r="L157" s="193">
        <f>Grid!L152</f>
        <v/>
      </c>
      <c r="M157" s="193">
        <f>Grid!M152</f>
        <v/>
      </c>
      <c r="N157" s="193">
        <f>Grid!N152</f>
        <v/>
      </c>
      <c r="O157" s="193">
        <f>Grid!O152</f>
        <v/>
      </c>
      <c r="P157" s="193">
        <f>Grid!P152</f>
        <v/>
      </c>
      <c r="Q157" s="193">
        <f>Grid!Q152</f>
        <v/>
      </c>
      <c r="R157" s="193">
        <f>Grid!R152</f>
        <v/>
      </c>
      <c r="S157" s="193">
        <f>Grid!S152</f>
        <v/>
      </c>
      <c r="T157" s="193">
        <f>Grid!T152</f>
        <v/>
      </c>
      <c r="U157" s="193">
        <f>Grid!U152</f>
        <v/>
      </c>
      <c r="V157" s="193">
        <f>Grid!V152</f>
        <v/>
      </c>
      <c r="W157" s="193">
        <f>Grid!W152</f>
        <v/>
      </c>
      <c r="X157" s="193">
        <f>Grid!X152</f>
        <v/>
      </c>
      <c r="Y157" s="193">
        <f>Grid!Y152</f>
        <v/>
      </c>
      <c r="Z157" s="193">
        <f>Grid!Z152</f>
        <v/>
      </c>
      <c r="AA157" s="193">
        <f>Grid!AA152</f>
        <v/>
      </c>
      <c r="AB157" s="193">
        <f>Grid!AB152</f>
        <v/>
      </c>
      <c r="AC157" s="193">
        <f>Grid!AC152</f>
        <v/>
      </c>
      <c r="AD157" s="193">
        <f>Grid!AD152</f>
        <v/>
      </c>
      <c r="AE157" s="193">
        <f>Grid!AE152</f>
        <v/>
      </c>
      <c r="AF157" s="193">
        <f>Grid!AF152</f>
        <v/>
      </c>
      <c r="AG157" s="193">
        <f>Grid!AG152</f>
        <v/>
      </c>
    </row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>
      <c r="B231" s="52" t="n"/>
      <c r="E231" s="55" t="n"/>
      <c r="AE231" s="55" t="n"/>
    </row>
    <row r="232">
      <c r="B232" s="52" t="n"/>
      <c r="E232" s="55" t="n"/>
      <c r="AE232" s="55" t="n"/>
    </row>
    <row r="233">
      <c r="B233" s="52" t="n"/>
      <c r="E233" s="55" t="n"/>
      <c r="AE233" s="55" t="n"/>
    </row>
    <row r="234">
      <c r="B234" s="52" t="n"/>
      <c r="E234" s="55" t="n"/>
      <c r="AE234" s="55" t="n"/>
    </row>
    <row r="235">
      <c r="B235" s="52" t="n"/>
      <c r="E235" s="55" t="n"/>
      <c r="AE235" s="55" t="n"/>
    </row>
    <row r="236">
      <c r="B236" s="52" t="n"/>
      <c r="E236" s="55" t="n"/>
      <c r="AE236" s="55" t="n"/>
    </row>
    <row r="237">
      <c r="B237" s="52" t="n"/>
      <c r="E237" s="55" t="n"/>
      <c r="AE237" s="55" t="n"/>
    </row>
    <row r="238">
      <c r="B238" s="52" t="n"/>
      <c r="E238" s="55" t="n"/>
      <c r="AE238" s="55" t="n"/>
    </row>
    <row r="239">
      <c r="B239" s="52" t="n"/>
      <c r="E239" s="55" t="n"/>
      <c r="AE239" s="55" t="n"/>
    </row>
    <row r="240">
      <c r="B240" s="52" t="n"/>
      <c r="E240" s="55" t="n"/>
      <c r="AE240" s="55" t="n"/>
    </row>
    <row r="241">
      <c r="B241" s="52" t="n"/>
      <c r="E241" s="55" t="n"/>
      <c r="AE241" s="55" t="n"/>
    </row>
    <row r="242">
      <c r="B242" s="52" t="n"/>
      <c r="E242" s="55" t="n"/>
      <c r="AE242" s="55" t="n"/>
    </row>
    <row r="243">
      <c r="B243" s="52" t="n"/>
      <c r="E243" s="55" t="n"/>
      <c r="AE243" s="55" t="n"/>
    </row>
    <row r="244">
      <c r="B244" s="52" t="n"/>
      <c r="E244" s="55" t="n"/>
      <c r="AE244" s="55" t="n"/>
    </row>
    <row r="245">
      <c r="B245" s="52" t="n"/>
      <c r="E245" s="55" t="n"/>
      <c r="AE245" s="55" t="n"/>
    </row>
    <row r="246">
      <c r="B246" s="52" t="n"/>
      <c r="E246" s="55" t="n"/>
      <c r="AE246" s="55" t="n"/>
    </row>
    <row r="247">
      <c r="B247" s="52" t="n"/>
      <c r="E247" s="55" t="n"/>
      <c r="AE247" s="55" t="n"/>
    </row>
    <row r="248">
      <c r="B248" s="52" t="n"/>
      <c r="E248" s="55" t="n"/>
      <c r="AE248" s="55" t="n"/>
    </row>
    <row r="249">
      <c r="B249" s="52" t="n"/>
      <c r="E249" s="55" t="n"/>
      <c r="AE249" s="55" t="n"/>
    </row>
    <row r="250">
      <c r="B250" s="52" t="n"/>
      <c r="E250" s="55" t="n"/>
      <c r="AE250" s="55" t="n"/>
    </row>
    <row r="251">
      <c r="B251" s="52" t="n"/>
      <c r="E251" s="55" t="n"/>
      <c r="AE251" s="55" t="n"/>
    </row>
    <row r="252">
      <c r="B252" s="52" t="n"/>
      <c r="E252" s="55" t="n"/>
      <c r="AE252" s="55" t="n"/>
    </row>
    <row r="253">
      <c r="B253" s="52" t="n"/>
      <c r="E253" s="55" t="n"/>
      <c r="AE253" s="55" t="n"/>
    </row>
    <row r="254">
      <c r="B254" s="52" t="n"/>
      <c r="E254" s="55" t="n"/>
      <c r="AE254" s="55" t="n"/>
    </row>
    <row r="255">
      <c r="B255" s="52" t="n"/>
      <c r="E255" s="55" t="n"/>
      <c r="AE255" s="55" t="n"/>
    </row>
    <row r="256">
      <c r="B256" s="52" t="n"/>
      <c r="E256" s="55" t="n"/>
      <c r="AE256" s="55" t="n"/>
    </row>
    <row r="257">
      <c r="B257" s="52" t="n"/>
      <c r="E257" s="55" t="n"/>
      <c r="AE257" s="55" t="n"/>
    </row>
    <row r="258">
      <c r="B258" s="52" t="n"/>
      <c r="E258" s="55" t="n"/>
      <c r="AE258" s="55" t="n"/>
    </row>
    <row r="259">
      <c r="B259" s="52" t="n"/>
      <c r="E259" s="55" t="n"/>
      <c r="AE259" s="55" t="n"/>
    </row>
    <row r="260">
      <c r="B260" s="52" t="n"/>
      <c r="E260" s="55" t="n"/>
      <c r="AE260" s="55" t="n"/>
    </row>
    <row r="261">
      <c r="B261" s="52" t="n"/>
      <c r="E261" s="55" t="n"/>
      <c r="AE261" s="55" t="n"/>
    </row>
    <row r="262">
      <c r="B262" s="52" t="n"/>
      <c r="E262" s="55" t="n"/>
      <c r="AE262" s="55" t="n"/>
    </row>
    <row r="263">
      <c r="B263" s="52" t="n"/>
      <c r="E263" s="55" t="n"/>
      <c r="AE263" s="55" t="n"/>
    </row>
    <row r="264">
      <c r="B264" s="52" t="n"/>
      <c r="E264" s="55" t="n"/>
      <c r="AE264" s="55" t="n"/>
    </row>
    <row r="265">
      <c r="B265" s="52" t="n"/>
      <c r="E265" s="55" t="n"/>
      <c r="AE265" s="55" t="n"/>
    </row>
    <row r="266">
      <c r="B266" s="52" t="n"/>
      <c r="E266" s="55" t="n"/>
      <c r="AE266" s="55" t="n"/>
    </row>
    <row r="267">
      <c r="B267" s="52" t="n"/>
      <c r="E267" s="55" t="n"/>
      <c r="AE267" s="55" t="n"/>
    </row>
    <row r="268">
      <c r="B268" s="52" t="n"/>
      <c r="E268" s="55" t="n"/>
      <c r="AE268" s="55" t="n"/>
    </row>
    <row r="269">
      <c r="B269" s="52" t="n"/>
      <c r="E269" s="55" t="n"/>
      <c r="AE269" s="55" t="n"/>
    </row>
    <row r="270">
      <c r="B270" s="52" t="n"/>
      <c r="E270" s="55" t="n"/>
      <c r="AE270" s="55" t="n"/>
    </row>
    <row r="271">
      <c r="B271" s="52" t="n"/>
      <c r="E271" s="55" t="n"/>
      <c r="AE271" s="55" t="n"/>
    </row>
    <row r="272">
      <c r="B272" s="52" t="n"/>
      <c r="E272" s="55" t="n"/>
      <c r="AE272" s="55" t="n"/>
    </row>
    <row r="273">
      <c r="B273" s="52" t="n"/>
      <c r="E273" s="55" t="n"/>
      <c r="AE273" s="55" t="n"/>
    </row>
    <row r="274">
      <c r="B274" s="52" t="n"/>
      <c r="E274" s="55" t="n"/>
      <c r="AE274" s="55" t="n"/>
    </row>
    <row r="275">
      <c r="B275" s="52" t="n"/>
      <c r="E275" s="55" t="n"/>
      <c r="AE275" s="55" t="n"/>
    </row>
    <row r="276">
      <c r="B276" s="52" t="n"/>
      <c r="E276" s="55" t="n"/>
      <c r="AE276" s="55" t="n"/>
    </row>
    <row r="277">
      <c r="B277" s="52" t="n"/>
      <c r="E277" s="55" t="n"/>
      <c r="AE277" s="55" t="n"/>
    </row>
    <row r="278">
      <c r="B278" s="52" t="n"/>
      <c r="E278" s="55" t="n"/>
      <c r="AE278" s="55" t="n"/>
    </row>
    <row r="279">
      <c r="B279" s="52" t="n"/>
      <c r="E279" s="55" t="n"/>
      <c r="AE279" s="55" t="n"/>
    </row>
    <row r="280">
      <c r="B280" s="52" t="n"/>
      <c r="E280" s="55" t="n"/>
      <c r="AE280" s="55" t="n"/>
    </row>
    <row r="281">
      <c r="B281" s="52" t="n"/>
      <c r="E281" s="55" t="n"/>
      <c r="AE281" s="55" t="n"/>
    </row>
    <row r="282">
      <c r="B282" s="52" t="n"/>
      <c r="E282" s="55" t="n"/>
      <c r="AE282" s="55" t="n"/>
    </row>
    <row r="283">
      <c r="B283" s="52" t="n"/>
      <c r="E283" s="55" t="n"/>
      <c r="AE283" s="55" t="n"/>
    </row>
    <row r="284">
      <c r="B284" s="52" t="n"/>
      <c r="E284" s="55" t="n"/>
      <c r="AE284" s="55" t="n"/>
    </row>
    <row r="285">
      <c r="B285" s="52" t="n"/>
      <c r="E285" s="55" t="n"/>
      <c r="AE285" s="55" t="n"/>
    </row>
    <row r="286">
      <c r="B286" s="52" t="n"/>
      <c r="E286" s="55" t="n"/>
      <c r="AE286" s="55" t="n"/>
    </row>
    <row r="287">
      <c r="B287" s="52" t="n"/>
      <c r="E287" s="55" t="n"/>
      <c r="AE287" s="55" t="n"/>
    </row>
    <row r="288">
      <c r="B288" s="52" t="n"/>
      <c r="E288" s="55" t="n"/>
      <c r="AE288" s="55" t="n"/>
    </row>
    <row r="289">
      <c r="B289" s="52" t="n"/>
      <c r="E289" s="55" t="n"/>
      <c r="AE289" s="55" t="n"/>
    </row>
    <row r="290">
      <c r="B290" s="52" t="n"/>
      <c r="E290" s="55" t="n"/>
      <c r="AE290" s="55" t="n"/>
    </row>
    <row r="291">
      <c r="B291" s="52" t="n"/>
      <c r="E291" s="55" t="n"/>
      <c r="AE291" s="55" t="n"/>
    </row>
    <row r="292">
      <c r="B292" s="52" t="n"/>
      <c r="E292" s="55" t="n"/>
      <c r="AE292" s="55" t="n"/>
    </row>
    <row r="293">
      <c r="B293" s="52" t="n"/>
      <c r="E293" s="55" t="n"/>
      <c r="AE293" s="55" t="n"/>
    </row>
    <row r="294">
      <c r="B294" s="52" t="n"/>
      <c r="E294" s="55" t="n"/>
      <c r="AE294" s="55" t="n"/>
    </row>
    <row r="295">
      <c r="B295" s="52" t="n"/>
      <c r="E295" s="55" t="n"/>
      <c r="AE295" s="55" t="n"/>
    </row>
    <row r="296">
      <c r="B296" s="52" t="n"/>
      <c r="E296" s="55" t="n"/>
      <c r="AE296" s="55" t="n"/>
    </row>
    <row r="297">
      <c r="B297" s="52" t="n"/>
      <c r="E297" s="55" t="n"/>
      <c r="AE297" s="55" t="n"/>
    </row>
    <row r="298">
      <c r="B298" s="52" t="n"/>
      <c r="E298" s="55" t="n"/>
      <c r="AE298" s="55" t="n"/>
    </row>
    <row r="299">
      <c r="B299" s="52" t="n"/>
      <c r="E299" s="55" t="n"/>
      <c r="AE299" s="55" t="n"/>
    </row>
    <row r="300">
      <c r="B300" s="52" t="n"/>
      <c r="E300" s="55" t="n"/>
      <c r="AE300" s="55" t="n"/>
    </row>
    <row r="301">
      <c r="B301" s="52" t="n"/>
      <c r="E301" s="55" t="n"/>
      <c r="AE301" s="55" t="n"/>
    </row>
    <row r="302">
      <c r="B302" s="52" t="n"/>
      <c r="E302" s="55" t="n"/>
      <c r="AE302" s="55" t="n"/>
    </row>
    <row r="303">
      <c r="B303" s="52" t="n"/>
      <c r="E303" s="55" t="n"/>
      <c r="AE303" s="55" t="n"/>
    </row>
    <row r="304">
      <c r="B304" s="52" t="n"/>
      <c r="E304" s="55" t="n"/>
      <c r="AE304" s="55" t="n"/>
    </row>
    <row r="305">
      <c r="B305" s="52" t="n"/>
      <c r="E305" s="55" t="n"/>
      <c r="AE305" s="55" t="n"/>
    </row>
    <row r="306">
      <c r="B306" s="52" t="n"/>
      <c r="E306" s="55" t="n"/>
      <c r="AE306" s="55" t="n"/>
    </row>
    <row r="307">
      <c r="B307" s="52" t="n"/>
      <c r="E307" s="55" t="n"/>
      <c r="AE307" s="55" t="n"/>
    </row>
    <row r="308">
      <c r="B308" s="52" t="n"/>
      <c r="E308" s="55" t="n"/>
      <c r="AE308" s="55" t="n"/>
    </row>
    <row r="309">
      <c r="B309" s="52" t="n"/>
      <c r="E309" s="55" t="n"/>
      <c r="AE309" s="55" t="n"/>
    </row>
    <row r="310">
      <c r="B310" s="52" t="n"/>
      <c r="E310" s="55" t="n"/>
      <c r="AE310" s="55" t="n"/>
    </row>
    <row r="311">
      <c r="B311" s="52" t="n"/>
      <c r="E311" s="55" t="n"/>
      <c r="AE311" s="55" t="n"/>
    </row>
    <row r="312">
      <c r="B312" s="52" t="n"/>
      <c r="E312" s="55" t="n"/>
      <c r="AE312" s="55" t="n"/>
    </row>
    <row r="313">
      <c r="B313" s="52" t="n"/>
      <c r="E313" s="55" t="n"/>
      <c r="AE313" s="55" t="n"/>
    </row>
    <row r="314">
      <c r="B314" s="52" t="n"/>
      <c r="E314" s="55" t="n"/>
      <c r="AE314" s="55" t="n"/>
    </row>
    <row r="315">
      <c r="B315" s="52" t="n"/>
      <c r="E315" s="55" t="n"/>
      <c r="AE315" s="55" t="n"/>
    </row>
    <row r="316">
      <c r="B316" s="52" t="n"/>
      <c r="E316" s="55" t="n"/>
      <c r="AE316" s="55" t="n"/>
    </row>
    <row r="317">
      <c r="B317" s="52" t="n"/>
      <c r="E317" s="55" t="n"/>
      <c r="AE317" s="55" t="n"/>
    </row>
    <row r="318">
      <c r="B318" s="52" t="n"/>
      <c r="E318" s="55" t="n"/>
      <c r="AE318" s="55" t="n"/>
    </row>
    <row r="319">
      <c r="B319" s="52" t="n"/>
      <c r="E319" s="55" t="n"/>
      <c r="AE319" s="55" t="n"/>
    </row>
    <row r="320">
      <c r="B320" s="52" t="n"/>
      <c r="E320" s="55" t="n"/>
      <c r="AE320" s="55" t="n"/>
    </row>
    <row r="321">
      <c r="B321" s="52" t="n"/>
      <c r="E321" s="55" t="n"/>
      <c r="AE321" s="55" t="n"/>
    </row>
    <row r="322">
      <c r="B322" s="52" t="n"/>
      <c r="E322" s="55" t="n"/>
      <c r="AE322" s="55" t="n"/>
    </row>
    <row r="323">
      <c r="B323" s="52" t="n"/>
      <c r="E323" s="55" t="n"/>
      <c r="AE323" s="55" t="n"/>
    </row>
    <row r="324">
      <c r="B324" s="52" t="n"/>
      <c r="E324" s="55" t="n"/>
      <c r="AE324" s="55" t="n"/>
    </row>
    <row r="325">
      <c r="B325" s="52" t="n"/>
      <c r="E325" s="55" t="n"/>
      <c r="AE325" s="55" t="n"/>
    </row>
    <row r="326">
      <c r="B326" s="52" t="n"/>
      <c r="E326" s="55" t="n"/>
      <c r="AE326" s="55" t="n"/>
    </row>
    <row r="327">
      <c r="B327" s="52" t="n"/>
      <c r="E327" s="55" t="n"/>
      <c r="AE327" s="55" t="n"/>
    </row>
    <row r="328">
      <c r="B328" s="52" t="n"/>
      <c r="E328" s="55" t="n"/>
      <c r="AE328" s="55" t="n"/>
    </row>
    <row r="329">
      <c r="B329" s="52" t="n"/>
      <c r="E329" s="55" t="n"/>
      <c r="AE329" s="55" t="n"/>
    </row>
    <row r="330">
      <c r="B330" s="52" t="n"/>
      <c r="E330" s="55" t="n"/>
      <c r="AE330" s="55" t="n"/>
    </row>
    <row r="331">
      <c r="B331" s="52" t="n"/>
      <c r="E331" s="55" t="n"/>
      <c r="AE331" s="55" t="n"/>
    </row>
    <row r="332">
      <c r="B332" s="52" t="n"/>
      <c r="E332" s="55" t="n"/>
      <c r="AE332" s="55" t="n"/>
    </row>
    <row r="333">
      <c r="B333" s="52" t="n"/>
      <c r="E333" s="55" t="n"/>
      <c r="AE333" s="55" t="n"/>
    </row>
    <row r="334">
      <c r="B334" s="52" t="n"/>
      <c r="E334" s="55" t="n"/>
      <c r="AE334" s="55" t="n"/>
    </row>
    <row r="335">
      <c r="B335" s="52" t="n"/>
      <c r="E335" s="55" t="n"/>
      <c r="AE335" s="55" t="n"/>
    </row>
    <row r="336">
      <c r="B336" s="52" t="n"/>
      <c r="E336" s="55" t="n"/>
      <c r="AE336" s="55" t="n"/>
    </row>
    <row r="337">
      <c r="B337" s="52" t="n"/>
      <c r="E337" s="55" t="n"/>
      <c r="AE337" s="55" t="n"/>
    </row>
    <row r="338">
      <c r="B338" s="52" t="n"/>
      <c r="E338" s="55" t="n"/>
      <c r="AE338" s="55" t="n"/>
    </row>
    <row r="339">
      <c r="B339" s="52" t="n"/>
      <c r="E339" s="55" t="n"/>
      <c r="AE339" s="55" t="n"/>
    </row>
    <row r="340">
      <c r="B340" s="52" t="n"/>
      <c r="E340" s="55" t="n"/>
      <c r="AE340" s="55" t="n"/>
    </row>
    <row r="341">
      <c r="B341" s="52" t="n"/>
      <c r="E341" s="55" t="n"/>
      <c r="AE341" s="55" t="n"/>
    </row>
    <row r="342">
      <c r="B342" s="52" t="n"/>
      <c r="E342" s="55" t="n"/>
      <c r="AE342" s="55" t="n"/>
    </row>
    <row r="343">
      <c r="B343" s="52" t="n"/>
      <c r="E343" s="55" t="n"/>
      <c r="AE343" s="55" t="n"/>
    </row>
    <row r="344">
      <c r="B344" s="52" t="n"/>
      <c r="E344" s="55" t="n"/>
      <c r="AE344" s="55" t="n"/>
    </row>
    <row r="345">
      <c r="B345" s="52" t="n"/>
      <c r="E345" s="55" t="n"/>
      <c r="AE345" s="55" t="n"/>
    </row>
    <row r="346">
      <c r="B346" s="52" t="n"/>
      <c r="E346" s="55" t="n"/>
      <c r="AE346" s="55" t="n"/>
    </row>
    <row r="347">
      <c r="B347" s="52" t="n"/>
      <c r="E347" s="55" t="n"/>
      <c r="AE347" s="55" t="n"/>
    </row>
    <row r="348">
      <c r="B348" s="52" t="n"/>
      <c r="E348" s="55" t="n"/>
      <c r="AE348" s="55" t="n"/>
    </row>
    <row r="349">
      <c r="B349" s="52" t="n"/>
      <c r="E349" s="55" t="n"/>
      <c r="AE349" s="55" t="n"/>
    </row>
    <row r="350">
      <c r="B350" s="52" t="n"/>
      <c r="E350" s="55" t="n"/>
      <c r="AE350" s="55" t="n"/>
    </row>
    <row r="351">
      <c r="B351" s="52" t="n"/>
      <c r="E351" s="55" t="n"/>
      <c r="AE351" s="55" t="n"/>
    </row>
    <row r="352">
      <c r="B352" s="52" t="n"/>
      <c r="E352" s="55" t="n"/>
      <c r="AE352" s="55" t="n"/>
    </row>
    <row r="353">
      <c r="B353" s="52" t="n"/>
      <c r="E353" s="55" t="n"/>
      <c r="AE353" s="55" t="n"/>
    </row>
    <row r="354">
      <c r="B354" s="52" t="n"/>
      <c r="E354" s="55" t="n"/>
      <c r="AE354" s="55" t="n"/>
    </row>
    <row r="355">
      <c r="B355" s="52" t="n"/>
      <c r="E355" s="55" t="n"/>
      <c r="AE355" s="55" t="n"/>
    </row>
    <row r="356">
      <c r="B356" s="52" t="n"/>
      <c r="E356" s="55" t="n"/>
      <c r="AE356" s="55" t="n"/>
    </row>
    <row r="357">
      <c r="B357" s="52" t="n"/>
      <c r="E357" s="55" t="n"/>
      <c r="AE357" s="55" t="n"/>
    </row>
    <row r="358">
      <c r="B358" s="52" t="n"/>
      <c r="E358" s="55" t="n"/>
      <c r="AE358" s="55" t="n"/>
    </row>
    <row r="359">
      <c r="B359" s="52" t="n"/>
      <c r="E359" s="55" t="n"/>
      <c r="AE359" s="55" t="n"/>
    </row>
    <row r="360">
      <c r="B360" s="52" t="n"/>
      <c r="E360" s="55" t="n"/>
      <c r="AE360" s="55" t="n"/>
    </row>
    <row r="361">
      <c r="B361" s="52" t="n"/>
      <c r="E361" s="55" t="n"/>
      <c r="AE361" s="55" t="n"/>
    </row>
    <row r="362">
      <c r="B362" s="52" t="n"/>
      <c r="E362" s="55" t="n"/>
      <c r="AE362" s="55" t="n"/>
    </row>
    <row r="363">
      <c r="B363" s="52" t="n"/>
      <c r="E363" s="55" t="n"/>
      <c r="AE363" s="55" t="n"/>
    </row>
    <row r="364">
      <c r="B364" s="52" t="n"/>
      <c r="E364" s="55" t="n"/>
      <c r="AE364" s="55" t="n"/>
    </row>
    <row r="365">
      <c r="B365" s="52" t="n"/>
      <c r="E365" s="55" t="n"/>
      <c r="AE365" s="55" t="n"/>
    </row>
    <row r="366">
      <c r="B366" s="52" t="n"/>
      <c r="E366" s="55" t="n"/>
      <c r="AE366" s="55" t="n"/>
    </row>
    <row r="367">
      <c r="B367" s="52" t="n"/>
      <c r="E367" s="55" t="n"/>
      <c r="AE367" s="55" t="n"/>
    </row>
    <row r="368">
      <c r="B368" s="52" t="n"/>
      <c r="E368" s="55" t="n"/>
      <c r="AE368" s="55" t="n"/>
    </row>
    <row r="369">
      <c r="B369" s="52" t="n"/>
      <c r="E369" s="55" t="n"/>
      <c r="AE369" s="55" t="n"/>
    </row>
    <row r="370">
      <c r="B370" s="52" t="n"/>
      <c r="E370" s="55" t="n"/>
      <c r="AE370" s="55" t="n"/>
    </row>
    <row r="371">
      <c r="B371" s="52" t="n"/>
      <c r="E371" s="55" t="n"/>
      <c r="AE371" s="55" t="n"/>
    </row>
    <row r="372">
      <c r="B372" s="52" t="n"/>
      <c r="E372" s="55" t="n"/>
      <c r="AE372" s="55" t="n"/>
    </row>
    <row r="373">
      <c r="B373" s="52" t="n"/>
      <c r="E373" s="55" t="n"/>
      <c r="AE373" s="55" t="n"/>
    </row>
    <row r="374">
      <c r="B374" s="52" t="n"/>
      <c r="E374" s="55" t="n"/>
      <c r="AE374" s="55" t="n"/>
    </row>
    <row r="375">
      <c r="B375" s="52" t="n"/>
      <c r="E375" s="55" t="n"/>
      <c r="AE375" s="55" t="n"/>
    </row>
    <row r="376">
      <c r="B376" s="52" t="n"/>
      <c r="E376" s="55" t="n"/>
      <c r="AE376" s="55" t="n"/>
    </row>
    <row r="377">
      <c r="B377" s="52" t="n"/>
      <c r="E377" s="55" t="n"/>
      <c r="AE377" s="55" t="n"/>
    </row>
    <row r="378">
      <c r="B378" s="52" t="n"/>
      <c r="E378" s="55" t="n"/>
      <c r="AE378" s="55" t="n"/>
    </row>
    <row r="379">
      <c r="B379" s="52" t="n"/>
      <c r="E379" s="55" t="n"/>
      <c r="AE379" s="55" t="n"/>
    </row>
    <row r="380">
      <c r="B380" s="52" t="n"/>
      <c r="E380" s="55" t="n"/>
      <c r="AE380" s="55" t="n"/>
    </row>
    <row r="381">
      <c r="B381" s="52" t="n"/>
      <c r="E381" s="55" t="n"/>
      <c r="AE381" s="55" t="n"/>
    </row>
    <row r="382">
      <c r="B382" s="52" t="n"/>
      <c r="E382" s="55" t="n"/>
      <c r="AE382" s="55" t="n"/>
    </row>
    <row r="383">
      <c r="B383" s="52" t="n"/>
      <c r="E383" s="55" t="n"/>
      <c r="AE383" s="55" t="n"/>
    </row>
    <row r="384">
      <c r="B384" s="52" t="n"/>
      <c r="E384" s="55" t="n"/>
      <c r="AE384" s="55" t="n"/>
    </row>
    <row r="385">
      <c r="B385" s="52" t="n"/>
      <c r="E385" s="55" t="n"/>
      <c r="AE385" s="55" t="n"/>
    </row>
    <row r="386">
      <c r="B386" s="52" t="n"/>
      <c r="E386" s="55" t="n"/>
      <c r="AE386" s="55" t="n"/>
    </row>
    <row r="387">
      <c r="B387" s="52" t="n"/>
      <c r="E387" s="55" t="n"/>
      <c r="AE387" s="55" t="n"/>
    </row>
    <row r="388">
      <c r="B388" s="52" t="n"/>
      <c r="E388" s="55" t="n"/>
      <c r="AE388" s="55" t="n"/>
    </row>
    <row r="389">
      <c r="B389" s="52" t="n"/>
      <c r="E389" s="55" t="n"/>
      <c r="AE389" s="55" t="n"/>
    </row>
    <row r="390">
      <c r="B390" s="52" t="n"/>
      <c r="E390" s="55" t="n"/>
      <c r="AE390" s="55" t="n"/>
    </row>
    <row r="391">
      <c r="B391" s="52" t="n"/>
      <c r="E391" s="55" t="n"/>
      <c r="AE391" s="55" t="n"/>
    </row>
    <row r="392">
      <c r="B392" s="52" t="n"/>
      <c r="E392" s="55" t="n"/>
      <c r="AE392" s="55" t="n"/>
    </row>
    <row r="393">
      <c r="B393" s="52" t="n"/>
      <c r="E393" s="55" t="n"/>
      <c r="AE393" s="55" t="n"/>
    </row>
    <row r="394">
      <c r="B394" s="52" t="n"/>
      <c r="E394" s="55" t="n"/>
      <c r="AE394" s="55" t="n"/>
    </row>
    <row r="395">
      <c r="B395" s="52" t="n"/>
      <c r="E395" s="55" t="n"/>
      <c r="AE395" s="55" t="n"/>
    </row>
    <row r="396">
      <c r="B396" s="52" t="n"/>
      <c r="E396" s="55" t="n"/>
      <c r="AE396" s="55" t="n"/>
    </row>
    <row r="397">
      <c r="B397" s="52" t="n"/>
      <c r="E397" s="55" t="n"/>
      <c r="AE397" s="55" t="n"/>
    </row>
    <row r="398">
      <c r="B398" s="52" t="n"/>
      <c r="E398" s="55" t="n"/>
      <c r="AE398" s="55" t="n"/>
    </row>
    <row r="399">
      <c r="B399" s="52" t="n"/>
      <c r="E399" s="55" t="n"/>
      <c r="AE399" s="55" t="n"/>
    </row>
    <row r="400">
      <c r="B400" s="52" t="n"/>
      <c r="E400" s="55" t="n"/>
      <c r="AE400" s="55" t="n"/>
    </row>
    <row r="401">
      <c r="B401" s="52" t="n"/>
      <c r="E401" s="55" t="n"/>
      <c r="AE401" s="55" t="n"/>
    </row>
    <row r="402">
      <c r="B402" s="52" t="n"/>
      <c r="E402" s="55" t="n"/>
      <c r="AE402" s="55" t="n"/>
    </row>
    <row r="403">
      <c r="B403" s="52" t="n"/>
      <c r="E403" s="55" t="n"/>
      <c r="AE403" s="55" t="n"/>
    </row>
    <row r="404">
      <c r="B404" s="52" t="n"/>
      <c r="E404" s="55" t="n"/>
      <c r="AE404" s="55" t="n"/>
    </row>
    <row r="405">
      <c r="B405" s="52" t="n"/>
      <c r="E405" s="55" t="n"/>
      <c r="AE405" s="55" t="n"/>
    </row>
    <row r="406">
      <c r="B406" s="52" t="n"/>
      <c r="E406" s="55" t="n"/>
      <c r="AE406" s="55" t="n"/>
    </row>
    <row r="407">
      <c r="B407" s="52" t="n"/>
      <c r="E407" s="55" t="n"/>
      <c r="AE407" s="55" t="n"/>
    </row>
    <row r="408">
      <c r="B408" s="52" t="n"/>
      <c r="E408" s="55" t="n"/>
      <c r="AE408" s="55" t="n"/>
    </row>
    <row r="409">
      <c r="B409" s="52" t="n"/>
      <c r="E409" s="55" t="n"/>
      <c r="AE409" s="55" t="n"/>
    </row>
    <row r="410">
      <c r="B410" s="52" t="n"/>
      <c r="E410" s="55" t="n"/>
      <c r="AE410" s="55" t="n"/>
    </row>
    <row r="411">
      <c r="B411" s="52" t="n"/>
      <c r="E411" s="55" t="n"/>
      <c r="AE411" s="55" t="n"/>
    </row>
    <row r="412">
      <c r="B412" s="52" t="n"/>
      <c r="E412" s="55" t="n"/>
      <c r="AE412" s="55" t="n"/>
    </row>
    <row r="413">
      <c r="B413" s="52" t="n"/>
      <c r="E413" s="55" t="n"/>
      <c r="AE413" s="55" t="n"/>
    </row>
    <row r="414">
      <c r="B414" s="52" t="n"/>
      <c r="E414" s="55" t="n"/>
      <c r="AE414" s="55" t="n"/>
    </row>
    <row r="415">
      <c r="B415" s="52" t="n"/>
      <c r="E415" s="55" t="n"/>
      <c r="AE415" s="55" t="n"/>
    </row>
    <row r="416">
      <c r="B416" s="52" t="n"/>
      <c r="E416" s="55" t="n"/>
      <c r="AE416" s="55" t="n"/>
    </row>
    <row r="417">
      <c r="B417" s="52" t="n"/>
      <c r="E417" s="55" t="n"/>
      <c r="AE417" s="55" t="n"/>
    </row>
    <row r="418">
      <c r="B418" s="52" t="n"/>
      <c r="E418" s="55" t="n"/>
      <c r="AE418" s="55" t="n"/>
    </row>
    <row r="419">
      <c r="B419" s="52" t="n"/>
      <c r="E419" s="55" t="n"/>
      <c r="AE419" s="55" t="n"/>
    </row>
    <row r="420">
      <c r="B420" s="52" t="n"/>
      <c r="E420" s="55" t="n"/>
      <c r="AE420" s="55" t="n"/>
    </row>
    <row r="421">
      <c r="B421" s="52" t="n"/>
      <c r="E421" s="55" t="n"/>
      <c r="AE421" s="55" t="n"/>
    </row>
    <row r="422">
      <c r="B422" s="52" t="n"/>
      <c r="E422" s="55" t="n"/>
      <c r="AE422" s="55" t="n"/>
    </row>
    <row r="423">
      <c r="B423" s="52" t="n"/>
      <c r="E423" s="55" t="n"/>
      <c r="AE423" s="55" t="n"/>
    </row>
    <row r="424">
      <c r="B424" s="52" t="n"/>
      <c r="E424" s="55" t="n"/>
      <c r="AE424" s="55" t="n"/>
    </row>
    <row r="425">
      <c r="B425" s="52" t="n"/>
      <c r="E425" s="55" t="n"/>
      <c r="AE425" s="55" t="n"/>
    </row>
    <row r="426">
      <c r="B426" s="52" t="n"/>
      <c r="E426" s="55" t="n"/>
      <c r="AE426" s="55" t="n"/>
    </row>
    <row r="427">
      <c r="B427" s="52" t="n"/>
      <c r="E427" s="55" t="n"/>
      <c r="AE427" s="55" t="n"/>
    </row>
    <row r="428">
      <c r="B428" s="52" t="n"/>
      <c r="E428" s="55" t="n"/>
      <c r="AE428" s="55" t="n"/>
    </row>
    <row r="429">
      <c r="B429" s="52" t="n"/>
      <c r="E429" s="55" t="n"/>
      <c r="AE429" s="55" t="n"/>
    </row>
    <row r="430">
      <c r="B430" s="52" t="n"/>
      <c r="E430" s="55" t="n"/>
      <c r="AE430" s="55" t="n"/>
    </row>
    <row r="431">
      <c r="B431" s="52" t="n"/>
      <c r="E431" s="55" t="n"/>
      <c r="AE431" s="55" t="n"/>
    </row>
    <row r="432">
      <c r="B432" s="52" t="n"/>
      <c r="E432" s="55" t="n"/>
      <c r="AE432" s="55" t="n"/>
    </row>
    <row r="433">
      <c r="B433" s="52" t="n"/>
      <c r="E433" s="55" t="n"/>
      <c r="AE433" s="55" t="n"/>
    </row>
    <row r="434">
      <c r="B434" s="52" t="n"/>
      <c r="E434" s="55" t="n"/>
      <c r="AE434" s="55" t="n"/>
    </row>
    <row r="435">
      <c r="B435" s="52" t="n"/>
      <c r="E435" s="55" t="n"/>
      <c r="AE435" s="55" t="n"/>
    </row>
    <row r="436">
      <c r="B436" s="52" t="n"/>
      <c r="E436" s="55" t="n"/>
      <c r="AE436" s="55" t="n"/>
    </row>
    <row r="437">
      <c r="B437" s="52" t="n"/>
      <c r="E437" s="55" t="n"/>
      <c r="AE437" s="55" t="n"/>
    </row>
    <row r="438">
      <c r="B438" s="52" t="n"/>
      <c r="E438" s="55" t="n"/>
      <c r="AE438" s="55" t="n"/>
    </row>
    <row r="439">
      <c r="B439" s="52" t="n"/>
      <c r="E439" s="55" t="n"/>
      <c r="AE439" s="55" t="n"/>
    </row>
    <row r="440">
      <c r="B440" s="52" t="n"/>
      <c r="E440" s="55" t="n"/>
      <c r="AE440" s="55" t="n"/>
    </row>
    <row r="441">
      <c r="B441" s="52" t="n"/>
      <c r="E441" s="55" t="n"/>
      <c r="AE441" s="55" t="n"/>
    </row>
    <row r="442">
      <c r="B442" s="52" t="n"/>
      <c r="E442" s="55" t="n"/>
      <c r="AE442" s="55" t="n"/>
    </row>
    <row r="443">
      <c r="B443" s="52" t="n"/>
      <c r="E443" s="55" t="n"/>
      <c r="AE443" s="55" t="n"/>
    </row>
    <row r="444">
      <c r="B444" s="52" t="n"/>
      <c r="E444" s="55" t="n"/>
      <c r="AE444" s="55" t="n"/>
    </row>
    <row r="445">
      <c r="B445" s="52" t="n"/>
      <c r="E445" s="55" t="n"/>
      <c r="AE445" s="55" t="n"/>
    </row>
    <row r="446">
      <c r="B446" s="52" t="n"/>
      <c r="E446" s="55" t="n"/>
      <c r="AE446" s="55" t="n"/>
    </row>
    <row r="447">
      <c r="B447" s="52" t="n"/>
      <c r="E447" s="55" t="n"/>
      <c r="AE447" s="55" t="n"/>
    </row>
    <row r="448">
      <c r="B448" s="52" t="n"/>
      <c r="E448" s="55" t="n"/>
      <c r="AE448" s="55" t="n"/>
    </row>
    <row r="449">
      <c r="B449" s="52" t="n"/>
      <c r="E449" s="55" t="n"/>
      <c r="AE449" s="55" t="n"/>
    </row>
    <row r="450">
      <c r="B450" s="52" t="n"/>
      <c r="E450" s="55" t="n"/>
      <c r="AE450" s="55" t="n"/>
    </row>
    <row r="451">
      <c r="B451" s="52" t="n"/>
      <c r="E451" s="55" t="n"/>
      <c r="AE451" s="55" t="n"/>
    </row>
    <row r="452">
      <c r="B452" s="52" t="n"/>
      <c r="E452" s="55" t="n"/>
      <c r="AE452" s="55" t="n"/>
    </row>
    <row r="453">
      <c r="B453" s="52" t="n"/>
      <c r="E453" s="55" t="n"/>
      <c r="AE453" s="55" t="n"/>
    </row>
    <row r="454">
      <c r="B454" s="52" t="n"/>
      <c r="E454" s="55" t="n"/>
      <c r="AE454" s="55" t="n"/>
    </row>
    <row r="455">
      <c r="B455" s="52" t="n"/>
      <c r="E455" s="55" t="n"/>
      <c r="AE455" s="55" t="n"/>
    </row>
    <row r="456">
      <c r="B456" s="52" t="n"/>
      <c r="E456" s="55" t="n"/>
      <c r="AE456" s="55" t="n"/>
    </row>
    <row r="457">
      <c r="B457" s="52" t="n"/>
      <c r="E457" s="55" t="n"/>
      <c r="AE457" s="55" t="n"/>
    </row>
    <row r="458">
      <c r="B458" s="52" t="n"/>
      <c r="E458" s="55" t="n"/>
      <c r="AE458" s="55" t="n"/>
    </row>
    <row r="459">
      <c r="B459" s="52" t="n"/>
      <c r="E459" s="55" t="n"/>
      <c r="AE459" s="55" t="n"/>
    </row>
    <row r="460">
      <c r="B460" s="52" t="n"/>
      <c r="E460" s="55" t="n"/>
      <c r="AE460" s="55" t="n"/>
    </row>
    <row r="461">
      <c r="B461" s="52" t="n"/>
      <c r="E461" s="55" t="n"/>
      <c r="AE461" s="55" t="n"/>
    </row>
    <row r="462">
      <c r="B462" s="52" t="n"/>
      <c r="E462" s="55" t="n"/>
      <c r="AE462" s="55" t="n"/>
    </row>
    <row r="463">
      <c r="B463" s="52" t="n"/>
      <c r="E463" s="55" t="n"/>
      <c r="AE463" s="55" t="n"/>
    </row>
    <row r="464">
      <c r="B464" s="52" t="n"/>
      <c r="E464" s="55" t="n"/>
      <c r="AE464" s="55" t="n"/>
    </row>
    <row r="465">
      <c r="B465" s="52" t="n"/>
      <c r="E465" s="55" t="n"/>
      <c r="AE465" s="55" t="n"/>
    </row>
    <row r="466">
      <c r="B466" s="52" t="n"/>
      <c r="E466" s="55" t="n"/>
      <c r="AE466" s="55" t="n"/>
    </row>
    <row r="467">
      <c r="B467" s="52" t="n"/>
      <c r="E467" s="55" t="n"/>
      <c r="AE467" s="55" t="n"/>
    </row>
    <row r="468">
      <c r="B468" s="52" t="n"/>
      <c r="E468" s="55" t="n"/>
      <c r="AE468" s="55" t="n"/>
    </row>
    <row r="469">
      <c r="B469" s="52" t="n"/>
      <c r="E469" s="55" t="n"/>
      <c r="AE469" s="55" t="n"/>
    </row>
    <row r="470">
      <c r="B470" s="52" t="n"/>
      <c r="E470" s="55" t="n"/>
      <c r="AE470" s="55" t="n"/>
    </row>
    <row r="471">
      <c r="B471" s="52" t="n"/>
      <c r="E471" s="55" t="n"/>
      <c r="AE471" s="55" t="n"/>
    </row>
    <row r="472">
      <c r="B472" s="52" t="n"/>
      <c r="E472" s="55" t="n"/>
      <c r="AE472" s="55" t="n"/>
    </row>
    <row r="473">
      <c r="B473" s="52" t="n"/>
      <c r="E473" s="55" t="n"/>
      <c r="AE473" s="55" t="n"/>
    </row>
    <row r="474">
      <c r="B474" s="52" t="n"/>
      <c r="E474" s="55" t="n"/>
      <c r="AE474" s="55" t="n"/>
    </row>
    <row r="475">
      <c r="B475" s="52" t="n"/>
      <c r="E475" s="55" t="n"/>
      <c r="AE475" s="55" t="n"/>
    </row>
    <row r="476">
      <c r="B476" s="52" t="n"/>
      <c r="E476" s="55" t="n"/>
      <c r="AE476" s="55" t="n"/>
    </row>
    <row r="477">
      <c r="B477" s="52" t="n"/>
      <c r="E477" s="55" t="n"/>
      <c r="AE477" s="55" t="n"/>
    </row>
    <row r="478">
      <c r="B478" s="52" t="n"/>
      <c r="E478" s="55" t="n"/>
      <c r="AE478" s="55" t="n"/>
    </row>
    <row r="479">
      <c r="B479" s="52" t="n"/>
      <c r="E479" s="55" t="n"/>
      <c r="AE479" s="55" t="n"/>
    </row>
    <row r="480">
      <c r="B480" s="52" t="n"/>
      <c r="E480" s="55" t="n"/>
      <c r="AE480" s="55" t="n"/>
    </row>
    <row r="481">
      <c r="B481" s="52" t="n"/>
      <c r="E481" s="55" t="n"/>
      <c r="AE481" s="55" t="n"/>
    </row>
    <row r="482">
      <c r="B482" s="52" t="n"/>
      <c r="E482" s="55" t="n"/>
      <c r="AE482" s="55" t="n"/>
    </row>
    <row r="483">
      <c r="B483" s="52" t="n"/>
      <c r="E483" s="55" t="n"/>
      <c r="AE483" s="55" t="n"/>
    </row>
    <row r="484">
      <c r="B484" s="52" t="n"/>
      <c r="E484" s="55" t="n"/>
      <c r="AE484" s="55" t="n"/>
    </row>
    <row r="485">
      <c r="B485" s="52" t="n"/>
      <c r="E485" s="55" t="n"/>
      <c r="AE485" s="55" t="n"/>
    </row>
    <row r="486">
      <c r="B486" s="52" t="n"/>
      <c r="E486" s="55" t="n"/>
      <c r="AE486" s="55" t="n"/>
    </row>
    <row r="487">
      <c r="B487" s="52" t="n"/>
      <c r="E487" s="55" t="n"/>
      <c r="AE487" s="55" t="n"/>
    </row>
    <row r="488">
      <c r="B488" s="52" t="n"/>
      <c r="E488" s="55" t="n"/>
      <c r="AE488" s="55" t="n"/>
    </row>
    <row r="489">
      <c r="B489" s="52" t="n"/>
      <c r="E489" s="55" t="n"/>
      <c r="AE489" s="55" t="n"/>
    </row>
    <row r="490">
      <c r="B490" s="52" t="n"/>
      <c r="E490" s="55" t="n"/>
      <c r="AE490" s="55" t="n"/>
    </row>
    <row r="491">
      <c r="B491" s="52" t="n"/>
      <c r="E491" s="55" t="n"/>
      <c r="AE491" s="55" t="n"/>
    </row>
    <row r="492">
      <c r="B492" s="52" t="n"/>
      <c r="E492" s="55" t="n"/>
      <c r="AE492" s="55" t="n"/>
    </row>
    <row r="493">
      <c r="B493" s="52" t="n"/>
      <c r="E493" s="55" t="n"/>
      <c r="AE493" s="55" t="n"/>
    </row>
    <row r="494">
      <c r="B494" s="52" t="n"/>
      <c r="E494" s="55" t="n"/>
      <c r="AE494" s="55" t="n"/>
    </row>
    <row r="495">
      <c r="B495" s="52" t="n"/>
      <c r="E495" s="55" t="n"/>
      <c r="AE495" s="55" t="n"/>
    </row>
    <row r="496">
      <c r="B496" s="52" t="n"/>
      <c r="E496" s="55" t="n"/>
      <c r="AE496" s="55" t="n"/>
    </row>
    <row r="497">
      <c r="B497" s="52" t="n"/>
      <c r="E497" s="55" t="n"/>
      <c r="AE497" s="55" t="n"/>
    </row>
    <row r="498">
      <c r="B498" s="52" t="n"/>
      <c r="E498" s="55" t="n"/>
      <c r="AE498" s="55" t="n"/>
    </row>
    <row r="499">
      <c r="B499" s="52" t="n"/>
      <c r="E499" s="55" t="n"/>
      <c r="AE499" s="55" t="n"/>
    </row>
    <row r="500">
      <c r="B500" s="52" t="n"/>
      <c r="E500" s="55" t="n"/>
      <c r="AE500" s="55" t="n"/>
    </row>
    <row r="501">
      <c r="B501" s="52" t="n"/>
      <c r="E501" s="55" t="n"/>
      <c r="AE501" s="55" t="n"/>
    </row>
    <row r="502">
      <c r="B502" s="52" t="n"/>
      <c r="E502" s="55" t="n"/>
      <c r="AE502" s="55" t="n"/>
    </row>
    <row r="503">
      <c r="B503" s="52" t="n"/>
      <c r="E503" s="55" t="n"/>
      <c r="AE503" s="55" t="n"/>
    </row>
    <row r="504">
      <c r="B504" s="52" t="n"/>
      <c r="E504" s="55" t="n"/>
      <c r="AE504" s="55" t="n"/>
    </row>
    <row r="505">
      <c r="B505" s="52" t="n"/>
      <c r="E505" s="55" t="n"/>
      <c r="AE505" s="55" t="n"/>
    </row>
    <row r="506">
      <c r="B506" s="52" t="n"/>
      <c r="E506" s="55" t="n"/>
      <c r="AE506" s="55" t="n"/>
    </row>
    <row r="507">
      <c r="B507" s="52" t="n"/>
      <c r="E507" s="55" t="n"/>
      <c r="AE507" s="55" t="n"/>
    </row>
    <row r="508">
      <c r="B508" s="52" t="n"/>
      <c r="E508" s="55" t="n"/>
      <c r="AE508" s="55" t="n"/>
    </row>
    <row r="509">
      <c r="B509" s="52" t="n"/>
      <c r="E509" s="55" t="n"/>
      <c r="AE509" s="55" t="n"/>
    </row>
    <row r="510">
      <c r="B510" s="52" t="n"/>
      <c r="E510" s="55" t="n"/>
      <c r="AE510" s="55" t="n"/>
    </row>
    <row r="511">
      <c r="B511" s="52" t="n"/>
      <c r="E511" s="55" t="n"/>
      <c r="AE511" s="55" t="n"/>
    </row>
    <row r="512">
      <c r="B512" s="52" t="n"/>
      <c r="E512" s="55" t="n"/>
      <c r="AE512" s="55" t="n"/>
    </row>
    <row r="513">
      <c r="B513" s="52" t="n"/>
      <c r="E513" s="55" t="n"/>
      <c r="AE513" s="55" t="n"/>
    </row>
    <row r="514">
      <c r="B514" s="52" t="n"/>
      <c r="E514" s="55" t="n"/>
      <c r="AE514" s="55" t="n"/>
    </row>
    <row r="515">
      <c r="B515" s="52" t="n"/>
      <c r="E515" s="55" t="n"/>
      <c r="AE515" s="55" t="n"/>
    </row>
    <row r="516">
      <c r="B516" s="52" t="n"/>
      <c r="E516" s="55" t="n"/>
      <c r="AE516" s="55" t="n"/>
    </row>
    <row r="517">
      <c r="B517" s="52" t="n"/>
      <c r="E517" s="55" t="n"/>
      <c r="AE517" s="55" t="n"/>
    </row>
    <row r="518">
      <c r="B518" s="52" t="n"/>
      <c r="E518" s="55" t="n"/>
      <c r="AE518" s="55" t="n"/>
    </row>
    <row r="519">
      <c r="B519" s="52" t="n"/>
      <c r="E519" s="55" t="n"/>
      <c r="AE519" s="55" t="n"/>
    </row>
    <row r="520">
      <c r="B520" s="52" t="n"/>
      <c r="E520" s="55" t="n"/>
      <c r="AE520" s="55" t="n"/>
    </row>
    <row r="521">
      <c r="B521" s="52" t="n"/>
      <c r="E521" s="55" t="n"/>
      <c r="AE521" s="55" t="n"/>
    </row>
    <row r="522">
      <c r="B522" s="52" t="n"/>
      <c r="E522" s="55" t="n"/>
      <c r="AE522" s="55" t="n"/>
    </row>
    <row r="523">
      <c r="B523" s="52" t="n"/>
      <c r="E523" s="55" t="n"/>
      <c r="AE523" s="55" t="n"/>
    </row>
    <row r="524">
      <c r="B524" s="52" t="n"/>
      <c r="E524" s="55" t="n"/>
      <c r="AE524" s="55" t="n"/>
    </row>
    <row r="525">
      <c r="B525" s="52" t="n"/>
      <c r="E525" s="55" t="n"/>
      <c r="AE525" s="55" t="n"/>
    </row>
    <row r="526">
      <c r="B526" s="52" t="n"/>
      <c r="E526" s="55" t="n"/>
      <c r="AE526" s="55" t="n"/>
    </row>
    <row r="527">
      <c r="B527" s="52" t="n"/>
      <c r="E527" s="55" t="n"/>
      <c r="AE527" s="55" t="n"/>
    </row>
    <row r="528">
      <c r="B528" s="52" t="n"/>
      <c r="E528" s="55" t="n"/>
      <c r="AE528" s="55" t="n"/>
    </row>
    <row r="529">
      <c r="B529" s="52" t="n"/>
      <c r="E529" s="55" t="n"/>
      <c r="AE529" s="55" t="n"/>
    </row>
    <row r="530">
      <c r="B530" s="52" t="n"/>
      <c r="E530" s="55" t="n"/>
      <c r="AE530" s="55" t="n"/>
    </row>
    <row r="531">
      <c r="B531" s="52" t="n"/>
      <c r="E531" s="55" t="n"/>
      <c r="AE531" s="55" t="n"/>
    </row>
    <row r="532">
      <c r="B532" s="52" t="n"/>
      <c r="E532" s="55" t="n"/>
      <c r="AE532" s="55" t="n"/>
    </row>
    <row r="533">
      <c r="B533" s="52" t="n"/>
      <c r="E533" s="55" t="n"/>
      <c r="AE533" s="55" t="n"/>
    </row>
    <row r="534">
      <c r="B534" s="52" t="n"/>
      <c r="E534" s="55" t="n"/>
      <c r="AE534" s="55" t="n"/>
    </row>
    <row r="535">
      <c r="B535" s="52" t="n"/>
      <c r="E535" s="55" t="n"/>
      <c r="AE535" s="55" t="n"/>
    </row>
    <row r="536">
      <c r="B536" s="52" t="n"/>
      <c r="E536" s="55" t="n"/>
      <c r="AE536" s="55" t="n"/>
    </row>
    <row r="537">
      <c r="B537" s="52" t="n"/>
      <c r="E537" s="55" t="n"/>
      <c r="AE537" s="55" t="n"/>
    </row>
    <row r="538">
      <c r="B538" s="52" t="n"/>
      <c r="E538" s="55" t="n"/>
      <c r="AE538" s="55" t="n"/>
    </row>
    <row r="539">
      <c r="B539" s="52" t="n"/>
      <c r="E539" s="55" t="n"/>
      <c r="AE539" s="55" t="n"/>
    </row>
    <row r="540">
      <c r="B540" s="52" t="n"/>
      <c r="E540" s="55" t="n"/>
      <c r="AE540" s="55" t="n"/>
    </row>
    <row r="541">
      <c r="B541" s="52" t="n"/>
      <c r="E541" s="55" t="n"/>
      <c r="AE541" s="55" t="n"/>
    </row>
    <row r="542">
      <c r="B542" s="52" t="n"/>
      <c r="E542" s="55" t="n"/>
      <c r="AE542" s="55" t="n"/>
    </row>
    <row r="543">
      <c r="B543" s="52" t="n"/>
      <c r="E543" s="55" t="n"/>
      <c r="AE543" s="55" t="n"/>
    </row>
    <row r="544">
      <c r="B544" s="52" t="n"/>
      <c r="E544" s="55" t="n"/>
      <c r="AE544" s="55" t="n"/>
    </row>
    <row r="545">
      <c r="B545" s="52" t="n"/>
      <c r="E545" s="55" t="n"/>
      <c r="AE545" s="55" t="n"/>
    </row>
    <row r="546">
      <c r="B546" s="52" t="n"/>
      <c r="E546" s="55" t="n"/>
      <c r="AE546" s="55" t="n"/>
    </row>
    <row r="547">
      <c r="B547" s="52" t="n"/>
      <c r="E547" s="55" t="n"/>
      <c r="AE547" s="55" t="n"/>
    </row>
    <row r="548">
      <c r="B548" s="52" t="n"/>
      <c r="E548" s="55" t="n"/>
      <c r="AE548" s="55" t="n"/>
    </row>
    <row r="549">
      <c r="B549" s="52" t="n"/>
      <c r="E549" s="55" t="n"/>
      <c r="AE549" s="55" t="n"/>
    </row>
    <row r="550">
      <c r="B550" s="52" t="n"/>
      <c r="E550" s="55" t="n"/>
      <c r="AE550" s="55" t="n"/>
    </row>
    <row r="551">
      <c r="B551" s="52" t="n"/>
      <c r="E551" s="55" t="n"/>
      <c r="AE551" s="55" t="n"/>
    </row>
    <row r="552">
      <c r="B552" s="52" t="n"/>
      <c r="E552" s="55" t="n"/>
      <c r="AE552" s="55" t="n"/>
    </row>
    <row r="553">
      <c r="B553" s="52" t="n"/>
      <c r="E553" s="55" t="n"/>
      <c r="AE553" s="55" t="n"/>
    </row>
    <row r="554">
      <c r="B554" s="52" t="n"/>
      <c r="E554" s="55" t="n"/>
      <c r="AE554" s="55" t="n"/>
    </row>
    <row r="555">
      <c r="B555" s="52" t="n"/>
      <c r="E555" s="55" t="n"/>
      <c r="AE555" s="55" t="n"/>
    </row>
    <row r="556">
      <c r="B556" s="52" t="n"/>
      <c r="E556" s="55" t="n"/>
      <c r="AE556" s="55" t="n"/>
    </row>
    <row r="557">
      <c r="B557" s="52" t="n"/>
      <c r="E557" s="55" t="n"/>
      <c r="AE557" s="55" t="n"/>
    </row>
    <row r="558">
      <c r="B558" s="52" t="n"/>
      <c r="E558" s="55" t="n"/>
      <c r="AE558" s="55" t="n"/>
    </row>
    <row r="559">
      <c r="B559" s="52" t="n"/>
      <c r="E559" s="55" t="n"/>
      <c r="AE559" s="55" t="n"/>
    </row>
    <row r="560">
      <c r="B560" s="52" t="n"/>
      <c r="E560" s="55" t="n"/>
      <c r="AE560" s="55" t="n"/>
    </row>
    <row r="561">
      <c r="B561" s="52" t="n"/>
      <c r="E561" s="55" t="n"/>
      <c r="AE561" s="55" t="n"/>
    </row>
    <row r="562">
      <c r="B562" s="52" t="n"/>
      <c r="E562" s="55" t="n"/>
      <c r="AE562" s="55" t="n"/>
    </row>
    <row r="563">
      <c r="B563" s="52" t="n"/>
      <c r="E563" s="55" t="n"/>
      <c r="AE563" s="55" t="n"/>
    </row>
    <row r="564">
      <c r="B564" s="52" t="n"/>
      <c r="E564" s="55" t="n"/>
      <c r="AE564" s="55" t="n"/>
    </row>
    <row r="565">
      <c r="B565" s="52" t="n"/>
      <c r="E565" s="55" t="n"/>
      <c r="AE565" s="55" t="n"/>
    </row>
    <row r="566">
      <c r="B566" s="52" t="n"/>
      <c r="E566" s="55" t="n"/>
      <c r="AE566" s="55" t="n"/>
    </row>
    <row r="567">
      <c r="B567" s="52" t="n"/>
      <c r="E567" s="55" t="n"/>
      <c r="AE567" s="55" t="n"/>
    </row>
    <row r="568">
      <c r="B568" s="52" t="n"/>
      <c r="E568" s="55" t="n"/>
      <c r="AE568" s="55" t="n"/>
    </row>
    <row r="569">
      <c r="B569" s="52" t="n"/>
      <c r="E569" s="55" t="n"/>
      <c r="AE569" s="55" t="n"/>
    </row>
    <row r="570">
      <c r="B570" s="52" t="n"/>
      <c r="E570" s="55" t="n"/>
      <c r="AE570" s="55" t="n"/>
    </row>
    <row r="571">
      <c r="B571" s="52" t="n"/>
      <c r="E571" s="55" t="n"/>
      <c r="AE571" s="55" t="n"/>
    </row>
    <row r="572">
      <c r="B572" s="52" t="n"/>
      <c r="E572" s="55" t="n"/>
      <c r="AE572" s="55" t="n"/>
    </row>
    <row r="573">
      <c r="B573" s="52" t="n"/>
      <c r="E573" s="55" t="n"/>
      <c r="AE573" s="55" t="n"/>
    </row>
    <row r="574">
      <c r="B574" s="52" t="n"/>
      <c r="E574" s="55" t="n"/>
      <c r="AE574" s="55" t="n"/>
    </row>
    <row r="575">
      <c r="B575" s="52" t="n"/>
      <c r="E575" s="55" t="n"/>
      <c r="AE575" s="55" t="n"/>
    </row>
    <row r="576">
      <c r="B576" s="52" t="n"/>
      <c r="E576" s="55" t="n"/>
      <c r="AE576" s="55" t="n"/>
    </row>
    <row r="577">
      <c r="B577" s="52" t="n"/>
      <c r="E577" s="55" t="n"/>
      <c r="AE577" s="55" t="n"/>
    </row>
    <row r="578">
      <c r="B578" s="52" t="n"/>
      <c r="E578" s="55" t="n"/>
      <c r="AE578" s="55" t="n"/>
    </row>
    <row r="579">
      <c r="B579" s="52" t="n"/>
      <c r="E579" s="55" t="n"/>
      <c r="AE579" s="55" t="n"/>
    </row>
    <row r="580">
      <c r="B580" s="52" t="n"/>
      <c r="E580" s="55" t="n"/>
      <c r="AE580" s="55" t="n"/>
    </row>
    <row r="581">
      <c r="B581" s="52" t="n"/>
      <c r="E581" s="55" t="n"/>
      <c r="AE581" s="55" t="n"/>
    </row>
    <row r="582">
      <c r="B582" s="52" t="n"/>
      <c r="E582" s="55" t="n"/>
      <c r="AE582" s="55" t="n"/>
    </row>
    <row r="583">
      <c r="B583" s="52" t="n"/>
      <c r="E583" s="55" t="n"/>
      <c r="AE583" s="55" t="n"/>
    </row>
    <row r="584">
      <c r="B584" s="52" t="n"/>
      <c r="E584" s="55" t="n"/>
      <c r="AE584" s="55" t="n"/>
    </row>
    <row r="585">
      <c r="B585" s="52" t="n"/>
      <c r="E585" s="55" t="n"/>
      <c r="AE585" s="55" t="n"/>
    </row>
    <row r="586">
      <c r="B586" s="52" t="n"/>
      <c r="E586" s="55" t="n"/>
      <c r="AE586" s="55" t="n"/>
    </row>
    <row r="587">
      <c r="B587" s="52" t="n"/>
      <c r="E587" s="55" t="n"/>
      <c r="AE587" s="55" t="n"/>
    </row>
    <row r="588">
      <c r="B588" s="52" t="n"/>
      <c r="E588" s="55" t="n"/>
      <c r="AE588" s="55" t="n"/>
    </row>
    <row r="589">
      <c r="B589" s="52" t="n"/>
      <c r="E589" s="55" t="n"/>
      <c r="AE589" s="55" t="n"/>
    </row>
    <row r="590">
      <c r="B590" s="52" t="n"/>
      <c r="E590" s="55" t="n"/>
      <c r="AE590" s="55" t="n"/>
    </row>
    <row r="591">
      <c r="B591" s="52" t="n"/>
      <c r="E591" s="55" t="n"/>
      <c r="AE591" s="55" t="n"/>
    </row>
    <row r="592">
      <c r="B592" s="52" t="n"/>
      <c r="E592" s="55" t="n"/>
      <c r="AE592" s="55" t="n"/>
    </row>
    <row r="593">
      <c r="B593" s="52" t="n"/>
      <c r="E593" s="55" t="n"/>
      <c r="AE593" s="55" t="n"/>
    </row>
    <row r="594">
      <c r="B594" s="52" t="n"/>
      <c r="E594" s="55" t="n"/>
      <c r="AE594" s="55" t="n"/>
    </row>
    <row r="595">
      <c r="B595" s="52" t="n"/>
      <c r="E595" s="55" t="n"/>
      <c r="AE595" s="55" t="n"/>
    </row>
    <row r="596">
      <c r="B596" s="52" t="n"/>
      <c r="E596" s="55" t="n"/>
      <c r="AE596" s="55" t="n"/>
    </row>
    <row r="597">
      <c r="B597" s="52" t="n"/>
      <c r="E597" s="55" t="n"/>
      <c r="AE597" s="55" t="n"/>
    </row>
    <row r="598">
      <c r="B598" s="52" t="n"/>
      <c r="E598" s="55" t="n"/>
      <c r="AE598" s="55" t="n"/>
    </row>
    <row r="599">
      <c r="B599" s="52" t="n"/>
      <c r="E599" s="55" t="n"/>
      <c r="AE599" s="55" t="n"/>
    </row>
    <row r="600">
      <c r="B600" s="52" t="n"/>
      <c r="E600" s="55" t="n"/>
      <c r="AE600" s="55" t="n"/>
    </row>
    <row r="601">
      <c r="B601" s="52" t="n"/>
      <c r="E601" s="55" t="n"/>
      <c r="AE601" s="55" t="n"/>
    </row>
    <row r="602">
      <c r="B602" s="52" t="n"/>
      <c r="E602" s="55" t="n"/>
      <c r="AE602" s="55" t="n"/>
    </row>
    <row r="603">
      <c r="B603" s="52" t="n"/>
      <c r="E603" s="55" t="n"/>
      <c r="AE603" s="55" t="n"/>
    </row>
    <row r="604">
      <c r="B604" s="52" t="n"/>
      <c r="E604" s="55" t="n"/>
      <c r="AE604" s="55" t="n"/>
    </row>
    <row r="605">
      <c r="B605" s="52" t="n"/>
      <c r="E605" s="55" t="n"/>
      <c r="AE605" s="55" t="n"/>
    </row>
    <row r="606">
      <c r="B606" s="52" t="n"/>
      <c r="E606" s="55" t="n"/>
      <c r="AE606" s="55" t="n"/>
    </row>
    <row r="607">
      <c r="B607" s="52" t="n"/>
      <c r="E607" s="55" t="n"/>
      <c r="AE607" s="55" t="n"/>
    </row>
    <row r="608">
      <c r="B608" s="52" t="n"/>
      <c r="E608" s="55" t="n"/>
      <c r="AE608" s="55" t="n"/>
    </row>
    <row r="609">
      <c r="B609" s="52" t="n"/>
      <c r="E609" s="55" t="n"/>
      <c r="AE609" s="55" t="n"/>
    </row>
    <row r="610">
      <c r="B610" s="52" t="n"/>
      <c r="E610" s="55" t="n"/>
      <c r="AE610" s="55" t="n"/>
    </row>
    <row r="611">
      <c r="B611" s="52" t="n"/>
      <c r="E611" s="55" t="n"/>
      <c r="AE611" s="55" t="n"/>
    </row>
    <row r="612">
      <c r="B612" s="52" t="n"/>
      <c r="E612" s="55" t="n"/>
      <c r="AE612" s="55" t="n"/>
    </row>
    <row r="613">
      <c r="B613" s="52" t="n"/>
      <c r="E613" s="55" t="n"/>
      <c r="AE613" s="55" t="n"/>
    </row>
    <row r="614">
      <c r="B614" s="52" t="n"/>
      <c r="E614" s="55" t="n"/>
      <c r="AE614" s="55" t="n"/>
    </row>
    <row r="615">
      <c r="B615" s="52" t="n"/>
      <c r="E615" s="55" t="n"/>
      <c r="AE615" s="55" t="n"/>
    </row>
    <row r="616">
      <c r="B616" s="52" t="n"/>
      <c r="E616" s="55" t="n"/>
      <c r="AE616" s="55" t="n"/>
    </row>
    <row r="617">
      <c r="B617" s="52" t="n"/>
      <c r="E617" s="55" t="n"/>
      <c r="AE617" s="55" t="n"/>
    </row>
    <row r="618">
      <c r="B618" s="52" t="n"/>
      <c r="E618" s="55" t="n"/>
      <c r="AE618" s="55" t="n"/>
    </row>
    <row r="619">
      <c r="B619" s="52" t="n"/>
      <c r="E619" s="55" t="n"/>
      <c r="AE619" s="55" t="n"/>
    </row>
    <row r="620">
      <c r="B620" s="52" t="n"/>
      <c r="E620" s="55" t="n"/>
      <c r="AE620" s="55" t="n"/>
    </row>
    <row r="621">
      <c r="B621" s="52" t="n"/>
      <c r="E621" s="55" t="n"/>
      <c r="AE621" s="55" t="n"/>
    </row>
    <row r="622">
      <c r="B622" s="52" t="n"/>
      <c r="E622" s="55" t="n"/>
      <c r="AE622" s="55" t="n"/>
    </row>
    <row r="623">
      <c r="B623" s="52" t="n"/>
      <c r="E623" s="55" t="n"/>
      <c r="AE623" s="55" t="n"/>
    </row>
    <row r="624">
      <c r="B624" s="52" t="n"/>
      <c r="E624" s="55" t="n"/>
      <c r="AE624" s="55" t="n"/>
    </row>
    <row r="625">
      <c r="B625" s="52" t="n"/>
      <c r="E625" s="55" t="n"/>
      <c r="AE625" s="55" t="n"/>
    </row>
    <row r="626">
      <c r="B626" s="52" t="n"/>
      <c r="E626" s="55" t="n"/>
      <c r="AE626" s="55" t="n"/>
    </row>
    <row r="627">
      <c r="B627" s="52" t="n"/>
      <c r="E627" s="55" t="n"/>
      <c r="AE627" s="55" t="n"/>
    </row>
    <row r="628">
      <c r="B628" s="52" t="n"/>
      <c r="E628" s="55" t="n"/>
      <c r="AE628" s="55" t="n"/>
    </row>
    <row r="629">
      <c r="B629" s="52" t="n"/>
      <c r="E629" s="55" t="n"/>
      <c r="AE629" s="55" t="n"/>
    </row>
    <row r="630">
      <c r="B630" s="52" t="n"/>
      <c r="E630" s="55" t="n"/>
      <c r="AE630" s="55" t="n"/>
    </row>
    <row r="631">
      <c r="B631" s="52" t="n"/>
      <c r="E631" s="55" t="n"/>
      <c r="AE631" s="55" t="n"/>
    </row>
    <row r="632">
      <c r="B632" s="52" t="n"/>
      <c r="E632" s="55" t="n"/>
      <c r="AE632" s="55" t="n"/>
    </row>
    <row r="633">
      <c r="B633" s="52" t="n"/>
      <c r="E633" s="55" t="n"/>
      <c r="AE633" s="55" t="n"/>
    </row>
    <row r="634">
      <c r="B634" s="52" t="n"/>
      <c r="E634" s="55" t="n"/>
      <c r="AE634" s="55" t="n"/>
    </row>
    <row r="635">
      <c r="B635" s="52" t="n"/>
      <c r="E635" s="55" t="n"/>
      <c r="AE635" s="55" t="n"/>
    </row>
    <row r="636">
      <c r="B636" s="52" t="n"/>
      <c r="E636" s="55" t="n"/>
      <c r="AE636" s="55" t="n"/>
    </row>
    <row r="637">
      <c r="B637" s="52" t="n"/>
      <c r="E637" s="55" t="n"/>
      <c r="AE637" s="55" t="n"/>
    </row>
    <row r="638">
      <c r="B638" s="52" t="n"/>
      <c r="E638" s="55" t="n"/>
      <c r="AE638" s="55" t="n"/>
    </row>
    <row r="639">
      <c r="B639" s="52" t="n"/>
      <c r="E639" s="55" t="n"/>
      <c r="AE639" s="55" t="n"/>
    </row>
    <row r="640">
      <c r="B640" s="52" t="n"/>
      <c r="E640" s="55" t="n"/>
      <c r="AE640" s="55" t="n"/>
    </row>
    <row r="641">
      <c r="B641" s="52" t="n"/>
      <c r="E641" s="55" t="n"/>
      <c r="AE641" s="55" t="n"/>
    </row>
    <row r="642">
      <c r="B642" s="52" t="n"/>
      <c r="E642" s="55" t="n"/>
      <c r="AE642" s="55" t="n"/>
    </row>
    <row r="643">
      <c r="B643" s="52" t="n"/>
      <c r="E643" s="55" t="n"/>
      <c r="AE643" s="55" t="n"/>
    </row>
    <row r="644">
      <c r="B644" s="52" t="n"/>
      <c r="E644" s="55" t="n"/>
      <c r="AE644" s="55" t="n"/>
    </row>
    <row r="645">
      <c r="B645" s="52" t="n"/>
      <c r="E645" s="55" t="n"/>
      <c r="AE645" s="55" t="n"/>
    </row>
    <row r="646">
      <c r="B646" s="52" t="n"/>
      <c r="E646" s="55" t="n"/>
      <c r="AE646" s="55" t="n"/>
    </row>
    <row r="647">
      <c r="B647" s="52" t="n"/>
      <c r="E647" s="55" t="n"/>
      <c r="AE647" s="55" t="n"/>
    </row>
    <row r="648">
      <c r="B648" s="52" t="n"/>
      <c r="E648" s="55" t="n"/>
      <c r="AE648" s="55" t="n"/>
    </row>
    <row r="649">
      <c r="B649" s="52" t="n"/>
      <c r="E649" s="55" t="n"/>
      <c r="AE649" s="55" t="n"/>
    </row>
    <row r="650">
      <c r="B650" s="52" t="n"/>
      <c r="E650" s="55" t="n"/>
      <c r="AE650" s="55" t="n"/>
    </row>
    <row r="651">
      <c r="B651" s="52" t="n"/>
      <c r="E651" s="55" t="n"/>
      <c r="AE651" s="55" t="n"/>
    </row>
    <row r="652">
      <c r="B652" s="52" t="n"/>
      <c r="E652" s="55" t="n"/>
      <c r="AE652" s="55" t="n"/>
    </row>
    <row r="653">
      <c r="B653" s="52" t="n"/>
      <c r="E653" s="55" t="n"/>
      <c r="AE653" s="55" t="n"/>
    </row>
    <row r="654">
      <c r="B654" s="52" t="n"/>
      <c r="E654" s="55" t="n"/>
      <c r="AE654" s="55" t="n"/>
    </row>
    <row r="655">
      <c r="B655" s="52" t="n"/>
      <c r="E655" s="55" t="n"/>
      <c r="AE655" s="55" t="n"/>
    </row>
    <row r="656">
      <c r="B656" s="52" t="n"/>
      <c r="E656" s="55" t="n"/>
      <c r="AE656" s="55" t="n"/>
    </row>
    <row r="657">
      <c r="B657" s="52" t="n"/>
      <c r="E657" s="55" t="n"/>
      <c r="AE657" s="55" t="n"/>
    </row>
    <row r="658">
      <c r="B658" s="52" t="n"/>
      <c r="E658" s="55" t="n"/>
      <c r="AE658" s="55" t="n"/>
    </row>
    <row r="659">
      <c r="B659" s="52" t="n"/>
      <c r="E659" s="55" t="n"/>
      <c r="AE659" s="55" t="n"/>
    </row>
    <row r="660">
      <c r="B660" s="52" t="n"/>
      <c r="E660" s="55" t="n"/>
      <c r="AE660" s="55" t="n"/>
    </row>
    <row r="661">
      <c r="B661" s="52" t="n"/>
      <c r="E661" s="55" t="n"/>
      <c r="AE661" s="55" t="n"/>
    </row>
    <row r="662">
      <c r="B662" s="52" t="n"/>
      <c r="E662" s="55" t="n"/>
      <c r="AE662" s="55" t="n"/>
    </row>
    <row r="663">
      <c r="B663" s="52" t="n"/>
      <c r="E663" s="55" t="n"/>
      <c r="AE663" s="55" t="n"/>
    </row>
    <row r="664">
      <c r="B664" s="52" t="n"/>
      <c r="E664" s="55" t="n"/>
      <c r="AE664" s="55" t="n"/>
    </row>
    <row r="665">
      <c r="B665" s="52" t="n"/>
      <c r="E665" s="55" t="n"/>
      <c r="AE665" s="55" t="n"/>
    </row>
    <row r="666">
      <c r="B666" s="52" t="n"/>
      <c r="E666" s="55" t="n"/>
      <c r="AE666" s="55" t="n"/>
    </row>
    <row r="667">
      <c r="B667" s="52" t="n"/>
      <c r="E667" s="55" t="n"/>
      <c r="AE667" s="55" t="n"/>
    </row>
    <row r="668">
      <c r="B668" s="52" t="n"/>
      <c r="E668" s="55" t="n"/>
      <c r="AE668" s="55" t="n"/>
    </row>
    <row r="669">
      <c r="B669" s="52" t="n"/>
      <c r="E669" s="55" t="n"/>
      <c r="AE669" s="55" t="n"/>
    </row>
    <row r="670">
      <c r="B670" s="52" t="n"/>
      <c r="E670" s="55" t="n"/>
      <c r="AE670" s="55" t="n"/>
    </row>
    <row r="671">
      <c r="B671" s="52" t="n"/>
      <c r="E671" s="55" t="n"/>
      <c r="AE671" s="55" t="n"/>
    </row>
    <row r="672">
      <c r="B672" s="52" t="n"/>
      <c r="E672" s="55" t="n"/>
      <c r="AE672" s="55" t="n"/>
    </row>
    <row r="673">
      <c r="B673" s="52" t="n"/>
      <c r="E673" s="55" t="n"/>
      <c r="AE673" s="55" t="n"/>
    </row>
    <row r="674">
      <c r="B674" s="52" t="n"/>
      <c r="E674" s="55" t="n"/>
      <c r="AE674" s="55" t="n"/>
    </row>
    <row r="675">
      <c r="B675" s="52" t="n"/>
      <c r="E675" s="55" t="n"/>
      <c r="AE675" s="55" t="n"/>
    </row>
    <row r="676">
      <c r="B676" s="52" t="n"/>
      <c r="E676" s="55" t="n"/>
      <c r="AE676" s="55" t="n"/>
    </row>
    <row r="677">
      <c r="B677" s="52" t="n"/>
      <c r="E677" s="55" t="n"/>
      <c r="AE677" s="55" t="n"/>
    </row>
    <row r="678">
      <c r="B678" s="52" t="n"/>
      <c r="E678" s="55" t="n"/>
      <c r="AE678" s="55" t="n"/>
    </row>
    <row r="679">
      <c r="B679" s="52" t="n"/>
      <c r="E679" s="55" t="n"/>
      <c r="AE679" s="55" t="n"/>
    </row>
    <row r="680">
      <c r="B680" s="52" t="n"/>
      <c r="E680" s="55" t="n"/>
      <c r="AE680" s="55" t="n"/>
    </row>
    <row r="681">
      <c r="B681" s="52" t="n"/>
      <c r="E681" s="55" t="n"/>
      <c r="AE681" s="55" t="n"/>
    </row>
    <row r="682">
      <c r="B682" s="52" t="n"/>
      <c r="E682" s="55" t="n"/>
      <c r="AE682" s="55" t="n"/>
    </row>
    <row r="683">
      <c r="B683" s="52" t="n"/>
      <c r="E683" s="55" t="n"/>
      <c r="AE683" s="55" t="n"/>
    </row>
    <row r="684">
      <c r="B684" s="52" t="n"/>
      <c r="E684" s="55" t="n"/>
      <c r="AE684" s="55" t="n"/>
    </row>
    <row r="685">
      <c r="B685" s="52" t="n"/>
      <c r="E685" s="55" t="n"/>
      <c r="AE685" s="55" t="n"/>
    </row>
    <row r="686">
      <c r="B686" s="52" t="n"/>
      <c r="E686" s="55" t="n"/>
      <c r="AE686" s="55" t="n"/>
    </row>
    <row r="687">
      <c r="B687" s="52" t="n"/>
      <c r="E687" s="55" t="n"/>
      <c r="AE687" s="55" t="n"/>
    </row>
    <row r="688">
      <c r="B688" s="52" t="n"/>
      <c r="E688" s="55" t="n"/>
      <c r="AE688" s="55" t="n"/>
    </row>
    <row r="689">
      <c r="B689" s="52" t="n"/>
      <c r="E689" s="55" t="n"/>
      <c r="AE689" s="55" t="n"/>
    </row>
    <row r="690">
      <c r="B690" s="52" t="n"/>
      <c r="E690" s="55" t="n"/>
      <c r="AE690" s="55" t="n"/>
    </row>
    <row r="691">
      <c r="B691" s="52" t="n"/>
      <c r="E691" s="55" t="n"/>
      <c r="AE691" s="55" t="n"/>
    </row>
    <row r="692">
      <c r="B692" s="52" t="n"/>
      <c r="E692" s="55" t="n"/>
      <c r="AE692" s="55" t="n"/>
    </row>
    <row r="693">
      <c r="B693" s="52" t="n"/>
      <c r="E693" s="55" t="n"/>
      <c r="AE693" s="55" t="n"/>
    </row>
    <row r="694">
      <c r="B694" s="52" t="n"/>
      <c r="E694" s="55" t="n"/>
      <c r="AE694" s="55" t="n"/>
    </row>
    <row r="695">
      <c r="B695" s="52" t="n"/>
      <c r="E695" s="55" t="n"/>
      <c r="AE695" s="55" t="n"/>
    </row>
    <row r="696">
      <c r="B696" s="52" t="n"/>
      <c r="E696" s="55" t="n"/>
      <c r="AE696" s="55" t="n"/>
    </row>
    <row r="697">
      <c r="B697" s="52" t="n"/>
      <c r="E697" s="55" t="n"/>
      <c r="AE697" s="55" t="n"/>
    </row>
    <row r="698">
      <c r="B698" s="52" t="n"/>
      <c r="E698" s="55" t="n"/>
      <c r="AE698" s="55" t="n"/>
    </row>
    <row r="699">
      <c r="B699" s="52" t="n"/>
      <c r="E699" s="55" t="n"/>
      <c r="AE699" s="55" t="n"/>
    </row>
    <row r="700">
      <c r="B700" s="52" t="n"/>
      <c r="E700" s="55" t="n"/>
      <c r="AE700" s="55" t="n"/>
    </row>
    <row r="701">
      <c r="B701" s="52" t="n"/>
      <c r="E701" s="55" t="n"/>
      <c r="AE701" s="55" t="n"/>
    </row>
    <row r="702">
      <c r="B702" s="52" t="n"/>
      <c r="E702" s="55" t="n"/>
      <c r="AE702" s="55" t="n"/>
    </row>
    <row r="703">
      <c r="B703" s="52" t="n"/>
      <c r="E703" s="55" t="n"/>
      <c r="AE703" s="55" t="n"/>
    </row>
    <row r="704">
      <c r="B704" s="52" t="n"/>
      <c r="E704" s="55" t="n"/>
      <c r="AE704" s="55" t="n"/>
    </row>
    <row r="705">
      <c r="B705" s="52" t="n"/>
      <c r="E705" s="55" t="n"/>
      <c r="AE705" s="55" t="n"/>
    </row>
    <row r="706">
      <c r="B706" s="52" t="n"/>
      <c r="E706" s="55" t="n"/>
      <c r="AE706" s="55" t="n"/>
    </row>
    <row r="707">
      <c r="B707" s="52" t="n"/>
      <c r="E707" s="55" t="n"/>
      <c r="AE707" s="55" t="n"/>
    </row>
    <row r="708">
      <c r="B708" s="52" t="n"/>
      <c r="E708" s="55" t="n"/>
      <c r="AE708" s="55" t="n"/>
    </row>
    <row r="709">
      <c r="B709" s="52" t="n"/>
      <c r="E709" s="55" t="n"/>
      <c r="AE709" s="55" t="n"/>
    </row>
    <row r="710">
      <c r="B710" s="52" t="n"/>
      <c r="E710" s="55" t="n"/>
      <c r="AE710" s="55" t="n"/>
    </row>
    <row r="711">
      <c r="B711" s="52" t="n"/>
      <c r="E711" s="55" t="n"/>
      <c r="AE711" s="55" t="n"/>
    </row>
    <row r="712">
      <c r="B712" s="52" t="n"/>
      <c r="E712" s="55" t="n"/>
      <c r="AE712" s="55" t="n"/>
    </row>
    <row r="713">
      <c r="B713" s="52" t="n"/>
      <c r="E713" s="55" t="n"/>
      <c r="AE713" s="55" t="n"/>
    </row>
    <row r="714">
      <c r="B714" s="52" t="n"/>
      <c r="E714" s="55" t="n"/>
      <c r="AE714" s="55" t="n"/>
    </row>
    <row r="715">
      <c r="B715" s="52" t="n"/>
      <c r="E715" s="55" t="n"/>
      <c r="AE715" s="55" t="n"/>
    </row>
    <row r="716">
      <c r="B716" s="52" t="n"/>
      <c r="E716" s="55" t="n"/>
      <c r="AE716" s="55" t="n"/>
    </row>
    <row r="717">
      <c r="B717" s="52" t="n"/>
      <c r="E717" s="55" t="n"/>
      <c r="AE717" s="55" t="n"/>
    </row>
    <row r="718">
      <c r="B718" s="52" t="n"/>
      <c r="E718" s="55" t="n"/>
      <c r="AE718" s="55" t="n"/>
    </row>
    <row r="719">
      <c r="B719" s="52" t="n"/>
      <c r="E719" s="55" t="n"/>
      <c r="AE719" s="55" t="n"/>
    </row>
    <row r="720">
      <c r="B720" s="52" t="n"/>
      <c r="E720" s="55" t="n"/>
      <c r="AE720" s="55" t="n"/>
    </row>
    <row r="721">
      <c r="B721" s="52" t="n"/>
      <c r="E721" s="55" t="n"/>
      <c r="AE721" s="55" t="n"/>
    </row>
    <row r="722">
      <c r="B722" s="52" t="n"/>
      <c r="E722" s="55" t="n"/>
      <c r="AE722" s="55" t="n"/>
    </row>
    <row r="723">
      <c r="B723" s="52" t="n"/>
      <c r="E723" s="55" t="n"/>
      <c r="AE723" s="55" t="n"/>
    </row>
    <row r="724">
      <c r="B724" s="52" t="n"/>
      <c r="E724" s="55" t="n"/>
      <c r="AE724" s="55" t="n"/>
    </row>
    <row r="725">
      <c r="B725" s="52" t="n"/>
      <c r="E725" s="55" t="n"/>
      <c r="AE725" s="55" t="n"/>
    </row>
    <row r="726">
      <c r="B726" s="52" t="n"/>
      <c r="E726" s="55" t="n"/>
      <c r="AE726" s="55" t="n"/>
    </row>
    <row r="727">
      <c r="B727" s="52" t="n"/>
      <c r="E727" s="55" t="n"/>
      <c r="AE727" s="55" t="n"/>
    </row>
    <row r="728">
      <c r="B728" s="52" t="n"/>
      <c r="E728" s="55" t="n"/>
      <c r="AE728" s="55" t="n"/>
    </row>
    <row r="729">
      <c r="B729" s="52" t="n"/>
      <c r="E729" s="55" t="n"/>
      <c r="AE729" s="55" t="n"/>
    </row>
    <row r="730">
      <c r="B730" s="52" t="n"/>
      <c r="E730" s="55" t="n"/>
      <c r="AE730" s="55" t="n"/>
    </row>
    <row r="731">
      <c r="B731" s="52" t="n"/>
      <c r="E731" s="55" t="n"/>
      <c r="AE731" s="55" t="n"/>
    </row>
    <row r="732">
      <c r="B732" s="52" t="n"/>
      <c r="E732" s="55" t="n"/>
      <c r="AE732" s="55" t="n"/>
    </row>
    <row r="733">
      <c r="B733" s="52" t="n"/>
      <c r="E733" s="55" t="n"/>
      <c r="AE733" s="55" t="n"/>
    </row>
    <row r="734">
      <c r="B734" s="52" t="n"/>
      <c r="E734" s="55" t="n"/>
      <c r="AE734" s="55" t="n"/>
    </row>
    <row r="735">
      <c r="B735" s="52" t="n"/>
      <c r="E735" s="55" t="n"/>
      <c r="AE735" s="55" t="n"/>
    </row>
    <row r="736">
      <c r="B736" s="52" t="n"/>
      <c r="E736" s="55" t="n"/>
      <c r="AE736" s="55" t="n"/>
    </row>
    <row r="737">
      <c r="B737" s="52" t="n"/>
      <c r="E737" s="55" t="n"/>
      <c r="AE737" s="55" t="n"/>
    </row>
    <row r="738">
      <c r="B738" s="52" t="n"/>
      <c r="E738" s="55" t="n"/>
      <c r="AE738" s="55" t="n"/>
    </row>
    <row r="739">
      <c r="B739" s="52" t="n"/>
      <c r="E739" s="55" t="n"/>
      <c r="AE739" s="55" t="n"/>
    </row>
    <row r="740">
      <c r="B740" s="52" t="n"/>
      <c r="E740" s="55" t="n"/>
      <c r="AE740" s="55" t="n"/>
    </row>
    <row r="741">
      <c r="B741" s="52" t="n"/>
      <c r="E741" s="55" t="n"/>
      <c r="AE741" s="55" t="n"/>
    </row>
    <row r="742">
      <c r="B742" s="52" t="n"/>
      <c r="E742" s="55" t="n"/>
      <c r="AE742" s="55" t="n"/>
    </row>
    <row r="743">
      <c r="B743" s="52" t="n"/>
      <c r="E743" s="55" t="n"/>
      <c r="AE743" s="55" t="n"/>
    </row>
    <row r="744">
      <c r="B744" s="52" t="n"/>
      <c r="E744" s="55" t="n"/>
      <c r="AE744" s="55" t="n"/>
    </row>
    <row r="745">
      <c r="B745" s="52" t="n"/>
      <c r="E745" s="55" t="n"/>
      <c r="AE745" s="55" t="n"/>
    </row>
    <row r="746">
      <c r="B746" s="52" t="n"/>
      <c r="E746" s="55" t="n"/>
      <c r="AE746" s="55" t="n"/>
    </row>
    <row r="747">
      <c r="B747" s="52" t="n"/>
      <c r="E747" s="55" t="n"/>
      <c r="AE747" s="55" t="n"/>
    </row>
    <row r="748">
      <c r="B748" s="52" t="n"/>
      <c r="E748" s="55" t="n"/>
      <c r="AE748" s="55" t="n"/>
    </row>
    <row r="749">
      <c r="B749" s="52" t="n"/>
      <c r="E749" s="55" t="n"/>
      <c r="AE749" s="55" t="n"/>
    </row>
    <row r="750">
      <c r="B750" s="52" t="n"/>
      <c r="E750" s="55" t="n"/>
      <c r="AE750" s="55" t="n"/>
    </row>
    <row r="751">
      <c r="B751" s="52" t="n"/>
      <c r="E751" s="55" t="n"/>
      <c r="AE751" s="55" t="n"/>
    </row>
    <row r="752">
      <c r="B752" s="52" t="n"/>
      <c r="E752" s="55" t="n"/>
      <c r="AE752" s="55" t="n"/>
    </row>
    <row r="753">
      <c r="B753" s="52" t="n"/>
      <c r="E753" s="55" t="n"/>
      <c r="AE753" s="55" t="n"/>
    </row>
    <row r="754">
      <c r="B754" s="52" t="n"/>
      <c r="E754" s="55" t="n"/>
      <c r="AE754" s="55" t="n"/>
    </row>
    <row r="755">
      <c r="B755" s="52" t="n"/>
      <c r="E755" s="55" t="n"/>
      <c r="AE755" s="55" t="n"/>
    </row>
    <row r="756">
      <c r="B756" s="52" t="n"/>
      <c r="E756" s="55" t="n"/>
      <c r="AE756" s="55" t="n"/>
    </row>
    <row r="757">
      <c r="B757" s="52" t="n"/>
      <c r="E757" s="55" t="n"/>
      <c r="AE757" s="55" t="n"/>
    </row>
    <row r="758">
      <c r="B758" s="52" t="n"/>
      <c r="E758" s="55" t="n"/>
      <c r="AE758" s="55" t="n"/>
    </row>
    <row r="759">
      <c r="B759" s="52" t="n"/>
      <c r="E759" s="55" t="n"/>
      <c r="AE759" s="55" t="n"/>
    </row>
    <row r="760">
      <c r="B760" s="52" t="n"/>
      <c r="E760" s="55" t="n"/>
      <c r="AE760" s="55" t="n"/>
    </row>
    <row r="761">
      <c r="B761" s="52" t="n"/>
      <c r="E761" s="55" t="n"/>
      <c r="AE761" s="55" t="n"/>
    </row>
    <row r="762">
      <c r="B762" s="52" t="n"/>
      <c r="E762" s="55" t="n"/>
      <c r="AE762" s="55" t="n"/>
    </row>
    <row r="763">
      <c r="B763" s="52" t="n"/>
      <c r="E763" s="55" t="n"/>
      <c r="AE763" s="55" t="n"/>
    </row>
    <row r="764">
      <c r="B764" s="52" t="n"/>
      <c r="E764" s="55" t="n"/>
      <c r="AE764" s="55" t="n"/>
    </row>
    <row r="765">
      <c r="B765" s="52" t="n"/>
      <c r="E765" s="55" t="n"/>
      <c r="AE765" s="55" t="n"/>
    </row>
    <row r="766">
      <c r="B766" s="52" t="n"/>
      <c r="E766" s="55" t="n"/>
      <c r="AE766" s="55" t="n"/>
    </row>
    <row r="767">
      <c r="B767" s="52" t="n"/>
      <c r="E767" s="55" t="n"/>
      <c r="AE767" s="55" t="n"/>
    </row>
    <row r="768">
      <c r="B768" s="52" t="n"/>
      <c r="E768" s="55" t="n"/>
      <c r="AE768" s="55" t="n"/>
    </row>
    <row r="769">
      <c r="B769" s="52" t="n"/>
      <c r="E769" s="55" t="n"/>
      <c r="AE769" s="55" t="n"/>
    </row>
    <row r="770">
      <c r="B770" s="52" t="n"/>
      <c r="E770" s="55" t="n"/>
      <c r="AE770" s="55" t="n"/>
    </row>
    <row r="771">
      <c r="B771" s="52" t="n"/>
      <c r="E771" s="55" t="n"/>
      <c r="AE771" s="55" t="n"/>
    </row>
    <row r="772">
      <c r="B772" s="52" t="n"/>
      <c r="E772" s="55" t="n"/>
      <c r="AE772" s="55" t="n"/>
    </row>
    <row r="773">
      <c r="B773" s="52" t="n"/>
      <c r="E773" s="55" t="n"/>
      <c r="AE773" s="55" t="n"/>
    </row>
    <row r="774">
      <c r="B774" s="52" t="n"/>
      <c r="E774" s="55" t="n"/>
      <c r="AE774" s="55" t="n"/>
    </row>
    <row r="775">
      <c r="B775" s="52" t="n"/>
      <c r="E775" s="55" t="n"/>
      <c r="AE775" s="55" t="n"/>
    </row>
    <row r="776">
      <c r="B776" s="52" t="n"/>
      <c r="E776" s="55" t="n"/>
      <c r="AE776" s="55" t="n"/>
    </row>
    <row r="777">
      <c r="B777" s="52" t="n"/>
      <c r="E777" s="55" t="n"/>
      <c r="AE777" s="55" t="n"/>
    </row>
    <row r="778">
      <c r="B778" s="52" t="n"/>
      <c r="E778" s="55" t="n"/>
      <c r="AE778" s="55" t="n"/>
    </row>
    <row r="779">
      <c r="B779" s="52" t="n"/>
      <c r="E779" s="55" t="n"/>
      <c r="AE779" s="55" t="n"/>
    </row>
    <row r="780">
      <c r="B780" s="52" t="n"/>
      <c r="E780" s="55" t="n"/>
      <c r="AE780" s="55" t="n"/>
    </row>
    <row r="781">
      <c r="B781" s="52" t="n"/>
      <c r="E781" s="55" t="n"/>
      <c r="AE781" s="55" t="n"/>
    </row>
    <row r="782">
      <c r="B782" s="52" t="n"/>
      <c r="E782" s="55" t="n"/>
      <c r="AE782" s="55" t="n"/>
    </row>
    <row r="783">
      <c r="B783" s="52" t="n"/>
      <c r="E783" s="55" t="n"/>
      <c r="AE783" s="55" t="n"/>
    </row>
    <row r="784">
      <c r="B784" s="52" t="n"/>
      <c r="E784" s="55" t="n"/>
      <c r="AE784" s="55" t="n"/>
    </row>
    <row r="785">
      <c r="B785" s="52" t="n"/>
      <c r="E785" s="55" t="n"/>
      <c r="AE785" s="55" t="n"/>
    </row>
    <row r="786">
      <c r="B786" s="52" t="n"/>
      <c r="E786" s="55" t="n"/>
      <c r="AE786" s="55" t="n"/>
    </row>
    <row r="787">
      <c r="B787" s="52" t="n"/>
      <c r="E787" s="55" t="n"/>
      <c r="AE787" s="55" t="n"/>
    </row>
    <row r="788">
      <c r="B788" s="52" t="n"/>
      <c r="E788" s="55" t="n"/>
      <c r="AE788" s="55" t="n"/>
    </row>
    <row r="789">
      <c r="B789" s="52" t="n"/>
      <c r="E789" s="55" t="n"/>
      <c r="AE789" s="55" t="n"/>
    </row>
    <row r="790">
      <c r="B790" s="52" t="n"/>
      <c r="E790" s="55" t="n"/>
      <c r="AE790" s="55" t="n"/>
    </row>
    <row r="791">
      <c r="B791" s="52" t="n"/>
      <c r="E791" s="55" t="n"/>
      <c r="AE791" s="55" t="n"/>
    </row>
    <row r="792">
      <c r="B792" s="52" t="n"/>
      <c r="E792" s="55" t="n"/>
      <c r="AE792" s="55" t="n"/>
    </row>
    <row r="793">
      <c r="B793" s="52" t="n"/>
      <c r="E793" s="55" t="n"/>
      <c r="AE793" s="55" t="n"/>
    </row>
    <row r="794">
      <c r="B794" s="52" t="n"/>
      <c r="E794" s="55" t="n"/>
      <c r="AE794" s="55" t="n"/>
    </row>
    <row r="795">
      <c r="B795" s="52" t="n"/>
      <c r="E795" s="55" t="n"/>
      <c r="AE795" s="55" t="n"/>
    </row>
    <row r="796">
      <c r="B796" s="52" t="n"/>
      <c r="E796" s="55" t="n"/>
      <c r="AE796" s="55" t="n"/>
    </row>
    <row r="797">
      <c r="B797" s="52" t="n"/>
      <c r="E797" s="55" t="n"/>
      <c r="AE797" s="55" t="n"/>
    </row>
    <row r="798">
      <c r="B798" s="52" t="n"/>
      <c r="E798" s="55" t="n"/>
      <c r="AE798" s="55" t="n"/>
    </row>
    <row r="799">
      <c r="B799" s="52" t="n"/>
      <c r="E799" s="55" t="n"/>
      <c r="AE799" s="55" t="n"/>
    </row>
    <row r="800">
      <c r="B800" s="52" t="n"/>
      <c r="E800" s="55" t="n"/>
      <c r="AE800" s="55" t="n"/>
    </row>
    <row r="801">
      <c r="B801" s="52" t="n"/>
      <c r="E801" s="55" t="n"/>
      <c r="AE801" s="55" t="n"/>
    </row>
    <row r="802">
      <c r="B802" s="52" t="n"/>
      <c r="E802" s="55" t="n"/>
      <c r="AE802" s="55" t="n"/>
    </row>
    <row r="803">
      <c r="B803" s="52" t="n"/>
      <c r="E803" s="55" t="n"/>
      <c r="AE803" s="55" t="n"/>
    </row>
    <row r="804">
      <c r="B804" s="52" t="n"/>
      <c r="E804" s="55" t="n"/>
      <c r="AE804" s="55" t="n"/>
    </row>
    <row r="805">
      <c r="B805" s="52" t="n"/>
      <c r="E805" s="55" t="n"/>
      <c r="AE805" s="55" t="n"/>
    </row>
    <row r="806">
      <c r="B806" s="52" t="n"/>
      <c r="E806" s="55" t="n"/>
      <c r="AE806" s="55" t="n"/>
    </row>
    <row r="807">
      <c r="B807" s="52" t="n"/>
      <c r="E807" s="55" t="n"/>
      <c r="AE807" s="55" t="n"/>
    </row>
    <row r="808">
      <c r="B808" s="52" t="n"/>
      <c r="E808" s="55" t="n"/>
      <c r="AE808" s="55" t="n"/>
    </row>
    <row r="809">
      <c r="B809" s="52" t="n"/>
      <c r="E809" s="55" t="n"/>
      <c r="AE809" s="55" t="n"/>
    </row>
    <row r="810">
      <c r="B810" s="52" t="n"/>
      <c r="E810" s="55" t="n"/>
      <c r="AE810" s="55" t="n"/>
    </row>
    <row r="811">
      <c r="B811" s="52" t="n"/>
      <c r="E811" s="55" t="n"/>
      <c r="AE811" s="55" t="n"/>
    </row>
    <row r="812">
      <c r="B812" s="52" t="n"/>
      <c r="E812" s="55" t="n"/>
      <c r="AE812" s="55" t="n"/>
    </row>
    <row r="813">
      <c r="B813" s="52" t="n"/>
      <c r="E813" s="55" t="n"/>
      <c r="AE813" s="55" t="n"/>
    </row>
    <row r="814">
      <c r="B814" s="52" t="n"/>
      <c r="E814" s="55" t="n"/>
      <c r="AE814" s="55" t="n"/>
    </row>
    <row r="815">
      <c r="B815" s="52" t="n"/>
      <c r="E815" s="55" t="n"/>
      <c r="AE815" s="55" t="n"/>
    </row>
    <row r="816">
      <c r="B816" s="52" t="n"/>
      <c r="E816" s="55" t="n"/>
      <c r="AE816" s="55" t="n"/>
    </row>
    <row r="817">
      <c r="B817" s="52" t="n"/>
      <c r="E817" s="55" t="n"/>
      <c r="AE817" s="55" t="n"/>
    </row>
    <row r="818">
      <c r="B818" s="52" t="n"/>
      <c r="E818" s="55" t="n"/>
      <c r="AE818" s="55" t="n"/>
    </row>
    <row r="819">
      <c r="B819" s="52" t="n"/>
      <c r="E819" s="55" t="n"/>
      <c r="AE819" s="55" t="n"/>
    </row>
    <row r="820">
      <c r="B820" s="52" t="n"/>
      <c r="E820" s="55" t="n"/>
      <c r="AE820" s="55" t="n"/>
    </row>
    <row r="821">
      <c r="B821" s="52" t="n"/>
      <c r="E821" s="55" t="n"/>
      <c r="AE821" s="55" t="n"/>
    </row>
    <row r="822">
      <c r="B822" s="52" t="n"/>
      <c r="E822" s="55" t="n"/>
      <c r="AE822" s="55" t="n"/>
    </row>
    <row r="823">
      <c r="B823" s="52" t="n"/>
      <c r="E823" s="55" t="n"/>
      <c r="AE823" s="55" t="n"/>
    </row>
    <row r="824">
      <c r="B824" s="52" t="n"/>
      <c r="E824" s="55" t="n"/>
      <c r="AE824" s="55" t="n"/>
    </row>
    <row r="825">
      <c r="B825" s="52" t="n"/>
      <c r="E825" s="55" t="n"/>
      <c r="AE825" s="55" t="n"/>
    </row>
    <row r="826">
      <c r="B826" s="52" t="n"/>
      <c r="E826" s="55" t="n"/>
      <c r="AE826" s="55" t="n"/>
    </row>
    <row r="827">
      <c r="B827" s="52" t="n"/>
      <c r="E827" s="55" t="n"/>
      <c r="AE827" s="55" t="n"/>
    </row>
    <row r="828">
      <c r="B828" s="52" t="n"/>
      <c r="E828" s="55" t="n"/>
      <c r="AE828" s="55" t="n"/>
    </row>
    <row r="829">
      <c r="B829" s="52" t="n"/>
      <c r="E829" s="55" t="n"/>
      <c r="AE829" s="55" t="n"/>
    </row>
    <row r="830">
      <c r="B830" s="52" t="n"/>
      <c r="E830" s="55" t="n"/>
      <c r="AE830" s="55" t="n"/>
    </row>
    <row r="831">
      <c r="B831" s="52" t="n"/>
      <c r="E831" s="55" t="n"/>
      <c r="AE831" s="55" t="n"/>
    </row>
    <row r="832">
      <c r="B832" s="52" t="n"/>
      <c r="E832" s="55" t="n"/>
      <c r="AE832" s="55" t="n"/>
    </row>
    <row r="833">
      <c r="B833" s="52" t="n"/>
      <c r="E833" s="55" t="n"/>
      <c r="AE833" s="55" t="n"/>
    </row>
    <row r="834">
      <c r="B834" s="52" t="n"/>
      <c r="E834" s="55" t="n"/>
      <c r="AE834" s="55" t="n"/>
    </row>
    <row r="835">
      <c r="B835" s="52" t="n"/>
      <c r="E835" s="55" t="n"/>
      <c r="AE835" s="55" t="n"/>
    </row>
    <row r="836">
      <c r="B836" s="52" t="n"/>
      <c r="E836" s="55" t="n"/>
      <c r="AE836" s="55" t="n"/>
    </row>
    <row r="837">
      <c r="B837" s="52" t="n"/>
      <c r="E837" s="55" t="n"/>
      <c r="AE837" s="55" t="n"/>
    </row>
    <row r="838">
      <c r="B838" s="52" t="n"/>
      <c r="E838" s="55" t="n"/>
      <c r="AE838" s="55" t="n"/>
    </row>
    <row r="839">
      <c r="B839" s="52" t="n"/>
      <c r="E839" s="55" t="n"/>
      <c r="AE839" s="55" t="n"/>
    </row>
    <row r="840">
      <c r="B840" s="52" t="n"/>
      <c r="E840" s="55" t="n"/>
      <c r="AE840" s="55" t="n"/>
    </row>
    <row r="841">
      <c r="B841" s="52" t="n"/>
      <c r="E841" s="55" t="n"/>
      <c r="AE841" s="55" t="n"/>
    </row>
    <row r="842">
      <c r="B842" s="52" t="n"/>
      <c r="E842" s="55" t="n"/>
      <c r="AE842" s="55" t="n"/>
    </row>
    <row r="843">
      <c r="B843" s="52" t="n"/>
      <c r="E843" s="55" t="n"/>
      <c r="AE843" s="55" t="n"/>
    </row>
    <row r="844">
      <c r="B844" s="52" t="n"/>
      <c r="E844" s="55" t="n"/>
      <c r="AE844" s="55" t="n"/>
    </row>
    <row r="845">
      <c r="B845" s="52" t="n"/>
      <c r="E845" s="55" t="n"/>
      <c r="AE845" s="55" t="n"/>
    </row>
    <row r="846">
      <c r="B846" s="52" t="n"/>
      <c r="E846" s="55" t="n"/>
      <c r="AE846" s="55" t="n"/>
    </row>
    <row r="847">
      <c r="B847" s="52" t="n"/>
      <c r="E847" s="55" t="n"/>
      <c r="AE847" s="55" t="n"/>
    </row>
    <row r="848">
      <c r="B848" s="52" t="n"/>
      <c r="E848" s="55" t="n"/>
      <c r="AE848" s="55" t="n"/>
    </row>
    <row r="849">
      <c r="B849" s="52" t="n"/>
      <c r="E849" s="55" t="n"/>
      <c r="AE849" s="55" t="n"/>
    </row>
    <row r="850">
      <c r="B850" s="52" t="n"/>
      <c r="E850" s="55" t="n"/>
      <c r="AE850" s="55" t="n"/>
    </row>
    <row r="851">
      <c r="B851" s="52" t="n"/>
      <c r="E851" s="55" t="n"/>
      <c r="AE851" s="55" t="n"/>
    </row>
    <row r="852">
      <c r="B852" s="52" t="n"/>
      <c r="E852" s="55" t="n"/>
      <c r="AE852" s="55" t="n"/>
    </row>
    <row r="853">
      <c r="B853" s="52" t="n"/>
      <c r="E853" s="55" t="n"/>
      <c r="AE853" s="55" t="n"/>
    </row>
    <row r="854">
      <c r="B854" s="52" t="n"/>
      <c r="E854" s="55" t="n"/>
      <c r="AE854" s="55" t="n"/>
    </row>
    <row r="855">
      <c r="B855" s="52" t="n"/>
      <c r="E855" s="55" t="n"/>
      <c r="AE855" s="55" t="n"/>
    </row>
    <row r="856">
      <c r="B856" s="52" t="n"/>
      <c r="E856" s="55" t="n"/>
      <c r="AE856" s="55" t="n"/>
    </row>
    <row r="857">
      <c r="B857" s="52" t="n"/>
      <c r="E857" s="55" t="n"/>
      <c r="AE857" s="55" t="n"/>
    </row>
    <row r="858">
      <c r="B858" s="52" t="n"/>
      <c r="E858" s="55" t="n"/>
      <c r="AE858" s="55" t="n"/>
    </row>
    <row r="859">
      <c r="B859" s="52" t="n"/>
      <c r="E859" s="55" t="n"/>
      <c r="AE859" s="55" t="n"/>
    </row>
    <row r="860">
      <c r="B860" s="52" t="n"/>
      <c r="E860" s="55" t="n"/>
      <c r="AE860" s="55" t="n"/>
    </row>
    <row r="861">
      <c r="B861" s="52" t="n"/>
      <c r="E861" s="55" t="n"/>
      <c r="AE861" s="55" t="n"/>
    </row>
    <row r="862">
      <c r="B862" s="52" t="n"/>
      <c r="E862" s="55" t="n"/>
      <c r="AE862" s="55" t="n"/>
    </row>
    <row r="863">
      <c r="B863" s="52" t="n"/>
      <c r="E863" s="55" t="n"/>
      <c r="AE863" s="55" t="n"/>
    </row>
    <row r="864">
      <c r="B864" s="52" t="n"/>
      <c r="E864" s="55" t="n"/>
      <c r="AE864" s="55" t="n"/>
    </row>
    <row r="865">
      <c r="B865" s="52" t="n"/>
      <c r="E865" s="55" t="n"/>
      <c r="AE865" s="55" t="n"/>
    </row>
    <row r="866">
      <c r="B866" s="52" t="n"/>
      <c r="E866" s="55" t="n"/>
      <c r="AE866" s="55" t="n"/>
    </row>
    <row r="867">
      <c r="B867" s="52" t="n"/>
      <c r="E867" s="55" t="n"/>
      <c r="AE867" s="55" t="n"/>
    </row>
    <row r="868">
      <c r="B868" s="52" t="n"/>
      <c r="E868" s="55" t="n"/>
      <c r="AE868" s="55" t="n"/>
    </row>
    <row r="869">
      <c r="B869" s="52" t="n"/>
      <c r="E869" s="55" t="n"/>
      <c r="AE869" s="55" t="n"/>
    </row>
    <row r="870">
      <c r="B870" s="52" t="n"/>
      <c r="E870" s="55" t="n"/>
      <c r="AE870" s="55" t="n"/>
    </row>
    <row r="871">
      <c r="B871" s="52" t="n"/>
      <c r="E871" s="55" t="n"/>
      <c r="AE871" s="55" t="n"/>
    </row>
    <row r="872">
      <c r="B872" s="52" t="n"/>
      <c r="E872" s="55" t="n"/>
      <c r="AE872" s="55" t="n"/>
    </row>
    <row r="873">
      <c r="B873" s="52" t="n"/>
      <c r="E873" s="55" t="n"/>
      <c r="AE873" s="55" t="n"/>
    </row>
    <row r="874">
      <c r="B874" s="52" t="n"/>
      <c r="E874" s="55" t="n"/>
      <c r="AE874" s="55" t="n"/>
    </row>
    <row r="875">
      <c r="B875" s="52" t="n"/>
      <c r="E875" s="55" t="n"/>
      <c r="AE875" s="55" t="n"/>
    </row>
    <row r="876">
      <c r="B876" s="52" t="n"/>
      <c r="E876" s="55" t="n"/>
      <c r="AE876" s="55" t="n"/>
    </row>
    <row r="877">
      <c r="B877" s="52" t="n"/>
      <c r="E877" s="55" t="n"/>
      <c r="AE877" s="55" t="n"/>
    </row>
    <row r="878">
      <c r="B878" s="52" t="n"/>
      <c r="E878" s="55" t="n"/>
      <c r="AE878" s="55" t="n"/>
    </row>
    <row r="879">
      <c r="B879" s="52" t="n"/>
      <c r="E879" s="55" t="n"/>
      <c r="AE879" s="55" t="n"/>
    </row>
    <row r="880">
      <c r="B880" s="52" t="n"/>
      <c r="E880" s="55" t="n"/>
      <c r="AE880" s="55" t="n"/>
    </row>
    <row r="881">
      <c r="B881" s="52" t="n"/>
      <c r="E881" s="55" t="n"/>
      <c r="AE881" s="55" t="n"/>
    </row>
    <row r="882">
      <c r="B882" s="52" t="n"/>
      <c r="E882" s="55" t="n"/>
      <c r="AE882" s="55" t="n"/>
    </row>
    <row r="883">
      <c r="B883" s="52" t="n"/>
      <c r="E883" s="55" t="n"/>
      <c r="AE883" s="55" t="n"/>
    </row>
    <row r="884">
      <c r="B884" s="52" t="n"/>
      <c r="E884" s="55" t="n"/>
      <c r="AE884" s="55" t="n"/>
    </row>
    <row r="885">
      <c r="B885" s="52" t="n"/>
      <c r="E885" s="55" t="n"/>
      <c r="AE885" s="55" t="n"/>
    </row>
    <row r="886">
      <c r="B886" s="52" t="n"/>
      <c r="E886" s="55" t="n"/>
      <c r="AE886" s="55" t="n"/>
    </row>
    <row r="887">
      <c r="B887" s="52" t="n"/>
      <c r="E887" s="55" t="n"/>
      <c r="AE887" s="55" t="n"/>
    </row>
    <row r="888">
      <c r="B888" s="52" t="n"/>
      <c r="E888" s="55" t="n"/>
      <c r="AE888" s="55" t="n"/>
    </row>
    <row r="889">
      <c r="B889" s="52" t="n"/>
      <c r="E889" s="55" t="n"/>
      <c r="AE889" s="55" t="n"/>
    </row>
    <row r="890">
      <c r="B890" s="52" t="n"/>
      <c r="E890" s="55" t="n"/>
      <c r="AE890" s="55" t="n"/>
    </row>
    <row r="891">
      <c r="B891" s="52" t="n"/>
      <c r="E891" s="55" t="n"/>
      <c r="AE891" s="55" t="n"/>
    </row>
    <row r="892">
      <c r="B892" s="52" t="n"/>
      <c r="E892" s="55" t="n"/>
      <c r="AE892" s="55" t="n"/>
    </row>
    <row r="893">
      <c r="B893" s="52" t="n"/>
      <c r="E893" s="55" t="n"/>
      <c r="AE893" s="55" t="n"/>
    </row>
    <row r="894">
      <c r="B894" s="52" t="n"/>
      <c r="E894" s="55" t="n"/>
      <c r="AE894" s="55" t="n"/>
    </row>
    <row r="895">
      <c r="B895" s="52" t="n"/>
      <c r="E895" s="55" t="n"/>
      <c r="AE895" s="55" t="n"/>
    </row>
    <row r="896">
      <c r="B896" s="52" t="n"/>
      <c r="E896" s="55" t="n"/>
      <c r="AE896" s="55" t="n"/>
    </row>
    <row r="897">
      <c r="B897" s="52" t="n"/>
      <c r="E897" s="55" t="n"/>
      <c r="AE897" s="55" t="n"/>
    </row>
    <row r="898">
      <c r="B898" s="52" t="n"/>
      <c r="E898" s="55" t="n"/>
      <c r="AE898" s="55" t="n"/>
    </row>
    <row r="899">
      <c r="B899" s="52" t="n"/>
      <c r="E899" s="55" t="n"/>
      <c r="AE899" s="55" t="n"/>
    </row>
    <row r="900">
      <c r="B900" s="52" t="n"/>
      <c r="E900" s="55" t="n"/>
      <c r="AE900" s="55" t="n"/>
    </row>
    <row r="901">
      <c r="B901" s="52" t="n"/>
      <c r="E901" s="55" t="n"/>
      <c r="AE901" s="55" t="n"/>
    </row>
    <row r="902">
      <c r="B902" s="52" t="n"/>
      <c r="E902" s="55" t="n"/>
      <c r="AE902" s="55" t="n"/>
    </row>
    <row r="903">
      <c r="B903" s="52" t="n"/>
      <c r="E903" s="55" t="n"/>
      <c r="AE903" s="55" t="n"/>
    </row>
    <row r="904">
      <c r="B904" s="52" t="n"/>
      <c r="E904" s="55" t="n"/>
      <c r="AE904" s="55" t="n"/>
    </row>
    <row r="905">
      <c r="B905" s="52" t="n"/>
      <c r="E905" s="55" t="n"/>
      <c r="AE905" s="55" t="n"/>
    </row>
    <row r="906">
      <c r="B906" s="52" t="n"/>
      <c r="E906" s="55" t="n"/>
      <c r="AE906" s="55" t="n"/>
    </row>
    <row r="907">
      <c r="B907" s="52" t="n"/>
      <c r="E907" s="55" t="n"/>
      <c r="AE907" s="55" t="n"/>
    </row>
    <row r="908">
      <c r="B908" s="52" t="n"/>
      <c r="E908" s="55" t="n"/>
      <c r="AE908" s="55" t="n"/>
    </row>
    <row r="909">
      <c r="B909" s="52" t="n"/>
      <c r="E909" s="55" t="n"/>
      <c r="AE909" s="55" t="n"/>
    </row>
    <row r="910">
      <c r="B910" s="52" t="n"/>
      <c r="E910" s="55" t="n"/>
      <c r="AE910" s="55" t="n"/>
    </row>
    <row r="911">
      <c r="B911" s="52" t="n"/>
      <c r="E911" s="55" t="n"/>
      <c r="AE911" s="55" t="n"/>
    </row>
    <row r="912">
      <c r="B912" s="52" t="n"/>
      <c r="E912" s="55" t="n"/>
      <c r="AE912" s="55" t="n"/>
    </row>
    <row r="913">
      <c r="B913" s="52" t="n"/>
      <c r="E913" s="55" t="n"/>
      <c r="AE913" s="55" t="n"/>
    </row>
    <row r="914">
      <c r="B914" s="52" t="n"/>
      <c r="E914" s="55" t="n"/>
      <c r="AE914" s="55" t="n"/>
    </row>
    <row r="915">
      <c r="B915" s="52" t="n"/>
      <c r="E915" s="55" t="n"/>
      <c r="AE915" s="55" t="n"/>
    </row>
    <row r="916">
      <c r="B916" s="52" t="n"/>
      <c r="E916" s="55" t="n"/>
      <c r="AE916" s="55" t="n"/>
    </row>
    <row r="917">
      <c r="B917" s="52" t="n"/>
      <c r="E917" s="55" t="n"/>
      <c r="AE917" s="55" t="n"/>
    </row>
    <row r="918">
      <c r="B918" s="52" t="n"/>
      <c r="E918" s="55" t="n"/>
      <c r="AE918" s="55" t="n"/>
    </row>
    <row r="919">
      <c r="B919" s="52" t="n"/>
      <c r="E919" s="55" t="n"/>
      <c r="AE919" s="55" t="n"/>
    </row>
    <row r="920">
      <c r="B920" s="52" t="n"/>
      <c r="E920" s="55" t="n"/>
      <c r="AE920" s="55" t="n"/>
    </row>
    <row r="921">
      <c r="B921" s="52" t="n"/>
      <c r="E921" s="55" t="n"/>
      <c r="AE921" s="55" t="n"/>
    </row>
    <row r="922">
      <c r="B922" s="52" t="n"/>
      <c r="E922" s="55" t="n"/>
      <c r="AE922" s="55" t="n"/>
    </row>
    <row r="923">
      <c r="B923" s="52" t="n"/>
      <c r="E923" s="55" t="n"/>
      <c r="AE923" s="55" t="n"/>
    </row>
    <row r="924">
      <c r="B924" s="52" t="n"/>
      <c r="E924" s="55" t="n"/>
      <c r="AE924" s="55" t="n"/>
    </row>
    <row r="925">
      <c r="B925" s="52" t="n"/>
      <c r="E925" s="55" t="n"/>
      <c r="AE925" s="55" t="n"/>
    </row>
    <row r="926">
      <c r="B926" s="52" t="n"/>
      <c r="E926" s="55" t="n"/>
      <c r="AE926" s="55" t="n"/>
    </row>
    <row r="927">
      <c r="B927" s="52" t="n"/>
      <c r="E927" s="55" t="n"/>
      <c r="AE927" s="55" t="n"/>
    </row>
    <row r="928">
      <c r="B928" s="52" t="n"/>
      <c r="E928" s="55" t="n"/>
      <c r="AE928" s="55" t="n"/>
    </row>
    <row r="929">
      <c r="B929" s="52" t="n"/>
      <c r="E929" s="55" t="n"/>
      <c r="AE929" s="55" t="n"/>
    </row>
    <row r="930">
      <c r="B930" s="52" t="n"/>
      <c r="E930" s="55" t="n"/>
      <c r="AE930" s="55" t="n"/>
    </row>
    <row r="931">
      <c r="B931" s="52" t="n"/>
      <c r="E931" s="55" t="n"/>
      <c r="AE931" s="55" t="n"/>
    </row>
    <row r="932">
      <c r="B932" s="52" t="n"/>
      <c r="E932" s="55" t="n"/>
      <c r="AE932" s="55" t="n"/>
    </row>
    <row r="933">
      <c r="B933" s="52" t="n"/>
      <c r="E933" s="55" t="n"/>
      <c r="AE933" s="55" t="n"/>
    </row>
    <row r="934">
      <c r="B934" s="52" t="n"/>
      <c r="E934" s="55" t="n"/>
      <c r="AE934" s="55" t="n"/>
    </row>
    <row r="935">
      <c r="B935" s="52" t="n"/>
      <c r="E935" s="55" t="n"/>
      <c r="AE935" s="55" t="n"/>
    </row>
    <row r="936">
      <c r="B936" s="52" t="n"/>
      <c r="E936" s="55" t="n"/>
      <c r="AE936" s="55" t="n"/>
    </row>
    <row r="937">
      <c r="B937" s="52" t="n"/>
      <c r="E937" s="55" t="n"/>
      <c r="AE937" s="55" t="n"/>
    </row>
    <row r="938">
      <c r="B938" s="52" t="n"/>
      <c r="E938" s="55" t="n"/>
      <c r="AE938" s="55" t="n"/>
    </row>
    <row r="939">
      <c r="B939" s="52" t="n"/>
      <c r="E939" s="55" t="n"/>
      <c r="AE939" s="55" t="n"/>
    </row>
    <row r="940">
      <c r="B940" s="52" t="n"/>
      <c r="E940" s="55" t="n"/>
      <c r="AE940" s="55" t="n"/>
    </row>
    <row r="941">
      <c r="B941" s="52" t="n"/>
      <c r="E941" s="55" t="n"/>
      <c r="AE941" s="55" t="n"/>
    </row>
    <row r="942">
      <c r="B942" s="52" t="n"/>
      <c r="E942" s="55" t="n"/>
      <c r="AE942" s="55" t="n"/>
    </row>
    <row r="943">
      <c r="B943" s="52" t="n"/>
      <c r="E943" s="55" t="n"/>
      <c r="AE943" s="55" t="n"/>
    </row>
    <row r="944">
      <c r="B944" s="52" t="n"/>
      <c r="E944" s="55" t="n"/>
      <c r="AE944" s="55" t="n"/>
    </row>
    <row r="945">
      <c r="B945" s="52" t="n"/>
      <c r="E945" s="55" t="n"/>
      <c r="AE945" s="55" t="n"/>
    </row>
    <row r="946">
      <c r="B946" s="52" t="n"/>
      <c r="E946" s="55" t="n"/>
      <c r="AE946" s="55" t="n"/>
    </row>
    <row r="947">
      <c r="B947" s="52" t="n"/>
      <c r="E947" s="55" t="n"/>
      <c r="AE947" s="55" t="n"/>
    </row>
    <row r="948">
      <c r="B948" s="52" t="n"/>
      <c r="E948" s="55" t="n"/>
      <c r="AE948" s="55" t="n"/>
    </row>
    <row r="949">
      <c r="B949" s="52" t="n"/>
      <c r="E949" s="55" t="n"/>
      <c r="AE949" s="55" t="n"/>
    </row>
    <row r="950">
      <c r="B950" s="52" t="n"/>
      <c r="E950" s="55" t="n"/>
      <c r="AE950" s="55" t="n"/>
    </row>
    <row r="951">
      <c r="B951" s="52" t="n"/>
      <c r="E951" s="55" t="n"/>
      <c r="AE951" s="55" t="n"/>
    </row>
    <row r="952">
      <c r="B952" s="52" t="n"/>
      <c r="E952" s="55" t="n"/>
      <c r="AE952" s="55" t="n"/>
    </row>
    <row r="953">
      <c r="B953" s="52" t="n"/>
      <c r="E953" s="55" t="n"/>
      <c r="AE953" s="55" t="n"/>
    </row>
    <row r="954">
      <c r="B954" s="52" t="n"/>
      <c r="E954" s="55" t="n"/>
      <c r="AE954" s="55" t="n"/>
    </row>
    <row r="955">
      <c r="B955" s="52" t="n"/>
      <c r="E955" s="55" t="n"/>
      <c r="AE955" s="55" t="n"/>
    </row>
    <row r="956">
      <c r="B956" s="52" t="n"/>
      <c r="E956" s="55" t="n"/>
      <c r="AE956" s="55" t="n"/>
    </row>
    <row r="957">
      <c r="B957" s="52" t="n"/>
      <c r="E957" s="55" t="n"/>
      <c r="AE957" s="55" t="n"/>
    </row>
    <row r="958">
      <c r="B958" s="52" t="n"/>
      <c r="E958" s="55" t="n"/>
      <c r="AE958" s="55" t="n"/>
    </row>
    <row r="959">
      <c r="B959" s="52" t="n"/>
      <c r="E959" s="55" t="n"/>
      <c r="AE959" s="55" t="n"/>
    </row>
    <row r="960">
      <c r="B960" s="52" t="n"/>
      <c r="E960" s="55" t="n"/>
      <c r="AE960" s="55" t="n"/>
    </row>
    <row r="961">
      <c r="B961" s="52" t="n"/>
      <c r="E961" s="55" t="n"/>
      <c r="AE961" s="55" t="n"/>
    </row>
    <row r="962">
      <c r="B962" s="52" t="n"/>
      <c r="E962" s="55" t="n"/>
      <c r="AE962" s="55" t="n"/>
    </row>
    <row r="963">
      <c r="B963" s="52" t="n"/>
      <c r="E963" s="55" t="n"/>
      <c r="AE963" s="55" t="n"/>
    </row>
    <row r="964">
      <c r="B964" s="52" t="n"/>
      <c r="E964" s="55" t="n"/>
      <c r="AE964" s="55" t="n"/>
    </row>
    <row r="965">
      <c r="B965" s="52" t="n"/>
      <c r="E965" s="55" t="n"/>
      <c r="AE965" s="55" t="n"/>
    </row>
    <row r="966">
      <c r="B966" s="52" t="n"/>
      <c r="E966" s="55" t="n"/>
      <c r="AE966" s="55" t="n"/>
    </row>
    <row r="967">
      <c r="B967" s="52" t="n"/>
      <c r="E967" s="55" t="n"/>
      <c r="AE967" s="55" t="n"/>
    </row>
    <row r="968">
      <c r="B968" s="52" t="n"/>
      <c r="E968" s="55" t="n"/>
      <c r="AE968" s="55" t="n"/>
    </row>
    <row r="969">
      <c r="B969" s="52" t="n"/>
      <c r="E969" s="55" t="n"/>
      <c r="AE969" s="55" t="n"/>
    </row>
    <row r="970">
      <c r="B970" s="52" t="n"/>
      <c r="E970" s="55" t="n"/>
      <c r="AE970" s="55" t="n"/>
    </row>
    <row r="971">
      <c r="B971" s="52" t="n"/>
      <c r="E971" s="55" t="n"/>
      <c r="AE971" s="55" t="n"/>
    </row>
    <row r="972">
      <c r="B972" s="52" t="n"/>
      <c r="E972" s="55" t="n"/>
      <c r="AE972" s="55" t="n"/>
    </row>
    <row r="973">
      <c r="B973" s="52" t="n"/>
      <c r="E973" s="55" t="n"/>
      <c r="AE973" s="55" t="n"/>
    </row>
    <row r="974">
      <c r="B974" s="52" t="n"/>
      <c r="E974" s="55" t="n"/>
      <c r="AE974" s="55" t="n"/>
    </row>
    <row r="975">
      <c r="B975" s="52" t="n"/>
      <c r="E975" s="55" t="n"/>
      <c r="AE975" s="55" t="n"/>
    </row>
    <row r="976">
      <c r="B976" s="52" t="n"/>
      <c r="E976" s="55" t="n"/>
      <c r="AE976" s="55" t="n"/>
    </row>
    <row r="977">
      <c r="B977" s="52" t="n"/>
      <c r="E977" s="55" t="n"/>
      <c r="AE977" s="55" t="n"/>
    </row>
    <row r="978">
      <c r="B978" s="52" t="n"/>
      <c r="E978" s="55" t="n"/>
      <c r="AE978" s="55" t="n"/>
    </row>
    <row r="979">
      <c r="B979" s="52" t="n"/>
      <c r="E979" s="55" t="n"/>
      <c r="AE979" s="55" t="n"/>
    </row>
    <row r="980">
      <c r="B980" s="52" t="n"/>
      <c r="E980" s="55" t="n"/>
      <c r="AE980" s="55" t="n"/>
    </row>
    <row r="981">
      <c r="B981" s="52" t="n"/>
      <c r="E981" s="55" t="n"/>
      <c r="AE981" s="55" t="n"/>
    </row>
    <row r="982">
      <c r="B982" s="52" t="n"/>
      <c r="E982" s="55" t="n"/>
      <c r="AE982" s="55" t="n"/>
    </row>
    <row r="983">
      <c r="B983" s="52" t="n"/>
      <c r="E983" s="55" t="n"/>
      <c r="AE983" s="55" t="n"/>
    </row>
    <row r="984">
      <c r="B984" s="52" t="n"/>
      <c r="E984" s="55" t="n"/>
      <c r="AE984" s="55" t="n"/>
    </row>
    <row r="985">
      <c r="B985" s="52" t="n"/>
      <c r="E985" s="55" t="n"/>
      <c r="AE985" s="55" t="n"/>
    </row>
    <row r="986">
      <c r="B986" s="52" t="n"/>
      <c r="E986" s="55" t="n"/>
      <c r="AE986" s="55" t="n"/>
    </row>
    <row r="987">
      <c r="B987" s="52" t="n"/>
      <c r="E987" s="55" t="n"/>
      <c r="AE987" s="55" t="n"/>
    </row>
    <row r="988">
      <c r="B988" s="52" t="n"/>
      <c r="E988" s="55" t="n"/>
      <c r="AE988" s="55" t="n"/>
    </row>
    <row r="989">
      <c r="B989" s="52" t="n"/>
      <c r="E989" s="55" t="n"/>
      <c r="AE989" s="55" t="n"/>
    </row>
    <row r="990">
      <c r="B990" s="52" t="n"/>
      <c r="E990" s="55" t="n"/>
      <c r="AE990" s="55" t="n"/>
    </row>
    <row r="991">
      <c r="B991" s="52" t="n"/>
      <c r="E991" s="55" t="n"/>
      <c r="AE991" s="55" t="n"/>
    </row>
    <row r="992">
      <c r="B992" s="52" t="n"/>
      <c r="E992" s="55" t="n"/>
      <c r="AE992" s="55" t="n"/>
    </row>
    <row r="993">
      <c r="B993" s="52" t="n"/>
      <c r="E993" s="55" t="n"/>
      <c r="AE993" s="55" t="n"/>
    </row>
    <row r="994">
      <c r="B994" s="52" t="n"/>
      <c r="E994" s="55" t="n"/>
      <c r="AE994" s="55" t="n"/>
    </row>
    <row r="995">
      <c r="B995" s="52" t="n"/>
      <c r="E995" s="55" t="n"/>
      <c r="AE995" s="55" t="n"/>
    </row>
    <row r="996">
      <c r="B996" s="52" t="n"/>
      <c r="E996" s="55" t="n"/>
      <c r="AE996" s="55" t="n"/>
    </row>
    <row r="997">
      <c r="B997" s="52" t="n"/>
      <c r="E997" s="55" t="n"/>
      <c r="AE997" s="55" t="n"/>
    </row>
    <row r="998">
      <c r="B998" s="52" t="n"/>
      <c r="E998" s="55" t="n"/>
      <c r="AE998" s="55" t="n"/>
    </row>
    <row r="999">
      <c r="B999" s="52" t="n"/>
      <c r="E999" s="55" t="n"/>
      <c r="AE999" s="55" t="n"/>
    </row>
    <row r="1000">
      <c r="B1000" s="52" t="n"/>
      <c r="E1000" s="55" t="n"/>
      <c r="AE1000" s="55" t="n"/>
    </row>
    <row r="1001">
      <c r="B1001" s="52" t="n"/>
      <c r="E1001" s="55" t="n"/>
      <c r="AE1001" s="55" t="n"/>
    </row>
    <row r="1002">
      <c r="B1002" s="52" t="n"/>
      <c r="E1002" s="55" t="n"/>
      <c r="AE1002" s="55" t="n"/>
    </row>
    <row r="1003">
      <c r="B1003" s="52" t="n"/>
      <c r="E1003" s="55" t="n"/>
      <c r="AE1003" s="55" t="n"/>
    </row>
    <row r="1004">
      <c r="B1004" s="52" t="n"/>
      <c r="E1004" s="55" t="n"/>
      <c r="AE1004" s="55" t="n"/>
    </row>
    <row r="1005">
      <c r="B1005" s="52" t="n"/>
      <c r="E1005" s="55" t="n"/>
      <c r="AE1005" s="55" t="n"/>
    </row>
    <row r="1006">
      <c r="B1006" s="52" t="n"/>
      <c r="E1006" s="55" t="n"/>
      <c r="AE1006" s="55" t="n"/>
    </row>
    <row r="1007">
      <c r="B1007" s="52" t="n"/>
      <c r="E1007" s="55" t="n"/>
      <c r="AE1007" s="55" t="n"/>
    </row>
    <row r="1008">
      <c r="B1008" s="52" t="n"/>
      <c r="E1008" s="55" t="n"/>
      <c r="AE1008" s="55" t="n"/>
    </row>
    <row r="1009">
      <c r="B1009" s="52" t="n"/>
      <c r="E1009" s="55" t="n"/>
      <c r="AE1009" s="55" t="n"/>
    </row>
    <row r="1010">
      <c r="B1010" s="52" t="n"/>
      <c r="E1010" s="55" t="n"/>
      <c r="AE1010" s="55" t="n"/>
    </row>
    <row r="1011">
      <c r="B1011" s="52" t="n"/>
      <c r="E1011" s="55" t="n"/>
      <c r="AE1011" s="55" t="n"/>
    </row>
    <row r="1012">
      <c r="B1012" s="52" t="n"/>
      <c r="E1012" s="55" t="n"/>
      <c r="AE1012" s="55" t="n"/>
    </row>
    <row r="1013" ht="15.75" customHeight="1" s="53" thickBot="1">
      <c r="B1013" s="64" t="n"/>
      <c r="C1013" s="73" t="n"/>
      <c r="D1013" s="73" t="n"/>
      <c r="E1013" s="66" t="n"/>
      <c r="F1013" s="73" t="n"/>
      <c r="G1013" s="73" t="n"/>
      <c r="H1013" s="73" t="n"/>
      <c r="I1013" s="73" t="n"/>
      <c r="J1013" s="73" t="n"/>
      <c r="K1013" s="73" t="n"/>
      <c r="L1013" s="73" t="n"/>
      <c r="M1013" s="73" t="n"/>
      <c r="N1013" s="73" t="n"/>
      <c r="O1013" s="73" t="n"/>
      <c r="P1013" s="73" t="n"/>
      <c r="Q1013" s="73" t="n"/>
      <c r="R1013" s="73" t="n"/>
      <c r="S1013" s="73" t="n"/>
      <c r="T1013" s="73" t="n"/>
      <c r="U1013" s="73" t="n"/>
      <c r="V1013" s="73" t="n"/>
      <c r="W1013" s="73" t="n"/>
      <c r="X1013" s="73" t="n"/>
      <c r="Y1013" s="73" t="n"/>
      <c r="Z1013" s="73" t="n"/>
      <c r="AA1013" s="73" t="n"/>
      <c r="AB1013" s="73" t="n"/>
      <c r="AC1013" s="73" t="n"/>
      <c r="AD1013" s="73" t="n"/>
      <c r="AE1013" s="66" t="n"/>
    </row>
  </sheetData>
  <autoFilter ref="B7:E157"/>
  <mergeCells count="11">
    <mergeCell ref="J5:K5"/>
    <mergeCell ref="E2:AC3"/>
    <mergeCell ref="F5:G5"/>
    <mergeCell ref="T5:U5"/>
    <mergeCell ref="V5:W5"/>
    <mergeCell ref="H5:I5"/>
    <mergeCell ref="L5:M5"/>
    <mergeCell ref="P5:Q5"/>
    <mergeCell ref="N5:O5"/>
    <mergeCell ref="R5:S5"/>
    <mergeCell ref="E4:AC4"/>
  </mergeCells>
  <conditionalFormatting sqref="F8:AG157">
    <cfRule type="expression" priority="1" dxfId="26">
      <formula>INDEX(Grid!$AI$3:$BJ$152,ROW()-7,COLUMN()-5)="On site"</formula>
    </cfRule>
    <cfRule type="expression" priority="2" dxfId="15">
      <formula>INDEX(Grid!$AI$3:$BJ$152,ROW()-7,COLUMN()-5)="Travel in"</formula>
    </cfRule>
    <cfRule type="expression" priority="3" dxfId="16">
      <formula>INDEX(Grid!$AI$3:$BJ$152,ROW()-7,COLUMN()-5)="Travel out"</formula>
    </cfRule>
    <cfRule type="expression" priority="4" dxfId="27">
      <formula>INDEX(Grid!$AI$3:$BJ$152,ROW()-7,COLUMN()-5)="R&amp;R"</formula>
    </cfRule>
    <cfRule type="expression" priority="5" dxfId="28">
      <formula>INDEX(Grid!$AI$3:$BJ$152,ROW()-7,COLUMN()-5)="Leave"</formula>
    </cfRule>
    <cfRule type="expression" priority="6" dxfId="29">
      <formula>INDEX(Grid!$AI$3:$BJ$152,ROW()-7,COLUMN()-5)="Not mobilised"</formula>
    </cfRule>
    <cfRule type="expression" priority="7" dxfId="30">
      <formula>INDEX(Grid!$AI$3:$BJ$152,ROW()-7,COLUMN()-5)="TBC"</formula>
    </cfRule>
    <cfRule type="expression" priority="8" dxfId="31">
      <formula>INDEX(Grid!$AI$3:$BJ$152,ROW()-7,COLUMN()-5)="Other"</formula>
    </cfRule>
    <cfRule type="expression" priority="9" dxfId="32">
      <formula>INDEX(Grid!$AI$3:$BJ$152,ROW()-7,COLUMN()-5)="Not rostered"</formula>
    </cfRule>
  </conditionalFormatting>
  <conditionalFormatting sqref="B8:E157">
    <cfRule type="expression" priority="10" dxfId="33">
      <formula>INDEX('Roster Summary'!$U$31:$U$180,ROW()-7)=0</formula>
    </cfRule>
  </conditionalFormatting>
  <pageMargins left="0.75" right="0.75" top="1" bottom="1" header="0.511811023622047" footer="0.511811023622047"/>
  <pageSetup orientation="landscape" fitToHeight="0" horizontalDpi="300" verticalDpi="300"/>
  <headerFooter>
    <oddHeader>&amp;R&amp;"Aptos"&amp;1 &amp;K000000 1 - General Business#_x000d_</oddHeader>
    <oddFooter/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C8102E"/>
    <outlinePr summaryBelow="1" summaryRight="1"/>
    <pageSetUpPr/>
  </sheetPr>
  <dimension ref="B1:SV206"/>
  <sheetViews>
    <sheetView showGridLines="0" tabSelected="0" workbookViewId="0">
      <pane xSplit="18" ySplit="5" topLeftCell="S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style="53" min="1" max="1"/>
    <col width="5" customWidth="1" style="53" min="2" max="2"/>
    <col width="14" customWidth="1" style="53" min="3" max="3"/>
    <col width="12" customWidth="1" style="53" min="4" max="4"/>
    <col width="14" customWidth="1" style="53" min="5" max="5"/>
    <col width="20" customWidth="1" style="53" min="6" max="6"/>
    <col width="11" customWidth="1" style="53" min="7" max="7"/>
    <col width="22" customWidth="1" style="53" min="8" max="8"/>
    <col width="8" customWidth="1" style="53" min="9" max="9"/>
    <col width="8" customWidth="1" style="53" min="10" max="10"/>
    <col width="8" customWidth="1" style="53" min="11" max="11"/>
    <col width="8" customWidth="1" style="53" min="12" max="12"/>
    <col width="13" customWidth="1" style="53" min="13" max="13"/>
    <col width="24" customWidth="1" style="53" min="14" max="14"/>
    <col width="13" customWidth="1" style="53" min="15" max="15"/>
    <col width="9" customWidth="1" style="53" min="16" max="16"/>
    <col width="9" customWidth="1" style="53" min="17" max="17"/>
    <col width="8" customWidth="1" style="53" min="18" max="18"/>
    <col width="8.5" customWidth="1" style="53" min="19" max="19"/>
    <col width="8.5" customWidth="1" style="53" min="20" max="20"/>
    <col width="8.5" customWidth="1" style="53" min="21" max="21"/>
    <col width="8.5" customWidth="1" style="53" min="22" max="22"/>
    <col width="8.5" customWidth="1" style="53" min="23" max="23"/>
    <col width="8.5" customWidth="1" style="53" min="24" max="24"/>
    <col width="8.5" customWidth="1" style="53" min="25" max="25"/>
    <col width="8.5" customWidth="1" style="53" min="26" max="26"/>
    <col width="8.5" customWidth="1" style="53" min="27" max="27"/>
    <col width="8.5" customWidth="1" style="53" min="28" max="28"/>
    <col width="8.5" customWidth="1" style="53" min="29" max="29"/>
    <col width="8.5" customWidth="1" style="53" min="30" max="30"/>
    <col width="8.5" customWidth="1" style="53" min="31" max="31"/>
    <col width="8.5" customWidth="1" style="53" min="32" max="32"/>
    <col width="8.5" customWidth="1" style="53" min="33" max="33"/>
    <col width="8.5" customWidth="1" style="53" min="34" max="34"/>
    <col width="8.5" customWidth="1" style="53" min="35" max="35"/>
    <col width="8.5" customWidth="1" style="53" min="36" max="36"/>
    <col width="8.5" customWidth="1" style="53" min="37" max="37"/>
    <col width="8.5" customWidth="1" style="53" min="38" max="38"/>
    <col width="8.5" customWidth="1" style="53" min="39" max="39"/>
    <col width="8.5" customWidth="1" style="53" min="40" max="40"/>
    <col width="8.5" customWidth="1" style="53" min="41" max="41"/>
    <col width="8.5" customWidth="1" style="53" min="42" max="42"/>
    <col width="8.5" customWidth="1" style="53" min="43" max="43"/>
    <col width="8.5" customWidth="1" style="53" min="44" max="44"/>
    <col width="8.5" customWidth="1" style="53" min="45" max="45"/>
    <col width="8.5" customWidth="1" style="53" min="46" max="46"/>
    <col width="8.5" customWidth="1" style="53" min="47" max="47"/>
    <col width="8.5" customWidth="1" style="53" min="48" max="48"/>
    <col width="8.5" customWidth="1" style="53" min="49" max="49"/>
    <col width="8.5" customWidth="1" style="53" min="50" max="50"/>
    <col width="8.5" customWidth="1" style="53" min="51" max="51"/>
    <col width="8.5" customWidth="1" style="53" min="52" max="52"/>
    <col width="8.5" customWidth="1" style="53" min="53" max="53"/>
    <col width="8.5" customWidth="1" style="53" min="54" max="54"/>
    <col width="8.5" customWidth="1" style="53" min="55" max="55"/>
    <col width="8.5" customWidth="1" style="53" min="56" max="56"/>
    <col width="8.5" customWidth="1" style="53" min="57" max="57"/>
    <col width="8.5" customWidth="1" style="53" min="58" max="58"/>
    <col width="8.5" customWidth="1" style="53" min="59" max="59"/>
    <col width="8.5" customWidth="1" style="53" min="60" max="60"/>
    <col width="8.5" customWidth="1" style="53" min="61" max="61"/>
    <col width="8.5" customWidth="1" style="53" min="62" max="62"/>
    <col width="8.5" customWidth="1" style="53" min="63" max="63"/>
    <col width="8.5" customWidth="1" style="53" min="64" max="64"/>
    <col width="8.5" customWidth="1" style="53" min="65" max="65"/>
    <col width="8.5" customWidth="1" style="53" min="66" max="66"/>
    <col width="8.5" customWidth="1" style="53" min="67" max="67"/>
    <col width="8.5" customWidth="1" style="53" min="68" max="68"/>
    <col width="8.5" customWidth="1" style="53" min="69" max="69"/>
    <col width="8.5" customWidth="1" style="53" min="70" max="70"/>
    <col width="8.5" customWidth="1" style="53" min="71" max="71"/>
    <col width="8.5" customWidth="1" style="53" min="72" max="72"/>
    <col width="8.5" customWidth="1" style="53" min="73" max="73"/>
    <col width="8.5" customWidth="1" style="53" min="74" max="74"/>
    <col width="8.5" customWidth="1" style="53" min="75" max="75"/>
    <col width="8.5" customWidth="1" style="53" min="76" max="76"/>
    <col width="8.5" customWidth="1" style="53" min="77" max="77"/>
    <col width="8.5" customWidth="1" style="53" min="78" max="78"/>
    <col width="8.5" customWidth="1" style="53" min="79" max="79"/>
    <col width="8.5" customWidth="1" style="53" min="80" max="80"/>
    <col width="8.5" customWidth="1" style="53" min="81" max="81"/>
    <col width="8.5" customWidth="1" style="53" min="82" max="82"/>
    <col width="8.5" customWidth="1" style="53" min="83" max="83"/>
    <col width="8.5" customWidth="1" style="53" min="84" max="84"/>
    <col width="8.5" customWidth="1" style="53" min="85" max="85"/>
    <col width="8.5" customWidth="1" style="53" min="86" max="86"/>
    <col width="8.5" customWidth="1" style="53" min="87" max="87"/>
    <col width="8.5" customWidth="1" style="53" min="88" max="88"/>
    <col width="8.5" customWidth="1" style="53" min="89" max="89"/>
    <col width="8.5" customWidth="1" style="53" min="90" max="90"/>
    <col width="8.5" customWidth="1" style="53" min="91" max="91"/>
    <col width="8.5" customWidth="1" style="53" min="92" max="92"/>
    <col width="8.5" customWidth="1" style="53" min="93" max="93"/>
    <col width="8.5" customWidth="1" style="53" min="94" max="94"/>
    <col width="8.5" customWidth="1" style="53" min="95" max="95"/>
    <col width="8.5" customWidth="1" style="53" min="96" max="96"/>
    <col width="8.5" customWidth="1" style="53" min="97" max="97"/>
    <col width="8.5" customWidth="1" style="53" min="98" max="98"/>
    <col width="8.5" customWidth="1" style="53" min="99" max="99"/>
    <col width="8.5" customWidth="1" style="53" min="100" max="100"/>
    <col width="8.5" customWidth="1" style="53" min="101" max="101"/>
    <col width="8.5" customWidth="1" style="53" min="102" max="102"/>
    <col width="8.5" customWidth="1" style="53" min="103" max="103"/>
    <col width="8.5" customWidth="1" style="53" min="104" max="104"/>
    <col width="8.5" customWidth="1" style="53" min="105" max="105"/>
    <col width="8.5" customWidth="1" style="53" min="106" max="106"/>
    <col width="8.5" customWidth="1" style="53" min="107" max="107"/>
    <col width="8.5" customWidth="1" style="53" min="108" max="108"/>
    <col width="8.5" customWidth="1" style="53" min="109" max="109"/>
    <col width="8.5" customWidth="1" style="53" min="110" max="110"/>
    <col width="8.5" customWidth="1" style="53" min="111" max="111"/>
    <col width="8.5" customWidth="1" style="53" min="112" max="112"/>
    <col width="8.5" customWidth="1" style="53" min="113" max="113"/>
    <col width="8.5" customWidth="1" style="53" min="114" max="114"/>
    <col width="8.5" customWidth="1" style="53" min="115" max="115"/>
    <col width="8.5" customWidth="1" style="53" min="116" max="116"/>
    <col width="8.5" customWidth="1" style="53" min="117" max="117"/>
    <col width="8.5" customWidth="1" style="53" min="118" max="118"/>
    <col width="8.5" customWidth="1" style="53" min="119" max="119"/>
    <col width="8.5" customWidth="1" style="53" min="120" max="120"/>
    <col width="8.5" customWidth="1" style="53" min="121" max="121"/>
    <col width="8.5" customWidth="1" style="53" min="122" max="122"/>
    <col width="8.5" customWidth="1" style="53" min="123" max="123"/>
    <col width="8.5" customWidth="1" style="53" min="124" max="124"/>
    <col width="8.5" customWidth="1" style="53" min="125" max="125"/>
    <col width="8.5" customWidth="1" style="53" min="126" max="126"/>
    <col width="8.5" customWidth="1" style="53" min="127" max="127"/>
    <col width="8.5" customWidth="1" style="53" min="128" max="128"/>
    <col width="8.5" customWidth="1" style="53" min="129" max="129"/>
    <col width="8.5" customWidth="1" style="53" min="130" max="130"/>
    <col width="8.5" customWidth="1" style="53" min="131" max="131"/>
    <col width="8.5" customWidth="1" style="53" min="132" max="132"/>
    <col width="8.5" customWidth="1" style="53" min="133" max="133"/>
    <col width="8.5" customWidth="1" style="53" min="134" max="134"/>
    <col width="8.5" customWidth="1" style="53" min="135" max="135"/>
    <col width="8.5" customWidth="1" style="53" min="136" max="136"/>
    <col width="8.5" customWidth="1" style="53" min="137" max="137"/>
    <col width="8.5" customWidth="1" style="53" min="138" max="138"/>
    <col width="8.5" customWidth="1" style="53" min="139" max="139"/>
    <col width="8.5" customWidth="1" style="53" min="140" max="140"/>
    <col width="8.5" customWidth="1" style="53" min="141" max="141"/>
    <col width="8.5" customWidth="1" style="53" min="142" max="142"/>
    <col width="8.5" customWidth="1" style="53" min="143" max="143"/>
    <col width="8.5" customWidth="1" style="53" min="144" max="144"/>
    <col width="8.5" customWidth="1" style="53" min="145" max="145"/>
    <col width="8.5" customWidth="1" style="53" min="146" max="146"/>
    <col width="8.5" customWidth="1" style="53" min="147" max="147"/>
    <col width="8.5" customWidth="1" style="53" min="148" max="148"/>
    <col width="8.5" customWidth="1" style="53" min="149" max="149"/>
    <col width="8.5" customWidth="1" style="53" min="150" max="150"/>
    <col width="8.5" customWidth="1" style="53" min="151" max="151"/>
    <col width="8.5" customWidth="1" style="53" min="152" max="152"/>
    <col width="8.5" customWidth="1" style="53" min="153" max="153"/>
    <col width="8.5" customWidth="1" style="53" min="154" max="154"/>
    <col width="8.5" customWidth="1" style="53" min="155" max="155"/>
    <col width="8.5" customWidth="1" style="53" min="156" max="156"/>
    <col width="8.5" customWidth="1" style="53" min="157" max="157"/>
    <col width="8.5" customWidth="1" style="53" min="158" max="158"/>
    <col width="8.5" customWidth="1" style="53" min="159" max="159"/>
    <col width="8.5" customWidth="1" style="53" min="160" max="160"/>
    <col width="8.5" customWidth="1" style="53" min="161" max="161"/>
    <col width="8.5" customWidth="1" style="53" min="162" max="162"/>
    <col width="8.5" customWidth="1" style="53" min="163" max="163"/>
    <col width="8.5" customWidth="1" style="53" min="164" max="164"/>
    <col width="8.5" customWidth="1" style="53" min="165" max="165"/>
    <col width="8.5" customWidth="1" style="53" min="166" max="166"/>
    <col width="8.5" customWidth="1" style="53" min="167" max="167"/>
    <col width="8.5" customWidth="1" style="53" min="168" max="168"/>
    <col width="8.5" customWidth="1" style="53" min="169" max="169"/>
    <col width="8.5" customWidth="1" style="53" min="170" max="170"/>
    <col width="8.5" customWidth="1" style="53" min="171" max="171"/>
    <col width="8.5" customWidth="1" style="53" min="172" max="172"/>
    <col width="8.5" customWidth="1" style="53" min="173" max="173"/>
    <col width="8.5" customWidth="1" style="53" min="174" max="174"/>
    <col width="8.5" customWidth="1" style="53" min="175" max="175"/>
    <col width="8.5" customWidth="1" style="53" min="176" max="176"/>
    <col width="8.5" customWidth="1" style="53" min="177" max="177"/>
    <col width="8.5" customWidth="1" style="53" min="178" max="178"/>
    <col width="8.5" customWidth="1" style="53" min="179" max="179"/>
    <col width="8.5" customWidth="1" style="53" min="180" max="180"/>
    <col width="8.5" customWidth="1" style="53" min="181" max="181"/>
    <col width="8.5" customWidth="1" style="53" min="182" max="182"/>
    <col width="8.5" customWidth="1" style="53" min="183" max="183"/>
    <col width="8.5" customWidth="1" style="53" min="184" max="184"/>
    <col width="8.5" customWidth="1" style="53" min="185" max="185"/>
    <col width="8.5" customWidth="1" style="53" min="186" max="186"/>
    <col width="8.5" customWidth="1" style="53" min="187" max="187"/>
    <col width="8.5" customWidth="1" style="53" min="188" max="188"/>
    <col width="8.5" customWidth="1" style="53" min="189" max="189"/>
    <col width="8.5" customWidth="1" style="53" min="190" max="190"/>
    <col width="8.5" customWidth="1" style="53" min="191" max="191"/>
    <col width="8.5" customWidth="1" style="53" min="192" max="192"/>
    <col width="8.5" customWidth="1" style="53" min="193" max="193"/>
    <col width="8.5" customWidth="1" style="53" min="194" max="194"/>
    <col width="8.5" customWidth="1" style="53" min="195" max="195"/>
    <col width="8.5" customWidth="1" style="53" min="196" max="196"/>
    <col width="8.5" customWidth="1" style="53" min="197" max="197"/>
    <col width="8.5" customWidth="1" style="53" min="198" max="198"/>
    <col width="8.5" customWidth="1" style="53" min="199" max="199"/>
    <col width="8.5" customWidth="1" style="53" min="200" max="200"/>
    <col width="8.5" customWidth="1" style="53" min="201" max="201"/>
    <col width="8.5" customWidth="1" style="53" min="202" max="202"/>
    <col width="8.5" customWidth="1" style="53" min="203" max="203"/>
    <col width="8.5" customWidth="1" style="53" min="204" max="204"/>
    <col width="8.5" customWidth="1" style="53" min="205" max="205"/>
    <col width="8.5" customWidth="1" style="53" min="206" max="206"/>
    <col width="8.5" customWidth="1" style="53" min="207" max="207"/>
    <col width="8.5" customWidth="1" style="53" min="208" max="208"/>
    <col width="8.5" customWidth="1" style="53" min="209" max="209"/>
    <col width="8.5" customWidth="1" style="53" min="210" max="210"/>
    <col width="8.5" customWidth="1" style="53" min="211" max="211"/>
    <col width="8.5" customWidth="1" style="53" min="212" max="212"/>
    <col width="8.5" customWidth="1" style="53" min="213" max="213"/>
    <col width="8.5" customWidth="1" style="53" min="214" max="214"/>
    <col width="8.5" customWidth="1" style="53" min="215" max="215"/>
    <col width="8.5" customWidth="1" style="53" min="216" max="216"/>
    <col width="8.5" customWidth="1" style="53" min="217" max="217"/>
    <col width="8.5" customWidth="1" style="53" min="218" max="218"/>
    <col width="8.5" customWidth="1" style="53" min="219" max="219"/>
    <col width="8.5" customWidth="1" style="53" min="220" max="220"/>
    <col width="8.5" customWidth="1" style="53" min="221" max="221"/>
    <col width="8.5" customWidth="1" style="53" min="222" max="222"/>
    <col width="8.5" customWidth="1" style="53" min="223" max="223"/>
    <col width="8.5" customWidth="1" style="53" min="224" max="224"/>
    <col width="8.5" customWidth="1" style="53" min="225" max="225"/>
    <col width="8.5" customWidth="1" style="53" min="226" max="226"/>
    <col width="8.5" customWidth="1" style="53" min="227" max="227"/>
    <col width="8.5" customWidth="1" style="53" min="228" max="228"/>
    <col width="8.5" customWidth="1" style="53" min="229" max="229"/>
    <col width="8.5" customWidth="1" style="53" min="230" max="230"/>
    <col width="8.5" customWidth="1" style="53" min="231" max="231"/>
    <col width="8.5" customWidth="1" style="53" min="232" max="232"/>
    <col width="8.5" customWidth="1" style="53" min="233" max="233"/>
    <col width="8.5" customWidth="1" style="53" min="234" max="234"/>
    <col width="8.5" customWidth="1" style="53" min="235" max="235"/>
    <col width="8.5" customWidth="1" style="53" min="236" max="236"/>
    <col width="8.5" customWidth="1" style="53" min="237" max="237"/>
    <col width="8.5" customWidth="1" style="53" min="238" max="238"/>
    <col width="8.5" customWidth="1" style="53" min="239" max="239"/>
    <col width="8.5" customWidth="1" style="53" min="240" max="240"/>
    <col width="8.5" customWidth="1" style="53" min="241" max="241"/>
    <col width="8.5" customWidth="1" style="53" min="242" max="242"/>
    <col width="8.5" customWidth="1" style="53" min="243" max="243"/>
    <col width="8.5" customWidth="1" style="53" min="244" max="244"/>
    <col width="8.5" customWidth="1" style="53" min="245" max="245"/>
    <col width="8.5" customWidth="1" style="53" min="246" max="246"/>
    <col width="8.5" customWidth="1" style="53" min="247" max="247"/>
    <col width="8.5" customWidth="1" style="53" min="248" max="248"/>
    <col width="8.5" customWidth="1" style="53" min="249" max="249"/>
    <col width="8.5" customWidth="1" style="53" min="250" max="250"/>
    <col width="8.5" customWidth="1" style="53" min="251" max="251"/>
    <col width="8.5" customWidth="1" style="53" min="252" max="252"/>
    <col width="8.5" customWidth="1" style="53" min="253" max="253"/>
    <col width="8.5" customWidth="1" style="53" min="254" max="254"/>
    <col width="8.5" customWidth="1" style="53" min="255" max="255"/>
    <col width="8.5" customWidth="1" style="53" min="256" max="256"/>
    <col width="8.5" customWidth="1" style="53" min="257" max="257"/>
    <col width="8.5" customWidth="1" style="53" min="258" max="258"/>
    <col width="8.5" customWidth="1" style="53" min="259" max="259"/>
    <col width="8.5" customWidth="1" style="53" min="260" max="260"/>
    <col width="8.5" customWidth="1" style="53" min="261" max="261"/>
    <col width="8.5" customWidth="1" style="53" min="262" max="262"/>
    <col width="8.5" customWidth="1" style="53" min="263" max="263"/>
    <col width="8.5" customWidth="1" style="53" min="264" max="264"/>
    <col width="8.5" customWidth="1" style="53" min="265" max="265"/>
    <col width="8.5" customWidth="1" style="53" min="266" max="266"/>
    <col width="8.5" customWidth="1" style="53" min="267" max="267"/>
    <col width="8.5" customWidth="1" style="53" min="268" max="268"/>
    <col width="8.5" customWidth="1" style="53" min="269" max="269"/>
    <col width="8.5" customWidth="1" style="53" min="270" max="270"/>
    <col width="8.5" customWidth="1" style="53" min="271" max="271"/>
    <col width="8.5" customWidth="1" style="53" min="272" max="272"/>
    <col width="8.5" customWidth="1" style="53" min="273" max="273"/>
    <col width="8.5" customWidth="1" style="53" min="274" max="274"/>
    <col width="8.5" customWidth="1" style="53" min="275" max="275"/>
    <col width="8.5" customWidth="1" style="53" min="276" max="276"/>
    <col width="8.5" customWidth="1" style="53" min="277" max="277"/>
    <col width="8.5" customWidth="1" style="53" min="278" max="278"/>
    <col width="8.5" customWidth="1" style="53" min="279" max="279"/>
    <col width="8.5" customWidth="1" style="53" min="280" max="280"/>
    <col width="8.5" customWidth="1" style="53" min="281" max="281"/>
    <col width="8.5" customWidth="1" style="53" min="282" max="282"/>
    <col width="8.5" customWidth="1" style="53" min="283" max="283"/>
    <col width="8.5" customWidth="1" style="53" min="284" max="284"/>
    <col width="8.5" customWidth="1" style="53" min="285" max="285"/>
    <col width="8.5" customWidth="1" style="53" min="286" max="286"/>
    <col width="8.5" customWidth="1" style="53" min="287" max="287"/>
    <col width="8.5" customWidth="1" style="53" min="288" max="288"/>
    <col width="8.5" customWidth="1" style="53" min="289" max="289"/>
    <col width="8.5" customWidth="1" style="53" min="290" max="290"/>
    <col width="8.5" customWidth="1" style="53" min="291" max="291"/>
    <col width="8.5" customWidth="1" style="53" min="292" max="292"/>
    <col width="8.5" customWidth="1" style="53" min="293" max="293"/>
    <col width="8.5" customWidth="1" style="53" min="294" max="294"/>
    <col width="8.5" customWidth="1" style="53" min="295" max="295"/>
    <col width="8.5" customWidth="1" style="53" min="296" max="296"/>
    <col width="8.5" customWidth="1" style="53" min="297" max="297"/>
    <col width="8.5" customWidth="1" style="53" min="298" max="298"/>
    <col width="8.5" customWidth="1" style="53" min="299" max="299"/>
    <col width="8.5" customWidth="1" style="53" min="300" max="300"/>
    <col width="8.5" customWidth="1" style="53" min="301" max="301"/>
    <col width="8.5" customWidth="1" style="53" min="302" max="302"/>
    <col width="8.5" customWidth="1" style="53" min="303" max="303"/>
    <col width="8.5" customWidth="1" style="53" min="304" max="304"/>
    <col width="8.5" customWidth="1" style="53" min="305" max="305"/>
    <col width="8.5" customWidth="1" style="53" min="306" max="306"/>
    <col width="8.5" customWidth="1" style="53" min="307" max="307"/>
    <col width="8.5" customWidth="1" style="53" min="308" max="308"/>
    <col width="8.5" customWidth="1" style="53" min="309" max="309"/>
    <col width="8.5" customWidth="1" style="53" min="310" max="310"/>
    <col width="8.5" customWidth="1" style="53" min="311" max="311"/>
    <col width="8.5" customWidth="1" style="53" min="312" max="312"/>
    <col width="8.5" customWidth="1" style="53" min="313" max="313"/>
    <col width="8.5" customWidth="1" style="53" min="314" max="314"/>
    <col width="8.5" customWidth="1" style="53" min="315" max="315"/>
    <col width="8.5" customWidth="1" style="53" min="316" max="316"/>
    <col width="8.5" customWidth="1" style="53" min="317" max="317"/>
    <col width="8.5" customWidth="1" style="53" min="318" max="318"/>
    <col width="8.5" customWidth="1" style="53" min="319" max="319"/>
    <col width="8.5" customWidth="1" style="53" min="320" max="320"/>
    <col width="8.5" customWidth="1" style="53" min="321" max="321"/>
    <col width="8.5" customWidth="1" style="53" min="322" max="322"/>
    <col width="8.5" customWidth="1" style="53" min="323" max="323"/>
    <col width="8.5" customWidth="1" style="53" min="324" max="324"/>
    <col width="8.5" customWidth="1" style="53" min="325" max="325"/>
    <col width="8.5" customWidth="1" style="53" min="326" max="326"/>
    <col width="8.5" customWidth="1" style="53" min="327" max="327"/>
    <col width="8.5" customWidth="1" style="53" min="328" max="328"/>
    <col width="8.5" customWidth="1" style="53" min="329" max="329"/>
    <col width="8.5" customWidth="1" style="53" min="330" max="330"/>
    <col width="8.5" customWidth="1" style="53" min="331" max="331"/>
    <col width="8.5" customWidth="1" style="53" min="332" max="332"/>
    <col width="8.5" customWidth="1" style="53" min="333" max="333"/>
    <col width="8.5" customWidth="1" style="53" min="334" max="334"/>
    <col width="8.5" customWidth="1" style="53" min="335" max="335"/>
    <col width="8.5" customWidth="1" style="53" min="336" max="336"/>
    <col width="8.5" customWidth="1" style="53" min="337" max="337"/>
    <col width="8.5" customWidth="1" style="53" min="338" max="338"/>
    <col width="8.5" customWidth="1" style="53" min="339" max="339"/>
    <col width="8.5" customWidth="1" style="53" min="340" max="340"/>
    <col width="8.5" customWidth="1" style="53" min="341" max="341"/>
    <col width="8.5" customWidth="1" style="53" min="342" max="342"/>
    <col width="8.5" customWidth="1" style="53" min="343" max="343"/>
    <col width="8.5" customWidth="1" style="53" min="344" max="344"/>
    <col width="8.5" customWidth="1" style="53" min="345" max="345"/>
    <col width="8.5" customWidth="1" style="53" min="346" max="346"/>
    <col width="8.5" customWidth="1" style="53" min="347" max="347"/>
    <col width="8.5" customWidth="1" style="53" min="348" max="348"/>
    <col width="8.5" customWidth="1" style="53" min="349" max="349"/>
    <col width="8.5" customWidth="1" style="53" min="350" max="350"/>
    <col width="8.5" customWidth="1" style="53" min="351" max="351"/>
    <col width="8.5" customWidth="1" style="53" min="352" max="352"/>
    <col width="8.5" customWidth="1" style="53" min="353" max="353"/>
    <col width="8.5" customWidth="1" style="53" min="354" max="354"/>
    <col width="8.5" customWidth="1" style="53" min="355" max="355"/>
    <col width="8.5" customWidth="1" style="53" min="356" max="356"/>
    <col width="8.5" customWidth="1" style="53" min="357" max="357"/>
    <col width="8.5" customWidth="1" style="53" min="358" max="358"/>
    <col width="8.5" customWidth="1" style="53" min="359" max="359"/>
    <col width="8.5" customWidth="1" style="53" min="360" max="360"/>
    <col width="8.5" customWidth="1" style="53" min="361" max="361"/>
    <col width="8.5" customWidth="1" style="53" min="362" max="362"/>
    <col width="8.5" customWidth="1" style="53" min="363" max="363"/>
    <col width="8.5" customWidth="1" style="53" min="364" max="364"/>
    <col width="8.5" customWidth="1" style="53" min="365" max="365"/>
    <col width="8.5" customWidth="1" style="53" min="366" max="366"/>
    <col width="8.5" customWidth="1" style="53" min="367" max="367"/>
    <col width="8.5" customWidth="1" style="53" min="368" max="368"/>
    <col width="8.5" customWidth="1" style="53" min="369" max="369"/>
    <col width="8.5" customWidth="1" style="53" min="370" max="370"/>
    <col width="8.5" customWidth="1" style="53" min="371" max="371"/>
    <col width="8.5" customWidth="1" style="53" min="372" max="372"/>
    <col width="8.5" customWidth="1" style="53" min="373" max="373"/>
    <col width="8.5" customWidth="1" style="53" min="374" max="374"/>
    <col width="8.5" customWidth="1" style="53" min="375" max="375"/>
    <col width="8.5" customWidth="1" style="53" min="376" max="376"/>
    <col width="8.5" customWidth="1" style="53" min="377" max="377"/>
    <col width="8.5" customWidth="1" style="53" min="378" max="378"/>
    <col width="8.5" customWidth="1" style="53" min="379" max="379"/>
    <col width="8.5" customWidth="1" style="53" min="380" max="380"/>
    <col width="8.5" customWidth="1" style="53" min="381" max="381"/>
    <col width="8.5" customWidth="1" style="53" min="382" max="382"/>
    <col width="8.5" customWidth="1" style="53" min="383" max="383"/>
    <col width="8.5" customWidth="1" style="53" min="384" max="384"/>
    <col width="8.5" customWidth="1" style="53" min="385" max="385"/>
    <col width="8.5" customWidth="1" style="53" min="386" max="386"/>
    <col width="8.5" customWidth="1" style="53" min="387" max="387"/>
    <col width="8.5" customWidth="1" style="53" min="388" max="388"/>
    <col width="8.5" customWidth="1" style="53" min="389" max="389"/>
    <col width="8.5" customWidth="1" style="53" min="390" max="390"/>
    <col width="8.5" customWidth="1" style="53" min="391" max="391"/>
    <col width="8.5" customWidth="1" style="53" min="392" max="392"/>
    <col width="8.5" customWidth="1" style="53" min="393" max="393"/>
    <col width="8.5" customWidth="1" style="53" min="394" max="394"/>
    <col width="8.5" customWidth="1" style="53" min="395" max="395"/>
    <col width="8.5" customWidth="1" style="53" min="396" max="396"/>
    <col width="8.5" customWidth="1" style="53" min="397" max="397"/>
    <col width="8.5" customWidth="1" style="53" min="398" max="398"/>
    <col width="8.5" customWidth="1" style="53" min="399" max="399"/>
    <col width="8.5" customWidth="1" style="53" min="400" max="400"/>
    <col width="8.5" customWidth="1" style="53" min="401" max="401"/>
    <col width="8.5" customWidth="1" style="53" min="402" max="402"/>
    <col width="8.5" customWidth="1" style="53" min="403" max="403"/>
    <col width="8.5" customWidth="1" style="53" min="404" max="404"/>
    <col width="8.5" customWidth="1" style="53" min="405" max="405"/>
    <col width="8.5" customWidth="1" style="53" min="406" max="406"/>
    <col width="8.5" customWidth="1" style="53" min="407" max="407"/>
    <col width="8.5" customWidth="1" style="53" min="408" max="408"/>
    <col width="8.5" customWidth="1" style="53" min="409" max="409"/>
    <col width="8.5" customWidth="1" style="53" min="410" max="410"/>
    <col width="8.5" customWidth="1" style="53" min="411" max="411"/>
    <col width="8.5" customWidth="1" style="53" min="412" max="412"/>
    <col width="8.5" customWidth="1" style="53" min="413" max="413"/>
    <col width="8.5" customWidth="1" style="53" min="414" max="414"/>
    <col width="8.5" customWidth="1" style="53" min="415" max="415"/>
    <col width="8.5" customWidth="1" style="53" min="416" max="416"/>
    <col width="8.5" customWidth="1" style="53" min="417" max="417"/>
    <col width="8.5" customWidth="1" style="53" min="418" max="418"/>
    <col width="8.5" customWidth="1" style="53" min="419" max="419"/>
    <col width="8.5" customWidth="1" style="53" min="420" max="420"/>
    <col width="8.5" customWidth="1" style="53" min="421" max="421"/>
    <col width="8.5" customWidth="1" style="53" min="422" max="422"/>
    <col width="8.5" customWidth="1" style="53" min="423" max="423"/>
    <col width="8.5" customWidth="1" style="53" min="424" max="424"/>
    <col width="8.5" customWidth="1" style="53" min="425" max="425"/>
    <col width="8.5" customWidth="1" style="53" min="426" max="426"/>
    <col width="8.5" customWidth="1" style="53" min="427" max="427"/>
    <col width="8.5" customWidth="1" style="53" min="428" max="428"/>
    <col width="8.5" customWidth="1" style="53" min="429" max="429"/>
    <col width="8.5" customWidth="1" style="53" min="430" max="430"/>
    <col width="8.5" customWidth="1" style="53" min="431" max="431"/>
    <col width="8.5" customWidth="1" style="53" min="432" max="432"/>
    <col width="8.5" customWidth="1" style="53" min="433" max="433"/>
    <col width="8.5" customWidth="1" style="53" min="434" max="434"/>
    <col width="8.5" customWidth="1" style="53" min="435" max="435"/>
    <col width="8.5" customWidth="1" style="53" min="436" max="436"/>
    <col width="8.5" customWidth="1" style="53" min="437" max="437"/>
    <col width="8.5" customWidth="1" style="53" min="438" max="438"/>
    <col width="8.5" customWidth="1" style="53" min="439" max="439"/>
    <col width="8.5" customWidth="1" style="53" min="440" max="440"/>
    <col width="8.5" customWidth="1" style="53" min="441" max="441"/>
    <col width="8.5" customWidth="1" style="53" min="442" max="442"/>
    <col width="8.5" customWidth="1" style="53" min="443" max="443"/>
    <col width="8.5" customWidth="1" style="53" min="444" max="444"/>
    <col width="8.5" customWidth="1" style="53" min="445" max="445"/>
    <col width="8.5" customWidth="1" style="53" min="446" max="446"/>
    <col width="8.5" customWidth="1" style="53" min="447" max="447"/>
    <col width="8.5" customWidth="1" style="53" min="448" max="448"/>
    <col width="8.5" customWidth="1" style="53" min="449" max="449"/>
    <col width="8.5" customWidth="1" style="53" min="450" max="450"/>
    <col width="8.5" customWidth="1" style="53" min="451" max="451"/>
    <col width="8.5" customWidth="1" style="53" min="452" max="452"/>
    <col width="8.5" customWidth="1" style="53" min="453" max="453"/>
    <col width="8.5" customWidth="1" style="53" min="454" max="454"/>
    <col width="8.5" customWidth="1" style="53" min="455" max="455"/>
    <col width="8.5" customWidth="1" style="53" min="456" max="456"/>
    <col width="8.5" customWidth="1" style="53" min="457" max="457"/>
    <col width="8.5" customWidth="1" style="53" min="458" max="458"/>
    <col width="8.5" customWidth="1" style="53" min="459" max="459"/>
    <col width="8.5" customWidth="1" style="53" min="460" max="460"/>
    <col width="8.5" customWidth="1" style="53" min="461" max="461"/>
    <col width="8.5" customWidth="1" style="53" min="462" max="462"/>
    <col width="8.5" customWidth="1" style="53" min="463" max="463"/>
    <col width="8.5" customWidth="1" style="53" min="464" max="464"/>
    <col width="8.5" customWidth="1" style="53" min="465" max="465"/>
    <col width="8.5" customWidth="1" style="53" min="466" max="466"/>
    <col width="8.5" customWidth="1" style="53" min="467" max="467"/>
    <col width="8.5" customWidth="1" style="53" min="468" max="468"/>
    <col width="8.5" customWidth="1" style="53" min="469" max="469"/>
    <col width="8.5" customWidth="1" style="53" min="470" max="470"/>
    <col width="8.5" customWidth="1" style="53" min="471" max="471"/>
    <col width="8.5" customWidth="1" style="53" min="472" max="472"/>
    <col width="8.5" customWidth="1" style="53" min="473" max="473"/>
    <col width="8.5" customWidth="1" style="53" min="474" max="474"/>
    <col width="8.5" customWidth="1" style="53" min="475" max="475"/>
    <col width="8.5" customWidth="1" style="53" min="476" max="476"/>
    <col width="8.5" customWidth="1" style="53" min="477" max="477"/>
    <col width="8.5" customWidth="1" style="53" min="478" max="478"/>
    <col width="8.5" customWidth="1" style="53" min="479" max="479"/>
    <col width="8.5" customWidth="1" style="53" min="480" max="480"/>
    <col width="8.5" customWidth="1" style="53" min="481" max="481"/>
    <col width="8.5" customWidth="1" style="53" min="482" max="482"/>
    <col width="8.5" customWidth="1" style="53" min="483" max="483"/>
    <col width="8.5" customWidth="1" style="53" min="484" max="484"/>
    <col width="8.5" customWidth="1" style="53" min="485" max="485"/>
    <col width="8.5" customWidth="1" style="53" min="486" max="486"/>
    <col width="8.5" customWidth="1" style="53" min="487" max="487"/>
    <col width="8.5" customWidth="1" style="53" min="488" max="488"/>
    <col width="8.5" customWidth="1" style="53" min="489" max="489"/>
    <col width="8.5" customWidth="1" style="53" min="490" max="490"/>
    <col width="8.5" customWidth="1" style="53" min="491" max="491"/>
    <col width="8.5" customWidth="1" style="53" min="492" max="492"/>
    <col width="8.5" customWidth="1" style="53" min="493" max="493"/>
    <col width="8.5" customWidth="1" style="53" min="494" max="494"/>
    <col width="8.5" customWidth="1" style="53" min="495" max="495"/>
    <col width="8.5" customWidth="1" style="53" min="496" max="496"/>
    <col width="8.5" customWidth="1" style="53" min="497" max="497"/>
    <col width="8.5" customWidth="1" style="53" min="498" max="498"/>
    <col width="8.5" customWidth="1" style="53" min="499" max="499"/>
    <col width="8.5" customWidth="1" style="53" min="500" max="500"/>
    <col width="8.5" customWidth="1" style="53" min="501" max="501"/>
    <col width="8.5" customWidth="1" style="53" min="502" max="502"/>
    <col width="8.5" customWidth="1" style="53" min="503" max="503"/>
    <col width="8.5" customWidth="1" style="53" min="504" max="504"/>
    <col width="8.5" customWidth="1" style="53" min="505" max="505"/>
    <col width="8.5" customWidth="1" style="53" min="506" max="506"/>
    <col width="8.5" customWidth="1" style="53" min="507" max="507"/>
    <col width="8.5" customWidth="1" style="53" min="508" max="508"/>
    <col width="8.5" customWidth="1" style="53" min="509" max="509"/>
    <col width="8.5" customWidth="1" style="53" min="510" max="510"/>
    <col width="8.5" customWidth="1" style="53" min="511" max="511"/>
    <col width="8.5" customWidth="1" style="53" min="512" max="512"/>
    <col width="8.5" customWidth="1" style="53" min="513" max="513"/>
    <col width="8.5" customWidth="1" style="53" min="514" max="514"/>
    <col width="8.5" customWidth="1" style="53" min="515" max="515"/>
    <col width="8.5" customWidth="1" style="53" min="516" max="516"/>
  </cols>
  <sheetData>
    <row r="1">
      <c r="B1" s="194" t="inlineStr">
        <is>
          <t>Booking colours:</t>
        </is>
      </c>
      <c r="C1" s="195" t="inlineStr">
        <is>
          <t>To be submitted</t>
        </is>
      </c>
      <c r="E1" s="196" t="inlineStr">
        <is>
          <t>NPI escalation waiting</t>
        </is>
      </c>
      <c r="G1" s="197" t="inlineStr">
        <is>
          <t>Booking submitted</t>
        </is>
      </c>
      <c r="I1" s="198" t="inlineStr">
        <is>
          <t>Confirmed by NPI</t>
        </is>
      </c>
      <c r="K1" s="199" t="inlineStr">
        <is>
          <t>Double checked</t>
        </is>
      </c>
      <c r="M1" s="200" t="inlineStr">
        <is>
          <t>NPI decline</t>
        </is>
      </c>
      <c r="O1" s="201" t="inlineStr">
        <is>
          <t>New changes</t>
        </is>
      </c>
    </row>
    <row r="2" ht="46" customHeight="1" s="53">
      <c r="B2" s="202" t="inlineStr">
        <is>
          <t>▶  INPUT HERE  -  Master WPU Roster. Type roster codes in the day cells (codes on the Settings tab). Add people in a blank row under their team heading. Everything else updates automatically.</t>
        </is>
      </c>
      <c r="C2" s="203" t="n"/>
      <c r="D2" s="203" t="n"/>
      <c r="E2" s="203" t="n"/>
      <c r="F2" s="203" t="n"/>
      <c r="G2" s="203" t="n"/>
      <c r="H2" s="203" t="n"/>
      <c r="I2" s="203" t="n"/>
      <c r="J2" s="203" t="n"/>
      <c r="K2" s="203" t="n"/>
      <c r="L2" s="203" t="n"/>
      <c r="M2" s="203" t="n"/>
      <c r="N2" s="203" t="n"/>
      <c r="O2" s="203" t="n"/>
      <c r="P2" s="203" t="n"/>
      <c r="Q2" s="203" t="n"/>
      <c r="R2" s="203" t="n"/>
    </row>
    <row r="3">
      <c r="R3" s="204" t="inlineStr">
        <is>
          <t>Start date →</t>
        </is>
      </c>
      <c r="S3" s="165">
        <f>UPPER(TEXT(S4,"ddd"))</f>
        <v/>
      </c>
      <c r="T3" s="165">
        <f>UPPER(TEXT(T4,"ddd"))</f>
        <v/>
      </c>
      <c r="U3" s="165">
        <f>UPPER(TEXT(U4,"ddd"))</f>
        <v/>
      </c>
      <c r="V3" s="165">
        <f>UPPER(TEXT(V4,"ddd"))</f>
        <v/>
      </c>
      <c r="W3" s="165">
        <f>UPPER(TEXT(W4,"ddd"))</f>
        <v/>
      </c>
      <c r="X3" s="165">
        <f>UPPER(TEXT(X4,"ddd"))</f>
        <v/>
      </c>
      <c r="Y3" s="165">
        <f>UPPER(TEXT(Y4,"ddd"))</f>
        <v/>
      </c>
      <c r="Z3" s="165">
        <f>UPPER(TEXT(Z4,"ddd"))</f>
        <v/>
      </c>
      <c r="AA3" s="165">
        <f>UPPER(TEXT(AA4,"ddd"))</f>
        <v/>
      </c>
      <c r="AB3" s="165">
        <f>UPPER(TEXT(AB4,"ddd"))</f>
        <v/>
      </c>
      <c r="AC3" s="165">
        <f>UPPER(TEXT(AC4,"ddd"))</f>
        <v/>
      </c>
      <c r="AD3" s="165">
        <f>UPPER(TEXT(AD4,"ddd"))</f>
        <v/>
      </c>
      <c r="AE3" s="165">
        <f>UPPER(TEXT(AE4,"ddd"))</f>
        <v/>
      </c>
      <c r="AF3" s="165">
        <f>UPPER(TEXT(AF4,"ddd"))</f>
        <v/>
      </c>
      <c r="AG3" s="165">
        <f>UPPER(TEXT(AG4,"ddd"))</f>
        <v/>
      </c>
      <c r="AH3" s="165">
        <f>UPPER(TEXT(AH4,"ddd"))</f>
        <v/>
      </c>
      <c r="AI3" s="165">
        <f>UPPER(TEXT(AI4,"ddd"))</f>
        <v/>
      </c>
      <c r="AJ3" s="165">
        <f>UPPER(TEXT(AJ4,"ddd"))</f>
        <v/>
      </c>
      <c r="AK3" s="165">
        <f>UPPER(TEXT(AK4,"ddd"))</f>
        <v/>
      </c>
      <c r="AL3" s="165">
        <f>UPPER(TEXT(AL4,"ddd"))</f>
        <v/>
      </c>
      <c r="AM3" s="165">
        <f>UPPER(TEXT(AM4,"ddd"))</f>
        <v/>
      </c>
      <c r="AN3" s="165">
        <f>UPPER(TEXT(AN4,"ddd"))</f>
        <v/>
      </c>
      <c r="AO3" s="165">
        <f>UPPER(TEXT(AO4,"ddd"))</f>
        <v/>
      </c>
      <c r="AP3" s="165">
        <f>UPPER(TEXT(AP4,"ddd"))</f>
        <v/>
      </c>
      <c r="AQ3" s="165">
        <f>UPPER(TEXT(AQ4,"ddd"))</f>
        <v/>
      </c>
      <c r="AR3" s="165">
        <f>UPPER(TEXT(AR4,"ddd"))</f>
        <v/>
      </c>
      <c r="AS3" s="165">
        <f>UPPER(TEXT(AS4,"ddd"))</f>
        <v/>
      </c>
      <c r="AT3" s="165">
        <f>UPPER(TEXT(AT4,"ddd"))</f>
        <v/>
      </c>
      <c r="AU3" s="165">
        <f>UPPER(TEXT(AU4,"ddd"))</f>
        <v/>
      </c>
      <c r="AV3" s="165">
        <f>UPPER(TEXT(AV4,"ddd"))</f>
        <v/>
      </c>
      <c r="AW3" s="165">
        <f>UPPER(TEXT(AW4,"ddd"))</f>
        <v/>
      </c>
      <c r="AX3" s="165">
        <f>UPPER(TEXT(AX4,"ddd"))</f>
        <v/>
      </c>
      <c r="AY3" s="165">
        <f>UPPER(TEXT(AY4,"ddd"))</f>
        <v/>
      </c>
      <c r="AZ3" s="165">
        <f>UPPER(TEXT(AZ4,"ddd"))</f>
        <v/>
      </c>
      <c r="BA3" s="165">
        <f>UPPER(TEXT(BA4,"ddd"))</f>
        <v/>
      </c>
      <c r="BB3" s="165">
        <f>UPPER(TEXT(BB4,"ddd"))</f>
        <v/>
      </c>
      <c r="BC3" s="165">
        <f>UPPER(TEXT(BC4,"ddd"))</f>
        <v/>
      </c>
      <c r="BD3" s="165">
        <f>UPPER(TEXT(BD4,"ddd"))</f>
        <v/>
      </c>
      <c r="BE3" s="165">
        <f>UPPER(TEXT(BE4,"ddd"))</f>
        <v/>
      </c>
      <c r="BF3" s="165">
        <f>UPPER(TEXT(BF4,"ddd"))</f>
        <v/>
      </c>
      <c r="BG3" s="165">
        <f>UPPER(TEXT(BG4,"ddd"))</f>
        <v/>
      </c>
      <c r="BH3" s="165">
        <f>UPPER(TEXT(BH4,"ddd"))</f>
        <v/>
      </c>
      <c r="BI3" s="165">
        <f>UPPER(TEXT(BI4,"ddd"))</f>
        <v/>
      </c>
      <c r="BJ3" s="165">
        <f>UPPER(TEXT(BJ4,"ddd"))</f>
        <v/>
      </c>
      <c r="BK3" s="165">
        <f>UPPER(TEXT(BK4,"ddd"))</f>
        <v/>
      </c>
      <c r="BL3" s="165">
        <f>UPPER(TEXT(BL4,"ddd"))</f>
        <v/>
      </c>
      <c r="BM3" s="165">
        <f>UPPER(TEXT(BM4,"ddd"))</f>
        <v/>
      </c>
      <c r="BN3" s="165">
        <f>UPPER(TEXT(BN4,"ddd"))</f>
        <v/>
      </c>
      <c r="BO3" s="165">
        <f>UPPER(TEXT(BO4,"ddd"))</f>
        <v/>
      </c>
      <c r="BP3" s="165">
        <f>UPPER(TEXT(BP4,"ddd"))</f>
        <v/>
      </c>
      <c r="BQ3" s="165">
        <f>UPPER(TEXT(BQ4,"ddd"))</f>
        <v/>
      </c>
      <c r="BR3" s="165">
        <f>UPPER(TEXT(BR4,"ddd"))</f>
        <v/>
      </c>
      <c r="BS3" s="165">
        <f>UPPER(TEXT(BS4,"ddd"))</f>
        <v/>
      </c>
      <c r="BT3" s="165">
        <f>UPPER(TEXT(BT4,"ddd"))</f>
        <v/>
      </c>
      <c r="BU3" s="165">
        <f>UPPER(TEXT(BU4,"ddd"))</f>
        <v/>
      </c>
      <c r="BV3" s="165">
        <f>UPPER(TEXT(BV4,"ddd"))</f>
        <v/>
      </c>
      <c r="BW3" s="165">
        <f>UPPER(TEXT(BW4,"ddd"))</f>
        <v/>
      </c>
      <c r="BX3" s="165">
        <f>UPPER(TEXT(BX4,"ddd"))</f>
        <v/>
      </c>
      <c r="BY3" s="165">
        <f>UPPER(TEXT(BY4,"ddd"))</f>
        <v/>
      </c>
      <c r="BZ3" s="165">
        <f>UPPER(TEXT(BZ4,"ddd"))</f>
        <v/>
      </c>
      <c r="CA3" s="165">
        <f>UPPER(TEXT(CA4,"ddd"))</f>
        <v/>
      </c>
      <c r="CB3" s="165">
        <f>UPPER(TEXT(CB4,"ddd"))</f>
        <v/>
      </c>
      <c r="CC3" s="165">
        <f>UPPER(TEXT(CC4,"ddd"))</f>
        <v/>
      </c>
      <c r="CD3" s="165">
        <f>UPPER(TEXT(CD4,"ddd"))</f>
        <v/>
      </c>
      <c r="CE3" s="165">
        <f>UPPER(TEXT(CE4,"ddd"))</f>
        <v/>
      </c>
      <c r="CF3" s="165">
        <f>UPPER(TEXT(CF4,"ddd"))</f>
        <v/>
      </c>
      <c r="CG3" s="165">
        <f>UPPER(TEXT(CG4,"ddd"))</f>
        <v/>
      </c>
      <c r="CH3" s="165">
        <f>UPPER(TEXT(CH4,"ddd"))</f>
        <v/>
      </c>
      <c r="CI3" s="165">
        <f>UPPER(TEXT(CI4,"ddd"))</f>
        <v/>
      </c>
      <c r="CJ3" s="165">
        <f>UPPER(TEXT(CJ4,"ddd"))</f>
        <v/>
      </c>
      <c r="CK3" s="165">
        <f>UPPER(TEXT(CK4,"ddd"))</f>
        <v/>
      </c>
      <c r="CL3" s="165">
        <f>UPPER(TEXT(CL4,"ddd"))</f>
        <v/>
      </c>
      <c r="CM3" s="165">
        <f>UPPER(TEXT(CM4,"ddd"))</f>
        <v/>
      </c>
      <c r="CN3" s="165">
        <f>UPPER(TEXT(CN4,"ddd"))</f>
        <v/>
      </c>
      <c r="CO3" s="165">
        <f>UPPER(TEXT(CO4,"ddd"))</f>
        <v/>
      </c>
      <c r="CP3" s="165">
        <f>UPPER(TEXT(CP4,"ddd"))</f>
        <v/>
      </c>
      <c r="CQ3" s="165">
        <f>UPPER(TEXT(CQ4,"ddd"))</f>
        <v/>
      </c>
      <c r="CR3" s="165">
        <f>UPPER(TEXT(CR4,"ddd"))</f>
        <v/>
      </c>
      <c r="CS3" s="165">
        <f>UPPER(TEXT(CS4,"ddd"))</f>
        <v/>
      </c>
      <c r="CT3" s="165">
        <f>UPPER(TEXT(CT4,"ddd"))</f>
        <v/>
      </c>
      <c r="CU3" s="165">
        <f>UPPER(TEXT(CU4,"ddd"))</f>
        <v/>
      </c>
      <c r="CV3" s="165">
        <f>UPPER(TEXT(CV4,"ddd"))</f>
        <v/>
      </c>
      <c r="CW3" s="165">
        <f>UPPER(TEXT(CW4,"ddd"))</f>
        <v/>
      </c>
      <c r="CX3" s="165">
        <f>UPPER(TEXT(CX4,"ddd"))</f>
        <v/>
      </c>
      <c r="CY3" s="165">
        <f>UPPER(TEXT(CY4,"ddd"))</f>
        <v/>
      </c>
      <c r="CZ3" s="165">
        <f>UPPER(TEXT(CZ4,"ddd"))</f>
        <v/>
      </c>
      <c r="DA3" s="165">
        <f>UPPER(TEXT(DA4,"ddd"))</f>
        <v/>
      </c>
      <c r="DB3" s="165">
        <f>UPPER(TEXT(DB4,"ddd"))</f>
        <v/>
      </c>
      <c r="DC3" s="165">
        <f>UPPER(TEXT(DC4,"ddd"))</f>
        <v/>
      </c>
      <c r="DD3" s="165">
        <f>UPPER(TEXT(DD4,"ddd"))</f>
        <v/>
      </c>
      <c r="DE3" s="165">
        <f>UPPER(TEXT(DE4,"ddd"))</f>
        <v/>
      </c>
      <c r="DF3" s="165">
        <f>UPPER(TEXT(DF4,"ddd"))</f>
        <v/>
      </c>
      <c r="DG3" s="165">
        <f>UPPER(TEXT(DG4,"ddd"))</f>
        <v/>
      </c>
      <c r="DH3" s="165">
        <f>UPPER(TEXT(DH4,"ddd"))</f>
        <v/>
      </c>
      <c r="DI3" s="165">
        <f>UPPER(TEXT(DI4,"ddd"))</f>
        <v/>
      </c>
      <c r="DJ3" s="165">
        <f>UPPER(TEXT(DJ4,"ddd"))</f>
        <v/>
      </c>
      <c r="DK3" s="165">
        <f>UPPER(TEXT(DK4,"ddd"))</f>
        <v/>
      </c>
      <c r="DL3" s="165">
        <f>UPPER(TEXT(DL4,"ddd"))</f>
        <v/>
      </c>
      <c r="DM3" s="165">
        <f>UPPER(TEXT(DM4,"ddd"))</f>
        <v/>
      </c>
      <c r="DN3" s="165">
        <f>UPPER(TEXT(DN4,"ddd"))</f>
        <v/>
      </c>
      <c r="DO3" s="165">
        <f>UPPER(TEXT(DO4,"ddd"))</f>
        <v/>
      </c>
      <c r="DP3" s="165">
        <f>UPPER(TEXT(DP4,"ddd"))</f>
        <v/>
      </c>
      <c r="DQ3" s="165">
        <f>UPPER(TEXT(DQ4,"ddd"))</f>
        <v/>
      </c>
      <c r="DR3" s="165">
        <f>UPPER(TEXT(DR4,"ddd"))</f>
        <v/>
      </c>
      <c r="DS3" s="165">
        <f>UPPER(TEXT(DS4,"ddd"))</f>
        <v/>
      </c>
      <c r="DT3" s="165">
        <f>UPPER(TEXT(DT4,"ddd"))</f>
        <v/>
      </c>
      <c r="DU3" s="165">
        <f>UPPER(TEXT(DU4,"ddd"))</f>
        <v/>
      </c>
      <c r="DV3" s="165">
        <f>UPPER(TEXT(DV4,"ddd"))</f>
        <v/>
      </c>
      <c r="DW3" s="165">
        <f>UPPER(TEXT(DW4,"ddd"))</f>
        <v/>
      </c>
      <c r="DX3" s="165">
        <f>UPPER(TEXT(DX4,"ddd"))</f>
        <v/>
      </c>
      <c r="DY3" s="165">
        <f>UPPER(TEXT(DY4,"ddd"))</f>
        <v/>
      </c>
      <c r="DZ3" s="165">
        <f>UPPER(TEXT(DZ4,"ddd"))</f>
        <v/>
      </c>
      <c r="EA3" s="165">
        <f>UPPER(TEXT(EA4,"ddd"))</f>
        <v/>
      </c>
      <c r="EB3" s="165">
        <f>UPPER(TEXT(EB4,"ddd"))</f>
        <v/>
      </c>
      <c r="EC3" s="165">
        <f>UPPER(TEXT(EC4,"ddd"))</f>
        <v/>
      </c>
      <c r="ED3" s="165">
        <f>UPPER(TEXT(ED4,"ddd"))</f>
        <v/>
      </c>
      <c r="EE3" s="165">
        <f>UPPER(TEXT(EE4,"ddd"))</f>
        <v/>
      </c>
      <c r="EF3" s="165">
        <f>UPPER(TEXT(EF4,"ddd"))</f>
        <v/>
      </c>
      <c r="EG3" s="165">
        <f>UPPER(TEXT(EG4,"ddd"))</f>
        <v/>
      </c>
      <c r="EH3" s="165">
        <f>UPPER(TEXT(EH4,"ddd"))</f>
        <v/>
      </c>
      <c r="EI3" s="165">
        <f>UPPER(TEXT(EI4,"ddd"))</f>
        <v/>
      </c>
      <c r="EJ3" s="165">
        <f>UPPER(TEXT(EJ4,"ddd"))</f>
        <v/>
      </c>
      <c r="EK3" s="165">
        <f>UPPER(TEXT(EK4,"ddd"))</f>
        <v/>
      </c>
      <c r="EL3" s="165">
        <f>UPPER(TEXT(EL4,"ddd"))</f>
        <v/>
      </c>
      <c r="EM3" s="165">
        <f>UPPER(TEXT(EM4,"ddd"))</f>
        <v/>
      </c>
      <c r="EN3" s="165">
        <f>UPPER(TEXT(EN4,"ddd"))</f>
        <v/>
      </c>
      <c r="EO3" s="165">
        <f>UPPER(TEXT(EO4,"ddd"))</f>
        <v/>
      </c>
      <c r="EP3" s="165">
        <f>UPPER(TEXT(EP4,"ddd"))</f>
        <v/>
      </c>
      <c r="EQ3" s="165">
        <f>UPPER(TEXT(EQ4,"ddd"))</f>
        <v/>
      </c>
      <c r="ER3" s="165">
        <f>UPPER(TEXT(ER4,"ddd"))</f>
        <v/>
      </c>
      <c r="ES3" s="165">
        <f>UPPER(TEXT(ES4,"ddd"))</f>
        <v/>
      </c>
      <c r="ET3" s="165">
        <f>UPPER(TEXT(ET4,"ddd"))</f>
        <v/>
      </c>
      <c r="EU3" s="165">
        <f>UPPER(TEXT(EU4,"ddd"))</f>
        <v/>
      </c>
      <c r="EV3" s="165">
        <f>UPPER(TEXT(EV4,"ddd"))</f>
        <v/>
      </c>
      <c r="EW3" s="165">
        <f>UPPER(TEXT(EW4,"ddd"))</f>
        <v/>
      </c>
      <c r="EX3" s="165">
        <f>UPPER(TEXT(EX4,"ddd"))</f>
        <v/>
      </c>
      <c r="EY3" s="165">
        <f>UPPER(TEXT(EY4,"ddd"))</f>
        <v/>
      </c>
      <c r="EZ3" s="165">
        <f>UPPER(TEXT(EZ4,"ddd"))</f>
        <v/>
      </c>
      <c r="FA3" s="165">
        <f>UPPER(TEXT(FA4,"ddd"))</f>
        <v/>
      </c>
      <c r="FB3" s="165">
        <f>UPPER(TEXT(FB4,"ddd"))</f>
        <v/>
      </c>
      <c r="FC3" s="165">
        <f>UPPER(TEXT(FC4,"ddd"))</f>
        <v/>
      </c>
      <c r="FD3" s="165">
        <f>UPPER(TEXT(FD4,"ddd"))</f>
        <v/>
      </c>
      <c r="FE3" s="165">
        <f>UPPER(TEXT(FE4,"ddd"))</f>
        <v/>
      </c>
      <c r="FF3" s="165">
        <f>UPPER(TEXT(FF4,"ddd"))</f>
        <v/>
      </c>
      <c r="FG3" s="165">
        <f>UPPER(TEXT(FG4,"ddd"))</f>
        <v/>
      </c>
      <c r="FH3" s="165">
        <f>UPPER(TEXT(FH4,"ddd"))</f>
        <v/>
      </c>
      <c r="FI3" s="165">
        <f>UPPER(TEXT(FI4,"ddd"))</f>
        <v/>
      </c>
      <c r="FJ3" s="165">
        <f>UPPER(TEXT(FJ4,"ddd"))</f>
        <v/>
      </c>
      <c r="FK3" s="165">
        <f>UPPER(TEXT(FK4,"ddd"))</f>
        <v/>
      </c>
      <c r="FL3" s="165">
        <f>UPPER(TEXT(FL4,"ddd"))</f>
        <v/>
      </c>
      <c r="FM3" s="165">
        <f>UPPER(TEXT(FM4,"ddd"))</f>
        <v/>
      </c>
      <c r="FN3" s="165">
        <f>UPPER(TEXT(FN4,"ddd"))</f>
        <v/>
      </c>
      <c r="FO3" s="165">
        <f>UPPER(TEXT(FO4,"ddd"))</f>
        <v/>
      </c>
      <c r="FP3" s="165">
        <f>UPPER(TEXT(FP4,"ddd"))</f>
        <v/>
      </c>
      <c r="FQ3" s="165">
        <f>UPPER(TEXT(FQ4,"ddd"))</f>
        <v/>
      </c>
      <c r="FR3" s="165">
        <f>UPPER(TEXT(FR4,"ddd"))</f>
        <v/>
      </c>
      <c r="FS3" s="165">
        <f>UPPER(TEXT(FS4,"ddd"))</f>
        <v/>
      </c>
      <c r="FT3" s="165">
        <f>UPPER(TEXT(FT4,"ddd"))</f>
        <v/>
      </c>
      <c r="FU3" s="165">
        <f>UPPER(TEXT(FU4,"ddd"))</f>
        <v/>
      </c>
      <c r="FV3" s="165">
        <f>UPPER(TEXT(FV4,"ddd"))</f>
        <v/>
      </c>
      <c r="FW3" s="165">
        <f>UPPER(TEXT(FW4,"ddd"))</f>
        <v/>
      </c>
      <c r="FX3" s="165">
        <f>UPPER(TEXT(FX4,"ddd"))</f>
        <v/>
      </c>
      <c r="FY3" s="165">
        <f>UPPER(TEXT(FY4,"ddd"))</f>
        <v/>
      </c>
      <c r="FZ3" s="165">
        <f>UPPER(TEXT(FZ4,"ddd"))</f>
        <v/>
      </c>
      <c r="GA3" s="165">
        <f>UPPER(TEXT(GA4,"ddd"))</f>
        <v/>
      </c>
      <c r="GB3" s="165">
        <f>UPPER(TEXT(GB4,"ddd"))</f>
        <v/>
      </c>
      <c r="GC3" s="165">
        <f>UPPER(TEXT(GC4,"ddd"))</f>
        <v/>
      </c>
      <c r="GD3" s="165">
        <f>UPPER(TEXT(GD4,"ddd"))</f>
        <v/>
      </c>
      <c r="GE3" s="165">
        <f>UPPER(TEXT(GE4,"ddd"))</f>
        <v/>
      </c>
      <c r="GF3" s="165">
        <f>UPPER(TEXT(GF4,"ddd"))</f>
        <v/>
      </c>
      <c r="GG3" s="165">
        <f>UPPER(TEXT(GG4,"ddd"))</f>
        <v/>
      </c>
      <c r="GH3" s="165">
        <f>UPPER(TEXT(GH4,"ddd"))</f>
        <v/>
      </c>
      <c r="GI3" s="165">
        <f>UPPER(TEXT(GI4,"ddd"))</f>
        <v/>
      </c>
      <c r="GJ3" s="165">
        <f>UPPER(TEXT(GJ4,"ddd"))</f>
        <v/>
      </c>
      <c r="GK3" s="165">
        <f>UPPER(TEXT(GK4,"ddd"))</f>
        <v/>
      </c>
      <c r="GL3" s="165">
        <f>UPPER(TEXT(GL4,"ddd"))</f>
        <v/>
      </c>
      <c r="GM3" s="165">
        <f>UPPER(TEXT(GM4,"ddd"))</f>
        <v/>
      </c>
      <c r="GN3" s="165">
        <f>UPPER(TEXT(GN4,"ddd"))</f>
        <v/>
      </c>
      <c r="GO3" s="165">
        <f>UPPER(TEXT(GO4,"ddd"))</f>
        <v/>
      </c>
      <c r="GP3" s="165">
        <f>UPPER(TEXT(GP4,"ddd"))</f>
        <v/>
      </c>
      <c r="GQ3" s="165">
        <f>UPPER(TEXT(GQ4,"ddd"))</f>
        <v/>
      </c>
      <c r="GR3" s="165">
        <f>UPPER(TEXT(GR4,"ddd"))</f>
        <v/>
      </c>
      <c r="GS3" s="165">
        <f>UPPER(TEXT(GS4,"ddd"))</f>
        <v/>
      </c>
      <c r="GT3" s="165">
        <f>UPPER(TEXT(GT4,"ddd"))</f>
        <v/>
      </c>
      <c r="GU3" s="165">
        <f>UPPER(TEXT(GU4,"ddd"))</f>
        <v/>
      </c>
      <c r="GV3" s="165">
        <f>UPPER(TEXT(GV4,"ddd"))</f>
        <v/>
      </c>
      <c r="GW3" s="165">
        <f>UPPER(TEXT(GW4,"ddd"))</f>
        <v/>
      </c>
      <c r="GX3" s="165">
        <f>UPPER(TEXT(GX4,"ddd"))</f>
        <v/>
      </c>
      <c r="GY3" s="165">
        <f>UPPER(TEXT(GY4,"ddd"))</f>
        <v/>
      </c>
      <c r="GZ3" s="165">
        <f>UPPER(TEXT(GZ4,"ddd"))</f>
        <v/>
      </c>
      <c r="HA3" s="165">
        <f>UPPER(TEXT(HA4,"ddd"))</f>
        <v/>
      </c>
      <c r="HB3" s="165">
        <f>UPPER(TEXT(HB4,"ddd"))</f>
        <v/>
      </c>
      <c r="HC3" s="165">
        <f>UPPER(TEXT(HC4,"ddd"))</f>
        <v/>
      </c>
      <c r="HD3" s="165">
        <f>UPPER(TEXT(HD4,"ddd"))</f>
        <v/>
      </c>
      <c r="HE3" s="165">
        <f>UPPER(TEXT(HE4,"ddd"))</f>
        <v/>
      </c>
      <c r="HF3" s="165">
        <f>UPPER(TEXT(HF4,"ddd"))</f>
        <v/>
      </c>
      <c r="HG3" s="165">
        <f>UPPER(TEXT(HG4,"ddd"))</f>
        <v/>
      </c>
      <c r="HH3" s="165">
        <f>UPPER(TEXT(HH4,"ddd"))</f>
        <v/>
      </c>
      <c r="HI3" s="165">
        <f>UPPER(TEXT(HI4,"ddd"))</f>
        <v/>
      </c>
      <c r="HJ3" s="165">
        <f>UPPER(TEXT(HJ4,"ddd"))</f>
        <v/>
      </c>
      <c r="HK3" s="165">
        <f>UPPER(TEXT(HK4,"ddd"))</f>
        <v/>
      </c>
      <c r="HL3" s="165">
        <f>UPPER(TEXT(HL4,"ddd"))</f>
        <v/>
      </c>
      <c r="HM3" s="165">
        <f>UPPER(TEXT(HM4,"ddd"))</f>
        <v/>
      </c>
      <c r="HN3" s="165">
        <f>UPPER(TEXT(HN4,"ddd"))</f>
        <v/>
      </c>
      <c r="HO3" s="165">
        <f>UPPER(TEXT(HO4,"ddd"))</f>
        <v/>
      </c>
      <c r="HP3" s="165">
        <f>UPPER(TEXT(HP4,"ddd"))</f>
        <v/>
      </c>
      <c r="HQ3" s="165">
        <f>UPPER(TEXT(HQ4,"ddd"))</f>
        <v/>
      </c>
      <c r="HR3" s="165">
        <f>UPPER(TEXT(HR4,"ddd"))</f>
        <v/>
      </c>
      <c r="HS3" s="165">
        <f>UPPER(TEXT(HS4,"ddd"))</f>
        <v/>
      </c>
      <c r="HT3" s="165">
        <f>UPPER(TEXT(HT4,"ddd"))</f>
        <v/>
      </c>
      <c r="HU3" s="165">
        <f>UPPER(TEXT(HU4,"ddd"))</f>
        <v/>
      </c>
      <c r="HV3" s="165">
        <f>UPPER(TEXT(HV4,"ddd"))</f>
        <v/>
      </c>
      <c r="HW3" s="165">
        <f>UPPER(TEXT(HW4,"ddd"))</f>
        <v/>
      </c>
      <c r="HX3" s="165">
        <f>UPPER(TEXT(HX4,"ddd"))</f>
        <v/>
      </c>
      <c r="HY3" s="165">
        <f>UPPER(TEXT(HY4,"ddd"))</f>
        <v/>
      </c>
      <c r="HZ3" s="165">
        <f>UPPER(TEXT(HZ4,"ddd"))</f>
        <v/>
      </c>
      <c r="IA3" s="165">
        <f>UPPER(TEXT(IA4,"ddd"))</f>
        <v/>
      </c>
      <c r="IB3" s="165">
        <f>UPPER(TEXT(IB4,"ddd"))</f>
        <v/>
      </c>
      <c r="IC3" s="165">
        <f>UPPER(TEXT(IC4,"ddd"))</f>
        <v/>
      </c>
      <c r="ID3" s="165">
        <f>UPPER(TEXT(ID4,"ddd"))</f>
        <v/>
      </c>
      <c r="IE3" s="165">
        <f>UPPER(TEXT(IE4,"ddd"))</f>
        <v/>
      </c>
      <c r="IF3" s="165">
        <f>UPPER(TEXT(IF4,"ddd"))</f>
        <v/>
      </c>
      <c r="IG3" s="165">
        <f>UPPER(TEXT(IG4,"ddd"))</f>
        <v/>
      </c>
      <c r="IH3" s="165">
        <f>UPPER(TEXT(IH4,"ddd"))</f>
        <v/>
      </c>
      <c r="II3" s="165">
        <f>UPPER(TEXT(II4,"ddd"))</f>
        <v/>
      </c>
      <c r="IJ3" s="165">
        <f>UPPER(TEXT(IJ4,"ddd"))</f>
        <v/>
      </c>
      <c r="IK3" s="165">
        <f>UPPER(TEXT(IK4,"ddd"))</f>
        <v/>
      </c>
      <c r="IL3" s="165">
        <f>UPPER(TEXT(IL4,"ddd"))</f>
        <v/>
      </c>
      <c r="IM3" s="165">
        <f>UPPER(TEXT(IM4,"ddd"))</f>
        <v/>
      </c>
      <c r="IN3" s="165">
        <f>UPPER(TEXT(IN4,"ddd"))</f>
        <v/>
      </c>
      <c r="IO3" s="165">
        <f>UPPER(TEXT(IO4,"ddd"))</f>
        <v/>
      </c>
      <c r="IP3" s="165">
        <f>UPPER(TEXT(IP4,"ddd"))</f>
        <v/>
      </c>
      <c r="IQ3" s="165">
        <f>UPPER(TEXT(IQ4,"ddd"))</f>
        <v/>
      </c>
      <c r="IR3" s="165">
        <f>UPPER(TEXT(IR4,"ddd"))</f>
        <v/>
      </c>
      <c r="IS3" s="165">
        <f>UPPER(TEXT(IS4,"ddd"))</f>
        <v/>
      </c>
      <c r="IT3" s="165">
        <f>UPPER(TEXT(IT4,"ddd"))</f>
        <v/>
      </c>
      <c r="IU3" s="165">
        <f>UPPER(TEXT(IU4,"ddd"))</f>
        <v/>
      </c>
      <c r="IV3" s="165">
        <f>UPPER(TEXT(IV4,"ddd"))</f>
        <v/>
      </c>
      <c r="IW3" s="165">
        <f>UPPER(TEXT(IW4,"ddd"))</f>
        <v/>
      </c>
      <c r="IX3" s="165">
        <f>UPPER(TEXT(IX4,"ddd"))</f>
        <v/>
      </c>
      <c r="IY3" s="165">
        <f>UPPER(TEXT(IY4,"ddd"))</f>
        <v/>
      </c>
      <c r="IZ3" s="165">
        <f>UPPER(TEXT(IZ4,"ddd"))</f>
        <v/>
      </c>
      <c r="JA3" s="165">
        <f>UPPER(TEXT(JA4,"ddd"))</f>
        <v/>
      </c>
      <c r="JB3" s="165">
        <f>UPPER(TEXT(JB4,"ddd"))</f>
        <v/>
      </c>
      <c r="JC3" s="165">
        <f>UPPER(TEXT(JC4,"ddd"))</f>
        <v/>
      </c>
      <c r="JD3" s="165">
        <f>UPPER(TEXT(JD4,"ddd"))</f>
        <v/>
      </c>
      <c r="JE3" s="165">
        <f>UPPER(TEXT(JE4,"ddd"))</f>
        <v/>
      </c>
      <c r="JF3" s="165">
        <f>UPPER(TEXT(JF4,"ddd"))</f>
        <v/>
      </c>
      <c r="JG3" s="165">
        <f>UPPER(TEXT(JG4,"ddd"))</f>
        <v/>
      </c>
      <c r="JH3" s="165">
        <f>UPPER(TEXT(JH4,"ddd"))</f>
        <v/>
      </c>
      <c r="JI3" s="165">
        <f>UPPER(TEXT(JI4,"ddd"))</f>
        <v/>
      </c>
      <c r="JJ3" s="165">
        <f>UPPER(TEXT(JJ4,"ddd"))</f>
        <v/>
      </c>
      <c r="JK3" s="165">
        <f>UPPER(TEXT(JK4,"ddd"))</f>
        <v/>
      </c>
      <c r="JL3" s="165">
        <f>UPPER(TEXT(JL4,"ddd"))</f>
        <v/>
      </c>
      <c r="JM3" s="165">
        <f>UPPER(TEXT(JM4,"ddd"))</f>
        <v/>
      </c>
      <c r="JN3" s="165">
        <f>UPPER(TEXT(JN4,"ddd"))</f>
        <v/>
      </c>
      <c r="JO3" s="165">
        <f>UPPER(TEXT(JO4,"ddd"))</f>
        <v/>
      </c>
      <c r="JP3" s="165">
        <f>UPPER(TEXT(JP4,"ddd"))</f>
        <v/>
      </c>
      <c r="JQ3" s="165">
        <f>UPPER(TEXT(JQ4,"ddd"))</f>
        <v/>
      </c>
      <c r="JR3" s="165">
        <f>UPPER(TEXT(JR4,"ddd"))</f>
        <v/>
      </c>
      <c r="JS3" s="165">
        <f>UPPER(TEXT(JS4,"ddd"))</f>
        <v/>
      </c>
      <c r="JT3" s="165">
        <f>UPPER(TEXT(JT4,"ddd"))</f>
        <v/>
      </c>
      <c r="JU3" s="165">
        <f>UPPER(TEXT(JU4,"ddd"))</f>
        <v/>
      </c>
      <c r="JV3" s="165">
        <f>UPPER(TEXT(JV4,"ddd"))</f>
        <v/>
      </c>
      <c r="JW3" s="165">
        <f>UPPER(TEXT(JW4,"ddd"))</f>
        <v/>
      </c>
      <c r="JX3" s="165">
        <f>UPPER(TEXT(JX4,"ddd"))</f>
        <v/>
      </c>
      <c r="JY3" s="165">
        <f>UPPER(TEXT(JY4,"ddd"))</f>
        <v/>
      </c>
      <c r="JZ3" s="165">
        <f>UPPER(TEXT(JZ4,"ddd"))</f>
        <v/>
      </c>
      <c r="KA3" s="165">
        <f>UPPER(TEXT(KA4,"ddd"))</f>
        <v/>
      </c>
      <c r="KB3" s="165">
        <f>UPPER(TEXT(KB4,"ddd"))</f>
        <v/>
      </c>
      <c r="KC3" s="165">
        <f>UPPER(TEXT(KC4,"ddd"))</f>
        <v/>
      </c>
      <c r="KD3" s="165">
        <f>UPPER(TEXT(KD4,"ddd"))</f>
        <v/>
      </c>
      <c r="KE3" s="165">
        <f>UPPER(TEXT(KE4,"ddd"))</f>
        <v/>
      </c>
      <c r="KF3" s="165">
        <f>UPPER(TEXT(KF4,"ddd"))</f>
        <v/>
      </c>
      <c r="KG3" s="165">
        <f>UPPER(TEXT(KG4,"ddd"))</f>
        <v/>
      </c>
      <c r="KH3" s="165">
        <f>UPPER(TEXT(KH4,"ddd"))</f>
        <v/>
      </c>
      <c r="KI3" s="165">
        <f>UPPER(TEXT(KI4,"ddd"))</f>
        <v/>
      </c>
      <c r="KJ3" s="165">
        <f>UPPER(TEXT(KJ4,"ddd"))</f>
        <v/>
      </c>
      <c r="KK3" s="165">
        <f>UPPER(TEXT(KK4,"ddd"))</f>
        <v/>
      </c>
      <c r="KL3" s="165">
        <f>UPPER(TEXT(KL4,"ddd"))</f>
        <v/>
      </c>
      <c r="KM3" s="165">
        <f>UPPER(TEXT(KM4,"ddd"))</f>
        <v/>
      </c>
      <c r="KN3" s="165">
        <f>UPPER(TEXT(KN4,"ddd"))</f>
        <v/>
      </c>
      <c r="KO3" s="165">
        <f>UPPER(TEXT(KO4,"ddd"))</f>
        <v/>
      </c>
      <c r="KP3" s="165">
        <f>UPPER(TEXT(KP4,"ddd"))</f>
        <v/>
      </c>
      <c r="KQ3" s="165">
        <f>UPPER(TEXT(KQ4,"ddd"))</f>
        <v/>
      </c>
      <c r="KR3" s="165">
        <f>UPPER(TEXT(KR4,"ddd"))</f>
        <v/>
      </c>
      <c r="KS3" s="165">
        <f>UPPER(TEXT(KS4,"ddd"))</f>
        <v/>
      </c>
      <c r="KT3" s="165">
        <f>UPPER(TEXT(KT4,"ddd"))</f>
        <v/>
      </c>
      <c r="KU3" s="165">
        <f>UPPER(TEXT(KU4,"ddd"))</f>
        <v/>
      </c>
      <c r="KV3" s="165">
        <f>UPPER(TEXT(KV4,"ddd"))</f>
        <v/>
      </c>
      <c r="KW3" s="165">
        <f>UPPER(TEXT(KW4,"ddd"))</f>
        <v/>
      </c>
      <c r="KX3" s="165">
        <f>UPPER(TEXT(KX4,"ddd"))</f>
        <v/>
      </c>
      <c r="KY3" s="165">
        <f>UPPER(TEXT(KY4,"ddd"))</f>
        <v/>
      </c>
      <c r="KZ3" s="165">
        <f>UPPER(TEXT(KZ4,"ddd"))</f>
        <v/>
      </c>
      <c r="LA3" s="165">
        <f>UPPER(TEXT(LA4,"ddd"))</f>
        <v/>
      </c>
      <c r="LB3" s="165">
        <f>UPPER(TEXT(LB4,"ddd"))</f>
        <v/>
      </c>
      <c r="LC3" s="165">
        <f>UPPER(TEXT(LC4,"ddd"))</f>
        <v/>
      </c>
      <c r="LD3" s="165">
        <f>UPPER(TEXT(LD4,"ddd"))</f>
        <v/>
      </c>
      <c r="LE3" s="165">
        <f>UPPER(TEXT(LE4,"ddd"))</f>
        <v/>
      </c>
      <c r="LF3" s="165">
        <f>UPPER(TEXT(LF4,"ddd"))</f>
        <v/>
      </c>
      <c r="LG3" s="165">
        <f>UPPER(TEXT(LG4,"ddd"))</f>
        <v/>
      </c>
      <c r="LH3" s="165">
        <f>UPPER(TEXT(LH4,"ddd"))</f>
        <v/>
      </c>
      <c r="LI3" s="165">
        <f>UPPER(TEXT(LI4,"ddd"))</f>
        <v/>
      </c>
      <c r="LJ3" s="165">
        <f>UPPER(TEXT(LJ4,"ddd"))</f>
        <v/>
      </c>
      <c r="LK3" s="165">
        <f>UPPER(TEXT(LK4,"ddd"))</f>
        <v/>
      </c>
      <c r="LL3" s="165">
        <f>UPPER(TEXT(LL4,"ddd"))</f>
        <v/>
      </c>
      <c r="LM3" s="165">
        <f>UPPER(TEXT(LM4,"ddd"))</f>
        <v/>
      </c>
      <c r="LN3" s="165">
        <f>UPPER(TEXT(LN4,"ddd"))</f>
        <v/>
      </c>
      <c r="LO3" s="165">
        <f>UPPER(TEXT(LO4,"ddd"))</f>
        <v/>
      </c>
      <c r="LP3" s="165">
        <f>UPPER(TEXT(LP4,"ddd"))</f>
        <v/>
      </c>
      <c r="LQ3" s="165">
        <f>UPPER(TEXT(LQ4,"ddd"))</f>
        <v/>
      </c>
      <c r="LR3" s="165">
        <f>UPPER(TEXT(LR4,"ddd"))</f>
        <v/>
      </c>
      <c r="LS3" s="165">
        <f>UPPER(TEXT(LS4,"ddd"))</f>
        <v/>
      </c>
      <c r="LT3" s="165">
        <f>UPPER(TEXT(LT4,"ddd"))</f>
        <v/>
      </c>
      <c r="LU3" s="165">
        <f>UPPER(TEXT(LU4,"ddd"))</f>
        <v/>
      </c>
      <c r="LV3" s="165">
        <f>UPPER(TEXT(LV4,"ddd"))</f>
        <v/>
      </c>
      <c r="LW3" s="165">
        <f>UPPER(TEXT(LW4,"ddd"))</f>
        <v/>
      </c>
      <c r="LX3" s="165">
        <f>UPPER(TEXT(LX4,"ddd"))</f>
        <v/>
      </c>
      <c r="LY3" s="165">
        <f>UPPER(TEXT(LY4,"ddd"))</f>
        <v/>
      </c>
      <c r="LZ3" s="165">
        <f>UPPER(TEXT(LZ4,"ddd"))</f>
        <v/>
      </c>
      <c r="MA3" s="165">
        <f>UPPER(TEXT(MA4,"ddd"))</f>
        <v/>
      </c>
      <c r="MB3" s="165">
        <f>UPPER(TEXT(MB4,"ddd"))</f>
        <v/>
      </c>
      <c r="MC3" s="165">
        <f>UPPER(TEXT(MC4,"ddd"))</f>
        <v/>
      </c>
      <c r="MD3" s="165">
        <f>UPPER(TEXT(MD4,"ddd"))</f>
        <v/>
      </c>
      <c r="ME3" s="165">
        <f>UPPER(TEXT(ME4,"ddd"))</f>
        <v/>
      </c>
      <c r="MF3" s="165">
        <f>UPPER(TEXT(MF4,"ddd"))</f>
        <v/>
      </c>
      <c r="MG3" s="165">
        <f>UPPER(TEXT(MG4,"ddd"))</f>
        <v/>
      </c>
      <c r="MH3" s="165">
        <f>UPPER(TEXT(MH4,"ddd"))</f>
        <v/>
      </c>
      <c r="MI3" s="165">
        <f>UPPER(TEXT(MI4,"ddd"))</f>
        <v/>
      </c>
      <c r="MJ3" s="165">
        <f>UPPER(TEXT(MJ4,"ddd"))</f>
        <v/>
      </c>
      <c r="MK3" s="165">
        <f>UPPER(TEXT(MK4,"ddd"))</f>
        <v/>
      </c>
      <c r="ML3" s="165">
        <f>UPPER(TEXT(ML4,"ddd"))</f>
        <v/>
      </c>
      <c r="MM3" s="165">
        <f>UPPER(TEXT(MM4,"ddd"))</f>
        <v/>
      </c>
      <c r="MN3" s="165">
        <f>UPPER(TEXT(MN4,"ddd"))</f>
        <v/>
      </c>
      <c r="MO3" s="165">
        <f>UPPER(TEXT(MO4,"ddd"))</f>
        <v/>
      </c>
      <c r="MP3" s="165">
        <f>UPPER(TEXT(MP4,"ddd"))</f>
        <v/>
      </c>
      <c r="MQ3" s="165">
        <f>UPPER(TEXT(MQ4,"ddd"))</f>
        <v/>
      </c>
      <c r="MR3" s="165">
        <f>UPPER(TEXT(MR4,"ddd"))</f>
        <v/>
      </c>
      <c r="MS3" s="165">
        <f>UPPER(TEXT(MS4,"ddd"))</f>
        <v/>
      </c>
      <c r="MT3" s="165">
        <f>UPPER(TEXT(MT4,"ddd"))</f>
        <v/>
      </c>
      <c r="MU3" s="165">
        <f>UPPER(TEXT(MU4,"ddd"))</f>
        <v/>
      </c>
      <c r="MV3" s="165">
        <f>UPPER(TEXT(MV4,"ddd"))</f>
        <v/>
      </c>
      <c r="MW3" s="165">
        <f>UPPER(TEXT(MW4,"ddd"))</f>
        <v/>
      </c>
      <c r="MX3" s="165">
        <f>UPPER(TEXT(MX4,"ddd"))</f>
        <v/>
      </c>
      <c r="MY3" s="165">
        <f>UPPER(TEXT(MY4,"ddd"))</f>
        <v/>
      </c>
      <c r="MZ3" s="165">
        <f>UPPER(TEXT(MZ4,"ddd"))</f>
        <v/>
      </c>
      <c r="NA3" s="165">
        <f>UPPER(TEXT(NA4,"ddd"))</f>
        <v/>
      </c>
      <c r="NB3" s="165">
        <f>UPPER(TEXT(NB4,"ddd"))</f>
        <v/>
      </c>
      <c r="NC3" s="165">
        <f>UPPER(TEXT(NC4,"ddd"))</f>
        <v/>
      </c>
      <c r="ND3" s="165">
        <f>UPPER(TEXT(ND4,"ddd"))</f>
        <v/>
      </c>
      <c r="NE3" s="165">
        <f>UPPER(TEXT(NE4,"ddd"))</f>
        <v/>
      </c>
      <c r="NF3" s="165">
        <f>UPPER(TEXT(NF4,"ddd"))</f>
        <v/>
      </c>
      <c r="NG3" s="165">
        <f>UPPER(TEXT(NG4,"ddd"))</f>
        <v/>
      </c>
      <c r="NH3" s="165">
        <f>UPPER(TEXT(NH4,"ddd"))</f>
        <v/>
      </c>
      <c r="NI3" s="165">
        <f>UPPER(TEXT(NI4,"ddd"))</f>
        <v/>
      </c>
      <c r="NJ3" s="165">
        <f>UPPER(TEXT(NJ4,"ddd"))</f>
        <v/>
      </c>
      <c r="NK3" s="165">
        <f>UPPER(TEXT(NK4,"ddd"))</f>
        <v/>
      </c>
      <c r="NL3" s="165">
        <f>UPPER(TEXT(NL4,"ddd"))</f>
        <v/>
      </c>
      <c r="NM3" s="165">
        <f>UPPER(TEXT(NM4,"ddd"))</f>
        <v/>
      </c>
      <c r="NN3" s="165">
        <f>UPPER(TEXT(NN4,"ddd"))</f>
        <v/>
      </c>
      <c r="NO3" s="165">
        <f>UPPER(TEXT(NO4,"ddd"))</f>
        <v/>
      </c>
      <c r="NP3" s="165">
        <f>UPPER(TEXT(NP4,"ddd"))</f>
        <v/>
      </c>
      <c r="NQ3" s="165">
        <f>UPPER(TEXT(NQ4,"ddd"))</f>
        <v/>
      </c>
      <c r="NR3" s="165">
        <f>UPPER(TEXT(NR4,"ddd"))</f>
        <v/>
      </c>
      <c r="NS3" s="165">
        <f>UPPER(TEXT(NS4,"ddd"))</f>
        <v/>
      </c>
      <c r="NT3" s="165">
        <f>UPPER(TEXT(NT4,"ddd"))</f>
        <v/>
      </c>
      <c r="NU3" s="165">
        <f>UPPER(TEXT(NU4,"ddd"))</f>
        <v/>
      </c>
      <c r="NV3" s="165">
        <f>UPPER(TEXT(NV4,"ddd"))</f>
        <v/>
      </c>
      <c r="NW3" s="165">
        <f>UPPER(TEXT(NW4,"ddd"))</f>
        <v/>
      </c>
      <c r="NX3" s="165">
        <f>UPPER(TEXT(NX4,"ddd"))</f>
        <v/>
      </c>
      <c r="NY3" s="165">
        <f>UPPER(TEXT(NY4,"ddd"))</f>
        <v/>
      </c>
      <c r="NZ3" s="165">
        <f>UPPER(TEXT(NZ4,"ddd"))</f>
        <v/>
      </c>
      <c r="OA3" s="165">
        <f>UPPER(TEXT(OA4,"ddd"))</f>
        <v/>
      </c>
      <c r="OB3" s="165">
        <f>UPPER(TEXT(OB4,"ddd"))</f>
        <v/>
      </c>
      <c r="OC3" s="165">
        <f>UPPER(TEXT(OC4,"ddd"))</f>
        <v/>
      </c>
      <c r="OD3" s="165">
        <f>UPPER(TEXT(OD4,"ddd"))</f>
        <v/>
      </c>
      <c r="OE3" s="165">
        <f>UPPER(TEXT(OE4,"ddd"))</f>
        <v/>
      </c>
      <c r="OF3" s="165">
        <f>UPPER(TEXT(OF4,"ddd"))</f>
        <v/>
      </c>
      <c r="OG3" s="165">
        <f>UPPER(TEXT(OG4,"ddd"))</f>
        <v/>
      </c>
      <c r="OH3" s="165">
        <f>UPPER(TEXT(OH4,"ddd"))</f>
        <v/>
      </c>
      <c r="OI3" s="165">
        <f>UPPER(TEXT(OI4,"ddd"))</f>
        <v/>
      </c>
      <c r="OJ3" s="165">
        <f>UPPER(TEXT(OJ4,"ddd"))</f>
        <v/>
      </c>
      <c r="OK3" s="165">
        <f>UPPER(TEXT(OK4,"ddd"))</f>
        <v/>
      </c>
      <c r="OL3" s="165">
        <f>UPPER(TEXT(OL4,"ddd"))</f>
        <v/>
      </c>
      <c r="OM3" s="165">
        <f>UPPER(TEXT(OM4,"ddd"))</f>
        <v/>
      </c>
      <c r="ON3" s="165">
        <f>UPPER(TEXT(ON4,"ddd"))</f>
        <v/>
      </c>
      <c r="OO3" s="165">
        <f>UPPER(TEXT(OO4,"ddd"))</f>
        <v/>
      </c>
      <c r="OP3" s="165">
        <f>UPPER(TEXT(OP4,"ddd"))</f>
        <v/>
      </c>
      <c r="OQ3" s="165">
        <f>UPPER(TEXT(OQ4,"ddd"))</f>
        <v/>
      </c>
      <c r="OR3" s="165">
        <f>UPPER(TEXT(OR4,"ddd"))</f>
        <v/>
      </c>
      <c r="OS3" s="165">
        <f>UPPER(TEXT(OS4,"ddd"))</f>
        <v/>
      </c>
      <c r="OT3" s="165">
        <f>UPPER(TEXT(OT4,"ddd"))</f>
        <v/>
      </c>
      <c r="OU3" s="165">
        <f>UPPER(TEXT(OU4,"ddd"))</f>
        <v/>
      </c>
      <c r="OV3" s="165">
        <f>UPPER(TEXT(OV4,"ddd"))</f>
        <v/>
      </c>
      <c r="OW3" s="165">
        <f>UPPER(TEXT(OW4,"ddd"))</f>
        <v/>
      </c>
      <c r="OX3" s="165">
        <f>UPPER(TEXT(OX4,"ddd"))</f>
        <v/>
      </c>
      <c r="OY3" s="165">
        <f>UPPER(TEXT(OY4,"ddd"))</f>
        <v/>
      </c>
      <c r="OZ3" s="165">
        <f>UPPER(TEXT(OZ4,"ddd"))</f>
        <v/>
      </c>
      <c r="PA3" s="165">
        <f>UPPER(TEXT(PA4,"ddd"))</f>
        <v/>
      </c>
      <c r="PB3" s="165">
        <f>UPPER(TEXT(PB4,"ddd"))</f>
        <v/>
      </c>
      <c r="PC3" s="165">
        <f>UPPER(TEXT(PC4,"ddd"))</f>
        <v/>
      </c>
      <c r="PD3" s="165">
        <f>UPPER(TEXT(PD4,"ddd"))</f>
        <v/>
      </c>
      <c r="PE3" s="165">
        <f>UPPER(TEXT(PE4,"ddd"))</f>
        <v/>
      </c>
      <c r="PF3" s="165">
        <f>UPPER(TEXT(PF4,"ddd"))</f>
        <v/>
      </c>
      <c r="PG3" s="165">
        <f>UPPER(TEXT(PG4,"ddd"))</f>
        <v/>
      </c>
      <c r="PH3" s="165">
        <f>UPPER(TEXT(PH4,"ddd"))</f>
        <v/>
      </c>
      <c r="PI3" s="165">
        <f>UPPER(TEXT(PI4,"ddd"))</f>
        <v/>
      </c>
      <c r="PJ3" s="165">
        <f>UPPER(TEXT(PJ4,"ddd"))</f>
        <v/>
      </c>
      <c r="PK3" s="165">
        <f>UPPER(TEXT(PK4,"ddd"))</f>
        <v/>
      </c>
      <c r="PL3" s="165">
        <f>UPPER(TEXT(PL4,"ddd"))</f>
        <v/>
      </c>
      <c r="PM3" s="165">
        <f>UPPER(TEXT(PM4,"ddd"))</f>
        <v/>
      </c>
      <c r="PN3" s="165">
        <f>UPPER(TEXT(PN4,"ddd"))</f>
        <v/>
      </c>
      <c r="PO3" s="165">
        <f>UPPER(TEXT(PO4,"ddd"))</f>
        <v/>
      </c>
      <c r="PP3" s="165">
        <f>UPPER(TEXT(PP4,"ddd"))</f>
        <v/>
      </c>
      <c r="PQ3" s="165">
        <f>UPPER(TEXT(PQ4,"ddd"))</f>
        <v/>
      </c>
      <c r="PR3" s="165">
        <f>UPPER(TEXT(PR4,"ddd"))</f>
        <v/>
      </c>
      <c r="PS3" s="165">
        <f>UPPER(TEXT(PS4,"ddd"))</f>
        <v/>
      </c>
      <c r="PT3" s="165">
        <f>UPPER(TEXT(PT4,"ddd"))</f>
        <v/>
      </c>
      <c r="PU3" s="165">
        <f>UPPER(TEXT(PU4,"ddd"))</f>
        <v/>
      </c>
      <c r="PV3" s="165">
        <f>UPPER(TEXT(PV4,"ddd"))</f>
        <v/>
      </c>
      <c r="PW3" s="165">
        <f>UPPER(TEXT(PW4,"ddd"))</f>
        <v/>
      </c>
      <c r="PX3" s="165">
        <f>UPPER(TEXT(PX4,"ddd"))</f>
        <v/>
      </c>
      <c r="PY3" s="165">
        <f>UPPER(TEXT(PY4,"ddd"))</f>
        <v/>
      </c>
      <c r="PZ3" s="165">
        <f>UPPER(TEXT(PZ4,"ddd"))</f>
        <v/>
      </c>
      <c r="QA3" s="165">
        <f>UPPER(TEXT(QA4,"ddd"))</f>
        <v/>
      </c>
      <c r="QB3" s="165">
        <f>UPPER(TEXT(QB4,"ddd"))</f>
        <v/>
      </c>
      <c r="QC3" s="165">
        <f>UPPER(TEXT(QC4,"ddd"))</f>
        <v/>
      </c>
      <c r="QD3" s="165">
        <f>UPPER(TEXT(QD4,"ddd"))</f>
        <v/>
      </c>
      <c r="QE3" s="165">
        <f>UPPER(TEXT(QE4,"ddd"))</f>
        <v/>
      </c>
      <c r="QF3" s="165">
        <f>UPPER(TEXT(QF4,"ddd"))</f>
        <v/>
      </c>
      <c r="QG3" s="165">
        <f>UPPER(TEXT(QG4,"ddd"))</f>
        <v/>
      </c>
      <c r="QH3" s="165">
        <f>UPPER(TEXT(QH4,"ddd"))</f>
        <v/>
      </c>
      <c r="QI3" s="165">
        <f>UPPER(TEXT(QI4,"ddd"))</f>
        <v/>
      </c>
      <c r="QJ3" s="165">
        <f>UPPER(TEXT(QJ4,"ddd"))</f>
        <v/>
      </c>
      <c r="QK3" s="165">
        <f>UPPER(TEXT(QK4,"ddd"))</f>
        <v/>
      </c>
      <c r="QL3" s="165">
        <f>UPPER(TEXT(QL4,"ddd"))</f>
        <v/>
      </c>
      <c r="QM3" s="165">
        <f>UPPER(TEXT(QM4,"ddd"))</f>
        <v/>
      </c>
      <c r="QN3" s="165">
        <f>UPPER(TEXT(QN4,"ddd"))</f>
        <v/>
      </c>
      <c r="QO3" s="165">
        <f>UPPER(TEXT(QO4,"ddd"))</f>
        <v/>
      </c>
      <c r="QP3" s="165">
        <f>UPPER(TEXT(QP4,"ddd"))</f>
        <v/>
      </c>
      <c r="QQ3" s="165">
        <f>UPPER(TEXT(QQ4,"ddd"))</f>
        <v/>
      </c>
      <c r="QR3" s="165">
        <f>UPPER(TEXT(QR4,"ddd"))</f>
        <v/>
      </c>
      <c r="QS3" s="165">
        <f>UPPER(TEXT(QS4,"ddd"))</f>
        <v/>
      </c>
      <c r="QT3" s="165">
        <f>UPPER(TEXT(QT4,"ddd"))</f>
        <v/>
      </c>
      <c r="QU3" s="165">
        <f>UPPER(TEXT(QU4,"ddd"))</f>
        <v/>
      </c>
      <c r="QV3" s="165">
        <f>UPPER(TEXT(QV4,"ddd"))</f>
        <v/>
      </c>
      <c r="QW3" s="165">
        <f>UPPER(TEXT(QW4,"ddd"))</f>
        <v/>
      </c>
      <c r="QX3" s="165">
        <f>UPPER(TEXT(QX4,"ddd"))</f>
        <v/>
      </c>
      <c r="QY3" s="165">
        <f>UPPER(TEXT(QY4,"ddd"))</f>
        <v/>
      </c>
      <c r="QZ3" s="165">
        <f>UPPER(TEXT(QZ4,"ddd"))</f>
        <v/>
      </c>
      <c r="RA3" s="165">
        <f>UPPER(TEXT(RA4,"ddd"))</f>
        <v/>
      </c>
      <c r="RB3" s="165">
        <f>UPPER(TEXT(RB4,"ddd"))</f>
        <v/>
      </c>
      <c r="RC3" s="165">
        <f>UPPER(TEXT(RC4,"ddd"))</f>
        <v/>
      </c>
      <c r="RD3" s="165">
        <f>UPPER(TEXT(RD4,"ddd"))</f>
        <v/>
      </c>
      <c r="RE3" s="165">
        <f>UPPER(TEXT(RE4,"ddd"))</f>
        <v/>
      </c>
      <c r="RF3" s="165">
        <f>UPPER(TEXT(RF4,"ddd"))</f>
        <v/>
      </c>
      <c r="RG3" s="165">
        <f>UPPER(TEXT(RG4,"ddd"))</f>
        <v/>
      </c>
      <c r="RH3" s="165">
        <f>UPPER(TEXT(RH4,"ddd"))</f>
        <v/>
      </c>
      <c r="RI3" s="165">
        <f>UPPER(TEXT(RI4,"ddd"))</f>
        <v/>
      </c>
      <c r="RJ3" s="165">
        <f>UPPER(TEXT(RJ4,"ddd"))</f>
        <v/>
      </c>
      <c r="RK3" s="165">
        <f>UPPER(TEXT(RK4,"ddd"))</f>
        <v/>
      </c>
      <c r="RL3" s="165">
        <f>UPPER(TEXT(RL4,"ddd"))</f>
        <v/>
      </c>
      <c r="RM3" s="165">
        <f>UPPER(TEXT(RM4,"ddd"))</f>
        <v/>
      </c>
      <c r="RN3" s="165">
        <f>UPPER(TEXT(RN4,"ddd"))</f>
        <v/>
      </c>
      <c r="RO3" s="165">
        <f>UPPER(TEXT(RO4,"ddd"))</f>
        <v/>
      </c>
      <c r="RP3" s="165">
        <f>UPPER(TEXT(RP4,"ddd"))</f>
        <v/>
      </c>
      <c r="RQ3" s="165">
        <f>UPPER(TEXT(RQ4,"ddd"))</f>
        <v/>
      </c>
      <c r="RR3" s="165">
        <f>UPPER(TEXT(RR4,"ddd"))</f>
        <v/>
      </c>
      <c r="RS3" s="165">
        <f>UPPER(TEXT(RS4,"ddd"))</f>
        <v/>
      </c>
      <c r="RT3" s="165">
        <f>UPPER(TEXT(RT4,"ddd"))</f>
        <v/>
      </c>
      <c r="RU3" s="165">
        <f>UPPER(TEXT(RU4,"ddd"))</f>
        <v/>
      </c>
      <c r="RV3" s="165">
        <f>UPPER(TEXT(RV4,"ddd"))</f>
        <v/>
      </c>
      <c r="RW3" s="165">
        <f>UPPER(TEXT(RW4,"ddd"))</f>
        <v/>
      </c>
      <c r="RX3" s="165">
        <f>UPPER(TEXT(RX4,"ddd"))</f>
        <v/>
      </c>
      <c r="RY3" s="165">
        <f>UPPER(TEXT(RY4,"ddd"))</f>
        <v/>
      </c>
      <c r="RZ3" s="165">
        <f>UPPER(TEXT(RZ4,"ddd"))</f>
        <v/>
      </c>
      <c r="SA3" s="165">
        <f>UPPER(TEXT(SA4,"ddd"))</f>
        <v/>
      </c>
      <c r="SB3" s="165">
        <f>UPPER(TEXT(SB4,"ddd"))</f>
        <v/>
      </c>
      <c r="SC3" s="165">
        <f>UPPER(TEXT(SC4,"ddd"))</f>
        <v/>
      </c>
      <c r="SD3" s="165">
        <f>UPPER(TEXT(SD4,"ddd"))</f>
        <v/>
      </c>
      <c r="SE3" s="165">
        <f>UPPER(TEXT(SE4,"ddd"))</f>
        <v/>
      </c>
      <c r="SF3" s="165">
        <f>UPPER(TEXT(SF4,"ddd"))</f>
        <v/>
      </c>
      <c r="SG3" s="165">
        <f>UPPER(TEXT(SG4,"ddd"))</f>
        <v/>
      </c>
      <c r="SH3" s="165">
        <f>UPPER(TEXT(SH4,"ddd"))</f>
        <v/>
      </c>
      <c r="SI3" s="165">
        <f>UPPER(TEXT(SI4,"ddd"))</f>
        <v/>
      </c>
      <c r="SJ3" s="165">
        <f>UPPER(TEXT(SJ4,"ddd"))</f>
        <v/>
      </c>
      <c r="SK3" s="165">
        <f>UPPER(TEXT(SK4,"ddd"))</f>
        <v/>
      </c>
      <c r="SL3" s="165">
        <f>UPPER(TEXT(SL4,"ddd"))</f>
        <v/>
      </c>
      <c r="SM3" s="165">
        <f>UPPER(TEXT(SM4,"ddd"))</f>
        <v/>
      </c>
      <c r="SN3" s="165">
        <f>UPPER(TEXT(SN4,"ddd"))</f>
        <v/>
      </c>
      <c r="SO3" s="165">
        <f>UPPER(TEXT(SO4,"ddd"))</f>
        <v/>
      </c>
      <c r="SP3" s="165">
        <f>UPPER(TEXT(SP4,"ddd"))</f>
        <v/>
      </c>
      <c r="SQ3" s="165">
        <f>UPPER(TEXT(SQ4,"ddd"))</f>
        <v/>
      </c>
      <c r="SR3" s="165">
        <f>UPPER(TEXT(SR4,"ddd"))</f>
        <v/>
      </c>
      <c r="SS3" s="165">
        <f>UPPER(TEXT(SS4,"ddd"))</f>
        <v/>
      </c>
      <c r="ST3" s="165">
        <f>UPPER(TEXT(ST4,"ddd"))</f>
        <v/>
      </c>
      <c r="SU3" s="165">
        <f>UPPER(TEXT(SU4,"ddd"))</f>
        <v/>
      </c>
      <c r="SV3" s="165">
        <f>UPPER(TEXT(SV4,"ddd"))</f>
        <v/>
      </c>
    </row>
    <row r="4" ht="42" customHeight="1" s="53">
      <c r="B4" s="125" t="inlineStr">
        <is>
          <t>No</t>
        </is>
      </c>
      <c r="C4" s="125" t="inlineStr">
        <is>
          <t>Company</t>
        </is>
      </c>
      <c r="D4" s="125" t="inlineStr">
        <is>
          <t>First</t>
        </is>
      </c>
      <c r="E4" s="125" t="inlineStr">
        <is>
          <t>Last</t>
        </is>
      </c>
      <c r="F4" s="125" t="inlineStr">
        <is>
          <t>Full Name</t>
        </is>
      </c>
      <c r="G4" s="125" t="inlineStr">
        <is>
          <t>POH</t>
        </is>
      </c>
      <c r="H4" s="125" t="inlineStr">
        <is>
          <t>Role</t>
        </is>
      </c>
      <c r="I4" s="125" t="inlineStr">
        <is>
          <t>Profile on ERMS</t>
        </is>
      </c>
      <c r="J4" s="125" t="inlineStr">
        <is>
          <t>ERMS Profile Active</t>
        </is>
      </c>
      <c r="K4" s="125" t="inlineStr">
        <is>
          <t>LMS Inductions</t>
        </is>
      </c>
      <c r="L4" s="125" t="inlineStr">
        <is>
          <t>Site Access</t>
        </is>
      </c>
      <c r="M4" s="125" t="inlineStr">
        <is>
          <t>Quals Status</t>
        </is>
      </c>
      <c r="N4" s="125" t="inlineStr">
        <is>
          <t>Email address</t>
        </is>
      </c>
      <c r="O4" s="125" t="inlineStr">
        <is>
          <t>Mobile</t>
        </is>
      </c>
      <c r="P4" s="125" t="inlineStr">
        <is>
          <t>BHP ID</t>
        </is>
      </c>
      <c r="Q4" s="125" t="inlineStr">
        <is>
          <t>ERMS No.</t>
        </is>
      </c>
      <c r="R4" s="125" t="inlineStr">
        <is>
          <t>Roster</t>
        </is>
      </c>
      <c r="S4" s="205" t="n">
        <v>46255</v>
      </c>
      <c r="T4" s="206">
        <f>S4+1</f>
        <v/>
      </c>
      <c r="U4" s="206">
        <f>T4+1</f>
        <v/>
      </c>
      <c r="V4" s="206">
        <f>U4+1</f>
        <v/>
      </c>
      <c r="W4" s="206">
        <f>V4+1</f>
        <v/>
      </c>
      <c r="X4" s="206">
        <f>W4+1</f>
        <v/>
      </c>
      <c r="Y4" s="206">
        <f>X4+1</f>
        <v/>
      </c>
      <c r="Z4" s="206">
        <f>Y4+1</f>
        <v/>
      </c>
      <c r="AA4" s="206">
        <f>Z4+1</f>
        <v/>
      </c>
      <c r="AB4" s="206">
        <f>AA4+1</f>
        <v/>
      </c>
      <c r="AC4" s="206">
        <f>AB4+1</f>
        <v/>
      </c>
      <c r="AD4" s="206">
        <f>AC4+1</f>
        <v/>
      </c>
      <c r="AE4" s="206">
        <f>AD4+1</f>
        <v/>
      </c>
      <c r="AF4" s="206">
        <f>AE4+1</f>
        <v/>
      </c>
      <c r="AG4" s="206">
        <f>AF4+1</f>
        <v/>
      </c>
      <c r="AH4" s="206">
        <f>AG4+1</f>
        <v/>
      </c>
      <c r="AI4" s="206">
        <f>AH4+1</f>
        <v/>
      </c>
      <c r="AJ4" s="206">
        <f>AI4+1</f>
        <v/>
      </c>
      <c r="AK4" s="206">
        <f>AJ4+1</f>
        <v/>
      </c>
      <c r="AL4" s="206">
        <f>AK4+1</f>
        <v/>
      </c>
      <c r="AM4" s="206">
        <f>AL4+1</f>
        <v/>
      </c>
      <c r="AN4" s="206">
        <f>AM4+1</f>
        <v/>
      </c>
      <c r="AO4" s="206">
        <f>AN4+1</f>
        <v/>
      </c>
      <c r="AP4" s="206">
        <f>AO4+1</f>
        <v/>
      </c>
      <c r="AQ4" s="206">
        <f>AP4+1</f>
        <v/>
      </c>
      <c r="AR4" s="206">
        <f>AQ4+1</f>
        <v/>
      </c>
      <c r="AS4" s="206">
        <f>AR4+1</f>
        <v/>
      </c>
      <c r="AT4" s="206">
        <f>AS4+1</f>
        <v/>
      </c>
      <c r="AU4" s="206">
        <f>AT4+1</f>
        <v/>
      </c>
      <c r="AV4" s="206">
        <f>AU4+1</f>
        <v/>
      </c>
      <c r="AW4" s="206">
        <f>AV4+1</f>
        <v/>
      </c>
      <c r="AX4" s="206">
        <f>AW4+1</f>
        <v/>
      </c>
      <c r="AY4" s="206">
        <f>AX4+1</f>
        <v/>
      </c>
      <c r="AZ4" s="206">
        <f>AY4+1</f>
        <v/>
      </c>
      <c r="BA4" s="206">
        <f>AZ4+1</f>
        <v/>
      </c>
      <c r="BB4" s="206">
        <f>BA4+1</f>
        <v/>
      </c>
      <c r="BC4" s="206">
        <f>BB4+1</f>
        <v/>
      </c>
      <c r="BD4" s="206">
        <f>BC4+1</f>
        <v/>
      </c>
      <c r="BE4" s="206">
        <f>BD4+1</f>
        <v/>
      </c>
      <c r="BF4" s="206">
        <f>BE4+1</f>
        <v/>
      </c>
      <c r="BG4" s="206">
        <f>BF4+1</f>
        <v/>
      </c>
      <c r="BH4" s="206">
        <f>BG4+1</f>
        <v/>
      </c>
      <c r="BI4" s="206">
        <f>BH4+1</f>
        <v/>
      </c>
      <c r="BJ4" s="206">
        <f>BI4+1</f>
        <v/>
      </c>
      <c r="BK4" s="206">
        <f>BJ4+1</f>
        <v/>
      </c>
      <c r="BL4" s="206">
        <f>BK4+1</f>
        <v/>
      </c>
      <c r="BM4" s="206">
        <f>BL4+1</f>
        <v/>
      </c>
      <c r="BN4" s="206">
        <f>BM4+1</f>
        <v/>
      </c>
      <c r="BO4" s="206">
        <f>BN4+1</f>
        <v/>
      </c>
      <c r="BP4" s="206">
        <f>BO4+1</f>
        <v/>
      </c>
      <c r="BQ4" s="206">
        <f>BP4+1</f>
        <v/>
      </c>
      <c r="BR4" s="206">
        <f>BQ4+1</f>
        <v/>
      </c>
      <c r="BS4" s="206">
        <f>BR4+1</f>
        <v/>
      </c>
      <c r="BT4" s="206">
        <f>BS4+1</f>
        <v/>
      </c>
      <c r="BU4" s="206">
        <f>BT4+1</f>
        <v/>
      </c>
      <c r="BV4" s="206">
        <f>BU4+1</f>
        <v/>
      </c>
      <c r="BW4" s="206">
        <f>BV4+1</f>
        <v/>
      </c>
      <c r="BX4" s="206">
        <f>BW4+1</f>
        <v/>
      </c>
      <c r="BY4" s="206">
        <f>BX4+1</f>
        <v/>
      </c>
      <c r="BZ4" s="206">
        <f>BY4+1</f>
        <v/>
      </c>
      <c r="CA4" s="206">
        <f>BZ4+1</f>
        <v/>
      </c>
      <c r="CB4" s="206">
        <f>CA4+1</f>
        <v/>
      </c>
      <c r="CC4" s="206">
        <f>CB4+1</f>
        <v/>
      </c>
      <c r="CD4" s="206">
        <f>CC4+1</f>
        <v/>
      </c>
      <c r="CE4" s="206">
        <f>CD4+1</f>
        <v/>
      </c>
      <c r="CF4" s="206">
        <f>CE4+1</f>
        <v/>
      </c>
      <c r="CG4" s="206">
        <f>CF4+1</f>
        <v/>
      </c>
      <c r="CH4" s="206">
        <f>CG4+1</f>
        <v/>
      </c>
      <c r="CI4" s="206">
        <f>CH4+1</f>
        <v/>
      </c>
      <c r="CJ4" s="206">
        <f>CI4+1</f>
        <v/>
      </c>
      <c r="CK4" s="206">
        <f>CJ4+1</f>
        <v/>
      </c>
      <c r="CL4" s="206">
        <f>CK4+1</f>
        <v/>
      </c>
      <c r="CM4" s="206">
        <f>CL4+1</f>
        <v/>
      </c>
      <c r="CN4" s="206">
        <f>CM4+1</f>
        <v/>
      </c>
      <c r="CO4" s="206">
        <f>CN4+1</f>
        <v/>
      </c>
      <c r="CP4" s="206">
        <f>CO4+1</f>
        <v/>
      </c>
      <c r="CQ4" s="206">
        <f>CP4+1</f>
        <v/>
      </c>
      <c r="CR4" s="206">
        <f>CQ4+1</f>
        <v/>
      </c>
      <c r="CS4" s="206">
        <f>CR4+1</f>
        <v/>
      </c>
      <c r="CT4" s="206">
        <f>CS4+1</f>
        <v/>
      </c>
      <c r="CU4" s="206">
        <f>CT4+1</f>
        <v/>
      </c>
      <c r="CV4" s="206">
        <f>CU4+1</f>
        <v/>
      </c>
      <c r="CW4" s="206">
        <f>CV4+1</f>
        <v/>
      </c>
      <c r="CX4" s="206">
        <f>CW4+1</f>
        <v/>
      </c>
      <c r="CY4" s="206">
        <f>CX4+1</f>
        <v/>
      </c>
      <c r="CZ4" s="206">
        <f>CY4+1</f>
        <v/>
      </c>
      <c r="DA4" s="206">
        <f>CZ4+1</f>
        <v/>
      </c>
      <c r="DB4" s="206">
        <f>DA4+1</f>
        <v/>
      </c>
      <c r="DC4" s="206">
        <f>DB4+1</f>
        <v/>
      </c>
      <c r="DD4" s="206">
        <f>DC4+1</f>
        <v/>
      </c>
      <c r="DE4" s="206">
        <f>DD4+1</f>
        <v/>
      </c>
      <c r="DF4" s="206">
        <f>DE4+1</f>
        <v/>
      </c>
      <c r="DG4" s="206">
        <f>DF4+1</f>
        <v/>
      </c>
      <c r="DH4" s="206">
        <f>DG4+1</f>
        <v/>
      </c>
      <c r="DI4" s="206">
        <f>DH4+1</f>
        <v/>
      </c>
      <c r="DJ4" s="206">
        <f>DI4+1</f>
        <v/>
      </c>
      <c r="DK4" s="206">
        <f>DJ4+1</f>
        <v/>
      </c>
      <c r="DL4" s="206">
        <f>DK4+1</f>
        <v/>
      </c>
      <c r="DM4" s="206">
        <f>DL4+1</f>
        <v/>
      </c>
      <c r="DN4" s="206">
        <f>DM4+1</f>
        <v/>
      </c>
      <c r="DO4" s="206">
        <f>DN4+1</f>
        <v/>
      </c>
      <c r="DP4" s="206">
        <f>DO4+1</f>
        <v/>
      </c>
      <c r="DQ4" s="206">
        <f>DP4+1</f>
        <v/>
      </c>
      <c r="DR4" s="206">
        <f>DQ4+1</f>
        <v/>
      </c>
      <c r="DS4" s="206">
        <f>DR4+1</f>
        <v/>
      </c>
      <c r="DT4" s="206">
        <f>DS4+1</f>
        <v/>
      </c>
      <c r="DU4" s="206">
        <f>DT4+1</f>
        <v/>
      </c>
      <c r="DV4" s="206">
        <f>DU4+1</f>
        <v/>
      </c>
      <c r="DW4" s="206">
        <f>DV4+1</f>
        <v/>
      </c>
      <c r="DX4" s="206">
        <f>DW4+1</f>
        <v/>
      </c>
      <c r="DY4" s="206">
        <f>DX4+1</f>
        <v/>
      </c>
      <c r="DZ4" s="206">
        <f>DY4+1</f>
        <v/>
      </c>
      <c r="EA4" s="206">
        <f>DZ4+1</f>
        <v/>
      </c>
      <c r="EB4" s="206">
        <f>EA4+1</f>
        <v/>
      </c>
      <c r="EC4" s="206">
        <f>EB4+1</f>
        <v/>
      </c>
      <c r="ED4" s="206">
        <f>EC4+1</f>
        <v/>
      </c>
      <c r="EE4" s="206">
        <f>ED4+1</f>
        <v/>
      </c>
      <c r="EF4" s="206">
        <f>EE4+1</f>
        <v/>
      </c>
      <c r="EG4" s="206">
        <f>EF4+1</f>
        <v/>
      </c>
      <c r="EH4" s="206">
        <f>EG4+1</f>
        <v/>
      </c>
      <c r="EI4" s="206">
        <f>EH4+1</f>
        <v/>
      </c>
      <c r="EJ4" s="206">
        <f>EI4+1</f>
        <v/>
      </c>
      <c r="EK4" s="206">
        <f>EJ4+1</f>
        <v/>
      </c>
      <c r="EL4" s="206">
        <f>EK4+1</f>
        <v/>
      </c>
      <c r="EM4" s="206">
        <f>EL4+1</f>
        <v/>
      </c>
      <c r="EN4" s="206">
        <f>EM4+1</f>
        <v/>
      </c>
      <c r="EO4" s="206">
        <f>EN4+1</f>
        <v/>
      </c>
      <c r="EP4" s="206">
        <f>EO4+1</f>
        <v/>
      </c>
      <c r="EQ4" s="206">
        <f>EP4+1</f>
        <v/>
      </c>
      <c r="ER4" s="206">
        <f>EQ4+1</f>
        <v/>
      </c>
      <c r="ES4" s="206">
        <f>ER4+1</f>
        <v/>
      </c>
      <c r="ET4" s="206">
        <f>ES4+1</f>
        <v/>
      </c>
      <c r="EU4" s="206">
        <f>ET4+1</f>
        <v/>
      </c>
      <c r="EV4" s="206">
        <f>EU4+1</f>
        <v/>
      </c>
      <c r="EW4" s="206">
        <f>EV4+1</f>
        <v/>
      </c>
      <c r="EX4" s="206">
        <f>EW4+1</f>
        <v/>
      </c>
      <c r="EY4" s="206">
        <f>EX4+1</f>
        <v/>
      </c>
      <c r="EZ4" s="206">
        <f>EY4+1</f>
        <v/>
      </c>
      <c r="FA4" s="206">
        <f>EZ4+1</f>
        <v/>
      </c>
      <c r="FB4" s="206">
        <f>FA4+1</f>
        <v/>
      </c>
      <c r="FC4" s="206">
        <f>FB4+1</f>
        <v/>
      </c>
      <c r="FD4" s="206">
        <f>FC4+1</f>
        <v/>
      </c>
      <c r="FE4" s="206">
        <f>FD4+1</f>
        <v/>
      </c>
      <c r="FF4" s="206">
        <f>FE4+1</f>
        <v/>
      </c>
      <c r="FG4" s="206">
        <f>FF4+1</f>
        <v/>
      </c>
      <c r="FH4" s="206">
        <f>FG4+1</f>
        <v/>
      </c>
      <c r="FI4" s="206">
        <f>FH4+1</f>
        <v/>
      </c>
      <c r="FJ4" s="206">
        <f>FI4+1</f>
        <v/>
      </c>
      <c r="FK4" s="206">
        <f>FJ4+1</f>
        <v/>
      </c>
      <c r="FL4" s="206">
        <f>FK4+1</f>
        <v/>
      </c>
      <c r="FM4" s="206">
        <f>FL4+1</f>
        <v/>
      </c>
      <c r="FN4" s="206">
        <f>FM4+1</f>
        <v/>
      </c>
      <c r="FO4" s="206">
        <f>FN4+1</f>
        <v/>
      </c>
      <c r="FP4" s="206">
        <f>FO4+1</f>
        <v/>
      </c>
      <c r="FQ4" s="206">
        <f>FP4+1</f>
        <v/>
      </c>
      <c r="FR4" s="206">
        <f>FQ4+1</f>
        <v/>
      </c>
      <c r="FS4" s="206">
        <f>FR4+1</f>
        <v/>
      </c>
      <c r="FT4" s="206">
        <f>FS4+1</f>
        <v/>
      </c>
      <c r="FU4" s="206">
        <f>FT4+1</f>
        <v/>
      </c>
      <c r="FV4" s="206">
        <f>FU4+1</f>
        <v/>
      </c>
      <c r="FW4" s="206">
        <f>FV4+1</f>
        <v/>
      </c>
      <c r="FX4" s="206">
        <f>FW4+1</f>
        <v/>
      </c>
      <c r="FY4" s="206">
        <f>FX4+1</f>
        <v/>
      </c>
      <c r="FZ4" s="206">
        <f>FY4+1</f>
        <v/>
      </c>
      <c r="GA4" s="206">
        <f>FZ4+1</f>
        <v/>
      </c>
      <c r="GB4" s="206">
        <f>GA4+1</f>
        <v/>
      </c>
      <c r="GC4" s="206">
        <f>GB4+1</f>
        <v/>
      </c>
      <c r="GD4" s="206">
        <f>GC4+1</f>
        <v/>
      </c>
      <c r="GE4" s="206">
        <f>GD4+1</f>
        <v/>
      </c>
      <c r="GF4" s="206">
        <f>GE4+1</f>
        <v/>
      </c>
      <c r="GG4" s="206">
        <f>GF4+1</f>
        <v/>
      </c>
      <c r="GH4" s="206">
        <f>GG4+1</f>
        <v/>
      </c>
      <c r="GI4" s="206">
        <f>GH4+1</f>
        <v/>
      </c>
      <c r="GJ4" s="206">
        <f>GI4+1</f>
        <v/>
      </c>
      <c r="GK4" s="206">
        <f>GJ4+1</f>
        <v/>
      </c>
      <c r="GL4" s="206">
        <f>GK4+1</f>
        <v/>
      </c>
      <c r="GM4" s="206">
        <f>GL4+1</f>
        <v/>
      </c>
      <c r="GN4" s="206">
        <f>GM4+1</f>
        <v/>
      </c>
      <c r="GO4" s="206">
        <f>GN4+1</f>
        <v/>
      </c>
      <c r="GP4" s="206">
        <f>GO4+1</f>
        <v/>
      </c>
      <c r="GQ4" s="206">
        <f>GP4+1</f>
        <v/>
      </c>
      <c r="GR4" s="206">
        <f>GQ4+1</f>
        <v/>
      </c>
      <c r="GS4" s="206">
        <f>GR4+1</f>
        <v/>
      </c>
      <c r="GT4" s="206">
        <f>GS4+1</f>
        <v/>
      </c>
      <c r="GU4" s="206">
        <f>GT4+1</f>
        <v/>
      </c>
      <c r="GV4" s="206">
        <f>GU4+1</f>
        <v/>
      </c>
      <c r="GW4" s="206">
        <f>GV4+1</f>
        <v/>
      </c>
      <c r="GX4" s="206">
        <f>GW4+1</f>
        <v/>
      </c>
      <c r="GY4" s="206">
        <f>GX4+1</f>
        <v/>
      </c>
      <c r="GZ4" s="206">
        <f>GY4+1</f>
        <v/>
      </c>
      <c r="HA4" s="206">
        <f>GZ4+1</f>
        <v/>
      </c>
      <c r="HB4" s="206">
        <f>HA4+1</f>
        <v/>
      </c>
      <c r="HC4" s="206">
        <f>HB4+1</f>
        <v/>
      </c>
      <c r="HD4" s="206">
        <f>HC4+1</f>
        <v/>
      </c>
      <c r="HE4" s="206">
        <f>HD4+1</f>
        <v/>
      </c>
      <c r="HF4" s="206">
        <f>HE4+1</f>
        <v/>
      </c>
      <c r="HG4" s="206">
        <f>HF4+1</f>
        <v/>
      </c>
      <c r="HH4" s="206">
        <f>HG4+1</f>
        <v/>
      </c>
      <c r="HI4" s="206">
        <f>HH4+1</f>
        <v/>
      </c>
      <c r="HJ4" s="206">
        <f>HI4+1</f>
        <v/>
      </c>
      <c r="HK4" s="206">
        <f>HJ4+1</f>
        <v/>
      </c>
      <c r="HL4" s="206">
        <f>HK4+1</f>
        <v/>
      </c>
      <c r="HM4" s="206">
        <f>HL4+1</f>
        <v/>
      </c>
      <c r="HN4" s="206">
        <f>HM4+1</f>
        <v/>
      </c>
      <c r="HO4" s="206">
        <f>HN4+1</f>
        <v/>
      </c>
      <c r="HP4" s="206">
        <f>HO4+1</f>
        <v/>
      </c>
      <c r="HQ4" s="206">
        <f>HP4+1</f>
        <v/>
      </c>
      <c r="HR4" s="206">
        <f>HQ4+1</f>
        <v/>
      </c>
      <c r="HS4" s="206">
        <f>HR4+1</f>
        <v/>
      </c>
      <c r="HT4" s="206">
        <f>HS4+1</f>
        <v/>
      </c>
      <c r="HU4" s="206">
        <f>HT4+1</f>
        <v/>
      </c>
      <c r="HV4" s="206">
        <f>HU4+1</f>
        <v/>
      </c>
      <c r="HW4" s="206">
        <f>HV4+1</f>
        <v/>
      </c>
      <c r="HX4" s="206">
        <f>HW4+1</f>
        <v/>
      </c>
      <c r="HY4" s="206">
        <f>HX4+1</f>
        <v/>
      </c>
      <c r="HZ4" s="206">
        <f>HY4+1</f>
        <v/>
      </c>
      <c r="IA4" s="206">
        <f>HZ4+1</f>
        <v/>
      </c>
      <c r="IB4" s="206">
        <f>IA4+1</f>
        <v/>
      </c>
      <c r="IC4" s="206">
        <f>IB4+1</f>
        <v/>
      </c>
      <c r="ID4" s="206">
        <f>IC4+1</f>
        <v/>
      </c>
      <c r="IE4" s="206">
        <f>ID4+1</f>
        <v/>
      </c>
      <c r="IF4" s="206">
        <f>IE4+1</f>
        <v/>
      </c>
      <c r="IG4" s="206">
        <f>IF4+1</f>
        <v/>
      </c>
      <c r="IH4" s="206">
        <f>IG4+1</f>
        <v/>
      </c>
      <c r="II4" s="206">
        <f>IH4+1</f>
        <v/>
      </c>
      <c r="IJ4" s="206">
        <f>II4+1</f>
        <v/>
      </c>
      <c r="IK4" s="206">
        <f>IJ4+1</f>
        <v/>
      </c>
      <c r="IL4" s="206">
        <f>IK4+1</f>
        <v/>
      </c>
      <c r="IM4" s="206">
        <f>IL4+1</f>
        <v/>
      </c>
      <c r="IN4" s="206">
        <f>IM4+1</f>
        <v/>
      </c>
      <c r="IO4" s="206">
        <f>IN4+1</f>
        <v/>
      </c>
      <c r="IP4" s="206">
        <f>IO4+1</f>
        <v/>
      </c>
      <c r="IQ4" s="206">
        <f>IP4+1</f>
        <v/>
      </c>
      <c r="IR4" s="206">
        <f>IQ4+1</f>
        <v/>
      </c>
      <c r="IS4" s="206">
        <f>IR4+1</f>
        <v/>
      </c>
      <c r="IT4" s="206">
        <f>IS4+1</f>
        <v/>
      </c>
      <c r="IU4" s="206">
        <f>IT4+1</f>
        <v/>
      </c>
      <c r="IV4" s="206">
        <f>IU4+1</f>
        <v/>
      </c>
      <c r="IW4" s="206">
        <f>IV4+1</f>
        <v/>
      </c>
      <c r="IX4" s="206">
        <f>IW4+1</f>
        <v/>
      </c>
      <c r="IY4" s="206">
        <f>IX4+1</f>
        <v/>
      </c>
      <c r="IZ4" s="206">
        <f>IY4+1</f>
        <v/>
      </c>
      <c r="JA4" s="206">
        <f>IZ4+1</f>
        <v/>
      </c>
      <c r="JB4" s="206">
        <f>JA4+1</f>
        <v/>
      </c>
      <c r="JC4" s="206">
        <f>JB4+1</f>
        <v/>
      </c>
      <c r="JD4" s="206">
        <f>JC4+1</f>
        <v/>
      </c>
      <c r="JE4" s="206">
        <f>JD4+1</f>
        <v/>
      </c>
      <c r="JF4" s="206">
        <f>JE4+1</f>
        <v/>
      </c>
      <c r="JG4" s="206">
        <f>JF4+1</f>
        <v/>
      </c>
      <c r="JH4" s="206">
        <f>JG4+1</f>
        <v/>
      </c>
      <c r="JI4" s="206">
        <f>JH4+1</f>
        <v/>
      </c>
      <c r="JJ4" s="206">
        <f>JI4+1</f>
        <v/>
      </c>
      <c r="JK4" s="206">
        <f>JJ4+1</f>
        <v/>
      </c>
      <c r="JL4" s="206">
        <f>JK4+1</f>
        <v/>
      </c>
      <c r="JM4" s="206">
        <f>JL4+1</f>
        <v/>
      </c>
      <c r="JN4" s="206">
        <f>JM4+1</f>
        <v/>
      </c>
      <c r="JO4" s="206">
        <f>JN4+1</f>
        <v/>
      </c>
      <c r="JP4" s="206">
        <f>JO4+1</f>
        <v/>
      </c>
      <c r="JQ4" s="206">
        <f>JP4+1</f>
        <v/>
      </c>
      <c r="JR4" s="206">
        <f>JQ4+1</f>
        <v/>
      </c>
      <c r="JS4" s="206">
        <f>JR4+1</f>
        <v/>
      </c>
      <c r="JT4" s="206">
        <f>JS4+1</f>
        <v/>
      </c>
      <c r="JU4" s="206">
        <f>JT4+1</f>
        <v/>
      </c>
      <c r="JV4" s="206">
        <f>JU4+1</f>
        <v/>
      </c>
      <c r="JW4" s="206">
        <f>JV4+1</f>
        <v/>
      </c>
      <c r="JX4" s="206">
        <f>JW4+1</f>
        <v/>
      </c>
      <c r="JY4" s="206">
        <f>JX4+1</f>
        <v/>
      </c>
      <c r="JZ4" s="206">
        <f>JY4+1</f>
        <v/>
      </c>
      <c r="KA4" s="206">
        <f>JZ4+1</f>
        <v/>
      </c>
      <c r="KB4" s="206">
        <f>KA4+1</f>
        <v/>
      </c>
      <c r="KC4" s="206">
        <f>KB4+1</f>
        <v/>
      </c>
      <c r="KD4" s="206">
        <f>KC4+1</f>
        <v/>
      </c>
      <c r="KE4" s="206">
        <f>KD4+1</f>
        <v/>
      </c>
      <c r="KF4" s="206">
        <f>KE4+1</f>
        <v/>
      </c>
      <c r="KG4" s="206">
        <f>KF4+1</f>
        <v/>
      </c>
      <c r="KH4" s="206">
        <f>KG4+1</f>
        <v/>
      </c>
      <c r="KI4" s="206">
        <f>KH4+1</f>
        <v/>
      </c>
      <c r="KJ4" s="206">
        <f>KI4+1</f>
        <v/>
      </c>
      <c r="KK4" s="206">
        <f>KJ4+1</f>
        <v/>
      </c>
      <c r="KL4" s="206">
        <f>KK4+1</f>
        <v/>
      </c>
      <c r="KM4" s="206">
        <f>KL4+1</f>
        <v/>
      </c>
      <c r="KN4" s="206">
        <f>KM4+1</f>
        <v/>
      </c>
      <c r="KO4" s="206">
        <f>KN4+1</f>
        <v/>
      </c>
      <c r="KP4" s="206">
        <f>KO4+1</f>
        <v/>
      </c>
      <c r="KQ4" s="206">
        <f>KP4+1</f>
        <v/>
      </c>
      <c r="KR4" s="206">
        <f>KQ4+1</f>
        <v/>
      </c>
      <c r="KS4" s="206">
        <f>KR4+1</f>
        <v/>
      </c>
      <c r="KT4" s="206">
        <f>KS4+1</f>
        <v/>
      </c>
      <c r="KU4" s="206">
        <f>KT4+1</f>
        <v/>
      </c>
      <c r="KV4" s="206">
        <f>KU4+1</f>
        <v/>
      </c>
      <c r="KW4" s="206">
        <f>KV4+1</f>
        <v/>
      </c>
      <c r="KX4" s="206">
        <f>KW4+1</f>
        <v/>
      </c>
      <c r="KY4" s="206">
        <f>KX4+1</f>
        <v/>
      </c>
      <c r="KZ4" s="206">
        <f>KY4+1</f>
        <v/>
      </c>
      <c r="LA4" s="206">
        <f>KZ4+1</f>
        <v/>
      </c>
      <c r="LB4" s="206">
        <f>LA4+1</f>
        <v/>
      </c>
      <c r="LC4" s="206">
        <f>LB4+1</f>
        <v/>
      </c>
      <c r="LD4" s="206">
        <f>LC4+1</f>
        <v/>
      </c>
      <c r="LE4" s="206">
        <f>LD4+1</f>
        <v/>
      </c>
      <c r="LF4" s="206">
        <f>LE4+1</f>
        <v/>
      </c>
      <c r="LG4" s="206">
        <f>LF4+1</f>
        <v/>
      </c>
      <c r="LH4" s="206">
        <f>LG4+1</f>
        <v/>
      </c>
      <c r="LI4" s="206">
        <f>LH4+1</f>
        <v/>
      </c>
      <c r="LJ4" s="206">
        <f>LI4+1</f>
        <v/>
      </c>
      <c r="LK4" s="206">
        <f>LJ4+1</f>
        <v/>
      </c>
      <c r="LL4" s="206">
        <f>LK4+1</f>
        <v/>
      </c>
      <c r="LM4" s="206">
        <f>LL4+1</f>
        <v/>
      </c>
      <c r="LN4" s="206">
        <f>LM4+1</f>
        <v/>
      </c>
      <c r="LO4" s="206">
        <f>LN4+1</f>
        <v/>
      </c>
      <c r="LP4" s="206">
        <f>LO4+1</f>
        <v/>
      </c>
      <c r="LQ4" s="206">
        <f>LP4+1</f>
        <v/>
      </c>
      <c r="LR4" s="206">
        <f>LQ4+1</f>
        <v/>
      </c>
      <c r="LS4" s="206">
        <f>LR4+1</f>
        <v/>
      </c>
      <c r="LT4" s="206">
        <f>LS4+1</f>
        <v/>
      </c>
      <c r="LU4" s="206">
        <f>LT4+1</f>
        <v/>
      </c>
      <c r="LV4" s="206">
        <f>LU4+1</f>
        <v/>
      </c>
      <c r="LW4" s="206">
        <f>LV4+1</f>
        <v/>
      </c>
      <c r="LX4" s="206">
        <f>LW4+1</f>
        <v/>
      </c>
      <c r="LY4" s="206">
        <f>LX4+1</f>
        <v/>
      </c>
      <c r="LZ4" s="206">
        <f>LY4+1</f>
        <v/>
      </c>
      <c r="MA4" s="206">
        <f>LZ4+1</f>
        <v/>
      </c>
      <c r="MB4" s="206">
        <f>MA4+1</f>
        <v/>
      </c>
      <c r="MC4" s="206">
        <f>MB4+1</f>
        <v/>
      </c>
      <c r="MD4" s="206">
        <f>MC4+1</f>
        <v/>
      </c>
      <c r="ME4" s="206">
        <f>MD4+1</f>
        <v/>
      </c>
      <c r="MF4" s="206">
        <f>ME4+1</f>
        <v/>
      </c>
      <c r="MG4" s="206">
        <f>MF4+1</f>
        <v/>
      </c>
      <c r="MH4" s="206">
        <f>MG4+1</f>
        <v/>
      </c>
      <c r="MI4" s="206">
        <f>MH4+1</f>
        <v/>
      </c>
      <c r="MJ4" s="206">
        <f>MI4+1</f>
        <v/>
      </c>
      <c r="MK4" s="206">
        <f>MJ4+1</f>
        <v/>
      </c>
      <c r="ML4" s="206">
        <f>MK4+1</f>
        <v/>
      </c>
      <c r="MM4" s="206">
        <f>ML4+1</f>
        <v/>
      </c>
      <c r="MN4" s="206">
        <f>MM4+1</f>
        <v/>
      </c>
      <c r="MO4" s="206">
        <f>MN4+1</f>
        <v/>
      </c>
      <c r="MP4" s="206">
        <f>MO4+1</f>
        <v/>
      </c>
      <c r="MQ4" s="206">
        <f>MP4+1</f>
        <v/>
      </c>
      <c r="MR4" s="206">
        <f>MQ4+1</f>
        <v/>
      </c>
      <c r="MS4" s="206">
        <f>MR4+1</f>
        <v/>
      </c>
      <c r="MT4" s="206">
        <f>MS4+1</f>
        <v/>
      </c>
      <c r="MU4" s="206">
        <f>MT4+1</f>
        <v/>
      </c>
      <c r="MV4" s="206">
        <f>MU4+1</f>
        <v/>
      </c>
      <c r="MW4" s="206">
        <f>MV4+1</f>
        <v/>
      </c>
      <c r="MX4" s="206">
        <f>MW4+1</f>
        <v/>
      </c>
      <c r="MY4" s="206">
        <f>MX4+1</f>
        <v/>
      </c>
      <c r="MZ4" s="206">
        <f>MY4+1</f>
        <v/>
      </c>
      <c r="NA4" s="206">
        <f>MZ4+1</f>
        <v/>
      </c>
      <c r="NB4" s="206">
        <f>NA4+1</f>
        <v/>
      </c>
      <c r="NC4" s="206">
        <f>NB4+1</f>
        <v/>
      </c>
      <c r="ND4" s="206">
        <f>NC4+1</f>
        <v/>
      </c>
      <c r="NE4" s="206">
        <f>ND4+1</f>
        <v/>
      </c>
      <c r="NF4" s="206">
        <f>NE4+1</f>
        <v/>
      </c>
      <c r="NG4" s="206">
        <f>NF4+1</f>
        <v/>
      </c>
      <c r="NH4" s="206">
        <f>NG4+1</f>
        <v/>
      </c>
      <c r="NI4" s="206">
        <f>NH4+1</f>
        <v/>
      </c>
      <c r="NJ4" s="206">
        <f>NI4+1</f>
        <v/>
      </c>
      <c r="NK4" s="206">
        <f>NJ4+1</f>
        <v/>
      </c>
      <c r="NL4" s="206">
        <f>NK4+1</f>
        <v/>
      </c>
      <c r="NM4" s="206">
        <f>NL4+1</f>
        <v/>
      </c>
      <c r="NN4" s="206">
        <f>NM4+1</f>
        <v/>
      </c>
      <c r="NO4" s="206">
        <f>NN4+1</f>
        <v/>
      </c>
      <c r="NP4" s="206">
        <f>NO4+1</f>
        <v/>
      </c>
      <c r="NQ4" s="206">
        <f>NP4+1</f>
        <v/>
      </c>
      <c r="NR4" s="206">
        <f>NQ4+1</f>
        <v/>
      </c>
      <c r="NS4" s="206">
        <f>NR4+1</f>
        <v/>
      </c>
      <c r="NT4" s="206">
        <f>NS4+1</f>
        <v/>
      </c>
      <c r="NU4" s="206">
        <f>NT4+1</f>
        <v/>
      </c>
      <c r="NV4" s="206">
        <f>NU4+1</f>
        <v/>
      </c>
      <c r="NW4" s="206">
        <f>NV4+1</f>
        <v/>
      </c>
      <c r="NX4" s="206">
        <f>NW4+1</f>
        <v/>
      </c>
      <c r="NY4" s="206">
        <f>NX4+1</f>
        <v/>
      </c>
      <c r="NZ4" s="206">
        <f>NY4+1</f>
        <v/>
      </c>
      <c r="OA4" s="206">
        <f>NZ4+1</f>
        <v/>
      </c>
      <c r="OB4" s="206">
        <f>OA4+1</f>
        <v/>
      </c>
      <c r="OC4" s="206">
        <f>OB4+1</f>
        <v/>
      </c>
      <c r="OD4" s="206">
        <f>OC4+1</f>
        <v/>
      </c>
      <c r="OE4" s="206">
        <f>OD4+1</f>
        <v/>
      </c>
      <c r="OF4" s="206">
        <f>OE4+1</f>
        <v/>
      </c>
      <c r="OG4" s="206">
        <f>OF4+1</f>
        <v/>
      </c>
      <c r="OH4" s="206">
        <f>OG4+1</f>
        <v/>
      </c>
      <c r="OI4" s="206">
        <f>OH4+1</f>
        <v/>
      </c>
      <c r="OJ4" s="206">
        <f>OI4+1</f>
        <v/>
      </c>
      <c r="OK4" s="206">
        <f>OJ4+1</f>
        <v/>
      </c>
      <c r="OL4" s="206">
        <f>OK4+1</f>
        <v/>
      </c>
      <c r="OM4" s="206">
        <f>OL4+1</f>
        <v/>
      </c>
      <c r="ON4" s="206">
        <f>OM4+1</f>
        <v/>
      </c>
      <c r="OO4" s="206">
        <f>ON4+1</f>
        <v/>
      </c>
      <c r="OP4" s="206">
        <f>OO4+1</f>
        <v/>
      </c>
      <c r="OQ4" s="206">
        <f>OP4+1</f>
        <v/>
      </c>
      <c r="OR4" s="206">
        <f>OQ4+1</f>
        <v/>
      </c>
      <c r="OS4" s="206">
        <f>OR4+1</f>
        <v/>
      </c>
      <c r="OT4" s="206">
        <f>OS4+1</f>
        <v/>
      </c>
      <c r="OU4" s="206">
        <f>OT4+1</f>
        <v/>
      </c>
      <c r="OV4" s="206">
        <f>OU4+1</f>
        <v/>
      </c>
      <c r="OW4" s="206">
        <f>OV4+1</f>
        <v/>
      </c>
      <c r="OX4" s="206">
        <f>OW4+1</f>
        <v/>
      </c>
      <c r="OY4" s="206">
        <f>OX4+1</f>
        <v/>
      </c>
      <c r="OZ4" s="206">
        <f>OY4+1</f>
        <v/>
      </c>
      <c r="PA4" s="206">
        <f>OZ4+1</f>
        <v/>
      </c>
      <c r="PB4" s="206">
        <f>PA4+1</f>
        <v/>
      </c>
      <c r="PC4" s="206">
        <f>PB4+1</f>
        <v/>
      </c>
      <c r="PD4" s="206">
        <f>PC4+1</f>
        <v/>
      </c>
      <c r="PE4" s="206">
        <f>PD4+1</f>
        <v/>
      </c>
      <c r="PF4" s="206">
        <f>PE4+1</f>
        <v/>
      </c>
      <c r="PG4" s="206">
        <f>PF4+1</f>
        <v/>
      </c>
      <c r="PH4" s="206">
        <f>PG4+1</f>
        <v/>
      </c>
      <c r="PI4" s="206">
        <f>PH4+1</f>
        <v/>
      </c>
      <c r="PJ4" s="206">
        <f>PI4+1</f>
        <v/>
      </c>
      <c r="PK4" s="206">
        <f>PJ4+1</f>
        <v/>
      </c>
      <c r="PL4" s="206">
        <f>PK4+1</f>
        <v/>
      </c>
      <c r="PM4" s="206">
        <f>PL4+1</f>
        <v/>
      </c>
      <c r="PN4" s="206">
        <f>PM4+1</f>
        <v/>
      </c>
      <c r="PO4" s="206">
        <f>PN4+1</f>
        <v/>
      </c>
      <c r="PP4" s="206">
        <f>PO4+1</f>
        <v/>
      </c>
      <c r="PQ4" s="206">
        <f>PP4+1</f>
        <v/>
      </c>
      <c r="PR4" s="206">
        <f>PQ4+1</f>
        <v/>
      </c>
      <c r="PS4" s="206">
        <f>PR4+1</f>
        <v/>
      </c>
      <c r="PT4" s="206">
        <f>PS4+1</f>
        <v/>
      </c>
      <c r="PU4" s="206">
        <f>PT4+1</f>
        <v/>
      </c>
      <c r="PV4" s="206">
        <f>PU4+1</f>
        <v/>
      </c>
      <c r="PW4" s="206">
        <f>PV4+1</f>
        <v/>
      </c>
      <c r="PX4" s="206">
        <f>PW4+1</f>
        <v/>
      </c>
      <c r="PY4" s="206">
        <f>PX4+1</f>
        <v/>
      </c>
      <c r="PZ4" s="206">
        <f>PY4+1</f>
        <v/>
      </c>
      <c r="QA4" s="206">
        <f>PZ4+1</f>
        <v/>
      </c>
      <c r="QB4" s="206">
        <f>QA4+1</f>
        <v/>
      </c>
      <c r="QC4" s="206">
        <f>QB4+1</f>
        <v/>
      </c>
      <c r="QD4" s="206">
        <f>QC4+1</f>
        <v/>
      </c>
      <c r="QE4" s="206">
        <f>QD4+1</f>
        <v/>
      </c>
      <c r="QF4" s="206">
        <f>QE4+1</f>
        <v/>
      </c>
      <c r="QG4" s="206">
        <f>QF4+1</f>
        <v/>
      </c>
      <c r="QH4" s="206">
        <f>QG4+1</f>
        <v/>
      </c>
      <c r="QI4" s="206">
        <f>QH4+1</f>
        <v/>
      </c>
      <c r="QJ4" s="206">
        <f>QI4+1</f>
        <v/>
      </c>
      <c r="QK4" s="206">
        <f>QJ4+1</f>
        <v/>
      </c>
      <c r="QL4" s="206">
        <f>QK4+1</f>
        <v/>
      </c>
      <c r="QM4" s="206">
        <f>QL4+1</f>
        <v/>
      </c>
      <c r="QN4" s="206">
        <f>QM4+1</f>
        <v/>
      </c>
      <c r="QO4" s="206">
        <f>QN4+1</f>
        <v/>
      </c>
      <c r="QP4" s="206">
        <f>QO4+1</f>
        <v/>
      </c>
      <c r="QQ4" s="206">
        <f>QP4+1</f>
        <v/>
      </c>
      <c r="QR4" s="206">
        <f>QQ4+1</f>
        <v/>
      </c>
      <c r="QS4" s="206">
        <f>QR4+1</f>
        <v/>
      </c>
      <c r="QT4" s="206">
        <f>QS4+1</f>
        <v/>
      </c>
      <c r="QU4" s="206">
        <f>QT4+1</f>
        <v/>
      </c>
      <c r="QV4" s="206">
        <f>QU4+1</f>
        <v/>
      </c>
      <c r="QW4" s="206">
        <f>QV4+1</f>
        <v/>
      </c>
      <c r="QX4" s="206">
        <f>QW4+1</f>
        <v/>
      </c>
      <c r="QY4" s="206">
        <f>QX4+1</f>
        <v/>
      </c>
      <c r="QZ4" s="206">
        <f>QY4+1</f>
        <v/>
      </c>
      <c r="RA4" s="206">
        <f>QZ4+1</f>
        <v/>
      </c>
      <c r="RB4" s="206">
        <f>RA4+1</f>
        <v/>
      </c>
      <c r="RC4" s="206">
        <f>RB4+1</f>
        <v/>
      </c>
      <c r="RD4" s="206">
        <f>RC4+1</f>
        <v/>
      </c>
      <c r="RE4" s="206">
        <f>RD4+1</f>
        <v/>
      </c>
      <c r="RF4" s="206">
        <f>RE4+1</f>
        <v/>
      </c>
      <c r="RG4" s="206">
        <f>RF4+1</f>
        <v/>
      </c>
      <c r="RH4" s="206">
        <f>RG4+1</f>
        <v/>
      </c>
      <c r="RI4" s="206">
        <f>RH4+1</f>
        <v/>
      </c>
      <c r="RJ4" s="206">
        <f>RI4+1</f>
        <v/>
      </c>
      <c r="RK4" s="206">
        <f>RJ4+1</f>
        <v/>
      </c>
      <c r="RL4" s="206">
        <f>RK4+1</f>
        <v/>
      </c>
      <c r="RM4" s="206">
        <f>RL4+1</f>
        <v/>
      </c>
      <c r="RN4" s="206">
        <f>RM4+1</f>
        <v/>
      </c>
      <c r="RO4" s="206">
        <f>RN4+1</f>
        <v/>
      </c>
      <c r="RP4" s="206">
        <f>RO4+1</f>
        <v/>
      </c>
      <c r="RQ4" s="206">
        <f>RP4+1</f>
        <v/>
      </c>
      <c r="RR4" s="206">
        <f>RQ4+1</f>
        <v/>
      </c>
      <c r="RS4" s="206">
        <f>RR4+1</f>
        <v/>
      </c>
      <c r="RT4" s="206">
        <f>RS4+1</f>
        <v/>
      </c>
      <c r="RU4" s="206">
        <f>RT4+1</f>
        <v/>
      </c>
      <c r="RV4" s="206">
        <f>RU4+1</f>
        <v/>
      </c>
      <c r="RW4" s="206">
        <f>RV4+1</f>
        <v/>
      </c>
      <c r="RX4" s="206">
        <f>RW4+1</f>
        <v/>
      </c>
      <c r="RY4" s="206">
        <f>RX4+1</f>
        <v/>
      </c>
      <c r="RZ4" s="206">
        <f>RY4+1</f>
        <v/>
      </c>
      <c r="SA4" s="206">
        <f>RZ4+1</f>
        <v/>
      </c>
      <c r="SB4" s="206">
        <f>SA4+1</f>
        <v/>
      </c>
      <c r="SC4" s="206">
        <f>SB4+1</f>
        <v/>
      </c>
      <c r="SD4" s="206">
        <f>SC4+1</f>
        <v/>
      </c>
      <c r="SE4" s="206">
        <f>SD4+1</f>
        <v/>
      </c>
      <c r="SF4" s="206">
        <f>SE4+1</f>
        <v/>
      </c>
      <c r="SG4" s="206">
        <f>SF4+1</f>
        <v/>
      </c>
      <c r="SH4" s="206">
        <f>SG4+1</f>
        <v/>
      </c>
      <c r="SI4" s="206">
        <f>SH4+1</f>
        <v/>
      </c>
      <c r="SJ4" s="206">
        <f>SI4+1</f>
        <v/>
      </c>
      <c r="SK4" s="206">
        <f>SJ4+1</f>
        <v/>
      </c>
      <c r="SL4" s="206">
        <f>SK4+1</f>
        <v/>
      </c>
      <c r="SM4" s="206">
        <f>SL4+1</f>
        <v/>
      </c>
      <c r="SN4" s="206">
        <f>SM4+1</f>
        <v/>
      </c>
      <c r="SO4" s="206">
        <f>SN4+1</f>
        <v/>
      </c>
      <c r="SP4" s="206">
        <f>SO4+1</f>
        <v/>
      </c>
      <c r="SQ4" s="206">
        <f>SP4+1</f>
        <v/>
      </c>
      <c r="SR4" s="206">
        <f>SQ4+1</f>
        <v/>
      </c>
      <c r="SS4" s="206">
        <f>SR4+1</f>
        <v/>
      </c>
      <c r="ST4" s="206">
        <f>SS4+1</f>
        <v/>
      </c>
      <c r="SU4" s="206">
        <f>ST4+1</f>
        <v/>
      </c>
      <c r="SV4" s="206">
        <f>SU4+1</f>
        <v/>
      </c>
    </row>
    <row r="6">
      <c r="B6" s="207" t="n"/>
      <c r="C6" s="207" t="inlineStr">
        <is>
          <t>Management  HSE / CM     ( 2x)</t>
        </is>
      </c>
      <c r="D6" s="207" t="n"/>
      <c r="E6" s="207" t="n"/>
      <c r="F6" s="207">
        <f>IF(TRIM(D6&amp;E6)="","",TRIM(D6)&amp;" "&amp;TRIM(E6))</f>
        <v/>
      </c>
      <c r="G6" s="207" t="n"/>
      <c r="H6" s="207" t="n"/>
      <c r="I6" s="207" t="n"/>
      <c r="J6" s="207" t="n"/>
      <c r="K6" s="207" t="n"/>
      <c r="L6" s="207" t="n"/>
      <c r="M6" s="207" t="n"/>
      <c r="N6" s="207" t="n"/>
      <c r="O6" s="207" t="n"/>
      <c r="P6" s="207" t="n"/>
      <c r="Q6" s="207" t="n"/>
      <c r="R6" s="207" t="n"/>
      <c r="S6" s="208" t="n"/>
      <c r="T6" s="208" t="n"/>
      <c r="U6" s="208" t="n"/>
      <c r="V6" s="208" t="n"/>
      <c r="W6" s="208" t="n"/>
      <c r="X6" s="208" t="n"/>
      <c r="Y6" s="208" t="n"/>
      <c r="Z6" s="208" t="n"/>
      <c r="AA6" s="208" t="n"/>
      <c r="AB6" s="208" t="n"/>
      <c r="AC6" s="208" t="n"/>
      <c r="AD6" s="208" t="n"/>
      <c r="AE6" s="208" t="n"/>
      <c r="AF6" s="208" t="n"/>
      <c r="AG6" s="208" t="n"/>
      <c r="AH6" s="208" t="n"/>
      <c r="AI6" s="208" t="n"/>
      <c r="AJ6" s="208" t="n"/>
      <c r="AK6" s="208" t="n"/>
      <c r="AL6" s="208" t="n"/>
      <c r="AM6" s="208" t="n"/>
      <c r="AN6" s="208" t="n"/>
      <c r="AO6" s="208" t="n"/>
      <c r="AP6" s="208" t="n"/>
      <c r="AQ6" s="208" t="n"/>
      <c r="AR6" s="208" t="n"/>
      <c r="AS6" s="208" t="n"/>
      <c r="AT6" s="208" t="n"/>
      <c r="AU6" s="208" t="n"/>
      <c r="AV6" s="208" t="n"/>
      <c r="AW6" s="208" t="n"/>
      <c r="AX6" s="208" t="n"/>
      <c r="AY6" s="208" t="n"/>
      <c r="AZ6" s="208" t="n"/>
      <c r="BA6" s="208" t="n"/>
      <c r="BB6" s="208" t="n"/>
      <c r="BC6" s="208" t="n"/>
      <c r="BD6" s="208" t="n"/>
      <c r="BE6" s="208" t="n"/>
      <c r="BF6" s="208" t="n"/>
      <c r="BG6" s="208" t="n"/>
      <c r="BH6" s="208" t="n"/>
      <c r="BI6" s="208" t="n"/>
      <c r="BJ6" s="208" t="n"/>
      <c r="BK6" s="208" t="n"/>
      <c r="BL6" s="208" t="n"/>
      <c r="BM6" s="208" t="n"/>
      <c r="BN6" s="208" t="n"/>
      <c r="BO6" s="208" t="n"/>
      <c r="BP6" s="208" t="n"/>
      <c r="BQ6" s="208" t="n"/>
      <c r="BR6" s="208" t="n"/>
      <c r="BS6" s="208" t="n"/>
      <c r="BT6" s="208" t="n"/>
      <c r="BU6" s="208" t="n"/>
      <c r="BV6" s="208" t="n"/>
      <c r="BW6" s="208" t="n"/>
      <c r="BX6" s="208" t="n"/>
      <c r="BY6" s="208" t="n"/>
      <c r="BZ6" s="208" t="n"/>
      <c r="CA6" s="208" t="n"/>
      <c r="CB6" s="208" t="n"/>
      <c r="CC6" s="208" t="n"/>
      <c r="CD6" s="208" t="n"/>
      <c r="CE6" s="208" t="n"/>
      <c r="CF6" s="208" t="n"/>
      <c r="CG6" s="208" t="n"/>
      <c r="CH6" s="208" t="n"/>
      <c r="CI6" s="208" t="n"/>
      <c r="CJ6" s="208" t="n"/>
      <c r="CK6" s="208" t="n"/>
      <c r="CL6" s="208" t="n"/>
      <c r="CM6" s="208" t="n"/>
      <c r="CN6" s="208" t="n"/>
      <c r="CO6" s="208" t="n"/>
      <c r="CP6" s="208" t="n"/>
      <c r="CQ6" s="208" t="n"/>
      <c r="CR6" s="208" t="n"/>
      <c r="CS6" s="208" t="n"/>
      <c r="CT6" s="208" t="n"/>
      <c r="CU6" s="208" t="n"/>
      <c r="CV6" s="208" t="n"/>
      <c r="CW6" s="208" t="n"/>
      <c r="CX6" s="208" t="n"/>
      <c r="CY6" s="208" t="n"/>
      <c r="CZ6" s="208" t="n"/>
      <c r="DA6" s="208" t="n"/>
      <c r="DB6" s="208" t="n"/>
      <c r="DC6" s="208" t="n"/>
      <c r="DD6" s="208" t="n"/>
      <c r="DE6" s="208" t="n"/>
      <c r="DF6" s="208" t="n"/>
      <c r="DG6" s="208" t="n"/>
      <c r="DH6" s="208" t="n"/>
      <c r="DI6" s="208" t="n"/>
      <c r="DJ6" s="208" t="n"/>
      <c r="DK6" s="208" t="n"/>
      <c r="DL6" s="208" t="n"/>
      <c r="DM6" s="208" t="n"/>
      <c r="DN6" s="208" t="n"/>
      <c r="DO6" s="208" t="n"/>
      <c r="DP6" s="208" t="n"/>
      <c r="DQ6" s="208" t="n"/>
      <c r="DR6" s="208" t="n"/>
      <c r="DS6" s="208" t="n"/>
      <c r="DT6" s="208" t="n"/>
      <c r="DU6" s="208" t="n"/>
      <c r="DV6" s="208" t="n"/>
      <c r="DW6" s="208" t="n"/>
      <c r="DX6" s="208" t="n"/>
      <c r="DY6" s="208" t="n"/>
      <c r="DZ6" s="208" t="n"/>
      <c r="EA6" s="208" t="n"/>
      <c r="EB6" s="208" t="n"/>
      <c r="EC6" s="208" t="n"/>
      <c r="ED6" s="208" t="n"/>
      <c r="EE6" s="208" t="n"/>
      <c r="EF6" s="208" t="n"/>
      <c r="EG6" s="208" t="n"/>
      <c r="EH6" s="208" t="n"/>
      <c r="EI6" s="208" t="n"/>
      <c r="EJ6" s="208" t="n"/>
      <c r="EK6" s="208" t="n"/>
      <c r="EL6" s="208" t="n"/>
      <c r="EM6" s="208" t="n"/>
      <c r="EN6" s="208" t="n"/>
      <c r="EO6" s="208" t="n"/>
      <c r="EP6" s="208" t="n"/>
      <c r="EQ6" s="208" t="n"/>
      <c r="ER6" s="208" t="n"/>
      <c r="ES6" s="208" t="n"/>
      <c r="ET6" s="208" t="n"/>
      <c r="EU6" s="208" t="n"/>
      <c r="EV6" s="208" t="n"/>
      <c r="EW6" s="208" t="n"/>
      <c r="EX6" s="208" t="n"/>
      <c r="EY6" s="208" t="n"/>
      <c r="EZ6" s="208" t="n"/>
      <c r="FA6" s="208" t="n"/>
      <c r="FB6" s="208" t="n"/>
      <c r="FC6" s="208" t="n"/>
      <c r="FD6" s="208" t="n"/>
      <c r="FE6" s="208" t="n"/>
      <c r="FF6" s="208" t="n"/>
      <c r="FG6" s="208" t="n"/>
      <c r="FH6" s="208" t="n"/>
      <c r="FI6" s="208" t="n"/>
      <c r="FJ6" s="208" t="n"/>
      <c r="FK6" s="208" t="n"/>
      <c r="FL6" s="208" t="n"/>
      <c r="FM6" s="208" t="n"/>
      <c r="FN6" s="208" t="n"/>
      <c r="FO6" s="208" t="n"/>
      <c r="FP6" s="208" t="n"/>
      <c r="FQ6" s="208" t="n"/>
      <c r="FR6" s="208" t="n"/>
      <c r="FS6" s="208" t="n"/>
      <c r="FT6" s="208" t="n"/>
      <c r="FU6" s="208" t="n"/>
      <c r="FV6" s="208" t="n"/>
      <c r="FW6" s="208" t="n"/>
      <c r="FX6" s="208" t="n"/>
      <c r="FY6" s="208" t="n"/>
      <c r="FZ6" s="208" t="n"/>
      <c r="GA6" s="208" t="n"/>
      <c r="GB6" s="208" t="n"/>
      <c r="GC6" s="208" t="n"/>
      <c r="GD6" s="208" t="n"/>
      <c r="GE6" s="208" t="n"/>
      <c r="GF6" s="208" t="n"/>
      <c r="GG6" s="208" t="n"/>
      <c r="GH6" s="208" t="n"/>
      <c r="GI6" s="208" t="n"/>
      <c r="GJ6" s="208" t="n"/>
      <c r="GK6" s="208" t="n"/>
      <c r="GL6" s="208" t="n"/>
      <c r="GM6" s="208" t="n"/>
      <c r="GN6" s="208" t="n"/>
      <c r="GO6" s="208" t="n"/>
      <c r="GP6" s="208" t="n"/>
      <c r="GQ6" s="208" t="n"/>
      <c r="GR6" s="208" t="n"/>
      <c r="GS6" s="208" t="n"/>
      <c r="GT6" s="208" t="n"/>
      <c r="GU6" s="208" t="n"/>
      <c r="GV6" s="208" t="n"/>
      <c r="GW6" s="208" t="n"/>
      <c r="GX6" s="208" t="n"/>
      <c r="GY6" s="208" t="n"/>
      <c r="GZ6" s="208" t="n"/>
      <c r="HA6" s="208" t="n"/>
      <c r="HB6" s="208" t="n"/>
      <c r="HC6" s="208" t="n"/>
      <c r="HD6" s="208" t="n"/>
      <c r="HE6" s="208" t="n"/>
      <c r="HF6" s="208" t="n"/>
      <c r="HG6" s="208" t="n"/>
      <c r="HH6" s="208" t="n"/>
      <c r="HI6" s="208" t="n"/>
      <c r="HJ6" s="208" t="n"/>
      <c r="HK6" s="208" t="n"/>
      <c r="HL6" s="208" t="n"/>
      <c r="HM6" s="208" t="n"/>
      <c r="HN6" s="208" t="n"/>
      <c r="HO6" s="208" t="n"/>
      <c r="HP6" s="208" t="n"/>
      <c r="HQ6" s="208" t="n"/>
      <c r="HR6" s="208" t="n"/>
      <c r="HS6" s="208" t="n"/>
      <c r="HT6" s="208" t="n"/>
      <c r="HU6" s="208" t="n"/>
      <c r="HV6" s="208" t="n"/>
      <c r="HW6" s="208" t="n"/>
      <c r="HX6" s="208" t="n"/>
      <c r="HY6" s="208" t="n"/>
      <c r="HZ6" s="208" t="n"/>
      <c r="IA6" s="208" t="n"/>
      <c r="IB6" s="208" t="n"/>
      <c r="IC6" s="208" t="n"/>
      <c r="ID6" s="208" t="n"/>
      <c r="IE6" s="208" t="n"/>
      <c r="IF6" s="208" t="n"/>
      <c r="IG6" s="208" t="n"/>
      <c r="IH6" s="208" t="n"/>
      <c r="II6" s="208" t="n"/>
      <c r="IJ6" s="208" t="n"/>
      <c r="IK6" s="208" t="n"/>
      <c r="IL6" s="208" t="n"/>
      <c r="IM6" s="208" t="n"/>
      <c r="IN6" s="208" t="n"/>
      <c r="IO6" s="208" t="n"/>
      <c r="IP6" s="208" t="n"/>
      <c r="IQ6" s="208" t="n"/>
      <c r="IR6" s="208" t="n"/>
      <c r="IS6" s="208" t="n"/>
      <c r="IT6" s="208" t="n"/>
      <c r="IU6" s="208" t="n"/>
      <c r="IV6" s="208" t="n"/>
      <c r="IW6" s="208" t="n"/>
      <c r="IX6" s="208" t="n"/>
      <c r="IY6" s="208" t="n"/>
      <c r="IZ6" s="208" t="n"/>
      <c r="JA6" s="208" t="n"/>
      <c r="JB6" s="208" t="n"/>
      <c r="JC6" s="208" t="n"/>
      <c r="JD6" s="208" t="n"/>
      <c r="JE6" s="208" t="n"/>
      <c r="JF6" s="208" t="n"/>
      <c r="JG6" s="208" t="n"/>
      <c r="JH6" s="208" t="n"/>
      <c r="JI6" s="208" t="n"/>
      <c r="JJ6" s="208" t="n"/>
      <c r="JK6" s="208" t="n"/>
      <c r="JL6" s="208" t="n"/>
      <c r="JM6" s="208" t="n"/>
      <c r="JN6" s="208" t="n"/>
      <c r="JO6" s="208" t="n"/>
      <c r="JP6" s="208" t="n"/>
      <c r="JQ6" s="208" t="n"/>
      <c r="JR6" s="208" t="n"/>
      <c r="JS6" s="208" t="n"/>
      <c r="JT6" s="208" t="n"/>
      <c r="JU6" s="208" t="n"/>
      <c r="JV6" s="208" t="n"/>
      <c r="JW6" s="208" t="n"/>
      <c r="JX6" s="208" t="n"/>
      <c r="JY6" s="208" t="n"/>
      <c r="JZ6" s="208" t="n"/>
      <c r="KA6" s="208" t="n"/>
      <c r="KB6" s="208" t="n"/>
      <c r="KC6" s="208" t="n"/>
      <c r="KD6" s="208" t="n"/>
      <c r="KE6" s="208" t="n"/>
      <c r="KF6" s="208" t="n"/>
      <c r="KG6" s="208" t="n"/>
      <c r="KH6" s="208" t="n"/>
      <c r="KI6" s="208" t="n"/>
      <c r="KJ6" s="208" t="n"/>
      <c r="KK6" s="208" t="n"/>
      <c r="KL6" s="208" t="n"/>
      <c r="KM6" s="208" t="n"/>
      <c r="KN6" s="208" t="n"/>
      <c r="KO6" s="208" t="n"/>
      <c r="KP6" s="208" t="n"/>
      <c r="KQ6" s="208" t="n"/>
      <c r="KR6" s="208" t="n"/>
      <c r="KS6" s="208" t="n"/>
      <c r="KT6" s="208" t="n"/>
      <c r="KU6" s="208" t="n"/>
      <c r="KV6" s="208" t="n"/>
      <c r="KW6" s="208" t="n"/>
      <c r="KX6" s="208" t="n"/>
      <c r="KY6" s="208" t="n"/>
      <c r="KZ6" s="208" t="n"/>
      <c r="LA6" s="208" t="n"/>
      <c r="LB6" s="208" t="n"/>
      <c r="LC6" s="208" t="n"/>
      <c r="LD6" s="208" t="n"/>
      <c r="LE6" s="208" t="n"/>
      <c r="LF6" s="208" t="n"/>
      <c r="LG6" s="208" t="n"/>
      <c r="LH6" s="208" t="n"/>
      <c r="LI6" s="208" t="n"/>
      <c r="LJ6" s="208" t="n"/>
      <c r="LK6" s="208" t="n"/>
      <c r="LL6" s="208" t="n"/>
      <c r="LM6" s="208" t="n"/>
      <c r="LN6" s="208" t="n"/>
      <c r="LO6" s="208" t="n"/>
      <c r="LP6" s="208" t="n"/>
      <c r="LQ6" s="208" t="n"/>
      <c r="LR6" s="208" t="n"/>
      <c r="LS6" s="208" t="n"/>
      <c r="LT6" s="208" t="n"/>
      <c r="LU6" s="208" t="n"/>
      <c r="LV6" s="208" t="n"/>
      <c r="LW6" s="208" t="n"/>
      <c r="LX6" s="208" t="n"/>
      <c r="LY6" s="208" t="n"/>
      <c r="LZ6" s="208" t="n"/>
      <c r="MA6" s="208" t="n"/>
      <c r="MB6" s="208" t="n"/>
      <c r="MC6" s="208" t="n"/>
      <c r="MD6" s="208" t="n"/>
      <c r="ME6" s="208" t="n"/>
      <c r="MF6" s="208" t="n"/>
      <c r="MG6" s="208" t="n"/>
      <c r="MH6" s="208" t="n"/>
      <c r="MI6" s="208" t="n"/>
      <c r="MJ6" s="208" t="n"/>
      <c r="MK6" s="208" t="n"/>
      <c r="ML6" s="208" t="n"/>
      <c r="MM6" s="208" t="n"/>
      <c r="MN6" s="208" t="n"/>
      <c r="MO6" s="208" t="n"/>
      <c r="MP6" s="208" t="n"/>
      <c r="MQ6" s="208" t="n"/>
      <c r="MR6" s="208" t="n"/>
      <c r="MS6" s="208" t="n"/>
      <c r="MT6" s="208" t="n"/>
      <c r="MU6" s="208" t="n"/>
      <c r="MV6" s="208" t="n"/>
      <c r="MW6" s="208" t="n"/>
      <c r="MX6" s="208" t="n"/>
      <c r="MY6" s="208" t="n"/>
      <c r="MZ6" s="208" t="n"/>
      <c r="NA6" s="208" t="n"/>
      <c r="NB6" s="208" t="n"/>
      <c r="NC6" s="208" t="n"/>
      <c r="ND6" s="208" t="n"/>
      <c r="NE6" s="208" t="n"/>
      <c r="NF6" s="208" t="n"/>
      <c r="NG6" s="208" t="n"/>
      <c r="NH6" s="208" t="n"/>
      <c r="NI6" s="208" t="n"/>
      <c r="NJ6" s="208" t="n"/>
      <c r="NK6" s="208" t="n"/>
      <c r="NL6" s="208" t="n"/>
      <c r="NM6" s="208" t="n"/>
      <c r="NN6" s="208" t="n"/>
      <c r="NO6" s="208" t="n"/>
      <c r="NP6" s="208" t="n"/>
      <c r="NQ6" s="208" t="n"/>
      <c r="NR6" s="208" t="n"/>
      <c r="NS6" s="208" t="n"/>
      <c r="NT6" s="208" t="n"/>
      <c r="NU6" s="208" t="n"/>
      <c r="NV6" s="208" t="n"/>
      <c r="NW6" s="208" t="n"/>
      <c r="NX6" s="208" t="n"/>
      <c r="NY6" s="208" t="n"/>
      <c r="NZ6" s="208" t="n"/>
      <c r="OA6" s="208" t="n"/>
      <c r="OB6" s="208" t="n"/>
      <c r="OC6" s="208" t="n"/>
      <c r="OD6" s="208" t="n"/>
      <c r="OE6" s="208" t="n"/>
      <c r="OF6" s="208" t="n"/>
      <c r="OG6" s="208" t="n"/>
      <c r="OH6" s="208" t="n"/>
      <c r="OI6" s="208" t="n"/>
      <c r="OJ6" s="208" t="n"/>
      <c r="OK6" s="208" t="n"/>
      <c r="OL6" s="208" t="n"/>
      <c r="OM6" s="208" t="n"/>
      <c r="ON6" s="208" t="n"/>
      <c r="OO6" s="208" t="n"/>
      <c r="OP6" s="208" t="n"/>
      <c r="OQ6" s="208" t="n"/>
      <c r="OR6" s="208" t="n"/>
      <c r="OS6" s="208" t="n"/>
      <c r="OT6" s="208" t="n"/>
      <c r="OU6" s="208" t="n"/>
      <c r="OV6" s="208" t="n"/>
      <c r="OW6" s="208" t="n"/>
      <c r="OX6" s="208" t="n"/>
      <c r="OY6" s="208" t="n"/>
      <c r="OZ6" s="208" t="n"/>
      <c r="PA6" s="208" t="n"/>
      <c r="PB6" s="208" t="n"/>
      <c r="PC6" s="208" t="n"/>
      <c r="PD6" s="208" t="n"/>
      <c r="PE6" s="208" t="n"/>
      <c r="PF6" s="208" t="n"/>
      <c r="PG6" s="208" t="n"/>
      <c r="PH6" s="208" t="n"/>
      <c r="PI6" s="208" t="n"/>
      <c r="PJ6" s="208" t="n"/>
      <c r="PK6" s="208" t="n"/>
      <c r="PL6" s="208" t="n"/>
      <c r="PM6" s="208" t="n"/>
      <c r="PN6" s="208" t="n"/>
      <c r="PO6" s="208" t="n"/>
      <c r="PP6" s="208" t="n"/>
      <c r="PQ6" s="208" t="n"/>
      <c r="PR6" s="208" t="n"/>
      <c r="PS6" s="208" t="n"/>
      <c r="PT6" s="208" t="n"/>
      <c r="PU6" s="208" t="n"/>
      <c r="PV6" s="208" t="n"/>
      <c r="PW6" s="208" t="n"/>
      <c r="PX6" s="208" t="n"/>
      <c r="PY6" s="208" t="n"/>
      <c r="PZ6" s="208" t="n"/>
      <c r="QA6" s="208" t="n"/>
      <c r="QB6" s="208" t="n"/>
      <c r="QC6" s="208" t="n"/>
      <c r="QD6" s="208" t="n"/>
      <c r="QE6" s="208" t="n"/>
      <c r="QF6" s="208" t="n"/>
      <c r="QG6" s="208" t="n"/>
      <c r="QH6" s="208" t="n"/>
      <c r="QI6" s="208" t="n"/>
      <c r="QJ6" s="208" t="n"/>
      <c r="QK6" s="208" t="n"/>
      <c r="QL6" s="208" t="n"/>
      <c r="QM6" s="208" t="n"/>
      <c r="QN6" s="208" t="n"/>
      <c r="QO6" s="208" t="n"/>
      <c r="QP6" s="208" t="n"/>
      <c r="QQ6" s="208" t="n"/>
      <c r="QR6" s="208" t="n"/>
      <c r="QS6" s="208" t="n"/>
      <c r="QT6" s="208" t="n"/>
      <c r="QU6" s="208" t="n"/>
      <c r="QV6" s="208" t="n"/>
      <c r="QW6" s="208" t="n"/>
      <c r="QX6" s="208" t="n"/>
      <c r="QY6" s="208" t="n"/>
      <c r="QZ6" s="208" t="n"/>
      <c r="RA6" s="208" t="n"/>
      <c r="RB6" s="208" t="n"/>
      <c r="RC6" s="208" t="n"/>
      <c r="RD6" s="208" t="n"/>
      <c r="RE6" s="208" t="n"/>
      <c r="RF6" s="208" t="n"/>
      <c r="RG6" s="208" t="n"/>
      <c r="RH6" s="208" t="n"/>
      <c r="RI6" s="208" t="n"/>
      <c r="RJ6" s="208" t="n"/>
      <c r="RK6" s="208" t="n"/>
      <c r="RL6" s="208" t="n"/>
      <c r="RM6" s="208" t="n"/>
      <c r="RN6" s="208" t="n"/>
      <c r="RO6" s="208" t="n"/>
      <c r="RP6" s="208" t="n"/>
      <c r="RQ6" s="208" t="n"/>
      <c r="RR6" s="208" t="n"/>
      <c r="RS6" s="208" t="n"/>
      <c r="RT6" s="208" t="n"/>
      <c r="RU6" s="208" t="n"/>
      <c r="RV6" s="208" t="n"/>
      <c r="RW6" s="208" t="n"/>
      <c r="RX6" s="208" t="n"/>
      <c r="RY6" s="208" t="n"/>
      <c r="RZ6" s="208" t="n"/>
      <c r="SA6" s="208" t="n"/>
      <c r="SB6" s="208" t="n"/>
      <c r="SC6" s="208" t="n"/>
      <c r="SD6" s="208" t="n"/>
      <c r="SE6" s="208" t="n"/>
      <c r="SF6" s="208" t="n"/>
      <c r="SG6" s="208" t="n"/>
      <c r="SH6" s="208" t="n"/>
      <c r="SI6" s="208" t="n"/>
      <c r="SJ6" s="208" t="n"/>
      <c r="SK6" s="208" t="n"/>
      <c r="SL6" s="208" t="n"/>
      <c r="SM6" s="208" t="n"/>
      <c r="SN6" s="208" t="n"/>
      <c r="SO6" s="208" t="n"/>
      <c r="SP6" s="208" t="n"/>
      <c r="SQ6" s="208" t="n"/>
      <c r="SR6" s="208" t="n"/>
      <c r="SS6" s="208" t="n"/>
      <c r="ST6" s="208" t="n"/>
      <c r="SU6" s="208" t="n"/>
      <c r="SV6" s="208" t="n"/>
    </row>
    <row r="7">
      <c r="B7" s="209" t="n">
        <v>1</v>
      </c>
      <c r="C7" s="209" t="inlineStr">
        <is>
          <t>Wabtec</t>
        </is>
      </c>
      <c r="D7" s="209" t="inlineStr">
        <is>
          <t>Prasanna</t>
        </is>
      </c>
      <c r="E7" s="209" t="inlineStr">
        <is>
          <t>Rajagopal</t>
        </is>
      </c>
      <c r="F7" s="209">
        <f>IF(TRIM(D7&amp;E7)="","",TRIM(D7)&amp;" "&amp;TRIM(E7))</f>
        <v/>
      </c>
      <c r="G7" s="209" t="inlineStr">
        <is>
          <t>Perth</t>
        </is>
      </c>
      <c r="H7" s="209" t="inlineStr">
        <is>
          <t>Program Manager</t>
        </is>
      </c>
      <c r="I7" s="209" t="inlineStr">
        <is>
          <t>YES</t>
        </is>
      </c>
      <c r="J7" s="209" t="inlineStr">
        <is>
          <t>YES</t>
        </is>
      </c>
      <c r="K7" s="209" t="inlineStr">
        <is>
          <t>YES</t>
        </is>
      </c>
      <c r="L7" s="209" t="inlineStr">
        <is>
          <t>YES</t>
        </is>
      </c>
      <c r="M7" s="209" t="inlineStr">
        <is>
          <t>Quals Complete</t>
        </is>
      </c>
      <c r="N7" s="209" t="inlineStr">
        <is>
          <t>prasanna.rajagopal@wabtec.com</t>
        </is>
      </c>
      <c r="O7" s="209" t="inlineStr">
        <is>
          <t>0420 414 526</t>
        </is>
      </c>
      <c r="P7" s="209" t="n">
        <v>819842</v>
      </c>
      <c r="Q7" s="209" t="n">
        <v>436211</v>
      </c>
      <c r="R7" s="209" t="inlineStr">
        <is>
          <t>ADHOC</t>
        </is>
      </c>
      <c r="S7" s="210" t="inlineStr">
        <is>
          <t>N/A</t>
        </is>
      </c>
      <c r="T7" s="210" t="inlineStr">
        <is>
          <t>N/A</t>
        </is>
      </c>
      <c r="U7" s="210" t="inlineStr">
        <is>
          <t>N/A</t>
        </is>
      </c>
      <c r="V7" s="211" t="inlineStr">
        <is>
          <t>PER/PHE AM</t>
        </is>
      </c>
      <c r="W7" s="211" t="inlineStr">
        <is>
          <t>LND</t>
        </is>
      </c>
      <c r="X7" s="211" t="inlineStr">
        <is>
          <t>LND</t>
        </is>
      </c>
      <c r="Y7" s="211" t="inlineStr">
        <is>
          <t>LND</t>
        </is>
      </c>
      <c r="Z7" s="211" t="inlineStr">
        <is>
          <t>LND</t>
        </is>
      </c>
      <c r="AA7" s="211" t="inlineStr">
        <is>
          <t>LND</t>
        </is>
      </c>
      <c r="AB7" s="211" t="inlineStr">
        <is>
          <t>LND</t>
        </is>
      </c>
      <c r="AC7" s="211" t="inlineStr">
        <is>
          <t>LND</t>
        </is>
      </c>
      <c r="AD7" s="211" t="inlineStr">
        <is>
          <t>LND</t>
        </is>
      </c>
      <c r="AE7" s="211" t="inlineStr">
        <is>
          <t>LND</t>
        </is>
      </c>
      <c r="AF7" s="211" t="inlineStr">
        <is>
          <t>LND</t>
        </is>
      </c>
      <c r="AG7" s="211" t="inlineStr">
        <is>
          <t>LND</t>
        </is>
      </c>
      <c r="AH7" s="211" t="inlineStr">
        <is>
          <t>PHE/PER PM</t>
        </is>
      </c>
      <c r="AI7" s="210" t="inlineStr">
        <is>
          <t>N/A</t>
        </is>
      </c>
      <c r="AJ7" s="210" t="inlineStr">
        <is>
          <t>N/A</t>
        </is>
      </c>
      <c r="AK7" s="210" t="inlineStr">
        <is>
          <t>N/A</t>
        </is>
      </c>
      <c r="AL7" s="210" t="inlineStr">
        <is>
          <t>N/A</t>
        </is>
      </c>
      <c r="AM7" s="210" t="inlineStr">
        <is>
          <t>N/A</t>
        </is>
      </c>
      <c r="AN7" s="210" t="inlineStr">
        <is>
          <t>N/A</t>
        </is>
      </c>
      <c r="AO7" s="210" t="inlineStr">
        <is>
          <t>N/A</t>
        </is>
      </c>
      <c r="AP7" s="210" t="inlineStr">
        <is>
          <t>N/A</t>
        </is>
      </c>
      <c r="AQ7" s="210" t="inlineStr">
        <is>
          <t>N/A</t>
        </is>
      </c>
      <c r="AR7" s="210" t="inlineStr">
        <is>
          <t>N/A</t>
        </is>
      </c>
      <c r="AS7" s="210" t="inlineStr">
        <is>
          <t>N/A</t>
        </is>
      </c>
      <c r="AT7" s="210" t="inlineStr">
        <is>
          <t>N/A</t>
        </is>
      </c>
      <c r="AU7" s="210" t="inlineStr">
        <is>
          <t>N/A</t>
        </is>
      </c>
      <c r="AV7" s="210" t="inlineStr">
        <is>
          <t>N/A</t>
        </is>
      </c>
      <c r="AW7" s="210" t="inlineStr">
        <is>
          <t>N/A</t>
        </is>
      </c>
      <c r="AX7" s="210" t="inlineStr">
        <is>
          <t>N/A</t>
        </is>
      </c>
      <c r="AY7" s="210" t="inlineStr">
        <is>
          <t>N/A</t>
        </is>
      </c>
      <c r="AZ7" s="210" t="inlineStr">
        <is>
          <t>N/A</t>
        </is>
      </c>
      <c r="BA7" s="210" t="inlineStr">
        <is>
          <t>N/A</t>
        </is>
      </c>
      <c r="BB7" s="210" t="inlineStr">
        <is>
          <t>N/A</t>
        </is>
      </c>
      <c r="BC7" s="210" t="inlineStr">
        <is>
          <t>N/A</t>
        </is>
      </c>
      <c r="BD7" s="210" t="inlineStr">
        <is>
          <t>N/A</t>
        </is>
      </c>
      <c r="BE7" s="210" t="inlineStr">
        <is>
          <t>N/A</t>
        </is>
      </c>
      <c r="BF7" s="210" t="inlineStr">
        <is>
          <t>N/A</t>
        </is>
      </c>
      <c r="BG7" s="210" t="inlineStr">
        <is>
          <t>N/A</t>
        </is>
      </c>
      <c r="BH7" s="210" t="inlineStr">
        <is>
          <t>N/A</t>
        </is>
      </c>
      <c r="BI7" s="210" t="inlineStr">
        <is>
          <t>N/A</t>
        </is>
      </c>
      <c r="BJ7" s="210" t="inlineStr">
        <is>
          <t>N/A</t>
        </is>
      </c>
      <c r="BK7" s="210" t="inlineStr">
        <is>
          <t>N/A</t>
        </is>
      </c>
      <c r="BL7" s="210" t="inlineStr">
        <is>
          <t>N/A</t>
        </is>
      </c>
      <c r="BM7" s="210" t="inlineStr">
        <is>
          <t>N/A</t>
        </is>
      </c>
      <c r="BN7" s="210" t="inlineStr">
        <is>
          <t>N/A</t>
        </is>
      </c>
      <c r="BO7" s="210" t="inlineStr">
        <is>
          <t>N/A</t>
        </is>
      </c>
      <c r="BP7" s="210" t="inlineStr">
        <is>
          <t>N/A</t>
        </is>
      </c>
      <c r="BQ7" s="210" t="inlineStr">
        <is>
          <t>N/A</t>
        </is>
      </c>
      <c r="BR7" s="210" t="inlineStr">
        <is>
          <t>N/A</t>
        </is>
      </c>
      <c r="BS7" s="210" t="inlineStr">
        <is>
          <t>N/A</t>
        </is>
      </c>
      <c r="BT7" s="210" t="inlineStr">
        <is>
          <t>N/A</t>
        </is>
      </c>
      <c r="BU7" s="210" t="inlineStr">
        <is>
          <t>N/A</t>
        </is>
      </c>
      <c r="BV7" s="210" t="inlineStr">
        <is>
          <t>N/A</t>
        </is>
      </c>
      <c r="BW7" s="210" t="inlineStr">
        <is>
          <t>N/A</t>
        </is>
      </c>
      <c r="BX7" s="210" t="inlineStr">
        <is>
          <t>N/A</t>
        </is>
      </c>
      <c r="BY7" s="210" t="inlineStr">
        <is>
          <t>N/A</t>
        </is>
      </c>
      <c r="BZ7" s="210" t="inlineStr">
        <is>
          <t>N/A</t>
        </is>
      </c>
      <c r="CA7" s="210" t="inlineStr">
        <is>
          <t>N/A</t>
        </is>
      </c>
      <c r="CB7" s="210" t="inlineStr">
        <is>
          <t>N/A</t>
        </is>
      </c>
      <c r="CC7" s="210" t="inlineStr">
        <is>
          <t>N/A</t>
        </is>
      </c>
      <c r="CD7" s="210" t="inlineStr">
        <is>
          <t>N/A</t>
        </is>
      </c>
      <c r="CE7" s="210" t="inlineStr">
        <is>
          <t>N/A</t>
        </is>
      </c>
      <c r="CF7" s="210" t="inlineStr">
        <is>
          <t>N/A</t>
        </is>
      </c>
      <c r="CG7" s="210" t="inlineStr">
        <is>
          <t>N/A</t>
        </is>
      </c>
      <c r="CH7" s="210" t="inlineStr">
        <is>
          <t>N/A</t>
        </is>
      </c>
      <c r="CI7" s="210" t="inlineStr">
        <is>
          <t>N/A</t>
        </is>
      </c>
      <c r="CJ7" s="210" t="inlineStr">
        <is>
          <t>N/A</t>
        </is>
      </c>
      <c r="CK7" s="210" t="inlineStr">
        <is>
          <t>N/A</t>
        </is>
      </c>
      <c r="CL7" s="210" t="inlineStr">
        <is>
          <t>N/A</t>
        </is>
      </c>
      <c r="CM7" s="210" t="inlineStr">
        <is>
          <t>N/A</t>
        </is>
      </c>
      <c r="CN7" s="210" t="inlineStr">
        <is>
          <t>N/A</t>
        </is>
      </c>
      <c r="CO7" s="210" t="inlineStr">
        <is>
          <t>N/A</t>
        </is>
      </c>
      <c r="CP7" s="210" t="inlineStr">
        <is>
          <t>N/A</t>
        </is>
      </c>
      <c r="CQ7" s="210" t="inlineStr">
        <is>
          <t>N/A</t>
        </is>
      </c>
      <c r="CR7" s="210" t="inlineStr">
        <is>
          <t>N/A</t>
        </is>
      </c>
      <c r="CS7" s="210" t="inlineStr">
        <is>
          <t>N/A</t>
        </is>
      </c>
      <c r="CT7" s="210" t="inlineStr">
        <is>
          <t>N/A</t>
        </is>
      </c>
      <c r="CU7" s="210" t="inlineStr">
        <is>
          <t>N/A</t>
        </is>
      </c>
      <c r="CV7" s="210" t="inlineStr">
        <is>
          <t>N/A</t>
        </is>
      </c>
      <c r="CW7" s="210" t="inlineStr">
        <is>
          <t>N/A</t>
        </is>
      </c>
      <c r="CX7" s="210" t="inlineStr">
        <is>
          <t>N/A</t>
        </is>
      </c>
      <c r="CY7" s="210" t="inlineStr">
        <is>
          <t>N/A</t>
        </is>
      </c>
      <c r="CZ7" s="210" t="inlineStr">
        <is>
          <t>N/A</t>
        </is>
      </c>
      <c r="DA7" s="210" t="inlineStr">
        <is>
          <t>N/A</t>
        </is>
      </c>
      <c r="DB7" s="210" t="inlineStr">
        <is>
          <t>N/A</t>
        </is>
      </c>
      <c r="DC7" s="210" t="inlineStr">
        <is>
          <t>N/A</t>
        </is>
      </c>
      <c r="DD7" s="210" t="inlineStr">
        <is>
          <t>N/A</t>
        </is>
      </c>
      <c r="DE7" s="210" t="inlineStr">
        <is>
          <t>N/A</t>
        </is>
      </c>
      <c r="DF7" s="210" t="inlineStr">
        <is>
          <t>N/A</t>
        </is>
      </c>
      <c r="DG7" s="210" t="inlineStr">
        <is>
          <t>N/A</t>
        </is>
      </c>
      <c r="DH7" s="210" t="inlineStr">
        <is>
          <t>N/A</t>
        </is>
      </c>
      <c r="DI7" s="210" t="inlineStr">
        <is>
          <t>N/A</t>
        </is>
      </c>
      <c r="DJ7" s="210" t="inlineStr">
        <is>
          <t>N/A</t>
        </is>
      </c>
      <c r="DK7" s="210" t="inlineStr">
        <is>
          <t>N/A</t>
        </is>
      </c>
      <c r="DL7" s="210" t="inlineStr">
        <is>
          <t>N/A</t>
        </is>
      </c>
      <c r="DM7" s="210" t="inlineStr">
        <is>
          <t>N/A</t>
        </is>
      </c>
      <c r="DN7" s="210" t="inlineStr">
        <is>
          <t>N/A</t>
        </is>
      </c>
      <c r="DO7" s="210" t="inlineStr">
        <is>
          <t>N/A</t>
        </is>
      </c>
      <c r="DP7" s="210" t="inlineStr">
        <is>
          <t>N/A</t>
        </is>
      </c>
      <c r="DQ7" s="210" t="inlineStr">
        <is>
          <t>N/A</t>
        </is>
      </c>
      <c r="DR7" s="212" t="n"/>
      <c r="DS7" s="212" t="n"/>
      <c r="DT7" s="212" t="n"/>
      <c r="DU7" s="212" t="n"/>
      <c r="DV7" s="212" t="n"/>
      <c r="DW7" s="212" t="n"/>
      <c r="DX7" s="212" t="n"/>
      <c r="DY7" s="212" t="n"/>
      <c r="DZ7" s="212" t="n"/>
      <c r="EA7" s="212" t="n"/>
      <c r="EB7" s="212" t="n"/>
      <c r="EC7" s="212" t="n"/>
      <c r="ED7" s="212" t="n"/>
      <c r="EE7" s="212" t="n"/>
      <c r="EF7" s="212" t="n"/>
      <c r="EG7" s="212" t="n"/>
      <c r="EH7" s="212" t="n"/>
      <c r="EI7" s="212" t="n"/>
      <c r="EJ7" s="212" t="n"/>
      <c r="EK7" s="212" t="n"/>
      <c r="EL7" s="212" t="n"/>
      <c r="EM7" s="212" t="n"/>
      <c r="EN7" s="212" t="n"/>
      <c r="EO7" s="212" t="n"/>
      <c r="EP7" s="212" t="n"/>
      <c r="EQ7" s="212" t="n"/>
      <c r="ER7" s="212" t="n"/>
      <c r="ES7" s="212" t="n"/>
      <c r="ET7" s="212" t="n"/>
      <c r="EU7" s="212" t="n"/>
      <c r="EV7" s="212" t="n"/>
      <c r="EW7" s="212" t="n"/>
      <c r="EX7" s="212" t="n"/>
      <c r="EY7" s="212" t="n"/>
      <c r="EZ7" s="212" t="n"/>
      <c r="FA7" s="212" t="n"/>
      <c r="FB7" s="212" t="n"/>
      <c r="FC7" s="212" t="n"/>
      <c r="FD7" s="212" t="n"/>
      <c r="FE7" s="212" t="n"/>
      <c r="FF7" s="212" t="n"/>
      <c r="FG7" s="212" t="n"/>
      <c r="FH7" s="212" t="n"/>
      <c r="FI7" s="212" t="n"/>
      <c r="FJ7" s="212" t="n"/>
      <c r="FK7" s="212" t="n"/>
      <c r="FL7" s="212" t="n"/>
      <c r="FM7" s="212" t="n"/>
      <c r="FN7" s="212" t="n"/>
      <c r="FO7" s="212" t="n"/>
      <c r="FP7" s="212" t="n"/>
      <c r="FQ7" s="212" t="n"/>
      <c r="FR7" s="212" t="n"/>
      <c r="FS7" s="212" t="n"/>
      <c r="FT7" s="212" t="n"/>
      <c r="FU7" s="212" t="n"/>
      <c r="FV7" s="212" t="n"/>
      <c r="FW7" s="212" t="n"/>
      <c r="FX7" s="212" t="n"/>
      <c r="FY7" s="212" t="n"/>
      <c r="FZ7" s="212" t="n"/>
      <c r="GA7" s="212" t="n"/>
      <c r="GB7" s="212" t="n"/>
      <c r="GC7" s="212" t="n"/>
      <c r="GD7" s="212" t="n"/>
      <c r="GE7" s="212" t="n"/>
      <c r="GF7" s="212" t="n"/>
      <c r="GG7" s="212" t="n"/>
      <c r="GH7" s="212" t="n"/>
      <c r="GI7" s="212" t="n"/>
      <c r="GJ7" s="212" t="n"/>
      <c r="GK7" s="212" t="n"/>
      <c r="GL7" s="212" t="n"/>
      <c r="GM7" s="212" t="n"/>
      <c r="GN7" s="212" t="n"/>
      <c r="GO7" s="212" t="n"/>
      <c r="GP7" s="212" t="n"/>
      <c r="GQ7" s="212" t="n"/>
      <c r="GR7" s="212" t="n"/>
      <c r="GS7" s="212" t="n"/>
      <c r="GT7" s="212" t="n"/>
      <c r="GU7" s="212" t="n"/>
      <c r="GV7" s="212" t="n"/>
      <c r="GW7" s="212" t="n"/>
      <c r="GX7" s="212" t="n"/>
      <c r="GY7" s="212" t="n"/>
      <c r="GZ7" s="212" t="n"/>
      <c r="HA7" s="212" t="n"/>
      <c r="HB7" s="212" t="n"/>
      <c r="HC7" s="212" t="n"/>
      <c r="HD7" s="212" t="n"/>
      <c r="HE7" s="212" t="n"/>
      <c r="HF7" s="212" t="n"/>
      <c r="HG7" s="212" t="n"/>
      <c r="HH7" s="212" t="n"/>
      <c r="HI7" s="212" t="n"/>
      <c r="HJ7" s="212" t="n"/>
      <c r="HK7" s="212" t="n"/>
      <c r="HL7" s="212" t="n"/>
      <c r="HM7" s="212" t="n"/>
      <c r="HN7" s="212" t="n"/>
      <c r="HO7" s="212" t="n"/>
      <c r="HP7" s="212" t="n"/>
      <c r="HQ7" s="212" t="n"/>
      <c r="HR7" s="212" t="n"/>
      <c r="HS7" s="212" t="n"/>
      <c r="HT7" s="212" t="n"/>
      <c r="HU7" s="212" t="n"/>
      <c r="HV7" s="212" t="n"/>
      <c r="HW7" s="212" t="n"/>
      <c r="HX7" s="212" t="n"/>
      <c r="HY7" s="212" t="n"/>
      <c r="HZ7" s="212" t="n"/>
      <c r="IA7" s="212" t="n"/>
      <c r="IB7" s="212" t="n"/>
      <c r="IC7" s="212" t="n"/>
      <c r="ID7" s="212" t="n"/>
      <c r="IE7" s="212" t="n"/>
      <c r="IF7" s="212" t="n"/>
      <c r="IG7" s="212" t="n"/>
      <c r="IH7" s="212" t="n"/>
      <c r="II7" s="212" t="n"/>
      <c r="IJ7" s="212" t="n"/>
      <c r="IK7" s="212" t="n"/>
      <c r="IL7" s="212" t="n"/>
      <c r="IM7" s="212" t="n"/>
      <c r="IN7" s="212" t="n"/>
      <c r="IO7" s="212" t="n"/>
      <c r="IP7" s="212" t="n"/>
      <c r="IQ7" s="212" t="n"/>
      <c r="IR7" s="212" t="n"/>
      <c r="IS7" s="212" t="n"/>
      <c r="IT7" s="212" t="n"/>
      <c r="IU7" s="212" t="n"/>
      <c r="IV7" s="212" t="n"/>
      <c r="IW7" s="212" t="n"/>
      <c r="IX7" s="212" t="n"/>
      <c r="IY7" s="212" t="n"/>
      <c r="IZ7" s="212" t="n"/>
      <c r="JA7" s="212" t="n"/>
      <c r="JB7" s="212" t="n"/>
      <c r="JC7" s="212" t="n"/>
      <c r="JD7" s="212" t="n"/>
      <c r="JE7" s="212" t="n"/>
      <c r="JF7" s="212" t="n"/>
      <c r="JG7" s="212" t="n"/>
      <c r="JH7" s="212" t="n"/>
      <c r="JI7" s="212" t="n"/>
      <c r="JJ7" s="212" t="n"/>
      <c r="JK7" s="212" t="n"/>
      <c r="JL7" s="212" t="n"/>
      <c r="JM7" s="212" t="n"/>
      <c r="JN7" s="212" t="n"/>
      <c r="JO7" s="212" t="n"/>
      <c r="JP7" s="212" t="n"/>
      <c r="JQ7" s="212" t="n"/>
      <c r="JR7" s="212" t="n"/>
      <c r="JS7" s="212" t="n"/>
      <c r="JT7" s="212" t="n"/>
      <c r="JU7" s="212" t="n"/>
      <c r="JV7" s="212" t="n"/>
      <c r="JW7" s="212" t="n"/>
      <c r="JX7" s="212" t="n"/>
      <c r="JY7" s="212" t="n"/>
      <c r="JZ7" s="212" t="n"/>
      <c r="KA7" s="212" t="n"/>
      <c r="KB7" s="212" t="n"/>
      <c r="KC7" s="212" t="n"/>
      <c r="KD7" s="212" t="n"/>
      <c r="KE7" s="212" t="n"/>
      <c r="KF7" s="212" t="n"/>
      <c r="KG7" s="212" t="n"/>
      <c r="KH7" s="212" t="n"/>
      <c r="KI7" s="212" t="n"/>
      <c r="KJ7" s="212" t="n"/>
      <c r="KK7" s="212" t="n"/>
      <c r="KL7" s="212" t="n"/>
      <c r="KM7" s="212" t="n"/>
      <c r="KN7" s="212" t="n"/>
      <c r="KO7" s="212" t="n"/>
      <c r="KP7" s="212" t="n"/>
      <c r="KQ7" s="212" t="n"/>
      <c r="KR7" s="212" t="n"/>
      <c r="KS7" s="212" t="n"/>
      <c r="KT7" s="212" t="n"/>
      <c r="KU7" s="212" t="n"/>
      <c r="KV7" s="212" t="n"/>
      <c r="KW7" s="212" t="n"/>
      <c r="KX7" s="212" t="n"/>
      <c r="KY7" s="212" t="n"/>
      <c r="KZ7" s="212" t="n"/>
      <c r="LA7" s="212" t="n"/>
      <c r="LB7" s="212" t="n"/>
      <c r="LC7" s="212" t="n"/>
      <c r="LD7" s="212" t="n"/>
      <c r="LE7" s="212" t="n"/>
      <c r="LF7" s="212" t="n"/>
      <c r="LG7" s="212" t="n"/>
      <c r="LH7" s="212" t="n"/>
      <c r="LI7" s="212" t="n"/>
      <c r="LJ7" s="212" t="n"/>
      <c r="LK7" s="212" t="n"/>
      <c r="LL7" s="212" t="n"/>
      <c r="LM7" s="212" t="n"/>
      <c r="LN7" s="212" t="n"/>
      <c r="LO7" s="212" t="n"/>
      <c r="LP7" s="212" t="n"/>
      <c r="LQ7" s="212" t="n"/>
      <c r="LR7" s="212" t="n"/>
      <c r="LS7" s="212" t="n"/>
      <c r="LT7" s="212" t="n"/>
      <c r="LU7" s="212" t="n"/>
      <c r="LV7" s="212" t="n"/>
      <c r="LW7" s="212" t="n"/>
      <c r="LX7" s="212" t="n"/>
      <c r="LY7" s="212" t="n"/>
      <c r="LZ7" s="212" t="n"/>
      <c r="MA7" s="212" t="n"/>
      <c r="MB7" s="212" t="n"/>
      <c r="MC7" s="212" t="n"/>
      <c r="MD7" s="212" t="n"/>
      <c r="ME7" s="212" t="n"/>
      <c r="MF7" s="212" t="n"/>
      <c r="MG7" s="212" t="n"/>
      <c r="MH7" s="212" t="n"/>
      <c r="MI7" s="212" t="n"/>
      <c r="MJ7" s="212" t="n"/>
      <c r="MK7" s="212" t="n"/>
      <c r="ML7" s="212" t="n"/>
      <c r="MM7" s="212" t="n"/>
      <c r="MN7" s="212" t="n"/>
      <c r="MO7" s="212" t="n"/>
      <c r="MP7" s="212" t="n"/>
      <c r="MQ7" s="212" t="n"/>
      <c r="MR7" s="212" t="n"/>
      <c r="MS7" s="212" t="n"/>
      <c r="MT7" s="212" t="n"/>
      <c r="MU7" s="212" t="n"/>
      <c r="MV7" s="212" t="n"/>
      <c r="MW7" s="212" t="n"/>
      <c r="MX7" s="212" t="n"/>
      <c r="MY7" s="212" t="n"/>
      <c r="MZ7" s="212" t="n"/>
      <c r="NA7" s="212" t="n"/>
      <c r="NB7" s="212" t="n"/>
      <c r="NC7" s="212" t="n"/>
      <c r="ND7" s="212" t="n"/>
      <c r="NE7" s="212" t="n"/>
      <c r="NF7" s="212" t="n"/>
      <c r="NG7" s="212" t="n"/>
      <c r="NH7" s="212" t="n"/>
      <c r="NI7" s="212" t="n"/>
      <c r="NJ7" s="212" t="n"/>
      <c r="NK7" s="212" t="n"/>
      <c r="NL7" s="212" t="n"/>
      <c r="NM7" s="212" t="n"/>
      <c r="NN7" s="212" t="n"/>
      <c r="NO7" s="212" t="n"/>
      <c r="NP7" s="212" t="n"/>
      <c r="NQ7" s="212" t="n"/>
      <c r="NR7" s="212" t="n"/>
      <c r="NS7" s="212" t="n"/>
      <c r="NT7" s="212" t="n"/>
      <c r="NU7" s="212" t="n"/>
      <c r="NV7" s="212" t="n"/>
      <c r="NW7" s="212" t="n"/>
      <c r="NX7" s="212" t="n"/>
      <c r="NY7" s="212" t="n"/>
      <c r="NZ7" s="212" t="n"/>
      <c r="OA7" s="212" t="n"/>
      <c r="OB7" s="212" t="n"/>
      <c r="OC7" s="212" t="n"/>
      <c r="OD7" s="212" t="n"/>
      <c r="OE7" s="212" t="n"/>
      <c r="OF7" s="212" t="n"/>
      <c r="OG7" s="212" t="n"/>
      <c r="OH7" s="212" t="n"/>
      <c r="OI7" s="212" t="n"/>
      <c r="OJ7" s="212" t="n"/>
      <c r="OK7" s="212" t="n"/>
      <c r="OL7" s="212" t="n"/>
      <c r="OM7" s="212" t="n"/>
      <c r="ON7" s="212" t="n"/>
      <c r="OO7" s="212" t="n"/>
      <c r="OP7" s="212" t="n"/>
      <c r="OQ7" s="212" t="n"/>
      <c r="OR7" s="212" t="n"/>
      <c r="OS7" s="212" t="n"/>
      <c r="OT7" s="212" t="n"/>
      <c r="OU7" s="212" t="n"/>
      <c r="OV7" s="212" t="n"/>
      <c r="OW7" s="212" t="n"/>
      <c r="OX7" s="212" t="n"/>
      <c r="OY7" s="212" t="n"/>
      <c r="OZ7" s="212" t="n"/>
      <c r="PA7" s="212" t="n"/>
      <c r="PB7" s="212" t="n"/>
      <c r="PC7" s="212" t="n"/>
      <c r="PD7" s="212" t="n"/>
      <c r="PE7" s="212" t="n"/>
      <c r="PF7" s="212" t="n"/>
      <c r="PG7" s="212" t="n"/>
      <c r="PH7" s="212" t="n"/>
      <c r="PI7" s="212" t="n"/>
      <c r="PJ7" s="212" t="n"/>
      <c r="PK7" s="212" t="n"/>
      <c r="PL7" s="212" t="n"/>
      <c r="PM7" s="212" t="n"/>
      <c r="PN7" s="212" t="n"/>
      <c r="PO7" s="212" t="n"/>
      <c r="PP7" s="212" t="n"/>
      <c r="PQ7" s="212" t="n"/>
      <c r="PR7" s="212" t="n"/>
      <c r="PS7" s="212" t="n"/>
      <c r="PT7" s="212" t="n"/>
      <c r="PU7" s="212" t="n"/>
      <c r="PV7" s="212" t="n"/>
      <c r="PW7" s="212" t="n"/>
      <c r="PX7" s="212" t="n"/>
      <c r="PY7" s="212" t="n"/>
      <c r="PZ7" s="212" t="n"/>
      <c r="QA7" s="212" t="n"/>
      <c r="QB7" s="212" t="n"/>
      <c r="QC7" s="212" t="n"/>
      <c r="QD7" s="212" t="n"/>
      <c r="QE7" s="212" t="n"/>
      <c r="QF7" s="212" t="n"/>
      <c r="QG7" s="212" t="n"/>
      <c r="QH7" s="212" t="n"/>
      <c r="QI7" s="212" t="n"/>
      <c r="QJ7" s="212" t="n"/>
      <c r="QK7" s="212" t="n"/>
      <c r="QL7" s="212" t="n"/>
      <c r="QM7" s="212" t="n"/>
      <c r="QN7" s="212" t="n"/>
      <c r="QO7" s="212" t="n"/>
      <c r="QP7" s="212" t="n"/>
      <c r="QQ7" s="212" t="n"/>
      <c r="QR7" s="212" t="n"/>
      <c r="QS7" s="212" t="n"/>
      <c r="QT7" s="212" t="n"/>
      <c r="QU7" s="212" t="n"/>
      <c r="QV7" s="212" t="n"/>
      <c r="QW7" s="212" t="n"/>
      <c r="QX7" s="212" t="n"/>
      <c r="QY7" s="212" t="n"/>
      <c r="QZ7" s="212" t="n"/>
      <c r="RA7" s="212" t="n"/>
      <c r="RB7" s="212" t="n"/>
      <c r="RC7" s="212" t="n"/>
      <c r="RD7" s="212" t="n"/>
      <c r="RE7" s="212" t="n"/>
      <c r="RF7" s="212" t="n"/>
      <c r="RG7" s="212" t="n"/>
      <c r="RH7" s="212" t="n"/>
      <c r="RI7" s="212" t="n"/>
      <c r="RJ7" s="212" t="n"/>
      <c r="RK7" s="212" t="n"/>
      <c r="RL7" s="212" t="n"/>
      <c r="RM7" s="212" t="n"/>
      <c r="RN7" s="212" t="n"/>
      <c r="RO7" s="212" t="n"/>
      <c r="RP7" s="212" t="n"/>
      <c r="RQ7" s="212" t="n"/>
      <c r="RR7" s="212" t="n"/>
      <c r="RS7" s="212" t="n"/>
      <c r="RT7" s="212" t="n"/>
      <c r="RU7" s="212" t="n"/>
      <c r="RV7" s="212" t="n"/>
      <c r="RW7" s="212" t="n"/>
      <c r="RX7" s="212" t="n"/>
      <c r="RY7" s="212" t="n"/>
      <c r="RZ7" s="212" t="n"/>
      <c r="SA7" s="212" t="n"/>
      <c r="SB7" s="212" t="n"/>
      <c r="SC7" s="212" t="n"/>
      <c r="SD7" s="212" t="n"/>
      <c r="SE7" s="212" t="n"/>
      <c r="SF7" s="212" t="n"/>
      <c r="SG7" s="212" t="n"/>
      <c r="SH7" s="212" t="n"/>
      <c r="SI7" s="212" t="n"/>
      <c r="SJ7" s="212" t="n"/>
      <c r="SK7" s="212" t="n"/>
      <c r="SL7" s="212" t="n"/>
      <c r="SM7" s="212" t="n"/>
      <c r="SN7" s="212" t="n"/>
      <c r="SO7" s="212" t="n"/>
      <c r="SP7" s="212" t="n"/>
      <c r="SQ7" s="212" t="n"/>
      <c r="SR7" s="212" t="n"/>
      <c r="SS7" s="212" t="n"/>
      <c r="ST7" s="212" t="n"/>
      <c r="SU7" s="212" t="n"/>
      <c r="SV7" s="212" t="n"/>
    </row>
    <row r="8">
      <c r="B8" s="209" t="n">
        <v>2</v>
      </c>
      <c r="C8" s="209" t="inlineStr">
        <is>
          <t>Wabtec</t>
        </is>
      </c>
      <c r="D8" s="209" t="inlineStr">
        <is>
          <t>Mohamed</t>
        </is>
      </c>
      <c r="E8" s="209" t="inlineStr">
        <is>
          <t>Amin</t>
        </is>
      </c>
      <c r="F8" s="209">
        <f>IF(TRIM(D8&amp;E8)="","",TRIM(D8)&amp;" "&amp;TRIM(E8))</f>
        <v/>
      </c>
      <c r="G8" s="209" t="inlineStr">
        <is>
          <t>Perth</t>
        </is>
      </c>
      <c r="H8" s="209" t="inlineStr">
        <is>
          <t>Program Manager</t>
        </is>
      </c>
      <c r="I8" s="209" t="inlineStr">
        <is>
          <t>YES</t>
        </is>
      </c>
      <c r="J8" s="209" t="inlineStr">
        <is>
          <t>YES</t>
        </is>
      </c>
      <c r="K8" s="209" t="inlineStr">
        <is>
          <t>YES</t>
        </is>
      </c>
      <c r="L8" s="209" t="inlineStr">
        <is>
          <t>YES</t>
        </is>
      </c>
      <c r="M8" s="209" t="inlineStr">
        <is>
          <t>Quals Complete</t>
        </is>
      </c>
      <c r="N8" s="209" t="inlineStr">
        <is>
          <t>mohamed.amin@wabtec.com</t>
        </is>
      </c>
      <c r="O8" s="209" t="inlineStr">
        <is>
          <t>0423 686 318</t>
        </is>
      </c>
      <c r="P8" s="209" t="n">
        <v>826857</v>
      </c>
      <c r="Q8" s="209" t="n">
        <v>441324</v>
      </c>
      <c r="R8" s="209" t="inlineStr">
        <is>
          <t>ADHOC</t>
        </is>
      </c>
      <c r="S8" s="210" t="inlineStr">
        <is>
          <t>N/A</t>
        </is>
      </c>
      <c r="T8" s="210" t="inlineStr">
        <is>
          <t>N/A</t>
        </is>
      </c>
      <c r="U8" s="210" t="inlineStr">
        <is>
          <t>N/A</t>
        </is>
      </c>
      <c r="V8" s="210" t="inlineStr">
        <is>
          <t>N/A</t>
        </is>
      </c>
      <c r="W8" s="210" t="inlineStr">
        <is>
          <t>N/A</t>
        </is>
      </c>
      <c r="X8" s="210" t="inlineStr">
        <is>
          <t>N/A</t>
        </is>
      </c>
      <c r="Y8" s="210" t="inlineStr">
        <is>
          <t>N/A</t>
        </is>
      </c>
      <c r="Z8" s="210" t="inlineStr">
        <is>
          <t>N/A</t>
        </is>
      </c>
      <c r="AA8" s="210" t="inlineStr">
        <is>
          <t>N/A</t>
        </is>
      </c>
      <c r="AB8" s="210" t="inlineStr">
        <is>
          <t>N/A</t>
        </is>
      </c>
      <c r="AC8" s="210" t="inlineStr">
        <is>
          <t>N/A</t>
        </is>
      </c>
      <c r="AD8" s="210" t="inlineStr">
        <is>
          <t>N/A</t>
        </is>
      </c>
      <c r="AE8" s="210" t="inlineStr">
        <is>
          <t>N/A</t>
        </is>
      </c>
      <c r="AF8" s="210" t="inlineStr">
        <is>
          <t>N/A</t>
        </is>
      </c>
      <c r="AG8" s="210" t="inlineStr">
        <is>
          <t>N/A</t>
        </is>
      </c>
      <c r="AH8" s="210" t="inlineStr">
        <is>
          <t>N/A</t>
        </is>
      </c>
      <c r="AI8" s="210" t="inlineStr">
        <is>
          <t>N/A</t>
        </is>
      </c>
      <c r="AJ8" s="210" t="inlineStr">
        <is>
          <t>N/A</t>
        </is>
      </c>
      <c r="AK8" s="210" t="inlineStr">
        <is>
          <t>N/A</t>
        </is>
      </c>
      <c r="AL8" s="210" t="inlineStr">
        <is>
          <t>N/A</t>
        </is>
      </c>
      <c r="AM8" s="210" t="inlineStr">
        <is>
          <t>N/A</t>
        </is>
      </c>
      <c r="AN8" s="210" t="inlineStr">
        <is>
          <t>N/A</t>
        </is>
      </c>
      <c r="AO8" s="210" t="inlineStr">
        <is>
          <t>N/A</t>
        </is>
      </c>
      <c r="AP8" s="210" t="inlineStr">
        <is>
          <t>N/A</t>
        </is>
      </c>
      <c r="AQ8" s="211" t="inlineStr">
        <is>
          <t>PER/PHE PM
LND</t>
        </is>
      </c>
      <c r="AR8" s="211" t="inlineStr">
        <is>
          <t>LND</t>
        </is>
      </c>
      <c r="AS8" s="211" t="inlineStr">
        <is>
          <t>LND</t>
        </is>
      </c>
      <c r="AT8" s="213" t="inlineStr">
        <is>
          <t>LND</t>
        </is>
      </c>
      <c r="AU8" s="213" t="inlineStr">
        <is>
          <t>LND</t>
        </is>
      </c>
      <c r="AV8" s="213" t="inlineStr">
        <is>
          <t>LND</t>
        </is>
      </c>
      <c r="AW8" s="213" t="inlineStr">
        <is>
          <t>LND</t>
        </is>
      </c>
      <c r="AX8" s="211" t="inlineStr">
        <is>
          <t>LND</t>
        </is>
      </c>
      <c r="AY8" s="211" t="inlineStr">
        <is>
          <t>PHE/PER PM</t>
        </is>
      </c>
      <c r="AZ8" s="210" t="inlineStr">
        <is>
          <t>N/A</t>
        </is>
      </c>
      <c r="BA8" s="210" t="inlineStr">
        <is>
          <t>N/A</t>
        </is>
      </c>
      <c r="BB8" s="210" t="inlineStr">
        <is>
          <t>N/A</t>
        </is>
      </c>
      <c r="BC8" s="210" t="inlineStr">
        <is>
          <t>N/A</t>
        </is>
      </c>
      <c r="BD8" s="210" t="inlineStr">
        <is>
          <t>N/A</t>
        </is>
      </c>
      <c r="BE8" s="210" t="inlineStr">
        <is>
          <t>N/A</t>
        </is>
      </c>
      <c r="BF8" s="210" t="inlineStr">
        <is>
          <t>N/A</t>
        </is>
      </c>
      <c r="BG8" s="210" t="inlineStr">
        <is>
          <t>N/A</t>
        </is>
      </c>
      <c r="BH8" s="210" t="inlineStr">
        <is>
          <t>N/A</t>
        </is>
      </c>
      <c r="BI8" s="210" t="inlineStr">
        <is>
          <t>N/A</t>
        </is>
      </c>
      <c r="BJ8" s="210" t="inlineStr">
        <is>
          <t>N/A</t>
        </is>
      </c>
      <c r="BK8" s="210" t="inlineStr">
        <is>
          <t>N/A</t>
        </is>
      </c>
      <c r="BL8" s="210" t="inlineStr">
        <is>
          <t>N/A</t>
        </is>
      </c>
      <c r="BM8" s="211" t="inlineStr">
        <is>
          <t>PER/PHE PM
LND</t>
        </is>
      </c>
      <c r="BN8" s="211" t="inlineStr">
        <is>
          <t>PHE/PER PM</t>
        </is>
      </c>
      <c r="BO8" s="210" t="inlineStr">
        <is>
          <t>N/A</t>
        </is>
      </c>
      <c r="BP8" s="210" t="inlineStr">
        <is>
          <t>N/A</t>
        </is>
      </c>
      <c r="BQ8" s="210" t="inlineStr">
        <is>
          <t>N/A</t>
        </is>
      </c>
      <c r="BR8" s="210" t="inlineStr">
        <is>
          <t>N/A</t>
        </is>
      </c>
      <c r="BS8" s="210" t="inlineStr">
        <is>
          <t>N/A</t>
        </is>
      </c>
      <c r="BT8" s="210" t="inlineStr">
        <is>
          <t>N/A</t>
        </is>
      </c>
      <c r="BU8" s="210" t="inlineStr">
        <is>
          <t>N/A</t>
        </is>
      </c>
      <c r="BV8" s="210" t="inlineStr">
        <is>
          <t>N/A</t>
        </is>
      </c>
      <c r="BW8" s="210" t="inlineStr">
        <is>
          <t>N/A</t>
        </is>
      </c>
      <c r="BX8" s="210" t="inlineStr">
        <is>
          <t>N/A</t>
        </is>
      </c>
      <c r="BY8" s="210" t="inlineStr">
        <is>
          <t>N/A</t>
        </is>
      </c>
      <c r="BZ8" s="210" t="inlineStr">
        <is>
          <t>N/A</t>
        </is>
      </c>
      <c r="CA8" s="210" t="inlineStr">
        <is>
          <t>N/A</t>
        </is>
      </c>
      <c r="CB8" s="210" t="inlineStr">
        <is>
          <t>N/A</t>
        </is>
      </c>
      <c r="CC8" s="210" t="inlineStr">
        <is>
          <t>N/A</t>
        </is>
      </c>
      <c r="CD8" s="210" t="inlineStr">
        <is>
          <t>N/A</t>
        </is>
      </c>
      <c r="CE8" s="210" t="inlineStr">
        <is>
          <t>N/A</t>
        </is>
      </c>
      <c r="CF8" s="210" t="inlineStr">
        <is>
          <t>N/A</t>
        </is>
      </c>
      <c r="CG8" s="210" t="inlineStr">
        <is>
          <t>N/A</t>
        </is>
      </c>
      <c r="CH8" s="210" t="inlineStr">
        <is>
          <t>N/A</t>
        </is>
      </c>
      <c r="CI8" s="210" t="inlineStr">
        <is>
          <t>N/A</t>
        </is>
      </c>
      <c r="CJ8" s="210" t="inlineStr">
        <is>
          <t>N/A</t>
        </is>
      </c>
      <c r="CK8" s="210" t="inlineStr">
        <is>
          <t>N/A</t>
        </is>
      </c>
      <c r="CL8" s="210" t="inlineStr">
        <is>
          <t>N/A</t>
        </is>
      </c>
      <c r="CM8" s="210" t="inlineStr">
        <is>
          <t>N/A</t>
        </is>
      </c>
      <c r="CN8" s="210" t="inlineStr">
        <is>
          <t>N/A</t>
        </is>
      </c>
      <c r="CO8" s="210" t="inlineStr">
        <is>
          <t>N/A</t>
        </is>
      </c>
      <c r="CP8" s="210" t="inlineStr">
        <is>
          <t>N/A</t>
        </is>
      </c>
      <c r="CQ8" s="210" t="inlineStr">
        <is>
          <t>N/A</t>
        </is>
      </c>
      <c r="CR8" s="210" t="inlineStr">
        <is>
          <t>N/A</t>
        </is>
      </c>
      <c r="CS8" s="210" t="inlineStr">
        <is>
          <t>N/A</t>
        </is>
      </c>
      <c r="CT8" s="214" t="inlineStr">
        <is>
          <t>N/A</t>
        </is>
      </c>
      <c r="CU8" s="214" t="inlineStr">
        <is>
          <t>N/A</t>
        </is>
      </c>
      <c r="CV8" s="210" t="inlineStr">
        <is>
          <t>N/A</t>
        </is>
      </c>
      <c r="CW8" s="210" t="inlineStr">
        <is>
          <t>N/A</t>
        </is>
      </c>
      <c r="CX8" s="210" t="inlineStr">
        <is>
          <t>N/A</t>
        </is>
      </c>
      <c r="CY8" s="210" t="inlineStr">
        <is>
          <t>N/A</t>
        </is>
      </c>
      <c r="CZ8" s="210" t="inlineStr">
        <is>
          <t>N/A</t>
        </is>
      </c>
      <c r="DA8" s="210" t="inlineStr">
        <is>
          <t>N/A</t>
        </is>
      </c>
      <c r="DB8" s="210" t="inlineStr">
        <is>
          <t>N/A</t>
        </is>
      </c>
      <c r="DC8" s="210" t="inlineStr">
        <is>
          <t>N/A</t>
        </is>
      </c>
      <c r="DD8" s="210" t="inlineStr">
        <is>
          <t>N/A</t>
        </is>
      </c>
      <c r="DE8" s="210" t="inlineStr">
        <is>
          <t>N/A</t>
        </is>
      </c>
      <c r="DF8" s="210" t="inlineStr">
        <is>
          <t>N/A</t>
        </is>
      </c>
      <c r="DG8" s="210" t="inlineStr">
        <is>
          <t>N/A</t>
        </is>
      </c>
      <c r="DH8" s="210" t="inlineStr">
        <is>
          <t>N/A</t>
        </is>
      </c>
      <c r="DI8" s="210" t="inlineStr">
        <is>
          <t>N/A</t>
        </is>
      </c>
      <c r="DJ8" s="210" t="inlineStr">
        <is>
          <t>N/A</t>
        </is>
      </c>
      <c r="DK8" s="210" t="inlineStr">
        <is>
          <t>N/A</t>
        </is>
      </c>
      <c r="DL8" s="210" t="inlineStr">
        <is>
          <t>N/A</t>
        </is>
      </c>
      <c r="DM8" s="210" t="inlineStr">
        <is>
          <t>N/A</t>
        </is>
      </c>
      <c r="DN8" s="210" t="inlineStr">
        <is>
          <t>N/A</t>
        </is>
      </c>
      <c r="DO8" s="210" t="inlineStr">
        <is>
          <t>N/A</t>
        </is>
      </c>
      <c r="DP8" s="210" t="inlineStr">
        <is>
          <t>N/A</t>
        </is>
      </c>
      <c r="DQ8" s="210" t="inlineStr">
        <is>
          <t>N/A</t>
        </is>
      </c>
      <c r="DR8" s="212" t="n"/>
      <c r="DS8" s="212" t="n"/>
      <c r="DT8" s="212" t="n"/>
      <c r="DU8" s="212" t="n"/>
      <c r="DV8" s="212" t="n"/>
      <c r="DW8" s="212" t="n"/>
      <c r="DX8" s="212" t="n"/>
      <c r="DY8" s="212" t="n"/>
      <c r="DZ8" s="212" t="n"/>
      <c r="EA8" s="212" t="n"/>
      <c r="EB8" s="212" t="n"/>
      <c r="EC8" s="212" t="n"/>
      <c r="ED8" s="212" t="n"/>
      <c r="EE8" s="212" t="n"/>
      <c r="EF8" s="212" t="n"/>
      <c r="EG8" s="212" t="n"/>
      <c r="EH8" s="212" t="n"/>
      <c r="EI8" s="212" t="n"/>
      <c r="EJ8" s="212" t="n"/>
      <c r="EK8" s="212" t="n"/>
      <c r="EL8" s="212" t="n"/>
      <c r="EM8" s="212" t="n"/>
      <c r="EN8" s="212" t="n"/>
      <c r="EO8" s="212" t="n"/>
      <c r="EP8" s="212" t="n"/>
      <c r="EQ8" s="212" t="n"/>
      <c r="ER8" s="212" t="n"/>
      <c r="ES8" s="212" t="n"/>
      <c r="ET8" s="212" t="n"/>
      <c r="EU8" s="212" t="n"/>
      <c r="EV8" s="212" t="n"/>
      <c r="EW8" s="212" t="n"/>
      <c r="EX8" s="212" t="n"/>
      <c r="EY8" s="212" t="n"/>
      <c r="EZ8" s="212" t="n"/>
      <c r="FA8" s="212" t="n"/>
      <c r="FB8" s="212" t="n"/>
      <c r="FC8" s="212" t="n"/>
      <c r="FD8" s="212" t="n"/>
      <c r="FE8" s="212" t="n"/>
      <c r="FF8" s="212" t="n"/>
      <c r="FG8" s="212" t="n"/>
      <c r="FH8" s="212" t="n"/>
      <c r="FI8" s="212" t="n"/>
      <c r="FJ8" s="212" t="n"/>
      <c r="FK8" s="212" t="n"/>
      <c r="FL8" s="212" t="n"/>
      <c r="FM8" s="212" t="n"/>
      <c r="FN8" s="212" t="n"/>
      <c r="FO8" s="212" t="n"/>
      <c r="FP8" s="212" t="n"/>
      <c r="FQ8" s="212" t="n"/>
      <c r="FR8" s="212" t="n"/>
      <c r="FS8" s="212" t="n"/>
      <c r="FT8" s="212" t="n"/>
      <c r="FU8" s="212" t="n"/>
      <c r="FV8" s="212" t="n"/>
      <c r="FW8" s="212" t="n"/>
      <c r="FX8" s="212" t="n"/>
      <c r="FY8" s="212" t="n"/>
      <c r="FZ8" s="212" t="n"/>
      <c r="GA8" s="212" t="n"/>
      <c r="GB8" s="212" t="n"/>
      <c r="GC8" s="212" t="n"/>
      <c r="GD8" s="212" t="n"/>
      <c r="GE8" s="212" t="n"/>
      <c r="GF8" s="212" t="n"/>
      <c r="GG8" s="212" t="n"/>
      <c r="GH8" s="212" t="n"/>
      <c r="GI8" s="212" t="n"/>
      <c r="GJ8" s="212" t="n"/>
      <c r="GK8" s="212" t="n"/>
      <c r="GL8" s="212" t="n"/>
      <c r="GM8" s="212" t="n"/>
      <c r="GN8" s="212" t="n"/>
      <c r="GO8" s="212" t="n"/>
      <c r="GP8" s="212" t="n"/>
      <c r="GQ8" s="212" t="n"/>
      <c r="GR8" s="212" t="n"/>
      <c r="GS8" s="212" t="n"/>
      <c r="GT8" s="212" t="n"/>
      <c r="GU8" s="212" t="n"/>
      <c r="GV8" s="212" t="n"/>
      <c r="GW8" s="212" t="n"/>
      <c r="GX8" s="212" t="n"/>
      <c r="GY8" s="212" t="n"/>
      <c r="GZ8" s="212" t="n"/>
      <c r="HA8" s="212" t="n"/>
      <c r="HB8" s="212" t="n"/>
      <c r="HC8" s="212" t="n"/>
      <c r="HD8" s="212" t="n"/>
      <c r="HE8" s="212" t="n"/>
      <c r="HF8" s="212" t="n"/>
      <c r="HG8" s="212" t="n"/>
      <c r="HH8" s="212" t="n"/>
      <c r="HI8" s="212" t="n"/>
      <c r="HJ8" s="212" t="n"/>
      <c r="HK8" s="212" t="n"/>
      <c r="HL8" s="212" t="n"/>
      <c r="HM8" s="212" t="n"/>
      <c r="HN8" s="212" t="n"/>
      <c r="HO8" s="212" t="n"/>
      <c r="HP8" s="212" t="n"/>
      <c r="HQ8" s="212" t="n"/>
      <c r="HR8" s="212" t="n"/>
      <c r="HS8" s="212" t="n"/>
      <c r="HT8" s="212" t="n"/>
      <c r="HU8" s="212" t="n"/>
      <c r="HV8" s="212" t="n"/>
      <c r="HW8" s="212" t="n"/>
      <c r="HX8" s="212" t="n"/>
      <c r="HY8" s="212" t="n"/>
      <c r="HZ8" s="212" t="n"/>
      <c r="IA8" s="212" t="n"/>
      <c r="IB8" s="212" t="n"/>
      <c r="IC8" s="212" t="n"/>
      <c r="ID8" s="212" t="n"/>
      <c r="IE8" s="212" t="n"/>
      <c r="IF8" s="212" t="n"/>
      <c r="IG8" s="212" t="n"/>
      <c r="IH8" s="212" t="n"/>
      <c r="II8" s="212" t="n"/>
      <c r="IJ8" s="212" t="n"/>
      <c r="IK8" s="212" t="n"/>
      <c r="IL8" s="212" t="n"/>
      <c r="IM8" s="212" t="n"/>
      <c r="IN8" s="212" t="n"/>
      <c r="IO8" s="212" t="n"/>
      <c r="IP8" s="212" t="n"/>
      <c r="IQ8" s="212" t="n"/>
      <c r="IR8" s="212" t="n"/>
      <c r="IS8" s="212" t="n"/>
      <c r="IT8" s="212" t="n"/>
      <c r="IU8" s="212" t="n"/>
      <c r="IV8" s="212" t="n"/>
      <c r="IW8" s="212" t="n"/>
      <c r="IX8" s="212" t="n"/>
      <c r="IY8" s="212" t="n"/>
      <c r="IZ8" s="212" t="n"/>
      <c r="JA8" s="212" t="n"/>
      <c r="JB8" s="212" t="n"/>
      <c r="JC8" s="212" t="n"/>
      <c r="JD8" s="212" t="n"/>
      <c r="JE8" s="212" t="n"/>
      <c r="JF8" s="212" t="n"/>
      <c r="JG8" s="212" t="n"/>
      <c r="JH8" s="212" t="n"/>
      <c r="JI8" s="212" t="n"/>
      <c r="JJ8" s="212" t="n"/>
      <c r="JK8" s="212" t="n"/>
      <c r="JL8" s="212" t="n"/>
      <c r="JM8" s="212" t="n"/>
      <c r="JN8" s="212" t="n"/>
      <c r="JO8" s="212" t="n"/>
      <c r="JP8" s="212" t="n"/>
      <c r="JQ8" s="212" t="n"/>
      <c r="JR8" s="212" t="n"/>
      <c r="JS8" s="212" t="n"/>
      <c r="JT8" s="212" t="n"/>
      <c r="JU8" s="212" t="n"/>
      <c r="JV8" s="212" t="n"/>
      <c r="JW8" s="212" t="n"/>
      <c r="JX8" s="212" t="n"/>
      <c r="JY8" s="212" t="n"/>
      <c r="JZ8" s="212" t="n"/>
      <c r="KA8" s="212" t="n"/>
      <c r="KB8" s="212" t="n"/>
      <c r="KC8" s="212" t="n"/>
      <c r="KD8" s="212" t="n"/>
      <c r="KE8" s="212" t="n"/>
      <c r="KF8" s="212" t="n"/>
      <c r="KG8" s="212" t="n"/>
      <c r="KH8" s="212" t="n"/>
      <c r="KI8" s="212" t="n"/>
      <c r="KJ8" s="212" t="n"/>
      <c r="KK8" s="212" t="n"/>
      <c r="KL8" s="212" t="n"/>
      <c r="KM8" s="212" t="n"/>
      <c r="KN8" s="212" t="n"/>
      <c r="KO8" s="212" t="n"/>
      <c r="KP8" s="212" t="n"/>
      <c r="KQ8" s="212" t="n"/>
      <c r="KR8" s="212" t="n"/>
      <c r="KS8" s="212" t="n"/>
      <c r="KT8" s="212" t="n"/>
      <c r="KU8" s="212" t="n"/>
      <c r="KV8" s="212" t="n"/>
      <c r="KW8" s="212" t="n"/>
      <c r="KX8" s="212" t="n"/>
      <c r="KY8" s="212" t="n"/>
      <c r="KZ8" s="212" t="n"/>
      <c r="LA8" s="212" t="n"/>
      <c r="LB8" s="212" t="n"/>
      <c r="LC8" s="212" t="n"/>
      <c r="LD8" s="212" t="n"/>
      <c r="LE8" s="212" t="n"/>
      <c r="LF8" s="212" t="n"/>
      <c r="LG8" s="212" t="n"/>
      <c r="LH8" s="212" t="n"/>
      <c r="LI8" s="212" t="n"/>
      <c r="LJ8" s="212" t="n"/>
      <c r="LK8" s="212" t="n"/>
      <c r="LL8" s="212" t="n"/>
      <c r="LM8" s="212" t="n"/>
      <c r="LN8" s="212" t="n"/>
      <c r="LO8" s="212" t="n"/>
      <c r="LP8" s="212" t="n"/>
      <c r="LQ8" s="212" t="n"/>
      <c r="LR8" s="212" t="n"/>
      <c r="LS8" s="212" t="n"/>
      <c r="LT8" s="212" t="n"/>
      <c r="LU8" s="212" t="n"/>
      <c r="LV8" s="212" t="n"/>
      <c r="LW8" s="212" t="n"/>
      <c r="LX8" s="212" t="n"/>
      <c r="LY8" s="212" t="n"/>
      <c r="LZ8" s="212" t="n"/>
      <c r="MA8" s="212" t="n"/>
      <c r="MB8" s="212" t="n"/>
      <c r="MC8" s="212" t="n"/>
      <c r="MD8" s="212" t="n"/>
      <c r="ME8" s="212" t="n"/>
      <c r="MF8" s="212" t="n"/>
      <c r="MG8" s="212" t="n"/>
      <c r="MH8" s="212" t="n"/>
      <c r="MI8" s="212" t="n"/>
      <c r="MJ8" s="212" t="n"/>
      <c r="MK8" s="212" t="n"/>
      <c r="ML8" s="212" t="n"/>
      <c r="MM8" s="212" t="n"/>
      <c r="MN8" s="212" t="n"/>
      <c r="MO8" s="212" t="n"/>
      <c r="MP8" s="212" t="n"/>
      <c r="MQ8" s="212" t="n"/>
      <c r="MR8" s="212" t="n"/>
      <c r="MS8" s="212" t="n"/>
      <c r="MT8" s="212" t="n"/>
      <c r="MU8" s="212" t="n"/>
      <c r="MV8" s="212" t="n"/>
      <c r="MW8" s="212" t="n"/>
      <c r="MX8" s="212" t="n"/>
      <c r="MY8" s="212" t="n"/>
      <c r="MZ8" s="212" t="n"/>
      <c r="NA8" s="212" t="n"/>
      <c r="NB8" s="212" t="n"/>
      <c r="NC8" s="212" t="n"/>
      <c r="ND8" s="212" t="n"/>
      <c r="NE8" s="212" t="n"/>
      <c r="NF8" s="212" t="n"/>
      <c r="NG8" s="212" t="n"/>
      <c r="NH8" s="212" t="n"/>
      <c r="NI8" s="212" t="n"/>
      <c r="NJ8" s="212" t="n"/>
      <c r="NK8" s="212" t="n"/>
      <c r="NL8" s="212" t="n"/>
      <c r="NM8" s="212" t="n"/>
      <c r="NN8" s="212" t="n"/>
      <c r="NO8" s="212" t="n"/>
      <c r="NP8" s="212" t="n"/>
      <c r="NQ8" s="212" t="n"/>
      <c r="NR8" s="212" t="n"/>
      <c r="NS8" s="212" t="n"/>
      <c r="NT8" s="212" t="n"/>
      <c r="NU8" s="212" t="n"/>
      <c r="NV8" s="212" t="n"/>
      <c r="NW8" s="212" t="n"/>
      <c r="NX8" s="212" t="n"/>
      <c r="NY8" s="212" t="n"/>
      <c r="NZ8" s="212" t="n"/>
      <c r="OA8" s="212" t="n"/>
      <c r="OB8" s="212" t="n"/>
      <c r="OC8" s="212" t="n"/>
      <c r="OD8" s="212" t="n"/>
      <c r="OE8" s="212" t="n"/>
      <c r="OF8" s="212" t="n"/>
      <c r="OG8" s="212" t="n"/>
      <c r="OH8" s="212" t="n"/>
      <c r="OI8" s="212" t="n"/>
      <c r="OJ8" s="212" t="n"/>
      <c r="OK8" s="212" t="n"/>
      <c r="OL8" s="212" t="n"/>
      <c r="OM8" s="212" t="n"/>
      <c r="ON8" s="212" t="n"/>
      <c r="OO8" s="212" t="n"/>
      <c r="OP8" s="212" t="n"/>
      <c r="OQ8" s="212" t="n"/>
      <c r="OR8" s="212" t="n"/>
      <c r="OS8" s="212" t="n"/>
      <c r="OT8" s="212" t="n"/>
      <c r="OU8" s="212" t="n"/>
      <c r="OV8" s="212" t="n"/>
      <c r="OW8" s="212" t="n"/>
      <c r="OX8" s="212" t="n"/>
      <c r="OY8" s="212" t="n"/>
      <c r="OZ8" s="212" t="n"/>
      <c r="PA8" s="212" t="n"/>
      <c r="PB8" s="212" t="n"/>
      <c r="PC8" s="212" t="n"/>
      <c r="PD8" s="212" t="n"/>
      <c r="PE8" s="212" t="n"/>
      <c r="PF8" s="212" t="n"/>
      <c r="PG8" s="212" t="n"/>
      <c r="PH8" s="212" t="n"/>
      <c r="PI8" s="212" t="n"/>
      <c r="PJ8" s="212" t="n"/>
      <c r="PK8" s="212" t="n"/>
      <c r="PL8" s="212" t="n"/>
      <c r="PM8" s="212" t="n"/>
      <c r="PN8" s="212" t="n"/>
      <c r="PO8" s="212" t="n"/>
      <c r="PP8" s="212" t="n"/>
      <c r="PQ8" s="212" t="n"/>
      <c r="PR8" s="212" t="n"/>
      <c r="PS8" s="212" t="n"/>
      <c r="PT8" s="212" t="n"/>
      <c r="PU8" s="212" t="n"/>
      <c r="PV8" s="212" t="n"/>
      <c r="PW8" s="212" t="n"/>
      <c r="PX8" s="212" t="n"/>
      <c r="PY8" s="212" t="n"/>
      <c r="PZ8" s="212" t="n"/>
      <c r="QA8" s="212" t="n"/>
      <c r="QB8" s="212" t="n"/>
      <c r="QC8" s="212" t="n"/>
      <c r="QD8" s="212" t="n"/>
      <c r="QE8" s="212" t="n"/>
      <c r="QF8" s="212" t="n"/>
      <c r="QG8" s="212" t="n"/>
      <c r="QH8" s="212" t="n"/>
      <c r="QI8" s="212" t="n"/>
      <c r="QJ8" s="212" t="n"/>
      <c r="QK8" s="212" t="n"/>
      <c r="QL8" s="212" t="n"/>
      <c r="QM8" s="212" t="n"/>
      <c r="QN8" s="212" t="n"/>
      <c r="QO8" s="212" t="n"/>
      <c r="QP8" s="212" t="n"/>
      <c r="QQ8" s="212" t="n"/>
      <c r="QR8" s="212" t="n"/>
      <c r="QS8" s="212" t="n"/>
      <c r="QT8" s="212" t="n"/>
      <c r="QU8" s="212" t="n"/>
      <c r="QV8" s="212" t="n"/>
      <c r="QW8" s="212" t="n"/>
      <c r="QX8" s="212" t="n"/>
      <c r="QY8" s="212" t="n"/>
      <c r="QZ8" s="212" t="n"/>
      <c r="RA8" s="212" t="n"/>
      <c r="RB8" s="212" t="n"/>
      <c r="RC8" s="212" t="n"/>
      <c r="RD8" s="212" t="n"/>
      <c r="RE8" s="212" t="n"/>
      <c r="RF8" s="212" t="n"/>
      <c r="RG8" s="212" t="n"/>
      <c r="RH8" s="212" t="n"/>
      <c r="RI8" s="212" t="n"/>
      <c r="RJ8" s="212" t="n"/>
      <c r="RK8" s="212" t="n"/>
      <c r="RL8" s="212" t="n"/>
      <c r="RM8" s="212" t="n"/>
      <c r="RN8" s="212" t="n"/>
      <c r="RO8" s="212" t="n"/>
      <c r="RP8" s="212" t="n"/>
      <c r="RQ8" s="212" t="n"/>
      <c r="RR8" s="212" t="n"/>
      <c r="RS8" s="212" t="n"/>
      <c r="RT8" s="212" t="n"/>
      <c r="RU8" s="212" t="n"/>
      <c r="RV8" s="212" t="n"/>
      <c r="RW8" s="212" t="n"/>
      <c r="RX8" s="212" t="n"/>
      <c r="RY8" s="212" t="n"/>
      <c r="RZ8" s="212" t="n"/>
      <c r="SA8" s="212" t="n"/>
      <c r="SB8" s="212" t="n"/>
      <c r="SC8" s="212" t="n"/>
      <c r="SD8" s="212" t="n"/>
      <c r="SE8" s="212" t="n"/>
      <c r="SF8" s="212" t="n"/>
      <c r="SG8" s="212" t="n"/>
      <c r="SH8" s="212" t="n"/>
      <c r="SI8" s="212" t="n"/>
      <c r="SJ8" s="212" t="n"/>
      <c r="SK8" s="212" t="n"/>
      <c r="SL8" s="212" t="n"/>
      <c r="SM8" s="212" t="n"/>
      <c r="SN8" s="212" t="n"/>
      <c r="SO8" s="212" t="n"/>
      <c r="SP8" s="212" t="n"/>
      <c r="SQ8" s="212" t="n"/>
      <c r="SR8" s="212" t="n"/>
      <c r="SS8" s="212" t="n"/>
      <c r="ST8" s="212" t="n"/>
      <c r="SU8" s="212" t="n"/>
      <c r="SV8" s="212" t="n"/>
    </row>
    <row r="9">
      <c r="B9" s="209" t="n">
        <v>3</v>
      </c>
      <c r="C9" s="209" t="inlineStr">
        <is>
          <t>Wabtec</t>
        </is>
      </c>
      <c r="D9" s="209" t="inlineStr">
        <is>
          <t>Abdallah</t>
        </is>
      </c>
      <c r="E9" s="209" t="inlineStr">
        <is>
          <t>Joudeh</t>
        </is>
      </c>
      <c r="F9" s="209">
        <f>IF(TRIM(D9&amp;E9)="","",TRIM(D9)&amp;" "&amp;TRIM(E9))</f>
        <v/>
      </c>
      <c r="G9" s="209" t="inlineStr">
        <is>
          <t>Perth</t>
        </is>
      </c>
      <c r="H9" s="209" t="inlineStr">
        <is>
          <t>Construction Manager</t>
        </is>
      </c>
      <c r="I9" s="209" t="inlineStr">
        <is>
          <t>YES</t>
        </is>
      </c>
      <c r="J9" s="209" t="inlineStr">
        <is>
          <t>YES</t>
        </is>
      </c>
      <c r="K9" s="209" t="inlineStr">
        <is>
          <t>YES</t>
        </is>
      </c>
      <c r="L9" s="209" t="inlineStr">
        <is>
          <t>YES</t>
        </is>
      </c>
      <c r="M9" s="209" t="inlineStr">
        <is>
          <t>Quals Complete</t>
        </is>
      </c>
      <c r="N9" s="209" t="inlineStr">
        <is>
          <t>abdallah.joudeh@wabtec.com</t>
        </is>
      </c>
      <c r="O9" s="209" t="inlineStr">
        <is>
          <t>0449 078 079</t>
        </is>
      </c>
      <c r="P9" s="209" t="n">
        <v>863078</v>
      </c>
      <c r="Q9" s="209" t="n">
        <v>466807</v>
      </c>
      <c r="R9" s="209" t="inlineStr">
        <is>
          <t>2:1</t>
        </is>
      </c>
      <c r="S9" s="210" t="inlineStr">
        <is>
          <t>N/A</t>
        </is>
      </c>
      <c r="T9" s="210" t="inlineStr">
        <is>
          <t>N/A</t>
        </is>
      </c>
      <c r="U9" s="210" t="inlineStr">
        <is>
          <t>N/A</t>
        </is>
      </c>
      <c r="V9" s="210" t="inlineStr">
        <is>
          <t>N/A</t>
        </is>
      </c>
      <c r="W9" s="210" t="inlineStr">
        <is>
          <t>N/A</t>
        </is>
      </c>
      <c r="X9" s="210" t="inlineStr">
        <is>
          <t>N/A</t>
        </is>
      </c>
      <c r="Y9" s="210" t="inlineStr">
        <is>
          <t>N/A</t>
        </is>
      </c>
      <c r="Z9" s="210" t="inlineStr">
        <is>
          <t>N/A</t>
        </is>
      </c>
      <c r="AA9" s="210" t="inlineStr">
        <is>
          <t>N/A</t>
        </is>
      </c>
      <c r="AB9" s="210" t="inlineStr">
        <is>
          <t>N/A</t>
        </is>
      </c>
      <c r="AC9" s="210" t="inlineStr">
        <is>
          <t>N/A</t>
        </is>
      </c>
      <c r="AD9" s="210" t="inlineStr">
        <is>
          <t>N/A</t>
        </is>
      </c>
      <c r="AE9" s="210" t="inlineStr">
        <is>
          <t>N/A</t>
        </is>
      </c>
      <c r="AF9" s="210" t="inlineStr">
        <is>
          <t>N/A</t>
        </is>
      </c>
      <c r="AG9" s="211" t="inlineStr">
        <is>
          <t>DRV-IN PM LND</t>
        </is>
      </c>
      <c r="AH9" s="211" t="inlineStr">
        <is>
          <t>LND</t>
        </is>
      </c>
      <c r="AI9" s="211" t="inlineStr">
        <is>
          <t>LND</t>
        </is>
      </c>
      <c r="AJ9" s="211" t="inlineStr">
        <is>
          <t>LND</t>
        </is>
      </c>
      <c r="AK9" s="211" t="inlineStr">
        <is>
          <t>LND</t>
        </is>
      </c>
      <c r="AL9" s="211" t="inlineStr">
        <is>
          <t>LND</t>
        </is>
      </c>
      <c r="AM9" s="211" t="inlineStr">
        <is>
          <t>LND</t>
        </is>
      </c>
      <c r="AN9" s="211" t="inlineStr">
        <is>
          <t>LND</t>
        </is>
      </c>
      <c r="AO9" s="211" t="inlineStr">
        <is>
          <t>LND</t>
        </is>
      </c>
      <c r="AP9" s="211" t="inlineStr">
        <is>
          <t>LND</t>
        </is>
      </c>
      <c r="AQ9" s="211" t="inlineStr">
        <is>
          <t>LND</t>
        </is>
      </c>
      <c r="AR9" s="211" t="inlineStr">
        <is>
          <t>PHE/PER PM</t>
        </is>
      </c>
      <c r="AS9" s="210" t="inlineStr">
        <is>
          <t>N/A</t>
        </is>
      </c>
      <c r="AT9" s="210" t="inlineStr">
        <is>
          <t>N/A</t>
        </is>
      </c>
      <c r="AU9" s="210" t="inlineStr">
        <is>
          <t>N/A</t>
        </is>
      </c>
      <c r="AV9" s="210" t="inlineStr">
        <is>
          <t>N/A</t>
        </is>
      </c>
      <c r="AW9" s="210" t="inlineStr">
        <is>
          <t>N/A</t>
        </is>
      </c>
      <c r="AX9" s="210" t="inlineStr">
        <is>
          <t>N/A</t>
        </is>
      </c>
      <c r="AY9" s="211" t="inlineStr">
        <is>
          <t>PER/PHE PM
LND</t>
        </is>
      </c>
      <c r="AZ9" s="211" t="inlineStr">
        <is>
          <t>LND</t>
        </is>
      </c>
      <c r="BA9" s="211" t="inlineStr">
        <is>
          <t>LND</t>
        </is>
      </c>
      <c r="BB9" s="211" t="inlineStr">
        <is>
          <t>LND</t>
        </is>
      </c>
      <c r="BC9" s="211" t="inlineStr">
        <is>
          <t>LND</t>
        </is>
      </c>
      <c r="BD9" s="211" t="inlineStr">
        <is>
          <t>LND</t>
        </is>
      </c>
      <c r="BE9" s="211" t="inlineStr">
        <is>
          <t>LND</t>
        </is>
      </c>
      <c r="BF9" s="211" t="inlineStr">
        <is>
          <t>LND</t>
        </is>
      </c>
      <c r="BG9" s="211" t="inlineStr">
        <is>
          <t>LND</t>
        </is>
      </c>
      <c r="BH9" s="211" t="inlineStr">
        <is>
          <t>LND</t>
        </is>
      </c>
      <c r="BI9" s="211" t="inlineStr">
        <is>
          <t>LND</t>
        </is>
      </c>
      <c r="BJ9" s="211" t="inlineStr">
        <is>
          <t>LND</t>
        </is>
      </c>
      <c r="BK9" s="211" t="inlineStr">
        <is>
          <t>LND</t>
        </is>
      </c>
      <c r="BL9" s="211" t="inlineStr">
        <is>
          <t>LND</t>
        </is>
      </c>
      <c r="BM9" s="211" t="inlineStr">
        <is>
          <t>PHE/PER PM</t>
        </is>
      </c>
      <c r="BN9" s="214" t="inlineStr">
        <is>
          <t>RnR</t>
        </is>
      </c>
      <c r="BO9" s="214" t="inlineStr">
        <is>
          <t>RnR</t>
        </is>
      </c>
      <c r="BP9" s="214" t="inlineStr">
        <is>
          <t>RnR</t>
        </is>
      </c>
      <c r="BQ9" s="214" t="inlineStr">
        <is>
          <t>RnR</t>
        </is>
      </c>
      <c r="BR9" s="214" t="inlineStr">
        <is>
          <t>RnR</t>
        </is>
      </c>
      <c r="BS9" s="214" t="inlineStr">
        <is>
          <t>RnR</t>
        </is>
      </c>
      <c r="BT9" s="211" t="inlineStr">
        <is>
          <t>PER/PHE PM
LND</t>
        </is>
      </c>
      <c r="BU9" s="211" t="inlineStr">
        <is>
          <t>LND</t>
        </is>
      </c>
      <c r="BV9" s="211" t="inlineStr">
        <is>
          <t>LND</t>
        </is>
      </c>
      <c r="BW9" s="211" t="inlineStr">
        <is>
          <t>LND</t>
        </is>
      </c>
      <c r="BX9" s="211" t="inlineStr">
        <is>
          <t>LND</t>
        </is>
      </c>
      <c r="BY9" s="211" t="inlineStr">
        <is>
          <t>LND</t>
        </is>
      </c>
      <c r="BZ9" s="211" t="inlineStr">
        <is>
          <t>LND</t>
        </is>
      </c>
      <c r="CA9" s="211" t="inlineStr">
        <is>
          <t>LND</t>
        </is>
      </c>
      <c r="CB9" s="211" t="inlineStr">
        <is>
          <t>LND</t>
        </is>
      </c>
      <c r="CC9" s="211" t="inlineStr">
        <is>
          <t>LND</t>
        </is>
      </c>
      <c r="CD9" s="211" t="inlineStr">
        <is>
          <t>LND</t>
        </is>
      </c>
      <c r="CE9" s="211" t="inlineStr">
        <is>
          <t>LND</t>
        </is>
      </c>
      <c r="CF9" s="211" t="inlineStr">
        <is>
          <t>LND</t>
        </is>
      </c>
      <c r="CG9" s="215" t="inlineStr">
        <is>
          <t>PHE/PER AM</t>
        </is>
      </c>
      <c r="CH9" s="216" t="inlineStr">
        <is>
          <t>S/L</t>
        </is>
      </c>
      <c r="CI9" s="214" t="inlineStr">
        <is>
          <t>RnR</t>
        </is>
      </c>
      <c r="CJ9" s="214" t="inlineStr">
        <is>
          <t>RnR</t>
        </is>
      </c>
      <c r="CK9" s="214" t="inlineStr">
        <is>
          <t>RnR</t>
        </is>
      </c>
      <c r="CL9" s="214" t="inlineStr">
        <is>
          <t>RnR</t>
        </is>
      </c>
      <c r="CM9" s="214" t="inlineStr">
        <is>
          <t>RnR</t>
        </is>
      </c>
      <c r="CN9" s="214" t="inlineStr">
        <is>
          <t>RnR</t>
        </is>
      </c>
      <c r="CO9" s="216" t="inlineStr">
        <is>
          <t>S/L</t>
        </is>
      </c>
      <c r="CP9" s="216" t="inlineStr">
        <is>
          <t>S/L</t>
        </is>
      </c>
      <c r="CQ9" s="216" t="inlineStr">
        <is>
          <t>S/L</t>
        </is>
      </c>
      <c r="CR9" s="216" t="inlineStr">
        <is>
          <t>S/L</t>
        </is>
      </c>
      <c r="CS9" s="216" t="inlineStr">
        <is>
          <t>S/L</t>
        </is>
      </c>
      <c r="CT9" s="216" t="inlineStr">
        <is>
          <t>S/L</t>
        </is>
      </c>
      <c r="CU9" s="215" t="inlineStr">
        <is>
          <t>PER/PHE AM
LND</t>
        </is>
      </c>
      <c r="CV9" s="211" t="inlineStr">
        <is>
          <t>LND</t>
        </is>
      </c>
      <c r="CW9" s="211" t="inlineStr">
        <is>
          <t>LND</t>
        </is>
      </c>
      <c r="CX9" s="211" t="inlineStr">
        <is>
          <t>LND</t>
        </is>
      </c>
      <c r="CY9" s="211" t="inlineStr">
        <is>
          <t>LND</t>
        </is>
      </c>
      <c r="CZ9" s="211" t="inlineStr">
        <is>
          <t>LND</t>
        </is>
      </c>
      <c r="DA9" s="211" t="inlineStr">
        <is>
          <t>LND</t>
        </is>
      </c>
      <c r="DB9" s="211" t="inlineStr">
        <is>
          <t>LND</t>
        </is>
      </c>
      <c r="DC9" s="211" t="inlineStr">
        <is>
          <t>PHE/PER PM</t>
        </is>
      </c>
      <c r="DD9" s="217" t="inlineStr">
        <is>
          <t>DEMOB</t>
        </is>
      </c>
      <c r="DE9" s="210" t="inlineStr">
        <is>
          <t>N/A</t>
        </is>
      </c>
      <c r="DF9" s="210" t="inlineStr">
        <is>
          <t>N/A</t>
        </is>
      </c>
      <c r="DG9" s="210" t="inlineStr">
        <is>
          <t>N/A</t>
        </is>
      </c>
      <c r="DH9" s="210" t="inlineStr">
        <is>
          <t>N/A</t>
        </is>
      </c>
      <c r="DI9" s="210" t="inlineStr">
        <is>
          <t>N/A</t>
        </is>
      </c>
      <c r="DJ9" s="210" t="inlineStr">
        <is>
          <t>N/A</t>
        </is>
      </c>
      <c r="DK9" s="210" t="inlineStr">
        <is>
          <t>N/A</t>
        </is>
      </c>
      <c r="DL9" s="210" t="inlineStr">
        <is>
          <t>N/A</t>
        </is>
      </c>
      <c r="DM9" s="210" t="inlineStr">
        <is>
          <t>N/A</t>
        </is>
      </c>
      <c r="DN9" s="210" t="inlineStr">
        <is>
          <t>N/A</t>
        </is>
      </c>
      <c r="DO9" s="210" t="inlineStr">
        <is>
          <t>N/A</t>
        </is>
      </c>
      <c r="DP9" s="210" t="inlineStr">
        <is>
          <t>N/A</t>
        </is>
      </c>
      <c r="DQ9" s="210" t="inlineStr">
        <is>
          <t>N/A</t>
        </is>
      </c>
      <c r="DR9" s="212" t="n"/>
      <c r="DS9" s="212" t="n"/>
      <c r="DT9" s="212" t="n"/>
      <c r="DU9" s="212" t="n"/>
      <c r="DV9" s="212" t="n"/>
      <c r="DW9" s="212" t="n"/>
      <c r="DX9" s="212" t="n"/>
      <c r="DY9" s="212" t="n"/>
      <c r="DZ9" s="212" t="n"/>
      <c r="EA9" s="212" t="n"/>
      <c r="EB9" s="212" t="n"/>
      <c r="EC9" s="212" t="n"/>
      <c r="ED9" s="212" t="n"/>
      <c r="EE9" s="212" t="n"/>
      <c r="EF9" s="212" t="n"/>
      <c r="EG9" s="212" t="n"/>
      <c r="EH9" s="212" t="n"/>
      <c r="EI9" s="212" t="n"/>
      <c r="EJ9" s="212" t="n"/>
      <c r="EK9" s="212" t="n"/>
      <c r="EL9" s="212" t="n"/>
      <c r="EM9" s="212" t="n"/>
      <c r="EN9" s="212" t="n"/>
      <c r="EO9" s="212" t="n"/>
      <c r="EP9" s="212" t="n"/>
      <c r="EQ9" s="212" t="n"/>
      <c r="ER9" s="212" t="n"/>
      <c r="ES9" s="212" t="n"/>
      <c r="ET9" s="212" t="n"/>
      <c r="EU9" s="212" t="n"/>
      <c r="EV9" s="212" t="n"/>
      <c r="EW9" s="212" t="n"/>
      <c r="EX9" s="212" t="n"/>
      <c r="EY9" s="212" t="n"/>
      <c r="EZ9" s="212" t="n"/>
      <c r="FA9" s="212" t="n"/>
      <c r="FB9" s="212" t="n"/>
      <c r="FC9" s="212" t="n"/>
      <c r="FD9" s="212" t="n"/>
      <c r="FE9" s="212" t="n"/>
      <c r="FF9" s="212" t="n"/>
      <c r="FG9" s="212" t="n"/>
      <c r="FH9" s="212" t="n"/>
      <c r="FI9" s="212" t="n"/>
      <c r="FJ9" s="212" t="n"/>
      <c r="FK9" s="212" t="n"/>
      <c r="FL9" s="212" t="n"/>
      <c r="FM9" s="212" t="n"/>
      <c r="FN9" s="212" t="n"/>
      <c r="FO9" s="212" t="n"/>
      <c r="FP9" s="212" t="n"/>
      <c r="FQ9" s="212" t="n"/>
      <c r="FR9" s="212" t="n"/>
      <c r="FS9" s="212" t="n"/>
      <c r="FT9" s="212" t="n"/>
      <c r="FU9" s="212" t="n"/>
      <c r="FV9" s="212" t="n"/>
      <c r="FW9" s="212" t="n"/>
      <c r="FX9" s="212" t="n"/>
      <c r="FY9" s="212" t="n"/>
      <c r="FZ9" s="212" t="n"/>
      <c r="GA9" s="212" t="n"/>
      <c r="GB9" s="212" t="n"/>
      <c r="GC9" s="212" t="n"/>
      <c r="GD9" s="212" t="n"/>
      <c r="GE9" s="212" t="n"/>
      <c r="GF9" s="212" t="n"/>
      <c r="GG9" s="212" t="n"/>
      <c r="GH9" s="212" t="n"/>
      <c r="GI9" s="212" t="n"/>
      <c r="GJ9" s="212" t="n"/>
      <c r="GK9" s="212" t="n"/>
      <c r="GL9" s="212" t="n"/>
      <c r="GM9" s="212" t="n"/>
      <c r="GN9" s="212" t="n"/>
      <c r="GO9" s="212" t="n"/>
      <c r="GP9" s="212" t="n"/>
      <c r="GQ9" s="212" t="n"/>
      <c r="GR9" s="212" t="n"/>
      <c r="GS9" s="212" t="n"/>
      <c r="GT9" s="212" t="n"/>
      <c r="GU9" s="212" t="n"/>
      <c r="GV9" s="212" t="n"/>
      <c r="GW9" s="212" t="n"/>
      <c r="GX9" s="212" t="n"/>
      <c r="GY9" s="212" t="n"/>
      <c r="GZ9" s="212" t="n"/>
      <c r="HA9" s="212" t="n"/>
      <c r="HB9" s="212" t="n"/>
      <c r="HC9" s="212" t="n"/>
      <c r="HD9" s="212" t="n"/>
      <c r="HE9" s="212" t="n"/>
      <c r="HF9" s="212" t="n"/>
      <c r="HG9" s="212" t="n"/>
      <c r="HH9" s="212" t="n"/>
      <c r="HI9" s="212" t="n"/>
      <c r="HJ9" s="212" t="n"/>
      <c r="HK9" s="212" t="n"/>
      <c r="HL9" s="212" t="n"/>
      <c r="HM9" s="212" t="n"/>
      <c r="HN9" s="212" t="n"/>
      <c r="HO9" s="212" t="n"/>
      <c r="HP9" s="212" t="n"/>
      <c r="HQ9" s="212" t="n"/>
      <c r="HR9" s="212" t="n"/>
      <c r="HS9" s="212" t="n"/>
      <c r="HT9" s="212" t="n"/>
      <c r="HU9" s="212" t="n"/>
      <c r="HV9" s="212" t="n"/>
      <c r="HW9" s="212" t="n"/>
      <c r="HX9" s="212" t="n"/>
      <c r="HY9" s="212" t="n"/>
      <c r="HZ9" s="212" t="n"/>
      <c r="IA9" s="212" t="n"/>
      <c r="IB9" s="212" t="n"/>
      <c r="IC9" s="212" t="n"/>
      <c r="ID9" s="212" t="n"/>
      <c r="IE9" s="212" t="n"/>
      <c r="IF9" s="212" t="n"/>
      <c r="IG9" s="212" t="n"/>
      <c r="IH9" s="212" t="n"/>
      <c r="II9" s="212" t="n"/>
      <c r="IJ9" s="212" t="n"/>
      <c r="IK9" s="212" t="n"/>
      <c r="IL9" s="212" t="n"/>
      <c r="IM9" s="212" t="n"/>
      <c r="IN9" s="212" t="n"/>
      <c r="IO9" s="212" t="n"/>
      <c r="IP9" s="212" t="n"/>
      <c r="IQ9" s="212" t="n"/>
      <c r="IR9" s="212" t="n"/>
      <c r="IS9" s="212" t="n"/>
      <c r="IT9" s="212" t="n"/>
      <c r="IU9" s="212" t="n"/>
      <c r="IV9" s="212" t="n"/>
      <c r="IW9" s="212" t="n"/>
      <c r="IX9" s="212" t="n"/>
      <c r="IY9" s="212" t="n"/>
      <c r="IZ9" s="212" t="n"/>
      <c r="JA9" s="212" t="n"/>
      <c r="JB9" s="212" t="n"/>
      <c r="JC9" s="212" t="n"/>
      <c r="JD9" s="212" t="n"/>
      <c r="JE9" s="212" t="n"/>
      <c r="JF9" s="212" t="n"/>
      <c r="JG9" s="212" t="n"/>
      <c r="JH9" s="212" t="n"/>
      <c r="JI9" s="212" t="n"/>
      <c r="JJ9" s="212" t="n"/>
      <c r="JK9" s="212" t="n"/>
      <c r="JL9" s="212" t="n"/>
      <c r="JM9" s="212" t="n"/>
      <c r="JN9" s="212" t="n"/>
      <c r="JO9" s="212" t="n"/>
      <c r="JP9" s="212" t="n"/>
      <c r="JQ9" s="212" t="n"/>
      <c r="JR9" s="212" t="n"/>
      <c r="JS9" s="212" t="n"/>
      <c r="JT9" s="212" t="n"/>
      <c r="JU9" s="212" t="n"/>
      <c r="JV9" s="212" t="n"/>
      <c r="JW9" s="212" t="n"/>
      <c r="JX9" s="212" t="n"/>
      <c r="JY9" s="212" t="n"/>
      <c r="JZ9" s="212" t="n"/>
      <c r="KA9" s="212" t="n"/>
      <c r="KB9" s="212" t="n"/>
      <c r="KC9" s="212" t="n"/>
      <c r="KD9" s="212" t="n"/>
      <c r="KE9" s="212" t="n"/>
      <c r="KF9" s="212" t="n"/>
      <c r="KG9" s="212" t="n"/>
      <c r="KH9" s="212" t="n"/>
      <c r="KI9" s="212" t="n"/>
      <c r="KJ9" s="212" t="n"/>
      <c r="KK9" s="212" t="n"/>
      <c r="KL9" s="212" t="n"/>
      <c r="KM9" s="212" t="n"/>
      <c r="KN9" s="212" t="n"/>
      <c r="KO9" s="212" t="n"/>
      <c r="KP9" s="212" t="n"/>
      <c r="KQ9" s="212" t="n"/>
      <c r="KR9" s="212" t="n"/>
      <c r="KS9" s="212" t="n"/>
      <c r="KT9" s="212" t="n"/>
      <c r="KU9" s="212" t="n"/>
      <c r="KV9" s="212" t="n"/>
      <c r="KW9" s="212" t="n"/>
      <c r="KX9" s="212" t="n"/>
      <c r="KY9" s="212" t="n"/>
      <c r="KZ9" s="212" t="n"/>
      <c r="LA9" s="212" t="n"/>
      <c r="LB9" s="212" t="n"/>
      <c r="LC9" s="212" t="n"/>
      <c r="LD9" s="212" t="n"/>
      <c r="LE9" s="212" t="n"/>
      <c r="LF9" s="212" t="n"/>
      <c r="LG9" s="212" t="n"/>
      <c r="LH9" s="212" t="n"/>
      <c r="LI9" s="212" t="n"/>
      <c r="LJ9" s="212" t="n"/>
      <c r="LK9" s="212" t="n"/>
      <c r="LL9" s="212" t="n"/>
      <c r="LM9" s="212" t="n"/>
      <c r="LN9" s="212" t="n"/>
      <c r="LO9" s="212" t="n"/>
      <c r="LP9" s="212" t="n"/>
      <c r="LQ9" s="212" t="n"/>
      <c r="LR9" s="212" t="n"/>
      <c r="LS9" s="212" t="n"/>
      <c r="LT9" s="212" t="n"/>
      <c r="LU9" s="212" t="n"/>
      <c r="LV9" s="212" t="n"/>
      <c r="LW9" s="212" t="n"/>
      <c r="LX9" s="212" t="n"/>
      <c r="LY9" s="212" t="n"/>
      <c r="LZ9" s="212" t="n"/>
      <c r="MA9" s="212" t="n"/>
      <c r="MB9" s="212" t="n"/>
      <c r="MC9" s="212" t="n"/>
      <c r="MD9" s="212" t="n"/>
      <c r="ME9" s="212" t="n"/>
      <c r="MF9" s="212" t="n"/>
      <c r="MG9" s="212" t="n"/>
      <c r="MH9" s="212" t="n"/>
      <c r="MI9" s="212" t="n"/>
      <c r="MJ9" s="212" t="n"/>
      <c r="MK9" s="212" t="n"/>
      <c r="ML9" s="212" t="n"/>
      <c r="MM9" s="212" t="n"/>
      <c r="MN9" s="212" t="n"/>
      <c r="MO9" s="212" t="n"/>
      <c r="MP9" s="212" t="n"/>
      <c r="MQ9" s="212" t="n"/>
      <c r="MR9" s="212" t="n"/>
      <c r="MS9" s="212" t="n"/>
      <c r="MT9" s="212" t="n"/>
      <c r="MU9" s="212" t="n"/>
      <c r="MV9" s="212" t="n"/>
      <c r="MW9" s="212" t="n"/>
      <c r="MX9" s="212" t="n"/>
      <c r="MY9" s="212" t="n"/>
      <c r="MZ9" s="212" t="n"/>
      <c r="NA9" s="212" t="n"/>
      <c r="NB9" s="212" t="n"/>
      <c r="NC9" s="212" t="n"/>
      <c r="ND9" s="212" t="n"/>
      <c r="NE9" s="212" t="n"/>
      <c r="NF9" s="212" t="n"/>
      <c r="NG9" s="212" t="n"/>
      <c r="NH9" s="212" t="n"/>
      <c r="NI9" s="212" t="n"/>
      <c r="NJ9" s="212" t="n"/>
      <c r="NK9" s="212" t="n"/>
      <c r="NL9" s="212" t="n"/>
      <c r="NM9" s="212" t="n"/>
      <c r="NN9" s="212" t="n"/>
      <c r="NO9" s="212" t="n"/>
      <c r="NP9" s="212" t="n"/>
      <c r="NQ9" s="212" t="n"/>
      <c r="NR9" s="212" t="n"/>
      <c r="NS9" s="212" t="n"/>
      <c r="NT9" s="212" t="n"/>
      <c r="NU9" s="212" t="n"/>
      <c r="NV9" s="212" t="n"/>
      <c r="NW9" s="212" t="n"/>
      <c r="NX9" s="212" t="n"/>
      <c r="NY9" s="212" t="n"/>
      <c r="NZ9" s="212" t="n"/>
      <c r="OA9" s="212" t="n"/>
      <c r="OB9" s="212" t="n"/>
      <c r="OC9" s="212" t="n"/>
      <c r="OD9" s="212" t="n"/>
      <c r="OE9" s="212" t="n"/>
      <c r="OF9" s="212" t="n"/>
      <c r="OG9" s="212" t="n"/>
      <c r="OH9" s="212" t="n"/>
      <c r="OI9" s="212" t="n"/>
      <c r="OJ9" s="212" t="n"/>
      <c r="OK9" s="212" t="n"/>
      <c r="OL9" s="212" t="n"/>
      <c r="OM9" s="212" t="n"/>
      <c r="ON9" s="212" t="n"/>
      <c r="OO9" s="212" t="n"/>
      <c r="OP9" s="212" t="n"/>
      <c r="OQ9" s="212" t="n"/>
      <c r="OR9" s="212" t="n"/>
      <c r="OS9" s="212" t="n"/>
      <c r="OT9" s="212" t="n"/>
      <c r="OU9" s="212" t="n"/>
      <c r="OV9" s="212" t="n"/>
      <c r="OW9" s="212" t="n"/>
      <c r="OX9" s="212" t="n"/>
      <c r="OY9" s="212" t="n"/>
      <c r="OZ9" s="212" t="n"/>
      <c r="PA9" s="212" t="n"/>
      <c r="PB9" s="212" t="n"/>
      <c r="PC9" s="212" t="n"/>
      <c r="PD9" s="212" t="n"/>
      <c r="PE9" s="212" t="n"/>
      <c r="PF9" s="212" t="n"/>
      <c r="PG9" s="212" t="n"/>
      <c r="PH9" s="212" t="n"/>
      <c r="PI9" s="212" t="n"/>
      <c r="PJ9" s="212" t="n"/>
      <c r="PK9" s="212" t="n"/>
      <c r="PL9" s="212" t="n"/>
      <c r="PM9" s="212" t="n"/>
      <c r="PN9" s="212" t="n"/>
      <c r="PO9" s="212" t="n"/>
      <c r="PP9" s="212" t="n"/>
      <c r="PQ9" s="212" t="n"/>
      <c r="PR9" s="212" t="n"/>
      <c r="PS9" s="212" t="n"/>
      <c r="PT9" s="212" t="n"/>
      <c r="PU9" s="212" t="n"/>
      <c r="PV9" s="212" t="n"/>
      <c r="PW9" s="212" t="n"/>
      <c r="PX9" s="212" t="n"/>
      <c r="PY9" s="212" t="n"/>
      <c r="PZ9" s="212" t="n"/>
      <c r="QA9" s="212" t="n"/>
      <c r="QB9" s="212" t="n"/>
      <c r="QC9" s="212" t="n"/>
      <c r="QD9" s="212" t="n"/>
      <c r="QE9" s="212" t="n"/>
      <c r="QF9" s="212" t="n"/>
      <c r="QG9" s="212" t="n"/>
      <c r="QH9" s="212" t="n"/>
      <c r="QI9" s="212" t="n"/>
      <c r="QJ9" s="212" t="n"/>
      <c r="QK9" s="212" t="n"/>
      <c r="QL9" s="212" t="n"/>
      <c r="QM9" s="212" t="n"/>
      <c r="QN9" s="212" t="n"/>
      <c r="QO9" s="212" t="n"/>
      <c r="QP9" s="212" t="n"/>
      <c r="QQ9" s="212" t="n"/>
      <c r="QR9" s="212" t="n"/>
      <c r="QS9" s="212" t="n"/>
      <c r="QT9" s="212" t="n"/>
      <c r="QU9" s="212" t="n"/>
      <c r="QV9" s="212" t="n"/>
      <c r="QW9" s="212" t="n"/>
      <c r="QX9" s="212" t="n"/>
      <c r="QY9" s="212" t="n"/>
      <c r="QZ9" s="212" t="n"/>
      <c r="RA9" s="212" t="n"/>
      <c r="RB9" s="212" t="n"/>
      <c r="RC9" s="212" t="n"/>
      <c r="RD9" s="212" t="n"/>
      <c r="RE9" s="212" t="n"/>
      <c r="RF9" s="212" t="n"/>
      <c r="RG9" s="212" t="n"/>
      <c r="RH9" s="212" t="n"/>
      <c r="RI9" s="212" t="n"/>
      <c r="RJ9" s="212" t="n"/>
      <c r="RK9" s="212" t="n"/>
      <c r="RL9" s="212" t="n"/>
      <c r="RM9" s="212" t="n"/>
      <c r="RN9" s="212" t="n"/>
      <c r="RO9" s="212" t="n"/>
      <c r="RP9" s="212" t="n"/>
      <c r="RQ9" s="212" t="n"/>
      <c r="RR9" s="212" t="n"/>
      <c r="RS9" s="212" t="n"/>
      <c r="RT9" s="212" t="n"/>
      <c r="RU9" s="212" t="n"/>
      <c r="RV9" s="212" t="n"/>
      <c r="RW9" s="212" t="n"/>
      <c r="RX9" s="212" t="n"/>
      <c r="RY9" s="212" t="n"/>
      <c r="RZ9" s="212" t="n"/>
      <c r="SA9" s="212" t="n"/>
      <c r="SB9" s="212" t="n"/>
      <c r="SC9" s="212" t="n"/>
      <c r="SD9" s="212" t="n"/>
      <c r="SE9" s="212" t="n"/>
      <c r="SF9" s="212" t="n"/>
      <c r="SG9" s="212" t="n"/>
      <c r="SH9" s="212" t="n"/>
      <c r="SI9" s="212" t="n"/>
      <c r="SJ9" s="212" t="n"/>
      <c r="SK9" s="212" t="n"/>
      <c r="SL9" s="212" t="n"/>
      <c r="SM9" s="212" t="n"/>
      <c r="SN9" s="212" t="n"/>
      <c r="SO9" s="212" t="n"/>
      <c r="SP9" s="212" t="n"/>
      <c r="SQ9" s="212" t="n"/>
      <c r="SR9" s="212" t="n"/>
      <c r="SS9" s="212" t="n"/>
      <c r="ST9" s="212" t="n"/>
      <c r="SU9" s="212" t="n"/>
      <c r="SV9" s="212" t="n"/>
    </row>
    <row r="10">
      <c r="B10" s="209" t="n">
        <v>4</v>
      </c>
      <c r="C10" s="209" t="inlineStr">
        <is>
          <t>Wabtec</t>
        </is>
      </c>
      <c r="D10" s="209" t="inlineStr">
        <is>
          <t>a</t>
        </is>
      </c>
      <c r="E10" s="209" t="inlineStr">
        <is>
          <t>TBA</t>
        </is>
      </c>
      <c r="F10" s="209">
        <f>IF(TRIM(D10&amp;E10)="","",TRIM(D10)&amp;" "&amp;TRIM(E10))</f>
        <v/>
      </c>
      <c r="G10" s="209" t="inlineStr">
        <is>
          <t>Perth</t>
        </is>
      </c>
      <c r="H10" s="209" t="inlineStr">
        <is>
          <t>HSE</t>
        </is>
      </c>
      <c r="I10" s="209" t="inlineStr">
        <is>
          <t>TBA</t>
        </is>
      </c>
      <c r="J10" s="209" t="inlineStr">
        <is>
          <t>TBA</t>
        </is>
      </c>
      <c r="K10" s="209" t="inlineStr">
        <is>
          <t>TBA</t>
        </is>
      </c>
      <c r="L10" s="209" t="inlineStr">
        <is>
          <t>TBA</t>
        </is>
      </c>
      <c r="M10" s="209" t="inlineStr">
        <is>
          <t>TBA</t>
        </is>
      </c>
      <c r="N10" s="209" t="inlineStr">
        <is>
          <t>TBA</t>
        </is>
      </c>
      <c r="O10" s="209" t="inlineStr">
        <is>
          <t>TBA</t>
        </is>
      </c>
      <c r="P10" s="209" t="inlineStr">
        <is>
          <t>TBA</t>
        </is>
      </c>
      <c r="Q10" s="209" t="inlineStr">
        <is>
          <t>TBA</t>
        </is>
      </c>
      <c r="R10" s="209" t="inlineStr">
        <is>
          <t>TBA</t>
        </is>
      </c>
      <c r="S10" s="210" t="inlineStr">
        <is>
          <t>N/A</t>
        </is>
      </c>
      <c r="T10" s="210" t="inlineStr">
        <is>
          <t>N/A</t>
        </is>
      </c>
      <c r="U10" s="210" t="inlineStr">
        <is>
          <t>N/A</t>
        </is>
      </c>
      <c r="V10" s="210" t="inlineStr">
        <is>
          <t>N/A</t>
        </is>
      </c>
      <c r="W10" s="210" t="inlineStr">
        <is>
          <t>N/A</t>
        </is>
      </c>
      <c r="X10" s="210" t="inlineStr">
        <is>
          <t>N/A</t>
        </is>
      </c>
      <c r="Y10" s="210" t="inlineStr">
        <is>
          <t>N/A</t>
        </is>
      </c>
      <c r="Z10" s="210" t="inlineStr">
        <is>
          <t>N/A</t>
        </is>
      </c>
      <c r="AA10" s="210" t="inlineStr">
        <is>
          <t>N/A</t>
        </is>
      </c>
      <c r="AB10" s="210" t="inlineStr">
        <is>
          <t>N/A</t>
        </is>
      </c>
      <c r="AC10" s="210" t="inlineStr">
        <is>
          <t>N/A</t>
        </is>
      </c>
      <c r="AD10" s="210" t="inlineStr">
        <is>
          <t>N/A</t>
        </is>
      </c>
      <c r="AE10" s="210" t="inlineStr">
        <is>
          <t>N/A</t>
        </is>
      </c>
      <c r="AF10" s="210" t="inlineStr">
        <is>
          <t>N/A</t>
        </is>
      </c>
      <c r="AG10" s="210" t="inlineStr">
        <is>
          <t>N/A</t>
        </is>
      </c>
      <c r="AH10" s="210" t="inlineStr">
        <is>
          <t>N/A</t>
        </is>
      </c>
      <c r="AI10" s="210" t="inlineStr">
        <is>
          <t>N/A</t>
        </is>
      </c>
      <c r="AJ10" s="210" t="inlineStr">
        <is>
          <t>N/A</t>
        </is>
      </c>
      <c r="AK10" s="210" t="inlineStr">
        <is>
          <t>N/A</t>
        </is>
      </c>
      <c r="AL10" s="210" t="inlineStr">
        <is>
          <t>N/A</t>
        </is>
      </c>
      <c r="AM10" s="210" t="inlineStr">
        <is>
          <t>N/A</t>
        </is>
      </c>
      <c r="AN10" s="210" t="inlineStr">
        <is>
          <t>N/A</t>
        </is>
      </c>
      <c r="AO10" s="210" t="inlineStr">
        <is>
          <t>N/A</t>
        </is>
      </c>
      <c r="AP10" s="210" t="inlineStr">
        <is>
          <t>N/A</t>
        </is>
      </c>
      <c r="AQ10" s="210" t="inlineStr">
        <is>
          <t>N/A</t>
        </is>
      </c>
      <c r="AR10" s="210" t="inlineStr">
        <is>
          <t>N/A</t>
        </is>
      </c>
      <c r="AS10" s="210" t="inlineStr">
        <is>
          <t>N/A</t>
        </is>
      </c>
      <c r="AT10" s="210" t="inlineStr">
        <is>
          <t>N/A</t>
        </is>
      </c>
      <c r="AU10" s="210" t="inlineStr">
        <is>
          <t>N/A</t>
        </is>
      </c>
      <c r="AV10" s="210" t="inlineStr">
        <is>
          <t>N/A</t>
        </is>
      </c>
      <c r="AW10" s="210" t="inlineStr">
        <is>
          <t>N/A</t>
        </is>
      </c>
      <c r="AX10" s="210" t="inlineStr">
        <is>
          <t>N/A</t>
        </is>
      </c>
      <c r="AY10" s="210" t="inlineStr">
        <is>
          <t>N/A</t>
        </is>
      </c>
      <c r="AZ10" s="210" t="inlineStr">
        <is>
          <t>N/A</t>
        </is>
      </c>
      <c r="BA10" s="210" t="inlineStr">
        <is>
          <t>N/A</t>
        </is>
      </c>
      <c r="BB10" s="210" t="inlineStr">
        <is>
          <t>N/A</t>
        </is>
      </c>
      <c r="BC10" s="210" t="inlineStr">
        <is>
          <t>N/A</t>
        </is>
      </c>
      <c r="BD10" s="210" t="inlineStr">
        <is>
          <t>N/A</t>
        </is>
      </c>
      <c r="BE10" s="210" t="inlineStr">
        <is>
          <t>N/A</t>
        </is>
      </c>
      <c r="BF10" s="210" t="inlineStr">
        <is>
          <t>N/A</t>
        </is>
      </c>
      <c r="BG10" s="210" t="inlineStr">
        <is>
          <t>N/A</t>
        </is>
      </c>
      <c r="BH10" s="210" t="inlineStr">
        <is>
          <t>N/A</t>
        </is>
      </c>
      <c r="BI10" s="210" t="inlineStr">
        <is>
          <t>N/A</t>
        </is>
      </c>
      <c r="BJ10" s="210" t="inlineStr">
        <is>
          <t>N/A</t>
        </is>
      </c>
      <c r="BK10" s="210" t="inlineStr">
        <is>
          <t>N/A</t>
        </is>
      </c>
      <c r="BL10" s="210" t="inlineStr">
        <is>
          <t>N/A</t>
        </is>
      </c>
      <c r="BM10" s="210" t="inlineStr">
        <is>
          <t>N/A</t>
        </is>
      </c>
      <c r="BN10" s="210" t="inlineStr">
        <is>
          <t>N/A</t>
        </is>
      </c>
      <c r="BO10" s="210" t="inlineStr">
        <is>
          <t>N/A</t>
        </is>
      </c>
      <c r="BP10" s="210" t="inlineStr">
        <is>
          <t>N/A</t>
        </is>
      </c>
      <c r="BQ10" s="210" t="inlineStr">
        <is>
          <t>N/A</t>
        </is>
      </c>
      <c r="BR10" s="210" t="inlineStr">
        <is>
          <t>N/A</t>
        </is>
      </c>
      <c r="BS10" s="210" t="inlineStr">
        <is>
          <t>N/A</t>
        </is>
      </c>
      <c r="BT10" s="210" t="inlineStr">
        <is>
          <t>N/A</t>
        </is>
      </c>
      <c r="BU10" s="210" t="inlineStr">
        <is>
          <t>N/A</t>
        </is>
      </c>
      <c r="BV10" s="210" t="inlineStr">
        <is>
          <t>N/A</t>
        </is>
      </c>
      <c r="BW10" s="210" t="inlineStr">
        <is>
          <t>N/A</t>
        </is>
      </c>
      <c r="BX10" s="210" t="inlineStr">
        <is>
          <t>N/A</t>
        </is>
      </c>
      <c r="BY10" s="210" t="inlineStr">
        <is>
          <t>N/A</t>
        </is>
      </c>
      <c r="BZ10" s="210" t="inlineStr">
        <is>
          <t>N/A</t>
        </is>
      </c>
      <c r="CA10" s="210" t="inlineStr">
        <is>
          <t>N/A</t>
        </is>
      </c>
      <c r="CB10" s="210" t="inlineStr">
        <is>
          <t>N/A</t>
        </is>
      </c>
      <c r="CC10" s="210" t="inlineStr">
        <is>
          <t>N/A</t>
        </is>
      </c>
      <c r="CD10" s="210" t="inlineStr">
        <is>
          <t>N/A</t>
        </is>
      </c>
      <c r="CE10" s="210" t="inlineStr">
        <is>
          <t>N/A</t>
        </is>
      </c>
      <c r="CF10" s="210" t="inlineStr">
        <is>
          <t>N/A</t>
        </is>
      </c>
      <c r="CG10" s="210" t="inlineStr">
        <is>
          <t>N/A</t>
        </is>
      </c>
      <c r="CH10" s="210" t="inlineStr">
        <is>
          <t>N/A</t>
        </is>
      </c>
      <c r="CI10" s="210" t="inlineStr">
        <is>
          <t>N/A</t>
        </is>
      </c>
      <c r="CJ10" s="210" t="inlineStr">
        <is>
          <t>N/A</t>
        </is>
      </c>
      <c r="CK10" s="210" t="inlineStr">
        <is>
          <t>N/A</t>
        </is>
      </c>
      <c r="CL10" s="210" t="inlineStr">
        <is>
          <t>N/A</t>
        </is>
      </c>
      <c r="CM10" s="210" t="inlineStr">
        <is>
          <t>N/A</t>
        </is>
      </c>
      <c r="CN10" s="210" t="inlineStr">
        <is>
          <t>N/A</t>
        </is>
      </c>
      <c r="CO10" s="210" t="inlineStr">
        <is>
          <t>N/A</t>
        </is>
      </c>
      <c r="CP10" s="210" t="inlineStr">
        <is>
          <t>N/A</t>
        </is>
      </c>
      <c r="CQ10" s="210" t="inlineStr">
        <is>
          <t>N/A</t>
        </is>
      </c>
      <c r="CR10" s="210" t="inlineStr">
        <is>
          <t>N/A</t>
        </is>
      </c>
      <c r="CS10" s="210" t="inlineStr">
        <is>
          <t>N/A</t>
        </is>
      </c>
      <c r="CT10" s="210" t="inlineStr">
        <is>
          <t>N/A</t>
        </is>
      </c>
      <c r="CU10" s="210" t="inlineStr">
        <is>
          <t>N/A</t>
        </is>
      </c>
      <c r="CV10" s="210" t="inlineStr">
        <is>
          <t>N/A</t>
        </is>
      </c>
      <c r="CW10" s="210" t="inlineStr">
        <is>
          <t>N/A</t>
        </is>
      </c>
      <c r="CX10" s="210" t="inlineStr">
        <is>
          <t>N/A</t>
        </is>
      </c>
      <c r="CY10" s="210" t="inlineStr">
        <is>
          <t>N/A</t>
        </is>
      </c>
      <c r="CZ10" s="210" t="inlineStr">
        <is>
          <t>N/A</t>
        </is>
      </c>
      <c r="DA10" s="210" t="inlineStr">
        <is>
          <t>N/A</t>
        </is>
      </c>
      <c r="DB10" s="210" t="inlineStr">
        <is>
          <t>N/A</t>
        </is>
      </c>
      <c r="DC10" s="210" t="inlineStr">
        <is>
          <t>N/A</t>
        </is>
      </c>
      <c r="DD10" s="210" t="inlineStr">
        <is>
          <t>N/A</t>
        </is>
      </c>
      <c r="DE10" s="210" t="inlineStr">
        <is>
          <t>N/A</t>
        </is>
      </c>
      <c r="DF10" s="210" t="inlineStr">
        <is>
          <t>N/A</t>
        </is>
      </c>
      <c r="DG10" s="210" t="inlineStr">
        <is>
          <t>N/A</t>
        </is>
      </c>
      <c r="DH10" s="210" t="inlineStr">
        <is>
          <t>N/A</t>
        </is>
      </c>
      <c r="DI10" s="210" t="inlineStr">
        <is>
          <t>N/A</t>
        </is>
      </c>
      <c r="DJ10" s="210" t="inlineStr">
        <is>
          <t>N/A</t>
        </is>
      </c>
      <c r="DK10" s="210" t="inlineStr">
        <is>
          <t>N/A</t>
        </is>
      </c>
      <c r="DL10" s="210" t="inlineStr">
        <is>
          <t>N/A</t>
        </is>
      </c>
      <c r="DM10" s="210" t="inlineStr">
        <is>
          <t>N/A</t>
        </is>
      </c>
      <c r="DN10" s="210" t="inlineStr">
        <is>
          <t>N/A</t>
        </is>
      </c>
      <c r="DO10" s="210" t="inlineStr">
        <is>
          <t>N/A</t>
        </is>
      </c>
      <c r="DP10" s="210" t="inlineStr">
        <is>
          <t>N/A</t>
        </is>
      </c>
      <c r="DQ10" s="210" t="inlineStr">
        <is>
          <t>N/A</t>
        </is>
      </c>
      <c r="DR10" s="212" t="n"/>
      <c r="DS10" s="212" t="n"/>
      <c r="DT10" s="212" t="n"/>
      <c r="DU10" s="212" t="n"/>
      <c r="DV10" s="212" t="n"/>
      <c r="DW10" s="212" t="n"/>
      <c r="DX10" s="212" t="n"/>
      <c r="DY10" s="212" t="n"/>
      <c r="DZ10" s="212" t="n"/>
      <c r="EA10" s="212" t="n"/>
      <c r="EB10" s="212" t="n"/>
      <c r="EC10" s="212" t="n"/>
      <c r="ED10" s="212" t="n"/>
      <c r="EE10" s="212" t="n"/>
      <c r="EF10" s="212" t="n"/>
      <c r="EG10" s="212" t="n"/>
      <c r="EH10" s="212" t="n"/>
      <c r="EI10" s="212" t="n"/>
      <c r="EJ10" s="212" t="n"/>
      <c r="EK10" s="212" t="n"/>
      <c r="EL10" s="212" t="n"/>
      <c r="EM10" s="212" t="n"/>
      <c r="EN10" s="212" t="n"/>
      <c r="EO10" s="212" t="n"/>
      <c r="EP10" s="212" t="n"/>
      <c r="EQ10" s="212" t="n"/>
      <c r="ER10" s="212" t="n"/>
      <c r="ES10" s="212" t="n"/>
      <c r="ET10" s="212" t="n"/>
      <c r="EU10" s="212" t="n"/>
      <c r="EV10" s="212" t="n"/>
      <c r="EW10" s="212" t="n"/>
      <c r="EX10" s="212" t="n"/>
      <c r="EY10" s="212" t="n"/>
      <c r="EZ10" s="212" t="n"/>
      <c r="FA10" s="212" t="n"/>
      <c r="FB10" s="212" t="n"/>
      <c r="FC10" s="212" t="n"/>
      <c r="FD10" s="212" t="n"/>
      <c r="FE10" s="212" t="n"/>
      <c r="FF10" s="212" t="n"/>
      <c r="FG10" s="212" t="n"/>
      <c r="FH10" s="212" t="n"/>
      <c r="FI10" s="212" t="n"/>
      <c r="FJ10" s="212" t="n"/>
      <c r="FK10" s="212" t="n"/>
      <c r="FL10" s="212" t="n"/>
      <c r="FM10" s="212" t="n"/>
      <c r="FN10" s="212" t="n"/>
      <c r="FO10" s="212" t="n"/>
      <c r="FP10" s="212" t="n"/>
      <c r="FQ10" s="212" t="n"/>
      <c r="FR10" s="212" t="n"/>
      <c r="FS10" s="212" t="n"/>
      <c r="FT10" s="212" t="n"/>
      <c r="FU10" s="212" t="n"/>
      <c r="FV10" s="212" t="n"/>
      <c r="FW10" s="212" t="n"/>
      <c r="FX10" s="212" t="n"/>
      <c r="FY10" s="212" t="n"/>
      <c r="FZ10" s="212" t="n"/>
      <c r="GA10" s="212" t="n"/>
      <c r="GB10" s="212" t="n"/>
      <c r="GC10" s="212" t="n"/>
      <c r="GD10" s="212" t="n"/>
      <c r="GE10" s="212" t="n"/>
      <c r="GF10" s="212" t="n"/>
      <c r="GG10" s="212" t="n"/>
      <c r="GH10" s="212" t="n"/>
      <c r="GI10" s="212" t="n"/>
      <c r="GJ10" s="212" t="n"/>
      <c r="GK10" s="212" t="n"/>
      <c r="GL10" s="212" t="n"/>
      <c r="GM10" s="212" t="n"/>
      <c r="GN10" s="212" t="n"/>
      <c r="GO10" s="212" t="n"/>
      <c r="GP10" s="212" t="n"/>
      <c r="GQ10" s="212" t="n"/>
      <c r="GR10" s="212" t="n"/>
      <c r="GS10" s="212" t="n"/>
      <c r="GT10" s="212" t="n"/>
      <c r="GU10" s="212" t="n"/>
      <c r="GV10" s="212" t="n"/>
      <c r="GW10" s="212" t="n"/>
      <c r="GX10" s="212" t="n"/>
      <c r="GY10" s="212" t="n"/>
      <c r="GZ10" s="212" t="n"/>
      <c r="HA10" s="212" t="n"/>
      <c r="HB10" s="212" t="n"/>
      <c r="HC10" s="212" t="n"/>
      <c r="HD10" s="212" t="n"/>
      <c r="HE10" s="212" t="n"/>
      <c r="HF10" s="212" t="n"/>
      <c r="HG10" s="212" t="n"/>
      <c r="HH10" s="212" t="n"/>
      <c r="HI10" s="212" t="n"/>
      <c r="HJ10" s="212" t="n"/>
      <c r="HK10" s="212" t="n"/>
      <c r="HL10" s="212" t="n"/>
      <c r="HM10" s="212" t="n"/>
      <c r="HN10" s="212" t="n"/>
      <c r="HO10" s="212" t="n"/>
      <c r="HP10" s="212" t="n"/>
      <c r="HQ10" s="212" t="n"/>
      <c r="HR10" s="212" t="n"/>
      <c r="HS10" s="212" t="n"/>
      <c r="HT10" s="212" t="n"/>
      <c r="HU10" s="212" t="n"/>
      <c r="HV10" s="212" t="n"/>
      <c r="HW10" s="212" t="n"/>
      <c r="HX10" s="212" t="n"/>
      <c r="HY10" s="212" t="n"/>
      <c r="HZ10" s="212" t="n"/>
      <c r="IA10" s="212" t="n"/>
      <c r="IB10" s="212" t="n"/>
      <c r="IC10" s="212" t="n"/>
      <c r="ID10" s="212" t="n"/>
      <c r="IE10" s="212" t="n"/>
      <c r="IF10" s="212" t="n"/>
      <c r="IG10" s="212" t="n"/>
      <c r="IH10" s="212" t="n"/>
      <c r="II10" s="212" t="n"/>
      <c r="IJ10" s="212" t="n"/>
      <c r="IK10" s="212" t="n"/>
      <c r="IL10" s="212" t="n"/>
      <c r="IM10" s="212" t="n"/>
      <c r="IN10" s="212" t="n"/>
      <c r="IO10" s="212" t="n"/>
      <c r="IP10" s="212" t="n"/>
      <c r="IQ10" s="212" t="n"/>
      <c r="IR10" s="212" t="n"/>
      <c r="IS10" s="212" t="n"/>
      <c r="IT10" s="212" t="n"/>
      <c r="IU10" s="212" t="n"/>
      <c r="IV10" s="212" t="n"/>
      <c r="IW10" s="212" t="n"/>
      <c r="IX10" s="212" t="n"/>
      <c r="IY10" s="212" t="n"/>
      <c r="IZ10" s="212" t="n"/>
      <c r="JA10" s="212" t="n"/>
      <c r="JB10" s="212" t="n"/>
      <c r="JC10" s="212" t="n"/>
      <c r="JD10" s="212" t="n"/>
      <c r="JE10" s="212" t="n"/>
      <c r="JF10" s="212" t="n"/>
      <c r="JG10" s="212" t="n"/>
      <c r="JH10" s="212" t="n"/>
      <c r="JI10" s="212" t="n"/>
      <c r="JJ10" s="212" t="n"/>
      <c r="JK10" s="212" t="n"/>
      <c r="JL10" s="212" t="n"/>
      <c r="JM10" s="212" t="n"/>
      <c r="JN10" s="212" t="n"/>
      <c r="JO10" s="212" t="n"/>
      <c r="JP10" s="212" t="n"/>
      <c r="JQ10" s="212" t="n"/>
      <c r="JR10" s="212" t="n"/>
      <c r="JS10" s="212" t="n"/>
      <c r="JT10" s="212" t="n"/>
      <c r="JU10" s="212" t="n"/>
      <c r="JV10" s="212" t="n"/>
      <c r="JW10" s="212" t="n"/>
      <c r="JX10" s="212" t="n"/>
      <c r="JY10" s="212" t="n"/>
      <c r="JZ10" s="212" t="n"/>
      <c r="KA10" s="212" t="n"/>
      <c r="KB10" s="212" t="n"/>
      <c r="KC10" s="212" t="n"/>
      <c r="KD10" s="212" t="n"/>
      <c r="KE10" s="212" t="n"/>
      <c r="KF10" s="212" t="n"/>
      <c r="KG10" s="212" t="n"/>
      <c r="KH10" s="212" t="n"/>
      <c r="KI10" s="212" t="n"/>
      <c r="KJ10" s="212" t="n"/>
      <c r="KK10" s="212" t="n"/>
      <c r="KL10" s="212" t="n"/>
      <c r="KM10" s="212" t="n"/>
      <c r="KN10" s="212" t="n"/>
      <c r="KO10" s="212" t="n"/>
      <c r="KP10" s="212" t="n"/>
      <c r="KQ10" s="212" t="n"/>
      <c r="KR10" s="212" t="n"/>
      <c r="KS10" s="212" t="n"/>
      <c r="KT10" s="212" t="n"/>
      <c r="KU10" s="212" t="n"/>
      <c r="KV10" s="212" t="n"/>
      <c r="KW10" s="212" t="n"/>
      <c r="KX10" s="212" t="n"/>
      <c r="KY10" s="212" t="n"/>
      <c r="KZ10" s="212" t="n"/>
      <c r="LA10" s="212" t="n"/>
      <c r="LB10" s="212" t="n"/>
      <c r="LC10" s="212" t="n"/>
      <c r="LD10" s="212" t="n"/>
      <c r="LE10" s="212" t="n"/>
      <c r="LF10" s="212" t="n"/>
      <c r="LG10" s="212" t="n"/>
      <c r="LH10" s="212" t="n"/>
      <c r="LI10" s="212" t="n"/>
      <c r="LJ10" s="212" t="n"/>
      <c r="LK10" s="212" t="n"/>
      <c r="LL10" s="212" t="n"/>
      <c r="LM10" s="212" t="n"/>
      <c r="LN10" s="212" t="n"/>
      <c r="LO10" s="212" t="n"/>
      <c r="LP10" s="212" t="n"/>
      <c r="LQ10" s="212" t="n"/>
      <c r="LR10" s="212" t="n"/>
      <c r="LS10" s="212" t="n"/>
      <c r="LT10" s="212" t="n"/>
      <c r="LU10" s="212" t="n"/>
      <c r="LV10" s="212" t="n"/>
      <c r="LW10" s="212" t="n"/>
      <c r="LX10" s="212" t="n"/>
      <c r="LY10" s="212" t="n"/>
      <c r="LZ10" s="212" t="n"/>
      <c r="MA10" s="212" t="n"/>
      <c r="MB10" s="212" t="n"/>
      <c r="MC10" s="212" t="n"/>
      <c r="MD10" s="212" t="n"/>
      <c r="ME10" s="212" t="n"/>
      <c r="MF10" s="212" t="n"/>
      <c r="MG10" s="212" t="n"/>
      <c r="MH10" s="212" t="n"/>
      <c r="MI10" s="212" t="n"/>
      <c r="MJ10" s="212" t="n"/>
      <c r="MK10" s="212" t="n"/>
      <c r="ML10" s="212" t="n"/>
      <c r="MM10" s="212" t="n"/>
      <c r="MN10" s="212" t="n"/>
      <c r="MO10" s="212" t="n"/>
      <c r="MP10" s="212" t="n"/>
      <c r="MQ10" s="212" t="n"/>
      <c r="MR10" s="212" t="n"/>
      <c r="MS10" s="212" t="n"/>
      <c r="MT10" s="212" t="n"/>
      <c r="MU10" s="212" t="n"/>
      <c r="MV10" s="212" t="n"/>
      <c r="MW10" s="212" t="n"/>
      <c r="MX10" s="212" t="n"/>
      <c r="MY10" s="212" t="n"/>
      <c r="MZ10" s="212" t="n"/>
      <c r="NA10" s="212" t="n"/>
      <c r="NB10" s="212" t="n"/>
      <c r="NC10" s="212" t="n"/>
      <c r="ND10" s="212" t="n"/>
      <c r="NE10" s="212" t="n"/>
      <c r="NF10" s="212" t="n"/>
      <c r="NG10" s="212" t="n"/>
      <c r="NH10" s="212" t="n"/>
      <c r="NI10" s="212" t="n"/>
      <c r="NJ10" s="212" t="n"/>
      <c r="NK10" s="212" t="n"/>
      <c r="NL10" s="212" t="n"/>
      <c r="NM10" s="212" t="n"/>
      <c r="NN10" s="212" t="n"/>
      <c r="NO10" s="212" t="n"/>
      <c r="NP10" s="212" t="n"/>
      <c r="NQ10" s="212" t="n"/>
      <c r="NR10" s="212" t="n"/>
      <c r="NS10" s="212" t="n"/>
      <c r="NT10" s="212" t="n"/>
      <c r="NU10" s="212" t="n"/>
      <c r="NV10" s="212" t="n"/>
      <c r="NW10" s="212" t="n"/>
      <c r="NX10" s="212" t="n"/>
      <c r="NY10" s="212" t="n"/>
      <c r="NZ10" s="212" t="n"/>
      <c r="OA10" s="212" t="n"/>
      <c r="OB10" s="212" t="n"/>
      <c r="OC10" s="212" t="n"/>
      <c r="OD10" s="212" t="n"/>
      <c r="OE10" s="212" t="n"/>
      <c r="OF10" s="212" t="n"/>
      <c r="OG10" s="212" t="n"/>
      <c r="OH10" s="212" t="n"/>
      <c r="OI10" s="212" t="n"/>
      <c r="OJ10" s="212" t="n"/>
      <c r="OK10" s="212" t="n"/>
      <c r="OL10" s="212" t="n"/>
      <c r="OM10" s="212" t="n"/>
      <c r="ON10" s="212" t="n"/>
      <c r="OO10" s="212" t="n"/>
      <c r="OP10" s="212" t="n"/>
      <c r="OQ10" s="212" t="n"/>
      <c r="OR10" s="212" t="n"/>
      <c r="OS10" s="212" t="n"/>
      <c r="OT10" s="212" t="n"/>
      <c r="OU10" s="212" t="n"/>
      <c r="OV10" s="212" t="n"/>
      <c r="OW10" s="212" t="n"/>
      <c r="OX10" s="212" t="n"/>
      <c r="OY10" s="212" t="n"/>
      <c r="OZ10" s="212" t="n"/>
      <c r="PA10" s="212" t="n"/>
      <c r="PB10" s="212" t="n"/>
      <c r="PC10" s="212" t="n"/>
      <c r="PD10" s="212" t="n"/>
      <c r="PE10" s="212" t="n"/>
      <c r="PF10" s="212" t="n"/>
      <c r="PG10" s="212" t="n"/>
      <c r="PH10" s="212" t="n"/>
      <c r="PI10" s="212" t="n"/>
      <c r="PJ10" s="212" t="n"/>
      <c r="PK10" s="212" t="n"/>
      <c r="PL10" s="212" t="n"/>
      <c r="PM10" s="212" t="n"/>
      <c r="PN10" s="212" t="n"/>
      <c r="PO10" s="212" t="n"/>
      <c r="PP10" s="212" t="n"/>
      <c r="PQ10" s="212" t="n"/>
      <c r="PR10" s="212" t="n"/>
      <c r="PS10" s="212" t="n"/>
      <c r="PT10" s="212" t="n"/>
      <c r="PU10" s="212" t="n"/>
      <c r="PV10" s="212" t="n"/>
      <c r="PW10" s="212" t="n"/>
      <c r="PX10" s="212" t="n"/>
      <c r="PY10" s="212" t="n"/>
      <c r="PZ10" s="212" t="n"/>
      <c r="QA10" s="212" t="n"/>
      <c r="QB10" s="212" t="n"/>
      <c r="QC10" s="212" t="n"/>
      <c r="QD10" s="212" t="n"/>
      <c r="QE10" s="212" t="n"/>
      <c r="QF10" s="212" t="n"/>
      <c r="QG10" s="212" t="n"/>
      <c r="QH10" s="212" t="n"/>
      <c r="QI10" s="212" t="n"/>
      <c r="QJ10" s="212" t="n"/>
      <c r="QK10" s="212" t="n"/>
      <c r="QL10" s="212" t="n"/>
      <c r="QM10" s="212" t="n"/>
      <c r="QN10" s="212" t="n"/>
      <c r="QO10" s="212" t="n"/>
      <c r="QP10" s="212" t="n"/>
      <c r="QQ10" s="212" t="n"/>
      <c r="QR10" s="212" t="n"/>
      <c r="QS10" s="212" t="n"/>
      <c r="QT10" s="212" t="n"/>
      <c r="QU10" s="212" t="n"/>
      <c r="QV10" s="212" t="n"/>
      <c r="QW10" s="212" t="n"/>
      <c r="QX10" s="212" t="n"/>
      <c r="QY10" s="212" t="n"/>
      <c r="QZ10" s="212" t="n"/>
      <c r="RA10" s="212" t="n"/>
      <c r="RB10" s="212" t="n"/>
      <c r="RC10" s="212" t="n"/>
      <c r="RD10" s="212" t="n"/>
      <c r="RE10" s="212" t="n"/>
      <c r="RF10" s="212" t="n"/>
      <c r="RG10" s="212" t="n"/>
      <c r="RH10" s="212" t="n"/>
      <c r="RI10" s="212" t="n"/>
      <c r="RJ10" s="212" t="n"/>
      <c r="RK10" s="212" t="n"/>
      <c r="RL10" s="212" t="n"/>
      <c r="RM10" s="212" t="n"/>
      <c r="RN10" s="212" t="n"/>
      <c r="RO10" s="212" t="n"/>
      <c r="RP10" s="212" t="n"/>
      <c r="RQ10" s="212" t="n"/>
      <c r="RR10" s="212" t="n"/>
      <c r="RS10" s="212" t="n"/>
      <c r="RT10" s="212" t="n"/>
      <c r="RU10" s="212" t="n"/>
      <c r="RV10" s="212" t="n"/>
      <c r="RW10" s="212" t="n"/>
      <c r="RX10" s="212" t="n"/>
      <c r="RY10" s="212" t="n"/>
      <c r="RZ10" s="212" t="n"/>
      <c r="SA10" s="212" t="n"/>
      <c r="SB10" s="212" t="n"/>
      <c r="SC10" s="212" t="n"/>
      <c r="SD10" s="212" t="n"/>
      <c r="SE10" s="212" t="n"/>
      <c r="SF10" s="212" t="n"/>
      <c r="SG10" s="212" t="n"/>
      <c r="SH10" s="212" t="n"/>
      <c r="SI10" s="212" t="n"/>
      <c r="SJ10" s="212" t="n"/>
      <c r="SK10" s="212" t="n"/>
      <c r="SL10" s="212" t="n"/>
      <c r="SM10" s="212" t="n"/>
      <c r="SN10" s="212" t="n"/>
      <c r="SO10" s="212" t="n"/>
      <c r="SP10" s="212" t="n"/>
      <c r="SQ10" s="212" t="n"/>
      <c r="SR10" s="212" t="n"/>
      <c r="SS10" s="212" t="n"/>
      <c r="ST10" s="212" t="n"/>
      <c r="SU10" s="212" t="n"/>
      <c r="SV10" s="212" t="n"/>
    </row>
    <row r="11">
      <c r="B11" s="209" t="n"/>
      <c r="C11" s="209" t="n"/>
      <c r="D11" s="209" t="n"/>
      <c r="E11" s="209" t="n"/>
      <c r="F11" s="209">
        <f>IF(TRIM(D11&amp;E11)="","",TRIM(D11)&amp;" "&amp;TRIM(E11))</f>
        <v/>
      </c>
      <c r="G11" s="209" t="n"/>
      <c r="H11" s="209" t="n"/>
      <c r="I11" s="209" t="n"/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12" t="n"/>
      <c r="T11" s="212" t="n"/>
      <c r="U11" s="212" t="n"/>
      <c r="V11" s="212" t="n"/>
      <c r="W11" s="212" t="n"/>
      <c r="X11" s="212" t="n"/>
      <c r="Y11" s="212" t="n"/>
      <c r="Z11" s="212" t="n"/>
      <c r="AA11" s="212" t="n"/>
      <c r="AB11" s="212" t="n"/>
      <c r="AC11" s="212" t="n"/>
      <c r="AD11" s="212" t="n"/>
      <c r="AE11" s="212" t="n"/>
      <c r="AF11" s="212" t="n"/>
      <c r="AG11" s="212" t="n"/>
      <c r="AH11" s="212" t="n"/>
      <c r="AI11" s="212" t="n"/>
      <c r="AJ11" s="212" t="n"/>
      <c r="AK11" s="212" t="n"/>
      <c r="AL11" s="212" t="n"/>
      <c r="AM11" s="212" t="n"/>
      <c r="AN11" s="212" t="n"/>
      <c r="AO11" s="212" t="n"/>
      <c r="AP11" s="212" t="n"/>
      <c r="AQ11" s="212" t="n"/>
      <c r="AR11" s="212" t="n"/>
      <c r="AS11" s="212" t="n"/>
      <c r="AT11" s="212" t="n"/>
      <c r="AU11" s="212" t="n"/>
      <c r="AV11" s="212" t="n"/>
      <c r="AW11" s="212" t="n"/>
      <c r="AX11" s="212" t="n"/>
      <c r="AY11" s="212" t="n"/>
      <c r="AZ11" s="212" t="n"/>
      <c r="BA11" s="212" t="n"/>
      <c r="BB11" s="212" t="n"/>
      <c r="BC11" s="212" t="n"/>
      <c r="BD11" s="212" t="n"/>
      <c r="BE11" s="212" t="n"/>
      <c r="BF11" s="212" t="n"/>
      <c r="BG11" s="212" t="n"/>
      <c r="BH11" s="212" t="n"/>
      <c r="BI11" s="212" t="n"/>
      <c r="BJ11" s="212" t="n"/>
      <c r="BK11" s="212" t="n"/>
      <c r="BL11" s="212" t="n"/>
      <c r="BM11" s="212" t="n"/>
      <c r="BN11" s="212" t="n"/>
      <c r="BO11" s="212" t="n"/>
      <c r="BP11" s="212" t="n"/>
      <c r="BQ11" s="212" t="n"/>
      <c r="BR11" s="212" t="n"/>
      <c r="BS11" s="212" t="n"/>
      <c r="BT11" s="212" t="n"/>
      <c r="BU11" s="212" t="n"/>
      <c r="BV11" s="212" t="n"/>
      <c r="BW11" s="212" t="n"/>
      <c r="BX11" s="212" t="n"/>
      <c r="BY11" s="212" t="n"/>
      <c r="BZ11" s="212" t="n"/>
      <c r="CA11" s="212" t="n"/>
      <c r="CB11" s="212" t="n"/>
      <c r="CC11" s="212" t="n"/>
      <c r="CD11" s="212" t="n"/>
      <c r="CE11" s="212" t="n"/>
      <c r="CF11" s="212" t="n"/>
      <c r="CG11" s="212" t="n"/>
      <c r="CH11" s="212" t="n"/>
      <c r="CI11" s="212" t="n"/>
      <c r="CJ11" s="212" t="n"/>
      <c r="CK11" s="212" t="n"/>
      <c r="CL11" s="212" t="n"/>
      <c r="CM11" s="212" t="n"/>
      <c r="CN11" s="212" t="n"/>
      <c r="CO11" s="212" t="n"/>
      <c r="CP11" s="212" t="n"/>
      <c r="CQ11" s="212" t="n"/>
      <c r="CR11" s="212" t="n"/>
      <c r="CS11" s="212" t="n"/>
      <c r="CT11" s="212" t="n"/>
      <c r="CU11" s="212" t="n"/>
      <c r="CV11" s="212" t="n"/>
      <c r="CW11" s="212" t="n"/>
      <c r="CX11" s="212" t="n"/>
      <c r="CY11" s="212" t="n"/>
      <c r="CZ11" s="212" t="n"/>
      <c r="DA11" s="212" t="n"/>
      <c r="DB11" s="212" t="n"/>
      <c r="DC11" s="212" t="n"/>
      <c r="DD11" s="212" t="n"/>
      <c r="DE11" s="212" t="n"/>
      <c r="DF11" s="212" t="n"/>
      <c r="DG11" s="212" t="n"/>
      <c r="DH11" s="212" t="n"/>
      <c r="DI11" s="212" t="n"/>
      <c r="DJ11" s="212" t="n"/>
      <c r="DK11" s="212" t="n"/>
      <c r="DL11" s="212" t="n"/>
      <c r="DM11" s="212" t="n"/>
      <c r="DN11" s="212" t="n"/>
      <c r="DO11" s="212" t="n"/>
      <c r="DP11" s="212" t="n"/>
      <c r="DQ11" s="212" t="n"/>
      <c r="DR11" s="212" t="n"/>
      <c r="DS11" s="212" t="n"/>
      <c r="DT11" s="212" t="n"/>
      <c r="DU11" s="212" t="n"/>
      <c r="DV11" s="212" t="n"/>
      <c r="DW11" s="212" t="n"/>
      <c r="DX11" s="212" t="n"/>
      <c r="DY11" s="212" t="n"/>
      <c r="DZ11" s="212" t="n"/>
      <c r="EA11" s="212" t="n"/>
      <c r="EB11" s="212" t="n"/>
      <c r="EC11" s="212" t="n"/>
      <c r="ED11" s="212" t="n"/>
      <c r="EE11" s="212" t="n"/>
      <c r="EF11" s="212" t="n"/>
      <c r="EG11" s="212" t="n"/>
      <c r="EH11" s="212" t="n"/>
      <c r="EI11" s="212" t="n"/>
      <c r="EJ11" s="212" t="n"/>
      <c r="EK11" s="212" t="n"/>
      <c r="EL11" s="212" t="n"/>
      <c r="EM11" s="212" t="n"/>
      <c r="EN11" s="212" t="n"/>
      <c r="EO11" s="212" t="n"/>
      <c r="EP11" s="212" t="n"/>
      <c r="EQ11" s="212" t="n"/>
      <c r="ER11" s="212" t="n"/>
      <c r="ES11" s="212" t="n"/>
      <c r="ET11" s="212" t="n"/>
      <c r="EU11" s="212" t="n"/>
      <c r="EV11" s="212" t="n"/>
      <c r="EW11" s="212" t="n"/>
      <c r="EX11" s="212" t="n"/>
      <c r="EY11" s="212" t="n"/>
      <c r="EZ11" s="212" t="n"/>
      <c r="FA11" s="212" t="n"/>
      <c r="FB11" s="212" t="n"/>
      <c r="FC11" s="212" t="n"/>
      <c r="FD11" s="212" t="n"/>
      <c r="FE11" s="212" t="n"/>
      <c r="FF11" s="212" t="n"/>
      <c r="FG11" s="212" t="n"/>
      <c r="FH11" s="212" t="n"/>
      <c r="FI11" s="212" t="n"/>
      <c r="FJ11" s="212" t="n"/>
      <c r="FK11" s="212" t="n"/>
      <c r="FL11" s="212" t="n"/>
      <c r="FM11" s="212" t="n"/>
      <c r="FN11" s="212" t="n"/>
      <c r="FO11" s="212" t="n"/>
      <c r="FP11" s="212" t="n"/>
      <c r="FQ11" s="212" t="n"/>
      <c r="FR11" s="212" t="n"/>
      <c r="FS11" s="212" t="n"/>
      <c r="FT11" s="212" t="n"/>
      <c r="FU11" s="212" t="n"/>
      <c r="FV11" s="212" t="n"/>
      <c r="FW11" s="212" t="n"/>
      <c r="FX11" s="212" t="n"/>
      <c r="FY11" s="212" t="n"/>
      <c r="FZ11" s="212" t="n"/>
      <c r="GA11" s="212" t="n"/>
      <c r="GB11" s="212" t="n"/>
      <c r="GC11" s="212" t="n"/>
      <c r="GD11" s="212" t="n"/>
      <c r="GE11" s="212" t="n"/>
      <c r="GF11" s="212" t="n"/>
      <c r="GG11" s="212" t="n"/>
      <c r="GH11" s="212" t="n"/>
      <c r="GI11" s="212" t="n"/>
      <c r="GJ11" s="212" t="n"/>
      <c r="GK11" s="212" t="n"/>
      <c r="GL11" s="212" t="n"/>
      <c r="GM11" s="212" t="n"/>
      <c r="GN11" s="212" t="n"/>
      <c r="GO11" s="212" t="n"/>
      <c r="GP11" s="212" t="n"/>
      <c r="GQ11" s="212" t="n"/>
      <c r="GR11" s="212" t="n"/>
      <c r="GS11" s="212" t="n"/>
      <c r="GT11" s="212" t="n"/>
      <c r="GU11" s="212" t="n"/>
      <c r="GV11" s="212" t="n"/>
      <c r="GW11" s="212" t="n"/>
      <c r="GX11" s="212" t="n"/>
      <c r="GY11" s="212" t="n"/>
      <c r="GZ11" s="212" t="n"/>
      <c r="HA11" s="212" t="n"/>
      <c r="HB11" s="212" t="n"/>
      <c r="HC11" s="212" t="n"/>
      <c r="HD11" s="212" t="n"/>
      <c r="HE11" s="212" t="n"/>
      <c r="HF11" s="212" t="n"/>
      <c r="HG11" s="212" t="n"/>
      <c r="HH11" s="212" t="n"/>
      <c r="HI11" s="212" t="n"/>
      <c r="HJ11" s="212" t="n"/>
      <c r="HK11" s="212" t="n"/>
      <c r="HL11" s="212" t="n"/>
      <c r="HM11" s="212" t="n"/>
      <c r="HN11" s="212" t="n"/>
      <c r="HO11" s="212" t="n"/>
      <c r="HP11" s="212" t="n"/>
      <c r="HQ11" s="212" t="n"/>
      <c r="HR11" s="212" t="n"/>
      <c r="HS11" s="212" t="n"/>
      <c r="HT11" s="212" t="n"/>
      <c r="HU11" s="212" t="n"/>
      <c r="HV11" s="212" t="n"/>
      <c r="HW11" s="212" t="n"/>
      <c r="HX11" s="212" t="n"/>
      <c r="HY11" s="212" t="n"/>
      <c r="HZ11" s="212" t="n"/>
      <c r="IA11" s="212" t="n"/>
      <c r="IB11" s="212" t="n"/>
      <c r="IC11" s="212" t="n"/>
      <c r="ID11" s="212" t="n"/>
      <c r="IE11" s="212" t="n"/>
      <c r="IF11" s="212" t="n"/>
      <c r="IG11" s="212" t="n"/>
      <c r="IH11" s="212" t="n"/>
      <c r="II11" s="212" t="n"/>
      <c r="IJ11" s="212" t="n"/>
      <c r="IK11" s="212" t="n"/>
      <c r="IL11" s="212" t="n"/>
      <c r="IM11" s="212" t="n"/>
      <c r="IN11" s="212" t="n"/>
      <c r="IO11" s="212" t="n"/>
      <c r="IP11" s="212" t="n"/>
      <c r="IQ11" s="212" t="n"/>
      <c r="IR11" s="212" t="n"/>
      <c r="IS11" s="212" t="n"/>
      <c r="IT11" s="212" t="n"/>
      <c r="IU11" s="212" t="n"/>
      <c r="IV11" s="212" t="n"/>
      <c r="IW11" s="212" t="n"/>
      <c r="IX11" s="212" t="n"/>
      <c r="IY11" s="212" t="n"/>
      <c r="IZ11" s="212" t="n"/>
      <c r="JA11" s="212" t="n"/>
      <c r="JB11" s="212" t="n"/>
      <c r="JC11" s="212" t="n"/>
      <c r="JD11" s="212" t="n"/>
      <c r="JE11" s="212" t="n"/>
      <c r="JF11" s="212" t="n"/>
      <c r="JG11" s="212" t="n"/>
      <c r="JH11" s="212" t="n"/>
      <c r="JI11" s="212" t="n"/>
      <c r="JJ11" s="212" t="n"/>
      <c r="JK11" s="212" t="n"/>
      <c r="JL11" s="212" t="n"/>
      <c r="JM11" s="212" t="n"/>
      <c r="JN11" s="212" t="n"/>
      <c r="JO11" s="212" t="n"/>
      <c r="JP11" s="212" t="n"/>
      <c r="JQ11" s="212" t="n"/>
      <c r="JR11" s="212" t="n"/>
      <c r="JS11" s="212" t="n"/>
      <c r="JT11" s="212" t="n"/>
      <c r="JU11" s="212" t="n"/>
      <c r="JV11" s="212" t="n"/>
      <c r="JW11" s="212" t="n"/>
      <c r="JX11" s="212" t="n"/>
      <c r="JY11" s="212" t="n"/>
      <c r="JZ11" s="212" t="n"/>
      <c r="KA11" s="212" t="n"/>
      <c r="KB11" s="212" t="n"/>
      <c r="KC11" s="212" t="n"/>
      <c r="KD11" s="212" t="n"/>
      <c r="KE11" s="212" t="n"/>
      <c r="KF11" s="212" t="n"/>
      <c r="KG11" s="212" t="n"/>
      <c r="KH11" s="212" t="n"/>
      <c r="KI11" s="212" t="n"/>
      <c r="KJ11" s="212" t="n"/>
      <c r="KK11" s="212" t="n"/>
      <c r="KL11" s="212" t="n"/>
      <c r="KM11" s="212" t="n"/>
      <c r="KN11" s="212" t="n"/>
      <c r="KO11" s="212" t="n"/>
      <c r="KP11" s="212" t="n"/>
      <c r="KQ11" s="212" t="n"/>
      <c r="KR11" s="212" t="n"/>
      <c r="KS11" s="212" t="n"/>
      <c r="KT11" s="212" t="n"/>
      <c r="KU11" s="212" t="n"/>
      <c r="KV11" s="212" t="n"/>
      <c r="KW11" s="212" t="n"/>
      <c r="KX11" s="212" t="n"/>
      <c r="KY11" s="212" t="n"/>
      <c r="KZ11" s="212" t="n"/>
      <c r="LA11" s="212" t="n"/>
      <c r="LB11" s="212" t="n"/>
      <c r="LC11" s="212" t="n"/>
      <c r="LD11" s="212" t="n"/>
      <c r="LE11" s="212" t="n"/>
      <c r="LF11" s="212" t="n"/>
      <c r="LG11" s="212" t="n"/>
      <c r="LH11" s="212" t="n"/>
      <c r="LI11" s="212" t="n"/>
      <c r="LJ11" s="212" t="n"/>
      <c r="LK11" s="212" t="n"/>
      <c r="LL11" s="212" t="n"/>
      <c r="LM11" s="212" t="n"/>
      <c r="LN11" s="212" t="n"/>
      <c r="LO11" s="212" t="n"/>
      <c r="LP11" s="212" t="n"/>
      <c r="LQ11" s="212" t="n"/>
      <c r="LR11" s="212" t="n"/>
      <c r="LS11" s="212" t="n"/>
      <c r="LT11" s="212" t="n"/>
      <c r="LU11" s="212" t="n"/>
      <c r="LV11" s="212" t="n"/>
      <c r="LW11" s="212" t="n"/>
      <c r="LX11" s="212" t="n"/>
      <c r="LY11" s="212" t="n"/>
      <c r="LZ11" s="212" t="n"/>
      <c r="MA11" s="212" t="n"/>
      <c r="MB11" s="212" t="n"/>
      <c r="MC11" s="212" t="n"/>
      <c r="MD11" s="212" t="n"/>
      <c r="ME11" s="212" t="n"/>
      <c r="MF11" s="212" t="n"/>
      <c r="MG11" s="212" t="n"/>
      <c r="MH11" s="212" t="n"/>
      <c r="MI11" s="212" t="n"/>
      <c r="MJ11" s="212" t="n"/>
      <c r="MK11" s="212" t="n"/>
      <c r="ML11" s="212" t="n"/>
      <c r="MM11" s="212" t="n"/>
      <c r="MN11" s="212" t="n"/>
      <c r="MO11" s="212" t="n"/>
      <c r="MP11" s="212" t="n"/>
      <c r="MQ11" s="212" t="n"/>
      <c r="MR11" s="212" t="n"/>
      <c r="MS11" s="212" t="n"/>
      <c r="MT11" s="212" t="n"/>
      <c r="MU11" s="212" t="n"/>
      <c r="MV11" s="212" t="n"/>
      <c r="MW11" s="212" t="n"/>
      <c r="MX11" s="212" t="n"/>
      <c r="MY11" s="212" t="n"/>
      <c r="MZ11" s="212" t="n"/>
      <c r="NA11" s="212" t="n"/>
      <c r="NB11" s="212" t="n"/>
      <c r="NC11" s="212" t="n"/>
      <c r="ND11" s="212" t="n"/>
      <c r="NE11" s="212" t="n"/>
      <c r="NF11" s="212" t="n"/>
      <c r="NG11" s="212" t="n"/>
      <c r="NH11" s="212" t="n"/>
      <c r="NI11" s="212" t="n"/>
      <c r="NJ11" s="212" t="n"/>
      <c r="NK11" s="212" t="n"/>
      <c r="NL11" s="212" t="n"/>
      <c r="NM11" s="212" t="n"/>
      <c r="NN11" s="212" t="n"/>
      <c r="NO11" s="212" t="n"/>
      <c r="NP11" s="212" t="n"/>
      <c r="NQ11" s="212" t="n"/>
      <c r="NR11" s="212" t="n"/>
      <c r="NS11" s="212" t="n"/>
      <c r="NT11" s="212" t="n"/>
      <c r="NU11" s="212" t="n"/>
      <c r="NV11" s="212" t="n"/>
      <c r="NW11" s="212" t="n"/>
      <c r="NX11" s="212" t="n"/>
      <c r="NY11" s="212" t="n"/>
      <c r="NZ11" s="212" t="n"/>
      <c r="OA11" s="212" t="n"/>
      <c r="OB11" s="212" t="n"/>
      <c r="OC11" s="212" t="n"/>
      <c r="OD11" s="212" t="n"/>
      <c r="OE11" s="212" t="n"/>
      <c r="OF11" s="212" t="n"/>
      <c r="OG11" s="212" t="n"/>
      <c r="OH11" s="212" t="n"/>
      <c r="OI11" s="212" t="n"/>
      <c r="OJ11" s="212" t="n"/>
      <c r="OK11" s="212" t="n"/>
      <c r="OL11" s="212" t="n"/>
      <c r="OM11" s="212" t="n"/>
      <c r="ON11" s="212" t="n"/>
      <c r="OO11" s="212" t="n"/>
      <c r="OP11" s="212" t="n"/>
      <c r="OQ11" s="212" t="n"/>
      <c r="OR11" s="212" t="n"/>
      <c r="OS11" s="212" t="n"/>
      <c r="OT11" s="212" t="n"/>
      <c r="OU11" s="212" t="n"/>
      <c r="OV11" s="212" t="n"/>
      <c r="OW11" s="212" t="n"/>
      <c r="OX11" s="212" t="n"/>
      <c r="OY11" s="212" t="n"/>
      <c r="OZ11" s="212" t="n"/>
      <c r="PA11" s="212" t="n"/>
      <c r="PB11" s="212" t="n"/>
      <c r="PC11" s="212" t="n"/>
      <c r="PD11" s="212" t="n"/>
      <c r="PE11" s="212" t="n"/>
      <c r="PF11" s="212" t="n"/>
      <c r="PG11" s="212" t="n"/>
      <c r="PH11" s="212" t="n"/>
      <c r="PI11" s="212" t="n"/>
      <c r="PJ11" s="212" t="n"/>
      <c r="PK11" s="212" t="n"/>
      <c r="PL11" s="212" t="n"/>
      <c r="PM11" s="212" t="n"/>
      <c r="PN11" s="212" t="n"/>
      <c r="PO11" s="212" t="n"/>
      <c r="PP11" s="212" t="n"/>
      <c r="PQ11" s="212" t="n"/>
      <c r="PR11" s="212" t="n"/>
      <c r="PS11" s="212" t="n"/>
      <c r="PT11" s="212" t="n"/>
      <c r="PU11" s="212" t="n"/>
      <c r="PV11" s="212" t="n"/>
      <c r="PW11" s="212" t="n"/>
      <c r="PX11" s="212" t="n"/>
      <c r="PY11" s="212" t="n"/>
      <c r="PZ11" s="212" t="n"/>
      <c r="QA11" s="212" t="n"/>
      <c r="QB11" s="212" t="n"/>
      <c r="QC11" s="212" t="n"/>
      <c r="QD11" s="212" t="n"/>
      <c r="QE11" s="212" t="n"/>
      <c r="QF11" s="212" t="n"/>
      <c r="QG11" s="212" t="n"/>
      <c r="QH11" s="212" t="n"/>
      <c r="QI11" s="212" t="n"/>
      <c r="QJ11" s="212" t="n"/>
      <c r="QK11" s="212" t="n"/>
      <c r="QL11" s="212" t="n"/>
      <c r="QM11" s="212" t="n"/>
      <c r="QN11" s="212" t="n"/>
      <c r="QO11" s="212" t="n"/>
      <c r="QP11" s="212" t="n"/>
      <c r="QQ11" s="212" t="n"/>
      <c r="QR11" s="212" t="n"/>
      <c r="QS11" s="212" t="n"/>
      <c r="QT11" s="212" t="n"/>
      <c r="QU11" s="212" t="n"/>
      <c r="QV11" s="212" t="n"/>
      <c r="QW11" s="212" t="n"/>
      <c r="QX11" s="212" t="n"/>
      <c r="QY11" s="212" t="n"/>
      <c r="QZ11" s="212" t="n"/>
      <c r="RA11" s="212" t="n"/>
      <c r="RB11" s="212" t="n"/>
      <c r="RC11" s="212" t="n"/>
      <c r="RD11" s="212" t="n"/>
      <c r="RE11" s="212" t="n"/>
      <c r="RF11" s="212" t="n"/>
      <c r="RG11" s="212" t="n"/>
      <c r="RH11" s="212" t="n"/>
      <c r="RI11" s="212" t="n"/>
      <c r="RJ11" s="212" t="n"/>
      <c r="RK11" s="212" t="n"/>
      <c r="RL11" s="212" t="n"/>
      <c r="RM11" s="212" t="n"/>
      <c r="RN11" s="212" t="n"/>
      <c r="RO11" s="212" t="n"/>
      <c r="RP11" s="212" t="n"/>
      <c r="RQ11" s="212" t="n"/>
      <c r="RR11" s="212" t="n"/>
      <c r="RS11" s="212" t="n"/>
      <c r="RT11" s="212" t="n"/>
      <c r="RU11" s="212" t="n"/>
      <c r="RV11" s="212" t="n"/>
      <c r="RW11" s="212" t="n"/>
      <c r="RX11" s="212" t="n"/>
      <c r="RY11" s="212" t="n"/>
      <c r="RZ11" s="212" t="n"/>
      <c r="SA11" s="212" t="n"/>
      <c r="SB11" s="212" t="n"/>
      <c r="SC11" s="212" t="n"/>
      <c r="SD11" s="212" t="n"/>
      <c r="SE11" s="212" t="n"/>
      <c r="SF11" s="212" t="n"/>
      <c r="SG11" s="212" t="n"/>
      <c r="SH11" s="212" t="n"/>
      <c r="SI11" s="212" t="n"/>
      <c r="SJ11" s="212" t="n"/>
      <c r="SK11" s="212" t="n"/>
      <c r="SL11" s="212" t="n"/>
      <c r="SM11" s="212" t="n"/>
      <c r="SN11" s="212" t="n"/>
      <c r="SO11" s="212" t="n"/>
      <c r="SP11" s="212" t="n"/>
      <c r="SQ11" s="212" t="n"/>
      <c r="SR11" s="212" t="n"/>
      <c r="SS11" s="212" t="n"/>
      <c r="ST11" s="212" t="n"/>
      <c r="SU11" s="212" t="n"/>
      <c r="SV11" s="212" t="n"/>
    </row>
    <row r="12">
      <c r="B12" s="207" t="n"/>
      <c r="C12" s="207" t="inlineStr">
        <is>
          <t>Logistics Team (4x)</t>
        </is>
      </c>
      <c r="D12" s="207" t="n"/>
      <c r="E12" s="207" t="n"/>
      <c r="F12" s="207">
        <f>IF(TRIM(D12&amp;E12)="","",TRIM(D12)&amp;" "&amp;TRIM(E12))</f>
        <v/>
      </c>
      <c r="G12" s="207" t="n"/>
      <c r="H12" s="207" t="n"/>
      <c r="I12" s="207" t="n"/>
      <c r="J12" s="207" t="n"/>
      <c r="K12" s="207" t="n"/>
      <c r="L12" s="207" t="n"/>
      <c r="M12" s="207" t="n"/>
      <c r="N12" s="207" t="n"/>
      <c r="O12" s="207" t="n"/>
      <c r="P12" s="207" t="n"/>
      <c r="Q12" s="207" t="n"/>
      <c r="R12" s="207" t="n"/>
      <c r="S12" s="208" t="n"/>
      <c r="T12" s="208" t="n"/>
      <c r="U12" s="208" t="n"/>
      <c r="V12" s="208" t="n"/>
      <c r="W12" s="208" t="n"/>
      <c r="X12" s="208" t="n"/>
      <c r="Y12" s="208" t="n"/>
      <c r="Z12" s="208" t="n"/>
      <c r="AA12" s="208" t="n"/>
      <c r="AB12" s="208" t="n"/>
      <c r="AC12" s="208" t="n"/>
      <c r="AD12" s="208" t="n"/>
      <c r="AE12" s="208" t="n"/>
      <c r="AF12" s="208" t="n"/>
      <c r="AG12" s="208" t="n"/>
      <c r="AH12" s="208" t="n"/>
      <c r="AI12" s="208" t="n"/>
      <c r="AJ12" s="208" t="n"/>
      <c r="AK12" s="208" t="n"/>
      <c r="AL12" s="208" t="n"/>
      <c r="AM12" s="208" t="n"/>
      <c r="AN12" s="208" t="n"/>
      <c r="AO12" s="208" t="n"/>
      <c r="AP12" s="208" t="n"/>
      <c r="AQ12" s="208" t="n"/>
      <c r="AR12" s="208" t="n"/>
      <c r="AS12" s="208" t="n"/>
      <c r="AT12" s="208" t="n"/>
      <c r="AU12" s="208" t="n"/>
      <c r="AV12" s="208" t="n"/>
      <c r="AW12" s="208" t="n"/>
      <c r="AX12" s="208" t="n"/>
      <c r="AY12" s="208" t="n"/>
      <c r="AZ12" s="208" t="n"/>
      <c r="BA12" s="208" t="n"/>
      <c r="BB12" s="208" t="n"/>
      <c r="BC12" s="208" t="n"/>
      <c r="BD12" s="208" t="n"/>
      <c r="BE12" s="208" t="n"/>
      <c r="BF12" s="208" t="n"/>
      <c r="BG12" s="208" t="n"/>
      <c r="BH12" s="208" t="n"/>
      <c r="BI12" s="208" t="n"/>
      <c r="BJ12" s="208" t="n"/>
      <c r="BK12" s="208" t="n"/>
      <c r="BL12" s="208" t="n"/>
      <c r="BM12" s="208" t="n"/>
      <c r="BN12" s="208" t="n"/>
      <c r="BO12" s="208" t="n"/>
      <c r="BP12" s="208" t="n"/>
      <c r="BQ12" s="208" t="n"/>
      <c r="BR12" s="208" t="n"/>
      <c r="BS12" s="208" t="n"/>
      <c r="BT12" s="208" t="n"/>
      <c r="BU12" s="208" t="n"/>
      <c r="BV12" s="208" t="n"/>
      <c r="BW12" s="208" t="n"/>
      <c r="BX12" s="208" t="n"/>
      <c r="BY12" s="208" t="n"/>
      <c r="BZ12" s="208" t="n"/>
      <c r="CA12" s="208" t="n"/>
      <c r="CB12" s="208" t="n"/>
      <c r="CC12" s="208" t="n"/>
      <c r="CD12" s="208" t="n"/>
      <c r="CE12" s="208" t="n"/>
      <c r="CF12" s="208" t="n"/>
      <c r="CG12" s="208" t="n"/>
      <c r="CH12" s="208" t="n"/>
      <c r="CI12" s="208" t="n"/>
      <c r="CJ12" s="208" t="n"/>
      <c r="CK12" s="208" t="n"/>
      <c r="CL12" s="208" t="n"/>
      <c r="CM12" s="208" t="n"/>
      <c r="CN12" s="208" t="n"/>
      <c r="CO12" s="208" t="n"/>
      <c r="CP12" s="208" t="n"/>
      <c r="CQ12" s="208" t="n"/>
      <c r="CR12" s="208" t="n"/>
      <c r="CS12" s="208" t="n"/>
      <c r="CT12" s="208" t="n"/>
      <c r="CU12" s="208" t="n"/>
      <c r="CV12" s="208" t="n"/>
      <c r="CW12" s="208" t="n"/>
      <c r="CX12" s="208" t="n"/>
      <c r="CY12" s="208" t="n"/>
      <c r="CZ12" s="208" t="n"/>
      <c r="DA12" s="208" t="n"/>
      <c r="DB12" s="208" t="n"/>
      <c r="DC12" s="208" t="n"/>
      <c r="DD12" s="208" t="n"/>
      <c r="DE12" s="208" t="n"/>
      <c r="DF12" s="208" t="n"/>
      <c r="DG12" s="208" t="n"/>
      <c r="DH12" s="208" t="n"/>
      <c r="DI12" s="208" t="n"/>
      <c r="DJ12" s="208" t="n"/>
      <c r="DK12" s="208" t="n"/>
      <c r="DL12" s="208" t="n"/>
      <c r="DM12" s="208" t="n"/>
      <c r="DN12" s="208" t="n"/>
      <c r="DO12" s="208" t="n"/>
      <c r="DP12" s="208" t="n"/>
      <c r="DQ12" s="208" t="n"/>
      <c r="DR12" s="208" t="n"/>
      <c r="DS12" s="208" t="n"/>
      <c r="DT12" s="208" t="n"/>
      <c r="DU12" s="208" t="n"/>
      <c r="DV12" s="208" t="n"/>
      <c r="DW12" s="208" t="n"/>
      <c r="DX12" s="208" t="n"/>
      <c r="DY12" s="208" t="n"/>
      <c r="DZ12" s="208" t="n"/>
      <c r="EA12" s="208" t="n"/>
      <c r="EB12" s="208" t="n"/>
      <c r="EC12" s="208" t="n"/>
      <c r="ED12" s="208" t="n"/>
      <c r="EE12" s="208" t="n"/>
      <c r="EF12" s="208" t="n"/>
      <c r="EG12" s="208" t="n"/>
      <c r="EH12" s="208" t="n"/>
      <c r="EI12" s="208" t="n"/>
      <c r="EJ12" s="208" t="n"/>
      <c r="EK12" s="208" t="n"/>
      <c r="EL12" s="208" t="n"/>
      <c r="EM12" s="208" t="n"/>
      <c r="EN12" s="208" t="n"/>
      <c r="EO12" s="208" t="n"/>
      <c r="EP12" s="208" t="n"/>
      <c r="EQ12" s="208" t="n"/>
      <c r="ER12" s="208" t="n"/>
      <c r="ES12" s="208" t="n"/>
      <c r="ET12" s="208" t="n"/>
      <c r="EU12" s="208" t="n"/>
      <c r="EV12" s="208" t="n"/>
      <c r="EW12" s="208" t="n"/>
      <c r="EX12" s="208" t="n"/>
      <c r="EY12" s="208" t="n"/>
      <c r="EZ12" s="208" t="n"/>
      <c r="FA12" s="208" t="n"/>
      <c r="FB12" s="208" t="n"/>
      <c r="FC12" s="208" t="n"/>
      <c r="FD12" s="208" t="n"/>
      <c r="FE12" s="208" t="n"/>
      <c r="FF12" s="208" t="n"/>
      <c r="FG12" s="208" t="n"/>
      <c r="FH12" s="208" t="n"/>
      <c r="FI12" s="208" t="n"/>
      <c r="FJ12" s="208" t="n"/>
      <c r="FK12" s="208" t="n"/>
      <c r="FL12" s="208" t="n"/>
      <c r="FM12" s="208" t="n"/>
      <c r="FN12" s="208" t="n"/>
      <c r="FO12" s="208" t="n"/>
      <c r="FP12" s="208" t="n"/>
      <c r="FQ12" s="208" t="n"/>
      <c r="FR12" s="208" t="n"/>
      <c r="FS12" s="208" t="n"/>
      <c r="FT12" s="208" t="n"/>
      <c r="FU12" s="208" t="n"/>
      <c r="FV12" s="208" t="n"/>
      <c r="FW12" s="208" t="n"/>
      <c r="FX12" s="208" t="n"/>
      <c r="FY12" s="208" t="n"/>
      <c r="FZ12" s="208" t="n"/>
      <c r="GA12" s="208" t="n"/>
      <c r="GB12" s="208" t="n"/>
      <c r="GC12" s="208" t="n"/>
      <c r="GD12" s="208" t="n"/>
      <c r="GE12" s="208" t="n"/>
      <c r="GF12" s="208" t="n"/>
      <c r="GG12" s="208" t="n"/>
      <c r="GH12" s="208" t="n"/>
      <c r="GI12" s="208" t="n"/>
      <c r="GJ12" s="208" t="n"/>
      <c r="GK12" s="208" t="n"/>
      <c r="GL12" s="208" t="n"/>
      <c r="GM12" s="208" t="n"/>
      <c r="GN12" s="208" t="n"/>
      <c r="GO12" s="208" t="n"/>
      <c r="GP12" s="208" t="n"/>
      <c r="GQ12" s="208" t="n"/>
      <c r="GR12" s="208" t="n"/>
      <c r="GS12" s="208" t="n"/>
      <c r="GT12" s="208" t="n"/>
      <c r="GU12" s="208" t="n"/>
      <c r="GV12" s="208" t="n"/>
      <c r="GW12" s="208" t="n"/>
      <c r="GX12" s="208" t="n"/>
      <c r="GY12" s="208" t="n"/>
      <c r="GZ12" s="208" t="n"/>
      <c r="HA12" s="208" t="n"/>
      <c r="HB12" s="208" t="n"/>
      <c r="HC12" s="208" t="n"/>
      <c r="HD12" s="208" t="n"/>
      <c r="HE12" s="208" t="n"/>
      <c r="HF12" s="208" t="n"/>
      <c r="HG12" s="208" t="n"/>
      <c r="HH12" s="208" t="n"/>
      <c r="HI12" s="208" t="n"/>
      <c r="HJ12" s="208" t="n"/>
      <c r="HK12" s="208" t="n"/>
      <c r="HL12" s="208" t="n"/>
      <c r="HM12" s="208" t="n"/>
      <c r="HN12" s="208" t="n"/>
      <c r="HO12" s="208" t="n"/>
      <c r="HP12" s="208" t="n"/>
      <c r="HQ12" s="208" t="n"/>
      <c r="HR12" s="208" t="n"/>
      <c r="HS12" s="208" t="n"/>
      <c r="HT12" s="208" t="n"/>
      <c r="HU12" s="208" t="n"/>
      <c r="HV12" s="208" t="n"/>
      <c r="HW12" s="208" t="n"/>
      <c r="HX12" s="208" t="n"/>
      <c r="HY12" s="208" t="n"/>
      <c r="HZ12" s="208" t="n"/>
      <c r="IA12" s="208" t="n"/>
      <c r="IB12" s="208" t="n"/>
      <c r="IC12" s="208" t="n"/>
      <c r="ID12" s="208" t="n"/>
      <c r="IE12" s="208" t="n"/>
      <c r="IF12" s="208" t="n"/>
      <c r="IG12" s="208" t="n"/>
      <c r="IH12" s="208" t="n"/>
      <c r="II12" s="208" t="n"/>
      <c r="IJ12" s="208" t="n"/>
      <c r="IK12" s="208" t="n"/>
      <c r="IL12" s="208" t="n"/>
      <c r="IM12" s="208" t="n"/>
      <c r="IN12" s="208" t="n"/>
      <c r="IO12" s="208" t="n"/>
      <c r="IP12" s="208" t="n"/>
      <c r="IQ12" s="208" t="n"/>
      <c r="IR12" s="208" t="n"/>
      <c r="IS12" s="208" t="n"/>
      <c r="IT12" s="208" t="n"/>
      <c r="IU12" s="208" t="n"/>
      <c r="IV12" s="208" t="n"/>
      <c r="IW12" s="208" t="n"/>
      <c r="IX12" s="208" t="n"/>
      <c r="IY12" s="208" t="n"/>
      <c r="IZ12" s="208" t="n"/>
      <c r="JA12" s="208" t="n"/>
      <c r="JB12" s="208" t="n"/>
      <c r="JC12" s="208" t="n"/>
      <c r="JD12" s="208" t="n"/>
      <c r="JE12" s="208" t="n"/>
      <c r="JF12" s="208" t="n"/>
      <c r="JG12" s="208" t="n"/>
      <c r="JH12" s="208" t="n"/>
      <c r="JI12" s="208" t="n"/>
      <c r="JJ12" s="208" t="n"/>
      <c r="JK12" s="208" t="n"/>
      <c r="JL12" s="208" t="n"/>
      <c r="JM12" s="208" t="n"/>
      <c r="JN12" s="208" t="n"/>
      <c r="JO12" s="208" t="n"/>
      <c r="JP12" s="208" t="n"/>
      <c r="JQ12" s="208" t="n"/>
      <c r="JR12" s="208" t="n"/>
      <c r="JS12" s="208" t="n"/>
      <c r="JT12" s="208" t="n"/>
      <c r="JU12" s="208" t="n"/>
      <c r="JV12" s="208" t="n"/>
      <c r="JW12" s="208" t="n"/>
      <c r="JX12" s="208" t="n"/>
      <c r="JY12" s="208" t="n"/>
      <c r="JZ12" s="208" t="n"/>
      <c r="KA12" s="208" t="n"/>
      <c r="KB12" s="208" t="n"/>
      <c r="KC12" s="208" t="n"/>
      <c r="KD12" s="208" t="n"/>
      <c r="KE12" s="208" t="n"/>
      <c r="KF12" s="208" t="n"/>
      <c r="KG12" s="208" t="n"/>
      <c r="KH12" s="208" t="n"/>
      <c r="KI12" s="208" t="n"/>
      <c r="KJ12" s="208" t="n"/>
      <c r="KK12" s="208" t="n"/>
      <c r="KL12" s="208" t="n"/>
      <c r="KM12" s="208" t="n"/>
      <c r="KN12" s="208" t="n"/>
      <c r="KO12" s="208" t="n"/>
      <c r="KP12" s="208" t="n"/>
      <c r="KQ12" s="208" t="n"/>
      <c r="KR12" s="208" t="n"/>
      <c r="KS12" s="208" t="n"/>
      <c r="KT12" s="208" t="n"/>
      <c r="KU12" s="208" t="n"/>
      <c r="KV12" s="208" t="n"/>
      <c r="KW12" s="208" t="n"/>
      <c r="KX12" s="208" t="n"/>
      <c r="KY12" s="208" t="n"/>
      <c r="KZ12" s="208" t="n"/>
      <c r="LA12" s="208" t="n"/>
      <c r="LB12" s="208" t="n"/>
      <c r="LC12" s="208" t="n"/>
      <c r="LD12" s="208" t="n"/>
      <c r="LE12" s="208" t="n"/>
      <c r="LF12" s="208" t="n"/>
      <c r="LG12" s="208" t="n"/>
      <c r="LH12" s="208" t="n"/>
      <c r="LI12" s="208" t="n"/>
      <c r="LJ12" s="208" t="n"/>
      <c r="LK12" s="208" t="n"/>
      <c r="LL12" s="208" t="n"/>
      <c r="LM12" s="208" t="n"/>
      <c r="LN12" s="208" t="n"/>
      <c r="LO12" s="208" t="n"/>
      <c r="LP12" s="208" t="n"/>
      <c r="LQ12" s="208" t="n"/>
      <c r="LR12" s="208" t="n"/>
      <c r="LS12" s="208" t="n"/>
      <c r="LT12" s="208" t="n"/>
      <c r="LU12" s="208" t="n"/>
      <c r="LV12" s="208" t="n"/>
      <c r="LW12" s="208" t="n"/>
      <c r="LX12" s="208" t="n"/>
      <c r="LY12" s="208" t="n"/>
      <c r="LZ12" s="208" t="n"/>
      <c r="MA12" s="208" t="n"/>
      <c r="MB12" s="208" t="n"/>
      <c r="MC12" s="208" t="n"/>
      <c r="MD12" s="208" t="n"/>
      <c r="ME12" s="208" t="n"/>
      <c r="MF12" s="208" t="n"/>
      <c r="MG12" s="208" t="n"/>
      <c r="MH12" s="208" t="n"/>
      <c r="MI12" s="208" t="n"/>
      <c r="MJ12" s="208" t="n"/>
      <c r="MK12" s="208" t="n"/>
      <c r="ML12" s="208" t="n"/>
      <c r="MM12" s="208" t="n"/>
      <c r="MN12" s="208" t="n"/>
      <c r="MO12" s="208" t="n"/>
      <c r="MP12" s="208" t="n"/>
      <c r="MQ12" s="208" t="n"/>
      <c r="MR12" s="208" t="n"/>
      <c r="MS12" s="208" t="n"/>
      <c r="MT12" s="208" t="n"/>
      <c r="MU12" s="208" t="n"/>
      <c r="MV12" s="208" t="n"/>
      <c r="MW12" s="208" t="n"/>
      <c r="MX12" s="208" t="n"/>
      <c r="MY12" s="208" t="n"/>
      <c r="MZ12" s="208" t="n"/>
      <c r="NA12" s="208" t="n"/>
      <c r="NB12" s="208" t="n"/>
      <c r="NC12" s="208" t="n"/>
      <c r="ND12" s="208" t="n"/>
      <c r="NE12" s="208" t="n"/>
      <c r="NF12" s="208" t="n"/>
      <c r="NG12" s="208" t="n"/>
      <c r="NH12" s="208" t="n"/>
      <c r="NI12" s="208" t="n"/>
      <c r="NJ12" s="208" t="n"/>
      <c r="NK12" s="208" t="n"/>
      <c r="NL12" s="208" t="n"/>
      <c r="NM12" s="208" t="n"/>
      <c r="NN12" s="208" t="n"/>
      <c r="NO12" s="208" t="n"/>
      <c r="NP12" s="208" t="n"/>
      <c r="NQ12" s="208" t="n"/>
      <c r="NR12" s="208" t="n"/>
      <c r="NS12" s="208" t="n"/>
      <c r="NT12" s="208" t="n"/>
      <c r="NU12" s="208" t="n"/>
      <c r="NV12" s="208" t="n"/>
      <c r="NW12" s="208" t="n"/>
      <c r="NX12" s="208" t="n"/>
      <c r="NY12" s="208" t="n"/>
      <c r="NZ12" s="208" t="n"/>
      <c r="OA12" s="208" t="n"/>
      <c r="OB12" s="208" t="n"/>
      <c r="OC12" s="208" t="n"/>
      <c r="OD12" s="208" t="n"/>
      <c r="OE12" s="208" t="n"/>
      <c r="OF12" s="208" t="n"/>
      <c r="OG12" s="208" t="n"/>
      <c r="OH12" s="208" t="n"/>
      <c r="OI12" s="208" t="n"/>
      <c r="OJ12" s="208" t="n"/>
      <c r="OK12" s="208" t="n"/>
      <c r="OL12" s="208" t="n"/>
      <c r="OM12" s="208" t="n"/>
      <c r="ON12" s="208" t="n"/>
      <c r="OO12" s="208" t="n"/>
      <c r="OP12" s="208" t="n"/>
      <c r="OQ12" s="208" t="n"/>
      <c r="OR12" s="208" t="n"/>
      <c r="OS12" s="208" t="n"/>
      <c r="OT12" s="208" t="n"/>
      <c r="OU12" s="208" t="n"/>
      <c r="OV12" s="208" t="n"/>
      <c r="OW12" s="208" t="n"/>
      <c r="OX12" s="208" t="n"/>
      <c r="OY12" s="208" t="n"/>
      <c r="OZ12" s="208" t="n"/>
      <c r="PA12" s="208" t="n"/>
      <c r="PB12" s="208" t="n"/>
      <c r="PC12" s="208" t="n"/>
      <c r="PD12" s="208" t="n"/>
      <c r="PE12" s="208" t="n"/>
      <c r="PF12" s="208" t="n"/>
      <c r="PG12" s="208" t="n"/>
      <c r="PH12" s="208" t="n"/>
      <c r="PI12" s="208" t="n"/>
      <c r="PJ12" s="208" t="n"/>
      <c r="PK12" s="208" t="n"/>
      <c r="PL12" s="208" t="n"/>
      <c r="PM12" s="208" t="n"/>
      <c r="PN12" s="208" t="n"/>
      <c r="PO12" s="208" t="n"/>
      <c r="PP12" s="208" t="n"/>
      <c r="PQ12" s="208" t="n"/>
      <c r="PR12" s="208" t="n"/>
      <c r="PS12" s="208" t="n"/>
      <c r="PT12" s="208" t="n"/>
      <c r="PU12" s="208" t="n"/>
      <c r="PV12" s="208" t="n"/>
      <c r="PW12" s="208" t="n"/>
      <c r="PX12" s="208" t="n"/>
      <c r="PY12" s="208" t="n"/>
      <c r="PZ12" s="208" t="n"/>
      <c r="QA12" s="208" t="n"/>
      <c r="QB12" s="208" t="n"/>
      <c r="QC12" s="208" t="n"/>
      <c r="QD12" s="208" t="n"/>
      <c r="QE12" s="208" t="n"/>
      <c r="QF12" s="208" t="n"/>
      <c r="QG12" s="208" t="n"/>
      <c r="QH12" s="208" t="n"/>
      <c r="QI12" s="208" t="n"/>
      <c r="QJ12" s="208" t="n"/>
      <c r="QK12" s="208" t="n"/>
      <c r="QL12" s="208" t="n"/>
      <c r="QM12" s="208" t="n"/>
      <c r="QN12" s="208" t="n"/>
      <c r="QO12" s="208" t="n"/>
      <c r="QP12" s="208" t="n"/>
      <c r="QQ12" s="208" t="n"/>
      <c r="QR12" s="208" t="n"/>
      <c r="QS12" s="208" t="n"/>
      <c r="QT12" s="208" t="n"/>
      <c r="QU12" s="208" t="n"/>
      <c r="QV12" s="208" t="n"/>
      <c r="QW12" s="208" t="n"/>
      <c r="QX12" s="208" t="n"/>
      <c r="QY12" s="208" t="n"/>
      <c r="QZ12" s="208" t="n"/>
      <c r="RA12" s="208" t="n"/>
      <c r="RB12" s="208" t="n"/>
      <c r="RC12" s="208" t="n"/>
      <c r="RD12" s="208" t="n"/>
      <c r="RE12" s="208" t="n"/>
      <c r="RF12" s="208" t="n"/>
      <c r="RG12" s="208" t="n"/>
      <c r="RH12" s="208" t="n"/>
      <c r="RI12" s="208" t="n"/>
      <c r="RJ12" s="208" t="n"/>
      <c r="RK12" s="208" t="n"/>
      <c r="RL12" s="208" t="n"/>
      <c r="RM12" s="208" t="n"/>
      <c r="RN12" s="208" t="n"/>
      <c r="RO12" s="208" t="n"/>
      <c r="RP12" s="208" t="n"/>
      <c r="RQ12" s="208" t="n"/>
      <c r="RR12" s="208" t="n"/>
      <c r="RS12" s="208" t="n"/>
      <c r="RT12" s="208" t="n"/>
      <c r="RU12" s="208" t="n"/>
      <c r="RV12" s="208" t="n"/>
      <c r="RW12" s="208" t="n"/>
      <c r="RX12" s="208" t="n"/>
      <c r="RY12" s="208" t="n"/>
      <c r="RZ12" s="208" t="n"/>
      <c r="SA12" s="208" t="n"/>
      <c r="SB12" s="208" t="n"/>
      <c r="SC12" s="208" t="n"/>
      <c r="SD12" s="208" t="n"/>
      <c r="SE12" s="208" t="n"/>
      <c r="SF12" s="208" t="n"/>
      <c r="SG12" s="208" t="n"/>
      <c r="SH12" s="208" t="n"/>
      <c r="SI12" s="208" t="n"/>
      <c r="SJ12" s="208" t="n"/>
      <c r="SK12" s="208" t="n"/>
      <c r="SL12" s="208" t="n"/>
      <c r="SM12" s="208" t="n"/>
      <c r="SN12" s="208" t="n"/>
      <c r="SO12" s="208" t="n"/>
      <c r="SP12" s="208" t="n"/>
      <c r="SQ12" s="208" t="n"/>
      <c r="SR12" s="208" t="n"/>
      <c r="SS12" s="208" t="n"/>
      <c r="ST12" s="208" t="n"/>
      <c r="SU12" s="208" t="n"/>
      <c r="SV12" s="208" t="n"/>
    </row>
    <row r="13">
      <c r="B13" s="209" t="n">
        <v>1</v>
      </c>
      <c r="C13" s="209" t="inlineStr">
        <is>
          <t>LGC Rail</t>
        </is>
      </c>
      <c r="D13" s="209" t="inlineStr">
        <is>
          <t>Keith</t>
        </is>
      </c>
      <c r="E13" s="209" t="inlineStr">
        <is>
          <t>Hale</t>
        </is>
      </c>
      <c r="F13" s="209">
        <f>IF(TRIM(D13&amp;E13)="","",TRIM(D13)&amp;" "&amp;TRIM(E13))</f>
        <v/>
      </c>
      <c r="G13" s="209" t="inlineStr">
        <is>
          <t>Perth</t>
        </is>
      </c>
      <c r="H13" s="209" t="inlineStr">
        <is>
          <t>Operator - Truck Driver</t>
        </is>
      </c>
      <c r="I13" s="209" t="inlineStr">
        <is>
          <t>YES</t>
        </is>
      </c>
      <c r="J13" s="209" t="inlineStr">
        <is>
          <t>YES</t>
        </is>
      </c>
      <c r="K13" s="209" t="inlineStr">
        <is>
          <t>YES</t>
        </is>
      </c>
      <c r="L13" s="209" t="inlineStr">
        <is>
          <t>YES</t>
        </is>
      </c>
      <c r="M13" s="209" t="inlineStr">
        <is>
          <t>Quals Complete</t>
        </is>
      </c>
      <c r="N13" s="209" t="inlineStr">
        <is>
          <t>keithchale@gmail.com</t>
        </is>
      </c>
      <c r="O13" s="209" t="inlineStr">
        <is>
          <t>0413 480 687</t>
        </is>
      </c>
      <c r="P13" s="209" t="n">
        <v>863187</v>
      </c>
      <c r="Q13" s="209" t="n">
        <v>466884</v>
      </c>
      <c r="R13" s="209" t="inlineStr">
        <is>
          <t>2:2</t>
        </is>
      </c>
      <c r="S13" s="210" t="inlineStr">
        <is>
          <t>N/A</t>
        </is>
      </c>
      <c r="T13" s="210" t="inlineStr">
        <is>
          <t>N/A</t>
        </is>
      </c>
      <c r="U13" s="210" t="inlineStr">
        <is>
          <t>N/A</t>
        </is>
      </c>
      <c r="V13" s="210" t="inlineStr">
        <is>
          <t>N/A</t>
        </is>
      </c>
      <c r="W13" s="210" t="inlineStr">
        <is>
          <t>N/A</t>
        </is>
      </c>
      <c r="X13" s="210" t="inlineStr">
        <is>
          <t>N/A</t>
        </is>
      </c>
      <c r="Y13" s="210" t="inlineStr">
        <is>
          <t>N/A</t>
        </is>
      </c>
      <c r="Z13" s="210" t="inlineStr">
        <is>
          <t>N/A</t>
        </is>
      </c>
      <c r="AA13" s="210" t="inlineStr">
        <is>
          <t>N/A</t>
        </is>
      </c>
      <c r="AB13" s="210" t="inlineStr">
        <is>
          <t>N/A</t>
        </is>
      </c>
      <c r="AC13" s="210" t="inlineStr">
        <is>
          <t>N/A</t>
        </is>
      </c>
      <c r="AD13" s="211" t="inlineStr">
        <is>
          <t>PER/PHE AM
LND</t>
        </is>
      </c>
      <c r="AE13" s="211" t="inlineStr">
        <is>
          <t>LND</t>
        </is>
      </c>
      <c r="AF13" s="211" t="inlineStr">
        <is>
          <t>LND</t>
        </is>
      </c>
      <c r="AG13" s="211" t="inlineStr">
        <is>
          <t>LND</t>
        </is>
      </c>
      <c r="AH13" s="211" t="inlineStr">
        <is>
          <t>LND</t>
        </is>
      </c>
      <c r="AI13" s="211" t="inlineStr">
        <is>
          <t>LND</t>
        </is>
      </c>
      <c r="AJ13" s="211" t="inlineStr">
        <is>
          <t>LND</t>
        </is>
      </c>
      <c r="AK13" s="211" t="inlineStr">
        <is>
          <t>PHE/PER PM</t>
        </is>
      </c>
      <c r="AL13" s="210" t="inlineStr">
        <is>
          <t>N/A</t>
        </is>
      </c>
      <c r="AM13" s="210" t="inlineStr">
        <is>
          <t>N/A</t>
        </is>
      </c>
      <c r="AN13" s="210" t="inlineStr">
        <is>
          <t>N/A</t>
        </is>
      </c>
      <c r="AO13" s="210" t="inlineStr">
        <is>
          <t>N/A</t>
        </is>
      </c>
      <c r="AP13" s="210" t="inlineStr">
        <is>
          <t>N/A</t>
        </is>
      </c>
      <c r="AQ13" s="210" t="inlineStr">
        <is>
          <t>N/A</t>
        </is>
      </c>
      <c r="AR13" s="210" t="inlineStr">
        <is>
          <t>N/A</t>
        </is>
      </c>
      <c r="AS13" s="210" t="inlineStr">
        <is>
          <t>N/A</t>
        </is>
      </c>
      <c r="AT13" s="211" t="inlineStr">
        <is>
          <t>PER/PHE PM
LND</t>
        </is>
      </c>
      <c r="AU13" s="211" t="inlineStr">
        <is>
          <t>LND</t>
        </is>
      </c>
      <c r="AV13" s="211" t="inlineStr">
        <is>
          <t>LND</t>
        </is>
      </c>
      <c r="AW13" s="211" t="inlineStr">
        <is>
          <t>LND</t>
        </is>
      </c>
      <c r="AX13" s="211" t="inlineStr">
        <is>
          <t>LND</t>
        </is>
      </c>
      <c r="AY13" s="211" t="inlineStr">
        <is>
          <t>LND</t>
        </is>
      </c>
      <c r="AZ13" s="211" t="inlineStr">
        <is>
          <t>LND</t>
        </is>
      </c>
      <c r="BA13" s="211" t="inlineStr">
        <is>
          <t>LND</t>
        </is>
      </c>
      <c r="BB13" s="211" t="inlineStr">
        <is>
          <t>LND</t>
        </is>
      </c>
      <c r="BC13" s="211" t="inlineStr">
        <is>
          <t>LND</t>
        </is>
      </c>
      <c r="BD13" s="211" t="inlineStr">
        <is>
          <t>RDM</t>
        </is>
      </c>
      <c r="BE13" s="211" t="inlineStr">
        <is>
          <t>RDM</t>
        </is>
      </c>
      <c r="BF13" s="211" t="inlineStr">
        <is>
          <t>PHE/PER PM</t>
        </is>
      </c>
      <c r="BG13" s="214" t="inlineStr">
        <is>
          <t>RnR</t>
        </is>
      </c>
      <c r="BH13" s="214" t="inlineStr">
        <is>
          <t>RnR</t>
        </is>
      </c>
      <c r="BI13" s="214" t="inlineStr">
        <is>
          <t>RnR</t>
        </is>
      </c>
      <c r="BJ13" s="214" t="inlineStr">
        <is>
          <t>RnR</t>
        </is>
      </c>
      <c r="BK13" s="214" t="inlineStr">
        <is>
          <t>RnR</t>
        </is>
      </c>
      <c r="BL13" s="214" t="inlineStr">
        <is>
          <t>RnR</t>
        </is>
      </c>
      <c r="BM13" s="214" t="inlineStr">
        <is>
          <t>RnR</t>
        </is>
      </c>
      <c r="BN13" s="214" t="inlineStr">
        <is>
          <t>RnR</t>
        </is>
      </c>
      <c r="BO13" s="214" t="inlineStr">
        <is>
          <t>RnR</t>
        </is>
      </c>
      <c r="BP13" s="214" t="inlineStr">
        <is>
          <t>RnR</t>
        </is>
      </c>
      <c r="BQ13" s="214" t="inlineStr">
        <is>
          <t>RnR</t>
        </is>
      </c>
      <c r="BR13" s="214" t="inlineStr">
        <is>
          <t>RnR</t>
        </is>
      </c>
      <c r="BS13" s="214" t="inlineStr">
        <is>
          <t>RnR</t>
        </is>
      </c>
      <c r="BT13" s="211" t="inlineStr">
        <is>
          <t>PER/PHE PM
LND</t>
        </is>
      </c>
      <c r="BU13" s="211" t="inlineStr">
        <is>
          <t>RDM</t>
        </is>
      </c>
      <c r="BV13" s="211" t="inlineStr">
        <is>
          <t>RDM</t>
        </is>
      </c>
      <c r="BW13" s="211" t="inlineStr">
        <is>
          <t>RDM</t>
        </is>
      </c>
      <c r="BX13" s="211" t="inlineStr">
        <is>
          <t>RDM</t>
        </is>
      </c>
      <c r="BY13" s="211" t="inlineStr">
        <is>
          <t>RDM</t>
        </is>
      </c>
      <c r="BZ13" s="211" t="inlineStr">
        <is>
          <t>RDM</t>
        </is>
      </c>
      <c r="CA13" s="211" t="inlineStr">
        <is>
          <t>RDM</t>
        </is>
      </c>
      <c r="CB13" s="211" t="inlineStr">
        <is>
          <t>RDM</t>
        </is>
      </c>
      <c r="CC13" s="210" t="inlineStr">
        <is>
          <t>PHE/PER PM</t>
        </is>
      </c>
      <c r="CD13" s="216" t="inlineStr">
        <is>
          <t>S/L</t>
        </is>
      </c>
      <c r="CE13" s="216" t="inlineStr">
        <is>
          <t>S/L</t>
        </is>
      </c>
      <c r="CF13" s="216" t="inlineStr">
        <is>
          <t>S/L</t>
        </is>
      </c>
      <c r="CG13" s="216" t="inlineStr">
        <is>
          <t>S/L</t>
        </is>
      </c>
      <c r="CH13" s="216" t="inlineStr">
        <is>
          <t>S/L</t>
        </is>
      </c>
      <c r="CI13" s="214" t="inlineStr">
        <is>
          <t>RnR</t>
        </is>
      </c>
      <c r="CJ13" s="214" t="inlineStr">
        <is>
          <t>RnR</t>
        </is>
      </c>
      <c r="CK13" s="214" t="inlineStr">
        <is>
          <t>RnR</t>
        </is>
      </c>
      <c r="CL13" s="214" t="inlineStr">
        <is>
          <t>RnR</t>
        </is>
      </c>
      <c r="CM13" s="214" t="inlineStr">
        <is>
          <t>RnR</t>
        </is>
      </c>
      <c r="CN13" s="214" t="inlineStr">
        <is>
          <t>RnR</t>
        </is>
      </c>
      <c r="CO13" s="210" t="inlineStr">
        <is>
          <t>PER/PHE PM
LND</t>
        </is>
      </c>
      <c r="CP13" s="210" t="inlineStr">
        <is>
          <t>RDM</t>
        </is>
      </c>
      <c r="CQ13" s="210" t="inlineStr">
        <is>
          <t>RDM</t>
        </is>
      </c>
      <c r="CR13" s="210" t="inlineStr">
        <is>
          <t>RDM</t>
        </is>
      </c>
      <c r="CS13" s="210" t="inlineStr">
        <is>
          <t>RDM</t>
        </is>
      </c>
      <c r="CT13" s="210" t="inlineStr">
        <is>
          <t>RDM</t>
        </is>
      </c>
      <c r="CU13" s="210" t="inlineStr">
        <is>
          <t>RDM</t>
        </is>
      </c>
      <c r="CV13" s="210" t="inlineStr">
        <is>
          <t>RDM</t>
        </is>
      </c>
      <c r="CW13" s="210" t="inlineStr">
        <is>
          <t>RDM</t>
        </is>
      </c>
      <c r="CX13" s="210" t="inlineStr">
        <is>
          <t>RDM</t>
        </is>
      </c>
      <c r="CY13" s="210" t="inlineStr">
        <is>
          <t>RDM</t>
        </is>
      </c>
      <c r="CZ13" s="210" t="inlineStr">
        <is>
          <t>RDM</t>
        </is>
      </c>
      <c r="DA13" s="210" t="inlineStr">
        <is>
          <t>RDM</t>
        </is>
      </c>
      <c r="DB13" s="210" t="inlineStr">
        <is>
          <t>RDM</t>
        </is>
      </c>
      <c r="DC13" s="210" t="inlineStr">
        <is>
          <t>PHE/PER PM</t>
        </is>
      </c>
      <c r="DD13" s="217" t="inlineStr">
        <is>
          <t>DEMOB</t>
        </is>
      </c>
      <c r="DE13" s="210" t="inlineStr">
        <is>
          <t>N/A</t>
        </is>
      </c>
      <c r="DF13" s="210" t="inlineStr">
        <is>
          <t>N/A</t>
        </is>
      </c>
      <c r="DG13" s="210" t="inlineStr">
        <is>
          <t>N/A</t>
        </is>
      </c>
      <c r="DH13" s="210" t="inlineStr">
        <is>
          <t>N/A</t>
        </is>
      </c>
      <c r="DI13" s="210" t="inlineStr">
        <is>
          <t>N/A</t>
        </is>
      </c>
      <c r="DJ13" s="210" t="inlineStr">
        <is>
          <t>N/A</t>
        </is>
      </c>
      <c r="DK13" s="210" t="inlineStr">
        <is>
          <t>N/A</t>
        </is>
      </c>
      <c r="DL13" s="210" t="inlineStr">
        <is>
          <t>N/A</t>
        </is>
      </c>
      <c r="DM13" s="210" t="inlineStr">
        <is>
          <t>N/A</t>
        </is>
      </c>
      <c r="DN13" s="210" t="inlineStr">
        <is>
          <t>N/A</t>
        </is>
      </c>
      <c r="DO13" s="210" t="inlineStr">
        <is>
          <t>N/A</t>
        </is>
      </c>
      <c r="DP13" s="210" t="inlineStr">
        <is>
          <t>N/A</t>
        </is>
      </c>
      <c r="DQ13" s="210" t="inlineStr">
        <is>
          <t>N/A</t>
        </is>
      </c>
      <c r="DR13" s="212" t="n"/>
      <c r="DS13" s="212" t="n"/>
      <c r="DT13" s="212" t="n"/>
      <c r="DU13" s="212" t="n"/>
      <c r="DV13" s="212" t="n"/>
      <c r="DW13" s="212" t="n"/>
      <c r="DX13" s="212" t="n"/>
      <c r="DY13" s="212" t="n"/>
      <c r="DZ13" s="212" t="n"/>
      <c r="EA13" s="212" t="n"/>
      <c r="EB13" s="212" t="n"/>
      <c r="EC13" s="212" t="n"/>
      <c r="ED13" s="212" t="n"/>
      <c r="EE13" s="212" t="n"/>
      <c r="EF13" s="212" t="n"/>
      <c r="EG13" s="212" t="n"/>
      <c r="EH13" s="212" t="n"/>
      <c r="EI13" s="212" t="n"/>
      <c r="EJ13" s="212" t="n"/>
      <c r="EK13" s="212" t="n"/>
      <c r="EL13" s="212" t="n"/>
      <c r="EM13" s="212" t="n"/>
      <c r="EN13" s="212" t="n"/>
      <c r="EO13" s="212" t="n"/>
      <c r="EP13" s="212" t="n"/>
      <c r="EQ13" s="212" t="n"/>
      <c r="ER13" s="212" t="n"/>
      <c r="ES13" s="212" t="n"/>
      <c r="ET13" s="212" t="n"/>
      <c r="EU13" s="212" t="n"/>
      <c r="EV13" s="212" t="n"/>
      <c r="EW13" s="212" t="n"/>
      <c r="EX13" s="212" t="n"/>
      <c r="EY13" s="212" t="n"/>
      <c r="EZ13" s="212" t="n"/>
      <c r="FA13" s="212" t="n"/>
      <c r="FB13" s="212" t="n"/>
      <c r="FC13" s="212" t="n"/>
      <c r="FD13" s="212" t="n"/>
      <c r="FE13" s="212" t="n"/>
      <c r="FF13" s="212" t="n"/>
      <c r="FG13" s="212" t="n"/>
      <c r="FH13" s="212" t="n"/>
      <c r="FI13" s="212" t="n"/>
      <c r="FJ13" s="212" t="n"/>
      <c r="FK13" s="212" t="n"/>
      <c r="FL13" s="212" t="n"/>
      <c r="FM13" s="212" t="n"/>
      <c r="FN13" s="212" t="n"/>
      <c r="FO13" s="212" t="n"/>
      <c r="FP13" s="212" t="n"/>
      <c r="FQ13" s="212" t="n"/>
      <c r="FR13" s="212" t="n"/>
      <c r="FS13" s="212" t="n"/>
      <c r="FT13" s="212" t="n"/>
      <c r="FU13" s="212" t="n"/>
      <c r="FV13" s="212" t="n"/>
      <c r="FW13" s="212" t="n"/>
      <c r="FX13" s="212" t="n"/>
      <c r="FY13" s="212" t="n"/>
      <c r="FZ13" s="212" t="n"/>
      <c r="GA13" s="212" t="n"/>
      <c r="GB13" s="212" t="n"/>
      <c r="GC13" s="212" t="n"/>
      <c r="GD13" s="212" t="n"/>
      <c r="GE13" s="212" t="n"/>
      <c r="GF13" s="212" t="n"/>
      <c r="GG13" s="212" t="n"/>
      <c r="GH13" s="212" t="n"/>
      <c r="GI13" s="212" t="n"/>
      <c r="GJ13" s="212" t="n"/>
      <c r="GK13" s="212" t="n"/>
      <c r="GL13" s="212" t="n"/>
      <c r="GM13" s="212" t="n"/>
      <c r="GN13" s="212" t="n"/>
      <c r="GO13" s="212" t="n"/>
      <c r="GP13" s="212" t="n"/>
      <c r="GQ13" s="212" t="n"/>
      <c r="GR13" s="212" t="n"/>
      <c r="GS13" s="212" t="n"/>
      <c r="GT13" s="212" t="n"/>
      <c r="GU13" s="212" t="n"/>
      <c r="GV13" s="212" t="n"/>
      <c r="GW13" s="212" t="n"/>
      <c r="GX13" s="212" t="n"/>
      <c r="GY13" s="212" t="n"/>
      <c r="GZ13" s="212" t="n"/>
      <c r="HA13" s="212" t="n"/>
      <c r="HB13" s="212" t="n"/>
      <c r="HC13" s="212" t="n"/>
      <c r="HD13" s="212" t="n"/>
      <c r="HE13" s="212" t="n"/>
      <c r="HF13" s="212" t="n"/>
      <c r="HG13" s="212" t="n"/>
      <c r="HH13" s="212" t="n"/>
      <c r="HI13" s="212" t="n"/>
      <c r="HJ13" s="212" t="n"/>
      <c r="HK13" s="212" t="n"/>
      <c r="HL13" s="212" t="n"/>
      <c r="HM13" s="212" t="n"/>
      <c r="HN13" s="212" t="n"/>
      <c r="HO13" s="212" t="n"/>
      <c r="HP13" s="212" t="n"/>
      <c r="HQ13" s="212" t="n"/>
      <c r="HR13" s="212" t="n"/>
      <c r="HS13" s="212" t="n"/>
      <c r="HT13" s="212" t="n"/>
      <c r="HU13" s="212" t="n"/>
      <c r="HV13" s="212" t="n"/>
      <c r="HW13" s="212" t="n"/>
      <c r="HX13" s="212" t="n"/>
      <c r="HY13" s="212" t="n"/>
      <c r="HZ13" s="212" t="n"/>
      <c r="IA13" s="212" t="n"/>
      <c r="IB13" s="212" t="n"/>
      <c r="IC13" s="212" t="n"/>
      <c r="ID13" s="212" t="n"/>
      <c r="IE13" s="212" t="n"/>
      <c r="IF13" s="212" t="n"/>
      <c r="IG13" s="212" t="n"/>
      <c r="IH13" s="212" t="n"/>
      <c r="II13" s="212" t="n"/>
      <c r="IJ13" s="212" t="n"/>
      <c r="IK13" s="212" t="n"/>
      <c r="IL13" s="212" t="n"/>
      <c r="IM13" s="212" t="n"/>
      <c r="IN13" s="212" t="n"/>
      <c r="IO13" s="212" t="n"/>
      <c r="IP13" s="212" t="n"/>
      <c r="IQ13" s="212" t="n"/>
      <c r="IR13" s="212" t="n"/>
      <c r="IS13" s="212" t="n"/>
      <c r="IT13" s="212" t="n"/>
      <c r="IU13" s="212" t="n"/>
      <c r="IV13" s="212" t="n"/>
      <c r="IW13" s="212" t="n"/>
      <c r="IX13" s="212" t="n"/>
      <c r="IY13" s="212" t="n"/>
      <c r="IZ13" s="212" t="n"/>
      <c r="JA13" s="212" t="n"/>
      <c r="JB13" s="212" t="n"/>
      <c r="JC13" s="212" t="n"/>
      <c r="JD13" s="212" t="n"/>
      <c r="JE13" s="212" t="n"/>
      <c r="JF13" s="212" t="n"/>
      <c r="JG13" s="212" t="n"/>
      <c r="JH13" s="212" t="n"/>
      <c r="JI13" s="212" t="n"/>
      <c r="JJ13" s="212" t="n"/>
      <c r="JK13" s="212" t="n"/>
      <c r="JL13" s="212" t="n"/>
      <c r="JM13" s="212" t="n"/>
      <c r="JN13" s="212" t="n"/>
      <c r="JO13" s="212" t="n"/>
      <c r="JP13" s="212" t="n"/>
      <c r="JQ13" s="212" t="n"/>
      <c r="JR13" s="212" t="n"/>
      <c r="JS13" s="212" t="n"/>
      <c r="JT13" s="212" t="n"/>
      <c r="JU13" s="212" t="n"/>
      <c r="JV13" s="212" t="n"/>
      <c r="JW13" s="212" t="n"/>
      <c r="JX13" s="212" t="n"/>
      <c r="JY13" s="212" t="n"/>
      <c r="JZ13" s="212" t="n"/>
      <c r="KA13" s="212" t="n"/>
      <c r="KB13" s="212" t="n"/>
      <c r="KC13" s="212" t="n"/>
      <c r="KD13" s="212" t="n"/>
      <c r="KE13" s="212" t="n"/>
      <c r="KF13" s="212" t="n"/>
      <c r="KG13" s="212" t="n"/>
      <c r="KH13" s="212" t="n"/>
      <c r="KI13" s="212" t="n"/>
      <c r="KJ13" s="212" t="n"/>
      <c r="KK13" s="212" t="n"/>
      <c r="KL13" s="212" t="n"/>
      <c r="KM13" s="212" t="n"/>
      <c r="KN13" s="212" t="n"/>
      <c r="KO13" s="212" t="n"/>
      <c r="KP13" s="212" t="n"/>
      <c r="KQ13" s="212" t="n"/>
      <c r="KR13" s="212" t="n"/>
      <c r="KS13" s="212" t="n"/>
      <c r="KT13" s="212" t="n"/>
      <c r="KU13" s="212" t="n"/>
      <c r="KV13" s="212" t="n"/>
      <c r="KW13" s="212" t="n"/>
      <c r="KX13" s="212" t="n"/>
      <c r="KY13" s="212" t="n"/>
      <c r="KZ13" s="212" t="n"/>
      <c r="LA13" s="212" t="n"/>
      <c r="LB13" s="212" t="n"/>
      <c r="LC13" s="212" t="n"/>
      <c r="LD13" s="212" t="n"/>
      <c r="LE13" s="212" t="n"/>
      <c r="LF13" s="212" t="n"/>
      <c r="LG13" s="212" t="n"/>
      <c r="LH13" s="212" t="n"/>
      <c r="LI13" s="212" t="n"/>
      <c r="LJ13" s="212" t="n"/>
      <c r="LK13" s="212" t="n"/>
      <c r="LL13" s="212" t="n"/>
      <c r="LM13" s="212" t="n"/>
      <c r="LN13" s="212" t="n"/>
      <c r="LO13" s="212" t="n"/>
      <c r="LP13" s="212" t="n"/>
      <c r="LQ13" s="212" t="n"/>
      <c r="LR13" s="212" t="n"/>
      <c r="LS13" s="212" t="n"/>
      <c r="LT13" s="212" t="n"/>
      <c r="LU13" s="212" t="n"/>
      <c r="LV13" s="212" t="n"/>
      <c r="LW13" s="212" t="n"/>
      <c r="LX13" s="212" t="n"/>
      <c r="LY13" s="212" t="n"/>
      <c r="LZ13" s="212" t="n"/>
      <c r="MA13" s="212" t="n"/>
      <c r="MB13" s="212" t="n"/>
      <c r="MC13" s="212" t="n"/>
      <c r="MD13" s="212" t="n"/>
      <c r="ME13" s="212" t="n"/>
      <c r="MF13" s="212" t="n"/>
      <c r="MG13" s="212" t="n"/>
      <c r="MH13" s="212" t="n"/>
      <c r="MI13" s="212" t="n"/>
      <c r="MJ13" s="212" t="n"/>
      <c r="MK13" s="212" t="n"/>
      <c r="ML13" s="212" t="n"/>
      <c r="MM13" s="212" t="n"/>
      <c r="MN13" s="212" t="n"/>
      <c r="MO13" s="212" t="n"/>
      <c r="MP13" s="212" t="n"/>
      <c r="MQ13" s="212" t="n"/>
      <c r="MR13" s="212" t="n"/>
      <c r="MS13" s="212" t="n"/>
      <c r="MT13" s="212" t="n"/>
      <c r="MU13" s="212" t="n"/>
      <c r="MV13" s="212" t="n"/>
      <c r="MW13" s="212" t="n"/>
      <c r="MX13" s="212" t="n"/>
      <c r="MY13" s="212" t="n"/>
      <c r="MZ13" s="212" t="n"/>
      <c r="NA13" s="212" t="n"/>
      <c r="NB13" s="212" t="n"/>
      <c r="NC13" s="212" t="n"/>
      <c r="ND13" s="212" t="n"/>
      <c r="NE13" s="212" t="n"/>
      <c r="NF13" s="212" t="n"/>
      <c r="NG13" s="212" t="n"/>
      <c r="NH13" s="212" t="n"/>
      <c r="NI13" s="212" t="n"/>
      <c r="NJ13" s="212" t="n"/>
      <c r="NK13" s="212" t="n"/>
      <c r="NL13" s="212" t="n"/>
      <c r="NM13" s="212" t="n"/>
      <c r="NN13" s="212" t="n"/>
      <c r="NO13" s="212" t="n"/>
      <c r="NP13" s="212" t="n"/>
      <c r="NQ13" s="212" t="n"/>
      <c r="NR13" s="212" t="n"/>
      <c r="NS13" s="212" t="n"/>
      <c r="NT13" s="212" t="n"/>
      <c r="NU13" s="212" t="n"/>
      <c r="NV13" s="212" t="n"/>
      <c r="NW13" s="212" t="n"/>
      <c r="NX13" s="212" t="n"/>
      <c r="NY13" s="212" t="n"/>
      <c r="NZ13" s="212" t="n"/>
      <c r="OA13" s="212" t="n"/>
      <c r="OB13" s="212" t="n"/>
      <c r="OC13" s="212" t="n"/>
      <c r="OD13" s="212" t="n"/>
      <c r="OE13" s="212" t="n"/>
      <c r="OF13" s="212" t="n"/>
      <c r="OG13" s="212" t="n"/>
      <c r="OH13" s="212" t="n"/>
      <c r="OI13" s="212" t="n"/>
      <c r="OJ13" s="212" t="n"/>
      <c r="OK13" s="212" t="n"/>
      <c r="OL13" s="212" t="n"/>
      <c r="OM13" s="212" t="n"/>
      <c r="ON13" s="212" t="n"/>
      <c r="OO13" s="212" t="n"/>
      <c r="OP13" s="212" t="n"/>
      <c r="OQ13" s="212" t="n"/>
      <c r="OR13" s="212" t="n"/>
      <c r="OS13" s="212" t="n"/>
      <c r="OT13" s="212" t="n"/>
      <c r="OU13" s="212" t="n"/>
      <c r="OV13" s="212" t="n"/>
      <c r="OW13" s="212" t="n"/>
      <c r="OX13" s="212" t="n"/>
      <c r="OY13" s="212" t="n"/>
      <c r="OZ13" s="212" t="n"/>
      <c r="PA13" s="212" t="n"/>
      <c r="PB13" s="212" t="n"/>
      <c r="PC13" s="212" t="n"/>
      <c r="PD13" s="212" t="n"/>
      <c r="PE13" s="212" t="n"/>
      <c r="PF13" s="212" t="n"/>
      <c r="PG13" s="212" t="n"/>
      <c r="PH13" s="212" t="n"/>
      <c r="PI13" s="212" t="n"/>
      <c r="PJ13" s="212" t="n"/>
      <c r="PK13" s="212" t="n"/>
      <c r="PL13" s="212" t="n"/>
      <c r="PM13" s="212" t="n"/>
      <c r="PN13" s="212" t="n"/>
      <c r="PO13" s="212" t="n"/>
      <c r="PP13" s="212" t="n"/>
      <c r="PQ13" s="212" t="n"/>
      <c r="PR13" s="212" t="n"/>
      <c r="PS13" s="212" t="n"/>
      <c r="PT13" s="212" t="n"/>
      <c r="PU13" s="212" t="n"/>
      <c r="PV13" s="212" t="n"/>
      <c r="PW13" s="212" t="n"/>
      <c r="PX13" s="212" t="n"/>
      <c r="PY13" s="212" t="n"/>
      <c r="PZ13" s="212" t="n"/>
      <c r="QA13" s="212" t="n"/>
      <c r="QB13" s="212" t="n"/>
      <c r="QC13" s="212" t="n"/>
      <c r="QD13" s="212" t="n"/>
      <c r="QE13" s="212" t="n"/>
      <c r="QF13" s="212" t="n"/>
      <c r="QG13" s="212" t="n"/>
      <c r="QH13" s="212" t="n"/>
      <c r="QI13" s="212" t="n"/>
      <c r="QJ13" s="212" t="n"/>
      <c r="QK13" s="212" t="n"/>
      <c r="QL13" s="212" t="n"/>
      <c r="QM13" s="212" t="n"/>
      <c r="QN13" s="212" t="n"/>
      <c r="QO13" s="212" t="n"/>
      <c r="QP13" s="212" t="n"/>
      <c r="QQ13" s="212" t="n"/>
      <c r="QR13" s="212" t="n"/>
      <c r="QS13" s="212" t="n"/>
      <c r="QT13" s="212" t="n"/>
      <c r="QU13" s="212" t="n"/>
      <c r="QV13" s="212" t="n"/>
      <c r="QW13" s="212" t="n"/>
      <c r="QX13" s="212" t="n"/>
      <c r="QY13" s="212" t="n"/>
      <c r="QZ13" s="212" t="n"/>
      <c r="RA13" s="212" t="n"/>
      <c r="RB13" s="212" t="n"/>
      <c r="RC13" s="212" t="n"/>
      <c r="RD13" s="212" t="n"/>
      <c r="RE13" s="212" t="n"/>
      <c r="RF13" s="212" t="n"/>
      <c r="RG13" s="212" t="n"/>
      <c r="RH13" s="212" t="n"/>
      <c r="RI13" s="212" t="n"/>
      <c r="RJ13" s="212" t="n"/>
      <c r="RK13" s="212" t="n"/>
      <c r="RL13" s="212" t="n"/>
      <c r="RM13" s="212" t="n"/>
      <c r="RN13" s="212" t="n"/>
      <c r="RO13" s="212" t="n"/>
      <c r="RP13" s="212" t="n"/>
      <c r="RQ13" s="212" t="n"/>
      <c r="RR13" s="212" t="n"/>
      <c r="RS13" s="212" t="n"/>
      <c r="RT13" s="212" t="n"/>
      <c r="RU13" s="212" t="n"/>
      <c r="RV13" s="212" t="n"/>
      <c r="RW13" s="212" t="n"/>
      <c r="RX13" s="212" t="n"/>
      <c r="RY13" s="212" t="n"/>
      <c r="RZ13" s="212" t="n"/>
      <c r="SA13" s="212" t="n"/>
      <c r="SB13" s="212" t="n"/>
      <c r="SC13" s="212" t="n"/>
      <c r="SD13" s="212" t="n"/>
      <c r="SE13" s="212" t="n"/>
      <c r="SF13" s="212" t="n"/>
      <c r="SG13" s="212" t="n"/>
      <c r="SH13" s="212" t="n"/>
      <c r="SI13" s="212" t="n"/>
      <c r="SJ13" s="212" t="n"/>
      <c r="SK13" s="212" t="n"/>
      <c r="SL13" s="212" t="n"/>
      <c r="SM13" s="212" t="n"/>
      <c r="SN13" s="212" t="n"/>
      <c r="SO13" s="212" t="n"/>
      <c r="SP13" s="212" t="n"/>
      <c r="SQ13" s="212" t="n"/>
      <c r="SR13" s="212" t="n"/>
      <c r="SS13" s="212" t="n"/>
      <c r="ST13" s="212" t="n"/>
      <c r="SU13" s="212" t="n"/>
      <c r="SV13" s="212" t="n"/>
    </row>
    <row r="14">
      <c r="B14" s="209" t="n">
        <v>2</v>
      </c>
      <c r="C14" s="209" t="inlineStr">
        <is>
          <t>Wabtec</t>
        </is>
      </c>
      <c r="D14" s="209" t="inlineStr">
        <is>
          <t>John</t>
        </is>
      </c>
      <c r="E14" s="209" t="inlineStr">
        <is>
          <t>Stephen</t>
        </is>
      </c>
      <c r="F14" s="209">
        <f>IF(TRIM(D14&amp;E14)="","",TRIM(D14)&amp;" "&amp;TRIM(E14))</f>
        <v/>
      </c>
      <c r="G14" s="209" t="inlineStr">
        <is>
          <t>Perth</t>
        </is>
      </c>
      <c r="H14" s="209" t="inlineStr">
        <is>
          <t>Operator - Forklift</t>
        </is>
      </c>
      <c r="I14" s="209" t="inlineStr">
        <is>
          <t>YES</t>
        </is>
      </c>
      <c r="J14" s="209" t="inlineStr">
        <is>
          <t>YES</t>
        </is>
      </c>
      <c r="K14" s="209" t="inlineStr">
        <is>
          <t>YES</t>
        </is>
      </c>
      <c r="L14" s="209" t="inlineStr">
        <is>
          <t>NO</t>
        </is>
      </c>
      <c r="M14" s="209" t="inlineStr">
        <is>
          <t>Quals Complete</t>
        </is>
      </c>
      <c r="N14" s="209" t="inlineStr">
        <is>
          <t>Stephendist2@gmail.com</t>
        </is>
      </c>
      <c r="O14" s="209" t="inlineStr">
        <is>
          <t>0458 576 390</t>
        </is>
      </c>
      <c r="P14" s="209" t="n">
        <v>688368</v>
      </c>
      <c r="Q14" s="209" t="n">
        <v>349407</v>
      </c>
      <c r="R14" s="209" t="inlineStr">
        <is>
          <t>2:1</t>
        </is>
      </c>
      <c r="S14" s="210" t="inlineStr">
        <is>
          <t>N/A</t>
        </is>
      </c>
      <c r="T14" s="210" t="inlineStr">
        <is>
          <t>N/A</t>
        </is>
      </c>
      <c r="U14" s="210" t="inlineStr">
        <is>
          <t>N/A</t>
        </is>
      </c>
      <c r="V14" s="210" t="inlineStr">
        <is>
          <t>N/A</t>
        </is>
      </c>
      <c r="W14" s="210" t="inlineStr">
        <is>
          <t>N/A</t>
        </is>
      </c>
      <c r="X14" s="210" t="inlineStr">
        <is>
          <t>N/A</t>
        </is>
      </c>
      <c r="Y14" s="210" t="inlineStr">
        <is>
          <t>N/A</t>
        </is>
      </c>
      <c r="Z14" s="210" t="inlineStr">
        <is>
          <t>N/A</t>
        </is>
      </c>
      <c r="AA14" s="210" t="inlineStr">
        <is>
          <t>N/A</t>
        </is>
      </c>
      <c r="AB14" s="210" t="inlineStr">
        <is>
          <t>N/A</t>
        </is>
      </c>
      <c r="AC14" s="210" t="inlineStr">
        <is>
          <t>N/A</t>
        </is>
      </c>
      <c r="AD14" s="210" t="inlineStr">
        <is>
          <t>N/A</t>
        </is>
      </c>
      <c r="AE14" s="210" t="inlineStr">
        <is>
          <t>N/A</t>
        </is>
      </c>
      <c r="AF14" s="210" t="inlineStr">
        <is>
          <t>N/A</t>
        </is>
      </c>
      <c r="AG14" s="210" t="inlineStr">
        <is>
          <t>N/A</t>
        </is>
      </c>
      <c r="AH14" s="210" t="inlineStr">
        <is>
          <t>N/A</t>
        </is>
      </c>
      <c r="AI14" s="210" t="inlineStr">
        <is>
          <t>N/A</t>
        </is>
      </c>
      <c r="AJ14" s="210" t="inlineStr">
        <is>
          <t>N/A</t>
        </is>
      </c>
      <c r="AK14" s="210" t="inlineStr">
        <is>
          <t>N/A</t>
        </is>
      </c>
      <c r="AL14" s="210" t="inlineStr">
        <is>
          <t>N/A</t>
        </is>
      </c>
      <c r="AM14" s="210" t="inlineStr">
        <is>
          <t>N/A</t>
        </is>
      </c>
      <c r="AN14" s="210" t="inlineStr">
        <is>
          <t>N/A</t>
        </is>
      </c>
      <c r="AO14" s="210" t="inlineStr">
        <is>
          <t>N/A</t>
        </is>
      </c>
      <c r="AP14" s="210" t="inlineStr">
        <is>
          <t>N/A</t>
        </is>
      </c>
      <c r="AQ14" s="210" t="inlineStr">
        <is>
          <t>N/A</t>
        </is>
      </c>
      <c r="AR14" s="210" t="inlineStr">
        <is>
          <t>N/A</t>
        </is>
      </c>
      <c r="AS14" s="210" t="inlineStr">
        <is>
          <t>N/A</t>
        </is>
      </c>
      <c r="AT14" s="210" t="inlineStr">
        <is>
          <t>N/A</t>
        </is>
      </c>
      <c r="AU14" s="210" t="inlineStr">
        <is>
          <t>N/A</t>
        </is>
      </c>
      <c r="AV14" s="210" t="inlineStr">
        <is>
          <t>N/A</t>
        </is>
      </c>
      <c r="AW14" s="210" t="inlineStr">
        <is>
          <t>N/A</t>
        </is>
      </c>
      <c r="AX14" s="210" t="inlineStr">
        <is>
          <t>N/A</t>
        </is>
      </c>
      <c r="AY14" s="210" t="inlineStr">
        <is>
          <t>N/A</t>
        </is>
      </c>
      <c r="AZ14" s="210" t="inlineStr">
        <is>
          <t>N/A</t>
        </is>
      </c>
      <c r="BA14" s="210" t="inlineStr">
        <is>
          <t>N/A</t>
        </is>
      </c>
      <c r="BB14" s="210" t="inlineStr">
        <is>
          <t>N/A</t>
        </is>
      </c>
      <c r="BC14" s="210" t="inlineStr">
        <is>
          <t>N/A</t>
        </is>
      </c>
      <c r="BD14" s="210" t="inlineStr">
        <is>
          <t>N/A</t>
        </is>
      </c>
      <c r="BE14" s="210" t="inlineStr">
        <is>
          <t>N/A</t>
        </is>
      </c>
      <c r="BF14" s="210" t="inlineStr">
        <is>
          <t>N/A</t>
        </is>
      </c>
      <c r="BG14" s="210" t="inlineStr">
        <is>
          <t>N/A</t>
        </is>
      </c>
      <c r="BH14" s="210" t="inlineStr">
        <is>
          <t>N/A</t>
        </is>
      </c>
      <c r="BI14" s="210" t="inlineStr">
        <is>
          <t>N/A</t>
        </is>
      </c>
      <c r="BJ14" s="210" t="inlineStr">
        <is>
          <t>N/A</t>
        </is>
      </c>
      <c r="BK14" s="210" t="inlineStr">
        <is>
          <t>N/A</t>
        </is>
      </c>
      <c r="BL14" s="210" t="inlineStr">
        <is>
          <t>N/A</t>
        </is>
      </c>
      <c r="BM14" s="210" t="inlineStr">
        <is>
          <t>N/A</t>
        </is>
      </c>
      <c r="BN14" s="210" t="inlineStr">
        <is>
          <t>N/A</t>
        </is>
      </c>
      <c r="BO14" s="210" t="inlineStr">
        <is>
          <t>N/A</t>
        </is>
      </c>
      <c r="BP14" s="210" t="inlineStr">
        <is>
          <t>N/A</t>
        </is>
      </c>
      <c r="BQ14" s="210" t="inlineStr">
        <is>
          <t>N/A</t>
        </is>
      </c>
      <c r="BR14" s="210" t="inlineStr">
        <is>
          <t>N/A</t>
        </is>
      </c>
      <c r="BS14" s="210" t="inlineStr">
        <is>
          <t>N/A</t>
        </is>
      </c>
      <c r="BT14" s="211" t="inlineStr">
        <is>
          <t>PER/PHE PM
LND</t>
        </is>
      </c>
      <c r="BU14" s="211" t="inlineStr">
        <is>
          <t>RDM</t>
        </is>
      </c>
      <c r="BV14" s="211" t="inlineStr">
        <is>
          <t>RDM</t>
        </is>
      </c>
      <c r="BW14" s="211" t="inlineStr">
        <is>
          <t>RDM</t>
        </is>
      </c>
      <c r="BX14" s="211" t="inlineStr">
        <is>
          <t>RDM</t>
        </is>
      </c>
      <c r="BY14" s="211" t="inlineStr">
        <is>
          <t>RDM</t>
        </is>
      </c>
      <c r="BZ14" s="211" t="inlineStr">
        <is>
          <t>RDM</t>
        </is>
      </c>
      <c r="CA14" s="211" t="inlineStr">
        <is>
          <t>RDM</t>
        </is>
      </c>
      <c r="CB14" s="211" t="inlineStr">
        <is>
          <t>RDM</t>
        </is>
      </c>
      <c r="CC14" s="211" t="inlineStr">
        <is>
          <t>RDM</t>
        </is>
      </c>
      <c r="CD14" s="211" t="inlineStr">
        <is>
          <t>RDM</t>
        </is>
      </c>
      <c r="CE14" s="211" t="inlineStr">
        <is>
          <t>RDM</t>
        </is>
      </c>
      <c r="CF14" s="211" t="inlineStr">
        <is>
          <t>RDM</t>
        </is>
      </c>
      <c r="CG14" s="211" t="inlineStr">
        <is>
          <t>RDM</t>
        </is>
      </c>
      <c r="CH14" s="211" t="inlineStr">
        <is>
          <t>PHE/PER PM</t>
        </is>
      </c>
      <c r="CI14" s="214" t="inlineStr">
        <is>
          <t>RnR</t>
        </is>
      </c>
      <c r="CJ14" s="214" t="inlineStr">
        <is>
          <t>RnR</t>
        </is>
      </c>
      <c r="CK14" s="214" t="inlineStr">
        <is>
          <t>RnR</t>
        </is>
      </c>
      <c r="CL14" s="214" t="inlineStr">
        <is>
          <t>RnR</t>
        </is>
      </c>
      <c r="CM14" s="214" t="inlineStr">
        <is>
          <t>RnR</t>
        </is>
      </c>
      <c r="CN14" s="214" t="inlineStr">
        <is>
          <t>RnR</t>
        </is>
      </c>
      <c r="CO14" s="211" t="inlineStr">
        <is>
          <t>PER/PHE PM
LND</t>
        </is>
      </c>
      <c r="CP14" s="210" t="inlineStr">
        <is>
          <t>RDM</t>
        </is>
      </c>
      <c r="CQ14" s="210" t="inlineStr">
        <is>
          <t>RDM</t>
        </is>
      </c>
      <c r="CR14" s="210" t="inlineStr">
        <is>
          <t>RDM</t>
        </is>
      </c>
      <c r="CS14" s="210" t="inlineStr">
        <is>
          <t>RDM</t>
        </is>
      </c>
      <c r="CT14" s="210" t="inlineStr">
        <is>
          <t>RDM</t>
        </is>
      </c>
      <c r="CU14" s="210" t="inlineStr">
        <is>
          <t>RDM</t>
        </is>
      </c>
      <c r="CV14" s="210" t="inlineStr">
        <is>
          <t>RDM</t>
        </is>
      </c>
      <c r="CW14" s="210" t="inlineStr">
        <is>
          <t>RDM</t>
        </is>
      </c>
      <c r="CX14" s="210" t="inlineStr">
        <is>
          <t>RDM</t>
        </is>
      </c>
      <c r="CY14" s="210" t="inlineStr">
        <is>
          <t>RDM</t>
        </is>
      </c>
      <c r="CZ14" s="210" t="inlineStr">
        <is>
          <t>RDM</t>
        </is>
      </c>
      <c r="DA14" s="210" t="inlineStr">
        <is>
          <t>RDM</t>
        </is>
      </c>
      <c r="DB14" s="210" t="inlineStr">
        <is>
          <t>RDM</t>
        </is>
      </c>
      <c r="DC14" s="210" t="inlineStr">
        <is>
          <t>PHE/PER PM</t>
        </is>
      </c>
      <c r="DD14" s="217" t="inlineStr">
        <is>
          <t>DEMOB</t>
        </is>
      </c>
      <c r="DE14" s="214" t="inlineStr">
        <is>
          <t>RnR</t>
        </is>
      </c>
      <c r="DF14" s="210" t="inlineStr">
        <is>
          <t>N/A</t>
        </is>
      </c>
      <c r="DG14" s="210" t="inlineStr">
        <is>
          <t>N/A</t>
        </is>
      </c>
      <c r="DH14" s="210" t="inlineStr">
        <is>
          <t>N/A</t>
        </is>
      </c>
      <c r="DI14" s="210" t="inlineStr">
        <is>
          <t>N/A</t>
        </is>
      </c>
      <c r="DJ14" s="210" t="inlineStr">
        <is>
          <t>N/A</t>
        </is>
      </c>
      <c r="DK14" s="210" t="inlineStr">
        <is>
          <t>N/A</t>
        </is>
      </c>
      <c r="DL14" s="210" t="inlineStr">
        <is>
          <t>N/A</t>
        </is>
      </c>
      <c r="DM14" s="210" t="inlineStr">
        <is>
          <t>N/A</t>
        </is>
      </c>
      <c r="DN14" s="210" t="inlineStr">
        <is>
          <t>N/A</t>
        </is>
      </c>
      <c r="DO14" s="210" t="inlineStr">
        <is>
          <t>N/A</t>
        </is>
      </c>
      <c r="DP14" s="210" t="inlineStr">
        <is>
          <t>N/A</t>
        </is>
      </c>
      <c r="DQ14" s="210" t="inlineStr">
        <is>
          <t>N/A</t>
        </is>
      </c>
      <c r="DR14" s="212" t="n"/>
      <c r="DS14" s="212" t="n"/>
      <c r="DT14" s="212" t="n"/>
      <c r="DU14" s="212" t="n"/>
      <c r="DV14" s="212" t="n"/>
      <c r="DW14" s="212" t="n"/>
      <c r="DX14" s="212" t="n"/>
      <c r="DY14" s="212" t="n"/>
      <c r="DZ14" s="212" t="n"/>
      <c r="EA14" s="212" t="n"/>
      <c r="EB14" s="212" t="n"/>
      <c r="EC14" s="212" t="n"/>
      <c r="ED14" s="212" t="n"/>
      <c r="EE14" s="212" t="n"/>
      <c r="EF14" s="212" t="n"/>
      <c r="EG14" s="212" t="n"/>
      <c r="EH14" s="212" t="n"/>
      <c r="EI14" s="212" t="n"/>
      <c r="EJ14" s="212" t="n"/>
      <c r="EK14" s="212" t="n"/>
      <c r="EL14" s="212" t="n"/>
      <c r="EM14" s="212" t="n"/>
      <c r="EN14" s="212" t="n"/>
      <c r="EO14" s="212" t="n"/>
      <c r="EP14" s="212" t="n"/>
      <c r="EQ14" s="212" t="n"/>
      <c r="ER14" s="212" t="n"/>
      <c r="ES14" s="212" t="n"/>
      <c r="ET14" s="212" t="n"/>
      <c r="EU14" s="212" t="n"/>
      <c r="EV14" s="212" t="n"/>
      <c r="EW14" s="212" t="n"/>
      <c r="EX14" s="212" t="n"/>
      <c r="EY14" s="212" t="n"/>
      <c r="EZ14" s="212" t="n"/>
      <c r="FA14" s="212" t="n"/>
      <c r="FB14" s="212" t="n"/>
      <c r="FC14" s="212" t="n"/>
      <c r="FD14" s="212" t="n"/>
      <c r="FE14" s="212" t="n"/>
      <c r="FF14" s="212" t="n"/>
      <c r="FG14" s="212" t="n"/>
      <c r="FH14" s="212" t="n"/>
      <c r="FI14" s="212" t="n"/>
      <c r="FJ14" s="212" t="n"/>
      <c r="FK14" s="212" t="n"/>
      <c r="FL14" s="212" t="n"/>
      <c r="FM14" s="212" t="n"/>
      <c r="FN14" s="212" t="n"/>
      <c r="FO14" s="212" t="n"/>
      <c r="FP14" s="212" t="n"/>
      <c r="FQ14" s="212" t="n"/>
      <c r="FR14" s="212" t="n"/>
      <c r="FS14" s="212" t="n"/>
      <c r="FT14" s="212" t="n"/>
      <c r="FU14" s="212" t="n"/>
      <c r="FV14" s="212" t="n"/>
      <c r="FW14" s="212" t="n"/>
      <c r="FX14" s="212" t="n"/>
      <c r="FY14" s="212" t="n"/>
      <c r="FZ14" s="212" t="n"/>
      <c r="GA14" s="212" t="n"/>
      <c r="GB14" s="212" t="n"/>
      <c r="GC14" s="212" t="n"/>
      <c r="GD14" s="212" t="n"/>
      <c r="GE14" s="212" t="n"/>
      <c r="GF14" s="212" t="n"/>
      <c r="GG14" s="212" t="n"/>
      <c r="GH14" s="212" t="n"/>
      <c r="GI14" s="212" t="n"/>
      <c r="GJ14" s="212" t="n"/>
      <c r="GK14" s="212" t="n"/>
      <c r="GL14" s="212" t="n"/>
      <c r="GM14" s="212" t="n"/>
      <c r="GN14" s="212" t="n"/>
      <c r="GO14" s="212" t="n"/>
      <c r="GP14" s="212" t="n"/>
      <c r="GQ14" s="212" t="n"/>
      <c r="GR14" s="212" t="n"/>
      <c r="GS14" s="212" t="n"/>
      <c r="GT14" s="212" t="n"/>
      <c r="GU14" s="212" t="n"/>
      <c r="GV14" s="212" t="n"/>
      <c r="GW14" s="212" t="n"/>
      <c r="GX14" s="212" t="n"/>
      <c r="GY14" s="212" t="n"/>
      <c r="GZ14" s="212" t="n"/>
      <c r="HA14" s="212" t="n"/>
      <c r="HB14" s="212" t="n"/>
      <c r="HC14" s="212" t="n"/>
      <c r="HD14" s="212" t="n"/>
      <c r="HE14" s="212" t="n"/>
      <c r="HF14" s="212" t="n"/>
      <c r="HG14" s="212" t="n"/>
      <c r="HH14" s="212" t="n"/>
      <c r="HI14" s="212" t="n"/>
      <c r="HJ14" s="212" t="n"/>
      <c r="HK14" s="212" t="n"/>
      <c r="HL14" s="212" t="n"/>
      <c r="HM14" s="212" t="n"/>
      <c r="HN14" s="212" t="n"/>
      <c r="HO14" s="212" t="n"/>
      <c r="HP14" s="212" t="n"/>
      <c r="HQ14" s="212" t="n"/>
      <c r="HR14" s="212" t="n"/>
      <c r="HS14" s="212" t="n"/>
      <c r="HT14" s="212" t="n"/>
      <c r="HU14" s="212" t="n"/>
      <c r="HV14" s="212" t="n"/>
      <c r="HW14" s="212" t="n"/>
      <c r="HX14" s="212" t="n"/>
      <c r="HY14" s="212" t="n"/>
      <c r="HZ14" s="212" t="n"/>
      <c r="IA14" s="212" t="n"/>
      <c r="IB14" s="212" t="n"/>
      <c r="IC14" s="212" t="n"/>
      <c r="ID14" s="212" t="n"/>
      <c r="IE14" s="212" t="n"/>
      <c r="IF14" s="212" t="n"/>
      <c r="IG14" s="212" t="n"/>
      <c r="IH14" s="212" t="n"/>
      <c r="II14" s="212" t="n"/>
      <c r="IJ14" s="212" t="n"/>
      <c r="IK14" s="212" t="n"/>
      <c r="IL14" s="212" t="n"/>
      <c r="IM14" s="212" t="n"/>
      <c r="IN14" s="212" t="n"/>
      <c r="IO14" s="212" t="n"/>
      <c r="IP14" s="212" t="n"/>
      <c r="IQ14" s="212" t="n"/>
      <c r="IR14" s="212" t="n"/>
      <c r="IS14" s="212" t="n"/>
      <c r="IT14" s="212" t="n"/>
      <c r="IU14" s="212" t="n"/>
      <c r="IV14" s="212" t="n"/>
      <c r="IW14" s="212" t="n"/>
      <c r="IX14" s="212" t="n"/>
      <c r="IY14" s="212" t="n"/>
      <c r="IZ14" s="212" t="n"/>
      <c r="JA14" s="212" t="n"/>
      <c r="JB14" s="212" t="n"/>
      <c r="JC14" s="212" t="n"/>
      <c r="JD14" s="212" t="n"/>
      <c r="JE14" s="212" t="n"/>
      <c r="JF14" s="212" t="n"/>
      <c r="JG14" s="212" t="n"/>
      <c r="JH14" s="212" t="n"/>
      <c r="JI14" s="212" t="n"/>
      <c r="JJ14" s="212" t="n"/>
      <c r="JK14" s="212" t="n"/>
      <c r="JL14" s="212" t="n"/>
      <c r="JM14" s="212" t="n"/>
      <c r="JN14" s="212" t="n"/>
      <c r="JO14" s="212" t="n"/>
      <c r="JP14" s="212" t="n"/>
      <c r="JQ14" s="212" t="n"/>
      <c r="JR14" s="212" t="n"/>
      <c r="JS14" s="212" t="n"/>
      <c r="JT14" s="212" t="n"/>
      <c r="JU14" s="212" t="n"/>
      <c r="JV14" s="212" t="n"/>
      <c r="JW14" s="212" t="n"/>
      <c r="JX14" s="212" t="n"/>
      <c r="JY14" s="212" t="n"/>
      <c r="JZ14" s="212" t="n"/>
      <c r="KA14" s="212" t="n"/>
      <c r="KB14" s="212" t="n"/>
      <c r="KC14" s="212" t="n"/>
      <c r="KD14" s="212" t="n"/>
      <c r="KE14" s="212" t="n"/>
      <c r="KF14" s="212" t="n"/>
      <c r="KG14" s="212" t="n"/>
      <c r="KH14" s="212" t="n"/>
      <c r="KI14" s="212" t="n"/>
      <c r="KJ14" s="212" t="n"/>
      <c r="KK14" s="212" t="n"/>
      <c r="KL14" s="212" t="n"/>
      <c r="KM14" s="212" t="n"/>
      <c r="KN14" s="212" t="n"/>
      <c r="KO14" s="212" t="n"/>
      <c r="KP14" s="212" t="n"/>
      <c r="KQ14" s="212" t="n"/>
      <c r="KR14" s="212" t="n"/>
      <c r="KS14" s="212" t="n"/>
      <c r="KT14" s="212" t="n"/>
      <c r="KU14" s="212" t="n"/>
      <c r="KV14" s="212" t="n"/>
      <c r="KW14" s="212" t="n"/>
      <c r="KX14" s="212" t="n"/>
      <c r="KY14" s="212" t="n"/>
      <c r="KZ14" s="212" t="n"/>
      <c r="LA14" s="212" t="n"/>
      <c r="LB14" s="212" t="n"/>
      <c r="LC14" s="212" t="n"/>
      <c r="LD14" s="212" t="n"/>
      <c r="LE14" s="212" t="n"/>
      <c r="LF14" s="212" t="n"/>
      <c r="LG14" s="212" t="n"/>
      <c r="LH14" s="212" t="n"/>
      <c r="LI14" s="212" t="n"/>
      <c r="LJ14" s="212" t="n"/>
      <c r="LK14" s="212" t="n"/>
      <c r="LL14" s="212" t="n"/>
      <c r="LM14" s="212" t="n"/>
      <c r="LN14" s="212" t="n"/>
      <c r="LO14" s="212" t="n"/>
      <c r="LP14" s="212" t="n"/>
      <c r="LQ14" s="212" t="n"/>
      <c r="LR14" s="212" t="n"/>
      <c r="LS14" s="212" t="n"/>
      <c r="LT14" s="212" t="n"/>
      <c r="LU14" s="212" t="n"/>
      <c r="LV14" s="212" t="n"/>
      <c r="LW14" s="212" t="n"/>
      <c r="LX14" s="212" t="n"/>
      <c r="LY14" s="212" t="n"/>
      <c r="LZ14" s="212" t="n"/>
      <c r="MA14" s="212" t="n"/>
      <c r="MB14" s="212" t="n"/>
      <c r="MC14" s="212" t="n"/>
      <c r="MD14" s="212" t="n"/>
      <c r="ME14" s="212" t="n"/>
      <c r="MF14" s="212" t="n"/>
      <c r="MG14" s="212" t="n"/>
      <c r="MH14" s="212" t="n"/>
      <c r="MI14" s="212" t="n"/>
      <c r="MJ14" s="212" t="n"/>
      <c r="MK14" s="212" t="n"/>
      <c r="ML14" s="212" t="n"/>
      <c r="MM14" s="212" t="n"/>
      <c r="MN14" s="212" t="n"/>
      <c r="MO14" s="212" t="n"/>
      <c r="MP14" s="212" t="n"/>
      <c r="MQ14" s="212" t="n"/>
      <c r="MR14" s="212" t="n"/>
      <c r="MS14" s="212" t="n"/>
      <c r="MT14" s="212" t="n"/>
      <c r="MU14" s="212" t="n"/>
      <c r="MV14" s="212" t="n"/>
      <c r="MW14" s="212" t="n"/>
      <c r="MX14" s="212" t="n"/>
      <c r="MY14" s="212" t="n"/>
      <c r="MZ14" s="212" t="n"/>
      <c r="NA14" s="212" t="n"/>
      <c r="NB14" s="212" t="n"/>
      <c r="NC14" s="212" t="n"/>
      <c r="ND14" s="212" t="n"/>
      <c r="NE14" s="212" t="n"/>
      <c r="NF14" s="212" t="n"/>
      <c r="NG14" s="212" t="n"/>
      <c r="NH14" s="212" t="n"/>
      <c r="NI14" s="212" t="n"/>
      <c r="NJ14" s="212" t="n"/>
      <c r="NK14" s="212" t="n"/>
      <c r="NL14" s="212" t="n"/>
      <c r="NM14" s="212" t="n"/>
      <c r="NN14" s="212" t="n"/>
      <c r="NO14" s="212" t="n"/>
      <c r="NP14" s="212" t="n"/>
      <c r="NQ14" s="212" t="n"/>
      <c r="NR14" s="212" t="n"/>
      <c r="NS14" s="212" t="n"/>
      <c r="NT14" s="212" t="n"/>
      <c r="NU14" s="212" t="n"/>
      <c r="NV14" s="212" t="n"/>
      <c r="NW14" s="212" t="n"/>
      <c r="NX14" s="212" t="n"/>
      <c r="NY14" s="212" t="n"/>
      <c r="NZ14" s="212" t="n"/>
      <c r="OA14" s="212" t="n"/>
      <c r="OB14" s="212" t="n"/>
      <c r="OC14" s="212" t="n"/>
      <c r="OD14" s="212" t="n"/>
      <c r="OE14" s="212" t="n"/>
      <c r="OF14" s="212" t="n"/>
      <c r="OG14" s="212" t="n"/>
      <c r="OH14" s="212" t="n"/>
      <c r="OI14" s="212" t="n"/>
      <c r="OJ14" s="212" t="n"/>
      <c r="OK14" s="212" t="n"/>
      <c r="OL14" s="212" t="n"/>
      <c r="OM14" s="212" t="n"/>
      <c r="ON14" s="212" t="n"/>
      <c r="OO14" s="212" t="n"/>
      <c r="OP14" s="212" t="n"/>
      <c r="OQ14" s="212" t="n"/>
      <c r="OR14" s="212" t="n"/>
      <c r="OS14" s="212" t="n"/>
      <c r="OT14" s="212" t="n"/>
      <c r="OU14" s="212" t="n"/>
      <c r="OV14" s="212" t="n"/>
      <c r="OW14" s="212" t="n"/>
      <c r="OX14" s="212" t="n"/>
      <c r="OY14" s="212" t="n"/>
      <c r="OZ14" s="212" t="n"/>
      <c r="PA14" s="212" t="n"/>
      <c r="PB14" s="212" t="n"/>
      <c r="PC14" s="212" t="n"/>
      <c r="PD14" s="212" t="n"/>
      <c r="PE14" s="212" t="n"/>
      <c r="PF14" s="212" t="n"/>
      <c r="PG14" s="212" t="n"/>
      <c r="PH14" s="212" t="n"/>
      <c r="PI14" s="212" t="n"/>
      <c r="PJ14" s="212" t="n"/>
      <c r="PK14" s="212" t="n"/>
      <c r="PL14" s="212" t="n"/>
      <c r="PM14" s="212" t="n"/>
      <c r="PN14" s="212" t="n"/>
      <c r="PO14" s="212" t="n"/>
      <c r="PP14" s="212" t="n"/>
      <c r="PQ14" s="212" t="n"/>
      <c r="PR14" s="212" t="n"/>
      <c r="PS14" s="212" t="n"/>
      <c r="PT14" s="212" t="n"/>
      <c r="PU14" s="212" t="n"/>
      <c r="PV14" s="212" t="n"/>
      <c r="PW14" s="212" t="n"/>
      <c r="PX14" s="212" t="n"/>
      <c r="PY14" s="212" t="n"/>
      <c r="PZ14" s="212" t="n"/>
      <c r="QA14" s="212" t="n"/>
      <c r="QB14" s="212" t="n"/>
      <c r="QC14" s="212" t="n"/>
      <c r="QD14" s="212" t="n"/>
      <c r="QE14" s="212" t="n"/>
      <c r="QF14" s="212" t="n"/>
      <c r="QG14" s="212" t="n"/>
      <c r="QH14" s="212" t="n"/>
      <c r="QI14" s="212" t="n"/>
      <c r="QJ14" s="212" t="n"/>
      <c r="QK14" s="212" t="n"/>
      <c r="QL14" s="212" t="n"/>
      <c r="QM14" s="212" t="n"/>
      <c r="QN14" s="212" t="n"/>
      <c r="QO14" s="212" t="n"/>
      <c r="QP14" s="212" t="n"/>
      <c r="QQ14" s="212" t="n"/>
      <c r="QR14" s="212" t="n"/>
      <c r="QS14" s="212" t="n"/>
      <c r="QT14" s="212" t="n"/>
      <c r="QU14" s="212" t="n"/>
      <c r="QV14" s="212" t="n"/>
      <c r="QW14" s="212" t="n"/>
      <c r="QX14" s="212" t="n"/>
      <c r="QY14" s="212" t="n"/>
      <c r="QZ14" s="212" t="n"/>
      <c r="RA14" s="212" t="n"/>
      <c r="RB14" s="212" t="n"/>
      <c r="RC14" s="212" t="n"/>
      <c r="RD14" s="212" t="n"/>
      <c r="RE14" s="212" t="n"/>
      <c r="RF14" s="212" t="n"/>
      <c r="RG14" s="212" t="n"/>
      <c r="RH14" s="212" t="n"/>
      <c r="RI14" s="212" t="n"/>
      <c r="RJ14" s="212" t="n"/>
      <c r="RK14" s="212" t="n"/>
      <c r="RL14" s="212" t="n"/>
      <c r="RM14" s="212" t="n"/>
      <c r="RN14" s="212" t="n"/>
      <c r="RO14" s="212" t="n"/>
      <c r="RP14" s="212" t="n"/>
      <c r="RQ14" s="212" t="n"/>
      <c r="RR14" s="212" t="n"/>
      <c r="RS14" s="212" t="n"/>
      <c r="RT14" s="212" t="n"/>
      <c r="RU14" s="212" t="n"/>
      <c r="RV14" s="212" t="n"/>
      <c r="RW14" s="212" t="n"/>
      <c r="RX14" s="212" t="n"/>
      <c r="RY14" s="212" t="n"/>
      <c r="RZ14" s="212" t="n"/>
      <c r="SA14" s="212" t="n"/>
      <c r="SB14" s="212" t="n"/>
      <c r="SC14" s="212" t="n"/>
      <c r="SD14" s="212" t="n"/>
      <c r="SE14" s="212" t="n"/>
      <c r="SF14" s="212" t="n"/>
      <c r="SG14" s="212" t="n"/>
      <c r="SH14" s="212" t="n"/>
      <c r="SI14" s="212" t="n"/>
      <c r="SJ14" s="212" t="n"/>
      <c r="SK14" s="212" t="n"/>
      <c r="SL14" s="212" t="n"/>
      <c r="SM14" s="212" t="n"/>
      <c r="SN14" s="212" t="n"/>
      <c r="SO14" s="212" t="n"/>
      <c r="SP14" s="212" t="n"/>
      <c r="SQ14" s="212" t="n"/>
      <c r="SR14" s="212" t="n"/>
      <c r="SS14" s="212" t="n"/>
      <c r="ST14" s="212" t="n"/>
      <c r="SU14" s="212" t="n"/>
      <c r="SV14" s="212" t="n"/>
    </row>
    <row r="15">
      <c r="B15" s="209" t="n">
        <v>3</v>
      </c>
      <c r="C15" s="209" t="inlineStr">
        <is>
          <t>LGC Rail</t>
        </is>
      </c>
      <c r="D15" s="209" t="inlineStr">
        <is>
          <t>Wayne</t>
        </is>
      </c>
      <c r="E15" s="209" t="inlineStr">
        <is>
          <t>Furge</t>
        </is>
      </c>
      <c r="F15" s="209">
        <f>IF(TRIM(D15&amp;E15)="","",TRIM(D15)&amp;" "&amp;TRIM(E15))</f>
        <v/>
      </c>
      <c r="G15" s="209" t="inlineStr">
        <is>
          <t>Perth</t>
        </is>
      </c>
      <c r="H15" s="209" t="inlineStr">
        <is>
          <t>Operator - Truck Driver</t>
        </is>
      </c>
      <c r="I15" s="209" t="inlineStr">
        <is>
          <t>YES</t>
        </is>
      </c>
      <c r="J15" s="209" t="inlineStr">
        <is>
          <t>YES</t>
        </is>
      </c>
      <c r="K15" s="209" t="inlineStr">
        <is>
          <t>YES</t>
        </is>
      </c>
      <c r="L15" s="209" t="inlineStr">
        <is>
          <t>YES</t>
        </is>
      </c>
      <c r="M15" s="209" t="n"/>
      <c r="N15" s="209" t="inlineStr">
        <is>
          <t>furgew@gmail.com</t>
        </is>
      </c>
      <c r="O15" s="209" t="inlineStr">
        <is>
          <t>0475 416 382</t>
        </is>
      </c>
      <c r="P15" s="209" t="n">
        <v>669537</v>
      </c>
      <c r="Q15" s="209" t="n">
        <v>339559</v>
      </c>
      <c r="R15" s="209" t="inlineStr">
        <is>
          <t>2:1</t>
        </is>
      </c>
      <c r="S15" s="210" t="inlineStr">
        <is>
          <t>N/A</t>
        </is>
      </c>
      <c r="T15" s="210" t="inlineStr">
        <is>
          <t>N/A</t>
        </is>
      </c>
      <c r="U15" s="210" t="inlineStr">
        <is>
          <t>N/A</t>
        </is>
      </c>
      <c r="V15" s="210" t="inlineStr">
        <is>
          <t>N/A</t>
        </is>
      </c>
      <c r="W15" s="210" t="inlineStr">
        <is>
          <t>N/A</t>
        </is>
      </c>
      <c r="X15" s="210" t="inlineStr">
        <is>
          <t>N/A</t>
        </is>
      </c>
      <c r="Y15" s="210" t="inlineStr">
        <is>
          <t>N/A</t>
        </is>
      </c>
      <c r="Z15" s="210" t="inlineStr">
        <is>
          <t>N/A</t>
        </is>
      </c>
      <c r="AA15" s="210" t="inlineStr">
        <is>
          <t>N/A</t>
        </is>
      </c>
      <c r="AB15" s="210" t="inlineStr">
        <is>
          <t>N/A</t>
        </is>
      </c>
      <c r="AC15" s="210" t="inlineStr">
        <is>
          <t>N/A</t>
        </is>
      </c>
      <c r="AD15" s="210" t="inlineStr">
        <is>
          <t>N/A</t>
        </is>
      </c>
      <c r="AE15" s="210" t="inlineStr">
        <is>
          <t>N/A</t>
        </is>
      </c>
      <c r="AF15" s="210" t="inlineStr">
        <is>
          <t>N/A</t>
        </is>
      </c>
      <c r="AG15" s="210" t="inlineStr">
        <is>
          <t>N/A</t>
        </is>
      </c>
      <c r="AH15" s="210" t="inlineStr">
        <is>
          <t>N/A</t>
        </is>
      </c>
      <c r="AI15" s="210" t="inlineStr">
        <is>
          <t>N/A</t>
        </is>
      </c>
      <c r="AJ15" s="210" t="inlineStr">
        <is>
          <t>N/A</t>
        </is>
      </c>
      <c r="AK15" s="210" t="inlineStr">
        <is>
          <t>N/A</t>
        </is>
      </c>
      <c r="AL15" s="210" t="inlineStr">
        <is>
          <t>N/A</t>
        </is>
      </c>
      <c r="AM15" s="210" t="inlineStr">
        <is>
          <t>N/A</t>
        </is>
      </c>
      <c r="AN15" s="210" t="inlineStr">
        <is>
          <t>N/A</t>
        </is>
      </c>
      <c r="AO15" s="210" t="inlineStr">
        <is>
          <t>N/A</t>
        </is>
      </c>
      <c r="AP15" s="210" t="inlineStr">
        <is>
          <t>N/A</t>
        </is>
      </c>
      <c r="AQ15" s="210" t="inlineStr">
        <is>
          <t>N/A</t>
        </is>
      </c>
      <c r="AR15" s="210" t="inlineStr">
        <is>
          <t>N/A</t>
        </is>
      </c>
      <c r="AS15" s="210" t="inlineStr">
        <is>
          <t>N/A</t>
        </is>
      </c>
      <c r="AT15" s="210" t="inlineStr">
        <is>
          <t>N/A</t>
        </is>
      </c>
      <c r="AU15" s="210" t="inlineStr">
        <is>
          <t>N/A</t>
        </is>
      </c>
      <c r="AV15" s="210" t="inlineStr">
        <is>
          <t>N/A</t>
        </is>
      </c>
      <c r="AW15" s="210" t="inlineStr">
        <is>
          <t>N/A</t>
        </is>
      </c>
      <c r="AX15" s="210" t="inlineStr">
        <is>
          <t>N/A</t>
        </is>
      </c>
      <c r="AY15" s="210" t="inlineStr">
        <is>
          <t>N/A</t>
        </is>
      </c>
      <c r="AZ15" s="210" t="inlineStr">
        <is>
          <t>N/A</t>
        </is>
      </c>
      <c r="BA15" s="210" t="inlineStr">
        <is>
          <t>N/A</t>
        </is>
      </c>
      <c r="BB15" s="210" t="inlineStr">
        <is>
          <t>N/A</t>
        </is>
      </c>
      <c r="BC15" s="210" t="inlineStr">
        <is>
          <t>N/A</t>
        </is>
      </c>
      <c r="BD15" s="210" t="inlineStr">
        <is>
          <t>N/A</t>
        </is>
      </c>
      <c r="BE15" s="210" t="inlineStr">
        <is>
          <t>N/A</t>
        </is>
      </c>
      <c r="BF15" s="210" t="inlineStr">
        <is>
          <t>N/A</t>
        </is>
      </c>
      <c r="BG15" s="210" t="inlineStr">
        <is>
          <t>N/A</t>
        </is>
      </c>
      <c r="BH15" s="210" t="inlineStr">
        <is>
          <t>N/A</t>
        </is>
      </c>
      <c r="BI15" s="210" t="inlineStr">
        <is>
          <t>N/A</t>
        </is>
      </c>
      <c r="BJ15" s="210" t="inlineStr">
        <is>
          <t>N/A</t>
        </is>
      </c>
      <c r="BK15" s="210" t="inlineStr">
        <is>
          <t>N/A</t>
        </is>
      </c>
      <c r="BL15" s="210" t="inlineStr">
        <is>
          <t>N/A</t>
        </is>
      </c>
      <c r="BM15" s="210" t="inlineStr">
        <is>
          <t>N/A</t>
        </is>
      </c>
      <c r="BN15" s="210" t="inlineStr">
        <is>
          <t>N/A</t>
        </is>
      </c>
      <c r="BO15" s="210" t="inlineStr">
        <is>
          <t>N/A</t>
        </is>
      </c>
      <c r="BP15" s="210" t="inlineStr">
        <is>
          <t>N/A</t>
        </is>
      </c>
      <c r="BQ15" s="210" t="inlineStr">
        <is>
          <t>N/A</t>
        </is>
      </c>
      <c r="BR15" s="210" t="inlineStr">
        <is>
          <t>N/A</t>
        </is>
      </c>
      <c r="BS15" s="210" t="inlineStr">
        <is>
          <t>N/A</t>
        </is>
      </c>
      <c r="BT15" s="210" t="inlineStr">
        <is>
          <t>N/A</t>
        </is>
      </c>
      <c r="BU15" s="210" t="inlineStr">
        <is>
          <t>N/A</t>
        </is>
      </c>
      <c r="BV15" s="210" t="inlineStr">
        <is>
          <t>N/A</t>
        </is>
      </c>
      <c r="BW15" s="210" t="inlineStr">
        <is>
          <t>N/A</t>
        </is>
      </c>
      <c r="BX15" s="210" t="inlineStr">
        <is>
          <t>N/A</t>
        </is>
      </c>
      <c r="BY15" s="210" t="inlineStr">
        <is>
          <t>N/A</t>
        </is>
      </c>
      <c r="BZ15" s="210" t="inlineStr">
        <is>
          <t>N/A</t>
        </is>
      </c>
      <c r="CA15" s="210" t="inlineStr">
        <is>
          <t>N/A</t>
        </is>
      </c>
      <c r="CB15" s="210" t="inlineStr">
        <is>
          <t>N/A</t>
        </is>
      </c>
      <c r="CC15" s="210" t="inlineStr">
        <is>
          <t>N/A</t>
        </is>
      </c>
      <c r="CD15" s="210" t="inlineStr">
        <is>
          <t>N/A</t>
        </is>
      </c>
      <c r="CE15" s="210" t="inlineStr">
        <is>
          <t>N/A</t>
        </is>
      </c>
      <c r="CF15" s="210" t="inlineStr">
        <is>
          <t>DRV-IN PM
RDM</t>
        </is>
      </c>
      <c r="CG15" s="210" t="inlineStr">
        <is>
          <t>RDM</t>
        </is>
      </c>
      <c r="CH15" s="210" t="inlineStr">
        <is>
          <t>RDM</t>
        </is>
      </c>
      <c r="CI15" s="210" t="inlineStr">
        <is>
          <t>RDM</t>
        </is>
      </c>
      <c r="CJ15" s="210" t="inlineStr">
        <is>
          <t>RDM</t>
        </is>
      </c>
      <c r="CK15" s="210" t="inlineStr">
        <is>
          <t>RDM</t>
        </is>
      </c>
      <c r="CL15" s="210" t="inlineStr">
        <is>
          <t>RDM</t>
        </is>
      </c>
      <c r="CM15" s="210" t="inlineStr">
        <is>
          <t>RDM</t>
        </is>
      </c>
      <c r="CN15" s="210" t="inlineStr">
        <is>
          <t>RDM</t>
        </is>
      </c>
      <c r="CO15" s="210" t="inlineStr">
        <is>
          <t>PHE/PER PM</t>
        </is>
      </c>
      <c r="CP15" s="210" t="inlineStr">
        <is>
          <t>N/A</t>
        </is>
      </c>
      <c r="CQ15" s="210" t="inlineStr">
        <is>
          <t>N/A</t>
        </is>
      </c>
      <c r="CR15" s="210" t="inlineStr">
        <is>
          <t>N/A</t>
        </is>
      </c>
      <c r="CS15" s="210" t="inlineStr">
        <is>
          <t>N/A</t>
        </is>
      </c>
      <c r="CT15" s="210" t="inlineStr">
        <is>
          <t>N/A</t>
        </is>
      </c>
      <c r="CU15" s="210" t="inlineStr">
        <is>
          <t>N/A</t>
        </is>
      </c>
      <c r="CV15" s="210" t="inlineStr">
        <is>
          <t>N/A</t>
        </is>
      </c>
      <c r="CW15" s="210" t="inlineStr">
        <is>
          <t>N/A</t>
        </is>
      </c>
      <c r="CX15" s="210" t="inlineStr">
        <is>
          <t>N/A</t>
        </is>
      </c>
      <c r="CY15" s="210" t="inlineStr">
        <is>
          <t>N/A</t>
        </is>
      </c>
      <c r="CZ15" s="210" t="inlineStr">
        <is>
          <t>N/A</t>
        </is>
      </c>
      <c r="DA15" s="210" t="inlineStr">
        <is>
          <t>N/A</t>
        </is>
      </c>
      <c r="DB15" s="210" t="inlineStr">
        <is>
          <t>N/A</t>
        </is>
      </c>
      <c r="DC15" s="210" t="inlineStr">
        <is>
          <t>N/A</t>
        </is>
      </c>
      <c r="DD15" s="210" t="inlineStr">
        <is>
          <t>N/A</t>
        </is>
      </c>
      <c r="DE15" s="210" t="inlineStr">
        <is>
          <t>N/A</t>
        </is>
      </c>
      <c r="DF15" s="210" t="inlineStr">
        <is>
          <t>N/A</t>
        </is>
      </c>
      <c r="DG15" s="210" t="inlineStr">
        <is>
          <t>N/A</t>
        </is>
      </c>
      <c r="DH15" s="210" t="inlineStr">
        <is>
          <t>N/A</t>
        </is>
      </c>
      <c r="DI15" s="210" t="inlineStr">
        <is>
          <t>N/A</t>
        </is>
      </c>
      <c r="DJ15" s="210" t="inlineStr">
        <is>
          <t>N/A</t>
        </is>
      </c>
      <c r="DK15" s="210" t="inlineStr">
        <is>
          <t>N/A</t>
        </is>
      </c>
      <c r="DL15" s="210" t="inlineStr">
        <is>
          <t>N/A</t>
        </is>
      </c>
      <c r="DM15" s="210" t="inlineStr">
        <is>
          <t>N/A</t>
        </is>
      </c>
      <c r="DN15" s="210" t="inlineStr">
        <is>
          <t>N/A</t>
        </is>
      </c>
      <c r="DO15" s="210" t="inlineStr">
        <is>
          <t>N/A</t>
        </is>
      </c>
      <c r="DP15" s="210" t="inlineStr">
        <is>
          <t>N/A</t>
        </is>
      </c>
      <c r="DQ15" s="210" t="inlineStr">
        <is>
          <t>N/A</t>
        </is>
      </c>
      <c r="DR15" s="212" t="n"/>
      <c r="DS15" s="212" t="n"/>
      <c r="DT15" s="212" t="n"/>
      <c r="DU15" s="212" t="n"/>
      <c r="DV15" s="212" t="n"/>
      <c r="DW15" s="212" t="n"/>
      <c r="DX15" s="212" t="n"/>
      <c r="DY15" s="212" t="n"/>
      <c r="DZ15" s="212" t="n"/>
      <c r="EA15" s="212" t="n"/>
      <c r="EB15" s="212" t="n"/>
      <c r="EC15" s="212" t="n"/>
      <c r="ED15" s="212" t="n"/>
      <c r="EE15" s="212" t="n"/>
      <c r="EF15" s="212" t="n"/>
      <c r="EG15" s="212" t="n"/>
      <c r="EH15" s="212" t="n"/>
      <c r="EI15" s="212" t="n"/>
      <c r="EJ15" s="212" t="n"/>
      <c r="EK15" s="212" t="n"/>
      <c r="EL15" s="212" t="n"/>
      <c r="EM15" s="212" t="n"/>
      <c r="EN15" s="212" t="n"/>
      <c r="EO15" s="212" t="n"/>
      <c r="EP15" s="212" t="n"/>
      <c r="EQ15" s="212" t="n"/>
      <c r="ER15" s="212" t="n"/>
      <c r="ES15" s="212" t="n"/>
      <c r="ET15" s="212" t="n"/>
      <c r="EU15" s="212" t="n"/>
      <c r="EV15" s="212" t="n"/>
      <c r="EW15" s="212" t="n"/>
      <c r="EX15" s="212" t="n"/>
      <c r="EY15" s="212" t="n"/>
      <c r="EZ15" s="212" t="n"/>
      <c r="FA15" s="212" t="n"/>
      <c r="FB15" s="212" t="n"/>
      <c r="FC15" s="212" t="n"/>
      <c r="FD15" s="212" t="n"/>
      <c r="FE15" s="212" t="n"/>
      <c r="FF15" s="212" t="n"/>
      <c r="FG15" s="212" t="n"/>
      <c r="FH15" s="212" t="n"/>
      <c r="FI15" s="212" t="n"/>
      <c r="FJ15" s="212" t="n"/>
      <c r="FK15" s="212" t="n"/>
      <c r="FL15" s="212" t="n"/>
      <c r="FM15" s="212" t="n"/>
      <c r="FN15" s="212" t="n"/>
      <c r="FO15" s="212" t="n"/>
      <c r="FP15" s="212" t="n"/>
      <c r="FQ15" s="212" t="n"/>
      <c r="FR15" s="212" t="n"/>
      <c r="FS15" s="212" t="n"/>
      <c r="FT15" s="212" t="n"/>
      <c r="FU15" s="212" t="n"/>
      <c r="FV15" s="212" t="n"/>
      <c r="FW15" s="212" t="n"/>
      <c r="FX15" s="212" t="n"/>
      <c r="FY15" s="212" t="n"/>
      <c r="FZ15" s="212" t="n"/>
      <c r="GA15" s="212" t="n"/>
      <c r="GB15" s="212" t="n"/>
      <c r="GC15" s="212" t="n"/>
      <c r="GD15" s="212" t="n"/>
      <c r="GE15" s="212" t="n"/>
      <c r="GF15" s="212" t="n"/>
      <c r="GG15" s="212" t="n"/>
      <c r="GH15" s="212" t="n"/>
      <c r="GI15" s="212" t="n"/>
      <c r="GJ15" s="212" t="n"/>
      <c r="GK15" s="212" t="n"/>
      <c r="GL15" s="212" t="n"/>
      <c r="GM15" s="212" t="n"/>
      <c r="GN15" s="212" t="n"/>
      <c r="GO15" s="212" t="n"/>
      <c r="GP15" s="212" t="n"/>
      <c r="GQ15" s="212" t="n"/>
      <c r="GR15" s="212" t="n"/>
      <c r="GS15" s="212" t="n"/>
      <c r="GT15" s="212" t="n"/>
      <c r="GU15" s="212" t="n"/>
      <c r="GV15" s="212" t="n"/>
      <c r="GW15" s="212" t="n"/>
      <c r="GX15" s="212" t="n"/>
      <c r="GY15" s="212" t="n"/>
      <c r="GZ15" s="212" t="n"/>
      <c r="HA15" s="212" t="n"/>
      <c r="HB15" s="212" t="n"/>
      <c r="HC15" s="212" t="n"/>
      <c r="HD15" s="212" t="n"/>
      <c r="HE15" s="212" t="n"/>
      <c r="HF15" s="212" t="n"/>
      <c r="HG15" s="212" t="n"/>
      <c r="HH15" s="212" t="n"/>
      <c r="HI15" s="212" t="n"/>
      <c r="HJ15" s="212" t="n"/>
      <c r="HK15" s="212" t="n"/>
      <c r="HL15" s="212" t="n"/>
      <c r="HM15" s="212" t="n"/>
      <c r="HN15" s="212" t="n"/>
      <c r="HO15" s="212" t="n"/>
      <c r="HP15" s="212" t="n"/>
      <c r="HQ15" s="212" t="n"/>
      <c r="HR15" s="212" t="n"/>
      <c r="HS15" s="212" t="n"/>
      <c r="HT15" s="212" t="n"/>
      <c r="HU15" s="212" t="n"/>
      <c r="HV15" s="212" t="n"/>
      <c r="HW15" s="212" t="n"/>
      <c r="HX15" s="212" t="n"/>
      <c r="HY15" s="212" t="n"/>
      <c r="HZ15" s="212" t="n"/>
      <c r="IA15" s="212" t="n"/>
      <c r="IB15" s="212" t="n"/>
      <c r="IC15" s="212" t="n"/>
      <c r="ID15" s="212" t="n"/>
      <c r="IE15" s="212" t="n"/>
      <c r="IF15" s="212" t="n"/>
      <c r="IG15" s="212" t="n"/>
      <c r="IH15" s="212" t="n"/>
      <c r="II15" s="212" t="n"/>
      <c r="IJ15" s="212" t="n"/>
      <c r="IK15" s="212" t="n"/>
      <c r="IL15" s="212" t="n"/>
      <c r="IM15" s="212" t="n"/>
      <c r="IN15" s="212" t="n"/>
      <c r="IO15" s="212" t="n"/>
      <c r="IP15" s="212" t="n"/>
      <c r="IQ15" s="212" t="n"/>
      <c r="IR15" s="212" t="n"/>
      <c r="IS15" s="212" t="n"/>
      <c r="IT15" s="212" t="n"/>
      <c r="IU15" s="212" t="n"/>
      <c r="IV15" s="212" t="n"/>
      <c r="IW15" s="212" t="n"/>
      <c r="IX15" s="212" t="n"/>
      <c r="IY15" s="212" t="n"/>
      <c r="IZ15" s="212" t="n"/>
      <c r="JA15" s="212" t="n"/>
      <c r="JB15" s="212" t="n"/>
      <c r="JC15" s="212" t="n"/>
      <c r="JD15" s="212" t="n"/>
      <c r="JE15" s="212" t="n"/>
      <c r="JF15" s="212" t="n"/>
      <c r="JG15" s="212" t="n"/>
      <c r="JH15" s="212" t="n"/>
      <c r="JI15" s="212" t="n"/>
      <c r="JJ15" s="212" t="n"/>
      <c r="JK15" s="212" t="n"/>
      <c r="JL15" s="212" t="n"/>
      <c r="JM15" s="212" t="n"/>
      <c r="JN15" s="212" t="n"/>
      <c r="JO15" s="212" t="n"/>
      <c r="JP15" s="212" t="n"/>
      <c r="JQ15" s="212" t="n"/>
      <c r="JR15" s="212" t="n"/>
      <c r="JS15" s="212" t="n"/>
      <c r="JT15" s="212" t="n"/>
      <c r="JU15" s="212" t="n"/>
      <c r="JV15" s="212" t="n"/>
      <c r="JW15" s="212" t="n"/>
      <c r="JX15" s="212" t="n"/>
      <c r="JY15" s="212" t="n"/>
      <c r="JZ15" s="212" t="n"/>
      <c r="KA15" s="212" t="n"/>
      <c r="KB15" s="212" t="n"/>
      <c r="KC15" s="212" t="n"/>
      <c r="KD15" s="212" t="n"/>
      <c r="KE15" s="212" t="n"/>
      <c r="KF15" s="212" t="n"/>
      <c r="KG15" s="212" t="n"/>
      <c r="KH15" s="212" t="n"/>
      <c r="KI15" s="212" t="n"/>
      <c r="KJ15" s="212" t="n"/>
      <c r="KK15" s="212" t="n"/>
      <c r="KL15" s="212" t="n"/>
      <c r="KM15" s="212" t="n"/>
      <c r="KN15" s="212" t="n"/>
      <c r="KO15" s="212" t="n"/>
      <c r="KP15" s="212" t="n"/>
      <c r="KQ15" s="212" t="n"/>
      <c r="KR15" s="212" t="n"/>
      <c r="KS15" s="212" t="n"/>
      <c r="KT15" s="212" t="n"/>
      <c r="KU15" s="212" t="n"/>
      <c r="KV15" s="212" t="n"/>
      <c r="KW15" s="212" t="n"/>
      <c r="KX15" s="212" t="n"/>
      <c r="KY15" s="212" t="n"/>
      <c r="KZ15" s="212" t="n"/>
      <c r="LA15" s="212" t="n"/>
      <c r="LB15" s="212" t="n"/>
      <c r="LC15" s="212" t="n"/>
      <c r="LD15" s="212" t="n"/>
      <c r="LE15" s="212" t="n"/>
      <c r="LF15" s="212" t="n"/>
      <c r="LG15" s="212" t="n"/>
      <c r="LH15" s="212" t="n"/>
      <c r="LI15" s="212" t="n"/>
      <c r="LJ15" s="212" t="n"/>
      <c r="LK15" s="212" t="n"/>
      <c r="LL15" s="212" t="n"/>
      <c r="LM15" s="212" t="n"/>
      <c r="LN15" s="212" t="n"/>
      <c r="LO15" s="212" t="n"/>
      <c r="LP15" s="212" t="n"/>
      <c r="LQ15" s="212" t="n"/>
      <c r="LR15" s="212" t="n"/>
      <c r="LS15" s="212" t="n"/>
      <c r="LT15" s="212" t="n"/>
      <c r="LU15" s="212" t="n"/>
      <c r="LV15" s="212" t="n"/>
      <c r="LW15" s="212" t="n"/>
      <c r="LX15" s="212" t="n"/>
      <c r="LY15" s="212" t="n"/>
      <c r="LZ15" s="212" t="n"/>
      <c r="MA15" s="212" t="n"/>
      <c r="MB15" s="212" t="n"/>
      <c r="MC15" s="212" t="n"/>
      <c r="MD15" s="212" t="n"/>
      <c r="ME15" s="212" t="n"/>
      <c r="MF15" s="212" t="n"/>
      <c r="MG15" s="212" t="n"/>
      <c r="MH15" s="212" t="n"/>
      <c r="MI15" s="212" t="n"/>
      <c r="MJ15" s="212" t="n"/>
      <c r="MK15" s="212" t="n"/>
      <c r="ML15" s="212" t="n"/>
      <c r="MM15" s="212" t="n"/>
      <c r="MN15" s="212" t="n"/>
      <c r="MO15" s="212" t="n"/>
      <c r="MP15" s="212" t="n"/>
      <c r="MQ15" s="212" t="n"/>
      <c r="MR15" s="212" t="n"/>
      <c r="MS15" s="212" t="n"/>
      <c r="MT15" s="212" t="n"/>
      <c r="MU15" s="212" t="n"/>
      <c r="MV15" s="212" t="n"/>
      <c r="MW15" s="212" t="n"/>
      <c r="MX15" s="212" t="n"/>
      <c r="MY15" s="212" t="n"/>
      <c r="MZ15" s="212" t="n"/>
      <c r="NA15" s="212" t="n"/>
      <c r="NB15" s="212" t="n"/>
      <c r="NC15" s="212" t="n"/>
      <c r="ND15" s="212" t="n"/>
      <c r="NE15" s="212" t="n"/>
      <c r="NF15" s="212" t="n"/>
      <c r="NG15" s="212" t="n"/>
      <c r="NH15" s="212" t="n"/>
      <c r="NI15" s="212" t="n"/>
      <c r="NJ15" s="212" t="n"/>
      <c r="NK15" s="212" t="n"/>
      <c r="NL15" s="212" t="n"/>
      <c r="NM15" s="212" t="n"/>
      <c r="NN15" s="212" t="n"/>
      <c r="NO15" s="212" t="n"/>
      <c r="NP15" s="212" t="n"/>
      <c r="NQ15" s="212" t="n"/>
      <c r="NR15" s="212" t="n"/>
      <c r="NS15" s="212" t="n"/>
      <c r="NT15" s="212" t="n"/>
      <c r="NU15" s="212" t="n"/>
      <c r="NV15" s="212" t="n"/>
      <c r="NW15" s="212" t="n"/>
      <c r="NX15" s="212" t="n"/>
      <c r="NY15" s="212" t="n"/>
      <c r="NZ15" s="212" t="n"/>
      <c r="OA15" s="212" t="n"/>
      <c r="OB15" s="212" t="n"/>
      <c r="OC15" s="212" t="n"/>
      <c r="OD15" s="212" t="n"/>
      <c r="OE15" s="212" t="n"/>
      <c r="OF15" s="212" t="n"/>
      <c r="OG15" s="212" t="n"/>
      <c r="OH15" s="212" t="n"/>
      <c r="OI15" s="212" t="n"/>
      <c r="OJ15" s="212" t="n"/>
      <c r="OK15" s="212" t="n"/>
      <c r="OL15" s="212" t="n"/>
      <c r="OM15" s="212" t="n"/>
      <c r="ON15" s="212" t="n"/>
      <c r="OO15" s="212" t="n"/>
      <c r="OP15" s="212" t="n"/>
      <c r="OQ15" s="212" t="n"/>
      <c r="OR15" s="212" t="n"/>
      <c r="OS15" s="212" t="n"/>
      <c r="OT15" s="212" t="n"/>
      <c r="OU15" s="212" t="n"/>
      <c r="OV15" s="212" t="n"/>
      <c r="OW15" s="212" t="n"/>
      <c r="OX15" s="212" t="n"/>
      <c r="OY15" s="212" t="n"/>
      <c r="OZ15" s="212" t="n"/>
      <c r="PA15" s="212" t="n"/>
      <c r="PB15" s="212" t="n"/>
      <c r="PC15" s="212" t="n"/>
      <c r="PD15" s="212" t="n"/>
      <c r="PE15" s="212" t="n"/>
      <c r="PF15" s="212" t="n"/>
      <c r="PG15" s="212" t="n"/>
      <c r="PH15" s="212" t="n"/>
      <c r="PI15" s="212" t="n"/>
      <c r="PJ15" s="212" t="n"/>
      <c r="PK15" s="212" t="n"/>
      <c r="PL15" s="212" t="n"/>
      <c r="PM15" s="212" t="n"/>
      <c r="PN15" s="212" t="n"/>
      <c r="PO15" s="212" t="n"/>
      <c r="PP15" s="212" t="n"/>
      <c r="PQ15" s="212" t="n"/>
      <c r="PR15" s="212" t="n"/>
      <c r="PS15" s="212" t="n"/>
      <c r="PT15" s="212" t="n"/>
      <c r="PU15" s="212" t="n"/>
      <c r="PV15" s="212" t="n"/>
      <c r="PW15" s="212" t="n"/>
      <c r="PX15" s="212" t="n"/>
      <c r="PY15" s="212" t="n"/>
      <c r="PZ15" s="212" t="n"/>
      <c r="QA15" s="212" t="n"/>
      <c r="QB15" s="212" t="n"/>
      <c r="QC15" s="212" t="n"/>
      <c r="QD15" s="212" t="n"/>
      <c r="QE15" s="212" t="n"/>
      <c r="QF15" s="212" t="n"/>
      <c r="QG15" s="212" t="n"/>
      <c r="QH15" s="212" t="n"/>
      <c r="QI15" s="212" t="n"/>
      <c r="QJ15" s="212" t="n"/>
      <c r="QK15" s="212" t="n"/>
      <c r="QL15" s="212" t="n"/>
      <c r="QM15" s="212" t="n"/>
      <c r="QN15" s="212" t="n"/>
      <c r="QO15" s="212" t="n"/>
      <c r="QP15" s="212" t="n"/>
      <c r="QQ15" s="212" t="n"/>
      <c r="QR15" s="212" t="n"/>
      <c r="QS15" s="212" t="n"/>
      <c r="QT15" s="212" t="n"/>
      <c r="QU15" s="212" t="n"/>
      <c r="QV15" s="212" t="n"/>
      <c r="QW15" s="212" t="n"/>
      <c r="QX15" s="212" t="n"/>
      <c r="QY15" s="212" t="n"/>
      <c r="QZ15" s="212" t="n"/>
      <c r="RA15" s="212" t="n"/>
      <c r="RB15" s="212" t="n"/>
      <c r="RC15" s="212" t="n"/>
      <c r="RD15" s="212" t="n"/>
      <c r="RE15" s="212" t="n"/>
      <c r="RF15" s="212" t="n"/>
      <c r="RG15" s="212" t="n"/>
      <c r="RH15" s="212" t="n"/>
      <c r="RI15" s="212" t="n"/>
      <c r="RJ15" s="212" t="n"/>
      <c r="RK15" s="212" t="n"/>
      <c r="RL15" s="212" t="n"/>
      <c r="RM15" s="212" t="n"/>
      <c r="RN15" s="212" t="n"/>
      <c r="RO15" s="212" t="n"/>
      <c r="RP15" s="212" t="n"/>
      <c r="RQ15" s="212" t="n"/>
      <c r="RR15" s="212" t="n"/>
      <c r="RS15" s="212" t="n"/>
      <c r="RT15" s="212" t="n"/>
      <c r="RU15" s="212" t="n"/>
      <c r="RV15" s="212" t="n"/>
      <c r="RW15" s="212" t="n"/>
      <c r="RX15" s="212" t="n"/>
      <c r="RY15" s="212" t="n"/>
      <c r="RZ15" s="212" t="n"/>
      <c r="SA15" s="212" t="n"/>
      <c r="SB15" s="212" t="n"/>
      <c r="SC15" s="212" t="n"/>
      <c r="SD15" s="212" t="n"/>
      <c r="SE15" s="212" t="n"/>
      <c r="SF15" s="212" t="n"/>
      <c r="SG15" s="212" t="n"/>
      <c r="SH15" s="212" t="n"/>
      <c r="SI15" s="212" t="n"/>
      <c r="SJ15" s="212" t="n"/>
      <c r="SK15" s="212" t="n"/>
      <c r="SL15" s="212" t="n"/>
      <c r="SM15" s="212" t="n"/>
      <c r="SN15" s="212" t="n"/>
      <c r="SO15" s="212" t="n"/>
      <c r="SP15" s="212" t="n"/>
      <c r="SQ15" s="212" t="n"/>
      <c r="SR15" s="212" t="n"/>
      <c r="SS15" s="212" t="n"/>
      <c r="ST15" s="212" t="n"/>
      <c r="SU15" s="212" t="n"/>
      <c r="SV15" s="212" t="n"/>
    </row>
    <row r="16">
      <c r="B16" s="209" t="inlineStr">
        <is>
          <t>N/A</t>
        </is>
      </c>
      <c r="C16" s="209" t="inlineStr">
        <is>
          <t>LGC Rail</t>
        </is>
      </c>
      <c r="D16" s="209" t="inlineStr">
        <is>
          <t>Robert</t>
        </is>
      </c>
      <c r="E16" s="209" t="inlineStr">
        <is>
          <t>Jaques</t>
        </is>
      </c>
      <c r="F16" s="209">
        <f>IF(TRIM(D16&amp;E16)="","",TRIM(D16)&amp;" "&amp;TRIM(E16))</f>
        <v/>
      </c>
      <c r="G16" s="209" t="inlineStr">
        <is>
          <t>Perth</t>
        </is>
      </c>
      <c r="H16" s="209" t="inlineStr">
        <is>
          <t>Operator - Truck Driver</t>
        </is>
      </c>
      <c r="I16" s="209" t="inlineStr">
        <is>
          <t>YES</t>
        </is>
      </c>
      <c r="J16" s="209" t="inlineStr">
        <is>
          <t>YES</t>
        </is>
      </c>
      <c r="K16" s="209" t="inlineStr">
        <is>
          <t>YES</t>
        </is>
      </c>
      <c r="L16" s="209" t="inlineStr">
        <is>
          <t>YES</t>
        </is>
      </c>
      <c r="M16" s="209" t="inlineStr">
        <is>
          <t>Quals Complete</t>
        </is>
      </c>
      <c r="N16" s="209" t="inlineStr">
        <is>
          <t>robjaques74@gmail.com</t>
        </is>
      </c>
      <c r="O16" s="209" t="inlineStr">
        <is>
          <t>0408 483 301</t>
        </is>
      </c>
      <c r="P16" s="209" t="n">
        <v>703852</v>
      </c>
      <c r="Q16" s="209" t="n">
        <v>358603</v>
      </c>
      <c r="R16" s="209" t="inlineStr">
        <is>
          <t>2:2</t>
        </is>
      </c>
      <c r="S16" s="210" t="inlineStr">
        <is>
          <t>N/A</t>
        </is>
      </c>
      <c r="T16" s="210" t="inlineStr">
        <is>
          <t>N/A</t>
        </is>
      </c>
      <c r="U16" s="210" t="inlineStr">
        <is>
          <t>N/A</t>
        </is>
      </c>
      <c r="V16" s="214" t="inlineStr">
        <is>
          <t>RnR</t>
        </is>
      </c>
      <c r="W16" s="214" t="inlineStr">
        <is>
          <t>RnR</t>
        </is>
      </c>
      <c r="X16" s="214" t="inlineStr">
        <is>
          <t>RnR</t>
        </is>
      </c>
      <c r="Y16" s="214" t="inlineStr">
        <is>
          <t>RnR</t>
        </is>
      </c>
      <c r="Z16" s="214" t="inlineStr">
        <is>
          <t>RnR</t>
        </is>
      </c>
      <c r="AA16" s="214" t="inlineStr">
        <is>
          <t>RnR</t>
        </is>
      </c>
      <c r="AB16" s="214" t="inlineStr">
        <is>
          <t>RnR</t>
        </is>
      </c>
      <c r="AC16" s="214" t="inlineStr">
        <is>
          <t>RnR</t>
        </is>
      </c>
      <c r="AD16" s="211" t="inlineStr">
        <is>
          <t>PER/PHE PM
LND</t>
        </is>
      </c>
      <c r="AE16" s="211" t="inlineStr">
        <is>
          <t>LND</t>
        </is>
      </c>
      <c r="AF16" s="211" t="inlineStr">
        <is>
          <t>LND</t>
        </is>
      </c>
      <c r="AG16" s="211" t="inlineStr">
        <is>
          <t>LND</t>
        </is>
      </c>
      <c r="AH16" s="211" t="inlineStr">
        <is>
          <t>LND</t>
        </is>
      </c>
      <c r="AI16" s="211" t="inlineStr">
        <is>
          <t>LND</t>
        </is>
      </c>
      <c r="AJ16" s="211" t="inlineStr">
        <is>
          <t>LND</t>
        </is>
      </c>
      <c r="AK16" s="211" t="inlineStr">
        <is>
          <t>LND</t>
        </is>
      </c>
      <c r="AL16" s="211" t="inlineStr">
        <is>
          <t>LND</t>
        </is>
      </c>
      <c r="AM16" s="211" t="inlineStr">
        <is>
          <t>LND</t>
        </is>
      </c>
      <c r="AN16" s="211" t="inlineStr">
        <is>
          <t>LND</t>
        </is>
      </c>
      <c r="AO16" s="211" t="inlineStr">
        <is>
          <t>LND</t>
        </is>
      </c>
      <c r="AP16" s="211" t="inlineStr">
        <is>
          <t>LND</t>
        </is>
      </c>
      <c r="AQ16" s="211" t="inlineStr">
        <is>
          <t>LND</t>
        </is>
      </c>
      <c r="AR16" s="211" t="inlineStr">
        <is>
          <t>PHE/PER PM</t>
        </is>
      </c>
      <c r="AS16" s="214" t="inlineStr">
        <is>
          <t>RnR</t>
        </is>
      </c>
      <c r="AT16" s="214" t="inlineStr">
        <is>
          <t>RnR</t>
        </is>
      </c>
      <c r="AU16" s="214" t="inlineStr">
        <is>
          <t>RnR</t>
        </is>
      </c>
      <c r="AV16" s="214" t="inlineStr">
        <is>
          <t>RnR</t>
        </is>
      </c>
      <c r="AW16" s="214" t="inlineStr">
        <is>
          <t>RnR</t>
        </is>
      </c>
      <c r="AX16" s="214" t="inlineStr">
        <is>
          <t>RnR</t>
        </is>
      </c>
      <c r="AY16" s="214" t="inlineStr">
        <is>
          <t>RnR</t>
        </is>
      </c>
      <c r="AZ16" s="214" t="inlineStr">
        <is>
          <t>RnR</t>
        </is>
      </c>
      <c r="BA16" s="214" t="inlineStr">
        <is>
          <t>RnR</t>
        </is>
      </c>
      <c r="BB16" s="214" t="inlineStr">
        <is>
          <t>RnR</t>
        </is>
      </c>
      <c r="BC16" s="214" t="inlineStr">
        <is>
          <t>RnR</t>
        </is>
      </c>
      <c r="BD16" s="214" t="inlineStr">
        <is>
          <t>RnR</t>
        </is>
      </c>
      <c r="BE16" s="214" t="inlineStr">
        <is>
          <t>RnR</t>
        </is>
      </c>
      <c r="BF16" s="211" t="inlineStr">
        <is>
          <t>PER/PHE PM
PHN</t>
        </is>
      </c>
      <c r="BG16" s="211" t="inlineStr">
        <is>
          <t>RDM</t>
        </is>
      </c>
      <c r="BH16" s="211" t="inlineStr">
        <is>
          <t>RDM</t>
        </is>
      </c>
      <c r="BI16" s="211" t="inlineStr">
        <is>
          <t>RDM</t>
        </is>
      </c>
      <c r="BJ16" s="211" t="inlineStr">
        <is>
          <t>RDM</t>
        </is>
      </c>
      <c r="BK16" s="211" t="inlineStr">
        <is>
          <t>RDM</t>
        </is>
      </c>
      <c r="BL16" s="211" t="inlineStr">
        <is>
          <t>RDM</t>
        </is>
      </c>
      <c r="BM16" s="211" t="inlineStr">
        <is>
          <t>RDM</t>
        </is>
      </c>
      <c r="BN16" s="211" t="inlineStr">
        <is>
          <t>RDM</t>
        </is>
      </c>
      <c r="BO16" s="211" t="inlineStr">
        <is>
          <t>RDM</t>
        </is>
      </c>
      <c r="BP16" s="211" t="inlineStr">
        <is>
          <t>RDM</t>
        </is>
      </c>
      <c r="BQ16" s="211" t="inlineStr">
        <is>
          <t>RDM</t>
        </is>
      </c>
      <c r="BR16" s="211" t="inlineStr">
        <is>
          <t>RDM</t>
        </is>
      </c>
      <c r="BS16" s="211" t="inlineStr">
        <is>
          <t>RDM</t>
        </is>
      </c>
      <c r="BT16" s="218" t="inlineStr">
        <is>
          <t>Demobilised effective 13/10</t>
        </is>
      </c>
      <c r="BU16" s="212" t="n"/>
      <c r="BV16" s="212" t="n"/>
      <c r="BW16" s="212" t="n"/>
      <c r="BX16" s="210" t="inlineStr">
        <is>
          <t>N/A</t>
        </is>
      </c>
      <c r="BY16" s="210" t="inlineStr">
        <is>
          <t>N/A</t>
        </is>
      </c>
      <c r="BZ16" s="210" t="inlineStr">
        <is>
          <t>N/A</t>
        </is>
      </c>
      <c r="CA16" s="210" t="inlineStr">
        <is>
          <t>N/A</t>
        </is>
      </c>
      <c r="CB16" s="210" t="inlineStr">
        <is>
          <t>N/A</t>
        </is>
      </c>
      <c r="CC16" s="210" t="inlineStr">
        <is>
          <t>N/A</t>
        </is>
      </c>
      <c r="CD16" s="210" t="inlineStr">
        <is>
          <t>N/A</t>
        </is>
      </c>
      <c r="CE16" s="210" t="inlineStr">
        <is>
          <t>N/A</t>
        </is>
      </c>
      <c r="CF16" s="210" t="inlineStr">
        <is>
          <t>N/A</t>
        </is>
      </c>
      <c r="CG16" s="210" t="inlineStr">
        <is>
          <t>N/A</t>
        </is>
      </c>
      <c r="CH16" s="210" t="inlineStr">
        <is>
          <t>N/A</t>
        </is>
      </c>
      <c r="CI16" s="210" t="inlineStr">
        <is>
          <t>N/A</t>
        </is>
      </c>
      <c r="CJ16" s="210" t="inlineStr">
        <is>
          <t>N/A</t>
        </is>
      </c>
      <c r="CK16" s="210" t="inlineStr">
        <is>
          <t>N/A</t>
        </is>
      </c>
      <c r="CL16" s="210" t="inlineStr">
        <is>
          <t>N/A</t>
        </is>
      </c>
      <c r="CM16" s="210" t="inlineStr">
        <is>
          <t>N/A</t>
        </is>
      </c>
      <c r="CN16" s="210" t="inlineStr">
        <is>
          <t>N/A</t>
        </is>
      </c>
      <c r="CO16" s="210" t="inlineStr">
        <is>
          <t>N/A</t>
        </is>
      </c>
      <c r="CP16" s="210" t="inlineStr">
        <is>
          <t>N/A</t>
        </is>
      </c>
      <c r="CQ16" s="210" t="inlineStr">
        <is>
          <t>N/A</t>
        </is>
      </c>
      <c r="CR16" s="210" t="inlineStr">
        <is>
          <t>N/A</t>
        </is>
      </c>
      <c r="CS16" s="210" t="inlineStr">
        <is>
          <t>N/A</t>
        </is>
      </c>
      <c r="CT16" s="210" t="inlineStr">
        <is>
          <t>N/A</t>
        </is>
      </c>
      <c r="CU16" s="210" t="inlineStr">
        <is>
          <t>N/A</t>
        </is>
      </c>
      <c r="CV16" s="210" t="inlineStr">
        <is>
          <t>N/A</t>
        </is>
      </c>
      <c r="CW16" s="210" t="inlineStr">
        <is>
          <t>N/A</t>
        </is>
      </c>
      <c r="CX16" s="210" t="inlineStr">
        <is>
          <t>N/A</t>
        </is>
      </c>
      <c r="CY16" s="210" t="inlineStr">
        <is>
          <t>N/A</t>
        </is>
      </c>
      <c r="CZ16" s="210" t="inlineStr">
        <is>
          <t>N/A</t>
        </is>
      </c>
      <c r="DA16" s="210" t="inlineStr">
        <is>
          <t>N/A</t>
        </is>
      </c>
      <c r="DB16" s="210" t="inlineStr">
        <is>
          <t>N/A</t>
        </is>
      </c>
      <c r="DC16" s="210" t="inlineStr">
        <is>
          <t>N/A</t>
        </is>
      </c>
      <c r="DD16" s="210" t="inlineStr">
        <is>
          <t>N/A</t>
        </is>
      </c>
      <c r="DE16" s="210" t="inlineStr">
        <is>
          <t>N/A</t>
        </is>
      </c>
      <c r="DF16" s="210" t="inlineStr">
        <is>
          <t>N/A</t>
        </is>
      </c>
      <c r="DG16" s="210" t="inlineStr">
        <is>
          <t>N/A</t>
        </is>
      </c>
      <c r="DH16" s="210" t="inlineStr">
        <is>
          <t>N/A</t>
        </is>
      </c>
      <c r="DI16" s="210" t="inlineStr">
        <is>
          <t>N/A</t>
        </is>
      </c>
      <c r="DJ16" s="210" t="inlineStr">
        <is>
          <t>N/A</t>
        </is>
      </c>
      <c r="DK16" s="210" t="inlineStr">
        <is>
          <t>N/A</t>
        </is>
      </c>
      <c r="DL16" s="210" t="inlineStr">
        <is>
          <t>N/A</t>
        </is>
      </c>
      <c r="DM16" s="210" t="inlineStr">
        <is>
          <t>N/A</t>
        </is>
      </c>
      <c r="DN16" s="210" t="inlineStr">
        <is>
          <t>N/A</t>
        </is>
      </c>
      <c r="DO16" s="210" t="inlineStr">
        <is>
          <t>N/A</t>
        </is>
      </c>
      <c r="DP16" s="210" t="inlineStr">
        <is>
          <t>N/A</t>
        </is>
      </c>
      <c r="DQ16" s="210" t="inlineStr">
        <is>
          <t>N/A</t>
        </is>
      </c>
      <c r="DR16" s="212" t="n"/>
      <c r="DS16" s="212" t="n"/>
      <c r="DT16" s="212" t="n"/>
      <c r="DU16" s="212" t="n"/>
      <c r="DV16" s="212" t="n"/>
      <c r="DW16" s="212" t="n"/>
      <c r="DX16" s="212" t="n"/>
      <c r="DY16" s="212" t="n"/>
      <c r="DZ16" s="212" t="n"/>
      <c r="EA16" s="212" t="n"/>
      <c r="EB16" s="212" t="n"/>
      <c r="EC16" s="212" t="n"/>
      <c r="ED16" s="212" t="n"/>
      <c r="EE16" s="212" t="n"/>
      <c r="EF16" s="212" t="n"/>
      <c r="EG16" s="212" t="n"/>
      <c r="EH16" s="212" t="n"/>
      <c r="EI16" s="212" t="n"/>
      <c r="EJ16" s="212" t="n"/>
      <c r="EK16" s="212" t="n"/>
      <c r="EL16" s="212" t="n"/>
      <c r="EM16" s="212" t="n"/>
      <c r="EN16" s="212" t="n"/>
      <c r="EO16" s="212" t="n"/>
      <c r="EP16" s="212" t="n"/>
      <c r="EQ16" s="212" t="n"/>
      <c r="ER16" s="212" t="n"/>
      <c r="ES16" s="212" t="n"/>
      <c r="ET16" s="212" t="n"/>
      <c r="EU16" s="212" t="n"/>
      <c r="EV16" s="212" t="n"/>
      <c r="EW16" s="212" t="n"/>
      <c r="EX16" s="212" t="n"/>
      <c r="EY16" s="212" t="n"/>
      <c r="EZ16" s="212" t="n"/>
      <c r="FA16" s="212" t="n"/>
      <c r="FB16" s="212" t="n"/>
      <c r="FC16" s="212" t="n"/>
      <c r="FD16" s="212" t="n"/>
      <c r="FE16" s="212" t="n"/>
      <c r="FF16" s="212" t="n"/>
      <c r="FG16" s="212" t="n"/>
      <c r="FH16" s="212" t="n"/>
      <c r="FI16" s="212" t="n"/>
      <c r="FJ16" s="212" t="n"/>
      <c r="FK16" s="212" t="n"/>
      <c r="FL16" s="212" t="n"/>
      <c r="FM16" s="212" t="n"/>
      <c r="FN16" s="212" t="n"/>
      <c r="FO16" s="212" t="n"/>
      <c r="FP16" s="212" t="n"/>
      <c r="FQ16" s="212" t="n"/>
      <c r="FR16" s="212" t="n"/>
      <c r="FS16" s="212" t="n"/>
      <c r="FT16" s="212" t="n"/>
      <c r="FU16" s="212" t="n"/>
      <c r="FV16" s="212" t="n"/>
      <c r="FW16" s="212" t="n"/>
      <c r="FX16" s="212" t="n"/>
      <c r="FY16" s="212" t="n"/>
      <c r="FZ16" s="212" t="n"/>
      <c r="GA16" s="212" t="n"/>
      <c r="GB16" s="212" t="n"/>
      <c r="GC16" s="212" t="n"/>
      <c r="GD16" s="212" t="n"/>
      <c r="GE16" s="212" t="n"/>
      <c r="GF16" s="212" t="n"/>
      <c r="GG16" s="212" t="n"/>
      <c r="GH16" s="212" t="n"/>
      <c r="GI16" s="212" t="n"/>
      <c r="GJ16" s="212" t="n"/>
      <c r="GK16" s="212" t="n"/>
      <c r="GL16" s="212" t="n"/>
      <c r="GM16" s="212" t="n"/>
      <c r="GN16" s="212" t="n"/>
      <c r="GO16" s="212" t="n"/>
      <c r="GP16" s="212" t="n"/>
      <c r="GQ16" s="212" t="n"/>
      <c r="GR16" s="212" t="n"/>
      <c r="GS16" s="212" t="n"/>
      <c r="GT16" s="212" t="n"/>
      <c r="GU16" s="212" t="n"/>
      <c r="GV16" s="212" t="n"/>
      <c r="GW16" s="212" t="n"/>
      <c r="GX16" s="212" t="n"/>
      <c r="GY16" s="212" t="n"/>
      <c r="GZ16" s="212" t="n"/>
      <c r="HA16" s="212" t="n"/>
      <c r="HB16" s="212" t="n"/>
      <c r="HC16" s="212" t="n"/>
      <c r="HD16" s="212" t="n"/>
      <c r="HE16" s="212" t="n"/>
      <c r="HF16" s="212" t="n"/>
      <c r="HG16" s="212" t="n"/>
      <c r="HH16" s="212" t="n"/>
      <c r="HI16" s="212" t="n"/>
      <c r="HJ16" s="212" t="n"/>
      <c r="HK16" s="212" t="n"/>
      <c r="HL16" s="212" t="n"/>
      <c r="HM16" s="212" t="n"/>
      <c r="HN16" s="212" t="n"/>
      <c r="HO16" s="212" t="n"/>
      <c r="HP16" s="212" t="n"/>
      <c r="HQ16" s="212" t="n"/>
      <c r="HR16" s="212" t="n"/>
      <c r="HS16" s="212" t="n"/>
      <c r="HT16" s="212" t="n"/>
      <c r="HU16" s="212" t="n"/>
      <c r="HV16" s="212" t="n"/>
      <c r="HW16" s="212" t="n"/>
      <c r="HX16" s="212" t="n"/>
      <c r="HY16" s="212" t="n"/>
      <c r="HZ16" s="212" t="n"/>
      <c r="IA16" s="212" t="n"/>
      <c r="IB16" s="212" t="n"/>
      <c r="IC16" s="212" t="n"/>
      <c r="ID16" s="212" t="n"/>
      <c r="IE16" s="212" t="n"/>
      <c r="IF16" s="212" t="n"/>
      <c r="IG16" s="212" t="n"/>
      <c r="IH16" s="212" t="n"/>
      <c r="II16" s="212" t="n"/>
      <c r="IJ16" s="212" t="n"/>
      <c r="IK16" s="212" t="n"/>
      <c r="IL16" s="212" t="n"/>
      <c r="IM16" s="212" t="n"/>
      <c r="IN16" s="212" t="n"/>
      <c r="IO16" s="212" t="n"/>
      <c r="IP16" s="212" t="n"/>
      <c r="IQ16" s="212" t="n"/>
      <c r="IR16" s="212" t="n"/>
      <c r="IS16" s="212" t="n"/>
      <c r="IT16" s="212" t="n"/>
      <c r="IU16" s="212" t="n"/>
      <c r="IV16" s="212" t="n"/>
      <c r="IW16" s="212" t="n"/>
      <c r="IX16" s="212" t="n"/>
      <c r="IY16" s="212" t="n"/>
      <c r="IZ16" s="212" t="n"/>
      <c r="JA16" s="212" t="n"/>
      <c r="JB16" s="212" t="n"/>
      <c r="JC16" s="212" t="n"/>
      <c r="JD16" s="212" t="n"/>
      <c r="JE16" s="212" t="n"/>
      <c r="JF16" s="212" t="n"/>
      <c r="JG16" s="212" t="n"/>
      <c r="JH16" s="212" t="n"/>
      <c r="JI16" s="212" t="n"/>
      <c r="JJ16" s="212" t="n"/>
      <c r="JK16" s="212" t="n"/>
      <c r="JL16" s="212" t="n"/>
      <c r="JM16" s="212" t="n"/>
      <c r="JN16" s="212" t="n"/>
      <c r="JO16" s="212" t="n"/>
      <c r="JP16" s="212" t="n"/>
      <c r="JQ16" s="212" t="n"/>
      <c r="JR16" s="212" t="n"/>
      <c r="JS16" s="212" t="n"/>
      <c r="JT16" s="212" t="n"/>
      <c r="JU16" s="212" t="n"/>
      <c r="JV16" s="212" t="n"/>
      <c r="JW16" s="212" t="n"/>
      <c r="JX16" s="212" t="n"/>
      <c r="JY16" s="212" t="n"/>
      <c r="JZ16" s="212" t="n"/>
      <c r="KA16" s="212" t="n"/>
      <c r="KB16" s="212" t="n"/>
      <c r="KC16" s="212" t="n"/>
      <c r="KD16" s="212" t="n"/>
      <c r="KE16" s="212" t="n"/>
      <c r="KF16" s="212" t="n"/>
      <c r="KG16" s="212" t="n"/>
      <c r="KH16" s="212" t="n"/>
      <c r="KI16" s="212" t="n"/>
      <c r="KJ16" s="212" t="n"/>
      <c r="KK16" s="212" t="n"/>
      <c r="KL16" s="212" t="n"/>
      <c r="KM16" s="212" t="n"/>
      <c r="KN16" s="212" t="n"/>
      <c r="KO16" s="212" t="n"/>
      <c r="KP16" s="212" t="n"/>
      <c r="KQ16" s="212" t="n"/>
      <c r="KR16" s="212" t="n"/>
      <c r="KS16" s="212" t="n"/>
      <c r="KT16" s="212" t="n"/>
      <c r="KU16" s="212" t="n"/>
      <c r="KV16" s="212" t="n"/>
      <c r="KW16" s="212" t="n"/>
      <c r="KX16" s="212" t="n"/>
      <c r="KY16" s="212" t="n"/>
      <c r="KZ16" s="212" t="n"/>
      <c r="LA16" s="212" t="n"/>
      <c r="LB16" s="212" t="n"/>
      <c r="LC16" s="212" t="n"/>
      <c r="LD16" s="212" t="n"/>
      <c r="LE16" s="212" t="n"/>
      <c r="LF16" s="212" t="n"/>
      <c r="LG16" s="212" t="n"/>
      <c r="LH16" s="212" t="n"/>
      <c r="LI16" s="212" t="n"/>
      <c r="LJ16" s="212" t="n"/>
      <c r="LK16" s="212" t="n"/>
      <c r="LL16" s="212" t="n"/>
      <c r="LM16" s="212" t="n"/>
      <c r="LN16" s="212" t="n"/>
      <c r="LO16" s="212" t="n"/>
      <c r="LP16" s="212" t="n"/>
      <c r="LQ16" s="212" t="n"/>
      <c r="LR16" s="212" t="n"/>
      <c r="LS16" s="212" t="n"/>
      <c r="LT16" s="212" t="n"/>
      <c r="LU16" s="212" t="n"/>
      <c r="LV16" s="212" t="n"/>
      <c r="LW16" s="212" t="n"/>
      <c r="LX16" s="212" t="n"/>
      <c r="LY16" s="212" t="n"/>
      <c r="LZ16" s="212" t="n"/>
      <c r="MA16" s="212" t="n"/>
      <c r="MB16" s="212" t="n"/>
      <c r="MC16" s="212" t="n"/>
      <c r="MD16" s="212" t="n"/>
      <c r="ME16" s="212" t="n"/>
      <c r="MF16" s="212" t="n"/>
      <c r="MG16" s="212" t="n"/>
      <c r="MH16" s="212" t="n"/>
      <c r="MI16" s="212" t="n"/>
      <c r="MJ16" s="212" t="n"/>
      <c r="MK16" s="212" t="n"/>
      <c r="ML16" s="212" t="n"/>
      <c r="MM16" s="212" t="n"/>
      <c r="MN16" s="212" t="n"/>
      <c r="MO16" s="212" t="n"/>
      <c r="MP16" s="212" t="n"/>
      <c r="MQ16" s="212" t="n"/>
      <c r="MR16" s="212" t="n"/>
      <c r="MS16" s="212" t="n"/>
      <c r="MT16" s="212" t="n"/>
      <c r="MU16" s="212" t="n"/>
      <c r="MV16" s="212" t="n"/>
      <c r="MW16" s="212" t="n"/>
      <c r="MX16" s="212" t="n"/>
      <c r="MY16" s="212" t="n"/>
      <c r="MZ16" s="212" t="n"/>
      <c r="NA16" s="212" t="n"/>
      <c r="NB16" s="212" t="n"/>
      <c r="NC16" s="212" t="n"/>
      <c r="ND16" s="212" t="n"/>
      <c r="NE16" s="212" t="n"/>
      <c r="NF16" s="212" t="n"/>
      <c r="NG16" s="212" t="n"/>
      <c r="NH16" s="212" t="n"/>
      <c r="NI16" s="212" t="n"/>
      <c r="NJ16" s="212" t="n"/>
      <c r="NK16" s="212" t="n"/>
      <c r="NL16" s="212" t="n"/>
      <c r="NM16" s="212" t="n"/>
      <c r="NN16" s="212" t="n"/>
      <c r="NO16" s="212" t="n"/>
      <c r="NP16" s="212" t="n"/>
      <c r="NQ16" s="212" t="n"/>
      <c r="NR16" s="212" t="n"/>
      <c r="NS16" s="212" t="n"/>
      <c r="NT16" s="212" t="n"/>
      <c r="NU16" s="212" t="n"/>
      <c r="NV16" s="212" t="n"/>
      <c r="NW16" s="212" t="n"/>
      <c r="NX16" s="212" t="n"/>
      <c r="NY16" s="212" t="n"/>
      <c r="NZ16" s="212" t="n"/>
      <c r="OA16" s="212" t="n"/>
      <c r="OB16" s="212" t="n"/>
      <c r="OC16" s="212" t="n"/>
      <c r="OD16" s="212" t="n"/>
      <c r="OE16" s="212" t="n"/>
      <c r="OF16" s="212" t="n"/>
      <c r="OG16" s="212" t="n"/>
      <c r="OH16" s="212" t="n"/>
      <c r="OI16" s="212" t="n"/>
      <c r="OJ16" s="212" t="n"/>
      <c r="OK16" s="212" t="n"/>
      <c r="OL16" s="212" t="n"/>
      <c r="OM16" s="212" t="n"/>
      <c r="ON16" s="212" t="n"/>
      <c r="OO16" s="212" t="n"/>
      <c r="OP16" s="212" t="n"/>
      <c r="OQ16" s="212" t="n"/>
      <c r="OR16" s="212" t="n"/>
      <c r="OS16" s="212" t="n"/>
      <c r="OT16" s="212" t="n"/>
      <c r="OU16" s="212" t="n"/>
      <c r="OV16" s="212" t="n"/>
      <c r="OW16" s="212" t="n"/>
      <c r="OX16" s="212" t="n"/>
      <c r="OY16" s="212" t="n"/>
      <c r="OZ16" s="212" t="n"/>
      <c r="PA16" s="212" t="n"/>
      <c r="PB16" s="212" t="n"/>
      <c r="PC16" s="212" t="n"/>
      <c r="PD16" s="212" t="n"/>
      <c r="PE16" s="212" t="n"/>
      <c r="PF16" s="212" t="n"/>
      <c r="PG16" s="212" t="n"/>
      <c r="PH16" s="212" t="n"/>
      <c r="PI16" s="212" t="n"/>
      <c r="PJ16" s="212" t="n"/>
      <c r="PK16" s="212" t="n"/>
      <c r="PL16" s="212" t="n"/>
      <c r="PM16" s="212" t="n"/>
      <c r="PN16" s="212" t="n"/>
      <c r="PO16" s="212" t="n"/>
      <c r="PP16" s="212" t="n"/>
      <c r="PQ16" s="212" t="n"/>
      <c r="PR16" s="212" t="n"/>
      <c r="PS16" s="212" t="n"/>
      <c r="PT16" s="212" t="n"/>
      <c r="PU16" s="212" t="n"/>
      <c r="PV16" s="212" t="n"/>
      <c r="PW16" s="212" t="n"/>
      <c r="PX16" s="212" t="n"/>
      <c r="PY16" s="212" t="n"/>
      <c r="PZ16" s="212" t="n"/>
      <c r="QA16" s="212" t="n"/>
      <c r="QB16" s="212" t="n"/>
      <c r="QC16" s="212" t="n"/>
      <c r="QD16" s="212" t="n"/>
      <c r="QE16" s="212" t="n"/>
      <c r="QF16" s="212" t="n"/>
      <c r="QG16" s="212" t="n"/>
      <c r="QH16" s="212" t="n"/>
      <c r="QI16" s="212" t="n"/>
      <c r="QJ16" s="212" t="n"/>
      <c r="QK16" s="212" t="n"/>
      <c r="QL16" s="212" t="n"/>
      <c r="QM16" s="212" t="n"/>
      <c r="QN16" s="212" t="n"/>
      <c r="QO16" s="212" t="n"/>
      <c r="QP16" s="212" t="n"/>
      <c r="QQ16" s="212" t="n"/>
      <c r="QR16" s="212" t="n"/>
      <c r="QS16" s="212" t="n"/>
      <c r="QT16" s="212" t="n"/>
      <c r="QU16" s="212" t="n"/>
      <c r="QV16" s="212" t="n"/>
      <c r="QW16" s="212" t="n"/>
      <c r="QX16" s="212" t="n"/>
      <c r="QY16" s="212" t="n"/>
      <c r="QZ16" s="212" t="n"/>
      <c r="RA16" s="212" t="n"/>
      <c r="RB16" s="212" t="n"/>
      <c r="RC16" s="212" t="n"/>
      <c r="RD16" s="212" t="n"/>
      <c r="RE16" s="212" t="n"/>
      <c r="RF16" s="212" t="n"/>
      <c r="RG16" s="212" t="n"/>
      <c r="RH16" s="212" t="n"/>
      <c r="RI16" s="212" t="n"/>
      <c r="RJ16" s="212" t="n"/>
      <c r="RK16" s="212" t="n"/>
      <c r="RL16" s="212" t="n"/>
      <c r="RM16" s="212" t="n"/>
      <c r="RN16" s="212" t="n"/>
      <c r="RO16" s="212" t="n"/>
      <c r="RP16" s="212" t="n"/>
      <c r="RQ16" s="212" t="n"/>
      <c r="RR16" s="212" t="n"/>
      <c r="RS16" s="212" t="n"/>
      <c r="RT16" s="212" t="n"/>
      <c r="RU16" s="212" t="n"/>
      <c r="RV16" s="212" t="n"/>
      <c r="RW16" s="212" t="n"/>
      <c r="RX16" s="212" t="n"/>
      <c r="RY16" s="212" t="n"/>
      <c r="RZ16" s="212" t="n"/>
      <c r="SA16" s="212" t="n"/>
      <c r="SB16" s="212" t="n"/>
      <c r="SC16" s="212" t="n"/>
      <c r="SD16" s="212" t="n"/>
      <c r="SE16" s="212" t="n"/>
      <c r="SF16" s="212" t="n"/>
      <c r="SG16" s="212" t="n"/>
      <c r="SH16" s="212" t="n"/>
      <c r="SI16" s="212" t="n"/>
      <c r="SJ16" s="212" t="n"/>
      <c r="SK16" s="212" t="n"/>
      <c r="SL16" s="212" t="n"/>
      <c r="SM16" s="212" t="n"/>
      <c r="SN16" s="212" t="n"/>
      <c r="SO16" s="212" t="n"/>
      <c r="SP16" s="212" t="n"/>
      <c r="SQ16" s="212" t="n"/>
      <c r="SR16" s="212" t="n"/>
      <c r="SS16" s="212" t="n"/>
      <c r="ST16" s="212" t="n"/>
      <c r="SU16" s="212" t="n"/>
      <c r="SV16" s="212" t="n"/>
    </row>
    <row r="17">
      <c r="B17" s="209" t="n">
        <v>4</v>
      </c>
      <c r="C17" s="209" t="inlineStr">
        <is>
          <t>LGC Rail</t>
        </is>
      </c>
      <c r="D17" s="209" t="inlineStr">
        <is>
          <t>Aaron</t>
        </is>
      </c>
      <c r="E17" s="209" t="inlineStr">
        <is>
          <t>Vaccaro</t>
        </is>
      </c>
      <c r="F17" s="209">
        <f>IF(TRIM(D17&amp;E17)="","",TRIM(D17)&amp;" "&amp;TRIM(E17))</f>
        <v/>
      </c>
      <c r="G17" s="209" t="inlineStr">
        <is>
          <t>Perth</t>
        </is>
      </c>
      <c r="H17" s="209" t="inlineStr">
        <is>
          <t>Operator - Truck/Forklift Driver</t>
        </is>
      </c>
      <c r="I17" s="209" t="inlineStr">
        <is>
          <t>YES</t>
        </is>
      </c>
      <c r="J17" s="209" t="inlineStr">
        <is>
          <t>YES</t>
        </is>
      </c>
      <c r="K17" s="209" t="inlineStr">
        <is>
          <t>YES</t>
        </is>
      </c>
      <c r="L17" s="209" t="inlineStr">
        <is>
          <t>YES</t>
        </is>
      </c>
      <c r="M17" s="209" t="inlineStr">
        <is>
          <t>Quals Complete</t>
        </is>
      </c>
      <c r="N17" s="209" t="inlineStr">
        <is>
          <t>AARON.V@LIVE.COM.AU</t>
        </is>
      </c>
      <c r="O17" s="209" t="inlineStr">
        <is>
          <t>0411 556 357</t>
        </is>
      </c>
      <c r="P17" s="209" t="n">
        <v>853837</v>
      </c>
      <c r="Q17" s="209" t="n">
        <v>85267</v>
      </c>
      <c r="R17" s="209" t="inlineStr">
        <is>
          <t>2:2</t>
        </is>
      </c>
      <c r="S17" s="210" t="inlineStr">
        <is>
          <t>N/A</t>
        </is>
      </c>
      <c r="T17" s="210" t="inlineStr">
        <is>
          <t>N/A</t>
        </is>
      </c>
      <c r="U17" s="210" t="inlineStr">
        <is>
          <t>N/A</t>
        </is>
      </c>
      <c r="V17" s="214" t="inlineStr">
        <is>
          <t>RnR</t>
        </is>
      </c>
      <c r="W17" s="214" t="inlineStr">
        <is>
          <t>RnR</t>
        </is>
      </c>
      <c r="X17" s="214" t="inlineStr">
        <is>
          <t>RnR</t>
        </is>
      </c>
      <c r="Y17" s="214" t="inlineStr">
        <is>
          <t>RnR</t>
        </is>
      </c>
      <c r="Z17" s="214" t="inlineStr">
        <is>
          <t>RnR</t>
        </is>
      </c>
      <c r="AA17" s="214" t="inlineStr">
        <is>
          <t>RnR</t>
        </is>
      </c>
      <c r="AB17" s="214" t="inlineStr">
        <is>
          <t>RnR</t>
        </is>
      </c>
      <c r="AC17" s="214" t="inlineStr">
        <is>
          <t>RnR</t>
        </is>
      </c>
      <c r="AD17" s="211" t="inlineStr">
        <is>
          <t>PER/PHE PM
LND</t>
        </is>
      </c>
      <c r="AE17" s="211" t="inlineStr">
        <is>
          <t>LND</t>
        </is>
      </c>
      <c r="AF17" s="211" t="inlineStr">
        <is>
          <t>LND</t>
        </is>
      </c>
      <c r="AG17" s="211" t="inlineStr">
        <is>
          <t>LND</t>
        </is>
      </c>
      <c r="AH17" s="211" t="inlineStr">
        <is>
          <t>LND</t>
        </is>
      </c>
      <c r="AI17" s="211" t="inlineStr">
        <is>
          <t>LND</t>
        </is>
      </c>
      <c r="AJ17" s="211" t="inlineStr">
        <is>
          <t>LND</t>
        </is>
      </c>
      <c r="AK17" s="211" t="inlineStr">
        <is>
          <t>LND</t>
        </is>
      </c>
      <c r="AL17" s="211" t="inlineStr">
        <is>
          <t>LND</t>
        </is>
      </c>
      <c r="AM17" s="211" t="inlineStr">
        <is>
          <t>LND</t>
        </is>
      </c>
      <c r="AN17" s="211" t="inlineStr">
        <is>
          <t>LND</t>
        </is>
      </c>
      <c r="AO17" s="211" t="inlineStr">
        <is>
          <t>LND</t>
        </is>
      </c>
      <c r="AP17" s="211" t="inlineStr">
        <is>
          <t>LND</t>
        </is>
      </c>
      <c r="AQ17" s="211" t="inlineStr">
        <is>
          <t>LND</t>
        </is>
      </c>
      <c r="AR17" s="211" t="inlineStr">
        <is>
          <t>PHE/PER PM</t>
        </is>
      </c>
      <c r="AS17" s="214" t="inlineStr">
        <is>
          <t>RnR</t>
        </is>
      </c>
      <c r="AT17" s="214" t="inlineStr">
        <is>
          <t>RnR</t>
        </is>
      </c>
      <c r="AU17" s="214" t="inlineStr">
        <is>
          <t>RnR</t>
        </is>
      </c>
      <c r="AV17" s="214" t="inlineStr">
        <is>
          <t>RnR</t>
        </is>
      </c>
      <c r="AW17" s="214" t="inlineStr">
        <is>
          <t>RnR</t>
        </is>
      </c>
      <c r="AX17" s="214" t="inlineStr">
        <is>
          <t>RnR</t>
        </is>
      </c>
      <c r="AY17" s="214" t="inlineStr">
        <is>
          <t>RnR</t>
        </is>
      </c>
      <c r="AZ17" s="214" t="inlineStr">
        <is>
          <t>RnR</t>
        </is>
      </c>
      <c r="BA17" s="214" t="inlineStr">
        <is>
          <t>RnR</t>
        </is>
      </c>
      <c r="BB17" s="214" t="inlineStr">
        <is>
          <t>RnR</t>
        </is>
      </c>
      <c r="BC17" s="214" t="inlineStr">
        <is>
          <t>RnR</t>
        </is>
      </c>
      <c r="BD17" s="214" t="inlineStr">
        <is>
          <t>RnR</t>
        </is>
      </c>
      <c r="BE17" s="214" t="inlineStr">
        <is>
          <t>RnR</t>
        </is>
      </c>
      <c r="BF17" s="211" t="inlineStr">
        <is>
          <t>PER/PHE PM
PHN</t>
        </is>
      </c>
      <c r="BG17" s="211" t="inlineStr">
        <is>
          <t>RDM</t>
        </is>
      </c>
      <c r="BH17" s="211" t="inlineStr">
        <is>
          <t>RDM</t>
        </is>
      </c>
      <c r="BI17" s="211" t="inlineStr">
        <is>
          <t>RDM</t>
        </is>
      </c>
      <c r="BJ17" s="211" t="inlineStr">
        <is>
          <t>RDM</t>
        </is>
      </c>
      <c r="BK17" s="211" t="inlineStr">
        <is>
          <t>RDM</t>
        </is>
      </c>
      <c r="BL17" s="211" t="inlineStr">
        <is>
          <t>RDM</t>
        </is>
      </c>
      <c r="BM17" s="211" t="inlineStr">
        <is>
          <t>RDM</t>
        </is>
      </c>
      <c r="BN17" s="211" t="inlineStr">
        <is>
          <t>RDM</t>
        </is>
      </c>
      <c r="BO17" s="211" t="inlineStr">
        <is>
          <t>RDM</t>
        </is>
      </c>
      <c r="BP17" s="211" t="inlineStr">
        <is>
          <t>RDM</t>
        </is>
      </c>
      <c r="BQ17" s="211" t="inlineStr">
        <is>
          <t>RDM</t>
        </is>
      </c>
      <c r="BR17" s="211" t="inlineStr">
        <is>
          <t>RDM</t>
        </is>
      </c>
      <c r="BS17" s="211" t="inlineStr">
        <is>
          <t>RDM</t>
        </is>
      </c>
      <c r="BT17" s="211" t="inlineStr">
        <is>
          <t>PHE/PER PM</t>
        </is>
      </c>
      <c r="BU17" s="214" t="inlineStr">
        <is>
          <t>RnR</t>
        </is>
      </c>
      <c r="BV17" s="214" t="inlineStr">
        <is>
          <t>RnR</t>
        </is>
      </c>
      <c r="BW17" s="214" t="inlineStr">
        <is>
          <t>RnR</t>
        </is>
      </c>
      <c r="BX17" s="214" t="inlineStr">
        <is>
          <t>RnR</t>
        </is>
      </c>
      <c r="BY17" s="214" t="inlineStr">
        <is>
          <t>RnR</t>
        </is>
      </c>
      <c r="BZ17" s="214" t="inlineStr">
        <is>
          <t>RnR</t>
        </is>
      </c>
      <c r="CA17" s="214" t="inlineStr">
        <is>
          <t>RnR</t>
        </is>
      </c>
      <c r="CB17" s="214" t="inlineStr">
        <is>
          <t>RnR</t>
        </is>
      </c>
      <c r="CC17" s="214" t="inlineStr">
        <is>
          <t>RnR</t>
        </is>
      </c>
      <c r="CD17" s="214" t="inlineStr">
        <is>
          <t>RnR</t>
        </is>
      </c>
      <c r="CE17" s="214" t="inlineStr">
        <is>
          <t>RnR</t>
        </is>
      </c>
      <c r="CF17" s="214" t="inlineStr">
        <is>
          <t>RnR</t>
        </is>
      </c>
      <c r="CG17" s="214" t="inlineStr">
        <is>
          <t>RnR</t>
        </is>
      </c>
      <c r="CH17" s="211" t="inlineStr">
        <is>
          <t>PER/PHE PM
LND</t>
        </is>
      </c>
      <c r="CI17" s="210" t="inlineStr">
        <is>
          <t>RDM</t>
        </is>
      </c>
      <c r="CJ17" s="210" t="inlineStr">
        <is>
          <t>RDM</t>
        </is>
      </c>
      <c r="CK17" s="210" t="inlineStr">
        <is>
          <t>RDM</t>
        </is>
      </c>
      <c r="CL17" s="210" t="inlineStr">
        <is>
          <t>RDM</t>
        </is>
      </c>
      <c r="CM17" s="210" t="inlineStr">
        <is>
          <t>RDM</t>
        </is>
      </c>
      <c r="CN17" s="210" t="inlineStr">
        <is>
          <t>RDM</t>
        </is>
      </c>
      <c r="CO17" s="210" t="inlineStr">
        <is>
          <t>RDM</t>
        </is>
      </c>
      <c r="CP17" s="210" t="inlineStr">
        <is>
          <t>RDM</t>
        </is>
      </c>
      <c r="CQ17" s="210" t="inlineStr">
        <is>
          <t>RDM</t>
        </is>
      </c>
      <c r="CR17" s="210" t="inlineStr">
        <is>
          <t>RDM</t>
        </is>
      </c>
      <c r="CS17" s="210" t="inlineStr">
        <is>
          <t>RDM</t>
        </is>
      </c>
      <c r="CT17" s="210" t="inlineStr">
        <is>
          <t>RDM</t>
        </is>
      </c>
      <c r="CU17" s="210" t="inlineStr">
        <is>
          <t>RDM</t>
        </is>
      </c>
      <c r="CV17" s="211" t="inlineStr">
        <is>
          <t>PHE/PER PM</t>
        </is>
      </c>
      <c r="CW17" s="217" t="inlineStr">
        <is>
          <t>DEMOB</t>
        </is>
      </c>
      <c r="CX17" s="214" t="inlineStr">
        <is>
          <t>RnR</t>
        </is>
      </c>
      <c r="CY17" s="214" t="inlineStr">
        <is>
          <t>RnR</t>
        </is>
      </c>
      <c r="CZ17" s="214" t="inlineStr">
        <is>
          <t>RnR</t>
        </is>
      </c>
      <c r="DA17" s="214" t="inlineStr">
        <is>
          <t>RnR</t>
        </is>
      </c>
      <c r="DB17" s="214" t="inlineStr">
        <is>
          <t>RnR</t>
        </is>
      </c>
      <c r="DC17" s="214" t="inlineStr">
        <is>
          <t>RnR</t>
        </is>
      </c>
      <c r="DD17" s="214" t="inlineStr">
        <is>
          <t>RnR</t>
        </is>
      </c>
      <c r="DE17" s="214" t="inlineStr">
        <is>
          <t>RnR</t>
        </is>
      </c>
      <c r="DF17" s="214" t="inlineStr">
        <is>
          <t>RnR</t>
        </is>
      </c>
      <c r="DG17" s="214" t="inlineStr">
        <is>
          <t>RnR</t>
        </is>
      </c>
      <c r="DH17" s="214" t="inlineStr">
        <is>
          <t>RnR</t>
        </is>
      </c>
      <c r="DI17" s="214" t="inlineStr">
        <is>
          <t>RnR</t>
        </is>
      </c>
      <c r="DJ17" s="214" t="inlineStr">
        <is>
          <t>RnR</t>
        </is>
      </c>
      <c r="DK17" s="210" t="inlineStr">
        <is>
          <t>N/A</t>
        </is>
      </c>
      <c r="DL17" s="210" t="inlineStr">
        <is>
          <t>N/A</t>
        </is>
      </c>
      <c r="DM17" s="210" t="inlineStr">
        <is>
          <t>N/A</t>
        </is>
      </c>
      <c r="DN17" s="210" t="inlineStr">
        <is>
          <t>N/A</t>
        </is>
      </c>
      <c r="DO17" s="210" t="inlineStr">
        <is>
          <t>N/A</t>
        </is>
      </c>
      <c r="DP17" s="210" t="inlineStr">
        <is>
          <t>N/A</t>
        </is>
      </c>
      <c r="DQ17" s="210" t="inlineStr">
        <is>
          <t>N/A</t>
        </is>
      </c>
      <c r="DR17" s="212" t="n"/>
      <c r="DS17" s="212" t="n"/>
      <c r="DT17" s="212" t="n"/>
      <c r="DU17" s="212" t="n"/>
      <c r="DV17" s="212" t="n"/>
      <c r="DW17" s="212" t="n"/>
      <c r="DX17" s="212" t="n"/>
      <c r="DY17" s="212" t="n"/>
      <c r="DZ17" s="212" t="n"/>
      <c r="EA17" s="212" t="n"/>
      <c r="EB17" s="212" t="n"/>
      <c r="EC17" s="212" t="n"/>
      <c r="ED17" s="212" t="n"/>
      <c r="EE17" s="212" t="n"/>
      <c r="EF17" s="212" t="n"/>
      <c r="EG17" s="212" t="n"/>
      <c r="EH17" s="212" t="n"/>
      <c r="EI17" s="212" t="n"/>
      <c r="EJ17" s="212" t="n"/>
      <c r="EK17" s="212" t="n"/>
      <c r="EL17" s="212" t="n"/>
      <c r="EM17" s="212" t="n"/>
      <c r="EN17" s="212" t="n"/>
      <c r="EO17" s="212" t="n"/>
      <c r="EP17" s="212" t="n"/>
      <c r="EQ17" s="212" t="n"/>
      <c r="ER17" s="212" t="n"/>
      <c r="ES17" s="212" t="n"/>
      <c r="ET17" s="212" t="n"/>
      <c r="EU17" s="212" t="n"/>
      <c r="EV17" s="212" t="n"/>
      <c r="EW17" s="212" t="n"/>
      <c r="EX17" s="212" t="n"/>
      <c r="EY17" s="212" t="n"/>
      <c r="EZ17" s="212" t="n"/>
      <c r="FA17" s="212" t="n"/>
      <c r="FB17" s="212" t="n"/>
      <c r="FC17" s="212" t="n"/>
      <c r="FD17" s="212" t="n"/>
      <c r="FE17" s="212" t="n"/>
      <c r="FF17" s="212" t="n"/>
      <c r="FG17" s="212" t="n"/>
      <c r="FH17" s="212" t="n"/>
      <c r="FI17" s="212" t="n"/>
      <c r="FJ17" s="212" t="n"/>
      <c r="FK17" s="212" t="n"/>
      <c r="FL17" s="212" t="n"/>
      <c r="FM17" s="212" t="n"/>
      <c r="FN17" s="212" t="n"/>
      <c r="FO17" s="212" t="n"/>
      <c r="FP17" s="212" t="n"/>
      <c r="FQ17" s="212" t="n"/>
      <c r="FR17" s="212" t="n"/>
      <c r="FS17" s="212" t="n"/>
      <c r="FT17" s="212" t="n"/>
      <c r="FU17" s="212" t="n"/>
      <c r="FV17" s="212" t="n"/>
      <c r="FW17" s="212" t="n"/>
      <c r="FX17" s="212" t="n"/>
      <c r="FY17" s="212" t="n"/>
      <c r="FZ17" s="212" t="n"/>
      <c r="GA17" s="212" t="n"/>
      <c r="GB17" s="212" t="n"/>
      <c r="GC17" s="212" t="n"/>
      <c r="GD17" s="212" t="n"/>
      <c r="GE17" s="212" t="n"/>
      <c r="GF17" s="212" t="n"/>
      <c r="GG17" s="212" t="n"/>
      <c r="GH17" s="212" t="n"/>
      <c r="GI17" s="212" t="n"/>
      <c r="GJ17" s="212" t="n"/>
      <c r="GK17" s="212" t="n"/>
      <c r="GL17" s="212" t="n"/>
      <c r="GM17" s="212" t="n"/>
      <c r="GN17" s="212" t="n"/>
      <c r="GO17" s="212" t="n"/>
      <c r="GP17" s="212" t="n"/>
      <c r="GQ17" s="212" t="n"/>
      <c r="GR17" s="212" t="n"/>
      <c r="GS17" s="212" t="n"/>
      <c r="GT17" s="212" t="n"/>
      <c r="GU17" s="212" t="n"/>
      <c r="GV17" s="212" t="n"/>
      <c r="GW17" s="212" t="n"/>
      <c r="GX17" s="212" t="n"/>
      <c r="GY17" s="212" t="n"/>
      <c r="GZ17" s="212" t="n"/>
      <c r="HA17" s="212" t="n"/>
      <c r="HB17" s="212" t="n"/>
      <c r="HC17" s="212" t="n"/>
      <c r="HD17" s="212" t="n"/>
      <c r="HE17" s="212" t="n"/>
      <c r="HF17" s="212" t="n"/>
      <c r="HG17" s="212" t="n"/>
      <c r="HH17" s="212" t="n"/>
      <c r="HI17" s="212" t="n"/>
      <c r="HJ17" s="212" t="n"/>
      <c r="HK17" s="212" t="n"/>
      <c r="HL17" s="212" t="n"/>
      <c r="HM17" s="212" t="n"/>
      <c r="HN17" s="212" t="n"/>
      <c r="HO17" s="212" t="n"/>
      <c r="HP17" s="212" t="n"/>
      <c r="HQ17" s="212" t="n"/>
      <c r="HR17" s="212" t="n"/>
      <c r="HS17" s="212" t="n"/>
      <c r="HT17" s="212" t="n"/>
      <c r="HU17" s="212" t="n"/>
      <c r="HV17" s="212" t="n"/>
      <c r="HW17" s="212" t="n"/>
      <c r="HX17" s="212" t="n"/>
      <c r="HY17" s="212" t="n"/>
      <c r="HZ17" s="212" t="n"/>
      <c r="IA17" s="212" t="n"/>
      <c r="IB17" s="212" t="n"/>
      <c r="IC17" s="212" t="n"/>
      <c r="ID17" s="212" t="n"/>
      <c r="IE17" s="212" t="n"/>
      <c r="IF17" s="212" t="n"/>
      <c r="IG17" s="212" t="n"/>
      <c r="IH17" s="212" t="n"/>
      <c r="II17" s="212" t="n"/>
      <c r="IJ17" s="212" t="n"/>
      <c r="IK17" s="212" t="n"/>
      <c r="IL17" s="212" t="n"/>
      <c r="IM17" s="212" t="n"/>
      <c r="IN17" s="212" t="n"/>
      <c r="IO17" s="212" t="n"/>
      <c r="IP17" s="212" t="n"/>
      <c r="IQ17" s="212" t="n"/>
      <c r="IR17" s="212" t="n"/>
      <c r="IS17" s="212" t="n"/>
      <c r="IT17" s="212" t="n"/>
      <c r="IU17" s="212" t="n"/>
      <c r="IV17" s="212" t="n"/>
      <c r="IW17" s="212" t="n"/>
      <c r="IX17" s="212" t="n"/>
      <c r="IY17" s="212" t="n"/>
      <c r="IZ17" s="212" t="n"/>
      <c r="JA17" s="212" t="n"/>
      <c r="JB17" s="212" t="n"/>
      <c r="JC17" s="212" t="n"/>
      <c r="JD17" s="212" t="n"/>
      <c r="JE17" s="212" t="n"/>
      <c r="JF17" s="212" t="n"/>
      <c r="JG17" s="212" t="n"/>
      <c r="JH17" s="212" t="n"/>
      <c r="JI17" s="212" t="n"/>
      <c r="JJ17" s="212" t="n"/>
      <c r="JK17" s="212" t="n"/>
      <c r="JL17" s="212" t="n"/>
      <c r="JM17" s="212" t="n"/>
      <c r="JN17" s="212" t="n"/>
      <c r="JO17" s="212" t="n"/>
      <c r="JP17" s="212" t="n"/>
      <c r="JQ17" s="212" t="n"/>
      <c r="JR17" s="212" t="n"/>
      <c r="JS17" s="212" t="n"/>
      <c r="JT17" s="212" t="n"/>
      <c r="JU17" s="212" t="n"/>
      <c r="JV17" s="212" t="n"/>
      <c r="JW17" s="212" t="n"/>
      <c r="JX17" s="212" t="n"/>
      <c r="JY17" s="212" t="n"/>
      <c r="JZ17" s="212" t="n"/>
      <c r="KA17" s="212" t="n"/>
      <c r="KB17" s="212" t="n"/>
      <c r="KC17" s="212" t="n"/>
      <c r="KD17" s="212" t="n"/>
      <c r="KE17" s="212" t="n"/>
      <c r="KF17" s="212" t="n"/>
      <c r="KG17" s="212" t="n"/>
      <c r="KH17" s="212" t="n"/>
      <c r="KI17" s="212" t="n"/>
      <c r="KJ17" s="212" t="n"/>
      <c r="KK17" s="212" t="n"/>
      <c r="KL17" s="212" t="n"/>
      <c r="KM17" s="212" t="n"/>
      <c r="KN17" s="212" t="n"/>
      <c r="KO17" s="212" t="n"/>
      <c r="KP17" s="212" t="n"/>
      <c r="KQ17" s="212" t="n"/>
      <c r="KR17" s="212" t="n"/>
      <c r="KS17" s="212" t="n"/>
      <c r="KT17" s="212" t="n"/>
      <c r="KU17" s="212" t="n"/>
      <c r="KV17" s="212" t="n"/>
      <c r="KW17" s="212" t="n"/>
      <c r="KX17" s="212" t="n"/>
      <c r="KY17" s="212" t="n"/>
      <c r="KZ17" s="212" t="n"/>
      <c r="LA17" s="212" t="n"/>
      <c r="LB17" s="212" t="n"/>
      <c r="LC17" s="212" t="n"/>
      <c r="LD17" s="212" t="n"/>
      <c r="LE17" s="212" t="n"/>
      <c r="LF17" s="212" t="n"/>
      <c r="LG17" s="212" t="n"/>
      <c r="LH17" s="212" t="n"/>
      <c r="LI17" s="212" t="n"/>
      <c r="LJ17" s="212" t="n"/>
      <c r="LK17" s="212" t="n"/>
      <c r="LL17" s="212" t="n"/>
      <c r="LM17" s="212" t="n"/>
      <c r="LN17" s="212" t="n"/>
      <c r="LO17" s="212" t="n"/>
      <c r="LP17" s="212" t="n"/>
      <c r="LQ17" s="212" t="n"/>
      <c r="LR17" s="212" t="n"/>
      <c r="LS17" s="212" t="n"/>
      <c r="LT17" s="212" t="n"/>
      <c r="LU17" s="212" t="n"/>
      <c r="LV17" s="212" t="n"/>
      <c r="LW17" s="212" t="n"/>
      <c r="LX17" s="212" t="n"/>
      <c r="LY17" s="212" t="n"/>
      <c r="LZ17" s="212" t="n"/>
      <c r="MA17" s="212" t="n"/>
      <c r="MB17" s="212" t="n"/>
      <c r="MC17" s="212" t="n"/>
      <c r="MD17" s="212" t="n"/>
      <c r="ME17" s="212" t="n"/>
      <c r="MF17" s="212" t="n"/>
      <c r="MG17" s="212" t="n"/>
      <c r="MH17" s="212" t="n"/>
      <c r="MI17" s="212" t="n"/>
      <c r="MJ17" s="212" t="n"/>
      <c r="MK17" s="212" t="n"/>
      <c r="ML17" s="212" t="n"/>
      <c r="MM17" s="212" t="n"/>
      <c r="MN17" s="212" t="n"/>
      <c r="MO17" s="212" t="n"/>
      <c r="MP17" s="212" t="n"/>
      <c r="MQ17" s="212" t="n"/>
      <c r="MR17" s="212" t="n"/>
      <c r="MS17" s="212" t="n"/>
      <c r="MT17" s="212" t="n"/>
      <c r="MU17" s="212" t="n"/>
      <c r="MV17" s="212" t="n"/>
      <c r="MW17" s="212" t="n"/>
      <c r="MX17" s="212" t="n"/>
      <c r="MY17" s="212" t="n"/>
      <c r="MZ17" s="212" t="n"/>
      <c r="NA17" s="212" t="n"/>
      <c r="NB17" s="212" t="n"/>
      <c r="NC17" s="212" t="n"/>
      <c r="ND17" s="212" t="n"/>
      <c r="NE17" s="212" t="n"/>
      <c r="NF17" s="212" t="n"/>
      <c r="NG17" s="212" t="n"/>
      <c r="NH17" s="212" t="n"/>
      <c r="NI17" s="212" t="n"/>
      <c r="NJ17" s="212" t="n"/>
      <c r="NK17" s="212" t="n"/>
      <c r="NL17" s="212" t="n"/>
      <c r="NM17" s="212" t="n"/>
      <c r="NN17" s="212" t="n"/>
      <c r="NO17" s="212" t="n"/>
      <c r="NP17" s="212" t="n"/>
      <c r="NQ17" s="212" t="n"/>
      <c r="NR17" s="212" t="n"/>
      <c r="NS17" s="212" t="n"/>
      <c r="NT17" s="212" t="n"/>
      <c r="NU17" s="212" t="n"/>
      <c r="NV17" s="212" t="n"/>
      <c r="NW17" s="212" t="n"/>
      <c r="NX17" s="212" t="n"/>
      <c r="NY17" s="212" t="n"/>
      <c r="NZ17" s="212" t="n"/>
      <c r="OA17" s="212" t="n"/>
      <c r="OB17" s="212" t="n"/>
      <c r="OC17" s="212" t="n"/>
      <c r="OD17" s="212" t="n"/>
      <c r="OE17" s="212" t="n"/>
      <c r="OF17" s="212" t="n"/>
      <c r="OG17" s="212" t="n"/>
      <c r="OH17" s="212" t="n"/>
      <c r="OI17" s="212" t="n"/>
      <c r="OJ17" s="212" t="n"/>
      <c r="OK17" s="212" t="n"/>
      <c r="OL17" s="212" t="n"/>
      <c r="OM17" s="212" t="n"/>
      <c r="ON17" s="212" t="n"/>
      <c r="OO17" s="212" t="n"/>
      <c r="OP17" s="212" t="n"/>
      <c r="OQ17" s="212" t="n"/>
      <c r="OR17" s="212" t="n"/>
      <c r="OS17" s="212" t="n"/>
      <c r="OT17" s="212" t="n"/>
      <c r="OU17" s="212" t="n"/>
      <c r="OV17" s="212" t="n"/>
      <c r="OW17" s="212" t="n"/>
      <c r="OX17" s="212" t="n"/>
      <c r="OY17" s="212" t="n"/>
      <c r="OZ17" s="212" t="n"/>
      <c r="PA17" s="212" t="n"/>
      <c r="PB17" s="212" t="n"/>
      <c r="PC17" s="212" t="n"/>
      <c r="PD17" s="212" t="n"/>
      <c r="PE17" s="212" t="n"/>
      <c r="PF17" s="212" t="n"/>
      <c r="PG17" s="212" t="n"/>
      <c r="PH17" s="212" t="n"/>
      <c r="PI17" s="212" t="n"/>
      <c r="PJ17" s="212" t="n"/>
      <c r="PK17" s="212" t="n"/>
      <c r="PL17" s="212" t="n"/>
      <c r="PM17" s="212" t="n"/>
      <c r="PN17" s="212" t="n"/>
      <c r="PO17" s="212" t="n"/>
      <c r="PP17" s="212" t="n"/>
      <c r="PQ17" s="212" t="n"/>
      <c r="PR17" s="212" t="n"/>
      <c r="PS17" s="212" t="n"/>
      <c r="PT17" s="212" t="n"/>
      <c r="PU17" s="212" t="n"/>
      <c r="PV17" s="212" t="n"/>
      <c r="PW17" s="212" t="n"/>
      <c r="PX17" s="212" t="n"/>
      <c r="PY17" s="212" t="n"/>
      <c r="PZ17" s="212" t="n"/>
      <c r="QA17" s="212" t="n"/>
      <c r="QB17" s="212" t="n"/>
      <c r="QC17" s="212" t="n"/>
      <c r="QD17" s="212" t="n"/>
      <c r="QE17" s="212" t="n"/>
      <c r="QF17" s="212" t="n"/>
      <c r="QG17" s="212" t="n"/>
      <c r="QH17" s="212" t="n"/>
      <c r="QI17" s="212" t="n"/>
      <c r="QJ17" s="212" t="n"/>
      <c r="QK17" s="212" t="n"/>
      <c r="QL17" s="212" t="n"/>
      <c r="QM17" s="212" t="n"/>
      <c r="QN17" s="212" t="n"/>
      <c r="QO17" s="212" t="n"/>
      <c r="QP17" s="212" t="n"/>
      <c r="QQ17" s="212" t="n"/>
      <c r="QR17" s="212" t="n"/>
      <c r="QS17" s="212" t="n"/>
      <c r="QT17" s="212" t="n"/>
      <c r="QU17" s="212" t="n"/>
      <c r="QV17" s="212" t="n"/>
      <c r="QW17" s="212" t="n"/>
      <c r="QX17" s="212" t="n"/>
      <c r="QY17" s="212" t="n"/>
      <c r="QZ17" s="212" t="n"/>
      <c r="RA17" s="212" t="n"/>
      <c r="RB17" s="212" t="n"/>
      <c r="RC17" s="212" t="n"/>
      <c r="RD17" s="212" t="n"/>
      <c r="RE17" s="212" t="n"/>
      <c r="RF17" s="212" t="n"/>
      <c r="RG17" s="212" t="n"/>
      <c r="RH17" s="212" t="n"/>
      <c r="RI17" s="212" t="n"/>
      <c r="RJ17" s="212" t="n"/>
      <c r="RK17" s="212" t="n"/>
      <c r="RL17" s="212" t="n"/>
      <c r="RM17" s="212" t="n"/>
      <c r="RN17" s="212" t="n"/>
      <c r="RO17" s="212" t="n"/>
      <c r="RP17" s="212" t="n"/>
      <c r="RQ17" s="212" t="n"/>
      <c r="RR17" s="212" t="n"/>
      <c r="RS17" s="212" t="n"/>
      <c r="RT17" s="212" t="n"/>
      <c r="RU17" s="212" t="n"/>
      <c r="RV17" s="212" t="n"/>
      <c r="RW17" s="212" t="n"/>
      <c r="RX17" s="212" t="n"/>
      <c r="RY17" s="212" t="n"/>
      <c r="RZ17" s="212" t="n"/>
      <c r="SA17" s="212" t="n"/>
      <c r="SB17" s="212" t="n"/>
      <c r="SC17" s="212" t="n"/>
      <c r="SD17" s="212" t="n"/>
      <c r="SE17" s="212" t="n"/>
      <c r="SF17" s="212" t="n"/>
      <c r="SG17" s="212" t="n"/>
      <c r="SH17" s="212" t="n"/>
      <c r="SI17" s="212" t="n"/>
      <c r="SJ17" s="212" t="n"/>
      <c r="SK17" s="212" t="n"/>
      <c r="SL17" s="212" t="n"/>
      <c r="SM17" s="212" t="n"/>
      <c r="SN17" s="212" t="n"/>
      <c r="SO17" s="212" t="n"/>
      <c r="SP17" s="212" t="n"/>
      <c r="SQ17" s="212" t="n"/>
      <c r="SR17" s="212" t="n"/>
      <c r="SS17" s="212" t="n"/>
      <c r="ST17" s="212" t="n"/>
      <c r="SU17" s="212" t="n"/>
      <c r="SV17" s="212" t="n"/>
    </row>
    <row r="18">
      <c r="B18" s="209" t="n"/>
      <c r="C18" s="209" t="n"/>
      <c r="D18" s="209" t="n"/>
      <c r="E18" s="209" t="n"/>
      <c r="F18" s="209">
        <f>IF(TRIM(D18&amp;E18)="","",TRIM(D18)&amp;" "&amp;TRIM(E18))</f>
        <v/>
      </c>
      <c r="G18" s="209" t="n"/>
      <c r="H18" s="209" t="n"/>
      <c r="I18" s="209" t="n"/>
      <c r="J18" s="209" t="n"/>
      <c r="K18" s="209" t="n"/>
      <c r="L18" s="209" t="n"/>
      <c r="M18" s="209" t="n"/>
      <c r="N18" s="209" t="n"/>
      <c r="O18" s="209" t="n"/>
      <c r="P18" s="209" t="n"/>
      <c r="Q18" s="209" t="n"/>
      <c r="R18" s="209" t="n"/>
      <c r="S18" s="212" t="n"/>
      <c r="T18" s="212" t="n"/>
      <c r="U18" s="212" t="n"/>
      <c r="V18" s="212" t="n"/>
      <c r="W18" s="212" t="n"/>
      <c r="X18" s="212" t="n"/>
      <c r="Y18" s="212" t="n"/>
      <c r="Z18" s="212" t="n"/>
      <c r="AA18" s="212" t="n"/>
      <c r="AB18" s="212" t="n"/>
      <c r="AC18" s="212" t="n"/>
      <c r="AD18" s="212" t="n"/>
      <c r="AE18" s="212" t="n"/>
      <c r="AF18" s="212" t="n"/>
      <c r="AG18" s="212" t="n"/>
      <c r="AH18" s="212" t="n"/>
      <c r="AI18" s="212" t="n"/>
      <c r="AJ18" s="212" t="n"/>
      <c r="AK18" s="212" t="n"/>
      <c r="AL18" s="212" t="n"/>
      <c r="AM18" s="212" t="n"/>
      <c r="AN18" s="212" t="n"/>
      <c r="AO18" s="212" t="n"/>
      <c r="AP18" s="212" t="n"/>
      <c r="AQ18" s="212" t="n"/>
      <c r="AR18" s="212" t="n"/>
      <c r="AS18" s="212" t="n"/>
      <c r="AT18" s="212" t="n"/>
      <c r="AU18" s="212" t="n"/>
      <c r="AV18" s="212" t="n"/>
      <c r="AW18" s="212" t="n"/>
      <c r="AX18" s="212" t="n"/>
      <c r="AY18" s="212" t="n"/>
      <c r="AZ18" s="212" t="n"/>
      <c r="BA18" s="212" t="n"/>
      <c r="BB18" s="212" t="n"/>
      <c r="BC18" s="212" t="n"/>
      <c r="BD18" s="212" t="n"/>
      <c r="BE18" s="212" t="n"/>
      <c r="BF18" s="212" t="n"/>
      <c r="BG18" s="212" t="n"/>
      <c r="BH18" s="212" t="n"/>
      <c r="BI18" s="212" t="n"/>
      <c r="BJ18" s="212" t="n"/>
      <c r="BK18" s="212" t="n"/>
      <c r="BL18" s="212" t="n"/>
      <c r="BM18" s="212" t="n"/>
      <c r="BN18" s="212" t="n"/>
      <c r="BO18" s="212" t="n"/>
      <c r="BP18" s="212" t="n"/>
      <c r="BQ18" s="212" t="n"/>
      <c r="BR18" s="212" t="n"/>
      <c r="BS18" s="212" t="n"/>
      <c r="BT18" s="212" t="n"/>
      <c r="BU18" s="212" t="n"/>
      <c r="BV18" s="212" t="n"/>
      <c r="BW18" s="212" t="n"/>
      <c r="BX18" s="212" t="n"/>
      <c r="BY18" s="212" t="n"/>
      <c r="BZ18" s="212" t="n"/>
      <c r="CA18" s="212" t="n"/>
      <c r="CB18" s="212" t="n"/>
      <c r="CC18" s="212" t="n"/>
      <c r="CD18" s="212" t="n"/>
      <c r="CE18" s="212" t="n"/>
      <c r="CF18" s="212" t="n"/>
      <c r="CG18" s="212" t="n"/>
      <c r="CH18" s="212" t="n"/>
      <c r="CI18" s="212" t="n"/>
      <c r="CJ18" s="212" t="n"/>
      <c r="CK18" s="212" t="n"/>
      <c r="CL18" s="212" t="n"/>
      <c r="CM18" s="212" t="n"/>
      <c r="CN18" s="212" t="n"/>
      <c r="CO18" s="212" t="n"/>
      <c r="CP18" s="212" t="n"/>
      <c r="CQ18" s="212" t="n"/>
      <c r="CR18" s="212" t="n"/>
      <c r="CS18" s="212" t="n"/>
      <c r="CT18" s="212" t="n"/>
      <c r="CU18" s="212" t="n"/>
      <c r="CV18" s="212" t="n"/>
      <c r="CW18" s="212" t="n"/>
      <c r="CX18" s="212" t="n"/>
      <c r="CY18" s="212" t="n"/>
      <c r="CZ18" s="212" t="n"/>
      <c r="DA18" s="212" t="n"/>
      <c r="DB18" s="212" t="n"/>
      <c r="DC18" s="212" t="n"/>
      <c r="DD18" s="212" t="n"/>
      <c r="DE18" s="212" t="n"/>
      <c r="DF18" s="212" t="n"/>
      <c r="DG18" s="212" t="n"/>
      <c r="DH18" s="212" t="n"/>
      <c r="DI18" s="212" t="n"/>
      <c r="DJ18" s="212" t="n"/>
      <c r="DK18" s="212" t="n"/>
      <c r="DL18" s="212" t="n"/>
      <c r="DM18" s="212" t="n"/>
      <c r="DN18" s="212" t="n"/>
      <c r="DO18" s="212" t="n"/>
      <c r="DP18" s="212" t="n"/>
      <c r="DQ18" s="212" t="n"/>
      <c r="DR18" s="212" t="n"/>
      <c r="DS18" s="212" t="n"/>
      <c r="DT18" s="212" t="n"/>
      <c r="DU18" s="212" t="n"/>
      <c r="DV18" s="212" t="n"/>
      <c r="DW18" s="212" t="n"/>
      <c r="DX18" s="212" t="n"/>
      <c r="DY18" s="212" t="n"/>
      <c r="DZ18" s="212" t="n"/>
      <c r="EA18" s="212" t="n"/>
      <c r="EB18" s="212" t="n"/>
      <c r="EC18" s="212" t="n"/>
      <c r="ED18" s="212" t="n"/>
      <c r="EE18" s="212" t="n"/>
      <c r="EF18" s="212" t="n"/>
      <c r="EG18" s="212" t="n"/>
      <c r="EH18" s="212" t="n"/>
      <c r="EI18" s="212" t="n"/>
      <c r="EJ18" s="212" t="n"/>
      <c r="EK18" s="212" t="n"/>
      <c r="EL18" s="212" t="n"/>
      <c r="EM18" s="212" t="n"/>
      <c r="EN18" s="212" t="n"/>
      <c r="EO18" s="212" t="n"/>
      <c r="EP18" s="212" t="n"/>
      <c r="EQ18" s="212" t="n"/>
      <c r="ER18" s="212" t="n"/>
      <c r="ES18" s="212" t="n"/>
      <c r="ET18" s="212" t="n"/>
      <c r="EU18" s="212" t="n"/>
      <c r="EV18" s="212" t="n"/>
      <c r="EW18" s="212" t="n"/>
      <c r="EX18" s="212" t="n"/>
      <c r="EY18" s="212" t="n"/>
      <c r="EZ18" s="212" t="n"/>
      <c r="FA18" s="212" t="n"/>
      <c r="FB18" s="212" t="n"/>
      <c r="FC18" s="212" t="n"/>
      <c r="FD18" s="212" t="n"/>
      <c r="FE18" s="212" t="n"/>
      <c r="FF18" s="212" t="n"/>
      <c r="FG18" s="212" t="n"/>
      <c r="FH18" s="212" t="n"/>
      <c r="FI18" s="212" t="n"/>
      <c r="FJ18" s="212" t="n"/>
      <c r="FK18" s="212" t="n"/>
      <c r="FL18" s="212" t="n"/>
      <c r="FM18" s="212" t="n"/>
      <c r="FN18" s="212" t="n"/>
      <c r="FO18" s="212" t="n"/>
      <c r="FP18" s="212" t="n"/>
      <c r="FQ18" s="212" t="n"/>
      <c r="FR18" s="212" t="n"/>
      <c r="FS18" s="212" t="n"/>
      <c r="FT18" s="212" t="n"/>
      <c r="FU18" s="212" t="n"/>
      <c r="FV18" s="212" t="n"/>
      <c r="FW18" s="212" t="n"/>
      <c r="FX18" s="212" t="n"/>
      <c r="FY18" s="212" t="n"/>
      <c r="FZ18" s="212" t="n"/>
      <c r="GA18" s="212" t="n"/>
      <c r="GB18" s="212" t="n"/>
      <c r="GC18" s="212" t="n"/>
      <c r="GD18" s="212" t="n"/>
      <c r="GE18" s="212" t="n"/>
      <c r="GF18" s="212" t="n"/>
      <c r="GG18" s="212" t="n"/>
      <c r="GH18" s="212" t="n"/>
      <c r="GI18" s="212" t="n"/>
      <c r="GJ18" s="212" t="n"/>
      <c r="GK18" s="212" t="n"/>
      <c r="GL18" s="212" t="n"/>
      <c r="GM18" s="212" t="n"/>
      <c r="GN18" s="212" t="n"/>
      <c r="GO18" s="212" t="n"/>
      <c r="GP18" s="212" t="n"/>
      <c r="GQ18" s="212" t="n"/>
      <c r="GR18" s="212" t="n"/>
      <c r="GS18" s="212" t="n"/>
      <c r="GT18" s="212" t="n"/>
      <c r="GU18" s="212" t="n"/>
      <c r="GV18" s="212" t="n"/>
      <c r="GW18" s="212" t="n"/>
      <c r="GX18" s="212" t="n"/>
      <c r="GY18" s="212" t="n"/>
      <c r="GZ18" s="212" t="n"/>
      <c r="HA18" s="212" t="n"/>
      <c r="HB18" s="212" t="n"/>
      <c r="HC18" s="212" t="n"/>
      <c r="HD18" s="212" t="n"/>
      <c r="HE18" s="212" t="n"/>
      <c r="HF18" s="212" t="n"/>
      <c r="HG18" s="212" t="n"/>
      <c r="HH18" s="212" t="n"/>
      <c r="HI18" s="212" t="n"/>
      <c r="HJ18" s="212" t="n"/>
      <c r="HK18" s="212" t="n"/>
      <c r="HL18" s="212" t="n"/>
      <c r="HM18" s="212" t="n"/>
      <c r="HN18" s="212" t="n"/>
      <c r="HO18" s="212" t="n"/>
      <c r="HP18" s="212" t="n"/>
      <c r="HQ18" s="212" t="n"/>
      <c r="HR18" s="212" t="n"/>
      <c r="HS18" s="212" t="n"/>
      <c r="HT18" s="212" t="n"/>
      <c r="HU18" s="212" t="n"/>
      <c r="HV18" s="212" t="n"/>
      <c r="HW18" s="212" t="n"/>
      <c r="HX18" s="212" t="n"/>
      <c r="HY18" s="212" t="n"/>
      <c r="HZ18" s="212" t="n"/>
      <c r="IA18" s="212" t="n"/>
      <c r="IB18" s="212" t="n"/>
      <c r="IC18" s="212" t="n"/>
      <c r="ID18" s="212" t="n"/>
      <c r="IE18" s="212" t="n"/>
      <c r="IF18" s="212" t="n"/>
      <c r="IG18" s="212" t="n"/>
      <c r="IH18" s="212" t="n"/>
      <c r="II18" s="212" t="n"/>
      <c r="IJ18" s="212" t="n"/>
      <c r="IK18" s="212" t="n"/>
      <c r="IL18" s="212" t="n"/>
      <c r="IM18" s="212" t="n"/>
      <c r="IN18" s="212" t="n"/>
      <c r="IO18" s="212" t="n"/>
      <c r="IP18" s="212" t="n"/>
      <c r="IQ18" s="212" t="n"/>
      <c r="IR18" s="212" t="n"/>
      <c r="IS18" s="212" t="n"/>
      <c r="IT18" s="212" t="n"/>
      <c r="IU18" s="212" t="n"/>
      <c r="IV18" s="212" t="n"/>
      <c r="IW18" s="212" t="n"/>
      <c r="IX18" s="212" t="n"/>
      <c r="IY18" s="212" t="n"/>
      <c r="IZ18" s="212" t="n"/>
      <c r="JA18" s="212" t="n"/>
      <c r="JB18" s="212" t="n"/>
      <c r="JC18" s="212" t="n"/>
      <c r="JD18" s="212" t="n"/>
      <c r="JE18" s="212" t="n"/>
      <c r="JF18" s="212" t="n"/>
      <c r="JG18" s="212" t="n"/>
      <c r="JH18" s="212" t="n"/>
      <c r="JI18" s="212" t="n"/>
      <c r="JJ18" s="212" t="n"/>
      <c r="JK18" s="212" t="n"/>
      <c r="JL18" s="212" t="n"/>
      <c r="JM18" s="212" t="n"/>
      <c r="JN18" s="212" t="n"/>
      <c r="JO18" s="212" t="n"/>
      <c r="JP18" s="212" t="n"/>
      <c r="JQ18" s="212" t="n"/>
      <c r="JR18" s="212" t="n"/>
      <c r="JS18" s="212" t="n"/>
      <c r="JT18" s="212" t="n"/>
      <c r="JU18" s="212" t="n"/>
      <c r="JV18" s="212" t="n"/>
      <c r="JW18" s="212" t="n"/>
      <c r="JX18" s="212" t="n"/>
      <c r="JY18" s="212" t="n"/>
      <c r="JZ18" s="212" t="n"/>
      <c r="KA18" s="212" t="n"/>
      <c r="KB18" s="212" t="n"/>
      <c r="KC18" s="212" t="n"/>
      <c r="KD18" s="212" t="n"/>
      <c r="KE18" s="212" t="n"/>
      <c r="KF18" s="212" t="n"/>
      <c r="KG18" s="212" t="n"/>
      <c r="KH18" s="212" t="n"/>
      <c r="KI18" s="212" t="n"/>
      <c r="KJ18" s="212" t="n"/>
      <c r="KK18" s="212" t="n"/>
      <c r="KL18" s="212" t="n"/>
      <c r="KM18" s="212" t="n"/>
      <c r="KN18" s="212" t="n"/>
      <c r="KO18" s="212" t="n"/>
      <c r="KP18" s="212" t="n"/>
      <c r="KQ18" s="212" t="n"/>
      <c r="KR18" s="212" t="n"/>
      <c r="KS18" s="212" t="n"/>
      <c r="KT18" s="212" t="n"/>
      <c r="KU18" s="212" t="n"/>
      <c r="KV18" s="212" t="n"/>
      <c r="KW18" s="212" t="n"/>
      <c r="KX18" s="212" t="n"/>
      <c r="KY18" s="212" t="n"/>
      <c r="KZ18" s="212" t="n"/>
      <c r="LA18" s="212" t="n"/>
      <c r="LB18" s="212" t="n"/>
      <c r="LC18" s="212" t="n"/>
      <c r="LD18" s="212" t="n"/>
      <c r="LE18" s="212" t="n"/>
      <c r="LF18" s="212" t="n"/>
      <c r="LG18" s="212" t="n"/>
      <c r="LH18" s="212" t="n"/>
      <c r="LI18" s="212" t="n"/>
      <c r="LJ18" s="212" t="n"/>
      <c r="LK18" s="212" t="n"/>
      <c r="LL18" s="212" t="n"/>
      <c r="LM18" s="212" t="n"/>
      <c r="LN18" s="212" t="n"/>
      <c r="LO18" s="212" t="n"/>
      <c r="LP18" s="212" t="n"/>
      <c r="LQ18" s="212" t="n"/>
      <c r="LR18" s="212" t="n"/>
      <c r="LS18" s="212" t="n"/>
      <c r="LT18" s="212" t="n"/>
      <c r="LU18" s="212" t="n"/>
      <c r="LV18" s="212" t="n"/>
      <c r="LW18" s="212" t="n"/>
      <c r="LX18" s="212" t="n"/>
      <c r="LY18" s="212" t="n"/>
      <c r="LZ18" s="212" t="n"/>
      <c r="MA18" s="212" t="n"/>
      <c r="MB18" s="212" t="n"/>
      <c r="MC18" s="212" t="n"/>
      <c r="MD18" s="212" t="n"/>
      <c r="ME18" s="212" t="n"/>
      <c r="MF18" s="212" t="n"/>
      <c r="MG18" s="212" t="n"/>
      <c r="MH18" s="212" t="n"/>
      <c r="MI18" s="212" t="n"/>
      <c r="MJ18" s="212" t="n"/>
      <c r="MK18" s="212" t="n"/>
      <c r="ML18" s="212" t="n"/>
      <c r="MM18" s="212" t="n"/>
      <c r="MN18" s="212" t="n"/>
      <c r="MO18" s="212" t="n"/>
      <c r="MP18" s="212" t="n"/>
      <c r="MQ18" s="212" t="n"/>
      <c r="MR18" s="212" t="n"/>
      <c r="MS18" s="212" t="n"/>
      <c r="MT18" s="212" t="n"/>
      <c r="MU18" s="212" t="n"/>
      <c r="MV18" s="212" t="n"/>
      <c r="MW18" s="212" t="n"/>
      <c r="MX18" s="212" t="n"/>
      <c r="MY18" s="212" t="n"/>
      <c r="MZ18" s="212" t="n"/>
      <c r="NA18" s="212" t="n"/>
      <c r="NB18" s="212" t="n"/>
      <c r="NC18" s="212" t="n"/>
      <c r="ND18" s="212" t="n"/>
      <c r="NE18" s="212" t="n"/>
      <c r="NF18" s="212" t="n"/>
      <c r="NG18" s="212" t="n"/>
      <c r="NH18" s="212" t="n"/>
      <c r="NI18" s="212" t="n"/>
      <c r="NJ18" s="212" t="n"/>
      <c r="NK18" s="212" t="n"/>
      <c r="NL18" s="212" t="n"/>
      <c r="NM18" s="212" t="n"/>
      <c r="NN18" s="212" t="n"/>
      <c r="NO18" s="212" t="n"/>
      <c r="NP18" s="212" t="n"/>
      <c r="NQ18" s="212" t="n"/>
      <c r="NR18" s="212" t="n"/>
      <c r="NS18" s="212" t="n"/>
      <c r="NT18" s="212" t="n"/>
      <c r="NU18" s="212" t="n"/>
      <c r="NV18" s="212" t="n"/>
      <c r="NW18" s="212" t="n"/>
      <c r="NX18" s="212" t="n"/>
      <c r="NY18" s="212" t="n"/>
      <c r="NZ18" s="212" t="n"/>
      <c r="OA18" s="212" t="n"/>
      <c r="OB18" s="212" t="n"/>
      <c r="OC18" s="212" t="n"/>
      <c r="OD18" s="212" t="n"/>
      <c r="OE18" s="212" t="n"/>
      <c r="OF18" s="212" t="n"/>
      <c r="OG18" s="212" t="n"/>
      <c r="OH18" s="212" t="n"/>
      <c r="OI18" s="212" t="n"/>
      <c r="OJ18" s="212" t="n"/>
      <c r="OK18" s="212" t="n"/>
      <c r="OL18" s="212" t="n"/>
      <c r="OM18" s="212" t="n"/>
      <c r="ON18" s="212" t="n"/>
      <c r="OO18" s="212" t="n"/>
      <c r="OP18" s="212" t="n"/>
      <c r="OQ18" s="212" t="n"/>
      <c r="OR18" s="212" t="n"/>
      <c r="OS18" s="212" t="n"/>
      <c r="OT18" s="212" t="n"/>
      <c r="OU18" s="212" t="n"/>
      <c r="OV18" s="212" t="n"/>
      <c r="OW18" s="212" t="n"/>
      <c r="OX18" s="212" t="n"/>
      <c r="OY18" s="212" t="n"/>
      <c r="OZ18" s="212" t="n"/>
      <c r="PA18" s="212" t="n"/>
      <c r="PB18" s="212" t="n"/>
      <c r="PC18" s="212" t="n"/>
      <c r="PD18" s="212" t="n"/>
      <c r="PE18" s="212" t="n"/>
      <c r="PF18" s="212" t="n"/>
      <c r="PG18" s="212" t="n"/>
      <c r="PH18" s="212" t="n"/>
      <c r="PI18" s="212" t="n"/>
      <c r="PJ18" s="212" t="n"/>
      <c r="PK18" s="212" t="n"/>
      <c r="PL18" s="212" t="n"/>
      <c r="PM18" s="212" t="n"/>
      <c r="PN18" s="212" t="n"/>
      <c r="PO18" s="212" t="n"/>
      <c r="PP18" s="212" t="n"/>
      <c r="PQ18" s="212" t="n"/>
      <c r="PR18" s="212" t="n"/>
      <c r="PS18" s="212" t="n"/>
      <c r="PT18" s="212" t="n"/>
      <c r="PU18" s="212" t="n"/>
      <c r="PV18" s="212" t="n"/>
      <c r="PW18" s="212" t="n"/>
      <c r="PX18" s="212" t="n"/>
      <c r="PY18" s="212" t="n"/>
      <c r="PZ18" s="212" t="n"/>
      <c r="QA18" s="212" t="n"/>
      <c r="QB18" s="212" t="n"/>
      <c r="QC18" s="212" t="n"/>
      <c r="QD18" s="212" t="n"/>
      <c r="QE18" s="212" t="n"/>
      <c r="QF18" s="212" t="n"/>
      <c r="QG18" s="212" t="n"/>
      <c r="QH18" s="212" t="n"/>
      <c r="QI18" s="212" t="n"/>
      <c r="QJ18" s="212" t="n"/>
      <c r="QK18" s="212" t="n"/>
      <c r="QL18" s="212" t="n"/>
      <c r="QM18" s="212" t="n"/>
      <c r="QN18" s="212" t="n"/>
      <c r="QO18" s="212" t="n"/>
      <c r="QP18" s="212" t="n"/>
      <c r="QQ18" s="212" t="n"/>
      <c r="QR18" s="212" t="n"/>
      <c r="QS18" s="212" t="n"/>
      <c r="QT18" s="212" t="n"/>
      <c r="QU18" s="212" t="n"/>
      <c r="QV18" s="212" t="n"/>
      <c r="QW18" s="212" t="n"/>
      <c r="QX18" s="212" t="n"/>
      <c r="QY18" s="212" t="n"/>
      <c r="QZ18" s="212" t="n"/>
      <c r="RA18" s="212" t="n"/>
      <c r="RB18" s="212" t="n"/>
      <c r="RC18" s="212" t="n"/>
      <c r="RD18" s="212" t="n"/>
      <c r="RE18" s="212" t="n"/>
      <c r="RF18" s="212" t="n"/>
      <c r="RG18" s="212" t="n"/>
      <c r="RH18" s="212" t="n"/>
      <c r="RI18" s="212" t="n"/>
      <c r="RJ18" s="212" t="n"/>
      <c r="RK18" s="212" t="n"/>
      <c r="RL18" s="212" t="n"/>
      <c r="RM18" s="212" t="n"/>
      <c r="RN18" s="212" t="n"/>
      <c r="RO18" s="212" t="n"/>
      <c r="RP18" s="212" t="n"/>
      <c r="RQ18" s="212" t="n"/>
      <c r="RR18" s="212" t="n"/>
      <c r="RS18" s="212" t="n"/>
      <c r="RT18" s="212" t="n"/>
      <c r="RU18" s="212" t="n"/>
      <c r="RV18" s="212" t="n"/>
      <c r="RW18" s="212" t="n"/>
      <c r="RX18" s="212" t="n"/>
      <c r="RY18" s="212" t="n"/>
      <c r="RZ18" s="212" t="n"/>
      <c r="SA18" s="212" t="n"/>
      <c r="SB18" s="212" t="n"/>
      <c r="SC18" s="212" t="n"/>
      <c r="SD18" s="212" t="n"/>
      <c r="SE18" s="212" t="n"/>
      <c r="SF18" s="212" t="n"/>
      <c r="SG18" s="212" t="n"/>
      <c r="SH18" s="212" t="n"/>
      <c r="SI18" s="212" t="n"/>
      <c r="SJ18" s="212" t="n"/>
      <c r="SK18" s="212" t="n"/>
      <c r="SL18" s="212" t="n"/>
      <c r="SM18" s="212" t="n"/>
      <c r="SN18" s="212" t="n"/>
      <c r="SO18" s="212" t="n"/>
      <c r="SP18" s="212" t="n"/>
      <c r="SQ18" s="212" t="n"/>
      <c r="SR18" s="212" t="n"/>
      <c r="SS18" s="212" t="n"/>
      <c r="ST18" s="212" t="n"/>
      <c r="SU18" s="212" t="n"/>
      <c r="SV18" s="212" t="n"/>
    </row>
    <row r="19">
      <c r="B19" s="207" t="n"/>
      <c r="C19" s="207" t="inlineStr">
        <is>
          <t>Roster A  - Civil Team 1   (4x)</t>
        </is>
      </c>
      <c r="D19" s="207" t="n"/>
      <c r="E19" s="207" t="n"/>
      <c r="F19" s="207">
        <f>IF(TRIM(D19&amp;E19)="","",TRIM(D19)&amp;" "&amp;TRIM(E19))</f>
        <v/>
      </c>
      <c r="G19" s="207" t="n"/>
      <c r="H19" s="207" t="n"/>
      <c r="I19" s="207" t="n"/>
      <c r="J19" s="207" t="n"/>
      <c r="K19" s="207" t="n"/>
      <c r="L19" s="207" t="n"/>
      <c r="M19" s="207" t="n"/>
      <c r="N19" s="207" t="n"/>
      <c r="O19" s="207" t="n"/>
      <c r="P19" s="207" t="n"/>
      <c r="Q19" s="207" t="n"/>
      <c r="R19" s="207" t="n"/>
      <c r="S19" s="208" t="n"/>
      <c r="T19" s="208" t="n"/>
      <c r="U19" s="208" t="n"/>
      <c r="V19" s="208" t="n"/>
      <c r="W19" s="208" t="n"/>
      <c r="X19" s="208" t="n"/>
      <c r="Y19" s="208" t="n"/>
      <c r="Z19" s="208" t="n"/>
      <c r="AA19" s="208" t="n"/>
      <c r="AB19" s="208" t="n"/>
      <c r="AC19" s="208" t="n"/>
      <c r="AD19" s="208" t="n"/>
      <c r="AE19" s="208" t="n"/>
      <c r="AF19" s="208" t="n"/>
      <c r="AG19" s="208" t="n"/>
      <c r="AH19" s="208" t="n"/>
      <c r="AI19" s="208" t="n"/>
      <c r="AJ19" s="208" t="n"/>
      <c r="AK19" s="208" t="n"/>
      <c r="AL19" s="208" t="n"/>
      <c r="AM19" s="208" t="n"/>
      <c r="AN19" s="208" t="n"/>
      <c r="AO19" s="208" t="n"/>
      <c r="AP19" s="208" t="n"/>
      <c r="AQ19" s="208" t="n"/>
      <c r="AR19" s="208" t="n"/>
      <c r="AS19" s="208" t="n"/>
      <c r="AT19" s="208" t="n"/>
      <c r="AU19" s="208" t="n"/>
      <c r="AV19" s="208" t="n"/>
      <c r="AW19" s="208" t="n"/>
      <c r="AX19" s="208" t="n"/>
      <c r="AY19" s="208" t="n"/>
      <c r="AZ19" s="208" t="n"/>
      <c r="BA19" s="208" t="n"/>
      <c r="BB19" s="208" t="n"/>
      <c r="BC19" s="208" t="n"/>
      <c r="BD19" s="208" t="n"/>
      <c r="BE19" s="208" t="n"/>
      <c r="BF19" s="208" t="n"/>
      <c r="BG19" s="208" t="n"/>
      <c r="BH19" s="208" t="n"/>
      <c r="BI19" s="208" t="n"/>
      <c r="BJ19" s="208" t="n"/>
      <c r="BK19" s="208" t="n"/>
      <c r="BL19" s="208" t="n"/>
      <c r="BM19" s="208" t="n"/>
      <c r="BN19" s="208" t="n"/>
      <c r="BO19" s="208" t="n"/>
      <c r="BP19" s="208" t="n"/>
      <c r="BQ19" s="208" t="n"/>
      <c r="BR19" s="208" t="n"/>
      <c r="BS19" s="208" t="n"/>
      <c r="BT19" s="208" t="n"/>
      <c r="BU19" s="208" t="n"/>
      <c r="BV19" s="208" t="n"/>
      <c r="BW19" s="208" t="n"/>
      <c r="BX19" s="208" t="n"/>
      <c r="BY19" s="208" t="n"/>
      <c r="BZ19" s="208" t="n"/>
      <c r="CA19" s="208" t="n"/>
      <c r="CB19" s="208" t="n"/>
      <c r="CC19" s="208" t="n"/>
      <c r="CD19" s="208" t="n"/>
      <c r="CE19" s="208" t="n"/>
      <c r="CF19" s="208" t="n"/>
      <c r="CG19" s="208" t="n"/>
      <c r="CH19" s="208" t="n"/>
      <c r="CI19" s="208" t="n"/>
      <c r="CJ19" s="208" t="n"/>
      <c r="CK19" s="208" t="n"/>
      <c r="CL19" s="208" t="n"/>
      <c r="CM19" s="208" t="n"/>
      <c r="CN19" s="208" t="n"/>
      <c r="CO19" s="208" t="n"/>
      <c r="CP19" s="208" t="n"/>
      <c r="CQ19" s="208" t="n"/>
      <c r="CR19" s="208" t="n"/>
      <c r="CS19" s="208" t="n"/>
      <c r="CT19" s="208" t="n"/>
      <c r="CU19" s="208" t="n"/>
      <c r="CV19" s="208" t="n"/>
      <c r="CW19" s="208" t="n"/>
      <c r="CX19" s="208" t="n"/>
      <c r="CY19" s="208" t="n"/>
      <c r="CZ19" s="208" t="n"/>
      <c r="DA19" s="208" t="n"/>
      <c r="DB19" s="208" t="n"/>
      <c r="DC19" s="208" t="n"/>
      <c r="DD19" s="208" t="n"/>
      <c r="DE19" s="208" t="n"/>
      <c r="DF19" s="208" t="n"/>
      <c r="DG19" s="208" t="n"/>
      <c r="DH19" s="208" t="n"/>
      <c r="DI19" s="208" t="n"/>
      <c r="DJ19" s="208" t="n"/>
      <c r="DK19" s="208" t="n"/>
      <c r="DL19" s="208" t="n"/>
      <c r="DM19" s="208" t="n"/>
      <c r="DN19" s="208" t="n"/>
      <c r="DO19" s="208" t="n"/>
      <c r="DP19" s="208" t="n"/>
      <c r="DQ19" s="208" t="n"/>
      <c r="DR19" s="208" t="n"/>
      <c r="DS19" s="208" t="n"/>
      <c r="DT19" s="208" t="n"/>
      <c r="DU19" s="208" t="n"/>
      <c r="DV19" s="208" t="n"/>
      <c r="DW19" s="208" t="n"/>
      <c r="DX19" s="208" t="n"/>
      <c r="DY19" s="208" t="n"/>
      <c r="DZ19" s="208" t="n"/>
      <c r="EA19" s="208" t="n"/>
      <c r="EB19" s="208" t="n"/>
      <c r="EC19" s="208" t="n"/>
      <c r="ED19" s="208" t="n"/>
      <c r="EE19" s="208" t="n"/>
      <c r="EF19" s="208" t="n"/>
      <c r="EG19" s="208" t="n"/>
      <c r="EH19" s="208" t="n"/>
      <c r="EI19" s="208" t="n"/>
      <c r="EJ19" s="208" t="n"/>
      <c r="EK19" s="208" t="n"/>
      <c r="EL19" s="208" t="n"/>
      <c r="EM19" s="208" t="n"/>
      <c r="EN19" s="208" t="n"/>
      <c r="EO19" s="208" t="n"/>
      <c r="EP19" s="208" t="n"/>
      <c r="EQ19" s="208" t="n"/>
      <c r="ER19" s="208" t="n"/>
      <c r="ES19" s="208" t="n"/>
      <c r="ET19" s="208" t="n"/>
      <c r="EU19" s="208" t="n"/>
      <c r="EV19" s="208" t="n"/>
      <c r="EW19" s="208" t="n"/>
      <c r="EX19" s="208" t="n"/>
      <c r="EY19" s="208" t="n"/>
      <c r="EZ19" s="208" t="n"/>
      <c r="FA19" s="208" t="n"/>
      <c r="FB19" s="208" t="n"/>
      <c r="FC19" s="208" t="n"/>
      <c r="FD19" s="208" t="n"/>
      <c r="FE19" s="208" t="n"/>
      <c r="FF19" s="208" t="n"/>
      <c r="FG19" s="208" t="n"/>
      <c r="FH19" s="208" t="n"/>
      <c r="FI19" s="208" t="n"/>
      <c r="FJ19" s="208" t="n"/>
      <c r="FK19" s="208" t="n"/>
      <c r="FL19" s="208" t="n"/>
      <c r="FM19" s="208" t="n"/>
      <c r="FN19" s="208" t="n"/>
      <c r="FO19" s="208" t="n"/>
      <c r="FP19" s="208" t="n"/>
      <c r="FQ19" s="208" t="n"/>
      <c r="FR19" s="208" t="n"/>
      <c r="FS19" s="208" t="n"/>
      <c r="FT19" s="208" t="n"/>
      <c r="FU19" s="208" t="n"/>
      <c r="FV19" s="208" t="n"/>
      <c r="FW19" s="208" t="n"/>
      <c r="FX19" s="208" t="n"/>
      <c r="FY19" s="208" t="n"/>
      <c r="FZ19" s="208" t="n"/>
      <c r="GA19" s="208" t="n"/>
      <c r="GB19" s="208" t="n"/>
      <c r="GC19" s="208" t="n"/>
      <c r="GD19" s="208" t="n"/>
      <c r="GE19" s="208" t="n"/>
      <c r="GF19" s="208" t="n"/>
      <c r="GG19" s="208" t="n"/>
      <c r="GH19" s="208" t="n"/>
      <c r="GI19" s="208" t="n"/>
      <c r="GJ19" s="208" t="n"/>
      <c r="GK19" s="208" t="n"/>
      <c r="GL19" s="208" t="n"/>
      <c r="GM19" s="208" t="n"/>
      <c r="GN19" s="208" t="n"/>
      <c r="GO19" s="208" t="n"/>
      <c r="GP19" s="208" t="n"/>
      <c r="GQ19" s="208" t="n"/>
      <c r="GR19" s="208" t="n"/>
      <c r="GS19" s="208" t="n"/>
      <c r="GT19" s="208" t="n"/>
      <c r="GU19" s="208" t="n"/>
      <c r="GV19" s="208" t="n"/>
      <c r="GW19" s="208" t="n"/>
      <c r="GX19" s="208" t="n"/>
      <c r="GY19" s="208" t="n"/>
      <c r="GZ19" s="208" t="n"/>
      <c r="HA19" s="208" t="n"/>
      <c r="HB19" s="208" t="n"/>
      <c r="HC19" s="208" t="n"/>
      <c r="HD19" s="208" t="n"/>
      <c r="HE19" s="208" t="n"/>
      <c r="HF19" s="208" t="n"/>
      <c r="HG19" s="208" t="n"/>
      <c r="HH19" s="208" t="n"/>
      <c r="HI19" s="208" t="n"/>
      <c r="HJ19" s="208" t="n"/>
      <c r="HK19" s="208" t="n"/>
      <c r="HL19" s="208" t="n"/>
      <c r="HM19" s="208" t="n"/>
      <c r="HN19" s="208" t="n"/>
      <c r="HO19" s="208" t="n"/>
      <c r="HP19" s="208" t="n"/>
      <c r="HQ19" s="208" t="n"/>
      <c r="HR19" s="208" t="n"/>
      <c r="HS19" s="208" t="n"/>
      <c r="HT19" s="208" t="n"/>
      <c r="HU19" s="208" t="n"/>
      <c r="HV19" s="208" t="n"/>
      <c r="HW19" s="208" t="n"/>
      <c r="HX19" s="208" t="n"/>
      <c r="HY19" s="208" t="n"/>
      <c r="HZ19" s="208" t="n"/>
      <c r="IA19" s="208" t="n"/>
      <c r="IB19" s="208" t="n"/>
      <c r="IC19" s="208" t="n"/>
      <c r="ID19" s="208" t="n"/>
      <c r="IE19" s="208" t="n"/>
      <c r="IF19" s="208" t="n"/>
      <c r="IG19" s="208" t="n"/>
      <c r="IH19" s="208" t="n"/>
      <c r="II19" s="208" t="n"/>
      <c r="IJ19" s="208" t="n"/>
      <c r="IK19" s="208" t="n"/>
      <c r="IL19" s="208" t="n"/>
      <c r="IM19" s="208" t="n"/>
      <c r="IN19" s="208" t="n"/>
      <c r="IO19" s="208" t="n"/>
      <c r="IP19" s="208" t="n"/>
      <c r="IQ19" s="208" t="n"/>
      <c r="IR19" s="208" t="n"/>
      <c r="IS19" s="208" t="n"/>
      <c r="IT19" s="208" t="n"/>
      <c r="IU19" s="208" t="n"/>
      <c r="IV19" s="208" t="n"/>
      <c r="IW19" s="208" t="n"/>
      <c r="IX19" s="208" t="n"/>
      <c r="IY19" s="208" t="n"/>
      <c r="IZ19" s="208" t="n"/>
      <c r="JA19" s="208" t="n"/>
      <c r="JB19" s="208" t="n"/>
      <c r="JC19" s="208" t="n"/>
      <c r="JD19" s="208" t="n"/>
      <c r="JE19" s="208" t="n"/>
      <c r="JF19" s="208" t="n"/>
      <c r="JG19" s="208" t="n"/>
      <c r="JH19" s="208" t="n"/>
      <c r="JI19" s="208" t="n"/>
      <c r="JJ19" s="208" t="n"/>
      <c r="JK19" s="208" t="n"/>
      <c r="JL19" s="208" t="n"/>
      <c r="JM19" s="208" t="n"/>
      <c r="JN19" s="208" t="n"/>
      <c r="JO19" s="208" t="n"/>
      <c r="JP19" s="208" t="n"/>
      <c r="JQ19" s="208" t="n"/>
      <c r="JR19" s="208" t="n"/>
      <c r="JS19" s="208" t="n"/>
      <c r="JT19" s="208" t="n"/>
      <c r="JU19" s="208" t="n"/>
      <c r="JV19" s="208" t="n"/>
      <c r="JW19" s="208" t="n"/>
      <c r="JX19" s="208" t="n"/>
      <c r="JY19" s="208" t="n"/>
      <c r="JZ19" s="208" t="n"/>
      <c r="KA19" s="208" t="n"/>
      <c r="KB19" s="208" t="n"/>
      <c r="KC19" s="208" t="n"/>
      <c r="KD19" s="208" t="n"/>
      <c r="KE19" s="208" t="n"/>
      <c r="KF19" s="208" t="n"/>
      <c r="KG19" s="208" t="n"/>
      <c r="KH19" s="208" t="n"/>
      <c r="KI19" s="208" t="n"/>
      <c r="KJ19" s="208" t="n"/>
      <c r="KK19" s="208" t="n"/>
      <c r="KL19" s="208" t="n"/>
      <c r="KM19" s="208" t="n"/>
      <c r="KN19" s="208" t="n"/>
      <c r="KO19" s="208" t="n"/>
      <c r="KP19" s="208" t="n"/>
      <c r="KQ19" s="208" t="n"/>
      <c r="KR19" s="208" t="n"/>
      <c r="KS19" s="208" t="n"/>
      <c r="KT19" s="208" t="n"/>
      <c r="KU19" s="208" t="n"/>
      <c r="KV19" s="208" t="n"/>
      <c r="KW19" s="208" t="n"/>
      <c r="KX19" s="208" t="n"/>
      <c r="KY19" s="208" t="n"/>
      <c r="KZ19" s="208" t="n"/>
      <c r="LA19" s="208" t="n"/>
      <c r="LB19" s="208" t="n"/>
      <c r="LC19" s="208" t="n"/>
      <c r="LD19" s="208" t="n"/>
      <c r="LE19" s="208" t="n"/>
      <c r="LF19" s="208" t="n"/>
      <c r="LG19" s="208" t="n"/>
      <c r="LH19" s="208" t="n"/>
      <c r="LI19" s="208" t="n"/>
      <c r="LJ19" s="208" t="n"/>
      <c r="LK19" s="208" t="n"/>
      <c r="LL19" s="208" t="n"/>
      <c r="LM19" s="208" t="n"/>
      <c r="LN19" s="208" t="n"/>
      <c r="LO19" s="208" t="n"/>
      <c r="LP19" s="208" t="n"/>
      <c r="LQ19" s="208" t="n"/>
      <c r="LR19" s="208" t="n"/>
      <c r="LS19" s="208" t="n"/>
      <c r="LT19" s="208" t="n"/>
      <c r="LU19" s="208" t="n"/>
      <c r="LV19" s="208" t="n"/>
      <c r="LW19" s="208" t="n"/>
      <c r="LX19" s="208" t="n"/>
      <c r="LY19" s="208" t="n"/>
      <c r="LZ19" s="208" t="n"/>
      <c r="MA19" s="208" t="n"/>
      <c r="MB19" s="208" t="n"/>
      <c r="MC19" s="208" t="n"/>
      <c r="MD19" s="208" t="n"/>
      <c r="ME19" s="208" t="n"/>
      <c r="MF19" s="208" t="n"/>
      <c r="MG19" s="208" t="n"/>
      <c r="MH19" s="208" t="n"/>
      <c r="MI19" s="208" t="n"/>
      <c r="MJ19" s="208" t="n"/>
      <c r="MK19" s="208" t="n"/>
      <c r="ML19" s="208" t="n"/>
      <c r="MM19" s="208" t="n"/>
      <c r="MN19" s="208" t="n"/>
      <c r="MO19" s="208" t="n"/>
      <c r="MP19" s="208" t="n"/>
      <c r="MQ19" s="208" t="n"/>
      <c r="MR19" s="208" t="n"/>
      <c r="MS19" s="208" t="n"/>
      <c r="MT19" s="208" t="n"/>
      <c r="MU19" s="208" t="n"/>
      <c r="MV19" s="208" t="n"/>
      <c r="MW19" s="208" t="n"/>
      <c r="MX19" s="208" t="n"/>
      <c r="MY19" s="208" t="n"/>
      <c r="MZ19" s="208" t="n"/>
      <c r="NA19" s="208" t="n"/>
      <c r="NB19" s="208" t="n"/>
      <c r="NC19" s="208" t="n"/>
      <c r="ND19" s="208" t="n"/>
      <c r="NE19" s="208" t="n"/>
      <c r="NF19" s="208" t="n"/>
      <c r="NG19" s="208" t="n"/>
      <c r="NH19" s="208" t="n"/>
      <c r="NI19" s="208" t="n"/>
      <c r="NJ19" s="208" t="n"/>
      <c r="NK19" s="208" t="n"/>
      <c r="NL19" s="208" t="n"/>
      <c r="NM19" s="208" t="n"/>
      <c r="NN19" s="208" t="n"/>
      <c r="NO19" s="208" t="n"/>
      <c r="NP19" s="208" t="n"/>
      <c r="NQ19" s="208" t="n"/>
      <c r="NR19" s="208" t="n"/>
      <c r="NS19" s="208" t="n"/>
      <c r="NT19" s="208" t="n"/>
      <c r="NU19" s="208" t="n"/>
      <c r="NV19" s="208" t="n"/>
      <c r="NW19" s="208" t="n"/>
      <c r="NX19" s="208" t="n"/>
      <c r="NY19" s="208" t="n"/>
      <c r="NZ19" s="208" t="n"/>
      <c r="OA19" s="208" t="n"/>
      <c r="OB19" s="208" t="n"/>
      <c r="OC19" s="208" t="n"/>
      <c r="OD19" s="208" t="n"/>
      <c r="OE19" s="208" t="n"/>
      <c r="OF19" s="208" t="n"/>
      <c r="OG19" s="208" t="n"/>
      <c r="OH19" s="208" t="n"/>
      <c r="OI19" s="208" t="n"/>
      <c r="OJ19" s="208" t="n"/>
      <c r="OK19" s="208" t="n"/>
      <c r="OL19" s="208" t="n"/>
      <c r="OM19" s="208" t="n"/>
      <c r="ON19" s="208" t="n"/>
      <c r="OO19" s="208" t="n"/>
      <c r="OP19" s="208" t="n"/>
      <c r="OQ19" s="208" t="n"/>
      <c r="OR19" s="208" t="n"/>
      <c r="OS19" s="208" t="n"/>
      <c r="OT19" s="208" t="n"/>
      <c r="OU19" s="208" t="n"/>
      <c r="OV19" s="208" t="n"/>
      <c r="OW19" s="208" t="n"/>
      <c r="OX19" s="208" t="n"/>
      <c r="OY19" s="208" t="n"/>
      <c r="OZ19" s="208" t="n"/>
      <c r="PA19" s="208" t="n"/>
      <c r="PB19" s="208" t="n"/>
      <c r="PC19" s="208" t="n"/>
      <c r="PD19" s="208" t="n"/>
      <c r="PE19" s="208" t="n"/>
      <c r="PF19" s="208" t="n"/>
      <c r="PG19" s="208" t="n"/>
      <c r="PH19" s="208" t="n"/>
      <c r="PI19" s="208" t="n"/>
      <c r="PJ19" s="208" t="n"/>
      <c r="PK19" s="208" t="n"/>
      <c r="PL19" s="208" t="n"/>
      <c r="PM19" s="208" t="n"/>
      <c r="PN19" s="208" t="n"/>
      <c r="PO19" s="208" t="n"/>
      <c r="PP19" s="208" t="n"/>
      <c r="PQ19" s="208" t="n"/>
      <c r="PR19" s="208" t="n"/>
      <c r="PS19" s="208" t="n"/>
      <c r="PT19" s="208" t="n"/>
      <c r="PU19" s="208" t="n"/>
      <c r="PV19" s="208" t="n"/>
      <c r="PW19" s="208" t="n"/>
      <c r="PX19" s="208" t="n"/>
      <c r="PY19" s="208" t="n"/>
      <c r="PZ19" s="208" t="n"/>
      <c r="QA19" s="208" t="n"/>
      <c r="QB19" s="208" t="n"/>
      <c r="QC19" s="208" t="n"/>
      <c r="QD19" s="208" t="n"/>
      <c r="QE19" s="208" t="n"/>
      <c r="QF19" s="208" t="n"/>
      <c r="QG19" s="208" t="n"/>
      <c r="QH19" s="208" t="n"/>
      <c r="QI19" s="208" t="n"/>
      <c r="QJ19" s="208" t="n"/>
      <c r="QK19" s="208" t="n"/>
      <c r="QL19" s="208" t="n"/>
      <c r="QM19" s="208" t="n"/>
      <c r="QN19" s="208" t="n"/>
      <c r="QO19" s="208" t="n"/>
      <c r="QP19" s="208" t="n"/>
      <c r="QQ19" s="208" t="n"/>
      <c r="QR19" s="208" t="n"/>
      <c r="QS19" s="208" t="n"/>
      <c r="QT19" s="208" t="n"/>
      <c r="QU19" s="208" t="n"/>
      <c r="QV19" s="208" t="n"/>
      <c r="QW19" s="208" t="n"/>
      <c r="QX19" s="208" t="n"/>
      <c r="QY19" s="208" t="n"/>
      <c r="QZ19" s="208" t="n"/>
      <c r="RA19" s="208" t="n"/>
      <c r="RB19" s="208" t="n"/>
      <c r="RC19" s="208" t="n"/>
      <c r="RD19" s="208" t="n"/>
      <c r="RE19" s="208" t="n"/>
      <c r="RF19" s="208" t="n"/>
      <c r="RG19" s="208" t="n"/>
      <c r="RH19" s="208" t="n"/>
      <c r="RI19" s="208" t="n"/>
      <c r="RJ19" s="208" t="n"/>
      <c r="RK19" s="208" t="n"/>
      <c r="RL19" s="208" t="n"/>
      <c r="RM19" s="208" t="n"/>
      <c r="RN19" s="208" t="n"/>
      <c r="RO19" s="208" t="n"/>
      <c r="RP19" s="208" t="n"/>
      <c r="RQ19" s="208" t="n"/>
      <c r="RR19" s="208" t="n"/>
      <c r="RS19" s="208" t="n"/>
      <c r="RT19" s="208" t="n"/>
      <c r="RU19" s="208" t="n"/>
      <c r="RV19" s="208" t="n"/>
      <c r="RW19" s="208" t="n"/>
      <c r="RX19" s="208" t="n"/>
      <c r="RY19" s="208" t="n"/>
      <c r="RZ19" s="208" t="n"/>
      <c r="SA19" s="208" t="n"/>
      <c r="SB19" s="208" t="n"/>
      <c r="SC19" s="208" t="n"/>
      <c r="SD19" s="208" t="n"/>
      <c r="SE19" s="208" t="n"/>
      <c r="SF19" s="208" t="n"/>
      <c r="SG19" s="208" t="n"/>
      <c r="SH19" s="208" t="n"/>
      <c r="SI19" s="208" t="n"/>
      <c r="SJ19" s="208" t="n"/>
      <c r="SK19" s="208" t="n"/>
      <c r="SL19" s="208" t="n"/>
      <c r="SM19" s="208" t="n"/>
      <c r="SN19" s="208" t="n"/>
      <c r="SO19" s="208" t="n"/>
      <c r="SP19" s="208" t="n"/>
      <c r="SQ19" s="208" t="n"/>
      <c r="SR19" s="208" t="n"/>
      <c r="SS19" s="208" t="n"/>
      <c r="ST19" s="208" t="n"/>
      <c r="SU19" s="208" t="n"/>
      <c r="SV19" s="208" t="n"/>
    </row>
    <row r="20">
      <c r="B20" s="209" t="n">
        <v>1</v>
      </c>
      <c r="C20" s="209" t="inlineStr">
        <is>
          <t>LGC Rail</t>
        </is>
      </c>
      <c r="D20" s="209" t="inlineStr">
        <is>
          <t>Carradene</t>
        </is>
      </c>
      <c r="E20" s="209" t="inlineStr">
        <is>
          <t>Boyer</t>
        </is>
      </c>
      <c r="F20" s="209">
        <f>IF(TRIM(D20&amp;E20)="","",TRIM(D20)&amp;" "&amp;TRIM(E20))</f>
        <v/>
      </c>
      <c r="G20" s="209" t="inlineStr">
        <is>
          <t>Karratha</t>
        </is>
      </c>
      <c r="H20" s="209" t="inlineStr">
        <is>
          <t>Supervisor  - Non Stat - WHS</t>
        </is>
      </c>
      <c r="I20" s="209" t="inlineStr">
        <is>
          <t>YES</t>
        </is>
      </c>
      <c r="J20" s="209" t="inlineStr">
        <is>
          <t>YES</t>
        </is>
      </c>
      <c r="K20" s="209" t="inlineStr">
        <is>
          <t>YES</t>
        </is>
      </c>
      <c r="L20" s="209" t="inlineStr">
        <is>
          <t>YES</t>
        </is>
      </c>
      <c r="M20" s="209" t="inlineStr">
        <is>
          <t>Quals Complete</t>
        </is>
      </c>
      <c r="N20" s="209" t="inlineStr">
        <is>
          <t>carradeneb@gmail.com / Carradene.boyer@lgcrail.com.au</t>
        </is>
      </c>
      <c r="O20" s="209" t="inlineStr">
        <is>
          <t>0414 413 456</t>
        </is>
      </c>
      <c r="P20" s="209" t="n">
        <v>768428</v>
      </c>
      <c r="Q20" s="209" t="n">
        <v>399159</v>
      </c>
      <c r="R20" s="209" t="inlineStr">
        <is>
          <t>2:1</t>
        </is>
      </c>
      <c r="S20" s="210" t="inlineStr">
        <is>
          <t>N/A</t>
        </is>
      </c>
      <c r="T20" s="210" t="inlineStr">
        <is>
          <t>N/A</t>
        </is>
      </c>
      <c r="U20" s="210" t="inlineStr">
        <is>
          <t>N/A</t>
        </is>
      </c>
      <c r="V20" s="210" t="inlineStr">
        <is>
          <t>N/A</t>
        </is>
      </c>
      <c r="W20" s="211" t="inlineStr">
        <is>
          <t>DRIVE PM
LND</t>
        </is>
      </c>
      <c r="X20" s="211" t="inlineStr">
        <is>
          <t>LND</t>
        </is>
      </c>
      <c r="Y20" s="211" t="inlineStr">
        <is>
          <t>LND</t>
        </is>
      </c>
      <c r="Z20" s="211" t="inlineStr">
        <is>
          <t>LND</t>
        </is>
      </c>
      <c r="AA20" s="211" t="inlineStr">
        <is>
          <t>LND</t>
        </is>
      </c>
      <c r="AB20" s="211" t="inlineStr">
        <is>
          <t>LND</t>
        </is>
      </c>
      <c r="AC20" s="211" t="inlineStr">
        <is>
          <t>LND</t>
        </is>
      </c>
      <c r="AD20" s="211" t="inlineStr">
        <is>
          <t>LND</t>
        </is>
      </c>
      <c r="AE20" s="211" t="inlineStr">
        <is>
          <t>LND</t>
        </is>
      </c>
      <c r="AF20" s="211" t="inlineStr">
        <is>
          <t>LND</t>
        </is>
      </c>
      <c r="AG20" s="211" t="inlineStr">
        <is>
          <t>LND</t>
        </is>
      </c>
      <c r="AH20" s="211" t="inlineStr">
        <is>
          <t>LND</t>
        </is>
      </c>
      <c r="AI20" s="211" t="inlineStr">
        <is>
          <t>LND</t>
        </is>
      </c>
      <c r="AJ20" s="211" t="inlineStr">
        <is>
          <t>LND</t>
        </is>
      </c>
      <c r="AK20" s="211" t="inlineStr">
        <is>
          <t>DRIVE OUT PM</t>
        </is>
      </c>
      <c r="AL20" s="214" t="inlineStr">
        <is>
          <t>RnR</t>
        </is>
      </c>
      <c r="AM20" s="214" t="inlineStr">
        <is>
          <t>RnR</t>
        </is>
      </c>
      <c r="AN20" s="214" t="inlineStr">
        <is>
          <t>RnR</t>
        </is>
      </c>
      <c r="AO20" s="214" t="inlineStr">
        <is>
          <t>RnR</t>
        </is>
      </c>
      <c r="AP20" s="214" t="inlineStr">
        <is>
          <t>RnR</t>
        </is>
      </c>
      <c r="AQ20" s="214" t="inlineStr">
        <is>
          <t>RnR</t>
        </is>
      </c>
      <c r="AR20" s="211" t="inlineStr">
        <is>
          <t>DRIVE IN GWV</t>
        </is>
      </c>
      <c r="AS20" s="211" t="inlineStr">
        <is>
          <t>GWV</t>
        </is>
      </c>
      <c r="AT20" s="211" t="inlineStr">
        <is>
          <t>GWV</t>
        </is>
      </c>
      <c r="AU20" s="211" t="inlineStr">
        <is>
          <t>GWV</t>
        </is>
      </c>
      <c r="AV20" s="211" t="inlineStr">
        <is>
          <t>GWV</t>
        </is>
      </c>
      <c r="AW20" s="211" t="inlineStr">
        <is>
          <t>GWV</t>
        </is>
      </c>
      <c r="AX20" s="211" t="inlineStr">
        <is>
          <t>GWV</t>
        </is>
      </c>
      <c r="AY20" s="211" t="inlineStr">
        <is>
          <t>GWV</t>
        </is>
      </c>
      <c r="AZ20" s="211" t="inlineStr">
        <is>
          <t>RDM</t>
        </is>
      </c>
      <c r="BA20" s="211" t="inlineStr">
        <is>
          <t>RDM</t>
        </is>
      </c>
      <c r="BB20" s="211" t="inlineStr">
        <is>
          <t>RDM</t>
        </is>
      </c>
      <c r="BC20" s="211" t="inlineStr">
        <is>
          <t>RDM</t>
        </is>
      </c>
      <c r="BD20" s="211" t="inlineStr">
        <is>
          <t>RDM</t>
        </is>
      </c>
      <c r="BE20" s="211" t="inlineStr">
        <is>
          <t>DRIVE OUT PM</t>
        </is>
      </c>
      <c r="BF20" s="219" t="inlineStr">
        <is>
          <t>Requested RDO</t>
        </is>
      </c>
      <c r="BG20" s="214" t="inlineStr">
        <is>
          <t>RnR</t>
        </is>
      </c>
      <c r="BH20" s="214" t="inlineStr">
        <is>
          <t>RnR</t>
        </is>
      </c>
      <c r="BI20" s="214" t="inlineStr">
        <is>
          <t>RnR</t>
        </is>
      </c>
      <c r="BJ20" s="214" t="inlineStr">
        <is>
          <t>RnR</t>
        </is>
      </c>
      <c r="BK20" s="214" t="inlineStr">
        <is>
          <t>RnR</t>
        </is>
      </c>
      <c r="BL20" s="214" t="inlineStr">
        <is>
          <t>RnR</t>
        </is>
      </c>
      <c r="BM20" s="211" t="inlineStr">
        <is>
          <t>PER/PHE PM
GWV</t>
        </is>
      </c>
      <c r="BN20" s="211" t="inlineStr">
        <is>
          <t>RDM</t>
        </is>
      </c>
      <c r="BO20" s="211" t="inlineStr">
        <is>
          <t>RDM</t>
        </is>
      </c>
      <c r="BP20" s="211" t="inlineStr">
        <is>
          <t>RDM</t>
        </is>
      </c>
      <c r="BQ20" s="211" t="inlineStr">
        <is>
          <t>RDM</t>
        </is>
      </c>
      <c r="BR20" s="211" t="inlineStr">
        <is>
          <t>RDM</t>
        </is>
      </c>
      <c r="BS20" s="211" t="inlineStr">
        <is>
          <t>RDM</t>
        </is>
      </c>
      <c r="BT20" s="211" t="inlineStr">
        <is>
          <t>RDM</t>
        </is>
      </c>
      <c r="BU20" s="211" t="inlineStr">
        <is>
          <t>RDM</t>
        </is>
      </c>
      <c r="BV20" s="211" t="inlineStr">
        <is>
          <t>RDM</t>
        </is>
      </c>
      <c r="BW20" s="211" t="inlineStr">
        <is>
          <t>RDM</t>
        </is>
      </c>
      <c r="BX20" s="211" t="inlineStr">
        <is>
          <t>RDM</t>
        </is>
      </c>
      <c r="BY20" s="211" t="inlineStr">
        <is>
          <t>RDM</t>
        </is>
      </c>
      <c r="BZ20" s="211" t="inlineStr">
        <is>
          <t>RDM</t>
        </is>
      </c>
      <c r="CA20" s="211" t="inlineStr">
        <is>
          <t>PHE/PER PM</t>
        </is>
      </c>
      <c r="CB20" s="214" t="inlineStr">
        <is>
          <t>RnR</t>
        </is>
      </c>
      <c r="CC20" s="214" t="inlineStr">
        <is>
          <t>RnR</t>
        </is>
      </c>
      <c r="CD20" s="214" t="inlineStr">
        <is>
          <t>RnR</t>
        </is>
      </c>
      <c r="CE20" s="214" t="inlineStr">
        <is>
          <t>RnR</t>
        </is>
      </c>
      <c r="CF20" s="214" t="inlineStr">
        <is>
          <t>RnR</t>
        </is>
      </c>
      <c r="CG20" s="214" t="inlineStr">
        <is>
          <t>RnR</t>
        </is>
      </c>
      <c r="CH20" s="210" t="inlineStr">
        <is>
          <t>PER/PHE PM
LND</t>
        </is>
      </c>
      <c r="CI20" s="210" t="inlineStr">
        <is>
          <t>RDM</t>
        </is>
      </c>
      <c r="CJ20" s="210" t="inlineStr">
        <is>
          <t>RDM</t>
        </is>
      </c>
      <c r="CK20" s="210" t="inlineStr">
        <is>
          <t>RDM</t>
        </is>
      </c>
      <c r="CL20" s="210" t="inlineStr">
        <is>
          <t>RDM</t>
        </is>
      </c>
      <c r="CM20" s="210" t="inlineStr">
        <is>
          <t>RDM</t>
        </is>
      </c>
      <c r="CN20" s="210" t="inlineStr">
        <is>
          <t>RDM</t>
        </is>
      </c>
      <c r="CO20" s="210" t="inlineStr">
        <is>
          <t>PHE/PER PM</t>
        </is>
      </c>
      <c r="CP20" s="217" t="inlineStr">
        <is>
          <t>DEMOB</t>
        </is>
      </c>
      <c r="CQ20" s="210" t="inlineStr">
        <is>
          <t>N/A</t>
        </is>
      </c>
      <c r="CR20" s="210" t="inlineStr">
        <is>
          <t>N/A</t>
        </is>
      </c>
      <c r="CS20" s="210" t="inlineStr">
        <is>
          <t>N/A</t>
        </is>
      </c>
      <c r="CT20" s="210" t="inlineStr">
        <is>
          <t>N/A</t>
        </is>
      </c>
      <c r="CU20" s="210" t="inlineStr">
        <is>
          <t>N/A</t>
        </is>
      </c>
      <c r="CV20" s="210" t="inlineStr">
        <is>
          <t>N/A</t>
        </is>
      </c>
      <c r="CW20" s="210" t="inlineStr">
        <is>
          <t>N/A</t>
        </is>
      </c>
      <c r="CX20" s="210" t="inlineStr">
        <is>
          <t>N/A</t>
        </is>
      </c>
      <c r="CY20" s="210" t="inlineStr">
        <is>
          <t>N/A</t>
        </is>
      </c>
      <c r="CZ20" s="210" t="inlineStr">
        <is>
          <t>N/A</t>
        </is>
      </c>
      <c r="DA20" s="210" t="inlineStr">
        <is>
          <t>N/A</t>
        </is>
      </c>
      <c r="DB20" s="210" t="inlineStr">
        <is>
          <t>N/A</t>
        </is>
      </c>
      <c r="DC20" s="210" t="inlineStr">
        <is>
          <t>N/A</t>
        </is>
      </c>
      <c r="DD20" s="210" t="inlineStr">
        <is>
          <t>N/A</t>
        </is>
      </c>
      <c r="DE20" s="210" t="inlineStr">
        <is>
          <t>N/A</t>
        </is>
      </c>
      <c r="DF20" s="210" t="inlineStr">
        <is>
          <t>N/A</t>
        </is>
      </c>
      <c r="DG20" s="210" t="inlineStr">
        <is>
          <t>N/A</t>
        </is>
      </c>
      <c r="DH20" s="210" t="inlineStr">
        <is>
          <t>N/A</t>
        </is>
      </c>
      <c r="DI20" s="210" t="inlineStr">
        <is>
          <t>N/A</t>
        </is>
      </c>
      <c r="DJ20" s="210" t="inlineStr">
        <is>
          <t>N/A</t>
        </is>
      </c>
      <c r="DK20" s="210" t="inlineStr">
        <is>
          <t>N/A</t>
        </is>
      </c>
      <c r="DL20" s="210" t="inlineStr">
        <is>
          <t>N/A</t>
        </is>
      </c>
      <c r="DM20" s="210" t="inlineStr">
        <is>
          <t>N/A</t>
        </is>
      </c>
      <c r="DN20" s="210" t="inlineStr">
        <is>
          <t>N/A</t>
        </is>
      </c>
      <c r="DO20" s="210" t="inlineStr">
        <is>
          <t>N/A</t>
        </is>
      </c>
      <c r="DP20" s="210" t="inlineStr">
        <is>
          <t>N/A</t>
        </is>
      </c>
      <c r="DQ20" s="210" t="inlineStr">
        <is>
          <t>N/A</t>
        </is>
      </c>
      <c r="DR20" s="212" t="n"/>
      <c r="DS20" s="212" t="n"/>
      <c r="DT20" s="212" t="n"/>
      <c r="DU20" s="212" t="n"/>
      <c r="DV20" s="212" t="n"/>
      <c r="DW20" s="212" t="n"/>
      <c r="DX20" s="212" t="n"/>
      <c r="DY20" s="212" t="n"/>
      <c r="DZ20" s="212" t="n"/>
      <c r="EA20" s="212" t="n"/>
      <c r="EB20" s="212" t="n"/>
      <c r="EC20" s="212" t="n"/>
      <c r="ED20" s="212" t="n"/>
      <c r="EE20" s="212" t="n"/>
      <c r="EF20" s="212" t="n"/>
      <c r="EG20" s="212" t="n"/>
      <c r="EH20" s="212" t="n"/>
      <c r="EI20" s="212" t="n"/>
      <c r="EJ20" s="212" t="n"/>
      <c r="EK20" s="212" t="n"/>
      <c r="EL20" s="212" t="n"/>
      <c r="EM20" s="212" t="n"/>
      <c r="EN20" s="212" t="n"/>
      <c r="EO20" s="212" t="n"/>
      <c r="EP20" s="212" t="n"/>
      <c r="EQ20" s="212" t="n"/>
      <c r="ER20" s="212" t="n"/>
      <c r="ES20" s="212" t="n"/>
      <c r="ET20" s="212" t="n"/>
      <c r="EU20" s="212" t="n"/>
      <c r="EV20" s="212" t="n"/>
      <c r="EW20" s="212" t="n"/>
      <c r="EX20" s="212" t="n"/>
      <c r="EY20" s="212" t="n"/>
      <c r="EZ20" s="212" t="n"/>
      <c r="FA20" s="212" t="n"/>
      <c r="FB20" s="212" t="n"/>
      <c r="FC20" s="212" t="n"/>
      <c r="FD20" s="212" t="n"/>
      <c r="FE20" s="212" t="n"/>
      <c r="FF20" s="212" t="n"/>
      <c r="FG20" s="212" t="n"/>
      <c r="FH20" s="212" t="n"/>
      <c r="FI20" s="212" t="n"/>
      <c r="FJ20" s="212" t="n"/>
      <c r="FK20" s="212" t="n"/>
      <c r="FL20" s="212" t="n"/>
      <c r="FM20" s="212" t="n"/>
      <c r="FN20" s="212" t="n"/>
      <c r="FO20" s="212" t="n"/>
      <c r="FP20" s="212" t="n"/>
      <c r="FQ20" s="212" t="n"/>
      <c r="FR20" s="212" t="n"/>
      <c r="FS20" s="212" t="n"/>
      <c r="FT20" s="212" t="n"/>
      <c r="FU20" s="212" t="n"/>
      <c r="FV20" s="212" t="n"/>
      <c r="FW20" s="212" t="n"/>
      <c r="FX20" s="212" t="n"/>
      <c r="FY20" s="212" t="n"/>
      <c r="FZ20" s="212" t="n"/>
      <c r="GA20" s="212" t="n"/>
      <c r="GB20" s="212" t="n"/>
      <c r="GC20" s="212" t="n"/>
      <c r="GD20" s="212" t="n"/>
      <c r="GE20" s="212" t="n"/>
      <c r="GF20" s="212" t="n"/>
      <c r="GG20" s="212" t="n"/>
      <c r="GH20" s="212" t="n"/>
      <c r="GI20" s="212" t="n"/>
      <c r="GJ20" s="212" t="n"/>
      <c r="GK20" s="212" t="n"/>
      <c r="GL20" s="212" t="n"/>
      <c r="GM20" s="212" t="n"/>
      <c r="GN20" s="212" t="n"/>
      <c r="GO20" s="212" t="n"/>
      <c r="GP20" s="212" t="n"/>
      <c r="GQ20" s="212" t="n"/>
      <c r="GR20" s="212" t="n"/>
      <c r="GS20" s="212" t="n"/>
      <c r="GT20" s="212" t="n"/>
      <c r="GU20" s="212" t="n"/>
      <c r="GV20" s="212" t="n"/>
      <c r="GW20" s="212" t="n"/>
      <c r="GX20" s="212" t="n"/>
      <c r="GY20" s="212" t="n"/>
      <c r="GZ20" s="212" t="n"/>
      <c r="HA20" s="212" t="n"/>
      <c r="HB20" s="212" t="n"/>
      <c r="HC20" s="212" t="n"/>
      <c r="HD20" s="212" t="n"/>
      <c r="HE20" s="212" t="n"/>
      <c r="HF20" s="212" t="n"/>
      <c r="HG20" s="212" t="n"/>
      <c r="HH20" s="212" t="n"/>
      <c r="HI20" s="212" t="n"/>
      <c r="HJ20" s="212" t="n"/>
      <c r="HK20" s="212" t="n"/>
      <c r="HL20" s="212" t="n"/>
      <c r="HM20" s="212" t="n"/>
      <c r="HN20" s="212" t="n"/>
      <c r="HO20" s="212" t="n"/>
      <c r="HP20" s="212" t="n"/>
      <c r="HQ20" s="212" t="n"/>
      <c r="HR20" s="212" t="n"/>
      <c r="HS20" s="212" t="n"/>
      <c r="HT20" s="212" t="n"/>
      <c r="HU20" s="212" t="n"/>
      <c r="HV20" s="212" t="n"/>
      <c r="HW20" s="212" t="n"/>
      <c r="HX20" s="212" t="n"/>
      <c r="HY20" s="212" t="n"/>
      <c r="HZ20" s="212" t="n"/>
      <c r="IA20" s="212" t="n"/>
      <c r="IB20" s="212" t="n"/>
      <c r="IC20" s="212" t="n"/>
      <c r="ID20" s="212" t="n"/>
      <c r="IE20" s="212" t="n"/>
      <c r="IF20" s="212" t="n"/>
      <c r="IG20" s="212" t="n"/>
      <c r="IH20" s="212" t="n"/>
      <c r="II20" s="212" t="n"/>
      <c r="IJ20" s="212" t="n"/>
      <c r="IK20" s="212" t="n"/>
      <c r="IL20" s="212" t="n"/>
      <c r="IM20" s="212" t="n"/>
      <c r="IN20" s="212" t="n"/>
      <c r="IO20" s="212" t="n"/>
      <c r="IP20" s="212" t="n"/>
      <c r="IQ20" s="212" t="n"/>
      <c r="IR20" s="212" t="n"/>
      <c r="IS20" s="212" t="n"/>
      <c r="IT20" s="212" t="n"/>
      <c r="IU20" s="212" t="n"/>
      <c r="IV20" s="212" t="n"/>
      <c r="IW20" s="212" t="n"/>
      <c r="IX20" s="212" t="n"/>
      <c r="IY20" s="212" t="n"/>
      <c r="IZ20" s="212" t="n"/>
      <c r="JA20" s="212" t="n"/>
      <c r="JB20" s="212" t="n"/>
      <c r="JC20" s="212" t="n"/>
      <c r="JD20" s="212" t="n"/>
      <c r="JE20" s="212" t="n"/>
      <c r="JF20" s="212" t="n"/>
      <c r="JG20" s="212" t="n"/>
      <c r="JH20" s="212" t="n"/>
      <c r="JI20" s="212" t="n"/>
      <c r="JJ20" s="212" t="n"/>
      <c r="JK20" s="212" t="n"/>
      <c r="JL20" s="212" t="n"/>
      <c r="JM20" s="212" t="n"/>
      <c r="JN20" s="212" t="n"/>
      <c r="JO20" s="212" t="n"/>
      <c r="JP20" s="212" t="n"/>
      <c r="JQ20" s="212" t="n"/>
      <c r="JR20" s="212" t="n"/>
      <c r="JS20" s="212" t="n"/>
      <c r="JT20" s="212" t="n"/>
      <c r="JU20" s="212" t="n"/>
      <c r="JV20" s="212" t="n"/>
      <c r="JW20" s="212" t="n"/>
      <c r="JX20" s="212" t="n"/>
      <c r="JY20" s="212" t="n"/>
      <c r="JZ20" s="212" t="n"/>
      <c r="KA20" s="212" t="n"/>
      <c r="KB20" s="212" t="n"/>
      <c r="KC20" s="212" t="n"/>
      <c r="KD20" s="212" t="n"/>
      <c r="KE20" s="212" t="n"/>
      <c r="KF20" s="212" t="n"/>
      <c r="KG20" s="212" t="n"/>
      <c r="KH20" s="212" t="n"/>
      <c r="KI20" s="212" t="n"/>
      <c r="KJ20" s="212" t="n"/>
      <c r="KK20" s="212" t="n"/>
      <c r="KL20" s="212" t="n"/>
      <c r="KM20" s="212" t="n"/>
      <c r="KN20" s="212" t="n"/>
      <c r="KO20" s="212" t="n"/>
      <c r="KP20" s="212" t="n"/>
      <c r="KQ20" s="212" t="n"/>
      <c r="KR20" s="212" t="n"/>
      <c r="KS20" s="212" t="n"/>
      <c r="KT20" s="212" t="n"/>
      <c r="KU20" s="212" t="n"/>
      <c r="KV20" s="212" t="n"/>
      <c r="KW20" s="212" t="n"/>
      <c r="KX20" s="212" t="n"/>
      <c r="KY20" s="212" t="n"/>
      <c r="KZ20" s="212" t="n"/>
      <c r="LA20" s="212" t="n"/>
      <c r="LB20" s="212" t="n"/>
      <c r="LC20" s="212" t="n"/>
      <c r="LD20" s="212" t="n"/>
      <c r="LE20" s="212" t="n"/>
      <c r="LF20" s="212" t="n"/>
      <c r="LG20" s="212" t="n"/>
      <c r="LH20" s="212" t="n"/>
      <c r="LI20" s="212" t="n"/>
      <c r="LJ20" s="212" t="n"/>
      <c r="LK20" s="212" t="n"/>
      <c r="LL20" s="212" t="n"/>
      <c r="LM20" s="212" t="n"/>
      <c r="LN20" s="212" t="n"/>
      <c r="LO20" s="212" t="n"/>
      <c r="LP20" s="212" t="n"/>
      <c r="LQ20" s="212" t="n"/>
      <c r="LR20" s="212" t="n"/>
      <c r="LS20" s="212" t="n"/>
      <c r="LT20" s="212" t="n"/>
      <c r="LU20" s="212" t="n"/>
      <c r="LV20" s="212" t="n"/>
      <c r="LW20" s="212" t="n"/>
      <c r="LX20" s="212" t="n"/>
      <c r="LY20" s="212" t="n"/>
      <c r="LZ20" s="212" t="n"/>
      <c r="MA20" s="212" t="n"/>
      <c r="MB20" s="212" t="n"/>
      <c r="MC20" s="212" t="n"/>
      <c r="MD20" s="212" t="n"/>
      <c r="ME20" s="212" t="n"/>
      <c r="MF20" s="212" t="n"/>
      <c r="MG20" s="212" t="n"/>
      <c r="MH20" s="212" t="n"/>
      <c r="MI20" s="212" t="n"/>
      <c r="MJ20" s="212" t="n"/>
      <c r="MK20" s="212" t="n"/>
      <c r="ML20" s="212" t="n"/>
      <c r="MM20" s="212" t="n"/>
      <c r="MN20" s="212" t="n"/>
      <c r="MO20" s="212" t="n"/>
      <c r="MP20" s="212" t="n"/>
      <c r="MQ20" s="212" t="n"/>
      <c r="MR20" s="212" t="n"/>
      <c r="MS20" s="212" t="n"/>
      <c r="MT20" s="212" t="n"/>
      <c r="MU20" s="212" t="n"/>
      <c r="MV20" s="212" t="n"/>
      <c r="MW20" s="212" t="n"/>
      <c r="MX20" s="212" t="n"/>
      <c r="MY20" s="212" t="n"/>
      <c r="MZ20" s="212" t="n"/>
      <c r="NA20" s="212" t="n"/>
      <c r="NB20" s="212" t="n"/>
      <c r="NC20" s="212" t="n"/>
      <c r="ND20" s="212" t="n"/>
      <c r="NE20" s="212" t="n"/>
      <c r="NF20" s="212" t="n"/>
      <c r="NG20" s="212" t="n"/>
      <c r="NH20" s="212" t="n"/>
      <c r="NI20" s="212" t="n"/>
      <c r="NJ20" s="212" t="n"/>
      <c r="NK20" s="212" t="n"/>
      <c r="NL20" s="212" t="n"/>
      <c r="NM20" s="212" t="n"/>
      <c r="NN20" s="212" t="n"/>
      <c r="NO20" s="212" t="n"/>
      <c r="NP20" s="212" t="n"/>
      <c r="NQ20" s="212" t="n"/>
      <c r="NR20" s="212" t="n"/>
      <c r="NS20" s="212" t="n"/>
      <c r="NT20" s="212" t="n"/>
      <c r="NU20" s="212" t="n"/>
      <c r="NV20" s="212" t="n"/>
      <c r="NW20" s="212" t="n"/>
      <c r="NX20" s="212" t="n"/>
      <c r="NY20" s="212" t="n"/>
      <c r="NZ20" s="212" t="n"/>
      <c r="OA20" s="212" t="n"/>
      <c r="OB20" s="212" t="n"/>
      <c r="OC20" s="212" t="n"/>
      <c r="OD20" s="212" t="n"/>
      <c r="OE20" s="212" t="n"/>
      <c r="OF20" s="212" t="n"/>
      <c r="OG20" s="212" t="n"/>
      <c r="OH20" s="212" t="n"/>
      <c r="OI20" s="212" t="n"/>
      <c r="OJ20" s="212" t="n"/>
      <c r="OK20" s="212" t="n"/>
      <c r="OL20" s="212" t="n"/>
      <c r="OM20" s="212" t="n"/>
      <c r="ON20" s="212" t="n"/>
      <c r="OO20" s="212" t="n"/>
      <c r="OP20" s="212" t="n"/>
      <c r="OQ20" s="212" t="n"/>
      <c r="OR20" s="212" t="n"/>
      <c r="OS20" s="212" t="n"/>
      <c r="OT20" s="212" t="n"/>
      <c r="OU20" s="212" t="n"/>
      <c r="OV20" s="212" t="n"/>
      <c r="OW20" s="212" t="n"/>
      <c r="OX20" s="212" t="n"/>
      <c r="OY20" s="212" t="n"/>
      <c r="OZ20" s="212" t="n"/>
      <c r="PA20" s="212" t="n"/>
      <c r="PB20" s="212" t="n"/>
      <c r="PC20" s="212" t="n"/>
      <c r="PD20" s="212" t="n"/>
      <c r="PE20" s="212" t="n"/>
      <c r="PF20" s="212" t="n"/>
      <c r="PG20" s="212" t="n"/>
      <c r="PH20" s="212" t="n"/>
      <c r="PI20" s="212" t="n"/>
      <c r="PJ20" s="212" t="n"/>
      <c r="PK20" s="212" t="n"/>
      <c r="PL20" s="212" t="n"/>
      <c r="PM20" s="212" t="n"/>
      <c r="PN20" s="212" t="n"/>
      <c r="PO20" s="212" t="n"/>
      <c r="PP20" s="212" t="n"/>
      <c r="PQ20" s="212" t="n"/>
      <c r="PR20" s="212" t="n"/>
      <c r="PS20" s="212" t="n"/>
      <c r="PT20" s="212" t="n"/>
      <c r="PU20" s="212" t="n"/>
      <c r="PV20" s="212" t="n"/>
      <c r="PW20" s="212" t="n"/>
      <c r="PX20" s="212" t="n"/>
      <c r="PY20" s="212" t="n"/>
      <c r="PZ20" s="212" t="n"/>
      <c r="QA20" s="212" t="n"/>
      <c r="QB20" s="212" t="n"/>
      <c r="QC20" s="212" t="n"/>
      <c r="QD20" s="212" t="n"/>
      <c r="QE20" s="212" t="n"/>
      <c r="QF20" s="212" t="n"/>
      <c r="QG20" s="212" t="n"/>
      <c r="QH20" s="212" t="n"/>
      <c r="QI20" s="212" t="n"/>
      <c r="QJ20" s="212" t="n"/>
      <c r="QK20" s="212" t="n"/>
      <c r="QL20" s="212" t="n"/>
      <c r="QM20" s="212" t="n"/>
      <c r="QN20" s="212" t="n"/>
      <c r="QO20" s="212" t="n"/>
      <c r="QP20" s="212" t="n"/>
      <c r="QQ20" s="212" t="n"/>
      <c r="QR20" s="212" t="n"/>
      <c r="QS20" s="212" t="n"/>
      <c r="QT20" s="212" t="n"/>
      <c r="QU20" s="212" t="n"/>
      <c r="QV20" s="212" t="n"/>
      <c r="QW20" s="212" t="n"/>
      <c r="QX20" s="212" t="n"/>
      <c r="QY20" s="212" t="n"/>
      <c r="QZ20" s="212" t="n"/>
      <c r="RA20" s="212" t="n"/>
      <c r="RB20" s="212" t="n"/>
      <c r="RC20" s="212" t="n"/>
      <c r="RD20" s="212" t="n"/>
      <c r="RE20" s="212" t="n"/>
      <c r="RF20" s="212" t="n"/>
      <c r="RG20" s="212" t="n"/>
      <c r="RH20" s="212" t="n"/>
      <c r="RI20" s="212" t="n"/>
      <c r="RJ20" s="212" t="n"/>
      <c r="RK20" s="212" t="n"/>
      <c r="RL20" s="212" t="n"/>
      <c r="RM20" s="212" t="n"/>
      <c r="RN20" s="212" t="n"/>
      <c r="RO20" s="212" t="n"/>
      <c r="RP20" s="212" t="n"/>
      <c r="RQ20" s="212" t="n"/>
      <c r="RR20" s="212" t="n"/>
      <c r="RS20" s="212" t="n"/>
      <c r="RT20" s="212" t="n"/>
      <c r="RU20" s="212" t="n"/>
      <c r="RV20" s="212" t="n"/>
      <c r="RW20" s="212" t="n"/>
      <c r="RX20" s="212" t="n"/>
      <c r="RY20" s="212" t="n"/>
      <c r="RZ20" s="212" t="n"/>
      <c r="SA20" s="212" t="n"/>
      <c r="SB20" s="212" t="n"/>
      <c r="SC20" s="212" t="n"/>
      <c r="SD20" s="212" t="n"/>
      <c r="SE20" s="212" t="n"/>
      <c r="SF20" s="212" t="n"/>
      <c r="SG20" s="212" t="n"/>
      <c r="SH20" s="212" t="n"/>
      <c r="SI20" s="212" t="n"/>
      <c r="SJ20" s="212" t="n"/>
      <c r="SK20" s="212" t="n"/>
      <c r="SL20" s="212" t="n"/>
      <c r="SM20" s="212" t="n"/>
      <c r="SN20" s="212" t="n"/>
      <c r="SO20" s="212" t="n"/>
      <c r="SP20" s="212" t="n"/>
      <c r="SQ20" s="212" t="n"/>
      <c r="SR20" s="212" t="n"/>
      <c r="SS20" s="212" t="n"/>
      <c r="ST20" s="212" t="n"/>
      <c r="SU20" s="212" t="n"/>
      <c r="SV20" s="212" t="n"/>
    </row>
    <row r="21">
      <c r="B21" s="209" t="n">
        <v>2</v>
      </c>
      <c r="C21" s="209" t="inlineStr">
        <is>
          <t>LGC Rail</t>
        </is>
      </c>
      <c r="D21" s="209" t="inlineStr">
        <is>
          <t>Tyler</t>
        </is>
      </c>
      <c r="E21" s="209" t="inlineStr">
        <is>
          <t>Jorgensen</t>
        </is>
      </c>
      <c r="F21" s="209">
        <f>IF(TRIM(D21&amp;E21)="","",TRIM(D21)&amp;" "&amp;TRIM(E21))</f>
        <v/>
      </c>
      <c r="G21" s="209" t="inlineStr">
        <is>
          <t>Perth</t>
        </is>
      </c>
      <c r="H21" s="209" t="inlineStr">
        <is>
          <t>Operator - Excavator</t>
        </is>
      </c>
      <c r="I21" s="209" t="inlineStr">
        <is>
          <t>YES</t>
        </is>
      </c>
      <c r="J21" s="209" t="inlineStr">
        <is>
          <t>YES</t>
        </is>
      </c>
      <c r="K21" s="209" t="inlineStr">
        <is>
          <t>YES</t>
        </is>
      </c>
      <c r="L21" s="209" t="inlineStr">
        <is>
          <t>YES</t>
        </is>
      </c>
      <c r="M21" s="209" t="inlineStr">
        <is>
          <t>Quals Complete</t>
        </is>
      </c>
      <c r="N21" s="209" t="inlineStr">
        <is>
          <t>tyler.james.jorgensen.95@gmail.com</t>
        </is>
      </c>
      <c r="O21" s="209" t="inlineStr">
        <is>
          <t>0478 114 193</t>
        </is>
      </c>
      <c r="P21" s="209" t="n">
        <v>858798</v>
      </c>
      <c r="Q21" s="209" t="n">
        <v>463841</v>
      </c>
      <c r="R21" s="209" t="inlineStr">
        <is>
          <t>2:1</t>
        </is>
      </c>
      <c r="S21" s="210" t="inlineStr">
        <is>
          <t>N/A</t>
        </is>
      </c>
      <c r="T21" s="210" t="inlineStr">
        <is>
          <t>N/A</t>
        </is>
      </c>
      <c r="U21" s="210" t="inlineStr">
        <is>
          <t>N/A</t>
        </is>
      </c>
      <c r="V21" s="210" t="inlineStr">
        <is>
          <t>N/A</t>
        </is>
      </c>
      <c r="W21" s="211" t="inlineStr">
        <is>
          <t>PER/PHE PM
LND</t>
        </is>
      </c>
      <c r="X21" s="211" t="inlineStr">
        <is>
          <t>LND</t>
        </is>
      </c>
      <c r="Y21" s="211" t="inlineStr">
        <is>
          <t>LND</t>
        </is>
      </c>
      <c r="Z21" s="211" t="inlineStr">
        <is>
          <t>LND</t>
        </is>
      </c>
      <c r="AA21" s="211" t="inlineStr">
        <is>
          <t>LND</t>
        </is>
      </c>
      <c r="AB21" s="211" t="inlineStr">
        <is>
          <t>LND</t>
        </is>
      </c>
      <c r="AC21" s="211" t="inlineStr">
        <is>
          <t>LND</t>
        </is>
      </c>
      <c r="AD21" s="211" t="inlineStr">
        <is>
          <t>LND</t>
        </is>
      </c>
      <c r="AE21" s="211" t="inlineStr">
        <is>
          <t>LND</t>
        </is>
      </c>
      <c r="AF21" s="211" t="inlineStr">
        <is>
          <t>LND</t>
        </is>
      </c>
      <c r="AG21" s="211" t="inlineStr">
        <is>
          <t>LND</t>
        </is>
      </c>
      <c r="AH21" s="211" t="inlineStr">
        <is>
          <t>LND</t>
        </is>
      </c>
      <c r="AI21" s="211" t="inlineStr">
        <is>
          <t>LND</t>
        </is>
      </c>
      <c r="AJ21" s="211" t="inlineStr">
        <is>
          <t>LND</t>
        </is>
      </c>
      <c r="AK21" s="211" t="inlineStr">
        <is>
          <t>PHE/PER PM</t>
        </is>
      </c>
      <c r="AL21" s="214" t="inlineStr">
        <is>
          <t>RnR</t>
        </is>
      </c>
      <c r="AM21" s="214" t="inlineStr">
        <is>
          <t>RnR</t>
        </is>
      </c>
      <c r="AN21" s="214" t="inlineStr">
        <is>
          <t>RnR</t>
        </is>
      </c>
      <c r="AO21" s="214" t="inlineStr">
        <is>
          <t>RnR</t>
        </is>
      </c>
      <c r="AP21" s="214" t="inlineStr">
        <is>
          <t>RnR</t>
        </is>
      </c>
      <c r="AQ21" s="214" t="inlineStr">
        <is>
          <t>RnR</t>
        </is>
      </c>
      <c r="AR21" s="216" t="inlineStr">
        <is>
          <t>A/L</t>
        </is>
      </c>
      <c r="AS21" s="216" t="inlineStr">
        <is>
          <t>A/L</t>
        </is>
      </c>
      <c r="AT21" s="216" t="inlineStr">
        <is>
          <t>A/L</t>
        </is>
      </c>
      <c r="AU21" s="216" t="inlineStr">
        <is>
          <t>A/L</t>
        </is>
      </c>
      <c r="AV21" s="216" t="inlineStr">
        <is>
          <t>A/L</t>
        </is>
      </c>
      <c r="AW21" s="216" t="inlineStr">
        <is>
          <t>A/L</t>
        </is>
      </c>
      <c r="AX21" s="216" t="inlineStr">
        <is>
          <t>A/L</t>
        </is>
      </c>
      <c r="AY21" s="216" t="inlineStr">
        <is>
          <t>A/L</t>
        </is>
      </c>
      <c r="AZ21" s="211" t="inlineStr">
        <is>
          <t>PER/PHE PM
LND</t>
        </is>
      </c>
      <c r="BA21" s="211" t="inlineStr">
        <is>
          <t>RDM</t>
        </is>
      </c>
      <c r="BB21" s="211" t="inlineStr">
        <is>
          <t>RDM</t>
        </is>
      </c>
      <c r="BC21" s="211" t="inlineStr">
        <is>
          <t>RDM</t>
        </is>
      </c>
      <c r="BD21" s="211" t="inlineStr">
        <is>
          <t>RDM</t>
        </is>
      </c>
      <c r="BE21" s="211" t="inlineStr">
        <is>
          <t>RDM</t>
        </is>
      </c>
      <c r="BF21" s="211" t="inlineStr">
        <is>
          <t>PHE/PER PM</t>
        </is>
      </c>
      <c r="BG21" s="214" t="inlineStr">
        <is>
          <t>RnR</t>
        </is>
      </c>
      <c r="BH21" s="214" t="inlineStr">
        <is>
          <t>RnR</t>
        </is>
      </c>
      <c r="BI21" s="214" t="inlineStr">
        <is>
          <t>RnR</t>
        </is>
      </c>
      <c r="BJ21" s="214" t="inlineStr">
        <is>
          <t>RnR</t>
        </is>
      </c>
      <c r="BK21" s="214" t="inlineStr">
        <is>
          <t>RnR</t>
        </is>
      </c>
      <c r="BL21" s="214" t="inlineStr">
        <is>
          <t>RnR</t>
        </is>
      </c>
      <c r="BM21" s="211" t="inlineStr">
        <is>
          <t>PER/PHE PM
GWV</t>
        </is>
      </c>
      <c r="BN21" s="211" t="inlineStr">
        <is>
          <t>RDM</t>
        </is>
      </c>
      <c r="BO21" s="211" t="inlineStr">
        <is>
          <t>RDM</t>
        </is>
      </c>
      <c r="BP21" s="211" t="inlineStr">
        <is>
          <t>RDM</t>
        </is>
      </c>
      <c r="BQ21" s="211" t="inlineStr">
        <is>
          <t>RDM</t>
        </is>
      </c>
      <c r="BR21" s="211" t="inlineStr">
        <is>
          <t>RDM</t>
        </is>
      </c>
      <c r="BS21" s="211" t="inlineStr">
        <is>
          <t>RDM</t>
        </is>
      </c>
      <c r="BT21" s="211" t="inlineStr">
        <is>
          <t>RDM</t>
        </is>
      </c>
      <c r="BU21" s="211" t="inlineStr">
        <is>
          <t>RDM</t>
        </is>
      </c>
      <c r="BV21" s="211" t="inlineStr">
        <is>
          <t>RDM</t>
        </is>
      </c>
      <c r="BW21" s="211" t="inlineStr">
        <is>
          <t>RDM</t>
        </is>
      </c>
      <c r="BX21" s="211" t="inlineStr">
        <is>
          <t>RDM</t>
        </is>
      </c>
      <c r="BY21" s="211" t="inlineStr">
        <is>
          <t>RDM</t>
        </is>
      </c>
      <c r="BZ21" s="211" t="inlineStr">
        <is>
          <t>RDM</t>
        </is>
      </c>
      <c r="CA21" s="211" t="inlineStr">
        <is>
          <t>PHE/PER PM</t>
        </is>
      </c>
      <c r="CB21" s="214" t="inlineStr">
        <is>
          <t>RnR</t>
        </is>
      </c>
      <c r="CC21" s="214" t="inlineStr">
        <is>
          <t>RnR</t>
        </is>
      </c>
      <c r="CD21" s="214" t="inlineStr">
        <is>
          <t>RnR</t>
        </is>
      </c>
      <c r="CE21" s="214" t="inlineStr">
        <is>
          <t>RnR</t>
        </is>
      </c>
      <c r="CF21" s="214" t="inlineStr">
        <is>
          <t>RnR</t>
        </is>
      </c>
      <c r="CG21" s="214" t="inlineStr">
        <is>
          <t>RnR</t>
        </is>
      </c>
      <c r="CH21" s="210" t="inlineStr">
        <is>
          <t>PER/PHE PM
LND</t>
        </is>
      </c>
      <c r="CI21" s="210" t="inlineStr">
        <is>
          <t>RDM</t>
        </is>
      </c>
      <c r="CJ21" s="210" t="inlineStr">
        <is>
          <t>RDM</t>
        </is>
      </c>
      <c r="CK21" s="210" t="inlineStr">
        <is>
          <t>RDM</t>
        </is>
      </c>
      <c r="CL21" s="210" t="inlineStr">
        <is>
          <t>RDM</t>
        </is>
      </c>
      <c r="CM21" s="210" t="inlineStr">
        <is>
          <t>RDM</t>
        </is>
      </c>
      <c r="CN21" s="210" t="inlineStr">
        <is>
          <t>RDM</t>
        </is>
      </c>
      <c r="CO21" s="210" t="inlineStr">
        <is>
          <t>PHE/PER PM</t>
        </is>
      </c>
      <c r="CP21" s="217" t="inlineStr">
        <is>
          <t>DEMOB</t>
        </is>
      </c>
      <c r="CQ21" s="210" t="inlineStr">
        <is>
          <t>N/A</t>
        </is>
      </c>
      <c r="CR21" s="210" t="inlineStr">
        <is>
          <t>N/A</t>
        </is>
      </c>
      <c r="CS21" s="210" t="inlineStr">
        <is>
          <t>N/A</t>
        </is>
      </c>
      <c r="CT21" s="210" t="inlineStr">
        <is>
          <t>N/A</t>
        </is>
      </c>
      <c r="CU21" s="210" t="inlineStr">
        <is>
          <t>N/A</t>
        </is>
      </c>
      <c r="CV21" s="210" t="inlineStr">
        <is>
          <t>N/A</t>
        </is>
      </c>
      <c r="CW21" s="210" t="inlineStr">
        <is>
          <t>N/A</t>
        </is>
      </c>
      <c r="CX21" s="210" t="inlineStr">
        <is>
          <t>N/A</t>
        </is>
      </c>
      <c r="CY21" s="210" t="inlineStr">
        <is>
          <t>N/A</t>
        </is>
      </c>
      <c r="CZ21" s="210" t="inlineStr">
        <is>
          <t>N/A</t>
        </is>
      </c>
      <c r="DA21" s="210" t="inlineStr">
        <is>
          <t>N/A</t>
        </is>
      </c>
      <c r="DB21" s="210" t="inlineStr">
        <is>
          <t>N/A</t>
        </is>
      </c>
      <c r="DC21" s="210" t="inlineStr">
        <is>
          <t>N/A</t>
        </is>
      </c>
      <c r="DD21" s="210" t="inlineStr">
        <is>
          <t>N/A</t>
        </is>
      </c>
      <c r="DE21" s="210" t="inlineStr">
        <is>
          <t>N/A</t>
        </is>
      </c>
      <c r="DF21" s="210" t="inlineStr">
        <is>
          <t>N/A</t>
        </is>
      </c>
      <c r="DG21" s="210" t="inlineStr">
        <is>
          <t>N/A</t>
        </is>
      </c>
      <c r="DH21" s="210" t="inlineStr">
        <is>
          <t>N/A</t>
        </is>
      </c>
      <c r="DI21" s="210" t="inlineStr">
        <is>
          <t>N/A</t>
        </is>
      </c>
      <c r="DJ21" s="210" t="inlineStr">
        <is>
          <t>N/A</t>
        </is>
      </c>
      <c r="DK21" s="210" t="inlineStr">
        <is>
          <t>N/A</t>
        </is>
      </c>
      <c r="DL21" s="210" t="inlineStr">
        <is>
          <t>N/A</t>
        </is>
      </c>
      <c r="DM21" s="210" t="inlineStr">
        <is>
          <t>N/A</t>
        </is>
      </c>
      <c r="DN21" s="210" t="inlineStr">
        <is>
          <t>N/A</t>
        </is>
      </c>
      <c r="DO21" s="210" t="inlineStr">
        <is>
          <t>N/A</t>
        </is>
      </c>
      <c r="DP21" s="210" t="inlineStr">
        <is>
          <t>N/A</t>
        </is>
      </c>
      <c r="DQ21" s="210" t="inlineStr">
        <is>
          <t>N/A</t>
        </is>
      </c>
      <c r="DR21" s="212" t="n"/>
      <c r="DS21" s="212" t="n"/>
      <c r="DT21" s="212" t="n"/>
      <c r="DU21" s="212" t="n"/>
      <c r="DV21" s="212" t="n"/>
      <c r="DW21" s="212" t="n"/>
      <c r="DX21" s="212" t="n"/>
      <c r="DY21" s="212" t="n"/>
      <c r="DZ21" s="212" t="n"/>
      <c r="EA21" s="212" t="n"/>
      <c r="EB21" s="212" t="n"/>
      <c r="EC21" s="212" t="n"/>
      <c r="ED21" s="212" t="n"/>
      <c r="EE21" s="212" t="n"/>
      <c r="EF21" s="212" t="n"/>
      <c r="EG21" s="212" t="n"/>
      <c r="EH21" s="212" t="n"/>
      <c r="EI21" s="212" t="n"/>
      <c r="EJ21" s="212" t="n"/>
      <c r="EK21" s="212" t="n"/>
      <c r="EL21" s="212" t="n"/>
      <c r="EM21" s="212" t="n"/>
      <c r="EN21" s="212" t="n"/>
      <c r="EO21" s="212" t="n"/>
      <c r="EP21" s="212" t="n"/>
      <c r="EQ21" s="212" t="n"/>
      <c r="ER21" s="212" t="n"/>
      <c r="ES21" s="212" t="n"/>
      <c r="ET21" s="212" t="n"/>
      <c r="EU21" s="212" t="n"/>
      <c r="EV21" s="212" t="n"/>
      <c r="EW21" s="212" t="n"/>
      <c r="EX21" s="212" t="n"/>
      <c r="EY21" s="212" t="n"/>
      <c r="EZ21" s="212" t="n"/>
      <c r="FA21" s="212" t="n"/>
      <c r="FB21" s="212" t="n"/>
      <c r="FC21" s="212" t="n"/>
      <c r="FD21" s="212" t="n"/>
      <c r="FE21" s="212" t="n"/>
      <c r="FF21" s="212" t="n"/>
      <c r="FG21" s="212" t="n"/>
      <c r="FH21" s="212" t="n"/>
      <c r="FI21" s="212" t="n"/>
      <c r="FJ21" s="212" t="n"/>
      <c r="FK21" s="212" t="n"/>
      <c r="FL21" s="212" t="n"/>
      <c r="FM21" s="212" t="n"/>
      <c r="FN21" s="212" t="n"/>
      <c r="FO21" s="212" t="n"/>
      <c r="FP21" s="212" t="n"/>
      <c r="FQ21" s="212" t="n"/>
      <c r="FR21" s="212" t="n"/>
      <c r="FS21" s="212" t="n"/>
      <c r="FT21" s="212" t="n"/>
      <c r="FU21" s="212" t="n"/>
      <c r="FV21" s="212" t="n"/>
      <c r="FW21" s="212" t="n"/>
      <c r="FX21" s="212" t="n"/>
      <c r="FY21" s="212" t="n"/>
      <c r="FZ21" s="212" t="n"/>
      <c r="GA21" s="212" t="n"/>
      <c r="GB21" s="212" t="n"/>
      <c r="GC21" s="212" t="n"/>
      <c r="GD21" s="212" t="n"/>
      <c r="GE21" s="212" t="n"/>
      <c r="GF21" s="212" t="n"/>
      <c r="GG21" s="212" t="n"/>
      <c r="GH21" s="212" t="n"/>
      <c r="GI21" s="212" t="n"/>
      <c r="GJ21" s="212" t="n"/>
      <c r="GK21" s="212" t="n"/>
      <c r="GL21" s="212" t="n"/>
      <c r="GM21" s="212" t="n"/>
      <c r="GN21" s="212" t="n"/>
      <c r="GO21" s="212" t="n"/>
      <c r="GP21" s="212" t="n"/>
      <c r="GQ21" s="212" t="n"/>
      <c r="GR21" s="212" t="n"/>
      <c r="GS21" s="212" t="n"/>
      <c r="GT21" s="212" t="n"/>
      <c r="GU21" s="212" t="n"/>
      <c r="GV21" s="212" t="n"/>
      <c r="GW21" s="212" t="n"/>
      <c r="GX21" s="212" t="n"/>
      <c r="GY21" s="212" t="n"/>
      <c r="GZ21" s="212" t="n"/>
      <c r="HA21" s="212" t="n"/>
      <c r="HB21" s="212" t="n"/>
      <c r="HC21" s="212" t="n"/>
      <c r="HD21" s="212" t="n"/>
      <c r="HE21" s="212" t="n"/>
      <c r="HF21" s="212" t="n"/>
      <c r="HG21" s="212" t="n"/>
      <c r="HH21" s="212" t="n"/>
      <c r="HI21" s="212" t="n"/>
      <c r="HJ21" s="212" t="n"/>
      <c r="HK21" s="212" t="n"/>
      <c r="HL21" s="212" t="n"/>
      <c r="HM21" s="212" t="n"/>
      <c r="HN21" s="212" t="n"/>
      <c r="HO21" s="212" t="n"/>
      <c r="HP21" s="212" t="n"/>
      <c r="HQ21" s="212" t="n"/>
      <c r="HR21" s="212" t="n"/>
      <c r="HS21" s="212" t="n"/>
      <c r="HT21" s="212" t="n"/>
      <c r="HU21" s="212" t="n"/>
      <c r="HV21" s="212" t="n"/>
      <c r="HW21" s="212" t="n"/>
      <c r="HX21" s="212" t="n"/>
      <c r="HY21" s="212" t="n"/>
      <c r="HZ21" s="212" t="n"/>
      <c r="IA21" s="212" t="n"/>
      <c r="IB21" s="212" t="n"/>
      <c r="IC21" s="212" t="n"/>
      <c r="ID21" s="212" t="n"/>
      <c r="IE21" s="212" t="n"/>
      <c r="IF21" s="212" t="n"/>
      <c r="IG21" s="212" t="n"/>
      <c r="IH21" s="212" t="n"/>
      <c r="II21" s="212" t="n"/>
      <c r="IJ21" s="212" t="n"/>
      <c r="IK21" s="212" t="n"/>
      <c r="IL21" s="212" t="n"/>
      <c r="IM21" s="212" t="n"/>
      <c r="IN21" s="212" t="n"/>
      <c r="IO21" s="212" t="n"/>
      <c r="IP21" s="212" t="n"/>
      <c r="IQ21" s="212" t="n"/>
      <c r="IR21" s="212" t="n"/>
      <c r="IS21" s="212" t="n"/>
      <c r="IT21" s="212" t="n"/>
      <c r="IU21" s="212" t="n"/>
      <c r="IV21" s="212" t="n"/>
      <c r="IW21" s="212" t="n"/>
      <c r="IX21" s="212" t="n"/>
      <c r="IY21" s="212" t="n"/>
      <c r="IZ21" s="212" t="n"/>
      <c r="JA21" s="212" t="n"/>
      <c r="JB21" s="212" t="n"/>
      <c r="JC21" s="212" t="n"/>
      <c r="JD21" s="212" t="n"/>
      <c r="JE21" s="212" t="n"/>
      <c r="JF21" s="212" t="n"/>
      <c r="JG21" s="212" t="n"/>
      <c r="JH21" s="212" t="n"/>
      <c r="JI21" s="212" t="n"/>
      <c r="JJ21" s="212" t="n"/>
      <c r="JK21" s="212" t="n"/>
      <c r="JL21" s="212" t="n"/>
      <c r="JM21" s="212" t="n"/>
      <c r="JN21" s="212" t="n"/>
      <c r="JO21" s="212" t="n"/>
      <c r="JP21" s="212" t="n"/>
      <c r="JQ21" s="212" t="n"/>
      <c r="JR21" s="212" t="n"/>
      <c r="JS21" s="212" t="n"/>
      <c r="JT21" s="212" t="n"/>
      <c r="JU21" s="212" t="n"/>
      <c r="JV21" s="212" t="n"/>
      <c r="JW21" s="212" t="n"/>
      <c r="JX21" s="212" t="n"/>
      <c r="JY21" s="212" t="n"/>
      <c r="JZ21" s="212" t="n"/>
      <c r="KA21" s="212" t="n"/>
      <c r="KB21" s="212" t="n"/>
      <c r="KC21" s="212" t="n"/>
      <c r="KD21" s="212" t="n"/>
      <c r="KE21" s="212" t="n"/>
      <c r="KF21" s="212" t="n"/>
      <c r="KG21" s="212" t="n"/>
      <c r="KH21" s="212" t="n"/>
      <c r="KI21" s="212" t="n"/>
      <c r="KJ21" s="212" t="n"/>
      <c r="KK21" s="212" t="n"/>
      <c r="KL21" s="212" t="n"/>
      <c r="KM21" s="212" t="n"/>
      <c r="KN21" s="212" t="n"/>
      <c r="KO21" s="212" t="n"/>
      <c r="KP21" s="212" t="n"/>
      <c r="KQ21" s="212" t="n"/>
      <c r="KR21" s="212" t="n"/>
      <c r="KS21" s="212" t="n"/>
      <c r="KT21" s="212" t="n"/>
      <c r="KU21" s="212" t="n"/>
      <c r="KV21" s="212" t="n"/>
      <c r="KW21" s="212" t="n"/>
      <c r="KX21" s="212" t="n"/>
      <c r="KY21" s="212" t="n"/>
      <c r="KZ21" s="212" t="n"/>
      <c r="LA21" s="212" t="n"/>
      <c r="LB21" s="212" t="n"/>
      <c r="LC21" s="212" t="n"/>
      <c r="LD21" s="212" t="n"/>
      <c r="LE21" s="212" t="n"/>
      <c r="LF21" s="212" t="n"/>
      <c r="LG21" s="212" t="n"/>
      <c r="LH21" s="212" t="n"/>
      <c r="LI21" s="212" t="n"/>
      <c r="LJ21" s="212" t="n"/>
      <c r="LK21" s="212" t="n"/>
      <c r="LL21" s="212" t="n"/>
      <c r="LM21" s="212" t="n"/>
      <c r="LN21" s="212" t="n"/>
      <c r="LO21" s="212" t="n"/>
      <c r="LP21" s="212" t="n"/>
      <c r="LQ21" s="212" t="n"/>
      <c r="LR21" s="212" t="n"/>
      <c r="LS21" s="212" t="n"/>
      <c r="LT21" s="212" t="n"/>
      <c r="LU21" s="212" t="n"/>
      <c r="LV21" s="212" t="n"/>
      <c r="LW21" s="212" t="n"/>
      <c r="LX21" s="212" t="n"/>
      <c r="LY21" s="212" t="n"/>
      <c r="LZ21" s="212" t="n"/>
      <c r="MA21" s="212" t="n"/>
      <c r="MB21" s="212" t="n"/>
      <c r="MC21" s="212" t="n"/>
      <c r="MD21" s="212" t="n"/>
      <c r="ME21" s="212" t="n"/>
      <c r="MF21" s="212" t="n"/>
      <c r="MG21" s="212" t="n"/>
      <c r="MH21" s="212" t="n"/>
      <c r="MI21" s="212" t="n"/>
      <c r="MJ21" s="212" t="n"/>
      <c r="MK21" s="212" t="n"/>
      <c r="ML21" s="212" t="n"/>
      <c r="MM21" s="212" t="n"/>
      <c r="MN21" s="212" t="n"/>
      <c r="MO21" s="212" t="n"/>
      <c r="MP21" s="212" t="n"/>
      <c r="MQ21" s="212" t="n"/>
      <c r="MR21" s="212" t="n"/>
      <c r="MS21" s="212" t="n"/>
      <c r="MT21" s="212" t="n"/>
      <c r="MU21" s="212" t="n"/>
      <c r="MV21" s="212" t="n"/>
      <c r="MW21" s="212" t="n"/>
      <c r="MX21" s="212" t="n"/>
      <c r="MY21" s="212" t="n"/>
      <c r="MZ21" s="212" t="n"/>
      <c r="NA21" s="212" t="n"/>
      <c r="NB21" s="212" t="n"/>
      <c r="NC21" s="212" t="n"/>
      <c r="ND21" s="212" t="n"/>
      <c r="NE21" s="212" t="n"/>
      <c r="NF21" s="212" t="n"/>
      <c r="NG21" s="212" t="n"/>
      <c r="NH21" s="212" t="n"/>
      <c r="NI21" s="212" t="n"/>
      <c r="NJ21" s="212" t="n"/>
      <c r="NK21" s="212" t="n"/>
      <c r="NL21" s="212" t="n"/>
      <c r="NM21" s="212" t="n"/>
      <c r="NN21" s="212" t="n"/>
      <c r="NO21" s="212" t="n"/>
      <c r="NP21" s="212" t="n"/>
      <c r="NQ21" s="212" t="n"/>
      <c r="NR21" s="212" t="n"/>
      <c r="NS21" s="212" t="n"/>
      <c r="NT21" s="212" t="n"/>
      <c r="NU21" s="212" t="n"/>
      <c r="NV21" s="212" t="n"/>
      <c r="NW21" s="212" t="n"/>
      <c r="NX21" s="212" t="n"/>
      <c r="NY21" s="212" t="n"/>
      <c r="NZ21" s="212" t="n"/>
      <c r="OA21" s="212" t="n"/>
      <c r="OB21" s="212" t="n"/>
      <c r="OC21" s="212" t="n"/>
      <c r="OD21" s="212" t="n"/>
      <c r="OE21" s="212" t="n"/>
      <c r="OF21" s="212" t="n"/>
      <c r="OG21" s="212" t="n"/>
      <c r="OH21" s="212" t="n"/>
      <c r="OI21" s="212" t="n"/>
      <c r="OJ21" s="212" t="n"/>
      <c r="OK21" s="212" t="n"/>
      <c r="OL21" s="212" t="n"/>
      <c r="OM21" s="212" t="n"/>
      <c r="ON21" s="212" t="n"/>
      <c r="OO21" s="212" t="n"/>
      <c r="OP21" s="212" t="n"/>
      <c r="OQ21" s="212" t="n"/>
      <c r="OR21" s="212" t="n"/>
      <c r="OS21" s="212" t="n"/>
      <c r="OT21" s="212" t="n"/>
      <c r="OU21" s="212" t="n"/>
      <c r="OV21" s="212" t="n"/>
      <c r="OW21" s="212" t="n"/>
      <c r="OX21" s="212" t="n"/>
      <c r="OY21" s="212" t="n"/>
      <c r="OZ21" s="212" t="n"/>
      <c r="PA21" s="212" t="n"/>
      <c r="PB21" s="212" t="n"/>
      <c r="PC21" s="212" t="n"/>
      <c r="PD21" s="212" t="n"/>
      <c r="PE21" s="212" t="n"/>
      <c r="PF21" s="212" t="n"/>
      <c r="PG21" s="212" t="n"/>
      <c r="PH21" s="212" t="n"/>
      <c r="PI21" s="212" t="n"/>
      <c r="PJ21" s="212" t="n"/>
      <c r="PK21" s="212" t="n"/>
      <c r="PL21" s="212" t="n"/>
      <c r="PM21" s="212" t="n"/>
      <c r="PN21" s="212" t="n"/>
      <c r="PO21" s="212" t="n"/>
      <c r="PP21" s="212" t="n"/>
      <c r="PQ21" s="212" t="n"/>
      <c r="PR21" s="212" t="n"/>
      <c r="PS21" s="212" t="n"/>
      <c r="PT21" s="212" t="n"/>
      <c r="PU21" s="212" t="n"/>
      <c r="PV21" s="212" t="n"/>
      <c r="PW21" s="212" t="n"/>
      <c r="PX21" s="212" t="n"/>
      <c r="PY21" s="212" t="n"/>
      <c r="PZ21" s="212" t="n"/>
      <c r="QA21" s="212" t="n"/>
      <c r="QB21" s="212" t="n"/>
      <c r="QC21" s="212" t="n"/>
      <c r="QD21" s="212" t="n"/>
      <c r="QE21" s="212" t="n"/>
      <c r="QF21" s="212" t="n"/>
      <c r="QG21" s="212" t="n"/>
      <c r="QH21" s="212" t="n"/>
      <c r="QI21" s="212" t="n"/>
      <c r="QJ21" s="212" t="n"/>
      <c r="QK21" s="212" t="n"/>
      <c r="QL21" s="212" t="n"/>
      <c r="QM21" s="212" t="n"/>
      <c r="QN21" s="212" t="n"/>
      <c r="QO21" s="212" t="n"/>
      <c r="QP21" s="212" t="n"/>
      <c r="QQ21" s="212" t="n"/>
      <c r="QR21" s="212" t="n"/>
      <c r="QS21" s="212" t="n"/>
      <c r="QT21" s="212" t="n"/>
      <c r="QU21" s="212" t="n"/>
      <c r="QV21" s="212" t="n"/>
      <c r="QW21" s="212" t="n"/>
      <c r="QX21" s="212" t="n"/>
      <c r="QY21" s="212" t="n"/>
      <c r="QZ21" s="212" t="n"/>
      <c r="RA21" s="212" t="n"/>
      <c r="RB21" s="212" t="n"/>
      <c r="RC21" s="212" t="n"/>
      <c r="RD21" s="212" t="n"/>
      <c r="RE21" s="212" t="n"/>
      <c r="RF21" s="212" t="n"/>
      <c r="RG21" s="212" t="n"/>
      <c r="RH21" s="212" t="n"/>
      <c r="RI21" s="212" t="n"/>
      <c r="RJ21" s="212" t="n"/>
      <c r="RK21" s="212" t="n"/>
      <c r="RL21" s="212" t="n"/>
      <c r="RM21" s="212" t="n"/>
      <c r="RN21" s="212" t="n"/>
      <c r="RO21" s="212" t="n"/>
      <c r="RP21" s="212" t="n"/>
      <c r="RQ21" s="212" t="n"/>
      <c r="RR21" s="212" t="n"/>
      <c r="RS21" s="212" t="n"/>
      <c r="RT21" s="212" t="n"/>
      <c r="RU21" s="212" t="n"/>
      <c r="RV21" s="212" t="n"/>
      <c r="RW21" s="212" t="n"/>
      <c r="RX21" s="212" t="n"/>
      <c r="RY21" s="212" t="n"/>
      <c r="RZ21" s="212" t="n"/>
      <c r="SA21" s="212" t="n"/>
      <c r="SB21" s="212" t="n"/>
      <c r="SC21" s="212" t="n"/>
      <c r="SD21" s="212" t="n"/>
      <c r="SE21" s="212" t="n"/>
      <c r="SF21" s="212" t="n"/>
      <c r="SG21" s="212" t="n"/>
      <c r="SH21" s="212" t="n"/>
      <c r="SI21" s="212" t="n"/>
      <c r="SJ21" s="212" t="n"/>
      <c r="SK21" s="212" t="n"/>
      <c r="SL21" s="212" t="n"/>
      <c r="SM21" s="212" t="n"/>
      <c r="SN21" s="212" t="n"/>
      <c r="SO21" s="212" t="n"/>
      <c r="SP21" s="212" t="n"/>
      <c r="SQ21" s="212" t="n"/>
      <c r="SR21" s="212" t="n"/>
      <c r="SS21" s="212" t="n"/>
      <c r="ST21" s="212" t="n"/>
      <c r="SU21" s="212" t="n"/>
      <c r="SV21" s="212" t="n"/>
    </row>
    <row r="22">
      <c r="B22" s="209" t="n">
        <v>3</v>
      </c>
      <c r="C22" s="209" t="inlineStr">
        <is>
          <t>LGC Rail</t>
        </is>
      </c>
      <c r="D22" s="209" t="inlineStr">
        <is>
          <t>William</t>
        </is>
      </c>
      <c r="E22" s="209" t="inlineStr">
        <is>
          <t>Bolger</t>
        </is>
      </c>
      <c r="F22" s="209">
        <f>IF(TRIM(D22&amp;E22)="","",TRIM(D22)&amp;" "&amp;TRIM(E22))</f>
        <v/>
      </c>
      <c r="G22" s="209" t="inlineStr">
        <is>
          <t>Perth</t>
        </is>
      </c>
      <c r="H22" s="209" t="inlineStr">
        <is>
          <t>Operator - Truck Driver</t>
        </is>
      </c>
      <c r="I22" s="209" t="inlineStr">
        <is>
          <t>YES</t>
        </is>
      </c>
      <c r="J22" s="209" t="inlineStr">
        <is>
          <t>YES</t>
        </is>
      </c>
      <c r="K22" s="209" t="inlineStr">
        <is>
          <t>YES</t>
        </is>
      </c>
      <c r="L22" s="209" t="inlineStr">
        <is>
          <t>YES</t>
        </is>
      </c>
      <c r="M22" s="209" t="inlineStr">
        <is>
          <t>Quals Complete</t>
        </is>
      </c>
      <c r="N22" s="209" t="inlineStr">
        <is>
          <t>williamjamesbolger@gmail.com</t>
        </is>
      </c>
      <c r="O22" s="209" t="inlineStr">
        <is>
          <t>0415 768 330</t>
        </is>
      </c>
      <c r="P22" s="209" t="n">
        <v>855184</v>
      </c>
      <c r="Q22" s="209" t="n">
        <v>461151</v>
      </c>
      <c r="R22" s="209" t="inlineStr">
        <is>
          <t>2:1</t>
        </is>
      </c>
      <c r="S22" s="210" t="inlineStr">
        <is>
          <t>N/A</t>
        </is>
      </c>
      <c r="T22" s="210" t="inlineStr">
        <is>
          <t>N/A</t>
        </is>
      </c>
      <c r="U22" s="210" t="inlineStr">
        <is>
          <t>N/A</t>
        </is>
      </c>
      <c r="V22" s="210" t="inlineStr">
        <is>
          <t>N/A</t>
        </is>
      </c>
      <c r="W22" s="211" t="inlineStr">
        <is>
          <t>PER/PHE PM
LND</t>
        </is>
      </c>
      <c r="X22" s="211" t="inlineStr">
        <is>
          <t>LND</t>
        </is>
      </c>
      <c r="Y22" s="211" t="inlineStr">
        <is>
          <t>LND</t>
        </is>
      </c>
      <c r="Z22" s="211" t="inlineStr">
        <is>
          <t>LND</t>
        </is>
      </c>
      <c r="AA22" s="211" t="inlineStr">
        <is>
          <t>LND</t>
        </is>
      </c>
      <c r="AB22" s="211" t="inlineStr">
        <is>
          <t>LND</t>
        </is>
      </c>
      <c r="AC22" s="211" t="inlineStr">
        <is>
          <t>LND</t>
        </is>
      </c>
      <c r="AD22" s="211" t="inlineStr">
        <is>
          <t>LND</t>
        </is>
      </c>
      <c r="AE22" s="211" t="inlineStr">
        <is>
          <t>LND</t>
        </is>
      </c>
      <c r="AF22" s="211" t="inlineStr">
        <is>
          <t>LND</t>
        </is>
      </c>
      <c r="AG22" s="211" t="inlineStr">
        <is>
          <t>LND</t>
        </is>
      </c>
      <c r="AH22" s="211" t="inlineStr">
        <is>
          <t>LND</t>
        </is>
      </c>
      <c r="AI22" s="211" t="inlineStr">
        <is>
          <t>LND</t>
        </is>
      </c>
      <c r="AJ22" s="211" t="inlineStr">
        <is>
          <t>LND</t>
        </is>
      </c>
      <c r="AK22" s="211" t="inlineStr">
        <is>
          <t>PHE/PER PM</t>
        </is>
      </c>
      <c r="AL22" s="214" t="inlineStr">
        <is>
          <t>RnR</t>
        </is>
      </c>
      <c r="AM22" s="214" t="inlineStr">
        <is>
          <t>RnR</t>
        </is>
      </c>
      <c r="AN22" s="214" t="inlineStr">
        <is>
          <t>RnR</t>
        </is>
      </c>
      <c r="AO22" s="214" t="inlineStr">
        <is>
          <t>RnR</t>
        </is>
      </c>
      <c r="AP22" s="214" t="inlineStr">
        <is>
          <t>RnR</t>
        </is>
      </c>
      <c r="AQ22" s="214" t="inlineStr">
        <is>
          <t>RnR</t>
        </is>
      </c>
      <c r="AR22" s="211" t="inlineStr">
        <is>
          <t>PER/PHE PM
LND</t>
        </is>
      </c>
      <c r="AS22" s="211" t="inlineStr">
        <is>
          <t>GWV</t>
        </is>
      </c>
      <c r="AT22" s="211" t="inlineStr">
        <is>
          <t>GWV</t>
        </is>
      </c>
      <c r="AU22" s="211" t="inlineStr">
        <is>
          <t>GWV</t>
        </is>
      </c>
      <c r="AV22" s="211" t="inlineStr">
        <is>
          <t>GWV</t>
        </is>
      </c>
      <c r="AW22" s="211" t="inlineStr">
        <is>
          <t>GWV</t>
        </is>
      </c>
      <c r="AX22" s="211" t="inlineStr">
        <is>
          <t>GWV</t>
        </is>
      </c>
      <c r="AY22" s="211" t="inlineStr">
        <is>
          <t>GWV</t>
        </is>
      </c>
      <c r="AZ22" s="211" t="inlineStr">
        <is>
          <t>RDM</t>
        </is>
      </c>
      <c r="BA22" s="211" t="inlineStr">
        <is>
          <t>PHE/PER PM</t>
        </is>
      </c>
      <c r="BB22" s="216" t="inlineStr">
        <is>
          <t>A/L</t>
        </is>
      </c>
      <c r="BC22" s="216" t="inlineStr">
        <is>
          <t>A/L</t>
        </is>
      </c>
      <c r="BD22" s="216" t="inlineStr">
        <is>
          <t>A/L</t>
        </is>
      </c>
      <c r="BE22" s="216" t="inlineStr">
        <is>
          <t>A/L</t>
        </is>
      </c>
      <c r="BF22" s="216" t="inlineStr">
        <is>
          <t>A/L</t>
        </is>
      </c>
      <c r="BG22" s="214" t="inlineStr">
        <is>
          <t>RnR</t>
        </is>
      </c>
      <c r="BH22" s="214" t="inlineStr">
        <is>
          <t>RnR</t>
        </is>
      </c>
      <c r="BI22" s="214" t="inlineStr">
        <is>
          <t>RnR</t>
        </is>
      </c>
      <c r="BJ22" s="214" t="inlineStr">
        <is>
          <t>RnR</t>
        </is>
      </c>
      <c r="BK22" s="214" t="inlineStr">
        <is>
          <t>RnR</t>
        </is>
      </c>
      <c r="BL22" s="214" t="inlineStr">
        <is>
          <t>RnR</t>
        </is>
      </c>
      <c r="BM22" s="216" t="inlineStr">
        <is>
          <t>A/L</t>
        </is>
      </c>
      <c r="BN22" s="216" t="inlineStr">
        <is>
          <t>A/L</t>
        </is>
      </c>
      <c r="BO22" s="216" t="inlineStr">
        <is>
          <t>A/L</t>
        </is>
      </c>
      <c r="BP22" s="216" t="inlineStr">
        <is>
          <t>A/L</t>
        </is>
      </c>
      <c r="BQ22" s="216" t="inlineStr">
        <is>
          <t>A/L</t>
        </is>
      </c>
      <c r="BR22" s="211" t="inlineStr">
        <is>
          <t>PER/PHE PM
GWV</t>
        </is>
      </c>
      <c r="BS22" s="211" t="inlineStr">
        <is>
          <t>RDM</t>
        </is>
      </c>
      <c r="BT22" s="211" t="inlineStr">
        <is>
          <t>RDM</t>
        </is>
      </c>
      <c r="BU22" s="211" t="inlineStr">
        <is>
          <t>RDM</t>
        </is>
      </c>
      <c r="BV22" s="211" t="inlineStr">
        <is>
          <t>RDM</t>
        </is>
      </c>
      <c r="BW22" s="211" t="inlineStr">
        <is>
          <t>RDM</t>
        </is>
      </c>
      <c r="BX22" s="211" t="inlineStr">
        <is>
          <t>RDM</t>
        </is>
      </c>
      <c r="BY22" s="211" t="inlineStr">
        <is>
          <t>RDM</t>
        </is>
      </c>
      <c r="BZ22" s="211" t="inlineStr">
        <is>
          <t>RDM</t>
        </is>
      </c>
      <c r="CA22" s="211" t="inlineStr">
        <is>
          <t>PHE/PER PM</t>
        </is>
      </c>
      <c r="CB22" s="214" t="inlineStr">
        <is>
          <t>RnR</t>
        </is>
      </c>
      <c r="CC22" s="214" t="inlineStr">
        <is>
          <t>RnR</t>
        </is>
      </c>
      <c r="CD22" s="214" t="inlineStr">
        <is>
          <t>RnR</t>
        </is>
      </c>
      <c r="CE22" s="214" t="inlineStr">
        <is>
          <t>RnR</t>
        </is>
      </c>
      <c r="CF22" s="214" t="inlineStr">
        <is>
          <t>RnR</t>
        </is>
      </c>
      <c r="CG22" s="214" t="inlineStr">
        <is>
          <t>RnR</t>
        </is>
      </c>
      <c r="CH22" s="210" t="inlineStr">
        <is>
          <t>PER/PHE PM
LND</t>
        </is>
      </c>
      <c r="CI22" s="210" t="inlineStr">
        <is>
          <t>RDM</t>
        </is>
      </c>
      <c r="CJ22" s="210" t="inlineStr">
        <is>
          <t>RDM</t>
        </is>
      </c>
      <c r="CK22" s="210" t="inlineStr">
        <is>
          <t>RDM</t>
        </is>
      </c>
      <c r="CL22" s="210" t="inlineStr">
        <is>
          <t>RDM</t>
        </is>
      </c>
      <c r="CM22" s="210" t="inlineStr">
        <is>
          <t>RDM</t>
        </is>
      </c>
      <c r="CN22" s="210" t="inlineStr">
        <is>
          <t>RDM</t>
        </is>
      </c>
      <c r="CO22" s="210" t="inlineStr">
        <is>
          <t>PHE/PER PM</t>
        </is>
      </c>
      <c r="CP22" s="217" t="inlineStr">
        <is>
          <t>DEMOB</t>
        </is>
      </c>
      <c r="CQ22" s="210" t="inlineStr">
        <is>
          <t>N/A</t>
        </is>
      </c>
      <c r="CR22" s="210" t="inlineStr">
        <is>
          <t>N/A</t>
        </is>
      </c>
      <c r="CS22" s="210" t="inlineStr">
        <is>
          <t>N/A</t>
        </is>
      </c>
      <c r="CT22" s="210" t="inlineStr">
        <is>
          <t>N/A</t>
        </is>
      </c>
      <c r="CU22" s="210" t="inlineStr">
        <is>
          <t>N/A</t>
        </is>
      </c>
      <c r="CV22" s="210" t="inlineStr">
        <is>
          <t>N/A</t>
        </is>
      </c>
      <c r="CW22" s="210" t="inlineStr">
        <is>
          <t>N/A</t>
        </is>
      </c>
      <c r="CX22" s="210" t="inlineStr">
        <is>
          <t>N/A</t>
        </is>
      </c>
      <c r="CY22" s="210" t="inlineStr">
        <is>
          <t>N/A</t>
        </is>
      </c>
      <c r="CZ22" s="210" t="inlineStr">
        <is>
          <t>N/A</t>
        </is>
      </c>
      <c r="DA22" s="210" t="inlineStr">
        <is>
          <t>N/A</t>
        </is>
      </c>
      <c r="DB22" s="210" t="inlineStr">
        <is>
          <t>N/A</t>
        </is>
      </c>
      <c r="DC22" s="210" t="inlineStr">
        <is>
          <t>N/A</t>
        </is>
      </c>
      <c r="DD22" s="210" t="inlineStr">
        <is>
          <t>N/A</t>
        </is>
      </c>
      <c r="DE22" s="210" t="inlineStr">
        <is>
          <t>N/A</t>
        </is>
      </c>
      <c r="DF22" s="210" t="inlineStr">
        <is>
          <t>N/A</t>
        </is>
      </c>
      <c r="DG22" s="210" t="inlineStr">
        <is>
          <t>N/A</t>
        </is>
      </c>
      <c r="DH22" s="210" t="inlineStr">
        <is>
          <t>N/A</t>
        </is>
      </c>
      <c r="DI22" s="210" t="inlineStr">
        <is>
          <t>N/A</t>
        </is>
      </c>
      <c r="DJ22" s="210" t="inlineStr">
        <is>
          <t>N/A</t>
        </is>
      </c>
      <c r="DK22" s="210" t="inlineStr">
        <is>
          <t>N/A</t>
        </is>
      </c>
      <c r="DL22" s="210" t="inlineStr">
        <is>
          <t>N/A</t>
        </is>
      </c>
      <c r="DM22" s="210" t="inlineStr">
        <is>
          <t>N/A</t>
        </is>
      </c>
      <c r="DN22" s="210" t="inlineStr">
        <is>
          <t>N/A</t>
        </is>
      </c>
      <c r="DO22" s="210" t="inlineStr">
        <is>
          <t>N/A</t>
        </is>
      </c>
      <c r="DP22" s="210" t="inlineStr">
        <is>
          <t>N/A</t>
        </is>
      </c>
      <c r="DQ22" s="210" t="inlineStr">
        <is>
          <t>N/A</t>
        </is>
      </c>
      <c r="DR22" s="212" t="n"/>
      <c r="DS22" s="212" t="n"/>
      <c r="DT22" s="212" t="n"/>
      <c r="DU22" s="212" t="n"/>
      <c r="DV22" s="212" t="n"/>
      <c r="DW22" s="212" t="n"/>
      <c r="DX22" s="212" t="n"/>
      <c r="DY22" s="212" t="n"/>
      <c r="DZ22" s="212" t="n"/>
      <c r="EA22" s="212" t="n"/>
      <c r="EB22" s="212" t="n"/>
      <c r="EC22" s="212" t="n"/>
      <c r="ED22" s="212" t="n"/>
      <c r="EE22" s="212" t="n"/>
      <c r="EF22" s="212" t="n"/>
      <c r="EG22" s="212" t="n"/>
      <c r="EH22" s="212" t="n"/>
      <c r="EI22" s="212" t="n"/>
      <c r="EJ22" s="212" t="n"/>
      <c r="EK22" s="212" t="n"/>
      <c r="EL22" s="212" t="n"/>
      <c r="EM22" s="212" t="n"/>
      <c r="EN22" s="212" t="n"/>
      <c r="EO22" s="212" t="n"/>
      <c r="EP22" s="212" t="n"/>
      <c r="EQ22" s="212" t="n"/>
      <c r="ER22" s="212" t="n"/>
      <c r="ES22" s="212" t="n"/>
      <c r="ET22" s="212" t="n"/>
      <c r="EU22" s="212" t="n"/>
      <c r="EV22" s="212" t="n"/>
      <c r="EW22" s="212" t="n"/>
      <c r="EX22" s="212" t="n"/>
      <c r="EY22" s="212" t="n"/>
      <c r="EZ22" s="212" t="n"/>
      <c r="FA22" s="212" t="n"/>
      <c r="FB22" s="212" t="n"/>
      <c r="FC22" s="212" t="n"/>
      <c r="FD22" s="212" t="n"/>
      <c r="FE22" s="212" t="n"/>
      <c r="FF22" s="212" t="n"/>
      <c r="FG22" s="212" t="n"/>
      <c r="FH22" s="212" t="n"/>
      <c r="FI22" s="212" t="n"/>
      <c r="FJ22" s="212" t="n"/>
      <c r="FK22" s="212" t="n"/>
      <c r="FL22" s="212" t="n"/>
      <c r="FM22" s="212" t="n"/>
      <c r="FN22" s="212" t="n"/>
      <c r="FO22" s="212" t="n"/>
      <c r="FP22" s="212" t="n"/>
      <c r="FQ22" s="212" t="n"/>
      <c r="FR22" s="212" t="n"/>
      <c r="FS22" s="212" t="n"/>
      <c r="FT22" s="212" t="n"/>
      <c r="FU22" s="212" t="n"/>
      <c r="FV22" s="212" t="n"/>
      <c r="FW22" s="212" t="n"/>
      <c r="FX22" s="212" t="n"/>
      <c r="FY22" s="212" t="n"/>
      <c r="FZ22" s="212" t="n"/>
      <c r="GA22" s="212" t="n"/>
      <c r="GB22" s="212" t="n"/>
      <c r="GC22" s="212" t="n"/>
      <c r="GD22" s="212" t="n"/>
      <c r="GE22" s="212" t="n"/>
      <c r="GF22" s="212" t="n"/>
      <c r="GG22" s="212" t="n"/>
      <c r="GH22" s="212" t="n"/>
      <c r="GI22" s="212" t="n"/>
      <c r="GJ22" s="212" t="n"/>
      <c r="GK22" s="212" t="n"/>
      <c r="GL22" s="212" t="n"/>
      <c r="GM22" s="212" t="n"/>
      <c r="GN22" s="212" t="n"/>
      <c r="GO22" s="212" t="n"/>
      <c r="GP22" s="212" t="n"/>
      <c r="GQ22" s="212" t="n"/>
      <c r="GR22" s="212" t="n"/>
      <c r="GS22" s="212" t="n"/>
      <c r="GT22" s="212" t="n"/>
      <c r="GU22" s="212" t="n"/>
      <c r="GV22" s="212" t="n"/>
      <c r="GW22" s="212" t="n"/>
      <c r="GX22" s="212" t="n"/>
      <c r="GY22" s="212" t="n"/>
      <c r="GZ22" s="212" t="n"/>
      <c r="HA22" s="212" t="n"/>
      <c r="HB22" s="212" t="n"/>
      <c r="HC22" s="212" t="n"/>
      <c r="HD22" s="212" t="n"/>
      <c r="HE22" s="212" t="n"/>
      <c r="HF22" s="212" t="n"/>
      <c r="HG22" s="212" t="n"/>
      <c r="HH22" s="212" t="n"/>
      <c r="HI22" s="212" t="n"/>
      <c r="HJ22" s="212" t="n"/>
      <c r="HK22" s="212" t="n"/>
      <c r="HL22" s="212" t="n"/>
      <c r="HM22" s="212" t="n"/>
      <c r="HN22" s="212" t="n"/>
      <c r="HO22" s="212" t="n"/>
      <c r="HP22" s="212" t="n"/>
      <c r="HQ22" s="212" t="n"/>
      <c r="HR22" s="212" t="n"/>
      <c r="HS22" s="212" t="n"/>
      <c r="HT22" s="212" t="n"/>
      <c r="HU22" s="212" t="n"/>
      <c r="HV22" s="212" t="n"/>
      <c r="HW22" s="212" t="n"/>
      <c r="HX22" s="212" t="n"/>
      <c r="HY22" s="212" t="n"/>
      <c r="HZ22" s="212" t="n"/>
      <c r="IA22" s="212" t="n"/>
      <c r="IB22" s="212" t="n"/>
      <c r="IC22" s="212" t="n"/>
      <c r="ID22" s="212" t="n"/>
      <c r="IE22" s="212" t="n"/>
      <c r="IF22" s="212" t="n"/>
      <c r="IG22" s="212" t="n"/>
      <c r="IH22" s="212" t="n"/>
      <c r="II22" s="212" t="n"/>
      <c r="IJ22" s="212" t="n"/>
      <c r="IK22" s="212" t="n"/>
      <c r="IL22" s="212" t="n"/>
      <c r="IM22" s="212" t="n"/>
      <c r="IN22" s="212" t="n"/>
      <c r="IO22" s="212" t="n"/>
      <c r="IP22" s="212" t="n"/>
      <c r="IQ22" s="212" t="n"/>
      <c r="IR22" s="212" t="n"/>
      <c r="IS22" s="212" t="n"/>
      <c r="IT22" s="212" t="n"/>
      <c r="IU22" s="212" t="n"/>
      <c r="IV22" s="212" t="n"/>
      <c r="IW22" s="212" t="n"/>
      <c r="IX22" s="212" t="n"/>
      <c r="IY22" s="212" t="n"/>
      <c r="IZ22" s="212" t="n"/>
      <c r="JA22" s="212" t="n"/>
      <c r="JB22" s="212" t="n"/>
      <c r="JC22" s="212" t="n"/>
      <c r="JD22" s="212" t="n"/>
      <c r="JE22" s="212" t="n"/>
      <c r="JF22" s="212" t="n"/>
      <c r="JG22" s="212" t="n"/>
      <c r="JH22" s="212" t="n"/>
      <c r="JI22" s="212" t="n"/>
      <c r="JJ22" s="212" t="n"/>
      <c r="JK22" s="212" t="n"/>
      <c r="JL22" s="212" t="n"/>
      <c r="JM22" s="212" t="n"/>
      <c r="JN22" s="212" t="n"/>
      <c r="JO22" s="212" t="n"/>
      <c r="JP22" s="212" t="n"/>
      <c r="JQ22" s="212" t="n"/>
      <c r="JR22" s="212" t="n"/>
      <c r="JS22" s="212" t="n"/>
      <c r="JT22" s="212" t="n"/>
      <c r="JU22" s="212" t="n"/>
      <c r="JV22" s="212" t="n"/>
      <c r="JW22" s="212" t="n"/>
      <c r="JX22" s="212" t="n"/>
      <c r="JY22" s="212" t="n"/>
      <c r="JZ22" s="212" t="n"/>
      <c r="KA22" s="212" t="n"/>
      <c r="KB22" s="212" t="n"/>
      <c r="KC22" s="212" t="n"/>
      <c r="KD22" s="212" t="n"/>
      <c r="KE22" s="212" t="n"/>
      <c r="KF22" s="212" t="n"/>
      <c r="KG22" s="212" t="n"/>
      <c r="KH22" s="212" t="n"/>
      <c r="KI22" s="212" t="n"/>
      <c r="KJ22" s="212" t="n"/>
      <c r="KK22" s="212" t="n"/>
      <c r="KL22" s="212" t="n"/>
      <c r="KM22" s="212" t="n"/>
      <c r="KN22" s="212" t="n"/>
      <c r="KO22" s="212" t="n"/>
      <c r="KP22" s="212" t="n"/>
      <c r="KQ22" s="212" t="n"/>
      <c r="KR22" s="212" t="n"/>
      <c r="KS22" s="212" t="n"/>
      <c r="KT22" s="212" t="n"/>
      <c r="KU22" s="212" t="n"/>
      <c r="KV22" s="212" t="n"/>
      <c r="KW22" s="212" t="n"/>
      <c r="KX22" s="212" t="n"/>
      <c r="KY22" s="212" t="n"/>
      <c r="KZ22" s="212" t="n"/>
      <c r="LA22" s="212" t="n"/>
      <c r="LB22" s="212" t="n"/>
      <c r="LC22" s="212" t="n"/>
      <c r="LD22" s="212" t="n"/>
      <c r="LE22" s="212" t="n"/>
      <c r="LF22" s="212" t="n"/>
      <c r="LG22" s="212" t="n"/>
      <c r="LH22" s="212" t="n"/>
      <c r="LI22" s="212" t="n"/>
      <c r="LJ22" s="212" t="n"/>
      <c r="LK22" s="212" t="n"/>
      <c r="LL22" s="212" t="n"/>
      <c r="LM22" s="212" t="n"/>
      <c r="LN22" s="212" t="n"/>
      <c r="LO22" s="212" t="n"/>
      <c r="LP22" s="212" t="n"/>
      <c r="LQ22" s="212" t="n"/>
      <c r="LR22" s="212" t="n"/>
      <c r="LS22" s="212" t="n"/>
      <c r="LT22" s="212" t="n"/>
      <c r="LU22" s="212" t="n"/>
      <c r="LV22" s="212" t="n"/>
      <c r="LW22" s="212" t="n"/>
      <c r="LX22" s="212" t="n"/>
      <c r="LY22" s="212" t="n"/>
      <c r="LZ22" s="212" t="n"/>
      <c r="MA22" s="212" t="n"/>
      <c r="MB22" s="212" t="n"/>
      <c r="MC22" s="212" t="n"/>
      <c r="MD22" s="212" t="n"/>
      <c r="ME22" s="212" t="n"/>
      <c r="MF22" s="212" t="n"/>
      <c r="MG22" s="212" t="n"/>
      <c r="MH22" s="212" t="n"/>
      <c r="MI22" s="212" t="n"/>
      <c r="MJ22" s="212" t="n"/>
      <c r="MK22" s="212" t="n"/>
      <c r="ML22" s="212" t="n"/>
      <c r="MM22" s="212" t="n"/>
      <c r="MN22" s="212" t="n"/>
      <c r="MO22" s="212" t="n"/>
      <c r="MP22" s="212" t="n"/>
      <c r="MQ22" s="212" t="n"/>
      <c r="MR22" s="212" t="n"/>
      <c r="MS22" s="212" t="n"/>
      <c r="MT22" s="212" t="n"/>
      <c r="MU22" s="212" t="n"/>
      <c r="MV22" s="212" t="n"/>
      <c r="MW22" s="212" t="n"/>
      <c r="MX22" s="212" t="n"/>
      <c r="MY22" s="212" t="n"/>
      <c r="MZ22" s="212" t="n"/>
      <c r="NA22" s="212" t="n"/>
      <c r="NB22" s="212" t="n"/>
      <c r="NC22" s="212" t="n"/>
      <c r="ND22" s="212" t="n"/>
      <c r="NE22" s="212" t="n"/>
      <c r="NF22" s="212" t="n"/>
      <c r="NG22" s="212" t="n"/>
      <c r="NH22" s="212" t="n"/>
      <c r="NI22" s="212" t="n"/>
      <c r="NJ22" s="212" t="n"/>
      <c r="NK22" s="212" t="n"/>
      <c r="NL22" s="212" t="n"/>
      <c r="NM22" s="212" t="n"/>
      <c r="NN22" s="212" t="n"/>
      <c r="NO22" s="212" t="n"/>
      <c r="NP22" s="212" t="n"/>
      <c r="NQ22" s="212" t="n"/>
      <c r="NR22" s="212" t="n"/>
      <c r="NS22" s="212" t="n"/>
      <c r="NT22" s="212" t="n"/>
      <c r="NU22" s="212" t="n"/>
      <c r="NV22" s="212" t="n"/>
      <c r="NW22" s="212" t="n"/>
      <c r="NX22" s="212" t="n"/>
      <c r="NY22" s="212" t="n"/>
      <c r="NZ22" s="212" t="n"/>
      <c r="OA22" s="212" t="n"/>
      <c r="OB22" s="212" t="n"/>
      <c r="OC22" s="212" t="n"/>
      <c r="OD22" s="212" t="n"/>
      <c r="OE22" s="212" t="n"/>
      <c r="OF22" s="212" t="n"/>
      <c r="OG22" s="212" t="n"/>
      <c r="OH22" s="212" t="n"/>
      <c r="OI22" s="212" t="n"/>
      <c r="OJ22" s="212" t="n"/>
      <c r="OK22" s="212" t="n"/>
      <c r="OL22" s="212" t="n"/>
      <c r="OM22" s="212" t="n"/>
      <c r="ON22" s="212" t="n"/>
      <c r="OO22" s="212" t="n"/>
      <c r="OP22" s="212" t="n"/>
      <c r="OQ22" s="212" t="n"/>
      <c r="OR22" s="212" t="n"/>
      <c r="OS22" s="212" t="n"/>
      <c r="OT22" s="212" t="n"/>
      <c r="OU22" s="212" t="n"/>
      <c r="OV22" s="212" t="n"/>
      <c r="OW22" s="212" t="n"/>
      <c r="OX22" s="212" t="n"/>
      <c r="OY22" s="212" t="n"/>
      <c r="OZ22" s="212" t="n"/>
      <c r="PA22" s="212" t="n"/>
      <c r="PB22" s="212" t="n"/>
      <c r="PC22" s="212" t="n"/>
      <c r="PD22" s="212" t="n"/>
      <c r="PE22" s="212" t="n"/>
      <c r="PF22" s="212" t="n"/>
      <c r="PG22" s="212" t="n"/>
      <c r="PH22" s="212" t="n"/>
      <c r="PI22" s="212" t="n"/>
      <c r="PJ22" s="212" t="n"/>
      <c r="PK22" s="212" t="n"/>
      <c r="PL22" s="212" t="n"/>
      <c r="PM22" s="212" t="n"/>
      <c r="PN22" s="212" t="n"/>
      <c r="PO22" s="212" t="n"/>
      <c r="PP22" s="212" t="n"/>
      <c r="PQ22" s="212" t="n"/>
      <c r="PR22" s="212" t="n"/>
      <c r="PS22" s="212" t="n"/>
      <c r="PT22" s="212" t="n"/>
      <c r="PU22" s="212" t="n"/>
      <c r="PV22" s="212" t="n"/>
      <c r="PW22" s="212" t="n"/>
      <c r="PX22" s="212" t="n"/>
      <c r="PY22" s="212" t="n"/>
      <c r="PZ22" s="212" t="n"/>
      <c r="QA22" s="212" t="n"/>
      <c r="QB22" s="212" t="n"/>
      <c r="QC22" s="212" t="n"/>
      <c r="QD22" s="212" t="n"/>
      <c r="QE22" s="212" t="n"/>
      <c r="QF22" s="212" t="n"/>
      <c r="QG22" s="212" t="n"/>
      <c r="QH22" s="212" t="n"/>
      <c r="QI22" s="212" t="n"/>
      <c r="QJ22" s="212" t="n"/>
      <c r="QK22" s="212" t="n"/>
      <c r="QL22" s="212" t="n"/>
      <c r="QM22" s="212" t="n"/>
      <c r="QN22" s="212" t="n"/>
      <c r="QO22" s="212" t="n"/>
      <c r="QP22" s="212" t="n"/>
      <c r="QQ22" s="212" t="n"/>
      <c r="QR22" s="212" t="n"/>
      <c r="QS22" s="212" t="n"/>
      <c r="QT22" s="212" t="n"/>
      <c r="QU22" s="212" t="n"/>
      <c r="QV22" s="212" t="n"/>
      <c r="QW22" s="212" t="n"/>
      <c r="QX22" s="212" t="n"/>
      <c r="QY22" s="212" t="n"/>
      <c r="QZ22" s="212" t="n"/>
      <c r="RA22" s="212" t="n"/>
      <c r="RB22" s="212" t="n"/>
      <c r="RC22" s="212" t="n"/>
      <c r="RD22" s="212" t="n"/>
      <c r="RE22" s="212" t="n"/>
      <c r="RF22" s="212" t="n"/>
      <c r="RG22" s="212" t="n"/>
      <c r="RH22" s="212" t="n"/>
      <c r="RI22" s="212" t="n"/>
      <c r="RJ22" s="212" t="n"/>
      <c r="RK22" s="212" t="n"/>
      <c r="RL22" s="212" t="n"/>
      <c r="RM22" s="212" t="n"/>
      <c r="RN22" s="212" t="n"/>
      <c r="RO22" s="212" t="n"/>
      <c r="RP22" s="212" t="n"/>
      <c r="RQ22" s="212" t="n"/>
      <c r="RR22" s="212" t="n"/>
      <c r="RS22" s="212" t="n"/>
      <c r="RT22" s="212" t="n"/>
      <c r="RU22" s="212" t="n"/>
      <c r="RV22" s="212" t="n"/>
      <c r="RW22" s="212" t="n"/>
      <c r="RX22" s="212" t="n"/>
      <c r="RY22" s="212" t="n"/>
      <c r="RZ22" s="212" t="n"/>
      <c r="SA22" s="212" t="n"/>
      <c r="SB22" s="212" t="n"/>
      <c r="SC22" s="212" t="n"/>
      <c r="SD22" s="212" t="n"/>
      <c r="SE22" s="212" t="n"/>
      <c r="SF22" s="212" t="n"/>
      <c r="SG22" s="212" t="n"/>
      <c r="SH22" s="212" t="n"/>
      <c r="SI22" s="212" t="n"/>
      <c r="SJ22" s="212" t="n"/>
      <c r="SK22" s="212" t="n"/>
      <c r="SL22" s="212" t="n"/>
      <c r="SM22" s="212" t="n"/>
      <c r="SN22" s="212" t="n"/>
      <c r="SO22" s="212" t="n"/>
      <c r="SP22" s="212" t="n"/>
      <c r="SQ22" s="212" t="n"/>
      <c r="SR22" s="212" t="n"/>
      <c r="SS22" s="212" t="n"/>
      <c r="ST22" s="212" t="n"/>
      <c r="SU22" s="212" t="n"/>
      <c r="SV22" s="212" t="n"/>
    </row>
    <row r="23">
      <c r="B23" s="209" t="n">
        <v>4</v>
      </c>
      <c r="C23" s="209" t="inlineStr">
        <is>
          <t>SLM</t>
        </is>
      </c>
      <c r="D23" s="209" t="inlineStr">
        <is>
          <t>Duke</t>
        </is>
      </c>
      <c r="E23" s="209" t="inlineStr">
        <is>
          <t>Southby Osborne</t>
        </is>
      </c>
      <c r="F23" s="209">
        <f>IF(TRIM(D23&amp;E23)="","",TRIM(D23)&amp;" "&amp;TRIM(E23))</f>
        <v/>
      </c>
      <c r="G23" s="209" t="inlineStr">
        <is>
          <t>Perth</t>
        </is>
      </c>
      <c r="H23" s="209" t="inlineStr">
        <is>
          <t>Operator - Excavator /  Roller Operator / Skid Steer Loader</t>
        </is>
      </c>
      <c r="I23" s="209" t="inlineStr">
        <is>
          <t>YES</t>
        </is>
      </c>
      <c r="J23" s="209" t="inlineStr">
        <is>
          <t>YES</t>
        </is>
      </c>
      <c r="K23" s="209" t="inlineStr">
        <is>
          <t>YES</t>
        </is>
      </c>
      <c r="L23" s="209" t="inlineStr">
        <is>
          <t>YES</t>
        </is>
      </c>
      <c r="M23" s="209" t="inlineStr">
        <is>
          <t>Quals Complete</t>
        </is>
      </c>
      <c r="N23" s="209" t="inlineStr">
        <is>
          <t>duke.southbyosborne@gmail.com</t>
        </is>
      </c>
      <c r="O23" s="209" t="inlineStr">
        <is>
          <t>0481 235 650</t>
        </is>
      </c>
      <c r="P23" s="209" t="n">
        <v>860792</v>
      </c>
      <c r="Q23" s="209" t="n">
        <v>465241</v>
      </c>
      <c r="R23" s="209" t="inlineStr">
        <is>
          <t>2:1</t>
        </is>
      </c>
      <c r="S23" s="210" t="inlineStr">
        <is>
          <t>N/A</t>
        </is>
      </c>
      <c r="T23" s="210" t="inlineStr">
        <is>
          <t>N/A</t>
        </is>
      </c>
      <c r="U23" s="210" t="inlineStr">
        <is>
          <t>N/A</t>
        </is>
      </c>
      <c r="V23" s="211" t="inlineStr">
        <is>
          <t>PER/PHE PM
LND</t>
        </is>
      </c>
      <c r="W23" s="211" t="inlineStr">
        <is>
          <t>LND</t>
        </is>
      </c>
      <c r="X23" s="211" t="inlineStr">
        <is>
          <t>LND</t>
        </is>
      </c>
      <c r="Y23" s="211" t="inlineStr">
        <is>
          <t>LND</t>
        </is>
      </c>
      <c r="Z23" s="211" t="inlineStr">
        <is>
          <t>LND</t>
        </is>
      </c>
      <c r="AA23" s="211" t="inlineStr">
        <is>
          <t>LND</t>
        </is>
      </c>
      <c r="AB23" s="211" t="inlineStr">
        <is>
          <t>LND</t>
        </is>
      </c>
      <c r="AC23" s="211" t="inlineStr">
        <is>
          <t>LND</t>
        </is>
      </c>
      <c r="AD23" s="211" t="inlineStr">
        <is>
          <t>LND</t>
        </is>
      </c>
      <c r="AE23" s="211" t="inlineStr">
        <is>
          <t>LND</t>
        </is>
      </c>
      <c r="AF23" s="211" t="inlineStr">
        <is>
          <t>LND</t>
        </is>
      </c>
      <c r="AG23" s="211" t="inlineStr">
        <is>
          <t>PHE/PER AM</t>
        </is>
      </c>
      <c r="AH23" s="214" t="inlineStr">
        <is>
          <t>RnR</t>
        </is>
      </c>
      <c r="AI23" s="214" t="inlineStr">
        <is>
          <t>RnR</t>
        </is>
      </c>
      <c r="AJ23" s="214" t="inlineStr">
        <is>
          <t>RnR</t>
        </is>
      </c>
      <c r="AK23" s="214" t="inlineStr">
        <is>
          <t>RnR</t>
        </is>
      </c>
      <c r="AL23" s="214" t="inlineStr">
        <is>
          <t>RnR</t>
        </is>
      </c>
      <c r="AM23" s="214" t="inlineStr">
        <is>
          <t>RnR</t>
        </is>
      </c>
      <c r="AN23" s="214" t="inlineStr">
        <is>
          <t>RnR</t>
        </is>
      </c>
      <c r="AO23" s="214" t="inlineStr">
        <is>
          <t>RnR</t>
        </is>
      </c>
      <c r="AP23" s="214" t="inlineStr">
        <is>
          <t>RnR</t>
        </is>
      </c>
      <c r="AQ23" s="214" t="inlineStr">
        <is>
          <t>RnR</t>
        </is>
      </c>
      <c r="AR23" s="211" t="inlineStr">
        <is>
          <t>PER/PHE PM
LND</t>
        </is>
      </c>
      <c r="AS23" s="211" t="inlineStr">
        <is>
          <t>LND</t>
        </is>
      </c>
      <c r="AT23" s="211" t="inlineStr">
        <is>
          <t>LND</t>
        </is>
      </c>
      <c r="AU23" s="211" t="inlineStr">
        <is>
          <t>LND</t>
        </is>
      </c>
      <c r="AV23" s="211" t="inlineStr">
        <is>
          <t>LND</t>
        </is>
      </c>
      <c r="AW23" s="211" t="inlineStr">
        <is>
          <t>LND</t>
        </is>
      </c>
      <c r="AX23" s="211" t="inlineStr">
        <is>
          <t>LND</t>
        </is>
      </c>
      <c r="AY23" s="211" t="inlineStr">
        <is>
          <t>LND</t>
        </is>
      </c>
      <c r="AZ23" s="211" t="inlineStr">
        <is>
          <t>RDM</t>
        </is>
      </c>
      <c r="BA23" s="211" t="inlineStr">
        <is>
          <t>RDM</t>
        </is>
      </c>
      <c r="BB23" s="211" t="inlineStr">
        <is>
          <t>RDM</t>
        </is>
      </c>
      <c r="BC23" s="211" t="inlineStr">
        <is>
          <t>RDM</t>
        </is>
      </c>
      <c r="BD23" s="211" t="inlineStr">
        <is>
          <t>RDM</t>
        </is>
      </c>
      <c r="BE23" s="211" t="inlineStr">
        <is>
          <t>RDM</t>
        </is>
      </c>
      <c r="BF23" s="211" t="inlineStr">
        <is>
          <t>PHE/PER PM</t>
        </is>
      </c>
      <c r="BG23" s="214" t="inlineStr">
        <is>
          <t>RnR</t>
        </is>
      </c>
      <c r="BH23" s="214" t="inlineStr">
        <is>
          <t>RnR</t>
        </is>
      </c>
      <c r="BI23" s="214" t="inlineStr">
        <is>
          <t>RnR</t>
        </is>
      </c>
      <c r="BJ23" s="214" t="inlineStr">
        <is>
          <t>RnR</t>
        </is>
      </c>
      <c r="BK23" s="214" t="inlineStr">
        <is>
          <t>RnR</t>
        </is>
      </c>
      <c r="BL23" s="214" t="inlineStr">
        <is>
          <t>RnR</t>
        </is>
      </c>
      <c r="BM23" s="211" t="inlineStr">
        <is>
          <t>PER/PHE PM
LND</t>
        </is>
      </c>
      <c r="BN23" s="211" t="inlineStr">
        <is>
          <t>RDM</t>
        </is>
      </c>
      <c r="BO23" s="211" t="inlineStr">
        <is>
          <t>RDM</t>
        </is>
      </c>
      <c r="BP23" s="211" t="inlineStr">
        <is>
          <t>RDM</t>
        </is>
      </c>
      <c r="BQ23" s="211" t="inlineStr">
        <is>
          <t>RDM</t>
        </is>
      </c>
      <c r="BR23" s="211" t="inlineStr">
        <is>
          <t>RDM</t>
        </is>
      </c>
      <c r="BS23" s="211" t="inlineStr">
        <is>
          <t>RDM</t>
        </is>
      </c>
      <c r="BT23" s="211" t="inlineStr">
        <is>
          <t>RDM</t>
        </is>
      </c>
      <c r="BU23" s="211" t="inlineStr">
        <is>
          <t>RDM</t>
        </is>
      </c>
      <c r="BV23" s="211" t="inlineStr">
        <is>
          <t>RDM</t>
        </is>
      </c>
      <c r="BW23" s="211" t="inlineStr">
        <is>
          <t>RDM</t>
        </is>
      </c>
      <c r="BX23" s="211" t="inlineStr">
        <is>
          <t>RDM</t>
        </is>
      </c>
      <c r="BY23" s="211" t="inlineStr">
        <is>
          <t>RDM</t>
        </is>
      </c>
      <c r="BZ23" s="211" t="inlineStr">
        <is>
          <t>RDM</t>
        </is>
      </c>
      <c r="CA23" s="211" t="inlineStr">
        <is>
          <t>PHE/PER PM</t>
        </is>
      </c>
      <c r="CB23" s="214" t="inlineStr">
        <is>
          <t>RnR</t>
        </is>
      </c>
      <c r="CC23" s="214" t="inlineStr">
        <is>
          <t>RnR</t>
        </is>
      </c>
      <c r="CD23" s="214" t="inlineStr">
        <is>
          <t>RnR</t>
        </is>
      </c>
      <c r="CE23" s="214" t="inlineStr">
        <is>
          <t>RnR</t>
        </is>
      </c>
      <c r="CF23" s="214" t="inlineStr">
        <is>
          <t>RnR</t>
        </is>
      </c>
      <c r="CG23" s="214" t="inlineStr">
        <is>
          <t>RnR</t>
        </is>
      </c>
      <c r="CH23" s="210" t="inlineStr">
        <is>
          <t>PER/PHE PM
LND</t>
        </is>
      </c>
      <c r="CI23" s="210" t="inlineStr">
        <is>
          <t>RDM</t>
        </is>
      </c>
      <c r="CJ23" s="210" t="inlineStr">
        <is>
          <t>RDM</t>
        </is>
      </c>
      <c r="CK23" s="210" t="inlineStr">
        <is>
          <t>RDM</t>
        </is>
      </c>
      <c r="CL23" s="210" t="inlineStr">
        <is>
          <t>RDM</t>
        </is>
      </c>
      <c r="CM23" s="210" t="inlineStr">
        <is>
          <t>RDM</t>
        </is>
      </c>
      <c r="CN23" s="210" t="inlineStr">
        <is>
          <t>RDM</t>
        </is>
      </c>
      <c r="CO23" s="210" t="inlineStr">
        <is>
          <t>PHE/PER PM</t>
        </is>
      </c>
      <c r="CP23" s="217" t="inlineStr">
        <is>
          <t>DEMOB</t>
        </is>
      </c>
      <c r="CQ23" s="210" t="inlineStr">
        <is>
          <t>N/A</t>
        </is>
      </c>
      <c r="CR23" s="210" t="inlineStr">
        <is>
          <t>N/A</t>
        </is>
      </c>
      <c r="CS23" s="210" t="inlineStr">
        <is>
          <t>N/A</t>
        </is>
      </c>
      <c r="CT23" s="210" t="inlineStr">
        <is>
          <t>N/A</t>
        </is>
      </c>
      <c r="CU23" s="210" t="inlineStr">
        <is>
          <t>N/A</t>
        </is>
      </c>
      <c r="CV23" s="210" t="inlineStr">
        <is>
          <t>N/A</t>
        </is>
      </c>
      <c r="CW23" s="210" t="inlineStr">
        <is>
          <t>N/A</t>
        </is>
      </c>
      <c r="CX23" s="210" t="inlineStr">
        <is>
          <t>N/A</t>
        </is>
      </c>
      <c r="CY23" s="210" t="inlineStr">
        <is>
          <t>N/A</t>
        </is>
      </c>
      <c r="CZ23" s="210" t="inlineStr">
        <is>
          <t>N/A</t>
        </is>
      </c>
      <c r="DA23" s="210" t="inlineStr">
        <is>
          <t>N/A</t>
        </is>
      </c>
      <c r="DB23" s="210" t="inlineStr">
        <is>
          <t>N/A</t>
        </is>
      </c>
      <c r="DC23" s="210" t="inlineStr">
        <is>
          <t>N/A</t>
        </is>
      </c>
      <c r="DD23" s="210" t="inlineStr">
        <is>
          <t>N/A</t>
        </is>
      </c>
      <c r="DE23" s="210" t="inlineStr">
        <is>
          <t>N/A</t>
        </is>
      </c>
      <c r="DF23" s="210" t="inlineStr">
        <is>
          <t>N/A</t>
        </is>
      </c>
      <c r="DG23" s="210" t="inlineStr">
        <is>
          <t>N/A</t>
        </is>
      </c>
      <c r="DH23" s="210" t="inlineStr">
        <is>
          <t>N/A</t>
        </is>
      </c>
      <c r="DI23" s="210" t="inlineStr">
        <is>
          <t>N/A</t>
        </is>
      </c>
      <c r="DJ23" s="210" t="inlineStr">
        <is>
          <t>N/A</t>
        </is>
      </c>
      <c r="DK23" s="210" t="inlineStr">
        <is>
          <t>N/A</t>
        </is>
      </c>
      <c r="DL23" s="210" t="inlineStr">
        <is>
          <t>N/A</t>
        </is>
      </c>
      <c r="DM23" s="210" t="inlineStr">
        <is>
          <t>N/A</t>
        </is>
      </c>
      <c r="DN23" s="210" t="inlineStr">
        <is>
          <t>N/A</t>
        </is>
      </c>
      <c r="DO23" s="210" t="inlineStr">
        <is>
          <t>N/A</t>
        </is>
      </c>
      <c r="DP23" s="210" t="inlineStr">
        <is>
          <t>N/A</t>
        </is>
      </c>
      <c r="DQ23" s="210" t="inlineStr">
        <is>
          <t>N/A</t>
        </is>
      </c>
      <c r="DR23" s="212" t="n"/>
      <c r="DS23" s="212" t="n"/>
      <c r="DT23" s="212" t="n"/>
      <c r="DU23" s="212" t="n"/>
      <c r="DV23" s="212" t="n"/>
      <c r="DW23" s="212" t="n"/>
      <c r="DX23" s="212" t="n"/>
      <c r="DY23" s="212" t="n"/>
      <c r="DZ23" s="212" t="n"/>
      <c r="EA23" s="212" t="n"/>
      <c r="EB23" s="212" t="n"/>
      <c r="EC23" s="212" t="n"/>
      <c r="ED23" s="212" t="n"/>
      <c r="EE23" s="212" t="n"/>
      <c r="EF23" s="212" t="n"/>
      <c r="EG23" s="212" t="n"/>
      <c r="EH23" s="212" t="n"/>
      <c r="EI23" s="212" t="n"/>
      <c r="EJ23" s="212" t="n"/>
      <c r="EK23" s="212" t="n"/>
      <c r="EL23" s="212" t="n"/>
      <c r="EM23" s="212" t="n"/>
      <c r="EN23" s="212" t="n"/>
      <c r="EO23" s="212" t="n"/>
      <c r="EP23" s="212" t="n"/>
      <c r="EQ23" s="212" t="n"/>
      <c r="ER23" s="212" t="n"/>
      <c r="ES23" s="212" t="n"/>
      <c r="ET23" s="212" t="n"/>
      <c r="EU23" s="212" t="n"/>
      <c r="EV23" s="212" t="n"/>
      <c r="EW23" s="212" t="n"/>
      <c r="EX23" s="212" t="n"/>
      <c r="EY23" s="212" t="n"/>
      <c r="EZ23" s="212" t="n"/>
      <c r="FA23" s="212" t="n"/>
      <c r="FB23" s="212" t="n"/>
      <c r="FC23" s="212" t="n"/>
      <c r="FD23" s="212" t="n"/>
      <c r="FE23" s="212" t="n"/>
      <c r="FF23" s="212" t="n"/>
      <c r="FG23" s="212" t="n"/>
      <c r="FH23" s="212" t="n"/>
      <c r="FI23" s="212" t="n"/>
      <c r="FJ23" s="212" t="n"/>
      <c r="FK23" s="212" t="n"/>
      <c r="FL23" s="212" t="n"/>
      <c r="FM23" s="212" t="n"/>
      <c r="FN23" s="212" t="n"/>
      <c r="FO23" s="212" t="n"/>
      <c r="FP23" s="212" t="n"/>
      <c r="FQ23" s="212" t="n"/>
      <c r="FR23" s="212" t="n"/>
      <c r="FS23" s="212" t="n"/>
      <c r="FT23" s="212" t="n"/>
      <c r="FU23" s="212" t="n"/>
      <c r="FV23" s="212" t="n"/>
      <c r="FW23" s="212" t="n"/>
      <c r="FX23" s="212" t="n"/>
      <c r="FY23" s="212" t="n"/>
      <c r="FZ23" s="212" t="n"/>
      <c r="GA23" s="212" t="n"/>
      <c r="GB23" s="212" t="n"/>
      <c r="GC23" s="212" t="n"/>
      <c r="GD23" s="212" t="n"/>
      <c r="GE23" s="212" t="n"/>
      <c r="GF23" s="212" t="n"/>
      <c r="GG23" s="212" t="n"/>
      <c r="GH23" s="212" t="n"/>
      <c r="GI23" s="212" t="n"/>
      <c r="GJ23" s="212" t="n"/>
      <c r="GK23" s="212" t="n"/>
      <c r="GL23" s="212" t="n"/>
      <c r="GM23" s="212" t="n"/>
      <c r="GN23" s="212" t="n"/>
      <c r="GO23" s="212" t="n"/>
      <c r="GP23" s="212" t="n"/>
      <c r="GQ23" s="212" t="n"/>
      <c r="GR23" s="212" t="n"/>
      <c r="GS23" s="212" t="n"/>
      <c r="GT23" s="212" t="n"/>
      <c r="GU23" s="212" t="n"/>
      <c r="GV23" s="212" t="n"/>
      <c r="GW23" s="212" t="n"/>
      <c r="GX23" s="212" t="n"/>
      <c r="GY23" s="212" t="n"/>
      <c r="GZ23" s="212" t="n"/>
      <c r="HA23" s="212" t="n"/>
      <c r="HB23" s="212" t="n"/>
      <c r="HC23" s="212" t="n"/>
      <c r="HD23" s="212" t="n"/>
      <c r="HE23" s="212" t="n"/>
      <c r="HF23" s="212" t="n"/>
      <c r="HG23" s="212" t="n"/>
      <c r="HH23" s="212" t="n"/>
      <c r="HI23" s="212" t="n"/>
      <c r="HJ23" s="212" t="n"/>
      <c r="HK23" s="212" t="n"/>
      <c r="HL23" s="212" t="n"/>
      <c r="HM23" s="212" t="n"/>
      <c r="HN23" s="212" t="n"/>
      <c r="HO23" s="212" t="n"/>
      <c r="HP23" s="212" t="n"/>
      <c r="HQ23" s="212" t="n"/>
      <c r="HR23" s="212" t="n"/>
      <c r="HS23" s="212" t="n"/>
      <c r="HT23" s="212" t="n"/>
      <c r="HU23" s="212" t="n"/>
      <c r="HV23" s="212" t="n"/>
      <c r="HW23" s="212" t="n"/>
      <c r="HX23" s="212" t="n"/>
      <c r="HY23" s="212" t="n"/>
      <c r="HZ23" s="212" t="n"/>
      <c r="IA23" s="212" t="n"/>
      <c r="IB23" s="212" t="n"/>
      <c r="IC23" s="212" t="n"/>
      <c r="ID23" s="212" t="n"/>
      <c r="IE23" s="212" t="n"/>
      <c r="IF23" s="212" t="n"/>
      <c r="IG23" s="212" t="n"/>
      <c r="IH23" s="212" t="n"/>
      <c r="II23" s="212" t="n"/>
      <c r="IJ23" s="212" t="n"/>
      <c r="IK23" s="212" t="n"/>
      <c r="IL23" s="212" t="n"/>
      <c r="IM23" s="212" t="n"/>
      <c r="IN23" s="212" t="n"/>
      <c r="IO23" s="212" t="n"/>
      <c r="IP23" s="212" t="n"/>
      <c r="IQ23" s="212" t="n"/>
      <c r="IR23" s="212" t="n"/>
      <c r="IS23" s="212" t="n"/>
      <c r="IT23" s="212" t="n"/>
      <c r="IU23" s="212" t="n"/>
      <c r="IV23" s="212" t="n"/>
      <c r="IW23" s="212" t="n"/>
      <c r="IX23" s="212" t="n"/>
      <c r="IY23" s="212" t="n"/>
      <c r="IZ23" s="212" t="n"/>
      <c r="JA23" s="212" t="n"/>
      <c r="JB23" s="212" t="n"/>
      <c r="JC23" s="212" t="n"/>
      <c r="JD23" s="212" t="n"/>
      <c r="JE23" s="212" t="n"/>
      <c r="JF23" s="212" t="n"/>
      <c r="JG23" s="212" t="n"/>
      <c r="JH23" s="212" t="n"/>
      <c r="JI23" s="212" t="n"/>
      <c r="JJ23" s="212" t="n"/>
      <c r="JK23" s="212" t="n"/>
      <c r="JL23" s="212" t="n"/>
      <c r="JM23" s="212" t="n"/>
      <c r="JN23" s="212" t="n"/>
      <c r="JO23" s="212" t="n"/>
      <c r="JP23" s="212" t="n"/>
      <c r="JQ23" s="212" t="n"/>
      <c r="JR23" s="212" t="n"/>
      <c r="JS23" s="212" t="n"/>
      <c r="JT23" s="212" t="n"/>
      <c r="JU23" s="212" t="n"/>
      <c r="JV23" s="212" t="n"/>
      <c r="JW23" s="212" t="n"/>
      <c r="JX23" s="212" t="n"/>
      <c r="JY23" s="212" t="n"/>
      <c r="JZ23" s="212" t="n"/>
      <c r="KA23" s="212" t="n"/>
      <c r="KB23" s="212" t="n"/>
      <c r="KC23" s="212" t="n"/>
      <c r="KD23" s="212" t="n"/>
      <c r="KE23" s="212" t="n"/>
      <c r="KF23" s="212" t="n"/>
      <c r="KG23" s="212" t="n"/>
      <c r="KH23" s="212" t="n"/>
      <c r="KI23" s="212" t="n"/>
      <c r="KJ23" s="212" t="n"/>
      <c r="KK23" s="212" t="n"/>
      <c r="KL23" s="212" t="n"/>
      <c r="KM23" s="212" t="n"/>
      <c r="KN23" s="212" t="n"/>
      <c r="KO23" s="212" t="n"/>
      <c r="KP23" s="212" t="n"/>
      <c r="KQ23" s="212" t="n"/>
      <c r="KR23" s="212" t="n"/>
      <c r="KS23" s="212" t="n"/>
      <c r="KT23" s="212" t="n"/>
      <c r="KU23" s="212" t="n"/>
      <c r="KV23" s="212" t="n"/>
      <c r="KW23" s="212" t="n"/>
      <c r="KX23" s="212" t="n"/>
      <c r="KY23" s="212" t="n"/>
      <c r="KZ23" s="212" t="n"/>
      <c r="LA23" s="212" t="n"/>
      <c r="LB23" s="212" t="n"/>
      <c r="LC23" s="212" t="n"/>
      <c r="LD23" s="212" t="n"/>
      <c r="LE23" s="212" t="n"/>
      <c r="LF23" s="212" t="n"/>
      <c r="LG23" s="212" t="n"/>
      <c r="LH23" s="212" t="n"/>
      <c r="LI23" s="212" t="n"/>
      <c r="LJ23" s="212" t="n"/>
      <c r="LK23" s="212" t="n"/>
      <c r="LL23" s="212" t="n"/>
      <c r="LM23" s="212" t="n"/>
      <c r="LN23" s="212" t="n"/>
      <c r="LO23" s="212" t="n"/>
      <c r="LP23" s="212" t="n"/>
      <c r="LQ23" s="212" t="n"/>
      <c r="LR23" s="212" t="n"/>
      <c r="LS23" s="212" t="n"/>
      <c r="LT23" s="212" t="n"/>
      <c r="LU23" s="212" t="n"/>
      <c r="LV23" s="212" t="n"/>
      <c r="LW23" s="212" t="n"/>
      <c r="LX23" s="212" t="n"/>
      <c r="LY23" s="212" t="n"/>
      <c r="LZ23" s="212" t="n"/>
      <c r="MA23" s="212" t="n"/>
      <c r="MB23" s="212" t="n"/>
      <c r="MC23" s="212" t="n"/>
      <c r="MD23" s="212" t="n"/>
      <c r="ME23" s="212" t="n"/>
      <c r="MF23" s="212" t="n"/>
      <c r="MG23" s="212" t="n"/>
      <c r="MH23" s="212" t="n"/>
      <c r="MI23" s="212" t="n"/>
      <c r="MJ23" s="212" t="n"/>
      <c r="MK23" s="212" t="n"/>
      <c r="ML23" s="212" t="n"/>
      <c r="MM23" s="212" t="n"/>
      <c r="MN23" s="212" t="n"/>
      <c r="MO23" s="212" t="n"/>
      <c r="MP23" s="212" t="n"/>
      <c r="MQ23" s="212" t="n"/>
      <c r="MR23" s="212" t="n"/>
      <c r="MS23" s="212" t="n"/>
      <c r="MT23" s="212" t="n"/>
      <c r="MU23" s="212" t="n"/>
      <c r="MV23" s="212" t="n"/>
      <c r="MW23" s="212" t="n"/>
      <c r="MX23" s="212" t="n"/>
      <c r="MY23" s="212" t="n"/>
      <c r="MZ23" s="212" t="n"/>
      <c r="NA23" s="212" t="n"/>
      <c r="NB23" s="212" t="n"/>
      <c r="NC23" s="212" t="n"/>
      <c r="ND23" s="212" t="n"/>
      <c r="NE23" s="212" t="n"/>
      <c r="NF23" s="212" t="n"/>
      <c r="NG23" s="212" t="n"/>
      <c r="NH23" s="212" t="n"/>
      <c r="NI23" s="212" t="n"/>
      <c r="NJ23" s="212" t="n"/>
      <c r="NK23" s="212" t="n"/>
      <c r="NL23" s="212" t="n"/>
      <c r="NM23" s="212" t="n"/>
      <c r="NN23" s="212" t="n"/>
      <c r="NO23" s="212" t="n"/>
      <c r="NP23" s="212" t="n"/>
      <c r="NQ23" s="212" t="n"/>
      <c r="NR23" s="212" t="n"/>
      <c r="NS23" s="212" t="n"/>
      <c r="NT23" s="212" t="n"/>
      <c r="NU23" s="212" t="n"/>
      <c r="NV23" s="212" t="n"/>
      <c r="NW23" s="212" t="n"/>
      <c r="NX23" s="212" t="n"/>
      <c r="NY23" s="212" t="n"/>
      <c r="NZ23" s="212" t="n"/>
      <c r="OA23" s="212" t="n"/>
      <c r="OB23" s="212" t="n"/>
      <c r="OC23" s="212" t="n"/>
      <c r="OD23" s="212" t="n"/>
      <c r="OE23" s="212" t="n"/>
      <c r="OF23" s="212" t="n"/>
      <c r="OG23" s="212" t="n"/>
      <c r="OH23" s="212" t="n"/>
      <c r="OI23" s="212" t="n"/>
      <c r="OJ23" s="212" t="n"/>
      <c r="OK23" s="212" t="n"/>
      <c r="OL23" s="212" t="n"/>
      <c r="OM23" s="212" t="n"/>
      <c r="ON23" s="212" t="n"/>
      <c r="OO23" s="212" t="n"/>
      <c r="OP23" s="212" t="n"/>
      <c r="OQ23" s="212" t="n"/>
      <c r="OR23" s="212" t="n"/>
      <c r="OS23" s="212" t="n"/>
      <c r="OT23" s="212" t="n"/>
      <c r="OU23" s="212" t="n"/>
      <c r="OV23" s="212" t="n"/>
      <c r="OW23" s="212" t="n"/>
      <c r="OX23" s="212" t="n"/>
      <c r="OY23" s="212" t="n"/>
      <c r="OZ23" s="212" t="n"/>
      <c r="PA23" s="212" t="n"/>
      <c r="PB23" s="212" t="n"/>
      <c r="PC23" s="212" t="n"/>
      <c r="PD23" s="212" t="n"/>
      <c r="PE23" s="212" t="n"/>
      <c r="PF23" s="212" t="n"/>
      <c r="PG23" s="212" t="n"/>
      <c r="PH23" s="212" t="n"/>
      <c r="PI23" s="212" t="n"/>
      <c r="PJ23" s="212" t="n"/>
      <c r="PK23" s="212" t="n"/>
      <c r="PL23" s="212" t="n"/>
      <c r="PM23" s="212" t="n"/>
      <c r="PN23" s="212" t="n"/>
      <c r="PO23" s="212" t="n"/>
      <c r="PP23" s="212" t="n"/>
      <c r="PQ23" s="212" t="n"/>
      <c r="PR23" s="212" t="n"/>
      <c r="PS23" s="212" t="n"/>
      <c r="PT23" s="212" t="n"/>
      <c r="PU23" s="212" t="n"/>
      <c r="PV23" s="212" t="n"/>
      <c r="PW23" s="212" t="n"/>
      <c r="PX23" s="212" t="n"/>
      <c r="PY23" s="212" t="n"/>
      <c r="PZ23" s="212" t="n"/>
      <c r="QA23" s="212" t="n"/>
      <c r="QB23" s="212" t="n"/>
      <c r="QC23" s="212" t="n"/>
      <c r="QD23" s="212" t="n"/>
      <c r="QE23" s="212" t="n"/>
      <c r="QF23" s="212" t="n"/>
      <c r="QG23" s="212" t="n"/>
      <c r="QH23" s="212" t="n"/>
      <c r="QI23" s="212" t="n"/>
      <c r="QJ23" s="212" t="n"/>
      <c r="QK23" s="212" t="n"/>
      <c r="QL23" s="212" t="n"/>
      <c r="QM23" s="212" t="n"/>
      <c r="QN23" s="212" t="n"/>
      <c r="QO23" s="212" t="n"/>
      <c r="QP23" s="212" t="n"/>
      <c r="QQ23" s="212" t="n"/>
      <c r="QR23" s="212" t="n"/>
      <c r="QS23" s="212" t="n"/>
      <c r="QT23" s="212" t="n"/>
      <c r="QU23" s="212" t="n"/>
      <c r="QV23" s="212" t="n"/>
      <c r="QW23" s="212" t="n"/>
      <c r="QX23" s="212" t="n"/>
      <c r="QY23" s="212" t="n"/>
      <c r="QZ23" s="212" t="n"/>
      <c r="RA23" s="212" t="n"/>
      <c r="RB23" s="212" t="n"/>
      <c r="RC23" s="212" t="n"/>
      <c r="RD23" s="212" t="n"/>
      <c r="RE23" s="212" t="n"/>
      <c r="RF23" s="212" t="n"/>
      <c r="RG23" s="212" t="n"/>
      <c r="RH23" s="212" t="n"/>
      <c r="RI23" s="212" t="n"/>
      <c r="RJ23" s="212" t="n"/>
      <c r="RK23" s="212" t="n"/>
      <c r="RL23" s="212" t="n"/>
      <c r="RM23" s="212" t="n"/>
      <c r="RN23" s="212" t="n"/>
      <c r="RO23" s="212" t="n"/>
      <c r="RP23" s="212" t="n"/>
      <c r="RQ23" s="212" t="n"/>
      <c r="RR23" s="212" t="n"/>
      <c r="RS23" s="212" t="n"/>
      <c r="RT23" s="212" t="n"/>
      <c r="RU23" s="212" t="n"/>
      <c r="RV23" s="212" t="n"/>
      <c r="RW23" s="212" t="n"/>
      <c r="RX23" s="212" t="n"/>
      <c r="RY23" s="212" t="n"/>
      <c r="RZ23" s="212" t="n"/>
      <c r="SA23" s="212" t="n"/>
      <c r="SB23" s="212" t="n"/>
      <c r="SC23" s="212" t="n"/>
      <c r="SD23" s="212" t="n"/>
      <c r="SE23" s="212" t="n"/>
      <c r="SF23" s="212" t="n"/>
      <c r="SG23" s="212" t="n"/>
      <c r="SH23" s="212" t="n"/>
      <c r="SI23" s="212" t="n"/>
      <c r="SJ23" s="212" t="n"/>
      <c r="SK23" s="212" t="n"/>
      <c r="SL23" s="212" t="n"/>
      <c r="SM23" s="212" t="n"/>
      <c r="SN23" s="212" t="n"/>
      <c r="SO23" s="212" t="n"/>
      <c r="SP23" s="212" t="n"/>
      <c r="SQ23" s="212" t="n"/>
      <c r="SR23" s="212" t="n"/>
      <c r="SS23" s="212" t="n"/>
      <c r="ST23" s="212" t="n"/>
      <c r="SU23" s="212" t="n"/>
      <c r="SV23" s="212" t="n"/>
    </row>
    <row r="24">
      <c r="B24" s="209" t="n"/>
      <c r="C24" s="209" t="n"/>
      <c r="D24" s="209" t="n"/>
      <c r="E24" s="209" t="n"/>
      <c r="F24" s="209">
        <f>IF(TRIM(D24&amp;E24)="","",TRIM(D24)&amp;" "&amp;TRIM(E24))</f>
        <v/>
      </c>
      <c r="G24" s="209" t="n"/>
      <c r="H24" s="209" t="n"/>
      <c r="I24" s="209" t="n"/>
      <c r="J24" s="209" t="n"/>
      <c r="K24" s="209" t="n"/>
      <c r="L24" s="209" t="n"/>
      <c r="M24" s="209" t="n"/>
      <c r="N24" s="209" t="n"/>
      <c r="O24" s="209" t="n"/>
      <c r="P24" s="209" t="n"/>
      <c r="Q24" s="209" t="n"/>
      <c r="R24" s="209" t="n"/>
      <c r="S24" s="212" t="n"/>
      <c r="T24" s="212" t="n"/>
      <c r="U24" s="212" t="n"/>
      <c r="V24" s="212" t="n"/>
      <c r="W24" s="212" t="n"/>
      <c r="X24" s="212" t="n"/>
      <c r="Y24" s="212" t="n"/>
      <c r="Z24" s="212" t="n"/>
      <c r="AA24" s="212" t="n"/>
      <c r="AB24" s="212" t="n"/>
      <c r="AC24" s="212" t="n"/>
      <c r="AD24" s="212" t="n"/>
      <c r="AE24" s="212" t="n"/>
      <c r="AF24" s="212" t="n"/>
      <c r="AG24" s="212" t="n"/>
      <c r="AH24" s="212" t="n"/>
      <c r="AI24" s="212" t="n"/>
      <c r="AJ24" s="212" t="n"/>
      <c r="AK24" s="212" t="n"/>
      <c r="AL24" s="212" t="n"/>
      <c r="AM24" s="212" t="n"/>
      <c r="AN24" s="212" t="n"/>
      <c r="AO24" s="212" t="n"/>
      <c r="AP24" s="212" t="n"/>
      <c r="AQ24" s="212" t="n"/>
      <c r="AR24" s="212" t="n"/>
      <c r="AS24" s="212" t="n"/>
      <c r="AT24" s="212" t="n"/>
      <c r="AU24" s="212" t="n"/>
      <c r="AV24" s="212" t="n"/>
      <c r="AW24" s="212" t="n"/>
      <c r="AX24" s="212" t="n"/>
      <c r="AY24" s="212" t="n"/>
      <c r="AZ24" s="212" t="n"/>
      <c r="BA24" s="212" t="n"/>
      <c r="BB24" s="212" t="n"/>
      <c r="BC24" s="212" t="n"/>
      <c r="BD24" s="212" t="n"/>
      <c r="BE24" s="212" t="n"/>
      <c r="BF24" s="212" t="n"/>
      <c r="BG24" s="212" t="n"/>
      <c r="BH24" s="212" t="n"/>
      <c r="BI24" s="212" t="n"/>
      <c r="BJ24" s="212" t="n"/>
      <c r="BK24" s="212" t="n"/>
      <c r="BL24" s="212" t="n"/>
      <c r="BM24" s="212" t="n"/>
      <c r="BN24" s="212" t="n"/>
      <c r="BO24" s="212" t="n"/>
      <c r="BP24" s="212" t="n"/>
      <c r="BQ24" s="212" t="n"/>
      <c r="BR24" s="212" t="n"/>
      <c r="BS24" s="212" t="n"/>
      <c r="BT24" s="212" t="n"/>
      <c r="BU24" s="212" t="n"/>
      <c r="BV24" s="212" t="n"/>
      <c r="BW24" s="212" t="n"/>
      <c r="BX24" s="212" t="n"/>
      <c r="BY24" s="212" t="n"/>
      <c r="BZ24" s="212" t="n"/>
      <c r="CA24" s="212" t="n"/>
      <c r="CB24" s="212" t="n"/>
      <c r="CC24" s="212" t="n"/>
      <c r="CD24" s="212" t="n"/>
      <c r="CE24" s="212" t="n"/>
      <c r="CF24" s="212" t="n"/>
      <c r="CG24" s="212" t="n"/>
      <c r="CH24" s="212" t="n"/>
      <c r="CI24" s="212" t="n"/>
      <c r="CJ24" s="212" t="n"/>
      <c r="CK24" s="212" t="n"/>
      <c r="CL24" s="212" t="n"/>
      <c r="CM24" s="212" t="n"/>
      <c r="CN24" s="212" t="n"/>
      <c r="CO24" s="212" t="n"/>
      <c r="CP24" s="212" t="n"/>
      <c r="CQ24" s="212" t="n"/>
      <c r="CR24" s="212" t="n"/>
      <c r="CS24" s="212" t="n"/>
      <c r="CT24" s="212" t="n"/>
      <c r="CU24" s="212" t="n"/>
      <c r="CV24" s="212" t="n"/>
      <c r="CW24" s="212" t="n"/>
      <c r="CX24" s="212" t="n"/>
      <c r="CY24" s="212" t="n"/>
      <c r="CZ24" s="212" t="n"/>
      <c r="DA24" s="212" t="n"/>
      <c r="DB24" s="212" t="n"/>
      <c r="DC24" s="212" t="n"/>
      <c r="DD24" s="212" t="n"/>
      <c r="DE24" s="212" t="n"/>
      <c r="DF24" s="212" t="n"/>
      <c r="DG24" s="212" t="n"/>
      <c r="DH24" s="212" t="n"/>
      <c r="DI24" s="212" t="n"/>
      <c r="DJ24" s="212" t="n"/>
      <c r="DK24" s="212" t="n"/>
      <c r="DL24" s="212" t="n"/>
      <c r="DM24" s="212" t="n"/>
      <c r="DN24" s="212" t="n"/>
      <c r="DO24" s="212" t="n"/>
      <c r="DP24" s="212" t="n"/>
      <c r="DQ24" s="212" t="n"/>
      <c r="DR24" s="212" t="n"/>
      <c r="DS24" s="212" t="n"/>
      <c r="DT24" s="212" t="n"/>
      <c r="DU24" s="212" t="n"/>
      <c r="DV24" s="212" t="n"/>
      <c r="DW24" s="212" t="n"/>
      <c r="DX24" s="212" t="n"/>
      <c r="DY24" s="212" t="n"/>
      <c r="DZ24" s="212" t="n"/>
      <c r="EA24" s="212" t="n"/>
      <c r="EB24" s="212" t="n"/>
      <c r="EC24" s="212" t="n"/>
      <c r="ED24" s="212" t="n"/>
      <c r="EE24" s="212" t="n"/>
      <c r="EF24" s="212" t="n"/>
      <c r="EG24" s="212" t="n"/>
      <c r="EH24" s="212" t="n"/>
      <c r="EI24" s="212" t="n"/>
      <c r="EJ24" s="212" t="n"/>
      <c r="EK24" s="212" t="n"/>
      <c r="EL24" s="212" t="n"/>
      <c r="EM24" s="212" t="n"/>
      <c r="EN24" s="212" t="n"/>
      <c r="EO24" s="212" t="n"/>
      <c r="EP24" s="212" t="n"/>
      <c r="EQ24" s="212" t="n"/>
      <c r="ER24" s="212" t="n"/>
      <c r="ES24" s="212" t="n"/>
      <c r="ET24" s="212" t="n"/>
      <c r="EU24" s="212" t="n"/>
      <c r="EV24" s="212" t="n"/>
      <c r="EW24" s="212" t="n"/>
      <c r="EX24" s="212" t="n"/>
      <c r="EY24" s="212" t="n"/>
      <c r="EZ24" s="212" t="n"/>
      <c r="FA24" s="212" t="n"/>
      <c r="FB24" s="212" t="n"/>
      <c r="FC24" s="212" t="n"/>
      <c r="FD24" s="212" t="n"/>
      <c r="FE24" s="212" t="n"/>
      <c r="FF24" s="212" t="n"/>
      <c r="FG24" s="212" t="n"/>
      <c r="FH24" s="212" t="n"/>
      <c r="FI24" s="212" t="n"/>
      <c r="FJ24" s="212" t="n"/>
      <c r="FK24" s="212" t="n"/>
      <c r="FL24" s="212" t="n"/>
      <c r="FM24" s="212" t="n"/>
      <c r="FN24" s="212" t="n"/>
      <c r="FO24" s="212" t="n"/>
      <c r="FP24" s="212" t="n"/>
      <c r="FQ24" s="212" t="n"/>
      <c r="FR24" s="212" t="n"/>
      <c r="FS24" s="212" t="n"/>
      <c r="FT24" s="212" t="n"/>
      <c r="FU24" s="212" t="n"/>
      <c r="FV24" s="212" t="n"/>
      <c r="FW24" s="212" t="n"/>
      <c r="FX24" s="212" t="n"/>
      <c r="FY24" s="212" t="n"/>
      <c r="FZ24" s="212" t="n"/>
      <c r="GA24" s="212" t="n"/>
      <c r="GB24" s="212" t="n"/>
      <c r="GC24" s="212" t="n"/>
      <c r="GD24" s="212" t="n"/>
      <c r="GE24" s="212" t="n"/>
      <c r="GF24" s="212" t="n"/>
      <c r="GG24" s="212" t="n"/>
      <c r="GH24" s="212" t="n"/>
      <c r="GI24" s="212" t="n"/>
      <c r="GJ24" s="212" t="n"/>
      <c r="GK24" s="212" t="n"/>
      <c r="GL24" s="212" t="n"/>
      <c r="GM24" s="212" t="n"/>
      <c r="GN24" s="212" t="n"/>
      <c r="GO24" s="212" t="n"/>
      <c r="GP24" s="212" t="n"/>
      <c r="GQ24" s="212" t="n"/>
      <c r="GR24" s="212" t="n"/>
      <c r="GS24" s="212" t="n"/>
      <c r="GT24" s="212" t="n"/>
      <c r="GU24" s="212" t="n"/>
      <c r="GV24" s="212" t="n"/>
      <c r="GW24" s="212" t="n"/>
      <c r="GX24" s="212" t="n"/>
      <c r="GY24" s="212" t="n"/>
      <c r="GZ24" s="212" t="n"/>
      <c r="HA24" s="212" t="n"/>
      <c r="HB24" s="212" t="n"/>
      <c r="HC24" s="212" t="n"/>
      <c r="HD24" s="212" t="n"/>
      <c r="HE24" s="212" t="n"/>
      <c r="HF24" s="212" t="n"/>
      <c r="HG24" s="212" t="n"/>
      <c r="HH24" s="212" t="n"/>
      <c r="HI24" s="212" t="n"/>
      <c r="HJ24" s="212" t="n"/>
      <c r="HK24" s="212" t="n"/>
      <c r="HL24" s="212" t="n"/>
      <c r="HM24" s="212" t="n"/>
      <c r="HN24" s="212" t="n"/>
      <c r="HO24" s="212" t="n"/>
      <c r="HP24" s="212" t="n"/>
      <c r="HQ24" s="212" t="n"/>
      <c r="HR24" s="212" t="n"/>
      <c r="HS24" s="212" t="n"/>
      <c r="HT24" s="212" t="n"/>
      <c r="HU24" s="212" t="n"/>
      <c r="HV24" s="212" t="n"/>
      <c r="HW24" s="212" t="n"/>
      <c r="HX24" s="212" t="n"/>
      <c r="HY24" s="212" t="n"/>
      <c r="HZ24" s="212" t="n"/>
      <c r="IA24" s="212" t="n"/>
      <c r="IB24" s="212" t="n"/>
      <c r="IC24" s="212" t="n"/>
      <c r="ID24" s="212" t="n"/>
      <c r="IE24" s="212" t="n"/>
      <c r="IF24" s="212" t="n"/>
      <c r="IG24" s="212" t="n"/>
      <c r="IH24" s="212" t="n"/>
      <c r="II24" s="212" t="n"/>
      <c r="IJ24" s="212" t="n"/>
      <c r="IK24" s="212" t="n"/>
      <c r="IL24" s="212" t="n"/>
      <c r="IM24" s="212" t="n"/>
      <c r="IN24" s="212" t="n"/>
      <c r="IO24" s="212" t="n"/>
      <c r="IP24" s="212" t="n"/>
      <c r="IQ24" s="212" t="n"/>
      <c r="IR24" s="212" t="n"/>
      <c r="IS24" s="212" t="n"/>
      <c r="IT24" s="212" t="n"/>
      <c r="IU24" s="212" t="n"/>
      <c r="IV24" s="212" t="n"/>
      <c r="IW24" s="212" t="n"/>
      <c r="IX24" s="212" t="n"/>
      <c r="IY24" s="212" t="n"/>
      <c r="IZ24" s="212" t="n"/>
      <c r="JA24" s="212" t="n"/>
      <c r="JB24" s="212" t="n"/>
      <c r="JC24" s="212" t="n"/>
      <c r="JD24" s="212" t="n"/>
      <c r="JE24" s="212" t="n"/>
      <c r="JF24" s="212" t="n"/>
      <c r="JG24" s="212" t="n"/>
      <c r="JH24" s="212" t="n"/>
      <c r="JI24" s="212" t="n"/>
      <c r="JJ24" s="212" t="n"/>
      <c r="JK24" s="212" t="n"/>
      <c r="JL24" s="212" t="n"/>
      <c r="JM24" s="212" t="n"/>
      <c r="JN24" s="212" t="n"/>
      <c r="JO24" s="212" t="n"/>
      <c r="JP24" s="212" t="n"/>
      <c r="JQ24" s="212" t="n"/>
      <c r="JR24" s="212" t="n"/>
      <c r="JS24" s="212" t="n"/>
      <c r="JT24" s="212" t="n"/>
      <c r="JU24" s="212" t="n"/>
      <c r="JV24" s="212" t="n"/>
      <c r="JW24" s="212" t="n"/>
      <c r="JX24" s="212" t="n"/>
      <c r="JY24" s="212" t="n"/>
      <c r="JZ24" s="212" t="n"/>
      <c r="KA24" s="212" t="n"/>
      <c r="KB24" s="212" t="n"/>
      <c r="KC24" s="212" t="n"/>
      <c r="KD24" s="212" t="n"/>
      <c r="KE24" s="212" t="n"/>
      <c r="KF24" s="212" t="n"/>
      <c r="KG24" s="212" t="n"/>
      <c r="KH24" s="212" t="n"/>
      <c r="KI24" s="212" t="n"/>
      <c r="KJ24" s="212" t="n"/>
      <c r="KK24" s="212" t="n"/>
      <c r="KL24" s="212" t="n"/>
      <c r="KM24" s="212" t="n"/>
      <c r="KN24" s="212" t="n"/>
      <c r="KO24" s="212" t="n"/>
      <c r="KP24" s="212" t="n"/>
      <c r="KQ24" s="212" t="n"/>
      <c r="KR24" s="212" t="n"/>
      <c r="KS24" s="212" t="n"/>
      <c r="KT24" s="212" t="n"/>
      <c r="KU24" s="212" t="n"/>
      <c r="KV24" s="212" t="n"/>
      <c r="KW24" s="212" t="n"/>
      <c r="KX24" s="212" t="n"/>
      <c r="KY24" s="212" t="n"/>
      <c r="KZ24" s="212" t="n"/>
      <c r="LA24" s="212" t="n"/>
      <c r="LB24" s="212" t="n"/>
      <c r="LC24" s="212" t="n"/>
      <c r="LD24" s="212" t="n"/>
      <c r="LE24" s="212" t="n"/>
      <c r="LF24" s="212" t="n"/>
      <c r="LG24" s="212" t="n"/>
      <c r="LH24" s="212" t="n"/>
      <c r="LI24" s="212" t="n"/>
      <c r="LJ24" s="212" t="n"/>
      <c r="LK24" s="212" t="n"/>
      <c r="LL24" s="212" t="n"/>
      <c r="LM24" s="212" t="n"/>
      <c r="LN24" s="212" t="n"/>
      <c r="LO24" s="212" t="n"/>
      <c r="LP24" s="212" t="n"/>
      <c r="LQ24" s="212" t="n"/>
      <c r="LR24" s="212" t="n"/>
      <c r="LS24" s="212" t="n"/>
      <c r="LT24" s="212" t="n"/>
      <c r="LU24" s="212" t="n"/>
      <c r="LV24" s="212" t="n"/>
      <c r="LW24" s="212" t="n"/>
      <c r="LX24" s="212" t="n"/>
      <c r="LY24" s="212" t="n"/>
      <c r="LZ24" s="212" t="n"/>
      <c r="MA24" s="212" t="n"/>
      <c r="MB24" s="212" t="n"/>
      <c r="MC24" s="212" t="n"/>
      <c r="MD24" s="212" t="n"/>
      <c r="ME24" s="212" t="n"/>
      <c r="MF24" s="212" t="n"/>
      <c r="MG24" s="212" t="n"/>
      <c r="MH24" s="212" t="n"/>
      <c r="MI24" s="212" t="n"/>
      <c r="MJ24" s="212" t="n"/>
      <c r="MK24" s="212" t="n"/>
      <c r="ML24" s="212" t="n"/>
      <c r="MM24" s="212" t="n"/>
      <c r="MN24" s="212" t="n"/>
      <c r="MO24" s="212" t="n"/>
      <c r="MP24" s="212" t="n"/>
      <c r="MQ24" s="212" t="n"/>
      <c r="MR24" s="212" t="n"/>
      <c r="MS24" s="212" t="n"/>
      <c r="MT24" s="212" t="n"/>
      <c r="MU24" s="212" t="n"/>
      <c r="MV24" s="212" t="n"/>
      <c r="MW24" s="212" t="n"/>
      <c r="MX24" s="212" t="n"/>
      <c r="MY24" s="212" t="n"/>
      <c r="MZ24" s="212" t="n"/>
      <c r="NA24" s="212" t="n"/>
      <c r="NB24" s="212" t="n"/>
      <c r="NC24" s="212" t="n"/>
      <c r="ND24" s="212" t="n"/>
      <c r="NE24" s="212" t="n"/>
      <c r="NF24" s="212" t="n"/>
      <c r="NG24" s="212" t="n"/>
      <c r="NH24" s="212" t="n"/>
      <c r="NI24" s="212" t="n"/>
      <c r="NJ24" s="212" t="n"/>
      <c r="NK24" s="212" t="n"/>
      <c r="NL24" s="212" t="n"/>
      <c r="NM24" s="212" t="n"/>
      <c r="NN24" s="212" t="n"/>
      <c r="NO24" s="212" t="n"/>
      <c r="NP24" s="212" t="n"/>
      <c r="NQ24" s="212" t="n"/>
      <c r="NR24" s="212" t="n"/>
      <c r="NS24" s="212" t="n"/>
      <c r="NT24" s="212" t="n"/>
      <c r="NU24" s="212" t="n"/>
      <c r="NV24" s="212" t="n"/>
      <c r="NW24" s="212" t="n"/>
      <c r="NX24" s="212" t="n"/>
      <c r="NY24" s="212" t="n"/>
      <c r="NZ24" s="212" t="n"/>
      <c r="OA24" s="212" t="n"/>
      <c r="OB24" s="212" t="n"/>
      <c r="OC24" s="212" t="n"/>
      <c r="OD24" s="212" t="n"/>
      <c r="OE24" s="212" t="n"/>
      <c r="OF24" s="212" t="n"/>
      <c r="OG24" s="212" t="n"/>
      <c r="OH24" s="212" t="n"/>
      <c r="OI24" s="212" t="n"/>
      <c r="OJ24" s="212" t="n"/>
      <c r="OK24" s="212" t="n"/>
      <c r="OL24" s="212" t="n"/>
      <c r="OM24" s="212" t="n"/>
      <c r="ON24" s="212" t="n"/>
      <c r="OO24" s="212" t="n"/>
      <c r="OP24" s="212" t="n"/>
      <c r="OQ24" s="212" t="n"/>
      <c r="OR24" s="212" t="n"/>
      <c r="OS24" s="212" t="n"/>
      <c r="OT24" s="212" t="n"/>
      <c r="OU24" s="212" t="n"/>
      <c r="OV24" s="212" t="n"/>
      <c r="OW24" s="212" t="n"/>
      <c r="OX24" s="212" t="n"/>
      <c r="OY24" s="212" t="n"/>
      <c r="OZ24" s="212" t="n"/>
      <c r="PA24" s="212" t="n"/>
      <c r="PB24" s="212" t="n"/>
      <c r="PC24" s="212" t="n"/>
      <c r="PD24" s="212" t="n"/>
      <c r="PE24" s="212" t="n"/>
      <c r="PF24" s="212" t="n"/>
      <c r="PG24" s="212" t="n"/>
      <c r="PH24" s="212" t="n"/>
      <c r="PI24" s="212" t="n"/>
      <c r="PJ24" s="212" t="n"/>
      <c r="PK24" s="212" t="n"/>
      <c r="PL24" s="212" t="n"/>
      <c r="PM24" s="212" t="n"/>
      <c r="PN24" s="212" t="n"/>
      <c r="PO24" s="212" t="n"/>
      <c r="PP24" s="212" t="n"/>
      <c r="PQ24" s="212" t="n"/>
      <c r="PR24" s="212" t="n"/>
      <c r="PS24" s="212" t="n"/>
      <c r="PT24" s="212" t="n"/>
      <c r="PU24" s="212" t="n"/>
      <c r="PV24" s="212" t="n"/>
      <c r="PW24" s="212" t="n"/>
      <c r="PX24" s="212" t="n"/>
      <c r="PY24" s="212" t="n"/>
      <c r="PZ24" s="212" t="n"/>
      <c r="QA24" s="212" t="n"/>
      <c r="QB24" s="212" t="n"/>
      <c r="QC24" s="212" t="n"/>
      <c r="QD24" s="212" t="n"/>
      <c r="QE24" s="212" t="n"/>
      <c r="QF24" s="212" t="n"/>
      <c r="QG24" s="212" t="n"/>
      <c r="QH24" s="212" t="n"/>
      <c r="QI24" s="212" t="n"/>
      <c r="QJ24" s="212" t="n"/>
      <c r="QK24" s="212" t="n"/>
      <c r="QL24" s="212" t="n"/>
      <c r="QM24" s="212" t="n"/>
      <c r="QN24" s="212" t="n"/>
      <c r="QO24" s="212" t="n"/>
      <c r="QP24" s="212" t="n"/>
      <c r="QQ24" s="212" t="n"/>
      <c r="QR24" s="212" t="n"/>
      <c r="QS24" s="212" t="n"/>
      <c r="QT24" s="212" t="n"/>
      <c r="QU24" s="212" t="n"/>
      <c r="QV24" s="212" t="n"/>
      <c r="QW24" s="212" t="n"/>
      <c r="QX24" s="212" t="n"/>
      <c r="QY24" s="212" t="n"/>
      <c r="QZ24" s="212" t="n"/>
      <c r="RA24" s="212" t="n"/>
      <c r="RB24" s="212" t="n"/>
      <c r="RC24" s="212" t="n"/>
      <c r="RD24" s="212" t="n"/>
      <c r="RE24" s="212" t="n"/>
      <c r="RF24" s="212" t="n"/>
      <c r="RG24" s="212" t="n"/>
      <c r="RH24" s="212" t="n"/>
      <c r="RI24" s="212" t="n"/>
      <c r="RJ24" s="212" t="n"/>
      <c r="RK24" s="212" t="n"/>
      <c r="RL24" s="212" t="n"/>
      <c r="RM24" s="212" t="n"/>
      <c r="RN24" s="212" t="n"/>
      <c r="RO24" s="212" t="n"/>
      <c r="RP24" s="212" t="n"/>
      <c r="RQ24" s="212" t="n"/>
      <c r="RR24" s="212" t="n"/>
      <c r="RS24" s="212" t="n"/>
      <c r="RT24" s="212" t="n"/>
      <c r="RU24" s="212" t="n"/>
      <c r="RV24" s="212" t="n"/>
      <c r="RW24" s="212" t="n"/>
      <c r="RX24" s="212" t="n"/>
      <c r="RY24" s="212" t="n"/>
      <c r="RZ24" s="212" t="n"/>
      <c r="SA24" s="212" t="n"/>
      <c r="SB24" s="212" t="n"/>
      <c r="SC24" s="212" t="n"/>
      <c r="SD24" s="212" t="n"/>
      <c r="SE24" s="212" t="n"/>
      <c r="SF24" s="212" t="n"/>
      <c r="SG24" s="212" t="n"/>
      <c r="SH24" s="212" t="n"/>
      <c r="SI24" s="212" t="n"/>
      <c r="SJ24" s="212" t="n"/>
      <c r="SK24" s="212" t="n"/>
      <c r="SL24" s="212" t="n"/>
      <c r="SM24" s="212" t="n"/>
      <c r="SN24" s="212" t="n"/>
      <c r="SO24" s="212" t="n"/>
      <c r="SP24" s="212" t="n"/>
      <c r="SQ24" s="212" t="n"/>
      <c r="SR24" s="212" t="n"/>
      <c r="SS24" s="212" t="n"/>
      <c r="ST24" s="212" t="n"/>
      <c r="SU24" s="212" t="n"/>
      <c r="SV24" s="212" t="n"/>
    </row>
    <row r="25">
      <c r="B25" s="207" t="n"/>
      <c r="C25" s="207" t="inlineStr">
        <is>
          <t>Roster B -  Civil Team 2   (4x)</t>
        </is>
      </c>
      <c r="D25" s="207" t="n"/>
      <c r="E25" s="207" t="n"/>
      <c r="F25" s="207">
        <f>IF(TRIM(D25&amp;E25)="","",TRIM(D25)&amp;" "&amp;TRIM(E25))</f>
        <v/>
      </c>
      <c r="G25" s="207" t="n"/>
      <c r="H25" s="207" t="n"/>
      <c r="I25" s="207" t="n"/>
      <c r="J25" s="207" t="n"/>
      <c r="K25" s="207" t="n"/>
      <c r="L25" s="207" t="n"/>
      <c r="M25" s="207" t="n"/>
      <c r="N25" s="207" t="n"/>
      <c r="O25" s="207" t="n"/>
      <c r="P25" s="207" t="n"/>
      <c r="Q25" s="207" t="n"/>
      <c r="R25" s="207" t="n"/>
      <c r="S25" s="208" t="n"/>
      <c r="T25" s="208" t="n"/>
      <c r="U25" s="208" t="n"/>
      <c r="V25" s="208" t="n"/>
      <c r="W25" s="208" t="n"/>
      <c r="X25" s="208" t="n"/>
      <c r="Y25" s="208" t="n"/>
      <c r="Z25" s="208" t="n"/>
      <c r="AA25" s="208" t="n"/>
      <c r="AB25" s="208" t="n"/>
      <c r="AC25" s="208" t="n"/>
      <c r="AD25" s="208" t="n"/>
      <c r="AE25" s="208" t="n"/>
      <c r="AF25" s="208" t="n"/>
      <c r="AG25" s="208" t="n"/>
      <c r="AH25" s="208" t="n"/>
      <c r="AI25" s="208" t="n"/>
      <c r="AJ25" s="208" t="n"/>
      <c r="AK25" s="208" t="n"/>
      <c r="AL25" s="208" t="n"/>
      <c r="AM25" s="208" t="n"/>
      <c r="AN25" s="208" t="n"/>
      <c r="AO25" s="208" t="n"/>
      <c r="AP25" s="208" t="n"/>
      <c r="AQ25" s="208" t="n"/>
      <c r="AR25" s="208" t="n"/>
      <c r="AS25" s="208" t="n"/>
      <c r="AT25" s="208" t="n"/>
      <c r="AU25" s="208" t="n"/>
      <c r="AV25" s="208" t="n"/>
      <c r="AW25" s="208" t="n"/>
      <c r="AX25" s="208" t="n"/>
      <c r="AY25" s="208" t="n"/>
      <c r="AZ25" s="208" t="n"/>
      <c r="BA25" s="208" t="n"/>
      <c r="BB25" s="208" t="n"/>
      <c r="BC25" s="208" t="n"/>
      <c r="BD25" s="208" t="n"/>
      <c r="BE25" s="208" t="n"/>
      <c r="BF25" s="208" t="n"/>
      <c r="BG25" s="208" t="n"/>
      <c r="BH25" s="208" t="n"/>
      <c r="BI25" s="208" t="n"/>
      <c r="BJ25" s="208" t="n"/>
      <c r="BK25" s="208" t="n"/>
      <c r="BL25" s="208" t="n"/>
      <c r="BM25" s="208" t="n"/>
      <c r="BN25" s="208" t="n"/>
      <c r="BO25" s="208" t="n"/>
      <c r="BP25" s="208" t="n"/>
      <c r="BQ25" s="208" t="n"/>
      <c r="BR25" s="208" t="n"/>
      <c r="BS25" s="208" t="n"/>
      <c r="BT25" s="208" t="n"/>
      <c r="BU25" s="208" t="n"/>
      <c r="BV25" s="208" t="n"/>
      <c r="BW25" s="208" t="n"/>
      <c r="BX25" s="208" t="n"/>
      <c r="BY25" s="208" t="n"/>
      <c r="BZ25" s="208" t="n"/>
      <c r="CA25" s="208" t="n"/>
      <c r="CB25" s="208" t="n"/>
      <c r="CC25" s="208" t="n"/>
      <c r="CD25" s="208" t="n"/>
      <c r="CE25" s="208" t="n"/>
      <c r="CF25" s="208" t="n"/>
      <c r="CG25" s="208" t="n"/>
      <c r="CH25" s="208" t="n"/>
      <c r="CI25" s="208" t="n"/>
      <c r="CJ25" s="208" t="n"/>
      <c r="CK25" s="208" t="n"/>
      <c r="CL25" s="208" t="n"/>
      <c r="CM25" s="208" t="n"/>
      <c r="CN25" s="208" t="n"/>
      <c r="CO25" s="208" t="n"/>
      <c r="CP25" s="208" t="n"/>
      <c r="CQ25" s="208" t="n"/>
      <c r="CR25" s="208" t="n"/>
      <c r="CS25" s="208" t="n"/>
      <c r="CT25" s="208" t="n"/>
      <c r="CU25" s="208" t="n"/>
      <c r="CV25" s="208" t="n"/>
      <c r="CW25" s="208" t="n"/>
      <c r="CX25" s="208" t="n"/>
      <c r="CY25" s="208" t="n"/>
      <c r="CZ25" s="208" t="n"/>
      <c r="DA25" s="208" t="n"/>
      <c r="DB25" s="208" t="n"/>
      <c r="DC25" s="208" t="n"/>
      <c r="DD25" s="208" t="n"/>
      <c r="DE25" s="208" t="n"/>
      <c r="DF25" s="208" t="n"/>
      <c r="DG25" s="208" t="n"/>
      <c r="DH25" s="208" t="n"/>
      <c r="DI25" s="208" t="n"/>
      <c r="DJ25" s="208" t="n"/>
      <c r="DK25" s="208" t="n"/>
      <c r="DL25" s="208" t="n"/>
      <c r="DM25" s="208" t="n"/>
      <c r="DN25" s="208" t="n"/>
      <c r="DO25" s="208" t="n"/>
      <c r="DP25" s="208" t="n"/>
      <c r="DQ25" s="208" t="n"/>
      <c r="DR25" s="208" t="n"/>
      <c r="DS25" s="208" t="n"/>
      <c r="DT25" s="208" t="n"/>
      <c r="DU25" s="208" t="n"/>
      <c r="DV25" s="208" t="n"/>
      <c r="DW25" s="208" t="n"/>
      <c r="DX25" s="208" t="n"/>
      <c r="DY25" s="208" t="n"/>
      <c r="DZ25" s="208" t="n"/>
      <c r="EA25" s="208" t="n"/>
      <c r="EB25" s="208" t="n"/>
      <c r="EC25" s="208" t="n"/>
      <c r="ED25" s="208" t="n"/>
      <c r="EE25" s="208" t="n"/>
      <c r="EF25" s="208" t="n"/>
      <c r="EG25" s="208" t="n"/>
      <c r="EH25" s="208" t="n"/>
      <c r="EI25" s="208" t="n"/>
      <c r="EJ25" s="208" t="n"/>
      <c r="EK25" s="208" t="n"/>
      <c r="EL25" s="208" t="n"/>
      <c r="EM25" s="208" t="n"/>
      <c r="EN25" s="208" t="n"/>
      <c r="EO25" s="208" t="n"/>
      <c r="EP25" s="208" t="n"/>
      <c r="EQ25" s="208" t="n"/>
      <c r="ER25" s="208" t="n"/>
      <c r="ES25" s="208" t="n"/>
      <c r="ET25" s="208" t="n"/>
      <c r="EU25" s="208" t="n"/>
      <c r="EV25" s="208" t="n"/>
      <c r="EW25" s="208" t="n"/>
      <c r="EX25" s="208" t="n"/>
      <c r="EY25" s="208" t="n"/>
      <c r="EZ25" s="208" t="n"/>
      <c r="FA25" s="208" t="n"/>
      <c r="FB25" s="208" t="n"/>
      <c r="FC25" s="208" t="n"/>
      <c r="FD25" s="208" t="n"/>
      <c r="FE25" s="208" t="n"/>
      <c r="FF25" s="208" t="n"/>
      <c r="FG25" s="208" t="n"/>
      <c r="FH25" s="208" t="n"/>
      <c r="FI25" s="208" t="n"/>
      <c r="FJ25" s="208" t="n"/>
      <c r="FK25" s="208" t="n"/>
      <c r="FL25" s="208" t="n"/>
      <c r="FM25" s="208" t="n"/>
      <c r="FN25" s="208" t="n"/>
      <c r="FO25" s="208" t="n"/>
      <c r="FP25" s="208" t="n"/>
      <c r="FQ25" s="208" t="n"/>
      <c r="FR25" s="208" t="n"/>
      <c r="FS25" s="208" t="n"/>
      <c r="FT25" s="208" t="n"/>
      <c r="FU25" s="208" t="n"/>
      <c r="FV25" s="208" t="n"/>
      <c r="FW25" s="208" t="n"/>
      <c r="FX25" s="208" t="n"/>
      <c r="FY25" s="208" t="n"/>
      <c r="FZ25" s="208" t="n"/>
      <c r="GA25" s="208" t="n"/>
      <c r="GB25" s="208" t="n"/>
      <c r="GC25" s="208" t="n"/>
      <c r="GD25" s="208" t="n"/>
      <c r="GE25" s="208" t="n"/>
      <c r="GF25" s="208" t="n"/>
      <c r="GG25" s="208" t="n"/>
      <c r="GH25" s="208" t="n"/>
      <c r="GI25" s="208" t="n"/>
      <c r="GJ25" s="208" t="n"/>
      <c r="GK25" s="208" t="n"/>
      <c r="GL25" s="208" t="n"/>
      <c r="GM25" s="208" t="n"/>
      <c r="GN25" s="208" t="n"/>
      <c r="GO25" s="208" t="n"/>
      <c r="GP25" s="208" t="n"/>
      <c r="GQ25" s="208" t="n"/>
      <c r="GR25" s="208" t="n"/>
      <c r="GS25" s="208" t="n"/>
      <c r="GT25" s="208" t="n"/>
      <c r="GU25" s="208" t="n"/>
      <c r="GV25" s="208" t="n"/>
      <c r="GW25" s="208" t="n"/>
      <c r="GX25" s="208" t="n"/>
      <c r="GY25" s="208" t="n"/>
      <c r="GZ25" s="208" t="n"/>
      <c r="HA25" s="208" t="n"/>
      <c r="HB25" s="208" t="n"/>
      <c r="HC25" s="208" t="n"/>
      <c r="HD25" s="208" t="n"/>
      <c r="HE25" s="208" t="n"/>
      <c r="HF25" s="208" t="n"/>
      <c r="HG25" s="208" t="n"/>
      <c r="HH25" s="208" t="n"/>
      <c r="HI25" s="208" t="n"/>
      <c r="HJ25" s="208" t="n"/>
      <c r="HK25" s="208" t="n"/>
      <c r="HL25" s="208" t="n"/>
      <c r="HM25" s="208" t="n"/>
      <c r="HN25" s="208" t="n"/>
      <c r="HO25" s="208" t="n"/>
      <c r="HP25" s="208" t="n"/>
      <c r="HQ25" s="208" t="n"/>
      <c r="HR25" s="208" t="n"/>
      <c r="HS25" s="208" t="n"/>
      <c r="HT25" s="208" t="n"/>
      <c r="HU25" s="208" t="n"/>
      <c r="HV25" s="208" t="n"/>
      <c r="HW25" s="208" t="n"/>
      <c r="HX25" s="208" t="n"/>
      <c r="HY25" s="208" t="n"/>
      <c r="HZ25" s="208" t="n"/>
      <c r="IA25" s="208" t="n"/>
      <c r="IB25" s="208" t="n"/>
      <c r="IC25" s="208" t="n"/>
      <c r="ID25" s="208" t="n"/>
      <c r="IE25" s="208" t="n"/>
      <c r="IF25" s="208" t="n"/>
      <c r="IG25" s="208" t="n"/>
      <c r="IH25" s="208" t="n"/>
      <c r="II25" s="208" t="n"/>
      <c r="IJ25" s="208" t="n"/>
      <c r="IK25" s="208" t="n"/>
      <c r="IL25" s="208" t="n"/>
      <c r="IM25" s="208" t="n"/>
      <c r="IN25" s="208" t="n"/>
      <c r="IO25" s="208" t="n"/>
      <c r="IP25" s="208" t="n"/>
      <c r="IQ25" s="208" t="n"/>
      <c r="IR25" s="208" t="n"/>
      <c r="IS25" s="208" t="n"/>
      <c r="IT25" s="208" t="n"/>
      <c r="IU25" s="208" t="n"/>
      <c r="IV25" s="208" t="n"/>
      <c r="IW25" s="208" t="n"/>
      <c r="IX25" s="208" t="n"/>
      <c r="IY25" s="208" t="n"/>
      <c r="IZ25" s="208" t="n"/>
      <c r="JA25" s="208" t="n"/>
      <c r="JB25" s="208" t="n"/>
      <c r="JC25" s="208" t="n"/>
      <c r="JD25" s="208" t="n"/>
      <c r="JE25" s="208" t="n"/>
      <c r="JF25" s="208" t="n"/>
      <c r="JG25" s="208" t="n"/>
      <c r="JH25" s="208" t="n"/>
      <c r="JI25" s="208" t="n"/>
      <c r="JJ25" s="208" t="n"/>
      <c r="JK25" s="208" t="n"/>
      <c r="JL25" s="208" t="n"/>
      <c r="JM25" s="208" t="n"/>
      <c r="JN25" s="208" t="n"/>
      <c r="JO25" s="208" t="n"/>
      <c r="JP25" s="208" t="n"/>
      <c r="JQ25" s="208" t="n"/>
      <c r="JR25" s="208" t="n"/>
      <c r="JS25" s="208" t="n"/>
      <c r="JT25" s="208" t="n"/>
      <c r="JU25" s="208" t="n"/>
      <c r="JV25" s="208" t="n"/>
      <c r="JW25" s="208" t="n"/>
      <c r="JX25" s="208" t="n"/>
      <c r="JY25" s="208" t="n"/>
      <c r="JZ25" s="208" t="n"/>
      <c r="KA25" s="208" t="n"/>
      <c r="KB25" s="208" t="n"/>
      <c r="KC25" s="208" t="n"/>
      <c r="KD25" s="208" t="n"/>
      <c r="KE25" s="208" t="n"/>
      <c r="KF25" s="208" t="n"/>
      <c r="KG25" s="208" t="n"/>
      <c r="KH25" s="208" t="n"/>
      <c r="KI25" s="208" t="n"/>
      <c r="KJ25" s="208" t="n"/>
      <c r="KK25" s="208" t="n"/>
      <c r="KL25" s="208" t="n"/>
      <c r="KM25" s="208" t="n"/>
      <c r="KN25" s="208" t="n"/>
      <c r="KO25" s="208" t="n"/>
      <c r="KP25" s="208" t="n"/>
      <c r="KQ25" s="208" t="n"/>
      <c r="KR25" s="208" t="n"/>
      <c r="KS25" s="208" t="n"/>
      <c r="KT25" s="208" t="n"/>
      <c r="KU25" s="208" t="n"/>
      <c r="KV25" s="208" t="n"/>
      <c r="KW25" s="208" t="n"/>
      <c r="KX25" s="208" t="n"/>
      <c r="KY25" s="208" t="n"/>
      <c r="KZ25" s="208" t="n"/>
      <c r="LA25" s="208" t="n"/>
      <c r="LB25" s="208" t="n"/>
      <c r="LC25" s="208" t="n"/>
      <c r="LD25" s="208" t="n"/>
      <c r="LE25" s="208" t="n"/>
      <c r="LF25" s="208" t="n"/>
      <c r="LG25" s="208" t="n"/>
      <c r="LH25" s="208" t="n"/>
      <c r="LI25" s="208" t="n"/>
      <c r="LJ25" s="208" t="n"/>
      <c r="LK25" s="208" t="n"/>
      <c r="LL25" s="208" t="n"/>
      <c r="LM25" s="208" t="n"/>
      <c r="LN25" s="208" t="n"/>
      <c r="LO25" s="208" t="n"/>
      <c r="LP25" s="208" t="n"/>
      <c r="LQ25" s="208" t="n"/>
      <c r="LR25" s="208" t="n"/>
      <c r="LS25" s="208" t="n"/>
      <c r="LT25" s="208" t="n"/>
      <c r="LU25" s="208" t="n"/>
      <c r="LV25" s="208" t="n"/>
      <c r="LW25" s="208" t="n"/>
      <c r="LX25" s="208" t="n"/>
      <c r="LY25" s="208" t="n"/>
      <c r="LZ25" s="208" t="n"/>
      <c r="MA25" s="208" t="n"/>
      <c r="MB25" s="208" t="n"/>
      <c r="MC25" s="208" t="n"/>
      <c r="MD25" s="208" t="n"/>
      <c r="ME25" s="208" t="n"/>
      <c r="MF25" s="208" t="n"/>
      <c r="MG25" s="208" t="n"/>
      <c r="MH25" s="208" t="n"/>
      <c r="MI25" s="208" t="n"/>
      <c r="MJ25" s="208" t="n"/>
      <c r="MK25" s="208" t="n"/>
      <c r="ML25" s="208" t="n"/>
      <c r="MM25" s="208" t="n"/>
      <c r="MN25" s="208" t="n"/>
      <c r="MO25" s="208" t="n"/>
      <c r="MP25" s="208" t="n"/>
      <c r="MQ25" s="208" t="n"/>
      <c r="MR25" s="208" t="n"/>
      <c r="MS25" s="208" t="n"/>
      <c r="MT25" s="208" t="n"/>
      <c r="MU25" s="208" t="n"/>
      <c r="MV25" s="208" t="n"/>
      <c r="MW25" s="208" t="n"/>
      <c r="MX25" s="208" t="n"/>
      <c r="MY25" s="208" t="n"/>
      <c r="MZ25" s="208" t="n"/>
      <c r="NA25" s="208" t="n"/>
      <c r="NB25" s="208" t="n"/>
      <c r="NC25" s="208" t="n"/>
      <c r="ND25" s="208" t="n"/>
      <c r="NE25" s="208" t="n"/>
      <c r="NF25" s="208" t="n"/>
      <c r="NG25" s="208" t="n"/>
      <c r="NH25" s="208" t="n"/>
      <c r="NI25" s="208" t="n"/>
      <c r="NJ25" s="208" t="n"/>
      <c r="NK25" s="208" t="n"/>
      <c r="NL25" s="208" t="n"/>
      <c r="NM25" s="208" t="n"/>
      <c r="NN25" s="208" t="n"/>
      <c r="NO25" s="208" t="n"/>
      <c r="NP25" s="208" t="n"/>
      <c r="NQ25" s="208" t="n"/>
      <c r="NR25" s="208" t="n"/>
      <c r="NS25" s="208" t="n"/>
      <c r="NT25" s="208" t="n"/>
      <c r="NU25" s="208" t="n"/>
      <c r="NV25" s="208" t="n"/>
      <c r="NW25" s="208" t="n"/>
      <c r="NX25" s="208" t="n"/>
      <c r="NY25" s="208" t="n"/>
      <c r="NZ25" s="208" t="n"/>
      <c r="OA25" s="208" t="n"/>
      <c r="OB25" s="208" t="n"/>
      <c r="OC25" s="208" t="n"/>
      <c r="OD25" s="208" t="n"/>
      <c r="OE25" s="208" t="n"/>
      <c r="OF25" s="208" t="n"/>
      <c r="OG25" s="208" t="n"/>
      <c r="OH25" s="208" t="n"/>
      <c r="OI25" s="208" t="n"/>
      <c r="OJ25" s="208" t="n"/>
      <c r="OK25" s="208" t="n"/>
      <c r="OL25" s="208" t="n"/>
      <c r="OM25" s="208" t="n"/>
      <c r="ON25" s="208" t="n"/>
      <c r="OO25" s="208" t="n"/>
      <c r="OP25" s="208" t="n"/>
      <c r="OQ25" s="208" t="n"/>
      <c r="OR25" s="208" t="n"/>
      <c r="OS25" s="208" t="n"/>
      <c r="OT25" s="208" t="n"/>
      <c r="OU25" s="208" t="n"/>
      <c r="OV25" s="208" t="n"/>
      <c r="OW25" s="208" t="n"/>
      <c r="OX25" s="208" t="n"/>
      <c r="OY25" s="208" t="n"/>
      <c r="OZ25" s="208" t="n"/>
      <c r="PA25" s="208" t="n"/>
      <c r="PB25" s="208" t="n"/>
      <c r="PC25" s="208" t="n"/>
      <c r="PD25" s="208" t="n"/>
      <c r="PE25" s="208" t="n"/>
      <c r="PF25" s="208" t="n"/>
      <c r="PG25" s="208" t="n"/>
      <c r="PH25" s="208" t="n"/>
      <c r="PI25" s="208" t="n"/>
      <c r="PJ25" s="208" t="n"/>
      <c r="PK25" s="208" t="n"/>
      <c r="PL25" s="208" t="n"/>
      <c r="PM25" s="208" t="n"/>
      <c r="PN25" s="208" t="n"/>
      <c r="PO25" s="208" t="n"/>
      <c r="PP25" s="208" t="n"/>
      <c r="PQ25" s="208" t="n"/>
      <c r="PR25" s="208" t="n"/>
      <c r="PS25" s="208" t="n"/>
      <c r="PT25" s="208" t="n"/>
      <c r="PU25" s="208" t="n"/>
      <c r="PV25" s="208" t="n"/>
      <c r="PW25" s="208" t="n"/>
      <c r="PX25" s="208" t="n"/>
      <c r="PY25" s="208" t="n"/>
      <c r="PZ25" s="208" t="n"/>
      <c r="QA25" s="208" t="n"/>
      <c r="QB25" s="208" t="n"/>
      <c r="QC25" s="208" t="n"/>
      <c r="QD25" s="208" t="n"/>
      <c r="QE25" s="208" t="n"/>
      <c r="QF25" s="208" t="n"/>
      <c r="QG25" s="208" t="n"/>
      <c r="QH25" s="208" t="n"/>
      <c r="QI25" s="208" t="n"/>
      <c r="QJ25" s="208" t="n"/>
      <c r="QK25" s="208" t="n"/>
      <c r="QL25" s="208" t="n"/>
      <c r="QM25" s="208" t="n"/>
      <c r="QN25" s="208" t="n"/>
      <c r="QO25" s="208" t="n"/>
      <c r="QP25" s="208" t="n"/>
      <c r="QQ25" s="208" t="n"/>
      <c r="QR25" s="208" t="n"/>
      <c r="QS25" s="208" t="n"/>
      <c r="QT25" s="208" t="n"/>
      <c r="QU25" s="208" t="n"/>
      <c r="QV25" s="208" t="n"/>
      <c r="QW25" s="208" t="n"/>
      <c r="QX25" s="208" t="n"/>
      <c r="QY25" s="208" t="n"/>
      <c r="QZ25" s="208" t="n"/>
      <c r="RA25" s="208" t="n"/>
      <c r="RB25" s="208" t="n"/>
      <c r="RC25" s="208" t="n"/>
      <c r="RD25" s="208" t="n"/>
      <c r="RE25" s="208" t="n"/>
      <c r="RF25" s="208" t="n"/>
      <c r="RG25" s="208" t="n"/>
      <c r="RH25" s="208" t="n"/>
      <c r="RI25" s="208" t="n"/>
      <c r="RJ25" s="208" t="n"/>
      <c r="RK25" s="208" t="n"/>
      <c r="RL25" s="208" t="n"/>
      <c r="RM25" s="208" t="n"/>
      <c r="RN25" s="208" t="n"/>
      <c r="RO25" s="208" t="n"/>
      <c r="RP25" s="208" t="n"/>
      <c r="RQ25" s="208" t="n"/>
      <c r="RR25" s="208" t="n"/>
      <c r="RS25" s="208" t="n"/>
      <c r="RT25" s="208" t="n"/>
      <c r="RU25" s="208" t="n"/>
      <c r="RV25" s="208" t="n"/>
      <c r="RW25" s="208" t="n"/>
      <c r="RX25" s="208" t="n"/>
      <c r="RY25" s="208" t="n"/>
      <c r="RZ25" s="208" t="n"/>
      <c r="SA25" s="208" t="n"/>
      <c r="SB25" s="208" t="n"/>
      <c r="SC25" s="208" t="n"/>
      <c r="SD25" s="208" t="n"/>
      <c r="SE25" s="208" t="n"/>
      <c r="SF25" s="208" t="n"/>
      <c r="SG25" s="208" t="n"/>
      <c r="SH25" s="208" t="n"/>
      <c r="SI25" s="208" t="n"/>
      <c r="SJ25" s="208" t="n"/>
      <c r="SK25" s="208" t="n"/>
      <c r="SL25" s="208" t="n"/>
      <c r="SM25" s="208" t="n"/>
      <c r="SN25" s="208" t="n"/>
      <c r="SO25" s="208" t="n"/>
      <c r="SP25" s="208" t="n"/>
      <c r="SQ25" s="208" t="n"/>
      <c r="SR25" s="208" t="n"/>
      <c r="SS25" s="208" t="n"/>
      <c r="ST25" s="208" t="n"/>
      <c r="SU25" s="208" t="n"/>
      <c r="SV25" s="208" t="n"/>
    </row>
    <row r="26">
      <c r="B26" s="209" t="n">
        <v>1</v>
      </c>
      <c r="C26" s="209" t="inlineStr">
        <is>
          <t>Wabtec</t>
        </is>
      </c>
      <c r="D26" s="209" t="inlineStr">
        <is>
          <t>Andrew</t>
        </is>
      </c>
      <c r="E26" s="209" t="inlineStr">
        <is>
          <t>Burger</t>
        </is>
      </c>
      <c r="F26" s="209">
        <f>IF(TRIM(D26&amp;E26)="","",TRIM(D26)&amp;" "&amp;TRIM(E26))</f>
        <v/>
      </c>
      <c r="G26" s="209" t="inlineStr">
        <is>
          <t>Perth</t>
        </is>
      </c>
      <c r="H26" s="209" t="inlineStr">
        <is>
          <t>Supervisor  - Non Stat - WHS</t>
        </is>
      </c>
      <c r="I26" s="209" t="inlineStr">
        <is>
          <t>YES</t>
        </is>
      </c>
      <c r="J26" s="209" t="inlineStr">
        <is>
          <t>YES</t>
        </is>
      </c>
      <c r="K26" s="209" t="inlineStr">
        <is>
          <t>YES</t>
        </is>
      </c>
      <c r="L26" s="209" t="inlineStr">
        <is>
          <t>YES</t>
        </is>
      </c>
      <c r="M26" s="209" t="inlineStr">
        <is>
          <t>Quals Complete</t>
        </is>
      </c>
      <c r="N26" s="209" t="inlineStr">
        <is>
          <t>andrew.burger@wabtec.com</t>
        </is>
      </c>
      <c r="O26" s="209" t="inlineStr">
        <is>
          <t>0459 267 960</t>
        </is>
      </c>
      <c r="P26" s="209" t="n">
        <v>623467</v>
      </c>
      <c r="Q26" s="209" t="n">
        <v>263407</v>
      </c>
      <c r="R26" s="209" t="inlineStr">
        <is>
          <t>2:1</t>
        </is>
      </c>
      <c r="S26" s="211" t="inlineStr">
        <is>
          <t>LND</t>
        </is>
      </c>
      <c r="T26" s="211" t="inlineStr">
        <is>
          <t>LND</t>
        </is>
      </c>
      <c r="U26" s="211" t="inlineStr">
        <is>
          <t>LND</t>
        </is>
      </c>
      <c r="V26" s="211" t="inlineStr">
        <is>
          <t>GWV</t>
        </is>
      </c>
      <c r="W26" s="211" t="inlineStr">
        <is>
          <t>PHE/PER PM</t>
        </is>
      </c>
      <c r="X26" s="214" t="inlineStr">
        <is>
          <t>RnR</t>
        </is>
      </c>
      <c r="Y26" s="214" t="inlineStr">
        <is>
          <t>RnR</t>
        </is>
      </c>
      <c r="Z26" s="214" t="inlineStr">
        <is>
          <t>RnR</t>
        </is>
      </c>
      <c r="AA26" s="214" t="inlineStr">
        <is>
          <t>RnR</t>
        </is>
      </c>
      <c r="AB26" s="214" t="inlineStr">
        <is>
          <t>RnR</t>
        </is>
      </c>
      <c r="AC26" s="214" t="inlineStr">
        <is>
          <t>RnR</t>
        </is>
      </c>
      <c r="AD26" s="211" t="inlineStr">
        <is>
          <t>PER/PHE PM
LND</t>
        </is>
      </c>
      <c r="AE26" s="211" t="inlineStr">
        <is>
          <t>LND</t>
        </is>
      </c>
      <c r="AF26" s="211" t="inlineStr">
        <is>
          <t>LND</t>
        </is>
      </c>
      <c r="AG26" s="211" t="inlineStr">
        <is>
          <t>LND</t>
        </is>
      </c>
      <c r="AH26" s="211" t="inlineStr">
        <is>
          <t>LND</t>
        </is>
      </c>
      <c r="AI26" s="211" t="inlineStr">
        <is>
          <t>LND</t>
        </is>
      </c>
      <c r="AJ26" s="211" t="inlineStr">
        <is>
          <t>LND</t>
        </is>
      </c>
      <c r="AK26" s="211" t="inlineStr">
        <is>
          <t>LND</t>
        </is>
      </c>
      <c r="AL26" s="211" t="inlineStr">
        <is>
          <t>LND</t>
        </is>
      </c>
      <c r="AM26" s="211" t="inlineStr">
        <is>
          <t>LND</t>
        </is>
      </c>
      <c r="AN26" s="211" t="inlineStr">
        <is>
          <t>LND</t>
        </is>
      </c>
      <c r="AO26" s="211" t="inlineStr">
        <is>
          <t>LND</t>
        </is>
      </c>
      <c r="AP26" s="211" t="inlineStr">
        <is>
          <t>LND</t>
        </is>
      </c>
      <c r="AQ26" s="211" t="inlineStr">
        <is>
          <t>LND</t>
        </is>
      </c>
      <c r="AR26" s="211" t="inlineStr">
        <is>
          <t>PHE/PER PM</t>
        </is>
      </c>
      <c r="AS26" s="214" t="inlineStr">
        <is>
          <t>RnR</t>
        </is>
      </c>
      <c r="AT26" s="214" t="inlineStr">
        <is>
          <t>RnR</t>
        </is>
      </c>
      <c r="AU26" s="214" t="inlineStr">
        <is>
          <t>RnR</t>
        </is>
      </c>
      <c r="AV26" s="214" t="inlineStr">
        <is>
          <t>RnR</t>
        </is>
      </c>
      <c r="AW26" s="214" t="inlineStr">
        <is>
          <t>RnR</t>
        </is>
      </c>
      <c r="AX26" s="214" t="inlineStr">
        <is>
          <t>RnR</t>
        </is>
      </c>
      <c r="AY26" s="211" t="inlineStr">
        <is>
          <t>PER/PHE PM
GWV</t>
        </is>
      </c>
      <c r="AZ26" s="211" t="inlineStr">
        <is>
          <t>RDM</t>
        </is>
      </c>
      <c r="BA26" s="211" t="inlineStr">
        <is>
          <t>RDM</t>
        </is>
      </c>
      <c r="BB26" s="211" t="inlineStr">
        <is>
          <t>RDM</t>
        </is>
      </c>
      <c r="BC26" s="211" t="inlineStr">
        <is>
          <t>RDM</t>
        </is>
      </c>
      <c r="BD26" s="211" t="inlineStr">
        <is>
          <t>RDM</t>
        </is>
      </c>
      <c r="BE26" s="211" t="inlineStr">
        <is>
          <t>RDM</t>
        </is>
      </c>
      <c r="BF26" s="211" t="inlineStr">
        <is>
          <t>RDM</t>
        </is>
      </c>
      <c r="BG26" s="211" t="inlineStr">
        <is>
          <t>RDM</t>
        </is>
      </c>
      <c r="BH26" s="211" t="inlineStr">
        <is>
          <t>RDM</t>
        </is>
      </c>
      <c r="BI26" s="211" t="inlineStr">
        <is>
          <t>RDM</t>
        </is>
      </c>
      <c r="BJ26" s="211" t="inlineStr">
        <is>
          <t>RDM</t>
        </is>
      </c>
      <c r="BK26" s="211" t="inlineStr">
        <is>
          <t>RDM</t>
        </is>
      </c>
      <c r="BL26" s="211" t="inlineStr">
        <is>
          <t>RDM</t>
        </is>
      </c>
      <c r="BM26" s="211" t="inlineStr">
        <is>
          <t>PHE/PER PM</t>
        </is>
      </c>
      <c r="BN26" s="214" t="inlineStr">
        <is>
          <t>RnR</t>
        </is>
      </c>
      <c r="BO26" s="214" t="inlineStr">
        <is>
          <t>RnR</t>
        </is>
      </c>
      <c r="BP26" s="214" t="inlineStr">
        <is>
          <t>RnR</t>
        </is>
      </c>
      <c r="BQ26" s="214" t="inlineStr">
        <is>
          <t>RnR</t>
        </is>
      </c>
      <c r="BR26" s="214" t="inlineStr">
        <is>
          <t>RnR</t>
        </is>
      </c>
      <c r="BS26" s="214" t="inlineStr">
        <is>
          <t>RnR</t>
        </is>
      </c>
      <c r="BT26" s="211" t="inlineStr">
        <is>
          <t>PER/PHE PM
GWV</t>
        </is>
      </c>
      <c r="BU26" s="220" t="inlineStr">
        <is>
          <t>RDM</t>
        </is>
      </c>
      <c r="BV26" s="220" t="inlineStr">
        <is>
          <t>RDM</t>
        </is>
      </c>
      <c r="BW26" s="220" t="inlineStr">
        <is>
          <t>RDM</t>
        </is>
      </c>
      <c r="BX26" s="220" t="inlineStr">
        <is>
          <t>RDM</t>
        </is>
      </c>
      <c r="BY26" s="220" t="inlineStr">
        <is>
          <t>RDM</t>
        </is>
      </c>
      <c r="BZ26" s="220" t="inlineStr">
        <is>
          <t>RDM</t>
        </is>
      </c>
      <c r="CA26" s="220" t="inlineStr">
        <is>
          <t>RDM</t>
        </is>
      </c>
      <c r="CB26" s="220" t="inlineStr">
        <is>
          <t>WRR</t>
        </is>
      </c>
      <c r="CC26" s="220" t="inlineStr">
        <is>
          <t>WRR</t>
        </is>
      </c>
      <c r="CD26" s="220" t="inlineStr">
        <is>
          <t>WRR</t>
        </is>
      </c>
      <c r="CE26" s="220" t="inlineStr">
        <is>
          <t>WRR</t>
        </is>
      </c>
      <c r="CF26" s="220" t="inlineStr">
        <is>
          <t>WRR</t>
        </is>
      </c>
      <c r="CG26" s="220" t="inlineStr">
        <is>
          <t>WRR</t>
        </is>
      </c>
      <c r="CH26" s="211" t="inlineStr">
        <is>
          <t>PHE/PER PM</t>
        </is>
      </c>
      <c r="CI26" s="210" t="inlineStr">
        <is>
          <t>N/A</t>
        </is>
      </c>
      <c r="CJ26" s="210" t="inlineStr">
        <is>
          <t>N/A</t>
        </is>
      </c>
      <c r="CK26" s="210" t="inlineStr">
        <is>
          <t>N/A</t>
        </is>
      </c>
      <c r="CL26" s="210" t="inlineStr">
        <is>
          <t>N/A</t>
        </is>
      </c>
      <c r="CM26" s="210" t="inlineStr">
        <is>
          <t>N/A</t>
        </is>
      </c>
      <c r="CN26" s="210" t="inlineStr">
        <is>
          <t>N/A</t>
        </is>
      </c>
      <c r="CO26" s="221" t="inlineStr">
        <is>
          <t>A/L</t>
        </is>
      </c>
      <c r="CP26" s="221" t="inlineStr">
        <is>
          <t>A/L</t>
        </is>
      </c>
      <c r="CQ26" s="221" t="inlineStr">
        <is>
          <t>A/L</t>
        </is>
      </c>
      <c r="CR26" s="221" t="inlineStr">
        <is>
          <t>A/L</t>
        </is>
      </c>
      <c r="CS26" s="210" t="inlineStr">
        <is>
          <t>PER/PHE PM
LND</t>
        </is>
      </c>
      <c r="CT26" s="210" t="inlineStr">
        <is>
          <t>RDM</t>
        </is>
      </c>
      <c r="CU26" s="210" t="inlineStr">
        <is>
          <t>RDM</t>
        </is>
      </c>
      <c r="CV26" s="210" t="inlineStr">
        <is>
          <t>RDM</t>
        </is>
      </c>
      <c r="CW26" s="210" t="inlineStr">
        <is>
          <t>RDM</t>
        </is>
      </c>
      <c r="CX26" s="210" t="inlineStr">
        <is>
          <t>RDM</t>
        </is>
      </c>
      <c r="CY26" s="210" t="inlineStr">
        <is>
          <t>RDM</t>
        </is>
      </c>
      <c r="CZ26" s="210" t="inlineStr">
        <is>
          <t>RDM</t>
        </is>
      </c>
      <c r="DA26" s="210" t="inlineStr">
        <is>
          <t>RDM</t>
        </is>
      </c>
      <c r="DB26" s="210" t="inlineStr">
        <is>
          <t>RDM</t>
        </is>
      </c>
      <c r="DC26" s="210" t="inlineStr">
        <is>
          <t>PHE/PER PM</t>
        </is>
      </c>
      <c r="DD26" s="217" t="inlineStr">
        <is>
          <t>DEMOB</t>
        </is>
      </c>
      <c r="DE26" s="210" t="inlineStr">
        <is>
          <t>N/A</t>
        </is>
      </c>
      <c r="DF26" s="210" t="inlineStr">
        <is>
          <t>N/A</t>
        </is>
      </c>
      <c r="DG26" s="210" t="inlineStr">
        <is>
          <t>N/A</t>
        </is>
      </c>
      <c r="DH26" s="210" t="inlineStr">
        <is>
          <t>N/A</t>
        </is>
      </c>
      <c r="DI26" s="210" t="inlineStr">
        <is>
          <t>N/A</t>
        </is>
      </c>
      <c r="DJ26" s="210" t="inlineStr">
        <is>
          <t>N/A</t>
        </is>
      </c>
      <c r="DK26" s="210" t="inlineStr">
        <is>
          <t>N/A</t>
        </is>
      </c>
      <c r="DL26" s="210" t="inlineStr">
        <is>
          <t>N/A</t>
        </is>
      </c>
      <c r="DM26" s="210" t="inlineStr">
        <is>
          <t>N/A</t>
        </is>
      </c>
      <c r="DN26" s="210" t="inlineStr">
        <is>
          <t>N/A</t>
        </is>
      </c>
      <c r="DO26" s="210" t="inlineStr">
        <is>
          <t>N/A</t>
        </is>
      </c>
      <c r="DP26" s="210" t="inlineStr">
        <is>
          <t>N/A</t>
        </is>
      </c>
      <c r="DQ26" s="210" t="inlineStr">
        <is>
          <t>N/A</t>
        </is>
      </c>
      <c r="DR26" s="212" t="n"/>
      <c r="DS26" s="212" t="n"/>
      <c r="DT26" s="212" t="n"/>
      <c r="DU26" s="212" t="n"/>
      <c r="DV26" s="212" t="n"/>
      <c r="DW26" s="212" t="n"/>
      <c r="DX26" s="212" t="n"/>
      <c r="DY26" s="212" t="n"/>
      <c r="DZ26" s="212" t="n"/>
      <c r="EA26" s="212" t="n"/>
      <c r="EB26" s="212" t="n"/>
      <c r="EC26" s="212" t="n"/>
      <c r="ED26" s="212" t="n"/>
      <c r="EE26" s="212" t="n"/>
      <c r="EF26" s="212" t="n"/>
      <c r="EG26" s="212" t="n"/>
      <c r="EH26" s="212" t="n"/>
      <c r="EI26" s="212" t="n"/>
      <c r="EJ26" s="212" t="n"/>
      <c r="EK26" s="212" t="n"/>
      <c r="EL26" s="212" t="n"/>
      <c r="EM26" s="212" t="n"/>
      <c r="EN26" s="212" t="n"/>
      <c r="EO26" s="212" t="n"/>
      <c r="EP26" s="212" t="n"/>
      <c r="EQ26" s="212" t="n"/>
      <c r="ER26" s="212" t="n"/>
      <c r="ES26" s="212" t="n"/>
      <c r="ET26" s="212" t="n"/>
      <c r="EU26" s="212" t="n"/>
      <c r="EV26" s="212" t="n"/>
      <c r="EW26" s="212" t="n"/>
      <c r="EX26" s="212" t="n"/>
      <c r="EY26" s="212" t="n"/>
      <c r="EZ26" s="212" t="n"/>
      <c r="FA26" s="212" t="n"/>
      <c r="FB26" s="212" t="n"/>
      <c r="FC26" s="212" t="n"/>
      <c r="FD26" s="212" t="n"/>
      <c r="FE26" s="212" t="n"/>
      <c r="FF26" s="212" t="n"/>
      <c r="FG26" s="212" t="n"/>
      <c r="FH26" s="212" t="n"/>
      <c r="FI26" s="212" t="n"/>
      <c r="FJ26" s="212" t="n"/>
      <c r="FK26" s="212" t="n"/>
      <c r="FL26" s="212" t="n"/>
      <c r="FM26" s="212" t="n"/>
      <c r="FN26" s="212" t="n"/>
      <c r="FO26" s="212" t="n"/>
      <c r="FP26" s="212" t="n"/>
      <c r="FQ26" s="212" t="n"/>
      <c r="FR26" s="212" t="n"/>
      <c r="FS26" s="212" t="n"/>
      <c r="FT26" s="212" t="n"/>
      <c r="FU26" s="212" t="n"/>
      <c r="FV26" s="212" t="n"/>
      <c r="FW26" s="212" t="n"/>
      <c r="FX26" s="212" t="n"/>
      <c r="FY26" s="212" t="n"/>
      <c r="FZ26" s="212" t="n"/>
      <c r="GA26" s="212" t="n"/>
      <c r="GB26" s="212" t="n"/>
      <c r="GC26" s="212" t="n"/>
      <c r="GD26" s="212" t="n"/>
      <c r="GE26" s="212" t="n"/>
      <c r="GF26" s="212" t="n"/>
      <c r="GG26" s="212" t="n"/>
      <c r="GH26" s="212" t="n"/>
      <c r="GI26" s="212" t="n"/>
      <c r="GJ26" s="212" t="n"/>
      <c r="GK26" s="212" t="n"/>
      <c r="GL26" s="212" t="n"/>
      <c r="GM26" s="212" t="n"/>
      <c r="GN26" s="212" t="n"/>
      <c r="GO26" s="212" t="n"/>
      <c r="GP26" s="212" t="n"/>
      <c r="GQ26" s="212" t="n"/>
      <c r="GR26" s="212" t="n"/>
      <c r="GS26" s="212" t="n"/>
      <c r="GT26" s="212" t="n"/>
      <c r="GU26" s="212" t="n"/>
      <c r="GV26" s="212" t="n"/>
      <c r="GW26" s="212" t="n"/>
      <c r="GX26" s="212" t="n"/>
      <c r="GY26" s="212" t="n"/>
      <c r="GZ26" s="212" t="n"/>
      <c r="HA26" s="212" t="n"/>
      <c r="HB26" s="212" t="n"/>
      <c r="HC26" s="212" t="n"/>
      <c r="HD26" s="212" t="n"/>
      <c r="HE26" s="212" t="n"/>
      <c r="HF26" s="212" t="n"/>
      <c r="HG26" s="212" t="n"/>
      <c r="HH26" s="212" t="n"/>
      <c r="HI26" s="212" t="n"/>
      <c r="HJ26" s="212" t="n"/>
      <c r="HK26" s="212" t="n"/>
      <c r="HL26" s="212" t="n"/>
      <c r="HM26" s="212" t="n"/>
      <c r="HN26" s="212" t="n"/>
      <c r="HO26" s="212" t="n"/>
      <c r="HP26" s="212" t="n"/>
      <c r="HQ26" s="212" t="n"/>
      <c r="HR26" s="212" t="n"/>
      <c r="HS26" s="212" t="n"/>
      <c r="HT26" s="212" t="n"/>
      <c r="HU26" s="212" t="n"/>
      <c r="HV26" s="212" t="n"/>
      <c r="HW26" s="212" t="n"/>
      <c r="HX26" s="212" t="n"/>
      <c r="HY26" s="212" t="n"/>
      <c r="HZ26" s="212" t="n"/>
      <c r="IA26" s="212" t="n"/>
      <c r="IB26" s="212" t="n"/>
      <c r="IC26" s="212" t="n"/>
      <c r="ID26" s="212" t="n"/>
      <c r="IE26" s="212" t="n"/>
      <c r="IF26" s="212" t="n"/>
      <c r="IG26" s="212" t="n"/>
      <c r="IH26" s="212" t="n"/>
      <c r="II26" s="212" t="n"/>
      <c r="IJ26" s="212" t="n"/>
      <c r="IK26" s="212" t="n"/>
      <c r="IL26" s="212" t="n"/>
      <c r="IM26" s="212" t="n"/>
      <c r="IN26" s="212" t="n"/>
      <c r="IO26" s="212" t="n"/>
      <c r="IP26" s="212" t="n"/>
      <c r="IQ26" s="212" t="n"/>
      <c r="IR26" s="212" t="n"/>
      <c r="IS26" s="212" t="n"/>
      <c r="IT26" s="212" t="n"/>
      <c r="IU26" s="212" t="n"/>
      <c r="IV26" s="212" t="n"/>
      <c r="IW26" s="212" t="n"/>
      <c r="IX26" s="212" t="n"/>
      <c r="IY26" s="212" t="n"/>
      <c r="IZ26" s="212" t="n"/>
      <c r="JA26" s="212" t="n"/>
      <c r="JB26" s="212" t="n"/>
      <c r="JC26" s="212" t="n"/>
      <c r="JD26" s="212" t="n"/>
      <c r="JE26" s="212" t="n"/>
      <c r="JF26" s="212" t="n"/>
      <c r="JG26" s="212" t="n"/>
      <c r="JH26" s="212" t="n"/>
      <c r="JI26" s="212" t="n"/>
      <c r="JJ26" s="212" t="n"/>
      <c r="JK26" s="212" t="n"/>
      <c r="JL26" s="212" t="n"/>
      <c r="JM26" s="212" t="n"/>
      <c r="JN26" s="212" t="n"/>
      <c r="JO26" s="212" t="n"/>
      <c r="JP26" s="212" t="n"/>
      <c r="JQ26" s="212" t="n"/>
      <c r="JR26" s="212" t="n"/>
      <c r="JS26" s="212" t="n"/>
      <c r="JT26" s="212" t="n"/>
      <c r="JU26" s="212" t="n"/>
      <c r="JV26" s="212" t="n"/>
      <c r="JW26" s="212" t="n"/>
      <c r="JX26" s="212" t="n"/>
      <c r="JY26" s="212" t="n"/>
      <c r="JZ26" s="212" t="n"/>
      <c r="KA26" s="212" t="n"/>
      <c r="KB26" s="212" t="n"/>
      <c r="KC26" s="212" t="n"/>
      <c r="KD26" s="212" t="n"/>
      <c r="KE26" s="212" t="n"/>
      <c r="KF26" s="212" t="n"/>
      <c r="KG26" s="212" t="n"/>
      <c r="KH26" s="212" t="n"/>
      <c r="KI26" s="212" t="n"/>
      <c r="KJ26" s="212" t="n"/>
      <c r="KK26" s="212" t="n"/>
      <c r="KL26" s="212" t="n"/>
      <c r="KM26" s="212" t="n"/>
      <c r="KN26" s="212" t="n"/>
      <c r="KO26" s="212" t="n"/>
      <c r="KP26" s="212" t="n"/>
      <c r="KQ26" s="212" t="n"/>
      <c r="KR26" s="212" t="n"/>
      <c r="KS26" s="212" t="n"/>
      <c r="KT26" s="212" t="n"/>
      <c r="KU26" s="212" t="n"/>
      <c r="KV26" s="212" t="n"/>
      <c r="KW26" s="212" t="n"/>
      <c r="KX26" s="212" t="n"/>
      <c r="KY26" s="212" t="n"/>
      <c r="KZ26" s="212" t="n"/>
      <c r="LA26" s="212" t="n"/>
      <c r="LB26" s="212" t="n"/>
      <c r="LC26" s="212" t="n"/>
      <c r="LD26" s="212" t="n"/>
      <c r="LE26" s="212" t="n"/>
      <c r="LF26" s="212" t="n"/>
      <c r="LG26" s="212" t="n"/>
      <c r="LH26" s="212" t="n"/>
      <c r="LI26" s="212" t="n"/>
      <c r="LJ26" s="212" t="n"/>
      <c r="LK26" s="212" t="n"/>
      <c r="LL26" s="212" t="n"/>
      <c r="LM26" s="212" t="n"/>
      <c r="LN26" s="212" t="n"/>
      <c r="LO26" s="212" t="n"/>
      <c r="LP26" s="212" t="n"/>
      <c r="LQ26" s="212" t="n"/>
      <c r="LR26" s="212" t="n"/>
      <c r="LS26" s="212" t="n"/>
      <c r="LT26" s="212" t="n"/>
      <c r="LU26" s="212" t="n"/>
      <c r="LV26" s="212" t="n"/>
      <c r="LW26" s="212" t="n"/>
      <c r="LX26" s="212" t="n"/>
      <c r="LY26" s="212" t="n"/>
      <c r="LZ26" s="212" t="n"/>
      <c r="MA26" s="212" t="n"/>
      <c r="MB26" s="212" t="n"/>
      <c r="MC26" s="212" t="n"/>
      <c r="MD26" s="212" t="n"/>
      <c r="ME26" s="212" t="n"/>
      <c r="MF26" s="212" t="n"/>
      <c r="MG26" s="212" t="n"/>
      <c r="MH26" s="212" t="n"/>
      <c r="MI26" s="212" t="n"/>
      <c r="MJ26" s="212" t="n"/>
      <c r="MK26" s="212" t="n"/>
      <c r="ML26" s="212" t="n"/>
      <c r="MM26" s="212" t="n"/>
      <c r="MN26" s="212" t="n"/>
      <c r="MO26" s="212" t="n"/>
      <c r="MP26" s="212" t="n"/>
      <c r="MQ26" s="212" t="n"/>
      <c r="MR26" s="212" t="n"/>
      <c r="MS26" s="212" t="n"/>
      <c r="MT26" s="212" t="n"/>
      <c r="MU26" s="212" t="n"/>
      <c r="MV26" s="212" t="n"/>
      <c r="MW26" s="212" t="n"/>
      <c r="MX26" s="212" t="n"/>
      <c r="MY26" s="212" t="n"/>
      <c r="MZ26" s="212" t="n"/>
      <c r="NA26" s="212" t="n"/>
      <c r="NB26" s="212" t="n"/>
      <c r="NC26" s="212" t="n"/>
      <c r="ND26" s="212" t="n"/>
      <c r="NE26" s="212" t="n"/>
      <c r="NF26" s="212" t="n"/>
      <c r="NG26" s="212" t="n"/>
      <c r="NH26" s="212" t="n"/>
      <c r="NI26" s="212" t="n"/>
      <c r="NJ26" s="212" t="n"/>
      <c r="NK26" s="212" t="n"/>
      <c r="NL26" s="212" t="n"/>
      <c r="NM26" s="212" t="n"/>
      <c r="NN26" s="212" t="n"/>
      <c r="NO26" s="212" t="n"/>
      <c r="NP26" s="212" t="n"/>
      <c r="NQ26" s="212" t="n"/>
      <c r="NR26" s="212" t="n"/>
      <c r="NS26" s="212" t="n"/>
      <c r="NT26" s="212" t="n"/>
      <c r="NU26" s="212" t="n"/>
      <c r="NV26" s="212" t="n"/>
      <c r="NW26" s="212" t="n"/>
      <c r="NX26" s="212" t="n"/>
      <c r="NY26" s="212" t="n"/>
      <c r="NZ26" s="212" t="n"/>
      <c r="OA26" s="212" t="n"/>
      <c r="OB26" s="212" t="n"/>
      <c r="OC26" s="212" t="n"/>
      <c r="OD26" s="212" t="n"/>
      <c r="OE26" s="212" t="n"/>
      <c r="OF26" s="212" t="n"/>
      <c r="OG26" s="212" t="n"/>
      <c r="OH26" s="212" t="n"/>
      <c r="OI26" s="212" t="n"/>
      <c r="OJ26" s="212" t="n"/>
      <c r="OK26" s="212" t="n"/>
      <c r="OL26" s="212" t="n"/>
      <c r="OM26" s="212" t="n"/>
      <c r="ON26" s="212" t="n"/>
      <c r="OO26" s="212" t="n"/>
      <c r="OP26" s="212" t="n"/>
      <c r="OQ26" s="212" t="n"/>
      <c r="OR26" s="212" t="n"/>
      <c r="OS26" s="212" t="n"/>
      <c r="OT26" s="212" t="n"/>
      <c r="OU26" s="212" t="n"/>
      <c r="OV26" s="212" t="n"/>
      <c r="OW26" s="212" t="n"/>
      <c r="OX26" s="212" t="n"/>
      <c r="OY26" s="212" t="n"/>
      <c r="OZ26" s="212" t="n"/>
      <c r="PA26" s="212" t="n"/>
      <c r="PB26" s="212" t="n"/>
      <c r="PC26" s="212" t="n"/>
      <c r="PD26" s="212" t="n"/>
      <c r="PE26" s="212" t="n"/>
      <c r="PF26" s="212" t="n"/>
      <c r="PG26" s="212" t="n"/>
      <c r="PH26" s="212" t="n"/>
      <c r="PI26" s="212" t="n"/>
      <c r="PJ26" s="212" t="n"/>
      <c r="PK26" s="212" t="n"/>
      <c r="PL26" s="212" t="n"/>
      <c r="PM26" s="212" t="n"/>
      <c r="PN26" s="212" t="n"/>
      <c r="PO26" s="212" t="n"/>
      <c r="PP26" s="212" t="n"/>
      <c r="PQ26" s="212" t="n"/>
      <c r="PR26" s="212" t="n"/>
      <c r="PS26" s="212" t="n"/>
      <c r="PT26" s="212" t="n"/>
      <c r="PU26" s="212" t="n"/>
      <c r="PV26" s="212" t="n"/>
      <c r="PW26" s="212" t="n"/>
      <c r="PX26" s="212" t="n"/>
      <c r="PY26" s="212" t="n"/>
      <c r="PZ26" s="212" t="n"/>
      <c r="QA26" s="212" t="n"/>
      <c r="QB26" s="212" t="n"/>
      <c r="QC26" s="212" t="n"/>
      <c r="QD26" s="212" t="n"/>
      <c r="QE26" s="212" t="n"/>
      <c r="QF26" s="212" t="n"/>
      <c r="QG26" s="212" t="n"/>
      <c r="QH26" s="212" t="n"/>
      <c r="QI26" s="212" t="n"/>
      <c r="QJ26" s="212" t="n"/>
      <c r="QK26" s="212" t="n"/>
      <c r="QL26" s="212" t="n"/>
      <c r="QM26" s="212" t="n"/>
      <c r="QN26" s="212" t="n"/>
      <c r="QO26" s="212" t="n"/>
      <c r="QP26" s="212" t="n"/>
      <c r="QQ26" s="212" t="n"/>
      <c r="QR26" s="212" t="n"/>
      <c r="QS26" s="212" t="n"/>
      <c r="QT26" s="212" t="n"/>
      <c r="QU26" s="212" t="n"/>
      <c r="QV26" s="212" t="n"/>
      <c r="QW26" s="212" t="n"/>
      <c r="QX26" s="212" t="n"/>
      <c r="QY26" s="212" t="n"/>
      <c r="QZ26" s="212" t="n"/>
      <c r="RA26" s="212" t="n"/>
      <c r="RB26" s="212" t="n"/>
      <c r="RC26" s="212" t="n"/>
      <c r="RD26" s="212" t="n"/>
      <c r="RE26" s="212" t="n"/>
      <c r="RF26" s="212" t="n"/>
      <c r="RG26" s="212" t="n"/>
      <c r="RH26" s="212" t="n"/>
      <c r="RI26" s="212" t="n"/>
      <c r="RJ26" s="212" t="n"/>
      <c r="RK26" s="212" t="n"/>
      <c r="RL26" s="212" t="n"/>
      <c r="RM26" s="212" t="n"/>
      <c r="RN26" s="212" t="n"/>
      <c r="RO26" s="212" t="n"/>
      <c r="RP26" s="212" t="n"/>
      <c r="RQ26" s="212" t="n"/>
      <c r="RR26" s="212" t="n"/>
      <c r="RS26" s="212" t="n"/>
      <c r="RT26" s="212" t="n"/>
      <c r="RU26" s="212" t="n"/>
      <c r="RV26" s="212" t="n"/>
      <c r="RW26" s="212" t="n"/>
      <c r="RX26" s="212" t="n"/>
      <c r="RY26" s="212" t="n"/>
      <c r="RZ26" s="212" t="n"/>
      <c r="SA26" s="212" t="n"/>
      <c r="SB26" s="212" t="n"/>
      <c r="SC26" s="212" t="n"/>
      <c r="SD26" s="212" t="n"/>
      <c r="SE26" s="212" t="n"/>
      <c r="SF26" s="212" t="n"/>
      <c r="SG26" s="212" t="n"/>
      <c r="SH26" s="212" t="n"/>
      <c r="SI26" s="212" t="n"/>
      <c r="SJ26" s="212" t="n"/>
      <c r="SK26" s="212" t="n"/>
      <c r="SL26" s="212" t="n"/>
      <c r="SM26" s="212" t="n"/>
      <c r="SN26" s="212" t="n"/>
      <c r="SO26" s="212" t="n"/>
      <c r="SP26" s="212" t="n"/>
      <c r="SQ26" s="212" t="n"/>
      <c r="SR26" s="212" t="n"/>
      <c r="SS26" s="212" t="n"/>
      <c r="ST26" s="212" t="n"/>
      <c r="SU26" s="212" t="n"/>
      <c r="SV26" s="212" t="n"/>
    </row>
    <row r="27">
      <c r="B27" s="209" t="n">
        <v>2</v>
      </c>
      <c r="C27" s="209" t="inlineStr">
        <is>
          <t>SLM</t>
        </is>
      </c>
      <c r="D27" s="209" t="inlineStr">
        <is>
          <t>Cayde</t>
        </is>
      </c>
      <c r="E27" s="209" t="inlineStr">
        <is>
          <t>Summerfield</t>
        </is>
      </c>
      <c r="F27" s="209">
        <f>IF(TRIM(D27&amp;E27)="","",TRIM(D27)&amp;" "&amp;TRIM(E27))</f>
        <v/>
      </c>
      <c r="G27" s="209" t="inlineStr">
        <is>
          <t>Perth</t>
        </is>
      </c>
      <c r="H27" s="209" t="inlineStr">
        <is>
          <t>Operator - Excavator</t>
        </is>
      </c>
      <c r="I27" s="209" t="inlineStr">
        <is>
          <t>YES</t>
        </is>
      </c>
      <c r="J27" s="209" t="inlineStr">
        <is>
          <t>YES</t>
        </is>
      </c>
      <c r="K27" s="209" t="inlineStr">
        <is>
          <t>YES</t>
        </is>
      </c>
      <c r="L27" s="209" t="inlineStr">
        <is>
          <t>YES</t>
        </is>
      </c>
      <c r="M27" s="209" t="inlineStr">
        <is>
          <t>Quals Complete</t>
        </is>
      </c>
      <c r="N27" s="209" t="inlineStr">
        <is>
          <t>cayde@slmcc.com.au</t>
        </is>
      </c>
      <c r="O27" s="209" t="inlineStr">
        <is>
          <t>0419 472 013</t>
        </is>
      </c>
      <c r="P27" s="209" t="n">
        <v>795539</v>
      </c>
      <c r="Q27" s="209" t="n">
        <v>418684</v>
      </c>
      <c r="R27" s="209" t="inlineStr">
        <is>
          <t>2:1</t>
        </is>
      </c>
      <c r="S27" s="210" t="inlineStr">
        <is>
          <t>N/A</t>
        </is>
      </c>
      <c r="T27" s="210" t="inlineStr">
        <is>
          <t>N/A</t>
        </is>
      </c>
      <c r="U27" s="210" t="inlineStr">
        <is>
          <t>N/A</t>
        </is>
      </c>
      <c r="V27" s="210" t="inlineStr">
        <is>
          <t>N/A</t>
        </is>
      </c>
      <c r="W27" s="210" t="inlineStr">
        <is>
          <t>N/A</t>
        </is>
      </c>
      <c r="X27" s="210" t="inlineStr">
        <is>
          <t>N/A</t>
        </is>
      </c>
      <c r="Y27" s="210" t="inlineStr">
        <is>
          <t>N/A</t>
        </is>
      </c>
      <c r="Z27" s="210" t="inlineStr">
        <is>
          <t>N/A</t>
        </is>
      </c>
      <c r="AA27" s="210" t="inlineStr">
        <is>
          <t>N/A</t>
        </is>
      </c>
      <c r="AB27" s="210" t="inlineStr">
        <is>
          <t>N/A</t>
        </is>
      </c>
      <c r="AC27" s="210" t="inlineStr">
        <is>
          <t>N/A</t>
        </is>
      </c>
      <c r="AD27" s="211" t="inlineStr">
        <is>
          <t>PER/PHE PM
LND</t>
        </is>
      </c>
      <c r="AE27" s="211" t="inlineStr">
        <is>
          <t>LND</t>
        </is>
      </c>
      <c r="AF27" s="211" t="inlineStr">
        <is>
          <t>LND</t>
        </is>
      </c>
      <c r="AG27" s="211" t="inlineStr">
        <is>
          <t>LND</t>
        </is>
      </c>
      <c r="AH27" s="211" t="inlineStr">
        <is>
          <t>LND</t>
        </is>
      </c>
      <c r="AI27" s="211" t="inlineStr">
        <is>
          <t>LND</t>
        </is>
      </c>
      <c r="AJ27" s="211" t="inlineStr">
        <is>
          <t>LND</t>
        </is>
      </c>
      <c r="AK27" s="211" t="inlineStr">
        <is>
          <t>LND</t>
        </is>
      </c>
      <c r="AL27" s="211" t="inlineStr">
        <is>
          <t>LND</t>
        </is>
      </c>
      <c r="AM27" s="211" t="inlineStr">
        <is>
          <t>LND</t>
        </is>
      </c>
      <c r="AN27" s="211" t="inlineStr">
        <is>
          <t>LND</t>
        </is>
      </c>
      <c r="AO27" s="211" t="inlineStr">
        <is>
          <t>LND</t>
        </is>
      </c>
      <c r="AP27" s="211" t="inlineStr">
        <is>
          <t>LND</t>
        </is>
      </c>
      <c r="AQ27" s="211" t="inlineStr">
        <is>
          <t>LND</t>
        </is>
      </c>
      <c r="AR27" s="211" t="inlineStr">
        <is>
          <t>PHE/PER PM</t>
        </is>
      </c>
      <c r="AS27" s="214" t="inlineStr">
        <is>
          <t>RnR</t>
        </is>
      </c>
      <c r="AT27" s="214" t="inlineStr">
        <is>
          <t>RnR</t>
        </is>
      </c>
      <c r="AU27" s="214" t="inlineStr">
        <is>
          <t>RnR</t>
        </is>
      </c>
      <c r="AV27" s="214" t="inlineStr">
        <is>
          <t>RnR</t>
        </is>
      </c>
      <c r="AW27" s="214" t="inlineStr">
        <is>
          <t>RnR</t>
        </is>
      </c>
      <c r="AX27" s="214" t="inlineStr">
        <is>
          <t>RnR</t>
        </is>
      </c>
      <c r="AY27" s="211" t="inlineStr">
        <is>
          <t>PER/PHE PM
LND</t>
        </is>
      </c>
      <c r="AZ27" s="211" t="inlineStr">
        <is>
          <t>RDM</t>
        </is>
      </c>
      <c r="BA27" s="211" t="inlineStr">
        <is>
          <t>RDM</t>
        </is>
      </c>
      <c r="BB27" s="211" t="inlineStr">
        <is>
          <t>RDM</t>
        </is>
      </c>
      <c r="BC27" s="211" t="inlineStr">
        <is>
          <t>RDM</t>
        </is>
      </c>
      <c r="BD27" s="211" t="inlineStr">
        <is>
          <t>RDM</t>
        </is>
      </c>
      <c r="BE27" s="211" t="inlineStr">
        <is>
          <t>RDM</t>
        </is>
      </c>
      <c r="BF27" s="211" t="inlineStr">
        <is>
          <t>RDM</t>
        </is>
      </c>
      <c r="BG27" s="211" t="inlineStr">
        <is>
          <t>RDM</t>
        </is>
      </c>
      <c r="BH27" s="211" t="inlineStr">
        <is>
          <t>RDM</t>
        </is>
      </c>
      <c r="BI27" s="211" t="inlineStr">
        <is>
          <t>RDM</t>
        </is>
      </c>
      <c r="BJ27" s="211" t="inlineStr">
        <is>
          <t>RDM</t>
        </is>
      </c>
      <c r="BK27" s="211" t="inlineStr">
        <is>
          <t>RDM</t>
        </is>
      </c>
      <c r="BL27" s="211" t="inlineStr">
        <is>
          <t>RDM</t>
        </is>
      </c>
      <c r="BM27" s="211" t="inlineStr">
        <is>
          <t>PHE/PER PM</t>
        </is>
      </c>
      <c r="BN27" s="214" t="inlineStr">
        <is>
          <t>RnR</t>
        </is>
      </c>
      <c r="BO27" s="214" t="inlineStr">
        <is>
          <t>RnR</t>
        </is>
      </c>
      <c r="BP27" s="214" t="inlineStr">
        <is>
          <t>RnR</t>
        </is>
      </c>
      <c r="BQ27" s="214" t="inlineStr">
        <is>
          <t>RnR</t>
        </is>
      </c>
      <c r="BR27" s="214" t="inlineStr">
        <is>
          <t>RnR</t>
        </is>
      </c>
      <c r="BS27" s="214" t="inlineStr">
        <is>
          <t>RnR</t>
        </is>
      </c>
      <c r="BT27" s="220" t="inlineStr">
        <is>
          <t>PER/PHE PM
LND</t>
        </is>
      </c>
      <c r="BU27" s="220" t="inlineStr">
        <is>
          <t>RDM</t>
        </is>
      </c>
      <c r="BV27" s="220" t="inlineStr">
        <is>
          <t>RDM</t>
        </is>
      </c>
      <c r="BW27" s="220" t="inlineStr">
        <is>
          <t>RDM</t>
        </is>
      </c>
      <c r="BX27" s="220" t="inlineStr">
        <is>
          <t>RDM</t>
        </is>
      </c>
      <c r="BY27" s="220" t="inlineStr">
        <is>
          <t>RDM</t>
        </is>
      </c>
      <c r="BZ27" s="220" t="inlineStr">
        <is>
          <t>RDM</t>
        </is>
      </c>
      <c r="CA27" s="220" t="inlineStr">
        <is>
          <t>RDM</t>
        </is>
      </c>
      <c r="CB27" s="220" t="inlineStr">
        <is>
          <t>WRR</t>
        </is>
      </c>
      <c r="CC27" s="220" t="inlineStr">
        <is>
          <t>WRR</t>
        </is>
      </c>
      <c r="CD27" s="210" t="inlineStr">
        <is>
          <t>ZNE/PER PM</t>
        </is>
      </c>
      <c r="CE27" s="217" t="inlineStr">
        <is>
          <t>DEMOB</t>
        </is>
      </c>
      <c r="CF27" s="210" t="inlineStr">
        <is>
          <t>N/A</t>
        </is>
      </c>
      <c r="CG27" s="210" t="inlineStr">
        <is>
          <t>N/A</t>
        </is>
      </c>
      <c r="CH27" s="210" t="inlineStr">
        <is>
          <t>N/A</t>
        </is>
      </c>
      <c r="CI27" s="210" t="inlineStr">
        <is>
          <t>N/A</t>
        </is>
      </c>
      <c r="CJ27" s="210" t="inlineStr">
        <is>
          <t>N/A</t>
        </is>
      </c>
      <c r="CK27" s="210" t="inlineStr">
        <is>
          <t>N/A</t>
        </is>
      </c>
      <c r="CL27" s="210" t="inlineStr">
        <is>
          <t>N/A</t>
        </is>
      </c>
      <c r="CM27" s="210" t="inlineStr">
        <is>
          <t>N/A</t>
        </is>
      </c>
      <c r="CN27" s="210" t="inlineStr">
        <is>
          <t>N/A</t>
        </is>
      </c>
      <c r="CO27" s="210" t="inlineStr">
        <is>
          <t>N/A</t>
        </is>
      </c>
      <c r="CP27" s="210" t="inlineStr">
        <is>
          <t>N/A</t>
        </is>
      </c>
      <c r="CQ27" s="210" t="inlineStr">
        <is>
          <t>N/A</t>
        </is>
      </c>
      <c r="CR27" s="210" t="inlineStr">
        <is>
          <t>N/A</t>
        </is>
      </c>
      <c r="CS27" s="210" t="inlineStr">
        <is>
          <t>N/A</t>
        </is>
      </c>
      <c r="CT27" s="210" t="inlineStr">
        <is>
          <t>N/A</t>
        </is>
      </c>
      <c r="CU27" s="210" t="inlineStr">
        <is>
          <t>N/A</t>
        </is>
      </c>
      <c r="CV27" s="210" t="inlineStr">
        <is>
          <t>N/A</t>
        </is>
      </c>
      <c r="CW27" s="210" t="inlineStr">
        <is>
          <t>N/A</t>
        </is>
      </c>
      <c r="CX27" s="210" t="inlineStr">
        <is>
          <t>N/A</t>
        </is>
      </c>
      <c r="CY27" s="210" t="inlineStr">
        <is>
          <t>N/A</t>
        </is>
      </c>
      <c r="CZ27" s="210" t="inlineStr">
        <is>
          <t>N/A</t>
        </is>
      </c>
      <c r="DA27" s="210" t="inlineStr">
        <is>
          <t>N/A</t>
        </is>
      </c>
      <c r="DB27" s="210" t="inlineStr">
        <is>
          <t>N/A</t>
        </is>
      </c>
      <c r="DC27" s="210" t="inlineStr">
        <is>
          <t>N/A</t>
        </is>
      </c>
      <c r="DD27" s="210" t="inlineStr">
        <is>
          <t>N/A</t>
        </is>
      </c>
      <c r="DE27" s="210" t="inlineStr">
        <is>
          <t>N/A</t>
        </is>
      </c>
      <c r="DF27" s="210" t="inlineStr">
        <is>
          <t>N/A</t>
        </is>
      </c>
      <c r="DG27" s="210" t="inlineStr">
        <is>
          <t>N/A</t>
        </is>
      </c>
      <c r="DH27" s="210" t="inlineStr">
        <is>
          <t>N/A</t>
        </is>
      </c>
      <c r="DI27" s="210" t="inlineStr">
        <is>
          <t>N/A</t>
        </is>
      </c>
      <c r="DJ27" s="210" t="inlineStr">
        <is>
          <t>N/A</t>
        </is>
      </c>
      <c r="DK27" s="210" t="inlineStr">
        <is>
          <t>N/A</t>
        </is>
      </c>
      <c r="DL27" s="210" t="inlineStr">
        <is>
          <t>N/A</t>
        </is>
      </c>
      <c r="DM27" s="210" t="inlineStr">
        <is>
          <t>N/A</t>
        </is>
      </c>
      <c r="DN27" s="210" t="inlineStr">
        <is>
          <t>N/A</t>
        </is>
      </c>
      <c r="DO27" s="210" t="inlineStr">
        <is>
          <t>N/A</t>
        </is>
      </c>
      <c r="DP27" s="210" t="inlineStr">
        <is>
          <t>N/A</t>
        </is>
      </c>
      <c r="DQ27" s="210" t="inlineStr">
        <is>
          <t>N/A</t>
        </is>
      </c>
      <c r="DR27" s="212" t="n"/>
      <c r="DS27" s="212" t="n"/>
      <c r="DT27" s="212" t="n"/>
      <c r="DU27" s="212" t="n"/>
      <c r="DV27" s="212" t="n"/>
      <c r="DW27" s="212" t="n"/>
      <c r="DX27" s="212" t="n"/>
      <c r="DY27" s="212" t="n"/>
      <c r="DZ27" s="212" t="n"/>
      <c r="EA27" s="212" t="n"/>
      <c r="EB27" s="212" t="n"/>
      <c r="EC27" s="212" t="n"/>
      <c r="ED27" s="212" t="n"/>
      <c r="EE27" s="212" t="n"/>
      <c r="EF27" s="212" t="n"/>
      <c r="EG27" s="212" t="n"/>
      <c r="EH27" s="212" t="n"/>
      <c r="EI27" s="212" t="n"/>
      <c r="EJ27" s="212" t="n"/>
      <c r="EK27" s="212" t="n"/>
      <c r="EL27" s="212" t="n"/>
      <c r="EM27" s="212" t="n"/>
      <c r="EN27" s="212" t="n"/>
      <c r="EO27" s="212" t="n"/>
      <c r="EP27" s="212" t="n"/>
      <c r="EQ27" s="212" t="n"/>
      <c r="ER27" s="212" t="n"/>
      <c r="ES27" s="212" t="n"/>
      <c r="ET27" s="212" t="n"/>
      <c r="EU27" s="212" t="n"/>
      <c r="EV27" s="212" t="n"/>
      <c r="EW27" s="212" t="n"/>
      <c r="EX27" s="212" t="n"/>
      <c r="EY27" s="212" t="n"/>
      <c r="EZ27" s="212" t="n"/>
      <c r="FA27" s="212" t="n"/>
      <c r="FB27" s="212" t="n"/>
      <c r="FC27" s="212" t="n"/>
      <c r="FD27" s="212" t="n"/>
      <c r="FE27" s="212" t="n"/>
      <c r="FF27" s="212" t="n"/>
      <c r="FG27" s="212" t="n"/>
      <c r="FH27" s="212" t="n"/>
      <c r="FI27" s="212" t="n"/>
      <c r="FJ27" s="212" t="n"/>
      <c r="FK27" s="212" t="n"/>
      <c r="FL27" s="212" t="n"/>
      <c r="FM27" s="212" t="n"/>
      <c r="FN27" s="212" t="n"/>
      <c r="FO27" s="212" t="n"/>
      <c r="FP27" s="212" t="n"/>
      <c r="FQ27" s="212" t="n"/>
      <c r="FR27" s="212" t="n"/>
      <c r="FS27" s="212" t="n"/>
      <c r="FT27" s="212" t="n"/>
      <c r="FU27" s="212" t="n"/>
      <c r="FV27" s="212" t="n"/>
      <c r="FW27" s="212" t="n"/>
      <c r="FX27" s="212" t="n"/>
      <c r="FY27" s="212" t="n"/>
      <c r="FZ27" s="212" t="n"/>
      <c r="GA27" s="212" t="n"/>
      <c r="GB27" s="212" t="n"/>
      <c r="GC27" s="212" t="n"/>
      <c r="GD27" s="212" t="n"/>
      <c r="GE27" s="212" t="n"/>
      <c r="GF27" s="212" t="n"/>
      <c r="GG27" s="212" t="n"/>
      <c r="GH27" s="212" t="n"/>
      <c r="GI27" s="212" t="n"/>
      <c r="GJ27" s="212" t="n"/>
      <c r="GK27" s="212" t="n"/>
      <c r="GL27" s="212" t="n"/>
      <c r="GM27" s="212" t="n"/>
      <c r="GN27" s="212" t="n"/>
      <c r="GO27" s="212" t="n"/>
      <c r="GP27" s="212" t="n"/>
      <c r="GQ27" s="212" t="n"/>
      <c r="GR27" s="212" t="n"/>
      <c r="GS27" s="212" t="n"/>
      <c r="GT27" s="212" t="n"/>
      <c r="GU27" s="212" t="n"/>
      <c r="GV27" s="212" t="n"/>
      <c r="GW27" s="212" t="n"/>
      <c r="GX27" s="212" t="n"/>
      <c r="GY27" s="212" t="n"/>
      <c r="GZ27" s="212" t="n"/>
      <c r="HA27" s="212" t="n"/>
      <c r="HB27" s="212" t="n"/>
      <c r="HC27" s="212" t="n"/>
      <c r="HD27" s="212" t="n"/>
      <c r="HE27" s="212" t="n"/>
      <c r="HF27" s="212" t="n"/>
      <c r="HG27" s="212" t="n"/>
      <c r="HH27" s="212" t="n"/>
      <c r="HI27" s="212" t="n"/>
      <c r="HJ27" s="212" t="n"/>
      <c r="HK27" s="212" t="n"/>
      <c r="HL27" s="212" t="n"/>
      <c r="HM27" s="212" t="n"/>
      <c r="HN27" s="212" t="n"/>
      <c r="HO27" s="212" t="n"/>
      <c r="HP27" s="212" t="n"/>
      <c r="HQ27" s="212" t="n"/>
      <c r="HR27" s="212" t="n"/>
      <c r="HS27" s="212" t="n"/>
      <c r="HT27" s="212" t="n"/>
      <c r="HU27" s="212" t="n"/>
      <c r="HV27" s="212" t="n"/>
      <c r="HW27" s="212" t="n"/>
      <c r="HX27" s="212" t="n"/>
      <c r="HY27" s="212" t="n"/>
      <c r="HZ27" s="212" t="n"/>
      <c r="IA27" s="212" t="n"/>
      <c r="IB27" s="212" t="n"/>
      <c r="IC27" s="212" t="n"/>
      <c r="ID27" s="212" t="n"/>
      <c r="IE27" s="212" t="n"/>
      <c r="IF27" s="212" t="n"/>
      <c r="IG27" s="212" t="n"/>
      <c r="IH27" s="212" t="n"/>
      <c r="II27" s="212" t="n"/>
      <c r="IJ27" s="212" t="n"/>
      <c r="IK27" s="212" t="n"/>
      <c r="IL27" s="212" t="n"/>
      <c r="IM27" s="212" t="n"/>
      <c r="IN27" s="212" t="n"/>
      <c r="IO27" s="212" t="n"/>
      <c r="IP27" s="212" t="n"/>
      <c r="IQ27" s="212" t="n"/>
      <c r="IR27" s="212" t="n"/>
      <c r="IS27" s="212" t="n"/>
      <c r="IT27" s="212" t="n"/>
      <c r="IU27" s="212" t="n"/>
      <c r="IV27" s="212" t="n"/>
      <c r="IW27" s="212" t="n"/>
      <c r="IX27" s="212" t="n"/>
      <c r="IY27" s="212" t="n"/>
      <c r="IZ27" s="212" t="n"/>
      <c r="JA27" s="212" t="n"/>
      <c r="JB27" s="212" t="n"/>
      <c r="JC27" s="212" t="n"/>
      <c r="JD27" s="212" t="n"/>
      <c r="JE27" s="212" t="n"/>
      <c r="JF27" s="212" t="n"/>
      <c r="JG27" s="212" t="n"/>
      <c r="JH27" s="212" t="n"/>
      <c r="JI27" s="212" t="n"/>
      <c r="JJ27" s="212" t="n"/>
      <c r="JK27" s="212" t="n"/>
      <c r="JL27" s="212" t="n"/>
      <c r="JM27" s="212" t="n"/>
      <c r="JN27" s="212" t="n"/>
      <c r="JO27" s="212" t="n"/>
      <c r="JP27" s="212" t="n"/>
      <c r="JQ27" s="212" t="n"/>
      <c r="JR27" s="212" t="n"/>
      <c r="JS27" s="212" t="n"/>
      <c r="JT27" s="212" t="n"/>
      <c r="JU27" s="212" t="n"/>
      <c r="JV27" s="212" t="n"/>
      <c r="JW27" s="212" t="n"/>
      <c r="JX27" s="212" t="n"/>
      <c r="JY27" s="212" t="n"/>
      <c r="JZ27" s="212" t="n"/>
      <c r="KA27" s="212" t="n"/>
      <c r="KB27" s="212" t="n"/>
      <c r="KC27" s="212" t="n"/>
      <c r="KD27" s="212" t="n"/>
      <c r="KE27" s="212" t="n"/>
      <c r="KF27" s="212" t="n"/>
      <c r="KG27" s="212" t="n"/>
      <c r="KH27" s="212" t="n"/>
      <c r="KI27" s="212" t="n"/>
      <c r="KJ27" s="212" t="n"/>
      <c r="KK27" s="212" t="n"/>
      <c r="KL27" s="212" t="n"/>
      <c r="KM27" s="212" t="n"/>
      <c r="KN27" s="212" t="n"/>
      <c r="KO27" s="212" t="n"/>
      <c r="KP27" s="212" t="n"/>
      <c r="KQ27" s="212" t="n"/>
      <c r="KR27" s="212" t="n"/>
      <c r="KS27" s="212" t="n"/>
      <c r="KT27" s="212" t="n"/>
      <c r="KU27" s="212" t="n"/>
      <c r="KV27" s="212" t="n"/>
      <c r="KW27" s="212" t="n"/>
      <c r="KX27" s="212" t="n"/>
      <c r="KY27" s="212" t="n"/>
      <c r="KZ27" s="212" t="n"/>
      <c r="LA27" s="212" t="n"/>
      <c r="LB27" s="212" t="n"/>
      <c r="LC27" s="212" t="n"/>
      <c r="LD27" s="212" t="n"/>
      <c r="LE27" s="212" t="n"/>
      <c r="LF27" s="212" t="n"/>
      <c r="LG27" s="212" t="n"/>
      <c r="LH27" s="212" t="n"/>
      <c r="LI27" s="212" t="n"/>
      <c r="LJ27" s="212" t="n"/>
      <c r="LK27" s="212" t="n"/>
      <c r="LL27" s="212" t="n"/>
      <c r="LM27" s="212" t="n"/>
      <c r="LN27" s="212" t="n"/>
      <c r="LO27" s="212" t="n"/>
      <c r="LP27" s="212" t="n"/>
      <c r="LQ27" s="212" t="n"/>
      <c r="LR27" s="212" t="n"/>
      <c r="LS27" s="212" t="n"/>
      <c r="LT27" s="212" t="n"/>
      <c r="LU27" s="212" t="n"/>
      <c r="LV27" s="212" t="n"/>
      <c r="LW27" s="212" t="n"/>
      <c r="LX27" s="212" t="n"/>
      <c r="LY27" s="212" t="n"/>
      <c r="LZ27" s="212" t="n"/>
      <c r="MA27" s="212" t="n"/>
      <c r="MB27" s="212" t="n"/>
      <c r="MC27" s="212" t="n"/>
      <c r="MD27" s="212" t="n"/>
      <c r="ME27" s="212" t="n"/>
      <c r="MF27" s="212" t="n"/>
      <c r="MG27" s="212" t="n"/>
      <c r="MH27" s="212" t="n"/>
      <c r="MI27" s="212" t="n"/>
      <c r="MJ27" s="212" t="n"/>
      <c r="MK27" s="212" t="n"/>
      <c r="ML27" s="212" t="n"/>
      <c r="MM27" s="212" t="n"/>
      <c r="MN27" s="212" t="n"/>
      <c r="MO27" s="212" t="n"/>
      <c r="MP27" s="212" t="n"/>
      <c r="MQ27" s="212" t="n"/>
      <c r="MR27" s="212" t="n"/>
      <c r="MS27" s="212" t="n"/>
      <c r="MT27" s="212" t="n"/>
      <c r="MU27" s="212" t="n"/>
      <c r="MV27" s="212" t="n"/>
      <c r="MW27" s="212" t="n"/>
      <c r="MX27" s="212" t="n"/>
      <c r="MY27" s="212" t="n"/>
      <c r="MZ27" s="212" t="n"/>
      <c r="NA27" s="212" t="n"/>
      <c r="NB27" s="212" t="n"/>
      <c r="NC27" s="212" t="n"/>
      <c r="ND27" s="212" t="n"/>
      <c r="NE27" s="212" t="n"/>
      <c r="NF27" s="212" t="n"/>
      <c r="NG27" s="212" t="n"/>
      <c r="NH27" s="212" t="n"/>
      <c r="NI27" s="212" t="n"/>
      <c r="NJ27" s="212" t="n"/>
      <c r="NK27" s="212" t="n"/>
      <c r="NL27" s="212" t="n"/>
      <c r="NM27" s="212" t="n"/>
      <c r="NN27" s="212" t="n"/>
      <c r="NO27" s="212" t="n"/>
      <c r="NP27" s="212" t="n"/>
      <c r="NQ27" s="212" t="n"/>
      <c r="NR27" s="212" t="n"/>
      <c r="NS27" s="212" t="n"/>
      <c r="NT27" s="212" t="n"/>
      <c r="NU27" s="212" t="n"/>
      <c r="NV27" s="212" t="n"/>
      <c r="NW27" s="212" t="n"/>
      <c r="NX27" s="212" t="n"/>
      <c r="NY27" s="212" t="n"/>
      <c r="NZ27" s="212" t="n"/>
      <c r="OA27" s="212" t="n"/>
      <c r="OB27" s="212" t="n"/>
      <c r="OC27" s="212" t="n"/>
      <c r="OD27" s="212" t="n"/>
      <c r="OE27" s="212" t="n"/>
      <c r="OF27" s="212" t="n"/>
      <c r="OG27" s="212" t="n"/>
      <c r="OH27" s="212" t="n"/>
      <c r="OI27" s="212" t="n"/>
      <c r="OJ27" s="212" t="n"/>
      <c r="OK27" s="212" t="n"/>
      <c r="OL27" s="212" t="n"/>
      <c r="OM27" s="212" t="n"/>
      <c r="ON27" s="212" t="n"/>
      <c r="OO27" s="212" t="n"/>
      <c r="OP27" s="212" t="n"/>
      <c r="OQ27" s="212" t="n"/>
      <c r="OR27" s="212" t="n"/>
      <c r="OS27" s="212" t="n"/>
      <c r="OT27" s="212" t="n"/>
      <c r="OU27" s="212" t="n"/>
      <c r="OV27" s="212" t="n"/>
      <c r="OW27" s="212" t="n"/>
      <c r="OX27" s="212" t="n"/>
      <c r="OY27" s="212" t="n"/>
      <c r="OZ27" s="212" t="n"/>
      <c r="PA27" s="212" t="n"/>
      <c r="PB27" s="212" t="n"/>
      <c r="PC27" s="212" t="n"/>
      <c r="PD27" s="212" t="n"/>
      <c r="PE27" s="212" t="n"/>
      <c r="PF27" s="212" t="n"/>
      <c r="PG27" s="212" t="n"/>
      <c r="PH27" s="212" t="n"/>
      <c r="PI27" s="212" t="n"/>
      <c r="PJ27" s="212" t="n"/>
      <c r="PK27" s="212" t="n"/>
      <c r="PL27" s="212" t="n"/>
      <c r="PM27" s="212" t="n"/>
      <c r="PN27" s="212" t="n"/>
      <c r="PO27" s="212" t="n"/>
      <c r="PP27" s="212" t="n"/>
      <c r="PQ27" s="212" t="n"/>
      <c r="PR27" s="212" t="n"/>
      <c r="PS27" s="212" t="n"/>
      <c r="PT27" s="212" t="n"/>
      <c r="PU27" s="212" t="n"/>
      <c r="PV27" s="212" t="n"/>
      <c r="PW27" s="212" t="n"/>
      <c r="PX27" s="212" t="n"/>
      <c r="PY27" s="212" t="n"/>
      <c r="PZ27" s="212" t="n"/>
      <c r="QA27" s="212" t="n"/>
      <c r="QB27" s="212" t="n"/>
      <c r="QC27" s="212" t="n"/>
      <c r="QD27" s="212" t="n"/>
      <c r="QE27" s="212" t="n"/>
      <c r="QF27" s="212" t="n"/>
      <c r="QG27" s="212" t="n"/>
      <c r="QH27" s="212" t="n"/>
      <c r="QI27" s="212" t="n"/>
      <c r="QJ27" s="212" t="n"/>
      <c r="QK27" s="212" t="n"/>
      <c r="QL27" s="212" t="n"/>
      <c r="QM27" s="212" t="n"/>
      <c r="QN27" s="212" t="n"/>
      <c r="QO27" s="212" t="n"/>
      <c r="QP27" s="212" t="n"/>
      <c r="QQ27" s="212" t="n"/>
      <c r="QR27" s="212" t="n"/>
      <c r="QS27" s="212" t="n"/>
      <c r="QT27" s="212" t="n"/>
      <c r="QU27" s="212" t="n"/>
      <c r="QV27" s="212" t="n"/>
      <c r="QW27" s="212" t="n"/>
      <c r="QX27" s="212" t="n"/>
      <c r="QY27" s="212" t="n"/>
      <c r="QZ27" s="212" t="n"/>
      <c r="RA27" s="212" t="n"/>
      <c r="RB27" s="212" t="n"/>
      <c r="RC27" s="212" t="n"/>
      <c r="RD27" s="212" t="n"/>
      <c r="RE27" s="212" t="n"/>
      <c r="RF27" s="212" t="n"/>
      <c r="RG27" s="212" t="n"/>
      <c r="RH27" s="212" t="n"/>
      <c r="RI27" s="212" t="n"/>
      <c r="RJ27" s="212" t="n"/>
      <c r="RK27" s="212" t="n"/>
      <c r="RL27" s="212" t="n"/>
      <c r="RM27" s="212" t="n"/>
      <c r="RN27" s="212" t="n"/>
      <c r="RO27" s="212" t="n"/>
      <c r="RP27" s="212" t="n"/>
      <c r="RQ27" s="212" t="n"/>
      <c r="RR27" s="212" t="n"/>
      <c r="RS27" s="212" t="n"/>
      <c r="RT27" s="212" t="n"/>
      <c r="RU27" s="212" t="n"/>
      <c r="RV27" s="212" t="n"/>
      <c r="RW27" s="212" t="n"/>
      <c r="RX27" s="212" t="n"/>
      <c r="RY27" s="212" t="n"/>
      <c r="RZ27" s="212" t="n"/>
      <c r="SA27" s="212" t="n"/>
      <c r="SB27" s="212" t="n"/>
      <c r="SC27" s="212" t="n"/>
      <c r="SD27" s="212" t="n"/>
      <c r="SE27" s="212" t="n"/>
      <c r="SF27" s="212" t="n"/>
      <c r="SG27" s="212" t="n"/>
      <c r="SH27" s="212" t="n"/>
      <c r="SI27" s="212" t="n"/>
      <c r="SJ27" s="212" t="n"/>
      <c r="SK27" s="212" t="n"/>
      <c r="SL27" s="212" t="n"/>
      <c r="SM27" s="212" t="n"/>
      <c r="SN27" s="212" t="n"/>
      <c r="SO27" s="212" t="n"/>
      <c r="SP27" s="212" t="n"/>
      <c r="SQ27" s="212" t="n"/>
      <c r="SR27" s="212" t="n"/>
      <c r="SS27" s="212" t="n"/>
      <c r="ST27" s="212" t="n"/>
      <c r="SU27" s="212" t="n"/>
      <c r="SV27" s="212" t="n"/>
    </row>
    <row r="28">
      <c r="B28" s="209" t="n">
        <v>3</v>
      </c>
      <c r="C28" s="209" t="inlineStr">
        <is>
          <t>LGC Rail</t>
        </is>
      </c>
      <c r="D28" s="209" t="inlineStr">
        <is>
          <t>Ngang</t>
        </is>
      </c>
      <c r="E28" s="209" t="inlineStr">
        <is>
          <t>Chool</t>
        </is>
      </c>
      <c r="F28" s="209">
        <f>IF(TRIM(D28&amp;E28)="","",TRIM(D28)&amp;" "&amp;TRIM(E28))</f>
        <v/>
      </c>
      <c r="G28" s="209" t="inlineStr">
        <is>
          <t>Melbourne</t>
        </is>
      </c>
      <c r="H28" s="209" t="inlineStr">
        <is>
          <t>Operator - Excavator</t>
        </is>
      </c>
      <c r="I28" s="209" t="inlineStr">
        <is>
          <t>YES</t>
        </is>
      </c>
      <c r="J28" s="209" t="inlineStr">
        <is>
          <t>YES</t>
        </is>
      </c>
      <c r="K28" s="209" t="inlineStr">
        <is>
          <t>YES</t>
        </is>
      </c>
      <c r="L28" s="209" t="inlineStr">
        <is>
          <t>YES</t>
        </is>
      </c>
      <c r="M28" s="209" t="inlineStr">
        <is>
          <t>Quals Complete</t>
        </is>
      </c>
      <c r="N28" s="209" t="inlineStr">
        <is>
          <t>jacob.n.chool@gmail.com</t>
        </is>
      </c>
      <c r="O28" s="209" t="inlineStr">
        <is>
          <t>0458 596 988</t>
        </is>
      </c>
      <c r="P28" s="209" t="n">
        <v>830655</v>
      </c>
      <c r="Q28" s="209" t="n">
        <v>444063</v>
      </c>
      <c r="R28" s="209" t="inlineStr">
        <is>
          <t>2:1</t>
        </is>
      </c>
      <c r="S28" s="210" t="inlineStr">
        <is>
          <t>N/A</t>
        </is>
      </c>
      <c r="T28" s="210" t="inlineStr">
        <is>
          <t>N/A</t>
        </is>
      </c>
      <c r="U28" s="210" t="inlineStr">
        <is>
          <t>N/A</t>
        </is>
      </c>
      <c r="V28" s="210" t="inlineStr">
        <is>
          <t>N/A</t>
        </is>
      </c>
      <c r="W28" s="210" t="inlineStr">
        <is>
          <t>N/A</t>
        </is>
      </c>
      <c r="X28" s="210" t="inlineStr">
        <is>
          <t>N/A</t>
        </is>
      </c>
      <c r="Y28" s="210" t="inlineStr">
        <is>
          <t>N/A</t>
        </is>
      </c>
      <c r="Z28" s="210" t="inlineStr">
        <is>
          <t>N/A</t>
        </is>
      </c>
      <c r="AA28" s="210" t="inlineStr">
        <is>
          <t>N/A</t>
        </is>
      </c>
      <c r="AB28" s="210" t="inlineStr">
        <is>
          <t>N/A</t>
        </is>
      </c>
      <c r="AC28" s="210" t="inlineStr">
        <is>
          <t>N/A</t>
        </is>
      </c>
      <c r="AD28" s="210" t="inlineStr">
        <is>
          <t>N/A</t>
        </is>
      </c>
      <c r="AE28" s="210" t="inlineStr">
        <is>
          <t>N/A</t>
        </is>
      </c>
      <c r="AF28" s="210" t="inlineStr">
        <is>
          <t>N/A</t>
        </is>
      </c>
      <c r="AG28" s="210" t="inlineStr">
        <is>
          <t>N/A</t>
        </is>
      </c>
      <c r="AH28" s="210" t="inlineStr">
        <is>
          <t>N/A</t>
        </is>
      </c>
      <c r="AI28" s="210" t="inlineStr">
        <is>
          <t>N/A</t>
        </is>
      </c>
      <c r="AJ28" s="210" t="inlineStr">
        <is>
          <t>N/A</t>
        </is>
      </c>
      <c r="AK28" s="210" t="inlineStr">
        <is>
          <t>N/A</t>
        </is>
      </c>
      <c r="AL28" s="210" t="inlineStr">
        <is>
          <t>N/A</t>
        </is>
      </c>
      <c r="AM28" s="210" t="inlineStr">
        <is>
          <t>N/A</t>
        </is>
      </c>
      <c r="AN28" s="210" t="inlineStr">
        <is>
          <t>N/A</t>
        </is>
      </c>
      <c r="AO28" s="210" t="inlineStr">
        <is>
          <t>N/A</t>
        </is>
      </c>
      <c r="AP28" s="210" t="inlineStr">
        <is>
          <t>N/A</t>
        </is>
      </c>
      <c r="AQ28" s="210" t="inlineStr">
        <is>
          <t>N/A</t>
        </is>
      </c>
      <c r="AR28" s="210" t="inlineStr">
        <is>
          <t>N/A</t>
        </is>
      </c>
      <c r="AS28" s="210" t="inlineStr">
        <is>
          <t>N/A</t>
        </is>
      </c>
      <c r="AT28" s="210" t="inlineStr">
        <is>
          <t>N/A</t>
        </is>
      </c>
      <c r="AU28" s="210" t="inlineStr">
        <is>
          <t>N/A</t>
        </is>
      </c>
      <c r="AV28" s="210" t="inlineStr">
        <is>
          <t>N/A</t>
        </is>
      </c>
      <c r="AW28" s="210" t="inlineStr">
        <is>
          <t>N/A</t>
        </is>
      </c>
      <c r="AX28" s="210" t="inlineStr">
        <is>
          <t>N/A</t>
        </is>
      </c>
      <c r="AY28" s="210" t="inlineStr">
        <is>
          <t>N/A</t>
        </is>
      </c>
      <c r="AZ28" s="210" t="inlineStr">
        <is>
          <t>N/A</t>
        </is>
      </c>
      <c r="BA28" s="210" t="inlineStr">
        <is>
          <t>N/A</t>
        </is>
      </c>
      <c r="BB28" s="210" t="inlineStr">
        <is>
          <t>N/A</t>
        </is>
      </c>
      <c r="BC28" s="210" t="inlineStr">
        <is>
          <t>N/A</t>
        </is>
      </c>
      <c r="BD28" s="210" t="inlineStr">
        <is>
          <t>N/A</t>
        </is>
      </c>
      <c r="BE28" s="210" t="inlineStr">
        <is>
          <t>N/A</t>
        </is>
      </c>
      <c r="BF28" s="210" t="inlineStr">
        <is>
          <t>N/A</t>
        </is>
      </c>
      <c r="BG28" s="210" t="inlineStr">
        <is>
          <t>N/A</t>
        </is>
      </c>
      <c r="BH28" s="210" t="inlineStr">
        <is>
          <t>N/A</t>
        </is>
      </c>
      <c r="BI28" s="210" t="inlineStr">
        <is>
          <t>N/A</t>
        </is>
      </c>
      <c r="BJ28" s="210" t="inlineStr">
        <is>
          <t>N/A</t>
        </is>
      </c>
      <c r="BK28" s="210" t="inlineStr">
        <is>
          <t>N/A</t>
        </is>
      </c>
      <c r="BL28" s="210" t="inlineStr">
        <is>
          <t>N/A</t>
        </is>
      </c>
      <c r="BM28" s="210" t="inlineStr">
        <is>
          <t>N/A</t>
        </is>
      </c>
      <c r="BN28" s="210" t="inlineStr">
        <is>
          <t>N/A</t>
        </is>
      </c>
      <c r="BO28" s="210" t="inlineStr">
        <is>
          <t>N/A</t>
        </is>
      </c>
      <c r="BP28" s="210" t="inlineStr">
        <is>
          <t>N/A</t>
        </is>
      </c>
      <c r="BQ28" s="210" t="inlineStr">
        <is>
          <t>N/A</t>
        </is>
      </c>
      <c r="BR28" s="210" t="inlineStr">
        <is>
          <t>N/A</t>
        </is>
      </c>
      <c r="BS28" s="210" t="inlineStr">
        <is>
          <t>N/A</t>
        </is>
      </c>
      <c r="BT28" s="210" t="inlineStr">
        <is>
          <t>N/A</t>
        </is>
      </c>
      <c r="BU28" s="210" t="inlineStr">
        <is>
          <t>N/A</t>
        </is>
      </c>
      <c r="BV28" s="210" t="inlineStr">
        <is>
          <t>N/A</t>
        </is>
      </c>
      <c r="BW28" s="210" t="inlineStr">
        <is>
          <t>N/A</t>
        </is>
      </c>
      <c r="BX28" s="210" t="inlineStr">
        <is>
          <t>N/A</t>
        </is>
      </c>
      <c r="BY28" s="210" t="inlineStr">
        <is>
          <t>N/A</t>
        </is>
      </c>
      <c r="BZ28" s="210" t="inlineStr">
        <is>
          <t>N/A</t>
        </is>
      </c>
      <c r="CA28" s="210" t="inlineStr">
        <is>
          <t>N/A</t>
        </is>
      </c>
      <c r="CB28" s="210" t="inlineStr">
        <is>
          <t>N/A</t>
        </is>
      </c>
      <c r="CC28" s="210" t="inlineStr">
        <is>
          <t>PER/ZNE PM
WRR</t>
        </is>
      </c>
      <c r="CD28" s="210" t="inlineStr">
        <is>
          <t>WRR</t>
        </is>
      </c>
      <c r="CE28" s="210" t="inlineStr">
        <is>
          <t>WRR</t>
        </is>
      </c>
      <c r="CF28" s="210" t="inlineStr">
        <is>
          <t>WRR</t>
        </is>
      </c>
      <c r="CG28" s="210" t="inlineStr">
        <is>
          <t>WRR</t>
        </is>
      </c>
      <c r="CH28" s="210" t="inlineStr">
        <is>
          <t>PHE/PER PM</t>
        </is>
      </c>
      <c r="CI28" s="210" t="inlineStr">
        <is>
          <t>N/A</t>
        </is>
      </c>
      <c r="CJ28" s="210" t="inlineStr">
        <is>
          <t>N/A</t>
        </is>
      </c>
      <c r="CK28" s="210" t="inlineStr">
        <is>
          <t>N/A</t>
        </is>
      </c>
      <c r="CL28" s="210" t="inlineStr">
        <is>
          <t>N/A</t>
        </is>
      </c>
      <c r="CM28" s="210" t="inlineStr">
        <is>
          <t>N/A</t>
        </is>
      </c>
      <c r="CN28" s="210" t="inlineStr">
        <is>
          <t>N/A</t>
        </is>
      </c>
      <c r="CO28" s="210" t="inlineStr">
        <is>
          <t>N/A</t>
        </is>
      </c>
      <c r="CP28" s="210" t="inlineStr">
        <is>
          <t>N/A</t>
        </is>
      </c>
      <c r="CQ28" s="210" t="inlineStr">
        <is>
          <t>N/A</t>
        </is>
      </c>
      <c r="CR28" s="210" t="inlineStr">
        <is>
          <t>N/A</t>
        </is>
      </c>
      <c r="CS28" s="210" t="inlineStr">
        <is>
          <t>N/A</t>
        </is>
      </c>
      <c r="CT28" s="210" t="inlineStr">
        <is>
          <t>N/A</t>
        </is>
      </c>
      <c r="CU28" s="210" t="inlineStr">
        <is>
          <t>N/A</t>
        </is>
      </c>
      <c r="CV28" s="210" t="inlineStr">
        <is>
          <t>N/A</t>
        </is>
      </c>
      <c r="CW28" s="210" t="inlineStr">
        <is>
          <t>N/A</t>
        </is>
      </c>
      <c r="CX28" s="210" t="inlineStr">
        <is>
          <t>N/A</t>
        </is>
      </c>
      <c r="CY28" s="210" t="inlineStr">
        <is>
          <t>N/A</t>
        </is>
      </c>
      <c r="CZ28" s="210" t="inlineStr">
        <is>
          <t>N/A</t>
        </is>
      </c>
      <c r="DA28" s="210" t="inlineStr">
        <is>
          <t>N/A</t>
        </is>
      </c>
      <c r="DB28" s="210" t="inlineStr">
        <is>
          <t>N/A</t>
        </is>
      </c>
      <c r="DC28" s="210" t="inlineStr">
        <is>
          <t>N/A</t>
        </is>
      </c>
      <c r="DD28" s="210" t="inlineStr">
        <is>
          <t>N/A</t>
        </is>
      </c>
      <c r="DE28" s="210" t="inlineStr">
        <is>
          <t>N/A</t>
        </is>
      </c>
      <c r="DF28" s="210" t="inlineStr">
        <is>
          <t>N/A</t>
        </is>
      </c>
      <c r="DG28" s="210" t="inlineStr">
        <is>
          <t>N/A</t>
        </is>
      </c>
      <c r="DH28" s="210" t="inlineStr">
        <is>
          <t>N/A</t>
        </is>
      </c>
      <c r="DI28" s="210" t="inlineStr">
        <is>
          <t>N/A</t>
        </is>
      </c>
      <c r="DJ28" s="210" t="inlineStr">
        <is>
          <t>N/A</t>
        </is>
      </c>
      <c r="DK28" s="210" t="inlineStr">
        <is>
          <t>N/A</t>
        </is>
      </c>
      <c r="DL28" s="210" t="inlineStr">
        <is>
          <t>N/A</t>
        </is>
      </c>
      <c r="DM28" s="210" t="inlineStr">
        <is>
          <t>N/A</t>
        </is>
      </c>
      <c r="DN28" s="210" t="inlineStr">
        <is>
          <t>N/A</t>
        </is>
      </c>
      <c r="DO28" s="210" t="inlineStr">
        <is>
          <t>N/A</t>
        </is>
      </c>
      <c r="DP28" s="210" t="inlineStr">
        <is>
          <t>N/A</t>
        </is>
      </c>
      <c r="DQ28" s="210" t="inlineStr">
        <is>
          <t>N/A</t>
        </is>
      </c>
      <c r="DR28" s="212" t="n"/>
      <c r="DS28" s="212" t="n"/>
      <c r="DT28" s="212" t="n"/>
      <c r="DU28" s="212" t="n"/>
      <c r="DV28" s="212" t="n"/>
      <c r="DW28" s="212" t="n"/>
      <c r="DX28" s="212" t="n"/>
      <c r="DY28" s="212" t="n"/>
      <c r="DZ28" s="212" t="n"/>
      <c r="EA28" s="212" t="n"/>
      <c r="EB28" s="212" t="n"/>
      <c r="EC28" s="212" t="n"/>
      <c r="ED28" s="212" t="n"/>
      <c r="EE28" s="212" t="n"/>
      <c r="EF28" s="212" t="n"/>
      <c r="EG28" s="212" t="n"/>
      <c r="EH28" s="212" t="n"/>
      <c r="EI28" s="212" t="n"/>
      <c r="EJ28" s="212" t="n"/>
      <c r="EK28" s="212" t="n"/>
      <c r="EL28" s="212" t="n"/>
      <c r="EM28" s="212" t="n"/>
      <c r="EN28" s="212" t="n"/>
      <c r="EO28" s="212" t="n"/>
      <c r="EP28" s="212" t="n"/>
      <c r="EQ28" s="212" t="n"/>
      <c r="ER28" s="212" t="n"/>
      <c r="ES28" s="212" t="n"/>
      <c r="ET28" s="212" t="n"/>
      <c r="EU28" s="212" t="n"/>
      <c r="EV28" s="212" t="n"/>
      <c r="EW28" s="212" t="n"/>
      <c r="EX28" s="212" t="n"/>
      <c r="EY28" s="212" t="n"/>
      <c r="EZ28" s="212" t="n"/>
      <c r="FA28" s="212" t="n"/>
      <c r="FB28" s="212" t="n"/>
      <c r="FC28" s="212" t="n"/>
      <c r="FD28" s="212" t="n"/>
      <c r="FE28" s="212" t="n"/>
      <c r="FF28" s="212" t="n"/>
      <c r="FG28" s="212" t="n"/>
      <c r="FH28" s="212" t="n"/>
      <c r="FI28" s="212" t="n"/>
      <c r="FJ28" s="212" t="n"/>
      <c r="FK28" s="212" t="n"/>
      <c r="FL28" s="212" t="n"/>
      <c r="FM28" s="212" t="n"/>
      <c r="FN28" s="212" t="n"/>
      <c r="FO28" s="212" t="n"/>
      <c r="FP28" s="212" t="n"/>
      <c r="FQ28" s="212" t="n"/>
      <c r="FR28" s="212" t="n"/>
      <c r="FS28" s="212" t="n"/>
      <c r="FT28" s="212" t="n"/>
      <c r="FU28" s="212" t="n"/>
      <c r="FV28" s="212" t="n"/>
      <c r="FW28" s="212" t="n"/>
      <c r="FX28" s="212" t="n"/>
      <c r="FY28" s="212" t="n"/>
      <c r="FZ28" s="212" t="n"/>
      <c r="GA28" s="212" t="n"/>
      <c r="GB28" s="212" t="n"/>
      <c r="GC28" s="212" t="n"/>
      <c r="GD28" s="212" t="n"/>
      <c r="GE28" s="212" t="n"/>
      <c r="GF28" s="212" t="n"/>
      <c r="GG28" s="212" t="n"/>
      <c r="GH28" s="212" t="n"/>
      <c r="GI28" s="212" t="n"/>
      <c r="GJ28" s="212" t="n"/>
      <c r="GK28" s="212" t="n"/>
      <c r="GL28" s="212" t="n"/>
      <c r="GM28" s="212" t="n"/>
      <c r="GN28" s="212" t="n"/>
      <c r="GO28" s="212" t="n"/>
      <c r="GP28" s="212" t="n"/>
      <c r="GQ28" s="212" t="n"/>
      <c r="GR28" s="212" t="n"/>
      <c r="GS28" s="212" t="n"/>
      <c r="GT28" s="212" t="n"/>
      <c r="GU28" s="212" t="n"/>
      <c r="GV28" s="212" t="n"/>
      <c r="GW28" s="212" t="n"/>
      <c r="GX28" s="212" t="n"/>
      <c r="GY28" s="212" t="n"/>
      <c r="GZ28" s="212" t="n"/>
      <c r="HA28" s="212" t="n"/>
      <c r="HB28" s="212" t="n"/>
      <c r="HC28" s="212" t="n"/>
      <c r="HD28" s="212" t="n"/>
      <c r="HE28" s="212" t="n"/>
      <c r="HF28" s="212" t="n"/>
      <c r="HG28" s="212" t="n"/>
      <c r="HH28" s="212" t="n"/>
      <c r="HI28" s="212" t="n"/>
      <c r="HJ28" s="212" t="n"/>
      <c r="HK28" s="212" t="n"/>
      <c r="HL28" s="212" t="n"/>
      <c r="HM28" s="212" t="n"/>
      <c r="HN28" s="212" t="n"/>
      <c r="HO28" s="212" t="n"/>
      <c r="HP28" s="212" t="n"/>
      <c r="HQ28" s="212" t="n"/>
      <c r="HR28" s="212" t="n"/>
      <c r="HS28" s="212" t="n"/>
      <c r="HT28" s="212" t="n"/>
      <c r="HU28" s="212" t="n"/>
      <c r="HV28" s="212" t="n"/>
      <c r="HW28" s="212" t="n"/>
      <c r="HX28" s="212" t="n"/>
      <c r="HY28" s="212" t="n"/>
      <c r="HZ28" s="212" t="n"/>
      <c r="IA28" s="212" t="n"/>
      <c r="IB28" s="212" t="n"/>
      <c r="IC28" s="212" t="n"/>
      <c r="ID28" s="212" t="n"/>
      <c r="IE28" s="212" t="n"/>
      <c r="IF28" s="212" t="n"/>
      <c r="IG28" s="212" t="n"/>
      <c r="IH28" s="212" t="n"/>
      <c r="II28" s="212" t="n"/>
      <c r="IJ28" s="212" t="n"/>
      <c r="IK28" s="212" t="n"/>
      <c r="IL28" s="212" t="n"/>
      <c r="IM28" s="212" t="n"/>
      <c r="IN28" s="212" t="n"/>
      <c r="IO28" s="212" t="n"/>
      <c r="IP28" s="212" t="n"/>
      <c r="IQ28" s="212" t="n"/>
      <c r="IR28" s="212" t="n"/>
      <c r="IS28" s="212" t="n"/>
      <c r="IT28" s="212" t="n"/>
      <c r="IU28" s="212" t="n"/>
      <c r="IV28" s="212" t="n"/>
      <c r="IW28" s="212" t="n"/>
      <c r="IX28" s="212" t="n"/>
      <c r="IY28" s="212" t="n"/>
      <c r="IZ28" s="212" t="n"/>
      <c r="JA28" s="212" t="n"/>
      <c r="JB28" s="212" t="n"/>
      <c r="JC28" s="212" t="n"/>
      <c r="JD28" s="212" t="n"/>
      <c r="JE28" s="212" t="n"/>
      <c r="JF28" s="212" t="n"/>
      <c r="JG28" s="212" t="n"/>
      <c r="JH28" s="212" t="n"/>
      <c r="JI28" s="212" t="n"/>
      <c r="JJ28" s="212" t="n"/>
      <c r="JK28" s="212" t="n"/>
      <c r="JL28" s="212" t="n"/>
      <c r="JM28" s="212" t="n"/>
      <c r="JN28" s="212" t="n"/>
      <c r="JO28" s="212" t="n"/>
      <c r="JP28" s="212" t="n"/>
      <c r="JQ28" s="212" t="n"/>
      <c r="JR28" s="212" t="n"/>
      <c r="JS28" s="212" t="n"/>
      <c r="JT28" s="212" t="n"/>
      <c r="JU28" s="212" t="n"/>
      <c r="JV28" s="212" t="n"/>
      <c r="JW28" s="212" t="n"/>
      <c r="JX28" s="212" t="n"/>
      <c r="JY28" s="212" t="n"/>
      <c r="JZ28" s="212" t="n"/>
      <c r="KA28" s="212" t="n"/>
      <c r="KB28" s="212" t="n"/>
      <c r="KC28" s="212" t="n"/>
      <c r="KD28" s="212" t="n"/>
      <c r="KE28" s="212" t="n"/>
      <c r="KF28" s="212" t="n"/>
      <c r="KG28" s="212" t="n"/>
      <c r="KH28" s="212" t="n"/>
      <c r="KI28" s="212" t="n"/>
      <c r="KJ28" s="212" t="n"/>
      <c r="KK28" s="212" t="n"/>
      <c r="KL28" s="212" t="n"/>
      <c r="KM28" s="212" t="n"/>
      <c r="KN28" s="212" t="n"/>
      <c r="KO28" s="212" t="n"/>
      <c r="KP28" s="212" t="n"/>
      <c r="KQ28" s="212" t="n"/>
      <c r="KR28" s="212" t="n"/>
      <c r="KS28" s="212" t="n"/>
      <c r="KT28" s="212" t="n"/>
      <c r="KU28" s="212" t="n"/>
      <c r="KV28" s="212" t="n"/>
      <c r="KW28" s="212" t="n"/>
      <c r="KX28" s="212" t="n"/>
      <c r="KY28" s="212" t="n"/>
      <c r="KZ28" s="212" t="n"/>
      <c r="LA28" s="212" t="n"/>
      <c r="LB28" s="212" t="n"/>
      <c r="LC28" s="212" t="n"/>
      <c r="LD28" s="212" t="n"/>
      <c r="LE28" s="212" t="n"/>
      <c r="LF28" s="212" t="n"/>
      <c r="LG28" s="212" t="n"/>
      <c r="LH28" s="212" t="n"/>
      <c r="LI28" s="212" t="n"/>
      <c r="LJ28" s="212" t="n"/>
      <c r="LK28" s="212" t="n"/>
      <c r="LL28" s="212" t="n"/>
      <c r="LM28" s="212" t="n"/>
      <c r="LN28" s="212" t="n"/>
      <c r="LO28" s="212" t="n"/>
      <c r="LP28" s="212" t="n"/>
      <c r="LQ28" s="212" t="n"/>
      <c r="LR28" s="212" t="n"/>
      <c r="LS28" s="212" t="n"/>
      <c r="LT28" s="212" t="n"/>
      <c r="LU28" s="212" t="n"/>
      <c r="LV28" s="212" t="n"/>
      <c r="LW28" s="212" t="n"/>
      <c r="LX28" s="212" t="n"/>
      <c r="LY28" s="212" t="n"/>
      <c r="LZ28" s="212" t="n"/>
      <c r="MA28" s="212" t="n"/>
      <c r="MB28" s="212" t="n"/>
      <c r="MC28" s="212" t="n"/>
      <c r="MD28" s="212" t="n"/>
      <c r="ME28" s="212" t="n"/>
      <c r="MF28" s="212" t="n"/>
      <c r="MG28" s="212" t="n"/>
      <c r="MH28" s="212" t="n"/>
      <c r="MI28" s="212" t="n"/>
      <c r="MJ28" s="212" t="n"/>
      <c r="MK28" s="212" t="n"/>
      <c r="ML28" s="212" t="n"/>
      <c r="MM28" s="212" t="n"/>
      <c r="MN28" s="212" t="n"/>
      <c r="MO28" s="212" t="n"/>
      <c r="MP28" s="212" t="n"/>
      <c r="MQ28" s="212" t="n"/>
      <c r="MR28" s="212" t="n"/>
      <c r="MS28" s="212" t="n"/>
      <c r="MT28" s="212" t="n"/>
      <c r="MU28" s="212" t="n"/>
      <c r="MV28" s="212" t="n"/>
      <c r="MW28" s="212" t="n"/>
      <c r="MX28" s="212" t="n"/>
      <c r="MY28" s="212" t="n"/>
      <c r="MZ28" s="212" t="n"/>
      <c r="NA28" s="212" t="n"/>
      <c r="NB28" s="212" t="n"/>
      <c r="NC28" s="212" t="n"/>
      <c r="ND28" s="212" t="n"/>
      <c r="NE28" s="212" t="n"/>
      <c r="NF28" s="212" t="n"/>
      <c r="NG28" s="212" t="n"/>
      <c r="NH28" s="212" t="n"/>
      <c r="NI28" s="212" t="n"/>
      <c r="NJ28" s="212" t="n"/>
      <c r="NK28" s="212" t="n"/>
      <c r="NL28" s="212" t="n"/>
      <c r="NM28" s="212" t="n"/>
      <c r="NN28" s="212" t="n"/>
      <c r="NO28" s="212" t="n"/>
      <c r="NP28" s="212" t="n"/>
      <c r="NQ28" s="212" t="n"/>
      <c r="NR28" s="212" t="n"/>
      <c r="NS28" s="212" t="n"/>
      <c r="NT28" s="212" t="n"/>
      <c r="NU28" s="212" t="n"/>
      <c r="NV28" s="212" t="n"/>
      <c r="NW28" s="212" t="n"/>
      <c r="NX28" s="212" t="n"/>
      <c r="NY28" s="212" t="n"/>
      <c r="NZ28" s="212" t="n"/>
      <c r="OA28" s="212" t="n"/>
      <c r="OB28" s="212" t="n"/>
      <c r="OC28" s="212" t="n"/>
      <c r="OD28" s="212" t="n"/>
      <c r="OE28" s="212" t="n"/>
      <c r="OF28" s="212" t="n"/>
      <c r="OG28" s="212" t="n"/>
      <c r="OH28" s="212" t="n"/>
      <c r="OI28" s="212" t="n"/>
      <c r="OJ28" s="212" t="n"/>
      <c r="OK28" s="212" t="n"/>
      <c r="OL28" s="212" t="n"/>
      <c r="OM28" s="212" t="n"/>
      <c r="ON28" s="212" t="n"/>
      <c r="OO28" s="212" t="n"/>
      <c r="OP28" s="212" t="n"/>
      <c r="OQ28" s="212" t="n"/>
      <c r="OR28" s="212" t="n"/>
      <c r="OS28" s="212" t="n"/>
      <c r="OT28" s="212" t="n"/>
      <c r="OU28" s="212" t="n"/>
      <c r="OV28" s="212" t="n"/>
      <c r="OW28" s="212" t="n"/>
      <c r="OX28" s="212" t="n"/>
      <c r="OY28" s="212" t="n"/>
      <c r="OZ28" s="212" t="n"/>
      <c r="PA28" s="212" t="n"/>
      <c r="PB28" s="212" t="n"/>
      <c r="PC28" s="212" t="n"/>
      <c r="PD28" s="212" t="n"/>
      <c r="PE28" s="212" t="n"/>
      <c r="PF28" s="212" t="n"/>
      <c r="PG28" s="212" t="n"/>
      <c r="PH28" s="212" t="n"/>
      <c r="PI28" s="212" t="n"/>
      <c r="PJ28" s="212" t="n"/>
      <c r="PK28" s="212" t="n"/>
      <c r="PL28" s="212" t="n"/>
      <c r="PM28" s="212" t="n"/>
      <c r="PN28" s="212" t="n"/>
      <c r="PO28" s="212" t="n"/>
      <c r="PP28" s="212" t="n"/>
      <c r="PQ28" s="212" t="n"/>
      <c r="PR28" s="212" t="n"/>
      <c r="PS28" s="212" t="n"/>
      <c r="PT28" s="212" t="n"/>
      <c r="PU28" s="212" t="n"/>
      <c r="PV28" s="212" t="n"/>
      <c r="PW28" s="212" t="n"/>
      <c r="PX28" s="212" t="n"/>
      <c r="PY28" s="212" t="n"/>
      <c r="PZ28" s="212" t="n"/>
      <c r="QA28" s="212" t="n"/>
      <c r="QB28" s="212" t="n"/>
      <c r="QC28" s="212" t="n"/>
      <c r="QD28" s="212" t="n"/>
      <c r="QE28" s="212" t="n"/>
      <c r="QF28" s="212" t="n"/>
      <c r="QG28" s="212" t="n"/>
      <c r="QH28" s="212" t="n"/>
      <c r="QI28" s="212" t="n"/>
      <c r="QJ28" s="212" t="n"/>
      <c r="QK28" s="212" t="n"/>
      <c r="QL28" s="212" t="n"/>
      <c r="QM28" s="212" t="n"/>
      <c r="QN28" s="212" t="n"/>
      <c r="QO28" s="212" t="n"/>
      <c r="QP28" s="212" t="n"/>
      <c r="QQ28" s="212" t="n"/>
      <c r="QR28" s="212" t="n"/>
      <c r="QS28" s="212" t="n"/>
      <c r="QT28" s="212" t="n"/>
      <c r="QU28" s="212" t="n"/>
      <c r="QV28" s="212" t="n"/>
      <c r="QW28" s="212" t="n"/>
      <c r="QX28" s="212" t="n"/>
      <c r="QY28" s="212" t="n"/>
      <c r="QZ28" s="212" t="n"/>
      <c r="RA28" s="212" t="n"/>
      <c r="RB28" s="212" t="n"/>
      <c r="RC28" s="212" t="n"/>
      <c r="RD28" s="212" t="n"/>
      <c r="RE28" s="212" t="n"/>
      <c r="RF28" s="212" t="n"/>
      <c r="RG28" s="212" t="n"/>
      <c r="RH28" s="212" t="n"/>
      <c r="RI28" s="212" t="n"/>
      <c r="RJ28" s="212" t="n"/>
      <c r="RK28" s="212" t="n"/>
      <c r="RL28" s="212" t="n"/>
      <c r="RM28" s="212" t="n"/>
      <c r="RN28" s="212" t="n"/>
      <c r="RO28" s="212" t="n"/>
      <c r="RP28" s="212" t="n"/>
      <c r="RQ28" s="212" t="n"/>
      <c r="RR28" s="212" t="n"/>
      <c r="RS28" s="212" t="n"/>
      <c r="RT28" s="212" t="n"/>
      <c r="RU28" s="212" t="n"/>
      <c r="RV28" s="212" t="n"/>
      <c r="RW28" s="212" t="n"/>
      <c r="RX28" s="212" t="n"/>
      <c r="RY28" s="212" t="n"/>
      <c r="RZ28" s="212" t="n"/>
      <c r="SA28" s="212" t="n"/>
      <c r="SB28" s="212" t="n"/>
      <c r="SC28" s="212" t="n"/>
      <c r="SD28" s="212" t="n"/>
      <c r="SE28" s="212" t="n"/>
      <c r="SF28" s="212" t="n"/>
      <c r="SG28" s="212" t="n"/>
      <c r="SH28" s="212" t="n"/>
      <c r="SI28" s="212" t="n"/>
      <c r="SJ28" s="212" t="n"/>
      <c r="SK28" s="212" t="n"/>
      <c r="SL28" s="212" t="n"/>
      <c r="SM28" s="212" t="n"/>
      <c r="SN28" s="212" t="n"/>
      <c r="SO28" s="212" t="n"/>
      <c r="SP28" s="212" t="n"/>
      <c r="SQ28" s="212" t="n"/>
      <c r="SR28" s="212" t="n"/>
      <c r="SS28" s="212" t="n"/>
      <c r="ST28" s="212" t="n"/>
      <c r="SU28" s="212" t="n"/>
      <c r="SV28" s="212" t="n"/>
    </row>
    <row r="29">
      <c r="B29" s="209" t="n">
        <v>4</v>
      </c>
      <c r="C29" s="209" t="inlineStr">
        <is>
          <t>SLM</t>
        </is>
      </c>
      <c r="D29" s="209" t="inlineStr">
        <is>
          <t>William</t>
        </is>
      </c>
      <c r="E29" s="209" t="inlineStr">
        <is>
          <t>Stoneman</t>
        </is>
      </c>
      <c r="F29" s="209">
        <f>IF(TRIM(D29&amp;E29)="","",TRIM(D29)&amp;" "&amp;TRIM(E29))</f>
        <v/>
      </c>
      <c r="G29" s="209" t="inlineStr">
        <is>
          <t>Perth</t>
        </is>
      </c>
      <c r="H29" s="209" t="inlineStr">
        <is>
          <t>Operator - Excavator / Forklift</t>
        </is>
      </c>
      <c r="I29" s="209" t="inlineStr">
        <is>
          <t>YES</t>
        </is>
      </c>
      <c r="J29" s="209" t="inlineStr">
        <is>
          <t>YES</t>
        </is>
      </c>
      <c r="K29" s="209" t="inlineStr">
        <is>
          <t>YES</t>
        </is>
      </c>
      <c r="L29" s="209" t="inlineStr">
        <is>
          <t>YES</t>
        </is>
      </c>
      <c r="M29" s="209" t="inlineStr">
        <is>
          <t>Quals Complete</t>
        </is>
      </c>
      <c r="N29" s="209" t="inlineStr">
        <is>
          <t>14williamstoneman@gmail.com</t>
        </is>
      </c>
      <c r="O29" s="209" t="inlineStr">
        <is>
          <t>0480 715 539</t>
        </is>
      </c>
      <c r="P29" s="209" t="n">
        <v>857122</v>
      </c>
      <c r="Q29" s="209" t="n">
        <v>462622</v>
      </c>
      <c r="R29" s="209" t="inlineStr">
        <is>
          <t>2:1</t>
        </is>
      </c>
      <c r="S29" s="210" t="inlineStr">
        <is>
          <t>N/A</t>
        </is>
      </c>
      <c r="T29" s="210" t="inlineStr">
        <is>
          <t>N/A</t>
        </is>
      </c>
      <c r="U29" s="210" t="inlineStr">
        <is>
          <t>N/A</t>
        </is>
      </c>
      <c r="V29" s="210" t="inlineStr">
        <is>
          <t>N/A</t>
        </is>
      </c>
      <c r="W29" s="210" t="inlineStr">
        <is>
          <t>N/A</t>
        </is>
      </c>
      <c r="X29" s="210" t="inlineStr">
        <is>
          <t>N/A</t>
        </is>
      </c>
      <c r="Y29" s="210" t="inlineStr">
        <is>
          <t>N/A</t>
        </is>
      </c>
      <c r="Z29" s="210" t="inlineStr">
        <is>
          <t>N/A</t>
        </is>
      </c>
      <c r="AA29" s="210" t="inlineStr">
        <is>
          <t>N/A</t>
        </is>
      </c>
      <c r="AB29" s="210" t="inlineStr">
        <is>
          <t>N/A</t>
        </is>
      </c>
      <c r="AC29" s="210" t="inlineStr">
        <is>
          <t>N/A</t>
        </is>
      </c>
      <c r="AD29" s="210" t="inlineStr">
        <is>
          <t>N/A</t>
        </is>
      </c>
      <c r="AE29" s="210" t="inlineStr">
        <is>
          <t>N/A</t>
        </is>
      </c>
      <c r="AF29" s="210" t="inlineStr">
        <is>
          <t>N/A</t>
        </is>
      </c>
      <c r="AG29" s="210" t="inlineStr">
        <is>
          <t>N/A</t>
        </is>
      </c>
      <c r="AH29" s="210" t="inlineStr">
        <is>
          <t>N/A</t>
        </is>
      </c>
      <c r="AI29" s="210" t="inlineStr">
        <is>
          <t>N/A</t>
        </is>
      </c>
      <c r="AJ29" s="210" t="inlineStr">
        <is>
          <t>N/A</t>
        </is>
      </c>
      <c r="AK29" s="210" t="inlineStr">
        <is>
          <t>N/A</t>
        </is>
      </c>
      <c r="AL29" s="210" t="inlineStr">
        <is>
          <t>N/A</t>
        </is>
      </c>
      <c r="AM29" s="210" t="inlineStr">
        <is>
          <t>N/A</t>
        </is>
      </c>
      <c r="AN29" s="210" t="inlineStr">
        <is>
          <t>N/A</t>
        </is>
      </c>
      <c r="AO29" s="210" t="inlineStr">
        <is>
          <t>N/A</t>
        </is>
      </c>
      <c r="AP29" s="210" t="inlineStr">
        <is>
          <t>N/A</t>
        </is>
      </c>
      <c r="AQ29" s="210" t="inlineStr">
        <is>
          <t>N/A</t>
        </is>
      </c>
      <c r="AR29" s="210" t="inlineStr">
        <is>
          <t>N/A</t>
        </is>
      </c>
      <c r="AS29" s="210" t="inlineStr">
        <is>
          <t>N/A</t>
        </is>
      </c>
      <c r="AT29" s="210" t="inlineStr">
        <is>
          <t>N/A</t>
        </is>
      </c>
      <c r="AU29" s="210" t="inlineStr">
        <is>
          <t>N/A</t>
        </is>
      </c>
      <c r="AV29" s="210" t="inlineStr">
        <is>
          <t>N/A</t>
        </is>
      </c>
      <c r="AW29" s="210" t="inlineStr">
        <is>
          <t>N/A</t>
        </is>
      </c>
      <c r="AX29" s="210" t="inlineStr">
        <is>
          <t>N/A</t>
        </is>
      </c>
      <c r="AY29" s="211" t="inlineStr">
        <is>
          <t>PER/PHE PM
LND</t>
        </is>
      </c>
      <c r="AZ29" s="211" t="inlineStr">
        <is>
          <t>RDM</t>
        </is>
      </c>
      <c r="BA29" s="211" t="inlineStr">
        <is>
          <t>RDM</t>
        </is>
      </c>
      <c r="BB29" s="211" t="inlineStr">
        <is>
          <t>RDM</t>
        </is>
      </c>
      <c r="BC29" s="211" t="inlineStr">
        <is>
          <t>RDM</t>
        </is>
      </c>
      <c r="BD29" s="211" t="inlineStr">
        <is>
          <t>RDM</t>
        </is>
      </c>
      <c r="BE29" s="211" t="inlineStr">
        <is>
          <t>RDM</t>
        </is>
      </c>
      <c r="BF29" s="211" t="inlineStr">
        <is>
          <t>RDM</t>
        </is>
      </c>
      <c r="BG29" s="211" t="inlineStr">
        <is>
          <t>RDM</t>
        </is>
      </c>
      <c r="BH29" s="211" t="inlineStr">
        <is>
          <t>RDM</t>
        </is>
      </c>
      <c r="BI29" s="211" t="inlineStr">
        <is>
          <t>RDM</t>
        </is>
      </c>
      <c r="BJ29" s="211" t="inlineStr">
        <is>
          <t>RDM</t>
        </is>
      </c>
      <c r="BK29" s="211" t="inlineStr">
        <is>
          <t>RDM</t>
        </is>
      </c>
      <c r="BL29" s="211" t="inlineStr">
        <is>
          <t>RDM</t>
        </is>
      </c>
      <c r="BM29" s="211" t="inlineStr">
        <is>
          <t>PHE/PER PM</t>
        </is>
      </c>
      <c r="BN29" s="212" t="n"/>
      <c r="BO29" s="212" t="n"/>
      <c r="BP29" s="212" t="n"/>
      <c r="BQ29" s="212" t="n"/>
      <c r="BR29" s="212" t="n"/>
      <c r="BS29" s="214" t="inlineStr">
        <is>
          <t>RnR</t>
        </is>
      </c>
      <c r="BT29" s="220" t="inlineStr">
        <is>
          <t>PER/PHE PM
LND</t>
        </is>
      </c>
      <c r="BU29" s="220" t="inlineStr">
        <is>
          <t>RDM</t>
        </is>
      </c>
      <c r="BV29" s="220" t="inlineStr">
        <is>
          <t>RDM</t>
        </is>
      </c>
      <c r="BW29" s="220" t="inlineStr">
        <is>
          <t>RDM</t>
        </is>
      </c>
      <c r="BX29" s="220" t="inlineStr">
        <is>
          <t>RDM</t>
        </is>
      </c>
      <c r="BY29" s="220" t="inlineStr">
        <is>
          <t>RDM</t>
        </is>
      </c>
      <c r="BZ29" s="220" t="inlineStr">
        <is>
          <t>RDM</t>
        </is>
      </c>
      <c r="CA29" s="220" t="inlineStr">
        <is>
          <t>RDM</t>
        </is>
      </c>
      <c r="CB29" s="220" t="inlineStr">
        <is>
          <t>WRR</t>
        </is>
      </c>
      <c r="CC29" s="220" t="inlineStr">
        <is>
          <t>WRR</t>
        </is>
      </c>
      <c r="CD29" s="220" t="inlineStr">
        <is>
          <t>WRR</t>
        </is>
      </c>
      <c r="CE29" s="220" t="inlineStr">
        <is>
          <t>WRR</t>
        </is>
      </c>
      <c r="CF29" s="220" t="inlineStr">
        <is>
          <t>WRR</t>
        </is>
      </c>
      <c r="CG29" s="220" t="inlineStr">
        <is>
          <t>WRR</t>
        </is>
      </c>
      <c r="CH29" s="220" t="inlineStr">
        <is>
          <t>PHE/PER PM</t>
        </is>
      </c>
      <c r="CI29" s="217" t="inlineStr">
        <is>
          <t>DEMOB</t>
        </is>
      </c>
      <c r="CJ29" s="210" t="inlineStr">
        <is>
          <t>N/A</t>
        </is>
      </c>
      <c r="CK29" s="210" t="inlineStr">
        <is>
          <t>N/A</t>
        </is>
      </c>
      <c r="CL29" s="210" t="inlineStr">
        <is>
          <t>N/A</t>
        </is>
      </c>
      <c r="CM29" s="210" t="inlineStr">
        <is>
          <t>N/A</t>
        </is>
      </c>
      <c r="CN29" s="210" t="inlineStr">
        <is>
          <t>N/A</t>
        </is>
      </c>
      <c r="CO29" s="210" t="inlineStr">
        <is>
          <t>N/A</t>
        </is>
      </c>
      <c r="CP29" s="210" t="inlineStr">
        <is>
          <t>N/A</t>
        </is>
      </c>
      <c r="CQ29" s="210" t="inlineStr">
        <is>
          <t>N/A</t>
        </is>
      </c>
      <c r="CR29" s="210" t="inlineStr">
        <is>
          <t>N/A</t>
        </is>
      </c>
      <c r="CS29" s="210" t="inlineStr">
        <is>
          <t>N/A</t>
        </is>
      </c>
      <c r="CT29" s="210" t="inlineStr">
        <is>
          <t>N/A</t>
        </is>
      </c>
      <c r="CU29" s="210" t="inlineStr">
        <is>
          <t>N/A</t>
        </is>
      </c>
      <c r="CV29" s="210" t="inlineStr">
        <is>
          <t>N/A</t>
        </is>
      </c>
      <c r="CW29" s="210" t="inlineStr">
        <is>
          <t>N/A</t>
        </is>
      </c>
      <c r="CX29" s="210" t="inlineStr">
        <is>
          <t>N/A</t>
        </is>
      </c>
      <c r="CY29" s="210" t="inlineStr">
        <is>
          <t>N/A</t>
        </is>
      </c>
      <c r="CZ29" s="210" t="inlineStr">
        <is>
          <t>N/A</t>
        </is>
      </c>
      <c r="DA29" s="210" t="inlineStr">
        <is>
          <t>N/A</t>
        </is>
      </c>
      <c r="DB29" s="210" t="inlineStr">
        <is>
          <t>N/A</t>
        </is>
      </c>
      <c r="DC29" s="210" t="inlineStr">
        <is>
          <t>N/A</t>
        </is>
      </c>
      <c r="DD29" s="210" t="inlineStr">
        <is>
          <t>N/A</t>
        </is>
      </c>
      <c r="DE29" s="210" t="inlineStr">
        <is>
          <t>N/A</t>
        </is>
      </c>
      <c r="DF29" s="210" t="inlineStr">
        <is>
          <t>N/A</t>
        </is>
      </c>
      <c r="DG29" s="210" t="inlineStr">
        <is>
          <t>N/A</t>
        </is>
      </c>
      <c r="DH29" s="210" t="inlineStr">
        <is>
          <t>N/A</t>
        </is>
      </c>
      <c r="DI29" s="210" t="inlineStr">
        <is>
          <t>N/A</t>
        </is>
      </c>
      <c r="DJ29" s="210" t="inlineStr">
        <is>
          <t>N/A</t>
        </is>
      </c>
      <c r="DK29" s="210" t="inlineStr">
        <is>
          <t>N/A</t>
        </is>
      </c>
      <c r="DL29" s="210" t="inlineStr">
        <is>
          <t>N/A</t>
        </is>
      </c>
      <c r="DM29" s="210" t="inlineStr">
        <is>
          <t>N/A</t>
        </is>
      </c>
      <c r="DN29" s="210" t="inlineStr">
        <is>
          <t>N/A</t>
        </is>
      </c>
      <c r="DO29" s="210" t="inlineStr">
        <is>
          <t>N/A</t>
        </is>
      </c>
      <c r="DP29" s="210" t="inlineStr">
        <is>
          <t>N/A</t>
        </is>
      </c>
      <c r="DQ29" s="210" t="inlineStr">
        <is>
          <t>N/A</t>
        </is>
      </c>
      <c r="DR29" s="212" t="n"/>
      <c r="DS29" s="212" t="n"/>
      <c r="DT29" s="212" t="n"/>
      <c r="DU29" s="212" t="n"/>
      <c r="DV29" s="212" t="n"/>
      <c r="DW29" s="212" t="n"/>
      <c r="DX29" s="212" t="n"/>
      <c r="DY29" s="212" t="n"/>
      <c r="DZ29" s="212" t="n"/>
      <c r="EA29" s="212" t="n"/>
      <c r="EB29" s="212" t="n"/>
      <c r="EC29" s="212" t="n"/>
      <c r="ED29" s="212" t="n"/>
      <c r="EE29" s="212" t="n"/>
      <c r="EF29" s="212" t="n"/>
      <c r="EG29" s="212" t="n"/>
      <c r="EH29" s="212" t="n"/>
      <c r="EI29" s="212" t="n"/>
      <c r="EJ29" s="212" t="n"/>
      <c r="EK29" s="212" t="n"/>
      <c r="EL29" s="212" t="n"/>
      <c r="EM29" s="212" t="n"/>
      <c r="EN29" s="212" t="n"/>
      <c r="EO29" s="212" t="n"/>
      <c r="EP29" s="212" t="n"/>
      <c r="EQ29" s="212" t="n"/>
      <c r="ER29" s="212" t="n"/>
      <c r="ES29" s="212" t="n"/>
      <c r="ET29" s="212" t="n"/>
      <c r="EU29" s="212" t="n"/>
      <c r="EV29" s="212" t="n"/>
      <c r="EW29" s="212" t="n"/>
      <c r="EX29" s="212" t="n"/>
      <c r="EY29" s="212" t="n"/>
      <c r="EZ29" s="212" t="n"/>
      <c r="FA29" s="212" t="n"/>
      <c r="FB29" s="212" t="n"/>
      <c r="FC29" s="212" t="n"/>
      <c r="FD29" s="212" t="n"/>
      <c r="FE29" s="212" t="n"/>
      <c r="FF29" s="212" t="n"/>
      <c r="FG29" s="212" t="n"/>
      <c r="FH29" s="212" t="n"/>
      <c r="FI29" s="212" t="n"/>
      <c r="FJ29" s="212" t="n"/>
      <c r="FK29" s="212" t="n"/>
      <c r="FL29" s="212" t="n"/>
      <c r="FM29" s="212" t="n"/>
      <c r="FN29" s="212" t="n"/>
      <c r="FO29" s="212" t="n"/>
      <c r="FP29" s="212" t="n"/>
      <c r="FQ29" s="212" t="n"/>
      <c r="FR29" s="212" t="n"/>
      <c r="FS29" s="212" t="n"/>
      <c r="FT29" s="212" t="n"/>
      <c r="FU29" s="212" t="n"/>
      <c r="FV29" s="212" t="n"/>
      <c r="FW29" s="212" t="n"/>
      <c r="FX29" s="212" t="n"/>
      <c r="FY29" s="212" t="n"/>
      <c r="FZ29" s="212" t="n"/>
      <c r="GA29" s="212" t="n"/>
      <c r="GB29" s="212" t="n"/>
      <c r="GC29" s="212" t="n"/>
      <c r="GD29" s="212" t="n"/>
      <c r="GE29" s="212" t="n"/>
      <c r="GF29" s="212" t="n"/>
      <c r="GG29" s="212" t="n"/>
      <c r="GH29" s="212" t="n"/>
      <c r="GI29" s="212" t="n"/>
      <c r="GJ29" s="212" t="n"/>
      <c r="GK29" s="212" t="n"/>
      <c r="GL29" s="212" t="n"/>
      <c r="GM29" s="212" t="n"/>
      <c r="GN29" s="212" t="n"/>
      <c r="GO29" s="212" t="n"/>
      <c r="GP29" s="212" t="n"/>
      <c r="GQ29" s="212" t="n"/>
      <c r="GR29" s="212" t="n"/>
      <c r="GS29" s="212" t="n"/>
      <c r="GT29" s="212" t="n"/>
      <c r="GU29" s="212" t="n"/>
      <c r="GV29" s="212" t="n"/>
      <c r="GW29" s="212" t="n"/>
      <c r="GX29" s="212" t="n"/>
      <c r="GY29" s="212" t="n"/>
      <c r="GZ29" s="212" t="n"/>
      <c r="HA29" s="212" t="n"/>
      <c r="HB29" s="212" t="n"/>
      <c r="HC29" s="212" t="n"/>
      <c r="HD29" s="212" t="n"/>
      <c r="HE29" s="212" t="n"/>
      <c r="HF29" s="212" t="n"/>
      <c r="HG29" s="212" t="n"/>
      <c r="HH29" s="212" t="n"/>
      <c r="HI29" s="212" t="n"/>
      <c r="HJ29" s="212" t="n"/>
      <c r="HK29" s="212" t="n"/>
      <c r="HL29" s="212" t="n"/>
      <c r="HM29" s="212" t="n"/>
      <c r="HN29" s="212" t="n"/>
      <c r="HO29" s="212" t="n"/>
      <c r="HP29" s="212" t="n"/>
      <c r="HQ29" s="212" t="n"/>
      <c r="HR29" s="212" t="n"/>
      <c r="HS29" s="212" t="n"/>
      <c r="HT29" s="212" t="n"/>
      <c r="HU29" s="212" t="n"/>
      <c r="HV29" s="212" t="n"/>
      <c r="HW29" s="212" t="n"/>
      <c r="HX29" s="212" t="n"/>
      <c r="HY29" s="212" t="n"/>
      <c r="HZ29" s="212" t="n"/>
      <c r="IA29" s="212" t="n"/>
      <c r="IB29" s="212" t="n"/>
      <c r="IC29" s="212" t="n"/>
      <c r="ID29" s="212" t="n"/>
      <c r="IE29" s="212" t="n"/>
      <c r="IF29" s="212" t="n"/>
      <c r="IG29" s="212" t="n"/>
      <c r="IH29" s="212" t="n"/>
      <c r="II29" s="212" t="n"/>
      <c r="IJ29" s="212" t="n"/>
      <c r="IK29" s="212" t="n"/>
      <c r="IL29" s="212" t="n"/>
      <c r="IM29" s="212" t="n"/>
      <c r="IN29" s="212" t="n"/>
      <c r="IO29" s="212" t="n"/>
      <c r="IP29" s="212" t="n"/>
      <c r="IQ29" s="212" t="n"/>
      <c r="IR29" s="212" t="n"/>
      <c r="IS29" s="212" t="n"/>
      <c r="IT29" s="212" t="n"/>
      <c r="IU29" s="212" t="n"/>
      <c r="IV29" s="212" t="n"/>
      <c r="IW29" s="212" t="n"/>
      <c r="IX29" s="212" t="n"/>
      <c r="IY29" s="212" t="n"/>
      <c r="IZ29" s="212" t="n"/>
      <c r="JA29" s="212" t="n"/>
      <c r="JB29" s="212" t="n"/>
      <c r="JC29" s="212" t="n"/>
      <c r="JD29" s="212" t="n"/>
      <c r="JE29" s="212" t="n"/>
      <c r="JF29" s="212" t="n"/>
      <c r="JG29" s="212" t="n"/>
      <c r="JH29" s="212" t="n"/>
      <c r="JI29" s="212" t="n"/>
      <c r="JJ29" s="212" t="n"/>
      <c r="JK29" s="212" t="n"/>
      <c r="JL29" s="212" t="n"/>
      <c r="JM29" s="212" t="n"/>
      <c r="JN29" s="212" t="n"/>
      <c r="JO29" s="212" t="n"/>
      <c r="JP29" s="212" t="n"/>
      <c r="JQ29" s="212" t="n"/>
      <c r="JR29" s="212" t="n"/>
      <c r="JS29" s="212" t="n"/>
      <c r="JT29" s="212" t="n"/>
      <c r="JU29" s="212" t="n"/>
      <c r="JV29" s="212" t="n"/>
      <c r="JW29" s="212" t="n"/>
      <c r="JX29" s="212" t="n"/>
      <c r="JY29" s="212" t="n"/>
      <c r="JZ29" s="212" t="n"/>
      <c r="KA29" s="212" t="n"/>
      <c r="KB29" s="212" t="n"/>
      <c r="KC29" s="212" t="n"/>
      <c r="KD29" s="212" t="n"/>
      <c r="KE29" s="212" t="n"/>
      <c r="KF29" s="212" t="n"/>
      <c r="KG29" s="212" t="n"/>
      <c r="KH29" s="212" t="n"/>
      <c r="KI29" s="212" t="n"/>
      <c r="KJ29" s="212" t="n"/>
      <c r="KK29" s="212" t="n"/>
      <c r="KL29" s="212" t="n"/>
      <c r="KM29" s="212" t="n"/>
      <c r="KN29" s="212" t="n"/>
      <c r="KO29" s="212" t="n"/>
      <c r="KP29" s="212" t="n"/>
      <c r="KQ29" s="212" t="n"/>
      <c r="KR29" s="212" t="n"/>
      <c r="KS29" s="212" t="n"/>
      <c r="KT29" s="212" t="n"/>
      <c r="KU29" s="212" t="n"/>
      <c r="KV29" s="212" t="n"/>
      <c r="KW29" s="212" t="n"/>
      <c r="KX29" s="212" t="n"/>
      <c r="KY29" s="212" t="n"/>
      <c r="KZ29" s="212" t="n"/>
      <c r="LA29" s="212" t="n"/>
      <c r="LB29" s="212" t="n"/>
      <c r="LC29" s="212" t="n"/>
      <c r="LD29" s="212" t="n"/>
      <c r="LE29" s="212" t="n"/>
      <c r="LF29" s="212" t="n"/>
      <c r="LG29" s="212" t="n"/>
      <c r="LH29" s="212" t="n"/>
      <c r="LI29" s="212" t="n"/>
      <c r="LJ29" s="212" t="n"/>
      <c r="LK29" s="212" t="n"/>
      <c r="LL29" s="212" t="n"/>
      <c r="LM29" s="212" t="n"/>
      <c r="LN29" s="212" t="n"/>
      <c r="LO29" s="212" t="n"/>
      <c r="LP29" s="212" t="n"/>
      <c r="LQ29" s="212" t="n"/>
      <c r="LR29" s="212" t="n"/>
      <c r="LS29" s="212" t="n"/>
      <c r="LT29" s="212" t="n"/>
      <c r="LU29" s="212" t="n"/>
      <c r="LV29" s="212" t="n"/>
      <c r="LW29" s="212" t="n"/>
      <c r="LX29" s="212" t="n"/>
      <c r="LY29" s="212" t="n"/>
      <c r="LZ29" s="212" t="n"/>
      <c r="MA29" s="212" t="n"/>
      <c r="MB29" s="212" t="n"/>
      <c r="MC29" s="212" t="n"/>
      <c r="MD29" s="212" t="n"/>
      <c r="ME29" s="212" t="n"/>
      <c r="MF29" s="212" t="n"/>
      <c r="MG29" s="212" t="n"/>
      <c r="MH29" s="212" t="n"/>
      <c r="MI29" s="212" t="n"/>
      <c r="MJ29" s="212" t="n"/>
      <c r="MK29" s="212" t="n"/>
      <c r="ML29" s="212" t="n"/>
      <c r="MM29" s="212" t="n"/>
      <c r="MN29" s="212" t="n"/>
      <c r="MO29" s="212" t="n"/>
      <c r="MP29" s="212" t="n"/>
      <c r="MQ29" s="212" t="n"/>
      <c r="MR29" s="212" t="n"/>
      <c r="MS29" s="212" t="n"/>
      <c r="MT29" s="212" t="n"/>
      <c r="MU29" s="212" t="n"/>
      <c r="MV29" s="212" t="n"/>
      <c r="MW29" s="212" t="n"/>
      <c r="MX29" s="212" t="n"/>
      <c r="MY29" s="212" t="n"/>
      <c r="MZ29" s="212" t="n"/>
      <c r="NA29" s="212" t="n"/>
      <c r="NB29" s="212" t="n"/>
      <c r="NC29" s="212" t="n"/>
      <c r="ND29" s="212" t="n"/>
      <c r="NE29" s="212" t="n"/>
      <c r="NF29" s="212" t="n"/>
      <c r="NG29" s="212" t="n"/>
      <c r="NH29" s="212" t="n"/>
      <c r="NI29" s="212" t="n"/>
      <c r="NJ29" s="212" t="n"/>
      <c r="NK29" s="212" t="n"/>
      <c r="NL29" s="212" t="n"/>
      <c r="NM29" s="212" t="n"/>
      <c r="NN29" s="212" t="n"/>
      <c r="NO29" s="212" t="n"/>
      <c r="NP29" s="212" t="n"/>
      <c r="NQ29" s="212" t="n"/>
      <c r="NR29" s="212" t="n"/>
      <c r="NS29" s="212" t="n"/>
      <c r="NT29" s="212" t="n"/>
      <c r="NU29" s="212" t="n"/>
      <c r="NV29" s="212" t="n"/>
      <c r="NW29" s="212" t="n"/>
      <c r="NX29" s="212" t="n"/>
      <c r="NY29" s="212" t="n"/>
      <c r="NZ29" s="212" t="n"/>
      <c r="OA29" s="212" t="n"/>
      <c r="OB29" s="212" t="n"/>
      <c r="OC29" s="212" t="n"/>
      <c r="OD29" s="212" t="n"/>
      <c r="OE29" s="212" t="n"/>
      <c r="OF29" s="212" t="n"/>
      <c r="OG29" s="212" t="n"/>
      <c r="OH29" s="212" t="n"/>
      <c r="OI29" s="212" t="n"/>
      <c r="OJ29" s="212" t="n"/>
      <c r="OK29" s="212" t="n"/>
      <c r="OL29" s="212" t="n"/>
      <c r="OM29" s="212" t="n"/>
      <c r="ON29" s="212" t="n"/>
      <c r="OO29" s="212" t="n"/>
      <c r="OP29" s="212" t="n"/>
      <c r="OQ29" s="212" t="n"/>
      <c r="OR29" s="212" t="n"/>
      <c r="OS29" s="212" t="n"/>
      <c r="OT29" s="212" t="n"/>
      <c r="OU29" s="212" t="n"/>
      <c r="OV29" s="212" t="n"/>
      <c r="OW29" s="212" t="n"/>
      <c r="OX29" s="212" t="n"/>
      <c r="OY29" s="212" t="n"/>
      <c r="OZ29" s="212" t="n"/>
      <c r="PA29" s="212" t="n"/>
      <c r="PB29" s="212" t="n"/>
      <c r="PC29" s="212" t="n"/>
      <c r="PD29" s="212" t="n"/>
      <c r="PE29" s="212" t="n"/>
      <c r="PF29" s="212" t="n"/>
      <c r="PG29" s="212" t="n"/>
      <c r="PH29" s="212" t="n"/>
      <c r="PI29" s="212" t="n"/>
      <c r="PJ29" s="212" t="n"/>
      <c r="PK29" s="212" t="n"/>
      <c r="PL29" s="212" t="n"/>
      <c r="PM29" s="212" t="n"/>
      <c r="PN29" s="212" t="n"/>
      <c r="PO29" s="212" t="n"/>
      <c r="PP29" s="212" t="n"/>
      <c r="PQ29" s="212" t="n"/>
      <c r="PR29" s="212" t="n"/>
      <c r="PS29" s="212" t="n"/>
      <c r="PT29" s="212" t="n"/>
      <c r="PU29" s="212" t="n"/>
      <c r="PV29" s="212" t="n"/>
      <c r="PW29" s="212" t="n"/>
      <c r="PX29" s="212" t="n"/>
      <c r="PY29" s="212" t="n"/>
      <c r="PZ29" s="212" t="n"/>
      <c r="QA29" s="212" t="n"/>
      <c r="QB29" s="212" t="n"/>
      <c r="QC29" s="212" t="n"/>
      <c r="QD29" s="212" t="n"/>
      <c r="QE29" s="212" t="n"/>
      <c r="QF29" s="212" t="n"/>
      <c r="QG29" s="212" t="n"/>
      <c r="QH29" s="212" t="n"/>
      <c r="QI29" s="212" t="n"/>
      <c r="QJ29" s="212" t="n"/>
      <c r="QK29" s="212" t="n"/>
      <c r="QL29" s="212" t="n"/>
      <c r="QM29" s="212" t="n"/>
      <c r="QN29" s="212" t="n"/>
      <c r="QO29" s="212" t="n"/>
      <c r="QP29" s="212" t="n"/>
      <c r="QQ29" s="212" t="n"/>
      <c r="QR29" s="212" t="n"/>
      <c r="QS29" s="212" t="n"/>
      <c r="QT29" s="212" t="n"/>
      <c r="QU29" s="212" t="n"/>
      <c r="QV29" s="212" t="n"/>
      <c r="QW29" s="212" t="n"/>
      <c r="QX29" s="212" t="n"/>
      <c r="QY29" s="212" t="n"/>
      <c r="QZ29" s="212" t="n"/>
      <c r="RA29" s="212" t="n"/>
      <c r="RB29" s="212" t="n"/>
      <c r="RC29" s="212" t="n"/>
      <c r="RD29" s="212" t="n"/>
      <c r="RE29" s="212" t="n"/>
      <c r="RF29" s="212" t="n"/>
      <c r="RG29" s="212" t="n"/>
      <c r="RH29" s="212" t="n"/>
      <c r="RI29" s="212" t="n"/>
      <c r="RJ29" s="212" t="n"/>
      <c r="RK29" s="212" t="n"/>
      <c r="RL29" s="212" t="n"/>
      <c r="RM29" s="212" t="n"/>
      <c r="RN29" s="212" t="n"/>
      <c r="RO29" s="212" t="n"/>
      <c r="RP29" s="212" t="n"/>
      <c r="RQ29" s="212" t="n"/>
      <c r="RR29" s="212" t="n"/>
      <c r="RS29" s="212" t="n"/>
      <c r="RT29" s="212" t="n"/>
      <c r="RU29" s="212" t="n"/>
      <c r="RV29" s="212" t="n"/>
      <c r="RW29" s="212" t="n"/>
      <c r="RX29" s="212" t="n"/>
      <c r="RY29" s="212" t="n"/>
      <c r="RZ29" s="212" t="n"/>
      <c r="SA29" s="212" t="n"/>
      <c r="SB29" s="212" t="n"/>
      <c r="SC29" s="212" t="n"/>
      <c r="SD29" s="212" t="n"/>
      <c r="SE29" s="212" t="n"/>
      <c r="SF29" s="212" t="n"/>
      <c r="SG29" s="212" t="n"/>
      <c r="SH29" s="212" t="n"/>
      <c r="SI29" s="212" t="n"/>
      <c r="SJ29" s="212" t="n"/>
      <c r="SK29" s="212" t="n"/>
      <c r="SL29" s="212" t="n"/>
      <c r="SM29" s="212" t="n"/>
      <c r="SN29" s="212" t="n"/>
      <c r="SO29" s="212" t="n"/>
      <c r="SP29" s="212" t="n"/>
      <c r="SQ29" s="212" t="n"/>
      <c r="SR29" s="212" t="n"/>
      <c r="SS29" s="212" t="n"/>
      <c r="ST29" s="212" t="n"/>
      <c r="SU29" s="212" t="n"/>
      <c r="SV29" s="212" t="n"/>
    </row>
    <row r="30">
      <c r="B30" s="209" t="inlineStr">
        <is>
          <t>N/A</t>
        </is>
      </c>
      <c r="C30" s="209" t="inlineStr">
        <is>
          <t>SLM</t>
        </is>
      </c>
      <c r="D30" s="209" t="inlineStr">
        <is>
          <t>Aaron</t>
        </is>
      </c>
      <c r="E30" s="209" t="inlineStr">
        <is>
          <t>Gilroy</t>
        </is>
      </c>
      <c r="F30" s="209">
        <f>IF(TRIM(D30&amp;E30)="","",TRIM(D30)&amp;" "&amp;TRIM(E30))</f>
        <v/>
      </c>
      <c r="G30" s="209" t="inlineStr">
        <is>
          <t>Perth</t>
        </is>
      </c>
      <c r="H30" s="209" t="inlineStr">
        <is>
          <t>Operator - Excavator</t>
        </is>
      </c>
      <c r="I30" s="209" t="inlineStr">
        <is>
          <t>YES</t>
        </is>
      </c>
      <c r="J30" s="209" t="inlineStr">
        <is>
          <t>YES</t>
        </is>
      </c>
      <c r="K30" s="209" t="inlineStr">
        <is>
          <t>YES</t>
        </is>
      </c>
      <c r="L30" s="209" t="inlineStr">
        <is>
          <t>YES</t>
        </is>
      </c>
      <c r="M30" s="209" t="inlineStr">
        <is>
          <t>Quals Complete</t>
        </is>
      </c>
      <c r="N30" s="209" t="inlineStr">
        <is>
          <t>agilroy8@gmail.com</t>
        </is>
      </c>
      <c r="O30" s="209" t="inlineStr">
        <is>
          <t>0493 253 704</t>
        </is>
      </c>
      <c r="P30" s="209" t="n">
        <v>862973</v>
      </c>
      <c r="Q30" s="209" t="n">
        <v>465167</v>
      </c>
      <c r="R30" s="209" t="inlineStr">
        <is>
          <t>2:1</t>
        </is>
      </c>
      <c r="S30" s="210" t="inlineStr">
        <is>
          <t>N/A</t>
        </is>
      </c>
      <c r="T30" s="210" t="inlineStr">
        <is>
          <t>N/A</t>
        </is>
      </c>
      <c r="U30" s="210" t="inlineStr">
        <is>
          <t>N/A</t>
        </is>
      </c>
      <c r="V30" s="210" t="inlineStr">
        <is>
          <t>N/A</t>
        </is>
      </c>
      <c r="W30" s="210" t="inlineStr">
        <is>
          <t>N/A</t>
        </is>
      </c>
      <c r="X30" s="210" t="inlineStr">
        <is>
          <t>N/A</t>
        </is>
      </c>
      <c r="Y30" s="210" t="inlineStr">
        <is>
          <t>N/A</t>
        </is>
      </c>
      <c r="Z30" s="210" t="inlineStr">
        <is>
          <t>N/A</t>
        </is>
      </c>
      <c r="AA30" s="210" t="inlineStr">
        <is>
          <t>N/A</t>
        </is>
      </c>
      <c r="AB30" s="210" t="inlineStr">
        <is>
          <t>N/A</t>
        </is>
      </c>
      <c r="AC30" s="210" t="inlineStr">
        <is>
          <t>N/A</t>
        </is>
      </c>
      <c r="AD30" s="211" t="inlineStr">
        <is>
          <t>PER/PHE PM
LND</t>
        </is>
      </c>
      <c r="AE30" s="211" t="inlineStr">
        <is>
          <t>LND</t>
        </is>
      </c>
      <c r="AF30" s="211" t="inlineStr">
        <is>
          <t>LND</t>
        </is>
      </c>
      <c r="AG30" s="211" t="inlineStr">
        <is>
          <t>LND</t>
        </is>
      </c>
      <c r="AH30" s="211" t="inlineStr">
        <is>
          <t>LND</t>
        </is>
      </c>
      <c r="AI30" s="211" t="inlineStr">
        <is>
          <t>LND</t>
        </is>
      </c>
      <c r="AJ30" s="211" t="inlineStr">
        <is>
          <t>LND</t>
        </is>
      </c>
      <c r="AK30" s="211" t="inlineStr">
        <is>
          <t>LND</t>
        </is>
      </c>
      <c r="AL30" s="211" t="inlineStr">
        <is>
          <t>LND</t>
        </is>
      </c>
      <c r="AM30" s="211" t="inlineStr">
        <is>
          <t>LND</t>
        </is>
      </c>
      <c r="AN30" s="211" t="inlineStr">
        <is>
          <t>LND</t>
        </is>
      </c>
      <c r="AO30" s="211" t="inlineStr">
        <is>
          <t>LND</t>
        </is>
      </c>
      <c r="AP30" s="211" t="inlineStr">
        <is>
          <t>LND</t>
        </is>
      </c>
      <c r="AQ30" s="211" t="inlineStr">
        <is>
          <t>LND</t>
        </is>
      </c>
      <c r="AR30" s="211" t="inlineStr">
        <is>
          <t>PHE/PER PM</t>
        </is>
      </c>
      <c r="AS30" s="214" t="inlineStr">
        <is>
          <t>RnR</t>
        </is>
      </c>
      <c r="AT30" s="214" t="inlineStr">
        <is>
          <t>RnR</t>
        </is>
      </c>
      <c r="AU30" s="214" t="inlineStr">
        <is>
          <t>RnR</t>
        </is>
      </c>
      <c r="AV30" s="214" t="inlineStr">
        <is>
          <t>RnR</t>
        </is>
      </c>
      <c r="AW30" s="214" t="inlineStr">
        <is>
          <t>RnR</t>
        </is>
      </c>
      <c r="AX30" s="214" t="inlineStr">
        <is>
          <t>RnR</t>
        </is>
      </c>
      <c r="AY30" s="211" t="inlineStr">
        <is>
          <t>PER/PHE PM
LND</t>
        </is>
      </c>
      <c r="AZ30" s="211" t="inlineStr">
        <is>
          <t>RDM</t>
        </is>
      </c>
      <c r="BA30" s="211" t="inlineStr">
        <is>
          <t>RDM</t>
        </is>
      </c>
      <c r="BB30" s="211" t="inlineStr">
        <is>
          <t>RDM</t>
        </is>
      </c>
      <c r="BC30" s="211" t="inlineStr">
        <is>
          <t>RDM</t>
        </is>
      </c>
      <c r="BD30" s="211" t="inlineStr">
        <is>
          <t>RDM</t>
        </is>
      </c>
      <c r="BE30" s="211" t="inlineStr">
        <is>
          <t>RDM</t>
        </is>
      </c>
      <c r="BF30" s="211" t="inlineStr">
        <is>
          <t>RDM</t>
        </is>
      </c>
      <c r="BG30" s="211" t="inlineStr">
        <is>
          <t>RDM</t>
        </is>
      </c>
      <c r="BH30" s="211" t="inlineStr">
        <is>
          <t>RDM</t>
        </is>
      </c>
      <c r="BI30" s="211" t="inlineStr">
        <is>
          <t>RDM</t>
        </is>
      </c>
      <c r="BJ30" s="211" t="inlineStr">
        <is>
          <t>RDM</t>
        </is>
      </c>
      <c r="BK30" s="211" t="inlineStr">
        <is>
          <t>RDM</t>
        </is>
      </c>
      <c r="BL30" s="211" t="inlineStr">
        <is>
          <t>RDM</t>
        </is>
      </c>
      <c r="BM30" s="211" t="inlineStr">
        <is>
          <t>PHE/PER PM</t>
        </is>
      </c>
      <c r="BN30" s="214" t="inlineStr">
        <is>
          <t>RnR</t>
        </is>
      </c>
      <c r="BO30" s="214" t="inlineStr">
        <is>
          <t>RnR</t>
        </is>
      </c>
      <c r="BP30" s="214" t="inlineStr">
        <is>
          <t>RnR</t>
        </is>
      </c>
      <c r="BQ30" s="214" t="inlineStr">
        <is>
          <t>RnR</t>
        </is>
      </c>
      <c r="BR30" s="214" t="inlineStr">
        <is>
          <t>RnR</t>
        </is>
      </c>
      <c r="BS30" s="214" t="inlineStr">
        <is>
          <t>RnR</t>
        </is>
      </c>
      <c r="BT30" s="218" t="inlineStr">
        <is>
          <t>Demobilised effective 13/10</t>
        </is>
      </c>
      <c r="BU30" s="212" t="n"/>
      <c r="BV30" s="212" t="n"/>
      <c r="BW30" s="212" t="n"/>
      <c r="BX30" s="212" t="n"/>
      <c r="BY30" s="212" t="n"/>
      <c r="BZ30" s="212" t="n"/>
      <c r="CA30" s="212" t="n"/>
      <c r="CB30" s="212" t="n"/>
      <c r="CC30" s="212" t="n"/>
      <c r="CD30" s="212" t="n"/>
      <c r="CE30" s="212" t="n"/>
      <c r="CF30" s="212" t="n"/>
      <c r="CG30" s="212" t="n"/>
      <c r="CH30" s="212" t="n"/>
      <c r="CI30" s="210" t="inlineStr">
        <is>
          <t>N/A</t>
        </is>
      </c>
      <c r="CJ30" s="210" t="inlineStr">
        <is>
          <t>N/A</t>
        </is>
      </c>
      <c r="CK30" s="210" t="inlineStr">
        <is>
          <t>N/A</t>
        </is>
      </c>
      <c r="CL30" s="210" t="inlineStr">
        <is>
          <t>N/A</t>
        </is>
      </c>
      <c r="CM30" s="210" t="inlineStr">
        <is>
          <t>N/A</t>
        </is>
      </c>
      <c r="CN30" s="210" t="inlineStr">
        <is>
          <t>N/A</t>
        </is>
      </c>
      <c r="CO30" s="210" t="inlineStr">
        <is>
          <t>N/A</t>
        </is>
      </c>
      <c r="CP30" s="210" t="inlineStr">
        <is>
          <t>N/A</t>
        </is>
      </c>
      <c r="CQ30" s="210" t="inlineStr">
        <is>
          <t>N/A</t>
        </is>
      </c>
      <c r="CR30" s="210" t="inlineStr">
        <is>
          <t>N/A</t>
        </is>
      </c>
      <c r="CS30" s="210" t="inlineStr">
        <is>
          <t>N/A</t>
        </is>
      </c>
      <c r="CT30" s="210" t="inlineStr">
        <is>
          <t>N/A</t>
        </is>
      </c>
      <c r="CU30" s="210" t="inlineStr">
        <is>
          <t>N/A</t>
        </is>
      </c>
      <c r="CV30" s="210" t="inlineStr">
        <is>
          <t>N/A</t>
        </is>
      </c>
      <c r="CW30" s="210" t="inlineStr">
        <is>
          <t>N/A</t>
        </is>
      </c>
      <c r="CX30" s="210" t="inlineStr">
        <is>
          <t>N/A</t>
        </is>
      </c>
      <c r="CY30" s="210" t="inlineStr">
        <is>
          <t>N/A</t>
        </is>
      </c>
      <c r="CZ30" s="210" t="inlineStr">
        <is>
          <t>N/A</t>
        </is>
      </c>
      <c r="DA30" s="210" t="inlineStr">
        <is>
          <t>N/A</t>
        </is>
      </c>
      <c r="DB30" s="210" t="inlineStr">
        <is>
          <t>N/A</t>
        </is>
      </c>
      <c r="DC30" s="210" t="inlineStr">
        <is>
          <t>N/A</t>
        </is>
      </c>
      <c r="DD30" s="210" t="inlineStr">
        <is>
          <t>N/A</t>
        </is>
      </c>
      <c r="DE30" s="210" t="inlineStr">
        <is>
          <t>N/A</t>
        </is>
      </c>
      <c r="DF30" s="210" t="inlineStr">
        <is>
          <t>N/A</t>
        </is>
      </c>
      <c r="DG30" s="210" t="inlineStr">
        <is>
          <t>N/A</t>
        </is>
      </c>
      <c r="DH30" s="210" t="inlineStr">
        <is>
          <t>N/A</t>
        </is>
      </c>
      <c r="DI30" s="210" t="inlineStr">
        <is>
          <t>N/A</t>
        </is>
      </c>
      <c r="DJ30" s="210" t="inlineStr">
        <is>
          <t>N/A</t>
        </is>
      </c>
      <c r="DK30" s="210" t="inlineStr">
        <is>
          <t>N/A</t>
        </is>
      </c>
      <c r="DL30" s="210" t="inlineStr">
        <is>
          <t>N/A</t>
        </is>
      </c>
      <c r="DM30" s="210" t="inlineStr">
        <is>
          <t>N/A</t>
        </is>
      </c>
      <c r="DN30" s="210" t="inlineStr">
        <is>
          <t>N/A</t>
        </is>
      </c>
      <c r="DO30" s="210" t="inlineStr">
        <is>
          <t>N/A</t>
        </is>
      </c>
      <c r="DP30" s="210" t="inlineStr">
        <is>
          <t>N/A</t>
        </is>
      </c>
      <c r="DQ30" s="210" t="inlineStr">
        <is>
          <t>N/A</t>
        </is>
      </c>
      <c r="DR30" s="212" t="n"/>
      <c r="DS30" s="212" t="n"/>
      <c r="DT30" s="212" t="n"/>
      <c r="DU30" s="212" t="n"/>
      <c r="DV30" s="212" t="n"/>
      <c r="DW30" s="212" t="n"/>
      <c r="DX30" s="212" t="n"/>
      <c r="DY30" s="212" t="n"/>
      <c r="DZ30" s="212" t="n"/>
      <c r="EA30" s="212" t="n"/>
      <c r="EB30" s="212" t="n"/>
      <c r="EC30" s="212" t="n"/>
      <c r="ED30" s="212" t="n"/>
      <c r="EE30" s="212" t="n"/>
      <c r="EF30" s="212" t="n"/>
      <c r="EG30" s="212" t="n"/>
      <c r="EH30" s="212" t="n"/>
      <c r="EI30" s="212" t="n"/>
      <c r="EJ30" s="212" t="n"/>
      <c r="EK30" s="212" t="n"/>
      <c r="EL30" s="212" t="n"/>
      <c r="EM30" s="212" t="n"/>
      <c r="EN30" s="212" t="n"/>
      <c r="EO30" s="212" t="n"/>
      <c r="EP30" s="212" t="n"/>
      <c r="EQ30" s="212" t="n"/>
      <c r="ER30" s="212" t="n"/>
      <c r="ES30" s="212" t="n"/>
      <c r="ET30" s="212" t="n"/>
      <c r="EU30" s="212" t="n"/>
      <c r="EV30" s="212" t="n"/>
      <c r="EW30" s="212" t="n"/>
      <c r="EX30" s="212" t="n"/>
      <c r="EY30" s="212" t="n"/>
      <c r="EZ30" s="212" t="n"/>
      <c r="FA30" s="212" t="n"/>
      <c r="FB30" s="212" t="n"/>
      <c r="FC30" s="212" t="n"/>
      <c r="FD30" s="212" t="n"/>
      <c r="FE30" s="212" t="n"/>
      <c r="FF30" s="212" t="n"/>
      <c r="FG30" s="212" t="n"/>
      <c r="FH30" s="212" t="n"/>
      <c r="FI30" s="212" t="n"/>
      <c r="FJ30" s="212" t="n"/>
      <c r="FK30" s="212" t="n"/>
      <c r="FL30" s="212" t="n"/>
      <c r="FM30" s="212" t="n"/>
      <c r="FN30" s="212" t="n"/>
      <c r="FO30" s="212" t="n"/>
      <c r="FP30" s="212" t="n"/>
      <c r="FQ30" s="212" t="n"/>
      <c r="FR30" s="212" t="n"/>
      <c r="FS30" s="212" t="n"/>
      <c r="FT30" s="212" t="n"/>
      <c r="FU30" s="212" t="n"/>
      <c r="FV30" s="212" t="n"/>
      <c r="FW30" s="212" t="n"/>
      <c r="FX30" s="212" t="n"/>
      <c r="FY30" s="212" t="n"/>
      <c r="FZ30" s="212" t="n"/>
      <c r="GA30" s="212" t="n"/>
      <c r="GB30" s="212" t="n"/>
      <c r="GC30" s="212" t="n"/>
      <c r="GD30" s="212" t="n"/>
      <c r="GE30" s="212" t="n"/>
      <c r="GF30" s="212" t="n"/>
      <c r="GG30" s="212" t="n"/>
      <c r="GH30" s="212" t="n"/>
      <c r="GI30" s="212" t="n"/>
      <c r="GJ30" s="212" t="n"/>
      <c r="GK30" s="212" t="n"/>
      <c r="GL30" s="212" t="n"/>
      <c r="GM30" s="212" t="n"/>
      <c r="GN30" s="212" t="n"/>
      <c r="GO30" s="212" t="n"/>
      <c r="GP30" s="212" t="n"/>
      <c r="GQ30" s="212" t="n"/>
      <c r="GR30" s="212" t="n"/>
      <c r="GS30" s="212" t="n"/>
      <c r="GT30" s="212" t="n"/>
      <c r="GU30" s="212" t="n"/>
      <c r="GV30" s="212" t="n"/>
      <c r="GW30" s="212" t="n"/>
      <c r="GX30" s="212" t="n"/>
      <c r="GY30" s="212" t="n"/>
      <c r="GZ30" s="212" t="n"/>
      <c r="HA30" s="212" t="n"/>
      <c r="HB30" s="212" t="n"/>
      <c r="HC30" s="212" t="n"/>
      <c r="HD30" s="212" t="n"/>
      <c r="HE30" s="212" t="n"/>
      <c r="HF30" s="212" t="n"/>
      <c r="HG30" s="212" t="n"/>
      <c r="HH30" s="212" t="n"/>
      <c r="HI30" s="212" t="n"/>
      <c r="HJ30" s="212" t="n"/>
      <c r="HK30" s="212" t="n"/>
      <c r="HL30" s="212" t="n"/>
      <c r="HM30" s="212" t="n"/>
      <c r="HN30" s="212" t="n"/>
      <c r="HO30" s="212" t="n"/>
      <c r="HP30" s="212" t="n"/>
      <c r="HQ30" s="212" t="n"/>
      <c r="HR30" s="212" t="n"/>
      <c r="HS30" s="212" t="n"/>
      <c r="HT30" s="212" t="n"/>
      <c r="HU30" s="212" t="n"/>
      <c r="HV30" s="212" t="n"/>
      <c r="HW30" s="212" t="n"/>
      <c r="HX30" s="212" t="n"/>
      <c r="HY30" s="212" t="n"/>
      <c r="HZ30" s="212" t="n"/>
      <c r="IA30" s="212" t="n"/>
      <c r="IB30" s="212" t="n"/>
      <c r="IC30" s="212" t="n"/>
      <c r="ID30" s="212" t="n"/>
      <c r="IE30" s="212" t="n"/>
      <c r="IF30" s="212" t="n"/>
      <c r="IG30" s="212" t="n"/>
      <c r="IH30" s="212" t="n"/>
      <c r="II30" s="212" t="n"/>
      <c r="IJ30" s="212" t="n"/>
      <c r="IK30" s="212" t="n"/>
      <c r="IL30" s="212" t="n"/>
      <c r="IM30" s="212" t="n"/>
      <c r="IN30" s="212" t="n"/>
      <c r="IO30" s="212" t="n"/>
      <c r="IP30" s="212" t="n"/>
      <c r="IQ30" s="212" t="n"/>
      <c r="IR30" s="212" t="n"/>
      <c r="IS30" s="212" t="n"/>
      <c r="IT30" s="212" t="n"/>
      <c r="IU30" s="212" t="n"/>
      <c r="IV30" s="212" t="n"/>
      <c r="IW30" s="212" t="n"/>
      <c r="IX30" s="212" t="n"/>
      <c r="IY30" s="212" t="n"/>
      <c r="IZ30" s="212" t="n"/>
      <c r="JA30" s="212" t="n"/>
      <c r="JB30" s="212" t="n"/>
      <c r="JC30" s="212" t="n"/>
      <c r="JD30" s="212" t="n"/>
      <c r="JE30" s="212" t="n"/>
      <c r="JF30" s="212" t="n"/>
      <c r="JG30" s="212" t="n"/>
      <c r="JH30" s="212" t="n"/>
      <c r="JI30" s="212" t="n"/>
      <c r="JJ30" s="212" t="n"/>
      <c r="JK30" s="212" t="n"/>
      <c r="JL30" s="212" t="n"/>
      <c r="JM30" s="212" t="n"/>
      <c r="JN30" s="212" t="n"/>
      <c r="JO30" s="212" t="n"/>
      <c r="JP30" s="212" t="n"/>
      <c r="JQ30" s="212" t="n"/>
      <c r="JR30" s="212" t="n"/>
      <c r="JS30" s="212" t="n"/>
      <c r="JT30" s="212" t="n"/>
      <c r="JU30" s="212" t="n"/>
      <c r="JV30" s="212" t="n"/>
      <c r="JW30" s="212" t="n"/>
      <c r="JX30" s="212" t="n"/>
      <c r="JY30" s="212" t="n"/>
      <c r="JZ30" s="212" t="n"/>
      <c r="KA30" s="212" t="n"/>
      <c r="KB30" s="212" t="n"/>
      <c r="KC30" s="212" t="n"/>
      <c r="KD30" s="212" t="n"/>
      <c r="KE30" s="212" t="n"/>
      <c r="KF30" s="212" t="n"/>
      <c r="KG30" s="212" t="n"/>
      <c r="KH30" s="212" t="n"/>
      <c r="KI30" s="212" t="n"/>
      <c r="KJ30" s="212" t="n"/>
      <c r="KK30" s="212" t="n"/>
      <c r="KL30" s="212" t="n"/>
      <c r="KM30" s="212" t="n"/>
      <c r="KN30" s="212" t="n"/>
      <c r="KO30" s="212" t="n"/>
      <c r="KP30" s="212" t="n"/>
      <c r="KQ30" s="212" t="n"/>
      <c r="KR30" s="212" t="n"/>
      <c r="KS30" s="212" t="n"/>
      <c r="KT30" s="212" t="n"/>
      <c r="KU30" s="212" t="n"/>
      <c r="KV30" s="212" t="n"/>
      <c r="KW30" s="212" t="n"/>
      <c r="KX30" s="212" t="n"/>
      <c r="KY30" s="212" t="n"/>
      <c r="KZ30" s="212" t="n"/>
      <c r="LA30" s="212" t="n"/>
      <c r="LB30" s="212" t="n"/>
      <c r="LC30" s="212" t="n"/>
      <c r="LD30" s="212" t="n"/>
      <c r="LE30" s="212" t="n"/>
      <c r="LF30" s="212" t="n"/>
      <c r="LG30" s="212" t="n"/>
      <c r="LH30" s="212" t="n"/>
      <c r="LI30" s="212" t="n"/>
      <c r="LJ30" s="212" t="n"/>
      <c r="LK30" s="212" t="n"/>
      <c r="LL30" s="212" t="n"/>
      <c r="LM30" s="212" t="n"/>
      <c r="LN30" s="212" t="n"/>
      <c r="LO30" s="212" t="n"/>
      <c r="LP30" s="212" t="n"/>
      <c r="LQ30" s="212" t="n"/>
      <c r="LR30" s="212" t="n"/>
      <c r="LS30" s="212" t="n"/>
      <c r="LT30" s="212" t="n"/>
      <c r="LU30" s="212" t="n"/>
      <c r="LV30" s="212" t="n"/>
      <c r="LW30" s="212" t="n"/>
      <c r="LX30" s="212" t="n"/>
      <c r="LY30" s="212" t="n"/>
      <c r="LZ30" s="212" t="n"/>
      <c r="MA30" s="212" t="n"/>
      <c r="MB30" s="212" t="n"/>
      <c r="MC30" s="212" t="n"/>
      <c r="MD30" s="212" t="n"/>
      <c r="ME30" s="212" t="n"/>
      <c r="MF30" s="212" t="n"/>
      <c r="MG30" s="212" t="n"/>
      <c r="MH30" s="212" t="n"/>
      <c r="MI30" s="212" t="n"/>
      <c r="MJ30" s="212" t="n"/>
      <c r="MK30" s="212" t="n"/>
      <c r="ML30" s="212" t="n"/>
      <c r="MM30" s="212" t="n"/>
      <c r="MN30" s="212" t="n"/>
      <c r="MO30" s="212" t="n"/>
      <c r="MP30" s="212" t="n"/>
      <c r="MQ30" s="212" t="n"/>
      <c r="MR30" s="212" t="n"/>
      <c r="MS30" s="212" t="n"/>
      <c r="MT30" s="212" t="n"/>
      <c r="MU30" s="212" t="n"/>
      <c r="MV30" s="212" t="n"/>
      <c r="MW30" s="212" t="n"/>
      <c r="MX30" s="212" t="n"/>
      <c r="MY30" s="212" t="n"/>
      <c r="MZ30" s="212" t="n"/>
      <c r="NA30" s="212" t="n"/>
      <c r="NB30" s="212" t="n"/>
      <c r="NC30" s="212" t="n"/>
      <c r="ND30" s="212" t="n"/>
      <c r="NE30" s="212" t="n"/>
      <c r="NF30" s="212" t="n"/>
      <c r="NG30" s="212" t="n"/>
      <c r="NH30" s="212" t="n"/>
      <c r="NI30" s="212" t="n"/>
      <c r="NJ30" s="212" t="n"/>
      <c r="NK30" s="212" t="n"/>
      <c r="NL30" s="212" t="n"/>
      <c r="NM30" s="212" t="n"/>
      <c r="NN30" s="212" t="n"/>
      <c r="NO30" s="212" t="n"/>
      <c r="NP30" s="212" t="n"/>
      <c r="NQ30" s="212" t="n"/>
      <c r="NR30" s="212" t="n"/>
      <c r="NS30" s="212" t="n"/>
      <c r="NT30" s="212" t="n"/>
      <c r="NU30" s="212" t="n"/>
      <c r="NV30" s="212" t="n"/>
      <c r="NW30" s="212" t="n"/>
      <c r="NX30" s="212" t="n"/>
      <c r="NY30" s="212" t="n"/>
      <c r="NZ30" s="212" t="n"/>
      <c r="OA30" s="212" t="n"/>
      <c r="OB30" s="212" t="n"/>
      <c r="OC30" s="212" t="n"/>
      <c r="OD30" s="212" t="n"/>
      <c r="OE30" s="212" t="n"/>
      <c r="OF30" s="212" t="n"/>
      <c r="OG30" s="212" t="n"/>
      <c r="OH30" s="212" t="n"/>
      <c r="OI30" s="212" t="n"/>
      <c r="OJ30" s="212" t="n"/>
      <c r="OK30" s="212" t="n"/>
      <c r="OL30" s="212" t="n"/>
      <c r="OM30" s="212" t="n"/>
      <c r="ON30" s="212" t="n"/>
      <c r="OO30" s="212" t="n"/>
      <c r="OP30" s="212" t="n"/>
      <c r="OQ30" s="212" t="n"/>
      <c r="OR30" s="212" t="n"/>
      <c r="OS30" s="212" t="n"/>
      <c r="OT30" s="212" t="n"/>
      <c r="OU30" s="212" t="n"/>
      <c r="OV30" s="212" t="n"/>
      <c r="OW30" s="212" t="n"/>
      <c r="OX30" s="212" t="n"/>
      <c r="OY30" s="212" t="n"/>
      <c r="OZ30" s="212" t="n"/>
      <c r="PA30" s="212" t="n"/>
      <c r="PB30" s="212" t="n"/>
      <c r="PC30" s="212" t="n"/>
      <c r="PD30" s="212" t="n"/>
      <c r="PE30" s="212" t="n"/>
      <c r="PF30" s="212" t="n"/>
      <c r="PG30" s="212" t="n"/>
      <c r="PH30" s="212" t="n"/>
      <c r="PI30" s="212" t="n"/>
      <c r="PJ30" s="212" t="n"/>
      <c r="PK30" s="212" t="n"/>
      <c r="PL30" s="212" t="n"/>
      <c r="PM30" s="212" t="n"/>
      <c r="PN30" s="212" t="n"/>
      <c r="PO30" s="212" t="n"/>
      <c r="PP30" s="212" t="n"/>
      <c r="PQ30" s="212" t="n"/>
      <c r="PR30" s="212" t="n"/>
      <c r="PS30" s="212" t="n"/>
      <c r="PT30" s="212" t="n"/>
      <c r="PU30" s="212" t="n"/>
      <c r="PV30" s="212" t="n"/>
      <c r="PW30" s="212" t="n"/>
      <c r="PX30" s="212" t="n"/>
      <c r="PY30" s="212" t="n"/>
      <c r="PZ30" s="212" t="n"/>
      <c r="QA30" s="212" t="n"/>
      <c r="QB30" s="212" t="n"/>
      <c r="QC30" s="212" t="n"/>
      <c r="QD30" s="212" t="n"/>
      <c r="QE30" s="212" t="n"/>
      <c r="QF30" s="212" t="n"/>
      <c r="QG30" s="212" t="n"/>
      <c r="QH30" s="212" t="n"/>
      <c r="QI30" s="212" t="n"/>
      <c r="QJ30" s="212" t="n"/>
      <c r="QK30" s="212" t="n"/>
      <c r="QL30" s="212" t="n"/>
      <c r="QM30" s="212" t="n"/>
      <c r="QN30" s="212" t="n"/>
      <c r="QO30" s="212" t="n"/>
      <c r="QP30" s="212" t="n"/>
      <c r="QQ30" s="212" t="n"/>
      <c r="QR30" s="212" t="n"/>
      <c r="QS30" s="212" t="n"/>
      <c r="QT30" s="212" t="n"/>
      <c r="QU30" s="212" t="n"/>
      <c r="QV30" s="212" t="n"/>
      <c r="QW30" s="212" t="n"/>
      <c r="QX30" s="212" t="n"/>
      <c r="QY30" s="212" t="n"/>
      <c r="QZ30" s="212" t="n"/>
      <c r="RA30" s="212" t="n"/>
      <c r="RB30" s="212" t="n"/>
      <c r="RC30" s="212" t="n"/>
      <c r="RD30" s="212" t="n"/>
      <c r="RE30" s="212" t="n"/>
      <c r="RF30" s="212" t="n"/>
      <c r="RG30" s="212" t="n"/>
      <c r="RH30" s="212" t="n"/>
      <c r="RI30" s="212" t="n"/>
      <c r="RJ30" s="212" t="n"/>
      <c r="RK30" s="212" t="n"/>
      <c r="RL30" s="212" t="n"/>
      <c r="RM30" s="212" t="n"/>
      <c r="RN30" s="212" t="n"/>
      <c r="RO30" s="212" t="n"/>
      <c r="RP30" s="212" t="n"/>
      <c r="RQ30" s="212" t="n"/>
      <c r="RR30" s="212" t="n"/>
      <c r="RS30" s="212" t="n"/>
      <c r="RT30" s="212" t="n"/>
      <c r="RU30" s="212" t="n"/>
      <c r="RV30" s="212" t="n"/>
      <c r="RW30" s="212" t="n"/>
      <c r="RX30" s="212" t="n"/>
      <c r="RY30" s="212" t="n"/>
      <c r="RZ30" s="212" t="n"/>
      <c r="SA30" s="212" t="n"/>
      <c r="SB30" s="212" t="n"/>
      <c r="SC30" s="212" t="n"/>
      <c r="SD30" s="212" t="n"/>
      <c r="SE30" s="212" t="n"/>
      <c r="SF30" s="212" t="n"/>
      <c r="SG30" s="212" t="n"/>
      <c r="SH30" s="212" t="n"/>
      <c r="SI30" s="212" t="n"/>
      <c r="SJ30" s="212" t="n"/>
      <c r="SK30" s="212" t="n"/>
      <c r="SL30" s="212" t="n"/>
      <c r="SM30" s="212" t="n"/>
      <c r="SN30" s="212" t="n"/>
      <c r="SO30" s="212" t="n"/>
      <c r="SP30" s="212" t="n"/>
      <c r="SQ30" s="212" t="n"/>
      <c r="SR30" s="212" t="n"/>
      <c r="SS30" s="212" t="n"/>
      <c r="ST30" s="212" t="n"/>
      <c r="SU30" s="212" t="n"/>
      <c r="SV30" s="212" t="n"/>
    </row>
    <row r="31">
      <c r="B31" s="209" t="n"/>
      <c r="C31" s="209" t="n"/>
      <c r="D31" s="209" t="n"/>
      <c r="E31" s="209" t="n"/>
      <c r="F31" s="209">
        <f>IF(TRIM(D31&amp;E31)="","",TRIM(D31)&amp;" "&amp;TRIM(E31))</f>
        <v/>
      </c>
      <c r="G31" s="209" t="n"/>
      <c r="H31" s="209" t="n"/>
      <c r="I31" s="209" t="n"/>
      <c r="J31" s="209" t="n"/>
      <c r="K31" s="209" t="n"/>
      <c r="L31" s="209" t="n"/>
      <c r="M31" s="209" t="n"/>
      <c r="N31" s="209" t="n"/>
      <c r="O31" s="209" t="n"/>
      <c r="P31" s="209" t="n"/>
      <c r="Q31" s="209" t="n"/>
      <c r="R31" s="209" t="n"/>
      <c r="S31" s="212" t="n"/>
      <c r="T31" s="212" t="n"/>
      <c r="U31" s="212" t="n"/>
      <c r="V31" s="212" t="n"/>
      <c r="W31" s="212" t="n"/>
      <c r="X31" s="212" t="n"/>
      <c r="Y31" s="212" t="n"/>
      <c r="Z31" s="212" t="n"/>
      <c r="AA31" s="212" t="n"/>
      <c r="AB31" s="212" t="n"/>
      <c r="AC31" s="212" t="n"/>
      <c r="AD31" s="212" t="n"/>
      <c r="AE31" s="212" t="n"/>
      <c r="AF31" s="212" t="n"/>
      <c r="AG31" s="212" t="n"/>
      <c r="AH31" s="212" t="n"/>
      <c r="AI31" s="212" t="n"/>
      <c r="AJ31" s="212" t="n"/>
      <c r="AK31" s="212" t="n"/>
      <c r="AL31" s="212" t="n"/>
      <c r="AM31" s="212" t="n"/>
      <c r="AN31" s="212" t="n"/>
      <c r="AO31" s="212" t="n"/>
      <c r="AP31" s="212" t="n"/>
      <c r="AQ31" s="212" t="n"/>
      <c r="AR31" s="212" t="n"/>
      <c r="AS31" s="212" t="n"/>
      <c r="AT31" s="212" t="n"/>
      <c r="AU31" s="212" t="n"/>
      <c r="AV31" s="212" t="n"/>
      <c r="AW31" s="212" t="n"/>
      <c r="AX31" s="212" t="n"/>
      <c r="AY31" s="212" t="n"/>
      <c r="AZ31" s="212" t="n"/>
      <c r="BA31" s="212" t="n"/>
      <c r="BB31" s="212" t="n"/>
      <c r="BC31" s="212" t="n"/>
      <c r="BD31" s="212" t="n"/>
      <c r="BE31" s="212" t="n"/>
      <c r="BF31" s="212" t="n"/>
      <c r="BG31" s="212" t="n"/>
      <c r="BH31" s="212" t="n"/>
      <c r="BI31" s="212" t="n"/>
      <c r="BJ31" s="212" t="n"/>
      <c r="BK31" s="212" t="n"/>
      <c r="BL31" s="212" t="n"/>
      <c r="BM31" s="212" t="n"/>
      <c r="BN31" s="212" t="n"/>
      <c r="BO31" s="212" t="n"/>
      <c r="BP31" s="212" t="n"/>
      <c r="BQ31" s="212" t="n"/>
      <c r="BR31" s="212" t="n"/>
      <c r="BS31" s="212" t="n"/>
      <c r="BT31" s="212" t="n"/>
      <c r="BU31" s="212" t="n"/>
      <c r="BV31" s="212" t="n"/>
      <c r="BW31" s="212" t="n"/>
      <c r="BX31" s="212" t="n"/>
      <c r="BY31" s="212" t="n"/>
      <c r="BZ31" s="212" t="n"/>
      <c r="CA31" s="212" t="n"/>
      <c r="CB31" s="212" t="n"/>
      <c r="CC31" s="212" t="n"/>
      <c r="CD31" s="212" t="n"/>
      <c r="CE31" s="212" t="n"/>
      <c r="CF31" s="212" t="n"/>
      <c r="CG31" s="212" t="n"/>
      <c r="CH31" s="212" t="n"/>
      <c r="CI31" s="212" t="n"/>
      <c r="CJ31" s="212" t="n"/>
      <c r="CK31" s="212" t="n"/>
      <c r="CL31" s="212" t="n"/>
      <c r="CM31" s="212" t="n"/>
      <c r="CN31" s="212" t="n"/>
      <c r="CO31" s="212" t="n"/>
      <c r="CP31" s="212" t="n"/>
      <c r="CQ31" s="212" t="n"/>
      <c r="CR31" s="212" t="n"/>
      <c r="CS31" s="212" t="n"/>
      <c r="CT31" s="212" t="n"/>
      <c r="CU31" s="212" t="n"/>
      <c r="CV31" s="212" t="n"/>
      <c r="CW31" s="212" t="n"/>
      <c r="CX31" s="212" t="n"/>
      <c r="CY31" s="212" t="n"/>
      <c r="CZ31" s="212" t="n"/>
      <c r="DA31" s="212" t="n"/>
      <c r="DB31" s="212" t="n"/>
      <c r="DC31" s="212" t="n"/>
      <c r="DD31" s="212" t="n"/>
      <c r="DE31" s="212" t="n"/>
      <c r="DF31" s="212" t="n"/>
      <c r="DG31" s="212" t="n"/>
      <c r="DH31" s="212" t="n"/>
      <c r="DI31" s="212" t="n"/>
      <c r="DJ31" s="212" t="n"/>
      <c r="DK31" s="212" t="n"/>
      <c r="DL31" s="212" t="n"/>
      <c r="DM31" s="212" t="n"/>
      <c r="DN31" s="212" t="n"/>
      <c r="DO31" s="212" t="n"/>
      <c r="DP31" s="212" t="n"/>
      <c r="DQ31" s="212" t="n"/>
      <c r="DR31" s="212" t="n"/>
      <c r="DS31" s="212" t="n"/>
      <c r="DT31" s="212" t="n"/>
      <c r="DU31" s="212" t="n"/>
      <c r="DV31" s="212" t="n"/>
      <c r="DW31" s="212" t="n"/>
      <c r="DX31" s="212" t="n"/>
      <c r="DY31" s="212" t="n"/>
      <c r="DZ31" s="212" t="n"/>
      <c r="EA31" s="212" t="n"/>
      <c r="EB31" s="212" t="n"/>
      <c r="EC31" s="212" t="n"/>
      <c r="ED31" s="212" t="n"/>
      <c r="EE31" s="212" t="n"/>
      <c r="EF31" s="212" t="n"/>
      <c r="EG31" s="212" t="n"/>
      <c r="EH31" s="212" t="n"/>
      <c r="EI31" s="212" t="n"/>
      <c r="EJ31" s="212" t="n"/>
      <c r="EK31" s="212" t="n"/>
      <c r="EL31" s="212" t="n"/>
      <c r="EM31" s="212" t="n"/>
      <c r="EN31" s="212" t="n"/>
      <c r="EO31" s="212" t="n"/>
      <c r="EP31" s="212" t="n"/>
      <c r="EQ31" s="212" t="n"/>
      <c r="ER31" s="212" t="n"/>
      <c r="ES31" s="212" t="n"/>
      <c r="ET31" s="212" t="n"/>
      <c r="EU31" s="212" t="n"/>
      <c r="EV31" s="212" t="n"/>
      <c r="EW31" s="212" t="n"/>
      <c r="EX31" s="212" t="n"/>
      <c r="EY31" s="212" t="n"/>
      <c r="EZ31" s="212" t="n"/>
      <c r="FA31" s="212" t="n"/>
      <c r="FB31" s="212" t="n"/>
      <c r="FC31" s="212" t="n"/>
      <c r="FD31" s="212" t="n"/>
      <c r="FE31" s="212" t="n"/>
      <c r="FF31" s="212" t="n"/>
      <c r="FG31" s="212" t="n"/>
      <c r="FH31" s="212" t="n"/>
      <c r="FI31" s="212" t="n"/>
      <c r="FJ31" s="212" t="n"/>
      <c r="FK31" s="212" t="n"/>
      <c r="FL31" s="212" t="n"/>
      <c r="FM31" s="212" t="n"/>
      <c r="FN31" s="212" t="n"/>
      <c r="FO31" s="212" t="n"/>
      <c r="FP31" s="212" t="n"/>
      <c r="FQ31" s="212" t="n"/>
      <c r="FR31" s="212" t="n"/>
      <c r="FS31" s="212" t="n"/>
      <c r="FT31" s="212" t="n"/>
      <c r="FU31" s="212" t="n"/>
      <c r="FV31" s="212" t="n"/>
      <c r="FW31" s="212" t="n"/>
      <c r="FX31" s="212" t="n"/>
      <c r="FY31" s="212" t="n"/>
      <c r="FZ31" s="212" t="n"/>
      <c r="GA31" s="212" t="n"/>
      <c r="GB31" s="212" t="n"/>
      <c r="GC31" s="212" t="n"/>
      <c r="GD31" s="212" t="n"/>
      <c r="GE31" s="212" t="n"/>
      <c r="GF31" s="212" t="n"/>
      <c r="GG31" s="212" t="n"/>
      <c r="GH31" s="212" t="n"/>
      <c r="GI31" s="212" t="n"/>
      <c r="GJ31" s="212" t="n"/>
      <c r="GK31" s="212" t="n"/>
      <c r="GL31" s="212" t="n"/>
      <c r="GM31" s="212" t="n"/>
      <c r="GN31" s="212" t="n"/>
      <c r="GO31" s="212" t="n"/>
      <c r="GP31" s="212" t="n"/>
      <c r="GQ31" s="212" t="n"/>
      <c r="GR31" s="212" t="n"/>
      <c r="GS31" s="212" t="n"/>
      <c r="GT31" s="212" t="n"/>
      <c r="GU31" s="212" t="n"/>
      <c r="GV31" s="212" t="n"/>
      <c r="GW31" s="212" t="n"/>
      <c r="GX31" s="212" t="n"/>
      <c r="GY31" s="212" t="n"/>
      <c r="GZ31" s="212" t="n"/>
      <c r="HA31" s="212" t="n"/>
      <c r="HB31" s="212" t="n"/>
      <c r="HC31" s="212" t="n"/>
      <c r="HD31" s="212" t="n"/>
      <c r="HE31" s="212" t="n"/>
      <c r="HF31" s="212" t="n"/>
      <c r="HG31" s="212" t="n"/>
      <c r="HH31" s="212" t="n"/>
      <c r="HI31" s="212" t="n"/>
      <c r="HJ31" s="212" t="n"/>
      <c r="HK31" s="212" t="n"/>
      <c r="HL31" s="212" t="n"/>
      <c r="HM31" s="212" t="n"/>
      <c r="HN31" s="212" t="n"/>
      <c r="HO31" s="212" t="n"/>
      <c r="HP31" s="212" t="n"/>
      <c r="HQ31" s="212" t="n"/>
      <c r="HR31" s="212" t="n"/>
      <c r="HS31" s="212" t="n"/>
      <c r="HT31" s="212" t="n"/>
      <c r="HU31" s="212" t="n"/>
      <c r="HV31" s="212" t="n"/>
      <c r="HW31" s="212" t="n"/>
      <c r="HX31" s="212" t="n"/>
      <c r="HY31" s="212" t="n"/>
      <c r="HZ31" s="212" t="n"/>
      <c r="IA31" s="212" t="n"/>
      <c r="IB31" s="212" t="n"/>
      <c r="IC31" s="212" t="n"/>
      <c r="ID31" s="212" t="n"/>
      <c r="IE31" s="212" t="n"/>
      <c r="IF31" s="212" t="n"/>
      <c r="IG31" s="212" t="n"/>
      <c r="IH31" s="212" t="n"/>
      <c r="II31" s="212" t="n"/>
      <c r="IJ31" s="212" t="n"/>
      <c r="IK31" s="212" t="n"/>
      <c r="IL31" s="212" t="n"/>
      <c r="IM31" s="212" t="n"/>
      <c r="IN31" s="212" t="n"/>
      <c r="IO31" s="212" t="n"/>
      <c r="IP31" s="212" t="n"/>
      <c r="IQ31" s="212" t="n"/>
      <c r="IR31" s="212" t="n"/>
      <c r="IS31" s="212" t="n"/>
      <c r="IT31" s="212" t="n"/>
      <c r="IU31" s="212" t="n"/>
      <c r="IV31" s="212" t="n"/>
      <c r="IW31" s="212" t="n"/>
      <c r="IX31" s="212" t="n"/>
      <c r="IY31" s="212" t="n"/>
      <c r="IZ31" s="212" t="n"/>
      <c r="JA31" s="212" t="n"/>
      <c r="JB31" s="212" t="n"/>
      <c r="JC31" s="212" t="n"/>
      <c r="JD31" s="212" t="n"/>
      <c r="JE31" s="212" t="n"/>
      <c r="JF31" s="212" t="n"/>
      <c r="JG31" s="212" t="n"/>
      <c r="JH31" s="212" t="n"/>
      <c r="JI31" s="212" t="n"/>
      <c r="JJ31" s="212" t="n"/>
      <c r="JK31" s="212" t="n"/>
      <c r="JL31" s="212" t="n"/>
      <c r="JM31" s="212" t="n"/>
      <c r="JN31" s="212" t="n"/>
      <c r="JO31" s="212" t="n"/>
      <c r="JP31" s="212" t="n"/>
      <c r="JQ31" s="212" t="n"/>
      <c r="JR31" s="212" t="n"/>
      <c r="JS31" s="212" t="n"/>
      <c r="JT31" s="212" t="n"/>
      <c r="JU31" s="212" t="n"/>
      <c r="JV31" s="212" t="n"/>
      <c r="JW31" s="212" t="n"/>
      <c r="JX31" s="212" t="n"/>
      <c r="JY31" s="212" t="n"/>
      <c r="JZ31" s="212" t="n"/>
      <c r="KA31" s="212" t="n"/>
      <c r="KB31" s="212" t="n"/>
      <c r="KC31" s="212" t="n"/>
      <c r="KD31" s="212" t="n"/>
      <c r="KE31" s="212" t="n"/>
      <c r="KF31" s="212" t="n"/>
      <c r="KG31" s="212" t="n"/>
      <c r="KH31" s="212" t="n"/>
      <c r="KI31" s="212" t="n"/>
      <c r="KJ31" s="212" t="n"/>
      <c r="KK31" s="212" t="n"/>
      <c r="KL31" s="212" t="n"/>
      <c r="KM31" s="212" t="n"/>
      <c r="KN31" s="212" t="n"/>
      <c r="KO31" s="212" t="n"/>
      <c r="KP31" s="212" t="n"/>
      <c r="KQ31" s="212" t="n"/>
      <c r="KR31" s="212" t="n"/>
      <c r="KS31" s="212" t="n"/>
      <c r="KT31" s="212" t="n"/>
      <c r="KU31" s="212" t="n"/>
      <c r="KV31" s="212" t="n"/>
      <c r="KW31" s="212" t="n"/>
      <c r="KX31" s="212" t="n"/>
      <c r="KY31" s="212" t="n"/>
      <c r="KZ31" s="212" t="n"/>
      <c r="LA31" s="212" t="n"/>
      <c r="LB31" s="212" t="n"/>
      <c r="LC31" s="212" t="n"/>
      <c r="LD31" s="212" t="n"/>
      <c r="LE31" s="212" t="n"/>
      <c r="LF31" s="212" t="n"/>
      <c r="LG31" s="212" t="n"/>
      <c r="LH31" s="212" t="n"/>
      <c r="LI31" s="212" t="n"/>
      <c r="LJ31" s="212" t="n"/>
      <c r="LK31" s="212" t="n"/>
      <c r="LL31" s="212" t="n"/>
      <c r="LM31" s="212" t="n"/>
      <c r="LN31" s="212" t="n"/>
      <c r="LO31" s="212" t="n"/>
      <c r="LP31" s="212" t="n"/>
      <c r="LQ31" s="212" t="n"/>
      <c r="LR31" s="212" t="n"/>
      <c r="LS31" s="212" t="n"/>
      <c r="LT31" s="212" t="n"/>
      <c r="LU31" s="212" t="n"/>
      <c r="LV31" s="212" t="n"/>
      <c r="LW31" s="212" t="n"/>
      <c r="LX31" s="212" t="n"/>
      <c r="LY31" s="212" t="n"/>
      <c r="LZ31" s="212" t="n"/>
      <c r="MA31" s="212" t="n"/>
      <c r="MB31" s="212" t="n"/>
      <c r="MC31" s="212" t="n"/>
      <c r="MD31" s="212" t="n"/>
      <c r="ME31" s="212" t="n"/>
      <c r="MF31" s="212" t="n"/>
      <c r="MG31" s="212" t="n"/>
      <c r="MH31" s="212" t="n"/>
      <c r="MI31" s="212" t="n"/>
      <c r="MJ31" s="212" t="n"/>
      <c r="MK31" s="212" t="n"/>
      <c r="ML31" s="212" t="n"/>
      <c r="MM31" s="212" t="n"/>
      <c r="MN31" s="212" t="n"/>
      <c r="MO31" s="212" t="n"/>
      <c r="MP31" s="212" t="n"/>
      <c r="MQ31" s="212" t="n"/>
      <c r="MR31" s="212" t="n"/>
      <c r="MS31" s="212" t="n"/>
      <c r="MT31" s="212" t="n"/>
      <c r="MU31" s="212" t="n"/>
      <c r="MV31" s="212" t="n"/>
      <c r="MW31" s="212" t="n"/>
      <c r="MX31" s="212" t="n"/>
      <c r="MY31" s="212" t="n"/>
      <c r="MZ31" s="212" t="n"/>
      <c r="NA31" s="212" t="n"/>
      <c r="NB31" s="212" t="n"/>
      <c r="NC31" s="212" t="n"/>
      <c r="ND31" s="212" t="n"/>
      <c r="NE31" s="212" t="n"/>
      <c r="NF31" s="212" t="n"/>
      <c r="NG31" s="212" t="n"/>
      <c r="NH31" s="212" t="n"/>
      <c r="NI31" s="212" t="n"/>
      <c r="NJ31" s="212" t="n"/>
      <c r="NK31" s="212" t="n"/>
      <c r="NL31" s="212" t="n"/>
      <c r="NM31" s="212" t="n"/>
      <c r="NN31" s="212" t="n"/>
      <c r="NO31" s="212" t="n"/>
      <c r="NP31" s="212" t="n"/>
      <c r="NQ31" s="212" t="n"/>
      <c r="NR31" s="212" t="n"/>
      <c r="NS31" s="212" t="n"/>
      <c r="NT31" s="212" t="n"/>
      <c r="NU31" s="212" t="n"/>
      <c r="NV31" s="212" t="n"/>
      <c r="NW31" s="212" t="n"/>
      <c r="NX31" s="212" t="n"/>
      <c r="NY31" s="212" t="n"/>
      <c r="NZ31" s="212" t="n"/>
      <c r="OA31" s="212" t="n"/>
      <c r="OB31" s="212" t="n"/>
      <c r="OC31" s="212" t="n"/>
      <c r="OD31" s="212" t="n"/>
      <c r="OE31" s="212" t="n"/>
      <c r="OF31" s="212" t="n"/>
      <c r="OG31" s="212" t="n"/>
      <c r="OH31" s="212" t="n"/>
      <c r="OI31" s="212" t="n"/>
      <c r="OJ31" s="212" t="n"/>
      <c r="OK31" s="212" t="n"/>
      <c r="OL31" s="212" t="n"/>
      <c r="OM31" s="212" t="n"/>
      <c r="ON31" s="212" t="n"/>
      <c r="OO31" s="212" t="n"/>
      <c r="OP31" s="212" t="n"/>
      <c r="OQ31" s="212" t="n"/>
      <c r="OR31" s="212" t="n"/>
      <c r="OS31" s="212" t="n"/>
      <c r="OT31" s="212" t="n"/>
      <c r="OU31" s="212" t="n"/>
      <c r="OV31" s="212" t="n"/>
      <c r="OW31" s="212" t="n"/>
      <c r="OX31" s="212" t="n"/>
      <c r="OY31" s="212" t="n"/>
      <c r="OZ31" s="212" t="n"/>
      <c r="PA31" s="212" t="n"/>
      <c r="PB31" s="212" t="n"/>
      <c r="PC31" s="212" t="n"/>
      <c r="PD31" s="212" t="n"/>
      <c r="PE31" s="212" t="n"/>
      <c r="PF31" s="212" t="n"/>
      <c r="PG31" s="212" t="n"/>
      <c r="PH31" s="212" t="n"/>
      <c r="PI31" s="212" t="n"/>
      <c r="PJ31" s="212" t="n"/>
      <c r="PK31" s="212" t="n"/>
      <c r="PL31" s="212" t="n"/>
      <c r="PM31" s="212" t="n"/>
      <c r="PN31" s="212" t="n"/>
      <c r="PO31" s="212" t="n"/>
      <c r="PP31" s="212" t="n"/>
      <c r="PQ31" s="212" t="n"/>
      <c r="PR31" s="212" t="n"/>
      <c r="PS31" s="212" t="n"/>
      <c r="PT31" s="212" t="n"/>
      <c r="PU31" s="212" t="n"/>
      <c r="PV31" s="212" t="n"/>
      <c r="PW31" s="212" t="n"/>
      <c r="PX31" s="212" t="n"/>
      <c r="PY31" s="212" t="n"/>
      <c r="PZ31" s="212" t="n"/>
      <c r="QA31" s="212" t="n"/>
      <c r="QB31" s="212" t="n"/>
      <c r="QC31" s="212" t="n"/>
      <c r="QD31" s="212" t="n"/>
      <c r="QE31" s="212" t="n"/>
      <c r="QF31" s="212" t="n"/>
      <c r="QG31" s="212" t="n"/>
      <c r="QH31" s="212" t="n"/>
      <c r="QI31" s="212" t="n"/>
      <c r="QJ31" s="212" t="n"/>
      <c r="QK31" s="212" t="n"/>
      <c r="QL31" s="212" t="n"/>
      <c r="QM31" s="212" t="n"/>
      <c r="QN31" s="212" t="n"/>
      <c r="QO31" s="212" t="n"/>
      <c r="QP31" s="212" t="n"/>
      <c r="QQ31" s="212" t="n"/>
      <c r="QR31" s="212" t="n"/>
      <c r="QS31" s="212" t="n"/>
      <c r="QT31" s="212" t="n"/>
      <c r="QU31" s="212" t="n"/>
      <c r="QV31" s="212" t="n"/>
      <c r="QW31" s="212" t="n"/>
      <c r="QX31" s="212" t="n"/>
      <c r="QY31" s="212" t="n"/>
      <c r="QZ31" s="212" t="n"/>
      <c r="RA31" s="212" t="n"/>
      <c r="RB31" s="212" t="n"/>
      <c r="RC31" s="212" t="n"/>
      <c r="RD31" s="212" t="n"/>
      <c r="RE31" s="212" t="n"/>
      <c r="RF31" s="212" t="n"/>
      <c r="RG31" s="212" t="n"/>
      <c r="RH31" s="212" t="n"/>
      <c r="RI31" s="212" t="n"/>
      <c r="RJ31" s="212" t="n"/>
      <c r="RK31" s="212" t="n"/>
      <c r="RL31" s="212" t="n"/>
      <c r="RM31" s="212" t="n"/>
      <c r="RN31" s="212" t="n"/>
      <c r="RO31" s="212" t="n"/>
      <c r="RP31" s="212" t="n"/>
      <c r="RQ31" s="212" t="n"/>
      <c r="RR31" s="212" t="n"/>
      <c r="RS31" s="212" t="n"/>
      <c r="RT31" s="212" t="n"/>
      <c r="RU31" s="212" t="n"/>
      <c r="RV31" s="212" t="n"/>
      <c r="RW31" s="212" t="n"/>
      <c r="RX31" s="212" t="n"/>
      <c r="RY31" s="212" t="n"/>
      <c r="RZ31" s="212" t="n"/>
      <c r="SA31" s="212" t="n"/>
      <c r="SB31" s="212" t="n"/>
      <c r="SC31" s="212" t="n"/>
      <c r="SD31" s="212" t="n"/>
      <c r="SE31" s="212" t="n"/>
      <c r="SF31" s="212" t="n"/>
      <c r="SG31" s="212" t="n"/>
      <c r="SH31" s="212" t="n"/>
      <c r="SI31" s="212" t="n"/>
      <c r="SJ31" s="212" t="n"/>
      <c r="SK31" s="212" t="n"/>
      <c r="SL31" s="212" t="n"/>
      <c r="SM31" s="212" t="n"/>
      <c r="SN31" s="212" t="n"/>
      <c r="SO31" s="212" t="n"/>
      <c r="SP31" s="212" t="n"/>
      <c r="SQ31" s="212" t="n"/>
      <c r="SR31" s="212" t="n"/>
      <c r="SS31" s="212" t="n"/>
      <c r="ST31" s="212" t="n"/>
      <c r="SU31" s="212" t="n"/>
      <c r="SV31" s="212" t="n"/>
    </row>
    <row r="32">
      <c r="B32" s="207" t="n"/>
      <c r="C32" s="207" t="inlineStr">
        <is>
          <t>Roster A -  Electrical Team 1  (5x)</t>
        </is>
      </c>
      <c r="D32" s="207" t="n"/>
      <c r="E32" s="207" t="n"/>
      <c r="F32" s="207">
        <f>IF(TRIM(D32&amp;E32)="","",TRIM(D32)&amp;" "&amp;TRIM(E32))</f>
        <v/>
      </c>
      <c r="G32" s="207" t="n"/>
      <c r="H32" s="207" t="n"/>
      <c r="I32" s="207" t="n"/>
      <c r="J32" s="207" t="n"/>
      <c r="K32" s="207" t="n"/>
      <c r="L32" s="207" t="n"/>
      <c r="M32" s="207" t="n"/>
      <c r="N32" s="207" t="n"/>
      <c r="O32" s="207" t="n"/>
      <c r="P32" s="207" t="n"/>
      <c r="Q32" s="207" t="n"/>
      <c r="R32" s="207" t="n"/>
      <c r="S32" s="208" t="n"/>
      <c r="T32" s="208" t="n"/>
      <c r="U32" s="208" t="n"/>
      <c r="V32" s="208" t="n"/>
      <c r="W32" s="208" t="n"/>
      <c r="X32" s="208" t="n"/>
      <c r="Y32" s="208" t="n"/>
      <c r="Z32" s="208" t="n"/>
      <c r="AA32" s="208" t="n"/>
      <c r="AB32" s="208" t="n"/>
      <c r="AC32" s="208" t="n"/>
      <c r="AD32" s="208" t="n"/>
      <c r="AE32" s="208" t="n"/>
      <c r="AF32" s="208" t="n"/>
      <c r="AG32" s="208" t="n"/>
      <c r="AH32" s="208" t="n"/>
      <c r="AI32" s="208" t="n"/>
      <c r="AJ32" s="208" t="n"/>
      <c r="AK32" s="208" t="n"/>
      <c r="AL32" s="208" t="n"/>
      <c r="AM32" s="208" t="n"/>
      <c r="AN32" s="208" t="n"/>
      <c r="AO32" s="208" t="n"/>
      <c r="AP32" s="208" t="n"/>
      <c r="AQ32" s="208" t="n"/>
      <c r="AR32" s="208" t="n"/>
      <c r="AS32" s="208" t="n"/>
      <c r="AT32" s="208" t="n"/>
      <c r="AU32" s="208" t="n"/>
      <c r="AV32" s="208" t="n"/>
      <c r="AW32" s="208" t="n"/>
      <c r="AX32" s="208" t="n"/>
      <c r="AY32" s="208" t="n"/>
      <c r="AZ32" s="208" t="n"/>
      <c r="BA32" s="208" t="n"/>
      <c r="BB32" s="208" t="n"/>
      <c r="BC32" s="208" t="n"/>
      <c r="BD32" s="208" t="n"/>
      <c r="BE32" s="208" t="n"/>
      <c r="BF32" s="208" t="n"/>
      <c r="BG32" s="208" t="n"/>
      <c r="BH32" s="208" t="n"/>
      <c r="BI32" s="208" t="n"/>
      <c r="BJ32" s="208" t="n"/>
      <c r="BK32" s="208" t="n"/>
      <c r="BL32" s="208" t="n"/>
      <c r="BM32" s="208" t="n"/>
      <c r="BN32" s="208" t="n"/>
      <c r="BO32" s="208" t="n"/>
      <c r="BP32" s="208" t="n"/>
      <c r="BQ32" s="208" t="n"/>
      <c r="BR32" s="208" t="n"/>
      <c r="BS32" s="208" t="n"/>
      <c r="BT32" s="208" t="n"/>
      <c r="BU32" s="208" t="n"/>
      <c r="BV32" s="208" t="n"/>
      <c r="BW32" s="208" t="n"/>
      <c r="BX32" s="208" t="n"/>
      <c r="BY32" s="208" t="n"/>
      <c r="BZ32" s="208" t="n"/>
      <c r="CA32" s="208" t="n"/>
      <c r="CB32" s="208" t="n"/>
      <c r="CC32" s="208" t="n"/>
      <c r="CD32" s="208" t="n"/>
      <c r="CE32" s="208" t="n"/>
      <c r="CF32" s="208" t="n"/>
      <c r="CG32" s="208" t="n"/>
      <c r="CH32" s="208" t="n"/>
      <c r="CI32" s="208" t="n"/>
      <c r="CJ32" s="208" t="n"/>
      <c r="CK32" s="208" t="n"/>
      <c r="CL32" s="208" t="n"/>
      <c r="CM32" s="208" t="n"/>
      <c r="CN32" s="208" t="n"/>
      <c r="CO32" s="208" t="n"/>
      <c r="CP32" s="208" t="n"/>
      <c r="CQ32" s="208" t="n"/>
      <c r="CR32" s="208" t="n"/>
      <c r="CS32" s="208" t="n"/>
      <c r="CT32" s="208" t="n"/>
      <c r="CU32" s="208" t="n"/>
      <c r="CV32" s="208" t="n"/>
      <c r="CW32" s="208" t="n"/>
      <c r="CX32" s="208" t="n"/>
      <c r="CY32" s="208" t="n"/>
      <c r="CZ32" s="208" t="n"/>
      <c r="DA32" s="208" t="n"/>
      <c r="DB32" s="208" t="n"/>
      <c r="DC32" s="208" t="n"/>
      <c r="DD32" s="208" t="n"/>
      <c r="DE32" s="208" t="n"/>
      <c r="DF32" s="208" t="n"/>
      <c r="DG32" s="208" t="n"/>
      <c r="DH32" s="208" t="n"/>
      <c r="DI32" s="208" t="n"/>
      <c r="DJ32" s="208" t="n"/>
      <c r="DK32" s="208" t="n"/>
      <c r="DL32" s="208" t="n"/>
      <c r="DM32" s="208" t="n"/>
      <c r="DN32" s="208" t="n"/>
      <c r="DO32" s="208" t="n"/>
      <c r="DP32" s="208" t="n"/>
      <c r="DQ32" s="208" t="n"/>
      <c r="DR32" s="208" t="n"/>
      <c r="DS32" s="208" t="n"/>
      <c r="DT32" s="208" t="n"/>
      <c r="DU32" s="208" t="n"/>
      <c r="DV32" s="208" t="n"/>
      <c r="DW32" s="208" t="n"/>
      <c r="DX32" s="208" t="n"/>
      <c r="DY32" s="208" t="n"/>
      <c r="DZ32" s="208" t="n"/>
      <c r="EA32" s="208" t="n"/>
      <c r="EB32" s="208" t="n"/>
      <c r="EC32" s="208" t="n"/>
      <c r="ED32" s="208" t="n"/>
      <c r="EE32" s="208" t="n"/>
      <c r="EF32" s="208" t="n"/>
      <c r="EG32" s="208" t="n"/>
      <c r="EH32" s="208" t="n"/>
      <c r="EI32" s="208" t="n"/>
      <c r="EJ32" s="208" t="n"/>
      <c r="EK32" s="208" t="n"/>
      <c r="EL32" s="208" t="n"/>
      <c r="EM32" s="208" t="n"/>
      <c r="EN32" s="208" t="n"/>
      <c r="EO32" s="208" t="n"/>
      <c r="EP32" s="208" t="n"/>
      <c r="EQ32" s="208" t="n"/>
      <c r="ER32" s="208" t="n"/>
      <c r="ES32" s="208" t="n"/>
      <c r="ET32" s="208" t="n"/>
      <c r="EU32" s="208" t="n"/>
      <c r="EV32" s="208" t="n"/>
      <c r="EW32" s="208" t="n"/>
      <c r="EX32" s="208" t="n"/>
      <c r="EY32" s="208" t="n"/>
      <c r="EZ32" s="208" t="n"/>
      <c r="FA32" s="208" t="n"/>
      <c r="FB32" s="208" t="n"/>
      <c r="FC32" s="208" t="n"/>
      <c r="FD32" s="208" t="n"/>
      <c r="FE32" s="208" t="n"/>
      <c r="FF32" s="208" t="n"/>
      <c r="FG32" s="208" t="n"/>
      <c r="FH32" s="208" t="n"/>
      <c r="FI32" s="208" t="n"/>
      <c r="FJ32" s="208" t="n"/>
      <c r="FK32" s="208" t="n"/>
      <c r="FL32" s="208" t="n"/>
      <c r="FM32" s="208" t="n"/>
      <c r="FN32" s="208" t="n"/>
      <c r="FO32" s="208" t="n"/>
      <c r="FP32" s="208" t="n"/>
      <c r="FQ32" s="208" t="n"/>
      <c r="FR32" s="208" t="n"/>
      <c r="FS32" s="208" t="n"/>
      <c r="FT32" s="208" t="n"/>
      <c r="FU32" s="208" t="n"/>
      <c r="FV32" s="208" t="n"/>
      <c r="FW32" s="208" t="n"/>
      <c r="FX32" s="208" t="n"/>
      <c r="FY32" s="208" t="n"/>
      <c r="FZ32" s="208" t="n"/>
      <c r="GA32" s="208" t="n"/>
      <c r="GB32" s="208" t="n"/>
      <c r="GC32" s="208" t="n"/>
      <c r="GD32" s="208" t="n"/>
      <c r="GE32" s="208" t="n"/>
      <c r="GF32" s="208" t="n"/>
      <c r="GG32" s="208" t="n"/>
      <c r="GH32" s="208" t="n"/>
      <c r="GI32" s="208" t="n"/>
      <c r="GJ32" s="208" t="n"/>
      <c r="GK32" s="208" t="n"/>
      <c r="GL32" s="208" t="n"/>
      <c r="GM32" s="208" t="n"/>
      <c r="GN32" s="208" t="n"/>
      <c r="GO32" s="208" t="n"/>
      <c r="GP32" s="208" t="n"/>
      <c r="GQ32" s="208" t="n"/>
      <c r="GR32" s="208" t="n"/>
      <c r="GS32" s="208" t="n"/>
      <c r="GT32" s="208" t="n"/>
      <c r="GU32" s="208" t="n"/>
      <c r="GV32" s="208" t="n"/>
      <c r="GW32" s="208" t="n"/>
      <c r="GX32" s="208" t="n"/>
      <c r="GY32" s="208" t="n"/>
      <c r="GZ32" s="208" t="n"/>
      <c r="HA32" s="208" t="n"/>
      <c r="HB32" s="208" t="n"/>
      <c r="HC32" s="208" t="n"/>
      <c r="HD32" s="208" t="n"/>
      <c r="HE32" s="208" t="n"/>
      <c r="HF32" s="208" t="n"/>
      <c r="HG32" s="208" t="n"/>
      <c r="HH32" s="208" t="n"/>
      <c r="HI32" s="208" t="n"/>
      <c r="HJ32" s="208" t="n"/>
      <c r="HK32" s="208" t="n"/>
      <c r="HL32" s="208" t="n"/>
      <c r="HM32" s="208" t="n"/>
      <c r="HN32" s="208" t="n"/>
      <c r="HO32" s="208" t="n"/>
      <c r="HP32" s="208" t="n"/>
      <c r="HQ32" s="208" t="n"/>
      <c r="HR32" s="208" t="n"/>
      <c r="HS32" s="208" t="n"/>
      <c r="HT32" s="208" t="n"/>
      <c r="HU32" s="208" t="n"/>
      <c r="HV32" s="208" t="n"/>
      <c r="HW32" s="208" t="n"/>
      <c r="HX32" s="208" t="n"/>
      <c r="HY32" s="208" t="n"/>
      <c r="HZ32" s="208" t="n"/>
      <c r="IA32" s="208" t="n"/>
      <c r="IB32" s="208" t="n"/>
      <c r="IC32" s="208" t="n"/>
      <c r="ID32" s="208" t="n"/>
      <c r="IE32" s="208" t="n"/>
      <c r="IF32" s="208" t="n"/>
      <c r="IG32" s="208" t="n"/>
      <c r="IH32" s="208" t="n"/>
      <c r="II32" s="208" t="n"/>
      <c r="IJ32" s="208" t="n"/>
      <c r="IK32" s="208" t="n"/>
      <c r="IL32" s="208" t="n"/>
      <c r="IM32" s="208" t="n"/>
      <c r="IN32" s="208" t="n"/>
      <c r="IO32" s="208" t="n"/>
      <c r="IP32" s="208" t="n"/>
      <c r="IQ32" s="208" t="n"/>
      <c r="IR32" s="208" t="n"/>
      <c r="IS32" s="208" t="n"/>
      <c r="IT32" s="208" t="n"/>
      <c r="IU32" s="208" t="n"/>
      <c r="IV32" s="208" t="n"/>
      <c r="IW32" s="208" t="n"/>
      <c r="IX32" s="208" t="n"/>
      <c r="IY32" s="208" t="n"/>
      <c r="IZ32" s="208" t="n"/>
      <c r="JA32" s="208" t="n"/>
      <c r="JB32" s="208" t="n"/>
      <c r="JC32" s="208" t="n"/>
      <c r="JD32" s="208" t="n"/>
      <c r="JE32" s="208" t="n"/>
      <c r="JF32" s="208" t="n"/>
      <c r="JG32" s="208" t="n"/>
      <c r="JH32" s="208" t="n"/>
      <c r="JI32" s="208" t="n"/>
      <c r="JJ32" s="208" t="n"/>
      <c r="JK32" s="208" t="n"/>
      <c r="JL32" s="208" t="n"/>
      <c r="JM32" s="208" t="n"/>
      <c r="JN32" s="208" t="n"/>
      <c r="JO32" s="208" t="n"/>
      <c r="JP32" s="208" t="n"/>
      <c r="JQ32" s="208" t="n"/>
      <c r="JR32" s="208" t="n"/>
      <c r="JS32" s="208" t="n"/>
      <c r="JT32" s="208" t="n"/>
      <c r="JU32" s="208" t="n"/>
      <c r="JV32" s="208" t="n"/>
      <c r="JW32" s="208" t="n"/>
      <c r="JX32" s="208" t="n"/>
      <c r="JY32" s="208" t="n"/>
      <c r="JZ32" s="208" t="n"/>
      <c r="KA32" s="208" t="n"/>
      <c r="KB32" s="208" t="n"/>
      <c r="KC32" s="208" t="n"/>
      <c r="KD32" s="208" t="n"/>
      <c r="KE32" s="208" t="n"/>
      <c r="KF32" s="208" t="n"/>
      <c r="KG32" s="208" t="n"/>
      <c r="KH32" s="208" t="n"/>
      <c r="KI32" s="208" t="n"/>
      <c r="KJ32" s="208" t="n"/>
      <c r="KK32" s="208" t="n"/>
      <c r="KL32" s="208" t="n"/>
      <c r="KM32" s="208" t="n"/>
      <c r="KN32" s="208" t="n"/>
      <c r="KO32" s="208" t="n"/>
      <c r="KP32" s="208" t="n"/>
      <c r="KQ32" s="208" t="n"/>
      <c r="KR32" s="208" t="n"/>
      <c r="KS32" s="208" t="n"/>
      <c r="KT32" s="208" t="n"/>
      <c r="KU32" s="208" t="n"/>
      <c r="KV32" s="208" t="n"/>
      <c r="KW32" s="208" t="n"/>
      <c r="KX32" s="208" t="n"/>
      <c r="KY32" s="208" t="n"/>
      <c r="KZ32" s="208" t="n"/>
      <c r="LA32" s="208" t="n"/>
      <c r="LB32" s="208" t="n"/>
      <c r="LC32" s="208" t="n"/>
      <c r="LD32" s="208" t="n"/>
      <c r="LE32" s="208" t="n"/>
      <c r="LF32" s="208" t="n"/>
      <c r="LG32" s="208" t="n"/>
      <c r="LH32" s="208" t="n"/>
      <c r="LI32" s="208" t="n"/>
      <c r="LJ32" s="208" t="n"/>
      <c r="LK32" s="208" t="n"/>
      <c r="LL32" s="208" t="n"/>
      <c r="LM32" s="208" t="n"/>
      <c r="LN32" s="208" t="n"/>
      <c r="LO32" s="208" t="n"/>
      <c r="LP32" s="208" t="n"/>
      <c r="LQ32" s="208" t="n"/>
      <c r="LR32" s="208" t="n"/>
      <c r="LS32" s="208" t="n"/>
      <c r="LT32" s="208" t="n"/>
      <c r="LU32" s="208" t="n"/>
      <c r="LV32" s="208" t="n"/>
      <c r="LW32" s="208" t="n"/>
      <c r="LX32" s="208" t="n"/>
      <c r="LY32" s="208" t="n"/>
      <c r="LZ32" s="208" t="n"/>
      <c r="MA32" s="208" t="n"/>
      <c r="MB32" s="208" t="n"/>
      <c r="MC32" s="208" t="n"/>
      <c r="MD32" s="208" t="n"/>
      <c r="ME32" s="208" t="n"/>
      <c r="MF32" s="208" t="n"/>
      <c r="MG32" s="208" t="n"/>
      <c r="MH32" s="208" t="n"/>
      <c r="MI32" s="208" t="n"/>
      <c r="MJ32" s="208" t="n"/>
      <c r="MK32" s="208" t="n"/>
      <c r="ML32" s="208" t="n"/>
      <c r="MM32" s="208" t="n"/>
      <c r="MN32" s="208" t="n"/>
      <c r="MO32" s="208" t="n"/>
      <c r="MP32" s="208" t="n"/>
      <c r="MQ32" s="208" t="n"/>
      <c r="MR32" s="208" t="n"/>
      <c r="MS32" s="208" t="n"/>
      <c r="MT32" s="208" t="n"/>
      <c r="MU32" s="208" t="n"/>
      <c r="MV32" s="208" t="n"/>
      <c r="MW32" s="208" t="n"/>
      <c r="MX32" s="208" t="n"/>
      <c r="MY32" s="208" t="n"/>
      <c r="MZ32" s="208" t="n"/>
      <c r="NA32" s="208" t="n"/>
      <c r="NB32" s="208" t="n"/>
      <c r="NC32" s="208" t="n"/>
      <c r="ND32" s="208" t="n"/>
      <c r="NE32" s="208" t="n"/>
      <c r="NF32" s="208" t="n"/>
      <c r="NG32" s="208" t="n"/>
      <c r="NH32" s="208" t="n"/>
      <c r="NI32" s="208" t="n"/>
      <c r="NJ32" s="208" t="n"/>
      <c r="NK32" s="208" t="n"/>
      <c r="NL32" s="208" t="n"/>
      <c r="NM32" s="208" t="n"/>
      <c r="NN32" s="208" t="n"/>
      <c r="NO32" s="208" t="n"/>
      <c r="NP32" s="208" t="n"/>
      <c r="NQ32" s="208" t="n"/>
      <c r="NR32" s="208" t="n"/>
      <c r="NS32" s="208" t="n"/>
      <c r="NT32" s="208" t="n"/>
      <c r="NU32" s="208" t="n"/>
      <c r="NV32" s="208" t="n"/>
      <c r="NW32" s="208" t="n"/>
      <c r="NX32" s="208" t="n"/>
      <c r="NY32" s="208" t="n"/>
      <c r="NZ32" s="208" t="n"/>
      <c r="OA32" s="208" t="n"/>
      <c r="OB32" s="208" t="n"/>
      <c r="OC32" s="208" t="n"/>
      <c r="OD32" s="208" t="n"/>
      <c r="OE32" s="208" t="n"/>
      <c r="OF32" s="208" t="n"/>
      <c r="OG32" s="208" t="n"/>
      <c r="OH32" s="208" t="n"/>
      <c r="OI32" s="208" t="n"/>
      <c r="OJ32" s="208" t="n"/>
      <c r="OK32" s="208" t="n"/>
      <c r="OL32" s="208" t="n"/>
      <c r="OM32" s="208" t="n"/>
      <c r="ON32" s="208" t="n"/>
      <c r="OO32" s="208" t="n"/>
      <c r="OP32" s="208" t="n"/>
      <c r="OQ32" s="208" t="n"/>
      <c r="OR32" s="208" t="n"/>
      <c r="OS32" s="208" t="n"/>
      <c r="OT32" s="208" t="n"/>
      <c r="OU32" s="208" t="n"/>
      <c r="OV32" s="208" t="n"/>
      <c r="OW32" s="208" t="n"/>
      <c r="OX32" s="208" t="n"/>
      <c r="OY32" s="208" t="n"/>
      <c r="OZ32" s="208" t="n"/>
      <c r="PA32" s="208" t="n"/>
      <c r="PB32" s="208" t="n"/>
      <c r="PC32" s="208" t="n"/>
      <c r="PD32" s="208" t="n"/>
      <c r="PE32" s="208" t="n"/>
      <c r="PF32" s="208" t="n"/>
      <c r="PG32" s="208" t="n"/>
      <c r="PH32" s="208" t="n"/>
      <c r="PI32" s="208" t="n"/>
      <c r="PJ32" s="208" t="n"/>
      <c r="PK32" s="208" t="n"/>
      <c r="PL32" s="208" t="n"/>
      <c r="PM32" s="208" t="n"/>
      <c r="PN32" s="208" t="n"/>
      <c r="PO32" s="208" t="n"/>
      <c r="PP32" s="208" t="n"/>
      <c r="PQ32" s="208" t="n"/>
      <c r="PR32" s="208" t="n"/>
      <c r="PS32" s="208" t="n"/>
      <c r="PT32" s="208" t="n"/>
      <c r="PU32" s="208" t="n"/>
      <c r="PV32" s="208" t="n"/>
      <c r="PW32" s="208" t="n"/>
      <c r="PX32" s="208" t="n"/>
      <c r="PY32" s="208" t="n"/>
      <c r="PZ32" s="208" t="n"/>
      <c r="QA32" s="208" t="n"/>
      <c r="QB32" s="208" t="n"/>
      <c r="QC32" s="208" t="n"/>
      <c r="QD32" s="208" t="n"/>
      <c r="QE32" s="208" t="n"/>
      <c r="QF32" s="208" t="n"/>
      <c r="QG32" s="208" t="n"/>
      <c r="QH32" s="208" t="n"/>
      <c r="QI32" s="208" t="n"/>
      <c r="QJ32" s="208" t="n"/>
      <c r="QK32" s="208" t="n"/>
      <c r="QL32" s="208" t="n"/>
      <c r="QM32" s="208" t="n"/>
      <c r="QN32" s="208" t="n"/>
      <c r="QO32" s="208" t="n"/>
      <c r="QP32" s="208" t="n"/>
      <c r="QQ32" s="208" t="n"/>
      <c r="QR32" s="208" t="n"/>
      <c r="QS32" s="208" t="n"/>
      <c r="QT32" s="208" t="n"/>
      <c r="QU32" s="208" t="n"/>
      <c r="QV32" s="208" t="n"/>
      <c r="QW32" s="208" t="n"/>
      <c r="QX32" s="208" t="n"/>
      <c r="QY32" s="208" t="n"/>
      <c r="QZ32" s="208" t="n"/>
      <c r="RA32" s="208" t="n"/>
      <c r="RB32" s="208" t="n"/>
      <c r="RC32" s="208" t="n"/>
      <c r="RD32" s="208" t="n"/>
      <c r="RE32" s="208" t="n"/>
      <c r="RF32" s="208" t="n"/>
      <c r="RG32" s="208" t="n"/>
      <c r="RH32" s="208" t="n"/>
      <c r="RI32" s="208" t="n"/>
      <c r="RJ32" s="208" t="n"/>
      <c r="RK32" s="208" t="n"/>
      <c r="RL32" s="208" t="n"/>
      <c r="RM32" s="208" t="n"/>
      <c r="RN32" s="208" t="n"/>
      <c r="RO32" s="208" t="n"/>
      <c r="RP32" s="208" t="n"/>
      <c r="RQ32" s="208" t="n"/>
      <c r="RR32" s="208" t="n"/>
      <c r="RS32" s="208" t="n"/>
      <c r="RT32" s="208" t="n"/>
      <c r="RU32" s="208" t="n"/>
      <c r="RV32" s="208" t="n"/>
      <c r="RW32" s="208" t="n"/>
      <c r="RX32" s="208" t="n"/>
      <c r="RY32" s="208" t="n"/>
      <c r="RZ32" s="208" t="n"/>
      <c r="SA32" s="208" t="n"/>
      <c r="SB32" s="208" t="n"/>
      <c r="SC32" s="208" t="n"/>
      <c r="SD32" s="208" t="n"/>
      <c r="SE32" s="208" t="n"/>
      <c r="SF32" s="208" t="n"/>
      <c r="SG32" s="208" t="n"/>
      <c r="SH32" s="208" t="n"/>
      <c r="SI32" s="208" t="n"/>
      <c r="SJ32" s="208" t="n"/>
      <c r="SK32" s="208" t="n"/>
      <c r="SL32" s="208" t="n"/>
      <c r="SM32" s="208" t="n"/>
      <c r="SN32" s="208" t="n"/>
      <c r="SO32" s="208" t="n"/>
      <c r="SP32" s="208" t="n"/>
      <c r="SQ32" s="208" t="n"/>
      <c r="SR32" s="208" t="n"/>
      <c r="SS32" s="208" t="n"/>
      <c r="ST32" s="208" t="n"/>
      <c r="SU32" s="208" t="n"/>
      <c r="SV32" s="208" t="n"/>
    </row>
    <row r="33">
      <c r="B33" s="209" t="n">
        <v>1</v>
      </c>
      <c r="C33" s="209" t="inlineStr">
        <is>
          <t>Wabtec</t>
        </is>
      </c>
      <c r="D33" s="209" t="inlineStr">
        <is>
          <t>Stephen</t>
        </is>
      </c>
      <c r="E33" s="209" t="inlineStr">
        <is>
          <t>Anthony</t>
        </is>
      </c>
      <c r="F33" s="209">
        <f>IF(TRIM(D33&amp;E33)="","",TRIM(D33)&amp;" "&amp;TRIM(E33))</f>
        <v/>
      </c>
      <c r="G33" s="209" t="inlineStr">
        <is>
          <t>Perth</t>
        </is>
      </c>
      <c r="H33" s="209" t="inlineStr">
        <is>
          <t>Supervisor Electrical  - Non Stat - WHS</t>
        </is>
      </c>
      <c r="I33" s="209" t="inlineStr">
        <is>
          <t>YES</t>
        </is>
      </c>
      <c r="J33" s="209" t="inlineStr">
        <is>
          <t>YES</t>
        </is>
      </c>
      <c r="K33" s="209" t="inlineStr">
        <is>
          <t>YES</t>
        </is>
      </c>
      <c r="L33" s="209" t="inlineStr">
        <is>
          <t>YES</t>
        </is>
      </c>
      <c r="M33" s="209" t="inlineStr">
        <is>
          <t>Quals Complete</t>
        </is>
      </c>
      <c r="N33" s="209" t="inlineStr">
        <is>
          <t>stephen.anthony@wabtec.com</t>
        </is>
      </c>
      <c r="O33" s="209" t="inlineStr">
        <is>
          <t>0452 420 446</t>
        </is>
      </c>
      <c r="P33" s="209" t="n">
        <v>783046</v>
      </c>
      <c r="Q33" s="209" t="n">
        <v>409664</v>
      </c>
      <c r="R33" s="209" t="inlineStr">
        <is>
          <t>2:1</t>
        </is>
      </c>
      <c r="S33" s="210" t="inlineStr">
        <is>
          <t>N/A</t>
        </is>
      </c>
      <c r="T33" s="210" t="inlineStr">
        <is>
          <t>N/A</t>
        </is>
      </c>
      <c r="U33" s="210" t="inlineStr">
        <is>
          <t>N/A</t>
        </is>
      </c>
      <c r="V33" s="210" t="inlineStr">
        <is>
          <t>N/A</t>
        </is>
      </c>
      <c r="W33" s="222" t="inlineStr">
        <is>
          <t>RnR</t>
        </is>
      </c>
      <c r="X33" s="222" t="inlineStr">
        <is>
          <t>RnR</t>
        </is>
      </c>
      <c r="Y33" s="222" t="inlineStr">
        <is>
          <t>RnR</t>
        </is>
      </c>
      <c r="Z33" s="210" t="inlineStr">
        <is>
          <t>N/A</t>
        </is>
      </c>
      <c r="AA33" s="210" t="inlineStr">
        <is>
          <t>N/A</t>
        </is>
      </c>
      <c r="AB33" s="210" t="inlineStr">
        <is>
          <t>N/A</t>
        </is>
      </c>
      <c r="AC33" s="210" t="inlineStr">
        <is>
          <t>N/A</t>
        </is>
      </c>
      <c r="AD33" s="210" t="inlineStr">
        <is>
          <t>N/A</t>
        </is>
      </c>
      <c r="AE33" s="210" t="inlineStr">
        <is>
          <t>N/A</t>
        </is>
      </c>
      <c r="AF33" s="210" t="inlineStr">
        <is>
          <t>N/A</t>
        </is>
      </c>
      <c r="AG33" s="210" t="inlineStr">
        <is>
          <t>N/A</t>
        </is>
      </c>
      <c r="AH33" s="210" t="inlineStr">
        <is>
          <t>N/A</t>
        </is>
      </c>
      <c r="AI33" s="210" t="inlineStr">
        <is>
          <t>N/A</t>
        </is>
      </c>
      <c r="AJ33" s="210" t="inlineStr">
        <is>
          <t>N/A</t>
        </is>
      </c>
      <c r="AK33" s="210" t="inlineStr">
        <is>
          <t>N/A</t>
        </is>
      </c>
      <c r="AL33" s="211" t="inlineStr">
        <is>
          <t>PER/PHE PM
LND</t>
        </is>
      </c>
      <c r="AM33" s="211" t="inlineStr">
        <is>
          <t>LND</t>
        </is>
      </c>
      <c r="AN33" s="211" t="inlineStr">
        <is>
          <t>LND</t>
        </is>
      </c>
      <c r="AO33" s="211" t="inlineStr">
        <is>
          <t>LND</t>
        </is>
      </c>
      <c r="AP33" s="211" t="inlineStr">
        <is>
          <t>LND</t>
        </is>
      </c>
      <c r="AQ33" s="211" t="inlineStr">
        <is>
          <t>LND</t>
        </is>
      </c>
      <c r="AR33" s="211" t="inlineStr">
        <is>
          <t>LND</t>
        </is>
      </c>
      <c r="AS33" s="211" t="inlineStr">
        <is>
          <t>LND</t>
        </is>
      </c>
      <c r="AT33" s="211" t="inlineStr">
        <is>
          <t>LND</t>
        </is>
      </c>
      <c r="AU33" s="211" t="inlineStr">
        <is>
          <t>LND</t>
        </is>
      </c>
      <c r="AV33" s="211" t="inlineStr">
        <is>
          <t>LND</t>
        </is>
      </c>
      <c r="AW33" s="211" t="inlineStr">
        <is>
          <t>LND</t>
        </is>
      </c>
      <c r="AX33" s="211" t="inlineStr">
        <is>
          <t>LND</t>
        </is>
      </c>
      <c r="AY33" s="211" t="inlineStr">
        <is>
          <t>PHE/PER PM</t>
        </is>
      </c>
      <c r="AZ33" s="210" t="inlineStr">
        <is>
          <t>N/A</t>
        </is>
      </c>
      <c r="BA33" s="210" t="inlineStr">
        <is>
          <t>N/A</t>
        </is>
      </c>
      <c r="BB33" s="210" t="inlineStr">
        <is>
          <t>N/A</t>
        </is>
      </c>
      <c r="BC33" s="210" t="inlineStr">
        <is>
          <t>N/A</t>
        </is>
      </c>
      <c r="BD33" s="210" t="inlineStr">
        <is>
          <t>N/A</t>
        </is>
      </c>
      <c r="BE33" s="210" t="inlineStr">
        <is>
          <t>N/A</t>
        </is>
      </c>
      <c r="BF33" s="211" t="inlineStr">
        <is>
          <t>PER/PHE PM
LND</t>
        </is>
      </c>
      <c r="BG33" s="211" t="inlineStr">
        <is>
          <t>RDM</t>
        </is>
      </c>
      <c r="BH33" s="211" t="inlineStr">
        <is>
          <t>RDM</t>
        </is>
      </c>
      <c r="BI33" s="211" t="inlineStr">
        <is>
          <t>RDM</t>
        </is>
      </c>
      <c r="BJ33" s="211" t="inlineStr">
        <is>
          <t>RDM</t>
        </is>
      </c>
      <c r="BK33" s="211" t="inlineStr">
        <is>
          <t>RDM</t>
        </is>
      </c>
      <c r="BL33" s="211" t="inlineStr">
        <is>
          <t>RDM</t>
        </is>
      </c>
      <c r="BM33" s="211" t="inlineStr">
        <is>
          <t>RDM</t>
        </is>
      </c>
      <c r="BN33" s="211" t="inlineStr">
        <is>
          <t>RDM</t>
        </is>
      </c>
      <c r="BO33" s="211" t="inlineStr">
        <is>
          <t>RDM</t>
        </is>
      </c>
      <c r="BP33" s="211" t="inlineStr">
        <is>
          <t>RDM</t>
        </is>
      </c>
      <c r="BQ33" s="211" t="inlineStr">
        <is>
          <t>RDM</t>
        </is>
      </c>
      <c r="BR33" s="211" t="inlineStr">
        <is>
          <t>RDM</t>
        </is>
      </c>
      <c r="BS33" s="211" t="inlineStr">
        <is>
          <t>RDM</t>
        </is>
      </c>
      <c r="BT33" s="211" t="inlineStr">
        <is>
          <t>PHE/PER PM</t>
        </is>
      </c>
      <c r="BU33" s="222" t="inlineStr">
        <is>
          <t>RnR</t>
        </is>
      </c>
      <c r="BV33" s="222" t="inlineStr">
        <is>
          <t>RnR</t>
        </is>
      </c>
      <c r="BW33" s="222" t="inlineStr">
        <is>
          <t>RnR</t>
        </is>
      </c>
      <c r="BX33" s="222" t="inlineStr">
        <is>
          <t>RnR</t>
        </is>
      </c>
      <c r="BY33" s="222" t="inlineStr">
        <is>
          <t>RnR</t>
        </is>
      </c>
      <c r="BZ33" s="222" t="inlineStr">
        <is>
          <t>RnR</t>
        </is>
      </c>
      <c r="CA33" s="211" t="inlineStr">
        <is>
          <t>PER/PHE PM
LND</t>
        </is>
      </c>
      <c r="CB33" s="215" t="inlineStr">
        <is>
          <t>WRR</t>
        </is>
      </c>
      <c r="CC33" s="215" t="inlineStr">
        <is>
          <t>WRR</t>
        </is>
      </c>
      <c r="CD33" s="215" t="inlineStr">
        <is>
          <t>WRR</t>
        </is>
      </c>
      <c r="CE33" s="215" t="inlineStr">
        <is>
          <t>WRR</t>
        </is>
      </c>
      <c r="CF33" s="215" t="inlineStr">
        <is>
          <t>WRR</t>
        </is>
      </c>
      <c r="CG33" s="215" t="inlineStr">
        <is>
          <t>WRR</t>
        </is>
      </c>
      <c r="CH33" s="215" t="inlineStr">
        <is>
          <t>WRR</t>
        </is>
      </c>
      <c r="CI33" s="210" t="inlineStr">
        <is>
          <t>WRR</t>
        </is>
      </c>
      <c r="CJ33" s="210" t="inlineStr">
        <is>
          <t>WRR</t>
        </is>
      </c>
      <c r="CK33" s="210" t="inlineStr">
        <is>
          <t>WRR</t>
        </is>
      </c>
      <c r="CL33" s="210" t="inlineStr">
        <is>
          <t>WRR</t>
        </is>
      </c>
      <c r="CM33" s="215" t="inlineStr">
        <is>
          <t>SPX</t>
        </is>
      </c>
      <c r="CN33" s="215" t="inlineStr">
        <is>
          <t>SPX</t>
        </is>
      </c>
      <c r="CO33" s="210" t="inlineStr">
        <is>
          <t>BYP/PER PM</t>
        </is>
      </c>
      <c r="CP33" s="210" t="inlineStr">
        <is>
          <t>N/A</t>
        </is>
      </c>
      <c r="CQ33" s="210" t="inlineStr">
        <is>
          <t>N/A</t>
        </is>
      </c>
      <c r="CR33" s="210" t="inlineStr">
        <is>
          <t>N/A</t>
        </is>
      </c>
      <c r="CS33" s="210" t="inlineStr">
        <is>
          <t>N/A</t>
        </is>
      </c>
      <c r="CT33" s="210" t="inlineStr">
        <is>
          <t>N/A</t>
        </is>
      </c>
      <c r="CU33" s="210" t="inlineStr">
        <is>
          <t>N/A</t>
        </is>
      </c>
      <c r="CV33" s="210" t="inlineStr">
        <is>
          <t>PER/BYP PM</t>
        </is>
      </c>
      <c r="CW33" s="210" t="inlineStr">
        <is>
          <t>SPX</t>
        </is>
      </c>
      <c r="CX33" s="210" t="inlineStr">
        <is>
          <t>SPX</t>
        </is>
      </c>
      <c r="CY33" s="210" t="inlineStr">
        <is>
          <t>SPX</t>
        </is>
      </c>
      <c r="CZ33" s="210" t="inlineStr">
        <is>
          <t>SPX</t>
        </is>
      </c>
      <c r="DA33" s="210" t="inlineStr">
        <is>
          <t>SPX</t>
        </is>
      </c>
      <c r="DB33" s="210" t="inlineStr">
        <is>
          <t>SPX</t>
        </is>
      </c>
      <c r="DC33" s="210" t="inlineStr">
        <is>
          <t>SPX</t>
        </is>
      </c>
      <c r="DD33" s="210" t="inlineStr">
        <is>
          <t>SPX</t>
        </is>
      </c>
      <c r="DE33" s="210" t="inlineStr">
        <is>
          <t>PHE/PER PM</t>
        </is>
      </c>
      <c r="DF33" s="217" t="inlineStr">
        <is>
          <t>DEMOB</t>
        </is>
      </c>
      <c r="DG33" s="210" t="inlineStr">
        <is>
          <t>N/A</t>
        </is>
      </c>
      <c r="DH33" s="210" t="inlineStr">
        <is>
          <t>N/A</t>
        </is>
      </c>
      <c r="DI33" s="210" t="inlineStr">
        <is>
          <t>N/A</t>
        </is>
      </c>
      <c r="DJ33" s="210" t="inlineStr">
        <is>
          <t>N/A</t>
        </is>
      </c>
      <c r="DK33" s="210" t="inlineStr">
        <is>
          <t>N/A</t>
        </is>
      </c>
      <c r="DL33" s="210" t="inlineStr">
        <is>
          <t>N/A</t>
        </is>
      </c>
      <c r="DM33" s="210" t="inlineStr">
        <is>
          <t>N/A</t>
        </is>
      </c>
      <c r="DN33" s="210" t="inlineStr">
        <is>
          <t>N/A</t>
        </is>
      </c>
      <c r="DO33" s="210" t="inlineStr">
        <is>
          <t>N/A</t>
        </is>
      </c>
      <c r="DP33" s="210" t="inlineStr">
        <is>
          <t>N/A</t>
        </is>
      </c>
      <c r="DQ33" s="210" t="inlineStr">
        <is>
          <t>N/A</t>
        </is>
      </c>
      <c r="DR33" s="212" t="n"/>
      <c r="DS33" s="212" t="n"/>
      <c r="DT33" s="212" t="n"/>
      <c r="DU33" s="212" t="n"/>
      <c r="DV33" s="212" t="n"/>
      <c r="DW33" s="212" t="n"/>
      <c r="DX33" s="212" t="n"/>
      <c r="DY33" s="212" t="n"/>
      <c r="DZ33" s="212" t="n"/>
      <c r="EA33" s="212" t="n"/>
      <c r="EB33" s="212" t="n"/>
      <c r="EC33" s="212" t="n"/>
      <c r="ED33" s="212" t="n"/>
      <c r="EE33" s="212" t="n"/>
      <c r="EF33" s="212" t="n"/>
      <c r="EG33" s="212" t="n"/>
      <c r="EH33" s="212" t="n"/>
      <c r="EI33" s="212" t="n"/>
      <c r="EJ33" s="212" t="n"/>
      <c r="EK33" s="212" t="n"/>
      <c r="EL33" s="212" t="n"/>
      <c r="EM33" s="212" t="n"/>
      <c r="EN33" s="212" t="n"/>
      <c r="EO33" s="212" t="n"/>
      <c r="EP33" s="212" t="n"/>
      <c r="EQ33" s="212" t="n"/>
      <c r="ER33" s="212" t="n"/>
      <c r="ES33" s="212" t="n"/>
      <c r="ET33" s="212" t="n"/>
      <c r="EU33" s="212" t="n"/>
      <c r="EV33" s="212" t="n"/>
      <c r="EW33" s="212" t="n"/>
      <c r="EX33" s="212" t="n"/>
      <c r="EY33" s="212" t="n"/>
      <c r="EZ33" s="212" t="n"/>
      <c r="FA33" s="212" t="n"/>
      <c r="FB33" s="212" t="n"/>
      <c r="FC33" s="212" t="n"/>
      <c r="FD33" s="212" t="n"/>
      <c r="FE33" s="212" t="n"/>
      <c r="FF33" s="212" t="n"/>
      <c r="FG33" s="212" t="n"/>
      <c r="FH33" s="212" t="n"/>
      <c r="FI33" s="212" t="n"/>
      <c r="FJ33" s="212" t="n"/>
      <c r="FK33" s="212" t="n"/>
      <c r="FL33" s="212" t="n"/>
      <c r="FM33" s="212" t="n"/>
      <c r="FN33" s="212" t="n"/>
      <c r="FO33" s="212" t="n"/>
      <c r="FP33" s="212" t="n"/>
      <c r="FQ33" s="212" t="n"/>
      <c r="FR33" s="212" t="n"/>
      <c r="FS33" s="212" t="n"/>
      <c r="FT33" s="212" t="n"/>
      <c r="FU33" s="212" t="n"/>
      <c r="FV33" s="212" t="n"/>
      <c r="FW33" s="212" t="n"/>
      <c r="FX33" s="212" t="n"/>
      <c r="FY33" s="212" t="n"/>
      <c r="FZ33" s="212" t="n"/>
      <c r="GA33" s="212" t="n"/>
      <c r="GB33" s="212" t="n"/>
      <c r="GC33" s="212" t="n"/>
      <c r="GD33" s="212" t="n"/>
      <c r="GE33" s="212" t="n"/>
      <c r="GF33" s="212" t="n"/>
      <c r="GG33" s="212" t="n"/>
      <c r="GH33" s="212" t="n"/>
      <c r="GI33" s="212" t="n"/>
      <c r="GJ33" s="212" t="n"/>
      <c r="GK33" s="212" t="n"/>
      <c r="GL33" s="212" t="n"/>
      <c r="GM33" s="212" t="n"/>
      <c r="GN33" s="212" t="n"/>
      <c r="GO33" s="212" t="n"/>
      <c r="GP33" s="212" t="n"/>
      <c r="GQ33" s="212" t="n"/>
      <c r="GR33" s="212" t="n"/>
      <c r="GS33" s="212" t="n"/>
      <c r="GT33" s="212" t="n"/>
      <c r="GU33" s="212" t="n"/>
      <c r="GV33" s="212" t="n"/>
      <c r="GW33" s="212" t="n"/>
      <c r="GX33" s="212" t="n"/>
      <c r="GY33" s="212" t="n"/>
      <c r="GZ33" s="212" t="n"/>
      <c r="HA33" s="212" t="n"/>
      <c r="HB33" s="212" t="n"/>
      <c r="HC33" s="212" t="n"/>
      <c r="HD33" s="212" t="n"/>
      <c r="HE33" s="212" t="n"/>
      <c r="HF33" s="212" t="n"/>
      <c r="HG33" s="212" t="n"/>
      <c r="HH33" s="212" t="n"/>
      <c r="HI33" s="212" t="n"/>
      <c r="HJ33" s="212" t="n"/>
      <c r="HK33" s="212" t="n"/>
      <c r="HL33" s="212" t="n"/>
      <c r="HM33" s="212" t="n"/>
      <c r="HN33" s="212" t="n"/>
      <c r="HO33" s="212" t="n"/>
      <c r="HP33" s="212" t="n"/>
      <c r="HQ33" s="212" t="n"/>
      <c r="HR33" s="212" t="n"/>
      <c r="HS33" s="212" t="n"/>
      <c r="HT33" s="212" t="n"/>
      <c r="HU33" s="212" t="n"/>
      <c r="HV33" s="212" t="n"/>
      <c r="HW33" s="212" t="n"/>
      <c r="HX33" s="212" t="n"/>
      <c r="HY33" s="212" t="n"/>
      <c r="HZ33" s="212" t="n"/>
      <c r="IA33" s="212" t="n"/>
      <c r="IB33" s="212" t="n"/>
      <c r="IC33" s="212" t="n"/>
      <c r="ID33" s="212" t="n"/>
      <c r="IE33" s="212" t="n"/>
      <c r="IF33" s="212" t="n"/>
      <c r="IG33" s="212" t="n"/>
      <c r="IH33" s="212" t="n"/>
      <c r="II33" s="212" t="n"/>
      <c r="IJ33" s="212" t="n"/>
      <c r="IK33" s="212" t="n"/>
      <c r="IL33" s="212" t="n"/>
      <c r="IM33" s="212" t="n"/>
      <c r="IN33" s="212" t="n"/>
      <c r="IO33" s="212" t="n"/>
      <c r="IP33" s="212" t="n"/>
      <c r="IQ33" s="212" t="n"/>
      <c r="IR33" s="212" t="n"/>
      <c r="IS33" s="212" t="n"/>
      <c r="IT33" s="212" t="n"/>
      <c r="IU33" s="212" t="n"/>
      <c r="IV33" s="212" t="n"/>
      <c r="IW33" s="212" t="n"/>
      <c r="IX33" s="212" t="n"/>
      <c r="IY33" s="212" t="n"/>
      <c r="IZ33" s="212" t="n"/>
      <c r="JA33" s="212" t="n"/>
      <c r="JB33" s="212" t="n"/>
      <c r="JC33" s="212" t="n"/>
      <c r="JD33" s="212" t="n"/>
      <c r="JE33" s="212" t="n"/>
      <c r="JF33" s="212" t="n"/>
      <c r="JG33" s="212" t="n"/>
      <c r="JH33" s="212" t="n"/>
      <c r="JI33" s="212" t="n"/>
      <c r="JJ33" s="212" t="n"/>
      <c r="JK33" s="212" t="n"/>
      <c r="JL33" s="212" t="n"/>
      <c r="JM33" s="212" t="n"/>
      <c r="JN33" s="212" t="n"/>
      <c r="JO33" s="212" t="n"/>
      <c r="JP33" s="212" t="n"/>
      <c r="JQ33" s="212" t="n"/>
      <c r="JR33" s="212" t="n"/>
      <c r="JS33" s="212" t="n"/>
      <c r="JT33" s="212" t="n"/>
      <c r="JU33" s="212" t="n"/>
      <c r="JV33" s="212" t="n"/>
      <c r="JW33" s="212" t="n"/>
      <c r="JX33" s="212" t="n"/>
      <c r="JY33" s="212" t="n"/>
      <c r="JZ33" s="212" t="n"/>
      <c r="KA33" s="212" t="n"/>
      <c r="KB33" s="212" t="n"/>
      <c r="KC33" s="212" t="n"/>
      <c r="KD33" s="212" t="n"/>
      <c r="KE33" s="212" t="n"/>
      <c r="KF33" s="212" t="n"/>
      <c r="KG33" s="212" t="n"/>
      <c r="KH33" s="212" t="n"/>
      <c r="KI33" s="212" t="n"/>
      <c r="KJ33" s="212" t="n"/>
      <c r="KK33" s="212" t="n"/>
      <c r="KL33" s="212" t="n"/>
      <c r="KM33" s="212" t="n"/>
      <c r="KN33" s="212" t="n"/>
      <c r="KO33" s="212" t="n"/>
      <c r="KP33" s="212" t="n"/>
      <c r="KQ33" s="212" t="n"/>
      <c r="KR33" s="212" t="n"/>
      <c r="KS33" s="212" t="n"/>
      <c r="KT33" s="212" t="n"/>
      <c r="KU33" s="212" t="n"/>
      <c r="KV33" s="212" t="n"/>
      <c r="KW33" s="212" t="n"/>
      <c r="KX33" s="212" t="n"/>
      <c r="KY33" s="212" t="n"/>
      <c r="KZ33" s="212" t="n"/>
      <c r="LA33" s="212" t="n"/>
      <c r="LB33" s="212" t="n"/>
      <c r="LC33" s="212" t="n"/>
      <c r="LD33" s="212" t="n"/>
      <c r="LE33" s="212" t="n"/>
      <c r="LF33" s="212" t="n"/>
      <c r="LG33" s="212" t="n"/>
      <c r="LH33" s="212" t="n"/>
      <c r="LI33" s="212" t="n"/>
      <c r="LJ33" s="212" t="n"/>
      <c r="LK33" s="212" t="n"/>
      <c r="LL33" s="212" t="n"/>
      <c r="LM33" s="212" t="n"/>
      <c r="LN33" s="212" t="n"/>
      <c r="LO33" s="212" t="n"/>
      <c r="LP33" s="212" t="n"/>
      <c r="LQ33" s="212" t="n"/>
      <c r="LR33" s="212" t="n"/>
      <c r="LS33" s="212" t="n"/>
      <c r="LT33" s="212" t="n"/>
      <c r="LU33" s="212" t="n"/>
      <c r="LV33" s="212" t="n"/>
      <c r="LW33" s="212" t="n"/>
      <c r="LX33" s="212" t="n"/>
      <c r="LY33" s="212" t="n"/>
      <c r="LZ33" s="212" t="n"/>
      <c r="MA33" s="212" t="n"/>
      <c r="MB33" s="212" t="n"/>
      <c r="MC33" s="212" t="n"/>
      <c r="MD33" s="212" t="n"/>
      <c r="ME33" s="212" t="n"/>
      <c r="MF33" s="212" t="n"/>
      <c r="MG33" s="212" t="n"/>
      <c r="MH33" s="212" t="n"/>
      <c r="MI33" s="212" t="n"/>
      <c r="MJ33" s="212" t="n"/>
      <c r="MK33" s="212" t="n"/>
      <c r="ML33" s="212" t="n"/>
      <c r="MM33" s="212" t="n"/>
      <c r="MN33" s="212" t="n"/>
      <c r="MO33" s="212" t="n"/>
      <c r="MP33" s="212" t="n"/>
      <c r="MQ33" s="212" t="n"/>
      <c r="MR33" s="212" t="n"/>
      <c r="MS33" s="212" t="n"/>
      <c r="MT33" s="212" t="n"/>
      <c r="MU33" s="212" t="n"/>
      <c r="MV33" s="212" t="n"/>
      <c r="MW33" s="212" t="n"/>
      <c r="MX33" s="212" t="n"/>
      <c r="MY33" s="212" t="n"/>
      <c r="MZ33" s="212" t="n"/>
      <c r="NA33" s="212" t="n"/>
      <c r="NB33" s="212" t="n"/>
      <c r="NC33" s="212" t="n"/>
      <c r="ND33" s="212" t="n"/>
      <c r="NE33" s="212" t="n"/>
      <c r="NF33" s="212" t="n"/>
      <c r="NG33" s="212" t="n"/>
      <c r="NH33" s="212" t="n"/>
      <c r="NI33" s="212" t="n"/>
      <c r="NJ33" s="212" t="n"/>
      <c r="NK33" s="212" t="n"/>
      <c r="NL33" s="212" t="n"/>
      <c r="NM33" s="212" t="n"/>
      <c r="NN33" s="212" t="n"/>
      <c r="NO33" s="212" t="n"/>
      <c r="NP33" s="212" t="n"/>
      <c r="NQ33" s="212" t="n"/>
      <c r="NR33" s="212" t="n"/>
      <c r="NS33" s="212" t="n"/>
      <c r="NT33" s="212" t="n"/>
      <c r="NU33" s="212" t="n"/>
      <c r="NV33" s="212" t="n"/>
      <c r="NW33" s="212" t="n"/>
      <c r="NX33" s="212" t="n"/>
      <c r="NY33" s="212" t="n"/>
      <c r="NZ33" s="212" t="n"/>
      <c r="OA33" s="212" t="n"/>
      <c r="OB33" s="212" t="n"/>
      <c r="OC33" s="212" t="n"/>
      <c r="OD33" s="212" t="n"/>
      <c r="OE33" s="212" t="n"/>
      <c r="OF33" s="212" t="n"/>
      <c r="OG33" s="212" t="n"/>
      <c r="OH33" s="212" t="n"/>
      <c r="OI33" s="212" t="n"/>
      <c r="OJ33" s="212" t="n"/>
      <c r="OK33" s="212" t="n"/>
      <c r="OL33" s="212" t="n"/>
      <c r="OM33" s="212" t="n"/>
      <c r="ON33" s="212" t="n"/>
      <c r="OO33" s="212" t="n"/>
      <c r="OP33" s="212" t="n"/>
      <c r="OQ33" s="212" t="n"/>
      <c r="OR33" s="212" t="n"/>
      <c r="OS33" s="212" t="n"/>
      <c r="OT33" s="212" t="n"/>
      <c r="OU33" s="212" t="n"/>
      <c r="OV33" s="212" t="n"/>
      <c r="OW33" s="212" t="n"/>
      <c r="OX33" s="212" t="n"/>
      <c r="OY33" s="212" t="n"/>
      <c r="OZ33" s="212" t="n"/>
      <c r="PA33" s="212" t="n"/>
      <c r="PB33" s="212" t="n"/>
      <c r="PC33" s="212" t="n"/>
      <c r="PD33" s="212" t="n"/>
      <c r="PE33" s="212" t="n"/>
      <c r="PF33" s="212" t="n"/>
      <c r="PG33" s="212" t="n"/>
      <c r="PH33" s="212" t="n"/>
      <c r="PI33" s="212" t="n"/>
      <c r="PJ33" s="212" t="n"/>
      <c r="PK33" s="212" t="n"/>
      <c r="PL33" s="212" t="n"/>
      <c r="PM33" s="212" t="n"/>
      <c r="PN33" s="212" t="n"/>
      <c r="PO33" s="212" t="n"/>
      <c r="PP33" s="212" t="n"/>
      <c r="PQ33" s="212" t="n"/>
      <c r="PR33" s="212" t="n"/>
      <c r="PS33" s="212" t="n"/>
      <c r="PT33" s="212" t="n"/>
      <c r="PU33" s="212" t="n"/>
      <c r="PV33" s="212" t="n"/>
      <c r="PW33" s="212" t="n"/>
      <c r="PX33" s="212" t="n"/>
      <c r="PY33" s="212" t="n"/>
      <c r="PZ33" s="212" t="n"/>
      <c r="QA33" s="212" t="n"/>
      <c r="QB33" s="212" t="n"/>
      <c r="QC33" s="212" t="n"/>
      <c r="QD33" s="212" t="n"/>
      <c r="QE33" s="212" t="n"/>
      <c r="QF33" s="212" t="n"/>
      <c r="QG33" s="212" t="n"/>
      <c r="QH33" s="212" t="n"/>
      <c r="QI33" s="212" t="n"/>
      <c r="QJ33" s="212" t="n"/>
      <c r="QK33" s="212" t="n"/>
      <c r="QL33" s="212" t="n"/>
      <c r="QM33" s="212" t="n"/>
      <c r="QN33" s="212" t="n"/>
      <c r="QO33" s="212" t="n"/>
      <c r="QP33" s="212" t="n"/>
      <c r="QQ33" s="212" t="n"/>
      <c r="QR33" s="212" t="n"/>
      <c r="QS33" s="212" t="n"/>
      <c r="QT33" s="212" t="n"/>
      <c r="QU33" s="212" t="n"/>
      <c r="QV33" s="212" t="n"/>
      <c r="QW33" s="212" t="n"/>
      <c r="QX33" s="212" t="n"/>
      <c r="QY33" s="212" t="n"/>
      <c r="QZ33" s="212" t="n"/>
      <c r="RA33" s="212" t="n"/>
      <c r="RB33" s="212" t="n"/>
      <c r="RC33" s="212" t="n"/>
      <c r="RD33" s="212" t="n"/>
      <c r="RE33" s="212" t="n"/>
      <c r="RF33" s="212" t="n"/>
      <c r="RG33" s="212" t="n"/>
      <c r="RH33" s="212" t="n"/>
      <c r="RI33" s="212" t="n"/>
      <c r="RJ33" s="212" t="n"/>
      <c r="RK33" s="212" t="n"/>
      <c r="RL33" s="212" t="n"/>
      <c r="RM33" s="212" t="n"/>
      <c r="RN33" s="212" t="n"/>
      <c r="RO33" s="212" t="n"/>
      <c r="RP33" s="212" t="n"/>
      <c r="RQ33" s="212" t="n"/>
      <c r="RR33" s="212" t="n"/>
      <c r="RS33" s="212" t="n"/>
      <c r="RT33" s="212" t="n"/>
      <c r="RU33" s="212" t="n"/>
      <c r="RV33" s="212" t="n"/>
      <c r="RW33" s="212" t="n"/>
      <c r="RX33" s="212" t="n"/>
      <c r="RY33" s="212" t="n"/>
      <c r="RZ33" s="212" t="n"/>
      <c r="SA33" s="212" t="n"/>
      <c r="SB33" s="212" t="n"/>
      <c r="SC33" s="212" t="n"/>
      <c r="SD33" s="212" t="n"/>
      <c r="SE33" s="212" t="n"/>
      <c r="SF33" s="212" t="n"/>
      <c r="SG33" s="212" t="n"/>
      <c r="SH33" s="212" t="n"/>
      <c r="SI33" s="212" t="n"/>
      <c r="SJ33" s="212" t="n"/>
      <c r="SK33" s="212" t="n"/>
      <c r="SL33" s="212" t="n"/>
      <c r="SM33" s="212" t="n"/>
      <c r="SN33" s="212" t="n"/>
      <c r="SO33" s="212" t="n"/>
      <c r="SP33" s="212" t="n"/>
      <c r="SQ33" s="212" t="n"/>
      <c r="SR33" s="212" t="n"/>
      <c r="SS33" s="212" t="n"/>
      <c r="ST33" s="212" t="n"/>
      <c r="SU33" s="212" t="n"/>
      <c r="SV33" s="212" t="n"/>
    </row>
    <row r="34">
      <c r="B34" s="209" t="n">
        <v>2</v>
      </c>
      <c r="C34" s="209" t="inlineStr">
        <is>
          <t>Wabtec</t>
        </is>
      </c>
      <c r="D34" s="209" t="inlineStr">
        <is>
          <t>Joseph</t>
        </is>
      </c>
      <c r="E34" s="209" t="inlineStr">
        <is>
          <t>Parker</t>
        </is>
      </c>
      <c r="F34" s="209">
        <f>IF(TRIM(D34&amp;E34)="","",TRIM(D34)&amp;" "&amp;TRIM(E34))</f>
        <v/>
      </c>
      <c r="G34" s="209" t="inlineStr">
        <is>
          <t>Perth</t>
        </is>
      </c>
      <c r="H34" s="209" t="inlineStr">
        <is>
          <t>Cert IV (filling in for James VANN's Annual Leave)</t>
        </is>
      </c>
      <c r="I34" s="209" t="inlineStr">
        <is>
          <t>YES</t>
        </is>
      </c>
      <c r="J34" s="209" t="inlineStr">
        <is>
          <t>YES</t>
        </is>
      </c>
      <c r="K34" s="209" t="inlineStr">
        <is>
          <t>YES</t>
        </is>
      </c>
      <c r="L34" s="209" t="inlineStr">
        <is>
          <t>YES</t>
        </is>
      </c>
      <c r="M34" s="209" t="inlineStr">
        <is>
          <t>Quals Complete</t>
        </is>
      </c>
      <c r="N34" s="209" t="inlineStr">
        <is>
          <t>jsparker89@gmail.com</t>
        </is>
      </c>
      <c r="O34" s="209" t="inlineStr">
        <is>
          <t>0499 278 877</t>
        </is>
      </c>
      <c r="P34" s="209" t="n">
        <v>863534</v>
      </c>
      <c r="Q34" s="209" t="n">
        <v>467138</v>
      </c>
      <c r="R34" s="209" t="inlineStr">
        <is>
          <t>2:1</t>
        </is>
      </c>
      <c r="S34" s="210" t="inlineStr">
        <is>
          <t>N/A</t>
        </is>
      </c>
      <c r="T34" s="210" t="inlineStr">
        <is>
          <t>N/A</t>
        </is>
      </c>
      <c r="U34" s="210" t="inlineStr">
        <is>
          <t>N/A</t>
        </is>
      </c>
      <c r="V34" s="210" t="inlineStr">
        <is>
          <t>N/A</t>
        </is>
      </c>
      <c r="W34" s="210" t="inlineStr">
        <is>
          <t>N/A</t>
        </is>
      </c>
      <c r="X34" s="210" t="inlineStr">
        <is>
          <t>N/A</t>
        </is>
      </c>
      <c r="Y34" s="210" t="inlineStr">
        <is>
          <t>N/A</t>
        </is>
      </c>
      <c r="Z34" s="210" t="inlineStr">
        <is>
          <t>N/A</t>
        </is>
      </c>
      <c r="AA34" s="210" t="inlineStr">
        <is>
          <t>N/A</t>
        </is>
      </c>
      <c r="AB34" s="210" t="inlineStr">
        <is>
          <t>N/A</t>
        </is>
      </c>
      <c r="AC34" s="210" t="inlineStr">
        <is>
          <t>N/A</t>
        </is>
      </c>
      <c r="AD34" s="210" t="inlineStr">
        <is>
          <t>N/A</t>
        </is>
      </c>
      <c r="AE34" s="210" t="inlineStr">
        <is>
          <t>N/A</t>
        </is>
      </c>
      <c r="AF34" s="210" t="inlineStr">
        <is>
          <t>N/A</t>
        </is>
      </c>
      <c r="AG34" s="210" t="inlineStr">
        <is>
          <t>N/A</t>
        </is>
      </c>
      <c r="AH34" s="210" t="inlineStr">
        <is>
          <t>N/A</t>
        </is>
      </c>
      <c r="AI34" s="210" t="inlineStr">
        <is>
          <t>N/A</t>
        </is>
      </c>
      <c r="AJ34" s="210" t="inlineStr">
        <is>
          <t>N/A</t>
        </is>
      </c>
      <c r="AK34" s="210" t="inlineStr">
        <is>
          <t>N/A</t>
        </is>
      </c>
      <c r="AL34" s="210" t="inlineStr">
        <is>
          <t>N/A</t>
        </is>
      </c>
      <c r="AM34" s="210" t="inlineStr">
        <is>
          <t>N/A</t>
        </is>
      </c>
      <c r="AN34" s="210" t="inlineStr">
        <is>
          <t>N/A</t>
        </is>
      </c>
      <c r="AO34" s="210" t="inlineStr">
        <is>
          <t>N/A</t>
        </is>
      </c>
      <c r="AP34" s="210" t="inlineStr">
        <is>
          <t>N/A</t>
        </is>
      </c>
      <c r="AQ34" s="210" t="inlineStr">
        <is>
          <t>N/A</t>
        </is>
      </c>
      <c r="AR34" s="210" t="inlineStr">
        <is>
          <t>N/A</t>
        </is>
      </c>
      <c r="AS34" s="210" t="inlineStr">
        <is>
          <t>N/A</t>
        </is>
      </c>
      <c r="AT34" s="210" t="inlineStr">
        <is>
          <t>N/A</t>
        </is>
      </c>
      <c r="AU34" s="210" t="inlineStr">
        <is>
          <t>N/A</t>
        </is>
      </c>
      <c r="AV34" s="210" t="inlineStr">
        <is>
          <t>N/A</t>
        </is>
      </c>
      <c r="AW34" s="210" t="inlineStr">
        <is>
          <t>N/A</t>
        </is>
      </c>
      <c r="AX34" s="210" t="inlineStr">
        <is>
          <t>N/A</t>
        </is>
      </c>
      <c r="AY34" s="210" t="inlineStr">
        <is>
          <t>N/A</t>
        </is>
      </c>
      <c r="AZ34" s="210" t="inlineStr">
        <is>
          <t>N/A</t>
        </is>
      </c>
      <c r="BA34" s="210" t="inlineStr">
        <is>
          <t>N/A</t>
        </is>
      </c>
      <c r="BB34" s="210" t="inlineStr">
        <is>
          <t>N/A</t>
        </is>
      </c>
      <c r="BC34" s="210" t="inlineStr">
        <is>
          <t>N/A</t>
        </is>
      </c>
      <c r="BD34" s="210" t="inlineStr">
        <is>
          <t>N/A</t>
        </is>
      </c>
      <c r="BE34" s="210" t="inlineStr">
        <is>
          <t>N/A</t>
        </is>
      </c>
      <c r="BF34" s="211" t="inlineStr">
        <is>
          <t>SYD/PER
PER/PHE
LND</t>
        </is>
      </c>
      <c r="BG34" s="211" t="inlineStr">
        <is>
          <t>RDM</t>
        </is>
      </c>
      <c r="BH34" s="211" t="inlineStr">
        <is>
          <t>RDM</t>
        </is>
      </c>
      <c r="BI34" s="211" t="inlineStr">
        <is>
          <t>RDM</t>
        </is>
      </c>
      <c r="BJ34" s="211" t="inlineStr">
        <is>
          <t>RDM</t>
        </is>
      </c>
      <c r="BK34" s="211" t="inlineStr">
        <is>
          <t>RDM</t>
        </is>
      </c>
      <c r="BL34" s="211" t="inlineStr">
        <is>
          <t>RDM</t>
        </is>
      </c>
      <c r="BM34" s="211" t="inlineStr">
        <is>
          <t>RDM</t>
        </is>
      </c>
      <c r="BN34" s="211" t="inlineStr">
        <is>
          <t>RDM</t>
        </is>
      </c>
      <c r="BO34" s="211" t="inlineStr">
        <is>
          <t>RDM</t>
        </is>
      </c>
      <c r="BP34" s="211" t="inlineStr">
        <is>
          <t>RDM</t>
        </is>
      </c>
      <c r="BQ34" s="211" t="inlineStr">
        <is>
          <t>RDM</t>
        </is>
      </c>
      <c r="BR34" s="211" t="inlineStr">
        <is>
          <t>RDM</t>
        </is>
      </c>
      <c r="BS34" s="211" t="inlineStr">
        <is>
          <t>RDM</t>
        </is>
      </c>
      <c r="BT34" s="211" t="inlineStr">
        <is>
          <t>PHE/PER PM</t>
        </is>
      </c>
      <c r="BU34" s="222" t="inlineStr">
        <is>
          <t>RnR</t>
        </is>
      </c>
      <c r="BV34" s="222" t="inlineStr">
        <is>
          <t>RnR</t>
        </is>
      </c>
      <c r="BW34" s="222" t="inlineStr">
        <is>
          <t>RnR</t>
        </is>
      </c>
      <c r="BX34" s="222" t="inlineStr">
        <is>
          <t>RnR</t>
        </is>
      </c>
      <c r="BY34" s="222" t="inlineStr">
        <is>
          <t>RnR</t>
        </is>
      </c>
      <c r="BZ34" s="222" t="inlineStr">
        <is>
          <t>RnR</t>
        </is>
      </c>
      <c r="CA34" s="211" t="inlineStr">
        <is>
          <t>PER/PHE PM
LND</t>
        </is>
      </c>
      <c r="CB34" s="215" t="inlineStr">
        <is>
          <t>WRR</t>
        </is>
      </c>
      <c r="CC34" s="215" t="inlineStr">
        <is>
          <t>WRR</t>
        </is>
      </c>
      <c r="CD34" s="215" t="inlineStr">
        <is>
          <t>WRR</t>
        </is>
      </c>
      <c r="CE34" s="215" t="inlineStr">
        <is>
          <t>WRR</t>
        </is>
      </c>
      <c r="CF34" s="215" t="inlineStr">
        <is>
          <t>WRR</t>
        </is>
      </c>
      <c r="CG34" s="215" t="inlineStr">
        <is>
          <t>WRR</t>
        </is>
      </c>
      <c r="CH34" s="215" t="inlineStr">
        <is>
          <t>WRR</t>
        </is>
      </c>
      <c r="CI34" s="210" t="inlineStr">
        <is>
          <t>WRR</t>
        </is>
      </c>
      <c r="CJ34" s="210" t="inlineStr">
        <is>
          <t>WRR</t>
        </is>
      </c>
      <c r="CK34" s="210" t="inlineStr">
        <is>
          <t>WRR</t>
        </is>
      </c>
      <c r="CL34" s="210" t="inlineStr">
        <is>
          <t>WRR</t>
        </is>
      </c>
      <c r="CM34" s="215" t="inlineStr">
        <is>
          <t>SPX</t>
        </is>
      </c>
      <c r="CN34" s="215" t="inlineStr">
        <is>
          <t>SPX</t>
        </is>
      </c>
      <c r="CO34" s="210" t="inlineStr">
        <is>
          <t>BYP/PER PM</t>
        </is>
      </c>
      <c r="CP34" s="210" t="inlineStr">
        <is>
          <t>N/A</t>
        </is>
      </c>
      <c r="CQ34" s="210" t="inlineStr">
        <is>
          <t>N/A</t>
        </is>
      </c>
      <c r="CR34" s="210" t="inlineStr">
        <is>
          <t>N/A</t>
        </is>
      </c>
      <c r="CS34" s="210" t="inlineStr">
        <is>
          <t>N/A</t>
        </is>
      </c>
      <c r="CT34" s="210" t="inlineStr">
        <is>
          <t>N/A</t>
        </is>
      </c>
      <c r="CU34" s="210" t="inlineStr">
        <is>
          <t>N/A</t>
        </is>
      </c>
      <c r="CV34" s="210" t="inlineStr">
        <is>
          <t>PER/BYP PM</t>
        </is>
      </c>
      <c r="CW34" s="210" t="inlineStr">
        <is>
          <t>SPX</t>
        </is>
      </c>
      <c r="CX34" s="210" t="inlineStr">
        <is>
          <t>SPX</t>
        </is>
      </c>
      <c r="CY34" s="210" t="inlineStr">
        <is>
          <t>SPX</t>
        </is>
      </c>
      <c r="CZ34" s="210" t="inlineStr">
        <is>
          <t>SPX</t>
        </is>
      </c>
      <c r="DA34" s="210" t="inlineStr">
        <is>
          <t>SPX</t>
        </is>
      </c>
      <c r="DB34" s="210" t="inlineStr">
        <is>
          <t>SPX</t>
        </is>
      </c>
      <c r="DC34" s="210" t="inlineStr">
        <is>
          <t>SPX</t>
        </is>
      </c>
      <c r="DD34" s="210" t="inlineStr">
        <is>
          <t>SPX</t>
        </is>
      </c>
      <c r="DE34" s="210" t="inlineStr">
        <is>
          <t>PHE/PER PM</t>
        </is>
      </c>
      <c r="DF34" s="217" t="inlineStr">
        <is>
          <t>DEMOB</t>
        </is>
      </c>
      <c r="DG34" s="210" t="inlineStr">
        <is>
          <t>N/A</t>
        </is>
      </c>
      <c r="DH34" s="210" t="inlineStr">
        <is>
          <t>N/A</t>
        </is>
      </c>
      <c r="DI34" s="210" t="inlineStr">
        <is>
          <t>N/A</t>
        </is>
      </c>
      <c r="DJ34" s="210" t="inlineStr">
        <is>
          <t>N/A</t>
        </is>
      </c>
      <c r="DK34" s="210" t="inlineStr">
        <is>
          <t>N/A</t>
        </is>
      </c>
      <c r="DL34" s="210" t="inlineStr">
        <is>
          <t>N/A</t>
        </is>
      </c>
      <c r="DM34" s="210" t="inlineStr">
        <is>
          <t>N/A</t>
        </is>
      </c>
      <c r="DN34" s="210" t="inlineStr">
        <is>
          <t>N/A</t>
        </is>
      </c>
      <c r="DO34" s="210" t="inlineStr">
        <is>
          <t>N/A</t>
        </is>
      </c>
      <c r="DP34" s="210" t="inlineStr">
        <is>
          <t>N/A</t>
        </is>
      </c>
      <c r="DQ34" s="210" t="inlineStr">
        <is>
          <t>N/A</t>
        </is>
      </c>
      <c r="DR34" s="212" t="n"/>
      <c r="DS34" s="212" t="n"/>
      <c r="DT34" s="212" t="n"/>
      <c r="DU34" s="212" t="n"/>
      <c r="DV34" s="212" t="n"/>
      <c r="DW34" s="212" t="n"/>
      <c r="DX34" s="212" t="n"/>
      <c r="DY34" s="212" t="n"/>
      <c r="DZ34" s="212" t="n"/>
      <c r="EA34" s="212" t="n"/>
      <c r="EB34" s="212" t="n"/>
      <c r="EC34" s="212" t="n"/>
      <c r="ED34" s="212" t="n"/>
      <c r="EE34" s="212" t="n"/>
      <c r="EF34" s="212" t="n"/>
      <c r="EG34" s="212" t="n"/>
      <c r="EH34" s="212" t="n"/>
      <c r="EI34" s="212" t="n"/>
      <c r="EJ34" s="212" t="n"/>
      <c r="EK34" s="212" t="n"/>
      <c r="EL34" s="212" t="n"/>
      <c r="EM34" s="212" t="n"/>
      <c r="EN34" s="212" t="n"/>
      <c r="EO34" s="212" t="n"/>
      <c r="EP34" s="212" t="n"/>
      <c r="EQ34" s="212" t="n"/>
      <c r="ER34" s="212" t="n"/>
      <c r="ES34" s="212" t="n"/>
      <c r="ET34" s="212" t="n"/>
      <c r="EU34" s="212" t="n"/>
      <c r="EV34" s="212" t="n"/>
      <c r="EW34" s="212" t="n"/>
      <c r="EX34" s="212" t="n"/>
      <c r="EY34" s="212" t="n"/>
      <c r="EZ34" s="212" t="n"/>
      <c r="FA34" s="212" t="n"/>
      <c r="FB34" s="212" t="n"/>
      <c r="FC34" s="212" t="n"/>
      <c r="FD34" s="212" t="n"/>
      <c r="FE34" s="212" t="n"/>
      <c r="FF34" s="212" t="n"/>
      <c r="FG34" s="212" t="n"/>
      <c r="FH34" s="212" t="n"/>
      <c r="FI34" s="212" t="n"/>
      <c r="FJ34" s="212" t="n"/>
      <c r="FK34" s="212" t="n"/>
      <c r="FL34" s="212" t="n"/>
      <c r="FM34" s="212" t="n"/>
      <c r="FN34" s="212" t="n"/>
      <c r="FO34" s="212" t="n"/>
      <c r="FP34" s="212" t="n"/>
      <c r="FQ34" s="212" t="n"/>
      <c r="FR34" s="212" t="n"/>
      <c r="FS34" s="212" t="n"/>
      <c r="FT34" s="212" t="n"/>
      <c r="FU34" s="212" t="n"/>
      <c r="FV34" s="212" t="n"/>
      <c r="FW34" s="212" t="n"/>
      <c r="FX34" s="212" t="n"/>
      <c r="FY34" s="212" t="n"/>
      <c r="FZ34" s="212" t="n"/>
      <c r="GA34" s="212" t="n"/>
      <c r="GB34" s="212" t="n"/>
      <c r="GC34" s="212" t="n"/>
      <c r="GD34" s="212" t="n"/>
      <c r="GE34" s="212" t="n"/>
      <c r="GF34" s="212" t="n"/>
      <c r="GG34" s="212" t="n"/>
      <c r="GH34" s="212" t="n"/>
      <c r="GI34" s="212" t="n"/>
      <c r="GJ34" s="212" t="n"/>
      <c r="GK34" s="212" t="n"/>
      <c r="GL34" s="212" t="n"/>
      <c r="GM34" s="212" t="n"/>
      <c r="GN34" s="212" t="n"/>
      <c r="GO34" s="212" t="n"/>
      <c r="GP34" s="212" t="n"/>
      <c r="GQ34" s="212" t="n"/>
      <c r="GR34" s="212" t="n"/>
      <c r="GS34" s="212" t="n"/>
      <c r="GT34" s="212" t="n"/>
      <c r="GU34" s="212" t="n"/>
      <c r="GV34" s="212" t="n"/>
      <c r="GW34" s="212" t="n"/>
      <c r="GX34" s="212" t="n"/>
      <c r="GY34" s="212" t="n"/>
      <c r="GZ34" s="212" t="n"/>
      <c r="HA34" s="212" t="n"/>
      <c r="HB34" s="212" t="n"/>
      <c r="HC34" s="212" t="n"/>
      <c r="HD34" s="212" t="n"/>
      <c r="HE34" s="212" t="n"/>
      <c r="HF34" s="212" t="n"/>
      <c r="HG34" s="212" t="n"/>
      <c r="HH34" s="212" t="n"/>
      <c r="HI34" s="212" t="n"/>
      <c r="HJ34" s="212" t="n"/>
      <c r="HK34" s="212" t="n"/>
      <c r="HL34" s="212" t="n"/>
      <c r="HM34" s="212" t="n"/>
      <c r="HN34" s="212" t="n"/>
      <c r="HO34" s="212" t="n"/>
      <c r="HP34" s="212" t="n"/>
      <c r="HQ34" s="212" t="n"/>
      <c r="HR34" s="212" t="n"/>
      <c r="HS34" s="212" t="n"/>
      <c r="HT34" s="212" t="n"/>
      <c r="HU34" s="212" t="n"/>
      <c r="HV34" s="212" t="n"/>
      <c r="HW34" s="212" t="n"/>
      <c r="HX34" s="212" t="n"/>
      <c r="HY34" s="212" t="n"/>
      <c r="HZ34" s="212" t="n"/>
      <c r="IA34" s="212" t="n"/>
      <c r="IB34" s="212" t="n"/>
      <c r="IC34" s="212" t="n"/>
      <c r="ID34" s="212" t="n"/>
      <c r="IE34" s="212" t="n"/>
      <c r="IF34" s="212" t="n"/>
      <c r="IG34" s="212" t="n"/>
      <c r="IH34" s="212" t="n"/>
      <c r="II34" s="212" t="n"/>
      <c r="IJ34" s="212" t="n"/>
      <c r="IK34" s="212" t="n"/>
      <c r="IL34" s="212" t="n"/>
      <c r="IM34" s="212" t="n"/>
      <c r="IN34" s="212" t="n"/>
      <c r="IO34" s="212" t="n"/>
      <c r="IP34" s="212" t="n"/>
      <c r="IQ34" s="212" t="n"/>
      <c r="IR34" s="212" t="n"/>
      <c r="IS34" s="212" t="n"/>
      <c r="IT34" s="212" t="n"/>
      <c r="IU34" s="212" t="n"/>
      <c r="IV34" s="212" t="n"/>
      <c r="IW34" s="212" t="n"/>
      <c r="IX34" s="212" t="n"/>
      <c r="IY34" s="212" t="n"/>
      <c r="IZ34" s="212" t="n"/>
      <c r="JA34" s="212" t="n"/>
      <c r="JB34" s="212" t="n"/>
      <c r="JC34" s="212" t="n"/>
      <c r="JD34" s="212" t="n"/>
      <c r="JE34" s="212" t="n"/>
      <c r="JF34" s="212" t="n"/>
      <c r="JG34" s="212" t="n"/>
      <c r="JH34" s="212" t="n"/>
      <c r="JI34" s="212" t="n"/>
      <c r="JJ34" s="212" t="n"/>
      <c r="JK34" s="212" t="n"/>
      <c r="JL34" s="212" t="n"/>
      <c r="JM34" s="212" t="n"/>
      <c r="JN34" s="212" t="n"/>
      <c r="JO34" s="212" t="n"/>
      <c r="JP34" s="212" t="n"/>
      <c r="JQ34" s="212" t="n"/>
      <c r="JR34" s="212" t="n"/>
      <c r="JS34" s="212" t="n"/>
      <c r="JT34" s="212" t="n"/>
      <c r="JU34" s="212" t="n"/>
      <c r="JV34" s="212" t="n"/>
      <c r="JW34" s="212" t="n"/>
      <c r="JX34" s="212" t="n"/>
      <c r="JY34" s="212" t="n"/>
      <c r="JZ34" s="212" t="n"/>
      <c r="KA34" s="212" t="n"/>
      <c r="KB34" s="212" t="n"/>
      <c r="KC34" s="212" t="n"/>
      <c r="KD34" s="212" t="n"/>
      <c r="KE34" s="212" t="n"/>
      <c r="KF34" s="212" t="n"/>
      <c r="KG34" s="212" t="n"/>
      <c r="KH34" s="212" t="n"/>
      <c r="KI34" s="212" t="n"/>
      <c r="KJ34" s="212" t="n"/>
      <c r="KK34" s="212" t="n"/>
      <c r="KL34" s="212" t="n"/>
      <c r="KM34" s="212" t="n"/>
      <c r="KN34" s="212" t="n"/>
      <c r="KO34" s="212" t="n"/>
      <c r="KP34" s="212" t="n"/>
      <c r="KQ34" s="212" t="n"/>
      <c r="KR34" s="212" t="n"/>
      <c r="KS34" s="212" t="n"/>
      <c r="KT34" s="212" t="n"/>
      <c r="KU34" s="212" t="n"/>
      <c r="KV34" s="212" t="n"/>
      <c r="KW34" s="212" t="n"/>
      <c r="KX34" s="212" t="n"/>
      <c r="KY34" s="212" t="n"/>
      <c r="KZ34" s="212" t="n"/>
      <c r="LA34" s="212" t="n"/>
      <c r="LB34" s="212" t="n"/>
      <c r="LC34" s="212" t="n"/>
      <c r="LD34" s="212" t="n"/>
      <c r="LE34" s="212" t="n"/>
      <c r="LF34" s="212" t="n"/>
      <c r="LG34" s="212" t="n"/>
      <c r="LH34" s="212" t="n"/>
      <c r="LI34" s="212" t="n"/>
      <c r="LJ34" s="212" t="n"/>
      <c r="LK34" s="212" t="n"/>
      <c r="LL34" s="212" t="n"/>
      <c r="LM34" s="212" t="n"/>
      <c r="LN34" s="212" t="n"/>
      <c r="LO34" s="212" t="n"/>
      <c r="LP34" s="212" t="n"/>
      <c r="LQ34" s="212" t="n"/>
      <c r="LR34" s="212" t="n"/>
      <c r="LS34" s="212" t="n"/>
      <c r="LT34" s="212" t="n"/>
      <c r="LU34" s="212" t="n"/>
      <c r="LV34" s="212" t="n"/>
      <c r="LW34" s="212" t="n"/>
      <c r="LX34" s="212" t="n"/>
      <c r="LY34" s="212" t="n"/>
      <c r="LZ34" s="212" t="n"/>
      <c r="MA34" s="212" t="n"/>
      <c r="MB34" s="212" t="n"/>
      <c r="MC34" s="212" t="n"/>
      <c r="MD34" s="212" t="n"/>
      <c r="ME34" s="212" t="n"/>
      <c r="MF34" s="212" t="n"/>
      <c r="MG34" s="212" t="n"/>
      <c r="MH34" s="212" t="n"/>
      <c r="MI34" s="212" t="n"/>
      <c r="MJ34" s="212" t="n"/>
      <c r="MK34" s="212" t="n"/>
      <c r="ML34" s="212" t="n"/>
      <c r="MM34" s="212" t="n"/>
      <c r="MN34" s="212" t="n"/>
      <c r="MO34" s="212" t="n"/>
      <c r="MP34" s="212" t="n"/>
      <c r="MQ34" s="212" t="n"/>
      <c r="MR34" s="212" t="n"/>
      <c r="MS34" s="212" t="n"/>
      <c r="MT34" s="212" t="n"/>
      <c r="MU34" s="212" t="n"/>
      <c r="MV34" s="212" t="n"/>
      <c r="MW34" s="212" t="n"/>
      <c r="MX34" s="212" t="n"/>
      <c r="MY34" s="212" t="n"/>
      <c r="MZ34" s="212" t="n"/>
      <c r="NA34" s="212" t="n"/>
      <c r="NB34" s="212" t="n"/>
      <c r="NC34" s="212" t="n"/>
      <c r="ND34" s="212" t="n"/>
      <c r="NE34" s="212" t="n"/>
      <c r="NF34" s="212" t="n"/>
      <c r="NG34" s="212" t="n"/>
      <c r="NH34" s="212" t="n"/>
      <c r="NI34" s="212" t="n"/>
      <c r="NJ34" s="212" t="n"/>
      <c r="NK34" s="212" t="n"/>
      <c r="NL34" s="212" t="n"/>
      <c r="NM34" s="212" t="n"/>
      <c r="NN34" s="212" t="n"/>
      <c r="NO34" s="212" t="n"/>
      <c r="NP34" s="212" t="n"/>
      <c r="NQ34" s="212" t="n"/>
      <c r="NR34" s="212" t="n"/>
      <c r="NS34" s="212" t="n"/>
      <c r="NT34" s="212" t="n"/>
      <c r="NU34" s="212" t="n"/>
      <c r="NV34" s="212" t="n"/>
      <c r="NW34" s="212" t="n"/>
      <c r="NX34" s="212" t="n"/>
      <c r="NY34" s="212" t="n"/>
      <c r="NZ34" s="212" t="n"/>
      <c r="OA34" s="212" t="n"/>
      <c r="OB34" s="212" t="n"/>
      <c r="OC34" s="212" t="n"/>
      <c r="OD34" s="212" t="n"/>
      <c r="OE34" s="212" t="n"/>
      <c r="OF34" s="212" t="n"/>
      <c r="OG34" s="212" t="n"/>
      <c r="OH34" s="212" t="n"/>
      <c r="OI34" s="212" t="n"/>
      <c r="OJ34" s="212" t="n"/>
      <c r="OK34" s="212" t="n"/>
      <c r="OL34" s="212" t="n"/>
      <c r="OM34" s="212" t="n"/>
      <c r="ON34" s="212" t="n"/>
      <c r="OO34" s="212" t="n"/>
      <c r="OP34" s="212" t="n"/>
      <c r="OQ34" s="212" t="n"/>
      <c r="OR34" s="212" t="n"/>
      <c r="OS34" s="212" t="n"/>
      <c r="OT34" s="212" t="n"/>
      <c r="OU34" s="212" t="n"/>
      <c r="OV34" s="212" t="n"/>
      <c r="OW34" s="212" t="n"/>
      <c r="OX34" s="212" t="n"/>
      <c r="OY34" s="212" t="n"/>
      <c r="OZ34" s="212" t="n"/>
      <c r="PA34" s="212" t="n"/>
      <c r="PB34" s="212" t="n"/>
      <c r="PC34" s="212" t="n"/>
      <c r="PD34" s="212" t="n"/>
      <c r="PE34" s="212" t="n"/>
      <c r="PF34" s="212" t="n"/>
      <c r="PG34" s="212" t="n"/>
      <c r="PH34" s="212" t="n"/>
      <c r="PI34" s="212" t="n"/>
      <c r="PJ34" s="212" t="n"/>
      <c r="PK34" s="212" t="n"/>
      <c r="PL34" s="212" t="n"/>
      <c r="PM34" s="212" t="n"/>
      <c r="PN34" s="212" t="n"/>
      <c r="PO34" s="212" t="n"/>
      <c r="PP34" s="212" t="n"/>
      <c r="PQ34" s="212" t="n"/>
      <c r="PR34" s="212" t="n"/>
      <c r="PS34" s="212" t="n"/>
      <c r="PT34" s="212" t="n"/>
      <c r="PU34" s="212" t="n"/>
      <c r="PV34" s="212" t="n"/>
      <c r="PW34" s="212" t="n"/>
      <c r="PX34" s="212" t="n"/>
      <c r="PY34" s="212" t="n"/>
      <c r="PZ34" s="212" t="n"/>
      <c r="QA34" s="212" t="n"/>
      <c r="QB34" s="212" t="n"/>
      <c r="QC34" s="212" t="n"/>
      <c r="QD34" s="212" t="n"/>
      <c r="QE34" s="212" t="n"/>
      <c r="QF34" s="212" t="n"/>
      <c r="QG34" s="212" t="n"/>
      <c r="QH34" s="212" t="n"/>
      <c r="QI34" s="212" t="n"/>
      <c r="QJ34" s="212" t="n"/>
      <c r="QK34" s="212" t="n"/>
      <c r="QL34" s="212" t="n"/>
      <c r="QM34" s="212" t="n"/>
      <c r="QN34" s="212" t="n"/>
      <c r="QO34" s="212" t="n"/>
      <c r="QP34" s="212" t="n"/>
      <c r="QQ34" s="212" t="n"/>
      <c r="QR34" s="212" t="n"/>
      <c r="QS34" s="212" t="n"/>
      <c r="QT34" s="212" t="n"/>
      <c r="QU34" s="212" t="n"/>
      <c r="QV34" s="212" t="n"/>
      <c r="QW34" s="212" t="n"/>
      <c r="QX34" s="212" t="n"/>
      <c r="QY34" s="212" t="n"/>
      <c r="QZ34" s="212" t="n"/>
      <c r="RA34" s="212" t="n"/>
      <c r="RB34" s="212" t="n"/>
      <c r="RC34" s="212" t="n"/>
      <c r="RD34" s="212" t="n"/>
      <c r="RE34" s="212" t="n"/>
      <c r="RF34" s="212" t="n"/>
      <c r="RG34" s="212" t="n"/>
      <c r="RH34" s="212" t="n"/>
      <c r="RI34" s="212" t="n"/>
      <c r="RJ34" s="212" t="n"/>
      <c r="RK34" s="212" t="n"/>
      <c r="RL34" s="212" t="n"/>
      <c r="RM34" s="212" t="n"/>
      <c r="RN34" s="212" t="n"/>
      <c r="RO34" s="212" t="n"/>
      <c r="RP34" s="212" t="n"/>
      <c r="RQ34" s="212" t="n"/>
      <c r="RR34" s="212" t="n"/>
      <c r="RS34" s="212" t="n"/>
      <c r="RT34" s="212" t="n"/>
      <c r="RU34" s="212" t="n"/>
      <c r="RV34" s="212" t="n"/>
      <c r="RW34" s="212" t="n"/>
      <c r="RX34" s="212" t="n"/>
      <c r="RY34" s="212" t="n"/>
      <c r="RZ34" s="212" t="n"/>
      <c r="SA34" s="212" t="n"/>
      <c r="SB34" s="212" t="n"/>
      <c r="SC34" s="212" t="n"/>
      <c r="SD34" s="212" t="n"/>
      <c r="SE34" s="212" t="n"/>
      <c r="SF34" s="212" t="n"/>
      <c r="SG34" s="212" t="n"/>
      <c r="SH34" s="212" t="n"/>
      <c r="SI34" s="212" t="n"/>
      <c r="SJ34" s="212" t="n"/>
      <c r="SK34" s="212" t="n"/>
      <c r="SL34" s="212" t="n"/>
      <c r="SM34" s="212" t="n"/>
      <c r="SN34" s="212" t="n"/>
      <c r="SO34" s="212" t="n"/>
      <c r="SP34" s="212" t="n"/>
      <c r="SQ34" s="212" t="n"/>
      <c r="SR34" s="212" t="n"/>
      <c r="SS34" s="212" t="n"/>
      <c r="ST34" s="212" t="n"/>
      <c r="SU34" s="212" t="n"/>
      <c r="SV34" s="212" t="n"/>
    </row>
    <row r="35">
      <c r="B35" s="209" t="n">
        <v>3</v>
      </c>
      <c r="C35" s="209" t="inlineStr">
        <is>
          <t>Wabtec</t>
        </is>
      </c>
      <c r="D35" s="209" t="inlineStr">
        <is>
          <t>George</t>
        </is>
      </c>
      <c r="E35" s="209" t="inlineStr">
        <is>
          <t>Milton</t>
        </is>
      </c>
      <c r="F35" s="209">
        <f>IF(TRIM(D35&amp;E35)="","",TRIM(D35)&amp;" "&amp;TRIM(E35))</f>
        <v/>
      </c>
      <c r="G35" s="209" t="inlineStr">
        <is>
          <t>Perth</t>
        </is>
      </c>
      <c r="H35" s="209" t="inlineStr">
        <is>
          <t>Electrician (Confined Space/Gas Test)</t>
        </is>
      </c>
      <c r="I35" s="209" t="inlineStr">
        <is>
          <t>YES</t>
        </is>
      </c>
      <c r="J35" s="209" t="inlineStr">
        <is>
          <t>YES</t>
        </is>
      </c>
      <c r="K35" s="209" t="inlineStr">
        <is>
          <t>YES</t>
        </is>
      </c>
      <c r="L35" s="209" t="inlineStr">
        <is>
          <t>YES</t>
        </is>
      </c>
      <c r="M35" s="209" t="inlineStr">
        <is>
          <t>Quals Complete</t>
        </is>
      </c>
      <c r="N35" s="209" t="inlineStr">
        <is>
          <t>miltonvhf@yahoo.com</t>
        </is>
      </c>
      <c r="O35" s="209" t="inlineStr">
        <is>
          <t>0433 115 623</t>
        </is>
      </c>
      <c r="P35" s="209" t="n">
        <v>851281</v>
      </c>
      <c r="Q35" s="209" t="n">
        <v>458289</v>
      </c>
      <c r="R35" s="209" t="inlineStr">
        <is>
          <t>2:1</t>
        </is>
      </c>
      <c r="S35" s="210" t="inlineStr">
        <is>
          <t>N/A</t>
        </is>
      </c>
      <c r="T35" s="210" t="inlineStr">
        <is>
          <t>N/A</t>
        </is>
      </c>
      <c r="U35" s="210" t="inlineStr">
        <is>
          <t>N/A</t>
        </is>
      </c>
      <c r="V35" s="210" t="inlineStr">
        <is>
          <t>N/A</t>
        </is>
      </c>
      <c r="W35" s="211" t="inlineStr">
        <is>
          <t>PER/PHE PM
LND</t>
        </is>
      </c>
      <c r="X35" s="211" t="inlineStr">
        <is>
          <t>LND</t>
        </is>
      </c>
      <c r="Y35" s="211" t="inlineStr">
        <is>
          <t>LND</t>
        </is>
      </c>
      <c r="Z35" s="211" t="inlineStr">
        <is>
          <t>LND</t>
        </is>
      </c>
      <c r="AA35" s="211" t="inlineStr">
        <is>
          <t>LND</t>
        </is>
      </c>
      <c r="AB35" s="211" t="inlineStr">
        <is>
          <t>LND</t>
        </is>
      </c>
      <c r="AC35" s="211" t="inlineStr">
        <is>
          <t>LND</t>
        </is>
      </c>
      <c r="AD35" s="211" t="inlineStr">
        <is>
          <t>LND</t>
        </is>
      </c>
      <c r="AE35" s="211" t="inlineStr">
        <is>
          <t>PHE/PER PM</t>
        </is>
      </c>
      <c r="AF35" s="222" t="inlineStr">
        <is>
          <t>RnR</t>
        </is>
      </c>
      <c r="AG35" s="222" t="inlineStr">
        <is>
          <t>RnR</t>
        </is>
      </c>
      <c r="AH35" s="222" t="inlineStr">
        <is>
          <t>RnR</t>
        </is>
      </c>
      <c r="AI35" s="222" t="inlineStr">
        <is>
          <t>RnR</t>
        </is>
      </c>
      <c r="AJ35" s="222" t="inlineStr">
        <is>
          <t>RnR</t>
        </is>
      </c>
      <c r="AK35" s="211" t="inlineStr">
        <is>
          <t>PER/PHE PM
LND</t>
        </is>
      </c>
      <c r="AL35" s="211" t="inlineStr">
        <is>
          <t>LND</t>
        </is>
      </c>
      <c r="AM35" s="211" t="inlineStr">
        <is>
          <t>LND</t>
        </is>
      </c>
      <c r="AN35" s="211" t="inlineStr">
        <is>
          <t>LND</t>
        </is>
      </c>
      <c r="AO35" s="211" t="inlineStr">
        <is>
          <t>LND</t>
        </is>
      </c>
      <c r="AP35" s="211" t="inlineStr">
        <is>
          <t>LND</t>
        </is>
      </c>
      <c r="AQ35" s="211" t="inlineStr">
        <is>
          <t>LND</t>
        </is>
      </c>
      <c r="AR35" s="211" t="inlineStr">
        <is>
          <t>LND</t>
        </is>
      </c>
      <c r="AS35" s="211" t="inlineStr">
        <is>
          <t>LND</t>
        </is>
      </c>
      <c r="AT35" s="211" t="inlineStr">
        <is>
          <t>LND</t>
        </is>
      </c>
      <c r="AU35" s="211" t="inlineStr">
        <is>
          <t>LND</t>
        </is>
      </c>
      <c r="AV35" s="211" t="inlineStr">
        <is>
          <t>LND</t>
        </is>
      </c>
      <c r="AW35" s="211" t="inlineStr">
        <is>
          <t>LND</t>
        </is>
      </c>
      <c r="AX35" s="211" t="inlineStr">
        <is>
          <t>LND</t>
        </is>
      </c>
      <c r="AY35" s="211" t="inlineStr">
        <is>
          <t>PHE/PER PM</t>
        </is>
      </c>
      <c r="AZ35" s="222" t="inlineStr">
        <is>
          <t>RnR</t>
        </is>
      </c>
      <c r="BA35" s="222" t="inlineStr">
        <is>
          <t>RnR</t>
        </is>
      </c>
      <c r="BB35" s="222" t="inlineStr">
        <is>
          <t>RnR</t>
        </is>
      </c>
      <c r="BC35" s="222" t="inlineStr">
        <is>
          <t>RnR</t>
        </is>
      </c>
      <c r="BD35" s="222" t="inlineStr">
        <is>
          <t>RnR</t>
        </is>
      </c>
      <c r="BE35" s="222" t="inlineStr">
        <is>
          <t>RnR</t>
        </is>
      </c>
      <c r="BF35" s="211" t="inlineStr">
        <is>
          <t>PER/PHE PM
LND</t>
        </is>
      </c>
      <c r="BG35" s="211" t="inlineStr">
        <is>
          <t>RDM</t>
        </is>
      </c>
      <c r="BH35" s="211" t="inlineStr">
        <is>
          <t>RDM</t>
        </is>
      </c>
      <c r="BI35" s="211" t="inlineStr">
        <is>
          <t>RDM</t>
        </is>
      </c>
      <c r="BJ35" s="211" t="inlineStr">
        <is>
          <t>RDM</t>
        </is>
      </c>
      <c r="BK35" s="211" t="inlineStr">
        <is>
          <t>RDM</t>
        </is>
      </c>
      <c r="BL35" s="211" t="inlineStr">
        <is>
          <t>RDM</t>
        </is>
      </c>
      <c r="BM35" s="211" t="inlineStr">
        <is>
          <t>RDM</t>
        </is>
      </c>
      <c r="BN35" s="211" t="inlineStr">
        <is>
          <t>RDM</t>
        </is>
      </c>
      <c r="BO35" s="211" t="inlineStr">
        <is>
          <t>RDM</t>
        </is>
      </c>
      <c r="BP35" s="211" t="inlineStr">
        <is>
          <t>RDM</t>
        </is>
      </c>
      <c r="BQ35" s="211" t="inlineStr">
        <is>
          <t>RDM</t>
        </is>
      </c>
      <c r="BR35" s="211" t="inlineStr">
        <is>
          <t>RDM</t>
        </is>
      </c>
      <c r="BS35" s="211" t="inlineStr">
        <is>
          <t>RDM</t>
        </is>
      </c>
      <c r="BT35" s="211" t="inlineStr">
        <is>
          <t>PHE/PER PM</t>
        </is>
      </c>
      <c r="BU35" s="222" t="inlineStr">
        <is>
          <t>RnR</t>
        </is>
      </c>
      <c r="BV35" s="222" t="inlineStr">
        <is>
          <t>RnR</t>
        </is>
      </c>
      <c r="BW35" s="222" t="inlineStr">
        <is>
          <t>RnR</t>
        </is>
      </c>
      <c r="BX35" s="222" t="inlineStr">
        <is>
          <t>RnR</t>
        </is>
      </c>
      <c r="BY35" s="222" t="inlineStr">
        <is>
          <t>RnR</t>
        </is>
      </c>
      <c r="BZ35" s="222" t="inlineStr">
        <is>
          <t>RnR</t>
        </is>
      </c>
      <c r="CA35" s="210" t="inlineStr">
        <is>
          <t>S/L</t>
        </is>
      </c>
      <c r="CB35" s="210" t="inlineStr">
        <is>
          <t>S/L</t>
        </is>
      </c>
      <c r="CC35" s="210" t="inlineStr">
        <is>
          <t>S/L</t>
        </is>
      </c>
      <c r="CD35" s="210" t="inlineStr">
        <is>
          <t>S/L</t>
        </is>
      </c>
      <c r="CE35" s="210" t="inlineStr">
        <is>
          <t>S/L</t>
        </is>
      </c>
      <c r="CF35" s="210" t="inlineStr">
        <is>
          <t>S/L</t>
        </is>
      </c>
      <c r="CG35" s="210" t="inlineStr">
        <is>
          <t>S/L</t>
        </is>
      </c>
      <c r="CH35" s="210" t="inlineStr">
        <is>
          <t>PER/ZNE PM
WRR</t>
        </is>
      </c>
      <c r="CI35" s="210" t="inlineStr">
        <is>
          <t>WRR</t>
        </is>
      </c>
      <c r="CJ35" s="210" t="inlineStr">
        <is>
          <t>WRR</t>
        </is>
      </c>
      <c r="CK35" s="210" t="inlineStr">
        <is>
          <t>WRR</t>
        </is>
      </c>
      <c r="CL35" s="210" t="inlineStr">
        <is>
          <t>WRR</t>
        </is>
      </c>
      <c r="CM35" s="215" t="inlineStr">
        <is>
          <t>SPX</t>
        </is>
      </c>
      <c r="CN35" s="215" t="inlineStr">
        <is>
          <t>SPX</t>
        </is>
      </c>
      <c r="CO35" s="210" t="inlineStr">
        <is>
          <t>BYP/PER PM</t>
        </is>
      </c>
      <c r="CP35" s="210" t="inlineStr">
        <is>
          <t>N/A</t>
        </is>
      </c>
      <c r="CQ35" s="210" t="inlineStr">
        <is>
          <t>N/A</t>
        </is>
      </c>
      <c r="CR35" s="210" t="inlineStr">
        <is>
          <t>N/A</t>
        </is>
      </c>
      <c r="CS35" s="210" t="inlineStr">
        <is>
          <t>N/A</t>
        </is>
      </c>
      <c r="CT35" s="210" t="inlineStr">
        <is>
          <t>N/A</t>
        </is>
      </c>
      <c r="CU35" s="210" t="inlineStr">
        <is>
          <t>N/A</t>
        </is>
      </c>
      <c r="CV35" s="210" t="inlineStr">
        <is>
          <t>PER/BYP PM</t>
        </is>
      </c>
      <c r="CW35" s="210" t="inlineStr">
        <is>
          <t>SPX</t>
        </is>
      </c>
      <c r="CX35" s="210" t="inlineStr">
        <is>
          <t>SPX</t>
        </is>
      </c>
      <c r="CY35" s="210" t="inlineStr">
        <is>
          <t>SPX</t>
        </is>
      </c>
      <c r="CZ35" s="210" t="inlineStr">
        <is>
          <t>SPX</t>
        </is>
      </c>
      <c r="DA35" s="210" t="inlineStr">
        <is>
          <t>SPX</t>
        </is>
      </c>
      <c r="DB35" s="210" t="inlineStr">
        <is>
          <t>SPX</t>
        </is>
      </c>
      <c r="DC35" s="210" t="inlineStr">
        <is>
          <t>SPX</t>
        </is>
      </c>
      <c r="DD35" s="210" t="inlineStr">
        <is>
          <t>SPX</t>
        </is>
      </c>
      <c r="DE35" s="210" t="inlineStr">
        <is>
          <t>PHE/PER PM</t>
        </is>
      </c>
      <c r="DF35" s="217" t="inlineStr">
        <is>
          <t>DEMOB</t>
        </is>
      </c>
      <c r="DG35" s="210" t="inlineStr">
        <is>
          <t>N/A</t>
        </is>
      </c>
      <c r="DH35" s="210" t="inlineStr">
        <is>
          <t>N/A</t>
        </is>
      </c>
      <c r="DI35" s="210" t="inlineStr">
        <is>
          <t>N/A</t>
        </is>
      </c>
      <c r="DJ35" s="210" t="inlineStr">
        <is>
          <t>N/A</t>
        </is>
      </c>
      <c r="DK35" s="210" t="inlineStr">
        <is>
          <t>N/A</t>
        </is>
      </c>
      <c r="DL35" s="210" t="inlineStr">
        <is>
          <t>N/A</t>
        </is>
      </c>
      <c r="DM35" s="210" t="inlineStr">
        <is>
          <t>N/A</t>
        </is>
      </c>
      <c r="DN35" s="210" t="inlineStr">
        <is>
          <t>N/A</t>
        </is>
      </c>
      <c r="DO35" s="210" t="inlineStr">
        <is>
          <t>N/A</t>
        </is>
      </c>
      <c r="DP35" s="210" t="inlineStr">
        <is>
          <t>N/A</t>
        </is>
      </c>
      <c r="DQ35" s="210" t="inlineStr">
        <is>
          <t>N/A</t>
        </is>
      </c>
      <c r="DR35" s="212" t="n"/>
      <c r="DS35" s="212" t="n"/>
      <c r="DT35" s="212" t="n"/>
      <c r="DU35" s="212" t="n"/>
      <c r="DV35" s="212" t="n"/>
      <c r="DW35" s="212" t="n"/>
      <c r="DX35" s="212" t="n"/>
      <c r="DY35" s="212" t="n"/>
      <c r="DZ35" s="212" t="n"/>
      <c r="EA35" s="212" t="n"/>
      <c r="EB35" s="212" t="n"/>
      <c r="EC35" s="212" t="n"/>
      <c r="ED35" s="212" t="n"/>
      <c r="EE35" s="212" t="n"/>
      <c r="EF35" s="212" t="n"/>
      <c r="EG35" s="212" t="n"/>
      <c r="EH35" s="212" t="n"/>
      <c r="EI35" s="212" t="n"/>
      <c r="EJ35" s="212" t="n"/>
      <c r="EK35" s="212" t="n"/>
      <c r="EL35" s="212" t="n"/>
      <c r="EM35" s="212" t="n"/>
      <c r="EN35" s="212" t="n"/>
      <c r="EO35" s="212" t="n"/>
      <c r="EP35" s="212" t="n"/>
      <c r="EQ35" s="212" t="n"/>
      <c r="ER35" s="212" t="n"/>
      <c r="ES35" s="212" t="n"/>
      <c r="ET35" s="212" t="n"/>
      <c r="EU35" s="212" t="n"/>
      <c r="EV35" s="212" t="n"/>
      <c r="EW35" s="212" t="n"/>
      <c r="EX35" s="212" t="n"/>
      <c r="EY35" s="212" t="n"/>
      <c r="EZ35" s="212" t="n"/>
      <c r="FA35" s="212" t="n"/>
      <c r="FB35" s="212" t="n"/>
      <c r="FC35" s="212" t="n"/>
      <c r="FD35" s="212" t="n"/>
      <c r="FE35" s="212" t="n"/>
      <c r="FF35" s="212" t="n"/>
      <c r="FG35" s="212" t="n"/>
      <c r="FH35" s="212" t="n"/>
      <c r="FI35" s="212" t="n"/>
      <c r="FJ35" s="212" t="n"/>
      <c r="FK35" s="212" t="n"/>
      <c r="FL35" s="212" t="n"/>
      <c r="FM35" s="212" t="n"/>
      <c r="FN35" s="212" t="n"/>
      <c r="FO35" s="212" t="n"/>
      <c r="FP35" s="212" t="n"/>
      <c r="FQ35" s="212" t="n"/>
      <c r="FR35" s="212" t="n"/>
      <c r="FS35" s="212" t="n"/>
      <c r="FT35" s="212" t="n"/>
      <c r="FU35" s="212" t="n"/>
      <c r="FV35" s="212" t="n"/>
      <c r="FW35" s="212" t="n"/>
      <c r="FX35" s="212" t="n"/>
      <c r="FY35" s="212" t="n"/>
      <c r="FZ35" s="212" t="n"/>
      <c r="GA35" s="212" t="n"/>
      <c r="GB35" s="212" t="n"/>
      <c r="GC35" s="212" t="n"/>
      <c r="GD35" s="212" t="n"/>
      <c r="GE35" s="212" t="n"/>
      <c r="GF35" s="212" t="n"/>
      <c r="GG35" s="212" t="n"/>
      <c r="GH35" s="212" t="n"/>
      <c r="GI35" s="212" t="n"/>
      <c r="GJ35" s="212" t="n"/>
      <c r="GK35" s="212" t="n"/>
      <c r="GL35" s="212" t="n"/>
      <c r="GM35" s="212" t="n"/>
      <c r="GN35" s="212" t="n"/>
      <c r="GO35" s="212" t="n"/>
      <c r="GP35" s="212" t="n"/>
      <c r="GQ35" s="212" t="n"/>
      <c r="GR35" s="212" t="n"/>
      <c r="GS35" s="212" t="n"/>
      <c r="GT35" s="212" t="n"/>
      <c r="GU35" s="212" t="n"/>
      <c r="GV35" s="212" t="n"/>
      <c r="GW35" s="212" t="n"/>
      <c r="GX35" s="212" t="n"/>
      <c r="GY35" s="212" t="n"/>
      <c r="GZ35" s="212" t="n"/>
      <c r="HA35" s="212" t="n"/>
      <c r="HB35" s="212" t="n"/>
      <c r="HC35" s="212" t="n"/>
      <c r="HD35" s="212" t="n"/>
      <c r="HE35" s="212" t="n"/>
      <c r="HF35" s="212" t="n"/>
      <c r="HG35" s="212" t="n"/>
      <c r="HH35" s="212" t="n"/>
      <c r="HI35" s="212" t="n"/>
      <c r="HJ35" s="212" t="n"/>
      <c r="HK35" s="212" t="n"/>
      <c r="HL35" s="212" t="n"/>
      <c r="HM35" s="212" t="n"/>
      <c r="HN35" s="212" t="n"/>
      <c r="HO35" s="212" t="n"/>
      <c r="HP35" s="212" t="n"/>
      <c r="HQ35" s="212" t="n"/>
      <c r="HR35" s="212" t="n"/>
      <c r="HS35" s="212" t="n"/>
      <c r="HT35" s="212" t="n"/>
      <c r="HU35" s="212" t="n"/>
      <c r="HV35" s="212" t="n"/>
      <c r="HW35" s="212" t="n"/>
      <c r="HX35" s="212" t="n"/>
      <c r="HY35" s="212" t="n"/>
      <c r="HZ35" s="212" t="n"/>
      <c r="IA35" s="212" t="n"/>
      <c r="IB35" s="212" t="n"/>
      <c r="IC35" s="212" t="n"/>
      <c r="ID35" s="212" t="n"/>
      <c r="IE35" s="212" t="n"/>
      <c r="IF35" s="212" t="n"/>
      <c r="IG35" s="212" t="n"/>
      <c r="IH35" s="212" t="n"/>
      <c r="II35" s="212" t="n"/>
      <c r="IJ35" s="212" t="n"/>
      <c r="IK35" s="212" t="n"/>
      <c r="IL35" s="212" t="n"/>
      <c r="IM35" s="212" t="n"/>
      <c r="IN35" s="212" t="n"/>
      <c r="IO35" s="212" t="n"/>
      <c r="IP35" s="212" t="n"/>
      <c r="IQ35" s="212" t="n"/>
      <c r="IR35" s="212" t="n"/>
      <c r="IS35" s="212" t="n"/>
      <c r="IT35" s="212" t="n"/>
      <c r="IU35" s="212" t="n"/>
      <c r="IV35" s="212" t="n"/>
      <c r="IW35" s="212" t="n"/>
      <c r="IX35" s="212" t="n"/>
      <c r="IY35" s="212" t="n"/>
      <c r="IZ35" s="212" t="n"/>
      <c r="JA35" s="212" t="n"/>
      <c r="JB35" s="212" t="n"/>
      <c r="JC35" s="212" t="n"/>
      <c r="JD35" s="212" t="n"/>
      <c r="JE35" s="212" t="n"/>
      <c r="JF35" s="212" t="n"/>
      <c r="JG35" s="212" t="n"/>
      <c r="JH35" s="212" t="n"/>
      <c r="JI35" s="212" t="n"/>
      <c r="JJ35" s="212" t="n"/>
      <c r="JK35" s="212" t="n"/>
      <c r="JL35" s="212" t="n"/>
      <c r="JM35" s="212" t="n"/>
      <c r="JN35" s="212" t="n"/>
      <c r="JO35" s="212" t="n"/>
      <c r="JP35" s="212" t="n"/>
      <c r="JQ35" s="212" t="n"/>
      <c r="JR35" s="212" t="n"/>
      <c r="JS35" s="212" t="n"/>
      <c r="JT35" s="212" t="n"/>
      <c r="JU35" s="212" t="n"/>
      <c r="JV35" s="212" t="n"/>
      <c r="JW35" s="212" t="n"/>
      <c r="JX35" s="212" t="n"/>
      <c r="JY35" s="212" t="n"/>
      <c r="JZ35" s="212" t="n"/>
      <c r="KA35" s="212" t="n"/>
      <c r="KB35" s="212" t="n"/>
      <c r="KC35" s="212" t="n"/>
      <c r="KD35" s="212" t="n"/>
      <c r="KE35" s="212" t="n"/>
      <c r="KF35" s="212" t="n"/>
      <c r="KG35" s="212" t="n"/>
      <c r="KH35" s="212" t="n"/>
      <c r="KI35" s="212" t="n"/>
      <c r="KJ35" s="212" t="n"/>
      <c r="KK35" s="212" t="n"/>
      <c r="KL35" s="212" t="n"/>
      <c r="KM35" s="212" t="n"/>
      <c r="KN35" s="212" t="n"/>
      <c r="KO35" s="212" t="n"/>
      <c r="KP35" s="212" t="n"/>
      <c r="KQ35" s="212" t="n"/>
      <c r="KR35" s="212" t="n"/>
      <c r="KS35" s="212" t="n"/>
      <c r="KT35" s="212" t="n"/>
      <c r="KU35" s="212" t="n"/>
      <c r="KV35" s="212" t="n"/>
      <c r="KW35" s="212" t="n"/>
      <c r="KX35" s="212" t="n"/>
      <c r="KY35" s="212" t="n"/>
      <c r="KZ35" s="212" t="n"/>
      <c r="LA35" s="212" t="n"/>
      <c r="LB35" s="212" t="n"/>
      <c r="LC35" s="212" t="n"/>
      <c r="LD35" s="212" t="n"/>
      <c r="LE35" s="212" t="n"/>
      <c r="LF35" s="212" t="n"/>
      <c r="LG35" s="212" t="n"/>
      <c r="LH35" s="212" t="n"/>
      <c r="LI35" s="212" t="n"/>
      <c r="LJ35" s="212" t="n"/>
      <c r="LK35" s="212" t="n"/>
      <c r="LL35" s="212" t="n"/>
      <c r="LM35" s="212" t="n"/>
      <c r="LN35" s="212" t="n"/>
      <c r="LO35" s="212" t="n"/>
      <c r="LP35" s="212" t="n"/>
      <c r="LQ35" s="212" t="n"/>
      <c r="LR35" s="212" t="n"/>
      <c r="LS35" s="212" t="n"/>
      <c r="LT35" s="212" t="n"/>
      <c r="LU35" s="212" t="n"/>
      <c r="LV35" s="212" t="n"/>
      <c r="LW35" s="212" t="n"/>
      <c r="LX35" s="212" t="n"/>
      <c r="LY35" s="212" t="n"/>
      <c r="LZ35" s="212" t="n"/>
      <c r="MA35" s="212" t="n"/>
      <c r="MB35" s="212" t="n"/>
      <c r="MC35" s="212" t="n"/>
      <c r="MD35" s="212" t="n"/>
      <c r="ME35" s="212" t="n"/>
      <c r="MF35" s="212" t="n"/>
      <c r="MG35" s="212" t="n"/>
      <c r="MH35" s="212" t="n"/>
      <c r="MI35" s="212" t="n"/>
      <c r="MJ35" s="212" t="n"/>
      <c r="MK35" s="212" t="n"/>
      <c r="ML35" s="212" t="n"/>
      <c r="MM35" s="212" t="n"/>
      <c r="MN35" s="212" t="n"/>
      <c r="MO35" s="212" t="n"/>
      <c r="MP35" s="212" t="n"/>
      <c r="MQ35" s="212" t="n"/>
      <c r="MR35" s="212" t="n"/>
      <c r="MS35" s="212" t="n"/>
      <c r="MT35" s="212" t="n"/>
      <c r="MU35" s="212" t="n"/>
      <c r="MV35" s="212" t="n"/>
      <c r="MW35" s="212" t="n"/>
      <c r="MX35" s="212" t="n"/>
      <c r="MY35" s="212" t="n"/>
      <c r="MZ35" s="212" t="n"/>
      <c r="NA35" s="212" t="n"/>
      <c r="NB35" s="212" t="n"/>
      <c r="NC35" s="212" t="n"/>
      <c r="ND35" s="212" t="n"/>
      <c r="NE35" s="212" t="n"/>
      <c r="NF35" s="212" t="n"/>
      <c r="NG35" s="212" t="n"/>
      <c r="NH35" s="212" t="n"/>
      <c r="NI35" s="212" t="n"/>
      <c r="NJ35" s="212" t="n"/>
      <c r="NK35" s="212" t="n"/>
      <c r="NL35" s="212" t="n"/>
      <c r="NM35" s="212" t="n"/>
      <c r="NN35" s="212" t="n"/>
      <c r="NO35" s="212" t="n"/>
      <c r="NP35" s="212" t="n"/>
      <c r="NQ35" s="212" t="n"/>
      <c r="NR35" s="212" t="n"/>
      <c r="NS35" s="212" t="n"/>
      <c r="NT35" s="212" t="n"/>
      <c r="NU35" s="212" t="n"/>
      <c r="NV35" s="212" t="n"/>
      <c r="NW35" s="212" t="n"/>
      <c r="NX35" s="212" t="n"/>
      <c r="NY35" s="212" t="n"/>
      <c r="NZ35" s="212" t="n"/>
      <c r="OA35" s="212" t="n"/>
      <c r="OB35" s="212" t="n"/>
      <c r="OC35" s="212" t="n"/>
      <c r="OD35" s="212" t="n"/>
      <c r="OE35" s="212" t="n"/>
      <c r="OF35" s="212" t="n"/>
      <c r="OG35" s="212" t="n"/>
      <c r="OH35" s="212" t="n"/>
      <c r="OI35" s="212" t="n"/>
      <c r="OJ35" s="212" t="n"/>
      <c r="OK35" s="212" t="n"/>
      <c r="OL35" s="212" t="n"/>
      <c r="OM35" s="212" t="n"/>
      <c r="ON35" s="212" t="n"/>
      <c r="OO35" s="212" t="n"/>
      <c r="OP35" s="212" t="n"/>
      <c r="OQ35" s="212" t="n"/>
      <c r="OR35" s="212" t="n"/>
      <c r="OS35" s="212" t="n"/>
      <c r="OT35" s="212" t="n"/>
      <c r="OU35" s="212" t="n"/>
      <c r="OV35" s="212" t="n"/>
      <c r="OW35" s="212" t="n"/>
      <c r="OX35" s="212" t="n"/>
      <c r="OY35" s="212" t="n"/>
      <c r="OZ35" s="212" t="n"/>
      <c r="PA35" s="212" t="n"/>
      <c r="PB35" s="212" t="n"/>
      <c r="PC35" s="212" t="n"/>
      <c r="PD35" s="212" t="n"/>
      <c r="PE35" s="212" t="n"/>
      <c r="PF35" s="212" t="n"/>
      <c r="PG35" s="212" t="n"/>
      <c r="PH35" s="212" t="n"/>
      <c r="PI35" s="212" t="n"/>
      <c r="PJ35" s="212" t="n"/>
      <c r="PK35" s="212" t="n"/>
      <c r="PL35" s="212" t="n"/>
      <c r="PM35" s="212" t="n"/>
      <c r="PN35" s="212" t="n"/>
      <c r="PO35" s="212" t="n"/>
      <c r="PP35" s="212" t="n"/>
      <c r="PQ35" s="212" t="n"/>
      <c r="PR35" s="212" t="n"/>
      <c r="PS35" s="212" t="n"/>
      <c r="PT35" s="212" t="n"/>
      <c r="PU35" s="212" t="n"/>
      <c r="PV35" s="212" t="n"/>
      <c r="PW35" s="212" t="n"/>
      <c r="PX35" s="212" t="n"/>
      <c r="PY35" s="212" t="n"/>
      <c r="PZ35" s="212" t="n"/>
      <c r="QA35" s="212" t="n"/>
      <c r="QB35" s="212" t="n"/>
      <c r="QC35" s="212" t="n"/>
      <c r="QD35" s="212" t="n"/>
      <c r="QE35" s="212" t="n"/>
      <c r="QF35" s="212" t="n"/>
      <c r="QG35" s="212" t="n"/>
      <c r="QH35" s="212" t="n"/>
      <c r="QI35" s="212" t="n"/>
      <c r="QJ35" s="212" t="n"/>
      <c r="QK35" s="212" t="n"/>
      <c r="QL35" s="212" t="n"/>
      <c r="QM35" s="212" t="n"/>
      <c r="QN35" s="212" t="n"/>
      <c r="QO35" s="212" t="n"/>
      <c r="QP35" s="212" t="n"/>
      <c r="QQ35" s="212" t="n"/>
      <c r="QR35" s="212" t="n"/>
      <c r="QS35" s="212" t="n"/>
      <c r="QT35" s="212" t="n"/>
      <c r="QU35" s="212" t="n"/>
      <c r="QV35" s="212" t="n"/>
      <c r="QW35" s="212" t="n"/>
      <c r="QX35" s="212" t="n"/>
      <c r="QY35" s="212" t="n"/>
      <c r="QZ35" s="212" t="n"/>
      <c r="RA35" s="212" t="n"/>
      <c r="RB35" s="212" t="n"/>
      <c r="RC35" s="212" t="n"/>
      <c r="RD35" s="212" t="n"/>
      <c r="RE35" s="212" t="n"/>
      <c r="RF35" s="212" t="n"/>
      <c r="RG35" s="212" t="n"/>
      <c r="RH35" s="212" t="n"/>
      <c r="RI35" s="212" t="n"/>
      <c r="RJ35" s="212" t="n"/>
      <c r="RK35" s="212" t="n"/>
      <c r="RL35" s="212" t="n"/>
      <c r="RM35" s="212" t="n"/>
      <c r="RN35" s="212" t="n"/>
      <c r="RO35" s="212" t="n"/>
      <c r="RP35" s="212" t="n"/>
      <c r="RQ35" s="212" t="n"/>
      <c r="RR35" s="212" t="n"/>
      <c r="RS35" s="212" t="n"/>
      <c r="RT35" s="212" t="n"/>
      <c r="RU35" s="212" t="n"/>
      <c r="RV35" s="212" t="n"/>
      <c r="RW35" s="212" t="n"/>
      <c r="RX35" s="212" t="n"/>
      <c r="RY35" s="212" t="n"/>
      <c r="RZ35" s="212" t="n"/>
      <c r="SA35" s="212" t="n"/>
      <c r="SB35" s="212" t="n"/>
      <c r="SC35" s="212" t="n"/>
      <c r="SD35" s="212" t="n"/>
      <c r="SE35" s="212" t="n"/>
      <c r="SF35" s="212" t="n"/>
      <c r="SG35" s="212" t="n"/>
      <c r="SH35" s="212" t="n"/>
      <c r="SI35" s="212" t="n"/>
      <c r="SJ35" s="212" t="n"/>
      <c r="SK35" s="212" t="n"/>
      <c r="SL35" s="212" t="n"/>
      <c r="SM35" s="212" t="n"/>
      <c r="SN35" s="212" t="n"/>
      <c r="SO35" s="212" t="n"/>
      <c r="SP35" s="212" t="n"/>
      <c r="SQ35" s="212" t="n"/>
      <c r="SR35" s="212" t="n"/>
      <c r="SS35" s="212" t="n"/>
      <c r="ST35" s="212" t="n"/>
      <c r="SU35" s="212" t="n"/>
      <c r="SV35" s="212" t="n"/>
    </row>
    <row r="36">
      <c r="B36" s="209" t="n">
        <v>4</v>
      </c>
      <c r="C36" s="209" t="inlineStr">
        <is>
          <t>2XM</t>
        </is>
      </c>
      <c r="D36" s="209" t="inlineStr">
        <is>
          <t>Richard</t>
        </is>
      </c>
      <c r="E36" s="209" t="inlineStr">
        <is>
          <t>Lewis</t>
        </is>
      </c>
      <c r="F36" s="209">
        <f>IF(TRIM(D36&amp;E36)="","",TRIM(D36)&amp;" "&amp;TRIM(E36))</f>
        <v/>
      </c>
      <c r="G36" s="209" t="inlineStr">
        <is>
          <t>Newcastle</t>
        </is>
      </c>
      <c r="H36" s="209" t="inlineStr">
        <is>
          <t>Information Systems Technician</t>
        </is>
      </c>
      <c r="I36" s="209" t="inlineStr">
        <is>
          <t>YES</t>
        </is>
      </c>
      <c r="J36" s="209" t="inlineStr">
        <is>
          <t>YES</t>
        </is>
      </c>
      <c r="K36" s="209" t="inlineStr">
        <is>
          <t>YES</t>
        </is>
      </c>
      <c r="L36" s="209" t="inlineStr">
        <is>
          <t>YES</t>
        </is>
      </c>
      <c r="M36" s="209" t="inlineStr">
        <is>
          <t>Quals Complete</t>
        </is>
      </c>
      <c r="N36" s="209" t="inlineStr">
        <is>
          <t>richielewis2003@yahoo.com</t>
        </is>
      </c>
      <c r="O36" s="209" t="inlineStr">
        <is>
          <t>0456 879 547</t>
        </is>
      </c>
      <c r="P36" s="209" t="n">
        <v>695708</v>
      </c>
      <c r="Q36" s="209" t="n">
        <v>278004</v>
      </c>
      <c r="R36" s="209" t="inlineStr">
        <is>
          <t>2:1</t>
        </is>
      </c>
      <c r="S36" s="210" t="inlineStr">
        <is>
          <t>N/A</t>
        </is>
      </c>
      <c r="T36" s="210" t="inlineStr">
        <is>
          <t>N/A</t>
        </is>
      </c>
      <c r="U36" s="210" t="inlineStr">
        <is>
          <t>N/A</t>
        </is>
      </c>
      <c r="V36" s="210" t="inlineStr">
        <is>
          <t>N/A</t>
        </is>
      </c>
      <c r="W36" s="211" t="inlineStr">
        <is>
          <t>PER/PHE PM
LND</t>
        </is>
      </c>
      <c r="X36" s="211" t="inlineStr">
        <is>
          <t>LND</t>
        </is>
      </c>
      <c r="Y36" s="211" t="inlineStr">
        <is>
          <t>LND</t>
        </is>
      </c>
      <c r="Z36" s="211" t="inlineStr">
        <is>
          <t>LND</t>
        </is>
      </c>
      <c r="AA36" s="211" t="inlineStr">
        <is>
          <t>LND</t>
        </is>
      </c>
      <c r="AB36" s="211" t="inlineStr">
        <is>
          <t>LND</t>
        </is>
      </c>
      <c r="AC36" s="211" t="inlineStr">
        <is>
          <t>LND</t>
        </is>
      </c>
      <c r="AD36" s="211" t="inlineStr">
        <is>
          <t>LND</t>
        </is>
      </c>
      <c r="AE36" s="211" t="inlineStr">
        <is>
          <t>PHE/PER PM
PER/NTL PM</t>
        </is>
      </c>
      <c r="AF36" s="222" t="inlineStr">
        <is>
          <t>RnR</t>
        </is>
      </c>
      <c r="AG36" s="222" t="inlineStr">
        <is>
          <t>RnR</t>
        </is>
      </c>
      <c r="AH36" s="222" t="inlineStr">
        <is>
          <t>RnR</t>
        </is>
      </c>
      <c r="AI36" s="222" t="inlineStr">
        <is>
          <t>RnR</t>
        </is>
      </c>
      <c r="AJ36" s="222" t="inlineStr">
        <is>
          <t>RnR</t>
        </is>
      </c>
      <c r="AK36" s="211" t="inlineStr">
        <is>
          <t>NTL/PER AM
PER/PHE PM
LND</t>
        </is>
      </c>
      <c r="AL36" s="211" t="inlineStr">
        <is>
          <t>LND</t>
        </is>
      </c>
      <c r="AM36" s="211" t="inlineStr">
        <is>
          <t>LND</t>
        </is>
      </c>
      <c r="AN36" s="211" t="inlineStr">
        <is>
          <t>LND</t>
        </is>
      </c>
      <c r="AO36" s="211" t="inlineStr">
        <is>
          <t>LND</t>
        </is>
      </c>
      <c r="AP36" s="211" t="inlineStr">
        <is>
          <t>LND</t>
        </is>
      </c>
      <c r="AQ36" s="211" t="inlineStr">
        <is>
          <t>LND</t>
        </is>
      </c>
      <c r="AR36" s="211" t="inlineStr">
        <is>
          <t>LND</t>
        </is>
      </c>
      <c r="AS36" s="211" t="inlineStr">
        <is>
          <t>LND</t>
        </is>
      </c>
      <c r="AT36" s="211" t="inlineStr">
        <is>
          <t>LND</t>
        </is>
      </c>
      <c r="AU36" s="211" t="inlineStr">
        <is>
          <t>LND</t>
        </is>
      </c>
      <c r="AV36" s="211" t="inlineStr">
        <is>
          <t>LND</t>
        </is>
      </c>
      <c r="AW36" s="211" t="inlineStr">
        <is>
          <t>LND</t>
        </is>
      </c>
      <c r="AX36" s="211" t="inlineStr">
        <is>
          <t>LND</t>
        </is>
      </c>
      <c r="AY36" s="211" t="inlineStr">
        <is>
          <t>PHE/PER PM
PER/NTL PM</t>
        </is>
      </c>
      <c r="AZ36" s="222" t="inlineStr">
        <is>
          <t>RnR</t>
        </is>
      </c>
      <c r="BA36" s="222" t="inlineStr">
        <is>
          <t>RnR</t>
        </is>
      </c>
      <c r="BB36" s="222" t="inlineStr">
        <is>
          <t>RnR</t>
        </is>
      </c>
      <c r="BC36" s="222" t="inlineStr">
        <is>
          <t>RnR</t>
        </is>
      </c>
      <c r="BD36" s="222" t="inlineStr">
        <is>
          <t>RnR</t>
        </is>
      </c>
      <c r="BE36" s="222" t="inlineStr">
        <is>
          <t>RnR</t>
        </is>
      </c>
      <c r="BF36" s="211" t="inlineStr">
        <is>
          <t>NTL/PER AM
PER/PHE PM
LND</t>
        </is>
      </c>
      <c r="BG36" s="211" t="inlineStr">
        <is>
          <t>RDM</t>
        </is>
      </c>
      <c r="BH36" s="211" t="inlineStr">
        <is>
          <t>RDM</t>
        </is>
      </c>
      <c r="BI36" s="211" t="inlineStr">
        <is>
          <t>RDM</t>
        </is>
      </c>
      <c r="BJ36" s="211" t="inlineStr">
        <is>
          <t>RDM</t>
        </is>
      </c>
      <c r="BK36" s="211" t="inlineStr">
        <is>
          <t>RDM</t>
        </is>
      </c>
      <c r="BL36" s="211" t="inlineStr">
        <is>
          <t>RDM</t>
        </is>
      </c>
      <c r="BM36" s="211" t="inlineStr">
        <is>
          <t>RDM</t>
        </is>
      </c>
      <c r="BN36" s="211" t="inlineStr">
        <is>
          <t>RDM</t>
        </is>
      </c>
      <c r="BO36" s="211" t="inlineStr">
        <is>
          <t>RDM</t>
        </is>
      </c>
      <c r="BP36" s="211" t="inlineStr">
        <is>
          <t>RDM</t>
        </is>
      </c>
      <c r="BQ36" s="211" t="inlineStr">
        <is>
          <t>RDM</t>
        </is>
      </c>
      <c r="BR36" s="211" t="inlineStr">
        <is>
          <t>RDM</t>
        </is>
      </c>
      <c r="BS36" s="211" t="inlineStr">
        <is>
          <t>RDM</t>
        </is>
      </c>
      <c r="BT36" s="211" t="inlineStr">
        <is>
          <t>PHE/PER PM
PER/NTL PM</t>
        </is>
      </c>
      <c r="BU36" s="222" t="inlineStr">
        <is>
          <t>RnR</t>
        </is>
      </c>
      <c r="BV36" s="222" t="inlineStr">
        <is>
          <t>RnR</t>
        </is>
      </c>
      <c r="BW36" s="222" t="inlineStr">
        <is>
          <t>RnR</t>
        </is>
      </c>
      <c r="BX36" s="222" t="inlineStr">
        <is>
          <t>RnR</t>
        </is>
      </c>
      <c r="BY36" s="222" t="inlineStr">
        <is>
          <t>RnR</t>
        </is>
      </c>
      <c r="BZ36" s="222" t="inlineStr">
        <is>
          <t>RnR</t>
        </is>
      </c>
      <c r="CA36" s="222" t="inlineStr">
        <is>
          <t>MISSED 
FLIGHT</t>
        </is>
      </c>
      <c r="CB36" s="215" t="inlineStr">
        <is>
          <t>PER/PHE AM
WRR</t>
        </is>
      </c>
      <c r="CC36" s="215" t="inlineStr">
        <is>
          <t>WRR</t>
        </is>
      </c>
      <c r="CD36" s="215" t="inlineStr">
        <is>
          <t>WRR</t>
        </is>
      </c>
      <c r="CE36" s="215" t="inlineStr">
        <is>
          <t>WRR</t>
        </is>
      </c>
      <c r="CF36" s="215" t="inlineStr">
        <is>
          <t>WRR</t>
        </is>
      </c>
      <c r="CG36" s="215" t="inlineStr">
        <is>
          <t>WRR</t>
        </is>
      </c>
      <c r="CH36" s="215" t="inlineStr">
        <is>
          <t>WRR</t>
        </is>
      </c>
      <c r="CI36" s="210" t="inlineStr">
        <is>
          <t>WRR</t>
        </is>
      </c>
      <c r="CJ36" s="210" t="inlineStr">
        <is>
          <t>WRR</t>
        </is>
      </c>
      <c r="CK36" s="210" t="inlineStr">
        <is>
          <t>WRR</t>
        </is>
      </c>
      <c r="CL36" s="210" t="inlineStr">
        <is>
          <t>WRR</t>
        </is>
      </c>
      <c r="CM36" s="215" t="inlineStr">
        <is>
          <t>SPX</t>
        </is>
      </c>
      <c r="CN36" s="215" t="inlineStr">
        <is>
          <t>SPX</t>
        </is>
      </c>
      <c r="CO36" s="210" t="inlineStr">
        <is>
          <t>BYP/PER PM</t>
        </is>
      </c>
      <c r="CP36" s="210" t="inlineStr">
        <is>
          <t>N/A</t>
        </is>
      </c>
      <c r="CQ36" s="210" t="inlineStr">
        <is>
          <t>N/A</t>
        </is>
      </c>
      <c r="CR36" s="210" t="inlineStr">
        <is>
          <t>N/A</t>
        </is>
      </c>
      <c r="CS36" s="210" t="inlineStr">
        <is>
          <t>N/A</t>
        </is>
      </c>
      <c r="CT36" s="210" t="inlineStr">
        <is>
          <t>N/A</t>
        </is>
      </c>
      <c r="CU36" s="210" t="inlineStr">
        <is>
          <t>N/A</t>
        </is>
      </c>
      <c r="CV36" s="210" t="inlineStr">
        <is>
          <t>PER/BYP PM</t>
        </is>
      </c>
      <c r="CW36" s="210" t="inlineStr">
        <is>
          <t>SPX</t>
        </is>
      </c>
      <c r="CX36" s="210" t="inlineStr">
        <is>
          <t>SPX</t>
        </is>
      </c>
      <c r="CY36" s="210" t="inlineStr">
        <is>
          <t>SPX</t>
        </is>
      </c>
      <c r="CZ36" s="210" t="inlineStr">
        <is>
          <t>SPX</t>
        </is>
      </c>
      <c r="DA36" s="210" t="inlineStr">
        <is>
          <t>SPX</t>
        </is>
      </c>
      <c r="DB36" s="210" t="inlineStr">
        <is>
          <t>SPX</t>
        </is>
      </c>
      <c r="DC36" s="210" t="inlineStr">
        <is>
          <t>SPX</t>
        </is>
      </c>
      <c r="DD36" s="210" t="inlineStr">
        <is>
          <t>SPX</t>
        </is>
      </c>
      <c r="DE36" s="210" t="inlineStr">
        <is>
          <t>PHE/PER PM</t>
        </is>
      </c>
      <c r="DF36" s="217" t="inlineStr">
        <is>
          <t>DEMOB</t>
        </is>
      </c>
      <c r="DG36" s="210" t="inlineStr">
        <is>
          <t>N/A</t>
        </is>
      </c>
      <c r="DH36" s="210" t="inlineStr">
        <is>
          <t>N/A</t>
        </is>
      </c>
      <c r="DI36" s="210" t="inlineStr">
        <is>
          <t>N/A</t>
        </is>
      </c>
      <c r="DJ36" s="210" t="inlineStr">
        <is>
          <t>N/A</t>
        </is>
      </c>
      <c r="DK36" s="210" t="inlineStr">
        <is>
          <t>N/A</t>
        </is>
      </c>
      <c r="DL36" s="210" t="inlineStr">
        <is>
          <t>N/A</t>
        </is>
      </c>
      <c r="DM36" s="210" t="inlineStr">
        <is>
          <t>N/A</t>
        </is>
      </c>
      <c r="DN36" s="210" t="inlineStr">
        <is>
          <t>N/A</t>
        </is>
      </c>
      <c r="DO36" s="210" t="inlineStr">
        <is>
          <t>N/A</t>
        </is>
      </c>
      <c r="DP36" s="210" t="inlineStr">
        <is>
          <t>N/A</t>
        </is>
      </c>
      <c r="DQ36" s="210" t="inlineStr">
        <is>
          <t>N/A</t>
        </is>
      </c>
      <c r="DR36" s="212" t="n"/>
      <c r="DS36" s="212" t="n"/>
      <c r="DT36" s="212" t="n"/>
      <c r="DU36" s="212" t="n"/>
      <c r="DV36" s="212" t="n"/>
      <c r="DW36" s="212" t="n"/>
      <c r="DX36" s="212" t="n"/>
      <c r="DY36" s="212" t="n"/>
      <c r="DZ36" s="212" t="n"/>
      <c r="EA36" s="212" t="n"/>
      <c r="EB36" s="212" t="n"/>
      <c r="EC36" s="212" t="n"/>
      <c r="ED36" s="212" t="n"/>
      <c r="EE36" s="212" t="n"/>
      <c r="EF36" s="212" t="n"/>
      <c r="EG36" s="212" t="n"/>
      <c r="EH36" s="212" t="n"/>
      <c r="EI36" s="212" t="n"/>
      <c r="EJ36" s="212" t="n"/>
      <c r="EK36" s="212" t="n"/>
      <c r="EL36" s="212" t="n"/>
      <c r="EM36" s="212" t="n"/>
      <c r="EN36" s="212" t="n"/>
      <c r="EO36" s="212" t="n"/>
      <c r="EP36" s="212" t="n"/>
      <c r="EQ36" s="212" t="n"/>
      <c r="ER36" s="212" t="n"/>
      <c r="ES36" s="212" t="n"/>
      <c r="ET36" s="212" t="n"/>
      <c r="EU36" s="212" t="n"/>
      <c r="EV36" s="212" t="n"/>
      <c r="EW36" s="212" t="n"/>
      <c r="EX36" s="212" t="n"/>
      <c r="EY36" s="212" t="n"/>
      <c r="EZ36" s="212" t="n"/>
      <c r="FA36" s="212" t="n"/>
      <c r="FB36" s="212" t="n"/>
      <c r="FC36" s="212" t="n"/>
      <c r="FD36" s="212" t="n"/>
      <c r="FE36" s="212" t="n"/>
      <c r="FF36" s="212" t="n"/>
      <c r="FG36" s="212" t="n"/>
      <c r="FH36" s="212" t="n"/>
      <c r="FI36" s="212" t="n"/>
      <c r="FJ36" s="212" t="n"/>
      <c r="FK36" s="212" t="n"/>
      <c r="FL36" s="212" t="n"/>
      <c r="FM36" s="212" t="n"/>
      <c r="FN36" s="212" t="n"/>
      <c r="FO36" s="212" t="n"/>
      <c r="FP36" s="212" t="n"/>
      <c r="FQ36" s="212" t="n"/>
      <c r="FR36" s="212" t="n"/>
      <c r="FS36" s="212" t="n"/>
      <c r="FT36" s="212" t="n"/>
      <c r="FU36" s="212" t="n"/>
      <c r="FV36" s="212" t="n"/>
      <c r="FW36" s="212" t="n"/>
      <c r="FX36" s="212" t="n"/>
      <c r="FY36" s="212" t="n"/>
      <c r="FZ36" s="212" t="n"/>
      <c r="GA36" s="212" t="n"/>
      <c r="GB36" s="212" t="n"/>
      <c r="GC36" s="212" t="n"/>
      <c r="GD36" s="212" t="n"/>
      <c r="GE36" s="212" t="n"/>
      <c r="GF36" s="212" t="n"/>
      <c r="GG36" s="212" t="n"/>
      <c r="GH36" s="212" t="n"/>
      <c r="GI36" s="212" t="n"/>
      <c r="GJ36" s="212" t="n"/>
      <c r="GK36" s="212" t="n"/>
      <c r="GL36" s="212" t="n"/>
      <c r="GM36" s="212" t="n"/>
      <c r="GN36" s="212" t="n"/>
      <c r="GO36" s="212" t="n"/>
      <c r="GP36" s="212" t="n"/>
      <c r="GQ36" s="212" t="n"/>
      <c r="GR36" s="212" t="n"/>
      <c r="GS36" s="212" t="n"/>
      <c r="GT36" s="212" t="n"/>
      <c r="GU36" s="212" t="n"/>
      <c r="GV36" s="212" t="n"/>
      <c r="GW36" s="212" t="n"/>
      <c r="GX36" s="212" t="n"/>
      <c r="GY36" s="212" t="n"/>
      <c r="GZ36" s="212" t="n"/>
      <c r="HA36" s="212" t="n"/>
      <c r="HB36" s="212" t="n"/>
      <c r="HC36" s="212" t="n"/>
      <c r="HD36" s="212" t="n"/>
      <c r="HE36" s="212" t="n"/>
      <c r="HF36" s="212" t="n"/>
      <c r="HG36" s="212" t="n"/>
      <c r="HH36" s="212" t="n"/>
      <c r="HI36" s="212" t="n"/>
      <c r="HJ36" s="212" t="n"/>
      <c r="HK36" s="212" t="n"/>
      <c r="HL36" s="212" t="n"/>
      <c r="HM36" s="212" t="n"/>
      <c r="HN36" s="212" t="n"/>
      <c r="HO36" s="212" t="n"/>
      <c r="HP36" s="212" t="n"/>
      <c r="HQ36" s="212" t="n"/>
      <c r="HR36" s="212" t="n"/>
      <c r="HS36" s="212" t="n"/>
      <c r="HT36" s="212" t="n"/>
      <c r="HU36" s="212" t="n"/>
      <c r="HV36" s="212" t="n"/>
      <c r="HW36" s="212" t="n"/>
      <c r="HX36" s="212" t="n"/>
      <c r="HY36" s="212" t="n"/>
      <c r="HZ36" s="212" t="n"/>
      <c r="IA36" s="212" t="n"/>
      <c r="IB36" s="212" t="n"/>
      <c r="IC36" s="212" t="n"/>
      <c r="ID36" s="212" t="n"/>
      <c r="IE36" s="212" t="n"/>
      <c r="IF36" s="212" t="n"/>
      <c r="IG36" s="212" t="n"/>
      <c r="IH36" s="212" t="n"/>
      <c r="II36" s="212" t="n"/>
      <c r="IJ36" s="212" t="n"/>
      <c r="IK36" s="212" t="n"/>
      <c r="IL36" s="212" t="n"/>
      <c r="IM36" s="212" t="n"/>
      <c r="IN36" s="212" t="n"/>
      <c r="IO36" s="212" t="n"/>
      <c r="IP36" s="212" t="n"/>
      <c r="IQ36" s="212" t="n"/>
      <c r="IR36" s="212" t="n"/>
      <c r="IS36" s="212" t="n"/>
      <c r="IT36" s="212" t="n"/>
      <c r="IU36" s="212" t="n"/>
      <c r="IV36" s="212" t="n"/>
      <c r="IW36" s="212" t="n"/>
      <c r="IX36" s="212" t="n"/>
      <c r="IY36" s="212" t="n"/>
      <c r="IZ36" s="212" t="n"/>
      <c r="JA36" s="212" t="n"/>
      <c r="JB36" s="212" t="n"/>
      <c r="JC36" s="212" t="n"/>
      <c r="JD36" s="212" t="n"/>
      <c r="JE36" s="212" t="n"/>
      <c r="JF36" s="212" t="n"/>
      <c r="JG36" s="212" t="n"/>
      <c r="JH36" s="212" t="n"/>
      <c r="JI36" s="212" t="n"/>
      <c r="JJ36" s="212" t="n"/>
      <c r="JK36" s="212" t="n"/>
      <c r="JL36" s="212" t="n"/>
      <c r="JM36" s="212" t="n"/>
      <c r="JN36" s="212" t="n"/>
      <c r="JO36" s="212" t="n"/>
      <c r="JP36" s="212" t="n"/>
      <c r="JQ36" s="212" t="n"/>
      <c r="JR36" s="212" t="n"/>
      <c r="JS36" s="212" t="n"/>
      <c r="JT36" s="212" t="n"/>
      <c r="JU36" s="212" t="n"/>
      <c r="JV36" s="212" t="n"/>
      <c r="JW36" s="212" t="n"/>
      <c r="JX36" s="212" t="n"/>
      <c r="JY36" s="212" t="n"/>
      <c r="JZ36" s="212" t="n"/>
      <c r="KA36" s="212" t="n"/>
      <c r="KB36" s="212" t="n"/>
      <c r="KC36" s="212" t="n"/>
      <c r="KD36" s="212" t="n"/>
      <c r="KE36" s="212" t="n"/>
      <c r="KF36" s="212" t="n"/>
      <c r="KG36" s="212" t="n"/>
      <c r="KH36" s="212" t="n"/>
      <c r="KI36" s="212" t="n"/>
      <c r="KJ36" s="212" t="n"/>
      <c r="KK36" s="212" t="n"/>
      <c r="KL36" s="212" t="n"/>
      <c r="KM36" s="212" t="n"/>
      <c r="KN36" s="212" t="n"/>
      <c r="KO36" s="212" t="n"/>
      <c r="KP36" s="212" t="n"/>
      <c r="KQ36" s="212" t="n"/>
      <c r="KR36" s="212" t="n"/>
      <c r="KS36" s="212" t="n"/>
      <c r="KT36" s="212" t="n"/>
      <c r="KU36" s="212" t="n"/>
      <c r="KV36" s="212" t="n"/>
      <c r="KW36" s="212" t="n"/>
      <c r="KX36" s="212" t="n"/>
      <c r="KY36" s="212" t="n"/>
      <c r="KZ36" s="212" t="n"/>
      <c r="LA36" s="212" t="n"/>
      <c r="LB36" s="212" t="n"/>
      <c r="LC36" s="212" t="n"/>
      <c r="LD36" s="212" t="n"/>
      <c r="LE36" s="212" t="n"/>
      <c r="LF36" s="212" t="n"/>
      <c r="LG36" s="212" t="n"/>
      <c r="LH36" s="212" t="n"/>
      <c r="LI36" s="212" t="n"/>
      <c r="LJ36" s="212" t="n"/>
      <c r="LK36" s="212" t="n"/>
      <c r="LL36" s="212" t="n"/>
      <c r="LM36" s="212" t="n"/>
      <c r="LN36" s="212" t="n"/>
      <c r="LO36" s="212" t="n"/>
      <c r="LP36" s="212" t="n"/>
      <c r="LQ36" s="212" t="n"/>
      <c r="LR36" s="212" t="n"/>
      <c r="LS36" s="212" t="n"/>
      <c r="LT36" s="212" t="n"/>
      <c r="LU36" s="212" t="n"/>
      <c r="LV36" s="212" t="n"/>
      <c r="LW36" s="212" t="n"/>
      <c r="LX36" s="212" t="n"/>
      <c r="LY36" s="212" t="n"/>
      <c r="LZ36" s="212" t="n"/>
      <c r="MA36" s="212" t="n"/>
      <c r="MB36" s="212" t="n"/>
      <c r="MC36" s="212" t="n"/>
      <c r="MD36" s="212" t="n"/>
      <c r="ME36" s="212" t="n"/>
      <c r="MF36" s="212" t="n"/>
      <c r="MG36" s="212" t="n"/>
      <c r="MH36" s="212" t="n"/>
      <c r="MI36" s="212" t="n"/>
      <c r="MJ36" s="212" t="n"/>
      <c r="MK36" s="212" t="n"/>
      <c r="ML36" s="212" t="n"/>
      <c r="MM36" s="212" t="n"/>
      <c r="MN36" s="212" t="n"/>
      <c r="MO36" s="212" t="n"/>
      <c r="MP36" s="212" t="n"/>
      <c r="MQ36" s="212" t="n"/>
      <c r="MR36" s="212" t="n"/>
      <c r="MS36" s="212" t="n"/>
      <c r="MT36" s="212" t="n"/>
      <c r="MU36" s="212" t="n"/>
      <c r="MV36" s="212" t="n"/>
      <c r="MW36" s="212" t="n"/>
      <c r="MX36" s="212" t="n"/>
      <c r="MY36" s="212" t="n"/>
      <c r="MZ36" s="212" t="n"/>
      <c r="NA36" s="212" t="n"/>
      <c r="NB36" s="212" t="n"/>
      <c r="NC36" s="212" t="n"/>
      <c r="ND36" s="212" t="n"/>
      <c r="NE36" s="212" t="n"/>
      <c r="NF36" s="212" t="n"/>
      <c r="NG36" s="212" t="n"/>
      <c r="NH36" s="212" t="n"/>
      <c r="NI36" s="212" t="n"/>
      <c r="NJ36" s="212" t="n"/>
      <c r="NK36" s="212" t="n"/>
      <c r="NL36" s="212" t="n"/>
      <c r="NM36" s="212" t="n"/>
      <c r="NN36" s="212" t="n"/>
      <c r="NO36" s="212" t="n"/>
      <c r="NP36" s="212" t="n"/>
      <c r="NQ36" s="212" t="n"/>
      <c r="NR36" s="212" t="n"/>
      <c r="NS36" s="212" t="n"/>
      <c r="NT36" s="212" t="n"/>
      <c r="NU36" s="212" t="n"/>
      <c r="NV36" s="212" t="n"/>
      <c r="NW36" s="212" t="n"/>
      <c r="NX36" s="212" t="n"/>
      <c r="NY36" s="212" t="n"/>
      <c r="NZ36" s="212" t="n"/>
      <c r="OA36" s="212" t="n"/>
      <c r="OB36" s="212" t="n"/>
      <c r="OC36" s="212" t="n"/>
      <c r="OD36" s="212" t="n"/>
      <c r="OE36" s="212" t="n"/>
      <c r="OF36" s="212" t="n"/>
      <c r="OG36" s="212" t="n"/>
      <c r="OH36" s="212" t="n"/>
      <c r="OI36" s="212" t="n"/>
      <c r="OJ36" s="212" t="n"/>
      <c r="OK36" s="212" t="n"/>
      <c r="OL36" s="212" t="n"/>
      <c r="OM36" s="212" t="n"/>
      <c r="ON36" s="212" t="n"/>
      <c r="OO36" s="212" t="n"/>
      <c r="OP36" s="212" t="n"/>
      <c r="OQ36" s="212" t="n"/>
      <c r="OR36" s="212" t="n"/>
      <c r="OS36" s="212" t="n"/>
      <c r="OT36" s="212" t="n"/>
      <c r="OU36" s="212" t="n"/>
      <c r="OV36" s="212" t="n"/>
      <c r="OW36" s="212" t="n"/>
      <c r="OX36" s="212" t="n"/>
      <c r="OY36" s="212" t="n"/>
      <c r="OZ36" s="212" t="n"/>
      <c r="PA36" s="212" t="n"/>
      <c r="PB36" s="212" t="n"/>
      <c r="PC36" s="212" t="n"/>
      <c r="PD36" s="212" t="n"/>
      <c r="PE36" s="212" t="n"/>
      <c r="PF36" s="212" t="n"/>
      <c r="PG36" s="212" t="n"/>
      <c r="PH36" s="212" t="n"/>
      <c r="PI36" s="212" t="n"/>
      <c r="PJ36" s="212" t="n"/>
      <c r="PK36" s="212" t="n"/>
      <c r="PL36" s="212" t="n"/>
      <c r="PM36" s="212" t="n"/>
      <c r="PN36" s="212" t="n"/>
      <c r="PO36" s="212" t="n"/>
      <c r="PP36" s="212" t="n"/>
      <c r="PQ36" s="212" t="n"/>
      <c r="PR36" s="212" t="n"/>
      <c r="PS36" s="212" t="n"/>
      <c r="PT36" s="212" t="n"/>
      <c r="PU36" s="212" t="n"/>
      <c r="PV36" s="212" t="n"/>
      <c r="PW36" s="212" t="n"/>
      <c r="PX36" s="212" t="n"/>
      <c r="PY36" s="212" t="n"/>
      <c r="PZ36" s="212" t="n"/>
      <c r="QA36" s="212" t="n"/>
      <c r="QB36" s="212" t="n"/>
      <c r="QC36" s="212" t="n"/>
      <c r="QD36" s="212" t="n"/>
      <c r="QE36" s="212" t="n"/>
      <c r="QF36" s="212" t="n"/>
      <c r="QG36" s="212" t="n"/>
      <c r="QH36" s="212" t="n"/>
      <c r="QI36" s="212" t="n"/>
      <c r="QJ36" s="212" t="n"/>
      <c r="QK36" s="212" t="n"/>
      <c r="QL36" s="212" t="n"/>
      <c r="QM36" s="212" t="n"/>
      <c r="QN36" s="212" t="n"/>
      <c r="QO36" s="212" t="n"/>
      <c r="QP36" s="212" t="n"/>
      <c r="QQ36" s="212" t="n"/>
      <c r="QR36" s="212" t="n"/>
      <c r="QS36" s="212" t="n"/>
      <c r="QT36" s="212" t="n"/>
      <c r="QU36" s="212" t="n"/>
      <c r="QV36" s="212" t="n"/>
      <c r="QW36" s="212" t="n"/>
      <c r="QX36" s="212" t="n"/>
      <c r="QY36" s="212" t="n"/>
      <c r="QZ36" s="212" t="n"/>
      <c r="RA36" s="212" t="n"/>
      <c r="RB36" s="212" t="n"/>
      <c r="RC36" s="212" t="n"/>
      <c r="RD36" s="212" t="n"/>
      <c r="RE36" s="212" t="n"/>
      <c r="RF36" s="212" t="n"/>
      <c r="RG36" s="212" t="n"/>
      <c r="RH36" s="212" t="n"/>
      <c r="RI36" s="212" t="n"/>
      <c r="RJ36" s="212" t="n"/>
      <c r="RK36" s="212" t="n"/>
      <c r="RL36" s="212" t="n"/>
      <c r="RM36" s="212" t="n"/>
      <c r="RN36" s="212" t="n"/>
      <c r="RO36" s="212" t="n"/>
      <c r="RP36" s="212" t="n"/>
      <c r="RQ36" s="212" t="n"/>
      <c r="RR36" s="212" t="n"/>
      <c r="RS36" s="212" t="n"/>
      <c r="RT36" s="212" t="n"/>
      <c r="RU36" s="212" t="n"/>
      <c r="RV36" s="212" t="n"/>
      <c r="RW36" s="212" t="n"/>
      <c r="RX36" s="212" t="n"/>
      <c r="RY36" s="212" t="n"/>
      <c r="RZ36" s="212" t="n"/>
      <c r="SA36" s="212" t="n"/>
      <c r="SB36" s="212" t="n"/>
      <c r="SC36" s="212" t="n"/>
      <c r="SD36" s="212" t="n"/>
      <c r="SE36" s="212" t="n"/>
      <c r="SF36" s="212" t="n"/>
      <c r="SG36" s="212" t="n"/>
      <c r="SH36" s="212" t="n"/>
      <c r="SI36" s="212" t="n"/>
      <c r="SJ36" s="212" t="n"/>
      <c r="SK36" s="212" t="n"/>
      <c r="SL36" s="212" t="n"/>
      <c r="SM36" s="212" t="n"/>
      <c r="SN36" s="212" t="n"/>
      <c r="SO36" s="212" t="n"/>
      <c r="SP36" s="212" t="n"/>
      <c r="SQ36" s="212" t="n"/>
      <c r="SR36" s="212" t="n"/>
      <c r="SS36" s="212" t="n"/>
      <c r="ST36" s="212" t="n"/>
      <c r="SU36" s="212" t="n"/>
      <c r="SV36" s="212" t="n"/>
    </row>
    <row r="37">
      <c r="B37" s="209" t="n">
        <v>5</v>
      </c>
      <c r="C37" s="209" t="inlineStr">
        <is>
          <t>Wabtec</t>
        </is>
      </c>
      <c r="D37" s="209" t="inlineStr">
        <is>
          <t>Declan</t>
        </is>
      </c>
      <c r="E37" s="209" t="inlineStr">
        <is>
          <t>Turner</t>
        </is>
      </c>
      <c r="F37" s="209">
        <f>IF(TRIM(D37&amp;E37)="","",TRIM(D37)&amp;" "&amp;TRIM(E37))</f>
        <v/>
      </c>
      <c r="G37" s="209" t="inlineStr">
        <is>
          <t>Perth</t>
        </is>
      </c>
      <c r="H37" s="209" t="inlineStr">
        <is>
          <t>Electrician (Replacing Michael MITROVIC)</t>
        </is>
      </c>
      <c r="I37" s="209" t="inlineStr">
        <is>
          <t>NO</t>
        </is>
      </c>
      <c r="J37" s="209" t="inlineStr">
        <is>
          <t>NO</t>
        </is>
      </c>
      <c r="K37" s="209" t="inlineStr">
        <is>
          <t>NO</t>
        </is>
      </c>
      <c r="L37" s="209" t="inlineStr">
        <is>
          <t>NO</t>
        </is>
      </c>
      <c r="M37" s="209" t="inlineStr">
        <is>
          <t>Quals Complete</t>
        </is>
      </c>
      <c r="N37" s="209" t="inlineStr">
        <is>
          <t>Declan.turner@wabtec.com</t>
        </is>
      </c>
      <c r="O37" s="209" t="inlineStr">
        <is>
          <t>0436 000 644</t>
        </is>
      </c>
      <c r="P37" s="209" t="n">
        <v>827109</v>
      </c>
      <c r="Q37" s="209" t="n">
        <v>441491</v>
      </c>
      <c r="R37" s="209" t="inlineStr">
        <is>
          <t>2:1</t>
        </is>
      </c>
      <c r="S37" s="210" t="inlineStr">
        <is>
          <t>N/A</t>
        </is>
      </c>
      <c r="T37" s="210" t="inlineStr">
        <is>
          <t>N/A</t>
        </is>
      </c>
      <c r="U37" s="210" t="inlineStr">
        <is>
          <t>N/A</t>
        </is>
      </c>
      <c r="V37" s="210" t="inlineStr">
        <is>
          <t>N/A</t>
        </is>
      </c>
      <c r="W37" s="210" t="inlineStr">
        <is>
          <t>N/A</t>
        </is>
      </c>
      <c r="X37" s="210" t="inlineStr">
        <is>
          <t>N/A</t>
        </is>
      </c>
      <c r="Y37" s="210" t="inlineStr">
        <is>
          <t>N/A</t>
        </is>
      </c>
      <c r="Z37" s="210" t="inlineStr">
        <is>
          <t>N/A</t>
        </is>
      </c>
      <c r="AA37" s="210" t="inlineStr">
        <is>
          <t>N/A</t>
        </is>
      </c>
      <c r="AB37" s="210" t="inlineStr">
        <is>
          <t>N/A</t>
        </is>
      </c>
      <c r="AC37" s="210" t="inlineStr">
        <is>
          <t>N/A</t>
        </is>
      </c>
      <c r="AD37" s="210" t="inlineStr">
        <is>
          <t>N/A</t>
        </is>
      </c>
      <c r="AE37" s="210" t="inlineStr">
        <is>
          <t>N/A</t>
        </is>
      </c>
      <c r="AF37" s="210" t="inlineStr">
        <is>
          <t>N/A</t>
        </is>
      </c>
      <c r="AG37" s="210" t="inlineStr">
        <is>
          <t>N/A</t>
        </is>
      </c>
      <c r="AH37" s="210" t="inlineStr">
        <is>
          <t>N/A</t>
        </is>
      </c>
      <c r="AI37" s="210" t="inlineStr">
        <is>
          <t>N/A</t>
        </is>
      </c>
      <c r="AJ37" s="210" t="inlineStr">
        <is>
          <t>N/A</t>
        </is>
      </c>
      <c r="AK37" s="210" t="inlineStr">
        <is>
          <t>N/A</t>
        </is>
      </c>
      <c r="AL37" s="210" t="inlineStr">
        <is>
          <t>N/A</t>
        </is>
      </c>
      <c r="AM37" s="210" t="inlineStr">
        <is>
          <t>N/A</t>
        </is>
      </c>
      <c r="AN37" s="210" t="inlineStr">
        <is>
          <t>N/A</t>
        </is>
      </c>
      <c r="AO37" s="210" t="inlineStr">
        <is>
          <t>N/A</t>
        </is>
      </c>
      <c r="AP37" s="210" t="inlineStr">
        <is>
          <t>N/A</t>
        </is>
      </c>
      <c r="AQ37" s="210" t="inlineStr">
        <is>
          <t>N/A</t>
        </is>
      </c>
      <c r="AR37" s="210" t="inlineStr">
        <is>
          <t>N/A</t>
        </is>
      </c>
      <c r="AS37" s="210" t="inlineStr">
        <is>
          <t>N/A</t>
        </is>
      </c>
      <c r="AT37" s="210" t="inlineStr">
        <is>
          <t>N/A</t>
        </is>
      </c>
      <c r="AU37" s="210" t="inlineStr">
        <is>
          <t>N/A</t>
        </is>
      </c>
      <c r="AV37" s="210" t="inlineStr">
        <is>
          <t>N/A</t>
        </is>
      </c>
      <c r="AW37" s="210" t="inlineStr">
        <is>
          <t>N/A</t>
        </is>
      </c>
      <c r="AX37" s="210" t="inlineStr">
        <is>
          <t>N/A</t>
        </is>
      </c>
      <c r="AY37" s="210" t="inlineStr">
        <is>
          <t>N/A</t>
        </is>
      </c>
      <c r="AZ37" s="210" t="inlineStr">
        <is>
          <t>N/A</t>
        </is>
      </c>
      <c r="BA37" s="210" t="inlineStr">
        <is>
          <t>N/A</t>
        </is>
      </c>
      <c r="BB37" s="210" t="inlineStr">
        <is>
          <t>N/A</t>
        </is>
      </c>
      <c r="BC37" s="210" t="inlineStr">
        <is>
          <t>N/A</t>
        </is>
      </c>
      <c r="BD37" s="210" t="inlineStr">
        <is>
          <t>N/A</t>
        </is>
      </c>
      <c r="BE37" s="210" t="inlineStr">
        <is>
          <t>N/A</t>
        </is>
      </c>
      <c r="BF37" s="210" t="inlineStr">
        <is>
          <t>N/A</t>
        </is>
      </c>
      <c r="BG37" s="211" t="inlineStr">
        <is>
          <t>PER/PHE PM
GWV</t>
        </is>
      </c>
      <c r="BH37" s="211" t="inlineStr">
        <is>
          <t>RDM</t>
        </is>
      </c>
      <c r="BI37" s="211" t="inlineStr">
        <is>
          <t>RDM</t>
        </is>
      </c>
      <c r="BJ37" s="211" t="inlineStr">
        <is>
          <t>RDM</t>
        </is>
      </c>
      <c r="BK37" s="211" t="inlineStr">
        <is>
          <t>RDM</t>
        </is>
      </c>
      <c r="BL37" s="211" t="inlineStr">
        <is>
          <t>RDM</t>
        </is>
      </c>
      <c r="BM37" s="211" t="inlineStr">
        <is>
          <t>RDM</t>
        </is>
      </c>
      <c r="BN37" s="211" t="inlineStr">
        <is>
          <t>RDM</t>
        </is>
      </c>
      <c r="BO37" s="211" t="inlineStr">
        <is>
          <t>RDM</t>
        </is>
      </c>
      <c r="BP37" s="211" t="inlineStr">
        <is>
          <t>RDM</t>
        </is>
      </c>
      <c r="BQ37" s="211" t="inlineStr">
        <is>
          <t>RDM</t>
        </is>
      </c>
      <c r="BR37" s="211" t="inlineStr">
        <is>
          <t>RDM</t>
        </is>
      </c>
      <c r="BS37" s="211" t="inlineStr">
        <is>
          <t>RDM</t>
        </is>
      </c>
      <c r="BT37" s="211" t="inlineStr">
        <is>
          <t>PHE/PER PM</t>
        </is>
      </c>
      <c r="BU37" s="210" t="inlineStr">
        <is>
          <t>N/A</t>
        </is>
      </c>
      <c r="BV37" s="210" t="inlineStr">
        <is>
          <t>N/A</t>
        </is>
      </c>
      <c r="BW37" s="210" t="inlineStr">
        <is>
          <t>N/A</t>
        </is>
      </c>
      <c r="BX37" s="210" t="inlineStr">
        <is>
          <t>N/A</t>
        </is>
      </c>
      <c r="BY37" s="210" t="inlineStr">
        <is>
          <t>N/A</t>
        </is>
      </c>
      <c r="BZ37" s="210" t="inlineStr">
        <is>
          <t>N/A</t>
        </is>
      </c>
      <c r="CA37" s="215" t="inlineStr">
        <is>
          <t>PER/PHE PM
GWV</t>
        </is>
      </c>
      <c r="CB37" s="215" t="inlineStr">
        <is>
          <t>WRR</t>
        </is>
      </c>
      <c r="CC37" s="215" t="inlineStr">
        <is>
          <t>WRR</t>
        </is>
      </c>
      <c r="CD37" s="215" t="inlineStr">
        <is>
          <t>WRR</t>
        </is>
      </c>
      <c r="CE37" s="215" t="inlineStr">
        <is>
          <t>WRR</t>
        </is>
      </c>
      <c r="CF37" s="215" t="inlineStr">
        <is>
          <t>WRR</t>
        </is>
      </c>
      <c r="CG37" s="215" t="inlineStr">
        <is>
          <t>WRR</t>
        </is>
      </c>
      <c r="CH37" s="215" t="inlineStr">
        <is>
          <t>WRR</t>
        </is>
      </c>
      <c r="CI37" s="210" t="inlineStr">
        <is>
          <t>WRR</t>
        </is>
      </c>
      <c r="CJ37" s="210" t="inlineStr">
        <is>
          <t>WRR</t>
        </is>
      </c>
      <c r="CK37" s="210" t="inlineStr">
        <is>
          <t>WRR</t>
        </is>
      </c>
      <c r="CL37" s="210" t="inlineStr">
        <is>
          <t>WRR</t>
        </is>
      </c>
      <c r="CM37" s="215" t="inlineStr">
        <is>
          <t>SPX</t>
        </is>
      </c>
      <c r="CN37" s="215" t="inlineStr">
        <is>
          <t>SPX</t>
        </is>
      </c>
      <c r="CO37" s="210" t="inlineStr">
        <is>
          <t>BYP/PER PM</t>
        </is>
      </c>
      <c r="CP37" s="210" t="inlineStr">
        <is>
          <t>N/A</t>
        </is>
      </c>
      <c r="CQ37" s="210" t="inlineStr">
        <is>
          <t>N/A</t>
        </is>
      </c>
      <c r="CR37" s="210" t="inlineStr">
        <is>
          <t>N/A</t>
        </is>
      </c>
      <c r="CS37" s="210" t="inlineStr">
        <is>
          <t>N/A</t>
        </is>
      </c>
      <c r="CT37" s="210" t="inlineStr">
        <is>
          <t>N/A</t>
        </is>
      </c>
      <c r="CU37" s="210" t="inlineStr">
        <is>
          <t>N/A</t>
        </is>
      </c>
      <c r="CV37" s="210" t="inlineStr">
        <is>
          <t>PER/BYP PM</t>
        </is>
      </c>
      <c r="CW37" s="210" t="inlineStr">
        <is>
          <t>SPX</t>
        </is>
      </c>
      <c r="CX37" s="210" t="inlineStr">
        <is>
          <t>SPX</t>
        </is>
      </c>
      <c r="CY37" s="210" t="inlineStr">
        <is>
          <t>SPX</t>
        </is>
      </c>
      <c r="CZ37" s="210" t="inlineStr">
        <is>
          <t>SPX</t>
        </is>
      </c>
      <c r="DA37" s="210" t="inlineStr">
        <is>
          <t>SPX</t>
        </is>
      </c>
      <c r="DB37" s="210" t="inlineStr">
        <is>
          <t>SPX</t>
        </is>
      </c>
      <c r="DC37" s="210" t="inlineStr">
        <is>
          <t>BYP/PER PM</t>
        </is>
      </c>
      <c r="DD37" s="217" t="inlineStr">
        <is>
          <t>DEMOB</t>
        </is>
      </c>
      <c r="DE37" s="210" t="inlineStr">
        <is>
          <t>N/A</t>
        </is>
      </c>
      <c r="DF37" s="210" t="inlineStr">
        <is>
          <t>N/A</t>
        </is>
      </c>
      <c r="DG37" s="210" t="inlineStr">
        <is>
          <t>N/A</t>
        </is>
      </c>
      <c r="DH37" s="210" t="inlineStr">
        <is>
          <t>N/A</t>
        </is>
      </c>
      <c r="DI37" s="210" t="inlineStr">
        <is>
          <t>N/A</t>
        </is>
      </c>
      <c r="DJ37" s="210" t="inlineStr">
        <is>
          <t>N/A</t>
        </is>
      </c>
      <c r="DK37" s="210" t="inlineStr">
        <is>
          <t>N/A</t>
        </is>
      </c>
      <c r="DL37" s="210" t="inlineStr">
        <is>
          <t>N/A</t>
        </is>
      </c>
      <c r="DM37" s="210" t="inlineStr">
        <is>
          <t>N/A</t>
        </is>
      </c>
      <c r="DN37" s="210" t="inlineStr">
        <is>
          <t>N/A</t>
        </is>
      </c>
      <c r="DO37" s="210" t="inlineStr">
        <is>
          <t>N/A</t>
        </is>
      </c>
      <c r="DP37" s="210" t="inlineStr">
        <is>
          <t>N/A</t>
        </is>
      </c>
      <c r="DQ37" s="210" t="inlineStr">
        <is>
          <t>N/A</t>
        </is>
      </c>
      <c r="DR37" s="212" t="n"/>
      <c r="DS37" s="212" t="n"/>
      <c r="DT37" s="212" t="n"/>
      <c r="DU37" s="212" t="n"/>
      <c r="DV37" s="212" t="n"/>
      <c r="DW37" s="212" t="n"/>
      <c r="DX37" s="212" t="n"/>
      <c r="DY37" s="212" t="n"/>
      <c r="DZ37" s="212" t="n"/>
      <c r="EA37" s="212" t="n"/>
      <c r="EB37" s="212" t="n"/>
      <c r="EC37" s="212" t="n"/>
      <c r="ED37" s="212" t="n"/>
      <c r="EE37" s="212" t="n"/>
      <c r="EF37" s="212" t="n"/>
      <c r="EG37" s="212" t="n"/>
      <c r="EH37" s="212" t="n"/>
      <c r="EI37" s="212" t="n"/>
      <c r="EJ37" s="212" t="n"/>
      <c r="EK37" s="212" t="n"/>
      <c r="EL37" s="212" t="n"/>
      <c r="EM37" s="212" t="n"/>
      <c r="EN37" s="212" t="n"/>
      <c r="EO37" s="212" t="n"/>
      <c r="EP37" s="212" t="n"/>
      <c r="EQ37" s="212" t="n"/>
      <c r="ER37" s="212" t="n"/>
      <c r="ES37" s="212" t="n"/>
      <c r="ET37" s="212" t="n"/>
      <c r="EU37" s="212" t="n"/>
      <c r="EV37" s="212" t="n"/>
      <c r="EW37" s="212" t="n"/>
      <c r="EX37" s="212" t="n"/>
      <c r="EY37" s="212" t="n"/>
      <c r="EZ37" s="212" t="n"/>
      <c r="FA37" s="212" t="n"/>
      <c r="FB37" s="212" t="n"/>
      <c r="FC37" s="212" t="n"/>
      <c r="FD37" s="212" t="n"/>
      <c r="FE37" s="212" t="n"/>
      <c r="FF37" s="212" t="n"/>
      <c r="FG37" s="212" t="n"/>
      <c r="FH37" s="212" t="n"/>
      <c r="FI37" s="212" t="n"/>
      <c r="FJ37" s="212" t="n"/>
      <c r="FK37" s="212" t="n"/>
      <c r="FL37" s="212" t="n"/>
      <c r="FM37" s="212" t="n"/>
      <c r="FN37" s="212" t="n"/>
      <c r="FO37" s="212" t="n"/>
      <c r="FP37" s="212" t="n"/>
      <c r="FQ37" s="212" t="n"/>
      <c r="FR37" s="212" t="n"/>
      <c r="FS37" s="212" t="n"/>
      <c r="FT37" s="212" t="n"/>
      <c r="FU37" s="212" t="n"/>
      <c r="FV37" s="212" t="n"/>
      <c r="FW37" s="212" t="n"/>
      <c r="FX37" s="212" t="n"/>
      <c r="FY37" s="212" t="n"/>
      <c r="FZ37" s="212" t="n"/>
      <c r="GA37" s="212" t="n"/>
      <c r="GB37" s="212" t="n"/>
      <c r="GC37" s="212" t="n"/>
      <c r="GD37" s="212" t="n"/>
      <c r="GE37" s="212" t="n"/>
      <c r="GF37" s="212" t="n"/>
      <c r="GG37" s="212" t="n"/>
      <c r="GH37" s="212" t="n"/>
      <c r="GI37" s="212" t="n"/>
      <c r="GJ37" s="212" t="n"/>
      <c r="GK37" s="212" t="n"/>
      <c r="GL37" s="212" t="n"/>
      <c r="GM37" s="212" t="n"/>
      <c r="GN37" s="212" t="n"/>
      <c r="GO37" s="212" t="n"/>
      <c r="GP37" s="212" t="n"/>
      <c r="GQ37" s="212" t="n"/>
      <c r="GR37" s="212" t="n"/>
      <c r="GS37" s="212" t="n"/>
      <c r="GT37" s="212" t="n"/>
      <c r="GU37" s="212" t="n"/>
      <c r="GV37" s="212" t="n"/>
      <c r="GW37" s="212" t="n"/>
      <c r="GX37" s="212" t="n"/>
      <c r="GY37" s="212" t="n"/>
      <c r="GZ37" s="212" t="n"/>
      <c r="HA37" s="212" t="n"/>
      <c r="HB37" s="212" t="n"/>
      <c r="HC37" s="212" t="n"/>
      <c r="HD37" s="212" t="n"/>
      <c r="HE37" s="212" t="n"/>
      <c r="HF37" s="212" t="n"/>
      <c r="HG37" s="212" t="n"/>
      <c r="HH37" s="212" t="n"/>
      <c r="HI37" s="212" t="n"/>
      <c r="HJ37" s="212" t="n"/>
      <c r="HK37" s="212" t="n"/>
      <c r="HL37" s="212" t="n"/>
      <c r="HM37" s="212" t="n"/>
      <c r="HN37" s="212" t="n"/>
      <c r="HO37" s="212" t="n"/>
      <c r="HP37" s="212" t="n"/>
      <c r="HQ37" s="212" t="n"/>
      <c r="HR37" s="212" t="n"/>
      <c r="HS37" s="212" t="n"/>
      <c r="HT37" s="212" t="n"/>
      <c r="HU37" s="212" t="n"/>
      <c r="HV37" s="212" t="n"/>
      <c r="HW37" s="212" t="n"/>
      <c r="HX37" s="212" t="n"/>
      <c r="HY37" s="212" t="n"/>
      <c r="HZ37" s="212" t="n"/>
      <c r="IA37" s="212" t="n"/>
      <c r="IB37" s="212" t="n"/>
      <c r="IC37" s="212" t="n"/>
      <c r="ID37" s="212" t="n"/>
      <c r="IE37" s="212" t="n"/>
      <c r="IF37" s="212" t="n"/>
      <c r="IG37" s="212" t="n"/>
      <c r="IH37" s="212" t="n"/>
      <c r="II37" s="212" t="n"/>
      <c r="IJ37" s="212" t="n"/>
      <c r="IK37" s="212" t="n"/>
      <c r="IL37" s="212" t="n"/>
      <c r="IM37" s="212" t="n"/>
      <c r="IN37" s="212" t="n"/>
      <c r="IO37" s="212" t="n"/>
      <c r="IP37" s="212" t="n"/>
      <c r="IQ37" s="212" t="n"/>
      <c r="IR37" s="212" t="n"/>
      <c r="IS37" s="212" t="n"/>
      <c r="IT37" s="212" t="n"/>
      <c r="IU37" s="212" t="n"/>
      <c r="IV37" s="212" t="n"/>
      <c r="IW37" s="212" t="n"/>
      <c r="IX37" s="212" t="n"/>
      <c r="IY37" s="212" t="n"/>
      <c r="IZ37" s="212" t="n"/>
      <c r="JA37" s="212" t="n"/>
      <c r="JB37" s="212" t="n"/>
      <c r="JC37" s="212" t="n"/>
      <c r="JD37" s="212" t="n"/>
      <c r="JE37" s="212" t="n"/>
      <c r="JF37" s="212" t="n"/>
      <c r="JG37" s="212" t="n"/>
      <c r="JH37" s="212" t="n"/>
      <c r="JI37" s="212" t="n"/>
      <c r="JJ37" s="212" t="n"/>
      <c r="JK37" s="212" t="n"/>
      <c r="JL37" s="212" t="n"/>
      <c r="JM37" s="212" t="n"/>
      <c r="JN37" s="212" t="n"/>
      <c r="JO37" s="212" t="n"/>
      <c r="JP37" s="212" t="n"/>
      <c r="JQ37" s="212" t="n"/>
      <c r="JR37" s="212" t="n"/>
      <c r="JS37" s="212" t="n"/>
      <c r="JT37" s="212" t="n"/>
      <c r="JU37" s="212" t="n"/>
      <c r="JV37" s="212" t="n"/>
      <c r="JW37" s="212" t="n"/>
      <c r="JX37" s="212" t="n"/>
      <c r="JY37" s="212" t="n"/>
      <c r="JZ37" s="212" t="n"/>
      <c r="KA37" s="212" t="n"/>
      <c r="KB37" s="212" t="n"/>
      <c r="KC37" s="212" t="n"/>
      <c r="KD37" s="212" t="n"/>
      <c r="KE37" s="212" t="n"/>
      <c r="KF37" s="212" t="n"/>
      <c r="KG37" s="212" t="n"/>
      <c r="KH37" s="212" t="n"/>
      <c r="KI37" s="212" t="n"/>
      <c r="KJ37" s="212" t="n"/>
      <c r="KK37" s="212" t="n"/>
      <c r="KL37" s="212" t="n"/>
      <c r="KM37" s="212" t="n"/>
      <c r="KN37" s="212" t="n"/>
      <c r="KO37" s="212" t="n"/>
      <c r="KP37" s="212" t="n"/>
      <c r="KQ37" s="212" t="n"/>
      <c r="KR37" s="212" t="n"/>
      <c r="KS37" s="212" t="n"/>
      <c r="KT37" s="212" t="n"/>
      <c r="KU37" s="212" t="n"/>
      <c r="KV37" s="212" t="n"/>
      <c r="KW37" s="212" t="n"/>
      <c r="KX37" s="212" t="n"/>
      <c r="KY37" s="212" t="n"/>
      <c r="KZ37" s="212" t="n"/>
      <c r="LA37" s="212" t="n"/>
      <c r="LB37" s="212" t="n"/>
      <c r="LC37" s="212" t="n"/>
      <c r="LD37" s="212" t="n"/>
      <c r="LE37" s="212" t="n"/>
      <c r="LF37" s="212" t="n"/>
      <c r="LG37" s="212" t="n"/>
      <c r="LH37" s="212" t="n"/>
      <c r="LI37" s="212" t="n"/>
      <c r="LJ37" s="212" t="n"/>
      <c r="LK37" s="212" t="n"/>
      <c r="LL37" s="212" t="n"/>
      <c r="LM37" s="212" t="n"/>
      <c r="LN37" s="212" t="n"/>
      <c r="LO37" s="212" t="n"/>
      <c r="LP37" s="212" t="n"/>
      <c r="LQ37" s="212" t="n"/>
      <c r="LR37" s="212" t="n"/>
      <c r="LS37" s="212" t="n"/>
      <c r="LT37" s="212" t="n"/>
      <c r="LU37" s="212" t="n"/>
      <c r="LV37" s="212" t="n"/>
      <c r="LW37" s="212" t="n"/>
      <c r="LX37" s="212" t="n"/>
      <c r="LY37" s="212" t="n"/>
      <c r="LZ37" s="212" t="n"/>
      <c r="MA37" s="212" t="n"/>
      <c r="MB37" s="212" t="n"/>
      <c r="MC37" s="212" t="n"/>
      <c r="MD37" s="212" t="n"/>
      <c r="ME37" s="212" t="n"/>
      <c r="MF37" s="212" t="n"/>
      <c r="MG37" s="212" t="n"/>
      <c r="MH37" s="212" t="n"/>
      <c r="MI37" s="212" t="n"/>
      <c r="MJ37" s="212" t="n"/>
      <c r="MK37" s="212" t="n"/>
      <c r="ML37" s="212" t="n"/>
      <c r="MM37" s="212" t="n"/>
      <c r="MN37" s="212" t="n"/>
      <c r="MO37" s="212" t="n"/>
      <c r="MP37" s="212" t="n"/>
      <c r="MQ37" s="212" t="n"/>
      <c r="MR37" s="212" t="n"/>
      <c r="MS37" s="212" t="n"/>
      <c r="MT37" s="212" t="n"/>
      <c r="MU37" s="212" t="n"/>
      <c r="MV37" s="212" t="n"/>
      <c r="MW37" s="212" t="n"/>
      <c r="MX37" s="212" t="n"/>
      <c r="MY37" s="212" t="n"/>
      <c r="MZ37" s="212" t="n"/>
      <c r="NA37" s="212" t="n"/>
      <c r="NB37" s="212" t="n"/>
      <c r="NC37" s="212" t="n"/>
      <c r="ND37" s="212" t="n"/>
      <c r="NE37" s="212" t="n"/>
      <c r="NF37" s="212" t="n"/>
      <c r="NG37" s="212" t="n"/>
      <c r="NH37" s="212" t="n"/>
      <c r="NI37" s="212" t="n"/>
      <c r="NJ37" s="212" t="n"/>
      <c r="NK37" s="212" t="n"/>
      <c r="NL37" s="212" t="n"/>
      <c r="NM37" s="212" t="n"/>
      <c r="NN37" s="212" t="n"/>
      <c r="NO37" s="212" t="n"/>
      <c r="NP37" s="212" t="n"/>
      <c r="NQ37" s="212" t="n"/>
      <c r="NR37" s="212" t="n"/>
      <c r="NS37" s="212" t="n"/>
      <c r="NT37" s="212" t="n"/>
      <c r="NU37" s="212" t="n"/>
      <c r="NV37" s="212" t="n"/>
      <c r="NW37" s="212" t="n"/>
      <c r="NX37" s="212" t="n"/>
      <c r="NY37" s="212" t="n"/>
      <c r="NZ37" s="212" t="n"/>
      <c r="OA37" s="212" t="n"/>
      <c r="OB37" s="212" t="n"/>
      <c r="OC37" s="212" t="n"/>
      <c r="OD37" s="212" t="n"/>
      <c r="OE37" s="212" t="n"/>
      <c r="OF37" s="212" t="n"/>
      <c r="OG37" s="212" t="n"/>
      <c r="OH37" s="212" t="n"/>
      <c r="OI37" s="212" t="n"/>
      <c r="OJ37" s="212" t="n"/>
      <c r="OK37" s="212" t="n"/>
      <c r="OL37" s="212" t="n"/>
      <c r="OM37" s="212" t="n"/>
      <c r="ON37" s="212" t="n"/>
      <c r="OO37" s="212" t="n"/>
      <c r="OP37" s="212" t="n"/>
      <c r="OQ37" s="212" t="n"/>
      <c r="OR37" s="212" t="n"/>
      <c r="OS37" s="212" t="n"/>
      <c r="OT37" s="212" t="n"/>
      <c r="OU37" s="212" t="n"/>
      <c r="OV37" s="212" t="n"/>
      <c r="OW37" s="212" t="n"/>
      <c r="OX37" s="212" t="n"/>
      <c r="OY37" s="212" t="n"/>
      <c r="OZ37" s="212" t="n"/>
      <c r="PA37" s="212" t="n"/>
      <c r="PB37" s="212" t="n"/>
      <c r="PC37" s="212" t="n"/>
      <c r="PD37" s="212" t="n"/>
      <c r="PE37" s="212" t="n"/>
      <c r="PF37" s="212" t="n"/>
      <c r="PG37" s="212" t="n"/>
      <c r="PH37" s="212" t="n"/>
      <c r="PI37" s="212" t="n"/>
      <c r="PJ37" s="212" t="n"/>
      <c r="PK37" s="212" t="n"/>
      <c r="PL37" s="212" t="n"/>
      <c r="PM37" s="212" t="n"/>
      <c r="PN37" s="212" t="n"/>
      <c r="PO37" s="212" t="n"/>
      <c r="PP37" s="212" t="n"/>
      <c r="PQ37" s="212" t="n"/>
      <c r="PR37" s="212" t="n"/>
      <c r="PS37" s="212" t="n"/>
      <c r="PT37" s="212" t="n"/>
      <c r="PU37" s="212" t="n"/>
      <c r="PV37" s="212" t="n"/>
      <c r="PW37" s="212" t="n"/>
      <c r="PX37" s="212" t="n"/>
      <c r="PY37" s="212" t="n"/>
      <c r="PZ37" s="212" t="n"/>
      <c r="QA37" s="212" t="n"/>
      <c r="QB37" s="212" t="n"/>
      <c r="QC37" s="212" t="n"/>
      <c r="QD37" s="212" t="n"/>
      <c r="QE37" s="212" t="n"/>
      <c r="QF37" s="212" t="n"/>
      <c r="QG37" s="212" t="n"/>
      <c r="QH37" s="212" t="n"/>
      <c r="QI37" s="212" t="n"/>
      <c r="QJ37" s="212" t="n"/>
      <c r="QK37" s="212" t="n"/>
      <c r="QL37" s="212" t="n"/>
      <c r="QM37" s="212" t="n"/>
      <c r="QN37" s="212" t="n"/>
      <c r="QO37" s="212" t="n"/>
      <c r="QP37" s="212" t="n"/>
      <c r="QQ37" s="212" t="n"/>
      <c r="QR37" s="212" t="n"/>
      <c r="QS37" s="212" t="n"/>
      <c r="QT37" s="212" t="n"/>
      <c r="QU37" s="212" t="n"/>
      <c r="QV37" s="212" t="n"/>
      <c r="QW37" s="212" t="n"/>
      <c r="QX37" s="212" t="n"/>
      <c r="QY37" s="212" t="n"/>
      <c r="QZ37" s="212" t="n"/>
      <c r="RA37" s="212" t="n"/>
      <c r="RB37" s="212" t="n"/>
      <c r="RC37" s="212" t="n"/>
      <c r="RD37" s="212" t="n"/>
      <c r="RE37" s="212" t="n"/>
      <c r="RF37" s="212" t="n"/>
      <c r="RG37" s="212" t="n"/>
      <c r="RH37" s="212" t="n"/>
      <c r="RI37" s="212" t="n"/>
      <c r="RJ37" s="212" t="n"/>
      <c r="RK37" s="212" t="n"/>
      <c r="RL37" s="212" t="n"/>
      <c r="RM37" s="212" t="n"/>
      <c r="RN37" s="212" t="n"/>
      <c r="RO37" s="212" t="n"/>
      <c r="RP37" s="212" t="n"/>
      <c r="RQ37" s="212" t="n"/>
      <c r="RR37" s="212" t="n"/>
      <c r="RS37" s="212" t="n"/>
      <c r="RT37" s="212" t="n"/>
      <c r="RU37" s="212" t="n"/>
      <c r="RV37" s="212" t="n"/>
      <c r="RW37" s="212" t="n"/>
      <c r="RX37" s="212" t="n"/>
      <c r="RY37" s="212" t="n"/>
      <c r="RZ37" s="212" t="n"/>
      <c r="SA37" s="212" t="n"/>
      <c r="SB37" s="212" t="n"/>
      <c r="SC37" s="212" t="n"/>
      <c r="SD37" s="212" t="n"/>
      <c r="SE37" s="212" t="n"/>
      <c r="SF37" s="212" t="n"/>
      <c r="SG37" s="212" t="n"/>
      <c r="SH37" s="212" t="n"/>
      <c r="SI37" s="212" t="n"/>
      <c r="SJ37" s="212" t="n"/>
      <c r="SK37" s="212" t="n"/>
      <c r="SL37" s="212" t="n"/>
      <c r="SM37" s="212" t="n"/>
      <c r="SN37" s="212" t="n"/>
      <c r="SO37" s="212" t="n"/>
      <c r="SP37" s="212" t="n"/>
      <c r="SQ37" s="212" t="n"/>
      <c r="SR37" s="212" t="n"/>
      <c r="SS37" s="212" t="n"/>
      <c r="ST37" s="212" t="n"/>
      <c r="SU37" s="212" t="n"/>
      <c r="SV37" s="212" t="n"/>
    </row>
    <row r="38">
      <c r="B38" s="209" t="n"/>
      <c r="C38" s="209" t="n"/>
      <c r="D38" s="209" t="n"/>
      <c r="E38" s="209" t="n"/>
      <c r="F38" s="209">
        <f>IF(TRIM(D38&amp;E38)="","",TRIM(D38)&amp;" "&amp;TRIM(E38))</f>
        <v/>
      </c>
      <c r="G38" s="209" t="n"/>
      <c r="H38" s="209" t="n"/>
      <c r="I38" s="209" t="n"/>
      <c r="J38" s="209" t="n"/>
      <c r="K38" s="209" t="n"/>
      <c r="L38" s="209" t="n"/>
      <c r="M38" s="209" t="n"/>
      <c r="N38" s="209" t="n"/>
      <c r="O38" s="209" t="n"/>
      <c r="P38" s="209" t="n"/>
      <c r="Q38" s="209" t="n"/>
      <c r="R38" s="209" t="n"/>
      <c r="S38" s="212" t="n"/>
      <c r="T38" s="212" t="n"/>
      <c r="U38" s="212" t="n"/>
      <c r="V38" s="212" t="n"/>
      <c r="W38" s="212" t="n"/>
      <c r="X38" s="212" t="n"/>
      <c r="Y38" s="212" t="n"/>
      <c r="Z38" s="212" t="n"/>
      <c r="AA38" s="212" t="n"/>
      <c r="AB38" s="212" t="n"/>
      <c r="AC38" s="212" t="n"/>
      <c r="AD38" s="212" t="n"/>
      <c r="AE38" s="212" t="n"/>
      <c r="AF38" s="212" t="n"/>
      <c r="AG38" s="212" t="n"/>
      <c r="AH38" s="212" t="n"/>
      <c r="AI38" s="212" t="n"/>
      <c r="AJ38" s="212" t="n"/>
      <c r="AK38" s="212" t="n"/>
      <c r="AL38" s="212" t="n"/>
      <c r="AM38" s="212" t="n"/>
      <c r="AN38" s="212" t="n"/>
      <c r="AO38" s="212" t="n"/>
      <c r="AP38" s="212" t="n"/>
      <c r="AQ38" s="212" t="n"/>
      <c r="AR38" s="212" t="n"/>
      <c r="AS38" s="212" t="n"/>
      <c r="AT38" s="212" t="n"/>
      <c r="AU38" s="212" t="n"/>
      <c r="AV38" s="212" t="n"/>
      <c r="AW38" s="212" t="n"/>
      <c r="AX38" s="212" t="n"/>
      <c r="AY38" s="212" t="n"/>
      <c r="AZ38" s="212" t="n"/>
      <c r="BA38" s="212" t="n"/>
      <c r="BB38" s="212" t="n"/>
      <c r="BC38" s="212" t="n"/>
      <c r="BD38" s="212" t="n"/>
      <c r="BE38" s="212" t="n"/>
      <c r="BF38" s="212" t="n"/>
      <c r="BG38" s="212" t="n"/>
      <c r="BH38" s="212" t="n"/>
      <c r="BI38" s="212" t="n"/>
      <c r="BJ38" s="212" t="n"/>
      <c r="BK38" s="212" t="n"/>
      <c r="BL38" s="212" t="n"/>
      <c r="BM38" s="212" t="n"/>
      <c r="BN38" s="212" t="n"/>
      <c r="BO38" s="212" t="n"/>
      <c r="BP38" s="212" t="n"/>
      <c r="BQ38" s="212" t="n"/>
      <c r="BR38" s="212" t="n"/>
      <c r="BS38" s="212" t="n"/>
      <c r="BT38" s="212" t="n"/>
      <c r="BU38" s="212" t="n"/>
      <c r="BV38" s="212" t="n"/>
      <c r="BW38" s="212" t="n"/>
      <c r="BX38" s="212" t="n"/>
      <c r="BY38" s="212" t="n"/>
      <c r="BZ38" s="212" t="n"/>
      <c r="CA38" s="212" t="n"/>
      <c r="CB38" s="212" t="n"/>
      <c r="CC38" s="212" t="n"/>
      <c r="CD38" s="212" t="n"/>
      <c r="CE38" s="212" t="n"/>
      <c r="CF38" s="212" t="n"/>
      <c r="CG38" s="212" t="n"/>
      <c r="CH38" s="212" t="n"/>
      <c r="CI38" s="212" t="n"/>
      <c r="CJ38" s="212" t="n"/>
      <c r="CK38" s="212" t="n"/>
      <c r="CL38" s="212" t="n"/>
      <c r="CM38" s="212" t="n"/>
      <c r="CN38" s="212" t="n"/>
      <c r="CO38" s="212" t="n"/>
      <c r="CP38" s="212" t="n"/>
      <c r="CQ38" s="212" t="n"/>
      <c r="CR38" s="212" t="n"/>
      <c r="CS38" s="212" t="n"/>
      <c r="CT38" s="212" t="n"/>
      <c r="CU38" s="212" t="n"/>
      <c r="CV38" s="212" t="n"/>
      <c r="CW38" s="212" t="n"/>
      <c r="CX38" s="212" t="n"/>
      <c r="CY38" s="212" t="n"/>
      <c r="CZ38" s="212" t="n"/>
      <c r="DA38" s="212" t="n"/>
      <c r="DB38" s="212" t="n"/>
      <c r="DC38" s="212" t="n"/>
      <c r="DD38" s="212" t="n"/>
      <c r="DE38" s="212" t="n"/>
      <c r="DF38" s="212" t="n"/>
      <c r="DG38" s="212" t="n"/>
      <c r="DH38" s="212" t="n"/>
      <c r="DI38" s="212" t="n"/>
      <c r="DJ38" s="212" t="n"/>
      <c r="DK38" s="212" t="n"/>
      <c r="DL38" s="212" t="n"/>
      <c r="DM38" s="212" t="n"/>
      <c r="DN38" s="212" t="n"/>
      <c r="DO38" s="212" t="n"/>
      <c r="DP38" s="212" t="n"/>
      <c r="DQ38" s="212" t="n"/>
      <c r="DR38" s="212" t="n"/>
      <c r="DS38" s="212" t="n"/>
      <c r="DT38" s="212" t="n"/>
      <c r="DU38" s="212" t="n"/>
      <c r="DV38" s="212" t="n"/>
      <c r="DW38" s="212" t="n"/>
      <c r="DX38" s="212" t="n"/>
      <c r="DY38" s="212" t="n"/>
      <c r="DZ38" s="212" t="n"/>
      <c r="EA38" s="212" t="n"/>
      <c r="EB38" s="212" t="n"/>
      <c r="EC38" s="212" t="n"/>
      <c r="ED38" s="212" t="n"/>
      <c r="EE38" s="212" t="n"/>
      <c r="EF38" s="212" t="n"/>
      <c r="EG38" s="212" t="n"/>
      <c r="EH38" s="212" t="n"/>
      <c r="EI38" s="212" t="n"/>
      <c r="EJ38" s="212" t="n"/>
      <c r="EK38" s="212" t="n"/>
      <c r="EL38" s="212" t="n"/>
      <c r="EM38" s="212" t="n"/>
      <c r="EN38" s="212" t="n"/>
      <c r="EO38" s="212" t="n"/>
      <c r="EP38" s="212" t="n"/>
      <c r="EQ38" s="212" t="n"/>
      <c r="ER38" s="212" t="n"/>
      <c r="ES38" s="212" t="n"/>
      <c r="ET38" s="212" t="n"/>
      <c r="EU38" s="212" t="n"/>
      <c r="EV38" s="212" t="n"/>
      <c r="EW38" s="212" t="n"/>
      <c r="EX38" s="212" t="n"/>
      <c r="EY38" s="212" t="n"/>
      <c r="EZ38" s="212" t="n"/>
      <c r="FA38" s="212" t="n"/>
      <c r="FB38" s="212" t="n"/>
      <c r="FC38" s="212" t="n"/>
      <c r="FD38" s="212" t="n"/>
      <c r="FE38" s="212" t="n"/>
      <c r="FF38" s="212" t="n"/>
      <c r="FG38" s="212" t="n"/>
      <c r="FH38" s="212" t="n"/>
      <c r="FI38" s="212" t="n"/>
      <c r="FJ38" s="212" t="n"/>
      <c r="FK38" s="212" t="n"/>
      <c r="FL38" s="212" t="n"/>
      <c r="FM38" s="212" t="n"/>
      <c r="FN38" s="212" t="n"/>
      <c r="FO38" s="212" t="n"/>
      <c r="FP38" s="212" t="n"/>
      <c r="FQ38" s="212" t="n"/>
      <c r="FR38" s="212" t="n"/>
      <c r="FS38" s="212" t="n"/>
      <c r="FT38" s="212" t="n"/>
      <c r="FU38" s="212" t="n"/>
      <c r="FV38" s="212" t="n"/>
      <c r="FW38" s="212" t="n"/>
      <c r="FX38" s="212" t="n"/>
      <c r="FY38" s="212" t="n"/>
      <c r="FZ38" s="212" t="n"/>
      <c r="GA38" s="212" t="n"/>
      <c r="GB38" s="212" t="n"/>
      <c r="GC38" s="212" t="n"/>
      <c r="GD38" s="212" t="n"/>
      <c r="GE38" s="212" t="n"/>
      <c r="GF38" s="212" t="n"/>
      <c r="GG38" s="212" t="n"/>
      <c r="GH38" s="212" t="n"/>
      <c r="GI38" s="212" t="n"/>
      <c r="GJ38" s="212" t="n"/>
      <c r="GK38" s="212" t="n"/>
      <c r="GL38" s="212" t="n"/>
      <c r="GM38" s="212" t="n"/>
      <c r="GN38" s="212" t="n"/>
      <c r="GO38" s="212" t="n"/>
      <c r="GP38" s="212" t="n"/>
      <c r="GQ38" s="212" t="n"/>
      <c r="GR38" s="212" t="n"/>
      <c r="GS38" s="212" t="n"/>
      <c r="GT38" s="212" t="n"/>
      <c r="GU38" s="212" t="n"/>
      <c r="GV38" s="212" t="n"/>
      <c r="GW38" s="212" t="n"/>
      <c r="GX38" s="212" t="n"/>
      <c r="GY38" s="212" t="n"/>
      <c r="GZ38" s="212" t="n"/>
      <c r="HA38" s="212" t="n"/>
      <c r="HB38" s="212" t="n"/>
      <c r="HC38" s="212" t="n"/>
      <c r="HD38" s="212" t="n"/>
      <c r="HE38" s="212" t="n"/>
      <c r="HF38" s="212" t="n"/>
      <c r="HG38" s="212" t="n"/>
      <c r="HH38" s="212" t="n"/>
      <c r="HI38" s="212" t="n"/>
      <c r="HJ38" s="212" t="n"/>
      <c r="HK38" s="212" t="n"/>
      <c r="HL38" s="212" t="n"/>
      <c r="HM38" s="212" t="n"/>
      <c r="HN38" s="212" t="n"/>
      <c r="HO38" s="212" t="n"/>
      <c r="HP38" s="212" t="n"/>
      <c r="HQ38" s="212" t="n"/>
      <c r="HR38" s="212" t="n"/>
      <c r="HS38" s="212" t="n"/>
      <c r="HT38" s="212" t="n"/>
      <c r="HU38" s="212" t="n"/>
      <c r="HV38" s="212" t="n"/>
      <c r="HW38" s="212" t="n"/>
      <c r="HX38" s="212" t="n"/>
      <c r="HY38" s="212" t="n"/>
      <c r="HZ38" s="212" t="n"/>
      <c r="IA38" s="212" t="n"/>
      <c r="IB38" s="212" t="n"/>
      <c r="IC38" s="212" t="n"/>
      <c r="ID38" s="212" t="n"/>
      <c r="IE38" s="212" t="n"/>
      <c r="IF38" s="212" t="n"/>
      <c r="IG38" s="212" t="n"/>
      <c r="IH38" s="212" t="n"/>
      <c r="II38" s="212" t="n"/>
      <c r="IJ38" s="212" t="n"/>
      <c r="IK38" s="212" t="n"/>
      <c r="IL38" s="212" t="n"/>
      <c r="IM38" s="212" t="n"/>
      <c r="IN38" s="212" t="n"/>
      <c r="IO38" s="212" t="n"/>
      <c r="IP38" s="212" t="n"/>
      <c r="IQ38" s="212" t="n"/>
      <c r="IR38" s="212" t="n"/>
      <c r="IS38" s="212" t="n"/>
      <c r="IT38" s="212" t="n"/>
      <c r="IU38" s="212" t="n"/>
      <c r="IV38" s="212" t="n"/>
      <c r="IW38" s="212" t="n"/>
      <c r="IX38" s="212" t="n"/>
      <c r="IY38" s="212" t="n"/>
      <c r="IZ38" s="212" t="n"/>
      <c r="JA38" s="212" t="n"/>
      <c r="JB38" s="212" t="n"/>
      <c r="JC38" s="212" t="n"/>
      <c r="JD38" s="212" t="n"/>
      <c r="JE38" s="212" t="n"/>
      <c r="JF38" s="212" t="n"/>
      <c r="JG38" s="212" t="n"/>
      <c r="JH38" s="212" t="n"/>
      <c r="JI38" s="212" t="n"/>
      <c r="JJ38" s="212" t="n"/>
      <c r="JK38" s="212" t="n"/>
      <c r="JL38" s="212" t="n"/>
      <c r="JM38" s="212" t="n"/>
      <c r="JN38" s="212" t="n"/>
      <c r="JO38" s="212" t="n"/>
      <c r="JP38" s="212" t="n"/>
      <c r="JQ38" s="212" t="n"/>
      <c r="JR38" s="212" t="n"/>
      <c r="JS38" s="212" t="n"/>
      <c r="JT38" s="212" t="n"/>
      <c r="JU38" s="212" t="n"/>
      <c r="JV38" s="212" t="n"/>
      <c r="JW38" s="212" t="n"/>
      <c r="JX38" s="212" t="n"/>
      <c r="JY38" s="212" t="n"/>
      <c r="JZ38" s="212" t="n"/>
      <c r="KA38" s="212" t="n"/>
      <c r="KB38" s="212" t="n"/>
      <c r="KC38" s="212" t="n"/>
      <c r="KD38" s="212" t="n"/>
      <c r="KE38" s="212" t="n"/>
      <c r="KF38" s="212" t="n"/>
      <c r="KG38" s="212" t="n"/>
      <c r="KH38" s="212" t="n"/>
      <c r="KI38" s="212" t="n"/>
      <c r="KJ38" s="212" t="n"/>
      <c r="KK38" s="212" t="n"/>
      <c r="KL38" s="212" t="n"/>
      <c r="KM38" s="212" t="n"/>
      <c r="KN38" s="212" t="n"/>
      <c r="KO38" s="212" t="n"/>
      <c r="KP38" s="212" t="n"/>
      <c r="KQ38" s="212" t="n"/>
      <c r="KR38" s="212" t="n"/>
      <c r="KS38" s="212" t="n"/>
      <c r="KT38" s="212" t="n"/>
      <c r="KU38" s="212" t="n"/>
      <c r="KV38" s="212" t="n"/>
      <c r="KW38" s="212" t="n"/>
      <c r="KX38" s="212" t="n"/>
      <c r="KY38" s="212" t="n"/>
      <c r="KZ38" s="212" t="n"/>
      <c r="LA38" s="212" t="n"/>
      <c r="LB38" s="212" t="n"/>
      <c r="LC38" s="212" t="n"/>
      <c r="LD38" s="212" t="n"/>
      <c r="LE38" s="212" t="n"/>
      <c r="LF38" s="212" t="n"/>
      <c r="LG38" s="212" t="n"/>
      <c r="LH38" s="212" t="n"/>
      <c r="LI38" s="212" t="n"/>
      <c r="LJ38" s="212" t="n"/>
      <c r="LK38" s="212" t="n"/>
      <c r="LL38" s="212" t="n"/>
      <c r="LM38" s="212" t="n"/>
      <c r="LN38" s="212" t="n"/>
      <c r="LO38" s="212" t="n"/>
      <c r="LP38" s="212" t="n"/>
      <c r="LQ38" s="212" t="n"/>
      <c r="LR38" s="212" t="n"/>
      <c r="LS38" s="212" t="n"/>
      <c r="LT38" s="212" t="n"/>
      <c r="LU38" s="212" t="n"/>
      <c r="LV38" s="212" t="n"/>
      <c r="LW38" s="212" t="n"/>
      <c r="LX38" s="212" t="n"/>
      <c r="LY38" s="212" t="n"/>
      <c r="LZ38" s="212" t="n"/>
      <c r="MA38" s="212" t="n"/>
      <c r="MB38" s="212" t="n"/>
      <c r="MC38" s="212" t="n"/>
      <c r="MD38" s="212" t="n"/>
      <c r="ME38" s="212" t="n"/>
      <c r="MF38" s="212" t="n"/>
      <c r="MG38" s="212" t="n"/>
      <c r="MH38" s="212" t="n"/>
      <c r="MI38" s="212" t="n"/>
      <c r="MJ38" s="212" t="n"/>
      <c r="MK38" s="212" t="n"/>
      <c r="ML38" s="212" t="n"/>
      <c r="MM38" s="212" t="n"/>
      <c r="MN38" s="212" t="n"/>
      <c r="MO38" s="212" t="n"/>
      <c r="MP38" s="212" t="n"/>
      <c r="MQ38" s="212" t="n"/>
      <c r="MR38" s="212" t="n"/>
      <c r="MS38" s="212" t="n"/>
      <c r="MT38" s="212" t="n"/>
      <c r="MU38" s="212" t="n"/>
      <c r="MV38" s="212" t="n"/>
      <c r="MW38" s="212" t="n"/>
      <c r="MX38" s="212" t="n"/>
      <c r="MY38" s="212" t="n"/>
      <c r="MZ38" s="212" t="n"/>
      <c r="NA38" s="212" t="n"/>
      <c r="NB38" s="212" t="n"/>
      <c r="NC38" s="212" t="n"/>
      <c r="ND38" s="212" t="n"/>
      <c r="NE38" s="212" t="n"/>
      <c r="NF38" s="212" t="n"/>
      <c r="NG38" s="212" t="n"/>
      <c r="NH38" s="212" t="n"/>
      <c r="NI38" s="212" t="n"/>
      <c r="NJ38" s="212" t="n"/>
      <c r="NK38" s="212" t="n"/>
      <c r="NL38" s="212" t="n"/>
      <c r="NM38" s="212" t="n"/>
      <c r="NN38" s="212" t="n"/>
      <c r="NO38" s="212" t="n"/>
      <c r="NP38" s="212" t="n"/>
      <c r="NQ38" s="212" t="n"/>
      <c r="NR38" s="212" t="n"/>
      <c r="NS38" s="212" t="n"/>
      <c r="NT38" s="212" t="n"/>
      <c r="NU38" s="212" t="n"/>
      <c r="NV38" s="212" t="n"/>
      <c r="NW38" s="212" t="n"/>
      <c r="NX38" s="212" t="n"/>
      <c r="NY38" s="212" t="n"/>
      <c r="NZ38" s="212" t="n"/>
      <c r="OA38" s="212" t="n"/>
      <c r="OB38" s="212" t="n"/>
      <c r="OC38" s="212" t="n"/>
      <c r="OD38" s="212" t="n"/>
      <c r="OE38" s="212" t="n"/>
      <c r="OF38" s="212" t="n"/>
      <c r="OG38" s="212" t="n"/>
      <c r="OH38" s="212" t="n"/>
      <c r="OI38" s="212" t="n"/>
      <c r="OJ38" s="212" t="n"/>
      <c r="OK38" s="212" t="n"/>
      <c r="OL38" s="212" t="n"/>
      <c r="OM38" s="212" t="n"/>
      <c r="ON38" s="212" t="n"/>
      <c r="OO38" s="212" t="n"/>
      <c r="OP38" s="212" t="n"/>
      <c r="OQ38" s="212" t="n"/>
      <c r="OR38" s="212" t="n"/>
      <c r="OS38" s="212" t="n"/>
      <c r="OT38" s="212" t="n"/>
      <c r="OU38" s="212" t="n"/>
      <c r="OV38" s="212" t="n"/>
      <c r="OW38" s="212" t="n"/>
      <c r="OX38" s="212" t="n"/>
      <c r="OY38" s="212" t="n"/>
      <c r="OZ38" s="212" t="n"/>
      <c r="PA38" s="212" t="n"/>
      <c r="PB38" s="212" t="n"/>
      <c r="PC38" s="212" t="n"/>
      <c r="PD38" s="212" t="n"/>
      <c r="PE38" s="212" t="n"/>
      <c r="PF38" s="212" t="n"/>
      <c r="PG38" s="212" t="n"/>
      <c r="PH38" s="212" t="n"/>
      <c r="PI38" s="212" t="n"/>
      <c r="PJ38" s="212" t="n"/>
      <c r="PK38" s="212" t="n"/>
      <c r="PL38" s="212" t="n"/>
      <c r="PM38" s="212" t="n"/>
      <c r="PN38" s="212" t="n"/>
      <c r="PO38" s="212" t="n"/>
      <c r="PP38" s="212" t="n"/>
      <c r="PQ38" s="212" t="n"/>
      <c r="PR38" s="212" t="n"/>
      <c r="PS38" s="212" t="n"/>
      <c r="PT38" s="212" t="n"/>
      <c r="PU38" s="212" t="n"/>
      <c r="PV38" s="212" t="n"/>
      <c r="PW38" s="212" t="n"/>
      <c r="PX38" s="212" t="n"/>
      <c r="PY38" s="212" t="n"/>
      <c r="PZ38" s="212" t="n"/>
      <c r="QA38" s="212" t="n"/>
      <c r="QB38" s="212" t="n"/>
      <c r="QC38" s="212" t="n"/>
      <c r="QD38" s="212" t="n"/>
      <c r="QE38" s="212" t="n"/>
      <c r="QF38" s="212" t="n"/>
      <c r="QG38" s="212" t="n"/>
      <c r="QH38" s="212" t="n"/>
      <c r="QI38" s="212" t="n"/>
      <c r="QJ38" s="212" t="n"/>
      <c r="QK38" s="212" t="n"/>
      <c r="QL38" s="212" t="n"/>
      <c r="QM38" s="212" t="n"/>
      <c r="QN38" s="212" t="n"/>
      <c r="QO38" s="212" t="n"/>
      <c r="QP38" s="212" t="n"/>
      <c r="QQ38" s="212" t="n"/>
      <c r="QR38" s="212" t="n"/>
      <c r="QS38" s="212" t="n"/>
      <c r="QT38" s="212" t="n"/>
      <c r="QU38" s="212" t="n"/>
      <c r="QV38" s="212" t="n"/>
      <c r="QW38" s="212" t="n"/>
      <c r="QX38" s="212" t="n"/>
      <c r="QY38" s="212" t="n"/>
      <c r="QZ38" s="212" t="n"/>
      <c r="RA38" s="212" t="n"/>
      <c r="RB38" s="212" t="n"/>
      <c r="RC38" s="212" t="n"/>
      <c r="RD38" s="212" t="n"/>
      <c r="RE38" s="212" t="n"/>
      <c r="RF38" s="212" t="n"/>
      <c r="RG38" s="212" t="n"/>
      <c r="RH38" s="212" t="n"/>
      <c r="RI38" s="212" t="n"/>
      <c r="RJ38" s="212" t="n"/>
      <c r="RK38" s="212" t="n"/>
      <c r="RL38" s="212" t="n"/>
      <c r="RM38" s="212" t="n"/>
      <c r="RN38" s="212" t="n"/>
      <c r="RO38" s="212" t="n"/>
      <c r="RP38" s="212" t="n"/>
      <c r="RQ38" s="212" t="n"/>
      <c r="RR38" s="212" t="n"/>
      <c r="RS38" s="212" t="n"/>
      <c r="RT38" s="212" t="n"/>
      <c r="RU38" s="212" t="n"/>
      <c r="RV38" s="212" t="n"/>
      <c r="RW38" s="212" t="n"/>
      <c r="RX38" s="212" t="n"/>
      <c r="RY38" s="212" t="n"/>
      <c r="RZ38" s="212" t="n"/>
      <c r="SA38" s="212" t="n"/>
      <c r="SB38" s="212" t="n"/>
      <c r="SC38" s="212" t="n"/>
      <c r="SD38" s="212" t="n"/>
      <c r="SE38" s="212" t="n"/>
      <c r="SF38" s="212" t="n"/>
      <c r="SG38" s="212" t="n"/>
      <c r="SH38" s="212" t="n"/>
      <c r="SI38" s="212" t="n"/>
      <c r="SJ38" s="212" t="n"/>
      <c r="SK38" s="212" t="n"/>
      <c r="SL38" s="212" t="n"/>
      <c r="SM38" s="212" t="n"/>
      <c r="SN38" s="212" t="n"/>
      <c r="SO38" s="212" t="n"/>
      <c r="SP38" s="212" t="n"/>
      <c r="SQ38" s="212" t="n"/>
      <c r="SR38" s="212" t="n"/>
      <c r="SS38" s="212" t="n"/>
      <c r="ST38" s="212" t="n"/>
      <c r="SU38" s="212" t="n"/>
      <c r="SV38" s="212" t="n"/>
    </row>
    <row r="39">
      <c r="B39" s="207" t="n"/>
      <c r="C39" s="207" t="inlineStr">
        <is>
          <t>Roster B-    Electrical Team  2   (5x)</t>
        </is>
      </c>
      <c r="D39" s="207" t="n"/>
      <c r="E39" s="207" t="n"/>
      <c r="F39" s="207">
        <f>IF(TRIM(D39&amp;E39)="","",TRIM(D39)&amp;" "&amp;TRIM(E39))</f>
        <v/>
      </c>
      <c r="G39" s="207" t="n"/>
      <c r="H39" s="207" t="n"/>
      <c r="I39" s="207" t="n"/>
      <c r="J39" s="207" t="n"/>
      <c r="K39" s="207" t="n"/>
      <c r="L39" s="207" t="n"/>
      <c r="M39" s="207" t="n"/>
      <c r="N39" s="207" t="n"/>
      <c r="O39" s="207" t="n"/>
      <c r="P39" s="207" t="n"/>
      <c r="Q39" s="207" t="n"/>
      <c r="R39" s="207" t="n"/>
      <c r="S39" s="208" t="n"/>
      <c r="T39" s="208" t="n"/>
      <c r="U39" s="208" t="n"/>
      <c r="V39" s="208" t="n"/>
      <c r="W39" s="208" t="n"/>
      <c r="X39" s="208" t="n"/>
      <c r="Y39" s="208" t="n"/>
      <c r="Z39" s="208" t="n"/>
      <c r="AA39" s="208" t="n"/>
      <c r="AB39" s="208" t="n"/>
      <c r="AC39" s="208" t="n"/>
      <c r="AD39" s="208" t="n"/>
      <c r="AE39" s="208" t="n"/>
      <c r="AF39" s="208" t="n"/>
      <c r="AG39" s="208" t="n"/>
      <c r="AH39" s="208" t="n"/>
      <c r="AI39" s="208" t="n"/>
      <c r="AJ39" s="208" t="n"/>
      <c r="AK39" s="208" t="n"/>
      <c r="AL39" s="208" t="n"/>
      <c r="AM39" s="208" t="n"/>
      <c r="AN39" s="208" t="n"/>
      <c r="AO39" s="208" t="n"/>
      <c r="AP39" s="208" t="n"/>
      <c r="AQ39" s="208" t="n"/>
      <c r="AR39" s="208" t="n"/>
      <c r="AS39" s="208" t="n"/>
      <c r="AT39" s="208" t="n"/>
      <c r="AU39" s="208" t="n"/>
      <c r="AV39" s="208" t="n"/>
      <c r="AW39" s="208" t="n"/>
      <c r="AX39" s="208" t="n"/>
      <c r="AY39" s="208" t="n"/>
      <c r="AZ39" s="208" t="n"/>
      <c r="BA39" s="208" t="n"/>
      <c r="BB39" s="208" t="n"/>
      <c r="BC39" s="208" t="n"/>
      <c r="BD39" s="208" t="n"/>
      <c r="BE39" s="208" t="n"/>
      <c r="BF39" s="208" t="n"/>
      <c r="BG39" s="208" t="n"/>
      <c r="BH39" s="208" t="n"/>
      <c r="BI39" s="208" t="n"/>
      <c r="BJ39" s="208" t="n"/>
      <c r="BK39" s="208" t="n"/>
      <c r="BL39" s="208" t="n"/>
      <c r="BM39" s="208" t="n"/>
      <c r="BN39" s="208" t="n"/>
      <c r="BO39" s="208" t="n"/>
      <c r="BP39" s="208" t="n"/>
      <c r="BQ39" s="208" t="n"/>
      <c r="BR39" s="208" t="n"/>
      <c r="BS39" s="208" t="n"/>
      <c r="BT39" s="208" t="n"/>
      <c r="BU39" s="208" t="n"/>
      <c r="BV39" s="208" t="n"/>
      <c r="BW39" s="208" t="n"/>
      <c r="BX39" s="208" t="n"/>
      <c r="BY39" s="208" t="n"/>
      <c r="BZ39" s="208" t="n"/>
      <c r="CA39" s="208" t="n"/>
      <c r="CB39" s="208" t="n"/>
      <c r="CC39" s="208" t="n"/>
      <c r="CD39" s="208" t="n"/>
      <c r="CE39" s="208" t="n"/>
      <c r="CF39" s="208" t="n"/>
      <c r="CG39" s="208" t="n"/>
      <c r="CH39" s="208" t="n"/>
      <c r="CI39" s="208" t="n"/>
      <c r="CJ39" s="208" t="n"/>
      <c r="CK39" s="208" t="n"/>
      <c r="CL39" s="208" t="n"/>
      <c r="CM39" s="208" t="n"/>
      <c r="CN39" s="208" t="n"/>
      <c r="CO39" s="208" t="n"/>
      <c r="CP39" s="208" t="n"/>
      <c r="CQ39" s="208" t="n"/>
      <c r="CR39" s="208" t="n"/>
      <c r="CS39" s="208" t="n"/>
      <c r="CT39" s="208" t="n"/>
      <c r="CU39" s="208" t="n"/>
      <c r="CV39" s="208" t="n"/>
      <c r="CW39" s="208" t="n"/>
      <c r="CX39" s="208" t="n"/>
      <c r="CY39" s="208" t="n"/>
      <c r="CZ39" s="208" t="n"/>
      <c r="DA39" s="208" t="n"/>
      <c r="DB39" s="208" t="n"/>
      <c r="DC39" s="208" t="n"/>
      <c r="DD39" s="208" t="n"/>
      <c r="DE39" s="208" t="n"/>
      <c r="DF39" s="208" t="n"/>
      <c r="DG39" s="208" t="n"/>
      <c r="DH39" s="208" t="n"/>
      <c r="DI39" s="208" t="n"/>
      <c r="DJ39" s="208" t="n"/>
      <c r="DK39" s="208" t="n"/>
      <c r="DL39" s="208" t="n"/>
      <c r="DM39" s="208" t="n"/>
      <c r="DN39" s="208" t="n"/>
      <c r="DO39" s="208" t="n"/>
      <c r="DP39" s="208" t="n"/>
      <c r="DQ39" s="208" t="n"/>
      <c r="DR39" s="208" t="n"/>
      <c r="DS39" s="208" t="n"/>
      <c r="DT39" s="208" t="n"/>
      <c r="DU39" s="208" t="n"/>
      <c r="DV39" s="208" t="n"/>
      <c r="DW39" s="208" t="n"/>
      <c r="DX39" s="208" t="n"/>
      <c r="DY39" s="208" t="n"/>
      <c r="DZ39" s="208" t="n"/>
      <c r="EA39" s="208" t="n"/>
      <c r="EB39" s="208" t="n"/>
      <c r="EC39" s="208" t="n"/>
      <c r="ED39" s="208" t="n"/>
      <c r="EE39" s="208" t="n"/>
      <c r="EF39" s="208" t="n"/>
      <c r="EG39" s="208" t="n"/>
      <c r="EH39" s="208" t="n"/>
      <c r="EI39" s="208" t="n"/>
      <c r="EJ39" s="208" t="n"/>
      <c r="EK39" s="208" t="n"/>
      <c r="EL39" s="208" t="n"/>
      <c r="EM39" s="208" t="n"/>
      <c r="EN39" s="208" t="n"/>
      <c r="EO39" s="208" t="n"/>
      <c r="EP39" s="208" t="n"/>
      <c r="EQ39" s="208" t="n"/>
      <c r="ER39" s="208" t="n"/>
      <c r="ES39" s="208" t="n"/>
      <c r="ET39" s="208" t="n"/>
      <c r="EU39" s="208" t="n"/>
      <c r="EV39" s="208" t="n"/>
      <c r="EW39" s="208" t="n"/>
      <c r="EX39" s="208" t="n"/>
      <c r="EY39" s="208" t="n"/>
      <c r="EZ39" s="208" t="n"/>
      <c r="FA39" s="208" t="n"/>
      <c r="FB39" s="208" t="n"/>
      <c r="FC39" s="208" t="n"/>
      <c r="FD39" s="208" t="n"/>
      <c r="FE39" s="208" t="n"/>
      <c r="FF39" s="208" t="n"/>
      <c r="FG39" s="208" t="n"/>
      <c r="FH39" s="208" t="n"/>
      <c r="FI39" s="208" t="n"/>
      <c r="FJ39" s="208" t="n"/>
      <c r="FK39" s="208" t="n"/>
      <c r="FL39" s="208" t="n"/>
      <c r="FM39" s="208" t="n"/>
      <c r="FN39" s="208" t="n"/>
      <c r="FO39" s="208" t="n"/>
      <c r="FP39" s="208" t="n"/>
      <c r="FQ39" s="208" t="n"/>
      <c r="FR39" s="208" t="n"/>
      <c r="FS39" s="208" t="n"/>
      <c r="FT39" s="208" t="n"/>
      <c r="FU39" s="208" t="n"/>
      <c r="FV39" s="208" t="n"/>
      <c r="FW39" s="208" t="n"/>
      <c r="FX39" s="208" t="n"/>
      <c r="FY39" s="208" t="n"/>
      <c r="FZ39" s="208" t="n"/>
      <c r="GA39" s="208" t="n"/>
      <c r="GB39" s="208" t="n"/>
      <c r="GC39" s="208" t="n"/>
      <c r="GD39" s="208" t="n"/>
      <c r="GE39" s="208" t="n"/>
      <c r="GF39" s="208" t="n"/>
      <c r="GG39" s="208" t="n"/>
      <c r="GH39" s="208" t="n"/>
      <c r="GI39" s="208" t="n"/>
      <c r="GJ39" s="208" t="n"/>
      <c r="GK39" s="208" t="n"/>
      <c r="GL39" s="208" t="n"/>
      <c r="GM39" s="208" t="n"/>
      <c r="GN39" s="208" t="n"/>
      <c r="GO39" s="208" t="n"/>
      <c r="GP39" s="208" t="n"/>
      <c r="GQ39" s="208" t="n"/>
      <c r="GR39" s="208" t="n"/>
      <c r="GS39" s="208" t="n"/>
      <c r="GT39" s="208" t="n"/>
      <c r="GU39" s="208" t="n"/>
      <c r="GV39" s="208" t="n"/>
      <c r="GW39" s="208" t="n"/>
      <c r="GX39" s="208" t="n"/>
      <c r="GY39" s="208" t="n"/>
      <c r="GZ39" s="208" t="n"/>
      <c r="HA39" s="208" t="n"/>
      <c r="HB39" s="208" t="n"/>
      <c r="HC39" s="208" t="n"/>
      <c r="HD39" s="208" t="n"/>
      <c r="HE39" s="208" t="n"/>
      <c r="HF39" s="208" t="n"/>
      <c r="HG39" s="208" t="n"/>
      <c r="HH39" s="208" t="n"/>
      <c r="HI39" s="208" t="n"/>
      <c r="HJ39" s="208" t="n"/>
      <c r="HK39" s="208" t="n"/>
      <c r="HL39" s="208" t="n"/>
      <c r="HM39" s="208" t="n"/>
      <c r="HN39" s="208" t="n"/>
      <c r="HO39" s="208" t="n"/>
      <c r="HP39" s="208" t="n"/>
      <c r="HQ39" s="208" t="n"/>
      <c r="HR39" s="208" t="n"/>
      <c r="HS39" s="208" t="n"/>
      <c r="HT39" s="208" t="n"/>
      <c r="HU39" s="208" t="n"/>
      <c r="HV39" s="208" t="n"/>
      <c r="HW39" s="208" t="n"/>
      <c r="HX39" s="208" t="n"/>
      <c r="HY39" s="208" t="n"/>
      <c r="HZ39" s="208" t="n"/>
      <c r="IA39" s="208" t="n"/>
      <c r="IB39" s="208" t="n"/>
      <c r="IC39" s="208" t="n"/>
      <c r="ID39" s="208" t="n"/>
      <c r="IE39" s="208" t="n"/>
      <c r="IF39" s="208" t="n"/>
      <c r="IG39" s="208" t="n"/>
      <c r="IH39" s="208" t="n"/>
      <c r="II39" s="208" t="n"/>
      <c r="IJ39" s="208" t="n"/>
      <c r="IK39" s="208" t="n"/>
      <c r="IL39" s="208" t="n"/>
      <c r="IM39" s="208" t="n"/>
      <c r="IN39" s="208" t="n"/>
      <c r="IO39" s="208" t="n"/>
      <c r="IP39" s="208" t="n"/>
      <c r="IQ39" s="208" t="n"/>
      <c r="IR39" s="208" t="n"/>
      <c r="IS39" s="208" t="n"/>
      <c r="IT39" s="208" t="n"/>
      <c r="IU39" s="208" t="n"/>
      <c r="IV39" s="208" t="n"/>
      <c r="IW39" s="208" t="n"/>
      <c r="IX39" s="208" t="n"/>
      <c r="IY39" s="208" t="n"/>
      <c r="IZ39" s="208" t="n"/>
      <c r="JA39" s="208" t="n"/>
      <c r="JB39" s="208" t="n"/>
      <c r="JC39" s="208" t="n"/>
      <c r="JD39" s="208" t="n"/>
      <c r="JE39" s="208" t="n"/>
      <c r="JF39" s="208" t="n"/>
      <c r="JG39" s="208" t="n"/>
      <c r="JH39" s="208" t="n"/>
      <c r="JI39" s="208" t="n"/>
      <c r="JJ39" s="208" t="n"/>
      <c r="JK39" s="208" t="n"/>
      <c r="JL39" s="208" t="n"/>
      <c r="JM39" s="208" t="n"/>
      <c r="JN39" s="208" t="n"/>
      <c r="JO39" s="208" t="n"/>
      <c r="JP39" s="208" t="n"/>
      <c r="JQ39" s="208" t="n"/>
      <c r="JR39" s="208" t="n"/>
      <c r="JS39" s="208" t="n"/>
      <c r="JT39" s="208" t="n"/>
      <c r="JU39" s="208" t="n"/>
      <c r="JV39" s="208" t="n"/>
      <c r="JW39" s="208" t="n"/>
      <c r="JX39" s="208" t="n"/>
      <c r="JY39" s="208" t="n"/>
      <c r="JZ39" s="208" t="n"/>
      <c r="KA39" s="208" t="n"/>
      <c r="KB39" s="208" t="n"/>
      <c r="KC39" s="208" t="n"/>
      <c r="KD39" s="208" t="n"/>
      <c r="KE39" s="208" t="n"/>
      <c r="KF39" s="208" t="n"/>
      <c r="KG39" s="208" t="n"/>
      <c r="KH39" s="208" t="n"/>
      <c r="KI39" s="208" t="n"/>
      <c r="KJ39" s="208" t="n"/>
      <c r="KK39" s="208" t="n"/>
      <c r="KL39" s="208" t="n"/>
      <c r="KM39" s="208" t="n"/>
      <c r="KN39" s="208" t="n"/>
      <c r="KO39" s="208" t="n"/>
      <c r="KP39" s="208" t="n"/>
      <c r="KQ39" s="208" t="n"/>
      <c r="KR39" s="208" t="n"/>
      <c r="KS39" s="208" t="n"/>
      <c r="KT39" s="208" t="n"/>
      <c r="KU39" s="208" t="n"/>
      <c r="KV39" s="208" t="n"/>
      <c r="KW39" s="208" t="n"/>
      <c r="KX39" s="208" t="n"/>
      <c r="KY39" s="208" t="n"/>
      <c r="KZ39" s="208" t="n"/>
      <c r="LA39" s="208" t="n"/>
      <c r="LB39" s="208" t="n"/>
      <c r="LC39" s="208" t="n"/>
      <c r="LD39" s="208" t="n"/>
      <c r="LE39" s="208" t="n"/>
      <c r="LF39" s="208" t="n"/>
      <c r="LG39" s="208" t="n"/>
      <c r="LH39" s="208" t="n"/>
      <c r="LI39" s="208" t="n"/>
      <c r="LJ39" s="208" t="n"/>
      <c r="LK39" s="208" t="n"/>
      <c r="LL39" s="208" t="n"/>
      <c r="LM39" s="208" t="n"/>
      <c r="LN39" s="208" t="n"/>
      <c r="LO39" s="208" t="n"/>
      <c r="LP39" s="208" t="n"/>
      <c r="LQ39" s="208" t="n"/>
      <c r="LR39" s="208" t="n"/>
      <c r="LS39" s="208" t="n"/>
      <c r="LT39" s="208" t="n"/>
      <c r="LU39" s="208" t="n"/>
      <c r="LV39" s="208" t="n"/>
      <c r="LW39" s="208" t="n"/>
      <c r="LX39" s="208" t="n"/>
      <c r="LY39" s="208" t="n"/>
      <c r="LZ39" s="208" t="n"/>
      <c r="MA39" s="208" t="n"/>
      <c r="MB39" s="208" t="n"/>
      <c r="MC39" s="208" t="n"/>
      <c r="MD39" s="208" t="n"/>
      <c r="ME39" s="208" t="n"/>
      <c r="MF39" s="208" t="n"/>
      <c r="MG39" s="208" t="n"/>
      <c r="MH39" s="208" t="n"/>
      <c r="MI39" s="208" t="n"/>
      <c r="MJ39" s="208" t="n"/>
      <c r="MK39" s="208" t="n"/>
      <c r="ML39" s="208" t="n"/>
      <c r="MM39" s="208" t="n"/>
      <c r="MN39" s="208" t="n"/>
      <c r="MO39" s="208" t="n"/>
      <c r="MP39" s="208" t="n"/>
      <c r="MQ39" s="208" t="n"/>
      <c r="MR39" s="208" t="n"/>
      <c r="MS39" s="208" t="n"/>
      <c r="MT39" s="208" t="n"/>
      <c r="MU39" s="208" t="n"/>
      <c r="MV39" s="208" t="n"/>
      <c r="MW39" s="208" t="n"/>
      <c r="MX39" s="208" t="n"/>
      <c r="MY39" s="208" t="n"/>
      <c r="MZ39" s="208" t="n"/>
      <c r="NA39" s="208" t="n"/>
      <c r="NB39" s="208" t="n"/>
      <c r="NC39" s="208" t="n"/>
      <c r="ND39" s="208" t="n"/>
      <c r="NE39" s="208" t="n"/>
      <c r="NF39" s="208" t="n"/>
      <c r="NG39" s="208" t="n"/>
      <c r="NH39" s="208" t="n"/>
      <c r="NI39" s="208" t="n"/>
      <c r="NJ39" s="208" t="n"/>
      <c r="NK39" s="208" t="n"/>
      <c r="NL39" s="208" t="n"/>
      <c r="NM39" s="208" t="n"/>
      <c r="NN39" s="208" t="n"/>
      <c r="NO39" s="208" t="n"/>
      <c r="NP39" s="208" t="n"/>
      <c r="NQ39" s="208" t="n"/>
      <c r="NR39" s="208" t="n"/>
      <c r="NS39" s="208" t="n"/>
      <c r="NT39" s="208" t="n"/>
      <c r="NU39" s="208" t="n"/>
      <c r="NV39" s="208" t="n"/>
      <c r="NW39" s="208" t="n"/>
      <c r="NX39" s="208" t="n"/>
      <c r="NY39" s="208" t="n"/>
      <c r="NZ39" s="208" t="n"/>
      <c r="OA39" s="208" t="n"/>
      <c r="OB39" s="208" t="n"/>
      <c r="OC39" s="208" t="n"/>
      <c r="OD39" s="208" t="n"/>
      <c r="OE39" s="208" t="n"/>
      <c r="OF39" s="208" t="n"/>
      <c r="OG39" s="208" t="n"/>
      <c r="OH39" s="208" t="n"/>
      <c r="OI39" s="208" t="n"/>
      <c r="OJ39" s="208" t="n"/>
      <c r="OK39" s="208" t="n"/>
      <c r="OL39" s="208" t="n"/>
      <c r="OM39" s="208" t="n"/>
      <c r="ON39" s="208" t="n"/>
      <c r="OO39" s="208" t="n"/>
      <c r="OP39" s="208" t="n"/>
      <c r="OQ39" s="208" t="n"/>
      <c r="OR39" s="208" t="n"/>
      <c r="OS39" s="208" t="n"/>
      <c r="OT39" s="208" t="n"/>
      <c r="OU39" s="208" t="n"/>
      <c r="OV39" s="208" t="n"/>
      <c r="OW39" s="208" t="n"/>
      <c r="OX39" s="208" t="n"/>
      <c r="OY39" s="208" t="n"/>
      <c r="OZ39" s="208" t="n"/>
      <c r="PA39" s="208" t="n"/>
      <c r="PB39" s="208" t="n"/>
      <c r="PC39" s="208" t="n"/>
      <c r="PD39" s="208" t="n"/>
      <c r="PE39" s="208" t="n"/>
      <c r="PF39" s="208" t="n"/>
      <c r="PG39" s="208" t="n"/>
      <c r="PH39" s="208" t="n"/>
      <c r="PI39" s="208" t="n"/>
      <c r="PJ39" s="208" t="n"/>
      <c r="PK39" s="208" t="n"/>
      <c r="PL39" s="208" t="n"/>
      <c r="PM39" s="208" t="n"/>
      <c r="PN39" s="208" t="n"/>
      <c r="PO39" s="208" t="n"/>
      <c r="PP39" s="208" t="n"/>
      <c r="PQ39" s="208" t="n"/>
      <c r="PR39" s="208" t="n"/>
      <c r="PS39" s="208" t="n"/>
      <c r="PT39" s="208" t="n"/>
      <c r="PU39" s="208" t="n"/>
      <c r="PV39" s="208" t="n"/>
      <c r="PW39" s="208" t="n"/>
      <c r="PX39" s="208" t="n"/>
      <c r="PY39" s="208" t="n"/>
      <c r="PZ39" s="208" t="n"/>
      <c r="QA39" s="208" t="n"/>
      <c r="QB39" s="208" t="n"/>
      <c r="QC39" s="208" t="n"/>
      <c r="QD39" s="208" t="n"/>
      <c r="QE39" s="208" t="n"/>
      <c r="QF39" s="208" t="n"/>
      <c r="QG39" s="208" t="n"/>
      <c r="QH39" s="208" t="n"/>
      <c r="QI39" s="208" t="n"/>
      <c r="QJ39" s="208" t="n"/>
      <c r="QK39" s="208" t="n"/>
      <c r="QL39" s="208" t="n"/>
      <c r="QM39" s="208" t="n"/>
      <c r="QN39" s="208" t="n"/>
      <c r="QO39" s="208" t="n"/>
      <c r="QP39" s="208" t="n"/>
      <c r="QQ39" s="208" t="n"/>
      <c r="QR39" s="208" t="n"/>
      <c r="QS39" s="208" t="n"/>
      <c r="QT39" s="208" t="n"/>
      <c r="QU39" s="208" t="n"/>
      <c r="QV39" s="208" t="n"/>
      <c r="QW39" s="208" t="n"/>
      <c r="QX39" s="208" t="n"/>
      <c r="QY39" s="208" t="n"/>
      <c r="QZ39" s="208" t="n"/>
      <c r="RA39" s="208" t="n"/>
      <c r="RB39" s="208" t="n"/>
      <c r="RC39" s="208" t="n"/>
      <c r="RD39" s="208" t="n"/>
      <c r="RE39" s="208" t="n"/>
      <c r="RF39" s="208" t="n"/>
      <c r="RG39" s="208" t="n"/>
      <c r="RH39" s="208" t="n"/>
      <c r="RI39" s="208" t="n"/>
      <c r="RJ39" s="208" t="n"/>
      <c r="RK39" s="208" t="n"/>
      <c r="RL39" s="208" t="n"/>
      <c r="RM39" s="208" t="n"/>
      <c r="RN39" s="208" t="n"/>
      <c r="RO39" s="208" t="n"/>
      <c r="RP39" s="208" t="n"/>
      <c r="RQ39" s="208" t="n"/>
      <c r="RR39" s="208" t="n"/>
      <c r="RS39" s="208" t="n"/>
      <c r="RT39" s="208" t="n"/>
      <c r="RU39" s="208" t="n"/>
      <c r="RV39" s="208" t="n"/>
      <c r="RW39" s="208" t="n"/>
      <c r="RX39" s="208" t="n"/>
      <c r="RY39" s="208" t="n"/>
      <c r="RZ39" s="208" t="n"/>
      <c r="SA39" s="208" t="n"/>
      <c r="SB39" s="208" t="n"/>
      <c r="SC39" s="208" t="n"/>
      <c r="SD39" s="208" t="n"/>
      <c r="SE39" s="208" t="n"/>
      <c r="SF39" s="208" t="n"/>
      <c r="SG39" s="208" t="n"/>
      <c r="SH39" s="208" t="n"/>
      <c r="SI39" s="208" t="n"/>
      <c r="SJ39" s="208" t="n"/>
      <c r="SK39" s="208" t="n"/>
      <c r="SL39" s="208" t="n"/>
      <c r="SM39" s="208" t="n"/>
      <c r="SN39" s="208" t="n"/>
      <c r="SO39" s="208" t="n"/>
      <c r="SP39" s="208" t="n"/>
      <c r="SQ39" s="208" t="n"/>
      <c r="SR39" s="208" t="n"/>
      <c r="SS39" s="208" t="n"/>
      <c r="ST39" s="208" t="n"/>
      <c r="SU39" s="208" t="n"/>
      <c r="SV39" s="208" t="n"/>
    </row>
    <row r="40">
      <c r="B40" s="209" t="n">
        <v>1</v>
      </c>
      <c r="C40" s="209" t="inlineStr">
        <is>
          <t>STS</t>
        </is>
      </c>
      <c r="D40" s="209" t="inlineStr">
        <is>
          <t>Martin</t>
        </is>
      </c>
      <c r="E40" s="209" t="inlineStr">
        <is>
          <t>Smart</t>
        </is>
      </c>
      <c r="F40" s="209">
        <f>IF(TRIM(D40&amp;E40)="","",TRIM(D40)&amp;" "&amp;TRIM(E40))</f>
        <v/>
      </c>
      <c r="G40" s="209" t="inlineStr">
        <is>
          <t>Perth</t>
        </is>
      </c>
      <c r="H40" s="209" t="inlineStr">
        <is>
          <t>Supervisor Electrical  - Non Stat - WHS</t>
        </is>
      </c>
      <c r="I40" s="209" t="inlineStr">
        <is>
          <t>YES</t>
        </is>
      </c>
      <c r="J40" s="209" t="inlineStr">
        <is>
          <t>YES</t>
        </is>
      </c>
      <c r="K40" s="209" t="inlineStr">
        <is>
          <t>YES</t>
        </is>
      </c>
      <c r="L40" s="209" t="inlineStr">
        <is>
          <t>YES</t>
        </is>
      </c>
      <c r="M40" s="209" t="inlineStr">
        <is>
          <t>Quals Complete</t>
        </is>
      </c>
      <c r="N40" s="209" t="inlineStr">
        <is>
          <t>smarty032@hotmail.com</t>
        </is>
      </c>
      <c r="O40" s="209" t="inlineStr">
        <is>
          <t>0416 987 590</t>
        </is>
      </c>
      <c r="P40" s="209" t="n">
        <v>796112</v>
      </c>
      <c r="Q40" s="209" t="n">
        <v>419087</v>
      </c>
      <c r="R40" s="209" t="inlineStr">
        <is>
          <t>2:1</t>
        </is>
      </c>
      <c r="S40" s="210" t="inlineStr">
        <is>
          <t>N/A</t>
        </is>
      </c>
      <c r="T40" s="210" t="inlineStr">
        <is>
          <t>N/A</t>
        </is>
      </c>
      <c r="U40" s="210" t="inlineStr">
        <is>
          <t>N/A</t>
        </is>
      </c>
      <c r="V40" s="210" t="inlineStr">
        <is>
          <t>N/A</t>
        </is>
      </c>
      <c r="W40" s="210" t="inlineStr">
        <is>
          <t>N/A</t>
        </is>
      </c>
      <c r="X40" s="210" t="inlineStr">
        <is>
          <t>N/A</t>
        </is>
      </c>
      <c r="Y40" s="210" t="inlineStr">
        <is>
          <t>N/A</t>
        </is>
      </c>
      <c r="Z40" s="210" t="inlineStr">
        <is>
          <t>N/A</t>
        </is>
      </c>
      <c r="AA40" s="210" t="inlineStr">
        <is>
          <t>N/A</t>
        </is>
      </c>
      <c r="AB40" s="210" t="inlineStr">
        <is>
          <t>N/A</t>
        </is>
      </c>
      <c r="AC40" s="210" t="inlineStr">
        <is>
          <t>N/A</t>
        </is>
      </c>
      <c r="AD40" s="210" t="inlineStr">
        <is>
          <t>N/A</t>
        </is>
      </c>
      <c r="AE40" s="211" t="inlineStr">
        <is>
          <t>PER/PHE AM
LND</t>
        </is>
      </c>
      <c r="AF40" s="211" t="inlineStr">
        <is>
          <t>LND</t>
        </is>
      </c>
      <c r="AG40" s="211" t="inlineStr">
        <is>
          <t>LND</t>
        </is>
      </c>
      <c r="AH40" s="211" t="inlineStr">
        <is>
          <t>LND</t>
        </is>
      </c>
      <c r="AI40" s="211" t="inlineStr">
        <is>
          <t>LND</t>
        </is>
      </c>
      <c r="AJ40" s="211" t="inlineStr">
        <is>
          <t>LND</t>
        </is>
      </c>
      <c r="AK40" s="211" t="inlineStr">
        <is>
          <t>3RD PTY</t>
        </is>
      </c>
      <c r="AL40" s="211" t="inlineStr">
        <is>
          <t>3RD PTY</t>
        </is>
      </c>
      <c r="AM40" s="211" t="inlineStr">
        <is>
          <t>3RD PTY</t>
        </is>
      </c>
      <c r="AN40" s="211" t="inlineStr">
        <is>
          <t>3RD PTY</t>
        </is>
      </c>
      <c r="AO40" s="211" t="inlineStr">
        <is>
          <t>3RD PTY</t>
        </is>
      </c>
      <c r="AP40" s="211" t="inlineStr">
        <is>
          <t>3RD PTY</t>
        </is>
      </c>
      <c r="AQ40" s="211" t="inlineStr">
        <is>
          <t>3RD PTY</t>
        </is>
      </c>
      <c r="AR40" s="211" t="inlineStr">
        <is>
          <t>PHE/PER PM</t>
        </is>
      </c>
      <c r="AS40" s="222" t="inlineStr">
        <is>
          <t>RnR</t>
        </is>
      </c>
      <c r="AT40" s="222" t="inlineStr">
        <is>
          <t>RnR</t>
        </is>
      </c>
      <c r="AU40" s="222" t="inlineStr">
        <is>
          <t>RnR</t>
        </is>
      </c>
      <c r="AV40" s="222" t="inlineStr">
        <is>
          <t>RnR</t>
        </is>
      </c>
      <c r="AW40" s="222" t="inlineStr">
        <is>
          <t>RnR</t>
        </is>
      </c>
      <c r="AX40" s="222" t="inlineStr">
        <is>
          <t>RnR</t>
        </is>
      </c>
      <c r="AY40" s="211" t="inlineStr">
        <is>
          <t>PER/PHE PM
LND</t>
        </is>
      </c>
      <c r="AZ40" s="211" t="inlineStr">
        <is>
          <t>LND</t>
        </is>
      </c>
      <c r="BA40" s="211" t="inlineStr">
        <is>
          <t>LND</t>
        </is>
      </c>
      <c r="BB40" s="211" t="inlineStr">
        <is>
          <t>LND</t>
        </is>
      </c>
      <c r="BC40" s="211" t="inlineStr">
        <is>
          <t>LND</t>
        </is>
      </c>
      <c r="BD40" s="211" t="inlineStr">
        <is>
          <t>RDM</t>
        </is>
      </c>
      <c r="BE40" s="211" t="inlineStr">
        <is>
          <t>RDM</t>
        </is>
      </c>
      <c r="BF40" s="211" t="inlineStr">
        <is>
          <t>RDM</t>
        </is>
      </c>
      <c r="BG40" s="211" t="inlineStr">
        <is>
          <t>RDM</t>
        </is>
      </c>
      <c r="BH40" s="211" t="inlineStr">
        <is>
          <t>RDM</t>
        </is>
      </c>
      <c r="BI40" s="211" t="inlineStr">
        <is>
          <t>RDM</t>
        </is>
      </c>
      <c r="BJ40" s="211" t="inlineStr">
        <is>
          <t>RDM</t>
        </is>
      </c>
      <c r="BK40" s="211" t="inlineStr">
        <is>
          <t>RDM</t>
        </is>
      </c>
      <c r="BL40" s="211" t="inlineStr">
        <is>
          <t>RDM</t>
        </is>
      </c>
      <c r="BM40" s="211" t="inlineStr">
        <is>
          <t>PHE/PER PM</t>
        </is>
      </c>
      <c r="BN40" s="222" t="inlineStr">
        <is>
          <t>RnR</t>
        </is>
      </c>
      <c r="BO40" s="222" t="inlineStr">
        <is>
          <t>RnR</t>
        </is>
      </c>
      <c r="BP40" s="222" t="inlineStr">
        <is>
          <t>RnR</t>
        </is>
      </c>
      <c r="BQ40" s="222" t="inlineStr">
        <is>
          <t>RnR</t>
        </is>
      </c>
      <c r="BR40" s="222" t="inlineStr">
        <is>
          <t>RnR</t>
        </is>
      </c>
      <c r="BS40" s="222" t="inlineStr">
        <is>
          <t>RnR</t>
        </is>
      </c>
      <c r="BT40" s="211" t="inlineStr">
        <is>
          <t>PER/PHE PM
LND</t>
        </is>
      </c>
      <c r="BU40" s="211" t="inlineStr">
        <is>
          <t>RDM</t>
        </is>
      </c>
      <c r="BV40" s="211" t="inlineStr">
        <is>
          <t>RDM</t>
        </is>
      </c>
      <c r="BW40" s="211" t="inlineStr">
        <is>
          <t>RDM</t>
        </is>
      </c>
      <c r="BX40" s="211" t="inlineStr">
        <is>
          <t>RDM</t>
        </is>
      </c>
      <c r="BY40" s="211" t="inlineStr">
        <is>
          <t>RDM</t>
        </is>
      </c>
      <c r="BZ40" s="211" t="inlineStr">
        <is>
          <t>RDM</t>
        </is>
      </c>
      <c r="CA40" s="211" t="inlineStr">
        <is>
          <t>RDM</t>
        </is>
      </c>
      <c r="CB40" s="215" t="inlineStr">
        <is>
          <t>RDM</t>
        </is>
      </c>
      <c r="CC40" s="215" t="inlineStr">
        <is>
          <t>RDM</t>
        </is>
      </c>
      <c r="CD40" s="215" t="inlineStr">
        <is>
          <t>RDM</t>
        </is>
      </c>
      <c r="CE40" s="215" t="inlineStr">
        <is>
          <t>RDM</t>
        </is>
      </c>
      <c r="CF40" s="215" t="inlineStr">
        <is>
          <t>RDM</t>
        </is>
      </c>
      <c r="CG40" s="215" t="inlineStr">
        <is>
          <t>RDM</t>
        </is>
      </c>
      <c r="CH40" s="211" t="inlineStr">
        <is>
          <t>PHE/PER PM</t>
        </is>
      </c>
      <c r="CI40" s="210" t="inlineStr">
        <is>
          <t>N/A</t>
        </is>
      </c>
      <c r="CJ40" s="210" t="inlineStr">
        <is>
          <t>N/A</t>
        </is>
      </c>
      <c r="CK40" s="210" t="inlineStr">
        <is>
          <t>N/A</t>
        </is>
      </c>
      <c r="CL40" s="210" t="inlineStr">
        <is>
          <t>N/A</t>
        </is>
      </c>
      <c r="CM40" s="210" t="inlineStr">
        <is>
          <t>N/A</t>
        </is>
      </c>
      <c r="CN40" s="210" t="inlineStr">
        <is>
          <t>N/A</t>
        </is>
      </c>
      <c r="CO40" s="210" t="inlineStr">
        <is>
          <t>PER/PHE PM
LND</t>
        </is>
      </c>
      <c r="CP40" s="210" t="inlineStr">
        <is>
          <t>RDM</t>
        </is>
      </c>
      <c r="CQ40" s="210" t="inlineStr">
        <is>
          <t>RDM</t>
        </is>
      </c>
      <c r="CR40" s="210" t="inlineStr">
        <is>
          <t>RDM</t>
        </is>
      </c>
      <c r="CS40" s="210" t="inlineStr">
        <is>
          <t>RDM</t>
        </is>
      </c>
      <c r="CT40" s="210" t="inlineStr">
        <is>
          <t>RDM</t>
        </is>
      </c>
      <c r="CU40" s="210" t="inlineStr">
        <is>
          <t>RDM</t>
        </is>
      </c>
      <c r="CV40" s="210" t="inlineStr">
        <is>
          <t>PHE/PER PM</t>
        </is>
      </c>
      <c r="CW40" s="217" t="inlineStr">
        <is>
          <t>DEMOB</t>
        </is>
      </c>
      <c r="CX40" s="210" t="inlineStr">
        <is>
          <t>N/A</t>
        </is>
      </c>
      <c r="CY40" s="210" t="inlineStr">
        <is>
          <t>N/A</t>
        </is>
      </c>
      <c r="CZ40" s="210" t="inlineStr">
        <is>
          <t>N/A</t>
        </is>
      </c>
      <c r="DA40" s="210" t="inlineStr">
        <is>
          <t>N/A</t>
        </is>
      </c>
      <c r="DB40" s="210" t="inlineStr">
        <is>
          <t>N/A</t>
        </is>
      </c>
      <c r="DC40" s="210" t="inlineStr">
        <is>
          <t>N/A</t>
        </is>
      </c>
      <c r="DD40" s="210" t="inlineStr">
        <is>
          <t>N/A</t>
        </is>
      </c>
      <c r="DE40" s="210" t="inlineStr">
        <is>
          <t>N/A</t>
        </is>
      </c>
      <c r="DF40" s="210" t="inlineStr">
        <is>
          <t>N/A</t>
        </is>
      </c>
      <c r="DG40" s="210" t="inlineStr">
        <is>
          <t>N/A</t>
        </is>
      </c>
      <c r="DH40" s="210" t="inlineStr">
        <is>
          <t>N/A</t>
        </is>
      </c>
      <c r="DI40" s="210" t="inlineStr">
        <is>
          <t>N/A</t>
        </is>
      </c>
      <c r="DJ40" s="210" t="inlineStr">
        <is>
          <t>N/A</t>
        </is>
      </c>
      <c r="DK40" s="210" t="inlineStr">
        <is>
          <t>N/A</t>
        </is>
      </c>
      <c r="DL40" s="210" t="inlineStr">
        <is>
          <t>N/A</t>
        </is>
      </c>
      <c r="DM40" s="210" t="inlineStr">
        <is>
          <t>N/A</t>
        </is>
      </c>
      <c r="DN40" s="210" t="inlineStr">
        <is>
          <t>N/A</t>
        </is>
      </c>
      <c r="DO40" s="210" t="inlineStr">
        <is>
          <t>N/A</t>
        </is>
      </c>
      <c r="DP40" s="210" t="inlineStr">
        <is>
          <t>N/A</t>
        </is>
      </c>
      <c r="DQ40" s="210" t="inlineStr">
        <is>
          <t>N/A</t>
        </is>
      </c>
      <c r="DR40" s="212" t="n"/>
      <c r="DS40" s="212" t="n"/>
      <c r="DT40" s="212" t="n"/>
      <c r="DU40" s="212" t="n"/>
      <c r="DV40" s="212" t="n"/>
      <c r="DW40" s="212" t="n"/>
      <c r="DX40" s="212" t="n"/>
      <c r="DY40" s="212" t="n"/>
      <c r="DZ40" s="212" t="n"/>
      <c r="EA40" s="212" t="n"/>
      <c r="EB40" s="212" t="n"/>
      <c r="EC40" s="212" t="n"/>
      <c r="ED40" s="212" t="n"/>
      <c r="EE40" s="212" t="n"/>
      <c r="EF40" s="212" t="n"/>
      <c r="EG40" s="212" t="n"/>
      <c r="EH40" s="212" t="n"/>
      <c r="EI40" s="212" t="n"/>
      <c r="EJ40" s="212" t="n"/>
      <c r="EK40" s="212" t="n"/>
      <c r="EL40" s="212" t="n"/>
      <c r="EM40" s="212" t="n"/>
      <c r="EN40" s="212" t="n"/>
      <c r="EO40" s="212" t="n"/>
      <c r="EP40" s="212" t="n"/>
      <c r="EQ40" s="212" t="n"/>
      <c r="ER40" s="212" t="n"/>
      <c r="ES40" s="212" t="n"/>
      <c r="ET40" s="212" t="n"/>
      <c r="EU40" s="212" t="n"/>
      <c r="EV40" s="212" t="n"/>
      <c r="EW40" s="212" t="n"/>
      <c r="EX40" s="212" t="n"/>
      <c r="EY40" s="212" t="n"/>
      <c r="EZ40" s="212" t="n"/>
      <c r="FA40" s="212" t="n"/>
      <c r="FB40" s="212" t="n"/>
      <c r="FC40" s="212" t="n"/>
      <c r="FD40" s="212" t="n"/>
      <c r="FE40" s="212" t="n"/>
      <c r="FF40" s="212" t="n"/>
      <c r="FG40" s="212" t="n"/>
      <c r="FH40" s="212" t="n"/>
      <c r="FI40" s="212" t="n"/>
      <c r="FJ40" s="212" t="n"/>
      <c r="FK40" s="212" t="n"/>
      <c r="FL40" s="212" t="n"/>
      <c r="FM40" s="212" t="n"/>
      <c r="FN40" s="212" t="n"/>
      <c r="FO40" s="212" t="n"/>
      <c r="FP40" s="212" t="n"/>
      <c r="FQ40" s="212" t="n"/>
      <c r="FR40" s="212" t="n"/>
      <c r="FS40" s="212" t="n"/>
      <c r="FT40" s="212" t="n"/>
      <c r="FU40" s="212" t="n"/>
      <c r="FV40" s="212" t="n"/>
      <c r="FW40" s="212" t="n"/>
      <c r="FX40" s="212" t="n"/>
      <c r="FY40" s="212" t="n"/>
      <c r="FZ40" s="212" t="n"/>
      <c r="GA40" s="212" t="n"/>
      <c r="GB40" s="212" t="n"/>
      <c r="GC40" s="212" t="n"/>
      <c r="GD40" s="212" t="n"/>
      <c r="GE40" s="212" t="n"/>
      <c r="GF40" s="212" t="n"/>
      <c r="GG40" s="212" t="n"/>
      <c r="GH40" s="212" t="n"/>
      <c r="GI40" s="212" t="n"/>
      <c r="GJ40" s="212" t="n"/>
      <c r="GK40" s="212" t="n"/>
      <c r="GL40" s="212" t="n"/>
      <c r="GM40" s="212" t="n"/>
      <c r="GN40" s="212" t="n"/>
      <c r="GO40" s="212" t="n"/>
      <c r="GP40" s="212" t="n"/>
      <c r="GQ40" s="212" t="n"/>
      <c r="GR40" s="212" t="n"/>
      <c r="GS40" s="212" t="n"/>
      <c r="GT40" s="212" t="n"/>
      <c r="GU40" s="212" t="n"/>
      <c r="GV40" s="212" t="n"/>
      <c r="GW40" s="212" t="n"/>
      <c r="GX40" s="212" t="n"/>
      <c r="GY40" s="212" t="n"/>
      <c r="GZ40" s="212" t="n"/>
      <c r="HA40" s="212" t="n"/>
      <c r="HB40" s="212" t="n"/>
      <c r="HC40" s="212" t="n"/>
      <c r="HD40" s="212" t="n"/>
      <c r="HE40" s="212" t="n"/>
      <c r="HF40" s="212" t="n"/>
      <c r="HG40" s="212" t="n"/>
      <c r="HH40" s="212" t="n"/>
      <c r="HI40" s="212" t="n"/>
      <c r="HJ40" s="212" t="n"/>
      <c r="HK40" s="212" t="n"/>
      <c r="HL40" s="212" t="n"/>
      <c r="HM40" s="212" t="n"/>
      <c r="HN40" s="212" t="n"/>
      <c r="HO40" s="212" t="n"/>
      <c r="HP40" s="212" t="n"/>
      <c r="HQ40" s="212" t="n"/>
      <c r="HR40" s="212" t="n"/>
      <c r="HS40" s="212" t="n"/>
      <c r="HT40" s="212" t="n"/>
      <c r="HU40" s="212" t="n"/>
      <c r="HV40" s="212" t="n"/>
      <c r="HW40" s="212" t="n"/>
      <c r="HX40" s="212" t="n"/>
      <c r="HY40" s="212" t="n"/>
      <c r="HZ40" s="212" t="n"/>
      <c r="IA40" s="212" t="n"/>
      <c r="IB40" s="212" t="n"/>
      <c r="IC40" s="212" t="n"/>
      <c r="ID40" s="212" t="n"/>
      <c r="IE40" s="212" t="n"/>
      <c r="IF40" s="212" t="n"/>
      <c r="IG40" s="212" t="n"/>
      <c r="IH40" s="212" t="n"/>
      <c r="II40" s="212" t="n"/>
      <c r="IJ40" s="212" t="n"/>
      <c r="IK40" s="212" t="n"/>
      <c r="IL40" s="212" t="n"/>
      <c r="IM40" s="212" t="n"/>
      <c r="IN40" s="212" t="n"/>
      <c r="IO40" s="212" t="n"/>
      <c r="IP40" s="212" t="n"/>
      <c r="IQ40" s="212" t="n"/>
      <c r="IR40" s="212" t="n"/>
      <c r="IS40" s="212" t="n"/>
      <c r="IT40" s="212" t="n"/>
      <c r="IU40" s="212" t="n"/>
      <c r="IV40" s="212" t="n"/>
      <c r="IW40" s="212" t="n"/>
      <c r="IX40" s="212" t="n"/>
      <c r="IY40" s="212" t="n"/>
      <c r="IZ40" s="212" t="n"/>
      <c r="JA40" s="212" t="n"/>
      <c r="JB40" s="212" t="n"/>
      <c r="JC40" s="212" t="n"/>
      <c r="JD40" s="212" t="n"/>
      <c r="JE40" s="212" t="n"/>
      <c r="JF40" s="212" t="n"/>
      <c r="JG40" s="212" t="n"/>
      <c r="JH40" s="212" t="n"/>
      <c r="JI40" s="212" t="n"/>
      <c r="JJ40" s="212" t="n"/>
      <c r="JK40" s="212" t="n"/>
      <c r="JL40" s="212" t="n"/>
      <c r="JM40" s="212" t="n"/>
      <c r="JN40" s="212" t="n"/>
      <c r="JO40" s="212" t="n"/>
      <c r="JP40" s="212" t="n"/>
      <c r="JQ40" s="212" t="n"/>
      <c r="JR40" s="212" t="n"/>
      <c r="JS40" s="212" t="n"/>
      <c r="JT40" s="212" t="n"/>
      <c r="JU40" s="212" t="n"/>
      <c r="JV40" s="212" t="n"/>
      <c r="JW40" s="212" t="n"/>
      <c r="JX40" s="212" t="n"/>
      <c r="JY40" s="212" t="n"/>
      <c r="JZ40" s="212" t="n"/>
      <c r="KA40" s="212" t="n"/>
      <c r="KB40" s="212" t="n"/>
      <c r="KC40" s="212" t="n"/>
      <c r="KD40" s="212" t="n"/>
      <c r="KE40" s="212" t="n"/>
      <c r="KF40" s="212" t="n"/>
      <c r="KG40" s="212" t="n"/>
      <c r="KH40" s="212" t="n"/>
      <c r="KI40" s="212" t="n"/>
      <c r="KJ40" s="212" t="n"/>
      <c r="KK40" s="212" t="n"/>
      <c r="KL40" s="212" t="n"/>
      <c r="KM40" s="212" t="n"/>
      <c r="KN40" s="212" t="n"/>
      <c r="KO40" s="212" t="n"/>
      <c r="KP40" s="212" t="n"/>
      <c r="KQ40" s="212" t="n"/>
      <c r="KR40" s="212" t="n"/>
      <c r="KS40" s="212" t="n"/>
      <c r="KT40" s="212" t="n"/>
      <c r="KU40" s="212" t="n"/>
      <c r="KV40" s="212" t="n"/>
      <c r="KW40" s="212" t="n"/>
      <c r="KX40" s="212" t="n"/>
      <c r="KY40" s="212" t="n"/>
      <c r="KZ40" s="212" t="n"/>
      <c r="LA40" s="212" t="n"/>
      <c r="LB40" s="212" t="n"/>
      <c r="LC40" s="212" t="n"/>
      <c r="LD40" s="212" t="n"/>
      <c r="LE40" s="212" t="n"/>
      <c r="LF40" s="212" t="n"/>
      <c r="LG40" s="212" t="n"/>
      <c r="LH40" s="212" t="n"/>
      <c r="LI40" s="212" t="n"/>
      <c r="LJ40" s="212" t="n"/>
      <c r="LK40" s="212" t="n"/>
      <c r="LL40" s="212" t="n"/>
      <c r="LM40" s="212" t="n"/>
      <c r="LN40" s="212" t="n"/>
      <c r="LO40" s="212" t="n"/>
      <c r="LP40" s="212" t="n"/>
      <c r="LQ40" s="212" t="n"/>
      <c r="LR40" s="212" t="n"/>
      <c r="LS40" s="212" t="n"/>
      <c r="LT40" s="212" t="n"/>
      <c r="LU40" s="212" t="n"/>
      <c r="LV40" s="212" t="n"/>
      <c r="LW40" s="212" t="n"/>
      <c r="LX40" s="212" t="n"/>
      <c r="LY40" s="212" t="n"/>
      <c r="LZ40" s="212" t="n"/>
      <c r="MA40" s="212" t="n"/>
      <c r="MB40" s="212" t="n"/>
      <c r="MC40" s="212" t="n"/>
      <c r="MD40" s="212" t="n"/>
      <c r="ME40" s="212" t="n"/>
      <c r="MF40" s="212" t="n"/>
      <c r="MG40" s="212" t="n"/>
      <c r="MH40" s="212" t="n"/>
      <c r="MI40" s="212" t="n"/>
      <c r="MJ40" s="212" t="n"/>
      <c r="MK40" s="212" t="n"/>
      <c r="ML40" s="212" t="n"/>
      <c r="MM40" s="212" t="n"/>
      <c r="MN40" s="212" t="n"/>
      <c r="MO40" s="212" t="n"/>
      <c r="MP40" s="212" t="n"/>
      <c r="MQ40" s="212" t="n"/>
      <c r="MR40" s="212" t="n"/>
      <c r="MS40" s="212" t="n"/>
      <c r="MT40" s="212" t="n"/>
      <c r="MU40" s="212" t="n"/>
      <c r="MV40" s="212" t="n"/>
      <c r="MW40" s="212" t="n"/>
      <c r="MX40" s="212" t="n"/>
      <c r="MY40" s="212" t="n"/>
      <c r="MZ40" s="212" t="n"/>
      <c r="NA40" s="212" t="n"/>
      <c r="NB40" s="212" t="n"/>
      <c r="NC40" s="212" t="n"/>
      <c r="ND40" s="212" t="n"/>
      <c r="NE40" s="212" t="n"/>
      <c r="NF40" s="212" t="n"/>
      <c r="NG40" s="212" t="n"/>
      <c r="NH40" s="212" t="n"/>
      <c r="NI40" s="212" t="n"/>
      <c r="NJ40" s="212" t="n"/>
      <c r="NK40" s="212" t="n"/>
      <c r="NL40" s="212" t="n"/>
      <c r="NM40" s="212" t="n"/>
      <c r="NN40" s="212" t="n"/>
      <c r="NO40" s="212" t="n"/>
      <c r="NP40" s="212" t="n"/>
      <c r="NQ40" s="212" t="n"/>
      <c r="NR40" s="212" t="n"/>
      <c r="NS40" s="212" t="n"/>
      <c r="NT40" s="212" t="n"/>
      <c r="NU40" s="212" t="n"/>
      <c r="NV40" s="212" t="n"/>
      <c r="NW40" s="212" t="n"/>
      <c r="NX40" s="212" t="n"/>
      <c r="NY40" s="212" t="n"/>
      <c r="NZ40" s="212" t="n"/>
      <c r="OA40" s="212" t="n"/>
      <c r="OB40" s="212" t="n"/>
      <c r="OC40" s="212" t="n"/>
      <c r="OD40" s="212" t="n"/>
      <c r="OE40" s="212" t="n"/>
      <c r="OF40" s="212" t="n"/>
      <c r="OG40" s="212" t="n"/>
      <c r="OH40" s="212" t="n"/>
      <c r="OI40" s="212" t="n"/>
      <c r="OJ40" s="212" t="n"/>
      <c r="OK40" s="212" t="n"/>
      <c r="OL40" s="212" t="n"/>
      <c r="OM40" s="212" t="n"/>
      <c r="ON40" s="212" t="n"/>
      <c r="OO40" s="212" t="n"/>
      <c r="OP40" s="212" t="n"/>
      <c r="OQ40" s="212" t="n"/>
      <c r="OR40" s="212" t="n"/>
      <c r="OS40" s="212" t="n"/>
      <c r="OT40" s="212" t="n"/>
      <c r="OU40" s="212" t="n"/>
      <c r="OV40" s="212" t="n"/>
      <c r="OW40" s="212" t="n"/>
      <c r="OX40" s="212" t="n"/>
      <c r="OY40" s="212" t="n"/>
      <c r="OZ40" s="212" t="n"/>
      <c r="PA40" s="212" t="n"/>
      <c r="PB40" s="212" t="n"/>
      <c r="PC40" s="212" t="n"/>
      <c r="PD40" s="212" t="n"/>
      <c r="PE40" s="212" t="n"/>
      <c r="PF40" s="212" t="n"/>
      <c r="PG40" s="212" t="n"/>
      <c r="PH40" s="212" t="n"/>
      <c r="PI40" s="212" t="n"/>
      <c r="PJ40" s="212" t="n"/>
      <c r="PK40" s="212" t="n"/>
      <c r="PL40" s="212" t="n"/>
      <c r="PM40" s="212" t="n"/>
      <c r="PN40" s="212" t="n"/>
      <c r="PO40" s="212" t="n"/>
      <c r="PP40" s="212" t="n"/>
      <c r="PQ40" s="212" t="n"/>
      <c r="PR40" s="212" t="n"/>
      <c r="PS40" s="212" t="n"/>
      <c r="PT40" s="212" t="n"/>
      <c r="PU40" s="212" t="n"/>
      <c r="PV40" s="212" t="n"/>
      <c r="PW40" s="212" t="n"/>
      <c r="PX40" s="212" t="n"/>
      <c r="PY40" s="212" t="n"/>
      <c r="PZ40" s="212" t="n"/>
      <c r="QA40" s="212" t="n"/>
      <c r="QB40" s="212" t="n"/>
      <c r="QC40" s="212" t="n"/>
      <c r="QD40" s="212" t="n"/>
      <c r="QE40" s="212" t="n"/>
      <c r="QF40" s="212" t="n"/>
      <c r="QG40" s="212" t="n"/>
      <c r="QH40" s="212" t="n"/>
      <c r="QI40" s="212" t="n"/>
      <c r="QJ40" s="212" t="n"/>
      <c r="QK40" s="212" t="n"/>
      <c r="QL40" s="212" t="n"/>
      <c r="QM40" s="212" t="n"/>
      <c r="QN40" s="212" t="n"/>
      <c r="QO40" s="212" t="n"/>
      <c r="QP40" s="212" t="n"/>
      <c r="QQ40" s="212" t="n"/>
      <c r="QR40" s="212" t="n"/>
      <c r="QS40" s="212" t="n"/>
      <c r="QT40" s="212" t="n"/>
      <c r="QU40" s="212" t="n"/>
      <c r="QV40" s="212" t="n"/>
      <c r="QW40" s="212" t="n"/>
      <c r="QX40" s="212" t="n"/>
      <c r="QY40" s="212" t="n"/>
      <c r="QZ40" s="212" t="n"/>
      <c r="RA40" s="212" t="n"/>
      <c r="RB40" s="212" t="n"/>
      <c r="RC40" s="212" t="n"/>
      <c r="RD40" s="212" t="n"/>
      <c r="RE40" s="212" t="n"/>
      <c r="RF40" s="212" t="n"/>
      <c r="RG40" s="212" t="n"/>
      <c r="RH40" s="212" t="n"/>
      <c r="RI40" s="212" t="n"/>
      <c r="RJ40" s="212" t="n"/>
      <c r="RK40" s="212" t="n"/>
      <c r="RL40" s="212" t="n"/>
      <c r="RM40" s="212" t="n"/>
      <c r="RN40" s="212" t="n"/>
      <c r="RO40" s="212" t="n"/>
      <c r="RP40" s="212" t="n"/>
      <c r="RQ40" s="212" t="n"/>
      <c r="RR40" s="212" t="n"/>
      <c r="RS40" s="212" t="n"/>
      <c r="RT40" s="212" t="n"/>
      <c r="RU40" s="212" t="n"/>
      <c r="RV40" s="212" t="n"/>
      <c r="RW40" s="212" t="n"/>
      <c r="RX40" s="212" t="n"/>
      <c r="RY40" s="212" t="n"/>
      <c r="RZ40" s="212" t="n"/>
      <c r="SA40" s="212" t="n"/>
      <c r="SB40" s="212" t="n"/>
      <c r="SC40" s="212" t="n"/>
      <c r="SD40" s="212" t="n"/>
      <c r="SE40" s="212" t="n"/>
      <c r="SF40" s="212" t="n"/>
      <c r="SG40" s="212" t="n"/>
      <c r="SH40" s="212" t="n"/>
      <c r="SI40" s="212" t="n"/>
      <c r="SJ40" s="212" t="n"/>
      <c r="SK40" s="212" t="n"/>
      <c r="SL40" s="212" t="n"/>
      <c r="SM40" s="212" t="n"/>
      <c r="SN40" s="212" t="n"/>
      <c r="SO40" s="212" t="n"/>
      <c r="SP40" s="212" t="n"/>
      <c r="SQ40" s="212" t="n"/>
      <c r="SR40" s="212" t="n"/>
      <c r="SS40" s="212" t="n"/>
      <c r="ST40" s="212" t="n"/>
      <c r="SU40" s="212" t="n"/>
      <c r="SV40" s="212" t="n"/>
    </row>
    <row r="41">
      <c r="B41" s="209" t="n">
        <v>2</v>
      </c>
      <c r="C41" s="209" t="inlineStr">
        <is>
          <t>STS</t>
        </is>
      </c>
      <c r="D41" s="209" t="inlineStr">
        <is>
          <t>TBC</t>
        </is>
      </c>
      <c r="E41" s="209" t="inlineStr">
        <is>
          <t>TBC</t>
        </is>
      </c>
      <c r="F41" s="209">
        <f>IF(TRIM(D41&amp;E41)="","",TRIM(D41)&amp;" "&amp;TRIM(E41))</f>
        <v/>
      </c>
      <c r="G41" s="209" t="inlineStr">
        <is>
          <t>Perth</t>
        </is>
      </c>
      <c r="H41" s="209" t="inlineStr">
        <is>
          <t>Information Systems Technician</t>
        </is>
      </c>
      <c r="I41" s="209" t="inlineStr">
        <is>
          <t>TBC</t>
        </is>
      </c>
      <c r="J41" s="209" t="inlineStr">
        <is>
          <t>TBC</t>
        </is>
      </c>
      <c r="K41" s="209" t="inlineStr">
        <is>
          <t>TBC</t>
        </is>
      </c>
      <c r="L41" s="209" t="inlineStr">
        <is>
          <t>TBC</t>
        </is>
      </c>
      <c r="M41" s="209" t="inlineStr">
        <is>
          <t>TBC</t>
        </is>
      </c>
      <c r="N41" s="209" t="inlineStr">
        <is>
          <t>TBC</t>
        </is>
      </c>
      <c r="O41" s="209" t="inlineStr">
        <is>
          <t>TBC</t>
        </is>
      </c>
      <c r="P41" s="209" t="inlineStr">
        <is>
          <t>TBC</t>
        </is>
      </c>
      <c r="Q41" s="209" t="inlineStr">
        <is>
          <t>TBC</t>
        </is>
      </c>
      <c r="R41" s="209" t="inlineStr">
        <is>
          <t>2:1</t>
        </is>
      </c>
      <c r="S41" s="210" t="inlineStr">
        <is>
          <t>N/A</t>
        </is>
      </c>
      <c r="T41" s="210" t="inlineStr">
        <is>
          <t>N/A</t>
        </is>
      </c>
      <c r="U41" s="210" t="inlineStr">
        <is>
          <t>N/A</t>
        </is>
      </c>
      <c r="V41" s="210" t="inlineStr">
        <is>
          <t>N/A</t>
        </is>
      </c>
      <c r="W41" s="210" t="inlineStr">
        <is>
          <t>N/A</t>
        </is>
      </c>
      <c r="X41" s="210" t="inlineStr">
        <is>
          <t>N/A</t>
        </is>
      </c>
      <c r="Y41" s="210" t="inlineStr">
        <is>
          <t>N/A</t>
        </is>
      </c>
      <c r="Z41" s="210" t="inlineStr">
        <is>
          <t>N/A</t>
        </is>
      </c>
      <c r="AA41" s="210" t="inlineStr">
        <is>
          <t>N/A</t>
        </is>
      </c>
      <c r="AB41" s="210" t="inlineStr">
        <is>
          <t>N/A</t>
        </is>
      </c>
      <c r="AC41" s="210" t="inlineStr">
        <is>
          <t>N/A</t>
        </is>
      </c>
      <c r="AD41" s="210" t="inlineStr">
        <is>
          <t>N/A</t>
        </is>
      </c>
      <c r="AE41" s="210" t="inlineStr">
        <is>
          <t>N/A</t>
        </is>
      </c>
      <c r="AF41" s="210" t="inlineStr">
        <is>
          <t>N/A</t>
        </is>
      </c>
      <c r="AG41" s="210" t="inlineStr">
        <is>
          <t>N/A</t>
        </is>
      </c>
      <c r="AH41" s="210" t="inlineStr">
        <is>
          <t>N/A</t>
        </is>
      </c>
      <c r="AI41" s="210" t="inlineStr">
        <is>
          <t>N/A</t>
        </is>
      </c>
      <c r="AJ41" s="210" t="inlineStr">
        <is>
          <t>N/A</t>
        </is>
      </c>
      <c r="AK41" s="210" t="inlineStr">
        <is>
          <t>N/A</t>
        </is>
      </c>
      <c r="AL41" s="210" t="inlineStr">
        <is>
          <t>N/A</t>
        </is>
      </c>
      <c r="AM41" s="210" t="inlineStr">
        <is>
          <t>N/A</t>
        </is>
      </c>
      <c r="AN41" s="210" t="inlineStr">
        <is>
          <t>N/A</t>
        </is>
      </c>
      <c r="AO41" s="210" t="inlineStr">
        <is>
          <t>N/A</t>
        </is>
      </c>
      <c r="AP41" s="210" t="inlineStr">
        <is>
          <t>N/A</t>
        </is>
      </c>
      <c r="AQ41" s="210" t="inlineStr">
        <is>
          <t>N/A</t>
        </is>
      </c>
      <c r="AR41" s="210" t="inlineStr">
        <is>
          <t>N/A</t>
        </is>
      </c>
      <c r="AS41" s="210" t="inlineStr">
        <is>
          <t>N/A</t>
        </is>
      </c>
      <c r="AT41" s="210" t="inlineStr">
        <is>
          <t>N/A</t>
        </is>
      </c>
      <c r="AU41" s="210" t="inlineStr">
        <is>
          <t>N/A</t>
        </is>
      </c>
      <c r="AV41" s="210" t="inlineStr">
        <is>
          <t>N/A</t>
        </is>
      </c>
      <c r="AW41" s="210" t="inlineStr">
        <is>
          <t>N/A</t>
        </is>
      </c>
      <c r="AX41" s="210" t="inlineStr">
        <is>
          <t>N/A</t>
        </is>
      </c>
      <c r="AY41" s="210" t="inlineStr">
        <is>
          <t>N/A</t>
        </is>
      </c>
      <c r="AZ41" s="210" t="inlineStr">
        <is>
          <t>N/A</t>
        </is>
      </c>
      <c r="BA41" s="210" t="inlineStr">
        <is>
          <t>N/A</t>
        </is>
      </c>
      <c r="BB41" s="210" t="inlineStr">
        <is>
          <t>N/A</t>
        </is>
      </c>
      <c r="BC41" s="210" t="inlineStr">
        <is>
          <t>N/A</t>
        </is>
      </c>
      <c r="BD41" s="210" t="inlineStr">
        <is>
          <t>N/A</t>
        </is>
      </c>
      <c r="BE41" s="210" t="inlineStr">
        <is>
          <t>N/A</t>
        </is>
      </c>
      <c r="BF41" s="210" t="inlineStr">
        <is>
          <t>N/A</t>
        </is>
      </c>
      <c r="BG41" s="210" t="inlineStr">
        <is>
          <t>N/A</t>
        </is>
      </c>
      <c r="BH41" s="210" t="inlineStr">
        <is>
          <t>N/A</t>
        </is>
      </c>
      <c r="BI41" s="210" t="inlineStr">
        <is>
          <t>N/A</t>
        </is>
      </c>
      <c r="BJ41" s="210" t="inlineStr">
        <is>
          <t>N/A</t>
        </is>
      </c>
      <c r="BK41" s="210" t="inlineStr">
        <is>
          <t>N/A</t>
        </is>
      </c>
      <c r="BL41" s="210" t="inlineStr">
        <is>
          <t>N/A</t>
        </is>
      </c>
      <c r="BM41" s="210" t="inlineStr">
        <is>
          <t>N/A</t>
        </is>
      </c>
      <c r="BN41" s="210" t="inlineStr">
        <is>
          <t>N/A</t>
        </is>
      </c>
      <c r="BO41" s="210" t="inlineStr">
        <is>
          <t>N/A</t>
        </is>
      </c>
      <c r="BP41" s="210" t="inlineStr">
        <is>
          <t>N/A</t>
        </is>
      </c>
      <c r="BQ41" s="210" t="inlineStr">
        <is>
          <t>N/A</t>
        </is>
      </c>
      <c r="BR41" s="210" t="inlineStr">
        <is>
          <t>N/A</t>
        </is>
      </c>
      <c r="BS41" s="210" t="inlineStr">
        <is>
          <t>N/A</t>
        </is>
      </c>
      <c r="BT41" s="210" t="inlineStr">
        <is>
          <t>N/A</t>
        </is>
      </c>
      <c r="BU41" s="210" t="inlineStr">
        <is>
          <t>N/A</t>
        </is>
      </c>
      <c r="BV41" s="210" t="inlineStr">
        <is>
          <t>N/A</t>
        </is>
      </c>
      <c r="BW41" s="210" t="inlineStr">
        <is>
          <t>N/A</t>
        </is>
      </c>
      <c r="BX41" s="210" t="inlineStr">
        <is>
          <t>N/A</t>
        </is>
      </c>
      <c r="BY41" s="210" t="inlineStr">
        <is>
          <t>N/A</t>
        </is>
      </c>
      <c r="BZ41" s="210" t="inlineStr">
        <is>
          <t>N/A</t>
        </is>
      </c>
      <c r="CA41" s="210" t="inlineStr">
        <is>
          <t>N/A</t>
        </is>
      </c>
      <c r="CB41" s="210" t="inlineStr">
        <is>
          <t>N/A</t>
        </is>
      </c>
      <c r="CC41" s="210" t="inlineStr">
        <is>
          <t>N/A</t>
        </is>
      </c>
      <c r="CD41" s="210" t="inlineStr">
        <is>
          <t>N/A</t>
        </is>
      </c>
      <c r="CE41" s="210" t="inlineStr">
        <is>
          <t>N/A</t>
        </is>
      </c>
      <c r="CF41" s="210" t="inlineStr">
        <is>
          <t>N/A</t>
        </is>
      </c>
      <c r="CG41" s="210" t="inlineStr">
        <is>
          <t>N/A</t>
        </is>
      </c>
      <c r="CH41" s="210" t="inlineStr">
        <is>
          <t>N/A</t>
        </is>
      </c>
      <c r="CI41" s="210" t="inlineStr">
        <is>
          <t>N/A</t>
        </is>
      </c>
      <c r="CJ41" s="210" t="inlineStr">
        <is>
          <t>N/A</t>
        </is>
      </c>
      <c r="CK41" s="210" t="inlineStr">
        <is>
          <t>N/A</t>
        </is>
      </c>
      <c r="CL41" s="210" t="inlineStr">
        <is>
          <t>N/A</t>
        </is>
      </c>
      <c r="CM41" s="210" t="inlineStr">
        <is>
          <t>N/A</t>
        </is>
      </c>
      <c r="CN41" s="210" t="inlineStr">
        <is>
          <t>N/A</t>
        </is>
      </c>
      <c r="CO41" s="223" t="inlineStr">
        <is>
          <t>PER/PHE PM
LND</t>
        </is>
      </c>
      <c r="CP41" s="223" t="inlineStr">
        <is>
          <t>RDM</t>
        </is>
      </c>
      <c r="CQ41" s="223" t="inlineStr">
        <is>
          <t>RDM</t>
        </is>
      </c>
      <c r="CR41" s="223" t="inlineStr">
        <is>
          <t>RDM</t>
        </is>
      </c>
      <c r="CS41" s="223" t="inlineStr">
        <is>
          <t>RDM</t>
        </is>
      </c>
      <c r="CT41" s="223" t="inlineStr">
        <is>
          <t>RDM</t>
        </is>
      </c>
      <c r="CU41" s="223" t="inlineStr">
        <is>
          <t>RDM</t>
        </is>
      </c>
      <c r="CV41" s="223" t="inlineStr">
        <is>
          <t>PHE/PER PM</t>
        </is>
      </c>
      <c r="CW41" s="217" t="inlineStr">
        <is>
          <t>DEMOB</t>
        </is>
      </c>
      <c r="CX41" s="210" t="inlineStr">
        <is>
          <t>N/A</t>
        </is>
      </c>
      <c r="CY41" s="210" t="inlineStr">
        <is>
          <t>N/A</t>
        </is>
      </c>
      <c r="CZ41" s="210" t="inlineStr">
        <is>
          <t>N/A</t>
        </is>
      </c>
      <c r="DA41" s="210" t="inlineStr">
        <is>
          <t>N/A</t>
        </is>
      </c>
      <c r="DB41" s="210" t="inlineStr">
        <is>
          <t>N/A</t>
        </is>
      </c>
      <c r="DC41" s="210" t="inlineStr">
        <is>
          <t>N/A</t>
        </is>
      </c>
      <c r="DD41" s="210" t="inlineStr">
        <is>
          <t>N/A</t>
        </is>
      </c>
      <c r="DE41" s="210" t="inlineStr">
        <is>
          <t>N/A</t>
        </is>
      </c>
      <c r="DF41" s="210" t="inlineStr">
        <is>
          <t>N/A</t>
        </is>
      </c>
      <c r="DG41" s="210" t="inlineStr">
        <is>
          <t>N/A</t>
        </is>
      </c>
      <c r="DH41" s="210" t="inlineStr">
        <is>
          <t>N/A</t>
        </is>
      </c>
      <c r="DI41" s="210" t="inlineStr">
        <is>
          <t>N/A</t>
        </is>
      </c>
      <c r="DJ41" s="210" t="inlineStr">
        <is>
          <t>N/A</t>
        </is>
      </c>
      <c r="DK41" s="210" t="inlineStr">
        <is>
          <t>N/A</t>
        </is>
      </c>
      <c r="DL41" s="210" t="inlineStr">
        <is>
          <t>N/A</t>
        </is>
      </c>
      <c r="DM41" s="210" t="inlineStr">
        <is>
          <t>N/A</t>
        </is>
      </c>
      <c r="DN41" s="210" t="inlineStr">
        <is>
          <t>N/A</t>
        </is>
      </c>
      <c r="DO41" s="210" t="inlineStr">
        <is>
          <t>N/A</t>
        </is>
      </c>
      <c r="DP41" s="210" t="inlineStr">
        <is>
          <t>N/A</t>
        </is>
      </c>
      <c r="DQ41" s="210" t="inlineStr">
        <is>
          <t>N/A</t>
        </is>
      </c>
      <c r="DR41" s="212" t="n"/>
      <c r="DS41" s="212" t="n"/>
      <c r="DT41" s="212" t="n"/>
      <c r="DU41" s="212" t="n"/>
      <c r="DV41" s="212" t="n"/>
      <c r="DW41" s="212" t="n"/>
      <c r="DX41" s="212" t="n"/>
      <c r="DY41" s="212" t="n"/>
      <c r="DZ41" s="212" t="n"/>
      <c r="EA41" s="212" t="n"/>
      <c r="EB41" s="212" t="n"/>
      <c r="EC41" s="212" t="n"/>
      <c r="ED41" s="212" t="n"/>
      <c r="EE41" s="212" t="n"/>
      <c r="EF41" s="212" t="n"/>
      <c r="EG41" s="212" t="n"/>
      <c r="EH41" s="212" t="n"/>
      <c r="EI41" s="212" t="n"/>
      <c r="EJ41" s="212" t="n"/>
      <c r="EK41" s="212" t="n"/>
      <c r="EL41" s="212" t="n"/>
      <c r="EM41" s="212" t="n"/>
      <c r="EN41" s="212" t="n"/>
      <c r="EO41" s="212" t="n"/>
      <c r="EP41" s="212" t="n"/>
      <c r="EQ41" s="212" t="n"/>
      <c r="ER41" s="212" t="n"/>
      <c r="ES41" s="212" t="n"/>
      <c r="ET41" s="212" t="n"/>
      <c r="EU41" s="212" t="n"/>
      <c r="EV41" s="212" t="n"/>
      <c r="EW41" s="212" t="n"/>
      <c r="EX41" s="212" t="n"/>
      <c r="EY41" s="212" t="n"/>
      <c r="EZ41" s="212" t="n"/>
      <c r="FA41" s="212" t="n"/>
      <c r="FB41" s="212" t="n"/>
      <c r="FC41" s="212" t="n"/>
      <c r="FD41" s="212" t="n"/>
      <c r="FE41" s="212" t="n"/>
      <c r="FF41" s="212" t="n"/>
      <c r="FG41" s="212" t="n"/>
      <c r="FH41" s="212" t="n"/>
      <c r="FI41" s="212" t="n"/>
      <c r="FJ41" s="212" t="n"/>
      <c r="FK41" s="212" t="n"/>
      <c r="FL41" s="212" t="n"/>
      <c r="FM41" s="212" t="n"/>
      <c r="FN41" s="212" t="n"/>
      <c r="FO41" s="212" t="n"/>
      <c r="FP41" s="212" t="n"/>
      <c r="FQ41" s="212" t="n"/>
      <c r="FR41" s="212" t="n"/>
      <c r="FS41" s="212" t="n"/>
      <c r="FT41" s="212" t="n"/>
      <c r="FU41" s="212" t="n"/>
      <c r="FV41" s="212" t="n"/>
      <c r="FW41" s="212" t="n"/>
      <c r="FX41" s="212" t="n"/>
      <c r="FY41" s="212" t="n"/>
      <c r="FZ41" s="212" t="n"/>
      <c r="GA41" s="212" t="n"/>
      <c r="GB41" s="212" t="n"/>
      <c r="GC41" s="212" t="n"/>
      <c r="GD41" s="212" t="n"/>
      <c r="GE41" s="212" t="n"/>
      <c r="GF41" s="212" t="n"/>
      <c r="GG41" s="212" t="n"/>
      <c r="GH41" s="212" t="n"/>
      <c r="GI41" s="212" t="n"/>
      <c r="GJ41" s="212" t="n"/>
      <c r="GK41" s="212" t="n"/>
      <c r="GL41" s="212" t="n"/>
      <c r="GM41" s="212" t="n"/>
      <c r="GN41" s="212" t="n"/>
      <c r="GO41" s="212" t="n"/>
      <c r="GP41" s="212" t="n"/>
      <c r="GQ41" s="212" t="n"/>
      <c r="GR41" s="212" t="n"/>
      <c r="GS41" s="212" t="n"/>
      <c r="GT41" s="212" t="n"/>
      <c r="GU41" s="212" t="n"/>
      <c r="GV41" s="212" t="n"/>
      <c r="GW41" s="212" t="n"/>
      <c r="GX41" s="212" t="n"/>
      <c r="GY41" s="212" t="n"/>
      <c r="GZ41" s="212" t="n"/>
      <c r="HA41" s="212" t="n"/>
      <c r="HB41" s="212" t="n"/>
      <c r="HC41" s="212" t="n"/>
      <c r="HD41" s="212" t="n"/>
      <c r="HE41" s="212" t="n"/>
      <c r="HF41" s="212" t="n"/>
      <c r="HG41" s="212" t="n"/>
      <c r="HH41" s="212" t="n"/>
      <c r="HI41" s="212" t="n"/>
      <c r="HJ41" s="212" t="n"/>
      <c r="HK41" s="212" t="n"/>
      <c r="HL41" s="212" t="n"/>
      <c r="HM41" s="212" t="n"/>
      <c r="HN41" s="212" t="n"/>
      <c r="HO41" s="212" t="n"/>
      <c r="HP41" s="212" t="n"/>
      <c r="HQ41" s="212" t="n"/>
      <c r="HR41" s="212" t="n"/>
      <c r="HS41" s="212" t="n"/>
      <c r="HT41" s="212" t="n"/>
      <c r="HU41" s="212" t="n"/>
      <c r="HV41" s="212" t="n"/>
      <c r="HW41" s="212" t="n"/>
      <c r="HX41" s="212" t="n"/>
      <c r="HY41" s="212" t="n"/>
      <c r="HZ41" s="212" t="n"/>
      <c r="IA41" s="212" t="n"/>
      <c r="IB41" s="212" t="n"/>
      <c r="IC41" s="212" t="n"/>
      <c r="ID41" s="212" t="n"/>
      <c r="IE41" s="212" t="n"/>
      <c r="IF41" s="212" t="n"/>
      <c r="IG41" s="212" t="n"/>
      <c r="IH41" s="212" t="n"/>
      <c r="II41" s="212" t="n"/>
      <c r="IJ41" s="212" t="n"/>
      <c r="IK41" s="212" t="n"/>
      <c r="IL41" s="212" t="n"/>
      <c r="IM41" s="212" t="n"/>
      <c r="IN41" s="212" t="n"/>
      <c r="IO41" s="212" t="n"/>
      <c r="IP41" s="212" t="n"/>
      <c r="IQ41" s="212" t="n"/>
      <c r="IR41" s="212" t="n"/>
      <c r="IS41" s="212" t="n"/>
      <c r="IT41" s="212" t="n"/>
      <c r="IU41" s="212" t="n"/>
      <c r="IV41" s="212" t="n"/>
      <c r="IW41" s="212" t="n"/>
      <c r="IX41" s="212" t="n"/>
      <c r="IY41" s="212" t="n"/>
      <c r="IZ41" s="212" t="n"/>
      <c r="JA41" s="212" t="n"/>
      <c r="JB41" s="212" t="n"/>
      <c r="JC41" s="212" t="n"/>
      <c r="JD41" s="212" t="n"/>
      <c r="JE41" s="212" t="n"/>
      <c r="JF41" s="212" t="n"/>
      <c r="JG41" s="212" t="n"/>
      <c r="JH41" s="212" t="n"/>
      <c r="JI41" s="212" t="n"/>
      <c r="JJ41" s="212" t="n"/>
      <c r="JK41" s="212" t="n"/>
      <c r="JL41" s="212" t="n"/>
      <c r="JM41" s="212" t="n"/>
      <c r="JN41" s="212" t="n"/>
      <c r="JO41" s="212" t="n"/>
      <c r="JP41" s="212" t="n"/>
      <c r="JQ41" s="212" t="n"/>
      <c r="JR41" s="212" t="n"/>
      <c r="JS41" s="212" t="n"/>
      <c r="JT41" s="212" t="n"/>
      <c r="JU41" s="212" t="n"/>
      <c r="JV41" s="212" t="n"/>
      <c r="JW41" s="212" t="n"/>
      <c r="JX41" s="212" t="n"/>
      <c r="JY41" s="212" t="n"/>
      <c r="JZ41" s="212" t="n"/>
      <c r="KA41" s="212" t="n"/>
      <c r="KB41" s="212" t="n"/>
      <c r="KC41" s="212" t="n"/>
      <c r="KD41" s="212" t="n"/>
      <c r="KE41" s="212" t="n"/>
      <c r="KF41" s="212" t="n"/>
      <c r="KG41" s="212" t="n"/>
      <c r="KH41" s="212" t="n"/>
      <c r="KI41" s="212" t="n"/>
      <c r="KJ41" s="212" t="n"/>
      <c r="KK41" s="212" t="n"/>
      <c r="KL41" s="212" t="n"/>
      <c r="KM41" s="212" t="n"/>
      <c r="KN41" s="212" t="n"/>
      <c r="KO41" s="212" t="n"/>
      <c r="KP41" s="212" t="n"/>
      <c r="KQ41" s="212" t="n"/>
      <c r="KR41" s="212" t="n"/>
      <c r="KS41" s="212" t="n"/>
      <c r="KT41" s="212" t="n"/>
      <c r="KU41" s="212" t="n"/>
      <c r="KV41" s="212" t="n"/>
      <c r="KW41" s="212" t="n"/>
      <c r="KX41" s="212" t="n"/>
      <c r="KY41" s="212" t="n"/>
      <c r="KZ41" s="212" t="n"/>
      <c r="LA41" s="212" t="n"/>
      <c r="LB41" s="212" t="n"/>
      <c r="LC41" s="212" t="n"/>
      <c r="LD41" s="212" t="n"/>
      <c r="LE41" s="212" t="n"/>
      <c r="LF41" s="212" t="n"/>
      <c r="LG41" s="212" t="n"/>
      <c r="LH41" s="212" t="n"/>
      <c r="LI41" s="212" t="n"/>
      <c r="LJ41" s="212" t="n"/>
      <c r="LK41" s="212" t="n"/>
      <c r="LL41" s="212" t="n"/>
      <c r="LM41" s="212" t="n"/>
      <c r="LN41" s="212" t="n"/>
      <c r="LO41" s="212" t="n"/>
      <c r="LP41" s="212" t="n"/>
      <c r="LQ41" s="212" t="n"/>
      <c r="LR41" s="212" t="n"/>
      <c r="LS41" s="212" t="n"/>
      <c r="LT41" s="212" t="n"/>
      <c r="LU41" s="212" t="n"/>
      <c r="LV41" s="212" t="n"/>
      <c r="LW41" s="212" t="n"/>
      <c r="LX41" s="212" t="n"/>
      <c r="LY41" s="212" t="n"/>
      <c r="LZ41" s="212" t="n"/>
      <c r="MA41" s="212" t="n"/>
      <c r="MB41" s="212" t="n"/>
      <c r="MC41" s="212" t="n"/>
      <c r="MD41" s="212" t="n"/>
      <c r="ME41" s="212" t="n"/>
      <c r="MF41" s="212" t="n"/>
      <c r="MG41" s="212" t="n"/>
      <c r="MH41" s="212" t="n"/>
      <c r="MI41" s="212" t="n"/>
      <c r="MJ41" s="212" t="n"/>
      <c r="MK41" s="212" t="n"/>
      <c r="ML41" s="212" t="n"/>
      <c r="MM41" s="212" t="n"/>
      <c r="MN41" s="212" t="n"/>
      <c r="MO41" s="212" t="n"/>
      <c r="MP41" s="212" t="n"/>
      <c r="MQ41" s="212" t="n"/>
      <c r="MR41" s="212" t="n"/>
      <c r="MS41" s="212" t="n"/>
      <c r="MT41" s="212" t="n"/>
      <c r="MU41" s="212" t="n"/>
      <c r="MV41" s="212" t="n"/>
      <c r="MW41" s="212" t="n"/>
      <c r="MX41" s="212" t="n"/>
      <c r="MY41" s="212" t="n"/>
      <c r="MZ41" s="212" t="n"/>
      <c r="NA41" s="212" t="n"/>
      <c r="NB41" s="212" t="n"/>
      <c r="NC41" s="212" t="n"/>
      <c r="ND41" s="212" t="n"/>
      <c r="NE41" s="212" t="n"/>
      <c r="NF41" s="212" t="n"/>
      <c r="NG41" s="212" t="n"/>
      <c r="NH41" s="212" t="n"/>
      <c r="NI41" s="212" t="n"/>
      <c r="NJ41" s="212" t="n"/>
      <c r="NK41" s="212" t="n"/>
      <c r="NL41" s="212" t="n"/>
      <c r="NM41" s="212" t="n"/>
      <c r="NN41" s="212" t="n"/>
      <c r="NO41" s="212" t="n"/>
      <c r="NP41" s="212" t="n"/>
      <c r="NQ41" s="212" t="n"/>
      <c r="NR41" s="212" t="n"/>
      <c r="NS41" s="212" t="n"/>
      <c r="NT41" s="212" t="n"/>
      <c r="NU41" s="212" t="n"/>
      <c r="NV41" s="212" t="n"/>
      <c r="NW41" s="212" t="n"/>
      <c r="NX41" s="212" t="n"/>
      <c r="NY41" s="212" t="n"/>
      <c r="NZ41" s="212" t="n"/>
      <c r="OA41" s="212" t="n"/>
      <c r="OB41" s="212" t="n"/>
      <c r="OC41" s="212" t="n"/>
      <c r="OD41" s="212" t="n"/>
      <c r="OE41" s="212" t="n"/>
      <c r="OF41" s="212" t="n"/>
      <c r="OG41" s="212" t="n"/>
      <c r="OH41" s="212" t="n"/>
      <c r="OI41" s="212" t="n"/>
      <c r="OJ41" s="212" t="n"/>
      <c r="OK41" s="212" t="n"/>
      <c r="OL41" s="212" t="n"/>
      <c r="OM41" s="212" t="n"/>
      <c r="ON41" s="212" t="n"/>
      <c r="OO41" s="212" t="n"/>
      <c r="OP41" s="212" t="n"/>
      <c r="OQ41" s="212" t="n"/>
      <c r="OR41" s="212" t="n"/>
      <c r="OS41" s="212" t="n"/>
      <c r="OT41" s="212" t="n"/>
      <c r="OU41" s="212" t="n"/>
      <c r="OV41" s="212" t="n"/>
      <c r="OW41" s="212" t="n"/>
      <c r="OX41" s="212" t="n"/>
      <c r="OY41" s="212" t="n"/>
      <c r="OZ41" s="212" t="n"/>
      <c r="PA41" s="212" t="n"/>
      <c r="PB41" s="212" t="n"/>
      <c r="PC41" s="212" t="n"/>
      <c r="PD41" s="212" t="n"/>
      <c r="PE41" s="212" t="n"/>
      <c r="PF41" s="212" t="n"/>
      <c r="PG41" s="212" t="n"/>
      <c r="PH41" s="212" t="n"/>
      <c r="PI41" s="212" t="n"/>
      <c r="PJ41" s="212" t="n"/>
      <c r="PK41" s="212" t="n"/>
      <c r="PL41" s="212" t="n"/>
      <c r="PM41" s="212" t="n"/>
      <c r="PN41" s="212" t="n"/>
      <c r="PO41" s="212" t="n"/>
      <c r="PP41" s="212" t="n"/>
      <c r="PQ41" s="212" t="n"/>
      <c r="PR41" s="212" t="n"/>
      <c r="PS41" s="212" t="n"/>
      <c r="PT41" s="212" t="n"/>
      <c r="PU41" s="212" t="n"/>
      <c r="PV41" s="212" t="n"/>
      <c r="PW41" s="212" t="n"/>
      <c r="PX41" s="212" t="n"/>
      <c r="PY41" s="212" t="n"/>
      <c r="PZ41" s="212" t="n"/>
      <c r="QA41" s="212" t="n"/>
      <c r="QB41" s="212" t="n"/>
      <c r="QC41" s="212" t="n"/>
      <c r="QD41" s="212" t="n"/>
      <c r="QE41" s="212" t="n"/>
      <c r="QF41" s="212" t="n"/>
      <c r="QG41" s="212" t="n"/>
      <c r="QH41" s="212" t="n"/>
      <c r="QI41" s="212" t="n"/>
      <c r="QJ41" s="212" t="n"/>
      <c r="QK41" s="212" t="n"/>
      <c r="QL41" s="212" t="n"/>
      <c r="QM41" s="212" t="n"/>
      <c r="QN41" s="212" t="n"/>
      <c r="QO41" s="212" t="n"/>
      <c r="QP41" s="212" t="n"/>
      <c r="QQ41" s="212" t="n"/>
      <c r="QR41" s="212" t="n"/>
      <c r="QS41" s="212" t="n"/>
      <c r="QT41" s="212" t="n"/>
      <c r="QU41" s="212" t="n"/>
      <c r="QV41" s="212" t="n"/>
      <c r="QW41" s="212" t="n"/>
      <c r="QX41" s="212" t="n"/>
      <c r="QY41" s="212" t="n"/>
      <c r="QZ41" s="212" t="n"/>
      <c r="RA41" s="212" t="n"/>
      <c r="RB41" s="212" t="n"/>
      <c r="RC41" s="212" t="n"/>
      <c r="RD41" s="212" t="n"/>
      <c r="RE41" s="212" t="n"/>
      <c r="RF41" s="212" t="n"/>
      <c r="RG41" s="212" t="n"/>
      <c r="RH41" s="212" t="n"/>
      <c r="RI41" s="212" t="n"/>
      <c r="RJ41" s="212" t="n"/>
      <c r="RK41" s="212" t="n"/>
      <c r="RL41" s="212" t="n"/>
      <c r="RM41" s="212" t="n"/>
      <c r="RN41" s="212" t="n"/>
      <c r="RO41" s="212" t="n"/>
      <c r="RP41" s="212" t="n"/>
      <c r="RQ41" s="212" t="n"/>
      <c r="RR41" s="212" t="n"/>
      <c r="RS41" s="212" t="n"/>
      <c r="RT41" s="212" t="n"/>
      <c r="RU41" s="212" t="n"/>
      <c r="RV41" s="212" t="n"/>
      <c r="RW41" s="212" t="n"/>
      <c r="RX41" s="212" t="n"/>
      <c r="RY41" s="212" t="n"/>
      <c r="RZ41" s="212" t="n"/>
      <c r="SA41" s="212" t="n"/>
      <c r="SB41" s="212" t="n"/>
      <c r="SC41" s="212" t="n"/>
      <c r="SD41" s="212" t="n"/>
      <c r="SE41" s="212" t="n"/>
      <c r="SF41" s="212" t="n"/>
      <c r="SG41" s="212" t="n"/>
      <c r="SH41" s="212" t="n"/>
      <c r="SI41" s="212" t="n"/>
      <c r="SJ41" s="212" t="n"/>
      <c r="SK41" s="212" t="n"/>
      <c r="SL41" s="212" t="n"/>
      <c r="SM41" s="212" t="n"/>
      <c r="SN41" s="212" t="n"/>
      <c r="SO41" s="212" t="n"/>
      <c r="SP41" s="212" t="n"/>
      <c r="SQ41" s="212" t="n"/>
      <c r="SR41" s="212" t="n"/>
      <c r="SS41" s="212" t="n"/>
      <c r="ST41" s="212" t="n"/>
      <c r="SU41" s="212" t="n"/>
      <c r="SV41" s="212" t="n"/>
    </row>
    <row r="42">
      <c r="B42" s="209" t="n">
        <v>3</v>
      </c>
      <c r="C42" s="209" t="inlineStr">
        <is>
          <t>STS</t>
        </is>
      </c>
      <c r="D42" s="209" t="inlineStr">
        <is>
          <t>Brendan</t>
        </is>
      </c>
      <c r="E42" s="209" t="inlineStr">
        <is>
          <t>Delavere</t>
        </is>
      </c>
      <c r="F42" s="209">
        <f>IF(TRIM(D42&amp;E42)="","",TRIM(D42)&amp;" "&amp;TRIM(E42))</f>
        <v/>
      </c>
      <c r="G42" s="209" t="inlineStr">
        <is>
          <t>Perth</t>
        </is>
      </c>
      <c r="H42" s="209" t="inlineStr">
        <is>
          <t>Cert IV</t>
        </is>
      </c>
      <c r="I42" s="209" t="inlineStr">
        <is>
          <t>YES</t>
        </is>
      </c>
      <c r="J42" s="209" t="inlineStr">
        <is>
          <t>YES</t>
        </is>
      </c>
      <c r="K42" s="209" t="inlineStr">
        <is>
          <t>YES</t>
        </is>
      </c>
      <c r="L42" s="209" t="inlineStr">
        <is>
          <t>YES</t>
        </is>
      </c>
      <c r="M42" s="209" t="inlineStr">
        <is>
          <t>Quals Complete</t>
        </is>
      </c>
      <c r="N42" s="209" t="inlineStr">
        <is>
          <t>brendan.delavere@sigtechsolutions.com.au</t>
        </is>
      </c>
      <c r="O42" s="209" t="inlineStr">
        <is>
          <t>0431 151 416</t>
        </is>
      </c>
      <c r="P42" s="209" t="n">
        <v>799932</v>
      </c>
      <c r="Q42" s="209" t="n">
        <v>421834</v>
      </c>
      <c r="R42" s="209" t="inlineStr">
        <is>
          <t>2:1</t>
        </is>
      </c>
      <c r="S42" s="210" t="inlineStr">
        <is>
          <t>N/A</t>
        </is>
      </c>
      <c r="T42" s="210" t="inlineStr">
        <is>
          <t>N/A</t>
        </is>
      </c>
      <c r="U42" s="210" t="inlineStr">
        <is>
          <t>N/A</t>
        </is>
      </c>
      <c r="V42" s="210" t="inlineStr">
        <is>
          <t>N/A</t>
        </is>
      </c>
      <c r="W42" s="210" t="inlineStr">
        <is>
          <t>N/A</t>
        </is>
      </c>
      <c r="X42" s="210" t="inlineStr">
        <is>
          <t>N/A</t>
        </is>
      </c>
      <c r="Y42" s="210" t="inlineStr">
        <is>
          <t>N/A</t>
        </is>
      </c>
      <c r="Z42" s="210" t="inlineStr">
        <is>
          <t>N/A</t>
        </is>
      </c>
      <c r="AA42" s="210" t="inlineStr">
        <is>
          <t>N/A</t>
        </is>
      </c>
      <c r="AB42" s="210" t="inlineStr">
        <is>
          <t>N/A</t>
        </is>
      </c>
      <c r="AC42" s="210" t="inlineStr">
        <is>
          <t>N/A</t>
        </is>
      </c>
      <c r="AD42" s="210" t="inlineStr">
        <is>
          <t>N/A</t>
        </is>
      </c>
      <c r="AE42" s="210" t="inlineStr">
        <is>
          <t>N/A</t>
        </is>
      </c>
      <c r="AF42" s="210" t="inlineStr">
        <is>
          <t>N/A</t>
        </is>
      </c>
      <c r="AG42" s="210" t="inlineStr">
        <is>
          <t>N/A</t>
        </is>
      </c>
      <c r="AH42" s="210" t="inlineStr">
        <is>
          <t>N/A</t>
        </is>
      </c>
      <c r="AI42" s="210" t="inlineStr">
        <is>
          <t>N/A</t>
        </is>
      </c>
      <c r="AJ42" s="210" t="inlineStr">
        <is>
          <t>N/A</t>
        </is>
      </c>
      <c r="AK42" s="210" t="inlineStr">
        <is>
          <t>N/A</t>
        </is>
      </c>
      <c r="AL42" s="210" t="inlineStr">
        <is>
          <t>N/A</t>
        </is>
      </c>
      <c r="AM42" s="210" t="inlineStr">
        <is>
          <t>N/A</t>
        </is>
      </c>
      <c r="AN42" s="210" t="inlineStr">
        <is>
          <t>N/A</t>
        </is>
      </c>
      <c r="AO42" s="210" t="inlineStr">
        <is>
          <t>N/A</t>
        </is>
      </c>
      <c r="AP42" s="210" t="inlineStr">
        <is>
          <t>N/A</t>
        </is>
      </c>
      <c r="AQ42" s="210" t="inlineStr">
        <is>
          <t>N/A</t>
        </is>
      </c>
      <c r="AR42" s="210" t="inlineStr">
        <is>
          <t>N/A</t>
        </is>
      </c>
      <c r="AS42" s="210" t="inlineStr">
        <is>
          <t>N/A</t>
        </is>
      </c>
      <c r="AT42" s="210" t="inlineStr">
        <is>
          <t>N/A</t>
        </is>
      </c>
      <c r="AU42" s="210" t="inlineStr">
        <is>
          <t>N/A</t>
        </is>
      </c>
      <c r="AV42" s="210" t="inlineStr">
        <is>
          <t>N/A</t>
        </is>
      </c>
      <c r="AW42" s="210" t="inlineStr">
        <is>
          <t>N/A</t>
        </is>
      </c>
      <c r="AX42" s="210" t="inlineStr">
        <is>
          <t>N/A</t>
        </is>
      </c>
      <c r="AY42" s="210" t="inlineStr">
        <is>
          <t>N/A</t>
        </is>
      </c>
      <c r="AZ42" s="210" t="inlineStr">
        <is>
          <t>N/A</t>
        </is>
      </c>
      <c r="BA42" s="210" t="inlineStr">
        <is>
          <t>N/A</t>
        </is>
      </c>
      <c r="BB42" s="210" t="inlineStr">
        <is>
          <t>N/A</t>
        </is>
      </c>
      <c r="BC42" s="210" t="inlineStr">
        <is>
          <t>N/A</t>
        </is>
      </c>
      <c r="BD42" s="210" t="inlineStr">
        <is>
          <t>N/A</t>
        </is>
      </c>
      <c r="BE42" s="210" t="inlineStr">
        <is>
          <t>N/A</t>
        </is>
      </c>
      <c r="BF42" s="210" t="inlineStr">
        <is>
          <t>N/A</t>
        </is>
      </c>
      <c r="BG42" s="210" t="inlineStr">
        <is>
          <t>N/A</t>
        </is>
      </c>
      <c r="BH42" s="210" t="inlineStr">
        <is>
          <t>N/A</t>
        </is>
      </c>
      <c r="BI42" s="210" t="inlineStr">
        <is>
          <t>N/A</t>
        </is>
      </c>
      <c r="BJ42" s="210" t="inlineStr">
        <is>
          <t>N/A</t>
        </is>
      </c>
      <c r="BK42" s="210" t="inlineStr">
        <is>
          <t>N/A</t>
        </is>
      </c>
      <c r="BL42" s="210" t="inlineStr">
        <is>
          <t>N/A</t>
        </is>
      </c>
      <c r="BM42" s="210" t="inlineStr">
        <is>
          <t>N/A</t>
        </is>
      </c>
      <c r="BN42" s="210" t="inlineStr">
        <is>
          <t>N/A</t>
        </is>
      </c>
      <c r="BO42" s="210" t="inlineStr">
        <is>
          <t>N/A</t>
        </is>
      </c>
      <c r="BP42" s="210" t="inlineStr">
        <is>
          <t>N/A</t>
        </is>
      </c>
      <c r="BQ42" s="210" t="inlineStr">
        <is>
          <t>N/A</t>
        </is>
      </c>
      <c r="BR42" s="210" t="inlineStr">
        <is>
          <t>N/A</t>
        </is>
      </c>
      <c r="BS42" s="210" t="inlineStr">
        <is>
          <t>N/A</t>
        </is>
      </c>
      <c r="BT42" s="210" t="inlineStr">
        <is>
          <t>N/A</t>
        </is>
      </c>
      <c r="BU42" s="210" t="inlineStr">
        <is>
          <t>N/A</t>
        </is>
      </c>
      <c r="BV42" s="210" t="inlineStr">
        <is>
          <t>N/A</t>
        </is>
      </c>
      <c r="BW42" s="210" t="inlineStr">
        <is>
          <t>N/A</t>
        </is>
      </c>
      <c r="BX42" s="210" t="inlineStr">
        <is>
          <t>N/A</t>
        </is>
      </c>
      <c r="BY42" s="210" t="inlineStr">
        <is>
          <t>N/A</t>
        </is>
      </c>
      <c r="BZ42" s="210" t="inlineStr">
        <is>
          <t>N/A</t>
        </is>
      </c>
      <c r="CA42" s="210" t="inlineStr">
        <is>
          <t>N/A</t>
        </is>
      </c>
      <c r="CB42" s="210" t="inlineStr">
        <is>
          <t>N/A</t>
        </is>
      </c>
      <c r="CC42" s="210" t="inlineStr">
        <is>
          <t>N/A</t>
        </is>
      </c>
      <c r="CD42" s="210" t="inlineStr">
        <is>
          <t>N/A</t>
        </is>
      </c>
      <c r="CE42" s="210" t="inlineStr">
        <is>
          <t>N/A</t>
        </is>
      </c>
      <c r="CF42" s="210" t="inlineStr">
        <is>
          <t>N/A</t>
        </is>
      </c>
      <c r="CG42" s="210" t="inlineStr">
        <is>
          <t>N/A</t>
        </is>
      </c>
      <c r="CH42" s="210" t="inlineStr">
        <is>
          <t>N/A</t>
        </is>
      </c>
      <c r="CI42" s="210" t="inlineStr">
        <is>
          <t>N/A</t>
        </is>
      </c>
      <c r="CJ42" s="210" t="inlineStr">
        <is>
          <t>N/A</t>
        </is>
      </c>
      <c r="CK42" s="210" t="inlineStr">
        <is>
          <t>N/A</t>
        </is>
      </c>
      <c r="CL42" s="210" t="inlineStr">
        <is>
          <t>N/A</t>
        </is>
      </c>
      <c r="CM42" s="210" t="inlineStr">
        <is>
          <t>N/A</t>
        </is>
      </c>
      <c r="CN42" s="210" t="inlineStr">
        <is>
          <t>N/A</t>
        </is>
      </c>
      <c r="CO42" s="210" t="inlineStr">
        <is>
          <t>PER/PHE PM
LND</t>
        </is>
      </c>
      <c r="CP42" s="210" t="inlineStr">
        <is>
          <t>RDM</t>
        </is>
      </c>
      <c r="CQ42" s="210" t="inlineStr">
        <is>
          <t>RDM</t>
        </is>
      </c>
      <c r="CR42" s="210" t="inlineStr">
        <is>
          <t>RDM</t>
        </is>
      </c>
      <c r="CS42" s="210" t="inlineStr">
        <is>
          <t>RDM</t>
        </is>
      </c>
      <c r="CT42" s="210" t="inlineStr">
        <is>
          <t>RDM</t>
        </is>
      </c>
      <c r="CU42" s="210" t="inlineStr">
        <is>
          <t>RDM</t>
        </is>
      </c>
      <c r="CV42" s="210" t="inlineStr">
        <is>
          <t>PHE/PER PM</t>
        </is>
      </c>
      <c r="CW42" s="217" t="inlineStr">
        <is>
          <t>DEMOB</t>
        </is>
      </c>
      <c r="CX42" s="210" t="inlineStr">
        <is>
          <t>N/A</t>
        </is>
      </c>
      <c r="CY42" s="210" t="inlineStr">
        <is>
          <t>N/A</t>
        </is>
      </c>
      <c r="CZ42" s="210" t="inlineStr">
        <is>
          <t>N/A</t>
        </is>
      </c>
      <c r="DA42" s="210" t="inlineStr">
        <is>
          <t>N/A</t>
        </is>
      </c>
      <c r="DB42" s="210" t="inlineStr">
        <is>
          <t>N/A</t>
        </is>
      </c>
      <c r="DC42" s="210" t="inlineStr">
        <is>
          <t>N/A</t>
        </is>
      </c>
      <c r="DD42" s="210" t="inlineStr">
        <is>
          <t>N/A</t>
        </is>
      </c>
      <c r="DE42" s="210" t="inlineStr">
        <is>
          <t>N/A</t>
        </is>
      </c>
      <c r="DF42" s="210" t="inlineStr">
        <is>
          <t>N/A</t>
        </is>
      </c>
      <c r="DG42" s="210" t="inlineStr">
        <is>
          <t>N/A</t>
        </is>
      </c>
      <c r="DH42" s="210" t="inlineStr">
        <is>
          <t>N/A</t>
        </is>
      </c>
      <c r="DI42" s="210" t="inlineStr">
        <is>
          <t>N/A</t>
        </is>
      </c>
      <c r="DJ42" s="210" t="inlineStr">
        <is>
          <t>N/A</t>
        </is>
      </c>
      <c r="DK42" s="210" t="inlineStr">
        <is>
          <t>N/A</t>
        </is>
      </c>
      <c r="DL42" s="210" t="inlineStr">
        <is>
          <t>N/A</t>
        </is>
      </c>
      <c r="DM42" s="210" t="inlineStr">
        <is>
          <t>N/A</t>
        </is>
      </c>
      <c r="DN42" s="210" t="inlineStr">
        <is>
          <t>N/A</t>
        </is>
      </c>
      <c r="DO42" s="210" t="inlineStr">
        <is>
          <t>N/A</t>
        </is>
      </c>
      <c r="DP42" s="210" t="inlineStr">
        <is>
          <t>N/A</t>
        </is>
      </c>
      <c r="DQ42" s="210" t="inlineStr">
        <is>
          <t>N/A</t>
        </is>
      </c>
      <c r="DR42" s="212" t="n"/>
      <c r="DS42" s="212" t="n"/>
      <c r="DT42" s="212" t="n"/>
      <c r="DU42" s="212" t="n"/>
      <c r="DV42" s="212" t="n"/>
      <c r="DW42" s="212" t="n"/>
      <c r="DX42" s="212" t="n"/>
      <c r="DY42" s="212" t="n"/>
      <c r="DZ42" s="212" t="n"/>
      <c r="EA42" s="212" t="n"/>
      <c r="EB42" s="212" t="n"/>
      <c r="EC42" s="212" t="n"/>
      <c r="ED42" s="212" t="n"/>
      <c r="EE42" s="212" t="n"/>
      <c r="EF42" s="212" t="n"/>
      <c r="EG42" s="212" t="n"/>
      <c r="EH42" s="212" t="n"/>
      <c r="EI42" s="212" t="n"/>
      <c r="EJ42" s="212" t="n"/>
      <c r="EK42" s="212" t="n"/>
      <c r="EL42" s="212" t="n"/>
      <c r="EM42" s="212" t="n"/>
      <c r="EN42" s="212" t="n"/>
      <c r="EO42" s="212" t="n"/>
      <c r="EP42" s="212" t="n"/>
      <c r="EQ42" s="212" t="n"/>
      <c r="ER42" s="212" t="n"/>
      <c r="ES42" s="212" t="n"/>
      <c r="ET42" s="212" t="n"/>
      <c r="EU42" s="212" t="n"/>
      <c r="EV42" s="212" t="n"/>
      <c r="EW42" s="212" t="n"/>
      <c r="EX42" s="212" t="n"/>
      <c r="EY42" s="212" t="n"/>
      <c r="EZ42" s="212" t="n"/>
      <c r="FA42" s="212" t="n"/>
      <c r="FB42" s="212" t="n"/>
      <c r="FC42" s="212" t="n"/>
      <c r="FD42" s="212" t="n"/>
      <c r="FE42" s="212" t="n"/>
      <c r="FF42" s="212" t="n"/>
      <c r="FG42" s="212" t="n"/>
      <c r="FH42" s="212" t="n"/>
      <c r="FI42" s="212" t="n"/>
      <c r="FJ42" s="212" t="n"/>
      <c r="FK42" s="212" t="n"/>
      <c r="FL42" s="212" t="n"/>
      <c r="FM42" s="212" t="n"/>
      <c r="FN42" s="212" t="n"/>
      <c r="FO42" s="212" t="n"/>
      <c r="FP42" s="212" t="n"/>
      <c r="FQ42" s="212" t="n"/>
      <c r="FR42" s="212" t="n"/>
      <c r="FS42" s="212" t="n"/>
      <c r="FT42" s="212" t="n"/>
      <c r="FU42" s="212" t="n"/>
      <c r="FV42" s="212" t="n"/>
      <c r="FW42" s="212" t="n"/>
      <c r="FX42" s="212" t="n"/>
      <c r="FY42" s="212" t="n"/>
      <c r="FZ42" s="212" t="n"/>
      <c r="GA42" s="212" t="n"/>
      <c r="GB42" s="212" t="n"/>
      <c r="GC42" s="212" t="n"/>
      <c r="GD42" s="212" t="n"/>
      <c r="GE42" s="212" t="n"/>
      <c r="GF42" s="212" t="n"/>
      <c r="GG42" s="212" t="n"/>
      <c r="GH42" s="212" t="n"/>
      <c r="GI42" s="212" t="n"/>
      <c r="GJ42" s="212" t="n"/>
      <c r="GK42" s="212" t="n"/>
      <c r="GL42" s="212" t="n"/>
      <c r="GM42" s="212" t="n"/>
      <c r="GN42" s="212" t="n"/>
      <c r="GO42" s="212" t="n"/>
      <c r="GP42" s="212" t="n"/>
      <c r="GQ42" s="212" t="n"/>
      <c r="GR42" s="212" t="n"/>
      <c r="GS42" s="212" t="n"/>
      <c r="GT42" s="212" t="n"/>
      <c r="GU42" s="212" t="n"/>
      <c r="GV42" s="212" t="n"/>
      <c r="GW42" s="212" t="n"/>
      <c r="GX42" s="212" t="n"/>
      <c r="GY42" s="212" t="n"/>
      <c r="GZ42" s="212" t="n"/>
      <c r="HA42" s="212" t="n"/>
      <c r="HB42" s="212" t="n"/>
      <c r="HC42" s="212" t="n"/>
      <c r="HD42" s="212" t="n"/>
      <c r="HE42" s="212" t="n"/>
      <c r="HF42" s="212" t="n"/>
      <c r="HG42" s="212" t="n"/>
      <c r="HH42" s="212" t="n"/>
      <c r="HI42" s="212" t="n"/>
      <c r="HJ42" s="212" t="n"/>
      <c r="HK42" s="212" t="n"/>
      <c r="HL42" s="212" t="n"/>
      <c r="HM42" s="212" t="n"/>
      <c r="HN42" s="212" t="n"/>
      <c r="HO42" s="212" t="n"/>
      <c r="HP42" s="212" t="n"/>
      <c r="HQ42" s="212" t="n"/>
      <c r="HR42" s="212" t="n"/>
      <c r="HS42" s="212" t="n"/>
      <c r="HT42" s="212" t="n"/>
      <c r="HU42" s="212" t="n"/>
      <c r="HV42" s="212" t="n"/>
      <c r="HW42" s="212" t="n"/>
      <c r="HX42" s="212" t="n"/>
      <c r="HY42" s="212" t="n"/>
      <c r="HZ42" s="212" t="n"/>
      <c r="IA42" s="212" t="n"/>
      <c r="IB42" s="212" t="n"/>
      <c r="IC42" s="212" t="n"/>
      <c r="ID42" s="212" t="n"/>
      <c r="IE42" s="212" t="n"/>
      <c r="IF42" s="212" t="n"/>
      <c r="IG42" s="212" t="n"/>
      <c r="IH42" s="212" t="n"/>
      <c r="II42" s="212" t="n"/>
      <c r="IJ42" s="212" t="n"/>
      <c r="IK42" s="212" t="n"/>
      <c r="IL42" s="212" t="n"/>
      <c r="IM42" s="212" t="n"/>
      <c r="IN42" s="212" t="n"/>
      <c r="IO42" s="212" t="n"/>
      <c r="IP42" s="212" t="n"/>
      <c r="IQ42" s="212" t="n"/>
      <c r="IR42" s="212" t="n"/>
      <c r="IS42" s="212" t="n"/>
      <c r="IT42" s="212" t="n"/>
      <c r="IU42" s="212" t="n"/>
      <c r="IV42" s="212" t="n"/>
      <c r="IW42" s="212" t="n"/>
      <c r="IX42" s="212" t="n"/>
      <c r="IY42" s="212" t="n"/>
      <c r="IZ42" s="212" t="n"/>
      <c r="JA42" s="212" t="n"/>
      <c r="JB42" s="212" t="n"/>
      <c r="JC42" s="212" t="n"/>
      <c r="JD42" s="212" t="n"/>
      <c r="JE42" s="212" t="n"/>
      <c r="JF42" s="212" t="n"/>
      <c r="JG42" s="212" t="n"/>
      <c r="JH42" s="212" t="n"/>
      <c r="JI42" s="212" t="n"/>
      <c r="JJ42" s="212" t="n"/>
      <c r="JK42" s="212" t="n"/>
      <c r="JL42" s="212" t="n"/>
      <c r="JM42" s="212" t="n"/>
      <c r="JN42" s="212" t="n"/>
      <c r="JO42" s="212" t="n"/>
      <c r="JP42" s="212" t="n"/>
      <c r="JQ42" s="212" t="n"/>
      <c r="JR42" s="212" t="n"/>
      <c r="JS42" s="212" t="n"/>
      <c r="JT42" s="212" t="n"/>
      <c r="JU42" s="212" t="n"/>
      <c r="JV42" s="212" t="n"/>
      <c r="JW42" s="212" t="n"/>
      <c r="JX42" s="212" t="n"/>
      <c r="JY42" s="212" t="n"/>
      <c r="JZ42" s="212" t="n"/>
      <c r="KA42" s="212" t="n"/>
      <c r="KB42" s="212" t="n"/>
      <c r="KC42" s="212" t="n"/>
      <c r="KD42" s="212" t="n"/>
      <c r="KE42" s="212" t="n"/>
      <c r="KF42" s="212" t="n"/>
      <c r="KG42" s="212" t="n"/>
      <c r="KH42" s="212" t="n"/>
      <c r="KI42" s="212" t="n"/>
      <c r="KJ42" s="212" t="n"/>
      <c r="KK42" s="212" t="n"/>
      <c r="KL42" s="212" t="n"/>
      <c r="KM42" s="212" t="n"/>
      <c r="KN42" s="212" t="n"/>
      <c r="KO42" s="212" t="n"/>
      <c r="KP42" s="212" t="n"/>
      <c r="KQ42" s="212" t="n"/>
      <c r="KR42" s="212" t="n"/>
      <c r="KS42" s="212" t="n"/>
      <c r="KT42" s="212" t="n"/>
      <c r="KU42" s="212" t="n"/>
      <c r="KV42" s="212" t="n"/>
      <c r="KW42" s="212" t="n"/>
      <c r="KX42" s="212" t="n"/>
      <c r="KY42" s="212" t="n"/>
      <c r="KZ42" s="212" t="n"/>
      <c r="LA42" s="212" t="n"/>
      <c r="LB42" s="212" t="n"/>
      <c r="LC42" s="212" t="n"/>
      <c r="LD42" s="212" t="n"/>
      <c r="LE42" s="212" t="n"/>
      <c r="LF42" s="212" t="n"/>
      <c r="LG42" s="212" t="n"/>
      <c r="LH42" s="212" t="n"/>
      <c r="LI42" s="212" t="n"/>
      <c r="LJ42" s="212" t="n"/>
      <c r="LK42" s="212" t="n"/>
      <c r="LL42" s="212" t="n"/>
      <c r="LM42" s="212" t="n"/>
      <c r="LN42" s="212" t="n"/>
      <c r="LO42" s="212" t="n"/>
      <c r="LP42" s="212" t="n"/>
      <c r="LQ42" s="212" t="n"/>
      <c r="LR42" s="212" t="n"/>
      <c r="LS42" s="212" t="n"/>
      <c r="LT42" s="212" t="n"/>
      <c r="LU42" s="212" t="n"/>
      <c r="LV42" s="212" t="n"/>
      <c r="LW42" s="212" t="n"/>
      <c r="LX42" s="212" t="n"/>
      <c r="LY42" s="212" t="n"/>
      <c r="LZ42" s="212" t="n"/>
      <c r="MA42" s="212" t="n"/>
      <c r="MB42" s="212" t="n"/>
      <c r="MC42" s="212" t="n"/>
      <c r="MD42" s="212" t="n"/>
      <c r="ME42" s="212" t="n"/>
      <c r="MF42" s="212" t="n"/>
      <c r="MG42" s="212" t="n"/>
      <c r="MH42" s="212" t="n"/>
      <c r="MI42" s="212" t="n"/>
      <c r="MJ42" s="212" t="n"/>
      <c r="MK42" s="212" t="n"/>
      <c r="ML42" s="212" t="n"/>
      <c r="MM42" s="212" t="n"/>
      <c r="MN42" s="212" t="n"/>
      <c r="MO42" s="212" t="n"/>
      <c r="MP42" s="212" t="n"/>
      <c r="MQ42" s="212" t="n"/>
      <c r="MR42" s="212" t="n"/>
      <c r="MS42" s="212" t="n"/>
      <c r="MT42" s="212" t="n"/>
      <c r="MU42" s="212" t="n"/>
      <c r="MV42" s="212" t="n"/>
      <c r="MW42" s="212" t="n"/>
      <c r="MX42" s="212" t="n"/>
      <c r="MY42" s="212" t="n"/>
      <c r="MZ42" s="212" t="n"/>
      <c r="NA42" s="212" t="n"/>
      <c r="NB42" s="212" t="n"/>
      <c r="NC42" s="212" t="n"/>
      <c r="ND42" s="212" t="n"/>
      <c r="NE42" s="212" t="n"/>
      <c r="NF42" s="212" t="n"/>
      <c r="NG42" s="212" t="n"/>
      <c r="NH42" s="212" t="n"/>
      <c r="NI42" s="212" t="n"/>
      <c r="NJ42" s="212" t="n"/>
      <c r="NK42" s="212" t="n"/>
      <c r="NL42" s="212" t="n"/>
      <c r="NM42" s="212" t="n"/>
      <c r="NN42" s="212" t="n"/>
      <c r="NO42" s="212" t="n"/>
      <c r="NP42" s="212" t="n"/>
      <c r="NQ42" s="212" t="n"/>
      <c r="NR42" s="212" t="n"/>
      <c r="NS42" s="212" t="n"/>
      <c r="NT42" s="212" t="n"/>
      <c r="NU42" s="212" t="n"/>
      <c r="NV42" s="212" t="n"/>
      <c r="NW42" s="212" t="n"/>
      <c r="NX42" s="212" t="n"/>
      <c r="NY42" s="212" t="n"/>
      <c r="NZ42" s="212" t="n"/>
      <c r="OA42" s="212" t="n"/>
      <c r="OB42" s="212" t="n"/>
      <c r="OC42" s="212" t="n"/>
      <c r="OD42" s="212" t="n"/>
      <c r="OE42" s="212" t="n"/>
      <c r="OF42" s="212" t="n"/>
      <c r="OG42" s="212" t="n"/>
      <c r="OH42" s="212" t="n"/>
      <c r="OI42" s="212" t="n"/>
      <c r="OJ42" s="212" t="n"/>
      <c r="OK42" s="212" t="n"/>
      <c r="OL42" s="212" t="n"/>
      <c r="OM42" s="212" t="n"/>
      <c r="ON42" s="212" t="n"/>
      <c r="OO42" s="212" t="n"/>
      <c r="OP42" s="212" t="n"/>
      <c r="OQ42" s="212" t="n"/>
      <c r="OR42" s="212" t="n"/>
      <c r="OS42" s="212" t="n"/>
      <c r="OT42" s="212" t="n"/>
      <c r="OU42" s="212" t="n"/>
      <c r="OV42" s="212" t="n"/>
      <c r="OW42" s="212" t="n"/>
      <c r="OX42" s="212" t="n"/>
      <c r="OY42" s="212" t="n"/>
      <c r="OZ42" s="212" t="n"/>
      <c r="PA42" s="212" t="n"/>
      <c r="PB42" s="212" t="n"/>
      <c r="PC42" s="212" t="n"/>
      <c r="PD42" s="212" t="n"/>
      <c r="PE42" s="212" t="n"/>
      <c r="PF42" s="212" t="n"/>
      <c r="PG42" s="212" t="n"/>
      <c r="PH42" s="212" t="n"/>
      <c r="PI42" s="212" t="n"/>
      <c r="PJ42" s="212" t="n"/>
      <c r="PK42" s="212" t="n"/>
      <c r="PL42" s="212" t="n"/>
      <c r="PM42" s="212" t="n"/>
      <c r="PN42" s="212" t="n"/>
      <c r="PO42" s="212" t="n"/>
      <c r="PP42" s="212" t="n"/>
      <c r="PQ42" s="212" t="n"/>
      <c r="PR42" s="212" t="n"/>
      <c r="PS42" s="212" t="n"/>
      <c r="PT42" s="212" t="n"/>
      <c r="PU42" s="212" t="n"/>
      <c r="PV42" s="212" t="n"/>
      <c r="PW42" s="212" t="n"/>
      <c r="PX42" s="212" t="n"/>
      <c r="PY42" s="212" t="n"/>
      <c r="PZ42" s="212" t="n"/>
      <c r="QA42" s="212" t="n"/>
      <c r="QB42" s="212" t="n"/>
      <c r="QC42" s="212" t="n"/>
      <c r="QD42" s="212" t="n"/>
      <c r="QE42" s="212" t="n"/>
      <c r="QF42" s="212" t="n"/>
      <c r="QG42" s="212" t="n"/>
      <c r="QH42" s="212" t="n"/>
      <c r="QI42" s="212" t="n"/>
      <c r="QJ42" s="212" t="n"/>
      <c r="QK42" s="212" t="n"/>
      <c r="QL42" s="212" t="n"/>
      <c r="QM42" s="212" t="n"/>
      <c r="QN42" s="212" t="n"/>
      <c r="QO42" s="212" t="n"/>
      <c r="QP42" s="212" t="n"/>
      <c r="QQ42" s="212" t="n"/>
      <c r="QR42" s="212" t="n"/>
      <c r="QS42" s="212" t="n"/>
      <c r="QT42" s="212" t="n"/>
      <c r="QU42" s="212" t="n"/>
      <c r="QV42" s="212" t="n"/>
      <c r="QW42" s="212" t="n"/>
      <c r="QX42" s="212" t="n"/>
      <c r="QY42" s="212" t="n"/>
      <c r="QZ42" s="212" t="n"/>
      <c r="RA42" s="212" t="n"/>
      <c r="RB42" s="212" t="n"/>
      <c r="RC42" s="212" t="n"/>
      <c r="RD42" s="212" t="n"/>
      <c r="RE42" s="212" t="n"/>
      <c r="RF42" s="212" t="n"/>
      <c r="RG42" s="212" t="n"/>
      <c r="RH42" s="212" t="n"/>
      <c r="RI42" s="212" t="n"/>
      <c r="RJ42" s="212" t="n"/>
      <c r="RK42" s="212" t="n"/>
      <c r="RL42" s="212" t="n"/>
      <c r="RM42" s="212" t="n"/>
      <c r="RN42" s="212" t="n"/>
      <c r="RO42" s="212" t="n"/>
      <c r="RP42" s="212" t="n"/>
      <c r="RQ42" s="212" t="n"/>
      <c r="RR42" s="212" t="n"/>
      <c r="RS42" s="212" t="n"/>
      <c r="RT42" s="212" t="n"/>
      <c r="RU42" s="212" t="n"/>
      <c r="RV42" s="212" t="n"/>
      <c r="RW42" s="212" t="n"/>
      <c r="RX42" s="212" t="n"/>
      <c r="RY42" s="212" t="n"/>
      <c r="RZ42" s="212" t="n"/>
      <c r="SA42" s="212" t="n"/>
      <c r="SB42" s="212" t="n"/>
      <c r="SC42" s="212" t="n"/>
      <c r="SD42" s="212" t="n"/>
      <c r="SE42" s="212" t="n"/>
      <c r="SF42" s="212" t="n"/>
      <c r="SG42" s="212" t="n"/>
      <c r="SH42" s="212" t="n"/>
      <c r="SI42" s="212" t="n"/>
      <c r="SJ42" s="212" t="n"/>
      <c r="SK42" s="212" t="n"/>
      <c r="SL42" s="212" t="n"/>
      <c r="SM42" s="212" t="n"/>
      <c r="SN42" s="212" t="n"/>
      <c r="SO42" s="212" t="n"/>
      <c r="SP42" s="212" t="n"/>
      <c r="SQ42" s="212" t="n"/>
      <c r="SR42" s="212" t="n"/>
      <c r="SS42" s="212" t="n"/>
      <c r="ST42" s="212" t="n"/>
      <c r="SU42" s="212" t="n"/>
      <c r="SV42" s="212" t="n"/>
    </row>
    <row r="43">
      <c r="B43" s="209" t="n">
        <v>4</v>
      </c>
      <c r="C43" s="209" t="inlineStr">
        <is>
          <t>STS</t>
        </is>
      </c>
      <c r="D43" s="209" t="inlineStr">
        <is>
          <t>TBC</t>
        </is>
      </c>
      <c r="E43" s="209" t="inlineStr">
        <is>
          <t>TBC</t>
        </is>
      </c>
      <c r="F43" s="209">
        <f>IF(TRIM(D43&amp;E43)="","",TRIM(D43)&amp;" "&amp;TRIM(E43))</f>
        <v/>
      </c>
      <c r="G43" s="209" t="inlineStr">
        <is>
          <t>Perth</t>
        </is>
      </c>
      <c r="H43" s="209" t="inlineStr">
        <is>
          <t>Electrician</t>
        </is>
      </c>
      <c r="I43" s="209" t="inlineStr">
        <is>
          <t>TBC</t>
        </is>
      </c>
      <c r="J43" s="209" t="inlineStr">
        <is>
          <t>TBC</t>
        </is>
      </c>
      <c r="K43" s="209" t="inlineStr">
        <is>
          <t>TBC</t>
        </is>
      </c>
      <c r="L43" s="209" t="inlineStr">
        <is>
          <t>TBC</t>
        </is>
      </c>
      <c r="M43" s="209" t="inlineStr">
        <is>
          <t>TBC</t>
        </is>
      </c>
      <c r="N43" s="209" t="inlineStr">
        <is>
          <t>TBC</t>
        </is>
      </c>
      <c r="O43" s="209" t="inlineStr">
        <is>
          <t>TBC</t>
        </is>
      </c>
      <c r="P43" s="209" t="inlineStr">
        <is>
          <t>TBC</t>
        </is>
      </c>
      <c r="Q43" s="209" t="inlineStr">
        <is>
          <t>TBC</t>
        </is>
      </c>
      <c r="R43" s="209" t="inlineStr">
        <is>
          <t>2:1</t>
        </is>
      </c>
      <c r="S43" s="210" t="inlineStr">
        <is>
          <t>N/A</t>
        </is>
      </c>
      <c r="T43" s="210" t="inlineStr">
        <is>
          <t>N/A</t>
        </is>
      </c>
      <c r="U43" s="210" t="inlineStr">
        <is>
          <t>N/A</t>
        </is>
      </c>
      <c r="V43" s="210" t="inlineStr">
        <is>
          <t>N/A</t>
        </is>
      </c>
      <c r="W43" s="210" t="inlineStr">
        <is>
          <t>N/A</t>
        </is>
      </c>
      <c r="X43" s="210" t="inlineStr">
        <is>
          <t>N/A</t>
        </is>
      </c>
      <c r="Y43" s="210" t="inlineStr">
        <is>
          <t>N/A</t>
        </is>
      </c>
      <c r="Z43" s="210" t="inlineStr">
        <is>
          <t>N/A</t>
        </is>
      </c>
      <c r="AA43" s="210" t="inlineStr">
        <is>
          <t>N/A</t>
        </is>
      </c>
      <c r="AB43" s="210" t="inlineStr">
        <is>
          <t>N/A</t>
        </is>
      </c>
      <c r="AC43" s="210" t="inlineStr">
        <is>
          <t>N/A</t>
        </is>
      </c>
      <c r="AD43" s="210" t="inlineStr">
        <is>
          <t>N/A</t>
        </is>
      </c>
      <c r="AE43" s="210" t="inlineStr">
        <is>
          <t>N/A</t>
        </is>
      </c>
      <c r="AF43" s="210" t="inlineStr">
        <is>
          <t>N/A</t>
        </is>
      </c>
      <c r="AG43" s="210" t="inlineStr">
        <is>
          <t>N/A</t>
        </is>
      </c>
      <c r="AH43" s="210" t="inlineStr">
        <is>
          <t>N/A</t>
        </is>
      </c>
      <c r="AI43" s="210" t="inlineStr">
        <is>
          <t>N/A</t>
        </is>
      </c>
      <c r="AJ43" s="210" t="inlineStr">
        <is>
          <t>N/A</t>
        </is>
      </c>
      <c r="AK43" s="210" t="inlineStr">
        <is>
          <t>N/A</t>
        </is>
      </c>
      <c r="AL43" s="210" t="inlineStr">
        <is>
          <t>N/A</t>
        </is>
      </c>
      <c r="AM43" s="210" t="inlineStr">
        <is>
          <t>N/A</t>
        </is>
      </c>
      <c r="AN43" s="210" t="inlineStr">
        <is>
          <t>N/A</t>
        </is>
      </c>
      <c r="AO43" s="210" t="inlineStr">
        <is>
          <t>N/A</t>
        </is>
      </c>
      <c r="AP43" s="210" t="inlineStr">
        <is>
          <t>N/A</t>
        </is>
      </c>
      <c r="AQ43" s="210" t="inlineStr">
        <is>
          <t>N/A</t>
        </is>
      </c>
      <c r="AR43" s="210" t="inlineStr">
        <is>
          <t>N/A</t>
        </is>
      </c>
      <c r="AS43" s="210" t="inlineStr">
        <is>
          <t>N/A</t>
        </is>
      </c>
      <c r="AT43" s="210" t="inlineStr">
        <is>
          <t>N/A</t>
        </is>
      </c>
      <c r="AU43" s="210" t="inlineStr">
        <is>
          <t>N/A</t>
        </is>
      </c>
      <c r="AV43" s="210" t="inlineStr">
        <is>
          <t>N/A</t>
        </is>
      </c>
      <c r="AW43" s="210" t="inlineStr">
        <is>
          <t>N/A</t>
        </is>
      </c>
      <c r="AX43" s="210" t="inlineStr">
        <is>
          <t>N/A</t>
        </is>
      </c>
      <c r="AY43" s="210" t="inlineStr">
        <is>
          <t>N/A</t>
        </is>
      </c>
      <c r="AZ43" s="210" t="inlineStr">
        <is>
          <t>N/A</t>
        </is>
      </c>
      <c r="BA43" s="210" t="inlineStr">
        <is>
          <t>N/A</t>
        </is>
      </c>
      <c r="BB43" s="210" t="inlineStr">
        <is>
          <t>N/A</t>
        </is>
      </c>
      <c r="BC43" s="210" t="inlineStr">
        <is>
          <t>N/A</t>
        </is>
      </c>
      <c r="BD43" s="210" t="inlineStr">
        <is>
          <t>N/A</t>
        </is>
      </c>
      <c r="BE43" s="210" t="inlineStr">
        <is>
          <t>N/A</t>
        </is>
      </c>
      <c r="BF43" s="210" t="inlineStr">
        <is>
          <t>N/A</t>
        </is>
      </c>
      <c r="BG43" s="210" t="inlineStr">
        <is>
          <t>N/A</t>
        </is>
      </c>
      <c r="BH43" s="210" t="inlineStr">
        <is>
          <t>N/A</t>
        </is>
      </c>
      <c r="BI43" s="210" t="inlineStr">
        <is>
          <t>N/A</t>
        </is>
      </c>
      <c r="BJ43" s="210" t="inlineStr">
        <is>
          <t>N/A</t>
        </is>
      </c>
      <c r="BK43" s="210" t="inlineStr">
        <is>
          <t>N/A</t>
        </is>
      </c>
      <c r="BL43" s="210" t="inlineStr">
        <is>
          <t>N/A</t>
        </is>
      </c>
      <c r="BM43" s="210" t="inlineStr">
        <is>
          <t>N/A</t>
        </is>
      </c>
      <c r="BN43" s="210" t="inlineStr">
        <is>
          <t>N/A</t>
        </is>
      </c>
      <c r="BO43" s="210" t="inlineStr">
        <is>
          <t>N/A</t>
        </is>
      </c>
      <c r="BP43" s="210" t="inlineStr">
        <is>
          <t>N/A</t>
        </is>
      </c>
      <c r="BQ43" s="210" t="inlineStr">
        <is>
          <t>N/A</t>
        </is>
      </c>
      <c r="BR43" s="210" t="inlineStr">
        <is>
          <t>N/A</t>
        </is>
      </c>
      <c r="BS43" s="210" t="inlineStr">
        <is>
          <t>N/A</t>
        </is>
      </c>
      <c r="BT43" s="210" t="inlineStr">
        <is>
          <t>N/A</t>
        </is>
      </c>
      <c r="BU43" s="210" t="inlineStr">
        <is>
          <t>N/A</t>
        </is>
      </c>
      <c r="BV43" s="210" t="inlineStr">
        <is>
          <t>N/A</t>
        </is>
      </c>
      <c r="BW43" s="210" t="inlineStr">
        <is>
          <t>N/A</t>
        </is>
      </c>
      <c r="BX43" s="210" t="inlineStr">
        <is>
          <t>N/A</t>
        </is>
      </c>
      <c r="BY43" s="210" t="inlineStr">
        <is>
          <t>N/A</t>
        </is>
      </c>
      <c r="BZ43" s="210" t="inlineStr">
        <is>
          <t>N/A</t>
        </is>
      </c>
      <c r="CA43" s="210" t="inlineStr">
        <is>
          <t>N/A</t>
        </is>
      </c>
      <c r="CB43" s="210" t="inlineStr">
        <is>
          <t>N/A</t>
        </is>
      </c>
      <c r="CC43" s="210" t="inlineStr">
        <is>
          <t>N/A</t>
        </is>
      </c>
      <c r="CD43" s="210" t="inlineStr">
        <is>
          <t>N/A</t>
        </is>
      </c>
      <c r="CE43" s="210" t="inlineStr">
        <is>
          <t>N/A</t>
        </is>
      </c>
      <c r="CF43" s="210" t="inlineStr">
        <is>
          <t>N/A</t>
        </is>
      </c>
      <c r="CG43" s="210" t="inlineStr">
        <is>
          <t>N/A</t>
        </is>
      </c>
      <c r="CH43" s="210" t="inlineStr">
        <is>
          <t>N/A</t>
        </is>
      </c>
      <c r="CI43" s="210" t="inlineStr">
        <is>
          <t>N/A</t>
        </is>
      </c>
      <c r="CJ43" s="210" t="inlineStr">
        <is>
          <t>N/A</t>
        </is>
      </c>
      <c r="CK43" s="210" t="inlineStr">
        <is>
          <t>N/A</t>
        </is>
      </c>
      <c r="CL43" s="210" t="inlineStr">
        <is>
          <t>N/A</t>
        </is>
      </c>
      <c r="CM43" s="210" t="inlineStr">
        <is>
          <t>N/A</t>
        </is>
      </c>
      <c r="CN43" s="210" t="inlineStr">
        <is>
          <t>N/A</t>
        </is>
      </c>
      <c r="CO43" s="223" t="inlineStr">
        <is>
          <t>PER/PHE PM
LND</t>
        </is>
      </c>
      <c r="CP43" s="223" t="inlineStr">
        <is>
          <t>RDM</t>
        </is>
      </c>
      <c r="CQ43" s="223" t="inlineStr">
        <is>
          <t>RDM</t>
        </is>
      </c>
      <c r="CR43" s="223" t="inlineStr">
        <is>
          <t>RDM</t>
        </is>
      </c>
      <c r="CS43" s="223" t="inlineStr">
        <is>
          <t>RDM</t>
        </is>
      </c>
      <c r="CT43" s="223" t="inlineStr">
        <is>
          <t>RDM</t>
        </is>
      </c>
      <c r="CU43" s="223" t="inlineStr">
        <is>
          <t>RDM</t>
        </is>
      </c>
      <c r="CV43" s="223" t="inlineStr">
        <is>
          <t>PHE/PER PM</t>
        </is>
      </c>
      <c r="CW43" s="217" t="inlineStr">
        <is>
          <t>DEMOB</t>
        </is>
      </c>
      <c r="CX43" s="210" t="inlineStr">
        <is>
          <t>N/A</t>
        </is>
      </c>
      <c r="CY43" s="210" t="inlineStr">
        <is>
          <t>N/A</t>
        </is>
      </c>
      <c r="CZ43" s="210" t="inlineStr">
        <is>
          <t>N/A</t>
        </is>
      </c>
      <c r="DA43" s="210" t="inlineStr">
        <is>
          <t>N/A</t>
        </is>
      </c>
      <c r="DB43" s="210" t="inlineStr">
        <is>
          <t>N/A</t>
        </is>
      </c>
      <c r="DC43" s="210" t="inlineStr">
        <is>
          <t>N/A</t>
        </is>
      </c>
      <c r="DD43" s="210" t="inlineStr">
        <is>
          <t>N/A</t>
        </is>
      </c>
      <c r="DE43" s="210" t="inlineStr">
        <is>
          <t>N/A</t>
        </is>
      </c>
      <c r="DF43" s="210" t="inlineStr">
        <is>
          <t>N/A</t>
        </is>
      </c>
      <c r="DG43" s="210" t="inlineStr">
        <is>
          <t>N/A</t>
        </is>
      </c>
      <c r="DH43" s="210" t="inlineStr">
        <is>
          <t>N/A</t>
        </is>
      </c>
      <c r="DI43" s="210" t="inlineStr">
        <is>
          <t>N/A</t>
        </is>
      </c>
      <c r="DJ43" s="210" t="inlineStr">
        <is>
          <t>N/A</t>
        </is>
      </c>
      <c r="DK43" s="210" t="inlineStr">
        <is>
          <t>N/A</t>
        </is>
      </c>
      <c r="DL43" s="210" t="inlineStr">
        <is>
          <t>N/A</t>
        </is>
      </c>
      <c r="DM43" s="210" t="inlineStr">
        <is>
          <t>N/A</t>
        </is>
      </c>
      <c r="DN43" s="210" t="inlineStr">
        <is>
          <t>N/A</t>
        </is>
      </c>
      <c r="DO43" s="210" t="inlineStr">
        <is>
          <t>N/A</t>
        </is>
      </c>
      <c r="DP43" s="210" t="inlineStr">
        <is>
          <t>N/A</t>
        </is>
      </c>
      <c r="DQ43" s="210" t="inlineStr">
        <is>
          <t>N/A</t>
        </is>
      </c>
      <c r="DR43" s="212" t="n"/>
      <c r="DS43" s="212" t="n"/>
      <c r="DT43" s="212" t="n"/>
      <c r="DU43" s="212" t="n"/>
      <c r="DV43" s="212" t="n"/>
      <c r="DW43" s="212" t="n"/>
      <c r="DX43" s="212" t="n"/>
      <c r="DY43" s="212" t="n"/>
      <c r="DZ43" s="212" t="n"/>
      <c r="EA43" s="212" t="n"/>
      <c r="EB43" s="212" t="n"/>
      <c r="EC43" s="212" t="n"/>
      <c r="ED43" s="212" t="n"/>
      <c r="EE43" s="212" t="n"/>
      <c r="EF43" s="212" t="n"/>
      <c r="EG43" s="212" t="n"/>
      <c r="EH43" s="212" t="n"/>
      <c r="EI43" s="212" t="n"/>
      <c r="EJ43" s="212" t="n"/>
      <c r="EK43" s="212" t="n"/>
      <c r="EL43" s="212" t="n"/>
      <c r="EM43" s="212" t="n"/>
      <c r="EN43" s="212" t="n"/>
      <c r="EO43" s="212" t="n"/>
      <c r="EP43" s="212" t="n"/>
      <c r="EQ43" s="212" t="n"/>
      <c r="ER43" s="212" t="n"/>
      <c r="ES43" s="212" t="n"/>
      <c r="ET43" s="212" t="n"/>
      <c r="EU43" s="212" t="n"/>
      <c r="EV43" s="212" t="n"/>
      <c r="EW43" s="212" t="n"/>
      <c r="EX43" s="212" t="n"/>
      <c r="EY43" s="212" t="n"/>
      <c r="EZ43" s="212" t="n"/>
      <c r="FA43" s="212" t="n"/>
      <c r="FB43" s="212" t="n"/>
      <c r="FC43" s="212" t="n"/>
      <c r="FD43" s="212" t="n"/>
      <c r="FE43" s="212" t="n"/>
      <c r="FF43" s="212" t="n"/>
      <c r="FG43" s="212" t="n"/>
      <c r="FH43" s="212" t="n"/>
      <c r="FI43" s="212" t="n"/>
      <c r="FJ43" s="212" t="n"/>
      <c r="FK43" s="212" t="n"/>
      <c r="FL43" s="212" t="n"/>
      <c r="FM43" s="212" t="n"/>
      <c r="FN43" s="212" t="n"/>
      <c r="FO43" s="212" t="n"/>
      <c r="FP43" s="212" t="n"/>
      <c r="FQ43" s="212" t="n"/>
      <c r="FR43" s="212" t="n"/>
      <c r="FS43" s="212" t="n"/>
      <c r="FT43" s="212" t="n"/>
      <c r="FU43" s="212" t="n"/>
      <c r="FV43" s="212" t="n"/>
      <c r="FW43" s="212" t="n"/>
      <c r="FX43" s="212" t="n"/>
      <c r="FY43" s="212" t="n"/>
      <c r="FZ43" s="212" t="n"/>
      <c r="GA43" s="212" t="n"/>
      <c r="GB43" s="212" t="n"/>
      <c r="GC43" s="212" t="n"/>
      <c r="GD43" s="212" t="n"/>
      <c r="GE43" s="212" t="n"/>
      <c r="GF43" s="212" t="n"/>
      <c r="GG43" s="212" t="n"/>
      <c r="GH43" s="212" t="n"/>
      <c r="GI43" s="212" t="n"/>
      <c r="GJ43" s="212" t="n"/>
      <c r="GK43" s="212" t="n"/>
      <c r="GL43" s="212" t="n"/>
      <c r="GM43" s="212" t="n"/>
      <c r="GN43" s="212" t="n"/>
      <c r="GO43" s="212" t="n"/>
      <c r="GP43" s="212" t="n"/>
      <c r="GQ43" s="212" t="n"/>
      <c r="GR43" s="212" t="n"/>
      <c r="GS43" s="212" t="n"/>
      <c r="GT43" s="212" t="n"/>
      <c r="GU43" s="212" t="n"/>
      <c r="GV43" s="212" t="n"/>
      <c r="GW43" s="212" t="n"/>
      <c r="GX43" s="212" t="n"/>
      <c r="GY43" s="212" t="n"/>
      <c r="GZ43" s="212" t="n"/>
      <c r="HA43" s="212" t="n"/>
      <c r="HB43" s="212" t="n"/>
      <c r="HC43" s="212" t="n"/>
      <c r="HD43" s="212" t="n"/>
      <c r="HE43" s="212" t="n"/>
      <c r="HF43" s="212" t="n"/>
      <c r="HG43" s="212" t="n"/>
      <c r="HH43" s="212" t="n"/>
      <c r="HI43" s="212" t="n"/>
      <c r="HJ43" s="212" t="n"/>
      <c r="HK43" s="212" t="n"/>
      <c r="HL43" s="212" t="n"/>
      <c r="HM43" s="212" t="n"/>
      <c r="HN43" s="212" t="n"/>
      <c r="HO43" s="212" t="n"/>
      <c r="HP43" s="212" t="n"/>
      <c r="HQ43" s="212" t="n"/>
      <c r="HR43" s="212" t="n"/>
      <c r="HS43" s="212" t="n"/>
      <c r="HT43" s="212" t="n"/>
      <c r="HU43" s="212" t="n"/>
      <c r="HV43" s="212" t="n"/>
      <c r="HW43" s="212" t="n"/>
      <c r="HX43" s="212" t="n"/>
      <c r="HY43" s="212" t="n"/>
      <c r="HZ43" s="212" t="n"/>
      <c r="IA43" s="212" t="n"/>
      <c r="IB43" s="212" t="n"/>
      <c r="IC43" s="212" t="n"/>
      <c r="ID43" s="212" t="n"/>
      <c r="IE43" s="212" t="n"/>
      <c r="IF43" s="212" t="n"/>
      <c r="IG43" s="212" t="n"/>
      <c r="IH43" s="212" t="n"/>
      <c r="II43" s="212" t="n"/>
      <c r="IJ43" s="212" t="n"/>
      <c r="IK43" s="212" t="n"/>
      <c r="IL43" s="212" t="n"/>
      <c r="IM43" s="212" t="n"/>
      <c r="IN43" s="212" t="n"/>
      <c r="IO43" s="212" t="n"/>
      <c r="IP43" s="212" t="n"/>
      <c r="IQ43" s="212" t="n"/>
      <c r="IR43" s="212" t="n"/>
      <c r="IS43" s="212" t="n"/>
      <c r="IT43" s="212" t="n"/>
      <c r="IU43" s="212" t="n"/>
      <c r="IV43" s="212" t="n"/>
      <c r="IW43" s="212" t="n"/>
      <c r="IX43" s="212" t="n"/>
      <c r="IY43" s="212" t="n"/>
      <c r="IZ43" s="212" t="n"/>
      <c r="JA43" s="212" t="n"/>
      <c r="JB43" s="212" t="n"/>
      <c r="JC43" s="212" t="n"/>
      <c r="JD43" s="212" t="n"/>
      <c r="JE43" s="212" t="n"/>
      <c r="JF43" s="212" t="n"/>
      <c r="JG43" s="212" t="n"/>
      <c r="JH43" s="212" t="n"/>
      <c r="JI43" s="212" t="n"/>
      <c r="JJ43" s="212" t="n"/>
      <c r="JK43" s="212" t="n"/>
      <c r="JL43" s="212" t="n"/>
      <c r="JM43" s="212" t="n"/>
      <c r="JN43" s="212" t="n"/>
      <c r="JO43" s="212" t="n"/>
      <c r="JP43" s="212" t="n"/>
      <c r="JQ43" s="212" t="n"/>
      <c r="JR43" s="212" t="n"/>
      <c r="JS43" s="212" t="n"/>
      <c r="JT43" s="212" t="n"/>
      <c r="JU43" s="212" t="n"/>
      <c r="JV43" s="212" t="n"/>
      <c r="JW43" s="212" t="n"/>
      <c r="JX43" s="212" t="n"/>
      <c r="JY43" s="212" t="n"/>
      <c r="JZ43" s="212" t="n"/>
      <c r="KA43" s="212" t="n"/>
      <c r="KB43" s="212" t="n"/>
      <c r="KC43" s="212" t="n"/>
      <c r="KD43" s="212" t="n"/>
      <c r="KE43" s="212" t="n"/>
      <c r="KF43" s="212" t="n"/>
      <c r="KG43" s="212" t="n"/>
      <c r="KH43" s="212" t="n"/>
      <c r="KI43" s="212" t="n"/>
      <c r="KJ43" s="212" t="n"/>
      <c r="KK43" s="212" t="n"/>
      <c r="KL43" s="212" t="n"/>
      <c r="KM43" s="212" t="n"/>
      <c r="KN43" s="212" t="n"/>
      <c r="KO43" s="212" t="n"/>
      <c r="KP43" s="212" t="n"/>
      <c r="KQ43" s="212" t="n"/>
      <c r="KR43" s="212" t="n"/>
      <c r="KS43" s="212" t="n"/>
      <c r="KT43" s="212" t="n"/>
      <c r="KU43" s="212" t="n"/>
      <c r="KV43" s="212" t="n"/>
      <c r="KW43" s="212" t="n"/>
      <c r="KX43" s="212" t="n"/>
      <c r="KY43" s="212" t="n"/>
      <c r="KZ43" s="212" t="n"/>
      <c r="LA43" s="212" t="n"/>
      <c r="LB43" s="212" t="n"/>
      <c r="LC43" s="212" t="n"/>
      <c r="LD43" s="212" t="n"/>
      <c r="LE43" s="212" t="n"/>
      <c r="LF43" s="212" t="n"/>
      <c r="LG43" s="212" t="n"/>
      <c r="LH43" s="212" t="n"/>
      <c r="LI43" s="212" t="n"/>
      <c r="LJ43" s="212" t="n"/>
      <c r="LK43" s="212" t="n"/>
      <c r="LL43" s="212" t="n"/>
      <c r="LM43" s="212" t="n"/>
      <c r="LN43" s="212" t="n"/>
      <c r="LO43" s="212" t="n"/>
      <c r="LP43" s="212" t="n"/>
      <c r="LQ43" s="212" t="n"/>
      <c r="LR43" s="212" t="n"/>
      <c r="LS43" s="212" t="n"/>
      <c r="LT43" s="212" t="n"/>
      <c r="LU43" s="212" t="n"/>
      <c r="LV43" s="212" t="n"/>
      <c r="LW43" s="212" t="n"/>
      <c r="LX43" s="212" t="n"/>
      <c r="LY43" s="212" t="n"/>
      <c r="LZ43" s="212" t="n"/>
      <c r="MA43" s="212" t="n"/>
      <c r="MB43" s="212" t="n"/>
      <c r="MC43" s="212" t="n"/>
      <c r="MD43" s="212" t="n"/>
      <c r="ME43" s="212" t="n"/>
      <c r="MF43" s="212" t="n"/>
      <c r="MG43" s="212" t="n"/>
      <c r="MH43" s="212" t="n"/>
      <c r="MI43" s="212" t="n"/>
      <c r="MJ43" s="212" t="n"/>
      <c r="MK43" s="212" t="n"/>
      <c r="ML43" s="212" t="n"/>
      <c r="MM43" s="212" t="n"/>
      <c r="MN43" s="212" t="n"/>
      <c r="MO43" s="212" t="n"/>
      <c r="MP43" s="212" t="n"/>
      <c r="MQ43" s="212" t="n"/>
      <c r="MR43" s="212" t="n"/>
      <c r="MS43" s="212" t="n"/>
      <c r="MT43" s="212" t="n"/>
      <c r="MU43" s="212" t="n"/>
      <c r="MV43" s="212" t="n"/>
      <c r="MW43" s="212" t="n"/>
      <c r="MX43" s="212" t="n"/>
      <c r="MY43" s="212" t="n"/>
      <c r="MZ43" s="212" t="n"/>
      <c r="NA43" s="212" t="n"/>
      <c r="NB43" s="212" t="n"/>
      <c r="NC43" s="212" t="n"/>
      <c r="ND43" s="212" t="n"/>
      <c r="NE43" s="212" t="n"/>
      <c r="NF43" s="212" t="n"/>
      <c r="NG43" s="212" t="n"/>
      <c r="NH43" s="212" t="n"/>
      <c r="NI43" s="212" t="n"/>
      <c r="NJ43" s="212" t="n"/>
      <c r="NK43" s="212" t="n"/>
      <c r="NL43" s="212" t="n"/>
      <c r="NM43" s="212" t="n"/>
      <c r="NN43" s="212" t="n"/>
      <c r="NO43" s="212" t="n"/>
      <c r="NP43" s="212" t="n"/>
      <c r="NQ43" s="212" t="n"/>
      <c r="NR43" s="212" t="n"/>
      <c r="NS43" s="212" t="n"/>
      <c r="NT43" s="212" t="n"/>
      <c r="NU43" s="212" t="n"/>
      <c r="NV43" s="212" t="n"/>
      <c r="NW43" s="212" t="n"/>
      <c r="NX43" s="212" t="n"/>
      <c r="NY43" s="212" t="n"/>
      <c r="NZ43" s="212" t="n"/>
      <c r="OA43" s="212" t="n"/>
      <c r="OB43" s="212" t="n"/>
      <c r="OC43" s="212" t="n"/>
      <c r="OD43" s="212" t="n"/>
      <c r="OE43" s="212" t="n"/>
      <c r="OF43" s="212" t="n"/>
      <c r="OG43" s="212" t="n"/>
      <c r="OH43" s="212" t="n"/>
      <c r="OI43" s="212" t="n"/>
      <c r="OJ43" s="212" t="n"/>
      <c r="OK43" s="212" t="n"/>
      <c r="OL43" s="212" t="n"/>
      <c r="OM43" s="212" t="n"/>
      <c r="ON43" s="212" t="n"/>
      <c r="OO43" s="212" t="n"/>
      <c r="OP43" s="212" t="n"/>
      <c r="OQ43" s="212" t="n"/>
      <c r="OR43" s="212" t="n"/>
      <c r="OS43" s="212" t="n"/>
      <c r="OT43" s="212" t="n"/>
      <c r="OU43" s="212" t="n"/>
      <c r="OV43" s="212" t="n"/>
      <c r="OW43" s="212" t="n"/>
      <c r="OX43" s="212" t="n"/>
      <c r="OY43" s="212" t="n"/>
      <c r="OZ43" s="212" t="n"/>
      <c r="PA43" s="212" t="n"/>
      <c r="PB43" s="212" t="n"/>
      <c r="PC43" s="212" t="n"/>
      <c r="PD43" s="212" t="n"/>
      <c r="PE43" s="212" t="n"/>
      <c r="PF43" s="212" t="n"/>
      <c r="PG43" s="212" t="n"/>
      <c r="PH43" s="212" t="n"/>
      <c r="PI43" s="212" t="n"/>
      <c r="PJ43" s="212" t="n"/>
      <c r="PK43" s="212" t="n"/>
      <c r="PL43" s="212" t="n"/>
      <c r="PM43" s="212" t="n"/>
      <c r="PN43" s="212" t="n"/>
      <c r="PO43" s="212" t="n"/>
      <c r="PP43" s="212" t="n"/>
      <c r="PQ43" s="212" t="n"/>
      <c r="PR43" s="212" t="n"/>
      <c r="PS43" s="212" t="n"/>
      <c r="PT43" s="212" t="n"/>
      <c r="PU43" s="212" t="n"/>
      <c r="PV43" s="212" t="n"/>
      <c r="PW43" s="212" t="n"/>
      <c r="PX43" s="212" t="n"/>
      <c r="PY43" s="212" t="n"/>
      <c r="PZ43" s="212" t="n"/>
      <c r="QA43" s="212" t="n"/>
      <c r="QB43" s="212" t="n"/>
      <c r="QC43" s="212" t="n"/>
      <c r="QD43" s="212" t="n"/>
      <c r="QE43" s="212" t="n"/>
      <c r="QF43" s="212" t="n"/>
      <c r="QG43" s="212" t="n"/>
      <c r="QH43" s="212" t="n"/>
      <c r="QI43" s="212" t="n"/>
      <c r="QJ43" s="212" t="n"/>
      <c r="QK43" s="212" t="n"/>
      <c r="QL43" s="212" t="n"/>
      <c r="QM43" s="212" t="n"/>
      <c r="QN43" s="212" t="n"/>
      <c r="QO43" s="212" t="n"/>
      <c r="QP43" s="212" t="n"/>
      <c r="QQ43" s="212" t="n"/>
      <c r="QR43" s="212" t="n"/>
      <c r="QS43" s="212" t="n"/>
      <c r="QT43" s="212" t="n"/>
      <c r="QU43" s="212" t="n"/>
      <c r="QV43" s="212" t="n"/>
      <c r="QW43" s="212" t="n"/>
      <c r="QX43" s="212" t="n"/>
      <c r="QY43" s="212" t="n"/>
      <c r="QZ43" s="212" t="n"/>
      <c r="RA43" s="212" t="n"/>
      <c r="RB43" s="212" t="n"/>
      <c r="RC43" s="212" t="n"/>
      <c r="RD43" s="212" t="n"/>
      <c r="RE43" s="212" t="n"/>
      <c r="RF43" s="212" t="n"/>
      <c r="RG43" s="212" t="n"/>
      <c r="RH43" s="212" t="n"/>
      <c r="RI43" s="212" t="n"/>
      <c r="RJ43" s="212" t="n"/>
      <c r="RK43" s="212" t="n"/>
      <c r="RL43" s="212" t="n"/>
      <c r="RM43" s="212" t="n"/>
      <c r="RN43" s="212" t="n"/>
      <c r="RO43" s="212" t="n"/>
      <c r="RP43" s="212" t="n"/>
      <c r="RQ43" s="212" t="n"/>
      <c r="RR43" s="212" t="n"/>
      <c r="RS43" s="212" t="n"/>
      <c r="RT43" s="212" t="n"/>
      <c r="RU43" s="212" t="n"/>
      <c r="RV43" s="212" t="n"/>
      <c r="RW43" s="212" t="n"/>
      <c r="RX43" s="212" t="n"/>
      <c r="RY43" s="212" t="n"/>
      <c r="RZ43" s="212" t="n"/>
      <c r="SA43" s="212" t="n"/>
      <c r="SB43" s="212" t="n"/>
      <c r="SC43" s="212" t="n"/>
      <c r="SD43" s="212" t="n"/>
      <c r="SE43" s="212" t="n"/>
      <c r="SF43" s="212" t="n"/>
      <c r="SG43" s="212" t="n"/>
      <c r="SH43" s="212" t="n"/>
      <c r="SI43" s="212" t="n"/>
      <c r="SJ43" s="212" t="n"/>
      <c r="SK43" s="212" t="n"/>
      <c r="SL43" s="212" t="n"/>
      <c r="SM43" s="212" t="n"/>
      <c r="SN43" s="212" t="n"/>
      <c r="SO43" s="212" t="n"/>
      <c r="SP43" s="212" t="n"/>
      <c r="SQ43" s="212" t="n"/>
      <c r="SR43" s="212" t="n"/>
      <c r="SS43" s="212" t="n"/>
      <c r="ST43" s="212" t="n"/>
      <c r="SU43" s="212" t="n"/>
      <c r="SV43" s="212" t="n"/>
    </row>
    <row r="44">
      <c r="B44" s="209" t="n">
        <v>5</v>
      </c>
      <c r="C44" s="209" t="inlineStr">
        <is>
          <t>Wabtec</t>
        </is>
      </c>
      <c r="D44" s="209" t="inlineStr">
        <is>
          <t>Luke</t>
        </is>
      </c>
      <c r="E44" s="209" t="inlineStr">
        <is>
          <t>Watson</t>
        </is>
      </c>
      <c r="F44" s="209">
        <f>IF(TRIM(D44&amp;E44)="","",TRIM(D44)&amp;" "&amp;TRIM(E44))</f>
        <v/>
      </c>
      <c r="G44" s="209" t="inlineStr">
        <is>
          <t>Perth</t>
        </is>
      </c>
      <c r="H44" s="209" t="inlineStr">
        <is>
          <t>Electrician</t>
        </is>
      </c>
      <c r="I44" s="209" t="inlineStr">
        <is>
          <t>YES</t>
        </is>
      </c>
      <c r="J44" s="209" t="inlineStr">
        <is>
          <t>YES</t>
        </is>
      </c>
      <c r="K44" s="209" t="inlineStr">
        <is>
          <t>YES</t>
        </is>
      </c>
      <c r="L44" s="209" t="inlineStr">
        <is>
          <t>YES</t>
        </is>
      </c>
      <c r="M44" s="209" t="inlineStr">
        <is>
          <t>Quals Complete</t>
        </is>
      </c>
      <c r="N44" s="209" t="inlineStr">
        <is>
          <t>lukewatson44@hotmail.com</t>
        </is>
      </c>
      <c r="O44" s="209" t="inlineStr">
        <is>
          <t>0410 628 204</t>
        </is>
      </c>
      <c r="P44" s="209" t="n">
        <v>854853</v>
      </c>
      <c r="Q44" s="209" t="n">
        <v>460897</v>
      </c>
      <c r="R44" s="209" t="inlineStr">
        <is>
          <t>2:1</t>
        </is>
      </c>
      <c r="S44" s="210" t="inlineStr">
        <is>
          <t>N/A</t>
        </is>
      </c>
      <c r="T44" s="210" t="inlineStr">
        <is>
          <t>N/A</t>
        </is>
      </c>
      <c r="U44" s="210" t="inlineStr">
        <is>
          <t>N/A</t>
        </is>
      </c>
      <c r="V44" s="210" t="inlineStr">
        <is>
          <t>N/A</t>
        </is>
      </c>
      <c r="W44" s="210" t="inlineStr">
        <is>
          <t>N/A</t>
        </is>
      </c>
      <c r="X44" s="210" t="inlineStr">
        <is>
          <t>N/A</t>
        </is>
      </c>
      <c r="Y44" s="210" t="inlineStr">
        <is>
          <t>N/A</t>
        </is>
      </c>
      <c r="Z44" s="210" t="inlineStr">
        <is>
          <t>N/A</t>
        </is>
      </c>
      <c r="AA44" s="210" t="inlineStr">
        <is>
          <t>N/A</t>
        </is>
      </c>
      <c r="AB44" s="210" t="inlineStr">
        <is>
          <t>N/A</t>
        </is>
      </c>
      <c r="AC44" s="210" t="inlineStr">
        <is>
          <t>N/A</t>
        </is>
      </c>
      <c r="AD44" s="211" t="inlineStr">
        <is>
          <t>PER/PHE PM
LND</t>
        </is>
      </c>
      <c r="AE44" s="211" t="inlineStr">
        <is>
          <t>LND</t>
        </is>
      </c>
      <c r="AF44" s="211" t="inlineStr">
        <is>
          <t>LND</t>
        </is>
      </c>
      <c r="AG44" s="211" t="inlineStr">
        <is>
          <t>LND</t>
        </is>
      </c>
      <c r="AH44" s="211" t="inlineStr">
        <is>
          <t>LND</t>
        </is>
      </c>
      <c r="AI44" s="211" t="inlineStr">
        <is>
          <t>LND</t>
        </is>
      </c>
      <c r="AJ44" s="211" t="inlineStr">
        <is>
          <t>LND</t>
        </is>
      </c>
      <c r="AK44" s="211" t="inlineStr">
        <is>
          <t>LND</t>
        </is>
      </c>
      <c r="AL44" s="211" t="inlineStr">
        <is>
          <t>LND</t>
        </is>
      </c>
      <c r="AM44" s="211" t="inlineStr">
        <is>
          <t>LND</t>
        </is>
      </c>
      <c r="AN44" s="211" t="inlineStr">
        <is>
          <t>LND</t>
        </is>
      </c>
      <c r="AO44" s="211" t="inlineStr">
        <is>
          <t>LND</t>
        </is>
      </c>
      <c r="AP44" s="211" t="inlineStr">
        <is>
          <t>LND</t>
        </is>
      </c>
      <c r="AQ44" s="211" t="inlineStr">
        <is>
          <t>LND</t>
        </is>
      </c>
      <c r="AR44" s="211" t="inlineStr">
        <is>
          <t>PHE/PER PM</t>
        </is>
      </c>
      <c r="AS44" s="222" t="inlineStr">
        <is>
          <t>RnR</t>
        </is>
      </c>
      <c r="AT44" s="222" t="inlineStr">
        <is>
          <t>RnR</t>
        </is>
      </c>
      <c r="AU44" s="222" t="inlineStr">
        <is>
          <t>RnR</t>
        </is>
      </c>
      <c r="AV44" s="222" t="inlineStr">
        <is>
          <t>RnR</t>
        </is>
      </c>
      <c r="AW44" s="222" t="inlineStr">
        <is>
          <t>RnR</t>
        </is>
      </c>
      <c r="AX44" s="222" t="inlineStr">
        <is>
          <t>RnR</t>
        </is>
      </c>
      <c r="AY44" s="211" t="inlineStr">
        <is>
          <t>PER/PHE PM
GWV</t>
        </is>
      </c>
      <c r="AZ44" s="211" t="inlineStr">
        <is>
          <t>GWV</t>
        </is>
      </c>
      <c r="BA44" s="211" t="inlineStr">
        <is>
          <t>GWV</t>
        </is>
      </c>
      <c r="BB44" s="211" t="inlineStr">
        <is>
          <t>GWV</t>
        </is>
      </c>
      <c r="BC44" s="211" t="inlineStr">
        <is>
          <t>GWV</t>
        </is>
      </c>
      <c r="BD44" s="211" t="inlineStr">
        <is>
          <t>RDM</t>
        </is>
      </c>
      <c r="BE44" s="211" t="inlineStr">
        <is>
          <t>RDM</t>
        </is>
      </c>
      <c r="BF44" s="211" t="inlineStr">
        <is>
          <t>RDM</t>
        </is>
      </c>
      <c r="BG44" s="211" t="inlineStr">
        <is>
          <t>RDM</t>
        </is>
      </c>
      <c r="BH44" s="211" t="inlineStr">
        <is>
          <t>RDM</t>
        </is>
      </c>
      <c r="BI44" s="211" t="inlineStr">
        <is>
          <t>RDM</t>
        </is>
      </c>
      <c r="BJ44" s="211" t="inlineStr">
        <is>
          <t>RDM</t>
        </is>
      </c>
      <c r="BK44" s="211" t="inlineStr">
        <is>
          <t>RDM</t>
        </is>
      </c>
      <c r="BL44" s="211" t="inlineStr">
        <is>
          <t>RDM</t>
        </is>
      </c>
      <c r="BM44" s="211" t="inlineStr">
        <is>
          <t>PHE/PER PM</t>
        </is>
      </c>
      <c r="BN44" s="222" t="inlineStr">
        <is>
          <t>RnR</t>
        </is>
      </c>
      <c r="BO44" s="222" t="inlineStr">
        <is>
          <t>RnR</t>
        </is>
      </c>
      <c r="BP44" s="222" t="inlineStr">
        <is>
          <t>RnR</t>
        </is>
      </c>
      <c r="BQ44" s="222" t="inlineStr">
        <is>
          <t>RnR</t>
        </is>
      </c>
      <c r="BR44" s="222" t="inlineStr">
        <is>
          <t>RnR</t>
        </is>
      </c>
      <c r="BS44" s="222" t="inlineStr">
        <is>
          <t>RnR</t>
        </is>
      </c>
      <c r="BT44" s="211" t="inlineStr">
        <is>
          <t>PER/PHE PM
LND</t>
        </is>
      </c>
      <c r="BU44" s="211" t="inlineStr">
        <is>
          <t>RDM</t>
        </is>
      </c>
      <c r="BV44" s="211" t="inlineStr">
        <is>
          <t>RDM</t>
        </is>
      </c>
      <c r="BW44" s="211" t="inlineStr">
        <is>
          <t>RDM</t>
        </is>
      </c>
      <c r="BX44" s="211" t="inlineStr">
        <is>
          <t>RDM</t>
        </is>
      </c>
      <c r="BY44" s="211" t="inlineStr">
        <is>
          <t>RDM</t>
        </is>
      </c>
      <c r="BZ44" s="211" t="inlineStr">
        <is>
          <t>RDM</t>
        </is>
      </c>
      <c r="CA44" s="211" t="inlineStr">
        <is>
          <t>RDM</t>
        </is>
      </c>
      <c r="CB44" s="215" t="inlineStr">
        <is>
          <t>RDM</t>
        </is>
      </c>
      <c r="CC44" s="215" t="inlineStr">
        <is>
          <t>RDM</t>
        </is>
      </c>
      <c r="CD44" s="215" t="inlineStr">
        <is>
          <t>RDM</t>
        </is>
      </c>
      <c r="CE44" s="215" t="inlineStr">
        <is>
          <t>RDM</t>
        </is>
      </c>
      <c r="CF44" s="215" t="inlineStr">
        <is>
          <t>RDM</t>
        </is>
      </c>
      <c r="CG44" s="215" t="inlineStr">
        <is>
          <t>RDM</t>
        </is>
      </c>
      <c r="CH44" s="211" t="inlineStr">
        <is>
          <t>PHE/PER PM</t>
        </is>
      </c>
      <c r="CI44" s="217" t="inlineStr">
        <is>
          <t>DEMOB</t>
        </is>
      </c>
      <c r="CJ44" s="210" t="inlineStr">
        <is>
          <t>N/A</t>
        </is>
      </c>
      <c r="CK44" s="210" t="inlineStr">
        <is>
          <t>N/A</t>
        </is>
      </c>
      <c r="CL44" s="210" t="inlineStr">
        <is>
          <t>N/A</t>
        </is>
      </c>
      <c r="CM44" s="210" t="inlineStr">
        <is>
          <t>N/A</t>
        </is>
      </c>
      <c r="CN44" s="210" t="inlineStr">
        <is>
          <t>N/A</t>
        </is>
      </c>
      <c r="CO44" s="210" t="inlineStr">
        <is>
          <t>N/A</t>
        </is>
      </c>
      <c r="CP44" s="210" t="inlineStr">
        <is>
          <t>N/A</t>
        </is>
      </c>
      <c r="CQ44" s="210" t="inlineStr">
        <is>
          <t>N/A</t>
        </is>
      </c>
      <c r="CR44" s="210" t="inlineStr">
        <is>
          <t>N/A</t>
        </is>
      </c>
      <c r="CS44" s="210" t="inlineStr">
        <is>
          <t>N/A</t>
        </is>
      </c>
      <c r="CT44" s="210" t="inlineStr">
        <is>
          <t>N/A</t>
        </is>
      </c>
      <c r="CU44" s="210" t="inlineStr">
        <is>
          <t>N/A</t>
        </is>
      </c>
      <c r="CV44" s="210" t="inlineStr">
        <is>
          <t>N/A</t>
        </is>
      </c>
      <c r="CW44" s="210" t="inlineStr">
        <is>
          <t>N/A</t>
        </is>
      </c>
      <c r="CX44" s="210" t="inlineStr">
        <is>
          <t>N/A</t>
        </is>
      </c>
      <c r="CY44" s="210" t="inlineStr">
        <is>
          <t>N/A</t>
        </is>
      </c>
      <c r="CZ44" s="210" t="inlineStr">
        <is>
          <t>N/A</t>
        </is>
      </c>
      <c r="DA44" s="210" t="inlineStr">
        <is>
          <t>N/A</t>
        </is>
      </c>
      <c r="DB44" s="210" t="inlineStr">
        <is>
          <t>N/A</t>
        </is>
      </c>
      <c r="DC44" s="210" t="inlineStr">
        <is>
          <t>N/A</t>
        </is>
      </c>
      <c r="DD44" s="210" t="inlineStr">
        <is>
          <t>N/A</t>
        </is>
      </c>
      <c r="DE44" s="210" t="inlineStr">
        <is>
          <t>N/A</t>
        </is>
      </c>
      <c r="DF44" s="210" t="inlineStr">
        <is>
          <t>N/A</t>
        </is>
      </c>
      <c r="DG44" s="210" t="inlineStr">
        <is>
          <t>N/A</t>
        </is>
      </c>
      <c r="DH44" s="210" t="inlineStr">
        <is>
          <t>N/A</t>
        </is>
      </c>
      <c r="DI44" s="210" t="inlineStr">
        <is>
          <t>N/A</t>
        </is>
      </c>
      <c r="DJ44" s="210" t="inlineStr">
        <is>
          <t>N/A</t>
        </is>
      </c>
      <c r="DK44" s="210" t="inlineStr">
        <is>
          <t>N/A</t>
        </is>
      </c>
      <c r="DL44" s="210" t="inlineStr">
        <is>
          <t>N/A</t>
        </is>
      </c>
      <c r="DM44" s="210" t="inlineStr">
        <is>
          <t>N/A</t>
        </is>
      </c>
      <c r="DN44" s="210" t="inlineStr">
        <is>
          <t>N/A</t>
        </is>
      </c>
      <c r="DO44" s="210" t="inlineStr">
        <is>
          <t>N/A</t>
        </is>
      </c>
      <c r="DP44" s="210" t="inlineStr">
        <is>
          <t>N/A</t>
        </is>
      </c>
      <c r="DQ44" s="210" t="inlineStr">
        <is>
          <t>N/A</t>
        </is>
      </c>
      <c r="DR44" s="212" t="n"/>
      <c r="DS44" s="212" t="n"/>
      <c r="DT44" s="212" t="n"/>
      <c r="DU44" s="212" t="n"/>
      <c r="DV44" s="212" t="n"/>
      <c r="DW44" s="212" t="n"/>
      <c r="DX44" s="212" t="n"/>
      <c r="DY44" s="212" t="n"/>
      <c r="DZ44" s="212" t="n"/>
      <c r="EA44" s="212" t="n"/>
      <c r="EB44" s="212" t="n"/>
      <c r="EC44" s="212" t="n"/>
      <c r="ED44" s="212" t="n"/>
      <c r="EE44" s="212" t="n"/>
      <c r="EF44" s="212" t="n"/>
      <c r="EG44" s="212" t="n"/>
      <c r="EH44" s="212" t="n"/>
      <c r="EI44" s="212" t="n"/>
      <c r="EJ44" s="212" t="n"/>
      <c r="EK44" s="212" t="n"/>
      <c r="EL44" s="212" t="n"/>
      <c r="EM44" s="212" t="n"/>
      <c r="EN44" s="212" t="n"/>
      <c r="EO44" s="212" t="n"/>
      <c r="EP44" s="212" t="n"/>
      <c r="EQ44" s="212" t="n"/>
      <c r="ER44" s="212" t="n"/>
      <c r="ES44" s="212" t="n"/>
      <c r="ET44" s="212" t="n"/>
      <c r="EU44" s="212" t="n"/>
      <c r="EV44" s="212" t="n"/>
      <c r="EW44" s="212" t="n"/>
      <c r="EX44" s="212" t="n"/>
      <c r="EY44" s="212" t="n"/>
      <c r="EZ44" s="212" t="n"/>
      <c r="FA44" s="212" t="n"/>
      <c r="FB44" s="212" t="n"/>
      <c r="FC44" s="212" t="n"/>
      <c r="FD44" s="212" t="n"/>
      <c r="FE44" s="212" t="n"/>
      <c r="FF44" s="212" t="n"/>
      <c r="FG44" s="212" t="n"/>
      <c r="FH44" s="212" t="n"/>
      <c r="FI44" s="212" t="n"/>
      <c r="FJ44" s="212" t="n"/>
      <c r="FK44" s="212" t="n"/>
      <c r="FL44" s="212" t="n"/>
      <c r="FM44" s="212" t="n"/>
      <c r="FN44" s="212" t="n"/>
      <c r="FO44" s="212" t="n"/>
      <c r="FP44" s="212" t="n"/>
      <c r="FQ44" s="212" t="n"/>
      <c r="FR44" s="212" t="n"/>
      <c r="FS44" s="212" t="n"/>
      <c r="FT44" s="212" t="n"/>
      <c r="FU44" s="212" t="n"/>
      <c r="FV44" s="212" t="n"/>
      <c r="FW44" s="212" t="n"/>
      <c r="FX44" s="212" t="n"/>
      <c r="FY44" s="212" t="n"/>
      <c r="FZ44" s="212" t="n"/>
      <c r="GA44" s="212" t="n"/>
      <c r="GB44" s="212" t="n"/>
      <c r="GC44" s="212" t="n"/>
      <c r="GD44" s="212" t="n"/>
      <c r="GE44" s="212" t="n"/>
      <c r="GF44" s="212" t="n"/>
      <c r="GG44" s="212" t="n"/>
      <c r="GH44" s="212" t="n"/>
      <c r="GI44" s="212" t="n"/>
      <c r="GJ44" s="212" t="n"/>
      <c r="GK44" s="212" t="n"/>
      <c r="GL44" s="212" t="n"/>
      <c r="GM44" s="212" t="n"/>
      <c r="GN44" s="212" t="n"/>
      <c r="GO44" s="212" t="n"/>
      <c r="GP44" s="212" t="n"/>
      <c r="GQ44" s="212" t="n"/>
      <c r="GR44" s="212" t="n"/>
      <c r="GS44" s="212" t="n"/>
      <c r="GT44" s="212" t="n"/>
      <c r="GU44" s="212" t="n"/>
      <c r="GV44" s="212" t="n"/>
      <c r="GW44" s="212" t="n"/>
      <c r="GX44" s="212" t="n"/>
      <c r="GY44" s="212" t="n"/>
      <c r="GZ44" s="212" t="n"/>
      <c r="HA44" s="212" t="n"/>
      <c r="HB44" s="212" t="n"/>
      <c r="HC44" s="212" t="n"/>
      <c r="HD44" s="212" t="n"/>
      <c r="HE44" s="212" t="n"/>
      <c r="HF44" s="212" t="n"/>
      <c r="HG44" s="212" t="n"/>
      <c r="HH44" s="212" t="n"/>
      <c r="HI44" s="212" t="n"/>
      <c r="HJ44" s="212" t="n"/>
      <c r="HK44" s="212" t="n"/>
      <c r="HL44" s="212" t="n"/>
      <c r="HM44" s="212" t="n"/>
      <c r="HN44" s="212" t="n"/>
      <c r="HO44" s="212" t="n"/>
      <c r="HP44" s="212" t="n"/>
      <c r="HQ44" s="212" t="n"/>
      <c r="HR44" s="212" t="n"/>
      <c r="HS44" s="212" t="n"/>
      <c r="HT44" s="212" t="n"/>
      <c r="HU44" s="212" t="n"/>
      <c r="HV44" s="212" t="n"/>
      <c r="HW44" s="212" t="n"/>
      <c r="HX44" s="212" t="n"/>
      <c r="HY44" s="212" t="n"/>
      <c r="HZ44" s="212" t="n"/>
      <c r="IA44" s="212" t="n"/>
      <c r="IB44" s="212" t="n"/>
      <c r="IC44" s="212" t="n"/>
      <c r="ID44" s="212" t="n"/>
      <c r="IE44" s="212" t="n"/>
      <c r="IF44" s="212" t="n"/>
      <c r="IG44" s="212" t="n"/>
      <c r="IH44" s="212" t="n"/>
      <c r="II44" s="212" t="n"/>
      <c r="IJ44" s="212" t="n"/>
      <c r="IK44" s="212" t="n"/>
      <c r="IL44" s="212" t="n"/>
      <c r="IM44" s="212" t="n"/>
      <c r="IN44" s="212" t="n"/>
      <c r="IO44" s="212" t="n"/>
      <c r="IP44" s="212" t="n"/>
      <c r="IQ44" s="212" t="n"/>
      <c r="IR44" s="212" t="n"/>
      <c r="IS44" s="212" t="n"/>
      <c r="IT44" s="212" t="n"/>
      <c r="IU44" s="212" t="n"/>
      <c r="IV44" s="212" t="n"/>
      <c r="IW44" s="212" t="n"/>
      <c r="IX44" s="212" t="n"/>
      <c r="IY44" s="212" t="n"/>
      <c r="IZ44" s="212" t="n"/>
      <c r="JA44" s="212" t="n"/>
      <c r="JB44" s="212" t="n"/>
      <c r="JC44" s="212" t="n"/>
      <c r="JD44" s="212" t="n"/>
      <c r="JE44" s="212" t="n"/>
      <c r="JF44" s="212" t="n"/>
      <c r="JG44" s="212" t="n"/>
      <c r="JH44" s="212" t="n"/>
      <c r="JI44" s="212" t="n"/>
      <c r="JJ44" s="212" t="n"/>
      <c r="JK44" s="212" t="n"/>
      <c r="JL44" s="212" t="n"/>
      <c r="JM44" s="212" t="n"/>
      <c r="JN44" s="212" t="n"/>
      <c r="JO44" s="212" t="n"/>
      <c r="JP44" s="212" t="n"/>
      <c r="JQ44" s="212" t="n"/>
      <c r="JR44" s="212" t="n"/>
      <c r="JS44" s="212" t="n"/>
      <c r="JT44" s="212" t="n"/>
      <c r="JU44" s="212" t="n"/>
      <c r="JV44" s="212" t="n"/>
      <c r="JW44" s="212" t="n"/>
      <c r="JX44" s="212" t="n"/>
      <c r="JY44" s="212" t="n"/>
      <c r="JZ44" s="212" t="n"/>
      <c r="KA44" s="212" t="n"/>
      <c r="KB44" s="212" t="n"/>
      <c r="KC44" s="212" t="n"/>
      <c r="KD44" s="212" t="n"/>
      <c r="KE44" s="212" t="n"/>
      <c r="KF44" s="212" t="n"/>
      <c r="KG44" s="212" t="n"/>
      <c r="KH44" s="212" t="n"/>
      <c r="KI44" s="212" t="n"/>
      <c r="KJ44" s="212" t="n"/>
      <c r="KK44" s="212" t="n"/>
      <c r="KL44" s="212" t="n"/>
      <c r="KM44" s="212" t="n"/>
      <c r="KN44" s="212" t="n"/>
      <c r="KO44" s="212" t="n"/>
      <c r="KP44" s="212" t="n"/>
      <c r="KQ44" s="212" t="n"/>
      <c r="KR44" s="212" t="n"/>
      <c r="KS44" s="212" t="n"/>
      <c r="KT44" s="212" t="n"/>
      <c r="KU44" s="212" t="n"/>
      <c r="KV44" s="212" t="n"/>
      <c r="KW44" s="212" t="n"/>
      <c r="KX44" s="212" t="n"/>
      <c r="KY44" s="212" t="n"/>
      <c r="KZ44" s="212" t="n"/>
      <c r="LA44" s="212" t="n"/>
      <c r="LB44" s="212" t="n"/>
      <c r="LC44" s="212" t="n"/>
      <c r="LD44" s="212" t="n"/>
      <c r="LE44" s="212" t="n"/>
      <c r="LF44" s="212" t="n"/>
      <c r="LG44" s="212" t="n"/>
      <c r="LH44" s="212" t="n"/>
      <c r="LI44" s="212" t="n"/>
      <c r="LJ44" s="212" t="n"/>
      <c r="LK44" s="212" t="n"/>
      <c r="LL44" s="212" t="n"/>
      <c r="LM44" s="212" t="n"/>
      <c r="LN44" s="212" t="n"/>
      <c r="LO44" s="212" t="n"/>
      <c r="LP44" s="212" t="n"/>
      <c r="LQ44" s="212" t="n"/>
      <c r="LR44" s="212" t="n"/>
      <c r="LS44" s="212" t="n"/>
      <c r="LT44" s="212" t="n"/>
      <c r="LU44" s="212" t="n"/>
      <c r="LV44" s="212" t="n"/>
      <c r="LW44" s="212" t="n"/>
      <c r="LX44" s="212" t="n"/>
      <c r="LY44" s="212" t="n"/>
      <c r="LZ44" s="212" t="n"/>
      <c r="MA44" s="212" t="n"/>
      <c r="MB44" s="212" t="n"/>
      <c r="MC44" s="212" t="n"/>
      <c r="MD44" s="212" t="n"/>
      <c r="ME44" s="212" t="n"/>
      <c r="MF44" s="212" t="n"/>
      <c r="MG44" s="212" t="n"/>
      <c r="MH44" s="212" t="n"/>
      <c r="MI44" s="212" t="n"/>
      <c r="MJ44" s="212" t="n"/>
      <c r="MK44" s="212" t="n"/>
      <c r="ML44" s="212" t="n"/>
      <c r="MM44" s="212" t="n"/>
      <c r="MN44" s="212" t="n"/>
      <c r="MO44" s="212" t="n"/>
      <c r="MP44" s="212" t="n"/>
      <c r="MQ44" s="212" t="n"/>
      <c r="MR44" s="212" t="n"/>
      <c r="MS44" s="212" t="n"/>
      <c r="MT44" s="212" t="n"/>
      <c r="MU44" s="212" t="n"/>
      <c r="MV44" s="212" t="n"/>
      <c r="MW44" s="212" t="n"/>
      <c r="MX44" s="212" t="n"/>
      <c r="MY44" s="212" t="n"/>
      <c r="MZ44" s="212" t="n"/>
      <c r="NA44" s="212" t="n"/>
      <c r="NB44" s="212" t="n"/>
      <c r="NC44" s="212" t="n"/>
      <c r="ND44" s="212" t="n"/>
      <c r="NE44" s="212" t="n"/>
      <c r="NF44" s="212" t="n"/>
      <c r="NG44" s="212" t="n"/>
      <c r="NH44" s="212" t="n"/>
      <c r="NI44" s="212" t="n"/>
      <c r="NJ44" s="212" t="n"/>
      <c r="NK44" s="212" t="n"/>
      <c r="NL44" s="212" t="n"/>
      <c r="NM44" s="212" t="n"/>
      <c r="NN44" s="212" t="n"/>
      <c r="NO44" s="212" t="n"/>
      <c r="NP44" s="212" t="n"/>
      <c r="NQ44" s="212" t="n"/>
      <c r="NR44" s="212" t="n"/>
      <c r="NS44" s="212" t="n"/>
      <c r="NT44" s="212" t="n"/>
      <c r="NU44" s="212" t="n"/>
      <c r="NV44" s="212" t="n"/>
      <c r="NW44" s="212" t="n"/>
      <c r="NX44" s="212" t="n"/>
      <c r="NY44" s="212" t="n"/>
      <c r="NZ44" s="212" t="n"/>
      <c r="OA44" s="212" t="n"/>
      <c r="OB44" s="212" t="n"/>
      <c r="OC44" s="212" t="n"/>
      <c r="OD44" s="212" t="n"/>
      <c r="OE44" s="212" t="n"/>
      <c r="OF44" s="212" t="n"/>
      <c r="OG44" s="212" t="n"/>
      <c r="OH44" s="212" t="n"/>
      <c r="OI44" s="212" t="n"/>
      <c r="OJ44" s="212" t="n"/>
      <c r="OK44" s="212" t="n"/>
      <c r="OL44" s="212" t="n"/>
      <c r="OM44" s="212" t="n"/>
      <c r="ON44" s="212" t="n"/>
      <c r="OO44" s="212" t="n"/>
      <c r="OP44" s="212" t="n"/>
      <c r="OQ44" s="212" t="n"/>
      <c r="OR44" s="212" t="n"/>
      <c r="OS44" s="212" t="n"/>
      <c r="OT44" s="212" t="n"/>
      <c r="OU44" s="212" t="n"/>
      <c r="OV44" s="212" t="n"/>
      <c r="OW44" s="212" t="n"/>
      <c r="OX44" s="212" t="n"/>
      <c r="OY44" s="212" t="n"/>
      <c r="OZ44" s="212" t="n"/>
      <c r="PA44" s="212" t="n"/>
      <c r="PB44" s="212" t="n"/>
      <c r="PC44" s="212" t="n"/>
      <c r="PD44" s="212" t="n"/>
      <c r="PE44" s="212" t="n"/>
      <c r="PF44" s="212" t="n"/>
      <c r="PG44" s="212" t="n"/>
      <c r="PH44" s="212" t="n"/>
      <c r="PI44" s="212" t="n"/>
      <c r="PJ44" s="212" t="n"/>
      <c r="PK44" s="212" t="n"/>
      <c r="PL44" s="212" t="n"/>
      <c r="PM44" s="212" t="n"/>
      <c r="PN44" s="212" t="n"/>
      <c r="PO44" s="212" t="n"/>
      <c r="PP44" s="212" t="n"/>
      <c r="PQ44" s="212" t="n"/>
      <c r="PR44" s="212" t="n"/>
      <c r="PS44" s="212" t="n"/>
      <c r="PT44" s="212" t="n"/>
      <c r="PU44" s="212" t="n"/>
      <c r="PV44" s="212" t="n"/>
      <c r="PW44" s="212" t="n"/>
      <c r="PX44" s="212" t="n"/>
      <c r="PY44" s="212" t="n"/>
      <c r="PZ44" s="212" t="n"/>
      <c r="QA44" s="212" t="n"/>
      <c r="QB44" s="212" t="n"/>
      <c r="QC44" s="212" t="n"/>
      <c r="QD44" s="212" t="n"/>
      <c r="QE44" s="212" t="n"/>
      <c r="QF44" s="212" t="n"/>
      <c r="QG44" s="212" t="n"/>
      <c r="QH44" s="212" t="n"/>
      <c r="QI44" s="212" t="n"/>
      <c r="QJ44" s="212" t="n"/>
      <c r="QK44" s="212" t="n"/>
      <c r="QL44" s="212" t="n"/>
      <c r="QM44" s="212" t="n"/>
      <c r="QN44" s="212" t="n"/>
      <c r="QO44" s="212" t="n"/>
      <c r="QP44" s="212" t="n"/>
      <c r="QQ44" s="212" t="n"/>
      <c r="QR44" s="212" t="n"/>
      <c r="QS44" s="212" t="n"/>
      <c r="QT44" s="212" t="n"/>
      <c r="QU44" s="212" t="n"/>
      <c r="QV44" s="212" t="n"/>
      <c r="QW44" s="212" t="n"/>
      <c r="QX44" s="212" t="n"/>
      <c r="QY44" s="212" t="n"/>
      <c r="QZ44" s="212" t="n"/>
      <c r="RA44" s="212" t="n"/>
      <c r="RB44" s="212" t="n"/>
      <c r="RC44" s="212" t="n"/>
      <c r="RD44" s="212" t="n"/>
      <c r="RE44" s="212" t="n"/>
      <c r="RF44" s="212" t="n"/>
      <c r="RG44" s="212" t="n"/>
      <c r="RH44" s="212" t="n"/>
      <c r="RI44" s="212" t="n"/>
      <c r="RJ44" s="212" t="n"/>
      <c r="RK44" s="212" t="n"/>
      <c r="RL44" s="212" t="n"/>
      <c r="RM44" s="212" t="n"/>
      <c r="RN44" s="212" t="n"/>
      <c r="RO44" s="212" t="n"/>
      <c r="RP44" s="212" t="n"/>
      <c r="RQ44" s="212" t="n"/>
      <c r="RR44" s="212" t="n"/>
      <c r="RS44" s="212" t="n"/>
      <c r="RT44" s="212" t="n"/>
      <c r="RU44" s="212" t="n"/>
      <c r="RV44" s="212" t="n"/>
      <c r="RW44" s="212" t="n"/>
      <c r="RX44" s="212" t="n"/>
      <c r="RY44" s="212" t="n"/>
      <c r="RZ44" s="212" t="n"/>
      <c r="SA44" s="212" t="n"/>
      <c r="SB44" s="212" t="n"/>
      <c r="SC44" s="212" t="n"/>
      <c r="SD44" s="212" t="n"/>
      <c r="SE44" s="212" t="n"/>
      <c r="SF44" s="212" t="n"/>
      <c r="SG44" s="212" t="n"/>
      <c r="SH44" s="212" t="n"/>
      <c r="SI44" s="212" t="n"/>
      <c r="SJ44" s="212" t="n"/>
      <c r="SK44" s="212" t="n"/>
      <c r="SL44" s="212" t="n"/>
      <c r="SM44" s="212" t="n"/>
      <c r="SN44" s="212" t="n"/>
      <c r="SO44" s="212" t="n"/>
      <c r="SP44" s="212" t="n"/>
      <c r="SQ44" s="212" t="n"/>
      <c r="SR44" s="212" t="n"/>
      <c r="SS44" s="212" t="n"/>
      <c r="ST44" s="212" t="n"/>
      <c r="SU44" s="212" t="n"/>
      <c r="SV44" s="212" t="n"/>
    </row>
    <row r="45">
      <c r="B45" s="209" t="n">
        <v>6</v>
      </c>
      <c r="C45" s="209" t="inlineStr">
        <is>
          <t>LGC</t>
        </is>
      </c>
      <c r="D45" s="209" t="inlineStr">
        <is>
          <t>Aaron</t>
        </is>
      </c>
      <c r="E45" s="209" t="inlineStr">
        <is>
          <t>Pick</t>
        </is>
      </c>
      <c r="F45" s="209">
        <f>IF(TRIM(D45&amp;E45)="","",TRIM(D45)&amp;" "&amp;TRIM(E45))</f>
        <v/>
      </c>
      <c r="G45" s="209" t="inlineStr">
        <is>
          <t>Perth</t>
        </is>
      </c>
      <c r="H45" s="209" t="inlineStr">
        <is>
          <t>Electrician (Confined Space/Gas Test)</t>
        </is>
      </c>
      <c r="I45" s="209" t="inlineStr">
        <is>
          <t>YES</t>
        </is>
      </c>
      <c r="J45" s="209" t="inlineStr">
        <is>
          <t>YES</t>
        </is>
      </c>
      <c r="K45" s="209" t="inlineStr">
        <is>
          <t>YES</t>
        </is>
      </c>
      <c r="L45" s="209" t="inlineStr">
        <is>
          <t>YES</t>
        </is>
      </c>
      <c r="M45" s="209" t="inlineStr">
        <is>
          <t>Quals Complete</t>
        </is>
      </c>
      <c r="N45" s="209" t="inlineStr">
        <is>
          <t>agpick34@gmail.com</t>
        </is>
      </c>
      <c r="O45" s="209" t="inlineStr">
        <is>
          <t>0478 629 493</t>
        </is>
      </c>
      <c r="P45" s="209" t="n">
        <v>732777</v>
      </c>
      <c r="Q45" s="209" t="n">
        <v>376590</v>
      </c>
      <c r="R45" s="209" t="inlineStr">
        <is>
          <t>2:1</t>
        </is>
      </c>
      <c r="S45" s="210" t="inlineStr">
        <is>
          <t>N/A</t>
        </is>
      </c>
      <c r="T45" s="210" t="inlineStr">
        <is>
          <t>N/A</t>
        </is>
      </c>
      <c r="U45" s="210" t="inlineStr">
        <is>
          <t>N/A</t>
        </is>
      </c>
      <c r="V45" s="210" t="inlineStr">
        <is>
          <t>N/A</t>
        </is>
      </c>
      <c r="W45" s="210" t="inlineStr">
        <is>
          <t>N/A</t>
        </is>
      </c>
      <c r="X45" s="210" t="inlineStr">
        <is>
          <t>N/A</t>
        </is>
      </c>
      <c r="Y45" s="210" t="inlineStr">
        <is>
          <t>N/A</t>
        </is>
      </c>
      <c r="Z45" s="210" t="inlineStr">
        <is>
          <t>N/A</t>
        </is>
      </c>
      <c r="AA45" s="210" t="inlineStr">
        <is>
          <t>N/A</t>
        </is>
      </c>
      <c r="AB45" s="210" t="inlineStr">
        <is>
          <t>N/A</t>
        </is>
      </c>
      <c r="AC45" s="210" t="inlineStr">
        <is>
          <t>N/A</t>
        </is>
      </c>
      <c r="AD45" s="211" t="inlineStr">
        <is>
          <t>PER/PHE PM
LND</t>
        </is>
      </c>
      <c r="AE45" s="211" t="inlineStr">
        <is>
          <t>LND</t>
        </is>
      </c>
      <c r="AF45" s="211" t="inlineStr">
        <is>
          <t>LND</t>
        </is>
      </c>
      <c r="AG45" s="211" t="inlineStr">
        <is>
          <t>LND</t>
        </is>
      </c>
      <c r="AH45" s="211" t="inlineStr">
        <is>
          <t>LND</t>
        </is>
      </c>
      <c r="AI45" s="211" t="inlineStr">
        <is>
          <t>LND</t>
        </is>
      </c>
      <c r="AJ45" s="211" t="inlineStr">
        <is>
          <t>LND</t>
        </is>
      </c>
      <c r="AK45" s="211" t="inlineStr">
        <is>
          <t>3RD PTY</t>
        </is>
      </c>
      <c r="AL45" s="211" t="inlineStr">
        <is>
          <t>3RD PTY</t>
        </is>
      </c>
      <c r="AM45" s="211" t="inlineStr">
        <is>
          <t>3RD PTY</t>
        </is>
      </c>
      <c r="AN45" s="211" t="inlineStr">
        <is>
          <t>3RD PTY</t>
        </is>
      </c>
      <c r="AO45" s="211" t="inlineStr">
        <is>
          <t>3RD PTY</t>
        </is>
      </c>
      <c r="AP45" s="211" t="inlineStr">
        <is>
          <t>3RD PTY</t>
        </is>
      </c>
      <c r="AQ45" s="211" t="inlineStr">
        <is>
          <t>3RD PTY</t>
        </is>
      </c>
      <c r="AR45" s="211" t="inlineStr">
        <is>
          <t>PHE/PER PM</t>
        </is>
      </c>
      <c r="AS45" s="222" t="inlineStr">
        <is>
          <t>RnR</t>
        </is>
      </c>
      <c r="AT45" s="222" t="inlineStr">
        <is>
          <t>RnR</t>
        </is>
      </c>
      <c r="AU45" s="222" t="inlineStr">
        <is>
          <t>RnR</t>
        </is>
      </c>
      <c r="AV45" s="222" t="inlineStr">
        <is>
          <t>RnR</t>
        </is>
      </c>
      <c r="AW45" s="222" t="inlineStr">
        <is>
          <t>RnR</t>
        </is>
      </c>
      <c r="AX45" s="222" t="inlineStr">
        <is>
          <t>RnR</t>
        </is>
      </c>
      <c r="AY45" s="211" t="inlineStr">
        <is>
          <t>PER/PHE PM
LND</t>
        </is>
      </c>
      <c r="AZ45" s="211" t="inlineStr">
        <is>
          <t>LND</t>
        </is>
      </c>
      <c r="BA45" s="211" t="inlineStr">
        <is>
          <t>LND</t>
        </is>
      </c>
      <c r="BB45" s="211" t="inlineStr">
        <is>
          <t>LND</t>
        </is>
      </c>
      <c r="BC45" s="211" t="inlineStr">
        <is>
          <t>LND</t>
        </is>
      </c>
      <c r="BD45" s="211" t="inlineStr">
        <is>
          <t>RDM</t>
        </is>
      </c>
      <c r="BE45" s="211" t="inlineStr">
        <is>
          <t>RDM</t>
        </is>
      </c>
      <c r="BF45" s="211" t="inlineStr">
        <is>
          <t>RDM</t>
        </is>
      </c>
      <c r="BG45" s="211" t="inlineStr">
        <is>
          <t>RDM</t>
        </is>
      </c>
      <c r="BH45" s="211" t="inlineStr">
        <is>
          <t>RDM</t>
        </is>
      </c>
      <c r="BI45" s="211" t="inlineStr">
        <is>
          <t>RDM</t>
        </is>
      </c>
      <c r="BJ45" s="211" t="inlineStr">
        <is>
          <t>RDM</t>
        </is>
      </c>
      <c r="BK45" s="211" t="inlineStr">
        <is>
          <t>RDM</t>
        </is>
      </c>
      <c r="BL45" s="211" t="inlineStr">
        <is>
          <t>RDM</t>
        </is>
      </c>
      <c r="BM45" s="211" t="inlineStr">
        <is>
          <t>PHE/PER PM</t>
        </is>
      </c>
      <c r="BN45" s="222" t="inlineStr">
        <is>
          <t>RnR</t>
        </is>
      </c>
      <c r="BO45" s="222" t="inlineStr">
        <is>
          <t>RnR</t>
        </is>
      </c>
      <c r="BP45" s="222" t="inlineStr">
        <is>
          <t>RnR</t>
        </is>
      </c>
      <c r="BQ45" s="222" t="inlineStr">
        <is>
          <t>RnR</t>
        </is>
      </c>
      <c r="BR45" s="222" t="inlineStr">
        <is>
          <t>RnR</t>
        </is>
      </c>
      <c r="BS45" s="222" t="inlineStr">
        <is>
          <t>RnR</t>
        </is>
      </c>
      <c r="BT45" s="211" t="inlineStr">
        <is>
          <t>PER/PHE PM
LND</t>
        </is>
      </c>
      <c r="BU45" s="211" t="inlineStr">
        <is>
          <t>RDM</t>
        </is>
      </c>
      <c r="BV45" s="211" t="inlineStr">
        <is>
          <t>RDM</t>
        </is>
      </c>
      <c r="BW45" s="211" t="inlineStr">
        <is>
          <t>RDM</t>
        </is>
      </c>
      <c r="BX45" s="211" t="inlineStr">
        <is>
          <t>RDM</t>
        </is>
      </c>
      <c r="BY45" s="211" t="inlineStr">
        <is>
          <t>RDM</t>
        </is>
      </c>
      <c r="BZ45" s="211" t="inlineStr">
        <is>
          <t>RDM</t>
        </is>
      </c>
      <c r="CA45" s="211" t="inlineStr">
        <is>
          <t>RDM</t>
        </is>
      </c>
      <c r="CB45" s="215" t="inlineStr">
        <is>
          <t>RDM</t>
        </is>
      </c>
      <c r="CC45" s="215" t="inlineStr">
        <is>
          <t>RDM</t>
        </is>
      </c>
      <c r="CD45" s="215" t="inlineStr">
        <is>
          <t>RDM</t>
        </is>
      </c>
      <c r="CE45" s="215" t="inlineStr">
        <is>
          <t>RDM</t>
        </is>
      </c>
      <c r="CF45" s="215" t="inlineStr">
        <is>
          <t>RDM</t>
        </is>
      </c>
      <c r="CG45" s="215" t="inlineStr">
        <is>
          <t>RDM</t>
        </is>
      </c>
      <c r="CH45" s="211" t="inlineStr">
        <is>
          <t>PHE/PER PM</t>
        </is>
      </c>
      <c r="CI45" s="217" t="inlineStr">
        <is>
          <t>DEMOB</t>
        </is>
      </c>
      <c r="CJ45" s="210" t="inlineStr">
        <is>
          <t>N/A</t>
        </is>
      </c>
      <c r="CK45" s="210" t="inlineStr">
        <is>
          <t>N/A</t>
        </is>
      </c>
      <c r="CL45" s="210" t="inlineStr">
        <is>
          <t>N/A</t>
        </is>
      </c>
      <c r="CM45" s="210" t="inlineStr">
        <is>
          <t>N/A</t>
        </is>
      </c>
      <c r="CN45" s="210" t="inlineStr">
        <is>
          <t>N/A</t>
        </is>
      </c>
      <c r="CO45" s="210" t="inlineStr">
        <is>
          <t>N/A</t>
        </is>
      </c>
      <c r="CP45" s="210" t="inlineStr">
        <is>
          <t>N/A</t>
        </is>
      </c>
      <c r="CQ45" s="210" t="inlineStr">
        <is>
          <t>N/A</t>
        </is>
      </c>
      <c r="CR45" s="210" t="inlineStr">
        <is>
          <t>N/A</t>
        </is>
      </c>
      <c r="CS45" s="210" t="inlineStr">
        <is>
          <t>N/A</t>
        </is>
      </c>
      <c r="CT45" s="210" t="inlineStr">
        <is>
          <t>N/A</t>
        </is>
      </c>
      <c r="CU45" s="210" t="inlineStr">
        <is>
          <t>N/A</t>
        </is>
      </c>
      <c r="CV45" s="210" t="inlineStr">
        <is>
          <t>N/A</t>
        </is>
      </c>
      <c r="CW45" s="210" t="inlineStr">
        <is>
          <t>N/A</t>
        </is>
      </c>
      <c r="CX45" s="210" t="inlineStr">
        <is>
          <t>N/A</t>
        </is>
      </c>
      <c r="CY45" s="210" t="inlineStr">
        <is>
          <t>N/A</t>
        </is>
      </c>
      <c r="CZ45" s="210" t="inlineStr">
        <is>
          <t>N/A</t>
        </is>
      </c>
      <c r="DA45" s="210" t="inlineStr">
        <is>
          <t>N/A</t>
        </is>
      </c>
      <c r="DB45" s="210" t="inlineStr">
        <is>
          <t>N/A</t>
        </is>
      </c>
      <c r="DC45" s="210" t="inlineStr">
        <is>
          <t>N/A</t>
        </is>
      </c>
      <c r="DD45" s="210" t="inlineStr">
        <is>
          <t>N/A</t>
        </is>
      </c>
      <c r="DE45" s="210" t="inlineStr">
        <is>
          <t>N/A</t>
        </is>
      </c>
      <c r="DF45" s="210" t="inlineStr">
        <is>
          <t>N/A</t>
        </is>
      </c>
      <c r="DG45" s="210" t="inlineStr">
        <is>
          <t>N/A</t>
        </is>
      </c>
      <c r="DH45" s="210" t="inlineStr">
        <is>
          <t>N/A</t>
        </is>
      </c>
      <c r="DI45" s="210" t="inlineStr">
        <is>
          <t>N/A</t>
        </is>
      </c>
      <c r="DJ45" s="210" t="inlineStr">
        <is>
          <t>N/A</t>
        </is>
      </c>
      <c r="DK45" s="210" t="inlineStr">
        <is>
          <t>N/A</t>
        </is>
      </c>
      <c r="DL45" s="210" t="inlineStr">
        <is>
          <t>N/A</t>
        </is>
      </c>
      <c r="DM45" s="210" t="inlineStr">
        <is>
          <t>N/A</t>
        </is>
      </c>
      <c r="DN45" s="210" t="inlineStr">
        <is>
          <t>N/A</t>
        </is>
      </c>
      <c r="DO45" s="210" t="inlineStr">
        <is>
          <t>N/A</t>
        </is>
      </c>
      <c r="DP45" s="210" t="inlineStr">
        <is>
          <t>N/A</t>
        </is>
      </c>
      <c r="DQ45" s="210" t="inlineStr">
        <is>
          <t>N/A</t>
        </is>
      </c>
      <c r="DR45" s="212" t="n"/>
      <c r="DS45" s="212" t="n"/>
      <c r="DT45" s="212" t="n"/>
      <c r="DU45" s="212" t="n"/>
      <c r="DV45" s="212" t="n"/>
      <c r="DW45" s="212" t="n"/>
      <c r="DX45" s="212" t="n"/>
      <c r="DY45" s="212" t="n"/>
      <c r="DZ45" s="212" t="n"/>
      <c r="EA45" s="212" t="n"/>
      <c r="EB45" s="212" t="n"/>
      <c r="EC45" s="212" t="n"/>
      <c r="ED45" s="212" t="n"/>
      <c r="EE45" s="212" t="n"/>
      <c r="EF45" s="212" t="n"/>
      <c r="EG45" s="212" t="n"/>
      <c r="EH45" s="212" t="n"/>
      <c r="EI45" s="212" t="n"/>
      <c r="EJ45" s="212" t="n"/>
      <c r="EK45" s="212" t="n"/>
      <c r="EL45" s="212" t="n"/>
      <c r="EM45" s="212" t="n"/>
      <c r="EN45" s="212" t="n"/>
      <c r="EO45" s="212" t="n"/>
      <c r="EP45" s="212" t="n"/>
      <c r="EQ45" s="212" t="n"/>
      <c r="ER45" s="212" t="n"/>
      <c r="ES45" s="212" t="n"/>
      <c r="ET45" s="212" t="n"/>
      <c r="EU45" s="212" t="n"/>
      <c r="EV45" s="212" t="n"/>
      <c r="EW45" s="212" t="n"/>
      <c r="EX45" s="212" t="n"/>
      <c r="EY45" s="212" t="n"/>
      <c r="EZ45" s="212" t="n"/>
      <c r="FA45" s="212" t="n"/>
      <c r="FB45" s="212" t="n"/>
      <c r="FC45" s="212" t="n"/>
      <c r="FD45" s="212" t="n"/>
      <c r="FE45" s="212" t="n"/>
      <c r="FF45" s="212" t="n"/>
      <c r="FG45" s="212" t="n"/>
      <c r="FH45" s="212" t="n"/>
      <c r="FI45" s="212" t="n"/>
      <c r="FJ45" s="212" t="n"/>
      <c r="FK45" s="212" t="n"/>
      <c r="FL45" s="212" t="n"/>
      <c r="FM45" s="212" t="n"/>
      <c r="FN45" s="212" t="n"/>
      <c r="FO45" s="212" t="n"/>
      <c r="FP45" s="212" t="n"/>
      <c r="FQ45" s="212" t="n"/>
      <c r="FR45" s="212" t="n"/>
      <c r="FS45" s="212" t="n"/>
      <c r="FT45" s="212" t="n"/>
      <c r="FU45" s="212" t="n"/>
      <c r="FV45" s="212" t="n"/>
      <c r="FW45" s="212" t="n"/>
      <c r="FX45" s="212" t="n"/>
      <c r="FY45" s="212" t="n"/>
      <c r="FZ45" s="212" t="n"/>
      <c r="GA45" s="212" t="n"/>
      <c r="GB45" s="212" t="n"/>
      <c r="GC45" s="212" t="n"/>
      <c r="GD45" s="212" t="n"/>
      <c r="GE45" s="212" t="n"/>
      <c r="GF45" s="212" t="n"/>
      <c r="GG45" s="212" t="n"/>
      <c r="GH45" s="212" t="n"/>
      <c r="GI45" s="212" t="n"/>
      <c r="GJ45" s="212" t="n"/>
      <c r="GK45" s="212" t="n"/>
      <c r="GL45" s="212" t="n"/>
      <c r="GM45" s="212" t="n"/>
      <c r="GN45" s="212" t="n"/>
      <c r="GO45" s="212" t="n"/>
      <c r="GP45" s="212" t="n"/>
      <c r="GQ45" s="212" t="n"/>
      <c r="GR45" s="212" t="n"/>
      <c r="GS45" s="212" t="n"/>
      <c r="GT45" s="212" t="n"/>
      <c r="GU45" s="212" t="n"/>
      <c r="GV45" s="212" t="n"/>
      <c r="GW45" s="212" t="n"/>
      <c r="GX45" s="212" t="n"/>
      <c r="GY45" s="212" t="n"/>
      <c r="GZ45" s="212" t="n"/>
      <c r="HA45" s="212" t="n"/>
      <c r="HB45" s="212" t="n"/>
      <c r="HC45" s="212" t="n"/>
      <c r="HD45" s="212" t="n"/>
      <c r="HE45" s="212" t="n"/>
      <c r="HF45" s="212" t="n"/>
      <c r="HG45" s="212" t="n"/>
      <c r="HH45" s="212" t="n"/>
      <c r="HI45" s="212" t="n"/>
      <c r="HJ45" s="212" t="n"/>
      <c r="HK45" s="212" t="n"/>
      <c r="HL45" s="212" t="n"/>
      <c r="HM45" s="212" t="n"/>
      <c r="HN45" s="212" t="n"/>
      <c r="HO45" s="212" t="n"/>
      <c r="HP45" s="212" t="n"/>
      <c r="HQ45" s="212" t="n"/>
      <c r="HR45" s="212" t="n"/>
      <c r="HS45" s="212" t="n"/>
      <c r="HT45" s="212" t="n"/>
      <c r="HU45" s="212" t="n"/>
      <c r="HV45" s="212" t="n"/>
      <c r="HW45" s="212" t="n"/>
      <c r="HX45" s="212" t="n"/>
      <c r="HY45" s="212" t="n"/>
      <c r="HZ45" s="212" t="n"/>
      <c r="IA45" s="212" t="n"/>
      <c r="IB45" s="212" t="n"/>
      <c r="IC45" s="212" t="n"/>
      <c r="ID45" s="212" t="n"/>
      <c r="IE45" s="212" t="n"/>
      <c r="IF45" s="212" t="n"/>
      <c r="IG45" s="212" t="n"/>
      <c r="IH45" s="212" t="n"/>
      <c r="II45" s="212" t="n"/>
      <c r="IJ45" s="212" t="n"/>
      <c r="IK45" s="212" t="n"/>
      <c r="IL45" s="212" t="n"/>
      <c r="IM45" s="212" t="n"/>
      <c r="IN45" s="212" t="n"/>
      <c r="IO45" s="212" t="n"/>
      <c r="IP45" s="212" t="n"/>
      <c r="IQ45" s="212" t="n"/>
      <c r="IR45" s="212" t="n"/>
      <c r="IS45" s="212" t="n"/>
      <c r="IT45" s="212" t="n"/>
      <c r="IU45" s="212" t="n"/>
      <c r="IV45" s="212" t="n"/>
      <c r="IW45" s="212" t="n"/>
      <c r="IX45" s="212" t="n"/>
      <c r="IY45" s="212" t="n"/>
      <c r="IZ45" s="212" t="n"/>
      <c r="JA45" s="212" t="n"/>
      <c r="JB45" s="212" t="n"/>
      <c r="JC45" s="212" t="n"/>
      <c r="JD45" s="212" t="n"/>
      <c r="JE45" s="212" t="n"/>
      <c r="JF45" s="212" t="n"/>
      <c r="JG45" s="212" t="n"/>
      <c r="JH45" s="212" t="n"/>
      <c r="JI45" s="212" t="n"/>
      <c r="JJ45" s="212" t="n"/>
      <c r="JK45" s="212" t="n"/>
      <c r="JL45" s="212" t="n"/>
      <c r="JM45" s="212" t="n"/>
      <c r="JN45" s="212" t="n"/>
      <c r="JO45" s="212" t="n"/>
      <c r="JP45" s="212" t="n"/>
      <c r="JQ45" s="212" t="n"/>
      <c r="JR45" s="212" t="n"/>
      <c r="JS45" s="212" t="n"/>
      <c r="JT45" s="212" t="n"/>
      <c r="JU45" s="212" t="n"/>
      <c r="JV45" s="212" t="n"/>
      <c r="JW45" s="212" t="n"/>
      <c r="JX45" s="212" t="n"/>
      <c r="JY45" s="212" t="n"/>
      <c r="JZ45" s="212" t="n"/>
      <c r="KA45" s="212" t="n"/>
      <c r="KB45" s="212" t="n"/>
      <c r="KC45" s="212" t="n"/>
      <c r="KD45" s="212" t="n"/>
      <c r="KE45" s="212" t="n"/>
      <c r="KF45" s="212" t="n"/>
      <c r="KG45" s="212" t="n"/>
      <c r="KH45" s="212" t="n"/>
      <c r="KI45" s="212" t="n"/>
      <c r="KJ45" s="212" t="n"/>
      <c r="KK45" s="212" t="n"/>
      <c r="KL45" s="212" t="n"/>
      <c r="KM45" s="212" t="n"/>
      <c r="KN45" s="212" t="n"/>
      <c r="KO45" s="212" t="n"/>
      <c r="KP45" s="212" t="n"/>
      <c r="KQ45" s="212" t="n"/>
      <c r="KR45" s="212" t="n"/>
      <c r="KS45" s="212" t="n"/>
      <c r="KT45" s="212" t="n"/>
      <c r="KU45" s="212" t="n"/>
      <c r="KV45" s="212" t="n"/>
      <c r="KW45" s="212" t="n"/>
      <c r="KX45" s="212" t="n"/>
      <c r="KY45" s="212" t="n"/>
      <c r="KZ45" s="212" t="n"/>
      <c r="LA45" s="212" t="n"/>
      <c r="LB45" s="212" t="n"/>
      <c r="LC45" s="212" t="n"/>
      <c r="LD45" s="212" t="n"/>
      <c r="LE45" s="212" t="n"/>
      <c r="LF45" s="212" t="n"/>
      <c r="LG45" s="212" t="n"/>
      <c r="LH45" s="212" t="n"/>
      <c r="LI45" s="212" t="n"/>
      <c r="LJ45" s="212" t="n"/>
      <c r="LK45" s="212" t="n"/>
      <c r="LL45" s="212" t="n"/>
      <c r="LM45" s="212" t="n"/>
      <c r="LN45" s="212" t="n"/>
      <c r="LO45" s="212" t="n"/>
      <c r="LP45" s="212" t="n"/>
      <c r="LQ45" s="212" t="n"/>
      <c r="LR45" s="212" t="n"/>
      <c r="LS45" s="212" t="n"/>
      <c r="LT45" s="212" t="n"/>
      <c r="LU45" s="212" t="n"/>
      <c r="LV45" s="212" t="n"/>
      <c r="LW45" s="212" t="n"/>
      <c r="LX45" s="212" t="n"/>
      <c r="LY45" s="212" t="n"/>
      <c r="LZ45" s="212" t="n"/>
      <c r="MA45" s="212" t="n"/>
      <c r="MB45" s="212" t="n"/>
      <c r="MC45" s="212" t="n"/>
      <c r="MD45" s="212" t="n"/>
      <c r="ME45" s="212" t="n"/>
      <c r="MF45" s="212" t="n"/>
      <c r="MG45" s="212" t="n"/>
      <c r="MH45" s="212" t="n"/>
      <c r="MI45" s="212" t="n"/>
      <c r="MJ45" s="212" t="n"/>
      <c r="MK45" s="212" t="n"/>
      <c r="ML45" s="212" t="n"/>
      <c r="MM45" s="212" t="n"/>
      <c r="MN45" s="212" t="n"/>
      <c r="MO45" s="212" t="n"/>
      <c r="MP45" s="212" t="n"/>
      <c r="MQ45" s="212" t="n"/>
      <c r="MR45" s="212" t="n"/>
      <c r="MS45" s="212" t="n"/>
      <c r="MT45" s="212" t="n"/>
      <c r="MU45" s="212" t="n"/>
      <c r="MV45" s="212" t="n"/>
      <c r="MW45" s="212" t="n"/>
      <c r="MX45" s="212" t="n"/>
      <c r="MY45" s="212" t="n"/>
      <c r="MZ45" s="212" t="n"/>
      <c r="NA45" s="212" t="n"/>
      <c r="NB45" s="212" t="n"/>
      <c r="NC45" s="212" t="n"/>
      <c r="ND45" s="212" t="n"/>
      <c r="NE45" s="212" t="n"/>
      <c r="NF45" s="212" t="n"/>
      <c r="NG45" s="212" t="n"/>
      <c r="NH45" s="212" t="n"/>
      <c r="NI45" s="212" t="n"/>
      <c r="NJ45" s="212" t="n"/>
      <c r="NK45" s="212" t="n"/>
      <c r="NL45" s="212" t="n"/>
      <c r="NM45" s="212" t="n"/>
      <c r="NN45" s="212" t="n"/>
      <c r="NO45" s="212" t="n"/>
      <c r="NP45" s="212" t="n"/>
      <c r="NQ45" s="212" t="n"/>
      <c r="NR45" s="212" t="n"/>
      <c r="NS45" s="212" t="n"/>
      <c r="NT45" s="212" t="n"/>
      <c r="NU45" s="212" t="n"/>
      <c r="NV45" s="212" t="n"/>
      <c r="NW45" s="212" t="n"/>
      <c r="NX45" s="212" t="n"/>
      <c r="NY45" s="212" t="n"/>
      <c r="NZ45" s="212" t="n"/>
      <c r="OA45" s="212" t="n"/>
      <c r="OB45" s="212" t="n"/>
      <c r="OC45" s="212" t="n"/>
      <c r="OD45" s="212" t="n"/>
      <c r="OE45" s="212" t="n"/>
      <c r="OF45" s="212" t="n"/>
      <c r="OG45" s="212" t="n"/>
      <c r="OH45" s="212" t="n"/>
      <c r="OI45" s="212" t="n"/>
      <c r="OJ45" s="212" t="n"/>
      <c r="OK45" s="212" t="n"/>
      <c r="OL45" s="212" t="n"/>
      <c r="OM45" s="212" t="n"/>
      <c r="ON45" s="212" t="n"/>
      <c r="OO45" s="212" t="n"/>
      <c r="OP45" s="212" t="n"/>
      <c r="OQ45" s="212" t="n"/>
      <c r="OR45" s="212" t="n"/>
      <c r="OS45" s="212" t="n"/>
      <c r="OT45" s="212" t="n"/>
      <c r="OU45" s="212" t="n"/>
      <c r="OV45" s="212" t="n"/>
      <c r="OW45" s="212" t="n"/>
      <c r="OX45" s="212" t="n"/>
      <c r="OY45" s="212" t="n"/>
      <c r="OZ45" s="212" t="n"/>
      <c r="PA45" s="212" t="n"/>
      <c r="PB45" s="212" t="n"/>
      <c r="PC45" s="212" t="n"/>
      <c r="PD45" s="212" t="n"/>
      <c r="PE45" s="212" t="n"/>
      <c r="PF45" s="212" t="n"/>
      <c r="PG45" s="212" t="n"/>
      <c r="PH45" s="212" t="n"/>
      <c r="PI45" s="212" t="n"/>
      <c r="PJ45" s="212" t="n"/>
      <c r="PK45" s="212" t="n"/>
      <c r="PL45" s="212" t="n"/>
      <c r="PM45" s="212" t="n"/>
      <c r="PN45" s="212" t="n"/>
      <c r="PO45" s="212" t="n"/>
      <c r="PP45" s="212" t="n"/>
      <c r="PQ45" s="212" t="n"/>
      <c r="PR45" s="212" t="n"/>
      <c r="PS45" s="212" t="n"/>
      <c r="PT45" s="212" t="n"/>
      <c r="PU45" s="212" t="n"/>
      <c r="PV45" s="212" t="n"/>
      <c r="PW45" s="212" t="n"/>
      <c r="PX45" s="212" t="n"/>
      <c r="PY45" s="212" t="n"/>
      <c r="PZ45" s="212" t="n"/>
      <c r="QA45" s="212" t="n"/>
      <c r="QB45" s="212" t="n"/>
      <c r="QC45" s="212" t="n"/>
      <c r="QD45" s="212" t="n"/>
      <c r="QE45" s="212" t="n"/>
      <c r="QF45" s="212" t="n"/>
      <c r="QG45" s="212" t="n"/>
      <c r="QH45" s="212" t="n"/>
      <c r="QI45" s="212" t="n"/>
      <c r="QJ45" s="212" t="n"/>
      <c r="QK45" s="212" t="n"/>
      <c r="QL45" s="212" t="n"/>
      <c r="QM45" s="212" t="n"/>
      <c r="QN45" s="212" t="n"/>
      <c r="QO45" s="212" t="n"/>
      <c r="QP45" s="212" t="n"/>
      <c r="QQ45" s="212" t="n"/>
      <c r="QR45" s="212" t="n"/>
      <c r="QS45" s="212" t="n"/>
      <c r="QT45" s="212" t="n"/>
      <c r="QU45" s="212" t="n"/>
      <c r="QV45" s="212" t="n"/>
      <c r="QW45" s="212" t="n"/>
      <c r="QX45" s="212" t="n"/>
      <c r="QY45" s="212" t="n"/>
      <c r="QZ45" s="212" t="n"/>
      <c r="RA45" s="212" t="n"/>
      <c r="RB45" s="212" t="n"/>
      <c r="RC45" s="212" t="n"/>
      <c r="RD45" s="212" t="n"/>
      <c r="RE45" s="212" t="n"/>
      <c r="RF45" s="212" t="n"/>
      <c r="RG45" s="212" t="n"/>
      <c r="RH45" s="212" t="n"/>
      <c r="RI45" s="212" t="n"/>
      <c r="RJ45" s="212" t="n"/>
      <c r="RK45" s="212" t="n"/>
      <c r="RL45" s="212" t="n"/>
      <c r="RM45" s="212" t="n"/>
      <c r="RN45" s="212" t="n"/>
      <c r="RO45" s="212" t="n"/>
      <c r="RP45" s="212" t="n"/>
      <c r="RQ45" s="212" t="n"/>
      <c r="RR45" s="212" t="n"/>
      <c r="RS45" s="212" t="n"/>
      <c r="RT45" s="212" t="n"/>
      <c r="RU45" s="212" t="n"/>
      <c r="RV45" s="212" t="n"/>
      <c r="RW45" s="212" t="n"/>
      <c r="RX45" s="212" t="n"/>
      <c r="RY45" s="212" t="n"/>
      <c r="RZ45" s="212" t="n"/>
      <c r="SA45" s="212" t="n"/>
      <c r="SB45" s="212" t="n"/>
      <c r="SC45" s="212" t="n"/>
      <c r="SD45" s="212" t="n"/>
      <c r="SE45" s="212" t="n"/>
      <c r="SF45" s="212" t="n"/>
      <c r="SG45" s="212" t="n"/>
      <c r="SH45" s="212" t="n"/>
      <c r="SI45" s="212" t="n"/>
      <c r="SJ45" s="212" t="n"/>
      <c r="SK45" s="212" t="n"/>
      <c r="SL45" s="212" t="n"/>
      <c r="SM45" s="212" t="n"/>
      <c r="SN45" s="212" t="n"/>
      <c r="SO45" s="212" t="n"/>
      <c r="SP45" s="212" t="n"/>
      <c r="SQ45" s="212" t="n"/>
      <c r="SR45" s="212" t="n"/>
      <c r="SS45" s="212" t="n"/>
      <c r="ST45" s="212" t="n"/>
      <c r="SU45" s="212" t="n"/>
      <c r="SV45" s="212" t="n"/>
    </row>
    <row r="46">
      <c r="B46" s="209" t="n">
        <v>7</v>
      </c>
      <c r="C46" s="209" t="inlineStr">
        <is>
          <t>2XM</t>
        </is>
      </c>
      <c r="D46" s="209" t="inlineStr">
        <is>
          <t>Jacob</t>
        </is>
      </c>
      <c r="E46" s="209" t="inlineStr">
        <is>
          <t>Harding</t>
        </is>
      </c>
      <c r="F46" s="209">
        <f>IF(TRIM(D46&amp;E46)="","",TRIM(D46)&amp;" "&amp;TRIM(E46))</f>
        <v/>
      </c>
      <c r="G46" s="209" t="inlineStr">
        <is>
          <t>Perth</t>
        </is>
      </c>
      <c r="H46" s="209" t="inlineStr">
        <is>
          <t>Electrician (Confined Space/Gas Test)</t>
        </is>
      </c>
      <c r="I46" s="209" t="inlineStr">
        <is>
          <t>YES</t>
        </is>
      </c>
      <c r="J46" s="209" t="inlineStr">
        <is>
          <t>YES</t>
        </is>
      </c>
      <c r="K46" s="209" t="inlineStr">
        <is>
          <t>YES</t>
        </is>
      </c>
      <c r="L46" s="209" t="inlineStr">
        <is>
          <t>YES</t>
        </is>
      </c>
      <c r="M46" s="209" t="inlineStr">
        <is>
          <t>Quals Complete</t>
        </is>
      </c>
      <c r="N46" s="209" t="inlineStr">
        <is>
          <t>Jharding1995@live.com.au</t>
        </is>
      </c>
      <c r="O46" s="209" t="inlineStr">
        <is>
          <t>0448 162 641</t>
        </is>
      </c>
      <c r="P46" s="209" t="n">
        <v>863083</v>
      </c>
      <c r="Q46" s="209" t="n">
        <v>466813</v>
      </c>
      <c r="R46" s="209" t="inlineStr">
        <is>
          <t>2:1</t>
        </is>
      </c>
      <c r="S46" s="210" t="inlineStr">
        <is>
          <t>N/A</t>
        </is>
      </c>
      <c r="T46" s="210" t="inlineStr">
        <is>
          <t>N/A</t>
        </is>
      </c>
      <c r="U46" s="210" t="inlineStr">
        <is>
          <t>N/A</t>
        </is>
      </c>
      <c r="V46" s="210" t="inlineStr">
        <is>
          <t>N/A</t>
        </is>
      </c>
      <c r="W46" s="210" t="inlineStr">
        <is>
          <t>N/A</t>
        </is>
      </c>
      <c r="X46" s="210" t="inlineStr">
        <is>
          <t>N/A</t>
        </is>
      </c>
      <c r="Y46" s="210" t="inlineStr">
        <is>
          <t>N/A</t>
        </is>
      </c>
      <c r="Z46" s="210" t="inlineStr">
        <is>
          <t>N/A</t>
        </is>
      </c>
      <c r="AA46" s="210" t="inlineStr">
        <is>
          <t>N/A</t>
        </is>
      </c>
      <c r="AB46" s="210" t="inlineStr">
        <is>
          <t>N/A</t>
        </is>
      </c>
      <c r="AC46" s="210" t="inlineStr">
        <is>
          <t>N/A</t>
        </is>
      </c>
      <c r="AD46" s="211" t="inlineStr">
        <is>
          <t>PER/PHE PM
LND</t>
        </is>
      </c>
      <c r="AE46" s="211" t="inlineStr">
        <is>
          <t>LND</t>
        </is>
      </c>
      <c r="AF46" s="211" t="inlineStr">
        <is>
          <t>LND</t>
        </is>
      </c>
      <c r="AG46" s="211" t="inlineStr">
        <is>
          <t>LND</t>
        </is>
      </c>
      <c r="AH46" s="211" t="inlineStr">
        <is>
          <t>LND</t>
        </is>
      </c>
      <c r="AI46" s="211" t="inlineStr">
        <is>
          <t>LND</t>
        </is>
      </c>
      <c r="AJ46" s="211" t="inlineStr">
        <is>
          <t>LND</t>
        </is>
      </c>
      <c r="AK46" s="211" t="inlineStr">
        <is>
          <t>3RD PTY</t>
        </is>
      </c>
      <c r="AL46" s="211" t="inlineStr">
        <is>
          <t>3RD PTY</t>
        </is>
      </c>
      <c r="AM46" s="211" t="inlineStr">
        <is>
          <t>3RD PTY</t>
        </is>
      </c>
      <c r="AN46" s="211" t="inlineStr">
        <is>
          <t>3RD PTY</t>
        </is>
      </c>
      <c r="AO46" s="211" t="inlineStr">
        <is>
          <t>3RD PTY</t>
        </is>
      </c>
      <c r="AP46" s="211" t="inlineStr">
        <is>
          <t>3RD PTY</t>
        </is>
      </c>
      <c r="AQ46" s="211" t="inlineStr">
        <is>
          <t>3RD PTY</t>
        </is>
      </c>
      <c r="AR46" s="211" t="inlineStr">
        <is>
          <t>PHE/PER PM</t>
        </is>
      </c>
      <c r="AS46" s="222" t="inlineStr">
        <is>
          <t>RnR</t>
        </is>
      </c>
      <c r="AT46" s="222" t="inlineStr">
        <is>
          <t>RnR</t>
        </is>
      </c>
      <c r="AU46" s="222" t="inlineStr">
        <is>
          <t>RnR</t>
        </is>
      </c>
      <c r="AV46" s="222" t="inlineStr">
        <is>
          <t>RnR</t>
        </is>
      </c>
      <c r="AW46" s="222" t="inlineStr">
        <is>
          <t>RnR</t>
        </is>
      </c>
      <c r="AX46" s="222" t="inlineStr">
        <is>
          <t>RnR</t>
        </is>
      </c>
      <c r="AY46" s="211" t="inlineStr">
        <is>
          <t>PER/PHE PM
LND</t>
        </is>
      </c>
      <c r="AZ46" s="211" t="inlineStr">
        <is>
          <t>LND</t>
        </is>
      </c>
      <c r="BA46" s="211" t="inlineStr">
        <is>
          <t>LND</t>
        </is>
      </c>
      <c r="BB46" s="211" t="inlineStr">
        <is>
          <t>LND</t>
        </is>
      </c>
      <c r="BC46" s="211" t="inlineStr">
        <is>
          <t>LND</t>
        </is>
      </c>
      <c r="BD46" s="211" t="inlineStr">
        <is>
          <t>RDM</t>
        </is>
      </c>
      <c r="BE46" s="211" t="inlineStr">
        <is>
          <t>RDM</t>
        </is>
      </c>
      <c r="BF46" s="211" t="inlineStr">
        <is>
          <t>RDM</t>
        </is>
      </c>
      <c r="BG46" s="211" t="inlineStr">
        <is>
          <t>RDM</t>
        </is>
      </c>
      <c r="BH46" s="211" t="inlineStr">
        <is>
          <t>RDM</t>
        </is>
      </c>
      <c r="BI46" s="211" t="inlineStr">
        <is>
          <t>RDM</t>
        </is>
      </c>
      <c r="BJ46" s="211" t="inlineStr">
        <is>
          <t>RDM</t>
        </is>
      </c>
      <c r="BK46" s="211" t="inlineStr">
        <is>
          <t>RDM</t>
        </is>
      </c>
      <c r="BL46" s="211" t="inlineStr">
        <is>
          <t>RDM</t>
        </is>
      </c>
      <c r="BM46" s="211" t="inlineStr">
        <is>
          <t>PHE/PER PM</t>
        </is>
      </c>
      <c r="BN46" s="222" t="inlineStr">
        <is>
          <t>RnR</t>
        </is>
      </c>
      <c r="BO46" s="222" t="inlineStr">
        <is>
          <t>RnR</t>
        </is>
      </c>
      <c r="BP46" s="222" t="inlineStr">
        <is>
          <t>RnR</t>
        </is>
      </c>
      <c r="BQ46" s="222" t="inlineStr">
        <is>
          <t>RnR</t>
        </is>
      </c>
      <c r="BR46" s="222" t="inlineStr">
        <is>
          <t>RnR</t>
        </is>
      </c>
      <c r="BS46" s="222" t="inlineStr">
        <is>
          <t>RnR</t>
        </is>
      </c>
      <c r="BT46" s="211" t="inlineStr">
        <is>
          <t>PER/PHE PM
LND</t>
        </is>
      </c>
      <c r="BU46" s="211" t="inlineStr">
        <is>
          <t>RDM</t>
        </is>
      </c>
      <c r="BV46" s="211" t="inlineStr">
        <is>
          <t>RDM</t>
        </is>
      </c>
      <c r="BW46" s="211" t="inlineStr">
        <is>
          <t>RDM</t>
        </is>
      </c>
      <c r="BX46" s="211" t="inlineStr">
        <is>
          <t>RDM</t>
        </is>
      </c>
      <c r="BY46" s="211" t="inlineStr">
        <is>
          <t>RDM</t>
        </is>
      </c>
      <c r="BZ46" s="211" t="inlineStr">
        <is>
          <t>RDM</t>
        </is>
      </c>
      <c r="CA46" s="211" t="inlineStr">
        <is>
          <t>RDM</t>
        </is>
      </c>
      <c r="CB46" s="215" t="inlineStr">
        <is>
          <t>RDM</t>
        </is>
      </c>
      <c r="CC46" s="215" t="inlineStr">
        <is>
          <t>RDM</t>
        </is>
      </c>
      <c r="CD46" s="215" t="inlineStr">
        <is>
          <t>RDM</t>
        </is>
      </c>
      <c r="CE46" s="215" t="inlineStr">
        <is>
          <t>RDM</t>
        </is>
      </c>
      <c r="CF46" s="215" t="inlineStr">
        <is>
          <t>RDM</t>
        </is>
      </c>
      <c r="CG46" s="215" t="inlineStr">
        <is>
          <t>RDM</t>
        </is>
      </c>
      <c r="CH46" s="211" t="inlineStr">
        <is>
          <t>PHE/PER PM</t>
        </is>
      </c>
      <c r="CI46" s="210" t="inlineStr">
        <is>
          <t>N/A</t>
        </is>
      </c>
      <c r="CJ46" s="210" t="inlineStr">
        <is>
          <t>N/A</t>
        </is>
      </c>
      <c r="CK46" s="210" t="inlineStr">
        <is>
          <t>N/A</t>
        </is>
      </c>
      <c r="CL46" s="210" t="inlineStr">
        <is>
          <t>N/A</t>
        </is>
      </c>
      <c r="CM46" s="210" t="inlineStr">
        <is>
          <t>N/A</t>
        </is>
      </c>
      <c r="CN46" s="210" t="inlineStr">
        <is>
          <t>N/A</t>
        </is>
      </c>
      <c r="CO46" s="210" t="inlineStr">
        <is>
          <t>PER/PHE PM
LND</t>
        </is>
      </c>
      <c r="CP46" s="210" t="inlineStr">
        <is>
          <t>RDM</t>
        </is>
      </c>
      <c r="CQ46" s="210" t="inlineStr">
        <is>
          <t>RDM</t>
        </is>
      </c>
      <c r="CR46" s="210" t="inlineStr">
        <is>
          <t>RDM</t>
        </is>
      </c>
      <c r="CS46" s="210" t="inlineStr">
        <is>
          <t>RDM</t>
        </is>
      </c>
      <c r="CT46" s="210" t="inlineStr">
        <is>
          <t>RDM</t>
        </is>
      </c>
      <c r="CU46" s="210" t="inlineStr">
        <is>
          <t>RDM</t>
        </is>
      </c>
      <c r="CV46" s="210" t="inlineStr">
        <is>
          <t>PHE/PER PM</t>
        </is>
      </c>
      <c r="CW46" s="217" t="inlineStr">
        <is>
          <t>DEMOB</t>
        </is>
      </c>
      <c r="CX46" s="210" t="inlineStr">
        <is>
          <t>N/A</t>
        </is>
      </c>
      <c r="CY46" s="210" t="inlineStr">
        <is>
          <t>N/A</t>
        </is>
      </c>
      <c r="CZ46" s="210" t="inlineStr">
        <is>
          <t>N/A</t>
        </is>
      </c>
      <c r="DA46" s="210" t="inlineStr">
        <is>
          <t>N/A</t>
        </is>
      </c>
      <c r="DB46" s="210" t="inlineStr">
        <is>
          <t>N/A</t>
        </is>
      </c>
      <c r="DC46" s="210" t="inlineStr">
        <is>
          <t>N/A</t>
        </is>
      </c>
      <c r="DD46" s="210" t="inlineStr">
        <is>
          <t>N/A</t>
        </is>
      </c>
      <c r="DE46" s="210" t="inlineStr">
        <is>
          <t>N/A</t>
        </is>
      </c>
      <c r="DF46" s="210" t="inlineStr">
        <is>
          <t>N/A</t>
        </is>
      </c>
      <c r="DG46" s="210" t="inlineStr">
        <is>
          <t>N/A</t>
        </is>
      </c>
      <c r="DH46" s="210" t="inlineStr">
        <is>
          <t>N/A</t>
        </is>
      </c>
      <c r="DI46" s="210" t="inlineStr">
        <is>
          <t>N/A</t>
        </is>
      </c>
      <c r="DJ46" s="210" t="inlineStr">
        <is>
          <t>N/A</t>
        </is>
      </c>
      <c r="DK46" s="210" t="inlineStr">
        <is>
          <t>N/A</t>
        </is>
      </c>
      <c r="DL46" s="210" t="inlineStr">
        <is>
          <t>N/A</t>
        </is>
      </c>
      <c r="DM46" s="210" t="inlineStr">
        <is>
          <t>N/A</t>
        </is>
      </c>
      <c r="DN46" s="210" t="inlineStr">
        <is>
          <t>N/A</t>
        </is>
      </c>
      <c r="DO46" s="210" t="inlineStr">
        <is>
          <t>N/A</t>
        </is>
      </c>
      <c r="DP46" s="210" t="inlineStr">
        <is>
          <t>N/A</t>
        </is>
      </c>
      <c r="DQ46" s="210" t="inlineStr">
        <is>
          <t>N/A</t>
        </is>
      </c>
      <c r="DR46" s="212" t="n"/>
      <c r="DS46" s="212" t="n"/>
      <c r="DT46" s="212" t="n"/>
      <c r="DU46" s="212" t="n"/>
      <c r="DV46" s="212" t="n"/>
      <c r="DW46" s="212" t="n"/>
      <c r="DX46" s="212" t="n"/>
      <c r="DY46" s="212" t="n"/>
      <c r="DZ46" s="212" t="n"/>
      <c r="EA46" s="212" t="n"/>
      <c r="EB46" s="212" t="n"/>
      <c r="EC46" s="212" t="n"/>
      <c r="ED46" s="212" t="n"/>
      <c r="EE46" s="212" t="n"/>
      <c r="EF46" s="212" t="n"/>
      <c r="EG46" s="212" t="n"/>
      <c r="EH46" s="212" t="n"/>
      <c r="EI46" s="212" t="n"/>
      <c r="EJ46" s="212" t="n"/>
      <c r="EK46" s="212" t="n"/>
      <c r="EL46" s="212" t="n"/>
      <c r="EM46" s="212" t="n"/>
      <c r="EN46" s="212" t="n"/>
      <c r="EO46" s="212" t="n"/>
      <c r="EP46" s="212" t="n"/>
      <c r="EQ46" s="212" t="n"/>
      <c r="ER46" s="212" t="n"/>
      <c r="ES46" s="212" t="n"/>
      <c r="ET46" s="212" t="n"/>
      <c r="EU46" s="212" t="n"/>
      <c r="EV46" s="212" t="n"/>
      <c r="EW46" s="212" t="n"/>
      <c r="EX46" s="212" t="n"/>
      <c r="EY46" s="212" t="n"/>
      <c r="EZ46" s="212" t="n"/>
      <c r="FA46" s="212" t="n"/>
      <c r="FB46" s="212" t="n"/>
      <c r="FC46" s="212" t="n"/>
      <c r="FD46" s="212" t="n"/>
      <c r="FE46" s="212" t="n"/>
      <c r="FF46" s="212" t="n"/>
      <c r="FG46" s="212" t="n"/>
      <c r="FH46" s="212" t="n"/>
      <c r="FI46" s="212" t="n"/>
      <c r="FJ46" s="212" t="n"/>
      <c r="FK46" s="212" t="n"/>
      <c r="FL46" s="212" t="n"/>
      <c r="FM46" s="212" t="n"/>
      <c r="FN46" s="212" t="n"/>
      <c r="FO46" s="212" t="n"/>
      <c r="FP46" s="212" t="n"/>
      <c r="FQ46" s="212" t="n"/>
      <c r="FR46" s="212" t="n"/>
      <c r="FS46" s="212" t="n"/>
      <c r="FT46" s="212" t="n"/>
      <c r="FU46" s="212" t="n"/>
      <c r="FV46" s="212" t="n"/>
      <c r="FW46" s="212" t="n"/>
      <c r="FX46" s="212" t="n"/>
      <c r="FY46" s="212" t="n"/>
      <c r="FZ46" s="212" t="n"/>
      <c r="GA46" s="212" t="n"/>
      <c r="GB46" s="212" t="n"/>
      <c r="GC46" s="212" t="n"/>
      <c r="GD46" s="212" t="n"/>
      <c r="GE46" s="212" t="n"/>
      <c r="GF46" s="212" t="n"/>
      <c r="GG46" s="212" t="n"/>
      <c r="GH46" s="212" t="n"/>
      <c r="GI46" s="212" t="n"/>
      <c r="GJ46" s="212" t="n"/>
      <c r="GK46" s="212" t="n"/>
      <c r="GL46" s="212" t="n"/>
      <c r="GM46" s="212" t="n"/>
      <c r="GN46" s="212" t="n"/>
      <c r="GO46" s="212" t="n"/>
      <c r="GP46" s="212" t="n"/>
      <c r="GQ46" s="212" t="n"/>
      <c r="GR46" s="212" t="n"/>
      <c r="GS46" s="212" t="n"/>
      <c r="GT46" s="212" t="n"/>
      <c r="GU46" s="212" t="n"/>
      <c r="GV46" s="212" t="n"/>
      <c r="GW46" s="212" t="n"/>
      <c r="GX46" s="212" t="n"/>
      <c r="GY46" s="212" t="n"/>
      <c r="GZ46" s="212" t="n"/>
      <c r="HA46" s="212" t="n"/>
      <c r="HB46" s="212" t="n"/>
      <c r="HC46" s="212" t="n"/>
      <c r="HD46" s="212" t="n"/>
      <c r="HE46" s="212" t="n"/>
      <c r="HF46" s="212" t="n"/>
      <c r="HG46" s="212" t="n"/>
      <c r="HH46" s="212" t="n"/>
      <c r="HI46" s="212" t="n"/>
      <c r="HJ46" s="212" t="n"/>
      <c r="HK46" s="212" t="n"/>
      <c r="HL46" s="212" t="n"/>
      <c r="HM46" s="212" t="n"/>
      <c r="HN46" s="212" t="n"/>
      <c r="HO46" s="212" t="n"/>
      <c r="HP46" s="212" t="n"/>
      <c r="HQ46" s="212" t="n"/>
      <c r="HR46" s="212" t="n"/>
      <c r="HS46" s="212" t="n"/>
      <c r="HT46" s="212" t="n"/>
      <c r="HU46" s="212" t="n"/>
      <c r="HV46" s="212" t="n"/>
      <c r="HW46" s="212" t="n"/>
      <c r="HX46" s="212" t="n"/>
      <c r="HY46" s="212" t="n"/>
      <c r="HZ46" s="212" t="n"/>
      <c r="IA46" s="212" t="n"/>
      <c r="IB46" s="212" t="n"/>
      <c r="IC46" s="212" t="n"/>
      <c r="ID46" s="212" t="n"/>
      <c r="IE46" s="212" t="n"/>
      <c r="IF46" s="212" t="n"/>
      <c r="IG46" s="212" t="n"/>
      <c r="IH46" s="212" t="n"/>
      <c r="II46" s="212" t="n"/>
      <c r="IJ46" s="212" t="n"/>
      <c r="IK46" s="212" t="n"/>
      <c r="IL46" s="212" t="n"/>
      <c r="IM46" s="212" t="n"/>
      <c r="IN46" s="212" t="n"/>
      <c r="IO46" s="212" t="n"/>
      <c r="IP46" s="212" t="n"/>
      <c r="IQ46" s="212" t="n"/>
      <c r="IR46" s="212" t="n"/>
      <c r="IS46" s="212" t="n"/>
      <c r="IT46" s="212" t="n"/>
      <c r="IU46" s="212" t="n"/>
      <c r="IV46" s="212" t="n"/>
      <c r="IW46" s="212" t="n"/>
      <c r="IX46" s="212" t="n"/>
      <c r="IY46" s="212" t="n"/>
      <c r="IZ46" s="212" t="n"/>
      <c r="JA46" s="212" t="n"/>
      <c r="JB46" s="212" t="n"/>
      <c r="JC46" s="212" t="n"/>
      <c r="JD46" s="212" t="n"/>
      <c r="JE46" s="212" t="n"/>
      <c r="JF46" s="212" t="n"/>
      <c r="JG46" s="212" t="n"/>
      <c r="JH46" s="212" t="n"/>
      <c r="JI46" s="212" t="n"/>
      <c r="JJ46" s="212" t="n"/>
      <c r="JK46" s="212" t="n"/>
      <c r="JL46" s="212" t="n"/>
      <c r="JM46" s="212" t="n"/>
      <c r="JN46" s="212" t="n"/>
      <c r="JO46" s="212" t="n"/>
      <c r="JP46" s="212" t="n"/>
      <c r="JQ46" s="212" t="n"/>
      <c r="JR46" s="212" t="n"/>
      <c r="JS46" s="212" t="n"/>
      <c r="JT46" s="212" t="n"/>
      <c r="JU46" s="212" t="n"/>
      <c r="JV46" s="212" t="n"/>
      <c r="JW46" s="212" t="n"/>
      <c r="JX46" s="212" t="n"/>
      <c r="JY46" s="212" t="n"/>
      <c r="JZ46" s="212" t="n"/>
      <c r="KA46" s="212" t="n"/>
      <c r="KB46" s="212" t="n"/>
      <c r="KC46" s="212" t="n"/>
      <c r="KD46" s="212" t="n"/>
      <c r="KE46" s="212" t="n"/>
      <c r="KF46" s="212" t="n"/>
      <c r="KG46" s="212" t="n"/>
      <c r="KH46" s="212" t="n"/>
      <c r="KI46" s="212" t="n"/>
      <c r="KJ46" s="212" t="n"/>
      <c r="KK46" s="212" t="n"/>
      <c r="KL46" s="212" t="n"/>
      <c r="KM46" s="212" t="n"/>
      <c r="KN46" s="212" t="n"/>
      <c r="KO46" s="212" t="n"/>
      <c r="KP46" s="212" t="n"/>
      <c r="KQ46" s="212" t="n"/>
      <c r="KR46" s="212" t="n"/>
      <c r="KS46" s="212" t="n"/>
      <c r="KT46" s="212" t="n"/>
      <c r="KU46" s="212" t="n"/>
      <c r="KV46" s="212" t="n"/>
      <c r="KW46" s="212" t="n"/>
      <c r="KX46" s="212" t="n"/>
      <c r="KY46" s="212" t="n"/>
      <c r="KZ46" s="212" t="n"/>
      <c r="LA46" s="212" t="n"/>
      <c r="LB46" s="212" t="n"/>
      <c r="LC46" s="212" t="n"/>
      <c r="LD46" s="212" t="n"/>
      <c r="LE46" s="212" t="n"/>
      <c r="LF46" s="212" t="n"/>
      <c r="LG46" s="212" t="n"/>
      <c r="LH46" s="212" t="n"/>
      <c r="LI46" s="212" t="n"/>
      <c r="LJ46" s="212" t="n"/>
      <c r="LK46" s="212" t="n"/>
      <c r="LL46" s="212" t="n"/>
      <c r="LM46" s="212" t="n"/>
      <c r="LN46" s="212" t="n"/>
      <c r="LO46" s="212" t="n"/>
      <c r="LP46" s="212" t="n"/>
      <c r="LQ46" s="212" t="n"/>
      <c r="LR46" s="212" t="n"/>
      <c r="LS46" s="212" t="n"/>
      <c r="LT46" s="212" t="n"/>
      <c r="LU46" s="212" t="n"/>
      <c r="LV46" s="212" t="n"/>
      <c r="LW46" s="212" t="n"/>
      <c r="LX46" s="212" t="n"/>
      <c r="LY46" s="212" t="n"/>
      <c r="LZ46" s="212" t="n"/>
      <c r="MA46" s="212" t="n"/>
      <c r="MB46" s="212" t="n"/>
      <c r="MC46" s="212" t="n"/>
      <c r="MD46" s="212" t="n"/>
      <c r="ME46" s="212" t="n"/>
      <c r="MF46" s="212" t="n"/>
      <c r="MG46" s="212" t="n"/>
      <c r="MH46" s="212" t="n"/>
      <c r="MI46" s="212" t="n"/>
      <c r="MJ46" s="212" t="n"/>
      <c r="MK46" s="212" t="n"/>
      <c r="ML46" s="212" t="n"/>
      <c r="MM46" s="212" t="n"/>
      <c r="MN46" s="212" t="n"/>
      <c r="MO46" s="212" t="n"/>
      <c r="MP46" s="212" t="n"/>
      <c r="MQ46" s="212" t="n"/>
      <c r="MR46" s="212" t="n"/>
      <c r="MS46" s="212" t="n"/>
      <c r="MT46" s="212" t="n"/>
      <c r="MU46" s="212" t="n"/>
      <c r="MV46" s="212" t="n"/>
      <c r="MW46" s="212" t="n"/>
      <c r="MX46" s="212" t="n"/>
      <c r="MY46" s="212" t="n"/>
      <c r="MZ46" s="212" t="n"/>
      <c r="NA46" s="212" t="n"/>
      <c r="NB46" s="212" t="n"/>
      <c r="NC46" s="212" t="n"/>
      <c r="ND46" s="212" t="n"/>
      <c r="NE46" s="212" t="n"/>
      <c r="NF46" s="212" t="n"/>
      <c r="NG46" s="212" t="n"/>
      <c r="NH46" s="212" t="n"/>
      <c r="NI46" s="212" t="n"/>
      <c r="NJ46" s="212" t="n"/>
      <c r="NK46" s="212" t="n"/>
      <c r="NL46" s="212" t="n"/>
      <c r="NM46" s="212" t="n"/>
      <c r="NN46" s="212" t="n"/>
      <c r="NO46" s="212" t="n"/>
      <c r="NP46" s="212" t="n"/>
      <c r="NQ46" s="212" t="n"/>
      <c r="NR46" s="212" t="n"/>
      <c r="NS46" s="212" t="n"/>
      <c r="NT46" s="212" t="n"/>
      <c r="NU46" s="212" t="n"/>
      <c r="NV46" s="212" t="n"/>
      <c r="NW46" s="212" t="n"/>
      <c r="NX46" s="212" t="n"/>
      <c r="NY46" s="212" t="n"/>
      <c r="NZ46" s="212" t="n"/>
      <c r="OA46" s="212" t="n"/>
      <c r="OB46" s="212" t="n"/>
      <c r="OC46" s="212" t="n"/>
      <c r="OD46" s="212" t="n"/>
      <c r="OE46" s="212" t="n"/>
      <c r="OF46" s="212" t="n"/>
      <c r="OG46" s="212" t="n"/>
      <c r="OH46" s="212" t="n"/>
      <c r="OI46" s="212" t="n"/>
      <c r="OJ46" s="212" t="n"/>
      <c r="OK46" s="212" t="n"/>
      <c r="OL46" s="212" t="n"/>
      <c r="OM46" s="212" t="n"/>
      <c r="ON46" s="212" t="n"/>
      <c r="OO46" s="212" t="n"/>
      <c r="OP46" s="212" t="n"/>
      <c r="OQ46" s="212" t="n"/>
      <c r="OR46" s="212" t="n"/>
      <c r="OS46" s="212" t="n"/>
      <c r="OT46" s="212" t="n"/>
      <c r="OU46" s="212" t="n"/>
      <c r="OV46" s="212" t="n"/>
      <c r="OW46" s="212" t="n"/>
      <c r="OX46" s="212" t="n"/>
      <c r="OY46" s="212" t="n"/>
      <c r="OZ46" s="212" t="n"/>
      <c r="PA46" s="212" t="n"/>
      <c r="PB46" s="212" t="n"/>
      <c r="PC46" s="212" t="n"/>
      <c r="PD46" s="212" t="n"/>
      <c r="PE46" s="212" t="n"/>
      <c r="PF46" s="212" t="n"/>
      <c r="PG46" s="212" t="n"/>
      <c r="PH46" s="212" t="n"/>
      <c r="PI46" s="212" t="n"/>
      <c r="PJ46" s="212" t="n"/>
      <c r="PK46" s="212" t="n"/>
      <c r="PL46" s="212" t="n"/>
      <c r="PM46" s="212" t="n"/>
      <c r="PN46" s="212" t="n"/>
      <c r="PO46" s="212" t="n"/>
      <c r="PP46" s="212" t="n"/>
      <c r="PQ46" s="212" t="n"/>
      <c r="PR46" s="212" t="n"/>
      <c r="PS46" s="212" t="n"/>
      <c r="PT46" s="212" t="n"/>
      <c r="PU46" s="212" t="n"/>
      <c r="PV46" s="212" t="n"/>
      <c r="PW46" s="212" t="n"/>
      <c r="PX46" s="212" t="n"/>
      <c r="PY46" s="212" t="n"/>
      <c r="PZ46" s="212" t="n"/>
      <c r="QA46" s="212" t="n"/>
      <c r="QB46" s="212" t="n"/>
      <c r="QC46" s="212" t="n"/>
      <c r="QD46" s="212" t="n"/>
      <c r="QE46" s="212" t="n"/>
      <c r="QF46" s="212" t="n"/>
      <c r="QG46" s="212" t="n"/>
      <c r="QH46" s="212" t="n"/>
      <c r="QI46" s="212" t="n"/>
      <c r="QJ46" s="212" t="n"/>
      <c r="QK46" s="212" t="n"/>
      <c r="QL46" s="212" t="n"/>
      <c r="QM46" s="212" t="n"/>
      <c r="QN46" s="212" t="n"/>
      <c r="QO46" s="212" t="n"/>
      <c r="QP46" s="212" t="n"/>
      <c r="QQ46" s="212" t="n"/>
      <c r="QR46" s="212" t="n"/>
      <c r="QS46" s="212" t="n"/>
      <c r="QT46" s="212" t="n"/>
      <c r="QU46" s="212" t="n"/>
      <c r="QV46" s="212" t="n"/>
      <c r="QW46" s="212" t="n"/>
      <c r="QX46" s="212" t="n"/>
      <c r="QY46" s="212" t="n"/>
      <c r="QZ46" s="212" t="n"/>
      <c r="RA46" s="212" t="n"/>
      <c r="RB46" s="212" t="n"/>
      <c r="RC46" s="212" t="n"/>
      <c r="RD46" s="212" t="n"/>
      <c r="RE46" s="212" t="n"/>
      <c r="RF46" s="212" t="n"/>
      <c r="RG46" s="212" t="n"/>
      <c r="RH46" s="212" t="n"/>
      <c r="RI46" s="212" t="n"/>
      <c r="RJ46" s="212" t="n"/>
      <c r="RK46" s="212" t="n"/>
      <c r="RL46" s="212" t="n"/>
      <c r="RM46" s="212" t="n"/>
      <c r="RN46" s="212" t="n"/>
      <c r="RO46" s="212" t="n"/>
      <c r="RP46" s="212" t="n"/>
      <c r="RQ46" s="212" t="n"/>
      <c r="RR46" s="212" t="n"/>
      <c r="RS46" s="212" t="n"/>
      <c r="RT46" s="212" t="n"/>
      <c r="RU46" s="212" t="n"/>
      <c r="RV46" s="212" t="n"/>
      <c r="RW46" s="212" t="n"/>
      <c r="RX46" s="212" t="n"/>
      <c r="RY46" s="212" t="n"/>
      <c r="RZ46" s="212" t="n"/>
      <c r="SA46" s="212" t="n"/>
      <c r="SB46" s="212" t="n"/>
      <c r="SC46" s="212" t="n"/>
      <c r="SD46" s="212" t="n"/>
      <c r="SE46" s="212" t="n"/>
      <c r="SF46" s="212" t="n"/>
      <c r="SG46" s="212" t="n"/>
      <c r="SH46" s="212" t="n"/>
      <c r="SI46" s="212" t="n"/>
      <c r="SJ46" s="212" t="n"/>
      <c r="SK46" s="212" t="n"/>
      <c r="SL46" s="212" t="n"/>
      <c r="SM46" s="212" t="n"/>
      <c r="SN46" s="212" t="n"/>
      <c r="SO46" s="212" t="n"/>
      <c r="SP46" s="212" t="n"/>
      <c r="SQ46" s="212" t="n"/>
      <c r="SR46" s="212" t="n"/>
      <c r="SS46" s="212" t="n"/>
      <c r="ST46" s="212" t="n"/>
      <c r="SU46" s="212" t="n"/>
      <c r="SV46" s="212" t="n"/>
    </row>
    <row r="47">
      <c r="B47" s="209" t="n">
        <v>8</v>
      </c>
      <c r="C47" s="209" t="inlineStr">
        <is>
          <t>Wabtec</t>
        </is>
      </c>
      <c r="D47" s="209" t="inlineStr">
        <is>
          <t>David</t>
        </is>
      </c>
      <c r="E47" s="209" t="inlineStr">
        <is>
          <t>Child</t>
        </is>
      </c>
      <c r="F47" s="209">
        <f>IF(TRIM(D47&amp;E47)="","",TRIM(D47)&amp;" "&amp;TRIM(E47))</f>
        <v/>
      </c>
      <c r="G47" s="209" t="inlineStr">
        <is>
          <t>Perth</t>
        </is>
      </c>
      <c r="H47" s="209" t="inlineStr">
        <is>
          <t>Information Systems Technician</t>
        </is>
      </c>
      <c r="I47" s="209" t="inlineStr">
        <is>
          <t>YES</t>
        </is>
      </c>
      <c r="J47" s="209" t="inlineStr">
        <is>
          <t>YES</t>
        </is>
      </c>
      <c r="K47" s="209" t="inlineStr">
        <is>
          <t>YES</t>
        </is>
      </c>
      <c r="L47" s="209" t="inlineStr">
        <is>
          <t>YES</t>
        </is>
      </c>
      <c r="M47" s="209" t="inlineStr">
        <is>
          <t>Quals Complete</t>
        </is>
      </c>
      <c r="N47" s="209" t="inlineStr">
        <is>
          <t>david.child@wabtec.com</t>
        </is>
      </c>
      <c r="O47" s="209" t="inlineStr">
        <is>
          <t>0456 879 547</t>
        </is>
      </c>
      <c r="P47" s="209" t="n">
        <v>819870</v>
      </c>
      <c r="Q47" s="209" t="n">
        <v>436234</v>
      </c>
      <c r="R47" s="209" t="inlineStr">
        <is>
          <t>2:1</t>
        </is>
      </c>
      <c r="S47" s="210" t="inlineStr">
        <is>
          <t>N/A</t>
        </is>
      </c>
      <c r="T47" s="210" t="inlineStr">
        <is>
          <t>N/A</t>
        </is>
      </c>
      <c r="U47" s="210" t="inlineStr">
        <is>
          <t>N/A</t>
        </is>
      </c>
      <c r="V47" s="210" t="inlineStr">
        <is>
          <t>N/A</t>
        </is>
      </c>
      <c r="W47" s="210" t="inlineStr">
        <is>
          <t>N/A</t>
        </is>
      </c>
      <c r="X47" s="210" t="inlineStr">
        <is>
          <t>N/A</t>
        </is>
      </c>
      <c r="Y47" s="210" t="inlineStr">
        <is>
          <t>N/A</t>
        </is>
      </c>
      <c r="Z47" s="210" t="inlineStr">
        <is>
          <t>N/A</t>
        </is>
      </c>
      <c r="AA47" s="210" t="inlineStr">
        <is>
          <t>N/A</t>
        </is>
      </c>
      <c r="AB47" s="210" t="inlineStr">
        <is>
          <t>N/A</t>
        </is>
      </c>
      <c r="AC47" s="210" t="inlineStr">
        <is>
          <t>N/A</t>
        </is>
      </c>
      <c r="AD47" s="211" t="inlineStr">
        <is>
          <t>PER/PHE PM
LND</t>
        </is>
      </c>
      <c r="AE47" s="211" t="inlineStr">
        <is>
          <t>LND</t>
        </is>
      </c>
      <c r="AF47" s="211" t="inlineStr">
        <is>
          <t>LND</t>
        </is>
      </c>
      <c r="AG47" s="211" t="inlineStr">
        <is>
          <t>LND</t>
        </is>
      </c>
      <c r="AH47" s="211" t="inlineStr">
        <is>
          <t>LND</t>
        </is>
      </c>
      <c r="AI47" s="211" t="inlineStr">
        <is>
          <t>LND</t>
        </is>
      </c>
      <c r="AJ47" s="211" t="inlineStr">
        <is>
          <t>LND</t>
        </is>
      </c>
      <c r="AK47" s="211" t="inlineStr">
        <is>
          <t>3RD PTY</t>
        </is>
      </c>
      <c r="AL47" s="211" t="inlineStr">
        <is>
          <t>3RD PTY</t>
        </is>
      </c>
      <c r="AM47" s="211" t="inlineStr">
        <is>
          <t>3RD PTY</t>
        </is>
      </c>
      <c r="AN47" s="211" t="inlineStr">
        <is>
          <t>3RD PTY</t>
        </is>
      </c>
      <c r="AO47" s="211" t="inlineStr">
        <is>
          <t>3RD PTY</t>
        </is>
      </c>
      <c r="AP47" s="211" t="inlineStr">
        <is>
          <t>3RD PTY</t>
        </is>
      </c>
      <c r="AQ47" s="211" t="inlineStr">
        <is>
          <t>3RD PTY</t>
        </is>
      </c>
      <c r="AR47" s="211" t="inlineStr">
        <is>
          <t>PHE/PER PM</t>
        </is>
      </c>
      <c r="AS47" s="222" t="inlineStr">
        <is>
          <t>RnR</t>
        </is>
      </c>
      <c r="AT47" s="222" t="inlineStr">
        <is>
          <t>RnR</t>
        </is>
      </c>
      <c r="AU47" s="222" t="inlineStr">
        <is>
          <t>RnR</t>
        </is>
      </c>
      <c r="AV47" s="222" t="inlineStr">
        <is>
          <t>RnR</t>
        </is>
      </c>
      <c r="AW47" s="222" t="inlineStr">
        <is>
          <t>RnR</t>
        </is>
      </c>
      <c r="AX47" s="222" t="inlineStr">
        <is>
          <t>RnR</t>
        </is>
      </c>
      <c r="AY47" s="211" t="inlineStr">
        <is>
          <t>PER/PHE PM
LND</t>
        </is>
      </c>
      <c r="AZ47" s="211" t="inlineStr">
        <is>
          <t>LND</t>
        </is>
      </c>
      <c r="BA47" s="211" t="inlineStr">
        <is>
          <t>LND</t>
        </is>
      </c>
      <c r="BB47" s="211" t="inlineStr">
        <is>
          <t>LND</t>
        </is>
      </c>
      <c r="BC47" s="211" t="inlineStr">
        <is>
          <t>LND</t>
        </is>
      </c>
      <c r="BD47" s="211" t="inlineStr">
        <is>
          <t>RDM</t>
        </is>
      </c>
      <c r="BE47" s="211" t="inlineStr">
        <is>
          <t>RDM</t>
        </is>
      </c>
      <c r="BF47" s="211" t="inlineStr">
        <is>
          <t>RDM</t>
        </is>
      </c>
      <c r="BG47" s="211" t="inlineStr">
        <is>
          <t>RDM</t>
        </is>
      </c>
      <c r="BH47" s="211" t="inlineStr">
        <is>
          <t>RDM</t>
        </is>
      </c>
      <c r="BI47" s="211" t="inlineStr">
        <is>
          <t>RDM</t>
        </is>
      </c>
      <c r="BJ47" s="211" t="inlineStr">
        <is>
          <t>RDM</t>
        </is>
      </c>
      <c r="BK47" s="211" t="inlineStr">
        <is>
          <t>RDM</t>
        </is>
      </c>
      <c r="BL47" s="211" t="inlineStr">
        <is>
          <t>RDM</t>
        </is>
      </c>
      <c r="BM47" s="211" t="inlineStr">
        <is>
          <t>PHE/PER PM</t>
        </is>
      </c>
      <c r="BN47" s="222" t="inlineStr">
        <is>
          <t>RnR</t>
        </is>
      </c>
      <c r="BO47" s="222" t="inlineStr">
        <is>
          <t>RnR</t>
        </is>
      </c>
      <c r="BP47" s="222" t="inlineStr">
        <is>
          <t>RnR</t>
        </is>
      </c>
      <c r="BQ47" s="222" t="inlineStr">
        <is>
          <t>RnR</t>
        </is>
      </c>
      <c r="BR47" s="222" t="inlineStr">
        <is>
          <t>RnR</t>
        </is>
      </c>
      <c r="BS47" s="222" t="inlineStr">
        <is>
          <t>RnR</t>
        </is>
      </c>
      <c r="BT47" s="211" t="inlineStr">
        <is>
          <t>PER/PHE PM
LND</t>
        </is>
      </c>
      <c r="BU47" s="211" t="inlineStr">
        <is>
          <t>RDM</t>
        </is>
      </c>
      <c r="BV47" s="211" t="inlineStr">
        <is>
          <t>RDM</t>
        </is>
      </c>
      <c r="BW47" s="211" t="inlineStr">
        <is>
          <t>RDM</t>
        </is>
      </c>
      <c r="BX47" s="211" t="inlineStr">
        <is>
          <t>RDM</t>
        </is>
      </c>
      <c r="BY47" s="211" t="inlineStr">
        <is>
          <t>RDM</t>
        </is>
      </c>
      <c r="BZ47" s="211" t="inlineStr">
        <is>
          <t>RDM</t>
        </is>
      </c>
      <c r="CA47" s="211" t="inlineStr">
        <is>
          <t>RDM</t>
        </is>
      </c>
      <c r="CB47" s="215" t="inlineStr">
        <is>
          <t>RDM</t>
        </is>
      </c>
      <c r="CC47" s="215" t="inlineStr">
        <is>
          <t>RDM</t>
        </is>
      </c>
      <c r="CD47" s="215" t="inlineStr">
        <is>
          <t>RDM</t>
        </is>
      </c>
      <c r="CE47" s="215" t="inlineStr">
        <is>
          <t>RDM</t>
        </is>
      </c>
      <c r="CF47" s="215" t="inlineStr">
        <is>
          <t>RDM</t>
        </is>
      </c>
      <c r="CG47" s="215" t="inlineStr">
        <is>
          <t>RDM</t>
        </is>
      </c>
      <c r="CH47" s="211" t="inlineStr">
        <is>
          <t>PHE/PER PM</t>
        </is>
      </c>
      <c r="CI47" s="217" t="inlineStr">
        <is>
          <t>DEMOB</t>
        </is>
      </c>
      <c r="CJ47" s="210" t="inlineStr">
        <is>
          <t>N/A</t>
        </is>
      </c>
      <c r="CK47" s="210" t="inlineStr">
        <is>
          <t>N/A</t>
        </is>
      </c>
      <c r="CL47" s="210" t="inlineStr">
        <is>
          <t>N/A</t>
        </is>
      </c>
      <c r="CM47" s="210" t="inlineStr">
        <is>
          <t>N/A</t>
        </is>
      </c>
      <c r="CN47" s="210" t="inlineStr">
        <is>
          <t>N/A</t>
        </is>
      </c>
      <c r="CO47" s="210" t="inlineStr">
        <is>
          <t>N/A</t>
        </is>
      </c>
      <c r="CP47" s="210" t="inlineStr">
        <is>
          <t>N/A</t>
        </is>
      </c>
      <c r="CQ47" s="210" t="inlineStr">
        <is>
          <t>N/A</t>
        </is>
      </c>
      <c r="CR47" s="210" t="inlineStr">
        <is>
          <t>N/A</t>
        </is>
      </c>
      <c r="CS47" s="210" t="inlineStr">
        <is>
          <t>N/A</t>
        </is>
      </c>
      <c r="CT47" s="210" t="inlineStr">
        <is>
          <t>N/A</t>
        </is>
      </c>
      <c r="CU47" s="210" t="inlineStr">
        <is>
          <t>N/A</t>
        </is>
      </c>
      <c r="CV47" s="210" t="inlineStr">
        <is>
          <t>N/A</t>
        </is>
      </c>
      <c r="CW47" s="210" t="inlineStr">
        <is>
          <t>N/A</t>
        </is>
      </c>
      <c r="CX47" s="210" t="inlineStr">
        <is>
          <t>N/A</t>
        </is>
      </c>
      <c r="CY47" s="210" t="inlineStr">
        <is>
          <t>N/A</t>
        </is>
      </c>
      <c r="CZ47" s="210" t="inlineStr">
        <is>
          <t>N/A</t>
        </is>
      </c>
      <c r="DA47" s="210" t="inlineStr">
        <is>
          <t>N/A</t>
        </is>
      </c>
      <c r="DB47" s="210" t="inlineStr">
        <is>
          <t>N/A</t>
        </is>
      </c>
      <c r="DC47" s="210" t="inlineStr">
        <is>
          <t>N/A</t>
        </is>
      </c>
      <c r="DD47" s="210" t="inlineStr">
        <is>
          <t>N/A</t>
        </is>
      </c>
      <c r="DE47" s="210" t="inlineStr">
        <is>
          <t>N/A</t>
        </is>
      </c>
      <c r="DF47" s="210" t="inlineStr">
        <is>
          <t>N/A</t>
        </is>
      </c>
      <c r="DG47" s="210" t="inlineStr">
        <is>
          <t>N/A</t>
        </is>
      </c>
      <c r="DH47" s="210" t="inlineStr">
        <is>
          <t>N/A</t>
        </is>
      </c>
      <c r="DI47" s="210" t="inlineStr">
        <is>
          <t>N/A</t>
        </is>
      </c>
      <c r="DJ47" s="210" t="inlineStr">
        <is>
          <t>N/A</t>
        </is>
      </c>
      <c r="DK47" s="210" t="inlineStr">
        <is>
          <t>N/A</t>
        </is>
      </c>
      <c r="DL47" s="210" t="inlineStr">
        <is>
          <t>N/A</t>
        </is>
      </c>
      <c r="DM47" s="210" t="inlineStr">
        <is>
          <t>N/A</t>
        </is>
      </c>
      <c r="DN47" s="210" t="inlineStr">
        <is>
          <t>N/A</t>
        </is>
      </c>
      <c r="DO47" s="210" t="inlineStr">
        <is>
          <t>N/A</t>
        </is>
      </c>
      <c r="DP47" s="210" t="inlineStr">
        <is>
          <t>N/A</t>
        </is>
      </c>
      <c r="DQ47" s="210" t="inlineStr">
        <is>
          <t>N/A</t>
        </is>
      </c>
      <c r="DR47" s="212" t="n"/>
      <c r="DS47" s="212" t="n"/>
      <c r="DT47" s="212" t="n"/>
      <c r="DU47" s="212" t="n"/>
      <c r="DV47" s="212" t="n"/>
      <c r="DW47" s="212" t="n"/>
      <c r="DX47" s="212" t="n"/>
      <c r="DY47" s="212" t="n"/>
      <c r="DZ47" s="212" t="n"/>
      <c r="EA47" s="212" t="n"/>
      <c r="EB47" s="212" t="n"/>
      <c r="EC47" s="212" t="n"/>
      <c r="ED47" s="212" t="n"/>
      <c r="EE47" s="212" t="n"/>
      <c r="EF47" s="212" t="n"/>
      <c r="EG47" s="212" t="n"/>
      <c r="EH47" s="212" t="n"/>
      <c r="EI47" s="212" t="n"/>
      <c r="EJ47" s="212" t="n"/>
      <c r="EK47" s="212" t="n"/>
      <c r="EL47" s="212" t="n"/>
      <c r="EM47" s="212" t="n"/>
      <c r="EN47" s="212" t="n"/>
      <c r="EO47" s="212" t="n"/>
      <c r="EP47" s="212" t="n"/>
      <c r="EQ47" s="212" t="n"/>
      <c r="ER47" s="212" t="n"/>
      <c r="ES47" s="212" t="n"/>
      <c r="ET47" s="212" t="n"/>
      <c r="EU47" s="212" t="n"/>
      <c r="EV47" s="212" t="n"/>
      <c r="EW47" s="212" t="n"/>
      <c r="EX47" s="212" t="n"/>
      <c r="EY47" s="212" t="n"/>
      <c r="EZ47" s="212" t="n"/>
      <c r="FA47" s="212" t="n"/>
      <c r="FB47" s="212" t="n"/>
      <c r="FC47" s="212" t="n"/>
      <c r="FD47" s="212" t="n"/>
      <c r="FE47" s="212" t="n"/>
      <c r="FF47" s="212" t="n"/>
      <c r="FG47" s="212" t="n"/>
      <c r="FH47" s="212" t="n"/>
      <c r="FI47" s="212" t="n"/>
      <c r="FJ47" s="212" t="n"/>
      <c r="FK47" s="212" t="n"/>
      <c r="FL47" s="212" t="n"/>
      <c r="FM47" s="212" t="n"/>
      <c r="FN47" s="212" t="n"/>
      <c r="FO47" s="212" t="n"/>
      <c r="FP47" s="212" t="n"/>
      <c r="FQ47" s="212" t="n"/>
      <c r="FR47" s="212" t="n"/>
      <c r="FS47" s="212" t="n"/>
      <c r="FT47" s="212" t="n"/>
      <c r="FU47" s="212" t="n"/>
      <c r="FV47" s="212" t="n"/>
      <c r="FW47" s="212" t="n"/>
      <c r="FX47" s="212" t="n"/>
      <c r="FY47" s="212" t="n"/>
      <c r="FZ47" s="212" t="n"/>
      <c r="GA47" s="212" t="n"/>
      <c r="GB47" s="212" t="n"/>
      <c r="GC47" s="212" t="n"/>
      <c r="GD47" s="212" t="n"/>
      <c r="GE47" s="212" t="n"/>
      <c r="GF47" s="212" t="n"/>
      <c r="GG47" s="212" t="n"/>
      <c r="GH47" s="212" t="n"/>
      <c r="GI47" s="212" t="n"/>
      <c r="GJ47" s="212" t="n"/>
      <c r="GK47" s="212" t="n"/>
      <c r="GL47" s="212" t="n"/>
      <c r="GM47" s="212" t="n"/>
      <c r="GN47" s="212" t="n"/>
      <c r="GO47" s="212" t="n"/>
      <c r="GP47" s="212" t="n"/>
      <c r="GQ47" s="212" t="n"/>
      <c r="GR47" s="212" t="n"/>
      <c r="GS47" s="212" t="n"/>
      <c r="GT47" s="212" t="n"/>
      <c r="GU47" s="212" t="n"/>
      <c r="GV47" s="212" t="n"/>
      <c r="GW47" s="212" t="n"/>
      <c r="GX47" s="212" t="n"/>
      <c r="GY47" s="212" t="n"/>
      <c r="GZ47" s="212" t="n"/>
      <c r="HA47" s="212" t="n"/>
      <c r="HB47" s="212" t="n"/>
      <c r="HC47" s="212" t="n"/>
      <c r="HD47" s="212" t="n"/>
      <c r="HE47" s="212" t="n"/>
      <c r="HF47" s="212" t="n"/>
      <c r="HG47" s="212" t="n"/>
      <c r="HH47" s="212" t="n"/>
      <c r="HI47" s="212" t="n"/>
      <c r="HJ47" s="212" t="n"/>
      <c r="HK47" s="212" t="n"/>
      <c r="HL47" s="212" t="n"/>
      <c r="HM47" s="212" t="n"/>
      <c r="HN47" s="212" t="n"/>
      <c r="HO47" s="212" t="n"/>
      <c r="HP47" s="212" t="n"/>
      <c r="HQ47" s="212" t="n"/>
      <c r="HR47" s="212" t="n"/>
      <c r="HS47" s="212" t="n"/>
      <c r="HT47" s="212" t="n"/>
      <c r="HU47" s="212" t="n"/>
      <c r="HV47" s="212" t="n"/>
      <c r="HW47" s="212" t="n"/>
      <c r="HX47" s="212" t="n"/>
      <c r="HY47" s="212" t="n"/>
      <c r="HZ47" s="212" t="n"/>
      <c r="IA47" s="212" t="n"/>
      <c r="IB47" s="212" t="n"/>
      <c r="IC47" s="212" t="n"/>
      <c r="ID47" s="212" t="n"/>
      <c r="IE47" s="212" t="n"/>
      <c r="IF47" s="212" t="n"/>
      <c r="IG47" s="212" t="n"/>
      <c r="IH47" s="212" t="n"/>
      <c r="II47" s="212" t="n"/>
      <c r="IJ47" s="212" t="n"/>
      <c r="IK47" s="212" t="n"/>
      <c r="IL47" s="212" t="n"/>
      <c r="IM47" s="212" t="n"/>
      <c r="IN47" s="212" t="n"/>
      <c r="IO47" s="212" t="n"/>
      <c r="IP47" s="212" t="n"/>
      <c r="IQ47" s="212" t="n"/>
      <c r="IR47" s="212" t="n"/>
      <c r="IS47" s="212" t="n"/>
      <c r="IT47" s="212" t="n"/>
      <c r="IU47" s="212" t="n"/>
      <c r="IV47" s="212" t="n"/>
      <c r="IW47" s="212" t="n"/>
      <c r="IX47" s="212" t="n"/>
      <c r="IY47" s="212" t="n"/>
      <c r="IZ47" s="212" t="n"/>
      <c r="JA47" s="212" t="n"/>
      <c r="JB47" s="212" t="n"/>
      <c r="JC47" s="212" t="n"/>
      <c r="JD47" s="212" t="n"/>
      <c r="JE47" s="212" t="n"/>
      <c r="JF47" s="212" t="n"/>
      <c r="JG47" s="212" t="n"/>
      <c r="JH47" s="212" t="n"/>
      <c r="JI47" s="212" t="n"/>
      <c r="JJ47" s="212" t="n"/>
      <c r="JK47" s="212" t="n"/>
      <c r="JL47" s="212" t="n"/>
      <c r="JM47" s="212" t="n"/>
      <c r="JN47" s="212" t="n"/>
      <c r="JO47" s="212" t="n"/>
      <c r="JP47" s="212" t="n"/>
      <c r="JQ47" s="212" t="n"/>
      <c r="JR47" s="212" t="n"/>
      <c r="JS47" s="212" t="n"/>
      <c r="JT47" s="212" t="n"/>
      <c r="JU47" s="212" t="n"/>
      <c r="JV47" s="212" t="n"/>
      <c r="JW47" s="212" t="n"/>
      <c r="JX47" s="212" t="n"/>
      <c r="JY47" s="212" t="n"/>
      <c r="JZ47" s="212" t="n"/>
      <c r="KA47" s="212" t="n"/>
      <c r="KB47" s="212" t="n"/>
      <c r="KC47" s="212" t="n"/>
      <c r="KD47" s="212" t="n"/>
      <c r="KE47" s="212" t="n"/>
      <c r="KF47" s="212" t="n"/>
      <c r="KG47" s="212" t="n"/>
      <c r="KH47" s="212" t="n"/>
      <c r="KI47" s="212" t="n"/>
      <c r="KJ47" s="212" t="n"/>
      <c r="KK47" s="212" t="n"/>
      <c r="KL47" s="212" t="n"/>
      <c r="KM47" s="212" t="n"/>
      <c r="KN47" s="212" t="n"/>
      <c r="KO47" s="212" t="n"/>
      <c r="KP47" s="212" t="n"/>
      <c r="KQ47" s="212" t="n"/>
      <c r="KR47" s="212" t="n"/>
      <c r="KS47" s="212" t="n"/>
      <c r="KT47" s="212" t="n"/>
      <c r="KU47" s="212" t="n"/>
      <c r="KV47" s="212" t="n"/>
      <c r="KW47" s="212" t="n"/>
      <c r="KX47" s="212" t="n"/>
      <c r="KY47" s="212" t="n"/>
      <c r="KZ47" s="212" t="n"/>
      <c r="LA47" s="212" t="n"/>
      <c r="LB47" s="212" t="n"/>
      <c r="LC47" s="212" t="n"/>
      <c r="LD47" s="212" t="n"/>
      <c r="LE47" s="212" t="n"/>
      <c r="LF47" s="212" t="n"/>
      <c r="LG47" s="212" t="n"/>
      <c r="LH47" s="212" t="n"/>
      <c r="LI47" s="212" t="n"/>
      <c r="LJ47" s="212" t="n"/>
      <c r="LK47" s="212" t="n"/>
      <c r="LL47" s="212" t="n"/>
      <c r="LM47" s="212" t="n"/>
      <c r="LN47" s="212" t="n"/>
      <c r="LO47" s="212" t="n"/>
      <c r="LP47" s="212" t="n"/>
      <c r="LQ47" s="212" t="n"/>
      <c r="LR47" s="212" t="n"/>
      <c r="LS47" s="212" t="n"/>
      <c r="LT47" s="212" t="n"/>
      <c r="LU47" s="212" t="n"/>
      <c r="LV47" s="212" t="n"/>
      <c r="LW47" s="212" t="n"/>
      <c r="LX47" s="212" t="n"/>
      <c r="LY47" s="212" t="n"/>
      <c r="LZ47" s="212" t="n"/>
      <c r="MA47" s="212" t="n"/>
      <c r="MB47" s="212" t="n"/>
      <c r="MC47" s="212" t="n"/>
      <c r="MD47" s="212" t="n"/>
      <c r="ME47" s="212" t="n"/>
      <c r="MF47" s="212" t="n"/>
      <c r="MG47" s="212" t="n"/>
      <c r="MH47" s="212" t="n"/>
      <c r="MI47" s="212" t="n"/>
      <c r="MJ47" s="212" t="n"/>
      <c r="MK47" s="212" t="n"/>
      <c r="ML47" s="212" t="n"/>
      <c r="MM47" s="212" t="n"/>
      <c r="MN47" s="212" t="n"/>
      <c r="MO47" s="212" t="n"/>
      <c r="MP47" s="212" t="n"/>
      <c r="MQ47" s="212" t="n"/>
      <c r="MR47" s="212" t="n"/>
      <c r="MS47" s="212" t="n"/>
      <c r="MT47" s="212" t="n"/>
      <c r="MU47" s="212" t="n"/>
      <c r="MV47" s="212" t="n"/>
      <c r="MW47" s="212" t="n"/>
      <c r="MX47" s="212" t="n"/>
      <c r="MY47" s="212" t="n"/>
      <c r="MZ47" s="212" t="n"/>
      <c r="NA47" s="212" t="n"/>
      <c r="NB47" s="212" t="n"/>
      <c r="NC47" s="212" t="n"/>
      <c r="ND47" s="212" t="n"/>
      <c r="NE47" s="212" t="n"/>
      <c r="NF47" s="212" t="n"/>
      <c r="NG47" s="212" t="n"/>
      <c r="NH47" s="212" t="n"/>
      <c r="NI47" s="212" t="n"/>
      <c r="NJ47" s="212" t="n"/>
      <c r="NK47" s="212" t="n"/>
      <c r="NL47" s="212" t="n"/>
      <c r="NM47" s="212" t="n"/>
      <c r="NN47" s="212" t="n"/>
      <c r="NO47" s="212" t="n"/>
      <c r="NP47" s="212" t="n"/>
      <c r="NQ47" s="212" t="n"/>
      <c r="NR47" s="212" t="n"/>
      <c r="NS47" s="212" t="n"/>
      <c r="NT47" s="212" t="n"/>
      <c r="NU47" s="212" t="n"/>
      <c r="NV47" s="212" t="n"/>
      <c r="NW47" s="212" t="n"/>
      <c r="NX47" s="212" t="n"/>
      <c r="NY47" s="212" t="n"/>
      <c r="NZ47" s="212" t="n"/>
      <c r="OA47" s="212" t="n"/>
      <c r="OB47" s="212" t="n"/>
      <c r="OC47" s="212" t="n"/>
      <c r="OD47" s="212" t="n"/>
      <c r="OE47" s="212" t="n"/>
      <c r="OF47" s="212" t="n"/>
      <c r="OG47" s="212" t="n"/>
      <c r="OH47" s="212" t="n"/>
      <c r="OI47" s="212" t="n"/>
      <c r="OJ47" s="212" t="n"/>
      <c r="OK47" s="212" t="n"/>
      <c r="OL47" s="212" t="n"/>
      <c r="OM47" s="212" t="n"/>
      <c r="ON47" s="212" t="n"/>
      <c r="OO47" s="212" t="n"/>
      <c r="OP47" s="212" t="n"/>
      <c r="OQ47" s="212" t="n"/>
      <c r="OR47" s="212" t="n"/>
      <c r="OS47" s="212" t="n"/>
      <c r="OT47" s="212" t="n"/>
      <c r="OU47" s="212" t="n"/>
      <c r="OV47" s="212" t="n"/>
      <c r="OW47" s="212" t="n"/>
      <c r="OX47" s="212" t="n"/>
      <c r="OY47" s="212" t="n"/>
      <c r="OZ47" s="212" t="n"/>
      <c r="PA47" s="212" t="n"/>
      <c r="PB47" s="212" t="n"/>
      <c r="PC47" s="212" t="n"/>
      <c r="PD47" s="212" t="n"/>
      <c r="PE47" s="212" t="n"/>
      <c r="PF47" s="212" t="n"/>
      <c r="PG47" s="212" t="n"/>
      <c r="PH47" s="212" t="n"/>
      <c r="PI47" s="212" t="n"/>
      <c r="PJ47" s="212" t="n"/>
      <c r="PK47" s="212" t="n"/>
      <c r="PL47" s="212" t="n"/>
      <c r="PM47" s="212" t="n"/>
      <c r="PN47" s="212" t="n"/>
      <c r="PO47" s="212" t="n"/>
      <c r="PP47" s="212" t="n"/>
      <c r="PQ47" s="212" t="n"/>
      <c r="PR47" s="212" t="n"/>
      <c r="PS47" s="212" t="n"/>
      <c r="PT47" s="212" t="n"/>
      <c r="PU47" s="212" t="n"/>
      <c r="PV47" s="212" t="n"/>
      <c r="PW47" s="212" t="n"/>
      <c r="PX47" s="212" t="n"/>
      <c r="PY47" s="212" t="n"/>
      <c r="PZ47" s="212" t="n"/>
      <c r="QA47" s="212" t="n"/>
      <c r="QB47" s="212" t="n"/>
      <c r="QC47" s="212" t="n"/>
      <c r="QD47" s="212" t="n"/>
      <c r="QE47" s="212" t="n"/>
      <c r="QF47" s="212" t="n"/>
      <c r="QG47" s="212" t="n"/>
      <c r="QH47" s="212" t="n"/>
      <c r="QI47" s="212" t="n"/>
      <c r="QJ47" s="212" t="n"/>
      <c r="QK47" s="212" t="n"/>
      <c r="QL47" s="212" t="n"/>
      <c r="QM47" s="212" t="n"/>
      <c r="QN47" s="212" t="n"/>
      <c r="QO47" s="212" t="n"/>
      <c r="QP47" s="212" t="n"/>
      <c r="QQ47" s="212" t="n"/>
      <c r="QR47" s="212" t="n"/>
      <c r="QS47" s="212" t="n"/>
      <c r="QT47" s="212" t="n"/>
      <c r="QU47" s="212" t="n"/>
      <c r="QV47" s="212" t="n"/>
      <c r="QW47" s="212" t="n"/>
      <c r="QX47" s="212" t="n"/>
      <c r="QY47" s="212" t="n"/>
      <c r="QZ47" s="212" t="n"/>
      <c r="RA47" s="212" t="n"/>
      <c r="RB47" s="212" t="n"/>
      <c r="RC47" s="212" t="n"/>
      <c r="RD47" s="212" t="n"/>
      <c r="RE47" s="212" t="n"/>
      <c r="RF47" s="212" t="n"/>
      <c r="RG47" s="212" t="n"/>
      <c r="RH47" s="212" t="n"/>
      <c r="RI47" s="212" t="n"/>
      <c r="RJ47" s="212" t="n"/>
      <c r="RK47" s="212" t="n"/>
      <c r="RL47" s="212" t="n"/>
      <c r="RM47" s="212" t="n"/>
      <c r="RN47" s="212" t="n"/>
      <c r="RO47" s="212" t="n"/>
      <c r="RP47" s="212" t="n"/>
      <c r="RQ47" s="212" t="n"/>
      <c r="RR47" s="212" t="n"/>
      <c r="RS47" s="212" t="n"/>
      <c r="RT47" s="212" t="n"/>
      <c r="RU47" s="212" t="n"/>
      <c r="RV47" s="212" t="n"/>
      <c r="RW47" s="212" t="n"/>
      <c r="RX47" s="212" t="n"/>
      <c r="RY47" s="212" t="n"/>
      <c r="RZ47" s="212" t="n"/>
      <c r="SA47" s="212" t="n"/>
      <c r="SB47" s="212" t="n"/>
      <c r="SC47" s="212" t="n"/>
      <c r="SD47" s="212" t="n"/>
      <c r="SE47" s="212" t="n"/>
      <c r="SF47" s="212" t="n"/>
      <c r="SG47" s="212" t="n"/>
      <c r="SH47" s="212" t="n"/>
      <c r="SI47" s="212" t="n"/>
      <c r="SJ47" s="212" t="n"/>
      <c r="SK47" s="212" t="n"/>
      <c r="SL47" s="212" t="n"/>
      <c r="SM47" s="212" t="n"/>
      <c r="SN47" s="212" t="n"/>
      <c r="SO47" s="212" t="n"/>
      <c r="SP47" s="212" t="n"/>
      <c r="SQ47" s="212" t="n"/>
      <c r="SR47" s="212" t="n"/>
      <c r="SS47" s="212" t="n"/>
      <c r="ST47" s="212" t="n"/>
      <c r="SU47" s="212" t="n"/>
      <c r="SV47" s="212" t="n"/>
    </row>
    <row r="48">
      <c r="B48" s="209" t="n"/>
      <c r="C48" s="209" t="n"/>
      <c r="D48" s="209" t="n"/>
      <c r="E48" s="209" t="n"/>
      <c r="F48" s="209">
        <f>IF(TRIM(D48&amp;E48)="","",TRIM(D48)&amp;" "&amp;TRIM(E48))</f>
        <v/>
      </c>
      <c r="G48" s="209" t="n"/>
      <c r="H48" s="209" t="n"/>
      <c r="I48" s="209" t="n"/>
      <c r="J48" s="209" t="n"/>
      <c r="K48" s="209" t="n"/>
      <c r="L48" s="209" t="n"/>
      <c r="M48" s="209" t="n"/>
      <c r="N48" s="209" t="n"/>
      <c r="O48" s="209" t="n"/>
      <c r="P48" s="209" t="n"/>
      <c r="Q48" s="209" t="n"/>
      <c r="R48" s="209" t="n"/>
      <c r="S48" s="212" t="n"/>
      <c r="T48" s="212" t="n"/>
      <c r="U48" s="212" t="n"/>
      <c r="V48" s="212" t="n"/>
      <c r="W48" s="212" t="n"/>
      <c r="X48" s="212" t="n"/>
      <c r="Y48" s="212" t="n"/>
      <c r="Z48" s="212" t="n"/>
      <c r="AA48" s="212" t="n"/>
      <c r="AB48" s="212" t="n"/>
      <c r="AC48" s="212" t="n"/>
      <c r="AD48" s="212" t="n"/>
      <c r="AE48" s="212" t="n"/>
      <c r="AF48" s="212" t="n"/>
      <c r="AG48" s="212" t="n"/>
      <c r="AH48" s="212" t="n"/>
      <c r="AI48" s="212" t="n"/>
      <c r="AJ48" s="212" t="n"/>
      <c r="AK48" s="212" t="n"/>
      <c r="AL48" s="212" t="n"/>
      <c r="AM48" s="212" t="n"/>
      <c r="AN48" s="212" t="n"/>
      <c r="AO48" s="212" t="n"/>
      <c r="AP48" s="212" t="n"/>
      <c r="AQ48" s="212" t="n"/>
      <c r="AR48" s="212" t="n"/>
      <c r="AS48" s="212" t="n"/>
      <c r="AT48" s="212" t="n"/>
      <c r="AU48" s="212" t="n"/>
      <c r="AV48" s="212" t="n"/>
      <c r="AW48" s="212" t="n"/>
      <c r="AX48" s="212" t="n"/>
      <c r="AY48" s="212" t="n"/>
      <c r="AZ48" s="212" t="n"/>
      <c r="BA48" s="212" t="n"/>
      <c r="BB48" s="212" t="n"/>
      <c r="BC48" s="212" t="n"/>
      <c r="BD48" s="212" t="n"/>
      <c r="BE48" s="212" t="n"/>
      <c r="BF48" s="212" t="n"/>
      <c r="BG48" s="212" t="n"/>
      <c r="BH48" s="212" t="n"/>
      <c r="BI48" s="212" t="n"/>
      <c r="BJ48" s="212" t="n"/>
      <c r="BK48" s="212" t="n"/>
      <c r="BL48" s="212" t="n"/>
      <c r="BM48" s="212" t="n"/>
      <c r="BN48" s="212" t="n"/>
      <c r="BO48" s="212" t="n"/>
      <c r="BP48" s="212" t="n"/>
      <c r="BQ48" s="212" t="n"/>
      <c r="BR48" s="212" t="n"/>
      <c r="BS48" s="212" t="n"/>
      <c r="BT48" s="212" t="n"/>
      <c r="BU48" s="212" t="n"/>
      <c r="BV48" s="212" t="n"/>
      <c r="BW48" s="212" t="n"/>
      <c r="BX48" s="212" t="n"/>
      <c r="BY48" s="212" t="n"/>
      <c r="BZ48" s="212" t="n"/>
      <c r="CA48" s="212" t="n"/>
      <c r="CB48" s="212" t="n"/>
      <c r="CC48" s="212" t="n"/>
      <c r="CD48" s="212" t="n"/>
      <c r="CE48" s="212" t="n"/>
      <c r="CF48" s="212" t="n"/>
      <c r="CG48" s="212" t="n"/>
      <c r="CH48" s="212" t="n"/>
      <c r="CI48" s="212" t="n"/>
      <c r="CJ48" s="212" t="n"/>
      <c r="CK48" s="212" t="n"/>
      <c r="CL48" s="212" t="n"/>
      <c r="CM48" s="212" t="n"/>
      <c r="CN48" s="212" t="n"/>
      <c r="CO48" s="212" t="n"/>
      <c r="CP48" s="212" t="n"/>
      <c r="CQ48" s="212" t="n"/>
      <c r="CR48" s="212" t="n"/>
      <c r="CS48" s="212" t="n"/>
      <c r="CT48" s="212" t="n"/>
      <c r="CU48" s="212" t="n"/>
      <c r="CV48" s="212" t="n"/>
      <c r="CW48" s="212" t="n"/>
      <c r="CX48" s="212" t="n"/>
      <c r="CY48" s="212" t="n"/>
      <c r="CZ48" s="212" t="n"/>
      <c r="DA48" s="212" t="n"/>
      <c r="DB48" s="212" t="n"/>
      <c r="DC48" s="212" t="n"/>
      <c r="DD48" s="212" t="n"/>
      <c r="DE48" s="212" t="n"/>
      <c r="DF48" s="212" t="n"/>
      <c r="DG48" s="212" t="n"/>
      <c r="DH48" s="212" t="n"/>
      <c r="DI48" s="212" t="n"/>
      <c r="DJ48" s="212" t="n"/>
      <c r="DK48" s="212" t="n"/>
      <c r="DL48" s="212" t="n"/>
      <c r="DM48" s="212" t="n"/>
      <c r="DN48" s="212" t="n"/>
      <c r="DO48" s="212" t="n"/>
      <c r="DP48" s="212" t="n"/>
      <c r="DQ48" s="212" t="n"/>
      <c r="DR48" s="212" t="n"/>
      <c r="DS48" s="212" t="n"/>
      <c r="DT48" s="212" t="n"/>
      <c r="DU48" s="212" t="n"/>
      <c r="DV48" s="212" t="n"/>
      <c r="DW48" s="212" t="n"/>
      <c r="DX48" s="212" t="n"/>
      <c r="DY48" s="212" t="n"/>
      <c r="DZ48" s="212" t="n"/>
      <c r="EA48" s="212" t="n"/>
      <c r="EB48" s="212" t="n"/>
      <c r="EC48" s="212" t="n"/>
      <c r="ED48" s="212" t="n"/>
      <c r="EE48" s="212" t="n"/>
      <c r="EF48" s="212" t="n"/>
      <c r="EG48" s="212" t="n"/>
      <c r="EH48" s="212" t="n"/>
      <c r="EI48" s="212" t="n"/>
      <c r="EJ48" s="212" t="n"/>
      <c r="EK48" s="212" t="n"/>
      <c r="EL48" s="212" t="n"/>
      <c r="EM48" s="212" t="n"/>
      <c r="EN48" s="212" t="n"/>
      <c r="EO48" s="212" t="n"/>
      <c r="EP48" s="212" t="n"/>
      <c r="EQ48" s="212" t="n"/>
      <c r="ER48" s="212" t="n"/>
      <c r="ES48" s="212" t="n"/>
      <c r="ET48" s="212" t="n"/>
      <c r="EU48" s="212" t="n"/>
      <c r="EV48" s="212" t="n"/>
      <c r="EW48" s="212" t="n"/>
      <c r="EX48" s="212" t="n"/>
      <c r="EY48" s="212" t="n"/>
      <c r="EZ48" s="212" t="n"/>
      <c r="FA48" s="212" t="n"/>
      <c r="FB48" s="212" t="n"/>
      <c r="FC48" s="212" t="n"/>
      <c r="FD48" s="212" t="n"/>
      <c r="FE48" s="212" t="n"/>
      <c r="FF48" s="212" t="n"/>
      <c r="FG48" s="212" t="n"/>
      <c r="FH48" s="212" t="n"/>
      <c r="FI48" s="212" t="n"/>
      <c r="FJ48" s="212" t="n"/>
      <c r="FK48" s="212" t="n"/>
      <c r="FL48" s="212" t="n"/>
      <c r="FM48" s="212" t="n"/>
      <c r="FN48" s="212" t="n"/>
      <c r="FO48" s="212" t="n"/>
      <c r="FP48" s="212" t="n"/>
      <c r="FQ48" s="212" t="n"/>
      <c r="FR48" s="212" t="n"/>
      <c r="FS48" s="212" t="n"/>
      <c r="FT48" s="212" t="n"/>
      <c r="FU48" s="212" t="n"/>
      <c r="FV48" s="212" t="n"/>
      <c r="FW48" s="212" t="n"/>
      <c r="FX48" s="212" t="n"/>
      <c r="FY48" s="212" t="n"/>
      <c r="FZ48" s="212" t="n"/>
      <c r="GA48" s="212" t="n"/>
      <c r="GB48" s="212" t="n"/>
      <c r="GC48" s="212" t="n"/>
      <c r="GD48" s="212" t="n"/>
      <c r="GE48" s="212" t="n"/>
      <c r="GF48" s="212" t="n"/>
      <c r="GG48" s="212" t="n"/>
      <c r="GH48" s="212" t="n"/>
      <c r="GI48" s="212" t="n"/>
      <c r="GJ48" s="212" t="n"/>
      <c r="GK48" s="212" t="n"/>
      <c r="GL48" s="212" t="n"/>
      <c r="GM48" s="212" t="n"/>
      <c r="GN48" s="212" t="n"/>
      <c r="GO48" s="212" t="n"/>
      <c r="GP48" s="212" t="n"/>
      <c r="GQ48" s="212" t="n"/>
      <c r="GR48" s="212" t="n"/>
      <c r="GS48" s="212" t="n"/>
      <c r="GT48" s="212" t="n"/>
      <c r="GU48" s="212" t="n"/>
      <c r="GV48" s="212" t="n"/>
      <c r="GW48" s="212" t="n"/>
      <c r="GX48" s="212" t="n"/>
      <c r="GY48" s="212" t="n"/>
      <c r="GZ48" s="212" t="n"/>
      <c r="HA48" s="212" t="n"/>
      <c r="HB48" s="212" t="n"/>
      <c r="HC48" s="212" t="n"/>
      <c r="HD48" s="212" t="n"/>
      <c r="HE48" s="212" t="n"/>
      <c r="HF48" s="212" t="n"/>
      <c r="HG48" s="212" t="n"/>
      <c r="HH48" s="212" t="n"/>
      <c r="HI48" s="212" t="n"/>
      <c r="HJ48" s="212" t="n"/>
      <c r="HK48" s="212" t="n"/>
      <c r="HL48" s="212" t="n"/>
      <c r="HM48" s="212" t="n"/>
      <c r="HN48" s="212" t="n"/>
      <c r="HO48" s="212" t="n"/>
      <c r="HP48" s="212" t="n"/>
      <c r="HQ48" s="212" t="n"/>
      <c r="HR48" s="212" t="n"/>
      <c r="HS48" s="212" t="n"/>
      <c r="HT48" s="212" t="n"/>
      <c r="HU48" s="212" t="n"/>
      <c r="HV48" s="212" t="n"/>
      <c r="HW48" s="212" t="n"/>
      <c r="HX48" s="212" t="n"/>
      <c r="HY48" s="212" t="n"/>
      <c r="HZ48" s="212" t="n"/>
      <c r="IA48" s="212" t="n"/>
      <c r="IB48" s="212" t="n"/>
      <c r="IC48" s="212" t="n"/>
      <c r="ID48" s="212" t="n"/>
      <c r="IE48" s="212" t="n"/>
      <c r="IF48" s="212" t="n"/>
      <c r="IG48" s="212" t="n"/>
      <c r="IH48" s="212" t="n"/>
      <c r="II48" s="212" t="n"/>
      <c r="IJ48" s="212" t="n"/>
      <c r="IK48" s="212" t="n"/>
      <c r="IL48" s="212" t="n"/>
      <c r="IM48" s="212" t="n"/>
      <c r="IN48" s="212" t="n"/>
      <c r="IO48" s="212" t="n"/>
      <c r="IP48" s="212" t="n"/>
      <c r="IQ48" s="212" t="n"/>
      <c r="IR48" s="212" t="n"/>
      <c r="IS48" s="212" t="n"/>
      <c r="IT48" s="212" t="n"/>
      <c r="IU48" s="212" t="n"/>
      <c r="IV48" s="212" t="n"/>
      <c r="IW48" s="212" t="n"/>
      <c r="IX48" s="212" t="n"/>
      <c r="IY48" s="212" t="n"/>
      <c r="IZ48" s="212" t="n"/>
      <c r="JA48" s="212" t="n"/>
      <c r="JB48" s="212" t="n"/>
      <c r="JC48" s="212" t="n"/>
      <c r="JD48" s="212" t="n"/>
      <c r="JE48" s="212" t="n"/>
      <c r="JF48" s="212" t="n"/>
      <c r="JG48" s="212" t="n"/>
      <c r="JH48" s="212" t="n"/>
      <c r="JI48" s="212" t="n"/>
      <c r="JJ48" s="212" t="n"/>
      <c r="JK48" s="212" t="n"/>
      <c r="JL48" s="212" t="n"/>
      <c r="JM48" s="212" t="n"/>
      <c r="JN48" s="212" t="n"/>
      <c r="JO48" s="212" t="n"/>
      <c r="JP48" s="212" t="n"/>
      <c r="JQ48" s="212" t="n"/>
      <c r="JR48" s="212" t="n"/>
      <c r="JS48" s="212" t="n"/>
      <c r="JT48" s="212" t="n"/>
      <c r="JU48" s="212" t="n"/>
      <c r="JV48" s="212" t="n"/>
      <c r="JW48" s="212" t="n"/>
      <c r="JX48" s="212" t="n"/>
      <c r="JY48" s="212" t="n"/>
      <c r="JZ48" s="212" t="n"/>
      <c r="KA48" s="212" t="n"/>
      <c r="KB48" s="212" t="n"/>
      <c r="KC48" s="212" t="n"/>
      <c r="KD48" s="212" t="n"/>
      <c r="KE48" s="212" t="n"/>
      <c r="KF48" s="212" t="n"/>
      <c r="KG48" s="212" t="n"/>
      <c r="KH48" s="212" t="n"/>
      <c r="KI48" s="212" t="n"/>
      <c r="KJ48" s="212" t="n"/>
      <c r="KK48" s="212" t="n"/>
      <c r="KL48" s="212" t="n"/>
      <c r="KM48" s="212" t="n"/>
      <c r="KN48" s="212" t="n"/>
      <c r="KO48" s="212" t="n"/>
      <c r="KP48" s="212" t="n"/>
      <c r="KQ48" s="212" t="n"/>
      <c r="KR48" s="212" t="n"/>
      <c r="KS48" s="212" t="n"/>
      <c r="KT48" s="212" t="n"/>
      <c r="KU48" s="212" t="n"/>
      <c r="KV48" s="212" t="n"/>
      <c r="KW48" s="212" t="n"/>
      <c r="KX48" s="212" t="n"/>
      <c r="KY48" s="212" t="n"/>
      <c r="KZ48" s="212" t="n"/>
      <c r="LA48" s="212" t="n"/>
      <c r="LB48" s="212" t="n"/>
      <c r="LC48" s="212" t="n"/>
      <c r="LD48" s="212" t="n"/>
      <c r="LE48" s="212" t="n"/>
      <c r="LF48" s="212" t="n"/>
      <c r="LG48" s="212" t="n"/>
      <c r="LH48" s="212" t="n"/>
      <c r="LI48" s="212" t="n"/>
      <c r="LJ48" s="212" t="n"/>
      <c r="LK48" s="212" t="n"/>
      <c r="LL48" s="212" t="n"/>
      <c r="LM48" s="212" t="n"/>
      <c r="LN48" s="212" t="n"/>
      <c r="LO48" s="212" t="n"/>
      <c r="LP48" s="212" t="n"/>
      <c r="LQ48" s="212" t="n"/>
      <c r="LR48" s="212" t="n"/>
      <c r="LS48" s="212" t="n"/>
      <c r="LT48" s="212" t="n"/>
      <c r="LU48" s="212" t="n"/>
      <c r="LV48" s="212" t="n"/>
      <c r="LW48" s="212" t="n"/>
      <c r="LX48" s="212" t="n"/>
      <c r="LY48" s="212" t="n"/>
      <c r="LZ48" s="212" t="n"/>
      <c r="MA48" s="212" t="n"/>
      <c r="MB48" s="212" t="n"/>
      <c r="MC48" s="212" t="n"/>
      <c r="MD48" s="212" t="n"/>
      <c r="ME48" s="212" t="n"/>
      <c r="MF48" s="212" t="n"/>
      <c r="MG48" s="212" t="n"/>
      <c r="MH48" s="212" t="n"/>
      <c r="MI48" s="212" t="n"/>
      <c r="MJ48" s="212" t="n"/>
      <c r="MK48" s="212" t="n"/>
      <c r="ML48" s="212" t="n"/>
      <c r="MM48" s="212" t="n"/>
      <c r="MN48" s="212" t="n"/>
      <c r="MO48" s="212" t="n"/>
      <c r="MP48" s="212" t="n"/>
      <c r="MQ48" s="212" t="n"/>
      <c r="MR48" s="212" t="n"/>
      <c r="MS48" s="212" t="n"/>
      <c r="MT48" s="212" t="n"/>
      <c r="MU48" s="212" t="n"/>
      <c r="MV48" s="212" t="n"/>
      <c r="MW48" s="212" t="n"/>
      <c r="MX48" s="212" t="n"/>
      <c r="MY48" s="212" t="n"/>
      <c r="MZ48" s="212" t="n"/>
      <c r="NA48" s="212" t="n"/>
      <c r="NB48" s="212" t="n"/>
      <c r="NC48" s="212" t="n"/>
      <c r="ND48" s="212" t="n"/>
      <c r="NE48" s="212" t="n"/>
      <c r="NF48" s="212" t="n"/>
      <c r="NG48" s="212" t="n"/>
      <c r="NH48" s="212" t="n"/>
      <c r="NI48" s="212" t="n"/>
      <c r="NJ48" s="212" t="n"/>
      <c r="NK48" s="212" t="n"/>
      <c r="NL48" s="212" t="n"/>
      <c r="NM48" s="212" t="n"/>
      <c r="NN48" s="212" t="n"/>
      <c r="NO48" s="212" t="n"/>
      <c r="NP48" s="212" t="n"/>
      <c r="NQ48" s="212" t="n"/>
      <c r="NR48" s="212" t="n"/>
      <c r="NS48" s="212" t="n"/>
      <c r="NT48" s="212" t="n"/>
      <c r="NU48" s="212" t="n"/>
      <c r="NV48" s="212" t="n"/>
      <c r="NW48" s="212" t="n"/>
      <c r="NX48" s="212" t="n"/>
      <c r="NY48" s="212" t="n"/>
      <c r="NZ48" s="212" t="n"/>
      <c r="OA48" s="212" t="n"/>
      <c r="OB48" s="212" t="n"/>
      <c r="OC48" s="212" t="n"/>
      <c r="OD48" s="212" t="n"/>
      <c r="OE48" s="212" t="n"/>
      <c r="OF48" s="212" t="n"/>
      <c r="OG48" s="212" t="n"/>
      <c r="OH48" s="212" t="n"/>
      <c r="OI48" s="212" t="n"/>
      <c r="OJ48" s="212" t="n"/>
      <c r="OK48" s="212" t="n"/>
      <c r="OL48" s="212" t="n"/>
      <c r="OM48" s="212" t="n"/>
      <c r="ON48" s="212" t="n"/>
      <c r="OO48" s="212" t="n"/>
      <c r="OP48" s="212" t="n"/>
      <c r="OQ48" s="212" t="n"/>
      <c r="OR48" s="212" t="n"/>
      <c r="OS48" s="212" t="n"/>
      <c r="OT48" s="212" t="n"/>
      <c r="OU48" s="212" t="n"/>
      <c r="OV48" s="212" t="n"/>
      <c r="OW48" s="212" t="n"/>
      <c r="OX48" s="212" t="n"/>
      <c r="OY48" s="212" t="n"/>
      <c r="OZ48" s="212" t="n"/>
      <c r="PA48" s="212" t="n"/>
      <c r="PB48" s="212" t="n"/>
      <c r="PC48" s="212" t="n"/>
      <c r="PD48" s="212" t="n"/>
      <c r="PE48" s="212" t="n"/>
      <c r="PF48" s="212" t="n"/>
      <c r="PG48" s="212" t="n"/>
      <c r="PH48" s="212" t="n"/>
      <c r="PI48" s="212" t="n"/>
      <c r="PJ48" s="212" t="n"/>
      <c r="PK48" s="212" t="n"/>
      <c r="PL48" s="212" t="n"/>
      <c r="PM48" s="212" t="n"/>
      <c r="PN48" s="212" t="n"/>
      <c r="PO48" s="212" t="n"/>
      <c r="PP48" s="212" t="n"/>
      <c r="PQ48" s="212" t="n"/>
      <c r="PR48" s="212" t="n"/>
      <c r="PS48" s="212" t="n"/>
      <c r="PT48" s="212" t="n"/>
      <c r="PU48" s="212" t="n"/>
      <c r="PV48" s="212" t="n"/>
      <c r="PW48" s="212" t="n"/>
      <c r="PX48" s="212" t="n"/>
      <c r="PY48" s="212" t="n"/>
      <c r="PZ48" s="212" t="n"/>
      <c r="QA48" s="212" t="n"/>
      <c r="QB48" s="212" t="n"/>
      <c r="QC48" s="212" t="n"/>
      <c r="QD48" s="212" t="n"/>
      <c r="QE48" s="212" t="n"/>
      <c r="QF48" s="212" t="n"/>
      <c r="QG48" s="212" t="n"/>
      <c r="QH48" s="212" t="n"/>
      <c r="QI48" s="212" t="n"/>
      <c r="QJ48" s="212" t="n"/>
      <c r="QK48" s="212" t="n"/>
      <c r="QL48" s="212" t="n"/>
      <c r="QM48" s="212" t="n"/>
      <c r="QN48" s="212" t="n"/>
      <c r="QO48" s="212" t="n"/>
      <c r="QP48" s="212" t="n"/>
      <c r="QQ48" s="212" t="n"/>
      <c r="QR48" s="212" t="n"/>
      <c r="QS48" s="212" t="n"/>
      <c r="QT48" s="212" t="n"/>
      <c r="QU48" s="212" t="n"/>
      <c r="QV48" s="212" t="n"/>
      <c r="QW48" s="212" t="n"/>
      <c r="QX48" s="212" t="n"/>
      <c r="QY48" s="212" t="n"/>
      <c r="QZ48" s="212" t="n"/>
      <c r="RA48" s="212" t="n"/>
      <c r="RB48" s="212" t="n"/>
      <c r="RC48" s="212" t="n"/>
      <c r="RD48" s="212" t="n"/>
      <c r="RE48" s="212" t="n"/>
      <c r="RF48" s="212" t="n"/>
      <c r="RG48" s="212" t="n"/>
      <c r="RH48" s="212" t="n"/>
      <c r="RI48" s="212" t="n"/>
      <c r="RJ48" s="212" t="n"/>
      <c r="RK48" s="212" t="n"/>
      <c r="RL48" s="212" t="n"/>
      <c r="RM48" s="212" t="n"/>
      <c r="RN48" s="212" t="n"/>
      <c r="RO48" s="212" t="n"/>
      <c r="RP48" s="212" t="n"/>
      <c r="RQ48" s="212" t="n"/>
      <c r="RR48" s="212" t="n"/>
      <c r="RS48" s="212" t="n"/>
      <c r="RT48" s="212" t="n"/>
      <c r="RU48" s="212" t="n"/>
      <c r="RV48" s="212" t="n"/>
      <c r="RW48" s="212" t="n"/>
      <c r="RX48" s="212" t="n"/>
      <c r="RY48" s="212" t="n"/>
      <c r="RZ48" s="212" t="n"/>
      <c r="SA48" s="212" t="n"/>
      <c r="SB48" s="212" t="n"/>
      <c r="SC48" s="212" t="n"/>
      <c r="SD48" s="212" t="n"/>
      <c r="SE48" s="212" t="n"/>
      <c r="SF48" s="212" t="n"/>
      <c r="SG48" s="212" t="n"/>
      <c r="SH48" s="212" t="n"/>
      <c r="SI48" s="212" t="n"/>
      <c r="SJ48" s="212" t="n"/>
      <c r="SK48" s="212" t="n"/>
      <c r="SL48" s="212" t="n"/>
      <c r="SM48" s="212" t="n"/>
      <c r="SN48" s="212" t="n"/>
      <c r="SO48" s="212" t="n"/>
      <c r="SP48" s="212" t="n"/>
      <c r="SQ48" s="212" t="n"/>
      <c r="SR48" s="212" t="n"/>
      <c r="SS48" s="212" t="n"/>
      <c r="ST48" s="212" t="n"/>
      <c r="SU48" s="212" t="n"/>
      <c r="SV48" s="212" t="n"/>
    </row>
    <row r="49">
      <c r="B49" s="207" t="n"/>
      <c r="C49" s="207" t="inlineStr">
        <is>
          <t>Communication Specialist</t>
        </is>
      </c>
      <c r="D49" s="207" t="n"/>
      <c r="E49" s="207" t="n"/>
      <c r="F49" s="207">
        <f>IF(TRIM(D49&amp;E49)="","",TRIM(D49)&amp;" "&amp;TRIM(E49))</f>
        <v/>
      </c>
      <c r="G49" s="207" t="n"/>
      <c r="H49" s="207" t="n"/>
      <c r="I49" s="207" t="n"/>
      <c r="J49" s="207" t="n"/>
      <c r="K49" s="207" t="n"/>
      <c r="L49" s="207" t="n"/>
      <c r="M49" s="207" t="n"/>
      <c r="N49" s="207" t="n"/>
      <c r="O49" s="207" t="n"/>
      <c r="P49" s="207" t="n"/>
      <c r="Q49" s="207" t="n"/>
      <c r="R49" s="207" t="n"/>
      <c r="S49" s="208" t="n"/>
      <c r="T49" s="208" t="n"/>
      <c r="U49" s="208" t="n"/>
      <c r="V49" s="208" t="n"/>
      <c r="W49" s="208" t="n"/>
      <c r="X49" s="208" t="n"/>
      <c r="Y49" s="208" t="n"/>
      <c r="Z49" s="208" t="n"/>
      <c r="AA49" s="208" t="n"/>
      <c r="AB49" s="208" t="n"/>
      <c r="AC49" s="208" t="n"/>
      <c r="AD49" s="208" t="n"/>
      <c r="AE49" s="208" t="n"/>
      <c r="AF49" s="208" t="n"/>
      <c r="AG49" s="208" t="n"/>
      <c r="AH49" s="208" t="n"/>
      <c r="AI49" s="208" t="n"/>
      <c r="AJ49" s="208" t="n"/>
      <c r="AK49" s="208" t="n"/>
      <c r="AL49" s="208" t="n"/>
      <c r="AM49" s="208" t="n"/>
      <c r="AN49" s="208" t="n"/>
      <c r="AO49" s="208" t="n"/>
      <c r="AP49" s="208" t="n"/>
      <c r="AQ49" s="208" t="n"/>
      <c r="AR49" s="208" t="n"/>
      <c r="AS49" s="208" t="n"/>
      <c r="AT49" s="208" t="n"/>
      <c r="AU49" s="208" t="n"/>
      <c r="AV49" s="208" t="n"/>
      <c r="AW49" s="208" t="n"/>
      <c r="AX49" s="208" t="n"/>
      <c r="AY49" s="208" t="n"/>
      <c r="AZ49" s="208" t="n"/>
      <c r="BA49" s="208" t="n"/>
      <c r="BB49" s="208" t="n"/>
      <c r="BC49" s="208" t="n"/>
      <c r="BD49" s="208" t="n"/>
      <c r="BE49" s="208" t="n"/>
      <c r="BF49" s="208" t="n"/>
      <c r="BG49" s="208" t="n"/>
      <c r="BH49" s="208" t="n"/>
      <c r="BI49" s="208" t="n"/>
      <c r="BJ49" s="208" t="n"/>
      <c r="BK49" s="208" t="n"/>
      <c r="BL49" s="208" t="n"/>
      <c r="BM49" s="208" t="n"/>
      <c r="BN49" s="208" t="n"/>
      <c r="BO49" s="208" t="n"/>
      <c r="BP49" s="208" t="n"/>
      <c r="BQ49" s="208" t="n"/>
      <c r="BR49" s="208" t="n"/>
      <c r="BS49" s="208" t="n"/>
      <c r="BT49" s="208" t="n"/>
      <c r="BU49" s="208" t="n"/>
      <c r="BV49" s="208" t="n"/>
      <c r="BW49" s="208" t="n"/>
      <c r="BX49" s="208" t="n"/>
      <c r="BY49" s="208" t="n"/>
      <c r="BZ49" s="208" t="n"/>
      <c r="CA49" s="208" t="n"/>
      <c r="CB49" s="208" t="n"/>
      <c r="CC49" s="208" t="n"/>
      <c r="CD49" s="208" t="n"/>
      <c r="CE49" s="208" t="n"/>
      <c r="CF49" s="208" t="n"/>
      <c r="CG49" s="208" t="n"/>
      <c r="CH49" s="208" t="n"/>
      <c r="CI49" s="208" t="n"/>
      <c r="CJ49" s="208" t="n"/>
      <c r="CK49" s="208" t="n"/>
      <c r="CL49" s="208" t="n"/>
      <c r="CM49" s="208" t="n"/>
      <c r="CN49" s="208" t="n"/>
      <c r="CO49" s="208" t="n"/>
      <c r="CP49" s="208" t="n"/>
      <c r="CQ49" s="208" t="n"/>
      <c r="CR49" s="208" t="n"/>
      <c r="CS49" s="208" t="n"/>
      <c r="CT49" s="208" t="n"/>
      <c r="CU49" s="208" t="n"/>
      <c r="CV49" s="208" t="n"/>
      <c r="CW49" s="208" t="n"/>
      <c r="CX49" s="208" t="n"/>
      <c r="CY49" s="208" t="n"/>
      <c r="CZ49" s="208" t="n"/>
      <c r="DA49" s="208" t="n"/>
      <c r="DB49" s="208" t="n"/>
      <c r="DC49" s="208" t="n"/>
      <c r="DD49" s="208" t="n"/>
      <c r="DE49" s="208" t="n"/>
      <c r="DF49" s="208" t="n"/>
      <c r="DG49" s="208" t="n"/>
      <c r="DH49" s="208" t="n"/>
      <c r="DI49" s="208" t="n"/>
      <c r="DJ49" s="208" t="n"/>
      <c r="DK49" s="208" t="n"/>
      <c r="DL49" s="208" t="n"/>
      <c r="DM49" s="208" t="n"/>
      <c r="DN49" s="208" t="n"/>
      <c r="DO49" s="208" t="n"/>
      <c r="DP49" s="208" t="n"/>
      <c r="DQ49" s="208" t="n"/>
      <c r="DR49" s="208" t="n"/>
      <c r="DS49" s="208" t="n"/>
      <c r="DT49" s="208" t="n"/>
      <c r="DU49" s="208" t="n"/>
      <c r="DV49" s="208" t="n"/>
      <c r="DW49" s="208" t="n"/>
      <c r="DX49" s="208" t="n"/>
      <c r="DY49" s="208" t="n"/>
      <c r="DZ49" s="208" t="n"/>
      <c r="EA49" s="208" t="n"/>
      <c r="EB49" s="208" t="n"/>
      <c r="EC49" s="208" t="n"/>
      <c r="ED49" s="208" t="n"/>
      <c r="EE49" s="208" t="n"/>
      <c r="EF49" s="208" t="n"/>
      <c r="EG49" s="208" t="n"/>
      <c r="EH49" s="208" t="n"/>
      <c r="EI49" s="208" t="n"/>
      <c r="EJ49" s="208" t="n"/>
      <c r="EK49" s="208" t="n"/>
      <c r="EL49" s="208" t="n"/>
      <c r="EM49" s="208" t="n"/>
      <c r="EN49" s="208" t="n"/>
      <c r="EO49" s="208" t="n"/>
      <c r="EP49" s="208" t="n"/>
      <c r="EQ49" s="208" t="n"/>
      <c r="ER49" s="208" t="n"/>
      <c r="ES49" s="208" t="n"/>
      <c r="ET49" s="208" t="n"/>
      <c r="EU49" s="208" t="n"/>
      <c r="EV49" s="208" t="n"/>
      <c r="EW49" s="208" t="n"/>
      <c r="EX49" s="208" t="n"/>
      <c r="EY49" s="208" t="n"/>
      <c r="EZ49" s="208" t="n"/>
      <c r="FA49" s="208" t="n"/>
      <c r="FB49" s="208" t="n"/>
      <c r="FC49" s="208" t="n"/>
      <c r="FD49" s="208" t="n"/>
      <c r="FE49" s="208" t="n"/>
      <c r="FF49" s="208" t="n"/>
      <c r="FG49" s="208" t="n"/>
      <c r="FH49" s="208" t="n"/>
      <c r="FI49" s="208" t="n"/>
      <c r="FJ49" s="208" t="n"/>
      <c r="FK49" s="208" t="n"/>
      <c r="FL49" s="208" t="n"/>
      <c r="FM49" s="208" t="n"/>
      <c r="FN49" s="208" t="n"/>
      <c r="FO49" s="208" t="n"/>
      <c r="FP49" s="208" t="n"/>
      <c r="FQ49" s="208" t="n"/>
      <c r="FR49" s="208" t="n"/>
      <c r="FS49" s="208" t="n"/>
      <c r="FT49" s="208" t="n"/>
      <c r="FU49" s="208" t="n"/>
      <c r="FV49" s="208" t="n"/>
      <c r="FW49" s="208" t="n"/>
      <c r="FX49" s="208" t="n"/>
      <c r="FY49" s="208" t="n"/>
      <c r="FZ49" s="208" t="n"/>
      <c r="GA49" s="208" t="n"/>
      <c r="GB49" s="208" t="n"/>
      <c r="GC49" s="208" t="n"/>
      <c r="GD49" s="208" t="n"/>
      <c r="GE49" s="208" t="n"/>
      <c r="GF49" s="208" t="n"/>
      <c r="GG49" s="208" t="n"/>
      <c r="GH49" s="208" t="n"/>
      <c r="GI49" s="208" t="n"/>
      <c r="GJ49" s="208" t="n"/>
      <c r="GK49" s="208" t="n"/>
      <c r="GL49" s="208" t="n"/>
      <c r="GM49" s="208" t="n"/>
      <c r="GN49" s="208" t="n"/>
      <c r="GO49" s="208" t="n"/>
      <c r="GP49" s="208" t="n"/>
      <c r="GQ49" s="208" t="n"/>
      <c r="GR49" s="208" t="n"/>
      <c r="GS49" s="208" t="n"/>
      <c r="GT49" s="208" t="n"/>
      <c r="GU49" s="208" t="n"/>
      <c r="GV49" s="208" t="n"/>
      <c r="GW49" s="208" t="n"/>
      <c r="GX49" s="208" t="n"/>
      <c r="GY49" s="208" t="n"/>
      <c r="GZ49" s="208" t="n"/>
      <c r="HA49" s="208" t="n"/>
      <c r="HB49" s="208" t="n"/>
      <c r="HC49" s="208" t="n"/>
      <c r="HD49" s="208" t="n"/>
      <c r="HE49" s="208" t="n"/>
      <c r="HF49" s="208" t="n"/>
      <c r="HG49" s="208" t="n"/>
      <c r="HH49" s="208" t="n"/>
      <c r="HI49" s="208" t="n"/>
      <c r="HJ49" s="208" t="n"/>
      <c r="HK49" s="208" t="n"/>
      <c r="HL49" s="208" t="n"/>
      <c r="HM49" s="208" t="n"/>
      <c r="HN49" s="208" t="n"/>
      <c r="HO49" s="208" t="n"/>
      <c r="HP49" s="208" t="n"/>
      <c r="HQ49" s="208" t="n"/>
      <c r="HR49" s="208" t="n"/>
      <c r="HS49" s="208" t="n"/>
      <c r="HT49" s="208" t="n"/>
      <c r="HU49" s="208" t="n"/>
      <c r="HV49" s="208" t="n"/>
      <c r="HW49" s="208" t="n"/>
      <c r="HX49" s="208" t="n"/>
      <c r="HY49" s="208" t="n"/>
      <c r="HZ49" s="208" t="n"/>
      <c r="IA49" s="208" t="n"/>
      <c r="IB49" s="208" t="n"/>
      <c r="IC49" s="208" t="n"/>
      <c r="ID49" s="208" t="n"/>
      <c r="IE49" s="208" t="n"/>
      <c r="IF49" s="208" t="n"/>
      <c r="IG49" s="208" t="n"/>
      <c r="IH49" s="208" t="n"/>
      <c r="II49" s="208" t="n"/>
      <c r="IJ49" s="208" t="n"/>
      <c r="IK49" s="208" t="n"/>
      <c r="IL49" s="208" t="n"/>
      <c r="IM49" s="208" t="n"/>
      <c r="IN49" s="208" t="n"/>
      <c r="IO49" s="208" t="n"/>
      <c r="IP49" s="208" t="n"/>
      <c r="IQ49" s="208" t="n"/>
      <c r="IR49" s="208" t="n"/>
      <c r="IS49" s="208" t="n"/>
      <c r="IT49" s="208" t="n"/>
      <c r="IU49" s="208" t="n"/>
      <c r="IV49" s="208" t="n"/>
      <c r="IW49" s="208" t="n"/>
      <c r="IX49" s="208" t="n"/>
      <c r="IY49" s="208" t="n"/>
      <c r="IZ49" s="208" t="n"/>
      <c r="JA49" s="208" t="n"/>
      <c r="JB49" s="208" t="n"/>
      <c r="JC49" s="208" t="n"/>
      <c r="JD49" s="208" t="n"/>
      <c r="JE49" s="208" t="n"/>
      <c r="JF49" s="208" t="n"/>
      <c r="JG49" s="208" t="n"/>
      <c r="JH49" s="208" t="n"/>
      <c r="JI49" s="208" t="n"/>
      <c r="JJ49" s="208" t="n"/>
      <c r="JK49" s="208" t="n"/>
      <c r="JL49" s="208" t="n"/>
      <c r="JM49" s="208" t="n"/>
      <c r="JN49" s="208" t="n"/>
      <c r="JO49" s="208" t="n"/>
      <c r="JP49" s="208" t="n"/>
      <c r="JQ49" s="208" t="n"/>
      <c r="JR49" s="208" t="n"/>
      <c r="JS49" s="208" t="n"/>
      <c r="JT49" s="208" t="n"/>
      <c r="JU49" s="208" t="n"/>
      <c r="JV49" s="208" t="n"/>
      <c r="JW49" s="208" t="n"/>
      <c r="JX49" s="208" t="n"/>
      <c r="JY49" s="208" t="n"/>
      <c r="JZ49" s="208" t="n"/>
      <c r="KA49" s="208" t="n"/>
      <c r="KB49" s="208" t="n"/>
      <c r="KC49" s="208" t="n"/>
      <c r="KD49" s="208" t="n"/>
      <c r="KE49" s="208" t="n"/>
      <c r="KF49" s="208" t="n"/>
      <c r="KG49" s="208" t="n"/>
      <c r="KH49" s="208" t="n"/>
      <c r="KI49" s="208" t="n"/>
      <c r="KJ49" s="208" t="n"/>
      <c r="KK49" s="208" t="n"/>
      <c r="KL49" s="208" t="n"/>
      <c r="KM49" s="208" t="n"/>
      <c r="KN49" s="208" t="n"/>
      <c r="KO49" s="208" t="n"/>
      <c r="KP49" s="208" t="n"/>
      <c r="KQ49" s="208" t="n"/>
      <c r="KR49" s="208" t="n"/>
      <c r="KS49" s="208" t="n"/>
      <c r="KT49" s="208" t="n"/>
      <c r="KU49" s="208" t="n"/>
      <c r="KV49" s="208" t="n"/>
      <c r="KW49" s="208" t="n"/>
      <c r="KX49" s="208" t="n"/>
      <c r="KY49" s="208" t="n"/>
      <c r="KZ49" s="208" t="n"/>
      <c r="LA49" s="208" t="n"/>
      <c r="LB49" s="208" t="n"/>
      <c r="LC49" s="208" t="n"/>
      <c r="LD49" s="208" t="n"/>
      <c r="LE49" s="208" t="n"/>
      <c r="LF49" s="208" t="n"/>
      <c r="LG49" s="208" t="n"/>
      <c r="LH49" s="208" t="n"/>
      <c r="LI49" s="208" t="n"/>
      <c r="LJ49" s="208" t="n"/>
      <c r="LK49" s="208" t="n"/>
      <c r="LL49" s="208" t="n"/>
      <c r="LM49" s="208" t="n"/>
      <c r="LN49" s="208" t="n"/>
      <c r="LO49" s="208" t="n"/>
      <c r="LP49" s="208" t="n"/>
      <c r="LQ49" s="208" t="n"/>
      <c r="LR49" s="208" t="n"/>
      <c r="LS49" s="208" t="n"/>
      <c r="LT49" s="208" t="n"/>
      <c r="LU49" s="208" t="n"/>
      <c r="LV49" s="208" t="n"/>
      <c r="LW49" s="208" t="n"/>
      <c r="LX49" s="208" t="n"/>
      <c r="LY49" s="208" t="n"/>
      <c r="LZ49" s="208" t="n"/>
      <c r="MA49" s="208" t="n"/>
      <c r="MB49" s="208" t="n"/>
      <c r="MC49" s="208" t="n"/>
      <c r="MD49" s="208" t="n"/>
      <c r="ME49" s="208" t="n"/>
      <c r="MF49" s="208" t="n"/>
      <c r="MG49" s="208" t="n"/>
      <c r="MH49" s="208" t="n"/>
      <c r="MI49" s="208" t="n"/>
      <c r="MJ49" s="208" t="n"/>
      <c r="MK49" s="208" t="n"/>
      <c r="ML49" s="208" t="n"/>
      <c r="MM49" s="208" t="n"/>
      <c r="MN49" s="208" t="n"/>
      <c r="MO49" s="208" t="n"/>
      <c r="MP49" s="208" t="n"/>
      <c r="MQ49" s="208" t="n"/>
      <c r="MR49" s="208" t="n"/>
      <c r="MS49" s="208" t="n"/>
      <c r="MT49" s="208" t="n"/>
      <c r="MU49" s="208" t="n"/>
      <c r="MV49" s="208" t="n"/>
      <c r="MW49" s="208" t="n"/>
      <c r="MX49" s="208" t="n"/>
      <c r="MY49" s="208" t="n"/>
      <c r="MZ49" s="208" t="n"/>
      <c r="NA49" s="208" t="n"/>
      <c r="NB49" s="208" t="n"/>
      <c r="NC49" s="208" t="n"/>
      <c r="ND49" s="208" t="n"/>
      <c r="NE49" s="208" t="n"/>
      <c r="NF49" s="208" t="n"/>
      <c r="NG49" s="208" t="n"/>
      <c r="NH49" s="208" t="n"/>
      <c r="NI49" s="208" t="n"/>
      <c r="NJ49" s="208" t="n"/>
      <c r="NK49" s="208" t="n"/>
      <c r="NL49" s="208" t="n"/>
      <c r="NM49" s="208" t="n"/>
      <c r="NN49" s="208" t="n"/>
      <c r="NO49" s="208" t="n"/>
      <c r="NP49" s="208" t="n"/>
      <c r="NQ49" s="208" t="n"/>
      <c r="NR49" s="208" t="n"/>
      <c r="NS49" s="208" t="n"/>
      <c r="NT49" s="208" t="n"/>
      <c r="NU49" s="208" t="n"/>
      <c r="NV49" s="208" t="n"/>
      <c r="NW49" s="208" t="n"/>
      <c r="NX49" s="208" t="n"/>
      <c r="NY49" s="208" t="n"/>
      <c r="NZ49" s="208" t="n"/>
      <c r="OA49" s="208" t="n"/>
      <c r="OB49" s="208" t="n"/>
      <c r="OC49" s="208" t="n"/>
      <c r="OD49" s="208" t="n"/>
      <c r="OE49" s="208" t="n"/>
      <c r="OF49" s="208" t="n"/>
      <c r="OG49" s="208" t="n"/>
      <c r="OH49" s="208" t="n"/>
      <c r="OI49" s="208" t="n"/>
      <c r="OJ49" s="208" t="n"/>
      <c r="OK49" s="208" t="n"/>
      <c r="OL49" s="208" t="n"/>
      <c r="OM49" s="208" t="n"/>
      <c r="ON49" s="208" t="n"/>
      <c r="OO49" s="208" t="n"/>
      <c r="OP49" s="208" t="n"/>
      <c r="OQ49" s="208" t="n"/>
      <c r="OR49" s="208" t="n"/>
      <c r="OS49" s="208" t="n"/>
      <c r="OT49" s="208" t="n"/>
      <c r="OU49" s="208" t="n"/>
      <c r="OV49" s="208" t="n"/>
      <c r="OW49" s="208" t="n"/>
      <c r="OX49" s="208" t="n"/>
      <c r="OY49" s="208" t="n"/>
      <c r="OZ49" s="208" t="n"/>
      <c r="PA49" s="208" t="n"/>
      <c r="PB49" s="208" t="n"/>
      <c r="PC49" s="208" t="n"/>
      <c r="PD49" s="208" t="n"/>
      <c r="PE49" s="208" t="n"/>
      <c r="PF49" s="208" t="n"/>
      <c r="PG49" s="208" t="n"/>
      <c r="PH49" s="208" t="n"/>
      <c r="PI49" s="208" t="n"/>
      <c r="PJ49" s="208" t="n"/>
      <c r="PK49" s="208" t="n"/>
      <c r="PL49" s="208" t="n"/>
      <c r="PM49" s="208" t="n"/>
      <c r="PN49" s="208" t="n"/>
      <c r="PO49" s="208" t="n"/>
      <c r="PP49" s="208" t="n"/>
      <c r="PQ49" s="208" t="n"/>
      <c r="PR49" s="208" t="n"/>
      <c r="PS49" s="208" t="n"/>
      <c r="PT49" s="208" t="n"/>
      <c r="PU49" s="208" t="n"/>
      <c r="PV49" s="208" t="n"/>
      <c r="PW49" s="208" t="n"/>
      <c r="PX49" s="208" t="n"/>
      <c r="PY49" s="208" t="n"/>
      <c r="PZ49" s="208" t="n"/>
      <c r="QA49" s="208" t="n"/>
      <c r="QB49" s="208" t="n"/>
      <c r="QC49" s="208" t="n"/>
      <c r="QD49" s="208" t="n"/>
      <c r="QE49" s="208" t="n"/>
      <c r="QF49" s="208" t="n"/>
      <c r="QG49" s="208" t="n"/>
      <c r="QH49" s="208" t="n"/>
      <c r="QI49" s="208" t="n"/>
      <c r="QJ49" s="208" t="n"/>
      <c r="QK49" s="208" t="n"/>
      <c r="QL49" s="208" t="n"/>
      <c r="QM49" s="208" t="n"/>
      <c r="QN49" s="208" t="n"/>
      <c r="QO49" s="208" t="n"/>
      <c r="QP49" s="208" t="n"/>
      <c r="QQ49" s="208" t="n"/>
      <c r="QR49" s="208" t="n"/>
      <c r="QS49" s="208" t="n"/>
      <c r="QT49" s="208" t="n"/>
      <c r="QU49" s="208" t="n"/>
      <c r="QV49" s="208" t="n"/>
      <c r="QW49" s="208" t="n"/>
      <c r="QX49" s="208" t="n"/>
      <c r="QY49" s="208" t="n"/>
      <c r="QZ49" s="208" t="n"/>
      <c r="RA49" s="208" t="n"/>
      <c r="RB49" s="208" t="n"/>
      <c r="RC49" s="208" t="n"/>
      <c r="RD49" s="208" t="n"/>
      <c r="RE49" s="208" t="n"/>
      <c r="RF49" s="208" t="n"/>
      <c r="RG49" s="208" t="n"/>
      <c r="RH49" s="208" t="n"/>
      <c r="RI49" s="208" t="n"/>
      <c r="RJ49" s="208" t="n"/>
      <c r="RK49" s="208" t="n"/>
      <c r="RL49" s="208" t="n"/>
      <c r="RM49" s="208" t="n"/>
      <c r="RN49" s="208" t="n"/>
      <c r="RO49" s="208" t="n"/>
      <c r="RP49" s="208" t="n"/>
      <c r="RQ49" s="208" t="n"/>
      <c r="RR49" s="208" t="n"/>
      <c r="RS49" s="208" t="n"/>
      <c r="RT49" s="208" t="n"/>
      <c r="RU49" s="208" t="n"/>
      <c r="RV49" s="208" t="n"/>
      <c r="RW49" s="208" t="n"/>
      <c r="RX49" s="208" t="n"/>
      <c r="RY49" s="208" t="n"/>
      <c r="RZ49" s="208" t="n"/>
      <c r="SA49" s="208" t="n"/>
      <c r="SB49" s="208" t="n"/>
      <c r="SC49" s="208" t="n"/>
      <c r="SD49" s="208" t="n"/>
      <c r="SE49" s="208" t="n"/>
      <c r="SF49" s="208" t="n"/>
      <c r="SG49" s="208" t="n"/>
      <c r="SH49" s="208" t="n"/>
      <c r="SI49" s="208" t="n"/>
      <c r="SJ49" s="208" t="n"/>
      <c r="SK49" s="208" t="n"/>
      <c r="SL49" s="208" t="n"/>
      <c r="SM49" s="208" t="n"/>
      <c r="SN49" s="208" t="n"/>
      <c r="SO49" s="208" t="n"/>
      <c r="SP49" s="208" t="n"/>
      <c r="SQ49" s="208" t="n"/>
      <c r="SR49" s="208" t="n"/>
      <c r="SS49" s="208" t="n"/>
      <c r="ST49" s="208" t="n"/>
      <c r="SU49" s="208" t="n"/>
      <c r="SV49" s="208" t="n"/>
    </row>
    <row r="50">
      <c r="B50" s="209" t="n">
        <v>1</v>
      </c>
      <c r="C50" s="209" t="inlineStr">
        <is>
          <t>Comms WA</t>
        </is>
      </c>
      <c r="D50" s="209" t="inlineStr">
        <is>
          <t>Daniel</t>
        </is>
      </c>
      <c r="E50" s="209" t="inlineStr">
        <is>
          <t>McGowan</t>
        </is>
      </c>
      <c r="F50" s="209">
        <f>IF(TRIM(D50&amp;E50)="","",TRIM(D50)&amp;" "&amp;TRIM(E50))</f>
        <v/>
      </c>
      <c r="G50" s="209" t="n"/>
      <c r="H50" s="209" t="inlineStr">
        <is>
          <t>Information Systems Tech</t>
        </is>
      </c>
      <c r="I50" s="209" t="inlineStr">
        <is>
          <t>YES</t>
        </is>
      </c>
      <c r="J50" s="209" t="inlineStr">
        <is>
          <t>YES</t>
        </is>
      </c>
      <c r="K50" s="209" t="inlineStr">
        <is>
          <t>YES</t>
        </is>
      </c>
      <c r="L50" s="209" t="inlineStr">
        <is>
          <t>YES</t>
        </is>
      </c>
      <c r="M50" s="209" t="inlineStr">
        <is>
          <t>Quals Complete</t>
        </is>
      </c>
      <c r="N50" s="209" t="inlineStr">
        <is>
          <t>danny.mcgowan@commswa.com.au</t>
        </is>
      </c>
      <c r="O50" s="209" t="inlineStr">
        <is>
          <t>0408 959 971</t>
        </is>
      </c>
      <c r="P50" s="209" t="n">
        <v>244196</v>
      </c>
      <c r="Q50" s="209" t="n">
        <v>10788</v>
      </c>
      <c r="R50" s="209" t="inlineStr">
        <is>
          <t>2:1</t>
        </is>
      </c>
      <c r="S50" s="210" t="inlineStr">
        <is>
          <t>N/A</t>
        </is>
      </c>
      <c r="T50" s="210" t="inlineStr">
        <is>
          <t>N/A</t>
        </is>
      </c>
      <c r="U50" s="210" t="inlineStr">
        <is>
          <t>N/A</t>
        </is>
      </c>
      <c r="V50" s="210" t="inlineStr">
        <is>
          <t>N/A</t>
        </is>
      </c>
      <c r="W50" s="210" t="inlineStr">
        <is>
          <t>N/A</t>
        </is>
      </c>
      <c r="X50" s="210" t="inlineStr">
        <is>
          <t>N/A</t>
        </is>
      </c>
      <c r="Y50" s="210" t="inlineStr">
        <is>
          <t>N/A</t>
        </is>
      </c>
      <c r="Z50" s="210" t="inlineStr">
        <is>
          <t>N/A</t>
        </is>
      </c>
      <c r="AA50" s="210" t="inlineStr">
        <is>
          <t>N/A</t>
        </is>
      </c>
      <c r="AB50" s="210" t="inlineStr">
        <is>
          <t>N/A</t>
        </is>
      </c>
      <c r="AC50" s="210" t="inlineStr">
        <is>
          <t>N/A</t>
        </is>
      </c>
      <c r="AD50" s="210" t="inlineStr">
        <is>
          <t>N/A</t>
        </is>
      </c>
      <c r="AE50" s="210" t="inlineStr">
        <is>
          <t>N/A</t>
        </is>
      </c>
      <c r="AF50" s="210" t="inlineStr">
        <is>
          <t>N/A</t>
        </is>
      </c>
      <c r="AG50" s="210" t="inlineStr">
        <is>
          <t>N/A</t>
        </is>
      </c>
      <c r="AH50" s="210" t="inlineStr">
        <is>
          <t>N/A</t>
        </is>
      </c>
      <c r="AI50" s="210" t="inlineStr">
        <is>
          <t>N/A</t>
        </is>
      </c>
      <c r="AJ50" s="210" t="inlineStr">
        <is>
          <t>N/A</t>
        </is>
      </c>
      <c r="AK50" s="210" t="inlineStr">
        <is>
          <t>N/A</t>
        </is>
      </c>
      <c r="AL50" s="210" t="inlineStr">
        <is>
          <t>N/A</t>
        </is>
      </c>
      <c r="AM50" s="210" t="inlineStr">
        <is>
          <t>N/A</t>
        </is>
      </c>
      <c r="AN50" s="210" t="inlineStr">
        <is>
          <t>N/A</t>
        </is>
      </c>
      <c r="AO50" s="210" t="inlineStr">
        <is>
          <t>N/A</t>
        </is>
      </c>
      <c r="AP50" s="210" t="inlineStr">
        <is>
          <t>N/A</t>
        </is>
      </c>
      <c r="AQ50" s="210" t="inlineStr">
        <is>
          <t>N/A</t>
        </is>
      </c>
      <c r="AR50" s="210" t="inlineStr">
        <is>
          <t>N/A</t>
        </is>
      </c>
      <c r="AS50" s="210" t="inlineStr">
        <is>
          <t>N/A</t>
        </is>
      </c>
      <c r="AT50" s="210" t="inlineStr">
        <is>
          <t>N/A</t>
        </is>
      </c>
      <c r="AU50" s="210" t="inlineStr">
        <is>
          <t>N/A</t>
        </is>
      </c>
      <c r="AV50" s="210" t="inlineStr">
        <is>
          <t>N/A</t>
        </is>
      </c>
      <c r="AW50" s="210" t="inlineStr">
        <is>
          <t>N/A</t>
        </is>
      </c>
      <c r="AX50" s="210" t="inlineStr">
        <is>
          <t>N/A</t>
        </is>
      </c>
      <c r="AY50" s="210" t="inlineStr">
        <is>
          <t>N/A</t>
        </is>
      </c>
      <c r="AZ50" s="210" t="inlineStr">
        <is>
          <t>N/A</t>
        </is>
      </c>
      <c r="BA50" s="210" t="inlineStr">
        <is>
          <t>N/A</t>
        </is>
      </c>
      <c r="BB50" s="210" t="inlineStr">
        <is>
          <t>N/A</t>
        </is>
      </c>
      <c r="BC50" s="210" t="inlineStr">
        <is>
          <t>N/A</t>
        </is>
      </c>
      <c r="BD50" s="210" t="inlineStr">
        <is>
          <t>N/A</t>
        </is>
      </c>
      <c r="BE50" s="210" t="inlineStr">
        <is>
          <t>N/A</t>
        </is>
      </c>
      <c r="BF50" s="210" t="inlineStr">
        <is>
          <t>N/A</t>
        </is>
      </c>
      <c r="BG50" s="210" t="inlineStr">
        <is>
          <t>N/A</t>
        </is>
      </c>
      <c r="BH50" s="210" t="inlineStr">
        <is>
          <t>N/A</t>
        </is>
      </c>
      <c r="BI50" s="210" t="inlineStr">
        <is>
          <t>N/A</t>
        </is>
      </c>
      <c r="BJ50" s="210" t="inlineStr">
        <is>
          <t>N/A</t>
        </is>
      </c>
      <c r="BK50" s="210" t="inlineStr">
        <is>
          <t>N/A</t>
        </is>
      </c>
      <c r="BL50" s="210" t="inlineStr">
        <is>
          <t>N/A</t>
        </is>
      </c>
      <c r="BM50" s="210" t="inlineStr">
        <is>
          <t>N/A</t>
        </is>
      </c>
      <c r="BN50" s="210" t="inlineStr">
        <is>
          <t>N/A</t>
        </is>
      </c>
      <c r="BO50" s="210" t="inlineStr">
        <is>
          <t>N/A</t>
        </is>
      </c>
      <c r="BP50" s="210" t="inlineStr">
        <is>
          <t>N/A</t>
        </is>
      </c>
      <c r="BQ50" s="210" t="inlineStr">
        <is>
          <t>N/A</t>
        </is>
      </c>
      <c r="BR50" s="210" t="inlineStr">
        <is>
          <t>N/A</t>
        </is>
      </c>
      <c r="BS50" s="210" t="inlineStr">
        <is>
          <t>N/A</t>
        </is>
      </c>
      <c r="BT50" s="210" t="inlineStr">
        <is>
          <t>N/A</t>
        </is>
      </c>
      <c r="BU50" s="210" t="inlineStr">
        <is>
          <t>N/A</t>
        </is>
      </c>
      <c r="BV50" s="210" t="inlineStr">
        <is>
          <t>N/A</t>
        </is>
      </c>
      <c r="BW50" s="210" t="inlineStr">
        <is>
          <t>N/A</t>
        </is>
      </c>
      <c r="BX50" s="210" t="inlineStr">
        <is>
          <t>N/A</t>
        </is>
      </c>
      <c r="BY50" s="210" t="inlineStr">
        <is>
          <t>N/A</t>
        </is>
      </c>
      <c r="BZ50" s="210" t="inlineStr">
        <is>
          <t>N/A</t>
        </is>
      </c>
      <c r="CA50" s="210" t="inlineStr">
        <is>
          <t>N/A</t>
        </is>
      </c>
      <c r="CB50" s="210" t="inlineStr">
        <is>
          <t>N/A</t>
        </is>
      </c>
      <c r="CC50" s="210" t="inlineStr">
        <is>
          <t>N/A</t>
        </is>
      </c>
      <c r="CD50" s="210" t="inlineStr">
        <is>
          <t>N/A</t>
        </is>
      </c>
      <c r="CE50" s="210" t="inlineStr">
        <is>
          <t>N/A</t>
        </is>
      </c>
      <c r="CF50" s="210" t="inlineStr">
        <is>
          <t>N/A</t>
        </is>
      </c>
      <c r="CG50" s="210" t="inlineStr">
        <is>
          <t>N/A</t>
        </is>
      </c>
      <c r="CH50" s="210" t="inlineStr">
        <is>
          <t>N/A</t>
        </is>
      </c>
      <c r="CI50" s="210" t="inlineStr">
        <is>
          <t>N/A</t>
        </is>
      </c>
      <c r="CJ50" s="210" t="inlineStr">
        <is>
          <t>N/A</t>
        </is>
      </c>
      <c r="CK50" s="210" t="inlineStr">
        <is>
          <t>N/A</t>
        </is>
      </c>
      <c r="CL50" s="210" t="inlineStr">
        <is>
          <t>N/A</t>
        </is>
      </c>
      <c r="CM50" s="210" t="inlineStr">
        <is>
          <t>N/A</t>
        </is>
      </c>
      <c r="CN50" s="210" t="inlineStr">
        <is>
          <t>N/A</t>
        </is>
      </c>
      <c r="CO50" s="210" t="inlineStr">
        <is>
          <t>N/A</t>
        </is>
      </c>
      <c r="CP50" s="210" t="inlineStr">
        <is>
          <t>N/A</t>
        </is>
      </c>
      <c r="CQ50" s="210" t="inlineStr">
        <is>
          <t>N/A</t>
        </is>
      </c>
      <c r="CR50" s="210" t="inlineStr">
        <is>
          <t>N/A</t>
        </is>
      </c>
      <c r="CS50" s="210" t="inlineStr">
        <is>
          <t>N/A</t>
        </is>
      </c>
      <c r="CT50" s="210" t="inlineStr">
        <is>
          <t>N/A</t>
        </is>
      </c>
      <c r="CU50" s="210" t="inlineStr">
        <is>
          <t>N/A</t>
        </is>
      </c>
      <c r="CV50" s="210" t="inlineStr">
        <is>
          <t>N/A</t>
        </is>
      </c>
      <c r="CW50" s="210" t="inlineStr">
        <is>
          <t>N/A</t>
        </is>
      </c>
      <c r="CX50" s="210" t="inlineStr">
        <is>
          <t>N/A</t>
        </is>
      </c>
      <c r="CY50" s="210" t="inlineStr">
        <is>
          <t>N/A</t>
        </is>
      </c>
      <c r="CZ50" s="210" t="inlineStr">
        <is>
          <t>N/A</t>
        </is>
      </c>
      <c r="DA50" s="210" t="inlineStr">
        <is>
          <t>N/A</t>
        </is>
      </c>
      <c r="DB50" s="210" t="inlineStr">
        <is>
          <t>N/A</t>
        </is>
      </c>
      <c r="DC50" s="210" t="inlineStr">
        <is>
          <t>N/A</t>
        </is>
      </c>
      <c r="DD50" s="210" t="inlineStr">
        <is>
          <t>N/A</t>
        </is>
      </c>
      <c r="DE50" s="210" t="inlineStr">
        <is>
          <t>N/A</t>
        </is>
      </c>
      <c r="DF50" s="210" t="inlineStr">
        <is>
          <t>N/A</t>
        </is>
      </c>
      <c r="DG50" s="210" t="inlineStr">
        <is>
          <t>N/A</t>
        </is>
      </c>
      <c r="DH50" s="210" t="inlineStr">
        <is>
          <t>N/A</t>
        </is>
      </c>
      <c r="DI50" s="210" t="inlineStr">
        <is>
          <t>N/A</t>
        </is>
      </c>
      <c r="DJ50" s="210" t="inlineStr">
        <is>
          <t>N/A</t>
        </is>
      </c>
      <c r="DK50" s="210" t="inlineStr">
        <is>
          <t>N/A</t>
        </is>
      </c>
      <c r="DL50" s="210" t="inlineStr">
        <is>
          <t>N/A</t>
        </is>
      </c>
      <c r="DM50" s="210" t="inlineStr">
        <is>
          <t>N/A</t>
        </is>
      </c>
      <c r="DN50" s="210" t="inlineStr">
        <is>
          <t>N/A</t>
        </is>
      </c>
      <c r="DO50" s="210" t="inlineStr">
        <is>
          <t>N/A</t>
        </is>
      </c>
      <c r="DP50" s="210" t="inlineStr">
        <is>
          <t>N/A</t>
        </is>
      </c>
      <c r="DQ50" s="210" t="inlineStr">
        <is>
          <t>N/A</t>
        </is>
      </c>
      <c r="DR50" s="212" t="n"/>
      <c r="DS50" s="212" t="n"/>
      <c r="DT50" s="212" t="n"/>
      <c r="DU50" s="212" t="n"/>
      <c r="DV50" s="212" t="n"/>
      <c r="DW50" s="212" t="n"/>
      <c r="DX50" s="212" t="n"/>
      <c r="DY50" s="212" t="n"/>
      <c r="DZ50" s="212" t="n"/>
      <c r="EA50" s="212" t="n"/>
      <c r="EB50" s="212" t="n"/>
      <c r="EC50" s="212" t="n"/>
      <c r="ED50" s="212" t="n"/>
      <c r="EE50" s="212" t="n"/>
      <c r="EF50" s="212" t="n"/>
      <c r="EG50" s="212" t="n"/>
      <c r="EH50" s="212" t="n"/>
      <c r="EI50" s="212" t="n"/>
      <c r="EJ50" s="212" t="n"/>
      <c r="EK50" s="212" t="n"/>
      <c r="EL50" s="212" t="n"/>
      <c r="EM50" s="212" t="n"/>
      <c r="EN50" s="212" t="n"/>
      <c r="EO50" s="212" t="n"/>
      <c r="EP50" s="212" t="n"/>
      <c r="EQ50" s="212" t="n"/>
      <c r="ER50" s="212" t="n"/>
      <c r="ES50" s="212" t="n"/>
      <c r="ET50" s="212" t="n"/>
      <c r="EU50" s="212" t="n"/>
      <c r="EV50" s="212" t="n"/>
      <c r="EW50" s="212" t="n"/>
      <c r="EX50" s="212" t="n"/>
      <c r="EY50" s="212" t="n"/>
      <c r="EZ50" s="212" t="n"/>
      <c r="FA50" s="212" t="n"/>
      <c r="FB50" s="212" t="n"/>
      <c r="FC50" s="212" t="n"/>
      <c r="FD50" s="212" t="n"/>
      <c r="FE50" s="212" t="n"/>
      <c r="FF50" s="212" t="n"/>
      <c r="FG50" s="212" t="n"/>
      <c r="FH50" s="212" t="n"/>
      <c r="FI50" s="212" t="n"/>
      <c r="FJ50" s="212" t="n"/>
      <c r="FK50" s="212" t="n"/>
      <c r="FL50" s="212" t="n"/>
      <c r="FM50" s="212" t="n"/>
      <c r="FN50" s="212" t="n"/>
      <c r="FO50" s="212" t="n"/>
      <c r="FP50" s="212" t="n"/>
      <c r="FQ50" s="212" t="n"/>
      <c r="FR50" s="212" t="n"/>
      <c r="FS50" s="212" t="n"/>
      <c r="FT50" s="212" t="n"/>
      <c r="FU50" s="212" t="n"/>
      <c r="FV50" s="212" t="n"/>
      <c r="FW50" s="212" t="n"/>
      <c r="FX50" s="212" t="n"/>
      <c r="FY50" s="212" t="n"/>
      <c r="FZ50" s="212" t="n"/>
      <c r="GA50" s="212" t="n"/>
      <c r="GB50" s="212" t="n"/>
      <c r="GC50" s="212" t="n"/>
      <c r="GD50" s="212" t="n"/>
      <c r="GE50" s="212" t="n"/>
      <c r="GF50" s="212" t="n"/>
      <c r="GG50" s="212" t="n"/>
      <c r="GH50" s="212" t="n"/>
      <c r="GI50" s="212" t="n"/>
      <c r="GJ50" s="212" t="n"/>
      <c r="GK50" s="212" t="n"/>
      <c r="GL50" s="212" t="n"/>
      <c r="GM50" s="212" t="n"/>
      <c r="GN50" s="212" t="n"/>
      <c r="GO50" s="212" t="n"/>
      <c r="GP50" s="212" t="n"/>
      <c r="GQ50" s="212" t="n"/>
      <c r="GR50" s="212" t="n"/>
      <c r="GS50" s="212" t="n"/>
      <c r="GT50" s="212" t="n"/>
      <c r="GU50" s="212" t="n"/>
      <c r="GV50" s="212" t="n"/>
      <c r="GW50" s="212" t="n"/>
      <c r="GX50" s="212" t="n"/>
      <c r="GY50" s="212" t="n"/>
      <c r="GZ50" s="212" t="n"/>
      <c r="HA50" s="212" t="n"/>
      <c r="HB50" s="212" t="n"/>
      <c r="HC50" s="212" t="n"/>
      <c r="HD50" s="212" t="n"/>
      <c r="HE50" s="212" t="n"/>
      <c r="HF50" s="212" t="n"/>
      <c r="HG50" s="212" t="n"/>
      <c r="HH50" s="212" t="n"/>
      <c r="HI50" s="212" t="n"/>
      <c r="HJ50" s="212" t="n"/>
      <c r="HK50" s="212" t="n"/>
      <c r="HL50" s="212" t="n"/>
      <c r="HM50" s="212" t="n"/>
      <c r="HN50" s="212" t="n"/>
      <c r="HO50" s="212" t="n"/>
      <c r="HP50" s="212" t="n"/>
      <c r="HQ50" s="212" t="n"/>
      <c r="HR50" s="212" t="n"/>
      <c r="HS50" s="212" t="n"/>
      <c r="HT50" s="212" t="n"/>
      <c r="HU50" s="212" t="n"/>
      <c r="HV50" s="212" t="n"/>
      <c r="HW50" s="212" t="n"/>
      <c r="HX50" s="212" t="n"/>
      <c r="HY50" s="212" t="n"/>
      <c r="HZ50" s="212" t="n"/>
      <c r="IA50" s="212" t="n"/>
      <c r="IB50" s="212" t="n"/>
      <c r="IC50" s="212" t="n"/>
      <c r="ID50" s="212" t="n"/>
      <c r="IE50" s="212" t="n"/>
      <c r="IF50" s="212" t="n"/>
      <c r="IG50" s="212" t="n"/>
      <c r="IH50" s="212" t="n"/>
      <c r="II50" s="212" t="n"/>
      <c r="IJ50" s="212" t="n"/>
      <c r="IK50" s="212" t="n"/>
      <c r="IL50" s="212" t="n"/>
      <c r="IM50" s="212" t="n"/>
      <c r="IN50" s="212" t="n"/>
      <c r="IO50" s="212" t="n"/>
      <c r="IP50" s="212" t="n"/>
      <c r="IQ50" s="212" t="n"/>
      <c r="IR50" s="212" t="n"/>
      <c r="IS50" s="212" t="n"/>
      <c r="IT50" s="212" t="n"/>
      <c r="IU50" s="212" t="n"/>
      <c r="IV50" s="212" t="n"/>
      <c r="IW50" s="212" t="n"/>
      <c r="IX50" s="212" t="n"/>
      <c r="IY50" s="212" t="n"/>
      <c r="IZ50" s="212" t="n"/>
      <c r="JA50" s="212" t="n"/>
      <c r="JB50" s="212" t="n"/>
      <c r="JC50" s="212" t="n"/>
      <c r="JD50" s="212" t="n"/>
      <c r="JE50" s="212" t="n"/>
      <c r="JF50" s="212" t="n"/>
      <c r="JG50" s="212" t="n"/>
      <c r="JH50" s="212" t="n"/>
      <c r="JI50" s="212" t="n"/>
      <c r="JJ50" s="212" t="n"/>
      <c r="JK50" s="212" t="n"/>
      <c r="JL50" s="212" t="n"/>
      <c r="JM50" s="212" t="n"/>
      <c r="JN50" s="212" t="n"/>
      <c r="JO50" s="212" t="n"/>
      <c r="JP50" s="212" t="n"/>
      <c r="JQ50" s="212" t="n"/>
      <c r="JR50" s="212" t="n"/>
      <c r="JS50" s="212" t="n"/>
      <c r="JT50" s="212" t="n"/>
      <c r="JU50" s="212" t="n"/>
      <c r="JV50" s="212" t="n"/>
      <c r="JW50" s="212" t="n"/>
      <c r="JX50" s="212" t="n"/>
      <c r="JY50" s="212" t="n"/>
      <c r="JZ50" s="212" t="n"/>
      <c r="KA50" s="212" t="n"/>
      <c r="KB50" s="212" t="n"/>
      <c r="KC50" s="212" t="n"/>
      <c r="KD50" s="212" t="n"/>
      <c r="KE50" s="212" t="n"/>
      <c r="KF50" s="212" t="n"/>
      <c r="KG50" s="212" t="n"/>
      <c r="KH50" s="212" t="n"/>
      <c r="KI50" s="212" t="n"/>
      <c r="KJ50" s="212" t="n"/>
      <c r="KK50" s="212" t="n"/>
      <c r="KL50" s="212" t="n"/>
      <c r="KM50" s="212" t="n"/>
      <c r="KN50" s="212" t="n"/>
      <c r="KO50" s="212" t="n"/>
      <c r="KP50" s="212" t="n"/>
      <c r="KQ50" s="212" t="n"/>
      <c r="KR50" s="212" t="n"/>
      <c r="KS50" s="212" t="n"/>
      <c r="KT50" s="212" t="n"/>
      <c r="KU50" s="212" t="n"/>
      <c r="KV50" s="212" t="n"/>
      <c r="KW50" s="212" t="n"/>
      <c r="KX50" s="212" t="n"/>
      <c r="KY50" s="212" t="n"/>
      <c r="KZ50" s="212" t="n"/>
      <c r="LA50" s="212" t="n"/>
      <c r="LB50" s="212" t="n"/>
      <c r="LC50" s="212" t="n"/>
      <c r="LD50" s="212" t="n"/>
      <c r="LE50" s="212" t="n"/>
      <c r="LF50" s="212" t="n"/>
      <c r="LG50" s="212" t="n"/>
      <c r="LH50" s="212" t="n"/>
      <c r="LI50" s="212" t="n"/>
      <c r="LJ50" s="212" t="n"/>
      <c r="LK50" s="212" t="n"/>
      <c r="LL50" s="212" t="n"/>
      <c r="LM50" s="212" t="n"/>
      <c r="LN50" s="212" t="n"/>
      <c r="LO50" s="212" t="n"/>
      <c r="LP50" s="212" t="n"/>
      <c r="LQ50" s="212" t="n"/>
      <c r="LR50" s="212" t="n"/>
      <c r="LS50" s="212" t="n"/>
      <c r="LT50" s="212" t="n"/>
      <c r="LU50" s="212" t="n"/>
      <c r="LV50" s="212" t="n"/>
      <c r="LW50" s="212" t="n"/>
      <c r="LX50" s="212" t="n"/>
      <c r="LY50" s="212" t="n"/>
      <c r="LZ50" s="212" t="n"/>
      <c r="MA50" s="212" t="n"/>
      <c r="MB50" s="212" t="n"/>
      <c r="MC50" s="212" t="n"/>
      <c r="MD50" s="212" t="n"/>
      <c r="ME50" s="212" t="n"/>
      <c r="MF50" s="212" t="n"/>
      <c r="MG50" s="212" t="n"/>
      <c r="MH50" s="212" t="n"/>
      <c r="MI50" s="212" t="n"/>
      <c r="MJ50" s="212" t="n"/>
      <c r="MK50" s="212" t="n"/>
      <c r="ML50" s="212" t="n"/>
      <c r="MM50" s="212" t="n"/>
      <c r="MN50" s="212" t="n"/>
      <c r="MO50" s="212" t="n"/>
      <c r="MP50" s="212" t="n"/>
      <c r="MQ50" s="212" t="n"/>
      <c r="MR50" s="212" t="n"/>
      <c r="MS50" s="212" t="n"/>
      <c r="MT50" s="212" t="n"/>
      <c r="MU50" s="212" t="n"/>
      <c r="MV50" s="212" t="n"/>
      <c r="MW50" s="212" t="n"/>
      <c r="MX50" s="212" t="n"/>
      <c r="MY50" s="212" t="n"/>
      <c r="MZ50" s="212" t="n"/>
      <c r="NA50" s="212" t="n"/>
      <c r="NB50" s="212" t="n"/>
      <c r="NC50" s="212" t="n"/>
      <c r="ND50" s="212" t="n"/>
      <c r="NE50" s="212" t="n"/>
      <c r="NF50" s="212" t="n"/>
      <c r="NG50" s="212" t="n"/>
      <c r="NH50" s="212" t="n"/>
      <c r="NI50" s="212" t="n"/>
      <c r="NJ50" s="212" t="n"/>
      <c r="NK50" s="212" t="n"/>
      <c r="NL50" s="212" t="n"/>
      <c r="NM50" s="212" t="n"/>
      <c r="NN50" s="212" t="n"/>
      <c r="NO50" s="212" t="n"/>
      <c r="NP50" s="212" t="n"/>
      <c r="NQ50" s="212" t="n"/>
      <c r="NR50" s="212" t="n"/>
      <c r="NS50" s="212" t="n"/>
      <c r="NT50" s="212" t="n"/>
      <c r="NU50" s="212" t="n"/>
      <c r="NV50" s="212" t="n"/>
      <c r="NW50" s="212" t="n"/>
      <c r="NX50" s="212" t="n"/>
      <c r="NY50" s="212" t="n"/>
      <c r="NZ50" s="212" t="n"/>
      <c r="OA50" s="212" t="n"/>
      <c r="OB50" s="212" t="n"/>
      <c r="OC50" s="212" t="n"/>
      <c r="OD50" s="212" t="n"/>
      <c r="OE50" s="212" t="n"/>
      <c r="OF50" s="212" t="n"/>
      <c r="OG50" s="212" t="n"/>
      <c r="OH50" s="212" t="n"/>
      <c r="OI50" s="212" t="n"/>
      <c r="OJ50" s="212" t="n"/>
      <c r="OK50" s="212" t="n"/>
      <c r="OL50" s="212" t="n"/>
      <c r="OM50" s="212" t="n"/>
      <c r="ON50" s="212" t="n"/>
      <c r="OO50" s="212" t="n"/>
      <c r="OP50" s="212" t="n"/>
      <c r="OQ50" s="212" t="n"/>
      <c r="OR50" s="212" t="n"/>
      <c r="OS50" s="212" t="n"/>
      <c r="OT50" s="212" t="n"/>
      <c r="OU50" s="212" t="n"/>
      <c r="OV50" s="212" t="n"/>
      <c r="OW50" s="212" t="n"/>
      <c r="OX50" s="212" t="n"/>
      <c r="OY50" s="212" t="n"/>
      <c r="OZ50" s="212" t="n"/>
      <c r="PA50" s="212" t="n"/>
      <c r="PB50" s="212" t="n"/>
      <c r="PC50" s="212" t="n"/>
      <c r="PD50" s="212" t="n"/>
      <c r="PE50" s="212" t="n"/>
      <c r="PF50" s="212" t="n"/>
      <c r="PG50" s="212" t="n"/>
      <c r="PH50" s="212" t="n"/>
      <c r="PI50" s="212" t="n"/>
      <c r="PJ50" s="212" t="n"/>
      <c r="PK50" s="212" t="n"/>
      <c r="PL50" s="212" t="n"/>
      <c r="PM50" s="212" t="n"/>
      <c r="PN50" s="212" t="n"/>
      <c r="PO50" s="212" t="n"/>
      <c r="PP50" s="212" t="n"/>
      <c r="PQ50" s="212" t="n"/>
      <c r="PR50" s="212" t="n"/>
      <c r="PS50" s="212" t="n"/>
      <c r="PT50" s="212" t="n"/>
      <c r="PU50" s="212" t="n"/>
      <c r="PV50" s="212" t="n"/>
      <c r="PW50" s="212" t="n"/>
      <c r="PX50" s="212" t="n"/>
      <c r="PY50" s="212" t="n"/>
      <c r="PZ50" s="212" t="n"/>
      <c r="QA50" s="212" t="n"/>
      <c r="QB50" s="212" t="n"/>
      <c r="QC50" s="212" t="n"/>
      <c r="QD50" s="212" t="n"/>
      <c r="QE50" s="212" t="n"/>
      <c r="QF50" s="212" t="n"/>
      <c r="QG50" s="212" t="n"/>
      <c r="QH50" s="212" t="n"/>
      <c r="QI50" s="212" t="n"/>
      <c r="QJ50" s="212" t="n"/>
      <c r="QK50" s="212" t="n"/>
      <c r="QL50" s="212" t="n"/>
      <c r="QM50" s="212" t="n"/>
      <c r="QN50" s="212" t="n"/>
      <c r="QO50" s="212" t="n"/>
      <c r="QP50" s="212" t="n"/>
      <c r="QQ50" s="212" t="n"/>
      <c r="QR50" s="212" t="n"/>
      <c r="QS50" s="212" t="n"/>
      <c r="QT50" s="212" t="n"/>
      <c r="QU50" s="212" t="n"/>
      <c r="QV50" s="212" t="n"/>
      <c r="QW50" s="212" t="n"/>
      <c r="QX50" s="212" t="n"/>
      <c r="QY50" s="212" t="n"/>
      <c r="QZ50" s="212" t="n"/>
      <c r="RA50" s="212" t="n"/>
      <c r="RB50" s="212" t="n"/>
      <c r="RC50" s="212" t="n"/>
      <c r="RD50" s="212" t="n"/>
      <c r="RE50" s="212" t="n"/>
      <c r="RF50" s="212" t="n"/>
      <c r="RG50" s="212" t="n"/>
      <c r="RH50" s="212" t="n"/>
      <c r="RI50" s="212" t="n"/>
      <c r="RJ50" s="212" t="n"/>
      <c r="RK50" s="212" t="n"/>
      <c r="RL50" s="212" t="n"/>
      <c r="RM50" s="212" t="n"/>
      <c r="RN50" s="212" t="n"/>
      <c r="RO50" s="212" t="n"/>
      <c r="RP50" s="212" t="n"/>
      <c r="RQ50" s="212" t="n"/>
      <c r="RR50" s="212" t="n"/>
      <c r="RS50" s="212" t="n"/>
      <c r="RT50" s="212" t="n"/>
      <c r="RU50" s="212" t="n"/>
      <c r="RV50" s="212" t="n"/>
      <c r="RW50" s="212" t="n"/>
      <c r="RX50" s="212" t="n"/>
      <c r="RY50" s="212" t="n"/>
      <c r="RZ50" s="212" t="n"/>
      <c r="SA50" s="212" t="n"/>
      <c r="SB50" s="212" t="n"/>
      <c r="SC50" s="212" t="n"/>
      <c r="SD50" s="212" t="n"/>
      <c r="SE50" s="212" t="n"/>
      <c r="SF50" s="212" t="n"/>
      <c r="SG50" s="212" t="n"/>
      <c r="SH50" s="212" t="n"/>
      <c r="SI50" s="212" t="n"/>
      <c r="SJ50" s="212" t="n"/>
      <c r="SK50" s="212" t="n"/>
      <c r="SL50" s="212" t="n"/>
      <c r="SM50" s="212" t="n"/>
      <c r="SN50" s="212" t="n"/>
      <c r="SO50" s="212" t="n"/>
      <c r="SP50" s="212" t="n"/>
      <c r="SQ50" s="212" t="n"/>
      <c r="SR50" s="212" t="n"/>
      <c r="SS50" s="212" t="n"/>
      <c r="ST50" s="212" t="n"/>
      <c r="SU50" s="212" t="n"/>
      <c r="SV50" s="212" t="n"/>
    </row>
    <row r="51">
      <c r="B51" s="209" t="n">
        <v>2</v>
      </c>
      <c r="C51" s="209" t="inlineStr">
        <is>
          <t>Back Up</t>
        </is>
      </c>
      <c r="D51" s="209" t="inlineStr">
        <is>
          <t>David</t>
        </is>
      </c>
      <c r="E51" s="209" t="inlineStr">
        <is>
          <t>McGowan</t>
        </is>
      </c>
      <c r="F51" s="209">
        <f>IF(TRIM(D51&amp;E51)="","",TRIM(D51)&amp;" "&amp;TRIM(E51))</f>
        <v/>
      </c>
      <c r="G51" s="209" t="n"/>
      <c r="H51" s="209" t="inlineStr">
        <is>
          <t>Information Systems Tech</t>
        </is>
      </c>
      <c r="I51" s="209" t="inlineStr">
        <is>
          <t>YES</t>
        </is>
      </c>
      <c r="J51" s="209" t="inlineStr">
        <is>
          <t>YES</t>
        </is>
      </c>
      <c r="K51" s="209" t="inlineStr">
        <is>
          <t>YES</t>
        </is>
      </c>
      <c r="L51" s="209" t="inlineStr">
        <is>
          <t>YES</t>
        </is>
      </c>
      <c r="M51" s="209" t="inlineStr">
        <is>
          <t>Quals Complete</t>
        </is>
      </c>
      <c r="N51" s="209" t="inlineStr">
        <is>
          <t>dave@local.fm</t>
        </is>
      </c>
      <c r="O51" s="209" t="inlineStr">
        <is>
          <t>0418 937 302</t>
        </is>
      </c>
      <c r="P51" s="209" t="n">
        <v>244197</v>
      </c>
      <c r="Q51" s="209" t="n">
        <v>10789</v>
      </c>
      <c r="R51" s="209" t="inlineStr">
        <is>
          <t>2:1</t>
        </is>
      </c>
      <c r="S51" s="210" t="inlineStr">
        <is>
          <t>N/A</t>
        </is>
      </c>
      <c r="T51" s="210" t="inlineStr">
        <is>
          <t>N/A</t>
        </is>
      </c>
      <c r="U51" s="210" t="inlineStr">
        <is>
          <t>N/A</t>
        </is>
      </c>
      <c r="V51" s="210" t="inlineStr">
        <is>
          <t>N/A</t>
        </is>
      </c>
      <c r="W51" s="210" t="inlineStr">
        <is>
          <t>N/A</t>
        </is>
      </c>
      <c r="X51" s="210" t="inlineStr">
        <is>
          <t>N/A</t>
        </is>
      </c>
      <c r="Y51" s="210" t="inlineStr">
        <is>
          <t>N/A</t>
        </is>
      </c>
      <c r="Z51" s="210" t="inlineStr">
        <is>
          <t>N/A</t>
        </is>
      </c>
      <c r="AA51" s="210" t="inlineStr">
        <is>
          <t>N/A</t>
        </is>
      </c>
      <c r="AB51" s="210" t="inlineStr">
        <is>
          <t>N/A</t>
        </is>
      </c>
      <c r="AC51" s="210" t="inlineStr">
        <is>
          <t>N/A</t>
        </is>
      </c>
      <c r="AD51" s="210" t="inlineStr">
        <is>
          <t>N/A</t>
        </is>
      </c>
      <c r="AE51" s="210" t="inlineStr">
        <is>
          <t>N/A</t>
        </is>
      </c>
      <c r="AF51" s="210" t="inlineStr">
        <is>
          <t>N/A</t>
        </is>
      </c>
      <c r="AG51" s="210" t="inlineStr">
        <is>
          <t>N/A</t>
        </is>
      </c>
      <c r="AH51" s="210" t="inlineStr">
        <is>
          <t>N/A</t>
        </is>
      </c>
      <c r="AI51" s="210" t="inlineStr">
        <is>
          <t>N/A</t>
        </is>
      </c>
      <c r="AJ51" s="210" t="inlineStr">
        <is>
          <t>N/A</t>
        </is>
      </c>
      <c r="AK51" s="210" t="inlineStr">
        <is>
          <t>N/A</t>
        </is>
      </c>
      <c r="AL51" s="210" t="inlineStr">
        <is>
          <t>N/A</t>
        </is>
      </c>
      <c r="AM51" s="210" t="inlineStr">
        <is>
          <t>N/A</t>
        </is>
      </c>
      <c r="AN51" s="210" t="inlineStr">
        <is>
          <t>N/A</t>
        </is>
      </c>
      <c r="AO51" s="210" t="inlineStr">
        <is>
          <t>N/A</t>
        </is>
      </c>
      <c r="AP51" s="210" t="inlineStr">
        <is>
          <t>N/A</t>
        </is>
      </c>
      <c r="AQ51" s="210" t="inlineStr">
        <is>
          <t>N/A</t>
        </is>
      </c>
      <c r="AR51" s="210" t="inlineStr">
        <is>
          <t>N/A</t>
        </is>
      </c>
      <c r="AS51" s="210" t="inlineStr">
        <is>
          <t>N/A</t>
        </is>
      </c>
      <c r="AT51" s="210" t="inlineStr">
        <is>
          <t>N/A</t>
        </is>
      </c>
      <c r="AU51" s="210" t="inlineStr">
        <is>
          <t>N/A</t>
        </is>
      </c>
      <c r="AV51" s="210" t="inlineStr">
        <is>
          <t>N/A</t>
        </is>
      </c>
      <c r="AW51" s="210" t="inlineStr">
        <is>
          <t>N/A</t>
        </is>
      </c>
      <c r="AX51" s="210" t="inlineStr">
        <is>
          <t>N/A</t>
        </is>
      </c>
      <c r="AY51" s="210" t="inlineStr">
        <is>
          <t>N/A</t>
        </is>
      </c>
      <c r="AZ51" s="210" t="inlineStr">
        <is>
          <t>N/A</t>
        </is>
      </c>
      <c r="BA51" s="210" t="inlineStr">
        <is>
          <t>N/A</t>
        </is>
      </c>
      <c r="BB51" s="210" t="inlineStr">
        <is>
          <t>N/A</t>
        </is>
      </c>
      <c r="BC51" s="210" t="inlineStr">
        <is>
          <t>N/A</t>
        </is>
      </c>
      <c r="BD51" s="210" t="inlineStr">
        <is>
          <t>N/A</t>
        </is>
      </c>
      <c r="BE51" s="210" t="inlineStr">
        <is>
          <t>N/A</t>
        </is>
      </c>
      <c r="BF51" s="210" t="inlineStr">
        <is>
          <t>N/A</t>
        </is>
      </c>
      <c r="BG51" s="210" t="inlineStr">
        <is>
          <t>N/A</t>
        </is>
      </c>
      <c r="BH51" s="210" t="inlineStr">
        <is>
          <t>N/A</t>
        </is>
      </c>
      <c r="BI51" s="210" t="inlineStr">
        <is>
          <t>N/A</t>
        </is>
      </c>
      <c r="BJ51" s="210" t="inlineStr">
        <is>
          <t>N/A</t>
        </is>
      </c>
      <c r="BK51" s="210" t="inlineStr">
        <is>
          <t>N/A</t>
        </is>
      </c>
      <c r="BL51" s="210" t="inlineStr">
        <is>
          <t>N/A</t>
        </is>
      </c>
      <c r="BM51" s="210" t="inlineStr">
        <is>
          <t>N/A</t>
        </is>
      </c>
      <c r="BN51" s="210" t="inlineStr">
        <is>
          <t>N/A</t>
        </is>
      </c>
      <c r="BO51" s="210" t="inlineStr">
        <is>
          <t>N/A</t>
        </is>
      </c>
      <c r="BP51" s="210" t="inlineStr">
        <is>
          <t>N/A</t>
        </is>
      </c>
      <c r="BQ51" s="210" t="inlineStr">
        <is>
          <t>N/A</t>
        </is>
      </c>
      <c r="BR51" s="210" t="inlineStr">
        <is>
          <t>N/A</t>
        </is>
      </c>
      <c r="BS51" s="210" t="inlineStr">
        <is>
          <t>N/A</t>
        </is>
      </c>
      <c r="BT51" s="210" t="inlineStr">
        <is>
          <t>N/A</t>
        </is>
      </c>
      <c r="BU51" s="210" t="inlineStr">
        <is>
          <t>N/A</t>
        </is>
      </c>
      <c r="BV51" s="210" t="inlineStr">
        <is>
          <t>N/A</t>
        </is>
      </c>
      <c r="BW51" s="210" t="inlineStr">
        <is>
          <t>N/A</t>
        </is>
      </c>
      <c r="BX51" s="210" t="inlineStr">
        <is>
          <t>N/A</t>
        </is>
      </c>
      <c r="BY51" s="210" t="inlineStr">
        <is>
          <t>N/A</t>
        </is>
      </c>
      <c r="BZ51" s="210" t="inlineStr">
        <is>
          <t>N/A</t>
        </is>
      </c>
      <c r="CA51" s="210" t="inlineStr">
        <is>
          <t>N/A</t>
        </is>
      </c>
      <c r="CB51" s="210" t="inlineStr">
        <is>
          <t>N/A</t>
        </is>
      </c>
      <c r="CC51" s="224" t="inlineStr">
        <is>
          <t>DI PM
RDM</t>
        </is>
      </c>
      <c r="CD51" s="224" t="inlineStr">
        <is>
          <t>DO AM</t>
        </is>
      </c>
      <c r="CE51" s="210" t="inlineStr">
        <is>
          <t>N/A</t>
        </is>
      </c>
      <c r="CF51" s="224" t="inlineStr">
        <is>
          <t>DI PM
RDM</t>
        </is>
      </c>
      <c r="CG51" s="224" t="inlineStr">
        <is>
          <t>DO AM</t>
        </is>
      </c>
      <c r="CH51" s="210" t="inlineStr">
        <is>
          <t>N/A</t>
        </is>
      </c>
      <c r="CI51" s="210" t="inlineStr">
        <is>
          <t>N/A</t>
        </is>
      </c>
      <c r="CJ51" s="210" t="inlineStr">
        <is>
          <t>N/A</t>
        </is>
      </c>
      <c r="CK51" s="210" t="inlineStr">
        <is>
          <t>N/A</t>
        </is>
      </c>
      <c r="CL51" s="210" t="inlineStr">
        <is>
          <t>N/A</t>
        </is>
      </c>
      <c r="CM51" s="224" t="inlineStr">
        <is>
          <t>DI PM
RDM</t>
        </is>
      </c>
      <c r="CN51" s="224" t="inlineStr">
        <is>
          <t>DO AM</t>
        </is>
      </c>
      <c r="CO51" s="210" t="inlineStr">
        <is>
          <t>N/A</t>
        </is>
      </c>
      <c r="CP51" s="210" t="inlineStr">
        <is>
          <t>N/A</t>
        </is>
      </c>
      <c r="CQ51" s="210" t="inlineStr">
        <is>
          <t>N/A</t>
        </is>
      </c>
      <c r="CR51" s="210" t="inlineStr">
        <is>
          <t>N/A</t>
        </is>
      </c>
      <c r="CS51" s="210" t="inlineStr">
        <is>
          <t>N/A</t>
        </is>
      </c>
      <c r="CT51" s="210" t="inlineStr">
        <is>
          <t>N/A</t>
        </is>
      </c>
      <c r="CU51" s="210" t="inlineStr">
        <is>
          <t>N/A</t>
        </is>
      </c>
      <c r="CV51" s="210" t="inlineStr">
        <is>
          <t>N/A</t>
        </is>
      </c>
      <c r="CW51" s="210" t="inlineStr">
        <is>
          <t>N/A</t>
        </is>
      </c>
      <c r="CX51" s="210" t="inlineStr">
        <is>
          <t>N/A</t>
        </is>
      </c>
      <c r="CY51" s="210" t="inlineStr">
        <is>
          <t>N/A</t>
        </is>
      </c>
      <c r="CZ51" s="210" t="inlineStr">
        <is>
          <t>N/A</t>
        </is>
      </c>
      <c r="DA51" s="210" t="inlineStr">
        <is>
          <t>N/A</t>
        </is>
      </c>
      <c r="DB51" s="210" t="inlineStr">
        <is>
          <t>N/A</t>
        </is>
      </c>
      <c r="DC51" s="210" t="inlineStr">
        <is>
          <t>N/A</t>
        </is>
      </c>
      <c r="DD51" s="210" t="inlineStr">
        <is>
          <t>N/A</t>
        </is>
      </c>
      <c r="DE51" s="210" t="inlineStr">
        <is>
          <t>N/A</t>
        </is>
      </c>
      <c r="DF51" s="210" t="inlineStr">
        <is>
          <t>N/A</t>
        </is>
      </c>
      <c r="DG51" s="210" t="inlineStr">
        <is>
          <t>N/A</t>
        </is>
      </c>
      <c r="DH51" s="210" t="inlineStr">
        <is>
          <t>N/A</t>
        </is>
      </c>
      <c r="DI51" s="210" t="inlineStr">
        <is>
          <t>N/A</t>
        </is>
      </c>
      <c r="DJ51" s="210" t="inlineStr">
        <is>
          <t>N/A</t>
        </is>
      </c>
      <c r="DK51" s="210" t="inlineStr">
        <is>
          <t>N/A</t>
        </is>
      </c>
      <c r="DL51" s="210" t="inlineStr">
        <is>
          <t>N/A</t>
        </is>
      </c>
      <c r="DM51" s="210" t="inlineStr">
        <is>
          <t>N/A</t>
        </is>
      </c>
      <c r="DN51" s="210" t="inlineStr">
        <is>
          <t>N/A</t>
        </is>
      </c>
      <c r="DO51" s="210" t="inlineStr">
        <is>
          <t>N/A</t>
        </is>
      </c>
      <c r="DP51" s="210" t="inlineStr">
        <is>
          <t>N/A</t>
        </is>
      </c>
      <c r="DQ51" s="210" t="inlineStr">
        <is>
          <t>N/A</t>
        </is>
      </c>
      <c r="DR51" s="212" t="n"/>
      <c r="DS51" s="212" t="n"/>
      <c r="DT51" s="212" t="n"/>
      <c r="DU51" s="212" t="n"/>
      <c r="DV51" s="212" t="n"/>
      <c r="DW51" s="212" t="n"/>
      <c r="DX51" s="212" t="n"/>
      <c r="DY51" s="212" t="n"/>
      <c r="DZ51" s="212" t="n"/>
      <c r="EA51" s="212" t="n"/>
      <c r="EB51" s="212" t="n"/>
      <c r="EC51" s="212" t="n"/>
      <c r="ED51" s="212" t="n"/>
      <c r="EE51" s="212" t="n"/>
      <c r="EF51" s="212" t="n"/>
      <c r="EG51" s="212" t="n"/>
      <c r="EH51" s="212" t="n"/>
      <c r="EI51" s="212" t="n"/>
      <c r="EJ51" s="212" t="n"/>
      <c r="EK51" s="212" t="n"/>
      <c r="EL51" s="212" t="n"/>
      <c r="EM51" s="212" t="n"/>
      <c r="EN51" s="212" t="n"/>
      <c r="EO51" s="212" t="n"/>
      <c r="EP51" s="212" t="n"/>
      <c r="EQ51" s="212" t="n"/>
      <c r="ER51" s="212" t="n"/>
      <c r="ES51" s="212" t="n"/>
      <c r="ET51" s="212" t="n"/>
      <c r="EU51" s="212" t="n"/>
      <c r="EV51" s="212" t="n"/>
      <c r="EW51" s="212" t="n"/>
      <c r="EX51" s="212" t="n"/>
      <c r="EY51" s="212" t="n"/>
      <c r="EZ51" s="212" t="n"/>
      <c r="FA51" s="212" t="n"/>
      <c r="FB51" s="212" t="n"/>
      <c r="FC51" s="212" t="n"/>
      <c r="FD51" s="212" t="n"/>
      <c r="FE51" s="212" t="n"/>
      <c r="FF51" s="212" t="n"/>
      <c r="FG51" s="212" t="n"/>
      <c r="FH51" s="212" t="n"/>
      <c r="FI51" s="212" t="n"/>
      <c r="FJ51" s="212" t="n"/>
      <c r="FK51" s="212" t="n"/>
      <c r="FL51" s="212" t="n"/>
      <c r="FM51" s="212" t="n"/>
      <c r="FN51" s="212" t="n"/>
      <c r="FO51" s="212" t="n"/>
      <c r="FP51" s="212" t="n"/>
      <c r="FQ51" s="212" t="n"/>
      <c r="FR51" s="212" t="n"/>
      <c r="FS51" s="212" t="n"/>
      <c r="FT51" s="212" t="n"/>
      <c r="FU51" s="212" t="n"/>
      <c r="FV51" s="212" t="n"/>
      <c r="FW51" s="212" t="n"/>
      <c r="FX51" s="212" t="n"/>
      <c r="FY51" s="212" t="n"/>
      <c r="FZ51" s="212" t="n"/>
      <c r="GA51" s="212" t="n"/>
      <c r="GB51" s="212" t="n"/>
      <c r="GC51" s="212" t="n"/>
      <c r="GD51" s="212" t="n"/>
      <c r="GE51" s="212" t="n"/>
      <c r="GF51" s="212" t="n"/>
      <c r="GG51" s="212" t="n"/>
      <c r="GH51" s="212" t="n"/>
      <c r="GI51" s="212" t="n"/>
      <c r="GJ51" s="212" t="n"/>
      <c r="GK51" s="212" t="n"/>
      <c r="GL51" s="212" t="n"/>
      <c r="GM51" s="212" t="n"/>
      <c r="GN51" s="212" t="n"/>
      <c r="GO51" s="212" t="n"/>
      <c r="GP51" s="212" t="n"/>
      <c r="GQ51" s="212" t="n"/>
      <c r="GR51" s="212" t="n"/>
      <c r="GS51" s="212" t="n"/>
      <c r="GT51" s="212" t="n"/>
      <c r="GU51" s="212" t="n"/>
      <c r="GV51" s="212" t="n"/>
      <c r="GW51" s="212" t="n"/>
      <c r="GX51" s="212" t="n"/>
      <c r="GY51" s="212" t="n"/>
      <c r="GZ51" s="212" t="n"/>
      <c r="HA51" s="212" t="n"/>
      <c r="HB51" s="212" t="n"/>
      <c r="HC51" s="212" t="n"/>
      <c r="HD51" s="212" t="n"/>
      <c r="HE51" s="212" t="n"/>
      <c r="HF51" s="212" t="n"/>
      <c r="HG51" s="212" t="n"/>
      <c r="HH51" s="212" t="n"/>
      <c r="HI51" s="212" t="n"/>
      <c r="HJ51" s="212" t="n"/>
      <c r="HK51" s="212" t="n"/>
      <c r="HL51" s="212" t="n"/>
      <c r="HM51" s="212" t="n"/>
      <c r="HN51" s="212" t="n"/>
      <c r="HO51" s="212" t="n"/>
      <c r="HP51" s="212" t="n"/>
      <c r="HQ51" s="212" t="n"/>
      <c r="HR51" s="212" t="n"/>
      <c r="HS51" s="212" t="n"/>
      <c r="HT51" s="212" t="n"/>
      <c r="HU51" s="212" t="n"/>
      <c r="HV51" s="212" t="n"/>
      <c r="HW51" s="212" t="n"/>
      <c r="HX51" s="212" t="n"/>
      <c r="HY51" s="212" t="n"/>
      <c r="HZ51" s="212" t="n"/>
      <c r="IA51" s="212" t="n"/>
      <c r="IB51" s="212" t="n"/>
      <c r="IC51" s="212" t="n"/>
      <c r="ID51" s="212" t="n"/>
      <c r="IE51" s="212" t="n"/>
      <c r="IF51" s="212" t="n"/>
      <c r="IG51" s="212" t="n"/>
      <c r="IH51" s="212" t="n"/>
      <c r="II51" s="212" t="n"/>
      <c r="IJ51" s="212" t="n"/>
      <c r="IK51" s="212" t="n"/>
      <c r="IL51" s="212" t="n"/>
      <c r="IM51" s="212" t="n"/>
      <c r="IN51" s="212" t="n"/>
      <c r="IO51" s="212" t="n"/>
      <c r="IP51" s="212" t="n"/>
      <c r="IQ51" s="212" t="n"/>
      <c r="IR51" s="212" t="n"/>
      <c r="IS51" s="212" t="n"/>
      <c r="IT51" s="212" t="n"/>
      <c r="IU51" s="212" t="n"/>
      <c r="IV51" s="212" t="n"/>
      <c r="IW51" s="212" t="n"/>
      <c r="IX51" s="212" t="n"/>
      <c r="IY51" s="212" t="n"/>
      <c r="IZ51" s="212" t="n"/>
      <c r="JA51" s="212" t="n"/>
      <c r="JB51" s="212" t="n"/>
      <c r="JC51" s="212" t="n"/>
      <c r="JD51" s="212" t="n"/>
      <c r="JE51" s="212" t="n"/>
      <c r="JF51" s="212" t="n"/>
      <c r="JG51" s="212" t="n"/>
      <c r="JH51" s="212" t="n"/>
      <c r="JI51" s="212" t="n"/>
      <c r="JJ51" s="212" t="n"/>
      <c r="JK51" s="212" t="n"/>
      <c r="JL51" s="212" t="n"/>
      <c r="JM51" s="212" t="n"/>
      <c r="JN51" s="212" t="n"/>
      <c r="JO51" s="212" t="n"/>
      <c r="JP51" s="212" t="n"/>
      <c r="JQ51" s="212" t="n"/>
      <c r="JR51" s="212" t="n"/>
      <c r="JS51" s="212" t="n"/>
      <c r="JT51" s="212" t="n"/>
      <c r="JU51" s="212" t="n"/>
      <c r="JV51" s="212" t="n"/>
      <c r="JW51" s="212" t="n"/>
      <c r="JX51" s="212" t="n"/>
      <c r="JY51" s="212" t="n"/>
      <c r="JZ51" s="212" t="n"/>
      <c r="KA51" s="212" t="n"/>
      <c r="KB51" s="212" t="n"/>
      <c r="KC51" s="212" t="n"/>
      <c r="KD51" s="212" t="n"/>
      <c r="KE51" s="212" t="n"/>
      <c r="KF51" s="212" t="n"/>
      <c r="KG51" s="212" t="n"/>
      <c r="KH51" s="212" t="n"/>
      <c r="KI51" s="212" t="n"/>
      <c r="KJ51" s="212" t="n"/>
      <c r="KK51" s="212" t="n"/>
      <c r="KL51" s="212" t="n"/>
      <c r="KM51" s="212" t="n"/>
      <c r="KN51" s="212" t="n"/>
      <c r="KO51" s="212" t="n"/>
      <c r="KP51" s="212" t="n"/>
      <c r="KQ51" s="212" t="n"/>
      <c r="KR51" s="212" t="n"/>
      <c r="KS51" s="212" t="n"/>
      <c r="KT51" s="212" t="n"/>
      <c r="KU51" s="212" t="n"/>
      <c r="KV51" s="212" t="n"/>
      <c r="KW51" s="212" t="n"/>
      <c r="KX51" s="212" t="n"/>
      <c r="KY51" s="212" t="n"/>
      <c r="KZ51" s="212" t="n"/>
      <c r="LA51" s="212" t="n"/>
      <c r="LB51" s="212" t="n"/>
      <c r="LC51" s="212" t="n"/>
      <c r="LD51" s="212" t="n"/>
      <c r="LE51" s="212" t="n"/>
      <c r="LF51" s="212" t="n"/>
      <c r="LG51" s="212" t="n"/>
      <c r="LH51" s="212" t="n"/>
      <c r="LI51" s="212" t="n"/>
      <c r="LJ51" s="212" t="n"/>
      <c r="LK51" s="212" t="n"/>
      <c r="LL51" s="212" t="n"/>
      <c r="LM51" s="212" t="n"/>
      <c r="LN51" s="212" t="n"/>
      <c r="LO51" s="212" t="n"/>
      <c r="LP51" s="212" t="n"/>
      <c r="LQ51" s="212" t="n"/>
      <c r="LR51" s="212" t="n"/>
      <c r="LS51" s="212" t="n"/>
      <c r="LT51" s="212" t="n"/>
      <c r="LU51" s="212" t="n"/>
      <c r="LV51" s="212" t="n"/>
      <c r="LW51" s="212" t="n"/>
      <c r="LX51" s="212" t="n"/>
      <c r="LY51" s="212" t="n"/>
      <c r="LZ51" s="212" t="n"/>
      <c r="MA51" s="212" t="n"/>
      <c r="MB51" s="212" t="n"/>
      <c r="MC51" s="212" t="n"/>
      <c r="MD51" s="212" t="n"/>
      <c r="ME51" s="212" t="n"/>
      <c r="MF51" s="212" t="n"/>
      <c r="MG51" s="212" t="n"/>
      <c r="MH51" s="212" t="n"/>
      <c r="MI51" s="212" t="n"/>
      <c r="MJ51" s="212" t="n"/>
      <c r="MK51" s="212" t="n"/>
      <c r="ML51" s="212" t="n"/>
      <c r="MM51" s="212" t="n"/>
      <c r="MN51" s="212" t="n"/>
      <c r="MO51" s="212" t="n"/>
      <c r="MP51" s="212" t="n"/>
      <c r="MQ51" s="212" t="n"/>
      <c r="MR51" s="212" t="n"/>
      <c r="MS51" s="212" t="n"/>
      <c r="MT51" s="212" t="n"/>
      <c r="MU51" s="212" t="n"/>
      <c r="MV51" s="212" t="n"/>
      <c r="MW51" s="212" t="n"/>
      <c r="MX51" s="212" t="n"/>
      <c r="MY51" s="212" t="n"/>
      <c r="MZ51" s="212" t="n"/>
      <c r="NA51" s="212" t="n"/>
      <c r="NB51" s="212" t="n"/>
      <c r="NC51" s="212" t="n"/>
      <c r="ND51" s="212" t="n"/>
      <c r="NE51" s="212" t="n"/>
      <c r="NF51" s="212" t="n"/>
      <c r="NG51" s="212" t="n"/>
      <c r="NH51" s="212" t="n"/>
      <c r="NI51" s="212" t="n"/>
      <c r="NJ51" s="212" t="n"/>
      <c r="NK51" s="212" t="n"/>
      <c r="NL51" s="212" t="n"/>
      <c r="NM51" s="212" t="n"/>
      <c r="NN51" s="212" t="n"/>
      <c r="NO51" s="212" t="n"/>
      <c r="NP51" s="212" t="n"/>
      <c r="NQ51" s="212" t="n"/>
      <c r="NR51" s="212" t="n"/>
      <c r="NS51" s="212" t="n"/>
      <c r="NT51" s="212" t="n"/>
      <c r="NU51" s="212" t="n"/>
      <c r="NV51" s="212" t="n"/>
      <c r="NW51" s="212" t="n"/>
      <c r="NX51" s="212" t="n"/>
      <c r="NY51" s="212" t="n"/>
      <c r="NZ51" s="212" t="n"/>
      <c r="OA51" s="212" t="n"/>
      <c r="OB51" s="212" t="n"/>
      <c r="OC51" s="212" t="n"/>
      <c r="OD51" s="212" t="n"/>
      <c r="OE51" s="212" t="n"/>
      <c r="OF51" s="212" t="n"/>
      <c r="OG51" s="212" t="n"/>
      <c r="OH51" s="212" t="n"/>
      <c r="OI51" s="212" t="n"/>
      <c r="OJ51" s="212" t="n"/>
      <c r="OK51" s="212" t="n"/>
      <c r="OL51" s="212" t="n"/>
      <c r="OM51" s="212" t="n"/>
      <c r="ON51" s="212" t="n"/>
      <c r="OO51" s="212" t="n"/>
      <c r="OP51" s="212" t="n"/>
      <c r="OQ51" s="212" t="n"/>
      <c r="OR51" s="212" t="n"/>
      <c r="OS51" s="212" t="n"/>
      <c r="OT51" s="212" t="n"/>
      <c r="OU51" s="212" t="n"/>
      <c r="OV51" s="212" t="n"/>
      <c r="OW51" s="212" t="n"/>
      <c r="OX51" s="212" t="n"/>
      <c r="OY51" s="212" t="n"/>
      <c r="OZ51" s="212" t="n"/>
      <c r="PA51" s="212" t="n"/>
      <c r="PB51" s="212" t="n"/>
      <c r="PC51" s="212" t="n"/>
      <c r="PD51" s="212" t="n"/>
      <c r="PE51" s="212" t="n"/>
      <c r="PF51" s="212" t="n"/>
      <c r="PG51" s="212" t="n"/>
      <c r="PH51" s="212" t="n"/>
      <c r="PI51" s="212" t="n"/>
      <c r="PJ51" s="212" t="n"/>
      <c r="PK51" s="212" t="n"/>
      <c r="PL51" s="212" t="n"/>
      <c r="PM51" s="212" t="n"/>
      <c r="PN51" s="212" t="n"/>
      <c r="PO51" s="212" t="n"/>
      <c r="PP51" s="212" t="n"/>
      <c r="PQ51" s="212" t="n"/>
      <c r="PR51" s="212" t="n"/>
      <c r="PS51" s="212" t="n"/>
      <c r="PT51" s="212" t="n"/>
      <c r="PU51" s="212" t="n"/>
      <c r="PV51" s="212" t="n"/>
      <c r="PW51" s="212" t="n"/>
      <c r="PX51" s="212" t="n"/>
      <c r="PY51" s="212" t="n"/>
      <c r="PZ51" s="212" t="n"/>
      <c r="QA51" s="212" t="n"/>
      <c r="QB51" s="212" t="n"/>
      <c r="QC51" s="212" t="n"/>
      <c r="QD51" s="212" t="n"/>
      <c r="QE51" s="212" t="n"/>
      <c r="QF51" s="212" t="n"/>
      <c r="QG51" s="212" t="n"/>
      <c r="QH51" s="212" t="n"/>
      <c r="QI51" s="212" t="n"/>
      <c r="QJ51" s="212" t="n"/>
      <c r="QK51" s="212" t="n"/>
      <c r="QL51" s="212" t="n"/>
      <c r="QM51" s="212" t="n"/>
      <c r="QN51" s="212" t="n"/>
      <c r="QO51" s="212" t="n"/>
      <c r="QP51" s="212" t="n"/>
      <c r="QQ51" s="212" t="n"/>
      <c r="QR51" s="212" t="n"/>
      <c r="QS51" s="212" t="n"/>
      <c r="QT51" s="212" t="n"/>
      <c r="QU51" s="212" t="n"/>
      <c r="QV51" s="212" t="n"/>
      <c r="QW51" s="212" t="n"/>
      <c r="QX51" s="212" t="n"/>
      <c r="QY51" s="212" t="n"/>
      <c r="QZ51" s="212" t="n"/>
      <c r="RA51" s="212" t="n"/>
      <c r="RB51" s="212" t="n"/>
      <c r="RC51" s="212" t="n"/>
      <c r="RD51" s="212" t="n"/>
      <c r="RE51" s="212" t="n"/>
      <c r="RF51" s="212" t="n"/>
      <c r="RG51" s="212" t="n"/>
      <c r="RH51" s="212" t="n"/>
      <c r="RI51" s="212" t="n"/>
      <c r="RJ51" s="212" t="n"/>
      <c r="RK51" s="212" t="n"/>
      <c r="RL51" s="212" t="n"/>
      <c r="RM51" s="212" t="n"/>
      <c r="RN51" s="212" t="n"/>
      <c r="RO51" s="212" t="n"/>
      <c r="RP51" s="212" t="n"/>
      <c r="RQ51" s="212" t="n"/>
      <c r="RR51" s="212" t="n"/>
      <c r="RS51" s="212" t="n"/>
      <c r="RT51" s="212" t="n"/>
      <c r="RU51" s="212" t="n"/>
      <c r="RV51" s="212" t="n"/>
      <c r="RW51" s="212" t="n"/>
      <c r="RX51" s="212" t="n"/>
      <c r="RY51" s="212" t="n"/>
      <c r="RZ51" s="212" t="n"/>
      <c r="SA51" s="212" t="n"/>
      <c r="SB51" s="212" t="n"/>
      <c r="SC51" s="212" t="n"/>
      <c r="SD51" s="212" t="n"/>
      <c r="SE51" s="212" t="n"/>
      <c r="SF51" s="212" t="n"/>
      <c r="SG51" s="212" t="n"/>
      <c r="SH51" s="212" t="n"/>
      <c r="SI51" s="212" t="n"/>
      <c r="SJ51" s="212" t="n"/>
      <c r="SK51" s="212" t="n"/>
      <c r="SL51" s="212" t="n"/>
      <c r="SM51" s="212" t="n"/>
      <c r="SN51" s="212" t="n"/>
      <c r="SO51" s="212" t="n"/>
      <c r="SP51" s="212" t="n"/>
      <c r="SQ51" s="212" t="n"/>
      <c r="SR51" s="212" t="n"/>
      <c r="SS51" s="212" t="n"/>
      <c r="ST51" s="212" t="n"/>
      <c r="SU51" s="212" t="n"/>
      <c r="SV51" s="212" t="n"/>
    </row>
    <row r="52">
      <c r="B52" s="209" t="n"/>
      <c r="C52" s="209" t="n"/>
      <c r="D52" s="209" t="n"/>
      <c r="E52" s="209" t="n"/>
      <c r="F52" s="209">
        <f>IF(TRIM(D52&amp;E52)="","",TRIM(D52)&amp;" "&amp;TRIM(E52))</f>
        <v/>
      </c>
      <c r="G52" s="209" t="n"/>
      <c r="H52" s="209" t="n"/>
      <c r="I52" s="209" t="n"/>
      <c r="J52" s="209" t="n"/>
      <c r="K52" s="209" t="n"/>
      <c r="L52" s="209" t="n"/>
      <c r="M52" s="209" t="n"/>
      <c r="N52" s="209" t="n"/>
      <c r="O52" s="209" t="n"/>
      <c r="P52" s="209" t="n"/>
      <c r="Q52" s="209" t="n"/>
      <c r="R52" s="209" t="n"/>
      <c r="S52" s="212" t="n"/>
      <c r="T52" s="212" t="n"/>
      <c r="U52" s="212" t="n"/>
      <c r="V52" s="212" t="n"/>
      <c r="W52" s="212" t="n"/>
      <c r="X52" s="212" t="n"/>
      <c r="Y52" s="212" t="n"/>
      <c r="Z52" s="212" t="n"/>
      <c r="AA52" s="212" t="n"/>
      <c r="AB52" s="212" t="n"/>
      <c r="AC52" s="212" t="n"/>
      <c r="AD52" s="212" t="n"/>
      <c r="AE52" s="212" t="n"/>
      <c r="AF52" s="212" t="n"/>
      <c r="AG52" s="212" t="n"/>
      <c r="AH52" s="212" t="n"/>
      <c r="AI52" s="212" t="n"/>
      <c r="AJ52" s="212" t="n"/>
      <c r="AK52" s="212" t="n"/>
      <c r="AL52" s="212" t="n"/>
      <c r="AM52" s="212" t="n"/>
      <c r="AN52" s="212" t="n"/>
      <c r="AO52" s="212" t="n"/>
      <c r="AP52" s="212" t="n"/>
      <c r="AQ52" s="212" t="n"/>
      <c r="AR52" s="212" t="n"/>
      <c r="AS52" s="212" t="n"/>
      <c r="AT52" s="212" t="n"/>
      <c r="AU52" s="212" t="n"/>
      <c r="AV52" s="212" t="n"/>
      <c r="AW52" s="212" t="n"/>
      <c r="AX52" s="212" t="n"/>
      <c r="AY52" s="212" t="n"/>
      <c r="AZ52" s="212" t="n"/>
      <c r="BA52" s="212" t="n"/>
      <c r="BB52" s="212" t="n"/>
      <c r="BC52" s="212" t="n"/>
      <c r="BD52" s="212" t="n"/>
      <c r="BE52" s="212" t="n"/>
      <c r="BF52" s="212" t="n"/>
      <c r="BG52" s="212" t="n"/>
      <c r="BH52" s="212" t="n"/>
      <c r="BI52" s="212" t="n"/>
      <c r="BJ52" s="212" t="n"/>
      <c r="BK52" s="212" t="n"/>
      <c r="BL52" s="212" t="n"/>
      <c r="BM52" s="212" t="n"/>
      <c r="BN52" s="212" t="n"/>
      <c r="BO52" s="212" t="n"/>
      <c r="BP52" s="212" t="n"/>
      <c r="BQ52" s="212" t="n"/>
      <c r="BR52" s="212" t="n"/>
      <c r="BS52" s="212" t="n"/>
      <c r="BT52" s="212" t="n"/>
      <c r="BU52" s="212" t="n"/>
      <c r="BV52" s="212" t="n"/>
      <c r="BW52" s="212" t="n"/>
      <c r="BX52" s="212" t="n"/>
      <c r="BY52" s="212" t="n"/>
      <c r="BZ52" s="212" t="n"/>
      <c r="CA52" s="212" t="n"/>
      <c r="CB52" s="212" t="n"/>
      <c r="CC52" s="212" t="n"/>
      <c r="CD52" s="212" t="n"/>
      <c r="CE52" s="212" t="n"/>
      <c r="CF52" s="212" t="n"/>
      <c r="CG52" s="212" t="n"/>
      <c r="CH52" s="212" t="n"/>
      <c r="CI52" s="212" t="n"/>
      <c r="CJ52" s="212" t="n"/>
      <c r="CK52" s="212" t="n"/>
      <c r="CL52" s="212" t="n"/>
      <c r="CM52" s="212" t="n"/>
      <c r="CN52" s="212" t="n"/>
      <c r="CO52" s="212" t="n"/>
      <c r="CP52" s="212" t="n"/>
      <c r="CQ52" s="212" t="n"/>
      <c r="CR52" s="212" t="n"/>
      <c r="CS52" s="212" t="n"/>
      <c r="CT52" s="212" t="n"/>
      <c r="CU52" s="212" t="n"/>
      <c r="CV52" s="212" t="n"/>
      <c r="CW52" s="212" t="n"/>
      <c r="CX52" s="212" t="n"/>
      <c r="CY52" s="212" t="n"/>
      <c r="CZ52" s="212" t="n"/>
      <c r="DA52" s="212" t="n"/>
      <c r="DB52" s="212" t="n"/>
      <c r="DC52" s="212" t="n"/>
      <c r="DD52" s="212" t="n"/>
      <c r="DE52" s="212" t="n"/>
      <c r="DF52" s="212" t="n"/>
      <c r="DG52" s="212" t="n"/>
      <c r="DH52" s="212" t="n"/>
      <c r="DI52" s="212" t="n"/>
      <c r="DJ52" s="212" t="n"/>
      <c r="DK52" s="212" t="n"/>
      <c r="DL52" s="212" t="n"/>
      <c r="DM52" s="212" t="n"/>
      <c r="DN52" s="212" t="n"/>
      <c r="DO52" s="212" t="n"/>
      <c r="DP52" s="212" t="n"/>
      <c r="DQ52" s="212" t="n"/>
      <c r="DR52" s="212" t="n"/>
      <c r="DS52" s="212" t="n"/>
      <c r="DT52" s="212" t="n"/>
      <c r="DU52" s="212" t="n"/>
      <c r="DV52" s="212" t="n"/>
      <c r="DW52" s="212" t="n"/>
      <c r="DX52" s="212" t="n"/>
      <c r="DY52" s="212" t="n"/>
      <c r="DZ52" s="212" t="n"/>
      <c r="EA52" s="212" t="n"/>
      <c r="EB52" s="212" t="n"/>
      <c r="EC52" s="212" t="n"/>
      <c r="ED52" s="212" t="n"/>
      <c r="EE52" s="212" t="n"/>
      <c r="EF52" s="212" t="n"/>
      <c r="EG52" s="212" t="n"/>
      <c r="EH52" s="212" t="n"/>
      <c r="EI52" s="212" t="n"/>
      <c r="EJ52" s="212" t="n"/>
      <c r="EK52" s="212" t="n"/>
      <c r="EL52" s="212" t="n"/>
      <c r="EM52" s="212" t="n"/>
      <c r="EN52" s="212" t="n"/>
      <c r="EO52" s="212" t="n"/>
      <c r="EP52" s="212" t="n"/>
      <c r="EQ52" s="212" t="n"/>
      <c r="ER52" s="212" t="n"/>
      <c r="ES52" s="212" t="n"/>
      <c r="ET52" s="212" t="n"/>
      <c r="EU52" s="212" t="n"/>
      <c r="EV52" s="212" t="n"/>
      <c r="EW52" s="212" t="n"/>
      <c r="EX52" s="212" t="n"/>
      <c r="EY52" s="212" t="n"/>
      <c r="EZ52" s="212" t="n"/>
      <c r="FA52" s="212" t="n"/>
      <c r="FB52" s="212" t="n"/>
      <c r="FC52" s="212" t="n"/>
      <c r="FD52" s="212" t="n"/>
      <c r="FE52" s="212" t="n"/>
      <c r="FF52" s="212" t="n"/>
      <c r="FG52" s="212" t="n"/>
      <c r="FH52" s="212" t="n"/>
      <c r="FI52" s="212" t="n"/>
      <c r="FJ52" s="212" t="n"/>
      <c r="FK52" s="212" t="n"/>
      <c r="FL52" s="212" t="n"/>
      <c r="FM52" s="212" t="n"/>
      <c r="FN52" s="212" t="n"/>
      <c r="FO52" s="212" t="n"/>
      <c r="FP52" s="212" t="n"/>
      <c r="FQ52" s="212" t="n"/>
      <c r="FR52" s="212" t="n"/>
      <c r="FS52" s="212" t="n"/>
      <c r="FT52" s="212" t="n"/>
      <c r="FU52" s="212" t="n"/>
      <c r="FV52" s="212" t="n"/>
      <c r="FW52" s="212" t="n"/>
      <c r="FX52" s="212" t="n"/>
      <c r="FY52" s="212" t="n"/>
      <c r="FZ52" s="212" t="n"/>
      <c r="GA52" s="212" t="n"/>
      <c r="GB52" s="212" t="n"/>
      <c r="GC52" s="212" t="n"/>
      <c r="GD52" s="212" t="n"/>
      <c r="GE52" s="212" t="n"/>
      <c r="GF52" s="212" t="n"/>
      <c r="GG52" s="212" t="n"/>
      <c r="GH52" s="212" t="n"/>
      <c r="GI52" s="212" t="n"/>
      <c r="GJ52" s="212" t="n"/>
      <c r="GK52" s="212" t="n"/>
      <c r="GL52" s="212" t="n"/>
      <c r="GM52" s="212" t="n"/>
      <c r="GN52" s="212" t="n"/>
      <c r="GO52" s="212" t="n"/>
      <c r="GP52" s="212" t="n"/>
      <c r="GQ52" s="212" t="n"/>
      <c r="GR52" s="212" t="n"/>
      <c r="GS52" s="212" t="n"/>
      <c r="GT52" s="212" t="n"/>
      <c r="GU52" s="212" t="n"/>
      <c r="GV52" s="212" t="n"/>
      <c r="GW52" s="212" t="n"/>
      <c r="GX52" s="212" t="n"/>
      <c r="GY52" s="212" t="n"/>
      <c r="GZ52" s="212" t="n"/>
      <c r="HA52" s="212" t="n"/>
      <c r="HB52" s="212" t="n"/>
      <c r="HC52" s="212" t="n"/>
      <c r="HD52" s="212" t="n"/>
      <c r="HE52" s="212" t="n"/>
      <c r="HF52" s="212" t="n"/>
      <c r="HG52" s="212" t="n"/>
      <c r="HH52" s="212" t="n"/>
      <c r="HI52" s="212" t="n"/>
      <c r="HJ52" s="212" t="n"/>
      <c r="HK52" s="212" t="n"/>
      <c r="HL52" s="212" t="n"/>
      <c r="HM52" s="212" t="n"/>
      <c r="HN52" s="212" t="n"/>
      <c r="HO52" s="212" t="n"/>
      <c r="HP52" s="212" t="n"/>
      <c r="HQ52" s="212" t="n"/>
      <c r="HR52" s="212" t="n"/>
      <c r="HS52" s="212" t="n"/>
      <c r="HT52" s="212" t="n"/>
      <c r="HU52" s="212" t="n"/>
      <c r="HV52" s="212" t="n"/>
      <c r="HW52" s="212" t="n"/>
      <c r="HX52" s="212" t="n"/>
      <c r="HY52" s="212" t="n"/>
      <c r="HZ52" s="212" t="n"/>
      <c r="IA52" s="212" t="n"/>
      <c r="IB52" s="212" t="n"/>
      <c r="IC52" s="212" t="n"/>
      <c r="ID52" s="212" t="n"/>
      <c r="IE52" s="212" t="n"/>
      <c r="IF52" s="212" t="n"/>
      <c r="IG52" s="212" t="n"/>
      <c r="IH52" s="212" t="n"/>
      <c r="II52" s="212" t="n"/>
      <c r="IJ52" s="212" t="n"/>
      <c r="IK52" s="212" t="n"/>
      <c r="IL52" s="212" t="n"/>
      <c r="IM52" s="212" t="n"/>
      <c r="IN52" s="212" t="n"/>
      <c r="IO52" s="212" t="n"/>
      <c r="IP52" s="212" t="n"/>
      <c r="IQ52" s="212" t="n"/>
      <c r="IR52" s="212" t="n"/>
      <c r="IS52" s="212" t="n"/>
      <c r="IT52" s="212" t="n"/>
      <c r="IU52" s="212" t="n"/>
      <c r="IV52" s="212" t="n"/>
      <c r="IW52" s="212" t="n"/>
      <c r="IX52" s="212" t="n"/>
      <c r="IY52" s="212" t="n"/>
      <c r="IZ52" s="212" t="n"/>
      <c r="JA52" s="212" t="n"/>
      <c r="JB52" s="212" t="n"/>
      <c r="JC52" s="212" t="n"/>
      <c r="JD52" s="212" t="n"/>
      <c r="JE52" s="212" t="n"/>
      <c r="JF52" s="212" t="n"/>
      <c r="JG52" s="212" t="n"/>
      <c r="JH52" s="212" t="n"/>
      <c r="JI52" s="212" t="n"/>
      <c r="JJ52" s="212" t="n"/>
      <c r="JK52" s="212" t="n"/>
      <c r="JL52" s="212" t="n"/>
      <c r="JM52" s="212" t="n"/>
      <c r="JN52" s="212" t="n"/>
      <c r="JO52" s="212" t="n"/>
      <c r="JP52" s="212" t="n"/>
      <c r="JQ52" s="212" t="n"/>
      <c r="JR52" s="212" t="n"/>
      <c r="JS52" s="212" t="n"/>
      <c r="JT52" s="212" t="n"/>
      <c r="JU52" s="212" t="n"/>
      <c r="JV52" s="212" t="n"/>
      <c r="JW52" s="212" t="n"/>
      <c r="JX52" s="212" t="n"/>
      <c r="JY52" s="212" t="n"/>
      <c r="JZ52" s="212" t="n"/>
      <c r="KA52" s="212" t="n"/>
      <c r="KB52" s="212" t="n"/>
      <c r="KC52" s="212" t="n"/>
      <c r="KD52" s="212" t="n"/>
      <c r="KE52" s="212" t="n"/>
      <c r="KF52" s="212" t="n"/>
      <c r="KG52" s="212" t="n"/>
      <c r="KH52" s="212" t="n"/>
      <c r="KI52" s="212" t="n"/>
      <c r="KJ52" s="212" t="n"/>
      <c r="KK52" s="212" t="n"/>
      <c r="KL52" s="212" t="n"/>
      <c r="KM52" s="212" t="n"/>
      <c r="KN52" s="212" t="n"/>
      <c r="KO52" s="212" t="n"/>
      <c r="KP52" s="212" t="n"/>
      <c r="KQ52" s="212" t="n"/>
      <c r="KR52" s="212" t="n"/>
      <c r="KS52" s="212" t="n"/>
      <c r="KT52" s="212" t="n"/>
      <c r="KU52" s="212" t="n"/>
      <c r="KV52" s="212" t="n"/>
      <c r="KW52" s="212" t="n"/>
      <c r="KX52" s="212" t="n"/>
      <c r="KY52" s="212" t="n"/>
      <c r="KZ52" s="212" t="n"/>
      <c r="LA52" s="212" t="n"/>
      <c r="LB52" s="212" t="n"/>
      <c r="LC52" s="212" t="n"/>
      <c r="LD52" s="212" t="n"/>
      <c r="LE52" s="212" t="n"/>
      <c r="LF52" s="212" t="n"/>
      <c r="LG52" s="212" t="n"/>
      <c r="LH52" s="212" t="n"/>
      <c r="LI52" s="212" t="n"/>
      <c r="LJ52" s="212" t="n"/>
      <c r="LK52" s="212" t="n"/>
      <c r="LL52" s="212" t="n"/>
      <c r="LM52" s="212" t="n"/>
      <c r="LN52" s="212" t="n"/>
      <c r="LO52" s="212" t="n"/>
      <c r="LP52" s="212" t="n"/>
      <c r="LQ52" s="212" t="n"/>
      <c r="LR52" s="212" t="n"/>
      <c r="LS52" s="212" t="n"/>
      <c r="LT52" s="212" t="n"/>
      <c r="LU52" s="212" t="n"/>
      <c r="LV52" s="212" t="n"/>
      <c r="LW52" s="212" t="n"/>
      <c r="LX52" s="212" t="n"/>
      <c r="LY52" s="212" t="n"/>
      <c r="LZ52" s="212" t="n"/>
      <c r="MA52" s="212" t="n"/>
      <c r="MB52" s="212" t="n"/>
      <c r="MC52" s="212" t="n"/>
      <c r="MD52" s="212" t="n"/>
      <c r="ME52" s="212" t="n"/>
      <c r="MF52" s="212" t="n"/>
      <c r="MG52" s="212" t="n"/>
      <c r="MH52" s="212" t="n"/>
      <c r="MI52" s="212" t="n"/>
      <c r="MJ52" s="212" t="n"/>
      <c r="MK52" s="212" t="n"/>
      <c r="ML52" s="212" t="n"/>
      <c r="MM52" s="212" t="n"/>
      <c r="MN52" s="212" t="n"/>
      <c r="MO52" s="212" t="n"/>
      <c r="MP52" s="212" t="n"/>
      <c r="MQ52" s="212" t="n"/>
      <c r="MR52" s="212" t="n"/>
      <c r="MS52" s="212" t="n"/>
      <c r="MT52" s="212" t="n"/>
      <c r="MU52" s="212" t="n"/>
      <c r="MV52" s="212" t="n"/>
      <c r="MW52" s="212" t="n"/>
      <c r="MX52" s="212" t="n"/>
      <c r="MY52" s="212" t="n"/>
      <c r="MZ52" s="212" t="n"/>
      <c r="NA52" s="212" t="n"/>
      <c r="NB52" s="212" t="n"/>
      <c r="NC52" s="212" t="n"/>
      <c r="ND52" s="212" t="n"/>
      <c r="NE52" s="212" t="n"/>
      <c r="NF52" s="212" t="n"/>
      <c r="NG52" s="212" t="n"/>
      <c r="NH52" s="212" t="n"/>
      <c r="NI52" s="212" t="n"/>
      <c r="NJ52" s="212" t="n"/>
      <c r="NK52" s="212" t="n"/>
      <c r="NL52" s="212" t="n"/>
      <c r="NM52" s="212" t="n"/>
      <c r="NN52" s="212" t="n"/>
      <c r="NO52" s="212" t="n"/>
      <c r="NP52" s="212" t="n"/>
      <c r="NQ52" s="212" t="n"/>
      <c r="NR52" s="212" t="n"/>
      <c r="NS52" s="212" t="n"/>
      <c r="NT52" s="212" t="n"/>
      <c r="NU52" s="212" t="n"/>
      <c r="NV52" s="212" t="n"/>
      <c r="NW52" s="212" t="n"/>
      <c r="NX52" s="212" t="n"/>
      <c r="NY52" s="212" t="n"/>
      <c r="NZ52" s="212" t="n"/>
      <c r="OA52" s="212" t="n"/>
      <c r="OB52" s="212" t="n"/>
      <c r="OC52" s="212" t="n"/>
      <c r="OD52" s="212" t="n"/>
      <c r="OE52" s="212" t="n"/>
      <c r="OF52" s="212" t="n"/>
      <c r="OG52" s="212" t="n"/>
      <c r="OH52" s="212" t="n"/>
      <c r="OI52" s="212" t="n"/>
      <c r="OJ52" s="212" t="n"/>
      <c r="OK52" s="212" t="n"/>
      <c r="OL52" s="212" t="n"/>
      <c r="OM52" s="212" t="n"/>
      <c r="ON52" s="212" t="n"/>
      <c r="OO52" s="212" t="n"/>
      <c r="OP52" s="212" t="n"/>
      <c r="OQ52" s="212" t="n"/>
      <c r="OR52" s="212" t="n"/>
      <c r="OS52" s="212" t="n"/>
      <c r="OT52" s="212" t="n"/>
      <c r="OU52" s="212" t="n"/>
      <c r="OV52" s="212" t="n"/>
      <c r="OW52" s="212" t="n"/>
      <c r="OX52" s="212" t="n"/>
      <c r="OY52" s="212" t="n"/>
      <c r="OZ52" s="212" t="n"/>
      <c r="PA52" s="212" t="n"/>
      <c r="PB52" s="212" t="n"/>
      <c r="PC52" s="212" t="n"/>
      <c r="PD52" s="212" t="n"/>
      <c r="PE52" s="212" t="n"/>
      <c r="PF52" s="212" t="n"/>
      <c r="PG52" s="212" t="n"/>
      <c r="PH52" s="212" t="n"/>
      <c r="PI52" s="212" t="n"/>
      <c r="PJ52" s="212" t="n"/>
      <c r="PK52" s="212" t="n"/>
      <c r="PL52" s="212" t="n"/>
      <c r="PM52" s="212" t="n"/>
      <c r="PN52" s="212" t="n"/>
      <c r="PO52" s="212" t="n"/>
      <c r="PP52" s="212" t="n"/>
      <c r="PQ52" s="212" t="n"/>
      <c r="PR52" s="212" t="n"/>
      <c r="PS52" s="212" t="n"/>
      <c r="PT52" s="212" t="n"/>
      <c r="PU52" s="212" t="n"/>
      <c r="PV52" s="212" t="n"/>
      <c r="PW52" s="212" t="n"/>
      <c r="PX52" s="212" t="n"/>
      <c r="PY52" s="212" t="n"/>
      <c r="PZ52" s="212" t="n"/>
      <c r="QA52" s="212" t="n"/>
      <c r="QB52" s="212" t="n"/>
      <c r="QC52" s="212" t="n"/>
      <c r="QD52" s="212" t="n"/>
      <c r="QE52" s="212" t="n"/>
      <c r="QF52" s="212" t="n"/>
      <c r="QG52" s="212" t="n"/>
      <c r="QH52" s="212" t="n"/>
      <c r="QI52" s="212" t="n"/>
      <c r="QJ52" s="212" t="n"/>
      <c r="QK52" s="212" t="n"/>
      <c r="QL52" s="212" t="n"/>
      <c r="QM52" s="212" t="n"/>
      <c r="QN52" s="212" t="n"/>
      <c r="QO52" s="212" t="n"/>
      <c r="QP52" s="212" t="n"/>
      <c r="QQ52" s="212" t="n"/>
      <c r="QR52" s="212" t="n"/>
      <c r="QS52" s="212" t="n"/>
      <c r="QT52" s="212" t="n"/>
      <c r="QU52" s="212" t="n"/>
      <c r="QV52" s="212" t="n"/>
      <c r="QW52" s="212" t="n"/>
      <c r="QX52" s="212" t="n"/>
      <c r="QY52" s="212" t="n"/>
      <c r="QZ52" s="212" t="n"/>
      <c r="RA52" s="212" t="n"/>
      <c r="RB52" s="212" t="n"/>
      <c r="RC52" s="212" t="n"/>
      <c r="RD52" s="212" t="n"/>
      <c r="RE52" s="212" t="n"/>
      <c r="RF52" s="212" t="n"/>
      <c r="RG52" s="212" t="n"/>
      <c r="RH52" s="212" t="n"/>
      <c r="RI52" s="212" t="n"/>
      <c r="RJ52" s="212" t="n"/>
      <c r="RK52" s="212" t="n"/>
      <c r="RL52" s="212" t="n"/>
      <c r="RM52" s="212" t="n"/>
      <c r="RN52" s="212" t="n"/>
      <c r="RO52" s="212" t="n"/>
      <c r="RP52" s="212" t="n"/>
      <c r="RQ52" s="212" t="n"/>
      <c r="RR52" s="212" t="n"/>
      <c r="RS52" s="212" t="n"/>
      <c r="RT52" s="212" t="n"/>
      <c r="RU52" s="212" t="n"/>
      <c r="RV52" s="212" t="n"/>
      <c r="RW52" s="212" t="n"/>
      <c r="RX52" s="212" t="n"/>
      <c r="RY52" s="212" t="n"/>
      <c r="RZ52" s="212" t="n"/>
      <c r="SA52" s="212" t="n"/>
      <c r="SB52" s="212" t="n"/>
      <c r="SC52" s="212" t="n"/>
      <c r="SD52" s="212" t="n"/>
      <c r="SE52" s="212" t="n"/>
      <c r="SF52" s="212" t="n"/>
      <c r="SG52" s="212" t="n"/>
      <c r="SH52" s="212" t="n"/>
      <c r="SI52" s="212" t="n"/>
      <c r="SJ52" s="212" t="n"/>
      <c r="SK52" s="212" t="n"/>
      <c r="SL52" s="212" t="n"/>
      <c r="SM52" s="212" t="n"/>
      <c r="SN52" s="212" t="n"/>
      <c r="SO52" s="212" t="n"/>
      <c r="SP52" s="212" t="n"/>
      <c r="SQ52" s="212" t="n"/>
      <c r="SR52" s="212" t="n"/>
      <c r="SS52" s="212" t="n"/>
      <c r="ST52" s="212" t="n"/>
      <c r="SU52" s="212" t="n"/>
      <c r="SV52" s="212" t="n"/>
    </row>
    <row r="53">
      <c r="B53" s="207" t="n"/>
      <c r="C53" s="207" t="inlineStr">
        <is>
          <t>Track Protection Officers (Standby)</t>
        </is>
      </c>
      <c r="D53" s="207" t="n"/>
      <c r="E53" s="207" t="n"/>
      <c r="F53" s="207">
        <f>IF(TRIM(D53&amp;E53)="","",TRIM(D53)&amp;" "&amp;TRIM(E53))</f>
        <v/>
      </c>
      <c r="G53" s="207" t="n"/>
      <c r="H53" s="207" t="n"/>
      <c r="I53" s="207" t="n"/>
      <c r="J53" s="207" t="n"/>
      <c r="K53" s="207" t="n"/>
      <c r="L53" s="207" t="n"/>
      <c r="M53" s="207" t="n"/>
      <c r="N53" s="207" t="n"/>
      <c r="O53" s="207" t="n"/>
      <c r="P53" s="207" t="n"/>
      <c r="Q53" s="207" t="n"/>
      <c r="R53" s="207" t="n"/>
      <c r="S53" s="208" t="n"/>
      <c r="T53" s="208" t="n"/>
      <c r="U53" s="208" t="n"/>
      <c r="V53" s="208" t="n"/>
      <c r="W53" s="208" t="n"/>
      <c r="X53" s="208" t="n"/>
      <c r="Y53" s="208" t="n"/>
      <c r="Z53" s="208" t="n"/>
      <c r="AA53" s="208" t="n"/>
      <c r="AB53" s="208" t="n"/>
      <c r="AC53" s="208" t="n"/>
      <c r="AD53" s="208" t="n"/>
      <c r="AE53" s="208" t="n"/>
      <c r="AF53" s="208" t="n"/>
      <c r="AG53" s="208" t="n"/>
      <c r="AH53" s="208" t="n"/>
      <c r="AI53" s="208" t="n"/>
      <c r="AJ53" s="208" t="n"/>
      <c r="AK53" s="208" t="n"/>
      <c r="AL53" s="208" t="n"/>
      <c r="AM53" s="208" t="n"/>
      <c r="AN53" s="208" t="n"/>
      <c r="AO53" s="208" t="n"/>
      <c r="AP53" s="208" t="n"/>
      <c r="AQ53" s="208" t="n"/>
      <c r="AR53" s="208" t="n"/>
      <c r="AS53" s="208" t="n"/>
      <c r="AT53" s="208" t="n"/>
      <c r="AU53" s="208" t="n"/>
      <c r="AV53" s="208" t="n"/>
      <c r="AW53" s="208" t="n"/>
      <c r="AX53" s="208" t="n"/>
      <c r="AY53" s="208" t="n"/>
      <c r="AZ53" s="208" t="n"/>
      <c r="BA53" s="208" t="n"/>
      <c r="BB53" s="208" t="n"/>
      <c r="BC53" s="208" t="n"/>
      <c r="BD53" s="208" t="n"/>
      <c r="BE53" s="208" t="n"/>
      <c r="BF53" s="208" t="n"/>
      <c r="BG53" s="208" t="n"/>
      <c r="BH53" s="208" t="n"/>
      <c r="BI53" s="208" t="n"/>
      <c r="BJ53" s="208" t="n"/>
      <c r="BK53" s="208" t="n"/>
      <c r="BL53" s="208" t="n"/>
      <c r="BM53" s="208" t="n"/>
      <c r="BN53" s="208" t="n"/>
      <c r="BO53" s="208" t="n"/>
      <c r="BP53" s="208" t="n"/>
      <c r="BQ53" s="208" t="n"/>
      <c r="BR53" s="208" t="n"/>
      <c r="BS53" s="208" t="n"/>
      <c r="BT53" s="208" t="n"/>
      <c r="BU53" s="208" t="n"/>
      <c r="BV53" s="208" t="n"/>
      <c r="BW53" s="208" t="n"/>
      <c r="BX53" s="208" t="n"/>
      <c r="BY53" s="208" t="n"/>
      <c r="BZ53" s="208" t="n"/>
      <c r="CA53" s="208" t="n"/>
      <c r="CB53" s="208" t="n"/>
      <c r="CC53" s="208" t="n"/>
      <c r="CD53" s="208" t="n"/>
      <c r="CE53" s="208" t="n"/>
      <c r="CF53" s="208" t="n"/>
      <c r="CG53" s="208" t="n"/>
      <c r="CH53" s="208" t="n"/>
      <c r="CI53" s="208" t="n"/>
      <c r="CJ53" s="208" t="n"/>
      <c r="CK53" s="208" t="n"/>
      <c r="CL53" s="208" t="n"/>
      <c r="CM53" s="208" t="n"/>
      <c r="CN53" s="208" t="n"/>
      <c r="CO53" s="208" t="n"/>
      <c r="CP53" s="208" t="n"/>
      <c r="CQ53" s="208" t="n"/>
      <c r="CR53" s="208" t="n"/>
      <c r="CS53" s="208" t="n"/>
      <c r="CT53" s="208" t="n"/>
      <c r="CU53" s="208" t="n"/>
      <c r="CV53" s="208" t="n"/>
      <c r="CW53" s="208" t="n"/>
      <c r="CX53" s="208" t="n"/>
      <c r="CY53" s="208" t="n"/>
      <c r="CZ53" s="208" t="n"/>
      <c r="DA53" s="208" t="n"/>
      <c r="DB53" s="208" t="n"/>
      <c r="DC53" s="208" t="n"/>
      <c r="DD53" s="208" t="n"/>
      <c r="DE53" s="208" t="n"/>
      <c r="DF53" s="208" t="n"/>
      <c r="DG53" s="208" t="n"/>
      <c r="DH53" s="208" t="n"/>
      <c r="DI53" s="208" t="n"/>
      <c r="DJ53" s="208" t="n"/>
      <c r="DK53" s="208" t="n"/>
      <c r="DL53" s="208" t="n"/>
      <c r="DM53" s="208" t="n"/>
      <c r="DN53" s="208" t="n"/>
      <c r="DO53" s="208" t="n"/>
      <c r="DP53" s="208" t="n"/>
      <c r="DQ53" s="208" t="n"/>
      <c r="DR53" s="208" t="n"/>
      <c r="DS53" s="208" t="n"/>
      <c r="DT53" s="208" t="n"/>
      <c r="DU53" s="208" t="n"/>
      <c r="DV53" s="208" t="n"/>
      <c r="DW53" s="208" t="n"/>
      <c r="DX53" s="208" t="n"/>
      <c r="DY53" s="208" t="n"/>
      <c r="DZ53" s="208" t="n"/>
      <c r="EA53" s="208" t="n"/>
      <c r="EB53" s="208" t="n"/>
      <c r="EC53" s="208" t="n"/>
      <c r="ED53" s="208" t="n"/>
      <c r="EE53" s="208" t="n"/>
      <c r="EF53" s="208" t="n"/>
      <c r="EG53" s="208" t="n"/>
      <c r="EH53" s="208" t="n"/>
      <c r="EI53" s="208" t="n"/>
      <c r="EJ53" s="208" t="n"/>
      <c r="EK53" s="208" t="n"/>
      <c r="EL53" s="208" t="n"/>
      <c r="EM53" s="208" t="n"/>
      <c r="EN53" s="208" t="n"/>
      <c r="EO53" s="208" t="n"/>
      <c r="EP53" s="208" t="n"/>
      <c r="EQ53" s="208" t="n"/>
      <c r="ER53" s="208" t="n"/>
      <c r="ES53" s="208" t="n"/>
      <c r="ET53" s="208" t="n"/>
      <c r="EU53" s="208" t="n"/>
      <c r="EV53" s="208" t="n"/>
      <c r="EW53" s="208" t="n"/>
      <c r="EX53" s="208" t="n"/>
      <c r="EY53" s="208" t="n"/>
      <c r="EZ53" s="208" t="n"/>
      <c r="FA53" s="208" t="n"/>
      <c r="FB53" s="208" t="n"/>
      <c r="FC53" s="208" t="n"/>
      <c r="FD53" s="208" t="n"/>
      <c r="FE53" s="208" t="n"/>
      <c r="FF53" s="208" t="n"/>
      <c r="FG53" s="208" t="n"/>
      <c r="FH53" s="208" t="n"/>
      <c r="FI53" s="208" t="n"/>
      <c r="FJ53" s="208" t="n"/>
      <c r="FK53" s="208" t="n"/>
      <c r="FL53" s="208" t="n"/>
      <c r="FM53" s="208" t="n"/>
      <c r="FN53" s="208" t="n"/>
      <c r="FO53" s="208" t="n"/>
      <c r="FP53" s="208" t="n"/>
      <c r="FQ53" s="208" t="n"/>
      <c r="FR53" s="208" t="n"/>
      <c r="FS53" s="208" t="n"/>
      <c r="FT53" s="208" t="n"/>
      <c r="FU53" s="208" t="n"/>
      <c r="FV53" s="208" t="n"/>
      <c r="FW53" s="208" t="n"/>
      <c r="FX53" s="208" t="n"/>
      <c r="FY53" s="208" t="n"/>
      <c r="FZ53" s="208" t="n"/>
      <c r="GA53" s="208" t="n"/>
      <c r="GB53" s="208" t="n"/>
      <c r="GC53" s="208" t="n"/>
      <c r="GD53" s="208" t="n"/>
      <c r="GE53" s="208" t="n"/>
      <c r="GF53" s="208" t="n"/>
      <c r="GG53" s="208" t="n"/>
      <c r="GH53" s="208" t="n"/>
      <c r="GI53" s="208" t="n"/>
      <c r="GJ53" s="208" t="n"/>
      <c r="GK53" s="208" t="n"/>
      <c r="GL53" s="208" t="n"/>
      <c r="GM53" s="208" t="n"/>
      <c r="GN53" s="208" t="n"/>
      <c r="GO53" s="208" t="n"/>
      <c r="GP53" s="208" t="n"/>
      <c r="GQ53" s="208" t="n"/>
      <c r="GR53" s="208" t="n"/>
      <c r="GS53" s="208" t="n"/>
      <c r="GT53" s="208" t="n"/>
      <c r="GU53" s="208" t="n"/>
      <c r="GV53" s="208" t="n"/>
      <c r="GW53" s="208" t="n"/>
      <c r="GX53" s="208" t="n"/>
      <c r="GY53" s="208" t="n"/>
      <c r="GZ53" s="208" t="n"/>
      <c r="HA53" s="208" t="n"/>
      <c r="HB53" s="208" t="n"/>
      <c r="HC53" s="208" t="n"/>
      <c r="HD53" s="208" t="n"/>
      <c r="HE53" s="208" t="n"/>
      <c r="HF53" s="208" t="n"/>
      <c r="HG53" s="208" t="n"/>
      <c r="HH53" s="208" t="n"/>
      <c r="HI53" s="208" t="n"/>
      <c r="HJ53" s="208" t="n"/>
      <c r="HK53" s="208" t="n"/>
      <c r="HL53" s="208" t="n"/>
      <c r="HM53" s="208" t="n"/>
      <c r="HN53" s="208" t="n"/>
      <c r="HO53" s="208" t="n"/>
      <c r="HP53" s="208" t="n"/>
      <c r="HQ53" s="208" t="n"/>
      <c r="HR53" s="208" t="n"/>
      <c r="HS53" s="208" t="n"/>
      <c r="HT53" s="208" t="n"/>
      <c r="HU53" s="208" t="n"/>
      <c r="HV53" s="208" t="n"/>
      <c r="HW53" s="208" t="n"/>
      <c r="HX53" s="208" t="n"/>
      <c r="HY53" s="208" t="n"/>
      <c r="HZ53" s="208" t="n"/>
      <c r="IA53" s="208" t="n"/>
      <c r="IB53" s="208" t="n"/>
      <c r="IC53" s="208" t="n"/>
      <c r="ID53" s="208" t="n"/>
      <c r="IE53" s="208" t="n"/>
      <c r="IF53" s="208" t="n"/>
      <c r="IG53" s="208" t="n"/>
      <c r="IH53" s="208" t="n"/>
      <c r="II53" s="208" t="n"/>
      <c r="IJ53" s="208" t="n"/>
      <c r="IK53" s="208" t="n"/>
      <c r="IL53" s="208" t="n"/>
      <c r="IM53" s="208" t="n"/>
      <c r="IN53" s="208" t="n"/>
      <c r="IO53" s="208" t="n"/>
      <c r="IP53" s="208" t="n"/>
      <c r="IQ53" s="208" t="n"/>
      <c r="IR53" s="208" t="n"/>
      <c r="IS53" s="208" t="n"/>
      <c r="IT53" s="208" t="n"/>
      <c r="IU53" s="208" t="n"/>
      <c r="IV53" s="208" t="n"/>
      <c r="IW53" s="208" t="n"/>
      <c r="IX53" s="208" t="n"/>
      <c r="IY53" s="208" t="n"/>
      <c r="IZ53" s="208" t="n"/>
      <c r="JA53" s="208" t="n"/>
      <c r="JB53" s="208" t="n"/>
      <c r="JC53" s="208" t="n"/>
      <c r="JD53" s="208" t="n"/>
      <c r="JE53" s="208" t="n"/>
      <c r="JF53" s="208" t="n"/>
      <c r="JG53" s="208" t="n"/>
      <c r="JH53" s="208" t="n"/>
      <c r="JI53" s="208" t="n"/>
      <c r="JJ53" s="208" t="n"/>
      <c r="JK53" s="208" t="n"/>
      <c r="JL53" s="208" t="n"/>
      <c r="JM53" s="208" t="n"/>
      <c r="JN53" s="208" t="n"/>
      <c r="JO53" s="208" t="n"/>
      <c r="JP53" s="208" t="n"/>
      <c r="JQ53" s="208" t="n"/>
      <c r="JR53" s="208" t="n"/>
      <c r="JS53" s="208" t="n"/>
      <c r="JT53" s="208" t="n"/>
      <c r="JU53" s="208" t="n"/>
      <c r="JV53" s="208" t="n"/>
      <c r="JW53" s="208" t="n"/>
      <c r="JX53" s="208" t="n"/>
      <c r="JY53" s="208" t="n"/>
      <c r="JZ53" s="208" t="n"/>
      <c r="KA53" s="208" t="n"/>
      <c r="KB53" s="208" t="n"/>
      <c r="KC53" s="208" t="n"/>
      <c r="KD53" s="208" t="n"/>
      <c r="KE53" s="208" t="n"/>
      <c r="KF53" s="208" t="n"/>
      <c r="KG53" s="208" t="n"/>
      <c r="KH53" s="208" t="n"/>
      <c r="KI53" s="208" t="n"/>
      <c r="KJ53" s="208" t="n"/>
      <c r="KK53" s="208" t="n"/>
      <c r="KL53" s="208" t="n"/>
      <c r="KM53" s="208" t="n"/>
      <c r="KN53" s="208" t="n"/>
      <c r="KO53" s="208" t="n"/>
      <c r="KP53" s="208" t="n"/>
      <c r="KQ53" s="208" t="n"/>
      <c r="KR53" s="208" t="n"/>
      <c r="KS53" s="208" t="n"/>
      <c r="KT53" s="208" t="n"/>
      <c r="KU53" s="208" t="n"/>
      <c r="KV53" s="208" t="n"/>
      <c r="KW53" s="208" t="n"/>
      <c r="KX53" s="208" t="n"/>
      <c r="KY53" s="208" t="n"/>
      <c r="KZ53" s="208" t="n"/>
      <c r="LA53" s="208" t="n"/>
      <c r="LB53" s="208" t="n"/>
      <c r="LC53" s="208" t="n"/>
      <c r="LD53" s="208" t="n"/>
      <c r="LE53" s="208" t="n"/>
      <c r="LF53" s="208" t="n"/>
      <c r="LG53" s="208" t="n"/>
      <c r="LH53" s="208" t="n"/>
      <c r="LI53" s="208" t="n"/>
      <c r="LJ53" s="208" t="n"/>
      <c r="LK53" s="208" t="n"/>
      <c r="LL53" s="208" t="n"/>
      <c r="LM53" s="208" t="n"/>
      <c r="LN53" s="208" t="n"/>
      <c r="LO53" s="208" t="n"/>
      <c r="LP53" s="208" t="n"/>
      <c r="LQ53" s="208" t="n"/>
      <c r="LR53" s="208" t="n"/>
      <c r="LS53" s="208" t="n"/>
      <c r="LT53" s="208" t="n"/>
      <c r="LU53" s="208" t="n"/>
      <c r="LV53" s="208" t="n"/>
      <c r="LW53" s="208" t="n"/>
      <c r="LX53" s="208" t="n"/>
      <c r="LY53" s="208" t="n"/>
      <c r="LZ53" s="208" t="n"/>
      <c r="MA53" s="208" t="n"/>
      <c r="MB53" s="208" t="n"/>
      <c r="MC53" s="208" t="n"/>
      <c r="MD53" s="208" t="n"/>
      <c r="ME53" s="208" t="n"/>
      <c r="MF53" s="208" t="n"/>
      <c r="MG53" s="208" t="n"/>
      <c r="MH53" s="208" t="n"/>
      <c r="MI53" s="208" t="n"/>
      <c r="MJ53" s="208" t="n"/>
      <c r="MK53" s="208" t="n"/>
      <c r="ML53" s="208" t="n"/>
      <c r="MM53" s="208" t="n"/>
      <c r="MN53" s="208" t="n"/>
      <c r="MO53" s="208" t="n"/>
      <c r="MP53" s="208" t="n"/>
      <c r="MQ53" s="208" t="n"/>
      <c r="MR53" s="208" t="n"/>
      <c r="MS53" s="208" t="n"/>
      <c r="MT53" s="208" t="n"/>
      <c r="MU53" s="208" t="n"/>
      <c r="MV53" s="208" t="n"/>
      <c r="MW53" s="208" t="n"/>
      <c r="MX53" s="208" t="n"/>
      <c r="MY53" s="208" t="n"/>
      <c r="MZ53" s="208" t="n"/>
      <c r="NA53" s="208" t="n"/>
      <c r="NB53" s="208" t="n"/>
      <c r="NC53" s="208" t="n"/>
      <c r="ND53" s="208" t="n"/>
      <c r="NE53" s="208" t="n"/>
      <c r="NF53" s="208" t="n"/>
      <c r="NG53" s="208" t="n"/>
      <c r="NH53" s="208" t="n"/>
      <c r="NI53" s="208" t="n"/>
      <c r="NJ53" s="208" t="n"/>
      <c r="NK53" s="208" t="n"/>
      <c r="NL53" s="208" t="n"/>
      <c r="NM53" s="208" t="n"/>
      <c r="NN53" s="208" t="n"/>
      <c r="NO53" s="208" t="n"/>
      <c r="NP53" s="208" t="n"/>
      <c r="NQ53" s="208" t="n"/>
      <c r="NR53" s="208" t="n"/>
      <c r="NS53" s="208" t="n"/>
      <c r="NT53" s="208" t="n"/>
      <c r="NU53" s="208" t="n"/>
      <c r="NV53" s="208" t="n"/>
      <c r="NW53" s="208" t="n"/>
      <c r="NX53" s="208" t="n"/>
      <c r="NY53" s="208" t="n"/>
      <c r="NZ53" s="208" t="n"/>
      <c r="OA53" s="208" t="n"/>
      <c r="OB53" s="208" t="n"/>
      <c r="OC53" s="208" t="n"/>
      <c r="OD53" s="208" t="n"/>
      <c r="OE53" s="208" t="n"/>
      <c r="OF53" s="208" t="n"/>
      <c r="OG53" s="208" t="n"/>
      <c r="OH53" s="208" t="n"/>
      <c r="OI53" s="208" t="n"/>
      <c r="OJ53" s="208" t="n"/>
      <c r="OK53" s="208" t="n"/>
      <c r="OL53" s="208" t="n"/>
      <c r="OM53" s="208" t="n"/>
      <c r="ON53" s="208" t="n"/>
      <c r="OO53" s="208" t="n"/>
      <c r="OP53" s="208" t="n"/>
      <c r="OQ53" s="208" t="n"/>
      <c r="OR53" s="208" t="n"/>
      <c r="OS53" s="208" t="n"/>
      <c r="OT53" s="208" t="n"/>
      <c r="OU53" s="208" t="n"/>
      <c r="OV53" s="208" t="n"/>
      <c r="OW53" s="208" t="n"/>
      <c r="OX53" s="208" t="n"/>
      <c r="OY53" s="208" t="n"/>
      <c r="OZ53" s="208" t="n"/>
      <c r="PA53" s="208" t="n"/>
      <c r="PB53" s="208" t="n"/>
      <c r="PC53" s="208" t="n"/>
      <c r="PD53" s="208" t="n"/>
      <c r="PE53" s="208" t="n"/>
      <c r="PF53" s="208" t="n"/>
      <c r="PG53" s="208" t="n"/>
      <c r="PH53" s="208" t="n"/>
      <c r="PI53" s="208" t="n"/>
      <c r="PJ53" s="208" t="n"/>
      <c r="PK53" s="208" t="n"/>
      <c r="PL53" s="208" t="n"/>
      <c r="PM53" s="208" t="n"/>
      <c r="PN53" s="208" t="n"/>
      <c r="PO53" s="208" t="n"/>
      <c r="PP53" s="208" t="n"/>
      <c r="PQ53" s="208" t="n"/>
      <c r="PR53" s="208" t="n"/>
      <c r="PS53" s="208" t="n"/>
      <c r="PT53" s="208" t="n"/>
      <c r="PU53" s="208" t="n"/>
      <c r="PV53" s="208" t="n"/>
      <c r="PW53" s="208" t="n"/>
      <c r="PX53" s="208" t="n"/>
      <c r="PY53" s="208" t="n"/>
      <c r="PZ53" s="208" t="n"/>
      <c r="QA53" s="208" t="n"/>
      <c r="QB53" s="208" t="n"/>
      <c r="QC53" s="208" t="n"/>
      <c r="QD53" s="208" t="n"/>
      <c r="QE53" s="208" t="n"/>
      <c r="QF53" s="208" t="n"/>
      <c r="QG53" s="208" t="n"/>
      <c r="QH53" s="208" t="n"/>
      <c r="QI53" s="208" t="n"/>
      <c r="QJ53" s="208" t="n"/>
      <c r="QK53" s="208" t="n"/>
      <c r="QL53" s="208" t="n"/>
      <c r="QM53" s="208" t="n"/>
      <c r="QN53" s="208" t="n"/>
      <c r="QO53" s="208" t="n"/>
      <c r="QP53" s="208" t="n"/>
      <c r="QQ53" s="208" t="n"/>
      <c r="QR53" s="208" t="n"/>
      <c r="QS53" s="208" t="n"/>
      <c r="QT53" s="208" t="n"/>
      <c r="QU53" s="208" t="n"/>
      <c r="QV53" s="208" t="n"/>
      <c r="QW53" s="208" t="n"/>
      <c r="QX53" s="208" t="n"/>
      <c r="QY53" s="208" t="n"/>
      <c r="QZ53" s="208" t="n"/>
      <c r="RA53" s="208" t="n"/>
      <c r="RB53" s="208" t="n"/>
      <c r="RC53" s="208" t="n"/>
      <c r="RD53" s="208" t="n"/>
      <c r="RE53" s="208" t="n"/>
      <c r="RF53" s="208" t="n"/>
      <c r="RG53" s="208" t="n"/>
      <c r="RH53" s="208" t="n"/>
      <c r="RI53" s="208" t="n"/>
      <c r="RJ53" s="208" t="n"/>
      <c r="RK53" s="208" t="n"/>
      <c r="RL53" s="208" t="n"/>
      <c r="RM53" s="208" t="n"/>
      <c r="RN53" s="208" t="n"/>
      <c r="RO53" s="208" t="n"/>
      <c r="RP53" s="208" t="n"/>
      <c r="RQ53" s="208" t="n"/>
      <c r="RR53" s="208" t="n"/>
      <c r="RS53" s="208" t="n"/>
      <c r="RT53" s="208" t="n"/>
      <c r="RU53" s="208" t="n"/>
      <c r="RV53" s="208" t="n"/>
      <c r="RW53" s="208" t="n"/>
      <c r="RX53" s="208" t="n"/>
      <c r="RY53" s="208" t="n"/>
      <c r="RZ53" s="208" t="n"/>
      <c r="SA53" s="208" t="n"/>
      <c r="SB53" s="208" t="n"/>
      <c r="SC53" s="208" t="n"/>
      <c r="SD53" s="208" t="n"/>
      <c r="SE53" s="208" t="n"/>
      <c r="SF53" s="208" t="n"/>
      <c r="SG53" s="208" t="n"/>
      <c r="SH53" s="208" t="n"/>
      <c r="SI53" s="208" t="n"/>
      <c r="SJ53" s="208" t="n"/>
      <c r="SK53" s="208" t="n"/>
      <c r="SL53" s="208" t="n"/>
      <c r="SM53" s="208" t="n"/>
      <c r="SN53" s="208" t="n"/>
      <c r="SO53" s="208" t="n"/>
      <c r="SP53" s="208" t="n"/>
      <c r="SQ53" s="208" t="n"/>
      <c r="SR53" s="208" t="n"/>
      <c r="SS53" s="208" t="n"/>
      <c r="ST53" s="208" t="n"/>
      <c r="SU53" s="208" t="n"/>
      <c r="SV53" s="208" t="n"/>
    </row>
    <row r="54">
      <c r="B54" s="209" t="n">
        <v>1</v>
      </c>
      <c r="C54" s="209" t="inlineStr">
        <is>
          <t>Sentinel</t>
        </is>
      </c>
      <c r="D54" s="209" t="inlineStr">
        <is>
          <t>Madeline</t>
        </is>
      </c>
      <c r="E54" s="209" t="inlineStr">
        <is>
          <t>Alexander</t>
        </is>
      </c>
      <c r="F54" s="209">
        <f>IF(TRIM(D54&amp;E54)="","",TRIM(D54)&amp;" "&amp;TRIM(E54))</f>
        <v/>
      </c>
      <c r="G54" s="209" t="inlineStr">
        <is>
          <t>Perth</t>
        </is>
      </c>
      <c r="H54" s="209" t="inlineStr">
        <is>
          <t>TPO - Civil Team 1</t>
        </is>
      </c>
      <c r="I54" s="209" t="inlineStr">
        <is>
          <t>YES</t>
        </is>
      </c>
      <c r="J54" s="209" t="inlineStr">
        <is>
          <t>YES</t>
        </is>
      </c>
      <c r="K54" s="209" t="inlineStr">
        <is>
          <t>YES</t>
        </is>
      </c>
      <c r="L54" s="209" t="inlineStr">
        <is>
          <t>YES</t>
        </is>
      </c>
      <c r="M54" s="209" t="inlineStr">
        <is>
          <t>Quals Complete</t>
        </is>
      </c>
      <c r="N54" s="209" t="inlineStr">
        <is>
          <t>madelinealexander62@gmail.com</t>
        </is>
      </c>
      <c r="O54" s="209" t="inlineStr">
        <is>
          <t>0409 141 377</t>
        </is>
      </c>
      <c r="P54" s="209" t="n">
        <v>754930</v>
      </c>
      <c r="Q54" s="209" t="n">
        <v>390001</v>
      </c>
      <c r="R54" s="209" t="inlineStr">
        <is>
          <t>Roster A Civil</t>
        </is>
      </c>
      <c r="S54" s="210" t="inlineStr">
        <is>
          <t>N/A</t>
        </is>
      </c>
      <c r="T54" s="210" t="inlineStr">
        <is>
          <t>N/A</t>
        </is>
      </c>
      <c r="U54" s="210" t="inlineStr">
        <is>
          <t>N/A</t>
        </is>
      </c>
      <c r="V54" s="210" t="inlineStr">
        <is>
          <t>N/A</t>
        </is>
      </c>
      <c r="W54" s="210" t="inlineStr">
        <is>
          <t>N/A</t>
        </is>
      </c>
      <c r="X54" s="210" t="inlineStr">
        <is>
          <t>N/A</t>
        </is>
      </c>
      <c r="Y54" s="210" t="inlineStr">
        <is>
          <t>N/A</t>
        </is>
      </c>
      <c r="Z54" s="210" t="inlineStr">
        <is>
          <t>N/A</t>
        </is>
      </c>
      <c r="AA54" s="210" t="inlineStr">
        <is>
          <t>N/A</t>
        </is>
      </c>
      <c r="AB54" s="210" t="inlineStr">
        <is>
          <t>N/A</t>
        </is>
      </c>
      <c r="AC54" s="210" t="inlineStr">
        <is>
          <t>N/A</t>
        </is>
      </c>
      <c r="AD54" s="210" t="inlineStr">
        <is>
          <t>N/A</t>
        </is>
      </c>
      <c r="AE54" s="210" t="inlineStr">
        <is>
          <t>N/A</t>
        </is>
      </c>
      <c r="AF54" s="210" t="inlineStr">
        <is>
          <t>N/A</t>
        </is>
      </c>
      <c r="AG54" s="210" t="inlineStr">
        <is>
          <t>N/A</t>
        </is>
      </c>
      <c r="AH54" s="210" t="inlineStr">
        <is>
          <t>N/A</t>
        </is>
      </c>
      <c r="AI54" s="210" t="inlineStr">
        <is>
          <t>N/A</t>
        </is>
      </c>
      <c r="AJ54" s="210" t="inlineStr">
        <is>
          <t>N/A</t>
        </is>
      </c>
      <c r="AK54" s="210" t="inlineStr">
        <is>
          <t>N/A</t>
        </is>
      </c>
      <c r="AL54" s="210" t="inlineStr">
        <is>
          <t>N/A</t>
        </is>
      </c>
      <c r="AM54" s="210" t="inlineStr">
        <is>
          <t>N/A</t>
        </is>
      </c>
      <c r="AN54" s="210" t="inlineStr">
        <is>
          <t>N/A</t>
        </is>
      </c>
      <c r="AO54" s="210" t="inlineStr">
        <is>
          <t>N/A</t>
        </is>
      </c>
      <c r="AP54" s="210" t="inlineStr">
        <is>
          <t>N/A</t>
        </is>
      </c>
      <c r="AQ54" s="210" t="inlineStr">
        <is>
          <t>N/A</t>
        </is>
      </c>
      <c r="AR54" s="211" t="inlineStr">
        <is>
          <t>PER/PHE PM
GWV</t>
        </is>
      </c>
      <c r="AS54" s="211" t="inlineStr">
        <is>
          <t>GWV</t>
        </is>
      </c>
      <c r="AT54" s="211" t="inlineStr">
        <is>
          <t>GWV</t>
        </is>
      </c>
      <c r="AU54" s="211" t="inlineStr">
        <is>
          <t>GWV</t>
        </is>
      </c>
      <c r="AV54" s="211" t="inlineStr">
        <is>
          <t>GWV</t>
        </is>
      </c>
      <c r="AW54" s="211" t="inlineStr">
        <is>
          <t>GWV</t>
        </is>
      </c>
      <c r="AX54" s="211" t="inlineStr">
        <is>
          <t>GWV</t>
        </is>
      </c>
      <c r="AY54" s="211" t="inlineStr">
        <is>
          <t>GWV</t>
        </is>
      </c>
      <c r="AZ54" s="211" t="inlineStr">
        <is>
          <t>RDM</t>
        </is>
      </c>
      <c r="BA54" s="211" t="inlineStr">
        <is>
          <t>RDM</t>
        </is>
      </c>
      <c r="BB54" s="211" t="inlineStr">
        <is>
          <t>RDM</t>
        </is>
      </c>
      <c r="BC54" s="211" t="inlineStr">
        <is>
          <t>RDM</t>
        </is>
      </c>
      <c r="BD54" s="211" t="inlineStr">
        <is>
          <t>RDM</t>
        </is>
      </c>
      <c r="BE54" s="211" t="inlineStr">
        <is>
          <t>RDM</t>
        </is>
      </c>
      <c r="BF54" s="211" t="inlineStr">
        <is>
          <t>PHE/PER PM</t>
        </is>
      </c>
      <c r="BG54" s="210" t="inlineStr">
        <is>
          <t>N/A</t>
        </is>
      </c>
      <c r="BH54" s="210" t="inlineStr">
        <is>
          <t>N/A</t>
        </is>
      </c>
      <c r="BI54" s="210" t="inlineStr">
        <is>
          <t>N/A</t>
        </is>
      </c>
      <c r="BJ54" s="210" t="inlineStr">
        <is>
          <t>N/A</t>
        </is>
      </c>
      <c r="BK54" s="210" t="inlineStr">
        <is>
          <t>N/A</t>
        </is>
      </c>
      <c r="BL54" s="210" t="inlineStr">
        <is>
          <t>N/A</t>
        </is>
      </c>
      <c r="BM54" s="211" t="inlineStr">
        <is>
          <t>PER/PHE PM
GWV</t>
        </is>
      </c>
      <c r="BN54" s="211" t="inlineStr">
        <is>
          <t>RDM</t>
        </is>
      </c>
      <c r="BO54" s="211" t="inlineStr">
        <is>
          <t>RDM</t>
        </is>
      </c>
      <c r="BP54" s="211" t="inlineStr">
        <is>
          <t>RDM</t>
        </is>
      </c>
      <c r="BQ54" s="211" t="inlineStr">
        <is>
          <t>RDM</t>
        </is>
      </c>
      <c r="BR54" s="211" t="inlineStr">
        <is>
          <t>RDM</t>
        </is>
      </c>
      <c r="BS54" s="211" t="inlineStr">
        <is>
          <t>RDM</t>
        </is>
      </c>
      <c r="BT54" s="211" t="inlineStr">
        <is>
          <t>RDM</t>
        </is>
      </c>
      <c r="BU54" s="211" t="inlineStr">
        <is>
          <t>RDM</t>
        </is>
      </c>
      <c r="BV54" s="211" t="inlineStr">
        <is>
          <t>RDM</t>
        </is>
      </c>
      <c r="BW54" s="211" t="inlineStr">
        <is>
          <t>RDM</t>
        </is>
      </c>
      <c r="BX54" s="211" t="inlineStr">
        <is>
          <t>RDM</t>
        </is>
      </c>
      <c r="BY54" s="211" t="inlineStr">
        <is>
          <t>RDM</t>
        </is>
      </c>
      <c r="BZ54" s="211" t="inlineStr">
        <is>
          <t>RDM</t>
        </is>
      </c>
      <c r="CA54" s="211" t="inlineStr">
        <is>
          <t>PHE/PER PM</t>
        </is>
      </c>
      <c r="CB54" s="217" t="inlineStr">
        <is>
          <t>DEMOB</t>
        </is>
      </c>
      <c r="CC54" s="214" t="inlineStr">
        <is>
          <t>RnR</t>
        </is>
      </c>
      <c r="CD54" s="214" t="inlineStr">
        <is>
          <t>RnR</t>
        </is>
      </c>
      <c r="CE54" s="214" t="inlineStr">
        <is>
          <t>RnR</t>
        </is>
      </c>
      <c r="CF54" s="214" t="inlineStr">
        <is>
          <t>RnR</t>
        </is>
      </c>
      <c r="CG54" s="214" t="inlineStr">
        <is>
          <t>RnR</t>
        </is>
      </c>
      <c r="CH54" s="210" t="inlineStr">
        <is>
          <t>N/A</t>
        </is>
      </c>
      <c r="CI54" s="210" t="inlineStr">
        <is>
          <t>N/A</t>
        </is>
      </c>
      <c r="CJ54" s="210" t="inlineStr">
        <is>
          <t>N/A</t>
        </is>
      </c>
      <c r="CK54" s="210" t="inlineStr">
        <is>
          <t>N/A</t>
        </is>
      </c>
      <c r="CL54" s="210" t="inlineStr">
        <is>
          <t>N/A</t>
        </is>
      </c>
      <c r="CM54" s="210" t="inlineStr">
        <is>
          <t>N/A</t>
        </is>
      </c>
      <c r="CN54" s="210" t="inlineStr">
        <is>
          <t>N/A</t>
        </is>
      </c>
      <c r="CO54" s="210" t="inlineStr">
        <is>
          <t>N/A</t>
        </is>
      </c>
      <c r="CP54" s="210" t="inlineStr">
        <is>
          <t>N/A</t>
        </is>
      </c>
      <c r="CQ54" s="210" t="inlineStr">
        <is>
          <t>N/A</t>
        </is>
      </c>
      <c r="CR54" s="210" t="inlineStr">
        <is>
          <t>N/A</t>
        </is>
      </c>
      <c r="CS54" s="210" t="inlineStr">
        <is>
          <t>N/A</t>
        </is>
      </c>
      <c r="CT54" s="210" t="inlineStr">
        <is>
          <t>N/A</t>
        </is>
      </c>
      <c r="CU54" s="210" t="inlineStr">
        <is>
          <t>N/A</t>
        </is>
      </c>
      <c r="CV54" s="210" t="inlineStr">
        <is>
          <t>N/A</t>
        </is>
      </c>
      <c r="CW54" s="210" t="inlineStr">
        <is>
          <t>N/A</t>
        </is>
      </c>
      <c r="CX54" s="210" t="inlineStr">
        <is>
          <t>N/A</t>
        </is>
      </c>
      <c r="CY54" s="210" t="inlineStr">
        <is>
          <t>N/A</t>
        </is>
      </c>
      <c r="CZ54" s="210" t="inlineStr">
        <is>
          <t>N/A</t>
        </is>
      </c>
      <c r="DA54" s="210" t="inlineStr">
        <is>
          <t>N/A</t>
        </is>
      </c>
      <c r="DB54" s="210" t="inlineStr">
        <is>
          <t>N/A</t>
        </is>
      </c>
      <c r="DC54" s="210" t="inlineStr">
        <is>
          <t>N/A</t>
        </is>
      </c>
      <c r="DD54" s="210" t="inlineStr">
        <is>
          <t>N/A</t>
        </is>
      </c>
      <c r="DE54" s="210" t="inlineStr">
        <is>
          <t>N/A</t>
        </is>
      </c>
      <c r="DF54" s="210" t="inlineStr">
        <is>
          <t>N/A</t>
        </is>
      </c>
      <c r="DG54" s="210" t="inlineStr">
        <is>
          <t>N/A</t>
        </is>
      </c>
      <c r="DH54" s="210" t="inlineStr">
        <is>
          <t>N/A</t>
        </is>
      </c>
      <c r="DI54" s="210" t="inlineStr">
        <is>
          <t>N/A</t>
        </is>
      </c>
      <c r="DJ54" s="210" t="inlineStr">
        <is>
          <t>N/A</t>
        </is>
      </c>
      <c r="DK54" s="210" t="inlineStr">
        <is>
          <t>N/A</t>
        </is>
      </c>
      <c r="DL54" s="210" t="inlineStr">
        <is>
          <t>N/A</t>
        </is>
      </c>
      <c r="DM54" s="210" t="inlineStr">
        <is>
          <t>N/A</t>
        </is>
      </c>
      <c r="DN54" s="210" t="inlineStr">
        <is>
          <t>N/A</t>
        </is>
      </c>
      <c r="DO54" s="210" t="inlineStr">
        <is>
          <t>N/A</t>
        </is>
      </c>
      <c r="DP54" s="210" t="inlineStr">
        <is>
          <t>N/A</t>
        </is>
      </c>
      <c r="DQ54" s="210" t="inlineStr">
        <is>
          <t>N/A</t>
        </is>
      </c>
      <c r="DR54" s="212" t="n"/>
      <c r="DS54" s="212" t="n"/>
      <c r="DT54" s="212" t="n"/>
      <c r="DU54" s="212" t="n"/>
      <c r="DV54" s="212" t="n"/>
      <c r="DW54" s="212" t="n"/>
      <c r="DX54" s="212" t="n"/>
      <c r="DY54" s="212" t="n"/>
      <c r="DZ54" s="212" t="n"/>
      <c r="EA54" s="212" t="n"/>
      <c r="EB54" s="212" t="n"/>
      <c r="EC54" s="212" t="n"/>
      <c r="ED54" s="212" t="n"/>
      <c r="EE54" s="212" t="n"/>
      <c r="EF54" s="212" t="n"/>
      <c r="EG54" s="212" t="n"/>
      <c r="EH54" s="212" t="n"/>
      <c r="EI54" s="212" t="n"/>
      <c r="EJ54" s="212" t="n"/>
      <c r="EK54" s="212" t="n"/>
      <c r="EL54" s="212" t="n"/>
      <c r="EM54" s="212" t="n"/>
      <c r="EN54" s="212" t="n"/>
      <c r="EO54" s="212" t="n"/>
      <c r="EP54" s="212" t="n"/>
      <c r="EQ54" s="212" t="n"/>
      <c r="ER54" s="212" t="n"/>
      <c r="ES54" s="212" t="n"/>
      <c r="ET54" s="212" t="n"/>
      <c r="EU54" s="212" t="n"/>
      <c r="EV54" s="212" t="n"/>
      <c r="EW54" s="212" t="n"/>
      <c r="EX54" s="212" t="n"/>
      <c r="EY54" s="212" t="n"/>
      <c r="EZ54" s="212" t="n"/>
      <c r="FA54" s="212" t="n"/>
      <c r="FB54" s="212" t="n"/>
      <c r="FC54" s="212" t="n"/>
      <c r="FD54" s="212" t="n"/>
      <c r="FE54" s="212" t="n"/>
      <c r="FF54" s="212" t="n"/>
      <c r="FG54" s="212" t="n"/>
      <c r="FH54" s="212" t="n"/>
      <c r="FI54" s="212" t="n"/>
      <c r="FJ54" s="212" t="n"/>
      <c r="FK54" s="212" t="n"/>
      <c r="FL54" s="212" t="n"/>
      <c r="FM54" s="212" t="n"/>
      <c r="FN54" s="212" t="n"/>
      <c r="FO54" s="212" t="n"/>
      <c r="FP54" s="212" t="n"/>
      <c r="FQ54" s="212" t="n"/>
      <c r="FR54" s="212" t="n"/>
      <c r="FS54" s="212" t="n"/>
      <c r="FT54" s="212" t="n"/>
      <c r="FU54" s="212" t="n"/>
      <c r="FV54" s="212" t="n"/>
      <c r="FW54" s="212" t="n"/>
      <c r="FX54" s="212" t="n"/>
      <c r="FY54" s="212" t="n"/>
      <c r="FZ54" s="212" t="n"/>
      <c r="GA54" s="212" t="n"/>
      <c r="GB54" s="212" t="n"/>
      <c r="GC54" s="212" t="n"/>
      <c r="GD54" s="212" t="n"/>
      <c r="GE54" s="212" t="n"/>
      <c r="GF54" s="212" t="n"/>
      <c r="GG54" s="212" t="n"/>
      <c r="GH54" s="212" t="n"/>
      <c r="GI54" s="212" t="n"/>
      <c r="GJ54" s="212" t="n"/>
      <c r="GK54" s="212" t="n"/>
      <c r="GL54" s="212" t="n"/>
      <c r="GM54" s="212" t="n"/>
      <c r="GN54" s="212" t="n"/>
      <c r="GO54" s="212" t="n"/>
      <c r="GP54" s="212" t="n"/>
      <c r="GQ54" s="212" t="n"/>
      <c r="GR54" s="212" t="n"/>
      <c r="GS54" s="212" t="n"/>
      <c r="GT54" s="212" t="n"/>
      <c r="GU54" s="212" t="n"/>
      <c r="GV54" s="212" t="n"/>
      <c r="GW54" s="212" t="n"/>
      <c r="GX54" s="212" t="n"/>
      <c r="GY54" s="212" t="n"/>
      <c r="GZ54" s="212" t="n"/>
      <c r="HA54" s="212" t="n"/>
      <c r="HB54" s="212" t="n"/>
      <c r="HC54" s="212" t="n"/>
      <c r="HD54" s="212" t="n"/>
      <c r="HE54" s="212" t="n"/>
      <c r="HF54" s="212" t="n"/>
      <c r="HG54" s="212" t="n"/>
      <c r="HH54" s="212" t="n"/>
      <c r="HI54" s="212" t="n"/>
      <c r="HJ54" s="212" t="n"/>
      <c r="HK54" s="212" t="n"/>
      <c r="HL54" s="212" t="n"/>
      <c r="HM54" s="212" t="n"/>
      <c r="HN54" s="212" t="n"/>
      <c r="HO54" s="212" t="n"/>
      <c r="HP54" s="212" t="n"/>
      <c r="HQ54" s="212" t="n"/>
      <c r="HR54" s="212" t="n"/>
      <c r="HS54" s="212" t="n"/>
      <c r="HT54" s="212" t="n"/>
      <c r="HU54" s="212" t="n"/>
      <c r="HV54" s="212" t="n"/>
      <c r="HW54" s="212" t="n"/>
      <c r="HX54" s="212" t="n"/>
      <c r="HY54" s="212" t="n"/>
      <c r="HZ54" s="212" t="n"/>
      <c r="IA54" s="212" t="n"/>
      <c r="IB54" s="212" t="n"/>
      <c r="IC54" s="212" t="n"/>
      <c r="ID54" s="212" t="n"/>
      <c r="IE54" s="212" t="n"/>
      <c r="IF54" s="212" t="n"/>
      <c r="IG54" s="212" t="n"/>
      <c r="IH54" s="212" t="n"/>
      <c r="II54" s="212" t="n"/>
      <c r="IJ54" s="212" t="n"/>
      <c r="IK54" s="212" t="n"/>
      <c r="IL54" s="212" t="n"/>
      <c r="IM54" s="212" t="n"/>
      <c r="IN54" s="212" t="n"/>
      <c r="IO54" s="212" t="n"/>
      <c r="IP54" s="212" t="n"/>
      <c r="IQ54" s="212" t="n"/>
      <c r="IR54" s="212" t="n"/>
      <c r="IS54" s="212" t="n"/>
      <c r="IT54" s="212" t="n"/>
      <c r="IU54" s="212" t="n"/>
      <c r="IV54" s="212" t="n"/>
      <c r="IW54" s="212" t="n"/>
      <c r="IX54" s="212" t="n"/>
      <c r="IY54" s="212" t="n"/>
      <c r="IZ54" s="212" t="n"/>
      <c r="JA54" s="212" t="n"/>
      <c r="JB54" s="212" t="n"/>
      <c r="JC54" s="212" t="n"/>
      <c r="JD54" s="212" t="n"/>
      <c r="JE54" s="212" t="n"/>
      <c r="JF54" s="212" t="n"/>
      <c r="JG54" s="212" t="n"/>
      <c r="JH54" s="212" t="n"/>
      <c r="JI54" s="212" t="n"/>
      <c r="JJ54" s="212" t="n"/>
      <c r="JK54" s="212" t="n"/>
      <c r="JL54" s="212" t="n"/>
      <c r="JM54" s="212" t="n"/>
      <c r="JN54" s="212" t="n"/>
      <c r="JO54" s="212" t="n"/>
      <c r="JP54" s="212" t="n"/>
      <c r="JQ54" s="212" t="n"/>
      <c r="JR54" s="212" t="n"/>
      <c r="JS54" s="212" t="n"/>
      <c r="JT54" s="212" t="n"/>
      <c r="JU54" s="212" t="n"/>
      <c r="JV54" s="212" t="n"/>
      <c r="JW54" s="212" t="n"/>
      <c r="JX54" s="212" t="n"/>
      <c r="JY54" s="212" t="n"/>
      <c r="JZ54" s="212" t="n"/>
      <c r="KA54" s="212" t="n"/>
      <c r="KB54" s="212" t="n"/>
      <c r="KC54" s="212" t="n"/>
      <c r="KD54" s="212" t="n"/>
      <c r="KE54" s="212" t="n"/>
      <c r="KF54" s="212" t="n"/>
      <c r="KG54" s="212" t="n"/>
      <c r="KH54" s="212" t="n"/>
      <c r="KI54" s="212" t="n"/>
      <c r="KJ54" s="212" t="n"/>
      <c r="KK54" s="212" t="n"/>
      <c r="KL54" s="212" t="n"/>
      <c r="KM54" s="212" t="n"/>
      <c r="KN54" s="212" t="n"/>
      <c r="KO54" s="212" t="n"/>
      <c r="KP54" s="212" t="n"/>
      <c r="KQ54" s="212" t="n"/>
      <c r="KR54" s="212" t="n"/>
      <c r="KS54" s="212" t="n"/>
      <c r="KT54" s="212" t="n"/>
      <c r="KU54" s="212" t="n"/>
      <c r="KV54" s="212" t="n"/>
      <c r="KW54" s="212" t="n"/>
      <c r="KX54" s="212" t="n"/>
      <c r="KY54" s="212" t="n"/>
      <c r="KZ54" s="212" t="n"/>
      <c r="LA54" s="212" t="n"/>
      <c r="LB54" s="212" t="n"/>
      <c r="LC54" s="212" t="n"/>
      <c r="LD54" s="212" t="n"/>
      <c r="LE54" s="212" t="n"/>
      <c r="LF54" s="212" t="n"/>
      <c r="LG54" s="212" t="n"/>
      <c r="LH54" s="212" t="n"/>
      <c r="LI54" s="212" t="n"/>
      <c r="LJ54" s="212" t="n"/>
      <c r="LK54" s="212" t="n"/>
      <c r="LL54" s="212" t="n"/>
      <c r="LM54" s="212" t="n"/>
      <c r="LN54" s="212" t="n"/>
      <c r="LO54" s="212" t="n"/>
      <c r="LP54" s="212" t="n"/>
      <c r="LQ54" s="212" t="n"/>
      <c r="LR54" s="212" t="n"/>
      <c r="LS54" s="212" t="n"/>
      <c r="LT54" s="212" t="n"/>
      <c r="LU54" s="212" t="n"/>
      <c r="LV54" s="212" t="n"/>
      <c r="LW54" s="212" t="n"/>
      <c r="LX54" s="212" t="n"/>
      <c r="LY54" s="212" t="n"/>
      <c r="LZ54" s="212" t="n"/>
      <c r="MA54" s="212" t="n"/>
      <c r="MB54" s="212" t="n"/>
      <c r="MC54" s="212" t="n"/>
      <c r="MD54" s="212" t="n"/>
      <c r="ME54" s="212" t="n"/>
      <c r="MF54" s="212" t="n"/>
      <c r="MG54" s="212" t="n"/>
      <c r="MH54" s="212" t="n"/>
      <c r="MI54" s="212" t="n"/>
      <c r="MJ54" s="212" t="n"/>
      <c r="MK54" s="212" t="n"/>
      <c r="ML54" s="212" t="n"/>
      <c r="MM54" s="212" t="n"/>
      <c r="MN54" s="212" t="n"/>
      <c r="MO54" s="212" t="n"/>
      <c r="MP54" s="212" t="n"/>
      <c r="MQ54" s="212" t="n"/>
      <c r="MR54" s="212" t="n"/>
      <c r="MS54" s="212" t="n"/>
      <c r="MT54" s="212" t="n"/>
      <c r="MU54" s="212" t="n"/>
      <c r="MV54" s="212" t="n"/>
      <c r="MW54" s="212" t="n"/>
      <c r="MX54" s="212" t="n"/>
      <c r="MY54" s="212" t="n"/>
      <c r="MZ54" s="212" t="n"/>
      <c r="NA54" s="212" t="n"/>
      <c r="NB54" s="212" t="n"/>
      <c r="NC54" s="212" t="n"/>
      <c r="ND54" s="212" t="n"/>
      <c r="NE54" s="212" t="n"/>
      <c r="NF54" s="212" t="n"/>
      <c r="NG54" s="212" t="n"/>
      <c r="NH54" s="212" t="n"/>
      <c r="NI54" s="212" t="n"/>
      <c r="NJ54" s="212" t="n"/>
      <c r="NK54" s="212" t="n"/>
      <c r="NL54" s="212" t="n"/>
      <c r="NM54" s="212" t="n"/>
      <c r="NN54" s="212" t="n"/>
      <c r="NO54" s="212" t="n"/>
      <c r="NP54" s="212" t="n"/>
      <c r="NQ54" s="212" t="n"/>
      <c r="NR54" s="212" t="n"/>
      <c r="NS54" s="212" t="n"/>
      <c r="NT54" s="212" t="n"/>
      <c r="NU54" s="212" t="n"/>
      <c r="NV54" s="212" t="n"/>
      <c r="NW54" s="212" t="n"/>
      <c r="NX54" s="212" t="n"/>
      <c r="NY54" s="212" t="n"/>
      <c r="NZ54" s="212" t="n"/>
      <c r="OA54" s="212" t="n"/>
      <c r="OB54" s="212" t="n"/>
      <c r="OC54" s="212" t="n"/>
      <c r="OD54" s="212" t="n"/>
      <c r="OE54" s="212" t="n"/>
      <c r="OF54" s="212" t="n"/>
      <c r="OG54" s="212" t="n"/>
      <c r="OH54" s="212" t="n"/>
      <c r="OI54" s="212" t="n"/>
      <c r="OJ54" s="212" t="n"/>
      <c r="OK54" s="212" t="n"/>
      <c r="OL54" s="212" t="n"/>
      <c r="OM54" s="212" t="n"/>
      <c r="ON54" s="212" t="n"/>
      <c r="OO54" s="212" t="n"/>
      <c r="OP54" s="212" t="n"/>
      <c r="OQ54" s="212" t="n"/>
      <c r="OR54" s="212" t="n"/>
      <c r="OS54" s="212" t="n"/>
      <c r="OT54" s="212" t="n"/>
      <c r="OU54" s="212" t="n"/>
      <c r="OV54" s="212" t="n"/>
      <c r="OW54" s="212" t="n"/>
      <c r="OX54" s="212" t="n"/>
      <c r="OY54" s="212" t="n"/>
      <c r="OZ54" s="212" t="n"/>
      <c r="PA54" s="212" t="n"/>
      <c r="PB54" s="212" t="n"/>
      <c r="PC54" s="212" t="n"/>
      <c r="PD54" s="212" t="n"/>
      <c r="PE54" s="212" t="n"/>
      <c r="PF54" s="212" t="n"/>
      <c r="PG54" s="212" t="n"/>
      <c r="PH54" s="212" t="n"/>
      <c r="PI54" s="212" t="n"/>
      <c r="PJ54" s="212" t="n"/>
      <c r="PK54" s="212" t="n"/>
      <c r="PL54" s="212" t="n"/>
      <c r="PM54" s="212" t="n"/>
      <c r="PN54" s="212" t="n"/>
      <c r="PO54" s="212" t="n"/>
      <c r="PP54" s="212" t="n"/>
      <c r="PQ54" s="212" t="n"/>
      <c r="PR54" s="212" t="n"/>
      <c r="PS54" s="212" t="n"/>
      <c r="PT54" s="212" t="n"/>
      <c r="PU54" s="212" t="n"/>
      <c r="PV54" s="212" t="n"/>
      <c r="PW54" s="212" t="n"/>
      <c r="PX54" s="212" t="n"/>
      <c r="PY54" s="212" t="n"/>
      <c r="PZ54" s="212" t="n"/>
      <c r="QA54" s="212" t="n"/>
      <c r="QB54" s="212" t="n"/>
      <c r="QC54" s="212" t="n"/>
      <c r="QD54" s="212" t="n"/>
      <c r="QE54" s="212" t="n"/>
      <c r="QF54" s="212" t="n"/>
      <c r="QG54" s="212" t="n"/>
      <c r="QH54" s="212" t="n"/>
      <c r="QI54" s="212" t="n"/>
      <c r="QJ54" s="212" t="n"/>
      <c r="QK54" s="212" t="n"/>
      <c r="QL54" s="212" t="n"/>
      <c r="QM54" s="212" t="n"/>
      <c r="QN54" s="212" t="n"/>
      <c r="QO54" s="212" t="n"/>
      <c r="QP54" s="212" t="n"/>
      <c r="QQ54" s="212" t="n"/>
      <c r="QR54" s="212" t="n"/>
      <c r="QS54" s="212" t="n"/>
      <c r="QT54" s="212" t="n"/>
      <c r="QU54" s="212" t="n"/>
      <c r="QV54" s="212" t="n"/>
      <c r="QW54" s="212" t="n"/>
      <c r="QX54" s="212" t="n"/>
      <c r="QY54" s="212" t="n"/>
      <c r="QZ54" s="212" t="n"/>
      <c r="RA54" s="212" t="n"/>
      <c r="RB54" s="212" t="n"/>
      <c r="RC54" s="212" t="n"/>
      <c r="RD54" s="212" t="n"/>
      <c r="RE54" s="212" t="n"/>
      <c r="RF54" s="212" t="n"/>
      <c r="RG54" s="212" t="n"/>
      <c r="RH54" s="212" t="n"/>
      <c r="RI54" s="212" t="n"/>
      <c r="RJ54" s="212" t="n"/>
      <c r="RK54" s="212" t="n"/>
      <c r="RL54" s="212" t="n"/>
      <c r="RM54" s="212" t="n"/>
      <c r="RN54" s="212" t="n"/>
      <c r="RO54" s="212" t="n"/>
      <c r="RP54" s="212" t="n"/>
      <c r="RQ54" s="212" t="n"/>
      <c r="RR54" s="212" t="n"/>
      <c r="RS54" s="212" t="n"/>
      <c r="RT54" s="212" t="n"/>
      <c r="RU54" s="212" t="n"/>
      <c r="RV54" s="212" t="n"/>
      <c r="RW54" s="212" t="n"/>
      <c r="RX54" s="212" t="n"/>
      <c r="RY54" s="212" t="n"/>
      <c r="RZ54" s="212" t="n"/>
      <c r="SA54" s="212" t="n"/>
      <c r="SB54" s="212" t="n"/>
      <c r="SC54" s="212" t="n"/>
      <c r="SD54" s="212" t="n"/>
      <c r="SE54" s="212" t="n"/>
      <c r="SF54" s="212" t="n"/>
      <c r="SG54" s="212" t="n"/>
      <c r="SH54" s="212" t="n"/>
      <c r="SI54" s="212" t="n"/>
      <c r="SJ54" s="212" t="n"/>
      <c r="SK54" s="212" t="n"/>
      <c r="SL54" s="212" t="n"/>
      <c r="SM54" s="212" t="n"/>
      <c r="SN54" s="212" t="n"/>
      <c r="SO54" s="212" t="n"/>
      <c r="SP54" s="212" t="n"/>
      <c r="SQ54" s="212" t="n"/>
      <c r="SR54" s="212" t="n"/>
      <c r="SS54" s="212" t="n"/>
      <c r="ST54" s="212" t="n"/>
      <c r="SU54" s="212" t="n"/>
      <c r="SV54" s="212" t="n"/>
    </row>
    <row r="55">
      <c r="B55" s="209" t="n">
        <v>2</v>
      </c>
      <c r="C55" s="209" t="inlineStr">
        <is>
          <t>Sentinel</t>
        </is>
      </c>
      <c r="D55" s="209" t="inlineStr">
        <is>
          <t>Mitchell</t>
        </is>
      </c>
      <c r="E55" s="209" t="inlineStr">
        <is>
          <t>Hardcastle</t>
        </is>
      </c>
      <c r="F55" s="209">
        <f>IF(TRIM(D55&amp;E55)="","",TRIM(D55)&amp;" "&amp;TRIM(E55))</f>
        <v/>
      </c>
      <c r="G55" s="209" t="inlineStr">
        <is>
          <t>Perth</t>
        </is>
      </c>
      <c r="H55" s="209" t="inlineStr">
        <is>
          <t>TPO - Elec Team 1</t>
        </is>
      </c>
      <c r="I55" s="209" t="inlineStr">
        <is>
          <t>YES</t>
        </is>
      </c>
      <c r="J55" s="209" t="inlineStr">
        <is>
          <t>YES</t>
        </is>
      </c>
      <c r="K55" s="209" t="inlineStr">
        <is>
          <t>YES</t>
        </is>
      </c>
      <c r="L55" s="209" t="inlineStr">
        <is>
          <t>YES</t>
        </is>
      </c>
      <c r="M55" s="209" t="inlineStr">
        <is>
          <t>Quals Complete</t>
        </is>
      </c>
      <c r="N55" s="209" t="inlineStr">
        <is>
          <t>hardcastlemd@gmail.com</t>
        </is>
      </c>
      <c r="O55" s="209" t="inlineStr">
        <is>
          <t>0499 638 277</t>
        </is>
      </c>
      <c r="P55" s="209" t="n">
        <v>523484</v>
      </c>
      <c r="Q55" s="209" t="n">
        <v>261414</v>
      </c>
      <c r="R55" s="209" t="inlineStr">
        <is>
          <t>Roster A Elec</t>
        </is>
      </c>
      <c r="S55" s="210" t="inlineStr">
        <is>
          <t>N/A</t>
        </is>
      </c>
      <c r="T55" s="210" t="inlineStr">
        <is>
          <t>N/A</t>
        </is>
      </c>
      <c r="U55" s="210" t="inlineStr">
        <is>
          <t>N/A</t>
        </is>
      </c>
      <c r="V55" s="210" t="inlineStr">
        <is>
          <t>N/A</t>
        </is>
      </c>
      <c r="W55" s="210" t="inlineStr">
        <is>
          <t>N/A</t>
        </is>
      </c>
      <c r="X55" s="210" t="inlineStr">
        <is>
          <t>N/A</t>
        </is>
      </c>
      <c r="Y55" s="210" t="inlineStr">
        <is>
          <t>N/A</t>
        </is>
      </c>
      <c r="Z55" s="210" t="inlineStr">
        <is>
          <t>N/A</t>
        </is>
      </c>
      <c r="AA55" s="210" t="inlineStr">
        <is>
          <t>N/A</t>
        </is>
      </c>
      <c r="AB55" s="210" t="inlineStr">
        <is>
          <t>N/A</t>
        </is>
      </c>
      <c r="AC55" s="210" t="inlineStr">
        <is>
          <t>N/A</t>
        </is>
      </c>
      <c r="AD55" s="210" t="inlineStr">
        <is>
          <t>N/A</t>
        </is>
      </c>
      <c r="AE55" s="210" t="inlineStr">
        <is>
          <t>N/A</t>
        </is>
      </c>
      <c r="AF55" s="210" t="inlineStr">
        <is>
          <t>N/A</t>
        </is>
      </c>
      <c r="AG55" s="210" t="inlineStr">
        <is>
          <t>N/A</t>
        </is>
      </c>
      <c r="AH55" s="210" t="inlineStr">
        <is>
          <t>N/A</t>
        </is>
      </c>
      <c r="AI55" s="210" t="inlineStr">
        <is>
          <t>N/A</t>
        </is>
      </c>
      <c r="AJ55" s="210" t="inlineStr">
        <is>
          <t>N/A</t>
        </is>
      </c>
      <c r="AK55" s="211" t="inlineStr">
        <is>
          <t>PER/PHE PM
LND</t>
        </is>
      </c>
      <c r="AL55" s="211" t="inlineStr">
        <is>
          <t>LND</t>
        </is>
      </c>
      <c r="AM55" s="211" t="inlineStr">
        <is>
          <t>LND</t>
        </is>
      </c>
      <c r="AN55" s="211" t="inlineStr">
        <is>
          <t>LND</t>
        </is>
      </c>
      <c r="AO55" s="211" t="inlineStr">
        <is>
          <t>LND</t>
        </is>
      </c>
      <c r="AP55" s="211" t="inlineStr">
        <is>
          <t>LND</t>
        </is>
      </c>
      <c r="AQ55" s="211" t="inlineStr">
        <is>
          <t>GWV</t>
        </is>
      </c>
      <c r="AR55" s="211" t="inlineStr">
        <is>
          <t>GWV</t>
        </is>
      </c>
      <c r="AS55" s="211" t="inlineStr">
        <is>
          <t>GWV</t>
        </is>
      </c>
      <c r="AT55" s="211" t="inlineStr">
        <is>
          <t>GWV</t>
        </is>
      </c>
      <c r="AU55" s="211" t="inlineStr">
        <is>
          <t>GWV</t>
        </is>
      </c>
      <c r="AV55" s="211" t="inlineStr">
        <is>
          <t>GWV</t>
        </is>
      </c>
      <c r="AW55" s="211" t="inlineStr">
        <is>
          <t>GWV</t>
        </is>
      </c>
      <c r="AX55" s="211" t="inlineStr">
        <is>
          <t>GWV</t>
        </is>
      </c>
      <c r="AY55" s="211" t="inlineStr">
        <is>
          <t>PHE/PER PM</t>
        </is>
      </c>
      <c r="AZ55" s="222" t="inlineStr">
        <is>
          <t>RnR</t>
        </is>
      </c>
      <c r="BA55" s="222" t="inlineStr">
        <is>
          <t>RnR</t>
        </is>
      </c>
      <c r="BB55" s="222" t="inlineStr">
        <is>
          <t>RnR</t>
        </is>
      </c>
      <c r="BC55" s="222" t="inlineStr">
        <is>
          <t>RnR</t>
        </is>
      </c>
      <c r="BD55" s="222" t="inlineStr">
        <is>
          <t>RnR</t>
        </is>
      </c>
      <c r="BE55" s="222" t="inlineStr">
        <is>
          <t>RnR</t>
        </is>
      </c>
      <c r="BF55" s="211" t="inlineStr">
        <is>
          <t>PER/PHE PM
LND</t>
        </is>
      </c>
      <c r="BG55" s="211" t="inlineStr">
        <is>
          <t>RDM</t>
        </is>
      </c>
      <c r="BH55" s="211" t="inlineStr">
        <is>
          <t>RDM</t>
        </is>
      </c>
      <c r="BI55" s="211" t="inlineStr">
        <is>
          <t>RDM</t>
        </is>
      </c>
      <c r="BJ55" s="211" t="inlineStr">
        <is>
          <t>RDM</t>
        </is>
      </c>
      <c r="BK55" s="211" t="inlineStr">
        <is>
          <t>RDM</t>
        </is>
      </c>
      <c r="BL55" s="211" t="inlineStr">
        <is>
          <t>RDM</t>
        </is>
      </c>
      <c r="BM55" s="211" t="inlineStr">
        <is>
          <t>RDM</t>
        </is>
      </c>
      <c r="BN55" s="211" t="inlineStr">
        <is>
          <t>RDM</t>
        </is>
      </c>
      <c r="BO55" s="211" t="inlineStr">
        <is>
          <t>RDM</t>
        </is>
      </c>
      <c r="BP55" s="211" t="inlineStr">
        <is>
          <t>RDM</t>
        </is>
      </c>
      <c r="BQ55" s="211" t="inlineStr">
        <is>
          <t>RDM</t>
        </is>
      </c>
      <c r="BR55" s="211" t="inlineStr">
        <is>
          <t>RDM</t>
        </is>
      </c>
      <c r="BS55" s="211" t="inlineStr">
        <is>
          <t>RDM</t>
        </is>
      </c>
      <c r="BT55" s="211" t="inlineStr">
        <is>
          <t>PHE/PER PM</t>
        </is>
      </c>
      <c r="BU55" s="210" t="inlineStr">
        <is>
          <t>N/A</t>
        </is>
      </c>
      <c r="BV55" s="210" t="inlineStr">
        <is>
          <t>N/A</t>
        </is>
      </c>
      <c r="BW55" s="210" t="inlineStr">
        <is>
          <t>N/A</t>
        </is>
      </c>
      <c r="BX55" s="210" t="inlineStr">
        <is>
          <t>N/A</t>
        </is>
      </c>
      <c r="BY55" s="210" t="inlineStr">
        <is>
          <t>N/A</t>
        </is>
      </c>
      <c r="BZ55" s="210" t="inlineStr">
        <is>
          <t>N/A</t>
        </is>
      </c>
      <c r="CA55" s="210" t="inlineStr">
        <is>
          <t>N/A</t>
        </is>
      </c>
      <c r="CB55" s="210" t="inlineStr">
        <is>
          <t>N/A</t>
        </is>
      </c>
      <c r="CC55" s="210" t="inlineStr">
        <is>
          <t>N/A</t>
        </is>
      </c>
      <c r="CD55" s="210" t="inlineStr">
        <is>
          <t>N/A</t>
        </is>
      </c>
      <c r="CE55" s="210" t="inlineStr">
        <is>
          <t>N/A</t>
        </is>
      </c>
      <c r="CF55" s="210" t="inlineStr">
        <is>
          <t>N/A</t>
        </is>
      </c>
      <c r="CG55" s="210" t="inlineStr">
        <is>
          <t>N/A</t>
        </is>
      </c>
      <c r="CH55" s="210" t="inlineStr">
        <is>
          <t>N/A</t>
        </is>
      </c>
      <c r="CI55" s="210" t="inlineStr">
        <is>
          <t>N/A</t>
        </is>
      </c>
      <c r="CJ55" s="210" t="inlineStr">
        <is>
          <t>N/A</t>
        </is>
      </c>
      <c r="CK55" s="210" t="inlineStr">
        <is>
          <t>N/A</t>
        </is>
      </c>
      <c r="CL55" s="210" t="inlineStr">
        <is>
          <t>N/A</t>
        </is>
      </c>
      <c r="CM55" s="210" t="inlineStr">
        <is>
          <t>N/A</t>
        </is>
      </c>
      <c r="CN55" s="210" t="inlineStr">
        <is>
          <t>N/A</t>
        </is>
      </c>
      <c r="CO55" s="210" t="inlineStr">
        <is>
          <t>N/A</t>
        </is>
      </c>
      <c r="CP55" s="210" t="inlineStr">
        <is>
          <t>N/A</t>
        </is>
      </c>
      <c r="CQ55" s="210" t="inlineStr">
        <is>
          <t>N/A</t>
        </is>
      </c>
      <c r="CR55" s="210" t="inlineStr">
        <is>
          <t>N/A</t>
        </is>
      </c>
      <c r="CS55" s="210" t="inlineStr">
        <is>
          <t>N/A</t>
        </is>
      </c>
      <c r="CT55" s="210" t="inlineStr">
        <is>
          <t>N/A</t>
        </is>
      </c>
      <c r="CU55" s="210" t="inlineStr">
        <is>
          <t>N/A</t>
        </is>
      </c>
      <c r="CV55" s="210" t="inlineStr">
        <is>
          <t>N/A</t>
        </is>
      </c>
      <c r="CW55" s="210" t="inlineStr">
        <is>
          <t>N/A</t>
        </is>
      </c>
      <c r="CX55" s="210" t="inlineStr">
        <is>
          <t>N/A</t>
        </is>
      </c>
      <c r="CY55" s="210" t="inlineStr">
        <is>
          <t>N/A</t>
        </is>
      </c>
      <c r="CZ55" s="210" t="inlineStr">
        <is>
          <t>N/A</t>
        </is>
      </c>
      <c r="DA55" s="210" t="inlineStr">
        <is>
          <t>N/A</t>
        </is>
      </c>
      <c r="DB55" s="210" t="inlineStr">
        <is>
          <t>N/A</t>
        </is>
      </c>
      <c r="DC55" s="210" t="inlineStr">
        <is>
          <t>N/A</t>
        </is>
      </c>
      <c r="DD55" s="210" t="inlineStr">
        <is>
          <t>N/A</t>
        </is>
      </c>
      <c r="DE55" s="210" t="inlineStr">
        <is>
          <t>N/A</t>
        </is>
      </c>
      <c r="DF55" s="210" t="inlineStr">
        <is>
          <t>N/A</t>
        </is>
      </c>
      <c r="DG55" s="210" t="inlineStr">
        <is>
          <t>N/A</t>
        </is>
      </c>
      <c r="DH55" s="210" t="inlineStr">
        <is>
          <t>N/A</t>
        </is>
      </c>
      <c r="DI55" s="210" t="inlineStr">
        <is>
          <t>N/A</t>
        </is>
      </c>
      <c r="DJ55" s="210" t="inlineStr">
        <is>
          <t>N/A</t>
        </is>
      </c>
      <c r="DK55" s="210" t="inlineStr">
        <is>
          <t>N/A</t>
        </is>
      </c>
      <c r="DL55" s="210" t="inlineStr">
        <is>
          <t>N/A</t>
        </is>
      </c>
      <c r="DM55" s="210" t="inlineStr">
        <is>
          <t>N/A</t>
        </is>
      </c>
      <c r="DN55" s="210" t="inlineStr">
        <is>
          <t>N/A</t>
        </is>
      </c>
      <c r="DO55" s="210" t="inlineStr">
        <is>
          <t>N/A</t>
        </is>
      </c>
      <c r="DP55" s="210" t="inlineStr">
        <is>
          <t>N/A</t>
        </is>
      </c>
      <c r="DQ55" s="210" t="inlineStr">
        <is>
          <t>N/A</t>
        </is>
      </c>
      <c r="DR55" s="212" t="n"/>
      <c r="DS55" s="212" t="n"/>
      <c r="DT55" s="212" t="n"/>
      <c r="DU55" s="212" t="n"/>
      <c r="DV55" s="212" t="n"/>
      <c r="DW55" s="212" t="n"/>
      <c r="DX55" s="212" t="n"/>
      <c r="DY55" s="212" t="n"/>
      <c r="DZ55" s="212" t="n"/>
      <c r="EA55" s="212" t="n"/>
      <c r="EB55" s="212" t="n"/>
      <c r="EC55" s="212" t="n"/>
      <c r="ED55" s="212" t="n"/>
      <c r="EE55" s="212" t="n"/>
      <c r="EF55" s="212" t="n"/>
      <c r="EG55" s="212" t="n"/>
      <c r="EH55" s="212" t="n"/>
      <c r="EI55" s="212" t="n"/>
      <c r="EJ55" s="212" t="n"/>
      <c r="EK55" s="212" t="n"/>
      <c r="EL55" s="212" t="n"/>
      <c r="EM55" s="212" t="n"/>
      <c r="EN55" s="212" t="n"/>
      <c r="EO55" s="212" t="n"/>
      <c r="EP55" s="212" t="n"/>
      <c r="EQ55" s="212" t="n"/>
      <c r="ER55" s="212" t="n"/>
      <c r="ES55" s="212" t="n"/>
      <c r="ET55" s="212" t="n"/>
      <c r="EU55" s="212" t="n"/>
      <c r="EV55" s="212" t="n"/>
      <c r="EW55" s="212" t="n"/>
      <c r="EX55" s="212" t="n"/>
      <c r="EY55" s="212" t="n"/>
      <c r="EZ55" s="212" t="n"/>
      <c r="FA55" s="212" t="n"/>
      <c r="FB55" s="212" t="n"/>
      <c r="FC55" s="212" t="n"/>
      <c r="FD55" s="212" t="n"/>
      <c r="FE55" s="212" t="n"/>
      <c r="FF55" s="212" t="n"/>
      <c r="FG55" s="212" t="n"/>
      <c r="FH55" s="212" t="n"/>
      <c r="FI55" s="212" t="n"/>
      <c r="FJ55" s="212" t="n"/>
      <c r="FK55" s="212" t="n"/>
      <c r="FL55" s="212" t="n"/>
      <c r="FM55" s="212" t="n"/>
      <c r="FN55" s="212" t="n"/>
      <c r="FO55" s="212" t="n"/>
      <c r="FP55" s="212" t="n"/>
      <c r="FQ55" s="212" t="n"/>
      <c r="FR55" s="212" t="n"/>
      <c r="FS55" s="212" t="n"/>
      <c r="FT55" s="212" t="n"/>
      <c r="FU55" s="212" t="n"/>
      <c r="FV55" s="212" t="n"/>
      <c r="FW55" s="212" t="n"/>
      <c r="FX55" s="212" t="n"/>
      <c r="FY55" s="212" t="n"/>
      <c r="FZ55" s="212" t="n"/>
      <c r="GA55" s="212" t="n"/>
      <c r="GB55" s="212" t="n"/>
      <c r="GC55" s="212" t="n"/>
      <c r="GD55" s="212" t="n"/>
      <c r="GE55" s="212" t="n"/>
      <c r="GF55" s="212" t="n"/>
      <c r="GG55" s="212" t="n"/>
      <c r="GH55" s="212" t="n"/>
      <c r="GI55" s="212" t="n"/>
      <c r="GJ55" s="212" t="n"/>
      <c r="GK55" s="212" t="n"/>
      <c r="GL55" s="212" t="n"/>
      <c r="GM55" s="212" t="n"/>
      <c r="GN55" s="212" t="n"/>
      <c r="GO55" s="212" t="n"/>
      <c r="GP55" s="212" t="n"/>
      <c r="GQ55" s="212" t="n"/>
      <c r="GR55" s="212" t="n"/>
      <c r="GS55" s="212" t="n"/>
      <c r="GT55" s="212" t="n"/>
      <c r="GU55" s="212" t="n"/>
      <c r="GV55" s="212" t="n"/>
      <c r="GW55" s="212" t="n"/>
      <c r="GX55" s="212" t="n"/>
      <c r="GY55" s="212" t="n"/>
      <c r="GZ55" s="212" t="n"/>
      <c r="HA55" s="212" t="n"/>
      <c r="HB55" s="212" t="n"/>
      <c r="HC55" s="212" t="n"/>
      <c r="HD55" s="212" t="n"/>
      <c r="HE55" s="212" t="n"/>
      <c r="HF55" s="212" t="n"/>
      <c r="HG55" s="212" t="n"/>
      <c r="HH55" s="212" t="n"/>
      <c r="HI55" s="212" t="n"/>
      <c r="HJ55" s="212" t="n"/>
      <c r="HK55" s="212" t="n"/>
      <c r="HL55" s="212" t="n"/>
      <c r="HM55" s="212" t="n"/>
      <c r="HN55" s="212" t="n"/>
      <c r="HO55" s="212" t="n"/>
      <c r="HP55" s="212" t="n"/>
      <c r="HQ55" s="212" t="n"/>
      <c r="HR55" s="212" t="n"/>
      <c r="HS55" s="212" t="n"/>
      <c r="HT55" s="212" t="n"/>
      <c r="HU55" s="212" t="n"/>
      <c r="HV55" s="212" t="n"/>
      <c r="HW55" s="212" t="n"/>
      <c r="HX55" s="212" t="n"/>
      <c r="HY55" s="212" t="n"/>
      <c r="HZ55" s="212" t="n"/>
      <c r="IA55" s="212" t="n"/>
      <c r="IB55" s="212" t="n"/>
      <c r="IC55" s="212" t="n"/>
      <c r="ID55" s="212" t="n"/>
      <c r="IE55" s="212" t="n"/>
      <c r="IF55" s="212" t="n"/>
      <c r="IG55" s="212" t="n"/>
      <c r="IH55" s="212" t="n"/>
      <c r="II55" s="212" t="n"/>
      <c r="IJ55" s="212" t="n"/>
      <c r="IK55" s="212" t="n"/>
      <c r="IL55" s="212" t="n"/>
      <c r="IM55" s="212" t="n"/>
      <c r="IN55" s="212" t="n"/>
      <c r="IO55" s="212" t="n"/>
      <c r="IP55" s="212" t="n"/>
      <c r="IQ55" s="212" t="n"/>
      <c r="IR55" s="212" t="n"/>
      <c r="IS55" s="212" t="n"/>
      <c r="IT55" s="212" t="n"/>
      <c r="IU55" s="212" t="n"/>
      <c r="IV55" s="212" t="n"/>
      <c r="IW55" s="212" t="n"/>
      <c r="IX55" s="212" t="n"/>
      <c r="IY55" s="212" t="n"/>
      <c r="IZ55" s="212" t="n"/>
      <c r="JA55" s="212" t="n"/>
      <c r="JB55" s="212" t="n"/>
      <c r="JC55" s="212" t="n"/>
      <c r="JD55" s="212" t="n"/>
      <c r="JE55" s="212" t="n"/>
      <c r="JF55" s="212" t="n"/>
      <c r="JG55" s="212" t="n"/>
      <c r="JH55" s="212" t="n"/>
      <c r="JI55" s="212" t="n"/>
      <c r="JJ55" s="212" t="n"/>
      <c r="JK55" s="212" t="n"/>
      <c r="JL55" s="212" t="n"/>
      <c r="JM55" s="212" t="n"/>
      <c r="JN55" s="212" t="n"/>
      <c r="JO55" s="212" t="n"/>
      <c r="JP55" s="212" t="n"/>
      <c r="JQ55" s="212" t="n"/>
      <c r="JR55" s="212" t="n"/>
      <c r="JS55" s="212" t="n"/>
      <c r="JT55" s="212" t="n"/>
      <c r="JU55" s="212" t="n"/>
      <c r="JV55" s="212" t="n"/>
      <c r="JW55" s="212" t="n"/>
      <c r="JX55" s="212" t="n"/>
      <c r="JY55" s="212" t="n"/>
      <c r="JZ55" s="212" t="n"/>
      <c r="KA55" s="212" t="n"/>
      <c r="KB55" s="212" t="n"/>
      <c r="KC55" s="212" t="n"/>
      <c r="KD55" s="212" t="n"/>
      <c r="KE55" s="212" t="n"/>
      <c r="KF55" s="212" t="n"/>
      <c r="KG55" s="212" t="n"/>
      <c r="KH55" s="212" t="n"/>
      <c r="KI55" s="212" t="n"/>
      <c r="KJ55" s="212" t="n"/>
      <c r="KK55" s="212" t="n"/>
      <c r="KL55" s="212" t="n"/>
      <c r="KM55" s="212" t="n"/>
      <c r="KN55" s="212" t="n"/>
      <c r="KO55" s="212" t="n"/>
      <c r="KP55" s="212" t="n"/>
      <c r="KQ55" s="212" t="n"/>
      <c r="KR55" s="212" t="n"/>
      <c r="KS55" s="212" t="n"/>
      <c r="KT55" s="212" t="n"/>
      <c r="KU55" s="212" t="n"/>
      <c r="KV55" s="212" t="n"/>
      <c r="KW55" s="212" t="n"/>
      <c r="KX55" s="212" t="n"/>
      <c r="KY55" s="212" t="n"/>
      <c r="KZ55" s="212" t="n"/>
      <c r="LA55" s="212" t="n"/>
      <c r="LB55" s="212" t="n"/>
      <c r="LC55" s="212" t="n"/>
      <c r="LD55" s="212" t="n"/>
      <c r="LE55" s="212" t="n"/>
      <c r="LF55" s="212" t="n"/>
      <c r="LG55" s="212" t="n"/>
      <c r="LH55" s="212" t="n"/>
      <c r="LI55" s="212" t="n"/>
      <c r="LJ55" s="212" t="n"/>
      <c r="LK55" s="212" t="n"/>
      <c r="LL55" s="212" t="n"/>
      <c r="LM55" s="212" t="n"/>
      <c r="LN55" s="212" t="n"/>
      <c r="LO55" s="212" t="n"/>
      <c r="LP55" s="212" t="n"/>
      <c r="LQ55" s="212" t="n"/>
      <c r="LR55" s="212" t="n"/>
      <c r="LS55" s="212" t="n"/>
      <c r="LT55" s="212" t="n"/>
      <c r="LU55" s="212" t="n"/>
      <c r="LV55" s="212" t="n"/>
      <c r="LW55" s="212" t="n"/>
      <c r="LX55" s="212" t="n"/>
      <c r="LY55" s="212" t="n"/>
      <c r="LZ55" s="212" t="n"/>
      <c r="MA55" s="212" t="n"/>
      <c r="MB55" s="212" t="n"/>
      <c r="MC55" s="212" t="n"/>
      <c r="MD55" s="212" t="n"/>
      <c r="ME55" s="212" t="n"/>
      <c r="MF55" s="212" t="n"/>
      <c r="MG55" s="212" t="n"/>
      <c r="MH55" s="212" t="n"/>
      <c r="MI55" s="212" t="n"/>
      <c r="MJ55" s="212" t="n"/>
      <c r="MK55" s="212" t="n"/>
      <c r="ML55" s="212" t="n"/>
      <c r="MM55" s="212" t="n"/>
      <c r="MN55" s="212" t="n"/>
      <c r="MO55" s="212" t="n"/>
      <c r="MP55" s="212" t="n"/>
      <c r="MQ55" s="212" t="n"/>
      <c r="MR55" s="212" t="n"/>
      <c r="MS55" s="212" t="n"/>
      <c r="MT55" s="212" t="n"/>
      <c r="MU55" s="212" t="n"/>
      <c r="MV55" s="212" t="n"/>
      <c r="MW55" s="212" t="n"/>
      <c r="MX55" s="212" t="n"/>
      <c r="MY55" s="212" t="n"/>
      <c r="MZ55" s="212" t="n"/>
      <c r="NA55" s="212" t="n"/>
      <c r="NB55" s="212" t="n"/>
      <c r="NC55" s="212" t="n"/>
      <c r="ND55" s="212" t="n"/>
      <c r="NE55" s="212" t="n"/>
      <c r="NF55" s="212" t="n"/>
      <c r="NG55" s="212" t="n"/>
      <c r="NH55" s="212" t="n"/>
      <c r="NI55" s="212" t="n"/>
      <c r="NJ55" s="212" t="n"/>
      <c r="NK55" s="212" t="n"/>
      <c r="NL55" s="212" t="n"/>
      <c r="NM55" s="212" t="n"/>
      <c r="NN55" s="212" t="n"/>
      <c r="NO55" s="212" t="n"/>
      <c r="NP55" s="212" t="n"/>
      <c r="NQ55" s="212" t="n"/>
      <c r="NR55" s="212" t="n"/>
      <c r="NS55" s="212" t="n"/>
      <c r="NT55" s="212" t="n"/>
      <c r="NU55" s="212" t="n"/>
      <c r="NV55" s="212" t="n"/>
      <c r="NW55" s="212" t="n"/>
      <c r="NX55" s="212" t="n"/>
      <c r="NY55" s="212" t="n"/>
      <c r="NZ55" s="212" t="n"/>
      <c r="OA55" s="212" t="n"/>
      <c r="OB55" s="212" t="n"/>
      <c r="OC55" s="212" t="n"/>
      <c r="OD55" s="212" t="n"/>
      <c r="OE55" s="212" t="n"/>
      <c r="OF55" s="212" t="n"/>
      <c r="OG55" s="212" t="n"/>
      <c r="OH55" s="212" t="n"/>
      <c r="OI55" s="212" t="n"/>
      <c r="OJ55" s="212" t="n"/>
      <c r="OK55" s="212" t="n"/>
      <c r="OL55" s="212" t="n"/>
      <c r="OM55" s="212" t="n"/>
      <c r="ON55" s="212" t="n"/>
      <c r="OO55" s="212" t="n"/>
      <c r="OP55" s="212" t="n"/>
      <c r="OQ55" s="212" t="n"/>
      <c r="OR55" s="212" t="n"/>
      <c r="OS55" s="212" t="n"/>
      <c r="OT55" s="212" t="n"/>
      <c r="OU55" s="212" t="n"/>
      <c r="OV55" s="212" t="n"/>
      <c r="OW55" s="212" t="n"/>
      <c r="OX55" s="212" t="n"/>
      <c r="OY55" s="212" t="n"/>
      <c r="OZ55" s="212" t="n"/>
      <c r="PA55" s="212" t="n"/>
      <c r="PB55" s="212" t="n"/>
      <c r="PC55" s="212" t="n"/>
      <c r="PD55" s="212" t="n"/>
      <c r="PE55" s="212" t="n"/>
      <c r="PF55" s="212" t="n"/>
      <c r="PG55" s="212" t="n"/>
      <c r="PH55" s="212" t="n"/>
      <c r="PI55" s="212" t="n"/>
      <c r="PJ55" s="212" t="n"/>
      <c r="PK55" s="212" t="n"/>
      <c r="PL55" s="212" t="n"/>
      <c r="PM55" s="212" t="n"/>
      <c r="PN55" s="212" t="n"/>
      <c r="PO55" s="212" t="n"/>
      <c r="PP55" s="212" t="n"/>
      <c r="PQ55" s="212" t="n"/>
      <c r="PR55" s="212" t="n"/>
      <c r="PS55" s="212" t="n"/>
      <c r="PT55" s="212" t="n"/>
      <c r="PU55" s="212" t="n"/>
      <c r="PV55" s="212" t="n"/>
      <c r="PW55" s="212" t="n"/>
      <c r="PX55" s="212" t="n"/>
      <c r="PY55" s="212" t="n"/>
      <c r="PZ55" s="212" t="n"/>
      <c r="QA55" s="212" t="n"/>
      <c r="QB55" s="212" t="n"/>
      <c r="QC55" s="212" t="n"/>
      <c r="QD55" s="212" t="n"/>
      <c r="QE55" s="212" t="n"/>
      <c r="QF55" s="212" t="n"/>
      <c r="QG55" s="212" t="n"/>
      <c r="QH55" s="212" t="n"/>
      <c r="QI55" s="212" t="n"/>
      <c r="QJ55" s="212" t="n"/>
      <c r="QK55" s="212" t="n"/>
      <c r="QL55" s="212" t="n"/>
      <c r="QM55" s="212" t="n"/>
      <c r="QN55" s="212" t="n"/>
      <c r="QO55" s="212" t="n"/>
      <c r="QP55" s="212" t="n"/>
      <c r="QQ55" s="212" t="n"/>
      <c r="QR55" s="212" t="n"/>
      <c r="QS55" s="212" t="n"/>
      <c r="QT55" s="212" t="n"/>
      <c r="QU55" s="212" t="n"/>
      <c r="QV55" s="212" t="n"/>
      <c r="QW55" s="212" t="n"/>
      <c r="QX55" s="212" t="n"/>
      <c r="QY55" s="212" t="n"/>
      <c r="QZ55" s="212" t="n"/>
      <c r="RA55" s="212" t="n"/>
      <c r="RB55" s="212" t="n"/>
      <c r="RC55" s="212" t="n"/>
      <c r="RD55" s="212" t="n"/>
      <c r="RE55" s="212" t="n"/>
      <c r="RF55" s="212" t="n"/>
      <c r="RG55" s="212" t="n"/>
      <c r="RH55" s="212" t="n"/>
      <c r="RI55" s="212" t="n"/>
      <c r="RJ55" s="212" t="n"/>
      <c r="RK55" s="212" t="n"/>
      <c r="RL55" s="212" t="n"/>
      <c r="RM55" s="212" t="n"/>
      <c r="RN55" s="212" t="n"/>
      <c r="RO55" s="212" t="n"/>
      <c r="RP55" s="212" t="n"/>
      <c r="RQ55" s="212" t="n"/>
      <c r="RR55" s="212" t="n"/>
      <c r="RS55" s="212" t="n"/>
      <c r="RT55" s="212" t="n"/>
      <c r="RU55" s="212" t="n"/>
      <c r="RV55" s="212" t="n"/>
      <c r="RW55" s="212" t="n"/>
      <c r="RX55" s="212" t="n"/>
      <c r="RY55" s="212" t="n"/>
      <c r="RZ55" s="212" t="n"/>
      <c r="SA55" s="212" t="n"/>
      <c r="SB55" s="212" t="n"/>
      <c r="SC55" s="212" t="n"/>
      <c r="SD55" s="212" t="n"/>
      <c r="SE55" s="212" t="n"/>
      <c r="SF55" s="212" t="n"/>
      <c r="SG55" s="212" t="n"/>
      <c r="SH55" s="212" t="n"/>
      <c r="SI55" s="212" t="n"/>
      <c r="SJ55" s="212" t="n"/>
      <c r="SK55" s="212" t="n"/>
      <c r="SL55" s="212" t="n"/>
      <c r="SM55" s="212" t="n"/>
      <c r="SN55" s="212" t="n"/>
      <c r="SO55" s="212" t="n"/>
      <c r="SP55" s="212" t="n"/>
      <c r="SQ55" s="212" t="n"/>
      <c r="SR55" s="212" t="n"/>
      <c r="SS55" s="212" t="n"/>
      <c r="ST55" s="212" t="n"/>
      <c r="SU55" s="212" t="n"/>
      <c r="SV55" s="212" t="n"/>
    </row>
    <row r="56">
      <c r="B56" s="209" t="n">
        <v>3</v>
      </c>
      <c r="C56" s="209" t="inlineStr">
        <is>
          <t>Sentinel</t>
        </is>
      </c>
      <c r="D56" s="209" t="inlineStr">
        <is>
          <t>Tenille</t>
        </is>
      </c>
      <c r="E56" s="209" t="inlineStr">
        <is>
          <t>Lunaro</t>
        </is>
      </c>
      <c r="F56" s="209">
        <f>IF(TRIM(D56&amp;E56)="","",TRIM(D56)&amp;" "&amp;TRIM(E56))</f>
        <v/>
      </c>
      <c r="G56" s="209" t="inlineStr">
        <is>
          <t>Perth</t>
        </is>
      </c>
      <c r="H56" s="209" t="inlineStr">
        <is>
          <t>TPO</t>
        </is>
      </c>
      <c r="I56" s="209" t="inlineStr">
        <is>
          <t>YES</t>
        </is>
      </c>
      <c r="J56" s="209" t="inlineStr">
        <is>
          <t>YES</t>
        </is>
      </c>
      <c r="K56" s="209" t="inlineStr">
        <is>
          <t>YES</t>
        </is>
      </c>
      <c r="L56" s="209" t="inlineStr">
        <is>
          <t>YES</t>
        </is>
      </c>
      <c r="M56" s="209" t="inlineStr">
        <is>
          <t>Quals Complete</t>
        </is>
      </c>
      <c r="N56" s="209" t="inlineStr">
        <is>
          <t>tennillelp78@gmail.com</t>
        </is>
      </c>
      <c r="O56" s="209" t="inlineStr">
        <is>
          <t>0405 295 994</t>
        </is>
      </c>
      <c r="P56" s="209" t="n">
        <v>838688</v>
      </c>
      <c r="Q56" s="209" t="n">
        <v>449636</v>
      </c>
      <c r="R56" s="209" t="inlineStr">
        <is>
          <t>Roster A Elec</t>
        </is>
      </c>
      <c r="S56" s="210" t="inlineStr">
        <is>
          <t>N/A</t>
        </is>
      </c>
      <c r="T56" s="210" t="inlineStr">
        <is>
          <t>N/A</t>
        </is>
      </c>
      <c r="U56" s="210" t="inlineStr">
        <is>
          <t>N/A</t>
        </is>
      </c>
      <c r="V56" s="210" t="inlineStr">
        <is>
          <t>N/A</t>
        </is>
      </c>
      <c r="W56" s="210" t="inlineStr">
        <is>
          <t>N/A</t>
        </is>
      </c>
      <c r="X56" s="210" t="inlineStr">
        <is>
          <t>N/A</t>
        </is>
      </c>
      <c r="Y56" s="210" t="inlineStr">
        <is>
          <t>N/A</t>
        </is>
      </c>
      <c r="Z56" s="210" t="inlineStr">
        <is>
          <t>N/A</t>
        </is>
      </c>
      <c r="AA56" s="210" t="inlineStr">
        <is>
          <t>N/A</t>
        </is>
      </c>
      <c r="AB56" s="210" t="inlineStr">
        <is>
          <t>N/A</t>
        </is>
      </c>
      <c r="AC56" s="210" t="inlineStr">
        <is>
          <t>N/A</t>
        </is>
      </c>
      <c r="AD56" s="210" t="inlineStr">
        <is>
          <t>N/A</t>
        </is>
      </c>
      <c r="AE56" s="210" t="inlineStr">
        <is>
          <t>N/A</t>
        </is>
      </c>
      <c r="AF56" s="210" t="inlineStr">
        <is>
          <t>N/A</t>
        </is>
      </c>
      <c r="AG56" s="210" t="inlineStr">
        <is>
          <t>N/A</t>
        </is>
      </c>
      <c r="AH56" s="210" t="inlineStr">
        <is>
          <t>N/A</t>
        </is>
      </c>
      <c r="AI56" s="210" t="inlineStr">
        <is>
          <t>N/A</t>
        </is>
      </c>
      <c r="AJ56" s="210" t="inlineStr">
        <is>
          <t>N/A</t>
        </is>
      </c>
      <c r="AK56" s="210" t="inlineStr">
        <is>
          <t>N/A</t>
        </is>
      </c>
      <c r="AL56" s="210" t="inlineStr">
        <is>
          <t>N/A</t>
        </is>
      </c>
      <c r="AM56" s="210" t="inlineStr">
        <is>
          <t>N/A</t>
        </is>
      </c>
      <c r="AN56" s="210" t="inlineStr">
        <is>
          <t>N/A</t>
        </is>
      </c>
      <c r="AO56" s="210" t="inlineStr">
        <is>
          <t>N/A</t>
        </is>
      </c>
      <c r="AP56" s="210" t="inlineStr">
        <is>
          <t>N/A</t>
        </is>
      </c>
      <c r="AQ56" s="210" t="inlineStr">
        <is>
          <t>N/A</t>
        </is>
      </c>
      <c r="AR56" s="210" t="inlineStr">
        <is>
          <t>N/A</t>
        </is>
      </c>
      <c r="AS56" s="210" t="inlineStr">
        <is>
          <t>N/A</t>
        </is>
      </c>
      <c r="AT56" s="210" t="inlineStr">
        <is>
          <t>N/A</t>
        </is>
      </c>
      <c r="AU56" s="210" t="inlineStr">
        <is>
          <t>N/A</t>
        </is>
      </c>
      <c r="AV56" s="210" t="inlineStr">
        <is>
          <t>N/A</t>
        </is>
      </c>
      <c r="AW56" s="210" t="inlineStr">
        <is>
          <t>N/A</t>
        </is>
      </c>
      <c r="AX56" s="210" t="inlineStr">
        <is>
          <t>N/A</t>
        </is>
      </c>
      <c r="AY56" s="210" t="inlineStr">
        <is>
          <t>N/A</t>
        </is>
      </c>
      <c r="AZ56" s="210" t="inlineStr">
        <is>
          <t>N/A</t>
        </is>
      </c>
      <c r="BA56" s="210" t="inlineStr">
        <is>
          <t>N/A</t>
        </is>
      </c>
      <c r="BB56" s="210" t="inlineStr">
        <is>
          <t>N/A</t>
        </is>
      </c>
      <c r="BC56" s="210" t="inlineStr">
        <is>
          <t>N/A</t>
        </is>
      </c>
      <c r="BD56" s="210" t="inlineStr">
        <is>
          <t>N/A</t>
        </is>
      </c>
      <c r="BE56" s="210" t="inlineStr">
        <is>
          <t>N/A</t>
        </is>
      </c>
      <c r="BF56" s="210" t="inlineStr">
        <is>
          <t>N/A</t>
        </is>
      </c>
      <c r="BG56" s="210" t="inlineStr">
        <is>
          <t>N/A</t>
        </is>
      </c>
      <c r="BH56" s="210" t="inlineStr">
        <is>
          <t>N/A</t>
        </is>
      </c>
      <c r="BI56" s="210" t="inlineStr">
        <is>
          <t>N/A</t>
        </is>
      </c>
      <c r="BJ56" s="210" t="inlineStr">
        <is>
          <t>N/A</t>
        </is>
      </c>
      <c r="BK56" s="210" t="inlineStr">
        <is>
          <t>N/A</t>
        </is>
      </c>
      <c r="BL56" s="210" t="inlineStr">
        <is>
          <t>N/A</t>
        </is>
      </c>
      <c r="BM56" s="210" t="inlineStr">
        <is>
          <t>N/A</t>
        </is>
      </c>
      <c r="BN56" s="210" t="inlineStr">
        <is>
          <t>N/A</t>
        </is>
      </c>
      <c r="BO56" s="210" t="inlineStr">
        <is>
          <t>N/A</t>
        </is>
      </c>
      <c r="BP56" s="222" t="inlineStr">
        <is>
          <t>RnR</t>
        </is>
      </c>
      <c r="BQ56" s="222" t="inlineStr">
        <is>
          <t>RnR</t>
        </is>
      </c>
      <c r="BR56" s="222" t="inlineStr">
        <is>
          <t>RnR</t>
        </is>
      </c>
      <c r="BS56" s="222" t="inlineStr">
        <is>
          <t>RnR</t>
        </is>
      </c>
      <c r="BT56" s="222" t="inlineStr">
        <is>
          <t>RnR</t>
        </is>
      </c>
      <c r="BU56" s="210" t="inlineStr">
        <is>
          <t>N/A</t>
        </is>
      </c>
      <c r="BV56" s="210" t="inlineStr">
        <is>
          <t>N/A</t>
        </is>
      </c>
      <c r="BW56" s="210" t="inlineStr">
        <is>
          <t>N/A</t>
        </is>
      </c>
      <c r="BX56" s="210" t="inlineStr">
        <is>
          <t>N/A</t>
        </is>
      </c>
      <c r="BY56" s="210" t="inlineStr">
        <is>
          <t>N/A</t>
        </is>
      </c>
      <c r="BZ56" s="210" t="inlineStr">
        <is>
          <t>N/A</t>
        </is>
      </c>
      <c r="CA56" s="223" t="inlineStr">
        <is>
          <t>A/L - Dave Keating to Replace</t>
        </is>
      </c>
      <c r="CB56" s="212" t="n"/>
      <c r="CC56" s="212" t="n"/>
      <c r="CD56" s="212" t="n"/>
      <c r="CE56" s="212" t="n"/>
      <c r="CF56" s="212" t="n"/>
      <c r="CG56" s="212" t="n"/>
      <c r="CH56" s="212" t="n"/>
      <c r="CI56" s="212" t="n"/>
      <c r="CJ56" s="212" t="n"/>
      <c r="CK56" s="212" t="n"/>
      <c r="CL56" s="212" t="n"/>
      <c r="CM56" s="212" t="n"/>
      <c r="CN56" s="212" t="n"/>
      <c r="CO56" s="212" t="n"/>
      <c r="CP56" s="210" t="inlineStr">
        <is>
          <t>N/A</t>
        </is>
      </c>
      <c r="CQ56" s="210" t="inlineStr">
        <is>
          <t>N/A</t>
        </is>
      </c>
      <c r="CR56" s="210" t="inlineStr">
        <is>
          <t>N/A</t>
        </is>
      </c>
      <c r="CS56" s="210" t="inlineStr">
        <is>
          <t>N/A</t>
        </is>
      </c>
      <c r="CT56" s="210" t="inlineStr">
        <is>
          <t>N/A</t>
        </is>
      </c>
      <c r="CU56" s="210" t="inlineStr">
        <is>
          <t>N/A</t>
        </is>
      </c>
      <c r="CV56" s="210" t="inlineStr">
        <is>
          <t>N/A</t>
        </is>
      </c>
      <c r="CW56" s="210" t="inlineStr">
        <is>
          <t>N/A</t>
        </is>
      </c>
      <c r="CX56" s="210" t="inlineStr">
        <is>
          <t>N/A</t>
        </is>
      </c>
      <c r="CY56" s="210" t="inlineStr">
        <is>
          <t>N/A</t>
        </is>
      </c>
      <c r="CZ56" s="210" t="inlineStr">
        <is>
          <t>N/A</t>
        </is>
      </c>
      <c r="DA56" s="210" t="inlineStr">
        <is>
          <t>N/A</t>
        </is>
      </c>
      <c r="DB56" s="210" t="inlineStr">
        <is>
          <t>N/A</t>
        </is>
      </c>
      <c r="DC56" s="210" t="inlineStr">
        <is>
          <t>N/A</t>
        </is>
      </c>
      <c r="DD56" s="210" t="inlineStr">
        <is>
          <t>N/A</t>
        </is>
      </c>
      <c r="DE56" s="210" t="inlineStr">
        <is>
          <t>N/A</t>
        </is>
      </c>
      <c r="DF56" s="210" t="inlineStr">
        <is>
          <t>N/A</t>
        </is>
      </c>
      <c r="DG56" s="210" t="inlineStr">
        <is>
          <t>N/A</t>
        </is>
      </c>
      <c r="DH56" s="210" t="inlineStr">
        <is>
          <t>N/A</t>
        </is>
      </c>
      <c r="DI56" s="210" t="inlineStr">
        <is>
          <t>N/A</t>
        </is>
      </c>
      <c r="DJ56" s="210" t="inlineStr">
        <is>
          <t>N/A</t>
        </is>
      </c>
      <c r="DK56" s="210" t="inlineStr">
        <is>
          <t>N/A</t>
        </is>
      </c>
      <c r="DL56" s="210" t="inlineStr">
        <is>
          <t>N/A</t>
        </is>
      </c>
      <c r="DM56" s="210" t="inlineStr">
        <is>
          <t>N/A</t>
        </is>
      </c>
      <c r="DN56" s="210" t="inlineStr">
        <is>
          <t>N/A</t>
        </is>
      </c>
      <c r="DO56" s="210" t="inlineStr">
        <is>
          <t>N/A</t>
        </is>
      </c>
      <c r="DP56" s="210" t="inlineStr">
        <is>
          <t>N/A</t>
        </is>
      </c>
      <c r="DQ56" s="210" t="inlineStr">
        <is>
          <t>N/A</t>
        </is>
      </c>
      <c r="DR56" s="212" t="n"/>
      <c r="DS56" s="212" t="n"/>
      <c r="DT56" s="212" t="n"/>
      <c r="DU56" s="212" t="n"/>
      <c r="DV56" s="212" t="n"/>
      <c r="DW56" s="212" t="n"/>
      <c r="DX56" s="212" t="n"/>
      <c r="DY56" s="212" t="n"/>
      <c r="DZ56" s="212" t="n"/>
      <c r="EA56" s="212" t="n"/>
      <c r="EB56" s="212" t="n"/>
      <c r="EC56" s="212" t="n"/>
      <c r="ED56" s="212" t="n"/>
      <c r="EE56" s="212" t="n"/>
      <c r="EF56" s="212" t="n"/>
      <c r="EG56" s="212" t="n"/>
      <c r="EH56" s="212" t="n"/>
      <c r="EI56" s="212" t="n"/>
      <c r="EJ56" s="212" t="n"/>
      <c r="EK56" s="212" t="n"/>
      <c r="EL56" s="212" t="n"/>
      <c r="EM56" s="212" t="n"/>
      <c r="EN56" s="212" t="n"/>
      <c r="EO56" s="212" t="n"/>
      <c r="EP56" s="212" t="n"/>
      <c r="EQ56" s="212" t="n"/>
      <c r="ER56" s="212" t="n"/>
      <c r="ES56" s="212" t="n"/>
      <c r="ET56" s="212" t="n"/>
      <c r="EU56" s="212" t="n"/>
      <c r="EV56" s="212" t="n"/>
      <c r="EW56" s="212" t="n"/>
      <c r="EX56" s="212" t="n"/>
      <c r="EY56" s="212" t="n"/>
      <c r="EZ56" s="212" t="n"/>
      <c r="FA56" s="212" t="n"/>
      <c r="FB56" s="212" t="n"/>
      <c r="FC56" s="212" t="n"/>
      <c r="FD56" s="212" t="n"/>
      <c r="FE56" s="212" t="n"/>
      <c r="FF56" s="212" t="n"/>
      <c r="FG56" s="212" t="n"/>
      <c r="FH56" s="212" t="n"/>
      <c r="FI56" s="212" t="n"/>
      <c r="FJ56" s="212" t="n"/>
      <c r="FK56" s="212" t="n"/>
      <c r="FL56" s="212" t="n"/>
      <c r="FM56" s="212" t="n"/>
      <c r="FN56" s="212" t="n"/>
      <c r="FO56" s="212" t="n"/>
      <c r="FP56" s="212" t="n"/>
      <c r="FQ56" s="212" t="n"/>
      <c r="FR56" s="212" t="n"/>
      <c r="FS56" s="212" t="n"/>
      <c r="FT56" s="212" t="n"/>
      <c r="FU56" s="212" t="n"/>
      <c r="FV56" s="212" t="n"/>
      <c r="FW56" s="212" t="n"/>
      <c r="FX56" s="212" t="n"/>
      <c r="FY56" s="212" t="n"/>
      <c r="FZ56" s="212" t="n"/>
      <c r="GA56" s="212" t="n"/>
      <c r="GB56" s="212" t="n"/>
      <c r="GC56" s="212" t="n"/>
      <c r="GD56" s="212" t="n"/>
      <c r="GE56" s="212" t="n"/>
      <c r="GF56" s="212" t="n"/>
      <c r="GG56" s="212" t="n"/>
      <c r="GH56" s="212" t="n"/>
      <c r="GI56" s="212" t="n"/>
      <c r="GJ56" s="212" t="n"/>
      <c r="GK56" s="212" t="n"/>
      <c r="GL56" s="212" t="n"/>
      <c r="GM56" s="212" t="n"/>
      <c r="GN56" s="212" t="n"/>
      <c r="GO56" s="212" t="n"/>
      <c r="GP56" s="212" t="n"/>
      <c r="GQ56" s="212" t="n"/>
      <c r="GR56" s="212" t="n"/>
      <c r="GS56" s="212" t="n"/>
      <c r="GT56" s="212" t="n"/>
      <c r="GU56" s="212" t="n"/>
      <c r="GV56" s="212" t="n"/>
      <c r="GW56" s="212" t="n"/>
      <c r="GX56" s="212" t="n"/>
      <c r="GY56" s="212" t="n"/>
      <c r="GZ56" s="212" t="n"/>
      <c r="HA56" s="212" t="n"/>
      <c r="HB56" s="212" t="n"/>
      <c r="HC56" s="212" t="n"/>
      <c r="HD56" s="212" t="n"/>
      <c r="HE56" s="212" t="n"/>
      <c r="HF56" s="212" t="n"/>
      <c r="HG56" s="212" t="n"/>
      <c r="HH56" s="212" t="n"/>
      <c r="HI56" s="212" t="n"/>
      <c r="HJ56" s="212" t="n"/>
      <c r="HK56" s="212" t="n"/>
      <c r="HL56" s="212" t="n"/>
      <c r="HM56" s="212" t="n"/>
      <c r="HN56" s="212" t="n"/>
      <c r="HO56" s="212" t="n"/>
      <c r="HP56" s="212" t="n"/>
      <c r="HQ56" s="212" t="n"/>
      <c r="HR56" s="212" t="n"/>
      <c r="HS56" s="212" t="n"/>
      <c r="HT56" s="212" t="n"/>
      <c r="HU56" s="212" t="n"/>
      <c r="HV56" s="212" t="n"/>
      <c r="HW56" s="212" t="n"/>
      <c r="HX56" s="212" t="n"/>
      <c r="HY56" s="212" t="n"/>
      <c r="HZ56" s="212" t="n"/>
      <c r="IA56" s="212" t="n"/>
      <c r="IB56" s="212" t="n"/>
      <c r="IC56" s="212" t="n"/>
      <c r="ID56" s="212" t="n"/>
      <c r="IE56" s="212" t="n"/>
      <c r="IF56" s="212" t="n"/>
      <c r="IG56" s="212" t="n"/>
      <c r="IH56" s="212" t="n"/>
      <c r="II56" s="212" t="n"/>
      <c r="IJ56" s="212" t="n"/>
      <c r="IK56" s="212" t="n"/>
      <c r="IL56" s="212" t="n"/>
      <c r="IM56" s="212" t="n"/>
      <c r="IN56" s="212" t="n"/>
      <c r="IO56" s="212" t="n"/>
      <c r="IP56" s="212" t="n"/>
      <c r="IQ56" s="212" t="n"/>
      <c r="IR56" s="212" t="n"/>
      <c r="IS56" s="212" t="n"/>
      <c r="IT56" s="212" t="n"/>
      <c r="IU56" s="212" t="n"/>
      <c r="IV56" s="212" t="n"/>
      <c r="IW56" s="212" t="n"/>
      <c r="IX56" s="212" t="n"/>
      <c r="IY56" s="212" t="n"/>
      <c r="IZ56" s="212" t="n"/>
      <c r="JA56" s="212" t="n"/>
      <c r="JB56" s="212" t="n"/>
      <c r="JC56" s="212" t="n"/>
      <c r="JD56" s="212" t="n"/>
      <c r="JE56" s="212" t="n"/>
      <c r="JF56" s="212" t="n"/>
      <c r="JG56" s="212" t="n"/>
      <c r="JH56" s="212" t="n"/>
      <c r="JI56" s="212" t="n"/>
      <c r="JJ56" s="212" t="n"/>
      <c r="JK56" s="212" t="n"/>
      <c r="JL56" s="212" t="n"/>
      <c r="JM56" s="212" t="n"/>
      <c r="JN56" s="212" t="n"/>
      <c r="JO56" s="212" t="n"/>
      <c r="JP56" s="212" t="n"/>
      <c r="JQ56" s="212" t="n"/>
      <c r="JR56" s="212" t="n"/>
      <c r="JS56" s="212" t="n"/>
      <c r="JT56" s="212" t="n"/>
      <c r="JU56" s="212" t="n"/>
      <c r="JV56" s="212" t="n"/>
      <c r="JW56" s="212" t="n"/>
      <c r="JX56" s="212" t="n"/>
      <c r="JY56" s="212" t="n"/>
      <c r="JZ56" s="212" t="n"/>
      <c r="KA56" s="212" t="n"/>
      <c r="KB56" s="212" t="n"/>
      <c r="KC56" s="212" t="n"/>
      <c r="KD56" s="212" t="n"/>
      <c r="KE56" s="212" t="n"/>
      <c r="KF56" s="212" t="n"/>
      <c r="KG56" s="212" t="n"/>
      <c r="KH56" s="212" t="n"/>
      <c r="KI56" s="212" t="n"/>
      <c r="KJ56" s="212" t="n"/>
      <c r="KK56" s="212" t="n"/>
      <c r="KL56" s="212" t="n"/>
      <c r="KM56" s="212" t="n"/>
      <c r="KN56" s="212" t="n"/>
      <c r="KO56" s="212" t="n"/>
      <c r="KP56" s="212" t="n"/>
      <c r="KQ56" s="212" t="n"/>
      <c r="KR56" s="212" t="n"/>
      <c r="KS56" s="212" t="n"/>
      <c r="KT56" s="212" t="n"/>
      <c r="KU56" s="212" t="n"/>
      <c r="KV56" s="212" t="n"/>
      <c r="KW56" s="212" t="n"/>
      <c r="KX56" s="212" t="n"/>
      <c r="KY56" s="212" t="n"/>
      <c r="KZ56" s="212" t="n"/>
      <c r="LA56" s="212" t="n"/>
      <c r="LB56" s="212" t="n"/>
      <c r="LC56" s="212" t="n"/>
      <c r="LD56" s="212" t="n"/>
      <c r="LE56" s="212" t="n"/>
      <c r="LF56" s="212" t="n"/>
      <c r="LG56" s="212" t="n"/>
      <c r="LH56" s="212" t="n"/>
      <c r="LI56" s="212" t="n"/>
      <c r="LJ56" s="212" t="n"/>
      <c r="LK56" s="212" t="n"/>
      <c r="LL56" s="212" t="n"/>
      <c r="LM56" s="212" t="n"/>
      <c r="LN56" s="212" t="n"/>
      <c r="LO56" s="212" t="n"/>
      <c r="LP56" s="212" t="n"/>
      <c r="LQ56" s="212" t="n"/>
      <c r="LR56" s="212" t="n"/>
      <c r="LS56" s="212" t="n"/>
      <c r="LT56" s="212" t="n"/>
      <c r="LU56" s="212" t="n"/>
      <c r="LV56" s="212" t="n"/>
      <c r="LW56" s="212" t="n"/>
      <c r="LX56" s="212" t="n"/>
      <c r="LY56" s="212" t="n"/>
      <c r="LZ56" s="212" t="n"/>
      <c r="MA56" s="212" t="n"/>
      <c r="MB56" s="212" t="n"/>
      <c r="MC56" s="212" t="n"/>
      <c r="MD56" s="212" t="n"/>
      <c r="ME56" s="212" t="n"/>
      <c r="MF56" s="212" t="n"/>
      <c r="MG56" s="212" t="n"/>
      <c r="MH56" s="212" t="n"/>
      <c r="MI56" s="212" t="n"/>
      <c r="MJ56" s="212" t="n"/>
      <c r="MK56" s="212" t="n"/>
      <c r="ML56" s="212" t="n"/>
      <c r="MM56" s="212" t="n"/>
      <c r="MN56" s="212" t="n"/>
      <c r="MO56" s="212" t="n"/>
      <c r="MP56" s="212" t="n"/>
      <c r="MQ56" s="212" t="n"/>
      <c r="MR56" s="212" t="n"/>
      <c r="MS56" s="212" t="n"/>
      <c r="MT56" s="212" t="n"/>
      <c r="MU56" s="212" t="n"/>
      <c r="MV56" s="212" t="n"/>
      <c r="MW56" s="212" t="n"/>
      <c r="MX56" s="212" t="n"/>
      <c r="MY56" s="212" t="n"/>
      <c r="MZ56" s="212" t="n"/>
      <c r="NA56" s="212" t="n"/>
      <c r="NB56" s="212" t="n"/>
      <c r="NC56" s="212" t="n"/>
      <c r="ND56" s="212" t="n"/>
      <c r="NE56" s="212" t="n"/>
      <c r="NF56" s="212" t="n"/>
      <c r="NG56" s="212" t="n"/>
      <c r="NH56" s="212" t="n"/>
      <c r="NI56" s="212" t="n"/>
      <c r="NJ56" s="212" t="n"/>
      <c r="NK56" s="212" t="n"/>
      <c r="NL56" s="212" t="n"/>
      <c r="NM56" s="212" t="n"/>
      <c r="NN56" s="212" t="n"/>
      <c r="NO56" s="212" t="n"/>
      <c r="NP56" s="212" t="n"/>
      <c r="NQ56" s="212" t="n"/>
      <c r="NR56" s="212" t="n"/>
      <c r="NS56" s="212" t="n"/>
      <c r="NT56" s="212" t="n"/>
      <c r="NU56" s="212" t="n"/>
      <c r="NV56" s="212" t="n"/>
      <c r="NW56" s="212" t="n"/>
      <c r="NX56" s="212" t="n"/>
      <c r="NY56" s="212" t="n"/>
      <c r="NZ56" s="212" t="n"/>
      <c r="OA56" s="212" t="n"/>
      <c r="OB56" s="212" t="n"/>
      <c r="OC56" s="212" t="n"/>
      <c r="OD56" s="212" t="n"/>
      <c r="OE56" s="212" t="n"/>
      <c r="OF56" s="212" t="n"/>
      <c r="OG56" s="212" t="n"/>
      <c r="OH56" s="212" t="n"/>
      <c r="OI56" s="212" t="n"/>
      <c r="OJ56" s="212" t="n"/>
      <c r="OK56" s="212" t="n"/>
      <c r="OL56" s="212" t="n"/>
      <c r="OM56" s="212" t="n"/>
      <c r="ON56" s="212" t="n"/>
      <c r="OO56" s="212" t="n"/>
      <c r="OP56" s="212" t="n"/>
      <c r="OQ56" s="212" t="n"/>
      <c r="OR56" s="212" t="n"/>
      <c r="OS56" s="212" t="n"/>
      <c r="OT56" s="212" t="n"/>
      <c r="OU56" s="212" t="n"/>
      <c r="OV56" s="212" t="n"/>
      <c r="OW56" s="212" t="n"/>
      <c r="OX56" s="212" t="n"/>
      <c r="OY56" s="212" t="n"/>
      <c r="OZ56" s="212" t="n"/>
      <c r="PA56" s="212" t="n"/>
      <c r="PB56" s="212" t="n"/>
      <c r="PC56" s="212" t="n"/>
      <c r="PD56" s="212" t="n"/>
      <c r="PE56" s="212" t="n"/>
      <c r="PF56" s="212" t="n"/>
      <c r="PG56" s="212" t="n"/>
      <c r="PH56" s="212" t="n"/>
      <c r="PI56" s="212" t="n"/>
      <c r="PJ56" s="212" t="n"/>
      <c r="PK56" s="212" t="n"/>
      <c r="PL56" s="212" t="n"/>
      <c r="PM56" s="212" t="n"/>
      <c r="PN56" s="212" t="n"/>
      <c r="PO56" s="212" t="n"/>
      <c r="PP56" s="212" t="n"/>
      <c r="PQ56" s="212" t="n"/>
      <c r="PR56" s="212" t="n"/>
      <c r="PS56" s="212" t="n"/>
      <c r="PT56" s="212" t="n"/>
      <c r="PU56" s="212" t="n"/>
      <c r="PV56" s="212" t="n"/>
      <c r="PW56" s="212" t="n"/>
      <c r="PX56" s="212" t="n"/>
      <c r="PY56" s="212" t="n"/>
      <c r="PZ56" s="212" t="n"/>
      <c r="QA56" s="212" t="n"/>
      <c r="QB56" s="212" t="n"/>
      <c r="QC56" s="212" t="n"/>
      <c r="QD56" s="212" t="n"/>
      <c r="QE56" s="212" t="n"/>
      <c r="QF56" s="212" t="n"/>
      <c r="QG56" s="212" t="n"/>
      <c r="QH56" s="212" t="n"/>
      <c r="QI56" s="212" t="n"/>
      <c r="QJ56" s="212" t="n"/>
      <c r="QK56" s="212" t="n"/>
      <c r="QL56" s="212" t="n"/>
      <c r="QM56" s="212" t="n"/>
      <c r="QN56" s="212" t="n"/>
      <c r="QO56" s="212" t="n"/>
      <c r="QP56" s="212" t="n"/>
      <c r="QQ56" s="212" t="n"/>
      <c r="QR56" s="212" t="n"/>
      <c r="QS56" s="212" t="n"/>
      <c r="QT56" s="212" t="n"/>
      <c r="QU56" s="212" t="n"/>
      <c r="QV56" s="212" t="n"/>
      <c r="QW56" s="212" t="n"/>
      <c r="QX56" s="212" t="n"/>
      <c r="QY56" s="212" t="n"/>
      <c r="QZ56" s="212" t="n"/>
      <c r="RA56" s="212" t="n"/>
      <c r="RB56" s="212" t="n"/>
      <c r="RC56" s="212" t="n"/>
      <c r="RD56" s="212" t="n"/>
      <c r="RE56" s="212" t="n"/>
      <c r="RF56" s="212" t="n"/>
      <c r="RG56" s="212" t="n"/>
      <c r="RH56" s="212" t="n"/>
      <c r="RI56" s="212" t="n"/>
      <c r="RJ56" s="212" t="n"/>
      <c r="RK56" s="212" t="n"/>
      <c r="RL56" s="212" t="n"/>
      <c r="RM56" s="212" t="n"/>
      <c r="RN56" s="212" t="n"/>
      <c r="RO56" s="212" t="n"/>
      <c r="RP56" s="212" t="n"/>
      <c r="RQ56" s="212" t="n"/>
      <c r="RR56" s="212" t="n"/>
      <c r="RS56" s="212" t="n"/>
      <c r="RT56" s="212" t="n"/>
      <c r="RU56" s="212" t="n"/>
      <c r="RV56" s="212" t="n"/>
      <c r="RW56" s="212" t="n"/>
      <c r="RX56" s="212" t="n"/>
      <c r="RY56" s="212" t="n"/>
      <c r="RZ56" s="212" t="n"/>
      <c r="SA56" s="212" t="n"/>
      <c r="SB56" s="212" t="n"/>
      <c r="SC56" s="212" t="n"/>
      <c r="SD56" s="212" t="n"/>
      <c r="SE56" s="212" t="n"/>
      <c r="SF56" s="212" t="n"/>
      <c r="SG56" s="212" t="n"/>
      <c r="SH56" s="212" t="n"/>
      <c r="SI56" s="212" t="n"/>
      <c r="SJ56" s="212" t="n"/>
      <c r="SK56" s="212" t="n"/>
      <c r="SL56" s="212" t="n"/>
      <c r="SM56" s="212" t="n"/>
      <c r="SN56" s="212" t="n"/>
      <c r="SO56" s="212" t="n"/>
      <c r="SP56" s="212" t="n"/>
      <c r="SQ56" s="212" t="n"/>
      <c r="SR56" s="212" t="n"/>
      <c r="SS56" s="212" t="n"/>
      <c r="ST56" s="212" t="n"/>
      <c r="SU56" s="212" t="n"/>
      <c r="SV56" s="212" t="n"/>
    </row>
    <row r="57">
      <c r="B57" s="209" t="n">
        <v>4</v>
      </c>
      <c r="C57" s="209" t="inlineStr">
        <is>
          <t>Sentinel</t>
        </is>
      </c>
      <c r="D57" s="209" t="inlineStr">
        <is>
          <t>Elizabeth</t>
        </is>
      </c>
      <c r="E57" s="209" t="inlineStr">
        <is>
          <t>Kamana</t>
        </is>
      </c>
      <c r="F57" s="209">
        <f>IF(TRIM(D57&amp;E57)="","",TRIM(D57)&amp;" "&amp;TRIM(E57))</f>
        <v/>
      </c>
      <c r="G57" s="209" t="inlineStr">
        <is>
          <t>Perth</t>
        </is>
      </c>
      <c r="H57" s="209" t="inlineStr">
        <is>
          <t>TPO - Civil Team 2</t>
        </is>
      </c>
      <c r="I57" s="209" t="inlineStr">
        <is>
          <t>YES</t>
        </is>
      </c>
      <c r="J57" s="209" t="inlineStr">
        <is>
          <t>YES</t>
        </is>
      </c>
      <c r="K57" s="209" t="inlineStr">
        <is>
          <t>YES</t>
        </is>
      </c>
      <c r="L57" s="209" t="inlineStr">
        <is>
          <t>YES</t>
        </is>
      </c>
      <c r="M57" s="209" t="inlineStr">
        <is>
          <t>Quals Complete</t>
        </is>
      </c>
      <c r="N57" s="209" t="inlineStr">
        <is>
          <t>kamanalisa.lk@gmail.com</t>
        </is>
      </c>
      <c r="O57" s="209" t="inlineStr">
        <is>
          <t>0405 747 630</t>
        </is>
      </c>
      <c r="P57" s="209" t="n">
        <v>728195</v>
      </c>
      <c r="Q57" s="209" t="n">
        <v>373698</v>
      </c>
      <c r="R57" s="209" t="inlineStr">
        <is>
          <t>Roster B Civil</t>
        </is>
      </c>
      <c r="S57" s="210" t="inlineStr">
        <is>
          <t>N/A</t>
        </is>
      </c>
      <c r="T57" s="210" t="inlineStr">
        <is>
          <t>N/A</t>
        </is>
      </c>
      <c r="U57" s="210" t="inlineStr">
        <is>
          <t>N/A</t>
        </is>
      </c>
      <c r="V57" s="210" t="inlineStr">
        <is>
          <t>N/A</t>
        </is>
      </c>
      <c r="W57" s="210" t="inlineStr">
        <is>
          <t>N/A</t>
        </is>
      </c>
      <c r="X57" s="210" t="inlineStr">
        <is>
          <t>N/A</t>
        </is>
      </c>
      <c r="Y57" s="210" t="inlineStr">
        <is>
          <t>N/A</t>
        </is>
      </c>
      <c r="Z57" s="210" t="inlineStr">
        <is>
          <t>N/A</t>
        </is>
      </c>
      <c r="AA57" s="210" t="inlineStr">
        <is>
          <t>N/A</t>
        </is>
      </c>
      <c r="AB57" s="210" t="inlineStr">
        <is>
          <t>N/A</t>
        </is>
      </c>
      <c r="AC57" s="211" t="inlineStr">
        <is>
          <t>DRV IN PM- LND</t>
        </is>
      </c>
      <c r="AD57" s="211" t="inlineStr">
        <is>
          <t>LND</t>
        </is>
      </c>
      <c r="AE57" s="211" t="inlineStr">
        <is>
          <t>LND</t>
        </is>
      </c>
      <c r="AF57" s="211" t="inlineStr">
        <is>
          <t>LND</t>
        </is>
      </c>
      <c r="AG57" s="211" t="inlineStr">
        <is>
          <t>LND</t>
        </is>
      </c>
      <c r="AH57" s="211" t="inlineStr">
        <is>
          <t>LND</t>
        </is>
      </c>
      <c r="AI57" s="211" t="inlineStr">
        <is>
          <t>LND</t>
        </is>
      </c>
      <c r="AJ57" s="211" t="inlineStr">
        <is>
          <t>LND</t>
        </is>
      </c>
      <c r="AK57" s="211" t="inlineStr">
        <is>
          <t>PHE/PER PM</t>
        </is>
      </c>
      <c r="AL57" s="210" t="inlineStr">
        <is>
          <t>N/A</t>
        </is>
      </c>
      <c r="AM57" s="210" t="inlineStr">
        <is>
          <t>N/A</t>
        </is>
      </c>
      <c r="AN57" s="210" t="inlineStr">
        <is>
          <t>N/A</t>
        </is>
      </c>
      <c r="AO57" s="210" t="inlineStr">
        <is>
          <t>N/A</t>
        </is>
      </c>
      <c r="AP57" s="210" t="inlineStr">
        <is>
          <t>N/A</t>
        </is>
      </c>
      <c r="AQ57" s="210" t="inlineStr">
        <is>
          <t>N/A</t>
        </is>
      </c>
      <c r="AR57" s="210" t="inlineStr">
        <is>
          <t>N/A</t>
        </is>
      </c>
      <c r="AS57" s="210" t="inlineStr">
        <is>
          <t>N/A</t>
        </is>
      </c>
      <c r="AT57" s="210" t="inlineStr">
        <is>
          <t>N/A</t>
        </is>
      </c>
      <c r="AU57" s="210" t="inlineStr">
        <is>
          <t>N/A</t>
        </is>
      </c>
      <c r="AV57" s="210" t="inlineStr">
        <is>
          <t>N/A</t>
        </is>
      </c>
      <c r="AW57" s="210" t="inlineStr">
        <is>
          <t>N/A</t>
        </is>
      </c>
      <c r="AX57" s="210" t="inlineStr">
        <is>
          <t>N/A</t>
        </is>
      </c>
      <c r="AY57" s="211" t="inlineStr">
        <is>
          <t>PER/PHE PM
LND</t>
        </is>
      </c>
      <c r="AZ57" s="211" t="inlineStr">
        <is>
          <t>LND</t>
        </is>
      </c>
      <c r="BA57" s="211" t="inlineStr">
        <is>
          <t>RDM</t>
        </is>
      </c>
      <c r="BB57" s="211" t="inlineStr">
        <is>
          <t>RDM</t>
        </is>
      </c>
      <c r="BC57" s="211" t="inlineStr">
        <is>
          <t>RDM</t>
        </is>
      </c>
      <c r="BD57" s="211" t="inlineStr">
        <is>
          <t>RDM</t>
        </is>
      </c>
      <c r="BE57" s="211" t="inlineStr">
        <is>
          <t>RDM</t>
        </is>
      </c>
      <c r="BF57" s="211" t="inlineStr">
        <is>
          <t>RDM</t>
        </is>
      </c>
      <c r="BG57" s="211" t="inlineStr">
        <is>
          <t>RDM</t>
        </is>
      </c>
      <c r="BH57" s="211" t="inlineStr">
        <is>
          <t>RDM</t>
        </is>
      </c>
      <c r="BI57" s="211" t="inlineStr">
        <is>
          <t>RDM</t>
        </is>
      </c>
      <c r="BJ57" s="211" t="inlineStr">
        <is>
          <t>RDM</t>
        </is>
      </c>
      <c r="BK57" s="211" t="inlineStr">
        <is>
          <t>RDM</t>
        </is>
      </c>
      <c r="BL57" s="211" t="inlineStr">
        <is>
          <t>RDM</t>
        </is>
      </c>
      <c r="BM57" s="211" t="inlineStr">
        <is>
          <t>PHE/PER PM</t>
        </is>
      </c>
      <c r="BN57" s="210" t="inlineStr">
        <is>
          <t>N/A</t>
        </is>
      </c>
      <c r="BO57" s="210" t="inlineStr">
        <is>
          <t>N/A</t>
        </is>
      </c>
      <c r="BP57" s="210" t="inlineStr">
        <is>
          <t>N/A</t>
        </is>
      </c>
      <c r="BQ57" s="210" t="inlineStr">
        <is>
          <t>N/A</t>
        </is>
      </c>
      <c r="BR57" s="210" t="inlineStr">
        <is>
          <t>N/A</t>
        </is>
      </c>
      <c r="BS57" s="210" t="inlineStr">
        <is>
          <t>N/A</t>
        </is>
      </c>
      <c r="BT57" s="220" t="inlineStr">
        <is>
          <t>PER/PHE PM
LND</t>
        </is>
      </c>
      <c r="BU57" s="220" t="inlineStr">
        <is>
          <t>RDM</t>
        </is>
      </c>
      <c r="BV57" s="220" t="inlineStr">
        <is>
          <t>RDM</t>
        </is>
      </c>
      <c r="BW57" s="220" t="inlineStr">
        <is>
          <t>RDM</t>
        </is>
      </c>
      <c r="BX57" s="220" t="inlineStr">
        <is>
          <t>RDM</t>
        </is>
      </c>
      <c r="BY57" s="220" t="inlineStr">
        <is>
          <t>RDM</t>
        </is>
      </c>
      <c r="BZ57" s="220" t="inlineStr">
        <is>
          <t>RDM</t>
        </is>
      </c>
      <c r="CA57" s="220" t="inlineStr">
        <is>
          <t>RDM</t>
        </is>
      </c>
      <c r="CB57" s="220" t="inlineStr">
        <is>
          <t>WRR</t>
        </is>
      </c>
      <c r="CC57" s="220" t="inlineStr">
        <is>
          <t>WRR</t>
        </is>
      </c>
      <c r="CD57" s="220" t="inlineStr">
        <is>
          <t>WRR</t>
        </is>
      </c>
      <c r="CE57" s="220" t="inlineStr">
        <is>
          <t>WRR</t>
        </is>
      </c>
      <c r="CF57" s="220" t="inlineStr">
        <is>
          <t>WRR</t>
        </is>
      </c>
      <c r="CG57" s="220" t="inlineStr">
        <is>
          <t>WRR</t>
        </is>
      </c>
      <c r="CH57" s="220" t="inlineStr">
        <is>
          <t>PHE/PER PM</t>
        </is>
      </c>
      <c r="CI57" s="217" t="inlineStr">
        <is>
          <t>DEMOB</t>
        </is>
      </c>
      <c r="CJ57" s="210" t="inlineStr">
        <is>
          <t>N/A</t>
        </is>
      </c>
      <c r="CK57" s="210" t="inlineStr">
        <is>
          <t>N/A</t>
        </is>
      </c>
      <c r="CL57" s="210" t="inlineStr">
        <is>
          <t>N/A</t>
        </is>
      </c>
      <c r="CM57" s="210" t="inlineStr">
        <is>
          <t>N/A</t>
        </is>
      </c>
      <c r="CN57" s="210" t="inlineStr">
        <is>
          <t>N/A</t>
        </is>
      </c>
      <c r="CO57" s="210" t="inlineStr">
        <is>
          <t>N/A</t>
        </is>
      </c>
      <c r="CP57" s="210" t="inlineStr">
        <is>
          <t>N/A</t>
        </is>
      </c>
      <c r="CQ57" s="210" t="inlineStr">
        <is>
          <t>N/A</t>
        </is>
      </c>
      <c r="CR57" s="210" t="inlineStr">
        <is>
          <t>N/A</t>
        </is>
      </c>
      <c r="CS57" s="210" t="inlineStr">
        <is>
          <t>N/A</t>
        </is>
      </c>
      <c r="CT57" s="210" t="inlineStr">
        <is>
          <t>N/A</t>
        </is>
      </c>
      <c r="CU57" s="210" t="inlineStr">
        <is>
          <t>N/A</t>
        </is>
      </c>
      <c r="CV57" s="210" t="inlineStr">
        <is>
          <t>N/A</t>
        </is>
      </c>
      <c r="CW57" s="210" t="inlineStr">
        <is>
          <t>N/A</t>
        </is>
      </c>
      <c r="CX57" s="210" t="inlineStr">
        <is>
          <t>N/A</t>
        </is>
      </c>
      <c r="CY57" s="210" t="inlineStr">
        <is>
          <t>N/A</t>
        </is>
      </c>
      <c r="CZ57" s="210" t="inlineStr">
        <is>
          <t>N/A</t>
        </is>
      </c>
      <c r="DA57" s="210" t="inlineStr">
        <is>
          <t>N/A</t>
        </is>
      </c>
      <c r="DB57" s="210" t="inlineStr">
        <is>
          <t>N/A</t>
        </is>
      </c>
      <c r="DC57" s="210" t="inlineStr">
        <is>
          <t>N/A</t>
        </is>
      </c>
      <c r="DD57" s="210" t="inlineStr">
        <is>
          <t>N/A</t>
        </is>
      </c>
      <c r="DE57" s="210" t="inlineStr">
        <is>
          <t>N/A</t>
        </is>
      </c>
      <c r="DF57" s="210" t="inlineStr">
        <is>
          <t>N/A</t>
        </is>
      </c>
      <c r="DG57" s="210" t="inlineStr">
        <is>
          <t>N/A</t>
        </is>
      </c>
      <c r="DH57" s="210" t="inlineStr">
        <is>
          <t>N/A</t>
        </is>
      </c>
      <c r="DI57" s="210" t="inlineStr">
        <is>
          <t>N/A</t>
        </is>
      </c>
      <c r="DJ57" s="210" t="inlineStr">
        <is>
          <t>N/A</t>
        </is>
      </c>
      <c r="DK57" s="210" t="inlineStr">
        <is>
          <t>N/A</t>
        </is>
      </c>
      <c r="DL57" s="210" t="inlineStr">
        <is>
          <t>N/A</t>
        </is>
      </c>
      <c r="DM57" s="210" t="inlineStr">
        <is>
          <t>N/A</t>
        </is>
      </c>
      <c r="DN57" s="210" t="inlineStr">
        <is>
          <t>N/A</t>
        </is>
      </c>
      <c r="DO57" s="210" t="inlineStr">
        <is>
          <t>N/A</t>
        </is>
      </c>
      <c r="DP57" s="210" t="inlineStr">
        <is>
          <t>N/A</t>
        </is>
      </c>
      <c r="DQ57" s="210" t="inlineStr">
        <is>
          <t>N/A</t>
        </is>
      </c>
      <c r="DR57" s="212" t="n"/>
      <c r="DS57" s="212" t="n"/>
      <c r="DT57" s="212" t="n"/>
      <c r="DU57" s="212" t="n"/>
      <c r="DV57" s="212" t="n"/>
      <c r="DW57" s="212" t="n"/>
      <c r="DX57" s="212" t="n"/>
      <c r="DY57" s="212" t="n"/>
      <c r="DZ57" s="212" t="n"/>
      <c r="EA57" s="212" t="n"/>
      <c r="EB57" s="212" t="n"/>
      <c r="EC57" s="212" t="n"/>
      <c r="ED57" s="212" t="n"/>
      <c r="EE57" s="212" t="n"/>
      <c r="EF57" s="212" t="n"/>
      <c r="EG57" s="212" t="n"/>
      <c r="EH57" s="212" t="n"/>
      <c r="EI57" s="212" t="n"/>
      <c r="EJ57" s="212" t="n"/>
      <c r="EK57" s="212" t="n"/>
      <c r="EL57" s="212" t="n"/>
      <c r="EM57" s="212" t="n"/>
      <c r="EN57" s="212" t="n"/>
      <c r="EO57" s="212" t="n"/>
      <c r="EP57" s="212" t="n"/>
      <c r="EQ57" s="212" t="n"/>
      <c r="ER57" s="212" t="n"/>
      <c r="ES57" s="212" t="n"/>
      <c r="ET57" s="212" t="n"/>
      <c r="EU57" s="212" t="n"/>
      <c r="EV57" s="212" t="n"/>
      <c r="EW57" s="212" t="n"/>
      <c r="EX57" s="212" t="n"/>
      <c r="EY57" s="212" t="n"/>
      <c r="EZ57" s="212" t="n"/>
      <c r="FA57" s="212" t="n"/>
      <c r="FB57" s="212" t="n"/>
      <c r="FC57" s="212" t="n"/>
      <c r="FD57" s="212" t="n"/>
      <c r="FE57" s="212" t="n"/>
      <c r="FF57" s="212" t="n"/>
      <c r="FG57" s="212" t="n"/>
      <c r="FH57" s="212" t="n"/>
      <c r="FI57" s="212" t="n"/>
      <c r="FJ57" s="212" t="n"/>
      <c r="FK57" s="212" t="n"/>
      <c r="FL57" s="212" t="n"/>
      <c r="FM57" s="212" t="n"/>
      <c r="FN57" s="212" t="n"/>
      <c r="FO57" s="212" t="n"/>
      <c r="FP57" s="212" t="n"/>
      <c r="FQ57" s="212" t="n"/>
      <c r="FR57" s="212" t="n"/>
      <c r="FS57" s="212" t="n"/>
      <c r="FT57" s="212" t="n"/>
      <c r="FU57" s="212" t="n"/>
      <c r="FV57" s="212" t="n"/>
      <c r="FW57" s="212" t="n"/>
      <c r="FX57" s="212" t="n"/>
      <c r="FY57" s="212" t="n"/>
      <c r="FZ57" s="212" t="n"/>
      <c r="GA57" s="212" t="n"/>
      <c r="GB57" s="212" t="n"/>
      <c r="GC57" s="212" t="n"/>
      <c r="GD57" s="212" t="n"/>
      <c r="GE57" s="212" t="n"/>
      <c r="GF57" s="212" t="n"/>
      <c r="GG57" s="212" t="n"/>
      <c r="GH57" s="212" t="n"/>
      <c r="GI57" s="212" t="n"/>
      <c r="GJ57" s="212" t="n"/>
      <c r="GK57" s="212" t="n"/>
      <c r="GL57" s="212" t="n"/>
      <c r="GM57" s="212" t="n"/>
      <c r="GN57" s="212" t="n"/>
      <c r="GO57" s="212" t="n"/>
      <c r="GP57" s="212" t="n"/>
      <c r="GQ57" s="212" t="n"/>
      <c r="GR57" s="212" t="n"/>
      <c r="GS57" s="212" t="n"/>
      <c r="GT57" s="212" t="n"/>
      <c r="GU57" s="212" t="n"/>
      <c r="GV57" s="212" t="n"/>
      <c r="GW57" s="212" t="n"/>
      <c r="GX57" s="212" t="n"/>
      <c r="GY57" s="212" t="n"/>
      <c r="GZ57" s="212" t="n"/>
      <c r="HA57" s="212" t="n"/>
      <c r="HB57" s="212" t="n"/>
      <c r="HC57" s="212" t="n"/>
      <c r="HD57" s="212" t="n"/>
      <c r="HE57" s="212" t="n"/>
      <c r="HF57" s="212" t="n"/>
      <c r="HG57" s="212" t="n"/>
      <c r="HH57" s="212" t="n"/>
      <c r="HI57" s="212" t="n"/>
      <c r="HJ57" s="212" t="n"/>
      <c r="HK57" s="212" t="n"/>
      <c r="HL57" s="212" t="n"/>
      <c r="HM57" s="212" t="n"/>
      <c r="HN57" s="212" t="n"/>
      <c r="HO57" s="212" t="n"/>
      <c r="HP57" s="212" t="n"/>
      <c r="HQ57" s="212" t="n"/>
      <c r="HR57" s="212" t="n"/>
      <c r="HS57" s="212" t="n"/>
      <c r="HT57" s="212" t="n"/>
      <c r="HU57" s="212" t="n"/>
      <c r="HV57" s="212" t="n"/>
      <c r="HW57" s="212" t="n"/>
      <c r="HX57" s="212" t="n"/>
      <c r="HY57" s="212" t="n"/>
      <c r="HZ57" s="212" t="n"/>
      <c r="IA57" s="212" t="n"/>
      <c r="IB57" s="212" t="n"/>
      <c r="IC57" s="212" t="n"/>
      <c r="ID57" s="212" t="n"/>
      <c r="IE57" s="212" t="n"/>
      <c r="IF57" s="212" t="n"/>
      <c r="IG57" s="212" t="n"/>
      <c r="IH57" s="212" t="n"/>
      <c r="II57" s="212" t="n"/>
      <c r="IJ57" s="212" t="n"/>
      <c r="IK57" s="212" t="n"/>
      <c r="IL57" s="212" t="n"/>
      <c r="IM57" s="212" t="n"/>
      <c r="IN57" s="212" t="n"/>
      <c r="IO57" s="212" t="n"/>
      <c r="IP57" s="212" t="n"/>
      <c r="IQ57" s="212" t="n"/>
      <c r="IR57" s="212" t="n"/>
      <c r="IS57" s="212" t="n"/>
      <c r="IT57" s="212" t="n"/>
      <c r="IU57" s="212" t="n"/>
      <c r="IV57" s="212" t="n"/>
      <c r="IW57" s="212" t="n"/>
      <c r="IX57" s="212" t="n"/>
      <c r="IY57" s="212" t="n"/>
      <c r="IZ57" s="212" t="n"/>
      <c r="JA57" s="212" t="n"/>
      <c r="JB57" s="212" t="n"/>
      <c r="JC57" s="212" t="n"/>
      <c r="JD57" s="212" t="n"/>
      <c r="JE57" s="212" t="n"/>
      <c r="JF57" s="212" t="n"/>
      <c r="JG57" s="212" t="n"/>
      <c r="JH57" s="212" t="n"/>
      <c r="JI57" s="212" t="n"/>
      <c r="JJ57" s="212" t="n"/>
      <c r="JK57" s="212" t="n"/>
      <c r="JL57" s="212" t="n"/>
      <c r="JM57" s="212" t="n"/>
      <c r="JN57" s="212" t="n"/>
      <c r="JO57" s="212" t="n"/>
      <c r="JP57" s="212" t="n"/>
      <c r="JQ57" s="212" t="n"/>
      <c r="JR57" s="212" t="n"/>
      <c r="JS57" s="212" t="n"/>
      <c r="JT57" s="212" t="n"/>
      <c r="JU57" s="212" t="n"/>
      <c r="JV57" s="212" t="n"/>
      <c r="JW57" s="212" t="n"/>
      <c r="JX57" s="212" t="n"/>
      <c r="JY57" s="212" t="n"/>
      <c r="JZ57" s="212" t="n"/>
      <c r="KA57" s="212" t="n"/>
      <c r="KB57" s="212" t="n"/>
      <c r="KC57" s="212" t="n"/>
      <c r="KD57" s="212" t="n"/>
      <c r="KE57" s="212" t="n"/>
      <c r="KF57" s="212" t="n"/>
      <c r="KG57" s="212" t="n"/>
      <c r="KH57" s="212" t="n"/>
      <c r="KI57" s="212" t="n"/>
      <c r="KJ57" s="212" t="n"/>
      <c r="KK57" s="212" t="n"/>
      <c r="KL57" s="212" t="n"/>
      <c r="KM57" s="212" t="n"/>
      <c r="KN57" s="212" t="n"/>
      <c r="KO57" s="212" t="n"/>
      <c r="KP57" s="212" t="n"/>
      <c r="KQ57" s="212" t="n"/>
      <c r="KR57" s="212" t="n"/>
      <c r="KS57" s="212" t="n"/>
      <c r="KT57" s="212" t="n"/>
      <c r="KU57" s="212" t="n"/>
      <c r="KV57" s="212" t="n"/>
      <c r="KW57" s="212" t="n"/>
      <c r="KX57" s="212" t="n"/>
      <c r="KY57" s="212" t="n"/>
      <c r="KZ57" s="212" t="n"/>
      <c r="LA57" s="212" t="n"/>
      <c r="LB57" s="212" t="n"/>
      <c r="LC57" s="212" t="n"/>
      <c r="LD57" s="212" t="n"/>
      <c r="LE57" s="212" t="n"/>
      <c r="LF57" s="212" t="n"/>
      <c r="LG57" s="212" t="n"/>
      <c r="LH57" s="212" t="n"/>
      <c r="LI57" s="212" t="n"/>
      <c r="LJ57" s="212" t="n"/>
      <c r="LK57" s="212" t="n"/>
      <c r="LL57" s="212" t="n"/>
      <c r="LM57" s="212" t="n"/>
      <c r="LN57" s="212" t="n"/>
      <c r="LO57" s="212" t="n"/>
      <c r="LP57" s="212" t="n"/>
      <c r="LQ57" s="212" t="n"/>
      <c r="LR57" s="212" t="n"/>
      <c r="LS57" s="212" t="n"/>
      <c r="LT57" s="212" t="n"/>
      <c r="LU57" s="212" t="n"/>
      <c r="LV57" s="212" t="n"/>
      <c r="LW57" s="212" t="n"/>
      <c r="LX57" s="212" t="n"/>
      <c r="LY57" s="212" t="n"/>
      <c r="LZ57" s="212" t="n"/>
      <c r="MA57" s="212" t="n"/>
      <c r="MB57" s="212" t="n"/>
      <c r="MC57" s="212" t="n"/>
      <c r="MD57" s="212" t="n"/>
      <c r="ME57" s="212" t="n"/>
      <c r="MF57" s="212" t="n"/>
      <c r="MG57" s="212" t="n"/>
      <c r="MH57" s="212" t="n"/>
      <c r="MI57" s="212" t="n"/>
      <c r="MJ57" s="212" t="n"/>
      <c r="MK57" s="212" t="n"/>
      <c r="ML57" s="212" t="n"/>
      <c r="MM57" s="212" t="n"/>
      <c r="MN57" s="212" t="n"/>
      <c r="MO57" s="212" t="n"/>
      <c r="MP57" s="212" t="n"/>
      <c r="MQ57" s="212" t="n"/>
      <c r="MR57" s="212" t="n"/>
      <c r="MS57" s="212" t="n"/>
      <c r="MT57" s="212" t="n"/>
      <c r="MU57" s="212" t="n"/>
      <c r="MV57" s="212" t="n"/>
      <c r="MW57" s="212" t="n"/>
      <c r="MX57" s="212" t="n"/>
      <c r="MY57" s="212" t="n"/>
      <c r="MZ57" s="212" t="n"/>
      <c r="NA57" s="212" t="n"/>
      <c r="NB57" s="212" t="n"/>
      <c r="NC57" s="212" t="n"/>
      <c r="ND57" s="212" t="n"/>
      <c r="NE57" s="212" t="n"/>
      <c r="NF57" s="212" t="n"/>
      <c r="NG57" s="212" t="n"/>
      <c r="NH57" s="212" t="n"/>
      <c r="NI57" s="212" t="n"/>
      <c r="NJ57" s="212" t="n"/>
      <c r="NK57" s="212" t="n"/>
      <c r="NL57" s="212" t="n"/>
      <c r="NM57" s="212" t="n"/>
      <c r="NN57" s="212" t="n"/>
      <c r="NO57" s="212" t="n"/>
      <c r="NP57" s="212" t="n"/>
      <c r="NQ57" s="212" t="n"/>
      <c r="NR57" s="212" t="n"/>
      <c r="NS57" s="212" t="n"/>
      <c r="NT57" s="212" t="n"/>
      <c r="NU57" s="212" t="n"/>
      <c r="NV57" s="212" t="n"/>
      <c r="NW57" s="212" t="n"/>
      <c r="NX57" s="212" t="n"/>
      <c r="NY57" s="212" t="n"/>
      <c r="NZ57" s="212" t="n"/>
      <c r="OA57" s="212" t="n"/>
      <c r="OB57" s="212" t="n"/>
      <c r="OC57" s="212" t="n"/>
      <c r="OD57" s="212" t="n"/>
      <c r="OE57" s="212" t="n"/>
      <c r="OF57" s="212" t="n"/>
      <c r="OG57" s="212" t="n"/>
      <c r="OH57" s="212" t="n"/>
      <c r="OI57" s="212" t="n"/>
      <c r="OJ57" s="212" t="n"/>
      <c r="OK57" s="212" t="n"/>
      <c r="OL57" s="212" t="n"/>
      <c r="OM57" s="212" t="n"/>
      <c r="ON57" s="212" t="n"/>
      <c r="OO57" s="212" t="n"/>
      <c r="OP57" s="212" t="n"/>
      <c r="OQ57" s="212" t="n"/>
      <c r="OR57" s="212" t="n"/>
      <c r="OS57" s="212" t="n"/>
      <c r="OT57" s="212" t="n"/>
      <c r="OU57" s="212" t="n"/>
      <c r="OV57" s="212" t="n"/>
      <c r="OW57" s="212" t="n"/>
      <c r="OX57" s="212" t="n"/>
      <c r="OY57" s="212" t="n"/>
      <c r="OZ57" s="212" t="n"/>
      <c r="PA57" s="212" t="n"/>
      <c r="PB57" s="212" t="n"/>
      <c r="PC57" s="212" t="n"/>
      <c r="PD57" s="212" t="n"/>
      <c r="PE57" s="212" t="n"/>
      <c r="PF57" s="212" t="n"/>
      <c r="PG57" s="212" t="n"/>
      <c r="PH57" s="212" t="n"/>
      <c r="PI57" s="212" t="n"/>
      <c r="PJ57" s="212" t="n"/>
      <c r="PK57" s="212" t="n"/>
      <c r="PL57" s="212" t="n"/>
      <c r="PM57" s="212" t="n"/>
      <c r="PN57" s="212" t="n"/>
      <c r="PO57" s="212" t="n"/>
      <c r="PP57" s="212" t="n"/>
      <c r="PQ57" s="212" t="n"/>
      <c r="PR57" s="212" t="n"/>
      <c r="PS57" s="212" t="n"/>
      <c r="PT57" s="212" t="n"/>
      <c r="PU57" s="212" t="n"/>
      <c r="PV57" s="212" t="n"/>
      <c r="PW57" s="212" t="n"/>
      <c r="PX57" s="212" t="n"/>
      <c r="PY57" s="212" t="n"/>
      <c r="PZ57" s="212" t="n"/>
      <c r="QA57" s="212" t="n"/>
      <c r="QB57" s="212" t="n"/>
      <c r="QC57" s="212" t="n"/>
      <c r="QD57" s="212" t="n"/>
      <c r="QE57" s="212" t="n"/>
      <c r="QF57" s="212" t="n"/>
      <c r="QG57" s="212" t="n"/>
      <c r="QH57" s="212" t="n"/>
      <c r="QI57" s="212" t="n"/>
      <c r="QJ57" s="212" t="n"/>
      <c r="QK57" s="212" t="n"/>
      <c r="QL57" s="212" t="n"/>
      <c r="QM57" s="212" t="n"/>
      <c r="QN57" s="212" t="n"/>
      <c r="QO57" s="212" t="n"/>
      <c r="QP57" s="212" t="n"/>
      <c r="QQ57" s="212" t="n"/>
      <c r="QR57" s="212" t="n"/>
      <c r="QS57" s="212" t="n"/>
      <c r="QT57" s="212" t="n"/>
      <c r="QU57" s="212" t="n"/>
      <c r="QV57" s="212" t="n"/>
      <c r="QW57" s="212" t="n"/>
      <c r="QX57" s="212" t="n"/>
      <c r="QY57" s="212" t="n"/>
      <c r="QZ57" s="212" t="n"/>
      <c r="RA57" s="212" t="n"/>
      <c r="RB57" s="212" t="n"/>
      <c r="RC57" s="212" t="n"/>
      <c r="RD57" s="212" t="n"/>
      <c r="RE57" s="212" t="n"/>
      <c r="RF57" s="212" t="n"/>
      <c r="RG57" s="212" t="n"/>
      <c r="RH57" s="212" t="n"/>
      <c r="RI57" s="212" t="n"/>
      <c r="RJ57" s="212" t="n"/>
      <c r="RK57" s="212" t="n"/>
      <c r="RL57" s="212" t="n"/>
      <c r="RM57" s="212" t="n"/>
      <c r="RN57" s="212" t="n"/>
      <c r="RO57" s="212" t="n"/>
      <c r="RP57" s="212" t="n"/>
      <c r="RQ57" s="212" t="n"/>
      <c r="RR57" s="212" t="n"/>
      <c r="RS57" s="212" t="n"/>
      <c r="RT57" s="212" t="n"/>
      <c r="RU57" s="212" t="n"/>
      <c r="RV57" s="212" t="n"/>
      <c r="RW57" s="212" t="n"/>
      <c r="RX57" s="212" t="n"/>
      <c r="RY57" s="212" t="n"/>
      <c r="RZ57" s="212" t="n"/>
      <c r="SA57" s="212" t="n"/>
      <c r="SB57" s="212" t="n"/>
      <c r="SC57" s="212" t="n"/>
      <c r="SD57" s="212" t="n"/>
      <c r="SE57" s="212" t="n"/>
      <c r="SF57" s="212" t="n"/>
      <c r="SG57" s="212" t="n"/>
      <c r="SH57" s="212" t="n"/>
      <c r="SI57" s="212" t="n"/>
      <c r="SJ57" s="212" t="n"/>
      <c r="SK57" s="212" t="n"/>
      <c r="SL57" s="212" t="n"/>
      <c r="SM57" s="212" t="n"/>
      <c r="SN57" s="212" t="n"/>
      <c r="SO57" s="212" t="n"/>
      <c r="SP57" s="212" t="n"/>
      <c r="SQ57" s="212" t="n"/>
      <c r="SR57" s="212" t="n"/>
      <c r="SS57" s="212" t="n"/>
      <c r="ST57" s="212" t="n"/>
      <c r="SU57" s="212" t="n"/>
      <c r="SV57" s="212" t="n"/>
    </row>
    <row r="58">
      <c r="B58" s="209" t="n">
        <v>5</v>
      </c>
      <c r="C58" s="209" t="inlineStr">
        <is>
          <t>Sentinel</t>
        </is>
      </c>
      <c r="D58" s="209" t="inlineStr">
        <is>
          <t>Bruce</t>
        </is>
      </c>
      <c r="E58" s="209" t="inlineStr">
        <is>
          <t>Lamb</t>
        </is>
      </c>
      <c r="F58" s="209">
        <f>IF(TRIM(D58&amp;E58)="","",TRIM(D58)&amp;" "&amp;TRIM(E58))</f>
        <v/>
      </c>
      <c r="G58" s="209" t="inlineStr">
        <is>
          <t>Perth</t>
        </is>
      </c>
      <c r="H58" s="209" t="inlineStr">
        <is>
          <t>TPO - Elec Team 2</t>
        </is>
      </c>
      <c r="I58" s="209" t="inlineStr">
        <is>
          <t>YES</t>
        </is>
      </c>
      <c r="J58" s="209" t="inlineStr">
        <is>
          <t>YES</t>
        </is>
      </c>
      <c r="K58" s="209" t="inlineStr">
        <is>
          <t>YES</t>
        </is>
      </c>
      <c r="L58" s="209" t="inlineStr">
        <is>
          <t>YES</t>
        </is>
      </c>
      <c r="M58" s="209" t="inlineStr">
        <is>
          <t>Quals Complete</t>
        </is>
      </c>
      <c r="N58" s="209" t="inlineStr">
        <is>
          <t>BCLamb78@gmail.com</t>
        </is>
      </c>
      <c r="O58" s="209" t="inlineStr">
        <is>
          <t>0497 578 350</t>
        </is>
      </c>
      <c r="P58" s="209" t="n">
        <v>746831</v>
      </c>
      <c r="Q58" s="209" t="n">
        <v>384912</v>
      </c>
      <c r="R58" s="209" t="inlineStr">
        <is>
          <t>Roster B Elec</t>
        </is>
      </c>
      <c r="S58" s="210" t="inlineStr">
        <is>
          <t>N/A</t>
        </is>
      </c>
      <c r="T58" s="210" t="inlineStr">
        <is>
          <t>N/A</t>
        </is>
      </c>
      <c r="U58" s="210" t="inlineStr">
        <is>
          <t>N/A</t>
        </is>
      </c>
      <c r="V58" s="210" t="inlineStr">
        <is>
          <t>N/A</t>
        </is>
      </c>
      <c r="W58" s="210" t="inlineStr">
        <is>
          <t>N/A</t>
        </is>
      </c>
      <c r="X58" s="210" t="inlineStr">
        <is>
          <t>N/A</t>
        </is>
      </c>
      <c r="Y58" s="210" t="inlineStr">
        <is>
          <t>N/A</t>
        </is>
      </c>
      <c r="Z58" s="210" t="inlineStr">
        <is>
          <t>N/A</t>
        </is>
      </c>
      <c r="AA58" s="210" t="inlineStr">
        <is>
          <t>N/A</t>
        </is>
      </c>
      <c r="AB58" s="210" t="inlineStr">
        <is>
          <t>N/A</t>
        </is>
      </c>
      <c r="AC58" s="210" t="inlineStr">
        <is>
          <t>N/A</t>
        </is>
      </c>
      <c r="AD58" s="210" t="inlineStr">
        <is>
          <t>N/A</t>
        </is>
      </c>
      <c r="AE58" s="210" t="inlineStr">
        <is>
          <t>N/A</t>
        </is>
      </c>
      <c r="AF58" s="210" t="inlineStr">
        <is>
          <t>N/A</t>
        </is>
      </c>
      <c r="AG58" s="210" t="inlineStr">
        <is>
          <t>N/A</t>
        </is>
      </c>
      <c r="AH58" s="210" t="inlineStr">
        <is>
          <t>N/A</t>
        </is>
      </c>
      <c r="AI58" s="210" t="inlineStr">
        <is>
          <t>N/A</t>
        </is>
      </c>
      <c r="AJ58" s="210" t="inlineStr">
        <is>
          <t>N/A</t>
        </is>
      </c>
      <c r="AK58" s="210" t="inlineStr">
        <is>
          <t>N/A</t>
        </is>
      </c>
      <c r="AL58" s="210" t="inlineStr">
        <is>
          <t>N/A</t>
        </is>
      </c>
      <c r="AM58" s="222" t="inlineStr">
        <is>
          <t>RnR</t>
        </is>
      </c>
      <c r="AN58" s="222" t="inlineStr">
        <is>
          <t>RnR</t>
        </is>
      </c>
      <c r="AO58" s="222" t="inlineStr">
        <is>
          <t>RnR</t>
        </is>
      </c>
      <c r="AP58" s="222" t="inlineStr">
        <is>
          <t>RnR</t>
        </is>
      </c>
      <c r="AQ58" s="222" t="inlineStr">
        <is>
          <t>RnR</t>
        </is>
      </c>
      <c r="AR58" s="210" t="inlineStr">
        <is>
          <t>N/A</t>
        </is>
      </c>
      <c r="AS58" s="210" t="inlineStr">
        <is>
          <t>N/A</t>
        </is>
      </c>
      <c r="AT58" s="210" t="inlineStr">
        <is>
          <t>N/A</t>
        </is>
      </c>
      <c r="AU58" s="210" t="inlineStr">
        <is>
          <t>N/A</t>
        </is>
      </c>
      <c r="AV58" s="210" t="inlineStr">
        <is>
          <t>N/A</t>
        </is>
      </c>
      <c r="AW58" s="210" t="inlineStr">
        <is>
          <t>N/A</t>
        </is>
      </c>
      <c r="AX58" s="210" t="inlineStr">
        <is>
          <t>N/A</t>
        </is>
      </c>
      <c r="AY58" s="211" t="inlineStr">
        <is>
          <t>PER/PHE PM
LND</t>
        </is>
      </c>
      <c r="AZ58" s="211" t="inlineStr">
        <is>
          <t>LND</t>
        </is>
      </c>
      <c r="BA58" s="211" t="inlineStr">
        <is>
          <t>LND</t>
        </is>
      </c>
      <c r="BB58" s="211" t="inlineStr">
        <is>
          <t>LND</t>
        </is>
      </c>
      <c r="BC58" s="211" t="inlineStr">
        <is>
          <t>LND</t>
        </is>
      </c>
      <c r="BD58" s="211" t="inlineStr">
        <is>
          <t>RDM</t>
        </is>
      </c>
      <c r="BE58" s="211" t="inlineStr">
        <is>
          <t>RDM</t>
        </is>
      </c>
      <c r="BF58" s="211" t="inlineStr">
        <is>
          <t>RDM</t>
        </is>
      </c>
      <c r="BG58" s="211" t="inlineStr">
        <is>
          <t>RDM</t>
        </is>
      </c>
      <c r="BH58" s="211" t="inlineStr">
        <is>
          <t>RDM</t>
        </is>
      </c>
      <c r="BI58" s="211" t="inlineStr">
        <is>
          <t>RDM</t>
        </is>
      </c>
      <c r="BJ58" s="211" t="inlineStr">
        <is>
          <t>RDM</t>
        </is>
      </c>
      <c r="BK58" s="211" t="inlineStr">
        <is>
          <t>RDM</t>
        </is>
      </c>
      <c r="BL58" s="211" t="inlineStr">
        <is>
          <t>RDM</t>
        </is>
      </c>
      <c r="BM58" s="211" t="inlineStr">
        <is>
          <t>PHE/PER PM</t>
        </is>
      </c>
      <c r="BN58" s="210" t="inlineStr">
        <is>
          <t>N/A</t>
        </is>
      </c>
      <c r="BO58" s="210" t="inlineStr">
        <is>
          <t>N/A</t>
        </is>
      </c>
      <c r="BP58" s="210" t="inlineStr">
        <is>
          <t>N/A</t>
        </is>
      </c>
      <c r="BQ58" s="210" t="inlineStr">
        <is>
          <t>N/A</t>
        </is>
      </c>
      <c r="BR58" s="210" t="inlineStr">
        <is>
          <t>N/A</t>
        </is>
      </c>
      <c r="BS58" s="210" t="inlineStr">
        <is>
          <t>N/A</t>
        </is>
      </c>
      <c r="BT58" s="211" t="inlineStr">
        <is>
          <t>PER/PHE PM
LND</t>
        </is>
      </c>
      <c r="BU58" s="211" t="inlineStr">
        <is>
          <t>RDM</t>
        </is>
      </c>
      <c r="BV58" s="211" t="inlineStr">
        <is>
          <t>RDM</t>
        </is>
      </c>
      <c r="BW58" s="211" t="inlineStr">
        <is>
          <t>RDM</t>
        </is>
      </c>
      <c r="BX58" s="211" t="inlineStr">
        <is>
          <t>RDM</t>
        </is>
      </c>
      <c r="BY58" s="211" t="inlineStr">
        <is>
          <t>RDM</t>
        </is>
      </c>
      <c r="BZ58" s="211" t="inlineStr">
        <is>
          <t>RDM</t>
        </is>
      </c>
      <c r="CA58" s="211" t="inlineStr">
        <is>
          <t>RDM</t>
        </is>
      </c>
      <c r="CB58" s="215" t="inlineStr">
        <is>
          <t>RDM</t>
        </is>
      </c>
      <c r="CC58" s="215" t="inlineStr">
        <is>
          <t>RDM</t>
        </is>
      </c>
      <c r="CD58" s="215" t="inlineStr">
        <is>
          <t>RDM</t>
        </is>
      </c>
      <c r="CE58" s="215" t="inlineStr">
        <is>
          <t>RDM</t>
        </is>
      </c>
      <c r="CF58" s="215" t="inlineStr">
        <is>
          <t>RDM</t>
        </is>
      </c>
      <c r="CG58" s="215" t="inlineStr">
        <is>
          <t>RDM</t>
        </is>
      </c>
      <c r="CH58" s="211" t="inlineStr">
        <is>
          <t>PHE/PER PM</t>
        </is>
      </c>
      <c r="CI58" s="217" t="inlineStr">
        <is>
          <t>DEMOB</t>
        </is>
      </c>
      <c r="CJ58" s="210" t="inlineStr">
        <is>
          <t>N/A</t>
        </is>
      </c>
      <c r="CK58" s="210" t="inlineStr">
        <is>
          <t>N/A</t>
        </is>
      </c>
      <c r="CL58" s="210" t="inlineStr">
        <is>
          <t>N/A</t>
        </is>
      </c>
      <c r="CM58" s="210" t="inlineStr">
        <is>
          <t>N/A</t>
        </is>
      </c>
      <c r="CN58" s="210" t="inlineStr">
        <is>
          <t>N/A</t>
        </is>
      </c>
      <c r="CO58" s="210" t="inlineStr">
        <is>
          <t>N/A</t>
        </is>
      </c>
      <c r="CP58" s="210" t="inlineStr">
        <is>
          <t>N/A</t>
        </is>
      </c>
      <c r="CQ58" s="210" t="inlineStr">
        <is>
          <t>N/A</t>
        </is>
      </c>
      <c r="CR58" s="210" t="inlineStr">
        <is>
          <t>N/A</t>
        </is>
      </c>
      <c r="CS58" s="210" t="inlineStr">
        <is>
          <t>N/A</t>
        </is>
      </c>
      <c r="CT58" s="210" t="inlineStr">
        <is>
          <t>N/A</t>
        </is>
      </c>
      <c r="CU58" s="210" t="inlineStr">
        <is>
          <t>N/A</t>
        </is>
      </c>
      <c r="CV58" s="210" t="inlineStr">
        <is>
          <t>N/A</t>
        </is>
      </c>
      <c r="CW58" s="210" t="inlineStr">
        <is>
          <t>N/A</t>
        </is>
      </c>
      <c r="CX58" s="210" t="inlineStr">
        <is>
          <t>N/A</t>
        </is>
      </c>
      <c r="CY58" s="210" t="inlineStr">
        <is>
          <t>N/A</t>
        </is>
      </c>
      <c r="CZ58" s="210" t="inlineStr">
        <is>
          <t>N/A</t>
        </is>
      </c>
      <c r="DA58" s="210" t="inlineStr">
        <is>
          <t>N/A</t>
        </is>
      </c>
      <c r="DB58" s="210" t="inlineStr">
        <is>
          <t>N/A</t>
        </is>
      </c>
      <c r="DC58" s="210" t="inlineStr">
        <is>
          <t>N/A</t>
        </is>
      </c>
      <c r="DD58" s="210" t="inlineStr">
        <is>
          <t>N/A</t>
        </is>
      </c>
      <c r="DE58" s="210" t="inlineStr">
        <is>
          <t>N/A</t>
        </is>
      </c>
      <c r="DF58" s="210" t="inlineStr">
        <is>
          <t>N/A</t>
        </is>
      </c>
      <c r="DG58" s="210" t="inlineStr">
        <is>
          <t>N/A</t>
        </is>
      </c>
      <c r="DH58" s="210" t="inlineStr">
        <is>
          <t>N/A</t>
        </is>
      </c>
      <c r="DI58" s="210" t="inlineStr">
        <is>
          <t>N/A</t>
        </is>
      </c>
      <c r="DJ58" s="210" t="inlineStr">
        <is>
          <t>N/A</t>
        </is>
      </c>
      <c r="DK58" s="210" t="inlineStr">
        <is>
          <t>N/A</t>
        </is>
      </c>
      <c r="DL58" s="210" t="inlineStr">
        <is>
          <t>N/A</t>
        </is>
      </c>
      <c r="DM58" s="210" t="inlineStr">
        <is>
          <t>N/A</t>
        </is>
      </c>
      <c r="DN58" s="210" t="inlineStr">
        <is>
          <t>N/A</t>
        </is>
      </c>
      <c r="DO58" s="210" t="inlineStr">
        <is>
          <t>N/A</t>
        </is>
      </c>
      <c r="DP58" s="210" t="inlineStr">
        <is>
          <t>N/A</t>
        </is>
      </c>
      <c r="DQ58" s="210" t="inlineStr">
        <is>
          <t>N/A</t>
        </is>
      </c>
      <c r="DR58" s="212" t="n"/>
      <c r="DS58" s="212" t="n"/>
      <c r="DT58" s="212" t="n"/>
      <c r="DU58" s="212" t="n"/>
      <c r="DV58" s="212" t="n"/>
      <c r="DW58" s="212" t="n"/>
      <c r="DX58" s="212" t="n"/>
      <c r="DY58" s="212" t="n"/>
      <c r="DZ58" s="212" t="n"/>
      <c r="EA58" s="212" t="n"/>
      <c r="EB58" s="212" t="n"/>
      <c r="EC58" s="212" t="n"/>
      <c r="ED58" s="212" t="n"/>
      <c r="EE58" s="212" t="n"/>
      <c r="EF58" s="212" t="n"/>
      <c r="EG58" s="212" t="n"/>
      <c r="EH58" s="212" t="n"/>
      <c r="EI58" s="212" t="n"/>
      <c r="EJ58" s="212" t="n"/>
      <c r="EK58" s="212" t="n"/>
      <c r="EL58" s="212" t="n"/>
      <c r="EM58" s="212" t="n"/>
      <c r="EN58" s="212" t="n"/>
      <c r="EO58" s="212" t="n"/>
      <c r="EP58" s="212" t="n"/>
      <c r="EQ58" s="212" t="n"/>
      <c r="ER58" s="212" t="n"/>
      <c r="ES58" s="212" t="n"/>
      <c r="ET58" s="212" t="n"/>
      <c r="EU58" s="212" t="n"/>
      <c r="EV58" s="212" t="n"/>
      <c r="EW58" s="212" t="n"/>
      <c r="EX58" s="212" t="n"/>
      <c r="EY58" s="212" t="n"/>
      <c r="EZ58" s="212" t="n"/>
      <c r="FA58" s="212" t="n"/>
      <c r="FB58" s="212" t="n"/>
      <c r="FC58" s="212" t="n"/>
      <c r="FD58" s="212" t="n"/>
      <c r="FE58" s="212" t="n"/>
      <c r="FF58" s="212" t="n"/>
      <c r="FG58" s="212" t="n"/>
      <c r="FH58" s="212" t="n"/>
      <c r="FI58" s="212" t="n"/>
      <c r="FJ58" s="212" t="n"/>
      <c r="FK58" s="212" t="n"/>
      <c r="FL58" s="212" t="n"/>
      <c r="FM58" s="212" t="n"/>
      <c r="FN58" s="212" t="n"/>
      <c r="FO58" s="212" t="n"/>
      <c r="FP58" s="212" t="n"/>
      <c r="FQ58" s="212" t="n"/>
      <c r="FR58" s="212" t="n"/>
      <c r="FS58" s="212" t="n"/>
      <c r="FT58" s="212" t="n"/>
      <c r="FU58" s="212" t="n"/>
      <c r="FV58" s="212" t="n"/>
      <c r="FW58" s="212" t="n"/>
      <c r="FX58" s="212" t="n"/>
      <c r="FY58" s="212" t="n"/>
      <c r="FZ58" s="212" t="n"/>
      <c r="GA58" s="212" t="n"/>
      <c r="GB58" s="212" t="n"/>
      <c r="GC58" s="212" t="n"/>
      <c r="GD58" s="212" t="n"/>
      <c r="GE58" s="212" t="n"/>
      <c r="GF58" s="212" t="n"/>
      <c r="GG58" s="212" t="n"/>
      <c r="GH58" s="212" t="n"/>
      <c r="GI58" s="212" t="n"/>
      <c r="GJ58" s="212" t="n"/>
      <c r="GK58" s="212" t="n"/>
      <c r="GL58" s="212" t="n"/>
      <c r="GM58" s="212" t="n"/>
      <c r="GN58" s="212" t="n"/>
      <c r="GO58" s="212" t="n"/>
      <c r="GP58" s="212" t="n"/>
      <c r="GQ58" s="212" t="n"/>
      <c r="GR58" s="212" t="n"/>
      <c r="GS58" s="212" t="n"/>
      <c r="GT58" s="212" t="n"/>
      <c r="GU58" s="212" t="n"/>
      <c r="GV58" s="212" t="n"/>
      <c r="GW58" s="212" t="n"/>
      <c r="GX58" s="212" t="n"/>
      <c r="GY58" s="212" t="n"/>
      <c r="GZ58" s="212" t="n"/>
      <c r="HA58" s="212" t="n"/>
      <c r="HB58" s="212" t="n"/>
      <c r="HC58" s="212" t="n"/>
      <c r="HD58" s="212" t="n"/>
      <c r="HE58" s="212" t="n"/>
      <c r="HF58" s="212" t="n"/>
      <c r="HG58" s="212" t="n"/>
      <c r="HH58" s="212" t="n"/>
      <c r="HI58" s="212" t="n"/>
      <c r="HJ58" s="212" t="n"/>
      <c r="HK58" s="212" t="n"/>
      <c r="HL58" s="212" t="n"/>
      <c r="HM58" s="212" t="n"/>
      <c r="HN58" s="212" t="n"/>
      <c r="HO58" s="212" t="n"/>
      <c r="HP58" s="212" t="n"/>
      <c r="HQ58" s="212" t="n"/>
      <c r="HR58" s="212" t="n"/>
      <c r="HS58" s="212" t="n"/>
      <c r="HT58" s="212" t="n"/>
      <c r="HU58" s="212" t="n"/>
      <c r="HV58" s="212" t="n"/>
      <c r="HW58" s="212" t="n"/>
      <c r="HX58" s="212" t="n"/>
      <c r="HY58" s="212" t="n"/>
      <c r="HZ58" s="212" t="n"/>
      <c r="IA58" s="212" t="n"/>
      <c r="IB58" s="212" t="n"/>
      <c r="IC58" s="212" t="n"/>
      <c r="ID58" s="212" t="n"/>
      <c r="IE58" s="212" t="n"/>
      <c r="IF58" s="212" t="n"/>
      <c r="IG58" s="212" t="n"/>
      <c r="IH58" s="212" t="n"/>
      <c r="II58" s="212" t="n"/>
      <c r="IJ58" s="212" t="n"/>
      <c r="IK58" s="212" t="n"/>
      <c r="IL58" s="212" t="n"/>
      <c r="IM58" s="212" t="n"/>
      <c r="IN58" s="212" t="n"/>
      <c r="IO58" s="212" t="n"/>
      <c r="IP58" s="212" t="n"/>
      <c r="IQ58" s="212" t="n"/>
      <c r="IR58" s="212" t="n"/>
      <c r="IS58" s="212" t="n"/>
      <c r="IT58" s="212" t="n"/>
      <c r="IU58" s="212" t="n"/>
      <c r="IV58" s="212" t="n"/>
      <c r="IW58" s="212" t="n"/>
      <c r="IX58" s="212" t="n"/>
      <c r="IY58" s="212" t="n"/>
      <c r="IZ58" s="212" t="n"/>
      <c r="JA58" s="212" t="n"/>
      <c r="JB58" s="212" t="n"/>
      <c r="JC58" s="212" t="n"/>
      <c r="JD58" s="212" t="n"/>
      <c r="JE58" s="212" t="n"/>
      <c r="JF58" s="212" t="n"/>
      <c r="JG58" s="212" t="n"/>
      <c r="JH58" s="212" t="n"/>
      <c r="JI58" s="212" t="n"/>
      <c r="JJ58" s="212" t="n"/>
      <c r="JK58" s="212" t="n"/>
      <c r="JL58" s="212" t="n"/>
      <c r="JM58" s="212" t="n"/>
      <c r="JN58" s="212" t="n"/>
      <c r="JO58" s="212" t="n"/>
      <c r="JP58" s="212" t="n"/>
      <c r="JQ58" s="212" t="n"/>
      <c r="JR58" s="212" t="n"/>
      <c r="JS58" s="212" t="n"/>
      <c r="JT58" s="212" t="n"/>
      <c r="JU58" s="212" t="n"/>
      <c r="JV58" s="212" t="n"/>
      <c r="JW58" s="212" t="n"/>
      <c r="JX58" s="212" t="n"/>
      <c r="JY58" s="212" t="n"/>
      <c r="JZ58" s="212" t="n"/>
      <c r="KA58" s="212" t="n"/>
      <c r="KB58" s="212" t="n"/>
      <c r="KC58" s="212" t="n"/>
      <c r="KD58" s="212" t="n"/>
      <c r="KE58" s="212" t="n"/>
      <c r="KF58" s="212" t="n"/>
      <c r="KG58" s="212" t="n"/>
      <c r="KH58" s="212" t="n"/>
      <c r="KI58" s="212" t="n"/>
      <c r="KJ58" s="212" t="n"/>
      <c r="KK58" s="212" t="n"/>
      <c r="KL58" s="212" t="n"/>
      <c r="KM58" s="212" t="n"/>
      <c r="KN58" s="212" t="n"/>
      <c r="KO58" s="212" t="n"/>
      <c r="KP58" s="212" t="n"/>
      <c r="KQ58" s="212" t="n"/>
      <c r="KR58" s="212" t="n"/>
      <c r="KS58" s="212" t="n"/>
      <c r="KT58" s="212" t="n"/>
      <c r="KU58" s="212" t="n"/>
      <c r="KV58" s="212" t="n"/>
      <c r="KW58" s="212" t="n"/>
      <c r="KX58" s="212" t="n"/>
      <c r="KY58" s="212" t="n"/>
      <c r="KZ58" s="212" t="n"/>
      <c r="LA58" s="212" t="n"/>
      <c r="LB58" s="212" t="n"/>
      <c r="LC58" s="212" t="n"/>
      <c r="LD58" s="212" t="n"/>
      <c r="LE58" s="212" t="n"/>
      <c r="LF58" s="212" t="n"/>
      <c r="LG58" s="212" t="n"/>
      <c r="LH58" s="212" t="n"/>
      <c r="LI58" s="212" t="n"/>
      <c r="LJ58" s="212" t="n"/>
      <c r="LK58" s="212" t="n"/>
      <c r="LL58" s="212" t="n"/>
      <c r="LM58" s="212" t="n"/>
      <c r="LN58" s="212" t="n"/>
      <c r="LO58" s="212" t="n"/>
      <c r="LP58" s="212" t="n"/>
      <c r="LQ58" s="212" t="n"/>
      <c r="LR58" s="212" t="n"/>
      <c r="LS58" s="212" t="n"/>
      <c r="LT58" s="212" t="n"/>
      <c r="LU58" s="212" t="n"/>
      <c r="LV58" s="212" t="n"/>
      <c r="LW58" s="212" t="n"/>
      <c r="LX58" s="212" t="n"/>
      <c r="LY58" s="212" t="n"/>
      <c r="LZ58" s="212" t="n"/>
      <c r="MA58" s="212" t="n"/>
      <c r="MB58" s="212" t="n"/>
      <c r="MC58" s="212" t="n"/>
      <c r="MD58" s="212" t="n"/>
      <c r="ME58" s="212" t="n"/>
      <c r="MF58" s="212" t="n"/>
      <c r="MG58" s="212" t="n"/>
      <c r="MH58" s="212" t="n"/>
      <c r="MI58" s="212" t="n"/>
      <c r="MJ58" s="212" t="n"/>
      <c r="MK58" s="212" t="n"/>
      <c r="ML58" s="212" t="n"/>
      <c r="MM58" s="212" t="n"/>
      <c r="MN58" s="212" t="n"/>
      <c r="MO58" s="212" t="n"/>
      <c r="MP58" s="212" t="n"/>
      <c r="MQ58" s="212" t="n"/>
      <c r="MR58" s="212" t="n"/>
      <c r="MS58" s="212" t="n"/>
      <c r="MT58" s="212" t="n"/>
      <c r="MU58" s="212" t="n"/>
      <c r="MV58" s="212" t="n"/>
      <c r="MW58" s="212" t="n"/>
      <c r="MX58" s="212" t="n"/>
      <c r="MY58" s="212" t="n"/>
      <c r="MZ58" s="212" t="n"/>
      <c r="NA58" s="212" t="n"/>
      <c r="NB58" s="212" t="n"/>
      <c r="NC58" s="212" t="n"/>
      <c r="ND58" s="212" t="n"/>
      <c r="NE58" s="212" t="n"/>
      <c r="NF58" s="212" t="n"/>
      <c r="NG58" s="212" t="n"/>
      <c r="NH58" s="212" t="n"/>
      <c r="NI58" s="212" t="n"/>
      <c r="NJ58" s="212" t="n"/>
      <c r="NK58" s="212" t="n"/>
      <c r="NL58" s="212" t="n"/>
      <c r="NM58" s="212" t="n"/>
      <c r="NN58" s="212" t="n"/>
      <c r="NO58" s="212" t="n"/>
      <c r="NP58" s="212" t="n"/>
      <c r="NQ58" s="212" t="n"/>
      <c r="NR58" s="212" t="n"/>
      <c r="NS58" s="212" t="n"/>
      <c r="NT58" s="212" t="n"/>
      <c r="NU58" s="212" t="n"/>
      <c r="NV58" s="212" t="n"/>
      <c r="NW58" s="212" t="n"/>
      <c r="NX58" s="212" t="n"/>
      <c r="NY58" s="212" t="n"/>
      <c r="NZ58" s="212" t="n"/>
      <c r="OA58" s="212" t="n"/>
      <c r="OB58" s="212" t="n"/>
      <c r="OC58" s="212" t="n"/>
      <c r="OD58" s="212" t="n"/>
      <c r="OE58" s="212" t="n"/>
      <c r="OF58" s="212" t="n"/>
      <c r="OG58" s="212" t="n"/>
      <c r="OH58" s="212" t="n"/>
      <c r="OI58" s="212" t="n"/>
      <c r="OJ58" s="212" t="n"/>
      <c r="OK58" s="212" t="n"/>
      <c r="OL58" s="212" t="n"/>
      <c r="OM58" s="212" t="n"/>
      <c r="ON58" s="212" t="n"/>
      <c r="OO58" s="212" t="n"/>
      <c r="OP58" s="212" t="n"/>
      <c r="OQ58" s="212" t="n"/>
      <c r="OR58" s="212" t="n"/>
      <c r="OS58" s="212" t="n"/>
      <c r="OT58" s="212" t="n"/>
      <c r="OU58" s="212" t="n"/>
      <c r="OV58" s="212" t="n"/>
      <c r="OW58" s="212" t="n"/>
      <c r="OX58" s="212" t="n"/>
      <c r="OY58" s="212" t="n"/>
      <c r="OZ58" s="212" t="n"/>
      <c r="PA58" s="212" t="n"/>
      <c r="PB58" s="212" t="n"/>
      <c r="PC58" s="212" t="n"/>
      <c r="PD58" s="212" t="n"/>
      <c r="PE58" s="212" t="n"/>
      <c r="PF58" s="212" t="n"/>
      <c r="PG58" s="212" t="n"/>
      <c r="PH58" s="212" t="n"/>
      <c r="PI58" s="212" t="n"/>
      <c r="PJ58" s="212" t="n"/>
      <c r="PK58" s="212" t="n"/>
      <c r="PL58" s="212" t="n"/>
      <c r="PM58" s="212" t="n"/>
      <c r="PN58" s="212" t="n"/>
      <c r="PO58" s="212" t="n"/>
      <c r="PP58" s="212" t="n"/>
      <c r="PQ58" s="212" t="n"/>
      <c r="PR58" s="212" t="n"/>
      <c r="PS58" s="212" t="n"/>
      <c r="PT58" s="212" t="n"/>
      <c r="PU58" s="212" t="n"/>
      <c r="PV58" s="212" t="n"/>
      <c r="PW58" s="212" t="n"/>
      <c r="PX58" s="212" t="n"/>
      <c r="PY58" s="212" t="n"/>
      <c r="PZ58" s="212" t="n"/>
      <c r="QA58" s="212" t="n"/>
      <c r="QB58" s="212" t="n"/>
      <c r="QC58" s="212" t="n"/>
      <c r="QD58" s="212" t="n"/>
      <c r="QE58" s="212" t="n"/>
      <c r="QF58" s="212" t="n"/>
      <c r="QG58" s="212" t="n"/>
      <c r="QH58" s="212" t="n"/>
      <c r="QI58" s="212" t="n"/>
      <c r="QJ58" s="212" t="n"/>
      <c r="QK58" s="212" t="n"/>
      <c r="QL58" s="212" t="n"/>
      <c r="QM58" s="212" t="n"/>
      <c r="QN58" s="212" t="n"/>
      <c r="QO58" s="212" t="n"/>
      <c r="QP58" s="212" t="n"/>
      <c r="QQ58" s="212" t="n"/>
      <c r="QR58" s="212" t="n"/>
      <c r="QS58" s="212" t="n"/>
      <c r="QT58" s="212" t="n"/>
      <c r="QU58" s="212" t="n"/>
      <c r="QV58" s="212" t="n"/>
      <c r="QW58" s="212" t="n"/>
      <c r="QX58" s="212" t="n"/>
      <c r="QY58" s="212" t="n"/>
      <c r="QZ58" s="212" t="n"/>
      <c r="RA58" s="212" t="n"/>
      <c r="RB58" s="212" t="n"/>
      <c r="RC58" s="212" t="n"/>
      <c r="RD58" s="212" t="n"/>
      <c r="RE58" s="212" t="n"/>
      <c r="RF58" s="212" t="n"/>
      <c r="RG58" s="212" t="n"/>
      <c r="RH58" s="212" t="n"/>
      <c r="RI58" s="212" t="n"/>
      <c r="RJ58" s="212" t="n"/>
      <c r="RK58" s="212" t="n"/>
      <c r="RL58" s="212" t="n"/>
      <c r="RM58" s="212" t="n"/>
      <c r="RN58" s="212" t="n"/>
      <c r="RO58" s="212" t="n"/>
      <c r="RP58" s="212" t="n"/>
      <c r="RQ58" s="212" t="n"/>
      <c r="RR58" s="212" t="n"/>
      <c r="RS58" s="212" t="n"/>
      <c r="RT58" s="212" t="n"/>
      <c r="RU58" s="212" t="n"/>
      <c r="RV58" s="212" t="n"/>
      <c r="RW58" s="212" t="n"/>
      <c r="RX58" s="212" t="n"/>
      <c r="RY58" s="212" t="n"/>
      <c r="RZ58" s="212" t="n"/>
      <c r="SA58" s="212" t="n"/>
      <c r="SB58" s="212" t="n"/>
      <c r="SC58" s="212" t="n"/>
      <c r="SD58" s="212" t="n"/>
      <c r="SE58" s="212" t="n"/>
      <c r="SF58" s="212" t="n"/>
      <c r="SG58" s="212" t="n"/>
      <c r="SH58" s="212" t="n"/>
      <c r="SI58" s="212" t="n"/>
      <c r="SJ58" s="212" t="n"/>
      <c r="SK58" s="212" t="n"/>
      <c r="SL58" s="212" t="n"/>
      <c r="SM58" s="212" t="n"/>
      <c r="SN58" s="212" t="n"/>
      <c r="SO58" s="212" t="n"/>
      <c r="SP58" s="212" t="n"/>
      <c r="SQ58" s="212" t="n"/>
      <c r="SR58" s="212" t="n"/>
      <c r="SS58" s="212" t="n"/>
      <c r="ST58" s="212" t="n"/>
      <c r="SU58" s="212" t="n"/>
      <c r="SV58" s="212" t="n"/>
    </row>
    <row r="59">
      <c r="B59" s="209" t="n">
        <v>6</v>
      </c>
      <c r="C59" s="209" t="inlineStr">
        <is>
          <t>Sentinel</t>
        </is>
      </c>
      <c r="D59" s="209" t="inlineStr">
        <is>
          <t>Leanda</t>
        </is>
      </c>
      <c r="E59" s="209" t="inlineStr">
        <is>
          <t>Harding</t>
        </is>
      </c>
      <c r="F59" s="209">
        <f>IF(TRIM(D59&amp;E59)="","",TRIM(D59)&amp;" "&amp;TRIM(E59))</f>
        <v/>
      </c>
      <c r="G59" s="209" t="inlineStr">
        <is>
          <t>Perth</t>
        </is>
      </c>
      <c r="H59" s="209" t="inlineStr">
        <is>
          <t>TPO</t>
        </is>
      </c>
      <c r="I59" s="209" t="inlineStr">
        <is>
          <t>YES</t>
        </is>
      </c>
      <c r="J59" s="209" t="inlineStr">
        <is>
          <t>YES</t>
        </is>
      </c>
      <c r="K59" s="209" t="inlineStr">
        <is>
          <t>YES</t>
        </is>
      </c>
      <c r="L59" s="209" t="inlineStr">
        <is>
          <t>YES</t>
        </is>
      </c>
      <c r="M59" s="209" t="inlineStr">
        <is>
          <t>Quals Complete</t>
        </is>
      </c>
      <c r="N59" s="209" t="inlineStr">
        <is>
          <t>Leanda.Harding@Gmail.com</t>
        </is>
      </c>
      <c r="O59" s="209" t="inlineStr">
        <is>
          <t>0410 005 077</t>
        </is>
      </c>
      <c r="P59" s="209" t="n">
        <v>744348</v>
      </c>
      <c r="Q59" s="209" t="n">
        <v>377230</v>
      </c>
      <c r="R59" s="209" t="inlineStr">
        <is>
          <t>Roster B Elec</t>
        </is>
      </c>
      <c r="S59" s="210" t="inlineStr">
        <is>
          <t>N/A</t>
        </is>
      </c>
      <c r="T59" s="210" t="inlineStr">
        <is>
          <t>N/A</t>
        </is>
      </c>
      <c r="U59" s="210" t="inlineStr">
        <is>
          <t>N/A</t>
        </is>
      </c>
      <c r="V59" s="210" t="inlineStr">
        <is>
          <t>N/A</t>
        </is>
      </c>
      <c r="W59" s="210" t="inlineStr">
        <is>
          <t>N/A</t>
        </is>
      </c>
      <c r="X59" s="210" t="inlineStr">
        <is>
          <t>N/A</t>
        </is>
      </c>
      <c r="Y59" s="210" t="inlineStr">
        <is>
          <t>N/A</t>
        </is>
      </c>
      <c r="Z59" s="210" t="inlineStr">
        <is>
          <t>N/A</t>
        </is>
      </c>
      <c r="AA59" s="210" t="inlineStr">
        <is>
          <t>N/A</t>
        </is>
      </c>
      <c r="AB59" s="210" t="inlineStr">
        <is>
          <t>N/A</t>
        </is>
      </c>
      <c r="AC59" s="210" t="inlineStr">
        <is>
          <t>N/A</t>
        </is>
      </c>
      <c r="AD59" s="210" t="inlineStr">
        <is>
          <t>N/A</t>
        </is>
      </c>
      <c r="AE59" s="210" t="inlineStr">
        <is>
          <t>N/A</t>
        </is>
      </c>
      <c r="AF59" s="210" t="inlineStr">
        <is>
          <t>N/A</t>
        </is>
      </c>
      <c r="AG59" s="211" t="inlineStr">
        <is>
          <t>PER/PHE PM
LND</t>
        </is>
      </c>
      <c r="AH59" s="211" t="inlineStr">
        <is>
          <t>LND</t>
        </is>
      </c>
      <c r="AI59" s="211" t="inlineStr">
        <is>
          <t>LND</t>
        </is>
      </c>
      <c r="AJ59" s="211" t="inlineStr">
        <is>
          <t>LND</t>
        </is>
      </c>
      <c r="AK59" s="211" t="inlineStr">
        <is>
          <t>3RD PTY</t>
        </is>
      </c>
      <c r="AL59" s="211" t="inlineStr">
        <is>
          <t>3RD PTY</t>
        </is>
      </c>
      <c r="AM59" s="211" t="inlineStr">
        <is>
          <t>3RD PTY</t>
        </is>
      </c>
      <c r="AN59" s="211" t="inlineStr">
        <is>
          <t>3RD PTY</t>
        </is>
      </c>
      <c r="AO59" s="211" t="inlineStr">
        <is>
          <t>3RD PTY</t>
        </is>
      </c>
      <c r="AP59" s="211" t="inlineStr">
        <is>
          <t>3RD PTY</t>
        </is>
      </c>
      <c r="AQ59" s="211" t="inlineStr">
        <is>
          <t>3RD PTY</t>
        </is>
      </c>
      <c r="AR59" s="211" t="inlineStr">
        <is>
          <t>PHE/PER PM</t>
        </is>
      </c>
      <c r="AS59" s="210" t="inlineStr">
        <is>
          <t>N/A</t>
        </is>
      </c>
      <c r="AT59" s="210" t="inlineStr">
        <is>
          <t>N/A</t>
        </is>
      </c>
      <c r="AU59" s="210" t="inlineStr">
        <is>
          <t>N/A</t>
        </is>
      </c>
      <c r="AV59" s="210" t="inlineStr">
        <is>
          <t>N/A</t>
        </is>
      </c>
      <c r="AW59" s="210" t="inlineStr">
        <is>
          <t>N/A</t>
        </is>
      </c>
      <c r="AX59" s="210" t="inlineStr">
        <is>
          <t>N/A</t>
        </is>
      </c>
      <c r="AY59" s="210" t="inlineStr">
        <is>
          <t>N/A</t>
        </is>
      </c>
      <c r="AZ59" s="210" t="inlineStr">
        <is>
          <t>N/A</t>
        </is>
      </c>
      <c r="BA59" s="210" t="inlineStr">
        <is>
          <t>N/A</t>
        </is>
      </c>
      <c r="BB59" s="210" t="inlineStr">
        <is>
          <t>N/A</t>
        </is>
      </c>
      <c r="BC59" s="210" t="inlineStr">
        <is>
          <t>N/A</t>
        </is>
      </c>
      <c r="BD59" s="210" t="inlineStr">
        <is>
          <t>N/A</t>
        </is>
      </c>
      <c r="BE59" s="210" t="inlineStr">
        <is>
          <t>N/A</t>
        </is>
      </c>
      <c r="BF59" s="210" t="inlineStr">
        <is>
          <t>N/A</t>
        </is>
      </c>
      <c r="BG59" s="210" t="inlineStr">
        <is>
          <t>N/A</t>
        </is>
      </c>
      <c r="BH59" s="210" t="inlineStr">
        <is>
          <t>N/A</t>
        </is>
      </c>
      <c r="BI59" s="210" t="inlineStr">
        <is>
          <t>N/A</t>
        </is>
      </c>
      <c r="BJ59" s="210" t="inlineStr">
        <is>
          <t>N/A</t>
        </is>
      </c>
      <c r="BK59" s="210" t="inlineStr">
        <is>
          <t>N/A</t>
        </is>
      </c>
      <c r="BL59" s="210" t="inlineStr">
        <is>
          <t>N/A</t>
        </is>
      </c>
      <c r="BM59" s="210" t="inlineStr">
        <is>
          <t>N/A</t>
        </is>
      </c>
      <c r="BN59" s="210" t="inlineStr">
        <is>
          <t>N/A</t>
        </is>
      </c>
      <c r="BO59" s="210" t="inlineStr">
        <is>
          <t>N/A</t>
        </is>
      </c>
      <c r="BP59" s="210" t="inlineStr">
        <is>
          <t>N/A</t>
        </is>
      </c>
      <c r="BQ59" s="210" t="inlineStr">
        <is>
          <t>N/A</t>
        </is>
      </c>
      <c r="BR59" s="210" t="inlineStr">
        <is>
          <t>N/A</t>
        </is>
      </c>
      <c r="BS59" s="210" t="inlineStr">
        <is>
          <t>N/A</t>
        </is>
      </c>
      <c r="BT59" s="210" t="inlineStr">
        <is>
          <t>N/A</t>
        </is>
      </c>
      <c r="BU59" s="210" t="inlineStr">
        <is>
          <t>N/A</t>
        </is>
      </c>
      <c r="BV59" s="210" t="inlineStr">
        <is>
          <t>N/A</t>
        </is>
      </c>
      <c r="BW59" s="210" t="inlineStr">
        <is>
          <t>N/A</t>
        </is>
      </c>
      <c r="BX59" s="210" t="inlineStr">
        <is>
          <t>N/A</t>
        </is>
      </c>
      <c r="BY59" s="210" t="inlineStr">
        <is>
          <t>N/A</t>
        </is>
      </c>
      <c r="BZ59" s="210" t="inlineStr">
        <is>
          <t>N/A</t>
        </is>
      </c>
      <c r="CA59" s="210" t="inlineStr">
        <is>
          <t>N/A</t>
        </is>
      </c>
      <c r="CB59" s="210" t="inlineStr">
        <is>
          <t>N/A</t>
        </is>
      </c>
      <c r="CC59" s="210" t="inlineStr">
        <is>
          <t>N/A</t>
        </is>
      </c>
      <c r="CD59" s="210" t="inlineStr">
        <is>
          <t>N/A</t>
        </is>
      </c>
      <c r="CE59" s="210" t="inlineStr">
        <is>
          <t>N/A</t>
        </is>
      </c>
      <c r="CF59" s="210" t="inlineStr">
        <is>
          <t>N/A</t>
        </is>
      </c>
      <c r="CG59" s="210" t="inlineStr">
        <is>
          <t>N/A</t>
        </is>
      </c>
      <c r="CH59" s="210" t="inlineStr">
        <is>
          <t>N/A</t>
        </is>
      </c>
      <c r="CI59" s="210" t="inlineStr">
        <is>
          <t>N/A</t>
        </is>
      </c>
      <c r="CJ59" s="210" t="inlineStr">
        <is>
          <t>N/A</t>
        </is>
      </c>
      <c r="CK59" s="210" t="inlineStr">
        <is>
          <t>N/A</t>
        </is>
      </c>
      <c r="CL59" s="210" t="inlineStr">
        <is>
          <t>N/A</t>
        </is>
      </c>
      <c r="CM59" s="210" t="inlineStr">
        <is>
          <t>N/A</t>
        </is>
      </c>
      <c r="CN59" s="210" t="inlineStr">
        <is>
          <t>N/A</t>
        </is>
      </c>
      <c r="CO59" s="210" t="inlineStr">
        <is>
          <t>N/A</t>
        </is>
      </c>
      <c r="CP59" s="210" t="inlineStr">
        <is>
          <t>N/A</t>
        </is>
      </c>
      <c r="CQ59" s="210" t="inlineStr">
        <is>
          <t>N/A</t>
        </is>
      </c>
      <c r="CR59" s="210" t="inlineStr">
        <is>
          <t>N/A</t>
        </is>
      </c>
      <c r="CS59" s="210" t="inlineStr">
        <is>
          <t>N/A</t>
        </is>
      </c>
      <c r="CT59" s="210" t="inlineStr">
        <is>
          <t>N/A</t>
        </is>
      </c>
      <c r="CU59" s="210" t="inlineStr">
        <is>
          <t>N/A</t>
        </is>
      </c>
      <c r="CV59" s="210" t="inlineStr">
        <is>
          <t>N/A</t>
        </is>
      </c>
      <c r="CW59" s="210" t="inlineStr">
        <is>
          <t>N/A</t>
        </is>
      </c>
      <c r="CX59" s="210" t="inlineStr">
        <is>
          <t>N/A</t>
        </is>
      </c>
      <c r="CY59" s="210" t="inlineStr">
        <is>
          <t>N/A</t>
        </is>
      </c>
      <c r="CZ59" s="210" t="inlineStr">
        <is>
          <t>N/A</t>
        </is>
      </c>
      <c r="DA59" s="210" t="inlineStr">
        <is>
          <t>N/A</t>
        </is>
      </c>
      <c r="DB59" s="210" t="inlineStr">
        <is>
          <t>N/A</t>
        </is>
      </c>
      <c r="DC59" s="210" t="inlineStr">
        <is>
          <t>N/A</t>
        </is>
      </c>
      <c r="DD59" s="210" t="inlineStr">
        <is>
          <t>N/A</t>
        </is>
      </c>
      <c r="DE59" s="210" t="inlineStr">
        <is>
          <t>N/A</t>
        </is>
      </c>
      <c r="DF59" s="210" t="inlineStr">
        <is>
          <t>N/A</t>
        </is>
      </c>
      <c r="DG59" s="210" t="inlineStr">
        <is>
          <t>N/A</t>
        </is>
      </c>
      <c r="DH59" s="210" t="inlineStr">
        <is>
          <t>N/A</t>
        </is>
      </c>
      <c r="DI59" s="210" t="inlineStr">
        <is>
          <t>N/A</t>
        </is>
      </c>
      <c r="DJ59" s="210" t="inlineStr">
        <is>
          <t>N/A</t>
        </is>
      </c>
      <c r="DK59" s="210" t="inlineStr">
        <is>
          <t>N/A</t>
        </is>
      </c>
      <c r="DL59" s="210" t="inlineStr">
        <is>
          <t>N/A</t>
        </is>
      </c>
      <c r="DM59" s="210" t="inlineStr">
        <is>
          <t>N/A</t>
        </is>
      </c>
      <c r="DN59" s="210" t="inlineStr">
        <is>
          <t>N/A</t>
        </is>
      </c>
      <c r="DO59" s="210" t="inlineStr">
        <is>
          <t>N/A</t>
        </is>
      </c>
      <c r="DP59" s="210" t="inlineStr">
        <is>
          <t>N/A</t>
        </is>
      </c>
      <c r="DQ59" s="210" t="inlineStr">
        <is>
          <t>N/A</t>
        </is>
      </c>
      <c r="DR59" s="212" t="n"/>
      <c r="DS59" s="212" t="n"/>
      <c r="DT59" s="212" t="n"/>
      <c r="DU59" s="212" t="n"/>
      <c r="DV59" s="212" t="n"/>
      <c r="DW59" s="212" t="n"/>
      <c r="DX59" s="212" t="n"/>
      <c r="DY59" s="212" t="n"/>
      <c r="DZ59" s="212" t="n"/>
      <c r="EA59" s="212" t="n"/>
      <c r="EB59" s="212" t="n"/>
      <c r="EC59" s="212" t="n"/>
      <c r="ED59" s="212" t="n"/>
      <c r="EE59" s="212" t="n"/>
      <c r="EF59" s="212" t="n"/>
      <c r="EG59" s="212" t="n"/>
      <c r="EH59" s="212" t="n"/>
      <c r="EI59" s="212" t="n"/>
      <c r="EJ59" s="212" t="n"/>
      <c r="EK59" s="212" t="n"/>
      <c r="EL59" s="212" t="n"/>
      <c r="EM59" s="212" t="n"/>
      <c r="EN59" s="212" t="n"/>
      <c r="EO59" s="212" t="n"/>
      <c r="EP59" s="212" t="n"/>
      <c r="EQ59" s="212" t="n"/>
      <c r="ER59" s="212" t="n"/>
      <c r="ES59" s="212" t="n"/>
      <c r="ET59" s="212" t="n"/>
      <c r="EU59" s="212" t="n"/>
      <c r="EV59" s="212" t="n"/>
      <c r="EW59" s="212" t="n"/>
      <c r="EX59" s="212" t="n"/>
      <c r="EY59" s="212" t="n"/>
      <c r="EZ59" s="212" t="n"/>
      <c r="FA59" s="212" t="n"/>
      <c r="FB59" s="212" t="n"/>
      <c r="FC59" s="212" t="n"/>
      <c r="FD59" s="212" t="n"/>
      <c r="FE59" s="212" t="n"/>
      <c r="FF59" s="212" t="n"/>
      <c r="FG59" s="212" t="n"/>
      <c r="FH59" s="212" t="n"/>
      <c r="FI59" s="212" t="n"/>
      <c r="FJ59" s="212" t="n"/>
      <c r="FK59" s="212" t="n"/>
      <c r="FL59" s="212" t="n"/>
      <c r="FM59" s="212" t="n"/>
      <c r="FN59" s="212" t="n"/>
      <c r="FO59" s="212" t="n"/>
      <c r="FP59" s="212" t="n"/>
      <c r="FQ59" s="212" t="n"/>
      <c r="FR59" s="212" t="n"/>
      <c r="FS59" s="212" t="n"/>
      <c r="FT59" s="212" t="n"/>
      <c r="FU59" s="212" t="n"/>
      <c r="FV59" s="212" t="n"/>
      <c r="FW59" s="212" t="n"/>
      <c r="FX59" s="212" t="n"/>
      <c r="FY59" s="212" t="n"/>
      <c r="FZ59" s="212" t="n"/>
      <c r="GA59" s="212" t="n"/>
      <c r="GB59" s="212" t="n"/>
      <c r="GC59" s="212" t="n"/>
      <c r="GD59" s="212" t="n"/>
      <c r="GE59" s="212" t="n"/>
      <c r="GF59" s="212" t="n"/>
      <c r="GG59" s="212" t="n"/>
      <c r="GH59" s="212" t="n"/>
      <c r="GI59" s="212" t="n"/>
      <c r="GJ59" s="212" t="n"/>
      <c r="GK59" s="212" t="n"/>
      <c r="GL59" s="212" t="n"/>
      <c r="GM59" s="212" t="n"/>
      <c r="GN59" s="212" t="n"/>
      <c r="GO59" s="212" t="n"/>
      <c r="GP59" s="212" t="n"/>
      <c r="GQ59" s="212" t="n"/>
      <c r="GR59" s="212" t="n"/>
      <c r="GS59" s="212" t="n"/>
      <c r="GT59" s="212" t="n"/>
      <c r="GU59" s="212" t="n"/>
      <c r="GV59" s="212" t="n"/>
      <c r="GW59" s="212" t="n"/>
      <c r="GX59" s="212" t="n"/>
      <c r="GY59" s="212" t="n"/>
      <c r="GZ59" s="212" t="n"/>
      <c r="HA59" s="212" t="n"/>
      <c r="HB59" s="212" t="n"/>
      <c r="HC59" s="212" t="n"/>
      <c r="HD59" s="212" t="n"/>
      <c r="HE59" s="212" t="n"/>
      <c r="HF59" s="212" t="n"/>
      <c r="HG59" s="212" t="n"/>
      <c r="HH59" s="212" t="n"/>
      <c r="HI59" s="212" t="n"/>
      <c r="HJ59" s="212" t="n"/>
      <c r="HK59" s="212" t="n"/>
      <c r="HL59" s="212" t="n"/>
      <c r="HM59" s="212" t="n"/>
      <c r="HN59" s="212" t="n"/>
      <c r="HO59" s="212" t="n"/>
      <c r="HP59" s="212" t="n"/>
      <c r="HQ59" s="212" t="n"/>
      <c r="HR59" s="212" t="n"/>
      <c r="HS59" s="212" t="n"/>
      <c r="HT59" s="212" t="n"/>
      <c r="HU59" s="212" t="n"/>
      <c r="HV59" s="212" t="n"/>
      <c r="HW59" s="212" t="n"/>
      <c r="HX59" s="212" t="n"/>
      <c r="HY59" s="212" t="n"/>
      <c r="HZ59" s="212" t="n"/>
      <c r="IA59" s="212" t="n"/>
      <c r="IB59" s="212" t="n"/>
      <c r="IC59" s="212" t="n"/>
      <c r="ID59" s="212" t="n"/>
      <c r="IE59" s="212" t="n"/>
      <c r="IF59" s="212" t="n"/>
      <c r="IG59" s="212" t="n"/>
      <c r="IH59" s="212" t="n"/>
      <c r="II59" s="212" t="n"/>
      <c r="IJ59" s="212" t="n"/>
      <c r="IK59" s="212" t="n"/>
      <c r="IL59" s="212" t="n"/>
      <c r="IM59" s="212" t="n"/>
      <c r="IN59" s="212" t="n"/>
      <c r="IO59" s="212" t="n"/>
      <c r="IP59" s="212" t="n"/>
      <c r="IQ59" s="212" t="n"/>
      <c r="IR59" s="212" t="n"/>
      <c r="IS59" s="212" t="n"/>
      <c r="IT59" s="212" t="n"/>
      <c r="IU59" s="212" t="n"/>
      <c r="IV59" s="212" t="n"/>
      <c r="IW59" s="212" t="n"/>
      <c r="IX59" s="212" t="n"/>
      <c r="IY59" s="212" t="n"/>
      <c r="IZ59" s="212" t="n"/>
      <c r="JA59" s="212" t="n"/>
      <c r="JB59" s="212" t="n"/>
      <c r="JC59" s="212" t="n"/>
      <c r="JD59" s="212" t="n"/>
      <c r="JE59" s="212" t="n"/>
      <c r="JF59" s="212" t="n"/>
      <c r="JG59" s="212" t="n"/>
      <c r="JH59" s="212" t="n"/>
      <c r="JI59" s="212" t="n"/>
      <c r="JJ59" s="212" t="n"/>
      <c r="JK59" s="212" t="n"/>
      <c r="JL59" s="212" t="n"/>
      <c r="JM59" s="212" t="n"/>
      <c r="JN59" s="212" t="n"/>
      <c r="JO59" s="212" t="n"/>
      <c r="JP59" s="212" t="n"/>
      <c r="JQ59" s="212" t="n"/>
      <c r="JR59" s="212" t="n"/>
      <c r="JS59" s="212" t="n"/>
      <c r="JT59" s="212" t="n"/>
      <c r="JU59" s="212" t="n"/>
      <c r="JV59" s="212" t="n"/>
      <c r="JW59" s="212" t="n"/>
      <c r="JX59" s="212" t="n"/>
      <c r="JY59" s="212" t="n"/>
      <c r="JZ59" s="212" t="n"/>
      <c r="KA59" s="212" t="n"/>
      <c r="KB59" s="212" t="n"/>
      <c r="KC59" s="212" t="n"/>
      <c r="KD59" s="212" t="n"/>
      <c r="KE59" s="212" t="n"/>
      <c r="KF59" s="212" t="n"/>
      <c r="KG59" s="212" t="n"/>
      <c r="KH59" s="212" t="n"/>
      <c r="KI59" s="212" t="n"/>
      <c r="KJ59" s="212" t="n"/>
      <c r="KK59" s="212" t="n"/>
      <c r="KL59" s="212" t="n"/>
      <c r="KM59" s="212" t="n"/>
      <c r="KN59" s="212" t="n"/>
      <c r="KO59" s="212" t="n"/>
      <c r="KP59" s="212" t="n"/>
      <c r="KQ59" s="212" t="n"/>
      <c r="KR59" s="212" t="n"/>
      <c r="KS59" s="212" t="n"/>
      <c r="KT59" s="212" t="n"/>
      <c r="KU59" s="212" t="n"/>
      <c r="KV59" s="212" t="n"/>
      <c r="KW59" s="212" t="n"/>
      <c r="KX59" s="212" t="n"/>
      <c r="KY59" s="212" t="n"/>
      <c r="KZ59" s="212" t="n"/>
      <c r="LA59" s="212" t="n"/>
      <c r="LB59" s="212" t="n"/>
      <c r="LC59" s="212" t="n"/>
      <c r="LD59" s="212" t="n"/>
      <c r="LE59" s="212" t="n"/>
      <c r="LF59" s="212" t="n"/>
      <c r="LG59" s="212" t="n"/>
      <c r="LH59" s="212" t="n"/>
      <c r="LI59" s="212" t="n"/>
      <c r="LJ59" s="212" t="n"/>
      <c r="LK59" s="212" t="n"/>
      <c r="LL59" s="212" t="n"/>
      <c r="LM59" s="212" t="n"/>
      <c r="LN59" s="212" t="n"/>
      <c r="LO59" s="212" t="n"/>
      <c r="LP59" s="212" t="n"/>
      <c r="LQ59" s="212" t="n"/>
      <c r="LR59" s="212" t="n"/>
      <c r="LS59" s="212" t="n"/>
      <c r="LT59" s="212" t="n"/>
      <c r="LU59" s="212" t="n"/>
      <c r="LV59" s="212" t="n"/>
      <c r="LW59" s="212" t="n"/>
      <c r="LX59" s="212" t="n"/>
      <c r="LY59" s="212" t="n"/>
      <c r="LZ59" s="212" t="n"/>
      <c r="MA59" s="212" t="n"/>
      <c r="MB59" s="212" t="n"/>
      <c r="MC59" s="212" t="n"/>
      <c r="MD59" s="212" t="n"/>
      <c r="ME59" s="212" t="n"/>
      <c r="MF59" s="212" t="n"/>
      <c r="MG59" s="212" t="n"/>
      <c r="MH59" s="212" t="n"/>
      <c r="MI59" s="212" t="n"/>
      <c r="MJ59" s="212" t="n"/>
      <c r="MK59" s="212" t="n"/>
      <c r="ML59" s="212" t="n"/>
      <c r="MM59" s="212" t="n"/>
      <c r="MN59" s="212" t="n"/>
      <c r="MO59" s="212" t="n"/>
      <c r="MP59" s="212" t="n"/>
      <c r="MQ59" s="212" t="n"/>
      <c r="MR59" s="212" t="n"/>
      <c r="MS59" s="212" t="n"/>
      <c r="MT59" s="212" t="n"/>
      <c r="MU59" s="212" t="n"/>
      <c r="MV59" s="212" t="n"/>
      <c r="MW59" s="212" t="n"/>
      <c r="MX59" s="212" t="n"/>
      <c r="MY59" s="212" t="n"/>
      <c r="MZ59" s="212" t="n"/>
      <c r="NA59" s="212" t="n"/>
      <c r="NB59" s="212" t="n"/>
      <c r="NC59" s="212" t="n"/>
      <c r="ND59" s="212" t="n"/>
      <c r="NE59" s="212" t="n"/>
      <c r="NF59" s="212" t="n"/>
      <c r="NG59" s="212" t="n"/>
      <c r="NH59" s="212" t="n"/>
      <c r="NI59" s="212" t="n"/>
      <c r="NJ59" s="212" t="n"/>
      <c r="NK59" s="212" t="n"/>
      <c r="NL59" s="212" t="n"/>
      <c r="NM59" s="212" t="n"/>
      <c r="NN59" s="212" t="n"/>
      <c r="NO59" s="212" t="n"/>
      <c r="NP59" s="212" t="n"/>
      <c r="NQ59" s="212" t="n"/>
      <c r="NR59" s="212" t="n"/>
      <c r="NS59" s="212" t="n"/>
      <c r="NT59" s="212" t="n"/>
      <c r="NU59" s="212" t="n"/>
      <c r="NV59" s="212" t="n"/>
      <c r="NW59" s="212" t="n"/>
      <c r="NX59" s="212" t="n"/>
      <c r="NY59" s="212" t="n"/>
      <c r="NZ59" s="212" t="n"/>
      <c r="OA59" s="212" t="n"/>
      <c r="OB59" s="212" t="n"/>
      <c r="OC59" s="212" t="n"/>
      <c r="OD59" s="212" t="n"/>
      <c r="OE59" s="212" t="n"/>
      <c r="OF59" s="212" t="n"/>
      <c r="OG59" s="212" t="n"/>
      <c r="OH59" s="212" t="n"/>
      <c r="OI59" s="212" t="n"/>
      <c r="OJ59" s="212" t="n"/>
      <c r="OK59" s="212" t="n"/>
      <c r="OL59" s="212" t="n"/>
      <c r="OM59" s="212" t="n"/>
      <c r="ON59" s="212" t="n"/>
      <c r="OO59" s="212" t="n"/>
      <c r="OP59" s="212" t="n"/>
      <c r="OQ59" s="212" t="n"/>
      <c r="OR59" s="212" t="n"/>
      <c r="OS59" s="212" t="n"/>
      <c r="OT59" s="212" t="n"/>
      <c r="OU59" s="212" t="n"/>
      <c r="OV59" s="212" t="n"/>
      <c r="OW59" s="212" t="n"/>
      <c r="OX59" s="212" t="n"/>
      <c r="OY59" s="212" t="n"/>
      <c r="OZ59" s="212" t="n"/>
      <c r="PA59" s="212" t="n"/>
      <c r="PB59" s="212" t="n"/>
      <c r="PC59" s="212" t="n"/>
      <c r="PD59" s="212" t="n"/>
      <c r="PE59" s="212" t="n"/>
      <c r="PF59" s="212" t="n"/>
      <c r="PG59" s="212" t="n"/>
      <c r="PH59" s="212" t="n"/>
      <c r="PI59" s="212" t="n"/>
      <c r="PJ59" s="212" t="n"/>
      <c r="PK59" s="212" t="n"/>
      <c r="PL59" s="212" t="n"/>
      <c r="PM59" s="212" t="n"/>
      <c r="PN59" s="212" t="n"/>
      <c r="PO59" s="212" t="n"/>
      <c r="PP59" s="212" t="n"/>
      <c r="PQ59" s="212" t="n"/>
      <c r="PR59" s="212" t="n"/>
      <c r="PS59" s="212" t="n"/>
      <c r="PT59" s="212" t="n"/>
      <c r="PU59" s="212" t="n"/>
      <c r="PV59" s="212" t="n"/>
      <c r="PW59" s="212" t="n"/>
      <c r="PX59" s="212" t="n"/>
      <c r="PY59" s="212" t="n"/>
      <c r="PZ59" s="212" t="n"/>
      <c r="QA59" s="212" t="n"/>
      <c r="QB59" s="212" t="n"/>
      <c r="QC59" s="212" t="n"/>
      <c r="QD59" s="212" t="n"/>
      <c r="QE59" s="212" t="n"/>
      <c r="QF59" s="212" t="n"/>
      <c r="QG59" s="212" t="n"/>
      <c r="QH59" s="212" t="n"/>
      <c r="QI59" s="212" t="n"/>
      <c r="QJ59" s="212" t="n"/>
      <c r="QK59" s="212" t="n"/>
      <c r="QL59" s="212" t="n"/>
      <c r="QM59" s="212" t="n"/>
      <c r="QN59" s="212" t="n"/>
      <c r="QO59" s="212" t="n"/>
      <c r="QP59" s="212" t="n"/>
      <c r="QQ59" s="212" t="n"/>
      <c r="QR59" s="212" t="n"/>
      <c r="QS59" s="212" t="n"/>
      <c r="QT59" s="212" t="n"/>
      <c r="QU59" s="212" t="n"/>
      <c r="QV59" s="212" t="n"/>
      <c r="QW59" s="212" t="n"/>
      <c r="QX59" s="212" t="n"/>
      <c r="QY59" s="212" t="n"/>
      <c r="QZ59" s="212" t="n"/>
      <c r="RA59" s="212" t="n"/>
      <c r="RB59" s="212" t="n"/>
      <c r="RC59" s="212" t="n"/>
      <c r="RD59" s="212" t="n"/>
      <c r="RE59" s="212" t="n"/>
      <c r="RF59" s="212" t="n"/>
      <c r="RG59" s="212" t="n"/>
      <c r="RH59" s="212" t="n"/>
      <c r="RI59" s="212" t="n"/>
      <c r="RJ59" s="212" t="n"/>
      <c r="RK59" s="212" t="n"/>
      <c r="RL59" s="212" t="n"/>
      <c r="RM59" s="212" t="n"/>
      <c r="RN59" s="212" t="n"/>
      <c r="RO59" s="212" t="n"/>
      <c r="RP59" s="212" t="n"/>
      <c r="RQ59" s="212" t="n"/>
      <c r="RR59" s="212" t="n"/>
      <c r="RS59" s="212" t="n"/>
      <c r="RT59" s="212" t="n"/>
      <c r="RU59" s="212" t="n"/>
      <c r="RV59" s="212" t="n"/>
      <c r="RW59" s="212" t="n"/>
      <c r="RX59" s="212" t="n"/>
      <c r="RY59" s="212" t="n"/>
      <c r="RZ59" s="212" t="n"/>
      <c r="SA59" s="212" t="n"/>
      <c r="SB59" s="212" t="n"/>
      <c r="SC59" s="212" t="n"/>
      <c r="SD59" s="212" t="n"/>
      <c r="SE59" s="212" t="n"/>
      <c r="SF59" s="212" t="n"/>
      <c r="SG59" s="212" t="n"/>
      <c r="SH59" s="212" t="n"/>
      <c r="SI59" s="212" t="n"/>
      <c r="SJ59" s="212" t="n"/>
      <c r="SK59" s="212" t="n"/>
      <c r="SL59" s="212" t="n"/>
      <c r="SM59" s="212" t="n"/>
      <c r="SN59" s="212" t="n"/>
      <c r="SO59" s="212" t="n"/>
      <c r="SP59" s="212" t="n"/>
      <c r="SQ59" s="212" t="n"/>
      <c r="SR59" s="212" t="n"/>
      <c r="SS59" s="212" t="n"/>
      <c r="ST59" s="212" t="n"/>
      <c r="SU59" s="212" t="n"/>
      <c r="SV59" s="212" t="n"/>
    </row>
    <row r="60">
      <c r="B60" s="209" t="n">
        <v>7</v>
      </c>
      <c r="C60" s="209" t="inlineStr">
        <is>
          <t>Sentinel</t>
        </is>
      </c>
      <c r="D60" s="209" t="inlineStr">
        <is>
          <t>David</t>
        </is>
      </c>
      <c r="E60" s="209" t="inlineStr">
        <is>
          <t>Keating</t>
        </is>
      </c>
      <c r="F60" s="209">
        <f>IF(TRIM(D60&amp;E60)="","",TRIM(D60)&amp;" "&amp;TRIM(E60))</f>
        <v/>
      </c>
      <c r="G60" s="209" t="inlineStr">
        <is>
          <t>Perth</t>
        </is>
      </c>
      <c r="H60" s="209" t="inlineStr">
        <is>
          <t>TPO - Elec Team 1</t>
        </is>
      </c>
      <c r="I60" s="209" t="inlineStr">
        <is>
          <t>YES</t>
        </is>
      </c>
      <c r="J60" s="209" t="inlineStr">
        <is>
          <t>YES</t>
        </is>
      </c>
      <c r="K60" s="209" t="inlineStr">
        <is>
          <t>YES</t>
        </is>
      </c>
      <c r="L60" s="209" t="inlineStr">
        <is>
          <t>YES</t>
        </is>
      </c>
      <c r="M60" s="209" t="inlineStr">
        <is>
          <t>Quals Complete</t>
        </is>
      </c>
      <c r="N60" s="209" t="inlineStr">
        <is>
          <t>david.j.keating@outlook.com</t>
        </is>
      </c>
      <c r="O60" s="209" t="inlineStr">
        <is>
          <t>0400 805 514</t>
        </is>
      </c>
      <c r="P60" s="209" t="n">
        <v>243126</v>
      </c>
      <c r="Q60" s="209" t="n">
        <v>7589</v>
      </c>
      <c r="R60" s="209" t="inlineStr">
        <is>
          <t>Roster B Civil</t>
        </is>
      </c>
      <c r="S60" s="210" t="inlineStr">
        <is>
          <t>N/A</t>
        </is>
      </c>
      <c r="T60" s="210" t="inlineStr">
        <is>
          <t>N/A</t>
        </is>
      </c>
      <c r="U60" s="210" t="inlineStr">
        <is>
          <t>N/A</t>
        </is>
      </c>
      <c r="V60" s="210" t="inlineStr">
        <is>
          <t>N/A</t>
        </is>
      </c>
      <c r="W60" s="210" t="inlineStr">
        <is>
          <t>N/A</t>
        </is>
      </c>
      <c r="X60" s="210" t="inlineStr">
        <is>
          <t>N/A</t>
        </is>
      </c>
      <c r="Y60" s="210" t="inlineStr">
        <is>
          <t>N/A</t>
        </is>
      </c>
      <c r="Z60" s="210" t="inlineStr">
        <is>
          <t>N/A</t>
        </is>
      </c>
      <c r="AA60" s="210" t="inlineStr">
        <is>
          <t>N/A</t>
        </is>
      </c>
      <c r="AB60" s="210" t="inlineStr">
        <is>
          <t>N/A</t>
        </is>
      </c>
      <c r="AC60" s="210" t="inlineStr">
        <is>
          <t>N/A</t>
        </is>
      </c>
      <c r="AD60" s="211" t="inlineStr">
        <is>
          <t>PER/PHE PM
LND</t>
        </is>
      </c>
      <c r="AE60" s="211" t="inlineStr">
        <is>
          <t>LND</t>
        </is>
      </c>
      <c r="AF60" s="211" t="inlineStr">
        <is>
          <t>LND</t>
        </is>
      </c>
      <c r="AG60" s="211" t="inlineStr">
        <is>
          <t>LND</t>
        </is>
      </c>
      <c r="AH60" s="211" t="inlineStr">
        <is>
          <t>LND</t>
        </is>
      </c>
      <c r="AI60" s="211" t="inlineStr">
        <is>
          <t>LND</t>
        </is>
      </c>
      <c r="AJ60" s="211" t="inlineStr">
        <is>
          <t>LND</t>
        </is>
      </c>
      <c r="AK60" s="211" t="inlineStr">
        <is>
          <t>LND</t>
        </is>
      </c>
      <c r="AL60" s="211" t="inlineStr">
        <is>
          <t>LND</t>
        </is>
      </c>
      <c r="AM60" s="211" t="inlineStr">
        <is>
          <t>LND</t>
        </is>
      </c>
      <c r="AN60" s="211" t="inlineStr">
        <is>
          <t>LND</t>
        </is>
      </c>
      <c r="AO60" s="211" t="inlineStr">
        <is>
          <t>LND</t>
        </is>
      </c>
      <c r="AP60" s="211" t="inlineStr">
        <is>
          <t>LND</t>
        </is>
      </c>
      <c r="AQ60" s="211" t="inlineStr">
        <is>
          <t>LND</t>
        </is>
      </c>
      <c r="AR60" s="211" t="inlineStr">
        <is>
          <t>PHE/PER PM</t>
        </is>
      </c>
      <c r="AS60" s="210" t="inlineStr">
        <is>
          <t>N/A</t>
        </is>
      </c>
      <c r="AT60" s="210" t="inlineStr">
        <is>
          <t>N/A</t>
        </is>
      </c>
      <c r="AU60" s="210" t="inlineStr">
        <is>
          <t>N/A</t>
        </is>
      </c>
      <c r="AV60" s="210" t="inlineStr">
        <is>
          <t>N/A</t>
        </is>
      </c>
      <c r="AW60" s="210" t="inlineStr">
        <is>
          <t>N/A</t>
        </is>
      </c>
      <c r="AX60" s="210" t="inlineStr">
        <is>
          <t>N/A</t>
        </is>
      </c>
      <c r="AY60" s="210" t="inlineStr">
        <is>
          <t>N/A</t>
        </is>
      </c>
      <c r="AZ60" s="210" t="inlineStr">
        <is>
          <t>N/A</t>
        </is>
      </c>
      <c r="BA60" s="210" t="inlineStr">
        <is>
          <t>N/A</t>
        </is>
      </c>
      <c r="BB60" s="210" t="inlineStr">
        <is>
          <t>N/A</t>
        </is>
      </c>
      <c r="BC60" s="210" t="inlineStr">
        <is>
          <t>N/A</t>
        </is>
      </c>
      <c r="BD60" s="210" t="inlineStr">
        <is>
          <t>N/A</t>
        </is>
      </c>
      <c r="BE60" s="210" t="inlineStr">
        <is>
          <t>N/A</t>
        </is>
      </c>
      <c r="BF60" s="210" t="inlineStr">
        <is>
          <t>N/A</t>
        </is>
      </c>
      <c r="BG60" s="210" t="inlineStr">
        <is>
          <t>N/A</t>
        </is>
      </c>
      <c r="BH60" s="210" t="inlineStr">
        <is>
          <t>N/A</t>
        </is>
      </c>
      <c r="BI60" s="210" t="inlineStr">
        <is>
          <t>N/A</t>
        </is>
      </c>
      <c r="BJ60" s="210" t="inlineStr">
        <is>
          <t>N/A</t>
        </is>
      </c>
      <c r="BK60" s="210" t="inlineStr">
        <is>
          <t>N/A</t>
        </is>
      </c>
      <c r="BL60" s="210" t="inlineStr">
        <is>
          <t>N/A</t>
        </is>
      </c>
      <c r="BM60" s="210" t="inlineStr">
        <is>
          <t>N/A</t>
        </is>
      </c>
      <c r="BN60" s="210" t="inlineStr">
        <is>
          <t>N/A</t>
        </is>
      </c>
      <c r="BO60" s="210" t="inlineStr">
        <is>
          <t>N/A</t>
        </is>
      </c>
      <c r="BP60" s="210" t="inlineStr">
        <is>
          <t>N/A</t>
        </is>
      </c>
      <c r="BQ60" s="210" t="inlineStr">
        <is>
          <t>N/A</t>
        </is>
      </c>
      <c r="BR60" s="210" t="inlineStr">
        <is>
          <t>N/A</t>
        </is>
      </c>
      <c r="BS60" s="210" t="inlineStr">
        <is>
          <t>N/A</t>
        </is>
      </c>
      <c r="BT60" s="210" t="inlineStr">
        <is>
          <t>N/A</t>
        </is>
      </c>
      <c r="BU60" s="210" t="inlineStr">
        <is>
          <t>N/A</t>
        </is>
      </c>
      <c r="BV60" s="210" t="inlineStr">
        <is>
          <t>N/A</t>
        </is>
      </c>
      <c r="BW60" s="210" t="inlineStr">
        <is>
          <t>N/A</t>
        </is>
      </c>
      <c r="BX60" s="210" t="inlineStr">
        <is>
          <t>N/A</t>
        </is>
      </c>
      <c r="BY60" s="210" t="inlineStr">
        <is>
          <t>N/A</t>
        </is>
      </c>
      <c r="BZ60" s="210" t="inlineStr">
        <is>
          <t>N/A</t>
        </is>
      </c>
      <c r="CA60" s="211" t="inlineStr">
        <is>
          <t>PER/PHE PM
LND</t>
        </is>
      </c>
      <c r="CB60" s="215" t="inlineStr">
        <is>
          <t>WRR</t>
        </is>
      </c>
      <c r="CC60" s="215" t="inlineStr">
        <is>
          <t>WRR</t>
        </is>
      </c>
      <c r="CD60" s="215" t="inlineStr">
        <is>
          <t>WRR</t>
        </is>
      </c>
      <c r="CE60" s="215" t="inlineStr">
        <is>
          <t>WRR</t>
        </is>
      </c>
      <c r="CF60" s="215" t="inlineStr">
        <is>
          <t>WRR</t>
        </is>
      </c>
      <c r="CG60" s="215" t="inlineStr">
        <is>
          <t>WRR</t>
        </is>
      </c>
      <c r="CH60" s="215" t="inlineStr">
        <is>
          <t>WRR</t>
        </is>
      </c>
      <c r="CI60" s="215" t="inlineStr">
        <is>
          <t>SPX</t>
        </is>
      </c>
      <c r="CJ60" s="215" t="inlineStr">
        <is>
          <t>SPX</t>
        </is>
      </c>
      <c r="CK60" s="215" t="inlineStr">
        <is>
          <t>SPX</t>
        </is>
      </c>
      <c r="CL60" s="215" t="inlineStr">
        <is>
          <t>SPX</t>
        </is>
      </c>
      <c r="CM60" s="215" t="inlineStr">
        <is>
          <t>SPX</t>
        </is>
      </c>
      <c r="CN60" s="215" t="inlineStr">
        <is>
          <t>SPX</t>
        </is>
      </c>
      <c r="CO60" s="211" t="inlineStr">
        <is>
          <t>PHE/PER PM</t>
        </is>
      </c>
      <c r="CP60" s="217" t="inlineStr">
        <is>
          <t>DEMOB</t>
        </is>
      </c>
      <c r="CQ60" s="210" t="inlineStr">
        <is>
          <t>N/A</t>
        </is>
      </c>
      <c r="CR60" s="210" t="inlineStr">
        <is>
          <t>N/A</t>
        </is>
      </c>
      <c r="CS60" s="210" t="inlineStr">
        <is>
          <t>N/A</t>
        </is>
      </c>
      <c r="CT60" s="210" t="inlineStr">
        <is>
          <t>N/A</t>
        </is>
      </c>
      <c r="CU60" s="210" t="inlineStr">
        <is>
          <t>N/A</t>
        </is>
      </c>
      <c r="CV60" s="210" t="inlineStr">
        <is>
          <t>N/A</t>
        </is>
      </c>
      <c r="CW60" s="210" t="inlineStr">
        <is>
          <t>N/A</t>
        </is>
      </c>
      <c r="CX60" s="210" t="inlineStr">
        <is>
          <t>N/A</t>
        </is>
      </c>
      <c r="CY60" s="210" t="inlineStr">
        <is>
          <t>N/A</t>
        </is>
      </c>
      <c r="CZ60" s="210" t="inlineStr">
        <is>
          <t>N/A</t>
        </is>
      </c>
      <c r="DA60" s="210" t="inlineStr">
        <is>
          <t>N/A</t>
        </is>
      </c>
      <c r="DB60" s="210" t="inlineStr">
        <is>
          <t>N/A</t>
        </is>
      </c>
      <c r="DC60" s="210" t="inlineStr">
        <is>
          <t>N/A</t>
        </is>
      </c>
      <c r="DD60" s="210" t="inlineStr">
        <is>
          <t>N/A</t>
        </is>
      </c>
      <c r="DE60" s="210" t="inlineStr">
        <is>
          <t>N/A</t>
        </is>
      </c>
      <c r="DF60" s="210" t="inlineStr">
        <is>
          <t>N/A</t>
        </is>
      </c>
      <c r="DG60" s="210" t="inlineStr">
        <is>
          <t>N/A</t>
        </is>
      </c>
      <c r="DH60" s="210" t="inlineStr">
        <is>
          <t>N/A</t>
        </is>
      </c>
      <c r="DI60" s="210" t="inlineStr">
        <is>
          <t>N/A</t>
        </is>
      </c>
      <c r="DJ60" s="210" t="inlineStr">
        <is>
          <t>N/A</t>
        </is>
      </c>
      <c r="DK60" s="210" t="inlineStr">
        <is>
          <t>N/A</t>
        </is>
      </c>
      <c r="DL60" s="210" t="inlineStr">
        <is>
          <t>N/A</t>
        </is>
      </c>
      <c r="DM60" s="210" t="inlineStr">
        <is>
          <t>N/A</t>
        </is>
      </c>
      <c r="DN60" s="210" t="inlineStr">
        <is>
          <t>N/A</t>
        </is>
      </c>
      <c r="DO60" s="210" t="inlineStr">
        <is>
          <t>N/A</t>
        </is>
      </c>
      <c r="DP60" s="210" t="inlineStr">
        <is>
          <t>N/A</t>
        </is>
      </c>
      <c r="DQ60" s="210" t="inlineStr">
        <is>
          <t>N/A</t>
        </is>
      </c>
      <c r="DR60" s="212" t="n"/>
      <c r="DS60" s="212" t="n"/>
      <c r="DT60" s="212" t="n"/>
      <c r="DU60" s="212" t="n"/>
      <c r="DV60" s="212" t="n"/>
      <c r="DW60" s="212" t="n"/>
      <c r="DX60" s="212" t="n"/>
      <c r="DY60" s="212" t="n"/>
      <c r="DZ60" s="212" t="n"/>
      <c r="EA60" s="212" t="n"/>
      <c r="EB60" s="212" t="n"/>
      <c r="EC60" s="212" t="n"/>
      <c r="ED60" s="212" t="n"/>
      <c r="EE60" s="212" t="n"/>
      <c r="EF60" s="212" t="n"/>
      <c r="EG60" s="212" t="n"/>
      <c r="EH60" s="212" t="n"/>
      <c r="EI60" s="212" t="n"/>
      <c r="EJ60" s="212" t="n"/>
      <c r="EK60" s="212" t="n"/>
      <c r="EL60" s="212" t="n"/>
      <c r="EM60" s="212" t="n"/>
      <c r="EN60" s="212" t="n"/>
      <c r="EO60" s="212" t="n"/>
      <c r="EP60" s="212" t="n"/>
      <c r="EQ60" s="212" t="n"/>
      <c r="ER60" s="212" t="n"/>
      <c r="ES60" s="212" t="n"/>
      <c r="ET60" s="212" t="n"/>
      <c r="EU60" s="212" t="n"/>
      <c r="EV60" s="212" t="n"/>
      <c r="EW60" s="212" t="n"/>
      <c r="EX60" s="212" t="n"/>
      <c r="EY60" s="212" t="n"/>
      <c r="EZ60" s="212" t="n"/>
      <c r="FA60" s="212" t="n"/>
      <c r="FB60" s="212" t="n"/>
      <c r="FC60" s="212" t="n"/>
      <c r="FD60" s="212" t="n"/>
      <c r="FE60" s="212" t="n"/>
      <c r="FF60" s="212" t="n"/>
      <c r="FG60" s="212" t="n"/>
      <c r="FH60" s="212" t="n"/>
      <c r="FI60" s="212" t="n"/>
      <c r="FJ60" s="212" t="n"/>
      <c r="FK60" s="212" t="n"/>
      <c r="FL60" s="212" t="n"/>
      <c r="FM60" s="212" t="n"/>
      <c r="FN60" s="212" t="n"/>
      <c r="FO60" s="212" t="n"/>
      <c r="FP60" s="212" t="n"/>
      <c r="FQ60" s="212" t="n"/>
      <c r="FR60" s="212" t="n"/>
      <c r="FS60" s="212" t="n"/>
      <c r="FT60" s="212" t="n"/>
      <c r="FU60" s="212" t="n"/>
      <c r="FV60" s="212" t="n"/>
      <c r="FW60" s="212" t="n"/>
      <c r="FX60" s="212" t="n"/>
      <c r="FY60" s="212" t="n"/>
      <c r="FZ60" s="212" t="n"/>
      <c r="GA60" s="212" t="n"/>
      <c r="GB60" s="212" t="n"/>
      <c r="GC60" s="212" t="n"/>
      <c r="GD60" s="212" t="n"/>
      <c r="GE60" s="212" t="n"/>
      <c r="GF60" s="212" t="n"/>
      <c r="GG60" s="212" t="n"/>
      <c r="GH60" s="212" t="n"/>
      <c r="GI60" s="212" t="n"/>
      <c r="GJ60" s="212" t="n"/>
      <c r="GK60" s="212" t="n"/>
      <c r="GL60" s="212" t="n"/>
      <c r="GM60" s="212" t="n"/>
      <c r="GN60" s="212" t="n"/>
      <c r="GO60" s="212" t="n"/>
      <c r="GP60" s="212" t="n"/>
      <c r="GQ60" s="212" t="n"/>
      <c r="GR60" s="212" t="n"/>
      <c r="GS60" s="212" t="n"/>
      <c r="GT60" s="212" t="n"/>
      <c r="GU60" s="212" t="n"/>
      <c r="GV60" s="212" t="n"/>
      <c r="GW60" s="212" t="n"/>
      <c r="GX60" s="212" t="n"/>
      <c r="GY60" s="212" t="n"/>
      <c r="GZ60" s="212" t="n"/>
      <c r="HA60" s="212" t="n"/>
      <c r="HB60" s="212" t="n"/>
      <c r="HC60" s="212" t="n"/>
      <c r="HD60" s="212" t="n"/>
      <c r="HE60" s="212" t="n"/>
      <c r="HF60" s="212" t="n"/>
      <c r="HG60" s="212" t="n"/>
      <c r="HH60" s="212" t="n"/>
      <c r="HI60" s="212" t="n"/>
      <c r="HJ60" s="212" t="n"/>
      <c r="HK60" s="212" t="n"/>
      <c r="HL60" s="212" t="n"/>
      <c r="HM60" s="212" t="n"/>
      <c r="HN60" s="212" t="n"/>
      <c r="HO60" s="212" t="n"/>
      <c r="HP60" s="212" t="n"/>
      <c r="HQ60" s="212" t="n"/>
      <c r="HR60" s="212" t="n"/>
      <c r="HS60" s="212" t="n"/>
      <c r="HT60" s="212" t="n"/>
      <c r="HU60" s="212" t="n"/>
      <c r="HV60" s="212" t="n"/>
      <c r="HW60" s="212" t="n"/>
      <c r="HX60" s="212" t="n"/>
      <c r="HY60" s="212" t="n"/>
      <c r="HZ60" s="212" t="n"/>
      <c r="IA60" s="212" t="n"/>
      <c r="IB60" s="212" t="n"/>
      <c r="IC60" s="212" t="n"/>
      <c r="ID60" s="212" t="n"/>
      <c r="IE60" s="212" t="n"/>
      <c r="IF60" s="212" t="n"/>
      <c r="IG60" s="212" t="n"/>
      <c r="IH60" s="212" t="n"/>
      <c r="II60" s="212" t="n"/>
      <c r="IJ60" s="212" t="n"/>
      <c r="IK60" s="212" t="n"/>
      <c r="IL60" s="212" t="n"/>
      <c r="IM60" s="212" t="n"/>
      <c r="IN60" s="212" t="n"/>
      <c r="IO60" s="212" t="n"/>
      <c r="IP60" s="212" t="n"/>
      <c r="IQ60" s="212" t="n"/>
      <c r="IR60" s="212" t="n"/>
      <c r="IS60" s="212" t="n"/>
      <c r="IT60" s="212" t="n"/>
      <c r="IU60" s="212" t="n"/>
      <c r="IV60" s="212" t="n"/>
      <c r="IW60" s="212" t="n"/>
      <c r="IX60" s="212" t="n"/>
      <c r="IY60" s="212" t="n"/>
      <c r="IZ60" s="212" t="n"/>
      <c r="JA60" s="212" t="n"/>
      <c r="JB60" s="212" t="n"/>
      <c r="JC60" s="212" t="n"/>
      <c r="JD60" s="212" t="n"/>
      <c r="JE60" s="212" t="n"/>
      <c r="JF60" s="212" t="n"/>
      <c r="JG60" s="212" t="n"/>
      <c r="JH60" s="212" t="n"/>
      <c r="JI60" s="212" t="n"/>
      <c r="JJ60" s="212" t="n"/>
      <c r="JK60" s="212" t="n"/>
      <c r="JL60" s="212" t="n"/>
      <c r="JM60" s="212" t="n"/>
      <c r="JN60" s="212" t="n"/>
      <c r="JO60" s="212" t="n"/>
      <c r="JP60" s="212" t="n"/>
      <c r="JQ60" s="212" t="n"/>
      <c r="JR60" s="212" t="n"/>
      <c r="JS60" s="212" t="n"/>
      <c r="JT60" s="212" t="n"/>
      <c r="JU60" s="212" t="n"/>
      <c r="JV60" s="212" t="n"/>
      <c r="JW60" s="212" t="n"/>
      <c r="JX60" s="212" t="n"/>
      <c r="JY60" s="212" t="n"/>
      <c r="JZ60" s="212" t="n"/>
      <c r="KA60" s="212" t="n"/>
      <c r="KB60" s="212" t="n"/>
      <c r="KC60" s="212" t="n"/>
      <c r="KD60" s="212" t="n"/>
      <c r="KE60" s="212" t="n"/>
      <c r="KF60" s="212" t="n"/>
      <c r="KG60" s="212" t="n"/>
      <c r="KH60" s="212" t="n"/>
      <c r="KI60" s="212" t="n"/>
      <c r="KJ60" s="212" t="n"/>
      <c r="KK60" s="212" t="n"/>
      <c r="KL60" s="212" t="n"/>
      <c r="KM60" s="212" t="n"/>
      <c r="KN60" s="212" t="n"/>
      <c r="KO60" s="212" t="n"/>
      <c r="KP60" s="212" t="n"/>
      <c r="KQ60" s="212" t="n"/>
      <c r="KR60" s="212" t="n"/>
      <c r="KS60" s="212" t="n"/>
      <c r="KT60" s="212" t="n"/>
      <c r="KU60" s="212" t="n"/>
      <c r="KV60" s="212" t="n"/>
      <c r="KW60" s="212" t="n"/>
      <c r="KX60" s="212" t="n"/>
      <c r="KY60" s="212" t="n"/>
      <c r="KZ60" s="212" t="n"/>
      <c r="LA60" s="212" t="n"/>
      <c r="LB60" s="212" t="n"/>
      <c r="LC60" s="212" t="n"/>
      <c r="LD60" s="212" t="n"/>
      <c r="LE60" s="212" t="n"/>
      <c r="LF60" s="212" t="n"/>
      <c r="LG60" s="212" t="n"/>
      <c r="LH60" s="212" t="n"/>
      <c r="LI60" s="212" t="n"/>
      <c r="LJ60" s="212" t="n"/>
      <c r="LK60" s="212" t="n"/>
      <c r="LL60" s="212" t="n"/>
      <c r="LM60" s="212" t="n"/>
      <c r="LN60" s="212" t="n"/>
      <c r="LO60" s="212" t="n"/>
      <c r="LP60" s="212" t="n"/>
      <c r="LQ60" s="212" t="n"/>
      <c r="LR60" s="212" t="n"/>
      <c r="LS60" s="212" t="n"/>
      <c r="LT60" s="212" t="n"/>
      <c r="LU60" s="212" t="n"/>
      <c r="LV60" s="212" t="n"/>
      <c r="LW60" s="212" t="n"/>
      <c r="LX60" s="212" t="n"/>
      <c r="LY60" s="212" t="n"/>
      <c r="LZ60" s="212" t="n"/>
      <c r="MA60" s="212" t="n"/>
      <c r="MB60" s="212" t="n"/>
      <c r="MC60" s="212" t="n"/>
      <c r="MD60" s="212" t="n"/>
      <c r="ME60" s="212" t="n"/>
      <c r="MF60" s="212" t="n"/>
      <c r="MG60" s="212" t="n"/>
      <c r="MH60" s="212" t="n"/>
      <c r="MI60" s="212" t="n"/>
      <c r="MJ60" s="212" t="n"/>
      <c r="MK60" s="212" t="n"/>
      <c r="ML60" s="212" t="n"/>
      <c r="MM60" s="212" t="n"/>
      <c r="MN60" s="212" t="n"/>
      <c r="MO60" s="212" t="n"/>
      <c r="MP60" s="212" t="n"/>
      <c r="MQ60" s="212" t="n"/>
      <c r="MR60" s="212" t="n"/>
      <c r="MS60" s="212" t="n"/>
      <c r="MT60" s="212" t="n"/>
      <c r="MU60" s="212" t="n"/>
      <c r="MV60" s="212" t="n"/>
      <c r="MW60" s="212" t="n"/>
      <c r="MX60" s="212" t="n"/>
      <c r="MY60" s="212" t="n"/>
      <c r="MZ60" s="212" t="n"/>
      <c r="NA60" s="212" t="n"/>
      <c r="NB60" s="212" t="n"/>
      <c r="NC60" s="212" t="n"/>
      <c r="ND60" s="212" t="n"/>
      <c r="NE60" s="212" t="n"/>
      <c r="NF60" s="212" t="n"/>
      <c r="NG60" s="212" t="n"/>
      <c r="NH60" s="212" t="n"/>
      <c r="NI60" s="212" t="n"/>
      <c r="NJ60" s="212" t="n"/>
      <c r="NK60" s="212" t="n"/>
      <c r="NL60" s="212" t="n"/>
      <c r="NM60" s="212" t="n"/>
      <c r="NN60" s="212" t="n"/>
      <c r="NO60" s="212" t="n"/>
      <c r="NP60" s="212" t="n"/>
      <c r="NQ60" s="212" t="n"/>
      <c r="NR60" s="212" t="n"/>
      <c r="NS60" s="212" t="n"/>
      <c r="NT60" s="212" t="n"/>
      <c r="NU60" s="212" t="n"/>
      <c r="NV60" s="212" t="n"/>
      <c r="NW60" s="212" t="n"/>
      <c r="NX60" s="212" t="n"/>
      <c r="NY60" s="212" t="n"/>
      <c r="NZ60" s="212" t="n"/>
      <c r="OA60" s="212" t="n"/>
      <c r="OB60" s="212" t="n"/>
      <c r="OC60" s="212" t="n"/>
      <c r="OD60" s="212" t="n"/>
      <c r="OE60" s="212" t="n"/>
      <c r="OF60" s="212" t="n"/>
      <c r="OG60" s="212" t="n"/>
      <c r="OH60" s="212" t="n"/>
      <c r="OI60" s="212" t="n"/>
      <c r="OJ60" s="212" t="n"/>
      <c r="OK60" s="212" t="n"/>
      <c r="OL60" s="212" t="n"/>
      <c r="OM60" s="212" t="n"/>
      <c r="ON60" s="212" t="n"/>
      <c r="OO60" s="212" t="n"/>
      <c r="OP60" s="212" t="n"/>
      <c r="OQ60" s="212" t="n"/>
      <c r="OR60" s="212" t="n"/>
      <c r="OS60" s="212" t="n"/>
      <c r="OT60" s="212" t="n"/>
      <c r="OU60" s="212" t="n"/>
      <c r="OV60" s="212" t="n"/>
      <c r="OW60" s="212" t="n"/>
      <c r="OX60" s="212" t="n"/>
      <c r="OY60" s="212" t="n"/>
      <c r="OZ60" s="212" t="n"/>
      <c r="PA60" s="212" t="n"/>
      <c r="PB60" s="212" t="n"/>
      <c r="PC60" s="212" t="n"/>
      <c r="PD60" s="212" t="n"/>
      <c r="PE60" s="212" t="n"/>
      <c r="PF60" s="212" t="n"/>
      <c r="PG60" s="212" t="n"/>
      <c r="PH60" s="212" t="n"/>
      <c r="PI60" s="212" t="n"/>
      <c r="PJ60" s="212" t="n"/>
      <c r="PK60" s="212" t="n"/>
      <c r="PL60" s="212" t="n"/>
      <c r="PM60" s="212" t="n"/>
      <c r="PN60" s="212" t="n"/>
      <c r="PO60" s="212" t="n"/>
      <c r="PP60" s="212" t="n"/>
      <c r="PQ60" s="212" t="n"/>
      <c r="PR60" s="212" t="n"/>
      <c r="PS60" s="212" t="n"/>
      <c r="PT60" s="212" t="n"/>
      <c r="PU60" s="212" t="n"/>
      <c r="PV60" s="212" t="n"/>
      <c r="PW60" s="212" t="n"/>
      <c r="PX60" s="212" t="n"/>
      <c r="PY60" s="212" t="n"/>
      <c r="PZ60" s="212" t="n"/>
      <c r="QA60" s="212" t="n"/>
      <c r="QB60" s="212" t="n"/>
      <c r="QC60" s="212" t="n"/>
      <c r="QD60" s="212" t="n"/>
      <c r="QE60" s="212" t="n"/>
      <c r="QF60" s="212" t="n"/>
      <c r="QG60" s="212" t="n"/>
      <c r="QH60" s="212" t="n"/>
      <c r="QI60" s="212" t="n"/>
      <c r="QJ60" s="212" t="n"/>
      <c r="QK60" s="212" t="n"/>
      <c r="QL60" s="212" t="n"/>
      <c r="QM60" s="212" t="n"/>
      <c r="QN60" s="212" t="n"/>
      <c r="QO60" s="212" t="n"/>
      <c r="QP60" s="212" t="n"/>
      <c r="QQ60" s="212" t="n"/>
      <c r="QR60" s="212" t="n"/>
      <c r="QS60" s="212" t="n"/>
      <c r="QT60" s="212" t="n"/>
      <c r="QU60" s="212" t="n"/>
      <c r="QV60" s="212" t="n"/>
      <c r="QW60" s="212" t="n"/>
      <c r="QX60" s="212" t="n"/>
      <c r="QY60" s="212" t="n"/>
      <c r="QZ60" s="212" t="n"/>
      <c r="RA60" s="212" t="n"/>
      <c r="RB60" s="212" t="n"/>
      <c r="RC60" s="212" t="n"/>
      <c r="RD60" s="212" t="n"/>
      <c r="RE60" s="212" t="n"/>
      <c r="RF60" s="212" t="n"/>
      <c r="RG60" s="212" t="n"/>
      <c r="RH60" s="212" t="n"/>
      <c r="RI60" s="212" t="n"/>
      <c r="RJ60" s="212" t="n"/>
      <c r="RK60" s="212" t="n"/>
      <c r="RL60" s="212" t="n"/>
      <c r="RM60" s="212" t="n"/>
      <c r="RN60" s="212" t="n"/>
      <c r="RO60" s="212" t="n"/>
      <c r="RP60" s="212" t="n"/>
      <c r="RQ60" s="212" t="n"/>
      <c r="RR60" s="212" t="n"/>
      <c r="RS60" s="212" t="n"/>
      <c r="RT60" s="212" t="n"/>
      <c r="RU60" s="212" t="n"/>
      <c r="RV60" s="212" t="n"/>
      <c r="RW60" s="212" t="n"/>
      <c r="RX60" s="212" t="n"/>
      <c r="RY60" s="212" t="n"/>
      <c r="RZ60" s="212" t="n"/>
      <c r="SA60" s="212" t="n"/>
      <c r="SB60" s="212" t="n"/>
      <c r="SC60" s="212" t="n"/>
      <c r="SD60" s="212" t="n"/>
      <c r="SE60" s="212" t="n"/>
      <c r="SF60" s="212" t="n"/>
      <c r="SG60" s="212" t="n"/>
      <c r="SH60" s="212" t="n"/>
      <c r="SI60" s="212" t="n"/>
      <c r="SJ60" s="212" t="n"/>
      <c r="SK60" s="212" t="n"/>
      <c r="SL60" s="212" t="n"/>
      <c r="SM60" s="212" t="n"/>
      <c r="SN60" s="212" t="n"/>
      <c r="SO60" s="212" t="n"/>
      <c r="SP60" s="212" t="n"/>
      <c r="SQ60" s="212" t="n"/>
      <c r="SR60" s="212" t="n"/>
      <c r="SS60" s="212" t="n"/>
      <c r="ST60" s="212" t="n"/>
      <c r="SU60" s="212" t="n"/>
      <c r="SV60" s="212" t="n"/>
    </row>
    <row r="61">
      <c r="B61" s="207" t="n"/>
      <c r="C61" s="207" t="inlineStr">
        <is>
          <t>Traffic Controllers &amp; Lifting</t>
        </is>
      </c>
      <c r="D61" s="207" t="n"/>
      <c r="E61" s="207" t="n"/>
      <c r="F61" s="207">
        <f>IF(TRIM(D61&amp;E61)="","",TRIM(D61)&amp;" "&amp;TRIM(E61))</f>
        <v/>
      </c>
      <c r="G61" s="207" t="n"/>
      <c r="H61" s="207" t="n"/>
      <c r="I61" s="207" t="n"/>
      <c r="J61" s="207" t="n"/>
      <c r="K61" s="207" t="n"/>
      <c r="L61" s="207" t="n"/>
      <c r="M61" s="207" t="n"/>
      <c r="N61" s="207" t="n"/>
      <c r="O61" s="207" t="n"/>
      <c r="P61" s="207" t="n"/>
      <c r="Q61" s="207" t="n"/>
      <c r="R61" s="207" t="n"/>
      <c r="S61" s="208" t="n"/>
      <c r="T61" s="208" t="n"/>
      <c r="U61" s="208" t="n"/>
      <c r="V61" s="208" t="n"/>
      <c r="W61" s="208" t="n"/>
      <c r="X61" s="208" t="n"/>
      <c r="Y61" s="208" t="n"/>
      <c r="Z61" s="208" t="n"/>
      <c r="AA61" s="208" t="n"/>
      <c r="AB61" s="208" t="n"/>
      <c r="AC61" s="208" t="n"/>
      <c r="AD61" s="208" t="n"/>
      <c r="AE61" s="208" t="n"/>
      <c r="AF61" s="208" t="n"/>
      <c r="AG61" s="208" t="n"/>
      <c r="AH61" s="208" t="n"/>
      <c r="AI61" s="208" t="n"/>
      <c r="AJ61" s="208" t="n"/>
      <c r="AK61" s="208" t="n"/>
      <c r="AL61" s="208" t="n"/>
      <c r="AM61" s="208" t="n"/>
      <c r="AN61" s="208" t="n"/>
      <c r="AO61" s="208" t="n"/>
      <c r="AP61" s="208" t="n"/>
      <c r="AQ61" s="208" t="n"/>
      <c r="AR61" s="208" t="n"/>
      <c r="AS61" s="208" t="n"/>
      <c r="AT61" s="208" t="n"/>
      <c r="AU61" s="208" t="n"/>
      <c r="AV61" s="208" t="n"/>
      <c r="AW61" s="208" t="n"/>
      <c r="AX61" s="208" t="n"/>
      <c r="AY61" s="208" t="n"/>
      <c r="AZ61" s="208" t="n"/>
      <c r="BA61" s="208" t="n"/>
      <c r="BB61" s="208" t="n"/>
      <c r="BC61" s="208" t="n"/>
      <c r="BD61" s="208" t="n"/>
      <c r="BE61" s="208" t="n"/>
      <c r="BF61" s="208" t="n"/>
      <c r="BG61" s="208" t="n"/>
      <c r="BH61" s="208" t="n"/>
      <c r="BI61" s="208" t="n"/>
      <c r="BJ61" s="208" t="n"/>
      <c r="BK61" s="208" t="n"/>
      <c r="BL61" s="208" t="n"/>
      <c r="BM61" s="208" t="n"/>
      <c r="BN61" s="208" t="n"/>
      <c r="BO61" s="208" t="n"/>
      <c r="BP61" s="208" t="n"/>
      <c r="BQ61" s="208" t="n"/>
      <c r="BR61" s="208" t="n"/>
      <c r="BS61" s="208" t="n"/>
      <c r="BT61" s="208" t="n"/>
      <c r="BU61" s="208" t="n"/>
      <c r="BV61" s="208" t="n"/>
      <c r="BW61" s="208" t="n"/>
      <c r="BX61" s="208" t="n"/>
      <c r="BY61" s="208" t="n"/>
      <c r="BZ61" s="208" t="n"/>
      <c r="CA61" s="208" t="n"/>
      <c r="CB61" s="208" t="n"/>
      <c r="CC61" s="208" t="n"/>
      <c r="CD61" s="208" t="n"/>
      <c r="CE61" s="208" t="n"/>
      <c r="CF61" s="208" t="n"/>
      <c r="CG61" s="208" t="n"/>
      <c r="CH61" s="208" t="n"/>
      <c r="CI61" s="208" t="n"/>
      <c r="CJ61" s="208" t="n"/>
      <c r="CK61" s="208" t="n"/>
      <c r="CL61" s="208" t="n"/>
      <c r="CM61" s="208" t="n"/>
      <c r="CN61" s="208" t="n"/>
      <c r="CO61" s="208" t="n"/>
      <c r="CP61" s="208" t="n"/>
      <c r="CQ61" s="208" t="n"/>
      <c r="CR61" s="208" t="n"/>
      <c r="CS61" s="208" t="n"/>
      <c r="CT61" s="208" t="n"/>
      <c r="CU61" s="208" t="n"/>
      <c r="CV61" s="208" t="n"/>
      <c r="CW61" s="208" t="n"/>
      <c r="CX61" s="208" t="n"/>
      <c r="CY61" s="208" t="n"/>
      <c r="CZ61" s="208" t="n"/>
      <c r="DA61" s="208" t="n"/>
      <c r="DB61" s="208" t="n"/>
      <c r="DC61" s="208" t="n"/>
      <c r="DD61" s="208" t="n"/>
      <c r="DE61" s="208" t="n"/>
      <c r="DF61" s="208" t="n"/>
      <c r="DG61" s="208" t="n"/>
      <c r="DH61" s="208" t="n"/>
      <c r="DI61" s="208" t="n"/>
      <c r="DJ61" s="208" t="n"/>
      <c r="DK61" s="208" t="n"/>
      <c r="DL61" s="208" t="n"/>
      <c r="DM61" s="208" t="n"/>
      <c r="DN61" s="208" t="n"/>
      <c r="DO61" s="208" t="n"/>
      <c r="DP61" s="208" t="n"/>
      <c r="DQ61" s="208" t="n"/>
      <c r="DR61" s="208" t="n"/>
      <c r="DS61" s="208" t="n"/>
      <c r="DT61" s="208" t="n"/>
      <c r="DU61" s="208" t="n"/>
      <c r="DV61" s="208" t="n"/>
      <c r="DW61" s="208" t="n"/>
      <c r="DX61" s="208" t="n"/>
      <c r="DY61" s="208" t="n"/>
      <c r="DZ61" s="208" t="n"/>
      <c r="EA61" s="208" t="n"/>
      <c r="EB61" s="208" t="n"/>
      <c r="EC61" s="208" t="n"/>
      <c r="ED61" s="208" t="n"/>
      <c r="EE61" s="208" t="n"/>
      <c r="EF61" s="208" t="n"/>
      <c r="EG61" s="208" t="n"/>
      <c r="EH61" s="208" t="n"/>
      <c r="EI61" s="208" t="n"/>
      <c r="EJ61" s="208" t="n"/>
      <c r="EK61" s="208" t="n"/>
      <c r="EL61" s="208" t="n"/>
      <c r="EM61" s="208" t="n"/>
      <c r="EN61" s="208" t="n"/>
      <c r="EO61" s="208" t="n"/>
      <c r="EP61" s="208" t="n"/>
      <c r="EQ61" s="208" t="n"/>
      <c r="ER61" s="208" t="n"/>
      <c r="ES61" s="208" t="n"/>
      <c r="ET61" s="208" t="n"/>
      <c r="EU61" s="208" t="n"/>
      <c r="EV61" s="208" t="n"/>
      <c r="EW61" s="208" t="n"/>
      <c r="EX61" s="208" t="n"/>
      <c r="EY61" s="208" t="n"/>
      <c r="EZ61" s="208" t="n"/>
      <c r="FA61" s="208" t="n"/>
      <c r="FB61" s="208" t="n"/>
      <c r="FC61" s="208" t="n"/>
      <c r="FD61" s="208" t="n"/>
      <c r="FE61" s="208" t="n"/>
      <c r="FF61" s="208" t="n"/>
      <c r="FG61" s="208" t="n"/>
      <c r="FH61" s="208" t="n"/>
      <c r="FI61" s="208" t="n"/>
      <c r="FJ61" s="208" t="n"/>
      <c r="FK61" s="208" t="n"/>
      <c r="FL61" s="208" t="n"/>
      <c r="FM61" s="208" t="n"/>
      <c r="FN61" s="208" t="n"/>
      <c r="FO61" s="208" t="n"/>
      <c r="FP61" s="208" t="n"/>
      <c r="FQ61" s="208" t="n"/>
      <c r="FR61" s="208" t="n"/>
      <c r="FS61" s="208" t="n"/>
      <c r="FT61" s="208" t="n"/>
      <c r="FU61" s="208" t="n"/>
      <c r="FV61" s="208" t="n"/>
      <c r="FW61" s="208" t="n"/>
      <c r="FX61" s="208" t="n"/>
      <c r="FY61" s="208" t="n"/>
      <c r="FZ61" s="208" t="n"/>
      <c r="GA61" s="208" t="n"/>
      <c r="GB61" s="208" t="n"/>
      <c r="GC61" s="208" t="n"/>
      <c r="GD61" s="208" t="n"/>
      <c r="GE61" s="208" t="n"/>
      <c r="GF61" s="208" t="n"/>
      <c r="GG61" s="208" t="n"/>
      <c r="GH61" s="208" t="n"/>
      <c r="GI61" s="208" t="n"/>
      <c r="GJ61" s="208" t="n"/>
      <c r="GK61" s="208" t="n"/>
      <c r="GL61" s="208" t="n"/>
      <c r="GM61" s="208" t="n"/>
      <c r="GN61" s="208" t="n"/>
      <c r="GO61" s="208" t="n"/>
      <c r="GP61" s="208" t="n"/>
      <c r="GQ61" s="208" t="n"/>
      <c r="GR61" s="208" t="n"/>
      <c r="GS61" s="208" t="n"/>
      <c r="GT61" s="208" t="n"/>
      <c r="GU61" s="208" t="n"/>
      <c r="GV61" s="208" t="n"/>
      <c r="GW61" s="208" t="n"/>
      <c r="GX61" s="208" t="n"/>
      <c r="GY61" s="208" t="n"/>
      <c r="GZ61" s="208" t="n"/>
      <c r="HA61" s="208" t="n"/>
      <c r="HB61" s="208" t="n"/>
      <c r="HC61" s="208" t="n"/>
      <c r="HD61" s="208" t="n"/>
      <c r="HE61" s="208" t="n"/>
      <c r="HF61" s="208" t="n"/>
      <c r="HG61" s="208" t="n"/>
      <c r="HH61" s="208" t="n"/>
      <c r="HI61" s="208" t="n"/>
      <c r="HJ61" s="208" t="n"/>
      <c r="HK61" s="208" t="n"/>
      <c r="HL61" s="208" t="n"/>
      <c r="HM61" s="208" t="n"/>
      <c r="HN61" s="208" t="n"/>
      <c r="HO61" s="208" t="n"/>
      <c r="HP61" s="208" t="n"/>
      <c r="HQ61" s="208" t="n"/>
      <c r="HR61" s="208" t="n"/>
      <c r="HS61" s="208" t="n"/>
      <c r="HT61" s="208" t="n"/>
      <c r="HU61" s="208" t="n"/>
      <c r="HV61" s="208" t="n"/>
      <c r="HW61" s="208" t="n"/>
      <c r="HX61" s="208" t="n"/>
      <c r="HY61" s="208" t="n"/>
      <c r="HZ61" s="208" t="n"/>
      <c r="IA61" s="208" t="n"/>
      <c r="IB61" s="208" t="n"/>
      <c r="IC61" s="208" t="n"/>
      <c r="ID61" s="208" t="n"/>
      <c r="IE61" s="208" t="n"/>
      <c r="IF61" s="208" t="n"/>
      <c r="IG61" s="208" t="n"/>
      <c r="IH61" s="208" t="n"/>
      <c r="II61" s="208" t="n"/>
      <c r="IJ61" s="208" t="n"/>
      <c r="IK61" s="208" t="n"/>
      <c r="IL61" s="208" t="n"/>
      <c r="IM61" s="208" t="n"/>
      <c r="IN61" s="208" t="n"/>
      <c r="IO61" s="208" t="n"/>
      <c r="IP61" s="208" t="n"/>
      <c r="IQ61" s="208" t="n"/>
      <c r="IR61" s="208" t="n"/>
      <c r="IS61" s="208" t="n"/>
      <c r="IT61" s="208" t="n"/>
      <c r="IU61" s="208" t="n"/>
      <c r="IV61" s="208" t="n"/>
      <c r="IW61" s="208" t="n"/>
      <c r="IX61" s="208" t="n"/>
      <c r="IY61" s="208" t="n"/>
      <c r="IZ61" s="208" t="n"/>
      <c r="JA61" s="208" t="n"/>
      <c r="JB61" s="208" t="n"/>
      <c r="JC61" s="208" t="n"/>
      <c r="JD61" s="208" t="n"/>
      <c r="JE61" s="208" t="n"/>
      <c r="JF61" s="208" t="n"/>
      <c r="JG61" s="208" t="n"/>
      <c r="JH61" s="208" t="n"/>
      <c r="JI61" s="208" t="n"/>
      <c r="JJ61" s="208" t="n"/>
      <c r="JK61" s="208" t="n"/>
      <c r="JL61" s="208" t="n"/>
      <c r="JM61" s="208" t="n"/>
      <c r="JN61" s="208" t="n"/>
      <c r="JO61" s="208" t="n"/>
      <c r="JP61" s="208" t="n"/>
      <c r="JQ61" s="208" t="n"/>
      <c r="JR61" s="208" t="n"/>
      <c r="JS61" s="208" t="n"/>
      <c r="JT61" s="208" t="n"/>
      <c r="JU61" s="208" t="n"/>
      <c r="JV61" s="208" t="n"/>
      <c r="JW61" s="208" t="n"/>
      <c r="JX61" s="208" t="n"/>
      <c r="JY61" s="208" t="n"/>
      <c r="JZ61" s="208" t="n"/>
      <c r="KA61" s="208" t="n"/>
      <c r="KB61" s="208" t="n"/>
      <c r="KC61" s="208" t="n"/>
      <c r="KD61" s="208" t="n"/>
      <c r="KE61" s="208" t="n"/>
      <c r="KF61" s="208" t="n"/>
      <c r="KG61" s="208" t="n"/>
      <c r="KH61" s="208" t="n"/>
      <c r="KI61" s="208" t="n"/>
      <c r="KJ61" s="208" t="n"/>
      <c r="KK61" s="208" t="n"/>
      <c r="KL61" s="208" t="n"/>
      <c r="KM61" s="208" t="n"/>
      <c r="KN61" s="208" t="n"/>
      <c r="KO61" s="208" t="n"/>
      <c r="KP61" s="208" t="n"/>
      <c r="KQ61" s="208" t="n"/>
      <c r="KR61" s="208" t="n"/>
      <c r="KS61" s="208" t="n"/>
      <c r="KT61" s="208" t="n"/>
      <c r="KU61" s="208" t="n"/>
      <c r="KV61" s="208" t="n"/>
      <c r="KW61" s="208" t="n"/>
      <c r="KX61" s="208" t="n"/>
      <c r="KY61" s="208" t="n"/>
      <c r="KZ61" s="208" t="n"/>
      <c r="LA61" s="208" t="n"/>
      <c r="LB61" s="208" t="n"/>
      <c r="LC61" s="208" t="n"/>
      <c r="LD61" s="208" t="n"/>
      <c r="LE61" s="208" t="n"/>
      <c r="LF61" s="208" t="n"/>
      <c r="LG61" s="208" t="n"/>
      <c r="LH61" s="208" t="n"/>
      <c r="LI61" s="208" t="n"/>
      <c r="LJ61" s="208" t="n"/>
      <c r="LK61" s="208" t="n"/>
      <c r="LL61" s="208" t="n"/>
      <c r="LM61" s="208" t="n"/>
      <c r="LN61" s="208" t="n"/>
      <c r="LO61" s="208" t="n"/>
      <c r="LP61" s="208" t="n"/>
      <c r="LQ61" s="208" t="n"/>
      <c r="LR61" s="208" t="n"/>
      <c r="LS61" s="208" t="n"/>
      <c r="LT61" s="208" t="n"/>
      <c r="LU61" s="208" t="n"/>
      <c r="LV61" s="208" t="n"/>
      <c r="LW61" s="208" t="n"/>
      <c r="LX61" s="208" t="n"/>
      <c r="LY61" s="208" t="n"/>
      <c r="LZ61" s="208" t="n"/>
      <c r="MA61" s="208" t="n"/>
      <c r="MB61" s="208" t="n"/>
      <c r="MC61" s="208" t="n"/>
      <c r="MD61" s="208" t="n"/>
      <c r="ME61" s="208" t="n"/>
      <c r="MF61" s="208" t="n"/>
      <c r="MG61" s="208" t="n"/>
      <c r="MH61" s="208" t="n"/>
      <c r="MI61" s="208" t="n"/>
      <c r="MJ61" s="208" t="n"/>
      <c r="MK61" s="208" t="n"/>
      <c r="ML61" s="208" t="n"/>
      <c r="MM61" s="208" t="n"/>
      <c r="MN61" s="208" t="n"/>
      <c r="MO61" s="208" t="n"/>
      <c r="MP61" s="208" t="n"/>
      <c r="MQ61" s="208" t="n"/>
      <c r="MR61" s="208" t="n"/>
      <c r="MS61" s="208" t="n"/>
      <c r="MT61" s="208" t="n"/>
      <c r="MU61" s="208" t="n"/>
      <c r="MV61" s="208" t="n"/>
      <c r="MW61" s="208" t="n"/>
      <c r="MX61" s="208" t="n"/>
      <c r="MY61" s="208" t="n"/>
      <c r="MZ61" s="208" t="n"/>
      <c r="NA61" s="208" t="n"/>
      <c r="NB61" s="208" t="n"/>
      <c r="NC61" s="208" t="n"/>
      <c r="ND61" s="208" t="n"/>
      <c r="NE61" s="208" t="n"/>
      <c r="NF61" s="208" t="n"/>
      <c r="NG61" s="208" t="n"/>
      <c r="NH61" s="208" t="n"/>
      <c r="NI61" s="208" t="n"/>
      <c r="NJ61" s="208" t="n"/>
      <c r="NK61" s="208" t="n"/>
      <c r="NL61" s="208" t="n"/>
      <c r="NM61" s="208" t="n"/>
      <c r="NN61" s="208" t="n"/>
      <c r="NO61" s="208" t="n"/>
      <c r="NP61" s="208" t="n"/>
      <c r="NQ61" s="208" t="n"/>
      <c r="NR61" s="208" t="n"/>
      <c r="NS61" s="208" t="n"/>
      <c r="NT61" s="208" t="n"/>
      <c r="NU61" s="208" t="n"/>
      <c r="NV61" s="208" t="n"/>
      <c r="NW61" s="208" t="n"/>
      <c r="NX61" s="208" t="n"/>
      <c r="NY61" s="208" t="n"/>
      <c r="NZ61" s="208" t="n"/>
      <c r="OA61" s="208" t="n"/>
      <c r="OB61" s="208" t="n"/>
      <c r="OC61" s="208" t="n"/>
      <c r="OD61" s="208" t="n"/>
      <c r="OE61" s="208" t="n"/>
      <c r="OF61" s="208" t="n"/>
      <c r="OG61" s="208" t="n"/>
      <c r="OH61" s="208" t="n"/>
      <c r="OI61" s="208" t="n"/>
      <c r="OJ61" s="208" t="n"/>
      <c r="OK61" s="208" t="n"/>
      <c r="OL61" s="208" t="n"/>
      <c r="OM61" s="208" t="n"/>
      <c r="ON61" s="208" t="n"/>
      <c r="OO61" s="208" t="n"/>
      <c r="OP61" s="208" t="n"/>
      <c r="OQ61" s="208" t="n"/>
      <c r="OR61" s="208" t="n"/>
      <c r="OS61" s="208" t="n"/>
      <c r="OT61" s="208" t="n"/>
      <c r="OU61" s="208" t="n"/>
      <c r="OV61" s="208" t="n"/>
      <c r="OW61" s="208" t="n"/>
      <c r="OX61" s="208" t="n"/>
      <c r="OY61" s="208" t="n"/>
      <c r="OZ61" s="208" t="n"/>
      <c r="PA61" s="208" t="n"/>
      <c r="PB61" s="208" t="n"/>
      <c r="PC61" s="208" t="n"/>
      <c r="PD61" s="208" t="n"/>
      <c r="PE61" s="208" t="n"/>
      <c r="PF61" s="208" t="n"/>
      <c r="PG61" s="208" t="n"/>
      <c r="PH61" s="208" t="n"/>
      <c r="PI61" s="208" t="n"/>
      <c r="PJ61" s="208" t="n"/>
      <c r="PK61" s="208" t="n"/>
      <c r="PL61" s="208" t="n"/>
      <c r="PM61" s="208" t="n"/>
      <c r="PN61" s="208" t="n"/>
      <c r="PO61" s="208" t="n"/>
      <c r="PP61" s="208" t="n"/>
      <c r="PQ61" s="208" t="n"/>
      <c r="PR61" s="208" t="n"/>
      <c r="PS61" s="208" t="n"/>
      <c r="PT61" s="208" t="n"/>
      <c r="PU61" s="208" t="n"/>
      <c r="PV61" s="208" t="n"/>
      <c r="PW61" s="208" t="n"/>
      <c r="PX61" s="208" t="n"/>
      <c r="PY61" s="208" t="n"/>
      <c r="PZ61" s="208" t="n"/>
      <c r="QA61" s="208" t="n"/>
      <c r="QB61" s="208" t="n"/>
      <c r="QC61" s="208" t="n"/>
      <c r="QD61" s="208" t="n"/>
      <c r="QE61" s="208" t="n"/>
      <c r="QF61" s="208" t="n"/>
      <c r="QG61" s="208" t="n"/>
      <c r="QH61" s="208" t="n"/>
      <c r="QI61" s="208" t="n"/>
      <c r="QJ61" s="208" t="n"/>
      <c r="QK61" s="208" t="n"/>
      <c r="QL61" s="208" t="n"/>
      <c r="QM61" s="208" t="n"/>
      <c r="QN61" s="208" t="n"/>
      <c r="QO61" s="208" t="n"/>
      <c r="QP61" s="208" t="n"/>
      <c r="QQ61" s="208" t="n"/>
      <c r="QR61" s="208" t="n"/>
      <c r="QS61" s="208" t="n"/>
      <c r="QT61" s="208" t="n"/>
      <c r="QU61" s="208" t="n"/>
      <c r="QV61" s="208" t="n"/>
      <c r="QW61" s="208" t="n"/>
      <c r="QX61" s="208" t="n"/>
      <c r="QY61" s="208" t="n"/>
      <c r="QZ61" s="208" t="n"/>
      <c r="RA61" s="208" t="n"/>
      <c r="RB61" s="208" t="n"/>
      <c r="RC61" s="208" t="n"/>
      <c r="RD61" s="208" t="n"/>
      <c r="RE61" s="208" t="n"/>
      <c r="RF61" s="208" t="n"/>
      <c r="RG61" s="208" t="n"/>
      <c r="RH61" s="208" t="n"/>
      <c r="RI61" s="208" t="n"/>
      <c r="RJ61" s="208" t="n"/>
      <c r="RK61" s="208" t="n"/>
      <c r="RL61" s="208" t="n"/>
      <c r="RM61" s="208" t="n"/>
      <c r="RN61" s="208" t="n"/>
      <c r="RO61" s="208" t="n"/>
      <c r="RP61" s="208" t="n"/>
      <c r="RQ61" s="208" t="n"/>
      <c r="RR61" s="208" t="n"/>
      <c r="RS61" s="208" t="n"/>
      <c r="RT61" s="208" t="n"/>
      <c r="RU61" s="208" t="n"/>
      <c r="RV61" s="208" t="n"/>
      <c r="RW61" s="208" t="n"/>
      <c r="RX61" s="208" t="n"/>
      <c r="RY61" s="208" t="n"/>
      <c r="RZ61" s="208" t="n"/>
      <c r="SA61" s="208" t="n"/>
      <c r="SB61" s="208" t="n"/>
      <c r="SC61" s="208" t="n"/>
      <c r="SD61" s="208" t="n"/>
      <c r="SE61" s="208" t="n"/>
      <c r="SF61" s="208" t="n"/>
      <c r="SG61" s="208" t="n"/>
      <c r="SH61" s="208" t="n"/>
      <c r="SI61" s="208" t="n"/>
      <c r="SJ61" s="208" t="n"/>
      <c r="SK61" s="208" t="n"/>
      <c r="SL61" s="208" t="n"/>
      <c r="SM61" s="208" t="n"/>
      <c r="SN61" s="208" t="n"/>
      <c r="SO61" s="208" t="n"/>
      <c r="SP61" s="208" t="n"/>
      <c r="SQ61" s="208" t="n"/>
      <c r="SR61" s="208" t="n"/>
      <c r="SS61" s="208" t="n"/>
      <c r="ST61" s="208" t="n"/>
      <c r="SU61" s="208" t="n"/>
      <c r="SV61" s="208" t="n"/>
    </row>
    <row r="62">
      <c r="B62" s="209" t="n">
        <v>1</v>
      </c>
      <c r="C62" s="209" t="inlineStr">
        <is>
          <t>PTM</t>
        </is>
      </c>
      <c r="D62" s="209" t="inlineStr">
        <is>
          <t>Roisin</t>
        </is>
      </c>
      <c r="E62" s="209" t="inlineStr">
        <is>
          <t>Coleman</t>
        </is>
      </c>
      <c r="F62" s="209">
        <f>IF(TRIM(D62&amp;E62)="","",TRIM(D62)&amp;" "&amp;TRIM(E62))</f>
        <v/>
      </c>
      <c r="G62" s="209" t="inlineStr">
        <is>
          <t>Perth</t>
        </is>
      </c>
      <c r="H62" s="209" t="inlineStr">
        <is>
          <t>Traffic Controller</t>
        </is>
      </c>
      <c r="I62" s="209" t="inlineStr">
        <is>
          <t>YES</t>
        </is>
      </c>
      <c r="J62" s="209" t="inlineStr">
        <is>
          <t>YES</t>
        </is>
      </c>
      <c r="K62" s="209" t="inlineStr">
        <is>
          <t>YES</t>
        </is>
      </c>
      <c r="L62" s="209" t="inlineStr">
        <is>
          <t>YES</t>
        </is>
      </c>
      <c r="M62" s="209" t="inlineStr">
        <is>
          <t>Quals Complete</t>
        </is>
      </c>
      <c r="N62" s="209" t="inlineStr">
        <is>
          <t>roisincoleman99@gmail.com</t>
        </is>
      </c>
      <c r="O62" s="209" t="inlineStr">
        <is>
          <t>0429 979 871</t>
        </is>
      </c>
      <c r="P62" s="209" t="n">
        <v>837431</v>
      </c>
      <c r="Q62" s="209" t="n">
        <v>448774</v>
      </c>
      <c r="R62" s="209" t="inlineStr">
        <is>
          <t>Ad hoc</t>
        </is>
      </c>
      <c r="S62" s="210" t="inlineStr">
        <is>
          <t>N/A</t>
        </is>
      </c>
      <c r="T62" s="210" t="inlineStr">
        <is>
          <t>N/A</t>
        </is>
      </c>
      <c r="U62" s="210" t="inlineStr">
        <is>
          <t>N/A</t>
        </is>
      </c>
      <c r="V62" s="210" t="inlineStr">
        <is>
          <t>N/A</t>
        </is>
      </c>
      <c r="W62" s="210" t="inlineStr">
        <is>
          <t>N/A</t>
        </is>
      </c>
      <c r="X62" s="210" t="inlineStr">
        <is>
          <t>N/A</t>
        </is>
      </c>
      <c r="Y62" s="210" t="inlineStr">
        <is>
          <t>N/A</t>
        </is>
      </c>
      <c r="Z62" s="210" t="inlineStr">
        <is>
          <t>N/A</t>
        </is>
      </c>
      <c r="AA62" s="210" t="inlineStr">
        <is>
          <t>N/A</t>
        </is>
      </c>
      <c r="AB62" s="210" t="inlineStr">
        <is>
          <t>N/A</t>
        </is>
      </c>
      <c r="AC62" s="210" t="inlineStr">
        <is>
          <t>N/A</t>
        </is>
      </c>
      <c r="AD62" s="210" t="inlineStr">
        <is>
          <t>N/A</t>
        </is>
      </c>
      <c r="AE62" s="210" t="inlineStr">
        <is>
          <t>N/A</t>
        </is>
      </c>
      <c r="AF62" s="210" t="inlineStr">
        <is>
          <t>N/A</t>
        </is>
      </c>
      <c r="AG62" s="210" t="inlineStr">
        <is>
          <t>N/A</t>
        </is>
      </c>
      <c r="AH62" s="210" t="inlineStr">
        <is>
          <t>N/A</t>
        </is>
      </c>
      <c r="AI62" s="210" t="inlineStr">
        <is>
          <t>N/A</t>
        </is>
      </c>
      <c r="AJ62" s="210" t="inlineStr">
        <is>
          <t>N/A</t>
        </is>
      </c>
      <c r="AK62" s="210" t="inlineStr">
        <is>
          <t>N/A</t>
        </is>
      </c>
      <c r="AL62" s="210" t="inlineStr">
        <is>
          <t>N/A</t>
        </is>
      </c>
      <c r="AM62" s="210" t="inlineStr">
        <is>
          <t>N/A</t>
        </is>
      </c>
      <c r="AN62" s="210" t="inlineStr">
        <is>
          <t>N/A</t>
        </is>
      </c>
      <c r="AO62" s="210" t="inlineStr">
        <is>
          <t>N/A</t>
        </is>
      </c>
      <c r="AP62" s="210" t="inlineStr">
        <is>
          <t>N/A</t>
        </is>
      </c>
      <c r="AQ62" s="210" t="inlineStr">
        <is>
          <t>N/A</t>
        </is>
      </c>
      <c r="AR62" s="210" t="inlineStr">
        <is>
          <t>N/A</t>
        </is>
      </c>
      <c r="AS62" s="210" t="inlineStr">
        <is>
          <t>N/A</t>
        </is>
      </c>
      <c r="AT62" s="210" t="inlineStr">
        <is>
          <t>N/A</t>
        </is>
      </c>
      <c r="AU62" s="210" t="inlineStr">
        <is>
          <t>N/A</t>
        </is>
      </c>
      <c r="AV62" s="210" t="inlineStr">
        <is>
          <t>N/A</t>
        </is>
      </c>
      <c r="AW62" s="210" t="inlineStr">
        <is>
          <t>N/A</t>
        </is>
      </c>
      <c r="AX62" s="210" t="inlineStr">
        <is>
          <t>N/A</t>
        </is>
      </c>
      <c r="AY62" s="210" t="inlineStr">
        <is>
          <t>N/A</t>
        </is>
      </c>
      <c r="AZ62" s="210" t="inlineStr">
        <is>
          <t>N/A</t>
        </is>
      </c>
      <c r="BA62" s="210" t="inlineStr">
        <is>
          <t>N/A</t>
        </is>
      </c>
      <c r="BB62" s="210" t="inlineStr">
        <is>
          <t>N/A</t>
        </is>
      </c>
      <c r="BC62" s="220" t="inlineStr">
        <is>
          <t>DRV-IN PM 
RDM</t>
        </is>
      </c>
      <c r="BD62" s="220" t="inlineStr">
        <is>
          <t>RDM</t>
        </is>
      </c>
      <c r="BE62" s="211" t="inlineStr">
        <is>
          <t>DRV-OUT AM</t>
        </is>
      </c>
      <c r="BF62" s="210" t="inlineStr">
        <is>
          <t>N/A</t>
        </is>
      </c>
      <c r="BG62" s="210" t="inlineStr">
        <is>
          <t>N/A</t>
        </is>
      </c>
      <c r="BH62" s="210" t="inlineStr">
        <is>
          <t>N/A</t>
        </is>
      </c>
      <c r="BI62" s="210" t="inlineStr">
        <is>
          <t>N/A</t>
        </is>
      </c>
      <c r="BJ62" s="210" t="inlineStr">
        <is>
          <t>N/A</t>
        </is>
      </c>
      <c r="BK62" s="210" t="inlineStr">
        <is>
          <t>N/A</t>
        </is>
      </c>
      <c r="BL62" s="210" t="inlineStr">
        <is>
          <t>N/A</t>
        </is>
      </c>
      <c r="BM62" s="210" t="inlineStr">
        <is>
          <t>N/A</t>
        </is>
      </c>
      <c r="BN62" s="210" t="inlineStr">
        <is>
          <t>N/A</t>
        </is>
      </c>
      <c r="BO62" s="210" t="inlineStr">
        <is>
          <t>N/A</t>
        </is>
      </c>
      <c r="BP62" s="210" t="inlineStr">
        <is>
          <t>N/A</t>
        </is>
      </c>
      <c r="BQ62" s="210" t="inlineStr">
        <is>
          <t>N/A</t>
        </is>
      </c>
      <c r="BR62" s="210" t="inlineStr">
        <is>
          <t>N/A</t>
        </is>
      </c>
      <c r="BS62" s="210" t="inlineStr">
        <is>
          <t>N/A</t>
        </is>
      </c>
      <c r="BT62" s="210" t="inlineStr">
        <is>
          <t>N/A</t>
        </is>
      </c>
      <c r="BU62" s="210" t="inlineStr">
        <is>
          <t>N/A</t>
        </is>
      </c>
      <c r="BV62" s="210" t="inlineStr">
        <is>
          <t>N/A</t>
        </is>
      </c>
      <c r="BW62" s="210" t="inlineStr">
        <is>
          <t>N/A</t>
        </is>
      </c>
      <c r="BX62" s="210" t="inlineStr">
        <is>
          <t>N/A</t>
        </is>
      </c>
      <c r="BY62" s="210" t="inlineStr">
        <is>
          <t>N/A</t>
        </is>
      </c>
      <c r="BZ62" s="210" t="inlineStr">
        <is>
          <t>N/A</t>
        </is>
      </c>
      <c r="CA62" s="210" t="inlineStr">
        <is>
          <t>N/A</t>
        </is>
      </c>
      <c r="CB62" s="210" t="inlineStr">
        <is>
          <t>N/A</t>
        </is>
      </c>
      <c r="CC62" s="210" t="inlineStr">
        <is>
          <t>N/A</t>
        </is>
      </c>
      <c r="CD62" s="210" t="inlineStr">
        <is>
          <t>N/A</t>
        </is>
      </c>
      <c r="CE62" s="210" t="inlineStr">
        <is>
          <t>DI PM
 WRR</t>
        </is>
      </c>
      <c r="CF62" s="210" t="inlineStr">
        <is>
          <t>WRR</t>
        </is>
      </c>
      <c r="CG62" s="210" t="inlineStr">
        <is>
          <t>DO PM</t>
        </is>
      </c>
      <c r="CH62" s="217" t="inlineStr">
        <is>
          <t>DEMOB</t>
        </is>
      </c>
      <c r="CI62" s="210" t="inlineStr">
        <is>
          <t>N/A</t>
        </is>
      </c>
      <c r="CJ62" s="210" t="inlineStr">
        <is>
          <t>N/A</t>
        </is>
      </c>
      <c r="CK62" s="210" t="inlineStr">
        <is>
          <t>N/A</t>
        </is>
      </c>
      <c r="CL62" s="210" t="inlineStr">
        <is>
          <t>N/A</t>
        </is>
      </c>
      <c r="CM62" s="210" t="inlineStr">
        <is>
          <t>N/A</t>
        </is>
      </c>
      <c r="CN62" s="210" t="inlineStr">
        <is>
          <t>N/A</t>
        </is>
      </c>
      <c r="CO62" s="210" t="inlineStr">
        <is>
          <t>N/A</t>
        </is>
      </c>
      <c r="CP62" s="210" t="inlineStr">
        <is>
          <t>N/A</t>
        </is>
      </c>
      <c r="CQ62" s="210" t="inlineStr">
        <is>
          <t>N/A</t>
        </is>
      </c>
      <c r="CR62" s="210" t="inlineStr">
        <is>
          <t>N/A</t>
        </is>
      </c>
      <c r="CS62" s="210" t="inlineStr">
        <is>
          <t>N/A</t>
        </is>
      </c>
      <c r="CT62" s="210" t="inlineStr">
        <is>
          <t>N/A</t>
        </is>
      </c>
      <c r="CU62" s="210" t="inlineStr">
        <is>
          <t>N/A</t>
        </is>
      </c>
      <c r="CV62" s="210" t="inlineStr">
        <is>
          <t>N/A</t>
        </is>
      </c>
      <c r="CW62" s="210" t="inlineStr">
        <is>
          <t>N/A</t>
        </is>
      </c>
      <c r="CX62" s="210" t="inlineStr">
        <is>
          <t>N/A</t>
        </is>
      </c>
      <c r="CY62" s="210" t="inlineStr">
        <is>
          <t>N/A</t>
        </is>
      </c>
      <c r="CZ62" s="210" t="inlineStr">
        <is>
          <t>N/A</t>
        </is>
      </c>
      <c r="DA62" s="210" t="inlineStr">
        <is>
          <t>N/A</t>
        </is>
      </c>
      <c r="DB62" s="210" t="inlineStr">
        <is>
          <t>N/A</t>
        </is>
      </c>
      <c r="DC62" s="210" t="inlineStr">
        <is>
          <t>N/A</t>
        </is>
      </c>
      <c r="DD62" s="210" t="inlineStr">
        <is>
          <t>N/A</t>
        </is>
      </c>
      <c r="DE62" s="210" t="inlineStr">
        <is>
          <t>N/A</t>
        </is>
      </c>
      <c r="DF62" s="210" t="inlineStr">
        <is>
          <t>N/A</t>
        </is>
      </c>
      <c r="DG62" s="210" t="inlineStr">
        <is>
          <t>N/A</t>
        </is>
      </c>
      <c r="DH62" s="210" t="inlineStr">
        <is>
          <t>N/A</t>
        </is>
      </c>
      <c r="DI62" s="210" t="inlineStr">
        <is>
          <t>N/A</t>
        </is>
      </c>
      <c r="DJ62" s="210" t="inlineStr">
        <is>
          <t>N/A</t>
        </is>
      </c>
      <c r="DK62" s="210" t="inlineStr">
        <is>
          <t>N/A</t>
        </is>
      </c>
      <c r="DL62" s="210" t="inlineStr">
        <is>
          <t>N/A</t>
        </is>
      </c>
      <c r="DM62" s="210" t="inlineStr">
        <is>
          <t>N/A</t>
        </is>
      </c>
      <c r="DN62" s="210" t="inlineStr">
        <is>
          <t>N/A</t>
        </is>
      </c>
      <c r="DO62" s="210" t="inlineStr">
        <is>
          <t>N/A</t>
        </is>
      </c>
      <c r="DP62" s="210" t="inlineStr">
        <is>
          <t>N/A</t>
        </is>
      </c>
      <c r="DQ62" s="210" t="inlineStr">
        <is>
          <t>N/A</t>
        </is>
      </c>
      <c r="DR62" s="212" t="n"/>
      <c r="DS62" s="212" t="n"/>
      <c r="DT62" s="212" t="n"/>
      <c r="DU62" s="212" t="n"/>
      <c r="DV62" s="212" t="n"/>
      <c r="DW62" s="212" t="n"/>
      <c r="DX62" s="212" t="n"/>
      <c r="DY62" s="212" t="n"/>
      <c r="DZ62" s="212" t="n"/>
      <c r="EA62" s="212" t="n"/>
      <c r="EB62" s="212" t="n"/>
      <c r="EC62" s="212" t="n"/>
      <c r="ED62" s="212" t="n"/>
      <c r="EE62" s="212" t="n"/>
      <c r="EF62" s="212" t="n"/>
      <c r="EG62" s="212" t="n"/>
      <c r="EH62" s="212" t="n"/>
      <c r="EI62" s="212" t="n"/>
      <c r="EJ62" s="212" t="n"/>
      <c r="EK62" s="212" t="n"/>
      <c r="EL62" s="212" t="n"/>
      <c r="EM62" s="212" t="n"/>
      <c r="EN62" s="212" t="n"/>
      <c r="EO62" s="212" t="n"/>
      <c r="EP62" s="212" t="n"/>
      <c r="EQ62" s="212" t="n"/>
      <c r="ER62" s="212" t="n"/>
      <c r="ES62" s="212" t="n"/>
      <c r="ET62" s="212" t="n"/>
      <c r="EU62" s="212" t="n"/>
      <c r="EV62" s="212" t="n"/>
      <c r="EW62" s="212" t="n"/>
      <c r="EX62" s="212" t="n"/>
      <c r="EY62" s="212" t="n"/>
      <c r="EZ62" s="212" t="n"/>
      <c r="FA62" s="212" t="n"/>
      <c r="FB62" s="212" t="n"/>
      <c r="FC62" s="212" t="n"/>
      <c r="FD62" s="212" t="n"/>
      <c r="FE62" s="212" t="n"/>
      <c r="FF62" s="212" t="n"/>
      <c r="FG62" s="212" t="n"/>
      <c r="FH62" s="212" t="n"/>
      <c r="FI62" s="212" t="n"/>
      <c r="FJ62" s="212" t="n"/>
      <c r="FK62" s="212" t="n"/>
      <c r="FL62" s="212" t="n"/>
      <c r="FM62" s="212" t="n"/>
      <c r="FN62" s="212" t="n"/>
      <c r="FO62" s="212" t="n"/>
      <c r="FP62" s="212" t="n"/>
      <c r="FQ62" s="212" t="n"/>
      <c r="FR62" s="212" t="n"/>
      <c r="FS62" s="212" t="n"/>
      <c r="FT62" s="212" t="n"/>
      <c r="FU62" s="212" t="n"/>
      <c r="FV62" s="212" t="n"/>
      <c r="FW62" s="212" t="n"/>
      <c r="FX62" s="212" t="n"/>
      <c r="FY62" s="212" t="n"/>
      <c r="FZ62" s="212" t="n"/>
      <c r="GA62" s="212" t="n"/>
      <c r="GB62" s="212" t="n"/>
      <c r="GC62" s="212" t="n"/>
      <c r="GD62" s="212" t="n"/>
      <c r="GE62" s="212" t="n"/>
      <c r="GF62" s="212" t="n"/>
      <c r="GG62" s="212" t="n"/>
      <c r="GH62" s="212" t="n"/>
      <c r="GI62" s="212" t="n"/>
      <c r="GJ62" s="212" t="n"/>
      <c r="GK62" s="212" t="n"/>
      <c r="GL62" s="212" t="n"/>
      <c r="GM62" s="212" t="n"/>
      <c r="GN62" s="212" t="n"/>
      <c r="GO62" s="212" t="n"/>
      <c r="GP62" s="212" t="n"/>
      <c r="GQ62" s="212" t="n"/>
      <c r="GR62" s="212" t="n"/>
      <c r="GS62" s="212" t="n"/>
      <c r="GT62" s="212" t="n"/>
      <c r="GU62" s="212" t="n"/>
      <c r="GV62" s="212" t="n"/>
      <c r="GW62" s="212" t="n"/>
      <c r="GX62" s="212" t="n"/>
      <c r="GY62" s="212" t="n"/>
      <c r="GZ62" s="212" t="n"/>
      <c r="HA62" s="212" t="n"/>
      <c r="HB62" s="212" t="n"/>
      <c r="HC62" s="212" t="n"/>
      <c r="HD62" s="212" t="n"/>
      <c r="HE62" s="212" t="n"/>
      <c r="HF62" s="212" t="n"/>
      <c r="HG62" s="212" t="n"/>
      <c r="HH62" s="212" t="n"/>
      <c r="HI62" s="212" t="n"/>
      <c r="HJ62" s="212" t="n"/>
      <c r="HK62" s="212" t="n"/>
      <c r="HL62" s="212" t="n"/>
      <c r="HM62" s="212" t="n"/>
      <c r="HN62" s="212" t="n"/>
      <c r="HO62" s="212" t="n"/>
      <c r="HP62" s="212" t="n"/>
      <c r="HQ62" s="212" t="n"/>
      <c r="HR62" s="212" t="n"/>
      <c r="HS62" s="212" t="n"/>
      <c r="HT62" s="212" t="n"/>
      <c r="HU62" s="212" t="n"/>
      <c r="HV62" s="212" t="n"/>
      <c r="HW62" s="212" t="n"/>
      <c r="HX62" s="212" t="n"/>
      <c r="HY62" s="212" t="n"/>
      <c r="HZ62" s="212" t="n"/>
      <c r="IA62" s="212" t="n"/>
      <c r="IB62" s="212" t="n"/>
      <c r="IC62" s="212" t="n"/>
      <c r="ID62" s="212" t="n"/>
      <c r="IE62" s="212" t="n"/>
      <c r="IF62" s="212" t="n"/>
      <c r="IG62" s="212" t="n"/>
      <c r="IH62" s="212" t="n"/>
      <c r="II62" s="212" t="n"/>
      <c r="IJ62" s="212" t="n"/>
      <c r="IK62" s="212" t="n"/>
      <c r="IL62" s="212" t="n"/>
      <c r="IM62" s="212" t="n"/>
      <c r="IN62" s="212" t="n"/>
      <c r="IO62" s="212" t="n"/>
      <c r="IP62" s="212" t="n"/>
      <c r="IQ62" s="212" t="n"/>
      <c r="IR62" s="212" t="n"/>
      <c r="IS62" s="212" t="n"/>
      <c r="IT62" s="212" t="n"/>
      <c r="IU62" s="212" t="n"/>
      <c r="IV62" s="212" t="n"/>
      <c r="IW62" s="212" t="n"/>
      <c r="IX62" s="212" t="n"/>
      <c r="IY62" s="212" t="n"/>
      <c r="IZ62" s="212" t="n"/>
      <c r="JA62" s="212" t="n"/>
      <c r="JB62" s="212" t="n"/>
      <c r="JC62" s="212" t="n"/>
      <c r="JD62" s="212" t="n"/>
      <c r="JE62" s="212" t="n"/>
      <c r="JF62" s="212" t="n"/>
      <c r="JG62" s="212" t="n"/>
      <c r="JH62" s="212" t="n"/>
      <c r="JI62" s="212" t="n"/>
      <c r="JJ62" s="212" t="n"/>
      <c r="JK62" s="212" t="n"/>
      <c r="JL62" s="212" t="n"/>
      <c r="JM62" s="212" t="n"/>
      <c r="JN62" s="212" t="n"/>
      <c r="JO62" s="212" t="n"/>
      <c r="JP62" s="212" t="n"/>
      <c r="JQ62" s="212" t="n"/>
      <c r="JR62" s="212" t="n"/>
      <c r="JS62" s="212" t="n"/>
      <c r="JT62" s="212" t="n"/>
      <c r="JU62" s="212" t="n"/>
      <c r="JV62" s="212" t="n"/>
      <c r="JW62" s="212" t="n"/>
      <c r="JX62" s="212" t="n"/>
      <c r="JY62" s="212" t="n"/>
      <c r="JZ62" s="212" t="n"/>
      <c r="KA62" s="212" t="n"/>
      <c r="KB62" s="212" t="n"/>
      <c r="KC62" s="212" t="n"/>
      <c r="KD62" s="212" t="n"/>
      <c r="KE62" s="212" t="n"/>
      <c r="KF62" s="212" t="n"/>
      <c r="KG62" s="212" t="n"/>
      <c r="KH62" s="212" t="n"/>
      <c r="KI62" s="212" t="n"/>
      <c r="KJ62" s="212" t="n"/>
      <c r="KK62" s="212" t="n"/>
      <c r="KL62" s="212" t="n"/>
      <c r="KM62" s="212" t="n"/>
      <c r="KN62" s="212" t="n"/>
      <c r="KO62" s="212" t="n"/>
      <c r="KP62" s="212" t="n"/>
      <c r="KQ62" s="212" t="n"/>
      <c r="KR62" s="212" t="n"/>
      <c r="KS62" s="212" t="n"/>
      <c r="KT62" s="212" t="n"/>
      <c r="KU62" s="212" t="n"/>
      <c r="KV62" s="212" t="n"/>
      <c r="KW62" s="212" t="n"/>
      <c r="KX62" s="212" t="n"/>
      <c r="KY62" s="212" t="n"/>
      <c r="KZ62" s="212" t="n"/>
      <c r="LA62" s="212" t="n"/>
      <c r="LB62" s="212" t="n"/>
      <c r="LC62" s="212" t="n"/>
      <c r="LD62" s="212" t="n"/>
      <c r="LE62" s="212" t="n"/>
      <c r="LF62" s="212" t="n"/>
      <c r="LG62" s="212" t="n"/>
      <c r="LH62" s="212" t="n"/>
      <c r="LI62" s="212" t="n"/>
      <c r="LJ62" s="212" t="n"/>
      <c r="LK62" s="212" t="n"/>
      <c r="LL62" s="212" t="n"/>
      <c r="LM62" s="212" t="n"/>
      <c r="LN62" s="212" t="n"/>
      <c r="LO62" s="212" t="n"/>
      <c r="LP62" s="212" t="n"/>
      <c r="LQ62" s="212" t="n"/>
      <c r="LR62" s="212" t="n"/>
      <c r="LS62" s="212" t="n"/>
      <c r="LT62" s="212" t="n"/>
      <c r="LU62" s="212" t="n"/>
      <c r="LV62" s="212" t="n"/>
      <c r="LW62" s="212" t="n"/>
      <c r="LX62" s="212" t="n"/>
      <c r="LY62" s="212" t="n"/>
      <c r="LZ62" s="212" t="n"/>
      <c r="MA62" s="212" t="n"/>
      <c r="MB62" s="212" t="n"/>
      <c r="MC62" s="212" t="n"/>
      <c r="MD62" s="212" t="n"/>
      <c r="ME62" s="212" t="n"/>
      <c r="MF62" s="212" t="n"/>
      <c r="MG62" s="212" t="n"/>
      <c r="MH62" s="212" t="n"/>
      <c r="MI62" s="212" t="n"/>
      <c r="MJ62" s="212" t="n"/>
      <c r="MK62" s="212" t="n"/>
      <c r="ML62" s="212" t="n"/>
      <c r="MM62" s="212" t="n"/>
      <c r="MN62" s="212" t="n"/>
      <c r="MO62" s="212" t="n"/>
      <c r="MP62" s="212" t="n"/>
      <c r="MQ62" s="212" t="n"/>
      <c r="MR62" s="212" t="n"/>
      <c r="MS62" s="212" t="n"/>
      <c r="MT62" s="212" t="n"/>
      <c r="MU62" s="212" t="n"/>
      <c r="MV62" s="212" t="n"/>
      <c r="MW62" s="212" t="n"/>
      <c r="MX62" s="212" t="n"/>
      <c r="MY62" s="212" t="n"/>
      <c r="MZ62" s="212" t="n"/>
      <c r="NA62" s="212" t="n"/>
      <c r="NB62" s="212" t="n"/>
      <c r="NC62" s="212" t="n"/>
      <c r="ND62" s="212" t="n"/>
      <c r="NE62" s="212" t="n"/>
      <c r="NF62" s="212" t="n"/>
      <c r="NG62" s="212" t="n"/>
      <c r="NH62" s="212" t="n"/>
      <c r="NI62" s="212" t="n"/>
      <c r="NJ62" s="212" t="n"/>
      <c r="NK62" s="212" t="n"/>
      <c r="NL62" s="212" t="n"/>
      <c r="NM62" s="212" t="n"/>
      <c r="NN62" s="212" t="n"/>
      <c r="NO62" s="212" t="n"/>
      <c r="NP62" s="212" t="n"/>
      <c r="NQ62" s="212" t="n"/>
      <c r="NR62" s="212" t="n"/>
      <c r="NS62" s="212" t="n"/>
      <c r="NT62" s="212" t="n"/>
      <c r="NU62" s="212" t="n"/>
      <c r="NV62" s="212" t="n"/>
      <c r="NW62" s="212" t="n"/>
      <c r="NX62" s="212" t="n"/>
      <c r="NY62" s="212" t="n"/>
      <c r="NZ62" s="212" t="n"/>
      <c r="OA62" s="212" t="n"/>
      <c r="OB62" s="212" t="n"/>
      <c r="OC62" s="212" t="n"/>
      <c r="OD62" s="212" t="n"/>
      <c r="OE62" s="212" t="n"/>
      <c r="OF62" s="212" t="n"/>
      <c r="OG62" s="212" t="n"/>
      <c r="OH62" s="212" t="n"/>
      <c r="OI62" s="212" t="n"/>
      <c r="OJ62" s="212" t="n"/>
      <c r="OK62" s="212" t="n"/>
      <c r="OL62" s="212" t="n"/>
      <c r="OM62" s="212" t="n"/>
      <c r="ON62" s="212" t="n"/>
      <c r="OO62" s="212" t="n"/>
      <c r="OP62" s="212" t="n"/>
      <c r="OQ62" s="212" t="n"/>
      <c r="OR62" s="212" t="n"/>
      <c r="OS62" s="212" t="n"/>
      <c r="OT62" s="212" t="n"/>
      <c r="OU62" s="212" t="n"/>
      <c r="OV62" s="212" t="n"/>
      <c r="OW62" s="212" t="n"/>
      <c r="OX62" s="212" t="n"/>
      <c r="OY62" s="212" t="n"/>
      <c r="OZ62" s="212" t="n"/>
      <c r="PA62" s="212" t="n"/>
      <c r="PB62" s="212" t="n"/>
      <c r="PC62" s="212" t="n"/>
      <c r="PD62" s="212" t="n"/>
      <c r="PE62" s="212" t="n"/>
      <c r="PF62" s="212" t="n"/>
      <c r="PG62" s="212" t="n"/>
      <c r="PH62" s="212" t="n"/>
      <c r="PI62" s="212" t="n"/>
      <c r="PJ62" s="212" t="n"/>
      <c r="PK62" s="212" t="n"/>
      <c r="PL62" s="212" t="n"/>
      <c r="PM62" s="212" t="n"/>
      <c r="PN62" s="212" t="n"/>
      <c r="PO62" s="212" t="n"/>
      <c r="PP62" s="212" t="n"/>
      <c r="PQ62" s="212" t="n"/>
      <c r="PR62" s="212" t="n"/>
      <c r="PS62" s="212" t="n"/>
      <c r="PT62" s="212" t="n"/>
      <c r="PU62" s="212" t="n"/>
      <c r="PV62" s="212" t="n"/>
      <c r="PW62" s="212" t="n"/>
      <c r="PX62" s="212" t="n"/>
      <c r="PY62" s="212" t="n"/>
      <c r="PZ62" s="212" t="n"/>
      <c r="QA62" s="212" t="n"/>
      <c r="QB62" s="212" t="n"/>
      <c r="QC62" s="212" t="n"/>
      <c r="QD62" s="212" t="n"/>
      <c r="QE62" s="212" t="n"/>
      <c r="QF62" s="212" t="n"/>
      <c r="QG62" s="212" t="n"/>
      <c r="QH62" s="212" t="n"/>
      <c r="QI62" s="212" t="n"/>
      <c r="QJ62" s="212" t="n"/>
      <c r="QK62" s="212" t="n"/>
      <c r="QL62" s="212" t="n"/>
      <c r="QM62" s="212" t="n"/>
      <c r="QN62" s="212" t="n"/>
      <c r="QO62" s="212" t="n"/>
      <c r="QP62" s="212" t="n"/>
      <c r="QQ62" s="212" t="n"/>
      <c r="QR62" s="212" t="n"/>
      <c r="QS62" s="212" t="n"/>
      <c r="QT62" s="212" t="n"/>
      <c r="QU62" s="212" t="n"/>
      <c r="QV62" s="212" t="n"/>
      <c r="QW62" s="212" t="n"/>
      <c r="QX62" s="212" t="n"/>
      <c r="QY62" s="212" t="n"/>
      <c r="QZ62" s="212" t="n"/>
      <c r="RA62" s="212" t="n"/>
      <c r="RB62" s="212" t="n"/>
      <c r="RC62" s="212" t="n"/>
      <c r="RD62" s="212" t="n"/>
      <c r="RE62" s="212" t="n"/>
      <c r="RF62" s="212" t="n"/>
      <c r="RG62" s="212" t="n"/>
      <c r="RH62" s="212" t="n"/>
      <c r="RI62" s="212" t="n"/>
      <c r="RJ62" s="212" t="n"/>
      <c r="RK62" s="212" t="n"/>
      <c r="RL62" s="212" t="n"/>
      <c r="RM62" s="212" t="n"/>
      <c r="RN62" s="212" t="n"/>
      <c r="RO62" s="212" t="n"/>
      <c r="RP62" s="212" t="n"/>
      <c r="RQ62" s="212" t="n"/>
      <c r="RR62" s="212" t="n"/>
      <c r="RS62" s="212" t="n"/>
      <c r="RT62" s="212" t="n"/>
      <c r="RU62" s="212" t="n"/>
      <c r="RV62" s="212" t="n"/>
      <c r="RW62" s="212" t="n"/>
      <c r="RX62" s="212" t="n"/>
      <c r="RY62" s="212" t="n"/>
      <c r="RZ62" s="212" t="n"/>
      <c r="SA62" s="212" t="n"/>
      <c r="SB62" s="212" t="n"/>
      <c r="SC62" s="212" t="n"/>
      <c r="SD62" s="212" t="n"/>
      <c r="SE62" s="212" t="n"/>
      <c r="SF62" s="212" t="n"/>
      <c r="SG62" s="212" t="n"/>
      <c r="SH62" s="212" t="n"/>
      <c r="SI62" s="212" t="n"/>
      <c r="SJ62" s="212" t="n"/>
      <c r="SK62" s="212" t="n"/>
      <c r="SL62" s="212" t="n"/>
      <c r="SM62" s="212" t="n"/>
      <c r="SN62" s="212" t="n"/>
      <c r="SO62" s="212" t="n"/>
      <c r="SP62" s="212" t="n"/>
      <c r="SQ62" s="212" t="n"/>
      <c r="SR62" s="212" t="n"/>
      <c r="SS62" s="212" t="n"/>
      <c r="ST62" s="212" t="n"/>
      <c r="SU62" s="212" t="n"/>
      <c r="SV62" s="212" t="n"/>
    </row>
    <row r="63">
      <c r="B63" s="209" t="n">
        <v>2</v>
      </c>
      <c r="C63" s="209" t="inlineStr">
        <is>
          <t>PTM</t>
        </is>
      </c>
      <c r="D63" s="209" t="inlineStr">
        <is>
          <t>Merle</t>
        </is>
      </c>
      <c r="E63" s="209" t="inlineStr">
        <is>
          <t>Quaak</t>
        </is>
      </c>
      <c r="F63" s="209">
        <f>IF(TRIM(D63&amp;E63)="","",TRIM(D63)&amp;" "&amp;TRIM(E63))</f>
        <v/>
      </c>
      <c r="G63" s="209" t="inlineStr">
        <is>
          <t>Perth</t>
        </is>
      </c>
      <c r="H63" s="209" t="inlineStr">
        <is>
          <t>Traffic Controller</t>
        </is>
      </c>
      <c r="I63" s="209" t="inlineStr">
        <is>
          <t>YES</t>
        </is>
      </c>
      <c r="J63" s="209" t="inlineStr">
        <is>
          <t>YES</t>
        </is>
      </c>
      <c r="K63" s="209" t="inlineStr">
        <is>
          <t>REQ</t>
        </is>
      </c>
      <c r="L63" s="209" t="inlineStr">
        <is>
          <t>REQ</t>
        </is>
      </c>
      <c r="M63" s="209" t="inlineStr">
        <is>
          <t>Quals Complete</t>
        </is>
      </c>
      <c r="N63" s="209" t="inlineStr">
        <is>
          <t>merlemaxime15@gmail.com</t>
        </is>
      </c>
      <c r="O63" s="209" t="inlineStr">
        <is>
          <t>0435 797 237</t>
        </is>
      </c>
      <c r="P63" s="209" t="n">
        <v>823027</v>
      </c>
      <c r="Q63" s="209" t="n">
        <v>438530</v>
      </c>
      <c r="R63" s="209" t="inlineStr">
        <is>
          <t>Ad hoc</t>
        </is>
      </c>
      <c r="S63" s="210" t="inlineStr">
        <is>
          <t>N/A</t>
        </is>
      </c>
      <c r="T63" s="210" t="inlineStr">
        <is>
          <t>N/A</t>
        </is>
      </c>
      <c r="U63" s="210" t="inlineStr">
        <is>
          <t>N/A</t>
        </is>
      </c>
      <c r="V63" s="210" t="inlineStr">
        <is>
          <t>N/A</t>
        </is>
      </c>
      <c r="W63" s="210" t="inlineStr">
        <is>
          <t>N/A</t>
        </is>
      </c>
      <c r="X63" s="210" t="inlineStr">
        <is>
          <t>N/A</t>
        </is>
      </c>
      <c r="Y63" s="210" t="inlineStr">
        <is>
          <t>N/A</t>
        </is>
      </c>
      <c r="Z63" s="210" t="inlineStr">
        <is>
          <t>N/A</t>
        </is>
      </c>
      <c r="AA63" s="210" t="inlineStr">
        <is>
          <t>N/A</t>
        </is>
      </c>
      <c r="AB63" s="210" t="inlineStr">
        <is>
          <t>N/A</t>
        </is>
      </c>
      <c r="AC63" s="210" t="inlineStr">
        <is>
          <t>N/A</t>
        </is>
      </c>
      <c r="AD63" s="210" t="inlineStr">
        <is>
          <t>N/A</t>
        </is>
      </c>
      <c r="AE63" s="210" t="inlineStr">
        <is>
          <t>N/A</t>
        </is>
      </c>
      <c r="AF63" s="210" t="inlineStr">
        <is>
          <t>N/A</t>
        </is>
      </c>
      <c r="AG63" s="210" t="inlineStr">
        <is>
          <t>N/A</t>
        </is>
      </c>
      <c r="AH63" s="210" t="inlineStr">
        <is>
          <t>N/A</t>
        </is>
      </c>
      <c r="AI63" s="210" t="inlineStr">
        <is>
          <t>N/A</t>
        </is>
      </c>
      <c r="AJ63" s="210" t="inlineStr">
        <is>
          <t>N/A</t>
        </is>
      </c>
      <c r="AK63" s="210" t="inlineStr">
        <is>
          <t>N/A</t>
        </is>
      </c>
      <c r="AL63" s="210" t="inlineStr">
        <is>
          <t>N/A</t>
        </is>
      </c>
      <c r="AM63" s="210" t="inlineStr">
        <is>
          <t>N/A</t>
        </is>
      </c>
      <c r="AN63" s="210" t="inlineStr">
        <is>
          <t>N/A</t>
        </is>
      </c>
      <c r="AO63" s="210" t="inlineStr">
        <is>
          <t>N/A</t>
        </is>
      </c>
      <c r="AP63" s="210" t="inlineStr">
        <is>
          <t>N/A</t>
        </is>
      </c>
      <c r="AQ63" s="210" t="inlineStr">
        <is>
          <t>N/A</t>
        </is>
      </c>
      <c r="AR63" s="210" t="inlineStr">
        <is>
          <t>N/A</t>
        </is>
      </c>
      <c r="AS63" s="210" t="inlineStr">
        <is>
          <t>N/A</t>
        </is>
      </c>
      <c r="AT63" s="210" t="inlineStr">
        <is>
          <t>N/A</t>
        </is>
      </c>
      <c r="AU63" s="210" t="inlineStr">
        <is>
          <t>N/A</t>
        </is>
      </c>
      <c r="AV63" s="210" t="inlineStr">
        <is>
          <t>N/A</t>
        </is>
      </c>
      <c r="AW63" s="210" t="inlineStr">
        <is>
          <t>N/A</t>
        </is>
      </c>
      <c r="AX63" s="210" t="inlineStr">
        <is>
          <t>N/A</t>
        </is>
      </c>
      <c r="AY63" s="210" t="inlineStr">
        <is>
          <t>N/A</t>
        </is>
      </c>
      <c r="AZ63" s="210" t="inlineStr">
        <is>
          <t>N/A</t>
        </is>
      </c>
      <c r="BA63" s="210" t="inlineStr">
        <is>
          <t>N/A</t>
        </is>
      </c>
      <c r="BB63" s="210" t="inlineStr">
        <is>
          <t>N/A</t>
        </is>
      </c>
      <c r="BC63" s="210" t="inlineStr">
        <is>
          <t>N/A</t>
        </is>
      </c>
      <c r="BD63" s="210" t="inlineStr">
        <is>
          <t>N/A</t>
        </is>
      </c>
      <c r="BE63" s="210" t="inlineStr">
        <is>
          <t>N/A</t>
        </is>
      </c>
      <c r="BF63" s="210" t="inlineStr">
        <is>
          <t>N/A</t>
        </is>
      </c>
      <c r="BG63" s="210" t="inlineStr">
        <is>
          <t>N/A</t>
        </is>
      </c>
      <c r="BH63" s="210" t="inlineStr">
        <is>
          <t>N/A</t>
        </is>
      </c>
      <c r="BI63" s="210" t="inlineStr">
        <is>
          <t>N/A</t>
        </is>
      </c>
      <c r="BJ63" s="210" t="inlineStr">
        <is>
          <t>N/A</t>
        </is>
      </c>
      <c r="BK63" s="210" t="inlineStr">
        <is>
          <t>N/A</t>
        </is>
      </c>
      <c r="BL63" s="210" t="inlineStr">
        <is>
          <t>N/A</t>
        </is>
      </c>
      <c r="BM63" s="210" t="inlineStr">
        <is>
          <t>N/A</t>
        </is>
      </c>
      <c r="BN63" s="210" t="inlineStr">
        <is>
          <t>N/A</t>
        </is>
      </c>
      <c r="BO63" s="210" t="inlineStr">
        <is>
          <t>N/A</t>
        </is>
      </c>
      <c r="BP63" s="210" t="inlineStr">
        <is>
          <t>N/A</t>
        </is>
      </c>
      <c r="BQ63" s="210" t="inlineStr">
        <is>
          <t>N/A</t>
        </is>
      </c>
      <c r="BR63" s="210" t="inlineStr">
        <is>
          <t>N/A</t>
        </is>
      </c>
      <c r="BS63" s="210" t="inlineStr">
        <is>
          <t>N/A</t>
        </is>
      </c>
      <c r="BT63" s="210" t="inlineStr">
        <is>
          <t>N/A</t>
        </is>
      </c>
      <c r="BU63" s="210" t="inlineStr">
        <is>
          <t>N/A</t>
        </is>
      </c>
      <c r="BV63" s="210" t="inlineStr">
        <is>
          <t>N/A</t>
        </is>
      </c>
      <c r="BW63" s="210" t="inlineStr">
        <is>
          <t>N/A</t>
        </is>
      </c>
      <c r="BX63" s="210" t="inlineStr">
        <is>
          <t>N/A</t>
        </is>
      </c>
      <c r="BY63" s="210" t="inlineStr">
        <is>
          <t>N/A</t>
        </is>
      </c>
      <c r="BZ63" s="210" t="inlineStr">
        <is>
          <t>N/A</t>
        </is>
      </c>
      <c r="CA63" s="210" t="inlineStr">
        <is>
          <t>N/A</t>
        </is>
      </c>
      <c r="CB63" s="210" t="inlineStr">
        <is>
          <t>N/A</t>
        </is>
      </c>
      <c r="CC63" s="210" t="inlineStr">
        <is>
          <t>N/A</t>
        </is>
      </c>
      <c r="CD63" s="210" t="inlineStr">
        <is>
          <t>N/A</t>
        </is>
      </c>
      <c r="CE63" s="210" t="inlineStr">
        <is>
          <t>DI PM
 WRR</t>
        </is>
      </c>
      <c r="CF63" s="210" t="inlineStr">
        <is>
          <t>WRR</t>
        </is>
      </c>
      <c r="CG63" s="210" t="inlineStr">
        <is>
          <t>DO PM</t>
        </is>
      </c>
      <c r="CH63" s="217" t="inlineStr">
        <is>
          <t>DEMOB</t>
        </is>
      </c>
      <c r="CI63" s="210" t="inlineStr">
        <is>
          <t>N/A</t>
        </is>
      </c>
      <c r="CJ63" s="210" t="inlineStr">
        <is>
          <t>N/A</t>
        </is>
      </c>
      <c r="CK63" s="210" t="inlineStr">
        <is>
          <t>N/A</t>
        </is>
      </c>
      <c r="CL63" s="210" t="inlineStr">
        <is>
          <t>N/A</t>
        </is>
      </c>
      <c r="CM63" s="210" t="inlineStr">
        <is>
          <t>N/A</t>
        </is>
      </c>
      <c r="CN63" s="210" t="inlineStr">
        <is>
          <t>N/A</t>
        </is>
      </c>
      <c r="CO63" s="210" t="inlineStr">
        <is>
          <t>N/A</t>
        </is>
      </c>
      <c r="CP63" s="210" t="inlineStr">
        <is>
          <t>N/A</t>
        </is>
      </c>
      <c r="CQ63" s="210" t="inlineStr">
        <is>
          <t>N/A</t>
        </is>
      </c>
      <c r="CR63" s="210" t="inlineStr">
        <is>
          <t>N/A</t>
        </is>
      </c>
      <c r="CS63" s="210" t="inlineStr">
        <is>
          <t>N/A</t>
        </is>
      </c>
      <c r="CT63" s="210" t="inlineStr">
        <is>
          <t>N/A</t>
        </is>
      </c>
      <c r="CU63" s="210" t="inlineStr">
        <is>
          <t>N/A</t>
        </is>
      </c>
      <c r="CV63" s="210" t="inlineStr">
        <is>
          <t>N/A</t>
        </is>
      </c>
      <c r="CW63" s="210" t="inlineStr">
        <is>
          <t>N/A</t>
        </is>
      </c>
      <c r="CX63" s="210" t="inlineStr">
        <is>
          <t>N/A</t>
        </is>
      </c>
      <c r="CY63" s="210" t="inlineStr">
        <is>
          <t>N/A</t>
        </is>
      </c>
      <c r="CZ63" s="210" t="inlineStr">
        <is>
          <t>N/A</t>
        </is>
      </c>
      <c r="DA63" s="210" t="inlineStr">
        <is>
          <t>N/A</t>
        </is>
      </c>
      <c r="DB63" s="210" t="inlineStr">
        <is>
          <t>N/A</t>
        </is>
      </c>
      <c r="DC63" s="210" t="inlineStr">
        <is>
          <t>N/A</t>
        </is>
      </c>
      <c r="DD63" s="210" t="inlineStr">
        <is>
          <t>N/A</t>
        </is>
      </c>
      <c r="DE63" s="210" t="inlineStr">
        <is>
          <t>N/A</t>
        </is>
      </c>
      <c r="DF63" s="210" t="inlineStr">
        <is>
          <t>N/A</t>
        </is>
      </c>
      <c r="DG63" s="210" t="inlineStr">
        <is>
          <t>N/A</t>
        </is>
      </c>
      <c r="DH63" s="210" t="inlineStr">
        <is>
          <t>N/A</t>
        </is>
      </c>
      <c r="DI63" s="210" t="inlineStr">
        <is>
          <t>N/A</t>
        </is>
      </c>
      <c r="DJ63" s="210" t="inlineStr">
        <is>
          <t>N/A</t>
        </is>
      </c>
      <c r="DK63" s="210" t="inlineStr">
        <is>
          <t>N/A</t>
        </is>
      </c>
      <c r="DL63" s="210" t="inlineStr">
        <is>
          <t>N/A</t>
        </is>
      </c>
      <c r="DM63" s="210" t="inlineStr">
        <is>
          <t>N/A</t>
        </is>
      </c>
      <c r="DN63" s="210" t="inlineStr">
        <is>
          <t>N/A</t>
        </is>
      </c>
      <c r="DO63" s="210" t="inlineStr">
        <is>
          <t>N/A</t>
        </is>
      </c>
      <c r="DP63" s="210" t="inlineStr">
        <is>
          <t>N/A</t>
        </is>
      </c>
      <c r="DQ63" s="210" t="inlineStr">
        <is>
          <t>N/A</t>
        </is>
      </c>
      <c r="DR63" s="212" t="n"/>
      <c r="DS63" s="212" t="n"/>
      <c r="DT63" s="212" t="n"/>
      <c r="DU63" s="212" t="n"/>
      <c r="DV63" s="212" t="n"/>
      <c r="DW63" s="212" t="n"/>
      <c r="DX63" s="212" t="n"/>
      <c r="DY63" s="212" t="n"/>
      <c r="DZ63" s="212" t="n"/>
      <c r="EA63" s="212" t="n"/>
      <c r="EB63" s="212" t="n"/>
      <c r="EC63" s="212" t="n"/>
      <c r="ED63" s="212" t="n"/>
      <c r="EE63" s="212" t="n"/>
      <c r="EF63" s="212" t="n"/>
      <c r="EG63" s="212" t="n"/>
      <c r="EH63" s="212" t="n"/>
      <c r="EI63" s="212" t="n"/>
      <c r="EJ63" s="212" t="n"/>
      <c r="EK63" s="212" t="n"/>
      <c r="EL63" s="212" t="n"/>
      <c r="EM63" s="212" t="n"/>
      <c r="EN63" s="212" t="n"/>
      <c r="EO63" s="212" t="n"/>
      <c r="EP63" s="212" t="n"/>
      <c r="EQ63" s="212" t="n"/>
      <c r="ER63" s="212" t="n"/>
      <c r="ES63" s="212" t="n"/>
      <c r="ET63" s="212" t="n"/>
      <c r="EU63" s="212" t="n"/>
      <c r="EV63" s="212" t="n"/>
      <c r="EW63" s="212" t="n"/>
      <c r="EX63" s="212" t="n"/>
      <c r="EY63" s="212" t="n"/>
      <c r="EZ63" s="212" t="n"/>
      <c r="FA63" s="212" t="n"/>
      <c r="FB63" s="212" t="n"/>
      <c r="FC63" s="212" t="n"/>
      <c r="FD63" s="212" t="n"/>
      <c r="FE63" s="212" t="n"/>
      <c r="FF63" s="212" t="n"/>
      <c r="FG63" s="212" t="n"/>
      <c r="FH63" s="212" t="n"/>
      <c r="FI63" s="212" t="n"/>
      <c r="FJ63" s="212" t="n"/>
      <c r="FK63" s="212" t="n"/>
      <c r="FL63" s="212" t="n"/>
      <c r="FM63" s="212" t="n"/>
      <c r="FN63" s="212" t="n"/>
      <c r="FO63" s="212" t="n"/>
      <c r="FP63" s="212" t="n"/>
      <c r="FQ63" s="212" t="n"/>
      <c r="FR63" s="212" t="n"/>
      <c r="FS63" s="212" t="n"/>
      <c r="FT63" s="212" t="n"/>
      <c r="FU63" s="212" t="n"/>
      <c r="FV63" s="212" t="n"/>
      <c r="FW63" s="212" t="n"/>
      <c r="FX63" s="212" t="n"/>
      <c r="FY63" s="212" t="n"/>
      <c r="FZ63" s="212" t="n"/>
      <c r="GA63" s="212" t="n"/>
      <c r="GB63" s="212" t="n"/>
      <c r="GC63" s="212" t="n"/>
      <c r="GD63" s="212" t="n"/>
      <c r="GE63" s="212" t="n"/>
      <c r="GF63" s="212" t="n"/>
      <c r="GG63" s="212" t="n"/>
      <c r="GH63" s="212" t="n"/>
      <c r="GI63" s="212" t="n"/>
      <c r="GJ63" s="212" t="n"/>
      <c r="GK63" s="212" t="n"/>
      <c r="GL63" s="212" t="n"/>
      <c r="GM63" s="212" t="n"/>
      <c r="GN63" s="212" t="n"/>
      <c r="GO63" s="212" t="n"/>
      <c r="GP63" s="212" t="n"/>
      <c r="GQ63" s="212" t="n"/>
      <c r="GR63" s="212" t="n"/>
      <c r="GS63" s="212" t="n"/>
      <c r="GT63" s="212" t="n"/>
      <c r="GU63" s="212" t="n"/>
      <c r="GV63" s="212" t="n"/>
      <c r="GW63" s="212" t="n"/>
      <c r="GX63" s="212" t="n"/>
      <c r="GY63" s="212" t="n"/>
      <c r="GZ63" s="212" t="n"/>
      <c r="HA63" s="212" t="n"/>
      <c r="HB63" s="212" t="n"/>
      <c r="HC63" s="212" t="n"/>
      <c r="HD63" s="212" t="n"/>
      <c r="HE63" s="212" t="n"/>
      <c r="HF63" s="212" t="n"/>
      <c r="HG63" s="212" t="n"/>
      <c r="HH63" s="212" t="n"/>
      <c r="HI63" s="212" t="n"/>
      <c r="HJ63" s="212" t="n"/>
      <c r="HK63" s="212" t="n"/>
      <c r="HL63" s="212" t="n"/>
      <c r="HM63" s="212" t="n"/>
      <c r="HN63" s="212" t="n"/>
      <c r="HO63" s="212" t="n"/>
      <c r="HP63" s="212" t="n"/>
      <c r="HQ63" s="212" t="n"/>
      <c r="HR63" s="212" t="n"/>
      <c r="HS63" s="212" t="n"/>
      <c r="HT63" s="212" t="n"/>
      <c r="HU63" s="212" t="n"/>
      <c r="HV63" s="212" t="n"/>
      <c r="HW63" s="212" t="n"/>
      <c r="HX63" s="212" t="n"/>
      <c r="HY63" s="212" t="n"/>
      <c r="HZ63" s="212" t="n"/>
      <c r="IA63" s="212" t="n"/>
      <c r="IB63" s="212" t="n"/>
      <c r="IC63" s="212" t="n"/>
      <c r="ID63" s="212" t="n"/>
      <c r="IE63" s="212" t="n"/>
      <c r="IF63" s="212" t="n"/>
      <c r="IG63" s="212" t="n"/>
      <c r="IH63" s="212" t="n"/>
      <c r="II63" s="212" t="n"/>
      <c r="IJ63" s="212" t="n"/>
      <c r="IK63" s="212" t="n"/>
      <c r="IL63" s="212" t="n"/>
      <c r="IM63" s="212" t="n"/>
      <c r="IN63" s="212" t="n"/>
      <c r="IO63" s="212" t="n"/>
      <c r="IP63" s="212" t="n"/>
      <c r="IQ63" s="212" t="n"/>
      <c r="IR63" s="212" t="n"/>
      <c r="IS63" s="212" t="n"/>
      <c r="IT63" s="212" t="n"/>
      <c r="IU63" s="212" t="n"/>
      <c r="IV63" s="212" t="n"/>
      <c r="IW63" s="212" t="n"/>
      <c r="IX63" s="212" t="n"/>
      <c r="IY63" s="212" t="n"/>
      <c r="IZ63" s="212" t="n"/>
      <c r="JA63" s="212" t="n"/>
      <c r="JB63" s="212" t="n"/>
      <c r="JC63" s="212" t="n"/>
      <c r="JD63" s="212" t="n"/>
      <c r="JE63" s="212" t="n"/>
      <c r="JF63" s="212" t="n"/>
      <c r="JG63" s="212" t="n"/>
      <c r="JH63" s="212" t="n"/>
      <c r="JI63" s="212" t="n"/>
      <c r="JJ63" s="212" t="n"/>
      <c r="JK63" s="212" t="n"/>
      <c r="JL63" s="212" t="n"/>
      <c r="JM63" s="212" t="n"/>
      <c r="JN63" s="212" t="n"/>
      <c r="JO63" s="212" t="n"/>
      <c r="JP63" s="212" t="n"/>
      <c r="JQ63" s="212" t="n"/>
      <c r="JR63" s="212" t="n"/>
      <c r="JS63" s="212" t="n"/>
      <c r="JT63" s="212" t="n"/>
      <c r="JU63" s="212" t="n"/>
      <c r="JV63" s="212" t="n"/>
      <c r="JW63" s="212" t="n"/>
      <c r="JX63" s="212" t="n"/>
      <c r="JY63" s="212" t="n"/>
      <c r="JZ63" s="212" t="n"/>
      <c r="KA63" s="212" t="n"/>
      <c r="KB63" s="212" t="n"/>
      <c r="KC63" s="212" t="n"/>
      <c r="KD63" s="212" t="n"/>
      <c r="KE63" s="212" t="n"/>
      <c r="KF63" s="212" t="n"/>
      <c r="KG63" s="212" t="n"/>
      <c r="KH63" s="212" t="n"/>
      <c r="KI63" s="212" t="n"/>
      <c r="KJ63" s="212" t="n"/>
      <c r="KK63" s="212" t="n"/>
      <c r="KL63" s="212" t="n"/>
      <c r="KM63" s="212" t="n"/>
      <c r="KN63" s="212" t="n"/>
      <c r="KO63" s="212" t="n"/>
      <c r="KP63" s="212" t="n"/>
      <c r="KQ63" s="212" t="n"/>
      <c r="KR63" s="212" t="n"/>
      <c r="KS63" s="212" t="n"/>
      <c r="KT63" s="212" t="n"/>
      <c r="KU63" s="212" t="n"/>
      <c r="KV63" s="212" t="n"/>
      <c r="KW63" s="212" t="n"/>
      <c r="KX63" s="212" t="n"/>
      <c r="KY63" s="212" t="n"/>
      <c r="KZ63" s="212" t="n"/>
      <c r="LA63" s="212" t="n"/>
      <c r="LB63" s="212" t="n"/>
      <c r="LC63" s="212" t="n"/>
      <c r="LD63" s="212" t="n"/>
      <c r="LE63" s="212" t="n"/>
      <c r="LF63" s="212" t="n"/>
      <c r="LG63" s="212" t="n"/>
      <c r="LH63" s="212" t="n"/>
      <c r="LI63" s="212" t="n"/>
      <c r="LJ63" s="212" t="n"/>
      <c r="LK63" s="212" t="n"/>
      <c r="LL63" s="212" t="n"/>
      <c r="LM63" s="212" t="n"/>
      <c r="LN63" s="212" t="n"/>
      <c r="LO63" s="212" t="n"/>
      <c r="LP63" s="212" t="n"/>
      <c r="LQ63" s="212" t="n"/>
      <c r="LR63" s="212" t="n"/>
      <c r="LS63" s="212" t="n"/>
      <c r="LT63" s="212" t="n"/>
      <c r="LU63" s="212" t="n"/>
      <c r="LV63" s="212" t="n"/>
      <c r="LW63" s="212" t="n"/>
      <c r="LX63" s="212" t="n"/>
      <c r="LY63" s="212" t="n"/>
      <c r="LZ63" s="212" t="n"/>
      <c r="MA63" s="212" t="n"/>
      <c r="MB63" s="212" t="n"/>
      <c r="MC63" s="212" t="n"/>
      <c r="MD63" s="212" t="n"/>
      <c r="ME63" s="212" t="n"/>
      <c r="MF63" s="212" t="n"/>
      <c r="MG63" s="212" t="n"/>
      <c r="MH63" s="212" t="n"/>
      <c r="MI63" s="212" t="n"/>
      <c r="MJ63" s="212" t="n"/>
      <c r="MK63" s="212" t="n"/>
      <c r="ML63" s="212" t="n"/>
      <c r="MM63" s="212" t="n"/>
      <c r="MN63" s="212" t="n"/>
      <c r="MO63" s="212" t="n"/>
      <c r="MP63" s="212" t="n"/>
      <c r="MQ63" s="212" t="n"/>
      <c r="MR63" s="212" t="n"/>
      <c r="MS63" s="212" t="n"/>
      <c r="MT63" s="212" t="n"/>
      <c r="MU63" s="212" t="n"/>
      <c r="MV63" s="212" t="n"/>
      <c r="MW63" s="212" t="n"/>
      <c r="MX63" s="212" t="n"/>
      <c r="MY63" s="212" t="n"/>
      <c r="MZ63" s="212" t="n"/>
      <c r="NA63" s="212" t="n"/>
      <c r="NB63" s="212" t="n"/>
      <c r="NC63" s="212" t="n"/>
      <c r="ND63" s="212" t="n"/>
      <c r="NE63" s="212" t="n"/>
      <c r="NF63" s="212" t="n"/>
      <c r="NG63" s="212" t="n"/>
      <c r="NH63" s="212" t="n"/>
      <c r="NI63" s="212" t="n"/>
      <c r="NJ63" s="212" t="n"/>
      <c r="NK63" s="212" t="n"/>
      <c r="NL63" s="212" t="n"/>
      <c r="NM63" s="212" t="n"/>
      <c r="NN63" s="212" t="n"/>
      <c r="NO63" s="212" t="n"/>
      <c r="NP63" s="212" t="n"/>
      <c r="NQ63" s="212" t="n"/>
      <c r="NR63" s="212" t="n"/>
      <c r="NS63" s="212" t="n"/>
      <c r="NT63" s="212" t="n"/>
      <c r="NU63" s="212" t="n"/>
      <c r="NV63" s="212" t="n"/>
      <c r="NW63" s="212" t="n"/>
      <c r="NX63" s="212" t="n"/>
      <c r="NY63" s="212" t="n"/>
      <c r="NZ63" s="212" t="n"/>
      <c r="OA63" s="212" t="n"/>
      <c r="OB63" s="212" t="n"/>
      <c r="OC63" s="212" t="n"/>
      <c r="OD63" s="212" t="n"/>
      <c r="OE63" s="212" t="n"/>
      <c r="OF63" s="212" t="n"/>
      <c r="OG63" s="212" t="n"/>
      <c r="OH63" s="212" t="n"/>
      <c r="OI63" s="212" t="n"/>
      <c r="OJ63" s="212" t="n"/>
      <c r="OK63" s="212" t="n"/>
      <c r="OL63" s="212" t="n"/>
      <c r="OM63" s="212" t="n"/>
      <c r="ON63" s="212" t="n"/>
      <c r="OO63" s="212" t="n"/>
      <c r="OP63" s="212" t="n"/>
      <c r="OQ63" s="212" t="n"/>
      <c r="OR63" s="212" t="n"/>
      <c r="OS63" s="212" t="n"/>
      <c r="OT63" s="212" t="n"/>
      <c r="OU63" s="212" t="n"/>
      <c r="OV63" s="212" t="n"/>
      <c r="OW63" s="212" t="n"/>
      <c r="OX63" s="212" t="n"/>
      <c r="OY63" s="212" t="n"/>
      <c r="OZ63" s="212" t="n"/>
      <c r="PA63" s="212" t="n"/>
      <c r="PB63" s="212" t="n"/>
      <c r="PC63" s="212" t="n"/>
      <c r="PD63" s="212" t="n"/>
      <c r="PE63" s="212" t="n"/>
      <c r="PF63" s="212" t="n"/>
      <c r="PG63" s="212" t="n"/>
      <c r="PH63" s="212" t="n"/>
      <c r="PI63" s="212" t="n"/>
      <c r="PJ63" s="212" t="n"/>
      <c r="PK63" s="212" t="n"/>
      <c r="PL63" s="212" t="n"/>
      <c r="PM63" s="212" t="n"/>
      <c r="PN63" s="212" t="n"/>
      <c r="PO63" s="212" t="n"/>
      <c r="PP63" s="212" t="n"/>
      <c r="PQ63" s="212" t="n"/>
      <c r="PR63" s="212" t="n"/>
      <c r="PS63" s="212" t="n"/>
      <c r="PT63" s="212" t="n"/>
      <c r="PU63" s="212" t="n"/>
      <c r="PV63" s="212" t="n"/>
      <c r="PW63" s="212" t="n"/>
      <c r="PX63" s="212" t="n"/>
      <c r="PY63" s="212" t="n"/>
      <c r="PZ63" s="212" t="n"/>
      <c r="QA63" s="212" t="n"/>
      <c r="QB63" s="212" t="n"/>
      <c r="QC63" s="212" t="n"/>
      <c r="QD63" s="212" t="n"/>
      <c r="QE63" s="212" t="n"/>
      <c r="QF63" s="212" t="n"/>
      <c r="QG63" s="212" t="n"/>
      <c r="QH63" s="212" t="n"/>
      <c r="QI63" s="212" t="n"/>
      <c r="QJ63" s="212" t="n"/>
      <c r="QK63" s="212" t="n"/>
      <c r="QL63" s="212" t="n"/>
      <c r="QM63" s="212" t="n"/>
      <c r="QN63" s="212" t="n"/>
      <c r="QO63" s="212" t="n"/>
      <c r="QP63" s="212" t="n"/>
      <c r="QQ63" s="212" t="n"/>
      <c r="QR63" s="212" t="n"/>
      <c r="QS63" s="212" t="n"/>
      <c r="QT63" s="212" t="n"/>
      <c r="QU63" s="212" t="n"/>
      <c r="QV63" s="212" t="n"/>
      <c r="QW63" s="212" t="n"/>
      <c r="QX63" s="212" t="n"/>
      <c r="QY63" s="212" t="n"/>
      <c r="QZ63" s="212" t="n"/>
      <c r="RA63" s="212" t="n"/>
      <c r="RB63" s="212" t="n"/>
      <c r="RC63" s="212" t="n"/>
      <c r="RD63" s="212" t="n"/>
      <c r="RE63" s="212" t="n"/>
      <c r="RF63" s="212" t="n"/>
      <c r="RG63" s="212" t="n"/>
      <c r="RH63" s="212" t="n"/>
      <c r="RI63" s="212" t="n"/>
      <c r="RJ63" s="212" t="n"/>
      <c r="RK63" s="212" t="n"/>
      <c r="RL63" s="212" t="n"/>
      <c r="RM63" s="212" t="n"/>
      <c r="RN63" s="212" t="n"/>
      <c r="RO63" s="212" t="n"/>
      <c r="RP63" s="212" t="n"/>
      <c r="RQ63" s="212" t="n"/>
      <c r="RR63" s="212" t="n"/>
      <c r="RS63" s="212" t="n"/>
      <c r="RT63" s="212" t="n"/>
      <c r="RU63" s="212" t="n"/>
      <c r="RV63" s="212" t="n"/>
      <c r="RW63" s="212" t="n"/>
      <c r="RX63" s="212" t="n"/>
      <c r="RY63" s="212" t="n"/>
      <c r="RZ63" s="212" t="n"/>
      <c r="SA63" s="212" t="n"/>
      <c r="SB63" s="212" t="n"/>
      <c r="SC63" s="212" t="n"/>
      <c r="SD63" s="212" t="n"/>
      <c r="SE63" s="212" t="n"/>
      <c r="SF63" s="212" t="n"/>
      <c r="SG63" s="212" t="n"/>
      <c r="SH63" s="212" t="n"/>
      <c r="SI63" s="212" t="n"/>
      <c r="SJ63" s="212" t="n"/>
      <c r="SK63" s="212" t="n"/>
      <c r="SL63" s="212" t="n"/>
      <c r="SM63" s="212" t="n"/>
      <c r="SN63" s="212" t="n"/>
      <c r="SO63" s="212" t="n"/>
      <c r="SP63" s="212" t="n"/>
      <c r="SQ63" s="212" t="n"/>
      <c r="SR63" s="212" t="n"/>
      <c r="SS63" s="212" t="n"/>
      <c r="ST63" s="212" t="n"/>
      <c r="SU63" s="212" t="n"/>
      <c r="SV63" s="212" t="n"/>
    </row>
    <row r="64">
      <c r="B64" s="207" t="n"/>
      <c r="C64" s="207" t="inlineStr">
        <is>
          <t>Surveyors</t>
        </is>
      </c>
      <c r="D64" s="207" t="n"/>
      <c r="E64" s="207" t="n"/>
      <c r="F64" s="207">
        <f>IF(TRIM(D64&amp;E64)="","",TRIM(D64)&amp;" "&amp;TRIM(E64))</f>
        <v/>
      </c>
      <c r="G64" s="207" t="n"/>
      <c r="H64" s="207" t="n"/>
      <c r="I64" s="207" t="n"/>
      <c r="J64" s="207" t="n"/>
      <c r="K64" s="207" t="n"/>
      <c r="L64" s="207" t="n"/>
      <c r="M64" s="207" t="n"/>
      <c r="N64" s="207" t="n"/>
      <c r="O64" s="207" t="n"/>
      <c r="P64" s="207" t="n"/>
      <c r="Q64" s="207" t="n"/>
      <c r="R64" s="207" t="n"/>
      <c r="S64" s="208" t="n"/>
      <c r="T64" s="208" t="n"/>
      <c r="U64" s="208" t="n"/>
      <c r="V64" s="208" t="n"/>
      <c r="W64" s="208" t="n"/>
      <c r="X64" s="208" t="n"/>
      <c r="Y64" s="208" t="n"/>
      <c r="Z64" s="208" t="n"/>
      <c r="AA64" s="208" t="n"/>
      <c r="AB64" s="208" t="n"/>
      <c r="AC64" s="208" t="n"/>
      <c r="AD64" s="208" t="n"/>
      <c r="AE64" s="208" t="n"/>
      <c r="AF64" s="208" t="n"/>
      <c r="AG64" s="208" t="n"/>
      <c r="AH64" s="208" t="n"/>
      <c r="AI64" s="208" t="n"/>
      <c r="AJ64" s="208" t="n"/>
      <c r="AK64" s="208" t="n"/>
      <c r="AL64" s="208" t="n"/>
      <c r="AM64" s="208" t="n"/>
      <c r="AN64" s="208" t="n"/>
      <c r="AO64" s="208" t="n"/>
      <c r="AP64" s="208" t="n"/>
      <c r="AQ64" s="208" t="n"/>
      <c r="AR64" s="208" t="n"/>
      <c r="AS64" s="208" t="n"/>
      <c r="AT64" s="208" t="n"/>
      <c r="AU64" s="208" t="n"/>
      <c r="AV64" s="208" t="n"/>
      <c r="AW64" s="208" t="n"/>
      <c r="AX64" s="208" t="n"/>
      <c r="AY64" s="208" t="n"/>
      <c r="AZ64" s="208" t="n"/>
      <c r="BA64" s="208" t="n"/>
      <c r="BB64" s="208" t="n"/>
      <c r="BC64" s="208" t="n"/>
      <c r="BD64" s="208" t="n"/>
      <c r="BE64" s="208" t="n"/>
      <c r="BF64" s="208" t="n"/>
      <c r="BG64" s="208" t="n"/>
      <c r="BH64" s="208" t="n"/>
      <c r="BI64" s="208" t="n"/>
      <c r="BJ64" s="208" t="n"/>
      <c r="BK64" s="208" t="n"/>
      <c r="BL64" s="208" t="n"/>
      <c r="BM64" s="208" t="n"/>
      <c r="BN64" s="208" t="n"/>
      <c r="BO64" s="208" t="n"/>
      <c r="BP64" s="208" t="n"/>
      <c r="BQ64" s="208" t="n"/>
      <c r="BR64" s="208" t="n"/>
      <c r="BS64" s="208" t="n"/>
      <c r="BT64" s="208" t="n"/>
      <c r="BU64" s="208" t="n"/>
      <c r="BV64" s="208" t="n"/>
      <c r="BW64" s="208" t="n"/>
      <c r="BX64" s="208" t="n"/>
      <c r="BY64" s="208" t="n"/>
      <c r="BZ64" s="208" t="n"/>
      <c r="CA64" s="208" t="n"/>
      <c r="CB64" s="208" t="n"/>
      <c r="CC64" s="208" t="n"/>
      <c r="CD64" s="208" t="n"/>
      <c r="CE64" s="208" t="n"/>
      <c r="CF64" s="208" t="n"/>
      <c r="CG64" s="208" t="n"/>
      <c r="CH64" s="208" t="n"/>
      <c r="CI64" s="208" t="n"/>
      <c r="CJ64" s="208" t="n"/>
      <c r="CK64" s="208" t="n"/>
      <c r="CL64" s="208" t="n"/>
      <c r="CM64" s="208" t="n"/>
      <c r="CN64" s="208" t="n"/>
      <c r="CO64" s="208" t="n"/>
      <c r="CP64" s="208" t="n"/>
      <c r="CQ64" s="208" t="n"/>
      <c r="CR64" s="208" t="n"/>
      <c r="CS64" s="208" t="n"/>
      <c r="CT64" s="208" t="n"/>
      <c r="CU64" s="208" t="n"/>
      <c r="CV64" s="208" t="n"/>
      <c r="CW64" s="208" t="n"/>
      <c r="CX64" s="208" t="n"/>
      <c r="CY64" s="208" t="n"/>
      <c r="CZ64" s="208" t="n"/>
      <c r="DA64" s="208" t="n"/>
      <c r="DB64" s="208" t="n"/>
      <c r="DC64" s="208" t="n"/>
      <c r="DD64" s="208" t="n"/>
      <c r="DE64" s="208" t="n"/>
      <c r="DF64" s="208" t="n"/>
      <c r="DG64" s="208" t="n"/>
      <c r="DH64" s="208" t="n"/>
      <c r="DI64" s="208" t="n"/>
      <c r="DJ64" s="208" t="n"/>
      <c r="DK64" s="208" t="n"/>
      <c r="DL64" s="208" t="n"/>
      <c r="DM64" s="208" t="n"/>
      <c r="DN64" s="208" t="n"/>
      <c r="DO64" s="208" t="n"/>
      <c r="DP64" s="208" t="n"/>
      <c r="DQ64" s="208" t="n"/>
      <c r="DR64" s="208" t="n"/>
      <c r="DS64" s="208" t="n"/>
      <c r="DT64" s="208" t="n"/>
      <c r="DU64" s="208" t="n"/>
      <c r="DV64" s="208" t="n"/>
      <c r="DW64" s="208" t="n"/>
      <c r="DX64" s="208" t="n"/>
      <c r="DY64" s="208" t="n"/>
      <c r="DZ64" s="208" t="n"/>
      <c r="EA64" s="208" t="n"/>
      <c r="EB64" s="208" t="n"/>
      <c r="EC64" s="208" t="n"/>
      <c r="ED64" s="208" t="n"/>
      <c r="EE64" s="208" t="n"/>
      <c r="EF64" s="208" t="n"/>
      <c r="EG64" s="208" t="n"/>
      <c r="EH64" s="208" t="n"/>
      <c r="EI64" s="208" t="n"/>
      <c r="EJ64" s="208" t="n"/>
      <c r="EK64" s="208" t="n"/>
      <c r="EL64" s="208" t="n"/>
      <c r="EM64" s="208" t="n"/>
      <c r="EN64" s="208" t="n"/>
      <c r="EO64" s="208" t="n"/>
      <c r="EP64" s="208" t="n"/>
      <c r="EQ64" s="208" t="n"/>
      <c r="ER64" s="208" t="n"/>
      <c r="ES64" s="208" t="n"/>
      <c r="ET64" s="208" t="n"/>
      <c r="EU64" s="208" t="n"/>
      <c r="EV64" s="208" t="n"/>
      <c r="EW64" s="208" t="n"/>
      <c r="EX64" s="208" t="n"/>
      <c r="EY64" s="208" t="n"/>
      <c r="EZ64" s="208" t="n"/>
      <c r="FA64" s="208" t="n"/>
      <c r="FB64" s="208" t="n"/>
      <c r="FC64" s="208" t="n"/>
      <c r="FD64" s="208" t="n"/>
      <c r="FE64" s="208" t="n"/>
      <c r="FF64" s="208" t="n"/>
      <c r="FG64" s="208" t="n"/>
      <c r="FH64" s="208" t="n"/>
      <c r="FI64" s="208" t="n"/>
      <c r="FJ64" s="208" t="n"/>
      <c r="FK64" s="208" t="n"/>
      <c r="FL64" s="208" t="n"/>
      <c r="FM64" s="208" t="n"/>
      <c r="FN64" s="208" t="n"/>
      <c r="FO64" s="208" t="n"/>
      <c r="FP64" s="208" t="n"/>
      <c r="FQ64" s="208" t="n"/>
      <c r="FR64" s="208" t="n"/>
      <c r="FS64" s="208" t="n"/>
      <c r="FT64" s="208" t="n"/>
      <c r="FU64" s="208" t="n"/>
      <c r="FV64" s="208" t="n"/>
      <c r="FW64" s="208" t="n"/>
      <c r="FX64" s="208" t="n"/>
      <c r="FY64" s="208" t="n"/>
      <c r="FZ64" s="208" t="n"/>
      <c r="GA64" s="208" t="n"/>
      <c r="GB64" s="208" t="n"/>
      <c r="GC64" s="208" t="n"/>
      <c r="GD64" s="208" t="n"/>
      <c r="GE64" s="208" t="n"/>
      <c r="GF64" s="208" t="n"/>
      <c r="GG64" s="208" t="n"/>
      <c r="GH64" s="208" t="n"/>
      <c r="GI64" s="208" t="n"/>
      <c r="GJ64" s="208" t="n"/>
      <c r="GK64" s="208" t="n"/>
      <c r="GL64" s="208" t="n"/>
      <c r="GM64" s="208" t="n"/>
      <c r="GN64" s="208" t="n"/>
      <c r="GO64" s="208" t="n"/>
      <c r="GP64" s="208" t="n"/>
      <c r="GQ64" s="208" t="n"/>
      <c r="GR64" s="208" t="n"/>
      <c r="GS64" s="208" t="n"/>
      <c r="GT64" s="208" t="n"/>
      <c r="GU64" s="208" t="n"/>
      <c r="GV64" s="208" t="n"/>
      <c r="GW64" s="208" t="n"/>
      <c r="GX64" s="208" t="n"/>
      <c r="GY64" s="208" t="n"/>
      <c r="GZ64" s="208" t="n"/>
      <c r="HA64" s="208" t="n"/>
      <c r="HB64" s="208" t="n"/>
      <c r="HC64" s="208" t="n"/>
      <c r="HD64" s="208" t="n"/>
      <c r="HE64" s="208" t="n"/>
      <c r="HF64" s="208" t="n"/>
      <c r="HG64" s="208" t="n"/>
      <c r="HH64" s="208" t="n"/>
      <c r="HI64" s="208" t="n"/>
      <c r="HJ64" s="208" t="n"/>
      <c r="HK64" s="208" t="n"/>
      <c r="HL64" s="208" t="n"/>
      <c r="HM64" s="208" t="n"/>
      <c r="HN64" s="208" t="n"/>
      <c r="HO64" s="208" t="n"/>
      <c r="HP64" s="208" t="n"/>
      <c r="HQ64" s="208" t="n"/>
      <c r="HR64" s="208" t="n"/>
      <c r="HS64" s="208" t="n"/>
      <c r="HT64" s="208" t="n"/>
      <c r="HU64" s="208" t="n"/>
      <c r="HV64" s="208" t="n"/>
      <c r="HW64" s="208" t="n"/>
      <c r="HX64" s="208" t="n"/>
      <c r="HY64" s="208" t="n"/>
      <c r="HZ64" s="208" t="n"/>
      <c r="IA64" s="208" t="n"/>
      <c r="IB64" s="208" t="n"/>
      <c r="IC64" s="208" t="n"/>
      <c r="ID64" s="208" t="n"/>
      <c r="IE64" s="208" t="n"/>
      <c r="IF64" s="208" t="n"/>
      <c r="IG64" s="208" t="n"/>
      <c r="IH64" s="208" t="n"/>
      <c r="II64" s="208" t="n"/>
      <c r="IJ64" s="208" t="n"/>
      <c r="IK64" s="208" t="n"/>
      <c r="IL64" s="208" t="n"/>
      <c r="IM64" s="208" t="n"/>
      <c r="IN64" s="208" t="n"/>
      <c r="IO64" s="208" t="n"/>
      <c r="IP64" s="208" t="n"/>
      <c r="IQ64" s="208" t="n"/>
      <c r="IR64" s="208" t="n"/>
      <c r="IS64" s="208" t="n"/>
      <c r="IT64" s="208" t="n"/>
      <c r="IU64" s="208" t="n"/>
      <c r="IV64" s="208" t="n"/>
      <c r="IW64" s="208" t="n"/>
      <c r="IX64" s="208" t="n"/>
      <c r="IY64" s="208" t="n"/>
      <c r="IZ64" s="208" t="n"/>
      <c r="JA64" s="208" t="n"/>
      <c r="JB64" s="208" t="n"/>
      <c r="JC64" s="208" t="n"/>
      <c r="JD64" s="208" t="n"/>
      <c r="JE64" s="208" t="n"/>
      <c r="JF64" s="208" t="n"/>
      <c r="JG64" s="208" t="n"/>
      <c r="JH64" s="208" t="n"/>
      <c r="JI64" s="208" t="n"/>
      <c r="JJ64" s="208" t="n"/>
      <c r="JK64" s="208" t="n"/>
      <c r="JL64" s="208" t="n"/>
      <c r="JM64" s="208" t="n"/>
      <c r="JN64" s="208" t="n"/>
      <c r="JO64" s="208" t="n"/>
      <c r="JP64" s="208" t="n"/>
      <c r="JQ64" s="208" t="n"/>
      <c r="JR64" s="208" t="n"/>
      <c r="JS64" s="208" t="n"/>
      <c r="JT64" s="208" t="n"/>
      <c r="JU64" s="208" t="n"/>
      <c r="JV64" s="208" t="n"/>
      <c r="JW64" s="208" t="n"/>
      <c r="JX64" s="208" t="n"/>
      <c r="JY64" s="208" t="n"/>
      <c r="JZ64" s="208" t="n"/>
      <c r="KA64" s="208" t="n"/>
      <c r="KB64" s="208" t="n"/>
      <c r="KC64" s="208" t="n"/>
      <c r="KD64" s="208" t="n"/>
      <c r="KE64" s="208" t="n"/>
      <c r="KF64" s="208" t="n"/>
      <c r="KG64" s="208" t="n"/>
      <c r="KH64" s="208" t="n"/>
      <c r="KI64" s="208" t="n"/>
      <c r="KJ64" s="208" t="n"/>
      <c r="KK64" s="208" t="n"/>
      <c r="KL64" s="208" t="n"/>
      <c r="KM64" s="208" t="n"/>
      <c r="KN64" s="208" t="n"/>
      <c r="KO64" s="208" t="n"/>
      <c r="KP64" s="208" t="n"/>
      <c r="KQ64" s="208" t="n"/>
      <c r="KR64" s="208" t="n"/>
      <c r="KS64" s="208" t="n"/>
      <c r="KT64" s="208" t="n"/>
      <c r="KU64" s="208" t="n"/>
      <c r="KV64" s="208" t="n"/>
      <c r="KW64" s="208" t="n"/>
      <c r="KX64" s="208" t="n"/>
      <c r="KY64" s="208" t="n"/>
      <c r="KZ64" s="208" t="n"/>
      <c r="LA64" s="208" t="n"/>
      <c r="LB64" s="208" t="n"/>
      <c r="LC64" s="208" t="n"/>
      <c r="LD64" s="208" t="n"/>
      <c r="LE64" s="208" t="n"/>
      <c r="LF64" s="208" t="n"/>
      <c r="LG64" s="208" t="n"/>
      <c r="LH64" s="208" t="n"/>
      <c r="LI64" s="208" t="n"/>
      <c r="LJ64" s="208" t="n"/>
      <c r="LK64" s="208" t="n"/>
      <c r="LL64" s="208" t="n"/>
      <c r="LM64" s="208" t="n"/>
      <c r="LN64" s="208" t="n"/>
      <c r="LO64" s="208" t="n"/>
      <c r="LP64" s="208" t="n"/>
      <c r="LQ64" s="208" t="n"/>
      <c r="LR64" s="208" t="n"/>
      <c r="LS64" s="208" t="n"/>
      <c r="LT64" s="208" t="n"/>
      <c r="LU64" s="208" t="n"/>
      <c r="LV64" s="208" t="n"/>
      <c r="LW64" s="208" t="n"/>
      <c r="LX64" s="208" t="n"/>
      <c r="LY64" s="208" t="n"/>
      <c r="LZ64" s="208" t="n"/>
      <c r="MA64" s="208" t="n"/>
      <c r="MB64" s="208" t="n"/>
      <c r="MC64" s="208" t="n"/>
      <c r="MD64" s="208" t="n"/>
      <c r="ME64" s="208" t="n"/>
      <c r="MF64" s="208" t="n"/>
      <c r="MG64" s="208" t="n"/>
      <c r="MH64" s="208" t="n"/>
      <c r="MI64" s="208" t="n"/>
      <c r="MJ64" s="208" t="n"/>
      <c r="MK64" s="208" t="n"/>
      <c r="ML64" s="208" t="n"/>
      <c r="MM64" s="208" t="n"/>
      <c r="MN64" s="208" t="n"/>
      <c r="MO64" s="208" t="n"/>
      <c r="MP64" s="208" t="n"/>
      <c r="MQ64" s="208" t="n"/>
      <c r="MR64" s="208" t="n"/>
      <c r="MS64" s="208" t="n"/>
      <c r="MT64" s="208" t="n"/>
      <c r="MU64" s="208" t="n"/>
      <c r="MV64" s="208" t="n"/>
      <c r="MW64" s="208" t="n"/>
      <c r="MX64" s="208" t="n"/>
      <c r="MY64" s="208" t="n"/>
      <c r="MZ64" s="208" t="n"/>
      <c r="NA64" s="208" t="n"/>
      <c r="NB64" s="208" t="n"/>
      <c r="NC64" s="208" t="n"/>
      <c r="ND64" s="208" t="n"/>
      <c r="NE64" s="208" t="n"/>
      <c r="NF64" s="208" t="n"/>
      <c r="NG64" s="208" t="n"/>
      <c r="NH64" s="208" t="n"/>
      <c r="NI64" s="208" t="n"/>
      <c r="NJ64" s="208" t="n"/>
      <c r="NK64" s="208" t="n"/>
      <c r="NL64" s="208" t="n"/>
      <c r="NM64" s="208" t="n"/>
      <c r="NN64" s="208" t="n"/>
      <c r="NO64" s="208" t="n"/>
      <c r="NP64" s="208" t="n"/>
      <c r="NQ64" s="208" t="n"/>
      <c r="NR64" s="208" t="n"/>
      <c r="NS64" s="208" t="n"/>
      <c r="NT64" s="208" t="n"/>
      <c r="NU64" s="208" t="n"/>
      <c r="NV64" s="208" t="n"/>
      <c r="NW64" s="208" t="n"/>
      <c r="NX64" s="208" t="n"/>
      <c r="NY64" s="208" t="n"/>
      <c r="NZ64" s="208" t="n"/>
      <c r="OA64" s="208" t="n"/>
      <c r="OB64" s="208" t="n"/>
      <c r="OC64" s="208" t="n"/>
      <c r="OD64" s="208" t="n"/>
      <c r="OE64" s="208" t="n"/>
      <c r="OF64" s="208" t="n"/>
      <c r="OG64" s="208" t="n"/>
      <c r="OH64" s="208" t="n"/>
      <c r="OI64" s="208" t="n"/>
      <c r="OJ64" s="208" t="n"/>
      <c r="OK64" s="208" t="n"/>
      <c r="OL64" s="208" t="n"/>
      <c r="OM64" s="208" t="n"/>
      <c r="ON64" s="208" t="n"/>
      <c r="OO64" s="208" t="n"/>
      <c r="OP64" s="208" t="n"/>
      <c r="OQ64" s="208" t="n"/>
      <c r="OR64" s="208" t="n"/>
      <c r="OS64" s="208" t="n"/>
      <c r="OT64" s="208" t="n"/>
      <c r="OU64" s="208" t="n"/>
      <c r="OV64" s="208" t="n"/>
      <c r="OW64" s="208" t="n"/>
      <c r="OX64" s="208" t="n"/>
      <c r="OY64" s="208" t="n"/>
      <c r="OZ64" s="208" t="n"/>
      <c r="PA64" s="208" t="n"/>
      <c r="PB64" s="208" t="n"/>
      <c r="PC64" s="208" t="n"/>
      <c r="PD64" s="208" t="n"/>
      <c r="PE64" s="208" t="n"/>
      <c r="PF64" s="208" t="n"/>
      <c r="PG64" s="208" t="n"/>
      <c r="PH64" s="208" t="n"/>
      <c r="PI64" s="208" t="n"/>
      <c r="PJ64" s="208" t="n"/>
      <c r="PK64" s="208" t="n"/>
      <c r="PL64" s="208" t="n"/>
      <c r="PM64" s="208" t="n"/>
      <c r="PN64" s="208" t="n"/>
      <c r="PO64" s="208" t="n"/>
      <c r="PP64" s="208" t="n"/>
      <c r="PQ64" s="208" t="n"/>
      <c r="PR64" s="208" t="n"/>
      <c r="PS64" s="208" t="n"/>
      <c r="PT64" s="208" t="n"/>
      <c r="PU64" s="208" t="n"/>
      <c r="PV64" s="208" t="n"/>
      <c r="PW64" s="208" t="n"/>
      <c r="PX64" s="208" t="n"/>
      <c r="PY64" s="208" t="n"/>
      <c r="PZ64" s="208" t="n"/>
      <c r="QA64" s="208" t="n"/>
      <c r="QB64" s="208" t="n"/>
      <c r="QC64" s="208" t="n"/>
      <c r="QD64" s="208" t="n"/>
      <c r="QE64" s="208" t="n"/>
      <c r="QF64" s="208" t="n"/>
      <c r="QG64" s="208" t="n"/>
      <c r="QH64" s="208" t="n"/>
      <c r="QI64" s="208" t="n"/>
      <c r="QJ64" s="208" t="n"/>
      <c r="QK64" s="208" t="n"/>
      <c r="QL64" s="208" t="n"/>
      <c r="QM64" s="208" t="n"/>
      <c r="QN64" s="208" t="n"/>
      <c r="QO64" s="208" t="n"/>
      <c r="QP64" s="208" t="n"/>
      <c r="QQ64" s="208" t="n"/>
      <c r="QR64" s="208" t="n"/>
      <c r="QS64" s="208" t="n"/>
      <c r="QT64" s="208" t="n"/>
      <c r="QU64" s="208" t="n"/>
      <c r="QV64" s="208" t="n"/>
      <c r="QW64" s="208" t="n"/>
      <c r="QX64" s="208" t="n"/>
      <c r="QY64" s="208" t="n"/>
      <c r="QZ64" s="208" t="n"/>
      <c r="RA64" s="208" t="n"/>
      <c r="RB64" s="208" t="n"/>
      <c r="RC64" s="208" t="n"/>
      <c r="RD64" s="208" t="n"/>
      <c r="RE64" s="208" t="n"/>
      <c r="RF64" s="208" t="n"/>
      <c r="RG64" s="208" t="n"/>
      <c r="RH64" s="208" t="n"/>
      <c r="RI64" s="208" t="n"/>
      <c r="RJ64" s="208" t="n"/>
      <c r="RK64" s="208" t="n"/>
      <c r="RL64" s="208" t="n"/>
      <c r="RM64" s="208" t="n"/>
      <c r="RN64" s="208" t="n"/>
      <c r="RO64" s="208" t="n"/>
      <c r="RP64" s="208" t="n"/>
      <c r="RQ64" s="208" t="n"/>
      <c r="RR64" s="208" t="n"/>
      <c r="RS64" s="208" t="n"/>
      <c r="RT64" s="208" t="n"/>
      <c r="RU64" s="208" t="n"/>
      <c r="RV64" s="208" t="n"/>
      <c r="RW64" s="208" t="n"/>
      <c r="RX64" s="208" t="n"/>
      <c r="RY64" s="208" t="n"/>
      <c r="RZ64" s="208" t="n"/>
      <c r="SA64" s="208" t="n"/>
      <c r="SB64" s="208" t="n"/>
      <c r="SC64" s="208" t="n"/>
      <c r="SD64" s="208" t="n"/>
      <c r="SE64" s="208" t="n"/>
      <c r="SF64" s="208" t="n"/>
      <c r="SG64" s="208" t="n"/>
      <c r="SH64" s="208" t="n"/>
      <c r="SI64" s="208" t="n"/>
      <c r="SJ64" s="208" t="n"/>
      <c r="SK64" s="208" t="n"/>
      <c r="SL64" s="208" t="n"/>
      <c r="SM64" s="208" t="n"/>
      <c r="SN64" s="208" t="n"/>
      <c r="SO64" s="208" t="n"/>
      <c r="SP64" s="208" t="n"/>
      <c r="SQ64" s="208" t="n"/>
      <c r="SR64" s="208" t="n"/>
      <c r="SS64" s="208" t="n"/>
      <c r="ST64" s="208" t="n"/>
      <c r="SU64" s="208" t="n"/>
      <c r="SV64" s="208" t="n"/>
    </row>
    <row r="65">
      <c r="B65" s="209" t="n">
        <v>1</v>
      </c>
      <c r="C65" s="209" t="inlineStr">
        <is>
          <t>Jurovich Survey</t>
        </is>
      </c>
      <c r="D65" s="209" t="inlineStr">
        <is>
          <t>Stephen</t>
        </is>
      </c>
      <c r="E65" s="209" t="inlineStr">
        <is>
          <t>Murgia</t>
        </is>
      </c>
      <c r="F65" s="209">
        <f>IF(TRIM(D65&amp;E65)="","",TRIM(D65)&amp;" "&amp;TRIM(E65))</f>
        <v/>
      </c>
      <c r="G65" s="209" t="inlineStr">
        <is>
          <t>Perth</t>
        </is>
      </c>
      <c r="H65" s="209" t="inlineStr">
        <is>
          <t>Surveyor</t>
        </is>
      </c>
      <c r="I65" s="209" t="inlineStr">
        <is>
          <t>YES</t>
        </is>
      </c>
      <c r="J65" s="209" t="inlineStr">
        <is>
          <t>YES</t>
        </is>
      </c>
      <c r="K65" s="209" t="inlineStr">
        <is>
          <t>YES</t>
        </is>
      </c>
      <c r="L65" s="209" t="inlineStr">
        <is>
          <t>YES</t>
        </is>
      </c>
      <c r="M65" s="209" t="inlineStr">
        <is>
          <t>Quals Complete</t>
        </is>
      </c>
      <c r="N65" s="209" t="inlineStr">
        <is>
          <t>smurgia@jurovichsurveying.com.au</t>
        </is>
      </c>
      <c r="O65" s="209" t="inlineStr">
        <is>
          <t>0429 345 265</t>
        </is>
      </c>
      <c r="P65" s="209" t="n">
        <v>715100</v>
      </c>
      <c r="Q65" s="209" t="n">
        <v>365699</v>
      </c>
      <c r="R65" s="209" t="inlineStr">
        <is>
          <t>Adhoc</t>
        </is>
      </c>
      <c r="S65" s="210" t="inlineStr">
        <is>
          <t>N/A</t>
        </is>
      </c>
      <c r="T65" s="210" t="inlineStr">
        <is>
          <t>N/A</t>
        </is>
      </c>
      <c r="U65" s="210" t="inlineStr">
        <is>
          <t>N/A</t>
        </is>
      </c>
      <c r="V65" s="210" t="inlineStr">
        <is>
          <t>N/A</t>
        </is>
      </c>
      <c r="W65" s="210" t="inlineStr">
        <is>
          <t>N/A</t>
        </is>
      </c>
      <c r="X65" s="210" t="inlineStr">
        <is>
          <t>N/A</t>
        </is>
      </c>
      <c r="Y65" s="210" t="inlineStr">
        <is>
          <t>N/A</t>
        </is>
      </c>
      <c r="Z65" s="210" t="inlineStr">
        <is>
          <t>N/A</t>
        </is>
      </c>
      <c r="AA65" s="210" t="inlineStr">
        <is>
          <t>N/A</t>
        </is>
      </c>
      <c r="AB65" s="210" t="inlineStr">
        <is>
          <t>N/A</t>
        </is>
      </c>
      <c r="AC65" s="210" t="inlineStr">
        <is>
          <t>N/A</t>
        </is>
      </c>
      <c r="AD65" s="210" t="inlineStr">
        <is>
          <t>N/A</t>
        </is>
      </c>
      <c r="AE65" s="210" t="inlineStr">
        <is>
          <t>N/A</t>
        </is>
      </c>
      <c r="AF65" s="210" t="inlineStr">
        <is>
          <t>N/A</t>
        </is>
      </c>
      <c r="AG65" s="210" t="inlineStr">
        <is>
          <t>N/A</t>
        </is>
      </c>
      <c r="AH65" s="210" t="inlineStr">
        <is>
          <t>N/A</t>
        </is>
      </c>
      <c r="AI65" s="210" t="inlineStr">
        <is>
          <t>N/A</t>
        </is>
      </c>
      <c r="AJ65" s="210" t="inlineStr">
        <is>
          <t>N/A</t>
        </is>
      </c>
      <c r="AK65" s="210" t="inlineStr">
        <is>
          <t>N/A</t>
        </is>
      </c>
      <c r="AL65" s="210" t="inlineStr">
        <is>
          <t>N/A</t>
        </is>
      </c>
      <c r="AM65" s="210" t="inlineStr">
        <is>
          <t>N/A</t>
        </is>
      </c>
      <c r="AN65" s="210" t="inlineStr">
        <is>
          <t>N/A</t>
        </is>
      </c>
      <c r="AO65" s="210" t="inlineStr">
        <is>
          <t>N/A</t>
        </is>
      </c>
      <c r="AP65" s="210" t="inlineStr">
        <is>
          <t>N/A</t>
        </is>
      </c>
      <c r="AQ65" s="210" t="inlineStr">
        <is>
          <t>N/A</t>
        </is>
      </c>
      <c r="AR65" s="210" t="inlineStr">
        <is>
          <t>N/A</t>
        </is>
      </c>
      <c r="AS65" s="210" t="inlineStr">
        <is>
          <t>N/A</t>
        </is>
      </c>
      <c r="AT65" s="210" t="inlineStr">
        <is>
          <t>N/A</t>
        </is>
      </c>
      <c r="AU65" s="210" t="inlineStr">
        <is>
          <t>N/A</t>
        </is>
      </c>
      <c r="AV65" s="210" t="inlineStr">
        <is>
          <t>N/A</t>
        </is>
      </c>
      <c r="AW65" s="210" t="inlineStr">
        <is>
          <t>N/A</t>
        </is>
      </c>
      <c r="AX65" s="210" t="inlineStr">
        <is>
          <t>N/A</t>
        </is>
      </c>
      <c r="AY65" s="210" t="inlineStr">
        <is>
          <t>N/A</t>
        </is>
      </c>
      <c r="AZ65" s="210" t="inlineStr">
        <is>
          <t>N/A</t>
        </is>
      </c>
      <c r="BA65" s="210" t="inlineStr">
        <is>
          <t>N/A</t>
        </is>
      </c>
      <c r="BB65" s="210" t="inlineStr">
        <is>
          <t>N/A</t>
        </is>
      </c>
      <c r="BC65" s="210" t="inlineStr">
        <is>
          <t>N/A</t>
        </is>
      </c>
      <c r="BD65" s="210" t="inlineStr">
        <is>
          <t>N/A</t>
        </is>
      </c>
      <c r="BE65" s="210" t="inlineStr">
        <is>
          <t>N/A</t>
        </is>
      </c>
      <c r="BF65" s="211" t="inlineStr">
        <is>
          <t>PER/PHE AM
RDM</t>
        </is>
      </c>
      <c r="BG65" s="211" t="inlineStr">
        <is>
          <t>PHE/PER PM</t>
        </is>
      </c>
      <c r="BH65" s="210" t="inlineStr">
        <is>
          <t>N/A</t>
        </is>
      </c>
      <c r="BI65" s="210" t="inlineStr">
        <is>
          <t>N/A</t>
        </is>
      </c>
      <c r="BJ65" s="210" t="inlineStr">
        <is>
          <t>N/A</t>
        </is>
      </c>
      <c r="BK65" s="210" t="inlineStr">
        <is>
          <t>N/A</t>
        </is>
      </c>
      <c r="BL65" s="210" t="inlineStr">
        <is>
          <t>N/A</t>
        </is>
      </c>
      <c r="BM65" s="210" t="inlineStr">
        <is>
          <t>N/A</t>
        </is>
      </c>
      <c r="BN65" s="210" t="inlineStr">
        <is>
          <t>N/A</t>
        </is>
      </c>
      <c r="BO65" s="210" t="inlineStr">
        <is>
          <t>N/A</t>
        </is>
      </c>
      <c r="BP65" s="210" t="inlineStr">
        <is>
          <t>N/A</t>
        </is>
      </c>
      <c r="BQ65" s="210" t="inlineStr">
        <is>
          <t>N/A</t>
        </is>
      </c>
      <c r="BR65" s="210" t="inlineStr">
        <is>
          <t>N/A</t>
        </is>
      </c>
      <c r="BS65" s="210" t="inlineStr">
        <is>
          <t>N/A</t>
        </is>
      </c>
      <c r="BT65" s="210" t="inlineStr">
        <is>
          <t>N/A</t>
        </is>
      </c>
      <c r="BU65" s="210" t="inlineStr">
        <is>
          <t>N/A</t>
        </is>
      </c>
      <c r="BV65" s="210" t="inlineStr">
        <is>
          <t>N/A</t>
        </is>
      </c>
      <c r="BW65" s="210" t="inlineStr">
        <is>
          <t>N/A</t>
        </is>
      </c>
      <c r="BX65" s="210" t="inlineStr">
        <is>
          <t>N/A</t>
        </is>
      </c>
      <c r="BY65" s="210" t="inlineStr">
        <is>
          <t>N/A</t>
        </is>
      </c>
      <c r="BZ65" s="210" t="inlineStr">
        <is>
          <t>N/A</t>
        </is>
      </c>
      <c r="CA65" s="210" t="inlineStr">
        <is>
          <t>N/A</t>
        </is>
      </c>
      <c r="CB65" s="210" t="inlineStr">
        <is>
          <t>N/A</t>
        </is>
      </c>
      <c r="CC65" s="210" t="inlineStr">
        <is>
          <t>N/A</t>
        </is>
      </c>
      <c r="CD65" s="210" t="inlineStr">
        <is>
          <t>N/A</t>
        </is>
      </c>
      <c r="CE65" s="210" t="inlineStr">
        <is>
          <t>N/A</t>
        </is>
      </c>
      <c r="CF65" s="210" t="inlineStr">
        <is>
          <t>N/A</t>
        </is>
      </c>
      <c r="CG65" s="210" t="inlineStr">
        <is>
          <t>N/A</t>
        </is>
      </c>
      <c r="CH65" s="210" t="inlineStr">
        <is>
          <t>N/A</t>
        </is>
      </c>
      <c r="CI65" s="210" t="inlineStr">
        <is>
          <t>N/A</t>
        </is>
      </c>
      <c r="CJ65" s="210" t="inlineStr">
        <is>
          <t>N/A</t>
        </is>
      </c>
      <c r="CK65" s="210" t="inlineStr">
        <is>
          <t>N/A</t>
        </is>
      </c>
      <c r="CL65" s="210" t="inlineStr">
        <is>
          <t>N/A</t>
        </is>
      </c>
      <c r="CM65" s="210" t="inlineStr">
        <is>
          <t>N/A</t>
        </is>
      </c>
      <c r="CN65" s="210" t="inlineStr">
        <is>
          <t>N/A</t>
        </is>
      </c>
      <c r="CO65" s="210" t="inlineStr">
        <is>
          <t>N/A</t>
        </is>
      </c>
      <c r="CP65" s="210" t="inlineStr">
        <is>
          <t>N/A</t>
        </is>
      </c>
      <c r="CQ65" s="210" t="inlineStr">
        <is>
          <t>N/A</t>
        </is>
      </c>
      <c r="CR65" s="210" t="inlineStr">
        <is>
          <t>N/A</t>
        </is>
      </c>
      <c r="CS65" s="210" t="inlineStr">
        <is>
          <t>N/A</t>
        </is>
      </c>
      <c r="CT65" s="210" t="inlineStr">
        <is>
          <t>N/A</t>
        </is>
      </c>
      <c r="CU65" s="210" t="inlineStr">
        <is>
          <t>N/A</t>
        </is>
      </c>
      <c r="CV65" s="210" t="inlineStr">
        <is>
          <t>PER/PHE AM
RDM</t>
        </is>
      </c>
      <c r="CW65" s="210" t="inlineStr">
        <is>
          <t>PHE/PER PM</t>
        </is>
      </c>
      <c r="CX65" s="210" t="inlineStr">
        <is>
          <t>N/A</t>
        </is>
      </c>
      <c r="CY65" s="217" t="inlineStr">
        <is>
          <t>DEMOB</t>
        </is>
      </c>
      <c r="CZ65" s="210" t="inlineStr">
        <is>
          <t>N/A</t>
        </is>
      </c>
      <c r="DA65" s="210" t="inlineStr">
        <is>
          <t>N/A</t>
        </is>
      </c>
      <c r="DB65" s="210" t="inlineStr">
        <is>
          <t>N/A</t>
        </is>
      </c>
      <c r="DC65" s="210" t="inlineStr">
        <is>
          <t>N/A</t>
        </is>
      </c>
      <c r="DD65" s="210" t="inlineStr">
        <is>
          <t>N/A</t>
        </is>
      </c>
      <c r="DE65" s="210" t="inlineStr">
        <is>
          <t>N/A</t>
        </is>
      </c>
      <c r="DF65" s="210" t="inlineStr">
        <is>
          <t>N/A</t>
        </is>
      </c>
      <c r="DG65" s="210" t="inlineStr">
        <is>
          <t>N/A</t>
        </is>
      </c>
      <c r="DH65" s="210" t="inlineStr">
        <is>
          <t>N/A</t>
        </is>
      </c>
      <c r="DI65" s="210" t="inlineStr">
        <is>
          <t>N/A</t>
        </is>
      </c>
      <c r="DJ65" s="210" t="inlineStr">
        <is>
          <t>N/A</t>
        </is>
      </c>
      <c r="DK65" s="210" t="inlineStr">
        <is>
          <t>N/A</t>
        </is>
      </c>
      <c r="DL65" s="210" t="inlineStr">
        <is>
          <t>N/A</t>
        </is>
      </c>
      <c r="DM65" s="210" t="inlineStr">
        <is>
          <t>N/A</t>
        </is>
      </c>
      <c r="DN65" s="210" t="inlineStr">
        <is>
          <t>N/A</t>
        </is>
      </c>
      <c r="DO65" s="210" t="inlineStr">
        <is>
          <t>N/A</t>
        </is>
      </c>
      <c r="DP65" s="210" t="inlineStr">
        <is>
          <t>N/A</t>
        </is>
      </c>
      <c r="DQ65" s="210" t="inlineStr">
        <is>
          <t>N/A</t>
        </is>
      </c>
      <c r="DR65" s="212" t="n"/>
      <c r="DS65" s="212" t="n"/>
      <c r="DT65" s="212" t="n"/>
      <c r="DU65" s="212" t="n"/>
      <c r="DV65" s="212" t="n"/>
      <c r="DW65" s="212" t="n"/>
      <c r="DX65" s="212" t="n"/>
      <c r="DY65" s="212" t="n"/>
      <c r="DZ65" s="212" t="n"/>
      <c r="EA65" s="212" t="n"/>
      <c r="EB65" s="212" t="n"/>
      <c r="EC65" s="212" t="n"/>
      <c r="ED65" s="212" t="n"/>
      <c r="EE65" s="212" t="n"/>
      <c r="EF65" s="212" t="n"/>
      <c r="EG65" s="212" t="n"/>
      <c r="EH65" s="212" t="n"/>
      <c r="EI65" s="212" t="n"/>
      <c r="EJ65" s="212" t="n"/>
      <c r="EK65" s="212" t="n"/>
      <c r="EL65" s="212" t="n"/>
      <c r="EM65" s="212" t="n"/>
      <c r="EN65" s="212" t="n"/>
      <c r="EO65" s="212" t="n"/>
      <c r="EP65" s="212" t="n"/>
      <c r="EQ65" s="212" t="n"/>
      <c r="ER65" s="212" t="n"/>
      <c r="ES65" s="212" t="n"/>
      <c r="ET65" s="212" t="n"/>
      <c r="EU65" s="212" t="n"/>
      <c r="EV65" s="212" t="n"/>
      <c r="EW65" s="212" t="n"/>
      <c r="EX65" s="212" t="n"/>
      <c r="EY65" s="212" t="n"/>
      <c r="EZ65" s="212" t="n"/>
      <c r="FA65" s="212" t="n"/>
      <c r="FB65" s="212" t="n"/>
      <c r="FC65" s="212" t="n"/>
      <c r="FD65" s="212" t="n"/>
      <c r="FE65" s="212" t="n"/>
      <c r="FF65" s="212" t="n"/>
      <c r="FG65" s="212" t="n"/>
      <c r="FH65" s="212" t="n"/>
      <c r="FI65" s="212" t="n"/>
      <c r="FJ65" s="212" t="n"/>
      <c r="FK65" s="212" t="n"/>
      <c r="FL65" s="212" t="n"/>
      <c r="FM65" s="212" t="n"/>
      <c r="FN65" s="212" t="n"/>
      <c r="FO65" s="212" t="n"/>
      <c r="FP65" s="212" t="n"/>
      <c r="FQ65" s="212" t="n"/>
      <c r="FR65" s="212" t="n"/>
      <c r="FS65" s="212" t="n"/>
      <c r="FT65" s="212" t="n"/>
      <c r="FU65" s="212" t="n"/>
      <c r="FV65" s="212" t="n"/>
      <c r="FW65" s="212" t="n"/>
      <c r="FX65" s="212" t="n"/>
      <c r="FY65" s="212" t="n"/>
      <c r="FZ65" s="212" t="n"/>
      <c r="GA65" s="212" t="n"/>
      <c r="GB65" s="212" t="n"/>
      <c r="GC65" s="212" t="n"/>
      <c r="GD65" s="212" t="n"/>
      <c r="GE65" s="212" t="n"/>
      <c r="GF65" s="212" t="n"/>
      <c r="GG65" s="212" t="n"/>
      <c r="GH65" s="212" t="n"/>
      <c r="GI65" s="212" t="n"/>
      <c r="GJ65" s="212" t="n"/>
      <c r="GK65" s="212" t="n"/>
      <c r="GL65" s="212" t="n"/>
      <c r="GM65" s="212" t="n"/>
      <c r="GN65" s="212" t="n"/>
      <c r="GO65" s="212" t="n"/>
      <c r="GP65" s="212" t="n"/>
      <c r="GQ65" s="212" t="n"/>
      <c r="GR65" s="212" t="n"/>
      <c r="GS65" s="212" t="n"/>
      <c r="GT65" s="212" t="n"/>
      <c r="GU65" s="212" t="n"/>
      <c r="GV65" s="212" t="n"/>
      <c r="GW65" s="212" t="n"/>
      <c r="GX65" s="212" t="n"/>
      <c r="GY65" s="212" t="n"/>
      <c r="GZ65" s="212" t="n"/>
      <c r="HA65" s="212" t="n"/>
      <c r="HB65" s="212" t="n"/>
      <c r="HC65" s="212" t="n"/>
      <c r="HD65" s="212" t="n"/>
      <c r="HE65" s="212" t="n"/>
      <c r="HF65" s="212" t="n"/>
      <c r="HG65" s="212" t="n"/>
      <c r="HH65" s="212" t="n"/>
      <c r="HI65" s="212" t="n"/>
      <c r="HJ65" s="212" t="n"/>
      <c r="HK65" s="212" t="n"/>
      <c r="HL65" s="212" t="n"/>
      <c r="HM65" s="212" t="n"/>
      <c r="HN65" s="212" t="n"/>
      <c r="HO65" s="212" t="n"/>
      <c r="HP65" s="212" t="n"/>
      <c r="HQ65" s="212" t="n"/>
      <c r="HR65" s="212" t="n"/>
      <c r="HS65" s="212" t="n"/>
      <c r="HT65" s="212" t="n"/>
      <c r="HU65" s="212" t="n"/>
      <c r="HV65" s="212" t="n"/>
      <c r="HW65" s="212" t="n"/>
      <c r="HX65" s="212" t="n"/>
      <c r="HY65" s="212" t="n"/>
      <c r="HZ65" s="212" t="n"/>
      <c r="IA65" s="212" t="n"/>
      <c r="IB65" s="212" t="n"/>
      <c r="IC65" s="212" t="n"/>
      <c r="ID65" s="212" t="n"/>
      <c r="IE65" s="212" t="n"/>
      <c r="IF65" s="212" t="n"/>
      <c r="IG65" s="212" t="n"/>
      <c r="IH65" s="212" t="n"/>
      <c r="II65" s="212" t="n"/>
      <c r="IJ65" s="212" t="n"/>
      <c r="IK65" s="212" t="n"/>
      <c r="IL65" s="212" t="n"/>
      <c r="IM65" s="212" t="n"/>
      <c r="IN65" s="212" t="n"/>
      <c r="IO65" s="212" t="n"/>
      <c r="IP65" s="212" t="n"/>
      <c r="IQ65" s="212" t="n"/>
      <c r="IR65" s="212" t="n"/>
      <c r="IS65" s="212" t="n"/>
      <c r="IT65" s="212" t="n"/>
      <c r="IU65" s="212" t="n"/>
      <c r="IV65" s="212" t="n"/>
      <c r="IW65" s="212" t="n"/>
      <c r="IX65" s="212" t="n"/>
      <c r="IY65" s="212" t="n"/>
      <c r="IZ65" s="212" t="n"/>
      <c r="JA65" s="212" t="n"/>
      <c r="JB65" s="212" t="n"/>
      <c r="JC65" s="212" t="n"/>
      <c r="JD65" s="212" t="n"/>
      <c r="JE65" s="212" t="n"/>
      <c r="JF65" s="212" t="n"/>
      <c r="JG65" s="212" t="n"/>
      <c r="JH65" s="212" t="n"/>
      <c r="JI65" s="212" t="n"/>
      <c r="JJ65" s="212" t="n"/>
      <c r="JK65" s="212" t="n"/>
      <c r="JL65" s="212" t="n"/>
      <c r="JM65" s="212" t="n"/>
      <c r="JN65" s="212" t="n"/>
      <c r="JO65" s="212" t="n"/>
      <c r="JP65" s="212" t="n"/>
      <c r="JQ65" s="212" t="n"/>
      <c r="JR65" s="212" t="n"/>
      <c r="JS65" s="212" t="n"/>
      <c r="JT65" s="212" t="n"/>
      <c r="JU65" s="212" t="n"/>
      <c r="JV65" s="212" t="n"/>
      <c r="JW65" s="212" t="n"/>
      <c r="JX65" s="212" t="n"/>
      <c r="JY65" s="212" t="n"/>
      <c r="JZ65" s="212" t="n"/>
      <c r="KA65" s="212" t="n"/>
      <c r="KB65" s="212" t="n"/>
      <c r="KC65" s="212" t="n"/>
      <c r="KD65" s="212" t="n"/>
      <c r="KE65" s="212" t="n"/>
      <c r="KF65" s="212" t="n"/>
      <c r="KG65" s="212" t="n"/>
      <c r="KH65" s="212" t="n"/>
      <c r="KI65" s="212" t="n"/>
      <c r="KJ65" s="212" t="n"/>
      <c r="KK65" s="212" t="n"/>
      <c r="KL65" s="212" t="n"/>
      <c r="KM65" s="212" t="n"/>
      <c r="KN65" s="212" t="n"/>
      <c r="KO65" s="212" t="n"/>
      <c r="KP65" s="212" t="n"/>
      <c r="KQ65" s="212" t="n"/>
      <c r="KR65" s="212" t="n"/>
      <c r="KS65" s="212" t="n"/>
      <c r="KT65" s="212" t="n"/>
      <c r="KU65" s="212" t="n"/>
      <c r="KV65" s="212" t="n"/>
      <c r="KW65" s="212" t="n"/>
      <c r="KX65" s="212" t="n"/>
      <c r="KY65" s="212" t="n"/>
      <c r="KZ65" s="212" t="n"/>
      <c r="LA65" s="212" t="n"/>
      <c r="LB65" s="212" t="n"/>
      <c r="LC65" s="212" t="n"/>
      <c r="LD65" s="212" t="n"/>
      <c r="LE65" s="212" t="n"/>
      <c r="LF65" s="212" t="n"/>
      <c r="LG65" s="212" t="n"/>
      <c r="LH65" s="212" t="n"/>
      <c r="LI65" s="212" t="n"/>
      <c r="LJ65" s="212" t="n"/>
      <c r="LK65" s="212" t="n"/>
      <c r="LL65" s="212" t="n"/>
      <c r="LM65" s="212" t="n"/>
      <c r="LN65" s="212" t="n"/>
      <c r="LO65" s="212" t="n"/>
      <c r="LP65" s="212" t="n"/>
      <c r="LQ65" s="212" t="n"/>
      <c r="LR65" s="212" t="n"/>
      <c r="LS65" s="212" t="n"/>
      <c r="LT65" s="212" t="n"/>
      <c r="LU65" s="212" t="n"/>
      <c r="LV65" s="212" t="n"/>
      <c r="LW65" s="212" t="n"/>
      <c r="LX65" s="212" t="n"/>
      <c r="LY65" s="212" t="n"/>
      <c r="LZ65" s="212" t="n"/>
      <c r="MA65" s="212" t="n"/>
      <c r="MB65" s="212" t="n"/>
      <c r="MC65" s="212" t="n"/>
      <c r="MD65" s="212" t="n"/>
      <c r="ME65" s="212" t="n"/>
      <c r="MF65" s="212" t="n"/>
      <c r="MG65" s="212" t="n"/>
      <c r="MH65" s="212" t="n"/>
      <c r="MI65" s="212" t="n"/>
      <c r="MJ65" s="212" t="n"/>
      <c r="MK65" s="212" t="n"/>
      <c r="ML65" s="212" t="n"/>
      <c r="MM65" s="212" t="n"/>
      <c r="MN65" s="212" t="n"/>
      <c r="MO65" s="212" t="n"/>
      <c r="MP65" s="212" t="n"/>
      <c r="MQ65" s="212" t="n"/>
      <c r="MR65" s="212" t="n"/>
      <c r="MS65" s="212" t="n"/>
      <c r="MT65" s="212" t="n"/>
      <c r="MU65" s="212" t="n"/>
      <c r="MV65" s="212" t="n"/>
      <c r="MW65" s="212" t="n"/>
      <c r="MX65" s="212" t="n"/>
      <c r="MY65" s="212" t="n"/>
      <c r="MZ65" s="212" t="n"/>
      <c r="NA65" s="212" t="n"/>
      <c r="NB65" s="212" t="n"/>
      <c r="NC65" s="212" t="n"/>
      <c r="ND65" s="212" t="n"/>
      <c r="NE65" s="212" t="n"/>
      <c r="NF65" s="212" t="n"/>
      <c r="NG65" s="212" t="n"/>
      <c r="NH65" s="212" t="n"/>
      <c r="NI65" s="212" t="n"/>
      <c r="NJ65" s="212" t="n"/>
      <c r="NK65" s="212" t="n"/>
      <c r="NL65" s="212" t="n"/>
      <c r="NM65" s="212" t="n"/>
      <c r="NN65" s="212" t="n"/>
      <c r="NO65" s="212" t="n"/>
      <c r="NP65" s="212" t="n"/>
      <c r="NQ65" s="212" t="n"/>
      <c r="NR65" s="212" t="n"/>
      <c r="NS65" s="212" t="n"/>
      <c r="NT65" s="212" t="n"/>
      <c r="NU65" s="212" t="n"/>
      <c r="NV65" s="212" t="n"/>
      <c r="NW65" s="212" t="n"/>
      <c r="NX65" s="212" t="n"/>
      <c r="NY65" s="212" t="n"/>
      <c r="NZ65" s="212" t="n"/>
      <c r="OA65" s="212" t="n"/>
      <c r="OB65" s="212" t="n"/>
      <c r="OC65" s="212" t="n"/>
      <c r="OD65" s="212" t="n"/>
      <c r="OE65" s="212" t="n"/>
      <c r="OF65" s="212" t="n"/>
      <c r="OG65" s="212" t="n"/>
      <c r="OH65" s="212" t="n"/>
      <c r="OI65" s="212" t="n"/>
      <c r="OJ65" s="212" t="n"/>
      <c r="OK65" s="212" t="n"/>
      <c r="OL65" s="212" t="n"/>
      <c r="OM65" s="212" t="n"/>
      <c r="ON65" s="212" t="n"/>
      <c r="OO65" s="212" t="n"/>
      <c r="OP65" s="212" t="n"/>
      <c r="OQ65" s="212" t="n"/>
      <c r="OR65" s="212" t="n"/>
      <c r="OS65" s="212" t="n"/>
      <c r="OT65" s="212" t="n"/>
      <c r="OU65" s="212" t="n"/>
      <c r="OV65" s="212" t="n"/>
      <c r="OW65" s="212" t="n"/>
      <c r="OX65" s="212" t="n"/>
      <c r="OY65" s="212" t="n"/>
      <c r="OZ65" s="212" t="n"/>
      <c r="PA65" s="212" t="n"/>
      <c r="PB65" s="212" t="n"/>
      <c r="PC65" s="212" t="n"/>
      <c r="PD65" s="212" t="n"/>
      <c r="PE65" s="212" t="n"/>
      <c r="PF65" s="212" t="n"/>
      <c r="PG65" s="212" t="n"/>
      <c r="PH65" s="212" t="n"/>
      <c r="PI65" s="212" t="n"/>
      <c r="PJ65" s="212" t="n"/>
      <c r="PK65" s="212" t="n"/>
      <c r="PL65" s="212" t="n"/>
      <c r="PM65" s="212" t="n"/>
      <c r="PN65" s="212" t="n"/>
      <c r="PO65" s="212" t="n"/>
      <c r="PP65" s="212" t="n"/>
      <c r="PQ65" s="212" t="n"/>
      <c r="PR65" s="212" t="n"/>
      <c r="PS65" s="212" t="n"/>
      <c r="PT65" s="212" t="n"/>
      <c r="PU65" s="212" t="n"/>
      <c r="PV65" s="212" t="n"/>
      <c r="PW65" s="212" t="n"/>
      <c r="PX65" s="212" t="n"/>
      <c r="PY65" s="212" t="n"/>
      <c r="PZ65" s="212" t="n"/>
      <c r="QA65" s="212" t="n"/>
      <c r="QB65" s="212" t="n"/>
      <c r="QC65" s="212" t="n"/>
      <c r="QD65" s="212" t="n"/>
      <c r="QE65" s="212" t="n"/>
      <c r="QF65" s="212" t="n"/>
      <c r="QG65" s="212" t="n"/>
      <c r="QH65" s="212" t="n"/>
      <c r="QI65" s="212" t="n"/>
      <c r="QJ65" s="212" t="n"/>
      <c r="QK65" s="212" t="n"/>
      <c r="QL65" s="212" t="n"/>
      <c r="QM65" s="212" t="n"/>
      <c r="QN65" s="212" t="n"/>
      <c r="QO65" s="212" t="n"/>
      <c r="QP65" s="212" t="n"/>
      <c r="QQ65" s="212" t="n"/>
      <c r="QR65" s="212" t="n"/>
      <c r="QS65" s="212" t="n"/>
      <c r="QT65" s="212" t="n"/>
      <c r="QU65" s="212" t="n"/>
      <c r="QV65" s="212" t="n"/>
      <c r="QW65" s="212" t="n"/>
      <c r="QX65" s="212" t="n"/>
      <c r="QY65" s="212" t="n"/>
      <c r="QZ65" s="212" t="n"/>
      <c r="RA65" s="212" t="n"/>
      <c r="RB65" s="212" t="n"/>
      <c r="RC65" s="212" t="n"/>
      <c r="RD65" s="212" t="n"/>
      <c r="RE65" s="212" t="n"/>
      <c r="RF65" s="212" t="n"/>
      <c r="RG65" s="212" t="n"/>
      <c r="RH65" s="212" t="n"/>
      <c r="RI65" s="212" t="n"/>
      <c r="RJ65" s="212" t="n"/>
      <c r="RK65" s="212" t="n"/>
      <c r="RL65" s="212" t="n"/>
      <c r="RM65" s="212" t="n"/>
      <c r="RN65" s="212" t="n"/>
      <c r="RO65" s="212" t="n"/>
      <c r="RP65" s="212" t="n"/>
      <c r="RQ65" s="212" t="n"/>
      <c r="RR65" s="212" t="n"/>
      <c r="RS65" s="212" t="n"/>
      <c r="RT65" s="212" t="n"/>
      <c r="RU65" s="212" t="n"/>
      <c r="RV65" s="212" t="n"/>
      <c r="RW65" s="212" t="n"/>
      <c r="RX65" s="212" t="n"/>
      <c r="RY65" s="212" t="n"/>
      <c r="RZ65" s="212" t="n"/>
      <c r="SA65" s="212" t="n"/>
      <c r="SB65" s="212" t="n"/>
      <c r="SC65" s="212" t="n"/>
      <c r="SD65" s="212" t="n"/>
      <c r="SE65" s="212" t="n"/>
      <c r="SF65" s="212" t="n"/>
      <c r="SG65" s="212" t="n"/>
      <c r="SH65" s="212" t="n"/>
      <c r="SI65" s="212" t="n"/>
      <c r="SJ65" s="212" t="n"/>
      <c r="SK65" s="212" t="n"/>
      <c r="SL65" s="212" t="n"/>
      <c r="SM65" s="212" t="n"/>
      <c r="SN65" s="212" t="n"/>
      <c r="SO65" s="212" t="n"/>
      <c r="SP65" s="212" t="n"/>
      <c r="SQ65" s="212" t="n"/>
      <c r="SR65" s="212" t="n"/>
      <c r="SS65" s="212" t="n"/>
      <c r="ST65" s="212" t="n"/>
      <c r="SU65" s="212" t="n"/>
      <c r="SV65" s="212" t="n"/>
    </row>
    <row r="66">
      <c r="B66" s="209" t="n"/>
      <c r="C66" s="209" t="n"/>
      <c r="D66" s="209" t="n"/>
      <c r="E66" s="209" t="n"/>
      <c r="F66" s="209">
        <f>IF(TRIM(D66&amp;E66)="","",TRIM(D66)&amp;" "&amp;TRIM(E66))</f>
        <v/>
      </c>
      <c r="G66" s="209" t="n"/>
      <c r="H66" s="209" t="n"/>
      <c r="I66" s="209" t="n"/>
      <c r="J66" s="209" t="n"/>
      <c r="K66" s="209" t="n"/>
      <c r="L66" s="209" t="n"/>
      <c r="M66" s="209" t="n"/>
      <c r="N66" s="209" t="n"/>
      <c r="O66" s="209" t="n"/>
      <c r="P66" s="209" t="n"/>
      <c r="Q66" s="209" t="n"/>
      <c r="R66" s="209" t="n"/>
      <c r="S66" s="212" t="n"/>
      <c r="T66" s="212" t="n"/>
      <c r="U66" s="212" t="n"/>
      <c r="V66" s="212" t="n"/>
      <c r="W66" s="212" t="n"/>
      <c r="X66" s="212" t="n"/>
      <c r="Y66" s="212" t="n"/>
      <c r="Z66" s="212" t="n"/>
      <c r="AA66" s="212" t="n"/>
      <c r="AB66" s="212" t="n"/>
      <c r="AC66" s="212" t="n"/>
      <c r="AD66" s="212" t="n"/>
      <c r="AE66" s="212" t="n"/>
      <c r="AF66" s="212" t="n"/>
      <c r="AG66" s="212" t="n"/>
      <c r="AH66" s="212" t="n"/>
      <c r="AI66" s="212" t="n"/>
      <c r="AJ66" s="212" t="n"/>
      <c r="AK66" s="212" t="n"/>
      <c r="AL66" s="212" t="n"/>
      <c r="AM66" s="212" t="n"/>
      <c r="AN66" s="212" t="n"/>
      <c r="AO66" s="212" t="n"/>
      <c r="AP66" s="212" t="n"/>
      <c r="AQ66" s="212" t="n"/>
      <c r="AR66" s="212" t="n"/>
      <c r="AS66" s="212" t="n"/>
      <c r="AT66" s="212" t="n"/>
      <c r="AU66" s="212" t="n"/>
      <c r="AV66" s="212" t="n"/>
      <c r="AW66" s="212" t="n"/>
      <c r="AX66" s="212" t="n"/>
      <c r="AY66" s="212" t="n"/>
      <c r="AZ66" s="212" t="n"/>
      <c r="BA66" s="212" t="n"/>
      <c r="BB66" s="212" t="n"/>
      <c r="BC66" s="212" t="n"/>
      <c r="BD66" s="212" t="n"/>
      <c r="BE66" s="212" t="n"/>
      <c r="BF66" s="212" t="n"/>
      <c r="BG66" s="212" t="n"/>
      <c r="BH66" s="212" t="n"/>
      <c r="BI66" s="212" t="n"/>
      <c r="BJ66" s="212" t="n"/>
      <c r="BK66" s="212" t="n"/>
      <c r="BL66" s="212" t="n"/>
      <c r="BM66" s="212" t="n"/>
      <c r="BN66" s="212" t="n"/>
      <c r="BO66" s="212" t="n"/>
      <c r="BP66" s="212" t="n"/>
      <c r="BQ66" s="212" t="n"/>
      <c r="BR66" s="212" t="n"/>
      <c r="BS66" s="212" t="n"/>
      <c r="BT66" s="212" t="n"/>
      <c r="BU66" s="212" t="n"/>
      <c r="BV66" s="212" t="n"/>
      <c r="BW66" s="212" t="n"/>
      <c r="BX66" s="212" t="n"/>
      <c r="BY66" s="212" t="n"/>
      <c r="BZ66" s="212" t="n"/>
      <c r="CA66" s="212" t="n"/>
      <c r="CB66" s="212" t="n"/>
      <c r="CC66" s="212" t="n"/>
      <c r="CD66" s="212" t="n"/>
      <c r="CE66" s="212" t="n"/>
      <c r="CF66" s="212" t="n"/>
      <c r="CG66" s="212" t="n"/>
      <c r="CH66" s="212" t="n"/>
      <c r="CI66" s="212" t="n"/>
      <c r="CJ66" s="212" t="n"/>
      <c r="CK66" s="212" t="n"/>
      <c r="CL66" s="212" t="n"/>
      <c r="CM66" s="212" t="n"/>
      <c r="CN66" s="212" t="n"/>
      <c r="CO66" s="212" t="n"/>
      <c r="CP66" s="212" t="n"/>
      <c r="CQ66" s="212" t="n"/>
      <c r="CR66" s="212" t="n"/>
      <c r="CS66" s="212" t="n"/>
      <c r="CT66" s="212" t="n"/>
      <c r="CU66" s="212" t="n"/>
      <c r="CV66" s="212" t="n"/>
      <c r="CW66" s="212" t="n"/>
      <c r="CX66" s="212" t="n"/>
      <c r="CY66" s="212" t="n"/>
      <c r="CZ66" s="212" t="n"/>
      <c r="DA66" s="212" t="n"/>
      <c r="DB66" s="212" t="n"/>
      <c r="DC66" s="212" t="n"/>
      <c r="DD66" s="212" t="n"/>
      <c r="DE66" s="212" t="n"/>
      <c r="DF66" s="212" t="n"/>
      <c r="DG66" s="212" t="n"/>
      <c r="DH66" s="212" t="n"/>
      <c r="DI66" s="212" t="n"/>
      <c r="DJ66" s="212" t="n"/>
      <c r="DK66" s="212" t="n"/>
      <c r="DL66" s="212" t="n"/>
      <c r="DM66" s="212" t="n"/>
      <c r="DN66" s="212" t="n"/>
      <c r="DO66" s="212" t="n"/>
      <c r="DP66" s="212" t="n"/>
      <c r="DQ66" s="212" t="n"/>
      <c r="DR66" s="212" t="n"/>
      <c r="DS66" s="212" t="n"/>
      <c r="DT66" s="212" t="n"/>
      <c r="DU66" s="212" t="n"/>
      <c r="DV66" s="212" t="n"/>
      <c r="DW66" s="212" t="n"/>
      <c r="DX66" s="212" t="n"/>
      <c r="DY66" s="212" t="n"/>
      <c r="DZ66" s="212" t="n"/>
      <c r="EA66" s="212" t="n"/>
      <c r="EB66" s="212" t="n"/>
      <c r="EC66" s="212" t="n"/>
      <c r="ED66" s="212" t="n"/>
      <c r="EE66" s="212" t="n"/>
      <c r="EF66" s="212" t="n"/>
      <c r="EG66" s="212" t="n"/>
      <c r="EH66" s="212" t="n"/>
      <c r="EI66" s="212" t="n"/>
      <c r="EJ66" s="212" t="n"/>
      <c r="EK66" s="212" t="n"/>
      <c r="EL66" s="212" t="n"/>
      <c r="EM66" s="212" t="n"/>
      <c r="EN66" s="212" t="n"/>
      <c r="EO66" s="212" t="n"/>
      <c r="EP66" s="212" t="n"/>
      <c r="EQ66" s="212" t="n"/>
      <c r="ER66" s="212" t="n"/>
      <c r="ES66" s="212" t="n"/>
      <c r="ET66" s="212" t="n"/>
      <c r="EU66" s="212" t="n"/>
      <c r="EV66" s="212" t="n"/>
      <c r="EW66" s="212" t="n"/>
      <c r="EX66" s="212" t="n"/>
      <c r="EY66" s="212" t="n"/>
      <c r="EZ66" s="212" t="n"/>
      <c r="FA66" s="212" t="n"/>
      <c r="FB66" s="212" t="n"/>
      <c r="FC66" s="212" t="n"/>
      <c r="FD66" s="212" t="n"/>
      <c r="FE66" s="212" t="n"/>
      <c r="FF66" s="212" t="n"/>
      <c r="FG66" s="212" t="n"/>
      <c r="FH66" s="212" t="n"/>
      <c r="FI66" s="212" t="n"/>
      <c r="FJ66" s="212" t="n"/>
      <c r="FK66" s="212" t="n"/>
      <c r="FL66" s="212" t="n"/>
      <c r="FM66" s="212" t="n"/>
      <c r="FN66" s="212" t="n"/>
      <c r="FO66" s="212" t="n"/>
      <c r="FP66" s="212" t="n"/>
      <c r="FQ66" s="212" t="n"/>
      <c r="FR66" s="212" t="n"/>
      <c r="FS66" s="212" t="n"/>
      <c r="FT66" s="212" t="n"/>
      <c r="FU66" s="212" t="n"/>
      <c r="FV66" s="212" t="n"/>
      <c r="FW66" s="212" t="n"/>
      <c r="FX66" s="212" t="n"/>
      <c r="FY66" s="212" t="n"/>
      <c r="FZ66" s="212" t="n"/>
      <c r="GA66" s="212" t="n"/>
      <c r="GB66" s="212" t="n"/>
      <c r="GC66" s="212" t="n"/>
      <c r="GD66" s="212" t="n"/>
      <c r="GE66" s="212" t="n"/>
      <c r="GF66" s="212" t="n"/>
      <c r="GG66" s="212" t="n"/>
      <c r="GH66" s="212" t="n"/>
      <c r="GI66" s="212" t="n"/>
      <c r="GJ66" s="212" t="n"/>
      <c r="GK66" s="212" t="n"/>
      <c r="GL66" s="212" t="n"/>
      <c r="GM66" s="212" t="n"/>
      <c r="GN66" s="212" t="n"/>
      <c r="GO66" s="212" t="n"/>
      <c r="GP66" s="212" t="n"/>
      <c r="GQ66" s="212" t="n"/>
      <c r="GR66" s="212" t="n"/>
      <c r="GS66" s="212" t="n"/>
      <c r="GT66" s="212" t="n"/>
      <c r="GU66" s="212" t="n"/>
      <c r="GV66" s="212" t="n"/>
      <c r="GW66" s="212" t="n"/>
      <c r="GX66" s="212" t="n"/>
      <c r="GY66" s="212" t="n"/>
      <c r="GZ66" s="212" t="n"/>
      <c r="HA66" s="212" t="n"/>
      <c r="HB66" s="212" t="n"/>
      <c r="HC66" s="212" t="n"/>
      <c r="HD66" s="212" t="n"/>
      <c r="HE66" s="212" t="n"/>
      <c r="HF66" s="212" t="n"/>
      <c r="HG66" s="212" t="n"/>
      <c r="HH66" s="212" t="n"/>
      <c r="HI66" s="212" t="n"/>
      <c r="HJ66" s="212" t="n"/>
      <c r="HK66" s="212" t="n"/>
      <c r="HL66" s="212" t="n"/>
      <c r="HM66" s="212" t="n"/>
      <c r="HN66" s="212" t="n"/>
      <c r="HO66" s="212" t="n"/>
      <c r="HP66" s="212" t="n"/>
      <c r="HQ66" s="212" t="n"/>
      <c r="HR66" s="212" t="n"/>
      <c r="HS66" s="212" t="n"/>
      <c r="HT66" s="212" t="n"/>
      <c r="HU66" s="212" t="n"/>
      <c r="HV66" s="212" t="n"/>
      <c r="HW66" s="212" t="n"/>
      <c r="HX66" s="212" t="n"/>
      <c r="HY66" s="212" t="n"/>
      <c r="HZ66" s="212" t="n"/>
      <c r="IA66" s="212" t="n"/>
      <c r="IB66" s="212" t="n"/>
      <c r="IC66" s="212" t="n"/>
      <c r="ID66" s="212" t="n"/>
      <c r="IE66" s="212" t="n"/>
      <c r="IF66" s="212" t="n"/>
      <c r="IG66" s="212" t="n"/>
      <c r="IH66" s="212" t="n"/>
      <c r="II66" s="212" t="n"/>
      <c r="IJ66" s="212" t="n"/>
      <c r="IK66" s="212" t="n"/>
      <c r="IL66" s="212" t="n"/>
      <c r="IM66" s="212" t="n"/>
      <c r="IN66" s="212" t="n"/>
      <c r="IO66" s="212" t="n"/>
      <c r="IP66" s="212" t="n"/>
      <c r="IQ66" s="212" t="n"/>
      <c r="IR66" s="212" t="n"/>
      <c r="IS66" s="212" t="n"/>
      <c r="IT66" s="212" t="n"/>
      <c r="IU66" s="212" t="n"/>
      <c r="IV66" s="212" t="n"/>
      <c r="IW66" s="212" t="n"/>
      <c r="IX66" s="212" t="n"/>
      <c r="IY66" s="212" t="n"/>
      <c r="IZ66" s="212" t="n"/>
      <c r="JA66" s="212" t="n"/>
      <c r="JB66" s="212" t="n"/>
      <c r="JC66" s="212" t="n"/>
      <c r="JD66" s="212" t="n"/>
      <c r="JE66" s="212" t="n"/>
      <c r="JF66" s="212" t="n"/>
      <c r="JG66" s="212" t="n"/>
      <c r="JH66" s="212" t="n"/>
      <c r="JI66" s="212" t="n"/>
      <c r="JJ66" s="212" t="n"/>
      <c r="JK66" s="212" t="n"/>
      <c r="JL66" s="212" t="n"/>
      <c r="JM66" s="212" t="n"/>
      <c r="JN66" s="212" t="n"/>
      <c r="JO66" s="212" t="n"/>
      <c r="JP66" s="212" t="n"/>
      <c r="JQ66" s="212" t="n"/>
      <c r="JR66" s="212" t="n"/>
      <c r="JS66" s="212" t="n"/>
      <c r="JT66" s="212" t="n"/>
      <c r="JU66" s="212" t="n"/>
      <c r="JV66" s="212" t="n"/>
      <c r="JW66" s="212" t="n"/>
      <c r="JX66" s="212" t="n"/>
      <c r="JY66" s="212" t="n"/>
      <c r="JZ66" s="212" t="n"/>
      <c r="KA66" s="212" t="n"/>
      <c r="KB66" s="212" t="n"/>
      <c r="KC66" s="212" t="n"/>
      <c r="KD66" s="212" t="n"/>
      <c r="KE66" s="212" t="n"/>
      <c r="KF66" s="212" t="n"/>
      <c r="KG66" s="212" t="n"/>
      <c r="KH66" s="212" t="n"/>
      <c r="KI66" s="212" t="n"/>
      <c r="KJ66" s="212" t="n"/>
      <c r="KK66" s="212" t="n"/>
      <c r="KL66" s="212" t="n"/>
      <c r="KM66" s="212" t="n"/>
      <c r="KN66" s="212" t="n"/>
      <c r="KO66" s="212" t="n"/>
      <c r="KP66" s="212" t="n"/>
      <c r="KQ66" s="212" t="n"/>
      <c r="KR66" s="212" t="n"/>
      <c r="KS66" s="212" t="n"/>
      <c r="KT66" s="212" t="n"/>
      <c r="KU66" s="212" t="n"/>
      <c r="KV66" s="212" t="n"/>
      <c r="KW66" s="212" t="n"/>
      <c r="KX66" s="212" t="n"/>
      <c r="KY66" s="212" t="n"/>
      <c r="KZ66" s="212" t="n"/>
      <c r="LA66" s="212" t="n"/>
      <c r="LB66" s="212" t="n"/>
      <c r="LC66" s="212" t="n"/>
      <c r="LD66" s="212" t="n"/>
      <c r="LE66" s="212" t="n"/>
      <c r="LF66" s="212" t="n"/>
      <c r="LG66" s="212" t="n"/>
      <c r="LH66" s="212" t="n"/>
      <c r="LI66" s="212" t="n"/>
      <c r="LJ66" s="212" t="n"/>
      <c r="LK66" s="212" t="n"/>
      <c r="LL66" s="212" t="n"/>
      <c r="LM66" s="212" t="n"/>
      <c r="LN66" s="212" t="n"/>
      <c r="LO66" s="212" t="n"/>
      <c r="LP66" s="212" t="n"/>
      <c r="LQ66" s="212" t="n"/>
      <c r="LR66" s="212" t="n"/>
      <c r="LS66" s="212" t="n"/>
      <c r="LT66" s="212" t="n"/>
      <c r="LU66" s="212" t="n"/>
      <c r="LV66" s="212" t="n"/>
      <c r="LW66" s="212" t="n"/>
      <c r="LX66" s="212" t="n"/>
      <c r="LY66" s="212" t="n"/>
      <c r="LZ66" s="212" t="n"/>
      <c r="MA66" s="212" t="n"/>
      <c r="MB66" s="212" t="n"/>
      <c r="MC66" s="212" t="n"/>
      <c r="MD66" s="212" t="n"/>
      <c r="ME66" s="212" t="n"/>
      <c r="MF66" s="212" t="n"/>
      <c r="MG66" s="212" t="n"/>
      <c r="MH66" s="212" t="n"/>
      <c r="MI66" s="212" t="n"/>
      <c r="MJ66" s="212" t="n"/>
      <c r="MK66" s="212" t="n"/>
      <c r="ML66" s="212" t="n"/>
      <c r="MM66" s="212" t="n"/>
      <c r="MN66" s="212" t="n"/>
      <c r="MO66" s="212" t="n"/>
      <c r="MP66" s="212" t="n"/>
      <c r="MQ66" s="212" t="n"/>
      <c r="MR66" s="212" t="n"/>
      <c r="MS66" s="212" t="n"/>
      <c r="MT66" s="212" t="n"/>
      <c r="MU66" s="212" t="n"/>
      <c r="MV66" s="212" t="n"/>
      <c r="MW66" s="212" t="n"/>
      <c r="MX66" s="212" t="n"/>
      <c r="MY66" s="212" t="n"/>
      <c r="MZ66" s="212" t="n"/>
      <c r="NA66" s="212" t="n"/>
      <c r="NB66" s="212" t="n"/>
      <c r="NC66" s="212" t="n"/>
      <c r="ND66" s="212" t="n"/>
      <c r="NE66" s="212" t="n"/>
      <c r="NF66" s="212" t="n"/>
      <c r="NG66" s="212" t="n"/>
      <c r="NH66" s="212" t="n"/>
      <c r="NI66" s="212" t="n"/>
      <c r="NJ66" s="212" t="n"/>
      <c r="NK66" s="212" t="n"/>
      <c r="NL66" s="212" t="n"/>
      <c r="NM66" s="212" t="n"/>
      <c r="NN66" s="212" t="n"/>
      <c r="NO66" s="212" t="n"/>
      <c r="NP66" s="212" t="n"/>
      <c r="NQ66" s="212" t="n"/>
      <c r="NR66" s="212" t="n"/>
      <c r="NS66" s="212" t="n"/>
      <c r="NT66" s="212" t="n"/>
      <c r="NU66" s="212" t="n"/>
      <c r="NV66" s="212" t="n"/>
      <c r="NW66" s="212" t="n"/>
      <c r="NX66" s="212" t="n"/>
      <c r="NY66" s="212" t="n"/>
      <c r="NZ66" s="212" t="n"/>
      <c r="OA66" s="212" t="n"/>
      <c r="OB66" s="212" t="n"/>
      <c r="OC66" s="212" t="n"/>
      <c r="OD66" s="212" t="n"/>
      <c r="OE66" s="212" t="n"/>
      <c r="OF66" s="212" t="n"/>
      <c r="OG66" s="212" t="n"/>
      <c r="OH66" s="212" t="n"/>
      <c r="OI66" s="212" t="n"/>
      <c r="OJ66" s="212" t="n"/>
      <c r="OK66" s="212" t="n"/>
      <c r="OL66" s="212" t="n"/>
      <c r="OM66" s="212" t="n"/>
      <c r="ON66" s="212" t="n"/>
      <c r="OO66" s="212" t="n"/>
      <c r="OP66" s="212" t="n"/>
      <c r="OQ66" s="212" t="n"/>
      <c r="OR66" s="212" t="n"/>
      <c r="OS66" s="212" t="n"/>
      <c r="OT66" s="212" t="n"/>
      <c r="OU66" s="212" t="n"/>
      <c r="OV66" s="212" t="n"/>
      <c r="OW66" s="212" t="n"/>
      <c r="OX66" s="212" t="n"/>
      <c r="OY66" s="212" t="n"/>
      <c r="OZ66" s="212" t="n"/>
      <c r="PA66" s="212" t="n"/>
      <c r="PB66" s="212" t="n"/>
      <c r="PC66" s="212" t="n"/>
      <c r="PD66" s="212" t="n"/>
      <c r="PE66" s="212" t="n"/>
      <c r="PF66" s="212" t="n"/>
      <c r="PG66" s="212" t="n"/>
      <c r="PH66" s="212" t="n"/>
      <c r="PI66" s="212" t="n"/>
      <c r="PJ66" s="212" t="n"/>
      <c r="PK66" s="212" t="n"/>
      <c r="PL66" s="212" t="n"/>
      <c r="PM66" s="212" t="n"/>
      <c r="PN66" s="212" t="n"/>
      <c r="PO66" s="212" t="n"/>
      <c r="PP66" s="212" t="n"/>
      <c r="PQ66" s="212" t="n"/>
      <c r="PR66" s="212" t="n"/>
      <c r="PS66" s="212" t="n"/>
      <c r="PT66" s="212" t="n"/>
      <c r="PU66" s="212" t="n"/>
      <c r="PV66" s="212" t="n"/>
      <c r="PW66" s="212" t="n"/>
      <c r="PX66" s="212" t="n"/>
      <c r="PY66" s="212" t="n"/>
      <c r="PZ66" s="212" t="n"/>
      <c r="QA66" s="212" t="n"/>
      <c r="QB66" s="212" t="n"/>
      <c r="QC66" s="212" t="n"/>
      <c r="QD66" s="212" t="n"/>
      <c r="QE66" s="212" t="n"/>
      <c r="QF66" s="212" t="n"/>
      <c r="QG66" s="212" t="n"/>
      <c r="QH66" s="212" t="n"/>
      <c r="QI66" s="212" t="n"/>
      <c r="QJ66" s="212" t="n"/>
      <c r="QK66" s="212" t="n"/>
      <c r="QL66" s="212" t="n"/>
      <c r="QM66" s="212" t="n"/>
      <c r="QN66" s="212" t="n"/>
      <c r="QO66" s="212" t="n"/>
      <c r="QP66" s="212" t="n"/>
      <c r="QQ66" s="212" t="n"/>
      <c r="QR66" s="212" t="n"/>
      <c r="QS66" s="212" t="n"/>
      <c r="QT66" s="212" t="n"/>
      <c r="QU66" s="212" t="n"/>
      <c r="QV66" s="212" t="n"/>
      <c r="QW66" s="212" t="n"/>
      <c r="QX66" s="212" t="n"/>
      <c r="QY66" s="212" t="n"/>
      <c r="QZ66" s="212" t="n"/>
      <c r="RA66" s="212" t="n"/>
      <c r="RB66" s="212" t="n"/>
      <c r="RC66" s="212" t="n"/>
      <c r="RD66" s="212" t="n"/>
      <c r="RE66" s="212" t="n"/>
      <c r="RF66" s="212" t="n"/>
      <c r="RG66" s="212" t="n"/>
      <c r="RH66" s="212" t="n"/>
      <c r="RI66" s="212" t="n"/>
      <c r="RJ66" s="212" t="n"/>
      <c r="RK66" s="212" t="n"/>
      <c r="RL66" s="212" t="n"/>
      <c r="RM66" s="212" t="n"/>
      <c r="RN66" s="212" t="n"/>
      <c r="RO66" s="212" t="n"/>
      <c r="RP66" s="212" t="n"/>
      <c r="RQ66" s="212" t="n"/>
      <c r="RR66" s="212" t="n"/>
      <c r="RS66" s="212" t="n"/>
      <c r="RT66" s="212" t="n"/>
      <c r="RU66" s="212" t="n"/>
      <c r="RV66" s="212" t="n"/>
      <c r="RW66" s="212" t="n"/>
      <c r="RX66" s="212" t="n"/>
      <c r="RY66" s="212" t="n"/>
      <c r="RZ66" s="212" t="n"/>
      <c r="SA66" s="212" t="n"/>
      <c r="SB66" s="212" t="n"/>
      <c r="SC66" s="212" t="n"/>
      <c r="SD66" s="212" t="n"/>
      <c r="SE66" s="212" t="n"/>
      <c r="SF66" s="212" t="n"/>
      <c r="SG66" s="212" t="n"/>
      <c r="SH66" s="212" t="n"/>
      <c r="SI66" s="212" t="n"/>
      <c r="SJ66" s="212" t="n"/>
      <c r="SK66" s="212" t="n"/>
      <c r="SL66" s="212" t="n"/>
      <c r="SM66" s="212" t="n"/>
      <c r="SN66" s="212" t="n"/>
      <c r="SO66" s="212" t="n"/>
      <c r="SP66" s="212" t="n"/>
      <c r="SQ66" s="212" t="n"/>
      <c r="SR66" s="212" t="n"/>
      <c r="SS66" s="212" t="n"/>
      <c r="ST66" s="212" t="n"/>
      <c r="SU66" s="212" t="n"/>
      <c r="SV66" s="212" t="n"/>
    </row>
    <row r="67">
      <c r="B67" s="209" t="n"/>
      <c r="C67" s="209" t="n"/>
      <c r="D67" s="209" t="n"/>
      <c r="E67" s="209" t="n"/>
      <c r="F67" s="209">
        <f>IF(TRIM(D67&amp;E67)="","",TRIM(D67)&amp;" "&amp;TRIM(E67))</f>
        <v/>
      </c>
      <c r="G67" s="209" t="n"/>
      <c r="H67" s="209" t="n"/>
      <c r="I67" s="209" t="n"/>
      <c r="J67" s="209" t="n"/>
      <c r="K67" s="209" t="n"/>
      <c r="L67" s="209" t="n"/>
      <c r="M67" s="209" t="n"/>
      <c r="N67" s="209" t="n"/>
      <c r="O67" s="209" t="n"/>
      <c r="P67" s="209" t="n"/>
      <c r="Q67" s="209" t="n"/>
      <c r="R67" s="209" t="n"/>
      <c r="S67" s="212" t="n"/>
      <c r="T67" s="212" t="n"/>
      <c r="U67" s="212" t="n"/>
      <c r="V67" s="212" t="n"/>
      <c r="W67" s="212" t="n"/>
      <c r="X67" s="212" t="n"/>
      <c r="Y67" s="212" t="n"/>
      <c r="Z67" s="212" t="n"/>
      <c r="AA67" s="212" t="n"/>
      <c r="AB67" s="212" t="n"/>
      <c r="AC67" s="212" t="n"/>
      <c r="AD67" s="212" t="n"/>
      <c r="AE67" s="212" t="n"/>
      <c r="AF67" s="212" t="n"/>
      <c r="AG67" s="212" t="n"/>
      <c r="AH67" s="212" t="n"/>
      <c r="AI67" s="212" t="n"/>
      <c r="AJ67" s="212" t="n"/>
      <c r="AK67" s="212" t="n"/>
      <c r="AL67" s="212" t="n"/>
      <c r="AM67" s="212" t="n"/>
      <c r="AN67" s="212" t="n"/>
      <c r="AO67" s="212" t="n"/>
      <c r="AP67" s="212" t="n"/>
      <c r="AQ67" s="212" t="n"/>
      <c r="AR67" s="212" t="n"/>
      <c r="AS67" s="212" t="n"/>
      <c r="AT67" s="212" t="n"/>
      <c r="AU67" s="212" t="n"/>
      <c r="AV67" s="212" t="n"/>
      <c r="AW67" s="212" t="n"/>
      <c r="AX67" s="212" t="n"/>
      <c r="AY67" s="212" t="n"/>
      <c r="AZ67" s="212" t="n"/>
      <c r="BA67" s="212" t="n"/>
      <c r="BB67" s="212" t="n"/>
      <c r="BC67" s="212" t="n"/>
      <c r="BD67" s="212" t="n"/>
      <c r="BE67" s="212" t="n"/>
      <c r="BF67" s="212" t="n"/>
      <c r="BG67" s="212" t="n"/>
      <c r="BH67" s="212" t="n"/>
      <c r="BI67" s="212" t="n"/>
      <c r="BJ67" s="212" t="n"/>
      <c r="BK67" s="212" t="n"/>
      <c r="BL67" s="212" t="n"/>
      <c r="BM67" s="212" t="n"/>
      <c r="BN67" s="212" t="n"/>
      <c r="BO67" s="212" t="n"/>
      <c r="BP67" s="212" t="n"/>
      <c r="BQ67" s="212" t="n"/>
      <c r="BR67" s="212" t="n"/>
      <c r="BS67" s="212" t="n"/>
      <c r="BT67" s="212" t="n"/>
      <c r="BU67" s="212" t="n"/>
      <c r="BV67" s="212" t="n"/>
      <c r="BW67" s="212" t="n"/>
      <c r="BX67" s="212" t="n"/>
      <c r="BY67" s="212" t="n"/>
      <c r="BZ67" s="212" t="n"/>
      <c r="CA67" s="212" t="n"/>
      <c r="CB67" s="212" t="n"/>
      <c r="CC67" s="212" t="n"/>
      <c r="CD67" s="212" t="n"/>
      <c r="CE67" s="212" t="n"/>
      <c r="CF67" s="212" t="n"/>
      <c r="CG67" s="212" t="n"/>
      <c r="CH67" s="212" t="n"/>
      <c r="CI67" s="212" t="n"/>
      <c r="CJ67" s="212" t="n"/>
      <c r="CK67" s="212" t="n"/>
      <c r="CL67" s="212" t="n"/>
      <c r="CM67" s="212" t="n"/>
      <c r="CN67" s="212" t="n"/>
      <c r="CO67" s="212" t="n"/>
      <c r="CP67" s="212" t="n"/>
      <c r="CQ67" s="212" t="n"/>
      <c r="CR67" s="212" t="n"/>
      <c r="CS67" s="212" t="n"/>
      <c r="CT67" s="212" t="n"/>
      <c r="CU67" s="212" t="n"/>
      <c r="CV67" s="212" t="n"/>
      <c r="CW67" s="212" t="n"/>
      <c r="CX67" s="212" t="n"/>
      <c r="CY67" s="212" t="n"/>
      <c r="CZ67" s="212" t="n"/>
      <c r="DA67" s="212" t="n"/>
      <c r="DB67" s="212" t="n"/>
      <c r="DC67" s="212" t="n"/>
      <c r="DD67" s="212" t="n"/>
      <c r="DE67" s="212" t="n"/>
      <c r="DF67" s="212" t="n"/>
      <c r="DG67" s="212" t="n"/>
      <c r="DH67" s="212" t="n"/>
      <c r="DI67" s="212" t="n"/>
      <c r="DJ67" s="212" t="n"/>
      <c r="DK67" s="212" t="n"/>
      <c r="DL67" s="212" t="n"/>
      <c r="DM67" s="212" t="n"/>
      <c r="DN67" s="212" t="n"/>
      <c r="DO67" s="212" t="n"/>
      <c r="DP67" s="212" t="n"/>
      <c r="DQ67" s="212" t="n"/>
      <c r="DR67" s="212" t="n"/>
      <c r="DS67" s="212" t="n"/>
      <c r="DT67" s="212" t="n"/>
      <c r="DU67" s="212" t="n"/>
      <c r="DV67" s="212" t="n"/>
      <c r="DW67" s="212" t="n"/>
      <c r="DX67" s="212" t="n"/>
      <c r="DY67" s="212" t="n"/>
      <c r="DZ67" s="212" t="n"/>
      <c r="EA67" s="212" t="n"/>
      <c r="EB67" s="212" t="n"/>
      <c r="EC67" s="212" t="n"/>
      <c r="ED67" s="212" t="n"/>
      <c r="EE67" s="212" t="n"/>
      <c r="EF67" s="212" t="n"/>
      <c r="EG67" s="212" t="n"/>
      <c r="EH67" s="212" t="n"/>
      <c r="EI67" s="212" t="n"/>
      <c r="EJ67" s="212" t="n"/>
      <c r="EK67" s="212" t="n"/>
      <c r="EL67" s="212" t="n"/>
      <c r="EM67" s="212" t="n"/>
      <c r="EN67" s="212" t="n"/>
      <c r="EO67" s="212" t="n"/>
      <c r="EP67" s="212" t="n"/>
      <c r="EQ67" s="212" t="n"/>
      <c r="ER67" s="212" t="n"/>
      <c r="ES67" s="212" t="n"/>
      <c r="ET67" s="212" t="n"/>
      <c r="EU67" s="212" t="n"/>
      <c r="EV67" s="212" t="n"/>
      <c r="EW67" s="212" t="n"/>
      <c r="EX67" s="212" t="n"/>
      <c r="EY67" s="212" t="n"/>
      <c r="EZ67" s="212" t="n"/>
      <c r="FA67" s="212" t="n"/>
      <c r="FB67" s="212" t="n"/>
      <c r="FC67" s="212" t="n"/>
      <c r="FD67" s="212" t="n"/>
      <c r="FE67" s="212" t="n"/>
      <c r="FF67" s="212" t="n"/>
      <c r="FG67" s="212" t="n"/>
      <c r="FH67" s="212" t="n"/>
      <c r="FI67" s="212" t="n"/>
      <c r="FJ67" s="212" t="n"/>
      <c r="FK67" s="212" t="n"/>
      <c r="FL67" s="212" t="n"/>
      <c r="FM67" s="212" t="n"/>
      <c r="FN67" s="212" t="n"/>
      <c r="FO67" s="212" t="n"/>
      <c r="FP67" s="212" t="n"/>
      <c r="FQ67" s="212" t="n"/>
      <c r="FR67" s="212" t="n"/>
      <c r="FS67" s="212" t="n"/>
      <c r="FT67" s="212" t="n"/>
      <c r="FU67" s="212" t="n"/>
      <c r="FV67" s="212" t="n"/>
      <c r="FW67" s="212" t="n"/>
      <c r="FX67" s="212" t="n"/>
      <c r="FY67" s="212" t="n"/>
      <c r="FZ67" s="212" t="n"/>
      <c r="GA67" s="212" t="n"/>
      <c r="GB67" s="212" t="n"/>
      <c r="GC67" s="212" t="n"/>
      <c r="GD67" s="212" t="n"/>
      <c r="GE67" s="212" t="n"/>
      <c r="GF67" s="212" t="n"/>
      <c r="GG67" s="212" t="n"/>
      <c r="GH67" s="212" t="n"/>
      <c r="GI67" s="212" t="n"/>
      <c r="GJ67" s="212" t="n"/>
      <c r="GK67" s="212" t="n"/>
      <c r="GL67" s="212" t="n"/>
      <c r="GM67" s="212" t="n"/>
      <c r="GN67" s="212" t="n"/>
      <c r="GO67" s="212" t="n"/>
      <c r="GP67" s="212" t="n"/>
      <c r="GQ67" s="212" t="n"/>
      <c r="GR67" s="212" t="n"/>
      <c r="GS67" s="212" t="n"/>
      <c r="GT67" s="212" t="n"/>
      <c r="GU67" s="212" t="n"/>
      <c r="GV67" s="212" t="n"/>
      <c r="GW67" s="212" t="n"/>
      <c r="GX67" s="212" t="n"/>
      <c r="GY67" s="212" t="n"/>
      <c r="GZ67" s="212" t="n"/>
      <c r="HA67" s="212" t="n"/>
      <c r="HB67" s="212" t="n"/>
      <c r="HC67" s="212" t="n"/>
      <c r="HD67" s="212" t="n"/>
      <c r="HE67" s="212" t="n"/>
      <c r="HF67" s="212" t="n"/>
      <c r="HG67" s="212" t="n"/>
      <c r="HH67" s="212" t="n"/>
      <c r="HI67" s="212" t="n"/>
      <c r="HJ67" s="212" t="n"/>
      <c r="HK67" s="212" t="n"/>
      <c r="HL67" s="212" t="n"/>
      <c r="HM67" s="212" t="n"/>
      <c r="HN67" s="212" t="n"/>
      <c r="HO67" s="212" t="n"/>
      <c r="HP67" s="212" t="n"/>
      <c r="HQ67" s="212" t="n"/>
      <c r="HR67" s="212" t="n"/>
      <c r="HS67" s="212" t="n"/>
      <c r="HT67" s="212" t="n"/>
      <c r="HU67" s="212" t="n"/>
      <c r="HV67" s="212" t="n"/>
      <c r="HW67" s="212" t="n"/>
      <c r="HX67" s="212" t="n"/>
      <c r="HY67" s="212" t="n"/>
      <c r="HZ67" s="212" t="n"/>
      <c r="IA67" s="212" t="n"/>
      <c r="IB67" s="212" t="n"/>
      <c r="IC67" s="212" t="n"/>
      <c r="ID67" s="212" t="n"/>
      <c r="IE67" s="212" t="n"/>
      <c r="IF67" s="212" t="n"/>
      <c r="IG67" s="212" t="n"/>
      <c r="IH67" s="212" t="n"/>
      <c r="II67" s="212" t="n"/>
      <c r="IJ67" s="212" t="n"/>
      <c r="IK67" s="212" t="n"/>
      <c r="IL67" s="212" t="n"/>
      <c r="IM67" s="212" t="n"/>
      <c r="IN67" s="212" t="n"/>
      <c r="IO67" s="212" t="n"/>
      <c r="IP67" s="212" t="n"/>
      <c r="IQ67" s="212" t="n"/>
      <c r="IR67" s="212" t="n"/>
      <c r="IS67" s="212" t="n"/>
      <c r="IT67" s="212" t="n"/>
      <c r="IU67" s="212" t="n"/>
      <c r="IV67" s="212" t="n"/>
      <c r="IW67" s="212" t="n"/>
      <c r="IX67" s="212" t="n"/>
      <c r="IY67" s="212" t="n"/>
      <c r="IZ67" s="212" t="n"/>
      <c r="JA67" s="212" t="n"/>
      <c r="JB67" s="212" t="n"/>
      <c r="JC67" s="212" t="n"/>
      <c r="JD67" s="212" t="n"/>
      <c r="JE67" s="212" t="n"/>
      <c r="JF67" s="212" t="n"/>
      <c r="JG67" s="212" t="n"/>
      <c r="JH67" s="212" t="n"/>
      <c r="JI67" s="212" t="n"/>
      <c r="JJ67" s="212" t="n"/>
      <c r="JK67" s="212" t="n"/>
      <c r="JL67" s="212" t="n"/>
      <c r="JM67" s="212" t="n"/>
      <c r="JN67" s="212" t="n"/>
      <c r="JO67" s="212" t="n"/>
      <c r="JP67" s="212" t="n"/>
      <c r="JQ67" s="212" t="n"/>
      <c r="JR67" s="212" t="n"/>
      <c r="JS67" s="212" t="n"/>
      <c r="JT67" s="212" t="n"/>
      <c r="JU67" s="212" t="n"/>
      <c r="JV67" s="212" t="n"/>
      <c r="JW67" s="212" t="n"/>
      <c r="JX67" s="212" t="n"/>
      <c r="JY67" s="212" t="n"/>
      <c r="JZ67" s="212" t="n"/>
      <c r="KA67" s="212" t="n"/>
      <c r="KB67" s="212" t="n"/>
      <c r="KC67" s="212" t="n"/>
      <c r="KD67" s="212" t="n"/>
      <c r="KE67" s="212" t="n"/>
      <c r="KF67" s="212" t="n"/>
      <c r="KG67" s="212" t="n"/>
      <c r="KH67" s="212" t="n"/>
      <c r="KI67" s="212" t="n"/>
      <c r="KJ67" s="212" t="n"/>
      <c r="KK67" s="212" t="n"/>
      <c r="KL67" s="212" t="n"/>
      <c r="KM67" s="212" t="n"/>
      <c r="KN67" s="212" t="n"/>
      <c r="KO67" s="212" t="n"/>
      <c r="KP67" s="212" t="n"/>
      <c r="KQ67" s="212" t="n"/>
      <c r="KR67" s="212" t="n"/>
      <c r="KS67" s="212" t="n"/>
      <c r="KT67" s="212" t="n"/>
      <c r="KU67" s="212" t="n"/>
      <c r="KV67" s="212" t="n"/>
      <c r="KW67" s="212" t="n"/>
      <c r="KX67" s="212" t="n"/>
      <c r="KY67" s="212" t="n"/>
      <c r="KZ67" s="212" t="n"/>
      <c r="LA67" s="212" t="n"/>
      <c r="LB67" s="212" t="n"/>
      <c r="LC67" s="212" t="n"/>
      <c r="LD67" s="212" t="n"/>
      <c r="LE67" s="212" t="n"/>
      <c r="LF67" s="212" t="n"/>
      <c r="LG67" s="212" t="n"/>
      <c r="LH67" s="212" t="n"/>
      <c r="LI67" s="212" t="n"/>
      <c r="LJ67" s="212" t="n"/>
      <c r="LK67" s="212" t="n"/>
      <c r="LL67" s="212" t="n"/>
      <c r="LM67" s="212" t="n"/>
      <c r="LN67" s="212" t="n"/>
      <c r="LO67" s="212" t="n"/>
      <c r="LP67" s="212" t="n"/>
      <c r="LQ67" s="212" t="n"/>
      <c r="LR67" s="212" t="n"/>
      <c r="LS67" s="212" t="n"/>
      <c r="LT67" s="212" t="n"/>
      <c r="LU67" s="212" t="n"/>
      <c r="LV67" s="212" t="n"/>
      <c r="LW67" s="212" t="n"/>
      <c r="LX67" s="212" t="n"/>
      <c r="LY67" s="212" t="n"/>
      <c r="LZ67" s="212" t="n"/>
      <c r="MA67" s="212" t="n"/>
      <c r="MB67" s="212" t="n"/>
      <c r="MC67" s="212" t="n"/>
      <c r="MD67" s="212" t="n"/>
      <c r="ME67" s="212" t="n"/>
      <c r="MF67" s="212" t="n"/>
      <c r="MG67" s="212" t="n"/>
      <c r="MH67" s="212" t="n"/>
      <c r="MI67" s="212" t="n"/>
      <c r="MJ67" s="212" t="n"/>
      <c r="MK67" s="212" t="n"/>
      <c r="ML67" s="212" t="n"/>
      <c r="MM67" s="212" t="n"/>
      <c r="MN67" s="212" t="n"/>
      <c r="MO67" s="212" t="n"/>
      <c r="MP67" s="212" t="n"/>
      <c r="MQ67" s="212" t="n"/>
      <c r="MR67" s="212" t="n"/>
      <c r="MS67" s="212" t="n"/>
      <c r="MT67" s="212" t="n"/>
      <c r="MU67" s="212" t="n"/>
      <c r="MV67" s="212" t="n"/>
      <c r="MW67" s="212" t="n"/>
      <c r="MX67" s="212" t="n"/>
      <c r="MY67" s="212" t="n"/>
      <c r="MZ67" s="212" t="n"/>
      <c r="NA67" s="212" t="n"/>
      <c r="NB67" s="212" t="n"/>
      <c r="NC67" s="212" t="n"/>
      <c r="ND67" s="212" t="n"/>
      <c r="NE67" s="212" t="n"/>
      <c r="NF67" s="212" t="n"/>
      <c r="NG67" s="212" t="n"/>
      <c r="NH67" s="212" t="n"/>
      <c r="NI67" s="212" t="n"/>
      <c r="NJ67" s="212" t="n"/>
      <c r="NK67" s="212" t="n"/>
      <c r="NL67" s="212" t="n"/>
      <c r="NM67" s="212" t="n"/>
      <c r="NN67" s="212" t="n"/>
      <c r="NO67" s="212" t="n"/>
      <c r="NP67" s="212" t="n"/>
      <c r="NQ67" s="212" t="n"/>
      <c r="NR67" s="212" t="n"/>
      <c r="NS67" s="212" t="n"/>
      <c r="NT67" s="212" t="n"/>
      <c r="NU67" s="212" t="n"/>
      <c r="NV67" s="212" t="n"/>
      <c r="NW67" s="212" t="n"/>
      <c r="NX67" s="212" t="n"/>
      <c r="NY67" s="212" t="n"/>
      <c r="NZ67" s="212" t="n"/>
      <c r="OA67" s="212" t="n"/>
      <c r="OB67" s="212" t="n"/>
      <c r="OC67" s="212" t="n"/>
      <c r="OD67" s="212" t="n"/>
      <c r="OE67" s="212" t="n"/>
      <c r="OF67" s="212" t="n"/>
      <c r="OG67" s="212" t="n"/>
      <c r="OH67" s="212" t="n"/>
      <c r="OI67" s="212" t="n"/>
      <c r="OJ67" s="212" t="n"/>
      <c r="OK67" s="212" t="n"/>
      <c r="OL67" s="212" t="n"/>
      <c r="OM67" s="212" t="n"/>
      <c r="ON67" s="212" t="n"/>
      <c r="OO67" s="212" t="n"/>
      <c r="OP67" s="212" t="n"/>
      <c r="OQ67" s="212" t="n"/>
      <c r="OR67" s="212" t="n"/>
      <c r="OS67" s="212" t="n"/>
      <c r="OT67" s="212" t="n"/>
      <c r="OU67" s="212" t="n"/>
      <c r="OV67" s="212" t="n"/>
      <c r="OW67" s="212" t="n"/>
      <c r="OX67" s="212" t="n"/>
      <c r="OY67" s="212" t="n"/>
      <c r="OZ67" s="212" t="n"/>
      <c r="PA67" s="212" t="n"/>
      <c r="PB67" s="212" t="n"/>
      <c r="PC67" s="212" t="n"/>
      <c r="PD67" s="212" t="n"/>
      <c r="PE67" s="212" t="n"/>
      <c r="PF67" s="212" t="n"/>
      <c r="PG67" s="212" t="n"/>
      <c r="PH67" s="212" t="n"/>
      <c r="PI67" s="212" t="n"/>
      <c r="PJ67" s="212" t="n"/>
      <c r="PK67" s="212" t="n"/>
      <c r="PL67" s="212" t="n"/>
      <c r="PM67" s="212" t="n"/>
      <c r="PN67" s="212" t="n"/>
      <c r="PO67" s="212" t="n"/>
      <c r="PP67" s="212" t="n"/>
      <c r="PQ67" s="212" t="n"/>
      <c r="PR67" s="212" t="n"/>
      <c r="PS67" s="212" t="n"/>
      <c r="PT67" s="212" t="n"/>
      <c r="PU67" s="212" t="n"/>
      <c r="PV67" s="212" t="n"/>
      <c r="PW67" s="212" t="n"/>
      <c r="PX67" s="212" t="n"/>
      <c r="PY67" s="212" t="n"/>
      <c r="PZ67" s="212" t="n"/>
      <c r="QA67" s="212" t="n"/>
      <c r="QB67" s="212" t="n"/>
      <c r="QC67" s="212" t="n"/>
      <c r="QD67" s="212" t="n"/>
      <c r="QE67" s="212" t="n"/>
      <c r="QF67" s="212" t="n"/>
      <c r="QG67" s="212" t="n"/>
      <c r="QH67" s="212" t="n"/>
      <c r="QI67" s="212" t="n"/>
      <c r="QJ67" s="212" t="n"/>
      <c r="QK67" s="212" t="n"/>
      <c r="QL67" s="212" t="n"/>
      <c r="QM67" s="212" t="n"/>
      <c r="QN67" s="212" t="n"/>
      <c r="QO67" s="212" t="n"/>
      <c r="QP67" s="212" t="n"/>
      <c r="QQ67" s="212" t="n"/>
      <c r="QR67" s="212" t="n"/>
      <c r="QS67" s="212" t="n"/>
      <c r="QT67" s="212" t="n"/>
      <c r="QU67" s="212" t="n"/>
      <c r="QV67" s="212" t="n"/>
      <c r="QW67" s="212" t="n"/>
      <c r="QX67" s="212" t="n"/>
      <c r="QY67" s="212" t="n"/>
      <c r="QZ67" s="212" t="n"/>
      <c r="RA67" s="212" t="n"/>
      <c r="RB67" s="212" t="n"/>
      <c r="RC67" s="212" t="n"/>
      <c r="RD67" s="212" t="n"/>
      <c r="RE67" s="212" t="n"/>
      <c r="RF67" s="212" t="n"/>
      <c r="RG67" s="212" t="n"/>
      <c r="RH67" s="212" t="n"/>
      <c r="RI67" s="212" t="n"/>
      <c r="RJ67" s="212" t="n"/>
      <c r="RK67" s="212" t="n"/>
      <c r="RL67" s="212" t="n"/>
      <c r="RM67" s="212" t="n"/>
      <c r="RN67" s="212" t="n"/>
      <c r="RO67" s="212" t="n"/>
      <c r="RP67" s="212" t="n"/>
      <c r="RQ67" s="212" t="n"/>
      <c r="RR67" s="212" t="n"/>
      <c r="RS67" s="212" t="n"/>
      <c r="RT67" s="212" t="n"/>
      <c r="RU67" s="212" t="n"/>
      <c r="RV67" s="212" t="n"/>
      <c r="RW67" s="212" t="n"/>
      <c r="RX67" s="212" t="n"/>
      <c r="RY67" s="212" t="n"/>
      <c r="RZ67" s="212" t="n"/>
      <c r="SA67" s="212" t="n"/>
      <c r="SB67" s="212" t="n"/>
      <c r="SC67" s="212" t="n"/>
      <c r="SD67" s="212" t="n"/>
      <c r="SE67" s="212" t="n"/>
      <c r="SF67" s="212" t="n"/>
      <c r="SG67" s="212" t="n"/>
      <c r="SH67" s="212" t="n"/>
      <c r="SI67" s="212" t="n"/>
      <c r="SJ67" s="212" t="n"/>
      <c r="SK67" s="212" t="n"/>
      <c r="SL67" s="212" t="n"/>
      <c r="SM67" s="212" t="n"/>
      <c r="SN67" s="212" t="n"/>
      <c r="SO67" s="212" t="n"/>
      <c r="SP67" s="212" t="n"/>
      <c r="SQ67" s="212" t="n"/>
      <c r="SR67" s="212" t="n"/>
      <c r="SS67" s="212" t="n"/>
      <c r="ST67" s="212" t="n"/>
      <c r="SU67" s="212" t="n"/>
      <c r="SV67" s="212" t="n"/>
    </row>
    <row r="68">
      <c r="B68" s="209" t="n"/>
      <c r="C68" s="209" t="n"/>
      <c r="D68" s="209" t="n"/>
      <c r="E68" s="209" t="n"/>
      <c r="F68" s="209">
        <f>IF(TRIM(D68&amp;E68)="","",TRIM(D68)&amp;" "&amp;TRIM(E68))</f>
        <v/>
      </c>
      <c r="G68" s="209" t="n"/>
      <c r="H68" s="209" t="n"/>
      <c r="I68" s="209" t="n"/>
      <c r="J68" s="209" t="n"/>
      <c r="K68" s="209" t="n"/>
      <c r="L68" s="209" t="n"/>
      <c r="M68" s="209" t="n"/>
      <c r="N68" s="209" t="n"/>
      <c r="O68" s="209" t="n"/>
      <c r="P68" s="209" t="n"/>
      <c r="Q68" s="209" t="n"/>
      <c r="R68" s="209" t="n"/>
      <c r="S68" s="212" t="n"/>
      <c r="T68" s="212" t="n"/>
      <c r="U68" s="212" t="n"/>
      <c r="V68" s="212" t="n"/>
      <c r="W68" s="212" t="n"/>
      <c r="X68" s="212" t="n"/>
      <c r="Y68" s="212" t="n"/>
      <c r="Z68" s="212" t="n"/>
      <c r="AA68" s="212" t="n"/>
      <c r="AB68" s="212" t="n"/>
      <c r="AC68" s="212" t="n"/>
      <c r="AD68" s="212" t="n"/>
      <c r="AE68" s="212" t="n"/>
      <c r="AF68" s="212" t="n"/>
      <c r="AG68" s="212" t="n"/>
      <c r="AH68" s="212" t="n"/>
      <c r="AI68" s="212" t="n"/>
      <c r="AJ68" s="212" t="n"/>
      <c r="AK68" s="212" t="n"/>
      <c r="AL68" s="212" t="n"/>
      <c r="AM68" s="212" t="n"/>
      <c r="AN68" s="212" t="n"/>
      <c r="AO68" s="212" t="n"/>
      <c r="AP68" s="212" t="n"/>
      <c r="AQ68" s="212" t="n"/>
      <c r="AR68" s="212" t="n"/>
      <c r="AS68" s="212" t="n"/>
      <c r="AT68" s="212" t="n"/>
      <c r="AU68" s="212" t="n"/>
      <c r="AV68" s="212" t="n"/>
      <c r="AW68" s="212" t="n"/>
      <c r="AX68" s="212" t="n"/>
      <c r="AY68" s="212" t="n"/>
      <c r="AZ68" s="212" t="n"/>
      <c r="BA68" s="212" t="n"/>
      <c r="BB68" s="212" t="n"/>
      <c r="BC68" s="212" t="n"/>
      <c r="BD68" s="212" t="n"/>
      <c r="BE68" s="212" t="n"/>
      <c r="BF68" s="212" t="n"/>
      <c r="BG68" s="212" t="n"/>
      <c r="BH68" s="212" t="n"/>
      <c r="BI68" s="212" t="n"/>
      <c r="BJ68" s="212" t="n"/>
      <c r="BK68" s="212" t="n"/>
      <c r="BL68" s="212" t="n"/>
      <c r="BM68" s="212" t="n"/>
      <c r="BN68" s="212" t="n"/>
      <c r="BO68" s="212" t="n"/>
      <c r="BP68" s="212" t="n"/>
      <c r="BQ68" s="212" t="n"/>
      <c r="BR68" s="212" t="n"/>
      <c r="BS68" s="212" t="n"/>
      <c r="BT68" s="212" t="n"/>
      <c r="BU68" s="212" t="n"/>
      <c r="BV68" s="212" t="n"/>
      <c r="BW68" s="212" t="n"/>
      <c r="BX68" s="212" t="n"/>
      <c r="BY68" s="212" t="n"/>
      <c r="BZ68" s="212" t="n"/>
      <c r="CA68" s="212" t="n"/>
      <c r="CB68" s="212" t="n"/>
      <c r="CC68" s="212" t="n"/>
      <c r="CD68" s="212" t="n"/>
      <c r="CE68" s="212" t="n"/>
      <c r="CF68" s="212" t="n"/>
      <c r="CG68" s="212" t="n"/>
      <c r="CH68" s="212" t="n"/>
      <c r="CI68" s="212" t="n"/>
      <c r="CJ68" s="212" t="n"/>
      <c r="CK68" s="212" t="n"/>
      <c r="CL68" s="212" t="n"/>
      <c r="CM68" s="212" t="n"/>
      <c r="CN68" s="212" t="n"/>
      <c r="CO68" s="212" t="n"/>
      <c r="CP68" s="212" t="n"/>
      <c r="CQ68" s="212" t="n"/>
      <c r="CR68" s="212" t="n"/>
      <c r="CS68" s="212" t="n"/>
      <c r="CT68" s="212" t="n"/>
      <c r="CU68" s="212" t="n"/>
      <c r="CV68" s="212" t="n"/>
      <c r="CW68" s="212" t="n"/>
      <c r="CX68" s="212" t="n"/>
      <c r="CY68" s="212" t="n"/>
      <c r="CZ68" s="212" t="n"/>
      <c r="DA68" s="212" t="n"/>
      <c r="DB68" s="212" t="n"/>
      <c r="DC68" s="212" t="n"/>
      <c r="DD68" s="212" t="n"/>
      <c r="DE68" s="212" t="n"/>
      <c r="DF68" s="212" t="n"/>
      <c r="DG68" s="212" t="n"/>
      <c r="DH68" s="212" t="n"/>
      <c r="DI68" s="212" t="n"/>
      <c r="DJ68" s="212" t="n"/>
      <c r="DK68" s="212" t="n"/>
      <c r="DL68" s="212" t="n"/>
      <c r="DM68" s="212" t="n"/>
      <c r="DN68" s="212" t="n"/>
      <c r="DO68" s="212" t="n"/>
      <c r="DP68" s="212" t="n"/>
      <c r="DQ68" s="212" t="n"/>
      <c r="DR68" s="212" t="n"/>
      <c r="DS68" s="212" t="n"/>
      <c r="DT68" s="212" t="n"/>
      <c r="DU68" s="212" t="n"/>
      <c r="DV68" s="212" t="n"/>
      <c r="DW68" s="212" t="n"/>
      <c r="DX68" s="212" t="n"/>
      <c r="DY68" s="212" t="n"/>
      <c r="DZ68" s="212" t="n"/>
      <c r="EA68" s="212" t="n"/>
      <c r="EB68" s="212" t="n"/>
      <c r="EC68" s="212" t="n"/>
      <c r="ED68" s="212" t="n"/>
      <c r="EE68" s="212" t="n"/>
      <c r="EF68" s="212" t="n"/>
      <c r="EG68" s="212" t="n"/>
      <c r="EH68" s="212" t="n"/>
      <c r="EI68" s="212" t="n"/>
      <c r="EJ68" s="212" t="n"/>
      <c r="EK68" s="212" t="n"/>
      <c r="EL68" s="212" t="n"/>
      <c r="EM68" s="212" t="n"/>
      <c r="EN68" s="212" t="n"/>
      <c r="EO68" s="212" t="n"/>
      <c r="EP68" s="212" t="n"/>
      <c r="EQ68" s="212" t="n"/>
      <c r="ER68" s="212" t="n"/>
      <c r="ES68" s="212" t="n"/>
      <c r="ET68" s="212" t="n"/>
      <c r="EU68" s="212" t="n"/>
      <c r="EV68" s="212" t="n"/>
      <c r="EW68" s="212" t="n"/>
      <c r="EX68" s="212" t="n"/>
      <c r="EY68" s="212" t="n"/>
      <c r="EZ68" s="212" t="n"/>
      <c r="FA68" s="212" t="n"/>
      <c r="FB68" s="212" t="n"/>
      <c r="FC68" s="212" t="n"/>
      <c r="FD68" s="212" t="n"/>
      <c r="FE68" s="212" t="n"/>
      <c r="FF68" s="212" t="n"/>
      <c r="FG68" s="212" t="n"/>
      <c r="FH68" s="212" t="n"/>
      <c r="FI68" s="212" t="n"/>
      <c r="FJ68" s="212" t="n"/>
      <c r="FK68" s="212" t="n"/>
      <c r="FL68" s="212" t="n"/>
      <c r="FM68" s="212" t="n"/>
      <c r="FN68" s="212" t="n"/>
      <c r="FO68" s="212" t="n"/>
      <c r="FP68" s="212" t="n"/>
      <c r="FQ68" s="212" t="n"/>
      <c r="FR68" s="212" t="n"/>
      <c r="FS68" s="212" t="n"/>
      <c r="FT68" s="212" t="n"/>
      <c r="FU68" s="212" t="n"/>
      <c r="FV68" s="212" t="n"/>
      <c r="FW68" s="212" t="n"/>
      <c r="FX68" s="212" t="n"/>
      <c r="FY68" s="212" t="n"/>
      <c r="FZ68" s="212" t="n"/>
      <c r="GA68" s="212" t="n"/>
      <c r="GB68" s="212" t="n"/>
      <c r="GC68" s="212" t="n"/>
      <c r="GD68" s="212" t="n"/>
      <c r="GE68" s="212" t="n"/>
      <c r="GF68" s="212" t="n"/>
      <c r="GG68" s="212" t="n"/>
      <c r="GH68" s="212" t="n"/>
      <c r="GI68" s="212" t="n"/>
      <c r="GJ68" s="212" t="n"/>
      <c r="GK68" s="212" t="n"/>
      <c r="GL68" s="212" t="n"/>
      <c r="GM68" s="212" t="n"/>
      <c r="GN68" s="212" t="n"/>
      <c r="GO68" s="212" t="n"/>
      <c r="GP68" s="212" t="n"/>
      <c r="GQ68" s="212" t="n"/>
      <c r="GR68" s="212" t="n"/>
      <c r="GS68" s="212" t="n"/>
      <c r="GT68" s="212" t="n"/>
      <c r="GU68" s="212" t="n"/>
      <c r="GV68" s="212" t="n"/>
      <c r="GW68" s="212" t="n"/>
      <c r="GX68" s="212" t="n"/>
      <c r="GY68" s="212" t="n"/>
      <c r="GZ68" s="212" t="n"/>
      <c r="HA68" s="212" t="n"/>
      <c r="HB68" s="212" t="n"/>
      <c r="HC68" s="212" t="n"/>
      <c r="HD68" s="212" t="n"/>
      <c r="HE68" s="212" t="n"/>
      <c r="HF68" s="212" t="n"/>
      <c r="HG68" s="212" t="n"/>
      <c r="HH68" s="212" t="n"/>
      <c r="HI68" s="212" t="n"/>
      <c r="HJ68" s="212" t="n"/>
      <c r="HK68" s="212" t="n"/>
      <c r="HL68" s="212" t="n"/>
      <c r="HM68" s="212" t="n"/>
      <c r="HN68" s="212" t="n"/>
      <c r="HO68" s="212" t="n"/>
      <c r="HP68" s="212" t="n"/>
      <c r="HQ68" s="212" t="n"/>
      <c r="HR68" s="212" t="n"/>
      <c r="HS68" s="212" t="n"/>
      <c r="HT68" s="212" t="n"/>
      <c r="HU68" s="212" t="n"/>
      <c r="HV68" s="212" t="n"/>
      <c r="HW68" s="212" t="n"/>
      <c r="HX68" s="212" t="n"/>
      <c r="HY68" s="212" t="n"/>
      <c r="HZ68" s="212" t="n"/>
      <c r="IA68" s="212" t="n"/>
      <c r="IB68" s="212" t="n"/>
      <c r="IC68" s="212" t="n"/>
      <c r="ID68" s="212" t="n"/>
      <c r="IE68" s="212" t="n"/>
      <c r="IF68" s="212" t="n"/>
      <c r="IG68" s="212" t="n"/>
      <c r="IH68" s="212" t="n"/>
      <c r="II68" s="212" t="n"/>
      <c r="IJ68" s="212" t="n"/>
      <c r="IK68" s="212" t="n"/>
      <c r="IL68" s="212" t="n"/>
      <c r="IM68" s="212" t="n"/>
      <c r="IN68" s="212" t="n"/>
      <c r="IO68" s="212" t="n"/>
      <c r="IP68" s="212" t="n"/>
      <c r="IQ68" s="212" t="n"/>
      <c r="IR68" s="212" t="n"/>
      <c r="IS68" s="212" t="n"/>
      <c r="IT68" s="212" t="n"/>
      <c r="IU68" s="212" t="n"/>
      <c r="IV68" s="212" t="n"/>
      <c r="IW68" s="212" t="n"/>
      <c r="IX68" s="212" t="n"/>
      <c r="IY68" s="212" t="n"/>
      <c r="IZ68" s="212" t="n"/>
      <c r="JA68" s="212" t="n"/>
      <c r="JB68" s="212" t="n"/>
      <c r="JC68" s="212" t="n"/>
      <c r="JD68" s="212" t="n"/>
      <c r="JE68" s="212" t="n"/>
      <c r="JF68" s="212" t="n"/>
      <c r="JG68" s="212" t="n"/>
      <c r="JH68" s="212" t="n"/>
      <c r="JI68" s="212" t="n"/>
      <c r="JJ68" s="212" t="n"/>
      <c r="JK68" s="212" t="n"/>
      <c r="JL68" s="212" t="n"/>
      <c r="JM68" s="212" t="n"/>
      <c r="JN68" s="212" t="n"/>
      <c r="JO68" s="212" t="n"/>
      <c r="JP68" s="212" t="n"/>
      <c r="JQ68" s="212" t="n"/>
      <c r="JR68" s="212" t="n"/>
      <c r="JS68" s="212" t="n"/>
      <c r="JT68" s="212" t="n"/>
      <c r="JU68" s="212" t="n"/>
      <c r="JV68" s="212" t="n"/>
      <c r="JW68" s="212" t="n"/>
      <c r="JX68" s="212" t="n"/>
      <c r="JY68" s="212" t="n"/>
      <c r="JZ68" s="212" t="n"/>
      <c r="KA68" s="212" t="n"/>
      <c r="KB68" s="212" t="n"/>
      <c r="KC68" s="212" t="n"/>
      <c r="KD68" s="212" t="n"/>
      <c r="KE68" s="212" t="n"/>
      <c r="KF68" s="212" t="n"/>
      <c r="KG68" s="212" t="n"/>
      <c r="KH68" s="212" t="n"/>
      <c r="KI68" s="212" t="n"/>
      <c r="KJ68" s="212" t="n"/>
      <c r="KK68" s="212" t="n"/>
      <c r="KL68" s="212" t="n"/>
      <c r="KM68" s="212" t="n"/>
      <c r="KN68" s="212" t="n"/>
      <c r="KO68" s="212" t="n"/>
      <c r="KP68" s="212" t="n"/>
      <c r="KQ68" s="212" t="n"/>
      <c r="KR68" s="212" t="n"/>
      <c r="KS68" s="212" t="n"/>
      <c r="KT68" s="212" t="n"/>
      <c r="KU68" s="212" t="n"/>
      <c r="KV68" s="212" t="n"/>
      <c r="KW68" s="212" t="n"/>
      <c r="KX68" s="212" t="n"/>
      <c r="KY68" s="212" t="n"/>
      <c r="KZ68" s="212" t="n"/>
      <c r="LA68" s="212" t="n"/>
      <c r="LB68" s="212" t="n"/>
      <c r="LC68" s="212" t="n"/>
      <c r="LD68" s="212" t="n"/>
      <c r="LE68" s="212" t="n"/>
      <c r="LF68" s="212" t="n"/>
      <c r="LG68" s="212" t="n"/>
      <c r="LH68" s="212" t="n"/>
      <c r="LI68" s="212" t="n"/>
      <c r="LJ68" s="212" t="n"/>
      <c r="LK68" s="212" t="n"/>
      <c r="LL68" s="212" t="n"/>
      <c r="LM68" s="212" t="n"/>
      <c r="LN68" s="212" t="n"/>
      <c r="LO68" s="212" t="n"/>
      <c r="LP68" s="212" t="n"/>
      <c r="LQ68" s="212" t="n"/>
      <c r="LR68" s="212" t="n"/>
      <c r="LS68" s="212" t="n"/>
      <c r="LT68" s="212" t="n"/>
      <c r="LU68" s="212" t="n"/>
      <c r="LV68" s="212" t="n"/>
      <c r="LW68" s="212" t="n"/>
      <c r="LX68" s="212" t="n"/>
      <c r="LY68" s="212" t="n"/>
      <c r="LZ68" s="212" t="n"/>
      <c r="MA68" s="212" t="n"/>
      <c r="MB68" s="212" t="n"/>
      <c r="MC68" s="212" t="n"/>
      <c r="MD68" s="212" t="n"/>
      <c r="ME68" s="212" t="n"/>
      <c r="MF68" s="212" t="n"/>
      <c r="MG68" s="212" t="n"/>
      <c r="MH68" s="212" t="n"/>
      <c r="MI68" s="212" t="n"/>
      <c r="MJ68" s="212" t="n"/>
      <c r="MK68" s="212" t="n"/>
      <c r="ML68" s="212" t="n"/>
      <c r="MM68" s="212" t="n"/>
      <c r="MN68" s="212" t="n"/>
      <c r="MO68" s="212" t="n"/>
      <c r="MP68" s="212" t="n"/>
      <c r="MQ68" s="212" t="n"/>
      <c r="MR68" s="212" t="n"/>
      <c r="MS68" s="212" t="n"/>
      <c r="MT68" s="212" t="n"/>
      <c r="MU68" s="212" t="n"/>
      <c r="MV68" s="212" t="n"/>
      <c r="MW68" s="212" t="n"/>
      <c r="MX68" s="212" t="n"/>
      <c r="MY68" s="212" t="n"/>
      <c r="MZ68" s="212" t="n"/>
      <c r="NA68" s="212" t="n"/>
      <c r="NB68" s="212" t="n"/>
      <c r="NC68" s="212" t="n"/>
      <c r="ND68" s="212" t="n"/>
      <c r="NE68" s="212" t="n"/>
      <c r="NF68" s="212" t="n"/>
      <c r="NG68" s="212" t="n"/>
      <c r="NH68" s="212" t="n"/>
      <c r="NI68" s="212" t="n"/>
      <c r="NJ68" s="212" t="n"/>
      <c r="NK68" s="212" t="n"/>
      <c r="NL68" s="212" t="n"/>
      <c r="NM68" s="212" t="n"/>
      <c r="NN68" s="212" t="n"/>
      <c r="NO68" s="212" t="n"/>
      <c r="NP68" s="212" t="n"/>
      <c r="NQ68" s="212" t="n"/>
      <c r="NR68" s="212" t="n"/>
      <c r="NS68" s="212" t="n"/>
      <c r="NT68" s="212" t="n"/>
      <c r="NU68" s="212" t="n"/>
      <c r="NV68" s="212" t="n"/>
      <c r="NW68" s="212" t="n"/>
      <c r="NX68" s="212" t="n"/>
      <c r="NY68" s="212" t="n"/>
      <c r="NZ68" s="212" t="n"/>
      <c r="OA68" s="212" t="n"/>
      <c r="OB68" s="212" t="n"/>
      <c r="OC68" s="212" t="n"/>
      <c r="OD68" s="212" t="n"/>
      <c r="OE68" s="212" t="n"/>
      <c r="OF68" s="212" t="n"/>
      <c r="OG68" s="212" t="n"/>
      <c r="OH68" s="212" t="n"/>
      <c r="OI68" s="212" t="n"/>
      <c r="OJ68" s="212" t="n"/>
      <c r="OK68" s="212" t="n"/>
      <c r="OL68" s="212" t="n"/>
      <c r="OM68" s="212" t="n"/>
      <c r="ON68" s="212" t="n"/>
      <c r="OO68" s="212" t="n"/>
      <c r="OP68" s="212" t="n"/>
      <c r="OQ68" s="212" t="n"/>
      <c r="OR68" s="212" t="n"/>
      <c r="OS68" s="212" t="n"/>
      <c r="OT68" s="212" t="n"/>
      <c r="OU68" s="212" t="n"/>
      <c r="OV68" s="212" t="n"/>
      <c r="OW68" s="212" t="n"/>
      <c r="OX68" s="212" t="n"/>
      <c r="OY68" s="212" t="n"/>
      <c r="OZ68" s="212" t="n"/>
      <c r="PA68" s="212" t="n"/>
      <c r="PB68" s="212" t="n"/>
      <c r="PC68" s="212" t="n"/>
      <c r="PD68" s="212" t="n"/>
      <c r="PE68" s="212" t="n"/>
      <c r="PF68" s="212" t="n"/>
      <c r="PG68" s="212" t="n"/>
      <c r="PH68" s="212" t="n"/>
      <c r="PI68" s="212" t="n"/>
      <c r="PJ68" s="212" t="n"/>
      <c r="PK68" s="212" t="n"/>
      <c r="PL68" s="212" t="n"/>
      <c r="PM68" s="212" t="n"/>
      <c r="PN68" s="212" t="n"/>
      <c r="PO68" s="212" t="n"/>
      <c r="PP68" s="212" t="n"/>
      <c r="PQ68" s="212" t="n"/>
      <c r="PR68" s="212" t="n"/>
      <c r="PS68" s="212" t="n"/>
      <c r="PT68" s="212" t="n"/>
      <c r="PU68" s="212" t="n"/>
      <c r="PV68" s="212" t="n"/>
      <c r="PW68" s="212" t="n"/>
      <c r="PX68" s="212" t="n"/>
      <c r="PY68" s="212" t="n"/>
      <c r="PZ68" s="212" t="n"/>
      <c r="QA68" s="212" t="n"/>
      <c r="QB68" s="212" t="n"/>
      <c r="QC68" s="212" t="n"/>
      <c r="QD68" s="212" t="n"/>
      <c r="QE68" s="212" t="n"/>
      <c r="QF68" s="212" t="n"/>
      <c r="QG68" s="212" t="n"/>
      <c r="QH68" s="212" t="n"/>
      <c r="QI68" s="212" t="n"/>
      <c r="QJ68" s="212" t="n"/>
      <c r="QK68" s="212" t="n"/>
      <c r="QL68" s="212" t="n"/>
      <c r="QM68" s="212" t="n"/>
      <c r="QN68" s="212" t="n"/>
      <c r="QO68" s="212" t="n"/>
      <c r="QP68" s="212" t="n"/>
      <c r="QQ68" s="212" t="n"/>
      <c r="QR68" s="212" t="n"/>
      <c r="QS68" s="212" t="n"/>
      <c r="QT68" s="212" t="n"/>
      <c r="QU68" s="212" t="n"/>
      <c r="QV68" s="212" t="n"/>
      <c r="QW68" s="212" t="n"/>
      <c r="QX68" s="212" t="n"/>
      <c r="QY68" s="212" t="n"/>
      <c r="QZ68" s="212" t="n"/>
      <c r="RA68" s="212" t="n"/>
      <c r="RB68" s="212" t="n"/>
      <c r="RC68" s="212" t="n"/>
      <c r="RD68" s="212" t="n"/>
      <c r="RE68" s="212" t="n"/>
      <c r="RF68" s="212" t="n"/>
      <c r="RG68" s="212" t="n"/>
      <c r="RH68" s="212" t="n"/>
      <c r="RI68" s="212" t="n"/>
      <c r="RJ68" s="212" t="n"/>
      <c r="RK68" s="212" t="n"/>
      <c r="RL68" s="212" t="n"/>
      <c r="RM68" s="212" t="n"/>
      <c r="RN68" s="212" t="n"/>
      <c r="RO68" s="212" t="n"/>
      <c r="RP68" s="212" t="n"/>
      <c r="RQ68" s="212" t="n"/>
      <c r="RR68" s="212" t="n"/>
      <c r="RS68" s="212" t="n"/>
      <c r="RT68" s="212" t="n"/>
      <c r="RU68" s="212" t="n"/>
      <c r="RV68" s="212" t="n"/>
      <c r="RW68" s="212" t="n"/>
      <c r="RX68" s="212" t="n"/>
      <c r="RY68" s="212" t="n"/>
      <c r="RZ68" s="212" t="n"/>
      <c r="SA68" s="212" t="n"/>
      <c r="SB68" s="212" t="n"/>
      <c r="SC68" s="212" t="n"/>
      <c r="SD68" s="212" t="n"/>
      <c r="SE68" s="212" t="n"/>
      <c r="SF68" s="212" t="n"/>
      <c r="SG68" s="212" t="n"/>
      <c r="SH68" s="212" t="n"/>
      <c r="SI68" s="212" t="n"/>
      <c r="SJ68" s="212" t="n"/>
      <c r="SK68" s="212" t="n"/>
      <c r="SL68" s="212" t="n"/>
      <c r="SM68" s="212" t="n"/>
      <c r="SN68" s="212" t="n"/>
      <c r="SO68" s="212" t="n"/>
      <c r="SP68" s="212" t="n"/>
      <c r="SQ68" s="212" t="n"/>
      <c r="SR68" s="212" t="n"/>
      <c r="SS68" s="212" t="n"/>
      <c r="ST68" s="212" t="n"/>
      <c r="SU68" s="212" t="n"/>
      <c r="SV68" s="212" t="n"/>
    </row>
    <row r="69">
      <c r="B69" s="207" t="n"/>
      <c r="C69" s="207" t="inlineStr">
        <is>
          <t>Demobilised</t>
        </is>
      </c>
      <c r="D69" s="207" t="n"/>
      <c r="E69" s="207" t="n"/>
      <c r="F69" s="207">
        <f>IF(TRIM(D69&amp;E69)="","",TRIM(D69)&amp;" "&amp;TRIM(E69))</f>
        <v/>
      </c>
      <c r="G69" s="207" t="n"/>
      <c r="H69" s="207" t="n"/>
      <c r="I69" s="207" t="n"/>
      <c r="J69" s="207" t="n"/>
      <c r="K69" s="207" t="n"/>
      <c r="L69" s="207" t="n"/>
      <c r="M69" s="207" t="n"/>
      <c r="N69" s="207" t="n"/>
      <c r="O69" s="207" t="n"/>
      <c r="P69" s="207" t="n"/>
      <c r="Q69" s="207" t="n"/>
      <c r="R69" s="207" t="n"/>
      <c r="S69" s="208" t="n"/>
      <c r="T69" s="208" t="n"/>
      <c r="U69" s="208" t="n"/>
      <c r="V69" s="208" t="n"/>
      <c r="W69" s="208" t="n"/>
      <c r="X69" s="208" t="n"/>
      <c r="Y69" s="208" t="n"/>
      <c r="Z69" s="208" t="n"/>
      <c r="AA69" s="208" t="n"/>
      <c r="AB69" s="208" t="n"/>
      <c r="AC69" s="208" t="n"/>
      <c r="AD69" s="208" t="n"/>
      <c r="AE69" s="208" t="n"/>
      <c r="AF69" s="208" t="n"/>
      <c r="AG69" s="208" t="n"/>
      <c r="AH69" s="208" t="n"/>
      <c r="AI69" s="208" t="n"/>
      <c r="AJ69" s="208" t="n"/>
      <c r="AK69" s="208" t="n"/>
      <c r="AL69" s="208" t="n"/>
      <c r="AM69" s="208" t="n"/>
      <c r="AN69" s="208" t="n"/>
      <c r="AO69" s="208" t="n"/>
      <c r="AP69" s="208" t="n"/>
      <c r="AQ69" s="208" t="n"/>
      <c r="AR69" s="208" t="n"/>
      <c r="AS69" s="208" t="n"/>
      <c r="AT69" s="208" t="n"/>
      <c r="AU69" s="208" t="n"/>
      <c r="AV69" s="208" t="n"/>
      <c r="AW69" s="208" t="n"/>
      <c r="AX69" s="208" t="n"/>
      <c r="AY69" s="208" t="n"/>
      <c r="AZ69" s="208" t="n"/>
      <c r="BA69" s="208" t="n"/>
      <c r="BB69" s="208" t="n"/>
      <c r="BC69" s="208" t="n"/>
      <c r="BD69" s="208" t="n"/>
      <c r="BE69" s="208" t="n"/>
      <c r="BF69" s="208" t="n"/>
      <c r="BG69" s="208" t="n"/>
      <c r="BH69" s="208" t="n"/>
      <c r="BI69" s="208" t="n"/>
      <c r="BJ69" s="208" t="n"/>
      <c r="BK69" s="208" t="n"/>
      <c r="BL69" s="208" t="n"/>
      <c r="BM69" s="208" t="n"/>
      <c r="BN69" s="208" t="n"/>
      <c r="BO69" s="208" t="n"/>
      <c r="BP69" s="208" t="n"/>
      <c r="BQ69" s="208" t="n"/>
      <c r="BR69" s="208" t="n"/>
      <c r="BS69" s="208" t="n"/>
      <c r="BT69" s="208" t="n"/>
      <c r="BU69" s="208" t="n"/>
      <c r="BV69" s="208" t="n"/>
      <c r="BW69" s="208" t="n"/>
      <c r="BX69" s="208" t="n"/>
      <c r="BY69" s="208" t="n"/>
      <c r="BZ69" s="208" t="n"/>
      <c r="CA69" s="208" t="n"/>
      <c r="CB69" s="208" t="n"/>
      <c r="CC69" s="208" t="n"/>
      <c r="CD69" s="208" t="n"/>
      <c r="CE69" s="208" t="n"/>
      <c r="CF69" s="208" t="n"/>
      <c r="CG69" s="208" t="n"/>
      <c r="CH69" s="208" t="n"/>
      <c r="CI69" s="208" t="n"/>
      <c r="CJ69" s="208" t="n"/>
      <c r="CK69" s="208" t="n"/>
      <c r="CL69" s="208" t="n"/>
      <c r="CM69" s="208" t="n"/>
      <c r="CN69" s="208" t="n"/>
      <c r="CO69" s="208" t="n"/>
      <c r="CP69" s="208" t="n"/>
      <c r="CQ69" s="208" t="n"/>
      <c r="CR69" s="208" t="n"/>
      <c r="CS69" s="208" t="n"/>
      <c r="CT69" s="208" t="n"/>
      <c r="CU69" s="208" t="n"/>
      <c r="CV69" s="208" t="n"/>
      <c r="CW69" s="208" t="n"/>
      <c r="CX69" s="208" t="n"/>
      <c r="CY69" s="208" t="n"/>
      <c r="CZ69" s="208" t="n"/>
      <c r="DA69" s="208" t="n"/>
      <c r="DB69" s="208" t="n"/>
      <c r="DC69" s="208" t="n"/>
      <c r="DD69" s="208" t="n"/>
      <c r="DE69" s="208" t="n"/>
      <c r="DF69" s="208" t="n"/>
      <c r="DG69" s="208" t="n"/>
      <c r="DH69" s="208" t="n"/>
      <c r="DI69" s="208" t="n"/>
      <c r="DJ69" s="208" t="n"/>
      <c r="DK69" s="208" t="n"/>
      <c r="DL69" s="208" t="n"/>
      <c r="DM69" s="208" t="n"/>
      <c r="DN69" s="208" t="n"/>
      <c r="DO69" s="208" t="n"/>
      <c r="DP69" s="208" t="n"/>
      <c r="DQ69" s="208" t="n"/>
      <c r="DR69" s="208" t="n"/>
      <c r="DS69" s="208" t="n"/>
      <c r="DT69" s="208" t="n"/>
      <c r="DU69" s="208" t="n"/>
      <c r="DV69" s="208" t="n"/>
      <c r="DW69" s="208" t="n"/>
      <c r="DX69" s="208" t="n"/>
      <c r="DY69" s="208" t="n"/>
      <c r="DZ69" s="208" t="n"/>
      <c r="EA69" s="208" t="n"/>
      <c r="EB69" s="208" t="n"/>
      <c r="EC69" s="208" t="n"/>
      <c r="ED69" s="208" t="n"/>
      <c r="EE69" s="208" t="n"/>
      <c r="EF69" s="208" t="n"/>
      <c r="EG69" s="208" t="n"/>
      <c r="EH69" s="208" t="n"/>
      <c r="EI69" s="208" t="n"/>
      <c r="EJ69" s="208" t="n"/>
      <c r="EK69" s="208" t="n"/>
      <c r="EL69" s="208" t="n"/>
      <c r="EM69" s="208" t="n"/>
      <c r="EN69" s="208" t="n"/>
      <c r="EO69" s="208" t="n"/>
      <c r="EP69" s="208" t="n"/>
      <c r="EQ69" s="208" t="n"/>
      <c r="ER69" s="208" t="n"/>
      <c r="ES69" s="208" t="n"/>
      <c r="ET69" s="208" t="n"/>
      <c r="EU69" s="208" t="n"/>
      <c r="EV69" s="208" t="n"/>
      <c r="EW69" s="208" t="n"/>
      <c r="EX69" s="208" t="n"/>
      <c r="EY69" s="208" t="n"/>
      <c r="EZ69" s="208" t="n"/>
      <c r="FA69" s="208" t="n"/>
      <c r="FB69" s="208" t="n"/>
      <c r="FC69" s="208" t="n"/>
      <c r="FD69" s="208" t="n"/>
      <c r="FE69" s="208" t="n"/>
      <c r="FF69" s="208" t="n"/>
      <c r="FG69" s="208" t="n"/>
      <c r="FH69" s="208" t="n"/>
      <c r="FI69" s="208" t="n"/>
      <c r="FJ69" s="208" t="n"/>
      <c r="FK69" s="208" t="n"/>
      <c r="FL69" s="208" t="n"/>
      <c r="FM69" s="208" t="n"/>
      <c r="FN69" s="208" t="n"/>
      <c r="FO69" s="208" t="n"/>
      <c r="FP69" s="208" t="n"/>
      <c r="FQ69" s="208" t="n"/>
      <c r="FR69" s="208" t="n"/>
      <c r="FS69" s="208" t="n"/>
      <c r="FT69" s="208" t="n"/>
      <c r="FU69" s="208" t="n"/>
      <c r="FV69" s="208" t="n"/>
      <c r="FW69" s="208" t="n"/>
      <c r="FX69" s="208" t="n"/>
      <c r="FY69" s="208" t="n"/>
      <c r="FZ69" s="208" t="n"/>
      <c r="GA69" s="208" t="n"/>
      <c r="GB69" s="208" t="n"/>
      <c r="GC69" s="208" t="n"/>
      <c r="GD69" s="208" t="n"/>
      <c r="GE69" s="208" t="n"/>
      <c r="GF69" s="208" t="n"/>
      <c r="GG69" s="208" t="n"/>
      <c r="GH69" s="208" t="n"/>
      <c r="GI69" s="208" t="n"/>
      <c r="GJ69" s="208" t="n"/>
      <c r="GK69" s="208" t="n"/>
      <c r="GL69" s="208" t="n"/>
      <c r="GM69" s="208" t="n"/>
      <c r="GN69" s="208" t="n"/>
      <c r="GO69" s="208" t="n"/>
      <c r="GP69" s="208" t="n"/>
      <c r="GQ69" s="208" t="n"/>
      <c r="GR69" s="208" t="n"/>
      <c r="GS69" s="208" t="n"/>
      <c r="GT69" s="208" t="n"/>
      <c r="GU69" s="208" t="n"/>
      <c r="GV69" s="208" t="n"/>
      <c r="GW69" s="208" t="n"/>
      <c r="GX69" s="208" t="n"/>
      <c r="GY69" s="208" t="n"/>
      <c r="GZ69" s="208" t="n"/>
      <c r="HA69" s="208" t="n"/>
      <c r="HB69" s="208" t="n"/>
      <c r="HC69" s="208" t="n"/>
      <c r="HD69" s="208" t="n"/>
      <c r="HE69" s="208" t="n"/>
      <c r="HF69" s="208" t="n"/>
      <c r="HG69" s="208" t="n"/>
      <c r="HH69" s="208" t="n"/>
      <c r="HI69" s="208" t="n"/>
      <c r="HJ69" s="208" t="n"/>
      <c r="HK69" s="208" t="n"/>
      <c r="HL69" s="208" t="n"/>
      <c r="HM69" s="208" t="n"/>
      <c r="HN69" s="208" t="n"/>
      <c r="HO69" s="208" t="n"/>
      <c r="HP69" s="208" t="n"/>
      <c r="HQ69" s="208" t="n"/>
      <c r="HR69" s="208" t="n"/>
      <c r="HS69" s="208" t="n"/>
      <c r="HT69" s="208" t="n"/>
      <c r="HU69" s="208" t="n"/>
      <c r="HV69" s="208" t="n"/>
      <c r="HW69" s="208" t="n"/>
      <c r="HX69" s="208" t="n"/>
      <c r="HY69" s="208" t="n"/>
      <c r="HZ69" s="208" t="n"/>
      <c r="IA69" s="208" t="n"/>
      <c r="IB69" s="208" t="n"/>
      <c r="IC69" s="208" t="n"/>
      <c r="ID69" s="208" t="n"/>
      <c r="IE69" s="208" t="n"/>
      <c r="IF69" s="208" t="n"/>
      <c r="IG69" s="208" t="n"/>
      <c r="IH69" s="208" t="n"/>
      <c r="II69" s="208" t="n"/>
      <c r="IJ69" s="208" t="n"/>
      <c r="IK69" s="208" t="n"/>
      <c r="IL69" s="208" t="n"/>
      <c r="IM69" s="208" t="n"/>
      <c r="IN69" s="208" t="n"/>
      <c r="IO69" s="208" t="n"/>
      <c r="IP69" s="208" t="n"/>
      <c r="IQ69" s="208" t="n"/>
      <c r="IR69" s="208" t="n"/>
      <c r="IS69" s="208" t="n"/>
      <c r="IT69" s="208" t="n"/>
      <c r="IU69" s="208" t="n"/>
      <c r="IV69" s="208" t="n"/>
      <c r="IW69" s="208" t="n"/>
      <c r="IX69" s="208" t="n"/>
      <c r="IY69" s="208" t="n"/>
      <c r="IZ69" s="208" t="n"/>
      <c r="JA69" s="208" t="n"/>
      <c r="JB69" s="208" t="n"/>
      <c r="JC69" s="208" t="n"/>
      <c r="JD69" s="208" t="n"/>
      <c r="JE69" s="208" t="n"/>
      <c r="JF69" s="208" t="n"/>
      <c r="JG69" s="208" t="n"/>
      <c r="JH69" s="208" t="n"/>
      <c r="JI69" s="208" t="n"/>
      <c r="JJ69" s="208" t="n"/>
      <c r="JK69" s="208" t="n"/>
      <c r="JL69" s="208" t="n"/>
      <c r="JM69" s="208" t="n"/>
      <c r="JN69" s="208" t="n"/>
      <c r="JO69" s="208" t="n"/>
      <c r="JP69" s="208" t="n"/>
      <c r="JQ69" s="208" t="n"/>
      <c r="JR69" s="208" t="n"/>
      <c r="JS69" s="208" t="n"/>
      <c r="JT69" s="208" t="n"/>
      <c r="JU69" s="208" t="n"/>
      <c r="JV69" s="208" t="n"/>
      <c r="JW69" s="208" t="n"/>
      <c r="JX69" s="208" t="n"/>
      <c r="JY69" s="208" t="n"/>
      <c r="JZ69" s="208" t="n"/>
      <c r="KA69" s="208" t="n"/>
      <c r="KB69" s="208" t="n"/>
      <c r="KC69" s="208" t="n"/>
      <c r="KD69" s="208" t="n"/>
      <c r="KE69" s="208" t="n"/>
      <c r="KF69" s="208" t="n"/>
      <c r="KG69" s="208" t="n"/>
      <c r="KH69" s="208" t="n"/>
      <c r="KI69" s="208" t="n"/>
      <c r="KJ69" s="208" t="n"/>
      <c r="KK69" s="208" t="n"/>
      <c r="KL69" s="208" t="n"/>
      <c r="KM69" s="208" t="n"/>
      <c r="KN69" s="208" t="n"/>
      <c r="KO69" s="208" t="n"/>
      <c r="KP69" s="208" t="n"/>
      <c r="KQ69" s="208" t="n"/>
      <c r="KR69" s="208" t="n"/>
      <c r="KS69" s="208" t="n"/>
      <c r="KT69" s="208" t="n"/>
      <c r="KU69" s="208" t="n"/>
      <c r="KV69" s="208" t="n"/>
      <c r="KW69" s="208" t="n"/>
      <c r="KX69" s="208" t="n"/>
      <c r="KY69" s="208" t="n"/>
      <c r="KZ69" s="208" t="n"/>
      <c r="LA69" s="208" t="n"/>
      <c r="LB69" s="208" t="n"/>
      <c r="LC69" s="208" t="n"/>
      <c r="LD69" s="208" t="n"/>
      <c r="LE69" s="208" t="n"/>
      <c r="LF69" s="208" t="n"/>
      <c r="LG69" s="208" t="n"/>
      <c r="LH69" s="208" t="n"/>
      <c r="LI69" s="208" t="n"/>
      <c r="LJ69" s="208" t="n"/>
      <c r="LK69" s="208" t="n"/>
      <c r="LL69" s="208" t="n"/>
      <c r="LM69" s="208" t="n"/>
      <c r="LN69" s="208" t="n"/>
      <c r="LO69" s="208" t="n"/>
      <c r="LP69" s="208" t="n"/>
      <c r="LQ69" s="208" t="n"/>
      <c r="LR69" s="208" t="n"/>
      <c r="LS69" s="208" t="n"/>
      <c r="LT69" s="208" t="n"/>
      <c r="LU69" s="208" t="n"/>
      <c r="LV69" s="208" t="n"/>
      <c r="LW69" s="208" t="n"/>
      <c r="LX69" s="208" t="n"/>
      <c r="LY69" s="208" t="n"/>
      <c r="LZ69" s="208" t="n"/>
      <c r="MA69" s="208" t="n"/>
      <c r="MB69" s="208" t="n"/>
      <c r="MC69" s="208" t="n"/>
      <c r="MD69" s="208" t="n"/>
      <c r="ME69" s="208" t="n"/>
      <c r="MF69" s="208" t="n"/>
      <c r="MG69" s="208" t="n"/>
      <c r="MH69" s="208" t="n"/>
      <c r="MI69" s="208" t="n"/>
      <c r="MJ69" s="208" t="n"/>
      <c r="MK69" s="208" t="n"/>
      <c r="ML69" s="208" t="n"/>
      <c r="MM69" s="208" t="n"/>
      <c r="MN69" s="208" t="n"/>
      <c r="MO69" s="208" t="n"/>
      <c r="MP69" s="208" t="n"/>
      <c r="MQ69" s="208" t="n"/>
      <c r="MR69" s="208" t="n"/>
      <c r="MS69" s="208" t="n"/>
      <c r="MT69" s="208" t="n"/>
      <c r="MU69" s="208" t="n"/>
      <c r="MV69" s="208" t="n"/>
      <c r="MW69" s="208" t="n"/>
      <c r="MX69" s="208" t="n"/>
      <c r="MY69" s="208" t="n"/>
      <c r="MZ69" s="208" t="n"/>
      <c r="NA69" s="208" t="n"/>
      <c r="NB69" s="208" t="n"/>
      <c r="NC69" s="208" t="n"/>
      <c r="ND69" s="208" t="n"/>
      <c r="NE69" s="208" t="n"/>
      <c r="NF69" s="208" t="n"/>
      <c r="NG69" s="208" t="n"/>
      <c r="NH69" s="208" t="n"/>
      <c r="NI69" s="208" t="n"/>
      <c r="NJ69" s="208" t="n"/>
      <c r="NK69" s="208" t="n"/>
      <c r="NL69" s="208" t="n"/>
      <c r="NM69" s="208" t="n"/>
      <c r="NN69" s="208" t="n"/>
      <c r="NO69" s="208" t="n"/>
      <c r="NP69" s="208" t="n"/>
      <c r="NQ69" s="208" t="n"/>
      <c r="NR69" s="208" t="n"/>
      <c r="NS69" s="208" t="n"/>
      <c r="NT69" s="208" t="n"/>
      <c r="NU69" s="208" t="n"/>
      <c r="NV69" s="208" t="n"/>
      <c r="NW69" s="208" t="n"/>
      <c r="NX69" s="208" t="n"/>
      <c r="NY69" s="208" t="n"/>
      <c r="NZ69" s="208" t="n"/>
      <c r="OA69" s="208" t="n"/>
      <c r="OB69" s="208" t="n"/>
      <c r="OC69" s="208" t="n"/>
      <c r="OD69" s="208" t="n"/>
      <c r="OE69" s="208" t="n"/>
      <c r="OF69" s="208" t="n"/>
      <c r="OG69" s="208" t="n"/>
      <c r="OH69" s="208" t="n"/>
      <c r="OI69" s="208" t="n"/>
      <c r="OJ69" s="208" t="n"/>
      <c r="OK69" s="208" t="n"/>
      <c r="OL69" s="208" t="n"/>
      <c r="OM69" s="208" t="n"/>
      <c r="ON69" s="208" t="n"/>
      <c r="OO69" s="208" t="n"/>
      <c r="OP69" s="208" t="n"/>
      <c r="OQ69" s="208" t="n"/>
      <c r="OR69" s="208" t="n"/>
      <c r="OS69" s="208" t="n"/>
      <c r="OT69" s="208" t="n"/>
      <c r="OU69" s="208" t="n"/>
      <c r="OV69" s="208" t="n"/>
      <c r="OW69" s="208" t="n"/>
      <c r="OX69" s="208" t="n"/>
      <c r="OY69" s="208" t="n"/>
      <c r="OZ69" s="208" t="n"/>
      <c r="PA69" s="208" t="n"/>
      <c r="PB69" s="208" t="n"/>
      <c r="PC69" s="208" t="n"/>
      <c r="PD69" s="208" t="n"/>
      <c r="PE69" s="208" t="n"/>
      <c r="PF69" s="208" t="n"/>
      <c r="PG69" s="208" t="n"/>
      <c r="PH69" s="208" t="n"/>
      <c r="PI69" s="208" t="n"/>
      <c r="PJ69" s="208" t="n"/>
      <c r="PK69" s="208" t="n"/>
      <c r="PL69" s="208" t="n"/>
      <c r="PM69" s="208" t="n"/>
      <c r="PN69" s="208" t="n"/>
      <c r="PO69" s="208" t="n"/>
      <c r="PP69" s="208" t="n"/>
      <c r="PQ69" s="208" t="n"/>
      <c r="PR69" s="208" t="n"/>
      <c r="PS69" s="208" t="n"/>
      <c r="PT69" s="208" t="n"/>
      <c r="PU69" s="208" t="n"/>
      <c r="PV69" s="208" t="n"/>
      <c r="PW69" s="208" t="n"/>
      <c r="PX69" s="208" t="n"/>
      <c r="PY69" s="208" t="n"/>
      <c r="PZ69" s="208" t="n"/>
      <c r="QA69" s="208" t="n"/>
      <c r="QB69" s="208" t="n"/>
      <c r="QC69" s="208" t="n"/>
      <c r="QD69" s="208" t="n"/>
      <c r="QE69" s="208" t="n"/>
      <c r="QF69" s="208" t="n"/>
      <c r="QG69" s="208" t="n"/>
      <c r="QH69" s="208" t="n"/>
      <c r="QI69" s="208" t="n"/>
      <c r="QJ69" s="208" t="n"/>
      <c r="QK69" s="208" t="n"/>
      <c r="QL69" s="208" t="n"/>
      <c r="QM69" s="208" t="n"/>
      <c r="QN69" s="208" t="n"/>
      <c r="QO69" s="208" t="n"/>
      <c r="QP69" s="208" t="n"/>
      <c r="QQ69" s="208" t="n"/>
      <c r="QR69" s="208" t="n"/>
      <c r="QS69" s="208" t="n"/>
      <c r="QT69" s="208" t="n"/>
      <c r="QU69" s="208" t="n"/>
      <c r="QV69" s="208" t="n"/>
      <c r="QW69" s="208" t="n"/>
      <c r="QX69" s="208" t="n"/>
      <c r="QY69" s="208" t="n"/>
      <c r="QZ69" s="208" t="n"/>
      <c r="RA69" s="208" t="n"/>
      <c r="RB69" s="208" t="n"/>
      <c r="RC69" s="208" t="n"/>
      <c r="RD69" s="208" t="n"/>
      <c r="RE69" s="208" t="n"/>
      <c r="RF69" s="208" t="n"/>
      <c r="RG69" s="208" t="n"/>
      <c r="RH69" s="208" t="n"/>
      <c r="RI69" s="208" t="n"/>
      <c r="RJ69" s="208" t="n"/>
      <c r="RK69" s="208" t="n"/>
      <c r="RL69" s="208" t="n"/>
      <c r="RM69" s="208" t="n"/>
      <c r="RN69" s="208" t="n"/>
      <c r="RO69" s="208" t="n"/>
      <c r="RP69" s="208" t="n"/>
      <c r="RQ69" s="208" t="n"/>
      <c r="RR69" s="208" t="n"/>
      <c r="RS69" s="208" t="n"/>
      <c r="RT69" s="208" t="n"/>
      <c r="RU69" s="208" t="n"/>
      <c r="RV69" s="208" t="n"/>
      <c r="RW69" s="208" t="n"/>
      <c r="RX69" s="208" t="n"/>
      <c r="RY69" s="208" t="n"/>
      <c r="RZ69" s="208" t="n"/>
      <c r="SA69" s="208" t="n"/>
      <c r="SB69" s="208" t="n"/>
      <c r="SC69" s="208" t="n"/>
      <c r="SD69" s="208" t="n"/>
      <c r="SE69" s="208" t="n"/>
      <c r="SF69" s="208" t="n"/>
      <c r="SG69" s="208" t="n"/>
      <c r="SH69" s="208" t="n"/>
      <c r="SI69" s="208" t="n"/>
      <c r="SJ69" s="208" t="n"/>
      <c r="SK69" s="208" t="n"/>
      <c r="SL69" s="208" t="n"/>
      <c r="SM69" s="208" t="n"/>
      <c r="SN69" s="208" t="n"/>
      <c r="SO69" s="208" t="n"/>
      <c r="SP69" s="208" t="n"/>
      <c r="SQ69" s="208" t="n"/>
      <c r="SR69" s="208" t="n"/>
      <c r="SS69" s="208" t="n"/>
      <c r="ST69" s="208" t="n"/>
      <c r="SU69" s="208" t="n"/>
      <c r="SV69" s="208" t="n"/>
    </row>
    <row r="70">
      <c r="B70" s="209" t="inlineStr">
        <is>
          <t>N/A</t>
        </is>
      </c>
      <c r="C70" s="209" t="inlineStr">
        <is>
          <t>Sentinel</t>
        </is>
      </c>
      <c r="D70" s="209" t="inlineStr">
        <is>
          <t>Brian</t>
        </is>
      </c>
      <c r="E70" s="209" t="inlineStr">
        <is>
          <t>Bloomfield</t>
        </is>
      </c>
      <c r="F70" s="209">
        <f>IF(TRIM(D70&amp;E70)="","",TRIM(D70)&amp;" "&amp;TRIM(E70))</f>
        <v/>
      </c>
      <c r="G70" s="209" t="inlineStr">
        <is>
          <t>Perth</t>
        </is>
      </c>
      <c r="H70" s="209" t="inlineStr">
        <is>
          <t>TPO</t>
        </is>
      </c>
      <c r="I70" s="209" t="inlineStr">
        <is>
          <t>YES</t>
        </is>
      </c>
      <c r="J70" s="209" t="inlineStr">
        <is>
          <t>YES</t>
        </is>
      </c>
      <c r="K70" s="209" t="inlineStr">
        <is>
          <t>YES</t>
        </is>
      </c>
      <c r="L70" s="209" t="inlineStr">
        <is>
          <t>YES</t>
        </is>
      </c>
      <c r="M70" s="209" t="inlineStr">
        <is>
          <t>Quals Complete</t>
        </is>
      </c>
      <c r="N70" s="209" t="inlineStr">
        <is>
          <t>brianbloomfield123@gmail.com</t>
        </is>
      </c>
      <c r="O70" s="209" t="inlineStr">
        <is>
          <t>0488 089 417</t>
        </is>
      </c>
      <c r="P70" s="209" t="n">
        <v>270294</v>
      </c>
      <c r="Q70" s="209" t="n">
        <v>62354</v>
      </c>
      <c r="R70" s="209" t="inlineStr">
        <is>
          <t>ADHOC</t>
        </is>
      </c>
      <c r="S70" s="210" t="inlineStr">
        <is>
          <t>N/A</t>
        </is>
      </c>
      <c r="T70" s="210" t="inlineStr">
        <is>
          <t>N/A</t>
        </is>
      </c>
      <c r="U70" s="210" t="inlineStr">
        <is>
          <t>N/A</t>
        </is>
      </c>
      <c r="V70" s="210" t="inlineStr">
        <is>
          <t>N/A</t>
        </is>
      </c>
      <c r="W70" s="210" t="inlineStr">
        <is>
          <t>N/A</t>
        </is>
      </c>
      <c r="X70" s="210" t="inlineStr">
        <is>
          <t>N/A</t>
        </is>
      </c>
      <c r="Y70" s="210" t="inlineStr">
        <is>
          <t>N/A</t>
        </is>
      </c>
      <c r="Z70" s="210" t="inlineStr">
        <is>
          <t>N/A</t>
        </is>
      </c>
      <c r="AA70" s="210" t="inlineStr">
        <is>
          <t>N/A</t>
        </is>
      </c>
      <c r="AB70" s="210" t="inlineStr">
        <is>
          <t>N/A</t>
        </is>
      </c>
      <c r="AC70" s="210" t="inlineStr">
        <is>
          <t>N/A</t>
        </is>
      </c>
      <c r="AD70" s="211" t="inlineStr">
        <is>
          <t>PER/ZNEPM
LND</t>
        </is>
      </c>
      <c r="AE70" s="211" t="inlineStr">
        <is>
          <t>LND</t>
        </is>
      </c>
      <c r="AF70" s="211" t="inlineStr">
        <is>
          <t>LND</t>
        </is>
      </c>
      <c r="AG70" s="211" t="inlineStr">
        <is>
          <t>PHN</t>
        </is>
      </c>
      <c r="AH70" s="211" t="inlineStr">
        <is>
          <t>PHN</t>
        </is>
      </c>
      <c r="AI70" s="211" t="inlineStr">
        <is>
          <t>PHE/PER PM</t>
        </is>
      </c>
      <c r="AJ70" s="210" t="inlineStr">
        <is>
          <t>N/A</t>
        </is>
      </c>
      <c r="AK70" s="210" t="inlineStr">
        <is>
          <t>N/A</t>
        </is>
      </c>
      <c r="AL70" s="210" t="inlineStr">
        <is>
          <t>N/A</t>
        </is>
      </c>
      <c r="AM70" s="210" t="inlineStr">
        <is>
          <t>N/A</t>
        </is>
      </c>
      <c r="AN70" s="210" t="inlineStr">
        <is>
          <t>N/A</t>
        </is>
      </c>
      <c r="AO70" s="210" t="inlineStr">
        <is>
          <t>N/A</t>
        </is>
      </c>
      <c r="AP70" s="210" t="inlineStr">
        <is>
          <t>N/A</t>
        </is>
      </c>
      <c r="AQ70" s="210" t="inlineStr">
        <is>
          <t>N/A</t>
        </is>
      </c>
      <c r="AR70" s="225" t="inlineStr">
        <is>
          <t>No longer on project</t>
        </is>
      </c>
      <c r="AS70" s="212" t="n"/>
      <c r="AT70" s="212" t="n"/>
      <c r="AU70" s="212" t="n"/>
      <c r="AV70" s="212" t="n"/>
      <c r="AW70" s="212" t="n"/>
      <c r="AX70" s="212" t="n"/>
      <c r="AY70" s="212" t="n"/>
      <c r="AZ70" s="212" t="n"/>
      <c r="BA70" s="212" t="n"/>
      <c r="BB70" s="212" t="n"/>
      <c r="BC70" s="212" t="n"/>
      <c r="BD70" s="212" t="n"/>
      <c r="BE70" s="212" t="n"/>
      <c r="BF70" s="212" t="n"/>
      <c r="BG70" s="222" t="inlineStr">
        <is>
          <t>RnR</t>
        </is>
      </c>
      <c r="BH70" s="222" t="inlineStr">
        <is>
          <t>RnR</t>
        </is>
      </c>
      <c r="BI70" s="222" t="inlineStr">
        <is>
          <t>RnR</t>
        </is>
      </c>
      <c r="BJ70" s="222" t="inlineStr">
        <is>
          <t>RnR</t>
        </is>
      </c>
      <c r="BK70" s="222" t="inlineStr">
        <is>
          <t>RnR</t>
        </is>
      </c>
      <c r="BL70" s="210" t="inlineStr">
        <is>
          <t>N/A</t>
        </is>
      </c>
      <c r="BM70" s="210" t="inlineStr">
        <is>
          <t>N/A</t>
        </is>
      </c>
      <c r="BN70" s="210" t="inlineStr">
        <is>
          <t>N/A</t>
        </is>
      </c>
      <c r="BO70" s="210" t="inlineStr">
        <is>
          <t>N/A</t>
        </is>
      </c>
      <c r="BP70" s="210" t="inlineStr">
        <is>
          <t>N/A</t>
        </is>
      </c>
      <c r="BQ70" s="210" t="inlineStr">
        <is>
          <t>N/A</t>
        </is>
      </c>
      <c r="BR70" s="210" t="inlineStr">
        <is>
          <t>N/A</t>
        </is>
      </c>
      <c r="BS70" s="210" t="inlineStr">
        <is>
          <t>N/A</t>
        </is>
      </c>
      <c r="BT70" s="210" t="inlineStr">
        <is>
          <t>N/A</t>
        </is>
      </c>
      <c r="BU70" s="210" t="inlineStr">
        <is>
          <t>N/A</t>
        </is>
      </c>
      <c r="BV70" s="210" t="inlineStr">
        <is>
          <t>N/A</t>
        </is>
      </c>
      <c r="BW70" s="210" t="inlineStr">
        <is>
          <t>N/A</t>
        </is>
      </c>
      <c r="BX70" s="210" t="inlineStr">
        <is>
          <t>N/A</t>
        </is>
      </c>
      <c r="BY70" s="210" t="inlineStr">
        <is>
          <t>N/A</t>
        </is>
      </c>
      <c r="BZ70" s="210" t="inlineStr">
        <is>
          <t>N/A</t>
        </is>
      </c>
      <c r="CA70" s="210" t="inlineStr">
        <is>
          <t>N/A</t>
        </is>
      </c>
      <c r="CB70" s="210" t="inlineStr">
        <is>
          <t>N/A</t>
        </is>
      </c>
      <c r="CC70" s="214" t="inlineStr">
        <is>
          <t>RnR</t>
        </is>
      </c>
      <c r="CD70" s="214" t="inlineStr">
        <is>
          <t>RnR</t>
        </is>
      </c>
      <c r="CE70" s="214" t="inlineStr">
        <is>
          <t>RnR</t>
        </is>
      </c>
      <c r="CF70" s="214" t="inlineStr">
        <is>
          <t>RnR</t>
        </is>
      </c>
      <c r="CG70" s="214" t="inlineStr">
        <is>
          <t>RnR</t>
        </is>
      </c>
      <c r="CH70" s="214" t="inlineStr">
        <is>
          <t>RnR</t>
        </is>
      </c>
      <c r="CI70" s="214" t="inlineStr">
        <is>
          <t>RnR</t>
        </is>
      </c>
      <c r="CJ70" s="210" t="inlineStr">
        <is>
          <t>N/A</t>
        </is>
      </c>
      <c r="CK70" s="210" t="inlineStr">
        <is>
          <t>N/A</t>
        </is>
      </c>
      <c r="CL70" s="210" t="inlineStr">
        <is>
          <t>N/A</t>
        </is>
      </c>
      <c r="CM70" s="210" t="inlineStr">
        <is>
          <t>N/A</t>
        </is>
      </c>
      <c r="CN70" s="210" t="inlineStr">
        <is>
          <t>N/A</t>
        </is>
      </c>
      <c r="CO70" s="210" t="inlineStr">
        <is>
          <t>N/A</t>
        </is>
      </c>
      <c r="CP70" s="210" t="inlineStr">
        <is>
          <t>N/A</t>
        </is>
      </c>
      <c r="CQ70" s="210" t="inlineStr">
        <is>
          <t>N/A</t>
        </is>
      </c>
      <c r="CR70" s="210" t="inlineStr">
        <is>
          <t>N/A</t>
        </is>
      </c>
      <c r="CS70" s="210" t="inlineStr">
        <is>
          <t>N/A</t>
        </is>
      </c>
      <c r="CT70" s="210" t="inlineStr">
        <is>
          <t>N/A</t>
        </is>
      </c>
      <c r="CU70" s="210" t="inlineStr">
        <is>
          <t>N/A</t>
        </is>
      </c>
      <c r="CV70" s="210" t="inlineStr">
        <is>
          <t>N/A</t>
        </is>
      </c>
      <c r="CW70" s="210" t="inlineStr">
        <is>
          <t>N/A</t>
        </is>
      </c>
      <c r="CX70" s="210" t="inlineStr">
        <is>
          <t>N/A</t>
        </is>
      </c>
      <c r="CY70" s="210" t="inlineStr">
        <is>
          <t>N/A</t>
        </is>
      </c>
      <c r="CZ70" s="210" t="inlineStr">
        <is>
          <t>N/A</t>
        </is>
      </c>
      <c r="DA70" s="210" t="inlineStr">
        <is>
          <t>N/A</t>
        </is>
      </c>
      <c r="DB70" s="210" t="inlineStr">
        <is>
          <t>N/A</t>
        </is>
      </c>
      <c r="DC70" s="210" t="inlineStr">
        <is>
          <t>N/A</t>
        </is>
      </c>
      <c r="DD70" s="210" t="inlineStr">
        <is>
          <t>N/A</t>
        </is>
      </c>
      <c r="DE70" s="210" t="inlineStr">
        <is>
          <t>N/A</t>
        </is>
      </c>
      <c r="DF70" s="210" t="inlineStr">
        <is>
          <t>N/A</t>
        </is>
      </c>
      <c r="DG70" s="210" t="inlineStr">
        <is>
          <t>N/A</t>
        </is>
      </c>
      <c r="DH70" s="210" t="inlineStr">
        <is>
          <t>N/A</t>
        </is>
      </c>
      <c r="DI70" s="210" t="inlineStr">
        <is>
          <t>N/A</t>
        </is>
      </c>
      <c r="DJ70" s="210" t="inlineStr">
        <is>
          <t>N/A</t>
        </is>
      </c>
      <c r="DK70" s="210" t="inlineStr">
        <is>
          <t>N/A</t>
        </is>
      </c>
      <c r="DL70" s="210" t="inlineStr">
        <is>
          <t>N/A</t>
        </is>
      </c>
      <c r="DM70" s="210" t="inlineStr">
        <is>
          <t>N/A</t>
        </is>
      </c>
      <c r="DN70" s="210" t="inlineStr">
        <is>
          <t>N/A</t>
        </is>
      </c>
      <c r="DO70" s="210" t="inlineStr">
        <is>
          <t>N/A</t>
        </is>
      </c>
      <c r="DP70" s="210" t="inlineStr">
        <is>
          <t>N/A</t>
        </is>
      </c>
      <c r="DQ70" s="210" t="inlineStr">
        <is>
          <t>N/A</t>
        </is>
      </c>
      <c r="DR70" s="210" t="inlineStr">
        <is>
          <t>N/A</t>
        </is>
      </c>
      <c r="DS70" s="212" t="n"/>
      <c r="DT70" s="212" t="n"/>
      <c r="DU70" s="212" t="n"/>
      <c r="DV70" s="212" t="n"/>
      <c r="DW70" s="212" t="n"/>
      <c r="DX70" s="212" t="n"/>
      <c r="DY70" s="212" t="n"/>
      <c r="DZ70" s="212" t="n"/>
      <c r="EA70" s="212" t="n"/>
      <c r="EB70" s="212" t="n"/>
      <c r="EC70" s="212" t="n"/>
      <c r="ED70" s="212" t="n"/>
      <c r="EE70" s="212" t="n"/>
      <c r="EF70" s="212" t="n"/>
      <c r="EG70" s="212" t="n"/>
      <c r="EH70" s="212" t="n"/>
      <c r="EI70" s="212" t="n"/>
      <c r="EJ70" s="212" t="n"/>
      <c r="EK70" s="212" t="n"/>
      <c r="EL70" s="212" t="n"/>
      <c r="EM70" s="212" t="n"/>
      <c r="EN70" s="212" t="n"/>
      <c r="EO70" s="212" t="n"/>
      <c r="EP70" s="212" t="n"/>
      <c r="EQ70" s="212" t="n"/>
      <c r="ER70" s="212" t="n"/>
      <c r="ES70" s="212" t="n"/>
      <c r="ET70" s="212" t="n"/>
      <c r="EU70" s="212" t="n"/>
      <c r="EV70" s="212" t="n"/>
      <c r="EW70" s="212" t="n"/>
      <c r="EX70" s="212" t="n"/>
      <c r="EY70" s="212" t="n"/>
      <c r="EZ70" s="212" t="n"/>
      <c r="FA70" s="212" t="n"/>
      <c r="FB70" s="212" t="n"/>
      <c r="FC70" s="212" t="n"/>
      <c r="FD70" s="212" t="n"/>
      <c r="FE70" s="212" t="n"/>
      <c r="FF70" s="212" t="n"/>
      <c r="FG70" s="212" t="n"/>
      <c r="FH70" s="212" t="n"/>
      <c r="FI70" s="212" t="n"/>
      <c r="FJ70" s="212" t="n"/>
      <c r="FK70" s="212" t="n"/>
      <c r="FL70" s="212" t="n"/>
      <c r="FM70" s="212" t="n"/>
      <c r="FN70" s="212" t="n"/>
      <c r="FO70" s="212" t="n"/>
      <c r="FP70" s="212" t="n"/>
      <c r="FQ70" s="212" t="n"/>
      <c r="FR70" s="212" t="n"/>
      <c r="FS70" s="212" t="n"/>
      <c r="FT70" s="212" t="n"/>
      <c r="FU70" s="212" t="n"/>
      <c r="FV70" s="212" t="n"/>
      <c r="FW70" s="212" t="n"/>
      <c r="FX70" s="212" t="n"/>
      <c r="FY70" s="212" t="n"/>
      <c r="FZ70" s="212" t="n"/>
      <c r="GA70" s="212" t="n"/>
      <c r="GB70" s="212" t="n"/>
      <c r="GC70" s="212" t="n"/>
      <c r="GD70" s="212" t="n"/>
      <c r="GE70" s="212" t="n"/>
      <c r="GF70" s="212" t="n"/>
      <c r="GG70" s="212" t="n"/>
      <c r="GH70" s="212" t="n"/>
      <c r="GI70" s="212" t="n"/>
      <c r="GJ70" s="212" t="n"/>
      <c r="GK70" s="212" t="n"/>
      <c r="GL70" s="212" t="n"/>
      <c r="GM70" s="212" t="n"/>
      <c r="GN70" s="212" t="n"/>
      <c r="GO70" s="212" t="n"/>
      <c r="GP70" s="212" t="n"/>
      <c r="GQ70" s="212" t="n"/>
      <c r="GR70" s="212" t="n"/>
      <c r="GS70" s="212" t="n"/>
      <c r="GT70" s="212" t="n"/>
      <c r="GU70" s="212" t="n"/>
      <c r="GV70" s="212" t="n"/>
      <c r="GW70" s="212" t="n"/>
      <c r="GX70" s="212" t="n"/>
      <c r="GY70" s="212" t="n"/>
      <c r="GZ70" s="212" t="n"/>
      <c r="HA70" s="212" t="n"/>
      <c r="HB70" s="212" t="n"/>
      <c r="HC70" s="212" t="n"/>
      <c r="HD70" s="212" t="n"/>
      <c r="HE70" s="212" t="n"/>
      <c r="HF70" s="212" t="n"/>
      <c r="HG70" s="212" t="n"/>
      <c r="HH70" s="212" t="n"/>
      <c r="HI70" s="212" t="n"/>
      <c r="HJ70" s="212" t="n"/>
      <c r="HK70" s="212" t="n"/>
      <c r="HL70" s="212" t="n"/>
      <c r="HM70" s="212" t="n"/>
      <c r="HN70" s="212" t="n"/>
      <c r="HO70" s="212" t="n"/>
      <c r="HP70" s="212" t="n"/>
      <c r="HQ70" s="212" t="n"/>
      <c r="HR70" s="212" t="n"/>
      <c r="HS70" s="212" t="n"/>
      <c r="HT70" s="212" t="n"/>
      <c r="HU70" s="212" t="n"/>
      <c r="HV70" s="212" t="n"/>
      <c r="HW70" s="212" t="n"/>
      <c r="HX70" s="212" t="n"/>
      <c r="HY70" s="212" t="n"/>
      <c r="HZ70" s="212" t="n"/>
      <c r="IA70" s="212" t="n"/>
      <c r="IB70" s="212" t="n"/>
      <c r="IC70" s="212" t="n"/>
      <c r="ID70" s="212" t="n"/>
      <c r="IE70" s="212" t="n"/>
      <c r="IF70" s="212" t="n"/>
      <c r="IG70" s="212" t="n"/>
      <c r="IH70" s="212" t="n"/>
      <c r="II70" s="212" t="n"/>
      <c r="IJ70" s="212" t="n"/>
      <c r="IK70" s="212" t="n"/>
      <c r="IL70" s="212" t="n"/>
      <c r="IM70" s="212" t="n"/>
      <c r="IN70" s="212" t="n"/>
      <c r="IO70" s="212" t="n"/>
      <c r="IP70" s="212" t="n"/>
      <c r="IQ70" s="212" t="n"/>
      <c r="IR70" s="212" t="n"/>
      <c r="IS70" s="212" t="n"/>
      <c r="IT70" s="212" t="n"/>
      <c r="IU70" s="212" t="n"/>
      <c r="IV70" s="212" t="n"/>
      <c r="IW70" s="212" t="n"/>
      <c r="IX70" s="212" t="n"/>
      <c r="IY70" s="212" t="n"/>
      <c r="IZ70" s="212" t="n"/>
      <c r="JA70" s="212" t="n"/>
      <c r="JB70" s="212" t="n"/>
      <c r="JC70" s="212" t="n"/>
      <c r="JD70" s="212" t="n"/>
      <c r="JE70" s="212" t="n"/>
      <c r="JF70" s="212" t="n"/>
      <c r="JG70" s="212" t="n"/>
      <c r="JH70" s="212" t="n"/>
      <c r="JI70" s="212" t="n"/>
      <c r="JJ70" s="212" t="n"/>
      <c r="JK70" s="212" t="n"/>
      <c r="JL70" s="212" t="n"/>
      <c r="JM70" s="212" t="n"/>
      <c r="JN70" s="212" t="n"/>
      <c r="JO70" s="212" t="n"/>
      <c r="JP70" s="212" t="n"/>
      <c r="JQ70" s="212" t="n"/>
      <c r="JR70" s="212" t="n"/>
      <c r="JS70" s="212" t="n"/>
      <c r="JT70" s="212" t="n"/>
      <c r="JU70" s="212" t="n"/>
      <c r="JV70" s="212" t="n"/>
      <c r="JW70" s="212" t="n"/>
      <c r="JX70" s="212" t="n"/>
      <c r="JY70" s="212" t="n"/>
      <c r="JZ70" s="212" t="n"/>
      <c r="KA70" s="212" t="n"/>
      <c r="KB70" s="212" t="n"/>
      <c r="KC70" s="212" t="n"/>
      <c r="KD70" s="212" t="n"/>
      <c r="KE70" s="212" t="n"/>
      <c r="KF70" s="212" t="n"/>
      <c r="KG70" s="212" t="n"/>
      <c r="KH70" s="212" t="n"/>
      <c r="KI70" s="212" t="n"/>
      <c r="KJ70" s="212" t="n"/>
      <c r="KK70" s="212" t="n"/>
      <c r="KL70" s="212" t="n"/>
      <c r="KM70" s="212" t="n"/>
      <c r="KN70" s="212" t="n"/>
      <c r="KO70" s="212" t="n"/>
      <c r="KP70" s="212" t="n"/>
      <c r="KQ70" s="212" t="n"/>
      <c r="KR70" s="212" t="n"/>
      <c r="KS70" s="212" t="n"/>
      <c r="KT70" s="212" t="n"/>
      <c r="KU70" s="212" t="n"/>
      <c r="KV70" s="212" t="n"/>
      <c r="KW70" s="212" t="n"/>
      <c r="KX70" s="212" t="n"/>
      <c r="KY70" s="212" t="n"/>
      <c r="KZ70" s="212" t="n"/>
      <c r="LA70" s="212" t="n"/>
      <c r="LB70" s="212" t="n"/>
      <c r="LC70" s="212" t="n"/>
      <c r="LD70" s="212" t="n"/>
      <c r="LE70" s="212" t="n"/>
      <c r="LF70" s="212" t="n"/>
      <c r="LG70" s="212" t="n"/>
      <c r="LH70" s="212" t="n"/>
      <c r="LI70" s="212" t="n"/>
      <c r="LJ70" s="212" t="n"/>
      <c r="LK70" s="212" t="n"/>
      <c r="LL70" s="212" t="n"/>
      <c r="LM70" s="212" t="n"/>
      <c r="LN70" s="212" t="n"/>
      <c r="LO70" s="212" t="n"/>
      <c r="LP70" s="212" t="n"/>
      <c r="LQ70" s="212" t="n"/>
      <c r="LR70" s="212" t="n"/>
      <c r="LS70" s="212" t="n"/>
      <c r="LT70" s="212" t="n"/>
      <c r="LU70" s="212" t="n"/>
      <c r="LV70" s="212" t="n"/>
      <c r="LW70" s="212" t="n"/>
      <c r="LX70" s="212" t="n"/>
      <c r="LY70" s="212" t="n"/>
      <c r="LZ70" s="212" t="n"/>
      <c r="MA70" s="212" t="n"/>
      <c r="MB70" s="212" t="n"/>
      <c r="MC70" s="212" t="n"/>
      <c r="MD70" s="212" t="n"/>
      <c r="ME70" s="212" t="n"/>
      <c r="MF70" s="212" t="n"/>
      <c r="MG70" s="212" t="n"/>
      <c r="MH70" s="212" t="n"/>
      <c r="MI70" s="212" t="n"/>
      <c r="MJ70" s="212" t="n"/>
      <c r="MK70" s="212" t="n"/>
      <c r="ML70" s="212" t="n"/>
      <c r="MM70" s="212" t="n"/>
      <c r="MN70" s="212" t="n"/>
      <c r="MO70" s="212" t="n"/>
      <c r="MP70" s="212" t="n"/>
      <c r="MQ70" s="212" t="n"/>
      <c r="MR70" s="212" t="n"/>
      <c r="MS70" s="212" t="n"/>
      <c r="MT70" s="212" t="n"/>
      <c r="MU70" s="212" t="n"/>
      <c r="MV70" s="212" t="n"/>
      <c r="MW70" s="212" t="n"/>
      <c r="MX70" s="212" t="n"/>
      <c r="MY70" s="212" t="n"/>
      <c r="MZ70" s="212" t="n"/>
      <c r="NA70" s="212" t="n"/>
      <c r="NB70" s="212" t="n"/>
      <c r="NC70" s="212" t="n"/>
      <c r="ND70" s="212" t="n"/>
      <c r="NE70" s="212" t="n"/>
      <c r="NF70" s="212" t="n"/>
      <c r="NG70" s="212" t="n"/>
      <c r="NH70" s="212" t="n"/>
      <c r="NI70" s="212" t="n"/>
      <c r="NJ70" s="212" t="n"/>
      <c r="NK70" s="212" t="n"/>
      <c r="NL70" s="212" t="n"/>
      <c r="NM70" s="212" t="n"/>
      <c r="NN70" s="212" t="n"/>
      <c r="NO70" s="212" t="n"/>
      <c r="NP70" s="212" t="n"/>
      <c r="NQ70" s="212" t="n"/>
      <c r="NR70" s="212" t="n"/>
      <c r="NS70" s="212" t="n"/>
      <c r="NT70" s="212" t="n"/>
      <c r="NU70" s="212" t="n"/>
      <c r="NV70" s="212" t="n"/>
      <c r="NW70" s="212" t="n"/>
      <c r="NX70" s="212" t="n"/>
      <c r="NY70" s="212" t="n"/>
      <c r="NZ70" s="212" t="n"/>
      <c r="OA70" s="212" t="n"/>
      <c r="OB70" s="212" t="n"/>
      <c r="OC70" s="212" t="n"/>
      <c r="OD70" s="212" t="n"/>
      <c r="OE70" s="212" t="n"/>
      <c r="OF70" s="212" t="n"/>
      <c r="OG70" s="212" t="n"/>
      <c r="OH70" s="212" t="n"/>
      <c r="OI70" s="212" t="n"/>
      <c r="OJ70" s="212" t="n"/>
      <c r="OK70" s="212" t="n"/>
      <c r="OL70" s="212" t="n"/>
      <c r="OM70" s="212" t="n"/>
      <c r="ON70" s="212" t="n"/>
      <c r="OO70" s="212" t="n"/>
      <c r="OP70" s="212" t="n"/>
      <c r="OQ70" s="212" t="n"/>
      <c r="OR70" s="212" t="n"/>
      <c r="OS70" s="212" t="n"/>
      <c r="OT70" s="212" t="n"/>
      <c r="OU70" s="212" t="n"/>
      <c r="OV70" s="212" t="n"/>
      <c r="OW70" s="212" t="n"/>
      <c r="OX70" s="212" t="n"/>
      <c r="OY70" s="212" t="n"/>
      <c r="OZ70" s="212" t="n"/>
      <c r="PA70" s="212" t="n"/>
      <c r="PB70" s="212" t="n"/>
      <c r="PC70" s="212" t="n"/>
      <c r="PD70" s="212" t="n"/>
      <c r="PE70" s="212" t="n"/>
      <c r="PF70" s="212" t="n"/>
      <c r="PG70" s="212" t="n"/>
      <c r="PH70" s="212" t="n"/>
      <c r="PI70" s="212" t="n"/>
      <c r="PJ70" s="212" t="n"/>
      <c r="PK70" s="212" t="n"/>
      <c r="PL70" s="212" t="n"/>
      <c r="PM70" s="212" t="n"/>
      <c r="PN70" s="212" t="n"/>
      <c r="PO70" s="212" t="n"/>
      <c r="PP70" s="212" t="n"/>
      <c r="PQ70" s="212" t="n"/>
      <c r="PR70" s="212" t="n"/>
      <c r="PS70" s="212" t="n"/>
      <c r="PT70" s="212" t="n"/>
      <c r="PU70" s="212" t="n"/>
      <c r="PV70" s="212" t="n"/>
      <c r="PW70" s="212" t="n"/>
      <c r="PX70" s="212" t="n"/>
      <c r="PY70" s="212" t="n"/>
      <c r="PZ70" s="212" t="n"/>
      <c r="QA70" s="212" t="n"/>
      <c r="QB70" s="212" t="n"/>
      <c r="QC70" s="212" t="n"/>
      <c r="QD70" s="212" t="n"/>
      <c r="QE70" s="212" t="n"/>
      <c r="QF70" s="212" t="n"/>
      <c r="QG70" s="212" t="n"/>
      <c r="QH70" s="212" t="n"/>
      <c r="QI70" s="212" t="n"/>
      <c r="QJ70" s="212" t="n"/>
      <c r="QK70" s="212" t="n"/>
      <c r="QL70" s="212" t="n"/>
      <c r="QM70" s="212" t="n"/>
      <c r="QN70" s="212" t="n"/>
      <c r="QO70" s="212" t="n"/>
      <c r="QP70" s="212" t="n"/>
      <c r="QQ70" s="212" t="n"/>
      <c r="QR70" s="212" t="n"/>
      <c r="QS70" s="212" t="n"/>
      <c r="QT70" s="212" t="n"/>
      <c r="QU70" s="212" t="n"/>
      <c r="QV70" s="212" t="n"/>
      <c r="QW70" s="212" t="n"/>
      <c r="QX70" s="212" t="n"/>
      <c r="QY70" s="212" t="n"/>
      <c r="QZ70" s="212" t="n"/>
      <c r="RA70" s="212" t="n"/>
      <c r="RB70" s="212" t="n"/>
      <c r="RC70" s="212" t="n"/>
      <c r="RD70" s="212" t="n"/>
      <c r="RE70" s="212" t="n"/>
      <c r="RF70" s="212" t="n"/>
      <c r="RG70" s="212" t="n"/>
      <c r="RH70" s="212" t="n"/>
      <c r="RI70" s="212" t="n"/>
      <c r="RJ70" s="212" t="n"/>
      <c r="RK70" s="212" t="n"/>
      <c r="RL70" s="212" t="n"/>
      <c r="RM70" s="212" t="n"/>
      <c r="RN70" s="212" t="n"/>
      <c r="RO70" s="212" t="n"/>
      <c r="RP70" s="212" t="n"/>
      <c r="RQ70" s="212" t="n"/>
      <c r="RR70" s="212" t="n"/>
      <c r="RS70" s="212" t="n"/>
      <c r="RT70" s="212" t="n"/>
      <c r="RU70" s="212" t="n"/>
      <c r="RV70" s="212" t="n"/>
      <c r="RW70" s="212" t="n"/>
      <c r="RX70" s="212" t="n"/>
      <c r="RY70" s="212" t="n"/>
      <c r="RZ70" s="212" t="n"/>
      <c r="SA70" s="212" t="n"/>
      <c r="SB70" s="212" t="n"/>
      <c r="SC70" s="212" t="n"/>
      <c r="SD70" s="212" t="n"/>
      <c r="SE70" s="212" t="n"/>
      <c r="SF70" s="212" t="n"/>
      <c r="SG70" s="212" t="n"/>
      <c r="SH70" s="212" t="n"/>
      <c r="SI70" s="212" t="n"/>
      <c r="SJ70" s="212" t="n"/>
      <c r="SK70" s="212" t="n"/>
      <c r="SL70" s="212" t="n"/>
      <c r="SM70" s="212" t="n"/>
      <c r="SN70" s="212" t="n"/>
      <c r="SO70" s="212" t="n"/>
      <c r="SP70" s="212" t="n"/>
      <c r="SQ70" s="212" t="n"/>
      <c r="SR70" s="212" t="n"/>
      <c r="SS70" s="212" t="n"/>
      <c r="ST70" s="212" t="n"/>
      <c r="SU70" s="212" t="n"/>
      <c r="SV70" s="212" t="n"/>
    </row>
    <row r="71">
      <c r="B71" s="209" t="inlineStr">
        <is>
          <t>N/A</t>
        </is>
      </c>
      <c r="C71" s="209" t="inlineStr">
        <is>
          <t>Sentinel</t>
        </is>
      </c>
      <c r="D71" s="209" t="inlineStr">
        <is>
          <t>Richard</t>
        </is>
      </c>
      <c r="E71" s="209" t="inlineStr">
        <is>
          <t>Collin</t>
        </is>
      </c>
      <c r="F71" s="209">
        <f>IF(TRIM(D71&amp;E71)="","",TRIM(D71)&amp;" "&amp;TRIM(E71))</f>
        <v/>
      </c>
      <c r="G71" s="209" t="inlineStr">
        <is>
          <t>Perth</t>
        </is>
      </c>
      <c r="H71" s="209" t="inlineStr">
        <is>
          <t>TPO</t>
        </is>
      </c>
      <c r="I71" s="209" t="inlineStr">
        <is>
          <t>YES</t>
        </is>
      </c>
      <c r="J71" s="209" t="inlineStr">
        <is>
          <t>YES</t>
        </is>
      </c>
      <c r="K71" s="209" t="inlineStr">
        <is>
          <t>YES</t>
        </is>
      </c>
      <c r="L71" s="209" t="inlineStr">
        <is>
          <t>YES</t>
        </is>
      </c>
      <c r="M71" s="209" t="inlineStr">
        <is>
          <t>Quals Complete</t>
        </is>
      </c>
      <c r="N71" s="209" t="inlineStr">
        <is>
          <t>richardcollinmaun@gmail.com</t>
        </is>
      </c>
      <c r="O71" s="209" t="inlineStr">
        <is>
          <t>0474 970 280</t>
        </is>
      </c>
      <c r="P71" s="209" t="n">
        <v>728530</v>
      </c>
      <c r="Q71" s="209" t="n">
        <v>373898</v>
      </c>
      <c r="R71" s="209" t="inlineStr">
        <is>
          <t>ADHOC</t>
        </is>
      </c>
      <c r="S71" s="210" t="inlineStr">
        <is>
          <t>N/A</t>
        </is>
      </c>
      <c r="T71" s="210" t="inlineStr">
        <is>
          <t>N/A</t>
        </is>
      </c>
      <c r="U71" s="210" t="inlineStr">
        <is>
          <t>N/A</t>
        </is>
      </c>
      <c r="V71" s="210" t="inlineStr">
        <is>
          <t>N/A</t>
        </is>
      </c>
      <c r="W71" s="210" t="inlineStr">
        <is>
          <t>N/A</t>
        </is>
      </c>
      <c r="X71" s="210" t="inlineStr">
        <is>
          <t>N/A</t>
        </is>
      </c>
      <c r="Y71" s="210" t="inlineStr">
        <is>
          <t>N/A</t>
        </is>
      </c>
      <c r="Z71" s="210" t="inlineStr">
        <is>
          <t>N/A</t>
        </is>
      </c>
      <c r="AA71" s="210" t="inlineStr">
        <is>
          <t>N/A</t>
        </is>
      </c>
      <c r="AB71" s="210" t="inlineStr">
        <is>
          <t>N/A</t>
        </is>
      </c>
      <c r="AC71" s="210" t="inlineStr">
        <is>
          <t>N/A</t>
        </is>
      </c>
      <c r="AD71" s="210" t="inlineStr">
        <is>
          <t>N/A</t>
        </is>
      </c>
      <c r="AE71" s="210" t="inlineStr">
        <is>
          <t>N/A</t>
        </is>
      </c>
      <c r="AF71" s="210" t="inlineStr">
        <is>
          <t>N/A</t>
        </is>
      </c>
      <c r="AG71" s="210" t="inlineStr">
        <is>
          <t>N/A</t>
        </is>
      </c>
      <c r="AH71" s="210" t="inlineStr">
        <is>
          <t>N/A</t>
        </is>
      </c>
      <c r="AI71" s="210" t="inlineStr">
        <is>
          <t>N/A</t>
        </is>
      </c>
      <c r="AJ71" s="210" t="inlineStr">
        <is>
          <t>N/A</t>
        </is>
      </c>
      <c r="AK71" s="210" t="inlineStr">
        <is>
          <t>N/A</t>
        </is>
      </c>
      <c r="AL71" s="210" t="inlineStr">
        <is>
          <t>N/A</t>
        </is>
      </c>
      <c r="AM71" s="210" t="inlineStr">
        <is>
          <t>N/A</t>
        </is>
      </c>
      <c r="AN71" s="210" t="inlineStr">
        <is>
          <t>N/A</t>
        </is>
      </c>
      <c r="AO71" s="210" t="inlineStr">
        <is>
          <t>N/A</t>
        </is>
      </c>
      <c r="AP71" s="210" t="inlineStr">
        <is>
          <t>N/A</t>
        </is>
      </c>
      <c r="AQ71" s="210" t="inlineStr">
        <is>
          <t>N/A</t>
        </is>
      </c>
      <c r="AR71" s="210" t="inlineStr">
        <is>
          <t>N/A</t>
        </is>
      </c>
      <c r="AS71" s="210" t="inlineStr">
        <is>
          <t>N/A</t>
        </is>
      </c>
      <c r="AT71" s="210" t="inlineStr">
        <is>
          <t>N/A</t>
        </is>
      </c>
      <c r="AU71" s="210" t="inlineStr">
        <is>
          <t>N/A</t>
        </is>
      </c>
      <c r="AV71" s="210" t="inlineStr">
        <is>
          <t>N/A</t>
        </is>
      </c>
      <c r="AW71" s="210" t="inlineStr">
        <is>
          <t>N/A</t>
        </is>
      </c>
      <c r="AX71" s="210" t="inlineStr">
        <is>
          <t>N/A</t>
        </is>
      </c>
      <c r="AY71" s="210" t="inlineStr">
        <is>
          <t>N/A</t>
        </is>
      </c>
      <c r="AZ71" s="225" t="inlineStr">
        <is>
          <t>No longer on projectf</t>
        </is>
      </c>
      <c r="BA71" s="212" t="n"/>
      <c r="BB71" s="212" t="n"/>
      <c r="BC71" s="212" t="n"/>
      <c r="BD71" s="212" t="n"/>
      <c r="BE71" s="212" t="n"/>
      <c r="BF71" s="212" t="n"/>
      <c r="BG71" s="212" t="n"/>
      <c r="BH71" s="212" t="n"/>
      <c r="BI71" s="212" t="n"/>
      <c r="BJ71" s="212" t="n"/>
      <c r="BK71" s="212" t="n"/>
      <c r="BL71" s="212" t="n"/>
      <c r="BM71" s="212" t="n"/>
      <c r="BN71" s="212" t="n"/>
      <c r="BO71" s="222" t="inlineStr">
        <is>
          <t>RnR</t>
        </is>
      </c>
      <c r="BP71" s="222" t="inlineStr">
        <is>
          <t>RnR</t>
        </is>
      </c>
      <c r="BQ71" s="222" t="inlineStr">
        <is>
          <t>RnR</t>
        </is>
      </c>
      <c r="BR71" s="222" t="inlineStr">
        <is>
          <t>RnR</t>
        </is>
      </c>
      <c r="BS71" s="222" t="inlineStr">
        <is>
          <t>RnR</t>
        </is>
      </c>
      <c r="BT71" s="222" t="inlineStr">
        <is>
          <t>RnR</t>
        </is>
      </c>
      <c r="BU71" s="210" t="inlineStr">
        <is>
          <t>N/A</t>
        </is>
      </c>
      <c r="BV71" s="210" t="inlineStr">
        <is>
          <t>N/A</t>
        </is>
      </c>
      <c r="BW71" s="210" t="inlineStr">
        <is>
          <t>N/A</t>
        </is>
      </c>
      <c r="BX71" s="210" t="inlineStr">
        <is>
          <t>N/A</t>
        </is>
      </c>
      <c r="BY71" s="210" t="inlineStr">
        <is>
          <t>N/A</t>
        </is>
      </c>
      <c r="BZ71" s="210" t="inlineStr">
        <is>
          <t>N/A</t>
        </is>
      </c>
      <c r="CA71" s="210" t="inlineStr">
        <is>
          <t>N/A</t>
        </is>
      </c>
      <c r="CB71" s="210" t="inlineStr">
        <is>
          <t>N/A</t>
        </is>
      </c>
      <c r="CC71" s="210" t="inlineStr">
        <is>
          <t>N/A</t>
        </is>
      </c>
      <c r="CD71" s="210" t="inlineStr">
        <is>
          <t>N/A</t>
        </is>
      </c>
      <c r="CE71" s="210" t="inlineStr">
        <is>
          <t>N/A</t>
        </is>
      </c>
      <c r="CF71" s="210" t="inlineStr">
        <is>
          <t>N/A</t>
        </is>
      </c>
      <c r="CG71" s="210" t="inlineStr">
        <is>
          <t>N/A</t>
        </is>
      </c>
      <c r="CH71" s="210" t="inlineStr">
        <is>
          <t>N/A</t>
        </is>
      </c>
      <c r="CI71" s="210" t="inlineStr">
        <is>
          <t>N/A</t>
        </is>
      </c>
      <c r="CJ71" s="210" t="inlineStr">
        <is>
          <t>N/A</t>
        </is>
      </c>
      <c r="CK71" s="210" t="inlineStr">
        <is>
          <t>N/A</t>
        </is>
      </c>
      <c r="CL71" s="210" t="inlineStr">
        <is>
          <t>N/A</t>
        </is>
      </c>
      <c r="CM71" s="210" t="inlineStr">
        <is>
          <t>N/A</t>
        </is>
      </c>
      <c r="CN71" s="210" t="inlineStr">
        <is>
          <t>N/A</t>
        </is>
      </c>
      <c r="CO71" s="210" t="inlineStr">
        <is>
          <t>N/A</t>
        </is>
      </c>
      <c r="CP71" s="210" t="inlineStr">
        <is>
          <t>N/A</t>
        </is>
      </c>
      <c r="CQ71" s="210" t="inlineStr">
        <is>
          <t>N/A</t>
        </is>
      </c>
      <c r="CR71" s="210" t="inlineStr">
        <is>
          <t>N/A</t>
        </is>
      </c>
      <c r="CS71" s="210" t="inlineStr">
        <is>
          <t>N/A</t>
        </is>
      </c>
      <c r="CT71" s="210" t="inlineStr">
        <is>
          <t>N/A</t>
        </is>
      </c>
      <c r="CU71" s="210" t="inlineStr">
        <is>
          <t>N/A</t>
        </is>
      </c>
      <c r="CV71" s="210" t="inlineStr">
        <is>
          <t>N/A</t>
        </is>
      </c>
      <c r="CW71" s="210" t="inlineStr">
        <is>
          <t>N/A</t>
        </is>
      </c>
      <c r="CX71" s="210" t="inlineStr">
        <is>
          <t>N/A</t>
        </is>
      </c>
      <c r="CY71" s="210" t="inlineStr">
        <is>
          <t>N/A</t>
        </is>
      </c>
      <c r="CZ71" s="210" t="inlineStr">
        <is>
          <t>N/A</t>
        </is>
      </c>
      <c r="DA71" s="210" t="inlineStr">
        <is>
          <t>N/A</t>
        </is>
      </c>
      <c r="DB71" s="210" t="inlineStr">
        <is>
          <t>N/A</t>
        </is>
      </c>
      <c r="DC71" s="210" t="inlineStr">
        <is>
          <t>N/A</t>
        </is>
      </c>
      <c r="DD71" s="210" t="inlineStr">
        <is>
          <t>N/A</t>
        </is>
      </c>
      <c r="DE71" s="210" t="inlineStr">
        <is>
          <t>N/A</t>
        </is>
      </c>
      <c r="DF71" s="210" t="inlineStr">
        <is>
          <t>N/A</t>
        </is>
      </c>
      <c r="DG71" s="210" t="inlineStr">
        <is>
          <t>N/A</t>
        </is>
      </c>
      <c r="DH71" s="210" t="inlineStr">
        <is>
          <t>N/A</t>
        </is>
      </c>
      <c r="DI71" s="210" t="inlineStr">
        <is>
          <t>N/A</t>
        </is>
      </c>
      <c r="DJ71" s="210" t="inlineStr">
        <is>
          <t>N/A</t>
        </is>
      </c>
      <c r="DK71" s="210" t="inlineStr">
        <is>
          <t>N/A</t>
        </is>
      </c>
      <c r="DL71" s="210" t="inlineStr">
        <is>
          <t>N/A</t>
        </is>
      </c>
      <c r="DM71" s="210" t="inlineStr">
        <is>
          <t>N/A</t>
        </is>
      </c>
      <c r="DN71" s="210" t="inlineStr">
        <is>
          <t>N/A</t>
        </is>
      </c>
      <c r="DO71" s="210" t="inlineStr">
        <is>
          <t>N/A</t>
        </is>
      </c>
      <c r="DP71" s="210" t="inlineStr">
        <is>
          <t>N/A</t>
        </is>
      </c>
      <c r="DQ71" s="210" t="inlineStr">
        <is>
          <t>N/A</t>
        </is>
      </c>
      <c r="DR71" s="210" t="inlineStr">
        <is>
          <t>N/A</t>
        </is>
      </c>
      <c r="DS71" s="212" t="n"/>
      <c r="DT71" s="212" t="n"/>
      <c r="DU71" s="212" t="n"/>
      <c r="DV71" s="212" t="n"/>
      <c r="DW71" s="212" t="n"/>
      <c r="DX71" s="212" t="n"/>
      <c r="DY71" s="212" t="n"/>
      <c r="DZ71" s="212" t="n"/>
      <c r="EA71" s="212" t="n"/>
      <c r="EB71" s="212" t="n"/>
      <c r="EC71" s="212" t="n"/>
      <c r="ED71" s="212" t="n"/>
      <c r="EE71" s="212" t="n"/>
      <c r="EF71" s="212" t="n"/>
      <c r="EG71" s="212" t="n"/>
      <c r="EH71" s="212" t="n"/>
      <c r="EI71" s="212" t="n"/>
      <c r="EJ71" s="212" t="n"/>
      <c r="EK71" s="212" t="n"/>
      <c r="EL71" s="212" t="n"/>
      <c r="EM71" s="212" t="n"/>
      <c r="EN71" s="212" t="n"/>
      <c r="EO71" s="212" t="n"/>
      <c r="EP71" s="212" t="n"/>
      <c r="EQ71" s="212" t="n"/>
      <c r="ER71" s="212" t="n"/>
      <c r="ES71" s="212" t="n"/>
      <c r="ET71" s="212" t="n"/>
      <c r="EU71" s="212" t="n"/>
      <c r="EV71" s="212" t="n"/>
      <c r="EW71" s="212" t="n"/>
      <c r="EX71" s="212" t="n"/>
      <c r="EY71" s="212" t="n"/>
      <c r="EZ71" s="212" t="n"/>
      <c r="FA71" s="212" t="n"/>
      <c r="FB71" s="212" t="n"/>
      <c r="FC71" s="212" t="n"/>
      <c r="FD71" s="212" t="n"/>
      <c r="FE71" s="212" t="n"/>
      <c r="FF71" s="212" t="n"/>
      <c r="FG71" s="212" t="n"/>
      <c r="FH71" s="212" t="n"/>
      <c r="FI71" s="212" t="n"/>
      <c r="FJ71" s="212" t="n"/>
      <c r="FK71" s="212" t="n"/>
      <c r="FL71" s="212" t="n"/>
      <c r="FM71" s="212" t="n"/>
      <c r="FN71" s="212" t="n"/>
      <c r="FO71" s="212" t="n"/>
      <c r="FP71" s="212" t="n"/>
      <c r="FQ71" s="212" t="n"/>
      <c r="FR71" s="212" t="n"/>
      <c r="FS71" s="212" t="n"/>
      <c r="FT71" s="212" t="n"/>
      <c r="FU71" s="212" t="n"/>
      <c r="FV71" s="212" t="n"/>
      <c r="FW71" s="212" t="n"/>
      <c r="FX71" s="212" t="n"/>
      <c r="FY71" s="212" t="n"/>
      <c r="FZ71" s="212" t="n"/>
      <c r="GA71" s="212" t="n"/>
      <c r="GB71" s="212" t="n"/>
      <c r="GC71" s="212" t="n"/>
      <c r="GD71" s="212" t="n"/>
      <c r="GE71" s="212" t="n"/>
      <c r="GF71" s="212" t="n"/>
      <c r="GG71" s="212" t="n"/>
      <c r="GH71" s="212" t="n"/>
      <c r="GI71" s="212" t="n"/>
      <c r="GJ71" s="212" t="n"/>
      <c r="GK71" s="212" t="n"/>
      <c r="GL71" s="212" t="n"/>
      <c r="GM71" s="212" t="n"/>
      <c r="GN71" s="212" t="n"/>
      <c r="GO71" s="212" t="n"/>
      <c r="GP71" s="212" t="n"/>
      <c r="GQ71" s="212" t="n"/>
      <c r="GR71" s="212" t="n"/>
      <c r="GS71" s="212" t="n"/>
      <c r="GT71" s="212" t="n"/>
      <c r="GU71" s="212" t="n"/>
      <c r="GV71" s="212" t="n"/>
      <c r="GW71" s="212" t="n"/>
      <c r="GX71" s="212" t="n"/>
      <c r="GY71" s="212" t="n"/>
      <c r="GZ71" s="212" t="n"/>
      <c r="HA71" s="212" t="n"/>
      <c r="HB71" s="212" t="n"/>
      <c r="HC71" s="212" t="n"/>
      <c r="HD71" s="212" t="n"/>
      <c r="HE71" s="212" t="n"/>
      <c r="HF71" s="212" t="n"/>
      <c r="HG71" s="212" t="n"/>
      <c r="HH71" s="212" t="n"/>
      <c r="HI71" s="212" t="n"/>
      <c r="HJ71" s="212" t="n"/>
      <c r="HK71" s="212" t="n"/>
      <c r="HL71" s="212" t="n"/>
      <c r="HM71" s="212" t="n"/>
      <c r="HN71" s="212" t="n"/>
      <c r="HO71" s="212" t="n"/>
      <c r="HP71" s="212" t="n"/>
      <c r="HQ71" s="212" t="n"/>
      <c r="HR71" s="212" t="n"/>
      <c r="HS71" s="212" t="n"/>
      <c r="HT71" s="212" t="n"/>
      <c r="HU71" s="212" t="n"/>
      <c r="HV71" s="212" t="n"/>
      <c r="HW71" s="212" t="n"/>
      <c r="HX71" s="212" t="n"/>
      <c r="HY71" s="212" t="n"/>
      <c r="HZ71" s="212" t="n"/>
      <c r="IA71" s="212" t="n"/>
      <c r="IB71" s="212" t="n"/>
      <c r="IC71" s="212" t="n"/>
      <c r="ID71" s="212" t="n"/>
      <c r="IE71" s="212" t="n"/>
      <c r="IF71" s="212" t="n"/>
      <c r="IG71" s="212" t="n"/>
      <c r="IH71" s="212" t="n"/>
      <c r="II71" s="212" t="n"/>
      <c r="IJ71" s="212" t="n"/>
      <c r="IK71" s="212" t="n"/>
      <c r="IL71" s="212" t="n"/>
      <c r="IM71" s="212" t="n"/>
      <c r="IN71" s="212" t="n"/>
      <c r="IO71" s="212" t="n"/>
      <c r="IP71" s="212" t="n"/>
      <c r="IQ71" s="212" t="n"/>
      <c r="IR71" s="212" t="n"/>
      <c r="IS71" s="212" t="n"/>
      <c r="IT71" s="212" t="n"/>
      <c r="IU71" s="212" t="n"/>
      <c r="IV71" s="212" t="n"/>
      <c r="IW71" s="212" t="n"/>
      <c r="IX71" s="212" t="n"/>
      <c r="IY71" s="212" t="n"/>
      <c r="IZ71" s="212" t="n"/>
      <c r="JA71" s="212" t="n"/>
      <c r="JB71" s="212" t="n"/>
      <c r="JC71" s="212" t="n"/>
      <c r="JD71" s="212" t="n"/>
      <c r="JE71" s="212" t="n"/>
      <c r="JF71" s="212" t="n"/>
      <c r="JG71" s="212" t="n"/>
      <c r="JH71" s="212" t="n"/>
      <c r="JI71" s="212" t="n"/>
      <c r="JJ71" s="212" t="n"/>
      <c r="JK71" s="212" t="n"/>
      <c r="JL71" s="212" t="n"/>
      <c r="JM71" s="212" t="n"/>
      <c r="JN71" s="212" t="n"/>
      <c r="JO71" s="212" t="n"/>
      <c r="JP71" s="212" t="n"/>
      <c r="JQ71" s="212" t="n"/>
      <c r="JR71" s="212" t="n"/>
      <c r="JS71" s="212" t="n"/>
      <c r="JT71" s="212" t="n"/>
      <c r="JU71" s="212" t="n"/>
      <c r="JV71" s="212" t="n"/>
      <c r="JW71" s="212" t="n"/>
      <c r="JX71" s="212" t="n"/>
      <c r="JY71" s="212" t="n"/>
      <c r="JZ71" s="212" t="n"/>
      <c r="KA71" s="212" t="n"/>
      <c r="KB71" s="212" t="n"/>
      <c r="KC71" s="212" t="n"/>
      <c r="KD71" s="212" t="n"/>
      <c r="KE71" s="212" t="n"/>
      <c r="KF71" s="212" t="n"/>
      <c r="KG71" s="212" t="n"/>
      <c r="KH71" s="212" t="n"/>
      <c r="KI71" s="212" t="n"/>
      <c r="KJ71" s="212" t="n"/>
      <c r="KK71" s="212" t="n"/>
      <c r="KL71" s="212" t="n"/>
      <c r="KM71" s="212" t="n"/>
      <c r="KN71" s="212" t="n"/>
      <c r="KO71" s="212" t="n"/>
      <c r="KP71" s="212" t="n"/>
      <c r="KQ71" s="212" t="n"/>
      <c r="KR71" s="212" t="n"/>
      <c r="KS71" s="212" t="n"/>
      <c r="KT71" s="212" t="n"/>
      <c r="KU71" s="212" t="n"/>
      <c r="KV71" s="212" t="n"/>
      <c r="KW71" s="212" t="n"/>
      <c r="KX71" s="212" t="n"/>
      <c r="KY71" s="212" t="n"/>
      <c r="KZ71" s="212" t="n"/>
      <c r="LA71" s="212" t="n"/>
      <c r="LB71" s="212" t="n"/>
      <c r="LC71" s="212" t="n"/>
      <c r="LD71" s="212" t="n"/>
      <c r="LE71" s="212" t="n"/>
      <c r="LF71" s="212" t="n"/>
      <c r="LG71" s="212" t="n"/>
      <c r="LH71" s="212" t="n"/>
      <c r="LI71" s="212" t="n"/>
      <c r="LJ71" s="212" t="n"/>
      <c r="LK71" s="212" t="n"/>
      <c r="LL71" s="212" t="n"/>
      <c r="LM71" s="212" t="n"/>
      <c r="LN71" s="212" t="n"/>
      <c r="LO71" s="212" t="n"/>
      <c r="LP71" s="212" t="n"/>
      <c r="LQ71" s="212" t="n"/>
      <c r="LR71" s="212" t="n"/>
      <c r="LS71" s="212" t="n"/>
      <c r="LT71" s="212" t="n"/>
      <c r="LU71" s="212" t="n"/>
      <c r="LV71" s="212" t="n"/>
      <c r="LW71" s="212" t="n"/>
      <c r="LX71" s="212" t="n"/>
      <c r="LY71" s="212" t="n"/>
      <c r="LZ71" s="212" t="n"/>
      <c r="MA71" s="212" t="n"/>
      <c r="MB71" s="212" t="n"/>
      <c r="MC71" s="212" t="n"/>
      <c r="MD71" s="212" t="n"/>
      <c r="ME71" s="212" t="n"/>
      <c r="MF71" s="212" t="n"/>
      <c r="MG71" s="212" t="n"/>
      <c r="MH71" s="212" t="n"/>
      <c r="MI71" s="212" t="n"/>
      <c r="MJ71" s="212" t="n"/>
      <c r="MK71" s="212" t="n"/>
      <c r="ML71" s="212" t="n"/>
      <c r="MM71" s="212" t="n"/>
      <c r="MN71" s="212" t="n"/>
      <c r="MO71" s="212" t="n"/>
      <c r="MP71" s="212" t="n"/>
      <c r="MQ71" s="212" t="n"/>
      <c r="MR71" s="212" t="n"/>
      <c r="MS71" s="212" t="n"/>
      <c r="MT71" s="212" t="n"/>
      <c r="MU71" s="212" t="n"/>
      <c r="MV71" s="212" t="n"/>
      <c r="MW71" s="212" t="n"/>
      <c r="MX71" s="212" t="n"/>
      <c r="MY71" s="212" t="n"/>
      <c r="MZ71" s="212" t="n"/>
      <c r="NA71" s="212" t="n"/>
      <c r="NB71" s="212" t="n"/>
      <c r="NC71" s="212" t="n"/>
      <c r="ND71" s="212" t="n"/>
      <c r="NE71" s="212" t="n"/>
      <c r="NF71" s="212" t="n"/>
      <c r="NG71" s="212" t="n"/>
      <c r="NH71" s="212" t="n"/>
      <c r="NI71" s="212" t="n"/>
      <c r="NJ71" s="212" t="n"/>
      <c r="NK71" s="212" t="n"/>
      <c r="NL71" s="212" t="n"/>
      <c r="NM71" s="212" t="n"/>
      <c r="NN71" s="212" t="n"/>
      <c r="NO71" s="212" t="n"/>
      <c r="NP71" s="212" t="n"/>
      <c r="NQ71" s="212" t="n"/>
      <c r="NR71" s="212" t="n"/>
      <c r="NS71" s="212" t="n"/>
      <c r="NT71" s="212" t="n"/>
      <c r="NU71" s="212" t="n"/>
      <c r="NV71" s="212" t="n"/>
      <c r="NW71" s="212" t="n"/>
      <c r="NX71" s="212" t="n"/>
      <c r="NY71" s="212" t="n"/>
      <c r="NZ71" s="212" t="n"/>
      <c r="OA71" s="212" t="n"/>
      <c r="OB71" s="212" t="n"/>
      <c r="OC71" s="212" t="n"/>
      <c r="OD71" s="212" t="n"/>
      <c r="OE71" s="212" t="n"/>
      <c r="OF71" s="212" t="n"/>
      <c r="OG71" s="212" t="n"/>
      <c r="OH71" s="212" t="n"/>
      <c r="OI71" s="212" t="n"/>
      <c r="OJ71" s="212" t="n"/>
      <c r="OK71" s="212" t="n"/>
      <c r="OL71" s="212" t="n"/>
      <c r="OM71" s="212" t="n"/>
      <c r="ON71" s="212" t="n"/>
      <c r="OO71" s="212" t="n"/>
      <c r="OP71" s="212" t="n"/>
      <c r="OQ71" s="212" t="n"/>
      <c r="OR71" s="212" t="n"/>
      <c r="OS71" s="212" t="n"/>
      <c r="OT71" s="212" t="n"/>
      <c r="OU71" s="212" t="n"/>
      <c r="OV71" s="212" t="n"/>
      <c r="OW71" s="212" t="n"/>
      <c r="OX71" s="212" t="n"/>
      <c r="OY71" s="212" t="n"/>
      <c r="OZ71" s="212" t="n"/>
      <c r="PA71" s="212" t="n"/>
      <c r="PB71" s="212" t="n"/>
      <c r="PC71" s="212" t="n"/>
      <c r="PD71" s="212" t="n"/>
      <c r="PE71" s="212" t="n"/>
      <c r="PF71" s="212" t="n"/>
      <c r="PG71" s="212" t="n"/>
      <c r="PH71" s="212" t="n"/>
      <c r="PI71" s="212" t="n"/>
      <c r="PJ71" s="212" t="n"/>
      <c r="PK71" s="212" t="n"/>
      <c r="PL71" s="212" t="n"/>
      <c r="PM71" s="212" t="n"/>
      <c r="PN71" s="212" t="n"/>
      <c r="PO71" s="212" t="n"/>
      <c r="PP71" s="212" t="n"/>
      <c r="PQ71" s="212" t="n"/>
      <c r="PR71" s="212" t="n"/>
      <c r="PS71" s="212" t="n"/>
      <c r="PT71" s="212" t="n"/>
      <c r="PU71" s="212" t="n"/>
      <c r="PV71" s="212" t="n"/>
      <c r="PW71" s="212" t="n"/>
      <c r="PX71" s="212" t="n"/>
      <c r="PY71" s="212" t="n"/>
      <c r="PZ71" s="212" t="n"/>
      <c r="QA71" s="212" t="n"/>
      <c r="QB71" s="212" t="n"/>
      <c r="QC71" s="212" t="n"/>
      <c r="QD71" s="212" t="n"/>
      <c r="QE71" s="212" t="n"/>
      <c r="QF71" s="212" t="n"/>
      <c r="QG71" s="212" t="n"/>
      <c r="QH71" s="212" t="n"/>
      <c r="QI71" s="212" t="n"/>
      <c r="QJ71" s="212" t="n"/>
      <c r="QK71" s="212" t="n"/>
      <c r="QL71" s="212" t="n"/>
      <c r="QM71" s="212" t="n"/>
      <c r="QN71" s="212" t="n"/>
      <c r="QO71" s="212" t="n"/>
      <c r="QP71" s="212" t="n"/>
      <c r="QQ71" s="212" t="n"/>
      <c r="QR71" s="212" t="n"/>
      <c r="QS71" s="212" t="n"/>
      <c r="QT71" s="212" t="n"/>
      <c r="QU71" s="212" t="n"/>
      <c r="QV71" s="212" t="n"/>
      <c r="QW71" s="212" t="n"/>
      <c r="QX71" s="212" t="n"/>
      <c r="QY71" s="212" t="n"/>
      <c r="QZ71" s="212" t="n"/>
      <c r="RA71" s="212" t="n"/>
      <c r="RB71" s="212" t="n"/>
      <c r="RC71" s="212" t="n"/>
      <c r="RD71" s="212" t="n"/>
      <c r="RE71" s="212" t="n"/>
      <c r="RF71" s="212" t="n"/>
      <c r="RG71" s="212" t="n"/>
      <c r="RH71" s="212" t="n"/>
      <c r="RI71" s="212" t="n"/>
      <c r="RJ71" s="212" t="n"/>
      <c r="RK71" s="212" t="n"/>
      <c r="RL71" s="212" t="n"/>
      <c r="RM71" s="212" t="n"/>
      <c r="RN71" s="212" t="n"/>
      <c r="RO71" s="212" t="n"/>
      <c r="RP71" s="212" t="n"/>
      <c r="RQ71" s="212" t="n"/>
      <c r="RR71" s="212" t="n"/>
      <c r="RS71" s="212" t="n"/>
      <c r="RT71" s="212" t="n"/>
      <c r="RU71" s="212" t="n"/>
      <c r="RV71" s="212" t="n"/>
      <c r="RW71" s="212" t="n"/>
      <c r="RX71" s="212" t="n"/>
      <c r="RY71" s="212" t="n"/>
      <c r="RZ71" s="212" t="n"/>
      <c r="SA71" s="212" t="n"/>
      <c r="SB71" s="212" t="n"/>
      <c r="SC71" s="212" t="n"/>
      <c r="SD71" s="212" t="n"/>
      <c r="SE71" s="212" t="n"/>
      <c r="SF71" s="212" t="n"/>
      <c r="SG71" s="212" t="n"/>
      <c r="SH71" s="212" t="n"/>
      <c r="SI71" s="212" t="n"/>
      <c r="SJ71" s="212" t="n"/>
      <c r="SK71" s="212" t="n"/>
      <c r="SL71" s="212" t="n"/>
      <c r="SM71" s="212" t="n"/>
      <c r="SN71" s="212" t="n"/>
      <c r="SO71" s="212" t="n"/>
      <c r="SP71" s="212" t="n"/>
      <c r="SQ71" s="212" t="n"/>
      <c r="SR71" s="212" t="n"/>
      <c r="SS71" s="212" t="n"/>
      <c r="ST71" s="212" t="n"/>
      <c r="SU71" s="212" t="n"/>
      <c r="SV71" s="212" t="n"/>
    </row>
    <row r="72">
      <c r="B72" s="209" t="inlineStr">
        <is>
          <t>N/A</t>
        </is>
      </c>
      <c r="C72" s="209" t="inlineStr">
        <is>
          <t>Sentinel</t>
        </is>
      </c>
      <c r="D72" s="209" t="inlineStr">
        <is>
          <t>Wayne</t>
        </is>
      </c>
      <c r="E72" s="209" t="inlineStr">
        <is>
          <t>Van Heythuysen</t>
        </is>
      </c>
      <c r="F72" s="209">
        <f>IF(TRIM(D72&amp;E72)="","",TRIM(D72)&amp;" "&amp;TRIM(E72))</f>
        <v/>
      </c>
      <c r="G72" s="209" t="inlineStr">
        <is>
          <t>Perth</t>
        </is>
      </c>
      <c r="H72" s="209" t="inlineStr">
        <is>
          <t>TPO</t>
        </is>
      </c>
      <c r="I72" s="209" t="inlineStr">
        <is>
          <t>YES</t>
        </is>
      </c>
      <c r="J72" s="209" t="inlineStr">
        <is>
          <t>YES</t>
        </is>
      </c>
      <c r="K72" s="209" t="inlineStr">
        <is>
          <t>YES</t>
        </is>
      </c>
      <c r="L72" s="209" t="inlineStr">
        <is>
          <t>YES</t>
        </is>
      </c>
      <c r="M72" s="209" t="inlineStr">
        <is>
          <t>Quals Complete</t>
        </is>
      </c>
      <c r="N72" s="209" t="inlineStr">
        <is>
          <t>wvano16@gmail.com</t>
        </is>
      </c>
      <c r="O72" s="209" t="inlineStr">
        <is>
          <t>0429 629 346</t>
        </is>
      </c>
      <c r="P72" s="209" t="n">
        <v>683053</v>
      </c>
      <c r="Q72" s="209" t="n">
        <v>260766</v>
      </c>
      <c r="R72" s="209" t="inlineStr">
        <is>
          <t>ADHOC</t>
        </is>
      </c>
      <c r="S72" s="210" t="inlineStr">
        <is>
          <t>N/A</t>
        </is>
      </c>
      <c r="T72" s="210" t="inlineStr">
        <is>
          <t>N/A</t>
        </is>
      </c>
      <c r="U72" s="210" t="inlineStr">
        <is>
          <t>N/A</t>
        </is>
      </c>
      <c r="V72" s="210" t="inlineStr">
        <is>
          <t>N/A</t>
        </is>
      </c>
      <c r="W72" s="210" t="inlineStr">
        <is>
          <t>N/A</t>
        </is>
      </c>
      <c r="X72" s="210" t="inlineStr">
        <is>
          <t>N/A</t>
        </is>
      </c>
      <c r="Y72" s="210" t="inlineStr">
        <is>
          <t>N/A</t>
        </is>
      </c>
      <c r="Z72" s="210" t="inlineStr">
        <is>
          <t>N/A</t>
        </is>
      </c>
      <c r="AA72" s="210" t="inlineStr">
        <is>
          <t>N/A</t>
        </is>
      </c>
      <c r="AB72" s="210" t="inlineStr">
        <is>
          <t>N/A</t>
        </is>
      </c>
      <c r="AC72" s="210" t="inlineStr">
        <is>
          <t>N/A</t>
        </is>
      </c>
      <c r="AD72" s="210" t="inlineStr">
        <is>
          <t>N/A</t>
        </is>
      </c>
      <c r="AE72" s="210" t="inlineStr">
        <is>
          <t>N/A</t>
        </is>
      </c>
      <c r="AF72" s="210" t="inlineStr">
        <is>
          <t>N/A</t>
        </is>
      </c>
      <c r="AG72" s="210" t="inlineStr">
        <is>
          <t>N/A</t>
        </is>
      </c>
      <c r="AH72" s="210" t="inlineStr">
        <is>
          <t>N/A</t>
        </is>
      </c>
      <c r="AI72" s="210" t="inlineStr">
        <is>
          <t>N/A</t>
        </is>
      </c>
      <c r="AJ72" s="210" t="inlineStr">
        <is>
          <t>N/A</t>
        </is>
      </c>
      <c r="AK72" s="211" t="inlineStr">
        <is>
          <t>DRIVE IN PM
PHN</t>
        </is>
      </c>
      <c r="AL72" s="211" t="inlineStr">
        <is>
          <t>PHN</t>
        </is>
      </c>
      <c r="AM72" s="211" t="inlineStr">
        <is>
          <t>PHN</t>
        </is>
      </c>
      <c r="AN72" s="211" t="inlineStr">
        <is>
          <t>PHN</t>
        </is>
      </c>
      <c r="AO72" s="211" t="inlineStr">
        <is>
          <t>PHE/PER PM</t>
        </is>
      </c>
      <c r="AP72" s="210" t="inlineStr">
        <is>
          <t>N/A</t>
        </is>
      </c>
      <c r="AQ72" s="210" t="inlineStr">
        <is>
          <t>N/A</t>
        </is>
      </c>
      <c r="AR72" s="210" t="inlineStr">
        <is>
          <t>N/A</t>
        </is>
      </c>
      <c r="AS72" s="210" t="inlineStr">
        <is>
          <t>N/A</t>
        </is>
      </c>
      <c r="AT72" s="210" t="inlineStr">
        <is>
          <t>N/A</t>
        </is>
      </c>
      <c r="AU72" s="210" t="inlineStr">
        <is>
          <t>N/A</t>
        </is>
      </c>
      <c r="AV72" s="210" t="inlineStr">
        <is>
          <t>N/A</t>
        </is>
      </c>
      <c r="AW72" s="210" t="inlineStr">
        <is>
          <t>N/A</t>
        </is>
      </c>
      <c r="AX72" s="210" t="inlineStr">
        <is>
          <t>N/A</t>
        </is>
      </c>
      <c r="AY72" s="210" t="inlineStr">
        <is>
          <t>N/A</t>
        </is>
      </c>
      <c r="AZ72" s="210" t="inlineStr">
        <is>
          <t>N/A</t>
        </is>
      </c>
      <c r="BA72" s="210" t="inlineStr">
        <is>
          <t>N/A</t>
        </is>
      </c>
      <c r="BB72" s="210" t="inlineStr">
        <is>
          <t>N/A</t>
        </is>
      </c>
      <c r="BC72" s="210" t="inlineStr">
        <is>
          <t>N/A</t>
        </is>
      </c>
      <c r="BD72" s="210" t="inlineStr">
        <is>
          <t>N/A</t>
        </is>
      </c>
      <c r="BE72" s="210" t="inlineStr">
        <is>
          <t>N/A</t>
        </is>
      </c>
      <c r="BF72" s="210" t="inlineStr">
        <is>
          <t>N/A</t>
        </is>
      </c>
      <c r="BG72" s="210" t="inlineStr">
        <is>
          <t>N/A</t>
        </is>
      </c>
      <c r="BH72" s="210" t="inlineStr">
        <is>
          <t>N/A</t>
        </is>
      </c>
      <c r="BI72" s="210" t="inlineStr">
        <is>
          <t>N/A</t>
        </is>
      </c>
      <c r="BJ72" s="210" t="inlineStr">
        <is>
          <t>N/A</t>
        </is>
      </c>
      <c r="BK72" s="210" t="inlineStr">
        <is>
          <t>N/A</t>
        </is>
      </c>
      <c r="BL72" s="210" t="inlineStr">
        <is>
          <t>N/A</t>
        </is>
      </c>
      <c r="BM72" s="210" t="inlineStr">
        <is>
          <t>N/A</t>
        </is>
      </c>
      <c r="BN72" s="210" t="inlineStr">
        <is>
          <t>N/A</t>
        </is>
      </c>
      <c r="BO72" s="210" t="inlineStr">
        <is>
          <t>N/A</t>
        </is>
      </c>
      <c r="BP72" s="210" t="inlineStr">
        <is>
          <t>N/A</t>
        </is>
      </c>
      <c r="BQ72" s="210" t="inlineStr">
        <is>
          <t>N/A</t>
        </is>
      </c>
      <c r="BR72" s="210" t="inlineStr">
        <is>
          <t>N/A</t>
        </is>
      </c>
      <c r="BS72" s="210" t="inlineStr">
        <is>
          <t>N/A</t>
        </is>
      </c>
      <c r="BT72" s="210" t="inlineStr">
        <is>
          <t>N/A</t>
        </is>
      </c>
      <c r="BU72" s="210" t="inlineStr">
        <is>
          <t>N/A</t>
        </is>
      </c>
      <c r="BV72" s="210" t="inlineStr">
        <is>
          <t>N/A</t>
        </is>
      </c>
      <c r="BW72" s="210" t="inlineStr">
        <is>
          <t>N/A</t>
        </is>
      </c>
      <c r="BX72" s="210" t="inlineStr">
        <is>
          <t>N/A</t>
        </is>
      </c>
      <c r="BY72" s="210" t="inlineStr">
        <is>
          <t>N/A</t>
        </is>
      </c>
      <c r="BZ72" s="210" t="inlineStr">
        <is>
          <t>N/A</t>
        </is>
      </c>
      <c r="CA72" s="210" t="inlineStr">
        <is>
          <t>N/A</t>
        </is>
      </c>
      <c r="CB72" s="210" t="inlineStr">
        <is>
          <t>N/A</t>
        </is>
      </c>
      <c r="CC72" s="210" t="inlineStr">
        <is>
          <t>N/A</t>
        </is>
      </c>
      <c r="CD72" s="210" t="inlineStr">
        <is>
          <t>N/A</t>
        </is>
      </c>
      <c r="CE72" s="210" t="inlineStr">
        <is>
          <t>N/A</t>
        </is>
      </c>
      <c r="CF72" s="210" t="inlineStr">
        <is>
          <t>N/A</t>
        </is>
      </c>
      <c r="CG72" s="210" t="inlineStr">
        <is>
          <t>N/A</t>
        </is>
      </c>
      <c r="CH72" s="210" t="inlineStr">
        <is>
          <t>N/A</t>
        </is>
      </c>
      <c r="CI72" s="210" t="inlineStr">
        <is>
          <t>N/A</t>
        </is>
      </c>
      <c r="CJ72" s="210" t="inlineStr">
        <is>
          <t>N/A</t>
        </is>
      </c>
      <c r="CK72" s="210" t="inlineStr">
        <is>
          <t>N/A</t>
        </is>
      </c>
      <c r="CL72" s="210" t="inlineStr">
        <is>
          <t>N/A</t>
        </is>
      </c>
      <c r="CM72" s="210" t="inlineStr">
        <is>
          <t>N/A</t>
        </is>
      </c>
      <c r="CN72" s="210" t="inlineStr">
        <is>
          <t>N/A</t>
        </is>
      </c>
      <c r="CO72" s="210" t="inlineStr">
        <is>
          <t>N/A</t>
        </is>
      </c>
      <c r="CP72" s="210" t="inlineStr">
        <is>
          <t>N/A</t>
        </is>
      </c>
      <c r="CQ72" s="210" t="inlineStr">
        <is>
          <t>N/A</t>
        </is>
      </c>
      <c r="CR72" s="210" t="inlineStr">
        <is>
          <t>N/A</t>
        </is>
      </c>
      <c r="CS72" s="210" t="inlineStr">
        <is>
          <t>N/A</t>
        </is>
      </c>
      <c r="CT72" s="210" t="inlineStr">
        <is>
          <t>N/A</t>
        </is>
      </c>
      <c r="CU72" s="210" t="inlineStr">
        <is>
          <t>N/A</t>
        </is>
      </c>
      <c r="CV72" s="210" t="inlineStr">
        <is>
          <t>N/A</t>
        </is>
      </c>
      <c r="CW72" s="210" t="inlineStr">
        <is>
          <t>N/A</t>
        </is>
      </c>
      <c r="CX72" s="210" t="inlineStr">
        <is>
          <t>N/A</t>
        </is>
      </c>
      <c r="CY72" s="210" t="inlineStr">
        <is>
          <t>N/A</t>
        </is>
      </c>
      <c r="CZ72" s="210" t="inlineStr">
        <is>
          <t>N/A</t>
        </is>
      </c>
      <c r="DA72" s="210" t="inlineStr">
        <is>
          <t>N/A</t>
        </is>
      </c>
      <c r="DB72" s="210" t="inlineStr">
        <is>
          <t>N/A</t>
        </is>
      </c>
      <c r="DC72" s="210" t="inlineStr">
        <is>
          <t>N/A</t>
        </is>
      </c>
      <c r="DD72" s="210" t="inlineStr">
        <is>
          <t>N/A</t>
        </is>
      </c>
      <c r="DE72" s="210" t="inlineStr">
        <is>
          <t>N/A</t>
        </is>
      </c>
      <c r="DF72" s="210" t="inlineStr">
        <is>
          <t>N/A</t>
        </is>
      </c>
      <c r="DG72" s="210" t="inlineStr">
        <is>
          <t>N/A</t>
        </is>
      </c>
      <c r="DH72" s="210" t="inlineStr">
        <is>
          <t>N/A</t>
        </is>
      </c>
      <c r="DI72" s="210" t="inlineStr">
        <is>
          <t>N/A</t>
        </is>
      </c>
      <c r="DJ72" s="210" t="inlineStr">
        <is>
          <t>N/A</t>
        </is>
      </c>
      <c r="DK72" s="210" t="inlineStr">
        <is>
          <t>N/A</t>
        </is>
      </c>
      <c r="DL72" s="210" t="inlineStr">
        <is>
          <t>N/A</t>
        </is>
      </c>
      <c r="DM72" s="210" t="inlineStr">
        <is>
          <t>N/A</t>
        </is>
      </c>
      <c r="DN72" s="210" t="inlineStr">
        <is>
          <t>N/A</t>
        </is>
      </c>
      <c r="DO72" s="210" t="inlineStr">
        <is>
          <t>N/A</t>
        </is>
      </c>
      <c r="DP72" s="210" t="inlineStr">
        <is>
          <t>N/A</t>
        </is>
      </c>
      <c r="DQ72" s="210" t="inlineStr">
        <is>
          <t>N/A</t>
        </is>
      </c>
      <c r="DR72" s="210" t="inlineStr">
        <is>
          <t>N/A</t>
        </is>
      </c>
      <c r="DS72" s="212" t="n"/>
      <c r="DT72" s="212" t="n"/>
      <c r="DU72" s="212" t="n"/>
      <c r="DV72" s="212" t="n"/>
      <c r="DW72" s="212" t="n"/>
      <c r="DX72" s="212" t="n"/>
      <c r="DY72" s="212" t="n"/>
      <c r="DZ72" s="212" t="n"/>
      <c r="EA72" s="212" t="n"/>
      <c r="EB72" s="212" t="n"/>
      <c r="EC72" s="212" t="n"/>
      <c r="ED72" s="212" t="n"/>
      <c r="EE72" s="212" t="n"/>
      <c r="EF72" s="212" t="n"/>
      <c r="EG72" s="212" t="n"/>
      <c r="EH72" s="212" t="n"/>
      <c r="EI72" s="212" t="n"/>
      <c r="EJ72" s="212" t="n"/>
      <c r="EK72" s="212" t="n"/>
      <c r="EL72" s="212" t="n"/>
      <c r="EM72" s="212" t="n"/>
      <c r="EN72" s="212" t="n"/>
      <c r="EO72" s="212" t="n"/>
      <c r="EP72" s="212" t="n"/>
      <c r="EQ72" s="212" t="n"/>
      <c r="ER72" s="212" t="n"/>
      <c r="ES72" s="212" t="n"/>
      <c r="ET72" s="212" t="n"/>
      <c r="EU72" s="212" t="n"/>
      <c r="EV72" s="212" t="n"/>
      <c r="EW72" s="212" t="n"/>
      <c r="EX72" s="212" t="n"/>
      <c r="EY72" s="212" t="n"/>
      <c r="EZ72" s="212" t="n"/>
      <c r="FA72" s="212" t="n"/>
      <c r="FB72" s="212" t="n"/>
      <c r="FC72" s="212" t="n"/>
      <c r="FD72" s="212" t="n"/>
      <c r="FE72" s="212" t="n"/>
      <c r="FF72" s="212" t="n"/>
      <c r="FG72" s="212" t="n"/>
      <c r="FH72" s="212" t="n"/>
      <c r="FI72" s="212" t="n"/>
      <c r="FJ72" s="212" t="n"/>
      <c r="FK72" s="212" t="n"/>
      <c r="FL72" s="212" t="n"/>
      <c r="FM72" s="212" t="n"/>
      <c r="FN72" s="212" t="n"/>
      <c r="FO72" s="212" t="n"/>
      <c r="FP72" s="212" t="n"/>
      <c r="FQ72" s="212" t="n"/>
      <c r="FR72" s="212" t="n"/>
      <c r="FS72" s="212" t="n"/>
      <c r="FT72" s="212" t="n"/>
      <c r="FU72" s="212" t="n"/>
      <c r="FV72" s="212" t="n"/>
      <c r="FW72" s="212" t="n"/>
      <c r="FX72" s="212" t="n"/>
      <c r="FY72" s="212" t="n"/>
      <c r="FZ72" s="212" t="n"/>
      <c r="GA72" s="212" t="n"/>
      <c r="GB72" s="212" t="n"/>
      <c r="GC72" s="212" t="n"/>
      <c r="GD72" s="212" t="n"/>
      <c r="GE72" s="212" t="n"/>
      <c r="GF72" s="212" t="n"/>
      <c r="GG72" s="212" t="n"/>
      <c r="GH72" s="212" t="n"/>
      <c r="GI72" s="212" t="n"/>
      <c r="GJ72" s="212" t="n"/>
      <c r="GK72" s="212" t="n"/>
      <c r="GL72" s="212" t="n"/>
      <c r="GM72" s="212" t="n"/>
      <c r="GN72" s="212" t="n"/>
      <c r="GO72" s="212" t="n"/>
      <c r="GP72" s="212" t="n"/>
      <c r="GQ72" s="212" t="n"/>
      <c r="GR72" s="212" t="n"/>
      <c r="GS72" s="212" t="n"/>
      <c r="GT72" s="212" t="n"/>
      <c r="GU72" s="212" t="n"/>
      <c r="GV72" s="212" t="n"/>
      <c r="GW72" s="212" t="n"/>
      <c r="GX72" s="212" t="n"/>
      <c r="GY72" s="212" t="n"/>
      <c r="GZ72" s="212" t="n"/>
      <c r="HA72" s="212" t="n"/>
      <c r="HB72" s="212" t="n"/>
      <c r="HC72" s="212" t="n"/>
      <c r="HD72" s="212" t="n"/>
      <c r="HE72" s="212" t="n"/>
      <c r="HF72" s="212" t="n"/>
      <c r="HG72" s="212" t="n"/>
      <c r="HH72" s="212" t="n"/>
      <c r="HI72" s="212" t="n"/>
      <c r="HJ72" s="212" t="n"/>
      <c r="HK72" s="212" t="n"/>
      <c r="HL72" s="212" t="n"/>
      <c r="HM72" s="212" t="n"/>
      <c r="HN72" s="212" t="n"/>
      <c r="HO72" s="212" t="n"/>
      <c r="HP72" s="212" t="n"/>
      <c r="HQ72" s="212" t="n"/>
      <c r="HR72" s="212" t="n"/>
      <c r="HS72" s="212" t="n"/>
      <c r="HT72" s="212" t="n"/>
      <c r="HU72" s="212" t="n"/>
      <c r="HV72" s="212" t="n"/>
      <c r="HW72" s="212" t="n"/>
      <c r="HX72" s="212" t="n"/>
      <c r="HY72" s="212" t="n"/>
      <c r="HZ72" s="212" t="n"/>
      <c r="IA72" s="212" t="n"/>
      <c r="IB72" s="212" t="n"/>
      <c r="IC72" s="212" t="n"/>
      <c r="ID72" s="212" t="n"/>
      <c r="IE72" s="212" t="n"/>
      <c r="IF72" s="212" t="n"/>
      <c r="IG72" s="212" t="n"/>
      <c r="IH72" s="212" t="n"/>
      <c r="II72" s="212" t="n"/>
      <c r="IJ72" s="212" t="n"/>
      <c r="IK72" s="212" t="n"/>
      <c r="IL72" s="212" t="n"/>
      <c r="IM72" s="212" t="n"/>
      <c r="IN72" s="212" t="n"/>
      <c r="IO72" s="212" t="n"/>
      <c r="IP72" s="212" t="n"/>
      <c r="IQ72" s="212" t="n"/>
      <c r="IR72" s="212" t="n"/>
      <c r="IS72" s="212" t="n"/>
      <c r="IT72" s="212" t="n"/>
      <c r="IU72" s="212" t="n"/>
      <c r="IV72" s="212" t="n"/>
      <c r="IW72" s="212" t="n"/>
      <c r="IX72" s="212" t="n"/>
      <c r="IY72" s="212" t="n"/>
      <c r="IZ72" s="212" t="n"/>
      <c r="JA72" s="212" t="n"/>
      <c r="JB72" s="212" t="n"/>
      <c r="JC72" s="212" t="n"/>
      <c r="JD72" s="212" t="n"/>
      <c r="JE72" s="212" t="n"/>
      <c r="JF72" s="212" t="n"/>
      <c r="JG72" s="212" t="n"/>
      <c r="JH72" s="212" t="n"/>
      <c r="JI72" s="212" t="n"/>
      <c r="JJ72" s="212" t="n"/>
      <c r="JK72" s="212" t="n"/>
      <c r="JL72" s="212" t="n"/>
      <c r="JM72" s="212" t="n"/>
      <c r="JN72" s="212" t="n"/>
      <c r="JO72" s="212" t="n"/>
      <c r="JP72" s="212" t="n"/>
      <c r="JQ72" s="212" t="n"/>
      <c r="JR72" s="212" t="n"/>
      <c r="JS72" s="212" t="n"/>
      <c r="JT72" s="212" t="n"/>
      <c r="JU72" s="212" t="n"/>
      <c r="JV72" s="212" t="n"/>
      <c r="JW72" s="212" t="n"/>
      <c r="JX72" s="212" t="n"/>
      <c r="JY72" s="212" t="n"/>
      <c r="JZ72" s="212" t="n"/>
      <c r="KA72" s="212" t="n"/>
      <c r="KB72" s="212" t="n"/>
      <c r="KC72" s="212" t="n"/>
      <c r="KD72" s="212" t="n"/>
      <c r="KE72" s="212" t="n"/>
      <c r="KF72" s="212" t="n"/>
      <c r="KG72" s="212" t="n"/>
      <c r="KH72" s="212" t="n"/>
      <c r="KI72" s="212" t="n"/>
      <c r="KJ72" s="212" t="n"/>
      <c r="KK72" s="212" t="n"/>
      <c r="KL72" s="212" t="n"/>
      <c r="KM72" s="212" t="n"/>
      <c r="KN72" s="212" t="n"/>
      <c r="KO72" s="212" t="n"/>
      <c r="KP72" s="212" t="n"/>
      <c r="KQ72" s="212" t="n"/>
      <c r="KR72" s="212" t="n"/>
      <c r="KS72" s="212" t="n"/>
      <c r="KT72" s="212" t="n"/>
      <c r="KU72" s="212" t="n"/>
      <c r="KV72" s="212" t="n"/>
      <c r="KW72" s="212" t="n"/>
      <c r="KX72" s="212" t="n"/>
      <c r="KY72" s="212" t="n"/>
      <c r="KZ72" s="212" t="n"/>
      <c r="LA72" s="212" t="n"/>
      <c r="LB72" s="212" t="n"/>
      <c r="LC72" s="212" t="n"/>
      <c r="LD72" s="212" t="n"/>
      <c r="LE72" s="212" t="n"/>
      <c r="LF72" s="212" t="n"/>
      <c r="LG72" s="212" t="n"/>
      <c r="LH72" s="212" t="n"/>
      <c r="LI72" s="212" t="n"/>
      <c r="LJ72" s="212" t="n"/>
      <c r="LK72" s="212" t="n"/>
      <c r="LL72" s="212" t="n"/>
      <c r="LM72" s="212" t="n"/>
      <c r="LN72" s="212" t="n"/>
      <c r="LO72" s="212" t="n"/>
      <c r="LP72" s="212" t="n"/>
      <c r="LQ72" s="212" t="n"/>
      <c r="LR72" s="212" t="n"/>
      <c r="LS72" s="212" t="n"/>
      <c r="LT72" s="212" t="n"/>
      <c r="LU72" s="212" t="n"/>
      <c r="LV72" s="212" t="n"/>
      <c r="LW72" s="212" t="n"/>
      <c r="LX72" s="212" t="n"/>
      <c r="LY72" s="212" t="n"/>
      <c r="LZ72" s="212" t="n"/>
      <c r="MA72" s="212" t="n"/>
      <c r="MB72" s="212" t="n"/>
      <c r="MC72" s="212" t="n"/>
      <c r="MD72" s="212" t="n"/>
      <c r="ME72" s="212" t="n"/>
      <c r="MF72" s="212" t="n"/>
      <c r="MG72" s="212" t="n"/>
      <c r="MH72" s="212" t="n"/>
      <c r="MI72" s="212" t="n"/>
      <c r="MJ72" s="212" t="n"/>
      <c r="MK72" s="212" t="n"/>
      <c r="ML72" s="212" t="n"/>
      <c r="MM72" s="212" t="n"/>
      <c r="MN72" s="212" t="n"/>
      <c r="MO72" s="212" t="n"/>
      <c r="MP72" s="212" t="n"/>
      <c r="MQ72" s="212" t="n"/>
      <c r="MR72" s="212" t="n"/>
      <c r="MS72" s="212" t="n"/>
      <c r="MT72" s="212" t="n"/>
      <c r="MU72" s="212" t="n"/>
      <c r="MV72" s="212" t="n"/>
      <c r="MW72" s="212" t="n"/>
      <c r="MX72" s="212" t="n"/>
      <c r="MY72" s="212" t="n"/>
      <c r="MZ72" s="212" t="n"/>
      <c r="NA72" s="212" t="n"/>
      <c r="NB72" s="212" t="n"/>
      <c r="NC72" s="212" t="n"/>
      <c r="ND72" s="212" t="n"/>
      <c r="NE72" s="212" t="n"/>
      <c r="NF72" s="212" t="n"/>
      <c r="NG72" s="212" t="n"/>
      <c r="NH72" s="212" t="n"/>
      <c r="NI72" s="212" t="n"/>
      <c r="NJ72" s="212" t="n"/>
      <c r="NK72" s="212" t="n"/>
      <c r="NL72" s="212" t="n"/>
      <c r="NM72" s="212" t="n"/>
      <c r="NN72" s="212" t="n"/>
      <c r="NO72" s="212" t="n"/>
      <c r="NP72" s="212" t="n"/>
      <c r="NQ72" s="212" t="n"/>
      <c r="NR72" s="212" t="n"/>
      <c r="NS72" s="212" t="n"/>
      <c r="NT72" s="212" t="n"/>
      <c r="NU72" s="212" t="n"/>
      <c r="NV72" s="212" t="n"/>
      <c r="NW72" s="212" t="n"/>
      <c r="NX72" s="212" t="n"/>
      <c r="NY72" s="212" t="n"/>
      <c r="NZ72" s="212" t="n"/>
      <c r="OA72" s="212" t="n"/>
      <c r="OB72" s="212" t="n"/>
      <c r="OC72" s="212" t="n"/>
      <c r="OD72" s="212" t="n"/>
      <c r="OE72" s="212" t="n"/>
      <c r="OF72" s="212" t="n"/>
      <c r="OG72" s="212" t="n"/>
      <c r="OH72" s="212" t="n"/>
      <c r="OI72" s="212" t="n"/>
      <c r="OJ72" s="212" t="n"/>
      <c r="OK72" s="212" t="n"/>
      <c r="OL72" s="212" t="n"/>
      <c r="OM72" s="212" t="n"/>
      <c r="ON72" s="212" t="n"/>
      <c r="OO72" s="212" t="n"/>
      <c r="OP72" s="212" t="n"/>
      <c r="OQ72" s="212" t="n"/>
      <c r="OR72" s="212" t="n"/>
      <c r="OS72" s="212" t="n"/>
      <c r="OT72" s="212" t="n"/>
      <c r="OU72" s="212" t="n"/>
      <c r="OV72" s="212" t="n"/>
      <c r="OW72" s="212" t="n"/>
      <c r="OX72" s="212" t="n"/>
      <c r="OY72" s="212" t="n"/>
      <c r="OZ72" s="212" t="n"/>
      <c r="PA72" s="212" t="n"/>
      <c r="PB72" s="212" t="n"/>
      <c r="PC72" s="212" t="n"/>
      <c r="PD72" s="212" t="n"/>
      <c r="PE72" s="212" t="n"/>
      <c r="PF72" s="212" t="n"/>
      <c r="PG72" s="212" t="n"/>
      <c r="PH72" s="212" t="n"/>
      <c r="PI72" s="212" t="n"/>
      <c r="PJ72" s="212" t="n"/>
      <c r="PK72" s="212" t="n"/>
      <c r="PL72" s="212" t="n"/>
      <c r="PM72" s="212" t="n"/>
      <c r="PN72" s="212" t="n"/>
      <c r="PO72" s="212" t="n"/>
      <c r="PP72" s="212" t="n"/>
      <c r="PQ72" s="212" t="n"/>
      <c r="PR72" s="212" t="n"/>
      <c r="PS72" s="212" t="n"/>
      <c r="PT72" s="212" t="n"/>
      <c r="PU72" s="212" t="n"/>
      <c r="PV72" s="212" t="n"/>
      <c r="PW72" s="212" t="n"/>
      <c r="PX72" s="212" t="n"/>
      <c r="PY72" s="212" t="n"/>
      <c r="PZ72" s="212" t="n"/>
      <c r="QA72" s="212" t="n"/>
      <c r="QB72" s="212" t="n"/>
      <c r="QC72" s="212" t="n"/>
      <c r="QD72" s="212" t="n"/>
      <c r="QE72" s="212" t="n"/>
      <c r="QF72" s="212" t="n"/>
      <c r="QG72" s="212" t="n"/>
      <c r="QH72" s="212" t="n"/>
      <c r="QI72" s="212" t="n"/>
      <c r="QJ72" s="212" t="n"/>
      <c r="QK72" s="212" t="n"/>
      <c r="QL72" s="212" t="n"/>
      <c r="QM72" s="212" t="n"/>
      <c r="QN72" s="212" t="n"/>
      <c r="QO72" s="212" t="n"/>
      <c r="QP72" s="212" t="n"/>
      <c r="QQ72" s="212" t="n"/>
      <c r="QR72" s="212" t="n"/>
      <c r="QS72" s="212" t="n"/>
      <c r="QT72" s="212" t="n"/>
      <c r="QU72" s="212" t="n"/>
      <c r="QV72" s="212" t="n"/>
      <c r="QW72" s="212" t="n"/>
      <c r="QX72" s="212" t="n"/>
      <c r="QY72" s="212" t="n"/>
      <c r="QZ72" s="212" t="n"/>
      <c r="RA72" s="212" t="n"/>
      <c r="RB72" s="212" t="n"/>
      <c r="RC72" s="212" t="n"/>
      <c r="RD72" s="212" t="n"/>
      <c r="RE72" s="212" t="n"/>
      <c r="RF72" s="212" t="n"/>
      <c r="RG72" s="212" t="n"/>
      <c r="RH72" s="212" t="n"/>
      <c r="RI72" s="212" t="n"/>
      <c r="RJ72" s="212" t="n"/>
      <c r="RK72" s="212" t="n"/>
      <c r="RL72" s="212" t="n"/>
      <c r="RM72" s="212" t="n"/>
      <c r="RN72" s="212" t="n"/>
      <c r="RO72" s="212" t="n"/>
      <c r="RP72" s="212" t="n"/>
      <c r="RQ72" s="212" t="n"/>
      <c r="RR72" s="212" t="n"/>
      <c r="RS72" s="212" t="n"/>
      <c r="RT72" s="212" t="n"/>
      <c r="RU72" s="212" t="n"/>
      <c r="RV72" s="212" t="n"/>
      <c r="RW72" s="212" t="n"/>
      <c r="RX72" s="212" t="n"/>
      <c r="RY72" s="212" t="n"/>
      <c r="RZ72" s="212" t="n"/>
      <c r="SA72" s="212" t="n"/>
      <c r="SB72" s="212" t="n"/>
      <c r="SC72" s="212" t="n"/>
      <c r="SD72" s="212" t="n"/>
      <c r="SE72" s="212" t="n"/>
      <c r="SF72" s="212" t="n"/>
      <c r="SG72" s="212" t="n"/>
      <c r="SH72" s="212" t="n"/>
      <c r="SI72" s="212" t="n"/>
      <c r="SJ72" s="212" t="n"/>
      <c r="SK72" s="212" t="n"/>
      <c r="SL72" s="212" t="n"/>
      <c r="SM72" s="212" t="n"/>
      <c r="SN72" s="212" t="n"/>
      <c r="SO72" s="212" t="n"/>
      <c r="SP72" s="212" t="n"/>
      <c r="SQ72" s="212" t="n"/>
      <c r="SR72" s="212" t="n"/>
      <c r="SS72" s="212" t="n"/>
      <c r="ST72" s="212" t="n"/>
      <c r="SU72" s="212" t="n"/>
      <c r="SV72" s="212" t="n"/>
    </row>
    <row r="73">
      <c r="B73" s="209" t="inlineStr">
        <is>
          <t>N/A</t>
        </is>
      </c>
      <c r="C73" s="209" t="inlineStr">
        <is>
          <t>Wabtec</t>
        </is>
      </c>
      <c r="D73" s="209" t="inlineStr">
        <is>
          <t>Christopher</t>
        </is>
      </c>
      <c r="E73" s="209" t="inlineStr">
        <is>
          <t>McDonnell</t>
        </is>
      </c>
      <c r="F73" s="209">
        <f>IF(TRIM(D73&amp;E73)="","",TRIM(D73)&amp;" "&amp;TRIM(E73))</f>
        <v/>
      </c>
      <c r="G73" s="209" t="inlineStr">
        <is>
          <t>Perth</t>
        </is>
      </c>
      <c r="H73" s="209" t="inlineStr">
        <is>
          <t>Supervisor Electrical  - Non Stat - WHS</t>
        </is>
      </c>
      <c r="I73" s="209" t="inlineStr">
        <is>
          <t>YES</t>
        </is>
      </c>
      <c r="J73" s="209" t="inlineStr">
        <is>
          <t>YES</t>
        </is>
      </c>
      <c r="K73" s="209" t="inlineStr">
        <is>
          <t>YES</t>
        </is>
      </c>
      <c r="L73" s="209" t="inlineStr">
        <is>
          <t>YES</t>
        </is>
      </c>
      <c r="M73" s="209" t="inlineStr">
        <is>
          <t>Quals Complete</t>
        </is>
      </c>
      <c r="N73" s="209" t="inlineStr">
        <is>
          <t>chris.mcdonnell@wabtec.com</t>
        </is>
      </c>
      <c r="O73" s="209" t="inlineStr">
        <is>
          <t>0498 141 469</t>
        </is>
      </c>
      <c r="P73" s="209" t="n">
        <v>626937</v>
      </c>
      <c r="Q73" s="209" t="n">
        <v>301773</v>
      </c>
      <c r="R73" s="209" t="inlineStr">
        <is>
          <t>ADHOC</t>
        </is>
      </c>
      <c r="S73" s="211" t="inlineStr">
        <is>
          <t>PER/PHE PM
LND</t>
        </is>
      </c>
      <c r="T73" s="211" t="inlineStr">
        <is>
          <t>LND</t>
        </is>
      </c>
      <c r="U73" s="211" t="inlineStr">
        <is>
          <t>LND</t>
        </is>
      </c>
      <c r="V73" s="211" t="inlineStr">
        <is>
          <t>LND</t>
        </is>
      </c>
      <c r="W73" s="211" t="inlineStr">
        <is>
          <t>LND</t>
        </is>
      </c>
      <c r="X73" s="211" t="inlineStr">
        <is>
          <t>LND</t>
        </is>
      </c>
      <c r="Y73" s="211" t="inlineStr">
        <is>
          <t>LND</t>
        </is>
      </c>
      <c r="Z73" s="211" t="inlineStr">
        <is>
          <t>LND</t>
        </is>
      </c>
      <c r="AA73" s="211" t="inlineStr">
        <is>
          <t>LND</t>
        </is>
      </c>
      <c r="AB73" s="211" t="inlineStr">
        <is>
          <t>LND</t>
        </is>
      </c>
      <c r="AC73" s="211" t="inlineStr">
        <is>
          <t>LND</t>
        </is>
      </c>
      <c r="AD73" s="211" t="inlineStr">
        <is>
          <t>LND</t>
        </is>
      </c>
      <c r="AE73" s="211" t="inlineStr">
        <is>
          <t>PHE/PER PM</t>
        </is>
      </c>
      <c r="AF73" s="222" t="inlineStr">
        <is>
          <t>RnR</t>
        </is>
      </c>
      <c r="AG73" s="222" t="inlineStr">
        <is>
          <t>RnR</t>
        </is>
      </c>
      <c r="AH73" s="222" t="inlineStr">
        <is>
          <t>RnR</t>
        </is>
      </c>
      <c r="AI73" s="222" t="inlineStr">
        <is>
          <t>RnR</t>
        </is>
      </c>
      <c r="AJ73" s="222" t="inlineStr">
        <is>
          <t>RnR</t>
        </is>
      </c>
      <c r="AK73" s="226" t="inlineStr">
        <is>
          <t>PER/PHE PM
LND</t>
        </is>
      </c>
      <c r="AL73" s="226" t="inlineStr">
        <is>
          <t>LND</t>
        </is>
      </c>
      <c r="AM73" s="223" t="inlineStr">
        <is>
          <t>Demobilised</t>
        </is>
      </c>
      <c r="AN73" s="212" t="n"/>
      <c r="AO73" s="212" t="n"/>
      <c r="AP73" s="212" t="n"/>
      <c r="AQ73" s="212" t="n"/>
      <c r="AR73" s="212" t="n"/>
      <c r="AS73" s="212" t="n"/>
      <c r="AT73" s="212" t="n"/>
      <c r="AU73" s="212" t="n"/>
      <c r="AV73" s="212" t="n"/>
      <c r="AW73" s="212" t="n"/>
      <c r="AX73" s="212" t="n"/>
      <c r="AY73" s="212" t="n"/>
      <c r="AZ73" s="210" t="inlineStr">
        <is>
          <t>N/A</t>
        </is>
      </c>
      <c r="BA73" s="210" t="inlineStr">
        <is>
          <t>N/A</t>
        </is>
      </c>
      <c r="BB73" s="210" t="inlineStr">
        <is>
          <t>N/A</t>
        </is>
      </c>
      <c r="BC73" s="210" t="inlineStr">
        <is>
          <t>N/A</t>
        </is>
      </c>
      <c r="BD73" s="210" t="inlineStr">
        <is>
          <t>N/A</t>
        </is>
      </c>
      <c r="BE73" s="210" t="inlineStr">
        <is>
          <t>N/A</t>
        </is>
      </c>
      <c r="BF73" s="210" t="inlineStr">
        <is>
          <t>N/A</t>
        </is>
      </c>
      <c r="BG73" s="210" t="inlineStr">
        <is>
          <t>N/A</t>
        </is>
      </c>
      <c r="BH73" s="210" t="inlineStr">
        <is>
          <t>N/A</t>
        </is>
      </c>
      <c r="BI73" s="210" t="inlineStr">
        <is>
          <t>N/A</t>
        </is>
      </c>
      <c r="BJ73" s="210" t="inlineStr">
        <is>
          <t>N/A</t>
        </is>
      </c>
      <c r="BK73" s="210" t="inlineStr">
        <is>
          <t>N/A</t>
        </is>
      </c>
      <c r="BL73" s="210" t="inlineStr">
        <is>
          <t>N/A</t>
        </is>
      </c>
      <c r="BM73" s="210" t="inlineStr">
        <is>
          <t>N/A</t>
        </is>
      </c>
      <c r="BN73" s="210" t="inlineStr">
        <is>
          <t>N/A</t>
        </is>
      </c>
      <c r="BO73" s="210" t="inlineStr">
        <is>
          <t>N/A</t>
        </is>
      </c>
      <c r="BP73" s="210" t="inlineStr">
        <is>
          <t>N/A</t>
        </is>
      </c>
      <c r="BQ73" s="210" t="inlineStr">
        <is>
          <t>N/A</t>
        </is>
      </c>
      <c r="BR73" s="210" t="inlineStr">
        <is>
          <t>N/A</t>
        </is>
      </c>
      <c r="BS73" s="210" t="inlineStr">
        <is>
          <t>N/A</t>
        </is>
      </c>
      <c r="BT73" s="210" t="inlineStr">
        <is>
          <t>N/A</t>
        </is>
      </c>
      <c r="BU73" s="210" t="inlineStr">
        <is>
          <t>N/A</t>
        </is>
      </c>
      <c r="BV73" s="210" t="inlineStr">
        <is>
          <t>N/A</t>
        </is>
      </c>
      <c r="BW73" s="210" t="inlineStr">
        <is>
          <t>N/A</t>
        </is>
      </c>
      <c r="BX73" s="210" t="inlineStr">
        <is>
          <t>N/A</t>
        </is>
      </c>
      <c r="BY73" s="210" t="inlineStr">
        <is>
          <t>N/A</t>
        </is>
      </c>
      <c r="BZ73" s="210" t="inlineStr">
        <is>
          <t>N/A</t>
        </is>
      </c>
      <c r="CA73" s="210" t="inlineStr">
        <is>
          <t>N/A</t>
        </is>
      </c>
      <c r="CB73" s="210" t="inlineStr">
        <is>
          <t>N/A</t>
        </is>
      </c>
      <c r="CC73" s="210" t="inlineStr">
        <is>
          <t>N/A</t>
        </is>
      </c>
      <c r="CD73" s="210" t="inlineStr">
        <is>
          <t>N/A</t>
        </is>
      </c>
      <c r="CE73" s="210" t="inlineStr">
        <is>
          <t>N/A</t>
        </is>
      </c>
      <c r="CF73" s="210" t="inlineStr">
        <is>
          <t>N/A</t>
        </is>
      </c>
      <c r="CG73" s="210" t="inlineStr">
        <is>
          <t>N/A</t>
        </is>
      </c>
      <c r="CH73" s="210" t="inlineStr">
        <is>
          <t>N/A</t>
        </is>
      </c>
      <c r="CI73" s="210" t="inlineStr">
        <is>
          <t>N/A</t>
        </is>
      </c>
      <c r="CJ73" s="210" t="inlineStr">
        <is>
          <t>N/A</t>
        </is>
      </c>
      <c r="CK73" s="210" t="inlineStr">
        <is>
          <t>N/A</t>
        </is>
      </c>
      <c r="CL73" s="210" t="inlineStr">
        <is>
          <t>N/A</t>
        </is>
      </c>
      <c r="CM73" s="210" t="inlineStr">
        <is>
          <t>N/A</t>
        </is>
      </c>
      <c r="CN73" s="210" t="inlineStr">
        <is>
          <t>N/A</t>
        </is>
      </c>
      <c r="CO73" s="210" t="inlineStr">
        <is>
          <t>N/A</t>
        </is>
      </c>
      <c r="CP73" s="210" t="inlineStr">
        <is>
          <t>N/A</t>
        </is>
      </c>
      <c r="CQ73" s="210" t="inlineStr">
        <is>
          <t>N/A</t>
        </is>
      </c>
      <c r="CR73" s="210" t="inlineStr">
        <is>
          <t>N/A</t>
        </is>
      </c>
      <c r="CS73" s="210" t="inlineStr">
        <is>
          <t>N/A</t>
        </is>
      </c>
      <c r="CT73" s="210" t="inlineStr">
        <is>
          <t>N/A</t>
        </is>
      </c>
      <c r="CU73" s="210" t="inlineStr">
        <is>
          <t>N/A</t>
        </is>
      </c>
      <c r="CV73" s="210" t="inlineStr">
        <is>
          <t>N/A</t>
        </is>
      </c>
      <c r="CW73" s="210" t="inlineStr">
        <is>
          <t>N/A</t>
        </is>
      </c>
      <c r="CX73" s="210" t="inlineStr">
        <is>
          <t>N/A</t>
        </is>
      </c>
      <c r="CY73" s="210" t="inlineStr">
        <is>
          <t>N/A</t>
        </is>
      </c>
      <c r="CZ73" s="210" t="inlineStr">
        <is>
          <t>N/A</t>
        </is>
      </c>
      <c r="DA73" s="210" t="inlineStr">
        <is>
          <t>N/A</t>
        </is>
      </c>
      <c r="DB73" s="210" t="inlineStr">
        <is>
          <t>N/A</t>
        </is>
      </c>
      <c r="DC73" s="210" t="inlineStr">
        <is>
          <t>N/A</t>
        </is>
      </c>
      <c r="DD73" s="210" t="inlineStr">
        <is>
          <t>N/A</t>
        </is>
      </c>
      <c r="DE73" s="210" t="inlineStr">
        <is>
          <t>N/A</t>
        </is>
      </c>
      <c r="DF73" s="210" t="inlineStr">
        <is>
          <t>N/A</t>
        </is>
      </c>
      <c r="DG73" s="210" t="inlineStr">
        <is>
          <t>N/A</t>
        </is>
      </c>
      <c r="DH73" s="210" t="inlineStr">
        <is>
          <t>N/A</t>
        </is>
      </c>
      <c r="DI73" s="210" t="inlineStr">
        <is>
          <t>N/A</t>
        </is>
      </c>
      <c r="DJ73" s="210" t="inlineStr">
        <is>
          <t>N/A</t>
        </is>
      </c>
      <c r="DK73" s="210" t="inlineStr">
        <is>
          <t>N/A</t>
        </is>
      </c>
      <c r="DL73" s="210" t="inlineStr">
        <is>
          <t>N/A</t>
        </is>
      </c>
      <c r="DM73" s="210" t="inlineStr">
        <is>
          <t>N/A</t>
        </is>
      </c>
      <c r="DN73" s="210" t="inlineStr">
        <is>
          <t>N/A</t>
        </is>
      </c>
      <c r="DO73" s="210" t="inlineStr">
        <is>
          <t>N/A</t>
        </is>
      </c>
      <c r="DP73" s="210" t="inlineStr">
        <is>
          <t>N/A</t>
        </is>
      </c>
      <c r="DQ73" s="210" t="inlineStr">
        <is>
          <t>N/A</t>
        </is>
      </c>
      <c r="DR73" s="210" t="inlineStr">
        <is>
          <t>N/A</t>
        </is>
      </c>
      <c r="DS73" s="212" t="n"/>
      <c r="DT73" s="212" t="n"/>
      <c r="DU73" s="212" t="n"/>
      <c r="DV73" s="212" t="n"/>
      <c r="DW73" s="212" t="n"/>
      <c r="DX73" s="212" t="n"/>
      <c r="DY73" s="212" t="n"/>
      <c r="DZ73" s="212" t="n"/>
      <c r="EA73" s="212" t="n"/>
      <c r="EB73" s="212" t="n"/>
      <c r="EC73" s="212" t="n"/>
      <c r="ED73" s="212" t="n"/>
      <c r="EE73" s="212" t="n"/>
      <c r="EF73" s="212" t="n"/>
      <c r="EG73" s="212" t="n"/>
      <c r="EH73" s="212" t="n"/>
      <c r="EI73" s="212" t="n"/>
      <c r="EJ73" s="212" t="n"/>
      <c r="EK73" s="212" t="n"/>
      <c r="EL73" s="212" t="n"/>
      <c r="EM73" s="212" t="n"/>
      <c r="EN73" s="212" t="n"/>
      <c r="EO73" s="212" t="n"/>
      <c r="EP73" s="212" t="n"/>
      <c r="EQ73" s="212" t="n"/>
      <c r="ER73" s="212" t="n"/>
      <c r="ES73" s="212" t="n"/>
      <c r="ET73" s="212" t="n"/>
      <c r="EU73" s="212" t="n"/>
      <c r="EV73" s="212" t="n"/>
      <c r="EW73" s="212" t="n"/>
      <c r="EX73" s="212" t="n"/>
      <c r="EY73" s="212" t="n"/>
      <c r="EZ73" s="212" t="n"/>
      <c r="FA73" s="212" t="n"/>
      <c r="FB73" s="212" t="n"/>
      <c r="FC73" s="212" t="n"/>
      <c r="FD73" s="212" t="n"/>
      <c r="FE73" s="212" t="n"/>
      <c r="FF73" s="212" t="n"/>
      <c r="FG73" s="212" t="n"/>
      <c r="FH73" s="212" t="n"/>
      <c r="FI73" s="212" t="n"/>
      <c r="FJ73" s="212" t="n"/>
      <c r="FK73" s="212" t="n"/>
      <c r="FL73" s="212" t="n"/>
      <c r="FM73" s="212" t="n"/>
      <c r="FN73" s="212" t="n"/>
      <c r="FO73" s="212" t="n"/>
      <c r="FP73" s="212" t="n"/>
      <c r="FQ73" s="212" t="n"/>
      <c r="FR73" s="212" t="n"/>
      <c r="FS73" s="212" t="n"/>
      <c r="FT73" s="212" t="n"/>
      <c r="FU73" s="212" t="n"/>
      <c r="FV73" s="212" t="n"/>
      <c r="FW73" s="212" t="n"/>
      <c r="FX73" s="212" t="n"/>
      <c r="FY73" s="212" t="n"/>
      <c r="FZ73" s="212" t="n"/>
      <c r="GA73" s="212" t="n"/>
      <c r="GB73" s="212" t="n"/>
      <c r="GC73" s="212" t="n"/>
      <c r="GD73" s="212" t="n"/>
      <c r="GE73" s="212" t="n"/>
      <c r="GF73" s="212" t="n"/>
      <c r="GG73" s="212" t="n"/>
      <c r="GH73" s="212" t="n"/>
      <c r="GI73" s="212" t="n"/>
      <c r="GJ73" s="212" t="n"/>
      <c r="GK73" s="212" t="n"/>
      <c r="GL73" s="212" t="n"/>
      <c r="GM73" s="212" t="n"/>
      <c r="GN73" s="212" t="n"/>
      <c r="GO73" s="212" t="n"/>
      <c r="GP73" s="212" t="n"/>
      <c r="GQ73" s="212" t="n"/>
      <c r="GR73" s="212" t="n"/>
      <c r="GS73" s="212" t="n"/>
      <c r="GT73" s="212" t="n"/>
      <c r="GU73" s="212" t="n"/>
      <c r="GV73" s="212" t="n"/>
      <c r="GW73" s="212" t="n"/>
      <c r="GX73" s="212" t="n"/>
      <c r="GY73" s="212" t="n"/>
      <c r="GZ73" s="212" t="n"/>
      <c r="HA73" s="212" t="n"/>
      <c r="HB73" s="212" t="n"/>
      <c r="HC73" s="212" t="n"/>
      <c r="HD73" s="212" t="n"/>
      <c r="HE73" s="212" t="n"/>
      <c r="HF73" s="212" t="n"/>
      <c r="HG73" s="212" t="n"/>
      <c r="HH73" s="212" t="n"/>
      <c r="HI73" s="212" t="n"/>
      <c r="HJ73" s="212" t="n"/>
      <c r="HK73" s="212" t="n"/>
      <c r="HL73" s="212" t="n"/>
      <c r="HM73" s="212" t="n"/>
      <c r="HN73" s="212" t="n"/>
      <c r="HO73" s="212" t="n"/>
      <c r="HP73" s="212" t="n"/>
      <c r="HQ73" s="212" t="n"/>
      <c r="HR73" s="212" t="n"/>
      <c r="HS73" s="212" t="n"/>
      <c r="HT73" s="212" t="n"/>
      <c r="HU73" s="212" t="n"/>
      <c r="HV73" s="212" t="n"/>
      <c r="HW73" s="212" t="n"/>
      <c r="HX73" s="212" t="n"/>
      <c r="HY73" s="212" t="n"/>
      <c r="HZ73" s="212" t="n"/>
      <c r="IA73" s="212" t="n"/>
      <c r="IB73" s="212" t="n"/>
      <c r="IC73" s="212" t="n"/>
      <c r="ID73" s="212" t="n"/>
      <c r="IE73" s="212" t="n"/>
      <c r="IF73" s="212" t="n"/>
      <c r="IG73" s="212" t="n"/>
      <c r="IH73" s="212" t="n"/>
      <c r="II73" s="212" t="n"/>
      <c r="IJ73" s="212" t="n"/>
      <c r="IK73" s="212" t="n"/>
      <c r="IL73" s="212" t="n"/>
      <c r="IM73" s="212" t="n"/>
      <c r="IN73" s="212" t="n"/>
      <c r="IO73" s="212" t="n"/>
      <c r="IP73" s="212" t="n"/>
      <c r="IQ73" s="212" t="n"/>
      <c r="IR73" s="212" t="n"/>
      <c r="IS73" s="212" t="n"/>
      <c r="IT73" s="212" t="n"/>
      <c r="IU73" s="212" t="n"/>
      <c r="IV73" s="212" t="n"/>
      <c r="IW73" s="212" t="n"/>
      <c r="IX73" s="212" t="n"/>
      <c r="IY73" s="212" t="n"/>
      <c r="IZ73" s="212" t="n"/>
      <c r="JA73" s="212" t="n"/>
      <c r="JB73" s="212" t="n"/>
      <c r="JC73" s="212" t="n"/>
      <c r="JD73" s="212" t="n"/>
      <c r="JE73" s="212" t="n"/>
      <c r="JF73" s="212" t="n"/>
      <c r="JG73" s="212" t="n"/>
      <c r="JH73" s="212" t="n"/>
      <c r="JI73" s="212" t="n"/>
      <c r="JJ73" s="212" t="n"/>
      <c r="JK73" s="212" t="n"/>
      <c r="JL73" s="212" t="n"/>
      <c r="JM73" s="212" t="n"/>
      <c r="JN73" s="212" t="n"/>
      <c r="JO73" s="212" t="n"/>
      <c r="JP73" s="212" t="n"/>
      <c r="JQ73" s="212" t="n"/>
      <c r="JR73" s="212" t="n"/>
      <c r="JS73" s="212" t="n"/>
      <c r="JT73" s="212" t="n"/>
      <c r="JU73" s="212" t="n"/>
      <c r="JV73" s="212" t="n"/>
      <c r="JW73" s="212" t="n"/>
      <c r="JX73" s="212" t="n"/>
      <c r="JY73" s="212" t="n"/>
      <c r="JZ73" s="212" t="n"/>
      <c r="KA73" s="212" t="n"/>
      <c r="KB73" s="212" t="n"/>
      <c r="KC73" s="212" t="n"/>
      <c r="KD73" s="212" t="n"/>
      <c r="KE73" s="212" t="n"/>
      <c r="KF73" s="212" t="n"/>
      <c r="KG73" s="212" t="n"/>
      <c r="KH73" s="212" t="n"/>
      <c r="KI73" s="212" t="n"/>
      <c r="KJ73" s="212" t="n"/>
      <c r="KK73" s="212" t="n"/>
      <c r="KL73" s="212" t="n"/>
      <c r="KM73" s="212" t="n"/>
      <c r="KN73" s="212" t="n"/>
      <c r="KO73" s="212" t="n"/>
      <c r="KP73" s="212" t="n"/>
      <c r="KQ73" s="212" t="n"/>
      <c r="KR73" s="212" t="n"/>
      <c r="KS73" s="212" t="n"/>
      <c r="KT73" s="212" t="n"/>
      <c r="KU73" s="212" t="n"/>
      <c r="KV73" s="212" t="n"/>
      <c r="KW73" s="212" t="n"/>
      <c r="KX73" s="212" t="n"/>
      <c r="KY73" s="212" t="n"/>
      <c r="KZ73" s="212" t="n"/>
      <c r="LA73" s="212" t="n"/>
      <c r="LB73" s="212" t="n"/>
      <c r="LC73" s="212" t="n"/>
      <c r="LD73" s="212" t="n"/>
      <c r="LE73" s="212" t="n"/>
      <c r="LF73" s="212" t="n"/>
      <c r="LG73" s="212" t="n"/>
      <c r="LH73" s="212" t="n"/>
      <c r="LI73" s="212" t="n"/>
      <c r="LJ73" s="212" t="n"/>
      <c r="LK73" s="212" t="n"/>
      <c r="LL73" s="212" t="n"/>
      <c r="LM73" s="212" t="n"/>
      <c r="LN73" s="212" t="n"/>
      <c r="LO73" s="212" t="n"/>
      <c r="LP73" s="212" t="n"/>
      <c r="LQ73" s="212" t="n"/>
      <c r="LR73" s="212" t="n"/>
      <c r="LS73" s="212" t="n"/>
      <c r="LT73" s="212" t="n"/>
      <c r="LU73" s="212" t="n"/>
      <c r="LV73" s="212" t="n"/>
      <c r="LW73" s="212" t="n"/>
      <c r="LX73" s="212" t="n"/>
      <c r="LY73" s="212" t="n"/>
      <c r="LZ73" s="212" t="n"/>
      <c r="MA73" s="212" t="n"/>
      <c r="MB73" s="212" t="n"/>
      <c r="MC73" s="212" t="n"/>
      <c r="MD73" s="212" t="n"/>
      <c r="ME73" s="212" t="n"/>
      <c r="MF73" s="212" t="n"/>
      <c r="MG73" s="212" t="n"/>
      <c r="MH73" s="212" t="n"/>
      <c r="MI73" s="212" t="n"/>
      <c r="MJ73" s="212" t="n"/>
      <c r="MK73" s="212" t="n"/>
      <c r="ML73" s="212" t="n"/>
      <c r="MM73" s="212" t="n"/>
      <c r="MN73" s="212" t="n"/>
      <c r="MO73" s="212" t="n"/>
      <c r="MP73" s="212" t="n"/>
      <c r="MQ73" s="212" t="n"/>
      <c r="MR73" s="212" t="n"/>
      <c r="MS73" s="212" t="n"/>
      <c r="MT73" s="212" t="n"/>
      <c r="MU73" s="212" t="n"/>
      <c r="MV73" s="212" t="n"/>
      <c r="MW73" s="212" t="n"/>
      <c r="MX73" s="212" t="n"/>
      <c r="MY73" s="212" t="n"/>
      <c r="MZ73" s="212" t="n"/>
      <c r="NA73" s="212" t="n"/>
      <c r="NB73" s="212" t="n"/>
      <c r="NC73" s="212" t="n"/>
      <c r="ND73" s="212" t="n"/>
      <c r="NE73" s="212" t="n"/>
      <c r="NF73" s="212" t="n"/>
      <c r="NG73" s="212" t="n"/>
      <c r="NH73" s="212" t="n"/>
      <c r="NI73" s="212" t="n"/>
      <c r="NJ73" s="212" t="n"/>
      <c r="NK73" s="212" t="n"/>
      <c r="NL73" s="212" t="n"/>
      <c r="NM73" s="212" t="n"/>
      <c r="NN73" s="212" t="n"/>
      <c r="NO73" s="212" t="n"/>
      <c r="NP73" s="212" t="n"/>
      <c r="NQ73" s="212" t="n"/>
      <c r="NR73" s="212" t="n"/>
      <c r="NS73" s="212" t="n"/>
      <c r="NT73" s="212" t="n"/>
      <c r="NU73" s="212" t="n"/>
      <c r="NV73" s="212" t="n"/>
      <c r="NW73" s="212" t="n"/>
      <c r="NX73" s="212" t="n"/>
      <c r="NY73" s="212" t="n"/>
      <c r="NZ73" s="212" t="n"/>
      <c r="OA73" s="212" t="n"/>
      <c r="OB73" s="212" t="n"/>
      <c r="OC73" s="212" t="n"/>
      <c r="OD73" s="212" t="n"/>
      <c r="OE73" s="212" t="n"/>
      <c r="OF73" s="212" t="n"/>
      <c r="OG73" s="212" t="n"/>
      <c r="OH73" s="212" t="n"/>
      <c r="OI73" s="212" t="n"/>
      <c r="OJ73" s="212" t="n"/>
      <c r="OK73" s="212" t="n"/>
      <c r="OL73" s="212" t="n"/>
      <c r="OM73" s="212" t="n"/>
      <c r="ON73" s="212" t="n"/>
      <c r="OO73" s="212" t="n"/>
      <c r="OP73" s="212" t="n"/>
      <c r="OQ73" s="212" t="n"/>
      <c r="OR73" s="212" t="n"/>
      <c r="OS73" s="212" t="n"/>
      <c r="OT73" s="212" t="n"/>
      <c r="OU73" s="212" t="n"/>
      <c r="OV73" s="212" t="n"/>
      <c r="OW73" s="212" t="n"/>
      <c r="OX73" s="212" t="n"/>
      <c r="OY73" s="212" t="n"/>
      <c r="OZ73" s="212" t="n"/>
      <c r="PA73" s="212" t="n"/>
      <c r="PB73" s="212" t="n"/>
      <c r="PC73" s="212" t="n"/>
      <c r="PD73" s="212" t="n"/>
      <c r="PE73" s="212" t="n"/>
      <c r="PF73" s="212" t="n"/>
      <c r="PG73" s="212" t="n"/>
      <c r="PH73" s="212" t="n"/>
      <c r="PI73" s="212" t="n"/>
      <c r="PJ73" s="212" t="n"/>
      <c r="PK73" s="212" t="n"/>
      <c r="PL73" s="212" t="n"/>
      <c r="PM73" s="212" t="n"/>
      <c r="PN73" s="212" t="n"/>
      <c r="PO73" s="212" t="n"/>
      <c r="PP73" s="212" t="n"/>
      <c r="PQ73" s="212" t="n"/>
      <c r="PR73" s="212" t="n"/>
      <c r="PS73" s="212" t="n"/>
      <c r="PT73" s="212" t="n"/>
      <c r="PU73" s="212" t="n"/>
      <c r="PV73" s="212" t="n"/>
      <c r="PW73" s="212" t="n"/>
      <c r="PX73" s="212" t="n"/>
      <c r="PY73" s="212" t="n"/>
      <c r="PZ73" s="212" t="n"/>
      <c r="QA73" s="212" t="n"/>
      <c r="QB73" s="212" t="n"/>
      <c r="QC73" s="212" t="n"/>
      <c r="QD73" s="212" t="n"/>
      <c r="QE73" s="212" t="n"/>
      <c r="QF73" s="212" t="n"/>
      <c r="QG73" s="212" t="n"/>
      <c r="QH73" s="212" t="n"/>
      <c r="QI73" s="212" t="n"/>
      <c r="QJ73" s="212" t="n"/>
      <c r="QK73" s="212" t="n"/>
      <c r="QL73" s="212" t="n"/>
      <c r="QM73" s="212" t="n"/>
      <c r="QN73" s="212" t="n"/>
      <c r="QO73" s="212" t="n"/>
      <c r="QP73" s="212" t="n"/>
      <c r="QQ73" s="212" t="n"/>
      <c r="QR73" s="212" t="n"/>
      <c r="QS73" s="212" t="n"/>
      <c r="QT73" s="212" t="n"/>
      <c r="QU73" s="212" t="n"/>
      <c r="QV73" s="212" t="n"/>
      <c r="QW73" s="212" t="n"/>
      <c r="QX73" s="212" t="n"/>
      <c r="QY73" s="212" t="n"/>
      <c r="QZ73" s="212" t="n"/>
      <c r="RA73" s="212" t="n"/>
      <c r="RB73" s="212" t="n"/>
      <c r="RC73" s="212" t="n"/>
      <c r="RD73" s="212" t="n"/>
      <c r="RE73" s="212" t="n"/>
      <c r="RF73" s="212" t="n"/>
      <c r="RG73" s="212" t="n"/>
      <c r="RH73" s="212" t="n"/>
      <c r="RI73" s="212" t="n"/>
      <c r="RJ73" s="212" t="n"/>
      <c r="RK73" s="212" t="n"/>
      <c r="RL73" s="212" t="n"/>
      <c r="RM73" s="212" t="n"/>
      <c r="RN73" s="212" t="n"/>
      <c r="RO73" s="212" t="n"/>
      <c r="RP73" s="212" t="n"/>
      <c r="RQ73" s="212" t="n"/>
      <c r="RR73" s="212" t="n"/>
      <c r="RS73" s="212" t="n"/>
      <c r="RT73" s="212" t="n"/>
      <c r="RU73" s="212" t="n"/>
      <c r="RV73" s="212" t="n"/>
      <c r="RW73" s="212" t="n"/>
      <c r="RX73" s="212" t="n"/>
      <c r="RY73" s="212" t="n"/>
      <c r="RZ73" s="212" t="n"/>
      <c r="SA73" s="212" t="n"/>
      <c r="SB73" s="212" t="n"/>
      <c r="SC73" s="212" t="n"/>
      <c r="SD73" s="212" t="n"/>
      <c r="SE73" s="212" t="n"/>
      <c r="SF73" s="212" t="n"/>
      <c r="SG73" s="212" t="n"/>
      <c r="SH73" s="212" t="n"/>
      <c r="SI73" s="212" t="n"/>
      <c r="SJ73" s="212" t="n"/>
      <c r="SK73" s="212" t="n"/>
      <c r="SL73" s="212" t="n"/>
      <c r="SM73" s="212" t="n"/>
      <c r="SN73" s="212" t="n"/>
      <c r="SO73" s="212" t="n"/>
      <c r="SP73" s="212" t="n"/>
      <c r="SQ73" s="212" t="n"/>
      <c r="SR73" s="212" t="n"/>
      <c r="SS73" s="212" t="n"/>
      <c r="ST73" s="212" t="n"/>
      <c r="SU73" s="212" t="n"/>
      <c r="SV73" s="212" t="n"/>
    </row>
    <row r="74">
      <c r="B74" s="209" t="inlineStr">
        <is>
          <t>N/A</t>
        </is>
      </c>
      <c r="C74" s="209" t="inlineStr">
        <is>
          <t>Freo Cranes</t>
        </is>
      </c>
      <c r="D74" s="209" t="inlineStr">
        <is>
          <t>Sam</t>
        </is>
      </c>
      <c r="E74" s="209" t="inlineStr">
        <is>
          <t>Lewis</t>
        </is>
      </c>
      <c r="F74" s="209">
        <f>IF(TRIM(D74&amp;E74)="","",TRIM(D74)&amp;" "&amp;TRIM(E74))</f>
        <v/>
      </c>
      <c r="G74" s="209" t="inlineStr">
        <is>
          <t>Port Hed</t>
        </is>
      </c>
      <c r="H74" s="209" t="inlineStr">
        <is>
          <t>Crane Operator</t>
        </is>
      </c>
      <c r="I74" s="209" t="inlineStr">
        <is>
          <t>YES</t>
        </is>
      </c>
      <c r="J74" s="209" t="inlineStr">
        <is>
          <t>YES</t>
        </is>
      </c>
      <c r="K74" s="209" t="inlineStr">
        <is>
          <t>YES</t>
        </is>
      </c>
      <c r="L74" s="209" t="inlineStr">
        <is>
          <t>NO</t>
        </is>
      </c>
      <c r="M74" s="209" t="inlineStr">
        <is>
          <t>4WD Pending</t>
        </is>
      </c>
      <c r="N74" s="209" t="inlineStr">
        <is>
          <t>sam-lewis98@hotmail.com</t>
        </is>
      </c>
      <c r="O74" s="209" t="inlineStr">
        <is>
          <t>0413 420 332</t>
        </is>
      </c>
      <c r="P74" s="209" t="n">
        <v>488188</v>
      </c>
      <c r="Q74" s="209" t="n">
        <v>238614</v>
      </c>
      <c r="R74" s="209" t="inlineStr">
        <is>
          <t>ADHOC</t>
        </is>
      </c>
      <c r="S74" s="210" t="inlineStr">
        <is>
          <t>N/A</t>
        </is>
      </c>
      <c r="T74" s="210" t="inlineStr">
        <is>
          <t>N/A</t>
        </is>
      </c>
      <c r="U74" s="210" t="inlineStr">
        <is>
          <t>N/A</t>
        </is>
      </c>
      <c r="V74" s="210" t="inlineStr">
        <is>
          <t>N/A</t>
        </is>
      </c>
      <c r="W74" s="210" t="inlineStr">
        <is>
          <t>N/A</t>
        </is>
      </c>
      <c r="X74" s="210" t="inlineStr">
        <is>
          <t>N/A</t>
        </is>
      </c>
      <c r="Y74" s="210" t="inlineStr">
        <is>
          <t>N/A</t>
        </is>
      </c>
      <c r="Z74" s="210" t="inlineStr">
        <is>
          <t>N/A</t>
        </is>
      </c>
      <c r="AA74" s="210" t="inlineStr">
        <is>
          <t>N/A</t>
        </is>
      </c>
      <c r="AB74" s="210" t="inlineStr">
        <is>
          <t>N/A</t>
        </is>
      </c>
      <c r="AC74" s="210" t="inlineStr">
        <is>
          <t>N/A</t>
        </is>
      </c>
      <c r="AD74" s="210" t="inlineStr">
        <is>
          <t>N/A</t>
        </is>
      </c>
      <c r="AE74" s="210" t="inlineStr">
        <is>
          <t>N/A</t>
        </is>
      </c>
      <c r="AF74" s="210" t="inlineStr">
        <is>
          <t>N/A</t>
        </is>
      </c>
      <c r="AG74" s="210" t="inlineStr">
        <is>
          <t>N/A</t>
        </is>
      </c>
      <c r="AH74" s="210" t="inlineStr">
        <is>
          <t>N/A</t>
        </is>
      </c>
      <c r="AI74" s="210" t="inlineStr">
        <is>
          <t>N/A</t>
        </is>
      </c>
      <c r="AJ74" s="210" t="inlineStr">
        <is>
          <t>N/A</t>
        </is>
      </c>
      <c r="AK74" s="210" t="inlineStr">
        <is>
          <t>N/A</t>
        </is>
      </c>
      <c r="AL74" s="210" t="inlineStr">
        <is>
          <t>N/A</t>
        </is>
      </c>
      <c r="AM74" s="210" t="inlineStr">
        <is>
          <t>N/A</t>
        </is>
      </c>
      <c r="AN74" s="210" t="inlineStr">
        <is>
          <t>N/A</t>
        </is>
      </c>
      <c r="AO74" s="210" t="inlineStr">
        <is>
          <t>N/A</t>
        </is>
      </c>
      <c r="AP74" s="210" t="inlineStr">
        <is>
          <t>N/A</t>
        </is>
      </c>
      <c r="AQ74" s="210" t="inlineStr">
        <is>
          <t>N/A</t>
        </is>
      </c>
      <c r="AR74" s="210" t="inlineStr">
        <is>
          <t>N/A</t>
        </is>
      </c>
      <c r="AS74" s="210" t="inlineStr">
        <is>
          <t>N/A</t>
        </is>
      </c>
      <c r="AT74" s="210" t="inlineStr">
        <is>
          <t>N/A</t>
        </is>
      </c>
      <c r="AU74" s="210" t="inlineStr">
        <is>
          <t>N/A</t>
        </is>
      </c>
      <c r="AV74" s="210" t="inlineStr">
        <is>
          <t>N/A</t>
        </is>
      </c>
      <c r="AW74" s="210" t="inlineStr">
        <is>
          <t>N/A</t>
        </is>
      </c>
      <c r="AX74" s="210" t="inlineStr">
        <is>
          <t>N/A</t>
        </is>
      </c>
      <c r="AY74" s="210" t="inlineStr">
        <is>
          <t>N/A</t>
        </is>
      </c>
      <c r="AZ74" s="210" t="inlineStr">
        <is>
          <t>N/A</t>
        </is>
      </c>
      <c r="BA74" s="210" t="inlineStr">
        <is>
          <t>N/A</t>
        </is>
      </c>
      <c r="BB74" s="210" t="inlineStr">
        <is>
          <t>N/A</t>
        </is>
      </c>
      <c r="BC74" s="210" t="inlineStr">
        <is>
          <t>N/A</t>
        </is>
      </c>
      <c r="BD74" s="210" t="inlineStr">
        <is>
          <t>N/A</t>
        </is>
      </c>
      <c r="BE74" s="210" t="inlineStr">
        <is>
          <t>N/A</t>
        </is>
      </c>
      <c r="BF74" s="210" t="inlineStr">
        <is>
          <t>N/A</t>
        </is>
      </c>
      <c r="BG74" s="210" t="inlineStr">
        <is>
          <t>N/A</t>
        </is>
      </c>
      <c r="BH74" s="210" t="inlineStr">
        <is>
          <t>N/A</t>
        </is>
      </c>
      <c r="BI74" s="210" t="inlineStr">
        <is>
          <t>N/A</t>
        </is>
      </c>
      <c r="BJ74" s="210" t="inlineStr">
        <is>
          <t>N/A</t>
        </is>
      </c>
      <c r="BK74" s="210" t="inlineStr">
        <is>
          <t>N/A</t>
        </is>
      </c>
      <c r="BL74" s="210" t="inlineStr">
        <is>
          <t>N/A</t>
        </is>
      </c>
      <c r="BM74" s="210" t="inlineStr">
        <is>
          <t>N/A</t>
        </is>
      </c>
      <c r="BN74" s="210" t="inlineStr">
        <is>
          <t>N/A</t>
        </is>
      </c>
      <c r="BO74" s="210" t="inlineStr">
        <is>
          <t>N/A</t>
        </is>
      </c>
      <c r="BP74" s="210" t="inlineStr">
        <is>
          <t>N/A</t>
        </is>
      </c>
      <c r="BQ74" s="210" t="inlineStr">
        <is>
          <t>N/A</t>
        </is>
      </c>
      <c r="BR74" s="210" t="inlineStr">
        <is>
          <t>N/A</t>
        </is>
      </c>
      <c r="BS74" s="210" t="inlineStr">
        <is>
          <t>N/A</t>
        </is>
      </c>
      <c r="BT74" s="210" t="inlineStr">
        <is>
          <t>N/A</t>
        </is>
      </c>
      <c r="BU74" s="210" t="inlineStr">
        <is>
          <t>N/A</t>
        </is>
      </c>
      <c r="BV74" s="210" t="inlineStr">
        <is>
          <t>N/A</t>
        </is>
      </c>
      <c r="BW74" s="210" t="inlineStr">
        <is>
          <t>N/A</t>
        </is>
      </c>
      <c r="BX74" s="210" t="inlineStr">
        <is>
          <t>N/A</t>
        </is>
      </c>
      <c r="BY74" s="210" t="inlineStr">
        <is>
          <t>N/A</t>
        </is>
      </c>
      <c r="BZ74" s="210" t="inlineStr">
        <is>
          <t>N/A</t>
        </is>
      </c>
      <c r="CA74" s="210" t="inlineStr">
        <is>
          <t>N/A</t>
        </is>
      </c>
      <c r="CB74" s="210" t="inlineStr">
        <is>
          <t>N/A</t>
        </is>
      </c>
      <c r="CC74" s="210" t="inlineStr">
        <is>
          <t>N/A</t>
        </is>
      </c>
      <c r="CD74" s="210" t="inlineStr">
        <is>
          <t>N/A</t>
        </is>
      </c>
      <c r="CE74" s="210" t="inlineStr">
        <is>
          <t>N/A</t>
        </is>
      </c>
      <c r="CF74" s="210" t="inlineStr">
        <is>
          <t>N/A</t>
        </is>
      </c>
      <c r="CG74" s="210" t="inlineStr">
        <is>
          <t>N/A</t>
        </is>
      </c>
      <c r="CH74" s="210" t="inlineStr">
        <is>
          <t>N/A</t>
        </is>
      </c>
      <c r="CI74" s="210" t="inlineStr">
        <is>
          <t>N/A</t>
        </is>
      </c>
      <c r="CJ74" s="210" t="inlineStr">
        <is>
          <t>N/A</t>
        </is>
      </c>
      <c r="CK74" s="210" t="inlineStr">
        <is>
          <t>N/A</t>
        </is>
      </c>
      <c r="CL74" s="210" t="inlineStr">
        <is>
          <t>N/A</t>
        </is>
      </c>
      <c r="CM74" s="210" t="inlineStr">
        <is>
          <t>N/A</t>
        </is>
      </c>
      <c r="CN74" s="210" t="inlineStr">
        <is>
          <t>N/A</t>
        </is>
      </c>
      <c r="CO74" s="210" t="inlineStr">
        <is>
          <t>N/A</t>
        </is>
      </c>
      <c r="CP74" s="210" t="inlineStr">
        <is>
          <t>N/A</t>
        </is>
      </c>
      <c r="CQ74" s="210" t="inlineStr">
        <is>
          <t>N/A</t>
        </is>
      </c>
      <c r="CR74" s="210" t="inlineStr">
        <is>
          <t>N/A</t>
        </is>
      </c>
      <c r="CS74" s="210" t="inlineStr">
        <is>
          <t>N/A</t>
        </is>
      </c>
      <c r="CT74" s="210" t="inlineStr">
        <is>
          <t>N/A</t>
        </is>
      </c>
      <c r="CU74" s="210" t="inlineStr">
        <is>
          <t>N/A</t>
        </is>
      </c>
      <c r="CV74" s="210" t="inlineStr">
        <is>
          <t>N/A</t>
        </is>
      </c>
      <c r="CW74" s="210" t="inlineStr">
        <is>
          <t>N/A</t>
        </is>
      </c>
      <c r="CX74" s="210" t="inlineStr">
        <is>
          <t>N/A</t>
        </is>
      </c>
      <c r="CY74" s="210" t="inlineStr">
        <is>
          <t>N/A</t>
        </is>
      </c>
      <c r="CZ74" s="210" t="inlineStr">
        <is>
          <t>N/A</t>
        </is>
      </c>
      <c r="DA74" s="210" t="inlineStr">
        <is>
          <t>N/A</t>
        </is>
      </c>
      <c r="DB74" s="210" t="inlineStr">
        <is>
          <t>N/A</t>
        </is>
      </c>
      <c r="DC74" s="210" t="inlineStr">
        <is>
          <t>N/A</t>
        </is>
      </c>
      <c r="DD74" s="210" t="inlineStr">
        <is>
          <t>N/A</t>
        </is>
      </c>
      <c r="DE74" s="210" t="inlineStr">
        <is>
          <t>N/A</t>
        </is>
      </c>
      <c r="DF74" s="210" t="inlineStr">
        <is>
          <t>N/A</t>
        </is>
      </c>
      <c r="DG74" s="210" t="inlineStr">
        <is>
          <t>N/A</t>
        </is>
      </c>
      <c r="DH74" s="210" t="inlineStr">
        <is>
          <t>N/A</t>
        </is>
      </c>
      <c r="DI74" s="210" t="inlineStr">
        <is>
          <t>N/A</t>
        </is>
      </c>
      <c r="DJ74" s="210" t="inlineStr">
        <is>
          <t>N/A</t>
        </is>
      </c>
      <c r="DK74" s="210" t="inlineStr">
        <is>
          <t>N/A</t>
        </is>
      </c>
      <c r="DL74" s="210" t="inlineStr">
        <is>
          <t>N/A</t>
        </is>
      </c>
      <c r="DM74" s="210" t="inlineStr">
        <is>
          <t>N/A</t>
        </is>
      </c>
      <c r="DN74" s="210" t="inlineStr">
        <is>
          <t>N/A</t>
        </is>
      </c>
      <c r="DO74" s="210" t="inlineStr">
        <is>
          <t>N/A</t>
        </is>
      </c>
      <c r="DP74" s="210" t="inlineStr">
        <is>
          <t>N/A</t>
        </is>
      </c>
      <c r="DQ74" s="210" t="inlineStr">
        <is>
          <t>N/A</t>
        </is>
      </c>
      <c r="DR74" s="210" t="inlineStr">
        <is>
          <t>N/A</t>
        </is>
      </c>
      <c r="DS74" s="212" t="n"/>
      <c r="DT74" s="212" t="n"/>
      <c r="DU74" s="212" t="n"/>
      <c r="DV74" s="212" t="n"/>
      <c r="DW74" s="212" t="n"/>
      <c r="DX74" s="212" t="n"/>
      <c r="DY74" s="212" t="n"/>
      <c r="DZ74" s="212" t="n"/>
      <c r="EA74" s="212" t="n"/>
      <c r="EB74" s="212" t="n"/>
      <c r="EC74" s="212" t="n"/>
      <c r="ED74" s="212" t="n"/>
      <c r="EE74" s="212" t="n"/>
      <c r="EF74" s="212" t="n"/>
      <c r="EG74" s="212" t="n"/>
      <c r="EH74" s="212" t="n"/>
      <c r="EI74" s="212" t="n"/>
      <c r="EJ74" s="212" t="n"/>
      <c r="EK74" s="212" t="n"/>
      <c r="EL74" s="212" t="n"/>
      <c r="EM74" s="212" t="n"/>
      <c r="EN74" s="212" t="n"/>
      <c r="EO74" s="212" t="n"/>
      <c r="EP74" s="212" t="n"/>
      <c r="EQ74" s="212" t="n"/>
      <c r="ER74" s="212" t="n"/>
      <c r="ES74" s="212" t="n"/>
      <c r="ET74" s="212" t="n"/>
      <c r="EU74" s="212" t="n"/>
      <c r="EV74" s="212" t="n"/>
      <c r="EW74" s="212" t="n"/>
      <c r="EX74" s="212" t="n"/>
      <c r="EY74" s="212" t="n"/>
      <c r="EZ74" s="212" t="n"/>
      <c r="FA74" s="212" t="n"/>
      <c r="FB74" s="212" t="n"/>
      <c r="FC74" s="212" t="n"/>
      <c r="FD74" s="212" t="n"/>
      <c r="FE74" s="212" t="n"/>
      <c r="FF74" s="212" t="n"/>
      <c r="FG74" s="212" t="n"/>
      <c r="FH74" s="212" t="n"/>
      <c r="FI74" s="212" t="n"/>
      <c r="FJ74" s="212" t="n"/>
      <c r="FK74" s="212" t="n"/>
      <c r="FL74" s="212" t="n"/>
      <c r="FM74" s="212" t="n"/>
      <c r="FN74" s="212" t="n"/>
      <c r="FO74" s="212" t="n"/>
      <c r="FP74" s="212" t="n"/>
      <c r="FQ74" s="212" t="n"/>
      <c r="FR74" s="212" t="n"/>
      <c r="FS74" s="212" t="n"/>
      <c r="FT74" s="212" t="n"/>
      <c r="FU74" s="212" t="n"/>
      <c r="FV74" s="212" t="n"/>
      <c r="FW74" s="212" t="n"/>
      <c r="FX74" s="212" t="n"/>
      <c r="FY74" s="212" t="n"/>
      <c r="FZ74" s="212" t="n"/>
      <c r="GA74" s="212" t="n"/>
      <c r="GB74" s="212" t="n"/>
      <c r="GC74" s="212" t="n"/>
      <c r="GD74" s="212" t="n"/>
      <c r="GE74" s="212" t="n"/>
      <c r="GF74" s="212" t="n"/>
      <c r="GG74" s="212" t="n"/>
      <c r="GH74" s="212" t="n"/>
      <c r="GI74" s="212" t="n"/>
      <c r="GJ74" s="212" t="n"/>
      <c r="GK74" s="212" t="n"/>
      <c r="GL74" s="212" t="n"/>
      <c r="GM74" s="212" t="n"/>
      <c r="GN74" s="212" t="n"/>
      <c r="GO74" s="212" t="n"/>
      <c r="GP74" s="212" t="n"/>
      <c r="GQ74" s="212" t="n"/>
      <c r="GR74" s="212" t="n"/>
      <c r="GS74" s="212" t="n"/>
      <c r="GT74" s="212" t="n"/>
      <c r="GU74" s="212" t="n"/>
      <c r="GV74" s="212" t="n"/>
      <c r="GW74" s="212" t="n"/>
      <c r="GX74" s="212" t="n"/>
      <c r="GY74" s="212" t="n"/>
      <c r="GZ74" s="212" t="n"/>
      <c r="HA74" s="212" t="n"/>
      <c r="HB74" s="212" t="n"/>
      <c r="HC74" s="212" t="n"/>
      <c r="HD74" s="212" t="n"/>
      <c r="HE74" s="212" t="n"/>
      <c r="HF74" s="212" t="n"/>
      <c r="HG74" s="212" t="n"/>
      <c r="HH74" s="212" t="n"/>
      <c r="HI74" s="212" t="n"/>
      <c r="HJ74" s="212" t="n"/>
      <c r="HK74" s="212" t="n"/>
      <c r="HL74" s="212" t="n"/>
      <c r="HM74" s="212" t="n"/>
      <c r="HN74" s="212" t="n"/>
      <c r="HO74" s="212" t="n"/>
      <c r="HP74" s="212" t="n"/>
      <c r="HQ74" s="212" t="n"/>
      <c r="HR74" s="212" t="n"/>
      <c r="HS74" s="212" t="n"/>
      <c r="HT74" s="212" t="n"/>
      <c r="HU74" s="212" t="n"/>
      <c r="HV74" s="212" t="n"/>
      <c r="HW74" s="212" t="n"/>
      <c r="HX74" s="212" t="n"/>
      <c r="HY74" s="212" t="n"/>
      <c r="HZ74" s="212" t="n"/>
      <c r="IA74" s="212" t="n"/>
      <c r="IB74" s="212" t="n"/>
      <c r="IC74" s="212" t="n"/>
      <c r="ID74" s="212" t="n"/>
      <c r="IE74" s="212" t="n"/>
      <c r="IF74" s="212" t="n"/>
      <c r="IG74" s="212" t="n"/>
      <c r="IH74" s="212" t="n"/>
      <c r="II74" s="212" t="n"/>
      <c r="IJ74" s="212" t="n"/>
      <c r="IK74" s="212" t="n"/>
      <c r="IL74" s="212" t="n"/>
      <c r="IM74" s="212" t="n"/>
      <c r="IN74" s="212" t="n"/>
      <c r="IO74" s="212" t="n"/>
      <c r="IP74" s="212" t="n"/>
      <c r="IQ74" s="212" t="n"/>
      <c r="IR74" s="212" t="n"/>
      <c r="IS74" s="212" t="n"/>
      <c r="IT74" s="212" t="n"/>
      <c r="IU74" s="212" t="n"/>
      <c r="IV74" s="212" t="n"/>
      <c r="IW74" s="212" t="n"/>
      <c r="IX74" s="212" t="n"/>
      <c r="IY74" s="212" t="n"/>
      <c r="IZ74" s="212" t="n"/>
      <c r="JA74" s="212" t="n"/>
      <c r="JB74" s="212" t="n"/>
      <c r="JC74" s="212" t="n"/>
      <c r="JD74" s="212" t="n"/>
      <c r="JE74" s="212" t="n"/>
      <c r="JF74" s="212" t="n"/>
      <c r="JG74" s="212" t="n"/>
      <c r="JH74" s="212" t="n"/>
      <c r="JI74" s="212" t="n"/>
      <c r="JJ74" s="212" t="n"/>
      <c r="JK74" s="212" t="n"/>
      <c r="JL74" s="212" t="n"/>
      <c r="JM74" s="212" t="n"/>
      <c r="JN74" s="212" t="n"/>
      <c r="JO74" s="212" t="n"/>
      <c r="JP74" s="212" t="n"/>
      <c r="JQ74" s="212" t="n"/>
      <c r="JR74" s="212" t="n"/>
      <c r="JS74" s="212" t="n"/>
      <c r="JT74" s="212" t="n"/>
      <c r="JU74" s="212" t="n"/>
      <c r="JV74" s="212" t="n"/>
      <c r="JW74" s="212" t="n"/>
      <c r="JX74" s="212" t="n"/>
      <c r="JY74" s="212" t="n"/>
      <c r="JZ74" s="212" t="n"/>
      <c r="KA74" s="212" t="n"/>
      <c r="KB74" s="212" t="n"/>
      <c r="KC74" s="212" t="n"/>
      <c r="KD74" s="212" t="n"/>
      <c r="KE74" s="212" t="n"/>
      <c r="KF74" s="212" t="n"/>
      <c r="KG74" s="212" t="n"/>
      <c r="KH74" s="212" t="n"/>
      <c r="KI74" s="212" t="n"/>
      <c r="KJ74" s="212" t="n"/>
      <c r="KK74" s="212" t="n"/>
      <c r="KL74" s="212" t="n"/>
      <c r="KM74" s="212" t="n"/>
      <c r="KN74" s="212" t="n"/>
      <c r="KO74" s="212" t="n"/>
      <c r="KP74" s="212" t="n"/>
      <c r="KQ74" s="212" t="n"/>
      <c r="KR74" s="212" t="n"/>
      <c r="KS74" s="212" t="n"/>
      <c r="KT74" s="212" t="n"/>
      <c r="KU74" s="212" t="n"/>
      <c r="KV74" s="212" t="n"/>
      <c r="KW74" s="212" t="n"/>
      <c r="KX74" s="212" t="n"/>
      <c r="KY74" s="212" t="n"/>
      <c r="KZ74" s="212" t="n"/>
      <c r="LA74" s="212" t="n"/>
      <c r="LB74" s="212" t="n"/>
      <c r="LC74" s="212" t="n"/>
      <c r="LD74" s="212" t="n"/>
      <c r="LE74" s="212" t="n"/>
      <c r="LF74" s="212" t="n"/>
      <c r="LG74" s="212" t="n"/>
      <c r="LH74" s="212" t="n"/>
      <c r="LI74" s="212" t="n"/>
      <c r="LJ74" s="212" t="n"/>
      <c r="LK74" s="212" t="n"/>
      <c r="LL74" s="212" t="n"/>
      <c r="LM74" s="212" t="n"/>
      <c r="LN74" s="212" t="n"/>
      <c r="LO74" s="212" t="n"/>
      <c r="LP74" s="212" t="n"/>
      <c r="LQ74" s="212" t="n"/>
      <c r="LR74" s="212" t="n"/>
      <c r="LS74" s="212" t="n"/>
      <c r="LT74" s="212" t="n"/>
      <c r="LU74" s="212" t="n"/>
      <c r="LV74" s="212" t="n"/>
      <c r="LW74" s="212" t="n"/>
      <c r="LX74" s="212" t="n"/>
      <c r="LY74" s="212" t="n"/>
      <c r="LZ74" s="212" t="n"/>
      <c r="MA74" s="212" t="n"/>
      <c r="MB74" s="212" t="n"/>
      <c r="MC74" s="212" t="n"/>
      <c r="MD74" s="212" t="n"/>
      <c r="ME74" s="212" t="n"/>
      <c r="MF74" s="212" t="n"/>
      <c r="MG74" s="212" t="n"/>
      <c r="MH74" s="212" t="n"/>
      <c r="MI74" s="212" t="n"/>
      <c r="MJ74" s="212" t="n"/>
      <c r="MK74" s="212" t="n"/>
      <c r="ML74" s="212" t="n"/>
      <c r="MM74" s="212" t="n"/>
      <c r="MN74" s="212" t="n"/>
      <c r="MO74" s="212" t="n"/>
      <c r="MP74" s="212" t="n"/>
      <c r="MQ74" s="212" t="n"/>
      <c r="MR74" s="212" t="n"/>
      <c r="MS74" s="212" t="n"/>
      <c r="MT74" s="212" t="n"/>
      <c r="MU74" s="212" t="n"/>
      <c r="MV74" s="212" t="n"/>
      <c r="MW74" s="212" t="n"/>
      <c r="MX74" s="212" t="n"/>
      <c r="MY74" s="212" t="n"/>
      <c r="MZ74" s="212" t="n"/>
      <c r="NA74" s="212" t="n"/>
      <c r="NB74" s="212" t="n"/>
      <c r="NC74" s="212" t="n"/>
      <c r="ND74" s="212" t="n"/>
      <c r="NE74" s="212" t="n"/>
      <c r="NF74" s="212" t="n"/>
      <c r="NG74" s="212" t="n"/>
      <c r="NH74" s="212" t="n"/>
      <c r="NI74" s="212" t="n"/>
      <c r="NJ74" s="212" t="n"/>
      <c r="NK74" s="212" t="n"/>
      <c r="NL74" s="212" t="n"/>
      <c r="NM74" s="212" t="n"/>
      <c r="NN74" s="212" t="n"/>
      <c r="NO74" s="212" t="n"/>
      <c r="NP74" s="212" t="n"/>
      <c r="NQ74" s="212" t="n"/>
      <c r="NR74" s="212" t="n"/>
      <c r="NS74" s="212" t="n"/>
      <c r="NT74" s="212" t="n"/>
      <c r="NU74" s="212" t="n"/>
      <c r="NV74" s="212" t="n"/>
      <c r="NW74" s="212" t="n"/>
      <c r="NX74" s="212" t="n"/>
      <c r="NY74" s="212" t="n"/>
      <c r="NZ74" s="212" t="n"/>
      <c r="OA74" s="212" t="n"/>
      <c r="OB74" s="212" t="n"/>
      <c r="OC74" s="212" t="n"/>
      <c r="OD74" s="212" t="n"/>
      <c r="OE74" s="212" t="n"/>
      <c r="OF74" s="212" t="n"/>
      <c r="OG74" s="212" t="n"/>
      <c r="OH74" s="212" t="n"/>
      <c r="OI74" s="212" t="n"/>
      <c r="OJ74" s="212" t="n"/>
      <c r="OK74" s="212" t="n"/>
      <c r="OL74" s="212" t="n"/>
      <c r="OM74" s="212" t="n"/>
      <c r="ON74" s="212" t="n"/>
      <c r="OO74" s="212" t="n"/>
      <c r="OP74" s="212" t="n"/>
      <c r="OQ74" s="212" t="n"/>
      <c r="OR74" s="212" t="n"/>
      <c r="OS74" s="212" t="n"/>
      <c r="OT74" s="212" t="n"/>
      <c r="OU74" s="212" t="n"/>
      <c r="OV74" s="212" t="n"/>
      <c r="OW74" s="212" t="n"/>
      <c r="OX74" s="212" t="n"/>
      <c r="OY74" s="212" t="n"/>
      <c r="OZ74" s="212" t="n"/>
      <c r="PA74" s="212" t="n"/>
      <c r="PB74" s="212" t="n"/>
      <c r="PC74" s="212" t="n"/>
      <c r="PD74" s="212" t="n"/>
      <c r="PE74" s="212" t="n"/>
      <c r="PF74" s="212" t="n"/>
      <c r="PG74" s="212" t="n"/>
      <c r="PH74" s="212" t="n"/>
      <c r="PI74" s="212" t="n"/>
      <c r="PJ74" s="212" t="n"/>
      <c r="PK74" s="212" t="n"/>
      <c r="PL74" s="212" t="n"/>
      <c r="PM74" s="212" t="n"/>
      <c r="PN74" s="212" t="n"/>
      <c r="PO74" s="212" t="n"/>
      <c r="PP74" s="212" t="n"/>
      <c r="PQ74" s="212" t="n"/>
      <c r="PR74" s="212" t="n"/>
      <c r="PS74" s="212" t="n"/>
      <c r="PT74" s="212" t="n"/>
      <c r="PU74" s="212" t="n"/>
      <c r="PV74" s="212" t="n"/>
      <c r="PW74" s="212" t="n"/>
      <c r="PX74" s="212" t="n"/>
      <c r="PY74" s="212" t="n"/>
      <c r="PZ74" s="212" t="n"/>
      <c r="QA74" s="212" t="n"/>
      <c r="QB74" s="212" t="n"/>
      <c r="QC74" s="212" t="n"/>
      <c r="QD74" s="212" t="n"/>
      <c r="QE74" s="212" t="n"/>
      <c r="QF74" s="212" t="n"/>
      <c r="QG74" s="212" t="n"/>
      <c r="QH74" s="212" t="n"/>
      <c r="QI74" s="212" t="n"/>
      <c r="QJ74" s="212" t="n"/>
      <c r="QK74" s="212" t="n"/>
      <c r="QL74" s="212" t="n"/>
      <c r="QM74" s="212" t="n"/>
      <c r="QN74" s="212" t="n"/>
      <c r="QO74" s="212" t="n"/>
      <c r="QP74" s="212" t="n"/>
      <c r="QQ74" s="212" t="n"/>
      <c r="QR74" s="212" t="n"/>
      <c r="QS74" s="212" t="n"/>
      <c r="QT74" s="212" t="n"/>
      <c r="QU74" s="212" t="n"/>
      <c r="QV74" s="212" t="n"/>
      <c r="QW74" s="212" t="n"/>
      <c r="QX74" s="212" t="n"/>
      <c r="QY74" s="212" t="n"/>
      <c r="QZ74" s="212" t="n"/>
      <c r="RA74" s="212" t="n"/>
      <c r="RB74" s="212" t="n"/>
      <c r="RC74" s="212" t="n"/>
      <c r="RD74" s="212" t="n"/>
      <c r="RE74" s="212" t="n"/>
      <c r="RF74" s="212" t="n"/>
      <c r="RG74" s="212" t="n"/>
      <c r="RH74" s="212" t="n"/>
      <c r="RI74" s="212" t="n"/>
      <c r="RJ74" s="212" t="n"/>
      <c r="RK74" s="212" t="n"/>
      <c r="RL74" s="212" t="n"/>
      <c r="RM74" s="212" t="n"/>
      <c r="RN74" s="212" t="n"/>
      <c r="RO74" s="212" t="n"/>
      <c r="RP74" s="212" t="n"/>
      <c r="RQ74" s="212" t="n"/>
      <c r="RR74" s="212" t="n"/>
      <c r="RS74" s="212" t="n"/>
      <c r="RT74" s="212" t="n"/>
      <c r="RU74" s="212" t="n"/>
      <c r="RV74" s="212" t="n"/>
      <c r="RW74" s="212" t="n"/>
      <c r="RX74" s="212" t="n"/>
      <c r="RY74" s="212" t="n"/>
      <c r="RZ74" s="212" t="n"/>
      <c r="SA74" s="212" t="n"/>
      <c r="SB74" s="212" t="n"/>
      <c r="SC74" s="212" t="n"/>
      <c r="SD74" s="212" t="n"/>
      <c r="SE74" s="212" t="n"/>
      <c r="SF74" s="212" t="n"/>
      <c r="SG74" s="212" t="n"/>
      <c r="SH74" s="212" t="n"/>
      <c r="SI74" s="212" t="n"/>
      <c r="SJ74" s="212" t="n"/>
      <c r="SK74" s="212" t="n"/>
      <c r="SL74" s="212" t="n"/>
      <c r="SM74" s="212" t="n"/>
      <c r="SN74" s="212" t="n"/>
      <c r="SO74" s="212" t="n"/>
      <c r="SP74" s="212" t="n"/>
      <c r="SQ74" s="212" t="n"/>
      <c r="SR74" s="212" t="n"/>
      <c r="SS74" s="212" t="n"/>
      <c r="ST74" s="212" t="n"/>
      <c r="SU74" s="212" t="n"/>
      <c r="SV74" s="212" t="n"/>
    </row>
    <row r="75">
      <c r="B75" s="209" t="inlineStr">
        <is>
          <t>N/A</t>
        </is>
      </c>
      <c r="C75" s="209" t="inlineStr">
        <is>
          <t>Freo Cranes</t>
        </is>
      </c>
      <c r="D75" s="209" t="inlineStr">
        <is>
          <t>Charlie</t>
        </is>
      </c>
      <c r="E75" s="209" t="inlineStr">
        <is>
          <t>Sweeney</t>
        </is>
      </c>
      <c r="F75" s="209">
        <f>IF(TRIM(D75&amp;E75)="","",TRIM(D75)&amp;" "&amp;TRIM(E75))</f>
        <v/>
      </c>
      <c r="G75" s="209" t="inlineStr">
        <is>
          <t>Port Hed</t>
        </is>
      </c>
      <c r="H75" s="209" t="inlineStr">
        <is>
          <t>Crane Operator</t>
        </is>
      </c>
      <c r="I75" s="209" t="inlineStr">
        <is>
          <t>YES</t>
        </is>
      </c>
      <c r="J75" s="209" t="inlineStr">
        <is>
          <t>YES</t>
        </is>
      </c>
      <c r="K75" s="209" t="inlineStr">
        <is>
          <t>YES</t>
        </is>
      </c>
      <c r="L75" s="209" t="inlineStr">
        <is>
          <t>NO</t>
        </is>
      </c>
      <c r="M75" s="209" t="inlineStr">
        <is>
          <t>4WD Pending</t>
        </is>
      </c>
      <c r="N75" s="209" t="inlineStr">
        <is>
          <t>sweeneycharlie76@gmail.com</t>
        </is>
      </c>
      <c r="O75" s="209" t="inlineStr">
        <is>
          <t>0491 109 537</t>
        </is>
      </c>
      <c r="P75" s="209" t="n">
        <v>610150</v>
      </c>
      <c r="Q75" s="209" t="n">
        <v>230286</v>
      </c>
      <c r="R75" s="209" t="inlineStr">
        <is>
          <t>ADHOC</t>
        </is>
      </c>
      <c r="S75" s="210" t="inlineStr">
        <is>
          <t>N/A</t>
        </is>
      </c>
      <c r="T75" s="210" t="inlineStr">
        <is>
          <t>N/A</t>
        </is>
      </c>
      <c r="U75" s="210" t="inlineStr">
        <is>
          <t>N/A</t>
        </is>
      </c>
      <c r="V75" s="210" t="inlineStr">
        <is>
          <t>N/A</t>
        </is>
      </c>
      <c r="W75" s="210" t="inlineStr">
        <is>
          <t>N/A</t>
        </is>
      </c>
      <c r="X75" s="210" t="inlineStr">
        <is>
          <t>N/A</t>
        </is>
      </c>
      <c r="Y75" s="210" t="inlineStr">
        <is>
          <t>N/A</t>
        </is>
      </c>
      <c r="Z75" s="210" t="inlineStr">
        <is>
          <t>N/A</t>
        </is>
      </c>
      <c r="AA75" s="210" t="inlineStr">
        <is>
          <t>N/A</t>
        </is>
      </c>
      <c r="AB75" s="210" t="inlineStr">
        <is>
          <t>N/A</t>
        </is>
      </c>
      <c r="AC75" s="210" t="inlineStr">
        <is>
          <t>N/A</t>
        </is>
      </c>
      <c r="AD75" s="210" t="inlineStr">
        <is>
          <t>N/A</t>
        </is>
      </c>
      <c r="AE75" s="210" t="inlineStr">
        <is>
          <t>N/A</t>
        </is>
      </c>
      <c r="AF75" s="210" t="inlineStr">
        <is>
          <t>N/A</t>
        </is>
      </c>
      <c r="AG75" s="210" t="inlineStr">
        <is>
          <t>N/A</t>
        </is>
      </c>
      <c r="AH75" s="210" t="inlineStr">
        <is>
          <t>N/A</t>
        </is>
      </c>
      <c r="AI75" s="210" t="inlineStr">
        <is>
          <t>N/A</t>
        </is>
      </c>
      <c r="AJ75" s="210" t="inlineStr">
        <is>
          <t>N/A</t>
        </is>
      </c>
      <c r="AK75" s="210" t="inlineStr">
        <is>
          <t>N/A</t>
        </is>
      </c>
      <c r="AL75" s="210" t="inlineStr">
        <is>
          <t>N/A</t>
        </is>
      </c>
      <c r="AM75" s="210" t="inlineStr">
        <is>
          <t>N/A</t>
        </is>
      </c>
      <c r="AN75" s="210" t="inlineStr">
        <is>
          <t>N/A</t>
        </is>
      </c>
      <c r="AO75" s="210" t="inlineStr">
        <is>
          <t>N/A</t>
        </is>
      </c>
      <c r="AP75" s="210" t="inlineStr">
        <is>
          <t>N/A</t>
        </is>
      </c>
      <c r="AQ75" s="210" t="inlineStr">
        <is>
          <t>N/A</t>
        </is>
      </c>
      <c r="AR75" s="210" t="inlineStr">
        <is>
          <t>N/A</t>
        </is>
      </c>
      <c r="AS75" s="210" t="inlineStr">
        <is>
          <t>N/A</t>
        </is>
      </c>
      <c r="AT75" s="210" t="inlineStr">
        <is>
          <t>N/A</t>
        </is>
      </c>
      <c r="AU75" s="210" t="inlineStr">
        <is>
          <t>N/A</t>
        </is>
      </c>
      <c r="AV75" s="210" t="inlineStr">
        <is>
          <t>N/A</t>
        </is>
      </c>
      <c r="AW75" s="210" t="inlineStr">
        <is>
          <t>N/A</t>
        </is>
      </c>
      <c r="AX75" s="210" t="inlineStr">
        <is>
          <t>N/A</t>
        </is>
      </c>
      <c r="AY75" s="210" t="inlineStr">
        <is>
          <t>N/A</t>
        </is>
      </c>
      <c r="AZ75" s="210" t="inlineStr">
        <is>
          <t>N/A</t>
        </is>
      </c>
      <c r="BA75" s="210" t="inlineStr">
        <is>
          <t>N/A</t>
        </is>
      </c>
      <c r="BB75" s="210" t="inlineStr">
        <is>
          <t>N/A</t>
        </is>
      </c>
      <c r="BC75" s="210" t="inlineStr">
        <is>
          <t>N/A</t>
        </is>
      </c>
      <c r="BD75" s="210" t="inlineStr">
        <is>
          <t>N/A</t>
        </is>
      </c>
      <c r="BE75" s="210" t="inlineStr">
        <is>
          <t>N/A</t>
        </is>
      </c>
      <c r="BF75" s="210" t="inlineStr">
        <is>
          <t>N/A</t>
        </is>
      </c>
      <c r="BG75" s="210" t="inlineStr">
        <is>
          <t>N/A</t>
        </is>
      </c>
      <c r="BH75" s="210" t="inlineStr">
        <is>
          <t>N/A</t>
        </is>
      </c>
      <c r="BI75" s="210" t="inlineStr">
        <is>
          <t>N/A</t>
        </is>
      </c>
      <c r="BJ75" s="210" t="inlineStr">
        <is>
          <t>N/A</t>
        </is>
      </c>
      <c r="BK75" s="210" t="inlineStr">
        <is>
          <t>N/A</t>
        </is>
      </c>
      <c r="BL75" s="210" t="inlineStr">
        <is>
          <t>N/A</t>
        </is>
      </c>
      <c r="BM75" s="210" t="inlineStr">
        <is>
          <t>N/A</t>
        </is>
      </c>
      <c r="BN75" s="210" t="inlineStr">
        <is>
          <t>N/A</t>
        </is>
      </c>
      <c r="BO75" s="210" t="inlineStr">
        <is>
          <t>N/A</t>
        </is>
      </c>
      <c r="BP75" s="210" t="inlineStr">
        <is>
          <t>N/A</t>
        </is>
      </c>
      <c r="BQ75" s="210" t="inlineStr">
        <is>
          <t>N/A</t>
        </is>
      </c>
      <c r="BR75" s="210" t="inlineStr">
        <is>
          <t>N/A</t>
        </is>
      </c>
      <c r="BS75" s="210" t="inlineStr">
        <is>
          <t>N/A</t>
        </is>
      </c>
      <c r="BT75" s="210" t="inlineStr">
        <is>
          <t>N/A</t>
        </is>
      </c>
      <c r="BU75" s="210" t="inlineStr">
        <is>
          <t>N/A</t>
        </is>
      </c>
      <c r="BV75" s="210" t="inlineStr">
        <is>
          <t>N/A</t>
        </is>
      </c>
      <c r="BW75" s="210" t="inlineStr">
        <is>
          <t>N/A</t>
        </is>
      </c>
      <c r="BX75" s="210" t="inlineStr">
        <is>
          <t>N/A</t>
        </is>
      </c>
      <c r="BY75" s="210" t="inlineStr">
        <is>
          <t>N/A</t>
        </is>
      </c>
      <c r="BZ75" s="210" t="inlineStr">
        <is>
          <t>N/A</t>
        </is>
      </c>
      <c r="CA75" s="210" t="inlineStr">
        <is>
          <t>N/A</t>
        </is>
      </c>
      <c r="CB75" s="210" t="inlineStr">
        <is>
          <t>N/A</t>
        </is>
      </c>
      <c r="CC75" s="210" t="inlineStr">
        <is>
          <t>N/A</t>
        </is>
      </c>
      <c r="CD75" s="210" t="inlineStr">
        <is>
          <t>N/A</t>
        </is>
      </c>
      <c r="CE75" s="210" t="inlineStr">
        <is>
          <t>N/A</t>
        </is>
      </c>
      <c r="CF75" s="210" t="inlineStr">
        <is>
          <t>N/A</t>
        </is>
      </c>
      <c r="CG75" s="210" t="inlineStr">
        <is>
          <t>N/A</t>
        </is>
      </c>
      <c r="CH75" s="210" t="inlineStr">
        <is>
          <t>N/A</t>
        </is>
      </c>
      <c r="CI75" s="210" t="inlineStr">
        <is>
          <t>N/A</t>
        </is>
      </c>
      <c r="CJ75" s="210" t="inlineStr">
        <is>
          <t>N/A</t>
        </is>
      </c>
      <c r="CK75" s="210" t="inlineStr">
        <is>
          <t>N/A</t>
        </is>
      </c>
      <c r="CL75" s="210" t="inlineStr">
        <is>
          <t>N/A</t>
        </is>
      </c>
      <c r="CM75" s="210" t="inlineStr">
        <is>
          <t>N/A</t>
        </is>
      </c>
      <c r="CN75" s="210" t="inlineStr">
        <is>
          <t>N/A</t>
        </is>
      </c>
      <c r="CO75" s="210" t="inlineStr">
        <is>
          <t>N/A</t>
        </is>
      </c>
      <c r="CP75" s="210" t="inlineStr">
        <is>
          <t>N/A</t>
        </is>
      </c>
      <c r="CQ75" s="210" t="inlineStr">
        <is>
          <t>N/A</t>
        </is>
      </c>
      <c r="CR75" s="210" t="inlineStr">
        <is>
          <t>N/A</t>
        </is>
      </c>
      <c r="CS75" s="210" t="inlineStr">
        <is>
          <t>N/A</t>
        </is>
      </c>
      <c r="CT75" s="210" t="inlineStr">
        <is>
          <t>N/A</t>
        </is>
      </c>
      <c r="CU75" s="210" t="inlineStr">
        <is>
          <t>N/A</t>
        </is>
      </c>
      <c r="CV75" s="210" t="inlineStr">
        <is>
          <t>N/A</t>
        </is>
      </c>
      <c r="CW75" s="210" t="inlineStr">
        <is>
          <t>N/A</t>
        </is>
      </c>
      <c r="CX75" s="210" t="inlineStr">
        <is>
          <t>N/A</t>
        </is>
      </c>
      <c r="CY75" s="210" t="inlineStr">
        <is>
          <t>N/A</t>
        </is>
      </c>
      <c r="CZ75" s="210" t="inlineStr">
        <is>
          <t>N/A</t>
        </is>
      </c>
      <c r="DA75" s="210" t="inlineStr">
        <is>
          <t>N/A</t>
        </is>
      </c>
      <c r="DB75" s="210" t="inlineStr">
        <is>
          <t>N/A</t>
        </is>
      </c>
      <c r="DC75" s="210" t="inlineStr">
        <is>
          <t>N/A</t>
        </is>
      </c>
      <c r="DD75" s="210" t="inlineStr">
        <is>
          <t>N/A</t>
        </is>
      </c>
      <c r="DE75" s="210" t="inlineStr">
        <is>
          <t>N/A</t>
        </is>
      </c>
      <c r="DF75" s="210" t="inlineStr">
        <is>
          <t>N/A</t>
        </is>
      </c>
      <c r="DG75" s="210" t="inlineStr">
        <is>
          <t>N/A</t>
        </is>
      </c>
      <c r="DH75" s="210" t="inlineStr">
        <is>
          <t>N/A</t>
        </is>
      </c>
      <c r="DI75" s="210" t="inlineStr">
        <is>
          <t>N/A</t>
        </is>
      </c>
      <c r="DJ75" s="210" t="inlineStr">
        <is>
          <t>N/A</t>
        </is>
      </c>
      <c r="DK75" s="210" t="inlineStr">
        <is>
          <t>N/A</t>
        </is>
      </c>
      <c r="DL75" s="210" t="inlineStr">
        <is>
          <t>N/A</t>
        </is>
      </c>
      <c r="DM75" s="210" t="inlineStr">
        <is>
          <t>N/A</t>
        </is>
      </c>
      <c r="DN75" s="210" t="inlineStr">
        <is>
          <t>N/A</t>
        </is>
      </c>
      <c r="DO75" s="210" t="inlineStr">
        <is>
          <t>N/A</t>
        </is>
      </c>
      <c r="DP75" s="210" t="inlineStr">
        <is>
          <t>N/A</t>
        </is>
      </c>
      <c r="DQ75" s="210" t="inlineStr">
        <is>
          <t>N/A</t>
        </is>
      </c>
      <c r="DR75" s="210" t="inlineStr">
        <is>
          <t>N/A</t>
        </is>
      </c>
      <c r="DS75" s="212" t="n"/>
      <c r="DT75" s="212" t="n"/>
      <c r="DU75" s="212" t="n"/>
      <c r="DV75" s="212" t="n"/>
      <c r="DW75" s="212" t="n"/>
      <c r="DX75" s="212" t="n"/>
      <c r="DY75" s="212" t="n"/>
      <c r="DZ75" s="212" t="n"/>
      <c r="EA75" s="212" t="n"/>
      <c r="EB75" s="212" t="n"/>
      <c r="EC75" s="212" t="n"/>
      <c r="ED75" s="212" t="n"/>
      <c r="EE75" s="212" t="n"/>
      <c r="EF75" s="212" t="n"/>
      <c r="EG75" s="212" t="n"/>
      <c r="EH75" s="212" t="n"/>
      <c r="EI75" s="212" t="n"/>
      <c r="EJ75" s="212" t="n"/>
      <c r="EK75" s="212" t="n"/>
      <c r="EL75" s="212" t="n"/>
      <c r="EM75" s="212" t="n"/>
      <c r="EN75" s="212" t="n"/>
      <c r="EO75" s="212" t="n"/>
      <c r="EP75" s="212" t="n"/>
      <c r="EQ75" s="212" t="n"/>
      <c r="ER75" s="212" t="n"/>
      <c r="ES75" s="212" t="n"/>
      <c r="ET75" s="212" t="n"/>
      <c r="EU75" s="212" t="n"/>
      <c r="EV75" s="212" t="n"/>
      <c r="EW75" s="212" t="n"/>
      <c r="EX75" s="212" t="n"/>
      <c r="EY75" s="212" t="n"/>
      <c r="EZ75" s="212" t="n"/>
      <c r="FA75" s="212" t="n"/>
      <c r="FB75" s="212" t="n"/>
      <c r="FC75" s="212" t="n"/>
      <c r="FD75" s="212" t="n"/>
      <c r="FE75" s="212" t="n"/>
      <c r="FF75" s="212" t="n"/>
      <c r="FG75" s="212" t="n"/>
      <c r="FH75" s="212" t="n"/>
      <c r="FI75" s="212" t="n"/>
      <c r="FJ75" s="212" t="n"/>
      <c r="FK75" s="212" t="n"/>
      <c r="FL75" s="212" t="n"/>
      <c r="FM75" s="212" t="n"/>
      <c r="FN75" s="212" t="n"/>
      <c r="FO75" s="212" t="n"/>
      <c r="FP75" s="212" t="n"/>
      <c r="FQ75" s="212" t="n"/>
      <c r="FR75" s="212" t="n"/>
      <c r="FS75" s="212" t="n"/>
      <c r="FT75" s="212" t="n"/>
      <c r="FU75" s="212" t="n"/>
      <c r="FV75" s="212" t="n"/>
      <c r="FW75" s="212" t="n"/>
      <c r="FX75" s="212" t="n"/>
      <c r="FY75" s="212" t="n"/>
      <c r="FZ75" s="212" t="n"/>
      <c r="GA75" s="212" t="n"/>
      <c r="GB75" s="212" t="n"/>
      <c r="GC75" s="212" t="n"/>
      <c r="GD75" s="212" t="n"/>
      <c r="GE75" s="212" t="n"/>
      <c r="GF75" s="212" t="n"/>
      <c r="GG75" s="212" t="n"/>
      <c r="GH75" s="212" t="n"/>
      <c r="GI75" s="212" t="n"/>
      <c r="GJ75" s="212" t="n"/>
      <c r="GK75" s="212" t="n"/>
      <c r="GL75" s="212" t="n"/>
      <c r="GM75" s="212" t="n"/>
      <c r="GN75" s="212" t="n"/>
      <c r="GO75" s="212" t="n"/>
      <c r="GP75" s="212" t="n"/>
      <c r="GQ75" s="212" t="n"/>
      <c r="GR75" s="212" t="n"/>
      <c r="GS75" s="212" t="n"/>
      <c r="GT75" s="212" t="n"/>
      <c r="GU75" s="212" t="n"/>
      <c r="GV75" s="212" t="n"/>
      <c r="GW75" s="212" t="n"/>
      <c r="GX75" s="212" t="n"/>
      <c r="GY75" s="212" t="n"/>
      <c r="GZ75" s="212" t="n"/>
      <c r="HA75" s="212" t="n"/>
      <c r="HB75" s="212" t="n"/>
      <c r="HC75" s="212" t="n"/>
      <c r="HD75" s="212" t="n"/>
      <c r="HE75" s="212" t="n"/>
      <c r="HF75" s="212" t="n"/>
      <c r="HG75" s="212" t="n"/>
      <c r="HH75" s="212" t="n"/>
      <c r="HI75" s="212" t="n"/>
      <c r="HJ75" s="212" t="n"/>
      <c r="HK75" s="212" t="n"/>
      <c r="HL75" s="212" t="n"/>
      <c r="HM75" s="212" t="n"/>
      <c r="HN75" s="212" t="n"/>
      <c r="HO75" s="212" t="n"/>
      <c r="HP75" s="212" t="n"/>
      <c r="HQ75" s="212" t="n"/>
      <c r="HR75" s="212" t="n"/>
      <c r="HS75" s="212" t="n"/>
      <c r="HT75" s="212" t="n"/>
      <c r="HU75" s="212" t="n"/>
      <c r="HV75" s="212" t="n"/>
      <c r="HW75" s="212" t="n"/>
      <c r="HX75" s="212" t="n"/>
      <c r="HY75" s="212" t="n"/>
      <c r="HZ75" s="212" t="n"/>
      <c r="IA75" s="212" t="n"/>
      <c r="IB75" s="212" t="n"/>
      <c r="IC75" s="212" t="n"/>
      <c r="ID75" s="212" t="n"/>
      <c r="IE75" s="212" t="n"/>
      <c r="IF75" s="212" t="n"/>
      <c r="IG75" s="212" t="n"/>
      <c r="IH75" s="212" t="n"/>
      <c r="II75" s="212" t="n"/>
      <c r="IJ75" s="212" t="n"/>
      <c r="IK75" s="212" t="n"/>
      <c r="IL75" s="212" t="n"/>
      <c r="IM75" s="212" t="n"/>
      <c r="IN75" s="212" t="n"/>
      <c r="IO75" s="212" t="n"/>
      <c r="IP75" s="212" t="n"/>
      <c r="IQ75" s="212" t="n"/>
      <c r="IR75" s="212" t="n"/>
      <c r="IS75" s="212" t="n"/>
      <c r="IT75" s="212" t="n"/>
      <c r="IU75" s="212" t="n"/>
      <c r="IV75" s="212" t="n"/>
      <c r="IW75" s="212" t="n"/>
      <c r="IX75" s="212" t="n"/>
      <c r="IY75" s="212" t="n"/>
      <c r="IZ75" s="212" t="n"/>
      <c r="JA75" s="212" t="n"/>
      <c r="JB75" s="212" t="n"/>
      <c r="JC75" s="212" t="n"/>
      <c r="JD75" s="212" t="n"/>
      <c r="JE75" s="212" t="n"/>
      <c r="JF75" s="212" t="n"/>
      <c r="JG75" s="212" t="n"/>
      <c r="JH75" s="212" t="n"/>
      <c r="JI75" s="212" t="n"/>
      <c r="JJ75" s="212" t="n"/>
      <c r="JK75" s="212" t="n"/>
      <c r="JL75" s="212" t="n"/>
      <c r="JM75" s="212" t="n"/>
      <c r="JN75" s="212" t="n"/>
      <c r="JO75" s="212" t="n"/>
      <c r="JP75" s="212" t="n"/>
      <c r="JQ75" s="212" t="n"/>
      <c r="JR75" s="212" t="n"/>
      <c r="JS75" s="212" t="n"/>
      <c r="JT75" s="212" t="n"/>
      <c r="JU75" s="212" t="n"/>
      <c r="JV75" s="212" t="n"/>
      <c r="JW75" s="212" t="n"/>
      <c r="JX75" s="212" t="n"/>
      <c r="JY75" s="212" t="n"/>
      <c r="JZ75" s="212" t="n"/>
      <c r="KA75" s="212" t="n"/>
      <c r="KB75" s="212" t="n"/>
      <c r="KC75" s="212" t="n"/>
      <c r="KD75" s="212" t="n"/>
      <c r="KE75" s="212" t="n"/>
      <c r="KF75" s="212" t="n"/>
      <c r="KG75" s="212" t="n"/>
      <c r="KH75" s="212" t="n"/>
      <c r="KI75" s="212" t="n"/>
      <c r="KJ75" s="212" t="n"/>
      <c r="KK75" s="212" t="n"/>
      <c r="KL75" s="212" t="n"/>
      <c r="KM75" s="212" t="n"/>
      <c r="KN75" s="212" t="n"/>
      <c r="KO75" s="212" t="n"/>
      <c r="KP75" s="212" t="n"/>
      <c r="KQ75" s="212" t="n"/>
      <c r="KR75" s="212" t="n"/>
      <c r="KS75" s="212" t="n"/>
      <c r="KT75" s="212" t="n"/>
      <c r="KU75" s="212" t="n"/>
      <c r="KV75" s="212" t="n"/>
      <c r="KW75" s="212" t="n"/>
      <c r="KX75" s="212" t="n"/>
      <c r="KY75" s="212" t="n"/>
      <c r="KZ75" s="212" t="n"/>
      <c r="LA75" s="212" t="n"/>
      <c r="LB75" s="212" t="n"/>
      <c r="LC75" s="212" t="n"/>
      <c r="LD75" s="212" t="n"/>
      <c r="LE75" s="212" t="n"/>
      <c r="LF75" s="212" t="n"/>
      <c r="LG75" s="212" t="n"/>
      <c r="LH75" s="212" t="n"/>
      <c r="LI75" s="212" t="n"/>
      <c r="LJ75" s="212" t="n"/>
      <c r="LK75" s="212" t="n"/>
      <c r="LL75" s="212" t="n"/>
      <c r="LM75" s="212" t="n"/>
      <c r="LN75" s="212" t="n"/>
      <c r="LO75" s="212" t="n"/>
      <c r="LP75" s="212" t="n"/>
      <c r="LQ75" s="212" t="n"/>
      <c r="LR75" s="212" t="n"/>
      <c r="LS75" s="212" t="n"/>
      <c r="LT75" s="212" t="n"/>
      <c r="LU75" s="212" t="n"/>
      <c r="LV75" s="212" t="n"/>
      <c r="LW75" s="212" t="n"/>
      <c r="LX75" s="212" t="n"/>
      <c r="LY75" s="212" t="n"/>
      <c r="LZ75" s="212" t="n"/>
      <c r="MA75" s="212" t="n"/>
      <c r="MB75" s="212" t="n"/>
      <c r="MC75" s="212" t="n"/>
      <c r="MD75" s="212" t="n"/>
      <c r="ME75" s="212" t="n"/>
      <c r="MF75" s="212" t="n"/>
      <c r="MG75" s="212" t="n"/>
      <c r="MH75" s="212" t="n"/>
      <c r="MI75" s="212" t="n"/>
      <c r="MJ75" s="212" t="n"/>
      <c r="MK75" s="212" t="n"/>
      <c r="ML75" s="212" t="n"/>
      <c r="MM75" s="212" t="n"/>
      <c r="MN75" s="212" t="n"/>
      <c r="MO75" s="212" t="n"/>
      <c r="MP75" s="212" t="n"/>
      <c r="MQ75" s="212" t="n"/>
      <c r="MR75" s="212" t="n"/>
      <c r="MS75" s="212" t="n"/>
      <c r="MT75" s="212" t="n"/>
      <c r="MU75" s="212" t="n"/>
      <c r="MV75" s="212" t="n"/>
      <c r="MW75" s="212" t="n"/>
      <c r="MX75" s="212" t="n"/>
      <c r="MY75" s="212" t="n"/>
      <c r="MZ75" s="212" t="n"/>
      <c r="NA75" s="212" t="n"/>
      <c r="NB75" s="212" t="n"/>
      <c r="NC75" s="212" t="n"/>
      <c r="ND75" s="212" t="n"/>
      <c r="NE75" s="212" t="n"/>
      <c r="NF75" s="212" t="n"/>
      <c r="NG75" s="212" t="n"/>
      <c r="NH75" s="212" t="n"/>
      <c r="NI75" s="212" t="n"/>
      <c r="NJ75" s="212" t="n"/>
      <c r="NK75" s="212" t="n"/>
      <c r="NL75" s="212" t="n"/>
      <c r="NM75" s="212" t="n"/>
      <c r="NN75" s="212" t="n"/>
      <c r="NO75" s="212" t="n"/>
      <c r="NP75" s="212" t="n"/>
      <c r="NQ75" s="212" t="n"/>
      <c r="NR75" s="212" t="n"/>
      <c r="NS75" s="212" t="n"/>
      <c r="NT75" s="212" t="n"/>
      <c r="NU75" s="212" t="n"/>
      <c r="NV75" s="212" t="n"/>
      <c r="NW75" s="212" t="n"/>
      <c r="NX75" s="212" t="n"/>
      <c r="NY75" s="212" t="n"/>
      <c r="NZ75" s="212" t="n"/>
      <c r="OA75" s="212" t="n"/>
      <c r="OB75" s="212" t="n"/>
      <c r="OC75" s="212" t="n"/>
      <c r="OD75" s="212" t="n"/>
      <c r="OE75" s="212" t="n"/>
      <c r="OF75" s="212" t="n"/>
      <c r="OG75" s="212" t="n"/>
      <c r="OH75" s="212" t="n"/>
      <c r="OI75" s="212" t="n"/>
      <c r="OJ75" s="212" t="n"/>
      <c r="OK75" s="212" t="n"/>
      <c r="OL75" s="212" t="n"/>
      <c r="OM75" s="212" t="n"/>
      <c r="ON75" s="212" t="n"/>
      <c r="OO75" s="212" t="n"/>
      <c r="OP75" s="212" t="n"/>
      <c r="OQ75" s="212" t="n"/>
      <c r="OR75" s="212" t="n"/>
      <c r="OS75" s="212" t="n"/>
      <c r="OT75" s="212" t="n"/>
      <c r="OU75" s="212" t="n"/>
      <c r="OV75" s="212" t="n"/>
      <c r="OW75" s="212" t="n"/>
      <c r="OX75" s="212" t="n"/>
      <c r="OY75" s="212" t="n"/>
      <c r="OZ75" s="212" t="n"/>
      <c r="PA75" s="212" t="n"/>
      <c r="PB75" s="212" t="n"/>
      <c r="PC75" s="212" t="n"/>
      <c r="PD75" s="212" t="n"/>
      <c r="PE75" s="212" t="n"/>
      <c r="PF75" s="212" t="n"/>
      <c r="PG75" s="212" t="n"/>
      <c r="PH75" s="212" t="n"/>
      <c r="PI75" s="212" t="n"/>
      <c r="PJ75" s="212" t="n"/>
      <c r="PK75" s="212" t="n"/>
      <c r="PL75" s="212" t="n"/>
      <c r="PM75" s="212" t="n"/>
      <c r="PN75" s="212" t="n"/>
      <c r="PO75" s="212" t="n"/>
      <c r="PP75" s="212" t="n"/>
      <c r="PQ75" s="212" t="n"/>
      <c r="PR75" s="212" t="n"/>
      <c r="PS75" s="212" t="n"/>
      <c r="PT75" s="212" t="n"/>
      <c r="PU75" s="212" t="n"/>
      <c r="PV75" s="212" t="n"/>
      <c r="PW75" s="212" t="n"/>
      <c r="PX75" s="212" t="n"/>
      <c r="PY75" s="212" t="n"/>
      <c r="PZ75" s="212" t="n"/>
      <c r="QA75" s="212" t="n"/>
      <c r="QB75" s="212" t="n"/>
      <c r="QC75" s="212" t="n"/>
      <c r="QD75" s="212" t="n"/>
      <c r="QE75" s="212" t="n"/>
      <c r="QF75" s="212" t="n"/>
      <c r="QG75" s="212" t="n"/>
      <c r="QH75" s="212" t="n"/>
      <c r="QI75" s="212" t="n"/>
      <c r="QJ75" s="212" t="n"/>
      <c r="QK75" s="212" t="n"/>
      <c r="QL75" s="212" t="n"/>
      <c r="QM75" s="212" t="n"/>
      <c r="QN75" s="212" t="n"/>
      <c r="QO75" s="212" t="n"/>
      <c r="QP75" s="212" t="n"/>
      <c r="QQ75" s="212" t="n"/>
      <c r="QR75" s="212" t="n"/>
      <c r="QS75" s="212" t="n"/>
      <c r="QT75" s="212" t="n"/>
      <c r="QU75" s="212" t="n"/>
      <c r="QV75" s="212" t="n"/>
      <c r="QW75" s="212" t="n"/>
      <c r="QX75" s="212" t="n"/>
      <c r="QY75" s="212" t="n"/>
      <c r="QZ75" s="212" t="n"/>
      <c r="RA75" s="212" t="n"/>
      <c r="RB75" s="212" t="n"/>
      <c r="RC75" s="212" t="n"/>
      <c r="RD75" s="212" t="n"/>
      <c r="RE75" s="212" t="n"/>
      <c r="RF75" s="212" t="n"/>
      <c r="RG75" s="212" t="n"/>
      <c r="RH75" s="212" t="n"/>
      <c r="RI75" s="212" t="n"/>
      <c r="RJ75" s="212" t="n"/>
      <c r="RK75" s="212" t="n"/>
      <c r="RL75" s="212" t="n"/>
      <c r="RM75" s="212" t="n"/>
      <c r="RN75" s="212" t="n"/>
      <c r="RO75" s="212" t="n"/>
      <c r="RP75" s="212" t="n"/>
      <c r="RQ75" s="212" t="n"/>
      <c r="RR75" s="212" t="n"/>
      <c r="RS75" s="212" t="n"/>
      <c r="RT75" s="212" t="n"/>
      <c r="RU75" s="212" t="n"/>
      <c r="RV75" s="212" t="n"/>
      <c r="RW75" s="212" t="n"/>
      <c r="RX75" s="212" t="n"/>
      <c r="RY75" s="212" t="n"/>
      <c r="RZ75" s="212" t="n"/>
      <c r="SA75" s="212" t="n"/>
      <c r="SB75" s="212" t="n"/>
      <c r="SC75" s="212" t="n"/>
      <c r="SD75" s="212" t="n"/>
      <c r="SE75" s="212" t="n"/>
      <c r="SF75" s="212" t="n"/>
      <c r="SG75" s="212" t="n"/>
      <c r="SH75" s="212" t="n"/>
      <c r="SI75" s="212" t="n"/>
      <c r="SJ75" s="212" t="n"/>
      <c r="SK75" s="212" t="n"/>
      <c r="SL75" s="212" t="n"/>
      <c r="SM75" s="212" t="n"/>
      <c r="SN75" s="212" t="n"/>
      <c r="SO75" s="212" t="n"/>
      <c r="SP75" s="212" t="n"/>
      <c r="SQ75" s="212" t="n"/>
      <c r="SR75" s="212" t="n"/>
      <c r="SS75" s="212" t="n"/>
      <c r="ST75" s="212" t="n"/>
      <c r="SU75" s="212" t="n"/>
      <c r="SV75" s="212" t="n"/>
    </row>
    <row r="76">
      <c r="B76" s="209" t="inlineStr">
        <is>
          <t>N/A</t>
        </is>
      </c>
      <c r="C76" s="209" t="inlineStr">
        <is>
          <t>PTM</t>
        </is>
      </c>
      <c r="D76" s="209" t="inlineStr">
        <is>
          <t>Leah</t>
        </is>
      </c>
      <c r="E76" s="209" t="inlineStr">
        <is>
          <t>Sutcliffe</t>
        </is>
      </c>
      <c r="F76" s="209">
        <f>IF(TRIM(D76&amp;E76)="","",TRIM(D76)&amp;" "&amp;TRIM(E76))</f>
        <v/>
      </c>
      <c r="G76" s="209" t="inlineStr">
        <is>
          <t>Perth</t>
        </is>
      </c>
      <c r="H76" s="209" t="inlineStr">
        <is>
          <t>Traffic Controller</t>
        </is>
      </c>
      <c r="I76" s="209" t="inlineStr">
        <is>
          <t>YES</t>
        </is>
      </c>
      <c r="J76" s="209" t="inlineStr">
        <is>
          <t>YES</t>
        </is>
      </c>
      <c r="K76" s="209" t="inlineStr">
        <is>
          <t>YES</t>
        </is>
      </c>
      <c r="L76" s="209" t="inlineStr">
        <is>
          <t>YES</t>
        </is>
      </c>
      <c r="M76" s="209" t="inlineStr">
        <is>
          <t>Quals Complete</t>
        </is>
      </c>
      <c r="N76" s="209" t="inlineStr">
        <is>
          <t>leahrsutcliffe03@gmail.com</t>
        </is>
      </c>
      <c r="O76" s="209" t="inlineStr">
        <is>
          <t>0411 163 984</t>
        </is>
      </c>
      <c r="P76" s="209" t="n">
        <v>837589</v>
      </c>
      <c r="Q76" s="209" t="n">
        <v>448892</v>
      </c>
      <c r="R76" s="209" t="inlineStr">
        <is>
          <t>ADHOC</t>
        </is>
      </c>
      <c r="S76" s="210" t="inlineStr">
        <is>
          <t>N/A</t>
        </is>
      </c>
      <c r="T76" s="210" t="inlineStr">
        <is>
          <t>N/A</t>
        </is>
      </c>
      <c r="U76" s="210" t="inlineStr">
        <is>
          <t>N/A</t>
        </is>
      </c>
      <c r="V76" s="210" t="inlineStr">
        <is>
          <t>N/A</t>
        </is>
      </c>
      <c r="W76" s="210" t="inlineStr">
        <is>
          <t>N/A</t>
        </is>
      </c>
      <c r="X76" s="210" t="inlineStr">
        <is>
          <t>N/A</t>
        </is>
      </c>
      <c r="Y76" s="210" t="inlineStr">
        <is>
          <t>N/A</t>
        </is>
      </c>
      <c r="Z76" s="210" t="inlineStr">
        <is>
          <t>N/A</t>
        </is>
      </c>
      <c r="AA76" s="210" t="inlineStr">
        <is>
          <t>N/A</t>
        </is>
      </c>
      <c r="AB76" s="210" t="inlineStr">
        <is>
          <t>N/A</t>
        </is>
      </c>
      <c r="AC76" s="210" t="inlineStr">
        <is>
          <t>N/A</t>
        </is>
      </c>
      <c r="AD76" s="210" t="inlineStr">
        <is>
          <t>N/A</t>
        </is>
      </c>
      <c r="AE76" s="210" t="inlineStr">
        <is>
          <t>N/A</t>
        </is>
      </c>
      <c r="AF76" s="210" t="inlineStr">
        <is>
          <t>N/A</t>
        </is>
      </c>
      <c r="AG76" s="210" t="inlineStr">
        <is>
          <t>N/A</t>
        </is>
      </c>
      <c r="AH76" s="210" t="inlineStr">
        <is>
          <t>N/A</t>
        </is>
      </c>
      <c r="AI76" s="210" t="inlineStr">
        <is>
          <t>N/A</t>
        </is>
      </c>
      <c r="AJ76" s="210" t="inlineStr">
        <is>
          <t>N/A</t>
        </is>
      </c>
      <c r="AK76" s="210" t="inlineStr">
        <is>
          <t>N/A</t>
        </is>
      </c>
      <c r="AL76" s="210" t="inlineStr">
        <is>
          <t>N/A</t>
        </is>
      </c>
      <c r="AM76" s="210" t="inlineStr">
        <is>
          <t>N/A</t>
        </is>
      </c>
      <c r="AN76" s="210" t="inlineStr">
        <is>
          <t>N/A</t>
        </is>
      </c>
      <c r="AO76" s="210" t="inlineStr">
        <is>
          <t>N/A</t>
        </is>
      </c>
      <c r="AP76" s="210" t="inlineStr">
        <is>
          <t>N/A</t>
        </is>
      </c>
      <c r="AQ76" s="210" t="inlineStr">
        <is>
          <t>N/A</t>
        </is>
      </c>
      <c r="AR76" s="210" t="inlineStr">
        <is>
          <t>N/A</t>
        </is>
      </c>
      <c r="AS76" s="210" t="inlineStr">
        <is>
          <t>N/A</t>
        </is>
      </c>
      <c r="AT76" s="210" t="inlineStr">
        <is>
          <t>N/A</t>
        </is>
      </c>
      <c r="AU76" s="210" t="inlineStr">
        <is>
          <t>N/A</t>
        </is>
      </c>
      <c r="AV76" s="210" t="inlineStr">
        <is>
          <t>N/A</t>
        </is>
      </c>
      <c r="AW76" s="210" t="inlineStr">
        <is>
          <t>N/A</t>
        </is>
      </c>
      <c r="AX76" s="210" t="inlineStr">
        <is>
          <t>N/A</t>
        </is>
      </c>
      <c r="AY76" s="210" t="inlineStr">
        <is>
          <t>N/A</t>
        </is>
      </c>
      <c r="AZ76" s="210" t="inlineStr">
        <is>
          <t>N/A</t>
        </is>
      </c>
      <c r="BA76" s="210" t="inlineStr">
        <is>
          <t>N/A</t>
        </is>
      </c>
      <c r="BB76" s="210" t="inlineStr">
        <is>
          <t>N/A</t>
        </is>
      </c>
      <c r="BC76" s="223" t="inlineStr">
        <is>
          <t>Demobilised effective 23.09.2026</t>
        </is>
      </c>
      <c r="BD76" s="212" t="n"/>
      <c r="BE76" s="212" t="n"/>
      <c r="BF76" s="210" t="inlineStr">
        <is>
          <t>N/A</t>
        </is>
      </c>
      <c r="BG76" s="210" t="inlineStr">
        <is>
          <t>N/A</t>
        </is>
      </c>
      <c r="BH76" s="210" t="inlineStr">
        <is>
          <t>N/A</t>
        </is>
      </c>
      <c r="BI76" s="210" t="inlineStr">
        <is>
          <t>N/A</t>
        </is>
      </c>
      <c r="BJ76" s="210" t="inlineStr">
        <is>
          <t>N/A</t>
        </is>
      </c>
      <c r="BK76" s="210" t="inlineStr">
        <is>
          <t>N/A</t>
        </is>
      </c>
      <c r="BL76" s="210" t="inlineStr">
        <is>
          <t>N/A</t>
        </is>
      </c>
      <c r="BM76" s="210" t="inlineStr">
        <is>
          <t>N/A</t>
        </is>
      </c>
      <c r="BN76" s="210" t="inlineStr">
        <is>
          <t>N/A</t>
        </is>
      </c>
      <c r="BO76" s="210" t="inlineStr">
        <is>
          <t>N/A</t>
        </is>
      </c>
      <c r="BP76" s="210" t="inlineStr">
        <is>
          <t>N/A</t>
        </is>
      </c>
      <c r="BQ76" s="210" t="inlineStr">
        <is>
          <t>N/A</t>
        </is>
      </c>
      <c r="BR76" s="210" t="inlineStr">
        <is>
          <t>N/A</t>
        </is>
      </c>
      <c r="BS76" s="210" t="inlineStr">
        <is>
          <t>N/A</t>
        </is>
      </c>
      <c r="BT76" s="210" t="inlineStr">
        <is>
          <t>N/A</t>
        </is>
      </c>
      <c r="BU76" s="210" t="inlineStr">
        <is>
          <t>N/A</t>
        </is>
      </c>
      <c r="BV76" s="210" t="inlineStr">
        <is>
          <t>N/A</t>
        </is>
      </c>
      <c r="BW76" s="210" t="inlineStr">
        <is>
          <t>N/A</t>
        </is>
      </c>
      <c r="BX76" s="210" t="inlineStr">
        <is>
          <t>N/A</t>
        </is>
      </c>
      <c r="BY76" s="210" t="inlineStr">
        <is>
          <t>N/A</t>
        </is>
      </c>
      <c r="BZ76" s="210" t="inlineStr">
        <is>
          <t>N/A</t>
        </is>
      </c>
      <c r="CA76" s="210" t="inlineStr">
        <is>
          <t>N/A</t>
        </is>
      </c>
      <c r="CB76" s="210" t="inlineStr">
        <is>
          <t>N/A</t>
        </is>
      </c>
      <c r="CC76" s="210" t="inlineStr">
        <is>
          <t>N/A</t>
        </is>
      </c>
      <c r="CD76" s="210" t="inlineStr">
        <is>
          <t>N/A</t>
        </is>
      </c>
      <c r="CE76" s="210" t="inlineStr">
        <is>
          <t>N/A</t>
        </is>
      </c>
      <c r="CF76" s="210" t="inlineStr">
        <is>
          <t>N/A</t>
        </is>
      </c>
      <c r="CG76" s="210" t="inlineStr">
        <is>
          <t>N/A</t>
        </is>
      </c>
      <c r="CH76" s="210" t="inlineStr">
        <is>
          <t>N/A</t>
        </is>
      </c>
      <c r="CI76" s="210" t="inlineStr">
        <is>
          <t>N/A</t>
        </is>
      </c>
      <c r="CJ76" s="210" t="inlineStr">
        <is>
          <t>N/A</t>
        </is>
      </c>
      <c r="CK76" s="210" t="inlineStr">
        <is>
          <t>N/A</t>
        </is>
      </c>
      <c r="CL76" s="210" t="inlineStr">
        <is>
          <t>N/A</t>
        </is>
      </c>
      <c r="CM76" s="210" t="inlineStr">
        <is>
          <t>N/A</t>
        </is>
      </c>
      <c r="CN76" s="210" t="inlineStr">
        <is>
          <t>N/A</t>
        </is>
      </c>
      <c r="CO76" s="210" t="inlineStr">
        <is>
          <t>N/A</t>
        </is>
      </c>
      <c r="CP76" s="210" t="inlineStr">
        <is>
          <t>N/A</t>
        </is>
      </c>
      <c r="CQ76" s="210" t="inlineStr">
        <is>
          <t>N/A</t>
        </is>
      </c>
      <c r="CR76" s="210" t="inlineStr">
        <is>
          <t>N/A</t>
        </is>
      </c>
      <c r="CS76" s="210" t="inlineStr">
        <is>
          <t>N/A</t>
        </is>
      </c>
      <c r="CT76" s="210" t="inlineStr">
        <is>
          <t>N/A</t>
        </is>
      </c>
      <c r="CU76" s="210" t="inlineStr">
        <is>
          <t>N/A</t>
        </is>
      </c>
      <c r="CV76" s="210" t="inlineStr">
        <is>
          <t>N/A</t>
        </is>
      </c>
      <c r="CW76" s="210" t="inlineStr">
        <is>
          <t>N/A</t>
        </is>
      </c>
      <c r="CX76" s="210" t="inlineStr">
        <is>
          <t>N/A</t>
        </is>
      </c>
      <c r="CY76" s="210" t="inlineStr">
        <is>
          <t>N/A</t>
        </is>
      </c>
      <c r="CZ76" s="210" t="inlineStr">
        <is>
          <t>N/A</t>
        </is>
      </c>
      <c r="DA76" s="210" t="inlineStr">
        <is>
          <t>N/A</t>
        </is>
      </c>
      <c r="DB76" s="210" t="inlineStr">
        <is>
          <t>N/A</t>
        </is>
      </c>
      <c r="DC76" s="210" t="inlineStr">
        <is>
          <t>N/A</t>
        </is>
      </c>
      <c r="DD76" s="210" t="inlineStr">
        <is>
          <t>N/A</t>
        </is>
      </c>
      <c r="DE76" s="210" t="inlineStr">
        <is>
          <t>N/A</t>
        </is>
      </c>
      <c r="DF76" s="210" t="inlineStr">
        <is>
          <t>N/A</t>
        </is>
      </c>
      <c r="DG76" s="210" t="inlineStr">
        <is>
          <t>N/A</t>
        </is>
      </c>
      <c r="DH76" s="210" t="inlineStr">
        <is>
          <t>N/A</t>
        </is>
      </c>
      <c r="DI76" s="210" t="inlineStr">
        <is>
          <t>N/A</t>
        </is>
      </c>
      <c r="DJ76" s="210" t="inlineStr">
        <is>
          <t>N/A</t>
        </is>
      </c>
      <c r="DK76" s="210" t="inlineStr">
        <is>
          <t>N/A</t>
        </is>
      </c>
      <c r="DL76" s="210" t="inlineStr">
        <is>
          <t>N/A</t>
        </is>
      </c>
      <c r="DM76" s="210" t="inlineStr">
        <is>
          <t>N/A</t>
        </is>
      </c>
      <c r="DN76" s="210" t="inlineStr">
        <is>
          <t>N/A</t>
        </is>
      </c>
      <c r="DO76" s="210" t="inlineStr">
        <is>
          <t>N/A</t>
        </is>
      </c>
      <c r="DP76" s="210" t="inlineStr">
        <is>
          <t>N/A</t>
        </is>
      </c>
      <c r="DQ76" s="210" t="inlineStr">
        <is>
          <t>N/A</t>
        </is>
      </c>
      <c r="DR76" s="210" t="inlineStr">
        <is>
          <t>N/A</t>
        </is>
      </c>
      <c r="DS76" s="212" t="n"/>
      <c r="DT76" s="212" t="n"/>
      <c r="DU76" s="212" t="n"/>
      <c r="DV76" s="212" t="n"/>
      <c r="DW76" s="212" t="n"/>
      <c r="DX76" s="212" t="n"/>
      <c r="DY76" s="212" t="n"/>
      <c r="DZ76" s="212" t="n"/>
      <c r="EA76" s="212" t="n"/>
      <c r="EB76" s="212" t="n"/>
      <c r="EC76" s="212" t="n"/>
      <c r="ED76" s="212" t="n"/>
      <c r="EE76" s="212" t="n"/>
      <c r="EF76" s="212" t="n"/>
      <c r="EG76" s="212" t="n"/>
      <c r="EH76" s="212" t="n"/>
      <c r="EI76" s="212" t="n"/>
      <c r="EJ76" s="212" t="n"/>
      <c r="EK76" s="212" t="n"/>
      <c r="EL76" s="212" t="n"/>
      <c r="EM76" s="212" t="n"/>
      <c r="EN76" s="212" t="n"/>
      <c r="EO76" s="212" t="n"/>
      <c r="EP76" s="212" t="n"/>
      <c r="EQ76" s="212" t="n"/>
      <c r="ER76" s="212" t="n"/>
      <c r="ES76" s="212" t="n"/>
      <c r="ET76" s="212" t="n"/>
      <c r="EU76" s="212" t="n"/>
      <c r="EV76" s="212" t="n"/>
      <c r="EW76" s="212" t="n"/>
      <c r="EX76" s="212" t="n"/>
      <c r="EY76" s="212" t="n"/>
      <c r="EZ76" s="212" t="n"/>
      <c r="FA76" s="212" t="n"/>
      <c r="FB76" s="212" t="n"/>
      <c r="FC76" s="212" t="n"/>
      <c r="FD76" s="212" t="n"/>
      <c r="FE76" s="212" t="n"/>
      <c r="FF76" s="212" t="n"/>
      <c r="FG76" s="212" t="n"/>
      <c r="FH76" s="212" t="n"/>
      <c r="FI76" s="212" t="n"/>
      <c r="FJ76" s="212" t="n"/>
      <c r="FK76" s="212" t="n"/>
      <c r="FL76" s="212" t="n"/>
      <c r="FM76" s="212" t="n"/>
      <c r="FN76" s="212" t="n"/>
      <c r="FO76" s="212" t="n"/>
      <c r="FP76" s="212" t="n"/>
      <c r="FQ76" s="212" t="n"/>
      <c r="FR76" s="212" t="n"/>
      <c r="FS76" s="212" t="n"/>
      <c r="FT76" s="212" t="n"/>
      <c r="FU76" s="212" t="n"/>
      <c r="FV76" s="212" t="n"/>
      <c r="FW76" s="212" t="n"/>
      <c r="FX76" s="212" t="n"/>
      <c r="FY76" s="212" t="n"/>
      <c r="FZ76" s="212" t="n"/>
      <c r="GA76" s="212" t="n"/>
      <c r="GB76" s="212" t="n"/>
      <c r="GC76" s="212" t="n"/>
      <c r="GD76" s="212" t="n"/>
      <c r="GE76" s="212" t="n"/>
      <c r="GF76" s="212" t="n"/>
      <c r="GG76" s="212" t="n"/>
      <c r="GH76" s="212" t="n"/>
      <c r="GI76" s="212" t="n"/>
      <c r="GJ76" s="212" t="n"/>
      <c r="GK76" s="212" t="n"/>
      <c r="GL76" s="212" t="n"/>
      <c r="GM76" s="212" t="n"/>
      <c r="GN76" s="212" t="n"/>
      <c r="GO76" s="212" t="n"/>
      <c r="GP76" s="212" t="n"/>
      <c r="GQ76" s="212" t="n"/>
      <c r="GR76" s="212" t="n"/>
      <c r="GS76" s="212" t="n"/>
      <c r="GT76" s="212" t="n"/>
      <c r="GU76" s="212" t="n"/>
      <c r="GV76" s="212" t="n"/>
      <c r="GW76" s="212" t="n"/>
      <c r="GX76" s="212" t="n"/>
      <c r="GY76" s="212" t="n"/>
      <c r="GZ76" s="212" t="n"/>
      <c r="HA76" s="212" t="n"/>
      <c r="HB76" s="212" t="n"/>
      <c r="HC76" s="212" t="n"/>
      <c r="HD76" s="212" t="n"/>
      <c r="HE76" s="212" t="n"/>
      <c r="HF76" s="212" t="n"/>
      <c r="HG76" s="212" t="n"/>
      <c r="HH76" s="212" t="n"/>
      <c r="HI76" s="212" t="n"/>
      <c r="HJ76" s="212" t="n"/>
      <c r="HK76" s="212" t="n"/>
      <c r="HL76" s="212" t="n"/>
      <c r="HM76" s="212" t="n"/>
      <c r="HN76" s="212" t="n"/>
      <c r="HO76" s="212" t="n"/>
      <c r="HP76" s="212" t="n"/>
      <c r="HQ76" s="212" t="n"/>
      <c r="HR76" s="212" t="n"/>
      <c r="HS76" s="212" t="n"/>
      <c r="HT76" s="212" t="n"/>
      <c r="HU76" s="212" t="n"/>
      <c r="HV76" s="212" t="n"/>
      <c r="HW76" s="212" t="n"/>
      <c r="HX76" s="212" t="n"/>
      <c r="HY76" s="212" t="n"/>
      <c r="HZ76" s="212" t="n"/>
      <c r="IA76" s="212" t="n"/>
      <c r="IB76" s="212" t="n"/>
      <c r="IC76" s="212" t="n"/>
      <c r="ID76" s="212" t="n"/>
      <c r="IE76" s="212" t="n"/>
      <c r="IF76" s="212" t="n"/>
      <c r="IG76" s="212" t="n"/>
      <c r="IH76" s="212" t="n"/>
      <c r="II76" s="212" t="n"/>
      <c r="IJ76" s="212" t="n"/>
      <c r="IK76" s="212" t="n"/>
      <c r="IL76" s="212" t="n"/>
      <c r="IM76" s="212" t="n"/>
      <c r="IN76" s="212" t="n"/>
      <c r="IO76" s="212" t="n"/>
      <c r="IP76" s="212" t="n"/>
      <c r="IQ76" s="212" t="n"/>
      <c r="IR76" s="212" t="n"/>
      <c r="IS76" s="212" t="n"/>
      <c r="IT76" s="212" t="n"/>
      <c r="IU76" s="212" t="n"/>
      <c r="IV76" s="212" t="n"/>
      <c r="IW76" s="212" t="n"/>
      <c r="IX76" s="212" t="n"/>
      <c r="IY76" s="212" t="n"/>
      <c r="IZ76" s="212" t="n"/>
      <c r="JA76" s="212" t="n"/>
      <c r="JB76" s="212" t="n"/>
      <c r="JC76" s="212" t="n"/>
      <c r="JD76" s="212" t="n"/>
      <c r="JE76" s="212" t="n"/>
      <c r="JF76" s="212" t="n"/>
      <c r="JG76" s="212" t="n"/>
      <c r="JH76" s="212" t="n"/>
      <c r="JI76" s="212" t="n"/>
      <c r="JJ76" s="212" t="n"/>
      <c r="JK76" s="212" t="n"/>
      <c r="JL76" s="212" t="n"/>
      <c r="JM76" s="212" t="n"/>
      <c r="JN76" s="212" t="n"/>
      <c r="JO76" s="212" t="n"/>
      <c r="JP76" s="212" t="n"/>
      <c r="JQ76" s="212" t="n"/>
      <c r="JR76" s="212" t="n"/>
      <c r="JS76" s="212" t="n"/>
      <c r="JT76" s="212" t="n"/>
      <c r="JU76" s="212" t="n"/>
      <c r="JV76" s="212" t="n"/>
      <c r="JW76" s="212" t="n"/>
      <c r="JX76" s="212" t="n"/>
      <c r="JY76" s="212" t="n"/>
      <c r="JZ76" s="212" t="n"/>
      <c r="KA76" s="212" t="n"/>
      <c r="KB76" s="212" t="n"/>
      <c r="KC76" s="212" t="n"/>
      <c r="KD76" s="212" t="n"/>
      <c r="KE76" s="212" t="n"/>
      <c r="KF76" s="212" t="n"/>
      <c r="KG76" s="212" t="n"/>
      <c r="KH76" s="212" t="n"/>
      <c r="KI76" s="212" t="n"/>
      <c r="KJ76" s="212" t="n"/>
      <c r="KK76" s="212" t="n"/>
      <c r="KL76" s="212" t="n"/>
      <c r="KM76" s="212" t="n"/>
      <c r="KN76" s="212" t="n"/>
      <c r="KO76" s="212" t="n"/>
      <c r="KP76" s="212" t="n"/>
      <c r="KQ76" s="212" t="n"/>
      <c r="KR76" s="212" t="n"/>
      <c r="KS76" s="212" t="n"/>
      <c r="KT76" s="212" t="n"/>
      <c r="KU76" s="212" t="n"/>
      <c r="KV76" s="212" t="n"/>
      <c r="KW76" s="212" t="n"/>
      <c r="KX76" s="212" t="n"/>
      <c r="KY76" s="212" t="n"/>
      <c r="KZ76" s="212" t="n"/>
      <c r="LA76" s="212" t="n"/>
      <c r="LB76" s="212" t="n"/>
      <c r="LC76" s="212" t="n"/>
      <c r="LD76" s="212" t="n"/>
      <c r="LE76" s="212" t="n"/>
      <c r="LF76" s="212" t="n"/>
      <c r="LG76" s="212" t="n"/>
      <c r="LH76" s="212" t="n"/>
      <c r="LI76" s="212" t="n"/>
      <c r="LJ76" s="212" t="n"/>
      <c r="LK76" s="212" t="n"/>
      <c r="LL76" s="212" t="n"/>
      <c r="LM76" s="212" t="n"/>
      <c r="LN76" s="212" t="n"/>
      <c r="LO76" s="212" t="n"/>
      <c r="LP76" s="212" t="n"/>
      <c r="LQ76" s="212" t="n"/>
      <c r="LR76" s="212" t="n"/>
      <c r="LS76" s="212" t="n"/>
      <c r="LT76" s="212" t="n"/>
      <c r="LU76" s="212" t="n"/>
      <c r="LV76" s="212" t="n"/>
      <c r="LW76" s="212" t="n"/>
      <c r="LX76" s="212" t="n"/>
      <c r="LY76" s="212" t="n"/>
      <c r="LZ76" s="212" t="n"/>
      <c r="MA76" s="212" t="n"/>
      <c r="MB76" s="212" t="n"/>
      <c r="MC76" s="212" t="n"/>
      <c r="MD76" s="212" t="n"/>
      <c r="ME76" s="212" t="n"/>
      <c r="MF76" s="212" t="n"/>
      <c r="MG76" s="212" t="n"/>
      <c r="MH76" s="212" t="n"/>
      <c r="MI76" s="212" t="n"/>
      <c r="MJ76" s="212" t="n"/>
      <c r="MK76" s="212" t="n"/>
      <c r="ML76" s="212" t="n"/>
      <c r="MM76" s="212" t="n"/>
      <c r="MN76" s="212" t="n"/>
      <c r="MO76" s="212" t="n"/>
      <c r="MP76" s="212" t="n"/>
      <c r="MQ76" s="212" t="n"/>
      <c r="MR76" s="212" t="n"/>
      <c r="MS76" s="212" t="n"/>
      <c r="MT76" s="212" t="n"/>
      <c r="MU76" s="212" t="n"/>
      <c r="MV76" s="212" t="n"/>
      <c r="MW76" s="212" t="n"/>
      <c r="MX76" s="212" t="n"/>
      <c r="MY76" s="212" t="n"/>
      <c r="MZ76" s="212" t="n"/>
      <c r="NA76" s="212" t="n"/>
      <c r="NB76" s="212" t="n"/>
      <c r="NC76" s="212" t="n"/>
      <c r="ND76" s="212" t="n"/>
      <c r="NE76" s="212" t="n"/>
      <c r="NF76" s="212" t="n"/>
      <c r="NG76" s="212" t="n"/>
      <c r="NH76" s="212" t="n"/>
      <c r="NI76" s="212" t="n"/>
      <c r="NJ76" s="212" t="n"/>
      <c r="NK76" s="212" t="n"/>
      <c r="NL76" s="212" t="n"/>
      <c r="NM76" s="212" t="n"/>
      <c r="NN76" s="212" t="n"/>
      <c r="NO76" s="212" t="n"/>
      <c r="NP76" s="212" t="n"/>
      <c r="NQ76" s="212" t="n"/>
      <c r="NR76" s="212" t="n"/>
      <c r="NS76" s="212" t="n"/>
      <c r="NT76" s="212" t="n"/>
      <c r="NU76" s="212" t="n"/>
      <c r="NV76" s="212" t="n"/>
      <c r="NW76" s="212" t="n"/>
      <c r="NX76" s="212" t="n"/>
      <c r="NY76" s="212" t="n"/>
      <c r="NZ76" s="212" t="n"/>
      <c r="OA76" s="212" t="n"/>
      <c r="OB76" s="212" t="n"/>
      <c r="OC76" s="212" t="n"/>
      <c r="OD76" s="212" t="n"/>
      <c r="OE76" s="212" t="n"/>
      <c r="OF76" s="212" t="n"/>
      <c r="OG76" s="212" t="n"/>
      <c r="OH76" s="212" t="n"/>
      <c r="OI76" s="212" t="n"/>
      <c r="OJ76" s="212" t="n"/>
      <c r="OK76" s="212" t="n"/>
      <c r="OL76" s="212" t="n"/>
      <c r="OM76" s="212" t="n"/>
      <c r="ON76" s="212" t="n"/>
      <c r="OO76" s="212" t="n"/>
      <c r="OP76" s="212" t="n"/>
      <c r="OQ76" s="212" t="n"/>
      <c r="OR76" s="212" t="n"/>
      <c r="OS76" s="212" t="n"/>
      <c r="OT76" s="212" t="n"/>
      <c r="OU76" s="212" t="n"/>
      <c r="OV76" s="212" t="n"/>
      <c r="OW76" s="212" t="n"/>
      <c r="OX76" s="212" t="n"/>
      <c r="OY76" s="212" t="n"/>
      <c r="OZ76" s="212" t="n"/>
      <c r="PA76" s="212" t="n"/>
      <c r="PB76" s="212" t="n"/>
      <c r="PC76" s="212" t="n"/>
      <c r="PD76" s="212" t="n"/>
      <c r="PE76" s="212" t="n"/>
      <c r="PF76" s="212" t="n"/>
      <c r="PG76" s="212" t="n"/>
      <c r="PH76" s="212" t="n"/>
      <c r="PI76" s="212" t="n"/>
      <c r="PJ76" s="212" t="n"/>
      <c r="PK76" s="212" t="n"/>
      <c r="PL76" s="212" t="n"/>
      <c r="PM76" s="212" t="n"/>
      <c r="PN76" s="212" t="n"/>
      <c r="PO76" s="212" t="n"/>
      <c r="PP76" s="212" t="n"/>
      <c r="PQ76" s="212" t="n"/>
      <c r="PR76" s="212" t="n"/>
      <c r="PS76" s="212" t="n"/>
      <c r="PT76" s="212" t="n"/>
      <c r="PU76" s="212" t="n"/>
      <c r="PV76" s="212" t="n"/>
      <c r="PW76" s="212" t="n"/>
      <c r="PX76" s="212" t="n"/>
      <c r="PY76" s="212" t="n"/>
      <c r="PZ76" s="212" t="n"/>
      <c r="QA76" s="212" t="n"/>
      <c r="QB76" s="212" t="n"/>
      <c r="QC76" s="212" t="n"/>
      <c r="QD76" s="212" t="n"/>
      <c r="QE76" s="212" t="n"/>
      <c r="QF76" s="212" t="n"/>
      <c r="QG76" s="212" t="n"/>
      <c r="QH76" s="212" t="n"/>
      <c r="QI76" s="212" t="n"/>
      <c r="QJ76" s="212" t="n"/>
      <c r="QK76" s="212" t="n"/>
      <c r="QL76" s="212" t="n"/>
      <c r="QM76" s="212" t="n"/>
      <c r="QN76" s="212" t="n"/>
      <c r="QO76" s="212" t="n"/>
      <c r="QP76" s="212" t="n"/>
      <c r="QQ76" s="212" t="n"/>
      <c r="QR76" s="212" t="n"/>
      <c r="QS76" s="212" t="n"/>
      <c r="QT76" s="212" t="n"/>
      <c r="QU76" s="212" t="n"/>
      <c r="QV76" s="212" t="n"/>
      <c r="QW76" s="212" t="n"/>
      <c r="QX76" s="212" t="n"/>
      <c r="QY76" s="212" t="n"/>
      <c r="QZ76" s="212" t="n"/>
      <c r="RA76" s="212" t="n"/>
      <c r="RB76" s="212" t="n"/>
      <c r="RC76" s="212" t="n"/>
      <c r="RD76" s="212" t="n"/>
      <c r="RE76" s="212" t="n"/>
      <c r="RF76" s="212" t="n"/>
      <c r="RG76" s="212" t="n"/>
      <c r="RH76" s="212" t="n"/>
      <c r="RI76" s="212" t="n"/>
      <c r="RJ76" s="212" t="n"/>
      <c r="RK76" s="212" t="n"/>
      <c r="RL76" s="212" t="n"/>
      <c r="RM76" s="212" t="n"/>
      <c r="RN76" s="212" t="n"/>
      <c r="RO76" s="212" t="n"/>
      <c r="RP76" s="212" t="n"/>
      <c r="RQ76" s="212" t="n"/>
      <c r="RR76" s="212" t="n"/>
      <c r="RS76" s="212" t="n"/>
      <c r="RT76" s="212" t="n"/>
      <c r="RU76" s="212" t="n"/>
      <c r="RV76" s="212" t="n"/>
      <c r="RW76" s="212" t="n"/>
      <c r="RX76" s="212" t="n"/>
      <c r="RY76" s="212" t="n"/>
      <c r="RZ76" s="212" t="n"/>
      <c r="SA76" s="212" t="n"/>
      <c r="SB76" s="212" t="n"/>
      <c r="SC76" s="212" t="n"/>
      <c r="SD76" s="212" t="n"/>
      <c r="SE76" s="212" t="n"/>
      <c r="SF76" s="212" t="n"/>
      <c r="SG76" s="212" t="n"/>
      <c r="SH76" s="212" t="n"/>
      <c r="SI76" s="212" t="n"/>
      <c r="SJ76" s="212" t="n"/>
      <c r="SK76" s="212" t="n"/>
      <c r="SL76" s="212" t="n"/>
      <c r="SM76" s="212" t="n"/>
      <c r="SN76" s="212" t="n"/>
      <c r="SO76" s="212" t="n"/>
      <c r="SP76" s="212" t="n"/>
      <c r="SQ76" s="212" t="n"/>
      <c r="SR76" s="212" t="n"/>
      <c r="SS76" s="212" t="n"/>
      <c r="ST76" s="212" t="n"/>
      <c r="SU76" s="212" t="n"/>
      <c r="SV76" s="212" t="n"/>
    </row>
    <row r="77">
      <c r="B77" s="209" t="inlineStr">
        <is>
          <t>N/A</t>
        </is>
      </c>
      <c r="C77" s="209" t="inlineStr">
        <is>
          <t>SLM</t>
        </is>
      </c>
      <c r="D77" s="209" t="inlineStr">
        <is>
          <t>Joshua</t>
        </is>
      </c>
      <c r="E77" s="209" t="inlineStr">
        <is>
          <t>Poole</t>
        </is>
      </c>
      <c r="F77" s="209">
        <f>IF(TRIM(D77&amp;E77)="","",TRIM(D77)&amp;" "&amp;TRIM(E77))</f>
        <v/>
      </c>
      <c r="G77" s="209" t="inlineStr">
        <is>
          <t>Perth</t>
        </is>
      </c>
      <c r="H77" s="209" t="inlineStr">
        <is>
          <t>Operator - Excavator / Truck Driver</t>
        </is>
      </c>
      <c r="I77" s="209" t="inlineStr">
        <is>
          <t>YES</t>
        </is>
      </c>
      <c r="J77" s="209" t="inlineStr">
        <is>
          <t>YES</t>
        </is>
      </c>
      <c r="K77" s="209" t="inlineStr">
        <is>
          <t>YES</t>
        </is>
      </c>
      <c r="L77" s="209" t="inlineStr">
        <is>
          <t>YES</t>
        </is>
      </c>
      <c r="M77" s="209" t="inlineStr">
        <is>
          <t>Quals Complete</t>
        </is>
      </c>
      <c r="N77" s="209" t="inlineStr">
        <is>
          <t>j.poole@outlook.com.au</t>
        </is>
      </c>
      <c r="O77" s="209" t="inlineStr">
        <is>
          <t>0481 272 394</t>
        </is>
      </c>
      <c r="P77" s="209" t="n">
        <v>857042</v>
      </c>
      <c r="Q77" s="209" t="n">
        <v>462557</v>
      </c>
      <c r="R77" s="209" t="inlineStr">
        <is>
          <t>ADHOC</t>
        </is>
      </c>
      <c r="S77" s="210" t="inlineStr">
        <is>
          <t>N/A</t>
        </is>
      </c>
      <c r="T77" s="210" t="inlineStr">
        <is>
          <t>N/A</t>
        </is>
      </c>
      <c r="U77" s="210" t="inlineStr">
        <is>
          <t>N/A</t>
        </is>
      </c>
      <c r="V77" s="210" t="inlineStr">
        <is>
          <t>N/A</t>
        </is>
      </c>
      <c r="W77" s="210" t="inlineStr">
        <is>
          <t>N/A</t>
        </is>
      </c>
      <c r="X77" s="210" t="inlineStr">
        <is>
          <t>N/A</t>
        </is>
      </c>
      <c r="Y77" s="210" t="inlineStr">
        <is>
          <t>N/A</t>
        </is>
      </c>
      <c r="Z77" s="210" t="inlineStr">
        <is>
          <t>N/A</t>
        </is>
      </c>
      <c r="AA77" s="210" t="inlineStr">
        <is>
          <t>N/A</t>
        </is>
      </c>
      <c r="AB77" s="210" t="inlineStr">
        <is>
          <t>N/A</t>
        </is>
      </c>
      <c r="AC77" s="210" t="inlineStr">
        <is>
          <t>N/A</t>
        </is>
      </c>
      <c r="AD77" s="210" t="inlineStr">
        <is>
          <t>N/A</t>
        </is>
      </c>
      <c r="AE77" s="210" t="inlineStr">
        <is>
          <t>N/A</t>
        </is>
      </c>
      <c r="AF77" s="210" t="inlineStr">
        <is>
          <t>N/A</t>
        </is>
      </c>
      <c r="AG77" s="210" t="inlineStr">
        <is>
          <t>N/A</t>
        </is>
      </c>
      <c r="AH77" s="210" t="inlineStr">
        <is>
          <t>N/A</t>
        </is>
      </c>
      <c r="AI77" s="210" t="inlineStr">
        <is>
          <t>N/A</t>
        </is>
      </c>
      <c r="AJ77" s="210" t="inlineStr">
        <is>
          <t>N/A</t>
        </is>
      </c>
      <c r="AK77" s="210" t="inlineStr">
        <is>
          <t>N/A</t>
        </is>
      </c>
      <c r="AL77" s="210" t="inlineStr">
        <is>
          <t>N/A</t>
        </is>
      </c>
      <c r="AM77" s="210" t="inlineStr">
        <is>
          <t>N/A</t>
        </is>
      </c>
      <c r="AN77" s="210" t="inlineStr">
        <is>
          <t>N/A</t>
        </is>
      </c>
      <c r="AO77" s="210" t="inlineStr">
        <is>
          <t>N/A</t>
        </is>
      </c>
      <c r="AP77" s="210" t="inlineStr">
        <is>
          <t>N/A</t>
        </is>
      </c>
      <c r="AQ77" s="210" t="inlineStr">
        <is>
          <t>N/A</t>
        </is>
      </c>
      <c r="AR77" s="210" t="inlineStr">
        <is>
          <t>N/A</t>
        </is>
      </c>
      <c r="AS77" s="210" t="inlineStr">
        <is>
          <t>N/A</t>
        </is>
      </c>
      <c r="AT77" s="210" t="inlineStr">
        <is>
          <t>N/A</t>
        </is>
      </c>
      <c r="AU77" s="210" t="inlineStr">
        <is>
          <t>N/A</t>
        </is>
      </c>
      <c r="AV77" s="210" t="inlineStr">
        <is>
          <t>N/A</t>
        </is>
      </c>
      <c r="AW77" s="210" t="inlineStr">
        <is>
          <t>N/A</t>
        </is>
      </c>
      <c r="AX77" s="210" t="inlineStr">
        <is>
          <t>N/A</t>
        </is>
      </c>
      <c r="AY77" s="210" t="inlineStr">
        <is>
          <t>N/A</t>
        </is>
      </c>
      <c r="AZ77" s="210" t="inlineStr">
        <is>
          <t>N/A</t>
        </is>
      </c>
      <c r="BA77" s="210" t="inlineStr">
        <is>
          <t>N/A</t>
        </is>
      </c>
      <c r="BB77" s="210" t="inlineStr">
        <is>
          <t>N/A</t>
        </is>
      </c>
      <c r="BC77" s="210" t="inlineStr">
        <is>
          <t>N/A</t>
        </is>
      </c>
      <c r="BD77" s="210" t="inlineStr">
        <is>
          <t>N/A</t>
        </is>
      </c>
      <c r="BE77" s="210" t="inlineStr">
        <is>
          <t>N/A</t>
        </is>
      </c>
      <c r="BF77" s="210" t="inlineStr">
        <is>
          <t>N/A</t>
        </is>
      </c>
      <c r="BG77" s="210" t="inlineStr">
        <is>
          <t>N/A</t>
        </is>
      </c>
      <c r="BH77" s="210" t="inlineStr">
        <is>
          <t>N/A</t>
        </is>
      </c>
      <c r="BI77" s="210" t="inlineStr">
        <is>
          <t>N/A</t>
        </is>
      </c>
      <c r="BJ77" s="210" t="inlineStr">
        <is>
          <t>N/A</t>
        </is>
      </c>
      <c r="BK77" s="210" t="inlineStr">
        <is>
          <t>N/A</t>
        </is>
      </c>
      <c r="BL77" s="210" t="inlineStr">
        <is>
          <t>N/A</t>
        </is>
      </c>
      <c r="BM77" s="210" t="inlineStr">
        <is>
          <t>N/A</t>
        </is>
      </c>
      <c r="BN77" s="210" t="inlineStr">
        <is>
          <t>N/A</t>
        </is>
      </c>
      <c r="BO77" s="210" t="inlineStr">
        <is>
          <t>N/A</t>
        </is>
      </c>
      <c r="BP77" s="210" t="inlineStr">
        <is>
          <t>N/A</t>
        </is>
      </c>
      <c r="BQ77" s="210" t="inlineStr">
        <is>
          <t>N/A</t>
        </is>
      </c>
      <c r="BR77" s="210" t="inlineStr">
        <is>
          <t>N/A</t>
        </is>
      </c>
      <c r="BS77" s="210" t="inlineStr">
        <is>
          <t>N/A</t>
        </is>
      </c>
      <c r="BT77" s="210" t="inlineStr">
        <is>
          <t>N/A</t>
        </is>
      </c>
      <c r="BU77" s="210" t="inlineStr">
        <is>
          <t>N/A</t>
        </is>
      </c>
      <c r="BV77" s="210" t="inlineStr">
        <is>
          <t>N/A</t>
        </is>
      </c>
      <c r="BW77" s="210" t="inlineStr">
        <is>
          <t>N/A</t>
        </is>
      </c>
      <c r="BX77" s="210" t="inlineStr">
        <is>
          <t>N/A</t>
        </is>
      </c>
      <c r="BY77" s="210" t="inlineStr">
        <is>
          <t>N/A</t>
        </is>
      </c>
      <c r="BZ77" s="210" t="inlineStr">
        <is>
          <t>N/A</t>
        </is>
      </c>
      <c r="CA77" s="210" t="inlineStr">
        <is>
          <t>N/A</t>
        </is>
      </c>
      <c r="CB77" s="210" t="inlineStr">
        <is>
          <t>N/A</t>
        </is>
      </c>
      <c r="CC77" s="210" t="inlineStr">
        <is>
          <t>N/A</t>
        </is>
      </c>
      <c r="CD77" s="210" t="inlineStr">
        <is>
          <t>N/A</t>
        </is>
      </c>
      <c r="CE77" s="210" t="inlineStr">
        <is>
          <t>N/A</t>
        </is>
      </c>
      <c r="CF77" s="210" t="inlineStr">
        <is>
          <t>N/A</t>
        </is>
      </c>
      <c r="CG77" s="210" t="inlineStr">
        <is>
          <t>N/A</t>
        </is>
      </c>
      <c r="CH77" s="210" t="inlineStr">
        <is>
          <t>N/A</t>
        </is>
      </c>
      <c r="CI77" s="210" t="inlineStr">
        <is>
          <t>N/A</t>
        </is>
      </c>
      <c r="CJ77" s="210" t="inlineStr">
        <is>
          <t>N/A</t>
        </is>
      </c>
      <c r="CK77" s="210" t="inlineStr">
        <is>
          <t>N/A</t>
        </is>
      </c>
      <c r="CL77" s="210" t="inlineStr">
        <is>
          <t>N/A</t>
        </is>
      </c>
      <c r="CM77" s="210" t="inlineStr">
        <is>
          <t>N/A</t>
        </is>
      </c>
      <c r="CN77" s="210" t="inlineStr">
        <is>
          <t>N/A</t>
        </is>
      </c>
      <c r="CO77" s="210" t="inlineStr">
        <is>
          <t>N/A</t>
        </is>
      </c>
      <c r="CP77" s="210" t="inlineStr">
        <is>
          <t>N/A</t>
        </is>
      </c>
      <c r="CQ77" s="210" t="inlineStr">
        <is>
          <t>N/A</t>
        </is>
      </c>
      <c r="CR77" s="210" t="inlineStr">
        <is>
          <t>N/A</t>
        </is>
      </c>
      <c r="CS77" s="210" t="inlineStr">
        <is>
          <t>N/A</t>
        </is>
      </c>
      <c r="CT77" s="210" t="inlineStr">
        <is>
          <t>N/A</t>
        </is>
      </c>
      <c r="CU77" s="210" t="inlineStr">
        <is>
          <t>N/A</t>
        </is>
      </c>
      <c r="CV77" s="210" t="inlineStr">
        <is>
          <t>N/A</t>
        </is>
      </c>
      <c r="CW77" s="210" t="inlineStr">
        <is>
          <t>N/A</t>
        </is>
      </c>
      <c r="CX77" s="210" t="inlineStr">
        <is>
          <t>N/A</t>
        </is>
      </c>
      <c r="CY77" s="210" t="inlineStr">
        <is>
          <t>N/A</t>
        </is>
      </c>
      <c r="CZ77" s="210" t="inlineStr">
        <is>
          <t>N/A</t>
        </is>
      </c>
      <c r="DA77" s="210" t="inlineStr">
        <is>
          <t>N/A</t>
        </is>
      </c>
      <c r="DB77" s="210" t="inlineStr">
        <is>
          <t>N/A</t>
        </is>
      </c>
      <c r="DC77" s="210" t="inlineStr">
        <is>
          <t>N/A</t>
        </is>
      </c>
      <c r="DD77" s="210" t="inlineStr">
        <is>
          <t>N/A</t>
        </is>
      </c>
      <c r="DE77" s="210" t="inlineStr">
        <is>
          <t>N/A</t>
        </is>
      </c>
      <c r="DF77" s="210" t="inlineStr">
        <is>
          <t>N/A</t>
        </is>
      </c>
      <c r="DG77" s="210" t="inlineStr">
        <is>
          <t>N/A</t>
        </is>
      </c>
      <c r="DH77" s="210" t="inlineStr">
        <is>
          <t>N/A</t>
        </is>
      </c>
      <c r="DI77" s="210" t="inlineStr">
        <is>
          <t>N/A</t>
        </is>
      </c>
      <c r="DJ77" s="210" t="inlineStr">
        <is>
          <t>N/A</t>
        </is>
      </c>
      <c r="DK77" s="210" t="inlineStr">
        <is>
          <t>N/A</t>
        </is>
      </c>
      <c r="DL77" s="210" t="inlineStr">
        <is>
          <t>N/A</t>
        </is>
      </c>
      <c r="DM77" s="210" t="inlineStr">
        <is>
          <t>N/A</t>
        </is>
      </c>
      <c r="DN77" s="210" t="inlineStr">
        <is>
          <t>N/A</t>
        </is>
      </c>
      <c r="DO77" s="210" t="inlineStr">
        <is>
          <t>N/A</t>
        </is>
      </c>
      <c r="DP77" s="210" t="inlineStr">
        <is>
          <t>N/A</t>
        </is>
      </c>
      <c r="DQ77" s="210" t="inlineStr">
        <is>
          <t>N/A</t>
        </is>
      </c>
      <c r="DR77" s="210" t="inlineStr">
        <is>
          <t>N/A</t>
        </is>
      </c>
      <c r="DS77" s="212" t="n"/>
      <c r="DT77" s="212" t="n"/>
      <c r="DU77" s="212" t="n"/>
      <c r="DV77" s="212" t="n"/>
      <c r="DW77" s="212" t="n"/>
      <c r="DX77" s="212" t="n"/>
      <c r="DY77" s="212" t="n"/>
      <c r="DZ77" s="212" t="n"/>
      <c r="EA77" s="212" t="n"/>
      <c r="EB77" s="212" t="n"/>
      <c r="EC77" s="212" t="n"/>
      <c r="ED77" s="212" t="n"/>
      <c r="EE77" s="212" t="n"/>
      <c r="EF77" s="212" t="n"/>
      <c r="EG77" s="212" t="n"/>
      <c r="EH77" s="212" t="n"/>
      <c r="EI77" s="212" t="n"/>
      <c r="EJ77" s="212" t="n"/>
      <c r="EK77" s="212" t="n"/>
      <c r="EL77" s="212" t="n"/>
      <c r="EM77" s="212" t="n"/>
      <c r="EN77" s="212" t="n"/>
      <c r="EO77" s="212" t="n"/>
      <c r="EP77" s="212" t="n"/>
      <c r="EQ77" s="212" t="n"/>
      <c r="ER77" s="212" t="n"/>
      <c r="ES77" s="212" t="n"/>
      <c r="ET77" s="212" t="n"/>
      <c r="EU77" s="212" t="n"/>
      <c r="EV77" s="212" t="n"/>
      <c r="EW77" s="212" t="n"/>
      <c r="EX77" s="212" t="n"/>
      <c r="EY77" s="212" t="n"/>
      <c r="EZ77" s="212" t="n"/>
      <c r="FA77" s="212" t="n"/>
      <c r="FB77" s="212" t="n"/>
      <c r="FC77" s="212" t="n"/>
      <c r="FD77" s="212" t="n"/>
      <c r="FE77" s="212" t="n"/>
      <c r="FF77" s="212" t="n"/>
      <c r="FG77" s="212" t="n"/>
      <c r="FH77" s="212" t="n"/>
      <c r="FI77" s="212" t="n"/>
      <c r="FJ77" s="212" t="n"/>
      <c r="FK77" s="212" t="n"/>
      <c r="FL77" s="212" t="n"/>
      <c r="FM77" s="212" t="n"/>
      <c r="FN77" s="212" t="n"/>
      <c r="FO77" s="212" t="n"/>
      <c r="FP77" s="212" t="n"/>
      <c r="FQ77" s="212" t="n"/>
      <c r="FR77" s="212" t="n"/>
      <c r="FS77" s="212" t="n"/>
      <c r="FT77" s="212" t="n"/>
      <c r="FU77" s="212" t="n"/>
      <c r="FV77" s="212" t="n"/>
      <c r="FW77" s="212" t="n"/>
      <c r="FX77" s="212" t="n"/>
      <c r="FY77" s="212" t="n"/>
      <c r="FZ77" s="212" t="n"/>
      <c r="GA77" s="212" t="n"/>
      <c r="GB77" s="212" t="n"/>
      <c r="GC77" s="212" t="n"/>
      <c r="GD77" s="212" t="n"/>
      <c r="GE77" s="212" t="n"/>
      <c r="GF77" s="212" t="n"/>
      <c r="GG77" s="212" t="n"/>
      <c r="GH77" s="212" t="n"/>
      <c r="GI77" s="212" t="n"/>
      <c r="GJ77" s="212" t="n"/>
      <c r="GK77" s="212" t="n"/>
      <c r="GL77" s="212" t="n"/>
      <c r="GM77" s="212" t="n"/>
      <c r="GN77" s="212" t="n"/>
      <c r="GO77" s="212" t="n"/>
      <c r="GP77" s="212" t="n"/>
      <c r="GQ77" s="212" t="n"/>
      <c r="GR77" s="212" t="n"/>
      <c r="GS77" s="212" t="n"/>
      <c r="GT77" s="212" t="n"/>
      <c r="GU77" s="212" t="n"/>
      <c r="GV77" s="212" t="n"/>
      <c r="GW77" s="212" t="n"/>
      <c r="GX77" s="212" t="n"/>
      <c r="GY77" s="212" t="n"/>
      <c r="GZ77" s="212" t="n"/>
      <c r="HA77" s="212" t="n"/>
      <c r="HB77" s="212" t="n"/>
      <c r="HC77" s="212" t="n"/>
      <c r="HD77" s="212" t="n"/>
      <c r="HE77" s="212" t="n"/>
      <c r="HF77" s="212" t="n"/>
      <c r="HG77" s="212" t="n"/>
      <c r="HH77" s="212" t="n"/>
      <c r="HI77" s="212" t="n"/>
      <c r="HJ77" s="212" t="n"/>
      <c r="HK77" s="212" t="n"/>
      <c r="HL77" s="212" t="n"/>
      <c r="HM77" s="212" t="n"/>
      <c r="HN77" s="212" t="n"/>
      <c r="HO77" s="212" t="n"/>
      <c r="HP77" s="212" t="n"/>
      <c r="HQ77" s="212" t="n"/>
      <c r="HR77" s="212" t="n"/>
      <c r="HS77" s="212" t="n"/>
      <c r="HT77" s="212" t="n"/>
      <c r="HU77" s="212" t="n"/>
      <c r="HV77" s="212" t="n"/>
      <c r="HW77" s="212" t="n"/>
      <c r="HX77" s="212" t="n"/>
      <c r="HY77" s="212" t="n"/>
      <c r="HZ77" s="212" t="n"/>
      <c r="IA77" s="212" t="n"/>
      <c r="IB77" s="212" t="n"/>
      <c r="IC77" s="212" t="n"/>
      <c r="ID77" s="212" t="n"/>
      <c r="IE77" s="212" t="n"/>
      <c r="IF77" s="212" t="n"/>
      <c r="IG77" s="212" t="n"/>
      <c r="IH77" s="212" t="n"/>
      <c r="II77" s="212" t="n"/>
      <c r="IJ77" s="212" t="n"/>
      <c r="IK77" s="212" t="n"/>
      <c r="IL77" s="212" t="n"/>
      <c r="IM77" s="212" t="n"/>
      <c r="IN77" s="212" t="n"/>
      <c r="IO77" s="212" t="n"/>
      <c r="IP77" s="212" t="n"/>
      <c r="IQ77" s="212" t="n"/>
      <c r="IR77" s="212" t="n"/>
      <c r="IS77" s="212" t="n"/>
      <c r="IT77" s="212" t="n"/>
      <c r="IU77" s="212" t="n"/>
      <c r="IV77" s="212" t="n"/>
      <c r="IW77" s="212" t="n"/>
      <c r="IX77" s="212" t="n"/>
      <c r="IY77" s="212" t="n"/>
      <c r="IZ77" s="212" t="n"/>
      <c r="JA77" s="212" t="n"/>
      <c r="JB77" s="212" t="n"/>
      <c r="JC77" s="212" t="n"/>
      <c r="JD77" s="212" t="n"/>
      <c r="JE77" s="212" t="n"/>
      <c r="JF77" s="212" t="n"/>
      <c r="JG77" s="212" t="n"/>
      <c r="JH77" s="212" t="n"/>
      <c r="JI77" s="212" t="n"/>
      <c r="JJ77" s="212" t="n"/>
      <c r="JK77" s="212" t="n"/>
      <c r="JL77" s="212" t="n"/>
      <c r="JM77" s="212" t="n"/>
      <c r="JN77" s="212" t="n"/>
      <c r="JO77" s="212" t="n"/>
      <c r="JP77" s="212" t="n"/>
      <c r="JQ77" s="212" t="n"/>
      <c r="JR77" s="212" t="n"/>
      <c r="JS77" s="212" t="n"/>
      <c r="JT77" s="212" t="n"/>
      <c r="JU77" s="212" t="n"/>
      <c r="JV77" s="212" t="n"/>
      <c r="JW77" s="212" t="n"/>
      <c r="JX77" s="212" t="n"/>
      <c r="JY77" s="212" t="n"/>
      <c r="JZ77" s="212" t="n"/>
      <c r="KA77" s="212" t="n"/>
      <c r="KB77" s="212" t="n"/>
      <c r="KC77" s="212" t="n"/>
      <c r="KD77" s="212" t="n"/>
      <c r="KE77" s="212" t="n"/>
      <c r="KF77" s="212" t="n"/>
      <c r="KG77" s="212" t="n"/>
      <c r="KH77" s="212" t="n"/>
      <c r="KI77" s="212" t="n"/>
      <c r="KJ77" s="212" t="n"/>
      <c r="KK77" s="212" t="n"/>
      <c r="KL77" s="212" t="n"/>
      <c r="KM77" s="212" t="n"/>
      <c r="KN77" s="212" t="n"/>
      <c r="KO77" s="212" t="n"/>
      <c r="KP77" s="212" t="n"/>
      <c r="KQ77" s="212" t="n"/>
      <c r="KR77" s="212" t="n"/>
      <c r="KS77" s="212" t="n"/>
      <c r="KT77" s="212" t="n"/>
      <c r="KU77" s="212" t="n"/>
      <c r="KV77" s="212" t="n"/>
      <c r="KW77" s="212" t="n"/>
      <c r="KX77" s="212" t="n"/>
      <c r="KY77" s="212" t="n"/>
      <c r="KZ77" s="212" t="n"/>
      <c r="LA77" s="212" t="n"/>
      <c r="LB77" s="212" t="n"/>
      <c r="LC77" s="212" t="n"/>
      <c r="LD77" s="212" t="n"/>
      <c r="LE77" s="212" t="n"/>
      <c r="LF77" s="212" t="n"/>
      <c r="LG77" s="212" t="n"/>
      <c r="LH77" s="212" t="n"/>
      <c r="LI77" s="212" t="n"/>
      <c r="LJ77" s="212" t="n"/>
      <c r="LK77" s="212" t="n"/>
      <c r="LL77" s="212" t="n"/>
      <c r="LM77" s="212" t="n"/>
      <c r="LN77" s="212" t="n"/>
      <c r="LO77" s="212" t="n"/>
      <c r="LP77" s="212" t="n"/>
      <c r="LQ77" s="212" t="n"/>
      <c r="LR77" s="212" t="n"/>
      <c r="LS77" s="212" t="n"/>
      <c r="LT77" s="212" t="n"/>
      <c r="LU77" s="212" t="n"/>
      <c r="LV77" s="212" t="n"/>
      <c r="LW77" s="212" t="n"/>
      <c r="LX77" s="212" t="n"/>
      <c r="LY77" s="212" t="n"/>
      <c r="LZ77" s="212" t="n"/>
      <c r="MA77" s="212" t="n"/>
      <c r="MB77" s="212" t="n"/>
      <c r="MC77" s="212" t="n"/>
      <c r="MD77" s="212" t="n"/>
      <c r="ME77" s="212" t="n"/>
      <c r="MF77" s="212" t="n"/>
      <c r="MG77" s="212" t="n"/>
      <c r="MH77" s="212" t="n"/>
      <c r="MI77" s="212" t="n"/>
      <c r="MJ77" s="212" t="n"/>
      <c r="MK77" s="212" t="n"/>
      <c r="ML77" s="212" t="n"/>
      <c r="MM77" s="212" t="n"/>
      <c r="MN77" s="212" t="n"/>
      <c r="MO77" s="212" t="n"/>
      <c r="MP77" s="212" t="n"/>
      <c r="MQ77" s="212" t="n"/>
      <c r="MR77" s="212" t="n"/>
      <c r="MS77" s="212" t="n"/>
      <c r="MT77" s="212" t="n"/>
      <c r="MU77" s="212" t="n"/>
      <c r="MV77" s="212" t="n"/>
      <c r="MW77" s="212" t="n"/>
      <c r="MX77" s="212" t="n"/>
      <c r="MY77" s="212" t="n"/>
      <c r="MZ77" s="212" t="n"/>
      <c r="NA77" s="212" t="n"/>
      <c r="NB77" s="212" t="n"/>
      <c r="NC77" s="212" t="n"/>
      <c r="ND77" s="212" t="n"/>
      <c r="NE77" s="212" t="n"/>
      <c r="NF77" s="212" t="n"/>
      <c r="NG77" s="212" t="n"/>
      <c r="NH77" s="212" t="n"/>
      <c r="NI77" s="212" t="n"/>
      <c r="NJ77" s="212" t="n"/>
      <c r="NK77" s="212" t="n"/>
      <c r="NL77" s="212" t="n"/>
      <c r="NM77" s="212" t="n"/>
      <c r="NN77" s="212" t="n"/>
      <c r="NO77" s="212" t="n"/>
      <c r="NP77" s="212" t="n"/>
      <c r="NQ77" s="212" t="n"/>
      <c r="NR77" s="212" t="n"/>
      <c r="NS77" s="212" t="n"/>
      <c r="NT77" s="212" t="n"/>
      <c r="NU77" s="212" t="n"/>
      <c r="NV77" s="212" t="n"/>
      <c r="NW77" s="212" t="n"/>
      <c r="NX77" s="212" t="n"/>
      <c r="NY77" s="212" t="n"/>
      <c r="NZ77" s="212" t="n"/>
      <c r="OA77" s="212" t="n"/>
      <c r="OB77" s="212" t="n"/>
      <c r="OC77" s="212" t="n"/>
      <c r="OD77" s="212" t="n"/>
      <c r="OE77" s="212" t="n"/>
      <c r="OF77" s="212" t="n"/>
      <c r="OG77" s="212" t="n"/>
      <c r="OH77" s="212" t="n"/>
      <c r="OI77" s="212" t="n"/>
      <c r="OJ77" s="212" t="n"/>
      <c r="OK77" s="212" t="n"/>
      <c r="OL77" s="212" t="n"/>
      <c r="OM77" s="212" t="n"/>
      <c r="ON77" s="212" t="n"/>
      <c r="OO77" s="212" t="n"/>
      <c r="OP77" s="212" t="n"/>
      <c r="OQ77" s="212" t="n"/>
      <c r="OR77" s="212" t="n"/>
      <c r="OS77" s="212" t="n"/>
      <c r="OT77" s="212" t="n"/>
      <c r="OU77" s="212" t="n"/>
      <c r="OV77" s="212" t="n"/>
      <c r="OW77" s="212" t="n"/>
      <c r="OX77" s="212" t="n"/>
      <c r="OY77" s="212" t="n"/>
      <c r="OZ77" s="212" t="n"/>
      <c r="PA77" s="212" t="n"/>
      <c r="PB77" s="212" t="n"/>
      <c r="PC77" s="212" t="n"/>
      <c r="PD77" s="212" t="n"/>
      <c r="PE77" s="212" t="n"/>
      <c r="PF77" s="212" t="n"/>
      <c r="PG77" s="212" t="n"/>
      <c r="PH77" s="212" t="n"/>
      <c r="PI77" s="212" t="n"/>
      <c r="PJ77" s="212" t="n"/>
      <c r="PK77" s="212" t="n"/>
      <c r="PL77" s="212" t="n"/>
      <c r="PM77" s="212" t="n"/>
      <c r="PN77" s="212" t="n"/>
      <c r="PO77" s="212" t="n"/>
      <c r="PP77" s="212" t="n"/>
      <c r="PQ77" s="212" t="n"/>
      <c r="PR77" s="212" t="n"/>
      <c r="PS77" s="212" t="n"/>
      <c r="PT77" s="212" t="n"/>
      <c r="PU77" s="212" t="n"/>
      <c r="PV77" s="212" t="n"/>
      <c r="PW77" s="212" t="n"/>
      <c r="PX77" s="212" t="n"/>
      <c r="PY77" s="212" t="n"/>
      <c r="PZ77" s="212" t="n"/>
      <c r="QA77" s="212" t="n"/>
      <c r="QB77" s="212" t="n"/>
      <c r="QC77" s="212" t="n"/>
      <c r="QD77" s="212" t="n"/>
      <c r="QE77" s="212" t="n"/>
      <c r="QF77" s="212" t="n"/>
      <c r="QG77" s="212" t="n"/>
      <c r="QH77" s="212" t="n"/>
      <c r="QI77" s="212" t="n"/>
      <c r="QJ77" s="212" t="n"/>
      <c r="QK77" s="212" t="n"/>
      <c r="QL77" s="212" t="n"/>
      <c r="QM77" s="212" t="n"/>
      <c r="QN77" s="212" t="n"/>
      <c r="QO77" s="212" t="n"/>
      <c r="QP77" s="212" t="n"/>
      <c r="QQ77" s="212" t="n"/>
      <c r="QR77" s="212" t="n"/>
      <c r="QS77" s="212" t="n"/>
      <c r="QT77" s="212" t="n"/>
      <c r="QU77" s="212" t="n"/>
      <c r="QV77" s="212" t="n"/>
      <c r="QW77" s="212" t="n"/>
      <c r="QX77" s="212" t="n"/>
      <c r="QY77" s="212" t="n"/>
      <c r="QZ77" s="212" t="n"/>
      <c r="RA77" s="212" t="n"/>
      <c r="RB77" s="212" t="n"/>
      <c r="RC77" s="212" t="n"/>
      <c r="RD77" s="212" t="n"/>
      <c r="RE77" s="212" t="n"/>
      <c r="RF77" s="212" t="n"/>
      <c r="RG77" s="212" t="n"/>
      <c r="RH77" s="212" t="n"/>
      <c r="RI77" s="212" t="n"/>
      <c r="RJ77" s="212" t="n"/>
      <c r="RK77" s="212" t="n"/>
      <c r="RL77" s="212" t="n"/>
      <c r="RM77" s="212" t="n"/>
      <c r="RN77" s="212" t="n"/>
      <c r="RO77" s="212" t="n"/>
      <c r="RP77" s="212" t="n"/>
      <c r="RQ77" s="212" t="n"/>
      <c r="RR77" s="212" t="n"/>
      <c r="RS77" s="212" t="n"/>
      <c r="RT77" s="212" t="n"/>
      <c r="RU77" s="212" t="n"/>
      <c r="RV77" s="212" t="n"/>
      <c r="RW77" s="212" t="n"/>
      <c r="RX77" s="212" t="n"/>
      <c r="RY77" s="212" t="n"/>
      <c r="RZ77" s="212" t="n"/>
      <c r="SA77" s="212" t="n"/>
      <c r="SB77" s="212" t="n"/>
      <c r="SC77" s="212" t="n"/>
      <c r="SD77" s="212" t="n"/>
      <c r="SE77" s="212" t="n"/>
      <c r="SF77" s="212" t="n"/>
      <c r="SG77" s="212" t="n"/>
      <c r="SH77" s="212" t="n"/>
      <c r="SI77" s="212" t="n"/>
      <c r="SJ77" s="212" t="n"/>
      <c r="SK77" s="212" t="n"/>
      <c r="SL77" s="212" t="n"/>
      <c r="SM77" s="212" t="n"/>
      <c r="SN77" s="212" t="n"/>
      <c r="SO77" s="212" t="n"/>
      <c r="SP77" s="212" t="n"/>
      <c r="SQ77" s="212" t="n"/>
      <c r="SR77" s="212" t="n"/>
      <c r="SS77" s="212" t="n"/>
      <c r="ST77" s="212" t="n"/>
      <c r="SU77" s="212" t="n"/>
      <c r="SV77" s="212" t="n"/>
    </row>
    <row r="78">
      <c r="B78" s="209" t="inlineStr">
        <is>
          <t>N/A</t>
        </is>
      </c>
      <c r="C78" s="209" t="inlineStr">
        <is>
          <t>LGC Rail</t>
        </is>
      </c>
      <c r="D78" s="209" t="inlineStr">
        <is>
          <t>Brodie</t>
        </is>
      </c>
      <c r="E78" s="209" t="inlineStr">
        <is>
          <t>Wilkinson</t>
        </is>
      </c>
      <c r="F78" s="209">
        <f>IF(TRIM(D78&amp;E78)="","",TRIM(D78)&amp;" "&amp;TRIM(E78))</f>
        <v/>
      </c>
      <c r="G78" s="209" t="inlineStr">
        <is>
          <t>Perth</t>
        </is>
      </c>
      <c r="H78" s="209" t="inlineStr">
        <is>
          <t>Operator - Truck/Forklift Driver</t>
        </is>
      </c>
      <c r="I78" s="209" t="inlineStr">
        <is>
          <t>YES</t>
        </is>
      </c>
      <c r="J78" s="209" t="inlineStr">
        <is>
          <t>YES</t>
        </is>
      </c>
      <c r="K78" s="209" t="inlineStr">
        <is>
          <t>YES</t>
        </is>
      </c>
      <c r="L78" s="209" t="inlineStr">
        <is>
          <t>YES</t>
        </is>
      </c>
      <c r="M78" s="209" t="inlineStr">
        <is>
          <t>Quals Complete</t>
        </is>
      </c>
      <c r="N78" s="209" t="inlineStr">
        <is>
          <t>brodiewilkinson1606@gmail.com</t>
        </is>
      </c>
      <c r="O78" s="209" t="inlineStr">
        <is>
          <t>0417 486 786</t>
        </is>
      </c>
      <c r="P78" s="209" t="n">
        <v>782020</v>
      </c>
      <c r="Q78" s="209" t="n">
        <v>408953</v>
      </c>
      <c r="R78" s="209" t="inlineStr">
        <is>
          <t>ADHOC</t>
        </is>
      </c>
      <c r="S78" s="210" t="inlineStr">
        <is>
          <t>N/A</t>
        </is>
      </c>
      <c r="T78" s="210" t="inlineStr">
        <is>
          <t>N/A</t>
        </is>
      </c>
      <c r="U78" s="210" t="inlineStr">
        <is>
          <t>N/A</t>
        </is>
      </c>
      <c r="V78" s="210" t="inlineStr">
        <is>
          <t>N/A</t>
        </is>
      </c>
      <c r="W78" s="210" t="inlineStr">
        <is>
          <t>N/A</t>
        </is>
      </c>
      <c r="X78" s="210" t="inlineStr">
        <is>
          <t>N/A</t>
        </is>
      </c>
      <c r="Y78" s="210" t="inlineStr">
        <is>
          <t>N/A</t>
        </is>
      </c>
      <c r="Z78" s="210" t="inlineStr">
        <is>
          <t>N/A</t>
        </is>
      </c>
      <c r="AA78" s="210" t="inlineStr">
        <is>
          <t>N/A</t>
        </is>
      </c>
      <c r="AB78" s="210" t="inlineStr">
        <is>
          <t>N/A</t>
        </is>
      </c>
      <c r="AC78" s="210" t="inlineStr">
        <is>
          <t>N/A</t>
        </is>
      </c>
      <c r="AD78" s="211" t="inlineStr">
        <is>
          <t>PER/PHE AM
LND</t>
        </is>
      </c>
      <c r="AE78" s="211" t="inlineStr">
        <is>
          <t>LND</t>
        </is>
      </c>
      <c r="AF78" s="211" t="inlineStr">
        <is>
          <t>LND</t>
        </is>
      </c>
      <c r="AG78" s="211" t="inlineStr">
        <is>
          <t>LND</t>
        </is>
      </c>
      <c r="AH78" s="211" t="inlineStr">
        <is>
          <t>LND</t>
        </is>
      </c>
      <c r="AI78" s="211" t="inlineStr">
        <is>
          <t>LND</t>
        </is>
      </c>
      <c r="AJ78" s="211" t="inlineStr">
        <is>
          <t>LND</t>
        </is>
      </c>
      <c r="AK78" s="211" t="inlineStr">
        <is>
          <t>PHE/PER PM</t>
        </is>
      </c>
      <c r="AL78" s="214" t="inlineStr">
        <is>
          <t>RnR</t>
        </is>
      </c>
      <c r="AM78" s="214" t="inlineStr">
        <is>
          <t>RnR</t>
        </is>
      </c>
      <c r="AN78" s="214" t="inlineStr">
        <is>
          <t>RnR</t>
        </is>
      </c>
      <c r="AO78" s="214" t="inlineStr">
        <is>
          <t>RnR</t>
        </is>
      </c>
      <c r="AP78" s="214" t="inlineStr">
        <is>
          <t>RnR</t>
        </is>
      </c>
      <c r="AQ78" s="214" t="inlineStr">
        <is>
          <t>RnR</t>
        </is>
      </c>
      <c r="AR78" s="218" t="inlineStr">
        <is>
          <t>Demobilised 15/09</t>
        </is>
      </c>
      <c r="AS78" s="212" t="n"/>
      <c r="AT78" s="212" t="n"/>
      <c r="AU78" s="212" t="n"/>
      <c r="AV78" s="212" t="n"/>
      <c r="AW78" s="212" t="n"/>
      <c r="AX78" s="212" t="n"/>
      <c r="AY78" s="212" t="n"/>
      <c r="AZ78" s="212" t="n"/>
      <c r="BA78" s="212" t="n"/>
      <c r="BB78" s="212" t="n"/>
      <c r="BC78" s="212" t="n"/>
      <c r="BD78" s="212" t="n"/>
      <c r="BE78" s="212" t="n"/>
      <c r="BF78" s="212" t="n"/>
      <c r="BG78" s="210" t="inlineStr">
        <is>
          <t>N/A</t>
        </is>
      </c>
      <c r="BH78" s="210" t="inlineStr">
        <is>
          <t>N/A</t>
        </is>
      </c>
      <c r="BI78" s="210" t="inlineStr">
        <is>
          <t>N/A</t>
        </is>
      </c>
      <c r="BJ78" s="210" t="inlineStr">
        <is>
          <t>N/A</t>
        </is>
      </c>
      <c r="BK78" s="210" t="inlineStr">
        <is>
          <t>N/A</t>
        </is>
      </c>
      <c r="BL78" s="210" t="inlineStr">
        <is>
          <t>N/A</t>
        </is>
      </c>
      <c r="BM78" s="210" t="inlineStr">
        <is>
          <t>N/A</t>
        </is>
      </c>
      <c r="BN78" s="210" t="inlineStr">
        <is>
          <t>N/A</t>
        </is>
      </c>
      <c r="BO78" s="210" t="inlineStr">
        <is>
          <t>N/A</t>
        </is>
      </c>
      <c r="BP78" s="210" t="inlineStr">
        <is>
          <t>N/A</t>
        </is>
      </c>
      <c r="BQ78" s="210" t="inlineStr">
        <is>
          <t>N/A</t>
        </is>
      </c>
      <c r="BR78" s="210" t="inlineStr">
        <is>
          <t>N/A</t>
        </is>
      </c>
      <c r="BS78" s="210" t="inlineStr">
        <is>
          <t>N/A</t>
        </is>
      </c>
      <c r="BT78" s="210" t="inlineStr">
        <is>
          <t>N/A</t>
        </is>
      </c>
      <c r="BU78" s="210" t="inlineStr">
        <is>
          <t>N/A</t>
        </is>
      </c>
      <c r="BV78" s="210" t="inlineStr">
        <is>
          <t>N/A</t>
        </is>
      </c>
      <c r="BW78" s="210" t="inlineStr">
        <is>
          <t>N/A</t>
        </is>
      </c>
      <c r="BX78" s="210" t="inlineStr">
        <is>
          <t>N/A</t>
        </is>
      </c>
      <c r="BY78" s="210" t="inlineStr">
        <is>
          <t>N/A</t>
        </is>
      </c>
      <c r="BZ78" s="210" t="inlineStr">
        <is>
          <t>N/A</t>
        </is>
      </c>
      <c r="CA78" s="210" t="inlineStr">
        <is>
          <t>N/A</t>
        </is>
      </c>
      <c r="CB78" s="210" t="inlineStr">
        <is>
          <t>N/A</t>
        </is>
      </c>
      <c r="CC78" s="210" t="inlineStr">
        <is>
          <t>N/A</t>
        </is>
      </c>
      <c r="CD78" s="210" t="inlineStr">
        <is>
          <t>N/A</t>
        </is>
      </c>
      <c r="CE78" s="210" t="inlineStr">
        <is>
          <t>N/A</t>
        </is>
      </c>
      <c r="CF78" s="210" t="inlineStr">
        <is>
          <t>N/A</t>
        </is>
      </c>
      <c r="CG78" s="210" t="inlineStr">
        <is>
          <t>N/A</t>
        </is>
      </c>
      <c r="CH78" s="210" t="inlineStr">
        <is>
          <t>N/A</t>
        </is>
      </c>
      <c r="CI78" s="210" t="inlineStr">
        <is>
          <t>N/A</t>
        </is>
      </c>
      <c r="CJ78" s="210" t="inlineStr">
        <is>
          <t>N/A</t>
        </is>
      </c>
      <c r="CK78" s="210" t="inlineStr">
        <is>
          <t>N/A</t>
        </is>
      </c>
      <c r="CL78" s="210" t="inlineStr">
        <is>
          <t>N/A</t>
        </is>
      </c>
      <c r="CM78" s="210" t="inlineStr">
        <is>
          <t>N/A</t>
        </is>
      </c>
      <c r="CN78" s="210" t="inlineStr">
        <is>
          <t>N/A</t>
        </is>
      </c>
      <c r="CO78" s="210" t="inlineStr">
        <is>
          <t>N/A</t>
        </is>
      </c>
      <c r="CP78" s="210" t="inlineStr">
        <is>
          <t>N/A</t>
        </is>
      </c>
      <c r="CQ78" s="210" t="inlineStr">
        <is>
          <t>N/A</t>
        </is>
      </c>
      <c r="CR78" s="210" t="inlineStr">
        <is>
          <t>N/A</t>
        </is>
      </c>
      <c r="CS78" s="210" t="inlineStr">
        <is>
          <t>N/A</t>
        </is>
      </c>
      <c r="CT78" s="210" t="inlineStr">
        <is>
          <t>N/A</t>
        </is>
      </c>
      <c r="CU78" s="210" t="inlineStr">
        <is>
          <t>N/A</t>
        </is>
      </c>
      <c r="CV78" s="210" t="inlineStr">
        <is>
          <t>N/A</t>
        </is>
      </c>
      <c r="CW78" s="210" t="inlineStr">
        <is>
          <t>N/A</t>
        </is>
      </c>
      <c r="CX78" s="210" t="inlineStr">
        <is>
          <t>N/A</t>
        </is>
      </c>
      <c r="CY78" s="210" t="inlineStr">
        <is>
          <t>N/A</t>
        </is>
      </c>
      <c r="CZ78" s="210" t="inlineStr">
        <is>
          <t>N/A</t>
        </is>
      </c>
      <c r="DA78" s="210" t="inlineStr">
        <is>
          <t>N/A</t>
        </is>
      </c>
      <c r="DB78" s="210" t="inlineStr">
        <is>
          <t>N/A</t>
        </is>
      </c>
      <c r="DC78" s="210" t="inlineStr">
        <is>
          <t>N/A</t>
        </is>
      </c>
      <c r="DD78" s="210" t="inlineStr">
        <is>
          <t>N/A</t>
        </is>
      </c>
      <c r="DE78" s="210" t="inlineStr">
        <is>
          <t>N/A</t>
        </is>
      </c>
      <c r="DF78" s="210" t="inlineStr">
        <is>
          <t>N/A</t>
        </is>
      </c>
      <c r="DG78" s="210" t="inlineStr">
        <is>
          <t>N/A</t>
        </is>
      </c>
      <c r="DH78" s="210" t="inlineStr">
        <is>
          <t>N/A</t>
        </is>
      </c>
      <c r="DI78" s="210" t="inlineStr">
        <is>
          <t>N/A</t>
        </is>
      </c>
      <c r="DJ78" s="210" t="inlineStr">
        <is>
          <t>N/A</t>
        </is>
      </c>
      <c r="DK78" s="210" t="inlineStr">
        <is>
          <t>N/A</t>
        </is>
      </c>
      <c r="DL78" s="210" t="inlineStr">
        <is>
          <t>N/A</t>
        </is>
      </c>
      <c r="DM78" s="210" t="inlineStr">
        <is>
          <t>N/A</t>
        </is>
      </c>
      <c r="DN78" s="210" t="inlineStr">
        <is>
          <t>N/A</t>
        </is>
      </c>
      <c r="DO78" s="210" t="inlineStr">
        <is>
          <t>N/A</t>
        </is>
      </c>
      <c r="DP78" s="210" t="inlineStr">
        <is>
          <t>N/A</t>
        </is>
      </c>
      <c r="DQ78" s="210" t="inlineStr">
        <is>
          <t>N/A</t>
        </is>
      </c>
      <c r="DR78" s="210" t="inlineStr">
        <is>
          <t>N/A</t>
        </is>
      </c>
      <c r="DS78" s="212" t="n"/>
      <c r="DT78" s="212" t="n"/>
      <c r="DU78" s="212" t="n"/>
      <c r="DV78" s="212" t="n"/>
      <c r="DW78" s="212" t="n"/>
      <c r="DX78" s="212" t="n"/>
      <c r="DY78" s="212" t="n"/>
      <c r="DZ78" s="212" t="n"/>
      <c r="EA78" s="212" t="n"/>
      <c r="EB78" s="212" t="n"/>
      <c r="EC78" s="212" t="n"/>
      <c r="ED78" s="212" t="n"/>
      <c r="EE78" s="212" t="n"/>
      <c r="EF78" s="212" t="n"/>
      <c r="EG78" s="212" t="n"/>
      <c r="EH78" s="212" t="n"/>
      <c r="EI78" s="212" t="n"/>
      <c r="EJ78" s="212" t="n"/>
      <c r="EK78" s="212" t="n"/>
      <c r="EL78" s="212" t="n"/>
      <c r="EM78" s="212" t="n"/>
      <c r="EN78" s="212" t="n"/>
      <c r="EO78" s="212" t="n"/>
      <c r="EP78" s="212" t="n"/>
      <c r="EQ78" s="212" t="n"/>
      <c r="ER78" s="212" t="n"/>
      <c r="ES78" s="212" t="n"/>
      <c r="ET78" s="212" t="n"/>
      <c r="EU78" s="212" t="n"/>
      <c r="EV78" s="212" t="n"/>
      <c r="EW78" s="212" t="n"/>
      <c r="EX78" s="212" t="n"/>
      <c r="EY78" s="212" t="n"/>
      <c r="EZ78" s="212" t="n"/>
      <c r="FA78" s="212" t="n"/>
      <c r="FB78" s="212" t="n"/>
      <c r="FC78" s="212" t="n"/>
      <c r="FD78" s="212" t="n"/>
      <c r="FE78" s="212" t="n"/>
      <c r="FF78" s="212" t="n"/>
      <c r="FG78" s="212" t="n"/>
      <c r="FH78" s="212" t="n"/>
      <c r="FI78" s="212" t="n"/>
      <c r="FJ78" s="212" t="n"/>
      <c r="FK78" s="212" t="n"/>
      <c r="FL78" s="212" t="n"/>
      <c r="FM78" s="212" t="n"/>
      <c r="FN78" s="212" t="n"/>
      <c r="FO78" s="212" t="n"/>
      <c r="FP78" s="212" t="n"/>
      <c r="FQ78" s="212" t="n"/>
      <c r="FR78" s="212" t="n"/>
      <c r="FS78" s="212" t="n"/>
      <c r="FT78" s="212" t="n"/>
      <c r="FU78" s="212" t="n"/>
      <c r="FV78" s="212" t="n"/>
      <c r="FW78" s="212" t="n"/>
      <c r="FX78" s="212" t="n"/>
      <c r="FY78" s="212" t="n"/>
      <c r="FZ78" s="212" t="n"/>
      <c r="GA78" s="212" t="n"/>
      <c r="GB78" s="212" t="n"/>
      <c r="GC78" s="212" t="n"/>
      <c r="GD78" s="212" t="n"/>
      <c r="GE78" s="212" t="n"/>
      <c r="GF78" s="212" t="n"/>
      <c r="GG78" s="212" t="n"/>
      <c r="GH78" s="212" t="n"/>
      <c r="GI78" s="212" t="n"/>
      <c r="GJ78" s="212" t="n"/>
      <c r="GK78" s="212" t="n"/>
      <c r="GL78" s="212" t="n"/>
      <c r="GM78" s="212" t="n"/>
      <c r="GN78" s="212" t="n"/>
      <c r="GO78" s="212" t="n"/>
      <c r="GP78" s="212" t="n"/>
      <c r="GQ78" s="212" t="n"/>
      <c r="GR78" s="212" t="n"/>
      <c r="GS78" s="212" t="n"/>
      <c r="GT78" s="212" t="n"/>
      <c r="GU78" s="212" t="n"/>
      <c r="GV78" s="212" t="n"/>
      <c r="GW78" s="212" t="n"/>
      <c r="GX78" s="212" t="n"/>
      <c r="GY78" s="212" t="n"/>
      <c r="GZ78" s="212" t="n"/>
      <c r="HA78" s="212" t="n"/>
      <c r="HB78" s="212" t="n"/>
      <c r="HC78" s="212" t="n"/>
      <c r="HD78" s="212" t="n"/>
      <c r="HE78" s="212" t="n"/>
      <c r="HF78" s="212" t="n"/>
      <c r="HG78" s="212" t="n"/>
      <c r="HH78" s="212" t="n"/>
      <c r="HI78" s="212" t="n"/>
      <c r="HJ78" s="212" t="n"/>
      <c r="HK78" s="212" t="n"/>
      <c r="HL78" s="212" t="n"/>
      <c r="HM78" s="212" t="n"/>
      <c r="HN78" s="212" t="n"/>
      <c r="HO78" s="212" t="n"/>
      <c r="HP78" s="212" t="n"/>
      <c r="HQ78" s="212" t="n"/>
      <c r="HR78" s="212" t="n"/>
      <c r="HS78" s="212" t="n"/>
      <c r="HT78" s="212" t="n"/>
      <c r="HU78" s="212" t="n"/>
      <c r="HV78" s="212" t="n"/>
      <c r="HW78" s="212" t="n"/>
      <c r="HX78" s="212" t="n"/>
      <c r="HY78" s="212" t="n"/>
      <c r="HZ78" s="212" t="n"/>
      <c r="IA78" s="212" t="n"/>
      <c r="IB78" s="212" t="n"/>
      <c r="IC78" s="212" t="n"/>
      <c r="ID78" s="212" t="n"/>
      <c r="IE78" s="212" t="n"/>
      <c r="IF78" s="212" t="n"/>
      <c r="IG78" s="212" t="n"/>
      <c r="IH78" s="212" t="n"/>
      <c r="II78" s="212" t="n"/>
      <c r="IJ78" s="212" t="n"/>
      <c r="IK78" s="212" t="n"/>
      <c r="IL78" s="212" t="n"/>
      <c r="IM78" s="212" t="n"/>
      <c r="IN78" s="212" t="n"/>
      <c r="IO78" s="212" t="n"/>
      <c r="IP78" s="212" t="n"/>
      <c r="IQ78" s="212" t="n"/>
      <c r="IR78" s="212" t="n"/>
      <c r="IS78" s="212" t="n"/>
      <c r="IT78" s="212" t="n"/>
      <c r="IU78" s="212" t="n"/>
      <c r="IV78" s="212" t="n"/>
      <c r="IW78" s="212" t="n"/>
      <c r="IX78" s="212" t="n"/>
      <c r="IY78" s="212" t="n"/>
      <c r="IZ78" s="212" t="n"/>
      <c r="JA78" s="212" t="n"/>
      <c r="JB78" s="212" t="n"/>
      <c r="JC78" s="212" t="n"/>
      <c r="JD78" s="212" t="n"/>
      <c r="JE78" s="212" t="n"/>
      <c r="JF78" s="212" t="n"/>
      <c r="JG78" s="212" t="n"/>
      <c r="JH78" s="212" t="n"/>
      <c r="JI78" s="212" t="n"/>
      <c r="JJ78" s="212" t="n"/>
      <c r="JK78" s="212" t="n"/>
      <c r="JL78" s="212" t="n"/>
      <c r="JM78" s="212" t="n"/>
      <c r="JN78" s="212" t="n"/>
      <c r="JO78" s="212" t="n"/>
      <c r="JP78" s="212" t="n"/>
      <c r="JQ78" s="212" t="n"/>
      <c r="JR78" s="212" t="n"/>
      <c r="JS78" s="212" t="n"/>
      <c r="JT78" s="212" t="n"/>
      <c r="JU78" s="212" t="n"/>
      <c r="JV78" s="212" t="n"/>
      <c r="JW78" s="212" t="n"/>
      <c r="JX78" s="212" t="n"/>
      <c r="JY78" s="212" t="n"/>
      <c r="JZ78" s="212" t="n"/>
      <c r="KA78" s="212" t="n"/>
      <c r="KB78" s="212" t="n"/>
      <c r="KC78" s="212" t="n"/>
      <c r="KD78" s="212" t="n"/>
      <c r="KE78" s="212" t="n"/>
      <c r="KF78" s="212" t="n"/>
      <c r="KG78" s="212" t="n"/>
      <c r="KH78" s="212" t="n"/>
      <c r="KI78" s="212" t="n"/>
      <c r="KJ78" s="212" t="n"/>
      <c r="KK78" s="212" t="n"/>
      <c r="KL78" s="212" t="n"/>
      <c r="KM78" s="212" t="n"/>
      <c r="KN78" s="212" t="n"/>
      <c r="KO78" s="212" t="n"/>
      <c r="KP78" s="212" t="n"/>
      <c r="KQ78" s="212" t="n"/>
      <c r="KR78" s="212" t="n"/>
      <c r="KS78" s="212" t="n"/>
      <c r="KT78" s="212" t="n"/>
      <c r="KU78" s="212" t="n"/>
      <c r="KV78" s="212" t="n"/>
      <c r="KW78" s="212" t="n"/>
      <c r="KX78" s="212" t="n"/>
      <c r="KY78" s="212" t="n"/>
      <c r="KZ78" s="212" t="n"/>
      <c r="LA78" s="212" t="n"/>
      <c r="LB78" s="212" t="n"/>
      <c r="LC78" s="212" t="n"/>
      <c r="LD78" s="212" t="n"/>
      <c r="LE78" s="212" t="n"/>
      <c r="LF78" s="212" t="n"/>
      <c r="LG78" s="212" t="n"/>
      <c r="LH78" s="212" t="n"/>
      <c r="LI78" s="212" t="n"/>
      <c r="LJ78" s="212" t="n"/>
      <c r="LK78" s="212" t="n"/>
      <c r="LL78" s="212" t="n"/>
      <c r="LM78" s="212" t="n"/>
      <c r="LN78" s="212" t="n"/>
      <c r="LO78" s="212" t="n"/>
      <c r="LP78" s="212" t="n"/>
      <c r="LQ78" s="212" t="n"/>
      <c r="LR78" s="212" t="n"/>
      <c r="LS78" s="212" t="n"/>
      <c r="LT78" s="212" t="n"/>
      <c r="LU78" s="212" t="n"/>
      <c r="LV78" s="212" t="n"/>
      <c r="LW78" s="212" t="n"/>
      <c r="LX78" s="212" t="n"/>
      <c r="LY78" s="212" t="n"/>
      <c r="LZ78" s="212" t="n"/>
      <c r="MA78" s="212" t="n"/>
      <c r="MB78" s="212" t="n"/>
      <c r="MC78" s="212" t="n"/>
      <c r="MD78" s="212" t="n"/>
      <c r="ME78" s="212" t="n"/>
      <c r="MF78" s="212" t="n"/>
      <c r="MG78" s="212" t="n"/>
      <c r="MH78" s="212" t="n"/>
      <c r="MI78" s="212" t="n"/>
      <c r="MJ78" s="212" t="n"/>
      <c r="MK78" s="212" t="n"/>
      <c r="ML78" s="212" t="n"/>
      <c r="MM78" s="212" t="n"/>
      <c r="MN78" s="212" t="n"/>
      <c r="MO78" s="212" t="n"/>
      <c r="MP78" s="212" t="n"/>
      <c r="MQ78" s="212" t="n"/>
      <c r="MR78" s="212" t="n"/>
      <c r="MS78" s="212" t="n"/>
      <c r="MT78" s="212" t="n"/>
      <c r="MU78" s="212" t="n"/>
      <c r="MV78" s="212" t="n"/>
      <c r="MW78" s="212" t="n"/>
      <c r="MX78" s="212" t="n"/>
      <c r="MY78" s="212" t="n"/>
      <c r="MZ78" s="212" t="n"/>
      <c r="NA78" s="212" t="n"/>
      <c r="NB78" s="212" t="n"/>
      <c r="NC78" s="212" t="n"/>
      <c r="ND78" s="212" t="n"/>
      <c r="NE78" s="212" t="n"/>
      <c r="NF78" s="212" t="n"/>
      <c r="NG78" s="212" t="n"/>
      <c r="NH78" s="212" t="n"/>
      <c r="NI78" s="212" t="n"/>
      <c r="NJ78" s="212" t="n"/>
      <c r="NK78" s="212" t="n"/>
      <c r="NL78" s="212" t="n"/>
      <c r="NM78" s="212" t="n"/>
      <c r="NN78" s="212" t="n"/>
      <c r="NO78" s="212" t="n"/>
      <c r="NP78" s="212" t="n"/>
      <c r="NQ78" s="212" t="n"/>
      <c r="NR78" s="212" t="n"/>
      <c r="NS78" s="212" t="n"/>
      <c r="NT78" s="212" t="n"/>
      <c r="NU78" s="212" t="n"/>
      <c r="NV78" s="212" t="n"/>
      <c r="NW78" s="212" t="n"/>
      <c r="NX78" s="212" t="n"/>
      <c r="NY78" s="212" t="n"/>
      <c r="NZ78" s="212" t="n"/>
      <c r="OA78" s="212" t="n"/>
      <c r="OB78" s="212" t="n"/>
      <c r="OC78" s="212" t="n"/>
      <c r="OD78" s="212" t="n"/>
      <c r="OE78" s="212" t="n"/>
      <c r="OF78" s="212" t="n"/>
      <c r="OG78" s="212" t="n"/>
      <c r="OH78" s="212" t="n"/>
      <c r="OI78" s="212" t="n"/>
      <c r="OJ78" s="212" t="n"/>
      <c r="OK78" s="212" t="n"/>
      <c r="OL78" s="212" t="n"/>
      <c r="OM78" s="212" t="n"/>
      <c r="ON78" s="212" t="n"/>
      <c r="OO78" s="212" t="n"/>
      <c r="OP78" s="212" t="n"/>
      <c r="OQ78" s="212" t="n"/>
      <c r="OR78" s="212" t="n"/>
      <c r="OS78" s="212" t="n"/>
      <c r="OT78" s="212" t="n"/>
      <c r="OU78" s="212" t="n"/>
      <c r="OV78" s="212" t="n"/>
      <c r="OW78" s="212" t="n"/>
      <c r="OX78" s="212" t="n"/>
      <c r="OY78" s="212" t="n"/>
      <c r="OZ78" s="212" t="n"/>
      <c r="PA78" s="212" t="n"/>
      <c r="PB78" s="212" t="n"/>
      <c r="PC78" s="212" t="n"/>
      <c r="PD78" s="212" t="n"/>
      <c r="PE78" s="212" t="n"/>
      <c r="PF78" s="212" t="n"/>
      <c r="PG78" s="212" t="n"/>
      <c r="PH78" s="212" t="n"/>
      <c r="PI78" s="212" t="n"/>
      <c r="PJ78" s="212" t="n"/>
      <c r="PK78" s="212" t="n"/>
      <c r="PL78" s="212" t="n"/>
      <c r="PM78" s="212" t="n"/>
      <c r="PN78" s="212" t="n"/>
      <c r="PO78" s="212" t="n"/>
      <c r="PP78" s="212" t="n"/>
      <c r="PQ78" s="212" t="n"/>
      <c r="PR78" s="212" t="n"/>
      <c r="PS78" s="212" t="n"/>
      <c r="PT78" s="212" t="n"/>
      <c r="PU78" s="212" t="n"/>
      <c r="PV78" s="212" t="n"/>
      <c r="PW78" s="212" t="n"/>
      <c r="PX78" s="212" t="n"/>
      <c r="PY78" s="212" t="n"/>
      <c r="PZ78" s="212" t="n"/>
      <c r="QA78" s="212" t="n"/>
      <c r="QB78" s="212" t="n"/>
      <c r="QC78" s="212" t="n"/>
      <c r="QD78" s="212" t="n"/>
      <c r="QE78" s="212" t="n"/>
      <c r="QF78" s="212" t="n"/>
      <c r="QG78" s="212" t="n"/>
      <c r="QH78" s="212" t="n"/>
      <c r="QI78" s="212" t="n"/>
      <c r="QJ78" s="212" t="n"/>
      <c r="QK78" s="212" t="n"/>
      <c r="QL78" s="212" t="n"/>
      <c r="QM78" s="212" t="n"/>
      <c r="QN78" s="212" t="n"/>
      <c r="QO78" s="212" t="n"/>
      <c r="QP78" s="212" t="n"/>
      <c r="QQ78" s="212" t="n"/>
      <c r="QR78" s="212" t="n"/>
      <c r="QS78" s="212" t="n"/>
      <c r="QT78" s="212" t="n"/>
      <c r="QU78" s="212" t="n"/>
      <c r="QV78" s="212" t="n"/>
      <c r="QW78" s="212" t="n"/>
      <c r="QX78" s="212" t="n"/>
      <c r="QY78" s="212" t="n"/>
      <c r="QZ78" s="212" t="n"/>
      <c r="RA78" s="212" t="n"/>
      <c r="RB78" s="212" t="n"/>
      <c r="RC78" s="212" t="n"/>
      <c r="RD78" s="212" t="n"/>
      <c r="RE78" s="212" t="n"/>
      <c r="RF78" s="212" t="n"/>
      <c r="RG78" s="212" t="n"/>
      <c r="RH78" s="212" t="n"/>
      <c r="RI78" s="212" t="n"/>
      <c r="RJ78" s="212" t="n"/>
      <c r="RK78" s="212" t="n"/>
      <c r="RL78" s="212" t="n"/>
      <c r="RM78" s="212" t="n"/>
      <c r="RN78" s="212" t="n"/>
      <c r="RO78" s="212" t="n"/>
      <c r="RP78" s="212" t="n"/>
      <c r="RQ78" s="212" t="n"/>
      <c r="RR78" s="212" t="n"/>
      <c r="RS78" s="212" t="n"/>
      <c r="RT78" s="212" t="n"/>
      <c r="RU78" s="212" t="n"/>
      <c r="RV78" s="212" t="n"/>
      <c r="RW78" s="212" t="n"/>
      <c r="RX78" s="212" t="n"/>
      <c r="RY78" s="212" t="n"/>
      <c r="RZ78" s="212" t="n"/>
      <c r="SA78" s="212" t="n"/>
      <c r="SB78" s="212" t="n"/>
      <c r="SC78" s="212" t="n"/>
      <c r="SD78" s="212" t="n"/>
      <c r="SE78" s="212" t="n"/>
      <c r="SF78" s="212" t="n"/>
      <c r="SG78" s="212" t="n"/>
      <c r="SH78" s="212" t="n"/>
      <c r="SI78" s="212" t="n"/>
      <c r="SJ78" s="212" t="n"/>
      <c r="SK78" s="212" t="n"/>
      <c r="SL78" s="212" t="n"/>
      <c r="SM78" s="212" t="n"/>
      <c r="SN78" s="212" t="n"/>
      <c r="SO78" s="212" t="n"/>
      <c r="SP78" s="212" t="n"/>
      <c r="SQ78" s="212" t="n"/>
      <c r="SR78" s="212" t="n"/>
      <c r="SS78" s="212" t="n"/>
      <c r="ST78" s="212" t="n"/>
      <c r="SU78" s="212" t="n"/>
      <c r="SV78" s="212" t="n"/>
    </row>
    <row r="79">
      <c r="B79" s="209" t="inlineStr">
        <is>
          <t>N/A</t>
        </is>
      </c>
      <c r="C79" s="209" t="inlineStr">
        <is>
          <t>LGC Rail</t>
        </is>
      </c>
      <c r="D79" s="209" t="inlineStr">
        <is>
          <t>Michael</t>
        </is>
      </c>
      <c r="E79" s="209" t="inlineStr">
        <is>
          <t>Duffy</t>
        </is>
      </c>
      <c r="F79" s="209">
        <f>IF(TRIM(D79&amp;E79)="","",TRIM(D79)&amp;" "&amp;TRIM(E79))</f>
        <v/>
      </c>
      <c r="G79" s="209" t="inlineStr">
        <is>
          <t>Perth</t>
        </is>
      </c>
      <c r="H79" s="209" t="inlineStr">
        <is>
          <t>Operator - Excavator</t>
        </is>
      </c>
      <c r="I79" s="209" t="inlineStr">
        <is>
          <t>YES</t>
        </is>
      </c>
      <c r="J79" s="209" t="inlineStr">
        <is>
          <t>YES</t>
        </is>
      </c>
      <c r="K79" s="209" t="inlineStr">
        <is>
          <t>YES</t>
        </is>
      </c>
      <c r="L79" s="209" t="inlineStr">
        <is>
          <t>YES</t>
        </is>
      </c>
      <c r="M79" s="209" t="inlineStr">
        <is>
          <t>Quals Complete</t>
        </is>
      </c>
      <c r="N79" s="209" t="inlineStr">
        <is>
          <t>Michaelduffy32@gmail.com</t>
        </is>
      </c>
      <c r="O79" s="209" t="inlineStr">
        <is>
          <t>0477 850 027</t>
        </is>
      </c>
      <c r="P79" s="209" t="n">
        <v>835223</v>
      </c>
      <c r="Q79" s="209" t="n">
        <v>447250</v>
      </c>
      <c r="R79" s="209" t="inlineStr">
        <is>
          <t>ADHOC</t>
        </is>
      </c>
      <c r="S79" s="210" t="inlineStr">
        <is>
          <t>N/A</t>
        </is>
      </c>
      <c r="T79" s="210" t="inlineStr">
        <is>
          <t>N/A</t>
        </is>
      </c>
      <c r="U79" s="210" t="inlineStr">
        <is>
          <t>N/A</t>
        </is>
      </c>
      <c r="V79" s="210" t="inlineStr">
        <is>
          <t>N/A</t>
        </is>
      </c>
      <c r="W79" s="210" t="inlineStr">
        <is>
          <t>N/A</t>
        </is>
      </c>
      <c r="X79" s="210" t="inlineStr">
        <is>
          <t>N/A</t>
        </is>
      </c>
      <c r="Y79" s="210" t="inlineStr">
        <is>
          <t>N/A</t>
        </is>
      </c>
      <c r="Z79" s="210" t="inlineStr">
        <is>
          <t>N/A</t>
        </is>
      </c>
      <c r="AA79" s="210" t="inlineStr">
        <is>
          <t>N/A</t>
        </is>
      </c>
      <c r="AB79" s="210" t="inlineStr">
        <is>
          <t>N/A</t>
        </is>
      </c>
      <c r="AC79" s="210" t="inlineStr">
        <is>
          <t>N/A</t>
        </is>
      </c>
      <c r="AD79" s="210" t="inlineStr">
        <is>
          <t>N/A</t>
        </is>
      </c>
      <c r="AE79" s="210" t="inlineStr">
        <is>
          <t>N/A</t>
        </is>
      </c>
      <c r="AF79" s="210" t="inlineStr">
        <is>
          <t>N/A</t>
        </is>
      </c>
      <c r="AG79" s="210" t="inlineStr">
        <is>
          <t>N/A</t>
        </is>
      </c>
      <c r="AH79" s="210" t="inlineStr">
        <is>
          <t>N/A</t>
        </is>
      </c>
      <c r="AI79" s="210" t="inlineStr">
        <is>
          <t>N/A</t>
        </is>
      </c>
      <c r="AJ79" s="210" t="inlineStr">
        <is>
          <t>N/A</t>
        </is>
      </c>
      <c r="AK79" s="210" t="inlineStr">
        <is>
          <t>N/A</t>
        </is>
      </c>
      <c r="AL79" s="210" t="inlineStr">
        <is>
          <t>N/A</t>
        </is>
      </c>
      <c r="AM79" s="210" t="inlineStr">
        <is>
          <t>N/A</t>
        </is>
      </c>
      <c r="AN79" s="210" t="inlineStr">
        <is>
          <t>N/A</t>
        </is>
      </c>
      <c r="AO79" s="210" t="inlineStr">
        <is>
          <t>N/A</t>
        </is>
      </c>
      <c r="AP79" s="210" t="inlineStr">
        <is>
          <t>N/A</t>
        </is>
      </c>
      <c r="AQ79" s="210" t="inlineStr">
        <is>
          <t>N/A</t>
        </is>
      </c>
      <c r="AR79" s="210" t="inlineStr">
        <is>
          <t>N/A</t>
        </is>
      </c>
      <c r="AS79" s="217" t="inlineStr">
        <is>
          <t>PER/PHE PM
GWV</t>
        </is>
      </c>
      <c r="AT79" s="217" t="inlineStr">
        <is>
          <t>GWV</t>
        </is>
      </c>
      <c r="AU79" s="211" t="inlineStr">
        <is>
          <t>GWV</t>
        </is>
      </c>
      <c r="AV79" s="211" t="inlineStr">
        <is>
          <t>GWV</t>
        </is>
      </c>
      <c r="AW79" s="211" t="inlineStr">
        <is>
          <t>PHE/PER PM</t>
        </is>
      </c>
      <c r="AX79" s="210" t="inlineStr">
        <is>
          <t>N/A</t>
        </is>
      </c>
      <c r="AY79" s="210" t="inlineStr">
        <is>
          <t>N/A</t>
        </is>
      </c>
      <c r="AZ79" s="210" t="inlineStr">
        <is>
          <t>N/A</t>
        </is>
      </c>
      <c r="BA79" s="210" t="inlineStr">
        <is>
          <t>N/A</t>
        </is>
      </c>
      <c r="BB79" s="210" t="inlineStr">
        <is>
          <t>N/A</t>
        </is>
      </c>
      <c r="BC79" s="210" t="inlineStr">
        <is>
          <t>N/A</t>
        </is>
      </c>
      <c r="BD79" s="210" t="inlineStr">
        <is>
          <t>N/A</t>
        </is>
      </c>
      <c r="BE79" s="210" t="inlineStr">
        <is>
          <t>N/A</t>
        </is>
      </c>
      <c r="BF79" s="210" t="inlineStr">
        <is>
          <t>N/A</t>
        </is>
      </c>
      <c r="BG79" s="210" t="inlineStr">
        <is>
          <t>N/A</t>
        </is>
      </c>
      <c r="BH79" s="210" t="inlineStr">
        <is>
          <t>N/A</t>
        </is>
      </c>
      <c r="BI79" s="210" t="inlineStr">
        <is>
          <t>N/A</t>
        </is>
      </c>
      <c r="BJ79" s="210" t="inlineStr">
        <is>
          <t>N/A</t>
        </is>
      </c>
      <c r="BK79" s="210" t="inlineStr">
        <is>
          <t>N/A</t>
        </is>
      </c>
      <c r="BL79" s="210" t="inlineStr">
        <is>
          <t>N/A</t>
        </is>
      </c>
      <c r="BM79" s="210" t="inlineStr">
        <is>
          <t>N/A</t>
        </is>
      </c>
      <c r="BN79" s="210" t="inlineStr">
        <is>
          <t>N/A</t>
        </is>
      </c>
      <c r="BO79" s="210" t="inlineStr">
        <is>
          <t>N/A</t>
        </is>
      </c>
      <c r="BP79" s="210" t="inlineStr">
        <is>
          <t>N/A</t>
        </is>
      </c>
      <c r="BQ79" s="210" t="inlineStr">
        <is>
          <t>N/A</t>
        </is>
      </c>
      <c r="BR79" s="210" t="inlineStr">
        <is>
          <t>N/A</t>
        </is>
      </c>
      <c r="BS79" s="210" t="inlineStr">
        <is>
          <t>N/A</t>
        </is>
      </c>
      <c r="BT79" s="210" t="inlineStr">
        <is>
          <t>N/A</t>
        </is>
      </c>
      <c r="BU79" s="210" t="inlineStr">
        <is>
          <t>N/A</t>
        </is>
      </c>
      <c r="BV79" s="210" t="inlineStr">
        <is>
          <t>N/A</t>
        </is>
      </c>
      <c r="BW79" s="210" t="inlineStr">
        <is>
          <t>N/A</t>
        </is>
      </c>
      <c r="BX79" s="210" t="inlineStr">
        <is>
          <t>N/A</t>
        </is>
      </c>
      <c r="BY79" s="210" t="inlineStr">
        <is>
          <t>N/A</t>
        </is>
      </c>
      <c r="BZ79" s="210" t="inlineStr">
        <is>
          <t>N/A</t>
        </is>
      </c>
      <c r="CA79" s="210" t="inlineStr">
        <is>
          <t>N/A</t>
        </is>
      </c>
      <c r="CB79" s="210" t="inlineStr">
        <is>
          <t>N/A</t>
        </is>
      </c>
      <c r="CC79" s="210" t="inlineStr">
        <is>
          <t>N/A</t>
        </is>
      </c>
      <c r="CD79" s="210" t="inlineStr">
        <is>
          <t>N/A</t>
        </is>
      </c>
      <c r="CE79" s="210" t="inlineStr">
        <is>
          <t>N/A</t>
        </is>
      </c>
      <c r="CF79" s="210" t="inlineStr">
        <is>
          <t>N/A</t>
        </is>
      </c>
      <c r="CG79" s="210" t="inlineStr">
        <is>
          <t>N/A</t>
        </is>
      </c>
      <c r="CH79" s="210" t="inlineStr">
        <is>
          <t>N/A</t>
        </is>
      </c>
      <c r="CI79" s="210" t="inlineStr">
        <is>
          <t>N/A</t>
        </is>
      </c>
      <c r="CJ79" s="210" t="inlineStr">
        <is>
          <t>N/A</t>
        </is>
      </c>
      <c r="CK79" s="210" t="inlineStr">
        <is>
          <t>N/A</t>
        </is>
      </c>
      <c r="CL79" s="210" t="inlineStr">
        <is>
          <t>N/A</t>
        </is>
      </c>
      <c r="CM79" s="210" t="inlineStr">
        <is>
          <t>N/A</t>
        </is>
      </c>
      <c r="CN79" s="210" t="inlineStr">
        <is>
          <t>N/A</t>
        </is>
      </c>
      <c r="CO79" s="210" t="inlineStr">
        <is>
          <t>N/A</t>
        </is>
      </c>
      <c r="CP79" s="210" t="inlineStr">
        <is>
          <t>N/A</t>
        </is>
      </c>
      <c r="CQ79" s="210" t="inlineStr">
        <is>
          <t>N/A</t>
        </is>
      </c>
      <c r="CR79" s="210" t="inlineStr">
        <is>
          <t>N/A</t>
        </is>
      </c>
      <c r="CS79" s="210" t="inlineStr">
        <is>
          <t>N/A</t>
        </is>
      </c>
      <c r="CT79" s="210" t="inlineStr">
        <is>
          <t>N/A</t>
        </is>
      </c>
      <c r="CU79" s="210" t="inlineStr">
        <is>
          <t>N/A</t>
        </is>
      </c>
      <c r="CV79" s="210" t="inlineStr">
        <is>
          <t>N/A</t>
        </is>
      </c>
      <c r="CW79" s="210" t="inlineStr">
        <is>
          <t>N/A</t>
        </is>
      </c>
      <c r="CX79" s="210" t="inlineStr">
        <is>
          <t>N/A</t>
        </is>
      </c>
      <c r="CY79" s="210" t="inlineStr">
        <is>
          <t>N/A</t>
        </is>
      </c>
      <c r="CZ79" s="210" t="inlineStr">
        <is>
          <t>N/A</t>
        </is>
      </c>
      <c r="DA79" s="210" t="inlineStr">
        <is>
          <t>N/A</t>
        </is>
      </c>
      <c r="DB79" s="210" t="inlineStr">
        <is>
          <t>N/A</t>
        </is>
      </c>
      <c r="DC79" s="210" t="inlineStr">
        <is>
          <t>N/A</t>
        </is>
      </c>
      <c r="DD79" s="210" t="inlineStr">
        <is>
          <t>N/A</t>
        </is>
      </c>
      <c r="DE79" s="210" t="inlineStr">
        <is>
          <t>N/A</t>
        </is>
      </c>
      <c r="DF79" s="210" t="inlineStr">
        <is>
          <t>N/A</t>
        </is>
      </c>
      <c r="DG79" s="210" t="inlineStr">
        <is>
          <t>N/A</t>
        </is>
      </c>
      <c r="DH79" s="210" t="inlineStr">
        <is>
          <t>N/A</t>
        </is>
      </c>
      <c r="DI79" s="210" t="inlineStr">
        <is>
          <t>N/A</t>
        </is>
      </c>
      <c r="DJ79" s="210" t="inlineStr">
        <is>
          <t>N/A</t>
        </is>
      </c>
      <c r="DK79" s="210" t="inlineStr">
        <is>
          <t>N/A</t>
        </is>
      </c>
      <c r="DL79" s="210" t="inlineStr">
        <is>
          <t>N/A</t>
        </is>
      </c>
      <c r="DM79" s="210" t="inlineStr">
        <is>
          <t>N/A</t>
        </is>
      </c>
      <c r="DN79" s="210" t="inlineStr">
        <is>
          <t>N/A</t>
        </is>
      </c>
      <c r="DO79" s="210" t="inlineStr">
        <is>
          <t>N/A</t>
        </is>
      </c>
      <c r="DP79" s="210" t="inlineStr">
        <is>
          <t>N/A</t>
        </is>
      </c>
      <c r="DQ79" s="210" t="inlineStr">
        <is>
          <t>N/A</t>
        </is>
      </c>
      <c r="DR79" s="210" t="inlineStr">
        <is>
          <t>N/A</t>
        </is>
      </c>
      <c r="DS79" s="212" t="n"/>
      <c r="DT79" s="212" t="n"/>
      <c r="DU79" s="212" t="n"/>
      <c r="DV79" s="212" t="n"/>
      <c r="DW79" s="212" t="n"/>
      <c r="DX79" s="212" t="n"/>
      <c r="DY79" s="212" t="n"/>
      <c r="DZ79" s="212" t="n"/>
      <c r="EA79" s="212" t="n"/>
      <c r="EB79" s="212" t="n"/>
      <c r="EC79" s="212" t="n"/>
      <c r="ED79" s="212" t="n"/>
      <c r="EE79" s="212" t="n"/>
      <c r="EF79" s="212" t="n"/>
      <c r="EG79" s="212" t="n"/>
      <c r="EH79" s="212" t="n"/>
      <c r="EI79" s="212" t="n"/>
      <c r="EJ79" s="212" t="n"/>
      <c r="EK79" s="212" t="n"/>
      <c r="EL79" s="212" t="n"/>
      <c r="EM79" s="212" t="n"/>
      <c r="EN79" s="212" t="n"/>
      <c r="EO79" s="212" t="n"/>
      <c r="EP79" s="212" t="n"/>
      <c r="EQ79" s="212" t="n"/>
      <c r="ER79" s="212" t="n"/>
      <c r="ES79" s="212" t="n"/>
      <c r="ET79" s="212" t="n"/>
      <c r="EU79" s="212" t="n"/>
      <c r="EV79" s="212" t="n"/>
      <c r="EW79" s="212" t="n"/>
      <c r="EX79" s="212" t="n"/>
      <c r="EY79" s="212" t="n"/>
      <c r="EZ79" s="212" t="n"/>
      <c r="FA79" s="212" t="n"/>
      <c r="FB79" s="212" t="n"/>
      <c r="FC79" s="212" t="n"/>
      <c r="FD79" s="212" t="n"/>
      <c r="FE79" s="212" t="n"/>
      <c r="FF79" s="212" t="n"/>
      <c r="FG79" s="212" t="n"/>
      <c r="FH79" s="212" t="n"/>
      <c r="FI79" s="212" t="n"/>
      <c r="FJ79" s="212" t="n"/>
      <c r="FK79" s="212" t="n"/>
      <c r="FL79" s="212" t="n"/>
      <c r="FM79" s="212" t="n"/>
      <c r="FN79" s="212" t="n"/>
      <c r="FO79" s="212" t="n"/>
      <c r="FP79" s="212" t="n"/>
      <c r="FQ79" s="212" t="n"/>
      <c r="FR79" s="212" t="n"/>
      <c r="FS79" s="212" t="n"/>
      <c r="FT79" s="212" t="n"/>
      <c r="FU79" s="212" t="n"/>
      <c r="FV79" s="212" t="n"/>
      <c r="FW79" s="212" t="n"/>
      <c r="FX79" s="212" t="n"/>
      <c r="FY79" s="212" t="n"/>
      <c r="FZ79" s="212" t="n"/>
      <c r="GA79" s="212" t="n"/>
      <c r="GB79" s="212" t="n"/>
      <c r="GC79" s="212" t="n"/>
      <c r="GD79" s="212" t="n"/>
      <c r="GE79" s="212" t="n"/>
      <c r="GF79" s="212" t="n"/>
      <c r="GG79" s="212" t="n"/>
      <c r="GH79" s="212" t="n"/>
      <c r="GI79" s="212" t="n"/>
      <c r="GJ79" s="212" t="n"/>
      <c r="GK79" s="212" t="n"/>
      <c r="GL79" s="212" t="n"/>
      <c r="GM79" s="212" t="n"/>
      <c r="GN79" s="212" t="n"/>
      <c r="GO79" s="212" t="n"/>
      <c r="GP79" s="212" t="n"/>
      <c r="GQ79" s="212" t="n"/>
      <c r="GR79" s="212" t="n"/>
      <c r="GS79" s="212" t="n"/>
      <c r="GT79" s="212" t="n"/>
      <c r="GU79" s="212" t="n"/>
      <c r="GV79" s="212" t="n"/>
      <c r="GW79" s="212" t="n"/>
      <c r="GX79" s="212" t="n"/>
      <c r="GY79" s="212" t="n"/>
      <c r="GZ79" s="212" t="n"/>
      <c r="HA79" s="212" t="n"/>
      <c r="HB79" s="212" t="n"/>
      <c r="HC79" s="212" t="n"/>
      <c r="HD79" s="212" t="n"/>
      <c r="HE79" s="212" t="n"/>
      <c r="HF79" s="212" t="n"/>
      <c r="HG79" s="212" t="n"/>
      <c r="HH79" s="212" t="n"/>
      <c r="HI79" s="212" t="n"/>
      <c r="HJ79" s="212" t="n"/>
      <c r="HK79" s="212" t="n"/>
      <c r="HL79" s="212" t="n"/>
      <c r="HM79" s="212" t="n"/>
      <c r="HN79" s="212" t="n"/>
      <c r="HO79" s="212" t="n"/>
      <c r="HP79" s="212" t="n"/>
      <c r="HQ79" s="212" t="n"/>
      <c r="HR79" s="212" t="n"/>
      <c r="HS79" s="212" t="n"/>
      <c r="HT79" s="212" t="n"/>
      <c r="HU79" s="212" t="n"/>
      <c r="HV79" s="212" t="n"/>
      <c r="HW79" s="212" t="n"/>
      <c r="HX79" s="212" t="n"/>
      <c r="HY79" s="212" t="n"/>
      <c r="HZ79" s="212" t="n"/>
      <c r="IA79" s="212" t="n"/>
      <c r="IB79" s="212" t="n"/>
      <c r="IC79" s="212" t="n"/>
      <c r="ID79" s="212" t="n"/>
      <c r="IE79" s="212" t="n"/>
      <c r="IF79" s="212" t="n"/>
      <c r="IG79" s="212" t="n"/>
      <c r="IH79" s="212" t="n"/>
      <c r="II79" s="212" t="n"/>
      <c r="IJ79" s="212" t="n"/>
      <c r="IK79" s="212" t="n"/>
      <c r="IL79" s="212" t="n"/>
      <c r="IM79" s="212" t="n"/>
      <c r="IN79" s="212" t="n"/>
      <c r="IO79" s="212" t="n"/>
      <c r="IP79" s="212" t="n"/>
      <c r="IQ79" s="212" t="n"/>
      <c r="IR79" s="212" t="n"/>
      <c r="IS79" s="212" t="n"/>
      <c r="IT79" s="212" t="n"/>
      <c r="IU79" s="212" t="n"/>
      <c r="IV79" s="212" t="n"/>
      <c r="IW79" s="212" t="n"/>
      <c r="IX79" s="212" t="n"/>
      <c r="IY79" s="212" t="n"/>
      <c r="IZ79" s="212" t="n"/>
      <c r="JA79" s="212" t="n"/>
      <c r="JB79" s="212" t="n"/>
      <c r="JC79" s="212" t="n"/>
      <c r="JD79" s="212" t="n"/>
      <c r="JE79" s="212" t="n"/>
      <c r="JF79" s="212" t="n"/>
      <c r="JG79" s="212" t="n"/>
      <c r="JH79" s="212" t="n"/>
      <c r="JI79" s="212" t="n"/>
      <c r="JJ79" s="212" t="n"/>
      <c r="JK79" s="212" t="n"/>
      <c r="JL79" s="212" t="n"/>
      <c r="JM79" s="212" t="n"/>
      <c r="JN79" s="212" t="n"/>
      <c r="JO79" s="212" t="n"/>
      <c r="JP79" s="212" t="n"/>
      <c r="JQ79" s="212" t="n"/>
      <c r="JR79" s="212" t="n"/>
      <c r="JS79" s="212" t="n"/>
      <c r="JT79" s="212" t="n"/>
      <c r="JU79" s="212" t="n"/>
      <c r="JV79" s="212" t="n"/>
      <c r="JW79" s="212" t="n"/>
      <c r="JX79" s="212" t="n"/>
      <c r="JY79" s="212" t="n"/>
      <c r="JZ79" s="212" t="n"/>
      <c r="KA79" s="212" t="n"/>
      <c r="KB79" s="212" t="n"/>
      <c r="KC79" s="212" t="n"/>
      <c r="KD79" s="212" t="n"/>
      <c r="KE79" s="212" t="n"/>
      <c r="KF79" s="212" t="n"/>
      <c r="KG79" s="212" t="n"/>
      <c r="KH79" s="212" t="n"/>
      <c r="KI79" s="212" t="n"/>
      <c r="KJ79" s="212" t="n"/>
      <c r="KK79" s="212" t="n"/>
      <c r="KL79" s="212" t="n"/>
      <c r="KM79" s="212" t="n"/>
      <c r="KN79" s="212" t="n"/>
      <c r="KO79" s="212" t="n"/>
      <c r="KP79" s="212" t="n"/>
      <c r="KQ79" s="212" t="n"/>
      <c r="KR79" s="212" t="n"/>
      <c r="KS79" s="212" t="n"/>
      <c r="KT79" s="212" t="n"/>
      <c r="KU79" s="212" t="n"/>
      <c r="KV79" s="212" t="n"/>
      <c r="KW79" s="212" t="n"/>
      <c r="KX79" s="212" t="n"/>
      <c r="KY79" s="212" t="n"/>
      <c r="KZ79" s="212" t="n"/>
      <c r="LA79" s="212" t="n"/>
      <c r="LB79" s="212" t="n"/>
      <c r="LC79" s="212" t="n"/>
      <c r="LD79" s="212" t="n"/>
      <c r="LE79" s="212" t="n"/>
      <c r="LF79" s="212" t="n"/>
      <c r="LG79" s="212" t="n"/>
      <c r="LH79" s="212" t="n"/>
      <c r="LI79" s="212" t="n"/>
      <c r="LJ79" s="212" t="n"/>
      <c r="LK79" s="212" t="n"/>
      <c r="LL79" s="212" t="n"/>
      <c r="LM79" s="212" t="n"/>
      <c r="LN79" s="212" t="n"/>
      <c r="LO79" s="212" t="n"/>
      <c r="LP79" s="212" t="n"/>
      <c r="LQ79" s="212" t="n"/>
      <c r="LR79" s="212" t="n"/>
      <c r="LS79" s="212" t="n"/>
      <c r="LT79" s="212" t="n"/>
      <c r="LU79" s="212" t="n"/>
      <c r="LV79" s="212" t="n"/>
      <c r="LW79" s="212" t="n"/>
      <c r="LX79" s="212" t="n"/>
      <c r="LY79" s="212" t="n"/>
      <c r="LZ79" s="212" t="n"/>
      <c r="MA79" s="212" t="n"/>
      <c r="MB79" s="212" t="n"/>
      <c r="MC79" s="212" t="n"/>
      <c r="MD79" s="212" t="n"/>
      <c r="ME79" s="212" t="n"/>
      <c r="MF79" s="212" t="n"/>
      <c r="MG79" s="212" t="n"/>
      <c r="MH79" s="212" t="n"/>
      <c r="MI79" s="212" t="n"/>
      <c r="MJ79" s="212" t="n"/>
      <c r="MK79" s="212" t="n"/>
      <c r="ML79" s="212" t="n"/>
      <c r="MM79" s="212" t="n"/>
      <c r="MN79" s="212" t="n"/>
      <c r="MO79" s="212" t="n"/>
      <c r="MP79" s="212" t="n"/>
      <c r="MQ79" s="212" t="n"/>
      <c r="MR79" s="212" t="n"/>
      <c r="MS79" s="212" t="n"/>
      <c r="MT79" s="212" t="n"/>
      <c r="MU79" s="212" t="n"/>
      <c r="MV79" s="212" t="n"/>
      <c r="MW79" s="212" t="n"/>
      <c r="MX79" s="212" t="n"/>
      <c r="MY79" s="212" t="n"/>
      <c r="MZ79" s="212" t="n"/>
      <c r="NA79" s="212" t="n"/>
      <c r="NB79" s="212" t="n"/>
      <c r="NC79" s="212" t="n"/>
      <c r="ND79" s="212" t="n"/>
      <c r="NE79" s="212" t="n"/>
      <c r="NF79" s="212" t="n"/>
      <c r="NG79" s="212" t="n"/>
      <c r="NH79" s="212" t="n"/>
      <c r="NI79" s="212" t="n"/>
      <c r="NJ79" s="212" t="n"/>
      <c r="NK79" s="212" t="n"/>
      <c r="NL79" s="212" t="n"/>
      <c r="NM79" s="212" t="n"/>
      <c r="NN79" s="212" t="n"/>
      <c r="NO79" s="212" t="n"/>
      <c r="NP79" s="212" t="n"/>
      <c r="NQ79" s="212" t="n"/>
      <c r="NR79" s="212" t="n"/>
      <c r="NS79" s="212" t="n"/>
      <c r="NT79" s="212" t="n"/>
      <c r="NU79" s="212" t="n"/>
      <c r="NV79" s="212" t="n"/>
      <c r="NW79" s="212" t="n"/>
      <c r="NX79" s="212" t="n"/>
      <c r="NY79" s="212" t="n"/>
      <c r="NZ79" s="212" t="n"/>
      <c r="OA79" s="212" t="n"/>
      <c r="OB79" s="212" t="n"/>
      <c r="OC79" s="212" t="n"/>
      <c r="OD79" s="212" t="n"/>
      <c r="OE79" s="212" t="n"/>
      <c r="OF79" s="212" t="n"/>
      <c r="OG79" s="212" t="n"/>
      <c r="OH79" s="212" t="n"/>
      <c r="OI79" s="212" t="n"/>
      <c r="OJ79" s="212" t="n"/>
      <c r="OK79" s="212" t="n"/>
      <c r="OL79" s="212" t="n"/>
      <c r="OM79" s="212" t="n"/>
      <c r="ON79" s="212" t="n"/>
      <c r="OO79" s="212" t="n"/>
      <c r="OP79" s="212" t="n"/>
      <c r="OQ79" s="212" t="n"/>
      <c r="OR79" s="212" t="n"/>
      <c r="OS79" s="212" t="n"/>
      <c r="OT79" s="212" t="n"/>
      <c r="OU79" s="212" t="n"/>
      <c r="OV79" s="212" t="n"/>
      <c r="OW79" s="212" t="n"/>
      <c r="OX79" s="212" t="n"/>
      <c r="OY79" s="212" t="n"/>
      <c r="OZ79" s="212" t="n"/>
      <c r="PA79" s="212" t="n"/>
      <c r="PB79" s="212" t="n"/>
      <c r="PC79" s="212" t="n"/>
      <c r="PD79" s="212" t="n"/>
      <c r="PE79" s="212" t="n"/>
      <c r="PF79" s="212" t="n"/>
      <c r="PG79" s="212" t="n"/>
      <c r="PH79" s="212" t="n"/>
      <c r="PI79" s="212" t="n"/>
      <c r="PJ79" s="212" t="n"/>
      <c r="PK79" s="212" t="n"/>
      <c r="PL79" s="212" t="n"/>
      <c r="PM79" s="212" t="n"/>
      <c r="PN79" s="212" t="n"/>
      <c r="PO79" s="212" t="n"/>
      <c r="PP79" s="212" t="n"/>
      <c r="PQ79" s="212" t="n"/>
      <c r="PR79" s="212" t="n"/>
      <c r="PS79" s="212" t="n"/>
      <c r="PT79" s="212" t="n"/>
      <c r="PU79" s="212" t="n"/>
      <c r="PV79" s="212" t="n"/>
      <c r="PW79" s="212" t="n"/>
      <c r="PX79" s="212" t="n"/>
      <c r="PY79" s="212" t="n"/>
      <c r="PZ79" s="212" t="n"/>
      <c r="QA79" s="212" t="n"/>
      <c r="QB79" s="212" t="n"/>
      <c r="QC79" s="212" t="n"/>
      <c r="QD79" s="212" t="n"/>
      <c r="QE79" s="212" t="n"/>
      <c r="QF79" s="212" t="n"/>
      <c r="QG79" s="212" t="n"/>
      <c r="QH79" s="212" t="n"/>
      <c r="QI79" s="212" t="n"/>
      <c r="QJ79" s="212" t="n"/>
      <c r="QK79" s="212" t="n"/>
      <c r="QL79" s="212" t="n"/>
      <c r="QM79" s="212" t="n"/>
      <c r="QN79" s="212" t="n"/>
      <c r="QO79" s="212" t="n"/>
      <c r="QP79" s="212" t="n"/>
      <c r="QQ79" s="212" t="n"/>
      <c r="QR79" s="212" t="n"/>
      <c r="QS79" s="212" t="n"/>
      <c r="QT79" s="212" t="n"/>
      <c r="QU79" s="212" t="n"/>
      <c r="QV79" s="212" t="n"/>
      <c r="QW79" s="212" t="n"/>
      <c r="QX79" s="212" t="n"/>
      <c r="QY79" s="212" t="n"/>
      <c r="QZ79" s="212" t="n"/>
      <c r="RA79" s="212" t="n"/>
      <c r="RB79" s="212" t="n"/>
      <c r="RC79" s="212" t="n"/>
      <c r="RD79" s="212" t="n"/>
      <c r="RE79" s="212" t="n"/>
      <c r="RF79" s="212" t="n"/>
      <c r="RG79" s="212" t="n"/>
      <c r="RH79" s="212" t="n"/>
      <c r="RI79" s="212" t="n"/>
      <c r="RJ79" s="212" t="n"/>
      <c r="RK79" s="212" t="n"/>
      <c r="RL79" s="212" t="n"/>
      <c r="RM79" s="212" t="n"/>
      <c r="RN79" s="212" t="n"/>
      <c r="RO79" s="212" t="n"/>
      <c r="RP79" s="212" t="n"/>
      <c r="RQ79" s="212" t="n"/>
      <c r="RR79" s="212" t="n"/>
      <c r="RS79" s="212" t="n"/>
      <c r="RT79" s="212" t="n"/>
      <c r="RU79" s="212" t="n"/>
      <c r="RV79" s="212" t="n"/>
      <c r="RW79" s="212" t="n"/>
      <c r="RX79" s="212" t="n"/>
      <c r="RY79" s="212" t="n"/>
      <c r="RZ79" s="212" t="n"/>
      <c r="SA79" s="212" t="n"/>
      <c r="SB79" s="212" t="n"/>
      <c r="SC79" s="212" t="n"/>
      <c r="SD79" s="212" t="n"/>
      <c r="SE79" s="212" t="n"/>
      <c r="SF79" s="212" t="n"/>
      <c r="SG79" s="212" t="n"/>
      <c r="SH79" s="212" t="n"/>
      <c r="SI79" s="212" t="n"/>
      <c r="SJ79" s="212" t="n"/>
      <c r="SK79" s="212" t="n"/>
      <c r="SL79" s="212" t="n"/>
      <c r="SM79" s="212" t="n"/>
      <c r="SN79" s="212" t="n"/>
      <c r="SO79" s="212" t="n"/>
      <c r="SP79" s="212" t="n"/>
      <c r="SQ79" s="212" t="n"/>
      <c r="SR79" s="212" t="n"/>
      <c r="SS79" s="212" t="n"/>
      <c r="ST79" s="212" t="n"/>
      <c r="SU79" s="212" t="n"/>
      <c r="SV79" s="212" t="n"/>
    </row>
    <row r="80">
      <c r="B80" s="209" t="inlineStr">
        <is>
          <t>N/A</t>
        </is>
      </c>
      <c r="C80" s="209" t="inlineStr">
        <is>
          <t>2XM</t>
        </is>
      </c>
      <c r="D80" s="209" t="inlineStr">
        <is>
          <t>Michael</t>
        </is>
      </c>
      <c r="E80" s="209" t="inlineStr">
        <is>
          <t>Mitrovic</t>
        </is>
      </c>
      <c r="F80" s="209">
        <f>IF(TRIM(D80&amp;E80)="","",TRIM(D80)&amp;" "&amp;TRIM(E80))</f>
        <v/>
      </c>
      <c r="G80" s="209" t="inlineStr">
        <is>
          <t>Perth</t>
        </is>
      </c>
      <c r="H80" s="209" t="inlineStr">
        <is>
          <t>Electrician</t>
        </is>
      </c>
      <c r="I80" s="209" t="inlineStr">
        <is>
          <t>YES</t>
        </is>
      </c>
      <c r="J80" s="209" t="inlineStr">
        <is>
          <t>YES</t>
        </is>
      </c>
      <c r="K80" s="209" t="inlineStr">
        <is>
          <t>YES</t>
        </is>
      </c>
      <c r="L80" s="209" t="inlineStr">
        <is>
          <t>YES</t>
        </is>
      </c>
      <c r="M80" s="209" t="inlineStr">
        <is>
          <t>Quals Complete</t>
        </is>
      </c>
      <c r="N80" s="209" t="inlineStr">
        <is>
          <t>mitrovic88@hotmail.com</t>
        </is>
      </c>
      <c r="O80" s="209" t="inlineStr">
        <is>
          <t>0424 282 640</t>
        </is>
      </c>
      <c r="P80" s="209" t="n">
        <v>295553</v>
      </c>
      <c r="Q80" s="209" t="n">
        <v>108831</v>
      </c>
      <c r="R80" s="209" t="inlineStr">
        <is>
          <t>2:1</t>
        </is>
      </c>
      <c r="S80" s="210" t="inlineStr">
        <is>
          <t>N/A</t>
        </is>
      </c>
      <c r="T80" s="210" t="inlineStr">
        <is>
          <t>N/A</t>
        </is>
      </c>
      <c r="U80" s="210" t="inlineStr">
        <is>
          <t>N/A</t>
        </is>
      </c>
      <c r="V80" s="210" t="inlineStr">
        <is>
          <t>N/A</t>
        </is>
      </c>
      <c r="W80" s="211" t="inlineStr">
        <is>
          <t>PER/PHE PM
LND</t>
        </is>
      </c>
      <c r="X80" s="211" t="inlineStr">
        <is>
          <t>LND</t>
        </is>
      </c>
      <c r="Y80" s="211" t="inlineStr">
        <is>
          <t>LND</t>
        </is>
      </c>
      <c r="Z80" s="211" t="inlineStr">
        <is>
          <t>LND</t>
        </is>
      </c>
      <c r="AA80" s="211" t="inlineStr">
        <is>
          <t>LND</t>
        </is>
      </c>
      <c r="AB80" s="211" t="inlineStr">
        <is>
          <t>LND</t>
        </is>
      </c>
      <c r="AC80" s="211" t="inlineStr">
        <is>
          <t>LND</t>
        </is>
      </c>
      <c r="AD80" s="211" t="inlineStr">
        <is>
          <t>LND</t>
        </is>
      </c>
      <c r="AE80" s="211" t="inlineStr">
        <is>
          <t>PHE/PER PM</t>
        </is>
      </c>
      <c r="AF80" s="222" t="inlineStr">
        <is>
          <t>RnR</t>
        </is>
      </c>
      <c r="AG80" s="222" t="inlineStr">
        <is>
          <t>RnR</t>
        </is>
      </c>
      <c r="AH80" s="222" t="inlineStr">
        <is>
          <t>RnR</t>
        </is>
      </c>
      <c r="AI80" s="222" t="inlineStr">
        <is>
          <t>RnR</t>
        </is>
      </c>
      <c r="AJ80" s="222" t="inlineStr">
        <is>
          <t>RnR</t>
        </is>
      </c>
      <c r="AK80" s="211" t="inlineStr">
        <is>
          <t>PER/PHE PM
LND</t>
        </is>
      </c>
      <c r="AL80" s="211" t="inlineStr">
        <is>
          <t>LND</t>
        </is>
      </c>
      <c r="AM80" s="211" t="inlineStr">
        <is>
          <t>LND</t>
        </is>
      </c>
      <c r="AN80" s="211" t="inlineStr">
        <is>
          <t>LND</t>
        </is>
      </c>
      <c r="AO80" s="211" t="inlineStr">
        <is>
          <t>LND</t>
        </is>
      </c>
      <c r="AP80" s="211" t="inlineStr">
        <is>
          <t>LND</t>
        </is>
      </c>
      <c r="AQ80" s="211" t="inlineStr">
        <is>
          <t>LND</t>
        </is>
      </c>
      <c r="AR80" s="211" t="inlineStr">
        <is>
          <t>LND</t>
        </is>
      </c>
      <c r="AS80" s="211" t="inlineStr">
        <is>
          <t>LND</t>
        </is>
      </c>
      <c r="AT80" s="211" t="inlineStr">
        <is>
          <t>LND</t>
        </is>
      </c>
      <c r="AU80" s="211" t="inlineStr">
        <is>
          <t>LND</t>
        </is>
      </c>
      <c r="AV80" s="211" t="inlineStr">
        <is>
          <t>LND</t>
        </is>
      </c>
      <c r="AW80" s="211" t="inlineStr">
        <is>
          <t>LND</t>
        </is>
      </c>
      <c r="AX80" s="211" t="inlineStr">
        <is>
          <t>LND</t>
        </is>
      </c>
      <c r="AY80" s="211" t="inlineStr">
        <is>
          <t>PHE/PER PM</t>
        </is>
      </c>
      <c r="AZ80" s="222" t="inlineStr">
        <is>
          <t>RnR</t>
        </is>
      </c>
      <c r="BA80" s="222" t="inlineStr">
        <is>
          <t>RnR</t>
        </is>
      </c>
      <c r="BB80" s="222" t="inlineStr">
        <is>
          <t>RnR</t>
        </is>
      </c>
      <c r="BC80" s="222" t="inlineStr">
        <is>
          <t>RnR</t>
        </is>
      </c>
      <c r="BD80" s="222" t="inlineStr">
        <is>
          <t>RnR</t>
        </is>
      </c>
      <c r="BE80" s="222" t="inlineStr">
        <is>
          <t>RnR</t>
        </is>
      </c>
      <c r="BF80" s="223" t="inlineStr">
        <is>
          <t>SICK LEAVE - ADVISED 29TH SEPTEMBER 2026 @ 11:27AM</t>
        </is>
      </c>
      <c r="BG80" s="212" t="n"/>
      <c r="BH80" s="212" t="n"/>
      <c r="BI80" s="212" t="n"/>
      <c r="BJ80" s="212" t="n"/>
      <c r="BK80" s="212" t="n"/>
      <c r="BL80" s="212" t="n"/>
      <c r="BM80" s="212" t="n"/>
      <c r="BN80" s="212" t="n"/>
      <c r="BO80" s="212" t="n"/>
      <c r="BP80" s="212" t="n"/>
      <c r="BQ80" s="212" t="n"/>
      <c r="BR80" s="212" t="n"/>
      <c r="BS80" s="212" t="n"/>
      <c r="BT80" s="212" t="n"/>
      <c r="BU80" s="222" t="inlineStr">
        <is>
          <t>RnR</t>
        </is>
      </c>
      <c r="BV80" s="222" t="inlineStr">
        <is>
          <t>RnR</t>
        </is>
      </c>
      <c r="BW80" s="222" t="inlineStr">
        <is>
          <t>RnR</t>
        </is>
      </c>
      <c r="BX80" s="222" t="inlineStr">
        <is>
          <t>RnR</t>
        </is>
      </c>
      <c r="BY80" s="222" t="inlineStr">
        <is>
          <t>RnR</t>
        </is>
      </c>
      <c r="BZ80" s="222" t="inlineStr">
        <is>
          <t>RnR</t>
        </is>
      </c>
      <c r="CA80" s="210" t="inlineStr">
        <is>
          <t>N/A</t>
        </is>
      </c>
      <c r="CB80" s="210" t="inlineStr">
        <is>
          <t>N/A</t>
        </is>
      </c>
      <c r="CC80" s="210" t="inlineStr">
        <is>
          <t>N/A</t>
        </is>
      </c>
      <c r="CD80" s="210" t="inlineStr">
        <is>
          <t>N/A</t>
        </is>
      </c>
      <c r="CE80" s="210" t="inlineStr">
        <is>
          <t>N/A</t>
        </is>
      </c>
      <c r="CF80" s="210" t="inlineStr">
        <is>
          <t>N/A</t>
        </is>
      </c>
      <c r="CG80" s="210" t="inlineStr">
        <is>
          <t>N/A</t>
        </is>
      </c>
      <c r="CH80" s="210" t="inlineStr">
        <is>
          <t>N/A</t>
        </is>
      </c>
      <c r="CI80" s="210" t="inlineStr">
        <is>
          <t>N/A</t>
        </is>
      </c>
      <c r="CJ80" s="210" t="inlineStr">
        <is>
          <t>N/A</t>
        </is>
      </c>
      <c r="CK80" s="210" t="inlineStr">
        <is>
          <t>N/A</t>
        </is>
      </c>
      <c r="CL80" s="210" t="inlineStr">
        <is>
          <t>N/A</t>
        </is>
      </c>
      <c r="CM80" s="210" t="inlineStr">
        <is>
          <t>N/A</t>
        </is>
      </c>
      <c r="CN80" s="210" t="inlineStr">
        <is>
          <t>N/A</t>
        </is>
      </c>
      <c r="CO80" s="210" t="inlineStr">
        <is>
          <t>N/A</t>
        </is>
      </c>
      <c r="CP80" s="210" t="inlineStr">
        <is>
          <t>N/A</t>
        </is>
      </c>
      <c r="CQ80" s="210" t="inlineStr">
        <is>
          <t>N/A</t>
        </is>
      </c>
      <c r="CR80" s="210" t="inlineStr">
        <is>
          <t>N/A</t>
        </is>
      </c>
      <c r="CS80" s="210" t="inlineStr">
        <is>
          <t>N/A</t>
        </is>
      </c>
      <c r="CT80" s="210" t="inlineStr">
        <is>
          <t>N/A</t>
        </is>
      </c>
      <c r="CU80" s="210" t="inlineStr">
        <is>
          <t>N/A</t>
        </is>
      </c>
      <c r="CV80" s="210" t="inlineStr">
        <is>
          <t>N/A</t>
        </is>
      </c>
      <c r="CW80" s="210" t="inlineStr">
        <is>
          <t>N/A</t>
        </is>
      </c>
      <c r="CX80" s="210" t="inlineStr">
        <is>
          <t>N/A</t>
        </is>
      </c>
      <c r="CY80" s="210" t="inlineStr">
        <is>
          <t>N/A</t>
        </is>
      </c>
      <c r="CZ80" s="210" t="inlineStr">
        <is>
          <t>N/A</t>
        </is>
      </c>
      <c r="DA80" s="210" t="inlineStr">
        <is>
          <t>N/A</t>
        </is>
      </c>
      <c r="DB80" s="210" t="inlineStr">
        <is>
          <t>N/A</t>
        </is>
      </c>
      <c r="DC80" s="210" t="inlineStr">
        <is>
          <t>N/A</t>
        </is>
      </c>
      <c r="DD80" s="210" t="inlineStr">
        <is>
          <t>N/A</t>
        </is>
      </c>
      <c r="DE80" s="210" t="inlineStr">
        <is>
          <t>N/A</t>
        </is>
      </c>
      <c r="DF80" s="210" t="inlineStr">
        <is>
          <t>N/A</t>
        </is>
      </c>
      <c r="DG80" s="210" t="inlineStr">
        <is>
          <t>N/A</t>
        </is>
      </c>
      <c r="DH80" s="210" t="inlineStr">
        <is>
          <t>N/A</t>
        </is>
      </c>
      <c r="DI80" s="210" t="inlineStr">
        <is>
          <t>N/A</t>
        </is>
      </c>
      <c r="DJ80" s="210" t="inlineStr">
        <is>
          <t>N/A</t>
        </is>
      </c>
      <c r="DK80" s="210" t="inlineStr">
        <is>
          <t>N/A</t>
        </is>
      </c>
      <c r="DL80" s="210" t="inlineStr">
        <is>
          <t>N/A</t>
        </is>
      </c>
      <c r="DM80" s="210" t="inlineStr">
        <is>
          <t>N/A</t>
        </is>
      </c>
      <c r="DN80" s="210" t="inlineStr">
        <is>
          <t>N/A</t>
        </is>
      </c>
      <c r="DO80" s="210" t="inlineStr">
        <is>
          <t>N/A</t>
        </is>
      </c>
      <c r="DP80" s="210" t="inlineStr">
        <is>
          <t>N/A</t>
        </is>
      </c>
      <c r="DQ80" s="210" t="inlineStr">
        <is>
          <t>N/A</t>
        </is>
      </c>
      <c r="DR80" s="210" t="inlineStr">
        <is>
          <t>N/A</t>
        </is>
      </c>
      <c r="DS80" s="212" t="n"/>
      <c r="DT80" s="212" t="n"/>
      <c r="DU80" s="212" t="n"/>
      <c r="DV80" s="212" t="n"/>
      <c r="DW80" s="212" t="n"/>
      <c r="DX80" s="212" t="n"/>
      <c r="DY80" s="212" t="n"/>
      <c r="DZ80" s="212" t="n"/>
      <c r="EA80" s="212" t="n"/>
      <c r="EB80" s="212" t="n"/>
      <c r="EC80" s="212" t="n"/>
      <c r="ED80" s="212" t="n"/>
      <c r="EE80" s="212" t="n"/>
      <c r="EF80" s="212" t="n"/>
      <c r="EG80" s="212" t="n"/>
      <c r="EH80" s="212" t="n"/>
      <c r="EI80" s="212" t="n"/>
      <c r="EJ80" s="212" t="n"/>
      <c r="EK80" s="212" t="n"/>
      <c r="EL80" s="212" t="n"/>
      <c r="EM80" s="212" t="n"/>
      <c r="EN80" s="212" t="n"/>
      <c r="EO80" s="212" t="n"/>
      <c r="EP80" s="212" t="n"/>
      <c r="EQ80" s="212" t="n"/>
      <c r="ER80" s="212" t="n"/>
      <c r="ES80" s="212" t="n"/>
      <c r="ET80" s="212" t="n"/>
      <c r="EU80" s="212" t="n"/>
      <c r="EV80" s="212" t="n"/>
      <c r="EW80" s="212" t="n"/>
      <c r="EX80" s="212" t="n"/>
      <c r="EY80" s="212" t="n"/>
      <c r="EZ80" s="212" t="n"/>
      <c r="FA80" s="212" t="n"/>
      <c r="FB80" s="212" t="n"/>
      <c r="FC80" s="212" t="n"/>
      <c r="FD80" s="212" t="n"/>
      <c r="FE80" s="212" t="n"/>
      <c r="FF80" s="212" t="n"/>
      <c r="FG80" s="212" t="n"/>
      <c r="FH80" s="212" t="n"/>
      <c r="FI80" s="212" t="n"/>
      <c r="FJ80" s="212" t="n"/>
      <c r="FK80" s="212" t="n"/>
      <c r="FL80" s="212" t="n"/>
      <c r="FM80" s="212" t="n"/>
      <c r="FN80" s="212" t="n"/>
      <c r="FO80" s="212" t="n"/>
      <c r="FP80" s="212" t="n"/>
      <c r="FQ80" s="212" t="n"/>
      <c r="FR80" s="212" t="n"/>
      <c r="FS80" s="212" t="n"/>
      <c r="FT80" s="212" t="n"/>
      <c r="FU80" s="212" t="n"/>
      <c r="FV80" s="212" t="n"/>
      <c r="FW80" s="212" t="n"/>
      <c r="FX80" s="212" t="n"/>
      <c r="FY80" s="212" t="n"/>
      <c r="FZ80" s="212" t="n"/>
      <c r="GA80" s="212" t="n"/>
      <c r="GB80" s="212" t="n"/>
      <c r="GC80" s="212" t="n"/>
      <c r="GD80" s="212" t="n"/>
      <c r="GE80" s="212" t="n"/>
      <c r="GF80" s="212" t="n"/>
      <c r="GG80" s="212" t="n"/>
      <c r="GH80" s="212" t="n"/>
      <c r="GI80" s="212" t="n"/>
      <c r="GJ80" s="212" t="n"/>
      <c r="GK80" s="212" t="n"/>
      <c r="GL80" s="212" t="n"/>
      <c r="GM80" s="212" t="n"/>
      <c r="GN80" s="212" t="n"/>
      <c r="GO80" s="212" t="n"/>
      <c r="GP80" s="212" t="n"/>
      <c r="GQ80" s="212" t="n"/>
      <c r="GR80" s="212" t="n"/>
      <c r="GS80" s="212" t="n"/>
      <c r="GT80" s="212" t="n"/>
      <c r="GU80" s="212" t="n"/>
      <c r="GV80" s="212" t="n"/>
      <c r="GW80" s="212" t="n"/>
      <c r="GX80" s="212" t="n"/>
      <c r="GY80" s="212" t="n"/>
      <c r="GZ80" s="212" t="n"/>
      <c r="HA80" s="212" t="n"/>
      <c r="HB80" s="212" t="n"/>
      <c r="HC80" s="212" t="n"/>
      <c r="HD80" s="212" t="n"/>
      <c r="HE80" s="212" t="n"/>
      <c r="HF80" s="212" t="n"/>
      <c r="HG80" s="212" t="n"/>
      <c r="HH80" s="212" t="n"/>
      <c r="HI80" s="212" t="n"/>
      <c r="HJ80" s="212" t="n"/>
      <c r="HK80" s="212" t="n"/>
      <c r="HL80" s="212" t="n"/>
      <c r="HM80" s="212" t="n"/>
      <c r="HN80" s="212" t="n"/>
      <c r="HO80" s="212" t="n"/>
      <c r="HP80" s="212" t="n"/>
      <c r="HQ80" s="212" t="n"/>
      <c r="HR80" s="212" t="n"/>
      <c r="HS80" s="212" t="n"/>
      <c r="HT80" s="212" t="n"/>
      <c r="HU80" s="212" t="n"/>
      <c r="HV80" s="212" t="n"/>
      <c r="HW80" s="212" t="n"/>
      <c r="HX80" s="212" t="n"/>
      <c r="HY80" s="212" t="n"/>
      <c r="HZ80" s="212" t="n"/>
      <c r="IA80" s="212" t="n"/>
      <c r="IB80" s="212" t="n"/>
      <c r="IC80" s="212" t="n"/>
      <c r="ID80" s="212" t="n"/>
      <c r="IE80" s="212" t="n"/>
      <c r="IF80" s="212" t="n"/>
      <c r="IG80" s="212" t="n"/>
      <c r="IH80" s="212" t="n"/>
      <c r="II80" s="212" t="n"/>
      <c r="IJ80" s="212" t="n"/>
      <c r="IK80" s="212" t="n"/>
      <c r="IL80" s="212" t="n"/>
      <c r="IM80" s="212" t="n"/>
      <c r="IN80" s="212" t="n"/>
      <c r="IO80" s="212" t="n"/>
      <c r="IP80" s="212" t="n"/>
      <c r="IQ80" s="212" t="n"/>
      <c r="IR80" s="212" t="n"/>
      <c r="IS80" s="212" t="n"/>
      <c r="IT80" s="212" t="n"/>
      <c r="IU80" s="212" t="n"/>
      <c r="IV80" s="212" t="n"/>
      <c r="IW80" s="212" t="n"/>
      <c r="IX80" s="212" t="n"/>
      <c r="IY80" s="212" t="n"/>
      <c r="IZ80" s="212" t="n"/>
      <c r="JA80" s="212" t="n"/>
      <c r="JB80" s="212" t="n"/>
      <c r="JC80" s="212" t="n"/>
      <c r="JD80" s="212" t="n"/>
      <c r="JE80" s="212" t="n"/>
      <c r="JF80" s="212" t="n"/>
      <c r="JG80" s="212" t="n"/>
      <c r="JH80" s="212" t="n"/>
      <c r="JI80" s="212" t="n"/>
      <c r="JJ80" s="212" t="n"/>
      <c r="JK80" s="212" t="n"/>
      <c r="JL80" s="212" t="n"/>
      <c r="JM80" s="212" t="n"/>
      <c r="JN80" s="212" t="n"/>
      <c r="JO80" s="212" t="n"/>
      <c r="JP80" s="212" t="n"/>
      <c r="JQ80" s="212" t="n"/>
      <c r="JR80" s="212" t="n"/>
      <c r="JS80" s="212" t="n"/>
      <c r="JT80" s="212" t="n"/>
      <c r="JU80" s="212" t="n"/>
      <c r="JV80" s="212" t="n"/>
      <c r="JW80" s="212" t="n"/>
      <c r="JX80" s="212" t="n"/>
      <c r="JY80" s="212" t="n"/>
      <c r="JZ80" s="212" t="n"/>
      <c r="KA80" s="212" t="n"/>
      <c r="KB80" s="212" t="n"/>
      <c r="KC80" s="212" t="n"/>
      <c r="KD80" s="212" t="n"/>
      <c r="KE80" s="212" t="n"/>
      <c r="KF80" s="212" t="n"/>
      <c r="KG80" s="212" t="n"/>
      <c r="KH80" s="212" t="n"/>
      <c r="KI80" s="212" t="n"/>
      <c r="KJ80" s="212" t="n"/>
      <c r="KK80" s="212" t="n"/>
      <c r="KL80" s="212" t="n"/>
      <c r="KM80" s="212" t="n"/>
      <c r="KN80" s="212" t="n"/>
      <c r="KO80" s="212" t="n"/>
      <c r="KP80" s="212" t="n"/>
      <c r="KQ80" s="212" t="n"/>
      <c r="KR80" s="212" t="n"/>
      <c r="KS80" s="212" t="n"/>
      <c r="KT80" s="212" t="n"/>
      <c r="KU80" s="212" t="n"/>
      <c r="KV80" s="212" t="n"/>
      <c r="KW80" s="212" t="n"/>
      <c r="KX80" s="212" t="n"/>
      <c r="KY80" s="212" t="n"/>
      <c r="KZ80" s="212" t="n"/>
      <c r="LA80" s="212" t="n"/>
      <c r="LB80" s="212" t="n"/>
      <c r="LC80" s="212" t="n"/>
      <c r="LD80" s="212" t="n"/>
      <c r="LE80" s="212" t="n"/>
      <c r="LF80" s="212" t="n"/>
      <c r="LG80" s="212" t="n"/>
      <c r="LH80" s="212" t="n"/>
      <c r="LI80" s="212" t="n"/>
      <c r="LJ80" s="212" t="n"/>
      <c r="LK80" s="212" t="n"/>
      <c r="LL80" s="212" t="n"/>
      <c r="LM80" s="212" t="n"/>
      <c r="LN80" s="212" t="n"/>
      <c r="LO80" s="212" t="n"/>
      <c r="LP80" s="212" t="n"/>
      <c r="LQ80" s="212" t="n"/>
      <c r="LR80" s="212" t="n"/>
      <c r="LS80" s="212" t="n"/>
      <c r="LT80" s="212" t="n"/>
      <c r="LU80" s="212" t="n"/>
      <c r="LV80" s="212" t="n"/>
      <c r="LW80" s="212" t="n"/>
      <c r="LX80" s="212" t="n"/>
      <c r="LY80" s="212" t="n"/>
      <c r="LZ80" s="212" t="n"/>
      <c r="MA80" s="212" t="n"/>
      <c r="MB80" s="212" t="n"/>
      <c r="MC80" s="212" t="n"/>
      <c r="MD80" s="212" t="n"/>
      <c r="ME80" s="212" t="n"/>
      <c r="MF80" s="212" t="n"/>
      <c r="MG80" s="212" t="n"/>
      <c r="MH80" s="212" t="n"/>
      <c r="MI80" s="212" t="n"/>
      <c r="MJ80" s="212" t="n"/>
      <c r="MK80" s="212" t="n"/>
      <c r="ML80" s="212" t="n"/>
      <c r="MM80" s="212" t="n"/>
      <c r="MN80" s="212" t="n"/>
      <c r="MO80" s="212" t="n"/>
      <c r="MP80" s="212" t="n"/>
      <c r="MQ80" s="212" t="n"/>
      <c r="MR80" s="212" t="n"/>
      <c r="MS80" s="212" t="n"/>
      <c r="MT80" s="212" t="n"/>
      <c r="MU80" s="212" t="n"/>
      <c r="MV80" s="212" t="n"/>
      <c r="MW80" s="212" t="n"/>
      <c r="MX80" s="212" t="n"/>
      <c r="MY80" s="212" t="n"/>
      <c r="MZ80" s="212" t="n"/>
      <c r="NA80" s="212" t="n"/>
      <c r="NB80" s="212" t="n"/>
      <c r="NC80" s="212" t="n"/>
      <c r="ND80" s="212" t="n"/>
      <c r="NE80" s="212" t="n"/>
      <c r="NF80" s="212" t="n"/>
      <c r="NG80" s="212" t="n"/>
      <c r="NH80" s="212" t="n"/>
      <c r="NI80" s="212" t="n"/>
      <c r="NJ80" s="212" t="n"/>
      <c r="NK80" s="212" t="n"/>
      <c r="NL80" s="212" t="n"/>
      <c r="NM80" s="212" t="n"/>
      <c r="NN80" s="212" t="n"/>
      <c r="NO80" s="212" t="n"/>
      <c r="NP80" s="212" t="n"/>
      <c r="NQ80" s="212" t="n"/>
      <c r="NR80" s="212" t="n"/>
      <c r="NS80" s="212" t="n"/>
      <c r="NT80" s="212" t="n"/>
      <c r="NU80" s="212" t="n"/>
      <c r="NV80" s="212" t="n"/>
      <c r="NW80" s="212" t="n"/>
      <c r="NX80" s="212" t="n"/>
      <c r="NY80" s="212" t="n"/>
      <c r="NZ80" s="212" t="n"/>
      <c r="OA80" s="212" t="n"/>
      <c r="OB80" s="212" t="n"/>
      <c r="OC80" s="212" t="n"/>
      <c r="OD80" s="212" t="n"/>
      <c r="OE80" s="212" t="n"/>
      <c r="OF80" s="212" t="n"/>
      <c r="OG80" s="212" t="n"/>
      <c r="OH80" s="212" t="n"/>
      <c r="OI80" s="212" t="n"/>
      <c r="OJ80" s="212" t="n"/>
      <c r="OK80" s="212" t="n"/>
      <c r="OL80" s="212" t="n"/>
      <c r="OM80" s="212" t="n"/>
      <c r="ON80" s="212" t="n"/>
      <c r="OO80" s="212" t="n"/>
      <c r="OP80" s="212" t="n"/>
      <c r="OQ80" s="212" t="n"/>
      <c r="OR80" s="212" t="n"/>
      <c r="OS80" s="212" t="n"/>
      <c r="OT80" s="212" t="n"/>
      <c r="OU80" s="212" t="n"/>
      <c r="OV80" s="212" t="n"/>
      <c r="OW80" s="212" t="n"/>
      <c r="OX80" s="212" t="n"/>
      <c r="OY80" s="212" t="n"/>
      <c r="OZ80" s="212" t="n"/>
      <c r="PA80" s="212" t="n"/>
      <c r="PB80" s="212" t="n"/>
      <c r="PC80" s="212" t="n"/>
      <c r="PD80" s="212" t="n"/>
      <c r="PE80" s="212" t="n"/>
      <c r="PF80" s="212" t="n"/>
      <c r="PG80" s="212" t="n"/>
      <c r="PH80" s="212" t="n"/>
      <c r="PI80" s="212" t="n"/>
      <c r="PJ80" s="212" t="n"/>
      <c r="PK80" s="212" t="n"/>
      <c r="PL80" s="212" t="n"/>
      <c r="PM80" s="212" t="n"/>
      <c r="PN80" s="212" t="n"/>
      <c r="PO80" s="212" t="n"/>
      <c r="PP80" s="212" t="n"/>
      <c r="PQ80" s="212" t="n"/>
      <c r="PR80" s="212" t="n"/>
      <c r="PS80" s="212" t="n"/>
      <c r="PT80" s="212" t="n"/>
      <c r="PU80" s="212" t="n"/>
      <c r="PV80" s="212" t="n"/>
      <c r="PW80" s="212" t="n"/>
      <c r="PX80" s="212" t="n"/>
      <c r="PY80" s="212" t="n"/>
      <c r="PZ80" s="212" t="n"/>
      <c r="QA80" s="212" t="n"/>
      <c r="QB80" s="212" t="n"/>
      <c r="QC80" s="212" t="n"/>
      <c r="QD80" s="212" t="n"/>
      <c r="QE80" s="212" t="n"/>
      <c r="QF80" s="212" t="n"/>
      <c r="QG80" s="212" t="n"/>
      <c r="QH80" s="212" t="n"/>
      <c r="QI80" s="212" t="n"/>
      <c r="QJ80" s="212" t="n"/>
      <c r="QK80" s="212" t="n"/>
      <c r="QL80" s="212" t="n"/>
      <c r="QM80" s="212" t="n"/>
      <c r="QN80" s="212" t="n"/>
      <c r="QO80" s="212" t="n"/>
      <c r="QP80" s="212" t="n"/>
      <c r="QQ80" s="212" t="n"/>
      <c r="QR80" s="212" t="n"/>
      <c r="QS80" s="212" t="n"/>
      <c r="QT80" s="212" t="n"/>
      <c r="QU80" s="212" t="n"/>
      <c r="QV80" s="212" t="n"/>
      <c r="QW80" s="212" t="n"/>
      <c r="QX80" s="212" t="n"/>
      <c r="QY80" s="212" t="n"/>
      <c r="QZ80" s="212" t="n"/>
      <c r="RA80" s="212" t="n"/>
      <c r="RB80" s="212" t="n"/>
      <c r="RC80" s="212" t="n"/>
      <c r="RD80" s="212" t="n"/>
      <c r="RE80" s="212" t="n"/>
      <c r="RF80" s="212" t="n"/>
      <c r="RG80" s="212" t="n"/>
      <c r="RH80" s="212" t="n"/>
      <c r="RI80" s="212" t="n"/>
      <c r="RJ80" s="212" t="n"/>
      <c r="RK80" s="212" t="n"/>
      <c r="RL80" s="212" t="n"/>
      <c r="RM80" s="212" t="n"/>
      <c r="RN80" s="212" t="n"/>
      <c r="RO80" s="212" t="n"/>
      <c r="RP80" s="212" t="n"/>
      <c r="RQ80" s="212" t="n"/>
      <c r="RR80" s="212" t="n"/>
      <c r="RS80" s="212" t="n"/>
      <c r="RT80" s="212" t="n"/>
      <c r="RU80" s="212" t="n"/>
      <c r="RV80" s="212" t="n"/>
      <c r="RW80" s="212" t="n"/>
      <c r="RX80" s="212" t="n"/>
      <c r="RY80" s="212" t="n"/>
      <c r="RZ80" s="212" t="n"/>
      <c r="SA80" s="212" t="n"/>
      <c r="SB80" s="212" t="n"/>
      <c r="SC80" s="212" t="n"/>
      <c r="SD80" s="212" t="n"/>
      <c r="SE80" s="212" t="n"/>
      <c r="SF80" s="212" t="n"/>
      <c r="SG80" s="212" t="n"/>
      <c r="SH80" s="212" t="n"/>
      <c r="SI80" s="212" t="n"/>
      <c r="SJ80" s="212" t="n"/>
      <c r="SK80" s="212" t="n"/>
      <c r="SL80" s="212" t="n"/>
      <c r="SM80" s="212" t="n"/>
      <c r="SN80" s="212" t="n"/>
      <c r="SO80" s="212" t="n"/>
      <c r="SP80" s="212" t="n"/>
      <c r="SQ80" s="212" t="n"/>
      <c r="SR80" s="212" t="n"/>
      <c r="SS80" s="212" t="n"/>
      <c r="ST80" s="212" t="n"/>
      <c r="SU80" s="212" t="n"/>
      <c r="SV80" s="212" t="n"/>
    </row>
    <row r="81">
      <c r="B81" s="209" t="inlineStr">
        <is>
          <t>N/A</t>
        </is>
      </c>
      <c r="C81" s="209" t="inlineStr">
        <is>
          <t>Wabtec</t>
        </is>
      </c>
      <c r="D81" s="209" t="inlineStr">
        <is>
          <t>James</t>
        </is>
      </c>
      <c r="E81" s="209" t="inlineStr">
        <is>
          <t>Vann</t>
        </is>
      </c>
      <c r="F81" s="209">
        <f>IF(TRIM(D81&amp;E81)="","",TRIM(D81)&amp;" "&amp;TRIM(E81))</f>
        <v/>
      </c>
      <c r="G81" s="209" t="inlineStr">
        <is>
          <t>Perth</t>
        </is>
      </c>
      <c r="H81" s="209" t="inlineStr">
        <is>
          <t>Electrician</t>
        </is>
      </c>
      <c r="I81" s="209" t="inlineStr">
        <is>
          <t>YES</t>
        </is>
      </c>
      <c r="J81" s="209" t="inlineStr">
        <is>
          <t>YES</t>
        </is>
      </c>
      <c r="K81" s="209" t="inlineStr">
        <is>
          <t>YES</t>
        </is>
      </c>
      <c r="L81" s="209" t="inlineStr">
        <is>
          <t>YES</t>
        </is>
      </c>
      <c r="M81" s="209" t="inlineStr">
        <is>
          <t>Quals Complete</t>
        </is>
      </c>
      <c r="N81" s="209" t="inlineStr">
        <is>
          <t>james.vann@wabtec.com</t>
        </is>
      </c>
      <c r="O81" s="209" t="inlineStr">
        <is>
          <t>0402 184 649</t>
        </is>
      </c>
      <c r="P81" s="209" t="n">
        <v>727758</v>
      </c>
      <c r="Q81" s="209" t="n">
        <v>373466</v>
      </c>
      <c r="R81" s="209" t="inlineStr">
        <is>
          <t>2:1</t>
        </is>
      </c>
      <c r="S81" s="210" t="inlineStr">
        <is>
          <t>N/A</t>
        </is>
      </c>
      <c r="T81" s="210" t="inlineStr">
        <is>
          <t>N/A</t>
        </is>
      </c>
      <c r="U81" s="210" t="inlineStr">
        <is>
          <t>N/A</t>
        </is>
      </c>
      <c r="V81" s="210" t="inlineStr">
        <is>
          <t>N/A</t>
        </is>
      </c>
      <c r="W81" s="211" t="inlineStr">
        <is>
          <t>PER/PHE PM
LND</t>
        </is>
      </c>
      <c r="X81" s="211" t="inlineStr">
        <is>
          <t>LND</t>
        </is>
      </c>
      <c r="Y81" s="211" t="inlineStr">
        <is>
          <t>LND</t>
        </is>
      </c>
      <c r="Z81" s="211" t="inlineStr">
        <is>
          <t>LND</t>
        </is>
      </c>
      <c r="AA81" s="211" t="inlineStr">
        <is>
          <t>LND</t>
        </is>
      </c>
      <c r="AB81" s="211" t="inlineStr">
        <is>
          <t>LND</t>
        </is>
      </c>
      <c r="AC81" s="211" t="inlineStr">
        <is>
          <t>LND</t>
        </is>
      </c>
      <c r="AD81" s="211" t="inlineStr">
        <is>
          <t>LND</t>
        </is>
      </c>
      <c r="AE81" s="211" t="inlineStr">
        <is>
          <t>PHE/PER PM</t>
        </is>
      </c>
      <c r="AF81" s="222" t="inlineStr">
        <is>
          <t>RnR</t>
        </is>
      </c>
      <c r="AG81" s="222" t="inlineStr">
        <is>
          <t>RnR</t>
        </is>
      </c>
      <c r="AH81" s="222" t="inlineStr">
        <is>
          <t>RnR</t>
        </is>
      </c>
      <c r="AI81" s="222" t="inlineStr">
        <is>
          <t>RnR</t>
        </is>
      </c>
      <c r="AJ81" s="222" t="inlineStr">
        <is>
          <t>RnR</t>
        </is>
      </c>
      <c r="AK81" s="211" t="inlineStr">
        <is>
          <t>PER/PHE PM
GTW</t>
        </is>
      </c>
      <c r="AL81" s="211" t="inlineStr">
        <is>
          <t>GWV</t>
        </is>
      </c>
      <c r="AM81" s="211" t="inlineStr">
        <is>
          <t>GWV</t>
        </is>
      </c>
      <c r="AN81" s="211" t="inlineStr">
        <is>
          <t>GWV</t>
        </is>
      </c>
      <c r="AO81" s="211" t="inlineStr">
        <is>
          <t>GWV</t>
        </is>
      </c>
      <c r="AP81" s="211" t="inlineStr">
        <is>
          <t>GWV</t>
        </is>
      </c>
      <c r="AQ81" s="211" t="inlineStr">
        <is>
          <t>GWV</t>
        </is>
      </c>
      <c r="AR81" s="211" t="inlineStr">
        <is>
          <t>GWV</t>
        </is>
      </c>
      <c r="AS81" s="211" t="inlineStr">
        <is>
          <t>GWV</t>
        </is>
      </c>
      <c r="AT81" s="211" t="inlineStr">
        <is>
          <t>GWV</t>
        </is>
      </c>
      <c r="AU81" s="211" t="inlineStr">
        <is>
          <t>GWV</t>
        </is>
      </c>
      <c r="AV81" s="211" t="inlineStr">
        <is>
          <t>GWV</t>
        </is>
      </c>
      <c r="AW81" s="211" t="inlineStr">
        <is>
          <t>GWV</t>
        </is>
      </c>
      <c r="AX81" s="211" t="inlineStr">
        <is>
          <t>GWV</t>
        </is>
      </c>
      <c r="AY81" s="211" t="inlineStr">
        <is>
          <t>PHE/PER PM</t>
        </is>
      </c>
      <c r="AZ81" s="222" t="inlineStr">
        <is>
          <t>RnR</t>
        </is>
      </c>
      <c r="BA81" s="222" t="inlineStr">
        <is>
          <t>RnR</t>
        </is>
      </c>
      <c r="BB81" s="222" t="inlineStr">
        <is>
          <t>RnR</t>
        </is>
      </c>
      <c r="BC81" s="222" t="inlineStr">
        <is>
          <t>RnR</t>
        </is>
      </c>
      <c r="BD81" s="222" t="inlineStr">
        <is>
          <t>RnR</t>
        </is>
      </c>
      <c r="BE81" s="222" t="inlineStr">
        <is>
          <t>RnR</t>
        </is>
      </c>
      <c r="BF81" s="223" t="inlineStr">
        <is>
          <t>Demobilised - Advised 29th September 2026 @ 13:39</t>
        </is>
      </c>
      <c r="BG81" s="212" t="n"/>
      <c r="BH81" s="212" t="n"/>
      <c r="BI81" s="212" t="n"/>
      <c r="BJ81" s="212" t="n"/>
      <c r="BK81" s="212" t="n"/>
      <c r="BL81" s="212" t="n"/>
      <c r="BM81" s="212" t="n"/>
      <c r="BN81" s="212" t="n"/>
      <c r="BO81" s="212" t="n"/>
      <c r="BP81" s="212" t="n"/>
      <c r="BQ81" s="212" t="n"/>
      <c r="BR81" s="212" t="n"/>
      <c r="BS81" s="212" t="n"/>
      <c r="BT81" s="212" t="n"/>
      <c r="BU81" s="222" t="inlineStr">
        <is>
          <t>RnR</t>
        </is>
      </c>
      <c r="BV81" s="222" t="inlineStr">
        <is>
          <t>RnR</t>
        </is>
      </c>
      <c r="BW81" s="222" t="inlineStr">
        <is>
          <t>RnR</t>
        </is>
      </c>
      <c r="BX81" s="222" t="inlineStr">
        <is>
          <t>RnR</t>
        </is>
      </c>
      <c r="BY81" s="222" t="inlineStr">
        <is>
          <t>RnR</t>
        </is>
      </c>
      <c r="BZ81" s="222" t="inlineStr">
        <is>
          <t>RnR</t>
        </is>
      </c>
      <c r="CA81" s="223" t="inlineStr">
        <is>
          <t>Demobilised - Advised 29th September 2026 @ 13:39</t>
        </is>
      </c>
      <c r="CB81" s="212" t="n"/>
      <c r="CC81" s="212" t="n"/>
      <c r="CD81" s="212" t="n"/>
      <c r="CE81" s="212" t="n"/>
      <c r="CF81" s="212" t="n"/>
      <c r="CG81" s="212" t="n"/>
      <c r="CH81" s="212" t="n"/>
      <c r="CI81" s="212" t="n"/>
      <c r="CJ81" s="212" t="n"/>
      <c r="CK81" s="212" t="n"/>
      <c r="CL81" s="212" t="n"/>
      <c r="CM81" s="212" t="n"/>
      <c r="CN81" s="212" t="n"/>
      <c r="CO81" s="212" t="n"/>
      <c r="CP81" s="210" t="inlineStr">
        <is>
          <t>N/A</t>
        </is>
      </c>
      <c r="CQ81" s="210" t="inlineStr">
        <is>
          <t>N/A</t>
        </is>
      </c>
      <c r="CR81" s="210" t="inlineStr">
        <is>
          <t>N/A</t>
        </is>
      </c>
      <c r="CS81" s="210" t="inlineStr">
        <is>
          <t>N/A</t>
        </is>
      </c>
      <c r="CT81" s="210" t="inlineStr">
        <is>
          <t>N/A</t>
        </is>
      </c>
      <c r="CU81" s="210" t="inlineStr">
        <is>
          <t>N/A</t>
        </is>
      </c>
      <c r="CV81" s="210" t="inlineStr">
        <is>
          <t>N/A</t>
        </is>
      </c>
      <c r="CW81" s="210" t="inlineStr">
        <is>
          <t>N/A</t>
        </is>
      </c>
      <c r="CX81" s="210" t="inlineStr">
        <is>
          <t>N/A</t>
        </is>
      </c>
      <c r="CY81" s="210" t="inlineStr">
        <is>
          <t>N/A</t>
        </is>
      </c>
      <c r="CZ81" s="210" t="inlineStr">
        <is>
          <t>N/A</t>
        </is>
      </c>
      <c r="DA81" s="210" t="inlineStr">
        <is>
          <t>N/A</t>
        </is>
      </c>
      <c r="DB81" s="210" t="inlineStr">
        <is>
          <t>N/A</t>
        </is>
      </c>
      <c r="DC81" s="210" t="inlineStr">
        <is>
          <t>N/A</t>
        </is>
      </c>
      <c r="DD81" s="210" t="inlineStr">
        <is>
          <t>N/A</t>
        </is>
      </c>
      <c r="DE81" s="210" t="inlineStr">
        <is>
          <t>N/A</t>
        </is>
      </c>
      <c r="DF81" s="210" t="inlineStr">
        <is>
          <t>N/A</t>
        </is>
      </c>
      <c r="DG81" s="210" t="inlineStr">
        <is>
          <t>N/A</t>
        </is>
      </c>
      <c r="DH81" s="210" t="inlineStr">
        <is>
          <t>N/A</t>
        </is>
      </c>
      <c r="DI81" s="210" t="inlineStr">
        <is>
          <t>N/A</t>
        </is>
      </c>
      <c r="DJ81" s="210" t="inlineStr">
        <is>
          <t>N/A</t>
        </is>
      </c>
      <c r="DK81" s="210" t="inlineStr">
        <is>
          <t>N/A</t>
        </is>
      </c>
      <c r="DL81" s="210" t="inlineStr">
        <is>
          <t>N/A</t>
        </is>
      </c>
      <c r="DM81" s="210" t="inlineStr">
        <is>
          <t>N/A</t>
        </is>
      </c>
      <c r="DN81" s="210" t="inlineStr">
        <is>
          <t>N/A</t>
        </is>
      </c>
      <c r="DO81" s="210" t="inlineStr">
        <is>
          <t>N/A</t>
        </is>
      </c>
      <c r="DP81" s="210" t="inlineStr">
        <is>
          <t>N/A</t>
        </is>
      </c>
      <c r="DQ81" s="210" t="inlineStr">
        <is>
          <t>N/A</t>
        </is>
      </c>
      <c r="DR81" s="210" t="inlineStr">
        <is>
          <t>N/A</t>
        </is>
      </c>
      <c r="DS81" s="212" t="n"/>
      <c r="DT81" s="212" t="n"/>
      <c r="DU81" s="212" t="n"/>
      <c r="DV81" s="212" t="n"/>
      <c r="DW81" s="212" t="n"/>
      <c r="DX81" s="212" t="n"/>
      <c r="DY81" s="212" t="n"/>
      <c r="DZ81" s="212" t="n"/>
      <c r="EA81" s="212" t="n"/>
      <c r="EB81" s="212" t="n"/>
      <c r="EC81" s="212" t="n"/>
      <c r="ED81" s="212" t="n"/>
      <c r="EE81" s="212" t="n"/>
      <c r="EF81" s="212" t="n"/>
      <c r="EG81" s="212" t="n"/>
      <c r="EH81" s="212" t="n"/>
      <c r="EI81" s="212" t="n"/>
      <c r="EJ81" s="212" t="n"/>
      <c r="EK81" s="212" t="n"/>
      <c r="EL81" s="212" t="n"/>
      <c r="EM81" s="212" t="n"/>
      <c r="EN81" s="212" t="n"/>
      <c r="EO81" s="212" t="n"/>
      <c r="EP81" s="212" t="n"/>
      <c r="EQ81" s="212" t="n"/>
      <c r="ER81" s="212" t="n"/>
      <c r="ES81" s="212" t="n"/>
      <c r="ET81" s="212" t="n"/>
      <c r="EU81" s="212" t="n"/>
      <c r="EV81" s="212" t="n"/>
      <c r="EW81" s="212" t="n"/>
      <c r="EX81" s="212" t="n"/>
      <c r="EY81" s="212" t="n"/>
      <c r="EZ81" s="212" t="n"/>
      <c r="FA81" s="212" t="n"/>
      <c r="FB81" s="212" t="n"/>
      <c r="FC81" s="212" t="n"/>
      <c r="FD81" s="212" t="n"/>
      <c r="FE81" s="212" t="n"/>
      <c r="FF81" s="212" t="n"/>
      <c r="FG81" s="212" t="n"/>
      <c r="FH81" s="212" t="n"/>
      <c r="FI81" s="212" t="n"/>
      <c r="FJ81" s="212" t="n"/>
      <c r="FK81" s="212" t="n"/>
      <c r="FL81" s="212" t="n"/>
      <c r="FM81" s="212" t="n"/>
      <c r="FN81" s="212" t="n"/>
      <c r="FO81" s="212" t="n"/>
      <c r="FP81" s="212" t="n"/>
      <c r="FQ81" s="212" t="n"/>
      <c r="FR81" s="212" t="n"/>
      <c r="FS81" s="212" t="n"/>
      <c r="FT81" s="212" t="n"/>
      <c r="FU81" s="212" t="n"/>
      <c r="FV81" s="212" t="n"/>
      <c r="FW81" s="212" t="n"/>
      <c r="FX81" s="212" t="n"/>
      <c r="FY81" s="212" t="n"/>
      <c r="FZ81" s="212" t="n"/>
      <c r="GA81" s="212" t="n"/>
      <c r="GB81" s="212" t="n"/>
      <c r="GC81" s="212" t="n"/>
      <c r="GD81" s="212" t="n"/>
      <c r="GE81" s="212" t="n"/>
      <c r="GF81" s="212" t="n"/>
      <c r="GG81" s="212" t="n"/>
      <c r="GH81" s="212" t="n"/>
      <c r="GI81" s="212" t="n"/>
      <c r="GJ81" s="212" t="n"/>
      <c r="GK81" s="212" t="n"/>
      <c r="GL81" s="212" t="n"/>
      <c r="GM81" s="212" t="n"/>
      <c r="GN81" s="212" t="n"/>
      <c r="GO81" s="212" t="n"/>
      <c r="GP81" s="212" t="n"/>
      <c r="GQ81" s="212" t="n"/>
      <c r="GR81" s="212" t="n"/>
      <c r="GS81" s="212" t="n"/>
      <c r="GT81" s="212" t="n"/>
      <c r="GU81" s="212" t="n"/>
      <c r="GV81" s="212" t="n"/>
      <c r="GW81" s="212" t="n"/>
      <c r="GX81" s="212" t="n"/>
      <c r="GY81" s="212" t="n"/>
      <c r="GZ81" s="212" t="n"/>
      <c r="HA81" s="212" t="n"/>
      <c r="HB81" s="212" t="n"/>
      <c r="HC81" s="212" t="n"/>
      <c r="HD81" s="212" t="n"/>
      <c r="HE81" s="212" t="n"/>
      <c r="HF81" s="212" t="n"/>
      <c r="HG81" s="212" t="n"/>
      <c r="HH81" s="212" t="n"/>
      <c r="HI81" s="212" t="n"/>
      <c r="HJ81" s="212" t="n"/>
      <c r="HK81" s="212" t="n"/>
      <c r="HL81" s="212" t="n"/>
      <c r="HM81" s="212" t="n"/>
      <c r="HN81" s="212" t="n"/>
      <c r="HO81" s="212" t="n"/>
      <c r="HP81" s="212" t="n"/>
      <c r="HQ81" s="212" t="n"/>
      <c r="HR81" s="212" t="n"/>
      <c r="HS81" s="212" t="n"/>
      <c r="HT81" s="212" t="n"/>
      <c r="HU81" s="212" t="n"/>
      <c r="HV81" s="212" t="n"/>
      <c r="HW81" s="212" t="n"/>
      <c r="HX81" s="212" t="n"/>
      <c r="HY81" s="212" t="n"/>
      <c r="HZ81" s="212" t="n"/>
      <c r="IA81" s="212" t="n"/>
      <c r="IB81" s="212" t="n"/>
      <c r="IC81" s="212" t="n"/>
      <c r="ID81" s="212" t="n"/>
      <c r="IE81" s="212" t="n"/>
      <c r="IF81" s="212" t="n"/>
      <c r="IG81" s="212" t="n"/>
      <c r="IH81" s="212" t="n"/>
      <c r="II81" s="212" t="n"/>
      <c r="IJ81" s="212" t="n"/>
      <c r="IK81" s="212" t="n"/>
      <c r="IL81" s="212" t="n"/>
      <c r="IM81" s="212" t="n"/>
      <c r="IN81" s="212" t="n"/>
      <c r="IO81" s="212" t="n"/>
      <c r="IP81" s="212" t="n"/>
      <c r="IQ81" s="212" t="n"/>
      <c r="IR81" s="212" t="n"/>
      <c r="IS81" s="212" t="n"/>
      <c r="IT81" s="212" t="n"/>
      <c r="IU81" s="212" t="n"/>
      <c r="IV81" s="212" t="n"/>
      <c r="IW81" s="212" t="n"/>
      <c r="IX81" s="212" t="n"/>
      <c r="IY81" s="212" t="n"/>
      <c r="IZ81" s="212" t="n"/>
      <c r="JA81" s="212" t="n"/>
      <c r="JB81" s="212" t="n"/>
      <c r="JC81" s="212" t="n"/>
      <c r="JD81" s="212" t="n"/>
      <c r="JE81" s="212" t="n"/>
      <c r="JF81" s="212" t="n"/>
      <c r="JG81" s="212" t="n"/>
      <c r="JH81" s="212" t="n"/>
      <c r="JI81" s="212" t="n"/>
      <c r="JJ81" s="212" t="n"/>
      <c r="JK81" s="212" t="n"/>
      <c r="JL81" s="212" t="n"/>
      <c r="JM81" s="212" t="n"/>
      <c r="JN81" s="212" t="n"/>
      <c r="JO81" s="212" t="n"/>
      <c r="JP81" s="212" t="n"/>
      <c r="JQ81" s="212" t="n"/>
      <c r="JR81" s="212" t="n"/>
      <c r="JS81" s="212" t="n"/>
      <c r="JT81" s="212" t="n"/>
      <c r="JU81" s="212" t="n"/>
      <c r="JV81" s="212" t="n"/>
      <c r="JW81" s="212" t="n"/>
      <c r="JX81" s="212" t="n"/>
      <c r="JY81" s="212" t="n"/>
      <c r="JZ81" s="212" t="n"/>
      <c r="KA81" s="212" t="n"/>
      <c r="KB81" s="212" t="n"/>
      <c r="KC81" s="212" t="n"/>
      <c r="KD81" s="212" t="n"/>
      <c r="KE81" s="212" t="n"/>
      <c r="KF81" s="212" t="n"/>
      <c r="KG81" s="212" t="n"/>
      <c r="KH81" s="212" t="n"/>
      <c r="KI81" s="212" t="n"/>
      <c r="KJ81" s="212" t="n"/>
      <c r="KK81" s="212" t="n"/>
      <c r="KL81" s="212" t="n"/>
      <c r="KM81" s="212" t="n"/>
      <c r="KN81" s="212" t="n"/>
      <c r="KO81" s="212" t="n"/>
      <c r="KP81" s="212" t="n"/>
      <c r="KQ81" s="212" t="n"/>
      <c r="KR81" s="212" t="n"/>
      <c r="KS81" s="212" t="n"/>
      <c r="KT81" s="212" t="n"/>
      <c r="KU81" s="212" t="n"/>
      <c r="KV81" s="212" t="n"/>
      <c r="KW81" s="212" t="n"/>
      <c r="KX81" s="212" t="n"/>
      <c r="KY81" s="212" t="n"/>
      <c r="KZ81" s="212" t="n"/>
      <c r="LA81" s="212" t="n"/>
      <c r="LB81" s="212" t="n"/>
      <c r="LC81" s="212" t="n"/>
      <c r="LD81" s="212" t="n"/>
      <c r="LE81" s="212" t="n"/>
      <c r="LF81" s="212" t="n"/>
      <c r="LG81" s="212" t="n"/>
      <c r="LH81" s="212" t="n"/>
      <c r="LI81" s="212" t="n"/>
      <c r="LJ81" s="212" t="n"/>
      <c r="LK81" s="212" t="n"/>
      <c r="LL81" s="212" t="n"/>
      <c r="LM81" s="212" t="n"/>
      <c r="LN81" s="212" t="n"/>
      <c r="LO81" s="212" t="n"/>
      <c r="LP81" s="212" t="n"/>
      <c r="LQ81" s="212" t="n"/>
      <c r="LR81" s="212" t="n"/>
      <c r="LS81" s="212" t="n"/>
      <c r="LT81" s="212" t="n"/>
      <c r="LU81" s="212" t="n"/>
      <c r="LV81" s="212" t="n"/>
      <c r="LW81" s="212" t="n"/>
      <c r="LX81" s="212" t="n"/>
      <c r="LY81" s="212" t="n"/>
      <c r="LZ81" s="212" t="n"/>
      <c r="MA81" s="212" t="n"/>
      <c r="MB81" s="212" t="n"/>
      <c r="MC81" s="212" t="n"/>
      <c r="MD81" s="212" t="n"/>
      <c r="ME81" s="212" t="n"/>
      <c r="MF81" s="212" t="n"/>
      <c r="MG81" s="212" t="n"/>
      <c r="MH81" s="212" t="n"/>
      <c r="MI81" s="212" t="n"/>
      <c r="MJ81" s="212" t="n"/>
      <c r="MK81" s="212" t="n"/>
      <c r="ML81" s="212" t="n"/>
      <c r="MM81" s="212" t="n"/>
      <c r="MN81" s="212" t="n"/>
      <c r="MO81" s="212" t="n"/>
      <c r="MP81" s="212" t="n"/>
      <c r="MQ81" s="212" t="n"/>
      <c r="MR81" s="212" t="n"/>
      <c r="MS81" s="212" t="n"/>
      <c r="MT81" s="212" t="n"/>
      <c r="MU81" s="212" t="n"/>
      <c r="MV81" s="212" t="n"/>
      <c r="MW81" s="212" t="n"/>
      <c r="MX81" s="212" t="n"/>
      <c r="MY81" s="212" t="n"/>
      <c r="MZ81" s="212" t="n"/>
      <c r="NA81" s="212" t="n"/>
      <c r="NB81" s="212" t="n"/>
      <c r="NC81" s="212" t="n"/>
      <c r="ND81" s="212" t="n"/>
      <c r="NE81" s="212" t="n"/>
      <c r="NF81" s="212" t="n"/>
      <c r="NG81" s="212" t="n"/>
      <c r="NH81" s="212" t="n"/>
      <c r="NI81" s="212" t="n"/>
      <c r="NJ81" s="212" t="n"/>
      <c r="NK81" s="212" t="n"/>
      <c r="NL81" s="212" t="n"/>
      <c r="NM81" s="212" t="n"/>
      <c r="NN81" s="212" t="n"/>
      <c r="NO81" s="212" t="n"/>
      <c r="NP81" s="212" t="n"/>
      <c r="NQ81" s="212" t="n"/>
      <c r="NR81" s="212" t="n"/>
      <c r="NS81" s="212" t="n"/>
      <c r="NT81" s="212" t="n"/>
      <c r="NU81" s="212" t="n"/>
      <c r="NV81" s="212" t="n"/>
      <c r="NW81" s="212" t="n"/>
      <c r="NX81" s="212" t="n"/>
      <c r="NY81" s="212" t="n"/>
      <c r="NZ81" s="212" t="n"/>
      <c r="OA81" s="212" t="n"/>
      <c r="OB81" s="212" t="n"/>
      <c r="OC81" s="212" t="n"/>
      <c r="OD81" s="212" t="n"/>
      <c r="OE81" s="212" t="n"/>
      <c r="OF81" s="212" t="n"/>
      <c r="OG81" s="212" t="n"/>
      <c r="OH81" s="212" t="n"/>
      <c r="OI81" s="212" t="n"/>
      <c r="OJ81" s="212" t="n"/>
      <c r="OK81" s="212" t="n"/>
      <c r="OL81" s="212" t="n"/>
      <c r="OM81" s="212" t="n"/>
      <c r="ON81" s="212" t="n"/>
      <c r="OO81" s="212" t="n"/>
      <c r="OP81" s="212" t="n"/>
      <c r="OQ81" s="212" t="n"/>
      <c r="OR81" s="212" t="n"/>
      <c r="OS81" s="212" t="n"/>
      <c r="OT81" s="212" t="n"/>
      <c r="OU81" s="212" t="n"/>
      <c r="OV81" s="212" t="n"/>
      <c r="OW81" s="212" t="n"/>
      <c r="OX81" s="212" t="n"/>
      <c r="OY81" s="212" t="n"/>
      <c r="OZ81" s="212" t="n"/>
      <c r="PA81" s="212" t="n"/>
      <c r="PB81" s="212" t="n"/>
      <c r="PC81" s="212" t="n"/>
      <c r="PD81" s="212" t="n"/>
      <c r="PE81" s="212" t="n"/>
      <c r="PF81" s="212" t="n"/>
      <c r="PG81" s="212" t="n"/>
      <c r="PH81" s="212" t="n"/>
      <c r="PI81" s="212" t="n"/>
      <c r="PJ81" s="212" t="n"/>
      <c r="PK81" s="212" t="n"/>
      <c r="PL81" s="212" t="n"/>
      <c r="PM81" s="212" t="n"/>
      <c r="PN81" s="212" t="n"/>
      <c r="PO81" s="212" t="n"/>
      <c r="PP81" s="212" t="n"/>
      <c r="PQ81" s="212" t="n"/>
      <c r="PR81" s="212" t="n"/>
      <c r="PS81" s="212" t="n"/>
      <c r="PT81" s="212" t="n"/>
      <c r="PU81" s="212" t="n"/>
      <c r="PV81" s="212" t="n"/>
      <c r="PW81" s="212" t="n"/>
      <c r="PX81" s="212" t="n"/>
      <c r="PY81" s="212" t="n"/>
      <c r="PZ81" s="212" t="n"/>
      <c r="QA81" s="212" t="n"/>
      <c r="QB81" s="212" t="n"/>
      <c r="QC81" s="212" t="n"/>
      <c r="QD81" s="212" t="n"/>
      <c r="QE81" s="212" t="n"/>
      <c r="QF81" s="212" t="n"/>
      <c r="QG81" s="212" t="n"/>
      <c r="QH81" s="212" t="n"/>
      <c r="QI81" s="212" t="n"/>
      <c r="QJ81" s="212" t="n"/>
      <c r="QK81" s="212" t="n"/>
      <c r="QL81" s="212" t="n"/>
      <c r="QM81" s="212" t="n"/>
      <c r="QN81" s="212" t="n"/>
      <c r="QO81" s="212" t="n"/>
      <c r="QP81" s="212" t="n"/>
      <c r="QQ81" s="212" t="n"/>
      <c r="QR81" s="212" t="n"/>
      <c r="QS81" s="212" t="n"/>
      <c r="QT81" s="212" t="n"/>
      <c r="QU81" s="212" t="n"/>
      <c r="QV81" s="212" t="n"/>
      <c r="QW81" s="212" t="n"/>
      <c r="QX81" s="212" t="n"/>
      <c r="QY81" s="212" t="n"/>
      <c r="QZ81" s="212" t="n"/>
      <c r="RA81" s="212" t="n"/>
      <c r="RB81" s="212" t="n"/>
      <c r="RC81" s="212" t="n"/>
      <c r="RD81" s="212" t="n"/>
      <c r="RE81" s="212" t="n"/>
      <c r="RF81" s="212" t="n"/>
      <c r="RG81" s="212" t="n"/>
      <c r="RH81" s="212" t="n"/>
      <c r="RI81" s="212" t="n"/>
      <c r="RJ81" s="212" t="n"/>
      <c r="RK81" s="212" t="n"/>
      <c r="RL81" s="212" t="n"/>
      <c r="RM81" s="212" t="n"/>
      <c r="RN81" s="212" t="n"/>
      <c r="RO81" s="212" t="n"/>
      <c r="RP81" s="212" t="n"/>
      <c r="RQ81" s="212" t="n"/>
      <c r="RR81" s="212" t="n"/>
      <c r="RS81" s="212" t="n"/>
      <c r="RT81" s="212" t="n"/>
      <c r="RU81" s="212" t="n"/>
      <c r="RV81" s="212" t="n"/>
      <c r="RW81" s="212" t="n"/>
      <c r="RX81" s="212" t="n"/>
      <c r="RY81" s="212" t="n"/>
      <c r="RZ81" s="212" t="n"/>
      <c r="SA81" s="212" t="n"/>
      <c r="SB81" s="212" t="n"/>
      <c r="SC81" s="212" t="n"/>
      <c r="SD81" s="212" t="n"/>
      <c r="SE81" s="212" t="n"/>
      <c r="SF81" s="212" t="n"/>
      <c r="SG81" s="212" t="n"/>
      <c r="SH81" s="212" t="n"/>
      <c r="SI81" s="212" t="n"/>
      <c r="SJ81" s="212" t="n"/>
      <c r="SK81" s="212" t="n"/>
      <c r="SL81" s="212" t="n"/>
      <c r="SM81" s="212" t="n"/>
      <c r="SN81" s="212" t="n"/>
      <c r="SO81" s="212" t="n"/>
      <c r="SP81" s="212" t="n"/>
      <c r="SQ81" s="212" t="n"/>
      <c r="SR81" s="212" t="n"/>
      <c r="SS81" s="212" t="n"/>
      <c r="ST81" s="212" t="n"/>
      <c r="SU81" s="212" t="n"/>
      <c r="SV81" s="212" t="n"/>
    </row>
    <row r="82">
      <c r="B82" s="209" t="inlineStr">
        <is>
          <t>N/A</t>
        </is>
      </c>
      <c r="C82" s="209" t="inlineStr">
        <is>
          <t>LGC Rail</t>
        </is>
      </c>
      <c r="D82" s="209" t="inlineStr">
        <is>
          <t>Williem</t>
        </is>
      </c>
      <c r="E82" s="209" t="inlineStr">
        <is>
          <t>Fernandes</t>
        </is>
      </c>
      <c r="F82" s="209">
        <f>IF(TRIM(D82&amp;E82)="","",TRIM(D82)&amp;" "&amp;TRIM(E82))</f>
        <v/>
      </c>
      <c r="G82" s="209" t="inlineStr">
        <is>
          <t>Perth</t>
        </is>
      </c>
      <c r="H82" s="209" t="inlineStr">
        <is>
          <t>Operator - Excavator</t>
        </is>
      </c>
      <c r="I82" s="209" t="inlineStr">
        <is>
          <t>YES</t>
        </is>
      </c>
      <c r="J82" s="209" t="inlineStr">
        <is>
          <t>YES</t>
        </is>
      </c>
      <c r="K82" s="209" t="inlineStr">
        <is>
          <t>YES</t>
        </is>
      </c>
      <c r="L82" s="209" t="inlineStr">
        <is>
          <t>YES</t>
        </is>
      </c>
      <c r="M82" s="209" t="inlineStr">
        <is>
          <t>Quals Complete</t>
        </is>
      </c>
      <c r="N82" s="209" t="inlineStr">
        <is>
          <t>ketutwahoo@yahoo.com</t>
        </is>
      </c>
      <c r="O82" s="209" t="inlineStr">
        <is>
          <t>TBA</t>
        </is>
      </c>
      <c r="P82" s="209" t="n">
        <v>752738</v>
      </c>
      <c r="Q82" s="209" t="n">
        <v>388608</v>
      </c>
      <c r="R82" s="209" t="inlineStr">
        <is>
          <t>2:2</t>
        </is>
      </c>
      <c r="S82" s="210" t="inlineStr">
        <is>
          <t>N/A</t>
        </is>
      </c>
      <c r="T82" s="210" t="inlineStr">
        <is>
          <t>N/A</t>
        </is>
      </c>
      <c r="U82" s="210" t="inlineStr">
        <is>
          <t>N/A</t>
        </is>
      </c>
      <c r="V82" s="210" t="inlineStr">
        <is>
          <t>N/A</t>
        </is>
      </c>
      <c r="W82" s="210" t="inlineStr">
        <is>
          <t>N/A</t>
        </is>
      </c>
      <c r="X82" s="210" t="inlineStr">
        <is>
          <t>N/A</t>
        </is>
      </c>
      <c r="Y82" s="210" t="inlineStr">
        <is>
          <t>N/A</t>
        </is>
      </c>
      <c r="Z82" s="210" t="inlineStr">
        <is>
          <t>N/A</t>
        </is>
      </c>
      <c r="AA82" s="210" t="inlineStr">
        <is>
          <t>N/A</t>
        </is>
      </c>
      <c r="AB82" s="210" t="inlineStr">
        <is>
          <t>N/A</t>
        </is>
      </c>
      <c r="AC82" s="210" t="inlineStr">
        <is>
          <t>N/A</t>
        </is>
      </c>
      <c r="AD82" s="210" t="inlineStr">
        <is>
          <t>N/A</t>
        </is>
      </c>
      <c r="AE82" s="210" t="inlineStr">
        <is>
          <t>N/A</t>
        </is>
      </c>
      <c r="AF82" s="210" t="inlineStr">
        <is>
          <t>N/A</t>
        </is>
      </c>
      <c r="AG82" s="210" t="inlineStr">
        <is>
          <t>N/A</t>
        </is>
      </c>
      <c r="AH82" s="210" t="inlineStr">
        <is>
          <t>N/A</t>
        </is>
      </c>
      <c r="AI82" s="210" t="inlineStr">
        <is>
          <t>N/A</t>
        </is>
      </c>
      <c r="AJ82" s="210" t="inlineStr">
        <is>
          <t>N/A</t>
        </is>
      </c>
      <c r="AK82" s="210" t="inlineStr">
        <is>
          <t>N/A</t>
        </is>
      </c>
      <c r="AL82" s="210" t="inlineStr">
        <is>
          <t>N/A</t>
        </is>
      </c>
      <c r="AM82" s="210" t="inlineStr">
        <is>
          <t>N/A</t>
        </is>
      </c>
      <c r="AN82" s="210" t="inlineStr">
        <is>
          <t>N/A</t>
        </is>
      </c>
      <c r="AO82" s="210" t="inlineStr">
        <is>
          <t>N/A</t>
        </is>
      </c>
      <c r="AP82" s="210" t="inlineStr">
        <is>
          <t>N/A</t>
        </is>
      </c>
      <c r="AQ82" s="210" t="inlineStr">
        <is>
          <t>N/A</t>
        </is>
      </c>
      <c r="AR82" s="210" t="inlineStr">
        <is>
          <t>N/A</t>
        </is>
      </c>
      <c r="AS82" s="210" t="inlineStr">
        <is>
          <t>N/A</t>
        </is>
      </c>
      <c r="AT82" s="210" t="inlineStr">
        <is>
          <t>N/A</t>
        </is>
      </c>
      <c r="AU82" s="210" t="inlineStr">
        <is>
          <t>N/A</t>
        </is>
      </c>
      <c r="AV82" s="210" t="inlineStr">
        <is>
          <t>N/A</t>
        </is>
      </c>
      <c r="AW82" s="210" t="inlineStr">
        <is>
          <t>N/A</t>
        </is>
      </c>
      <c r="AX82" s="210" t="inlineStr">
        <is>
          <t>N/A</t>
        </is>
      </c>
      <c r="AY82" s="211" t="inlineStr">
        <is>
          <t>PER/PHE AM
LND</t>
        </is>
      </c>
      <c r="AZ82" s="211" t="inlineStr">
        <is>
          <t>LND</t>
        </is>
      </c>
      <c r="BA82" s="211" t="inlineStr">
        <is>
          <t>RDM</t>
        </is>
      </c>
      <c r="BB82" s="211" t="inlineStr">
        <is>
          <t>RDM</t>
        </is>
      </c>
      <c r="BC82" s="211" t="inlineStr">
        <is>
          <t>RDM</t>
        </is>
      </c>
      <c r="BD82" s="211" t="inlineStr">
        <is>
          <t>RDM</t>
        </is>
      </c>
      <c r="BE82" s="211" t="inlineStr">
        <is>
          <t>RDM</t>
        </is>
      </c>
      <c r="BF82" s="211" t="inlineStr">
        <is>
          <t>PHE/PER PM</t>
        </is>
      </c>
      <c r="BG82" s="210" t="inlineStr">
        <is>
          <t>N/A</t>
        </is>
      </c>
      <c r="BH82" s="210" t="inlineStr">
        <is>
          <t>N/A</t>
        </is>
      </c>
      <c r="BI82" s="210" t="inlineStr">
        <is>
          <t>N/A</t>
        </is>
      </c>
      <c r="BJ82" s="210" t="inlineStr">
        <is>
          <t>N/A</t>
        </is>
      </c>
      <c r="BK82" s="210" t="inlineStr">
        <is>
          <t>N/A</t>
        </is>
      </c>
      <c r="BL82" s="210" t="inlineStr">
        <is>
          <t>N/A</t>
        </is>
      </c>
      <c r="BM82" s="210" t="inlineStr">
        <is>
          <t>N/A</t>
        </is>
      </c>
      <c r="BN82" s="210" t="inlineStr">
        <is>
          <t>N/A</t>
        </is>
      </c>
      <c r="BO82" s="210" t="inlineStr">
        <is>
          <t>N/A</t>
        </is>
      </c>
      <c r="BP82" s="210" t="inlineStr">
        <is>
          <t>N/A</t>
        </is>
      </c>
      <c r="BQ82" s="210" t="inlineStr">
        <is>
          <t>N/A</t>
        </is>
      </c>
      <c r="BR82" s="210" t="inlineStr">
        <is>
          <t>N/A</t>
        </is>
      </c>
      <c r="BS82" s="210" t="inlineStr">
        <is>
          <t>N/A</t>
        </is>
      </c>
      <c r="BT82" s="224" t="inlineStr">
        <is>
          <t>Demobilised - 07/10</t>
        </is>
      </c>
      <c r="BU82" s="212" t="n"/>
      <c r="BV82" s="212" t="n"/>
      <c r="BW82" s="212" t="n"/>
      <c r="BX82" s="212" t="n"/>
      <c r="BY82" s="212" t="n"/>
      <c r="BZ82" s="212" t="n"/>
      <c r="CA82" s="212" t="n"/>
      <c r="CB82" s="212" t="n"/>
      <c r="CC82" s="212" t="n"/>
      <c r="CD82" s="212" t="n"/>
      <c r="CE82" s="212" t="n"/>
      <c r="CF82" s="212" t="n"/>
      <c r="CG82" s="212" t="n"/>
      <c r="CH82" s="212" t="n"/>
      <c r="CI82" s="210" t="inlineStr">
        <is>
          <t>N/A</t>
        </is>
      </c>
      <c r="CJ82" s="210" t="inlineStr">
        <is>
          <t>N/A</t>
        </is>
      </c>
      <c r="CK82" s="210" t="inlineStr">
        <is>
          <t>N/A</t>
        </is>
      </c>
      <c r="CL82" s="210" t="inlineStr">
        <is>
          <t>N/A</t>
        </is>
      </c>
      <c r="CM82" s="210" t="inlineStr">
        <is>
          <t>N/A</t>
        </is>
      </c>
      <c r="CN82" s="210" t="inlineStr">
        <is>
          <t>N/A</t>
        </is>
      </c>
      <c r="CO82" s="210" t="inlineStr">
        <is>
          <t>N/A</t>
        </is>
      </c>
      <c r="CP82" s="210" t="inlineStr">
        <is>
          <t>N/A</t>
        </is>
      </c>
      <c r="CQ82" s="210" t="inlineStr">
        <is>
          <t>N/A</t>
        </is>
      </c>
      <c r="CR82" s="210" t="inlineStr">
        <is>
          <t>N/A</t>
        </is>
      </c>
      <c r="CS82" s="210" t="inlineStr">
        <is>
          <t>N/A</t>
        </is>
      </c>
      <c r="CT82" s="210" t="inlineStr">
        <is>
          <t>N/A</t>
        </is>
      </c>
      <c r="CU82" s="210" t="inlineStr">
        <is>
          <t>N/A</t>
        </is>
      </c>
      <c r="CV82" s="210" t="inlineStr">
        <is>
          <t>N/A</t>
        </is>
      </c>
      <c r="CW82" s="210" t="inlineStr">
        <is>
          <t>N/A</t>
        </is>
      </c>
      <c r="CX82" s="210" t="inlineStr">
        <is>
          <t>N/A</t>
        </is>
      </c>
      <c r="CY82" s="210" t="inlineStr">
        <is>
          <t>N/A</t>
        </is>
      </c>
      <c r="CZ82" s="210" t="inlineStr">
        <is>
          <t>N/A</t>
        </is>
      </c>
      <c r="DA82" s="210" t="inlineStr">
        <is>
          <t>N/A</t>
        </is>
      </c>
      <c r="DB82" s="210" t="inlineStr">
        <is>
          <t>N/A</t>
        </is>
      </c>
      <c r="DC82" s="210" t="inlineStr">
        <is>
          <t>N/A</t>
        </is>
      </c>
      <c r="DD82" s="210" t="inlineStr">
        <is>
          <t>N/A</t>
        </is>
      </c>
      <c r="DE82" s="210" t="inlineStr">
        <is>
          <t>N/A</t>
        </is>
      </c>
      <c r="DF82" s="210" t="inlineStr">
        <is>
          <t>N/A</t>
        </is>
      </c>
      <c r="DG82" s="210" t="inlineStr">
        <is>
          <t>N/A</t>
        </is>
      </c>
      <c r="DH82" s="210" t="inlineStr">
        <is>
          <t>N/A</t>
        </is>
      </c>
      <c r="DI82" s="210" t="inlineStr">
        <is>
          <t>N/A</t>
        </is>
      </c>
      <c r="DJ82" s="210" t="inlineStr">
        <is>
          <t>N/A</t>
        </is>
      </c>
      <c r="DK82" s="210" t="inlineStr">
        <is>
          <t>N/A</t>
        </is>
      </c>
      <c r="DL82" s="210" t="inlineStr">
        <is>
          <t>N/A</t>
        </is>
      </c>
      <c r="DM82" s="210" t="inlineStr">
        <is>
          <t>N/A</t>
        </is>
      </c>
      <c r="DN82" s="210" t="inlineStr">
        <is>
          <t>N/A</t>
        </is>
      </c>
      <c r="DO82" s="210" t="inlineStr">
        <is>
          <t>N/A</t>
        </is>
      </c>
      <c r="DP82" s="210" t="inlineStr">
        <is>
          <t>N/A</t>
        </is>
      </c>
      <c r="DQ82" s="210" t="inlineStr">
        <is>
          <t>N/A</t>
        </is>
      </c>
      <c r="DR82" s="210" t="inlineStr">
        <is>
          <t>N/A</t>
        </is>
      </c>
      <c r="DS82" s="212" t="n"/>
      <c r="DT82" s="212" t="n"/>
      <c r="DU82" s="212" t="n"/>
      <c r="DV82" s="212" t="n"/>
      <c r="DW82" s="212" t="n"/>
      <c r="DX82" s="212" t="n"/>
      <c r="DY82" s="212" t="n"/>
      <c r="DZ82" s="212" t="n"/>
      <c r="EA82" s="212" t="n"/>
      <c r="EB82" s="212" t="n"/>
      <c r="EC82" s="212" t="n"/>
      <c r="ED82" s="212" t="n"/>
      <c r="EE82" s="212" t="n"/>
      <c r="EF82" s="212" t="n"/>
      <c r="EG82" s="212" t="n"/>
      <c r="EH82" s="212" t="n"/>
      <c r="EI82" s="212" t="n"/>
      <c r="EJ82" s="212" t="n"/>
      <c r="EK82" s="212" t="n"/>
      <c r="EL82" s="212" t="n"/>
      <c r="EM82" s="212" t="n"/>
      <c r="EN82" s="212" t="n"/>
      <c r="EO82" s="212" t="n"/>
      <c r="EP82" s="212" t="n"/>
      <c r="EQ82" s="212" t="n"/>
      <c r="ER82" s="212" t="n"/>
      <c r="ES82" s="212" t="n"/>
      <c r="ET82" s="212" t="n"/>
      <c r="EU82" s="212" t="n"/>
      <c r="EV82" s="212" t="n"/>
      <c r="EW82" s="212" t="n"/>
      <c r="EX82" s="212" t="n"/>
      <c r="EY82" s="212" t="n"/>
      <c r="EZ82" s="212" t="n"/>
      <c r="FA82" s="212" t="n"/>
      <c r="FB82" s="212" t="n"/>
      <c r="FC82" s="212" t="n"/>
      <c r="FD82" s="212" t="n"/>
      <c r="FE82" s="212" t="n"/>
      <c r="FF82" s="212" t="n"/>
      <c r="FG82" s="212" t="n"/>
      <c r="FH82" s="212" t="n"/>
      <c r="FI82" s="212" t="n"/>
      <c r="FJ82" s="212" t="n"/>
      <c r="FK82" s="212" t="n"/>
      <c r="FL82" s="212" t="n"/>
      <c r="FM82" s="212" t="n"/>
      <c r="FN82" s="212" t="n"/>
      <c r="FO82" s="212" t="n"/>
      <c r="FP82" s="212" t="n"/>
      <c r="FQ82" s="212" t="n"/>
      <c r="FR82" s="212" t="n"/>
      <c r="FS82" s="212" t="n"/>
      <c r="FT82" s="212" t="n"/>
      <c r="FU82" s="212" t="n"/>
      <c r="FV82" s="212" t="n"/>
      <c r="FW82" s="212" t="n"/>
      <c r="FX82" s="212" t="n"/>
      <c r="FY82" s="212" t="n"/>
      <c r="FZ82" s="212" t="n"/>
      <c r="GA82" s="212" t="n"/>
      <c r="GB82" s="212" t="n"/>
      <c r="GC82" s="212" t="n"/>
      <c r="GD82" s="212" t="n"/>
      <c r="GE82" s="212" t="n"/>
      <c r="GF82" s="212" t="n"/>
      <c r="GG82" s="212" t="n"/>
      <c r="GH82" s="212" t="n"/>
      <c r="GI82" s="212" t="n"/>
      <c r="GJ82" s="212" t="n"/>
      <c r="GK82" s="212" t="n"/>
      <c r="GL82" s="212" t="n"/>
      <c r="GM82" s="212" t="n"/>
      <c r="GN82" s="212" t="n"/>
      <c r="GO82" s="212" t="n"/>
      <c r="GP82" s="212" t="n"/>
      <c r="GQ82" s="212" t="n"/>
      <c r="GR82" s="212" t="n"/>
      <c r="GS82" s="212" t="n"/>
      <c r="GT82" s="212" t="n"/>
      <c r="GU82" s="212" t="n"/>
      <c r="GV82" s="212" t="n"/>
      <c r="GW82" s="212" t="n"/>
      <c r="GX82" s="212" t="n"/>
      <c r="GY82" s="212" t="n"/>
      <c r="GZ82" s="212" t="n"/>
      <c r="HA82" s="212" t="n"/>
      <c r="HB82" s="212" t="n"/>
      <c r="HC82" s="212" t="n"/>
      <c r="HD82" s="212" t="n"/>
      <c r="HE82" s="212" t="n"/>
      <c r="HF82" s="212" t="n"/>
      <c r="HG82" s="212" t="n"/>
      <c r="HH82" s="212" t="n"/>
      <c r="HI82" s="212" t="n"/>
      <c r="HJ82" s="212" t="n"/>
      <c r="HK82" s="212" t="n"/>
      <c r="HL82" s="212" t="n"/>
      <c r="HM82" s="212" t="n"/>
      <c r="HN82" s="212" t="n"/>
      <c r="HO82" s="212" t="n"/>
      <c r="HP82" s="212" t="n"/>
      <c r="HQ82" s="212" t="n"/>
      <c r="HR82" s="212" t="n"/>
      <c r="HS82" s="212" t="n"/>
      <c r="HT82" s="212" t="n"/>
      <c r="HU82" s="212" t="n"/>
      <c r="HV82" s="212" t="n"/>
      <c r="HW82" s="212" t="n"/>
      <c r="HX82" s="212" t="n"/>
      <c r="HY82" s="212" t="n"/>
      <c r="HZ82" s="212" t="n"/>
      <c r="IA82" s="212" t="n"/>
      <c r="IB82" s="212" t="n"/>
      <c r="IC82" s="212" t="n"/>
      <c r="ID82" s="212" t="n"/>
      <c r="IE82" s="212" t="n"/>
      <c r="IF82" s="212" t="n"/>
      <c r="IG82" s="212" t="n"/>
      <c r="IH82" s="212" t="n"/>
      <c r="II82" s="212" t="n"/>
      <c r="IJ82" s="212" t="n"/>
      <c r="IK82" s="212" t="n"/>
      <c r="IL82" s="212" t="n"/>
      <c r="IM82" s="212" t="n"/>
      <c r="IN82" s="212" t="n"/>
      <c r="IO82" s="212" t="n"/>
      <c r="IP82" s="212" t="n"/>
      <c r="IQ82" s="212" t="n"/>
      <c r="IR82" s="212" t="n"/>
      <c r="IS82" s="212" t="n"/>
      <c r="IT82" s="212" t="n"/>
      <c r="IU82" s="212" t="n"/>
      <c r="IV82" s="212" t="n"/>
      <c r="IW82" s="212" t="n"/>
      <c r="IX82" s="212" t="n"/>
      <c r="IY82" s="212" t="n"/>
      <c r="IZ82" s="212" t="n"/>
      <c r="JA82" s="212" t="n"/>
      <c r="JB82" s="212" t="n"/>
      <c r="JC82" s="212" t="n"/>
      <c r="JD82" s="212" t="n"/>
      <c r="JE82" s="212" t="n"/>
      <c r="JF82" s="212" t="n"/>
      <c r="JG82" s="212" t="n"/>
      <c r="JH82" s="212" t="n"/>
      <c r="JI82" s="212" t="n"/>
      <c r="JJ82" s="212" t="n"/>
      <c r="JK82" s="212" t="n"/>
      <c r="JL82" s="212" t="n"/>
      <c r="JM82" s="212" t="n"/>
      <c r="JN82" s="212" t="n"/>
      <c r="JO82" s="212" t="n"/>
      <c r="JP82" s="212" t="n"/>
      <c r="JQ82" s="212" t="n"/>
      <c r="JR82" s="212" t="n"/>
      <c r="JS82" s="212" t="n"/>
      <c r="JT82" s="212" t="n"/>
      <c r="JU82" s="212" t="n"/>
      <c r="JV82" s="212" t="n"/>
      <c r="JW82" s="212" t="n"/>
      <c r="JX82" s="212" t="n"/>
      <c r="JY82" s="212" t="n"/>
      <c r="JZ82" s="212" t="n"/>
      <c r="KA82" s="212" t="n"/>
      <c r="KB82" s="212" t="n"/>
      <c r="KC82" s="212" t="n"/>
      <c r="KD82" s="212" t="n"/>
      <c r="KE82" s="212" t="n"/>
      <c r="KF82" s="212" t="n"/>
      <c r="KG82" s="212" t="n"/>
      <c r="KH82" s="212" t="n"/>
      <c r="KI82" s="212" t="n"/>
      <c r="KJ82" s="212" t="n"/>
      <c r="KK82" s="212" t="n"/>
      <c r="KL82" s="212" t="n"/>
      <c r="KM82" s="212" t="n"/>
      <c r="KN82" s="212" t="n"/>
      <c r="KO82" s="212" t="n"/>
      <c r="KP82" s="212" t="n"/>
      <c r="KQ82" s="212" t="n"/>
      <c r="KR82" s="212" t="n"/>
      <c r="KS82" s="212" t="n"/>
      <c r="KT82" s="212" t="n"/>
      <c r="KU82" s="212" t="n"/>
      <c r="KV82" s="212" t="n"/>
      <c r="KW82" s="212" t="n"/>
      <c r="KX82" s="212" t="n"/>
      <c r="KY82" s="212" t="n"/>
      <c r="KZ82" s="212" t="n"/>
      <c r="LA82" s="212" t="n"/>
      <c r="LB82" s="212" t="n"/>
      <c r="LC82" s="212" t="n"/>
      <c r="LD82" s="212" t="n"/>
      <c r="LE82" s="212" t="n"/>
      <c r="LF82" s="212" t="n"/>
      <c r="LG82" s="212" t="n"/>
      <c r="LH82" s="212" t="n"/>
      <c r="LI82" s="212" t="n"/>
      <c r="LJ82" s="212" t="n"/>
      <c r="LK82" s="212" t="n"/>
      <c r="LL82" s="212" t="n"/>
      <c r="LM82" s="212" t="n"/>
      <c r="LN82" s="212" t="n"/>
      <c r="LO82" s="212" t="n"/>
      <c r="LP82" s="212" t="n"/>
      <c r="LQ82" s="212" t="n"/>
      <c r="LR82" s="212" t="n"/>
      <c r="LS82" s="212" t="n"/>
      <c r="LT82" s="212" t="n"/>
      <c r="LU82" s="212" t="n"/>
      <c r="LV82" s="212" t="n"/>
      <c r="LW82" s="212" t="n"/>
      <c r="LX82" s="212" t="n"/>
      <c r="LY82" s="212" t="n"/>
      <c r="LZ82" s="212" t="n"/>
      <c r="MA82" s="212" t="n"/>
      <c r="MB82" s="212" t="n"/>
      <c r="MC82" s="212" t="n"/>
      <c r="MD82" s="212" t="n"/>
      <c r="ME82" s="212" t="n"/>
      <c r="MF82" s="212" t="n"/>
      <c r="MG82" s="212" t="n"/>
      <c r="MH82" s="212" t="n"/>
      <c r="MI82" s="212" t="n"/>
      <c r="MJ82" s="212" t="n"/>
      <c r="MK82" s="212" t="n"/>
      <c r="ML82" s="212" t="n"/>
      <c r="MM82" s="212" t="n"/>
      <c r="MN82" s="212" t="n"/>
      <c r="MO82" s="212" t="n"/>
      <c r="MP82" s="212" t="n"/>
      <c r="MQ82" s="212" t="n"/>
      <c r="MR82" s="212" t="n"/>
      <c r="MS82" s="212" t="n"/>
      <c r="MT82" s="212" t="n"/>
      <c r="MU82" s="212" t="n"/>
      <c r="MV82" s="212" t="n"/>
      <c r="MW82" s="212" t="n"/>
      <c r="MX82" s="212" t="n"/>
      <c r="MY82" s="212" t="n"/>
      <c r="MZ82" s="212" t="n"/>
      <c r="NA82" s="212" t="n"/>
      <c r="NB82" s="212" t="n"/>
      <c r="NC82" s="212" t="n"/>
      <c r="ND82" s="212" t="n"/>
      <c r="NE82" s="212" t="n"/>
      <c r="NF82" s="212" t="n"/>
      <c r="NG82" s="212" t="n"/>
      <c r="NH82" s="212" t="n"/>
      <c r="NI82" s="212" t="n"/>
      <c r="NJ82" s="212" t="n"/>
      <c r="NK82" s="212" t="n"/>
      <c r="NL82" s="212" t="n"/>
      <c r="NM82" s="212" t="n"/>
      <c r="NN82" s="212" t="n"/>
      <c r="NO82" s="212" t="n"/>
      <c r="NP82" s="212" t="n"/>
      <c r="NQ82" s="212" t="n"/>
      <c r="NR82" s="212" t="n"/>
      <c r="NS82" s="212" t="n"/>
      <c r="NT82" s="212" t="n"/>
      <c r="NU82" s="212" t="n"/>
      <c r="NV82" s="212" t="n"/>
      <c r="NW82" s="212" t="n"/>
      <c r="NX82" s="212" t="n"/>
      <c r="NY82" s="212" t="n"/>
      <c r="NZ82" s="212" t="n"/>
      <c r="OA82" s="212" t="n"/>
      <c r="OB82" s="212" t="n"/>
      <c r="OC82" s="212" t="n"/>
      <c r="OD82" s="212" t="n"/>
      <c r="OE82" s="212" t="n"/>
      <c r="OF82" s="212" t="n"/>
      <c r="OG82" s="212" t="n"/>
      <c r="OH82" s="212" t="n"/>
      <c r="OI82" s="212" t="n"/>
      <c r="OJ82" s="212" t="n"/>
      <c r="OK82" s="212" t="n"/>
      <c r="OL82" s="212" t="n"/>
      <c r="OM82" s="212" t="n"/>
      <c r="ON82" s="212" t="n"/>
      <c r="OO82" s="212" t="n"/>
      <c r="OP82" s="212" t="n"/>
      <c r="OQ82" s="212" t="n"/>
      <c r="OR82" s="212" t="n"/>
      <c r="OS82" s="212" t="n"/>
      <c r="OT82" s="212" t="n"/>
      <c r="OU82" s="212" t="n"/>
      <c r="OV82" s="212" t="n"/>
      <c r="OW82" s="212" t="n"/>
      <c r="OX82" s="212" t="n"/>
      <c r="OY82" s="212" t="n"/>
      <c r="OZ82" s="212" t="n"/>
      <c r="PA82" s="212" t="n"/>
      <c r="PB82" s="212" t="n"/>
      <c r="PC82" s="212" t="n"/>
      <c r="PD82" s="212" t="n"/>
      <c r="PE82" s="212" t="n"/>
      <c r="PF82" s="212" t="n"/>
      <c r="PG82" s="212" t="n"/>
      <c r="PH82" s="212" t="n"/>
      <c r="PI82" s="212" t="n"/>
      <c r="PJ82" s="212" t="n"/>
      <c r="PK82" s="212" t="n"/>
      <c r="PL82" s="212" t="n"/>
      <c r="PM82" s="212" t="n"/>
      <c r="PN82" s="212" t="n"/>
      <c r="PO82" s="212" t="n"/>
      <c r="PP82" s="212" t="n"/>
      <c r="PQ82" s="212" t="n"/>
      <c r="PR82" s="212" t="n"/>
      <c r="PS82" s="212" t="n"/>
      <c r="PT82" s="212" t="n"/>
      <c r="PU82" s="212" t="n"/>
      <c r="PV82" s="212" t="n"/>
      <c r="PW82" s="212" t="n"/>
      <c r="PX82" s="212" t="n"/>
      <c r="PY82" s="212" t="n"/>
      <c r="PZ82" s="212" t="n"/>
      <c r="QA82" s="212" t="n"/>
      <c r="QB82" s="212" t="n"/>
      <c r="QC82" s="212" t="n"/>
      <c r="QD82" s="212" t="n"/>
      <c r="QE82" s="212" t="n"/>
      <c r="QF82" s="212" t="n"/>
      <c r="QG82" s="212" t="n"/>
      <c r="QH82" s="212" t="n"/>
      <c r="QI82" s="212" t="n"/>
      <c r="QJ82" s="212" t="n"/>
      <c r="QK82" s="212" t="n"/>
      <c r="QL82" s="212" t="n"/>
      <c r="QM82" s="212" t="n"/>
      <c r="QN82" s="212" t="n"/>
      <c r="QO82" s="212" t="n"/>
      <c r="QP82" s="212" t="n"/>
      <c r="QQ82" s="212" t="n"/>
      <c r="QR82" s="212" t="n"/>
      <c r="QS82" s="212" t="n"/>
      <c r="QT82" s="212" t="n"/>
      <c r="QU82" s="212" t="n"/>
      <c r="QV82" s="212" t="n"/>
      <c r="QW82" s="212" t="n"/>
      <c r="QX82" s="212" t="n"/>
      <c r="QY82" s="212" t="n"/>
      <c r="QZ82" s="212" t="n"/>
      <c r="RA82" s="212" t="n"/>
      <c r="RB82" s="212" t="n"/>
      <c r="RC82" s="212" t="n"/>
      <c r="RD82" s="212" t="n"/>
      <c r="RE82" s="212" t="n"/>
      <c r="RF82" s="212" t="n"/>
      <c r="RG82" s="212" t="n"/>
      <c r="RH82" s="212" t="n"/>
      <c r="RI82" s="212" t="n"/>
      <c r="RJ82" s="212" t="n"/>
      <c r="RK82" s="212" t="n"/>
      <c r="RL82" s="212" t="n"/>
      <c r="RM82" s="212" t="n"/>
      <c r="RN82" s="212" t="n"/>
      <c r="RO82" s="212" t="n"/>
      <c r="RP82" s="212" t="n"/>
      <c r="RQ82" s="212" t="n"/>
      <c r="RR82" s="212" t="n"/>
      <c r="RS82" s="212" t="n"/>
      <c r="RT82" s="212" t="n"/>
      <c r="RU82" s="212" t="n"/>
      <c r="RV82" s="212" t="n"/>
      <c r="RW82" s="212" t="n"/>
      <c r="RX82" s="212" t="n"/>
      <c r="RY82" s="212" t="n"/>
      <c r="RZ82" s="212" t="n"/>
      <c r="SA82" s="212" t="n"/>
      <c r="SB82" s="212" t="n"/>
      <c r="SC82" s="212" t="n"/>
      <c r="SD82" s="212" t="n"/>
      <c r="SE82" s="212" t="n"/>
      <c r="SF82" s="212" t="n"/>
      <c r="SG82" s="212" t="n"/>
      <c r="SH82" s="212" t="n"/>
      <c r="SI82" s="212" t="n"/>
      <c r="SJ82" s="212" t="n"/>
      <c r="SK82" s="212" t="n"/>
      <c r="SL82" s="212" t="n"/>
      <c r="SM82" s="212" t="n"/>
      <c r="SN82" s="212" t="n"/>
      <c r="SO82" s="212" t="n"/>
      <c r="SP82" s="212" t="n"/>
      <c r="SQ82" s="212" t="n"/>
      <c r="SR82" s="212" t="n"/>
      <c r="SS82" s="212" t="n"/>
      <c r="ST82" s="212" t="n"/>
      <c r="SU82" s="212" t="n"/>
      <c r="SV82" s="212" t="n"/>
    </row>
    <row r="83">
      <c r="B83" s="209" t="inlineStr">
        <is>
          <t>N/A</t>
        </is>
      </c>
      <c r="C83" s="209" t="inlineStr">
        <is>
          <t>LGC Rail</t>
        </is>
      </c>
      <c r="D83" s="209" t="inlineStr">
        <is>
          <t>Christian</t>
        </is>
      </c>
      <c r="E83" s="209" t="inlineStr">
        <is>
          <t>Vujnovich</t>
        </is>
      </c>
      <c r="F83" s="209">
        <f>IF(TRIM(D83&amp;E83)="","",TRIM(D83)&amp;" "&amp;TRIM(E83))</f>
        <v/>
      </c>
      <c r="G83" s="209" t="inlineStr">
        <is>
          <t>Perth</t>
        </is>
      </c>
      <c r="H83" s="209" t="inlineStr">
        <is>
          <t>Labourer</t>
        </is>
      </c>
      <c r="I83" s="209" t="inlineStr">
        <is>
          <t>YES</t>
        </is>
      </c>
      <c r="J83" s="209" t="inlineStr">
        <is>
          <t>YES</t>
        </is>
      </c>
      <c r="K83" s="209" t="inlineStr">
        <is>
          <t>YES</t>
        </is>
      </c>
      <c r="L83" s="209" t="inlineStr">
        <is>
          <t>YES</t>
        </is>
      </c>
      <c r="M83" s="209" t="inlineStr">
        <is>
          <t>Quals Complete</t>
        </is>
      </c>
      <c r="N83" s="209" t="inlineStr">
        <is>
          <t>christianrafaelvujnovich@gmail.com</t>
        </is>
      </c>
      <c r="O83" s="209" t="inlineStr">
        <is>
          <t>0478 040 378</t>
        </is>
      </c>
      <c r="P83" s="209" t="n">
        <v>810362</v>
      </c>
      <c r="Q83" s="209" t="n">
        <v>429360</v>
      </c>
      <c r="R83" s="209" t="inlineStr">
        <is>
          <t>2:1</t>
        </is>
      </c>
      <c r="S83" s="210" t="inlineStr">
        <is>
          <t>N/A</t>
        </is>
      </c>
      <c r="T83" s="210" t="inlineStr">
        <is>
          <t>N/A</t>
        </is>
      </c>
      <c r="U83" s="210" t="inlineStr">
        <is>
          <t>N/A</t>
        </is>
      </c>
      <c r="V83" s="210" t="inlineStr">
        <is>
          <t>N/A</t>
        </is>
      </c>
      <c r="W83" s="210" t="inlineStr">
        <is>
          <t>N/A</t>
        </is>
      </c>
      <c r="X83" s="210" t="inlineStr">
        <is>
          <t>N/A</t>
        </is>
      </c>
      <c r="Y83" s="210" t="inlineStr">
        <is>
          <t>N/A</t>
        </is>
      </c>
      <c r="Z83" s="210" t="inlineStr">
        <is>
          <t>N/A</t>
        </is>
      </c>
      <c r="AA83" s="210" t="inlineStr">
        <is>
          <t>N/A</t>
        </is>
      </c>
      <c r="AB83" s="210" t="inlineStr">
        <is>
          <t>N/A</t>
        </is>
      </c>
      <c r="AC83" s="210" t="inlineStr">
        <is>
          <t>N/A</t>
        </is>
      </c>
      <c r="AD83" s="210" t="inlineStr">
        <is>
          <t>N/A</t>
        </is>
      </c>
      <c r="AE83" s="210" t="inlineStr">
        <is>
          <t>N/A</t>
        </is>
      </c>
      <c r="AF83" s="210" t="inlineStr">
        <is>
          <t>N/A</t>
        </is>
      </c>
      <c r="AG83" s="210" t="inlineStr">
        <is>
          <t>N/A</t>
        </is>
      </c>
      <c r="AH83" s="210" t="inlineStr">
        <is>
          <t>N/A</t>
        </is>
      </c>
      <c r="AI83" s="210" t="inlineStr">
        <is>
          <t>N/A</t>
        </is>
      </c>
      <c r="AJ83" s="210" t="inlineStr">
        <is>
          <t>N/A</t>
        </is>
      </c>
      <c r="AK83" s="210" t="inlineStr">
        <is>
          <t>N/A</t>
        </is>
      </c>
      <c r="AL83" s="210" t="inlineStr">
        <is>
          <t>N/A</t>
        </is>
      </c>
      <c r="AM83" s="210" t="inlineStr">
        <is>
          <t>N/A</t>
        </is>
      </c>
      <c r="AN83" s="210" t="inlineStr">
        <is>
          <t>N/A</t>
        </is>
      </c>
      <c r="AO83" s="210" t="inlineStr">
        <is>
          <t>N/A</t>
        </is>
      </c>
      <c r="AP83" s="210" t="inlineStr">
        <is>
          <t>N/A</t>
        </is>
      </c>
      <c r="AQ83" s="210" t="inlineStr">
        <is>
          <t>N/A</t>
        </is>
      </c>
      <c r="AR83" s="210" t="inlineStr">
        <is>
          <t>N/A</t>
        </is>
      </c>
      <c r="AS83" s="210" t="inlineStr">
        <is>
          <t>N/A</t>
        </is>
      </c>
      <c r="AT83" s="210" t="inlineStr">
        <is>
          <t>N/A</t>
        </is>
      </c>
      <c r="AU83" s="210" t="inlineStr">
        <is>
          <t>N/A</t>
        </is>
      </c>
      <c r="AV83" s="210" t="inlineStr">
        <is>
          <t>N/A</t>
        </is>
      </c>
      <c r="AW83" s="210" t="inlineStr">
        <is>
          <t>N/A</t>
        </is>
      </c>
      <c r="AX83" s="210" t="inlineStr">
        <is>
          <t>N/A</t>
        </is>
      </c>
      <c r="AY83" s="210" t="inlineStr">
        <is>
          <t>N/A</t>
        </is>
      </c>
      <c r="AZ83" s="210" t="inlineStr">
        <is>
          <t>N/A</t>
        </is>
      </c>
      <c r="BA83" s="210" t="inlineStr">
        <is>
          <t>N/A</t>
        </is>
      </c>
      <c r="BB83" s="210" t="inlineStr">
        <is>
          <t>N/A</t>
        </is>
      </c>
      <c r="BC83" s="210" t="inlineStr">
        <is>
          <t>N/A</t>
        </is>
      </c>
      <c r="BD83" s="210" t="inlineStr">
        <is>
          <t>N/A</t>
        </is>
      </c>
      <c r="BE83" s="220" t="inlineStr">
        <is>
          <t>RDM</t>
        </is>
      </c>
      <c r="BF83" s="220" t="inlineStr">
        <is>
          <t>PHE/PER PM</t>
        </is>
      </c>
      <c r="BG83" s="210" t="inlineStr">
        <is>
          <t>N/A</t>
        </is>
      </c>
      <c r="BH83" s="210" t="inlineStr">
        <is>
          <t>N/A</t>
        </is>
      </c>
      <c r="BI83" s="210" t="inlineStr">
        <is>
          <t>N/A</t>
        </is>
      </c>
      <c r="BJ83" s="210" t="inlineStr">
        <is>
          <t>N/A</t>
        </is>
      </c>
      <c r="BK83" s="210" t="inlineStr">
        <is>
          <t>N/A</t>
        </is>
      </c>
      <c r="BL83" s="210" t="inlineStr">
        <is>
          <t>N/A</t>
        </is>
      </c>
      <c r="BM83" s="220" t="inlineStr">
        <is>
          <t>PER/PHE PM
LND</t>
        </is>
      </c>
      <c r="BN83" s="220" t="inlineStr">
        <is>
          <t>RDM</t>
        </is>
      </c>
      <c r="BO83" s="220" t="inlineStr">
        <is>
          <t>RDM</t>
        </is>
      </c>
      <c r="BP83" s="220" t="inlineStr">
        <is>
          <t>RDM</t>
        </is>
      </c>
      <c r="BQ83" s="220" t="inlineStr">
        <is>
          <t>PHE/PER AM</t>
        </is>
      </c>
      <c r="BR83" s="210" t="inlineStr">
        <is>
          <t>N/A</t>
        </is>
      </c>
      <c r="BS83" s="210" t="inlineStr">
        <is>
          <t>N/A</t>
        </is>
      </c>
      <c r="BT83" s="210" t="inlineStr">
        <is>
          <t>N/A</t>
        </is>
      </c>
      <c r="BU83" s="210" t="inlineStr">
        <is>
          <t>N/A</t>
        </is>
      </c>
      <c r="BV83" s="210" t="inlineStr">
        <is>
          <t>N/A</t>
        </is>
      </c>
      <c r="BW83" s="210" t="inlineStr">
        <is>
          <t>N/A</t>
        </is>
      </c>
      <c r="BX83" s="210" t="inlineStr">
        <is>
          <t>N/A</t>
        </is>
      </c>
      <c r="BY83" s="210" t="inlineStr">
        <is>
          <t>N/A</t>
        </is>
      </c>
      <c r="BZ83" s="210" t="inlineStr">
        <is>
          <t>N/A</t>
        </is>
      </c>
      <c r="CA83" s="210" t="inlineStr">
        <is>
          <t>N/A</t>
        </is>
      </c>
      <c r="CB83" s="210" t="inlineStr">
        <is>
          <t>N/A</t>
        </is>
      </c>
      <c r="CC83" s="210" t="inlineStr">
        <is>
          <t>N/A</t>
        </is>
      </c>
      <c r="CD83" s="210" t="inlineStr">
        <is>
          <t>N/A</t>
        </is>
      </c>
      <c r="CE83" s="210" t="inlineStr">
        <is>
          <t>N/A</t>
        </is>
      </c>
      <c r="CF83" s="210" t="inlineStr">
        <is>
          <t>N/A</t>
        </is>
      </c>
      <c r="CG83" s="210" t="inlineStr">
        <is>
          <t>N/A</t>
        </is>
      </c>
      <c r="CH83" s="210" t="inlineStr">
        <is>
          <t>N/A</t>
        </is>
      </c>
      <c r="CI83" s="210" t="inlineStr">
        <is>
          <t>N/A</t>
        </is>
      </c>
      <c r="CJ83" s="210" t="inlineStr">
        <is>
          <t>N/A</t>
        </is>
      </c>
      <c r="CK83" s="210" t="inlineStr">
        <is>
          <t>N/A</t>
        </is>
      </c>
      <c r="CL83" s="210" t="inlineStr">
        <is>
          <t>N/A</t>
        </is>
      </c>
      <c r="CM83" s="210" t="inlineStr">
        <is>
          <t>N/A</t>
        </is>
      </c>
      <c r="CN83" s="210" t="inlineStr">
        <is>
          <t>N/A</t>
        </is>
      </c>
      <c r="CO83" s="210" t="inlineStr">
        <is>
          <t>N/A</t>
        </is>
      </c>
      <c r="CP83" s="210" t="inlineStr">
        <is>
          <t>N/A</t>
        </is>
      </c>
      <c r="CQ83" s="210" t="inlineStr">
        <is>
          <t>N/A</t>
        </is>
      </c>
      <c r="CR83" s="210" t="inlineStr">
        <is>
          <t>N/A</t>
        </is>
      </c>
      <c r="CS83" s="210" t="inlineStr">
        <is>
          <t>N/A</t>
        </is>
      </c>
      <c r="CT83" s="210" t="inlineStr">
        <is>
          <t>N/A</t>
        </is>
      </c>
      <c r="CU83" s="210" t="inlineStr">
        <is>
          <t>N/A</t>
        </is>
      </c>
      <c r="CV83" s="210" t="inlineStr">
        <is>
          <t>N/A</t>
        </is>
      </c>
      <c r="CW83" s="210" t="inlineStr">
        <is>
          <t>N/A</t>
        </is>
      </c>
      <c r="CX83" s="210" t="inlineStr">
        <is>
          <t>N/A</t>
        </is>
      </c>
      <c r="CY83" s="210" t="inlineStr">
        <is>
          <t>N/A</t>
        </is>
      </c>
      <c r="CZ83" s="210" t="inlineStr">
        <is>
          <t>N/A</t>
        </is>
      </c>
      <c r="DA83" s="210" t="inlineStr">
        <is>
          <t>N/A</t>
        </is>
      </c>
      <c r="DB83" s="210" t="inlineStr">
        <is>
          <t>N/A</t>
        </is>
      </c>
      <c r="DC83" s="210" t="inlineStr">
        <is>
          <t>N/A</t>
        </is>
      </c>
      <c r="DD83" s="210" t="inlineStr">
        <is>
          <t>N/A</t>
        </is>
      </c>
      <c r="DE83" s="210" t="inlineStr">
        <is>
          <t>N/A</t>
        </is>
      </c>
      <c r="DF83" s="210" t="inlineStr">
        <is>
          <t>N/A</t>
        </is>
      </c>
      <c r="DG83" s="210" t="inlineStr">
        <is>
          <t>N/A</t>
        </is>
      </c>
      <c r="DH83" s="210" t="inlineStr">
        <is>
          <t>N/A</t>
        </is>
      </c>
      <c r="DI83" s="210" t="inlineStr">
        <is>
          <t>N/A</t>
        </is>
      </c>
      <c r="DJ83" s="210" t="inlineStr">
        <is>
          <t>N/A</t>
        </is>
      </c>
      <c r="DK83" s="210" t="inlineStr">
        <is>
          <t>N/A</t>
        </is>
      </c>
      <c r="DL83" s="210" t="inlineStr">
        <is>
          <t>N/A</t>
        </is>
      </c>
      <c r="DM83" s="210" t="inlineStr">
        <is>
          <t>N/A</t>
        </is>
      </c>
      <c r="DN83" s="210" t="inlineStr">
        <is>
          <t>N/A</t>
        </is>
      </c>
      <c r="DO83" s="210" t="inlineStr">
        <is>
          <t>N/A</t>
        </is>
      </c>
      <c r="DP83" s="210" t="inlineStr">
        <is>
          <t>N/A</t>
        </is>
      </c>
      <c r="DQ83" s="210" t="inlineStr">
        <is>
          <t>N/A</t>
        </is>
      </c>
      <c r="DR83" s="210" t="inlineStr">
        <is>
          <t>N/A</t>
        </is>
      </c>
      <c r="DS83" s="212" t="n"/>
      <c r="DT83" s="212" t="n"/>
      <c r="DU83" s="212" t="n"/>
      <c r="DV83" s="212" t="n"/>
      <c r="DW83" s="212" t="n"/>
      <c r="DX83" s="212" t="n"/>
      <c r="DY83" s="212" t="n"/>
      <c r="DZ83" s="212" t="n"/>
      <c r="EA83" s="212" t="n"/>
      <c r="EB83" s="212" t="n"/>
      <c r="EC83" s="212" t="n"/>
      <c r="ED83" s="212" t="n"/>
      <c r="EE83" s="212" t="n"/>
      <c r="EF83" s="212" t="n"/>
      <c r="EG83" s="212" t="n"/>
      <c r="EH83" s="212" t="n"/>
      <c r="EI83" s="212" t="n"/>
      <c r="EJ83" s="212" t="n"/>
      <c r="EK83" s="212" t="n"/>
      <c r="EL83" s="212" t="n"/>
      <c r="EM83" s="212" t="n"/>
      <c r="EN83" s="212" t="n"/>
      <c r="EO83" s="212" t="n"/>
      <c r="EP83" s="212" t="n"/>
      <c r="EQ83" s="212" t="n"/>
      <c r="ER83" s="212" t="n"/>
      <c r="ES83" s="212" t="n"/>
      <c r="ET83" s="212" t="n"/>
      <c r="EU83" s="212" t="n"/>
      <c r="EV83" s="212" t="n"/>
      <c r="EW83" s="212" t="n"/>
      <c r="EX83" s="212" t="n"/>
      <c r="EY83" s="212" t="n"/>
      <c r="EZ83" s="212" t="n"/>
      <c r="FA83" s="212" t="n"/>
      <c r="FB83" s="212" t="n"/>
      <c r="FC83" s="212" t="n"/>
      <c r="FD83" s="212" t="n"/>
      <c r="FE83" s="212" t="n"/>
      <c r="FF83" s="212" t="n"/>
      <c r="FG83" s="212" t="n"/>
      <c r="FH83" s="212" t="n"/>
      <c r="FI83" s="212" t="n"/>
      <c r="FJ83" s="212" t="n"/>
      <c r="FK83" s="212" t="n"/>
      <c r="FL83" s="212" t="n"/>
      <c r="FM83" s="212" t="n"/>
      <c r="FN83" s="212" t="n"/>
      <c r="FO83" s="212" t="n"/>
      <c r="FP83" s="212" t="n"/>
      <c r="FQ83" s="212" t="n"/>
      <c r="FR83" s="212" t="n"/>
      <c r="FS83" s="212" t="n"/>
      <c r="FT83" s="212" t="n"/>
      <c r="FU83" s="212" t="n"/>
      <c r="FV83" s="212" t="n"/>
      <c r="FW83" s="212" t="n"/>
      <c r="FX83" s="212" t="n"/>
      <c r="FY83" s="212" t="n"/>
      <c r="FZ83" s="212" t="n"/>
      <c r="GA83" s="212" t="n"/>
      <c r="GB83" s="212" t="n"/>
      <c r="GC83" s="212" t="n"/>
      <c r="GD83" s="212" t="n"/>
      <c r="GE83" s="212" t="n"/>
      <c r="GF83" s="212" t="n"/>
      <c r="GG83" s="212" t="n"/>
      <c r="GH83" s="212" t="n"/>
      <c r="GI83" s="212" t="n"/>
      <c r="GJ83" s="212" t="n"/>
      <c r="GK83" s="212" t="n"/>
      <c r="GL83" s="212" t="n"/>
      <c r="GM83" s="212" t="n"/>
      <c r="GN83" s="212" t="n"/>
      <c r="GO83" s="212" t="n"/>
      <c r="GP83" s="212" t="n"/>
      <c r="GQ83" s="212" t="n"/>
      <c r="GR83" s="212" t="n"/>
      <c r="GS83" s="212" t="n"/>
      <c r="GT83" s="212" t="n"/>
      <c r="GU83" s="212" t="n"/>
      <c r="GV83" s="212" t="n"/>
      <c r="GW83" s="212" t="n"/>
      <c r="GX83" s="212" t="n"/>
      <c r="GY83" s="212" t="n"/>
      <c r="GZ83" s="212" t="n"/>
      <c r="HA83" s="212" t="n"/>
      <c r="HB83" s="212" t="n"/>
      <c r="HC83" s="212" t="n"/>
      <c r="HD83" s="212" t="n"/>
      <c r="HE83" s="212" t="n"/>
      <c r="HF83" s="212" t="n"/>
      <c r="HG83" s="212" t="n"/>
      <c r="HH83" s="212" t="n"/>
      <c r="HI83" s="212" t="n"/>
      <c r="HJ83" s="212" t="n"/>
      <c r="HK83" s="212" t="n"/>
      <c r="HL83" s="212" t="n"/>
      <c r="HM83" s="212" t="n"/>
      <c r="HN83" s="212" t="n"/>
      <c r="HO83" s="212" t="n"/>
      <c r="HP83" s="212" t="n"/>
      <c r="HQ83" s="212" t="n"/>
      <c r="HR83" s="212" t="n"/>
      <c r="HS83" s="212" t="n"/>
      <c r="HT83" s="212" t="n"/>
      <c r="HU83" s="212" t="n"/>
      <c r="HV83" s="212" t="n"/>
      <c r="HW83" s="212" t="n"/>
      <c r="HX83" s="212" t="n"/>
      <c r="HY83" s="212" t="n"/>
      <c r="HZ83" s="212" t="n"/>
      <c r="IA83" s="212" t="n"/>
      <c r="IB83" s="212" t="n"/>
      <c r="IC83" s="212" t="n"/>
      <c r="ID83" s="212" t="n"/>
      <c r="IE83" s="212" t="n"/>
      <c r="IF83" s="212" t="n"/>
      <c r="IG83" s="212" t="n"/>
      <c r="IH83" s="212" t="n"/>
      <c r="II83" s="212" t="n"/>
      <c r="IJ83" s="212" t="n"/>
      <c r="IK83" s="212" t="n"/>
      <c r="IL83" s="212" t="n"/>
      <c r="IM83" s="212" t="n"/>
      <c r="IN83" s="212" t="n"/>
      <c r="IO83" s="212" t="n"/>
      <c r="IP83" s="212" t="n"/>
      <c r="IQ83" s="212" t="n"/>
      <c r="IR83" s="212" t="n"/>
      <c r="IS83" s="212" t="n"/>
      <c r="IT83" s="212" t="n"/>
      <c r="IU83" s="212" t="n"/>
      <c r="IV83" s="212" t="n"/>
      <c r="IW83" s="212" t="n"/>
      <c r="IX83" s="212" t="n"/>
      <c r="IY83" s="212" t="n"/>
      <c r="IZ83" s="212" t="n"/>
      <c r="JA83" s="212" t="n"/>
      <c r="JB83" s="212" t="n"/>
      <c r="JC83" s="212" t="n"/>
      <c r="JD83" s="212" t="n"/>
      <c r="JE83" s="212" t="n"/>
      <c r="JF83" s="212" t="n"/>
      <c r="JG83" s="212" t="n"/>
      <c r="JH83" s="212" t="n"/>
      <c r="JI83" s="212" t="n"/>
      <c r="JJ83" s="212" t="n"/>
      <c r="JK83" s="212" t="n"/>
      <c r="JL83" s="212" t="n"/>
      <c r="JM83" s="212" t="n"/>
      <c r="JN83" s="212" t="n"/>
      <c r="JO83" s="212" t="n"/>
      <c r="JP83" s="212" t="n"/>
      <c r="JQ83" s="212" t="n"/>
      <c r="JR83" s="212" t="n"/>
      <c r="JS83" s="212" t="n"/>
      <c r="JT83" s="212" t="n"/>
      <c r="JU83" s="212" t="n"/>
      <c r="JV83" s="212" t="n"/>
      <c r="JW83" s="212" t="n"/>
      <c r="JX83" s="212" t="n"/>
      <c r="JY83" s="212" t="n"/>
      <c r="JZ83" s="212" t="n"/>
      <c r="KA83" s="212" t="n"/>
      <c r="KB83" s="212" t="n"/>
      <c r="KC83" s="212" t="n"/>
      <c r="KD83" s="212" t="n"/>
      <c r="KE83" s="212" t="n"/>
      <c r="KF83" s="212" t="n"/>
      <c r="KG83" s="212" t="n"/>
      <c r="KH83" s="212" t="n"/>
      <c r="KI83" s="212" t="n"/>
      <c r="KJ83" s="212" t="n"/>
      <c r="KK83" s="212" t="n"/>
      <c r="KL83" s="212" t="n"/>
      <c r="KM83" s="212" t="n"/>
      <c r="KN83" s="212" t="n"/>
      <c r="KO83" s="212" t="n"/>
      <c r="KP83" s="212" t="n"/>
      <c r="KQ83" s="212" t="n"/>
      <c r="KR83" s="212" t="n"/>
      <c r="KS83" s="212" t="n"/>
      <c r="KT83" s="212" t="n"/>
      <c r="KU83" s="212" t="n"/>
      <c r="KV83" s="212" t="n"/>
      <c r="KW83" s="212" t="n"/>
      <c r="KX83" s="212" t="n"/>
      <c r="KY83" s="212" t="n"/>
      <c r="KZ83" s="212" t="n"/>
      <c r="LA83" s="212" t="n"/>
      <c r="LB83" s="212" t="n"/>
      <c r="LC83" s="212" t="n"/>
      <c r="LD83" s="212" t="n"/>
      <c r="LE83" s="212" t="n"/>
      <c r="LF83" s="212" t="n"/>
      <c r="LG83" s="212" t="n"/>
      <c r="LH83" s="212" t="n"/>
      <c r="LI83" s="212" t="n"/>
      <c r="LJ83" s="212" t="n"/>
      <c r="LK83" s="212" t="n"/>
      <c r="LL83" s="212" t="n"/>
      <c r="LM83" s="212" t="n"/>
      <c r="LN83" s="212" t="n"/>
      <c r="LO83" s="212" t="n"/>
      <c r="LP83" s="212" t="n"/>
      <c r="LQ83" s="212" t="n"/>
      <c r="LR83" s="212" t="n"/>
      <c r="LS83" s="212" t="n"/>
      <c r="LT83" s="212" t="n"/>
      <c r="LU83" s="212" t="n"/>
      <c r="LV83" s="212" t="n"/>
      <c r="LW83" s="212" t="n"/>
      <c r="LX83" s="212" t="n"/>
      <c r="LY83" s="212" t="n"/>
      <c r="LZ83" s="212" t="n"/>
      <c r="MA83" s="212" t="n"/>
      <c r="MB83" s="212" t="n"/>
      <c r="MC83" s="212" t="n"/>
      <c r="MD83" s="212" t="n"/>
      <c r="ME83" s="212" t="n"/>
      <c r="MF83" s="212" t="n"/>
      <c r="MG83" s="212" t="n"/>
      <c r="MH83" s="212" t="n"/>
      <c r="MI83" s="212" t="n"/>
      <c r="MJ83" s="212" t="n"/>
      <c r="MK83" s="212" t="n"/>
      <c r="ML83" s="212" t="n"/>
      <c r="MM83" s="212" t="n"/>
      <c r="MN83" s="212" t="n"/>
      <c r="MO83" s="212" t="n"/>
      <c r="MP83" s="212" t="n"/>
      <c r="MQ83" s="212" t="n"/>
      <c r="MR83" s="212" t="n"/>
      <c r="MS83" s="212" t="n"/>
      <c r="MT83" s="212" t="n"/>
      <c r="MU83" s="212" t="n"/>
      <c r="MV83" s="212" t="n"/>
      <c r="MW83" s="212" t="n"/>
      <c r="MX83" s="212" t="n"/>
      <c r="MY83" s="212" t="n"/>
      <c r="MZ83" s="212" t="n"/>
      <c r="NA83" s="212" t="n"/>
      <c r="NB83" s="212" t="n"/>
      <c r="NC83" s="212" t="n"/>
      <c r="ND83" s="212" t="n"/>
      <c r="NE83" s="212" t="n"/>
      <c r="NF83" s="212" t="n"/>
      <c r="NG83" s="212" t="n"/>
      <c r="NH83" s="212" t="n"/>
      <c r="NI83" s="212" t="n"/>
      <c r="NJ83" s="212" t="n"/>
      <c r="NK83" s="212" t="n"/>
      <c r="NL83" s="212" t="n"/>
      <c r="NM83" s="212" t="n"/>
      <c r="NN83" s="212" t="n"/>
      <c r="NO83" s="212" t="n"/>
      <c r="NP83" s="212" t="n"/>
      <c r="NQ83" s="212" t="n"/>
      <c r="NR83" s="212" t="n"/>
      <c r="NS83" s="212" t="n"/>
      <c r="NT83" s="212" t="n"/>
      <c r="NU83" s="212" t="n"/>
      <c r="NV83" s="212" t="n"/>
      <c r="NW83" s="212" t="n"/>
      <c r="NX83" s="212" t="n"/>
      <c r="NY83" s="212" t="n"/>
      <c r="NZ83" s="212" t="n"/>
      <c r="OA83" s="212" t="n"/>
      <c r="OB83" s="212" t="n"/>
      <c r="OC83" s="212" t="n"/>
      <c r="OD83" s="212" t="n"/>
      <c r="OE83" s="212" t="n"/>
      <c r="OF83" s="212" t="n"/>
      <c r="OG83" s="212" t="n"/>
      <c r="OH83" s="212" t="n"/>
      <c r="OI83" s="212" t="n"/>
      <c r="OJ83" s="212" t="n"/>
      <c r="OK83" s="212" t="n"/>
      <c r="OL83" s="212" t="n"/>
      <c r="OM83" s="212" t="n"/>
      <c r="ON83" s="212" t="n"/>
      <c r="OO83" s="212" t="n"/>
      <c r="OP83" s="212" t="n"/>
      <c r="OQ83" s="212" t="n"/>
      <c r="OR83" s="212" t="n"/>
      <c r="OS83" s="212" t="n"/>
      <c r="OT83" s="212" t="n"/>
      <c r="OU83" s="212" t="n"/>
      <c r="OV83" s="212" t="n"/>
      <c r="OW83" s="212" t="n"/>
      <c r="OX83" s="212" t="n"/>
      <c r="OY83" s="212" t="n"/>
      <c r="OZ83" s="212" t="n"/>
      <c r="PA83" s="212" t="n"/>
      <c r="PB83" s="212" t="n"/>
      <c r="PC83" s="212" t="n"/>
      <c r="PD83" s="212" t="n"/>
      <c r="PE83" s="212" t="n"/>
      <c r="PF83" s="212" t="n"/>
      <c r="PG83" s="212" t="n"/>
      <c r="PH83" s="212" t="n"/>
      <c r="PI83" s="212" t="n"/>
      <c r="PJ83" s="212" t="n"/>
      <c r="PK83" s="212" t="n"/>
      <c r="PL83" s="212" t="n"/>
      <c r="PM83" s="212" t="n"/>
      <c r="PN83" s="212" t="n"/>
      <c r="PO83" s="212" t="n"/>
      <c r="PP83" s="212" t="n"/>
      <c r="PQ83" s="212" t="n"/>
      <c r="PR83" s="212" t="n"/>
      <c r="PS83" s="212" t="n"/>
      <c r="PT83" s="212" t="n"/>
      <c r="PU83" s="212" t="n"/>
      <c r="PV83" s="212" t="n"/>
      <c r="PW83" s="212" t="n"/>
      <c r="PX83" s="212" t="n"/>
      <c r="PY83" s="212" t="n"/>
      <c r="PZ83" s="212" t="n"/>
      <c r="QA83" s="212" t="n"/>
      <c r="QB83" s="212" t="n"/>
      <c r="QC83" s="212" t="n"/>
      <c r="QD83" s="212" t="n"/>
      <c r="QE83" s="212" t="n"/>
      <c r="QF83" s="212" t="n"/>
      <c r="QG83" s="212" t="n"/>
      <c r="QH83" s="212" t="n"/>
      <c r="QI83" s="212" t="n"/>
      <c r="QJ83" s="212" t="n"/>
      <c r="QK83" s="212" t="n"/>
      <c r="QL83" s="212" t="n"/>
      <c r="QM83" s="212" t="n"/>
      <c r="QN83" s="212" t="n"/>
      <c r="QO83" s="212" t="n"/>
      <c r="QP83" s="212" t="n"/>
      <c r="QQ83" s="212" t="n"/>
      <c r="QR83" s="212" t="n"/>
      <c r="QS83" s="212" t="n"/>
      <c r="QT83" s="212" t="n"/>
      <c r="QU83" s="212" t="n"/>
      <c r="QV83" s="212" t="n"/>
      <c r="QW83" s="212" t="n"/>
      <c r="QX83" s="212" t="n"/>
      <c r="QY83" s="212" t="n"/>
      <c r="QZ83" s="212" t="n"/>
      <c r="RA83" s="212" t="n"/>
      <c r="RB83" s="212" t="n"/>
      <c r="RC83" s="212" t="n"/>
      <c r="RD83" s="212" t="n"/>
      <c r="RE83" s="212" t="n"/>
      <c r="RF83" s="212" t="n"/>
      <c r="RG83" s="212" t="n"/>
      <c r="RH83" s="212" t="n"/>
      <c r="RI83" s="212" t="n"/>
      <c r="RJ83" s="212" t="n"/>
      <c r="RK83" s="212" t="n"/>
      <c r="RL83" s="212" t="n"/>
      <c r="RM83" s="212" t="n"/>
      <c r="RN83" s="212" t="n"/>
      <c r="RO83" s="212" t="n"/>
      <c r="RP83" s="212" t="n"/>
      <c r="RQ83" s="212" t="n"/>
      <c r="RR83" s="212" t="n"/>
      <c r="RS83" s="212" t="n"/>
      <c r="RT83" s="212" t="n"/>
      <c r="RU83" s="212" t="n"/>
      <c r="RV83" s="212" t="n"/>
      <c r="RW83" s="212" t="n"/>
      <c r="RX83" s="212" t="n"/>
      <c r="RY83" s="212" t="n"/>
      <c r="RZ83" s="212" t="n"/>
      <c r="SA83" s="212" t="n"/>
      <c r="SB83" s="212" t="n"/>
      <c r="SC83" s="212" t="n"/>
      <c r="SD83" s="212" t="n"/>
      <c r="SE83" s="212" t="n"/>
      <c r="SF83" s="212" t="n"/>
      <c r="SG83" s="212" t="n"/>
      <c r="SH83" s="212" t="n"/>
      <c r="SI83" s="212" t="n"/>
      <c r="SJ83" s="212" t="n"/>
      <c r="SK83" s="212" t="n"/>
      <c r="SL83" s="212" t="n"/>
      <c r="SM83" s="212" t="n"/>
      <c r="SN83" s="212" t="n"/>
      <c r="SO83" s="212" t="n"/>
      <c r="SP83" s="212" t="n"/>
      <c r="SQ83" s="212" t="n"/>
      <c r="SR83" s="212" t="n"/>
      <c r="SS83" s="212" t="n"/>
      <c r="ST83" s="212" t="n"/>
      <c r="SU83" s="212" t="n"/>
      <c r="SV83" s="212" t="n"/>
    </row>
    <row r="84">
      <c r="B84" s="209" t="inlineStr">
        <is>
          <t>N/A</t>
        </is>
      </c>
      <c r="C84" s="209" t="inlineStr">
        <is>
          <t>PTM</t>
        </is>
      </c>
      <c r="D84" s="209" t="inlineStr">
        <is>
          <t>Holly</t>
        </is>
      </c>
      <c r="E84" s="209" t="inlineStr">
        <is>
          <t>Vick</t>
        </is>
      </c>
      <c r="F84" s="209">
        <f>IF(TRIM(D84&amp;E84)="","",TRIM(D84)&amp;" "&amp;TRIM(E84))</f>
        <v/>
      </c>
      <c r="G84" s="209" t="inlineStr">
        <is>
          <t>Perth</t>
        </is>
      </c>
      <c r="H84" s="209" t="inlineStr">
        <is>
          <t>Traffic Controller</t>
        </is>
      </c>
      <c r="I84" s="209" t="inlineStr">
        <is>
          <t>YES</t>
        </is>
      </c>
      <c r="J84" s="209" t="inlineStr">
        <is>
          <t>YES</t>
        </is>
      </c>
      <c r="K84" s="209" t="inlineStr">
        <is>
          <t>YES</t>
        </is>
      </c>
      <c r="L84" s="209" t="inlineStr">
        <is>
          <t>YES</t>
        </is>
      </c>
      <c r="M84" s="209" t="inlineStr">
        <is>
          <t>Quals Complete</t>
        </is>
      </c>
      <c r="N84" s="209" t="inlineStr">
        <is>
          <t>Holly.89@live.com.au</t>
        </is>
      </c>
      <c r="O84" s="209" t="inlineStr">
        <is>
          <t>0408 939 000</t>
        </is>
      </c>
      <c r="P84" s="209" t="n">
        <v>358855</v>
      </c>
      <c r="Q84" s="209" t="n">
        <v>155435</v>
      </c>
      <c r="R84" s="209" t="inlineStr">
        <is>
          <t>Adhoc</t>
        </is>
      </c>
      <c r="S84" s="210" t="inlineStr">
        <is>
          <t>N/A</t>
        </is>
      </c>
      <c r="T84" s="210" t="inlineStr">
        <is>
          <t>N/A</t>
        </is>
      </c>
      <c r="U84" s="210" t="inlineStr">
        <is>
          <t>N/A</t>
        </is>
      </c>
      <c r="V84" s="210" t="inlineStr">
        <is>
          <t>N/A</t>
        </is>
      </c>
      <c r="W84" s="210" t="inlineStr">
        <is>
          <t>N/A</t>
        </is>
      </c>
      <c r="X84" s="210" t="inlineStr">
        <is>
          <t>N/A</t>
        </is>
      </c>
      <c r="Y84" s="210" t="inlineStr">
        <is>
          <t>N/A</t>
        </is>
      </c>
      <c r="Z84" s="210" t="inlineStr">
        <is>
          <t>N/A</t>
        </is>
      </c>
      <c r="AA84" s="210" t="inlineStr">
        <is>
          <t>N/A</t>
        </is>
      </c>
      <c r="AB84" s="210" t="inlineStr">
        <is>
          <t>N/A</t>
        </is>
      </c>
      <c r="AC84" s="210" t="inlineStr">
        <is>
          <t>N/A</t>
        </is>
      </c>
      <c r="AD84" s="210" t="inlineStr">
        <is>
          <t>N/A</t>
        </is>
      </c>
      <c r="AE84" s="210" t="inlineStr">
        <is>
          <t>N/A</t>
        </is>
      </c>
      <c r="AF84" s="210" t="inlineStr">
        <is>
          <t>N/A</t>
        </is>
      </c>
      <c r="AG84" s="210" t="inlineStr">
        <is>
          <t>N/A</t>
        </is>
      </c>
      <c r="AH84" s="210" t="inlineStr">
        <is>
          <t>N/A</t>
        </is>
      </c>
      <c r="AI84" s="210" t="inlineStr">
        <is>
          <t>N/A</t>
        </is>
      </c>
      <c r="AJ84" s="210" t="inlineStr">
        <is>
          <t>N/A</t>
        </is>
      </c>
      <c r="AK84" s="210" t="inlineStr">
        <is>
          <t>N/A</t>
        </is>
      </c>
      <c r="AL84" s="210" t="inlineStr">
        <is>
          <t>N/A</t>
        </is>
      </c>
      <c r="AM84" s="210" t="inlineStr">
        <is>
          <t>N/A</t>
        </is>
      </c>
      <c r="AN84" s="210" t="inlineStr">
        <is>
          <t>N/A</t>
        </is>
      </c>
      <c r="AO84" s="210" t="inlineStr">
        <is>
          <t>N/A</t>
        </is>
      </c>
      <c r="AP84" s="210" t="inlineStr">
        <is>
          <t>N/A</t>
        </is>
      </c>
      <c r="AQ84" s="210" t="inlineStr">
        <is>
          <t>N/A</t>
        </is>
      </c>
      <c r="AR84" s="210" t="inlineStr">
        <is>
          <t>N/A</t>
        </is>
      </c>
      <c r="AS84" s="210" t="inlineStr">
        <is>
          <t>N/A</t>
        </is>
      </c>
      <c r="AT84" s="210" t="inlineStr">
        <is>
          <t>N/A</t>
        </is>
      </c>
      <c r="AU84" s="210" t="inlineStr">
        <is>
          <t>N/A</t>
        </is>
      </c>
      <c r="AV84" s="210" t="inlineStr">
        <is>
          <t>N/A</t>
        </is>
      </c>
      <c r="AW84" s="210" t="inlineStr">
        <is>
          <t>N/A</t>
        </is>
      </c>
      <c r="AX84" s="210" t="inlineStr">
        <is>
          <t>N/A</t>
        </is>
      </c>
      <c r="AY84" s="210" t="inlineStr">
        <is>
          <t>N/A</t>
        </is>
      </c>
      <c r="AZ84" s="210" t="inlineStr">
        <is>
          <t>N/A</t>
        </is>
      </c>
      <c r="BA84" s="210" t="inlineStr">
        <is>
          <t>N/A</t>
        </is>
      </c>
      <c r="BB84" s="210" t="inlineStr">
        <is>
          <t>N/A</t>
        </is>
      </c>
      <c r="BC84" s="211" t="inlineStr">
        <is>
          <t>DRV-IN PM 
RDM</t>
        </is>
      </c>
      <c r="BD84" s="211" t="inlineStr">
        <is>
          <t>RDM</t>
        </is>
      </c>
      <c r="BE84" s="211" t="inlineStr">
        <is>
          <t>DRV-OUT AM</t>
        </is>
      </c>
      <c r="BF84" s="210" t="inlineStr">
        <is>
          <t>N/A</t>
        </is>
      </c>
      <c r="BG84" s="210" t="inlineStr">
        <is>
          <t>N/A</t>
        </is>
      </c>
      <c r="BH84" s="210" t="inlineStr">
        <is>
          <t>N/A</t>
        </is>
      </c>
      <c r="BI84" s="210" t="inlineStr">
        <is>
          <t>N/A</t>
        </is>
      </c>
      <c r="BJ84" s="210" t="inlineStr">
        <is>
          <t>N/A</t>
        </is>
      </c>
      <c r="BK84" s="210" t="inlineStr">
        <is>
          <t>N/A</t>
        </is>
      </c>
      <c r="BL84" s="210" t="inlineStr">
        <is>
          <t>N/A</t>
        </is>
      </c>
      <c r="BM84" s="210" t="inlineStr">
        <is>
          <t>N/A</t>
        </is>
      </c>
      <c r="BN84" s="210" t="inlineStr">
        <is>
          <t>N/A</t>
        </is>
      </c>
      <c r="BO84" s="210" t="inlineStr">
        <is>
          <t>N/A</t>
        </is>
      </c>
      <c r="BP84" s="210" t="inlineStr">
        <is>
          <t>N/A</t>
        </is>
      </c>
      <c r="BQ84" s="210" t="inlineStr">
        <is>
          <t>N/A</t>
        </is>
      </c>
      <c r="BR84" s="210" t="inlineStr">
        <is>
          <t>N/A</t>
        </is>
      </c>
      <c r="BS84" s="210" t="inlineStr">
        <is>
          <t>N/A</t>
        </is>
      </c>
      <c r="BT84" s="210" t="inlineStr">
        <is>
          <t>N/A</t>
        </is>
      </c>
      <c r="BU84" s="210" t="inlineStr">
        <is>
          <t>N/A</t>
        </is>
      </c>
      <c r="BV84" s="210" t="inlineStr">
        <is>
          <t>N/A</t>
        </is>
      </c>
      <c r="BW84" s="210" t="inlineStr">
        <is>
          <t>N/A</t>
        </is>
      </c>
      <c r="BX84" s="210" t="inlineStr">
        <is>
          <t>N/A</t>
        </is>
      </c>
      <c r="BY84" s="210" t="inlineStr">
        <is>
          <t>N/A</t>
        </is>
      </c>
      <c r="BZ84" s="210" t="inlineStr">
        <is>
          <t>N/A</t>
        </is>
      </c>
      <c r="CA84" s="210" t="inlineStr">
        <is>
          <t>N/A</t>
        </is>
      </c>
      <c r="CB84" s="210" t="inlineStr">
        <is>
          <t>N/A</t>
        </is>
      </c>
      <c r="CC84" s="210" t="inlineStr">
        <is>
          <t>N/A</t>
        </is>
      </c>
      <c r="CD84" s="210" t="inlineStr">
        <is>
          <t>N/A</t>
        </is>
      </c>
      <c r="CE84" s="210" t="inlineStr">
        <is>
          <t>N/A</t>
        </is>
      </c>
      <c r="CF84" s="210" t="inlineStr">
        <is>
          <t>N/A</t>
        </is>
      </c>
      <c r="CG84" s="210" t="inlineStr">
        <is>
          <t>N/A</t>
        </is>
      </c>
      <c r="CH84" s="210" t="inlineStr">
        <is>
          <t>N/A</t>
        </is>
      </c>
      <c r="CI84" s="210" t="inlineStr">
        <is>
          <t>N/A</t>
        </is>
      </c>
      <c r="CJ84" s="210" t="inlineStr">
        <is>
          <t>N/A</t>
        </is>
      </c>
      <c r="CK84" s="210" t="inlineStr">
        <is>
          <t>N/A</t>
        </is>
      </c>
      <c r="CL84" s="210" t="inlineStr">
        <is>
          <t>N/A</t>
        </is>
      </c>
      <c r="CM84" s="210" t="inlineStr">
        <is>
          <t>N/A</t>
        </is>
      </c>
      <c r="CN84" s="210" t="inlineStr">
        <is>
          <t>N/A</t>
        </is>
      </c>
      <c r="CO84" s="210" t="inlineStr">
        <is>
          <t>N/A</t>
        </is>
      </c>
      <c r="CP84" s="210" t="inlineStr">
        <is>
          <t>N/A</t>
        </is>
      </c>
      <c r="CQ84" s="210" t="inlineStr">
        <is>
          <t>N/A</t>
        </is>
      </c>
      <c r="CR84" s="210" t="inlineStr">
        <is>
          <t>N/A</t>
        </is>
      </c>
      <c r="CS84" s="210" t="inlineStr">
        <is>
          <t>N/A</t>
        </is>
      </c>
      <c r="CT84" s="210" t="inlineStr">
        <is>
          <t>N/A</t>
        </is>
      </c>
      <c r="CU84" s="210" t="inlineStr">
        <is>
          <t>N/A</t>
        </is>
      </c>
      <c r="CV84" s="210" t="inlineStr">
        <is>
          <t>N/A</t>
        </is>
      </c>
      <c r="CW84" s="210" t="inlineStr">
        <is>
          <t>N/A</t>
        </is>
      </c>
      <c r="CX84" s="210" t="inlineStr">
        <is>
          <t>N/A</t>
        </is>
      </c>
      <c r="CY84" s="210" t="inlineStr">
        <is>
          <t>N/A</t>
        </is>
      </c>
      <c r="CZ84" s="210" t="inlineStr">
        <is>
          <t>N/A</t>
        </is>
      </c>
      <c r="DA84" s="210" t="inlineStr">
        <is>
          <t>N/A</t>
        </is>
      </c>
      <c r="DB84" s="210" t="inlineStr">
        <is>
          <t>N/A</t>
        </is>
      </c>
      <c r="DC84" s="210" t="inlineStr">
        <is>
          <t>N/A</t>
        </is>
      </c>
      <c r="DD84" s="210" t="inlineStr">
        <is>
          <t>N/A</t>
        </is>
      </c>
      <c r="DE84" s="210" t="inlineStr">
        <is>
          <t>N/A</t>
        </is>
      </c>
      <c r="DF84" s="210" t="inlineStr">
        <is>
          <t>N/A</t>
        </is>
      </c>
      <c r="DG84" s="210" t="inlineStr">
        <is>
          <t>N/A</t>
        </is>
      </c>
      <c r="DH84" s="210" t="inlineStr">
        <is>
          <t>N/A</t>
        </is>
      </c>
      <c r="DI84" s="210" t="inlineStr">
        <is>
          <t>N/A</t>
        </is>
      </c>
      <c r="DJ84" s="210" t="inlineStr">
        <is>
          <t>N/A</t>
        </is>
      </c>
      <c r="DK84" s="210" t="inlineStr">
        <is>
          <t>N/A</t>
        </is>
      </c>
      <c r="DL84" s="210" t="inlineStr">
        <is>
          <t>N/A</t>
        </is>
      </c>
      <c r="DM84" s="210" t="inlineStr">
        <is>
          <t>N/A</t>
        </is>
      </c>
      <c r="DN84" s="210" t="inlineStr">
        <is>
          <t>N/A</t>
        </is>
      </c>
      <c r="DO84" s="210" t="inlineStr">
        <is>
          <t>N/A</t>
        </is>
      </c>
      <c r="DP84" s="210" t="inlineStr">
        <is>
          <t>N/A</t>
        </is>
      </c>
      <c r="DQ84" s="210" t="inlineStr">
        <is>
          <t>N/A</t>
        </is>
      </c>
      <c r="DR84" s="210" t="inlineStr">
        <is>
          <t>N/A</t>
        </is>
      </c>
      <c r="DS84" s="212" t="n"/>
      <c r="DT84" s="212" t="n"/>
      <c r="DU84" s="212" t="n"/>
      <c r="DV84" s="212" t="n"/>
      <c r="DW84" s="212" t="n"/>
      <c r="DX84" s="212" t="n"/>
      <c r="DY84" s="212" t="n"/>
      <c r="DZ84" s="212" t="n"/>
      <c r="EA84" s="212" t="n"/>
      <c r="EB84" s="212" t="n"/>
      <c r="EC84" s="212" t="n"/>
      <c r="ED84" s="212" t="n"/>
      <c r="EE84" s="212" t="n"/>
      <c r="EF84" s="212" t="n"/>
      <c r="EG84" s="212" t="n"/>
      <c r="EH84" s="212" t="n"/>
      <c r="EI84" s="212" t="n"/>
      <c r="EJ84" s="212" t="n"/>
      <c r="EK84" s="212" t="n"/>
      <c r="EL84" s="212" t="n"/>
      <c r="EM84" s="212" t="n"/>
      <c r="EN84" s="212" t="n"/>
      <c r="EO84" s="212" t="n"/>
      <c r="EP84" s="212" t="n"/>
      <c r="EQ84" s="212" t="n"/>
      <c r="ER84" s="212" t="n"/>
      <c r="ES84" s="212" t="n"/>
      <c r="ET84" s="212" t="n"/>
      <c r="EU84" s="212" t="n"/>
      <c r="EV84" s="212" t="n"/>
      <c r="EW84" s="212" t="n"/>
      <c r="EX84" s="212" t="n"/>
      <c r="EY84" s="212" t="n"/>
      <c r="EZ84" s="212" t="n"/>
      <c r="FA84" s="212" t="n"/>
      <c r="FB84" s="212" t="n"/>
      <c r="FC84" s="212" t="n"/>
      <c r="FD84" s="212" t="n"/>
      <c r="FE84" s="212" t="n"/>
      <c r="FF84" s="212" t="n"/>
      <c r="FG84" s="212" t="n"/>
      <c r="FH84" s="212" t="n"/>
      <c r="FI84" s="212" t="n"/>
      <c r="FJ84" s="212" t="n"/>
      <c r="FK84" s="212" t="n"/>
      <c r="FL84" s="212" t="n"/>
      <c r="FM84" s="212" t="n"/>
      <c r="FN84" s="212" t="n"/>
      <c r="FO84" s="212" t="n"/>
      <c r="FP84" s="212" t="n"/>
      <c r="FQ84" s="212" t="n"/>
      <c r="FR84" s="212" t="n"/>
      <c r="FS84" s="212" t="n"/>
      <c r="FT84" s="212" t="n"/>
      <c r="FU84" s="212" t="n"/>
      <c r="FV84" s="212" t="n"/>
      <c r="FW84" s="212" t="n"/>
      <c r="FX84" s="212" t="n"/>
      <c r="FY84" s="212" t="n"/>
      <c r="FZ84" s="212" t="n"/>
      <c r="GA84" s="212" t="n"/>
      <c r="GB84" s="212" t="n"/>
      <c r="GC84" s="212" t="n"/>
      <c r="GD84" s="212" t="n"/>
      <c r="GE84" s="212" t="n"/>
      <c r="GF84" s="212" t="n"/>
      <c r="GG84" s="212" t="n"/>
      <c r="GH84" s="212" t="n"/>
      <c r="GI84" s="212" t="n"/>
      <c r="GJ84" s="212" t="n"/>
      <c r="GK84" s="212" t="n"/>
      <c r="GL84" s="212" t="n"/>
      <c r="GM84" s="212" t="n"/>
      <c r="GN84" s="212" t="n"/>
      <c r="GO84" s="212" t="n"/>
      <c r="GP84" s="212" t="n"/>
      <c r="GQ84" s="212" t="n"/>
      <c r="GR84" s="212" t="n"/>
      <c r="GS84" s="212" t="n"/>
      <c r="GT84" s="212" t="n"/>
      <c r="GU84" s="212" t="n"/>
      <c r="GV84" s="212" t="n"/>
      <c r="GW84" s="212" t="n"/>
      <c r="GX84" s="212" t="n"/>
      <c r="GY84" s="212" t="n"/>
      <c r="GZ84" s="212" t="n"/>
      <c r="HA84" s="212" t="n"/>
      <c r="HB84" s="212" t="n"/>
      <c r="HC84" s="212" t="n"/>
      <c r="HD84" s="212" t="n"/>
      <c r="HE84" s="212" t="n"/>
      <c r="HF84" s="212" t="n"/>
      <c r="HG84" s="212" t="n"/>
      <c r="HH84" s="212" t="n"/>
      <c r="HI84" s="212" t="n"/>
      <c r="HJ84" s="212" t="n"/>
      <c r="HK84" s="212" t="n"/>
      <c r="HL84" s="212" t="n"/>
      <c r="HM84" s="212" t="n"/>
      <c r="HN84" s="212" t="n"/>
      <c r="HO84" s="212" t="n"/>
      <c r="HP84" s="212" t="n"/>
      <c r="HQ84" s="212" t="n"/>
      <c r="HR84" s="212" t="n"/>
      <c r="HS84" s="212" t="n"/>
      <c r="HT84" s="212" t="n"/>
      <c r="HU84" s="212" t="n"/>
      <c r="HV84" s="212" t="n"/>
      <c r="HW84" s="212" t="n"/>
      <c r="HX84" s="212" t="n"/>
      <c r="HY84" s="212" t="n"/>
      <c r="HZ84" s="212" t="n"/>
      <c r="IA84" s="212" t="n"/>
      <c r="IB84" s="212" t="n"/>
      <c r="IC84" s="212" t="n"/>
      <c r="ID84" s="212" t="n"/>
      <c r="IE84" s="212" t="n"/>
      <c r="IF84" s="212" t="n"/>
      <c r="IG84" s="212" t="n"/>
      <c r="IH84" s="212" t="n"/>
      <c r="II84" s="212" t="n"/>
      <c r="IJ84" s="212" t="n"/>
      <c r="IK84" s="212" t="n"/>
      <c r="IL84" s="212" t="n"/>
      <c r="IM84" s="212" t="n"/>
      <c r="IN84" s="212" t="n"/>
      <c r="IO84" s="212" t="n"/>
      <c r="IP84" s="212" t="n"/>
      <c r="IQ84" s="212" t="n"/>
      <c r="IR84" s="212" t="n"/>
      <c r="IS84" s="212" t="n"/>
      <c r="IT84" s="212" t="n"/>
      <c r="IU84" s="212" t="n"/>
      <c r="IV84" s="212" t="n"/>
      <c r="IW84" s="212" t="n"/>
      <c r="IX84" s="212" t="n"/>
      <c r="IY84" s="212" t="n"/>
      <c r="IZ84" s="212" t="n"/>
      <c r="JA84" s="212" t="n"/>
      <c r="JB84" s="212" t="n"/>
      <c r="JC84" s="212" t="n"/>
      <c r="JD84" s="212" t="n"/>
      <c r="JE84" s="212" t="n"/>
      <c r="JF84" s="212" t="n"/>
      <c r="JG84" s="212" t="n"/>
      <c r="JH84" s="212" t="n"/>
      <c r="JI84" s="212" t="n"/>
      <c r="JJ84" s="212" t="n"/>
      <c r="JK84" s="212" t="n"/>
      <c r="JL84" s="212" t="n"/>
      <c r="JM84" s="212" t="n"/>
      <c r="JN84" s="212" t="n"/>
      <c r="JO84" s="212" t="n"/>
      <c r="JP84" s="212" t="n"/>
      <c r="JQ84" s="212" t="n"/>
      <c r="JR84" s="212" t="n"/>
      <c r="JS84" s="212" t="n"/>
      <c r="JT84" s="212" t="n"/>
      <c r="JU84" s="212" t="n"/>
      <c r="JV84" s="212" t="n"/>
      <c r="JW84" s="212" t="n"/>
      <c r="JX84" s="212" t="n"/>
      <c r="JY84" s="212" t="n"/>
      <c r="JZ84" s="212" t="n"/>
      <c r="KA84" s="212" t="n"/>
      <c r="KB84" s="212" t="n"/>
      <c r="KC84" s="212" t="n"/>
      <c r="KD84" s="212" t="n"/>
      <c r="KE84" s="212" t="n"/>
      <c r="KF84" s="212" t="n"/>
      <c r="KG84" s="212" t="n"/>
      <c r="KH84" s="212" t="n"/>
      <c r="KI84" s="212" t="n"/>
      <c r="KJ84" s="212" t="n"/>
      <c r="KK84" s="212" t="n"/>
      <c r="KL84" s="212" t="n"/>
      <c r="KM84" s="212" t="n"/>
      <c r="KN84" s="212" t="n"/>
      <c r="KO84" s="212" t="n"/>
      <c r="KP84" s="212" t="n"/>
      <c r="KQ84" s="212" t="n"/>
      <c r="KR84" s="212" t="n"/>
      <c r="KS84" s="212" t="n"/>
      <c r="KT84" s="212" t="n"/>
      <c r="KU84" s="212" t="n"/>
      <c r="KV84" s="212" t="n"/>
      <c r="KW84" s="212" t="n"/>
      <c r="KX84" s="212" t="n"/>
      <c r="KY84" s="212" t="n"/>
      <c r="KZ84" s="212" t="n"/>
      <c r="LA84" s="212" t="n"/>
      <c r="LB84" s="212" t="n"/>
      <c r="LC84" s="212" t="n"/>
      <c r="LD84" s="212" t="n"/>
      <c r="LE84" s="212" t="n"/>
      <c r="LF84" s="212" t="n"/>
      <c r="LG84" s="212" t="n"/>
      <c r="LH84" s="212" t="n"/>
      <c r="LI84" s="212" t="n"/>
      <c r="LJ84" s="212" t="n"/>
      <c r="LK84" s="212" t="n"/>
      <c r="LL84" s="212" t="n"/>
      <c r="LM84" s="212" t="n"/>
      <c r="LN84" s="212" t="n"/>
      <c r="LO84" s="212" t="n"/>
      <c r="LP84" s="212" t="n"/>
      <c r="LQ84" s="212" t="n"/>
      <c r="LR84" s="212" t="n"/>
      <c r="LS84" s="212" t="n"/>
      <c r="LT84" s="212" t="n"/>
      <c r="LU84" s="212" t="n"/>
      <c r="LV84" s="212" t="n"/>
      <c r="LW84" s="212" t="n"/>
      <c r="LX84" s="212" t="n"/>
      <c r="LY84" s="212" t="n"/>
      <c r="LZ84" s="212" t="n"/>
      <c r="MA84" s="212" t="n"/>
      <c r="MB84" s="212" t="n"/>
      <c r="MC84" s="212" t="n"/>
      <c r="MD84" s="212" t="n"/>
      <c r="ME84" s="212" t="n"/>
      <c r="MF84" s="212" t="n"/>
      <c r="MG84" s="212" t="n"/>
      <c r="MH84" s="212" t="n"/>
      <c r="MI84" s="212" t="n"/>
      <c r="MJ84" s="212" t="n"/>
      <c r="MK84" s="212" t="n"/>
      <c r="ML84" s="212" t="n"/>
      <c r="MM84" s="212" t="n"/>
      <c r="MN84" s="212" t="n"/>
      <c r="MO84" s="212" t="n"/>
      <c r="MP84" s="212" t="n"/>
      <c r="MQ84" s="212" t="n"/>
      <c r="MR84" s="212" t="n"/>
      <c r="MS84" s="212" t="n"/>
      <c r="MT84" s="212" t="n"/>
      <c r="MU84" s="212" t="n"/>
      <c r="MV84" s="212" t="n"/>
      <c r="MW84" s="212" t="n"/>
      <c r="MX84" s="212" t="n"/>
      <c r="MY84" s="212" t="n"/>
      <c r="MZ84" s="212" t="n"/>
      <c r="NA84" s="212" t="n"/>
      <c r="NB84" s="212" t="n"/>
      <c r="NC84" s="212" t="n"/>
      <c r="ND84" s="212" t="n"/>
      <c r="NE84" s="212" t="n"/>
      <c r="NF84" s="212" t="n"/>
      <c r="NG84" s="212" t="n"/>
      <c r="NH84" s="212" t="n"/>
      <c r="NI84" s="212" t="n"/>
      <c r="NJ84" s="212" t="n"/>
      <c r="NK84" s="212" t="n"/>
      <c r="NL84" s="212" t="n"/>
      <c r="NM84" s="212" t="n"/>
      <c r="NN84" s="212" t="n"/>
      <c r="NO84" s="212" t="n"/>
      <c r="NP84" s="212" t="n"/>
      <c r="NQ84" s="212" t="n"/>
      <c r="NR84" s="212" t="n"/>
      <c r="NS84" s="212" t="n"/>
      <c r="NT84" s="212" t="n"/>
      <c r="NU84" s="212" t="n"/>
      <c r="NV84" s="212" t="n"/>
      <c r="NW84" s="212" t="n"/>
      <c r="NX84" s="212" t="n"/>
      <c r="NY84" s="212" t="n"/>
      <c r="NZ84" s="212" t="n"/>
      <c r="OA84" s="212" t="n"/>
      <c r="OB84" s="212" t="n"/>
      <c r="OC84" s="212" t="n"/>
      <c r="OD84" s="212" t="n"/>
      <c r="OE84" s="212" t="n"/>
      <c r="OF84" s="212" t="n"/>
      <c r="OG84" s="212" t="n"/>
      <c r="OH84" s="212" t="n"/>
      <c r="OI84" s="212" t="n"/>
      <c r="OJ84" s="212" t="n"/>
      <c r="OK84" s="212" t="n"/>
      <c r="OL84" s="212" t="n"/>
      <c r="OM84" s="212" t="n"/>
      <c r="ON84" s="212" t="n"/>
      <c r="OO84" s="212" t="n"/>
      <c r="OP84" s="212" t="n"/>
      <c r="OQ84" s="212" t="n"/>
      <c r="OR84" s="212" t="n"/>
      <c r="OS84" s="212" t="n"/>
      <c r="OT84" s="212" t="n"/>
      <c r="OU84" s="212" t="n"/>
      <c r="OV84" s="212" t="n"/>
      <c r="OW84" s="212" t="n"/>
      <c r="OX84" s="212" t="n"/>
      <c r="OY84" s="212" t="n"/>
      <c r="OZ84" s="212" t="n"/>
      <c r="PA84" s="212" t="n"/>
      <c r="PB84" s="212" t="n"/>
      <c r="PC84" s="212" t="n"/>
      <c r="PD84" s="212" t="n"/>
      <c r="PE84" s="212" t="n"/>
      <c r="PF84" s="212" t="n"/>
      <c r="PG84" s="212" t="n"/>
      <c r="PH84" s="212" t="n"/>
      <c r="PI84" s="212" t="n"/>
      <c r="PJ84" s="212" t="n"/>
      <c r="PK84" s="212" t="n"/>
      <c r="PL84" s="212" t="n"/>
      <c r="PM84" s="212" t="n"/>
      <c r="PN84" s="212" t="n"/>
      <c r="PO84" s="212" t="n"/>
      <c r="PP84" s="212" t="n"/>
      <c r="PQ84" s="212" t="n"/>
      <c r="PR84" s="212" t="n"/>
      <c r="PS84" s="212" t="n"/>
      <c r="PT84" s="212" t="n"/>
      <c r="PU84" s="212" t="n"/>
      <c r="PV84" s="212" t="n"/>
      <c r="PW84" s="212" t="n"/>
      <c r="PX84" s="212" t="n"/>
      <c r="PY84" s="212" t="n"/>
      <c r="PZ84" s="212" t="n"/>
      <c r="QA84" s="212" t="n"/>
      <c r="QB84" s="212" t="n"/>
      <c r="QC84" s="212" t="n"/>
      <c r="QD84" s="212" t="n"/>
      <c r="QE84" s="212" t="n"/>
      <c r="QF84" s="212" t="n"/>
      <c r="QG84" s="212" t="n"/>
      <c r="QH84" s="212" t="n"/>
      <c r="QI84" s="212" t="n"/>
      <c r="QJ84" s="212" t="n"/>
      <c r="QK84" s="212" t="n"/>
      <c r="QL84" s="212" t="n"/>
      <c r="QM84" s="212" t="n"/>
      <c r="QN84" s="212" t="n"/>
      <c r="QO84" s="212" t="n"/>
      <c r="QP84" s="212" t="n"/>
      <c r="QQ84" s="212" t="n"/>
      <c r="QR84" s="212" t="n"/>
      <c r="QS84" s="212" t="n"/>
      <c r="QT84" s="212" t="n"/>
      <c r="QU84" s="212" t="n"/>
      <c r="QV84" s="212" t="n"/>
      <c r="QW84" s="212" t="n"/>
      <c r="QX84" s="212" t="n"/>
      <c r="QY84" s="212" t="n"/>
      <c r="QZ84" s="212" t="n"/>
      <c r="RA84" s="212" t="n"/>
      <c r="RB84" s="212" t="n"/>
      <c r="RC84" s="212" t="n"/>
      <c r="RD84" s="212" t="n"/>
      <c r="RE84" s="212" t="n"/>
      <c r="RF84" s="212" t="n"/>
      <c r="RG84" s="212" t="n"/>
      <c r="RH84" s="212" t="n"/>
      <c r="RI84" s="212" t="n"/>
      <c r="RJ84" s="212" t="n"/>
      <c r="RK84" s="212" t="n"/>
      <c r="RL84" s="212" t="n"/>
      <c r="RM84" s="212" t="n"/>
      <c r="RN84" s="212" t="n"/>
      <c r="RO84" s="212" t="n"/>
      <c r="RP84" s="212" t="n"/>
      <c r="RQ84" s="212" t="n"/>
      <c r="RR84" s="212" t="n"/>
      <c r="RS84" s="212" t="n"/>
      <c r="RT84" s="212" t="n"/>
      <c r="RU84" s="212" t="n"/>
      <c r="RV84" s="212" t="n"/>
      <c r="RW84" s="212" t="n"/>
      <c r="RX84" s="212" t="n"/>
      <c r="RY84" s="212" t="n"/>
      <c r="RZ84" s="212" t="n"/>
      <c r="SA84" s="212" t="n"/>
      <c r="SB84" s="212" t="n"/>
      <c r="SC84" s="212" t="n"/>
      <c r="SD84" s="212" t="n"/>
      <c r="SE84" s="212" t="n"/>
      <c r="SF84" s="212" t="n"/>
      <c r="SG84" s="212" t="n"/>
      <c r="SH84" s="212" t="n"/>
      <c r="SI84" s="212" t="n"/>
      <c r="SJ84" s="212" t="n"/>
      <c r="SK84" s="212" t="n"/>
      <c r="SL84" s="212" t="n"/>
      <c r="SM84" s="212" t="n"/>
      <c r="SN84" s="212" t="n"/>
      <c r="SO84" s="212" t="n"/>
      <c r="SP84" s="212" t="n"/>
      <c r="SQ84" s="212" t="n"/>
      <c r="SR84" s="212" t="n"/>
      <c r="SS84" s="212" t="n"/>
      <c r="ST84" s="212" t="n"/>
      <c r="SU84" s="212" t="n"/>
      <c r="SV84" s="212" t="n"/>
    </row>
    <row r="85">
      <c r="B85" s="209" t="inlineStr">
        <is>
          <t>N/A</t>
        </is>
      </c>
      <c r="C85" s="209" t="inlineStr">
        <is>
          <t>PTM</t>
        </is>
      </c>
      <c r="D85" s="209" t="inlineStr">
        <is>
          <t>Harry</t>
        </is>
      </c>
      <c r="E85" s="209" t="inlineStr">
        <is>
          <t>Fox</t>
        </is>
      </c>
      <c r="F85" s="209">
        <f>IF(TRIM(D85&amp;E85)="","",TRIM(D85)&amp;" "&amp;TRIM(E85))</f>
        <v/>
      </c>
      <c r="G85" s="209" t="inlineStr">
        <is>
          <t>Perth</t>
        </is>
      </c>
      <c r="H85" s="209" t="inlineStr">
        <is>
          <t>Traffic Controller</t>
        </is>
      </c>
      <c r="I85" s="209" t="inlineStr">
        <is>
          <t>YES</t>
        </is>
      </c>
      <c r="J85" s="209" t="inlineStr">
        <is>
          <t>YES</t>
        </is>
      </c>
      <c r="K85" s="209" t="inlineStr">
        <is>
          <t>YES</t>
        </is>
      </c>
      <c r="L85" s="209" t="inlineStr">
        <is>
          <t>YES</t>
        </is>
      </c>
      <c r="M85" s="209" t="inlineStr">
        <is>
          <t>Quals Complete</t>
        </is>
      </c>
      <c r="N85" s="209" t="inlineStr">
        <is>
          <t>harry.r.fox@gmail.com</t>
        </is>
      </c>
      <c r="O85" s="209" t="inlineStr">
        <is>
          <t>0434 769 594</t>
        </is>
      </c>
      <c r="P85" s="209" t="n">
        <v>837431</v>
      </c>
      <c r="Q85" s="209" t="n">
        <v>448774</v>
      </c>
      <c r="R85" s="209" t="inlineStr">
        <is>
          <t>Adhoc</t>
        </is>
      </c>
      <c r="S85" s="210" t="inlineStr">
        <is>
          <t>N/A</t>
        </is>
      </c>
      <c r="T85" s="210" t="inlineStr">
        <is>
          <t>N/A</t>
        </is>
      </c>
      <c r="U85" s="210" t="inlineStr">
        <is>
          <t>N/A</t>
        </is>
      </c>
      <c r="V85" s="210" t="inlineStr">
        <is>
          <t>N/A</t>
        </is>
      </c>
      <c r="W85" s="210" t="inlineStr">
        <is>
          <t>N/A</t>
        </is>
      </c>
      <c r="X85" s="210" t="inlineStr">
        <is>
          <t>N/A</t>
        </is>
      </c>
      <c r="Y85" s="210" t="inlineStr">
        <is>
          <t>N/A</t>
        </is>
      </c>
      <c r="Z85" s="210" t="inlineStr">
        <is>
          <t>N/A</t>
        </is>
      </c>
      <c r="AA85" s="210" t="inlineStr">
        <is>
          <t>N/A</t>
        </is>
      </c>
      <c r="AB85" s="210" t="inlineStr">
        <is>
          <t>N/A</t>
        </is>
      </c>
      <c r="AC85" s="210" t="inlineStr">
        <is>
          <t>N/A</t>
        </is>
      </c>
      <c r="AD85" s="210" t="inlineStr">
        <is>
          <t>N/A</t>
        </is>
      </c>
      <c r="AE85" s="210" t="inlineStr">
        <is>
          <t>N/A</t>
        </is>
      </c>
      <c r="AF85" s="210" t="inlineStr">
        <is>
          <t>N/A</t>
        </is>
      </c>
      <c r="AG85" s="210" t="inlineStr">
        <is>
          <t>N/A</t>
        </is>
      </c>
      <c r="AH85" s="210" t="inlineStr">
        <is>
          <t>N/A</t>
        </is>
      </c>
      <c r="AI85" s="210" t="inlineStr">
        <is>
          <t>N/A</t>
        </is>
      </c>
      <c r="AJ85" s="210" t="inlineStr">
        <is>
          <t>N/A</t>
        </is>
      </c>
      <c r="AK85" s="210" t="inlineStr">
        <is>
          <t>N/A</t>
        </is>
      </c>
      <c r="AL85" s="210" t="inlineStr">
        <is>
          <t>N/A</t>
        </is>
      </c>
      <c r="AM85" s="210" t="inlineStr">
        <is>
          <t>N/A</t>
        </is>
      </c>
      <c r="AN85" s="210" t="inlineStr">
        <is>
          <t>N/A</t>
        </is>
      </c>
      <c r="AO85" s="210" t="inlineStr">
        <is>
          <t>N/A</t>
        </is>
      </c>
      <c r="AP85" s="210" t="inlineStr">
        <is>
          <t>N/A</t>
        </is>
      </c>
      <c r="AQ85" s="210" t="inlineStr">
        <is>
          <t>N/A</t>
        </is>
      </c>
      <c r="AR85" s="210" t="inlineStr">
        <is>
          <t>N/A</t>
        </is>
      </c>
      <c r="AS85" s="210" t="inlineStr">
        <is>
          <t>N/A</t>
        </is>
      </c>
      <c r="AT85" s="210" t="inlineStr">
        <is>
          <t>N/A</t>
        </is>
      </c>
      <c r="AU85" s="210" t="inlineStr">
        <is>
          <t>N/A</t>
        </is>
      </c>
      <c r="AV85" s="210" t="inlineStr">
        <is>
          <t>N/A</t>
        </is>
      </c>
      <c r="AW85" s="210" t="inlineStr">
        <is>
          <t>N/A</t>
        </is>
      </c>
      <c r="AX85" s="210" t="inlineStr">
        <is>
          <t>N/A</t>
        </is>
      </c>
      <c r="AY85" s="210" t="inlineStr">
        <is>
          <t>N/A</t>
        </is>
      </c>
      <c r="AZ85" s="210" t="inlineStr">
        <is>
          <t>N/A</t>
        </is>
      </c>
      <c r="BA85" s="210" t="inlineStr">
        <is>
          <t>N/A</t>
        </is>
      </c>
      <c r="BB85" s="210" t="inlineStr">
        <is>
          <t>N/A</t>
        </is>
      </c>
      <c r="BC85" s="220" t="inlineStr">
        <is>
          <t>DRV-IN PM 
RDM</t>
        </is>
      </c>
      <c r="BD85" s="220" t="inlineStr">
        <is>
          <t>RDM</t>
        </is>
      </c>
      <c r="BE85" s="211" t="inlineStr">
        <is>
          <t>DRV-OUT AM</t>
        </is>
      </c>
      <c r="BF85" s="210" t="inlineStr">
        <is>
          <t>N/A</t>
        </is>
      </c>
      <c r="BG85" s="210" t="inlineStr">
        <is>
          <t>N/A</t>
        </is>
      </c>
      <c r="BH85" s="210" t="inlineStr">
        <is>
          <t>N/A</t>
        </is>
      </c>
      <c r="BI85" s="210" t="inlineStr">
        <is>
          <t>N/A</t>
        </is>
      </c>
      <c r="BJ85" s="210" t="inlineStr">
        <is>
          <t>N/A</t>
        </is>
      </c>
      <c r="BK85" s="210" t="inlineStr">
        <is>
          <t>N/A</t>
        </is>
      </c>
      <c r="BL85" s="210" t="inlineStr">
        <is>
          <t>N/A</t>
        </is>
      </c>
      <c r="BM85" s="210" t="inlineStr">
        <is>
          <t>N/A</t>
        </is>
      </c>
      <c r="BN85" s="210" t="inlineStr">
        <is>
          <t>N/A</t>
        </is>
      </c>
      <c r="BO85" s="210" t="inlineStr">
        <is>
          <t>N/A</t>
        </is>
      </c>
      <c r="BP85" s="210" t="inlineStr">
        <is>
          <t>N/A</t>
        </is>
      </c>
      <c r="BQ85" s="210" t="inlineStr">
        <is>
          <t>N/A</t>
        </is>
      </c>
      <c r="BR85" s="210" t="inlineStr">
        <is>
          <t>N/A</t>
        </is>
      </c>
      <c r="BS85" s="210" t="inlineStr">
        <is>
          <t>N/A</t>
        </is>
      </c>
      <c r="BT85" s="210" t="inlineStr">
        <is>
          <t>N/A</t>
        </is>
      </c>
      <c r="BU85" s="210" t="inlineStr">
        <is>
          <t>N/A</t>
        </is>
      </c>
      <c r="BV85" s="210" t="inlineStr">
        <is>
          <t>N/A</t>
        </is>
      </c>
      <c r="BW85" s="210" t="inlineStr">
        <is>
          <t>N/A</t>
        </is>
      </c>
      <c r="BX85" s="210" t="inlineStr">
        <is>
          <t>N/A</t>
        </is>
      </c>
      <c r="BY85" s="210" t="inlineStr">
        <is>
          <t>N/A</t>
        </is>
      </c>
      <c r="BZ85" s="210" t="inlineStr">
        <is>
          <t>N/A</t>
        </is>
      </c>
      <c r="CA85" s="210" t="inlineStr">
        <is>
          <t>N/A</t>
        </is>
      </c>
      <c r="CB85" s="210" t="inlineStr">
        <is>
          <t>N/A</t>
        </is>
      </c>
      <c r="CC85" s="210" t="inlineStr">
        <is>
          <t>N/A</t>
        </is>
      </c>
      <c r="CD85" s="210" t="inlineStr">
        <is>
          <t>N/A</t>
        </is>
      </c>
      <c r="CE85" s="210" t="inlineStr">
        <is>
          <t>N/A</t>
        </is>
      </c>
      <c r="CF85" s="210" t="inlineStr">
        <is>
          <t>N/A</t>
        </is>
      </c>
      <c r="CG85" s="210" t="inlineStr">
        <is>
          <t>N/A</t>
        </is>
      </c>
      <c r="CH85" s="210" t="inlineStr">
        <is>
          <t>N/A</t>
        </is>
      </c>
      <c r="CI85" s="210" t="inlineStr">
        <is>
          <t>N/A</t>
        </is>
      </c>
      <c r="CJ85" s="210" t="inlineStr">
        <is>
          <t>N/A</t>
        </is>
      </c>
      <c r="CK85" s="210" t="inlineStr">
        <is>
          <t>N/A</t>
        </is>
      </c>
      <c r="CL85" s="210" t="inlineStr">
        <is>
          <t>N/A</t>
        </is>
      </c>
      <c r="CM85" s="210" t="inlineStr">
        <is>
          <t>N/A</t>
        </is>
      </c>
      <c r="CN85" s="210" t="inlineStr">
        <is>
          <t>N/A</t>
        </is>
      </c>
      <c r="CO85" s="210" t="inlineStr">
        <is>
          <t>N/A</t>
        </is>
      </c>
      <c r="CP85" s="210" t="inlineStr">
        <is>
          <t>N/A</t>
        </is>
      </c>
      <c r="CQ85" s="210" t="inlineStr">
        <is>
          <t>N/A</t>
        </is>
      </c>
      <c r="CR85" s="210" t="inlineStr">
        <is>
          <t>N/A</t>
        </is>
      </c>
      <c r="CS85" s="210" t="inlineStr">
        <is>
          <t>N/A</t>
        </is>
      </c>
      <c r="CT85" s="210" t="inlineStr">
        <is>
          <t>N/A</t>
        </is>
      </c>
      <c r="CU85" s="210" t="inlineStr">
        <is>
          <t>N/A</t>
        </is>
      </c>
      <c r="CV85" s="210" t="inlineStr">
        <is>
          <t>N/A</t>
        </is>
      </c>
      <c r="CW85" s="210" t="inlineStr">
        <is>
          <t>N/A</t>
        </is>
      </c>
      <c r="CX85" s="210" t="inlineStr">
        <is>
          <t>N/A</t>
        </is>
      </c>
      <c r="CY85" s="210" t="inlineStr">
        <is>
          <t>N/A</t>
        </is>
      </c>
      <c r="CZ85" s="210" t="inlineStr">
        <is>
          <t>N/A</t>
        </is>
      </c>
      <c r="DA85" s="210" t="inlineStr">
        <is>
          <t>N/A</t>
        </is>
      </c>
      <c r="DB85" s="210" t="inlineStr">
        <is>
          <t>N/A</t>
        </is>
      </c>
      <c r="DC85" s="210" t="inlineStr">
        <is>
          <t>N/A</t>
        </is>
      </c>
      <c r="DD85" s="210" t="inlineStr">
        <is>
          <t>N/A</t>
        </is>
      </c>
      <c r="DE85" s="210" t="inlineStr">
        <is>
          <t>N/A</t>
        </is>
      </c>
      <c r="DF85" s="210" t="inlineStr">
        <is>
          <t>N/A</t>
        </is>
      </c>
      <c r="DG85" s="210" t="inlineStr">
        <is>
          <t>N/A</t>
        </is>
      </c>
      <c r="DH85" s="210" t="inlineStr">
        <is>
          <t>N/A</t>
        </is>
      </c>
      <c r="DI85" s="210" t="inlineStr">
        <is>
          <t>N/A</t>
        </is>
      </c>
      <c r="DJ85" s="210" t="inlineStr">
        <is>
          <t>N/A</t>
        </is>
      </c>
      <c r="DK85" s="210" t="inlineStr">
        <is>
          <t>N/A</t>
        </is>
      </c>
      <c r="DL85" s="210" t="inlineStr">
        <is>
          <t>N/A</t>
        </is>
      </c>
      <c r="DM85" s="210" t="inlineStr">
        <is>
          <t>N/A</t>
        </is>
      </c>
      <c r="DN85" s="210" t="inlineStr">
        <is>
          <t>N/A</t>
        </is>
      </c>
      <c r="DO85" s="210" t="inlineStr">
        <is>
          <t>N/A</t>
        </is>
      </c>
      <c r="DP85" s="210" t="inlineStr">
        <is>
          <t>N/A</t>
        </is>
      </c>
      <c r="DQ85" s="210" t="inlineStr">
        <is>
          <t>N/A</t>
        </is>
      </c>
      <c r="DR85" s="210" t="inlineStr">
        <is>
          <t>N/A</t>
        </is>
      </c>
      <c r="DS85" s="212" t="n"/>
      <c r="DT85" s="212" t="n"/>
      <c r="DU85" s="212" t="n"/>
      <c r="DV85" s="212" t="n"/>
      <c r="DW85" s="212" t="n"/>
      <c r="DX85" s="212" t="n"/>
      <c r="DY85" s="212" t="n"/>
      <c r="DZ85" s="212" t="n"/>
      <c r="EA85" s="212" t="n"/>
      <c r="EB85" s="212" t="n"/>
      <c r="EC85" s="212" t="n"/>
      <c r="ED85" s="212" t="n"/>
      <c r="EE85" s="212" t="n"/>
      <c r="EF85" s="212" t="n"/>
      <c r="EG85" s="212" t="n"/>
      <c r="EH85" s="212" t="n"/>
      <c r="EI85" s="212" t="n"/>
      <c r="EJ85" s="212" t="n"/>
      <c r="EK85" s="212" t="n"/>
      <c r="EL85" s="212" t="n"/>
      <c r="EM85" s="212" t="n"/>
      <c r="EN85" s="212" t="n"/>
      <c r="EO85" s="212" t="n"/>
      <c r="EP85" s="212" t="n"/>
      <c r="EQ85" s="212" t="n"/>
      <c r="ER85" s="212" t="n"/>
      <c r="ES85" s="212" t="n"/>
      <c r="ET85" s="212" t="n"/>
      <c r="EU85" s="212" t="n"/>
      <c r="EV85" s="212" t="n"/>
      <c r="EW85" s="212" t="n"/>
      <c r="EX85" s="212" t="n"/>
      <c r="EY85" s="212" t="n"/>
      <c r="EZ85" s="212" t="n"/>
      <c r="FA85" s="212" t="n"/>
      <c r="FB85" s="212" t="n"/>
      <c r="FC85" s="212" t="n"/>
      <c r="FD85" s="212" t="n"/>
      <c r="FE85" s="212" t="n"/>
      <c r="FF85" s="212" t="n"/>
      <c r="FG85" s="212" t="n"/>
      <c r="FH85" s="212" t="n"/>
      <c r="FI85" s="212" t="n"/>
      <c r="FJ85" s="212" t="n"/>
      <c r="FK85" s="212" t="n"/>
      <c r="FL85" s="212" t="n"/>
      <c r="FM85" s="212" t="n"/>
      <c r="FN85" s="212" t="n"/>
      <c r="FO85" s="212" t="n"/>
      <c r="FP85" s="212" t="n"/>
      <c r="FQ85" s="212" t="n"/>
      <c r="FR85" s="212" t="n"/>
      <c r="FS85" s="212" t="n"/>
      <c r="FT85" s="212" t="n"/>
      <c r="FU85" s="212" t="n"/>
      <c r="FV85" s="212" t="n"/>
      <c r="FW85" s="212" t="n"/>
      <c r="FX85" s="212" t="n"/>
      <c r="FY85" s="212" t="n"/>
      <c r="FZ85" s="212" t="n"/>
      <c r="GA85" s="212" t="n"/>
      <c r="GB85" s="212" t="n"/>
      <c r="GC85" s="212" t="n"/>
      <c r="GD85" s="212" t="n"/>
      <c r="GE85" s="212" t="n"/>
      <c r="GF85" s="212" t="n"/>
      <c r="GG85" s="212" t="n"/>
      <c r="GH85" s="212" t="n"/>
      <c r="GI85" s="212" t="n"/>
      <c r="GJ85" s="212" t="n"/>
      <c r="GK85" s="212" t="n"/>
      <c r="GL85" s="212" t="n"/>
      <c r="GM85" s="212" t="n"/>
      <c r="GN85" s="212" t="n"/>
      <c r="GO85" s="212" t="n"/>
      <c r="GP85" s="212" t="n"/>
      <c r="GQ85" s="212" t="n"/>
      <c r="GR85" s="212" t="n"/>
      <c r="GS85" s="212" t="n"/>
      <c r="GT85" s="212" t="n"/>
      <c r="GU85" s="212" t="n"/>
      <c r="GV85" s="212" t="n"/>
      <c r="GW85" s="212" t="n"/>
      <c r="GX85" s="212" t="n"/>
      <c r="GY85" s="212" t="n"/>
      <c r="GZ85" s="212" t="n"/>
      <c r="HA85" s="212" t="n"/>
      <c r="HB85" s="212" t="n"/>
      <c r="HC85" s="212" t="n"/>
      <c r="HD85" s="212" t="n"/>
      <c r="HE85" s="212" t="n"/>
      <c r="HF85" s="212" t="n"/>
      <c r="HG85" s="212" t="n"/>
      <c r="HH85" s="212" t="n"/>
      <c r="HI85" s="212" t="n"/>
      <c r="HJ85" s="212" t="n"/>
      <c r="HK85" s="212" t="n"/>
      <c r="HL85" s="212" t="n"/>
      <c r="HM85" s="212" t="n"/>
      <c r="HN85" s="212" t="n"/>
      <c r="HO85" s="212" t="n"/>
      <c r="HP85" s="212" t="n"/>
      <c r="HQ85" s="212" t="n"/>
      <c r="HR85" s="212" t="n"/>
      <c r="HS85" s="212" t="n"/>
      <c r="HT85" s="212" t="n"/>
      <c r="HU85" s="212" t="n"/>
      <c r="HV85" s="212" t="n"/>
      <c r="HW85" s="212" t="n"/>
      <c r="HX85" s="212" t="n"/>
      <c r="HY85" s="212" t="n"/>
      <c r="HZ85" s="212" t="n"/>
      <c r="IA85" s="212" t="n"/>
      <c r="IB85" s="212" t="n"/>
      <c r="IC85" s="212" t="n"/>
      <c r="ID85" s="212" t="n"/>
      <c r="IE85" s="212" t="n"/>
      <c r="IF85" s="212" t="n"/>
      <c r="IG85" s="212" t="n"/>
      <c r="IH85" s="212" t="n"/>
      <c r="II85" s="212" t="n"/>
      <c r="IJ85" s="212" t="n"/>
      <c r="IK85" s="212" t="n"/>
      <c r="IL85" s="212" t="n"/>
      <c r="IM85" s="212" t="n"/>
      <c r="IN85" s="212" t="n"/>
      <c r="IO85" s="212" t="n"/>
      <c r="IP85" s="212" t="n"/>
      <c r="IQ85" s="212" t="n"/>
      <c r="IR85" s="212" t="n"/>
      <c r="IS85" s="212" t="n"/>
      <c r="IT85" s="212" t="n"/>
      <c r="IU85" s="212" t="n"/>
      <c r="IV85" s="212" t="n"/>
      <c r="IW85" s="212" t="n"/>
      <c r="IX85" s="212" t="n"/>
      <c r="IY85" s="212" t="n"/>
      <c r="IZ85" s="212" t="n"/>
      <c r="JA85" s="212" t="n"/>
      <c r="JB85" s="212" t="n"/>
      <c r="JC85" s="212" t="n"/>
      <c r="JD85" s="212" t="n"/>
      <c r="JE85" s="212" t="n"/>
      <c r="JF85" s="212" t="n"/>
      <c r="JG85" s="212" t="n"/>
      <c r="JH85" s="212" t="n"/>
      <c r="JI85" s="212" t="n"/>
      <c r="JJ85" s="212" t="n"/>
      <c r="JK85" s="212" t="n"/>
      <c r="JL85" s="212" t="n"/>
      <c r="JM85" s="212" t="n"/>
      <c r="JN85" s="212" t="n"/>
      <c r="JO85" s="212" t="n"/>
      <c r="JP85" s="212" t="n"/>
      <c r="JQ85" s="212" t="n"/>
      <c r="JR85" s="212" t="n"/>
      <c r="JS85" s="212" t="n"/>
      <c r="JT85" s="212" t="n"/>
      <c r="JU85" s="212" t="n"/>
      <c r="JV85" s="212" t="n"/>
      <c r="JW85" s="212" t="n"/>
      <c r="JX85" s="212" t="n"/>
      <c r="JY85" s="212" t="n"/>
      <c r="JZ85" s="212" t="n"/>
      <c r="KA85" s="212" t="n"/>
      <c r="KB85" s="212" t="n"/>
      <c r="KC85" s="212" t="n"/>
      <c r="KD85" s="212" t="n"/>
      <c r="KE85" s="212" t="n"/>
      <c r="KF85" s="212" t="n"/>
      <c r="KG85" s="212" t="n"/>
      <c r="KH85" s="212" t="n"/>
      <c r="KI85" s="212" t="n"/>
      <c r="KJ85" s="212" t="n"/>
      <c r="KK85" s="212" t="n"/>
      <c r="KL85" s="212" t="n"/>
      <c r="KM85" s="212" t="n"/>
      <c r="KN85" s="212" t="n"/>
      <c r="KO85" s="212" t="n"/>
      <c r="KP85" s="212" t="n"/>
      <c r="KQ85" s="212" t="n"/>
      <c r="KR85" s="212" t="n"/>
      <c r="KS85" s="212" t="n"/>
      <c r="KT85" s="212" t="n"/>
      <c r="KU85" s="212" t="n"/>
      <c r="KV85" s="212" t="n"/>
      <c r="KW85" s="212" t="n"/>
      <c r="KX85" s="212" t="n"/>
      <c r="KY85" s="212" t="n"/>
      <c r="KZ85" s="212" t="n"/>
      <c r="LA85" s="212" t="n"/>
      <c r="LB85" s="212" t="n"/>
      <c r="LC85" s="212" t="n"/>
      <c r="LD85" s="212" t="n"/>
      <c r="LE85" s="212" t="n"/>
      <c r="LF85" s="212" t="n"/>
      <c r="LG85" s="212" t="n"/>
      <c r="LH85" s="212" t="n"/>
      <c r="LI85" s="212" t="n"/>
      <c r="LJ85" s="212" t="n"/>
      <c r="LK85" s="212" t="n"/>
      <c r="LL85" s="212" t="n"/>
      <c r="LM85" s="212" t="n"/>
      <c r="LN85" s="212" t="n"/>
      <c r="LO85" s="212" t="n"/>
      <c r="LP85" s="212" t="n"/>
      <c r="LQ85" s="212" t="n"/>
      <c r="LR85" s="212" t="n"/>
      <c r="LS85" s="212" t="n"/>
      <c r="LT85" s="212" t="n"/>
      <c r="LU85" s="212" t="n"/>
      <c r="LV85" s="212" t="n"/>
      <c r="LW85" s="212" t="n"/>
      <c r="LX85" s="212" t="n"/>
      <c r="LY85" s="212" t="n"/>
      <c r="LZ85" s="212" t="n"/>
      <c r="MA85" s="212" t="n"/>
      <c r="MB85" s="212" t="n"/>
      <c r="MC85" s="212" t="n"/>
      <c r="MD85" s="212" t="n"/>
      <c r="ME85" s="212" t="n"/>
      <c r="MF85" s="212" t="n"/>
      <c r="MG85" s="212" t="n"/>
      <c r="MH85" s="212" t="n"/>
      <c r="MI85" s="212" t="n"/>
      <c r="MJ85" s="212" t="n"/>
      <c r="MK85" s="212" t="n"/>
      <c r="ML85" s="212" t="n"/>
      <c r="MM85" s="212" t="n"/>
      <c r="MN85" s="212" t="n"/>
      <c r="MO85" s="212" t="n"/>
      <c r="MP85" s="212" t="n"/>
      <c r="MQ85" s="212" t="n"/>
      <c r="MR85" s="212" t="n"/>
      <c r="MS85" s="212" t="n"/>
      <c r="MT85" s="212" t="n"/>
      <c r="MU85" s="212" t="n"/>
      <c r="MV85" s="212" t="n"/>
      <c r="MW85" s="212" t="n"/>
      <c r="MX85" s="212" t="n"/>
      <c r="MY85" s="212" t="n"/>
      <c r="MZ85" s="212" t="n"/>
      <c r="NA85" s="212" t="n"/>
      <c r="NB85" s="212" t="n"/>
      <c r="NC85" s="212" t="n"/>
      <c r="ND85" s="212" t="n"/>
      <c r="NE85" s="212" t="n"/>
      <c r="NF85" s="212" t="n"/>
      <c r="NG85" s="212" t="n"/>
      <c r="NH85" s="212" t="n"/>
      <c r="NI85" s="212" t="n"/>
      <c r="NJ85" s="212" t="n"/>
      <c r="NK85" s="212" t="n"/>
      <c r="NL85" s="212" t="n"/>
      <c r="NM85" s="212" t="n"/>
      <c r="NN85" s="212" t="n"/>
      <c r="NO85" s="212" t="n"/>
      <c r="NP85" s="212" t="n"/>
      <c r="NQ85" s="212" t="n"/>
      <c r="NR85" s="212" t="n"/>
      <c r="NS85" s="212" t="n"/>
      <c r="NT85" s="212" t="n"/>
      <c r="NU85" s="212" t="n"/>
      <c r="NV85" s="212" t="n"/>
      <c r="NW85" s="212" t="n"/>
      <c r="NX85" s="212" t="n"/>
      <c r="NY85" s="212" t="n"/>
      <c r="NZ85" s="212" t="n"/>
      <c r="OA85" s="212" t="n"/>
      <c r="OB85" s="212" t="n"/>
      <c r="OC85" s="212" t="n"/>
      <c r="OD85" s="212" t="n"/>
      <c r="OE85" s="212" t="n"/>
      <c r="OF85" s="212" t="n"/>
      <c r="OG85" s="212" t="n"/>
      <c r="OH85" s="212" t="n"/>
      <c r="OI85" s="212" t="n"/>
      <c r="OJ85" s="212" t="n"/>
      <c r="OK85" s="212" t="n"/>
      <c r="OL85" s="212" t="n"/>
      <c r="OM85" s="212" t="n"/>
      <c r="ON85" s="212" t="n"/>
      <c r="OO85" s="212" t="n"/>
      <c r="OP85" s="212" t="n"/>
      <c r="OQ85" s="212" t="n"/>
      <c r="OR85" s="212" t="n"/>
      <c r="OS85" s="212" t="n"/>
      <c r="OT85" s="212" t="n"/>
      <c r="OU85" s="212" t="n"/>
      <c r="OV85" s="212" t="n"/>
      <c r="OW85" s="212" t="n"/>
      <c r="OX85" s="212" t="n"/>
      <c r="OY85" s="212" t="n"/>
      <c r="OZ85" s="212" t="n"/>
      <c r="PA85" s="212" t="n"/>
      <c r="PB85" s="212" t="n"/>
      <c r="PC85" s="212" t="n"/>
      <c r="PD85" s="212" t="n"/>
      <c r="PE85" s="212" t="n"/>
      <c r="PF85" s="212" t="n"/>
      <c r="PG85" s="212" t="n"/>
      <c r="PH85" s="212" t="n"/>
      <c r="PI85" s="212" t="n"/>
      <c r="PJ85" s="212" t="n"/>
      <c r="PK85" s="212" t="n"/>
      <c r="PL85" s="212" t="n"/>
      <c r="PM85" s="212" t="n"/>
      <c r="PN85" s="212" t="n"/>
      <c r="PO85" s="212" t="n"/>
      <c r="PP85" s="212" t="n"/>
      <c r="PQ85" s="212" t="n"/>
      <c r="PR85" s="212" t="n"/>
      <c r="PS85" s="212" t="n"/>
      <c r="PT85" s="212" t="n"/>
      <c r="PU85" s="212" t="n"/>
      <c r="PV85" s="212" t="n"/>
      <c r="PW85" s="212" t="n"/>
      <c r="PX85" s="212" t="n"/>
      <c r="PY85" s="212" t="n"/>
      <c r="PZ85" s="212" t="n"/>
      <c r="QA85" s="212" t="n"/>
      <c r="QB85" s="212" t="n"/>
      <c r="QC85" s="212" t="n"/>
      <c r="QD85" s="212" t="n"/>
      <c r="QE85" s="212" t="n"/>
      <c r="QF85" s="212" t="n"/>
      <c r="QG85" s="212" t="n"/>
      <c r="QH85" s="212" t="n"/>
      <c r="QI85" s="212" t="n"/>
      <c r="QJ85" s="212" t="n"/>
      <c r="QK85" s="212" t="n"/>
      <c r="QL85" s="212" t="n"/>
      <c r="QM85" s="212" t="n"/>
      <c r="QN85" s="212" t="n"/>
      <c r="QO85" s="212" t="n"/>
      <c r="QP85" s="212" t="n"/>
      <c r="QQ85" s="212" t="n"/>
      <c r="QR85" s="212" t="n"/>
      <c r="QS85" s="212" t="n"/>
      <c r="QT85" s="212" t="n"/>
      <c r="QU85" s="212" t="n"/>
      <c r="QV85" s="212" t="n"/>
      <c r="QW85" s="212" t="n"/>
      <c r="QX85" s="212" t="n"/>
      <c r="QY85" s="212" t="n"/>
      <c r="QZ85" s="212" t="n"/>
      <c r="RA85" s="212" t="n"/>
      <c r="RB85" s="212" t="n"/>
      <c r="RC85" s="212" t="n"/>
      <c r="RD85" s="212" t="n"/>
      <c r="RE85" s="212" t="n"/>
      <c r="RF85" s="212" t="n"/>
      <c r="RG85" s="212" t="n"/>
      <c r="RH85" s="212" t="n"/>
      <c r="RI85" s="212" t="n"/>
      <c r="RJ85" s="212" t="n"/>
      <c r="RK85" s="212" t="n"/>
      <c r="RL85" s="212" t="n"/>
      <c r="RM85" s="212" t="n"/>
      <c r="RN85" s="212" t="n"/>
      <c r="RO85" s="212" t="n"/>
      <c r="RP85" s="212" t="n"/>
      <c r="RQ85" s="212" t="n"/>
      <c r="RR85" s="212" t="n"/>
      <c r="RS85" s="212" t="n"/>
      <c r="RT85" s="212" t="n"/>
      <c r="RU85" s="212" t="n"/>
      <c r="RV85" s="212" t="n"/>
      <c r="RW85" s="212" t="n"/>
      <c r="RX85" s="212" t="n"/>
      <c r="RY85" s="212" t="n"/>
      <c r="RZ85" s="212" t="n"/>
      <c r="SA85" s="212" t="n"/>
      <c r="SB85" s="212" t="n"/>
      <c r="SC85" s="212" t="n"/>
      <c r="SD85" s="212" t="n"/>
      <c r="SE85" s="212" t="n"/>
      <c r="SF85" s="212" t="n"/>
      <c r="SG85" s="212" t="n"/>
      <c r="SH85" s="212" t="n"/>
      <c r="SI85" s="212" t="n"/>
      <c r="SJ85" s="212" t="n"/>
      <c r="SK85" s="212" t="n"/>
      <c r="SL85" s="212" t="n"/>
      <c r="SM85" s="212" t="n"/>
      <c r="SN85" s="212" t="n"/>
      <c r="SO85" s="212" t="n"/>
      <c r="SP85" s="212" t="n"/>
      <c r="SQ85" s="212" t="n"/>
      <c r="SR85" s="212" t="n"/>
      <c r="SS85" s="212" t="n"/>
      <c r="ST85" s="212" t="n"/>
      <c r="SU85" s="212" t="n"/>
      <c r="SV85" s="212" t="n"/>
    </row>
    <row r="86">
      <c r="B86" s="209" t="inlineStr">
        <is>
          <t>N/A</t>
        </is>
      </c>
      <c r="C86" s="209" t="inlineStr">
        <is>
          <t>PTM</t>
        </is>
      </c>
      <c r="D86" s="209" t="inlineStr">
        <is>
          <t>Alaoise</t>
        </is>
      </c>
      <c r="E86" s="209" t="inlineStr">
        <is>
          <t>Mccarthy</t>
        </is>
      </c>
      <c r="F86" s="209">
        <f>IF(TRIM(D86&amp;E86)="","",TRIM(D86)&amp;" "&amp;TRIM(E86))</f>
        <v/>
      </c>
      <c r="G86" s="209" t="inlineStr">
        <is>
          <t>Perth</t>
        </is>
      </c>
      <c r="H86" s="209" t="inlineStr">
        <is>
          <t>Traffic Controller</t>
        </is>
      </c>
      <c r="I86" s="209" t="inlineStr">
        <is>
          <t>YES</t>
        </is>
      </c>
      <c r="J86" s="209" t="inlineStr">
        <is>
          <t>YES</t>
        </is>
      </c>
      <c r="K86" s="209" t="inlineStr">
        <is>
          <t>YES</t>
        </is>
      </c>
      <c r="L86" s="209" t="inlineStr">
        <is>
          <t>YES</t>
        </is>
      </c>
      <c r="M86" s="209" t="inlineStr">
        <is>
          <t>Quals Complete</t>
        </is>
      </c>
      <c r="N86" s="209" t="inlineStr">
        <is>
          <t>alirachelmccarthy@gmail.com</t>
        </is>
      </c>
      <c r="O86" s="209" t="inlineStr">
        <is>
          <t>0428 596 727</t>
        </is>
      </c>
      <c r="P86" s="209" t="n">
        <v>862658</v>
      </c>
      <c r="Q86" s="209" t="n">
        <v>466505</v>
      </c>
      <c r="R86" s="209" t="inlineStr">
        <is>
          <t>Adhoc</t>
        </is>
      </c>
      <c r="S86" s="210" t="inlineStr">
        <is>
          <t>N/A</t>
        </is>
      </c>
      <c r="T86" s="210" t="inlineStr">
        <is>
          <t>N/A</t>
        </is>
      </c>
      <c r="U86" s="210" t="inlineStr">
        <is>
          <t>N/A</t>
        </is>
      </c>
      <c r="V86" s="210" t="inlineStr">
        <is>
          <t>N/A</t>
        </is>
      </c>
      <c r="W86" s="210" t="inlineStr">
        <is>
          <t>N/A</t>
        </is>
      </c>
      <c r="X86" s="210" t="inlineStr">
        <is>
          <t>N/A</t>
        </is>
      </c>
      <c r="Y86" s="210" t="inlineStr">
        <is>
          <t>N/A</t>
        </is>
      </c>
      <c r="Z86" s="210" t="inlineStr">
        <is>
          <t>N/A</t>
        </is>
      </c>
      <c r="AA86" s="210" t="inlineStr">
        <is>
          <t>N/A</t>
        </is>
      </c>
      <c r="AB86" s="210" t="inlineStr">
        <is>
          <t>N/A</t>
        </is>
      </c>
      <c r="AC86" s="210" t="inlineStr">
        <is>
          <t>N/A</t>
        </is>
      </c>
      <c r="AD86" s="210" t="inlineStr">
        <is>
          <t>N/A</t>
        </is>
      </c>
      <c r="AE86" s="210" t="inlineStr">
        <is>
          <t>N/A</t>
        </is>
      </c>
      <c r="AF86" s="210" t="inlineStr">
        <is>
          <t>N/A</t>
        </is>
      </c>
      <c r="AG86" s="210" t="inlineStr">
        <is>
          <t>N/A</t>
        </is>
      </c>
      <c r="AH86" s="210" t="inlineStr">
        <is>
          <t>N/A</t>
        </is>
      </c>
      <c r="AI86" s="210" t="inlineStr">
        <is>
          <t>N/A</t>
        </is>
      </c>
      <c r="AJ86" s="210" t="inlineStr">
        <is>
          <t>N/A</t>
        </is>
      </c>
      <c r="AK86" s="210" t="inlineStr">
        <is>
          <t>N/A</t>
        </is>
      </c>
      <c r="AL86" s="210" t="inlineStr">
        <is>
          <t>N/A</t>
        </is>
      </c>
      <c r="AM86" s="210" t="inlineStr">
        <is>
          <t>N/A</t>
        </is>
      </c>
      <c r="AN86" s="210" t="inlineStr">
        <is>
          <t>N/A</t>
        </is>
      </c>
      <c r="AO86" s="210" t="inlineStr">
        <is>
          <t>N/A</t>
        </is>
      </c>
      <c r="AP86" s="210" t="inlineStr">
        <is>
          <t>N/A</t>
        </is>
      </c>
      <c r="AQ86" s="210" t="inlineStr">
        <is>
          <t>N/A</t>
        </is>
      </c>
      <c r="AR86" s="210" t="inlineStr">
        <is>
          <t>N/A</t>
        </is>
      </c>
      <c r="AS86" s="210" t="inlineStr">
        <is>
          <t>N/A</t>
        </is>
      </c>
      <c r="AT86" s="210" t="inlineStr">
        <is>
          <t>N/A</t>
        </is>
      </c>
      <c r="AU86" s="210" t="inlineStr">
        <is>
          <t>N/A</t>
        </is>
      </c>
      <c r="AV86" s="210" t="inlineStr">
        <is>
          <t>N/A</t>
        </is>
      </c>
      <c r="AW86" s="210" t="inlineStr">
        <is>
          <t>N/A</t>
        </is>
      </c>
      <c r="AX86" s="210" t="inlineStr">
        <is>
          <t>N/A</t>
        </is>
      </c>
      <c r="AY86" s="210" t="inlineStr">
        <is>
          <t>N/A</t>
        </is>
      </c>
      <c r="AZ86" s="210" t="inlineStr">
        <is>
          <t>N/A</t>
        </is>
      </c>
      <c r="BA86" s="210" t="inlineStr">
        <is>
          <t>N/A</t>
        </is>
      </c>
      <c r="BB86" s="210" t="inlineStr">
        <is>
          <t>N/A</t>
        </is>
      </c>
      <c r="BC86" s="210" t="inlineStr">
        <is>
          <t>N/A</t>
        </is>
      </c>
      <c r="BD86" s="210" t="inlineStr">
        <is>
          <t>N/A</t>
        </is>
      </c>
      <c r="BE86" s="210" t="inlineStr">
        <is>
          <t>N/A</t>
        </is>
      </c>
      <c r="BF86" s="210" t="inlineStr">
        <is>
          <t>N/A</t>
        </is>
      </c>
      <c r="BG86" s="210" t="inlineStr">
        <is>
          <t>N/A</t>
        </is>
      </c>
      <c r="BH86" s="210" t="inlineStr">
        <is>
          <t>N/A</t>
        </is>
      </c>
      <c r="BI86" s="210" t="inlineStr">
        <is>
          <t>N/A</t>
        </is>
      </c>
      <c r="BJ86" s="210" t="inlineStr">
        <is>
          <t>N/A</t>
        </is>
      </c>
      <c r="BK86" s="210" t="inlineStr">
        <is>
          <t>N/A</t>
        </is>
      </c>
      <c r="BL86" s="210" t="inlineStr">
        <is>
          <t>N/A</t>
        </is>
      </c>
      <c r="BM86" s="210" t="inlineStr">
        <is>
          <t>N/A</t>
        </is>
      </c>
      <c r="BN86" s="210" t="inlineStr">
        <is>
          <t>N/A</t>
        </is>
      </c>
      <c r="BO86" s="210" t="inlineStr">
        <is>
          <t>N/A</t>
        </is>
      </c>
      <c r="BP86" s="210" t="inlineStr">
        <is>
          <t>N/A</t>
        </is>
      </c>
      <c r="BQ86" s="210" t="inlineStr">
        <is>
          <t>N/A</t>
        </is>
      </c>
      <c r="BR86" s="210" t="inlineStr">
        <is>
          <t>N/A</t>
        </is>
      </c>
      <c r="BS86" s="210" t="inlineStr">
        <is>
          <t>N/A</t>
        </is>
      </c>
      <c r="BT86" s="210" t="inlineStr">
        <is>
          <t>N/A</t>
        </is>
      </c>
      <c r="BU86" s="210" t="inlineStr">
        <is>
          <t>N/A</t>
        </is>
      </c>
      <c r="BV86" s="210" t="inlineStr">
        <is>
          <t>N/A</t>
        </is>
      </c>
      <c r="BW86" s="210" t="inlineStr">
        <is>
          <t>N/A</t>
        </is>
      </c>
      <c r="BX86" s="210" t="inlineStr">
        <is>
          <t>N/A</t>
        </is>
      </c>
      <c r="BY86" s="210" t="inlineStr">
        <is>
          <t>N/A</t>
        </is>
      </c>
      <c r="BZ86" s="210" t="inlineStr">
        <is>
          <t>N/A</t>
        </is>
      </c>
      <c r="CA86" s="210" t="inlineStr">
        <is>
          <t>N/A</t>
        </is>
      </c>
      <c r="CB86" s="210" t="inlineStr">
        <is>
          <t>N/A</t>
        </is>
      </c>
      <c r="CC86" s="210" t="inlineStr">
        <is>
          <t>N/A</t>
        </is>
      </c>
      <c r="CD86" s="210" t="inlineStr">
        <is>
          <t>N/A</t>
        </is>
      </c>
      <c r="CE86" s="210" t="inlineStr">
        <is>
          <t>N/A</t>
        </is>
      </c>
      <c r="CF86" s="210" t="inlineStr">
        <is>
          <t>N/A</t>
        </is>
      </c>
      <c r="CG86" s="210" t="inlineStr">
        <is>
          <t>N/A</t>
        </is>
      </c>
      <c r="CH86" s="210" t="inlineStr">
        <is>
          <t>N/A</t>
        </is>
      </c>
      <c r="CI86" s="210" t="inlineStr">
        <is>
          <t>N/A</t>
        </is>
      </c>
      <c r="CJ86" s="210" t="inlineStr">
        <is>
          <t>N/A</t>
        </is>
      </c>
      <c r="CK86" s="210" t="inlineStr">
        <is>
          <t>N/A</t>
        </is>
      </c>
      <c r="CL86" s="210" t="inlineStr">
        <is>
          <t>N/A</t>
        </is>
      </c>
      <c r="CM86" s="210" t="inlineStr">
        <is>
          <t>N/A</t>
        </is>
      </c>
      <c r="CN86" s="210" t="inlineStr">
        <is>
          <t>N/A</t>
        </is>
      </c>
      <c r="CO86" s="210" t="inlineStr">
        <is>
          <t>N/A</t>
        </is>
      </c>
      <c r="CP86" s="210" t="inlineStr">
        <is>
          <t>N/A</t>
        </is>
      </c>
      <c r="CQ86" s="210" t="inlineStr">
        <is>
          <t>N/A</t>
        </is>
      </c>
      <c r="CR86" s="210" t="inlineStr">
        <is>
          <t>N/A</t>
        </is>
      </c>
      <c r="CS86" s="210" t="inlineStr">
        <is>
          <t>N/A</t>
        </is>
      </c>
      <c r="CT86" s="210" t="inlineStr">
        <is>
          <t>N/A</t>
        </is>
      </c>
      <c r="CU86" s="210" t="inlineStr">
        <is>
          <t>N/A</t>
        </is>
      </c>
      <c r="CV86" s="210" t="inlineStr">
        <is>
          <t>N/A</t>
        </is>
      </c>
      <c r="CW86" s="210" t="inlineStr">
        <is>
          <t>N/A</t>
        </is>
      </c>
      <c r="CX86" s="210" t="inlineStr">
        <is>
          <t>N/A</t>
        </is>
      </c>
      <c r="CY86" s="210" t="inlineStr">
        <is>
          <t>N/A</t>
        </is>
      </c>
      <c r="CZ86" s="210" t="inlineStr">
        <is>
          <t>N/A</t>
        </is>
      </c>
      <c r="DA86" s="210" t="inlineStr">
        <is>
          <t>N/A</t>
        </is>
      </c>
      <c r="DB86" s="210" t="inlineStr">
        <is>
          <t>N/A</t>
        </is>
      </c>
      <c r="DC86" s="210" t="inlineStr">
        <is>
          <t>N/A</t>
        </is>
      </c>
      <c r="DD86" s="210" t="inlineStr">
        <is>
          <t>N/A</t>
        </is>
      </c>
      <c r="DE86" s="210" t="inlineStr">
        <is>
          <t>N/A</t>
        </is>
      </c>
      <c r="DF86" s="210" t="inlineStr">
        <is>
          <t>N/A</t>
        </is>
      </c>
      <c r="DG86" s="210" t="inlineStr">
        <is>
          <t>N/A</t>
        </is>
      </c>
      <c r="DH86" s="210" t="inlineStr">
        <is>
          <t>N/A</t>
        </is>
      </c>
      <c r="DI86" s="210" t="inlineStr">
        <is>
          <t>N/A</t>
        </is>
      </c>
      <c r="DJ86" s="210" t="inlineStr">
        <is>
          <t>N/A</t>
        </is>
      </c>
      <c r="DK86" s="210" t="inlineStr">
        <is>
          <t>N/A</t>
        </is>
      </c>
      <c r="DL86" s="210" t="inlineStr">
        <is>
          <t>N/A</t>
        </is>
      </c>
      <c r="DM86" s="210" t="inlineStr">
        <is>
          <t>N/A</t>
        </is>
      </c>
      <c r="DN86" s="210" t="inlineStr">
        <is>
          <t>N/A</t>
        </is>
      </c>
      <c r="DO86" s="210" t="inlineStr">
        <is>
          <t>N/A</t>
        </is>
      </c>
      <c r="DP86" s="210" t="inlineStr">
        <is>
          <t>N/A</t>
        </is>
      </c>
      <c r="DQ86" s="210" t="inlineStr">
        <is>
          <t>N/A</t>
        </is>
      </c>
      <c r="DR86" s="210" t="inlineStr">
        <is>
          <t>N/A</t>
        </is>
      </c>
      <c r="DS86" s="212" t="n"/>
      <c r="DT86" s="212" t="n"/>
      <c r="DU86" s="212" t="n"/>
      <c r="DV86" s="212" t="n"/>
      <c r="DW86" s="212" t="n"/>
      <c r="DX86" s="212" t="n"/>
      <c r="DY86" s="212" t="n"/>
      <c r="DZ86" s="212" t="n"/>
      <c r="EA86" s="212" t="n"/>
      <c r="EB86" s="212" t="n"/>
      <c r="EC86" s="212" t="n"/>
      <c r="ED86" s="212" t="n"/>
      <c r="EE86" s="212" t="n"/>
      <c r="EF86" s="212" t="n"/>
      <c r="EG86" s="212" t="n"/>
      <c r="EH86" s="212" t="n"/>
      <c r="EI86" s="212" t="n"/>
      <c r="EJ86" s="212" t="n"/>
      <c r="EK86" s="212" t="n"/>
      <c r="EL86" s="212" t="n"/>
      <c r="EM86" s="212" t="n"/>
      <c r="EN86" s="212" t="n"/>
      <c r="EO86" s="212" t="n"/>
      <c r="EP86" s="212" t="n"/>
      <c r="EQ86" s="212" t="n"/>
      <c r="ER86" s="212" t="n"/>
      <c r="ES86" s="212" t="n"/>
      <c r="ET86" s="212" t="n"/>
      <c r="EU86" s="212" t="n"/>
      <c r="EV86" s="212" t="n"/>
      <c r="EW86" s="212" t="n"/>
      <c r="EX86" s="212" t="n"/>
      <c r="EY86" s="212" t="n"/>
      <c r="EZ86" s="212" t="n"/>
      <c r="FA86" s="212" t="n"/>
      <c r="FB86" s="212" t="n"/>
      <c r="FC86" s="212" t="n"/>
      <c r="FD86" s="212" t="n"/>
      <c r="FE86" s="212" t="n"/>
      <c r="FF86" s="212" t="n"/>
      <c r="FG86" s="212" t="n"/>
      <c r="FH86" s="212" t="n"/>
      <c r="FI86" s="212" t="n"/>
      <c r="FJ86" s="212" t="n"/>
      <c r="FK86" s="212" t="n"/>
      <c r="FL86" s="212" t="n"/>
      <c r="FM86" s="212" t="n"/>
      <c r="FN86" s="212" t="n"/>
      <c r="FO86" s="212" t="n"/>
      <c r="FP86" s="212" t="n"/>
      <c r="FQ86" s="212" t="n"/>
      <c r="FR86" s="212" t="n"/>
      <c r="FS86" s="212" t="n"/>
      <c r="FT86" s="212" t="n"/>
      <c r="FU86" s="212" t="n"/>
      <c r="FV86" s="212" t="n"/>
      <c r="FW86" s="212" t="n"/>
      <c r="FX86" s="212" t="n"/>
      <c r="FY86" s="212" t="n"/>
      <c r="FZ86" s="212" t="n"/>
      <c r="GA86" s="212" t="n"/>
      <c r="GB86" s="212" t="n"/>
      <c r="GC86" s="212" t="n"/>
      <c r="GD86" s="212" t="n"/>
      <c r="GE86" s="212" t="n"/>
      <c r="GF86" s="212" t="n"/>
      <c r="GG86" s="212" t="n"/>
      <c r="GH86" s="212" t="n"/>
      <c r="GI86" s="212" t="n"/>
      <c r="GJ86" s="212" t="n"/>
      <c r="GK86" s="212" t="n"/>
      <c r="GL86" s="212" t="n"/>
      <c r="GM86" s="212" t="n"/>
      <c r="GN86" s="212" t="n"/>
      <c r="GO86" s="212" t="n"/>
      <c r="GP86" s="212" t="n"/>
      <c r="GQ86" s="212" t="n"/>
      <c r="GR86" s="212" t="n"/>
      <c r="GS86" s="212" t="n"/>
      <c r="GT86" s="212" t="n"/>
      <c r="GU86" s="212" t="n"/>
      <c r="GV86" s="212" t="n"/>
      <c r="GW86" s="212" t="n"/>
      <c r="GX86" s="212" t="n"/>
      <c r="GY86" s="212" t="n"/>
      <c r="GZ86" s="212" t="n"/>
      <c r="HA86" s="212" t="n"/>
      <c r="HB86" s="212" t="n"/>
      <c r="HC86" s="212" t="n"/>
      <c r="HD86" s="212" t="n"/>
      <c r="HE86" s="212" t="n"/>
      <c r="HF86" s="212" t="n"/>
      <c r="HG86" s="212" t="n"/>
      <c r="HH86" s="212" t="n"/>
      <c r="HI86" s="212" t="n"/>
      <c r="HJ86" s="212" t="n"/>
      <c r="HK86" s="212" t="n"/>
      <c r="HL86" s="212" t="n"/>
      <c r="HM86" s="212" t="n"/>
      <c r="HN86" s="212" t="n"/>
      <c r="HO86" s="212" t="n"/>
      <c r="HP86" s="212" t="n"/>
      <c r="HQ86" s="212" t="n"/>
      <c r="HR86" s="212" t="n"/>
      <c r="HS86" s="212" t="n"/>
      <c r="HT86" s="212" t="n"/>
      <c r="HU86" s="212" t="n"/>
      <c r="HV86" s="212" t="n"/>
      <c r="HW86" s="212" t="n"/>
      <c r="HX86" s="212" t="n"/>
      <c r="HY86" s="212" t="n"/>
      <c r="HZ86" s="212" t="n"/>
      <c r="IA86" s="212" t="n"/>
      <c r="IB86" s="212" t="n"/>
      <c r="IC86" s="212" t="n"/>
      <c r="ID86" s="212" t="n"/>
      <c r="IE86" s="212" t="n"/>
      <c r="IF86" s="212" t="n"/>
      <c r="IG86" s="212" t="n"/>
      <c r="IH86" s="212" t="n"/>
      <c r="II86" s="212" t="n"/>
      <c r="IJ86" s="212" t="n"/>
      <c r="IK86" s="212" t="n"/>
      <c r="IL86" s="212" t="n"/>
      <c r="IM86" s="212" t="n"/>
      <c r="IN86" s="212" t="n"/>
      <c r="IO86" s="212" t="n"/>
      <c r="IP86" s="212" t="n"/>
      <c r="IQ86" s="212" t="n"/>
      <c r="IR86" s="212" t="n"/>
      <c r="IS86" s="212" t="n"/>
      <c r="IT86" s="212" t="n"/>
      <c r="IU86" s="212" t="n"/>
      <c r="IV86" s="212" t="n"/>
      <c r="IW86" s="212" t="n"/>
      <c r="IX86" s="212" t="n"/>
      <c r="IY86" s="212" t="n"/>
      <c r="IZ86" s="212" t="n"/>
      <c r="JA86" s="212" t="n"/>
      <c r="JB86" s="212" t="n"/>
      <c r="JC86" s="212" t="n"/>
      <c r="JD86" s="212" t="n"/>
      <c r="JE86" s="212" t="n"/>
      <c r="JF86" s="212" t="n"/>
      <c r="JG86" s="212" t="n"/>
      <c r="JH86" s="212" t="n"/>
      <c r="JI86" s="212" t="n"/>
      <c r="JJ86" s="212" t="n"/>
      <c r="JK86" s="212" t="n"/>
      <c r="JL86" s="212" t="n"/>
      <c r="JM86" s="212" t="n"/>
      <c r="JN86" s="212" t="n"/>
      <c r="JO86" s="212" t="n"/>
      <c r="JP86" s="212" t="n"/>
      <c r="JQ86" s="212" t="n"/>
      <c r="JR86" s="212" t="n"/>
      <c r="JS86" s="212" t="n"/>
      <c r="JT86" s="212" t="n"/>
      <c r="JU86" s="212" t="n"/>
      <c r="JV86" s="212" t="n"/>
      <c r="JW86" s="212" t="n"/>
      <c r="JX86" s="212" t="n"/>
      <c r="JY86" s="212" t="n"/>
      <c r="JZ86" s="212" t="n"/>
      <c r="KA86" s="212" t="n"/>
      <c r="KB86" s="212" t="n"/>
      <c r="KC86" s="212" t="n"/>
      <c r="KD86" s="212" t="n"/>
      <c r="KE86" s="212" t="n"/>
      <c r="KF86" s="212" t="n"/>
      <c r="KG86" s="212" t="n"/>
      <c r="KH86" s="212" t="n"/>
      <c r="KI86" s="212" t="n"/>
      <c r="KJ86" s="212" t="n"/>
      <c r="KK86" s="212" t="n"/>
      <c r="KL86" s="212" t="n"/>
      <c r="KM86" s="212" t="n"/>
      <c r="KN86" s="212" t="n"/>
      <c r="KO86" s="212" t="n"/>
      <c r="KP86" s="212" t="n"/>
      <c r="KQ86" s="212" t="n"/>
      <c r="KR86" s="212" t="n"/>
      <c r="KS86" s="212" t="n"/>
      <c r="KT86" s="212" t="n"/>
      <c r="KU86" s="212" t="n"/>
      <c r="KV86" s="212" t="n"/>
      <c r="KW86" s="212" t="n"/>
      <c r="KX86" s="212" t="n"/>
      <c r="KY86" s="212" t="n"/>
      <c r="KZ86" s="212" t="n"/>
      <c r="LA86" s="212" t="n"/>
      <c r="LB86" s="212" t="n"/>
      <c r="LC86" s="212" t="n"/>
      <c r="LD86" s="212" t="n"/>
      <c r="LE86" s="212" t="n"/>
      <c r="LF86" s="212" t="n"/>
      <c r="LG86" s="212" t="n"/>
      <c r="LH86" s="212" t="n"/>
      <c r="LI86" s="212" t="n"/>
      <c r="LJ86" s="212" t="n"/>
      <c r="LK86" s="212" t="n"/>
      <c r="LL86" s="212" t="n"/>
      <c r="LM86" s="212" t="n"/>
      <c r="LN86" s="212" t="n"/>
      <c r="LO86" s="212" t="n"/>
      <c r="LP86" s="212" t="n"/>
      <c r="LQ86" s="212" t="n"/>
      <c r="LR86" s="212" t="n"/>
      <c r="LS86" s="212" t="n"/>
      <c r="LT86" s="212" t="n"/>
      <c r="LU86" s="212" t="n"/>
      <c r="LV86" s="212" t="n"/>
      <c r="LW86" s="212" t="n"/>
      <c r="LX86" s="212" t="n"/>
      <c r="LY86" s="212" t="n"/>
      <c r="LZ86" s="212" t="n"/>
      <c r="MA86" s="212" t="n"/>
      <c r="MB86" s="212" t="n"/>
      <c r="MC86" s="212" t="n"/>
      <c r="MD86" s="212" t="n"/>
      <c r="ME86" s="212" t="n"/>
      <c r="MF86" s="212" t="n"/>
      <c r="MG86" s="212" t="n"/>
      <c r="MH86" s="212" t="n"/>
      <c r="MI86" s="212" t="n"/>
      <c r="MJ86" s="212" t="n"/>
      <c r="MK86" s="212" t="n"/>
      <c r="ML86" s="212" t="n"/>
      <c r="MM86" s="212" t="n"/>
      <c r="MN86" s="212" t="n"/>
      <c r="MO86" s="212" t="n"/>
      <c r="MP86" s="212" t="n"/>
      <c r="MQ86" s="212" t="n"/>
      <c r="MR86" s="212" t="n"/>
      <c r="MS86" s="212" t="n"/>
      <c r="MT86" s="212" t="n"/>
      <c r="MU86" s="212" t="n"/>
      <c r="MV86" s="212" t="n"/>
      <c r="MW86" s="212" t="n"/>
      <c r="MX86" s="212" t="n"/>
      <c r="MY86" s="212" t="n"/>
      <c r="MZ86" s="212" t="n"/>
      <c r="NA86" s="212" t="n"/>
      <c r="NB86" s="212" t="n"/>
      <c r="NC86" s="212" t="n"/>
      <c r="ND86" s="212" t="n"/>
      <c r="NE86" s="212" t="n"/>
      <c r="NF86" s="212" t="n"/>
      <c r="NG86" s="212" t="n"/>
      <c r="NH86" s="212" t="n"/>
      <c r="NI86" s="212" t="n"/>
      <c r="NJ86" s="212" t="n"/>
      <c r="NK86" s="212" t="n"/>
      <c r="NL86" s="212" t="n"/>
      <c r="NM86" s="212" t="n"/>
      <c r="NN86" s="212" t="n"/>
      <c r="NO86" s="212" t="n"/>
      <c r="NP86" s="212" t="n"/>
      <c r="NQ86" s="212" t="n"/>
      <c r="NR86" s="212" t="n"/>
      <c r="NS86" s="212" t="n"/>
      <c r="NT86" s="212" t="n"/>
      <c r="NU86" s="212" t="n"/>
      <c r="NV86" s="212" t="n"/>
      <c r="NW86" s="212" t="n"/>
      <c r="NX86" s="212" t="n"/>
      <c r="NY86" s="212" t="n"/>
      <c r="NZ86" s="212" t="n"/>
      <c r="OA86" s="212" t="n"/>
      <c r="OB86" s="212" t="n"/>
      <c r="OC86" s="212" t="n"/>
      <c r="OD86" s="212" t="n"/>
      <c r="OE86" s="212" t="n"/>
      <c r="OF86" s="212" t="n"/>
      <c r="OG86" s="212" t="n"/>
      <c r="OH86" s="212" t="n"/>
      <c r="OI86" s="212" t="n"/>
      <c r="OJ86" s="212" t="n"/>
      <c r="OK86" s="212" t="n"/>
      <c r="OL86" s="212" t="n"/>
      <c r="OM86" s="212" t="n"/>
      <c r="ON86" s="212" t="n"/>
      <c r="OO86" s="212" t="n"/>
      <c r="OP86" s="212" t="n"/>
      <c r="OQ86" s="212" t="n"/>
      <c r="OR86" s="212" t="n"/>
      <c r="OS86" s="212" t="n"/>
      <c r="OT86" s="212" t="n"/>
      <c r="OU86" s="212" t="n"/>
      <c r="OV86" s="212" t="n"/>
      <c r="OW86" s="212" t="n"/>
      <c r="OX86" s="212" t="n"/>
      <c r="OY86" s="212" t="n"/>
      <c r="OZ86" s="212" t="n"/>
      <c r="PA86" s="212" t="n"/>
      <c r="PB86" s="212" t="n"/>
      <c r="PC86" s="212" t="n"/>
      <c r="PD86" s="212" t="n"/>
      <c r="PE86" s="212" t="n"/>
      <c r="PF86" s="212" t="n"/>
      <c r="PG86" s="212" t="n"/>
      <c r="PH86" s="212" t="n"/>
      <c r="PI86" s="212" t="n"/>
      <c r="PJ86" s="212" t="n"/>
      <c r="PK86" s="212" t="n"/>
      <c r="PL86" s="212" t="n"/>
      <c r="PM86" s="212" t="n"/>
      <c r="PN86" s="212" t="n"/>
      <c r="PO86" s="212" t="n"/>
      <c r="PP86" s="212" t="n"/>
      <c r="PQ86" s="212" t="n"/>
      <c r="PR86" s="212" t="n"/>
      <c r="PS86" s="212" t="n"/>
      <c r="PT86" s="212" t="n"/>
      <c r="PU86" s="212" t="n"/>
      <c r="PV86" s="212" t="n"/>
      <c r="PW86" s="212" t="n"/>
      <c r="PX86" s="212" t="n"/>
      <c r="PY86" s="212" t="n"/>
      <c r="PZ86" s="212" t="n"/>
      <c r="QA86" s="212" t="n"/>
      <c r="QB86" s="212" t="n"/>
      <c r="QC86" s="212" t="n"/>
      <c r="QD86" s="212" t="n"/>
      <c r="QE86" s="212" t="n"/>
      <c r="QF86" s="212" t="n"/>
      <c r="QG86" s="212" t="n"/>
      <c r="QH86" s="212" t="n"/>
      <c r="QI86" s="212" t="n"/>
      <c r="QJ86" s="212" t="n"/>
      <c r="QK86" s="212" t="n"/>
      <c r="QL86" s="212" t="n"/>
      <c r="QM86" s="212" t="n"/>
      <c r="QN86" s="212" t="n"/>
      <c r="QO86" s="212" t="n"/>
      <c r="QP86" s="212" t="n"/>
      <c r="QQ86" s="212" t="n"/>
      <c r="QR86" s="212" t="n"/>
      <c r="QS86" s="212" t="n"/>
      <c r="QT86" s="212" t="n"/>
      <c r="QU86" s="212" t="n"/>
      <c r="QV86" s="212" t="n"/>
      <c r="QW86" s="212" t="n"/>
      <c r="QX86" s="212" t="n"/>
      <c r="QY86" s="212" t="n"/>
      <c r="QZ86" s="212" t="n"/>
      <c r="RA86" s="212" t="n"/>
      <c r="RB86" s="212" t="n"/>
      <c r="RC86" s="212" t="n"/>
      <c r="RD86" s="212" t="n"/>
      <c r="RE86" s="212" t="n"/>
      <c r="RF86" s="212" t="n"/>
      <c r="RG86" s="212" t="n"/>
      <c r="RH86" s="212" t="n"/>
      <c r="RI86" s="212" t="n"/>
      <c r="RJ86" s="212" t="n"/>
      <c r="RK86" s="212" t="n"/>
      <c r="RL86" s="212" t="n"/>
      <c r="RM86" s="212" t="n"/>
      <c r="RN86" s="212" t="n"/>
      <c r="RO86" s="212" t="n"/>
      <c r="RP86" s="212" t="n"/>
      <c r="RQ86" s="212" t="n"/>
      <c r="RR86" s="212" t="n"/>
      <c r="RS86" s="212" t="n"/>
      <c r="RT86" s="212" t="n"/>
      <c r="RU86" s="212" t="n"/>
      <c r="RV86" s="212" t="n"/>
      <c r="RW86" s="212" t="n"/>
      <c r="RX86" s="212" t="n"/>
      <c r="RY86" s="212" t="n"/>
      <c r="RZ86" s="212" t="n"/>
      <c r="SA86" s="212" t="n"/>
      <c r="SB86" s="212" t="n"/>
      <c r="SC86" s="212" t="n"/>
      <c r="SD86" s="212" t="n"/>
      <c r="SE86" s="212" t="n"/>
      <c r="SF86" s="212" t="n"/>
      <c r="SG86" s="212" t="n"/>
      <c r="SH86" s="212" t="n"/>
      <c r="SI86" s="212" t="n"/>
      <c r="SJ86" s="212" t="n"/>
      <c r="SK86" s="212" t="n"/>
      <c r="SL86" s="212" t="n"/>
      <c r="SM86" s="212" t="n"/>
      <c r="SN86" s="212" t="n"/>
      <c r="SO86" s="212" t="n"/>
      <c r="SP86" s="212" t="n"/>
      <c r="SQ86" s="212" t="n"/>
      <c r="SR86" s="212" t="n"/>
      <c r="SS86" s="212" t="n"/>
      <c r="ST86" s="212" t="n"/>
      <c r="SU86" s="212" t="n"/>
      <c r="SV86" s="212" t="n"/>
    </row>
    <row r="87">
      <c r="B87" s="209" t="n"/>
      <c r="C87" s="209" t="n"/>
      <c r="D87" s="209" t="n"/>
      <c r="E87" s="209" t="n"/>
      <c r="F87" s="209">
        <f>IF(TRIM(D87&amp;E87)="","",TRIM(D87)&amp;" "&amp;TRIM(E87))</f>
        <v/>
      </c>
      <c r="G87" s="209" t="n"/>
      <c r="H87" s="209" t="n"/>
      <c r="I87" s="209" t="n"/>
      <c r="J87" s="209" t="n"/>
      <c r="K87" s="209" t="n"/>
      <c r="L87" s="209" t="n"/>
      <c r="M87" s="209" t="n"/>
      <c r="N87" s="209" t="n"/>
      <c r="O87" s="209" t="n"/>
      <c r="P87" s="209" t="n"/>
      <c r="Q87" s="209" t="n"/>
      <c r="R87" s="209" t="n"/>
      <c r="S87" s="212" t="n"/>
      <c r="T87" s="212" t="n"/>
      <c r="U87" s="212" t="n"/>
      <c r="V87" s="212" t="n"/>
      <c r="W87" s="212" t="n"/>
      <c r="X87" s="212" t="n"/>
      <c r="Y87" s="212" t="n"/>
      <c r="Z87" s="212" t="n"/>
      <c r="AA87" s="212" t="n"/>
      <c r="AB87" s="212" t="n"/>
      <c r="AC87" s="212" t="n"/>
      <c r="AD87" s="212" t="n"/>
      <c r="AE87" s="212" t="n"/>
      <c r="AF87" s="212" t="n"/>
      <c r="AG87" s="212" t="n"/>
      <c r="AH87" s="212" t="n"/>
      <c r="AI87" s="212" t="n"/>
      <c r="AJ87" s="212" t="n"/>
      <c r="AK87" s="212" t="n"/>
      <c r="AL87" s="212" t="n"/>
      <c r="AM87" s="212" t="n"/>
      <c r="AN87" s="212" t="n"/>
      <c r="AO87" s="212" t="n"/>
      <c r="AP87" s="212" t="n"/>
      <c r="AQ87" s="212" t="n"/>
      <c r="AR87" s="212" t="n"/>
      <c r="AS87" s="212" t="n"/>
      <c r="AT87" s="212" t="n"/>
      <c r="AU87" s="212" t="n"/>
      <c r="AV87" s="212" t="n"/>
      <c r="AW87" s="212" t="n"/>
      <c r="AX87" s="212" t="n"/>
      <c r="AY87" s="212" t="n"/>
      <c r="AZ87" s="212" t="n"/>
      <c r="BA87" s="212" t="n"/>
      <c r="BB87" s="212" t="n"/>
      <c r="BC87" s="212" t="n"/>
      <c r="BD87" s="212" t="n"/>
      <c r="BE87" s="212" t="n"/>
      <c r="BF87" s="212" t="n"/>
      <c r="BG87" s="212" t="n"/>
      <c r="BH87" s="212" t="n"/>
      <c r="BI87" s="212" t="n"/>
      <c r="BJ87" s="212" t="n"/>
      <c r="BK87" s="212" t="n"/>
      <c r="BL87" s="212" t="n"/>
      <c r="BM87" s="212" t="n"/>
      <c r="BN87" s="212" t="n"/>
      <c r="BO87" s="212" t="n"/>
      <c r="BP87" s="212" t="n"/>
      <c r="BQ87" s="212" t="n"/>
      <c r="BR87" s="212" t="n"/>
      <c r="BS87" s="212" t="n"/>
      <c r="BT87" s="212" t="n"/>
      <c r="BU87" s="212" t="n"/>
      <c r="BV87" s="212" t="n"/>
      <c r="BW87" s="212" t="n"/>
      <c r="BX87" s="212" t="n"/>
      <c r="BY87" s="212" t="n"/>
      <c r="BZ87" s="212" t="n"/>
      <c r="CA87" s="212" t="n"/>
      <c r="CB87" s="212" t="n"/>
      <c r="CC87" s="212" t="n"/>
      <c r="CD87" s="212" t="n"/>
      <c r="CE87" s="212" t="n"/>
      <c r="CF87" s="212" t="n"/>
      <c r="CG87" s="212" t="n"/>
      <c r="CH87" s="212" t="n"/>
      <c r="CI87" s="212" t="n"/>
      <c r="CJ87" s="212" t="n"/>
      <c r="CK87" s="212" t="n"/>
      <c r="CL87" s="212" t="n"/>
      <c r="CM87" s="212" t="n"/>
      <c r="CN87" s="212" t="n"/>
      <c r="CO87" s="212" t="n"/>
      <c r="CP87" s="212" t="n"/>
      <c r="CQ87" s="212" t="n"/>
      <c r="CR87" s="212" t="n"/>
      <c r="CS87" s="212" t="n"/>
      <c r="CT87" s="212" t="n"/>
      <c r="CU87" s="212" t="n"/>
      <c r="CV87" s="212" t="n"/>
      <c r="CW87" s="212" t="n"/>
      <c r="CX87" s="212" t="n"/>
      <c r="CY87" s="212" t="n"/>
      <c r="CZ87" s="212" t="n"/>
      <c r="DA87" s="212" t="n"/>
      <c r="DB87" s="212" t="n"/>
      <c r="DC87" s="212" t="n"/>
      <c r="DD87" s="212" t="n"/>
      <c r="DE87" s="212" t="n"/>
      <c r="DF87" s="212" t="n"/>
      <c r="DG87" s="212" t="n"/>
      <c r="DH87" s="212" t="n"/>
      <c r="DI87" s="212" t="n"/>
      <c r="DJ87" s="212" t="n"/>
      <c r="DK87" s="212" t="n"/>
      <c r="DL87" s="212" t="n"/>
      <c r="DM87" s="212" t="n"/>
      <c r="DN87" s="212" t="n"/>
      <c r="DO87" s="212" t="n"/>
      <c r="DP87" s="212" t="n"/>
      <c r="DQ87" s="212" t="n"/>
      <c r="DR87" s="212" t="n"/>
      <c r="DS87" s="212" t="n"/>
      <c r="DT87" s="212" t="n"/>
      <c r="DU87" s="212" t="n"/>
      <c r="DV87" s="212" t="n"/>
      <c r="DW87" s="212" t="n"/>
      <c r="DX87" s="212" t="n"/>
      <c r="DY87" s="212" t="n"/>
      <c r="DZ87" s="212" t="n"/>
      <c r="EA87" s="212" t="n"/>
      <c r="EB87" s="212" t="n"/>
      <c r="EC87" s="212" t="n"/>
      <c r="ED87" s="212" t="n"/>
      <c r="EE87" s="212" t="n"/>
      <c r="EF87" s="212" t="n"/>
      <c r="EG87" s="212" t="n"/>
      <c r="EH87" s="212" t="n"/>
      <c r="EI87" s="212" t="n"/>
      <c r="EJ87" s="212" t="n"/>
      <c r="EK87" s="212" t="n"/>
      <c r="EL87" s="212" t="n"/>
      <c r="EM87" s="212" t="n"/>
      <c r="EN87" s="212" t="n"/>
      <c r="EO87" s="212" t="n"/>
      <c r="EP87" s="212" t="n"/>
      <c r="EQ87" s="212" t="n"/>
      <c r="ER87" s="212" t="n"/>
      <c r="ES87" s="212" t="n"/>
      <c r="ET87" s="212" t="n"/>
      <c r="EU87" s="212" t="n"/>
      <c r="EV87" s="212" t="n"/>
      <c r="EW87" s="212" t="n"/>
      <c r="EX87" s="212" t="n"/>
      <c r="EY87" s="212" t="n"/>
      <c r="EZ87" s="212" t="n"/>
      <c r="FA87" s="212" t="n"/>
      <c r="FB87" s="212" t="n"/>
      <c r="FC87" s="212" t="n"/>
      <c r="FD87" s="212" t="n"/>
      <c r="FE87" s="212" t="n"/>
      <c r="FF87" s="212" t="n"/>
      <c r="FG87" s="212" t="n"/>
      <c r="FH87" s="212" t="n"/>
      <c r="FI87" s="212" t="n"/>
      <c r="FJ87" s="212" t="n"/>
      <c r="FK87" s="212" t="n"/>
      <c r="FL87" s="212" t="n"/>
      <c r="FM87" s="212" t="n"/>
      <c r="FN87" s="212" t="n"/>
      <c r="FO87" s="212" t="n"/>
      <c r="FP87" s="212" t="n"/>
      <c r="FQ87" s="212" t="n"/>
      <c r="FR87" s="212" t="n"/>
      <c r="FS87" s="212" t="n"/>
      <c r="FT87" s="212" t="n"/>
      <c r="FU87" s="212" t="n"/>
      <c r="FV87" s="212" t="n"/>
      <c r="FW87" s="212" t="n"/>
      <c r="FX87" s="212" t="n"/>
      <c r="FY87" s="212" t="n"/>
      <c r="FZ87" s="212" t="n"/>
      <c r="GA87" s="212" t="n"/>
      <c r="GB87" s="212" t="n"/>
      <c r="GC87" s="212" t="n"/>
      <c r="GD87" s="212" t="n"/>
      <c r="GE87" s="212" t="n"/>
      <c r="GF87" s="212" t="n"/>
      <c r="GG87" s="212" t="n"/>
      <c r="GH87" s="212" t="n"/>
      <c r="GI87" s="212" t="n"/>
      <c r="GJ87" s="212" t="n"/>
      <c r="GK87" s="212" t="n"/>
      <c r="GL87" s="212" t="n"/>
      <c r="GM87" s="212" t="n"/>
      <c r="GN87" s="212" t="n"/>
      <c r="GO87" s="212" t="n"/>
      <c r="GP87" s="212" t="n"/>
      <c r="GQ87" s="212" t="n"/>
      <c r="GR87" s="212" t="n"/>
      <c r="GS87" s="212" t="n"/>
      <c r="GT87" s="212" t="n"/>
      <c r="GU87" s="212" t="n"/>
      <c r="GV87" s="212" t="n"/>
      <c r="GW87" s="212" t="n"/>
      <c r="GX87" s="212" t="n"/>
      <c r="GY87" s="212" t="n"/>
      <c r="GZ87" s="212" t="n"/>
      <c r="HA87" s="212" t="n"/>
      <c r="HB87" s="212" t="n"/>
      <c r="HC87" s="212" t="n"/>
      <c r="HD87" s="212" t="n"/>
      <c r="HE87" s="212" t="n"/>
      <c r="HF87" s="212" t="n"/>
      <c r="HG87" s="212" t="n"/>
      <c r="HH87" s="212" t="n"/>
      <c r="HI87" s="212" t="n"/>
      <c r="HJ87" s="212" t="n"/>
      <c r="HK87" s="212" t="n"/>
      <c r="HL87" s="212" t="n"/>
      <c r="HM87" s="212" t="n"/>
      <c r="HN87" s="212" t="n"/>
      <c r="HO87" s="212" t="n"/>
      <c r="HP87" s="212" t="n"/>
      <c r="HQ87" s="212" t="n"/>
      <c r="HR87" s="212" t="n"/>
      <c r="HS87" s="212" t="n"/>
      <c r="HT87" s="212" t="n"/>
      <c r="HU87" s="212" t="n"/>
      <c r="HV87" s="212" t="n"/>
      <c r="HW87" s="212" t="n"/>
      <c r="HX87" s="212" t="n"/>
      <c r="HY87" s="212" t="n"/>
      <c r="HZ87" s="212" t="n"/>
      <c r="IA87" s="212" t="n"/>
      <c r="IB87" s="212" t="n"/>
      <c r="IC87" s="212" t="n"/>
      <c r="ID87" s="212" t="n"/>
      <c r="IE87" s="212" t="n"/>
      <c r="IF87" s="212" t="n"/>
      <c r="IG87" s="212" t="n"/>
      <c r="IH87" s="212" t="n"/>
      <c r="II87" s="212" t="n"/>
      <c r="IJ87" s="212" t="n"/>
      <c r="IK87" s="212" t="n"/>
      <c r="IL87" s="212" t="n"/>
      <c r="IM87" s="212" t="n"/>
      <c r="IN87" s="212" t="n"/>
      <c r="IO87" s="212" t="n"/>
      <c r="IP87" s="212" t="n"/>
      <c r="IQ87" s="212" t="n"/>
      <c r="IR87" s="212" t="n"/>
      <c r="IS87" s="212" t="n"/>
      <c r="IT87" s="212" t="n"/>
      <c r="IU87" s="212" t="n"/>
      <c r="IV87" s="212" t="n"/>
      <c r="IW87" s="212" t="n"/>
      <c r="IX87" s="212" t="n"/>
      <c r="IY87" s="212" t="n"/>
      <c r="IZ87" s="212" t="n"/>
      <c r="JA87" s="212" t="n"/>
      <c r="JB87" s="212" t="n"/>
      <c r="JC87" s="212" t="n"/>
      <c r="JD87" s="212" t="n"/>
      <c r="JE87" s="212" t="n"/>
      <c r="JF87" s="212" t="n"/>
      <c r="JG87" s="212" t="n"/>
      <c r="JH87" s="212" t="n"/>
      <c r="JI87" s="212" t="n"/>
      <c r="JJ87" s="212" t="n"/>
      <c r="JK87" s="212" t="n"/>
      <c r="JL87" s="212" t="n"/>
      <c r="JM87" s="212" t="n"/>
      <c r="JN87" s="212" t="n"/>
      <c r="JO87" s="212" t="n"/>
      <c r="JP87" s="212" t="n"/>
      <c r="JQ87" s="212" t="n"/>
      <c r="JR87" s="212" t="n"/>
      <c r="JS87" s="212" t="n"/>
      <c r="JT87" s="212" t="n"/>
      <c r="JU87" s="212" t="n"/>
      <c r="JV87" s="212" t="n"/>
      <c r="JW87" s="212" t="n"/>
      <c r="JX87" s="212" t="n"/>
      <c r="JY87" s="212" t="n"/>
      <c r="JZ87" s="212" t="n"/>
      <c r="KA87" s="212" t="n"/>
      <c r="KB87" s="212" t="n"/>
      <c r="KC87" s="212" t="n"/>
      <c r="KD87" s="212" t="n"/>
      <c r="KE87" s="212" t="n"/>
      <c r="KF87" s="212" t="n"/>
      <c r="KG87" s="212" t="n"/>
      <c r="KH87" s="212" t="n"/>
      <c r="KI87" s="212" t="n"/>
      <c r="KJ87" s="212" t="n"/>
      <c r="KK87" s="212" t="n"/>
      <c r="KL87" s="212" t="n"/>
      <c r="KM87" s="212" t="n"/>
      <c r="KN87" s="212" t="n"/>
      <c r="KO87" s="212" t="n"/>
      <c r="KP87" s="212" t="n"/>
      <c r="KQ87" s="212" t="n"/>
      <c r="KR87" s="212" t="n"/>
      <c r="KS87" s="212" t="n"/>
      <c r="KT87" s="212" t="n"/>
      <c r="KU87" s="212" t="n"/>
      <c r="KV87" s="212" t="n"/>
      <c r="KW87" s="212" t="n"/>
      <c r="KX87" s="212" t="n"/>
      <c r="KY87" s="212" t="n"/>
      <c r="KZ87" s="212" t="n"/>
      <c r="LA87" s="212" t="n"/>
      <c r="LB87" s="212" t="n"/>
      <c r="LC87" s="212" t="n"/>
      <c r="LD87" s="212" t="n"/>
      <c r="LE87" s="212" t="n"/>
      <c r="LF87" s="212" t="n"/>
      <c r="LG87" s="212" t="n"/>
      <c r="LH87" s="212" t="n"/>
      <c r="LI87" s="212" t="n"/>
      <c r="LJ87" s="212" t="n"/>
      <c r="LK87" s="212" t="n"/>
      <c r="LL87" s="212" t="n"/>
      <c r="LM87" s="212" t="n"/>
      <c r="LN87" s="212" t="n"/>
      <c r="LO87" s="212" t="n"/>
      <c r="LP87" s="212" t="n"/>
      <c r="LQ87" s="212" t="n"/>
      <c r="LR87" s="212" t="n"/>
      <c r="LS87" s="212" t="n"/>
      <c r="LT87" s="212" t="n"/>
      <c r="LU87" s="212" t="n"/>
      <c r="LV87" s="212" t="n"/>
      <c r="LW87" s="212" t="n"/>
      <c r="LX87" s="212" t="n"/>
      <c r="LY87" s="212" t="n"/>
      <c r="LZ87" s="212" t="n"/>
      <c r="MA87" s="212" t="n"/>
      <c r="MB87" s="212" t="n"/>
      <c r="MC87" s="212" t="n"/>
      <c r="MD87" s="212" t="n"/>
      <c r="ME87" s="212" t="n"/>
      <c r="MF87" s="212" t="n"/>
      <c r="MG87" s="212" t="n"/>
      <c r="MH87" s="212" t="n"/>
      <c r="MI87" s="212" t="n"/>
      <c r="MJ87" s="212" t="n"/>
      <c r="MK87" s="212" t="n"/>
      <c r="ML87" s="212" t="n"/>
      <c r="MM87" s="212" t="n"/>
      <c r="MN87" s="212" t="n"/>
      <c r="MO87" s="212" t="n"/>
      <c r="MP87" s="212" t="n"/>
      <c r="MQ87" s="212" t="n"/>
      <c r="MR87" s="212" t="n"/>
      <c r="MS87" s="212" t="n"/>
      <c r="MT87" s="212" t="n"/>
      <c r="MU87" s="212" t="n"/>
      <c r="MV87" s="212" t="n"/>
      <c r="MW87" s="212" t="n"/>
      <c r="MX87" s="212" t="n"/>
      <c r="MY87" s="212" t="n"/>
      <c r="MZ87" s="212" t="n"/>
      <c r="NA87" s="212" t="n"/>
      <c r="NB87" s="212" t="n"/>
      <c r="NC87" s="212" t="n"/>
      <c r="ND87" s="212" t="n"/>
      <c r="NE87" s="212" t="n"/>
      <c r="NF87" s="212" t="n"/>
      <c r="NG87" s="212" t="n"/>
      <c r="NH87" s="212" t="n"/>
      <c r="NI87" s="212" t="n"/>
      <c r="NJ87" s="212" t="n"/>
      <c r="NK87" s="212" t="n"/>
      <c r="NL87" s="212" t="n"/>
      <c r="NM87" s="212" t="n"/>
      <c r="NN87" s="212" t="n"/>
      <c r="NO87" s="212" t="n"/>
      <c r="NP87" s="212" t="n"/>
      <c r="NQ87" s="212" t="n"/>
      <c r="NR87" s="212" t="n"/>
      <c r="NS87" s="212" t="n"/>
      <c r="NT87" s="212" t="n"/>
      <c r="NU87" s="212" t="n"/>
      <c r="NV87" s="212" t="n"/>
      <c r="NW87" s="212" t="n"/>
      <c r="NX87" s="212" t="n"/>
      <c r="NY87" s="212" t="n"/>
      <c r="NZ87" s="212" t="n"/>
      <c r="OA87" s="212" t="n"/>
      <c r="OB87" s="212" t="n"/>
      <c r="OC87" s="212" t="n"/>
      <c r="OD87" s="212" t="n"/>
      <c r="OE87" s="212" t="n"/>
      <c r="OF87" s="212" t="n"/>
      <c r="OG87" s="212" t="n"/>
      <c r="OH87" s="212" t="n"/>
      <c r="OI87" s="212" t="n"/>
      <c r="OJ87" s="212" t="n"/>
      <c r="OK87" s="212" t="n"/>
      <c r="OL87" s="212" t="n"/>
      <c r="OM87" s="212" t="n"/>
      <c r="ON87" s="212" t="n"/>
      <c r="OO87" s="212" t="n"/>
      <c r="OP87" s="212" t="n"/>
      <c r="OQ87" s="212" t="n"/>
      <c r="OR87" s="212" t="n"/>
      <c r="OS87" s="212" t="n"/>
      <c r="OT87" s="212" t="n"/>
      <c r="OU87" s="212" t="n"/>
      <c r="OV87" s="212" t="n"/>
      <c r="OW87" s="212" t="n"/>
      <c r="OX87" s="212" t="n"/>
      <c r="OY87" s="212" t="n"/>
      <c r="OZ87" s="212" t="n"/>
      <c r="PA87" s="212" t="n"/>
      <c r="PB87" s="212" t="n"/>
      <c r="PC87" s="212" t="n"/>
      <c r="PD87" s="212" t="n"/>
      <c r="PE87" s="212" t="n"/>
      <c r="PF87" s="212" t="n"/>
      <c r="PG87" s="212" t="n"/>
      <c r="PH87" s="212" t="n"/>
      <c r="PI87" s="212" t="n"/>
      <c r="PJ87" s="212" t="n"/>
      <c r="PK87" s="212" t="n"/>
      <c r="PL87" s="212" t="n"/>
      <c r="PM87" s="212" t="n"/>
      <c r="PN87" s="212" t="n"/>
      <c r="PO87" s="212" t="n"/>
      <c r="PP87" s="212" t="n"/>
      <c r="PQ87" s="212" t="n"/>
      <c r="PR87" s="212" t="n"/>
      <c r="PS87" s="212" t="n"/>
      <c r="PT87" s="212" t="n"/>
      <c r="PU87" s="212" t="n"/>
      <c r="PV87" s="212" t="n"/>
      <c r="PW87" s="212" t="n"/>
      <c r="PX87" s="212" t="n"/>
      <c r="PY87" s="212" t="n"/>
      <c r="PZ87" s="212" t="n"/>
      <c r="QA87" s="212" t="n"/>
      <c r="QB87" s="212" t="n"/>
      <c r="QC87" s="212" t="n"/>
      <c r="QD87" s="212" t="n"/>
      <c r="QE87" s="212" t="n"/>
      <c r="QF87" s="212" t="n"/>
      <c r="QG87" s="212" t="n"/>
      <c r="QH87" s="212" t="n"/>
      <c r="QI87" s="212" t="n"/>
      <c r="QJ87" s="212" t="n"/>
      <c r="QK87" s="212" t="n"/>
      <c r="QL87" s="212" t="n"/>
      <c r="QM87" s="212" t="n"/>
      <c r="QN87" s="212" t="n"/>
      <c r="QO87" s="212" t="n"/>
      <c r="QP87" s="212" t="n"/>
      <c r="QQ87" s="212" t="n"/>
      <c r="QR87" s="212" t="n"/>
      <c r="QS87" s="212" t="n"/>
      <c r="QT87" s="212" t="n"/>
      <c r="QU87" s="212" t="n"/>
      <c r="QV87" s="212" t="n"/>
      <c r="QW87" s="212" t="n"/>
      <c r="QX87" s="212" t="n"/>
      <c r="QY87" s="212" t="n"/>
      <c r="QZ87" s="212" t="n"/>
      <c r="RA87" s="212" t="n"/>
      <c r="RB87" s="212" t="n"/>
      <c r="RC87" s="212" t="n"/>
      <c r="RD87" s="212" t="n"/>
      <c r="RE87" s="212" t="n"/>
      <c r="RF87" s="212" t="n"/>
      <c r="RG87" s="212" t="n"/>
      <c r="RH87" s="212" t="n"/>
      <c r="RI87" s="212" t="n"/>
      <c r="RJ87" s="212" t="n"/>
      <c r="RK87" s="212" t="n"/>
      <c r="RL87" s="212" t="n"/>
      <c r="RM87" s="212" t="n"/>
      <c r="RN87" s="212" t="n"/>
      <c r="RO87" s="212" t="n"/>
      <c r="RP87" s="212" t="n"/>
      <c r="RQ87" s="212" t="n"/>
      <c r="RR87" s="212" t="n"/>
      <c r="RS87" s="212" t="n"/>
      <c r="RT87" s="212" t="n"/>
      <c r="RU87" s="212" t="n"/>
      <c r="RV87" s="212" t="n"/>
      <c r="RW87" s="212" t="n"/>
      <c r="RX87" s="212" t="n"/>
      <c r="RY87" s="212" t="n"/>
      <c r="RZ87" s="212" t="n"/>
      <c r="SA87" s="212" t="n"/>
      <c r="SB87" s="212" t="n"/>
      <c r="SC87" s="212" t="n"/>
      <c r="SD87" s="212" t="n"/>
      <c r="SE87" s="212" t="n"/>
      <c r="SF87" s="212" t="n"/>
      <c r="SG87" s="212" t="n"/>
      <c r="SH87" s="212" t="n"/>
      <c r="SI87" s="212" t="n"/>
      <c r="SJ87" s="212" t="n"/>
      <c r="SK87" s="212" t="n"/>
      <c r="SL87" s="212" t="n"/>
      <c r="SM87" s="212" t="n"/>
      <c r="SN87" s="212" t="n"/>
      <c r="SO87" s="212" t="n"/>
      <c r="SP87" s="212" t="n"/>
      <c r="SQ87" s="212" t="n"/>
      <c r="SR87" s="212" t="n"/>
      <c r="SS87" s="212" t="n"/>
      <c r="ST87" s="212" t="n"/>
      <c r="SU87" s="212" t="n"/>
      <c r="SV87" s="212" t="n"/>
    </row>
    <row r="88">
      <c r="B88" s="209" t="n"/>
      <c r="C88" s="209" t="n"/>
      <c r="D88" s="209" t="n"/>
      <c r="E88" s="209" t="n"/>
      <c r="F88" s="209">
        <f>IF(TRIM(D88&amp;E88)="","",TRIM(D88)&amp;" "&amp;TRIM(E88))</f>
        <v/>
      </c>
      <c r="G88" s="209" t="n"/>
      <c r="H88" s="209" t="n"/>
      <c r="I88" s="209" t="n"/>
      <c r="J88" s="209" t="n"/>
      <c r="K88" s="209" t="n"/>
      <c r="L88" s="209" t="n"/>
      <c r="M88" s="209" t="n"/>
      <c r="N88" s="209" t="n"/>
      <c r="O88" s="209" t="n"/>
      <c r="P88" s="209" t="n"/>
      <c r="Q88" s="209" t="n"/>
      <c r="R88" s="209" t="n"/>
      <c r="S88" s="212" t="n"/>
      <c r="T88" s="212" t="n"/>
      <c r="U88" s="212" t="n"/>
      <c r="V88" s="212" t="n"/>
      <c r="W88" s="212" t="n"/>
      <c r="X88" s="212" t="n"/>
      <c r="Y88" s="212" t="n"/>
      <c r="Z88" s="212" t="n"/>
      <c r="AA88" s="212" t="n"/>
      <c r="AB88" s="212" t="n"/>
      <c r="AC88" s="212" t="n"/>
      <c r="AD88" s="212" t="n"/>
      <c r="AE88" s="212" t="n"/>
      <c r="AF88" s="212" t="n"/>
      <c r="AG88" s="212" t="n"/>
      <c r="AH88" s="212" t="n"/>
      <c r="AI88" s="212" t="n"/>
      <c r="AJ88" s="212" t="n"/>
      <c r="AK88" s="212" t="n"/>
      <c r="AL88" s="212" t="n"/>
      <c r="AM88" s="212" t="n"/>
      <c r="AN88" s="212" t="n"/>
      <c r="AO88" s="212" t="n"/>
      <c r="AP88" s="212" t="n"/>
      <c r="AQ88" s="212" t="n"/>
      <c r="AR88" s="212" t="n"/>
      <c r="AS88" s="212" t="n"/>
      <c r="AT88" s="212" t="n"/>
      <c r="AU88" s="212" t="n"/>
      <c r="AV88" s="212" t="n"/>
      <c r="AW88" s="212" t="n"/>
      <c r="AX88" s="212" t="n"/>
      <c r="AY88" s="212" t="n"/>
      <c r="AZ88" s="212" t="n"/>
      <c r="BA88" s="212" t="n"/>
      <c r="BB88" s="212" t="n"/>
      <c r="BC88" s="212" t="n"/>
      <c r="BD88" s="212" t="n"/>
      <c r="BE88" s="212" t="n"/>
      <c r="BF88" s="212" t="n"/>
      <c r="BG88" s="212" t="n"/>
      <c r="BH88" s="212" t="n"/>
      <c r="BI88" s="212" t="n"/>
      <c r="BJ88" s="212" t="n"/>
      <c r="BK88" s="212" t="n"/>
      <c r="BL88" s="212" t="n"/>
      <c r="BM88" s="212" t="n"/>
      <c r="BN88" s="212" t="n"/>
      <c r="BO88" s="212" t="n"/>
      <c r="BP88" s="212" t="n"/>
      <c r="BQ88" s="212" t="n"/>
      <c r="BR88" s="212" t="n"/>
      <c r="BS88" s="212" t="n"/>
      <c r="BT88" s="212" t="n"/>
      <c r="BU88" s="212" t="n"/>
      <c r="BV88" s="212" t="n"/>
      <c r="BW88" s="212" t="n"/>
      <c r="BX88" s="212" t="n"/>
      <c r="BY88" s="212" t="n"/>
      <c r="BZ88" s="212" t="n"/>
      <c r="CA88" s="212" t="n"/>
      <c r="CB88" s="212" t="n"/>
      <c r="CC88" s="212" t="n"/>
      <c r="CD88" s="212" t="n"/>
      <c r="CE88" s="212" t="n"/>
      <c r="CF88" s="212" t="n"/>
      <c r="CG88" s="212" t="n"/>
      <c r="CH88" s="212" t="n"/>
      <c r="CI88" s="212" t="n"/>
      <c r="CJ88" s="212" t="n"/>
      <c r="CK88" s="212" t="n"/>
      <c r="CL88" s="212" t="n"/>
      <c r="CM88" s="212" t="n"/>
      <c r="CN88" s="212" t="n"/>
      <c r="CO88" s="212" t="n"/>
      <c r="CP88" s="212" t="n"/>
      <c r="CQ88" s="212" t="n"/>
      <c r="CR88" s="212" t="n"/>
      <c r="CS88" s="212" t="n"/>
      <c r="CT88" s="212" t="n"/>
      <c r="CU88" s="212" t="n"/>
      <c r="CV88" s="212" t="n"/>
      <c r="CW88" s="212" t="n"/>
      <c r="CX88" s="212" t="n"/>
      <c r="CY88" s="212" t="n"/>
      <c r="CZ88" s="212" t="n"/>
      <c r="DA88" s="212" t="n"/>
      <c r="DB88" s="212" t="n"/>
      <c r="DC88" s="212" t="n"/>
      <c r="DD88" s="212" t="n"/>
      <c r="DE88" s="212" t="n"/>
      <c r="DF88" s="212" t="n"/>
      <c r="DG88" s="212" t="n"/>
      <c r="DH88" s="212" t="n"/>
      <c r="DI88" s="212" t="n"/>
      <c r="DJ88" s="212" t="n"/>
      <c r="DK88" s="212" t="n"/>
      <c r="DL88" s="212" t="n"/>
      <c r="DM88" s="212" t="n"/>
      <c r="DN88" s="212" t="n"/>
      <c r="DO88" s="212" t="n"/>
      <c r="DP88" s="212" t="n"/>
      <c r="DQ88" s="212" t="n"/>
      <c r="DR88" s="212" t="n"/>
      <c r="DS88" s="212" t="n"/>
      <c r="DT88" s="212" t="n"/>
      <c r="DU88" s="212" t="n"/>
      <c r="DV88" s="212" t="n"/>
      <c r="DW88" s="212" t="n"/>
      <c r="DX88" s="212" t="n"/>
      <c r="DY88" s="212" t="n"/>
      <c r="DZ88" s="212" t="n"/>
      <c r="EA88" s="212" t="n"/>
      <c r="EB88" s="212" t="n"/>
      <c r="EC88" s="212" t="n"/>
      <c r="ED88" s="212" t="n"/>
      <c r="EE88" s="212" t="n"/>
      <c r="EF88" s="212" t="n"/>
      <c r="EG88" s="212" t="n"/>
      <c r="EH88" s="212" t="n"/>
      <c r="EI88" s="212" t="n"/>
      <c r="EJ88" s="212" t="n"/>
      <c r="EK88" s="212" t="n"/>
      <c r="EL88" s="212" t="n"/>
      <c r="EM88" s="212" t="n"/>
      <c r="EN88" s="212" t="n"/>
      <c r="EO88" s="212" t="n"/>
      <c r="EP88" s="212" t="n"/>
      <c r="EQ88" s="212" t="n"/>
      <c r="ER88" s="212" t="n"/>
      <c r="ES88" s="212" t="n"/>
      <c r="ET88" s="212" t="n"/>
      <c r="EU88" s="212" t="n"/>
      <c r="EV88" s="212" t="n"/>
      <c r="EW88" s="212" t="n"/>
      <c r="EX88" s="212" t="n"/>
      <c r="EY88" s="212" t="n"/>
      <c r="EZ88" s="212" t="n"/>
      <c r="FA88" s="212" t="n"/>
      <c r="FB88" s="212" t="n"/>
      <c r="FC88" s="212" t="n"/>
      <c r="FD88" s="212" t="n"/>
      <c r="FE88" s="212" t="n"/>
      <c r="FF88" s="212" t="n"/>
      <c r="FG88" s="212" t="n"/>
      <c r="FH88" s="212" t="n"/>
      <c r="FI88" s="212" t="n"/>
      <c r="FJ88" s="212" t="n"/>
      <c r="FK88" s="212" t="n"/>
      <c r="FL88" s="212" t="n"/>
      <c r="FM88" s="212" t="n"/>
      <c r="FN88" s="212" t="n"/>
      <c r="FO88" s="212" t="n"/>
      <c r="FP88" s="212" t="n"/>
      <c r="FQ88" s="212" t="n"/>
      <c r="FR88" s="212" t="n"/>
      <c r="FS88" s="212" t="n"/>
      <c r="FT88" s="212" t="n"/>
      <c r="FU88" s="212" t="n"/>
      <c r="FV88" s="212" t="n"/>
      <c r="FW88" s="212" t="n"/>
      <c r="FX88" s="212" t="n"/>
      <c r="FY88" s="212" t="n"/>
      <c r="FZ88" s="212" t="n"/>
      <c r="GA88" s="212" t="n"/>
      <c r="GB88" s="212" t="n"/>
      <c r="GC88" s="212" t="n"/>
      <c r="GD88" s="212" t="n"/>
      <c r="GE88" s="212" t="n"/>
      <c r="GF88" s="212" t="n"/>
      <c r="GG88" s="212" t="n"/>
      <c r="GH88" s="212" t="n"/>
      <c r="GI88" s="212" t="n"/>
      <c r="GJ88" s="212" t="n"/>
      <c r="GK88" s="212" t="n"/>
      <c r="GL88" s="212" t="n"/>
      <c r="GM88" s="212" t="n"/>
      <c r="GN88" s="212" t="n"/>
      <c r="GO88" s="212" t="n"/>
      <c r="GP88" s="212" t="n"/>
      <c r="GQ88" s="212" t="n"/>
      <c r="GR88" s="212" t="n"/>
      <c r="GS88" s="212" t="n"/>
      <c r="GT88" s="212" t="n"/>
      <c r="GU88" s="212" t="n"/>
      <c r="GV88" s="212" t="n"/>
      <c r="GW88" s="212" t="n"/>
      <c r="GX88" s="212" t="n"/>
      <c r="GY88" s="212" t="n"/>
      <c r="GZ88" s="212" t="n"/>
      <c r="HA88" s="212" t="n"/>
      <c r="HB88" s="212" t="n"/>
      <c r="HC88" s="212" t="n"/>
      <c r="HD88" s="212" t="n"/>
      <c r="HE88" s="212" t="n"/>
      <c r="HF88" s="212" t="n"/>
      <c r="HG88" s="212" t="n"/>
      <c r="HH88" s="212" t="n"/>
      <c r="HI88" s="212" t="n"/>
      <c r="HJ88" s="212" t="n"/>
      <c r="HK88" s="212" t="n"/>
      <c r="HL88" s="212" t="n"/>
      <c r="HM88" s="212" t="n"/>
      <c r="HN88" s="212" t="n"/>
      <c r="HO88" s="212" t="n"/>
      <c r="HP88" s="212" t="n"/>
      <c r="HQ88" s="212" t="n"/>
      <c r="HR88" s="212" t="n"/>
      <c r="HS88" s="212" t="n"/>
      <c r="HT88" s="212" t="n"/>
      <c r="HU88" s="212" t="n"/>
      <c r="HV88" s="212" t="n"/>
      <c r="HW88" s="212" t="n"/>
      <c r="HX88" s="212" t="n"/>
      <c r="HY88" s="212" t="n"/>
      <c r="HZ88" s="212" t="n"/>
      <c r="IA88" s="212" t="n"/>
      <c r="IB88" s="212" t="n"/>
      <c r="IC88" s="212" t="n"/>
      <c r="ID88" s="212" t="n"/>
      <c r="IE88" s="212" t="n"/>
      <c r="IF88" s="212" t="n"/>
      <c r="IG88" s="212" t="n"/>
      <c r="IH88" s="212" t="n"/>
      <c r="II88" s="212" t="n"/>
      <c r="IJ88" s="212" t="n"/>
      <c r="IK88" s="212" t="n"/>
      <c r="IL88" s="212" t="n"/>
      <c r="IM88" s="212" t="n"/>
      <c r="IN88" s="212" t="n"/>
      <c r="IO88" s="212" t="n"/>
      <c r="IP88" s="212" t="n"/>
      <c r="IQ88" s="212" t="n"/>
      <c r="IR88" s="212" t="n"/>
      <c r="IS88" s="212" t="n"/>
      <c r="IT88" s="212" t="n"/>
      <c r="IU88" s="212" t="n"/>
      <c r="IV88" s="212" t="n"/>
      <c r="IW88" s="212" t="n"/>
      <c r="IX88" s="212" t="n"/>
      <c r="IY88" s="212" t="n"/>
      <c r="IZ88" s="212" t="n"/>
      <c r="JA88" s="212" t="n"/>
      <c r="JB88" s="212" t="n"/>
      <c r="JC88" s="212" t="n"/>
      <c r="JD88" s="212" t="n"/>
      <c r="JE88" s="212" t="n"/>
      <c r="JF88" s="212" t="n"/>
      <c r="JG88" s="212" t="n"/>
      <c r="JH88" s="212" t="n"/>
      <c r="JI88" s="212" t="n"/>
      <c r="JJ88" s="212" t="n"/>
      <c r="JK88" s="212" t="n"/>
      <c r="JL88" s="212" t="n"/>
      <c r="JM88" s="212" t="n"/>
      <c r="JN88" s="212" t="n"/>
      <c r="JO88" s="212" t="n"/>
      <c r="JP88" s="212" t="n"/>
      <c r="JQ88" s="212" t="n"/>
      <c r="JR88" s="212" t="n"/>
      <c r="JS88" s="212" t="n"/>
      <c r="JT88" s="212" t="n"/>
      <c r="JU88" s="212" t="n"/>
      <c r="JV88" s="212" t="n"/>
      <c r="JW88" s="212" t="n"/>
      <c r="JX88" s="212" t="n"/>
      <c r="JY88" s="212" t="n"/>
      <c r="JZ88" s="212" t="n"/>
      <c r="KA88" s="212" t="n"/>
      <c r="KB88" s="212" t="n"/>
      <c r="KC88" s="212" t="n"/>
      <c r="KD88" s="212" t="n"/>
      <c r="KE88" s="212" t="n"/>
      <c r="KF88" s="212" t="n"/>
      <c r="KG88" s="212" t="n"/>
      <c r="KH88" s="212" t="n"/>
      <c r="KI88" s="212" t="n"/>
      <c r="KJ88" s="212" t="n"/>
      <c r="KK88" s="212" t="n"/>
      <c r="KL88" s="212" t="n"/>
      <c r="KM88" s="212" t="n"/>
      <c r="KN88" s="212" t="n"/>
      <c r="KO88" s="212" t="n"/>
      <c r="KP88" s="212" t="n"/>
      <c r="KQ88" s="212" t="n"/>
      <c r="KR88" s="212" t="n"/>
      <c r="KS88" s="212" t="n"/>
      <c r="KT88" s="212" t="n"/>
      <c r="KU88" s="212" t="n"/>
      <c r="KV88" s="212" t="n"/>
      <c r="KW88" s="212" t="n"/>
      <c r="KX88" s="212" t="n"/>
      <c r="KY88" s="212" t="n"/>
      <c r="KZ88" s="212" t="n"/>
      <c r="LA88" s="212" t="n"/>
      <c r="LB88" s="212" t="n"/>
      <c r="LC88" s="212" t="n"/>
      <c r="LD88" s="212" t="n"/>
      <c r="LE88" s="212" t="n"/>
      <c r="LF88" s="212" t="n"/>
      <c r="LG88" s="212" t="n"/>
      <c r="LH88" s="212" t="n"/>
      <c r="LI88" s="212" t="n"/>
      <c r="LJ88" s="212" t="n"/>
      <c r="LK88" s="212" t="n"/>
      <c r="LL88" s="212" t="n"/>
      <c r="LM88" s="212" t="n"/>
      <c r="LN88" s="212" t="n"/>
      <c r="LO88" s="212" t="n"/>
      <c r="LP88" s="212" t="n"/>
      <c r="LQ88" s="212" t="n"/>
      <c r="LR88" s="212" t="n"/>
      <c r="LS88" s="212" t="n"/>
      <c r="LT88" s="212" t="n"/>
      <c r="LU88" s="212" t="n"/>
      <c r="LV88" s="212" t="n"/>
      <c r="LW88" s="212" t="n"/>
      <c r="LX88" s="212" t="n"/>
      <c r="LY88" s="212" t="n"/>
      <c r="LZ88" s="212" t="n"/>
      <c r="MA88" s="212" t="n"/>
      <c r="MB88" s="212" t="n"/>
      <c r="MC88" s="212" t="n"/>
      <c r="MD88" s="212" t="n"/>
      <c r="ME88" s="212" t="n"/>
      <c r="MF88" s="212" t="n"/>
      <c r="MG88" s="212" t="n"/>
      <c r="MH88" s="212" t="n"/>
      <c r="MI88" s="212" t="n"/>
      <c r="MJ88" s="212" t="n"/>
      <c r="MK88" s="212" t="n"/>
      <c r="ML88" s="212" t="n"/>
      <c r="MM88" s="212" t="n"/>
      <c r="MN88" s="212" t="n"/>
      <c r="MO88" s="212" t="n"/>
      <c r="MP88" s="212" t="n"/>
      <c r="MQ88" s="212" t="n"/>
      <c r="MR88" s="212" t="n"/>
      <c r="MS88" s="212" t="n"/>
      <c r="MT88" s="212" t="n"/>
      <c r="MU88" s="212" t="n"/>
      <c r="MV88" s="212" t="n"/>
      <c r="MW88" s="212" t="n"/>
      <c r="MX88" s="212" t="n"/>
      <c r="MY88" s="212" t="n"/>
      <c r="MZ88" s="212" t="n"/>
      <c r="NA88" s="212" t="n"/>
      <c r="NB88" s="212" t="n"/>
      <c r="NC88" s="212" t="n"/>
      <c r="ND88" s="212" t="n"/>
      <c r="NE88" s="212" t="n"/>
      <c r="NF88" s="212" t="n"/>
      <c r="NG88" s="212" t="n"/>
      <c r="NH88" s="212" t="n"/>
      <c r="NI88" s="212" t="n"/>
      <c r="NJ88" s="212" t="n"/>
      <c r="NK88" s="212" t="n"/>
      <c r="NL88" s="212" t="n"/>
      <c r="NM88" s="212" t="n"/>
      <c r="NN88" s="212" t="n"/>
      <c r="NO88" s="212" t="n"/>
      <c r="NP88" s="212" t="n"/>
      <c r="NQ88" s="212" t="n"/>
      <c r="NR88" s="212" t="n"/>
      <c r="NS88" s="212" t="n"/>
      <c r="NT88" s="212" t="n"/>
      <c r="NU88" s="212" t="n"/>
      <c r="NV88" s="212" t="n"/>
      <c r="NW88" s="212" t="n"/>
      <c r="NX88" s="212" t="n"/>
      <c r="NY88" s="212" t="n"/>
      <c r="NZ88" s="212" t="n"/>
      <c r="OA88" s="212" t="n"/>
      <c r="OB88" s="212" t="n"/>
      <c r="OC88" s="212" t="n"/>
      <c r="OD88" s="212" t="n"/>
      <c r="OE88" s="212" t="n"/>
      <c r="OF88" s="212" t="n"/>
      <c r="OG88" s="212" t="n"/>
      <c r="OH88" s="212" t="n"/>
      <c r="OI88" s="212" t="n"/>
      <c r="OJ88" s="212" t="n"/>
      <c r="OK88" s="212" t="n"/>
      <c r="OL88" s="212" t="n"/>
      <c r="OM88" s="212" t="n"/>
      <c r="ON88" s="212" t="n"/>
      <c r="OO88" s="212" t="n"/>
      <c r="OP88" s="212" t="n"/>
      <c r="OQ88" s="212" t="n"/>
      <c r="OR88" s="212" t="n"/>
      <c r="OS88" s="212" t="n"/>
      <c r="OT88" s="212" t="n"/>
      <c r="OU88" s="212" t="n"/>
      <c r="OV88" s="212" t="n"/>
      <c r="OW88" s="212" t="n"/>
      <c r="OX88" s="212" t="n"/>
      <c r="OY88" s="212" t="n"/>
      <c r="OZ88" s="212" t="n"/>
      <c r="PA88" s="212" t="n"/>
      <c r="PB88" s="212" t="n"/>
      <c r="PC88" s="212" t="n"/>
      <c r="PD88" s="212" t="n"/>
      <c r="PE88" s="212" t="n"/>
      <c r="PF88" s="212" t="n"/>
      <c r="PG88" s="212" t="n"/>
      <c r="PH88" s="212" t="n"/>
      <c r="PI88" s="212" t="n"/>
      <c r="PJ88" s="212" t="n"/>
      <c r="PK88" s="212" t="n"/>
      <c r="PL88" s="212" t="n"/>
      <c r="PM88" s="212" t="n"/>
      <c r="PN88" s="212" t="n"/>
      <c r="PO88" s="212" t="n"/>
      <c r="PP88" s="212" t="n"/>
      <c r="PQ88" s="212" t="n"/>
      <c r="PR88" s="212" t="n"/>
      <c r="PS88" s="212" t="n"/>
      <c r="PT88" s="212" t="n"/>
      <c r="PU88" s="212" t="n"/>
      <c r="PV88" s="212" t="n"/>
      <c r="PW88" s="212" t="n"/>
      <c r="PX88" s="212" t="n"/>
      <c r="PY88" s="212" t="n"/>
      <c r="PZ88" s="212" t="n"/>
      <c r="QA88" s="212" t="n"/>
      <c r="QB88" s="212" t="n"/>
      <c r="QC88" s="212" t="n"/>
      <c r="QD88" s="212" t="n"/>
      <c r="QE88" s="212" t="n"/>
      <c r="QF88" s="212" t="n"/>
      <c r="QG88" s="212" t="n"/>
      <c r="QH88" s="212" t="n"/>
      <c r="QI88" s="212" t="n"/>
      <c r="QJ88" s="212" t="n"/>
      <c r="QK88" s="212" t="n"/>
      <c r="QL88" s="212" t="n"/>
      <c r="QM88" s="212" t="n"/>
      <c r="QN88" s="212" t="n"/>
      <c r="QO88" s="212" t="n"/>
      <c r="QP88" s="212" t="n"/>
      <c r="QQ88" s="212" t="n"/>
      <c r="QR88" s="212" t="n"/>
      <c r="QS88" s="212" t="n"/>
      <c r="QT88" s="212" t="n"/>
      <c r="QU88" s="212" t="n"/>
      <c r="QV88" s="212" t="n"/>
      <c r="QW88" s="212" t="n"/>
      <c r="QX88" s="212" t="n"/>
      <c r="QY88" s="212" t="n"/>
      <c r="QZ88" s="212" t="n"/>
      <c r="RA88" s="212" t="n"/>
      <c r="RB88" s="212" t="n"/>
      <c r="RC88" s="212" t="n"/>
      <c r="RD88" s="212" t="n"/>
      <c r="RE88" s="212" t="n"/>
      <c r="RF88" s="212" t="n"/>
      <c r="RG88" s="212" t="n"/>
      <c r="RH88" s="212" t="n"/>
      <c r="RI88" s="212" t="n"/>
      <c r="RJ88" s="212" t="n"/>
      <c r="RK88" s="212" t="n"/>
      <c r="RL88" s="212" t="n"/>
      <c r="RM88" s="212" t="n"/>
      <c r="RN88" s="212" t="n"/>
      <c r="RO88" s="212" t="n"/>
      <c r="RP88" s="212" t="n"/>
      <c r="RQ88" s="212" t="n"/>
      <c r="RR88" s="212" t="n"/>
      <c r="RS88" s="212" t="n"/>
      <c r="RT88" s="212" t="n"/>
      <c r="RU88" s="212" t="n"/>
      <c r="RV88" s="212" t="n"/>
      <c r="RW88" s="212" t="n"/>
      <c r="RX88" s="212" t="n"/>
      <c r="RY88" s="212" t="n"/>
      <c r="RZ88" s="212" t="n"/>
      <c r="SA88" s="212" t="n"/>
      <c r="SB88" s="212" t="n"/>
      <c r="SC88" s="212" t="n"/>
      <c r="SD88" s="212" t="n"/>
      <c r="SE88" s="212" t="n"/>
      <c r="SF88" s="212" t="n"/>
      <c r="SG88" s="212" t="n"/>
      <c r="SH88" s="212" t="n"/>
      <c r="SI88" s="212" t="n"/>
      <c r="SJ88" s="212" t="n"/>
      <c r="SK88" s="212" t="n"/>
      <c r="SL88" s="212" t="n"/>
      <c r="SM88" s="212" t="n"/>
      <c r="SN88" s="212" t="n"/>
      <c r="SO88" s="212" t="n"/>
      <c r="SP88" s="212" t="n"/>
      <c r="SQ88" s="212" t="n"/>
      <c r="SR88" s="212" t="n"/>
      <c r="SS88" s="212" t="n"/>
      <c r="ST88" s="212" t="n"/>
      <c r="SU88" s="212" t="n"/>
      <c r="SV88" s="212" t="n"/>
    </row>
    <row r="89">
      <c r="B89" s="209" t="n"/>
      <c r="C89" s="209" t="n"/>
      <c r="D89" s="209" t="n"/>
      <c r="E89" s="209" t="n"/>
      <c r="F89" s="209">
        <f>IF(TRIM(D89&amp;E89)="","",TRIM(D89)&amp;" "&amp;TRIM(E89))</f>
        <v/>
      </c>
      <c r="G89" s="209" t="n"/>
      <c r="H89" s="209" t="n"/>
      <c r="I89" s="209" t="n"/>
      <c r="J89" s="209" t="n"/>
      <c r="K89" s="209" t="n"/>
      <c r="L89" s="209" t="n"/>
      <c r="M89" s="209" t="n"/>
      <c r="N89" s="209" t="n"/>
      <c r="O89" s="209" t="n"/>
      <c r="P89" s="209" t="n"/>
      <c r="Q89" s="209" t="n"/>
      <c r="R89" s="209" t="n"/>
      <c r="S89" s="212" t="n"/>
      <c r="T89" s="212" t="n"/>
      <c r="U89" s="212" t="n"/>
      <c r="V89" s="212" t="n"/>
      <c r="W89" s="212" t="n"/>
      <c r="X89" s="212" t="n"/>
      <c r="Y89" s="212" t="n"/>
      <c r="Z89" s="212" t="n"/>
      <c r="AA89" s="212" t="n"/>
      <c r="AB89" s="212" t="n"/>
      <c r="AC89" s="212" t="n"/>
      <c r="AD89" s="212" t="n"/>
      <c r="AE89" s="212" t="n"/>
      <c r="AF89" s="212" t="n"/>
      <c r="AG89" s="212" t="n"/>
      <c r="AH89" s="212" t="n"/>
      <c r="AI89" s="212" t="n"/>
      <c r="AJ89" s="212" t="n"/>
      <c r="AK89" s="212" t="n"/>
      <c r="AL89" s="212" t="n"/>
      <c r="AM89" s="212" t="n"/>
      <c r="AN89" s="212" t="n"/>
      <c r="AO89" s="212" t="n"/>
      <c r="AP89" s="212" t="n"/>
      <c r="AQ89" s="212" t="n"/>
      <c r="AR89" s="212" t="n"/>
      <c r="AS89" s="212" t="n"/>
      <c r="AT89" s="212" t="n"/>
      <c r="AU89" s="212" t="n"/>
      <c r="AV89" s="212" t="n"/>
      <c r="AW89" s="212" t="n"/>
      <c r="AX89" s="212" t="n"/>
      <c r="AY89" s="212" t="n"/>
      <c r="AZ89" s="212" t="n"/>
      <c r="BA89" s="212" t="n"/>
      <c r="BB89" s="212" t="n"/>
      <c r="BC89" s="212" t="n"/>
      <c r="BD89" s="212" t="n"/>
      <c r="BE89" s="212" t="n"/>
      <c r="BF89" s="212" t="n"/>
      <c r="BG89" s="212" t="n"/>
      <c r="BH89" s="212" t="n"/>
      <c r="BI89" s="212" t="n"/>
      <c r="BJ89" s="212" t="n"/>
      <c r="BK89" s="212" t="n"/>
      <c r="BL89" s="212" t="n"/>
      <c r="BM89" s="212" t="n"/>
      <c r="BN89" s="212" t="n"/>
      <c r="BO89" s="212" t="n"/>
      <c r="BP89" s="212" t="n"/>
      <c r="BQ89" s="212" t="n"/>
      <c r="BR89" s="212" t="n"/>
      <c r="BS89" s="212" t="n"/>
      <c r="BT89" s="212" t="n"/>
      <c r="BU89" s="212" t="n"/>
      <c r="BV89" s="212" t="n"/>
      <c r="BW89" s="212" t="n"/>
      <c r="BX89" s="212" t="n"/>
      <c r="BY89" s="212" t="n"/>
      <c r="BZ89" s="212" t="n"/>
      <c r="CA89" s="212" t="n"/>
      <c r="CB89" s="212" t="n"/>
      <c r="CC89" s="212" t="n"/>
      <c r="CD89" s="212" t="n"/>
      <c r="CE89" s="212" t="n"/>
      <c r="CF89" s="212" t="n"/>
      <c r="CG89" s="212" t="n"/>
      <c r="CH89" s="212" t="n"/>
      <c r="CI89" s="212" t="n"/>
      <c r="CJ89" s="212" t="n"/>
      <c r="CK89" s="212" t="n"/>
      <c r="CL89" s="212" t="n"/>
      <c r="CM89" s="212" t="n"/>
      <c r="CN89" s="212" t="n"/>
      <c r="CO89" s="212" t="n"/>
      <c r="CP89" s="212" t="n"/>
      <c r="CQ89" s="212" t="n"/>
      <c r="CR89" s="212" t="n"/>
      <c r="CS89" s="212" t="n"/>
      <c r="CT89" s="212" t="n"/>
      <c r="CU89" s="212" t="n"/>
      <c r="CV89" s="212" t="n"/>
      <c r="CW89" s="212" t="n"/>
      <c r="CX89" s="212" t="n"/>
      <c r="CY89" s="212" t="n"/>
      <c r="CZ89" s="212" t="n"/>
      <c r="DA89" s="212" t="n"/>
      <c r="DB89" s="212" t="n"/>
      <c r="DC89" s="212" t="n"/>
      <c r="DD89" s="212" t="n"/>
      <c r="DE89" s="212" t="n"/>
      <c r="DF89" s="212" t="n"/>
      <c r="DG89" s="212" t="n"/>
      <c r="DH89" s="212" t="n"/>
      <c r="DI89" s="212" t="n"/>
      <c r="DJ89" s="212" t="n"/>
      <c r="DK89" s="212" t="n"/>
      <c r="DL89" s="212" t="n"/>
      <c r="DM89" s="212" t="n"/>
      <c r="DN89" s="212" t="n"/>
      <c r="DO89" s="212" t="n"/>
      <c r="DP89" s="212" t="n"/>
      <c r="DQ89" s="212" t="n"/>
      <c r="DR89" s="212" t="n"/>
      <c r="DS89" s="212" t="n"/>
      <c r="DT89" s="212" t="n"/>
      <c r="DU89" s="212" t="n"/>
      <c r="DV89" s="212" t="n"/>
      <c r="DW89" s="212" t="n"/>
      <c r="DX89" s="212" t="n"/>
      <c r="DY89" s="212" t="n"/>
      <c r="DZ89" s="212" t="n"/>
      <c r="EA89" s="212" t="n"/>
      <c r="EB89" s="212" t="n"/>
      <c r="EC89" s="212" t="n"/>
      <c r="ED89" s="212" t="n"/>
      <c r="EE89" s="212" t="n"/>
      <c r="EF89" s="212" t="n"/>
      <c r="EG89" s="212" t="n"/>
      <c r="EH89" s="212" t="n"/>
      <c r="EI89" s="212" t="n"/>
      <c r="EJ89" s="212" t="n"/>
      <c r="EK89" s="212" t="n"/>
      <c r="EL89" s="212" t="n"/>
      <c r="EM89" s="212" t="n"/>
      <c r="EN89" s="212" t="n"/>
      <c r="EO89" s="212" t="n"/>
      <c r="EP89" s="212" t="n"/>
      <c r="EQ89" s="212" t="n"/>
      <c r="ER89" s="212" t="n"/>
      <c r="ES89" s="212" t="n"/>
      <c r="ET89" s="212" t="n"/>
      <c r="EU89" s="212" t="n"/>
      <c r="EV89" s="212" t="n"/>
      <c r="EW89" s="212" t="n"/>
      <c r="EX89" s="212" t="n"/>
      <c r="EY89" s="212" t="n"/>
      <c r="EZ89" s="212" t="n"/>
      <c r="FA89" s="212" t="n"/>
      <c r="FB89" s="212" t="n"/>
      <c r="FC89" s="212" t="n"/>
      <c r="FD89" s="212" t="n"/>
      <c r="FE89" s="212" t="n"/>
      <c r="FF89" s="212" t="n"/>
      <c r="FG89" s="212" t="n"/>
      <c r="FH89" s="212" t="n"/>
      <c r="FI89" s="212" t="n"/>
      <c r="FJ89" s="212" t="n"/>
      <c r="FK89" s="212" t="n"/>
      <c r="FL89" s="212" t="n"/>
      <c r="FM89" s="212" t="n"/>
      <c r="FN89" s="212" t="n"/>
      <c r="FO89" s="212" t="n"/>
      <c r="FP89" s="212" t="n"/>
      <c r="FQ89" s="212" t="n"/>
      <c r="FR89" s="212" t="n"/>
      <c r="FS89" s="212" t="n"/>
      <c r="FT89" s="212" t="n"/>
      <c r="FU89" s="212" t="n"/>
      <c r="FV89" s="212" t="n"/>
      <c r="FW89" s="212" t="n"/>
      <c r="FX89" s="212" t="n"/>
      <c r="FY89" s="212" t="n"/>
      <c r="FZ89" s="212" t="n"/>
      <c r="GA89" s="212" t="n"/>
      <c r="GB89" s="212" t="n"/>
      <c r="GC89" s="212" t="n"/>
      <c r="GD89" s="212" t="n"/>
      <c r="GE89" s="212" t="n"/>
      <c r="GF89" s="212" t="n"/>
      <c r="GG89" s="212" t="n"/>
      <c r="GH89" s="212" t="n"/>
      <c r="GI89" s="212" t="n"/>
      <c r="GJ89" s="212" t="n"/>
      <c r="GK89" s="212" t="n"/>
      <c r="GL89" s="212" t="n"/>
      <c r="GM89" s="212" t="n"/>
      <c r="GN89" s="212" t="n"/>
      <c r="GO89" s="212" t="n"/>
      <c r="GP89" s="212" t="n"/>
      <c r="GQ89" s="212" t="n"/>
      <c r="GR89" s="212" t="n"/>
      <c r="GS89" s="212" t="n"/>
      <c r="GT89" s="212" t="n"/>
      <c r="GU89" s="212" t="n"/>
      <c r="GV89" s="212" t="n"/>
      <c r="GW89" s="212" t="n"/>
      <c r="GX89" s="212" t="n"/>
      <c r="GY89" s="212" t="n"/>
      <c r="GZ89" s="212" t="n"/>
      <c r="HA89" s="212" t="n"/>
      <c r="HB89" s="212" t="n"/>
      <c r="HC89" s="212" t="n"/>
      <c r="HD89" s="212" t="n"/>
      <c r="HE89" s="212" t="n"/>
      <c r="HF89" s="212" t="n"/>
      <c r="HG89" s="212" t="n"/>
      <c r="HH89" s="212" t="n"/>
      <c r="HI89" s="212" t="n"/>
      <c r="HJ89" s="212" t="n"/>
      <c r="HK89" s="212" t="n"/>
      <c r="HL89" s="212" t="n"/>
      <c r="HM89" s="212" t="n"/>
      <c r="HN89" s="212" t="n"/>
      <c r="HO89" s="212" t="n"/>
      <c r="HP89" s="212" t="n"/>
      <c r="HQ89" s="212" t="n"/>
      <c r="HR89" s="212" t="n"/>
      <c r="HS89" s="212" t="n"/>
      <c r="HT89" s="212" t="n"/>
      <c r="HU89" s="212" t="n"/>
      <c r="HV89" s="212" t="n"/>
      <c r="HW89" s="212" t="n"/>
      <c r="HX89" s="212" t="n"/>
      <c r="HY89" s="212" t="n"/>
      <c r="HZ89" s="212" t="n"/>
      <c r="IA89" s="212" t="n"/>
      <c r="IB89" s="212" t="n"/>
      <c r="IC89" s="212" t="n"/>
      <c r="ID89" s="212" t="n"/>
      <c r="IE89" s="212" t="n"/>
      <c r="IF89" s="212" t="n"/>
      <c r="IG89" s="212" t="n"/>
      <c r="IH89" s="212" t="n"/>
      <c r="II89" s="212" t="n"/>
      <c r="IJ89" s="212" t="n"/>
      <c r="IK89" s="212" t="n"/>
      <c r="IL89" s="212" t="n"/>
      <c r="IM89" s="212" t="n"/>
      <c r="IN89" s="212" t="n"/>
      <c r="IO89" s="212" t="n"/>
      <c r="IP89" s="212" t="n"/>
      <c r="IQ89" s="212" t="n"/>
      <c r="IR89" s="212" t="n"/>
      <c r="IS89" s="212" t="n"/>
      <c r="IT89" s="212" t="n"/>
      <c r="IU89" s="212" t="n"/>
      <c r="IV89" s="212" t="n"/>
      <c r="IW89" s="212" t="n"/>
      <c r="IX89" s="212" t="n"/>
      <c r="IY89" s="212" t="n"/>
      <c r="IZ89" s="212" t="n"/>
      <c r="JA89" s="212" t="n"/>
      <c r="JB89" s="212" t="n"/>
      <c r="JC89" s="212" t="n"/>
      <c r="JD89" s="212" t="n"/>
      <c r="JE89" s="212" t="n"/>
      <c r="JF89" s="212" t="n"/>
      <c r="JG89" s="212" t="n"/>
      <c r="JH89" s="212" t="n"/>
      <c r="JI89" s="212" t="n"/>
      <c r="JJ89" s="212" t="n"/>
      <c r="JK89" s="212" t="n"/>
      <c r="JL89" s="212" t="n"/>
      <c r="JM89" s="212" t="n"/>
      <c r="JN89" s="212" t="n"/>
      <c r="JO89" s="212" t="n"/>
      <c r="JP89" s="212" t="n"/>
      <c r="JQ89" s="212" t="n"/>
      <c r="JR89" s="212" t="n"/>
      <c r="JS89" s="212" t="n"/>
      <c r="JT89" s="212" t="n"/>
      <c r="JU89" s="212" t="n"/>
      <c r="JV89" s="212" t="n"/>
      <c r="JW89" s="212" t="n"/>
      <c r="JX89" s="212" t="n"/>
      <c r="JY89" s="212" t="n"/>
      <c r="JZ89" s="212" t="n"/>
      <c r="KA89" s="212" t="n"/>
      <c r="KB89" s="212" t="n"/>
      <c r="KC89" s="212" t="n"/>
      <c r="KD89" s="212" t="n"/>
      <c r="KE89" s="212" t="n"/>
      <c r="KF89" s="212" t="n"/>
      <c r="KG89" s="212" t="n"/>
      <c r="KH89" s="212" t="n"/>
      <c r="KI89" s="212" t="n"/>
      <c r="KJ89" s="212" t="n"/>
      <c r="KK89" s="212" t="n"/>
      <c r="KL89" s="212" t="n"/>
      <c r="KM89" s="212" t="n"/>
      <c r="KN89" s="212" t="n"/>
      <c r="KO89" s="212" t="n"/>
      <c r="KP89" s="212" t="n"/>
      <c r="KQ89" s="212" t="n"/>
      <c r="KR89" s="212" t="n"/>
      <c r="KS89" s="212" t="n"/>
      <c r="KT89" s="212" t="n"/>
      <c r="KU89" s="212" t="n"/>
      <c r="KV89" s="212" t="n"/>
      <c r="KW89" s="212" t="n"/>
      <c r="KX89" s="212" t="n"/>
      <c r="KY89" s="212" t="n"/>
      <c r="KZ89" s="212" t="n"/>
      <c r="LA89" s="212" t="n"/>
      <c r="LB89" s="212" t="n"/>
      <c r="LC89" s="212" t="n"/>
      <c r="LD89" s="212" t="n"/>
      <c r="LE89" s="212" t="n"/>
      <c r="LF89" s="212" t="n"/>
      <c r="LG89" s="212" t="n"/>
      <c r="LH89" s="212" t="n"/>
      <c r="LI89" s="212" t="n"/>
      <c r="LJ89" s="212" t="n"/>
      <c r="LK89" s="212" t="n"/>
      <c r="LL89" s="212" t="n"/>
      <c r="LM89" s="212" t="n"/>
      <c r="LN89" s="212" t="n"/>
      <c r="LO89" s="212" t="n"/>
      <c r="LP89" s="212" t="n"/>
      <c r="LQ89" s="212" t="n"/>
      <c r="LR89" s="212" t="n"/>
      <c r="LS89" s="212" t="n"/>
      <c r="LT89" s="212" t="n"/>
      <c r="LU89" s="212" t="n"/>
      <c r="LV89" s="212" t="n"/>
      <c r="LW89" s="212" t="n"/>
      <c r="LX89" s="212" t="n"/>
      <c r="LY89" s="212" t="n"/>
      <c r="LZ89" s="212" t="n"/>
      <c r="MA89" s="212" t="n"/>
      <c r="MB89" s="212" t="n"/>
      <c r="MC89" s="212" t="n"/>
      <c r="MD89" s="212" t="n"/>
      <c r="ME89" s="212" t="n"/>
      <c r="MF89" s="212" t="n"/>
      <c r="MG89" s="212" t="n"/>
      <c r="MH89" s="212" t="n"/>
      <c r="MI89" s="212" t="n"/>
      <c r="MJ89" s="212" t="n"/>
      <c r="MK89" s="212" t="n"/>
      <c r="ML89" s="212" t="n"/>
      <c r="MM89" s="212" t="n"/>
      <c r="MN89" s="212" t="n"/>
      <c r="MO89" s="212" t="n"/>
      <c r="MP89" s="212" t="n"/>
      <c r="MQ89" s="212" t="n"/>
      <c r="MR89" s="212" t="n"/>
      <c r="MS89" s="212" t="n"/>
      <c r="MT89" s="212" t="n"/>
      <c r="MU89" s="212" t="n"/>
      <c r="MV89" s="212" t="n"/>
      <c r="MW89" s="212" t="n"/>
      <c r="MX89" s="212" t="n"/>
      <c r="MY89" s="212" t="n"/>
      <c r="MZ89" s="212" t="n"/>
      <c r="NA89" s="212" t="n"/>
      <c r="NB89" s="212" t="n"/>
      <c r="NC89" s="212" t="n"/>
      <c r="ND89" s="212" t="n"/>
      <c r="NE89" s="212" t="n"/>
      <c r="NF89" s="212" t="n"/>
      <c r="NG89" s="212" t="n"/>
      <c r="NH89" s="212" t="n"/>
      <c r="NI89" s="212" t="n"/>
      <c r="NJ89" s="212" t="n"/>
      <c r="NK89" s="212" t="n"/>
      <c r="NL89" s="212" t="n"/>
      <c r="NM89" s="212" t="n"/>
      <c r="NN89" s="212" t="n"/>
      <c r="NO89" s="212" t="n"/>
      <c r="NP89" s="212" t="n"/>
      <c r="NQ89" s="212" t="n"/>
      <c r="NR89" s="212" t="n"/>
      <c r="NS89" s="212" t="n"/>
      <c r="NT89" s="212" t="n"/>
      <c r="NU89" s="212" t="n"/>
      <c r="NV89" s="212" t="n"/>
      <c r="NW89" s="212" t="n"/>
      <c r="NX89" s="212" t="n"/>
      <c r="NY89" s="212" t="n"/>
      <c r="NZ89" s="212" t="n"/>
      <c r="OA89" s="212" t="n"/>
      <c r="OB89" s="212" t="n"/>
      <c r="OC89" s="212" t="n"/>
      <c r="OD89" s="212" t="n"/>
      <c r="OE89" s="212" t="n"/>
      <c r="OF89" s="212" t="n"/>
      <c r="OG89" s="212" t="n"/>
      <c r="OH89" s="212" t="n"/>
      <c r="OI89" s="212" t="n"/>
      <c r="OJ89" s="212" t="n"/>
      <c r="OK89" s="212" t="n"/>
      <c r="OL89" s="212" t="n"/>
      <c r="OM89" s="212" t="n"/>
      <c r="ON89" s="212" t="n"/>
      <c r="OO89" s="212" t="n"/>
      <c r="OP89" s="212" t="n"/>
      <c r="OQ89" s="212" t="n"/>
      <c r="OR89" s="212" t="n"/>
      <c r="OS89" s="212" t="n"/>
      <c r="OT89" s="212" t="n"/>
      <c r="OU89" s="212" t="n"/>
      <c r="OV89" s="212" t="n"/>
      <c r="OW89" s="212" t="n"/>
      <c r="OX89" s="212" t="n"/>
      <c r="OY89" s="212" t="n"/>
      <c r="OZ89" s="212" t="n"/>
      <c r="PA89" s="212" t="n"/>
      <c r="PB89" s="212" t="n"/>
      <c r="PC89" s="212" t="n"/>
      <c r="PD89" s="212" t="n"/>
      <c r="PE89" s="212" t="n"/>
      <c r="PF89" s="212" t="n"/>
      <c r="PG89" s="212" t="n"/>
      <c r="PH89" s="212" t="n"/>
      <c r="PI89" s="212" t="n"/>
      <c r="PJ89" s="212" t="n"/>
      <c r="PK89" s="212" t="n"/>
      <c r="PL89" s="212" t="n"/>
      <c r="PM89" s="212" t="n"/>
      <c r="PN89" s="212" t="n"/>
      <c r="PO89" s="212" t="n"/>
      <c r="PP89" s="212" t="n"/>
      <c r="PQ89" s="212" t="n"/>
      <c r="PR89" s="212" t="n"/>
      <c r="PS89" s="212" t="n"/>
      <c r="PT89" s="212" t="n"/>
      <c r="PU89" s="212" t="n"/>
      <c r="PV89" s="212" t="n"/>
      <c r="PW89" s="212" t="n"/>
      <c r="PX89" s="212" t="n"/>
      <c r="PY89" s="212" t="n"/>
      <c r="PZ89" s="212" t="n"/>
      <c r="QA89" s="212" t="n"/>
      <c r="QB89" s="212" t="n"/>
      <c r="QC89" s="212" t="n"/>
      <c r="QD89" s="212" t="n"/>
      <c r="QE89" s="212" t="n"/>
      <c r="QF89" s="212" t="n"/>
      <c r="QG89" s="212" t="n"/>
      <c r="QH89" s="212" t="n"/>
      <c r="QI89" s="212" t="n"/>
      <c r="QJ89" s="212" t="n"/>
      <c r="QK89" s="212" t="n"/>
      <c r="QL89" s="212" t="n"/>
      <c r="QM89" s="212" t="n"/>
      <c r="QN89" s="212" t="n"/>
      <c r="QO89" s="212" t="n"/>
      <c r="QP89" s="212" t="n"/>
      <c r="QQ89" s="212" t="n"/>
      <c r="QR89" s="212" t="n"/>
      <c r="QS89" s="212" t="n"/>
      <c r="QT89" s="212" t="n"/>
      <c r="QU89" s="212" t="n"/>
      <c r="QV89" s="212" t="n"/>
      <c r="QW89" s="212" t="n"/>
      <c r="QX89" s="212" t="n"/>
      <c r="QY89" s="212" t="n"/>
      <c r="QZ89" s="212" t="n"/>
      <c r="RA89" s="212" t="n"/>
      <c r="RB89" s="212" t="n"/>
      <c r="RC89" s="212" t="n"/>
      <c r="RD89" s="212" t="n"/>
      <c r="RE89" s="212" t="n"/>
      <c r="RF89" s="212" t="n"/>
      <c r="RG89" s="212" t="n"/>
      <c r="RH89" s="212" t="n"/>
      <c r="RI89" s="212" t="n"/>
      <c r="RJ89" s="212" t="n"/>
      <c r="RK89" s="212" t="n"/>
      <c r="RL89" s="212" t="n"/>
      <c r="RM89" s="212" t="n"/>
      <c r="RN89" s="212" t="n"/>
      <c r="RO89" s="212" t="n"/>
      <c r="RP89" s="212" t="n"/>
      <c r="RQ89" s="212" t="n"/>
      <c r="RR89" s="212" t="n"/>
      <c r="RS89" s="212" t="n"/>
      <c r="RT89" s="212" t="n"/>
      <c r="RU89" s="212" t="n"/>
      <c r="RV89" s="212" t="n"/>
      <c r="RW89" s="212" t="n"/>
      <c r="RX89" s="212" t="n"/>
      <c r="RY89" s="212" t="n"/>
      <c r="RZ89" s="212" t="n"/>
      <c r="SA89" s="212" t="n"/>
      <c r="SB89" s="212" t="n"/>
      <c r="SC89" s="212" t="n"/>
      <c r="SD89" s="212" t="n"/>
      <c r="SE89" s="212" t="n"/>
      <c r="SF89" s="212" t="n"/>
      <c r="SG89" s="212" t="n"/>
      <c r="SH89" s="212" t="n"/>
      <c r="SI89" s="212" t="n"/>
      <c r="SJ89" s="212" t="n"/>
      <c r="SK89" s="212" t="n"/>
      <c r="SL89" s="212" t="n"/>
      <c r="SM89" s="212" t="n"/>
      <c r="SN89" s="212" t="n"/>
      <c r="SO89" s="212" t="n"/>
      <c r="SP89" s="212" t="n"/>
      <c r="SQ89" s="212" t="n"/>
      <c r="SR89" s="212" t="n"/>
      <c r="SS89" s="212" t="n"/>
      <c r="ST89" s="212" t="n"/>
      <c r="SU89" s="212" t="n"/>
      <c r="SV89" s="212" t="n"/>
    </row>
    <row r="90">
      <c r="B90" s="209" t="n"/>
      <c r="C90" s="209" t="n"/>
      <c r="D90" s="209" t="n"/>
      <c r="E90" s="209" t="n"/>
      <c r="F90" s="209">
        <f>IF(TRIM(D90&amp;E90)="","",TRIM(D90)&amp;" "&amp;TRIM(E90))</f>
        <v/>
      </c>
      <c r="G90" s="209" t="n"/>
      <c r="H90" s="209" t="n"/>
      <c r="I90" s="209" t="n"/>
      <c r="J90" s="209" t="n"/>
      <c r="K90" s="209" t="n"/>
      <c r="L90" s="209" t="n"/>
      <c r="M90" s="209" t="n"/>
      <c r="N90" s="209" t="n"/>
      <c r="O90" s="209" t="n"/>
      <c r="P90" s="209" t="n"/>
      <c r="Q90" s="209" t="n"/>
      <c r="R90" s="209" t="n"/>
      <c r="S90" s="212" t="n"/>
      <c r="T90" s="212" t="n"/>
      <c r="U90" s="212" t="n"/>
      <c r="V90" s="212" t="n"/>
      <c r="W90" s="212" t="n"/>
      <c r="X90" s="212" t="n"/>
      <c r="Y90" s="212" t="n"/>
      <c r="Z90" s="212" t="n"/>
      <c r="AA90" s="212" t="n"/>
      <c r="AB90" s="212" t="n"/>
      <c r="AC90" s="212" t="n"/>
      <c r="AD90" s="212" t="n"/>
      <c r="AE90" s="212" t="n"/>
      <c r="AF90" s="212" t="n"/>
      <c r="AG90" s="212" t="n"/>
      <c r="AH90" s="212" t="n"/>
      <c r="AI90" s="212" t="n"/>
      <c r="AJ90" s="212" t="n"/>
      <c r="AK90" s="212" t="n"/>
      <c r="AL90" s="212" t="n"/>
      <c r="AM90" s="212" t="n"/>
      <c r="AN90" s="212" t="n"/>
      <c r="AO90" s="212" t="n"/>
      <c r="AP90" s="212" t="n"/>
      <c r="AQ90" s="212" t="n"/>
      <c r="AR90" s="212" t="n"/>
      <c r="AS90" s="212" t="n"/>
      <c r="AT90" s="212" t="n"/>
      <c r="AU90" s="212" t="n"/>
      <c r="AV90" s="212" t="n"/>
      <c r="AW90" s="212" t="n"/>
      <c r="AX90" s="212" t="n"/>
      <c r="AY90" s="212" t="n"/>
      <c r="AZ90" s="212" t="n"/>
      <c r="BA90" s="212" t="n"/>
      <c r="BB90" s="212" t="n"/>
      <c r="BC90" s="212" t="n"/>
      <c r="BD90" s="212" t="n"/>
      <c r="BE90" s="212" t="n"/>
      <c r="BF90" s="212" t="n"/>
      <c r="BG90" s="212" t="n"/>
      <c r="BH90" s="212" t="n"/>
      <c r="BI90" s="212" t="n"/>
      <c r="BJ90" s="212" t="n"/>
      <c r="BK90" s="212" t="n"/>
      <c r="BL90" s="212" t="n"/>
      <c r="BM90" s="212" t="n"/>
      <c r="BN90" s="212" t="n"/>
      <c r="BO90" s="212" t="n"/>
      <c r="BP90" s="212" t="n"/>
      <c r="BQ90" s="212" t="n"/>
      <c r="BR90" s="212" t="n"/>
      <c r="BS90" s="212" t="n"/>
      <c r="BT90" s="212" t="n"/>
      <c r="BU90" s="212" t="n"/>
      <c r="BV90" s="212" t="n"/>
      <c r="BW90" s="212" t="n"/>
      <c r="BX90" s="212" t="n"/>
      <c r="BY90" s="212" t="n"/>
      <c r="BZ90" s="212" t="n"/>
      <c r="CA90" s="212" t="n"/>
      <c r="CB90" s="212" t="n"/>
      <c r="CC90" s="212" t="n"/>
      <c r="CD90" s="212" t="n"/>
      <c r="CE90" s="212" t="n"/>
      <c r="CF90" s="212" t="n"/>
      <c r="CG90" s="212" t="n"/>
      <c r="CH90" s="212" t="n"/>
      <c r="CI90" s="212" t="n"/>
      <c r="CJ90" s="212" t="n"/>
      <c r="CK90" s="212" t="n"/>
      <c r="CL90" s="212" t="n"/>
      <c r="CM90" s="212" t="n"/>
      <c r="CN90" s="212" t="n"/>
      <c r="CO90" s="212" t="n"/>
      <c r="CP90" s="212" t="n"/>
      <c r="CQ90" s="212" t="n"/>
      <c r="CR90" s="212" t="n"/>
      <c r="CS90" s="212" t="n"/>
      <c r="CT90" s="212" t="n"/>
      <c r="CU90" s="212" t="n"/>
      <c r="CV90" s="212" t="n"/>
      <c r="CW90" s="212" t="n"/>
      <c r="CX90" s="212" t="n"/>
      <c r="CY90" s="212" t="n"/>
      <c r="CZ90" s="212" t="n"/>
      <c r="DA90" s="212" t="n"/>
      <c r="DB90" s="212" t="n"/>
      <c r="DC90" s="212" t="n"/>
      <c r="DD90" s="212" t="n"/>
      <c r="DE90" s="212" t="n"/>
      <c r="DF90" s="212" t="n"/>
      <c r="DG90" s="212" t="n"/>
      <c r="DH90" s="212" t="n"/>
      <c r="DI90" s="212" t="n"/>
      <c r="DJ90" s="212" t="n"/>
      <c r="DK90" s="212" t="n"/>
      <c r="DL90" s="212" t="n"/>
      <c r="DM90" s="212" t="n"/>
      <c r="DN90" s="212" t="n"/>
      <c r="DO90" s="212" t="n"/>
      <c r="DP90" s="212" t="n"/>
      <c r="DQ90" s="212" t="n"/>
      <c r="DR90" s="212" t="n"/>
      <c r="DS90" s="212" t="n"/>
      <c r="DT90" s="212" t="n"/>
      <c r="DU90" s="212" t="n"/>
      <c r="DV90" s="212" t="n"/>
      <c r="DW90" s="212" t="n"/>
      <c r="DX90" s="212" t="n"/>
      <c r="DY90" s="212" t="n"/>
      <c r="DZ90" s="212" t="n"/>
      <c r="EA90" s="212" t="n"/>
      <c r="EB90" s="212" t="n"/>
      <c r="EC90" s="212" t="n"/>
      <c r="ED90" s="212" t="n"/>
      <c r="EE90" s="212" t="n"/>
      <c r="EF90" s="212" t="n"/>
      <c r="EG90" s="212" t="n"/>
      <c r="EH90" s="212" t="n"/>
      <c r="EI90" s="212" t="n"/>
      <c r="EJ90" s="212" t="n"/>
      <c r="EK90" s="212" t="n"/>
      <c r="EL90" s="212" t="n"/>
      <c r="EM90" s="212" t="n"/>
      <c r="EN90" s="212" t="n"/>
      <c r="EO90" s="212" t="n"/>
      <c r="EP90" s="212" t="n"/>
      <c r="EQ90" s="212" t="n"/>
      <c r="ER90" s="212" t="n"/>
      <c r="ES90" s="212" t="n"/>
      <c r="ET90" s="212" t="n"/>
      <c r="EU90" s="212" t="n"/>
      <c r="EV90" s="212" t="n"/>
      <c r="EW90" s="212" t="n"/>
      <c r="EX90" s="212" t="n"/>
      <c r="EY90" s="212" t="n"/>
      <c r="EZ90" s="212" t="n"/>
      <c r="FA90" s="212" t="n"/>
      <c r="FB90" s="212" t="n"/>
      <c r="FC90" s="212" t="n"/>
      <c r="FD90" s="212" t="n"/>
      <c r="FE90" s="212" t="n"/>
      <c r="FF90" s="212" t="n"/>
      <c r="FG90" s="212" t="n"/>
      <c r="FH90" s="212" t="n"/>
      <c r="FI90" s="212" t="n"/>
      <c r="FJ90" s="212" t="n"/>
      <c r="FK90" s="212" t="n"/>
      <c r="FL90" s="212" t="n"/>
      <c r="FM90" s="212" t="n"/>
      <c r="FN90" s="212" t="n"/>
      <c r="FO90" s="212" t="n"/>
      <c r="FP90" s="212" t="n"/>
      <c r="FQ90" s="212" t="n"/>
      <c r="FR90" s="212" t="n"/>
      <c r="FS90" s="212" t="n"/>
      <c r="FT90" s="212" t="n"/>
      <c r="FU90" s="212" t="n"/>
      <c r="FV90" s="212" t="n"/>
      <c r="FW90" s="212" t="n"/>
      <c r="FX90" s="212" t="n"/>
      <c r="FY90" s="212" t="n"/>
      <c r="FZ90" s="212" t="n"/>
      <c r="GA90" s="212" t="n"/>
      <c r="GB90" s="212" t="n"/>
      <c r="GC90" s="212" t="n"/>
      <c r="GD90" s="212" t="n"/>
      <c r="GE90" s="212" t="n"/>
      <c r="GF90" s="212" t="n"/>
      <c r="GG90" s="212" t="n"/>
      <c r="GH90" s="212" t="n"/>
      <c r="GI90" s="212" t="n"/>
      <c r="GJ90" s="212" t="n"/>
      <c r="GK90" s="212" t="n"/>
      <c r="GL90" s="212" t="n"/>
      <c r="GM90" s="212" t="n"/>
      <c r="GN90" s="212" t="n"/>
      <c r="GO90" s="212" t="n"/>
      <c r="GP90" s="212" t="n"/>
      <c r="GQ90" s="212" t="n"/>
      <c r="GR90" s="212" t="n"/>
      <c r="GS90" s="212" t="n"/>
      <c r="GT90" s="212" t="n"/>
      <c r="GU90" s="212" t="n"/>
      <c r="GV90" s="212" t="n"/>
      <c r="GW90" s="212" t="n"/>
      <c r="GX90" s="212" t="n"/>
      <c r="GY90" s="212" t="n"/>
      <c r="GZ90" s="212" t="n"/>
      <c r="HA90" s="212" t="n"/>
      <c r="HB90" s="212" t="n"/>
      <c r="HC90" s="212" t="n"/>
      <c r="HD90" s="212" t="n"/>
      <c r="HE90" s="212" t="n"/>
      <c r="HF90" s="212" t="n"/>
      <c r="HG90" s="212" t="n"/>
      <c r="HH90" s="212" t="n"/>
      <c r="HI90" s="212" t="n"/>
      <c r="HJ90" s="212" t="n"/>
      <c r="HK90" s="212" t="n"/>
      <c r="HL90" s="212" t="n"/>
      <c r="HM90" s="212" t="n"/>
      <c r="HN90" s="212" t="n"/>
      <c r="HO90" s="212" t="n"/>
      <c r="HP90" s="212" t="n"/>
      <c r="HQ90" s="212" t="n"/>
      <c r="HR90" s="212" t="n"/>
      <c r="HS90" s="212" t="n"/>
      <c r="HT90" s="212" t="n"/>
      <c r="HU90" s="212" t="n"/>
      <c r="HV90" s="212" t="n"/>
      <c r="HW90" s="212" t="n"/>
      <c r="HX90" s="212" t="n"/>
      <c r="HY90" s="212" t="n"/>
      <c r="HZ90" s="212" t="n"/>
      <c r="IA90" s="212" t="n"/>
      <c r="IB90" s="212" t="n"/>
      <c r="IC90" s="212" t="n"/>
      <c r="ID90" s="212" t="n"/>
      <c r="IE90" s="212" t="n"/>
      <c r="IF90" s="212" t="n"/>
      <c r="IG90" s="212" t="n"/>
      <c r="IH90" s="212" t="n"/>
      <c r="II90" s="212" t="n"/>
      <c r="IJ90" s="212" t="n"/>
      <c r="IK90" s="212" t="n"/>
      <c r="IL90" s="212" t="n"/>
      <c r="IM90" s="212" t="n"/>
      <c r="IN90" s="212" t="n"/>
      <c r="IO90" s="212" t="n"/>
      <c r="IP90" s="212" t="n"/>
      <c r="IQ90" s="212" t="n"/>
      <c r="IR90" s="212" t="n"/>
      <c r="IS90" s="212" t="n"/>
      <c r="IT90" s="212" t="n"/>
      <c r="IU90" s="212" t="n"/>
      <c r="IV90" s="212" t="n"/>
      <c r="IW90" s="212" t="n"/>
      <c r="IX90" s="212" t="n"/>
      <c r="IY90" s="212" t="n"/>
      <c r="IZ90" s="212" t="n"/>
      <c r="JA90" s="212" t="n"/>
      <c r="JB90" s="212" t="n"/>
      <c r="JC90" s="212" t="n"/>
      <c r="JD90" s="212" t="n"/>
      <c r="JE90" s="212" t="n"/>
      <c r="JF90" s="212" t="n"/>
      <c r="JG90" s="212" t="n"/>
      <c r="JH90" s="212" t="n"/>
      <c r="JI90" s="212" t="n"/>
      <c r="JJ90" s="212" t="n"/>
      <c r="JK90" s="212" t="n"/>
      <c r="JL90" s="212" t="n"/>
      <c r="JM90" s="212" t="n"/>
      <c r="JN90" s="212" t="n"/>
      <c r="JO90" s="212" t="n"/>
      <c r="JP90" s="212" t="n"/>
      <c r="JQ90" s="212" t="n"/>
      <c r="JR90" s="212" t="n"/>
      <c r="JS90" s="212" t="n"/>
      <c r="JT90" s="212" t="n"/>
      <c r="JU90" s="212" t="n"/>
      <c r="JV90" s="212" t="n"/>
      <c r="JW90" s="212" t="n"/>
      <c r="JX90" s="212" t="n"/>
      <c r="JY90" s="212" t="n"/>
      <c r="JZ90" s="212" t="n"/>
      <c r="KA90" s="212" t="n"/>
      <c r="KB90" s="212" t="n"/>
      <c r="KC90" s="212" t="n"/>
      <c r="KD90" s="212" t="n"/>
      <c r="KE90" s="212" t="n"/>
      <c r="KF90" s="212" t="n"/>
      <c r="KG90" s="212" t="n"/>
      <c r="KH90" s="212" t="n"/>
      <c r="KI90" s="212" t="n"/>
      <c r="KJ90" s="212" t="n"/>
      <c r="KK90" s="212" t="n"/>
      <c r="KL90" s="212" t="n"/>
      <c r="KM90" s="212" t="n"/>
      <c r="KN90" s="212" t="n"/>
      <c r="KO90" s="212" t="n"/>
      <c r="KP90" s="212" t="n"/>
      <c r="KQ90" s="212" t="n"/>
      <c r="KR90" s="212" t="n"/>
      <c r="KS90" s="212" t="n"/>
      <c r="KT90" s="212" t="n"/>
      <c r="KU90" s="212" t="n"/>
      <c r="KV90" s="212" t="n"/>
      <c r="KW90" s="212" t="n"/>
      <c r="KX90" s="212" t="n"/>
      <c r="KY90" s="212" t="n"/>
      <c r="KZ90" s="212" t="n"/>
      <c r="LA90" s="212" t="n"/>
      <c r="LB90" s="212" t="n"/>
      <c r="LC90" s="212" t="n"/>
      <c r="LD90" s="212" t="n"/>
      <c r="LE90" s="212" t="n"/>
      <c r="LF90" s="212" t="n"/>
      <c r="LG90" s="212" t="n"/>
      <c r="LH90" s="212" t="n"/>
      <c r="LI90" s="212" t="n"/>
      <c r="LJ90" s="212" t="n"/>
      <c r="LK90" s="212" t="n"/>
      <c r="LL90" s="212" t="n"/>
      <c r="LM90" s="212" t="n"/>
      <c r="LN90" s="212" t="n"/>
      <c r="LO90" s="212" t="n"/>
      <c r="LP90" s="212" t="n"/>
      <c r="LQ90" s="212" t="n"/>
      <c r="LR90" s="212" t="n"/>
      <c r="LS90" s="212" t="n"/>
      <c r="LT90" s="212" t="n"/>
      <c r="LU90" s="212" t="n"/>
      <c r="LV90" s="212" t="n"/>
      <c r="LW90" s="212" t="n"/>
      <c r="LX90" s="212" t="n"/>
      <c r="LY90" s="212" t="n"/>
      <c r="LZ90" s="212" t="n"/>
      <c r="MA90" s="212" t="n"/>
      <c r="MB90" s="212" t="n"/>
      <c r="MC90" s="212" t="n"/>
      <c r="MD90" s="212" t="n"/>
      <c r="ME90" s="212" t="n"/>
      <c r="MF90" s="212" t="n"/>
      <c r="MG90" s="212" t="n"/>
      <c r="MH90" s="212" t="n"/>
      <c r="MI90" s="212" t="n"/>
      <c r="MJ90" s="212" t="n"/>
      <c r="MK90" s="212" t="n"/>
      <c r="ML90" s="212" t="n"/>
      <c r="MM90" s="212" t="n"/>
      <c r="MN90" s="212" t="n"/>
      <c r="MO90" s="212" t="n"/>
      <c r="MP90" s="212" t="n"/>
      <c r="MQ90" s="212" t="n"/>
      <c r="MR90" s="212" t="n"/>
      <c r="MS90" s="212" t="n"/>
      <c r="MT90" s="212" t="n"/>
      <c r="MU90" s="212" t="n"/>
      <c r="MV90" s="212" t="n"/>
      <c r="MW90" s="212" t="n"/>
      <c r="MX90" s="212" t="n"/>
      <c r="MY90" s="212" t="n"/>
      <c r="MZ90" s="212" t="n"/>
      <c r="NA90" s="212" t="n"/>
      <c r="NB90" s="212" t="n"/>
      <c r="NC90" s="212" t="n"/>
      <c r="ND90" s="212" t="n"/>
      <c r="NE90" s="212" t="n"/>
      <c r="NF90" s="212" t="n"/>
      <c r="NG90" s="212" t="n"/>
      <c r="NH90" s="212" t="n"/>
      <c r="NI90" s="212" t="n"/>
      <c r="NJ90" s="212" t="n"/>
      <c r="NK90" s="212" t="n"/>
      <c r="NL90" s="212" t="n"/>
      <c r="NM90" s="212" t="n"/>
      <c r="NN90" s="212" t="n"/>
      <c r="NO90" s="212" t="n"/>
      <c r="NP90" s="212" t="n"/>
      <c r="NQ90" s="212" t="n"/>
      <c r="NR90" s="212" t="n"/>
      <c r="NS90" s="212" t="n"/>
      <c r="NT90" s="212" t="n"/>
      <c r="NU90" s="212" t="n"/>
      <c r="NV90" s="212" t="n"/>
      <c r="NW90" s="212" t="n"/>
      <c r="NX90" s="212" t="n"/>
      <c r="NY90" s="212" t="n"/>
      <c r="NZ90" s="212" t="n"/>
      <c r="OA90" s="212" t="n"/>
      <c r="OB90" s="212" t="n"/>
      <c r="OC90" s="212" t="n"/>
      <c r="OD90" s="212" t="n"/>
      <c r="OE90" s="212" t="n"/>
      <c r="OF90" s="212" t="n"/>
      <c r="OG90" s="212" t="n"/>
      <c r="OH90" s="212" t="n"/>
      <c r="OI90" s="212" t="n"/>
      <c r="OJ90" s="212" t="n"/>
      <c r="OK90" s="212" t="n"/>
      <c r="OL90" s="212" t="n"/>
      <c r="OM90" s="212" t="n"/>
      <c r="ON90" s="212" t="n"/>
      <c r="OO90" s="212" t="n"/>
      <c r="OP90" s="212" t="n"/>
      <c r="OQ90" s="212" t="n"/>
      <c r="OR90" s="212" t="n"/>
      <c r="OS90" s="212" t="n"/>
      <c r="OT90" s="212" t="n"/>
      <c r="OU90" s="212" t="n"/>
      <c r="OV90" s="212" t="n"/>
      <c r="OW90" s="212" t="n"/>
      <c r="OX90" s="212" t="n"/>
      <c r="OY90" s="212" t="n"/>
      <c r="OZ90" s="212" t="n"/>
      <c r="PA90" s="212" t="n"/>
      <c r="PB90" s="212" t="n"/>
      <c r="PC90" s="212" t="n"/>
      <c r="PD90" s="212" t="n"/>
      <c r="PE90" s="212" t="n"/>
      <c r="PF90" s="212" t="n"/>
      <c r="PG90" s="212" t="n"/>
      <c r="PH90" s="212" t="n"/>
      <c r="PI90" s="212" t="n"/>
      <c r="PJ90" s="212" t="n"/>
      <c r="PK90" s="212" t="n"/>
      <c r="PL90" s="212" t="n"/>
      <c r="PM90" s="212" t="n"/>
      <c r="PN90" s="212" t="n"/>
      <c r="PO90" s="212" t="n"/>
      <c r="PP90" s="212" t="n"/>
      <c r="PQ90" s="212" t="n"/>
      <c r="PR90" s="212" t="n"/>
      <c r="PS90" s="212" t="n"/>
      <c r="PT90" s="212" t="n"/>
      <c r="PU90" s="212" t="n"/>
      <c r="PV90" s="212" t="n"/>
      <c r="PW90" s="212" t="n"/>
      <c r="PX90" s="212" t="n"/>
      <c r="PY90" s="212" t="n"/>
      <c r="PZ90" s="212" t="n"/>
      <c r="QA90" s="212" t="n"/>
      <c r="QB90" s="212" t="n"/>
      <c r="QC90" s="212" t="n"/>
      <c r="QD90" s="212" t="n"/>
      <c r="QE90" s="212" t="n"/>
      <c r="QF90" s="212" t="n"/>
      <c r="QG90" s="212" t="n"/>
      <c r="QH90" s="212" t="n"/>
      <c r="QI90" s="212" t="n"/>
      <c r="QJ90" s="212" t="n"/>
      <c r="QK90" s="212" t="n"/>
      <c r="QL90" s="212" t="n"/>
      <c r="QM90" s="212" t="n"/>
      <c r="QN90" s="212" t="n"/>
      <c r="QO90" s="212" t="n"/>
      <c r="QP90" s="212" t="n"/>
      <c r="QQ90" s="212" t="n"/>
      <c r="QR90" s="212" t="n"/>
      <c r="QS90" s="212" t="n"/>
      <c r="QT90" s="212" t="n"/>
      <c r="QU90" s="212" t="n"/>
      <c r="QV90" s="212" t="n"/>
      <c r="QW90" s="212" t="n"/>
      <c r="QX90" s="212" t="n"/>
      <c r="QY90" s="212" t="n"/>
      <c r="QZ90" s="212" t="n"/>
      <c r="RA90" s="212" t="n"/>
      <c r="RB90" s="212" t="n"/>
      <c r="RC90" s="212" t="n"/>
      <c r="RD90" s="212" t="n"/>
      <c r="RE90" s="212" t="n"/>
      <c r="RF90" s="212" t="n"/>
      <c r="RG90" s="212" t="n"/>
      <c r="RH90" s="212" t="n"/>
      <c r="RI90" s="212" t="n"/>
      <c r="RJ90" s="212" t="n"/>
      <c r="RK90" s="212" t="n"/>
      <c r="RL90" s="212" t="n"/>
      <c r="RM90" s="212" t="n"/>
      <c r="RN90" s="212" t="n"/>
      <c r="RO90" s="212" t="n"/>
      <c r="RP90" s="212" t="n"/>
      <c r="RQ90" s="212" t="n"/>
      <c r="RR90" s="212" t="n"/>
      <c r="RS90" s="212" t="n"/>
      <c r="RT90" s="212" t="n"/>
      <c r="RU90" s="212" t="n"/>
      <c r="RV90" s="212" t="n"/>
      <c r="RW90" s="212" t="n"/>
      <c r="RX90" s="212" t="n"/>
      <c r="RY90" s="212" t="n"/>
      <c r="RZ90" s="212" t="n"/>
      <c r="SA90" s="212" t="n"/>
      <c r="SB90" s="212" t="n"/>
      <c r="SC90" s="212" t="n"/>
      <c r="SD90" s="212" t="n"/>
      <c r="SE90" s="212" t="n"/>
      <c r="SF90" s="212" t="n"/>
      <c r="SG90" s="212" t="n"/>
      <c r="SH90" s="212" t="n"/>
      <c r="SI90" s="212" t="n"/>
      <c r="SJ90" s="212" t="n"/>
      <c r="SK90" s="212" t="n"/>
      <c r="SL90" s="212" t="n"/>
      <c r="SM90" s="212" t="n"/>
      <c r="SN90" s="212" t="n"/>
      <c r="SO90" s="212" t="n"/>
      <c r="SP90" s="212" t="n"/>
      <c r="SQ90" s="212" t="n"/>
      <c r="SR90" s="212" t="n"/>
      <c r="SS90" s="212" t="n"/>
      <c r="ST90" s="212" t="n"/>
      <c r="SU90" s="212" t="n"/>
      <c r="SV90" s="212" t="n"/>
    </row>
    <row r="91">
      <c r="B91" s="209" t="n"/>
      <c r="C91" s="209" t="n"/>
      <c r="D91" s="209" t="n"/>
      <c r="E91" s="209" t="n"/>
      <c r="F91" s="209">
        <f>IF(TRIM(D91&amp;E91)="","",TRIM(D91)&amp;" "&amp;TRIM(E91))</f>
        <v/>
      </c>
      <c r="G91" s="209" t="n"/>
      <c r="H91" s="209" t="n"/>
      <c r="I91" s="209" t="n"/>
      <c r="J91" s="209" t="n"/>
      <c r="K91" s="209" t="n"/>
      <c r="L91" s="209" t="n"/>
      <c r="M91" s="209" t="n"/>
      <c r="N91" s="209" t="n"/>
      <c r="O91" s="209" t="n"/>
      <c r="P91" s="209" t="n"/>
      <c r="Q91" s="209" t="n"/>
      <c r="R91" s="209" t="n"/>
      <c r="S91" s="212" t="n"/>
      <c r="T91" s="212" t="n"/>
      <c r="U91" s="212" t="n"/>
      <c r="V91" s="212" t="n"/>
      <c r="W91" s="212" t="n"/>
      <c r="X91" s="212" t="n"/>
      <c r="Y91" s="212" t="n"/>
      <c r="Z91" s="212" t="n"/>
      <c r="AA91" s="212" t="n"/>
      <c r="AB91" s="212" t="n"/>
      <c r="AC91" s="212" t="n"/>
      <c r="AD91" s="212" t="n"/>
      <c r="AE91" s="212" t="n"/>
      <c r="AF91" s="212" t="n"/>
      <c r="AG91" s="212" t="n"/>
      <c r="AH91" s="212" t="n"/>
      <c r="AI91" s="212" t="n"/>
      <c r="AJ91" s="212" t="n"/>
      <c r="AK91" s="212" t="n"/>
      <c r="AL91" s="212" t="n"/>
      <c r="AM91" s="212" t="n"/>
      <c r="AN91" s="212" t="n"/>
      <c r="AO91" s="212" t="n"/>
      <c r="AP91" s="212" t="n"/>
      <c r="AQ91" s="212" t="n"/>
      <c r="AR91" s="212" t="n"/>
      <c r="AS91" s="212" t="n"/>
      <c r="AT91" s="212" t="n"/>
      <c r="AU91" s="212" t="n"/>
      <c r="AV91" s="212" t="n"/>
      <c r="AW91" s="212" t="n"/>
      <c r="AX91" s="212" t="n"/>
      <c r="AY91" s="212" t="n"/>
      <c r="AZ91" s="212" t="n"/>
      <c r="BA91" s="212" t="n"/>
      <c r="BB91" s="212" t="n"/>
      <c r="BC91" s="212" t="n"/>
      <c r="BD91" s="212" t="n"/>
      <c r="BE91" s="212" t="n"/>
      <c r="BF91" s="212" t="n"/>
      <c r="BG91" s="212" t="n"/>
      <c r="BH91" s="212" t="n"/>
      <c r="BI91" s="212" t="n"/>
      <c r="BJ91" s="212" t="n"/>
      <c r="BK91" s="212" t="n"/>
      <c r="BL91" s="212" t="n"/>
      <c r="BM91" s="212" t="n"/>
      <c r="BN91" s="212" t="n"/>
      <c r="BO91" s="212" t="n"/>
      <c r="BP91" s="212" t="n"/>
      <c r="BQ91" s="212" t="n"/>
      <c r="BR91" s="212" t="n"/>
      <c r="BS91" s="212" t="n"/>
      <c r="BT91" s="212" t="n"/>
      <c r="BU91" s="212" t="n"/>
      <c r="BV91" s="212" t="n"/>
      <c r="BW91" s="212" t="n"/>
      <c r="BX91" s="212" t="n"/>
      <c r="BY91" s="212" t="n"/>
      <c r="BZ91" s="212" t="n"/>
      <c r="CA91" s="212" t="n"/>
      <c r="CB91" s="212" t="n"/>
      <c r="CC91" s="212" t="n"/>
      <c r="CD91" s="212" t="n"/>
      <c r="CE91" s="212" t="n"/>
      <c r="CF91" s="212" t="n"/>
      <c r="CG91" s="212" t="n"/>
      <c r="CH91" s="212" t="n"/>
      <c r="CI91" s="212" t="n"/>
      <c r="CJ91" s="212" t="n"/>
      <c r="CK91" s="212" t="n"/>
      <c r="CL91" s="212" t="n"/>
      <c r="CM91" s="212" t="n"/>
      <c r="CN91" s="212" t="n"/>
      <c r="CO91" s="212" t="n"/>
      <c r="CP91" s="212" t="n"/>
      <c r="CQ91" s="212" t="n"/>
      <c r="CR91" s="212" t="n"/>
      <c r="CS91" s="212" t="n"/>
      <c r="CT91" s="212" t="n"/>
      <c r="CU91" s="212" t="n"/>
      <c r="CV91" s="212" t="n"/>
      <c r="CW91" s="212" t="n"/>
      <c r="CX91" s="212" t="n"/>
      <c r="CY91" s="212" t="n"/>
      <c r="CZ91" s="212" t="n"/>
      <c r="DA91" s="212" t="n"/>
      <c r="DB91" s="212" t="n"/>
      <c r="DC91" s="212" t="n"/>
      <c r="DD91" s="212" t="n"/>
      <c r="DE91" s="212" t="n"/>
      <c r="DF91" s="212" t="n"/>
      <c r="DG91" s="212" t="n"/>
      <c r="DH91" s="212" t="n"/>
      <c r="DI91" s="212" t="n"/>
      <c r="DJ91" s="212" t="n"/>
      <c r="DK91" s="212" t="n"/>
      <c r="DL91" s="212" t="n"/>
      <c r="DM91" s="212" t="n"/>
      <c r="DN91" s="212" t="n"/>
      <c r="DO91" s="212" t="n"/>
      <c r="DP91" s="212" t="n"/>
      <c r="DQ91" s="212" t="n"/>
      <c r="DR91" s="212" t="n"/>
      <c r="DS91" s="212" t="n"/>
      <c r="DT91" s="212" t="n"/>
      <c r="DU91" s="212" t="n"/>
      <c r="DV91" s="212" t="n"/>
      <c r="DW91" s="212" t="n"/>
      <c r="DX91" s="212" t="n"/>
      <c r="DY91" s="212" t="n"/>
      <c r="DZ91" s="212" t="n"/>
      <c r="EA91" s="212" t="n"/>
      <c r="EB91" s="212" t="n"/>
      <c r="EC91" s="212" t="n"/>
      <c r="ED91" s="212" t="n"/>
      <c r="EE91" s="212" t="n"/>
      <c r="EF91" s="212" t="n"/>
      <c r="EG91" s="212" t="n"/>
      <c r="EH91" s="212" t="n"/>
      <c r="EI91" s="212" t="n"/>
      <c r="EJ91" s="212" t="n"/>
      <c r="EK91" s="212" t="n"/>
      <c r="EL91" s="212" t="n"/>
      <c r="EM91" s="212" t="n"/>
      <c r="EN91" s="212" t="n"/>
      <c r="EO91" s="212" t="n"/>
      <c r="EP91" s="212" t="n"/>
      <c r="EQ91" s="212" t="n"/>
      <c r="ER91" s="212" t="n"/>
      <c r="ES91" s="212" t="n"/>
      <c r="ET91" s="212" t="n"/>
      <c r="EU91" s="212" t="n"/>
      <c r="EV91" s="212" t="n"/>
      <c r="EW91" s="212" t="n"/>
      <c r="EX91" s="212" t="n"/>
      <c r="EY91" s="212" t="n"/>
      <c r="EZ91" s="212" t="n"/>
      <c r="FA91" s="212" t="n"/>
      <c r="FB91" s="212" t="n"/>
      <c r="FC91" s="212" t="n"/>
      <c r="FD91" s="212" t="n"/>
      <c r="FE91" s="212" t="n"/>
      <c r="FF91" s="212" t="n"/>
      <c r="FG91" s="212" t="n"/>
      <c r="FH91" s="212" t="n"/>
      <c r="FI91" s="212" t="n"/>
      <c r="FJ91" s="212" t="n"/>
      <c r="FK91" s="212" t="n"/>
      <c r="FL91" s="212" t="n"/>
      <c r="FM91" s="212" t="n"/>
      <c r="FN91" s="212" t="n"/>
      <c r="FO91" s="212" t="n"/>
      <c r="FP91" s="212" t="n"/>
      <c r="FQ91" s="212" t="n"/>
      <c r="FR91" s="212" t="n"/>
      <c r="FS91" s="212" t="n"/>
      <c r="FT91" s="212" t="n"/>
      <c r="FU91" s="212" t="n"/>
      <c r="FV91" s="212" t="n"/>
      <c r="FW91" s="212" t="n"/>
      <c r="FX91" s="212" t="n"/>
      <c r="FY91" s="212" t="n"/>
      <c r="FZ91" s="212" t="n"/>
      <c r="GA91" s="212" t="n"/>
      <c r="GB91" s="212" t="n"/>
      <c r="GC91" s="212" t="n"/>
      <c r="GD91" s="212" t="n"/>
      <c r="GE91" s="212" t="n"/>
      <c r="GF91" s="212" t="n"/>
      <c r="GG91" s="212" t="n"/>
      <c r="GH91" s="212" t="n"/>
      <c r="GI91" s="212" t="n"/>
      <c r="GJ91" s="212" t="n"/>
      <c r="GK91" s="212" t="n"/>
      <c r="GL91" s="212" t="n"/>
      <c r="GM91" s="212" t="n"/>
      <c r="GN91" s="212" t="n"/>
      <c r="GO91" s="212" t="n"/>
      <c r="GP91" s="212" t="n"/>
      <c r="GQ91" s="212" t="n"/>
      <c r="GR91" s="212" t="n"/>
      <c r="GS91" s="212" t="n"/>
      <c r="GT91" s="212" t="n"/>
      <c r="GU91" s="212" t="n"/>
      <c r="GV91" s="212" t="n"/>
      <c r="GW91" s="212" t="n"/>
      <c r="GX91" s="212" t="n"/>
      <c r="GY91" s="212" t="n"/>
      <c r="GZ91" s="212" t="n"/>
      <c r="HA91" s="212" t="n"/>
      <c r="HB91" s="212" t="n"/>
      <c r="HC91" s="212" t="n"/>
      <c r="HD91" s="212" t="n"/>
      <c r="HE91" s="212" t="n"/>
      <c r="HF91" s="212" t="n"/>
      <c r="HG91" s="212" t="n"/>
      <c r="HH91" s="212" t="n"/>
      <c r="HI91" s="212" t="n"/>
      <c r="HJ91" s="212" t="n"/>
      <c r="HK91" s="212" t="n"/>
      <c r="HL91" s="212" t="n"/>
      <c r="HM91" s="212" t="n"/>
      <c r="HN91" s="212" t="n"/>
      <c r="HO91" s="212" t="n"/>
      <c r="HP91" s="212" t="n"/>
      <c r="HQ91" s="212" t="n"/>
      <c r="HR91" s="212" t="n"/>
      <c r="HS91" s="212" t="n"/>
      <c r="HT91" s="212" t="n"/>
      <c r="HU91" s="212" t="n"/>
      <c r="HV91" s="212" t="n"/>
      <c r="HW91" s="212" t="n"/>
      <c r="HX91" s="212" t="n"/>
      <c r="HY91" s="212" t="n"/>
      <c r="HZ91" s="212" t="n"/>
      <c r="IA91" s="212" t="n"/>
      <c r="IB91" s="212" t="n"/>
      <c r="IC91" s="212" t="n"/>
      <c r="ID91" s="212" t="n"/>
      <c r="IE91" s="212" t="n"/>
      <c r="IF91" s="212" t="n"/>
      <c r="IG91" s="212" t="n"/>
      <c r="IH91" s="212" t="n"/>
      <c r="II91" s="212" t="n"/>
      <c r="IJ91" s="212" t="n"/>
      <c r="IK91" s="212" t="n"/>
      <c r="IL91" s="212" t="n"/>
      <c r="IM91" s="212" t="n"/>
      <c r="IN91" s="212" t="n"/>
      <c r="IO91" s="212" t="n"/>
      <c r="IP91" s="212" t="n"/>
      <c r="IQ91" s="212" t="n"/>
      <c r="IR91" s="212" t="n"/>
      <c r="IS91" s="212" t="n"/>
      <c r="IT91" s="212" t="n"/>
      <c r="IU91" s="212" t="n"/>
      <c r="IV91" s="212" t="n"/>
      <c r="IW91" s="212" t="n"/>
      <c r="IX91" s="212" t="n"/>
      <c r="IY91" s="212" t="n"/>
      <c r="IZ91" s="212" t="n"/>
      <c r="JA91" s="212" t="n"/>
      <c r="JB91" s="212" t="n"/>
      <c r="JC91" s="212" t="n"/>
      <c r="JD91" s="212" t="n"/>
      <c r="JE91" s="212" t="n"/>
      <c r="JF91" s="212" t="n"/>
      <c r="JG91" s="212" t="n"/>
      <c r="JH91" s="212" t="n"/>
      <c r="JI91" s="212" t="n"/>
      <c r="JJ91" s="212" t="n"/>
      <c r="JK91" s="212" t="n"/>
      <c r="JL91" s="212" t="n"/>
      <c r="JM91" s="212" t="n"/>
      <c r="JN91" s="212" t="n"/>
      <c r="JO91" s="212" t="n"/>
      <c r="JP91" s="212" t="n"/>
      <c r="JQ91" s="212" t="n"/>
      <c r="JR91" s="212" t="n"/>
      <c r="JS91" s="212" t="n"/>
      <c r="JT91" s="212" t="n"/>
      <c r="JU91" s="212" t="n"/>
      <c r="JV91" s="212" t="n"/>
      <c r="JW91" s="212" t="n"/>
      <c r="JX91" s="212" t="n"/>
      <c r="JY91" s="212" t="n"/>
      <c r="JZ91" s="212" t="n"/>
      <c r="KA91" s="212" t="n"/>
      <c r="KB91" s="212" t="n"/>
      <c r="KC91" s="212" t="n"/>
      <c r="KD91" s="212" t="n"/>
      <c r="KE91" s="212" t="n"/>
      <c r="KF91" s="212" t="n"/>
      <c r="KG91" s="212" t="n"/>
      <c r="KH91" s="212" t="n"/>
      <c r="KI91" s="212" t="n"/>
      <c r="KJ91" s="212" t="n"/>
      <c r="KK91" s="212" t="n"/>
      <c r="KL91" s="212" t="n"/>
      <c r="KM91" s="212" t="n"/>
      <c r="KN91" s="212" t="n"/>
      <c r="KO91" s="212" t="n"/>
      <c r="KP91" s="212" t="n"/>
      <c r="KQ91" s="212" t="n"/>
      <c r="KR91" s="212" t="n"/>
      <c r="KS91" s="212" t="n"/>
      <c r="KT91" s="212" t="n"/>
      <c r="KU91" s="212" t="n"/>
      <c r="KV91" s="212" t="n"/>
      <c r="KW91" s="212" t="n"/>
      <c r="KX91" s="212" t="n"/>
      <c r="KY91" s="212" t="n"/>
      <c r="KZ91" s="212" t="n"/>
      <c r="LA91" s="212" t="n"/>
      <c r="LB91" s="212" t="n"/>
      <c r="LC91" s="212" t="n"/>
      <c r="LD91" s="212" t="n"/>
      <c r="LE91" s="212" t="n"/>
      <c r="LF91" s="212" t="n"/>
      <c r="LG91" s="212" t="n"/>
      <c r="LH91" s="212" t="n"/>
      <c r="LI91" s="212" t="n"/>
      <c r="LJ91" s="212" t="n"/>
      <c r="LK91" s="212" t="n"/>
      <c r="LL91" s="212" t="n"/>
      <c r="LM91" s="212" t="n"/>
      <c r="LN91" s="212" t="n"/>
      <c r="LO91" s="212" t="n"/>
      <c r="LP91" s="212" t="n"/>
      <c r="LQ91" s="212" t="n"/>
      <c r="LR91" s="212" t="n"/>
      <c r="LS91" s="212" t="n"/>
      <c r="LT91" s="212" t="n"/>
      <c r="LU91" s="212" t="n"/>
      <c r="LV91" s="212" t="n"/>
      <c r="LW91" s="212" t="n"/>
      <c r="LX91" s="212" t="n"/>
      <c r="LY91" s="212" t="n"/>
      <c r="LZ91" s="212" t="n"/>
      <c r="MA91" s="212" t="n"/>
      <c r="MB91" s="212" t="n"/>
      <c r="MC91" s="212" t="n"/>
      <c r="MD91" s="212" t="n"/>
      <c r="ME91" s="212" t="n"/>
      <c r="MF91" s="212" t="n"/>
      <c r="MG91" s="212" t="n"/>
      <c r="MH91" s="212" t="n"/>
      <c r="MI91" s="212" t="n"/>
      <c r="MJ91" s="212" t="n"/>
      <c r="MK91" s="212" t="n"/>
      <c r="ML91" s="212" t="n"/>
      <c r="MM91" s="212" t="n"/>
      <c r="MN91" s="212" t="n"/>
      <c r="MO91" s="212" t="n"/>
      <c r="MP91" s="212" t="n"/>
      <c r="MQ91" s="212" t="n"/>
      <c r="MR91" s="212" t="n"/>
      <c r="MS91" s="212" t="n"/>
      <c r="MT91" s="212" t="n"/>
      <c r="MU91" s="212" t="n"/>
      <c r="MV91" s="212" t="n"/>
      <c r="MW91" s="212" t="n"/>
      <c r="MX91" s="212" t="n"/>
      <c r="MY91" s="212" t="n"/>
      <c r="MZ91" s="212" t="n"/>
      <c r="NA91" s="212" t="n"/>
      <c r="NB91" s="212" t="n"/>
      <c r="NC91" s="212" t="n"/>
      <c r="ND91" s="212" t="n"/>
      <c r="NE91" s="212" t="n"/>
      <c r="NF91" s="212" t="n"/>
      <c r="NG91" s="212" t="n"/>
      <c r="NH91" s="212" t="n"/>
      <c r="NI91" s="212" t="n"/>
      <c r="NJ91" s="212" t="n"/>
      <c r="NK91" s="212" t="n"/>
      <c r="NL91" s="212" t="n"/>
      <c r="NM91" s="212" t="n"/>
      <c r="NN91" s="212" t="n"/>
      <c r="NO91" s="212" t="n"/>
      <c r="NP91" s="212" t="n"/>
      <c r="NQ91" s="212" t="n"/>
      <c r="NR91" s="212" t="n"/>
      <c r="NS91" s="212" t="n"/>
      <c r="NT91" s="212" t="n"/>
      <c r="NU91" s="212" t="n"/>
      <c r="NV91" s="212" t="n"/>
      <c r="NW91" s="212" t="n"/>
      <c r="NX91" s="212" t="n"/>
      <c r="NY91" s="212" t="n"/>
      <c r="NZ91" s="212" t="n"/>
      <c r="OA91" s="212" t="n"/>
      <c r="OB91" s="212" t="n"/>
      <c r="OC91" s="212" t="n"/>
      <c r="OD91" s="212" t="n"/>
      <c r="OE91" s="212" t="n"/>
      <c r="OF91" s="212" t="n"/>
      <c r="OG91" s="212" t="n"/>
      <c r="OH91" s="212" t="n"/>
      <c r="OI91" s="212" t="n"/>
      <c r="OJ91" s="212" t="n"/>
      <c r="OK91" s="212" t="n"/>
      <c r="OL91" s="212" t="n"/>
      <c r="OM91" s="212" t="n"/>
      <c r="ON91" s="212" t="n"/>
      <c r="OO91" s="212" t="n"/>
      <c r="OP91" s="212" t="n"/>
      <c r="OQ91" s="212" t="n"/>
      <c r="OR91" s="212" t="n"/>
      <c r="OS91" s="212" t="n"/>
      <c r="OT91" s="212" t="n"/>
      <c r="OU91" s="212" t="n"/>
      <c r="OV91" s="212" t="n"/>
      <c r="OW91" s="212" t="n"/>
      <c r="OX91" s="212" t="n"/>
      <c r="OY91" s="212" t="n"/>
      <c r="OZ91" s="212" t="n"/>
      <c r="PA91" s="212" t="n"/>
      <c r="PB91" s="212" t="n"/>
      <c r="PC91" s="212" t="n"/>
      <c r="PD91" s="212" t="n"/>
      <c r="PE91" s="212" t="n"/>
      <c r="PF91" s="212" t="n"/>
      <c r="PG91" s="212" t="n"/>
      <c r="PH91" s="212" t="n"/>
      <c r="PI91" s="212" t="n"/>
      <c r="PJ91" s="212" t="n"/>
      <c r="PK91" s="212" t="n"/>
      <c r="PL91" s="212" t="n"/>
      <c r="PM91" s="212" t="n"/>
      <c r="PN91" s="212" t="n"/>
      <c r="PO91" s="212" t="n"/>
      <c r="PP91" s="212" t="n"/>
      <c r="PQ91" s="212" t="n"/>
      <c r="PR91" s="212" t="n"/>
      <c r="PS91" s="212" t="n"/>
      <c r="PT91" s="212" t="n"/>
      <c r="PU91" s="212" t="n"/>
      <c r="PV91" s="212" t="n"/>
      <c r="PW91" s="212" t="n"/>
      <c r="PX91" s="212" t="n"/>
      <c r="PY91" s="212" t="n"/>
      <c r="PZ91" s="212" t="n"/>
      <c r="QA91" s="212" t="n"/>
      <c r="QB91" s="212" t="n"/>
      <c r="QC91" s="212" t="n"/>
      <c r="QD91" s="212" t="n"/>
      <c r="QE91" s="212" t="n"/>
      <c r="QF91" s="212" t="n"/>
      <c r="QG91" s="212" t="n"/>
      <c r="QH91" s="212" t="n"/>
      <c r="QI91" s="212" t="n"/>
      <c r="QJ91" s="212" t="n"/>
      <c r="QK91" s="212" t="n"/>
      <c r="QL91" s="212" t="n"/>
      <c r="QM91" s="212" t="n"/>
      <c r="QN91" s="212" t="n"/>
      <c r="QO91" s="212" t="n"/>
      <c r="QP91" s="212" t="n"/>
      <c r="QQ91" s="212" t="n"/>
      <c r="QR91" s="212" t="n"/>
      <c r="QS91" s="212" t="n"/>
      <c r="QT91" s="212" t="n"/>
      <c r="QU91" s="212" t="n"/>
      <c r="QV91" s="212" t="n"/>
      <c r="QW91" s="212" t="n"/>
      <c r="QX91" s="212" t="n"/>
      <c r="QY91" s="212" t="n"/>
      <c r="QZ91" s="212" t="n"/>
      <c r="RA91" s="212" t="n"/>
      <c r="RB91" s="212" t="n"/>
      <c r="RC91" s="212" t="n"/>
      <c r="RD91" s="212" t="n"/>
      <c r="RE91" s="212" t="n"/>
      <c r="RF91" s="212" t="n"/>
      <c r="RG91" s="212" t="n"/>
      <c r="RH91" s="212" t="n"/>
      <c r="RI91" s="212" t="n"/>
      <c r="RJ91" s="212" t="n"/>
      <c r="RK91" s="212" t="n"/>
      <c r="RL91" s="212" t="n"/>
      <c r="RM91" s="212" t="n"/>
      <c r="RN91" s="212" t="n"/>
      <c r="RO91" s="212" t="n"/>
      <c r="RP91" s="212" t="n"/>
      <c r="RQ91" s="212" t="n"/>
      <c r="RR91" s="212" t="n"/>
      <c r="RS91" s="212" t="n"/>
      <c r="RT91" s="212" t="n"/>
      <c r="RU91" s="212" t="n"/>
      <c r="RV91" s="212" t="n"/>
      <c r="RW91" s="212" t="n"/>
      <c r="RX91" s="212" t="n"/>
      <c r="RY91" s="212" t="n"/>
      <c r="RZ91" s="212" t="n"/>
      <c r="SA91" s="212" t="n"/>
      <c r="SB91" s="212" t="n"/>
      <c r="SC91" s="212" t="n"/>
      <c r="SD91" s="212" t="n"/>
      <c r="SE91" s="212" t="n"/>
      <c r="SF91" s="212" t="n"/>
      <c r="SG91" s="212" t="n"/>
      <c r="SH91" s="212" t="n"/>
      <c r="SI91" s="212" t="n"/>
      <c r="SJ91" s="212" t="n"/>
      <c r="SK91" s="212" t="n"/>
      <c r="SL91" s="212" t="n"/>
      <c r="SM91" s="212" t="n"/>
      <c r="SN91" s="212" t="n"/>
      <c r="SO91" s="212" t="n"/>
      <c r="SP91" s="212" t="n"/>
      <c r="SQ91" s="212" t="n"/>
      <c r="SR91" s="212" t="n"/>
      <c r="SS91" s="212" t="n"/>
      <c r="ST91" s="212" t="n"/>
      <c r="SU91" s="212" t="n"/>
      <c r="SV91" s="212" t="n"/>
    </row>
    <row r="92">
      <c r="B92" s="209" t="n"/>
      <c r="C92" s="209" t="n"/>
      <c r="D92" s="209" t="n"/>
      <c r="E92" s="209" t="n"/>
      <c r="F92" s="209">
        <f>IF(TRIM(D92&amp;E92)="","",TRIM(D92)&amp;" "&amp;TRIM(E92))</f>
        <v/>
      </c>
      <c r="G92" s="209" t="n"/>
      <c r="H92" s="209" t="n"/>
      <c r="I92" s="209" t="n"/>
      <c r="J92" s="209" t="n"/>
      <c r="K92" s="209" t="n"/>
      <c r="L92" s="209" t="n"/>
      <c r="M92" s="209" t="n"/>
      <c r="N92" s="209" t="n"/>
      <c r="O92" s="209" t="n"/>
      <c r="P92" s="209" t="n"/>
      <c r="Q92" s="209" t="n"/>
      <c r="R92" s="209" t="n"/>
      <c r="S92" s="212" t="n"/>
      <c r="T92" s="212" t="n"/>
      <c r="U92" s="212" t="n"/>
      <c r="V92" s="212" t="n"/>
      <c r="W92" s="212" t="n"/>
      <c r="X92" s="212" t="n"/>
      <c r="Y92" s="212" t="n"/>
      <c r="Z92" s="212" t="n"/>
      <c r="AA92" s="212" t="n"/>
      <c r="AB92" s="212" t="n"/>
      <c r="AC92" s="212" t="n"/>
      <c r="AD92" s="212" t="n"/>
      <c r="AE92" s="212" t="n"/>
      <c r="AF92" s="212" t="n"/>
      <c r="AG92" s="212" t="n"/>
      <c r="AH92" s="212" t="n"/>
      <c r="AI92" s="212" t="n"/>
      <c r="AJ92" s="212" t="n"/>
      <c r="AK92" s="212" t="n"/>
      <c r="AL92" s="212" t="n"/>
      <c r="AM92" s="212" t="n"/>
      <c r="AN92" s="212" t="n"/>
      <c r="AO92" s="212" t="n"/>
      <c r="AP92" s="212" t="n"/>
      <c r="AQ92" s="212" t="n"/>
      <c r="AR92" s="212" t="n"/>
      <c r="AS92" s="212" t="n"/>
      <c r="AT92" s="212" t="n"/>
      <c r="AU92" s="212" t="n"/>
      <c r="AV92" s="212" t="n"/>
      <c r="AW92" s="212" t="n"/>
      <c r="AX92" s="212" t="n"/>
      <c r="AY92" s="212" t="n"/>
      <c r="AZ92" s="212" t="n"/>
      <c r="BA92" s="212" t="n"/>
      <c r="BB92" s="212" t="n"/>
      <c r="BC92" s="212" t="n"/>
      <c r="BD92" s="212" t="n"/>
      <c r="BE92" s="212" t="n"/>
      <c r="BF92" s="212" t="n"/>
      <c r="BG92" s="212" t="n"/>
      <c r="BH92" s="212" t="n"/>
      <c r="BI92" s="212" t="n"/>
      <c r="BJ92" s="212" t="n"/>
      <c r="BK92" s="212" t="n"/>
      <c r="BL92" s="212" t="n"/>
      <c r="BM92" s="212" t="n"/>
      <c r="BN92" s="212" t="n"/>
      <c r="BO92" s="212" t="n"/>
      <c r="BP92" s="212" t="n"/>
      <c r="BQ92" s="212" t="n"/>
      <c r="BR92" s="212" t="n"/>
      <c r="BS92" s="212" t="n"/>
      <c r="BT92" s="212" t="n"/>
      <c r="BU92" s="212" t="n"/>
      <c r="BV92" s="212" t="n"/>
      <c r="BW92" s="212" t="n"/>
      <c r="BX92" s="212" t="n"/>
      <c r="BY92" s="212" t="n"/>
      <c r="BZ92" s="212" t="n"/>
      <c r="CA92" s="212" t="n"/>
      <c r="CB92" s="212" t="n"/>
      <c r="CC92" s="212" t="n"/>
      <c r="CD92" s="212" t="n"/>
      <c r="CE92" s="212" t="n"/>
      <c r="CF92" s="212" t="n"/>
      <c r="CG92" s="212" t="n"/>
      <c r="CH92" s="212" t="n"/>
      <c r="CI92" s="212" t="n"/>
      <c r="CJ92" s="212" t="n"/>
      <c r="CK92" s="212" t="n"/>
      <c r="CL92" s="212" t="n"/>
      <c r="CM92" s="212" t="n"/>
      <c r="CN92" s="212" t="n"/>
      <c r="CO92" s="212" t="n"/>
      <c r="CP92" s="212" t="n"/>
      <c r="CQ92" s="212" t="n"/>
      <c r="CR92" s="212" t="n"/>
      <c r="CS92" s="212" t="n"/>
      <c r="CT92" s="212" t="n"/>
      <c r="CU92" s="212" t="n"/>
      <c r="CV92" s="212" t="n"/>
      <c r="CW92" s="212" t="n"/>
      <c r="CX92" s="212" t="n"/>
      <c r="CY92" s="212" t="n"/>
      <c r="CZ92" s="212" t="n"/>
      <c r="DA92" s="212" t="n"/>
      <c r="DB92" s="212" t="n"/>
      <c r="DC92" s="212" t="n"/>
      <c r="DD92" s="212" t="n"/>
      <c r="DE92" s="212" t="n"/>
      <c r="DF92" s="212" t="n"/>
      <c r="DG92" s="212" t="n"/>
      <c r="DH92" s="212" t="n"/>
      <c r="DI92" s="212" t="n"/>
      <c r="DJ92" s="212" t="n"/>
      <c r="DK92" s="212" t="n"/>
      <c r="DL92" s="212" t="n"/>
      <c r="DM92" s="212" t="n"/>
      <c r="DN92" s="212" t="n"/>
      <c r="DO92" s="212" t="n"/>
      <c r="DP92" s="212" t="n"/>
      <c r="DQ92" s="212" t="n"/>
      <c r="DR92" s="212" t="n"/>
      <c r="DS92" s="212" t="n"/>
      <c r="DT92" s="212" t="n"/>
      <c r="DU92" s="212" t="n"/>
      <c r="DV92" s="212" t="n"/>
      <c r="DW92" s="212" t="n"/>
      <c r="DX92" s="212" t="n"/>
      <c r="DY92" s="212" t="n"/>
      <c r="DZ92" s="212" t="n"/>
      <c r="EA92" s="212" t="n"/>
      <c r="EB92" s="212" t="n"/>
      <c r="EC92" s="212" t="n"/>
      <c r="ED92" s="212" t="n"/>
      <c r="EE92" s="212" t="n"/>
      <c r="EF92" s="212" t="n"/>
      <c r="EG92" s="212" t="n"/>
      <c r="EH92" s="212" t="n"/>
      <c r="EI92" s="212" t="n"/>
      <c r="EJ92" s="212" t="n"/>
      <c r="EK92" s="212" t="n"/>
      <c r="EL92" s="212" t="n"/>
      <c r="EM92" s="212" t="n"/>
      <c r="EN92" s="212" t="n"/>
      <c r="EO92" s="212" t="n"/>
      <c r="EP92" s="212" t="n"/>
      <c r="EQ92" s="212" t="n"/>
      <c r="ER92" s="212" t="n"/>
      <c r="ES92" s="212" t="n"/>
      <c r="ET92" s="212" t="n"/>
      <c r="EU92" s="212" t="n"/>
      <c r="EV92" s="212" t="n"/>
      <c r="EW92" s="212" t="n"/>
      <c r="EX92" s="212" t="n"/>
      <c r="EY92" s="212" t="n"/>
      <c r="EZ92" s="212" t="n"/>
      <c r="FA92" s="212" t="n"/>
      <c r="FB92" s="212" t="n"/>
      <c r="FC92" s="212" t="n"/>
      <c r="FD92" s="212" t="n"/>
      <c r="FE92" s="212" t="n"/>
      <c r="FF92" s="212" t="n"/>
      <c r="FG92" s="212" t="n"/>
      <c r="FH92" s="212" t="n"/>
      <c r="FI92" s="212" t="n"/>
      <c r="FJ92" s="212" t="n"/>
      <c r="FK92" s="212" t="n"/>
      <c r="FL92" s="212" t="n"/>
      <c r="FM92" s="212" t="n"/>
      <c r="FN92" s="212" t="n"/>
      <c r="FO92" s="212" t="n"/>
      <c r="FP92" s="212" t="n"/>
      <c r="FQ92" s="212" t="n"/>
      <c r="FR92" s="212" t="n"/>
      <c r="FS92" s="212" t="n"/>
      <c r="FT92" s="212" t="n"/>
      <c r="FU92" s="212" t="n"/>
      <c r="FV92" s="212" t="n"/>
      <c r="FW92" s="212" t="n"/>
      <c r="FX92" s="212" t="n"/>
      <c r="FY92" s="212" t="n"/>
      <c r="FZ92" s="212" t="n"/>
      <c r="GA92" s="212" t="n"/>
      <c r="GB92" s="212" t="n"/>
      <c r="GC92" s="212" t="n"/>
      <c r="GD92" s="212" t="n"/>
      <c r="GE92" s="212" t="n"/>
      <c r="GF92" s="212" t="n"/>
      <c r="GG92" s="212" t="n"/>
      <c r="GH92" s="212" t="n"/>
      <c r="GI92" s="212" t="n"/>
      <c r="GJ92" s="212" t="n"/>
      <c r="GK92" s="212" t="n"/>
      <c r="GL92" s="212" t="n"/>
      <c r="GM92" s="212" t="n"/>
      <c r="GN92" s="212" t="n"/>
      <c r="GO92" s="212" t="n"/>
      <c r="GP92" s="212" t="n"/>
      <c r="GQ92" s="212" t="n"/>
      <c r="GR92" s="212" t="n"/>
      <c r="GS92" s="212" t="n"/>
      <c r="GT92" s="212" t="n"/>
      <c r="GU92" s="212" t="n"/>
      <c r="GV92" s="212" t="n"/>
      <c r="GW92" s="212" t="n"/>
      <c r="GX92" s="212" t="n"/>
      <c r="GY92" s="212" t="n"/>
      <c r="GZ92" s="212" t="n"/>
      <c r="HA92" s="212" t="n"/>
      <c r="HB92" s="212" t="n"/>
      <c r="HC92" s="212" t="n"/>
      <c r="HD92" s="212" t="n"/>
      <c r="HE92" s="212" t="n"/>
      <c r="HF92" s="212" t="n"/>
      <c r="HG92" s="212" t="n"/>
      <c r="HH92" s="212" t="n"/>
      <c r="HI92" s="212" t="n"/>
      <c r="HJ92" s="212" t="n"/>
      <c r="HK92" s="212" t="n"/>
      <c r="HL92" s="212" t="n"/>
      <c r="HM92" s="212" t="n"/>
      <c r="HN92" s="212" t="n"/>
      <c r="HO92" s="212" t="n"/>
      <c r="HP92" s="212" t="n"/>
      <c r="HQ92" s="212" t="n"/>
      <c r="HR92" s="212" t="n"/>
      <c r="HS92" s="212" t="n"/>
      <c r="HT92" s="212" t="n"/>
      <c r="HU92" s="212" t="n"/>
      <c r="HV92" s="212" t="n"/>
      <c r="HW92" s="212" t="n"/>
      <c r="HX92" s="212" t="n"/>
      <c r="HY92" s="212" t="n"/>
      <c r="HZ92" s="212" t="n"/>
      <c r="IA92" s="212" t="n"/>
      <c r="IB92" s="212" t="n"/>
      <c r="IC92" s="212" t="n"/>
      <c r="ID92" s="212" t="n"/>
      <c r="IE92" s="212" t="n"/>
      <c r="IF92" s="212" t="n"/>
      <c r="IG92" s="212" t="n"/>
      <c r="IH92" s="212" t="n"/>
      <c r="II92" s="212" t="n"/>
      <c r="IJ92" s="212" t="n"/>
      <c r="IK92" s="212" t="n"/>
      <c r="IL92" s="212" t="n"/>
      <c r="IM92" s="212" t="n"/>
      <c r="IN92" s="212" t="n"/>
      <c r="IO92" s="212" t="n"/>
      <c r="IP92" s="212" t="n"/>
      <c r="IQ92" s="212" t="n"/>
      <c r="IR92" s="212" t="n"/>
      <c r="IS92" s="212" t="n"/>
      <c r="IT92" s="212" t="n"/>
      <c r="IU92" s="212" t="n"/>
      <c r="IV92" s="212" t="n"/>
      <c r="IW92" s="212" t="n"/>
      <c r="IX92" s="212" t="n"/>
      <c r="IY92" s="212" t="n"/>
      <c r="IZ92" s="212" t="n"/>
      <c r="JA92" s="212" t="n"/>
      <c r="JB92" s="212" t="n"/>
      <c r="JC92" s="212" t="n"/>
      <c r="JD92" s="212" t="n"/>
      <c r="JE92" s="212" t="n"/>
      <c r="JF92" s="212" t="n"/>
      <c r="JG92" s="212" t="n"/>
      <c r="JH92" s="212" t="n"/>
      <c r="JI92" s="212" t="n"/>
      <c r="JJ92" s="212" t="n"/>
      <c r="JK92" s="212" t="n"/>
      <c r="JL92" s="212" t="n"/>
      <c r="JM92" s="212" t="n"/>
      <c r="JN92" s="212" t="n"/>
      <c r="JO92" s="212" t="n"/>
      <c r="JP92" s="212" t="n"/>
      <c r="JQ92" s="212" t="n"/>
      <c r="JR92" s="212" t="n"/>
      <c r="JS92" s="212" t="n"/>
      <c r="JT92" s="212" t="n"/>
      <c r="JU92" s="212" t="n"/>
      <c r="JV92" s="212" t="n"/>
      <c r="JW92" s="212" t="n"/>
      <c r="JX92" s="212" t="n"/>
      <c r="JY92" s="212" t="n"/>
      <c r="JZ92" s="212" t="n"/>
      <c r="KA92" s="212" t="n"/>
      <c r="KB92" s="212" t="n"/>
      <c r="KC92" s="212" t="n"/>
      <c r="KD92" s="212" t="n"/>
      <c r="KE92" s="212" t="n"/>
      <c r="KF92" s="212" t="n"/>
      <c r="KG92" s="212" t="n"/>
      <c r="KH92" s="212" t="n"/>
      <c r="KI92" s="212" t="n"/>
      <c r="KJ92" s="212" t="n"/>
      <c r="KK92" s="212" t="n"/>
      <c r="KL92" s="212" t="n"/>
      <c r="KM92" s="212" t="n"/>
      <c r="KN92" s="212" t="n"/>
      <c r="KO92" s="212" t="n"/>
      <c r="KP92" s="212" t="n"/>
      <c r="KQ92" s="212" t="n"/>
      <c r="KR92" s="212" t="n"/>
      <c r="KS92" s="212" t="n"/>
      <c r="KT92" s="212" t="n"/>
      <c r="KU92" s="212" t="n"/>
      <c r="KV92" s="212" t="n"/>
      <c r="KW92" s="212" t="n"/>
      <c r="KX92" s="212" t="n"/>
      <c r="KY92" s="212" t="n"/>
      <c r="KZ92" s="212" t="n"/>
      <c r="LA92" s="212" t="n"/>
      <c r="LB92" s="212" t="n"/>
      <c r="LC92" s="212" t="n"/>
      <c r="LD92" s="212" t="n"/>
      <c r="LE92" s="212" t="n"/>
      <c r="LF92" s="212" t="n"/>
      <c r="LG92" s="212" t="n"/>
      <c r="LH92" s="212" t="n"/>
      <c r="LI92" s="212" t="n"/>
      <c r="LJ92" s="212" t="n"/>
      <c r="LK92" s="212" t="n"/>
      <c r="LL92" s="212" t="n"/>
      <c r="LM92" s="212" t="n"/>
      <c r="LN92" s="212" t="n"/>
      <c r="LO92" s="212" t="n"/>
      <c r="LP92" s="212" t="n"/>
      <c r="LQ92" s="212" t="n"/>
      <c r="LR92" s="212" t="n"/>
      <c r="LS92" s="212" t="n"/>
      <c r="LT92" s="212" t="n"/>
      <c r="LU92" s="212" t="n"/>
      <c r="LV92" s="212" t="n"/>
      <c r="LW92" s="212" t="n"/>
      <c r="LX92" s="212" t="n"/>
      <c r="LY92" s="212" t="n"/>
      <c r="LZ92" s="212" t="n"/>
      <c r="MA92" s="212" t="n"/>
      <c r="MB92" s="212" t="n"/>
      <c r="MC92" s="212" t="n"/>
      <c r="MD92" s="212" t="n"/>
      <c r="ME92" s="212" t="n"/>
      <c r="MF92" s="212" t="n"/>
      <c r="MG92" s="212" t="n"/>
      <c r="MH92" s="212" t="n"/>
      <c r="MI92" s="212" t="n"/>
      <c r="MJ92" s="212" t="n"/>
      <c r="MK92" s="212" t="n"/>
      <c r="ML92" s="212" t="n"/>
      <c r="MM92" s="212" t="n"/>
      <c r="MN92" s="212" t="n"/>
      <c r="MO92" s="212" t="n"/>
      <c r="MP92" s="212" t="n"/>
      <c r="MQ92" s="212" t="n"/>
      <c r="MR92" s="212" t="n"/>
      <c r="MS92" s="212" t="n"/>
      <c r="MT92" s="212" t="n"/>
      <c r="MU92" s="212" t="n"/>
      <c r="MV92" s="212" t="n"/>
      <c r="MW92" s="212" t="n"/>
      <c r="MX92" s="212" t="n"/>
      <c r="MY92" s="212" t="n"/>
      <c r="MZ92" s="212" t="n"/>
      <c r="NA92" s="212" t="n"/>
      <c r="NB92" s="212" t="n"/>
      <c r="NC92" s="212" t="n"/>
      <c r="ND92" s="212" t="n"/>
      <c r="NE92" s="212" t="n"/>
      <c r="NF92" s="212" t="n"/>
      <c r="NG92" s="212" t="n"/>
      <c r="NH92" s="212" t="n"/>
      <c r="NI92" s="212" t="n"/>
      <c r="NJ92" s="212" t="n"/>
      <c r="NK92" s="212" t="n"/>
      <c r="NL92" s="212" t="n"/>
      <c r="NM92" s="212" t="n"/>
      <c r="NN92" s="212" t="n"/>
      <c r="NO92" s="212" t="n"/>
      <c r="NP92" s="212" t="n"/>
      <c r="NQ92" s="212" t="n"/>
      <c r="NR92" s="212" t="n"/>
      <c r="NS92" s="212" t="n"/>
      <c r="NT92" s="212" t="n"/>
      <c r="NU92" s="212" t="n"/>
      <c r="NV92" s="212" t="n"/>
      <c r="NW92" s="212" t="n"/>
      <c r="NX92" s="212" t="n"/>
      <c r="NY92" s="212" t="n"/>
      <c r="NZ92" s="212" t="n"/>
      <c r="OA92" s="212" t="n"/>
      <c r="OB92" s="212" t="n"/>
      <c r="OC92" s="212" t="n"/>
      <c r="OD92" s="212" t="n"/>
      <c r="OE92" s="212" t="n"/>
      <c r="OF92" s="212" t="n"/>
      <c r="OG92" s="212" t="n"/>
      <c r="OH92" s="212" t="n"/>
      <c r="OI92" s="212" t="n"/>
      <c r="OJ92" s="212" t="n"/>
      <c r="OK92" s="212" t="n"/>
      <c r="OL92" s="212" t="n"/>
      <c r="OM92" s="212" t="n"/>
      <c r="ON92" s="212" t="n"/>
      <c r="OO92" s="212" t="n"/>
      <c r="OP92" s="212" t="n"/>
      <c r="OQ92" s="212" t="n"/>
      <c r="OR92" s="212" t="n"/>
      <c r="OS92" s="212" t="n"/>
      <c r="OT92" s="212" t="n"/>
      <c r="OU92" s="212" t="n"/>
      <c r="OV92" s="212" t="n"/>
      <c r="OW92" s="212" t="n"/>
      <c r="OX92" s="212" t="n"/>
      <c r="OY92" s="212" t="n"/>
      <c r="OZ92" s="212" t="n"/>
      <c r="PA92" s="212" t="n"/>
      <c r="PB92" s="212" t="n"/>
      <c r="PC92" s="212" t="n"/>
      <c r="PD92" s="212" t="n"/>
      <c r="PE92" s="212" t="n"/>
      <c r="PF92" s="212" t="n"/>
      <c r="PG92" s="212" t="n"/>
      <c r="PH92" s="212" t="n"/>
      <c r="PI92" s="212" t="n"/>
      <c r="PJ92" s="212" t="n"/>
      <c r="PK92" s="212" t="n"/>
      <c r="PL92" s="212" t="n"/>
      <c r="PM92" s="212" t="n"/>
      <c r="PN92" s="212" t="n"/>
      <c r="PO92" s="212" t="n"/>
      <c r="PP92" s="212" t="n"/>
      <c r="PQ92" s="212" t="n"/>
      <c r="PR92" s="212" t="n"/>
      <c r="PS92" s="212" t="n"/>
      <c r="PT92" s="212" t="n"/>
      <c r="PU92" s="212" t="n"/>
      <c r="PV92" s="212" t="n"/>
      <c r="PW92" s="212" t="n"/>
      <c r="PX92" s="212" t="n"/>
      <c r="PY92" s="212" t="n"/>
      <c r="PZ92" s="212" t="n"/>
      <c r="QA92" s="212" t="n"/>
      <c r="QB92" s="212" t="n"/>
      <c r="QC92" s="212" t="n"/>
      <c r="QD92" s="212" t="n"/>
      <c r="QE92" s="212" t="n"/>
      <c r="QF92" s="212" t="n"/>
      <c r="QG92" s="212" t="n"/>
      <c r="QH92" s="212" t="n"/>
      <c r="QI92" s="212" t="n"/>
      <c r="QJ92" s="212" t="n"/>
      <c r="QK92" s="212" t="n"/>
      <c r="QL92" s="212" t="n"/>
      <c r="QM92" s="212" t="n"/>
      <c r="QN92" s="212" t="n"/>
      <c r="QO92" s="212" t="n"/>
      <c r="QP92" s="212" t="n"/>
      <c r="QQ92" s="212" t="n"/>
      <c r="QR92" s="212" t="n"/>
      <c r="QS92" s="212" t="n"/>
      <c r="QT92" s="212" t="n"/>
      <c r="QU92" s="212" t="n"/>
      <c r="QV92" s="212" t="n"/>
      <c r="QW92" s="212" t="n"/>
      <c r="QX92" s="212" t="n"/>
      <c r="QY92" s="212" t="n"/>
      <c r="QZ92" s="212" t="n"/>
      <c r="RA92" s="212" t="n"/>
      <c r="RB92" s="212" t="n"/>
      <c r="RC92" s="212" t="n"/>
      <c r="RD92" s="212" t="n"/>
      <c r="RE92" s="212" t="n"/>
      <c r="RF92" s="212" t="n"/>
      <c r="RG92" s="212" t="n"/>
      <c r="RH92" s="212" t="n"/>
      <c r="RI92" s="212" t="n"/>
      <c r="RJ92" s="212" t="n"/>
      <c r="RK92" s="212" t="n"/>
      <c r="RL92" s="212" t="n"/>
      <c r="RM92" s="212" t="n"/>
      <c r="RN92" s="212" t="n"/>
      <c r="RO92" s="212" t="n"/>
      <c r="RP92" s="212" t="n"/>
      <c r="RQ92" s="212" t="n"/>
      <c r="RR92" s="212" t="n"/>
      <c r="RS92" s="212" t="n"/>
      <c r="RT92" s="212" t="n"/>
      <c r="RU92" s="212" t="n"/>
      <c r="RV92" s="212" t="n"/>
      <c r="RW92" s="212" t="n"/>
      <c r="RX92" s="212" t="n"/>
      <c r="RY92" s="212" t="n"/>
      <c r="RZ92" s="212" t="n"/>
      <c r="SA92" s="212" t="n"/>
      <c r="SB92" s="212" t="n"/>
      <c r="SC92" s="212" t="n"/>
      <c r="SD92" s="212" t="n"/>
      <c r="SE92" s="212" t="n"/>
      <c r="SF92" s="212" t="n"/>
      <c r="SG92" s="212" t="n"/>
      <c r="SH92" s="212" t="n"/>
      <c r="SI92" s="212" t="n"/>
      <c r="SJ92" s="212" t="n"/>
      <c r="SK92" s="212" t="n"/>
      <c r="SL92" s="212" t="n"/>
      <c r="SM92" s="212" t="n"/>
      <c r="SN92" s="212" t="n"/>
      <c r="SO92" s="212" t="n"/>
      <c r="SP92" s="212" t="n"/>
      <c r="SQ92" s="212" t="n"/>
      <c r="SR92" s="212" t="n"/>
      <c r="SS92" s="212" t="n"/>
      <c r="ST92" s="212" t="n"/>
      <c r="SU92" s="212" t="n"/>
      <c r="SV92" s="212" t="n"/>
    </row>
    <row r="93">
      <c r="B93" s="209" t="n"/>
      <c r="C93" s="209" t="n"/>
      <c r="D93" s="209" t="n"/>
      <c r="E93" s="209" t="n"/>
      <c r="F93" s="209">
        <f>IF(TRIM(D93&amp;E93)="","",TRIM(D93)&amp;" "&amp;TRIM(E93))</f>
        <v/>
      </c>
      <c r="G93" s="209" t="n"/>
      <c r="H93" s="209" t="n"/>
      <c r="I93" s="209" t="n"/>
      <c r="J93" s="209" t="n"/>
      <c r="K93" s="209" t="n"/>
      <c r="L93" s="209" t="n"/>
      <c r="M93" s="209" t="n"/>
      <c r="N93" s="209" t="n"/>
      <c r="O93" s="209" t="n"/>
      <c r="P93" s="209" t="n"/>
      <c r="Q93" s="209" t="n"/>
      <c r="R93" s="209" t="n"/>
      <c r="S93" s="212" t="n"/>
      <c r="T93" s="212" t="n"/>
      <c r="U93" s="212" t="n"/>
      <c r="V93" s="212" t="n"/>
      <c r="W93" s="212" t="n"/>
      <c r="X93" s="212" t="n"/>
      <c r="Y93" s="212" t="n"/>
      <c r="Z93" s="212" t="n"/>
      <c r="AA93" s="212" t="n"/>
      <c r="AB93" s="212" t="n"/>
      <c r="AC93" s="212" t="n"/>
      <c r="AD93" s="212" t="n"/>
      <c r="AE93" s="212" t="n"/>
      <c r="AF93" s="212" t="n"/>
      <c r="AG93" s="212" t="n"/>
      <c r="AH93" s="212" t="n"/>
      <c r="AI93" s="212" t="n"/>
      <c r="AJ93" s="212" t="n"/>
      <c r="AK93" s="212" t="n"/>
      <c r="AL93" s="212" t="n"/>
      <c r="AM93" s="212" t="n"/>
      <c r="AN93" s="212" t="n"/>
      <c r="AO93" s="212" t="n"/>
      <c r="AP93" s="212" t="n"/>
      <c r="AQ93" s="212" t="n"/>
      <c r="AR93" s="212" t="n"/>
      <c r="AS93" s="212" t="n"/>
      <c r="AT93" s="212" t="n"/>
      <c r="AU93" s="212" t="n"/>
      <c r="AV93" s="212" t="n"/>
      <c r="AW93" s="212" t="n"/>
      <c r="AX93" s="212" t="n"/>
      <c r="AY93" s="212" t="n"/>
      <c r="AZ93" s="212" t="n"/>
      <c r="BA93" s="212" t="n"/>
      <c r="BB93" s="212" t="n"/>
      <c r="BC93" s="212" t="n"/>
      <c r="BD93" s="212" t="n"/>
      <c r="BE93" s="212" t="n"/>
      <c r="BF93" s="212" t="n"/>
      <c r="BG93" s="212" t="n"/>
      <c r="BH93" s="212" t="n"/>
      <c r="BI93" s="212" t="n"/>
      <c r="BJ93" s="212" t="n"/>
      <c r="BK93" s="212" t="n"/>
      <c r="BL93" s="212" t="n"/>
      <c r="BM93" s="212" t="n"/>
      <c r="BN93" s="212" t="n"/>
      <c r="BO93" s="212" t="n"/>
      <c r="BP93" s="212" t="n"/>
      <c r="BQ93" s="212" t="n"/>
      <c r="BR93" s="212" t="n"/>
      <c r="BS93" s="212" t="n"/>
      <c r="BT93" s="212" t="n"/>
      <c r="BU93" s="212" t="n"/>
      <c r="BV93" s="212" t="n"/>
      <c r="BW93" s="212" t="n"/>
      <c r="BX93" s="212" t="n"/>
      <c r="BY93" s="212" t="n"/>
      <c r="BZ93" s="212" t="n"/>
      <c r="CA93" s="212" t="n"/>
      <c r="CB93" s="212" t="n"/>
      <c r="CC93" s="212" t="n"/>
      <c r="CD93" s="212" t="n"/>
      <c r="CE93" s="212" t="n"/>
      <c r="CF93" s="212" t="n"/>
      <c r="CG93" s="212" t="n"/>
      <c r="CH93" s="212" t="n"/>
      <c r="CI93" s="212" t="n"/>
      <c r="CJ93" s="212" t="n"/>
      <c r="CK93" s="212" t="n"/>
      <c r="CL93" s="212" t="n"/>
      <c r="CM93" s="212" t="n"/>
      <c r="CN93" s="212" t="n"/>
      <c r="CO93" s="212" t="n"/>
      <c r="CP93" s="212" t="n"/>
      <c r="CQ93" s="212" t="n"/>
      <c r="CR93" s="212" t="n"/>
      <c r="CS93" s="212" t="n"/>
      <c r="CT93" s="212" t="n"/>
      <c r="CU93" s="212" t="n"/>
      <c r="CV93" s="212" t="n"/>
      <c r="CW93" s="212" t="n"/>
      <c r="CX93" s="212" t="n"/>
      <c r="CY93" s="212" t="n"/>
      <c r="CZ93" s="212" t="n"/>
      <c r="DA93" s="212" t="n"/>
      <c r="DB93" s="212" t="n"/>
      <c r="DC93" s="212" t="n"/>
      <c r="DD93" s="212" t="n"/>
      <c r="DE93" s="212" t="n"/>
      <c r="DF93" s="212" t="n"/>
      <c r="DG93" s="212" t="n"/>
      <c r="DH93" s="212" t="n"/>
      <c r="DI93" s="212" t="n"/>
      <c r="DJ93" s="212" t="n"/>
      <c r="DK93" s="212" t="n"/>
      <c r="DL93" s="212" t="n"/>
      <c r="DM93" s="212" t="n"/>
      <c r="DN93" s="212" t="n"/>
      <c r="DO93" s="212" t="n"/>
      <c r="DP93" s="212" t="n"/>
      <c r="DQ93" s="212" t="n"/>
      <c r="DR93" s="212" t="n"/>
      <c r="DS93" s="212" t="n"/>
      <c r="DT93" s="212" t="n"/>
      <c r="DU93" s="212" t="n"/>
      <c r="DV93" s="212" t="n"/>
      <c r="DW93" s="212" t="n"/>
      <c r="DX93" s="212" t="n"/>
      <c r="DY93" s="212" t="n"/>
      <c r="DZ93" s="212" t="n"/>
      <c r="EA93" s="212" t="n"/>
      <c r="EB93" s="212" t="n"/>
      <c r="EC93" s="212" t="n"/>
      <c r="ED93" s="212" t="n"/>
      <c r="EE93" s="212" t="n"/>
      <c r="EF93" s="212" t="n"/>
      <c r="EG93" s="212" t="n"/>
      <c r="EH93" s="212" t="n"/>
      <c r="EI93" s="212" t="n"/>
      <c r="EJ93" s="212" t="n"/>
      <c r="EK93" s="212" t="n"/>
      <c r="EL93" s="212" t="n"/>
      <c r="EM93" s="212" t="n"/>
      <c r="EN93" s="212" t="n"/>
      <c r="EO93" s="212" t="n"/>
      <c r="EP93" s="212" t="n"/>
      <c r="EQ93" s="212" t="n"/>
      <c r="ER93" s="212" t="n"/>
      <c r="ES93" s="212" t="n"/>
      <c r="ET93" s="212" t="n"/>
      <c r="EU93" s="212" t="n"/>
      <c r="EV93" s="212" t="n"/>
      <c r="EW93" s="212" t="n"/>
      <c r="EX93" s="212" t="n"/>
      <c r="EY93" s="212" t="n"/>
      <c r="EZ93" s="212" t="n"/>
      <c r="FA93" s="212" t="n"/>
      <c r="FB93" s="212" t="n"/>
      <c r="FC93" s="212" t="n"/>
      <c r="FD93" s="212" t="n"/>
      <c r="FE93" s="212" t="n"/>
      <c r="FF93" s="212" t="n"/>
      <c r="FG93" s="212" t="n"/>
      <c r="FH93" s="212" t="n"/>
      <c r="FI93" s="212" t="n"/>
      <c r="FJ93" s="212" t="n"/>
      <c r="FK93" s="212" t="n"/>
      <c r="FL93" s="212" t="n"/>
      <c r="FM93" s="212" t="n"/>
      <c r="FN93" s="212" t="n"/>
      <c r="FO93" s="212" t="n"/>
      <c r="FP93" s="212" t="n"/>
      <c r="FQ93" s="212" t="n"/>
      <c r="FR93" s="212" t="n"/>
      <c r="FS93" s="212" t="n"/>
      <c r="FT93" s="212" t="n"/>
      <c r="FU93" s="212" t="n"/>
      <c r="FV93" s="212" t="n"/>
      <c r="FW93" s="212" t="n"/>
      <c r="FX93" s="212" t="n"/>
      <c r="FY93" s="212" t="n"/>
      <c r="FZ93" s="212" t="n"/>
      <c r="GA93" s="212" t="n"/>
      <c r="GB93" s="212" t="n"/>
      <c r="GC93" s="212" t="n"/>
      <c r="GD93" s="212" t="n"/>
      <c r="GE93" s="212" t="n"/>
      <c r="GF93" s="212" t="n"/>
      <c r="GG93" s="212" t="n"/>
      <c r="GH93" s="212" t="n"/>
      <c r="GI93" s="212" t="n"/>
      <c r="GJ93" s="212" t="n"/>
      <c r="GK93" s="212" t="n"/>
      <c r="GL93" s="212" t="n"/>
      <c r="GM93" s="212" t="n"/>
      <c r="GN93" s="212" t="n"/>
      <c r="GO93" s="212" t="n"/>
      <c r="GP93" s="212" t="n"/>
      <c r="GQ93" s="212" t="n"/>
      <c r="GR93" s="212" t="n"/>
      <c r="GS93" s="212" t="n"/>
      <c r="GT93" s="212" t="n"/>
      <c r="GU93" s="212" t="n"/>
      <c r="GV93" s="212" t="n"/>
      <c r="GW93" s="212" t="n"/>
      <c r="GX93" s="212" t="n"/>
      <c r="GY93" s="212" t="n"/>
      <c r="GZ93" s="212" t="n"/>
      <c r="HA93" s="212" t="n"/>
      <c r="HB93" s="212" t="n"/>
      <c r="HC93" s="212" t="n"/>
      <c r="HD93" s="212" t="n"/>
      <c r="HE93" s="212" t="n"/>
      <c r="HF93" s="212" t="n"/>
      <c r="HG93" s="212" t="n"/>
      <c r="HH93" s="212" t="n"/>
      <c r="HI93" s="212" t="n"/>
      <c r="HJ93" s="212" t="n"/>
      <c r="HK93" s="212" t="n"/>
      <c r="HL93" s="212" t="n"/>
      <c r="HM93" s="212" t="n"/>
      <c r="HN93" s="212" t="n"/>
      <c r="HO93" s="212" t="n"/>
      <c r="HP93" s="212" t="n"/>
      <c r="HQ93" s="212" t="n"/>
      <c r="HR93" s="212" t="n"/>
      <c r="HS93" s="212" t="n"/>
      <c r="HT93" s="212" t="n"/>
      <c r="HU93" s="212" t="n"/>
      <c r="HV93" s="212" t="n"/>
      <c r="HW93" s="212" t="n"/>
      <c r="HX93" s="212" t="n"/>
      <c r="HY93" s="212" t="n"/>
      <c r="HZ93" s="212" t="n"/>
      <c r="IA93" s="212" t="n"/>
      <c r="IB93" s="212" t="n"/>
      <c r="IC93" s="212" t="n"/>
      <c r="ID93" s="212" t="n"/>
      <c r="IE93" s="212" t="n"/>
      <c r="IF93" s="212" t="n"/>
      <c r="IG93" s="212" t="n"/>
      <c r="IH93" s="212" t="n"/>
      <c r="II93" s="212" t="n"/>
      <c r="IJ93" s="212" t="n"/>
      <c r="IK93" s="212" t="n"/>
      <c r="IL93" s="212" t="n"/>
      <c r="IM93" s="212" t="n"/>
      <c r="IN93" s="212" t="n"/>
      <c r="IO93" s="212" t="n"/>
      <c r="IP93" s="212" t="n"/>
      <c r="IQ93" s="212" t="n"/>
      <c r="IR93" s="212" t="n"/>
      <c r="IS93" s="212" t="n"/>
      <c r="IT93" s="212" t="n"/>
      <c r="IU93" s="212" t="n"/>
      <c r="IV93" s="212" t="n"/>
      <c r="IW93" s="212" t="n"/>
      <c r="IX93" s="212" t="n"/>
      <c r="IY93" s="212" t="n"/>
      <c r="IZ93" s="212" t="n"/>
      <c r="JA93" s="212" t="n"/>
      <c r="JB93" s="212" t="n"/>
      <c r="JC93" s="212" t="n"/>
      <c r="JD93" s="212" t="n"/>
      <c r="JE93" s="212" t="n"/>
      <c r="JF93" s="212" t="n"/>
      <c r="JG93" s="212" t="n"/>
      <c r="JH93" s="212" t="n"/>
      <c r="JI93" s="212" t="n"/>
      <c r="JJ93" s="212" t="n"/>
      <c r="JK93" s="212" t="n"/>
      <c r="JL93" s="212" t="n"/>
      <c r="JM93" s="212" t="n"/>
      <c r="JN93" s="212" t="n"/>
      <c r="JO93" s="212" t="n"/>
      <c r="JP93" s="212" t="n"/>
      <c r="JQ93" s="212" t="n"/>
      <c r="JR93" s="212" t="n"/>
      <c r="JS93" s="212" t="n"/>
      <c r="JT93" s="212" t="n"/>
      <c r="JU93" s="212" t="n"/>
      <c r="JV93" s="212" t="n"/>
      <c r="JW93" s="212" t="n"/>
      <c r="JX93" s="212" t="n"/>
      <c r="JY93" s="212" t="n"/>
      <c r="JZ93" s="212" t="n"/>
      <c r="KA93" s="212" t="n"/>
      <c r="KB93" s="212" t="n"/>
      <c r="KC93" s="212" t="n"/>
      <c r="KD93" s="212" t="n"/>
      <c r="KE93" s="212" t="n"/>
      <c r="KF93" s="212" t="n"/>
      <c r="KG93" s="212" t="n"/>
      <c r="KH93" s="212" t="n"/>
      <c r="KI93" s="212" t="n"/>
      <c r="KJ93" s="212" t="n"/>
      <c r="KK93" s="212" t="n"/>
      <c r="KL93" s="212" t="n"/>
      <c r="KM93" s="212" t="n"/>
      <c r="KN93" s="212" t="n"/>
      <c r="KO93" s="212" t="n"/>
      <c r="KP93" s="212" t="n"/>
      <c r="KQ93" s="212" t="n"/>
      <c r="KR93" s="212" t="n"/>
      <c r="KS93" s="212" t="n"/>
      <c r="KT93" s="212" t="n"/>
      <c r="KU93" s="212" t="n"/>
      <c r="KV93" s="212" t="n"/>
      <c r="KW93" s="212" t="n"/>
      <c r="KX93" s="212" t="n"/>
      <c r="KY93" s="212" t="n"/>
      <c r="KZ93" s="212" t="n"/>
      <c r="LA93" s="212" t="n"/>
      <c r="LB93" s="212" t="n"/>
      <c r="LC93" s="212" t="n"/>
      <c r="LD93" s="212" t="n"/>
      <c r="LE93" s="212" t="n"/>
      <c r="LF93" s="212" t="n"/>
      <c r="LG93" s="212" t="n"/>
      <c r="LH93" s="212" t="n"/>
      <c r="LI93" s="212" t="n"/>
      <c r="LJ93" s="212" t="n"/>
      <c r="LK93" s="212" t="n"/>
      <c r="LL93" s="212" t="n"/>
      <c r="LM93" s="212" t="n"/>
      <c r="LN93" s="212" t="n"/>
      <c r="LO93" s="212" t="n"/>
      <c r="LP93" s="212" t="n"/>
      <c r="LQ93" s="212" t="n"/>
      <c r="LR93" s="212" t="n"/>
      <c r="LS93" s="212" t="n"/>
      <c r="LT93" s="212" t="n"/>
      <c r="LU93" s="212" t="n"/>
      <c r="LV93" s="212" t="n"/>
      <c r="LW93" s="212" t="n"/>
      <c r="LX93" s="212" t="n"/>
      <c r="LY93" s="212" t="n"/>
      <c r="LZ93" s="212" t="n"/>
      <c r="MA93" s="212" t="n"/>
      <c r="MB93" s="212" t="n"/>
      <c r="MC93" s="212" t="n"/>
      <c r="MD93" s="212" t="n"/>
      <c r="ME93" s="212" t="n"/>
      <c r="MF93" s="212" t="n"/>
      <c r="MG93" s="212" t="n"/>
      <c r="MH93" s="212" t="n"/>
      <c r="MI93" s="212" t="n"/>
      <c r="MJ93" s="212" t="n"/>
      <c r="MK93" s="212" t="n"/>
      <c r="ML93" s="212" t="n"/>
      <c r="MM93" s="212" t="n"/>
      <c r="MN93" s="212" t="n"/>
      <c r="MO93" s="212" t="n"/>
      <c r="MP93" s="212" t="n"/>
      <c r="MQ93" s="212" t="n"/>
      <c r="MR93" s="212" t="n"/>
      <c r="MS93" s="212" t="n"/>
      <c r="MT93" s="212" t="n"/>
      <c r="MU93" s="212" t="n"/>
      <c r="MV93" s="212" t="n"/>
      <c r="MW93" s="212" t="n"/>
      <c r="MX93" s="212" t="n"/>
      <c r="MY93" s="212" t="n"/>
      <c r="MZ93" s="212" t="n"/>
      <c r="NA93" s="212" t="n"/>
      <c r="NB93" s="212" t="n"/>
      <c r="NC93" s="212" t="n"/>
      <c r="ND93" s="212" t="n"/>
      <c r="NE93" s="212" t="n"/>
      <c r="NF93" s="212" t="n"/>
      <c r="NG93" s="212" t="n"/>
      <c r="NH93" s="212" t="n"/>
      <c r="NI93" s="212" t="n"/>
      <c r="NJ93" s="212" t="n"/>
      <c r="NK93" s="212" t="n"/>
      <c r="NL93" s="212" t="n"/>
      <c r="NM93" s="212" t="n"/>
      <c r="NN93" s="212" t="n"/>
      <c r="NO93" s="212" t="n"/>
      <c r="NP93" s="212" t="n"/>
      <c r="NQ93" s="212" t="n"/>
      <c r="NR93" s="212" t="n"/>
      <c r="NS93" s="212" t="n"/>
      <c r="NT93" s="212" t="n"/>
      <c r="NU93" s="212" t="n"/>
      <c r="NV93" s="212" t="n"/>
      <c r="NW93" s="212" t="n"/>
      <c r="NX93" s="212" t="n"/>
      <c r="NY93" s="212" t="n"/>
      <c r="NZ93" s="212" t="n"/>
      <c r="OA93" s="212" t="n"/>
      <c r="OB93" s="212" t="n"/>
      <c r="OC93" s="212" t="n"/>
      <c r="OD93" s="212" t="n"/>
      <c r="OE93" s="212" t="n"/>
      <c r="OF93" s="212" t="n"/>
      <c r="OG93" s="212" t="n"/>
      <c r="OH93" s="212" t="n"/>
      <c r="OI93" s="212" t="n"/>
      <c r="OJ93" s="212" t="n"/>
      <c r="OK93" s="212" t="n"/>
      <c r="OL93" s="212" t="n"/>
      <c r="OM93" s="212" t="n"/>
      <c r="ON93" s="212" t="n"/>
      <c r="OO93" s="212" t="n"/>
      <c r="OP93" s="212" t="n"/>
      <c r="OQ93" s="212" t="n"/>
      <c r="OR93" s="212" t="n"/>
      <c r="OS93" s="212" t="n"/>
      <c r="OT93" s="212" t="n"/>
      <c r="OU93" s="212" t="n"/>
      <c r="OV93" s="212" t="n"/>
      <c r="OW93" s="212" t="n"/>
      <c r="OX93" s="212" t="n"/>
      <c r="OY93" s="212" t="n"/>
      <c r="OZ93" s="212" t="n"/>
      <c r="PA93" s="212" t="n"/>
      <c r="PB93" s="212" t="n"/>
      <c r="PC93" s="212" t="n"/>
      <c r="PD93" s="212" t="n"/>
      <c r="PE93" s="212" t="n"/>
      <c r="PF93" s="212" t="n"/>
      <c r="PG93" s="212" t="n"/>
      <c r="PH93" s="212" t="n"/>
      <c r="PI93" s="212" t="n"/>
      <c r="PJ93" s="212" t="n"/>
      <c r="PK93" s="212" t="n"/>
      <c r="PL93" s="212" t="n"/>
      <c r="PM93" s="212" t="n"/>
      <c r="PN93" s="212" t="n"/>
      <c r="PO93" s="212" t="n"/>
      <c r="PP93" s="212" t="n"/>
      <c r="PQ93" s="212" t="n"/>
      <c r="PR93" s="212" t="n"/>
      <c r="PS93" s="212" t="n"/>
      <c r="PT93" s="212" t="n"/>
      <c r="PU93" s="212" t="n"/>
      <c r="PV93" s="212" t="n"/>
      <c r="PW93" s="212" t="n"/>
      <c r="PX93" s="212" t="n"/>
      <c r="PY93" s="212" t="n"/>
      <c r="PZ93" s="212" t="n"/>
      <c r="QA93" s="212" t="n"/>
      <c r="QB93" s="212" t="n"/>
      <c r="QC93" s="212" t="n"/>
      <c r="QD93" s="212" t="n"/>
      <c r="QE93" s="212" t="n"/>
      <c r="QF93" s="212" t="n"/>
      <c r="QG93" s="212" t="n"/>
      <c r="QH93" s="212" t="n"/>
      <c r="QI93" s="212" t="n"/>
      <c r="QJ93" s="212" t="n"/>
      <c r="QK93" s="212" t="n"/>
      <c r="QL93" s="212" t="n"/>
      <c r="QM93" s="212" t="n"/>
      <c r="QN93" s="212" t="n"/>
      <c r="QO93" s="212" t="n"/>
      <c r="QP93" s="212" t="n"/>
      <c r="QQ93" s="212" t="n"/>
      <c r="QR93" s="212" t="n"/>
      <c r="QS93" s="212" t="n"/>
      <c r="QT93" s="212" t="n"/>
      <c r="QU93" s="212" t="n"/>
      <c r="QV93" s="212" t="n"/>
      <c r="QW93" s="212" t="n"/>
      <c r="QX93" s="212" t="n"/>
      <c r="QY93" s="212" t="n"/>
      <c r="QZ93" s="212" t="n"/>
      <c r="RA93" s="212" t="n"/>
      <c r="RB93" s="212" t="n"/>
      <c r="RC93" s="212" t="n"/>
      <c r="RD93" s="212" t="n"/>
      <c r="RE93" s="212" t="n"/>
      <c r="RF93" s="212" t="n"/>
      <c r="RG93" s="212" t="n"/>
      <c r="RH93" s="212" t="n"/>
      <c r="RI93" s="212" t="n"/>
      <c r="RJ93" s="212" t="n"/>
      <c r="RK93" s="212" t="n"/>
      <c r="RL93" s="212" t="n"/>
      <c r="RM93" s="212" t="n"/>
      <c r="RN93" s="212" t="n"/>
      <c r="RO93" s="212" t="n"/>
      <c r="RP93" s="212" t="n"/>
      <c r="RQ93" s="212" t="n"/>
      <c r="RR93" s="212" t="n"/>
      <c r="RS93" s="212" t="n"/>
      <c r="RT93" s="212" t="n"/>
      <c r="RU93" s="212" t="n"/>
      <c r="RV93" s="212" t="n"/>
      <c r="RW93" s="212" t="n"/>
      <c r="RX93" s="212" t="n"/>
      <c r="RY93" s="212" t="n"/>
      <c r="RZ93" s="212" t="n"/>
      <c r="SA93" s="212" t="n"/>
      <c r="SB93" s="212" t="n"/>
      <c r="SC93" s="212" t="n"/>
      <c r="SD93" s="212" t="n"/>
      <c r="SE93" s="212" t="n"/>
      <c r="SF93" s="212" t="n"/>
      <c r="SG93" s="212" t="n"/>
      <c r="SH93" s="212" t="n"/>
      <c r="SI93" s="212" t="n"/>
      <c r="SJ93" s="212" t="n"/>
      <c r="SK93" s="212" t="n"/>
      <c r="SL93" s="212" t="n"/>
      <c r="SM93" s="212" t="n"/>
      <c r="SN93" s="212" t="n"/>
      <c r="SO93" s="212" t="n"/>
      <c r="SP93" s="212" t="n"/>
      <c r="SQ93" s="212" t="n"/>
      <c r="SR93" s="212" t="n"/>
      <c r="SS93" s="212" t="n"/>
      <c r="ST93" s="212" t="n"/>
      <c r="SU93" s="212" t="n"/>
      <c r="SV93" s="212" t="n"/>
    </row>
    <row r="94">
      <c r="B94" s="209" t="n"/>
      <c r="C94" s="209" t="n"/>
      <c r="D94" s="209" t="n"/>
      <c r="E94" s="209" t="n"/>
      <c r="F94" s="209">
        <f>IF(TRIM(D94&amp;E94)="","",TRIM(D94)&amp;" "&amp;TRIM(E94))</f>
        <v/>
      </c>
      <c r="G94" s="209" t="n"/>
      <c r="H94" s="209" t="n"/>
      <c r="I94" s="209" t="n"/>
      <c r="J94" s="209" t="n"/>
      <c r="K94" s="209" t="n"/>
      <c r="L94" s="209" t="n"/>
      <c r="M94" s="209" t="n"/>
      <c r="N94" s="209" t="n"/>
      <c r="O94" s="209" t="n"/>
      <c r="P94" s="209" t="n"/>
      <c r="Q94" s="209" t="n"/>
      <c r="R94" s="209" t="n"/>
      <c r="S94" s="212" t="n"/>
      <c r="T94" s="212" t="n"/>
      <c r="U94" s="212" t="n"/>
      <c r="V94" s="212" t="n"/>
      <c r="W94" s="212" t="n"/>
      <c r="X94" s="212" t="n"/>
      <c r="Y94" s="212" t="n"/>
      <c r="Z94" s="212" t="n"/>
      <c r="AA94" s="212" t="n"/>
      <c r="AB94" s="212" t="n"/>
      <c r="AC94" s="212" t="n"/>
      <c r="AD94" s="212" t="n"/>
      <c r="AE94" s="212" t="n"/>
      <c r="AF94" s="212" t="n"/>
      <c r="AG94" s="212" t="n"/>
      <c r="AH94" s="212" t="n"/>
      <c r="AI94" s="212" t="n"/>
      <c r="AJ94" s="212" t="n"/>
      <c r="AK94" s="212" t="n"/>
      <c r="AL94" s="212" t="n"/>
      <c r="AM94" s="212" t="n"/>
      <c r="AN94" s="212" t="n"/>
      <c r="AO94" s="212" t="n"/>
      <c r="AP94" s="212" t="n"/>
      <c r="AQ94" s="212" t="n"/>
      <c r="AR94" s="212" t="n"/>
      <c r="AS94" s="212" t="n"/>
      <c r="AT94" s="212" t="n"/>
      <c r="AU94" s="212" t="n"/>
      <c r="AV94" s="212" t="n"/>
      <c r="AW94" s="212" t="n"/>
      <c r="AX94" s="212" t="n"/>
      <c r="AY94" s="212" t="n"/>
      <c r="AZ94" s="212" t="n"/>
      <c r="BA94" s="212" t="n"/>
      <c r="BB94" s="212" t="n"/>
      <c r="BC94" s="212" t="n"/>
      <c r="BD94" s="212" t="n"/>
      <c r="BE94" s="212" t="n"/>
      <c r="BF94" s="212" t="n"/>
      <c r="BG94" s="212" t="n"/>
      <c r="BH94" s="212" t="n"/>
      <c r="BI94" s="212" t="n"/>
      <c r="BJ94" s="212" t="n"/>
      <c r="BK94" s="212" t="n"/>
      <c r="BL94" s="212" t="n"/>
      <c r="BM94" s="212" t="n"/>
      <c r="BN94" s="212" t="n"/>
      <c r="BO94" s="212" t="n"/>
      <c r="BP94" s="212" t="n"/>
      <c r="BQ94" s="212" t="n"/>
      <c r="BR94" s="212" t="n"/>
      <c r="BS94" s="212" t="n"/>
      <c r="BT94" s="212" t="n"/>
      <c r="BU94" s="212" t="n"/>
      <c r="BV94" s="212" t="n"/>
      <c r="BW94" s="212" t="n"/>
      <c r="BX94" s="212" t="n"/>
      <c r="BY94" s="212" t="n"/>
      <c r="BZ94" s="212" t="n"/>
      <c r="CA94" s="212" t="n"/>
      <c r="CB94" s="212" t="n"/>
      <c r="CC94" s="212" t="n"/>
      <c r="CD94" s="212" t="n"/>
      <c r="CE94" s="212" t="n"/>
      <c r="CF94" s="212" t="n"/>
      <c r="CG94" s="212" t="n"/>
      <c r="CH94" s="212" t="n"/>
      <c r="CI94" s="212" t="n"/>
      <c r="CJ94" s="212" t="n"/>
      <c r="CK94" s="212" t="n"/>
      <c r="CL94" s="212" t="n"/>
      <c r="CM94" s="212" t="n"/>
      <c r="CN94" s="212" t="n"/>
      <c r="CO94" s="212" t="n"/>
      <c r="CP94" s="212" t="n"/>
      <c r="CQ94" s="212" t="n"/>
      <c r="CR94" s="212" t="n"/>
      <c r="CS94" s="212" t="n"/>
      <c r="CT94" s="212" t="n"/>
      <c r="CU94" s="212" t="n"/>
      <c r="CV94" s="212" t="n"/>
      <c r="CW94" s="212" t="n"/>
      <c r="CX94" s="212" t="n"/>
      <c r="CY94" s="212" t="n"/>
      <c r="CZ94" s="212" t="n"/>
      <c r="DA94" s="212" t="n"/>
      <c r="DB94" s="212" t="n"/>
      <c r="DC94" s="212" t="n"/>
      <c r="DD94" s="212" t="n"/>
      <c r="DE94" s="212" t="n"/>
      <c r="DF94" s="212" t="n"/>
      <c r="DG94" s="212" t="n"/>
      <c r="DH94" s="212" t="n"/>
      <c r="DI94" s="212" t="n"/>
      <c r="DJ94" s="212" t="n"/>
      <c r="DK94" s="212" t="n"/>
      <c r="DL94" s="212" t="n"/>
      <c r="DM94" s="212" t="n"/>
      <c r="DN94" s="212" t="n"/>
      <c r="DO94" s="212" t="n"/>
      <c r="DP94" s="212" t="n"/>
      <c r="DQ94" s="212" t="n"/>
      <c r="DR94" s="212" t="n"/>
      <c r="DS94" s="212" t="n"/>
      <c r="DT94" s="212" t="n"/>
      <c r="DU94" s="212" t="n"/>
      <c r="DV94" s="212" t="n"/>
      <c r="DW94" s="212" t="n"/>
      <c r="DX94" s="212" t="n"/>
      <c r="DY94" s="212" t="n"/>
      <c r="DZ94" s="212" t="n"/>
      <c r="EA94" s="212" t="n"/>
      <c r="EB94" s="212" t="n"/>
      <c r="EC94" s="212" t="n"/>
      <c r="ED94" s="212" t="n"/>
      <c r="EE94" s="212" t="n"/>
      <c r="EF94" s="212" t="n"/>
      <c r="EG94" s="212" t="n"/>
      <c r="EH94" s="212" t="n"/>
      <c r="EI94" s="212" t="n"/>
      <c r="EJ94" s="212" t="n"/>
      <c r="EK94" s="212" t="n"/>
      <c r="EL94" s="212" t="n"/>
      <c r="EM94" s="212" t="n"/>
      <c r="EN94" s="212" t="n"/>
      <c r="EO94" s="212" t="n"/>
      <c r="EP94" s="212" t="n"/>
      <c r="EQ94" s="212" t="n"/>
      <c r="ER94" s="212" t="n"/>
      <c r="ES94" s="212" t="n"/>
      <c r="ET94" s="212" t="n"/>
      <c r="EU94" s="212" t="n"/>
      <c r="EV94" s="212" t="n"/>
      <c r="EW94" s="212" t="n"/>
      <c r="EX94" s="212" t="n"/>
      <c r="EY94" s="212" t="n"/>
      <c r="EZ94" s="212" t="n"/>
      <c r="FA94" s="212" t="n"/>
      <c r="FB94" s="212" t="n"/>
      <c r="FC94" s="212" t="n"/>
      <c r="FD94" s="212" t="n"/>
      <c r="FE94" s="212" t="n"/>
      <c r="FF94" s="212" t="n"/>
      <c r="FG94" s="212" t="n"/>
      <c r="FH94" s="212" t="n"/>
      <c r="FI94" s="212" t="n"/>
      <c r="FJ94" s="212" t="n"/>
      <c r="FK94" s="212" t="n"/>
      <c r="FL94" s="212" t="n"/>
      <c r="FM94" s="212" t="n"/>
      <c r="FN94" s="212" t="n"/>
      <c r="FO94" s="212" t="n"/>
      <c r="FP94" s="212" t="n"/>
      <c r="FQ94" s="212" t="n"/>
      <c r="FR94" s="212" t="n"/>
      <c r="FS94" s="212" t="n"/>
      <c r="FT94" s="212" t="n"/>
      <c r="FU94" s="212" t="n"/>
      <c r="FV94" s="212" t="n"/>
      <c r="FW94" s="212" t="n"/>
      <c r="FX94" s="212" t="n"/>
      <c r="FY94" s="212" t="n"/>
      <c r="FZ94" s="212" t="n"/>
      <c r="GA94" s="212" t="n"/>
      <c r="GB94" s="212" t="n"/>
      <c r="GC94" s="212" t="n"/>
      <c r="GD94" s="212" t="n"/>
      <c r="GE94" s="212" t="n"/>
      <c r="GF94" s="212" t="n"/>
      <c r="GG94" s="212" t="n"/>
      <c r="GH94" s="212" t="n"/>
      <c r="GI94" s="212" t="n"/>
      <c r="GJ94" s="212" t="n"/>
      <c r="GK94" s="212" t="n"/>
      <c r="GL94" s="212" t="n"/>
      <c r="GM94" s="212" t="n"/>
      <c r="GN94" s="212" t="n"/>
      <c r="GO94" s="212" t="n"/>
      <c r="GP94" s="212" t="n"/>
      <c r="GQ94" s="212" t="n"/>
      <c r="GR94" s="212" t="n"/>
      <c r="GS94" s="212" t="n"/>
      <c r="GT94" s="212" t="n"/>
      <c r="GU94" s="212" t="n"/>
      <c r="GV94" s="212" t="n"/>
      <c r="GW94" s="212" t="n"/>
      <c r="GX94" s="212" t="n"/>
      <c r="GY94" s="212" t="n"/>
      <c r="GZ94" s="212" t="n"/>
      <c r="HA94" s="212" t="n"/>
      <c r="HB94" s="212" t="n"/>
      <c r="HC94" s="212" t="n"/>
      <c r="HD94" s="212" t="n"/>
      <c r="HE94" s="212" t="n"/>
      <c r="HF94" s="212" t="n"/>
      <c r="HG94" s="212" t="n"/>
      <c r="HH94" s="212" t="n"/>
      <c r="HI94" s="212" t="n"/>
      <c r="HJ94" s="212" t="n"/>
      <c r="HK94" s="212" t="n"/>
      <c r="HL94" s="212" t="n"/>
      <c r="HM94" s="212" t="n"/>
      <c r="HN94" s="212" t="n"/>
      <c r="HO94" s="212" t="n"/>
      <c r="HP94" s="212" t="n"/>
      <c r="HQ94" s="212" t="n"/>
      <c r="HR94" s="212" t="n"/>
      <c r="HS94" s="212" t="n"/>
      <c r="HT94" s="212" t="n"/>
      <c r="HU94" s="212" t="n"/>
      <c r="HV94" s="212" t="n"/>
      <c r="HW94" s="212" t="n"/>
      <c r="HX94" s="212" t="n"/>
      <c r="HY94" s="212" t="n"/>
      <c r="HZ94" s="212" t="n"/>
      <c r="IA94" s="212" t="n"/>
      <c r="IB94" s="212" t="n"/>
      <c r="IC94" s="212" t="n"/>
      <c r="ID94" s="212" t="n"/>
      <c r="IE94" s="212" t="n"/>
      <c r="IF94" s="212" t="n"/>
      <c r="IG94" s="212" t="n"/>
      <c r="IH94" s="212" t="n"/>
      <c r="II94" s="212" t="n"/>
      <c r="IJ94" s="212" t="n"/>
      <c r="IK94" s="212" t="n"/>
      <c r="IL94" s="212" t="n"/>
      <c r="IM94" s="212" t="n"/>
      <c r="IN94" s="212" t="n"/>
      <c r="IO94" s="212" t="n"/>
      <c r="IP94" s="212" t="n"/>
      <c r="IQ94" s="212" t="n"/>
      <c r="IR94" s="212" t="n"/>
      <c r="IS94" s="212" t="n"/>
      <c r="IT94" s="212" t="n"/>
      <c r="IU94" s="212" t="n"/>
      <c r="IV94" s="212" t="n"/>
      <c r="IW94" s="212" t="n"/>
      <c r="IX94" s="212" t="n"/>
      <c r="IY94" s="212" t="n"/>
      <c r="IZ94" s="212" t="n"/>
      <c r="JA94" s="212" t="n"/>
      <c r="JB94" s="212" t="n"/>
      <c r="JC94" s="212" t="n"/>
      <c r="JD94" s="212" t="n"/>
      <c r="JE94" s="212" t="n"/>
      <c r="JF94" s="212" t="n"/>
      <c r="JG94" s="212" t="n"/>
      <c r="JH94" s="212" t="n"/>
      <c r="JI94" s="212" t="n"/>
      <c r="JJ94" s="212" t="n"/>
      <c r="JK94" s="212" t="n"/>
      <c r="JL94" s="212" t="n"/>
      <c r="JM94" s="212" t="n"/>
      <c r="JN94" s="212" t="n"/>
      <c r="JO94" s="212" t="n"/>
      <c r="JP94" s="212" t="n"/>
      <c r="JQ94" s="212" t="n"/>
      <c r="JR94" s="212" t="n"/>
      <c r="JS94" s="212" t="n"/>
      <c r="JT94" s="212" t="n"/>
      <c r="JU94" s="212" t="n"/>
      <c r="JV94" s="212" t="n"/>
      <c r="JW94" s="212" t="n"/>
      <c r="JX94" s="212" t="n"/>
      <c r="JY94" s="212" t="n"/>
      <c r="JZ94" s="212" t="n"/>
      <c r="KA94" s="212" t="n"/>
      <c r="KB94" s="212" t="n"/>
      <c r="KC94" s="212" t="n"/>
      <c r="KD94" s="212" t="n"/>
      <c r="KE94" s="212" t="n"/>
      <c r="KF94" s="212" t="n"/>
      <c r="KG94" s="212" t="n"/>
      <c r="KH94" s="212" t="n"/>
      <c r="KI94" s="212" t="n"/>
      <c r="KJ94" s="212" t="n"/>
      <c r="KK94" s="212" t="n"/>
      <c r="KL94" s="212" t="n"/>
      <c r="KM94" s="212" t="n"/>
      <c r="KN94" s="212" t="n"/>
      <c r="KO94" s="212" t="n"/>
      <c r="KP94" s="212" t="n"/>
      <c r="KQ94" s="212" t="n"/>
      <c r="KR94" s="212" t="n"/>
      <c r="KS94" s="212" t="n"/>
      <c r="KT94" s="212" t="n"/>
      <c r="KU94" s="212" t="n"/>
      <c r="KV94" s="212" t="n"/>
      <c r="KW94" s="212" t="n"/>
      <c r="KX94" s="212" t="n"/>
      <c r="KY94" s="212" t="n"/>
      <c r="KZ94" s="212" t="n"/>
      <c r="LA94" s="212" t="n"/>
      <c r="LB94" s="212" t="n"/>
      <c r="LC94" s="212" t="n"/>
      <c r="LD94" s="212" t="n"/>
      <c r="LE94" s="212" t="n"/>
      <c r="LF94" s="212" t="n"/>
      <c r="LG94" s="212" t="n"/>
      <c r="LH94" s="212" t="n"/>
      <c r="LI94" s="212" t="n"/>
      <c r="LJ94" s="212" t="n"/>
      <c r="LK94" s="212" t="n"/>
      <c r="LL94" s="212" t="n"/>
      <c r="LM94" s="212" t="n"/>
      <c r="LN94" s="212" t="n"/>
      <c r="LO94" s="212" t="n"/>
      <c r="LP94" s="212" t="n"/>
      <c r="LQ94" s="212" t="n"/>
      <c r="LR94" s="212" t="n"/>
      <c r="LS94" s="212" t="n"/>
      <c r="LT94" s="212" t="n"/>
      <c r="LU94" s="212" t="n"/>
      <c r="LV94" s="212" t="n"/>
      <c r="LW94" s="212" t="n"/>
      <c r="LX94" s="212" t="n"/>
      <c r="LY94" s="212" t="n"/>
      <c r="LZ94" s="212" t="n"/>
      <c r="MA94" s="212" t="n"/>
      <c r="MB94" s="212" t="n"/>
      <c r="MC94" s="212" t="n"/>
      <c r="MD94" s="212" t="n"/>
      <c r="ME94" s="212" t="n"/>
      <c r="MF94" s="212" t="n"/>
      <c r="MG94" s="212" t="n"/>
      <c r="MH94" s="212" t="n"/>
      <c r="MI94" s="212" t="n"/>
      <c r="MJ94" s="212" t="n"/>
      <c r="MK94" s="212" t="n"/>
      <c r="ML94" s="212" t="n"/>
      <c r="MM94" s="212" t="n"/>
      <c r="MN94" s="212" t="n"/>
      <c r="MO94" s="212" t="n"/>
      <c r="MP94" s="212" t="n"/>
      <c r="MQ94" s="212" t="n"/>
      <c r="MR94" s="212" t="n"/>
      <c r="MS94" s="212" t="n"/>
      <c r="MT94" s="212" t="n"/>
      <c r="MU94" s="212" t="n"/>
      <c r="MV94" s="212" t="n"/>
      <c r="MW94" s="212" t="n"/>
      <c r="MX94" s="212" t="n"/>
      <c r="MY94" s="212" t="n"/>
      <c r="MZ94" s="212" t="n"/>
      <c r="NA94" s="212" t="n"/>
      <c r="NB94" s="212" t="n"/>
      <c r="NC94" s="212" t="n"/>
      <c r="ND94" s="212" t="n"/>
      <c r="NE94" s="212" t="n"/>
      <c r="NF94" s="212" t="n"/>
      <c r="NG94" s="212" t="n"/>
      <c r="NH94" s="212" t="n"/>
      <c r="NI94" s="212" t="n"/>
      <c r="NJ94" s="212" t="n"/>
      <c r="NK94" s="212" t="n"/>
      <c r="NL94" s="212" t="n"/>
      <c r="NM94" s="212" t="n"/>
      <c r="NN94" s="212" t="n"/>
      <c r="NO94" s="212" t="n"/>
      <c r="NP94" s="212" t="n"/>
      <c r="NQ94" s="212" t="n"/>
      <c r="NR94" s="212" t="n"/>
      <c r="NS94" s="212" t="n"/>
      <c r="NT94" s="212" t="n"/>
      <c r="NU94" s="212" t="n"/>
      <c r="NV94" s="212" t="n"/>
      <c r="NW94" s="212" t="n"/>
      <c r="NX94" s="212" t="n"/>
      <c r="NY94" s="212" t="n"/>
      <c r="NZ94" s="212" t="n"/>
      <c r="OA94" s="212" t="n"/>
      <c r="OB94" s="212" t="n"/>
      <c r="OC94" s="212" t="n"/>
      <c r="OD94" s="212" t="n"/>
      <c r="OE94" s="212" t="n"/>
      <c r="OF94" s="212" t="n"/>
      <c r="OG94" s="212" t="n"/>
      <c r="OH94" s="212" t="n"/>
      <c r="OI94" s="212" t="n"/>
      <c r="OJ94" s="212" t="n"/>
      <c r="OK94" s="212" t="n"/>
      <c r="OL94" s="212" t="n"/>
      <c r="OM94" s="212" t="n"/>
      <c r="ON94" s="212" t="n"/>
      <c r="OO94" s="212" t="n"/>
      <c r="OP94" s="212" t="n"/>
      <c r="OQ94" s="212" t="n"/>
      <c r="OR94" s="212" t="n"/>
      <c r="OS94" s="212" t="n"/>
      <c r="OT94" s="212" t="n"/>
      <c r="OU94" s="212" t="n"/>
      <c r="OV94" s="212" t="n"/>
      <c r="OW94" s="212" t="n"/>
      <c r="OX94" s="212" t="n"/>
      <c r="OY94" s="212" t="n"/>
      <c r="OZ94" s="212" t="n"/>
      <c r="PA94" s="212" t="n"/>
      <c r="PB94" s="212" t="n"/>
      <c r="PC94" s="212" t="n"/>
      <c r="PD94" s="212" t="n"/>
      <c r="PE94" s="212" t="n"/>
      <c r="PF94" s="212" t="n"/>
      <c r="PG94" s="212" t="n"/>
      <c r="PH94" s="212" t="n"/>
      <c r="PI94" s="212" t="n"/>
      <c r="PJ94" s="212" t="n"/>
      <c r="PK94" s="212" t="n"/>
      <c r="PL94" s="212" t="n"/>
      <c r="PM94" s="212" t="n"/>
      <c r="PN94" s="212" t="n"/>
      <c r="PO94" s="212" t="n"/>
      <c r="PP94" s="212" t="n"/>
      <c r="PQ94" s="212" t="n"/>
      <c r="PR94" s="212" t="n"/>
      <c r="PS94" s="212" t="n"/>
      <c r="PT94" s="212" t="n"/>
      <c r="PU94" s="212" t="n"/>
      <c r="PV94" s="212" t="n"/>
      <c r="PW94" s="212" t="n"/>
      <c r="PX94" s="212" t="n"/>
      <c r="PY94" s="212" t="n"/>
      <c r="PZ94" s="212" t="n"/>
      <c r="QA94" s="212" t="n"/>
      <c r="QB94" s="212" t="n"/>
      <c r="QC94" s="212" t="n"/>
      <c r="QD94" s="212" t="n"/>
      <c r="QE94" s="212" t="n"/>
      <c r="QF94" s="212" t="n"/>
      <c r="QG94" s="212" t="n"/>
      <c r="QH94" s="212" t="n"/>
      <c r="QI94" s="212" t="n"/>
      <c r="QJ94" s="212" t="n"/>
      <c r="QK94" s="212" t="n"/>
      <c r="QL94" s="212" t="n"/>
      <c r="QM94" s="212" t="n"/>
      <c r="QN94" s="212" t="n"/>
      <c r="QO94" s="212" t="n"/>
      <c r="QP94" s="212" t="n"/>
      <c r="QQ94" s="212" t="n"/>
      <c r="QR94" s="212" t="n"/>
      <c r="QS94" s="212" t="n"/>
      <c r="QT94" s="212" t="n"/>
      <c r="QU94" s="212" t="n"/>
      <c r="QV94" s="212" t="n"/>
      <c r="QW94" s="212" t="n"/>
      <c r="QX94" s="212" t="n"/>
      <c r="QY94" s="212" t="n"/>
      <c r="QZ94" s="212" t="n"/>
      <c r="RA94" s="212" t="n"/>
      <c r="RB94" s="212" t="n"/>
      <c r="RC94" s="212" t="n"/>
      <c r="RD94" s="212" t="n"/>
      <c r="RE94" s="212" t="n"/>
      <c r="RF94" s="212" t="n"/>
      <c r="RG94" s="212" t="n"/>
      <c r="RH94" s="212" t="n"/>
      <c r="RI94" s="212" t="n"/>
      <c r="RJ94" s="212" t="n"/>
      <c r="RK94" s="212" t="n"/>
      <c r="RL94" s="212" t="n"/>
      <c r="RM94" s="212" t="n"/>
      <c r="RN94" s="212" t="n"/>
      <c r="RO94" s="212" t="n"/>
      <c r="RP94" s="212" t="n"/>
      <c r="RQ94" s="212" t="n"/>
      <c r="RR94" s="212" t="n"/>
      <c r="RS94" s="212" t="n"/>
      <c r="RT94" s="212" t="n"/>
      <c r="RU94" s="212" t="n"/>
      <c r="RV94" s="212" t="n"/>
      <c r="RW94" s="212" t="n"/>
      <c r="RX94" s="212" t="n"/>
      <c r="RY94" s="212" t="n"/>
      <c r="RZ94" s="212" t="n"/>
      <c r="SA94" s="212" t="n"/>
      <c r="SB94" s="212" t="n"/>
      <c r="SC94" s="212" t="n"/>
      <c r="SD94" s="212" t="n"/>
      <c r="SE94" s="212" t="n"/>
      <c r="SF94" s="212" t="n"/>
      <c r="SG94" s="212" t="n"/>
      <c r="SH94" s="212" t="n"/>
      <c r="SI94" s="212" t="n"/>
      <c r="SJ94" s="212" t="n"/>
      <c r="SK94" s="212" t="n"/>
      <c r="SL94" s="212" t="n"/>
      <c r="SM94" s="212" t="n"/>
      <c r="SN94" s="212" t="n"/>
      <c r="SO94" s="212" t="n"/>
      <c r="SP94" s="212" t="n"/>
      <c r="SQ94" s="212" t="n"/>
      <c r="SR94" s="212" t="n"/>
      <c r="SS94" s="212" t="n"/>
      <c r="ST94" s="212" t="n"/>
      <c r="SU94" s="212" t="n"/>
      <c r="SV94" s="212" t="n"/>
    </row>
    <row r="95">
      <c r="B95" s="209" t="n"/>
      <c r="C95" s="209" t="n"/>
      <c r="D95" s="209" t="n"/>
      <c r="E95" s="209" t="n"/>
      <c r="F95" s="209">
        <f>IF(TRIM(D95&amp;E95)="","",TRIM(D95)&amp;" "&amp;TRIM(E95))</f>
        <v/>
      </c>
      <c r="G95" s="209" t="n"/>
      <c r="H95" s="209" t="n"/>
      <c r="I95" s="209" t="n"/>
      <c r="J95" s="209" t="n"/>
      <c r="K95" s="209" t="n"/>
      <c r="L95" s="209" t="n"/>
      <c r="M95" s="209" t="n"/>
      <c r="N95" s="209" t="n"/>
      <c r="O95" s="209" t="n"/>
      <c r="P95" s="209" t="n"/>
      <c r="Q95" s="209" t="n"/>
      <c r="R95" s="209" t="n"/>
      <c r="S95" s="212" t="n"/>
      <c r="T95" s="212" t="n"/>
      <c r="U95" s="212" t="n"/>
      <c r="V95" s="212" t="n"/>
      <c r="W95" s="212" t="n"/>
      <c r="X95" s="212" t="n"/>
      <c r="Y95" s="212" t="n"/>
      <c r="Z95" s="212" t="n"/>
      <c r="AA95" s="212" t="n"/>
      <c r="AB95" s="212" t="n"/>
      <c r="AC95" s="212" t="n"/>
      <c r="AD95" s="212" t="n"/>
      <c r="AE95" s="212" t="n"/>
      <c r="AF95" s="212" t="n"/>
      <c r="AG95" s="212" t="n"/>
      <c r="AH95" s="212" t="n"/>
      <c r="AI95" s="212" t="n"/>
      <c r="AJ95" s="212" t="n"/>
      <c r="AK95" s="212" t="n"/>
      <c r="AL95" s="212" t="n"/>
      <c r="AM95" s="212" t="n"/>
      <c r="AN95" s="212" t="n"/>
      <c r="AO95" s="212" t="n"/>
      <c r="AP95" s="212" t="n"/>
      <c r="AQ95" s="212" t="n"/>
      <c r="AR95" s="212" t="n"/>
      <c r="AS95" s="212" t="n"/>
      <c r="AT95" s="212" t="n"/>
      <c r="AU95" s="212" t="n"/>
      <c r="AV95" s="212" t="n"/>
      <c r="AW95" s="212" t="n"/>
      <c r="AX95" s="212" t="n"/>
      <c r="AY95" s="212" t="n"/>
      <c r="AZ95" s="212" t="n"/>
      <c r="BA95" s="212" t="n"/>
      <c r="BB95" s="212" t="n"/>
      <c r="BC95" s="212" t="n"/>
      <c r="BD95" s="212" t="n"/>
      <c r="BE95" s="212" t="n"/>
      <c r="BF95" s="212" t="n"/>
      <c r="BG95" s="212" t="n"/>
      <c r="BH95" s="212" t="n"/>
      <c r="BI95" s="212" t="n"/>
      <c r="BJ95" s="212" t="n"/>
      <c r="BK95" s="212" t="n"/>
      <c r="BL95" s="212" t="n"/>
      <c r="BM95" s="212" t="n"/>
      <c r="BN95" s="212" t="n"/>
      <c r="BO95" s="212" t="n"/>
      <c r="BP95" s="212" t="n"/>
      <c r="BQ95" s="212" t="n"/>
      <c r="BR95" s="212" t="n"/>
      <c r="BS95" s="212" t="n"/>
      <c r="BT95" s="212" t="n"/>
      <c r="BU95" s="212" t="n"/>
      <c r="BV95" s="212" t="n"/>
      <c r="BW95" s="212" t="n"/>
      <c r="BX95" s="212" t="n"/>
      <c r="BY95" s="212" t="n"/>
      <c r="BZ95" s="212" t="n"/>
      <c r="CA95" s="212" t="n"/>
      <c r="CB95" s="212" t="n"/>
      <c r="CC95" s="212" t="n"/>
      <c r="CD95" s="212" t="n"/>
      <c r="CE95" s="212" t="n"/>
      <c r="CF95" s="212" t="n"/>
      <c r="CG95" s="212" t="n"/>
      <c r="CH95" s="212" t="n"/>
      <c r="CI95" s="212" t="n"/>
      <c r="CJ95" s="212" t="n"/>
      <c r="CK95" s="212" t="n"/>
      <c r="CL95" s="212" t="n"/>
      <c r="CM95" s="212" t="n"/>
      <c r="CN95" s="212" t="n"/>
      <c r="CO95" s="212" t="n"/>
      <c r="CP95" s="212" t="n"/>
      <c r="CQ95" s="212" t="n"/>
      <c r="CR95" s="212" t="n"/>
      <c r="CS95" s="212" t="n"/>
      <c r="CT95" s="212" t="n"/>
      <c r="CU95" s="212" t="n"/>
      <c r="CV95" s="212" t="n"/>
      <c r="CW95" s="212" t="n"/>
      <c r="CX95" s="212" t="n"/>
      <c r="CY95" s="212" t="n"/>
      <c r="CZ95" s="212" t="n"/>
      <c r="DA95" s="212" t="n"/>
      <c r="DB95" s="212" t="n"/>
      <c r="DC95" s="212" t="n"/>
      <c r="DD95" s="212" t="n"/>
      <c r="DE95" s="212" t="n"/>
      <c r="DF95" s="212" t="n"/>
      <c r="DG95" s="212" t="n"/>
      <c r="DH95" s="212" t="n"/>
      <c r="DI95" s="212" t="n"/>
      <c r="DJ95" s="212" t="n"/>
      <c r="DK95" s="212" t="n"/>
      <c r="DL95" s="212" t="n"/>
      <c r="DM95" s="212" t="n"/>
      <c r="DN95" s="212" t="n"/>
      <c r="DO95" s="212" t="n"/>
      <c r="DP95" s="212" t="n"/>
      <c r="DQ95" s="212" t="n"/>
      <c r="DR95" s="212" t="n"/>
      <c r="DS95" s="212" t="n"/>
      <c r="DT95" s="212" t="n"/>
      <c r="DU95" s="212" t="n"/>
      <c r="DV95" s="212" t="n"/>
      <c r="DW95" s="212" t="n"/>
      <c r="DX95" s="212" t="n"/>
      <c r="DY95" s="212" t="n"/>
      <c r="DZ95" s="212" t="n"/>
      <c r="EA95" s="212" t="n"/>
      <c r="EB95" s="212" t="n"/>
      <c r="EC95" s="212" t="n"/>
      <c r="ED95" s="212" t="n"/>
      <c r="EE95" s="212" t="n"/>
      <c r="EF95" s="212" t="n"/>
      <c r="EG95" s="212" t="n"/>
      <c r="EH95" s="212" t="n"/>
      <c r="EI95" s="212" t="n"/>
      <c r="EJ95" s="212" t="n"/>
      <c r="EK95" s="212" t="n"/>
      <c r="EL95" s="212" t="n"/>
      <c r="EM95" s="212" t="n"/>
      <c r="EN95" s="212" t="n"/>
      <c r="EO95" s="212" t="n"/>
      <c r="EP95" s="212" t="n"/>
      <c r="EQ95" s="212" t="n"/>
      <c r="ER95" s="212" t="n"/>
      <c r="ES95" s="212" t="n"/>
      <c r="ET95" s="212" t="n"/>
      <c r="EU95" s="212" t="n"/>
      <c r="EV95" s="212" t="n"/>
      <c r="EW95" s="212" t="n"/>
      <c r="EX95" s="212" t="n"/>
      <c r="EY95" s="212" t="n"/>
      <c r="EZ95" s="212" t="n"/>
      <c r="FA95" s="212" t="n"/>
      <c r="FB95" s="212" t="n"/>
      <c r="FC95" s="212" t="n"/>
      <c r="FD95" s="212" t="n"/>
      <c r="FE95" s="212" t="n"/>
      <c r="FF95" s="212" t="n"/>
      <c r="FG95" s="212" t="n"/>
      <c r="FH95" s="212" t="n"/>
      <c r="FI95" s="212" t="n"/>
      <c r="FJ95" s="212" t="n"/>
      <c r="FK95" s="212" t="n"/>
      <c r="FL95" s="212" t="n"/>
      <c r="FM95" s="212" t="n"/>
      <c r="FN95" s="212" t="n"/>
      <c r="FO95" s="212" t="n"/>
      <c r="FP95" s="212" t="n"/>
      <c r="FQ95" s="212" t="n"/>
      <c r="FR95" s="212" t="n"/>
      <c r="FS95" s="212" t="n"/>
      <c r="FT95" s="212" t="n"/>
      <c r="FU95" s="212" t="n"/>
      <c r="FV95" s="212" t="n"/>
      <c r="FW95" s="212" t="n"/>
      <c r="FX95" s="212" t="n"/>
      <c r="FY95" s="212" t="n"/>
      <c r="FZ95" s="212" t="n"/>
      <c r="GA95" s="212" t="n"/>
      <c r="GB95" s="212" t="n"/>
      <c r="GC95" s="212" t="n"/>
      <c r="GD95" s="212" t="n"/>
      <c r="GE95" s="212" t="n"/>
      <c r="GF95" s="212" t="n"/>
      <c r="GG95" s="212" t="n"/>
      <c r="GH95" s="212" t="n"/>
      <c r="GI95" s="212" t="n"/>
      <c r="GJ95" s="212" t="n"/>
      <c r="GK95" s="212" t="n"/>
      <c r="GL95" s="212" t="n"/>
      <c r="GM95" s="212" t="n"/>
      <c r="GN95" s="212" t="n"/>
      <c r="GO95" s="212" t="n"/>
      <c r="GP95" s="212" t="n"/>
      <c r="GQ95" s="212" t="n"/>
      <c r="GR95" s="212" t="n"/>
      <c r="GS95" s="212" t="n"/>
      <c r="GT95" s="212" t="n"/>
      <c r="GU95" s="212" t="n"/>
      <c r="GV95" s="212" t="n"/>
      <c r="GW95" s="212" t="n"/>
      <c r="GX95" s="212" t="n"/>
      <c r="GY95" s="212" t="n"/>
      <c r="GZ95" s="212" t="n"/>
      <c r="HA95" s="212" t="n"/>
      <c r="HB95" s="212" t="n"/>
      <c r="HC95" s="212" t="n"/>
      <c r="HD95" s="212" t="n"/>
      <c r="HE95" s="212" t="n"/>
      <c r="HF95" s="212" t="n"/>
      <c r="HG95" s="212" t="n"/>
      <c r="HH95" s="212" t="n"/>
      <c r="HI95" s="212" t="n"/>
      <c r="HJ95" s="212" t="n"/>
      <c r="HK95" s="212" t="n"/>
      <c r="HL95" s="212" t="n"/>
      <c r="HM95" s="212" t="n"/>
      <c r="HN95" s="212" t="n"/>
      <c r="HO95" s="212" t="n"/>
      <c r="HP95" s="212" t="n"/>
      <c r="HQ95" s="212" t="n"/>
      <c r="HR95" s="212" t="n"/>
      <c r="HS95" s="212" t="n"/>
      <c r="HT95" s="212" t="n"/>
      <c r="HU95" s="212" t="n"/>
      <c r="HV95" s="212" t="n"/>
      <c r="HW95" s="212" t="n"/>
      <c r="HX95" s="212" t="n"/>
      <c r="HY95" s="212" t="n"/>
      <c r="HZ95" s="212" t="n"/>
      <c r="IA95" s="212" t="n"/>
      <c r="IB95" s="212" t="n"/>
      <c r="IC95" s="212" t="n"/>
      <c r="ID95" s="212" t="n"/>
      <c r="IE95" s="212" t="n"/>
      <c r="IF95" s="212" t="n"/>
      <c r="IG95" s="212" t="n"/>
      <c r="IH95" s="212" t="n"/>
      <c r="II95" s="212" t="n"/>
      <c r="IJ95" s="212" t="n"/>
      <c r="IK95" s="212" t="n"/>
      <c r="IL95" s="212" t="n"/>
      <c r="IM95" s="212" t="n"/>
      <c r="IN95" s="212" t="n"/>
      <c r="IO95" s="212" t="n"/>
      <c r="IP95" s="212" t="n"/>
      <c r="IQ95" s="212" t="n"/>
      <c r="IR95" s="212" t="n"/>
      <c r="IS95" s="212" t="n"/>
      <c r="IT95" s="212" t="n"/>
      <c r="IU95" s="212" t="n"/>
      <c r="IV95" s="212" t="n"/>
      <c r="IW95" s="212" t="n"/>
      <c r="IX95" s="212" t="n"/>
      <c r="IY95" s="212" t="n"/>
      <c r="IZ95" s="212" t="n"/>
      <c r="JA95" s="212" t="n"/>
      <c r="JB95" s="212" t="n"/>
      <c r="JC95" s="212" t="n"/>
      <c r="JD95" s="212" t="n"/>
      <c r="JE95" s="212" t="n"/>
      <c r="JF95" s="212" t="n"/>
      <c r="JG95" s="212" t="n"/>
      <c r="JH95" s="212" t="n"/>
      <c r="JI95" s="212" t="n"/>
      <c r="JJ95" s="212" t="n"/>
      <c r="JK95" s="212" t="n"/>
      <c r="JL95" s="212" t="n"/>
      <c r="JM95" s="212" t="n"/>
      <c r="JN95" s="212" t="n"/>
      <c r="JO95" s="212" t="n"/>
      <c r="JP95" s="212" t="n"/>
      <c r="JQ95" s="212" t="n"/>
      <c r="JR95" s="212" t="n"/>
      <c r="JS95" s="212" t="n"/>
      <c r="JT95" s="212" t="n"/>
      <c r="JU95" s="212" t="n"/>
      <c r="JV95" s="212" t="n"/>
      <c r="JW95" s="212" t="n"/>
      <c r="JX95" s="212" t="n"/>
      <c r="JY95" s="212" t="n"/>
      <c r="JZ95" s="212" t="n"/>
      <c r="KA95" s="212" t="n"/>
      <c r="KB95" s="212" t="n"/>
      <c r="KC95" s="212" t="n"/>
      <c r="KD95" s="212" t="n"/>
      <c r="KE95" s="212" t="n"/>
      <c r="KF95" s="212" t="n"/>
      <c r="KG95" s="212" t="n"/>
      <c r="KH95" s="212" t="n"/>
      <c r="KI95" s="212" t="n"/>
      <c r="KJ95" s="212" t="n"/>
      <c r="KK95" s="212" t="n"/>
      <c r="KL95" s="212" t="n"/>
      <c r="KM95" s="212" t="n"/>
      <c r="KN95" s="212" t="n"/>
      <c r="KO95" s="212" t="n"/>
      <c r="KP95" s="212" t="n"/>
      <c r="KQ95" s="212" t="n"/>
      <c r="KR95" s="212" t="n"/>
      <c r="KS95" s="212" t="n"/>
      <c r="KT95" s="212" t="n"/>
      <c r="KU95" s="212" t="n"/>
      <c r="KV95" s="212" t="n"/>
      <c r="KW95" s="212" t="n"/>
      <c r="KX95" s="212" t="n"/>
      <c r="KY95" s="212" t="n"/>
      <c r="KZ95" s="212" t="n"/>
      <c r="LA95" s="212" t="n"/>
      <c r="LB95" s="212" t="n"/>
      <c r="LC95" s="212" t="n"/>
      <c r="LD95" s="212" t="n"/>
      <c r="LE95" s="212" t="n"/>
      <c r="LF95" s="212" t="n"/>
      <c r="LG95" s="212" t="n"/>
      <c r="LH95" s="212" t="n"/>
      <c r="LI95" s="212" t="n"/>
      <c r="LJ95" s="212" t="n"/>
      <c r="LK95" s="212" t="n"/>
      <c r="LL95" s="212" t="n"/>
      <c r="LM95" s="212" t="n"/>
      <c r="LN95" s="212" t="n"/>
      <c r="LO95" s="212" t="n"/>
      <c r="LP95" s="212" t="n"/>
      <c r="LQ95" s="212" t="n"/>
      <c r="LR95" s="212" t="n"/>
      <c r="LS95" s="212" t="n"/>
      <c r="LT95" s="212" t="n"/>
      <c r="LU95" s="212" t="n"/>
      <c r="LV95" s="212" t="n"/>
      <c r="LW95" s="212" t="n"/>
      <c r="LX95" s="212" t="n"/>
      <c r="LY95" s="212" t="n"/>
      <c r="LZ95" s="212" t="n"/>
      <c r="MA95" s="212" t="n"/>
      <c r="MB95" s="212" t="n"/>
      <c r="MC95" s="212" t="n"/>
      <c r="MD95" s="212" t="n"/>
      <c r="ME95" s="212" t="n"/>
      <c r="MF95" s="212" t="n"/>
      <c r="MG95" s="212" t="n"/>
      <c r="MH95" s="212" t="n"/>
      <c r="MI95" s="212" t="n"/>
      <c r="MJ95" s="212" t="n"/>
      <c r="MK95" s="212" t="n"/>
      <c r="ML95" s="212" t="n"/>
      <c r="MM95" s="212" t="n"/>
      <c r="MN95" s="212" t="n"/>
      <c r="MO95" s="212" t="n"/>
      <c r="MP95" s="212" t="n"/>
      <c r="MQ95" s="212" t="n"/>
      <c r="MR95" s="212" t="n"/>
      <c r="MS95" s="212" t="n"/>
      <c r="MT95" s="212" t="n"/>
      <c r="MU95" s="212" t="n"/>
      <c r="MV95" s="212" t="n"/>
      <c r="MW95" s="212" t="n"/>
      <c r="MX95" s="212" t="n"/>
      <c r="MY95" s="212" t="n"/>
      <c r="MZ95" s="212" t="n"/>
      <c r="NA95" s="212" t="n"/>
      <c r="NB95" s="212" t="n"/>
      <c r="NC95" s="212" t="n"/>
      <c r="ND95" s="212" t="n"/>
      <c r="NE95" s="212" t="n"/>
      <c r="NF95" s="212" t="n"/>
      <c r="NG95" s="212" t="n"/>
      <c r="NH95" s="212" t="n"/>
      <c r="NI95" s="212" t="n"/>
      <c r="NJ95" s="212" t="n"/>
      <c r="NK95" s="212" t="n"/>
      <c r="NL95" s="212" t="n"/>
      <c r="NM95" s="212" t="n"/>
      <c r="NN95" s="212" t="n"/>
      <c r="NO95" s="212" t="n"/>
      <c r="NP95" s="212" t="n"/>
      <c r="NQ95" s="212" t="n"/>
      <c r="NR95" s="212" t="n"/>
      <c r="NS95" s="212" t="n"/>
      <c r="NT95" s="212" t="n"/>
      <c r="NU95" s="212" t="n"/>
      <c r="NV95" s="212" t="n"/>
      <c r="NW95" s="212" t="n"/>
      <c r="NX95" s="212" t="n"/>
      <c r="NY95" s="212" t="n"/>
      <c r="NZ95" s="212" t="n"/>
      <c r="OA95" s="212" t="n"/>
      <c r="OB95" s="212" t="n"/>
      <c r="OC95" s="212" t="n"/>
      <c r="OD95" s="212" t="n"/>
      <c r="OE95" s="212" t="n"/>
      <c r="OF95" s="212" t="n"/>
      <c r="OG95" s="212" t="n"/>
      <c r="OH95" s="212" t="n"/>
      <c r="OI95" s="212" t="n"/>
      <c r="OJ95" s="212" t="n"/>
      <c r="OK95" s="212" t="n"/>
      <c r="OL95" s="212" t="n"/>
      <c r="OM95" s="212" t="n"/>
      <c r="ON95" s="212" t="n"/>
      <c r="OO95" s="212" t="n"/>
      <c r="OP95" s="212" t="n"/>
      <c r="OQ95" s="212" t="n"/>
      <c r="OR95" s="212" t="n"/>
      <c r="OS95" s="212" t="n"/>
      <c r="OT95" s="212" t="n"/>
      <c r="OU95" s="212" t="n"/>
      <c r="OV95" s="212" t="n"/>
      <c r="OW95" s="212" t="n"/>
      <c r="OX95" s="212" t="n"/>
      <c r="OY95" s="212" t="n"/>
      <c r="OZ95" s="212" t="n"/>
      <c r="PA95" s="212" t="n"/>
      <c r="PB95" s="212" t="n"/>
      <c r="PC95" s="212" t="n"/>
      <c r="PD95" s="212" t="n"/>
      <c r="PE95" s="212" t="n"/>
      <c r="PF95" s="212" t="n"/>
      <c r="PG95" s="212" t="n"/>
      <c r="PH95" s="212" t="n"/>
      <c r="PI95" s="212" t="n"/>
      <c r="PJ95" s="212" t="n"/>
      <c r="PK95" s="212" t="n"/>
      <c r="PL95" s="212" t="n"/>
      <c r="PM95" s="212" t="n"/>
      <c r="PN95" s="212" t="n"/>
      <c r="PO95" s="212" t="n"/>
      <c r="PP95" s="212" t="n"/>
      <c r="PQ95" s="212" t="n"/>
      <c r="PR95" s="212" t="n"/>
      <c r="PS95" s="212" t="n"/>
      <c r="PT95" s="212" t="n"/>
      <c r="PU95" s="212" t="n"/>
      <c r="PV95" s="212" t="n"/>
      <c r="PW95" s="212" t="n"/>
      <c r="PX95" s="212" t="n"/>
      <c r="PY95" s="212" t="n"/>
      <c r="PZ95" s="212" t="n"/>
      <c r="QA95" s="212" t="n"/>
      <c r="QB95" s="212" t="n"/>
      <c r="QC95" s="212" t="n"/>
      <c r="QD95" s="212" t="n"/>
      <c r="QE95" s="212" t="n"/>
      <c r="QF95" s="212" t="n"/>
      <c r="QG95" s="212" t="n"/>
      <c r="QH95" s="212" t="n"/>
      <c r="QI95" s="212" t="n"/>
      <c r="QJ95" s="212" t="n"/>
      <c r="QK95" s="212" t="n"/>
      <c r="QL95" s="212" t="n"/>
      <c r="QM95" s="212" t="n"/>
      <c r="QN95" s="212" t="n"/>
      <c r="QO95" s="212" t="n"/>
      <c r="QP95" s="212" t="n"/>
      <c r="QQ95" s="212" t="n"/>
      <c r="QR95" s="212" t="n"/>
      <c r="QS95" s="212" t="n"/>
      <c r="QT95" s="212" t="n"/>
      <c r="QU95" s="212" t="n"/>
      <c r="QV95" s="212" t="n"/>
      <c r="QW95" s="212" t="n"/>
      <c r="QX95" s="212" t="n"/>
      <c r="QY95" s="212" t="n"/>
      <c r="QZ95" s="212" t="n"/>
      <c r="RA95" s="212" t="n"/>
      <c r="RB95" s="212" t="n"/>
      <c r="RC95" s="212" t="n"/>
      <c r="RD95" s="212" t="n"/>
      <c r="RE95" s="212" t="n"/>
      <c r="RF95" s="212" t="n"/>
      <c r="RG95" s="212" t="n"/>
      <c r="RH95" s="212" t="n"/>
      <c r="RI95" s="212" t="n"/>
      <c r="RJ95" s="212" t="n"/>
      <c r="RK95" s="212" t="n"/>
      <c r="RL95" s="212" t="n"/>
      <c r="RM95" s="212" t="n"/>
      <c r="RN95" s="212" t="n"/>
      <c r="RO95" s="212" t="n"/>
      <c r="RP95" s="212" t="n"/>
      <c r="RQ95" s="212" t="n"/>
      <c r="RR95" s="212" t="n"/>
      <c r="RS95" s="212" t="n"/>
      <c r="RT95" s="212" t="n"/>
      <c r="RU95" s="212" t="n"/>
      <c r="RV95" s="212" t="n"/>
      <c r="RW95" s="212" t="n"/>
      <c r="RX95" s="212" t="n"/>
      <c r="RY95" s="212" t="n"/>
      <c r="RZ95" s="212" t="n"/>
      <c r="SA95" s="212" t="n"/>
      <c r="SB95" s="212" t="n"/>
      <c r="SC95" s="212" t="n"/>
      <c r="SD95" s="212" t="n"/>
      <c r="SE95" s="212" t="n"/>
      <c r="SF95" s="212" t="n"/>
      <c r="SG95" s="212" t="n"/>
      <c r="SH95" s="212" t="n"/>
      <c r="SI95" s="212" t="n"/>
      <c r="SJ95" s="212" t="n"/>
      <c r="SK95" s="212" t="n"/>
      <c r="SL95" s="212" t="n"/>
      <c r="SM95" s="212" t="n"/>
      <c r="SN95" s="212" t="n"/>
      <c r="SO95" s="212" t="n"/>
      <c r="SP95" s="212" t="n"/>
      <c r="SQ95" s="212" t="n"/>
      <c r="SR95" s="212" t="n"/>
      <c r="SS95" s="212" t="n"/>
      <c r="ST95" s="212" t="n"/>
      <c r="SU95" s="212" t="n"/>
      <c r="SV95" s="212" t="n"/>
    </row>
    <row r="96">
      <c r="B96" s="209" t="n"/>
      <c r="C96" s="209" t="n"/>
      <c r="D96" s="209" t="n"/>
      <c r="E96" s="209" t="n"/>
      <c r="F96" s="209">
        <f>IF(TRIM(D96&amp;E96)="","",TRIM(D96)&amp;" "&amp;TRIM(E96))</f>
        <v/>
      </c>
      <c r="G96" s="209" t="n"/>
      <c r="H96" s="209" t="n"/>
      <c r="I96" s="209" t="n"/>
      <c r="J96" s="209" t="n"/>
      <c r="K96" s="209" t="n"/>
      <c r="L96" s="209" t="n"/>
      <c r="M96" s="209" t="n"/>
      <c r="N96" s="209" t="n"/>
      <c r="O96" s="209" t="n"/>
      <c r="P96" s="209" t="n"/>
      <c r="Q96" s="209" t="n"/>
      <c r="R96" s="209" t="n"/>
      <c r="S96" s="212" t="n"/>
      <c r="T96" s="212" t="n"/>
      <c r="U96" s="212" t="n"/>
      <c r="V96" s="212" t="n"/>
      <c r="W96" s="212" t="n"/>
      <c r="X96" s="212" t="n"/>
      <c r="Y96" s="212" t="n"/>
      <c r="Z96" s="212" t="n"/>
      <c r="AA96" s="212" t="n"/>
      <c r="AB96" s="212" t="n"/>
      <c r="AC96" s="212" t="n"/>
      <c r="AD96" s="212" t="n"/>
      <c r="AE96" s="212" t="n"/>
      <c r="AF96" s="212" t="n"/>
      <c r="AG96" s="212" t="n"/>
      <c r="AH96" s="212" t="n"/>
      <c r="AI96" s="212" t="n"/>
      <c r="AJ96" s="212" t="n"/>
      <c r="AK96" s="212" t="n"/>
      <c r="AL96" s="212" t="n"/>
      <c r="AM96" s="212" t="n"/>
      <c r="AN96" s="212" t="n"/>
      <c r="AO96" s="212" t="n"/>
      <c r="AP96" s="212" t="n"/>
      <c r="AQ96" s="212" t="n"/>
      <c r="AR96" s="212" t="n"/>
      <c r="AS96" s="212" t="n"/>
      <c r="AT96" s="212" t="n"/>
      <c r="AU96" s="212" t="n"/>
      <c r="AV96" s="212" t="n"/>
      <c r="AW96" s="212" t="n"/>
      <c r="AX96" s="212" t="n"/>
      <c r="AY96" s="212" t="n"/>
      <c r="AZ96" s="212" t="n"/>
      <c r="BA96" s="212" t="n"/>
      <c r="BB96" s="212" t="n"/>
      <c r="BC96" s="212" t="n"/>
      <c r="BD96" s="212" t="n"/>
      <c r="BE96" s="212" t="n"/>
      <c r="BF96" s="212" t="n"/>
      <c r="BG96" s="212" t="n"/>
      <c r="BH96" s="212" t="n"/>
      <c r="BI96" s="212" t="n"/>
      <c r="BJ96" s="212" t="n"/>
      <c r="BK96" s="212" t="n"/>
      <c r="BL96" s="212" t="n"/>
      <c r="BM96" s="212" t="n"/>
      <c r="BN96" s="212" t="n"/>
      <c r="BO96" s="212" t="n"/>
      <c r="BP96" s="212" t="n"/>
      <c r="BQ96" s="212" t="n"/>
      <c r="BR96" s="212" t="n"/>
      <c r="BS96" s="212" t="n"/>
      <c r="BT96" s="212" t="n"/>
      <c r="BU96" s="212" t="n"/>
      <c r="BV96" s="212" t="n"/>
      <c r="BW96" s="212" t="n"/>
      <c r="BX96" s="212" t="n"/>
      <c r="BY96" s="212" t="n"/>
      <c r="BZ96" s="212" t="n"/>
      <c r="CA96" s="212" t="n"/>
      <c r="CB96" s="212" t="n"/>
      <c r="CC96" s="212" t="n"/>
      <c r="CD96" s="212" t="n"/>
      <c r="CE96" s="212" t="n"/>
      <c r="CF96" s="212" t="n"/>
      <c r="CG96" s="212" t="n"/>
      <c r="CH96" s="212" t="n"/>
      <c r="CI96" s="212" t="n"/>
      <c r="CJ96" s="212" t="n"/>
      <c r="CK96" s="212" t="n"/>
      <c r="CL96" s="212" t="n"/>
      <c r="CM96" s="212" t="n"/>
      <c r="CN96" s="212" t="n"/>
      <c r="CO96" s="212" t="n"/>
      <c r="CP96" s="212" t="n"/>
      <c r="CQ96" s="212" t="n"/>
      <c r="CR96" s="212" t="n"/>
      <c r="CS96" s="212" t="n"/>
      <c r="CT96" s="212" t="n"/>
      <c r="CU96" s="212" t="n"/>
      <c r="CV96" s="212" t="n"/>
      <c r="CW96" s="212" t="n"/>
      <c r="CX96" s="212" t="n"/>
      <c r="CY96" s="212" t="n"/>
      <c r="CZ96" s="212" t="n"/>
      <c r="DA96" s="212" t="n"/>
      <c r="DB96" s="212" t="n"/>
      <c r="DC96" s="212" t="n"/>
      <c r="DD96" s="212" t="n"/>
      <c r="DE96" s="212" t="n"/>
      <c r="DF96" s="212" t="n"/>
      <c r="DG96" s="212" t="n"/>
      <c r="DH96" s="212" t="n"/>
      <c r="DI96" s="212" t="n"/>
      <c r="DJ96" s="212" t="n"/>
      <c r="DK96" s="212" t="n"/>
      <c r="DL96" s="212" t="n"/>
      <c r="DM96" s="212" t="n"/>
      <c r="DN96" s="212" t="n"/>
      <c r="DO96" s="212" t="n"/>
      <c r="DP96" s="212" t="n"/>
      <c r="DQ96" s="212" t="n"/>
      <c r="DR96" s="212" t="n"/>
      <c r="DS96" s="212" t="n"/>
      <c r="DT96" s="212" t="n"/>
      <c r="DU96" s="212" t="n"/>
      <c r="DV96" s="212" t="n"/>
      <c r="DW96" s="212" t="n"/>
      <c r="DX96" s="212" t="n"/>
      <c r="DY96" s="212" t="n"/>
      <c r="DZ96" s="212" t="n"/>
      <c r="EA96" s="212" t="n"/>
      <c r="EB96" s="212" t="n"/>
      <c r="EC96" s="212" t="n"/>
      <c r="ED96" s="212" t="n"/>
      <c r="EE96" s="212" t="n"/>
      <c r="EF96" s="212" t="n"/>
      <c r="EG96" s="212" t="n"/>
      <c r="EH96" s="212" t="n"/>
      <c r="EI96" s="212" t="n"/>
      <c r="EJ96" s="212" t="n"/>
      <c r="EK96" s="212" t="n"/>
      <c r="EL96" s="212" t="n"/>
      <c r="EM96" s="212" t="n"/>
      <c r="EN96" s="212" t="n"/>
      <c r="EO96" s="212" t="n"/>
      <c r="EP96" s="212" t="n"/>
      <c r="EQ96" s="212" t="n"/>
      <c r="ER96" s="212" t="n"/>
      <c r="ES96" s="212" t="n"/>
      <c r="ET96" s="212" t="n"/>
      <c r="EU96" s="212" t="n"/>
      <c r="EV96" s="212" t="n"/>
      <c r="EW96" s="212" t="n"/>
      <c r="EX96" s="212" t="n"/>
      <c r="EY96" s="212" t="n"/>
      <c r="EZ96" s="212" t="n"/>
      <c r="FA96" s="212" t="n"/>
      <c r="FB96" s="212" t="n"/>
      <c r="FC96" s="212" t="n"/>
      <c r="FD96" s="212" t="n"/>
      <c r="FE96" s="212" t="n"/>
      <c r="FF96" s="212" t="n"/>
      <c r="FG96" s="212" t="n"/>
      <c r="FH96" s="212" t="n"/>
      <c r="FI96" s="212" t="n"/>
      <c r="FJ96" s="212" t="n"/>
      <c r="FK96" s="212" t="n"/>
      <c r="FL96" s="212" t="n"/>
      <c r="FM96" s="212" t="n"/>
      <c r="FN96" s="212" t="n"/>
      <c r="FO96" s="212" t="n"/>
      <c r="FP96" s="212" t="n"/>
      <c r="FQ96" s="212" t="n"/>
      <c r="FR96" s="212" t="n"/>
      <c r="FS96" s="212" t="n"/>
      <c r="FT96" s="212" t="n"/>
      <c r="FU96" s="212" t="n"/>
      <c r="FV96" s="212" t="n"/>
      <c r="FW96" s="212" t="n"/>
      <c r="FX96" s="212" t="n"/>
      <c r="FY96" s="212" t="n"/>
      <c r="FZ96" s="212" t="n"/>
      <c r="GA96" s="212" t="n"/>
      <c r="GB96" s="212" t="n"/>
      <c r="GC96" s="212" t="n"/>
      <c r="GD96" s="212" t="n"/>
      <c r="GE96" s="212" t="n"/>
      <c r="GF96" s="212" t="n"/>
      <c r="GG96" s="212" t="n"/>
      <c r="GH96" s="212" t="n"/>
      <c r="GI96" s="212" t="n"/>
      <c r="GJ96" s="212" t="n"/>
      <c r="GK96" s="212" t="n"/>
      <c r="GL96" s="212" t="n"/>
      <c r="GM96" s="212" t="n"/>
      <c r="GN96" s="212" t="n"/>
      <c r="GO96" s="212" t="n"/>
      <c r="GP96" s="212" t="n"/>
      <c r="GQ96" s="212" t="n"/>
      <c r="GR96" s="212" t="n"/>
      <c r="GS96" s="212" t="n"/>
      <c r="GT96" s="212" t="n"/>
      <c r="GU96" s="212" t="n"/>
      <c r="GV96" s="212" t="n"/>
      <c r="GW96" s="212" t="n"/>
      <c r="GX96" s="212" t="n"/>
      <c r="GY96" s="212" t="n"/>
      <c r="GZ96" s="212" t="n"/>
      <c r="HA96" s="212" t="n"/>
      <c r="HB96" s="212" t="n"/>
      <c r="HC96" s="212" t="n"/>
      <c r="HD96" s="212" t="n"/>
      <c r="HE96" s="212" t="n"/>
      <c r="HF96" s="212" t="n"/>
      <c r="HG96" s="212" t="n"/>
      <c r="HH96" s="212" t="n"/>
      <c r="HI96" s="212" t="n"/>
      <c r="HJ96" s="212" t="n"/>
      <c r="HK96" s="212" t="n"/>
      <c r="HL96" s="212" t="n"/>
      <c r="HM96" s="212" t="n"/>
      <c r="HN96" s="212" t="n"/>
      <c r="HO96" s="212" t="n"/>
      <c r="HP96" s="212" t="n"/>
      <c r="HQ96" s="212" t="n"/>
      <c r="HR96" s="212" t="n"/>
      <c r="HS96" s="212" t="n"/>
      <c r="HT96" s="212" t="n"/>
      <c r="HU96" s="212" t="n"/>
      <c r="HV96" s="212" t="n"/>
      <c r="HW96" s="212" t="n"/>
      <c r="HX96" s="212" t="n"/>
      <c r="HY96" s="212" t="n"/>
      <c r="HZ96" s="212" t="n"/>
      <c r="IA96" s="212" t="n"/>
      <c r="IB96" s="212" t="n"/>
      <c r="IC96" s="212" t="n"/>
      <c r="ID96" s="212" t="n"/>
      <c r="IE96" s="212" t="n"/>
      <c r="IF96" s="212" t="n"/>
      <c r="IG96" s="212" t="n"/>
      <c r="IH96" s="212" t="n"/>
      <c r="II96" s="212" t="n"/>
      <c r="IJ96" s="212" t="n"/>
      <c r="IK96" s="212" t="n"/>
      <c r="IL96" s="212" t="n"/>
      <c r="IM96" s="212" t="n"/>
      <c r="IN96" s="212" t="n"/>
      <c r="IO96" s="212" t="n"/>
      <c r="IP96" s="212" t="n"/>
      <c r="IQ96" s="212" t="n"/>
      <c r="IR96" s="212" t="n"/>
      <c r="IS96" s="212" t="n"/>
      <c r="IT96" s="212" t="n"/>
      <c r="IU96" s="212" t="n"/>
      <c r="IV96" s="212" t="n"/>
      <c r="IW96" s="212" t="n"/>
      <c r="IX96" s="212" t="n"/>
      <c r="IY96" s="212" t="n"/>
      <c r="IZ96" s="212" t="n"/>
      <c r="JA96" s="212" t="n"/>
      <c r="JB96" s="212" t="n"/>
      <c r="JC96" s="212" t="n"/>
      <c r="JD96" s="212" t="n"/>
      <c r="JE96" s="212" t="n"/>
      <c r="JF96" s="212" t="n"/>
      <c r="JG96" s="212" t="n"/>
      <c r="JH96" s="212" t="n"/>
      <c r="JI96" s="212" t="n"/>
      <c r="JJ96" s="212" t="n"/>
      <c r="JK96" s="212" t="n"/>
      <c r="JL96" s="212" t="n"/>
      <c r="JM96" s="212" t="n"/>
      <c r="JN96" s="212" t="n"/>
      <c r="JO96" s="212" t="n"/>
      <c r="JP96" s="212" t="n"/>
      <c r="JQ96" s="212" t="n"/>
      <c r="JR96" s="212" t="n"/>
      <c r="JS96" s="212" t="n"/>
      <c r="JT96" s="212" t="n"/>
      <c r="JU96" s="212" t="n"/>
      <c r="JV96" s="212" t="n"/>
      <c r="JW96" s="212" t="n"/>
      <c r="JX96" s="212" t="n"/>
      <c r="JY96" s="212" t="n"/>
      <c r="JZ96" s="212" t="n"/>
      <c r="KA96" s="212" t="n"/>
      <c r="KB96" s="212" t="n"/>
      <c r="KC96" s="212" t="n"/>
      <c r="KD96" s="212" t="n"/>
      <c r="KE96" s="212" t="n"/>
      <c r="KF96" s="212" t="n"/>
      <c r="KG96" s="212" t="n"/>
      <c r="KH96" s="212" t="n"/>
      <c r="KI96" s="212" t="n"/>
      <c r="KJ96" s="212" t="n"/>
      <c r="KK96" s="212" t="n"/>
      <c r="KL96" s="212" t="n"/>
      <c r="KM96" s="212" t="n"/>
      <c r="KN96" s="212" t="n"/>
      <c r="KO96" s="212" t="n"/>
      <c r="KP96" s="212" t="n"/>
      <c r="KQ96" s="212" t="n"/>
      <c r="KR96" s="212" t="n"/>
      <c r="KS96" s="212" t="n"/>
      <c r="KT96" s="212" t="n"/>
      <c r="KU96" s="212" t="n"/>
      <c r="KV96" s="212" t="n"/>
      <c r="KW96" s="212" t="n"/>
      <c r="KX96" s="212" t="n"/>
      <c r="KY96" s="212" t="n"/>
      <c r="KZ96" s="212" t="n"/>
      <c r="LA96" s="212" t="n"/>
      <c r="LB96" s="212" t="n"/>
      <c r="LC96" s="212" t="n"/>
      <c r="LD96" s="212" t="n"/>
      <c r="LE96" s="212" t="n"/>
      <c r="LF96" s="212" t="n"/>
      <c r="LG96" s="212" t="n"/>
      <c r="LH96" s="212" t="n"/>
      <c r="LI96" s="212" t="n"/>
      <c r="LJ96" s="212" t="n"/>
      <c r="LK96" s="212" t="n"/>
      <c r="LL96" s="212" t="n"/>
      <c r="LM96" s="212" t="n"/>
      <c r="LN96" s="212" t="n"/>
      <c r="LO96" s="212" t="n"/>
      <c r="LP96" s="212" t="n"/>
      <c r="LQ96" s="212" t="n"/>
      <c r="LR96" s="212" t="n"/>
      <c r="LS96" s="212" t="n"/>
      <c r="LT96" s="212" t="n"/>
      <c r="LU96" s="212" t="n"/>
      <c r="LV96" s="212" t="n"/>
      <c r="LW96" s="212" t="n"/>
      <c r="LX96" s="212" t="n"/>
      <c r="LY96" s="212" t="n"/>
      <c r="LZ96" s="212" t="n"/>
      <c r="MA96" s="212" t="n"/>
      <c r="MB96" s="212" t="n"/>
      <c r="MC96" s="212" t="n"/>
      <c r="MD96" s="212" t="n"/>
      <c r="ME96" s="212" t="n"/>
      <c r="MF96" s="212" t="n"/>
      <c r="MG96" s="212" t="n"/>
      <c r="MH96" s="212" t="n"/>
      <c r="MI96" s="212" t="n"/>
      <c r="MJ96" s="212" t="n"/>
      <c r="MK96" s="212" t="n"/>
      <c r="ML96" s="212" t="n"/>
      <c r="MM96" s="212" t="n"/>
      <c r="MN96" s="212" t="n"/>
      <c r="MO96" s="212" t="n"/>
      <c r="MP96" s="212" t="n"/>
      <c r="MQ96" s="212" t="n"/>
      <c r="MR96" s="212" t="n"/>
      <c r="MS96" s="212" t="n"/>
      <c r="MT96" s="212" t="n"/>
      <c r="MU96" s="212" t="n"/>
      <c r="MV96" s="212" t="n"/>
      <c r="MW96" s="212" t="n"/>
      <c r="MX96" s="212" t="n"/>
      <c r="MY96" s="212" t="n"/>
      <c r="MZ96" s="212" t="n"/>
      <c r="NA96" s="212" t="n"/>
      <c r="NB96" s="212" t="n"/>
      <c r="NC96" s="212" t="n"/>
      <c r="ND96" s="212" t="n"/>
      <c r="NE96" s="212" t="n"/>
      <c r="NF96" s="212" t="n"/>
      <c r="NG96" s="212" t="n"/>
      <c r="NH96" s="212" t="n"/>
      <c r="NI96" s="212" t="n"/>
      <c r="NJ96" s="212" t="n"/>
      <c r="NK96" s="212" t="n"/>
      <c r="NL96" s="212" t="n"/>
      <c r="NM96" s="212" t="n"/>
      <c r="NN96" s="212" t="n"/>
      <c r="NO96" s="212" t="n"/>
      <c r="NP96" s="212" t="n"/>
      <c r="NQ96" s="212" t="n"/>
      <c r="NR96" s="212" t="n"/>
      <c r="NS96" s="212" t="n"/>
      <c r="NT96" s="212" t="n"/>
      <c r="NU96" s="212" t="n"/>
      <c r="NV96" s="212" t="n"/>
      <c r="NW96" s="212" t="n"/>
      <c r="NX96" s="212" t="n"/>
      <c r="NY96" s="212" t="n"/>
      <c r="NZ96" s="212" t="n"/>
      <c r="OA96" s="212" t="n"/>
      <c r="OB96" s="212" t="n"/>
      <c r="OC96" s="212" t="n"/>
      <c r="OD96" s="212" t="n"/>
      <c r="OE96" s="212" t="n"/>
      <c r="OF96" s="212" t="n"/>
      <c r="OG96" s="212" t="n"/>
      <c r="OH96" s="212" t="n"/>
      <c r="OI96" s="212" t="n"/>
      <c r="OJ96" s="212" t="n"/>
      <c r="OK96" s="212" t="n"/>
      <c r="OL96" s="212" t="n"/>
      <c r="OM96" s="212" t="n"/>
      <c r="ON96" s="212" t="n"/>
      <c r="OO96" s="212" t="n"/>
      <c r="OP96" s="212" t="n"/>
      <c r="OQ96" s="212" t="n"/>
      <c r="OR96" s="212" t="n"/>
      <c r="OS96" s="212" t="n"/>
      <c r="OT96" s="212" t="n"/>
      <c r="OU96" s="212" t="n"/>
      <c r="OV96" s="212" t="n"/>
      <c r="OW96" s="212" t="n"/>
      <c r="OX96" s="212" t="n"/>
      <c r="OY96" s="212" t="n"/>
      <c r="OZ96" s="212" t="n"/>
      <c r="PA96" s="212" t="n"/>
      <c r="PB96" s="212" t="n"/>
      <c r="PC96" s="212" t="n"/>
      <c r="PD96" s="212" t="n"/>
      <c r="PE96" s="212" t="n"/>
      <c r="PF96" s="212" t="n"/>
      <c r="PG96" s="212" t="n"/>
      <c r="PH96" s="212" t="n"/>
      <c r="PI96" s="212" t="n"/>
      <c r="PJ96" s="212" t="n"/>
      <c r="PK96" s="212" t="n"/>
      <c r="PL96" s="212" t="n"/>
      <c r="PM96" s="212" t="n"/>
      <c r="PN96" s="212" t="n"/>
      <c r="PO96" s="212" t="n"/>
      <c r="PP96" s="212" t="n"/>
      <c r="PQ96" s="212" t="n"/>
      <c r="PR96" s="212" t="n"/>
      <c r="PS96" s="212" t="n"/>
      <c r="PT96" s="212" t="n"/>
      <c r="PU96" s="212" t="n"/>
      <c r="PV96" s="212" t="n"/>
      <c r="PW96" s="212" t="n"/>
      <c r="PX96" s="212" t="n"/>
      <c r="PY96" s="212" t="n"/>
      <c r="PZ96" s="212" t="n"/>
      <c r="QA96" s="212" t="n"/>
      <c r="QB96" s="212" t="n"/>
      <c r="QC96" s="212" t="n"/>
      <c r="QD96" s="212" t="n"/>
      <c r="QE96" s="212" t="n"/>
      <c r="QF96" s="212" t="n"/>
      <c r="QG96" s="212" t="n"/>
      <c r="QH96" s="212" t="n"/>
      <c r="QI96" s="212" t="n"/>
      <c r="QJ96" s="212" t="n"/>
      <c r="QK96" s="212" t="n"/>
      <c r="QL96" s="212" t="n"/>
      <c r="QM96" s="212" t="n"/>
      <c r="QN96" s="212" t="n"/>
      <c r="QO96" s="212" t="n"/>
      <c r="QP96" s="212" t="n"/>
      <c r="QQ96" s="212" t="n"/>
      <c r="QR96" s="212" t="n"/>
      <c r="QS96" s="212" t="n"/>
      <c r="QT96" s="212" t="n"/>
      <c r="QU96" s="212" t="n"/>
      <c r="QV96" s="212" t="n"/>
      <c r="QW96" s="212" t="n"/>
      <c r="QX96" s="212" t="n"/>
      <c r="QY96" s="212" t="n"/>
      <c r="QZ96" s="212" t="n"/>
      <c r="RA96" s="212" t="n"/>
      <c r="RB96" s="212" t="n"/>
      <c r="RC96" s="212" t="n"/>
      <c r="RD96" s="212" t="n"/>
      <c r="RE96" s="212" t="n"/>
      <c r="RF96" s="212" t="n"/>
      <c r="RG96" s="212" t="n"/>
      <c r="RH96" s="212" t="n"/>
      <c r="RI96" s="212" t="n"/>
      <c r="RJ96" s="212" t="n"/>
      <c r="RK96" s="212" t="n"/>
      <c r="RL96" s="212" t="n"/>
      <c r="RM96" s="212" t="n"/>
      <c r="RN96" s="212" t="n"/>
      <c r="RO96" s="212" t="n"/>
      <c r="RP96" s="212" t="n"/>
      <c r="RQ96" s="212" t="n"/>
      <c r="RR96" s="212" t="n"/>
      <c r="RS96" s="212" t="n"/>
      <c r="RT96" s="212" t="n"/>
      <c r="RU96" s="212" t="n"/>
      <c r="RV96" s="212" t="n"/>
      <c r="RW96" s="212" t="n"/>
      <c r="RX96" s="212" t="n"/>
      <c r="RY96" s="212" t="n"/>
      <c r="RZ96" s="212" t="n"/>
      <c r="SA96" s="212" t="n"/>
      <c r="SB96" s="212" t="n"/>
      <c r="SC96" s="212" t="n"/>
      <c r="SD96" s="212" t="n"/>
      <c r="SE96" s="212" t="n"/>
      <c r="SF96" s="212" t="n"/>
      <c r="SG96" s="212" t="n"/>
      <c r="SH96" s="212" t="n"/>
      <c r="SI96" s="212" t="n"/>
      <c r="SJ96" s="212" t="n"/>
      <c r="SK96" s="212" t="n"/>
      <c r="SL96" s="212" t="n"/>
      <c r="SM96" s="212" t="n"/>
      <c r="SN96" s="212" t="n"/>
      <c r="SO96" s="212" t="n"/>
      <c r="SP96" s="212" t="n"/>
      <c r="SQ96" s="212" t="n"/>
      <c r="SR96" s="212" t="n"/>
      <c r="SS96" s="212" t="n"/>
      <c r="ST96" s="212" t="n"/>
      <c r="SU96" s="212" t="n"/>
      <c r="SV96" s="212" t="n"/>
    </row>
    <row r="97">
      <c r="B97" s="209" t="n"/>
      <c r="C97" s="209" t="n"/>
      <c r="D97" s="209" t="n"/>
      <c r="E97" s="209" t="n"/>
      <c r="F97" s="209">
        <f>IF(TRIM(D97&amp;E97)="","",TRIM(D97)&amp;" "&amp;TRIM(E97))</f>
        <v/>
      </c>
      <c r="G97" s="209" t="n"/>
      <c r="H97" s="209" t="n"/>
      <c r="I97" s="209" t="n"/>
      <c r="J97" s="209" t="n"/>
      <c r="K97" s="209" t="n"/>
      <c r="L97" s="209" t="n"/>
      <c r="M97" s="209" t="n"/>
      <c r="N97" s="209" t="n"/>
      <c r="O97" s="209" t="n"/>
      <c r="P97" s="209" t="n"/>
      <c r="Q97" s="209" t="n"/>
      <c r="R97" s="209" t="n"/>
      <c r="S97" s="212" t="n"/>
      <c r="T97" s="212" t="n"/>
      <c r="U97" s="212" t="n"/>
      <c r="V97" s="212" t="n"/>
      <c r="W97" s="212" t="n"/>
      <c r="X97" s="212" t="n"/>
      <c r="Y97" s="212" t="n"/>
      <c r="Z97" s="212" t="n"/>
      <c r="AA97" s="212" t="n"/>
      <c r="AB97" s="212" t="n"/>
      <c r="AC97" s="212" t="n"/>
      <c r="AD97" s="212" t="n"/>
      <c r="AE97" s="212" t="n"/>
      <c r="AF97" s="212" t="n"/>
      <c r="AG97" s="212" t="n"/>
      <c r="AH97" s="212" t="n"/>
      <c r="AI97" s="212" t="n"/>
      <c r="AJ97" s="212" t="n"/>
      <c r="AK97" s="212" t="n"/>
      <c r="AL97" s="212" t="n"/>
      <c r="AM97" s="212" t="n"/>
      <c r="AN97" s="212" t="n"/>
      <c r="AO97" s="212" t="n"/>
      <c r="AP97" s="212" t="n"/>
      <c r="AQ97" s="212" t="n"/>
      <c r="AR97" s="212" t="n"/>
      <c r="AS97" s="212" t="n"/>
      <c r="AT97" s="212" t="n"/>
      <c r="AU97" s="212" t="n"/>
      <c r="AV97" s="212" t="n"/>
      <c r="AW97" s="212" t="n"/>
      <c r="AX97" s="212" t="n"/>
      <c r="AY97" s="212" t="n"/>
      <c r="AZ97" s="212" t="n"/>
      <c r="BA97" s="212" t="n"/>
      <c r="BB97" s="212" t="n"/>
      <c r="BC97" s="212" t="n"/>
      <c r="BD97" s="212" t="n"/>
      <c r="BE97" s="212" t="n"/>
      <c r="BF97" s="212" t="n"/>
      <c r="BG97" s="212" t="n"/>
      <c r="BH97" s="212" t="n"/>
      <c r="BI97" s="212" t="n"/>
      <c r="BJ97" s="212" t="n"/>
      <c r="BK97" s="212" t="n"/>
      <c r="BL97" s="212" t="n"/>
      <c r="BM97" s="212" t="n"/>
      <c r="BN97" s="212" t="n"/>
      <c r="BO97" s="212" t="n"/>
      <c r="BP97" s="212" t="n"/>
      <c r="BQ97" s="212" t="n"/>
      <c r="BR97" s="212" t="n"/>
      <c r="BS97" s="212" t="n"/>
      <c r="BT97" s="212" t="n"/>
      <c r="BU97" s="212" t="n"/>
      <c r="BV97" s="212" t="n"/>
      <c r="BW97" s="212" t="n"/>
      <c r="BX97" s="212" t="n"/>
      <c r="BY97" s="212" t="n"/>
      <c r="BZ97" s="212" t="n"/>
      <c r="CA97" s="212" t="n"/>
      <c r="CB97" s="212" t="n"/>
      <c r="CC97" s="212" t="n"/>
      <c r="CD97" s="212" t="n"/>
      <c r="CE97" s="212" t="n"/>
      <c r="CF97" s="212" t="n"/>
      <c r="CG97" s="212" t="n"/>
      <c r="CH97" s="212" t="n"/>
      <c r="CI97" s="212" t="n"/>
      <c r="CJ97" s="212" t="n"/>
      <c r="CK97" s="212" t="n"/>
      <c r="CL97" s="212" t="n"/>
      <c r="CM97" s="212" t="n"/>
      <c r="CN97" s="212" t="n"/>
      <c r="CO97" s="212" t="n"/>
      <c r="CP97" s="212" t="n"/>
      <c r="CQ97" s="212" t="n"/>
      <c r="CR97" s="212" t="n"/>
      <c r="CS97" s="212" t="n"/>
      <c r="CT97" s="212" t="n"/>
      <c r="CU97" s="212" t="n"/>
      <c r="CV97" s="212" t="n"/>
      <c r="CW97" s="212" t="n"/>
      <c r="CX97" s="212" t="n"/>
      <c r="CY97" s="212" t="n"/>
      <c r="CZ97" s="212" t="n"/>
      <c r="DA97" s="212" t="n"/>
      <c r="DB97" s="212" t="n"/>
      <c r="DC97" s="212" t="n"/>
      <c r="DD97" s="212" t="n"/>
      <c r="DE97" s="212" t="n"/>
      <c r="DF97" s="212" t="n"/>
      <c r="DG97" s="212" t="n"/>
      <c r="DH97" s="212" t="n"/>
      <c r="DI97" s="212" t="n"/>
      <c r="DJ97" s="212" t="n"/>
      <c r="DK97" s="212" t="n"/>
      <c r="DL97" s="212" t="n"/>
      <c r="DM97" s="212" t="n"/>
      <c r="DN97" s="212" t="n"/>
      <c r="DO97" s="212" t="n"/>
      <c r="DP97" s="212" t="n"/>
      <c r="DQ97" s="212" t="n"/>
      <c r="DR97" s="212" t="n"/>
      <c r="DS97" s="212" t="n"/>
      <c r="DT97" s="212" t="n"/>
      <c r="DU97" s="212" t="n"/>
      <c r="DV97" s="212" t="n"/>
      <c r="DW97" s="212" t="n"/>
      <c r="DX97" s="212" t="n"/>
      <c r="DY97" s="212" t="n"/>
      <c r="DZ97" s="212" t="n"/>
      <c r="EA97" s="212" t="n"/>
      <c r="EB97" s="212" t="n"/>
      <c r="EC97" s="212" t="n"/>
      <c r="ED97" s="212" t="n"/>
      <c r="EE97" s="212" t="n"/>
      <c r="EF97" s="212" t="n"/>
      <c r="EG97" s="212" t="n"/>
      <c r="EH97" s="212" t="n"/>
      <c r="EI97" s="212" t="n"/>
      <c r="EJ97" s="212" t="n"/>
      <c r="EK97" s="212" t="n"/>
      <c r="EL97" s="212" t="n"/>
      <c r="EM97" s="212" t="n"/>
      <c r="EN97" s="212" t="n"/>
      <c r="EO97" s="212" t="n"/>
      <c r="EP97" s="212" t="n"/>
      <c r="EQ97" s="212" t="n"/>
      <c r="ER97" s="212" t="n"/>
      <c r="ES97" s="212" t="n"/>
      <c r="ET97" s="212" t="n"/>
      <c r="EU97" s="212" t="n"/>
      <c r="EV97" s="212" t="n"/>
      <c r="EW97" s="212" t="n"/>
      <c r="EX97" s="212" t="n"/>
      <c r="EY97" s="212" t="n"/>
      <c r="EZ97" s="212" t="n"/>
      <c r="FA97" s="212" t="n"/>
      <c r="FB97" s="212" t="n"/>
      <c r="FC97" s="212" t="n"/>
      <c r="FD97" s="212" t="n"/>
      <c r="FE97" s="212" t="n"/>
      <c r="FF97" s="212" t="n"/>
      <c r="FG97" s="212" t="n"/>
      <c r="FH97" s="212" t="n"/>
      <c r="FI97" s="212" t="n"/>
      <c r="FJ97" s="212" t="n"/>
      <c r="FK97" s="212" t="n"/>
      <c r="FL97" s="212" t="n"/>
      <c r="FM97" s="212" t="n"/>
      <c r="FN97" s="212" t="n"/>
      <c r="FO97" s="212" t="n"/>
      <c r="FP97" s="212" t="n"/>
      <c r="FQ97" s="212" t="n"/>
      <c r="FR97" s="212" t="n"/>
      <c r="FS97" s="212" t="n"/>
      <c r="FT97" s="212" t="n"/>
      <c r="FU97" s="212" t="n"/>
      <c r="FV97" s="212" t="n"/>
      <c r="FW97" s="212" t="n"/>
      <c r="FX97" s="212" t="n"/>
      <c r="FY97" s="212" t="n"/>
      <c r="FZ97" s="212" t="n"/>
      <c r="GA97" s="212" t="n"/>
      <c r="GB97" s="212" t="n"/>
      <c r="GC97" s="212" t="n"/>
      <c r="GD97" s="212" t="n"/>
      <c r="GE97" s="212" t="n"/>
      <c r="GF97" s="212" t="n"/>
      <c r="GG97" s="212" t="n"/>
      <c r="GH97" s="212" t="n"/>
      <c r="GI97" s="212" t="n"/>
      <c r="GJ97" s="212" t="n"/>
      <c r="GK97" s="212" t="n"/>
      <c r="GL97" s="212" t="n"/>
      <c r="GM97" s="212" t="n"/>
      <c r="GN97" s="212" t="n"/>
      <c r="GO97" s="212" t="n"/>
      <c r="GP97" s="212" t="n"/>
      <c r="GQ97" s="212" t="n"/>
      <c r="GR97" s="212" t="n"/>
      <c r="GS97" s="212" t="n"/>
      <c r="GT97" s="212" t="n"/>
      <c r="GU97" s="212" t="n"/>
      <c r="GV97" s="212" t="n"/>
      <c r="GW97" s="212" t="n"/>
      <c r="GX97" s="212" t="n"/>
      <c r="GY97" s="212" t="n"/>
      <c r="GZ97" s="212" t="n"/>
      <c r="HA97" s="212" t="n"/>
      <c r="HB97" s="212" t="n"/>
      <c r="HC97" s="212" t="n"/>
      <c r="HD97" s="212" t="n"/>
      <c r="HE97" s="212" t="n"/>
      <c r="HF97" s="212" t="n"/>
      <c r="HG97" s="212" t="n"/>
      <c r="HH97" s="212" t="n"/>
      <c r="HI97" s="212" t="n"/>
      <c r="HJ97" s="212" t="n"/>
      <c r="HK97" s="212" t="n"/>
      <c r="HL97" s="212" t="n"/>
      <c r="HM97" s="212" t="n"/>
      <c r="HN97" s="212" t="n"/>
      <c r="HO97" s="212" t="n"/>
      <c r="HP97" s="212" t="n"/>
      <c r="HQ97" s="212" t="n"/>
      <c r="HR97" s="212" t="n"/>
      <c r="HS97" s="212" t="n"/>
      <c r="HT97" s="212" t="n"/>
      <c r="HU97" s="212" t="n"/>
      <c r="HV97" s="212" t="n"/>
      <c r="HW97" s="212" t="n"/>
      <c r="HX97" s="212" t="n"/>
      <c r="HY97" s="212" t="n"/>
      <c r="HZ97" s="212" t="n"/>
      <c r="IA97" s="212" t="n"/>
      <c r="IB97" s="212" t="n"/>
      <c r="IC97" s="212" t="n"/>
      <c r="ID97" s="212" t="n"/>
      <c r="IE97" s="212" t="n"/>
      <c r="IF97" s="212" t="n"/>
      <c r="IG97" s="212" t="n"/>
      <c r="IH97" s="212" t="n"/>
      <c r="II97" s="212" t="n"/>
      <c r="IJ97" s="212" t="n"/>
      <c r="IK97" s="212" t="n"/>
      <c r="IL97" s="212" t="n"/>
      <c r="IM97" s="212" t="n"/>
      <c r="IN97" s="212" t="n"/>
      <c r="IO97" s="212" t="n"/>
      <c r="IP97" s="212" t="n"/>
      <c r="IQ97" s="212" t="n"/>
      <c r="IR97" s="212" t="n"/>
      <c r="IS97" s="212" t="n"/>
      <c r="IT97" s="212" t="n"/>
      <c r="IU97" s="212" t="n"/>
      <c r="IV97" s="212" t="n"/>
      <c r="IW97" s="212" t="n"/>
      <c r="IX97" s="212" t="n"/>
      <c r="IY97" s="212" t="n"/>
      <c r="IZ97" s="212" t="n"/>
      <c r="JA97" s="212" t="n"/>
      <c r="JB97" s="212" t="n"/>
      <c r="JC97" s="212" t="n"/>
      <c r="JD97" s="212" t="n"/>
      <c r="JE97" s="212" t="n"/>
      <c r="JF97" s="212" t="n"/>
      <c r="JG97" s="212" t="n"/>
      <c r="JH97" s="212" t="n"/>
      <c r="JI97" s="212" t="n"/>
      <c r="JJ97" s="212" t="n"/>
      <c r="JK97" s="212" t="n"/>
      <c r="JL97" s="212" t="n"/>
      <c r="JM97" s="212" t="n"/>
      <c r="JN97" s="212" t="n"/>
      <c r="JO97" s="212" t="n"/>
      <c r="JP97" s="212" t="n"/>
      <c r="JQ97" s="212" t="n"/>
      <c r="JR97" s="212" t="n"/>
      <c r="JS97" s="212" t="n"/>
      <c r="JT97" s="212" t="n"/>
      <c r="JU97" s="212" t="n"/>
      <c r="JV97" s="212" t="n"/>
      <c r="JW97" s="212" t="n"/>
      <c r="JX97" s="212" t="n"/>
      <c r="JY97" s="212" t="n"/>
      <c r="JZ97" s="212" t="n"/>
      <c r="KA97" s="212" t="n"/>
      <c r="KB97" s="212" t="n"/>
      <c r="KC97" s="212" t="n"/>
      <c r="KD97" s="212" t="n"/>
      <c r="KE97" s="212" t="n"/>
      <c r="KF97" s="212" t="n"/>
      <c r="KG97" s="212" t="n"/>
      <c r="KH97" s="212" t="n"/>
      <c r="KI97" s="212" t="n"/>
      <c r="KJ97" s="212" t="n"/>
      <c r="KK97" s="212" t="n"/>
      <c r="KL97" s="212" t="n"/>
      <c r="KM97" s="212" t="n"/>
      <c r="KN97" s="212" t="n"/>
      <c r="KO97" s="212" t="n"/>
      <c r="KP97" s="212" t="n"/>
      <c r="KQ97" s="212" t="n"/>
      <c r="KR97" s="212" t="n"/>
      <c r="KS97" s="212" t="n"/>
      <c r="KT97" s="212" t="n"/>
      <c r="KU97" s="212" t="n"/>
      <c r="KV97" s="212" t="n"/>
      <c r="KW97" s="212" t="n"/>
      <c r="KX97" s="212" t="n"/>
      <c r="KY97" s="212" t="n"/>
      <c r="KZ97" s="212" t="n"/>
      <c r="LA97" s="212" t="n"/>
      <c r="LB97" s="212" t="n"/>
      <c r="LC97" s="212" t="n"/>
      <c r="LD97" s="212" t="n"/>
      <c r="LE97" s="212" t="n"/>
      <c r="LF97" s="212" t="n"/>
      <c r="LG97" s="212" t="n"/>
      <c r="LH97" s="212" t="n"/>
      <c r="LI97" s="212" t="n"/>
      <c r="LJ97" s="212" t="n"/>
      <c r="LK97" s="212" t="n"/>
      <c r="LL97" s="212" t="n"/>
      <c r="LM97" s="212" t="n"/>
      <c r="LN97" s="212" t="n"/>
      <c r="LO97" s="212" t="n"/>
      <c r="LP97" s="212" t="n"/>
      <c r="LQ97" s="212" t="n"/>
      <c r="LR97" s="212" t="n"/>
      <c r="LS97" s="212" t="n"/>
      <c r="LT97" s="212" t="n"/>
      <c r="LU97" s="212" t="n"/>
      <c r="LV97" s="212" t="n"/>
      <c r="LW97" s="212" t="n"/>
      <c r="LX97" s="212" t="n"/>
      <c r="LY97" s="212" t="n"/>
      <c r="LZ97" s="212" t="n"/>
      <c r="MA97" s="212" t="n"/>
      <c r="MB97" s="212" t="n"/>
      <c r="MC97" s="212" t="n"/>
      <c r="MD97" s="212" t="n"/>
      <c r="ME97" s="212" t="n"/>
      <c r="MF97" s="212" t="n"/>
      <c r="MG97" s="212" t="n"/>
      <c r="MH97" s="212" t="n"/>
      <c r="MI97" s="212" t="n"/>
      <c r="MJ97" s="212" t="n"/>
      <c r="MK97" s="212" t="n"/>
      <c r="ML97" s="212" t="n"/>
      <c r="MM97" s="212" t="n"/>
      <c r="MN97" s="212" t="n"/>
      <c r="MO97" s="212" t="n"/>
      <c r="MP97" s="212" t="n"/>
      <c r="MQ97" s="212" t="n"/>
      <c r="MR97" s="212" t="n"/>
      <c r="MS97" s="212" t="n"/>
      <c r="MT97" s="212" t="n"/>
      <c r="MU97" s="212" t="n"/>
      <c r="MV97" s="212" t="n"/>
      <c r="MW97" s="212" t="n"/>
      <c r="MX97" s="212" t="n"/>
      <c r="MY97" s="212" t="n"/>
      <c r="MZ97" s="212" t="n"/>
      <c r="NA97" s="212" t="n"/>
      <c r="NB97" s="212" t="n"/>
      <c r="NC97" s="212" t="n"/>
      <c r="ND97" s="212" t="n"/>
      <c r="NE97" s="212" t="n"/>
      <c r="NF97" s="212" t="n"/>
      <c r="NG97" s="212" t="n"/>
      <c r="NH97" s="212" t="n"/>
      <c r="NI97" s="212" t="n"/>
      <c r="NJ97" s="212" t="n"/>
      <c r="NK97" s="212" t="n"/>
      <c r="NL97" s="212" t="n"/>
      <c r="NM97" s="212" t="n"/>
      <c r="NN97" s="212" t="n"/>
      <c r="NO97" s="212" t="n"/>
      <c r="NP97" s="212" t="n"/>
      <c r="NQ97" s="212" t="n"/>
      <c r="NR97" s="212" t="n"/>
      <c r="NS97" s="212" t="n"/>
      <c r="NT97" s="212" t="n"/>
      <c r="NU97" s="212" t="n"/>
      <c r="NV97" s="212" t="n"/>
      <c r="NW97" s="212" t="n"/>
      <c r="NX97" s="212" t="n"/>
      <c r="NY97" s="212" t="n"/>
      <c r="NZ97" s="212" t="n"/>
      <c r="OA97" s="212" t="n"/>
      <c r="OB97" s="212" t="n"/>
      <c r="OC97" s="212" t="n"/>
      <c r="OD97" s="212" t="n"/>
      <c r="OE97" s="212" t="n"/>
      <c r="OF97" s="212" t="n"/>
      <c r="OG97" s="212" t="n"/>
      <c r="OH97" s="212" t="n"/>
      <c r="OI97" s="212" t="n"/>
      <c r="OJ97" s="212" t="n"/>
      <c r="OK97" s="212" t="n"/>
      <c r="OL97" s="212" t="n"/>
      <c r="OM97" s="212" t="n"/>
      <c r="ON97" s="212" t="n"/>
      <c r="OO97" s="212" t="n"/>
      <c r="OP97" s="212" t="n"/>
      <c r="OQ97" s="212" t="n"/>
      <c r="OR97" s="212" t="n"/>
      <c r="OS97" s="212" t="n"/>
      <c r="OT97" s="212" t="n"/>
      <c r="OU97" s="212" t="n"/>
      <c r="OV97" s="212" t="n"/>
      <c r="OW97" s="212" t="n"/>
      <c r="OX97" s="212" t="n"/>
      <c r="OY97" s="212" t="n"/>
      <c r="OZ97" s="212" t="n"/>
      <c r="PA97" s="212" t="n"/>
      <c r="PB97" s="212" t="n"/>
      <c r="PC97" s="212" t="n"/>
      <c r="PD97" s="212" t="n"/>
      <c r="PE97" s="212" t="n"/>
      <c r="PF97" s="212" t="n"/>
      <c r="PG97" s="212" t="n"/>
      <c r="PH97" s="212" t="n"/>
      <c r="PI97" s="212" t="n"/>
      <c r="PJ97" s="212" t="n"/>
      <c r="PK97" s="212" t="n"/>
      <c r="PL97" s="212" t="n"/>
      <c r="PM97" s="212" t="n"/>
      <c r="PN97" s="212" t="n"/>
      <c r="PO97" s="212" t="n"/>
      <c r="PP97" s="212" t="n"/>
      <c r="PQ97" s="212" t="n"/>
      <c r="PR97" s="212" t="n"/>
      <c r="PS97" s="212" t="n"/>
      <c r="PT97" s="212" t="n"/>
      <c r="PU97" s="212" t="n"/>
      <c r="PV97" s="212" t="n"/>
      <c r="PW97" s="212" t="n"/>
      <c r="PX97" s="212" t="n"/>
      <c r="PY97" s="212" t="n"/>
      <c r="PZ97" s="212" t="n"/>
      <c r="QA97" s="212" t="n"/>
      <c r="QB97" s="212" t="n"/>
      <c r="QC97" s="212" t="n"/>
      <c r="QD97" s="212" t="n"/>
      <c r="QE97" s="212" t="n"/>
      <c r="QF97" s="212" t="n"/>
      <c r="QG97" s="212" t="n"/>
      <c r="QH97" s="212" t="n"/>
      <c r="QI97" s="212" t="n"/>
      <c r="QJ97" s="212" t="n"/>
      <c r="QK97" s="212" t="n"/>
      <c r="QL97" s="212" t="n"/>
      <c r="QM97" s="212" t="n"/>
      <c r="QN97" s="212" t="n"/>
      <c r="QO97" s="212" t="n"/>
      <c r="QP97" s="212" t="n"/>
      <c r="QQ97" s="212" t="n"/>
      <c r="QR97" s="212" t="n"/>
      <c r="QS97" s="212" t="n"/>
      <c r="QT97" s="212" t="n"/>
      <c r="QU97" s="212" t="n"/>
      <c r="QV97" s="212" t="n"/>
      <c r="QW97" s="212" t="n"/>
      <c r="QX97" s="212" t="n"/>
      <c r="QY97" s="212" t="n"/>
      <c r="QZ97" s="212" t="n"/>
      <c r="RA97" s="212" t="n"/>
      <c r="RB97" s="212" t="n"/>
      <c r="RC97" s="212" t="n"/>
      <c r="RD97" s="212" t="n"/>
      <c r="RE97" s="212" t="n"/>
      <c r="RF97" s="212" t="n"/>
      <c r="RG97" s="212" t="n"/>
      <c r="RH97" s="212" t="n"/>
      <c r="RI97" s="212" t="n"/>
      <c r="RJ97" s="212" t="n"/>
      <c r="RK97" s="212" t="n"/>
      <c r="RL97" s="212" t="n"/>
      <c r="RM97" s="212" t="n"/>
      <c r="RN97" s="212" t="n"/>
      <c r="RO97" s="212" t="n"/>
      <c r="RP97" s="212" t="n"/>
      <c r="RQ97" s="212" t="n"/>
      <c r="RR97" s="212" t="n"/>
      <c r="RS97" s="212" t="n"/>
      <c r="RT97" s="212" t="n"/>
      <c r="RU97" s="212" t="n"/>
      <c r="RV97" s="212" t="n"/>
      <c r="RW97" s="212" t="n"/>
      <c r="RX97" s="212" t="n"/>
      <c r="RY97" s="212" t="n"/>
      <c r="RZ97" s="212" t="n"/>
      <c r="SA97" s="212" t="n"/>
      <c r="SB97" s="212" t="n"/>
      <c r="SC97" s="212" t="n"/>
      <c r="SD97" s="212" t="n"/>
      <c r="SE97" s="212" t="n"/>
      <c r="SF97" s="212" t="n"/>
      <c r="SG97" s="212" t="n"/>
      <c r="SH97" s="212" t="n"/>
      <c r="SI97" s="212" t="n"/>
      <c r="SJ97" s="212" t="n"/>
      <c r="SK97" s="212" t="n"/>
      <c r="SL97" s="212" t="n"/>
      <c r="SM97" s="212" t="n"/>
      <c r="SN97" s="212" t="n"/>
      <c r="SO97" s="212" t="n"/>
      <c r="SP97" s="212" t="n"/>
      <c r="SQ97" s="212" t="n"/>
      <c r="SR97" s="212" t="n"/>
      <c r="SS97" s="212" t="n"/>
      <c r="ST97" s="212" t="n"/>
      <c r="SU97" s="212" t="n"/>
      <c r="SV97" s="212" t="n"/>
    </row>
    <row r="98">
      <c r="B98" s="209" t="n"/>
      <c r="C98" s="209" t="n"/>
      <c r="D98" s="209" t="n"/>
      <c r="E98" s="209" t="n"/>
      <c r="F98" s="209">
        <f>IF(TRIM(D98&amp;E98)="","",TRIM(D98)&amp;" "&amp;TRIM(E98))</f>
        <v/>
      </c>
      <c r="G98" s="209" t="n"/>
      <c r="H98" s="209" t="n"/>
      <c r="I98" s="209" t="n"/>
      <c r="J98" s="209" t="n"/>
      <c r="K98" s="209" t="n"/>
      <c r="L98" s="209" t="n"/>
      <c r="M98" s="209" t="n"/>
      <c r="N98" s="209" t="n"/>
      <c r="O98" s="209" t="n"/>
      <c r="P98" s="209" t="n"/>
      <c r="Q98" s="209" t="n"/>
      <c r="R98" s="209" t="n"/>
      <c r="S98" s="212" t="n"/>
      <c r="T98" s="212" t="n"/>
      <c r="U98" s="212" t="n"/>
      <c r="V98" s="212" t="n"/>
      <c r="W98" s="212" t="n"/>
      <c r="X98" s="212" t="n"/>
      <c r="Y98" s="212" t="n"/>
      <c r="Z98" s="212" t="n"/>
      <c r="AA98" s="212" t="n"/>
      <c r="AB98" s="212" t="n"/>
      <c r="AC98" s="212" t="n"/>
      <c r="AD98" s="212" t="n"/>
      <c r="AE98" s="212" t="n"/>
      <c r="AF98" s="212" t="n"/>
      <c r="AG98" s="212" t="n"/>
      <c r="AH98" s="212" t="n"/>
      <c r="AI98" s="212" t="n"/>
      <c r="AJ98" s="212" t="n"/>
      <c r="AK98" s="212" t="n"/>
      <c r="AL98" s="212" t="n"/>
      <c r="AM98" s="212" t="n"/>
      <c r="AN98" s="212" t="n"/>
      <c r="AO98" s="212" t="n"/>
      <c r="AP98" s="212" t="n"/>
      <c r="AQ98" s="212" t="n"/>
      <c r="AR98" s="212" t="n"/>
      <c r="AS98" s="212" t="n"/>
      <c r="AT98" s="212" t="n"/>
      <c r="AU98" s="212" t="n"/>
      <c r="AV98" s="212" t="n"/>
      <c r="AW98" s="212" t="n"/>
      <c r="AX98" s="212" t="n"/>
      <c r="AY98" s="212" t="n"/>
      <c r="AZ98" s="212" t="n"/>
      <c r="BA98" s="212" t="n"/>
      <c r="BB98" s="212" t="n"/>
      <c r="BC98" s="212" t="n"/>
      <c r="BD98" s="212" t="n"/>
      <c r="BE98" s="212" t="n"/>
      <c r="BF98" s="212" t="n"/>
      <c r="BG98" s="212" t="n"/>
      <c r="BH98" s="212" t="n"/>
      <c r="BI98" s="212" t="n"/>
      <c r="BJ98" s="212" t="n"/>
      <c r="BK98" s="212" t="n"/>
      <c r="BL98" s="212" t="n"/>
      <c r="BM98" s="212" t="n"/>
      <c r="BN98" s="212" t="n"/>
      <c r="BO98" s="212" t="n"/>
      <c r="BP98" s="212" t="n"/>
      <c r="BQ98" s="212" t="n"/>
      <c r="BR98" s="212" t="n"/>
      <c r="BS98" s="212" t="n"/>
      <c r="BT98" s="212" t="n"/>
      <c r="BU98" s="212" t="n"/>
      <c r="BV98" s="212" t="n"/>
      <c r="BW98" s="212" t="n"/>
      <c r="BX98" s="212" t="n"/>
      <c r="BY98" s="212" t="n"/>
      <c r="BZ98" s="212" t="n"/>
      <c r="CA98" s="212" t="n"/>
      <c r="CB98" s="212" t="n"/>
      <c r="CC98" s="212" t="n"/>
      <c r="CD98" s="212" t="n"/>
      <c r="CE98" s="212" t="n"/>
      <c r="CF98" s="212" t="n"/>
      <c r="CG98" s="212" t="n"/>
      <c r="CH98" s="212" t="n"/>
      <c r="CI98" s="212" t="n"/>
      <c r="CJ98" s="212" t="n"/>
      <c r="CK98" s="212" t="n"/>
      <c r="CL98" s="212" t="n"/>
      <c r="CM98" s="212" t="n"/>
      <c r="CN98" s="212" t="n"/>
      <c r="CO98" s="212" t="n"/>
      <c r="CP98" s="212" t="n"/>
      <c r="CQ98" s="212" t="n"/>
      <c r="CR98" s="212" t="n"/>
      <c r="CS98" s="212" t="n"/>
      <c r="CT98" s="212" t="n"/>
      <c r="CU98" s="212" t="n"/>
      <c r="CV98" s="212" t="n"/>
      <c r="CW98" s="212" t="n"/>
      <c r="CX98" s="212" t="n"/>
      <c r="CY98" s="212" t="n"/>
      <c r="CZ98" s="212" t="n"/>
      <c r="DA98" s="212" t="n"/>
      <c r="DB98" s="212" t="n"/>
      <c r="DC98" s="212" t="n"/>
      <c r="DD98" s="212" t="n"/>
      <c r="DE98" s="212" t="n"/>
      <c r="DF98" s="212" t="n"/>
      <c r="DG98" s="212" t="n"/>
      <c r="DH98" s="212" t="n"/>
      <c r="DI98" s="212" t="n"/>
      <c r="DJ98" s="212" t="n"/>
      <c r="DK98" s="212" t="n"/>
      <c r="DL98" s="212" t="n"/>
      <c r="DM98" s="212" t="n"/>
      <c r="DN98" s="212" t="n"/>
      <c r="DO98" s="212" t="n"/>
      <c r="DP98" s="212" t="n"/>
      <c r="DQ98" s="212" t="n"/>
      <c r="DR98" s="212" t="n"/>
      <c r="DS98" s="212" t="n"/>
      <c r="DT98" s="212" t="n"/>
      <c r="DU98" s="212" t="n"/>
      <c r="DV98" s="212" t="n"/>
      <c r="DW98" s="212" t="n"/>
      <c r="DX98" s="212" t="n"/>
      <c r="DY98" s="212" t="n"/>
      <c r="DZ98" s="212" t="n"/>
      <c r="EA98" s="212" t="n"/>
      <c r="EB98" s="212" t="n"/>
      <c r="EC98" s="212" t="n"/>
      <c r="ED98" s="212" t="n"/>
      <c r="EE98" s="212" t="n"/>
      <c r="EF98" s="212" t="n"/>
      <c r="EG98" s="212" t="n"/>
      <c r="EH98" s="212" t="n"/>
      <c r="EI98" s="212" t="n"/>
      <c r="EJ98" s="212" t="n"/>
      <c r="EK98" s="212" t="n"/>
      <c r="EL98" s="212" t="n"/>
      <c r="EM98" s="212" t="n"/>
      <c r="EN98" s="212" t="n"/>
      <c r="EO98" s="212" t="n"/>
      <c r="EP98" s="212" t="n"/>
      <c r="EQ98" s="212" t="n"/>
      <c r="ER98" s="212" t="n"/>
      <c r="ES98" s="212" t="n"/>
      <c r="ET98" s="212" t="n"/>
      <c r="EU98" s="212" t="n"/>
      <c r="EV98" s="212" t="n"/>
      <c r="EW98" s="212" t="n"/>
      <c r="EX98" s="212" t="n"/>
      <c r="EY98" s="212" t="n"/>
      <c r="EZ98" s="212" t="n"/>
      <c r="FA98" s="212" t="n"/>
      <c r="FB98" s="212" t="n"/>
      <c r="FC98" s="212" t="n"/>
      <c r="FD98" s="212" t="n"/>
      <c r="FE98" s="212" t="n"/>
      <c r="FF98" s="212" t="n"/>
      <c r="FG98" s="212" t="n"/>
      <c r="FH98" s="212" t="n"/>
      <c r="FI98" s="212" t="n"/>
      <c r="FJ98" s="212" t="n"/>
      <c r="FK98" s="212" t="n"/>
      <c r="FL98" s="212" t="n"/>
      <c r="FM98" s="212" t="n"/>
      <c r="FN98" s="212" t="n"/>
      <c r="FO98" s="212" t="n"/>
      <c r="FP98" s="212" t="n"/>
      <c r="FQ98" s="212" t="n"/>
      <c r="FR98" s="212" t="n"/>
      <c r="FS98" s="212" t="n"/>
      <c r="FT98" s="212" t="n"/>
      <c r="FU98" s="212" t="n"/>
      <c r="FV98" s="212" t="n"/>
      <c r="FW98" s="212" t="n"/>
      <c r="FX98" s="212" t="n"/>
      <c r="FY98" s="212" t="n"/>
      <c r="FZ98" s="212" t="n"/>
      <c r="GA98" s="212" t="n"/>
      <c r="GB98" s="212" t="n"/>
      <c r="GC98" s="212" t="n"/>
      <c r="GD98" s="212" t="n"/>
      <c r="GE98" s="212" t="n"/>
      <c r="GF98" s="212" t="n"/>
      <c r="GG98" s="212" t="n"/>
      <c r="GH98" s="212" t="n"/>
      <c r="GI98" s="212" t="n"/>
      <c r="GJ98" s="212" t="n"/>
      <c r="GK98" s="212" t="n"/>
      <c r="GL98" s="212" t="n"/>
      <c r="GM98" s="212" t="n"/>
      <c r="GN98" s="212" t="n"/>
      <c r="GO98" s="212" t="n"/>
      <c r="GP98" s="212" t="n"/>
      <c r="GQ98" s="212" t="n"/>
      <c r="GR98" s="212" t="n"/>
      <c r="GS98" s="212" t="n"/>
      <c r="GT98" s="212" t="n"/>
      <c r="GU98" s="212" t="n"/>
      <c r="GV98" s="212" t="n"/>
      <c r="GW98" s="212" t="n"/>
      <c r="GX98" s="212" t="n"/>
      <c r="GY98" s="212" t="n"/>
      <c r="GZ98" s="212" t="n"/>
      <c r="HA98" s="212" t="n"/>
      <c r="HB98" s="212" t="n"/>
      <c r="HC98" s="212" t="n"/>
      <c r="HD98" s="212" t="n"/>
      <c r="HE98" s="212" t="n"/>
      <c r="HF98" s="212" t="n"/>
      <c r="HG98" s="212" t="n"/>
      <c r="HH98" s="212" t="n"/>
      <c r="HI98" s="212" t="n"/>
      <c r="HJ98" s="212" t="n"/>
      <c r="HK98" s="212" t="n"/>
      <c r="HL98" s="212" t="n"/>
      <c r="HM98" s="212" t="n"/>
      <c r="HN98" s="212" t="n"/>
      <c r="HO98" s="212" t="n"/>
      <c r="HP98" s="212" t="n"/>
      <c r="HQ98" s="212" t="n"/>
      <c r="HR98" s="212" t="n"/>
      <c r="HS98" s="212" t="n"/>
      <c r="HT98" s="212" t="n"/>
      <c r="HU98" s="212" t="n"/>
      <c r="HV98" s="212" t="n"/>
      <c r="HW98" s="212" t="n"/>
      <c r="HX98" s="212" t="n"/>
      <c r="HY98" s="212" t="n"/>
      <c r="HZ98" s="212" t="n"/>
      <c r="IA98" s="212" t="n"/>
      <c r="IB98" s="212" t="n"/>
      <c r="IC98" s="212" t="n"/>
      <c r="ID98" s="212" t="n"/>
      <c r="IE98" s="212" t="n"/>
      <c r="IF98" s="212" t="n"/>
      <c r="IG98" s="212" t="n"/>
      <c r="IH98" s="212" t="n"/>
      <c r="II98" s="212" t="n"/>
      <c r="IJ98" s="212" t="n"/>
      <c r="IK98" s="212" t="n"/>
      <c r="IL98" s="212" t="n"/>
      <c r="IM98" s="212" t="n"/>
      <c r="IN98" s="212" t="n"/>
      <c r="IO98" s="212" t="n"/>
      <c r="IP98" s="212" t="n"/>
      <c r="IQ98" s="212" t="n"/>
      <c r="IR98" s="212" t="n"/>
      <c r="IS98" s="212" t="n"/>
      <c r="IT98" s="212" t="n"/>
      <c r="IU98" s="212" t="n"/>
      <c r="IV98" s="212" t="n"/>
      <c r="IW98" s="212" t="n"/>
      <c r="IX98" s="212" t="n"/>
      <c r="IY98" s="212" t="n"/>
      <c r="IZ98" s="212" t="n"/>
      <c r="JA98" s="212" t="n"/>
      <c r="JB98" s="212" t="n"/>
      <c r="JC98" s="212" t="n"/>
      <c r="JD98" s="212" t="n"/>
      <c r="JE98" s="212" t="n"/>
      <c r="JF98" s="212" t="n"/>
      <c r="JG98" s="212" t="n"/>
      <c r="JH98" s="212" t="n"/>
      <c r="JI98" s="212" t="n"/>
      <c r="JJ98" s="212" t="n"/>
      <c r="JK98" s="212" t="n"/>
      <c r="JL98" s="212" t="n"/>
      <c r="JM98" s="212" t="n"/>
      <c r="JN98" s="212" t="n"/>
      <c r="JO98" s="212" t="n"/>
      <c r="JP98" s="212" t="n"/>
      <c r="JQ98" s="212" t="n"/>
      <c r="JR98" s="212" t="n"/>
      <c r="JS98" s="212" t="n"/>
      <c r="JT98" s="212" t="n"/>
      <c r="JU98" s="212" t="n"/>
      <c r="JV98" s="212" t="n"/>
      <c r="JW98" s="212" t="n"/>
      <c r="JX98" s="212" t="n"/>
      <c r="JY98" s="212" t="n"/>
      <c r="JZ98" s="212" t="n"/>
      <c r="KA98" s="212" t="n"/>
      <c r="KB98" s="212" t="n"/>
      <c r="KC98" s="212" t="n"/>
      <c r="KD98" s="212" t="n"/>
      <c r="KE98" s="212" t="n"/>
      <c r="KF98" s="212" t="n"/>
      <c r="KG98" s="212" t="n"/>
      <c r="KH98" s="212" t="n"/>
      <c r="KI98" s="212" t="n"/>
      <c r="KJ98" s="212" t="n"/>
      <c r="KK98" s="212" t="n"/>
      <c r="KL98" s="212" t="n"/>
      <c r="KM98" s="212" t="n"/>
      <c r="KN98" s="212" t="n"/>
      <c r="KO98" s="212" t="n"/>
      <c r="KP98" s="212" t="n"/>
      <c r="KQ98" s="212" t="n"/>
      <c r="KR98" s="212" t="n"/>
      <c r="KS98" s="212" t="n"/>
      <c r="KT98" s="212" t="n"/>
      <c r="KU98" s="212" t="n"/>
      <c r="KV98" s="212" t="n"/>
      <c r="KW98" s="212" t="n"/>
      <c r="KX98" s="212" t="n"/>
      <c r="KY98" s="212" t="n"/>
      <c r="KZ98" s="212" t="n"/>
      <c r="LA98" s="212" t="n"/>
      <c r="LB98" s="212" t="n"/>
      <c r="LC98" s="212" t="n"/>
      <c r="LD98" s="212" t="n"/>
      <c r="LE98" s="212" t="n"/>
      <c r="LF98" s="212" t="n"/>
      <c r="LG98" s="212" t="n"/>
      <c r="LH98" s="212" t="n"/>
      <c r="LI98" s="212" t="n"/>
      <c r="LJ98" s="212" t="n"/>
      <c r="LK98" s="212" t="n"/>
      <c r="LL98" s="212" t="n"/>
      <c r="LM98" s="212" t="n"/>
      <c r="LN98" s="212" t="n"/>
      <c r="LO98" s="212" t="n"/>
      <c r="LP98" s="212" t="n"/>
      <c r="LQ98" s="212" t="n"/>
      <c r="LR98" s="212" t="n"/>
      <c r="LS98" s="212" t="n"/>
      <c r="LT98" s="212" t="n"/>
      <c r="LU98" s="212" t="n"/>
      <c r="LV98" s="212" t="n"/>
      <c r="LW98" s="212" t="n"/>
      <c r="LX98" s="212" t="n"/>
      <c r="LY98" s="212" t="n"/>
      <c r="LZ98" s="212" t="n"/>
      <c r="MA98" s="212" t="n"/>
      <c r="MB98" s="212" t="n"/>
      <c r="MC98" s="212" t="n"/>
      <c r="MD98" s="212" t="n"/>
      <c r="ME98" s="212" t="n"/>
      <c r="MF98" s="212" t="n"/>
      <c r="MG98" s="212" t="n"/>
      <c r="MH98" s="212" t="n"/>
      <c r="MI98" s="212" t="n"/>
      <c r="MJ98" s="212" t="n"/>
      <c r="MK98" s="212" t="n"/>
      <c r="ML98" s="212" t="n"/>
      <c r="MM98" s="212" t="n"/>
      <c r="MN98" s="212" t="n"/>
      <c r="MO98" s="212" t="n"/>
      <c r="MP98" s="212" t="n"/>
      <c r="MQ98" s="212" t="n"/>
      <c r="MR98" s="212" t="n"/>
      <c r="MS98" s="212" t="n"/>
      <c r="MT98" s="212" t="n"/>
      <c r="MU98" s="212" t="n"/>
      <c r="MV98" s="212" t="n"/>
      <c r="MW98" s="212" t="n"/>
      <c r="MX98" s="212" t="n"/>
      <c r="MY98" s="212" t="n"/>
      <c r="MZ98" s="212" t="n"/>
      <c r="NA98" s="212" t="n"/>
      <c r="NB98" s="212" t="n"/>
      <c r="NC98" s="212" t="n"/>
      <c r="ND98" s="212" t="n"/>
      <c r="NE98" s="212" t="n"/>
      <c r="NF98" s="212" t="n"/>
      <c r="NG98" s="212" t="n"/>
      <c r="NH98" s="212" t="n"/>
      <c r="NI98" s="212" t="n"/>
      <c r="NJ98" s="212" t="n"/>
      <c r="NK98" s="212" t="n"/>
      <c r="NL98" s="212" t="n"/>
      <c r="NM98" s="212" t="n"/>
      <c r="NN98" s="212" t="n"/>
      <c r="NO98" s="212" t="n"/>
      <c r="NP98" s="212" t="n"/>
      <c r="NQ98" s="212" t="n"/>
      <c r="NR98" s="212" t="n"/>
      <c r="NS98" s="212" t="n"/>
      <c r="NT98" s="212" t="n"/>
      <c r="NU98" s="212" t="n"/>
      <c r="NV98" s="212" t="n"/>
      <c r="NW98" s="212" t="n"/>
      <c r="NX98" s="212" t="n"/>
      <c r="NY98" s="212" t="n"/>
      <c r="NZ98" s="212" t="n"/>
      <c r="OA98" s="212" t="n"/>
      <c r="OB98" s="212" t="n"/>
      <c r="OC98" s="212" t="n"/>
      <c r="OD98" s="212" t="n"/>
      <c r="OE98" s="212" t="n"/>
      <c r="OF98" s="212" t="n"/>
      <c r="OG98" s="212" t="n"/>
      <c r="OH98" s="212" t="n"/>
      <c r="OI98" s="212" t="n"/>
      <c r="OJ98" s="212" t="n"/>
      <c r="OK98" s="212" t="n"/>
      <c r="OL98" s="212" t="n"/>
      <c r="OM98" s="212" t="n"/>
      <c r="ON98" s="212" t="n"/>
      <c r="OO98" s="212" t="n"/>
      <c r="OP98" s="212" t="n"/>
      <c r="OQ98" s="212" t="n"/>
      <c r="OR98" s="212" t="n"/>
      <c r="OS98" s="212" t="n"/>
      <c r="OT98" s="212" t="n"/>
      <c r="OU98" s="212" t="n"/>
      <c r="OV98" s="212" t="n"/>
      <c r="OW98" s="212" t="n"/>
      <c r="OX98" s="212" t="n"/>
      <c r="OY98" s="212" t="n"/>
      <c r="OZ98" s="212" t="n"/>
      <c r="PA98" s="212" t="n"/>
      <c r="PB98" s="212" t="n"/>
      <c r="PC98" s="212" t="n"/>
      <c r="PD98" s="212" t="n"/>
      <c r="PE98" s="212" t="n"/>
      <c r="PF98" s="212" t="n"/>
      <c r="PG98" s="212" t="n"/>
      <c r="PH98" s="212" t="n"/>
      <c r="PI98" s="212" t="n"/>
      <c r="PJ98" s="212" t="n"/>
      <c r="PK98" s="212" t="n"/>
      <c r="PL98" s="212" t="n"/>
      <c r="PM98" s="212" t="n"/>
      <c r="PN98" s="212" t="n"/>
      <c r="PO98" s="212" t="n"/>
      <c r="PP98" s="212" t="n"/>
      <c r="PQ98" s="212" t="n"/>
      <c r="PR98" s="212" t="n"/>
      <c r="PS98" s="212" t="n"/>
      <c r="PT98" s="212" t="n"/>
      <c r="PU98" s="212" t="n"/>
      <c r="PV98" s="212" t="n"/>
      <c r="PW98" s="212" t="n"/>
      <c r="PX98" s="212" t="n"/>
      <c r="PY98" s="212" t="n"/>
      <c r="PZ98" s="212" t="n"/>
      <c r="QA98" s="212" t="n"/>
      <c r="QB98" s="212" t="n"/>
      <c r="QC98" s="212" t="n"/>
      <c r="QD98" s="212" t="n"/>
      <c r="QE98" s="212" t="n"/>
      <c r="QF98" s="212" t="n"/>
      <c r="QG98" s="212" t="n"/>
      <c r="QH98" s="212" t="n"/>
      <c r="QI98" s="212" t="n"/>
      <c r="QJ98" s="212" t="n"/>
      <c r="QK98" s="212" t="n"/>
      <c r="QL98" s="212" t="n"/>
      <c r="QM98" s="212" t="n"/>
      <c r="QN98" s="212" t="n"/>
      <c r="QO98" s="212" t="n"/>
      <c r="QP98" s="212" t="n"/>
      <c r="QQ98" s="212" t="n"/>
      <c r="QR98" s="212" t="n"/>
      <c r="QS98" s="212" t="n"/>
      <c r="QT98" s="212" t="n"/>
      <c r="QU98" s="212" t="n"/>
      <c r="QV98" s="212" t="n"/>
      <c r="QW98" s="212" t="n"/>
      <c r="QX98" s="212" t="n"/>
      <c r="QY98" s="212" t="n"/>
      <c r="QZ98" s="212" t="n"/>
      <c r="RA98" s="212" t="n"/>
      <c r="RB98" s="212" t="n"/>
      <c r="RC98" s="212" t="n"/>
      <c r="RD98" s="212" t="n"/>
      <c r="RE98" s="212" t="n"/>
      <c r="RF98" s="212" t="n"/>
      <c r="RG98" s="212" t="n"/>
      <c r="RH98" s="212" t="n"/>
      <c r="RI98" s="212" t="n"/>
      <c r="RJ98" s="212" t="n"/>
      <c r="RK98" s="212" t="n"/>
      <c r="RL98" s="212" t="n"/>
      <c r="RM98" s="212" t="n"/>
      <c r="RN98" s="212" t="n"/>
      <c r="RO98" s="212" t="n"/>
      <c r="RP98" s="212" t="n"/>
      <c r="RQ98" s="212" t="n"/>
      <c r="RR98" s="212" t="n"/>
      <c r="RS98" s="212" t="n"/>
      <c r="RT98" s="212" t="n"/>
      <c r="RU98" s="212" t="n"/>
      <c r="RV98" s="212" t="n"/>
      <c r="RW98" s="212" t="n"/>
      <c r="RX98" s="212" t="n"/>
      <c r="RY98" s="212" t="n"/>
      <c r="RZ98" s="212" t="n"/>
      <c r="SA98" s="212" t="n"/>
      <c r="SB98" s="212" t="n"/>
      <c r="SC98" s="212" t="n"/>
      <c r="SD98" s="212" t="n"/>
      <c r="SE98" s="212" t="n"/>
      <c r="SF98" s="212" t="n"/>
      <c r="SG98" s="212" t="n"/>
      <c r="SH98" s="212" t="n"/>
      <c r="SI98" s="212" t="n"/>
      <c r="SJ98" s="212" t="n"/>
      <c r="SK98" s="212" t="n"/>
      <c r="SL98" s="212" t="n"/>
      <c r="SM98" s="212" t="n"/>
      <c r="SN98" s="212" t="n"/>
      <c r="SO98" s="212" t="n"/>
      <c r="SP98" s="212" t="n"/>
      <c r="SQ98" s="212" t="n"/>
      <c r="SR98" s="212" t="n"/>
      <c r="SS98" s="212" t="n"/>
      <c r="ST98" s="212" t="n"/>
      <c r="SU98" s="212" t="n"/>
      <c r="SV98" s="212" t="n"/>
    </row>
    <row r="99">
      <c r="B99" s="209" t="n"/>
      <c r="C99" s="209" t="n"/>
      <c r="D99" s="209" t="n"/>
      <c r="E99" s="209" t="n"/>
      <c r="F99" s="209">
        <f>IF(TRIM(D99&amp;E99)="","",TRIM(D99)&amp;" "&amp;TRIM(E99))</f>
        <v/>
      </c>
      <c r="G99" s="209" t="n"/>
      <c r="H99" s="209" t="n"/>
      <c r="I99" s="209" t="n"/>
      <c r="J99" s="209" t="n"/>
      <c r="K99" s="209" t="n"/>
      <c r="L99" s="209" t="n"/>
      <c r="M99" s="209" t="n"/>
      <c r="N99" s="209" t="n"/>
      <c r="O99" s="209" t="n"/>
      <c r="P99" s="209" t="n"/>
      <c r="Q99" s="209" t="n"/>
      <c r="R99" s="209" t="n"/>
      <c r="S99" s="212" t="n"/>
      <c r="T99" s="212" t="n"/>
      <c r="U99" s="212" t="n"/>
      <c r="V99" s="212" t="n"/>
      <c r="W99" s="212" t="n"/>
      <c r="X99" s="212" t="n"/>
      <c r="Y99" s="212" t="n"/>
      <c r="Z99" s="212" t="n"/>
      <c r="AA99" s="212" t="n"/>
      <c r="AB99" s="212" t="n"/>
      <c r="AC99" s="212" t="n"/>
      <c r="AD99" s="212" t="n"/>
      <c r="AE99" s="212" t="n"/>
      <c r="AF99" s="212" t="n"/>
      <c r="AG99" s="212" t="n"/>
      <c r="AH99" s="212" t="n"/>
      <c r="AI99" s="212" t="n"/>
      <c r="AJ99" s="212" t="n"/>
      <c r="AK99" s="212" t="n"/>
      <c r="AL99" s="212" t="n"/>
      <c r="AM99" s="212" t="n"/>
      <c r="AN99" s="212" t="n"/>
      <c r="AO99" s="212" t="n"/>
      <c r="AP99" s="212" t="n"/>
      <c r="AQ99" s="212" t="n"/>
      <c r="AR99" s="212" t="n"/>
      <c r="AS99" s="212" t="n"/>
      <c r="AT99" s="212" t="n"/>
      <c r="AU99" s="212" t="n"/>
      <c r="AV99" s="212" t="n"/>
      <c r="AW99" s="212" t="n"/>
      <c r="AX99" s="212" t="n"/>
      <c r="AY99" s="212" t="n"/>
      <c r="AZ99" s="212" t="n"/>
      <c r="BA99" s="212" t="n"/>
      <c r="BB99" s="212" t="n"/>
      <c r="BC99" s="212" t="n"/>
      <c r="BD99" s="212" t="n"/>
      <c r="BE99" s="212" t="n"/>
      <c r="BF99" s="212" t="n"/>
      <c r="BG99" s="212" t="n"/>
      <c r="BH99" s="212" t="n"/>
      <c r="BI99" s="212" t="n"/>
      <c r="BJ99" s="212" t="n"/>
      <c r="BK99" s="212" t="n"/>
      <c r="BL99" s="212" t="n"/>
      <c r="BM99" s="212" t="n"/>
      <c r="BN99" s="212" t="n"/>
      <c r="BO99" s="212" t="n"/>
      <c r="BP99" s="212" t="n"/>
      <c r="BQ99" s="212" t="n"/>
      <c r="BR99" s="212" t="n"/>
      <c r="BS99" s="212" t="n"/>
      <c r="BT99" s="212" t="n"/>
      <c r="BU99" s="212" t="n"/>
      <c r="BV99" s="212" t="n"/>
      <c r="BW99" s="212" t="n"/>
      <c r="BX99" s="212" t="n"/>
      <c r="BY99" s="212" t="n"/>
      <c r="BZ99" s="212" t="n"/>
      <c r="CA99" s="212" t="n"/>
      <c r="CB99" s="212" t="n"/>
      <c r="CC99" s="212" t="n"/>
      <c r="CD99" s="212" t="n"/>
      <c r="CE99" s="212" t="n"/>
      <c r="CF99" s="212" t="n"/>
      <c r="CG99" s="212" t="n"/>
      <c r="CH99" s="212" t="n"/>
      <c r="CI99" s="212" t="n"/>
      <c r="CJ99" s="212" t="n"/>
      <c r="CK99" s="212" t="n"/>
      <c r="CL99" s="212" t="n"/>
      <c r="CM99" s="212" t="n"/>
      <c r="CN99" s="212" t="n"/>
      <c r="CO99" s="212" t="n"/>
      <c r="CP99" s="212" t="n"/>
      <c r="CQ99" s="212" t="n"/>
      <c r="CR99" s="212" t="n"/>
      <c r="CS99" s="212" t="n"/>
      <c r="CT99" s="212" t="n"/>
      <c r="CU99" s="212" t="n"/>
      <c r="CV99" s="212" t="n"/>
      <c r="CW99" s="212" t="n"/>
      <c r="CX99" s="212" t="n"/>
      <c r="CY99" s="212" t="n"/>
      <c r="CZ99" s="212" t="n"/>
      <c r="DA99" s="212" t="n"/>
      <c r="DB99" s="212" t="n"/>
      <c r="DC99" s="212" t="n"/>
      <c r="DD99" s="212" t="n"/>
      <c r="DE99" s="212" t="n"/>
      <c r="DF99" s="212" t="n"/>
      <c r="DG99" s="212" t="n"/>
      <c r="DH99" s="212" t="n"/>
      <c r="DI99" s="212" t="n"/>
      <c r="DJ99" s="212" t="n"/>
      <c r="DK99" s="212" t="n"/>
      <c r="DL99" s="212" t="n"/>
      <c r="DM99" s="212" t="n"/>
      <c r="DN99" s="212" t="n"/>
      <c r="DO99" s="212" t="n"/>
      <c r="DP99" s="212" t="n"/>
      <c r="DQ99" s="212" t="n"/>
      <c r="DR99" s="212" t="n"/>
      <c r="DS99" s="212" t="n"/>
      <c r="DT99" s="212" t="n"/>
      <c r="DU99" s="212" t="n"/>
      <c r="DV99" s="212" t="n"/>
      <c r="DW99" s="212" t="n"/>
      <c r="DX99" s="212" t="n"/>
      <c r="DY99" s="212" t="n"/>
      <c r="DZ99" s="212" t="n"/>
      <c r="EA99" s="212" t="n"/>
      <c r="EB99" s="212" t="n"/>
      <c r="EC99" s="212" t="n"/>
      <c r="ED99" s="212" t="n"/>
      <c r="EE99" s="212" t="n"/>
      <c r="EF99" s="212" t="n"/>
      <c r="EG99" s="212" t="n"/>
      <c r="EH99" s="212" t="n"/>
      <c r="EI99" s="212" t="n"/>
      <c r="EJ99" s="212" t="n"/>
      <c r="EK99" s="212" t="n"/>
      <c r="EL99" s="212" t="n"/>
      <c r="EM99" s="212" t="n"/>
      <c r="EN99" s="212" t="n"/>
      <c r="EO99" s="212" t="n"/>
      <c r="EP99" s="212" t="n"/>
      <c r="EQ99" s="212" t="n"/>
      <c r="ER99" s="212" t="n"/>
      <c r="ES99" s="212" t="n"/>
      <c r="ET99" s="212" t="n"/>
      <c r="EU99" s="212" t="n"/>
      <c r="EV99" s="212" t="n"/>
      <c r="EW99" s="212" t="n"/>
      <c r="EX99" s="212" t="n"/>
      <c r="EY99" s="212" t="n"/>
      <c r="EZ99" s="212" t="n"/>
      <c r="FA99" s="212" t="n"/>
      <c r="FB99" s="212" t="n"/>
      <c r="FC99" s="212" t="n"/>
      <c r="FD99" s="212" t="n"/>
      <c r="FE99" s="212" t="n"/>
      <c r="FF99" s="212" t="n"/>
      <c r="FG99" s="212" t="n"/>
      <c r="FH99" s="212" t="n"/>
      <c r="FI99" s="212" t="n"/>
      <c r="FJ99" s="212" t="n"/>
      <c r="FK99" s="212" t="n"/>
      <c r="FL99" s="212" t="n"/>
      <c r="FM99" s="212" t="n"/>
      <c r="FN99" s="212" t="n"/>
      <c r="FO99" s="212" t="n"/>
      <c r="FP99" s="212" t="n"/>
      <c r="FQ99" s="212" t="n"/>
      <c r="FR99" s="212" t="n"/>
      <c r="FS99" s="212" t="n"/>
      <c r="FT99" s="212" t="n"/>
      <c r="FU99" s="212" t="n"/>
      <c r="FV99" s="212" t="n"/>
      <c r="FW99" s="212" t="n"/>
      <c r="FX99" s="212" t="n"/>
      <c r="FY99" s="212" t="n"/>
      <c r="FZ99" s="212" t="n"/>
      <c r="GA99" s="212" t="n"/>
      <c r="GB99" s="212" t="n"/>
      <c r="GC99" s="212" t="n"/>
      <c r="GD99" s="212" t="n"/>
      <c r="GE99" s="212" t="n"/>
      <c r="GF99" s="212" t="n"/>
      <c r="GG99" s="212" t="n"/>
      <c r="GH99" s="212" t="n"/>
      <c r="GI99" s="212" t="n"/>
      <c r="GJ99" s="212" t="n"/>
      <c r="GK99" s="212" t="n"/>
      <c r="GL99" s="212" t="n"/>
      <c r="GM99" s="212" t="n"/>
      <c r="GN99" s="212" t="n"/>
      <c r="GO99" s="212" t="n"/>
      <c r="GP99" s="212" t="n"/>
      <c r="GQ99" s="212" t="n"/>
      <c r="GR99" s="212" t="n"/>
      <c r="GS99" s="212" t="n"/>
      <c r="GT99" s="212" t="n"/>
      <c r="GU99" s="212" t="n"/>
      <c r="GV99" s="212" t="n"/>
      <c r="GW99" s="212" t="n"/>
      <c r="GX99" s="212" t="n"/>
      <c r="GY99" s="212" t="n"/>
      <c r="GZ99" s="212" t="n"/>
      <c r="HA99" s="212" t="n"/>
      <c r="HB99" s="212" t="n"/>
      <c r="HC99" s="212" t="n"/>
      <c r="HD99" s="212" t="n"/>
      <c r="HE99" s="212" t="n"/>
      <c r="HF99" s="212" t="n"/>
      <c r="HG99" s="212" t="n"/>
      <c r="HH99" s="212" t="n"/>
      <c r="HI99" s="212" t="n"/>
      <c r="HJ99" s="212" t="n"/>
      <c r="HK99" s="212" t="n"/>
      <c r="HL99" s="212" t="n"/>
      <c r="HM99" s="212" t="n"/>
      <c r="HN99" s="212" t="n"/>
      <c r="HO99" s="212" t="n"/>
      <c r="HP99" s="212" t="n"/>
      <c r="HQ99" s="212" t="n"/>
      <c r="HR99" s="212" t="n"/>
      <c r="HS99" s="212" t="n"/>
      <c r="HT99" s="212" t="n"/>
      <c r="HU99" s="212" t="n"/>
      <c r="HV99" s="212" t="n"/>
      <c r="HW99" s="212" t="n"/>
      <c r="HX99" s="212" t="n"/>
      <c r="HY99" s="212" t="n"/>
      <c r="HZ99" s="212" t="n"/>
      <c r="IA99" s="212" t="n"/>
      <c r="IB99" s="212" t="n"/>
      <c r="IC99" s="212" t="n"/>
      <c r="ID99" s="212" t="n"/>
      <c r="IE99" s="212" t="n"/>
      <c r="IF99" s="212" t="n"/>
      <c r="IG99" s="212" t="n"/>
      <c r="IH99" s="212" t="n"/>
      <c r="II99" s="212" t="n"/>
      <c r="IJ99" s="212" t="n"/>
      <c r="IK99" s="212" t="n"/>
      <c r="IL99" s="212" t="n"/>
      <c r="IM99" s="212" t="n"/>
      <c r="IN99" s="212" t="n"/>
      <c r="IO99" s="212" t="n"/>
      <c r="IP99" s="212" t="n"/>
      <c r="IQ99" s="212" t="n"/>
      <c r="IR99" s="212" t="n"/>
      <c r="IS99" s="212" t="n"/>
      <c r="IT99" s="212" t="n"/>
      <c r="IU99" s="212" t="n"/>
      <c r="IV99" s="212" t="n"/>
      <c r="IW99" s="212" t="n"/>
      <c r="IX99" s="212" t="n"/>
      <c r="IY99" s="212" t="n"/>
      <c r="IZ99" s="212" t="n"/>
      <c r="JA99" s="212" t="n"/>
      <c r="JB99" s="212" t="n"/>
      <c r="JC99" s="212" t="n"/>
      <c r="JD99" s="212" t="n"/>
      <c r="JE99" s="212" t="n"/>
      <c r="JF99" s="212" t="n"/>
      <c r="JG99" s="212" t="n"/>
      <c r="JH99" s="212" t="n"/>
      <c r="JI99" s="212" t="n"/>
      <c r="JJ99" s="212" t="n"/>
      <c r="JK99" s="212" t="n"/>
      <c r="JL99" s="212" t="n"/>
      <c r="JM99" s="212" t="n"/>
      <c r="JN99" s="212" t="n"/>
      <c r="JO99" s="212" t="n"/>
      <c r="JP99" s="212" t="n"/>
      <c r="JQ99" s="212" t="n"/>
      <c r="JR99" s="212" t="n"/>
      <c r="JS99" s="212" t="n"/>
      <c r="JT99" s="212" t="n"/>
      <c r="JU99" s="212" t="n"/>
      <c r="JV99" s="212" t="n"/>
      <c r="JW99" s="212" t="n"/>
      <c r="JX99" s="212" t="n"/>
      <c r="JY99" s="212" t="n"/>
      <c r="JZ99" s="212" t="n"/>
      <c r="KA99" s="212" t="n"/>
      <c r="KB99" s="212" t="n"/>
      <c r="KC99" s="212" t="n"/>
      <c r="KD99" s="212" t="n"/>
      <c r="KE99" s="212" t="n"/>
      <c r="KF99" s="212" t="n"/>
      <c r="KG99" s="212" t="n"/>
      <c r="KH99" s="212" t="n"/>
      <c r="KI99" s="212" t="n"/>
      <c r="KJ99" s="212" t="n"/>
      <c r="KK99" s="212" t="n"/>
      <c r="KL99" s="212" t="n"/>
      <c r="KM99" s="212" t="n"/>
      <c r="KN99" s="212" t="n"/>
      <c r="KO99" s="212" t="n"/>
      <c r="KP99" s="212" t="n"/>
      <c r="KQ99" s="212" t="n"/>
      <c r="KR99" s="212" t="n"/>
      <c r="KS99" s="212" t="n"/>
      <c r="KT99" s="212" t="n"/>
      <c r="KU99" s="212" t="n"/>
      <c r="KV99" s="212" t="n"/>
      <c r="KW99" s="212" t="n"/>
      <c r="KX99" s="212" t="n"/>
      <c r="KY99" s="212" t="n"/>
      <c r="KZ99" s="212" t="n"/>
      <c r="LA99" s="212" t="n"/>
      <c r="LB99" s="212" t="n"/>
      <c r="LC99" s="212" t="n"/>
      <c r="LD99" s="212" t="n"/>
      <c r="LE99" s="212" t="n"/>
      <c r="LF99" s="212" t="n"/>
      <c r="LG99" s="212" t="n"/>
      <c r="LH99" s="212" t="n"/>
      <c r="LI99" s="212" t="n"/>
      <c r="LJ99" s="212" t="n"/>
      <c r="LK99" s="212" t="n"/>
      <c r="LL99" s="212" t="n"/>
      <c r="LM99" s="212" t="n"/>
      <c r="LN99" s="212" t="n"/>
      <c r="LO99" s="212" t="n"/>
      <c r="LP99" s="212" t="n"/>
      <c r="LQ99" s="212" t="n"/>
      <c r="LR99" s="212" t="n"/>
      <c r="LS99" s="212" t="n"/>
      <c r="LT99" s="212" t="n"/>
      <c r="LU99" s="212" t="n"/>
      <c r="LV99" s="212" t="n"/>
      <c r="LW99" s="212" t="n"/>
      <c r="LX99" s="212" t="n"/>
      <c r="LY99" s="212" t="n"/>
      <c r="LZ99" s="212" t="n"/>
      <c r="MA99" s="212" t="n"/>
      <c r="MB99" s="212" t="n"/>
      <c r="MC99" s="212" t="n"/>
      <c r="MD99" s="212" t="n"/>
      <c r="ME99" s="212" t="n"/>
      <c r="MF99" s="212" t="n"/>
      <c r="MG99" s="212" t="n"/>
      <c r="MH99" s="212" t="n"/>
      <c r="MI99" s="212" t="n"/>
      <c r="MJ99" s="212" t="n"/>
      <c r="MK99" s="212" t="n"/>
      <c r="ML99" s="212" t="n"/>
      <c r="MM99" s="212" t="n"/>
      <c r="MN99" s="212" t="n"/>
      <c r="MO99" s="212" t="n"/>
      <c r="MP99" s="212" t="n"/>
      <c r="MQ99" s="212" t="n"/>
      <c r="MR99" s="212" t="n"/>
      <c r="MS99" s="212" t="n"/>
      <c r="MT99" s="212" t="n"/>
      <c r="MU99" s="212" t="n"/>
      <c r="MV99" s="212" t="n"/>
      <c r="MW99" s="212" t="n"/>
      <c r="MX99" s="212" t="n"/>
      <c r="MY99" s="212" t="n"/>
      <c r="MZ99" s="212" t="n"/>
      <c r="NA99" s="212" t="n"/>
      <c r="NB99" s="212" t="n"/>
      <c r="NC99" s="212" t="n"/>
      <c r="ND99" s="212" t="n"/>
      <c r="NE99" s="212" t="n"/>
      <c r="NF99" s="212" t="n"/>
      <c r="NG99" s="212" t="n"/>
      <c r="NH99" s="212" t="n"/>
      <c r="NI99" s="212" t="n"/>
      <c r="NJ99" s="212" t="n"/>
      <c r="NK99" s="212" t="n"/>
      <c r="NL99" s="212" t="n"/>
      <c r="NM99" s="212" t="n"/>
      <c r="NN99" s="212" t="n"/>
      <c r="NO99" s="212" t="n"/>
      <c r="NP99" s="212" t="n"/>
      <c r="NQ99" s="212" t="n"/>
      <c r="NR99" s="212" t="n"/>
      <c r="NS99" s="212" t="n"/>
      <c r="NT99" s="212" t="n"/>
      <c r="NU99" s="212" t="n"/>
      <c r="NV99" s="212" t="n"/>
      <c r="NW99" s="212" t="n"/>
      <c r="NX99" s="212" t="n"/>
      <c r="NY99" s="212" t="n"/>
      <c r="NZ99" s="212" t="n"/>
      <c r="OA99" s="212" t="n"/>
      <c r="OB99" s="212" t="n"/>
      <c r="OC99" s="212" t="n"/>
      <c r="OD99" s="212" t="n"/>
      <c r="OE99" s="212" t="n"/>
      <c r="OF99" s="212" t="n"/>
      <c r="OG99" s="212" t="n"/>
      <c r="OH99" s="212" t="n"/>
      <c r="OI99" s="212" t="n"/>
      <c r="OJ99" s="212" t="n"/>
      <c r="OK99" s="212" t="n"/>
      <c r="OL99" s="212" t="n"/>
      <c r="OM99" s="212" t="n"/>
      <c r="ON99" s="212" t="n"/>
      <c r="OO99" s="212" t="n"/>
      <c r="OP99" s="212" t="n"/>
      <c r="OQ99" s="212" t="n"/>
      <c r="OR99" s="212" t="n"/>
      <c r="OS99" s="212" t="n"/>
      <c r="OT99" s="212" t="n"/>
      <c r="OU99" s="212" t="n"/>
      <c r="OV99" s="212" t="n"/>
      <c r="OW99" s="212" t="n"/>
      <c r="OX99" s="212" t="n"/>
      <c r="OY99" s="212" t="n"/>
      <c r="OZ99" s="212" t="n"/>
      <c r="PA99" s="212" t="n"/>
      <c r="PB99" s="212" t="n"/>
      <c r="PC99" s="212" t="n"/>
      <c r="PD99" s="212" t="n"/>
      <c r="PE99" s="212" t="n"/>
      <c r="PF99" s="212" t="n"/>
      <c r="PG99" s="212" t="n"/>
      <c r="PH99" s="212" t="n"/>
      <c r="PI99" s="212" t="n"/>
      <c r="PJ99" s="212" t="n"/>
      <c r="PK99" s="212" t="n"/>
      <c r="PL99" s="212" t="n"/>
      <c r="PM99" s="212" t="n"/>
      <c r="PN99" s="212" t="n"/>
      <c r="PO99" s="212" t="n"/>
      <c r="PP99" s="212" t="n"/>
      <c r="PQ99" s="212" t="n"/>
      <c r="PR99" s="212" t="n"/>
      <c r="PS99" s="212" t="n"/>
      <c r="PT99" s="212" t="n"/>
      <c r="PU99" s="212" t="n"/>
      <c r="PV99" s="212" t="n"/>
      <c r="PW99" s="212" t="n"/>
      <c r="PX99" s="212" t="n"/>
      <c r="PY99" s="212" t="n"/>
      <c r="PZ99" s="212" t="n"/>
      <c r="QA99" s="212" t="n"/>
      <c r="QB99" s="212" t="n"/>
      <c r="QC99" s="212" t="n"/>
      <c r="QD99" s="212" t="n"/>
      <c r="QE99" s="212" t="n"/>
      <c r="QF99" s="212" t="n"/>
      <c r="QG99" s="212" t="n"/>
      <c r="QH99" s="212" t="n"/>
      <c r="QI99" s="212" t="n"/>
      <c r="QJ99" s="212" t="n"/>
      <c r="QK99" s="212" t="n"/>
      <c r="QL99" s="212" t="n"/>
      <c r="QM99" s="212" t="n"/>
      <c r="QN99" s="212" t="n"/>
      <c r="QO99" s="212" t="n"/>
      <c r="QP99" s="212" t="n"/>
      <c r="QQ99" s="212" t="n"/>
      <c r="QR99" s="212" t="n"/>
      <c r="QS99" s="212" t="n"/>
      <c r="QT99" s="212" t="n"/>
      <c r="QU99" s="212" t="n"/>
      <c r="QV99" s="212" t="n"/>
      <c r="QW99" s="212" t="n"/>
      <c r="QX99" s="212" t="n"/>
      <c r="QY99" s="212" t="n"/>
      <c r="QZ99" s="212" t="n"/>
      <c r="RA99" s="212" t="n"/>
      <c r="RB99" s="212" t="n"/>
      <c r="RC99" s="212" t="n"/>
      <c r="RD99" s="212" t="n"/>
      <c r="RE99" s="212" t="n"/>
      <c r="RF99" s="212" t="n"/>
      <c r="RG99" s="212" t="n"/>
      <c r="RH99" s="212" t="n"/>
      <c r="RI99" s="212" t="n"/>
      <c r="RJ99" s="212" t="n"/>
      <c r="RK99" s="212" t="n"/>
      <c r="RL99" s="212" t="n"/>
      <c r="RM99" s="212" t="n"/>
      <c r="RN99" s="212" t="n"/>
      <c r="RO99" s="212" t="n"/>
      <c r="RP99" s="212" t="n"/>
      <c r="RQ99" s="212" t="n"/>
      <c r="RR99" s="212" t="n"/>
      <c r="RS99" s="212" t="n"/>
      <c r="RT99" s="212" t="n"/>
      <c r="RU99" s="212" t="n"/>
      <c r="RV99" s="212" t="n"/>
      <c r="RW99" s="212" t="n"/>
      <c r="RX99" s="212" t="n"/>
      <c r="RY99" s="212" t="n"/>
      <c r="RZ99" s="212" t="n"/>
      <c r="SA99" s="212" t="n"/>
      <c r="SB99" s="212" t="n"/>
      <c r="SC99" s="212" t="n"/>
      <c r="SD99" s="212" t="n"/>
      <c r="SE99" s="212" t="n"/>
      <c r="SF99" s="212" t="n"/>
      <c r="SG99" s="212" t="n"/>
      <c r="SH99" s="212" t="n"/>
      <c r="SI99" s="212" t="n"/>
      <c r="SJ99" s="212" t="n"/>
      <c r="SK99" s="212" t="n"/>
      <c r="SL99" s="212" t="n"/>
      <c r="SM99" s="212" t="n"/>
      <c r="SN99" s="212" t="n"/>
      <c r="SO99" s="212" t="n"/>
      <c r="SP99" s="212" t="n"/>
      <c r="SQ99" s="212" t="n"/>
      <c r="SR99" s="212" t="n"/>
      <c r="SS99" s="212" t="n"/>
      <c r="ST99" s="212" t="n"/>
      <c r="SU99" s="212" t="n"/>
      <c r="SV99" s="212" t="n"/>
    </row>
    <row r="100">
      <c r="B100" s="209" t="n"/>
      <c r="C100" s="209" t="n"/>
      <c r="D100" s="209" t="n"/>
      <c r="E100" s="209" t="n"/>
      <c r="F100" s="209">
        <f>IF(TRIM(D100&amp;E100)="","",TRIM(D100)&amp;" "&amp;TRIM(E100))</f>
        <v/>
      </c>
      <c r="G100" s="209" t="n"/>
      <c r="H100" s="209" t="n"/>
      <c r="I100" s="209" t="n"/>
      <c r="J100" s="209" t="n"/>
      <c r="K100" s="209" t="n"/>
      <c r="L100" s="209" t="n"/>
      <c r="M100" s="209" t="n"/>
      <c r="N100" s="209" t="n"/>
      <c r="O100" s="209" t="n"/>
      <c r="P100" s="209" t="n"/>
      <c r="Q100" s="209" t="n"/>
      <c r="R100" s="209" t="n"/>
      <c r="S100" s="212" t="n"/>
      <c r="T100" s="212" t="n"/>
      <c r="U100" s="212" t="n"/>
      <c r="V100" s="212" t="n"/>
      <c r="W100" s="212" t="n"/>
      <c r="X100" s="212" t="n"/>
      <c r="Y100" s="212" t="n"/>
      <c r="Z100" s="212" t="n"/>
      <c r="AA100" s="212" t="n"/>
      <c r="AB100" s="212" t="n"/>
      <c r="AC100" s="212" t="n"/>
      <c r="AD100" s="212" t="n"/>
      <c r="AE100" s="212" t="n"/>
      <c r="AF100" s="212" t="n"/>
      <c r="AG100" s="212" t="n"/>
      <c r="AH100" s="212" t="n"/>
      <c r="AI100" s="212" t="n"/>
      <c r="AJ100" s="212" t="n"/>
      <c r="AK100" s="212" t="n"/>
      <c r="AL100" s="212" t="n"/>
      <c r="AM100" s="212" t="n"/>
      <c r="AN100" s="212" t="n"/>
      <c r="AO100" s="212" t="n"/>
      <c r="AP100" s="212" t="n"/>
      <c r="AQ100" s="212" t="n"/>
      <c r="AR100" s="212" t="n"/>
      <c r="AS100" s="212" t="n"/>
      <c r="AT100" s="212" t="n"/>
      <c r="AU100" s="212" t="n"/>
      <c r="AV100" s="212" t="n"/>
      <c r="AW100" s="212" t="n"/>
      <c r="AX100" s="212" t="n"/>
      <c r="AY100" s="212" t="n"/>
      <c r="AZ100" s="212" t="n"/>
      <c r="BA100" s="212" t="n"/>
      <c r="BB100" s="212" t="n"/>
      <c r="BC100" s="212" t="n"/>
      <c r="BD100" s="212" t="n"/>
      <c r="BE100" s="212" t="n"/>
      <c r="BF100" s="212" t="n"/>
      <c r="BG100" s="212" t="n"/>
      <c r="BH100" s="212" t="n"/>
      <c r="BI100" s="212" t="n"/>
      <c r="BJ100" s="212" t="n"/>
      <c r="BK100" s="212" t="n"/>
      <c r="BL100" s="212" t="n"/>
      <c r="BM100" s="212" t="n"/>
      <c r="BN100" s="212" t="n"/>
      <c r="BO100" s="212" t="n"/>
      <c r="BP100" s="212" t="n"/>
      <c r="BQ100" s="212" t="n"/>
      <c r="BR100" s="212" t="n"/>
      <c r="BS100" s="212" t="n"/>
      <c r="BT100" s="212" t="n"/>
      <c r="BU100" s="212" t="n"/>
      <c r="BV100" s="212" t="n"/>
      <c r="BW100" s="212" t="n"/>
      <c r="BX100" s="212" t="n"/>
      <c r="BY100" s="212" t="n"/>
      <c r="BZ100" s="212" t="n"/>
      <c r="CA100" s="212" t="n"/>
      <c r="CB100" s="212" t="n"/>
      <c r="CC100" s="212" t="n"/>
      <c r="CD100" s="212" t="n"/>
      <c r="CE100" s="212" t="n"/>
      <c r="CF100" s="212" t="n"/>
      <c r="CG100" s="212" t="n"/>
      <c r="CH100" s="212" t="n"/>
      <c r="CI100" s="212" t="n"/>
      <c r="CJ100" s="212" t="n"/>
      <c r="CK100" s="212" t="n"/>
      <c r="CL100" s="212" t="n"/>
      <c r="CM100" s="212" t="n"/>
      <c r="CN100" s="212" t="n"/>
      <c r="CO100" s="212" t="n"/>
      <c r="CP100" s="212" t="n"/>
      <c r="CQ100" s="212" t="n"/>
      <c r="CR100" s="212" t="n"/>
      <c r="CS100" s="212" t="n"/>
      <c r="CT100" s="212" t="n"/>
      <c r="CU100" s="212" t="n"/>
      <c r="CV100" s="212" t="n"/>
      <c r="CW100" s="212" t="n"/>
      <c r="CX100" s="212" t="n"/>
      <c r="CY100" s="212" t="n"/>
      <c r="CZ100" s="212" t="n"/>
      <c r="DA100" s="212" t="n"/>
      <c r="DB100" s="212" t="n"/>
      <c r="DC100" s="212" t="n"/>
      <c r="DD100" s="212" t="n"/>
      <c r="DE100" s="212" t="n"/>
      <c r="DF100" s="212" t="n"/>
      <c r="DG100" s="212" t="n"/>
      <c r="DH100" s="212" t="n"/>
      <c r="DI100" s="212" t="n"/>
      <c r="DJ100" s="212" t="n"/>
      <c r="DK100" s="212" t="n"/>
      <c r="DL100" s="212" t="n"/>
      <c r="DM100" s="212" t="n"/>
      <c r="DN100" s="212" t="n"/>
      <c r="DO100" s="212" t="n"/>
      <c r="DP100" s="212" t="n"/>
      <c r="DQ100" s="212" t="n"/>
      <c r="DR100" s="212" t="n"/>
      <c r="DS100" s="212" t="n"/>
      <c r="DT100" s="212" t="n"/>
      <c r="DU100" s="212" t="n"/>
      <c r="DV100" s="212" t="n"/>
      <c r="DW100" s="212" t="n"/>
      <c r="DX100" s="212" t="n"/>
      <c r="DY100" s="212" t="n"/>
      <c r="DZ100" s="212" t="n"/>
      <c r="EA100" s="212" t="n"/>
      <c r="EB100" s="212" t="n"/>
      <c r="EC100" s="212" t="n"/>
      <c r="ED100" s="212" t="n"/>
      <c r="EE100" s="212" t="n"/>
      <c r="EF100" s="212" t="n"/>
      <c r="EG100" s="212" t="n"/>
      <c r="EH100" s="212" t="n"/>
      <c r="EI100" s="212" t="n"/>
      <c r="EJ100" s="212" t="n"/>
      <c r="EK100" s="212" t="n"/>
      <c r="EL100" s="212" t="n"/>
      <c r="EM100" s="212" t="n"/>
      <c r="EN100" s="212" t="n"/>
      <c r="EO100" s="212" t="n"/>
      <c r="EP100" s="212" t="n"/>
      <c r="EQ100" s="212" t="n"/>
      <c r="ER100" s="212" t="n"/>
      <c r="ES100" s="212" t="n"/>
      <c r="ET100" s="212" t="n"/>
      <c r="EU100" s="212" t="n"/>
      <c r="EV100" s="212" t="n"/>
      <c r="EW100" s="212" t="n"/>
      <c r="EX100" s="212" t="n"/>
      <c r="EY100" s="212" t="n"/>
      <c r="EZ100" s="212" t="n"/>
      <c r="FA100" s="212" t="n"/>
      <c r="FB100" s="212" t="n"/>
      <c r="FC100" s="212" t="n"/>
      <c r="FD100" s="212" t="n"/>
      <c r="FE100" s="212" t="n"/>
      <c r="FF100" s="212" t="n"/>
      <c r="FG100" s="212" t="n"/>
      <c r="FH100" s="212" t="n"/>
      <c r="FI100" s="212" t="n"/>
      <c r="FJ100" s="212" t="n"/>
      <c r="FK100" s="212" t="n"/>
      <c r="FL100" s="212" t="n"/>
      <c r="FM100" s="212" t="n"/>
      <c r="FN100" s="212" t="n"/>
      <c r="FO100" s="212" t="n"/>
      <c r="FP100" s="212" t="n"/>
      <c r="FQ100" s="212" t="n"/>
      <c r="FR100" s="212" t="n"/>
      <c r="FS100" s="212" t="n"/>
      <c r="FT100" s="212" t="n"/>
      <c r="FU100" s="212" t="n"/>
      <c r="FV100" s="212" t="n"/>
      <c r="FW100" s="212" t="n"/>
      <c r="FX100" s="212" t="n"/>
      <c r="FY100" s="212" t="n"/>
      <c r="FZ100" s="212" t="n"/>
      <c r="GA100" s="212" t="n"/>
      <c r="GB100" s="212" t="n"/>
      <c r="GC100" s="212" t="n"/>
      <c r="GD100" s="212" t="n"/>
      <c r="GE100" s="212" t="n"/>
      <c r="GF100" s="212" t="n"/>
      <c r="GG100" s="212" t="n"/>
      <c r="GH100" s="212" t="n"/>
      <c r="GI100" s="212" t="n"/>
      <c r="GJ100" s="212" t="n"/>
      <c r="GK100" s="212" t="n"/>
      <c r="GL100" s="212" t="n"/>
      <c r="GM100" s="212" t="n"/>
      <c r="GN100" s="212" t="n"/>
      <c r="GO100" s="212" t="n"/>
      <c r="GP100" s="212" t="n"/>
      <c r="GQ100" s="212" t="n"/>
      <c r="GR100" s="212" t="n"/>
      <c r="GS100" s="212" t="n"/>
      <c r="GT100" s="212" t="n"/>
      <c r="GU100" s="212" t="n"/>
      <c r="GV100" s="212" t="n"/>
      <c r="GW100" s="212" t="n"/>
      <c r="GX100" s="212" t="n"/>
      <c r="GY100" s="212" t="n"/>
      <c r="GZ100" s="212" t="n"/>
      <c r="HA100" s="212" t="n"/>
      <c r="HB100" s="212" t="n"/>
      <c r="HC100" s="212" t="n"/>
      <c r="HD100" s="212" t="n"/>
      <c r="HE100" s="212" t="n"/>
      <c r="HF100" s="212" t="n"/>
      <c r="HG100" s="212" t="n"/>
      <c r="HH100" s="212" t="n"/>
      <c r="HI100" s="212" t="n"/>
      <c r="HJ100" s="212" t="n"/>
      <c r="HK100" s="212" t="n"/>
      <c r="HL100" s="212" t="n"/>
      <c r="HM100" s="212" t="n"/>
      <c r="HN100" s="212" t="n"/>
      <c r="HO100" s="212" t="n"/>
      <c r="HP100" s="212" t="n"/>
      <c r="HQ100" s="212" t="n"/>
      <c r="HR100" s="212" t="n"/>
      <c r="HS100" s="212" t="n"/>
      <c r="HT100" s="212" t="n"/>
      <c r="HU100" s="212" t="n"/>
      <c r="HV100" s="212" t="n"/>
      <c r="HW100" s="212" t="n"/>
      <c r="HX100" s="212" t="n"/>
      <c r="HY100" s="212" t="n"/>
      <c r="HZ100" s="212" t="n"/>
      <c r="IA100" s="212" t="n"/>
      <c r="IB100" s="212" t="n"/>
      <c r="IC100" s="212" t="n"/>
      <c r="ID100" s="212" t="n"/>
      <c r="IE100" s="212" t="n"/>
      <c r="IF100" s="212" t="n"/>
      <c r="IG100" s="212" t="n"/>
      <c r="IH100" s="212" t="n"/>
      <c r="II100" s="212" t="n"/>
      <c r="IJ100" s="212" t="n"/>
      <c r="IK100" s="212" t="n"/>
      <c r="IL100" s="212" t="n"/>
      <c r="IM100" s="212" t="n"/>
      <c r="IN100" s="212" t="n"/>
      <c r="IO100" s="212" t="n"/>
      <c r="IP100" s="212" t="n"/>
      <c r="IQ100" s="212" t="n"/>
      <c r="IR100" s="212" t="n"/>
      <c r="IS100" s="212" t="n"/>
      <c r="IT100" s="212" t="n"/>
      <c r="IU100" s="212" t="n"/>
      <c r="IV100" s="212" t="n"/>
      <c r="IW100" s="212" t="n"/>
      <c r="IX100" s="212" t="n"/>
      <c r="IY100" s="212" t="n"/>
      <c r="IZ100" s="212" t="n"/>
      <c r="JA100" s="212" t="n"/>
      <c r="JB100" s="212" t="n"/>
      <c r="JC100" s="212" t="n"/>
      <c r="JD100" s="212" t="n"/>
      <c r="JE100" s="212" t="n"/>
      <c r="JF100" s="212" t="n"/>
      <c r="JG100" s="212" t="n"/>
      <c r="JH100" s="212" t="n"/>
      <c r="JI100" s="212" t="n"/>
      <c r="JJ100" s="212" t="n"/>
      <c r="JK100" s="212" t="n"/>
      <c r="JL100" s="212" t="n"/>
      <c r="JM100" s="212" t="n"/>
      <c r="JN100" s="212" t="n"/>
      <c r="JO100" s="212" t="n"/>
      <c r="JP100" s="212" t="n"/>
      <c r="JQ100" s="212" t="n"/>
      <c r="JR100" s="212" t="n"/>
      <c r="JS100" s="212" t="n"/>
      <c r="JT100" s="212" t="n"/>
      <c r="JU100" s="212" t="n"/>
      <c r="JV100" s="212" t="n"/>
      <c r="JW100" s="212" t="n"/>
      <c r="JX100" s="212" t="n"/>
      <c r="JY100" s="212" t="n"/>
      <c r="JZ100" s="212" t="n"/>
      <c r="KA100" s="212" t="n"/>
      <c r="KB100" s="212" t="n"/>
      <c r="KC100" s="212" t="n"/>
      <c r="KD100" s="212" t="n"/>
      <c r="KE100" s="212" t="n"/>
      <c r="KF100" s="212" t="n"/>
      <c r="KG100" s="212" t="n"/>
      <c r="KH100" s="212" t="n"/>
      <c r="KI100" s="212" t="n"/>
      <c r="KJ100" s="212" t="n"/>
      <c r="KK100" s="212" t="n"/>
      <c r="KL100" s="212" t="n"/>
      <c r="KM100" s="212" t="n"/>
      <c r="KN100" s="212" t="n"/>
      <c r="KO100" s="212" t="n"/>
      <c r="KP100" s="212" t="n"/>
      <c r="KQ100" s="212" t="n"/>
      <c r="KR100" s="212" t="n"/>
      <c r="KS100" s="212" t="n"/>
      <c r="KT100" s="212" t="n"/>
      <c r="KU100" s="212" t="n"/>
      <c r="KV100" s="212" t="n"/>
      <c r="KW100" s="212" t="n"/>
      <c r="KX100" s="212" t="n"/>
      <c r="KY100" s="212" t="n"/>
      <c r="KZ100" s="212" t="n"/>
      <c r="LA100" s="212" t="n"/>
      <c r="LB100" s="212" t="n"/>
      <c r="LC100" s="212" t="n"/>
      <c r="LD100" s="212" t="n"/>
      <c r="LE100" s="212" t="n"/>
      <c r="LF100" s="212" t="n"/>
      <c r="LG100" s="212" t="n"/>
      <c r="LH100" s="212" t="n"/>
      <c r="LI100" s="212" t="n"/>
      <c r="LJ100" s="212" t="n"/>
      <c r="LK100" s="212" t="n"/>
      <c r="LL100" s="212" t="n"/>
      <c r="LM100" s="212" t="n"/>
      <c r="LN100" s="212" t="n"/>
      <c r="LO100" s="212" t="n"/>
      <c r="LP100" s="212" t="n"/>
      <c r="LQ100" s="212" t="n"/>
      <c r="LR100" s="212" t="n"/>
      <c r="LS100" s="212" t="n"/>
      <c r="LT100" s="212" t="n"/>
      <c r="LU100" s="212" t="n"/>
      <c r="LV100" s="212" t="n"/>
      <c r="LW100" s="212" t="n"/>
      <c r="LX100" s="212" t="n"/>
      <c r="LY100" s="212" t="n"/>
      <c r="LZ100" s="212" t="n"/>
      <c r="MA100" s="212" t="n"/>
      <c r="MB100" s="212" t="n"/>
      <c r="MC100" s="212" t="n"/>
      <c r="MD100" s="212" t="n"/>
      <c r="ME100" s="212" t="n"/>
      <c r="MF100" s="212" t="n"/>
      <c r="MG100" s="212" t="n"/>
      <c r="MH100" s="212" t="n"/>
      <c r="MI100" s="212" t="n"/>
      <c r="MJ100" s="212" t="n"/>
      <c r="MK100" s="212" t="n"/>
      <c r="ML100" s="212" t="n"/>
      <c r="MM100" s="212" t="n"/>
      <c r="MN100" s="212" t="n"/>
      <c r="MO100" s="212" t="n"/>
      <c r="MP100" s="212" t="n"/>
      <c r="MQ100" s="212" t="n"/>
      <c r="MR100" s="212" t="n"/>
      <c r="MS100" s="212" t="n"/>
      <c r="MT100" s="212" t="n"/>
      <c r="MU100" s="212" t="n"/>
      <c r="MV100" s="212" t="n"/>
      <c r="MW100" s="212" t="n"/>
      <c r="MX100" s="212" t="n"/>
      <c r="MY100" s="212" t="n"/>
      <c r="MZ100" s="212" t="n"/>
      <c r="NA100" s="212" t="n"/>
      <c r="NB100" s="212" t="n"/>
      <c r="NC100" s="212" t="n"/>
      <c r="ND100" s="212" t="n"/>
      <c r="NE100" s="212" t="n"/>
      <c r="NF100" s="212" t="n"/>
      <c r="NG100" s="212" t="n"/>
      <c r="NH100" s="212" t="n"/>
      <c r="NI100" s="212" t="n"/>
      <c r="NJ100" s="212" t="n"/>
      <c r="NK100" s="212" t="n"/>
      <c r="NL100" s="212" t="n"/>
      <c r="NM100" s="212" t="n"/>
      <c r="NN100" s="212" t="n"/>
      <c r="NO100" s="212" t="n"/>
      <c r="NP100" s="212" t="n"/>
      <c r="NQ100" s="212" t="n"/>
      <c r="NR100" s="212" t="n"/>
      <c r="NS100" s="212" t="n"/>
      <c r="NT100" s="212" t="n"/>
      <c r="NU100" s="212" t="n"/>
      <c r="NV100" s="212" t="n"/>
      <c r="NW100" s="212" t="n"/>
      <c r="NX100" s="212" t="n"/>
      <c r="NY100" s="212" t="n"/>
      <c r="NZ100" s="212" t="n"/>
      <c r="OA100" s="212" t="n"/>
      <c r="OB100" s="212" t="n"/>
      <c r="OC100" s="212" t="n"/>
      <c r="OD100" s="212" t="n"/>
      <c r="OE100" s="212" t="n"/>
      <c r="OF100" s="212" t="n"/>
      <c r="OG100" s="212" t="n"/>
      <c r="OH100" s="212" t="n"/>
      <c r="OI100" s="212" t="n"/>
      <c r="OJ100" s="212" t="n"/>
      <c r="OK100" s="212" t="n"/>
      <c r="OL100" s="212" t="n"/>
      <c r="OM100" s="212" t="n"/>
      <c r="ON100" s="212" t="n"/>
      <c r="OO100" s="212" t="n"/>
      <c r="OP100" s="212" t="n"/>
      <c r="OQ100" s="212" t="n"/>
      <c r="OR100" s="212" t="n"/>
      <c r="OS100" s="212" t="n"/>
      <c r="OT100" s="212" t="n"/>
      <c r="OU100" s="212" t="n"/>
      <c r="OV100" s="212" t="n"/>
      <c r="OW100" s="212" t="n"/>
      <c r="OX100" s="212" t="n"/>
      <c r="OY100" s="212" t="n"/>
      <c r="OZ100" s="212" t="n"/>
      <c r="PA100" s="212" t="n"/>
      <c r="PB100" s="212" t="n"/>
      <c r="PC100" s="212" t="n"/>
      <c r="PD100" s="212" t="n"/>
      <c r="PE100" s="212" t="n"/>
      <c r="PF100" s="212" t="n"/>
      <c r="PG100" s="212" t="n"/>
      <c r="PH100" s="212" t="n"/>
      <c r="PI100" s="212" t="n"/>
      <c r="PJ100" s="212" t="n"/>
      <c r="PK100" s="212" t="n"/>
      <c r="PL100" s="212" t="n"/>
      <c r="PM100" s="212" t="n"/>
      <c r="PN100" s="212" t="n"/>
      <c r="PO100" s="212" t="n"/>
      <c r="PP100" s="212" t="n"/>
      <c r="PQ100" s="212" t="n"/>
      <c r="PR100" s="212" t="n"/>
      <c r="PS100" s="212" t="n"/>
      <c r="PT100" s="212" t="n"/>
      <c r="PU100" s="212" t="n"/>
      <c r="PV100" s="212" t="n"/>
      <c r="PW100" s="212" t="n"/>
      <c r="PX100" s="212" t="n"/>
      <c r="PY100" s="212" t="n"/>
      <c r="PZ100" s="212" t="n"/>
      <c r="QA100" s="212" t="n"/>
      <c r="QB100" s="212" t="n"/>
      <c r="QC100" s="212" t="n"/>
      <c r="QD100" s="212" t="n"/>
      <c r="QE100" s="212" t="n"/>
      <c r="QF100" s="212" t="n"/>
      <c r="QG100" s="212" t="n"/>
      <c r="QH100" s="212" t="n"/>
      <c r="QI100" s="212" t="n"/>
      <c r="QJ100" s="212" t="n"/>
      <c r="QK100" s="212" t="n"/>
      <c r="QL100" s="212" t="n"/>
      <c r="QM100" s="212" t="n"/>
      <c r="QN100" s="212" t="n"/>
      <c r="QO100" s="212" t="n"/>
      <c r="QP100" s="212" t="n"/>
      <c r="QQ100" s="212" t="n"/>
      <c r="QR100" s="212" t="n"/>
      <c r="QS100" s="212" t="n"/>
      <c r="QT100" s="212" t="n"/>
      <c r="QU100" s="212" t="n"/>
      <c r="QV100" s="212" t="n"/>
      <c r="QW100" s="212" t="n"/>
      <c r="QX100" s="212" t="n"/>
      <c r="QY100" s="212" t="n"/>
      <c r="QZ100" s="212" t="n"/>
      <c r="RA100" s="212" t="n"/>
      <c r="RB100" s="212" t="n"/>
      <c r="RC100" s="212" t="n"/>
      <c r="RD100" s="212" t="n"/>
      <c r="RE100" s="212" t="n"/>
      <c r="RF100" s="212" t="n"/>
      <c r="RG100" s="212" t="n"/>
      <c r="RH100" s="212" t="n"/>
      <c r="RI100" s="212" t="n"/>
      <c r="RJ100" s="212" t="n"/>
      <c r="RK100" s="212" t="n"/>
      <c r="RL100" s="212" t="n"/>
      <c r="RM100" s="212" t="n"/>
      <c r="RN100" s="212" t="n"/>
      <c r="RO100" s="212" t="n"/>
      <c r="RP100" s="212" t="n"/>
      <c r="RQ100" s="212" t="n"/>
      <c r="RR100" s="212" t="n"/>
      <c r="RS100" s="212" t="n"/>
      <c r="RT100" s="212" t="n"/>
      <c r="RU100" s="212" t="n"/>
      <c r="RV100" s="212" t="n"/>
      <c r="RW100" s="212" t="n"/>
      <c r="RX100" s="212" t="n"/>
      <c r="RY100" s="212" t="n"/>
      <c r="RZ100" s="212" t="n"/>
      <c r="SA100" s="212" t="n"/>
      <c r="SB100" s="212" t="n"/>
      <c r="SC100" s="212" t="n"/>
      <c r="SD100" s="212" t="n"/>
      <c r="SE100" s="212" t="n"/>
      <c r="SF100" s="212" t="n"/>
      <c r="SG100" s="212" t="n"/>
      <c r="SH100" s="212" t="n"/>
      <c r="SI100" s="212" t="n"/>
      <c r="SJ100" s="212" t="n"/>
      <c r="SK100" s="212" t="n"/>
      <c r="SL100" s="212" t="n"/>
      <c r="SM100" s="212" t="n"/>
      <c r="SN100" s="212" t="n"/>
      <c r="SO100" s="212" t="n"/>
      <c r="SP100" s="212" t="n"/>
      <c r="SQ100" s="212" t="n"/>
      <c r="SR100" s="212" t="n"/>
      <c r="SS100" s="212" t="n"/>
      <c r="ST100" s="212" t="n"/>
      <c r="SU100" s="212" t="n"/>
      <c r="SV100" s="212" t="n"/>
    </row>
    <row r="101">
      <c r="B101" s="209" t="n"/>
      <c r="C101" s="209" t="n"/>
      <c r="D101" s="209" t="n"/>
      <c r="E101" s="209" t="n"/>
      <c r="F101" s="209">
        <f>IF(TRIM(D101&amp;E101)="","",TRIM(D101)&amp;" "&amp;TRIM(E101))</f>
        <v/>
      </c>
      <c r="G101" s="209" t="n"/>
      <c r="H101" s="209" t="n"/>
      <c r="I101" s="209" t="n"/>
      <c r="J101" s="209" t="n"/>
      <c r="K101" s="209" t="n"/>
      <c r="L101" s="209" t="n"/>
      <c r="M101" s="209" t="n"/>
      <c r="N101" s="209" t="n"/>
      <c r="O101" s="209" t="n"/>
      <c r="P101" s="209" t="n"/>
      <c r="Q101" s="209" t="n"/>
      <c r="R101" s="209" t="n"/>
      <c r="S101" s="212" t="n"/>
      <c r="T101" s="212" t="n"/>
      <c r="U101" s="212" t="n"/>
      <c r="V101" s="212" t="n"/>
      <c r="W101" s="212" t="n"/>
      <c r="X101" s="212" t="n"/>
      <c r="Y101" s="212" t="n"/>
      <c r="Z101" s="212" t="n"/>
      <c r="AA101" s="212" t="n"/>
      <c r="AB101" s="212" t="n"/>
      <c r="AC101" s="212" t="n"/>
      <c r="AD101" s="212" t="n"/>
      <c r="AE101" s="212" t="n"/>
      <c r="AF101" s="212" t="n"/>
      <c r="AG101" s="212" t="n"/>
      <c r="AH101" s="212" t="n"/>
      <c r="AI101" s="212" t="n"/>
      <c r="AJ101" s="212" t="n"/>
      <c r="AK101" s="212" t="n"/>
      <c r="AL101" s="212" t="n"/>
      <c r="AM101" s="212" t="n"/>
      <c r="AN101" s="212" t="n"/>
      <c r="AO101" s="212" t="n"/>
      <c r="AP101" s="212" t="n"/>
      <c r="AQ101" s="212" t="n"/>
      <c r="AR101" s="212" t="n"/>
      <c r="AS101" s="212" t="n"/>
      <c r="AT101" s="212" t="n"/>
      <c r="AU101" s="212" t="n"/>
      <c r="AV101" s="212" t="n"/>
      <c r="AW101" s="212" t="n"/>
      <c r="AX101" s="212" t="n"/>
      <c r="AY101" s="212" t="n"/>
      <c r="AZ101" s="212" t="n"/>
      <c r="BA101" s="212" t="n"/>
      <c r="BB101" s="212" t="n"/>
      <c r="BC101" s="212" t="n"/>
      <c r="BD101" s="212" t="n"/>
      <c r="BE101" s="212" t="n"/>
      <c r="BF101" s="212" t="n"/>
      <c r="BG101" s="212" t="n"/>
      <c r="BH101" s="212" t="n"/>
      <c r="BI101" s="212" t="n"/>
      <c r="BJ101" s="212" t="n"/>
      <c r="BK101" s="212" t="n"/>
      <c r="BL101" s="212" t="n"/>
      <c r="BM101" s="212" t="n"/>
      <c r="BN101" s="212" t="n"/>
      <c r="BO101" s="212" t="n"/>
      <c r="BP101" s="212" t="n"/>
      <c r="BQ101" s="212" t="n"/>
      <c r="BR101" s="212" t="n"/>
      <c r="BS101" s="212" t="n"/>
      <c r="BT101" s="212" t="n"/>
      <c r="BU101" s="212" t="n"/>
      <c r="BV101" s="212" t="n"/>
      <c r="BW101" s="212" t="n"/>
      <c r="BX101" s="212" t="n"/>
      <c r="BY101" s="212" t="n"/>
      <c r="BZ101" s="212" t="n"/>
      <c r="CA101" s="212" t="n"/>
      <c r="CB101" s="212" t="n"/>
      <c r="CC101" s="212" t="n"/>
      <c r="CD101" s="212" t="n"/>
      <c r="CE101" s="212" t="n"/>
      <c r="CF101" s="212" t="n"/>
      <c r="CG101" s="212" t="n"/>
      <c r="CH101" s="212" t="n"/>
      <c r="CI101" s="212" t="n"/>
      <c r="CJ101" s="212" t="n"/>
      <c r="CK101" s="212" t="n"/>
      <c r="CL101" s="212" t="n"/>
      <c r="CM101" s="212" t="n"/>
      <c r="CN101" s="212" t="n"/>
      <c r="CO101" s="212" t="n"/>
      <c r="CP101" s="212" t="n"/>
      <c r="CQ101" s="212" t="n"/>
      <c r="CR101" s="212" t="n"/>
      <c r="CS101" s="212" t="n"/>
      <c r="CT101" s="212" t="n"/>
      <c r="CU101" s="212" t="n"/>
      <c r="CV101" s="212" t="n"/>
      <c r="CW101" s="212" t="n"/>
      <c r="CX101" s="212" t="n"/>
      <c r="CY101" s="212" t="n"/>
      <c r="CZ101" s="212" t="n"/>
      <c r="DA101" s="212" t="n"/>
      <c r="DB101" s="212" t="n"/>
      <c r="DC101" s="212" t="n"/>
      <c r="DD101" s="212" t="n"/>
      <c r="DE101" s="212" t="n"/>
      <c r="DF101" s="212" t="n"/>
      <c r="DG101" s="212" t="n"/>
      <c r="DH101" s="212" t="n"/>
      <c r="DI101" s="212" t="n"/>
      <c r="DJ101" s="212" t="n"/>
      <c r="DK101" s="212" t="n"/>
      <c r="DL101" s="212" t="n"/>
      <c r="DM101" s="212" t="n"/>
      <c r="DN101" s="212" t="n"/>
      <c r="DO101" s="212" t="n"/>
      <c r="DP101" s="212" t="n"/>
      <c r="DQ101" s="212" t="n"/>
      <c r="DR101" s="212" t="n"/>
      <c r="DS101" s="212" t="n"/>
      <c r="DT101" s="212" t="n"/>
      <c r="DU101" s="212" t="n"/>
      <c r="DV101" s="212" t="n"/>
      <c r="DW101" s="212" t="n"/>
      <c r="DX101" s="212" t="n"/>
      <c r="DY101" s="212" t="n"/>
      <c r="DZ101" s="212" t="n"/>
      <c r="EA101" s="212" t="n"/>
      <c r="EB101" s="212" t="n"/>
      <c r="EC101" s="212" t="n"/>
      <c r="ED101" s="212" t="n"/>
      <c r="EE101" s="212" t="n"/>
      <c r="EF101" s="212" t="n"/>
      <c r="EG101" s="212" t="n"/>
      <c r="EH101" s="212" t="n"/>
      <c r="EI101" s="212" t="n"/>
      <c r="EJ101" s="212" t="n"/>
      <c r="EK101" s="212" t="n"/>
      <c r="EL101" s="212" t="n"/>
      <c r="EM101" s="212" t="n"/>
      <c r="EN101" s="212" t="n"/>
      <c r="EO101" s="212" t="n"/>
      <c r="EP101" s="212" t="n"/>
      <c r="EQ101" s="212" t="n"/>
      <c r="ER101" s="212" t="n"/>
      <c r="ES101" s="212" t="n"/>
      <c r="ET101" s="212" t="n"/>
      <c r="EU101" s="212" t="n"/>
      <c r="EV101" s="212" t="n"/>
      <c r="EW101" s="212" t="n"/>
      <c r="EX101" s="212" t="n"/>
      <c r="EY101" s="212" t="n"/>
      <c r="EZ101" s="212" t="n"/>
      <c r="FA101" s="212" t="n"/>
      <c r="FB101" s="212" t="n"/>
      <c r="FC101" s="212" t="n"/>
      <c r="FD101" s="212" t="n"/>
      <c r="FE101" s="212" t="n"/>
      <c r="FF101" s="212" t="n"/>
      <c r="FG101" s="212" t="n"/>
      <c r="FH101" s="212" t="n"/>
      <c r="FI101" s="212" t="n"/>
      <c r="FJ101" s="212" t="n"/>
      <c r="FK101" s="212" t="n"/>
      <c r="FL101" s="212" t="n"/>
      <c r="FM101" s="212" t="n"/>
      <c r="FN101" s="212" t="n"/>
      <c r="FO101" s="212" t="n"/>
      <c r="FP101" s="212" t="n"/>
      <c r="FQ101" s="212" t="n"/>
      <c r="FR101" s="212" t="n"/>
      <c r="FS101" s="212" t="n"/>
      <c r="FT101" s="212" t="n"/>
      <c r="FU101" s="212" t="n"/>
      <c r="FV101" s="212" t="n"/>
      <c r="FW101" s="212" t="n"/>
      <c r="FX101" s="212" t="n"/>
      <c r="FY101" s="212" t="n"/>
      <c r="FZ101" s="212" t="n"/>
      <c r="GA101" s="212" t="n"/>
      <c r="GB101" s="212" t="n"/>
      <c r="GC101" s="212" t="n"/>
      <c r="GD101" s="212" t="n"/>
      <c r="GE101" s="212" t="n"/>
      <c r="GF101" s="212" t="n"/>
      <c r="GG101" s="212" t="n"/>
      <c r="GH101" s="212" t="n"/>
      <c r="GI101" s="212" t="n"/>
      <c r="GJ101" s="212" t="n"/>
      <c r="GK101" s="212" t="n"/>
      <c r="GL101" s="212" t="n"/>
      <c r="GM101" s="212" t="n"/>
      <c r="GN101" s="212" t="n"/>
      <c r="GO101" s="212" t="n"/>
      <c r="GP101" s="212" t="n"/>
      <c r="GQ101" s="212" t="n"/>
      <c r="GR101" s="212" t="n"/>
      <c r="GS101" s="212" t="n"/>
      <c r="GT101" s="212" t="n"/>
      <c r="GU101" s="212" t="n"/>
      <c r="GV101" s="212" t="n"/>
      <c r="GW101" s="212" t="n"/>
      <c r="GX101" s="212" t="n"/>
      <c r="GY101" s="212" t="n"/>
      <c r="GZ101" s="212" t="n"/>
      <c r="HA101" s="212" t="n"/>
      <c r="HB101" s="212" t="n"/>
      <c r="HC101" s="212" t="n"/>
      <c r="HD101" s="212" t="n"/>
      <c r="HE101" s="212" t="n"/>
      <c r="HF101" s="212" t="n"/>
      <c r="HG101" s="212" t="n"/>
      <c r="HH101" s="212" t="n"/>
      <c r="HI101" s="212" t="n"/>
      <c r="HJ101" s="212" t="n"/>
      <c r="HK101" s="212" t="n"/>
      <c r="HL101" s="212" t="n"/>
      <c r="HM101" s="212" t="n"/>
      <c r="HN101" s="212" t="n"/>
      <c r="HO101" s="212" t="n"/>
      <c r="HP101" s="212" t="n"/>
      <c r="HQ101" s="212" t="n"/>
      <c r="HR101" s="212" t="n"/>
      <c r="HS101" s="212" t="n"/>
      <c r="HT101" s="212" t="n"/>
      <c r="HU101" s="212" t="n"/>
      <c r="HV101" s="212" t="n"/>
      <c r="HW101" s="212" t="n"/>
      <c r="HX101" s="212" t="n"/>
      <c r="HY101" s="212" t="n"/>
      <c r="HZ101" s="212" t="n"/>
      <c r="IA101" s="212" t="n"/>
      <c r="IB101" s="212" t="n"/>
      <c r="IC101" s="212" t="n"/>
      <c r="ID101" s="212" t="n"/>
      <c r="IE101" s="212" t="n"/>
      <c r="IF101" s="212" t="n"/>
      <c r="IG101" s="212" t="n"/>
      <c r="IH101" s="212" t="n"/>
      <c r="II101" s="212" t="n"/>
      <c r="IJ101" s="212" t="n"/>
      <c r="IK101" s="212" t="n"/>
      <c r="IL101" s="212" t="n"/>
      <c r="IM101" s="212" t="n"/>
      <c r="IN101" s="212" t="n"/>
      <c r="IO101" s="212" t="n"/>
      <c r="IP101" s="212" t="n"/>
      <c r="IQ101" s="212" t="n"/>
      <c r="IR101" s="212" t="n"/>
      <c r="IS101" s="212" t="n"/>
      <c r="IT101" s="212" t="n"/>
      <c r="IU101" s="212" t="n"/>
      <c r="IV101" s="212" t="n"/>
      <c r="IW101" s="212" t="n"/>
      <c r="IX101" s="212" t="n"/>
      <c r="IY101" s="212" t="n"/>
      <c r="IZ101" s="212" t="n"/>
      <c r="JA101" s="212" t="n"/>
      <c r="JB101" s="212" t="n"/>
      <c r="JC101" s="212" t="n"/>
      <c r="JD101" s="212" t="n"/>
      <c r="JE101" s="212" t="n"/>
      <c r="JF101" s="212" t="n"/>
      <c r="JG101" s="212" t="n"/>
      <c r="JH101" s="212" t="n"/>
      <c r="JI101" s="212" t="n"/>
      <c r="JJ101" s="212" t="n"/>
      <c r="JK101" s="212" t="n"/>
      <c r="JL101" s="212" t="n"/>
      <c r="JM101" s="212" t="n"/>
      <c r="JN101" s="212" t="n"/>
      <c r="JO101" s="212" t="n"/>
      <c r="JP101" s="212" t="n"/>
      <c r="JQ101" s="212" t="n"/>
      <c r="JR101" s="212" t="n"/>
      <c r="JS101" s="212" t="n"/>
      <c r="JT101" s="212" t="n"/>
      <c r="JU101" s="212" t="n"/>
      <c r="JV101" s="212" t="n"/>
      <c r="JW101" s="212" t="n"/>
      <c r="JX101" s="212" t="n"/>
      <c r="JY101" s="212" t="n"/>
      <c r="JZ101" s="212" t="n"/>
      <c r="KA101" s="212" t="n"/>
      <c r="KB101" s="212" t="n"/>
      <c r="KC101" s="212" t="n"/>
      <c r="KD101" s="212" t="n"/>
      <c r="KE101" s="212" t="n"/>
      <c r="KF101" s="212" t="n"/>
      <c r="KG101" s="212" t="n"/>
      <c r="KH101" s="212" t="n"/>
      <c r="KI101" s="212" t="n"/>
      <c r="KJ101" s="212" t="n"/>
      <c r="KK101" s="212" t="n"/>
      <c r="KL101" s="212" t="n"/>
      <c r="KM101" s="212" t="n"/>
      <c r="KN101" s="212" t="n"/>
      <c r="KO101" s="212" t="n"/>
      <c r="KP101" s="212" t="n"/>
      <c r="KQ101" s="212" t="n"/>
      <c r="KR101" s="212" t="n"/>
      <c r="KS101" s="212" t="n"/>
      <c r="KT101" s="212" t="n"/>
      <c r="KU101" s="212" t="n"/>
      <c r="KV101" s="212" t="n"/>
      <c r="KW101" s="212" t="n"/>
      <c r="KX101" s="212" t="n"/>
      <c r="KY101" s="212" t="n"/>
      <c r="KZ101" s="212" t="n"/>
      <c r="LA101" s="212" t="n"/>
      <c r="LB101" s="212" t="n"/>
      <c r="LC101" s="212" t="n"/>
      <c r="LD101" s="212" t="n"/>
      <c r="LE101" s="212" t="n"/>
      <c r="LF101" s="212" t="n"/>
      <c r="LG101" s="212" t="n"/>
      <c r="LH101" s="212" t="n"/>
      <c r="LI101" s="212" t="n"/>
      <c r="LJ101" s="212" t="n"/>
      <c r="LK101" s="212" t="n"/>
      <c r="LL101" s="212" t="n"/>
      <c r="LM101" s="212" t="n"/>
      <c r="LN101" s="212" t="n"/>
      <c r="LO101" s="212" t="n"/>
      <c r="LP101" s="212" t="n"/>
      <c r="LQ101" s="212" t="n"/>
      <c r="LR101" s="212" t="n"/>
      <c r="LS101" s="212" t="n"/>
      <c r="LT101" s="212" t="n"/>
      <c r="LU101" s="212" t="n"/>
      <c r="LV101" s="212" t="n"/>
      <c r="LW101" s="212" t="n"/>
      <c r="LX101" s="212" t="n"/>
      <c r="LY101" s="212" t="n"/>
      <c r="LZ101" s="212" t="n"/>
      <c r="MA101" s="212" t="n"/>
      <c r="MB101" s="212" t="n"/>
      <c r="MC101" s="212" t="n"/>
      <c r="MD101" s="212" t="n"/>
      <c r="ME101" s="212" t="n"/>
      <c r="MF101" s="212" t="n"/>
      <c r="MG101" s="212" t="n"/>
      <c r="MH101" s="212" t="n"/>
      <c r="MI101" s="212" t="n"/>
      <c r="MJ101" s="212" t="n"/>
      <c r="MK101" s="212" t="n"/>
      <c r="ML101" s="212" t="n"/>
      <c r="MM101" s="212" t="n"/>
      <c r="MN101" s="212" t="n"/>
      <c r="MO101" s="212" t="n"/>
      <c r="MP101" s="212" t="n"/>
      <c r="MQ101" s="212" t="n"/>
      <c r="MR101" s="212" t="n"/>
      <c r="MS101" s="212" t="n"/>
      <c r="MT101" s="212" t="n"/>
      <c r="MU101" s="212" t="n"/>
      <c r="MV101" s="212" t="n"/>
      <c r="MW101" s="212" t="n"/>
      <c r="MX101" s="212" t="n"/>
      <c r="MY101" s="212" t="n"/>
      <c r="MZ101" s="212" t="n"/>
      <c r="NA101" s="212" t="n"/>
      <c r="NB101" s="212" t="n"/>
      <c r="NC101" s="212" t="n"/>
      <c r="ND101" s="212" t="n"/>
      <c r="NE101" s="212" t="n"/>
      <c r="NF101" s="212" t="n"/>
      <c r="NG101" s="212" t="n"/>
      <c r="NH101" s="212" t="n"/>
      <c r="NI101" s="212" t="n"/>
      <c r="NJ101" s="212" t="n"/>
      <c r="NK101" s="212" t="n"/>
      <c r="NL101" s="212" t="n"/>
      <c r="NM101" s="212" t="n"/>
      <c r="NN101" s="212" t="n"/>
      <c r="NO101" s="212" t="n"/>
      <c r="NP101" s="212" t="n"/>
      <c r="NQ101" s="212" t="n"/>
      <c r="NR101" s="212" t="n"/>
      <c r="NS101" s="212" t="n"/>
      <c r="NT101" s="212" t="n"/>
      <c r="NU101" s="212" t="n"/>
      <c r="NV101" s="212" t="n"/>
      <c r="NW101" s="212" t="n"/>
      <c r="NX101" s="212" t="n"/>
      <c r="NY101" s="212" t="n"/>
      <c r="NZ101" s="212" t="n"/>
      <c r="OA101" s="212" t="n"/>
      <c r="OB101" s="212" t="n"/>
      <c r="OC101" s="212" t="n"/>
      <c r="OD101" s="212" t="n"/>
      <c r="OE101" s="212" t="n"/>
      <c r="OF101" s="212" t="n"/>
      <c r="OG101" s="212" t="n"/>
      <c r="OH101" s="212" t="n"/>
      <c r="OI101" s="212" t="n"/>
      <c r="OJ101" s="212" t="n"/>
      <c r="OK101" s="212" t="n"/>
      <c r="OL101" s="212" t="n"/>
      <c r="OM101" s="212" t="n"/>
      <c r="ON101" s="212" t="n"/>
      <c r="OO101" s="212" t="n"/>
      <c r="OP101" s="212" t="n"/>
      <c r="OQ101" s="212" t="n"/>
      <c r="OR101" s="212" t="n"/>
      <c r="OS101" s="212" t="n"/>
      <c r="OT101" s="212" t="n"/>
      <c r="OU101" s="212" t="n"/>
      <c r="OV101" s="212" t="n"/>
      <c r="OW101" s="212" t="n"/>
      <c r="OX101" s="212" t="n"/>
      <c r="OY101" s="212" t="n"/>
      <c r="OZ101" s="212" t="n"/>
      <c r="PA101" s="212" t="n"/>
      <c r="PB101" s="212" t="n"/>
      <c r="PC101" s="212" t="n"/>
      <c r="PD101" s="212" t="n"/>
      <c r="PE101" s="212" t="n"/>
      <c r="PF101" s="212" t="n"/>
      <c r="PG101" s="212" t="n"/>
      <c r="PH101" s="212" t="n"/>
      <c r="PI101" s="212" t="n"/>
      <c r="PJ101" s="212" t="n"/>
      <c r="PK101" s="212" t="n"/>
      <c r="PL101" s="212" t="n"/>
      <c r="PM101" s="212" t="n"/>
      <c r="PN101" s="212" t="n"/>
      <c r="PO101" s="212" t="n"/>
      <c r="PP101" s="212" t="n"/>
      <c r="PQ101" s="212" t="n"/>
      <c r="PR101" s="212" t="n"/>
      <c r="PS101" s="212" t="n"/>
      <c r="PT101" s="212" t="n"/>
      <c r="PU101" s="212" t="n"/>
      <c r="PV101" s="212" t="n"/>
      <c r="PW101" s="212" t="n"/>
      <c r="PX101" s="212" t="n"/>
      <c r="PY101" s="212" t="n"/>
      <c r="PZ101" s="212" t="n"/>
      <c r="QA101" s="212" t="n"/>
      <c r="QB101" s="212" t="n"/>
      <c r="QC101" s="212" t="n"/>
      <c r="QD101" s="212" t="n"/>
      <c r="QE101" s="212" t="n"/>
      <c r="QF101" s="212" t="n"/>
      <c r="QG101" s="212" t="n"/>
      <c r="QH101" s="212" t="n"/>
      <c r="QI101" s="212" t="n"/>
      <c r="QJ101" s="212" t="n"/>
      <c r="QK101" s="212" t="n"/>
      <c r="QL101" s="212" t="n"/>
      <c r="QM101" s="212" t="n"/>
      <c r="QN101" s="212" t="n"/>
      <c r="QO101" s="212" t="n"/>
      <c r="QP101" s="212" t="n"/>
      <c r="QQ101" s="212" t="n"/>
      <c r="QR101" s="212" t="n"/>
      <c r="QS101" s="212" t="n"/>
      <c r="QT101" s="212" t="n"/>
      <c r="QU101" s="212" t="n"/>
      <c r="QV101" s="212" t="n"/>
      <c r="QW101" s="212" t="n"/>
      <c r="QX101" s="212" t="n"/>
      <c r="QY101" s="212" t="n"/>
      <c r="QZ101" s="212" t="n"/>
      <c r="RA101" s="212" t="n"/>
      <c r="RB101" s="212" t="n"/>
      <c r="RC101" s="212" t="n"/>
      <c r="RD101" s="212" t="n"/>
      <c r="RE101" s="212" t="n"/>
      <c r="RF101" s="212" t="n"/>
      <c r="RG101" s="212" t="n"/>
      <c r="RH101" s="212" t="n"/>
      <c r="RI101" s="212" t="n"/>
      <c r="RJ101" s="212" t="n"/>
      <c r="RK101" s="212" t="n"/>
      <c r="RL101" s="212" t="n"/>
      <c r="RM101" s="212" t="n"/>
      <c r="RN101" s="212" t="n"/>
      <c r="RO101" s="212" t="n"/>
      <c r="RP101" s="212" t="n"/>
      <c r="RQ101" s="212" t="n"/>
      <c r="RR101" s="212" t="n"/>
      <c r="RS101" s="212" t="n"/>
      <c r="RT101" s="212" t="n"/>
      <c r="RU101" s="212" t="n"/>
      <c r="RV101" s="212" t="n"/>
      <c r="RW101" s="212" t="n"/>
      <c r="RX101" s="212" t="n"/>
      <c r="RY101" s="212" t="n"/>
      <c r="RZ101" s="212" t="n"/>
      <c r="SA101" s="212" t="n"/>
      <c r="SB101" s="212" t="n"/>
      <c r="SC101" s="212" t="n"/>
      <c r="SD101" s="212" t="n"/>
      <c r="SE101" s="212" t="n"/>
      <c r="SF101" s="212" t="n"/>
      <c r="SG101" s="212" t="n"/>
      <c r="SH101" s="212" t="n"/>
      <c r="SI101" s="212" t="n"/>
      <c r="SJ101" s="212" t="n"/>
      <c r="SK101" s="212" t="n"/>
      <c r="SL101" s="212" t="n"/>
      <c r="SM101" s="212" t="n"/>
      <c r="SN101" s="212" t="n"/>
      <c r="SO101" s="212" t="n"/>
      <c r="SP101" s="212" t="n"/>
      <c r="SQ101" s="212" t="n"/>
      <c r="SR101" s="212" t="n"/>
      <c r="SS101" s="212" t="n"/>
      <c r="ST101" s="212" t="n"/>
      <c r="SU101" s="212" t="n"/>
      <c r="SV101" s="212" t="n"/>
    </row>
    <row r="102">
      <c r="B102" s="209" t="n"/>
      <c r="C102" s="209" t="n"/>
      <c r="D102" s="209" t="n"/>
      <c r="E102" s="209" t="n"/>
      <c r="F102" s="209">
        <f>IF(TRIM(D102&amp;E102)="","",TRIM(D102)&amp;" "&amp;TRIM(E102))</f>
        <v/>
      </c>
      <c r="G102" s="209" t="n"/>
      <c r="H102" s="209" t="n"/>
      <c r="I102" s="209" t="n"/>
      <c r="J102" s="209" t="n"/>
      <c r="K102" s="209" t="n"/>
      <c r="L102" s="209" t="n"/>
      <c r="M102" s="209" t="n"/>
      <c r="N102" s="209" t="n"/>
      <c r="O102" s="209" t="n"/>
      <c r="P102" s="209" t="n"/>
      <c r="Q102" s="209" t="n"/>
      <c r="R102" s="209" t="n"/>
      <c r="S102" s="212" t="n"/>
      <c r="T102" s="212" t="n"/>
      <c r="U102" s="212" t="n"/>
      <c r="V102" s="212" t="n"/>
      <c r="W102" s="212" t="n"/>
      <c r="X102" s="212" t="n"/>
      <c r="Y102" s="212" t="n"/>
      <c r="Z102" s="212" t="n"/>
      <c r="AA102" s="212" t="n"/>
      <c r="AB102" s="212" t="n"/>
      <c r="AC102" s="212" t="n"/>
      <c r="AD102" s="212" t="n"/>
      <c r="AE102" s="212" t="n"/>
      <c r="AF102" s="212" t="n"/>
      <c r="AG102" s="212" t="n"/>
      <c r="AH102" s="212" t="n"/>
      <c r="AI102" s="212" t="n"/>
      <c r="AJ102" s="212" t="n"/>
      <c r="AK102" s="212" t="n"/>
      <c r="AL102" s="212" t="n"/>
      <c r="AM102" s="212" t="n"/>
      <c r="AN102" s="212" t="n"/>
      <c r="AO102" s="212" t="n"/>
      <c r="AP102" s="212" t="n"/>
      <c r="AQ102" s="212" t="n"/>
      <c r="AR102" s="212" t="n"/>
      <c r="AS102" s="212" t="n"/>
      <c r="AT102" s="212" t="n"/>
      <c r="AU102" s="212" t="n"/>
      <c r="AV102" s="212" t="n"/>
      <c r="AW102" s="212" t="n"/>
      <c r="AX102" s="212" t="n"/>
      <c r="AY102" s="212" t="n"/>
      <c r="AZ102" s="212" t="n"/>
      <c r="BA102" s="212" t="n"/>
      <c r="BB102" s="212" t="n"/>
      <c r="BC102" s="212" t="n"/>
      <c r="BD102" s="212" t="n"/>
      <c r="BE102" s="212" t="n"/>
      <c r="BF102" s="212" t="n"/>
      <c r="BG102" s="212" t="n"/>
      <c r="BH102" s="212" t="n"/>
      <c r="BI102" s="212" t="n"/>
      <c r="BJ102" s="212" t="n"/>
      <c r="BK102" s="212" t="n"/>
      <c r="BL102" s="212" t="n"/>
      <c r="BM102" s="212" t="n"/>
      <c r="BN102" s="212" t="n"/>
      <c r="BO102" s="212" t="n"/>
      <c r="BP102" s="212" t="n"/>
      <c r="BQ102" s="212" t="n"/>
      <c r="BR102" s="212" t="n"/>
      <c r="BS102" s="212" t="n"/>
      <c r="BT102" s="212" t="n"/>
      <c r="BU102" s="212" t="n"/>
      <c r="BV102" s="212" t="n"/>
      <c r="BW102" s="212" t="n"/>
      <c r="BX102" s="212" t="n"/>
      <c r="BY102" s="212" t="n"/>
      <c r="BZ102" s="212" t="n"/>
      <c r="CA102" s="212" t="n"/>
      <c r="CB102" s="212" t="n"/>
      <c r="CC102" s="212" t="n"/>
      <c r="CD102" s="212" t="n"/>
      <c r="CE102" s="212" t="n"/>
      <c r="CF102" s="212" t="n"/>
      <c r="CG102" s="212" t="n"/>
      <c r="CH102" s="212" t="n"/>
      <c r="CI102" s="212" t="n"/>
      <c r="CJ102" s="212" t="n"/>
      <c r="CK102" s="212" t="n"/>
      <c r="CL102" s="212" t="n"/>
      <c r="CM102" s="212" t="n"/>
      <c r="CN102" s="212" t="n"/>
      <c r="CO102" s="212" t="n"/>
      <c r="CP102" s="212" t="n"/>
      <c r="CQ102" s="212" t="n"/>
      <c r="CR102" s="212" t="n"/>
      <c r="CS102" s="212" t="n"/>
      <c r="CT102" s="212" t="n"/>
      <c r="CU102" s="212" t="n"/>
      <c r="CV102" s="212" t="n"/>
      <c r="CW102" s="212" t="n"/>
      <c r="CX102" s="212" t="n"/>
      <c r="CY102" s="212" t="n"/>
      <c r="CZ102" s="212" t="n"/>
      <c r="DA102" s="212" t="n"/>
      <c r="DB102" s="212" t="n"/>
      <c r="DC102" s="212" t="n"/>
      <c r="DD102" s="212" t="n"/>
      <c r="DE102" s="212" t="n"/>
      <c r="DF102" s="212" t="n"/>
      <c r="DG102" s="212" t="n"/>
      <c r="DH102" s="212" t="n"/>
      <c r="DI102" s="212" t="n"/>
      <c r="DJ102" s="212" t="n"/>
      <c r="DK102" s="212" t="n"/>
      <c r="DL102" s="212" t="n"/>
      <c r="DM102" s="212" t="n"/>
      <c r="DN102" s="212" t="n"/>
      <c r="DO102" s="212" t="n"/>
      <c r="DP102" s="212" t="n"/>
      <c r="DQ102" s="212" t="n"/>
      <c r="DR102" s="212" t="n"/>
      <c r="DS102" s="212" t="n"/>
      <c r="DT102" s="212" t="n"/>
      <c r="DU102" s="212" t="n"/>
      <c r="DV102" s="212" t="n"/>
      <c r="DW102" s="212" t="n"/>
      <c r="DX102" s="212" t="n"/>
      <c r="DY102" s="212" t="n"/>
      <c r="DZ102" s="212" t="n"/>
      <c r="EA102" s="212" t="n"/>
      <c r="EB102" s="212" t="n"/>
      <c r="EC102" s="212" t="n"/>
      <c r="ED102" s="212" t="n"/>
      <c r="EE102" s="212" t="n"/>
      <c r="EF102" s="212" t="n"/>
      <c r="EG102" s="212" t="n"/>
      <c r="EH102" s="212" t="n"/>
      <c r="EI102" s="212" t="n"/>
      <c r="EJ102" s="212" t="n"/>
      <c r="EK102" s="212" t="n"/>
      <c r="EL102" s="212" t="n"/>
      <c r="EM102" s="212" t="n"/>
      <c r="EN102" s="212" t="n"/>
      <c r="EO102" s="212" t="n"/>
      <c r="EP102" s="212" t="n"/>
      <c r="EQ102" s="212" t="n"/>
      <c r="ER102" s="212" t="n"/>
      <c r="ES102" s="212" t="n"/>
      <c r="ET102" s="212" t="n"/>
      <c r="EU102" s="212" t="n"/>
      <c r="EV102" s="212" t="n"/>
      <c r="EW102" s="212" t="n"/>
      <c r="EX102" s="212" t="n"/>
      <c r="EY102" s="212" t="n"/>
      <c r="EZ102" s="212" t="n"/>
      <c r="FA102" s="212" t="n"/>
      <c r="FB102" s="212" t="n"/>
      <c r="FC102" s="212" t="n"/>
      <c r="FD102" s="212" t="n"/>
      <c r="FE102" s="212" t="n"/>
      <c r="FF102" s="212" t="n"/>
      <c r="FG102" s="212" t="n"/>
      <c r="FH102" s="212" t="n"/>
      <c r="FI102" s="212" t="n"/>
      <c r="FJ102" s="212" t="n"/>
      <c r="FK102" s="212" t="n"/>
      <c r="FL102" s="212" t="n"/>
      <c r="FM102" s="212" t="n"/>
      <c r="FN102" s="212" t="n"/>
      <c r="FO102" s="212" t="n"/>
      <c r="FP102" s="212" t="n"/>
      <c r="FQ102" s="212" t="n"/>
      <c r="FR102" s="212" t="n"/>
      <c r="FS102" s="212" t="n"/>
      <c r="FT102" s="212" t="n"/>
      <c r="FU102" s="212" t="n"/>
      <c r="FV102" s="212" t="n"/>
      <c r="FW102" s="212" t="n"/>
      <c r="FX102" s="212" t="n"/>
      <c r="FY102" s="212" t="n"/>
      <c r="FZ102" s="212" t="n"/>
      <c r="GA102" s="212" t="n"/>
      <c r="GB102" s="212" t="n"/>
      <c r="GC102" s="212" t="n"/>
      <c r="GD102" s="212" t="n"/>
      <c r="GE102" s="212" t="n"/>
      <c r="GF102" s="212" t="n"/>
      <c r="GG102" s="212" t="n"/>
      <c r="GH102" s="212" t="n"/>
      <c r="GI102" s="212" t="n"/>
      <c r="GJ102" s="212" t="n"/>
      <c r="GK102" s="212" t="n"/>
      <c r="GL102" s="212" t="n"/>
      <c r="GM102" s="212" t="n"/>
      <c r="GN102" s="212" t="n"/>
      <c r="GO102" s="212" t="n"/>
      <c r="GP102" s="212" t="n"/>
      <c r="GQ102" s="212" t="n"/>
      <c r="GR102" s="212" t="n"/>
      <c r="GS102" s="212" t="n"/>
      <c r="GT102" s="212" t="n"/>
      <c r="GU102" s="212" t="n"/>
      <c r="GV102" s="212" t="n"/>
      <c r="GW102" s="212" t="n"/>
      <c r="GX102" s="212" t="n"/>
      <c r="GY102" s="212" t="n"/>
      <c r="GZ102" s="212" t="n"/>
      <c r="HA102" s="212" t="n"/>
      <c r="HB102" s="212" t="n"/>
      <c r="HC102" s="212" t="n"/>
      <c r="HD102" s="212" t="n"/>
      <c r="HE102" s="212" t="n"/>
      <c r="HF102" s="212" t="n"/>
      <c r="HG102" s="212" t="n"/>
      <c r="HH102" s="212" t="n"/>
      <c r="HI102" s="212" t="n"/>
      <c r="HJ102" s="212" t="n"/>
      <c r="HK102" s="212" t="n"/>
      <c r="HL102" s="212" t="n"/>
      <c r="HM102" s="212" t="n"/>
      <c r="HN102" s="212" t="n"/>
      <c r="HO102" s="212" t="n"/>
      <c r="HP102" s="212" t="n"/>
      <c r="HQ102" s="212" t="n"/>
      <c r="HR102" s="212" t="n"/>
      <c r="HS102" s="212" t="n"/>
      <c r="HT102" s="212" t="n"/>
      <c r="HU102" s="212" t="n"/>
      <c r="HV102" s="212" t="n"/>
      <c r="HW102" s="212" t="n"/>
      <c r="HX102" s="212" t="n"/>
      <c r="HY102" s="212" t="n"/>
      <c r="HZ102" s="212" t="n"/>
      <c r="IA102" s="212" t="n"/>
      <c r="IB102" s="212" t="n"/>
      <c r="IC102" s="212" t="n"/>
      <c r="ID102" s="212" t="n"/>
      <c r="IE102" s="212" t="n"/>
      <c r="IF102" s="212" t="n"/>
      <c r="IG102" s="212" t="n"/>
      <c r="IH102" s="212" t="n"/>
      <c r="II102" s="212" t="n"/>
      <c r="IJ102" s="212" t="n"/>
      <c r="IK102" s="212" t="n"/>
      <c r="IL102" s="212" t="n"/>
      <c r="IM102" s="212" t="n"/>
      <c r="IN102" s="212" t="n"/>
      <c r="IO102" s="212" t="n"/>
      <c r="IP102" s="212" t="n"/>
      <c r="IQ102" s="212" t="n"/>
      <c r="IR102" s="212" t="n"/>
      <c r="IS102" s="212" t="n"/>
      <c r="IT102" s="212" t="n"/>
      <c r="IU102" s="212" t="n"/>
      <c r="IV102" s="212" t="n"/>
      <c r="IW102" s="212" t="n"/>
      <c r="IX102" s="212" t="n"/>
      <c r="IY102" s="212" t="n"/>
      <c r="IZ102" s="212" t="n"/>
      <c r="JA102" s="212" t="n"/>
      <c r="JB102" s="212" t="n"/>
      <c r="JC102" s="212" t="n"/>
      <c r="JD102" s="212" t="n"/>
      <c r="JE102" s="212" t="n"/>
      <c r="JF102" s="212" t="n"/>
      <c r="JG102" s="212" t="n"/>
      <c r="JH102" s="212" t="n"/>
      <c r="JI102" s="212" t="n"/>
      <c r="JJ102" s="212" t="n"/>
      <c r="JK102" s="212" t="n"/>
      <c r="JL102" s="212" t="n"/>
      <c r="JM102" s="212" t="n"/>
      <c r="JN102" s="212" t="n"/>
      <c r="JO102" s="212" t="n"/>
      <c r="JP102" s="212" t="n"/>
      <c r="JQ102" s="212" t="n"/>
      <c r="JR102" s="212" t="n"/>
      <c r="JS102" s="212" t="n"/>
      <c r="JT102" s="212" t="n"/>
      <c r="JU102" s="212" t="n"/>
      <c r="JV102" s="212" t="n"/>
      <c r="JW102" s="212" t="n"/>
      <c r="JX102" s="212" t="n"/>
      <c r="JY102" s="212" t="n"/>
      <c r="JZ102" s="212" t="n"/>
      <c r="KA102" s="212" t="n"/>
      <c r="KB102" s="212" t="n"/>
      <c r="KC102" s="212" t="n"/>
      <c r="KD102" s="212" t="n"/>
      <c r="KE102" s="212" t="n"/>
      <c r="KF102" s="212" t="n"/>
      <c r="KG102" s="212" t="n"/>
      <c r="KH102" s="212" t="n"/>
      <c r="KI102" s="212" t="n"/>
      <c r="KJ102" s="212" t="n"/>
      <c r="KK102" s="212" t="n"/>
      <c r="KL102" s="212" t="n"/>
      <c r="KM102" s="212" t="n"/>
      <c r="KN102" s="212" t="n"/>
      <c r="KO102" s="212" t="n"/>
      <c r="KP102" s="212" t="n"/>
      <c r="KQ102" s="212" t="n"/>
      <c r="KR102" s="212" t="n"/>
      <c r="KS102" s="212" t="n"/>
      <c r="KT102" s="212" t="n"/>
      <c r="KU102" s="212" t="n"/>
      <c r="KV102" s="212" t="n"/>
      <c r="KW102" s="212" t="n"/>
      <c r="KX102" s="212" t="n"/>
      <c r="KY102" s="212" t="n"/>
      <c r="KZ102" s="212" t="n"/>
      <c r="LA102" s="212" t="n"/>
      <c r="LB102" s="212" t="n"/>
      <c r="LC102" s="212" t="n"/>
      <c r="LD102" s="212" t="n"/>
      <c r="LE102" s="212" t="n"/>
      <c r="LF102" s="212" t="n"/>
      <c r="LG102" s="212" t="n"/>
      <c r="LH102" s="212" t="n"/>
      <c r="LI102" s="212" t="n"/>
      <c r="LJ102" s="212" t="n"/>
      <c r="LK102" s="212" t="n"/>
      <c r="LL102" s="212" t="n"/>
      <c r="LM102" s="212" t="n"/>
      <c r="LN102" s="212" t="n"/>
      <c r="LO102" s="212" t="n"/>
      <c r="LP102" s="212" t="n"/>
      <c r="LQ102" s="212" t="n"/>
      <c r="LR102" s="212" t="n"/>
      <c r="LS102" s="212" t="n"/>
      <c r="LT102" s="212" t="n"/>
      <c r="LU102" s="212" t="n"/>
      <c r="LV102" s="212" t="n"/>
      <c r="LW102" s="212" t="n"/>
      <c r="LX102" s="212" t="n"/>
      <c r="LY102" s="212" t="n"/>
      <c r="LZ102" s="212" t="n"/>
      <c r="MA102" s="212" t="n"/>
      <c r="MB102" s="212" t="n"/>
      <c r="MC102" s="212" t="n"/>
      <c r="MD102" s="212" t="n"/>
      <c r="ME102" s="212" t="n"/>
      <c r="MF102" s="212" t="n"/>
      <c r="MG102" s="212" t="n"/>
      <c r="MH102" s="212" t="n"/>
      <c r="MI102" s="212" t="n"/>
      <c r="MJ102" s="212" t="n"/>
      <c r="MK102" s="212" t="n"/>
      <c r="ML102" s="212" t="n"/>
      <c r="MM102" s="212" t="n"/>
      <c r="MN102" s="212" t="n"/>
      <c r="MO102" s="212" t="n"/>
      <c r="MP102" s="212" t="n"/>
      <c r="MQ102" s="212" t="n"/>
      <c r="MR102" s="212" t="n"/>
      <c r="MS102" s="212" t="n"/>
      <c r="MT102" s="212" t="n"/>
      <c r="MU102" s="212" t="n"/>
      <c r="MV102" s="212" t="n"/>
      <c r="MW102" s="212" t="n"/>
      <c r="MX102" s="212" t="n"/>
      <c r="MY102" s="212" t="n"/>
      <c r="MZ102" s="212" t="n"/>
      <c r="NA102" s="212" t="n"/>
      <c r="NB102" s="212" t="n"/>
      <c r="NC102" s="212" t="n"/>
      <c r="ND102" s="212" t="n"/>
      <c r="NE102" s="212" t="n"/>
      <c r="NF102" s="212" t="n"/>
      <c r="NG102" s="212" t="n"/>
      <c r="NH102" s="212" t="n"/>
      <c r="NI102" s="212" t="n"/>
      <c r="NJ102" s="212" t="n"/>
      <c r="NK102" s="212" t="n"/>
      <c r="NL102" s="212" t="n"/>
      <c r="NM102" s="212" t="n"/>
      <c r="NN102" s="212" t="n"/>
      <c r="NO102" s="212" t="n"/>
      <c r="NP102" s="212" t="n"/>
      <c r="NQ102" s="212" t="n"/>
      <c r="NR102" s="212" t="n"/>
      <c r="NS102" s="212" t="n"/>
      <c r="NT102" s="212" t="n"/>
      <c r="NU102" s="212" t="n"/>
      <c r="NV102" s="212" t="n"/>
      <c r="NW102" s="212" t="n"/>
      <c r="NX102" s="212" t="n"/>
      <c r="NY102" s="212" t="n"/>
      <c r="NZ102" s="212" t="n"/>
      <c r="OA102" s="212" t="n"/>
      <c r="OB102" s="212" t="n"/>
      <c r="OC102" s="212" t="n"/>
      <c r="OD102" s="212" t="n"/>
      <c r="OE102" s="212" t="n"/>
      <c r="OF102" s="212" t="n"/>
      <c r="OG102" s="212" t="n"/>
      <c r="OH102" s="212" t="n"/>
      <c r="OI102" s="212" t="n"/>
      <c r="OJ102" s="212" t="n"/>
      <c r="OK102" s="212" t="n"/>
      <c r="OL102" s="212" t="n"/>
      <c r="OM102" s="212" t="n"/>
      <c r="ON102" s="212" t="n"/>
      <c r="OO102" s="212" t="n"/>
      <c r="OP102" s="212" t="n"/>
      <c r="OQ102" s="212" t="n"/>
      <c r="OR102" s="212" t="n"/>
      <c r="OS102" s="212" t="n"/>
      <c r="OT102" s="212" t="n"/>
      <c r="OU102" s="212" t="n"/>
      <c r="OV102" s="212" t="n"/>
      <c r="OW102" s="212" t="n"/>
      <c r="OX102" s="212" t="n"/>
      <c r="OY102" s="212" t="n"/>
      <c r="OZ102" s="212" t="n"/>
      <c r="PA102" s="212" t="n"/>
      <c r="PB102" s="212" t="n"/>
      <c r="PC102" s="212" t="n"/>
      <c r="PD102" s="212" t="n"/>
      <c r="PE102" s="212" t="n"/>
      <c r="PF102" s="212" t="n"/>
      <c r="PG102" s="212" t="n"/>
      <c r="PH102" s="212" t="n"/>
      <c r="PI102" s="212" t="n"/>
      <c r="PJ102" s="212" t="n"/>
      <c r="PK102" s="212" t="n"/>
      <c r="PL102" s="212" t="n"/>
      <c r="PM102" s="212" t="n"/>
      <c r="PN102" s="212" t="n"/>
      <c r="PO102" s="212" t="n"/>
      <c r="PP102" s="212" t="n"/>
      <c r="PQ102" s="212" t="n"/>
      <c r="PR102" s="212" t="n"/>
      <c r="PS102" s="212" t="n"/>
      <c r="PT102" s="212" t="n"/>
      <c r="PU102" s="212" t="n"/>
      <c r="PV102" s="212" t="n"/>
      <c r="PW102" s="212" t="n"/>
      <c r="PX102" s="212" t="n"/>
      <c r="PY102" s="212" t="n"/>
      <c r="PZ102" s="212" t="n"/>
      <c r="QA102" s="212" t="n"/>
      <c r="QB102" s="212" t="n"/>
      <c r="QC102" s="212" t="n"/>
      <c r="QD102" s="212" t="n"/>
      <c r="QE102" s="212" t="n"/>
      <c r="QF102" s="212" t="n"/>
      <c r="QG102" s="212" t="n"/>
      <c r="QH102" s="212" t="n"/>
      <c r="QI102" s="212" t="n"/>
      <c r="QJ102" s="212" t="n"/>
      <c r="QK102" s="212" t="n"/>
      <c r="QL102" s="212" t="n"/>
      <c r="QM102" s="212" t="n"/>
      <c r="QN102" s="212" t="n"/>
      <c r="QO102" s="212" t="n"/>
      <c r="QP102" s="212" t="n"/>
      <c r="QQ102" s="212" t="n"/>
      <c r="QR102" s="212" t="n"/>
      <c r="QS102" s="212" t="n"/>
      <c r="QT102" s="212" t="n"/>
      <c r="QU102" s="212" t="n"/>
      <c r="QV102" s="212" t="n"/>
      <c r="QW102" s="212" t="n"/>
      <c r="QX102" s="212" t="n"/>
      <c r="QY102" s="212" t="n"/>
      <c r="QZ102" s="212" t="n"/>
      <c r="RA102" s="212" t="n"/>
      <c r="RB102" s="212" t="n"/>
      <c r="RC102" s="212" t="n"/>
      <c r="RD102" s="212" t="n"/>
      <c r="RE102" s="212" t="n"/>
      <c r="RF102" s="212" t="n"/>
      <c r="RG102" s="212" t="n"/>
      <c r="RH102" s="212" t="n"/>
      <c r="RI102" s="212" t="n"/>
      <c r="RJ102" s="212" t="n"/>
      <c r="RK102" s="212" t="n"/>
      <c r="RL102" s="212" t="n"/>
      <c r="RM102" s="212" t="n"/>
      <c r="RN102" s="212" t="n"/>
      <c r="RO102" s="212" t="n"/>
      <c r="RP102" s="212" t="n"/>
      <c r="RQ102" s="212" t="n"/>
      <c r="RR102" s="212" t="n"/>
      <c r="RS102" s="212" t="n"/>
      <c r="RT102" s="212" t="n"/>
      <c r="RU102" s="212" t="n"/>
      <c r="RV102" s="212" t="n"/>
      <c r="RW102" s="212" t="n"/>
      <c r="RX102" s="212" t="n"/>
      <c r="RY102" s="212" t="n"/>
      <c r="RZ102" s="212" t="n"/>
      <c r="SA102" s="212" t="n"/>
      <c r="SB102" s="212" t="n"/>
      <c r="SC102" s="212" t="n"/>
      <c r="SD102" s="212" t="n"/>
      <c r="SE102" s="212" t="n"/>
      <c r="SF102" s="212" t="n"/>
      <c r="SG102" s="212" t="n"/>
      <c r="SH102" s="212" t="n"/>
      <c r="SI102" s="212" t="n"/>
      <c r="SJ102" s="212" t="n"/>
      <c r="SK102" s="212" t="n"/>
      <c r="SL102" s="212" t="n"/>
      <c r="SM102" s="212" t="n"/>
      <c r="SN102" s="212" t="n"/>
      <c r="SO102" s="212" t="n"/>
      <c r="SP102" s="212" t="n"/>
      <c r="SQ102" s="212" t="n"/>
      <c r="SR102" s="212" t="n"/>
      <c r="SS102" s="212" t="n"/>
      <c r="ST102" s="212" t="n"/>
      <c r="SU102" s="212" t="n"/>
      <c r="SV102" s="212" t="n"/>
    </row>
    <row r="103">
      <c r="B103" s="209" t="n"/>
      <c r="C103" s="209" t="n"/>
      <c r="D103" s="209" t="n"/>
      <c r="E103" s="209" t="n"/>
      <c r="F103" s="209">
        <f>IF(TRIM(D103&amp;E103)="","",TRIM(D103)&amp;" "&amp;TRIM(E103))</f>
        <v/>
      </c>
      <c r="G103" s="209" t="n"/>
      <c r="H103" s="209" t="n"/>
      <c r="I103" s="209" t="n"/>
      <c r="J103" s="209" t="n"/>
      <c r="K103" s="209" t="n"/>
      <c r="L103" s="209" t="n"/>
      <c r="M103" s="209" t="n"/>
      <c r="N103" s="209" t="n"/>
      <c r="O103" s="209" t="n"/>
      <c r="P103" s="209" t="n"/>
      <c r="Q103" s="209" t="n"/>
      <c r="R103" s="209" t="n"/>
      <c r="S103" s="212" t="n"/>
      <c r="T103" s="212" t="n"/>
      <c r="U103" s="212" t="n"/>
      <c r="V103" s="212" t="n"/>
      <c r="W103" s="212" t="n"/>
      <c r="X103" s="212" t="n"/>
      <c r="Y103" s="212" t="n"/>
      <c r="Z103" s="212" t="n"/>
      <c r="AA103" s="212" t="n"/>
      <c r="AB103" s="212" t="n"/>
      <c r="AC103" s="212" t="n"/>
      <c r="AD103" s="212" t="n"/>
      <c r="AE103" s="212" t="n"/>
      <c r="AF103" s="212" t="n"/>
      <c r="AG103" s="212" t="n"/>
      <c r="AH103" s="212" t="n"/>
      <c r="AI103" s="212" t="n"/>
      <c r="AJ103" s="212" t="n"/>
      <c r="AK103" s="212" t="n"/>
      <c r="AL103" s="212" t="n"/>
      <c r="AM103" s="212" t="n"/>
      <c r="AN103" s="212" t="n"/>
      <c r="AO103" s="212" t="n"/>
      <c r="AP103" s="212" t="n"/>
      <c r="AQ103" s="212" t="n"/>
      <c r="AR103" s="212" t="n"/>
      <c r="AS103" s="212" t="n"/>
      <c r="AT103" s="212" t="n"/>
      <c r="AU103" s="212" t="n"/>
      <c r="AV103" s="212" t="n"/>
      <c r="AW103" s="212" t="n"/>
      <c r="AX103" s="212" t="n"/>
      <c r="AY103" s="212" t="n"/>
      <c r="AZ103" s="212" t="n"/>
      <c r="BA103" s="212" t="n"/>
      <c r="BB103" s="212" t="n"/>
      <c r="BC103" s="212" t="n"/>
      <c r="BD103" s="212" t="n"/>
      <c r="BE103" s="212" t="n"/>
      <c r="BF103" s="212" t="n"/>
      <c r="BG103" s="212" t="n"/>
      <c r="BH103" s="212" t="n"/>
      <c r="BI103" s="212" t="n"/>
      <c r="BJ103" s="212" t="n"/>
      <c r="BK103" s="212" t="n"/>
      <c r="BL103" s="212" t="n"/>
      <c r="BM103" s="212" t="n"/>
      <c r="BN103" s="212" t="n"/>
      <c r="BO103" s="212" t="n"/>
      <c r="BP103" s="212" t="n"/>
      <c r="BQ103" s="212" t="n"/>
      <c r="BR103" s="212" t="n"/>
      <c r="BS103" s="212" t="n"/>
      <c r="BT103" s="212" t="n"/>
      <c r="BU103" s="212" t="n"/>
      <c r="BV103" s="212" t="n"/>
      <c r="BW103" s="212" t="n"/>
      <c r="BX103" s="212" t="n"/>
      <c r="BY103" s="212" t="n"/>
      <c r="BZ103" s="212" t="n"/>
      <c r="CA103" s="212" t="n"/>
      <c r="CB103" s="212" t="n"/>
      <c r="CC103" s="212" t="n"/>
      <c r="CD103" s="212" t="n"/>
      <c r="CE103" s="212" t="n"/>
      <c r="CF103" s="212" t="n"/>
      <c r="CG103" s="212" t="n"/>
      <c r="CH103" s="212" t="n"/>
      <c r="CI103" s="212" t="n"/>
      <c r="CJ103" s="212" t="n"/>
      <c r="CK103" s="212" t="n"/>
      <c r="CL103" s="212" t="n"/>
      <c r="CM103" s="212" t="n"/>
      <c r="CN103" s="212" t="n"/>
      <c r="CO103" s="212" t="n"/>
      <c r="CP103" s="212" t="n"/>
      <c r="CQ103" s="212" t="n"/>
      <c r="CR103" s="212" t="n"/>
      <c r="CS103" s="212" t="n"/>
      <c r="CT103" s="212" t="n"/>
      <c r="CU103" s="212" t="n"/>
      <c r="CV103" s="212" t="n"/>
      <c r="CW103" s="212" t="n"/>
      <c r="CX103" s="212" t="n"/>
      <c r="CY103" s="212" t="n"/>
      <c r="CZ103" s="212" t="n"/>
      <c r="DA103" s="212" t="n"/>
      <c r="DB103" s="212" t="n"/>
      <c r="DC103" s="212" t="n"/>
      <c r="DD103" s="212" t="n"/>
      <c r="DE103" s="212" t="n"/>
      <c r="DF103" s="212" t="n"/>
      <c r="DG103" s="212" t="n"/>
      <c r="DH103" s="212" t="n"/>
      <c r="DI103" s="212" t="n"/>
      <c r="DJ103" s="212" t="n"/>
      <c r="DK103" s="212" t="n"/>
      <c r="DL103" s="212" t="n"/>
      <c r="DM103" s="212" t="n"/>
      <c r="DN103" s="212" t="n"/>
      <c r="DO103" s="212" t="n"/>
      <c r="DP103" s="212" t="n"/>
      <c r="DQ103" s="212" t="n"/>
      <c r="DR103" s="212" t="n"/>
      <c r="DS103" s="212" t="n"/>
      <c r="DT103" s="212" t="n"/>
      <c r="DU103" s="212" t="n"/>
      <c r="DV103" s="212" t="n"/>
      <c r="DW103" s="212" t="n"/>
      <c r="DX103" s="212" t="n"/>
      <c r="DY103" s="212" t="n"/>
      <c r="DZ103" s="212" t="n"/>
      <c r="EA103" s="212" t="n"/>
      <c r="EB103" s="212" t="n"/>
      <c r="EC103" s="212" t="n"/>
      <c r="ED103" s="212" t="n"/>
      <c r="EE103" s="212" t="n"/>
      <c r="EF103" s="212" t="n"/>
      <c r="EG103" s="212" t="n"/>
      <c r="EH103" s="212" t="n"/>
      <c r="EI103" s="212" t="n"/>
      <c r="EJ103" s="212" t="n"/>
      <c r="EK103" s="212" t="n"/>
      <c r="EL103" s="212" t="n"/>
      <c r="EM103" s="212" t="n"/>
      <c r="EN103" s="212" t="n"/>
      <c r="EO103" s="212" t="n"/>
      <c r="EP103" s="212" t="n"/>
      <c r="EQ103" s="212" t="n"/>
      <c r="ER103" s="212" t="n"/>
      <c r="ES103" s="212" t="n"/>
      <c r="ET103" s="212" t="n"/>
      <c r="EU103" s="212" t="n"/>
      <c r="EV103" s="212" t="n"/>
      <c r="EW103" s="212" t="n"/>
      <c r="EX103" s="212" t="n"/>
      <c r="EY103" s="212" t="n"/>
      <c r="EZ103" s="212" t="n"/>
      <c r="FA103" s="212" t="n"/>
      <c r="FB103" s="212" t="n"/>
      <c r="FC103" s="212" t="n"/>
      <c r="FD103" s="212" t="n"/>
      <c r="FE103" s="212" t="n"/>
      <c r="FF103" s="212" t="n"/>
      <c r="FG103" s="212" t="n"/>
      <c r="FH103" s="212" t="n"/>
      <c r="FI103" s="212" t="n"/>
      <c r="FJ103" s="212" t="n"/>
      <c r="FK103" s="212" t="n"/>
      <c r="FL103" s="212" t="n"/>
      <c r="FM103" s="212" t="n"/>
      <c r="FN103" s="212" t="n"/>
      <c r="FO103" s="212" t="n"/>
      <c r="FP103" s="212" t="n"/>
      <c r="FQ103" s="212" t="n"/>
      <c r="FR103" s="212" t="n"/>
      <c r="FS103" s="212" t="n"/>
      <c r="FT103" s="212" t="n"/>
      <c r="FU103" s="212" t="n"/>
      <c r="FV103" s="212" t="n"/>
      <c r="FW103" s="212" t="n"/>
      <c r="FX103" s="212" t="n"/>
      <c r="FY103" s="212" t="n"/>
      <c r="FZ103" s="212" t="n"/>
      <c r="GA103" s="212" t="n"/>
      <c r="GB103" s="212" t="n"/>
      <c r="GC103" s="212" t="n"/>
      <c r="GD103" s="212" t="n"/>
      <c r="GE103" s="212" t="n"/>
      <c r="GF103" s="212" t="n"/>
      <c r="GG103" s="212" t="n"/>
      <c r="GH103" s="212" t="n"/>
      <c r="GI103" s="212" t="n"/>
      <c r="GJ103" s="212" t="n"/>
      <c r="GK103" s="212" t="n"/>
      <c r="GL103" s="212" t="n"/>
      <c r="GM103" s="212" t="n"/>
      <c r="GN103" s="212" t="n"/>
      <c r="GO103" s="212" t="n"/>
      <c r="GP103" s="212" t="n"/>
      <c r="GQ103" s="212" t="n"/>
      <c r="GR103" s="212" t="n"/>
      <c r="GS103" s="212" t="n"/>
      <c r="GT103" s="212" t="n"/>
      <c r="GU103" s="212" t="n"/>
      <c r="GV103" s="212" t="n"/>
      <c r="GW103" s="212" t="n"/>
      <c r="GX103" s="212" t="n"/>
      <c r="GY103" s="212" t="n"/>
      <c r="GZ103" s="212" t="n"/>
      <c r="HA103" s="212" t="n"/>
      <c r="HB103" s="212" t="n"/>
      <c r="HC103" s="212" t="n"/>
      <c r="HD103" s="212" t="n"/>
      <c r="HE103" s="212" t="n"/>
      <c r="HF103" s="212" t="n"/>
      <c r="HG103" s="212" t="n"/>
      <c r="HH103" s="212" t="n"/>
      <c r="HI103" s="212" t="n"/>
      <c r="HJ103" s="212" t="n"/>
      <c r="HK103" s="212" t="n"/>
      <c r="HL103" s="212" t="n"/>
      <c r="HM103" s="212" t="n"/>
      <c r="HN103" s="212" t="n"/>
      <c r="HO103" s="212" t="n"/>
      <c r="HP103" s="212" t="n"/>
      <c r="HQ103" s="212" t="n"/>
      <c r="HR103" s="212" t="n"/>
      <c r="HS103" s="212" t="n"/>
      <c r="HT103" s="212" t="n"/>
      <c r="HU103" s="212" t="n"/>
      <c r="HV103" s="212" t="n"/>
      <c r="HW103" s="212" t="n"/>
      <c r="HX103" s="212" t="n"/>
      <c r="HY103" s="212" t="n"/>
      <c r="HZ103" s="212" t="n"/>
      <c r="IA103" s="212" t="n"/>
      <c r="IB103" s="212" t="n"/>
      <c r="IC103" s="212" t="n"/>
      <c r="ID103" s="212" t="n"/>
      <c r="IE103" s="212" t="n"/>
      <c r="IF103" s="212" t="n"/>
      <c r="IG103" s="212" t="n"/>
      <c r="IH103" s="212" t="n"/>
      <c r="II103" s="212" t="n"/>
      <c r="IJ103" s="212" t="n"/>
      <c r="IK103" s="212" t="n"/>
      <c r="IL103" s="212" t="n"/>
      <c r="IM103" s="212" t="n"/>
      <c r="IN103" s="212" t="n"/>
      <c r="IO103" s="212" t="n"/>
      <c r="IP103" s="212" t="n"/>
      <c r="IQ103" s="212" t="n"/>
      <c r="IR103" s="212" t="n"/>
      <c r="IS103" s="212" t="n"/>
      <c r="IT103" s="212" t="n"/>
      <c r="IU103" s="212" t="n"/>
      <c r="IV103" s="212" t="n"/>
      <c r="IW103" s="212" t="n"/>
      <c r="IX103" s="212" t="n"/>
      <c r="IY103" s="212" t="n"/>
      <c r="IZ103" s="212" t="n"/>
      <c r="JA103" s="212" t="n"/>
      <c r="JB103" s="212" t="n"/>
      <c r="JC103" s="212" t="n"/>
      <c r="JD103" s="212" t="n"/>
      <c r="JE103" s="212" t="n"/>
      <c r="JF103" s="212" t="n"/>
      <c r="JG103" s="212" t="n"/>
      <c r="JH103" s="212" t="n"/>
      <c r="JI103" s="212" t="n"/>
      <c r="JJ103" s="212" t="n"/>
      <c r="JK103" s="212" t="n"/>
      <c r="JL103" s="212" t="n"/>
      <c r="JM103" s="212" t="n"/>
      <c r="JN103" s="212" t="n"/>
      <c r="JO103" s="212" t="n"/>
      <c r="JP103" s="212" t="n"/>
      <c r="JQ103" s="212" t="n"/>
      <c r="JR103" s="212" t="n"/>
      <c r="JS103" s="212" t="n"/>
      <c r="JT103" s="212" t="n"/>
      <c r="JU103" s="212" t="n"/>
      <c r="JV103" s="212" t="n"/>
      <c r="JW103" s="212" t="n"/>
      <c r="JX103" s="212" t="n"/>
      <c r="JY103" s="212" t="n"/>
      <c r="JZ103" s="212" t="n"/>
      <c r="KA103" s="212" t="n"/>
      <c r="KB103" s="212" t="n"/>
      <c r="KC103" s="212" t="n"/>
      <c r="KD103" s="212" t="n"/>
      <c r="KE103" s="212" t="n"/>
      <c r="KF103" s="212" t="n"/>
      <c r="KG103" s="212" t="n"/>
      <c r="KH103" s="212" t="n"/>
      <c r="KI103" s="212" t="n"/>
      <c r="KJ103" s="212" t="n"/>
      <c r="KK103" s="212" t="n"/>
      <c r="KL103" s="212" t="n"/>
      <c r="KM103" s="212" t="n"/>
      <c r="KN103" s="212" t="n"/>
      <c r="KO103" s="212" t="n"/>
      <c r="KP103" s="212" t="n"/>
      <c r="KQ103" s="212" t="n"/>
      <c r="KR103" s="212" t="n"/>
      <c r="KS103" s="212" t="n"/>
      <c r="KT103" s="212" t="n"/>
      <c r="KU103" s="212" t="n"/>
      <c r="KV103" s="212" t="n"/>
      <c r="KW103" s="212" t="n"/>
      <c r="KX103" s="212" t="n"/>
      <c r="KY103" s="212" t="n"/>
      <c r="KZ103" s="212" t="n"/>
      <c r="LA103" s="212" t="n"/>
      <c r="LB103" s="212" t="n"/>
      <c r="LC103" s="212" t="n"/>
      <c r="LD103" s="212" t="n"/>
      <c r="LE103" s="212" t="n"/>
      <c r="LF103" s="212" t="n"/>
      <c r="LG103" s="212" t="n"/>
      <c r="LH103" s="212" t="n"/>
      <c r="LI103" s="212" t="n"/>
      <c r="LJ103" s="212" t="n"/>
      <c r="LK103" s="212" t="n"/>
      <c r="LL103" s="212" t="n"/>
      <c r="LM103" s="212" t="n"/>
      <c r="LN103" s="212" t="n"/>
      <c r="LO103" s="212" t="n"/>
      <c r="LP103" s="212" t="n"/>
      <c r="LQ103" s="212" t="n"/>
      <c r="LR103" s="212" t="n"/>
      <c r="LS103" s="212" t="n"/>
      <c r="LT103" s="212" t="n"/>
      <c r="LU103" s="212" t="n"/>
      <c r="LV103" s="212" t="n"/>
      <c r="LW103" s="212" t="n"/>
      <c r="LX103" s="212" t="n"/>
      <c r="LY103" s="212" t="n"/>
      <c r="LZ103" s="212" t="n"/>
      <c r="MA103" s="212" t="n"/>
      <c r="MB103" s="212" t="n"/>
      <c r="MC103" s="212" t="n"/>
      <c r="MD103" s="212" t="n"/>
      <c r="ME103" s="212" t="n"/>
      <c r="MF103" s="212" t="n"/>
      <c r="MG103" s="212" t="n"/>
      <c r="MH103" s="212" t="n"/>
      <c r="MI103" s="212" t="n"/>
      <c r="MJ103" s="212" t="n"/>
      <c r="MK103" s="212" t="n"/>
      <c r="ML103" s="212" t="n"/>
      <c r="MM103" s="212" t="n"/>
      <c r="MN103" s="212" t="n"/>
      <c r="MO103" s="212" t="n"/>
      <c r="MP103" s="212" t="n"/>
      <c r="MQ103" s="212" t="n"/>
      <c r="MR103" s="212" t="n"/>
      <c r="MS103" s="212" t="n"/>
      <c r="MT103" s="212" t="n"/>
      <c r="MU103" s="212" t="n"/>
      <c r="MV103" s="212" t="n"/>
      <c r="MW103" s="212" t="n"/>
      <c r="MX103" s="212" t="n"/>
      <c r="MY103" s="212" t="n"/>
      <c r="MZ103" s="212" t="n"/>
      <c r="NA103" s="212" t="n"/>
      <c r="NB103" s="212" t="n"/>
      <c r="NC103" s="212" t="n"/>
      <c r="ND103" s="212" t="n"/>
      <c r="NE103" s="212" t="n"/>
      <c r="NF103" s="212" t="n"/>
      <c r="NG103" s="212" t="n"/>
      <c r="NH103" s="212" t="n"/>
      <c r="NI103" s="212" t="n"/>
      <c r="NJ103" s="212" t="n"/>
      <c r="NK103" s="212" t="n"/>
      <c r="NL103" s="212" t="n"/>
      <c r="NM103" s="212" t="n"/>
      <c r="NN103" s="212" t="n"/>
      <c r="NO103" s="212" t="n"/>
      <c r="NP103" s="212" t="n"/>
      <c r="NQ103" s="212" t="n"/>
      <c r="NR103" s="212" t="n"/>
      <c r="NS103" s="212" t="n"/>
      <c r="NT103" s="212" t="n"/>
      <c r="NU103" s="212" t="n"/>
      <c r="NV103" s="212" t="n"/>
      <c r="NW103" s="212" t="n"/>
      <c r="NX103" s="212" t="n"/>
      <c r="NY103" s="212" t="n"/>
      <c r="NZ103" s="212" t="n"/>
      <c r="OA103" s="212" t="n"/>
      <c r="OB103" s="212" t="n"/>
      <c r="OC103" s="212" t="n"/>
      <c r="OD103" s="212" t="n"/>
      <c r="OE103" s="212" t="n"/>
      <c r="OF103" s="212" t="n"/>
      <c r="OG103" s="212" t="n"/>
      <c r="OH103" s="212" t="n"/>
      <c r="OI103" s="212" t="n"/>
      <c r="OJ103" s="212" t="n"/>
      <c r="OK103" s="212" t="n"/>
      <c r="OL103" s="212" t="n"/>
      <c r="OM103" s="212" t="n"/>
      <c r="ON103" s="212" t="n"/>
      <c r="OO103" s="212" t="n"/>
      <c r="OP103" s="212" t="n"/>
      <c r="OQ103" s="212" t="n"/>
      <c r="OR103" s="212" t="n"/>
      <c r="OS103" s="212" t="n"/>
      <c r="OT103" s="212" t="n"/>
      <c r="OU103" s="212" t="n"/>
      <c r="OV103" s="212" t="n"/>
      <c r="OW103" s="212" t="n"/>
      <c r="OX103" s="212" t="n"/>
      <c r="OY103" s="212" t="n"/>
      <c r="OZ103" s="212" t="n"/>
      <c r="PA103" s="212" t="n"/>
      <c r="PB103" s="212" t="n"/>
      <c r="PC103" s="212" t="n"/>
      <c r="PD103" s="212" t="n"/>
      <c r="PE103" s="212" t="n"/>
      <c r="PF103" s="212" t="n"/>
      <c r="PG103" s="212" t="n"/>
      <c r="PH103" s="212" t="n"/>
      <c r="PI103" s="212" t="n"/>
      <c r="PJ103" s="212" t="n"/>
      <c r="PK103" s="212" t="n"/>
      <c r="PL103" s="212" t="n"/>
      <c r="PM103" s="212" t="n"/>
      <c r="PN103" s="212" t="n"/>
      <c r="PO103" s="212" t="n"/>
      <c r="PP103" s="212" t="n"/>
      <c r="PQ103" s="212" t="n"/>
      <c r="PR103" s="212" t="n"/>
      <c r="PS103" s="212" t="n"/>
      <c r="PT103" s="212" t="n"/>
      <c r="PU103" s="212" t="n"/>
      <c r="PV103" s="212" t="n"/>
      <c r="PW103" s="212" t="n"/>
      <c r="PX103" s="212" t="n"/>
      <c r="PY103" s="212" t="n"/>
      <c r="PZ103" s="212" t="n"/>
      <c r="QA103" s="212" t="n"/>
      <c r="QB103" s="212" t="n"/>
      <c r="QC103" s="212" t="n"/>
      <c r="QD103" s="212" t="n"/>
      <c r="QE103" s="212" t="n"/>
      <c r="QF103" s="212" t="n"/>
      <c r="QG103" s="212" t="n"/>
      <c r="QH103" s="212" t="n"/>
      <c r="QI103" s="212" t="n"/>
      <c r="QJ103" s="212" t="n"/>
      <c r="QK103" s="212" t="n"/>
      <c r="QL103" s="212" t="n"/>
      <c r="QM103" s="212" t="n"/>
      <c r="QN103" s="212" t="n"/>
      <c r="QO103" s="212" t="n"/>
      <c r="QP103" s="212" t="n"/>
      <c r="QQ103" s="212" t="n"/>
      <c r="QR103" s="212" t="n"/>
      <c r="QS103" s="212" t="n"/>
      <c r="QT103" s="212" t="n"/>
      <c r="QU103" s="212" t="n"/>
      <c r="QV103" s="212" t="n"/>
      <c r="QW103" s="212" t="n"/>
      <c r="QX103" s="212" t="n"/>
      <c r="QY103" s="212" t="n"/>
      <c r="QZ103" s="212" t="n"/>
      <c r="RA103" s="212" t="n"/>
      <c r="RB103" s="212" t="n"/>
      <c r="RC103" s="212" t="n"/>
      <c r="RD103" s="212" t="n"/>
      <c r="RE103" s="212" t="n"/>
      <c r="RF103" s="212" t="n"/>
      <c r="RG103" s="212" t="n"/>
      <c r="RH103" s="212" t="n"/>
      <c r="RI103" s="212" t="n"/>
      <c r="RJ103" s="212" t="n"/>
      <c r="RK103" s="212" t="n"/>
      <c r="RL103" s="212" t="n"/>
      <c r="RM103" s="212" t="n"/>
      <c r="RN103" s="212" t="n"/>
      <c r="RO103" s="212" t="n"/>
      <c r="RP103" s="212" t="n"/>
      <c r="RQ103" s="212" t="n"/>
      <c r="RR103" s="212" t="n"/>
      <c r="RS103" s="212" t="n"/>
      <c r="RT103" s="212" t="n"/>
      <c r="RU103" s="212" t="n"/>
      <c r="RV103" s="212" t="n"/>
      <c r="RW103" s="212" t="n"/>
      <c r="RX103" s="212" t="n"/>
      <c r="RY103" s="212" t="n"/>
      <c r="RZ103" s="212" t="n"/>
      <c r="SA103" s="212" t="n"/>
      <c r="SB103" s="212" t="n"/>
      <c r="SC103" s="212" t="n"/>
      <c r="SD103" s="212" t="n"/>
      <c r="SE103" s="212" t="n"/>
      <c r="SF103" s="212" t="n"/>
      <c r="SG103" s="212" t="n"/>
      <c r="SH103" s="212" t="n"/>
      <c r="SI103" s="212" t="n"/>
      <c r="SJ103" s="212" t="n"/>
      <c r="SK103" s="212" t="n"/>
      <c r="SL103" s="212" t="n"/>
      <c r="SM103" s="212" t="n"/>
      <c r="SN103" s="212" t="n"/>
      <c r="SO103" s="212" t="n"/>
      <c r="SP103" s="212" t="n"/>
      <c r="SQ103" s="212" t="n"/>
      <c r="SR103" s="212" t="n"/>
      <c r="SS103" s="212" t="n"/>
      <c r="ST103" s="212" t="n"/>
      <c r="SU103" s="212" t="n"/>
      <c r="SV103" s="212" t="n"/>
    </row>
    <row r="104">
      <c r="B104" s="209" t="n"/>
      <c r="C104" s="209" t="n"/>
      <c r="D104" s="209" t="n"/>
      <c r="E104" s="209" t="n"/>
      <c r="F104" s="209">
        <f>IF(TRIM(D104&amp;E104)="","",TRIM(D104)&amp;" "&amp;TRIM(E104))</f>
        <v/>
      </c>
      <c r="G104" s="209" t="n"/>
      <c r="H104" s="209" t="n"/>
      <c r="I104" s="209" t="n"/>
      <c r="J104" s="209" t="n"/>
      <c r="K104" s="209" t="n"/>
      <c r="L104" s="209" t="n"/>
      <c r="M104" s="209" t="n"/>
      <c r="N104" s="209" t="n"/>
      <c r="O104" s="209" t="n"/>
      <c r="P104" s="209" t="n"/>
      <c r="Q104" s="209" t="n"/>
      <c r="R104" s="209" t="n"/>
      <c r="S104" s="212" t="n"/>
      <c r="T104" s="212" t="n"/>
      <c r="U104" s="212" t="n"/>
      <c r="V104" s="212" t="n"/>
      <c r="W104" s="212" t="n"/>
      <c r="X104" s="212" t="n"/>
      <c r="Y104" s="212" t="n"/>
      <c r="Z104" s="212" t="n"/>
      <c r="AA104" s="212" t="n"/>
      <c r="AB104" s="212" t="n"/>
      <c r="AC104" s="212" t="n"/>
      <c r="AD104" s="212" t="n"/>
      <c r="AE104" s="212" t="n"/>
      <c r="AF104" s="212" t="n"/>
      <c r="AG104" s="212" t="n"/>
      <c r="AH104" s="212" t="n"/>
      <c r="AI104" s="212" t="n"/>
      <c r="AJ104" s="212" t="n"/>
      <c r="AK104" s="212" t="n"/>
      <c r="AL104" s="212" t="n"/>
      <c r="AM104" s="212" t="n"/>
      <c r="AN104" s="212" t="n"/>
      <c r="AO104" s="212" t="n"/>
      <c r="AP104" s="212" t="n"/>
      <c r="AQ104" s="212" t="n"/>
      <c r="AR104" s="212" t="n"/>
      <c r="AS104" s="212" t="n"/>
      <c r="AT104" s="212" t="n"/>
      <c r="AU104" s="212" t="n"/>
      <c r="AV104" s="212" t="n"/>
      <c r="AW104" s="212" t="n"/>
      <c r="AX104" s="212" t="n"/>
      <c r="AY104" s="212" t="n"/>
      <c r="AZ104" s="212" t="n"/>
      <c r="BA104" s="212" t="n"/>
      <c r="BB104" s="212" t="n"/>
      <c r="BC104" s="212" t="n"/>
      <c r="BD104" s="212" t="n"/>
      <c r="BE104" s="212" t="n"/>
      <c r="BF104" s="212" t="n"/>
      <c r="BG104" s="212" t="n"/>
      <c r="BH104" s="212" t="n"/>
      <c r="BI104" s="212" t="n"/>
      <c r="BJ104" s="212" t="n"/>
      <c r="BK104" s="212" t="n"/>
      <c r="BL104" s="212" t="n"/>
      <c r="BM104" s="212" t="n"/>
      <c r="BN104" s="212" t="n"/>
      <c r="BO104" s="212" t="n"/>
      <c r="BP104" s="212" t="n"/>
      <c r="BQ104" s="212" t="n"/>
      <c r="BR104" s="212" t="n"/>
      <c r="BS104" s="212" t="n"/>
      <c r="BT104" s="212" t="n"/>
      <c r="BU104" s="212" t="n"/>
      <c r="BV104" s="212" t="n"/>
      <c r="BW104" s="212" t="n"/>
      <c r="BX104" s="212" t="n"/>
      <c r="BY104" s="212" t="n"/>
      <c r="BZ104" s="212" t="n"/>
      <c r="CA104" s="212" t="n"/>
      <c r="CB104" s="212" t="n"/>
      <c r="CC104" s="212" t="n"/>
      <c r="CD104" s="212" t="n"/>
      <c r="CE104" s="212" t="n"/>
      <c r="CF104" s="212" t="n"/>
      <c r="CG104" s="212" t="n"/>
      <c r="CH104" s="212" t="n"/>
      <c r="CI104" s="212" t="n"/>
      <c r="CJ104" s="212" t="n"/>
      <c r="CK104" s="212" t="n"/>
      <c r="CL104" s="212" t="n"/>
      <c r="CM104" s="212" t="n"/>
      <c r="CN104" s="212" t="n"/>
      <c r="CO104" s="212" t="n"/>
      <c r="CP104" s="212" t="n"/>
      <c r="CQ104" s="212" t="n"/>
      <c r="CR104" s="212" t="n"/>
      <c r="CS104" s="212" t="n"/>
      <c r="CT104" s="212" t="n"/>
      <c r="CU104" s="212" t="n"/>
      <c r="CV104" s="212" t="n"/>
      <c r="CW104" s="212" t="n"/>
      <c r="CX104" s="212" t="n"/>
      <c r="CY104" s="212" t="n"/>
      <c r="CZ104" s="212" t="n"/>
      <c r="DA104" s="212" t="n"/>
      <c r="DB104" s="212" t="n"/>
      <c r="DC104" s="212" t="n"/>
      <c r="DD104" s="212" t="n"/>
      <c r="DE104" s="212" t="n"/>
      <c r="DF104" s="212" t="n"/>
      <c r="DG104" s="212" t="n"/>
      <c r="DH104" s="212" t="n"/>
      <c r="DI104" s="212" t="n"/>
      <c r="DJ104" s="212" t="n"/>
      <c r="DK104" s="212" t="n"/>
      <c r="DL104" s="212" t="n"/>
      <c r="DM104" s="212" t="n"/>
      <c r="DN104" s="212" t="n"/>
      <c r="DO104" s="212" t="n"/>
      <c r="DP104" s="212" t="n"/>
      <c r="DQ104" s="212" t="n"/>
      <c r="DR104" s="212" t="n"/>
      <c r="DS104" s="212" t="n"/>
      <c r="DT104" s="212" t="n"/>
      <c r="DU104" s="212" t="n"/>
      <c r="DV104" s="212" t="n"/>
      <c r="DW104" s="212" t="n"/>
      <c r="DX104" s="212" t="n"/>
      <c r="DY104" s="212" t="n"/>
      <c r="DZ104" s="212" t="n"/>
      <c r="EA104" s="212" t="n"/>
      <c r="EB104" s="212" t="n"/>
      <c r="EC104" s="212" t="n"/>
      <c r="ED104" s="212" t="n"/>
      <c r="EE104" s="212" t="n"/>
      <c r="EF104" s="212" t="n"/>
      <c r="EG104" s="212" t="n"/>
      <c r="EH104" s="212" t="n"/>
      <c r="EI104" s="212" t="n"/>
      <c r="EJ104" s="212" t="n"/>
      <c r="EK104" s="212" t="n"/>
      <c r="EL104" s="212" t="n"/>
      <c r="EM104" s="212" t="n"/>
      <c r="EN104" s="212" t="n"/>
      <c r="EO104" s="212" t="n"/>
      <c r="EP104" s="212" t="n"/>
      <c r="EQ104" s="212" t="n"/>
      <c r="ER104" s="212" t="n"/>
      <c r="ES104" s="212" t="n"/>
      <c r="ET104" s="212" t="n"/>
      <c r="EU104" s="212" t="n"/>
      <c r="EV104" s="212" t="n"/>
      <c r="EW104" s="212" t="n"/>
      <c r="EX104" s="212" t="n"/>
      <c r="EY104" s="212" t="n"/>
      <c r="EZ104" s="212" t="n"/>
      <c r="FA104" s="212" t="n"/>
      <c r="FB104" s="212" t="n"/>
      <c r="FC104" s="212" t="n"/>
      <c r="FD104" s="212" t="n"/>
      <c r="FE104" s="212" t="n"/>
      <c r="FF104" s="212" t="n"/>
      <c r="FG104" s="212" t="n"/>
      <c r="FH104" s="212" t="n"/>
      <c r="FI104" s="212" t="n"/>
      <c r="FJ104" s="212" t="n"/>
      <c r="FK104" s="212" t="n"/>
      <c r="FL104" s="212" t="n"/>
      <c r="FM104" s="212" t="n"/>
      <c r="FN104" s="212" t="n"/>
      <c r="FO104" s="212" t="n"/>
      <c r="FP104" s="212" t="n"/>
      <c r="FQ104" s="212" t="n"/>
      <c r="FR104" s="212" t="n"/>
      <c r="FS104" s="212" t="n"/>
      <c r="FT104" s="212" t="n"/>
      <c r="FU104" s="212" t="n"/>
      <c r="FV104" s="212" t="n"/>
      <c r="FW104" s="212" t="n"/>
      <c r="FX104" s="212" t="n"/>
      <c r="FY104" s="212" t="n"/>
      <c r="FZ104" s="212" t="n"/>
      <c r="GA104" s="212" t="n"/>
      <c r="GB104" s="212" t="n"/>
      <c r="GC104" s="212" t="n"/>
      <c r="GD104" s="212" t="n"/>
      <c r="GE104" s="212" t="n"/>
      <c r="GF104" s="212" t="n"/>
      <c r="GG104" s="212" t="n"/>
      <c r="GH104" s="212" t="n"/>
      <c r="GI104" s="212" t="n"/>
      <c r="GJ104" s="212" t="n"/>
      <c r="GK104" s="212" t="n"/>
      <c r="GL104" s="212" t="n"/>
      <c r="GM104" s="212" t="n"/>
      <c r="GN104" s="212" t="n"/>
      <c r="GO104" s="212" t="n"/>
      <c r="GP104" s="212" t="n"/>
      <c r="GQ104" s="212" t="n"/>
      <c r="GR104" s="212" t="n"/>
      <c r="GS104" s="212" t="n"/>
      <c r="GT104" s="212" t="n"/>
      <c r="GU104" s="212" t="n"/>
      <c r="GV104" s="212" t="n"/>
      <c r="GW104" s="212" t="n"/>
      <c r="GX104" s="212" t="n"/>
      <c r="GY104" s="212" t="n"/>
      <c r="GZ104" s="212" t="n"/>
      <c r="HA104" s="212" t="n"/>
      <c r="HB104" s="212" t="n"/>
      <c r="HC104" s="212" t="n"/>
      <c r="HD104" s="212" t="n"/>
      <c r="HE104" s="212" t="n"/>
      <c r="HF104" s="212" t="n"/>
      <c r="HG104" s="212" t="n"/>
      <c r="HH104" s="212" t="n"/>
      <c r="HI104" s="212" t="n"/>
      <c r="HJ104" s="212" t="n"/>
      <c r="HK104" s="212" t="n"/>
      <c r="HL104" s="212" t="n"/>
      <c r="HM104" s="212" t="n"/>
      <c r="HN104" s="212" t="n"/>
      <c r="HO104" s="212" t="n"/>
      <c r="HP104" s="212" t="n"/>
      <c r="HQ104" s="212" t="n"/>
      <c r="HR104" s="212" t="n"/>
      <c r="HS104" s="212" t="n"/>
      <c r="HT104" s="212" t="n"/>
      <c r="HU104" s="212" t="n"/>
      <c r="HV104" s="212" t="n"/>
      <c r="HW104" s="212" t="n"/>
      <c r="HX104" s="212" t="n"/>
      <c r="HY104" s="212" t="n"/>
      <c r="HZ104" s="212" t="n"/>
      <c r="IA104" s="212" t="n"/>
      <c r="IB104" s="212" t="n"/>
      <c r="IC104" s="212" t="n"/>
      <c r="ID104" s="212" t="n"/>
      <c r="IE104" s="212" t="n"/>
      <c r="IF104" s="212" t="n"/>
      <c r="IG104" s="212" t="n"/>
      <c r="IH104" s="212" t="n"/>
      <c r="II104" s="212" t="n"/>
      <c r="IJ104" s="212" t="n"/>
      <c r="IK104" s="212" t="n"/>
      <c r="IL104" s="212" t="n"/>
      <c r="IM104" s="212" t="n"/>
      <c r="IN104" s="212" t="n"/>
      <c r="IO104" s="212" t="n"/>
      <c r="IP104" s="212" t="n"/>
      <c r="IQ104" s="212" t="n"/>
      <c r="IR104" s="212" t="n"/>
      <c r="IS104" s="212" t="n"/>
      <c r="IT104" s="212" t="n"/>
      <c r="IU104" s="212" t="n"/>
      <c r="IV104" s="212" t="n"/>
      <c r="IW104" s="212" t="n"/>
      <c r="IX104" s="212" t="n"/>
      <c r="IY104" s="212" t="n"/>
      <c r="IZ104" s="212" t="n"/>
      <c r="JA104" s="212" t="n"/>
      <c r="JB104" s="212" t="n"/>
      <c r="JC104" s="212" t="n"/>
      <c r="JD104" s="212" t="n"/>
      <c r="JE104" s="212" t="n"/>
      <c r="JF104" s="212" t="n"/>
      <c r="JG104" s="212" t="n"/>
      <c r="JH104" s="212" t="n"/>
      <c r="JI104" s="212" t="n"/>
      <c r="JJ104" s="212" t="n"/>
      <c r="JK104" s="212" t="n"/>
      <c r="JL104" s="212" t="n"/>
      <c r="JM104" s="212" t="n"/>
      <c r="JN104" s="212" t="n"/>
      <c r="JO104" s="212" t="n"/>
      <c r="JP104" s="212" t="n"/>
      <c r="JQ104" s="212" t="n"/>
      <c r="JR104" s="212" t="n"/>
      <c r="JS104" s="212" t="n"/>
      <c r="JT104" s="212" t="n"/>
      <c r="JU104" s="212" t="n"/>
      <c r="JV104" s="212" t="n"/>
      <c r="JW104" s="212" t="n"/>
      <c r="JX104" s="212" t="n"/>
      <c r="JY104" s="212" t="n"/>
      <c r="JZ104" s="212" t="n"/>
      <c r="KA104" s="212" t="n"/>
      <c r="KB104" s="212" t="n"/>
      <c r="KC104" s="212" t="n"/>
      <c r="KD104" s="212" t="n"/>
      <c r="KE104" s="212" t="n"/>
      <c r="KF104" s="212" t="n"/>
      <c r="KG104" s="212" t="n"/>
      <c r="KH104" s="212" t="n"/>
      <c r="KI104" s="212" t="n"/>
      <c r="KJ104" s="212" t="n"/>
      <c r="KK104" s="212" t="n"/>
      <c r="KL104" s="212" t="n"/>
      <c r="KM104" s="212" t="n"/>
      <c r="KN104" s="212" t="n"/>
      <c r="KO104" s="212" t="n"/>
      <c r="KP104" s="212" t="n"/>
      <c r="KQ104" s="212" t="n"/>
      <c r="KR104" s="212" t="n"/>
      <c r="KS104" s="212" t="n"/>
      <c r="KT104" s="212" t="n"/>
      <c r="KU104" s="212" t="n"/>
      <c r="KV104" s="212" t="n"/>
      <c r="KW104" s="212" t="n"/>
      <c r="KX104" s="212" t="n"/>
      <c r="KY104" s="212" t="n"/>
      <c r="KZ104" s="212" t="n"/>
      <c r="LA104" s="212" t="n"/>
      <c r="LB104" s="212" t="n"/>
      <c r="LC104" s="212" t="n"/>
      <c r="LD104" s="212" t="n"/>
      <c r="LE104" s="212" t="n"/>
      <c r="LF104" s="212" t="n"/>
      <c r="LG104" s="212" t="n"/>
      <c r="LH104" s="212" t="n"/>
      <c r="LI104" s="212" t="n"/>
      <c r="LJ104" s="212" t="n"/>
      <c r="LK104" s="212" t="n"/>
      <c r="LL104" s="212" t="n"/>
      <c r="LM104" s="212" t="n"/>
      <c r="LN104" s="212" t="n"/>
      <c r="LO104" s="212" t="n"/>
      <c r="LP104" s="212" t="n"/>
      <c r="LQ104" s="212" t="n"/>
      <c r="LR104" s="212" t="n"/>
      <c r="LS104" s="212" t="n"/>
      <c r="LT104" s="212" t="n"/>
      <c r="LU104" s="212" t="n"/>
      <c r="LV104" s="212" t="n"/>
      <c r="LW104" s="212" t="n"/>
      <c r="LX104" s="212" t="n"/>
      <c r="LY104" s="212" t="n"/>
      <c r="LZ104" s="212" t="n"/>
      <c r="MA104" s="212" t="n"/>
      <c r="MB104" s="212" t="n"/>
      <c r="MC104" s="212" t="n"/>
      <c r="MD104" s="212" t="n"/>
      <c r="ME104" s="212" t="n"/>
      <c r="MF104" s="212" t="n"/>
      <c r="MG104" s="212" t="n"/>
      <c r="MH104" s="212" t="n"/>
      <c r="MI104" s="212" t="n"/>
      <c r="MJ104" s="212" t="n"/>
      <c r="MK104" s="212" t="n"/>
      <c r="ML104" s="212" t="n"/>
      <c r="MM104" s="212" t="n"/>
      <c r="MN104" s="212" t="n"/>
      <c r="MO104" s="212" t="n"/>
      <c r="MP104" s="212" t="n"/>
      <c r="MQ104" s="212" t="n"/>
      <c r="MR104" s="212" t="n"/>
      <c r="MS104" s="212" t="n"/>
      <c r="MT104" s="212" t="n"/>
      <c r="MU104" s="212" t="n"/>
      <c r="MV104" s="212" t="n"/>
      <c r="MW104" s="212" t="n"/>
      <c r="MX104" s="212" t="n"/>
      <c r="MY104" s="212" t="n"/>
      <c r="MZ104" s="212" t="n"/>
      <c r="NA104" s="212" t="n"/>
      <c r="NB104" s="212" t="n"/>
      <c r="NC104" s="212" t="n"/>
      <c r="ND104" s="212" t="n"/>
      <c r="NE104" s="212" t="n"/>
      <c r="NF104" s="212" t="n"/>
      <c r="NG104" s="212" t="n"/>
      <c r="NH104" s="212" t="n"/>
      <c r="NI104" s="212" t="n"/>
      <c r="NJ104" s="212" t="n"/>
      <c r="NK104" s="212" t="n"/>
      <c r="NL104" s="212" t="n"/>
      <c r="NM104" s="212" t="n"/>
      <c r="NN104" s="212" t="n"/>
      <c r="NO104" s="212" t="n"/>
      <c r="NP104" s="212" t="n"/>
      <c r="NQ104" s="212" t="n"/>
      <c r="NR104" s="212" t="n"/>
      <c r="NS104" s="212" t="n"/>
      <c r="NT104" s="212" t="n"/>
      <c r="NU104" s="212" t="n"/>
      <c r="NV104" s="212" t="n"/>
      <c r="NW104" s="212" t="n"/>
      <c r="NX104" s="212" t="n"/>
      <c r="NY104" s="212" t="n"/>
      <c r="NZ104" s="212" t="n"/>
      <c r="OA104" s="212" t="n"/>
      <c r="OB104" s="212" t="n"/>
      <c r="OC104" s="212" t="n"/>
      <c r="OD104" s="212" t="n"/>
      <c r="OE104" s="212" t="n"/>
      <c r="OF104" s="212" t="n"/>
      <c r="OG104" s="212" t="n"/>
      <c r="OH104" s="212" t="n"/>
      <c r="OI104" s="212" t="n"/>
      <c r="OJ104" s="212" t="n"/>
      <c r="OK104" s="212" t="n"/>
      <c r="OL104" s="212" t="n"/>
      <c r="OM104" s="212" t="n"/>
      <c r="ON104" s="212" t="n"/>
      <c r="OO104" s="212" t="n"/>
      <c r="OP104" s="212" t="n"/>
      <c r="OQ104" s="212" t="n"/>
      <c r="OR104" s="212" t="n"/>
      <c r="OS104" s="212" t="n"/>
      <c r="OT104" s="212" t="n"/>
      <c r="OU104" s="212" t="n"/>
      <c r="OV104" s="212" t="n"/>
      <c r="OW104" s="212" t="n"/>
      <c r="OX104" s="212" t="n"/>
      <c r="OY104" s="212" t="n"/>
      <c r="OZ104" s="212" t="n"/>
      <c r="PA104" s="212" t="n"/>
      <c r="PB104" s="212" t="n"/>
      <c r="PC104" s="212" t="n"/>
      <c r="PD104" s="212" t="n"/>
      <c r="PE104" s="212" t="n"/>
      <c r="PF104" s="212" t="n"/>
      <c r="PG104" s="212" t="n"/>
      <c r="PH104" s="212" t="n"/>
      <c r="PI104" s="212" t="n"/>
      <c r="PJ104" s="212" t="n"/>
      <c r="PK104" s="212" t="n"/>
      <c r="PL104" s="212" t="n"/>
      <c r="PM104" s="212" t="n"/>
      <c r="PN104" s="212" t="n"/>
      <c r="PO104" s="212" t="n"/>
      <c r="PP104" s="212" t="n"/>
      <c r="PQ104" s="212" t="n"/>
      <c r="PR104" s="212" t="n"/>
      <c r="PS104" s="212" t="n"/>
      <c r="PT104" s="212" t="n"/>
      <c r="PU104" s="212" t="n"/>
      <c r="PV104" s="212" t="n"/>
      <c r="PW104" s="212" t="n"/>
      <c r="PX104" s="212" t="n"/>
      <c r="PY104" s="212" t="n"/>
      <c r="PZ104" s="212" t="n"/>
      <c r="QA104" s="212" t="n"/>
      <c r="QB104" s="212" t="n"/>
      <c r="QC104" s="212" t="n"/>
      <c r="QD104" s="212" t="n"/>
      <c r="QE104" s="212" t="n"/>
      <c r="QF104" s="212" t="n"/>
      <c r="QG104" s="212" t="n"/>
      <c r="QH104" s="212" t="n"/>
      <c r="QI104" s="212" t="n"/>
      <c r="QJ104" s="212" t="n"/>
      <c r="QK104" s="212" t="n"/>
      <c r="QL104" s="212" t="n"/>
      <c r="QM104" s="212" t="n"/>
      <c r="QN104" s="212" t="n"/>
      <c r="QO104" s="212" t="n"/>
      <c r="QP104" s="212" t="n"/>
      <c r="QQ104" s="212" t="n"/>
      <c r="QR104" s="212" t="n"/>
      <c r="QS104" s="212" t="n"/>
      <c r="QT104" s="212" t="n"/>
      <c r="QU104" s="212" t="n"/>
      <c r="QV104" s="212" t="n"/>
      <c r="QW104" s="212" t="n"/>
      <c r="QX104" s="212" t="n"/>
      <c r="QY104" s="212" t="n"/>
      <c r="QZ104" s="212" t="n"/>
      <c r="RA104" s="212" t="n"/>
      <c r="RB104" s="212" t="n"/>
      <c r="RC104" s="212" t="n"/>
      <c r="RD104" s="212" t="n"/>
      <c r="RE104" s="212" t="n"/>
      <c r="RF104" s="212" t="n"/>
      <c r="RG104" s="212" t="n"/>
      <c r="RH104" s="212" t="n"/>
      <c r="RI104" s="212" t="n"/>
      <c r="RJ104" s="212" t="n"/>
      <c r="RK104" s="212" t="n"/>
      <c r="RL104" s="212" t="n"/>
      <c r="RM104" s="212" t="n"/>
      <c r="RN104" s="212" t="n"/>
      <c r="RO104" s="212" t="n"/>
      <c r="RP104" s="212" t="n"/>
      <c r="RQ104" s="212" t="n"/>
      <c r="RR104" s="212" t="n"/>
      <c r="RS104" s="212" t="n"/>
      <c r="RT104" s="212" t="n"/>
      <c r="RU104" s="212" t="n"/>
      <c r="RV104" s="212" t="n"/>
      <c r="RW104" s="212" t="n"/>
      <c r="RX104" s="212" t="n"/>
      <c r="RY104" s="212" t="n"/>
      <c r="RZ104" s="212" t="n"/>
      <c r="SA104" s="212" t="n"/>
      <c r="SB104" s="212" t="n"/>
      <c r="SC104" s="212" t="n"/>
      <c r="SD104" s="212" t="n"/>
      <c r="SE104" s="212" t="n"/>
      <c r="SF104" s="212" t="n"/>
      <c r="SG104" s="212" t="n"/>
      <c r="SH104" s="212" t="n"/>
      <c r="SI104" s="212" t="n"/>
      <c r="SJ104" s="212" t="n"/>
      <c r="SK104" s="212" t="n"/>
      <c r="SL104" s="212" t="n"/>
      <c r="SM104" s="212" t="n"/>
      <c r="SN104" s="212" t="n"/>
      <c r="SO104" s="212" t="n"/>
      <c r="SP104" s="212" t="n"/>
      <c r="SQ104" s="212" t="n"/>
      <c r="SR104" s="212" t="n"/>
      <c r="SS104" s="212" t="n"/>
      <c r="ST104" s="212" t="n"/>
      <c r="SU104" s="212" t="n"/>
      <c r="SV104" s="212" t="n"/>
    </row>
    <row r="105">
      <c r="B105" s="209" t="n"/>
      <c r="C105" s="209" t="n"/>
      <c r="D105" s="209" t="n"/>
      <c r="E105" s="209" t="n"/>
      <c r="F105" s="209">
        <f>IF(TRIM(D105&amp;E105)="","",TRIM(D105)&amp;" "&amp;TRIM(E105))</f>
        <v/>
      </c>
      <c r="G105" s="209" t="n"/>
      <c r="H105" s="209" t="n"/>
      <c r="I105" s="209" t="n"/>
      <c r="J105" s="209" t="n"/>
      <c r="K105" s="209" t="n"/>
      <c r="L105" s="209" t="n"/>
      <c r="M105" s="209" t="n"/>
      <c r="N105" s="209" t="n"/>
      <c r="O105" s="209" t="n"/>
      <c r="P105" s="209" t="n"/>
      <c r="Q105" s="209" t="n"/>
      <c r="R105" s="209" t="n"/>
      <c r="S105" s="212" t="n"/>
      <c r="T105" s="212" t="n"/>
      <c r="U105" s="212" t="n"/>
      <c r="V105" s="212" t="n"/>
      <c r="W105" s="212" t="n"/>
      <c r="X105" s="212" t="n"/>
      <c r="Y105" s="212" t="n"/>
      <c r="Z105" s="212" t="n"/>
      <c r="AA105" s="212" t="n"/>
      <c r="AB105" s="212" t="n"/>
      <c r="AC105" s="212" t="n"/>
      <c r="AD105" s="212" t="n"/>
      <c r="AE105" s="212" t="n"/>
      <c r="AF105" s="212" t="n"/>
      <c r="AG105" s="212" t="n"/>
      <c r="AH105" s="212" t="n"/>
      <c r="AI105" s="212" t="n"/>
      <c r="AJ105" s="212" t="n"/>
      <c r="AK105" s="212" t="n"/>
      <c r="AL105" s="212" t="n"/>
      <c r="AM105" s="212" t="n"/>
      <c r="AN105" s="212" t="n"/>
      <c r="AO105" s="212" t="n"/>
      <c r="AP105" s="212" t="n"/>
      <c r="AQ105" s="212" t="n"/>
      <c r="AR105" s="212" t="n"/>
      <c r="AS105" s="212" t="n"/>
      <c r="AT105" s="212" t="n"/>
      <c r="AU105" s="212" t="n"/>
      <c r="AV105" s="212" t="n"/>
      <c r="AW105" s="212" t="n"/>
      <c r="AX105" s="212" t="n"/>
      <c r="AY105" s="212" t="n"/>
      <c r="AZ105" s="212" t="n"/>
      <c r="BA105" s="212" t="n"/>
      <c r="BB105" s="212" t="n"/>
      <c r="BC105" s="212" t="n"/>
      <c r="BD105" s="212" t="n"/>
      <c r="BE105" s="212" t="n"/>
      <c r="BF105" s="212" t="n"/>
      <c r="BG105" s="212" t="n"/>
      <c r="BH105" s="212" t="n"/>
      <c r="BI105" s="212" t="n"/>
      <c r="BJ105" s="212" t="n"/>
      <c r="BK105" s="212" t="n"/>
      <c r="BL105" s="212" t="n"/>
      <c r="BM105" s="212" t="n"/>
      <c r="BN105" s="212" t="n"/>
      <c r="BO105" s="212" t="n"/>
      <c r="BP105" s="212" t="n"/>
      <c r="BQ105" s="212" t="n"/>
      <c r="BR105" s="212" t="n"/>
      <c r="BS105" s="212" t="n"/>
      <c r="BT105" s="212" t="n"/>
      <c r="BU105" s="212" t="n"/>
      <c r="BV105" s="212" t="n"/>
      <c r="BW105" s="212" t="n"/>
      <c r="BX105" s="212" t="n"/>
      <c r="BY105" s="212" t="n"/>
      <c r="BZ105" s="212" t="n"/>
      <c r="CA105" s="212" t="n"/>
      <c r="CB105" s="212" t="n"/>
      <c r="CC105" s="212" t="n"/>
      <c r="CD105" s="212" t="n"/>
      <c r="CE105" s="212" t="n"/>
      <c r="CF105" s="212" t="n"/>
      <c r="CG105" s="212" t="n"/>
      <c r="CH105" s="212" t="n"/>
      <c r="CI105" s="212" t="n"/>
      <c r="CJ105" s="212" t="n"/>
      <c r="CK105" s="212" t="n"/>
      <c r="CL105" s="212" t="n"/>
      <c r="CM105" s="212" t="n"/>
      <c r="CN105" s="212" t="n"/>
      <c r="CO105" s="212" t="n"/>
      <c r="CP105" s="212" t="n"/>
      <c r="CQ105" s="212" t="n"/>
      <c r="CR105" s="212" t="n"/>
      <c r="CS105" s="212" t="n"/>
      <c r="CT105" s="212" t="n"/>
      <c r="CU105" s="212" t="n"/>
      <c r="CV105" s="212" t="n"/>
      <c r="CW105" s="212" t="n"/>
      <c r="CX105" s="212" t="n"/>
      <c r="CY105" s="212" t="n"/>
      <c r="CZ105" s="212" t="n"/>
      <c r="DA105" s="212" t="n"/>
      <c r="DB105" s="212" t="n"/>
      <c r="DC105" s="212" t="n"/>
      <c r="DD105" s="212" t="n"/>
      <c r="DE105" s="212" t="n"/>
      <c r="DF105" s="212" t="n"/>
      <c r="DG105" s="212" t="n"/>
      <c r="DH105" s="212" t="n"/>
      <c r="DI105" s="212" t="n"/>
      <c r="DJ105" s="212" t="n"/>
      <c r="DK105" s="212" t="n"/>
      <c r="DL105" s="212" t="n"/>
      <c r="DM105" s="212" t="n"/>
      <c r="DN105" s="212" t="n"/>
      <c r="DO105" s="212" t="n"/>
      <c r="DP105" s="212" t="n"/>
      <c r="DQ105" s="212" t="n"/>
      <c r="DR105" s="212" t="n"/>
      <c r="DS105" s="212" t="n"/>
      <c r="DT105" s="212" t="n"/>
      <c r="DU105" s="212" t="n"/>
      <c r="DV105" s="212" t="n"/>
      <c r="DW105" s="212" t="n"/>
      <c r="DX105" s="212" t="n"/>
      <c r="DY105" s="212" t="n"/>
      <c r="DZ105" s="212" t="n"/>
      <c r="EA105" s="212" t="n"/>
      <c r="EB105" s="212" t="n"/>
      <c r="EC105" s="212" t="n"/>
      <c r="ED105" s="212" t="n"/>
      <c r="EE105" s="212" t="n"/>
      <c r="EF105" s="212" t="n"/>
      <c r="EG105" s="212" t="n"/>
      <c r="EH105" s="212" t="n"/>
      <c r="EI105" s="212" t="n"/>
      <c r="EJ105" s="212" t="n"/>
      <c r="EK105" s="212" t="n"/>
      <c r="EL105" s="212" t="n"/>
      <c r="EM105" s="212" t="n"/>
      <c r="EN105" s="212" t="n"/>
      <c r="EO105" s="212" t="n"/>
      <c r="EP105" s="212" t="n"/>
      <c r="EQ105" s="212" t="n"/>
      <c r="ER105" s="212" t="n"/>
      <c r="ES105" s="212" t="n"/>
      <c r="ET105" s="212" t="n"/>
      <c r="EU105" s="212" t="n"/>
      <c r="EV105" s="212" t="n"/>
      <c r="EW105" s="212" t="n"/>
      <c r="EX105" s="212" t="n"/>
      <c r="EY105" s="212" t="n"/>
      <c r="EZ105" s="212" t="n"/>
      <c r="FA105" s="212" t="n"/>
      <c r="FB105" s="212" t="n"/>
      <c r="FC105" s="212" t="n"/>
      <c r="FD105" s="212" t="n"/>
      <c r="FE105" s="212" t="n"/>
      <c r="FF105" s="212" t="n"/>
      <c r="FG105" s="212" t="n"/>
      <c r="FH105" s="212" t="n"/>
      <c r="FI105" s="212" t="n"/>
      <c r="FJ105" s="212" t="n"/>
      <c r="FK105" s="212" t="n"/>
      <c r="FL105" s="212" t="n"/>
      <c r="FM105" s="212" t="n"/>
      <c r="FN105" s="212" t="n"/>
      <c r="FO105" s="212" t="n"/>
      <c r="FP105" s="212" t="n"/>
      <c r="FQ105" s="212" t="n"/>
      <c r="FR105" s="212" t="n"/>
      <c r="FS105" s="212" t="n"/>
      <c r="FT105" s="212" t="n"/>
      <c r="FU105" s="212" t="n"/>
      <c r="FV105" s="212" t="n"/>
      <c r="FW105" s="212" t="n"/>
      <c r="FX105" s="212" t="n"/>
      <c r="FY105" s="212" t="n"/>
      <c r="FZ105" s="212" t="n"/>
      <c r="GA105" s="212" t="n"/>
      <c r="GB105" s="212" t="n"/>
      <c r="GC105" s="212" t="n"/>
      <c r="GD105" s="212" t="n"/>
      <c r="GE105" s="212" t="n"/>
      <c r="GF105" s="212" t="n"/>
      <c r="GG105" s="212" t="n"/>
      <c r="GH105" s="212" t="n"/>
      <c r="GI105" s="212" t="n"/>
      <c r="GJ105" s="212" t="n"/>
      <c r="GK105" s="212" t="n"/>
      <c r="GL105" s="212" t="n"/>
      <c r="GM105" s="212" t="n"/>
      <c r="GN105" s="212" t="n"/>
      <c r="GO105" s="212" t="n"/>
      <c r="GP105" s="212" t="n"/>
      <c r="GQ105" s="212" t="n"/>
      <c r="GR105" s="212" t="n"/>
      <c r="GS105" s="212" t="n"/>
      <c r="GT105" s="212" t="n"/>
      <c r="GU105" s="212" t="n"/>
      <c r="GV105" s="212" t="n"/>
      <c r="GW105" s="212" t="n"/>
      <c r="GX105" s="212" t="n"/>
      <c r="GY105" s="212" t="n"/>
      <c r="GZ105" s="212" t="n"/>
      <c r="HA105" s="212" t="n"/>
      <c r="HB105" s="212" t="n"/>
      <c r="HC105" s="212" t="n"/>
      <c r="HD105" s="212" t="n"/>
      <c r="HE105" s="212" t="n"/>
      <c r="HF105" s="212" t="n"/>
      <c r="HG105" s="212" t="n"/>
      <c r="HH105" s="212" t="n"/>
      <c r="HI105" s="212" t="n"/>
      <c r="HJ105" s="212" t="n"/>
      <c r="HK105" s="212" t="n"/>
      <c r="HL105" s="212" t="n"/>
      <c r="HM105" s="212" t="n"/>
      <c r="HN105" s="212" t="n"/>
      <c r="HO105" s="212" t="n"/>
      <c r="HP105" s="212" t="n"/>
      <c r="HQ105" s="212" t="n"/>
      <c r="HR105" s="212" t="n"/>
      <c r="HS105" s="212" t="n"/>
      <c r="HT105" s="212" t="n"/>
      <c r="HU105" s="212" t="n"/>
      <c r="HV105" s="212" t="n"/>
      <c r="HW105" s="212" t="n"/>
      <c r="HX105" s="212" t="n"/>
      <c r="HY105" s="212" t="n"/>
      <c r="HZ105" s="212" t="n"/>
      <c r="IA105" s="212" t="n"/>
      <c r="IB105" s="212" t="n"/>
      <c r="IC105" s="212" t="n"/>
      <c r="ID105" s="212" t="n"/>
      <c r="IE105" s="212" t="n"/>
      <c r="IF105" s="212" t="n"/>
      <c r="IG105" s="212" t="n"/>
      <c r="IH105" s="212" t="n"/>
      <c r="II105" s="212" t="n"/>
      <c r="IJ105" s="212" t="n"/>
      <c r="IK105" s="212" t="n"/>
      <c r="IL105" s="212" t="n"/>
      <c r="IM105" s="212" t="n"/>
      <c r="IN105" s="212" t="n"/>
      <c r="IO105" s="212" t="n"/>
      <c r="IP105" s="212" t="n"/>
      <c r="IQ105" s="212" t="n"/>
      <c r="IR105" s="212" t="n"/>
      <c r="IS105" s="212" t="n"/>
      <c r="IT105" s="212" t="n"/>
      <c r="IU105" s="212" t="n"/>
      <c r="IV105" s="212" t="n"/>
      <c r="IW105" s="212" t="n"/>
      <c r="IX105" s="212" t="n"/>
      <c r="IY105" s="212" t="n"/>
      <c r="IZ105" s="212" t="n"/>
      <c r="JA105" s="212" t="n"/>
      <c r="JB105" s="212" t="n"/>
      <c r="JC105" s="212" t="n"/>
      <c r="JD105" s="212" t="n"/>
      <c r="JE105" s="212" t="n"/>
      <c r="JF105" s="212" t="n"/>
      <c r="JG105" s="212" t="n"/>
      <c r="JH105" s="212" t="n"/>
      <c r="JI105" s="212" t="n"/>
      <c r="JJ105" s="212" t="n"/>
      <c r="JK105" s="212" t="n"/>
      <c r="JL105" s="212" t="n"/>
      <c r="JM105" s="212" t="n"/>
      <c r="JN105" s="212" t="n"/>
      <c r="JO105" s="212" t="n"/>
      <c r="JP105" s="212" t="n"/>
      <c r="JQ105" s="212" t="n"/>
      <c r="JR105" s="212" t="n"/>
      <c r="JS105" s="212" t="n"/>
      <c r="JT105" s="212" t="n"/>
      <c r="JU105" s="212" t="n"/>
      <c r="JV105" s="212" t="n"/>
      <c r="JW105" s="212" t="n"/>
      <c r="JX105" s="212" t="n"/>
      <c r="JY105" s="212" t="n"/>
      <c r="JZ105" s="212" t="n"/>
      <c r="KA105" s="212" t="n"/>
      <c r="KB105" s="212" t="n"/>
      <c r="KC105" s="212" t="n"/>
      <c r="KD105" s="212" t="n"/>
      <c r="KE105" s="212" t="n"/>
      <c r="KF105" s="212" t="n"/>
      <c r="KG105" s="212" t="n"/>
      <c r="KH105" s="212" t="n"/>
      <c r="KI105" s="212" t="n"/>
      <c r="KJ105" s="212" t="n"/>
      <c r="KK105" s="212" t="n"/>
      <c r="KL105" s="212" t="n"/>
      <c r="KM105" s="212" t="n"/>
      <c r="KN105" s="212" t="n"/>
      <c r="KO105" s="212" t="n"/>
      <c r="KP105" s="212" t="n"/>
      <c r="KQ105" s="212" t="n"/>
      <c r="KR105" s="212" t="n"/>
      <c r="KS105" s="212" t="n"/>
      <c r="KT105" s="212" t="n"/>
      <c r="KU105" s="212" t="n"/>
      <c r="KV105" s="212" t="n"/>
      <c r="KW105" s="212" t="n"/>
      <c r="KX105" s="212" t="n"/>
      <c r="KY105" s="212" t="n"/>
      <c r="KZ105" s="212" t="n"/>
      <c r="LA105" s="212" t="n"/>
      <c r="LB105" s="212" t="n"/>
      <c r="LC105" s="212" t="n"/>
      <c r="LD105" s="212" t="n"/>
      <c r="LE105" s="212" t="n"/>
      <c r="LF105" s="212" t="n"/>
      <c r="LG105" s="212" t="n"/>
      <c r="LH105" s="212" t="n"/>
      <c r="LI105" s="212" t="n"/>
      <c r="LJ105" s="212" t="n"/>
      <c r="LK105" s="212" t="n"/>
      <c r="LL105" s="212" t="n"/>
      <c r="LM105" s="212" t="n"/>
      <c r="LN105" s="212" t="n"/>
      <c r="LO105" s="212" t="n"/>
      <c r="LP105" s="212" t="n"/>
      <c r="LQ105" s="212" t="n"/>
      <c r="LR105" s="212" t="n"/>
      <c r="LS105" s="212" t="n"/>
      <c r="LT105" s="212" t="n"/>
      <c r="LU105" s="212" t="n"/>
      <c r="LV105" s="212" t="n"/>
      <c r="LW105" s="212" t="n"/>
      <c r="LX105" s="212" t="n"/>
      <c r="LY105" s="212" t="n"/>
      <c r="LZ105" s="212" t="n"/>
      <c r="MA105" s="212" t="n"/>
      <c r="MB105" s="212" t="n"/>
      <c r="MC105" s="212" t="n"/>
      <c r="MD105" s="212" t="n"/>
      <c r="ME105" s="212" t="n"/>
      <c r="MF105" s="212" t="n"/>
      <c r="MG105" s="212" t="n"/>
      <c r="MH105" s="212" t="n"/>
      <c r="MI105" s="212" t="n"/>
      <c r="MJ105" s="212" t="n"/>
      <c r="MK105" s="212" t="n"/>
      <c r="ML105" s="212" t="n"/>
      <c r="MM105" s="212" t="n"/>
      <c r="MN105" s="212" t="n"/>
      <c r="MO105" s="212" t="n"/>
      <c r="MP105" s="212" t="n"/>
      <c r="MQ105" s="212" t="n"/>
      <c r="MR105" s="212" t="n"/>
      <c r="MS105" s="212" t="n"/>
      <c r="MT105" s="212" t="n"/>
      <c r="MU105" s="212" t="n"/>
      <c r="MV105" s="212" t="n"/>
      <c r="MW105" s="212" t="n"/>
      <c r="MX105" s="212" t="n"/>
      <c r="MY105" s="212" t="n"/>
      <c r="MZ105" s="212" t="n"/>
      <c r="NA105" s="212" t="n"/>
      <c r="NB105" s="212" t="n"/>
      <c r="NC105" s="212" t="n"/>
      <c r="ND105" s="212" t="n"/>
      <c r="NE105" s="212" t="n"/>
      <c r="NF105" s="212" t="n"/>
      <c r="NG105" s="212" t="n"/>
      <c r="NH105" s="212" t="n"/>
      <c r="NI105" s="212" t="n"/>
      <c r="NJ105" s="212" t="n"/>
      <c r="NK105" s="212" t="n"/>
      <c r="NL105" s="212" t="n"/>
      <c r="NM105" s="212" t="n"/>
      <c r="NN105" s="212" t="n"/>
      <c r="NO105" s="212" t="n"/>
      <c r="NP105" s="212" t="n"/>
      <c r="NQ105" s="212" t="n"/>
      <c r="NR105" s="212" t="n"/>
      <c r="NS105" s="212" t="n"/>
      <c r="NT105" s="212" t="n"/>
      <c r="NU105" s="212" t="n"/>
      <c r="NV105" s="212" t="n"/>
      <c r="NW105" s="212" t="n"/>
      <c r="NX105" s="212" t="n"/>
      <c r="NY105" s="212" t="n"/>
      <c r="NZ105" s="212" t="n"/>
      <c r="OA105" s="212" t="n"/>
      <c r="OB105" s="212" t="n"/>
      <c r="OC105" s="212" t="n"/>
      <c r="OD105" s="212" t="n"/>
      <c r="OE105" s="212" t="n"/>
      <c r="OF105" s="212" t="n"/>
      <c r="OG105" s="212" t="n"/>
      <c r="OH105" s="212" t="n"/>
      <c r="OI105" s="212" t="n"/>
      <c r="OJ105" s="212" t="n"/>
      <c r="OK105" s="212" t="n"/>
      <c r="OL105" s="212" t="n"/>
      <c r="OM105" s="212" t="n"/>
      <c r="ON105" s="212" t="n"/>
      <c r="OO105" s="212" t="n"/>
      <c r="OP105" s="212" t="n"/>
      <c r="OQ105" s="212" t="n"/>
      <c r="OR105" s="212" t="n"/>
      <c r="OS105" s="212" t="n"/>
      <c r="OT105" s="212" t="n"/>
      <c r="OU105" s="212" t="n"/>
      <c r="OV105" s="212" t="n"/>
      <c r="OW105" s="212" t="n"/>
      <c r="OX105" s="212" t="n"/>
      <c r="OY105" s="212" t="n"/>
      <c r="OZ105" s="212" t="n"/>
      <c r="PA105" s="212" t="n"/>
      <c r="PB105" s="212" t="n"/>
      <c r="PC105" s="212" t="n"/>
      <c r="PD105" s="212" t="n"/>
      <c r="PE105" s="212" t="n"/>
      <c r="PF105" s="212" t="n"/>
      <c r="PG105" s="212" t="n"/>
      <c r="PH105" s="212" t="n"/>
      <c r="PI105" s="212" t="n"/>
      <c r="PJ105" s="212" t="n"/>
      <c r="PK105" s="212" t="n"/>
      <c r="PL105" s="212" t="n"/>
      <c r="PM105" s="212" t="n"/>
      <c r="PN105" s="212" t="n"/>
      <c r="PO105" s="212" t="n"/>
      <c r="PP105" s="212" t="n"/>
      <c r="PQ105" s="212" t="n"/>
      <c r="PR105" s="212" t="n"/>
      <c r="PS105" s="212" t="n"/>
      <c r="PT105" s="212" t="n"/>
      <c r="PU105" s="212" t="n"/>
      <c r="PV105" s="212" t="n"/>
      <c r="PW105" s="212" t="n"/>
      <c r="PX105" s="212" t="n"/>
      <c r="PY105" s="212" t="n"/>
      <c r="PZ105" s="212" t="n"/>
      <c r="QA105" s="212" t="n"/>
      <c r="QB105" s="212" t="n"/>
      <c r="QC105" s="212" t="n"/>
      <c r="QD105" s="212" t="n"/>
      <c r="QE105" s="212" t="n"/>
      <c r="QF105" s="212" t="n"/>
      <c r="QG105" s="212" t="n"/>
      <c r="QH105" s="212" t="n"/>
      <c r="QI105" s="212" t="n"/>
      <c r="QJ105" s="212" t="n"/>
      <c r="QK105" s="212" t="n"/>
      <c r="QL105" s="212" t="n"/>
      <c r="QM105" s="212" t="n"/>
      <c r="QN105" s="212" t="n"/>
      <c r="QO105" s="212" t="n"/>
      <c r="QP105" s="212" t="n"/>
      <c r="QQ105" s="212" t="n"/>
      <c r="QR105" s="212" t="n"/>
      <c r="QS105" s="212" t="n"/>
      <c r="QT105" s="212" t="n"/>
      <c r="QU105" s="212" t="n"/>
      <c r="QV105" s="212" t="n"/>
      <c r="QW105" s="212" t="n"/>
      <c r="QX105" s="212" t="n"/>
      <c r="QY105" s="212" t="n"/>
      <c r="QZ105" s="212" t="n"/>
      <c r="RA105" s="212" t="n"/>
      <c r="RB105" s="212" t="n"/>
      <c r="RC105" s="212" t="n"/>
      <c r="RD105" s="212" t="n"/>
      <c r="RE105" s="212" t="n"/>
      <c r="RF105" s="212" t="n"/>
      <c r="RG105" s="212" t="n"/>
      <c r="RH105" s="212" t="n"/>
      <c r="RI105" s="212" t="n"/>
      <c r="RJ105" s="212" t="n"/>
      <c r="RK105" s="212" t="n"/>
      <c r="RL105" s="212" t="n"/>
      <c r="RM105" s="212" t="n"/>
      <c r="RN105" s="212" t="n"/>
      <c r="RO105" s="212" t="n"/>
      <c r="RP105" s="212" t="n"/>
      <c r="RQ105" s="212" t="n"/>
      <c r="RR105" s="212" t="n"/>
      <c r="RS105" s="212" t="n"/>
      <c r="RT105" s="212" t="n"/>
      <c r="RU105" s="212" t="n"/>
      <c r="RV105" s="212" t="n"/>
      <c r="RW105" s="212" t="n"/>
      <c r="RX105" s="212" t="n"/>
      <c r="RY105" s="212" t="n"/>
      <c r="RZ105" s="212" t="n"/>
      <c r="SA105" s="212" t="n"/>
      <c r="SB105" s="212" t="n"/>
      <c r="SC105" s="212" t="n"/>
      <c r="SD105" s="212" t="n"/>
      <c r="SE105" s="212" t="n"/>
      <c r="SF105" s="212" t="n"/>
      <c r="SG105" s="212" t="n"/>
      <c r="SH105" s="212" t="n"/>
      <c r="SI105" s="212" t="n"/>
      <c r="SJ105" s="212" t="n"/>
      <c r="SK105" s="212" t="n"/>
      <c r="SL105" s="212" t="n"/>
      <c r="SM105" s="212" t="n"/>
      <c r="SN105" s="212" t="n"/>
      <c r="SO105" s="212" t="n"/>
      <c r="SP105" s="212" t="n"/>
      <c r="SQ105" s="212" t="n"/>
      <c r="SR105" s="212" t="n"/>
      <c r="SS105" s="212" t="n"/>
      <c r="ST105" s="212" t="n"/>
      <c r="SU105" s="212" t="n"/>
      <c r="SV105" s="212" t="n"/>
    </row>
    <row r="106">
      <c r="B106" s="209" t="n"/>
      <c r="C106" s="209" t="n"/>
      <c r="D106" s="209" t="n"/>
      <c r="E106" s="209" t="n"/>
      <c r="F106" s="209">
        <f>IF(TRIM(D106&amp;E106)="","",TRIM(D106)&amp;" "&amp;TRIM(E106))</f>
        <v/>
      </c>
      <c r="G106" s="209" t="n"/>
      <c r="H106" s="209" t="n"/>
      <c r="I106" s="209" t="n"/>
      <c r="J106" s="209" t="n"/>
      <c r="K106" s="209" t="n"/>
      <c r="L106" s="209" t="n"/>
      <c r="M106" s="209" t="n"/>
      <c r="N106" s="209" t="n"/>
      <c r="O106" s="209" t="n"/>
      <c r="P106" s="209" t="n"/>
      <c r="Q106" s="209" t="n"/>
      <c r="R106" s="209" t="n"/>
      <c r="S106" s="212" t="n"/>
      <c r="T106" s="212" t="n"/>
      <c r="U106" s="212" t="n"/>
      <c r="V106" s="212" t="n"/>
      <c r="W106" s="212" t="n"/>
      <c r="X106" s="212" t="n"/>
      <c r="Y106" s="212" t="n"/>
      <c r="Z106" s="212" t="n"/>
      <c r="AA106" s="212" t="n"/>
      <c r="AB106" s="212" t="n"/>
      <c r="AC106" s="212" t="n"/>
      <c r="AD106" s="212" t="n"/>
      <c r="AE106" s="212" t="n"/>
      <c r="AF106" s="212" t="n"/>
      <c r="AG106" s="212" t="n"/>
      <c r="AH106" s="212" t="n"/>
      <c r="AI106" s="212" t="n"/>
      <c r="AJ106" s="212" t="n"/>
      <c r="AK106" s="212" t="n"/>
      <c r="AL106" s="212" t="n"/>
      <c r="AM106" s="212" t="n"/>
      <c r="AN106" s="212" t="n"/>
      <c r="AO106" s="212" t="n"/>
      <c r="AP106" s="212" t="n"/>
      <c r="AQ106" s="212" t="n"/>
      <c r="AR106" s="212" t="n"/>
      <c r="AS106" s="212" t="n"/>
      <c r="AT106" s="212" t="n"/>
      <c r="AU106" s="212" t="n"/>
      <c r="AV106" s="212" t="n"/>
      <c r="AW106" s="212" t="n"/>
      <c r="AX106" s="212" t="n"/>
      <c r="AY106" s="212" t="n"/>
      <c r="AZ106" s="212" t="n"/>
      <c r="BA106" s="212" t="n"/>
      <c r="BB106" s="212" t="n"/>
      <c r="BC106" s="212" t="n"/>
      <c r="BD106" s="212" t="n"/>
      <c r="BE106" s="212" t="n"/>
      <c r="BF106" s="212" t="n"/>
      <c r="BG106" s="212" t="n"/>
      <c r="BH106" s="212" t="n"/>
      <c r="BI106" s="212" t="n"/>
      <c r="BJ106" s="212" t="n"/>
      <c r="BK106" s="212" t="n"/>
      <c r="BL106" s="212" t="n"/>
      <c r="BM106" s="212" t="n"/>
      <c r="BN106" s="212" t="n"/>
      <c r="BO106" s="212" t="n"/>
      <c r="BP106" s="212" t="n"/>
      <c r="BQ106" s="212" t="n"/>
      <c r="BR106" s="212" t="n"/>
      <c r="BS106" s="212" t="n"/>
      <c r="BT106" s="212" t="n"/>
      <c r="BU106" s="212" t="n"/>
      <c r="BV106" s="212" t="n"/>
      <c r="BW106" s="212" t="n"/>
      <c r="BX106" s="212" t="n"/>
      <c r="BY106" s="212" t="n"/>
      <c r="BZ106" s="212" t="n"/>
      <c r="CA106" s="212" t="n"/>
      <c r="CB106" s="212" t="n"/>
      <c r="CC106" s="212" t="n"/>
      <c r="CD106" s="212" t="n"/>
      <c r="CE106" s="212" t="n"/>
      <c r="CF106" s="212" t="n"/>
      <c r="CG106" s="212" t="n"/>
      <c r="CH106" s="212" t="n"/>
      <c r="CI106" s="212" t="n"/>
      <c r="CJ106" s="212" t="n"/>
      <c r="CK106" s="212" t="n"/>
      <c r="CL106" s="212" t="n"/>
      <c r="CM106" s="212" t="n"/>
      <c r="CN106" s="212" t="n"/>
      <c r="CO106" s="212" t="n"/>
      <c r="CP106" s="212" t="n"/>
      <c r="CQ106" s="212" t="n"/>
      <c r="CR106" s="212" t="n"/>
      <c r="CS106" s="212" t="n"/>
      <c r="CT106" s="212" t="n"/>
      <c r="CU106" s="212" t="n"/>
      <c r="CV106" s="212" t="n"/>
      <c r="CW106" s="212" t="n"/>
      <c r="CX106" s="212" t="n"/>
      <c r="CY106" s="212" t="n"/>
      <c r="CZ106" s="212" t="n"/>
      <c r="DA106" s="212" t="n"/>
      <c r="DB106" s="212" t="n"/>
      <c r="DC106" s="212" t="n"/>
      <c r="DD106" s="212" t="n"/>
      <c r="DE106" s="212" t="n"/>
      <c r="DF106" s="212" t="n"/>
      <c r="DG106" s="212" t="n"/>
      <c r="DH106" s="212" t="n"/>
      <c r="DI106" s="212" t="n"/>
      <c r="DJ106" s="212" t="n"/>
      <c r="DK106" s="212" t="n"/>
      <c r="DL106" s="212" t="n"/>
      <c r="DM106" s="212" t="n"/>
      <c r="DN106" s="212" t="n"/>
      <c r="DO106" s="212" t="n"/>
      <c r="DP106" s="212" t="n"/>
      <c r="DQ106" s="212" t="n"/>
      <c r="DR106" s="212" t="n"/>
      <c r="DS106" s="212" t="n"/>
      <c r="DT106" s="212" t="n"/>
      <c r="DU106" s="212" t="n"/>
      <c r="DV106" s="212" t="n"/>
      <c r="DW106" s="212" t="n"/>
      <c r="DX106" s="212" t="n"/>
      <c r="DY106" s="212" t="n"/>
      <c r="DZ106" s="212" t="n"/>
      <c r="EA106" s="212" t="n"/>
      <c r="EB106" s="212" t="n"/>
      <c r="EC106" s="212" t="n"/>
      <c r="ED106" s="212" t="n"/>
      <c r="EE106" s="212" t="n"/>
      <c r="EF106" s="212" t="n"/>
      <c r="EG106" s="212" t="n"/>
      <c r="EH106" s="212" t="n"/>
      <c r="EI106" s="212" t="n"/>
      <c r="EJ106" s="212" t="n"/>
      <c r="EK106" s="212" t="n"/>
      <c r="EL106" s="212" t="n"/>
      <c r="EM106" s="212" t="n"/>
      <c r="EN106" s="212" t="n"/>
      <c r="EO106" s="212" t="n"/>
      <c r="EP106" s="212" t="n"/>
      <c r="EQ106" s="212" t="n"/>
      <c r="ER106" s="212" t="n"/>
      <c r="ES106" s="212" t="n"/>
      <c r="ET106" s="212" t="n"/>
      <c r="EU106" s="212" t="n"/>
      <c r="EV106" s="212" t="n"/>
      <c r="EW106" s="212" t="n"/>
      <c r="EX106" s="212" t="n"/>
      <c r="EY106" s="212" t="n"/>
      <c r="EZ106" s="212" t="n"/>
      <c r="FA106" s="212" t="n"/>
      <c r="FB106" s="212" t="n"/>
      <c r="FC106" s="212" t="n"/>
      <c r="FD106" s="212" t="n"/>
      <c r="FE106" s="212" t="n"/>
      <c r="FF106" s="212" t="n"/>
      <c r="FG106" s="212" t="n"/>
      <c r="FH106" s="212" t="n"/>
      <c r="FI106" s="212" t="n"/>
      <c r="FJ106" s="212" t="n"/>
      <c r="FK106" s="212" t="n"/>
      <c r="FL106" s="212" t="n"/>
      <c r="FM106" s="212" t="n"/>
      <c r="FN106" s="212" t="n"/>
      <c r="FO106" s="212" t="n"/>
      <c r="FP106" s="212" t="n"/>
      <c r="FQ106" s="212" t="n"/>
      <c r="FR106" s="212" t="n"/>
      <c r="FS106" s="212" t="n"/>
      <c r="FT106" s="212" t="n"/>
      <c r="FU106" s="212" t="n"/>
      <c r="FV106" s="212" t="n"/>
      <c r="FW106" s="212" t="n"/>
      <c r="FX106" s="212" t="n"/>
      <c r="FY106" s="212" t="n"/>
      <c r="FZ106" s="212" t="n"/>
      <c r="GA106" s="212" t="n"/>
      <c r="GB106" s="212" t="n"/>
      <c r="GC106" s="212" t="n"/>
      <c r="GD106" s="212" t="n"/>
      <c r="GE106" s="212" t="n"/>
      <c r="GF106" s="212" t="n"/>
      <c r="GG106" s="212" t="n"/>
      <c r="GH106" s="212" t="n"/>
      <c r="GI106" s="212" t="n"/>
      <c r="GJ106" s="212" t="n"/>
      <c r="GK106" s="212" t="n"/>
      <c r="GL106" s="212" t="n"/>
      <c r="GM106" s="212" t="n"/>
      <c r="GN106" s="212" t="n"/>
      <c r="GO106" s="212" t="n"/>
      <c r="GP106" s="212" t="n"/>
      <c r="GQ106" s="212" t="n"/>
      <c r="GR106" s="212" t="n"/>
      <c r="GS106" s="212" t="n"/>
      <c r="GT106" s="212" t="n"/>
      <c r="GU106" s="212" t="n"/>
      <c r="GV106" s="212" t="n"/>
      <c r="GW106" s="212" t="n"/>
      <c r="GX106" s="212" t="n"/>
      <c r="GY106" s="212" t="n"/>
      <c r="GZ106" s="212" t="n"/>
      <c r="HA106" s="212" t="n"/>
      <c r="HB106" s="212" t="n"/>
      <c r="HC106" s="212" t="n"/>
      <c r="HD106" s="212" t="n"/>
      <c r="HE106" s="212" t="n"/>
      <c r="HF106" s="212" t="n"/>
      <c r="HG106" s="212" t="n"/>
      <c r="HH106" s="212" t="n"/>
      <c r="HI106" s="212" t="n"/>
      <c r="HJ106" s="212" t="n"/>
      <c r="HK106" s="212" t="n"/>
      <c r="HL106" s="212" t="n"/>
      <c r="HM106" s="212" t="n"/>
      <c r="HN106" s="212" t="n"/>
      <c r="HO106" s="212" t="n"/>
      <c r="HP106" s="212" t="n"/>
      <c r="HQ106" s="212" t="n"/>
      <c r="HR106" s="212" t="n"/>
      <c r="HS106" s="212" t="n"/>
      <c r="HT106" s="212" t="n"/>
      <c r="HU106" s="212" t="n"/>
      <c r="HV106" s="212" t="n"/>
      <c r="HW106" s="212" t="n"/>
      <c r="HX106" s="212" t="n"/>
      <c r="HY106" s="212" t="n"/>
      <c r="HZ106" s="212" t="n"/>
      <c r="IA106" s="212" t="n"/>
      <c r="IB106" s="212" t="n"/>
      <c r="IC106" s="212" t="n"/>
      <c r="ID106" s="212" t="n"/>
      <c r="IE106" s="212" t="n"/>
      <c r="IF106" s="212" t="n"/>
      <c r="IG106" s="212" t="n"/>
      <c r="IH106" s="212" t="n"/>
      <c r="II106" s="212" t="n"/>
      <c r="IJ106" s="212" t="n"/>
      <c r="IK106" s="212" t="n"/>
      <c r="IL106" s="212" t="n"/>
      <c r="IM106" s="212" t="n"/>
      <c r="IN106" s="212" t="n"/>
      <c r="IO106" s="212" t="n"/>
      <c r="IP106" s="212" t="n"/>
      <c r="IQ106" s="212" t="n"/>
      <c r="IR106" s="212" t="n"/>
      <c r="IS106" s="212" t="n"/>
      <c r="IT106" s="212" t="n"/>
      <c r="IU106" s="212" t="n"/>
      <c r="IV106" s="212" t="n"/>
      <c r="IW106" s="212" t="n"/>
      <c r="IX106" s="212" t="n"/>
      <c r="IY106" s="212" t="n"/>
      <c r="IZ106" s="212" t="n"/>
      <c r="JA106" s="212" t="n"/>
      <c r="JB106" s="212" t="n"/>
      <c r="JC106" s="212" t="n"/>
      <c r="JD106" s="212" t="n"/>
      <c r="JE106" s="212" t="n"/>
      <c r="JF106" s="212" t="n"/>
      <c r="JG106" s="212" t="n"/>
      <c r="JH106" s="212" t="n"/>
      <c r="JI106" s="212" t="n"/>
      <c r="JJ106" s="212" t="n"/>
      <c r="JK106" s="212" t="n"/>
      <c r="JL106" s="212" t="n"/>
      <c r="JM106" s="212" t="n"/>
      <c r="JN106" s="212" t="n"/>
      <c r="JO106" s="212" t="n"/>
      <c r="JP106" s="212" t="n"/>
      <c r="JQ106" s="212" t="n"/>
      <c r="JR106" s="212" t="n"/>
      <c r="JS106" s="212" t="n"/>
      <c r="JT106" s="212" t="n"/>
      <c r="JU106" s="212" t="n"/>
      <c r="JV106" s="212" t="n"/>
      <c r="JW106" s="212" t="n"/>
      <c r="JX106" s="212" t="n"/>
      <c r="JY106" s="212" t="n"/>
      <c r="JZ106" s="212" t="n"/>
      <c r="KA106" s="212" t="n"/>
      <c r="KB106" s="212" t="n"/>
      <c r="KC106" s="212" t="n"/>
      <c r="KD106" s="212" t="n"/>
      <c r="KE106" s="212" t="n"/>
      <c r="KF106" s="212" t="n"/>
      <c r="KG106" s="212" t="n"/>
      <c r="KH106" s="212" t="n"/>
      <c r="KI106" s="212" t="n"/>
      <c r="KJ106" s="212" t="n"/>
      <c r="KK106" s="212" t="n"/>
      <c r="KL106" s="212" t="n"/>
      <c r="KM106" s="212" t="n"/>
      <c r="KN106" s="212" t="n"/>
      <c r="KO106" s="212" t="n"/>
      <c r="KP106" s="212" t="n"/>
      <c r="KQ106" s="212" t="n"/>
      <c r="KR106" s="212" t="n"/>
      <c r="KS106" s="212" t="n"/>
      <c r="KT106" s="212" t="n"/>
      <c r="KU106" s="212" t="n"/>
      <c r="KV106" s="212" t="n"/>
      <c r="KW106" s="212" t="n"/>
      <c r="KX106" s="212" t="n"/>
      <c r="KY106" s="212" t="n"/>
      <c r="KZ106" s="212" t="n"/>
      <c r="LA106" s="212" t="n"/>
      <c r="LB106" s="212" t="n"/>
      <c r="LC106" s="212" t="n"/>
      <c r="LD106" s="212" t="n"/>
      <c r="LE106" s="212" t="n"/>
      <c r="LF106" s="212" t="n"/>
      <c r="LG106" s="212" t="n"/>
      <c r="LH106" s="212" t="n"/>
      <c r="LI106" s="212" t="n"/>
      <c r="LJ106" s="212" t="n"/>
      <c r="LK106" s="212" t="n"/>
      <c r="LL106" s="212" t="n"/>
      <c r="LM106" s="212" t="n"/>
      <c r="LN106" s="212" t="n"/>
      <c r="LO106" s="212" t="n"/>
      <c r="LP106" s="212" t="n"/>
      <c r="LQ106" s="212" t="n"/>
      <c r="LR106" s="212" t="n"/>
      <c r="LS106" s="212" t="n"/>
      <c r="LT106" s="212" t="n"/>
      <c r="LU106" s="212" t="n"/>
      <c r="LV106" s="212" t="n"/>
      <c r="LW106" s="212" t="n"/>
      <c r="LX106" s="212" t="n"/>
      <c r="LY106" s="212" t="n"/>
      <c r="LZ106" s="212" t="n"/>
      <c r="MA106" s="212" t="n"/>
      <c r="MB106" s="212" t="n"/>
      <c r="MC106" s="212" t="n"/>
      <c r="MD106" s="212" t="n"/>
      <c r="ME106" s="212" t="n"/>
      <c r="MF106" s="212" t="n"/>
      <c r="MG106" s="212" t="n"/>
      <c r="MH106" s="212" t="n"/>
      <c r="MI106" s="212" t="n"/>
      <c r="MJ106" s="212" t="n"/>
      <c r="MK106" s="212" t="n"/>
      <c r="ML106" s="212" t="n"/>
      <c r="MM106" s="212" t="n"/>
      <c r="MN106" s="212" t="n"/>
      <c r="MO106" s="212" t="n"/>
      <c r="MP106" s="212" t="n"/>
      <c r="MQ106" s="212" t="n"/>
      <c r="MR106" s="212" t="n"/>
      <c r="MS106" s="212" t="n"/>
      <c r="MT106" s="212" t="n"/>
      <c r="MU106" s="212" t="n"/>
      <c r="MV106" s="212" t="n"/>
      <c r="MW106" s="212" t="n"/>
      <c r="MX106" s="212" t="n"/>
      <c r="MY106" s="212" t="n"/>
      <c r="MZ106" s="212" t="n"/>
      <c r="NA106" s="212" t="n"/>
      <c r="NB106" s="212" t="n"/>
      <c r="NC106" s="212" t="n"/>
      <c r="ND106" s="212" t="n"/>
      <c r="NE106" s="212" t="n"/>
      <c r="NF106" s="212" t="n"/>
      <c r="NG106" s="212" t="n"/>
      <c r="NH106" s="212" t="n"/>
      <c r="NI106" s="212" t="n"/>
      <c r="NJ106" s="212" t="n"/>
      <c r="NK106" s="212" t="n"/>
      <c r="NL106" s="212" t="n"/>
      <c r="NM106" s="212" t="n"/>
      <c r="NN106" s="212" t="n"/>
      <c r="NO106" s="212" t="n"/>
      <c r="NP106" s="212" t="n"/>
      <c r="NQ106" s="212" t="n"/>
      <c r="NR106" s="212" t="n"/>
      <c r="NS106" s="212" t="n"/>
      <c r="NT106" s="212" t="n"/>
      <c r="NU106" s="212" t="n"/>
      <c r="NV106" s="212" t="n"/>
      <c r="NW106" s="212" t="n"/>
      <c r="NX106" s="212" t="n"/>
      <c r="NY106" s="212" t="n"/>
      <c r="NZ106" s="212" t="n"/>
      <c r="OA106" s="212" t="n"/>
      <c r="OB106" s="212" t="n"/>
      <c r="OC106" s="212" t="n"/>
      <c r="OD106" s="212" t="n"/>
      <c r="OE106" s="212" t="n"/>
      <c r="OF106" s="212" t="n"/>
      <c r="OG106" s="212" t="n"/>
      <c r="OH106" s="212" t="n"/>
      <c r="OI106" s="212" t="n"/>
      <c r="OJ106" s="212" t="n"/>
      <c r="OK106" s="212" t="n"/>
      <c r="OL106" s="212" t="n"/>
      <c r="OM106" s="212" t="n"/>
      <c r="ON106" s="212" t="n"/>
      <c r="OO106" s="212" t="n"/>
      <c r="OP106" s="212" t="n"/>
      <c r="OQ106" s="212" t="n"/>
      <c r="OR106" s="212" t="n"/>
      <c r="OS106" s="212" t="n"/>
      <c r="OT106" s="212" t="n"/>
      <c r="OU106" s="212" t="n"/>
      <c r="OV106" s="212" t="n"/>
      <c r="OW106" s="212" t="n"/>
      <c r="OX106" s="212" t="n"/>
      <c r="OY106" s="212" t="n"/>
      <c r="OZ106" s="212" t="n"/>
      <c r="PA106" s="212" t="n"/>
      <c r="PB106" s="212" t="n"/>
      <c r="PC106" s="212" t="n"/>
      <c r="PD106" s="212" t="n"/>
      <c r="PE106" s="212" t="n"/>
      <c r="PF106" s="212" t="n"/>
      <c r="PG106" s="212" t="n"/>
      <c r="PH106" s="212" t="n"/>
      <c r="PI106" s="212" t="n"/>
      <c r="PJ106" s="212" t="n"/>
      <c r="PK106" s="212" t="n"/>
      <c r="PL106" s="212" t="n"/>
      <c r="PM106" s="212" t="n"/>
      <c r="PN106" s="212" t="n"/>
      <c r="PO106" s="212" t="n"/>
      <c r="PP106" s="212" t="n"/>
      <c r="PQ106" s="212" t="n"/>
      <c r="PR106" s="212" t="n"/>
      <c r="PS106" s="212" t="n"/>
      <c r="PT106" s="212" t="n"/>
      <c r="PU106" s="212" t="n"/>
      <c r="PV106" s="212" t="n"/>
      <c r="PW106" s="212" t="n"/>
      <c r="PX106" s="212" t="n"/>
      <c r="PY106" s="212" t="n"/>
      <c r="PZ106" s="212" t="n"/>
      <c r="QA106" s="212" t="n"/>
      <c r="QB106" s="212" t="n"/>
      <c r="QC106" s="212" t="n"/>
      <c r="QD106" s="212" t="n"/>
      <c r="QE106" s="212" t="n"/>
      <c r="QF106" s="212" t="n"/>
      <c r="QG106" s="212" t="n"/>
      <c r="QH106" s="212" t="n"/>
      <c r="QI106" s="212" t="n"/>
      <c r="QJ106" s="212" t="n"/>
      <c r="QK106" s="212" t="n"/>
      <c r="QL106" s="212" t="n"/>
      <c r="QM106" s="212" t="n"/>
      <c r="QN106" s="212" t="n"/>
      <c r="QO106" s="212" t="n"/>
      <c r="QP106" s="212" t="n"/>
      <c r="QQ106" s="212" t="n"/>
      <c r="QR106" s="212" t="n"/>
      <c r="QS106" s="212" t="n"/>
      <c r="QT106" s="212" t="n"/>
      <c r="QU106" s="212" t="n"/>
      <c r="QV106" s="212" t="n"/>
      <c r="QW106" s="212" t="n"/>
      <c r="QX106" s="212" t="n"/>
      <c r="QY106" s="212" t="n"/>
      <c r="QZ106" s="212" t="n"/>
      <c r="RA106" s="212" t="n"/>
      <c r="RB106" s="212" t="n"/>
      <c r="RC106" s="212" t="n"/>
      <c r="RD106" s="212" t="n"/>
      <c r="RE106" s="212" t="n"/>
      <c r="RF106" s="212" t="n"/>
      <c r="RG106" s="212" t="n"/>
      <c r="RH106" s="212" t="n"/>
      <c r="RI106" s="212" t="n"/>
      <c r="RJ106" s="212" t="n"/>
      <c r="RK106" s="212" t="n"/>
      <c r="RL106" s="212" t="n"/>
      <c r="RM106" s="212" t="n"/>
      <c r="RN106" s="212" t="n"/>
      <c r="RO106" s="212" t="n"/>
      <c r="RP106" s="212" t="n"/>
      <c r="RQ106" s="212" t="n"/>
      <c r="RR106" s="212" t="n"/>
      <c r="RS106" s="212" t="n"/>
      <c r="RT106" s="212" t="n"/>
      <c r="RU106" s="212" t="n"/>
      <c r="RV106" s="212" t="n"/>
      <c r="RW106" s="212" t="n"/>
      <c r="RX106" s="212" t="n"/>
      <c r="RY106" s="212" t="n"/>
      <c r="RZ106" s="212" t="n"/>
      <c r="SA106" s="212" t="n"/>
      <c r="SB106" s="212" t="n"/>
      <c r="SC106" s="212" t="n"/>
      <c r="SD106" s="212" t="n"/>
      <c r="SE106" s="212" t="n"/>
      <c r="SF106" s="212" t="n"/>
      <c r="SG106" s="212" t="n"/>
      <c r="SH106" s="212" t="n"/>
      <c r="SI106" s="212" t="n"/>
      <c r="SJ106" s="212" t="n"/>
      <c r="SK106" s="212" t="n"/>
      <c r="SL106" s="212" t="n"/>
      <c r="SM106" s="212" t="n"/>
      <c r="SN106" s="212" t="n"/>
      <c r="SO106" s="212" t="n"/>
      <c r="SP106" s="212" t="n"/>
      <c r="SQ106" s="212" t="n"/>
      <c r="SR106" s="212" t="n"/>
      <c r="SS106" s="212" t="n"/>
      <c r="ST106" s="212" t="n"/>
      <c r="SU106" s="212" t="n"/>
      <c r="SV106" s="212" t="n"/>
    </row>
    <row r="107">
      <c r="B107" s="209" t="n"/>
      <c r="C107" s="209" t="n"/>
      <c r="D107" s="209" t="n"/>
      <c r="E107" s="209" t="n"/>
      <c r="F107" s="209">
        <f>IF(TRIM(D107&amp;E107)="","",TRIM(D107)&amp;" "&amp;TRIM(E107))</f>
        <v/>
      </c>
      <c r="G107" s="209" t="n"/>
      <c r="H107" s="209" t="n"/>
      <c r="I107" s="209" t="n"/>
      <c r="J107" s="209" t="n"/>
      <c r="K107" s="209" t="n"/>
      <c r="L107" s="209" t="n"/>
      <c r="M107" s="209" t="n"/>
      <c r="N107" s="209" t="n"/>
      <c r="O107" s="209" t="n"/>
      <c r="P107" s="209" t="n"/>
      <c r="Q107" s="209" t="n"/>
      <c r="R107" s="209" t="n"/>
      <c r="S107" s="212" t="n"/>
      <c r="T107" s="212" t="n"/>
      <c r="U107" s="212" t="n"/>
      <c r="V107" s="212" t="n"/>
      <c r="W107" s="212" t="n"/>
      <c r="X107" s="212" t="n"/>
      <c r="Y107" s="212" t="n"/>
      <c r="Z107" s="212" t="n"/>
      <c r="AA107" s="212" t="n"/>
      <c r="AB107" s="212" t="n"/>
      <c r="AC107" s="212" t="n"/>
      <c r="AD107" s="212" t="n"/>
      <c r="AE107" s="212" t="n"/>
      <c r="AF107" s="212" t="n"/>
      <c r="AG107" s="212" t="n"/>
      <c r="AH107" s="212" t="n"/>
      <c r="AI107" s="212" t="n"/>
      <c r="AJ107" s="212" t="n"/>
      <c r="AK107" s="212" t="n"/>
      <c r="AL107" s="212" t="n"/>
      <c r="AM107" s="212" t="n"/>
      <c r="AN107" s="212" t="n"/>
      <c r="AO107" s="212" t="n"/>
      <c r="AP107" s="212" t="n"/>
      <c r="AQ107" s="212" t="n"/>
      <c r="AR107" s="212" t="n"/>
      <c r="AS107" s="212" t="n"/>
      <c r="AT107" s="212" t="n"/>
      <c r="AU107" s="212" t="n"/>
      <c r="AV107" s="212" t="n"/>
      <c r="AW107" s="212" t="n"/>
      <c r="AX107" s="212" t="n"/>
      <c r="AY107" s="212" t="n"/>
      <c r="AZ107" s="212" t="n"/>
      <c r="BA107" s="212" t="n"/>
      <c r="BB107" s="212" t="n"/>
      <c r="BC107" s="212" t="n"/>
      <c r="BD107" s="212" t="n"/>
      <c r="BE107" s="212" t="n"/>
      <c r="BF107" s="212" t="n"/>
      <c r="BG107" s="212" t="n"/>
      <c r="BH107" s="212" t="n"/>
      <c r="BI107" s="212" t="n"/>
      <c r="BJ107" s="212" t="n"/>
      <c r="BK107" s="212" t="n"/>
      <c r="BL107" s="212" t="n"/>
      <c r="BM107" s="212" t="n"/>
      <c r="BN107" s="212" t="n"/>
      <c r="BO107" s="212" t="n"/>
      <c r="BP107" s="212" t="n"/>
      <c r="BQ107" s="212" t="n"/>
      <c r="BR107" s="212" t="n"/>
      <c r="BS107" s="212" t="n"/>
      <c r="BT107" s="212" t="n"/>
      <c r="BU107" s="212" t="n"/>
      <c r="BV107" s="212" t="n"/>
      <c r="BW107" s="212" t="n"/>
      <c r="BX107" s="212" t="n"/>
      <c r="BY107" s="212" t="n"/>
      <c r="BZ107" s="212" t="n"/>
      <c r="CA107" s="212" t="n"/>
      <c r="CB107" s="212" t="n"/>
      <c r="CC107" s="212" t="n"/>
      <c r="CD107" s="212" t="n"/>
      <c r="CE107" s="212" t="n"/>
      <c r="CF107" s="212" t="n"/>
      <c r="CG107" s="212" t="n"/>
      <c r="CH107" s="212" t="n"/>
      <c r="CI107" s="212" t="n"/>
      <c r="CJ107" s="212" t="n"/>
      <c r="CK107" s="212" t="n"/>
      <c r="CL107" s="212" t="n"/>
      <c r="CM107" s="212" t="n"/>
      <c r="CN107" s="212" t="n"/>
      <c r="CO107" s="212" t="n"/>
      <c r="CP107" s="212" t="n"/>
      <c r="CQ107" s="212" t="n"/>
      <c r="CR107" s="212" t="n"/>
      <c r="CS107" s="212" t="n"/>
      <c r="CT107" s="212" t="n"/>
      <c r="CU107" s="212" t="n"/>
      <c r="CV107" s="212" t="n"/>
      <c r="CW107" s="212" t="n"/>
      <c r="CX107" s="212" t="n"/>
      <c r="CY107" s="212" t="n"/>
      <c r="CZ107" s="212" t="n"/>
      <c r="DA107" s="212" t="n"/>
      <c r="DB107" s="212" t="n"/>
      <c r="DC107" s="212" t="n"/>
      <c r="DD107" s="212" t="n"/>
      <c r="DE107" s="212" t="n"/>
      <c r="DF107" s="212" t="n"/>
      <c r="DG107" s="212" t="n"/>
      <c r="DH107" s="212" t="n"/>
      <c r="DI107" s="212" t="n"/>
      <c r="DJ107" s="212" t="n"/>
      <c r="DK107" s="212" t="n"/>
      <c r="DL107" s="212" t="n"/>
      <c r="DM107" s="212" t="n"/>
      <c r="DN107" s="212" t="n"/>
      <c r="DO107" s="212" t="n"/>
      <c r="DP107" s="212" t="n"/>
      <c r="DQ107" s="212" t="n"/>
      <c r="DR107" s="212" t="n"/>
      <c r="DS107" s="212" t="n"/>
      <c r="DT107" s="212" t="n"/>
      <c r="DU107" s="212" t="n"/>
      <c r="DV107" s="212" t="n"/>
      <c r="DW107" s="212" t="n"/>
      <c r="DX107" s="212" t="n"/>
      <c r="DY107" s="212" t="n"/>
      <c r="DZ107" s="212" t="n"/>
      <c r="EA107" s="212" t="n"/>
      <c r="EB107" s="212" t="n"/>
      <c r="EC107" s="212" t="n"/>
      <c r="ED107" s="212" t="n"/>
      <c r="EE107" s="212" t="n"/>
      <c r="EF107" s="212" t="n"/>
      <c r="EG107" s="212" t="n"/>
      <c r="EH107" s="212" t="n"/>
      <c r="EI107" s="212" t="n"/>
      <c r="EJ107" s="212" t="n"/>
      <c r="EK107" s="212" t="n"/>
      <c r="EL107" s="212" t="n"/>
      <c r="EM107" s="212" t="n"/>
      <c r="EN107" s="212" t="n"/>
      <c r="EO107" s="212" t="n"/>
      <c r="EP107" s="212" t="n"/>
      <c r="EQ107" s="212" t="n"/>
      <c r="ER107" s="212" t="n"/>
      <c r="ES107" s="212" t="n"/>
      <c r="ET107" s="212" t="n"/>
      <c r="EU107" s="212" t="n"/>
      <c r="EV107" s="212" t="n"/>
      <c r="EW107" s="212" t="n"/>
      <c r="EX107" s="212" t="n"/>
      <c r="EY107" s="212" t="n"/>
      <c r="EZ107" s="212" t="n"/>
      <c r="FA107" s="212" t="n"/>
      <c r="FB107" s="212" t="n"/>
      <c r="FC107" s="212" t="n"/>
      <c r="FD107" s="212" t="n"/>
      <c r="FE107" s="212" t="n"/>
      <c r="FF107" s="212" t="n"/>
      <c r="FG107" s="212" t="n"/>
      <c r="FH107" s="212" t="n"/>
      <c r="FI107" s="212" t="n"/>
      <c r="FJ107" s="212" t="n"/>
      <c r="FK107" s="212" t="n"/>
      <c r="FL107" s="212" t="n"/>
      <c r="FM107" s="212" t="n"/>
      <c r="FN107" s="212" t="n"/>
      <c r="FO107" s="212" t="n"/>
      <c r="FP107" s="212" t="n"/>
      <c r="FQ107" s="212" t="n"/>
      <c r="FR107" s="212" t="n"/>
      <c r="FS107" s="212" t="n"/>
      <c r="FT107" s="212" t="n"/>
      <c r="FU107" s="212" t="n"/>
      <c r="FV107" s="212" t="n"/>
      <c r="FW107" s="212" t="n"/>
      <c r="FX107" s="212" t="n"/>
      <c r="FY107" s="212" t="n"/>
      <c r="FZ107" s="212" t="n"/>
      <c r="GA107" s="212" t="n"/>
      <c r="GB107" s="212" t="n"/>
      <c r="GC107" s="212" t="n"/>
      <c r="GD107" s="212" t="n"/>
      <c r="GE107" s="212" t="n"/>
      <c r="GF107" s="212" t="n"/>
      <c r="GG107" s="212" t="n"/>
      <c r="GH107" s="212" t="n"/>
      <c r="GI107" s="212" t="n"/>
      <c r="GJ107" s="212" t="n"/>
      <c r="GK107" s="212" t="n"/>
      <c r="GL107" s="212" t="n"/>
      <c r="GM107" s="212" t="n"/>
      <c r="GN107" s="212" t="n"/>
      <c r="GO107" s="212" t="n"/>
      <c r="GP107" s="212" t="n"/>
      <c r="GQ107" s="212" t="n"/>
      <c r="GR107" s="212" t="n"/>
      <c r="GS107" s="212" t="n"/>
      <c r="GT107" s="212" t="n"/>
      <c r="GU107" s="212" t="n"/>
      <c r="GV107" s="212" t="n"/>
      <c r="GW107" s="212" t="n"/>
      <c r="GX107" s="212" t="n"/>
      <c r="GY107" s="212" t="n"/>
      <c r="GZ107" s="212" t="n"/>
      <c r="HA107" s="212" t="n"/>
      <c r="HB107" s="212" t="n"/>
      <c r="HC107" s="212" t="n"/>
      <c r="HD107" s="212" t="n"/>
      <c r="HE107" s="212" t="n"/>
      <c r="HF107" s="212" t="n"/>
      <c r="HG107" s="212" t="n"/>
      <c r="HH107" s="212" t="n"/>
      <c r="HI107" s="212" t="n"/>
      <c r="HJ107" s="212" t="n"/>
      <c r="HK107" s="212" t="n"/>
      <c r="HL107" s="212" t="n"/>
      <c r="HM107" s="212" t="n"/>
      <c r="HN107" s="212" t="n"/>
      <c r="HO107" s="212" t="n"/>
      <c r="HP107" s="212" t="n"/>
      <c r="HQ107" s="212" t="n"/>
      <c r="HR107" s="212" t="n"/>
      <c r="HS107" s="212" t="n"/>
      <c r="HT107" s="212" t="n"/>
      <c r="HU107" s="212" t="n"/>
      <c r="HV107" s="212" t="n"/>
      <c r="HW107" s="212" t="n"/>
      <c r="HX107" s="212" t="n"/>
      <c r="HY107" s="212" t="n"/>
      <c r="HZ107" s="212" t="n"/>
      <c r="IA107" s="212" t="n"/>
      <c r="IB107" s="212" t="n"/>
      <c r="IC107" s="212" t="n"/>
      <c r="ID107" s="212" t="n"/>
      <c r="IE107" s="212" t="n"/>
      <c r="IF107" s="212" t="n"/>
      <c r="IG107" s="212" t="n"/>
      <c r="IH107" s="212" t="n"/>
      <c r="II107" s="212" t="n"/>
      <c r="IJ107" s="212" t="n"/>
      <c r="IK107" s="212" t="n"/>
      <c r="IL107" s="212" t="n"/>
      <c r="IM107" s="212" t="n"/>
      <c r="IN107" s="212" t="n"/>
      <c r="IO107" s="212" t="n"/>
      <c r="IP107" s="212" t="n"/>
      <c r="IQ107" s="212" t="n"/>
      <c r="IR107" s="212" t="n"/>
      <c r="IS107" s="212" t="n"/>
      <c r="IT107" s="212" t="n"/>
      <c r="IU107" s="212" t="n"/>
      <c r="IV107" s="212" t="n"/>
      <c r="IW107" s="212" t="n"/>
      <c r="IX107" s="212" t="n"/>
      <c r="IY107" s="212" t="n"/>
      <c r="IZ107" s="212" t="n"/>
      <c r="JA107" s="212" t="n"/>
      <c r="JB107" s="212" t="n"/>
      <c r="JC107" s="212" t="n"/>
      <c r="JD107" s="212" t="n"/>
      <c r="JE107" s="212" t="n"/>
      <c r="JF107" s="212" t="n"/>
      <c r="JG107" s="212" t="n"/>
      <c r="JH107" s="212" t="n"/>
      <c r="JI107" s="212" t="n"/>
      <c r="JJ107" s="212" t="n"/>
      <c r="JK107" s="212" t="n"/>
      <c r="JL107" s="212" t="n"/>
      <c r="JM107" s="212" t="n"/>
      <c r="JN107" s="212" t="n"/>
      <c r="JO107" s="212" t="n"/>
      <c r="JP107" s="212" t="n"/>
      <c r="JQ107" s="212" t="n"/>
      <c r="JR107" s="212" t="n"/>
      <c r="JS107" s="212" t="n"/>
      <c r="JT107" s="212" t="n"/>
      <c r="JU107" s="212" t="n"/>
      <c r="JV107" s="212" t="n"/>
      <c r="JW107" s="212" t="n"/>
      <c r="JX107" s="212" t="n"/>
      <c r="JY107" s="212" t="n"/>
      <c r="JZ107" s="212" t="n"/>
      <c r="KA107" s="212" t="n"/>
      <c r="KB107" s="212" t="n"/>
      <c r="KC107" s="212" t="n"/>
      <c r="KD107" s="212" t="n"/>
      <c r="KE107" s="212" t="n"/>
      <c r="KF107" s="212" t="n"/>
      <c r="KG107" s="212" t="n"/>
      <c r="KH107" s="212" t="n"/>
      <c r="KI107" s="212" t="n"/>
      <c r="KJ107" s="212" t="n"/>
      <c r="KK107" s="212" t="n"/>
      <c r="KL107" s="212" t="n"/>
      <c r="KM107" s="212" t="n"/>
      <c r="KN107" s="212" t="n"/>
      <c r="KO107" s="212" t="n"/>
      <c r="KP107" s="212" t="n"/>
      <c r="KQ107" s="212" t="n"/>
      <c r="KR107" s="212" t="n"/>
      <c r="KS107" s="212" t="n"/>
      <c r="KT107" s="212" t="n"/>
      <c r="KU107" s="212" t="n"/>
      <c r="KV107" s="212" t="n"/>
      <c r="KW107" s="212" t="n"/>
      <c r="KX107" s="212" t="n"/>
      <c r="KY107" s="212" t="n"/>
      <c r="KZ107" s="212" t="n"/>
      <c r="LA107" s="212" t="n"/>
      <c r="LB107" s="212" t="n"/>
      <c r="LC107" s="212" t="n"/>
      <c r="LD107" s="212" t="n"/>
      <c r="LE107" s="212" t="n"/>
      <c r="LF107" s="212" t="n"/>
      <c r="LG107" s="212" t="n"/>
      <c r="LH107" s="212" t="n"/>
      <c r="LI107" s="212" t="n"/>
      <c r="LJ107" s="212" t="n"/>
      <c r="LK107" s="212" t="n"/>
      <c r="LL107" s="212" t="n"/>
      <c r="LM107" s="212" t="n"/>
      <c r="LN107" s="212" t="n"/>
      <c r="LO107" s="212" t="n"/>
      <c r="LP107" s="212" t="n"/>
      <c r="LQ107" s="212" t="n"/>
      <c r="LR107" s="212" t="n"/>
      <c r="LS107" s="212" t="n"/>
      <c r="LT107" s="212" t="n"/>
      <c r="LU107" s="212" t="n"/>
      <c r="LV107" s="212" t="n"/>
      <c r="LW107" s="212" t="n"/>
      <c r="LX107" s="212" t="n"/>
      <c r="LY107" s="212" t="n"/>
      <c r="LZ107" s="212" t="n"/>
      <c r="MA107" s="212" t="n"/>
      <c r="MB107" s="212" t="n"/>
      <c r="MC107" s="212" t="n"/>
      <c r="MD107" s="212" t="n"/>
      <c r="ME107" s="212" t="n"/>
      <c r="MF107" s="212" t="n"/>
      <c r="MG107" s="212" t="n"/>
      <c r="MH107" s="212" t="n"/>
      <c r="MI107" s="212" t="n"/>
      <c r="MJ107" s="212" t="n"/>
      <c r="MK107" s="212" t="n"/>
      <c r="ML107" s="212" t="n"/>
      <c r="MM107" s="212" t="n"/>
      <c r="MN107" s="212" t="n"/>
      <c r="MO107" s="212" t="n"/>
      <c r="MP107" s="212" t="n"/>
      <c r="MQ107" s="212" t="n"/>
      <c r="MR107" s="212" t="n"/>
      <c r="MS107" s="212" t="n"/>
      <c r="MT107" s="212" t="n"/>
      <c r="MU107" s="212" t="n"/>
      <c r="MV107" s="212" t="n"/>
      <c r="MW107" s="212" t="n"/>
      <c r="MX107" s="212" t="n"/>
      <c r="MY107" s="212" t="n"/>
      <c r="MZ107" s="212" t="n"/>
      <c r="NA107" s="212" t="n"/>
      <c r="NB107" s="212" t="n"/>
      <c r="NC107" s="212" t="n"/>
      <c r="ND107" s="212" t="n"/>
      <c r="NE107" s="212" t="n"/>
      <c r="NF107" s="212" t="n"/>
      <c r="NG107" s="212" t="n"/>
      <c r="NH107" s="212" t="n"/>
      <c r="NI107" s="212" t="n"/>
      <c r="NJ107" s="212" t="n"/>
      <c r="NK107" s="212" t="n"/>
      <c r="NL107" s="212" t="n"/>
      <c r="NM107" s="212" t="n"/>
      <c r="NN107" s="212" t="n"/>
      <c r="NO107" s="212" t="n"/>
      <c r="NP107" s="212" t="n"/>
      <c r="NQ107" s="212" t="n"/>
      <c r="NR107" s="212" t="n"/>
      <c r="NS107" s="212" t="n"/>
      <c r="NT107" s="212" t="n"/>
      <c r="NU107" s="212" t="n"/>
      <c r="NV107" s="212" t="n"/>
      <c r="NW107" s="212" t="n"/>
      <c r="NX107" s="212" t="n"/>
      <c r="NY107" s="212" t="n"/>
      <c r="NZ107" s="212" t="n"/>
      <c r="OA107" s="212" t="n"/>
      <c r="OB107" s="212" t="n"/>
      <c r="OC107" s="212" t="n"/>
      <c r="OD107" s="212" t="n"/>
      <c r="OE107" s="212" t="n"/>
      <c r="OF107" s="212" t="n"/>
      <c r="OG107" s="212" t="n"/>
      <c r="OH107" s="212" t="n"/>
      <c r="OI107" s="212" t="n"/>
      <c r="OJ107" s="212" t="n"/>
      <c r="OK107" s="212" t="n"/>
      <c r="OL107" s="212" t="n"/>
      <c r="OM107" s="212" t="n"/>
      <c r="ON107" s="212" t="n"/>
      <c r="OO107" s="212" t="n"/>
      <c r="OP107" s="212" t="n"/>
      <c r="OQ107" s="212" t="n"/>
      <c r="OR107" s="212" t="n"/>
      <c r="OS107" s="212" t="n"/>
      <c r="OT107" s="212" t="n"/>
      <c r="OU107" s="212" t="n"/>
      <c r="OV107" s="212" t="n"/>
      <c r="OW107" s="212" t="n"/>
      <c r="OX107" s="212" t="n"/>
      <c r="OY107" s="212" t="n"/>
      <c r="OZ107" s="212" t="n"/>
      <c r="PA107" s="212" t="n"/>
      <c r="PB107" s="212" t="n"/>
      <c r="PC107" s="212" t="n"/>
      <c r="PD107" s="212" t="n"/>
      <c r="PE107" s="212" t="n"/>
      <c r="PF107" s="212" t="n"/>
      <c r="PG107" s="212" t="n"/>
      <c r="PH107" s="212" t="n"/>
      <c r="PI107" s="212" t="n"/>
      <c r="PJ107" s="212" t="n"/>
      <c r="PK107" s="212" t="n"/>
      <c r="PL107" s="212" t="n"/>
      <c r="PM107" s="212" t="n"/>
      <c r="PN107" s="212" t="n"/>
      <c r="PO107" s="212" t="n"/>
      <c r="PP107" s="212" t="n"/>
      <c r="PQ107" s="212" t="n"/>
      <c r="PR107" s="212" t="n"/>
      <c r="PS107" s="212" t="n"/>
      <c r="PT107" s="212" t="n"/>
      <c r="PU107" s="212" t="n"/>
      <c r="PV107" s="212" t="n"/>
      <c r="PW107" s="212" t="n"/>
      <c r="PX107" s="212" t="n"/>
      <c r="PY107" s="212" t="n"/>
      <c r="PZ107" s="212" t="n"/>
      <c r="QA107" s="212" t="n"/>
      <c r="QB107" s="212" t="n"/>
      <c r="QC107" s="212" t="n"/>
      <c r="QD107" s="212" t="n"/>
      <c r="QE107" s="212" t="n"/>
      <c r="QF107" s="212" t="n"/>
      <c r="QG107" s="212" t="n"/>
      <c r="QH107" s="212" t="n"/>
      <c r="QI107" s="212" t="n"/>
      <c r="QJ107" s="212" t="n"/>
      <c r="QK107" s="212" t="n"/>
      <c r="QL107" s="212" t="n"/>
      <c r="QM107" s="212" t="n"/>
      <c r="QN107" s="212" t="n"/>
      <c r="QO107" s="212" t="n"/>
      <c r="QP107" s="212" t="n"/>
      <c r="QQ107" s="212" t="n"/>
      <c r="QR107" s="212" t="n"/>
      <c r="QS107" s="212" t="n"/>
      <c r="QT107" s="212" t="n"/>
      <c r="QU107" s="212" t="n"/>
      <c r="QV107" s="212" t="n"/>
      <c r="QW107" s="212" t="n"/>
      <c r="QX107" s="212" t="n"/>
      <c r="QY107" s="212" t="n"/>
      <c r="QZ107" s="212" t="n"/>
      <c r="RA107" s="212" t="n"/>
      <c r="RB107" s="212" t="n"/>
      <c r="RC107" s="212" t="n"/>
      <c r="RD107" s="212" t="n"/>
      <c r="RE107" s="212" t="n"/>
      <c r="RF107" s="212" t="n"/>
      <c r="RG107" s="212" t="n"/>
      <c r="RH107" s="212" t="n"/>
      <c r="RI107" s="212" t="n"/>
      <c r="RJ107" s="212" t="n"/>
      <c r="RK107" s="212" t="n"/>
      <c r="RL107" s="212" t="n"/>
      <c r="RM107" s="212" t="n"/>
      <c r="RN107" s="212" t="n"/>
      <c r="RO107" s="212" t="n"/>
      <c r="RP107" s="212" t="n"/>
      <c r="RQ107" s="212" t="n"/>
      <c r="RR107" s="212" t="n"/>
      <c r="RS107" s="212" t="n"/>
      <c r="RT107" s="212" t="n"/>
      <c r="RU107" s="212" t="n"/>
      <c r="RV107" s="212" t="n"/>
      <c r="RW107" s="212" t="n"/>
      <c r="RX107" s="212" t="n"/>
      <c r="RY107" s="212" t="n"/>
      <c r="RZ107" s="212" t="n"/>
      <c r="SA107" s="212" t="n"/>
      <c r="SB107" s="212" t="n"/>
      <c r="SC107" s="212" t="n"/>
      <c r="SD107" s="212" t="n"/>
      <c r="SE107" s="212" t="n"/>
      <c r="SF107" s="212" t="n"/>
      <c r="SG107" s="212" t="n"/>
      <c r="SH107" s="212" t="n"/>
      <c r="SI107" s="212" t="n"/>
      <c r="SJ107" s="212" t="n"/>
      <c r="SK107" s="212" t="n"/>
      <c r="SL107" s="212" t="n"/>
      <c r="SM107" s="212" t="n"/>
      <c r="SN107" s="212" t="n"/>
      <c r="SO107" s="212" t="n"/>
      <c r="SP107" s="212" t="n"/>
      <c r="SQ107" s="212" t="n"/>
      <c r="SR107" s="212" t="n"/>
      <c r="SS107" s="212" t="n"/>
      <c r="ST107" s="212" t="n"/>
      <c r="SU107" s="212" t="n"/>
      <c r="SV107" s="212" t="n"/>
    </row>
    <row r="108">
      <c r="B108" s="209" t="n"/>
      <c r="C108" s="209" t="n"/>
      <c r="D108" s="209" t="n"/>
      <c r="E108" s="209" t="n"/>
      <c r="F108" s="209">
        <f>IF(TRIM(D108&amp;E108)="","",TRIM(D108)&amp;" "&amp;TRIM(E108))</f>
        <v/>
      </c>
      <c r="G108" s="209" t="n"/>
      <c r="H108" s="209" t="n"/>
      <c r="I108" s="209" t="n"/>
      <c r="J108" s="209" t="n"/>
      <c r="K108" s="209" t="n"/>
      <c r="L108" s="209" t="n"/>
      <c r="M108" s="209" t="n"/>
      <c r="N108" s="209" t="n"/>
      <c r="O108" s="209" t="n"/>
      <c r="P108" s="209" t="n"/>
      <c r="Q108" s="209" t="n"/>
      <c r="R108" s="209" t="n"/>
      <c r="S108" s="212" t="n"/>
      <c r="T108" s="212" t="n"/>
      <c r="U108" s="212" t="n"/>
      <c r="V108" s="212" t="n"/>
      <c r="W108" s="212" t="n"/>
      <c r="X108" s="212" t="n"/>
      <c r="Y108" s="212" t="n"/>
      <c r="Z108" s="212" t="n"/>
      <c r="AA108" s="212" t="n"/>
      <c r="AB108" s="212" t="n"/>
      <c r="AC108" s="212" t="n"/>
      <c r="AD108" s="212" t="n"/>
      <c r="AE108" s="212" t="n"/>
      <c r="AF108" s="212" t="n"/>
      <c r="AG108" s="212" t="n"/>
      <c r="AH108" s="212" t="n"/>
      <c r="AI108" s="212" t="n"/>
      <c r="AJ108" s="212" t="n"/>
      <c r="AK108" s="212" t="n"/>
      <c r="AL108" s="212" t="n"/>
      <c r="AM108" s="212" t="n"/>
      <c r="AN108" s="212" t="n"/>
      <c r="AO108" s="212" t="n"/>
      <c r="AP108" s="212" t="n"/>
      <c r="AQ108" s="212" t="n"/>
      <c r="AR108" s="212" t="n"/>
      <c r="AS108" s="212" t="n"/>
      <c r="AT108" s="212" t="n"/>
      <c r="AU108" s="212" t="n"/>
      <c r="AV108" s="212" t="n"/>
      <c r="AW108" s="212" t="n"/>
      <c r="AX108" s="212" t="n"/>
      <c r="AY108" s="212" t="n"/>
      <c r="AZ108" s="212" t="n"/>
      <c r="BA108" s="212" t="n"/>
      <c r="BB108" s="212" t="n"/>
      <c r="BC108" s="212" t="n"/>
      <c r="BD108" s="212" t="n"/>
      <c r="BE108" s="212" t="n"/>
      <c r="BF108" s="212" t="n"/>
      <c r="BG108" s="212" t="n"/>
      <c r="BH108" s="212" t="n"/>
      <c r="BI108" s="212" t="n"/>
      <c r="BJ108" s="212" t="n"/>
      <c r="BK108" s="212" t="n"/>
      <c r="BL108" s="212" t="n"/>
      <c r="BM108" s="212" t="n"/>
      <c r="BN108" s="212" t="n"/>
      <c r="BO108" s="212" t="n"/>
      <c r="BP108" s="212" t="n"/>
      <c r="BQ108" s="212" t="n"/>
      <c r="BR108" s="212" t="n"/>
      <c r="BS108" s="212" t="n"/>
      <c r="BT108" s="212" t="n"/>
      <c r="BU108" s="212" t="n"/>
      <c r="BV108" s="212" t="n"/>
      <c r="BW108" s="212" t="n"/>
      <c r="BX108" s="212" t="n"/>
      <c r="BY108" s="212" t="n"/>
      <c r="BZ108" s="212" t="n"/>
      <c r="CA108" s="212" t="n"/>
      <c r="CB108" s="212" t="n"/>
      <c r="CC108" s="212" t="n"/>
      <c r="CD108" s="212" t="n"/>
      <c r="CE108" s="212" t="n"/>
      <c r="CF108" s="212" t="n"/>
      <c r="CG108" s="212" t="n"/>
      <c r="CH108" s="212" t="n"/>
      <c r="CI108" s="212" t="n"/>
      <c r="CJ108" s="212" t="n"/>
      <c r="CK108" s="212" t="n"/>
      <c r="CL108" s="212" t="n"/>
      <c r="CM108" s="212" t="n"/>
      <c r="CN108" s="212" t="n"/>
      <c r="CO108" s="212" t="n"/>
      <c r="CP108" s="212" t="n"/>
      <c r="CQ108" s="212" t="n"/>
      <c r="CR108" s="212" t="n"/>
      <c r="CS108" s="212" t="n"/>
      <c r="CT108" s="212" t="n"/>
      <c r="CU108" s="212" t="n"/>
      <c r="CV108" s="212" t="n"/>
      <c r="CW108" s="212" t="n"/>
      <c r="CX108" s="212" t="n"/>
      <c r="CY108" s="212" t="n"/>
      <c r="CZ108" s="212" t="n"/>
      <c r="DA108" s="212" t="n"/>
      <c r="DB108" s="212" t="n"/>
      <c r="DC108" s="212" t="n"/>
      <c r="DD108" s="212" t="n"/>
      <c r="DE108" s="212" t="n"/>
      <c r="DF108" s="212" t="n"/>
      <c r="DG108" s="212" t="n"/>
      <c r="DH108" s="212" t="n"/>
      <c r="DI108" s="212" t="n"/>
      <c r="DJ108" s="212" t="n"/>
      <c r="DK108" s="212" t="n"/>
      <c r="DL108" s="212" t="n"/>
      <c r="DM108" s="212" t="n"/>
      <c r="DN108" s="212" t="n"/>
      <c r="DO108" s="212" t="n"/>
      <c r="DP108" s="212" t="n"/>
      <c r="DQ108" s="212" t="n"/>
      <c r="DR108" s="212" t="n"/>
      <c r="DS108" s="212" t="n"/>
      <c r="DT108" s="212" t="n"/>
      <c r="DU108" s="212" t="n"/>
      <c r="DV108" s="212" t="n"/>
      <c r="DW108" s="212" t="n"/>
      <c r="DX108" s="212" t="n"/>
      <c r="DY108" s="212" t="n"/>
      <c r="DZ108" s="212" t="n"/>
      <c r="EA108" s="212" t="n"/>
      <c r="EB108" s="212" t="n"/>
      <c r="EC108" s="212" t="n"/>
      <c r="ED108" s="212" t="n"/>
      <c r="EE108" s="212" t="n"/>
      <c r="EF108" s="212" t="n"/>
      <c r="EG108" s="212" t="n"/>
      <c r="EH108" s="212" t="n"/>
      <c r="EI108" s="212" t="n"/>
      <c r="EJ108" s="212" t="n"/>
      <c r="EK108" s="212" t="n"/>
      <c r="EL108" s="212" t="n"/>
      <c r="EM108" s="212" t="n"/>
      <c r="EN108" s="212" t="n"/>
      <c r="EO108" s="212" t="n"/>
      <c r="EP108" s="212" t="n"/>
      <c r="EQ108" s="212" t="n"/>
      <c r="ER108" s="212" t="n"/>
      <c r="ES108" s="212" t="n"/>
      <c r="ET108" s="212" t="n"/>
      <c r="EU108" s="212" t="n"/>
      <c r="EV108" s="212" t="n"/>
      <c r="EW108" s="212" t="n"/>
      <c r="EX108" s="212" t="n"/>
      <c r="EY108" s="212" t="n"/>
      <c r="EZ108" s="212" t="n"/>
      <c r="FA108" s="212" t="n"/>
      <c r="FB108" s="212" t="n"/>
      <c r="FC108" s="212" t="n"/>
      <c r="FD108" s="212" t="n"/>
      <c r="FE108" s="212" t="n"/>
      <c r="FF108" s="212" t="n"/>
      <c r="FG108" s="212" t="n"/>
      <c r="FH108" s="212" t="n"/>
      <c r="FI108" s="212" t="n"/>
      <c r="FJ108" s="212" t="n"/>
      <c r="FK108" s="212" t="n"/>
      <c r="FL108" s="212" t="n"/>
      <c r="FM108" s="212" t="n"/>
      <c r="FN108" s="212" t="n"/>
      <c r="FO108" s="212" t="n"/>
      <c r="FP108" s="212" t="n"/>
      <c r="FQ108" s="212" t="n"/>
      <c r="FR108" s="212" t="n"/>
      <c r="FS108" s="212" t="n"/>
      <c r="FT108" s="212" t="n"/>
      <c r="FU108" s="212" t="n"/>
      <c r="FV108" s="212" t="n"/>
      <c r="FW108" s="212" t="n"/>
      <c r="FX108" s="212" t="n"/>
      <c r="FY108" s="212" t="n"/>
      <c r="FZ108" s="212" t="n"/>
      <c r="GA108" s="212" t="n"/>
      <c r="GB108" s="212" t="n"/>
      <c r="GC108" s="212" t="n"/>
      <c r="GD108" s="212" t="n"/>
      <c r="GE108" s="212" t="n"/>
      <c r="GF108" s="212" t="n"/>
      <c r="GG108" s="212" t="n"/>
      <c r="GH108" s="212" t="n"/>
      <c r="GI108" s="212" t="n"/>
      <c r="GJ108" s="212" t="n"/>
      <c r="GK108" s="212" t="n"/>
      <c r="GL108" s="212" t="n"/>
      <c r="GM108" s="212" t="n"/>
      <c r="GN108" s="212" t="n"/>
      <c r="GO108" s="212" t="n"/>
      <c r="GP108" s="212" t="n"/>
      <c r="GQ108" s="212" t="n"/>
      <c r="GR108" s="212" t="n"/>
      <c r="GS108" s="212" t="n"/>
      <c r="GT108" s="212" t="n"/>
      <c r="GU108" s="212" t="n"/>
      <c r="GV108" s="212" t="n"/>
      <c r="GW108" s="212" t="n"/>
      <c r="GX108" s="212" t="n"/>
      <c r="GY108" s="212" t="n"/>
      <c r="GZ108" s="212" t="n"/>
      <c r="HA108" s="212" t="n"/>
      <c r="HB108" s="212" t="n"/>
      <c r="HC108" s="212" t="n"/>
      <c r="HD108" s="212" t="n"/>
      <c r="HE108" s="212" t="n"/>
      <c r="HF108" s="212" t="n"/>
      <c r="HG108" s="212" t="n"/>
      <c r="HH108" s="212" t="n"/>
      <c r="HI108" s="212" t="n"/>
      <c r="HJ108" s="212" t="n"/>
      <c r="HK108" s="212" t="n"/>
      <c r="HL108" s="212" t="n"/>
      <c r="HM108" s="212" t="n"/>
      <c r="HN108" s="212" t="n"/>
      <c r="HO108" s="212" t="n"/>
      <c r="HP108" s="212" t="n"/>
      <c r="HQ108" s="212" t="n"/>
      <c r="HR108" s="212" t="n"/>
      <c r="HS108" s="212" t="n"/>
      <c r="HT108" s="212" t="n"/>
      <c r="HU108" s="212" t="n"/>
      <c r="HV108" s="212" t="n"/>
      <c r="HW108" s="212" t="n"/>
      <c r="HX108" s="212" t="n"/>
      <c r="HY108" s="212" t="n"/>
      <c r="HZ108" s="212" t="n"/>
      <c r="IA108" s="212" t="n"/>
      <c r="IB108" s="212" t="n"/>
      <c r="IC108" s="212" t="n"/>
      <c r="ID108" s="212" t="n"/>
      <c r="IE108" s="212" t="n"/>
      <c r="IF108" s="212" t="n"/>
      <c r="IG108" s="212" t="n"/>
      <c r="IH108" s="212" t="n"/>
      <c r="II108" s="212" t="n"/>
      <c r="IJ108" s="212" t="n"/>
      <c r="IK108" s="212" t="n"/>
      <c r="IL108" s="212" t="n"/>
      <c r="IM108" s="212" t="n"/>
      <c r="IN108" s="212" t="n"/>
      <c r="IO108" s="212" t="n"/>
      <c r="IP108" s="212" t="n"/>
      <c r="IQ108" s="212" t="n"/>
      <c r="IR108" s="212" t="n"/>
      <c r="IS108" s="212" t="n"/>
      <c r="IT108" s="212" t="n"/>
      <c r="IU108" s="212" t="n"/>
      <c r="IV108" s="212" t="n"/>
      <c r="IW108" s="212" t="n"/>
      <c r="IX108" s="212" t="n"/>
      <c r="IY108" s="212" t="n"/>
      <c r="IZ108" s="212" t="n"/>
      <c r="JA108" s="212" t="n"/>
      <c r="JB108" s="212" t="n"/>
      <c r="JC108" s="212" t="n"/>
      <c r="JD108" s="212" t="n"/>
      <c r="JE108" s="212" t="n"/>
      <c r="JF108" s="212" t="n"/>
      <c r="JG108" s="212" t="n"/>
      <c r="JH108" s="212" t="n"/>
      <c r="JI108" s="212" t="n"/>
      <c r="JJ108" s="212" t="n"/>
      <c r="JK108" s="212" t="n"/>
      <c r="JL108" s="212" t="n"/>
      <c r="JM108" s="212" t="n"/>
      <c r="JN108" s="212" t="n"/>
      <c r="JO108" s="212" t="n"/>
      <c r="JP108" s="212" t="n"/>
      <c r="JQ108" s="212" t="n"/>
      <c r="JR108" s="212" t="n"/>
      <c r="JS108" s="212" t="n"/>
      <c r="JT108" s="212" t="n"/>
      <c r="JU108" s="212" t="n"/>
      <c r="JV108" s="212" t="n"/>
      <c r="JW108" s="212" t="n"/>
      <c r="JX108" s="212" t="n"/>
      <c r="JY108" s="212" t="n"/>
      <c r="JZ108" s="212" t="n"/>
      <c r="KA108" s="212" t="n"/>
      <c r="KB108" s="212" t="n"/>
      <c r="KC108" s="212" t="n"/>
      <c r="KD108" s="212" t="n"/>
      <c r="KE108" s="212" t="n"/>
      <c r="KF108" s="212" t="n"/>
      <c r="KG108" s="212" t="n"/>
      <c r="KH108" s="212" t="n"/>
      <c r="KI108" s="212" t="n"/>
      <c r="KJ108" s="212" t="n"/>
      <c r="KK108" s="212" t="n"/>
      <c r="KL108" s="212" t="n"/>
      <c r="KM108" s="212" t="n"/>
      <c r="KN108" s="212" t="n"/>
      <c r="KO108" s="212" t="n"/>
      <c r="KP108" s="212" t="n"/>
      <c r="KQ108" s="212" t="n"/>
      <c r="KR108" s="212" t="n"/>
      <c r="KS108" s="212" t="n"/>
      <c r="KT108" s="212" t="n"/>
      <c r="KU108" s="212" t="n"/>
      <c r="KV108" s="212" t="n"/>
      <c r="KW108" s="212" t="n"/>
      <c r="KX108" s="212" t="n"/>
      <c r="KY108" s="212" t="n"/>
      <c r="KZ108" s="212" t="n"/>
      <c r="LA108" s="212" t="n"/>
      <c r="LB108" s="212" t="n"/>
      <c r="LC108" s="212" t="n"/>
      <c r="LD108" s="212" t="n"/>
      <c r="LE108" s="212" t="n"/>
      <c r="LF108" s="212" t="n"/>
      <c r="LG108" s="212" t="n"/>
      <c r="LH108" s="212" t="n"/>
      <c r="LI108" s="212" t="n"/>
      <c r="LJ108" s="212" t="n"/>
      <c r="LK108" s="212" t="n"/>
      <c r="LL108" s="212" t="n"/>
      <c r="LM108" s="212" t="n"/>
      <c r="LN108" s="212" t="n"/>
      <c r="LO108" s="212" t="n"/>
      <c r="LP108" s="212" t="n"/>
      <c r="LQ108" s="212" t="n"/>
      <c r="LR108" s="212" t="n"/>
      <c r="LS108" s="212" t="n"/>
      <c r="LT108" s="212" t="n"/>
      <c r="LU108" s="212" t="n"/>
      <c r="LV108" s="212" t="n"/>
      <c r="LW108" s="212" t="n"/>
      <c r="LX108" s="212" t="n"/>
      <c r="LY108" s="212" t="n"/>
      <c r="LZ108" s="212" t="n"/>
      <c r="MA108" s="212" t="n"/>
      <c r="MB108" s="212" t="n"/>
      <c r="MC108" s="212" t="n"/>
      <c r="MD108" s="212" t="n"/>
      <c r="ME108" s="212" t="n"/>
      <c r="MF108" s="212" t="n"/>
      <c r="MG108" s="212" t="n"/>
      <c r="MH108" s="212" t="n"/>
      <c r="MI108" s="212" t="n"/>
      <c r="MJ108" s="212" t="n"/>
      <c r="MK108" s="212" t="n"/>
      <c r="ML108" s="212" t="n"/>
      <c r="MM108" s="212" t="n"/>
      <c r="MN108" s="212" t="n"/>
      <c r="MO108" s="212" t="n"/>
      <c r="MP108" s="212" t="n"/>
      <c r="MQ108" s="212" t="n"/>
      <c r="MR108" s="212" t="n"/>
      <c r="MS108" s="212" t="n"/>
      <c r="MT108" s="212" t="n"/>
      <c r="MU108" s="212" t="n"/>
      <c r="MV108" s="212" t="n"/>
      <c r="MW108" s="212" t="n"/>
      <c r="MX108" s="212" t="n"/>
      <c r="MY108" s="212" t="n"/>
      <c r="MZ108" s="212" t="n"/>
      <c r="NA108" s="212" t="n"/>
      <c r="NB108" s="212" t="n"/>
      <c r="NC108" s="212" t="n"/>
      <c r="ND108" s="212" t="n"/>
      <c r="NE108" s="212" t="n"/>
      <c r="NF108" s="212" t="n"/>
      <c r="NG108" s="212" t="n"/>
      <c r="NH108" s="212" t="n"/>
      <c r="NI108" s="212" t="n"/>
      <c r="NJ108" s="212" t="n"/>
      <c r="NK108" s="212" t="n"/>
      <c r="NL108" s="212" t="n"/>
      <c r="NM108" s="212" t="n"/>
      <c r="NN108" s="212" t="n"/>
      <c r="NO108" s="212" t="n"/>
      <c r="NP108" s="212" t="n"/>
      <c r="NQ108" s="212" t="n"/>
      <c r="NR108" s="212" t="n"/>
      <c r="NS108" s="212" t="n"/>
      <c r="NT108" s="212" t="n"/>
      <c r="NU108" s="212" t="n"/>
      <c r="NV108" s="212" t="n"/>
      <c r="NW108" s="212" t="n"/>
      <c r="NX108" s="212" t="n"/>
      <c r="NY108" s="212" t="n"/>
      <c r="NZ108" s="212" t="n"/>
      <c r="OA108" s="212" t="n"/>
      <c r="OB108" s="212" t="n"/>
      <c r="OC108" s="212" t="n"/>
      <c r="OD108" s="212" t="n"/>
      <c r="OE108" s="212" t="n"/>
      <c r="OF108" s="212" t="n"/>
      <c r="OG108" s="212" t="n"/>
      <c r="OH108" s="212" t="n"/>
      <c r="OI108" s="212" t="n"/>
      <c r="OJ108" s="212" t="n"/>
      <c r="OK108" s="212" t="n"/>
      <c r="OL108" s="212" t="n"/>
      <c r="OM108" s="212" t="n"/>
      <c r="ON108" s="212" t="n"/>
      <c r="OO108" s="212" t="n"/>
      <c r="OP108" s="212" t="n"/>
      <c r="OQ108" s="212" t="n"/>
      <c r="OR108" s="212" t="n"/>
      <c r="OS108" s="212" t="n"/>
      <c r="OT108" s="212" t="n"/>
      <c r="OU108" s="212" t="n"/>
      <c r="OV108" s="212" t="n"/>
      <c r="OW108" s="212" t="n"/>
      <c r="OX108" s="212" t="n"/>
      <c r="OY108" s="212" t="n"/>
      <c r="OZ108" s="212" t="n"/>
      <c r="PA108" s="212" t="n"/>
      <c r="PB108" s="212" t="n"/>
      <c r="PC108" s="212" t="n"/>
      <c r="PD108" s="212" t="n"/>
      <c r="PE108" s="212" t="n"/>
      <c r="PF108" s="212" t="n"/>
      <c r="PG108" s="212" t="n"/>
      <c r="PH108" s="212" t="n"/>
      <c r="PI108" s="212" t="n"/>
      <c r="PJ108" s="212" t="n"/>
      <c r="PK108" s="212" t="n"/>
      <c r="PL108" s="212" t="n"/>
      <c r="PM108" s="212" t="n"/>
      <c r="PN108" s="212" t="n"/>
      <c r="PO108" s="212" t="n"/>
      <c r="PP108" s="212" t="n"/>
      <c r="PQ108" s="212" t="n"/>
      <c r="PR108" s="212" t="n"/>
      <c r="PS108" s="212" t="n"/>
      <c r="PT108" s="212" t="n"/>
      <c r="PU108" s="212" t="n"/>
      <c r="PV108" s="212" t="n"/>
      <c r="PW108" s="212" t="n"/>
      <c r="PX108" s="212" t="n"/>
      <c r="PY108" s="212" t="n"/>
      <c r="PZ108" s="212" t="n"/>
      <c r="QA108" s="212" t="n"/>
      <c r="QB108" s="212" t="n"/>
      <c r="QC108" s="212" t="n"/>
      <c r="QD108" s="212" t="n"/>
      <c r="QE108" s="212" t="n"/>
      <c r="QF108" s="212" t="n"/>
      <c r="QG108" s="212" t="n"/>
      <c r="QH108" s="212" t="n"/>
      <c r="QI108" s="212" t="n"/>
      <c r="QJ108" s="212" t="n"/>
      <c r="QK108" s="212" t="n"/>
      <c r="QL108" s="212" t="n"/>
      <c r="QM108" s="212" t="n"/>
      <c r="QN108" s="212" t="n"/>
      <c r="QO108" s="212" t="n"/>
      <c r="QP108" s="212" t="n"/>
      <c r="QQ108" s="212" t="n"/>
      <c r="QR108" s="212" t="n"/>
      <c r="QS108" s="212" t="n"/>
      <c r="QT108" s="212" t="n"/>
      <c r="QU108" s="212" t="n"/>
      <c r="QV108" s="212" t="n"/>
      <c r="QW108" s="212" t="n"/>
      <c r="QX108" s="212" t="n"/>
      <c r="QY108" s="212" t="n"/>
      <c r="QZ108" s="212" t="n"/>
      <c r="RA108" s="212" t="n"/>
      <c r="RB108" s="212" t="n"/>
      <c r="RC108" s="212" t="n"/>
      <c r="RD108" s="212" t="n"/>
      <c r="RE108" s="212" t="n"/>
      <c r="RF108" s="212" t="n"/>
      <c r="RG108" s="212" t="n"/>
      <c r="RH108" s="212" t="n"/>
      <c r="RI108" s="212" t="n"/>
      <c r="RJ108" s="212" t="n"/>
      <c r="RK108" s="212" t="n"/>
      <c r="RL108" s="212" t="n"/>
      <c r="RM108" s="212" t="n"/>
      <c r="RN108" s="212" t="n"/>
      <c r="RO108" s="212" t="n"/>
      <c r="RP108" s="212" t="n"/>
      <c r="RQ108" s="212" t="n"/>
      <c r="RR108" s="212" t="n"/>
      <c r="RS108" s="212" t="n"/>
      <c r="RT108" s="212" t="n"/>
      <c r="RU108" s="212" t="n"/>
      <c r="RV108" s="212" t="n"/>
      <c r="RW108" s="212" t="n"/>
      <c r="RX108" s="212" t="n"/>
      <c r="RY108" s="212" t="n"/>
      <c r="RZ108" s="212" t="n"/>
      <c r="SA108" s="212" t="n"/>
      <c r="SB108" s="212" t="n"/>
      <c r="SC108" s="212" t="n"/>
      <c r="SD108" s="212" t="n"/>
      <c r="SE108" s="212" t="n"/>
      <c r="SF108" s="212" t="n"/>
      <c r="SG108" s="212" t="n"/>
      <c r="SH108" s="212" t="n"/>
      <c r="SI108" s="212" t="n"/>
      <c r="SJ108" s="212" t="n"/>
      <c r="SK108" s="212" t="n"/>
      <c r="SL108" s="212" t="n"/>
      <c r="SM108" s="212" t="n"/>
      <c r="SN108" s="212" t="n"/>
      <c r="SO108" s="212" t="n"/>
      <c r="SP108" s="212" t="n"/>
      <c r="SQ108" s="212" t="n"/>
      <c r="SR108" s="212" t="n"/>
      <c r="SS108" s="212" t="n"/>
      <c r="ST108" s="212" t="n"/>
      <c r="SU108" s="212" t="n"/>
      <c r="SV108" s="212" t="n"/>
    </row>
    <row r="109">
      <c r="B109" s="209" t="n"/>
      <c r="C109" s="209" t="n"/>
      <c r="D109" s="209" t="n"/>
      <c r="E109" s="209" t="n"/>
      <c r="F109" s="209">
        <f>IF(TRIM(D109&amp;E109)="","",TRIM(D109)&amp;" "&amp;TRIM(E109))</f>
        <v/>
      </c>
      <c r="G109" s="209" t="n"/>
      <c r="H109" s="209" t="n"/>
      <c r="I109" s="209" t="n"/>
      <c r="J109" s="209" t="n"/>
      <c r="K109" s="209" t="n"/>
      <c r="L109" s="209" t="n"/>
      <c r="M109" s="209" t="n"/>
      <c r="N109" s="209" t="n"/>
      <c r="O109" s="209" t="n"/>
      <c r="P109" s="209" t="n"/>
      <c r="Q109" s="209" t="n"/>
      <c r="R109" s="209" t="n"/>
      <c r="S109" s="212" t="n"/>
      <c r="T109" s="212" t="n"/>
      <c r="U109" s="212" t="n"/>
      <c r="V109" s="212" t="n"/>
      <c r="W109" s="212" t="n"/>
      <c r="X109" s="212" t="n"/>
      <c r="Y109" s="212" t="n"/>
      <c r="Z109" s="212" t="n"/>
      <c r="AA109" s="212" t="n"/>
      <c r="AB109" s="212" t="n"/>
      <c r="AC109" s="212" t="n"/>
      <c r="AD109" s="212" t="n"/>
      <c r="AE109" s="212" t="n"/>
      <c r="AF109" s="212" t="n"/>
      <c r="AG109" s="212" t="n"/>
      <c r="AH109" s="212" t="n"/>
      <c r="AI109" s="212" t="n"/>
      <c r="AJ109" s="212" t="n"/>
      <c r="AK109" s="212" t="n"/>
      <c r="AL109" s="212" t="n"/>
      <c r="AM109" s="212" t="n"/>
      <c r="AN109" s="212" t="n"/>
      <c r="AO109" s="212" t="n"/>
      <c r="AP109" s="212" t="n"/>
      <c r="AQ109" s="212" t="n"/>
      <c r="AR109" s="212" t="n"/>
      <c r="AS109" s="212" t="n"/>
      <c r="AT109" s="212" t="n"/>
      <c r="AU109" s="212" t="n"/>
      <c r="AV109" s="212" t="n"/>
      <c r="AW109" s="212" t="n"/>
      <c r="AX109" s="212" t="n"/>
      <c r="AY109" s="212" t="n"/>
      <c r="AZ109" s="212" t="n"/>
      <c r="BA109" s="212" t="n"/>
      <c r="BB109" s="212" t="n"/>
      <c r="BC109" s="212" t="n"/>
      <c r="BD109" s="212" t="n"/>
      <c r="BE109" s="212" t="n"/>
      <c r="BF109" s="212" t="n"/>
      <c r="BG109" s="212" t="n"/>
      <c r="BH109" s="212" t="n"/>
      <c r="BI109" s="212" t="n"/>
      <c r="BJ109" s="212" t="n"/>
      <c r="BK109" s="212" t="n"/>
      <c r="BL109" s="212" t="n"/>
      <c r="BM109" s="212" t="n"/>
      <c r="BN109" s="212" t="n"/>
      <c r="BO109" s="212" t="n"/>
      <c r="BP109" s="212" t="n"/>
      <c r="BQ109" s="212" t="n"/>
      <c r="BR109" s="212" t="n"/>
      <c r="BS109" s="212" t="n"/>
      <c r="BT109" s="212" t="n"/>
      <c r="BU109" s="212" t="n"/>
      <c r="BV109" s="212" t="n"/>
      <c r="BW109" s="212" t="n"/>
      <c r="BX109" s="212" t="n"/>
      <c r="BY109" s="212" t="n"/>
      <c r="BZ109" s="212" t="n"/>
      <c r="CA109" s="212" t="n"/>
      <c r="CB109" s="212" t="n"/>
      <c r="CC109" s="212" t="n"/>
      <c r="CD109" s="212" t="n"/>
      <c r="CE109" s="212" t="n"/>
      <c r="CF109" s="212" t="n"/>
      <c r="CG109" s="212" t="n"/>
      <c r="CH109" s="212" t="n"/>
      <c r="CI109" s="212" t="n"/>
      <c r="CJ109" s="212" t="n"/>
      <c r="CK109" s="212" t="n"/>
      <c r="CL109" s="212" t="n"/>
      <c r="CM109" s="212" t="n"/>
      <c r="CN109" s="212" t="n"/>
      <c r="CO109" s="212" t="n"/>
      <c r="CP109" s="212" t="n"/>
      <c r="CQ109" s="212" t="n"/>
      <c r="CR109" s="212" t="n"/>
      <c r="CS109" s="212" t="n"/>
      <c r="CT109" s="212" t="n"/>
      <c r="CU109" s="212" t="n"/>
      <c r="CV109" s="212" t="n"/>
      <c r="CW109" s="212" t="n"/>
      <c r="CX109" s="212" t="n"/>
      <c r="CY109" s="212" t="n"/>
      <c r="CZ109" s="212" t="n"/>
      <c r="DA109" s="212" t="n"/>
      <c r="DB109" s="212" t="n"/>
      <c r="DC109" s="212" t="n"/>
      <c r="DD109" s="212" t="n"/>
      <c r="DE109" s="212" t="n"/>
      <c r="DF109" s="212" t="n"/>
      <c r="DG109" s="212" t="n"/>
      <c r="DH109" s="212" t="n"/>
      <c r="DI109" s="212" t="n"/>
      <c r="DJ109" s="212" t="n"/>
      <c r="DK109" s="212" t="n"/>
      <c r="DL109" s="212" t="n"/>
      <c r="DM109" s="212" t="n"/>
      <c r="DN109" s="212" t="n"/>
      <c r="DO109" s="212" t="n"/>
      <c r="DP109" s="212" t="n"/>
      <c r="DQ109" s="212" t="n"/>
      <c r="DR109" s="212" t="n"/>
      <c r="DS109" s="212" t="n"/>
      <c r="DT109" s="212" t="n"/>
      <c r="DU109" s="212" t="n"/>
      <c r="DV109" s="212" t="n"/>
      <c r="DW109" s="212" t="n"/>
      <c r="DX109" s="212" t="n"/>
      <c r="DY109" s="212" t="n"/>
      <c r="DZ109" s="212" t="n"/>
      <c r="EA109" s="212" t="n"/>
      <c r="EB109" s="212" t="n"/>
      <c r="EC109" s="212" t="n"/>
      <c r="ED109" s="212" t="n"/>
      <c r="EE109" s="212" t="n"/>
      <c r="EF109" s="212" t="n"/>
      <c r="EG109" s="212" t="n"/>
      <c r="EH109" s="212" t="n"/>
      <c r="EI109" s="212" t="n"/>
      <c r="EJ109" s="212" t="n"/>
      <c r="EK109" s="212" t="n"/>
      <c r="EL109" s="212" t="n"/>
      <c r="EM109" s="212" t="n"/>
      <c r="EN109" s="212" t="n"/>
      <c r="EO109" s="212" t="n"/>
      <c r="EP109" s="212" t="n"/>
      <c r="EQ109" s="212" t="n"/>
      <c r="ER109" s="212" t="n"/>
      <c r="ES109" s="212" t="n"/>
      <c r="ET109" s="212" t="n"/>
      <c r="EU109" s="212" t="n"/>
      <c r="EV109" s="212" t="n"/>
      <c r="EW109" s="212" t="n"/>
      <c r="EX109" s="212" t="n"/>
      <c r="EY109" s="212" t="n"/>
      <c r="EZ109" s="212" t="n"/>
      <c r="FA109" s="212" t="n"/>
      <c r="FB109" s="212" t="n"/>
      <c r="FC109" s="212" t="n"/>
      <c r="FD109" s="212" t="n"/>
      <c r="FE109" s="212" t="n"/>
      <c r="FF109" s="212" t="n"/>
      <c r="FG109" s="212" t="n"/>
      <c r="FH109" s="212" t="n"/>
      <c r="FI109" s="212" t="n"/>
      <c r="FJ109" s="212" t="n"/>
      <c r="FK109" s="212" t="n"/>
      <c r="FL109" s="212" t="n"/>
      <c r="FM109" s="212" t="n"/>
      <c r="FN109" s="212" t="n"/>
      <c r="FO109" s="212" t="n"/>
      <c r="FP109" s="212" t="n"/>
      <c r="FQ109" s="212" t="n"/>
      <c r="FR109" s="212" t="n"/>
      <c r="FS109" s="212" t="n"/>
      <c r="FT109" s="212" t="n"/>
      <c r="FU109" s="212" t="n"/>
      <c r="FV109" s="212" t="n"/>
      <c r="FW109" s="212" t="n"/>
      <c r="FX109" s="212" t="n"/>
      <c r="FY109" s="212" t="n"/>
      <c r="FZ109" s="212" t="n"/>
      <c r="GA109" s="212" t="n"/>
      <c r="GB109" s="212" t="n"/>
      <c r="GC109" s="212" t="n"/>
      <c r="GD109" s="212" t="n"/>
      <c r="GE109" s="212" t="n"/>
      <c r="GF109" s="212" t="n"/>
      <c r="GG109" s="212" t="n"/>
      <c r="GH109" s="212" t="n"/>
      <c r="GI109" s="212" t="n"/>
      <c r="GJ109" s="212" t="n"/>
      <c r="GK109" s="212" t="n"/>
      <c r="GL109" s="212" t="n"/>
      <c r="GM109" s="212" t="n"/>
      <c r="GN109" s="212" t="n"/>
      <c r="GO109" s="212" t="n"/>
      <c r="GP109" s="212" t="n"/>
      <c r="GQ109" s="212" t="n"/>
      <c r="GR109" s="212" t="n"/>
      <c r="GS109" s="212" t="n"/>
      <c r="GT109" s="212" t="n"/>
      <c r="GU109" s="212" t="n"/>
      <c r="GV109" s="212" t="n"/>
      <c r="GW109" s="212" t="n"/>
      <c r="GX109" s="212" t="n"/>
      <c r="GY109" s="212" t="n"/>
      <c r="GZ109" s="212" t="n"/>
      <c r="HA109" s="212" t="n"/>
      <c r="HB109" s="212" t="n"/>
      <c r="HC109" s="212" t="n"/>
      <c r="HD109" s="212" t="n"/>
      <c r="HE109" s="212" t="n"/>
      <c r="HF109" s="212" t="n"/>
      <c r="HG109" s="212" t="n"/>
      <c r="HH109" s="212" t="n"/>
      <c r="HI109" s="212" t="n"/>
      <c r="HJ109" s="212" t="n"/>
      <c r="HK109" s="212" t="n"/>
      <c r="HL109" s="212" t="n"/>
      <c r="HM109" s="212" t="n"/>
      <c r="HN109" s="212" t="n"/>
      <c r="HO109" s="212" t="n"/>
      <c r="HP109" s="212" t="n"/>
      <c r="HQ109" s="212" t="n"/>
      <c r="HR109" s="212" t="n"/>
      <c r="HS109" s="212" t="n"/>
      <c r="HT109" s="212" t="n"/>
      <c r="HU109" s="212" t="n"/>
      <c r="HV109" s="212" t="n"/>
      <c r="HW109" s="212" t="n"/>
      <c r="HX109" s="212" t="n"/>
      <c r="HY109" s="212" t="n"/>
      <c r="HZ109" s="212" t="n"/>
      <c r="IA109" s="212" t="n"/>
      <c r="IB109" s="212" t="n"/>
      <c r="IC109" s="212" t="n"/>
      <c r="ID109" s="212" t="n"/>
      <c r="IE109" s="212" t="n"/>
      <c r="IF109" s="212" t="n"/>
      <c r="IG109" s="212" t="n"/>
      <c r="IH109" s="212" t="n"/>
      <c r="II109" s="212" t="n"/>
      <c r="IJ109" s="212" t="n"/>
      <c r="IK109" s="212" t="n"/>
      <c r="IL109" s="212" t="n"/>
      <c r="IM109" s="212" t="n"/>
      <c r="IN109" s="212" t="n"/>
      <c r="IO109" s="212" t="n"/>
      <c r="IP109" s="212" t="n"/>
      <c r="IQ109" s="212" t="n"/>
      <c r="IR109" s="212" t="n"/>
      <c r="IS109" s="212" t="n"/>
      <c r="IT109" s="212" t="n"/>
      <c r="IU109" s="212" t="n"/>
      <c r="IV109" s="212" t="n"/>
      <c r="IW109" s="212" t="n"/>
      <c r="IX109" s="212" t="n"/>
      <c r="IY109" s="212" t="n"/>
      <c r="IZ109" s="212" t="n"/>
      <c r="JA109" s="212" t="n"/>
      <c r="JB109" s="212" t="n"/>
      <c r="JC109" s="212" t="n"/>
      <c r="JD109" s="212" t="n"/>
      <c r="JE109" s="212" t="n"/>
      <c r="JF109" s="212" t="n"/>
      <c r="JG109" s="212" t="n"/>
      <c r="JH109" s="212" t="n"/>
      <c r="JI109" s="212" t="n"/>
      <c r="JJ109" s="212" t="n"/>
      <c r="JK109" s="212" t="n"/>
      <c r="JL109" s="212" t="n"/>
      <c r="JM109" s="212" t="n"/>
      <c r="JN109" s="212" t="n"/>
      <c r="JO109" s="212" t="n"/>
      <c r="JP109" s="212" t="n"/>
      <c r="JQ109" s="212" t="n"/>
      <c r="JR109" s="212" t="n"/>
      <c r="JS109" s="212" t="n"/>
      <c r="JT109" s="212" t="n"/>
      <c r="JU109" s="212" t="n"/>
      <c r="JV109" s="212" t="n"/>
      <c r="JW109" s="212" t="n"/>
      <c r="JX109" s="212" t="n"/>
      <c r="JY109" s="212" t="n"/>
      <c r="JZ109" s="212" t="n"/>
      <c r="KA109" s="212" t="n"/>
      <c r="KB109" s="212" t="n"/>
      <c r="KC109" s="212" t="n"/>
      <c r="KD109" s="212" t="n"/>
      <c r="KE109" s="212" t="n"/>
      <c r="KF109" s="212" t="n"/>
      <c r="KG109" s="212" t="n"/>
      <c r="KH109" s="212" t="n"/>
      <c r="KI109" s="212" t="n"/>
      <c r="KJ109" s="212" t="n"/>
      <c r="KK109" s="212" t="n"/>
      <c r="KL109" s="212" t="n"/>
      <c r="KM109" s="212" t="n"/>
      <c r="KN109" s="212" t="n"/>
      <c r="KO109" s="212" t="n"/>
      <c r="KP109" s="212" t="n"/>
      <c r="KQ109" s="212" t="n"/>
      <c r="KR109" s="212" t="n"/>
      <c r="KS109" s="212" t="n"/>
      <c r="KT109" s="212" t="n"/>
      <c r="KU109" s="212" t="n"/>
      <c r="KV109" s="212" t="n"/>
      <c r="KW109" s="212" t="n"/>
      <c r="KX109" s="212" t="n"/>
      <c r="KY109" s="212" t="n"/>
      <c r="KZ109" s="212" t="n"/>
      <c r="LA109" s="212" t="n"/>
      <c r="LB109" s="212" t="n"/>
      <c r="LC109" s="212" t="n"/>
      <c r="LD109" s="212" t="n"/>
      <c r="LE109" s="212" t="n"/>
      <c r="LF109" s="212" t="n"/>
      <c r="LG109" s="212" t="n"/>
      <c r="LH109" s="212" t="n"/>
      <c r="LI109" s="212" t="n"/>
      <c r="LJ109" s="212" t="n"/>
      <c r="LK109" s="212" t="n"/>
      <c r="LL109" s="212" t="n"/>
      <c r="LM109" s="212" t="n"/>
      <c r="LN109" s="212" t="n"/>
      <c r="LO109" s="212" t="n"/>
      <c r="LP109" s="212" t="n"/>
      <c r="LQ109" s="212" t="n"/>
      <c r="LR109" s="212" t="n"/>
      <c r="LS109" s="212" t="n"/>
      <c r="LT109" s="212" t="n"/>
      <c r="LU109" s="212" t="n"/>
      <c r="LV109" s="212" t="n"/>
      <c r="LW109" s="212" t="n"/>
      <c r="LX109" s="212" t="n"/>
      <c r="LY109" s="212" t="n"/>
      <c r="LZ109" s="212" t="n"/>
      <c r="MA109" s="212" t="n"/>
      <c r="MB109" s="212" t="n"/>
      <c r="MC109" s="212" t="n"/>
      <c r="MD109" s="212" t="n"/>
      <c r="ME109" s="212" t="n"/>
      <c r="MF109" s="212" t="n"/>
      <c r="MG109" s="212" t="n"/>
      <c r="MH109" s="212" t="n"/>
      <c r="MI109" s="212" t="n"/>
      <c r="MJ109" s="212" t="n"/>
      <c r="MK109" s="212" t="n"/>
      <c r="ML109" s="212" t="n"/>
      <c r="MM109" s="212" t="n"/>
      <c r="MN109" s="212" t="n"/>
      <c r="MO109" s="212" t="n"/>
      <c r="MP109" s="212" t="n"/>
      <c r="MQ109" s="212" t="n"/>
      <c r="MR109" s="212" t="n"/>
      <c r="MS109" s="212" t="n"/>
      <c r="MT109" s="212" t="n"/>
      <c r="MU109" s="212" t="n"/>
      <c r="MV109" s="212" t="n"/>
      <c r="MW109" s="212" t="n"/>
      <c r="MX109" s="212" t="n"/>
      <c r="MY109" s="212" t="n"/>
      <c r="MZ109" s="212" t="n"/>
      <c r="NA109" s="212" t="n"/>
      <c r="NB109" s="212" t="n"/>
      <c r="NC109" s="212" t="n"/>
      <c r="ND109" s="212" t="n"/>
      <c r="NE109" s="212" t="n"/>
      <c r="NF109" s="212" t="n"/>
      <c r="NG109" s="212" t="n"/>
      <c r="NH109" s="212" t="n"/>
      <c r="NI109" s="212" t="n"/>
      <c r="NJ109" s="212" t="n"/>
      <c r="NK109" s="212" t="n"/>
      <c r="NL109" s="212" t="n"/>
      <c r="NM109" s="212" t="n"/>
      <c r="NN109" s="212" t="n"/>
      <c r="NO109" s="212" t="n"/>
      <c r="NP109" s="212" t="n"/>
      <c r="NQ109" s="212" t="n"/>
      <c r="NR109" s="212" t="n"/>
      <c r="NS109" s="212" t="n"/>
      <c r="NT109" s="212" t="n"/>
      <c r="NU109" s="212" t="n"/>
      <c r="NV109" s="212" t="n"/>
      <c r="NW109" s="212" t="n"/>
      <c r="NX109" s="212" t="n"/>
      <c r="NY109" s="212" t="n"/>
      <c r="NZ109" s="212" t="n"/>
      <c r="OA109" s="212" t="n"/>
      <c r="OB109" s="212" t="n"/>
      <c r="OC109" s="212" t="n"/>
      <c r="OD109" s="212" t="n"/>
      <c r="OE109" s="212" t="n"/>
      <c r="OF109" s="212" t="n"/>
      <c r="OG109" s="212" t="n"/>
      <c r="OH109" s="212" t="n"/>
      <c r="OI109" s="212" t="n"/>
      <c r="OJ109" s="212" t="n"/>
      <c r="OK109" s="212" t="n"/>
      <c r="OL109" s="212" t="n"/>
      <c r="OM109" s="212" t="n"/>
      <c r="ON109" s="212" t="n"/>
      <c r="OO109" s="212" t="n"/>
      <c r="OP109" s="212" t="n"/>
      <c r="OQ109" s="212" t="n"/>
      <c r="OR109" s="212" t="n"/>
      <c r="OS109" s="212" t="n"/>
      <c r="OT109" s="212" t="n"/>
      <c r="OU109" s="212" t="n"/>
      <c r="OV109" s="212" t="n"/>
      <c r="OW109" s="212" t="n"/>
      <c r="OX109" s="212" t="n"/>
      <c r="OY109" s="212" t="n"/>
      <c r="OZ109" s="212" t="n"/>
      <c r="PA109" s="212" t="n"/>
      <c r="PB109" s="212" t="n"/>
      <c r="PC109" s="212" t="n"/>
      <c r="PD109" s="212" t="n"/>
      <c r="PE109" s="212" t="n"/>
      <c r="PF109" s="212" t="n"/>
      <c r="PG109" s="212" t="n"/>
      <c r="PH109" s="212" t="n"/>
      <c r="PI109" s="212" t="n"/>
      <c r="PJ109" s="212" t="n"/>
      <c r="PK109" s="212" t="n"/>
      <c r="PL109" s="212" t="n"/>
      <c r="PM109" s="212" t="n"/>
      <c r="PN109" s="212" t="n"/>
      <c r="PO109" s="212" t="n"/>
      <c r="PP109" s="212" t="n"/>
      <c r="PQ109" s="212" t="n"/>
      <c r="PR109" s="212" t="n"/>
      <c r="PS109" s="212" t="n"/>
      <c r="PT109" s="212" t="n"/>
      <c r="PU109" s="212" t="n"/>
      <c r="PV109" s="212" t="n"/>
      <c r="PW109" s="212" t="n"/>
      <c r="PX109" s="212" t="n"/>
      <c r="PY109" s="212" t="n"/>
      <c r="PZ109" s="212" t="n"/>
      <c r="QA109" s="212" t="n"/>
      <c r="QB109" s="212" t="n"/>
      <c r="QC109" s="212" t="n"/>
      <c r="QD109" s="212" t="n"/>
      <c r="QE109" s="212" t="n"/>
      <c r="QF109" s="212" t="n"/>
      <c r="QG109" s="212" t="n"/>
      <c r="QH109" s="212" t="n"/>
      <c r="QI109" s="212" t="n"/>
      <c r="QJ109" s="212" t="n"/>
      <c r="QK109" s="212" t="n"/>
      <c r="QL109" s="212" t="n"/>
      <c r="QM109" s="212" t="n"/>
      <c r="QN109" s="212" t="n"/>
      <c r="QO109" s="212" t="n"/>
      <c r="QP109" s="212" t="n"/>
      <c r="QQ109" s="212" t="n"/>
      <c r="QR109" s="212" t="n"/>
      <c r="QS109" s="212" t="n"/>
      <c r="QT109" s="212" t="n"/>
      <c r="QU109" s="212" t="n"/>
      <c r="QV109" s="212" t="n"/>
      <c r="QW109" s="212" t="n"/>
      <c r="QX109" s="212" t="n"/>
      <c r="QY109" s="212" t="n"/>
      <c r="QZ109" s="212" t="n"/>
      <c r="RA109" s="212" t="n"/>
      <c r="RB109" s="212" t="n"/>
      <c r="RC109" s="212" t="n"/>
      <c r="RD109" s="212" t="n"/>
      <c r="RE109" s="212" t="n"/>
      <c r="RF109" s="212" t="n"/>
      <c r="RG109" s="212" t="n"/>
      <c r="RH109" s="212" t="n"/>
      <c r="RI109" s="212" t="n"/>
      <c r="RJ109" s="212" t="n"/>
      <c r="RK109" s="212" t="n"/>
      <c r="RL109" s="212" t="n"/>
      <c r="RM109" s="212" t="n"/>
      <c r="RN109" s="212" t="n"/>
      <c r="RO109" s="212" t="n"/>
      <c r="RP109" s="212" t="n"/>
      <c r="RQ109" s="212" t="n"/>
      <c r="RR109" s="212" t="n"/>
      <c r="RS109" s="212" t="n"/>
      <c r="RT109" s="212" t="n"/>
      <c r="RU109" s="212" t="n"/>
      <c r="RV109" s="212" t="n"/>
      <c r="RW109" s="212" t="n"/>
      <c r="RX109" s="212" t="n"/>
      <c r="RY109" s="212" t="n"/>
      <c r="RZ109" s="212" t="n"/>
      <c r="SA109" s="212" t="n"/>
      <c r="SB109" s="212" t="n"/>
      <c r="SC109" s="212" t="n"/>
      <c r="SD109" s="212" t="n"/>
      <c r="SE109" s="212" t="n"/>
      <c r="SF109" s="212" t="n"/>
      <c r="SG109" s="212" t="n"/>
      <c r="SH109" s="212" t="n"/>
      <c r="SI109" s="212" t="n"/>
      <c r="SJ109" s="212" t="n"/>
      <c r="SK109" s="212" t="n"/>
      <c r="SL109" s="212" t="n"/>
      <c r="SM109" s="212" t="n"/>
      <c r="SN109" s="212" t="n"/>
      <c r="SO109" s="212" t="n"/>
      <c r="SP109" s="212" t="n"/>
      <c r="SQ109" s="212" t="n"/>
      <c r="SR109" s="212" t="n"/>
      <c r="SS109" s="212" t="n"/>
      <c r="ST109" s="212" t="n"/>
      <c r="SU109" s="212" t="n"/>
      <c r="SV109" s="212" t="n"/>
    </row>
    <row r="110">
      <c r="B110" s="209" t="n"/>
      <c r="C110" s="209" t="n"/>
      <c r="D110" s="209" t="n"/>
      <c r="E110" s="209" t="n"/>
      <c r="F110" s="209">
        <f>IF(TRIM(D110&amp;E110)="","",TRIM(D110)&amp;" "&amp;TRIM(E110))</f>
        <v/>
      </c>
      <c r="G110" s="209" t="n"/>
      <c r="H110" s="209" t="n"/>
      <c r="I110" s="209" t="n"/>
      <c r="J110" s="209" t="n"/>
      <c r="K110" s="209" t="n"/>
      <c r="L110" s="209" t="n"/>
      <c r="M110" s="209" t="n"/>
      <c r="N110" s="209" t="n"/>
      <c r="O110" s="209" t="n"/>
      <c r="P110" s="209" t="n"/>
      <c r="Q110" s="209" t="n"/>
      <c r="R110" s="209" t="n"/>
      <c r="S110" s="212" t="n"/>
      <c r="T110" s="212" t="n"/>
      <c r="U110" s="212" t="n"/>
      <c r="V110" s="212" t="n"/>
      <c r="W110" s="212" t="n"/>
      <c r="X110" s="212" t="n"/>
      <c r="Y110" s="212" t="n"/>
      <c r="Z110" s="212" t="n"/>
      <c r="AA110" s="212" t="n"/>
      <c r="AB110" s="212" t="n"/>
      <c r="AC110" s="212" t="n"/>
      <c r="AD110" s="212" t="n"/>
      <c r="AE110" s="212" t="n"/>
      <c r="AF110" s="212" t="n"/>
      <c r="AG110" s="212" t="n"/>
      <c r="AH110" s="212" t="n"/>
      <c r="AI110" s="212" t="n"/>
      <c r="AJ110" s="212" t="n"/>
      <c r="AK110" s="212" t="n"/>
      <c r="AL110" s="212" t="n"/>
      <c r="AM110" s="212" t="n"/>
      <c r="AN110" s="212" t="n"/>
      <c r="AO110" s="212" t="n"/>
      <c r="AP110" s="212" t="n"/>
      <c r="AQ110" s="212" t="n"/>
      <c r="AR110" s="212" t="n"/>
      <c r="AS110" s="212" t="n"/>
      <c r="AT110" s="212" t="n"/>
      <c r="AU110" s="212" t="n"/>
      <c r="AV110" s="212" t="n"/>
      <c r="AW110" s="212" t="n"/>
      <c r="AX110" s="212" t="n"/>
      <c r="AY110" s="212" t="n"/>
      <c r="AZ110" s="212" t="n"/>
      <c r="BA110" s="212" t="n"/>
      <c r="BB110" s="212" t="n"/>
      <c r="BC110" s="212" t="n"/>
      <c r="BD110" s="212" t="n"/>
      <c r="BE110" s="212" t="n"/>
      <c r="BF110" s="212" t="n"/>
      <c r="BG110" s="212" t="n"/>
      <c r="BH110" s="212" t="n"/>
      <c r="BI110" s="212" t="n"/>
      <c r="BJ110" s="212" t="n"/>
      <c r="BK110" s="212" t="n"/>
      <c r="BL110" s="212" t="n"/>
      <c r="BM110" s="212" t="n"/>
      <c r="BN110" s="212" t="n"/>
      <c r="BO110" s="212" t="n"/>
      <c r="BP110" s="212" t="n"/>
      <c r="BQ110" s="212" t="n"/>
      <c r="BR110" s="212" t="n"/>
      <c r="BS110" s="212" t="n"/>
      <c r="BT110" s="212" t="n"/>
      <c r="BU110" s="212" t="n"/>
      <c r="BV110" s="212" t="n"/>
      <c r="BW110" s="212" t="n"/>
      <c r="BX110" s="212" t="n"/>
      <c r="BY110" s="212" t="n"/>
      <c r="BZ110" s="212" t="n"/>
      <c r="CA110" s="212" t="n"/>
      <c r="CB110" s="212" t="n"/>
      <c r="CC110" s="212" t="n"/>
      <c r="CD110" s="212" t="n"/>
      <c r="CE110" s="212" t="n"/>
      <c r="CF110" s="212" t="n"/>
      <c r="CG110" s="212" t="n"/>
      <c r="CH110" s="212" t="n"/>
      <c r="CI110" s="212" t="n"/>
      <c r="CJ110" s="212" t="n"/>
      <c r="CK110" s="212" t="n"/>
      <c r="CL110" s="212" t="n"/>
      <c r="CM110" s="212" t="n"/>
      <c r="CN110" s="212" t="n"/>
      <c r="CO110" s="212" t="n"/>
      <c r="CP110" s="212" t="n"/>
      <c r="CQ110" s="212" t="n"/>
      <c r="CR110" s="212" t="n"/>
      <c r="CS110" s="212" t="n"/>
      <c r="CT110" s="212" t="n"/>
      <c r="CU110" s="212" t="n"/>
      <c r="CV110" s="212" t="n"/>
      <c r="CW110" s="212" t="n"/>
      <c r="CX110" s="212" t="n"/>
      <c r="CY110" s="212" t="n"/>
      <c r="CZ110" s="212" t="n"/>
      <c r="DA110" s="212" t="n"/>
      <c r="DB110" s="212" t="n"/>
      <c r="DC110" s="212" t="n"/>
      <c r="DD110" s="212" t="n"/>
      <c r="DE110" s="212" t="n"/>
      <c r="DF110" s="212" t="n"/>
      <c r="DG110" s="212" t="n"/>
      <c r="DH110" s="212" t="n"/>
      <c r="DI110" s="212" t="n"/>
      <c r="DJ110" s="212" t="n"/>
      <c r="DK110" s="212" t="n"/>
      <c r="DL110" s="212" t="n"/>
      <c r="DM110" s="212" t="n"/>
      <c r="DN110" s="212" t="n"/>
      <c r="DO110" s="212" t="n"/>
      <c r="DP110" s="212" t="n"/>
      <c r="DQ110" s="212" t="n"/>
      <c r="DR110" s="212" t="n"/>
      <c r="DS110" s="212" t="n"/>
      <c r="DT110" s="212" t="n"/>
      <c r="DU110" s="212" t="n"/>
      <c r="DV110" s="212" t="n"/>
      <c r="DW110" s="212" t="n"/>
      <c r="DX110" s="212" t="n"/>
      <c r="DY110" s="212" t="n"/>
      <c r="DZ110" s="212" t="n"/>
      <c r="EA110" s="212" t="n"/>
      <c r="EB110" s="212" t="n"/>
      <c r="EC110" s="212" t="n"/>
      <c r="ED110" s="212" t="n"/>
      <c r="EE110" s="212" t="n"/>
      <c r="EF110" s="212" t="n"/>
      <c r="EG110" s="212" t="n"/>
      <c r="EH110" s="212" t="n"/>
      <c r="EI110" s="212" t="n"/>
      <c r="EJ110" s="212" t="n"/>
      <c r="EK110" s="212" t="n"/>
      <c r="EL110" s="212" t="n"/>
      <c r="EM110" s="212" t="n"/>
      <c r="EN110" s="212" t="n"/>
      <c r="EO110" s="212" t="n"/>
      <c r="EP110" s="212" t="n"/>
      <c r="EQ110" s="212" t="n"/>
      <c r="ER110" s="212" t="n"/>
      <c r="ES110" s="212" t="n"/>
      <c r="ET110" s="212" t="n"/>
      <c r="EU110" s="212" t="n"/>
      <c r="EV110" s="212" t="n"/>
      <c r="EW110" s="212" t="n"/>
      <c r="EX110" s="212" t="n"/>
      <c r="EY110" s="212" t="n"/>
      <c r="EZ110" s="212" t="n"/>
      <c r="FA110" s="212" t="n"/>
      <c r="FB110" s="212" t="n"/>
      <c r="FC110" s="212" t="n"/>
      <c r="FD110" s="212" t="n"/>
      <c r="FE110" s="212" t="n"/>
      <c r="FF110" s="212" t="n"/>
      <c r="FG110" s="212" t="n"/>
      <c r="FH110" s="212" t="n"/>
      <c r="FI110" s="212" t="n"/>
      <c r="FJ110" s="212" t="n"/>
      <c r="FK110" s="212" t="n"/>
      <c r="FL110" s="212" t="n"/>
      <c r="FM110" s="212" t="n"/>
      <c r="FN110" s="212" t="n"/>
      <c r="FO110" s="212" t="n"/>
      <c r="FP110" s="212" t="n"/>
      <c r="FQ110" s="212" t="n"/>
      <c r="FR110" s="212" t="n"/>
      <c r="FS110" s="212" t="n"/>
      <c r="FT110" s="212" t="n"/>
      <c r="FU110" s="212" t="n"/>
      <c r="FV110" s="212" t="n"/>
      <c r="FW110" s="212" t="n"/>
      <c r="FX110" s="212" t="n"/>
      <c r="FY110" s="212" t="n"/>
      <c r="FZ110" s="212" t="n"/>
      <c r="GA110" s="212" t="n"/>
      <c r="GB110" s="212" t="n"/>
      <c r="GC110" s="212" t="n"/>
      <c r="GD110" s="212" t="n"/>
      <c r="GE110" s="212" t="n"/>
      <c r="GF110" s="212" t="n"/>
      <c r="GG110" s="212" t="n"/>
      <c r="GH110" s="212" t="n"/>
      <c r="GI110" s="212" t="n"/>
      <c r="GJ110" s="212" t="n"/>
      <c r="GK110" s="212" t="n"/>
      <c r="GL110" s="212" t="n"/>
      <c r="GM110" s="212" t="n"/>
      <c r="GN110" s="212" t="n"/>
      <c r="GO110" s="212" t="n"/>
      <c r="GP110" s="212" t="n"/>
      <c r="GQ110" s="212" t="n"/>
      <c r="GR110" s="212" t="n"/>
      <c r="GS110" s="212" t="n"/>
      <c r="GT110" s="212" t="n"/>
      <c r="GU110" s="212" t="n"/>
      <c r="GV110" s="212" t="n"/>
      <c r="GW110" s="212" t="n"/>
      <c r="GX110" s="212" t="n"/>
      <c r="GY110" s="212" t="n"/>
      <c r="GZ110" s="212" t="n"/>
      <c r="HA110" s="212" t="n"/>
      <c r="HB110" s="212" t="n"/>
      <c r="HC110" s="212" t="n"/>
      <c r="HD110" s="212" t="n"/>
      <c r="HE110" s="212" t="n"/>
      <c r="HF110" s="212" t="n"/>
      <c r="HG110" s="212" t="n"/>
      <c r="HH110" s="212" t="n"/>
      <c r="HI110" s="212" t="n"/>
      <c r="HJ110" s="212" t="n"/>
      <c r="HK110" s="212" t="n"/>
      <c r="HL110" s="212" t="n"/>
      <c r="HM110" s="212" t="n"/>
      <c r="HN110" s="212" t="n"/>
      <c r="HO110" s="212" t="n"/>
      <c r="HP110" s="212" t="n"/>
      <c r="HQ110" s="212" t="n"/>
      <c r="HR110" s="212" t="n"/>
      <c r="HS110" s="212" t="n"/>
      <c r="HT110" s="212" t="n"/>
      <c r="HU110" s="212" t="n"/>
      <c r="HV110" s="212" t="n"/>
      <c r="HW110" s="212" t="n"/>
      <c r="HX110" s="212" t="n"/>
      <c r="HY110" s="212" t="n"/>
      <c r="HZ110" s="212" t="n"/>
      <c r="IA110" s="212" t="n"/>
      <c r="IB110" s="212" t="n"/>
      <c r="IC110" s="212" t="n"/>
      <c r="ID110" s="212" t="n"/>
      <c r="IE110" s="212" t="n"/>
      <c r="IF110" s="212" t="n"/>
      <c r="IG110" s="212" t="n"/>
      <c r="IH110" s="212" t="n"/>
      <c r="II110" s="212" t="n"/>
      <c r="IJ110" s="212" t="n"/>
      <c r="IK110" s="212" t="n"/>
      <c r="IL110" s="212" t="n"/>
      <c r="IM110" s="212" t="n"/>
      <c r="IN110" s="212" t="n"/>
      <c r="IO110" s="212" t="n"/>
      <c r="IP110" s="212" t="n"/>
      <c r="IQ110" s="212" t="n"/>
      <c r="IR110" s="212" t="n"/>
      <c r="IS110" s="212" t="n"/>
      <c r="IT110" s="212" t="n"/>
      <c r="IU110" s="212" t="n"/>
      <c r="IV110" s="212" t="n"/>
      <c r="IW110" s="212" t="n"/>
      <c r="IX110" s="212" t="n"/>
      <c r="IY110" s="212" t="n"/>
      <c r="IZ110" s="212" t="n"/>
      <c r="JA110" s="212" t="n"/>
      <c r="JB110" s="212" t="n"/>
      <c r="JC110" s="212" t="n"/>
      <c r="JD110" s="212" t="n"/>
      <c r="JE110" s="212" t="n"/>
      <c r="JF110" s="212" t="n"/>
      <c r="JG110" s="212" t="n"/>
      <c r="JH110" s="212" t="n"/>
      <c r="JI110" s="212" t="n"/>
      <c r="JJ110" s="212" t="n"/>
      <c r="JK110" s="212" t="n"/>
      <c r="JL110" s="212" t="n"/>
      <c r="JM110" s="212" t="n"/>
      <c r="JN110" s="212" t="n"/>
      <c r="JO110" s="212" t="n"/>
      <c r="JP110" s="212" t="n"/>
      <c r="JQ110" s="212" t="n"/>
      <c r="JR110" s="212" t="n"/>
      <c r="JS110" s="212" t="n"/>
      <c r="JT110" s="212" t="n"/>
      <c r="JU110" s="212" t="n"/>
      <c r="JV110" s="212" t="n"/>
      <c r="JW110" s="212" t="n"/>
      <c r="JX110" s="212" t="n"/>
      <c r="JY110" s="212" t="n"/>
      <c r="JZ110" s="212" t="n"/>
      <c r="KA110" s="212" t="n"/>
      <c r="KB110" s="212" t="n"/>
      <c r="KC110" s="212" t="n"/>
      <c r="KD110" s="212" t="n"/>
      <c r="KE110" s="212" t="n"/>
      <c r="KF110" s="212" t="n"/>
      <c r="KG110" s="212" t="n"/>
      <c r="KH110" s="212" t="n"/>
      <c r="KI110" s="212" t="n"/>
      <c r="KJ110" s="212" t="n"/>
      <c r="KK110" s="212" t="n"/>
      <c r="KL110" s="212" t="n"/>
      <c r="KM110" s="212" t="n"/>
      <c r="KN110" s="212" t="n"/>
      <c r="KO110" s="212" t="n"/>
      <c r="KP110" s="212" t="n"/>
      <c r="KQ110" s="212" t="n"/>
      <c r="KR110" s="212" t="n"/>
      <c r="KS110" s="212" t="n"/>
      <c r="KT110" s="212" t="n"/>
      <c r="KU110" s="212" t="n"/>
      <c r="KV110" s="212" t="n"/>
      <c r="KW110" s="212" t="n"/>
      <c r="KX110" s="212" t="n"/>
      <c r="KY110" s="212" t="n"/>
      <c r="KZ110" s="212" t="n"/>
      <c r="LA110" s="212" t="n"/>
      <c r="LB110" s="212" t="n"/>
      <c r="LC110" s="212" t="n"/>
      <c r="LD110" s="212" t="n"/>
      <c r="LE110" s="212" t="n"/>
      <c r="LF110" s="212" t="n"/>
      <c r="LG110" s="212" t="n"/>
      <c r="LH110" s="212" t="n"/>
      <c r="LI110" s="212" t="n"/>
      <c r="LJ110" s="212" t="n"/>
      <c r="LK110" s="212" t="n"/>
      <c r="LL110" s="212" t="n"/>
      <c r="LM110" s="212" t="n"/>
      <c r="LN110" s="212" t="n"/>
      <c r="LO110" s="212" t="n"/>
      <c r="LP110" s="212" t="n"/>
      <c r="LQ110" s="212" t="n"/>
      <c r="LR110" s="212" t="n"/>
      <c r="LS110" s="212" t="n"/>
      <c r="LT110" s="212" t="n"/>
      <c r="LU110" s="212" t="n"/>
      <c r="LV110" s="212" t="n"/>
      <c r="LW110" s="212" t="n"/>
      <c r="LX110" s="212" t="n"/>
      <c r="LY110" s="212" t="n"/>
      <c r="LZ110" s="212" t="n"/>
      <c r="MA110" s="212" t="n"/>
      <c r="MB110" s="212" t="n"/>
      <c r="MC110" s="212" t="n"/>
      <c r="MD110" s="212" t="n"/>
      <c r="ME110" s="212" t="n"/>
      <c r="MF110" s="212" t="n"/>
      <c r="MG110" s="212" t="n"/>
      <c r="MH110" s="212" t="n"/>
      <c r="MI110" s="212" t="n"/>
      <c r="MJ110" s="212" t="n"/>
      <c r="MK110" s="212" t="n"/>
      <c r="ML110" s="212" t="n"/>
      <c r="MM110" s="212" t="n"/>
      <c r="MN110" s="212" t="n"/>
      <c r="MO110" s="212" t="n"/>
      <c r="MP110" s="212" t="n"/>
      <c r="MQ110" s="212" t="n"/>
      <c r="MR110" s="212" t="n"/>
      <c r="MS110" s="212" t="n"/>
      <c r="MT110" s="212" t="n"/>
      <c r="MU110" s="212" t="n"/>
      <c r="MV110" s="212" t="n"/>
      <c r="MW110" s="212" t="n"/>
      <c r="MX110" s="212" t="n"/>
      <c r="MY110" s="212" t="n"/>
      <c r="MZ110" s="212" t="n"/>
      <c r="NA110" s="212" t="n"/>
      <c r="NB110" s="212" t="n"/>
      <c r="NC110" s="212" t="n"/>
      <c r="ND110" s="212" t="n"/>
      <c r="NE110" s="212" t="n"/>
      <c r="NF110" s="212" t="n"/>
      <c r="NG110" s="212" t="n"/>
      <c r="NH110" s="212" t="n"/>
      <c r="NI110" s="212" t="n"/>
      <c r="NJ110" s="212" t="n"/>
      <c r="NK110" s="212" t="n"/>
      <c r="NL110" s="212" t="n"/>
      <c r="NM110" s="212" t="n"/>
      <c r="NN110" s="212" t="n"/>
      <c r="NO110" s="212" t="n"/>
      <c r="NP110" s="212" t="n"/>
      <c r="NQ110" s="212" t="n"/>
      <c r="NR110" s="212" t="n"/>
      <c r="NS110" s="212" t="n"/>
      <c r="NT110" s="212" t="n"/>
      <c r="NU110" s="212" t="n"/>
      <c r="NV110" s="212" t="n"/>
      <c r="NW110" s="212" t="n"/>
      <c r="NX110" s="212" t="n"/>
      <c r="NY110" s="212" t="n"/>
      <c r="NZ110" s="212" t="n"/>
      <c r="OA110" s="212" t="n"/>
      <c r="OB110" s="212" t="n"/>
      <c r="OC110" s="212" t="n"/>
      <c r="OD110" s="212" t="n"/>
      <c r="OE110" s="212" t="n"/>
      <c r="OF110" s="212" t="n"/>
      <c r="OG110" s="212" t="n"/>
      <c r="OH110" s="212" t="n"/>
      <c r="OI110" s="212" t="n"/>
      <c r="OJ110" s="212" t="n"/>
      <c r="OK110" s="212" t="n"/>
      <c r="OL110" s="212" t="n"/>
      <c r="OM110" s="212" t="n"/>
      <c r="ON110" s="212" t="n"/>
      <c r="OO110" s="212" t="n"/>
      <c r="OP110" s="212" t="n"/>
      <c r="OQ110" s="212" t="n"/>
      <c r="OR110" s="212" t="n"/>
      <c r="OS110" s="212" t="n"/>
      <c r="OT110" s="212" t="n"/>
      <c r="OU110" s="212" t="n"/>
      <c r="OV110" s="212" t="n"/>
      <c r="OW110" s="212" t="n"/>
      <c r="OX110" s="212" t="n"/>
      <c r="OY110" s="212" t="n"/>
      <c r="OZ110" s="212" t="n"/>
      <c r="PA110" s="212" t="n"/>
      <c r="PB110" s="212" t="n"/>
      <c r="PC110" s="212" t="n"/>
      <c r="PD110" s="212" t="n"/>
      <c r="PE110" s="212" t="n"/>
      <c r="PF110" s="212" t="n"/>
      <c r="PG110" s="212" t="n"/>
      <c r="PH110" s="212" t="n"/>
      <c r="PI110" s="212" t="n"/>
      <c r="PJ110" s="212" t="n"/>
      <c r="PK110" s="212" t="n"/>
      <c r="PL110" s="212" t="n"/>
      <c r="PM110" s="212" t="n"/>
      <c r="PN110" s="212" t="n"/>
      <c r="PO110" s="212" t="n"/>
      <c r="PP110" s="212" t="n"/>
      <c r="PQ110" s="212" t="n"/>
      <c r="PR110" s="212" t="n"/>
      <c r="PS110" s="212" t="n"/>
      <c r="PT110" s="212" t="n"/>
      <c r="PU110" s="212" t="n"/>
      <c r="PV110" s="212" t="n"/>
      <c r="PW110" s="212" t="n"/>
      <c r="PX110" s="212" t="n"/>
      <c r="PY110" s="212" t="n"/>
      <c r="PZ110" s="212" t="n"/>
      <c r="QA110" s="212" t="n"/>
      <c r="QB110" s="212" t="n"/>
      <c r="QC110" s="212" t="n"/>
      <c r="QD110" s="212" t="n"/>
      <c r="QE110" s="212" t="n"/>
      <c r="QF110" s="212" t="n"/>
      <c r="QG110" s="212" t="n"/>
      <c r="QH110" s="212" t="n"/>
      <c r="QI110" s="212" t="n"/>
      <c r="QJ110" s="212" t="n"/>
      <c r="QK110" s="212" t="n"/>
      <c r="QL110" s="212" t="n"/>
      <c r="QM110" s="212" t="n"/>
      <c r="QN110" s="212" t="n"/>
      <c r="QO110" s="212" t="n"/>
      <c r="QP110" s="212" t="n"/>
      <c r="QQ110" s="212" t="n"/>
      <c r="QR110" s="212" t="n"/>
      <c r="QS110" s="212" t="n"/>
      <c r="QT110" s="212" t="n"/>
      <c r="QU110" s="212" t="n"/>
      <c r="QV110" s="212" t="n"/>
      <c r="QW110" s="212" t="n"/>
      <c r="QX110" s="212" t="n"/>
      <c r="QY110" s="212" t="n"/>
      <c r="QZ110" s="212" t="n"/>
      <c r="RA110" s="212" t="n"/>
      <c r="RB110" s="212" t="n"/>
      <c r="RC110" s="212" t="n"/>
      <c r="RD110" s="212" t="n"/>
      <c r="RE110" s="212" t="n"/>
      <c r="RF110" s="212" t="n"/>
      <c r="RG110" s="212" t="n"/>
      <c r="RH110" s="212" t="n"/>
      <c r="RI110" s="212" t="n"/>
      <c r="RJ110" s="212" t="n"/>
      <c r="RK110" s="212" t="n"/>
      <c r="RL110" s="212" t="n"/>
      <c r="RM110" s="212" t="n"/>
      <c r="RN110" s="212" t="n"/>
      <c r="RO110" s="212" t="n"/>
      <c r="RP110" s="212" t="n"/>
      <c r="RQ110" s="212" t="n"/>
      <c r="RR110" s="212" t="n"/>
      <c r="RS110" s="212" t="n"/>
      <c r="RT110" s="212" t="n"/>
      <c r="RU110" s="212" t="n"/>
      <c r="RV110" s="212" t="n"/>
      <c r="RW110" s="212" t="n"/>
      <c r="RX110" s="212" t="n"/>
      <c r="RY110" s="212" t="n"/>
      <c r="RZ110" s="212" t="n"/>
      <c r="SA110" s="212" t="n"/>
      <c r="SB110" s="212" t="n"/>
      <c r="SC110" s="212" t="n"/>
      <c r="SD110" s="212" t="n"/>
      <c r="SE110" s="212" t="n"/>
      <c r="SF110" s="212" t="n"/>
      <c r="SG110" s="212" t="n"/>
      <c r="SH110" s="212" t="n"/>
      <c r="SI110" s="212" t="n"/>
      <c r="SJ110" s="212" t="n"/>
      <c r="SK110" s="212" t="n"/>
      <c r="SL110" s="212" t="n"/>
      <c r="SM110" s="212" t="n"/>
      <c r="SN110" s="212" t="n"/>
      <c r="SO110" s="212" t="n"/>
      <c r="SP110" s="212" t="n"/>
      <c r="SQ110" s="212" t="n"/>
      <c r="SR110" s="212" t="n"/>
      <c r="SS110" s="212" t="n"/>
      <c r="ST110" s="212" t="n"/>
      <c r="SU110" s="212" t="n"/>
      <c r="SV110" s="212" t="n"/>
    </row>
    <row r="111">
      <c r="B111" s="209" t="n"/>
      <c r="C111" s="209" t="n"/>
      <c r="D111" s="209" t="n"/>
      <c r="E111" s="209" t="n"/>
      <c r="F111" s="209">
        <f>IF(TRIM(D111&amp;E111)="","",TRIM(D111)&amp;" "&amp;TRIM(E111))</f>
        <v/>
      </c>
      <c r="G111" s="209" t="n"/>
      <c r="H111" s="209" t="n"/>
      <c r="I111" s="209" t="n"/>
      <c r="J111" s="209" t="n"/>
      <c r="K111" s="209" t="n"/>
      <c r="L111" s="209" t="n"/>
      <c r="M111" s="209" t="n"/>
      <c r="N111" s="209" t="n"/>
      <c r="O111" s="209" t="n"/>
      <c r="P111" s="209" t="n"/>
      <c r="Q111" s="209" t="n"/>
      <c r="R111" s="209" t="n"/>
      <c r="S111" s="212" t="n"/>
      <c r="T111" s="212" t="n"/>
      <c r="U111" s="212" t="n"/>
      <c r="V111" s="212" t="n"/>
      <c r="W111" s="212" t="n"/>
      <c r="X111" s="212" t="n"/>
      <c r="Y111" s="212" t="n"/>
      <c r="Z111" s="212" t="n"/>
      <c r="AA111" s="212" t="n"/>
      <c r="AB111" s="212" t="n"/>
      <c r="AC111" s="212" t="n"/>
      <c r="AD111" s="212" t="n"/>
      <c r="AE111" s="212" t="n"/>
      <c r="AF111" s="212" t="n"/>
      <c r="AG111" s="212" t="n"/>
      <c r="AH111" s="212" t="n"/>
      <c r="AI111" s="212" t="n"/>
      <c r="AJ111" s="212" t="n"/>
      <c r="AK111" s="212" t="n"/>
      <c r="AL111" s="212" t="n"/>
      <c r="AM111" s="212" t="n"/>
      <c r="AN111" s="212" t="n"/>
      <c r="AO111" s="212" t="n"/>
      <c r="AP111" s="212" t="n"/>
      <c r="AQ111" s="212" t="n"/>
      <c r="AR111" s="212" t="n"/>
      <c r="AS111" s="212" t="n"/>
      <c r="AT111" s="212" t="n"/>
      <c r="AU111" s="212" t="n"/>
      <c r="AV111" s="212" t="n"/>
      <c r="AW111" s="212" t="n"/>
      <c r="AX111" s="212" t="n"/>
      <c r="AY111" s="212" t="n"/>
      <c r="AZ111" s="212" t="n"/>
      <c r="BA111" s="212" t="n"/>
      <c r="BB111" s="212" t="n"/>
      <c r="BC111" s="212" t="n"/>
      <c r="BD111" s="212" t="n"/>
      <c r="BE111" s="212" t="n"/>
      <c r="BF111" s="212" t="n"/>
      <c r="BG111" s="212" t="n"/>
      <c r="BH111" s="212" t="n"/>
      <c r="BI111" s="212" t="n"/>
      <c r="BJ111" s="212" t="n"/>
      <c r="BK111" s="212" t="n"/>
      <c r="BL111" s="212" t="n"/>
      <c r="BM111" s="212" t="n"/>
      <c r="BN111" s="212" t="n"/>
      <c r="BO111" s="212" t="n"/>
      <c r="BP111" s="212" t="n"/>
      <c r="BQ111" s="212" t="n"/>
      <c r="BR111" s="212" t="n"/>
      <c r="BS111" s="212" t="n"/>
      <c r="BT111" s="212" t="n"/>
      <c r="BU111" s="212" t="n"/>
      <c r="BV111" s="212" t="n"/>
      <c r="BW111" s="212" t="n"/>
      <c r="BX111" s="212" t="n"/>
      <c r="BY111" s="212" t="n"/>
      <c r="BZ111" s="212" t="n"/>
      <c r="CA111" s="212" t="n"/>
      <c r="CB111" s="212" t="n"/>
      <c r="CC111" s="212" t="n"/>
      <c r="CD111" s="212" t="n"/>
      <c r="CE111" s="212" t="n"/>
      <c r="CF111" s="212" t="n"/>
      <c r="CG111" s="212" t="n"/>
      <c r="CH111" s="212" t="n"/>
      <c r="CI111" s="212" t="n"/>
      <c r="CJ111" s="212" t="n"/>
      <c r="CK111" s="212" t="n"/>
      <c r="CL111" s="212" t="n"/>
      <c r="CM111" s="212" t="n"/>
      <c r="CN111" s="212" t="n"/>
      <c r="CO111" s="212" t="n"/>
      <c r="CP111" s="212" t="n"/>
      <c r="CQ111" s="212" t="n"/>
      <c r="CR111" s="212" t="n"/>
      <c r="CS111" s="212" t="n"/>
      <c r="CT111" s="212" t="n"/>
      <c r="CU111" s="212" t="n"/>
      <c r="CV111" s="212" t="n"/>
      <c r="CW111" s="212" t="n"/>
      <c r="CX111" s="212" t="n"/>
      <c r="CY111" s="212" t="n"/>
      <c r="CZ111" s="212" t="n"/>
      <c r="DA111" s="212" t="n"/>
      <c r="DB111" s="212" t="n"/>
      <c r="DC111" s="212" t="n"/>
      <c r="DD111" s="212" t="n"/>
      <c r="DE111" s="212" t="n"/>
      <c r="DF111" s="212" t="n"/>
      <c r="DG111" s="212" t="n"/>
      <c r="DH111" s="212" t="n"/>
      <c r="DI111" s="212" t="n"/>
      <c r="DJ111" s="212" t="n"/>
      <c r="DK111" s="212" t="n"/>
      <c r="DL111" s="212" t="n"/>
      <c r="DM111" s="212" t="n"/>
      <c r="DN111" s="212" t="n"/>
      <c r="DO111" s="212" t="n"/>
      <c r="DP111" s="212" t="n"/>
      <c r="DQ111" s="212" t="n"/>
      <c r="DR111" s="212" t="n"/>
      <c r="DS111" s="212" t="n"/>
      <c r="DT111" s="212" t="n"/>
      <c r="DU111" s="212" t="n"/>
      <c r="DV111" s="212" t="n"/>
      <c r="DW111" s="212" t="n"/>
      <c r="DX111" s="212" t="n"/>
      <c r="DY111" s="212" t="n"/>
      <c r="DZ111" s="212" t="n"/>
      <c r="EA111" s="212" t="n"/>
      <c r="EB111" s="212" t="n"/>
      <c r="EC111" s="212" t="n"/>
      <c r="ED111" s="212" t="n"/>
      <c r="EE111" s="212" t="n"/>
      <c r="EF111" s="212" t="n"/>
      <c r="EG111" s="212" t="n"/>
      <c r="EH111" s="212" t="n"/>
      <c r="EI111" s="212" t="n"/>
      <c r="EJ111" s="212" t="n"/>
      <c r="EK111" s="212" t="n"/>
      <c r="EL111" s="212" t="n"/>
      <c r="EM111" s="212" t="n"/>
      <c r="EN111" s="212" t="n"/>
      <c r="EO111" s="212" t="n"/>
      <c r="EP111" s="212" t="n"/>
      <c r="EQ111" s="212" t="n"/>
      <c r="ER111" s="212" t="n"/>
      <c r="ES111" s="212" t="n"/>
      <c r="ET111" s="212" t="n"/>
      <c r="EU111" s="212" t="n"/>
      <c r="EV111" s="212" t="n"/>
      <c r="EW111" s="212" t="n"/>
      <c r="EX111" s="212" t="n"/>
      <c r="EY111" s="212" t="n"/>
      <c r="EZ111" s="212" t="n"/>
      <c r="FA111" s="212" t="n"/>
      <c r="FB111" s="212" t="n"/>
      <c r="FC111" s="212" t="n"/>
      <c r="FD111" s="212" t="n"/>
      <c r="FE111" s="212" t="n"/>
      <c r="FF111" s="212" t="n"/>
      <c r="FG111" s="212" t="n"/>
      <c r="FH111" s="212" t="n"/>
      <c r="FI111" s="212" t="n"/>
      <c r="FJ111" s="212" t="n"/>
      <c r="FK111" s="212" t="n"/>
      <c r="FL111" s="212" t="n"/>
      <c r="FM111" s="212" t="n"/>
      <c r="FN111" s="212" t="n"/>
      <c r="FO111" s="212" t="n"/>
      <c r="FP111" s="212" t="n"/>
      <c r="FQ111" s="212" t="n"/>
      <c r="FR111" s="212" t="n"/>
      <c r="FS111" s="212" t="n"/>
      <c r="FT111" s="212" t="n"/>
      <c r="FU111" s="212" t="n"/>
      <c r="FV111" s="212" t="n"/>
      <c r="FW111" s="212" t="n"/>
      <c r="FX111" s="212" t="n"/>
      <c r="FY111" s="212" t="n"/>
      <c r="FZ111" s="212" t="n"/>
      <c r="GA111" s="212" t="n"/>
      <c r="GB111" s="212" t="n"/>
      <c r="GC111" s="212" t="n"/>
      <c r="GD111" s="212" t="n"/>
      <c r="GE111" s="212" t="n"/>
      <c r="GF111" s="212" t="n"/>
      <c r="GG111" s="212" t="n"/>
      <c r="GH111" s="212" t="n"/>
      <c r="GI111" s="212" t="n"/>
      <c r="GJ111" s="212" t="n"/>
      <c r="GK111" s="212" t="n"/>
      <c r="GL111" s="212" t="n"/>
      <c r="GM111" s="212" t="n"/>
      <c r="GN111" s="212" t="n"/>
      <c r="GO111" s="212" t="n"/>
      <c r="GP111" s="212" t="n"/>
      <c r="GQ111" s="212" t="n"/>
      <c r="GR111" s="212" t="n"/>
      <c r="GS111" s="212" t="n"/>
      <c r="GT111" s="212" t="n"/>
      <c r="GU111" s="212" t="n"/>
      <c r="GV111" s="212" t="n"/>
      <c r="GW111" s="212" t="n"/>
      <c r="GX111" s="212" t="n"/>
      <c r="GY111" s="212" t="n"/>
      <c r="GZ111" s="212" t="n"/>
      <c r="HA111" s="212" t="n"/>
      <c r="HB111" s="212" t="n"/>
      <c r="HC111" s="212" t="n"/>
      <c r="HD111" s="212" t="n"/>
      <c r="HE111" s="212" t="n"/>
      <c r="HF111" s="212" t="n"/>
      <c r="HG111" s="212" t="n"/>
      <c r="HH111" s="212" t="n"/>
      <c r="HI111" s="212" t="n"/>
      <c r="HJ111" s="212" t="n"/>
      <c r="HK111" s="212" t="n"/>
      <c r="HL111" s="212" t="n"/>
      <c r="HM111" s="212" t="n"/>
      <c r="HN111" s="212" t="n"/>
      <c r="HO111" s="212" t="n"/>
      <c r="HP111" s="212" t="n"/>
      <c r="HQ111" s="212" t="n"/>
      <c r="HR111" s="212" t="n"/>
      <c r="HS111" s="212" t="n"/>
      <c r="HT111" s="212" t="n"/>
      <c r="HU111" s="212" t="n"/>
      <c r="HV111" s="212" t="n"/>
      <c r="HW111" s="212" t="n"/>
      <c r="HX111" s="212" t="n"/>
      <c r="HY111" s="212" t="n"/>
      <c r="HZ111" s="212" t="n"/>
      <c r="IA111" s="212" t="n"/>
      <c r="IB111" s="212" t="n"/>
      <c r="IC111" s="212" t="n"/>
      <c r="ID111" s="212" t="n"/>
      <c r="IE111" s="212" t="n"/>
      <c r="IF111" s="212" t="n"/>
      <c r="IG111" s="212" t="n"/>
      <c r="IH111" s="212" t="n"/>
      <c r="II111" s="212" t="n"/>
      <c r="IJ111" s="212" t="n"/>
      <c r="IK111" s="212" t="n"/>
      <c r="IL111" s="212" t="n"/>
      <c r="IM111" s="212" t="n"/>
      <c r="IN111" s="212" t="n"/>
      <c r="IO111" s="212" t="n"/>
      <c r="IP111" s="212" t="n"/>
      <c r="IQ111" s="212" t="n"/>
      <c r="IR111" s="212" t="n"/>
      <c r="IS111" s="212" t="n"/>
      <c r="IT111" s="212" t="n"/>
      <c r="IU111" s="212" t="n"/>
      <c r="IV111" s="212" t="n"/>
      <c r="IW111" s="212" t="n"/>
      <c r="IX111" s="212" t="n"/>
      <c r="IY111" s="212" t="n"/>
      <c r="IZ111" s="212" t="n"/>
      <c r="JA111" s="212" t="n"/>
      <c r="JB111" s="212" t="n"/>
      <c r="JC111" s="212" t="n"/>
      <c r="JD111" s="212" t="n"/>
      <c r="JE111" s="212" t="n"/>
      <c r="JF111" s="212" t="n"/>
      <c r="JG111" s="212" t="n"/>
      <c r="JH111" s="212" t="n"/>
      <c r="JI111" s="212" t="n"/>
      <c r="JJ111" s="212" t="n"/>
      <c r="JK111" s="212" t="n"/>
      <c r="JL111" s="212" t="n"/>
      <c r="JM111" s="212" t="n"/>
      <c r="JN111" s="212" t="n"/>
      <c r="JO111" s="212" t="n"/>
      <c r="JP111" s="212" t="n"/>
      <c r="JQ111" s="212" t="n"/>
      <c r="JR111" s="212" t="n"/>
      <c r="JS111" s="212" t="n"/>
      <c r="JT111" s="212" t="n"/>
      <c r="JU111" s="212" t="n"/>
      <c r="JV111" s="212" t="n"/>
      <c r="JW111" s="212" t="n"/>
      <c r="JX111" s="212" t="n"/>
      <c r="JY111" s="212" t="n"/>
      <c r="JZ111" s="212" t="n"/>
      <c r="KA111" s="212" t="n"/>
      <c r="KB111" s="212" t="n"/>
      <c r="KC111" s="212" t="n"/>
      <c r="KD111" s="212" t="n"/>
      <c r="KE111" s="212" t="n"/>
      <c r="KF111" s="212" t="n"/>
      <c r="KG111" s="212" t="n"/>
      <c r="KH111" s="212" t="n"/>
      <c r="KI111" s="212" t="n"/>
      <c r="KJ111" s="212" t="n"/>
      <c r="KK111" s="212" t="n"/>
      <c r="KL111" s="212" t="n"/>
      <c r="KM111" s="212" t="n"/>
      <c r="KN111" s="212" t="n"/>
      <c r="KO111" s="212" t="n"/>
      <c r="KP111" s="212" t="n"/>
      <c r="KQ111" s="212" t="n"/>
      <c r="KR111" s="212" t="n"/>
      <c r="KS111" s="212" t="n"/>
      <c r="KT111" s="212" t="n"/>
      <c r="KU111" s="212" t="n"/>
      <c r="KV111" s="212" t="n"/>
      <c r="KW111" s="212" t="n"/>
      <c r="KX111" s="212" t="n"/>
      <c r="KY111" s="212" t="n"/>
      <c r="KZ111" s="212" t="n"/>
      <c r="LA111" s="212" t="n"/>
      <c r="LB111" s="212" t="n"/>
      <c r="LC111" s="212" t="n"/>
      <c r="LD111" s="212" t="n"/>
      <c r="LE111" s="212" t="n"/>
      <c r="LF111" s="212" t="n"/>
      <c r="LG111" s="212" t="n"/>
      <c r="LH111" s="212" t="n"/>
      <c r="LI111" s="212" t="n"/>
      <c r="LJ111" s="212" t="n"/>
      <c r="LK111" s="212" t="n"/>
      <c r="LL111" s="212" t="n"/>
      <c r="LM111" s="212" t="n"/>
      <c r="LN111" s="212" t="n"/>
      <c r="LO111" s="212" t="n"/>
      <c r="LP111" s="212" t="n"/>
      <c r="LQ111" s="212" t="n"/>
      <c r="LR111" s="212" t="n"/>
      <c r="LS111" s="212" t="n"/>
      <c r="LT111" s="212" t="n"/>
      <c r="LU111" s="212" t="n"/>
      <c r="LV111" s="212" t="n"/>
      <c r="LW111" s="212" t="n"/>
      <c r="LX111" s="212" t="n"/>
      <c r="LY111" s="212" t="n"/>
      <c r="LZ111" s="212" t="n"/>
      <c r="MA111" s="212" t="n"/>
      <c r="MB111" s="212" t="n"/>
      <c r="MC111" s="212" t="n"/>
      <c r="MD111" s="212" t="n"/>
      <c r="ME111" s="212" t="n"/>
      <c r="MF111" s="212" t="n"/>
      <c r="MG111" s="212" t="n"/>
      <c r="MH111" s="212" t="n"/>
      <c r="MI111" s="212" t="n"/>
      <c r="MJ111" s="212" t="n"/>
      <c r="MK111" s="212" t="n"/>
      <c r="ML111" s="212" t="n"/>
      <c r="MM111" s="212" t="n"/>
      <c r="MN111" s="212" t="n"/>
      <c r="MO111" s="212" t="n"/>
      <c r="MP111" s="212" t="n"/>
      <c r="MQ111" s="212" t="n"/>
      <c r="MR111" s="212" t="n"/>
      <c r="MS111" s="212" t="n"/>
      <c r="MT111" s="212" t="n"/>
      <c r="MU111" s="212" t="n"/>
      <c r="MV111" s="212" t="n"/>
      <c r="MW111" s="212" t="n"/>
      <c r="MX111" s="212" t="n"/>
      <c r="MY111" s="212" t="n"/>
      <c r="MZ111" s="212" t="n"/>
      <c r="NA111" s="212" t="n"/>
      <c r="NB111" s="212" t="n"/>
      <c r="NC111" s="212" t="n"/>
      <c r="ND111" s="212" t="n"/>
      <c r="NE111" s="212" t="n"/>
      <c r="NF111" s="212" t="n"/>
      <c r="NG111" s="212" t="n"/>
      <c r="NH111" s="212" t="n"/>
      <c r="NI111" s="212" t="n"/>
      <c r="NJ111" s="212" t="n"/>
      <c r="NK111" s="212" t="n"/>
      <c r="NL111" s="212" t="n"/>
      <c r="NM111" s="212" t="n"/>
      <c r="NN111" s="212" t="n"/>
      <c r="NO111" s="212" t="n"/>
      <c r="NP111" s="212" t="n"/>
      <c r="NQ111" s="212" t="n"/>
      <c r="NR111" s="212" t="n"/>
      <c r="NS111" s="212" t="n"/>
      <c r="NT111" s="212" t="n"/>
      <c r="NU111" s="212" t="n"/>
      <c r="NV111" s="212" t="n"/>
      <c r="NW111" s="212" t="n"/>
      <c r="NX111" s="212" t="n"/>
      <c r="NY111" s="212" t="n"/>
      <c r="NZ111" s="212" t="n"/>
      <c r="OA111" s="212" t="n"/>
      <c r="OB111" s="212" t="n"/>
      <c r="OC111" s="212" t="n"/>
      <c r="OD111" s="212" t="n"/>
      <c r="OE111" s="212" t="n"/>
      <c r="OF111" s="212" t="n"/>
      <c r="OG111" s="212" t="n"/>
      <c r="OH111" s="212" t="n"/>
      <c r="OI111" s="212" t="n"/>
      <c r="OJ111" s="212" t="n"/>
      <c r="OK111" s="212" t="n"/>
      <c r="OL111" s="212" t="n"/>
      <c r="OM111" s="212" t="n"/>
      <c r="ON111" s="212" t="n"/>
      <c r="OO111" s="212" t="n"/>
      <c r="OP111" s="212" t="n"/>
      <c r="OQ111" s="212" t="n"/>
      <c r="OR111" s="212" t="n"/>
      <c r="OS111" s="212" t="n"/>
      <c r="OT111" s="212" t="n"/>
      <c r="OU111" s="212" t="n"/>
      <c r="OV111" s="212" t="n"/>
      <c r="OW111" s="212" t="n"/>
      <c r="OX111" s="212" t="n"/>
      <c r="OY111" s="212" t="n"/>
      <c r="OZ111" s="212" t="n"/>
      <c r="PA111" s="212" t="n"/>
      <c r="PB111" s="212" t="n"/>
      <c r="PC111" s="212" t="n"/>
      <c r="PD111" s="212" t="n"/>
      <c r="PE111" s="212" t="n"/>
      <c r="PF111" s="212" t="n"/>
      <c r="PG111" s="212" t="n"/>
      <c r="PH111" s="212" t="n"/>
      <c r="PI111" s="212" t="n"/>
      <c r="PJ111" s="212" t="n"/>
      <c r="PK111" s="212" t="n"/>
      <c r="PL111" s="212" t="n"/>
      <c r="PM111" s="212" t="n"/>
      <c r="PN111" s="212" t="n"/>
      <c r="PO111" s="212" t="n"/>
      <c r="PP111" s="212" t="n"/>
      <c r="PQ111" s="212" t="n"/>
      <c r="PR111" s="212" t="n"/>
      <c r="PS111" s="212" t="n"/>
      <c r="PT111" s="212" t="n"/>
      <c r="PU111" s="212" t="n"/>
      <c r="PV111" s="212" t="n"/>
      <c r="PW111" s="212" t="n"/>
      <c r="PX111" s="212" t="n"/>
      <c r="PY111" s="212" t="n"/>
      <c r="PZ111" s="212" t="n"/>
      <c r="QA111" s="212" t="n"/>
      <c r="QB111" s="212" t="n"/>
      <c r="QC111" s="212" t="n"/>
      <c r="QD111" s="212" t="n"/>
      <c r="QE111" s="212" t="n"/>
      <c r="QF111" s="212" t="n"/>
      <c r="QG111" s="212" t="n"/>
      <c r="QH111" s="212" t="n"/>
      <c r="QI111" s="212" t="n"/>
      <c r="QJ111" s="212" t="n"/>
      <c r="QK111" s="212" t="n"/>
      <c r="QL111" s="212" t="n"/>
      <c r="QM111" s="212" t="n"/>
      <c r="QN111" s="212" t="n"/>
      <c r="QO111" s="212" t="n"/>
      <c r="QP111" s="212" t="n"/>
      <c r="QQ111" s="212" t="n"/>
      <c r="QR111" s="212" t="n"/>
      <c r="QS111" s="212" t="n"/>
      <c r="QT111" s="212" t="n"/>
      <c r="QU111" s="212" t="n"/>
      <c r="QV111" s="212" t="n"/>
      <c r="QW111" s="212" t="n"/>
      <c r="QX111" s="212" t="n"/>
      <c r="QY111" s="212" t="n"/>
      <c r="QZ111" s="212" t="n"/>
      <c r="RA111" s="212" t="n"/>
      <c r="RB111" s="212" t="n"/>
      <c r="RC111" s="212" t="n"/>
      <c r="RD111" s="212" t="n"/>
      <c r="RE111" s="212" t="n"/>
      <c r="RF111" s="212" t="n"/>
      <c r="RG111" s="212" t="n"/>
      <c r="RH111" s="212" t="n"/>
      <c r="RI111" s="212" t="n"/>
      <c r="RJ111" s="212" t="n"/>
      <c r="RK111" s="212" t="n"/>
      <c r="RL111" s="212" t="n"/>
      <c r="RM111" s="212" t="n"/>
      <c r="RN111" s="212" t="n"/>
      <c r="RO111" s="212" t="n"/>
      <c r="RP111" s="212" t="n"/>
      <c r="RQ111" s="212" t="n"/>
      <c r="RR111" s="212" t="n"/>
      <c r="RS111" s="212" t="n"/>
      <c r="RT111" s="212" t="n"/>
      <c r="RU111" s="212" t="n"/>
      <c r="RV111" s="212" t="n"/>
      <c r="RW111" s="212" t="n"/>
      <c r="RX111" s="212" t="n"/>
      <c r="RY111" s="212" t="n"/>
      <c r="RZ111" s="212" t="n"/>
      <c r="SA111" s="212" t="n"/>
      <c r="SB111" s="212" t="n"/>
      <c r="SC111" s="212" t="n"/>
      <c r="SD111" s="212" t="n"/>
      <c r="SE111" s="212" t="n"/>
      <c r="SF111" s="212" t="n"/>
      <c r="SG111" s="212" t="n"/>
      <c r="SH111" s="212" t="n"/>
      <c r="SI111" s="212" t="n"/>
      <c r="SJ111" s="212" t="n"/>
      <c r="SK111" s="212" t="n"/>
      <c r="SL111" s="212" t="n"/>
      <c r="SM111" s="212" t="n"/>
      <c r="SN111" s="212" t="n"/>
      <c r="SO111" s="212" t="n"/>
      <c r="SP111" s="212" t="n"/>
      <c r="SQ111" s="212" t="n"/>
      <c r="SR111" s="212" t="n"/>
      <c r="SS111" s="212" t="n"/>
      <c r="ST111" s="212" t="n"/>
      <c r="SU111" s="212" t="n"/>
      <c r="SV111" s="212" t="n"/>
    </row>
    <row r="112">
      <c r="B112" s="209" t="n"/>
      <c r="C112" s="209" t="n"/>
      <c r="D112" s="209" t="n"/>
      <c r="E112" s="209" t="n"/>
      <c r="F112" s="209">
        <f>IF(TRIM(D112&amp;E112)="","",TRIM(D112)&amp;" "&amp;TRIM(E112))</f>
        <v/>
      </c>
      <c r="G112" s="209" t="n"/>
      <c r="H112" s="209" t="n"/>
      <c r="I112" s="209" t="n"/>
      <c r="J112" s="209" t="n"/>
      <c r="K112" s="209" t="n"/>
      <c r="L112" s="209" t="n"/>
      <c r="M112" s="209" t="n"/>
      <c r="N112" s="209" t="n"/>
      <c r="O112" s="209" t="n"/>
      <c r="P112" s="209" t="n"/>
      <c r="Q112" s="209" t="n"/>
      <c r="R112" s="209" t="n"/>
      <c r="S112" s="212" t="n"/>
      <c r="T112" s="212" t="n"/>
      <c r="U112" s="212" t="n"/>
      <c r="V112" s="212" t="n"/>
      <c r="W112" s="212" t="n"/>
      <c r="X112" s="212" t="n"/>
      <c r="Y112" s="212" t="n"/>
      <c r="Z112" s="212" t="n"/>
      <c r="AA112" s="212" t="n"/>
      <c r="AB112" s="212" t="n"/>
      <c r="AC112" s="212" t="n"/>
      <c r="AD112" s="212" t="n"/>
      <c r="AE112" s="212" t="n"/>
      <c r="AF112" s="212" t="n"/>
      <c r="AG112" s="212" t="n"/>
      <c r="AH112" s="212" t="n"/>
      <c r="AI112" s="212" t="n"/>
      <c r="AJ112" s="212" t="n"/>
      <c r="AK112" s="212" t="n"/>
      <c r="AL112" s="212" t="n"/>
      <c r="AM112" s="212" t="n"/>
      <c r="AN112" s="212" t="n"/>
      <c r="AO112" s="212" t="n"/>
      <c r="AP112" s="212" t="n"/>
      <c r="AQ112" s="212" t="n"/>
      <c r="AR112" s="212" t="n"/>
      <c r="AS112" s="212" t="n"/>
      <c r="AT112" s="212" t="n"/>
      <c r="AU112" s="212" t="n"/>
      <c r="AV112" s="212" t="n"/>
      <c r="AW112" s="212" t="n"/>
      <c r="AX112" s="212" t="n"/>
      <c r="AY112" s="212" t="n"/>
      <c r="AZ112" s="212" t="n"/>
      <c r="BA112" s="212" t="n"/>
      <c r="BB112" s="212" t="n"/>
      <c r="BC112" s="212" t="n"/>
      <c r="BD112" s="212" t="n"/>
      <c r="BE112" s="212" t="n"/>
      <c r="BF112" s="212" t="n"/>
      <c r="BG112" s="212" t="n"/>
      <c r="BH112" s="212" t="n"/>
      <c r="BI112" s="212" t="n"/>
      <c r="BJ112" s="212" t="n"/>
      <c r="BK112" s="212" t="n"/>
      <c r="BL112" s="212" t="n"/>
      <c r="BM112" s="212" t="n"/>
      <c r="BN112" s="212" t="n"/>
      <c r="BO112" s="212" t="n"/>
      <c r="BP112" s="212" t="n"/>
      <c r="BQ112" s="212" t="n"/>
      <c r="BR112" s="212" t="n"/>
      <c r="BS112" s="212" t="n"/>
      <c r="BT112" s="212" t="n"/>
      <c r="BU112" s="212" t="n"/>
      <c r="BV112" s="212" t="n"/>
      <c r="BW112" s="212" t="n"/>
      <c r="BX112" s="212" t="n"/>
      <c r="BY112" s="212" t="n"/>
      <c r="BZ112" s="212" t="n"/>
      <c r="CA112" s="212" t="n"/>
      <c r="CB112" s="212" t="n"/>
      <c r="CC112" s="212" t="n"/>
      <c r="CD112" s="212" t="n"/>
      <c r="CE112" s="212" t="n"/>
      <c r="CF112" s="212" t="n"/>
      <c r="CG112" s="212" t="n"/>
      <c r="CH112" s="212" t="n"/>
      <c r="CI112" s="212" t="n"/>
      <c r="CJ112" s="212" t="n"/>
      <c r="CK112" s="212" t="n"/>
      <c r="CL112" s="212" t="n"/>
      <c r="CM112" s="212" t="n"/>
      <c r="CN112" s="212" t="n"/>
      <c r="CO112" s="212" t="n"/>
      <c r="CP112" s="212" t="n"/>
      <c r="CQ112" s="212" t="n"/>
      <c r="CR112" s="212" t="n"/>
      <c r="CS112" s="212" t="n"/>
      <c r="CT112" s="212" t="n"/>
      <c r="CU112" s="212" t="n"/>
      <c r="CV112" s="212" t="n"/>
      <c r="CW112" s="212" t="n"/>
      <c r="CX112" s="212" t="n"/>
      <c r="CY112" s="212" t="n"/>
      <c r="CZ112" s="212" t="n"/>
      <c r="DA112" s="212" t="n"/>
      <c r="DB112" s="212" t="n"/>
      <c r="DC112" s="212" t="n"/>
      <c r="DD112" s="212" t="n"/>
      <c r="DE112" s="212" t="n"/>
      <c r="DF112" s="212" t="n"/>
      <c r="DG112" s="212" t="n"/>
      <c r="DH112" s="212" t="n"/>
      <c r="DI112" s="212" t="n"/>
      <c r="DJ112" s="212" t="n"/>
      <c r="DK112" s="212" t="n"/>
      <c r="DL112" s="212" t="n"/>
      <c r="DM112" s="212" t="n"/>
      <c r="DN112" s="212" t="n"/>
      <c r="DO112" s="212" t="n"/>
      <c r="DP112" s="212" t="n"/>
      <c r="DQ112" s="212" t="n"/>
      <c r="DR112" s="212" t="n"/>
      <c r="DS112" s="212" t="n"/>
      <c r="DT112" s="212" t="n"/>
      <c r="DU112" s="212" t="n"/>
      <c r="DV112" s="212" t="n"/>
      <c r="DW112" s="212" t="n"/>
      <c r="DX112" s="212" t="n"/>
      <c r="DY112" s="212" t="n"/>
      <c r="DZ112" s="212" t="n"/>
      <c r="EA112" s="212" t="n"/>
      <c r="EB112" s="212" t="n"/>
      <c r="EC112" s="212" t="n"/>
      <c r="ED112" s="212" t="n"/>
      <c r="EE112" s="212" t="n"/>
      <c r="EF112" s="212" t="n"/>
      <c r="EG112" s="212" t="n"/>
      <c r="EH112" s="212" t="n"/>
      <c r="EI112" s="212" t="n"/>
      <c r="EJ112" s="212" t="n"/>
      <c r="EK112" s="212" t="n"/>
      <c r="EL112" s="212" t="n"/>
      <c r="EM112" s="212" t="n"/>
      <c r="EN112" s="212" t="n"/>
      <c r="EO112" s="212" t="n"/>
      <c r="EP112" s="212" t="n"/>
      <c r="EQ112" s="212" t="n"/>
      <c r="ER112" s="212" t="n"/>
      <c r="ES112" s="212" t="n"/>
      <c r="ET112" s="212" t="n"/>
      <c r="EU112" s="212" t="n"/>
      <c r="EV112" s="212" t="n"/>
      <c r="EW112" s="212" t="n"/>
      <c r="EX112" s="212" t="n"/>
      <c r="EY112" s="212" t="n"/>
      <c r="EZ112" s="212" t="n"/>
      <c r="FA112" s="212" t="n"/>
      <c r="FB112" s="212" t="n"/>
      <c r="FC112" s="212" t="n"/>
      <c r="FD112" s="212" t="n"/>
      <c r="FE112" s="212" t="n"/>
      <c r="FF112" s="212" t="n"/>
      <c r="FG112" s="212" t="n"/>
      <c r="FH112" s="212" t="n"/>
      <c r="FI112" s="212" t="n"/>
      <c r="FJ112" s="212" t="n"/>
      <c r="FK112" s="212" t="n"/>
      <c r="FL112" s="212" t="n"/>
      <c r="FM112" s="212" t="n"/>
      <c r="FN112" s="212" t="n"/>
      <c r="FO112" s="212" t="n"/>
      <c r="FP112" s="212" t="n"/>
      <c r="FQ112" s="212" t="n"/>
      <c r="FR112" s="212" t="n"/>
      <c r="FS112" s="212" t="n"/>
      <c r="FT112" s="212" t="n"/>
      <c r="FU112" s="212" t="n"/>
      <c r="FV112" s="212" t="n"/>
      <c r="FW112" s="212" t="n"/>
      <c r="FX112" s="212" t="n"/>
      <c r="FY112" s="212" t="n"/>
      <c r="FZ112" s="212" t="n"/>
      <c r="GA112" s="212" t="n"/>
      <c r="GB112" s="212" t="n"/>
      <c r="GC112" s="212" t="n"/>
      <c r="GD112" s="212" t="n"/>
      <c r="GE112" s="212" t="n"/>
      <c r="GF112" s="212" t="n"/>
      <c r="GG112" s="212" t="n"/>
      <c r="GH112" s="212" t="n"/>
      <c r="GI112" s="212" t="n"/>
      <c r="GJ112" s="212" t="n"/>
      <c r="GK112" s="212" t="n"/>
      <c r="GL112" s="212" t="n"/>
      <c r="GM112" s="212" t="n"/>
      <c r="GN112" s="212" t="n"/>
      <c r="GO112" s="212" t="n"/>
      <c r="GP112" s="212" t="n"/>
      <c r="GQ112" s="212" t="n"/>
      <c r="GR112" s="212" t="n"/>
      <c r="GS112" s="212" t="n"/>
      <c r="GT112" s="212" t="n"/>
      <c r="GU112" s="212" t="n"/>
      <c r="GV112" s="212" t="n"/>
      <c r="GW112" s="212" t="n"/>
      <c r="GX112" s="212" t="n"/>
      <c r="GY112" s="212" t="n"/>
      <c r="GZ112" s="212" t="n"/>
      <c r="HA112" s="212" t="n"/>
      <c r="HB112" s="212" t="n"/>
      <c r="HC112" s="212" t="n"/>
      <c r="HD112" s="212" t="n"/>
      <c r="HE112" s="212" t="n"/>
      <c r="HF112" s="212" t="n"/>
      <c r="HG112" s="212" t="n"/>
      <c r="HH112" s="212" t="n"/>
      <c r="HI112" s="212" t="n"/>
      <c r="HJ112" s="212" t="n"/>
      <c r="HK112" s="212" t="n"/>
      <c r="HL112" s="212" t="n"/>
      <c r="HM112" s="212" t="n"/>
      <c r="HN112" s="212" t="n"/>
      <c r="HO112" s="212" t="n"/>
      <c r="HP112" s="212" t="n"/>
      <c r="HQ112" s="212" t="n"/>
      <c r="HR112" s="212" t="n"/>
      <c r="HS112" s="212" t="n"/>
      <c r="HT112" s="212" t="n"/>
      <c r="HU112" s="212" t="n"/>
      <c r="HV112" s="212" t="n"/>
      <c r="HW112" s="212" t="n"/>
      <c r="HX112" s="212" t="n"/>
      <c r="HY112" s="212" t="n"/>
      <c r="HZ112" s="212" t="n"/>
      <c r="IA112" s="212" t="n"/>
      <c r="IB112" s="212" t="n"/>
      <c r="IC112" s="212" t="n"/>
      <c r="ID112" s="212" t="n"/>
      <c r="IE112" s="212" t="n"/>
      <c r="IF112" s="212" t="n"/>
      <c r="IG112" s="212" t="n"/>
      <c r="IH112" s="212" t="n"/>
      <c r="II112" s="212" t="n"/>
      <c r="IJ112" s="212" t="n"/>
      <c r="IK112" s="212" t="n"/>
      <c r="IL112" s="212" t="n"/>
      <c r="IM112" s="212" t="n"/>
      <c r="IN112" s="212" t="n"/>
      <c r="IO112" s="212" t="n"/>
      <c r="IP112" s="212" t="n"/>
      <c r="IQ112" s="212" t="n"/>
      <c r="IR112" s="212" t="n"/>
      <c r="IS112" s="212" t="n"/>
      <c r="IT112" s="212" t="n"/>
      <c r="IU112" s="212" t="n"/>
      <c r="IV112" s="212" t="n"/>
      <c r="IW112" s="212" t="n"/>
      <c r="IX112" s="212" t="n"/>
      <c r="IY112" s="212" t="n"/>
      <c r="IZ112" s="212" t="n"/>
      <c r="JA112" s="212" t="n"/>
      <c r="JB112" s="212" t="n"/>
      <c r="JC112" s="212" t="n"/>
      <c r="JD112" s="212" t="n"/>
      <c r="JE112" s="212" t="n"/>
      <c r="JF112" s="212" t="n"/>
      <c r="JG112" s="212" t="n"/>
      <c r="JH112" s="212" t="n"/>
      <c r="JI112" s="212" t="n"/>
      <c r="JJ112" s="212" t="n"/>
      <c r="JK112" s="212" t="n"/>
      <c r="JL112" s="212" t="n"/>
      <c r="JM112" s="212" t="n"/>
      <c r="JN112" s="212" t="n"/>
      <c r="JO112" s="212" t="n"/>
      <c r="JP112" s="212" t="n"/>
      <c r="JQ112" s="212" t="n"/>
      <c r="JR112" s="212" t="n"/>
      <c r="JS112" s="212" t="n"/>
      <c r="JT112" s="212" t="n"/>
      <c r="JU112" s="212" t="n"/>
      <c r="JV112" s="212" t="n"/>
      <c r="JW112" s="212" t="n"/>
      <c r="JX112" s="212" t="n"/>
      <c r="JY112" s="212" t="n"/>
      <c r="JZ112" s="212" t="n"/>
      <c r="KA112" s="212" t="n"/>
      <c r="KB112" s="212" t="n"/>
      <c r="KC112" s="212" t="n"/>
      <c r="KD112" s="212" t="n"/>
      <c r="KE112" s="212" t="n"/>
      <c r="KF112" s="212" t="n"/>
      <c r="KG112" s="212" t="n"/>
      <c r="KH112" s="212" t="n"/>
      <c r="KI112" s="212" t="n"/>
      <c r="KJ112" s="212" t="n"/>
      <c r="KK112" s="212" t="n"/>
      <c r="KL112" s="212" t="n"/>
      <c r="KM112" s="212" t="n"/>
      <c r="KN112" s="212" t="n"/>
      <c r="KO112" s="212" t="n"/>
      <c r="KP112" s="212" t="n"/>
      <c r="KQ112" s="212" t="n"/>
      <c r="KR112" s="212" t="n"/>
      <c r="KS112" s="212" t="n"/>
      <c r="KT112" s="212" t="n"/>
      <c r="KU112" s="212" t="n"/>
      <c r="KV112" s="212" t="n"/>
      <c r="KW112" s="212" t="n"/>
      <c r="KX112" s="212" t="n"/>
      <c r="KY112" s="212" t="n"/>
      <c r="KZ112" s="212" t="n"/>
      <c r="LA112" s="212" t="n"/>
      <c r="LB112" s="212" t="n"/>
      <c r="LC112" s="212" t="n"/>
      <c r="LD112" s="212" t="n"/>
      <c r="LE112" s="212" t="n"/>
      <c r="LF112" s="212" t="n"/>
      <c r="LG112" s="212" t="n"/>
      <c r="LH112" s="212" t="n"/>
      <c r="LI112" s="212" t="n"/>
      <c r="LJ112" s="212" t="n"/>
      <c r="LK112" s="212" t="n"/>
      <c r="LL112" s="212" t="n"/>
      <c r="LM112" s="212" t="n"/>
      <c r="LN112" s="212" t="n"/>
      <c r="LO112" s="212" t="n"/>
      <c r="LP112" s="212" t="n"/>
      <c r="LQ112" s="212" t="n"/>
      <c r="LR112" s="212" t="n"/>
      <c r="LS112" s="212" t="n"/>
      <c r="LT112" s="212" t="n"/>
      <c r="LU112" s="212" t="n"/>
      <c r="LV112" s="212" t="n"/>
      <c r="LW112" s="212" t="n"/>
      <c r="LX112" s="212" t="n"/>
      <c r="LY112" s="212" t="n"/>
      <c r="LZ112" s="212" t="n"/>
      <c r="MA112" s="212" t="n"/>
      <c r="MB112" s="212" t="n"/>
      <c r="MC112" s="212" t="n"/>
      <c r="MD112" s="212" t="n"/>
      <c r="ME112" s="212" t="n"/>
      <c r="MF112" s="212" t="n"/>
      <c r="MG112" s="212" t="n"/>
      <c r="MH112" s="212" t="n"/>
      <c r="MI112" s="212" t="n"/>
      <c r="MJ112" s="212" t="n"/>
      <c r="MK112" s="212" t="n"/>
      <c r="ML112" s="212" t="n"/>
      <c r="MM112" s="212" t="n"/>
      <c r="MN112" s="212" t="n"/>
      <c r="MO112" s="212" t="n"/>
      <c r="MP112" s="212" t="n"/>
      <c r="MQ112" s="212" t="n"/>
      <c r="MR112" s="212" t="n"/>
      <c r="MS112" s="212" t="n"/>
      <c r="MT112" s="212" t="n"/>
      <c r="MU112" s="212" t="n"/>
      <c r="MV112" s="212" t="n"/>
      <c r="MW112" s="212" t="n"/>
      <c r="MX112" s="212" t="n"/>
      <c r="MY112" s="212" t="n"/>
      <c r="MZ112" s="212" t="n"/>
      <c r="NA112" s="212" t="n"/>
      <c r="NB112" s="212" t="n"/>
      <c r="NC112" s="212" t="n"/>
      <c r="ND112" s="212" t="n"/>
      <c r="NE112" s="212" t="n"/>
      <c r="NF112" s="212" t="n"/>
      <c r="NG112" s="212" t="n"/>
      <c r="NH112" s="212" t="n"/>
      <c r="NI112" s="212" t="n"/>
      <c r="NJ112" s="212" t="n"/>
      <c r="NK112" s="212" t="n"/>
      <c r="NL112" s="212" t="n"/>
      <c r="NM112" s="212" t="n"/>
      <c r="NN112" s="212" t="n"/>
      <c r="NO112" s="212" t="n"/>
      <c r="NP112" s="212" t="n"/>
      <c r="NQ112" s="212" t="n"/>
      <c r="NR112" s="212" t="n"/>
      <c r="NS112" s="212" t="n"/>
      <c r="NT112" s="212" t="n"/>
      <c r="NU112" s="212" t="n"/>
      <c r="NV112" s="212" t="n"/>
      <c r="NW112" s="212" t="n"/>
      <c r="NX112" s="212" t="n"/>
      <c r="NY112" s="212" t="n"/>
      <c r="NZ112" s="212" t="n"/>
      <c r="OA112" s="212" t="n"/>
      <c r="OB112" s="212" t="n"/>
      <c r="OC112" s="212" t="n"/>
      <c r="OD112" s="212" t="n"/>
      <c r="OE112" s="212" t="n"/>
      <c r="OF112" s="212" t="n"/>
      <c r="OG112" s="212" t="n"/>
      <c r="OH112" s="212" t="n"/>
      <c r="OI112" s="212" t="n"/>
      <c r="OJ112" s="212" t="n"/>
      <c r="OK112" s="212" t="n"/>
      <c r="OL112" s="212" t="n"/>
      <c r="OM112" s="212" t="n"/>
      <c r="ON112" s="212" t="n"/>
      <c r="OO112" s="212" t="n"/>
      <c r="OP112" s="212" t="n"/>
      <c r="OQ112" s="212" t="n"/>
      <c r="OR112" s="212" t="n"/>
      <c r="OS112" s="212" t="n"/>
      <c r="OT112" s="212" t="n"/>
      <c r="OU112" s="212" t="n"/>
      <c r="OV112" s="212" t="n"/>
      <c r="OW112" s="212" t="n"/>
      <c r="OX112" s="212" t="n"/>
      <c r="OY112" s="212" t="n"/>
      <c r="OZ112" s="212" t="n"/>
      <c r="PA112" s="212" t="n"/>
      <c r="PB112" s="212" t="n"/>
      <c r="PC112" s="212" t="n"/>
      <c r="PD112" s="212" t="n"/>
      <c r="PE112" s="212" t="n"/>
      <c r="PF112" s="212" t="n"/>
      <c r="PG112" s="212" t="n"/>
      <c r="PH112" s="212" t="n"/>
      <c r="PI112" s="212" t="n"/>
      <c r="PJ112" s="212" t="n"/>
      <c r="PK112" s="212" t="n"/>
      <c r="PL112" s="212" t="n"/>
      <c r="PM112" s="212" t="n"/>
      <c r="PN112" s="212" t="n"/>
      <c r="PO112" s="212" t="n"/>
      <c r="PP112" s="212" t="n"/>
      <c r="PQ112" s="212" t="n"/>
      <c r="PR112" s="212" t="n"/>
      <c r="PS112" s="212" t="n"/>
      <c r="PT112" s="212" t="n"/>
      <c r="PU112" s="212" t="n"/>
      <c r="PV112" s="212" t="n"/>
      <c r="PW112" s="212" t="n"/>
      <c r="PX112" s="212" t="n"/>
      <c r="PY112" s="212" t="n"/>
      <c r="PZ112" s="212" t="n"/>
      <c r="QA112" s="212" t="n"/>
      <c r="QB112" s="212" t="n"/>
      <c r="QC112" s="212" t="n"/>
      <c r="QD112" s="212" t="n"/>
      <c r="QE112" s="212" t="n"/>
      <c r="QF112" s="212" t="n"/>
      <c r="QG112" s="212" t="n"/>
      <c r="QH112" s="212" t="n"/>
      <c r="QI112" s="212" t="n"/>
      <c r="QJ112" s="212" t="n"/>
      <c r="QK112" s="212" t="n"/>
      <c r="QL112" s="212" t="n"/>
      <c r="QM112" s="212" t="n"/>
      <c r="QN112" s="212" t="n"/>
      <c r="QO112" s="212" t="n"/>
      <c r="QP112" s="212" t="n"/>
      <c r="QQ112" s="212" t="n"/>
      <c r="QR112" s="212" t="n"/>
      <c r="QS112" s="212" t="n"/>
      <c r="QT112" s="212" t="n"/>
      <c r="QU112" s="212" t="n"/>
      <c r="QV112" s="212" t="n"/>
      <c r="QW112" s="212" t="n"/>
      <c r="QX112" s="212" t="n"/>
      <c r="QY112" s="212" t="n"/>
      <c r="QZ112" s="212" t="n"/>
      <c r="RA112" s="212" t="n"/>
      <c r="RB112" s="212" t="n"/>
      <c r="RC112" s="212" t="n"/>
      <c r="RD112" s="212" t="n"/>
      <c r="RE112" s="212" t="n"/>
      <c r="RF112" s="212" t="n"/>
      <c r="RG112" s="212" t="n"/>
      <c r="RH112" s="212" t="n"/>
      <c r="RI112" s="212" t="n"/>
      <c r="RJ112" s="212" t="n"/>
      <c r="RK112" s="212" t="n"/>
      <c r="RL112" s="212" t="n"/>
      <c r="RM112" s="212" t="n"/>
      <c r="RN112" s="212" t="n"/>
      <c r="RO112" s="212" t="n"/>
      <c r="RP112" s="212" t="n"/>
      <c r="RQ112" s="212" t="n"/>
      <c r="RR112" s="212" t="n"/>
      <c r="RS112" s="212" t="n"/>
      <c r="RT112" s="212" t="n"/>
      <c r="RU112" s="212" t="n"/>
      <c r="RV112" s="212" t="n"/>
      <c r="RW112" s="212" t="n"/>
      <c r="RX112" s="212" t="n"/>
      <c r="RY112" s="212" t="n"/>
      <c r="RZ112" s="212" t="n"/>
      <c r="SA112" s="212" t="n"/>
      <c r="SB112" s="212" t="n"/>
      <c r="SC112" s="212" t="n"/>
      <c r="SD112" s="212" t="n"/>
      <c r="SE112" s="212" t="n"/>
      <c r="SF112" s="212" t="n"/>
      <c r="SG112" s="212" t="n"/>
      <c r="SH112" s="212" t="n"/>
      <c r="SI112" s="212" t="n"/>
      <c r="SJ112" s="212" t="n"/>
      <c r="SK112" s="212" t="n"/>
      <c r="SL112" s="212" t="n"/>
      <c r="SM112" s="212" t="n"/>
      <c r="SN112" s="212" t="n"/>
      <c r="SO112" s="212" t="n"/>
      <c r="SP112" s="212" t="n"/>
      <c r="SQ112" s="212" t="n"/>
      <c r="SR112" s="212" t="n"/>
      <c r="SS112" s="212" t="n"/>
      <c r="ST112" s="212" t="n"/>
      <c r="SU112" s="212" t="n"/>
      <c r="SV112" s="212" t="n"/>
    </row>
    <row r="113">
      <c r="B113" s="209" t="n"/>
      <c r="C113" s="209" t="n"/>
      <c r="D113" s="209" t="n"/>
      <c r="E113" s="209" t="n"/>
      <c r="F113" s="209">
        <f>IF(TRIM(D113&amp;E113)="","",TRIM(D113)&amp;" "&amp;TRIM(E113))</f>
        <v/>
      </c>
      <c r="G113" s="209" t="n"/>
      <c r="H113" s="209" t="n"/>
      <c r="I113" s="209" t="n"/>
      <c r="J113" s="209" t="n"/>
      <c r="K113" s="209" t="n"/>
      <c r="L113" s="209" t="n"/>
      <c r="M113" s="209" t="n"/>
      <c r="N113" s="209" t="n"/>
      <c r="O113" s="209" t="n"/>
      <c r="P113" s="209" t="n"/>
      <c r="Q113" s="209" t="n"/>
      <c r="R113" s="209" t="n"/>
      <c r="S113" s="212" t="n"/>
      <c r="T113" s="212" t="n"/>
      <c r="U113" s="212" t="n"/>
      <c r="V113" s="212" t="n"/>
      <c r="W113" s="212" t="n"/>
      <c r="X113" s="212" t="n"/>
      <c r="Y113" s="212" t="n"/>
      <c r="Z113" s="212" t="n"/>
      <c r="AA113" s="212" t="n"/>
      <c r="AB113" s="212" t="n"/>
      <c r="AC113" s="212" t="n"/>
      <c r="AD113" s="212" t="n"/>
      <c r="AE113" s="212" t="n"/>
      <c r="AF113" s="212" t="n"/>
      <c r="AG113" s="212" t="n"/>
      <c r="AH113" s="212" t="n"/>
      <c r="AI113" s="212" t="n"/>
      <c r="AJ113" s="212" t="n"/>
      <c r="AK113" s="212" t="n"/>
      <c r="AL113" s="212" t="n"/>
      <c r="AM113" s="212" t="n"/>
      <c r="AN113" s="212" t="n"/>
      <c r="AO113" s="212" t="n"/>
      <c r="AP113" s="212" t="n"/>
      <c r="AQ113" s="212" t="n"/>
      <c r="AR113" s="212" t="n"/>
      <c r="AS113" s="212" t="n"/>
      <c r="AT113" s="212" t="n"/>
      <c r="AU113" s="212" t="n"/>
      <c r="AV113" s="212" t="n"/>
      <c r="AW113" s="212" t="n"/>
      <c r="AX113" s="212" t="n"/>
      <c r="AY113" s="212" t="n"/>
      <c r="AZ113" s="212" t="n"/>
      <c r="BA113" s="212" t="n"/>
      <c r="BB113" s="212" t="n"/>
      <c r="BC113" s="212" t="n"/>
      <c r="BD113" s="212" t="n"/>
      <c r="BE113" s="212" t="n"/>
      <c r="BF113" s="212" t="n"/>
      <c r="BG113" s="212" t="n"/>
      <c r="BH113" s="212" t="n"/>
      <c r="BI113" s="212" t="n"/>
      <c r="BJ113" s="212" t="n"/>
      <c r="BK113" s="212" t="n"/>
      <c r="BL113" s="212" t="n"/>
      <c r="BM113" s="212" t="n"/>
      <c r="BN113" s="212" t="n"/>
      <c r="BO113" s="212" t="n"/>
      <c r="BP113" s="212" t="n"/>
      <c r="BQ113" s="212" t="n"/>
      <c r="BR113" s="212" t="n"/>
      <c r="BS113" s="212" t="n"/>
      <c r="BT113" s="212" t="n"/>
      <c r="BU113" s="212" t="n"/>
      <c r="BV113" s="212" t="n"/>
      <c r="BW113" s="212" t="n"/>
      <c r="BX113" s="212" t="n"/>
      <c r="BY113" s="212" t="n"/>
      <c r="BZ113" s="212" t="n"/>
      <c r="CA113" s="212" t="n"/>
      <c r="CB113" s="212" t="n"/>
      <c r="CC113" s="212" t="n"/>
      <c r="CD113" s="212" t="n"/>
      <c r="CE113" s="212" t="n"/>
      <c r="CF113" s="212" t="n"/>
      <c r="CG113" s="212" t="n"/>
      <c r="CH113" s="212" t="n"/>
      <c r="CI113" s="212" t="n"/>
      <c r="CJ113" s="212" t="n"/>
      <c r="CK113" s="212" t="n"/>
      <c r="CL113" s="212" t="n"/>
      <c r="CM113" s="212" t="n"/>
      <c r="CN113" s="212" t="n"/>
      <c r="CO113" s="212" t="n"/>
      <c r="CP113" s="212" t="n"/>
      <c r="CQ113" s="212" t="n"/>
      <c r="CR113" s="212" t="n"/>
      <c r="CS113" s="212" t="n"/>
      <c r="CT113" s="212" t="n"/>
      <c r="CU113" s="212" t="n"/>
      <c r="CV113" s="212" t="n"/>
      <c r="CW113" s="212" t="n"/>
      <c r="CX113" s="212" t="n"/>
      <c r="CY113" s="212" t="n"/>
      <c r="CZ113" s="212" t="n"/>
      <c r="DA113" s="212" t="n"/>
      <c r="DB113" s="212" t="n"/>
      <c r="DC113" s="212" t="n"/>
      <c r="DD113" s="212" t="n"/>
      <c r="DE113" s="212" t="n"/>
      <c r="DF113" s="212" t="n"/>
      <c r="DG113" s="212" t="n"/>
      <c r="DH113" s="212" t="n"/>
      <c r="DI113" s="212" t="n"/>
      <c r="DJ113" s="212" t="n"/>
      <c r="DK113" s="212" t="n"/>
      <c r="DL113" s="212" t="n"/>
      <c r="DM113" s="212" t="n"/>
      <c r="DN113" s="212" t="n"/>
      <c r="DO113" s="212" t="n"/>
      <c r="DP113" s="212" t="n"/>
      <c r="DQ113" s="212" t="n"/>
      <c r="DR113" s="212" t="n"/>
      <c r="DS113" s="212" t="n"/>
      <c r="DT113" s="212" t="n"/>
      <c r="DU113" s="212" t="n"/>
      <c r="DV113" s="212" t="n"/>
      <c r="DW113" s="212" t="n"/>
      <c r="DX113" s="212" t="n"/>
      <c r="DY113" s="212" t="n"/>
      <c r="DZ113" s="212" t="n"/>
      <c r="EA113" s="212" t="n"/>
      <c r="EB113" s="212" t="n"/>
      <c r="EC113" s="212" t="n"/>
      <c r="ED113" s="212" t="n"/>
      <c r="EE113" s="212" t="n"/>
      <c r="EF113" s="212" t="n"/>
      <c r="EG113" s="212" t="n"/>
      <c r="EH113" s="212" t="n"/>
      <c r="EI113" s="212" t="n"/>
      <c r="EJ113" s="212" t="n"/>
      <c r="EK113" s="212" t="n"/>
      <c r="EL113" s="212" t="n"/>
      <c r="EM113" s="212" t="n"/>
      <c r="EN113" s="212" t="n"/>
      <c r="EO113" s="212" t="n"/>
      <c r="EP113" s="212" t="n"/>
      <c r="EQ113" s="212" t="n"/>
      <c r="ER113" s="212" t="n"/>
      <c r="ES113" s="212" t="n"/>
      <c r="ET113" s="212" t="n"/>
      <c r="EU113" s="212" t="n"/>
      <c r="EV113" s="212" t="n"/>
      <c r="EW113" s="212" t="n"/>
      <c r="EX113" s="212" t="n"/>
      <c r="EY113" s="212" t="n"/>
      <c r="EZ113" s="212" t="n"/>
      <c r="FA113" s="212" t="n"/>
      <c r="FB113" s="212" t="n"/>
      <c r="FC113" s="212" t="n"/>
      <c r="FD113" s="212" t="n"/>
      <c r="FE113" s="212" t="n"/>
      <c r="FF113" s="212" t="n"/>
      <c r="FG113" s="212" t="n"/>
      <c r="FH113" s="212" t="n"/>
      <c r="FI113" s="212" t="n"/>
      <c r="FJ113" s="212" t="n"/>
      <c r="FK113" s="212" t="n"/>
      <c r="FL113" s="212" t="n"/>
      <c r="FM113" s="212" t="n"/>
      <c r="FN113" s="212" t="n"/>
      <c r="FO113" s="212" t="n"/>
      <c r="FP113" s="212" t="n"/>
      <c r="FQ113" s="212" t="n"/>
      <c r="FR113" s="212" t="n"/>
      <c r="FS113" s="212" t="n"/>
      <c r="FT113" s="212" t="n"/>
      <c r="FU113" s="212" t="n"/>
      <c r="FV113" s="212" t="n"/>
      <c r="FW113" s="212" t="n"/>
      <c r="FX113" s="212" t="n"/>
      <c r="FY113" s="212" t="n"/>
      <c r="FZ113" s="212" t="n"/>
      <c r="GA113" s="212" t="n"/>
      <c r="GB113" s="212" t="n"/>
      <c r="GC113" s="212" t="n"/>
      <c r="GD113" s="212" t="n"/>
      <c r="GE113" s="212" t="n"/>
      <c r="GF113" s="212" t="n"/>
      <c r="GG113" s="212" t="n"/>
      <c r="GH113" s="212" t="n"/>
      <c r="GI113" s="212" t="n"/>
      <c r="GJ113" s="212" t="n"/>
      <c r="GK113" s="212" t="n"/>
      <c r="GL113" s="212" t="n"/>
      <c r="GM113" s="212" t="n"/>
      <c r="GN113" s="212" t="n"/>
      <c r="GO113" s="212" t="n"/>
      <c r="GP113" s="212" t="n"/>
      <c r="GQ113" s="212" t="n"/>
      <c r="GR113" s="212" t="n"/>
      <c r="GS113" s="212" t="n"/>
      <c r="GT113" s="212" t="n"/>
      <c r="GU113" s="212" t="n"/>
      <c r="GV113" s="212" t="n"/>
      <c r="GW113" s="212" t="n"/>
      <c r="GX113" s="212" t="n"/>
      <c r="GY113" s="212" t="n"/>
      <c r="GZ113" s="212" t="n"/>
      <c r="HA113" s="212" t="n"/>
      <c r="HB113" s="212" t="n"/>
      <c r="HC113" s="212" t="n"/>
      <c r="HD113" s="212" t="n"/>
      <c r="HE113" s="212" t="n"/>
      <c r="HF113" s="212" t="n"/>
      <c r="HG113" s="212" t="n"/>
      <c r="HH113" s="212" t="n"/>
      <c r="HI113" s="212" t="n"/>
      <c r="HJ113" s="212" t="n"/>
      <c r="HK113" s="212" t="n"/>
      <c r="HL113" s="212" t="n"/>
      <c r="HM113" s="212" t="n"/>
      <c r="HN113" s="212" t="n"/>
      <c r="HO113" s="212" t="n"/>
      <c r="HP113" s="212" t="n"/>
      <c r="HQ113" s="212" t="n"/>
      <c r="HR113" s="212" t="n"/>
      <c r="HS113" s="212" t="n"/>
      <c r="HT113" s="212" t="n"/>
      <c r="HU113" s="212" t="n"/>
      <c r="HV113" s="212" t="n"/>
      <c r="HW113" s="212" t="n"/>
      <c r="HX113" s="212" t="n"/>
      <c r="HY113" s="212" t="n"/>
      <c r="HZ113" s="212" t="n"/>
      <c r="IA113" s="212" t="n"/>
      <c r="IB113" s="212" t="n"/>
      <c r="IC113" s="212" t="n"/>
      <c r="ID113" s="212" t="n"/>
      <c r="IE113" s="212" t="n"/>
      <c r="IF113" s="212" t="n"/>
      <c r="IG113" s="212" t="n"/>
      <c r="IH113" s="212" t="n"/>
      <c r="II113" s="212" t="n"/>
      <c r="IJ113" s="212" t="n"/>
      <c r="IK113" s="212" t="n"/>
      <c r="IL113" s="212" t="n"/>
      <c r="IM113" s="212" t="n"/>
      <c r="IN113" s="212" t="n"/>
      <c r="IO113" s="212" t="n"/>
      <c r="IP113" s="212" t="n"/>
      <c r="IQ113" s="212" t="n"/>
      <c r="IR113" s="212" t="n"/>
      <c r="IS113" s="212" t="n"/>
      <c r="IT113" s="212" t="n"/>
      <c r="IU113" s="212" t="n"/>
      <c r="IV113" s="212" t="n"/>
      <c r="IW113" s="212" t="n"/>
      <c r="IX113" s="212" t="n"/>
      <c r="IY113" s="212" t="n"/>
      <c r="IZ113" s="212" t="n"/>
      <c r="JA113" s="212" t="n"/>
      <c r="JB113" s="212" t="n"/>
      <c r="JC113" s="212" t="n"/>
      <c r="JD113" s="212" t="n"/>
      <c r="JE113" s="212" t="n"/>
      <c r="JF113" s="212" t="n"/>
      <c r="JG113" s="212" t="n"/>
      <c r="JH113" s="212" t="n"/>
      <c r="JI113" s="212" t="n"/>
      <c r="JJ113" s="212" t="n"/>
      <c r="JK113" s="212" t="n"/>
      <c r="JL113" s="212" t="n"/>
      <c r="JM113" s="212" t="n"/>
      <c r="JN113" s="212" t="n"/>
      <c r="JO113" s="212" t="n"/>
      <c r="JP113" s="212" t="n"/>
      <c r="JQ113" s="212" t="n"/>
      <c r="JR113" s="212" t="n"/>
      <c r="JS113" s="212" t="n"/>
      <c r="JT113" s="212" t="n"/>
      <c r="JU113" s="212" t="n"/>
      <c r="JV113" s="212" t="n"/>
      <c r="JW113" s="212" t="n"/>
      <c r="JX113" s="212" t="n"/>
      <c r="JY113" s="212" t="n"/>
      <c r="JZ113" s="212" t="n"/>
      <c r="KA113" s="212" t="n"/>
      <c r="KB113" s="212" t="n"/>
      <c r="KC113" s="212" t="n"/>
      <c r="KD113" s="212" t="n"/>
      <c r="KE113" s="212" t="n"/>
      <c r="KF113" s="212" t="n"/>
      <c r="KG113" s="212" t="n"/>
      <c r="KH113" s="212" t="n"/>
      <c r="KI113" s="212" t="n"/>
      <c r="KJ113" s="212" t="n"/>
      <c r="KK113" s="212" t="n"/>
      <c r="KL113" s="212" t="n"/>
      <c r="KM113" s="212" t="n"/>
      <c r="KN113" s="212" t="n"/>
      <c r="KO113" s="212" t="n"/>
      <c r="KP113" s="212" t="n"/>
      <c r="KQ113" s="212" t="n"/>
      <c r="KR113" s="212" t="n"/>
      <c r="KS113" s="212" t="n"/>
      <c r="KT113" s="212" t="n"/>
      <c r="KU113" s="212" t="n"/>
      <c r="KV113" s="212" t="n"/>
      <c r="KW113" s="212" t="n"/>
      <c r="KX113" s="212" t="n"/>
      <c r="KY113" s="212" t="n"/>
      <c r="KZ113" s="212" t="n"/>
      <c r="LA113" s="212" t="n"/>
      <c r="LB113" s="212" t="n"/>
      <c r="LC113" s="212" t="n"/>
      <c r="LD113" s="212" t="n"/>
      <c r="LE113" s="212" t="n"/>
      <c r="LF113" s="212" t="n"/>
      <c r="LG113" s="212" t="n"/>
      <c r="LH113" s="212" t="n"/>
      <c r="LI113" s="212" t="n"/>
      <c r="LJ113" s="212" t="n"/>
      <c r="LK113" s="212" t="n"/>
      <c r="LL113" s="212" t="n"/>
      <c r="LM113" s="212" t="n"/>
      <c r="LN113" s="212" t="n"/>
      <c r="LO113" s="212" t="n"/>
      <c r="LP113" s="212" t="n"/>
      <c r="LQ113" s="212" t="n"/>
      <c r="LR113" s="212" t="n"/>
      <c r="LS113" s="212" t="n"/>
      <c r="LT113" s="212" t="n"/>
      <c r="LU113" s="212" t="n"/>
      <c r="LV113" s="212" t="n"/>
      <c r="LW113" s="212" t="n"/>
      <c r="LX113" s="212" t="n"/>
      <c r="LY113" s="212" t="n"/>
      <c r="LZ113" s="212" t="n"/>
      <c r="MA113" s="212" t="n"/>
      <c r="MB113" s="212" t="n"/>
      <c r="MC113" s="212" t="n"/>
      <c r="MD113" s="212" t="n"/>
      <c r="ME113" s="212" t="n"/>
      <c r="MF113" s="212" t="n"/>
      <c r="MG113" s="212" t="n"/>
      <c r="MH113" s="212" t="n"/>
      <c r="MI113" s="212" t="n"/>
      <c r="MJ113" s="212" t="n"/>
      <c r="MK113" s="212" t="n"/>
      <c r="ML113" s="212" t="n"/>
      <c r="MM113" s="212" t="n"/>
      <c r="MN113" s="212" t="n"/>
      <c r="MO113" s="212" t="n"/>
      <c r="MP113" s="212" t="n"/>
      <c r="MQ113" s="212" t="n"/>
      <c r="MR113" s="212" t="n"/>
      <c r="MS113" s="212" t="n"/>
      <c r="MT113" s="212" t="n"/>
      <c r="MU113" s="212" t="n"/>
      <c r="MV113" s="212" t="n"/>
      <c r="MW113" s="212" t="n"/>
      <c r="MX113" s="212" t="n"/>
      <c r="MY113" s="212" t="n"/>
      <c r="MZ113" s="212" t="n"/>
      <c r="NA113" s="212" t="n"/>
      <c r="NB113" s="212" t="n"/>
      <c r="NC113" s="212" t="n"/>
      <c r="ND113" s="212" t="n"/>
      <c r="NE113" s="212" t="n"/>
      <c r="NF113" s="212" t="n"/>
      <c r="NG113" s="212" t="n"/>
      <c r="NH113" s="212" t="n"/>
      <c r="NI113" s="212" t="n"/>
      <c r="NJ113" s="212" t="n"/>
      <c r="NK113" s="212" t="n"/>
      <c r="NL113" s="212" t="n"/>
      <c r="NM113" s="212" t="n"/>
      <c r="NN113" s="212" t="n"/>
      <c r="NO113" s="212" t="n"/>
      <c r="NP113" s="212" t="n"/>
      <c r="NQ113" s="212" t="n"/>
      <c r="NR113" s="212" t="n"/>
      <c r="NS113" s="212" t="n"/>
      <c r="NT113" s="212" t="n"/>
      <c r="NU113" s="212" t="n"/>
      <c r="NV113" s="212" t="n"/>
      <c r="NW113" s="212" t="n"/>
      <c r="NX113" s="212" t="n"/>
      <c r="NY113" s="212" t="n"/>
      <c r="NZ113" s="212" t="n"/>
      <c r="OA113" s="212" t="n"/>
      <c r="OB113" s="212" t="n"/>
      <c r="OC113" s="212" t="n"/>
      <c r="OD113" s="212" t="n"/>
      <c r="OE113" s="212" t="n"/>
      <c r="OF113" s="212" t="n"/>
      <c r="OG113" s="212" t="n"/>
      <c r="OH113" s="212" t="n"/>
      <c r="OI113" s="212" t="n"/>
      <c r="OJ113" s="212" t="n"/>
      <c r="OK113" s="212" t="n"/>
      <c r="OL113" s="212" t="n"/>
      <c r="OM113" s="212" t="n"/>
      <c r="ON113" s="212" t="n"/>
      <c r="OO113" s="212" t="n"/>
      <c r="OP113" s="212" t="n"/>
      <c r="OQ113" s="212" t="n"/>
      <c r="OR113" s="212" t="n"/>
      <c r="OS113" s="212" t="n"/>
      <c r="OT113" s="212" t="n"/>
      <c r="OU113" s="212" t="n"/>
      <c r="OV113" s="212" t="n"/>
      <c r="OW113" s="212" t="n"/>
      <c r="OX113" s="212" t="n"/>
      <c r="OY113" s="212" t="n"/>
      <c r="OZ113" s="212" t="n"/>
      <c r="PA113" s="212" t="n"/>
      <c r="PB113" s="212" t="n"/>
      <c r="PC113" s="212" t="n"/>
      <c r="PD113" s="212" t="n"/>
      <c r="PE113" s="212" t="n"/>
      <c r="PF113" s="212" t="n"/>
      <c r="PG113" s="212" t="n"/>
      <c r="PH113" s="212" t="n"/>
      <c r="PI113" s="212" t="n"/>
      <c r="PJ113" s="212" t="n"/>
      <c r="PK113" s="212" t="n"/>
      <c r="PL113" s="212" t="n"/>
      <c r="PM113" s="212" t="n"/>
      <c r="PN113" s="212" t="n"/>
      <c r="PO113" s="212" t="n"/>
      <c r="PP113" s="212" t="n"/>
      <c r="PQ113" s="212" t="n"/>
      <c r="PR113" s="212" t="n"/>
      <c r="PS113" s="212" t="n"/>
      <c r="PT113" s="212" t="n"/>
      <c r="PU113" s="212" t="n"/>
      <c r="PV113" s="212" t="n"/>
      <c r="PW113" s="212" t="n"/>
      <c r="PX113" s="212" t="n"/>
      <c r="PY113" s="212" t="n"/>
      <c r="PZ113" s="212" t="n"/>
      <c r="QA113" s="212" t="n"/>
      <c r="QB113" s="212" t="n"/>
      <c r="QC113" s="212" t="n"/>
      <c r="QD113" s="212" t="n"/>
      <c r="QE113" s="212" t="n"/>
      <c r="QF113" s="212" t="n"/>
      <c r="QG113" s="212" t="n"/>
      <c r="QH113" s="212" t="n"/>
      <c r="QI113" s="212" t="n"/>
      <c r="QJ113" s="212" t="n"/>
      <c r="QK113" s="212" t="n"/>
      <c r="QL113" s="212" t="n"/>
      <c r="QM113" s="212" t="n"/>
      <c r="QN113" s="212" t="n"/>
      <c r="QO113" s="212" t="n"/>
      <c r="QP113" s="212" t="n"/>
      <c r="QQ113" s="212" t="n"/>
      <c r="QR113" s="212" t="n"/>
      <c r="QS113" s="212" t="n"/>
      <c r="QT113" s="212" t="n"/>
      <c r="QU113" s="212" t="n"/>
      <c r="QV113" s="212" t="n"/>
      <c r="QW113" s="212" t="n"/>
      <c r="QX113" s="212" t="n"/>
      <c r="QY113" s="212" t="n"/>
      <c r="QZ113" s="212" t="n"/>
      <c r="RA113" s="212" t="n"/>
      <c r="RB113" s="212" t="n"/>
      <c r="RC113" s="212" t="n"/>
      <c r="RD113" s="212" t="n"/>
      <c r="RE113" s="212" t="n"/>
      <c r="RF113" s="212" t="n"/>
      <c r="RG113" s="212" t="n"/>
      <c r="RH113" s="212" t="n"/>
      <c r="RI113" s="212" t="n"/>
      <c r="RJ113" s="212" t="n"/>
      <c r="RK113" s="212" t="n"/>
      <c r="RL113" s="212" t="n"/>
      <c r="RM113" s="212" t="n"/>
      <c r="RN113" s="212" t="n"/>
      <c r="RO113" s="212" t="n"/>
      <c r="RP113" s="212" t="n"/>
      <c r="RQ113" s="212" t="n"/>
      <c r="RR113" s="212" t="n"/>
      <c r="RS113" s="212" t="n"/>
      <c r="RT113" s="212" t="n"/>
      <c r="RU113" s="212" t="n"/>
      <c r="RV113" s="212" t="n"/>
      <c r="RW113" s="212" t="n"/>
      <c r="RX113" s="212" t="n"/>
      <c r="RY113" s="212" t="n"/>
      <c r="RZ113" s="212" t="n"/>
      <c r="SA113" s="212" t="n"/>
      <c r="SB113" s="212" t="n"/>
      <c r="SC113" s="212" t="n"/>
      <c r="SD113" s="212" t="n"/>
      <c r="SE113" s="212" t="n"/>
      <c r="SF113" s="212" t="n"/>
      <c r="SG113" s="212" t="n"/>
      <c r="SH113" s="212" t="n"/>
      <c r="SI113" s="212" t="n"/>
      <c r="SJ113" s="212" t="n"/>
      <c r="SK113" s="212" t="n"/>
      <c r="SL113" s="212" t="n"/>
      <c r="SM113" s="212" t="n"/>
      <c r="SN113" s="212" t="n"/>
      <c r="SO113" s="212" t="n"/>
      <c r="SP113" s="212" t="n"/>
      <c r="SQ113" s="212" t="n"/>
      <c r="SR113" s="212" t="n"/>
      <c r="SS113" s="212" t="n"/>
      <c r="ST113" s="212" t="n"/>
      <c r="SU113" s="212" t="n"/>
      <c r="SV113" s="212" t="n"/>
    </row>
    <row r="114">
      <c r="B114" s="209" t="n"/>
      <c r="C114" s="209" t="n"/>
      <c r="D114" s="209" t="n"/>
      <c r="E114" s="209" t="n"/>
      <c r="F114" s="209">
        <f>IF(TRIM(D114&amp;E114)="","",TRIM(D114)&amp;" "&amp;TRIM(E114))</f>
        <v/>
      </c>
      <c r="G114" s="209" t="n"/>
      <c r="H114" s="209" t="n"/>
      <c r="I114" s="209" t="n"/>
      <c r="J114" s="209" t="n"/>
      <c r="K114" s="209" t="n"/>
      <c r="L114" s="209" t="n"/>
      <c r="M114" s="209" t="n"/>
      <c r="N114" s="209" t="n"/>
      <c r="O114" s="209" t="n"/>
      <c r="P114" s="209" t="n"/>
      <c r="Q114" s="209" t="n"/>
      <c r="R114" s="209" t="n"/>
      <c r="S114" s="212" t="n"/>
      <c r="T114" s="212" t="n"/>
      <c r="U114" s="212" t="n"/>
      <c r="V114" s="212" t="n"/>
      <c r="W114" s="212" t="n"/>
      <c r="X114" s="212" t="n"/>
      <c r="Y114" s="212" t="n"/>
      <c r="Z114" s="212" t="n"/>
      <c r="AA114" s="212" t="n"/>
      <c r="AB114" s="212" t="n"/>
      <c r="AC114" s="212" t="n"/>
      <c r="AD114" s="212" t="n"/>
      <c r="AE114" s="212" t="n"/>
      <c r="AF114" s="212" t="n"/>
      <c r="AG114" s="212" t="n"/>
      <c r="AH114" s="212" t="n"/>
      <c r="AI114" s="212" t="n"/>
      <c r="AJ114" s="212" t="n"/>
      <c r="AK114" s="212" t="n"/>
      <c r="AL114" s="212" t="n"/>
      <c r="AM114" s="212" t="n"/>
      <c r="AN114" s="212" t="n"/>
      <c r="AO114" s="212" t="n"/>
      <c r="AP114" s="212" t="n"/>
      <c r="AQ114" s="212" t="n"/>
      <c r="AR114" s="212" t="n"/>
      <c r="AS114" s="212" t="n"/>
      <c r="AT114" s="212" t="n"/>
      <c r="AU114" s="212" t="n"/>
      <c r="AV114" s="212" t="n"/>
      <c r="AW114" s="212" t="n"/>
      <c r="AX114" s="212" t="n"/>
      <c r="AY114" s="212" t="n"/>
      <c r="AZ114" s="212" t="n"/>
      <c r="BA114" s="212" t="n"/>
      <c r="BB114" s="212" t="n"/>
      <c r="BC114" s="212" t="n"/>
      <c r="BD114" s="212" t="n"/>
      <c r="BE114" s="212" t="n"/>
      <c r="BF114" s="212" t="n"/>
      <c r="BG114" s="212" t="n"/>
      <c r="BH114" s="212" t="n"/>
      <c r="BI114" s="212" t="n"/>
      <c r="BJ114" s="212" t="n"/>
      <c r="BK114" s="212" t="n"/>
      <c r="BL114" s="212" t="n"/>
      <c r="BM114" s="212" t="n"/>
      <c r="BN114" s="212" t="n"/>
      <c r="BO114" s="212" t="n"/>
      <c r="BP114" s="212" t="n"/>
      <c r="BQ114" s="212" t="n"/>
      <c r="BR114" s="212" t="n"/>
      <c r="BS114" s="212" t="n"/>
      <c r="BT114" s="212" t="n"/>
      <c r="BU114" s="212" t="n"/>
      <c r="BV114" s="212" t="n"/>
      <c r="BW114" s="212" t="n"/>
      <c r="BX114" s="212" t="n"/>
      <c r="BY114" s="212" t="n"/>
      <c r="BZ114" s="212" t="n"/>
      <c r="CA114" s="212" t="n"/>
      <c r="CB114" s="212" t="n"/>
      <c r="CC114" s="212" t="n"/>
      <c r="CD114" s="212" t="n"/>
      <c r="CE114" s="212" t="n"/>
      <c r="CF114" s="212" t="n"/>
      <c r="CG114" s="212" t="n"/>
      <c r="CH114" s="212" t="n"/>
      <c r="CI114" s="212" t="n"/>
      <c r="CJ114" s="212" t="n"/>
      <c r="CK114" s="212" t="n"/>
      <c r="CL114" s="212" t="n"/>
      <c r="CM114" s="212" t="n"/>
      <c r="CN114" s="212" t="n"/>
      <c r="CO114" s="212" t="n"/>
      <c r="CP114" s="212" t="n"/>
      <c r="CQ114" s="212" t="n"/>
      <c r="CR114" s="212" t="n"/>
      <c r="CS114" s="212" t="n"/>
      <c r="CT114" s="212" t="n"/>
      <c r="CU114" s="212" t="n"/>
      <c r="CV114" s="212" t="n"/>
      <c r="CW114" s="212" t="n"/>
      <c r="CX114" s="212" t="n"/>
      <c r="CY114" s="212" t="n"/>
      <c r="CZ114" s="212" t="n"/>
      <c r="DA114" s="212" t="n"/>
      <c r="DB114" s="212" t="n"/>
      <c r="DC114" s="212" t="n"/>
      <c r="DD114" s="212" t="n"/>
      <c r="DE114" s="212" t="n"/>
      <c r="DF114" s="212" t="n"/>
      <c r="DG114" s="212" t="n"/>
      <c r="DH114" s="212" t="n"/>
      <c r="DI114" s="212" t="n"/>
      <c r="DJ114" s="212" t="n"/>
      <c r="DK114" s="212" t="n"/>
      <c r="DL114" s="212" t="n"/>
      <c r="DM114" s="212" t="n"/>
      <c r="DN114" s="212" t="n"/>
      <c r="DO114" s="212" t="n"/>
      <c r="DP114" s="212" t="n"/>
      <c r="DQ114" s="212" t="n"/>
      <c r="DR114" s="212" t="n"/>
      <c r="DS114" s="212" t="n"/>
      <c r="DT114" s="212" t="n"/>
      <c r="DU114" s="212" t="n"/>
      <c r="DV114" s="212" t="n"/>
      <c r="DW114" s="212" t="n"/>
      <c r="DX114" s="212" t="n"/>
      <c r="DY114" s="212" t="n"/>
      <c r="DZ114" s="212" t="n"/>
      <c r="EA114" s="212" t="n"/>
      <c r="EB114" s="212" t="n"/>
      <c r="EC114" s="212" t="n"/>
      <c r="ED114" s="212" t="n"/>
      <c r="EE114" s="212" t="n"/>
      <c r="EF114" s="212" t="n"/>
      <c r="EG114" s="212" t="n"/>
      <c r="EH114" s="212" t="n"/>
      <c r="EI114" s="212" t="n"/>
      <c r="EJ114" s="212" t="n"/>
      <c r="EK114" s="212" t="n"/>
      <c r="EL114" s="212" t="n"/>
      <c r="EM114" s="212" t="n"/>
      <c r="EN114" s="212" t="n"/>
      <c r="EO114" s="212" t="n"/>
      <c r="EP114" s="212" t="n"/>
      <c r="EQ114" s="212" t="n"/>
      <c r="ER114" s="212" t="n"/>
      <c r="ES114" s="212" t="n"/>
      <c r="ET114" s="212" t="n"/>
      <c r="EU114" s="212" t="n"/>
      <c r="EV114" s="212" t="n"/>
      <c r="EW114" s="212" t="n"/>
      <c r="EX114" s="212" t="n"/>
      <c r="EY114" s="212" t="n"/>
      <c r="EZ114" s="212" t="n"/>
      <c r="FA114" s="212" t="n"/>
      <c r="FB114" s="212" t="n"/>
      <c r="FC114" s="212" t="n"/>
      <c r="FD114" s="212" t="n"/>
      <c r="FE114" s="212" t="n"/>
      <c r="FF114" s="212" t="n"/>
      <c r="FG114" s="212" t="n"/>
      <c r="FH114" s="212" t="n"/>
      <c r="FI114" s="212" t="n"/>
      <c r="FJ114" s="212" t="n"/>
      <c r="FK114" s="212" t="n"/>
      <c r="FL114" s="212" t="n"/>
      <c r="FM114" s="212" t="n"/>
      <c r="FN114" s="212" t="n"/>
      <c r="FO114" s="212" t="n"/>
      <c r="FP114" s="212" t="n"/>
      <c r="FQ114" s="212" t="n"/>
      <c r="FR114" s="212" t="n"/>
      <c r="FS114" s="212" t="n"/>
      <c r="FT114" s="212" t="n"/>
      <c r="FU114" s="212" t="n"/>
      <c r="FV114" s="212" t="n"/>
      <c r="FW114" s="212" t="n"/>
      <c r="FX114" s="212" t="n"/>
      <c r="FY114" s="212" t="n"/>
      <c r="FZ114" s="212" t="n"/>
      <c r="GA114" s="212" t="n"/>
      <c r="GB114" s="212" t="n"/>
      <c r="GC114" s="212" t="n"/>
      <c r="GD114" s="212" t="n"/>
      <c r="GE114" s="212" t="n"/>
      <c r="GF114" s="212" t="n"/>
      <c r="GG114" s="212" t="n"/>
      <c r="GH114" s="212" t="n"/>
      <c r="GI114" s="212" t="n"/>
      <c r="GJ114" s="212" t="n"/>
      <c r="GK114" s="212" t="n"/>
      <c r="GL114" s="212" t="n"/>
      <c r="GM114" s="212" t="n"/>
      <c r="GN114" s="212" t="n"/>
      <c r="GO114" s="212" t="n"/>
      <c r="GP114" s="212" t="n"/>
      <c r="GQ114" s="212" t="n"/>
      <c r="GR114" s="212" t="n"/>
      <c r="GS114" s="212" t="n"/>
      <c r="GT114" s="212" t="n"/>
      <c r="GU114" s="212" t="n"/>
      <c r="GV114" s="212" t="n"/>
      <c r="GW114" s="212" t="n"/>
      <c r="GX114" s="212" t="n"/>
      <c r="GY114" s="212" t="n"/>
      <c r="GZ114" s="212" t="n"/>
      <c r="HA114" s="212" t="n"/>
      <c r="HB114" s="212" t="n"/>
      <c r="HC114" s="212" t="n"/>
      <c r="HD114" s="212" t="n"/>
      <c r="HE114" s="212" t="n"/>
      <c r="HF114" s="212" t="n"/>
      <c r="HG114" s="212" t="n"/>
      <c r="HH114" s="212" t="n"/>
      <c r="HI114" s="212" t="n"/>
      <c r="HJ114" s="212" t="n"/>
      <c r="HK114" s="212" t="n"/>
      <c r="HL114" s="212" t="n"/>
      <c r="HM114" s="212" t="n"/>
      <c r="HN114" s="212" t="n"/>
      <c r="HO114" s="212" t="n"/>
      <c r="HP114" s="212" t="n"/>
      <c r="HQ114" s="212" t="n"/>
      <c r="HR114" s="212" t="n"/>
      <c r="HS114" s="212" t="n"/>
      <c r="HT114" s="212" t="n"/>
      <c r="HU114" s="212" t="n"/>
      <c r="HV114" s="212" t="n"/>
      <c r="HW114" s="212" t="n"/>
      <c r="HX114" s="212" t="n"/>
      <c r="HY114" s="212" t="n"/>
      <c r="HZ114" s="212" t="n"/>
      <c r="IA114" s="212" t="n"/>
      <c r="IB114" s="212" t="n"/>
      <c r="IC114" s="212" t="n"/>
      <c r="ID114" s="212" t="n"/>
      <c r="IE114" s="212" t="n"/>
      <c r="IF114" s="212" t="n"/>
      <c r="IG114" s="212" t="n"/>
      <c r="IH114" s="212" t="n"/>
      <c r="II114" s="212" t="n"/>
      <c r="IJ114" s="212" t="n"/>
      <c r="IK114" s="212" t="n"/>
      <c r="IL114" s="212" t="n"/>
      <c r="IM114" s="212" t="n"/>
      <c r="IN114" s="212" t="n"/>
      <c r="IO114" s="212" t="n"/>
      <c r="IP114" s="212" t="n"/>
      <c r="IQ114" s="212" t="n"/>
      <c r="IR114" s="212" t="n"/>
      <c r="IS114" s="212" t="n"/>
      <c r="IT114" s="212" t="n"/>
      <c r="IU114" s="212" t="n"/>
      <c r="IV114" s="212" t="n"/>
      <c r="IW114" s="212" t="n"/>
      <c r="IX114" s="212" t="n"/>
      <c r="IY114" s="212" t="n"/>
      <c r="IZ114" s="212" t="n"/>
      <c r="JA114" s="212" t="n"/>
      <c r="JB114" s="212" t="n"/>
      <c r="JC114" s="212" t="n"/>
      <c r="JD114" s="212" t="n"/>
      <c r="JE114" s="212" t="n"/>
      <c r="JF114" s="212" t="n"/>
      <c r="JG114" s="212" t="n"/>
      <c r="JH114" s="212" t="n"/>
      <c r="JI114" s="212" t="n"/>
      <c r="JJ114" s="212" t="n"/>
      <c r="JK114" s="212" t="n"/>
      <c r="JL114" s="212" t="n"/>
      <c r="JM114" s="212" t="n"/>
      <c r="JN114" s="212" t="n"/>
      <c r="JO114" s="212" t="n"/>
      <c r="JP114" s="212" t="n"/>
      <c r="JQ114" s="212" t="n"/>
      <c r="JR114" s="212" t="n"/>
      <c r="JS114" s="212" t="n"/>
      <c r="JT114" s="212" t="n"/>
      <c r="JU114" s="212" t="n"/>
      <c r="JV114" s="212" t="n"/>
      <c r="JW114" s="212" t="n"/>
      <c r="JX114" s="212" t="n"/>
      <c r="JY114" s="212" t="n"/>
      <c r="JZ114" s="212" t="n"/>
      <c r="KA114" s="212" t="n"/>
      <c r="KB114" s="212" t="n"/>
      <c r="KC114" s="212" t="n"/>
      <c r="KD114" s="212" t="n"/>
      <c r="KE114" s="212" t="n"/>
      <c r="KF114" s="212" t="n"/>
      <c r="KG114" s="212" t="n"/>
      <c r="KH114" s="212" t="n"/>
      <c r="KI114" s="212" t="n"/>
      <c r="KJ114" s="212" t="n"/>
      <c r="KK114" s="212" t="n"/>
      <c r="KL114" s="212" t="n"/>
      <c r="KM114" s="212" t="n"/>
      <c r="KN114" s="212" t="n"/>
      <c r="KO114" s="212" t="n"/>
      <c r="KP114" s="212" t="n"/>
      <c r="KQ114" s="212" t="n"/>
      <c r="KR114" s="212" t="n"/>
      <c r="KS114" s="212" t="n"/>
      <c r="KT114" s="212" t="n"/>
      <c r="KU114" s="212" t="n"/>
      <c r="KV114" s="212" t="n"/>
      <c r="KW114" s="212" t="n"/>
      <c r="KX114" s="212" t="n"/>
      <c r="KY114" s="212" t="n"/>
      <c r="KZ114" s="212" t="n"/>
      <c r="LA114" s="212" t="n"/>
      <c r="LB114" s="212" t="n"/>
      <c r="LC114" s="212" t="n"/>
      <c r="LD114" s="212" t="n"/>
      <c r="LE114" s="212" t="n"/>
      <c r="LF114" s="212" t="n"/>
      <c r="LG114" s="212" t="n"/>
      <c r="LH114" s="212" t="n"/>
      <c r="LI114" s="212" t="n"/>
      <c r="LJ114" s="212" t="n"/>
      <c r="LK114" s="212" t="n"/>
      <c r="LL114" s="212" t="n"/>
      <c r="LM114" s="212" t="n"/>
      <c r="LN114" s="212" t="n"/>
      <c r="LO114" s="212" t="n"/>
      <c r="LP114" s="212" t="n"/>
      <c r="LQ114" s="212" t="n"/>
      <c r="LR114" s="212" t="n"/>
      <c r="LS114" s="212" t="n"/>
      <c r="LT114" s="212" t="n"/>
      <c r="LU114" s="212" t="n"/>
      <c r="LV114" s="212" t="n"/>
      <c r="LW114" s="212" t="n"/>
      <c r="LX114" s="212" t="n"/>
      <c r="LY114" s="212" t="n"/>
      <c r="LZ114" s="212" t="n"/>
      <c r="MA114" s="212" t="n"/>
      <c r="MB114" s="212" t="n"/>
      <c r="MC114" s="212" t="n"/>
      <c r="MD114" s="212" t="n"/>
      <c r="ME114" s="212" t="n"/>
      <c r="MF114" s="212" t="n"/>
      <c r="MG114" s="212" t="n"/>
      <c r="MH114" s="212" t="n"/>
      <c r="MI114" s="212" t="n"/>
      <c r="MJ114" s="212" t="n"/>
      <c r="MK114" s="212" t="n"/>
      <c r="ML114" s="212" t="n"/>
      <c r="MM114" s="212" t="n"/>
      <c r="MN114" s="212" t="n"/>
      <c r="MO114" s="212" t="n"/>
      <c r="MP114" s="212" t="n"/>
      <c r="MQ114" s="212" t="n"/>
      <c r="MR114" s="212" t="n"/>
      <c r="MS114" s="212" t="n"/>
      <c r="MT114" s="212" t="n"/>
      <c r="MU114" s="212" t="n"/>
      <c r="MV114" s="212" t="n"/>
      <c r="MW114" s="212" t="n"/>
      <c r="MX114" s="212" t="n"/>
      <c r="MY114" s="212" t="n"/>
      <c r="MZ114" s="212" t="n"/>
      <c r="NA114" s="212" t="n"/>
      <c r="NB114" s="212" t="n"/>
      <c r="NC114" s="212" t="n"/>
      <c r="ND114" s="212" t="n"/>
      <c r="NE114" s="212" t="n"/>
      <c r="NF114" s="212" t="n"/>
      <c r="NG114" s="212" t="n"/>
      <c r="NH114" s="212" t="n"/>
      <c r="NI114" s="212" t="n"/>
      <c r="NJ114" s="212" t="n"/>
      <c r="NK114" s="212" t="n"/>
      <c r="NL114" s="212" t="n"/>
      <c r="NM114" s="212" t="n"/>
      <c r="NN114" s="212" t="n"/>
      <c r="NO114" s="212" t="n"/>
      <c r="NP114" s="212" t="n"/>
      <c r="NQ114" s="212" t="n"/>
      <c r="NR114" s="212" t="n"/>
      <c r="NS114" s="212" t="n"/>
      <c r="NT114" s="212" t="n"/>
      <c r="NU114" s="212" t="n"/>
      <c r="NV114" s="212" t="n"/>
      <c r="NW114" s="212" t="n"/>
      <c r="NX114" s="212" t="n"/>
      <c r="NY114" s="212" t="n"/>
      <c r="NZ114" s="212" t="n"/>
      <c r="OA114" s="212" t="n"/>
      <c r="OB114" s="212" t="n"/>
      <c r="OC114" s="212" t="n"/>
      <c r="OD114" s="212" t="n"/>
      <c r="OE114" s="212" t="n"/>
      <c r="OF114" s="212" t="n"/>
      <c r="OG114" s="212" t="n"/>
      <c r="OH114" s="212" t="n"/>
      <c r="OI114" s="212" t="n"/>
      <c r="OJ114" s="212" t="n"/>
      <c r="OK114" s="212" t="n"/>
      <c r="OL114" s="212" t="n"/>
      <c r="OM114" s="212" t="n"/>
      <c r="ON114" s="212" t="n"/>
      <c r="OO114" s="212" t="n"/>
      <c r="OP114" s="212" t="n"/>
      <c r="OQ114" s="212" t="n"/>
      <c r="OR114" s="212" t="n"/>
      <c r="OS114" s="212" t="n"/>
      <c r="OT114" s="212" t="n"/>
      <c r="OU114" s="212" t="n"/>
      <c r="OV114" s="212" t="n"/>
      <c r="OW114" s="212" t="n"/>
      <c r="OX114" s="212" t="n"/>
      <c r="OY114" s="212" t="n"/>
      <c r="OZ114" s="212" t="n"/>
      <c r="PA114" s="212" t="n"/>
      <c r="PB114" s="212" t="n"/>
      <c r="PC114" s="212" t="n"/>
      <c r="PD114" s="212" t="n"/>
      <c r="PE114" s="212" t="n"/>
      <c r="PF114" s="212" t="n"/>
      <c r="PG114" s="212" t="n"/>
      <c r="PH114" s="212" t="n"/>
      <c r="PI114" s="212" t="n"/>
      <c r="PJ114" s="212" t="n"/>
      <c r="PK114" s="212" t="n"/>
      <c r="PL114" s="212" t="n"/>
      <c r="PM114" s="212" t="n"/>
      <c r="PN114" s="212" t="n"/>
      <c r="PO114" s="212" t="n"/>
      <c r="PP114" s="212" t="n"/>
      <c r="PQ114" s="212" t="n"/>
      <c r="PR114" s="212" t="n"/>
      <c r="PS114" s="212" t="n"/>
      <c r="PT114" s="212" t="n"/>
      <c r="PU114" s="212" t="n"/>
      <c r="PV114" s="212" t="n"/>
      <c r="PW114" s="212" t="n"/>
      <c r="PX114" s="212" t="n"/>
      <c r="PY114" s="212" t="n"/>
      <c r="PZ114" s="212" t="n"/>
      <c r="QA114" s="212" t="n"/>
      <c r="QB114" s="212" t="n"/>
      <c r="QC114" s="212" t="n"/>
      <c r="QD114" s="212" t="n"/>
      <c r="QE114" s="212" t="n"/>
      <c r="QF114" s="212" t="n"/>
      <c r="QG114" s="212" t="n"/>
      <c r="QH114" s="212" t="n"/>
      <c r="QI114" s="212" t="n"/>
      <c r="QJ114" s="212" t="n"/>
      <c r="QK114" s="212" t="n"/>
      <c r="QL114" s="212" t="n"/>
      <c r="QM114" s="212" t="n"/>
      <c r="QN114" s="212" t="n"/>
      <c r="QO114" s="212" t="n"/>
      <c r="QP114" s="212" t="n"/>
      <c r="QQ114" s="212" t="n"/>
      <c r="QR114" s="212" t="n"/>
      <c r="QS114" s="212" t="n"/>
      <c r="QT114" s="212" t="n"/>
      <c r="QU114" s="212" t="n"/>
      <c r="QV114" s="212" t="n"/>
      <c r="QW114" s="212" t="n"/>
      <c r="QX114" s="212" t="n"/>
      <c r="QY114" s="212" t="n"/>
      <c r="QZ114" s="212" t="n"/>
      <c r="RA114" s="212" t="n"/>
      <c r="RB114" s="212" t="n"/>
      <c r="RC114" s="212" t="n"/>
      <c r="RD114" s="212" t="n"/>
      <c r="RE114" s="212" t="n"/>
      <c r="RF114" s="212" t="n"/>
      <c r="RG114" s="212" t="n"/>
      <c r="RH114" s="212" t="n"/>
      <c r="RI114" s="212" t="n"/>
      <c r="RJ114" s="212" t="n"/>
      <c r="RK114" s="212" t="n"/>
      <c r="RL114" s="212" t="n"/>
      <c r="RM114" s="212" t="n"/>
      <c r="RN114" s="212" t="n"/>
      <c r="RO114" s="212" t="n"/>
      <c r="RP114" s="212" t="n"/>
      <c r="RQ114" s="212" t="n"/>
      <c r="RR114" s="212" t="n"/>
      <c r="RS114" s="212" t="n"/>
      <c r="RT114" s="212" t="n"/>
      <c r="RU114" s="212" t="n"/>
      <c r="RV114" s="212" t="n"/>
      <c r="RW114" s="212" t="n"/>
      <c r="RX114" s="212" t="n"/>
      <c r="RY114" s="212" t="n"/>
      <c r="RZ114" s="212" t="n"/>
      <c r="SA114" s="212" t="n"/>
      <c r="SB114" s="212" t="n"/>
      <c r="SC114" s="212" t="n"/>
      <c r="SD114" s="212" t="n"/>
      <c r="SE114" s="212" t="n"/>
      <c r="SF114" s="212" t="n"/>
      <c r="SG114" s="212" t="n"/>
      <c r="SH114" s="212" t="n"/>
      <c r="SI114" s="212" t="n"/>
      <c r="SJ114" s="212" t="n"/>
      <c r="SK114" s="212" t="n"/>
      <c r="SL114" s="212" t="n"/>
      <c r="SM114" s="212" t="n"/>
      <c r="SN114" s="212" t="n"/>
      <c r="SO114" s="212" t="n"/>
      <c r="SP114" s="212" t="n"/>
      <c r="SQ114" s="212" t="n"/>
      <c r="SR114" s="212" t="n"/>
      <c r="SS114" s="212" t="n"/>
      <c r="ST114" s="212" t="n"/>
      <c r="SU114" s="212" t="n"/>
      <c r="SV114" s="212" t="n"/>
    </row>
    <row r="115">
      <c r="B115" s="209" t="n"/>
      <c r="C115" s="209" t="n"/>
      <c r="D115" s="209" t="n"/>
      <c r="E115" s="209" t="n"/>
      <c r="F115" s="209">
        <f>IF(TRIM(D115&amp;E115)="","",TRIM(D115)&amp;" "&amp;TRIM(E115))</f>
        <v/>
      </c>
      <c r="G115" s="209" t="n"/>
      <c r="H115" s="209" t="n"/>
      <c r="I115" s="209" t="n"/>
      <c r="J115" s="209" t="n"/>
      <c r="K115" s="209" t="n"/>
      <c r="L115" s="209" t="n"/>
      <c r="M115" s="209" t="n"/>
      <c r="N115" s="209" t="n"/>
      <c r="O115" s="209" t="n"/>
      <c r="P115" s="209" t="n"/>
      <c r="Q115" s="209" t="n"/>
      <c r="R115" s="209" t="n"/>
      <c r="S115" s="212" t="n"/>
      <c r="T115" s="212" t="n"/>
      <c r="U115" s="212" t="n"/>
      <c r="V115" s="212" t="n"/>
      <c r="W115" s="212" t="n"/>
      <c r="X115" s="212" t="n"/>
      <c r="Y115" s="212" t="n"/>
      <c r="Z115" s="212" t="n"/>
      <c r="AA115" s="212" t="n"/>
      <c r="AB115" s="212" t="n"/>
      <c r="AC115" s="212" t="n"/>
      <c r="AD115" s="212" t="n"/>
      <c r="AE115" s="212" t="n"/>
      <c r="AF115" s="212" t="n"/>
      <c r="AG115" s="212" t="n"/>
      <c r="AH115" s="212" t="n"/>
      <c r="AI115" s="212" t="n"/>
      <c r="AJ115" s="212" t="n"/>
      <c r="AK115" s="212" t="n"/>
      <c r="AL115" s="212" t="n"/>
      <c r="AM115" s="212" t="n"/>
      <c r="AN115" s="212" t="n"/>
      <c r="AO115" s="212" t="n"/>
      <c r="AP115" s="212" t="n"/>
      <c r="AQ115" s="212" t="n"/>
      <c r="AR115" s="212" t="n"/>
      <c r="AS115" s="212" t="n"/>
      <c r="AT115" s="212" t="n"/>
      <c r="AU115" s="212" t="n"/>
      <c r="AV115" s="212" t="n"/>
      <c r="AW115" s="212" t="n"/>
      <c r="AX115" s="212" t="n"/>
      <c r="AY115" s="212" t="n"/>
      <c r="AZ115" s="212" t="n"/>
      <c r="BA115" s="212" t="n"/>
      <c r="BB115" s="212" t="n"/>
      <c r="BC115" s="212" t="n"/>
      <c r="BD115" s="212" t="n"/>
      <c r="BE115" s="212" t="n"/>
      <c r="BF115" s="212" t="n"/>
      <c r="BG115" s="212" t="n"/>
      <c r="BH115" s="212" t="n"/>
      <c r="BI115" s="212" t="n"/>
      <c r="BJ115" s="212" t="n"/>
      <c r="BK115" s="212" t="n"/>
      <c r="BL115" s="212" t="n"/>
      <c r="BM115" s="212" t="n"/>
      <c r="BN115" s="212" t="n"/>
      <c r="BO115" s="212" t="n"/>
      <c r="BP115" s="212" t="n"/>
      <c r="BQ115" s="212" t="n"/>
      <c r="BR115" s="212" t="n"/>
      <c r="BS115" s="212" t="n"/>
      <c r="BT115" s="212" t="n"/>
      <c r="BU115" s="212" t="n"/>
      <c r="BV115" s="212" t="n"/>
      <c r="BW115" s="212" t="n"/>
      <c r="BX115" s="212" t="n"/>
      <c r="BY115" s="212" t="n"/>
      <c r="BZ115" s="212" t="n"/>
      <c r="CA115" s="212" t="n"/>
      <c r="CB115" s="212" t="n"/>
      <c r="CC115" s="212" t="n"/>
      <c r="CD115" s="212" t="n"/>
      <c r="CE115" s="212" t="n"/>
      <c r="CF115" s="212" t="n"/>
      <c r="CG115" s="212" t="n"/>
      <c r="CH115" s="212" t="n"/>
      <c r="CI115" s="212" t="n"/>
      <c r="CJ115" s="212" t="n"/>
      <c r="CK115" s="212" t="n"/>
      <c r="CL115" s="212" t="n"/>
      <c r="CM115" s="212" t="n"/>
      <c r="CN115" s="212" t="n"/>
      <c r="CO115" s="212" t="n"/>
      <c r="CP115" s="212" t="n"/>
      <c r="CQ115" s="212" t="n"/>
      <c r="CR115" s="212" t="n"/>
      <c r="CS115" s="212" t="n"/>
      <c r="CT115" s="212" t="n"/>
      <c r="CU115" s="212" t="n"/>
      <c r="CV115" s="212" t="n"/>
      <c r="CW115" s="212" t="n"/>
      <c r="CX115" s="212" t="n"/>
      <c r="CY115" s="212" t="n"/>
      <c r="CZ115" s="212" t="n"/>
      <c r="DA115" s="212" t="n"/>
      <c r="DB115" s="212" t="n"/>
      <c r="DC115" s="212" t="n"/>
      <c r="DD115" s="212" t="n"/>
      <c r="DE115" s="212" t="n"/>
      <c r="DF115" s="212" t="n"/>
      <c r="DG115" s="212" t="n"/>
      <c r="DH115" s="212" t="n"/>
      <c r="DI115" s="212" t="n"/>
      <c r="DJ115" s="212" t="n"/>
      <c r="DK115" s="212" t="n"/>
      <c r="DL115" s="212" t="n"/>
      <c r="DM115" s="212" t="n"/>
      <c r="DN115" s="212" t="n"/>
      <c r="DO115" s="212" t="n"/>
      <c r="DP115" s="212" t="n"/>
      <c r="DQ115" s="212" t="n"/>
      <c r="DR115" s="212" t="n"/>
      <c r="DS115" s="212" t="n"/>
      <c r="DT115" s="212" t="n"/>
      <c r="DU115" s="212" t="n"/>
      <c r="DV115" s="212" t="n"/>
      <c r="DW115" s="212" t="n"/>
      <c r="DX115" s="212" t="n"/>
      <c r="DY115" s="212" t="n"/>
      <c r="DZ115" s="212" t="n"/>
      <c r="EA115" s="212" t="n"/>
      <c r="EB115" s="212" t="n"/>
      <c r="EC115" s="212" t="n"/>
      <c r="ED115" s="212" t="n"/>
      <c r="EE115" s="212" t="n"/>
      <c r="EF115" s="212" t="n"/>
      <c r="EG115" s="212" t="n"/>
      <c r="EH115" s="212" t="n"/>
      <c r="EI115" s="212" t="n"/>
      <c r="EJ115" s="212" t="n"/>
      <c r="EK115" s="212" t="n"/>
      <c r="EL115" s="212" t="n"/>
      <c r="EM115" s="212" t="n"/>
      <c r="EN115" s="212" t="n"/>
      <c r="EO115" s="212" t="n"/>
      <c r="EP115" s="212" t="n"/>
      <c r="EQ115" s="212" t="n"/>
      <c r="ER115" s="212" t="n"/>
      <c r="ES115" s="212" t="n"/>
      <c r="ET115" s="212" t="n"/>
      <c r="EU115" s="212" t="n"/>
      <c r="EV115" s="212" t="n"/>
      <c r="EW115" s="212" t="n"/>
      <c r="EX115" s="212" t="n"/>
      <c r="EY115" s="212" t="n"/>
      <c r="EZ115" s="212" t="n"/>
      <c r="FA115" s="212" t="n"/>
      <c r="FB115" s="212" t="n"/>
      <c r="FC115" s="212" t="n"/>
      <c r="FD115" s="212" t="n"/>
      <c r="FE115" s="212" t="n"/>
      <c r="FF115" s="212" t="n"/>
      <c r="FG115" s="212" t="n"/>
      <c r="FH115" s="212" t="n"/>
      <c r="FI115" s="212" t="n"/>
      <c r="FJ115" s="212" t="n"/>
      <c r="FK115" s="212" t="n"/>
      <c r="FL115" s="212" t="n"/>
      <c r="FM115" s="212" t="n"/>
      <c r="FN115" s="212" t="n"/>
      <c r="FO115" s="212" t="n"/>
      <c r="FP115" s="212" t="n"/>
      <c r="FQ115" s="212" t="n"/>
      <c r="FR115" s="212" t="n"/>
      <c r="FS115" s="212" t="n"/>
      <c r="FT115" s="212" t="n"/>
      <c r="FU115" s="212" t="n"/>
      <c r="FV115" s="212" t="n"/>
      <c r="FW115" s="212" t="n"/>
      <c r="FX115" s="212" t="n"/>
      <c r="FY115" s="212" t="n"/>
      <c r="FZ115" s="212" t="n"/>
      <c r="GA115" s="212" t="n"/>
      <c r="GB115" s="212" t="n"/>
      <c r="GC115" s="212" t="n"/>
      <c r="GD115" s="212" t="n"/>
      <c r="GE115" s="212" t="n"/>
      <c r="GF115" s="212" t="n"/>
      <c r="GG115" s="212" t="n"/>
      <c r="GH115" s="212" t="n"/>
      <c r="GI115" s="212" t="n"/>
      <c r="GJ115" s="212" t="n"/>
      <c r="GK115" s="212" t="n"/>
      <c r="GL115" s="212" t="n"/>
      <c r="GM115" s="212" t="n"/>
      <c r="GN115" s="212" t="n"/>
      <c r="GO115" s="212" t="n"/>
      <c r="GP115" s="212" t="n"/>
      <c r="GQ115" s="212" t="n"/>
      <c r="GR115" s="212" t="n"/>
      <c r="GS115" s="212" t="n"/>
      <c r="GT115" s="212" t="n"/>
      <c r="GU115" s="212" t="n"/>
      <c r="GV115" s="212" t="n"/>
      <c r="GW115" s="212" t="n"/>
      <c r="GX115" s="212" t="n"/>
      <c r="GY115" s="212" t="n"/>
      <c r="GZ115" s="212" t="n"/>
      <c r="HA115" s="212" t="n"/>
      <c r="HB115" s="212" t="n"/>
      <c r="HC115" s="212" t="n"/>
      <c r="HD115" s="212" t="n"/>
      <c r="HE115" s="212" t="n"/>
      <c r="HF115" s="212" t="n"/>
      <c r="HG115" s="212" t="n"/>
      <c r="HH115" s="212" t="n"/>
      <c r="HI115" s="212" t="n"/>
      <c r="HJ115" s="212" t="n"/>
      <c r="HK115" s="212" t="n"/>
      <c r="HL115" s="212" t="n"/>
      <c r="HM115" s="212" t="n"/>
      <c r="HN115" s="212" t="n"/>
      <c r="HO115" s="212" t="n"/>
      <c r="HP115" s="212" t="n"/>
      <c r="HQ115" s="212" t="n"/>
      <c r="HR115" s="212" t="n"/>
      <c r="HS115" s="212" t="n"/>
      <c r="HT115" s="212" t="n"/>
      <c r="HU115" s="212" t="n"/>
      <c r="HV115" s="212" t="n"/>
      <c r="HW115" s="212" t="n"/>
      <c r="HX115" s="212" t="n"/>
      <c r="HY115" s="212" t="n"/>
      <c r="HZ115" s="212" t="n"/>
      <c r="IA115" s="212" t="n"/>
      <c r="IB115" s="212" t="n"/>
      <c r="IC115" s="212" t="n"/>
      <c r="ID115" s="212" t="n"/>
      <c r="IE115" s="212" t="n"/>
      <c r="IF115" s="212" t="n"/>
      <c r="IG115" s="212" t="n"/>
      <c r="IH115" s="212" t="n"/>
      <c r="II115" s="212" t="n"/>
      <c r="IJ115" s="212" t="n"/>
      <c r="IK115" s="212" t="n"/>
      <c r="IL115" s="212" t="n"/>
      <c r="IM115" s="212" t="n"/>
      <c r="IN115" s="212" t="n"/>
      <c r="IO115" s="212" t="n"/>
      <c r="IP115" s="212" t="n"/>
      <c r="IQ115" s="212" t="n"/>
      <c r="IR115" s="212" t="n"/>
      <c r="IS115" s="212" t="n"/>
      <c r="IT115" s="212" t="n"/>
      <c r="IU115" s="212" t="n"/>
      <c r="IV115" s="212" t="n"/>
      <c r="IW115" s="212" t="n"/>
      <c r="IX115" s="212" t="n"/>
      <c r="IY115" s="212" t="n"/>
      <c r="IZ115" s="212" t="n"/>
      <c r="JA115" s="212" t="n"/>
      <c r="JB115" s="212" t="n"/>
      <c r="JC115" s="212" t="n"/>
      <c r="JD115" s="212" t="n"/>
      <c r="JE115" s="212" t="n"/>
      <c r="JF115" s="212" t="n"/>
      <c r="JG115" s="212" t="n"/>
      <c r="JH115" s="212" t="n"/>
      <c r="JI115" s="212" t="n"/>
      <c r="JJ115" s="212" t="n"/>
      <c r="JK115" s="212" t="n"/>
      <c r="JL115" s="212" t="n"/>
      <c r="JM115" s="212" t="n"/>
      <c r="JN115" s="212" t="n"/>
      <c r="JO115" s="212" t="n"/>
      <c r="JP115" s="212" t="n"/>
      <c r="JQ115" s="212" t="n"/>
      <c r="JR115" s="212" t="n"/>
      <c r="JS115" s="212" t="n"/>
      <c r="JT115" s="212" t="n"/>
      <c r="JU115" s="212" t="n"/>
      <c r="JV115" s="212" t="n"/>
      <c r="JW115" s="212" t="n"/>
      <c r="JX115" s="212" t="n"/>
      <c r="JY115" s="212" t="n"/>
      <c r="JZ115" s="212" t="n"/>
      <c r="KA115" s="212" t="n"/>
      <c r="KB115" s="212" t="n"/>
      <c r="KC115" s="212" t="n"/>
      <c r="KD115" s="212" t="n"/>
      <c r="KE115" s="212" t="n"/>
      <c r="KF115" s="212" t="n"/>
      <c r="KG115" s="212" t="n"/>
      <c r="KH115" s="212" t="n"/>
      <c r="KI115" s="212" t="n"/>
      <c r="KJ115" s="212" t="n"/>
      <c r="KK115" s="212" t="n"/>
      <c r="KL115" s="212" t="n"/>
      <c r="KM115" s="212" t="n"/>
      <c r="KN115" s="212" t="n"/>
      <c r="KO115" s="212" t="n"/>
      <c r="KP115" s="212" t="n"/>
      <c r="KQ115" s="212" t="n"/>
      <c r="KR115" s="212" t="n"/>
      <c r="KS115" s="212" t="n"/>
      <c r="KT115" s="212" t="n"/>
      <c r="KU115" s="212" t="n"/>
      <c r="KV115" s="212" t="n"/>
      <c r="KW115" s="212" t="n"/>
      <c r="KX115" s="212" t="n"/>
      <c r="KY115" s="212" t="n"/>
      <c r="KZ115" s="212" t="n"/>
      <c r="LA115" s="212" t="n"/>
      <c r="LB115" s="212" t="n"/>
      <c r="LC115" s="212" t="n"/>
      <c r="LD115" s="212" t="n"/>
      <c r="LE115" s="212" t="n"/>
      <c r="LF115" s="212" t="n"/>
      <c r="LG115" s="212" t="n"/>
      <c r="LH115" s="212" t="n"/>
      <c r="LI115" s="212" t="n"/>
      <c r="LJ115" s="212" t="n"/>
      <c r="LK115" s="212" t="n"/>
      <c r="LL115" s="212" t="n"/>
      <c r="LM115" s="212" t="n"/>
      <c r="LN115" s="212" t="n"/>
      <c r="LO115" s="212" t="n"/>
      <c r="LP115" s="212" t="n"/>
      <c r="LQ115" s="212" t="n"/>
      <c r="LR115" s="212" t="n"/>
      <c r="LS115" s="212" t="n"/>
      <c r="LT115" s="212" t="n"/>
      <c r="LU115" s="212" t="n"/>
      <c r="LV115" s="212" t="n"/>
      <c r="LW115" s="212" t="n"/>
      <c r="LX115" s="212" t="n"/>
      <c r="LY115" s="212" t="n"/>
      <c r="LZ115" s="212" t="n"/>
      <c r="MA115" s="212" t="n"/>
      <c r="MB115" s="212" t="n"/>
      <c r="MC115" s="212" t="n"/>
      <c r="MD115" s="212" t="n"/>
      <c r="ME115" s="212" t="n"/>
      <c r="MF115" s="212" t="n"/>
      <c r="MG115" s="212" t="n"/>
      <c r="MH115" s="212" t="n"/>
      <c r="MI115" s="212" t="n"/>
      <c r="MJ115" s="212" t="n"/>
      <c r="MK115" s="212" t="n"/>
      <c r="ML115" s="212" t="n"/>
      <c r="MM115" s="212" t="n"/>
      <c r="MN115" s="212" t="n"/>
      <c r="MO115" s="212" t="n"/>
      <c r="MP115" s="212" t="n"/>
      <c r="MQ115" s="212" t="n"/>
      <c r="MR115" s="212" t="n"/>
      <c r="MS115" s="212" t="n"/>
      <c r="MT115" s="212" t="n"/>
      <c r="MU115" s="212" t="n"/>
      <c r="MV115" s="212" t="n"/>
      <c r="MW115" s="212" t="n"/>
      <c r="MX115" s="212" t="n"/>
      <c r="MY115" s="212" t="n"/>
      <c r="MZ115" s="212" t="n"/>
      <c r="NA115" s="212" t="n"/>
      <c r="NB115" s="212" t="n"/>
      <c r="NC115" s="212" t="n"/>
      <c r="ND115" s="212" t="n"/>
      <c r="NE115" s="212" t="n"/>
      <c r="NF115" s="212" t="n"/>
      <c r="NG115" s="212" t="n"/>
      <c r="NH115" s="212" t="n"/>
      <c r="NI115" s="212" t="n"/>
      <c r="NJ115" s="212" t="n"/>
      <c r="NK115" s="212" t="n"/>
      <c r="NL115" s="212" t="n"/>
      <c r="NM115" s="212" t="n"/>
      <c r="NN115" s="212" t="n"/>
      <c r="NO115" s="212" t="n"/>
      <c r="NP115" s="212" t="n"/>
      <c r="NQ115" s="212" t="n"/>
      <c r="NR115" s="212" t="n"/>
      <c r="NS115" s="212" t="n"/>
      <c r="NT115" s="212" t="n"/>
      <c r="NU115" s="212" t="n"/>
      <c r="NV115" s="212" t="n"/>
      <c r="NW115" s="212" t="n"/>
      <c r="NX115" s="212" t="n"/>
      <c r="NY115" s="212" t="n"/>
      <c r="NZ115" s="212" t="n"/>
      <c r="OA115" s="212" t="n"/>
      <c r="OB115" s="212" t="n"/>
      <c r="OC115" s="212" t="n"/>
      <c r="OD115" s="212" t="n"/>
      <c r="OE115" s="212" t="n"/>
      <c r="OF115" s="212" t="n"/>
      <c r="OG115" s="212" t="n"/>
      <c r="OH115" s="212" t="n"/>
      <c r="OI115" s="212" t="n"/>
      <c r="OJ115" s="212" t="n"/>
      <c r="OK115" s="212" t="n"/>
      <c r="OL115" s="212" t="n"/>
      <c r="OM115" s="212" t="n"/>
      <c r="ON115" s="212" t="n"/>
      <c r="OO115" s="212" t="n"/>
      <c r="OP115" s="212" t="n"/>
      <c r="OQ115" s="212" t="n"/>
      <c r="OR115" s="212" t="n"/>
      <c r="OS115" s="212" t="n"/>
      <c r="OT115" s="212" t="n"/>
      <c r="OU115" s="212" t="n"/>
      <c r="OV115" s="212" t="n"/>
      <c r="OW115" s="212" t="n"/>
      <c r="OX115" s="212" t="n"/>
      <c r="OY115" s="212" t="n"/>
      <c r="OZ115" s="212" t="n"/>
      <c r="PA115" s="212" t="n"/>
      <c r="PB115" s="212" t="n"/>
      <c r="PC115" s="212" t="n"/>
      <c r="PD115" s="212" t="n"/>
      <c r="PE115" s="212" t="n"/>
      <c r="PF115" s="212" t="n"/>
      <c r="PG115" s="212" t="n"/>
      <c r="PH115" s="212" t="n"/>
      <c r="PI115" s="212" t="n"/>
      <c r="PJ115" s="212" t="n"/>
      <c r="PK115" s="212" t="n"/>
      <c r="PL115" s="212" t="n"/>
      <c r="PM115" s="212" t="n"/>
      <c r="PN115" s="212" t="n"/>
      <c r="PO115" s="212" t="n"/>
      <c r="PP115" s="212" t="n"/>
      <c r="PQ115" s="212" t="n"/>
      <c r="PR115" s="212" t="n"/>
      <c r="PS115" s="212" t="n"/>
      <c r="PT115" s="212" t="n"/>
      <c r="PU115" s="212" t="n"/>
      <c r="PV115" s="212" t="n"/>
      <c r="PW115" s="212" t="n"/>
      <c r="PX115" s="212" t="n"/>
      <c r="PY115" s="212" t="n"/>
      <c r="PZ115" s="212" t="n"/>
      <c r="QA115" s="212" t="n"/>
      <c r="QB115" s="212" t="n"/>
      <c r="QC115" s="212" t="n"/>
      <c r="QD115" s="212" t="n"/>
      <c r="QE115" s="212" t="n"/>
      <c r="QF115" s="212" t="n"/>
      <c r="QG115" s="212" t="n"/>
      <c r="QH115" s="212" t="n"/>
      <c r="QI115" s="212" t="n"/>
      <c r="QJ115" s="212" t="n"/>
      <c r="QK115" s="212" t="n"/>
      <c r="QL115" s="212" t="n"/>
      <c r="QM115" s="212" t="n"/>
      <c r="QN115" s="212" t="n"/>
      <c r="QO115" s="212" t="n"/>
      <c r="QP115" s="212" t="n"/>
      <c r="QQ115" s="212" t="n"/>
      <c r="QR115" s="212" t="n"/>
      <c r="QS115" s="212" t="n"/>
      <c r="QT115" s="212" t="n"/>
      <c r="QU115" s="212" t="n"/>
      <c r="QV115" s="212" t="n"/>
      <c r="QW115" s="212" t="n"/>
      <c r="QX115" s="212" t="n"/>
      <c r="QY115" s="212" t="n"/>
      <c r="QZ115" s="212" t="n"/>
      <c r="RA115" s="212" t="n"/>
      <c r="RB115" s="212" t="n"/>
      <c r="RC115" s="212" t="n"/>
      <c r="RD115" s="212" t="n"/>
      <c r="RE115" s="212" t="n"/>
      <c r="RF115" s="212" t="n"/>
      <c r="RG115" s="212" t="n"/>
      <c r="RH115" s="212" t="n"/>
      <c r="RI115" s="212" t="n"/>
      <c r="RJ115" s="212" t="n"/>
      <c r="RK115" s="212" t="n"/>
      <c r="RL115" s="212" t="n"/>
      <c r="RM115" s="212" t="n"/>
      <c r="RN115" s="212" t="n"/>
      <c r="RO115" s="212" t="n"/>
      <c r="RP115" s="212" t="n"/>
      <c r="RQ115" s="212" t="n"/>
      <c r="RR115" s="212" t="n"/>
      <c r="RS115" s="212" t="n"/>
      <c r="RT115" s="212" t="n"/>
      <c r="RU115" s="212" t="n"/>
      <c r="RV115" s="212" t="n"/>
      <c r="RW115" s="212" t="n"/>
      <c r="RX115" s="212" t="n"/>
      <c r="RY115" s="212" t="n"/>
      <c r="RZ115" s="212" t="n"/>
      <c r="SA115" s="212" t="n"/>
      <c r="SB115" s="212" t="n"/>
      <c r="SC115" s="212" t="n"/>
      <c r="SD115" s="212" t="n"/>
      <c r="SE115" s="212" t="n"/>
      <c r="SF115" s="212" t="n"/>
      <c r="SG115" s="212" t="n"/>
      <c r="SH115" s="212" t="n"/>
      <c r="SI115" s="212" t="n"/>
      <c r="SJ115" s="212" t="n"/>
      <c r="SK115" s="212" t="n"/>
      <c r="SL115" s="212" t="n"/>
      <c r="SM115" s="212" t="n"/>
      <c r="SN115" s="212" t="n"/>
      <c r="SO115" s="212" t="n"/>
      <c r="SP115" s="212" t="n"/>
      <c r="SQ115" s="212" t="n"/>
      <c r="SR115" s="212" t="n"/>
      <c r="SS115" s="212" t="n"/>
      <c r="ST115" s="212" t="n"/>
      <c r="SU115" s="212" t="n"/>
      <c r="SV115" s="212" t="n"/>
    </row>
    <row r="116">
      <c r="B116" s="209" t="n"/>
      <c r="C116" s="209" t="n"/>
      <c r="D116" s="209" t="n"/>
      <c r="E116" s="209" t="n"/>
      <c r="F116" s="209">
        <f>IF(TRIM(D116&amp;E116)="","",TRIM(D116)&amp;" "&amp;TRIM(E116))</f>
        <v/>
      </c>
      <c r="G116" s="209" t="n"/>
      <c r="H116" s="209" t="n"/>
      <c r="I116" s="209" t="n"/>
      <c r="J116" s="209" t="n"/>
      <c r="K116" s="209" t="n"/>
      <c r="L116" s="209" t="n"/>
      <c r="M116" s="209" t="n"/>
      <c r="N116" s="209" t="n"/>
      <c r="O116" s="209" t="n"/>
      <c r="P116" s="209" t="n"/>
      <c r="Q116" s="209" t="n"/>
      <c r="R116" s="209" t="n"/>
      <c r="S116" s="212" t="n"/>
      <c r="T116" s="212" t="n"/>
      <c r="U116" s="212" t="n"/>
      <c r="V116" s="212" t="n"/>
      <c r="W116" s="212" t="n"/>
      <c r="X116" s="212" t="n"/>
      <c r="Y116" s="212" t="n"/>
      <c r="Z116" s="212" t="n"/>
      <c r="AA116" s="212" t="n"/>
      <c r="AB116" s="212" t="n"/>
      <c r="AC116" s="212" t="n"/>
      <c r="AD116" s="212" t="n"/>
      <c r="AE116" s="212" t="n"/>
      <c r="AF116" s="212" t="n"/>
      <c r="AG116" s="212" t="n"/>
      <c r="AH116" s="212" t="n"/>
      <c r="AI116" s="212" t="n"/>
      <c r="AJ116" s="212" t="n"/>
      <c r="AK116" s="212" t="n"/>
      <c r="AL116" s="212" t="n"/>
      <c r="AM116" s="212" t="n"/>
      <c r="AN116" s="212" t="n"/>
      <c r="AO116" s="212" t="n"/>
      <c r="AP116" s="212" t="n"/>
      <c r="AQ116" s="212" t="n"/>
      <c r="AR116" s="212" t="n"/>
      <c r="AS116" s="212" t="n"/>
      <c r="AT116" s="212" t="n"/>
      <c r="AU116" s="212" t="n"/>
      <c r="AV116" s="212" t="n"/>
      <c r="AW116" s="212" t="n"/>
      <c r="AX116" s="212" t="n"/>
      <c r="AY116" s="212" t="n"/>
      <c r="AZ116" s="212" t="n"/>
      <c r="BA116" s="212" t="n"/>
      <c r="BB116" s="212" t="n"/>
      <c r="BC116" s="212" t="n"/>
      <c r="BD116" s="212" t="n"/>
      <c r="BE116" s="212" t="n"/>
      <c r="BF116" s="212" t="n"/>
      <c r="BG116" s="212" t="n"/>
      <c r="BH116" s="212" t="n"/>
      <c r="BI116" s="212" t="n"/>
      <c r="BJ116" s="212" t="n"/>
      <c r="BK116" s="212" t="n"/>
      <c r="BL116" s="212" t="n"/>
      <c r="BM116" s="212" t="n"/>
      <c r="BN116" s="212" t="n"/>
      <c r="BO116" s="212" t="n"/>
      <c r="BP116" s="212" t="n"/>
      <c r="BQ116" s="212" t="n"/>
      <c r="BR116" s="212" t="n"/>
      <c r="BS116" s="212" t="n"/>
      <c r="BT116" s="212" t="n"/>
      <c r="BU116" s="212" t="n"/>
      <c r="BV116" s="212" t="n"/>
      <c r="BW116" s="212" t="n"/>
      <c r="BX116" s="212" t="n"/>
      <c r="BY116" s="212" t="n"/>
      <c r="BZ116" s="212" t="n"/>
      <c r="CA116" s="212" t="n"/>
      <c r="CB116" s="212" t="n"/>
      <c r="CC116" s="212" t="n"/>
      <c r="CD116" s="212" t="n"/>
      <c r="CE116" s="212" t="n"/>
      <c r="CF116" s="212" t="n"/>
      <c r="CG116" s="212" t="n"/>
      <c r="CH116" s="212" t="n"/>
      <c r="CI116" s="212" t="n"/>
      <c r="CJ116" s="212" t="n"/>
      <c r="CK116" s="212" t="n"/>
      <c r="CL116" s="212" t="n"/>
      <c r="CM116" s="212" t="n"/>
      <c r="CN116" s="212" t="n"/>
      <c r="CO116" s="212" t="n"/>
      <c r="CP116" s="212" t="n"/>
      <c r="CQ116" s="212" t="n"/>
      <c r="CR116" s="212" t="n"/>
      <c r="CS116" s="212" t="n"/>
      <c r="CT116" s="212" t="n"/>
      <c r="CU116" s="212" t="n"/>
      <c r="CV116" s="212" t="n"/>
      <c r="CW116" s="212" t="n"/>
      <c r="CX116" s="212" t="n"/>
      <c r="CY116" s="212" t="n"/>
      <c r="CZ116" s="212" t="n"/>
      <c r="DA116" s="212" t="n"/>
      <c r="DB116" s="212" t="n"/>
      <c r="DC116" s="212" t="n"/>
      <c r="DD116" s="212" t="n"/>
      <c r="DE116" s="212" t="n"/>
      <c r="DF116" s="212" t="n"/>
      <c r="DG116" s="212" t="n"/>
      <c r="DH116" s="212" t="n"/>
      <c r="DI116" s="212" t="n"/>
      <c r="DJ116" s="212" t="n"/>
      <c r="DK116" s="212" t="n"/>
      <c r="DL116" s="212" t="n"/>
      <c r="DM116" s="212" t="n"/>
      <c r="DN116" s="212" t="n"/>
      <c r="DO116" s="212" t="n"/>
      <c r="DP116" s="212" t="n"/>
      <c r="DQ116" s="212" t="n"/>
      <c r="DR116" s="212" t="n"/>
      <c r="DS116" s="212" t="n"/>
      <c r="DT116" s="212" t="n"/>
      <c r="DU116" s="212" t="n"/>
      <c r="DV116" s="212" t="n"/>
      <c r="DW116" s="212" t="n"/>
      <c r="DX116" s="212" t="n"/>
      <c r="DY116" s="212" t="n"/>
      <c r="DZ116" s="212" t="n"/>
      <c r="EA116" s="212" t="n"/>
      <c r="EB116" s="212" t="n"/>
      <c r="EC116" s="212" t="n"/>
      <c r="ED116" s="212" t="n"/>
      <c r="EE116" s="212" t="n"/>
      <c r="EF116" s="212" t="n"/>
      <c r="EG116" s="212" t="n"/>
      <c r="EH116" s="212" t="n"/>
      <c r="EI116" s="212" t="n"/>
      <c r="EJ116" s="212" t="n"/>
      <c r="EK116" s="212" t="n"/>
      <c r="EL116" s="212" t="n"/>
      <c r="EM116" s="212" t="n"/>
      <c r="EN116" s="212" t="n"/>
      <c r="EO116" s="212" t="n"/>
      <c r="EP116" s="212" t="n"/>
      <c r="EQ116" s="212" t="n"/>
      <c r="ER116" s="212" t="n"/>
      <c r="ES116" s="212" t="n"/>
      <c r="ET116" s="212" t="n"/>
      <c r="EU116" s="212" t="n"/>
      <c r="EV116" s="212" t="n"/>
      <c r="EW116" s="212" t="n"/>
      <c r="EX116" s="212" t="n"/>
      <c r="EY116" s="212" t="n"/>
      <c r="EZ116" s="212" t="n"/>
      <c r="FA116" s="212" t="n"/>
      <c r="FB116" s="212" t="n"/>
      <c r="FC116" s="212" t="n"/>
      <c r="FD116" s="212" t="n"/>
      <c r="FE116" s="212" t="n"/>
      <c r="FF116" s="212" t="n"/>
      <c r="FG116" s="212" t="n"/>
      <c r="FH116" s="212" t="n"/>
      <c r="FI116" s="212" t="n"/>
      <c r="FJ116" s="212" t="n"/>
      <c r="FK116" s="212" t="n"/>
      <c r="FL116" s="212" t="n"/>
      <c r="FM116" s="212" t="n"/>
      <c r="FN116" s="212" t="n"/>
      <c r="FO116" s="212" t="n"/>
      <c r="FP116" s="212" t="n"/>
      <c r="FQ116" s="212" t="n"/>
      <c r="FR116" s="212" t="n"/>
      <c r="FS116" s="212" t="n"/>
      <c r="FT116" s="212" t="n"/>
      <c r="FU116" s="212" t="n"/>
      <c r="FV116" s="212" t="n"/>
      <c r="FW116" s="212" t="n"/>
      <c r="FX116" s="212" t="n"/>
      <c r="FY116" s="212" t="n"/>
      <c r="FZ116" s="212" t="n"/>
      <c r="GA116" s="212" t="n"/>
      <c r="GB116" s="212" t="n"/>
      <c r="GC116" s="212" t="n"/>
      <c r="GD116" s="212" t="n"/>
      <c r="GE116" s="212" t="n"/>
      <c r="GF116" s="212" t="n"/>
      <c r="GG116" s="212" t="n"/>
      <c r="GH116" s="212" t="n"/>
      <c r="GI116" s="212" t="n"/>
      <c r="GJ116" s="212" t="n"/>
      <c r="GK116" s="212" t="n"/>
      <c r="GL116" s="212" t="n"/>
      <c r="GM116" s="212" t="n"/>
      <c r="GN116" s="212" t="n"/>
      <c r="GO116" s="212" t="n"/>
      <c r="GP116" s="212" t="n"/>
      <c r="GQ116" s="212" t="n"/>
      <c r="GR116" s="212" t="n"/>
      <c r="GS116" s="212" t="n"/>
      <c r="GT116" s="212" t="n"/>
      <c r="GU116" s="212" t="n"/>
      <c r="GV116" s="212" t="n"/>
      <c r="GW116" s="212" t="n"/>
      <c r="GX116" s="212" t="n"/>
      <c r="GY116" s="212" t="n"/>
      <c r="GZ116" s="212" t="n"/>
      <c r="HA116" s="212" t="n"/>
      <c r="HB116" s="212" t="n"/>
      <c r="HC116" s="212" t="n"/>
      <c r="HD116" s="212" t="n"/>
      <c r="HE116" s="212" t="n"/>
      <c r="HF116" s="212" t="n"/>
      <c r="HG116" s="212" t="n"/>
      <c r="HH116" s="212" t="n"/>
      <c r="HI116" s="212" t="n"/>
      <c r="HJ116" s="212" t="n"/>
      <c r="HK116" s="212" t="n"/>
      <c r="HL116" s="212" t="n"/>
      <c r="HM116" s="212" t="n"/>
      <c r="HN116" s="212" t="n"/>
      <c r="HO116" s="212" t="n"/>
      <c r="HP116" s="212" t="n"/>
      <c r="HQ116" s="212" t="n"/>
      <c r="HR116" s="212" t="n"/>
      <c r="HS116" s="212" t="n"/>
      <c r="HT116" s="212" t="n"/>
      <c r="HU116" s="212" t="n"/>
      <c r="HV116" s="212" t="n"/>
      <c r="HW116" s="212" t="n"/>
      <c r="HX116" s="212" t="n"/>
      <c r="HY116" s="212" t="n"/>
      <c r="HZ116" s="212" t="n"/>
      <c r="IA116" s="212" t="n"/>
      <c r="IB116" s="212" t="n"/>
      <c r="IC116" s="212" t="n"/>
      <c r="ID116" s="212" t="n"/>
      <c r="IE116" s="212" t="n"/>
      <c r="IF116" s="212" t="n"/>
      <c r="IG116" s="212" t="n"/>
      <c r="IH116" s="212" t="n"/>
      <c r="II116" s="212" t="n"/>
      <c r="IJ116" s="212" t="n"/>
      <c r="IK116" s="212" t="n"/>
      <c r="IL116" s="212" t="n"/>
      <c r="IM116" s="212" t="n"/>
      <c r="IN116" s="212" t="n"/>
      <c r="IO116" s="212" t="n"/>
      <c r="IP116" s="212" t="n"/>
      <c r="IQ116" s="212" t="n"/>
      <c r="IR116" s="212" t="n"/>
      <c r="IS116" s="212" t="n"/>
      <c r="IT116" s="212" t="n"/>
      <c r="IU116" s="212" t="n"/>
      <c r="IV116" s="212" t="n"/>
      <c r="IW116" s="212" t="n"/>
      <c r="IX116" s="212" t="n"/>
      <c r="IY116" s="212" t="n"/>
      <c r="IZ116" s="212" t="n"/>
      <c r="JA116" s="212" t="n"/>
      <c r="JB116" s="212" t="n"/>
      <c r="JC116" s="212" t="n"/>
      <c r="JD116" s="212" t="n"/>
      <c r="JE116" s="212" t="n"/>
      <c r="JF116" s="212" t="n"/>
      <c r="JG116" s="212" t="n"/>
      <c r="JH116" s="212" t="n"/>
      <c r="JI116" s="212" t="n"/>
      <c r="JJ116" s="212" t="n"/>
      <c r="JK116" s="212" t="n"/>
      <c r="JL116" s="212" t="n"/>
      <c r="JM116" s="212" t="n"/>
      <c r="JN116" s="212" t="n"/>
      <c r="JO116" s="212" t="n"/>
      <c r="JP116" s="212" t="n"/>
      <c r="JQ116" s="212" t="n"/>
      <c r="JR116" s="212" t="n"/>
      <c r="JS116" s="212" t="n"/>
      <c r="JT116" s="212" t="n"/>
      <c r="JU116" s="212" t="n"/>
      <c r="JV116" s="212" t="n"/>
      <c r="JW116" s="212" t="n"/>
      <c r="JX116" s="212" t="n"/>
      <c r="JY116" s="212" t="n"/>
      <c r="JZ116" s="212" t="n"/>
      <c r="KA116" s="212" t="n"/>
      <c r="KB116" s="212" t="n"/>
      <c r="KC116" s="212" t="n"/>
      <c r="KD116" s="212" t="n"/>
      <c r="KE116" s="212" t="n"/>
      <c r="KF116" s="212" t="n"/>
      <c r="KG116" s="212" t="n"/>
      <c r="KH116" s="212" t="n"/>
      <c r="KI116" s="212" t="n"/>
      <c r="KJ116" s="212" t="n"/>
      <c r="KK116" s="212" t="n"/>
      <c r="KL116" s="212" t="n"/>
      <c r="KM116" s="212" t="n"/>
      <c r="KN116" s="212" t="n"/>
      <c r="KO116" s="212" t="n"/>
      <c r="KP116" s="212" t="n"/>
      <c r="KQ116" s="212" t="n"/>
      <c r="KR116" s="212" t="n"/>
      <c r="KS116" s="212" t="n"/>
      <c r="KT116" s="212" t="n"/>
      <c r="KU116" s="212" t="n"/>
      <c r="KV116" s="212" t="n"/>
      <c r="KW116" s="212" t="n"/>
      <c r="KX116" s="212" t="n"/>
      <c r="KY116" s="212" t="n"/>
      <c r="KZ116" s="212" t="n"/>
      <c r="LA116" s="212" t="n"/>
      <c r="LB116" s="212" t="n"/>
      <c r="LC116" s="212" t="n"/>
      <c r="LD116" s="212" t="n"/>
      <c r="LE116" s="212" t="n"/>
      <c r="LF116" s="212" t="n"/>
      <c r="LG116" s="212" t="n"/>
      <c r="LH116" s="212" t="n"/>
      <c r="LI116" s="212" t="n"/>
      <c r="LJ116" s="212" t="n"/>
      <c r="LK116" s="212" t="n"/>
      <c r="LL116" s="212" t="n"/>
      <c r="LM116" s="212" t="n"/>
      <c r="LN116" s="212" t="n"/>
      <c r="LO116" s="212" t="n"/>
      <c r="LP116" s="212" t="n"/>
      <c r="LQ116" s="212" t="n"/>
      <c r="LR116" s="212" t="n"/>
      <c r="LS116" s="212" t="n"/>
      <c r="LT116" s="212" t="n"/>
      <c r="LU116" s="212" t="n"/>
      <c r="LV116" s="212" t="n"/>
      <c r="LW116" s="212" t="n"/>
      <c r="LX116" s="212" t="n"/>
      <c r="LY116" s="212" t="n"/>
      <c r="LZ116" s="212" t="n"/>
      <c r="MA116" s="212" t="n"/>
      <c r="MB116" s="212" t="n"/>
      <c r="MC116" s="212" t="n"/>
      <c r="MD116" s="212" t="n"/>
      <c r="ME116" s="212" t="n"/>
      <c r="MF116" s="212" t="n"/>
      <c r="MG116" s="212" t="n"/>
      <c r="MH116" s="212" t="n"/>
      <c r="MI116" s="212" t="n"/>
      <c r="MJ116" s="212" t="n"/>
      <c r="MK116" s="212" t="n"/>
      <c r="ML116" s="212" t="n"/>
      <c r="MM116" s="212" t="n"/>
      <c r="MN116" s="212" t="n"/>
      <c r="MO116" s="212" t="n"/>
      <c r="MP116" s="212" t="n"/>
      <c r="MQ116" s="212" t="n"/>
      <c r="MR116" s="212" t="n"/>
      <c r="MS116" s="212" t="n"/>
      <c r="MT116" s="212" t="n"/>
      <c r="MU116" s="212" t="n"/>
      <c r="MV116" s="212" t="n"/>
      <c r="MW116" s="212" t="n"/>
      <c r="MX116" s="212" t="n"/>
      <c r="MY116" s="212" t="n"/>
      <c r="MZ116" s="212" t="n"/>
      <c r="NA116" s="212" t="n"/>
      <c r="NB116" s="212" t="n"/>
      <c r="NC116" s="212" t="n"/>
      <c r="ND116" s="212" t="n"/>
      <c r="NE116" s="212" t="n"/>
      <c r="NF116" s="212" t="n"/>
      <c r="NG116" s="212" t="n"/>
      <c r="NH116" s="212" t="n"/>
      <c r="NI116" s="212" t="n"/>
      <c r="NJ116" s="212" t="n"/>
      <c r="NK116" s="212" t="n"/>
      <c r="NL116" s="212" t="n"/>
      <c r="NM116" s="212" t="n"/>
      <c r="NN116" s="212" t="n"/>
      <c r="NO116" s="212" t="n"/>
      <c r="NP116" s="212" t="n"/>
      <c r="NQ116" s="212" t="n"/>
      <c r="NR116" s="212" t="n"/>
      <c r="NS116" s="212" t="n"/>
      <c r="NT116" s="212" t="n"/>
      <c r="NU116" s="212" t="n"/>
      <c r="NV116" s="212" t="n"/>
      <c r="NW116" s="212" t="n"/>
      <c r="NX116" s="212" t="n"/>
      <c r="NY116" s="212" t="n"/>
      <c r="NZ116" s="212" t="n"/>
      <c r="OA116" s="212" t="n"/>
      <c r="OB116" s="212" t="n"/>
      <c r="OC116" s="212" t="n"/>
      <c r="OD116" s="212" t="n"/>
      <c r="OE116" s="212" t="n"/>
      <c r="OF116" s="212" t="n"/>
      <c r="OG116" s="212" t="n"/>
      <c r="OH116" s="212" t="n"/>
      <c r="OI116" s="212" t="n"/>
      <c r="OJ116" s="212" t="n"/>
      <c r="OK116" s="212" t="n"/>
      <c r="OL116" s="212" t="n"/>
      <c r="OM116" s="212" t="n"/>
      <c r="ON116" s="212" t="n"/>
      <c r="OO116" s="212" t="n"/>
      <c r="OP116" s="212" t="n"/>
      <c r="OQ116" s="212" t="n"/>
      <c r="OR116" s="212" t="n"/>
      <c r="OS116" s="212" t="n"/>
      <c r="OT116" s="212" t="n"/>
      <c r="OU116" s="212" t="n"/>
      <c r="OV116" s="212" t="n"/>
      <c r="OW116" s="212" t="n"/>
      <c r="OX116" s="212" t="n"/>
      <c r="OY116" s="212" t="n"/>
      <c r="OZ116" s="212" t="n"/>
      <c r="PA116" s="212" t="n"/>
      <c r="PB116" s="212" t="n"/>
      <c r="PC116" s="212" t="n"/>
      <c r="PD116" s="212" t="n"/>
      <c r="PE116" s="212" t="n"/>
      <c r="PF116" s="212" t="n"/>
      <c r="PG116" s="212" t="n"/>
      <c r="PH116" s="212" t="n"/>
      <c r="PI116" s="212" t="n"/>
      <c r="PJ116" s="212" t="n"/>
      <c r="PK116" s="212" t="n"/>
      <c r="PL116" s="212" t="n"/>
      <c r="PM116" s="212" t="n"/>
      <c r="PN116" s="212" t="n"/>
      <c r="PO116" s="212" t="n"/>
      <c r="PP116" s="212" t="n"/>
      <c r="PQ116" s="212" t="n"/>
      <c r="PR116" s="212" t="n"/>
      <c r="PS116" s="212" t="n"/>
      <c r="PT116" s="212" t="n"/>
      <c r="PU116" s="212" t="n"/>
      <c r="PV116" s="212" t="n"/>
      <c r="PW116" s="212" t="n"/>
      <c r="PX116" s="212" t="n"/>
      <c r="PY116" s="212" t="n"/>
      <c r="PZ116" s="212" t="n"/>
      <c r="QA116" s="212" t="n"/>
      <c r="QB116" s="212" t="n"/>
      <c r="QC116" s="212" t="n"/>
      <c r="QD116" s="212" t="n"/>
      <c r="QE116" s="212" t="n"/>
      <c r="QF116" s="212" t="n"/>
      <c r="QG116" s="212" t="n"/>
      <c r="QH116" s="212" t="n"/>
      <c r="QI116" s="212" t="n"/>
      <c r="QJ116" s="212" t="n"/>
      <c r="QK116" s="212" t="n"/>
      <c r="QL116" s="212" t="n"/>
      <c r="QM116" s="212" t="n"/>
      <c r="QN116" s="212" t="n"/>
      <c r="QO116" s="212" t="n"/>
      <c r="QP116" s="212" t="n"/>
      <c r="QQ116" s="212" t="n"/>
      <c r="QR116" s="212" t="n"/>
      <c r="QS116" s="212" t="n"/>
      <c r="QT116" s="212" t="n"/>
      <c r="QU116" s="212" t="n"/>
      <c r="QV116" s="212" t="n"/>
      <c r="QW116" s="212" t="n"/>
      <c r="QX116" s="212" t="n"/>
      <c r="QY116" s="212" t="n"/>
      <c r="QZ116" s="212" t="n"/>
      <c r="RA116" s="212" t="n"/>
      <c r="RB116" s="212" t="n"/>
      <c r="RC116" s="212" t="n"/>
      <c r="RD116" s="212" t="n"/>
      <c r="RE116" s="212" t="n"/>
      <c r="RF116" s="212" t="n"/>
      <c r="RG116" s="212" t="n"/>
      <c r="RH116" s="212" t="n"/>
      <c r="RI116" s="212" t="n"/>
      <c r="RJ116" s="212" t="n"/>
      <c r="RK116" s="212" t="n"/>
      <c r="RL116" s="212" t="n"/>
      <c r="RM116" s="212" t="n"/>
      <c r="RN116" s="212" t="n"/>
      <c r="RO116" s="212" t="n"/>
      <c r="RP116" s="212" t="n"/>
      <c r="RQ116" s="212" t="n"/>
      <c r="RR116" s="212" t="n"/>
      <c r="RS116" s="212" t="n"/>
      <c r="RT116" s="212" t="n"/>
      <c r="RU116" s="212" t="n"/>
      <c r="RV116" s="212" t="n"/>
      <c r="RW116" s="212" t="n"/>
      <c r="RX116" s="212" t="n"/>
      <c r="RY116" s="212" t="n"/>
      <c r="RZ116" s="212" t="n"/>
      <c r="SA116" s="212" t="n"/>
      <c r="SB116" s="212" t="n"/>
      <c r="SC116" s="212" t="n"/>
      <c r="SD116" s="212" t="n"/>
      <c r="SE116" s="212" t="n"/>
      <c r="SF116" s="212" t="n"/>
      <c r="SG116" s="212" t="n"/>
      <c r="SH116" s="212" t="n"/>
      <c r="SI116" s="212" t="n"/>
      <c r="SJ116" s="212" t="n"/>
      <c r="SK116" s="212" t="n"/>
      <c r="SL116" s="212" t="n"/>
      <c r="SM116" s="212" t="n"/>
      <c r="SN116" s="212" t="n"/>
      <c r="SO116" s="212" t="n"/>
      <c r="SP116" s="212" t="n"/>
      <c r="SQ116" s="212" t="n"/>
      <c r="SR116" s="212" t="n"/>
      <c r="SS116" s="212" t="n"/>
      <c r="ST116" s="212" t="n"/>
      <c r="SU116" s="212" t="n"/>
      <c r="SV116" s="212" t="n"/>
    </row>
    <row r="117">
      <c r="B117" s="209" t="n"/>
      <c r="C117" s="209" t="n"/>
      <c r="D117" s="209" t="n"/>
      <c r="E117" s="209" t="n"/>
      <c r="F117" s="209">
        <f>IF(TRIM(D117&amp;E117)="","",TRIM(D117)&amp;" "&amp;TRIM(E117))</f>
        <v/>
      </c>
      <c r="G117" s="209" t="n"/>
      <c r="H117" s="209" t="n"/>
      <c r="I117" s="209" t="n"/>
      <c r="J117" s="209" t="n"/>
      <c r="K117" s="209" t="n"/>
      <c r="L117" s="209" t="n"/>
      <c r="M117" s="209" t="n"/>
      <c r="N117" s="209" t="n"/>
      <c r="O117" s="209" t="n"/>
      <c r="P117" s="209" t="n"/>
      <c r="Q117" s="209" t="n"/>
      <c r="R117" s="209" t="n"/>
      <c r="S117" s="212" t="n"/>
      <c r="T117" s="212" t="n"/>
      <c r="U117" s="212" t="n"/>
      <c r="V117" s="212" t="n"/>
      <c r="W117" s="212" t="n"/>
      <c r="X117" s="212" t="n"/>
      <c r="Y117" s="212" t="n"/>
      <c r="Z117" s="212" t="n"/>
      <c r="AA117" s="212" t="n"/>
      <c r="AB117" s="212" t="n"/>
      <c r="AC117" s="212" t="n"/>
      <c r="AD117" s="212" t="n"/>
      <c r="AE117" s="212" t="n"/>
      <c r="AF117" s="212" t="n"/>
      <c r="AG117" s="212" t="n"/>
      <c r="AH117" s="212" t="n"/>
      <c r="AI117" s="212" t="n"/>
      <c r="AJ117" s="212" t="n"/>
      <c r="AK117" s="212" t="n"/>
      <c r="AL117" s="212" t="n"/>
      <c r="AM117" s="212" t="n"/>
      <c r="AN117" s="212" t="n"/>
      <c r="AO117" s="212" t="n"/>
      <c r="AP117" s="212" t="n"/>
      <c r="AQ117" s="212" t="n"/>
      <c r="AR117" s="212" t="n"/>
      <c r="AS117" s="212" t="n"/>
      <c r="AT117" s="212" t="n"/>
      <c r="AU117" s="212" t="n"/>
      <c r="AV117" s="212" t="n"/>
      <c r="AW117" s="212" t="n"/>
      <c r="AX117" s="212" t="n"/>
      <c r="AY117" s="212" t="n"/>
      <c r="AZ117" s="212" t="n"/>
      <c r="BA117" s="212" t="n"/>
      <c r="BB117" s="212" t="n"/>
      <c r="BC117" s="212" t="n"/>
      <c r="BD117" s="212" t="n"/>
      <c r="BE117" s="212" t="n"/>
      <c r="BF117" s="212" t="n"/>
      <c r="BG117" s="212" t="n"/>
      <c r="BH117" s="212" t="n"/>
      <c r="BI117" s="212" t="n"/>
      <c r="BJ117" s="212" t="n"/>
      <c r="BK117" s="212" t="n"/>
      <c r="BL117" s="212" t="n"/>
      <c r="BM117" s="212" t="n"/>
      <c r="BN117" s="212" t="n"/>
      <c r="BO117" s="212" t="n"/>
      <c r="BP117" s="212" t="n"/>
      <c r="BQ117" s="212" t="n"/>
      <c r="BR117" s="212" t="n"/>
      <c r="BS117" s="212" t="n"/>
      <c r="BT117" s="212" t="n"/>
      <c r="BU117" s="212" t="n"/>
      <c r="BV117" s="212" t="n"/>
      <c r="BW117" s="212" t="n"/>
      <c r="BX117" s="212" t="n"/>
      <c r="BY117" s="212" t="n"/>
      <c r="BZ117" s="212" t="n"/>
      <c r="CA117" s="212" t="n"/>
      <c r="CB117" s="212" t="n"/>
      <c r="CC117" s="212" t="n"/>
      <c r="CD117" s="212" t="n"/>
      <c r="CE117" s="212" t="n"/>
      <c r="CF117" s="212" t="n"/>
      <c r="CG117" s="212" t="n"/>
      <c r="CH117" s="212" t="n"/>
      <c r="CI117" s="212" t="n"/>
      <c r="CJ117" s="212" t="n"/>
      <c r="CK117" s="212" t="n"/>
      <c r="CL117" s="212" t="n"/>
      <c r="CM117" s="212" t="n"/>
      <c r="CN117" s="212" t="n"/>
      <c r="CO117" s="212" t="n"/>
      <c r="CP117" s="212" t="n"/>
      <c r="CQ117" s="212" t="n"/>
      <c r="CR117" s="212" t="n"/>
      <c r="CS117" s="212" t="n"/>
      <c r="CT117" s="212" t="n"/>
      <c r="CU117" s="212" t="n"/>
      <c r="CV117" s="212" t="n"/>
      <c r="CW117" s="212" t="n"/>
      <c r="CX117" s="212" t="n"/>
      <c r="CY117" s="212" t="n"/>
      <c r="CZ117" s="212" t="n"/>
      <c r="DA117" s="212" t="n"/>
      <c r="DB117" s="212" t="n"/>
      <c r="DC117" s="212" t="n"/>
      <c r="DD117" s="212" t="n"/>
      <c r="DE117" s="212" t="n"/>
      <c r="DF117" s="212" t="n"/>
      <c r="DG117" s="212" t="n"/>
      <c r="DH117" s="212" t="n"/>
      <c r="DI117" s="212" t="n"/>
      <c r="DJ117" s="212" t="n"/>
      <c r="DK117" s="212" t="n"/>
      <c r="DL117" s="212" t="n"/>
      <c r="DM117" s="212" t="n"/>
      <c r="DN117" s="212" t="n"/>
      <c r="DO117" s="212" t="n"/>
      <c r="DP117" s="212" t="n"/>
      <c r="DQ117" s="212" t="n"/>
      <c r="DR117" s="212" t="n"/>
      <c r="DS117" s="212" t="n"/>
      <c r="DT117" s="212" t="n"/>
      <c r="DU117" s="212" t="n"/>
      <c r="DV117" s="212" t="n"/>
      <c r="DW117" s="212" t="n"/>
      <c r="DX117" s="212" t="n"/>
      <c r="DY117" s="212" t="n"/>
      <c r="DZ117" s="212" t="n"/>
      <c r="EA117" s="212" t="n"/>
      <c r="EB117" s="212" t="n"/>
      <c r="EC117" s="212" t="n"/>
      <c r="ED117" s="212" t="n"/>
      <c r="EE117" s="212" t="n"/>
      <c r="EF117" s="212" t="n"/>
      <c r="EG117" s="212" t="n"/>
      <c r="EH117" s="212" t="n"/>
      <c r="EI117" s="212" t="n"/>
      <c r="EJ117" s="212" t="n"/>
      <c r="EK117" s="212" t="n"/>
      <c r="EL117" s="212" t="n"/>
      <c r="EM117" s="212" t="n"/>
      <c r="EN117" s="212" t="n"/>
      <c r="EO117" s="212" t="n"/>
      <c r="EP117" s="212" t="n"/>
      <c r="EQ117" s="212" t="n"/>
      <c r="ER117" s="212" t="n"/>
      <c r="ES117" s="212" t="n"/>
      <c r="ET117" s="212" t="n"/>
      <c r="EU117" s="212" t="n"/>
      <c r="EV117" s="212" t="n"/>
      <c r="EW117" s="212" t="n"/>
      <c r="EX117" s="212" t="n"/>
      <c r="EY117" s="212" t="n"/>
      <c r="EZ117" s="212" t="n"/>
      <c r="FA117" s="212" t="n"/>
      <c r="FB117" s="212" t="n"/>
      <c r="FC117" s="212" t="n"/>
      <c r="FD117" s="212" t="n"/>
      <c r="FE117" s="212" t="n"/>
      <c r="FF117" s="212" t="n"/>
      <c r="FG117" s="212" t="n"/>
      <c r="FH117" s="212" t="n"/>
      <c r="FI117" s="212" t="n"/>
      <c r="FJ117" s="212" t="n"/>
      <c r="FK117" s="212" t="n"/>
      <c r="FL117" s="212" t="n"/>
      <c r="FM117" s="212" t="n"/>
      <c r="FN117" s="212" t="n"/>
      <c r="FO117" s="212" t="n"/>
      <c r="FP117" s="212" t="n"/>
      <c r="FQ117" s="212" t="n"/>
      <c r="FR117" s="212" t="n"/>
      <c r="FS117" s="212" t="n"/>
      <c r="FT117" s="212" t="n"/>
      <c r="FU117" s="212" t="n"/>
      <c r="FV117" s="212" t="n"/>
      <c r="FW117" s="212" t="n"/>
      <c r="FX117" s="212" t="n"/>
      <c r="FY117" s="212" t="n"/>
      <c r="FZ117" s="212" t="n"/>
      <c r="GA117" s="212" t="n"/>
      <c r="GB117" s="212" t="n"/>
      <c r="GC117" s="212" t="n"/>
      <c r="GD117" s="212" t="n"/>
      <c r="GE117" s="212" t="n"/>
      <c r="GF117" s="212" t="n"/>
      <c r="GG117" s="212" t="n"/>
      <c r="GH117" s="212" t="n"/>
      <c r="GI117" s="212" t="n"/>
      <c r="GJ117" s="212" t="n"/>
      <c r="GK117" s="212" t="n"/>
      <c r="GL117" s="212" t="n"/>
      <c r="GM117" s="212" t="n"/>
      <c r="GN117" s="212" t="n"/>
      <c r="GO117" s="212" t="n"/>
      <c r="GP117" s="212" t="n"/>
      <c r="GQ117" s="212" t="n"/>
      <c r="GR117" s="212" t="n"/>
      <c r="GS117" s="212" t="n"/>
      <c r="GT117" s="212" t="n"/>
      <c r="GU117" s="212" t="n"/>
      <c r="GV117" s="212" t="n"/>
      <c r="GW117" s="212" t="n"/>
      <c r="GX117" s="212" t="n"/>
      <c r="GY117" s="212" t="n"/>
      <c r="GZ117" s="212" t="n"/>
      <c r="HA117" s="212" t="n"/>
      <c r="HB117" s="212" t="n"/>
      <c r="HC117" s="212" t="n"/>
      <c r="HD117" s="212" t="n"/>
      <c r="HE117" s="212" t="n"/>
      <c r="HF117" s="212" t="n"/>
      <c r="HG117" s="212" t="n"/>
      <c r="HH117" s="212" t="n"/>
      <c r="HI117" s="212" t="n"/>
      <c r="HJ117" s="212" t="n"/>
      <c r="HK117" s="212" t="n"/>
      <c r="HL117" s="212" t="n"/>
      <c r="HM117" s="212" t="n"/>
      <c r="HN117" s="212" t="n"/>
      <c r="HO117" s="212" t="n"/>
      <c r="HP117" s="212" t="n"/>
      <c r="HQ117" s="212" t="n"/>
      <c r="HR117" s="212" t="n"/>
      <c r="HS117" s="212" t="n"/>
      <c r="HT117" s="212" t="n"/>
      <c r="HU117" s="212" t="n"/>
      <c r="HV117" s="212" t="n"/>
      <c r="HW117" s="212" t="n"/>
      <c r="HX117" s="212" t="n"/>
      <c r="HY117" s="212" t="n"/>
      <c r="HZ117" s="212" t="n"/>
      <c r="IA117" s="212" t="n"/>
      <c r="IB117" s="212" t="n"/>
      <c r="IC117" s="212" t="n"/>
      <c r="ID117" s="212" t="n"/>
      <c r="IE117" s="212" t="n"/>
      <c r="IF117" s="212" t="n"/>
      <c r="IG117" s="212" t="n"/>
      <c r="IH117" s="212" t="n"/>
      <c r="II117" s="212" t="n"/>
      <c r="IJ117" s="212" t="n"/>
      <c r="IK117" s="212" t="n"/>
      <c r="IL117" s="212" t="n"/>
      <c r="IM117" s="212" t="n"/>
      <c r="IN117" s="212" t="n"/>
      <c r="IO117" s="212" t="n"/>
      <c r="IP117" s="212" t="n"/>
      <c r="IQ117" s="212" t="n"/>
      <c r="IR117" s="212" t="n"/>
      <c r="IS117" s="212" t="n"/>
      <c r="IT117" s="212" t="n"/>
      <c r="IU117" s="212" t="n"/>
      <c r="IV117" s="212" t="n"/>
      <c r="IW117" s="212" t="n"/>
      <c r="IX117" s="212" t="n"/>
      <c r="IY117" s="212" t="n"/>
      <c r="IZ117" s="212" t="n"/>
      <c r="JA117" s="212" t="n"/>
      <c r="JB117" s="212" t="n"/>
      <c r="JC117" s="212" t="n"/>
      <c r="JD117" s="212" t="n"/>
      <c r="JE117" s="212" t="n"/>
      <c r="JF117" s="212" t="n"/>
      <c r="JG117" s="212" t="n"/>
      <c r="JH117" s="212" t="n"/>
      <c r="JI117" s="212" t="n"/>
      <c r="JJ117" s="212" t="n"/>
      <c r="JK117" s="212" t="n"/>
      <c r="JL117" s="212" t="n"/>
      <c r="JM117" s="212" t="n"/>
      <c r="JN117" s="212" t="n"/>
      <c r="JO117" s="212" t="n"/>
      <c r="JP117" s="212" t="n"/>
      <c r="JQ117" s="212" t="n"/>
      <c r="JR117" s="212" t="n"/>
      <c r="JS117" s="212" t="n"/>
      <c r="JT117" s="212" t="n"/>
      <c r="JU117" s="212" t="n"/>
      <c r="JV117" s="212" t="n"/>
      <c r="JW117" s="212" t="n"/>
      <c r="JX117" s="212" t="n"/>
      <c r="JY117" s="212" t="n"/>
      <c r="JZ117" s="212" t="n"/>
      <c r="KA117" s="212" t="n"/>
      <c r="KB117" s="212" t="n"/>
      <c r="KC117" s="212" t="n"/>
      <c r="KD117" s="212" t="n"/>
      <c r="KE117" s="212" t="n"/>
      <c r="KF117" s="212" t="n"/>
      <c r="KG117" s="212" t="n"/>
      <c r="KH117" s="212" t="n"/>
      <c r="KI117" s="212" t="n"/>
      <c r="KJ117" s="212" t="n"/>
      <c r="KK117" s="212" t="n"/>
      <c r="KL117" s="212" t="n"/>
      <c r="KM117" s="212" t="n"/>
      <c r="KN117" s="212" t="n"/>
      <c r="KO117" s="212" t="n"/>
      <c r="KP117" s="212" t="n"/>
      <c r="KQ117" s="212" t="n"/>
      <c r="KR117" s="212" t="n"/>
      <c r="KS117" s="212" t="n"/>
      <c r="KT117" s="212" t="n"/>
      <c r="KU117" s="212" t="n"/>
      <c r="KV117" s="212" t="n"/>
      <c r="KW117" s="212" t="n"/>
      <c r="KX117" s="212" t="n"/>
      <c r="KY117" s="212" t="n"/>
      <c r="KZ117" s="212" t="n"/>
      <c r="LA117" s="212" t="n"/>
      <c r="LB117" s="212" t="n"/>
      <c r="LC117" s="212" t="n"/>
      <c r="LD117" s="212" t="n"/>
      <c r="LE117" s="212" t="n"/>
      <c r="LF117" s="212" t="n"/>
      <c r="LG117" s="212" t="n"/>
      <c r="LH117" s="212" t="n"/>
      <c r="LI117" s="212" t="n"/>
      <c r="LJ117" s="212" t="n"/>
      <c r="LK117" s="212" t="n"/>
      <c r="LL117" s="212" t="n"/>
      <c r="LM117" s="212" t="n"/>
      <c r="LN117" s="212" t="n"/>
      <c r="LO117" s="212" t="n"/>
      <c r="LP117" s="212" t="n"/>
      <c r="LQ117" s="212" t="n"/>
      <c r="LR117" s="212" t="n"/>
      <c r="LS117" s="212" t="n"/>
      <c r="LT117" s="212" t="n"/>
      <c r="LU117" s="212" t="n"/>
      <c r="LV117" s="212" t="n"/>
      <c r="LW117" s="212" t="n"/>
      <c r="LX117" s="212" t="n"/>
      <c r="LY117" s="212" t="n"/>
      <c r="LZ117" s="212" t="n"/>
      <c r="MA117" s="212" t="n"/>
      <c r="MB117" s="212" t="n"/>
      <c r="MC117" s="212" t="n"/>
      <c r="MD117" s="212" t="n"/>
      <c r="ME117" s="212" t="n"/>
      <c r="MF117" s="212" t="n"/>
      <c r="MG117" s="212" t="n"/>
      <c r="MH117" s="212" t="n"/>
      <c r="MI117" s="212" t="n"/>
      <c r="MJ117" s="212" t="n"/>
      <c r="MK117" s="212" t="n"/>
      <c r="ML117" s="212" t="n"/>
      <c r="MM117" s="212" t="n"/>
      <c r="MN117" s="212" t="n"/>
      <c r="MO117" s="212" t="n"/>
      <c r="MP117" s="212" t="n"/>
      <c r="MQ117" s="212" t="n"/>
      <c r="MR117" s="212" t="n"/>
      <c r="MS117" s="212" t="n"/>
      <c r="MT117" s="212" t="n"/>
      <c r="MU117" s="212" t="n"/>
      <c r="MV117" s="212" t="n"/>
      <c r="MW117" s="212" t="n"/>
      <c r="MX117" s="212" t="n"/>
      <c r="MY117" s="212" t="n"/>
      <c r="MZ117" s="212" t="n"/>
      <c r="NA117" s="212" t="n"/>
      <c r="NB117" s="212" t="n"/>
      <c r="NC117" s="212" t="n"/>
      <c r="ND117" s="212" t="n"/>
      <c r="NE117" s="212" t="n"/>
      <c r="NF117" s="212" t="n"/>
      <c r="NG117" s="212" t="n"/>
      <c r="NH117" s="212" t="n"/>
      <c r="NI117" s="212" t="n"/>
      <c r="NJ117" s="212" t="n"/>
      <c r="NK117" s="212" t="n"/>
      <c r="NL117" s="212" t="n"/>
      <c r="NM117" s="212" t="n"/>
      <c r="NN117" s="212" t="n"/>
      <c r="NO117" s="212" t="n"/>
      <c r="NP117" s="212" t="n"/>
      <c r="NQ117" s="212" t="n"/>
      <c r="NR117" s="212" t="n"/>
      <c r="NS117" s="212" t="n"/>
      <c r="NT117" s="212" t="n"/>
      <c r="NU117" s="212" t="n"/>
      <c r="NV117" s="212" t="n"/>
      <c r="NW117" s="212" t="n"/>
      <c r="NX117" s="212" t="n"/>
      <c r="NY117" s="212" t="n"/>
      <c r="NZ117" s="212" t="n"/>
      <c r="OA117" s="212" t="n"/>
      <c r="OB117" s="212" t="n"/>
      <c r="OC117" s="212" t="n"/>
      <c r="OD117" s="212" t="n"/>
      <c r="OE117" s="212" t="n"/>
      <c r="OF117" s="212" t="n"/>
      <c r="OG117" s="212" t="n"/>
      <c r="OH117" s="212" t="n"/>
      <c r="OI117" s="212" t="n"/>
      <c r="OJ117" s="212" t="n"/>
      <c r="OK117" s="212" t="n"/>
      <c r="OL117" s="212" t="n"/>
      <c r="OM117" s="212" t="n"/>
      <c r="ON117" s="212" t="n"/>
      <c r="OO117" s="212" t="n"/>
      <c r="OP117" s="212" t="n"/>
      <c r="OQ117" s="212" t="n"/>
      <c r="OR117" s="212" t="n"/>
      <c r="OS117" s="212" t="n"/>
      <c r="OT117" s="212" t="n"/>
      <c r="OU117" s="212" t="n"/>
      <c r="OV117" s="212" t="n"/>
      <c r="OW117" s="212" t="n"/>
      <c r="OX117" s="212" t="n"/>
      <c r="OY117" s="212" t="n"/>
      <c r="OZ117" s="212" t="n"/>
      <c r="PA117" s="212" t="n"/>
      <c r="PB117" s="212" t="n"/>
      <c r="PC117" s="212" t="n"/>
      <c r="PD117" s="212" t="n"/>
      <c r="PE117" s="212" t="n"/>
      <c r="PF117" s="212" t="n"/>
      <c r="PG117" s="212" t="n"/>
      <c r="PH117" s="212" t="n"/>
      <c r="PI117" s="212" t="n"/>
      <c r="PJ117" s="212" t="n"/>
      <c r="PK117" s="212" t="n"/>
      <c r="PL117" s="212" t="n"/>
      <c r="PM117" s="212" t="n"/>
      <c r="PN117" s="212" t="n"/>
      <c r="PO117" s="212" t="n"/>
      <c r="PP117" s="212" t="n"/>
      <c r="PQ117" s="212" t="n"/>
      <c r="PR117" s="212" t="n"/>
      <c r="PS117" s="212" t="n"/>
      <c r="PT117" s="212" t="n"/>
      <c r="PU117" s="212" t="n"/>
      <c r="PV117" s="212" t="n"/>
      <c r="PW117" s="212" t="n"/>
      <c r="PX117" s="212" t="n"/>
      <c r="PY117" s="212" t="n"/>
      <c r="PZ117" s="212" t="n"/>
      <c r="QA117" s="212" t="n"/>
      <c r="QB117" s="212" t="n"/>
      <c r="QC117" s="212" t="n"/>
      <c r="QD117" s="212" t="n"/>
      <c r="QE117" s="212" t="n"/>
      <c r="QF117" s="212" t="n"/>
      <c r="QG117" s="212" t="n"/>
      <c r="QH117" s="212" t="n"/>
      <c r="QI117" s="212" t="n"/>
      <c r="QJ117" s="212" t="n"/>
      <c r="QK117" s="212" t="n"/>
      <c r="QL117" s="212" t="n"/>
      <c r="QM117" s="212" t="n"/>
      <c r="QN117" s="212" t="n"/>
      <c r="QO117" s="212" t="n"/>
      <c r="QP117" s="212" t="n"/>
      <c r="QQ117" s="212" t="n"/>
      <c r="QR117" s="212" t="n"/>
      <c r="QS117" s="212" t="n"/>
      <c r="QT117" s="212" t="n"/>
      <c r="QU117" s="212" t="n"/>
      <c r="QV117" s="212" t="n"/>
      <c r="QW117" s="212" t="n"/>
      <c r="QX117" s="212" t="n"/>
      <c r="QY117" s="212" t="n"/>
      <c r="QZ117" s="212" t="n"/>
      <c r="RA117" s="212" t="n"/>
      <c r="RB117" s="212" t="n"/>
      <c r="RC117" s="212" t="n"/>
      <c r="RD117" s="212" t="n"/>
      <c r="RE117" s="212" t="n"/>
      <c r="RF117" s="212" t="n"/>
      <c r="RG117" s="212" t="n"/>
      <c r="RH117" s="212" t="n"/>
      <c r="RI117" s="212" t="n"/>
      <c r="RJ117" s="212" t="n"/>
      <c r="RK117" s="212" t="n"/>
      <c r="RL117" s="212" t="n"/>
      <c r="RM117" s="212" t="n"/>
      <c r="RN117" s="212" t="n"/>
      <c r="RO117" s="212" t="n"/>
      <c r="RP117" s="212" t="n"/>
      <c r="RQ117" s="212" t="n"/>
      <c r="RR117" s="212" t="n"/>
      <c r="RS117" s="212" t="n"/>
      <c r="RT117" s="212" t="n"/>
      <c r="RU117" s="212" t="n"/>
      <c r="RV117" s="212" t="n"/>
      <c r="RW117" s="212" t="n"/>
      <c r="RX117" s="212" t="n"/>
      <c r="RY117" s="212" t="n"/>
      <c r="RZ117" s="212" t="n"/>
      <c r="SA117" s="212" t="n"/>
      <c r="SB117" s="212" t="n"/>
      <c r="SC117" s="212" t="n"/>
      <c r="SD117" s="212" t="n"/>
      <c r="SE117" s="212" t="n"/>
      <c r="SF117" s="212" t="n"/>
      <c r="SG117" s="212" t="n"/>
      <c r="SH117" s="212" t="n"/>
      <c r="SI117" s="212" t="n"/>
      <c r="SJ117" s="212" t="n"/>
      <c r="SK117" s="212" t="n"/>
      <c r="SL117" s="212" t="n"/>
      <c r="SM117" s="212" t="n"/>
      <c r="SN117" s="212" t="n"/>
      <c r="SO117" s="212" t="n"/>
      <c r="SP117" s="212" t="n"/>
      <c r="SQ117" s="212" t="n"/>
      <c r="SR117" s="212" t="n"/>
      <c r="SS117" s="212" t="n"/>
      <c r="ST117" s="212" t="n"/>
      <c r="SU117" s="212" t="n"/>
      <c r="SV117" s="212" t="n"/>
    </row>
    <row r="118">
      <c r="B118" s="209" t="n"/>
      <c r="C118" s="209" t="n"/>
      <c r="D118" s="209" t="n"/>
      <c r="E118" s="209" t="n"/>
      <c r="F118" s="209">
        <f>IF(TRIM(D118&amp;E118)="","",TRIM(D118)&amp;" "&amp;TRIM(E118))</f>
        <v/>
      </c>
      <c r="G118" s="209" t="n"/>
      <c r="H118" s="209" t="n"/>
      <c r="I118" s="209" t="n"/>
      <c r="J118" s="209" t="n"/>
      <c r="K118" s="209" t="n"/>
      <c r="L118" s="209" t="n"/>
      <c r="M118" s="209" t="n"/>
      <c r="N118" s="209" t="n"/>
      <c r="O118" s="209" t="n"/>
      <c r="P118" s="209" t="n"/>
      <c r="Q118" s="209" t="n"/>
      <c r="R118" s="209" t="n"/>
      <c r="S118" s="212" t="n"/>
      <c r="T118" s="212" t="n"/>
      <c r="U118" s="212" t="n"/>
      <c r="V118" s="212" t="n"/>
      <c r="W118" s="212" t="n"/>
      <c r="X118" s="212" t="n"/>
      <c r="Y118" s="212" t="n"/>
      <c r="Z118" s="212" t="n"/>
      <c r="AA118" s="212" t="n"/>
      <c r="AB118" s="212" t="n"/>
      <c r="AC118" s="212" t="n"/>
      <c r="AD118" s="212" t="n"/>
      <c r="AE118" s="212" t="n"/>
      <c r="AF118" s="212" t="n"/>
      <c r="AG118" s="212" t="n"/>
      <c r="AH118" s="212" t="n"/>
      <c r="AI118" s="212" t="n"/>
      <c r="AJ118" s="212" t="n"/>
      <c r="AK118" s="212" t="n"/>
      <c r="AL118" s="212" t="n"/>
      <c r="AM118" s="212" t="n"/>
      <c r="AN118" s="212" t="n"/>
      <c r="AO118" s="212" t="n"/>
      <c r="AP118" s="212" t="n"/>
      <c r="AQ118" s="212" t="n"/>
      <c r="AR118" s="212" t="n"/>
      <c r="AS118" s="212" t="n"/>
      <c r="AT118" s="212" t="n"/>
      <c r="AU118" s="212" t="n"/>
      <c r="AV118" s="212" t="n"/>
      <c r="AW118" s="212" t="n"/>
      <c r="AX118" s="212" t="n"/>
      <c r="AY118" s="212" t="n"/>
      <c r="AZ118" s="212" t="n"/>
      <c r="BA118" s="212" t="n"/>
      <c r="BB118" s="212" t="n"/>
      <c r="BC118" s="212" t="n"/>
      <c r="BD118" s="212" t="n"/>
      <c r="BE118" s="212" t="n"/>
      <c r="BF118" s="212" t="n"/>
      <c r="BG118" s="212" t="n"/>
      <c r="BH118" s="212" t="n"/>
      <c r="BI118" s="212" t="n"/>
      <c r="BJ118" s="212" t="n"/>
      <c r="BK118" s="212" t="n"/>
      <c r="BL118" s="212" t="n"/>
      <c r="BM118" s="212" t="n"/>
      <c r="BN118" s="212" t="n"/>
      <c r="BO118" s="212" t="n"/>
      <c r="BP118" s="212" t="n"/>
      <c r="BQ118" s="212" t="n"/>
      <c r="BR118" s="212" t="n"/>
      <c r="BS118" s="212" t="n"/>
      <c r="BT118" s="212" t="n"/>
      <c r="BU118" s="212" t="n"/>
      <c r="BV118" s="212" t="n"/>
      <c r="BW118" s="212" t="n"/>
      <c r="BX118" s="212" t="n"/>
      <c r="BY118" s="212" t="n"/>
      <c r="BZ118" s="212" t="n"/>
      <c r="CA118" s="212" t="n"/>
      <c r="CB118" s="212" t="n"/>
      <c r="CC118" s="212" t="n"/>
      <c r="CD118" s="212" t="n"/>
      <c r="CE118" s="212" t="n"/>
      <c r="CF118" s="212" t="n"/>
      <c r="CG118" s="212" t="n"/>
      <c r="CH118" s="212" t="n"/>
      <c r="CI118" s="212" t="n"/>
      <c r="CJ118" s="212" t="n"/>
      <c r="CK118" s="212" t="n"/>
      <c r="CL118" s="212" t="n"/>
      <c r="CM118" s="212" t="n"/>
      <c r="CN118" s="212" t="n"/>
      <c r="CO118" s="212" t="n"/>
      <c r="CP118" s="212" t="n"/>
      <c r="CQ118" s="212" t="n"/>
      <c r="CR118" s="212" t="n"/>
      <c r="CS118" s="212" t="n"/>
      <c r="CT118" s="212" t="n"/>
      <c r="CU118" s="212" t="n"/>
      <c r="CV118" s="212" t="n"/>
      <c r="CW118" s="212" t="n"/>
      <c r="CX118" s="212" t="n"/>
      <c r="CY118" s="212" t="n"/>
      <c r="CZ118" s="212" t="n"/>
      <c r="DA118" s="212" t="n"/>
      <c r="DB118" s="212" t="n"/>
      <c r="DC118" s="212" t="n"/>
      <c r="DD118" s="212" t="n"/>
      <c r="DE118" s="212" t="n"/>
      <c r="DF118" s="212" t="n"/>
      <c r="DG118" s="212" t="n"/>
      <c r="DH118" s="212" t="n"/>
      <c r="DI118" s="212" t="n"/>
      <c r="DJ118" s="212" t="n"/>
      <c r="DK118" s="212" t="n"/>
      <c r="DL118" s="212" t="n"/>
      <c r="DM118" s="212" t="n"/>
      <c r="DN118" s="212" t="n"/>
      <c r="DO118" s="212" t="n"/>
      <c r="DP118" s="212" t="n"/>
      <c r="DQ118" s="212" t="n"/>
      <c r="DR118" s="212" t="n"/>
      <c r="DS118" s="212" t="n"/>
      <c r="DT118" s="212" t="n"/>
      <c r="DU118" s="212" t="n"/>
      <c r="DV118" s="212" t="n"/>
      <c r="DW118" s="212" t="n"/>
      <c r="DX118" s="212" t="n"/>
      <c r="DY118" s="212" t="n"/>
      <c r="DZ118" s="212" t="n"/>
      <c r="EA118" s="212" t="n"/>
      <c r="EB118" s="212" t="n"/>
      <c r="EC118" s="212" t="n"/>
      <c r="ED118" s="212" t="n"/>
      <c r="EE118" s="212" t="n"/>
      <c r="EF118" s="212" t="n"/>
      <c r="EG118" s="212" t="n"/>
      <c r="EH118" s="212" t="n"/>
      <c r="EI118" s="212" t="n"/>
      <c r="EJ118" s="212" t="n"/>
      <c r="EK118" s="212" t="n"/>
      <c r="EL118" s="212" t="n"/>
      <c r="EM118" s="212" t="n"/>
      <c r="EN118" s="212" t="n"/>
      <c r="EO118" s="212" t="n"/>
      <c r="EP118" s="212" t="n"/>
      <c r="EQ118" s="212" t="n"/>
      <c r="ER118" s="212" t="n"/>
      <c r="ES118" s="212" t="n"/>
      <c r="ET118" s="212" t="n"/>
      <c r="EU118" s="212" t="n"/>
      <c r="EV118" s="212" t="n"/>
      <c r="EW118" s="212" t="n"/>
      <c r="EX118" s="212" t="n"/>
      <c r="EY118" s="212" t="n"/>
      <c r="EZ118" s="212" t="n"/>
      <c r="FA118" s="212" t="n"/>
      <c r="FB118" s="212" t="n"/>
      <c r="FC118" s="212" t="n"/>
      <c r="FD118" s="212" t="n"/>
      <c r="FE118" s="212" t="n"/>
      <c r="FF118" s="212" t="n"/>
      <c r="FG118" s="212" t="n"/>
      <c r="FH118" s="212" t="n"/>
      <c r="FI118" s="212" t="n"/>
      <c r="FJ118" s="212" t="n"/>
      <c r="FK118" s="212" t="n"/>
      <c r="FL118" s="212" t="n"/>
      <c r="FM118" s="212" t="n"/>
      <c r="FN118" s="212" t="n"/>
      <c r="FO118" s="212" t="n"/>
      <c r="FP118" s="212" t="n"/>
      <c r="FQ118" s="212" t="n"/>
      <c r="FR118" s="212" t="n"/>
      <c r="FS118" s="212" t="n"/>
      <c r="FT118" s="212" t="n"/>
      <c r="FU118" s="212" t="n"/>
      <c r="FV118" s="212" t="n"/>
      <c r="FW118" s="212" t="n"/>
      <c r="FX118" s="212" t="n"/>
      <c r="FY118" s="212" t="n"/>
      <c r="FZ118" s="212" t="n"/>
      <c r="GA118" s="212" t="n"/>
      <c r="GB118" s="212" t="n"/>
      <c r="GC118" s="212" t="n"/>
      <c r="GD118" s="212" t="n"/>
      <c r="GE118" s="212" t="n"/>
      <c r="GF118" s="212" t="n"/>
      <c r="GG118" s="212" t="n"/>
      <c r="GH118" s="212" t="n"/>
      <c r="GI118" s="212" t="n"/>
      <c r="GJ118" s="212" t="n"/>
      <c r="GK118" s="212" t="n"/>
      <c r="GL118" s="212" t="n"/>
      <c r="GM118" s="212" t="n"/>
      <c r="GN118" s="212" t="n"/>
      <c r="GO118" s="212" t="n"/>
      <c r="GP118" s="212" t="n"/>
      <c r="GQ118" s="212" t="n"/>
      <c r="GR118" s="212" t="n"/>
      <c r="GS118" s="212" t="n"/>
      <c r="GT118" s="212" t="n"/>
      <c r="GU118" s="212" t="n"/>
      <c r="GV118" s="212" t="n"/>
      <c r="GW118" s="212" t="n"/>
      <c r="GX118" s="212" t="n"/>
      <c r="GY118" s="212" t="n"/>
      <c r="GZ118" s="212" t="n"/>
      <c r="HA118" s="212" t="n"/>
      <c r="HB118" s="212" t="n"/>
      <c r="HC118" s="212" t="n"/>
      <c r="HD118" s="212" t="n"/>
      <c r="HE118" s="212" t="n"/>
      <c r="HF118" s="212" t="n"/>
      <c r="HG118" s="212" t="n"/>
      <c r="HH118" s="212" t="n"/>
      <c r="HI118" s="212" t="n"/>
      <c r="HJ118" s="212" t="n"/>
      <c r="HK118" s="212" t="n"/>
      <c r="HL118" s="212" t="n"/>
      <c r="HM118" s="212" t="n"/>
      <c r="HN118" s="212" t="n"/>
      <c r="HO118" s="212" t="n"/>
      <c r="HP118" s="212" t="n"/>
      <c r="HQ118" s="212" t="n"/>
      <c r="HR118" s="212" t="n"/>
      <c r="HS118" s="212" t="n"/>
      <c r="HT118" s="212" t="n"/>
      <c r="HU118" s="212" t="n"/>
      <c r="HV118" s="212" t="n"/>
      <c r="HW118" s="212" t="n"/>
      <c r="HX118" s="212" t="n"/>
      <c r="HY118" s="212" t="n"/>
      <c r="HZ118" s="212" t="n"/>
      <c r="IA118" s="212" t="n"/>
      <c r="IB118" s="212" t="n"/>
      <c r="IC118" s="212" t="n"/>
      <c r="ID118" s="212" t="n"/>
      <c r="IE118" s="212" t="n"/>
      <c r="IF118" s="212" t="n"/>
      <c r="IG118" s="212" t="n"/>
      <c r="IH118" s="212" t="n"/>
      <c r="II118" s="212" t="n"/>
      <c r="IJ118" s="212" t="n"/>
      <c r="IK118" s="212" t="n"/>
      <c r="IL118" s="212" t="n"/>
      <c r="IM118" s="212" t="n"/>
      <c r="IN118" s="212" t="n"/>
      <c r="IO118" s="212" t="n"/>
      <c r="IP118" s="212" t="n"/>
      <c r="IQ118" s="212" t="n"/>
      <c r="IR118" s="212" t="n"/>
      <c r="IS118" s="212" t="n"/>
      <c r="IT118" s="212" t="n"/>
      <c r="IU118" s="212" t="n"/>
      <c r="IV118" s="212" t="n"/>
      <c r="IW118" s="212" t="n"/>
      <c r="IX118" s="212" t="n"/>
      <c r="IY118" s="212" t="n"/>
      <c r="IZ118" s="212" t="n"/>
      <c r="JA118" s="212" t="n"/>
      <c r="JB118" s="212" t="n"/>
      <c r="JC118" s="212" t="n"/>
      <c r="JD118" s="212" t="n"/>
      <c r="JE118" s="212" t="n"/>
      <c r="JF118" s="212" t="n"/>
      <c r="JG118" s="212" t="n"/>
      <c r="JH118" s="212" t="n"/>
      <c r="JI118" s="212" t="n"/>
      <c r="JJ118" s="212" t="n"/>
      <c r="JK118" s="212" t="n"/>
      <c r="JL118" s="212" t="n"/>
      <c r="JM118" s="212" t="n"/>
      <c r="JN118" s="212" t="n"/>
      <c r="JO118" s="212" t="n"/>
      <c r="JP118" s="212" t="n"/>
      <c r="JQ118" s="212" t="n"/>
      <c r="JR118" s="212" t="n"/>
      <c r="JS118" s="212" t="n"/>
      <c r="JT118" s="212" t="n"/>
      <c r="JU118" s="212" t="n"/>
      <c r="JV118" s="212" t="n"/>
      <c r="JW118" s="212" t="n"/>
      <c r="JX118" s="212" t="n"/>
      <c r="JY118" s="212" t="n"/>
      <c r="JZ118" s="212" t="n"/>
      <c r="KA118" s="212" t="n"/>
      <c r="KB118" s="212" t="n"/>
      <c r="KC118" s="212" t="n"/>
      <c r="KD118" s="212" t="n"/>
      <c r="KE118" s="212" t="n"/>
      <c r="KF118" s="212" t="n"/>
      <c r="KG118" s="212" t="n"/>
      <c r="KH118" s="212" t="n"/>
      <c r="KI118" s="212" t="n"/>
      <c r="KJ118" s="212" t="n"/>
      <c r="KK118" s="212" t="n"/>
      <c r="KL118" s="212" t="n"/>
      <c r="KM118" s="212" t="n"/>
      <c r="KN118" s="212" t="n"/>
      <c r="KO118" s="212" t="n"/>
      <c r="KP118" s="212" t="n"/>
      <c r="KQ118" s="212" t="n"/>
      <c r="KR118" s="212" t="n"/>
      <c r="KS118" s="212" t="n"/>
      <c r="KT118" s="212" t="n"/>
      <c r="KU118" s="212" t="n"/>
      <c r="KV118" s="212" t="n"/>
      <c r="KW118" s="212" t="n"/>
      <c r="KX118" s="212" t="n"/>
      <c r="KY118" s="212" t="n"/>
      <c r="KZ118" s="212" t="n"/>
      <c r="LA118" s="212" t="n"/>
      <c r="LB118" s="212" t="n"/>
      <c r="LC118" s="212" t="n"/>
      <c r="LD118" s="212" t="n"/>
      <c r="LE118" s="212" t="n"/>
      <c r="LF118" s="212" t="n"/>
      <c r="LG118" s="212" t="n"/>
      <c r="LH118" s="212" t="n"/>
      <c r="LI118" s="212" t="n"/>
      <c r="LJ118" s="212" t="n"/>
      <c r="LK118" s="212" t="n"/>
      <c r="LL118" s="212" t="n"/>
      <c r="LM118" s="212" t="n"/>
      <c r="LN118" s="212" t="n"/>
      <c r="LO118" s="212" t="n"/>
      <c r="LP118" s="212" t="n"/>
      <c r="LQ118" s="212" t="n"/>
      <c r="LR118" s="212" t="n"/>
      <c r="LS118" s="212" t="n"/>
      <c r="LT118" s="212" t="n"/>
      <c r="LU118" s="212" t="n"/>
      <c r="LV118" s="212" t="n"/>
      <c r="LW118" s="212" t="n"/>
      <c r="LX118" s="212" t="n"/>
      <c r="LY118" s="212" t="n"/>
      <c r="LZ118" s="212" t="n"/>
      <c r="MA118" s="212" t="n"/>
      <c r="MB118" s="212" t="n"/>
      <c r="MC118" s="212" t="n"/>
      <c r="MD118" s="212" t="n"/>
      <c r="ME118" s="212" t="n"/>
      <c r="MF118" s="212" t="n"/>
      <c r="MG118" s="212" t="n"/>
      <c r="MH118" s="212" t="n"/>
      <c r="MI118" s="212" t="n"/>
      <c r="MJ118" s="212" t="n"/>
      <c r="MK118" s="212" t="n"/>
      <c r="ML118" s="212" t="n"/>
      <c r="MM118" s="212" t="n"/>
      <c r="MN118" s="212" t="n"/>
      <c r="MO118" s="212" t="n"/>
      <c r="MP118" s="212" t="n"/>
      <c r="MQ118" s="212" t="n"/>
      <c r="MR118" s="212" t="n"/>
      <c r="MS118" s="212" t="n"/>
      <c r="MT118" s="212" t="n"/>
      <c r="MU118" s="212" t="n"/>
      <c r="MV118" s="212" t="n"/>
      <c r="MW118" s="212" t="n"/>
      <c r="MX118" s="212" t="n"/>
      <c r="MY118" s="212" t="n"/>
      <c r="MZ118" s="212" t="n"/>
      <c r="NA118" s="212" t="n"/>
      <c r="NB118" s="212" t="n"/>
      <c r="NC118" s="212" t="n"/>
      <c r="ND118" s="212" t="n"/>
      <c r="NE118" s="212" t="n"/>
      <c r="NF118" s="212" t="n"/>
      <c r="NG118" s="212" t="n"/>
      <c r="NH118" s="212" t="n"/>
      <c r="NI118" s="212" t="n"/>
      <c r="NJ118" s="212" t="n"/>
      <c r="NK118" s="212" t="n"/>
      <c r="NL118" s="212" t="n"/>
      <c r="NM118" s="212" t="n"/>
      <c r="NN118" s="212" t="n"/>
      <c r="NO118" s="212" t="n"/>
      <c r="NP118" s="212" t="n"/>
      <c r="NQ118" s="212" t="n"/>
      <c r="NR118" s="212" t="n"/>
      <c r="NS118" s="212" t="n"/>
      <c r="NT118" s="212" t="n"/>
      <c r="NU118" s="212" t="n"/>
      <c r="NV118" s="212" t="n"/>
      <c r="NW118" s="212" t="n"/>
      <c r="NX118" s="212" t="n"/>
      <c r="NY118" s="212" t="n"/>
      <c r="NZ118" s="212" t="n"/>
      <c r="OA118" s="212" t="n"/>
      <c r="OB118" s="212" t="n"/>
      <c r="OC118" s="212" t="n"/>
      <c r="OD118" s="212" t="n"/>
      <c r="OE118" s="212" t="n"/>
      <c r="OF118" s="212" t="n"/>
      <c r="OG118" s="212" t="n"/>
      <c r="OH118" s="212" t="n"/>
      <c r="OI118" s="212" t="n"/>
      <c r="OJ118" s="212" t="n"/>
      <c r="OK118" s="212" t="n"/>
      <c r="OL118" s="212" t="n"/>
      <c r="OM118" s="212" t="n"/>
      <c r="ON118" s="212" t="n"/>
      <c r="OO118" s="212" t="n"/>
      <c r="OP118" s="212" t="n"/>
      <c r="OQ118" s="212" t="n"/>
      <c r="OR118" s="212" t="n"/>
      <c r="OS118" s="212" t="n"/>
      <c r="OT118" s="212" t="n"/>
      <c r="OU118" s="212" t="n"/>
      <c r="OV118" s="212" t="n"/>
      <c r="OW118" s="212" t="n"/>
      <c r="OX118" s="212" t="n"/>
      <c r="OY118" s="212" t="n"/>
      <c r="OZ118" s="212" t="n"/>
      <c r="PA118" s="212" t="n"/>
      <c r="PB118" s="212" t="n"/>
      <c r="PC118" s="212" t="n"/>
      <c r="PD118" s="212" t="n"/>
      <c r="PE118" s="212" t="n"/>
      <c r="PF118" s="212" t="n"/>
      <c r="PG118" s="212" t="n"/>
      <c r="PH118" s="212" t="n"/>
      <c r="PI118" s="212" t="n"/>
      <c r="PJ118" s="212" t="n"/>
      <c r="PK118" s="212" t="n"/>
      <c r="PL118" s="212" t="n"/>
      <c r="PM118" s="212" t="n"/>
      <c r="PN118" s="212" t="n"/>
      <c r="PO118" s="212" t="n"/>
      <c r="PP118" s="212" t="n"/>
      <c r="PQ118" s="212" t="n"/>
      <c r="PR118" s="212" t="n"/>
      <c r="PS118" s="212" t="n"/>
      <c r="PT118" s="212" t="n"/>
      <c r="PU118" s="212" t="n"/>
      <c r="PV118" s="212" t="n"/>
      <c r="PW118" s="212" t="n"/>
      <c r="PX118" s="212" t="n"/>
      <c r="PY118" s="212" t="n"/>
      <c r="PZ118" s="212" t="n"/>
      <c r="QA118" s="212" t="n"/>
      <c r="QB118" s="212" t="n"/>
      <c r="QC118" s="212" t="n"/>
      <c r="QD118" s="212" t="n"/>
      <c r="QE118" s="212" t="n"/>
      <c r="QF118" s="212" t="n"/>
      <c r="QG118" s="212" t="n"/>
      <c r="QH118" s="212" t="n"/>
      <c r="QI118" s="212" t="n"/>
      <c r="QJ118" s="212" t="n"/>
      <c r="QK118" s="212" t="n"/>
      <c r="QL118" s="212" t="n"/>
      <c r="QM118" s="212" t="n"/>
      <c r="QN118" s="212" t="n"/>
      <c r="QO118" s="212" t="n"/>
      <c r="QP118" s="212" t="n"/>
      <c r="QQ118" s="212" t="n"/>
      <c r="QR118" s="212" t="n"/>
      <c r="QS118" s="212" t="n"/>
      <c r="QT118" s="212" t="n"/>
      <c r="QU118" s="212" t="n"/>
      <c r="QV118" s="212" t="n"/>
      <c r="QW118" s="212" t="n"/>
      <c r="QX118" s="212" t="n"/>
      <c r="QY118" s="212" t="n"/>
      <c r="QZ118" s="212" t="n"/>
      <c r="RA118" s="212" t="n"/>
      <c r="RB118" s="212" t="n"/>
      <c r="RC118" s="212" t="n"/>
      <c r="RD118" s="212" t="n"/>
      <c r="RE118" s="212" t="n"/>
      <c r="RF118" s="212" t="n"/>
      <c r="RG118" s="212" t="n"/>
      <c r="RH118" s="212" t="n"/>
      <c r="RI118" s="212" t="n"/>
      <c r="RJ118" s="212" t="n"/>
      <c r="RK118" s="212" t="n"/>
      <c r="RL118" s="212" t="n"/>
      <c r="RM118" s="212" t="n"/>
      <c r="RN118" s="212" t="n"/>
      <c r="RO118" s="212" t="n"/>
      <c r="RP118" s="212" t="n"/>
      <c r="RQ118" s="212" t="n"/>
      <c r="RR118" s="212" t="n"/>
      <c r="RS118" s="212" t="n"/>
      <c r="RT118" s="212" t="n"/>
      <c r="RU118" s="212" t="n"/>
      <c r="RV118" s="212" t="n"/>
      <c r="RW118" s="212" t="n"/>
      <c r="RX118" s="212" t="n"/>
      <c r="RY118" s="212" t="n"/>
      <c r="RZ118" s="212" t="n"/>
      <c r="SA118" s="212" t="n"/>
      <c r="SB118" s="212" t="n"/>
      <c r="SC118" s="212" t="n"/>
      <c r="SD118" s="212" t="n"/>
      <c r="SE118" s="212" t="n"/>
      <c r="SF118" s="212" t="n"/>
      <c r="SG118" s="212" t="n"/>
      <c r="SH118" s="212" t="n"/>
      <c r="SI118" s="212" t="n"/>
      <c r="SJ118" s="212" t="n"/>
      <c r="SK118" s="212" t="n"/>
      <c r="SL118" s="212" t="n"/>
      <c r="SM118" s="212" t="n"/>
      <c r="SN118" s="212" t="n"/>
      <c r="SO118" s="212" t="n"/>
      <c r="SP118" s="212" t="n"/>
      <c r="SQ118" s="212" t="n"/>
      <c r="SR118" s="212" t="n"/>
      <c r="SS118" s="212" t="n"/>
      <c r="ST118" s="212" t="n"/>
      <c r="SU118" s="212" t="n"/>
      <c r="SV118" s="212" t="n"/>
    </row>
    <row r="119">
      <c r="B119" s="209" t="n"/>
      <c r="C119" s="209" t="n"/>
      <c r="D119" s="209" t="n"/>
      <c r="E119" s="209" t="n"/>
      <c r="F119" s="209">
        <f>IF(TRIM(D119&amp;E119)="","",TRIM(D119)&amp;" "&amp;TRIM(E119))</f>
        <v/>
      </c>
      <c r="G119" s="209" t="n"/>
      <c r="H119" s="209" t="n"/>
      <c r="I119" s="209" t="n"/>
      <c r="J119" s="209" t="n"/>
      <c r="K119" s="209" t="n"/>
      <c r="L119" s="209" t="n"/>
      <c r="M119" s="209" t="n"/>
      <c r="N119" s="209" t="n"/>
      <c r="O119" s="209" t="n"/>
      <c r="P119" s="209" t="n"/>
      <c r="Q119" s="209" t="n"/>
      <c r="R119" s="209" t="n"/>
      <c r="S119" s="212" t="n"/>
      <c r="T119" s="212" t="n"/>
      <c r="U119" s="212" t="n"/>
      <c r="V119" s="212" t="n"/>
      <c r="W119" s="212" t="n"/>
      <c r="X119" s="212" t="n"/>
      <c r="Y119" s="212" t="n"/>
      <c r="Z119" s="212" t="n"/>
      <c r="AA119" s="212" t="n"/>
      <c r="AB119" s="212" t="n"/>
      <c r="AC119" s="212" t="n"/>
      <c r="AD119" s="212" t="n"/>
      <c r="AE119" s="212" t="n"/>
      <c r="AF119" s="212" t="n"/>
      <c r="AG119" s="212" t="n"/>
      <c r="AH119" s="212" t="n"/>
      <c r="AI119" s="212" t="n"/>
      <c r="AJ119" s="212" t="n"/>
      <c r="AK119" s="212" t="n"/>
      <c r="AL119" s="212" t="n"/>
      <c r="AM119" s="212" t="n"/>
      <c r="AN119" s="212" t="n"/>
      <c r="AO119" s="212" t="n"/>
      <c r="AP119" s="212" t="n"/>
      <c r="AQ119" s="212" t="n"/>
      <c r="AR119" s="212" t="n"/>
      <c r="AS119" s="212" t="n"/>
      <c r="AT119" s="212" t="n"/>
      <c r="AU119" s="212" t="n"/>
      <c r="AV119" s="212" t="n"/>
      <c r="AW119" s="212" t="n"/>
      <c r="AX119" s="212" t="n"/>
      <c r="AY119" s="212" t="n"/>
      <c r="AZ119" s="212" t="n"/>
      <c r="BA119" s="212" t="n"/>
      <c r="BB119" s="212" t="n"/>
      <c r="BC119" s="212" t="n"/>
      <c r="BD119" s="212" t="n"/>
      <c r="BE119" s="212" t="n"/>
      <c r="BF119" s="212" t="n"/>
      <c r="BG119" s="212" t="n"/>
      <c r="BH119" s="212" t="n"/>
      <c r="BI119" s="212" t="n"/>
      <c r="BJ119" s="212" t="n"/>
      <c r="BK119" s="212" t="n"/>
      <c r="BL119" s="212" t="n"/>
      <c r="BM119" s="212" t="n"/>
      <c r="BN119" s="212" t="n"/>
      <c r="BO119" s="212" t="n"/>
      <c r="BP119" s="212" t="n"/>
      <c r="BQ119" s="212" t="n"/>
      <c r="BR119" s="212" t="n"/>
      <c r="BS119" s="212" t="n"/>
      <c r="BT119" s="212" t="n"/>
      <c r="BU119" s="212" t="n"/>
      <c r="BV119" s="212" t="n"/>
      <c r="BW119" s="212" t="n"/>
      <c r="BX119" s="212" t="n"/>
      <c r="BY119" s="212" t="n"/>
      <c r="BZ119" s="212" t="n"/>
      <c r="CA119" s="212" t="n"/>
      <c r="CB119" s="212" t="n"/>
      <c r="CC119" s="212" t="n"/>
      <c r="CD119" s="212" t="n"/>
      <c r="CE119" s="212" t="n"/>
      <c r="CF119" s="212" t="n"/>
      <c r="CG119" s="212" t="n"/>
      <c r="CH119" s="212" t="n"/>
      <c r="CI119" s="212" t="n"/>
      <c r="CJ119" s="212" t="n"/>
      <c r="CK119" s="212" t="n"/>
      <c r="CL119" s="212" t="n"/>
      <c r="CM119" s="212" t="n"/>
      <c r="CN119" s="212" t="n"/>
      <c r="CO119" s="212" t="n"/>
      <c r="CP119" s="212" t="n"/>
      <c r="CQ119" s="212" t="n"/>
      <c r="CR119" s="212" t="n"/>
      <c r="CS119" s="212" t="n"/>
      <c r="CT119" s="212" t="n"/>
      <c r="CU119" s="212" t="n"/>
      <c r="CV119" s="212" t="n"/>
      <c r="CW119" s="212" t="n"/>
      <c r="CX119" s="212" t="n"/>
      <c r="CY119" s="212" t="n"/>
      <c r="CZ119" s="212" t="n"/>
      <c r="DA119" s="212" t="n"/>
      <c r="DB119" s="212" t="n"/>
      <c r="DC119" s="212" t="n"/>
      <c r="DD119" s="212" t="n"/>
      <c r="DE119" s="212" t="n"/>
      <c r="DF119" s="212" t="n"/>
      <c r="DG119" s="212" t="n"/>
      <c r="DH119" s="212" t="n"/>
      <c r="DI119" s="212" t="n"/>
      <c r="DJ119" s="212" t="n"/>
      <c r="DK119" s="212" t="n"/>
      <c r="DL119" s="212" t="n"/>
      <c r="DM119" s="212" t="n"/>
      <c r="DN119" s="212" t="n"/>
      <c r="DO119" s="212" t="n"/>
      <c r="DP119" s="212" t="n"/>
      <c r="DQ119" s="212" t="n"/>
      <c r="DR119" s="212" t="n"/>
      <c r="DS119" s="212" t="n"/>
      <c r="DT119" s="212" t="n"/>
      <c r="DU119" s="212" t="n"/>
      <c r="DV119" s="212" t="n"/>
      <c r="DW119" s="212" t="n"/>
      <c r="DX119" s="212" t="n"/>
      <c r="DY119" s="212" t="n"/>
      <c r="DZ119" s="212" t="n"/>
      <c r="EA119" s="212" t="n"/>
      <c r="EB119" s="212" t="n"/>
      <c r="EC119" s="212" t="n"/>
      <c r="ED119" s="212" t="n"/>
      <c r="EE119" s="212" t="n"/>
      <c r="EF119" s="212" t="n"/>
      <c r="EG119" s="212" t="n"/>
      <c r="EH119" s="212" t="n"/>
      <c r="EI119" s="212" t="n"/>
      <c r="EJ119" s="212" t="n"/>
      <c r="EK119" s="212" t="n"/>
      <c r="EL119" s="212" t="n"/>
      <c r="EM119" s="212" t="n"/>
      <c r="EN119" s="212" t="n"/>
      <c r="EO119" s="212" t="n"/>
      <c r="EP119" s="212" t="n"/>
      <c r="EQ119" s="212" t="n"/>
      <c r="ER119" s="212" t="n"/>
      <c r="ES119" s="212" t="n"/>
      <c r="ET119" s="212" t="n"/>
      <c r="EU119" s="212" t="n"/>
      <c r="EV119" s="212" t="n"/>
      <c r="EW119" s="212" t="n"/>
      <c r="EX119" s="212" t="n"/>
      <c r="EY119" s="212" t="n"/>
      <c r="EZ119" s="212" t="n"/>
      <c r="FA119" s="212" t="n"/>
      <c r="FB119" s="212" t="n"/>
      <c r="FC119" s="212" t="n"/>
      <c r="FD119" s="212" t="n"/>
      <c r="FE119" s="212" t="n"/>
      <c r="FF119" s="212" t="n"/>
      <c r="FG119" s="212" t="n"/>
      <c r="FH119" s="212" t="n"/>
      <c r="FI119" s="212" t="n"/>
      <c r="FJ119" s="212" t="n"/>
      <c r="FK119" s="212" t="n"/>
      <c r="FL119" s="212" t="n"/>
      <c r="FM119" s="212" t="n"/>
      <c r="FN119" s="212" t="n"/>
      <c r="FO119" s="212" t="n"/>
      <c r="FP119" s="212" t="n"/>
      <c r="FQ119" s="212" t="n"/>
      <c r="FR119" s="212" t="n"/>
      <c r="FS119" s="212" t="n"/>
      <c r="FT119" s="212" t="n"/>
      <c r="FU119" s="212" t="n"/>
      <c r="FV119" s="212" t="n"/>
      <c r="FW119" s="212" t="n"/>
      <c r="FX119" s="212" t="n"/>
      <c r="FY119" s="212" t="n"/>
      <c r="FZ119" s="212" t="n"/>
      <c r="GA119" s="212" t="n"/>
      <c r="GB119" s="212" t="n"/>
      <c r="GC119" s="212" t="n"/>
      <c r="GD119" s="212" t="n"/>
      <c r="GE119" s="212" t="n"/>
      <c r="GF119" s="212" t="n"/>
      <c r="GG119" s="212" t="n"/>
      <c r="GH119" s="212" t="n"/>
      <c r="GI119" s="212" t="n"/>
      <c r="GJ119" s="212" t="n"/>
      <c r="GK119" s="212" t="n"/>
      <c r="GL119" s="212" t="n"/>
      <c r="GM119" s="212" t="n"/>
      <c r="GN119" s="212" t="n"/>
      <c r="GO119" s="212" t="n"/>
      <c r="GP119" s="212" t="n"/>
      <c r="GQ119" s="212" t="n"/>
      <c r="GR119" s="212" t="n"/>
      <c r="GS119" s="212" t="n"/>
      <c r="GT119" s="212" t="n"/>
      <c r="GU119" s="212" t="n"/>
      <c r="GV119" s="212" t="n"/>
      <c r="GW119" s="212" t="n"/>
      <c r="GX119" s="212" t="n"/>
      <c r="GY119" s="212" t="n"/>
      <c r="GZ119" s="212" t="n"/>
      <c r="HA119" s="212" t="n"/>
      <c r="HB119" s="212" t="n"/>
      <c r="HC119" s="212" t="n"/>
      <c r="HD119" s="212" t="n"/>
      <c r="HE119" s="212" t="n"/>
      <c r="HF119" s="212" t="n"/>
      <c r="HG119" s="212" t="n"/>
      <c r="HH119" s="212" t="n"/>
      <c r="HI119" s="212" t="n"/>
      <c r="HJ119" s="212" t="n"/>
      <c r="HK119" s="212" t="n"/>
      <c r="HL119" s="212" t="n"/>
      <c r="HM119" s="212" t="n"/>
      <c r="HN119" s="212" t="n"/>
      <c r="HO119" s="212" t="n"/>
      <c r="HP119" s="212" t="n"/>
      <c r="HQ119" s="212" t="n"/>
      <c r="HR119" s="212" t="n"/>
      <c r="HS119" s="212" t="n"/>
      <c r="HT119" s="212" t="n"/>
      <c r="HU119" s="212" t="n"/>
      <c r="HV119" s="212" t="n"/>
      <c r="HW119" s="212" t="n"/>
      <c r="HX119" s="212" t="n"/>
      <c r="HY119" s="212" t="n"/>
      <c r="HZ119" s="212" t="n"/>
      <c r="IA119" s="212" t="n"/>
      <c r="IB119" s="212" t="n"/>
      <c r="IC119" s="212" t="n"/>
      <c r="ID119" s="212" t="n"/>
      <c r="IE119" s="212" t="n"/>
      <c r="IF119" s="212" t="n"/>
      <c r="IG119" s="212" t="n"/>
      <c r="IH119" s="212" t="n"/>
      <c r="II119" s="212" t="n"/>
      <c r="IJ119" s="212" t="n"/>
      <c r="IK119" s="212" t="n"/>
      <c r="IL119" s="212" t="n"/>
      <c r="IM119" s="212" t="n"/>
      <c r="IN119" s="212" t="n"/>
      <c r="IO119" s="212" t="n"/>
      <c r="IP119" s="212" t="n"/>
      <c r="IQ119" s="212" t="n"/>
      <c r="IR119" s="212" t="n"/>
      <c r="IS119" s="212" t="n"/>
      <c r="IT119" s="212" t="n"/>
      <c r="IU119" s="212" t="n"/>
      <c r="IV119" s="212" t="n"/>
      <c r="IW119" s="212" t="n"/>
      <c r="IX119" s="212" t="n"/>
      <c r="IY119" s="212" t="n"/>
      <c r="IZ119" s="212" t="n"/>
      <c r="JA119" s="212" t="n"/>
      <c r="JB119" s="212" t="n"/>
      <c r="JC119" s="212" t="n"/>
      <c r="JD119" s="212" t="n"/>
      <c r="JE119" s="212" t="n"/>
      <c r="JF119" s="212" t="n"/>
      <c r="JG119" s="212" t="n"/>
      <c r="JH119" s="212" t="n"/>
      <c r="JI119" s="212" t="n"/>
      <c r="JJ119" s="212" t="n"/>
      <c r="JK119" s="212" t="n"/>
      <c r="JL119" s="212" t="n"/>
      <c r="JM119" s="212" t="n"/>
      <c r="JN119" s="212" t="n"/>
      <c r="JO119" s="212" t="n"/>
      <c r="JP119" s="212" t="n"/>
      <c r="JQ119" s="212" t="n"/>
      <c r="JR119" s="212" t="n"/>
      <c r="JS119" s="212" t="n"/>
      <c r="JT119" s="212" t="n"/>
      <c r="JU119" s="212" t="n"/>
      <c r="JV119" s="212" t="n"/>
      <c r="JW119" s="212" t="n"/>
      <c r="JX119" s="212" t="n"/>
      <c r="JY119" s="212" t="n"/>
      <c r="JZ119" s="212" t="n"/>
      <c r="KA119" s="212" t="n"/>
      <c r="KB119" s="212" t="n"/>
      <c r="KC119" s="212" t="n"/>
      <c r="KD119" s="212" t="n"/>
      <c r="KE119" s="212" t="n"/>
      <c r="KF119" s="212" t="n"/>
      <c r="KG119" s="212" t="n"/>
      <c r="KH119" s="212" t="n"/>
      <c r="KI119" s="212" t="n"/>
      <c r="KJ119" s="212" t="n"/>
      <c r="KK119" s="212" t="n"/>
      <c r="KL119" s="212" t="n"/>
      <c r="KM119" s="212" t="n"/>
      <c r="KN119" s="212" t="n"/>
      <c r="KO119" s="212" t="n"/>
      <c r="KP119" s="212" t="n"/>
      <c r="KQ119" s="212" t="n"/>
      <c r="KR119" s="212" t="n"/>
      <c r="KS119" s="212" t="n"/>
      <c r="KT119" s="212" t="n"/>
      <c r="KU119" s="212" t="n"/>
      <c r="KV119" s="212" t="n"/>
      <c r="KW119" s="212" t="n"/>
      <c r="KX119" s="212" t="n"/>
      <c r="KY119" s="212" t="n"/>
      <c r="KZ119" s="212" t="n"/>
      <c r="LA119" s="212" t="n"/>
      <c r="LB119" s="212" t="n"/>
      <c r="LC119" s="212" t="n"/>
      <c r="LD119" s="212" t="n"/>
      <c r="LE119" s="212" t="n"/>
      <c r="LF119" s="212" t="n"/>
      <c r="LG119" s="212" t="n"/>
      <c r="LH119" s="212" t="n"/>
      <c r="LI119" s="212" t="n"/>
      <c r="LJ119" s="212" t="n"/>
      <c r="LK119" s="212" t="n"/>
      <c r="LL119" s="212" t="n"/>
      <c r="LM119" s="212" t="n"/>
      <c r="LN119" s="212" t="n"/>
      <c r="LO119" s="212" t="n"/>
      <c r="LP119" s="212" t="n"/>
      <c r="LQ119" s="212" t="n"/>
      <c r="LR119" s="212" t="n"/>
      <c r="LS119" s="212" t="n"/>
      <c r="LT119" s="212" t="n"/>
      <c r="LU119" s="212" t="n"/>
      <c r="LV119" s="212" t="n"/>
      <c r="LW119" s="212" t="n"/>
      <c r="LX119" s="212" t="n"/>
      <c r="LY119" s="212" t="n"/>
      <c r="LZ119" s="212" t="n"/>
      <c r="MA119" s="212" t="n"/>
      <c r="MB119" s="212" t="n"/>
      <c r="MC119" s="212" t="n"/>
      <c r="MD119" s="212" t="n"/>
      <c r="ME119" s="212" t="n"/>
      <c r="MF119" s="212" t="n"/>
      <c r="MG119" s="212" t="n"/>
      <c r="MH119" s="212" t="n"/>
      <c r="MI119" s="212" t="n"/>
      <c r="MJ119" s="212" t="n"/>
      <c r="MK119" s="212" t="n"/>
      <c r="ML119" s="212" t="n"/>
      <c r="MM119" s="212" t="n"/>
      <c r="MN119" s="212" t="n"/>
      <c r="MO119" s="212" t="n"/>
      <c r="MP119" s="212" t="n"/>
      <c r="MQ119" s="212" t="n"/>
      <c r="MR119" s="212" t="n"/>
      <c r="MS119" s="212" t="n"/>
      <c r="MT119" s="212" t="n"/>
      <c r="MU119" s="212" t="n"/>
      <c r="MV119" s="212" t="n"/>
      <c r="MW119" s="212" t="n"/>
      <c r="MX119" s="212" t="n"/>
      <c r="MY119" s="212" t="n"/>
      <c r="MZ119" s="212" t="n"/>
      <c r="NA119" s="212" t="n"/>
      <c r="NB119" s="212" t="n"/>
      <c r="NC119" s="212" t="n"/>
      <c r="ND119" s="212" t="n"/>
      <c r="NE119" s="212" t="n"/>
      <c r="NF119" s="212" t="n"/>
      <c r="NG119" s="212" t="n"/>
      <c r="NH119" s="212" t="n"/>
      <c r="NI119" s="212" t="n"/>
      <c r="NJ119" s="212" t="n"/>
      <c r="NK119" s="212" t="n"/>
      <c r="NL119" s="212" t="n"/>
      <c r="NM119" s="212" t="n"/>
      <c r="NN119" s="212" t="n"/>
      <c r="NO119" s="212" t="n"/>
      <c r="NP119" s="212" t="n"/>
      <c r="NQ119" s="212" t="n"/>
      <c r="NR119" s="212" t="n"/>
      <c r="NS119" s="212" t="n"/>
      <c r="NT119" s="212" t="n"/>
      <c r="NU119" s="212" t="n"/>
      <c r="NV119" s="212" t="n"/>
      <c r="NW119" s="212" t="n"/>
      <c r="NX119" s="212" t="n"/>
      <c r="NY119" s="212" t="n"/>
      <c r="NZ119" s="212" t="n"/>
      <c r="OA119" s="212" t="n"/>
      <c r="OB119" s="212" t="n"/>
      <c r="OC119" s="212" t="n"/>
      <c r="OD119" s="212" t="n"/>
      <c r="OE119" s="212" t="n"/>
      <c r="OF119" s="212" t="n"/>
      <c r="OG119" s="212" t="n"/>
      <c r="OH119" s="212" t="n"/>
      <c r="OI119" s="212" t="n"/>
      <c r="OJ119" s="212" t="n"/>
      <c r="OK119" s="212" t="n"/>
      <c r="OL119" s="212" t="n"/>
      <c r="OM119" s="212" t="n"/>
      <c r="ON119" s="212" t="n"/>
      <c r="OO119" s="212" t="n"/>
      <c r="OP119" s="212" t="n"/>
      <c r="OQ119" s="212" t="n"/>
      <c r="OR119" s="212" t="n"/>
      <c r="OS119" s="212" t="n"/>
      <c r="OT119" s="212" t="n"/>
      <c r="OU119" s="212" t="n"/>
      <c r="OV119" s="212" t="n"/>
      <c r="OW119" s="212" t="n"/>
      <c r="OX119" s="212" t="n"/>
      <c r="OY119" s="212" t="n"/>
      <c r="OZ119" s="212" t="n"/>
      <c r="PA119" s="212" t="n"/>
      <c r="PB119" s="212" t="n"/>
      <c r="PC119" s="212" t="n"/>
      <c r="PD119" s="212" t="n"/>
      <c r="PE119" s="212" t="n"/>
      <c r="PF119" s="212" t="n"/>
      <c r="PG119" s="212" t="n"/>
      <c r="PH119" s="212" t="n"/>
      <c r="PI119" s="212" t="n"/>
      <c r="PJ119" s="212" t="n"/>
      <c r="PK119" s="212" t="n"/>
      <c r="PL119" s="212" t="n"/>
      <c r="PM119" s="212" t="n"/>
      <c r="PN119" s="212" t="n"/>
      <c r="PO119" s="212" t="n"/>
      <c r="PP119" s="212" t="n"/>
      <c r="PQ119" s="212" t="n"/>
      <c r="PR119" s="212" t="n"/>
      <c r="PS119" s="212" t="n"/>
      <c r="PT119" s="212" t="n"/>
      <c r="PU119" s="212" t="n"/>
      <c r="PV119" s="212" t="n"/>
      <c r="PW119" s="212" t="n"/>
      <c r="PX119" s="212" t="n"/>
      <c r="PY119" s="212" t="n"/>
      <c r="PZ119" s="212" t="n"/>
      <c r="QA119" s="212" t="n"/>
      <c r="QB119" s="212" t="n"/>
      <c r="QC119" s="212" t="n"/>
      <c r="QD119" s="212" t="n"/>
      <c r="QE119" s="212" t="n"/>
      <c r="QF119" s="212" t="n"/>
      <c r="QG119" s="212" t="n"/>
      <c r="QH119" s="212" t="n"/>
      <c r="QI119" s="212" t="n"/>
      <c r="QJ119" s="212" t="n"/>
      <c r="QK119" s="212" t="n"/>
      <c r="QL119" s="212" t="n"/>
      <c r="QM119" s="212" t="n"/>
      <c r="QN119" s="212" t="n"/>
      <c r="QO119" s="212" t="n"/>
      <c r="QP119" s="212" t="n"/>
      <c r="QQ119" s="212" t="n"/>
      <c r="QR119" s="212" t="n"/>
      <c r="QS119" s="212" t="n"/>
      <c r="QT119" s="212" t="n"/>
      <c r="QU119" s="212" t="n"/>
      <c r="QV119" s="212" t="n"/>
      <c r="QW119" s="212" t="n"/>
      <c r="QX119" s="212" t="n"/>
      <c r="QY119" s="212" t="n"/>
      <c r="QZ119" s="212" t="n"/>
      <c r="RA119" s="212" t="n"/>
      <c r="RB119" s="212" t="n"/>
      <c r="RC119" s="212" t="n"/>
      <c r="RD119" s="212" t="n"/>
      <c r="RE119" s="212" t="n"/>
      <c r="RF119" s="212" t="n"/>
      <c r="RG119" s="212" t="n"/>
      <c r="RH119" s="212" t="n"/>
      <c r="RI119" s="212" t="n"/>
      <c r="RJ119" s="212" t="n"/>
      <c r="RK119" s="212" t="n"/>
      <c r="RL119" s="212" t="n"/>
      <c r="RM119" s="212" t="n"/>
      <c r="RN119" s="212" t="n"/>
      <c r="RO119" s="212" t="n"/>
      <c r="RP119" s="212" t="n"/>
      <c r="RQ119" s="212" t="n"/>
      <c r="RR119" s="212" t="n"/>
      <c r="RS119" s="212" t="n"/>
      <c r="RT119" s="212" t="n"/>
      <c r="RU119" s="212" t="n"/>
      <c r="RV119" s="212" t="n"/>
      <c r="RW119" s="212" t="n"/>
      <c r="RX119" s="212" t="n"/>
      <c r="RY119" s="212" t="n"/>
      <c r="RZ119" s="212" t="n"/>
      <c r="SA119" s="212" t="n"/>
      <c r="SB119" s="212" t="n"/>
      <c r="SC119" s="212" t="n"/>
      <c r="SD119" s="212" t="n"/>
      <c r="SE119" s="212" t="n"/>
      <c r="SF119" s="212" t="n"/>
      <c r="SG119" s="212" t="n"/>
      <c r="SH119" s="212" t="n"/>
      <c r="SI119" s="212" t="n"/>
      <c r="SJ119" s="212" t="n"/>
      <c r="SK119" s="212" t="n"/>
      <c r="SL119" s="212" t="n"/>
      <c r="SM119" s="212" t="n"/>
      <c r="SN119" s="212" t="n"/>
      <c r="SO119" s="212" t="n"/>
      <c r="SP119" s="212" t="n"/>
      <c r="SQ119" s="212" t="n"/>
      <c r="SR119" s="212" t="n"/>
      <c r="SS119" s="212" t="n"/>
      <c r="ST119" s="212" t="n"/>
      <c r="SU119" s="212" t="n"/>
      <c r="SV119" s="212" t="n"/>
    </row>
    <row r="120">
      <c r="B120" s="209" t="n"/>
      <c r="C120" s="209" t="n"/>
      <c r="D120" s="209" t="n"/>
      <c r="E120" s="209" t="n"/>
      <c r="F120" s="209">
        <f>IF(TRIM(D120&amp;E120)="","",TRIM(D120)&amp;" "&amp;TRIM(E120))</f>
        <v/>
      </c>
      <c r="G120" s="209" t="n"/>
      <c r="H120" s="209" t="n"/>
      <c r="I120" s="209" t="n"/>
      <c r="J120" s="209" t="n"/>
      <c r="K120" s="209" t="n"/>
      <c r="L120" s="209" t="n"/>
      <c r="M120" s="209" t="n"/>
      <c r="N120" s="209" t="n"/>
      <c r="O120" s="209" t="n"/>
      <c r="P120" s="209" t="n"/>
      <c r="Q120" s="209" t="n"/>
      <c r="R120" s="209" t="n"/>
      <c r="S120" s="212" t="n"/>
      <c r="T120" s="212" t="n"/>
      <c r="U120" s="212" t="n"/>
      <c r="V120" s="212" t="n"/>
      <c r="W120" s="212" t="n"/>
      <c r="X120" s="212" t="n"/>
      <c r="Y120" s="212" t="n"/>
      <c r="Z120" s="212" t="n"/>
      <c r="AA120" s="212" t="n"/>
      <c r="AB120" s="212" t="n"/>
      <c r="AC120" s="212" t="n"/>
      <c r="AD120" s="212" t="n"/>
      <c r="AE120" s="212" t="n"/>
      <c r="AF120" s="212" t="n"/>
      <c r="AG120" s="212" t="n"/>
      <c r="AH120" s="212" t="n"/>
      <c r="AI120" s="212" t="n"/>
      <c r="AJ120" s="212" t="n"/>
      <c r="AK120" s="212" t="n"/>
      <c r="AL120" s="212" t="n"/>
      <c r="AM120" s="212" t="n"/>
      <c r="AN120" s="212" t="n"/>
      <c r="AO120" s="212" t="n"/>
      <c r="AP120" s="212" t="n"/>
      <c r="AQ120" s="212" t="n"/>
      <c r="AR120" s="212" t="n"/>
      <c r="AS120" s="212" t="n"/>
      <c r="AT120" s="212" t="n"/>
      <c r="AU120" s="212" t="n"/>
      <c r="AV120" s="212" t="n"/>
      <c r="AW120" s="212" t="n"/>
      <c r="AX120" s="212" t="n"/>
      <c r="AY120" s="212" t="n"/>
      <c r="AZ120" s="212" t="n"/>
      <c r="BA120" s="212" t="n"/>
      <c r="BB120" s="212" t="n"/>
      <c r="BC120" s="212" t="n"/>
      <c r="BD120" s="212" t="n"/>
      <c r="BE120" s="212" t="n"/>
      <c r="BF120" s="212" t="n"/>
      <c r="BG120" s="212" t="n"/>
      <c r="BH120" s="212" t="n"/>
      <c r="BI120" s="212" t="n"/>
      <c r="BJ120" s="212" t="n"/>
      <c r="BK120" s="212" t="n"/>
      <c r="BL120" s="212" t="n"/>
      <c r="BM120" s="212" t="n"/>
      <c r="BN120" s="212" t="n"/>
      <c r="BO120" s="212" t="n"/>
      <c r="BP120" s="212" t="n"/>
      <c r="BQ120" s="212" t="n"/>
      <c r="BR120" s="212" t="n"/>
      <c r="BS120" s="212" t="n"/>
      <c r="BT120" s="212" t="n"/>
      <c r="BU120" s="212" t="n"/>
      <c r="BV120" s="212" t="n"/>
      <c r="BW120" s="212" t="n"/>
      <c r="BX120" s="212" t="n"/>
      <c r="BY120" s="212" t="n"/>
      <c r="BZ120" s="212" t="n"/>
      <c r="CA120" s="212" t="n"/>
      <c r="CB120" s="212" t="n"/>
      <c r="CC120" s="212" t="n"/>
      <c r="CD120" s="212" t="n"/>
      <c r="CE120" s="212" t="n"/>
      <c r="CF120" s="212" t="n"/>
      <c r="CG120" s="212" t="n"/>
      <c r="CH120" s="212" t="n"/>
      <c r="CI120" s="212" t="n"/>
      <c r="CJ120" s="212" t="n"/>
      <c r="CK120" s="212" t="n"/>
      <c r="CL120" s="212" t="n"/>
      <c r="CM120" s="212" t="n"/>
      <c r="CN120" s="212" t="n"/>
      <c r="CO120" s="212" t="n"/>
      <c r="CP120" s="212" t="n"/>
      <c r="CQ120" s="212" t="n"/>
      <c r="CR120" s="212" t="n"/>
      <c r="CS120" s="212" t="n"/>
      <c r="CT120" s="212" t="n"/>
      <c r="CU120" s="212" t="n"/>
      <c r="CV120" s="212" t="n"/>
      <c r="CW120" s="212" t="n"/>
      <c r="CX120" s="212" t="n"/>
      <c r="CY120" s="212" t="n"/>
      <c r="CZ120" s="212" t="n"/>
      <c r="DA120" s="212" t="n"/>
      <c r="DB120" s="212" t="n"/>
      <c r="DC120" s="212" t="n"/>
      <c r="DD120" s="212" t="n"/>
      <c r="DE120" s="212" t="n"/>
      <c r="DF120" s="212" t="n"/>
      <c r="DG120" s="212" t="n"/>
      <c r="DH120" s="212" t="n"/>
      <c r="DI120" s="212" t="n"/>
      <c r="DJ120" s="212" t="n"/>
      <c r="DK120" s="212" t="n"/>
      <c r="DL120" s="212" t="n"/>
      <c r="DM120" s="212" t="n"/>
      <c r="DN120" s="212" t="n"/>
      <c r="DO120" s="212" t="n"/>
      <c r="DP120" s="212" t="n"/>
      <c r="DQ120" s="212" t="n"/>
      <c r="DR120" s="212" t="n"/>
      <c r="DS120" s="212" t="n"/>
      <c r="DT120" s="212" t="n"/>
      <c r="DU120" s="212" t="n"/>
      <c r="DV120" s="212" t="n"/>
      <c r="DW120" s="212" t="n"/>
      <c r="DX120" s="212" t="n"/>
      <c r="DY120" s="212" t="n"/>
      <c r="DZ120" s="212" t="n"/>
      <c r="EA120" s="212" t="n"/>
      <c r="EB120" s="212" t="n"/>
      <c r="EC120" s="212" t="n"/>
      <c r="ED120" s="212" t="n"/>
      <c r="EE120" s="212" t="n"/>
      <c r="EF120" s="212" t="n"/>
      <c r="EG120" s="212" t="n"/>
      <c r="EH120" s="212" t="n"/>
      <c r="EI120" s="212" t="n"/>
      <c r="EJ120" s="212" t="n"/>
      <c r="EK120" s="212" t="n"/>
      <c r="EL120" s="212" t="n"/>
      <c r="EM120" s="212" t="n"/>
      <c r="EN120" s="212" t="n"/>
      <c r="EO120" s="212" t="n"/>
      <c r="EP120" s="212" t="n"/>
      <c r="EQ120" s="212" t="n"/>
      <c r="ER120" s="212" t="n"/>
      <c r="ES120" s="212" t="n"/>
      <c r="ET120" s="212" t="n"/>
      <c r="EU120" s="212" t="n"/>
      <c r="EV120" s="212" t="n"/>
      <c r="EW120" s="212" t="n"/>
      <c r="EX120" s="212" t="n"/>
      <c r="EY120" s="212" t="n"/>
      <c r="EZ120" s="212" t="n"/>
      <c r="FA120" s="212" t="n"/>
      <c r="FB120" s="212" t="n"/>
      <c r="FC120" s="212" t="n"/>
      <c r="FD120" s="212" t="n"/>
      <c r="FE120" s="212" t="n"/>
      <c r="FF120" s="212" t="n"/>
      <c r="FG120" s="212" t="n"/>
      <c r="FH120" s="212" t="n"/>
      <c r="FI120" s="212" t="n"/>
      <c r="FJ120" s="212" t="n"/>
      <c r="FK120" s="212" t="n"/>
      <c r="FL120" s="212" t="n"/>
      <c r="FM120" s="212" t="n"/>
      <c r="FN120" s="212" t="n"/>
      <c r="FO120" s="212" t="n"/>
      <c r="FP120" s="212" t="n"/>
      <c r="FQ120" s="212" t="n"/>
      <c r="FR120" s="212" t="n"/>
      <c r="FS120" s="212" t="n"/>
      <c r="FT120" s="212" t="n"/>
      <c r="FU120" s="212" t="n"/>
      <c r="FV120" s="212" t="n"/>
      <c r="FW120" s="212" t="n"/>
      <c r="FX120" s="212" t="n"/>
      <c r="FY120" s="212" t="n"/>
      <c r="FZ120" s="212" t="n"/>
      <c r="GA120" s="212" t="n"/>
      <c r="GB120" s="212" t="n"/>
      <c r="GC120" s="212" t="n"/>
      <c r="GD120" s="212" t="n"/>
      <c r="GE120" s="212" t="n"/>
      <c r="GF120" s="212" t="n"/>
      <c r="GG120" s="212" t="n"/>
      <c r="GH120" s="212" t="n"/>
      <c r="GI120" s="212" t="n"/>
      <c r="GJ120" s="212" t="n"/>
      <c r="GK120" s="212" t="n"/>
      <c r="GL120" s="212" t="n"/>
      <c r="GM120" s="212" t="n"/>
      <c r="GN120" s="212" t="n"/>
      <c r="GO120" s="212" t="n"/>
      <c r="GP120" s="212" t="n"/>
      <c r="GQ120" s="212" t="n"/>
      <c r="GR120" s="212" t="n"/>
      <c r="GS120" s="212" t="n"/>
      <c r="GT120" s="212" t="n"/>
      <c r="GU120" s="212" t="n"/>
      <c r="GV120" s="212" t="n"/>
      <c r="GW120" s="212" t="n"/>
      <c r="GX120" s="212" t="n"/>
      <c r="GY120" s="212" t="n"/>
      <c r="GZ120" s="212" t="n"/>
      <c r="HA120" s="212" t="n"/>
      <c r="HB120" s="212" t="n"/>
      <c r="HC120" s="212" t="n"/>
      <c r="HD120" s="212" t="n"/>
      <c r="HE120" s="212" t="n"/>
      <c r="HF120" s="212" t="n"/>
      <c r="HG120" s="212" t="n"/>
      <c r="HH120" s="212" t="n"/>
      <c r="HI120" s="212" t="n"/>
      <c r="HJ120" s="212" t="n"/>
      <c r="HK120" s="212" t="n"/>
      <c r="HL120" s="212" t="n"/>
      <c r="HM120" s="212" t="n"/>
      <c r="HN120" s="212" t="n"/>
      <c r="HO120" s="212" t="n"/>
      <c r="HP120" s="212" t="n"/>
      <c r="HQ120" s="212" t="n"/>
      <c r="HR120" s="212" t="n"/>
      <c r="HS120" s="212" t="n"/>
      <c r="HT120" s="212" t="n"/>
      <c r="HU120" s="212" t="n"/>
      <c r="HV120" s="212" t="n"/>
      <c r="HW120" s="212" t="n"/>
      <c r="HX120" s="212" t="n"/>
      <c r="HY120" s="212" t="n"/>
      <c r="HZ120" s="212" t="n"/>
      <c r="IA120" s="212" t="n"/>
      <c r="IB120" s="212" t="n"/>
      <c r="IC120" s="212" t="n"/>
      <c r="ID120" s="212" t="n"/>
      <c r="IE120" s="212" t="n"/>
      <c r="IF120" s="212" t="n"/>
      <c r="IG120" s="212" t="n"/>
      <c r="IH120" s="212" t="n"/>
      <c r="II120" s="212" t="n"/>
      <c r="IJ120" s="212" t="n"/>
      <c r="IK120" s="212" t="n"/>
      <c r="IL120" s="212" t="n"/>
      <c r="IM120" s="212" t="n"/>
      <c r="IN120" s="212" t="n"/>
      <c r="IO120" s="212" t="n"/>
      <c r="IP120" s="212" t="n"/>
      <c r="IQ120" s="212" t="n"/>
      <c r="IR120" s="212" t="n"/>
      <c r="IS120" s="212" t="n"/>
      <c r="IT120" s="212" t="n"/>
      <c r="IU120" s="212" t="n"/>
      <c r="IV120" s="212" t="n"/>
      <c r="IW120" s="212" t="n"/>
      <c r="IX120" s="212" t="n"/>
      <c r="IY120" s="212" t="n"/>
      <c r="IZ120" s="212" t="n"/>
      <c r="JA120" s="212" t="n"/>
      <c r="JB120" s="212" t="n"/>
      <c r="JC120" s="212" t="n"/>
      <c r="JD120" s="212" t="n"/>
      <c r="JE120" s="212" t="n"/>
      <c r="JF120" s="212" t="n"/>
      <c r="JG120" s="212" t="n"/>
      <c r="JH120" s="212" t="n"/>
      <c r="JI120" s="212" t="n"/>
      <c r="JJ120" s="212" t="n"/>
      <c r="JK120" s="212" t="n"/>
      <c r="JL120" s="212" t="n"/>
      <c r="JM120" s="212" t="n"/>
      <c r="JN120" s="212" t="n"/>
      <c r="JO120" s="212" t="n"/>
      <c r="JP120" s="212" t="n"/>
      <c r="JQ120" s="212" t="n"/>
      <c r="JR120" s="212" t="n"/>
      <c r="JS120" s="212" t="n"/>
      <c r="JT120" s="212" t="n"/>
      <c r="JU120" s="212" t="n"/>
      <c r="JV120" s="212" t="n"/>
      <c r="JW120" s="212" t="n"/>
      <c r="JX120" s="212" t="n"/>
      <c r="JY120" s="212" t="n"/>
      <c r="JZ120" s="212" t="n"/>
      <c r="KA120" s="212" t="n"/>
      <c r="KB120" s="212" t="n"/>
      <c r="KC120" s="212" t="n"/>
      <c r="KD120" s="212" t="n"/>
      <c r="KE120" s="212" t="n"/>
      <c r="KF120" s="212" t="n"/>
      <c r="KG120" s="212" t="n"/>
      <c r="KH120" s="212" t="n"/>
      <c r="KI120" s="212" t="n"/>
      <c r="KJ120" s="212" t="n"/>
      <c r="KK120" s="212" t="n"/>
      <c r="KL120" s="212" t="n"/>
      <c r="KM120" s="212" t="n"/>
      <c r="KN120" s="212" t="n"/>
      <c r="KO120" s="212" t="n"/>
      <c r="KP120" s="212" t="n"/>
      <c r="KQ120" s="212" t="n"/>
      <c r="KR120" s="212" t="n"/>
      <c r="KS120" s="212" t="n"/>
      <c r="KT120" s="212" t="n"/>
      <c r="KU120" s="212" t="n"/>
      <c r="KV120" s="212" t="n"/>
      <c r="KW120" s="212" t="n"/>
      <c r="KX120" s="212" t="n"/>
      <c r="KY120" s="212" t="n"/>
      <c r="KZ120" s="212" t="n"/>
      <c r="LA120" s="212" t="n"/>
      <c r="LB120" s="212" t="n"/>
      <c r="LC120" s="212" t="n"/>
      <c r="LD120" s="212" t="n"/>
      <c r="LE120" s="212" t="n"/>
      <c r="LF120" s="212" t="n"/>
      <c r="LG120" s="212" t="n"/>
      <c r="LH120" s="212" t="n"/>
      <c r="LI120" s="212" t="n"/>
      <c r="LJ120" s="212" t="n"/>
      <c r="LK120" s="212" t="n"/>
      <c r="LL120" s="212" t="n"/>
      <c r="LM120" s="212" t="n"/>
      <c r="LN120" s="212" t="n"/>
      <c r="LO120" s="212" t="n"/>
      <c r="LP120" s="212" t="n"/>
      <c r="LQ120" s="212" t="n"/>
      <c r="LR120" s="212" t="n"/>
      <c r="LS120" s="212" t="n"/>
      <c r="LT120" s="212" t="n"/>
      <c r="LU120" s="212" t="n"/>
      <c r="LV120" s="212" t="n"/>
      <c r="LW120" s="212" t="n"/>
      <c r="LX120" s="212" t="n"/>
      <c r="LY120" s="212" t="n"/>
      <c r="LZ120" s="212" t="n"/>
      <c r="MA120" s="212" t="n"/>
      <c r="MB120" s="212" t="n"/>
      <c r="MC120" s="212" t="n"/>
      <c r="MD120" s="212" t="n"/>
      <c r="ME120" s="212" t="n"/>
      <c r="MF120" s="212" t="n"/>
      <c r="MG120" s="212" t="n"/>
      <c r="MH120" s="212" t="n"/>
      <c r="MI120" s="212" t="n"/>
      <c r="MJ120" s="212" t="n"/>
      <c r="MK120" s="212" t="n"/>
      <c r="ML120" s="212" t="n"/>
      <c r="MM120" s="212" t="n"/>
      <c r="MN120" s="212" t="n"/>
      <c r="MO120" s="212" t="n"/>
      <c r="MP120" s="212" t="n"/>
      <c r="MQ120" s="212" t="n"/>
      <c r="MR120" s="212" t="n"/>
      <c r="MS120" s="212" t="n"/>
      <c r="MT120" s="212" t="n"/>
      <c r="MU120" s="212" t="n"/>
      <c r="MV120" s="212" t="n"/>
      <c r="MW120" s="212" t="n"/>
      <c r="MX120" s="212" t="n"/>
      <c r="MY120" s="212" t="n"/>
      <c r="MZ120" s="212" t="n"/>
      <c r="NA120" s="212" t="n"/>
      <c r="NB120" s="212" t="n"/>
      <c r="NC120" s="212" t="n"/>
      <c r="ND120" s="212" t="n"/>
      <c r="NE120" s="212" t="n"/>
      <c r="NF120" s="212" t="n"/>
      <c r="NG120" s="212" t="n"/>
      <c r="NH120" s="212" t="n"/>
      <c r="NI120" s="212" t="n"/>
      <c r="NJ120" s="212" t="n"/>
      <c r="NK120" s="212" t="n"/>
      <c r="NL120" s="212" t="n"/>
      <c r="NM120" s="212" t="n"/>
      <c r="NN120" s="212" t="n"/>
      <c r="NO120" s="212" t="n"/>
      <c r="NP120" s="212" t="n"/>
      <c r="NQ120" s="212" t="n"/>
      <c r="NR120" s="212" t="n"/>
      <c r="NS120" s="212" t="n"/>
      <c r="NT120" s="212" t="n"/>
      <c r="NU120" s="212" t="n"/>
      <c r="NV120" s="212" t="n"/>
      <c r="NW120" s="212" t="n"/>
      <c r="NX120" s="212" t="n"/>
      <c r="NY120" s="212" t="n"/>
      <c r="NZ120" s="212" t="n"/>
      <c r="OA120" s="212" t="n"/>
      <c r="OB120" s="212" t="n"/>
      <c r="OC120" s="212" t="n"/>
      <c r="OD120" s="212" t="n"/>
      <c r="OE120" s="212" t="n"/>
      <c r="OF120" s="212" t="n"/>
      <c r="OG120" s="212" t="n"/>
      <c r="OH120" s="212" t="n"/>
      <c r="OI120" s="212" t="n"/>
      <c r="OJ120" s="212" t="n"/>
      <c r="OK120" s="212" t="n"/>
      <c r="OL120" s="212" t="n"/>
      <c r="OM120" s="212" t="n"/>
      <c r="ON120" s="212" t="n"/>
      <c r="OO120" s="212" t="n"/>
      <c r="OP120" s="212" t="n"/>
      <c r="OQ120" s="212" t="n"/>
      <c r="OR120" s="212" t="n"/>
      <c r="OS120" s="212" t="n"/>
      <c r="OT120" s="212" t="n"/>
      <c r="OU120" s="212" t="n"/>
      <c r="OV120" s="212" t="n"/>
      <c r="OW120" s="212" t="n"/>
      <c r="OX120" s="212" t="n"/>
      <c r="OY120" s="212" t="n"/>
      <c r="OZ120" s="212" t="n"/>
      <c r="PA120" s="212" t="n"/>
      <c r="PB120" s="212" t="n"/>
      <c r="PC120" s="212" t="n"/>
      <c r="PD120" s="212" t="n"/>
      <c r="PE120" s="212" t="n"/>
      <c r="PF120" s="212" t="n"/>
      <c r="PG120" s="212" t="n"/>
      <c r="PH120" s="212" t="n"/>
      <c r="PI120" s="212" t="n"/>
      <c r="PJ120" s="212" t="n"/>
      <c r="PK120" s="212" t="n"/>
      <c r="PL120" s="212" t="n"/>
      <c r="PM120" s="212" t="n"/>
      <c r="PN120" s="212" t="n"/>
      <c r="PO120" s="212" t="n"/>
      <c r="PP120" s="212" t="n"/>
      <c r="PQ120" s="212" t="n"/>
      <c r="PR120" s="212" t="n"/>
      <c r="PS120" s="212" t="n"/>
      <c r="PT120" s="212" t="n"/>
      <c r="PU120" s="212" t="n"/>
      <c r="PV120" s="212" t="n"/>
      <c r="PW120" s="212" t="n"/>
      <c r="PX120" s="212" t="n"/>
      <c r="PY120" s="212" t="n"/>
      <c r="PZ120" s="212" t="n"/>
      <c r="QA120" s="212" t="n"/>
      <c r="QB120" s="212" t="n"/>
      <c r="QC120" s="212" t="n"/>
      <c r="QD120" s="212" t="n"/>
      <c r="QE120" s="212" t="n"/>
      <c r="QF120" s="212" t="n"/>
      <c r="QG120" s="212" t="n"/>
      <c r="QH120" s="212" t="n"/>
      <c r="QI120" s="212" t="n"/>
      <c r="QJ120" s="212" t="n"/>
      <c r="QK120" s="212" t="n"/>
      <c r="QL120" s="212" t="n"/>
      <c r="QM120" s="212" t="n"/>
      <c r="QN120" s="212" t="n"/>
      <c r="QO120" s="212" t="n"/>
      <c r="QP120" s="212" t="n"/>
      <c r="QQ120" s="212" t="n"/>
      <c r="QR120" s="212" t="n"/>
      <c r="QS120" s="212" t="n"/>
      <c r="QT120" s="212" t="n"/>
      <c r="QU120" s="212" t="n"/>
      <c r="QV120" s="212" t="n"/>
      <c r="QW120" s="212" t="n"/>
      <c r="QX120" s="212" t="n"/>
      <c r="QY120" s="212" t="n"/>
      <c r="QZ120" s="212" t="n"/>
      <c r="RA120" s="212" t="n"/>
      <c r="RB120" s="212" t="n"/>
      <c r="RC120" s="212" t="n"/>
      <c r="RD120" s="212" t="n"/>
      <c r="RE120" s="212" t="n"/>
      <c r="RF120" s="212" t="n"/>
      <c r="RG120" s="212" t="n"/>
      <c r="RH120" s="212" t="n"/>
      <c r="RI120" s="212" t="n"/>
      <c r="RJ120" s="212" t="n"/>
      <c r="RK120" s="212" t="n"/>
      <c r="RL120" s="212" t="n"/>
      <c r="RM120" s="212" t="n"/>
      <c r="RN120" s="212" t="n"/>
      <c r="RO120" s="212" t="n"/>
      <c r="RP120" s="212" t="n"/>
      <c r="RQ120" s="212" t="n"/>
      <c r="RR120" s="212" t="n"/>
      <c r="RS120" s="212" t="n"/>
      <c r="RT120" s="212" t="n"/>
      <c r="RU120" s="212" t="n"/>
      <c r="RV120" s="212" t="n"/>
      <c r="RW120" s="212" t="n"/>
      <c r="RX120" s="212" t="n"/>
      <c r="RY120" s="212" t="n"/>
      <c r="RZ120" s="212" t="n"/>
      <c r="SA120" s="212" t="n"/>
      <c r="SB120" s="212" t="n"/>
      <c r="SC120" s="212" t="n"/>
      <c r="SD120" s="212" t="n"/>
      <c r="SE120" s="212" t="n"/>
      <c r="SF120" s="212" t="n"/>
      <c r="SG120" s="212" t="n"/>
      <c r="SH120" s="212" t="n"/>
      <c r="SI120" s="212" t="n"/>
      <c r="SJ120" s="212" t="n"/>
      <c r="SK120" s="212" t="n"/>
      <c r="SL120" s="212" t="n"/>
      <c r="SM120" s="212" t="n"/>
      <c r="SN120" s="212" t="n"/>
      <c r="SO120" s="212" t="n"/>
      <c r="SP120" s="212" t="n"/>
      <c r="SQ120" s="212" t="n"/>
      <c r="SR120" s="212" t="n"/>
      <c r="SS120" s="212" t="n"/>
      <c r="ST120" s="212" t="n"/>
      <c r="SU120" s="212" t="n"/>
      <c r="SV120" s="212" t="n"/>
    </row>
    <row r="121">
      <c r="B121" s="209" t="n"/>
      <c r="C121" s="209" t="n"/>
      <c r="D121" s="209" t="n"/>
      <c r="E121" s="209" t="n"/>
      <c r="F121" s="209">
        <f>IF(TRIM(D121&amp;E121)="","",TRIM(D121)&amp;" "&amp;TRIM(E121))</f>
        <v/>
      </c>
      <c r="G121" s="209" t="n"/>
      <c r="H121" s="209" t="n"/>
      <c r="I121" s="209" t="n"/>
      <c r="J121" s="209" t="n"/>
      <c r="K121" s="209" t="n"/>
      <c r="L121" s="209" t="n"/>
      <c r="M121" s="209" t="n"/>
      <c r="N121" s="209" t="n"/>
      <c r="O121" s="209" t="n"/>
      <c r="P121" s="209" t="n"/>
      <c r="Q121" s="209" t="n"/>
      <c r="R121" s="209" t="n"/>
      <c r="S121" s="212" t="n"/>
      <c r="T121" s="212" t="n"/>
      <c r="U121" s="212" t="n"/>
      <c r="V121" s="212" t="n"/>
      <c r="W121" s="212" t="n"/>
      <c r="X121" s="212" t="n"/>
      <c r="Y121" s="212" t="n"/>
      <c r="Z121" s="212" t="n"/>
      <c r="AA121" s="212" t="n"/>
      <c r="AB121" s="212" t="n"/>
      <c r="AC121" s="212" t="n"/>
      <c r="AD121" s="212" t="n"/>
      <c r="AE121" s="212" t="n"/>
      <c r="AF121" s="212" t="n"/>
      <c r="AG121" s="212" t="n"/>
      <c r="AH121" s="212" t="n"/>
      <c r="AI121" s="212" t="n"/>
      <c r="AJ121" s="212" t="n"/>
      <c r="AK121" s="212" t="n"/>
      <c r="AL121" s="212" t="n"/>
      <c r="AM121" s="212" t="n"/>
      <c r="AN121" s="212" t="n"/>
      <c r="AO121" s="212" t="n"/>
      <c r="AP121" s="212" t="n"/>
      <c r="AQ121" s="212" t="n"/>
      <c r="AR121" s="212" t="n"/>
      <c r="AS121" s="212" t="n"/>
      <c r="AT121" s="212" t="n"/>
      <c r="AU121" s="212" t="n"/>
      <c r="AV121" s="212" t="n"/>
      <c r="AW121" s="212" t="n"/>
      <c r="AX121" s="212" t="n"/>
      <c r="AY121" s="212" t="n"/>
      <c r="AZ121" s="212" t="n"/>
      <c r="BA121" s="212" t="n"/>
      <c r="BB121" s="212" t="n"/>
      <c r="BC121" s="212" t="n"/>
      <c r="BD121" s="212" t="n"/>
      <c r="BE121" s="212" t="n"/>
      <c r="BF121" s="212" t="n"/>
      <c r="BG121" s="212" t="n"/>
      <c r="BH121" s="212" t="n"/>
      <c r="BI121" s="212" t="n"/>
      <c r="BJ121" s="212" t="n"/>
      <c r="BK121" s="212" t="n"/>
      <c r="BL121" s="212" t="n"/>
      <c r="BM121" s="212" t="n"/>
      <c r="BN121" s="212" t="n"/>
      <c r="BO121" s="212" t="n"/>
      <c r="BP121" s="212" t="n"/>
      <c r="BQ121" s="212" t="n"/>
      <c r="BR121" s="212" t="n"/>
      <c r="BS121" s="212" t="n"/>
      <c r="BT121" s="212" t="n"/>
      <c r="BU121" s="212" t="n"/>
      <c r="BV121" s="212" t="n"/>
      <c r="BW121" s="212" t="n"/>
      <c r="BX121" s="212" t="n"/>
      <c r="BY121" s="212" t="n"/>
      <c r="BZ121" s="212" t="n"/>
      <c r="CA121" s="212" t="n"/>
      <c r="CB121" s="212" t="n"/>
      <c r="CC121" s="212" t="n"/>
      <c r="CD121" s="212" t="n"/>
      <c r="CE121" s="212" t="n"/>
      <c r="CF121" s="212" t="n"/>
      <c r="CG121" s="212" t="n"/>
      <c r="CH121" s="212" t="n"/>
      <c r="CI121" s="212" t="n"/>
      <c r="CJ121" s="212" t="n"/>
      <c r="CK121" s="212" t="n"/>
      <c r="CL121" s="212" t="n"/>
      <c r="CM121" s="212" t="n"/>
      <c r="CN121" s="212" t="n"/>
      <c r="CO121" s="212" t="n"/>
      <c r="CP121" s="212" t="n"/>
      <c r="CQ121" s="212" t="n"/>
      <c r="CR121" s="212" t="n"/>
      <c r="CS121" s="212" t="n"/>
      <c r="CT121" s="212" t="n"/>
      <c r="CU121" s="212" t="n"/>
      <c r="CV121" s="212" t="n"/>
      <c r="CW121" s="212" t="n"/>
      <c r="CX121" s="212" t="n"/>
      <c r="CY121" s="212" t="n"/>
      <c r="CZ121" s="212" t="n"/>
      <c r="DA121" s="212" t="n"/>
      <c r="DB121" s="212" t="n"/>
      <c r="DC121" s="212" t="n"/>
      <c r="DD121" s="212" t="n"/>
      <c r="DE121" s="212" t="n"/>
      <c r="DF121" s="212" t="n"/>
      <c r="DG121" s="212" t="n"/>
      <c r="DH121" s="212" t="n"/>
      <c r="DI121" s="212" t="n"/>
      <c r="DJ121" s="212" t="n"/>
      <c r="DK121" s="212" t="n"/>
      <c r="DL121" s="212" t="n"/>
      <c r="DM121" s="212" t="n"/>
      <c r="DN121" s="212" t="n"/>
      <c r="DO121" s="212" t="n"/>
      <c r="DP121" s="212" t="n"/>
      <c r="DQ121" s="212" t="n"/>
      <c r="DR121" s="212" t="n"/>
      <c r="DS121" s="212" t="n"/>
      <c r="DT121" s="212" t="n"/>
      <c r="DU121" s="212" t="n"/>
      <c r="DV121" s="212" t="n"/>
      <c r="DW121" s="212" t="n"/>
      <c r="DX121" s="212" t="n"/>
      <c r="DY121" s="212" t="n"/>
      <c r="DZ121" s="212" t="n"/>
      <c r="EA121" s="212" t="n"/>
      <c r="EB121" s="212" t="n"/>
      <c r="EC121" s="212" t="n"/>
      <c r="ED121" s="212" t="n"/>
      <c r="EE121" s="212" t="n"/>
      <c r="EF121" s="212" t="n"/>
      <c r="EG121" s="212" t="n"/>
      <c r="EH121" s="212" t="n"/>
      <c r="EI121" s="212" t="n"/>
      <c r="EJ121" s="212" t="n"/>
      <c r="EK121" s="212" t="n"/>
      <c r="EL121" s="212" t="n"/>
      <c r="EM121" s="212" t="n"/>
      <c r="EN121" s="212" t="n"/>
      <c r="EO121" s="212" t="n"/>
      <c r="EP121" s="212" t="n"/>
      <c r="EQ121" s="212" t="n"/>
      <c r="ER121" s="212" t="n"/>
      <c r="ES121" s="212" t="n"/>
      <c r="ET121" s="212" t="n"/>
      <c r="EU121" s="212" t="n"/>
      <c r="EV121" s="212" t="n"/>
      <c r="EW121" s="212" t="n"/>
      <c r="EX121" s="212" t="n"/>
      <c r="EY121" s="212" t="n"/>
      <c r="EZ121" s="212" t="n"/>
      <c r="FA121" s="212" t="n"/>
      <c r="FB121" s="212" t="n"/>
      <c r="FC121" s="212" t="n"/>
      <c r="FD121" s="212" t="n"/>
      <c r="FE121" s="212" t="n"/>
      <c r="FF121" s="212" t="n"/>
      <c r="FG121" s="212" t="n"/>
      <c r="FH121" s="212" t="n"/>
      <c r="FI121" s="212" t="n"/>
      <c r="FJ121" s="212" t="n"/>
      <c r="FK121" s="212" t="n"/>
      <c r="FL121" s="212" t="n"/>
      <c r="FM121" s="212" t="n"/>
      <c r="FN121" s="212" t="n"/>
      <c r="FO121" s="212" t="n"/>
      <c r="FP121" s="212" t="n"/>
      <c r="FQ121" s="212" t="n"/>
      <c r="FR121" s="212" t="n"/>
      <c r="FS121" s="212" t="n"/>
      <c r="FT121" s="212" t="n"/>
      <c r="FU121" s="212" t="n"/>
      <c r="FV121" s="212" t="n"/>
      <c r="FW121" s="212" t="n"/>
      <c r="FX121" s="212" t="n"/>
      <c r="FY121" s="212" t="n"/>
      <c r="FZ121" s="212" t="n"/>
      <c r="GA121" s="212" t="n"/>
      <c r="GB121" s="212" t="n"/>
      <c r="GC121" s="212" t="n"/>
      <c r="GD121" s="212" t="n"/>
      <c r="GE121" s="212" t="n"/>
      <c r="GF121" s="212" t="n"/>
      <c r="GG121" s="212" t="n"/>
      <c r="GH121" s="212" t="n"/>
      <c r="GI121" s="212" t="n"/>
      <c r="GJ121" s="212" t="n"/>
      <c r="GK121" s="212" t="n"/>
      <c r="GL121" s="212" t="n"/>
      <c r="GM121" s="212" t="n"/>
      <c r="GN121" s="212" t="n"/>
      <c r="GO121" s="212" t="n"/>
      <c r="GP121" s="212" t="n"/>
      <c r="GQ121" s="212" t="n"/>
      <c r="GR121" s="212" t="n"/>
      <c r="GS121" s="212" t="n"/>
      <c r="GT121" s="212" t="n"/>
      <c r="GU121" s="212" t="n"/>
      <c r="GV121" s="212" t="n"/>
      <c r="GW121" s="212" t="n"/>
      <c r="GX121" s="212" t="n"/>
      <c r="GY121" s="212" t="n"/>
      <c r="GZ121" s="212" t="n"/>
      <c r="HA121" s="212" t="n"/>
      <c r="HB121" s="212" t="n"/>
      <c r="HC121" s="212" t="n"/>
      <c r="HD121" s="212" t="n"/>
      <c r="HE121" s="212" t="n"/>
      <c r="HF121" s="212" t="n"/>
      <c r="HG121" s="212" t="n"/>
      <c r="HH121" s="212" t="n"/>
      <c r="HI121" s="212" t="n"/>
      <c r="HJ121" s="212" t="n"/>
      <c r="HK121" s="212" t="n"/>
      <c r="HL121" s="212" t="n"/>
      <c r="HM121" s="212" t="n"/>
      <c r="HN121" s="212" t="n"/>
      <c r="HO121" s="212" t="n"/>
      <c r="HP121" s="212" t="n"/>
      <c r="HQ121" s="212" t="n"/>
      <c r="HR121" s="212" t="n"/>
      <c r="HS121" s="212" t="n"/>
      <c r="HT121" s="212" t="n"/>
      <c r="HU121" s="212" t="n"/>
      <c r="HV121" s="212" t="n"/>
      <c r="HW121" s="212" t="n"/>
      <c r="HX121" s="212" t="n"/>
      <c r="HY121" s="212" t="n"/>
      <c r="HZ121" s="212" t="n"/>
      <c r="IA121" s="212" t="n"/>
      <c r="IB121" s="212" t="n"/>
      <c r="IC121" s="212" t="n"/>
      <c r="ID121" s="212" t="n"/>
      <c r="IE121" s="212" t="n"/>
      <c r="IF121" s="212" t="n"/>
      <c r="IG121" s="212" t="n"/>
      <c r="IH121" s="212" t="n"/>
      <c r="II121" s="212" t="n"/>
      <c r="IJ121" s="212" t="n"/>
      <c r="IK121" s="212" t="n"/>
      <c r="IL121" s="212" t="n"/>
      <c r="IM121" s="212" t="n"/>
      <c r="IN121" s="212" t="n"/>
      <c r="IO121" s="212" t="n"/>
      <c r="IP121" s="212" t="n"/>
      <c r="IQ121" s="212" t="n"/>
      <c r="IR121" s="212" t="n"/>
      <c r="IS121" s="212" t="n"/>
      <c r="IT121" s="212" t="n"/>
      <c r="IU121" s="212" t="n"/>
      <c r="IV121" s="212" t="n"/>
      <c r="IW121" s="212" t="n"/>
      <c r="IX121" s="212" t="n"/>
      <c r="IY121" s="212" t="n"/>
      <c r="IZ121" s="212" t="n"/>
      <c r="JA121" s="212" t="n"/>
      <c r="JB121" s="212" t="n"/>
      <c r="JC121" s="212" t="n"/>
      <c r="JD121" s="212" t="n"/>
      <c r="JE121" s="212" t="n"/>
      <c r="JF121" s="212" t="n"/>
      <c r="JG121" s="212" t="n"/>
      <c r="JH121" s="212" t="n"/>
      <c r="JI121" s="212" t="n"/>
      <c r="JJ121" s="212" t="n"/>
      <c r="JK121" s="212" t="n"/>
      <c r="JL121" s="212" t="n"/>
      <c r="JM121" s="212" t="n"/>
      <c r="JN121" s="212" t="n"/>
      <c r="JO121" s="212" t="n"/>
      <c r="JP121" s="212" t="n"/>
      <c r="JQ121" s="212" t="n"/>
      <c r="JR121" s="212" t="n"/>
      <c r="JS121" s="212" t="n"/>
      <c r="JT121" s="212" t="n"/>
      <c r="JU121" s="212" t="n"/>
      <c r="JV121" s="212" t="n"/>
      <c r="JW121" s="212" t="n"/>
      <c r="JX121" s="212" t="n"/>
      <c r="JY121" s="212" t="n"/>
      <c r="JZ121" s="212" t="n"/>
      <c r="KA121" s="212" t="n"/>
      <c r="KB121" s="212" t="n"/>
      <c r="KC121" s="212" t="n"/>
      <c r="KD121" s="212" t="n"/>
      <c r="KE121" s="212" t="n"/>
      <c r="KF121" s="212" t="n"/>
      <c r="KG121" s="212" t="n"/>
      <c r="KH121" s="212" t="n"/>
      <c r="KI121" s="212" t="n"/>
      <c r="KJ121" s="212" t="n"/>
      <c r="KK121" s="212" t="n"/>
      <c r="KL121" s="212" t="n"/>
      <c r="KM121" s="212" t="n"/>
      <c r="KN121" s="212" t="n"/>
      <c r="KO121" s="212" t="n"/>
      <c r="KP121" s="212" t="n"/>
      <c r="KQ121" s="212" t="n"/>
      <c r="KR121" s="212" t="n"/>
      <c r="KS121" s="212" t="n"/>
      <c r="KT121" s="212" t="n"/>
      <c r="KU121" s="212" t="n"/>
      <c r="KV121" s="212" t="n"/>
      <c r="KW121" s="212" t="n"/>
      <c r="KX121" s="212" t="n"/>
      <c r="KY121" s="212" t="n"/>
      <c r="KZ121" s="212" t="n"/>
      <c r="LA121" s="212" t="n"/>
      <c r="LB121" s="212" t="n"/>
      <c r="LC121" s="212" t="n"/>
      <c r="LD121" s="212" t="n"/>
      <c r="LE121" s="212" t="n"/>
      <c r="LF121" s="212" t="n"/>
      <c r="LG121" s="212" t="n"/>
      <c r="LH121" s="212" t="n"/>
      <c r="LI121" s="212" t="n"/>
      <c r="LJ121" s="212" t="n"/>
      <c r="LK121" s="212" t="n"/>
      <c r="LL121" s="212" t="n"/>
      <c r="LM121" s="212" t="n"/>
      <c r="LN121" s="212" t="n"/>
      <c r="LO121" s="212" t="n"/>
      <c r="LP121" s="212" t="n"/>
      <c r="LQ121" s="212" t="n"/>
      <c r="LR121" s="212" t="n"/>
      <c r="LS121" s="212" t="n"/>
      <c r="LT121" s="212" t="n"/>
      <c r="LU121" s="212" t="n"/>
      <c r="LV121" s="212" t="n"/>
      <c r="LW121" s="212" t="n"/>
      <c r="LX121" s="212" t="n"/>
      <c r="LY121" s="212" t="n"/>
      <c r="LZ121" s="212" t="n"/>
      <c r="MA121" s="212" t="n"/>
      <c r="MB121" s="212" t="n"/>
      <c r="MC121" s="212" t="n"/>
      <c r="MD121" s="212" t="n"/>
      <c r="ME121" s="212" t="n"/>
      <c r="MF121" s="212" t="n"/>
      <c r="MG121" s="212" t="n"/>
      <c r="MH121" s="212" t="n"/>
      <c r="MI121" s="212" t="n"/>
      <c r="MJ121" s="212" t="n"/>
      <c r="MK121" s="212" t="n"/>
      <c r="ML121" s="212" t="n"/>
      <c r="MM121" s="212" t="n"/>
      <c r="MN121" s="212" t="n"/>
      <c r="MO121" s="212" t="n"/>
      <c r="MP121" s="212" t="n"/>
      <c r="MQ121" s="212" t="n"/>
      <c r="MR121" s="212" t="n"/>
      <c r="MS121" s="212" t="n"/>
      <c r="MT121" s="212" t="n"/>
      <c r="MU121" s="212" t="n"/>
      <c r="MV121" s="212" t="n"/>
      <c r="MW121" s="212" t="n"/>
      <c r="MX121" s="212" t="n"/>
      <c r="MY121" s="212" t="n"/>
      <c r="MZ121" s="212" t="n"/>
      <c r="NA121" s="212" t="n"/>
      <c r="NB121" s="212" t="n"/>
      <c r="NC121" s="212" t="n"/>
      <c r="ND121" s="212" t="n"/>
      <c r="NE121" s="212" t="n"/>
      <c r="NF121" s="212" t="n"/>
      <c r="NG121" s="212" t="n"/>
      <c r="NH121" s="212" t="n"/>
      <c r="NI121" s="212" t="n"/>
      <c r="NJ121" s="212" t="n"/>
      <c r="NK121" s="212" t="n"/>
      <c r="NL121" s="212" t="n"/>
      <c r="NM121" s="212" t="n"/>
      <c r="NN121" s="212" t="n"/>
      <c r="NO121" s="212" t="n"/>
      <c r="NP121" s="212" t="n"/>
      <c r="NQ121" s="212" t="n"/>
      <c r="NR121" s="212" t="n"/>
      <c r="NS121" s="212" t="n"/>
      <c r="NT121" s="212" t="n"/>
      <c r="NU121" s="212" t="n"/>
      <c r="NV121" s="212" t="n"/>
      <c r="NW121" s="212" t="n"/>
      <c r="NX121" s="212" t="n"/>
      <c r="NY121" s="212" t="n"/>
      <c r="NZ121" s="212" t="n"/>
      <c r="OA121" s="212" t="n"/>
      <c r="OB121" s="212" t="n"/>
      <c r="OC121" s="212" t="n"/>
      <c r="OD121" s="212" t="n"/>
      <c r="OE121" s="212" t="n"/>
      <c r="OF121" s="212" t="n"/>
      <c r="OG121" s="212" t="n"/>
      <c r="OH121" s="212" t="n"/>
      <c r="OI121" s="212" t="n"/>
      <c r="OJ121" s="212" t="n"/>
      <c r="OK121" s="212" t="n"/>
      <c r="OL121" s="212" t="n"/>
      <c r="OM121" s="212" t="n"/>
      <c r="ON121" s="212" t="n"/>
      <c r="OO121" s="212" t="n"/>
      <c r="OP121" s="212" t="n"/>
      <c r="OQ121" s="212" t="n"/>
      <c r="OR121" s="212" t="n"/>
      <c r="OS121" s="212" t="n"/>
      <c r="OT121" s="212" t="n"/>
      <c r="OU121" s="212" t="n"/>
      <c r="OV121" s="212" t="n"/>
      <c r="OW121" s="212" t="n"/>
      <c r="OX121" s="212" t="n"/>
      <c r="OY121" s="212" t="n"/>
      <c r="OZ121" s="212" t="n"/>
      <c r="PA121" s="212" t="n"/>
      <c r="PB121" s="212" t="n"/>
      <c r="PC121" s="212" t="n"/>
      <c r="PD121" s="212" t="n"/>
      <c r="PE121" s="212" t="n"/>
      <c r="PF121" s="212" t="n"/>
      <c r="PG121" s="212" t="n"/>
      <c r="PH121" s="212" t="n"/>
      <c r="PI121" s="212" t="n"/>
      <c r="PJ121" s="212" t="n"/>
      <c r="PK121" s="212" t="n"/>
      <c r="PL121" s="212" t="n"/>
      <c r="PM121" s="212" t="n"/>
      <c r="PN121" s="212" t="n"/>
      <c r="PO121" s="212" t="n"/>
      <c r="PP121" s="212" t="n"/>
      <c r="PQ121" s="212" t="n"/>
      <c r="PR121" s="212" t="n"/>
      <c r="PS121" s="212" t="n"/>
      <c r="PT121" s="212" t="n"/>
      <c r="PU121" s="212" t="n"/>
      <c r="PV121" s="212" t="n"/>
      <c r="PW121" s="212" t="n"/>
      <c r="PX121" s="212" t="n"/>
      <c r="PY121" s="212" t="n"/>
      <c r="PZ121" s="212" t="n"/>
      <c r="QA121" s="212" t="n"/>
      <c r="QB121" s="212" t="n"/>
      <c r="QC121" s="212" t="n"/>
      <c r="QD121" s="212" t="n"/>
      <c r="QE121" s="212" t="n"/>
      <c r="QF121" s="212" t="n"/>
      <c r="QG121" s="212" t="n"/>
      <c r="QH121" s="212" t="n"/>
      <c r="QI121" s="212" t="n"/>
      <c r="QJ121" s="212" t="n"/>
      <c r="QK121" s="212" t="n"/>
      <c r="QL121" s="212" t="n"/>
      <c r="QM121" s="212" t="n"/>
      <c r="QN121" s="212" t="n"/>
      <c r="QO121" s="212" t="n"/>
      <c r="QP121" s="212" t="n"/>
      <c r="QQ121" s="212" t="n"/>
      <c r="QR121" s="212" t="n"/>
      <c r="QS121" s="212" t="n"/>
      <c r="QT121" s="212" t="n"/>
      <c r="QU121" s="212" t="n"/>
      <c r="QV121" s="212" t="n"/>
      <c r="QW121" s="212" t="n"/>
      <c r="QX121" s="212" t="n"/>
      <c r="QY121" s="212" t="n"/>
      <c r="QZ121" s="212" t="n"/>
      <c r="RA121" s="212" t="n"/>
      <c r="RB121" s="212" t="n"/>
      <c r="RC121" s="212" t="n"/>
      <c r="RD121" s="212" t="n"/>
      <c r="RE121" s="212" t="n"/>
      <c r="RF121" s="212" t="n"/>
      <c r="RG121" s="212" t="n"/>
      <c r="RH121" s="212" t="n"/>
      <c r="RI121" s="212" t="n"/>
      <c r="RJ121" s="212" t="n"/>
      <c r="RK121" s="212" t="n"/>
      <c r="RL121" s="212" t="n"/>
      <c r="RM121" s="212" t="n"/>
      <c r="RN121" s="212" t="n"/>
      <c r="RO121" s="212" t="n"/>
      <c r="RP121" s="212" t="n"/>
      <c r="RQ121" s="212" t="n"/>
      <c r="RR121" s="212" t="n"/>
      <c r="RS121" s="212" t="n"/>
      <c r="RT121" s="212" t="n"/>
      <c r="RU121" s="212" t="n"/>
      <c r="RV121" s="212" t="n"/>
      <c r="RW121" s="212" t="n"/>
      <c r="RX121" s="212" t="n"/>
      <c r="RY121" s="212" t="n"/>
      <c r="RZ121" s="212" t="n"/>
      <c r="SA121" s="212" t="n"/>
      <c r="SB121" s="212" t="n"/>
      <c r="SC121" s="212" t="n"/>
      <c r="SD121" s="212" t="n"/>
      <c r="SE121" s="212" t="n"/>
      <c r="SF121" s="212" t="n"/>
      <c r="SG121" s="212" t="n"/>
      <c r="SH121" s="212" t="n"/>
      <c r="SI121" s="212" t="n"/>
      <c r="SJ121" s="212" t="n"/>
      <c r="SK121" s="212" t="n"/>
      <c r="SL121" s="212" t="n"/>
      <c r="SM121" s="212" t="n"/>
      <c r="SN121" s="212" t="n"/>
      <c r="SO121" s="212" t="n"/>
      <c r="SP121" s="212" t="n"/>
      <c r="SQ121" s="212" t="n"/>
      <c r="SR121" s="212" t="n"/>
      <c r="SS121" s="212" t="n"/>
      <c r="ST121" s="212" t="n"/>
      <c r="SU121" s="212" t="n"/>
      <c r="SV121" s="212" t="n"/>
    </row>
    <row r="122">
      <c r="B122" s="209" t="n"/>
      <c r="C122" s="209" t="n"/>
      <c r="D122" s="209" t="n"/>
      <c r="E122" s="209" t="n"/>
      <c r="F122" s="209">
        <f>IF(TRIM(D122&amp;E122)="","",TRIM(D122)&amp;" "&amp;TRIM(E122))</f>
        <v/>
      </c>
      <c r="G122" s="209" t="n"/>
      <c r="H122" s="209" t="n"/>
      <c r="I122" s="209" t="n"/>
      <c r="J122" s="209" t="n"/>
      <c r="K122" s="209" t="n"/>
      <c r="L122" s="209" t="n"/>
      <c r="M122" s="209" t="n"/>
      <c r="N122" s="209" t="n"/>
      <c r="O122" s="209" t="n"/>
      <c r="P122" s="209" t="n"/>
      <c r="Q122" s="209" t="n"/>
      <c r="R122" s="209" t="n"/>
      <c r="S122" s="212" t="n"/>
      <c r="T122" s="212" t="n"/>
      <c r="U122" s="212" t="n"/>
      <c r="V122" s="212" t="n"/>
      <c r="W122" s="212" t="n"/>
      <c r="X122" s="212" t="n"/>
      <c r="Y122" s="212" t="n"/>
      <c r="Z122" s="212" t="n"/>
      <c r="AA122" s="212" t="n"/>
      <c r="AB122" s="212" t="n"/>
      <c r="AC122" s="212" t="n"/>
      <c r="AD122" s="212" t="n"/>
      <c r="AE122" s="212" t="n"/>
      <c r="AF122" s="212" t="n"/>
      <c r="AG122" s="212" t="n"/>
      <c r="AH122" s="212" t="n"/>
      <c r="AI122" s="212" t="n"/>
      <c r="AJ122" s="212" t="n"/>
      <c r="AK122" s="212" t="n"/>
      <c r="AL122" s="212" t="n"/>
      <c r="AM122" s="212" t="n"/>
      <c r="AN122" s="212" t="n"/>
      <c r="AO122" s="212" t="n"/>
      <c r="AP122" s="212" t="n"/>
      <c r="AQ122" s="212" t="n"/>
      <c r="AR122" s="212" t="n"/>
      <c r="AS122" s="212" t="n"/>
      <c r="AT122" s="212" t="n"/>
      <c r="AU122" s="212" t="n"/>
      <c r="AV122" s="212" t="n"/>
      <c r="AW122" s="212" t="n"/>
      <c r="AX122" s="212" t="n"/>
      <c r="AY122" s="212" t="n"/>
      <c r="AZ122" s="212" t="n"/>
      <c r="BA122" s="212" t="n"/>
      <c r="BB122" s="212" t="n"/>
      <c r="BC122" s="212" t="n"/>
      <c r="BD122" s="212" t="n"/>
      <c r="BE122" s="212" t="n"/>
      <c r="BF122" s="212" t="n"/>
      <c r="BG122" s="212" t="n"/>
      <c r="BH122" s="212" t="n"/>
      <c r="BI122" s="212" t="n"/>
      <c r="BJ122" s="212" t="n"/>
      <c r="BK122" s="212" t="n"/>
      <c r="BL122" s="212" t="n"/>
      <c r="BM122" s="212" t="n"/>
      <c r="BN122" s="212" t="n"/>
      <c r="BO122" s="212" t="n"/>
      <c r="BP122" s="212" t="n"/>
      <c r="BQ122" s="212" t="n"/>
      <c r="BR122" s="212" t="n"/>
      <c r="BS122" s="212" t="n"/>
      <c r="BT122" s="212" t="n"/>
      <c r="BU122" s="212" t="n"/>
      <c r="BV122" s="212" t="n"/>
      <c r="BW122" s="212" t="n"/>
      <c r="BX122" s="212" t="n"/>
      <c r="BY122" s="212" t="n"/>
      <c r="BZ122" s="212" t="n"/>
      <c r="CA122" s="212" t="n"/>
      <c r="CB122" s="212" t="n"/>
      <c r="CC122" s="212" t="n"/>
      <c r="CD122" s="212" t="n"/>
      <c r="CE122" s="212" t="n"/>
      <c r="CF122" s="212" t="n"/>
      <c r="CG122" s="212" t="n"/>
      <c r="CH122" s="212" t="n"/>
      <c r="CI122" s="212" t="n"/>
      <c r="CJ122" s="212" t="n"/>
      <c r="CK122" s="212" t="n"/>
      <c r="CL122" s="212" t="n"/>
      <c r="CM122" s="212" t="n"/>
      <c r="CN122" s="212" t="n"/>
      <c r="CO122" s="212" t="n"/>
      <c r="CP122" s="212" t="n"/>
      <c r="CQ122" s="212" t="n"/>
      <c r="CR122" s="212" t="n"/>
      <c r="CS122" s="212" t="n"/>
      <c r="CT122" s="212" t="n"/>
      <c r="CU122" s="212" t="n"/>
      <c r="CV122" s="212" t="n"/>
      <c r="CW122" s="212" t="n"/>
      <c r="CX122" s="212" t="n"/>
      <c r="CY122" s="212" t="n"/>
      <c r="CZ122" s="212" t="n"/>
      <c r="DA122" s="212" t="n"/>
      <c r="DB122" s="212" t="n"/>
      <c r="DC122" s="212" t="n"/>
      <c r="DD122" s="212" t="n"/>
      <c r="DE122" s="212" t="n"/>
      <c r="DF122" s="212" t="n"/>
      <c r="DG122" s="212" t="n"/>
      <c r="DH122" s="212" t="n"/>
      <c r="DI122" s="212" t="n"/>
      <c r="DJ122" s="212" t="n"/>
      <c r="DK122" s="212" t="n"/>
      <c r="DL122" s="212" t="n"/>
      <c r="DM122" s="212" t="n"/>
      <c r="DN122" s="212" t="n"/>
      <c r="DO122" s="212" t="n"/>
      <c r="DP122" s="212" t="n"/>
      <c r="DQ122" s="212" t="n"/>
      <c r="DR122" s="212" t="n"/>
      <c r="DS122" s="212" t="n"/>
      <c r="DT122" s="212" t="n"/>
      <c r="DU122" s="212" t="n"/>
      <c r="DV122" s="212" t="n"/>
      <c r="DW122" s="212" t="n"/>
      <c r="DX122" s="212" t="n"/>
      <c r="DY122" s="212" t="n"/>
      <c r="DZ122" s="212" t="n"/>
      <c r="EA122" s="212" t="n"/>
      <c r="EB122" s="212" t="n"/>
      <c r="EC122" s="212" t="n"/>
      <c r="ED122" s="212" t="n"/>
      <c r="EE122" s="212" t="n"/>
      <c r="EF122" s="212" t="n"/>
      <c r="EG122" s="212" t="n"/>
      <c r="EH122" s="212" t="n"/>
      <c r="EI122" s="212" t="n"/>
      <c r="EJ122" s="212" t="n"/>
      <c r="EK122" s="212" t="n"/>
      <c r="EL122" s="212" t="n"/>
      <c r="EM122" s="212" t="n"/>
      <c r="EN122" s="212" t="n"/>
      <c r="EO122" s="212" t="n"/>
      <c r="EP122" s="212" t="n"/>
      <c r="EQ122" s="212" t="n"/>
      <c r="ER122" s="212" t="n"/>
      <c r="ES122" s="212" t="n"/>
      <c r="ET122" s="212" t="n"/>
      <c r="EU122" s="212" t="n"/>
      <c r="EV122" s="212" t="n"/>
      <c r="EW122" s="212" t="n"/>
      <c r="EX122" s="212" t="n"/>
      <c r="EY122" s="212" t="n"/>
      <c r="EZ122" s="212" t="n"/>
      <c r="FA122" s="212" t="n"/>
      <c r="FB122" s="212" t="n"/>
      <c r="FC122" s="212" t="n"/>
      <c r="FD122" s="212" t="n"/>
      <c r="FE122" s="212" t="n"/>
      <c r="FF122" s="212" t="n"/>
      <c r="FG122" s="212" t="n"/>
      <c r="FH122" s="212" t="n"/>
      <c r="FI122" s="212" t="n"/>
      <c r="FJ122" s="212" t="n"/>
      <c r="FK122" s="212" t="n"/>
      <c r="FL122" s="212" t="n"/>
      <c r="FM122" s="212" t="n"/>
      <c r="FN122" s="212" t="n"/>
      <c r="FO122" s="212" t="n"/>
      <c r="FP122" s="212" t="n"/>
      <c r="FQ122" s="212" t="n"/>
      <c r="FR122" s="212" t="n"/>
      <c r="FS122" s="212" t="n"/>
      <c r="FT122" s="212" t="n"/>
      <c r="FU122" s="212" t="n"/>
      <c r="FV122" s="212" t="n"/>
      <c r="FW122" s="212" t="n"/>
      <c r="FX122" s="212" t="n"/>
      <c r="FY122" s="212" t="n"/>
      <c r="FZ122" s="212" t="n"/>
      <c r="GA122" s="212" t="n"/>
      <c r="GB122" s="212" t="n"/>
      <c r="GC122" s="212" t="n"/>
      <c r="GD122" s="212" t="n"/>
      <c r="GE122" s="212" t="n"/>
      <c r="GF122" s="212" t="n"/>
      <c r="GG122" s="212" t="n"/>
      <c r="GH122" s="212" t="n"/>
      <c r="GI122" s="212" t="n"/>
      <c r="GJ122" s="212" t="n"/>
      <c r="GK122" s="212" t="n"/>
      <c r="GL122" s="212" t="n"/>
      <c r="GM122" s="212" t="n"/>
      <c r="GN122" s="212" t="n"/>
      <c r="GO122" s="212" t="n"/>
      <c r="GP122" s="212" t="n"/>
      <c r="GQ122" s="212" t="n"/>
      <c r="GR122" s="212" t="n"/>
      <c r="GS122" s="212" t="n"/>
      <c r="GT122" s="212" t="n"/>
      <c r="GU122" s="212" t="n"/>
      <c r="GV122" s="212" t="n"/>
      <c r="GW122" s="212" t="n"/>
      <c r="GX122" s="212" t="n"/>
      <c r="GY122" s="212" t="n"/>
      <c r="GZ122" s="212" t="n"/>
      <c r="HA122" s="212" t="n"/>
      <c r="HB122" s="212" t="n"/>
      <c r="HC122" s="212" t="n"/>
      <c r="HD122" s="212" t="n"/>
      <c r="HE122" s="212" t="n"/>
      <c r="HF122" s="212" t="n"/>
      <c r="HG122" s="212" t="n"/>
      <c r="HH122" s="212" t="n"/>
      <c r="HI122" s="212" t="n"/>
      <c r="HJ122" s="212" t="n"/>
      <c r="HK122" s="212" t="n"/>
      <c r="HL122" s="212" t="n"/>
      <c r="HM122" s="212" t="n"/>
      <c r="HN122" s="212" t="n"/>
      <c r="HO122" s="212" t="n"/>
      <c r="HP122" s="212" t="n"/>
      <c r="HQ122" s="212" t="n"/>
      <c r="HR122" s="212" t="n"/>
      <c r="HS122" s="212" t="n"/>
      <c r="HT122" s="212" t="n"/>
      <c r="HU122" s="212" t="n"/>
      <c r="HV122" s="212" t="n"/>
      <c r="HW122" s="212" t="n"/>
      <c r="HX122" s="212" t="n"/>
      <c r="HY122" s="212" t="n"/>
      <c r="HZ122" s="212" t="n"/>
      <c r="IA122" s="212" t="n"/>
      <c r="IB122" s="212" t="n"/>
      <c r="IC122" s="212" t="n"/>
      <c r="ID122" s="212" t="n"/>
      <c r="IE122" s="212" t="n"/>
      <c r="IF122" s="212" t="n"/>
      <c r="IG122" s="212" t="n"/>
      <c r="IH122" s="212" t="n"/>
      <c r="II122" s="212" t="n"/>
      <c r="IJ122" s="212" t="n"/>
      <c r="IK122" s="212" t="n"/>
      <c r="IL122" s="212" t="n"/>
      <c r="IM122" s="212" t="n"/>
      <c r="IN122" s="212" t="n"/>
      <c r="IO122" s="212" t="n"/>
      <c r="IP122" s="212" t="n"/>
      <c r="IQ122" s="212" t="n"/>
      <c r="IR122" s="212" t="n"/>
      <c r="IS122" s="212" t="n"/>
      <c r="IT122" s="212" t="n"/>
      <c r="IU122" s="212" t="n"/>
      <c r="IV122" s="212" t="n"/>
      <c r="IW122" s="212" t="n"/>
      <c r="IX122" s="212" t="n"/>
      <c r="IY122" s="212" t="n"/>
      <c r="IZ122" s="212" t="n"/>
      <c r="JA122" s="212" t="n"/>
      <c r="JB122" s="212" t="n"/>
      <c r="JC122" s="212" t="n"/>
      <c r="JD122" s="212" t="n"/>
      <c r="JE122" s="212" t="n"/>
      <c r="JF122" s="212" t="n"/>
      <c r="JG122" s="212" t="n"/>
      <c r="JH122" s="212" t="n"/>
      <c r="JI122" s="212" t="n"/>
      <c r="JJ122" s="212" t="n"/>
      <c r="JK122" s="212" t="n"/>
      <c r="JL122" s="212" t="n"/>
      <c r="JM122" s="212" t="n"/>
      <c r="JN122" s="212" t="n"/>
      <c r="JO122" s="212" t="n"/>
      <c r="JP122" s="212" t="n"/>
      <c r="JQ122" s="212" t="n"/>
      <c r="JR122" s="212" t="n"/>
      <c r="JS122" s="212" t="n"/>
      <c r="JT122" s="212" t="n"/>
      <c r="JU122" s="212" t="n"/>
      <c r="JV122" s="212" t="n"/>
      <c r="JW122" s="212" t="n"/>
      <c r="JX122" s="212" t="n"/>
      <c r="JY122" s="212" t="n"/>
      <c r="JZ122" s="212" t="n"/>
      <c r="KA122" s="212" t="n"/>
      <c r="KB122" s="212" t="n"/>
      <c r="KC122" s="212" t="n"/>
      <c r="KD122" s="212" t="n"/>
      <c r="KE122" s="212" t="n"/>
      <c r="KF122" s="212" t="n"/>
      <c r="KG122" s="212" t="n"/>
      <c r="KH122" s="212" t="n"/>
      <c r="KI122" s="212" t="n"/>
      <c r="KJ122" s="212" t="n"/>
      <c r="KK122" s="212" t="n"/>
      <c r="KL122" s="212" t="n"/>
      <c r="KM122" s="212" t="n"/>
      <c r="KN122" s="212" t="n"/>
      <c r="KO122" s="212" t="n"/>
      <c r="KP122" s="212" t="n"/>
      <c r="KQ122" s="212" t="n"/>
      <c r="KR122" s="212" t="n"/>
      <c r="KS122" s="212" t="n"/>
      <c r="KT122" s="212" t="n"/>
      <c r="KU122" s="212" t="n"/>
      <c r="KV122" s="212" t="n"/>
      <c r="KW122" s="212" t="n"/>
      <c r="KX122" s="212" t="n"/>
      <c r="KY122" s="212" t="n"/>
      <c r="KZ122" s="212" t="n"/>
      <c r="LA122" s="212" t="n"/>
      <c r="LB122" s="212" t="n"/>
      <c r="LC122" s="212" t="n"/>
      <c r="LD122" s="212" t="n"/>
      <c r="LE122" s="212" t="n"/>
      <c r="LF122" s="212" t="n"/>
      <c r="LG122" s="212" t="n"/>
      <c r="LH122" s="212" t="n"/>
      <c r="LI122" s="212" t="n"/>
      <c r="LJ122" s="212" t="n"/>
      <c r="LK122" s="212" t="n"/>
      <c r="LL122" s="212" t="n"/>
      <c r="LM122" s="212" t="n"/>
      <c r="LN122" s="212" t="n"/>
      <c r="LO122" s="212" t="n"/>
      <c r="LP122" s="212" t="n"/>
      <c r="LQ122" s="212" t="n"/>
      <c r="LR122" s="212" t="n"/>
      <c r="LS122" s="212" t="n"/>
      <c r="LT122" s="212" t="n"/>
      <c r="LU122" s="212" t="n"/>
      <c r="LV122" s="212" t="n"/>
      <c r="LW122" s="212" t="n"/>
      <c r="LX122" s="212" t="n"/>
      <c r="LY122" s="212" t="n"/>
      <c r="LZ122" s="212" t="n"/>
      <c r="MA122" s="212" t="n"/>
      <c r="MB122" s="212" t="n"/>
      <c r="MC122" s="212" t="n"/>
      <c r="MD122" s="212" t="n"/>
      <c r="ME122" s="212" t="n"/>
      <c r="MF122" s="212" t="n"/>
      <c r="MG122" s="212" t="n"/>
      <c r="MH122" s="212" t="n"/>
      <c r="MI122" s="212" t="n"/>
      <c r="MJ122" s="212" t="n"/>
      <c r="MK122" s="212" t="n"/>
      <c r="ML122" s="212" t="n"/>
      <c r="MM122" s="212" t="n"/>
      <c r="MN122" s="212" t="n"/>
      <c r="MO122" s="212" t="n"/>
      <c r="MP122" s="212" t="n"/>
      <c r="MQ122" s="212" t="n"/>
      <c r="MR122" s="212" t="n"/>
      <c r="MS122" s="212" t="n"/>
      <c r="MT122" s="212" t="n"/>
      <c r="MU122" s="212" t="n"/>
      <c r="MV122" s="212" t="n"/>
      <c r="MW122" s="212" t="n"/>
      <c r="MX122" s="212" t="n"/>
      <c r="MY122" s="212" t="n"/>
      <c r="MZ122" s="212" t="n"/>
      <c r="NA122" s="212" t="n"/>
      <c r="NB122" s="212" t="n"/>
      <c r="NC122" s="212" t="n"/>
      <c r="ND122" s="212" t="n"/>
      <c r="NE122" s="212" t="n"/>
      <c r="NF122" s="212" t="n"/>
      <c r="NG122" s="212" t="n"/>
      <c r="NH122" s="212" t="n"/>
      <c r="NI122" s="212" t="n"/>
      <c r="NJ122" s="212" t="n"/>
      <c r="NK122" s="212" t="n"/>
      <c r="NL122" s="212" t="n"/>
      <c r="NM122" s="212" t="n"/>
      <c r="NN122" s="212" t="n"/>
      <c r="NO122" s="212" t="n"/>
      <c r="NP122" s="212" t="n"/>
      <c r="NQ122" s="212" t="n"/>
      <c r="NR122" s="212" t="n"/>
      <c r="NS122" s="212" t="n"/>
      <c r="NT122" s="212" t="n"/>
      <c r="NU122" s="212" t="n"/>
      <c r="NV122" s="212" t="n"/>
      <c r="NW122" s="212" t="n"/>
      <c r="NX122" s="212" t="n"/>
      <c r="NY122" s="212" t="n"/>
      <c r="NZ122" s="212" t="n"/>
      <c r="OA122" s="212" t="n"/>
      <c r="OB122" s="212" t="n"/>
      <c r="OC122" s="212" t="n"/>
      <c r="OD122" s="212" t="n"/>
      <c r="OE122" s="212" t="n"/>
      <c r="OF122" s="212" t="n"/>
      <c r="OG122" s="212" t="n"/>
      <c r="OH122" s="212" t="n"/>
      <c r="OI122" s="212" t="n"/>
      <c r="OJ122" s="212" t="n"/>
      <c r="OK122" s="212" t="n"/>
      <c r="OL122" s="212" t="n"/>
      <c r="OM122" s="212" t="n"/>
      <c r="ON122" s="212" t="n"/>
      <c r="OO122" s="212" t="n"/>
      <c r="OP122" s="212" t="n"/>
      <c r="OQ122" s="212" t="n"/>
      <c r="OR122" s="212" t="n"/>
      <c r="OS122" s="212" t="n"/>
      <c r="OT122" s="212" t="n"/>
      <c r="OU122" s="212" t="n"/>
      <c r="OV122" s="212" t="n"/>
      <c r="OW122" s="212" t="n"/>
      <c r="OX122" s="212" t="n"/>
      <c r="OY122" s="212" t="n"/>
      <c r="OZ122" s="212" t="n"/>
      <c r="PA122" s="212" t="n"/>
      <c r="PB122" s="212" t="n"/>
      <c r="PC122" s="212" t="n"/>
      <c r="PD122" s="212" t="n"/>
      <c r="PE122" s="212" t="n"/>
      <c r="PF122" s="212" t="n"/>
      <c r="PG122" s="212" t="n"/>
      <c r="PH122" s="212" t="n"/>
      <c r="PI122" s="212" t="n"/>
      <c r="PJ122" s="212" t="n"/>
      <c r="PK122" s="212" t="n"/>
      <c r="PL122" s="212" t="n"/>
      <c r="PM122" s="212" t="n"/>
      <c r="PN122" s="212" t="n"/>
      <c r="PO122" s="212" t="n"/>
      <c r="PP122" s="212" t="n"/>
      <c r="PQ122" s="212" t="n"/>
      <c r="PR122" s="212" t="n"/>
      <c r="PS122" s="212" t="n"/>
      <c r="PT122" s="212" t="n"/>
      <c r="PU122" s="212" t="n"/>
      <c r="PV122" s="212" t="n"/>
      <c r="PW122" s="212" t="n"/>
      <c r="PX122" s="212" t="n"/>
      <c r="PY122" s="212" t="n"/>
      <c r="PZ122" s="212" t="n"/>
      <c r="QA122" s="212" t="n"/>
      <c r="QB122" s="212" t="n"/>
      <c r="QC122" s="212" t="n"/>
      <c r="QD122" s="212" t="n"/>
      <c r="QE122" s="212" t="n"/>
      <c r="QF122" s="212" t="n"/>
      <c r="QG122" s="212" t="n"/>
      <c r="QH122" s="212" t="n"/>
      <c r="QI122" s="212" t="n"/>
      <c r="QJ122" s="212" t="n"/>
      <c r="QK122" s="212" t="n"/>
      <c r="QL122" s="212" t="n"/>
      <c r="QM122" s="212" t="n"/>
      <c r="QN122" s="212" t="n"/>
      <c r="QO122" s="212" t="n"/>
      <c r="QP122" s="212" t="n"/>
      <c r="QQ122" s="212" t="n"/>
      <c r="QR122" s="212" t="n"/>
      <c r="QS122" s="212" t="n"/>
      <c r="QT122" s="212" t="n"/>
      <c r="QU122" s="212" t="n"/>
      <c r="QV122" s="212" t="n"/>
      <c r="QW122" s="212" t="n"/>
      <c r="QX122" s="212" t="n"/>
      <c r="QY122" s="212" t="n"/>
      <c r="QZ122" s="212" t="n"/>
      <c r="RA122" s="212" t="n"/>
      <c r="RB122" s="212" t="n"/>
      <c r="RC122" s="212" t="n"/>
      <c r="RD122" s="212" t="n"/>
      <c r="RE122" s="212" t="n"/>
      <c r="RF122" s="212" t="n"/>
      <c r="RG122" s="212" t="n"/>
      <c r="RH122" s="212" t="n"/>
      <c r="RI122" s="212" t="n"/>
      <c r="RJ122" s="212" t="n"/>
      <c r="RK122" s="212" t="n"/>
      <c r="RL122" s="212" t="n"/>
      <c r="RM122" s="212" t="n"/>
      <c r="RN122" s="212" t="n"/>
      <c r="RO122" s="212" t="n"/>
      <c r="RP122" s="212" t="n"/>
      <c r="RQ122" s="212" t="n"/>
      <c r="RR122" s="212" t="n"/>
      <c r="RS122" s="212" t="n"/>
      <c r="RT122" s="212" t="n"/>
      <c r="RU122" s="212" t="n"/>
      <c r="RV122" s="212" t="n"/>
      <c r="RW122" s="212" t="n"/>
      <c r="RX122" s="212" t="n"/>
      <c r="RY122" s="212" t="n"/>
      <c r="RZ122" s="212" t="n"/>
      <c r="SA122" s="212" t="n"/>
      <c r="SB122" s="212" t="n"/>
      <c r="SC122" s="212" t="n"/>
      <c r="SD122" s="212" t="n"/>
      <c r="SE122" s="212" t="n"/>
      <c r="SF122" s="212" t="n"/>
      <c r="SG122" s="212" t="n"/>
      <c r="SH122" s="212" t="n"/>
      <c r="SI122" s="212" t="n"/>
      <c r="SJ122" s="212" t="n"/>
      <c r="SK122" s="212" t="n"/>
      <c r="SL122" s="212" t="n"/>
      <c r="SM122" s="212" t="n"/>
      <c r="SN122" s="212" t="n"/>
      <c r="SO122" s="212" t="n"/>
      <c r="SP122" s="212" t="n"/>
      <c r="SQ122" s="212" t="n"/>
      <c r="SR122" s="212" t="n"/>
      <c r="SS122" s="212" t="n"/>
      <c r="ST122" s="212" t="n"/>
      <c r="SU122" s="212" t="n"/>
      <c r="SV122" s="212" t="n"/>
    </row>
    <row r="123">
      <c r="B123" s="209" t="n"/>
      <c r="C123" s="209" t="n"/>
      <c r="D123" s="209" t="n"/>
      <c r="E123" s="209" t="n"/>
      <c r="F123" s="209">
        <f>IF(TRIM(D123&amp;E123)="","",TRIM(D123)&amp;" "&amp;TRIM(E123))</f>
        <v/>
      </c>
      <c r="G123" s="209" t="n"/>
      <c r="H123" s="209" t="n"/>
      <c r="I123" s="209" t="n"/>
      <c r="J123" s="209" t="n"/>
      <c r="K123" s="209" t="n"/>
      <c r="L123" s="209" t="n"/>
      <c r="M123" s="209" t="n"/>
      <c r="N123" s="209" t="n"/>
      <c r="O123" s="209" t="n"/>
      <c r="P123" s="209" t="n"/>
      <c r="Q123" s="209" t="n"/>
      <c r="R123" s="209" t="n"/>
      <c r="S123" s="212" t="n"/>
      <c r="T123" s="212" t="n"/>
      <c r="U123" s="212" t="n"/>
      <c r="V123" s="212" t="n"/>
      <c r="W123" s="212" t="n"/>
      <c r="X123" s="212" t="n"/>
      <c r="Y123" s="212" t="n"/>
      <c r="Z123" s="212" t="n"/>
      <c r="AA123" s="212" t="n"/>
      <c r="AB123" s="212" t="n"/>
      <c r="AC123" s="212" t="n"/>
      <c r="AD123" s="212" t="n"/>
      <c r="AE123" s="212" t="n"/>
      <c r="AF123" s="212" t="n"/>
      <c r="AG123" s="212" t="n"/>
      <c r="AH123" s="212" t="n"/>
      <c r="AI123" s="212" t="n"/>
      <c r="AJ123" s="212" t="n"/>
      <c r="AK123" s="212" t="n"/>
      <c r="AL123" s="212" t="n"/>
      <c r="AM123" s="212" t="n"/>
      <c r="AN123" s="212" t="n"/>
      <c r="AO123" s="212" t="n"/>
      <c r="AP123" s="212" t="n"/>
      <c r="AQ123" s="212" t="n"/>
      <c r="AR123" s="212" t="n"/>
      <c r="AS123" s="212" t="n"/>
      <c r="AT123" s="212" t="n"/>
      <c r="AU123" s="212" t="n"/>
      <c r="AV123" s="212" t="n"/>
      <c r="AW123" s="212" t="n"/>
      <c r="AX123" s="212" t="n"/>
      <c r="AY123" s="212" t="n"/>
      <c r="AZ123" s="212" t="n"/>
      <c r="BA123" s="212" t="n"/>
      <c r="BB123" s="212" t="n"/>
      <c r="BC123" s="212" t="n"/>
      <c r="BD123" s="212" t="n"/>
      <c r="BE123" s="212" t="n"/>
      <c r="BF123" s="212" t="n"/>
      <c r="BG123" s="212" t="n"/>
      <c r="BH123" s="212" t="n"/>
      <c r="BI123" s="212" t="n"/>
      <c r="BJ123" s="212" t="n"/>
      <c r="BK123" s="212" t="n"/>
      <c r="BL123" s="212" t="n"/>
      <c r="BM123" s="212" t="n"/>
      <c r="BN123" s="212" t="n"/>
      <c r="BO123" s="212" t="n"/>
      <c r="BP123" s="212" t="n"/>
      <c r="BQ123" s="212" t="n"/>
      <c r="BR123" s="212" t="n"/>
      <c r="BS123" s="212" t="n"/>
      <c r="BT123" s="212" t="n"/>
      <c r="BU123" s="212" t="n"/>
      <c r="BV123" s="212" t="n"/>
      <c r="BW123" s="212" t="n"/>
      <c r="BX123" s="212" t="n"/>
      <c r="BY123" s="212" t="n"/>
      <c r="BZ123" s="212" t="n"/>
      <c r="CA123" s="212" t="n"/>
      <c r="CB123" s="212" t="n"/>
      <c r="CC123" s="212" t="n"/>
      <c r="CD123" s="212" t="n"/>
      <c r="CE123" s="212" t="n"/>
      <c r="CF123" s="212" t="n"/>
      <c r="CG123" s="212" t="n"/>
      <c r="CH123" s="212" t="n"/>
      <c r="CI123" s="212" t="n"/>
      <c r="CJ123" s="212" t="n"/>
      <c r="CK123" s="212" t="n"/>
      <c r="CL123" s="212" t="n"/>
      <c r="CM123" s="212" t="n"/>
      <c r="CN123" s="212" t="n"/>
      <c r="CO123" s="212" t="n"/>
      <c r="CP123" s="212" t="n"/>
      <c r="CQ123" s="212" t="n"/>
      <c r="CR123" s="212" t="n"/>
      <c r="CS123" s="212" t="n"/>
      <c r="CT123" s="212" t="n"/>
      <c r="CU123" s="212" t="n"/>
      <c r="CV123" s="212" t="n"/>
      <c r="CW123" s="212" t="n"/>
      <c r="CX123" s="212" t="n"/>
      <c r="CY123" s="212" t="n"/>
      <c r="CZ123" s="212" t="n"/>
      <c r="DA123" s="212" t="n"/>
      <c r="DB123" s="212" t="n"/>
      <c r="DC123" s="212" t="n"/>
      <c r="DD123" s="212" t="n"/>
      <c r="DE123" s="212" t="n"/>
      <c r="DF123" s="212" t="n"/>
      <c r="DG123" s="212" t="n"/>
      <c r="DH123" s="212" t="n"/>
      <c r="DI123" s="212" t="n"/>
      <c r="DJ123" s="212" t="n"/>
      <c r="DK123" s="212" t="n"/>
      <c r="DL123" s="212" t="n"/>
      <c r="DM123" s="212" t="n"/>
      <c r="DN123" s="212" t="n"/>
      <c r="DO123" s="212" t="n"/>
      <c r="DP123" s="212" t="n"/>
      <c r="DQ123" s="212" t="n"/>
      <c r="DR123" s="212" t="n"/>
      <c r="DS123" s="212" t="n"/>
      <c r="DT123" s="212" t="n"/>
      <c r="DU123" s="212" t="n"/>
      <c r="DV123" s="212" t="n"/>
      <c r="DW123" s="212" t="n"/>
      <c r="DX123" s="212" t="n"/>
      <c r="DY123" s="212" t="n"/>
      <c r="DZ123" s="212" t="n"/>
      <c r="EA123" s="212" t="n"/>
      <c r="EB123" s="212" t="n"/>
      <c r="EC123" s="212" t="n"/>
      <c r="ED123" s="212" t="n"/>
      <c r="EE123" s="212" t="n"/>
      <c r="EF123" s="212" t="n"/>
      <c r="EG123" s="212" t="n"/>
      <c r="EH123" s="212" t="n"/>
      <c r="EI123" s="212" t="n"/>
      <c r="EJ123" s="212" t="n"/>
      <c r="EK123" s="212" t="n"/>
      <c r="EL123" s="212" t="n"/>
      <c r="EM123" s="212" t="n"/>
      <c r="EN123" s="212" t="n"/>
      <c r="EO123" s="212" t="n"/>
      <c r="EP123" s="212" t="n"/>
      <c r="EQ123" s="212" t="n"/>
      <c r="ER123" s="212" t="n"/>
      <c r="ES123" s="212" t="n"/>
      <c r="ET123" s="212" t="n"/>
      <c r="EU123" s="212" t="n"/>
      <c r="EV123" s="212" t="n"/>
      <c r="EW123" s="212" t="n"/>
      <c r="EX123" s="212" t="n"/>
      <c r="EY123" s="212" t="n"/>
      <c r="EZ123" s="212" t="n"/>
      <c r="FA123" s="212" t="n"/>
      <c r="FB123" s="212" t="n"/>
      <c r="FC123" s="212" t="n"/>
      <c r="FD123" s="212" t="n"/>
      <c r="FE123" s="212" t="n"/>
      <c r="FF123" s="212" t="n"/>
      <c r="FG123" s="212" t="n"/>
      <c r="FH123" s="212" t="n"/>
      <c r="FI123" s="212" t="n"/>
      <c r="FJ123" s="212" t="n"/>
      <c r="FK123" s="212" t="n"/>
      <c r="FL123" s="212" t="n"/>
      <c r="FM123" s="212" t="n"/>
      <c r="FN123" s="212" t="n"/>
      <c r="FO123" s="212" t="n"/>
      <c r="FP123" s="212" t="n"/>
      <c r="FQ123" s="212" t="n"/>
      <c r="FR123" s="212" t="n"/>
      <c r="FS123" s="212" t="n"/>
      <c r="FT123" s="212" t="n"/>
      <c r="FU123" s="212" t="n"/>
      <c r="FV123" s="212" t="n"/>
      <c r="FW123" s="212" t="n"/>
      <c r="FX123" s="212" t="n"/>
      <c r="FY123" s="212" t="n"/>
      <c r="FZ123" s="212" t="n"/>
      <c r="GA123" s="212" t="n"/>
      <c r="GB123" s="212" t="n"/>
      <c r="GC123" s="212" t="n"/>
      <c r="GD123" s="212" t="n"/>
      <c r="GE123" s="212" t="n"/>
      <c r="GF123" s="212" t="n"/>
      <c r="GG123" s="212" t="n"/>
      <c r="GH123" s="212" t="n"/>
      <c r="GI123" s="212" t="n"/>
      <c r="GJ123" s="212" t="n"/>
      <c r="GK123" s="212" t="n"/>
      <c r="GL123" s="212" t="n"/>
      <c r="GM123" s="212" t="n"/>
      <c r="GN123" s="212" t="n"/>
      <c r="GO123" s="212" t="n"/>
      <c r="GP123" s="212" t="n"/>
      <c r="GQ123" s="212" t="n"/>
      <c r="GR123" s="212" t="n"/>
      <c r="GS123" s="212" t="n"/>
      <c r="GT123" s="212" t="n"/>
      <c r="GU123" s="212" t="n"/>
      <c r="GV123" s="212" t="n"/>
      <c r="GW123" s="212" t="n"/>
      <c r="GX123" s="212" t="n"/>
      <c r="GY123" s="212" t="n"/>
      <c r="GZ123" s="212" t="n"/>
      <c r="HA123" s="212" t="n"/>
      <c r="HB123" s="212" t="n"/>
      <c r="HC123" s="212" t="n"/>
      <c r="HD123" s="212" t="n"/>
      <c r="HE123" s="212" t="n"/>
      <c r="HF123" s="212" t="n"/>
      <c r="HG123" s="212" t="n"/>
      <c r="HH123" s="212" t="n"/>
      <c r="HI123" s="212" t="n"/>
      <c r="HJ123" s="212" t="n"/>
      <c r="HK123" s="212" t="n"/>
      <c r="HL123" s="212" t="n"/>
      <c r="HM123" s="212" t="n"/>
      <c r="HN123" s="212" t="n"/>
      <c r="HO123" s="212" t="n"/>
      <c r="HP123" s="212" t="n"/>
      <c r="HQ123" s="212" t="n"/>
      <c r="HR123" s="212" t="n"/>
      <c r="HS123" s="212" t="n"/>
      <c r="HT123" s="212" t="n"/>
      <c r="HU123" s="212" t="n"/>
      <c r="HV123" s="212" t="n"/>
      <c r="HW123" s="212" t="n"/>
      <c r="HX123" s="212" t="n"/>
      <c r="HY123" s="212" t="n"/>
      <c r="HZ123" s="212" t="n"/>
      <c r="IA123" s="212" t="n"/>
      <c r="IB123" s="212" t="n"/>
      <c r="IC123" s="212" t="n"/>
      <c r="ID123" s="212" t="n"/>
      <c r="IE123" s="212" t="n"/>
      <c r="IF123" s="212" t="n"/>
      <c r="IG123" s="212" t="n"/>
      <c r="IH123" s="212" t="n"/>
      <c r="II123" s="212" t="n"/>
      <c r="IJ123" s="212" t="n"/>
      <c r="IK123" s="212" t="n"/>
      <c r="IL123" s="212" t="n"/>
      <c r="IM123" s="212" t="n"/>
      <c r="IN123" s="212" t="n"/>
      <c r="IO123" s="212" t="n"/>
      <c r="IP123" s="212" t="n"/>
      <c r="IQ123" s="212" t="n"/>
      <c r="IR123" s="212" t="n"/>
      <c r="IS123" s="212" t="n"/>
      <c r="IT123" s="212" t="n"/>
      <c r="IU123" s="212" t="n"/>
      <c r="IV123" s="212" t="n"/>
      <c r="IW123" s="212" t="n"/>
      <c r="IX123" s="212" t="n"/>
      <c r="IY123" s="212" t="n"/>
      <c r="IZ123" s="212" t="n"/>
      <c r="JA123" s="212" t="n"/>
      <c r="JB123" s="212" t="n"/>
      <c r="JC123" s="212" t="n"/>
      <c r="JD123" s="212" t="n"/>
      <c r="JE123" s="212" t="n"/>
      <c r="JF123" s="212" t="n"/>
      <c r="JG123" s="212" t="n"/>
      <c r="JH123" s="212" t="n"/>
      <c r="JI123" s="212" t="n"/>
      <c r="JJ123" s="212" t="n"/>
      <c r="JK123" s="212" t="n"/>
      <c r="JL123" s="212" t="n"/>
      <c r="JM123" s="212" t="n"/>
      <c r="JN123" s="212" t="n"/>
      <c r="JO123" s="212" t="n"/>
      <c r="JP123" s="212" t="n"/>
      <c r="JQ123" s="212" t="n"/>
      <c r="JR123" s="212" t="n"/>
      <c r="JS123" s="212" t="n"/>
      <c r="JT123" s="212" t="n"/>
      <c r="JU123" s="212" t="n"/>
      <c r="JV123" s="212" t="n"/>
      <c r="JW123" s="212" t="n"/>
      <c r="JX123" s="212" t="n"/>
      <c r="JY123" s="212" t="n"/>
      <c r="JZ123" s="212" t="n"/>
      <c r="KA123" s="212" t="n"/>
      <c r="KB123" s="212" t="n"/>
      <c r="KC123" s="212" t="n"/>
      <c r="KD123" s="212" t="n"/>
      <c r="KE123" s="212" t="n"/>
      <c r="KF123" s="212" t="n"/>
      <c r="KG123" s="212" t="n"/>
      <c r="KH123" s="212" t="n"/>
      <c r="KI123" s="212" t="n"/>
      <c r="KJ123" s="212" t="n"/>
      <c r="KK123" s="212" t="n"/>
      <c r="KL123" s="212" t="n"/>
      <c r="KM123" s="212" t="n"/>
      <c r="KN123" s="212" t="n"/>
      <c r="KO123" s="212" t="n"/>
      <c r="KP123" s="212" t="n"/>
      <c r="KQ123" s="212" t="n"/>
      <c r="KR123" s="212" t="n"/>
      <c r="KS123" s="212" t="n"/>
      <c r="KT123" s="212" t="n"/>
      <c r="KU123" s="212" t="n"/>
      <c r="KV123" s="212" t="n"/>
      <c r="KW123" s="212" t="n"/>
      <c r="KX123" s="212" t="n"/>
      <c r="KY123" s="212" t="n"/>
      <c r="KZ123" s="212" t="n"/>
      <c r="LA123" s="212" t="n"/>
      <c r="LB123" s="212" t="n"/>
      <c r="LC123" s="212" t="n"/>
      <c r="LD123" s="212" t="n"/>
      <c r="LE123" s="212" t="n"/>
      <c r="LF123" s="212" t="n"/>
      <c r="LG123" s="212" t="n"/>
      <c r="LH123" s="212" t="n"/>
      <c r="LI123" s="212" t="n"/>
      <c r="LJ123" s="212" t="n"/>
      <c r="LK123" s="212" t="n"/>
      <c r="LL123" s="212" t="n"/>
      <c r="LM123" s="212" t="n"/>
      <c r="LN123" s="212" t="n"/>
      <c r="LO123" s="212" t="n"/>
      <c r="LP123" s="212" t="n"/>
      <c r="LQ123" s="212" t="n"/>
      <c r="LR123" s="212" t="n"/>
      <c r="LS123" s="212" t="n"/>
      <c r="LT123" s="212" t="n"/>
      <c r="LU123" s="212" t="n"/>
      <c r="LV123" s="212" t="n"/>
      <c r="LW123" s="212" t="n"/>
      <c r="LX123" s="212" t="n"/>
      <c r="LY123" s="212" t="n"/>
      <c r="LZ123" s="212" t="n"/>
      <c r="MA123" s="212" t="n"/>
      <c r="MB123" s="212" t="n"/>
      <c r="MC123" s="212" t="n"/>
      <c r="MD123" s="212" t="n"/>
      <c r="ME123" s="212" t="n"/>
      <c r="MF123" s="212" t="n"/>
      <c r="MG123" s="212" t="n"/>
      <c r="MH123" s="212" t="n"/>
      <c r="MI123" s="212" t="n"/>
      <c r="MJ123" s="212" t="n"/>
      <c r="MK123" s="212" t="n"/>
      <c r="ML123" s="212" t="n"/>
      <c r="MM123" s="212" t="n"/>
      <c r="MN123" s="212" t="n"/>
      <c r="MO123" s="212" t="n"/>
      <c r="MP123" s="212" t="n"/>
      <c r="MQ123" s="212" t="n"/>
      <c r="MR123" s="212" t="n"/>
      <c r="MS123" s="212" t="n"/>
      <c r="MT123" s="212" t="n"/>
      <c r="MU123" s="212" t="n"/>
      <c r="MV123" s="212" t="n"/>
      <c r="MW123" s="212" t="n"/>
      <c r="MX123" s="212" t="n"/>
      <c r="MY123" s="212" t="n"/>
      <c r="MZ123" s="212" t="n"/>
      <c r="NA123" s="212" t="n"/>
      <c r="NB123" s="212" t="n"/>
      <c r="NC123" s="212" t="n"/>
      <c r="ND123" s="212" t="n"/>
      <c r="NE123" s="212" t="n"/>
      <c r="NF123" s="212" t="n"/>
      <c r="NG123" s="212" t="n"/>
      <c r="NH123" s="212" t="n"/>
      <c r="NI123" s="212" t="n"/>
      <c r="NJ123" s="212" t="n"/>
      <c r="NK123" s="212" t="n"/>
      <c r="NL123" s="212" t="n"/>
      <c r="NM123" s="212" t="n"/>
      <c r="NN123" s="212" t="n"/>
      <c r="NO123" s="212" t="n"/>
      <c r="NP123" s="212" t="n"/>
      <c r="NQ123" s="212" t="n"/>
      <c r="NR123" s="212" t="n"/>
      <c r="NS123" s="212" t="n"/>
      <c r="NT123" s="212" t="n"/>
      <c r="NU123" s="212" t="n"/>
      <c r="NV123" s="212" t="n"/>
      <c r="NW123" s="212" t="n"/>
      <c r="NX123" s="212" t="n"/>
      <c r="NY123" s="212" t="n"/>
      <c r="NZ123" s="212" t="n"/>
      <c r="OA123" s="212" t="n"/>
      <c r="OB123" s="212" t="n"/>
      <c r="OC123" s="212" t="n"/>
      <c r="OD123" s="212" t="n"/>
      <c r="OE123" s="212" t="n"/>
      <c r="OF123" s="212" t="n"/>
      <c r="OG123" s="212" t="n"/>
      <c r="OH123" s="212" t="n"/>
      <c r="OI123" s="212" t="n"/>
      <c r="OJ123" s="212" t="n"/>
      <c r="OK123" s="212" t="n"/>
      <c r="OL123" s="212" t="n"/>
      <c r="OM123" s="212" t="n"/>
      <c r="ON123" s="212" t="n"/>
      <c r="OO123" s="212" t="n"/>
      <c r="OP123" s="212" t="n"/>
      <c r="OQ123" s="212" t="n"/>
      <c r="OR123" s="212" t="n"/>
      <c r="OS123" s="212" t="n"/>
      <c r="OT123" s="212" t="n"/>
      <c r="OU123" s="212" t="n"/>
      <c r="OV123" s="212" t="n"/>
      <c r="OW123" s="212" t="n"/>
      <c r="OX123" s="212" t="n"/>
      <c r="OY123" s="212" t="n"/>
      <c r="OZ123" s="212" t="n"/>
      <c r="PA123" s="212" t="n"/>
      <c r="PB123" s="212" t="n"/>
      <c r="PC123" s="212" t="n"/>
      <c r="PD123" s="212" t="n"/>
      <c r="PE123" s="212" t="n"/>
      <c r="PF123" s="212" t="n"/>
      <c r="PG123" s="212" t="n"/>
      <c r="PH123" s="212" t="n"/>
      <c r="PI123" s="212" t="n"/>
      <c r="PJ123" s="212" t="n"/>
      <c r="PK123" s="212" t="n"/>
      <c r="PL123" s="212" t="n"/>
      <c r="PM123" s="212" t="n"/>
      <c r="PN123" s="212" t="n"/>
      <c r="PO123" s="212" t="n"/>
      <c r="PP123" s="212" t="n"/>
      <c r="PQ123" s="212" t="n"/>
      <c r="PR123" s="212" t="n"/>
      <c r="PS123" s="212" t="n"/>
      <c r="PT123" s="212" t="n"/>
      <c r="PU123" s="212" t="n"/>
      <c r="PV123" s="212" t="n"/>
      <c r="PW123" s="212" t="n"/>
      <c r="PX123" s="212" t="n"/>
      <c r="PY123" s="212" t="n"/>
      <c r="PZ123" s="212" t="n"/>
      <c r="QA123" s="212" t="n"/>
      <c r="QB123" s="212" t="n"/>
      <c r="QC123" s="212" t="n"/>
      <c r="QD123" s="212" t="n"/>
      <c r="QE123" s="212" t="n"/>
      <c r="QF123" s="212" t="n"/>
      <c r="QG123" s="212" t="n"/>
      <c r="QH123" s="212" t="n"/>
      <c r="QI123" s="212" t="n"/>
      <c r="QJ123" s="212" t="n"/>
      <c r="QK123" s="212" t="n"/>
      <c r="QL123" s="212" t="n"/>
      <c r="QM123" s="212" t="n"/>
      <c r="QN123" s="212" t="n"/>
      <c r="QO123" s="212" t="n"/>
      <c r="QP123" s="212" t="n"/>
      <c r="QQ123" s="212" t="n"/>
      <c r="QR123" s="212" t="n"/>
      <c r="QS123" s="212" t="n"/>
      <c r="QT123" s="212" t="n"/>
      <c r="QU123" s="212" t="n"/>
      <c r="QV123" s="212" t="n"/>
      <c r="QW123" s="212" t="n"/>
      <c r="QX123" s="212" t="n"/>
      <c r="QY123" s="212" t="n"/>
      <c r="QZ123" s="212" t="n"/>
      <c r="RA123" s="212" t="n"/>
      <c r="RB123" s="212" t="n"/>
      <c r="RC123" s="212" t="n"/>
      <c r="RD123" s="212" t="n"/>
      <c r="RE123" s="212" t="n"/>
      <c r="RF123" s="212" t="n"/>
      <c r="RG123" s="212" t="n"/>
      <c r="RH123" s="212" t="n"/>
      <c r="RI123" s="212" t="n"/>
      <c r="RJ123" s="212" t="n"/>
      <c r="RK123" s="212" t="n"/>
      <c r="RL123" s="212" t="n"/>
      <c r="RM123" s="212" t="n"/>
      <c r="RN123" s="212" t="n"/>
      <c r="RO123" s="212" t="n"/>
      <c r="RP123" s="212" t="n"/>
      <c r="RQ123" s="212" t="n"/>
      <c r="RR123" s="212" t="n"/>
      <c r="RS123" s="212" t="n"/>
      <c r="RT123" s="212" t="n"/>
      <c r="RU123" s="212" t="n"/>
      <c r="RV123" s="212" t="n"/>
      <c r="RW123" s="212" t="n"/>
      <c r="RX123" s="212" t="n"/>
      <c r="RY123" s="212" t="n"/>
      <c r="RZ123" s="212" t="n"/>
      <c r="SA123" s="212" t="n"/>
      <c r="SB123" s="212" t="n"/>
      <c r="SC123" s="212" t="n"/>
      <c r="SD123" s="212" t="n"/>
      <c r="SE123" s="212" t="n"/>
      <c r="SF123" s="212" t="n"/>
      <c r="SG123" s="212" t="n"/>
      <c r="SH123" s="212" t="n"/>
      <c r="SI123" s="212" t="n"/>
      <c r="SJ123" s="212" t="n"/>
      <c r="SK123" s="212" t="n"/>
      <c r="SL123" s="212" t="n"/>
      <c r="SM123" s="212" t="n"/>
      <c r="SN123" s="212" t="n"/>
      <c r="SO123" s="212" t="n"/>
      <c r="SP123" s="212" t="n"/>
      <c r="SQ123" s="212" t="n"/>
      <c r="SR123" s="212" t="n"/>
      <c r="SS123" s="212" t="n"/>
      <c r="ST123" s="212" t="n"/>
      <c r="SU123" s="212" t="n"/>
      <c r="SV123" s="212" t="n"/>
    </row>
    <row r="124">
      <c r="B124" s="209" t="n"/>
      <c r="C124" s="209" t="n"/>
      <c r="D124" s="209" t="n"/>
      <c r="E124" s="209" t="n"/>
      <c r="F124" s="209">
        <f>IF(TRIM(D124&amp;E124)="","",TRIM(D124)&amp;" "&amp;TRIM(E124))</f>
        <v/>
      </c>
      <c r="G124" s="209" t="n"/>
      <c r="H124" s="209" t="n"/>
      <c r="I124" s="209" t="n"/>
      <c r="J124" s="209" t="n"/>
      <c r="K124" s="209" t="n"/>
      <c r="L124" s="209" t="n"/>
      <c r="M124" s="209" t="n"/>
      <c r="N124" s="209" t="n"/>
      <c r="O124" s="209" t="n"/>
      <c r="P124" s="209" t="n"/>
      <c r="Q124" s="209" t="n"/>
      <c r="R124" s="209" t="n"/>
      <c r="S124" s="212" t="n"/>
      <c r="T124" s="212" t="n"/>
      <c r="U124" s="212" t="n"/>
      <c r="V124" s="212" t="n"/>
      <c r="W124" s="212" t="n"/>
      <c r="X124" s="212" t="n"/>
      <c r="Y124" s="212" t="n"/>
      <c r="Z124" s="212" t="n"/>
      <c r="AA124" s="212" t="n"/>
      <c r="AB124" s="212" t="n"/>
      <c r="AC124" s="212" t="n"/>
      <c r="AD124" s="212" t="n"/>
      <c r="AE124" s="212" t="n"/>
      <c r="AF124" s="212" t="n"/>
      <c r="AG124" s="212" t="n"/>
      <c r="AH124" s="212" t="n"/>
      <c r="AI124" s="212" t="n"/>
      <c r="AJ124" s="212" t="n"/>
      <c r="AK124" s="212" t="n"/>
      <c r="AL124" s="212" t="n"/>
      <c r="AM124" s="212" t="n"/>
      <c r="AN124" s="212" t="n"/>
      <c r="AO124" s="212" t="n"/>
      <c r="AP124" s="212" t="n"/>
      <c r="AQ124" s="212" t="n"/>
      <c r="AR124" s="212" t="n"/>
      <c r="AS124" s="212" t="n"/>
      <c r="AT124" s="212" t="n"/>
      <c r="AU124" s="212" t="n"/>
      <c r="AV124" s="212" t="n"/>
      <c r="AW124" s="212" t="n"/>
      <c r="AX124" s="212" t="n"/>
      <c r="AY124" s="212" t="n"/>
      <c r="AZ124" s="212" t="n"/>
      <c r="BA124" s="212" t="n"/>
      <c r="BB124" s="212" t="n"/>
      <c r="BC124" s="212" t="n"/>
      <c r="BD124" s="212" t="n"/>
      <c r="BE124" s="212" t="n"/>
      <c r="BF124" s="212" t="n"/>
      <c r="BG124" s="212" t="n"/>
      <c r="BH124" s="212" t="n"/>
      <c r="BI124" s="212" t="n"/>
      <c r="BJ124" s="212" t="n"/>
      <c r="BK124" s="212" t="n"/>
      <c r="BL124" s="212" t="n"/>
      <c r="BM124" s="212" t="n"/>
      <c r="BN124" s="212" t="n"/>
      <c r="BO124" s="212" t="n"/>
      <c r="BP124" s="212" t="n"/>
      <c r="BQ124" s="212" t="n"/>
      <c r="BR124" s="212" t="n"/>
      <c r="BS124" s="212" t="n"/>
      <c r="BT124" s="212" t="n"/>
      <c r="BU124" s="212" t="n"/>
      <c r="BV124" s="212" t="n"/>
      <c r="BW124" s="212" t="n"/>
      <c r="BX124" s="212" t="n"/>
      <c r="BY124" s="212" t="n"/>
      <c r="BZ124" s="212" t="n"/>
      <c r="CA124" s="212" t="n"/>
      <c r="CB124" s="212" t="n"/>
      <c r="CC124" s="212" t="n"/>
      <c r="CD124" s="212" t="n"/>
      <c r="CE124" s="212" t="n"/>
      <c r="CF124" s="212" t="n"/>
      <c r="CG124" s="212" t="n"/>
      <c r="CH124" s="212" t="n"/>
      <c r="CI124" s="212" t="n"/>
      <c r="CJ124" s="212" t="n"/>
      <c r="CK124" s="212" t="n"/>
      <c r="CL124" s="212" t="n"/>
      <c r="CM124" s="212" t="n"/>
      <c r="CN124" s="212" t="n"/>
      <c r="CO124" s="212" t="n"/>
      <c r="CP124" s="212" t="n"/>
      <c r="CQ124" s="212" t="n"/>
      <c r="CR124" s="212" t="n"/>
      <c r="CS124" s="212" t="n"/>
      <c r="CT124" s="212" t="n"/>
      <c r="CU124" s="212" t="n"/>
      <c r="CV124" s="212" t="n"/>
      <c r="CW124" s="212" t="n"/>
      <c r="CX124" s="212" t="n"/>
      <c r="CY124" s="212" t="n"/>
      <c r="CZ124" s="212" t="n"/>
      <c r="DA124" s="212" t="n"/>
      <c r="DB124" s="212" t="n"/>
      <c r="DC124" s="212" t="n"/>
      <c r="DD124" s="212" t="n"/>
      <c r="DE124" s="212" t="n"/>
      <c r="DF124" s="212" t="n"/>
      <c r="DG124" s="212" t="n"/>
      <c r="DH124" s="212" t="n"/>
      <c r="DI124" s="212" t="n"/>
      <c r="DJ124" s="212" t="n"/>
      <c r="DK124" s="212" t="n"/>
      <c r="DL124" s="212" t="n"/>
      <c r="DM124" s="212" t="n"/>
      <c r="DN124" s="212" t="n"/>
      <c r="DO124" s="212" t="n"/>
      <c r="DP124" s="212" t="n"/>
      <c r="DQ124" s="212" t="n"/>
      <c r="DR124" s="212" t="n"/>
      <c r="DS124" s="212" t="n"/>
      <c r="DT124" s="212" t="n"/>
      <c r="DU124" s="212" t="n"/>
      <c r="DV124" s="212" t="n"/>
      <c r="DW124" s="212" t="n"/>
      <c r="DX124" s="212" t="n"/>
      <c r="DY124" s="212" t="n"/>
      <c r="DZ124" s="212" t="n"/>
      <c r="EA124" s="212" t="n"/>
      <c r="EB124" s="212" t="n"/>
      <c r="EC124" s="212" t="n"/>
      <c r="ED124" s="212" t="n"/>
      <c r="EE124" s="212" t="n"/>
      <c r="EF124" s="212" t="n"/>
      <c r="EG124" s="212" t="n"/>
      <c r="EH124" s="212" t="n"/>
      <c r="EI124" s="212" t="n"/>
      <c r="EJ124" s="212" t="n"/>
      <c r="EK124" s="212" t="n"/>
      <c r="EL124" s="212" t="n"/>
      <c r="EM124" s="212" t="n"/>
      <c r="EN124" s="212" t="n"/>
      <c r="EO124" s="212" t="n"/>
      <c r="EP124" s="212" t="n"/>
      <c r="EQ124" s="212" t="n"/>
      <c r="ER124" s="212" t="n"/>
      <c r="ES124" s="212" t="n"/>
      <c r="ET124" s="212" t="n"/>
      <c r="EU124" s="212" t="n"/>
      <c r="EV124" s="212" t="n"/>
      <c r="EW124" s="212" t="n"/>
      <c r="EX124" s="212" t="n"/>
      <c r="EY124" s="212" t="n"/>
      <c r="EZ124" s="212" t="n"/>
      <c r="FA124" s="212" t="n"/>
      <c r="FB124" s="212" t="n"/>
      <c r="FC124" s="212" t="n"/>
      <c r="FD124" s="212" t="n"/>
      <c r="FE124" s="212" t="n"/>
      <c r="FF124" s="212" t="n"/>
      <c r="FG124" s="212" t="n"/>
      <c r="FH124" s="212" t="n"/>
      <c r="FI124" s="212" t="n"/>
      <c r="FJ124" s="212" t="n"/>
      <c r="FK124" s="212" t="n"/>
      <c r="FL124" s="212" t="n"/>
      <c r="FM124" s="212" t="n"/>
      <c r="FN124" s="212" t="n"/>
      <c r="FO124" s="212" t="n"/>
      <c r="FP124" s="212" t="n"/>
      <c r="FQ124" s="212" t="n"/>
      <c r="FR124" s="212" t="n"/>
      <c r="FS124" s="212" t="n"/>
      <c r="FT124" s="212" t="n"/>
      <c r="FU124" s="212" t="n"/>
      <c r="FV124" s="212" t="n"/>
      <c r="FW124" s="212" t="n"/>
      <c r="FX124" s="212" t="n"/>
      <c r="FY124" s="212" t="n"/>
      <c r="FZ124" s="212" t="n"/>
      <c r="GA124" s="212" t="n"/>
      <c r="GB124" s="212" t="n"/>
      <c r="GC124" s="212" t="n"/>
      <c r="GD124" s="212" t="n"/>
      <c r="GE124" s="212" t="n"/>
      <c r="GF124" s="212" t="n"/>
      <c r="GG124" s="212" t="n"/>
      <c r="GH124" s="212" t="n"/>
      <c r="GI124" s="212" t="n"/>
      <c r="GJ124" s="212" t="n"/>
      <c r="GK124" s="212" t="n"/>
      <c r="GL124" s="212" t="n"/>
      <c r="GM124" s="212" t="n"/>
      <c r="GN124" s="212" t="n"/>
      <c r="GO124" s="212" t="n"/>
      <c r="GP124" s="212" t="n"/>
      <c r="GQ124" s="212" t="n"/>
      <c r="GR124" s="212" t="n"/>
      <c r="GS124" s="212" t="n"/>
      <c r="GT124" s="212" t="n"/>
      <c r="GU124" s="212" t="n"/>
      <c r="GV124" s="212" t="n"/>
      <c r="GW124" s="212" t="n"/>
      <c r="GX124" s="212" t="n"/>
      <c r="GY124" s="212" t="n"/>
      <c r="GZ124" s="212" t="n"/>
      <c r="HA124" s="212" t="n"/>
      <c r="HB124" s="212" t="n"/>
      <c r="HC124" s="212" t="n"/>
      <c r="HD124" s="212" t="n"/>
      <c r="HE124" s="212" t="n"/>
      <c r="HF124" s="212" t="n"/>
      <c r="HG124" s="212" t="n"/>
      <c r="HH124" s="212" t="n"/>
      <c r="HI124" s="212" t="n"/>
      <c r="HJ124" s="212" t="n"/>
      <c r="HK124" s="212" t="n"/>
      <c r="HL124" s="212" t="n"/>
      <c r="HM124" s="212" t="n"/>
      <c r="HN124" s="212" t="n"/>
      <c r="HO124" s="212" t="n"/>
      <c r="HP124" s="212" t="n"/>
      <c r="HQ124" s="212" t="n"/>
      <c r="HR124" s="212" t="n"/>
      <c r="HS124" s="212" t="n"/>
      <c r="HT124" s="212" t="n"/>
      <c r="HU124" s="212" t="n"/>
      <c r="HV124" s="212" t="n"/>
      <c r="HW124" s="212" t="n"/>
      <c r="HX124" s="212" t="n"/>
      <c r="HY124" s="212" t="n"/>
      <c r="HZ124" s="212" t="n"/>
      <c r="IA124" s="212" t="n"/>
      <c r="IB124" s="212" t="n"/>
      <c r="IC124" s="212" t="n"/>
      <c r="ID124" s="212" t="n"/>
      <c r="IE124" s="212" t="n"/>
      <c r="IF124" s="212" t="n"/>
      <c r="IG124" s="212" t="n"/>
      <c r="IH124" s="212" t="n"/>
      <c r="II124" s="212" t="n"/>
      <c r="IJ124" s="212" t="n"/>
      <c r="IK124" s="212" t="n"/>
      <c r="IL124" s="212" t="n"/>
      <c r="IM124" s="212" t="n"/>
      <c r="IN124" s="212" t="n"/>
      <c r="IO124" s="212" t="n"/>
      <c r="IP124" s="212" t="n"/>
      <c r="IQ124" s="212" t="n"/>
      <c r="IR124" s="212" t="n"/>
      <c r="IS124" s="212" t="n"/>
      <c r="IT124" s="212" t="n"/>
      <c r="IU124" s="212" t="n"/>
      <c r="IV124" s="212" t="n"/>
      <c r="IW124" s="212" t="n"/>
      <c r="IX124" s="212" t="n"/>
      <c r="IY124" s="212" t="n"/>
      <c r="IZ124" s="212" t="n"/>
      <c r="JA124" s="212" t="n"/>
      <c r="JB124" s="212" t="n"/>
      <c r="JC124" s="212" t="n"/>
      <c r="JD124" s="212" t="n"/>
      <c r="JE124" s="212" t="n"/>
      <c r="JF124" s="212" t="n"/>
      <c r="JG124" s="212" t="n"/>
      <c r="JH124" s="212" t="n"/>
      <c r="JI124" s="212" t="n"/>
      <c r="JJ124" s="212" t="n"/>
      <c r="JK124" s="212" t="n"/>
      <c r="JL124" s="212" t="n"/>
      <c r="JM124" s="212" t="n"/>
      <c r="JN124" s="212" t="n"/>
      <c r="JO124" s="212" t="n"/>
      <c r="JP124" s="212" t="n"/>
      <c r="JQ124" s="212" t="n"/>
      <c r="JR124" s="212" t="n"/>
      <c r="JS124" s="212" t="n"/>
      <c r="JT124" s="212" t="n"/>
      <c r="JU124" s="212" t="n"/>
      <c r="JV124" s="212" t="n"/>
      <c r="JW124" s="212" t="n"/>
      <c r="JX124" s="212" t="n"/>
      <c r="JY124" s="212" t="n"/>
      <c r="JZ124" s="212" t="n"/>
      <c r="KA124" s="212" t="n"/>
      <c r="KB124" s="212" t="n"/>
      <c r="KC124" s="212" t="n"/>
      <c r="KD124" s="212" t="n"/>
      <c r="KE124" s="212" t="n"/>
      <c r="KF124" s="212" t="n"/>
      <c r="KG124" s="212" t="n"/>
      <c r="KH124" s="212" t="n"/>
      <c r="KI124" s="212" t="n"/>
      <c r="KJ124" s="212" t="n"/>
      <c r="KK124" s="212" t="n"/>
      <c r="KL124" s="212" t="n"/>
      <c r="KM124" s="212" t="n"/>
      <c r="KN124" s="212" t="n"/>
      <c r="KO124" s="212" t="n"/>
      <c r="KP124" s="212" t="n"/>
      <c r="KQ124" s="212" t="n"/>
      <c r="KR124" s="212" t="n"/>
      <c r="KS124" s="212" t="n"/>
      <c r="KT124" s="212" t="n"/>
      <c r="KU124" s="212" t="n"/>
      <c r="KV124" s="212" t="n"/>
      <c r="KW124" s="212" t="n"/>
      <c r="KX124" s="212" t="n"/>
      <c r="KY124" s="212" t="n"/>
      <c r="KZ124" s="212" t="n"/>
      <c r="LA124" s="212" t="n"/>
      <c r="LB124" s="212" t="n"/>
      <c r="LC124" s="212" t="n"/>
      <c r="LD124" s="212" t="n"/>
      <c r="LE124" s="212" t="n"/>
      <c r="LF124" s="212" t="n"/>
      <c r="LG124" s="212" t="n"/>
      <c r="LH124" s="212" t="n"/>
      <c r="LI124" s="212" t="n"/>
      <c r="LJ124" s="212" t="n"/>
      <c r="LK124" s="212" t="n"/>
      <c r="LL124" s="212" t="n"/>
      <c r="LM124" s="212" t="n"/>
      <c r="LN124" s="212" t="n"/>
      <c r="LO124" s="212" t="n"/>
      <c r="LP124" s="212" t="n"/>
      <c r="LQ124" s="212" t="n"/>
      <c r="LR124" s="212" t="n"/>
      <c r="LS124" s="212" t="n"/>
      <c r="LT124" s="212" t="n"/>
      <c r="LU124" s="212" t="n"/>
      <c r="LV124" s="212" t="n"/>
      <c r="LW124" s="212" t="n"/>
      <c r="LX124" s="212" t="n"/>
      <c r="LY124" s="212" t="n"/>
      <c r="LZ124" s="212" t="n"/>
      <c r="MA124" s="212" t="n"/>
      <c r="MB124" s="212" t="n"/>
      <c r="MC124" s="212" t="n"/>
      <c r="MD124" s="212" t="n"/>
      <c r="ME124" s="212" t="n"/>
      <c r="MF124" s="212" t="n"/>
      <c r="MG124" s="212" t="n"/>
      <c r="MH124" s="212" t="n"/>
      <c r="MI124" s="212" t="n"/>
      <c r="MJ124" s="212" t="n"/>
      <c r="MK124" s="212" t="n"/>
      <c r="ML124" s="212" t="n"/>
      <c r="MM124" s="212" t="n"/>
      <c r="MN124" s="212" t="n"/>
      <c r="MO124" s="212" t="n"/>
      <c r="MP124" s="212" t="n"/>
      <c r="MQ124" s="212" t="n"/>
      <c r="MR124" s="212" t="n"/>
      <c r="MS124" s="212" t="n"/>
      <c r="MT124" s="212" t="n"/>
      <c r="MU124" s="212" t="n"/>
      <c r="MV124" s="212" t="n"/>
      <c r="MW124" s="212" t="n"/>
      <c r="MX124" s="212" t="n"/>
      <c r="MY124" s="212" t="n"/>
      <c r="MZ124" s="212" t="n"/>
      <c r="NA124" s="212" t="n"/>
      <c r="NB124" s="212" t="n"/>
      <c r="NC124" s="212" t="n"/>
      <c r="ND124" s="212" t="n"/>
      <c r="NE124" s="212" t="n"/>
      <c r="NF124" s="212" t="n"/>
      <c r="NG124" s="212" t="n"/>
      <c r="NH124" s="212" t="n"/>
      <c r="NI124" s="212" t="n"/>
      <c r="NJ124" s="212" t="n"/>
      <c r="NK124" s="212" t="n"/>
      <c r="NL124" s="212" t="n"/>
      <c r="NM124" s="212" t="n"/>
      <c r="NN124" s="212" t="n"/>
      <c r="NO124" s="212" t="n"/>
      <c r="NP124" s="212" t="n"/>
      <c r="NQ124" s="212" t="n"/>
      <c r="NR124" s="212" t="n"/>
      <c r="NS124" s="212" t="n"/>
      <c r="NT124" s="212" t="n"/>
      <c r="NU124" s="212" t="n"/>
      <c r="NV124" s="212" t="n"/>
      <c r="NW124" s="212" t="n"/>
      <c r="NX124" s="212" t="n"/>
      <c r="NY124" s="212" t="n"/>
      <c r="NZ124" s="212" t="n"/>
      <c r="OA124" s="212" t="n"/>
      <c r="OB124" s="212" t="n"/>
      <c r="OC124" s="212" t="n"/>
      <c r="OD124" s="212" t="n"/>
      <c r="OE124" s="212" t="n"/>
      <c r="OF124" s="212" t="n"/>
      <c r="OG124" s="212" t="n"/>
      <c r="OH124" s="212" t="n"/>
      <c r="OI124" s="212" t="n"/>
      <c r="OJ124" s="212" t="n"/>
      <c r="OK124" s="212" t="n"/>
      <c r="OL124" s="212" t="n"/>
      <c r="OM124" s="212" t="n"/>
      <c r="ON124" s="212" t="n"/>
      <c r="OO124" s="212" t="n"/>
      <c r="OP124" s="212" t="n"/>
      <c r="OQ124" s="212" t="n"/>
      <c r="OR124" s="212" t="n"/>
      <c r="OS124" s="212" t="n"/>
      <c r="OT124" s="212" t="n"/>
      <c r="OU124" s="212" t="n"/>
      <c r="OV124" s="212" t="n"/>
      <c r="OW124" s="212" t="n"/>
      <c r="OX124" s="212" t="n"/>
      <c r="OY124" s="212" t="n"/>
      <c r="OZ124" s="212" t="n"/>
      <c r="PA124" s="212" t="n"/>
      <c r="PB124" s="212" t="n"/>
      <c r="PC124" s="212" t="n"/>
      <c r="PD124" s="212" t="n"/>
      <c r="PE124" s="212" t="n"/>
      <c r="PF124" s="212" t="n"/>
      <c r="PG124" s="212" t="n"/>
      <c r="PH124" s="212" t="n"/>
      <c r="PI124" s="212" t="n"/>
      <c r="PJ124" s="212" t="n"/>
      <c r="PK124" s="212" t="n"/>
      <c r="PL124" s="212" t="n"/>
      <c r="PM124" s="212" t="n"/>
      <c r="PN124" s="212" t="n"/>
      <c r="PO124" s="212" t="n"/>
      <c r="PP124" s="212" t="n"/>
      <c r="PQ124" s="212" t="n"/>
      <c r="PR124" s="212" t="n"/>
      <c r="PS124" s="212" t="n"/>
      <c r="PT124" s="212" t="n"/>
      <c r="PU124" s="212" t="n"/>
      <c r="PV124" s="212" t="n"/>
      <c r="PW124" s="212" t="n"/>
      <c r="PX124" s="212" t="n"/>
      <c r="PY124" s="212" t="n"/>
      <c r="PZ124" s="212" t="n"/>
      <c r="QA124" s="212" t="n"/>
      <c r="QB124" s="212" t="n"/>
      <c r="QC124" s="212" t="n"/>
      <c r="QD124" s="212" t="n"/>
      <c r="QE124" s="212" t="n"/>
      <c r="QF124" s="212" t="n"/>
      <c r="QG124" s="212" t="n"/>
      <c r="QH124" s="212" t="n"/>
      <c r="QI124" s="212" t="n"/>
      <c r="QJ124" s="212" t="n"/>
      <c r="QK124" s="212" t="n"/>
      <c r="QL124" s="212" t="n"/>
      <c r="QM124" s="212" t="n"/>
      <c r="QN124" s="212" t="n"/>
      <c r="QO124" s="212" t="n"/>
      <c r="QP124" s="212" t="n"/>
      <c r="QQ124" s="212" t="n"/>
      <c r="QR124" s="212" t="n"/>
      <c r="QS124" s="212" t="n"/>
      <c r="QT124" s="212" t="n"/>
      <c r="QU124" s="212" t="n"/>
      <c r="QV124" s="212" t="n"/>
      <c r="QW124" s="212" t="n"/>
      <c r="QX124" s="212" t="n"/>
      <c r="QY124" s="212" t="n"/>
      <c r="QZ124" s="212" t="n"/>
      <c r="RA124" s="212" t="n"/>
      <c r="RB124" s="212" t="n"/>
      <c r="RC124" s="212" t="n"/>
      <c r="RD124" s="212" t="n"/>
      <c r="RE124" s="212" t="n"/>
      <c r="RF124" s="212" t="n"/>
      <c r="RG124" s="212" t="n"/>
      <c r="RH124" s="212" t="n"/>
      <c r="RI124" s="212" t="n"/>
      <c r="RJ124" s="212" t="n"/>
      <c r="RK124" s="212" t="n"/>
      <c r="RL124" s="212" t="n"/>
      <c r="RM124" s="212" t="n"/>
      <c r="RN124" s="212" t="n"/>
      <c r="RO124" s="212" t="n"/>
      <c r="RP124" s="212" t="n"/>
      <c r="RQ124" s="212" t="n"/>
      <c r="RR124" s="212" t="n"/>
      <c r="RS124" s="212" t="n"/>
      <c r="RT124" s="212" t="n"/>
      <c r="RU124" s="212" t="n"/>
      <c r="RV124" s="212" t="n"/>
      <c r="RW124" s="212" t="n"/>
      <c r="RX124" s="212" t="n"/>
      <c r="RY124" s="212" t="n"/>
      <c r="RZ124" s="212" t="n"/>
      <c r="SA124" s="212" t="n"/>
      <c r="SB124" s="212" t="n"/>
      <c r="SC124" s="212" t="n"/>
      <c r="SD124" s="212" t="n"/>
      <c r="SE124" s="212" t="n"/>
      <c r="SF124" s="212" t="n"/>
      <c r="SG124" s="212" t="n"/>
      <c r="SH124" s="212" t="n"/>
      <c r="SI124" s="212" t="n"/>
      <c r="SJ124" s="212" t="n"/>
      <c r="SK124" s="212" t="n"/>
      <c r="SL124" s="212" t="n"/>
      <c r="SM124" s="212" t="n"/>
      <c r="SN124" s="212" t="n"/>
      <c r="SO124" s="212" t="n"/>
      <c r="SP124" s="212" t="n"/>
      <c r="SQ124" s="212" t="n"/>
      <c r="SR124" s="212" t="n"/>
      <c r="SS124" s="212" t="n"/>
      <c r="ST124" s="212" t="n"/>
      <c r="SU124" s="212" t="n"/>
      <c r="SV124" s="212" t="n"/>
    </row>
    <row r="125">
      <c r="B125" s="209" t="n"/>
      <c r="C125" s="209" t="n"/>
      <c r="D125" s="209" t="n"/>
      <c r="E125" s="209" t="n"/>
      <c r="F125" s="209">
        <f>IF(TRIM(D125&amp;E125)="","",TRIM(D125)&amp;" "&amp;TRIM(E125))</f>
        <v/>
      </c>
      <c r="G125" s="209" t="n"/>
      <c r="H125" s="209" t="n"/>
      <c r="I125" s="209" t="n"/>
      <c r="J125" s="209" t="n"/>
      <c r="K125" s="209" t="n"/>
      <c r="L125" s="209" t="n"/>
      <c r="M125" s="209" t="n"/>
      <c r="N125" s="209" t="n"/>
      <c r="O125" s="209" t="n"/>
      <c r="P125" s="209" t="n"/>
      <c r="Q125" s="209" t="n"/>
      <c r="R125" s="209" t="n"/>
      <c r="S125" s="212" t="n"/>
      <c r="T125" s="212" t="n"/>
      <c r="U125" s="212" t="n"/>
      <c r="V125" s="212" t="n"/>
      <c r="W125" s="212" t="n"/>
      <c r="X125" s="212" t="n"/>
      <c r="Y125" s="212" t="n"/>
      <c r="Z125" s="212" t="n"/>
      <c r="AA125" s="212" t="n"/>
      <c r="AB125" s="212" t="n"/>
      <c r="AC125" s="212" t="n"/>
      <c r="AD125" s="212" t="n"/>
      <c r="AE125" s="212" t="n"/>
      <c r="AF125" s="212" t="n"/>
      <c r="AG125" s="212" t="n"/>
      <c r="AH125" s="212" t="n"/>
      <c r="AI125" s="212" t="n"/>
      <c r="AJ125" s="212" t="n"/>
      <c r="AK125" s="212" t="n"/>
      <c r="AL125" s="212" t="n"/>
      <c r="AM125" s="212" t="n"/>
      <c r="AN125" s="212" t="n"/>
      <c r="AO125" s="212" t="n"/>
      <c r="AP125" s="212" t="n"/>
      <c r="AQ125" s="212" t="n"/>
      <c r="AR125" s="212" t="n"/>
      <c r="AS125" s="212" t="n"/>
      <c r="AT125" s="212" t="n"/>
      <c r="AU125" s="212" t="n"/>
      <c r="AV125" s="212" t="n"/>
      <c r="AW125" s="212" t="n"/>
      <c r="AX125" s="212" t="n"/>
      <c r="AY125" s="212" t="n"/>
      <c r="AZ125" s="212" t="n"/>
      <c r="BA125" s="212" t="n"/>
      <c r="BB125" s="212" t="n"/>
      <c r="BC125" s="212" t="n"/>
      <c r="BD125" s="212" t="n"/>
      <c r="BE125" s="212" t="n"/>
      <c r="BF125" s="212" t="n"/>
      <c r="BG125" s="212" t="n"/>
      <c r="BH125" s="212" t="n"/>
      <c r="BI125" s="212" t="n"/>
      <c r="BJ125" s="212" t="n"/>
      <c r="BK125" s="212" t="n"/>
      <c r="BL125" s="212" t="n"/>
      <c r="BM125" s="212" t="n"/>
      <c r="BN125" s="212" t="n"/>
      <c r="BO125" s="212" t="n"/>
      <c r="BP125" s="212" t="n"/>
      <c r="BQ125" s="212" t="n"/>
      <c r="BR125" s="212" t="n"/>
      <c r="BS125" s="212" t="n"/>
      <c r="BT125" s="212" t="n"/>
      <c r="BU125" s="212" t="n"/>
      <c r="BV125" s="212" t="n"/>
      <c r="BW125" s="212" t="n"/>
      <c r="BX125" s="212" t="n"/>
      <c r="BY125" s="212" t="n"/>
      <c r="BZ125" s="212" t="n"/>
      <c r="CA125" s="212" t="n"/>
      <c r="CB125" s="212" t="n"/>
      <c r="CC125" s="212" t="n"/>
      <c r="CD125" s="212" t="n"/>
      <c r="CE125" s="212" t="n"/>
      <c r="CF125" s="212" t="n"/>
      <c r="CG125" s="212" t="n"/>
      <c r="CH125" s="212" t="n"/>
      <c r="CI125" s="212" t="n"/>
      <c r="CJ125" s="212" t="n"/>
      <c r="CK125" s="212" t="n"/>
      <c r="CL125" s="212" t="n"/>
      <c r="CM125" s="212" t="n"/>
      <c r="CN125" s="212" t="n"/>
      <c r="CO125" s="212" t="n"/>
      <c r="CP125" s="212" t="n"/>
      <c r="CQ125" s="212" t="n"/>
      <c r="CR125" s="212" t="n"/>
      <c r="CS125" s="212" t="n"/>
      <c r="CT125" s="212" t="n"/>
      <c r="CU125" s="212" t="n"/>
      <c r="CV125" s="212" t="n"/>
      <c r="CW125" s="212" t="n"/>
      <c r="CX125" s="212" t="n"/>
      <c r="CY125" s="212" t="n"/>
      <c r="CZ125" s="212" t="n"/>
      <c r="DA125" s="212" t="n"/>
      <c r="DB125" s="212" t="n"/>
      <c r="DC125" s="212" t="n"/>
      <c r="DD125" s="212" t="n"/>
      <c r="DE125" s="212" t="n"/>
      <c r="DF125" s="212" t="n"/>
      <c r="DG125" s="212" t="n"/>
      <c r="DH125" s="212" t="n"/>
      <c r="DI125" s="212" t="n"/>
      <c r="DJ125" s="212" t="n"/>
      <c r="DK125" s="212" t="n"/>
      <c r="DL125" s="212" t="n"/>
      <c r="DM125" s="212" t="n"/>
      <c r="DN125" s="212" t="n"/>
      <c r="DO125" s="212" t="n"/>
      <c r="DP125" s="212" t="n"/>
      <c r="DQ125" s="212" t="n"/>
      <c r="DR125" s="212" t="n"/>
      <c r="DS125" s="212" t="n"/>
      <c r="DT125" s="212" t="n"/>
      <c r="DU125" s="212" t="n"/>
      <c r="DV125" s="212" t="n"/>
      <c r="DW125" s="212" t="n"/>
      <c r="DX125" s="212" t="n"/>
      <c r="DY125" s="212" t="n"/>
      <c r="DZ125" s="212" t="n"/>
      <c r="EA125" s="212" t="n"/>
      <c r="EB125" s="212" t="n"/>
      <c r="EC125" s="212" t="n"/>
      <c r="ED125" s="212" t="n"/>
      <c r="EE125" s="212" t="n"/>
      <c r="EF125" s="212" t="n"/>
      <c r="EG125" s="212" t="n"/>
      <c r="EH125" s="212" t="n"/>
      <c r="EI125" s="212" t="n"/>
      <c r="EJ125" s="212" t="n"/>
      <c r="EK125" s="212" t="n"/>
      <c r="EL125" s="212" t="n"/>
      <c r="EM125" s="212" t="n"/>
      <c r="EN125" s="212" t="n"/>
      <c r="EO125" s="212" t="n"/>
      <c r="EP125" s="212" t="n"/>
      <c r="EQ125" s="212" t="n"/>
      <c r="ER125" s="212" t="n"/>
      <c r="ES125" s="212" t="n"/>
      <c r="ET125" s="212" t="n"/>
      <c r="EU125" s="212" t="n"/>
      <c r="EV125" s="212" t="n"/>
      <c r="EW125" s="212" t="n"/>
      <c r="EX125" s="212" t="n"/>
      <c r="EY125" s="212" t="n"/>
      <c r="EZ125" s="212" t="n"/>
      <c r="FA125" s="212" t="n"/>
      <c r="FB125" s="212" t="n"/>
      <c r="FC125" s="212" t="n"/>
      <c r="FD125" s="212" t="n"/>
      <c r="FE125" s="212" t="n"/>
      <c r="FF125" s="212" t="n"/>
      <c r="FG125" s="212" t="n"/>
      <c r="FH125" s="212" t="n"/>
      <c r="FI125" s="212" t="n"/>
      <c r="FJ125" s="212" t="n"/>
      <c r="FK125" s="212" t="n"/>
      <c r="FL125" s="212" t="n"/>
      <c r="FM125" s="212" t="n"/>
      <c r="FN125" s="212" t="n"/>
      <c r="FO125" s="212" t="n"/>
      <c r="FP125" s="212" t="n"/>
      <c r="FQ125" s="212" t="n"/>
      <c r="FR125" s="212" t="n"/>
      <c r="FS125" s="212" t="n"/>
      <c r="FT125" s="212" t="n"/>
      <c r="FU125" s="212" t="n"/>
      <c r="FV125" s="212" t="n"/>
      <c r="FW125" s="212" t="n"/>
      <c r="FX125" s="212" t="n"/>
      <c r="FY125" s="212" t="n"/>
      <c r="FZ125" s="212" t="n"/>
      <c r="GA125" s="212" t="n"/>
      <c r="GB125" s="212" t="n"/>
      <c r="GC125" s="212" t="n"/>
      <c r="GD125" s="212" t="n"/>
      <c r="GE125" s="212" t="n"/>
      <c r="GF125" s="212" t="n"/>
      <c r="GG125" s="212" t="n"/>
      <c r="GH125" s="212" t="n"/>
      <c r="GI125" s="212" t="n"/>
      <c r="GJ125" s="212" t="n"/>
      <c r="GK125" s="212" t="n"/>
      <c r="GL125" s="212" t="n"/>
      <c r="GM125" s="212" t="n"/>
      <c r="GN125" s="212" t="n"/>
      <c r="GO125" s="212" t="n"/>
      <c r="GP125" s="212" t="n"/>
      <c r="GQ125" s="212" t="n"/>
      <c r="GR125" s="212" t="n"/>
      <c r="GS125" s="212" t="n"/>
      <c r="GT125" s="212" t="n"/>
      <c r="GU125" s="212" t="n"/>
      <c r="GV125" s="212" t="n"/>
      <c r="GW125" s="212" t="n"/>
      <c r="GX125" s="212" t="n"/>
      <c r="GY125" s="212" t="n"/>
      <c r="GZ125" s="212" t="n"/>
      <c r="HA125" s="212" t="n"/>
      <c r="HB125" s="212" t="n"/>
      <c r="HC125" s="212" t="n"/>
      <c r="HD125" s="212" t="n"/>
      <c r="HE125" s="212" t="n"/>
      <c r="HF125" s="212" t="n"/>
      <c r="HG125" s="212" t="n"/>
      <c r="HH125" s="212" t="n"/>
      <c r="HI125" s="212" t="n"/>
      <c r="HJ125" s="212" t="n"/>
      <c r="HK125" s="212" t="n"/>
      <c r="HL125" s="212" t="n"/>
      <c r="HM125" s="212" t="n"/>
      <c r="HN125" s="212" t="n"/>
      <c r="HO125" s="212" t="n"/>
      <c r="HP125" s="212" t="n"/>
      <c r="HQ125" s="212" t="n"/>
      <c r="HR125" s="212" t="n"/>
      <c r="HS125" s="212" t="n"/>
      <c r="HT125" s="212" t="n"/>
      <c r="HU125" s="212" t="n"/>
      <c r="HV125" s="212" t="n"/>
      <c r="HW125" s="212" t="n"/>
      <c r="HX125" s="212" t="n"/>
      <c r="HY125" s="212" t="n"/>
      <c r="HZ125" s="212" t="n"/>
      <c r="IA125" s="212" t="n"/>
      <c r="IB125" s="212" t="n"/>
      <c r="IC125" s="212" t="n"/>
      <c r="ID125" s="212" t="n"/>
      <c r="IE125" s="212" t="n"/>
      <c r="IF125" s="212" t="n"/>
      <c r="IG125" s="212" t="n"/>
      <c r="IH125" s="212" t="n"/>
      <c r="II125" s="212" t="n"/>
      <c r="IJ125" s="212" t="n"/>
      <c r="IK125" s="212" t="n"/>
      <c r="IL125" s="212" t="n"/>
      <c r="IM125" s="212" t="n"/>
      <c r="IN125" s="212" t="n"/>
      <c r="IO125" s="212" t="n"/>
      <c r="IP125" s="212" t="n"/>
      <c r="IQ125" s="212" t="n"/>
      <c r="IR125" s="212" t="n"/>
      <c r="IS125" s="212" t="n"/>
      <c r="IT125" s="212" t="n"/>
      <c r="IU125" s="212" t="n"/>
      <c r="IV125" s="212" t="n"/>
      <c r="IW125" s="212" t="n"/>
      <c r="IX125" s="212" t="n"/>
      <c r="IY125" s="212" t="n"/>
      <c r="IZ125" s="212" t="n"/>
      <c r="JA125" s="212" t="n"/>
      <c r="JB125" s="212" t="n"/>
      <c r="JC125" s="212" t="n"/>
      <c r="JD125" s="212" t="n"/>
      <c r="JE125" s="212" t="n"/>
      <c r="JF125" s="212" t="n"/>
      <c r="JG125" s="212" t="n"/>
      <c r="JH125" s="212" t="n"/>
      <c r="JI125" s="212" t="n"/>
      <c r="JJ125" s="212" t="n"/>
      <c r="JK125" s="212" t="n"/>
      <c r="JL125" s="212" t="n"/>
      <c r="JM125" s="212" t="n"/>
      <c r="JN125" s="212" t="n"/>
      <c r="JO125" s="212" t="n"/>
      <c r="JP125" s="212" t="n"/>
      <c r="JQ125" s="212" t="n"/>
      <c r="JR125" s="212" t="n"/>
      <c r="JS125" s="212" t="n"/>
      <c r="JT125" s="212" t="n"/>
      <c r="JU125" s="212" t="n"/>
      <c r="JV125" s="212" t="n"/>
      <c r="JW125" s="212" t="n"/>
      <c r="JX125" s="212" t="n"/>
      <c r="JY125" s="212" t="n"/>
      <c r="JZ125" s="212" t="n"/>
      <c r="KA125" s="212" t="n"/>
      <c r="KB125" s="212" t="n"/>
      <c r="KC125" s="212" t="n"/>
      <c r="KD125" s="212" t="n"/>
      <c r="KE125" s="212" t="n"/>
      <c r="KF125" s="212" t="n"/>
      <c r="KG125" s="212" t="n"/>
      <c r="KH125" s="212" t="n"/>
      <c r="KI125" s="212" t="n"/>
      <c r="KJ125" s="212" t="n"/>
      <c r="KK125" s="212" t="n"/>
      <c r="KL125" s="212" t="n"/>
      <c r="KM125" s="212" t="n"/>
      <c r="KN125" s="212" t="n"/>
      <c r="KO125" s="212" t="n"/>
      <c r="KP125" s="212" t="n"/>
      <c r="KQ125" s="212" t="n"/>
      <c r="KR125" s="212" t="n"/>
      <c r="KS125" s="212" t="n"/>
      <c r="KT125" s="212" t="n"/>
      <c r="KU125" s="212" t="n"/>
      <c r="KV125" s="212" t="n"/>
      <c r="KW125" s="212" t="n"/>
      <c r="KX125" s="212" t="n"/>
      <c r="KY125" s="212" t="n"/>
      <c r="KZ125" s="212" t="n"/>
      <c r="LA125" s="212" t="n"/>
      <c r="LB125" s="212" t="n"/>
      <c r="LC125" s="212" t="n"/>
      <c r="LD125" s="212" t="n"/>
      <c r="LE125" s="212" t="n"/>
      <c r="LF125" s="212" t="n"/>
      <c r="LG125" s="212" t="n"/>
      <c r="LH125" s="212" t="n"/>
      <c r="LI125" s="212" t="n"/>
      <c r="LJ125" s="212" t="n"/>
      <c r="LK125" s="212" t="n"/>
      <c r="LL125" s="212" t="n"/>
      <c r="LM125" s="212" t="n"/>
      <c r="LN125" s="212" t="n"/>
      <c r="LO125" s="212" t="n"/>
      <c r="LP125" s="212" t="n"/>
      <c r="LQ125" s="212" t="n"/>
      <c r="LR125" s="212" t="n"/>
      <c r="LS125" s="212" t="n"/>
      <c r="LT125" s="212" t="n"/>
      <c r="LU125" s="212" t="n"/>
      <c r="LV125" s="212" t="n"/>
      <c r="LW125" s="212" t="n"/>
      <c r="LX125" s="212" t="n"/>
      <c r="LY125" s="212" t="n"/>
      <c r="LZ125" s="212" t="n"/>
      <c r="MA125" s="212" t="n"/>
      <c r="MB125" s="212" t="n"/>
      <c r="MC125" s="212" t="n"/>
      <c r="MD125" s="212" t="n"/>
      <c r="ME125" s="212" t="n"/>
      <c r="MF125" s="212" t="n"/>
      <c r="MG125" s="212" t="n"/>
      <c r="MH125" s="212" t="n"/>
      <c r="MI125" s="212" t="n"/>
      <c r="MJ125" s="212" t="n"/>
      <c r="MK125" s="212" t="n"/>
      <c r="ML125" s="212" t="n"/>
      <c r="MM125" s="212" t="n"/>
      <c r="MN125" s="212" t="n"/>
      <c r="MO125" s="212" t="n"/>
      <c r="MP125" s="212" t="n"/>
      <c r="MQ125" s="212" t="n"/>
      <c r="MR125" s="212" t="n"/>
      <c r="MS125" s="212" t="n"/>
      <c r="MT125" s="212" t="n"/>
      <c r="MU125" s="212" t="n"/>
      <c r="MV125" s="212" t="n"/>
      <c r="MW125" s="212" t="n"/>
      <c r="MX125" s="212" t="n"/>
      <c r="MY125" s="212" t="n"/>
      <c r="MZ125" s="212" t="n"/>
      <c r="NA125" s="212" t="n"/>
      <c r="NB125" s="212" t="n"/>
      <c r="NC125" s="212" t="n"/>
      <c r="ND125" s="212" t="n"/>
      <c r="NE125" s="212" t="n"/>
      <c r="NF125" s="212" t="n"/>
      <c r="NG125" s="212" t="n"/>
      <c r="NH125" s="212" t="n"/>
      <c r="NI125" s="212" t="n"/>
      <c r="NJ125" s="212" t="n"/>
      <c r="NK125" s="212" t="n"/>
      <c r="NL125" s="212" t="n"/>
      <c r="NM125" s="212" t="n"/>
      <c r="NN125" s="212" t="n"/>
      <c r="NO125" s="212" t="n"/>
      <c r="NP125" s="212" t="n"/>
      <c r="NQ125" s="212" t="n"/>
      <c r="NR125" s="212" t="n"/>
      <c r="NS125" s="212" t="n"/>
      <c r="NT125" s="212" t="n"/>
      <c r="NU125" s="212" t="n"/>
      <c r="NV125" s="212" t="n"/>
      <c r="NW125" s="212" t="n"/>
      <c r="NX125" s="212" t="n"/>
      <c r="NY125" s="212" t="n"/>
      <c r="NZ125" s="212" t="n"/>
      <c r="OA125" s="212" t="n"/>
      <c r="OB125" s="212" t="n"/>
      <c r="OC125" s="212" t="n"/>
      <c r="OD125" s="212" t="n"/>
      <c r="OE125" s="212" t="n"/>
      <c r="OF125" s="212" t="n"/>
      <c r="OG125" s="212" t="n"/>
      <c r="OH125" s="212" t="n"/>
      <c r="OI125" s="212" t="n"/>
      <c r="OJ125" s="212" t="n"/>
      <c r="OK125" s="212" t="n"/>
      <c r="OL125" s="212" t="n"/>
      <c r="OM125" s="212" t="n"/>
      <c r="ON125" s="212" t="n"/>
      <c r="OO125" s="212" t="n"/>
      <c r="OP125" s="212" t="n"/>
      <c r="OQ125" s="212" t="n"/>
      <c r="OR125" s="212" t="n"/>
      <c r="OS125" s="212" t="n"/>
      <c r="OT125" s="212" t="n"/>
      <c r="OU125" s="212" t="n"/>
      <c r="OV125" s="212" t="n"/>
      <c r="OW125" s="212" t="n"/>
      <c r="OX125" s="212" t="n"/>
      <c r="OY125" s="212" t="n"/>
      <c r="OZ125" s="212" t="n"/>
      <c r="PA125" s="212" t="n"/>
      <c r="PB125" s="212" t="n"/>
      <c r="PC125" s="212" t="n"/>
      <c r="PD125" s="212" t="n"/>
      <c r="PE125" s="212" t="n"/>
      <c r="PF125" s="212" t="n"/>
      <c r="PG125" s="212" t="n"/>
      <c r="PH125" s="212" t="n"/>
      <c r="PI125" s="212" t="n"/>
      <c r="PJ125" s="212" t="n"/>
      <c r="PK125" s="212" t="n"/>
      <c r="PL125" s="212" t="n"/>
      <c r="PM125" s="212" t="n"/>
      <c r="PN125" s="212" t="n"/>
      <c r="PO125" s="212" t="n"/>
      <c r="PP125" s="212" t="n"/>
      <c r="PQ125" s="212" t="n"/>
      <c r="PR125" s="212" t="n"/>
      <c r="PS125" s="212" t="n"/>
      <c r="PT125" s="212" t="n"/>
      <c r="PU125" s="212" t="n"/>
      <c r="PV125" s="212" t="n"/>
      <c r="PW125" s="212" t="n"/>
      <c r="PX125" s="212" t="n"/>
      <c r="PY125" s="212" t="n"/>
      <c r="PZ125" s="212" t="n"/>
      <c r="QA125" s="212" t="n"/>
      <c r="QB125" s="212" t="n"/>
      <c r="QC125" s="212" t="n"/>
      <c r="QD125" s="212" t="n"/>
      <c r="QE125" s="212" t="n"/>
      <c r="QF125" s="212" t="n"/>
      <c r="QG125" s="212" t="n"/>
      <c r="QH125" s="212" t="n"/>
      <c r="QI125" s="212" t="n"/>
      <c r="QJ125" s="212" t="n"/>
      <c r="QK125" s="212" t="n"/>
      <c r="QL125" s="212" t="n"/>
      <c r="QM125" s="212" t="n"/>
      <c r="QN125" s="212" t="n"/>
      <c r="QO125" s="212" t="n"/>
      <c r="QP125" s="212" t="n"/>
      <c r="QQ125" s="212" t="n"/>
      <c r="QR125" s="212" t="n"/>
      <c r="QS125" s="212" t="n"/>
      <c r="QT125" s="212" t="n"/>
      <c r="QU125" s="212" t="n"/>
      <c r="QV125" s="212" t="n"/>
      <c r="QW125" s="212" t="n"/>
      <c r="QX125" s="212" t="n"/>
      <c r="QY125" s="212" t="n"/>
      <c r="QZ125" s="212" t="n"/>
      <c r="RA125" s="212" t="n"/>
      <c r="RB125" s="212" t="n"/>
      <c r="RC125" s="212" t="n"/>
      <c r="RD125" s="212" t="n"/>
      <c r="RE125" s="212" t="n"/>
      <c r="RF125" s="212" t="n"/>
      <c r="RG125" s="212" t="n"/>
      <c r="RH125" s="212" t="n"/>
      <c r="RI125" s="212" t="n"/>
      <c r="RJ125" s="212" t="n"/>
      <c r="RK125" s="212" t="n"/>
      <c r="RL125" s="212" t="n"/>
      <c r="RM125" s="212" t="n"/>
      <c r="RN125" s="212" t="n"/>
      <c r="RO125" s="212" t="n"/>
      <c r="RP125" s="212" t="n"/>
      <c r="RQ125" s="212" t="n"/>
      <c r="RR125" s="212" t="n"/>
      <c r="RS125" s="212" t="n"/>
      <c r="RT125" s="212" t="n"/>
      <c r="RU125" s="212" t="n"/>
      <c r="RV125" s="212" t="n"/>
      <c r="RW125" s="212" t="n"/>
      <c r="RX125" s="212" t="n"/>
      <c r="RY125" s="212" t="n"/>
      <c r="RZ125" s="212" t="n"/>
      <c r="SA125" s="212" t="n"/>
      <c r="SB125" s="212" t="n"/>
      <c r="SC125" s="212" t="n"/>
      <c r="SD125" s="212" t="n"/>
      <c r="SE125" s="212" t="n"/>
      <c r="SF125" s="212" t="n"/>
      <c r="SG125" s="212" t="n"/>
      <c r="SH125" s="212" t="n"/>
      <c r="SI125" s="212" t="n"/>
      <c r="SJ125" s="212" t="n"/>
      <c r="SK125" s="212" t="n"/>
      <c r="SL125" s="212" t="n"/>
      <c r="SM125" s="212" t="n"/>
      <c r="SN125" s="212" t="n"/>
      <c r="SO125" s="212" t="n"/>
      <c r="SP125" s="212" t="n"/>
      <c r="SQ125" s="212" t="n"/>
      <c r="SR125" s="212" t="n"/>
      <c r="SS125" s="212" t="n"/>
      <c r="ST125" s="212" t="n"/>
      <c r="SU125" s="212" t="n"/>
      <c r="SV125" s="212" t="n"/>
    </row>
    <row r="126">
      <c r="B126" s="209" t="n"/>
      <c r="C126" s="209" t="n"/>
      <c r="D126" s="209" t="n"/>
      <c r="E126" s="209" t="n"/>
      <c r="F126" s="209">
        <f>IF(TRIM(D126&amp;E126)="","",TRIM(D126)&amp;" "&amp;TRIM(E126))</f>
        <v/>
      </c>
      <c r="G126" s="209" t="n"/>
      <c r="H126" s="209" t="n"/>
      <c r="I126" s="209" t="n"/>
      <c r="J126" s="209" t="n"/>
      <c r="K126" s="209" t="n"/>
      <c r="L126" s="209" t="n"/>
      <c r="M126" s="209" t="n"/>
      <c r="N126" s="209" t="n"/>
      <c r="O126" s="209" t="n"/>
      <c r="P126" s="209" t="n"/>
      <c r="Q126" s="209" t="n"/>
      <c r="R126" s="209" t="n"/>
      <c r="S126" s="212" t="n"/>
      <c r="T126" s="212" t="n"/>
      <c r="U126" s="212" t="n"/>
      <c r="V126" s="212" t="n"/>
      <c r="W126" s="212" t="n"/>
      <c r="X126" s="212" t="n"/>
      <c r="Y126" s="212" t="n"/>
      <c r="Z126" s="212" t="n"/>
      <c r="AA126" s="212" t="n"/>
      <c r="AB126" s="212" t="n"/>
      <c r="AC126" s="212" t="n"/>
      <c r="AD126" s="212" t="n"/>
      <c r="AE126" s="212" t="n"/>
      <c r="AF126" s="212" t="n"/>
      <c r="AG126" s="212" t="n"/>
      <c r="AH126" s="212" t="n"/>
      <c r="AI126" s="212" t="n"/>
      <c r="AJ126" s="212" t="n"/>
      <c r="AK126" s="212" t="n"/>
      <c r="AL126" s="212" t="n"/>
      <c r="AM126" s="212" t="n"/>
      <c r="AN126" s="212" t="n"/>
      <c r="AO126" s="212" t="n"/>
      <c r="AP126" s="212" t="n"/>
      <c r="AQ126" s="212" t="n"/>
      <c r="AR126" s="212" t="n"/>
      <c r="AS126" s="212" t="n"/>
      <c r="AT126" s="212" t="n"/>
      <c r="AU126" s="212" t="n"/>
      <c r="AV126" s="212" t="n"/>
      <c r="AW126" s="212" t="n"/>
      <c r="AX126" s="212" t="n"/>
      <c r="AY126" s="212" t="n"/>
      <c r="AZ126" s="212" t="n"/>
      <c r="BA126" s="212" t="n"/>
      <c r="BB126" s="212" t="n"/>
      <c r="BC126" s="212" t="n"/>
      <c r="BD126" s="212" t="n"/>
      <c r="BE126" s="212" t="n"/>
      <c r="BF126" s="212" t="n"/>
      <c r="BG126" s="212" t="n"/>
      <c r="BH126" s="212" t="n"/>
      <c r="BI126" s="212" t="n"/>
      <c r="BJ126" s="212" t="n"/>
      <c r="BK126" s="212" t="n"/>
      <c r="BL126" s="212" t="n"/>
      <c r="BM126" s="212" t="n"/>
      <c r="BN126" s="212" t="n"/>
      <c r="BO126" s="212" t="n"/>
      <c r="BP126" s="212" t="n"/>
      <c r="BQ126" s="212" t="n"/>
      <c r="BR126" s="212" t="n"/>
      <c r="BS126" s="212" t="n"/>
      <c r="BT126" s="212" t="n"/>
      <c r="BU126" s="212" t="n"/>
      <c r="BV126" s="212" t="n"/>
      <c r="BW126" s="212" t="n"/>
      <c r="BX126" s="212" t="n"/>
      <c r="BY126" s="212" t="n"/>
      <c r="BZ126" s="212" t="n"/>
      <c r="CA126" s="212" t="n"/>
      <c r="CB126" s="212" t="n"/>
      <c r="CC126" s="212" t="n"/>
      <c r="CD126" s="212" t="n"/>
      <c r="CE126" s="212" t="n"/>
      <c r="CF126" s="212" t="n"/>
      <c r="CG126" s="212" t="n"/>
      <c r="CH126" s="212" t="n"/>
      <c r="CI126" s="212" t="n"/>
      <c r="CJ126" s="212" t="n"/>
      <c r="CK126" s="212" t="n"/>
      <c r="CL126" s="212" t="n"/>
      <c r="CM126" s="212" t="n"/>
      <c r="CN126" s="212" t="n"/>
      <c r="CO126" s="212" t="n"/>
      <c r="CP126" s="212" t="n"/>
      <c r="CQ126" s="212" t="n"/>
      <c r="CR126" s="212" t="n"/>
      <c r="CS126" s="212" t="n"/>
      <c r="CT126" s="212" t="n"/>
      <c r="CU126" s="212" t="n"/>
      <c r="CV126" s="212" t="n"/>
      <c r="CW126" s="212" t="n"/>
      <c r="CX126" s="212" t="n"/>
      <c r="CY126" s="212" t="n"/>
      <c r="CZ126" s="212" t="n"/>
      <c r="DA126" s="212" t="n"/>
      <c r="DB126" s="212" t="n"/>
      <c r="DC126" s="212" t="n"/>
      <c r="DD126" s="212" t="n"/>
      <c r="DE126" s="212" t="n"/>
      <c r="DF126" s="212" t="n"/>
      <c r="DG126" s="212" t="n"/>
      <c r="DH126" s="212" t="n"/>
      <c r="DI126" s="212" t="n"/>
      <c r="DJ126" s="212" t="n"/>
      <c r="DK126" s="212" t="n"/>
      <c r="DL126" s="212" t="n"/>
      <c r="DM126" s="212" t="n"/>
      <c r="DN126" s="212" t="n"/>
      <c r="DO126" s="212" t="n"/>
      <c r="DP126" s="212" t="n"/>
      <c r="DQ126" s="212" t="n"/>
      <c r="DR126" s="212" t="n"/>
      <c r="DS126" s="212" t="n"/>
      <c r="DT126" s="212" t="n"/>
      <c r="DU126" s="212" t="n"/>
      <c r="DV126" s="212" t="n"/>
      <c r="DW126" s="212" t="n"/>
      <c r="DX126" s="212" t="n"/>
      <c r="DY126" s="212" t="n"/>
      <c r="DZ126" s="212" t="n"/>
      <c r="EA126" s="212" t="n"/>
      <c r="EB126" s="212" t="n"/>
      <c r="EC126" s="212" t="n"/>
      <c r="ED126" s="212" t="n"/>
      <c r="EE126" s="212" t="n"/>
      <c r="EF126" s="212" t="n"/>
      <c r="EG126" s="212" t="n"/>
      <c r="EH126" s="212" t="n"/>
      <c r="EI126" s="212" t="n"/>
      <c r="EJ126" s="212" t="n"/>
      <c r="EK126" s="212" t="n"/>
      <c r="EL126" s="212" t="n"/>
      <c r="EM126" s="212" t="n"/>
      <c r="EN126" s="212" t="n"/>
      <c r="EO126" s="212" t="n"/>
      <c r="EP126" s="212" t="n"/>
      <c r="EQ126" s="212" t="n"/>
      <c r="ER126" s="212" t="n"/>
      <c r="ES126" s="212" t="n"/>
      <c r="ET126" s="212" t="n"/>
      <c r="EU126" s="212" t="n"/>
      <c r="EV126" s="212" t="n"/>
      <c r="EW126" s="212" t="n"/>
      <c r="EX126" s="212" t="n"/>
      <c r="EY126" s="212" t="n"/>
      <c r="EZ126" s="212" t="n"/>
      <c r="FA126" s="212" t="n"/>
      <c r="FB126" s="212" t="n"/>
      <c r="FC126" s="212" t="n"/>
      <c r="FD126" s="212" t="n"/>
      <c r="FE126" s="212" t="n"/>
      <c r="FF126" s="212" t="n"/>
      <c r="FG126" s="212" t="n"/>
      <c r="FH126" s="212" t="n"/>
      <c r="FI126" s="212" t="n"/>
      <c r="FJ126" s="212" t="n"/>
      <c r="FK126" s="212" t="n"/>
      <c r="FL126" s="212" t="n"/>
      <c r="FM126" s="212" t="n"/>
      <c r="FN126" s="212" t="n"/>
      <c r="FO126" s="212" t="n"/>
      <c r="FP126" s="212" t="n"/>
      <c r="FQ126" s="212" t="n"/>
      <c r="FR126" s="212" t="n"/>
      <c r="FS126" s="212" t="n"/>
      <c r="FT126" s="212" t="n"/>
      <c r="FU126" s="212" t="n"/>
      <c r="FV126" s="212" t="n"/>
      <c r="FW126" s="212" t="n"/>
      <c r="FX126" s="212" t="n"/>
      <c r="FY126" s="212" t="n"/>
      <c r="FZ126" s="212" t="n"/>
      <c r="GA126" s="212" t="n"/>
      <c r="GB126" s="212" t="n"/>
      <c r="GC126" s="212" t="n"/>
      <c r="GD126" s="212" t="n"/>
      <c r="GE126" s="212" t="n"/>
      <c r="GF126" s="212" t="n"/>
      <c r="GG126" s="212" t="n"/>
      <c r="GH126" s="212" t="n"/>
      <c r="GI126" s="212" t="n"/>
      <c r="GJ126" s="212" t="n"/>
      <c r="GK126" s="212" t="n"/>
      <c r="GL126" s="212" t="n"/>
      <c r="GM126" s="212" t="n"/>
      <c r="GN126" s="212" t="n"/>
      <c r="GO126" s="212" t="n"/>
      <c r="GP126" s="212" t="n"/>
      <c r="GQ126" s="212" t="n"/>
      <c r="GR126" s="212" t="n"/>
      <c r="GS126" s="212" t="n"/>
      <c r="GT126" s="212" t="n"/>
      <c r="GU126" s="212" t="n"/>
      <c r="GV126" s="212" t="n"/>
      <c r="GW126" s="212" t="n"/>
      <c r="GX126" s="212" t="n"/>
      <c r="GY126" s="212" t="n"/>
      <c r="GZ126" s="212" t="n"/>
      <c r="HA126" s="212" t="n"/>
      <c r="HB126" s="212" t="n"/>
      <c r="HC126" s="212" t="n"/>
      <c r="HD126" s="212" t="n"/>
      <c r="HE126" s="212" t="n"/>
      <c r="HF126" s="212" t="n"/>
      <c r="HG126" s="212" t="n"/>
      <c r="HH126" s="212" t="n"/>
      <c r="HI126" s="212" t="n"/>
      <c r="HJ126" s="212" t="n"/>
      <c r="HK126" s="212" t="n"/>
      <c r="HL126" s="212" t="n"/>
      <c r="HM126" s="212" t="n"/>
      <c r="HN126" s="212" t="n"/>
      <c r="HO126" s="212" t="n"/>
      <c r="HP126" s="212" t="n"/>
      <c r="HQ126" s="212" t="n"/>
      <c r="HR126" s="212" t="n"/>
      <c r="HS126" s="212" t="n"/>
      <c r="HT126" s="212" t="n"/>
      <c r="HU126" s="212" t="n"/>
      <c r="HV126" s="212" t="n"/>
      <c r="HW126" s="212" t="n"/>
      <c r="HX126" s="212" t="n"/>
      <c r="HY126" s="212" t="n"/>
      <c r="HZ126" s="212" t="n"/>
      <c r="IA126" s="212" t="n"/>
      <c r="IB126" s="212" t="n"/>
      <c r="IC126" s="212" t="n"/>
      <c r="ID126" s="212" t="n"/>
      <c r="IE126" s="212" t="n"/>
      <c r="IF126" s="212" t="n"/>
      <c r="IG126" s="212" t="n"/>
      <c r="IH126" s="212" t="n"/>
      <c r="II126" s="212" t="n"/>
      <c r="IJ126" s="212" t="n"/>
      <c r="IK126" s="212" t="n"/>
      <c r="IL126" s="212" t="n"/>
      <c r="IM126" s="212" t="n"/>
      <c r="IN126" s="212" t="n"/>
      <c r="IO126" s="212" t="n"/>
      <c r="IP126" s="212" t="n"/>
      <c r="IQ126" s="212" t="n"/>
      <c r="IR126" s="212" t="n"/>
      <c r="IS126" s="212" t="n"/>
      <c r="IT126" s="212" t="n"/>
      <c r="IU126" s="212" t="n"/>
      <c r="IV126" s="212" t="n"/>
      <c r="IW126" s="212" t="n"/>
      <c r="IX126" s="212" t="n"/>
      <c r="IY126" s="212" t="n"/>
      <c r="IZ126" s="212" t="n"/>
      <c r="JA126" s="212" t="n"/>
      <c r="JB126" s="212" t="n"/>
      <c r="JC126" s="212" t="n"/>
      <c r="JD126" s="212" t="n"/>
      <c r="JE126" s="212" t="n"/>
      <c r="JF126" s="212" t="n"/>
      <c r="JG126" s="212" t="n"/>
      <c r="JH126" s="212" t="n"/>
      <c r="JI126" s="212" t="n"/>
      <c r="JJ126" s="212" t="n"/>
      <c r="JK126" s="212" t="n"/>
      <c r="JL126" s="212" t="n"/>
      <c r="JM126" s="212" t="n"/>
      <c r="JN126" s="212" t="n"/>
      <c r="JO126" s="212" t="n"/>
      <c r="JP126" s="212" t="n"/>
      <c r="JQ126" s="212" t="n"/>
      <c r="JR126" s="212" t="n"/>
      <c r="JS126" s="212" t="n"/>
      <c r="JT126" s="212" t="n"/>
      <c r="JU126" s="212" t="n"/>
      <c r="JV126" s="212" t="n"/>
      <c r="JW126" s="212" t="n"/>
      <c r="JX126" s="212" t="n"/>
      <c r="JY126" s="212" t="n"/>
      <c r="JZ126" s="212" t="n"/>
      <c r="KA126" s="212" t="n"/>
      <c r="KB126" s="212" t="n"/>
      <c r="KC126" s="212" t="n"/>
      <c r="KD126" s="212" t="n"/>
      <c r="KE126" s="212" t="n"/>
      <c r="KF126" s="212" t="n"/>
      <c r="KG126" s="212" t="n"/>
      <c r="KH126" s="212" t="n"/>
      <c r="KI126" s="212" t="n"/>
      <c r="KJ126" s="212" t="n"/>
      <c r="KK126" s="212" t="n"/>
      <c r="KL126" s="212" t="n"/>
      <c r="KM126" s="212" t="n"/>
      <c r="KN126" s="212" t="n"/>
      <c r="KO126" s="212" t="n"/>
      <c r="KP126" s="212" t="n"/>
      <c r="KQ126" s="212" t="n"/>
      <c r="KR126" s="212" t="n"/>
      <c r="KS126" s="212" t="n"/>
      <c r="KT126" s="212" t="n"/>
      <c r="KU126" s="212" t="n"/>
      <c r="KV126" s="212" t="n"/>
      <c r="KW126" s="212" t="n"/>
      <c r="KX126" s="212" t="n"/>
      <c r="KY126" s="212" t="n"/>
      <c r="KZ126" s="212" t="n"/>
      <c r="LA126" s="212" t="n"/>
      <c r="LB126" s="212" t="n"/>
      <c r="LC126" s="212" t="n"/>
      <c r="LD126" s="212" t="n"/>
      <c r="LE126" s="212" t="n"/>
      <c r="LF126" s="212" t="n"/>
      <c r="LG126" s="212" t="n"/>
      <c r="LH126" s="212" t="n"/>
      <c r="LI126" s="212" t="n"/>
      <c r="LJ126" s="212" t="n"/>
      <c r="LK126" s="212" t="n"/>
      <c r="LL126" s="212" t="n"/>
      <c r="LM126" s="212" t="n"/>
      <c r="LN126" s="212" t="n"/>
      <c r="LO126" s="212" t="n"/>
      <c r="LP126" s="212" t="n"/>
      <c r="LQ126" s="212" t="n"/>
      <c r="LR126" s="212" t="n"/>
      <c r="LS126" s="212" t="n"/>
      <c r="LT126" s="212" t="n"/>
      <c r="LU126" s="212" t="n"/>
      <c r="LV126" s="212" t="n"/>
      <c r="LW126" s="212" t="n"/>
      <c r="LX126" s="212" t="n"/>
      <c r="LY126" s="212" t="n"/>
      <c r="LZ126" s="212" t="n"/>
      <c r="MA126" s="212" t="n"/>
      <c r="MB126" s="212" t="n"/>
      <c r="MC126" s="212" t="n"/>
      <c r="MD126" s="212" t="n"/>
      <c r="ME126" s="212" t="n"/>
      <c r="MF126" s="212" t="n"/>
      <c r="MG126" s="212" t="n"/>
      <c r="MH126" s="212" t="n"/>
      <c r="MI126" s="212" t="n"/>
      <c r="MJ126" s="212" t="n"/>
      <c r="MK126" s="212" t="n"/>
      <c r="ML126" s="212" t="n"/>
      <c r="MM126" s="212" t="n"/>
      <c r="MN126" s="212" t="n"/>
      <c r="MO126" s="212" t="n"/>
      <c r="MP126" s="212" t="n"/>
      <c r="MQ126" s="212" t="n"/>
      <c r="MR126" s="212" t="n"/>
      <c r="MS126" s="212" t="n"/>
      <c r="MT126" s="212" t="n"/>
      <c r="MU126" s="212" t="n"/>
      <c r="MV126" s="212" t="n"/>
      <c r="MW126" s="212" t="n"/>
      <c r="MX126" s="212" t="n"/>
      <c r="MY126" s="212" t="n"/>
      <c r="MZ126" s="212" t="n"/>
      <c r="NA126" s="212" t="n"/>
      <c r="NB126" s="212" t="n"/>
      <c r="NC126" s="212" t="n"/>
      <c r="ND126" s="212" t="n"/>
      <c r="NE126" s="212" t="n"/>
      <c r="NF126" s="212" t="n"/>
      <c r="NG126" s="212" t="n"/>
      <c r="NH126" s="212" t="n"/>
      <c r="NI126" s="212" t="n"/>
      <c r="NJ126" s="212" t="n"/>
      <c r="NK126" s="212" t="n"/>
      <c r="NL126" s="212" t="n"/>
      <c r="NM126" s="212" t="n"/>
      <c r="NN126" s="212" t="n"/>
      <c r="NO126" s="212" t="n"/>
      <c r="NP126" s="212" t="n"/>
      <c r="NQ126" s="212" t="n"/>
      <c r="NR126" s="212" t="n"/>
      <c r="NS126" s="212" t="n"/>
      <c r="NT126" s="212" t="n"/>
      <c r="NU126" s="212" t="n"/>
      <c r="NV126" s="212" t="n"/>
      <c r="NW126" s="212" t="n"/>
      <c r="NX126" s="212" t="n"/>
      <c r="NY126" s="212" t="n"/>
      <c r="NZ126" s="212" t="n"/>
      <c r="OA126" s="212" t="n"/>
      <c r="OB126" s="212" t="n"/>
      <c r="OC126" s="212" t="n"/>
      <c r="OD126" s="212" t="n"/>
      <c r="OE126" s="212" t="n"/>
      <c r="OF126" s="212" t="n"/>
      <c r="OG126" s="212" t="n"/>
      <c r="OH126" s="212" t="n"/>
      <c r="OI126" s="212" t="n"/>
      <c r="OJ126" s="212" t="n"/>
      <c r="OK126" s="212" t="n"/>
      <c r="OL126" s="212" t="n"/>
      <c r="OM126" s="212" t="n"/>
      <c r="ON126" s="212" t="n"/>
      <c r="OO126" s="212" t="n"/>
      <c r="OP126" s="212" t="n"/>
      <c r="OQ126" s="212" t="n"/>
      <c r="OR126" s="212" t="n"/>
      <c r="OS126" s="212" t="n"/>
      <c r="OT126" s="212" t="n"/>
      <c r="OU126" s="212" t="n"/>
      <c r="OV126" s="212" t="n"/>
      <c r="OW126" s="212" t="n"/>
      <c r="OX126" s="212" t="n"/>
      <c r="OY126" s="212" t="n"/>
      <c r="OZ126" s="212" t="n"/>
      <c r="PA126" s="212" t="n"/>
      <c r="PB126" s="212" t="n"/>
      <c r="PC126" s="212" t="n"/>
      <c r="PD126" s="212" t="n"/>
      <c r="PE126" s="212" t="n"/>
      <c r="PF126" s="212" t="n"/>
      <c r="PG126" s="212" t="n"/>
      <c r="PH126" s="212" t="n"/>
      <c r="PI126" s="212" t="n"/>
      <c r="PJ126" s="212" t="n"/>
      <c r="PK126" s="212" t="n"/>
      <c r="PL126" s="212" t="n"/>
      <c r="PM126" s="212" t="n"/>
      <c r="PN126" s="212" t="n"/>
      <c r="PO126" s="212" t="n"/>
      <c r="PP126" s="212" t="n"/>
      <c r="PQ126" s="212" t="n"/>
      <c r="PR126" s="212" t="n"/>
      <c r="PS126" s="212" t="n"/>
      <c r="PT126" s="212" t="n"/>
      <c r="PU126" s="212" t="n"/>
      <c r="PV126" s="212" t="n"/>
      <c r="PW126" s="212" t="n"/>
      <c r="PX126" s="212" t="n"/>
      <c r="PY126" s="212" t="n"/>
      <c r="PZ126" s="212" t="n"/>
      <c r="QA126" s="212" t="n"/>
      <c r="QB126" s="212" t="n"/>
      <c r="QC126" s="212" t="n"/>
      <c r="QD126" s="212" t="n"/>
      <c r="QE126" s="212" t="n"/>
      <c r="QF126" s="212" t="n"/>
      <c r="QG126" s="212" t="n"/>
      <c r="QH126" s="212" t="n"/>
      <c r="QI126" s="212" t="n"/>
      <c r="QJ126" s="212" t="n"/>
      <c r="QK126" s="212" t="n"/>
      <c r="QL126" s="212" t="n"/>
      <c r="QM126" s="212" t="n"/>
      <c r="QN126" s="212" t="n"/>
      <c r="QO126" s="212" t="n"/>
      <c r="QP126" s="212" t="n"/>
      <c r="QQ126" s="212" t="n"/>
      <c r="QR126" s="212" t="n"/>
      <c r="QS126" s="212" t="n"/>
      <c r="QT126" s="212" t="n"/>
      <c r="QU126" s="212" t="n"/>
      <c r="QV126" s="212" t="n"/>
      <c r="QW126" s="212" t="n"/>
      <c r="QX126" s="212" t="n"/>
      <c r="QY126" s="212" t="n"/>
      <c r="QZ126" s="212" t="n"/>
      <c r="RA126" s="212" t="n"/>
      <c r="RB126" s="212" t="n"/>
      <c r="RC126" s="212" t="n"/>
      <c r="RD126" s="212" t="n"/>
      <c r="RE126" s="212" t="n"/>
      <c r="RF126" s="212" t="n"/>
      <c r="RG126" s="212" t="n"/>
      <c r="RH126" s="212" t="n"/>
      <c r="RI126" s="212" t="n"/>
      <c r="RJ126" s="212" t="n"/>
      <c r="RK126" s="212" t="n"/>
      <c r="RL126" s="212" t="n"/>
      <c r="RM126" s="212" t="n"/>
      <c r="RN126" s="212" t="n"/>
      <c r="RO126" s="212" t="n"/>
      <c r="RP126" s="212" t="n"/>
      <c r="RQ126" s="212" t="n"/>
      <c r="RR126" s="212" t="n"/>
      <c r="RS126" s="212" t="n"/>
      <c r="RT126" s="212" t="n"/>
      <c r="RU126" s="212" t="n"/>
      <c r="RV126" s="212" t="n"/>
      <c r="RW126" s="212" t="n"/>
      <c r="RX126" s="212" t="n"/>
      <c r="RY126" s="212" t="n"/>
      <c r="RZ126" s="212" t="n"/>
      <c r="SA126" s="212" t="n"/>
      <c r="SB126" s="212" t="n"/>
      <c r="SC126" s="212" t="n"/>
      <c r="SD126" s="212" t="n"/>
      <c r="SE126" s="212" t="n"/>
      <c r="SF126" s="212" t="n"/>
      <c r="SG126" s="212" t="n"/>
      <c r="SH126" s="212" t="n"/>
      <c r="SI126" s="212" t="n"/>
      <c r="SJ126" s="212" t="n"/>
      <c r="SK126" s="212" t="n"/>
      <c r="SL126" s="212" t="n"/>
      <c r="SM126" s="212" t="n"/>
      <c r="SN126" s="212" t="n"/>
      <c r="SO126" s="212" t="n"/>
      <c r="SP126" s="212" t="n"/>
      <c r="SQ126" s="212" t="n"/>
      <c r="SR126" s="212" t="n"/>
      <c r="SS126" s="212" t="n"/>
      <c r="ST126" s="212" t="n"/>
      <c r="SU126" s="212" t="n"/>
      <c r="SV126" s="212" t="n"/>
    </row>
    <row r="127">
      <c r="B127" s="209" t="n"/>
      <c r="C127" s="209" t="n"/>
      <c r="D127" s="209" t="n"/>
      <c r="E127" s="209" t="n"/>
      <c r="F127" s="209">
        <f>IF(TRIM(D127&amp;E127)="","",TRIM(D127)&amp;" "&amp;TRIM(E127))</f>
        <v/>
      </c>
      <c r="G127" s="209" t="n"/>
      <c r="H127" s="209" t="n"/>
      <c r="I127" s="209" t="n"/>
      <c r="J127" s="209" t="n"/>
      <c r="K127" s="209" t="n"/>
      <c r="L127" s="209" t="n"/>
      <c r="M127" s="209" t="n"/>
      <c r="N127" s="209" t="n"/>
      <c r="O127" s="209" t="n"/>
      <c r="P127" s="209" t="n"/>
      <c r="Q127" s="209" t="n"/>
      <c r="R127" s="209" t="n"/>
      <c r="S127" s="212" t="n"/>
      <c r="T127" s="212" t="n"/>
      <c r="U127" s="212" t="n"/>
      <c r="V127" s="212" t="n"/>
      <c r="W127" s="212" t="n"/>
      <c r="X127" s="212" t="n"/>
      <c r="Y127" s="212" t="n"/>
      <c r="Z127" s="212" t="n"/>
      <c r="AA127" s="212" t="n"/>
      <c r="AB127" s="212" t="n"/>
      <c r="AC127" s="212" t="n"/>
      <c r="AD127" s="212" t="n"/>
      <c r="AE127" s="212" t="n"/>
      <c r="AF127" s="212" t="n"/>
      <c r="AG127" s="212" t="n"/>
      <c r="AH127" s="212" t="n"/>
      <c r="AI127" s="212" t="n"/>
      <c r="AJ127" s="212" t="n"/>
      <c r="AK127" s="212" t="n"/>
      <c r="AL127" s="212" t="n"/>
      <c r="AM127" s="212" t="n"/>
      <c r="AN127" s="212" t="n"/>
      <c r="AO127" s="212" t="n"/>
      <c r="AP127" s="212" t="n"/>
      <c r="AQ127" s="212" t="n"/>
      <c r="AR127" s="212" t="n"/>
      <c r="AS127" s="212" t="n"/>
      <c r="AT127" s="212" t="n"/>
      <c r="AU127" s="212" t="n"/>
      <c r="AV127" s="212" t="n"/>
      <c r="AW127" s="212" t="n"/>
      <c r="AX127" s="212" t="n"/>
      <c r="AY127" s="212" t="n"/>
      <c r="AZ127" s="212" t="n"/>
      <c r="BA127" s="212" t="n"/>
      <c r="BB127" s="212" t="n"/>
      <c r="BC127" s="212" t="n"/>
      <c r="BD127" s="212" t="n"/>
      <c r="BE127" s="212" t="n"/>
      <c r="BF127" s="212" t="n"/>
      <c r="BG127" s="212" t="n"/>
      <c r="BH127" s="212" t="n"/>
      <c r="BI127" s="212" t="n"/>
      <c r="BJ127" s="212" t="n"/>
      <c r="BK127" s="212" t="n"/>
      <c r="BL127" s="212" t="n"/>
      <c r="BM127" s="212" t="n"/>
      <c r="BN127" s="212" t="n"/>
      <c r="BO127" s="212" t="n"/>
      <c r="BP127" s="212" t="n"/>
      <c r="BQ127" s="212" t="n"/>
      <c r="BR127" s="212" t="n"/>
      <c r="BS127" s="212" t="n"/>
      <c r="BT127" s="212" t="n"/>
      <c r="BU127" s="212" t="n"/>
      <c r="BV127" s="212" t="n"/>
      <c r="BW127" s="212" t="n"/>
      <c r="BX127" s="212" t="n"/>
      <c r="BY127" s="212" t="n"/>
      <c r="BZ127" s="212" t="n"/>
      <c r="CA127" s="212" t="n"/>
      <c r="CB127" s="212" t="n"/>
      <c r="CC127" s="212" t="n"/>
      <c r="CD127" s="212" t="n"/>
      <c r="CE127" s="212" t="n"/>
      <c r="CF127" s="212" t="n"/>
      <c r="CG127" s="212" t="n"/>
      <c r="CH127" s="212" t="n"/>
      <c r="CI127" s="212" t="n"/>
      <c r="CJ127" s="212" t="n"/>
      <c r="CK127" s="212" t="n"/>
      <c r="CL127" s="212" t="n"/>
      <c r="CM127" s="212" t="n"/>
      <c r="CN127" s="212" t="n"/>
      <c r="CO127" s="212" t="n"/>
      <c r="CP127" s="212" t="n"/>
      <c r="CQ127" s="212" t="n"/>
      <c r="CR127" s="212" t="n"/>
      <c r="CS127" s="212" t="n"/>
      <c r="CT127" s="212" t="n"/>
      <c r="CU127" s="212" t="n"/>
      <c r="CV127" s="212" t="n"/>
      <c r="CW127" s="212" t="n"/>
      <c r="CX127" s="212" t="n"/>
      <c r="CY127" s="212" t="n"/>
      <c r="CZ127" s="212" t="n"/>
      <c r="DA127" s="212" t="n"/>
      <c r="DB127" s="212" t="n"/>
      <c r="DC127" s="212" t="n"/>
      <c r="DD127" s="212" t="n"/>
      <c r="DE127" s="212" t="n"/>
      <c r="DF127" s="212" t="n"/>
      <c r="DG127" s="212" t="n"/>
      <c r="DH127" s="212" t="n"/>
      <c r="DI127" s="212" t="n"/>
      <c r="DJ127" s="212" t="n"/>
      <c r="DK127" s="212" t="n"/>
      <c r="DL127" s="212" t="n"/>
      <c r="DM127" s="212" t="n"/>
      <c r="DN127" s="212" t="n"/>
      <c r="DO127" s="212" t="n"/>
      <c r="DP127" s="212" t="n"/>
      <c r="DQ127" s="212" t="n"/>
      <c r="DR127" s="212" t="n"/>
      <c r="DS127" s="212" t="n"/>
      <c r="DT127" s="212" t="n"/>
      <c r="DU127" s="212" t="n"/>
      <c r="DV127" s="212" t="n"/>
      <c r="DW127" s="212" t="n"/>
      <c r="DX127" s="212" t="n"/>
      <c r="DY127" s="212" t="n"/>
      <c r="DZ127" s="212" t="n"/>
      <c r="EA127" s="212" t="n"/>
      <c r="EB127" s="212" t="n"/>
      <c r="EC127" s="212" t="n"/>
      <c r="ED127" s="212" t="n"/>
      <c r="EE127" s="212" t="n"/>
      <c r="EF127" s="212" t="n"/>
      <c r="EG127" s="212" t="n"/>
      <c r="EH127" s="212" t="n"/>
      <c r="EI127" s="212" t="n"/>
      <c r="EJ127" s="212" t="n"/>
      <c r="EK127" s="212" t="n"/>
      <c r="EL127" s="212" t="n"/>
      <c r="EM127" s="212" t="n"/>
      <c r="EN127" s="212" t="n"/>
      <c r="EO127" s="212" t="n"/>
      <c r="EP127" s="212" t="n"/>
      <c r="EQ127" s="212" t="n"/>
      <c r="ER127" s="212" t="n"/>
      <c r="ES127" s="212" t="n"/>
      <c r="ET127" s="212" t="n"/>
      <c r="EU127" s="212" t="n"/>
      <c r="EV127" s="212" t="n"/>
      <c r="EW127" s="212" t="n"/>
      <c r="EX127" s="212" t="n"/>
      <c r="EY127" s="212" t="n"/>
      <c r="EZ127" s="212" t="n"/>
      <c r="FA127" s="212" t="n"/>
      <c r="FB127" s="212" t="n"/>
      <c r="FC127" s="212" t="n"/>
      <c r="FD127" s="212" t="n"/>
      <c r="FE127" s="212" t="n"/>
      <c r="FF127" s="212" t="n"/>
      <c r="FG127" s="212" t="n"/>
      <c r="FH127" s="212" t="n"/>
      <c r="FI127" s="212" t="n"/>
      <c r="FJ127" s="212" t="n"/>
      <c r="FK127" s="212" t="n"/>
      <c r="FL127" s="212" t="n"/>
      <c r="FM127" s="212" t="n"/>
      <c r="FN127" s="212" t="n"/>
      <c r="FO127" s="212" t="n"/>
      <c r="FP127" s="212" t="n"/>
      <c r="FQ127" s="212" t="n"/>
      <c r="FR127" s="212" t="n"/>
      <c r="FS127" s="212" t="n"/>
      <c r="FT127" s="212" t="n"/>
      <c r="FU127" s="212" t="n"/>
      <c r="FV127" s="212" t="n"/>
      <c r="FW127" s="212" t="n"/>
      <c r="FX127" s="212" t="n"/>
      <c r="FY127" s="212" t="n"/>
      <c r="FZ127" s="212" t="n"/>
      <c r="GA127" s="212" t="n"/>
      <c r="GB127" s="212" t="n"/>
      <c r="GC127" s="212" t="n"/>
      <c r="GD127" s="212" t="n"/>
      <c r="GE127" s="212" t="n"/>
      <c r="GF127" s="212" t="n"/>
      <c r="GG127" s="212" t="n"/>
      <c r="GH127" s="212" t="n"/>
      <c r="GI127" s="212" t="n"/>
      <c r="GJ127" s="212" t="n"/>
      <c r="GK127" s="212" t="n"/>
      <c r="GL127" s="212" t="n"/>
      <c r="GM127" s="212" t="n"/>
      <c r="GN127" s="212" t="n"/>
      <c r="GO127" s="212" t="n"/>
      <c r="GP127" s="212" t="n"/>
      <c r="GQ127" s="212" t="n"/>
      <c r="GR127" s="212" t="n"/>
      <c r="GS127" s="212" t="n"/>
      <c r="GT127" s="212" t="n"/>
      <c r="GU127" s="212" t="n"/>
      <c r="GV127" s="212" t="n"/>
      <c r="GW127" s="212" t="n"/>
      <c r="GX127" s="212" t="n"/>
      <c r="GY127" s="212" t="n"/>
      <c r="GZ127" s="212" t="n"/>
      <c r="HA127" s="212" t="n"/>
      <c r="HB127" s="212" t="n"/>
      <c r="HC127" s="212" t="n"/>
      <c r="HD127" s="212" t="n"/>
      <c r="HE127" s="212" t="n"/>
      <c r="HF127" s="212" t="n"/>
      <c r="HG127" s="212" t="n"/>
      <c r="HH127" s="212" t="n"/>
      <c r="HI127" s="212" t="n"/>
      <c r="HJ127" s="212" t="n"/>
      <c r="HK127" s="212" t="n"/>
      <c r="HL127" s="212" t="n"/>
      <c r="HM127" s="212" t="n"/>
      <c r="HN127" s="212" t="n"/>
      <c r="HO127" s="212" t="n"/>
      <c r="HP127" s="212" t="n"/>
      <c r="HQ127" s="212" t="n"/>
      <c r="HR127" s="212" t="n"/>
      <c r="HS127" s="212" t="n"/>
      <c r="HT127" s="212" t="n"/>
      <c r="HU127" s="212" t="n"/>
      <c r="HV127" s="212" t="n"/>
      <c r="HW127" s="212" t="n"/>
      <c r="HX127" s="212" t="n"/>
      <c r="HY127" s="212" t="n"/>
      <c r="HZ127" s="212" t="n"/>
      <c r="IA127" s="212" t="n"/>
      <c r="IB127" s="212" t="n"/>
      <c r="IC127" s="212" t="n"/>
      <c r="ID127" s="212" t="n"/>
      <c r="IE127" s="212" t="n"/>
      <c r="IF127" s="212" t="n"/>
      <c r="IG127" s="212" t="n"/>
      <c r="IH127" s="212" t="n"/>
      <c r="II127" s="212" t="n"/>
      <c r="IJ127" s="212" t="n"/>
      <c r="IK127" s="212" t="n"/>
      <c r="IL127" s="212" t="n"/>
      <c r="IM127" s="212" t="n"/>
      <c r="IN127" s="212" t="n"/>
      <c r="IO127" s="212" t="n"/>
      <c r="IP127" s="212" t="n"/>
      <c r="IQ127" s="212" t="n"/>
      <c r="IR127" s="212" t="n"/>
      <c r="IS127" s="212" t="n"/>
      <c r="IT127" s="212" t="n"/>
      <c r="IU127" s="212" t="n"/>
      <c r="IV127" s="212" t="n"/>
      <c r="IW127" s="212" t="n"/>
      <c r="IX127" s="212" t="n"/>
      <c r="IY127" s="212" t="n"/>
      <c r="IZ127" s="212" t="n"/>
      <c r="JA127" s="212" t="n"/>
      <c r="JB127" s="212" t="n"/>
      <c r="JC127" s="212" t="n"/>
      <c r="JD127" s="212" t="n"/>
      <c r="JE127" s="212" t="n"/>
      <c r="JF127" s="212" t="n"/>
      <c r="JG127" s="212" t="n"/>
      <c r="JH127" s="212" t="n"/>
      <c r="JI127" s="212" t="n"/>
      <c r="JJ127" s="212" t="n"/>
      <c r="JK127" s="212" t="n"/>
      <c r="JL127" s="212" t="n"/>
      <c r="JM127" s="212" t="n"/>
      <c r="JN127" s="212" t="n"/>
      <c r="JO127" s="212" t="n"/>
      <c r="JP127" s="212" t="n"/>
      <c r="JQ127" s="212" t="n"/>
      <c r="JR127" s="212" t="n"/>
      <c r="JS127" s="212" t="n"/>
      <c r="JT127" s="212" t="n"/>
      <c r="JU127" s="212" t="n"/>
      <c r="JV127" s="212" t="n"/>
      <c r="JW127" s="212" t="n"/>
      <c r="JX127" s="212" t="n"/>
      <c r="JY127" s="212" t="n"/>
      <c r="JZ127" s="212" t="n"/>
      <c r="KA127" s="212" t="n"/>
      <c r="KB127" s="212" t="n"/>
      <c r="KC127" s="212" t="n"/>
      <c r="KD127" s="212" t="n"/>
      <c r="KE127" s="212" t="n"/>
      <c r="KF127" s="212" t="n"/>
      <c r="KG127" s="212" t="n"/>
      <c r="KH127" s="212" t="n"/>
      <c r="KI127" s="212" t="n"/>
      <c r="KJ127" s="212" t="n"/>
      <c r="KK127" s="212" t="n"/>
      <c r="KL127" s="212" t="n"/>
      <c r="KM127" s="212" t="n"/>
      <c r="KN127" s="212" t="n"/>
      <c r="KO127" s="212" t="n"/>
      <c r="KP127" s="212" t="n"/>
      <c r="KQ127" s="212" t="n"/>
      <c r="KR127" s="212" t="n"/>
      <c r="KS127" s="212" t="n"/>
      <c r="KT127" s="212" t="n"/>
      <c r="KU127" s="212" t="n"/>
      <c r="KV127" s="212" t="n"/>
      <c r="KW127" s="212" t="n"/>
      <c r="KX127" s="212" t="n"/>
      <c r="KY127" s="212" t="n"/>
      <c r="KZ127" s="212" t="n"/>
      <c r="LA127" s="212" t="n"/>
      <c r="LB127" s="212" t="n"/>
      <c r="LC127" s="212" t="n"/>
      <c r="LD127" s="212" t="n"/>
      <c r="LE127" s="212" t="n"/>
      <c r="LF127" s="212" t="n"/>
      <c r="LG127" s="212" t="n"/>
      <c r="LH127" s="212" t="n"/>
      <c r="LI127" s="212" t="n"/>
      <c r="LJ127" s="212" t="n"/>
      <c r="LK127" s="212" t="n"/>
      <c r="LL127" s="212" t="n"/>
      <c r="LM127" s="212" t="n"/>
      <c r="LN127" s="212" t="n"/>
      <c r="LO127" s="212" t="n"/>
      <c r="LP127" s="212" t="n"/>
      <c r="LQ127" s="212" t="n"/>
      <c r="LR127" s="212" t="n"/>
      <c r="LS127" s="212" t="n"/>
      <c r="LT127" s="212" t="n"/>
      <c r="LU127" s="212" t="n"/>
      <c r="LV127" s="212" t="n"/>
      <c r="LW127" s="212" t="n"/>
      <c r="LX127" s="212" t="n"/>
      <c r="LY127" s="212" t="n"/>
      <c r="LZ127" s="212" t="n"/>
      <c r="MA127" s="212" t="n"/>
      <c r="MB127" s="212" t="n"/>
      <c r="MC127" s="212" t="n"/>
      <c r="MD127" s="212" t="n"/>
      <c r="ME127" s="212" t="n"/>
      <c r="MF127" s="212" t="n"/>
      <c r="MG127" s="212" t="n"/>
      <c r="MH127" s="212" t="n"/>
      <c r="MI127" s="212" t="n"/>
      <c r="MJ127" s="212" t="n"/>
      <c r="MK127" s="212" t="n"/>
      <c r="ML127" s="212" t="n"/>
      <c r="MM127" s="212" t="n"/>
      <c r="MN127" s="212" t="n"/>
      <c r="MO127" s="212" t="n"/>
      <c r="MP127" s="212" t="n"/>
      <c r="MQ127" s="212" t="n"/>
      <c r="MR127" s="212" t="n"/>
      <c r="MS127" s="212" t="n"/>
      <c r="MT127" s="212" t="n"/>
      <c r="MU127" s="212" t="n"/>
      <c r="MV127" s="212" t="n"/>
      <c r="MW127" s="212" t="n"/>
      <c r="MX127" s="212" t="n"/>
      <c r="MY127" s="212" t="n"/>
      <c r="MZ127" s="212" t="n"/>
      <c r="NA127" s="212" t="n"/>
      <c r="NB127" s="212" t="n"/>
      <c r="NC127" s="212" t="n"/>
      <c r="ND127" s="212" t="n"/>
      <c r="NE127" s="212" t="n"/>
      <c r="NF127" s="212" t="n"/>
      <c r="NG127" s="212" t="n"/>
      <c r="NH127" s="212" t="n"/>
      <c r="NI127" s="212" t="n"/>
      <c r="NJ127" s="212" t="n"/>
      <c r="NK127" s="212" t="n"/>
      <c r="NL127" s="212" t="n"/>
      <c r="NM127" s="212" t="n"/>
      <c r="NN127" s="212" t="n"/>
      <c r="NO127" s="212" t="n"/>
      <c r="NP127" s="212" t="n"/>
      <c r="NQ127" s="212" t="n"/>
      <c r="NR127" s="212" t="n"/>
      <c r="NS127" s="212" t="n"/>
      <c r="NT127" s="212" t="n"/>
      <c r="NU127" s="212" t="n"/>
      <c r="NV127" s="212" t="n"/>
      <c r="NW127" s="212" t="n"/>
      <c r="NX127" s="212" t="n"/>
      <c r="NY127" s="212" t="n"/>
      <c r="NZ127" s="212" t="n"/>
      <c r="OA127" s="212" t="n"/>
      <c r="OB127" s="212" t="n"/>
      <c r="OC127" s="212" t="n"/>
      <c r="OD127" s="212" t="n"/>
      <c r="OE127" s="212" t="n"/>
      <c r="OF127" s="212" t="n"/>
      <c r="OG127" s="212" t="n"/>
      <c r="OH127" s="212" t="n"/>
      <c r="OI127" s="212" t="n"/>
      <c r="OJ127" s="212" t="n"/>
      <c r="OK127" s="212" t="n"/>
      <c r="OL127" s="212" t="n"/>
      <c r="OM127" s="212" t="n"/>
      <c r="ON127" s="212" t="n"/>
      <c r="OO127" s="212" t="n"/>
      <c r="OP127" s="212" t="n"/>
      <c r="OQ127" s="212" t="n"/>
      <c r="OR127" s="212" t="n"/>
      <c r="OS127" s="212" t="n"/>
      <c r="OT127" s="212" t="n"/>
      <c r="OU127" s="212" t="n"/>
      <c r="OV127" s="212" t="n"/>
      <c r="OW127" s="212" t="n"/>
      <c r="OX127" s="212" t="n"/>
      <c r="OY127" s="212" t="n"/>
      <c r="OZ127" s="212" t="n"/>
      <c r="PA127" s="212" t="n"/>
      <c r="PB127" s="212" t="n"/>
      <c r="PC127" s="212" t="n"/>
      <c r="PD127" s="212" t="n"/>
      <c r="PE127" s="212" t="n"/>
      <c r="PF127" s="212" t="n"/>
      <c r="PG127" s="212" t="n"/>
      <c r="PH127" s="212" t="n"/>
      <c r="PI127" s="212" t="n"/>
      <c r="PJ127" s="212" t="n"/>
      <c r="PK127" s="212" t="n"/>
      <c r="PL127" s="212" t="n"/>
      <c r="PM127" s="212" t="n"/>
      <c r="PN127" s="212" t="n"/>
      <c r="PO127" s="212" t="n"/>
      <c r="PP127" s="212" t="n"/>
      <c r="PQ127" s="212" t="n"/>
      <c r="PR127" s="212" t="n"/>
      <c r="PS127" s="212" t="n"/>
      <c r="PT127" s="212" t="n"/>
      <c r="PU127" s="212" t="n"/>
      <c r="PV127" s="212" t="n"/>
      <c r="PW127" s="212" t="n"/>
      <c r="PX127" s="212" t="n"/>
      <c r="PY127" s="212" t="n"/>
      <c r="PZ127" s="212" t="n"/>
      <c r="QA127" s="212" t="n"/>
      <c r="QB127" s="212" t="n"/>
      <c r="QC127" s="212" t="n"/>
      <c r="QD127" s="212" t="n"/>
      <c r="QE127" s="212" t="n"/>
      <c r="QF127" s="212" t="n"/>
      <c r="QG127" s="212" t="n"/>
      <c r="QH127" s="212" t="n"/>
      <c r="QI127" s="212" t="n"/>
      <c r="QJ127" s="212" t="n"/>
      <c r="QK127" s="212" t="n"/>
      <c r="QL127" s="212" t="n"/>
      <c r="QM127" s="212" t="n"/>
      <c r="QN127" s="212" t="n"/>
      <c r="QO127" s="212" t="n"/>
      <c r="QP127" s="212" t="n"/>
      <c r="QQ127" s="212" t="n"/>
      <c r="QR127" s="212" t="n"/>
      <c r="QS127" s="212" t="n"/>
      <c r="QT127" s="212" t="n"/>
      <c r="QU127" s="212" t="n"/>
      <c r="QV127" s="212" t="n"/>
      <c r="QW127" s="212" t="n"/>
      <c r="QX127" s="212" t="n"/>
      <c r="QY127" s="212" t="n"/>
      <c r="QZ127" s="212" t="n"/>
      <c r="RA127" s="212" t="n"/>
      <c r="RB127" s="212" t="n"/>
      <c r="RC127" s="212" t="n"/>
      <c r="RD127" s="212" t="n"/>
      <c r="RE127" s="212" t="n"/>
      <c r="RF127" s="212" t="n"/>
      <c r="RG127" s="212" t="n"/>
      <c r="RH127" s="212" t="n"/>
      <c r="RI127" s="212" t="n"/>
      <c r="RJ127" s="212" t="n"/>
      <c r="RK127" s="212" t="n"/>
      <c r="RL127" s="212" t="n"/>
      <c r="RM127" s="212" t="n"/>
      <c r="RN127" s="212" t="n"/>
      <c r="RO127" s="212" t="n"/>
      <c r="RP127" s="212" t="n"/>
      <c r="RQ127" s="212" t="n"/>
      <c r="RR127" s="212" t="n"/>
      <c r="RS127" s="212" t="n"/>
      <c r="RT127" s="212" t="n"/>
      <c r="RU127" s="212" t="n"/>
      <c r="RV127" s="212" t="n"/>
      <c r="RW127" s="212" t="n"/>
      <c r="RX127" s="212" t="n"/>
      <c r="RY127" s="212" t="n"/>
      <c r="RZ127" s="212" t="n"/>
      <c r="SA127" s="212" t="n"/>
      <c r="SB127" s="212" t="n"/>
      <c r="SC127" s="212" t="n"/>
      <c r="SD127" s="212" t="n"/>
      <c r="SE127" s="212" t="n"/>
      <c r="SF127" s="212" t="n"/>
      <c r="SG127" s="212" t="n"/>
      <c r="SH127" s="212" t="n"/>
      <c r="SI127" s="212" t="n"/>
      <c r="SJ127" s="212" t="n"/>
      <c r="SK127" s="212" t="n"/>
      <c r="SL127" s="212" t="n"/>
      <c r="SM127" s="212" t="n"/>
      <c r="SN127" s="212" t="n"/>
      <c r="SO127" s="212" t="n"/>
      <c r="SP127" s="212" t="n"/>
      <c r="SQ127" s="212" t="n"/>
      <c r="SR127" s="212" t="n"/>
      <c r="SS127" s="212" t="n"/>
      <c r="ST127" s="212" t="n"/>
      <c r="SU127" s="212" t="n"/>
      <c r="SV127" s="212" t="n"/>
    </row>
    <row r="128">
      <c r="B128" s="209" t="n"/>
      <c r="C128" s="209" t="n"/>
      <c r="D128" s="209" t="n"/>
      <c r="E128" s="209" t="n"/>
      <c r="F128" s="209">
        <f>IF(TRIM(D128&amp;E128)="","",TRIM(D128)&amp;" "&amp;TRIM(E128))</f>
        <v/>
      </c>
      <c r="G128" s="209" t="n"/>
      <c r="H128" s="209" t="n"/>
      <c r="I128" s="209" t="n"/>
      <c r="J128" s="209" t="n"/>
      <c r="K128" s="209" t="n"/>
      <c r="L128" s="209" t="n"/>
      <c r="M128" s="209" t="n"/>
      <c r="N128" s="209" t="n"/>
      <c r="O128" s="209" t="n"/>
      <c r="P128" s="209" t="n"/>
      <c r="Q128" s="209" t="n"/>
      <c r="R128" s="209" t="n"/>
      <c r="S128" s="212" t="n"/>
      <c r="T128" s="212" t="n"/>
      <c r="U128" s="212" t="n"/>
      <c r="V128" s="212" t="n"/>
      <c r="W128" s="212" t="n"/>
      <c r="X128" s="212" t="n"/>
      <c r="Y128" s="212" t="n"/>
      <c r="Z128" s="212" t="n"/>
      <c r="AA128" s="212" t="n"/>
      <c r="AB128" s="212" t="n"/>
      <c r="AC128" s="212" t="n"/>
      <c r="AD128" s="212" t="n"/>
      <c r="AE128" s="212" t="n"/>
      <c r="AF128" s="212" t="n"/>
      <c r="AG128" s="212" t="n"/>
      <c r="AH128" s="212" t="n"/>
      <c r="AI128" s="212" t="n"/>
      <c r="AJ128" s="212" t="n"/>
      <c r="AK128" s="212" t="n"/>
      <c r="AL128" s="212" t="n"/>
      <c r="AM128" s="212" t="n"/>
      <c r="AN128" s="212" t="n"/>
      <c r="AO128" s="212" t="n"/>
      <c r="AP128" s="212" t="n"/>
      <c r="AQ128" s="212" t="n"/>
      <c r="AR128" s="212" t="n"/>
      <c r="AS128" s="212" t="n"/>
      <c r="AT128" s="212" t="n"/>
      <c r="AU128" s="212" t="n"/>
      <c r="AV128" s="212" t="n"/>
      <c r="AW128" s="212" t="n"/>
      <c r="AX128" s="212" t="n"/>
      <c r="AY128" s="212" t="n"/>
      <c r="AZ128" s="212" t="n"/>
      <c r="BA128" s="212" t="n"/>
      <c r="BB128" s="212" t="n"/>
      <c r="BC128" s="212" t="n"/>
      <c r="BD128" s="212" t="n"/>
      <c r="BE128" s="212" t="n"/>
      <c r="BF128" s="212" t="n"/>
      <c r="BG128" s="212" t="n"/>
      <c r="BH128" s="212" t="n"/>
      <c r="BI128" s="212" t="n"/>
      <c r="BJ128" s="212" t="n"/>
      <c r="BK128" s="212" t="n"/>
      <c r="BL128" s="212" t="n"/>
      <c r="BM128" s="212" t="n"/>
      <c r="BN128" s="212" t="n"/>
      <c r="BO128" s="212" t="n"/>
      <c r="BP128" s="212" t="n"/>
      <c r="BQ128" s="212" t="n"/>
      <c r="BR128" s="212" t="n"/>
      <c r="BS128" s="212" t="n"/>
      <c r="BT128" s="212" t="n"/>
      <c r="BU128" s="212" t="n"/>
      <c r="BV128" s="212" t="n"/>
      <c r="BW128" s="212" t="n"/>
      <c r="BX128" s="212" t="n"/>
      <c r="BY128" s="212" t="n"/>
      <c r="BZ128" s="212" t="n"/>
      <c r="CA128" s="212" t="n"/>
      <c r="CB128" s="212" t="n"/>
      <c r="CC128" s="212" t="n"/>
      <c r="CD128" s="212" t="n"/>
      <c r="CE128" s="212" t="n"/>
      <c r="CF128" s="212" t="n"/>
      <c r="CG128" s="212" t="n"/>
      <c r="CH128" s="212" t="n"/>
      <c r="CI128" s="212" t="n"/>
      <c r="CJ128" s="212" t="n"/>
      <c r="CK128" s="212" t="n"/>
      <c r="CL128" s="212" t="n"/>
      <c r="CM128" s="212" t="n"/>
      <c r="CN128" s="212" t="n"/>
      <c r="CO128" s="212" t="n"/>
      <c r="CP128" s="212" t="n"/>
      <c r="CQ128" s="212" t="n"/>
      <c r="CR128" s="212" t="n"/>
      <c r="CS128" s="212" t="n"/>
      <c r="CT128" s="212" t="n"/>
      <c r="CU128" s="212" t="n"/>
      <c r="CV128" s="212" t="n"/>
      <c r="CW128" s="212" t="n"/>
      <c r="CX128" s="212" t="n"/>
      <c r="CY128" s="212" t="n"/>
      <c r="CZ128" s="212" t="n"/>
      <c r="DA128" s="212" t="n"/>
      <c r="DB128" s="212" t="n"/>
      <c r="DC128" s="212" t="n"/>
      <c r="DD128" s="212" t="n"/>
      <c r="DE128" s="212" t="n"/>
      <c r="DF128" s="212" t="n"/>
      <c r="DG128" s="212" t="n"/>
      <c r="DH128" s="212" t="n"/>
      <c r="DI128" s="212" t="n"/>
      <c r="DJ128" s="212" t="n"/>
      <c r="DK128" s="212" t="n"/>
      <c r="DL128" s="212" t="n"/>
      <c r="DM128" s="212" t="n"/>
      <c r="DN128" s="212" t="n"/>
      <c r="DO128" s="212" t="n"/>
      <c r="DP128" s="212" t="n"/>
      <c r="DQ128" s="212" t="n"/>
      <c r="DR128" s="212" t="n"/>
      <c r="DS128" s="212" t="n"/>
      <c r="DT128" s="212" t="n"/>
      <c r="DU128" s="212" t="n"/>
      <c r="DV128" s="212" t="n"/>
      <c r="DW128" s="212" t="n"/>
      <c r="DX128" s="212" t="n"/>
      <c r="DY128" s="212" t="n"/>
      <c r="DZ128" s="212" t="n"/>
      <c r="EA128" s="212" t="n"/>
      <c r="EB128" s="212" t="n"/>
      <c r="EC128" s="212" t="n"/>
      <c r="ED128" s="212" t="n"/>
      <c r="EE128" s="212" t="n"/>
      <c r="EF128" s="212" t="n"/>
      <c r="EG128" s="212" t="n"/>
      <c r="EH128" s="212" t="n"/>
      <c r="EI128" s="212" t="n"/>
      <c r="EJ128" s="212" t="n"/>
      <c r="EK128" s="212" t="n"/>
      <c r="EL128" s="212" t="n"/>
      <c r="EM128" s="212" t="n"/>
      <c r="EN128" s="212" t="n"/>
      <c r="EO128" s="212" t="n"/>
      <c r="EP128" s="212" t="n"/>
      <c r="EQ128" s="212" t="n"/>
      <c r="ER128" s="212" t="n"/>
      <c r="ES128" s="212" t="n"/>
      <c r="ET128" s="212" t="n"/>
      <c r="EU128" s="212" t="n"/>
      <c r="EV128" s="212" t="n"/>
      <c r="EW128" s="212" t="n"/>
      <c r="EX128" s="212" t="n"/>
      <c r="EY128" s="212" t="n"/>
      <c r="EZ128" s="212" t="n"/>
      <c r="FA128" s="212" t="n"/>
      <c r="FB128" s="212" t="n"/>
      <c r="FC128" s="212" t="n"/>
      <c r="FD128" s="212" t="n"/>
      <c r="FE128" s="212" t="n"/>
      <c r="FF128" s="212" t="n"/>
      <c r="FG128" s="212" t="n"/>
      <c r="FH128" s="212" t="n"/>
      <c r="FI128" s="212" t="n"/>
      <c r="FJ128" s="212" t="n"/>
      <c r="FK128" s="212" t="n"/>
      <c r="FL128" s="212" t="n"/>
      <c r="FM128" s="212" t="n"/>
      <c r="FN128" s="212" t="n"/>
      <c r="FO128" s="212" t="n"/>
      <c r="FP128" s="212" t="n"/>
      <c r="FQ128" s="212" t="n"/>
      <c r="FR128" s="212" t="n"/>
      <c r="FS128" s="212" t="n"/>
      <c r="FT128" s="212" t="n"/>
      <c r="FU128" s="212" t="n"/>
      <c r="FV128" s="212" t="n"/>
      <c r="FW128" s="212" t="n"/>
      <c r="FX128" s="212" t="n"/>
      <c r="FY128" s="212" t="n"/>
      <c r="FZ128" s="212" t="n"/>
      <c r="GA128" s="212" t="n"/>
      <c r="GB128" s="212" t="n"/>
      <c r="GC128" s="212" t="n"/>
      <c r="GD128" s="212" t="n"/>
      <c r="GE128" s="212" t="n"/>
      <c r="GF128" s="212" t="n"/>
      <c r="GG128" s="212" t="n"/>
      <c r="GH128" s="212" t="n"/>
      <c r="GI128" s="212" t="n"/>
      <c r="GJ128" s="212" t="n"/>
      <c r="GK128" s="212" t="n"/>
      <c r="GL128" s="212" t="n"/>
      <c r="GM128" s="212" t="n"/>
      <c r="GN128" s="212" t="n"/>
      <c r="GO128" s="212" t="n"/>
      <c r="GP128" s="212" t="n"/>
      <c r="GQ128" s="212" t="n"/>
      <c r="GR128" s="212" t="n"/>
      <c r="GS128" s="212" t="n"/>
      <c r="GT128" s="212" t="n"/>
      <c r="GU128" s="212" t="n"/>
      <c r="GV128" s="212" t="n"/>
      <c r="GW128" s="212" t="n"/>
      <c r="GX128" s="212" t="n"/>
      <c r="GY128" s="212" t="n"/>
      <c r="GZ128" s="212" t="n"/>
      <c r="HA128" s="212" t="n"/>
      <c r="HB128" s="212" t="n"/>
      <c r="HC128" s="212" t="n"/>
      <c r="HD128" s="212" t="n"/>
      <c r="HE128" s="212" t="n"/>
      <c r="HF128" s="212" t="n"/>
      <c r="HG128" s="212" t="n"/>
      <c r="HH128" s="212" t="n"/>
      <c r="HI128" s="212" t="n"/>
      <c r="HJ128" s="212" t="n"/>
      <c r="HK128" s="212" t="n"/>
      <c r="HL128" s="212" t="n"/>
      <c r="HM128" s="212" t="n"/>
      <c r="HN128" s="212" t="n"/>
      <c r="HO128" s="212" t="n"/>
      <c r="HP128" s="212" t="n"/>
      <c r="HQ128" s="212" t="n"/>
      <c r="HR128" s="212" t="n"/>
      <c r="HS128" s="212" t="n"/>
      <c r="HT128" s="212" t="n"/>
      <c r="HU128" s="212" t="n"/>
      <c r="HV128" s="212" t="n"/>
      <c r="HW128" s="212" t="n"/>
      <c r="HX128" s="212" t="n"/>
      <c r="HY128" s="212" t="n"/>
      <c r="HZ128" s="212" t="n"/>
      <c r="IA128" s="212" t="n"/>
      <c r="IB128" s="212" t="n"/>
      <c r="IC128" s="212" t="n"/>
      <c r="ID128" s="212" t="n"/>
      <c r="IE128" s="212" t="n"/>
      <c r="IF128" s="212" t="n"/>
      <c r="IG128" s="212" t="n"/>
      <c r="IH128" s="212" t="n"/>
      <c r="II128" s="212" t="n"/>
      <c r="IJ128" s="212" t="n"/>
      <c r="IK128" s="212" t="n"/>
      <c r="IL128" s="212" t="n"/>
      <c r="IM128" s="212" t="n"/>
      <c r="IN128" s="212" t="n"/>
      <c r="IO128" s="212" t="n"/>
      <c r="IP128" s="212" t="n"/>
      <c r="IQ128" s="212" t="n"/>
      <c r="IR128" s="212" t="n"/>
      <c r="IS128" s="212" t="n"/>
      <c r="IT128" s="212" t="n"/>
      <c r="IU128" s="212" t="n"/>
      <c r="IV128" s="212" t="n"/>
      <c r="IW128" s="212" t="n"/>
      <c r="IX128" s="212" t="n"/>
      <c r="IY128" s="212" t="n"/>
      <c r="IZ128" s="212" t="n"/>
      <c r="JA128" s="212" t="n"/>
      <c r="JB128" s="212" t="n"/>
      <c r="JC128" s="212" t="n"/>
      <c r="JD128" s="212" t="n"/>
      <c r="JE128" s="212" t="n"/>
      <c r="JF128" s="212" t="n"/>
      <c r="JG128" s="212" t="n"/>
      <c r="JH128" s="212" t="n"/>
      <c r="JI128" s="212" t="n"/>
      <c r="JJ128" s="212" t="n"/>
      <c r="JK128" s="212" t="n"/>
      <c r="JL128" s="212" t="n"/>
      <c r="JM128" s="212" t="n"/>
      <c r="JN128" s="212" t="n"/>
      <c r="JO128" s="212" t="n"/>
      <c r="JP128" s="212" t="n"/>
      <c r="JQ128" s="212" t="n"/>
      <c r="JR128" s="212" t="n"/>
      <c r="JS128" s="212" t="n"/>
      <c r="JT128" s="212" t="n"/>
      <c r="JU128" s="212" t="n"/>
      <c r="JV128" s="212" t="n"/>
      <c r="JW128" s="212" t="n"/>
      <c r="JX128" s="212" t="n"/>
      <c r="JY128" s="212" t="n"/>
      <c r="JZ128" s="212" t="n"/>
      <c r="KA128" s="212" t="n"/>
      <c r="KB128" s="212" t="n"/>
      <c r="KC128" s="212" t="n"/>
      <c r="KD128" s="212" t="n"/>
      <c r="KE128" s="212" t="n"/>
      <c r="KF128" s="212" t="n"/>
      <c r="KG128" s="212" t="n"/>
      <c r="KH128" s="212" t="n"/>
      <c r="KI128" s="212" t="n"/>
      <c r="KJ128" s="212" t="n"/>
      <c r="KK128" s="212" t="n"/>
      <c r="KL128" s="212" t="n"/>
      <c r="KM128" s="212" t="n"/>
      <c r="KN128" s="212" t="n"/>
      <c r="KO128" s="212" t="n"/>
      <c r="KP128" s="212" t="n"/>
      <c r="KQ128" s="212" t="n"/>
      <c r="KR128" s="212" t="n"/>
      <c r="KS128" s="212" t="n"/>
      <c r="KT128" s="212" t="n"/>
      <c r="KU128" s="212" t="n"/>
      <c r="KV128" s="212" t="n"/>
      <c r="KW128" s="212" t="n"/>
      <c r="KX128" s="212" t="n"/>
      <c r="KY128" s="212" t="n"/>
      <c r="KZ128" s="212" t="n"/>
      <c r="LA128" s="212" t="n"/>
      <c r="LB128" s="212" t="n"/>
      <c r="LC128" s="212" t="n"/>
      <c r="LD128" s="212" t="n"/>
      <c r="LE128" s="212" t="n"/>
      <c r="LF128" s="212" t="n"/>
      <c r="LG128" s="212" t="n"/>
      <c r="LH128" s="212" t="n"/>
      <c r="LI128" s="212" t="n"/>
      <c r="LJ128" s="212" t="n"/>
      <c r="LK128" s="212" t="n"/>
      <c r="LL128" s="212" t="n"/>
      <c r="LM128" s="212" t="n"/>
      <c r="LN128" s="212" t="n"/>
      <c r="LO128" s="212" t="n"/>
      <c r="LP128" s="212" t="n"/>
      <c r="LQ128" s="212" t="n"/>
      <c r="LR128" s="212" t="n"/>
      <c r="LS128" s="212" t="n"/>
      <c r="LT128" s="212" t="n"/>
      <c r="LU128" s="212" t="n"/>
      <c r="LV128" s="212" t="n"/>
      <c r="LW128" s="212" t="n"/>
      <c r="LX128" s="212" t="n"/>
      <c r="LY128" s="212" t="n"/>
      <c r="LZ128" s="212" t="n"/>
      <c r="MA128" s="212" t="n"/>
      <c r="MB128" s="212" t="n"/>
      <c r="MC128" s="212" t="n"/>
      <c r="MD128" s="212" t="n"/>
      <c r="ME128" s="212" t="n"/>
      <c r="MF128" s="212" t="n"/>
      <c r="MG128" s="212" t="n"/>
      <c r="MH128" s="212" t="n"/>
      <c r="MI128" s="212" t="n"/>
      <c r="MJ128" s="212" t="n"/>
      <c r="MK128" s="212" t="n"/>
      <c r="ML128" s="212" t="n"/>
      <c r="MM128" s="212" t="n"/>
      <c r="MN128" s="212" t="n"/>
      <c r="MO128" s="212" t="n"/>
      <c r="MP128" s="212" t="n"/>
      <c r="MQ128" s="212" t="n"/>
      <c r="MR128" s="212" t="n"/>
      <c r="MS128" s="212" t="n"/>
      <c r="MT128" s="212" t="n"/>
      <c r="MU128" s="212" t="n"/>
      <c r="MV128" s="212" t="n"/>
      <c r="MW128" s="212" t="n"/>
      <c r="MX128" s="212" t="n"/>
      <c r="MY128" s="212" t="n"/>
      <c r="MZ128" s="212" t="n"/>
      <c r="NA128" s="212" t="n"/>
      <c r="NB128" s="212" t="n"/>
      <c r="NC128" s="212" t="n"/>
      <c r="ND128" s="212" t="n"/>
      <c r="NE128" s="212" t="n"/>
      <c r="NF128" s="212" t="n"/>
      <c r="NG128" s="212" t="n"/>
      <c r="NH128" s="212" t="n"/>
      <c r="NI128" s="212" t="n"/>
      <c r="NJ128" s="212" t="n"/>
      <c r="NK128" s="212" t="n"/>
      <c r="NL128" s="212" t="n"/>
      <c r="NM128" s="212" t="n"/>
      <c r="NN128" s="212" t="n"/>
      <c r="NO128" s="212" t="n"/>
      <c r="NP128" s="212" t="n"/>
      <c r="NQ128" s="212" t="n"/>
      <c r="NR128" s="212" t="n"/>
      <c r="NS128" s="212" t="n"/>
      <c r="NT128" s="212" t="n"/>
      <c r="NU128" s="212" t="n"/>
      <c r="NV128" s="212" t="n"/>
      <c r="NW128" s="212" t="n"/>
      <c r="NX128" s="212" t="n"/>
      <c r="NY128" s="212" t="n"/>
      <c r="NZ128" s="212" t="n"/>
      <c r="OA128" s="212" t="n"/>
      <c r="OB128" s="212" t="n"/>
      <c r="OC128" s="212" t="n"/>
      <c r="OD128" s="212" t="n"/>
      <c r="OE128" s="212" t="n"/>
      <c r="OF128" s="212" t="n"/>
      <c r="OG128" s="212" t="n"/>
      <c r="OH128" s="212" t="n"/>
      <c r="OI128" s="212" t="n"/>
      <c r="OJ128" s="212" t="n"/>
      <c r="OK128" s="212" t="n"/>
      <c r="OL128" s="212" t="n"/>
      <c r="OM128" s="212" t="n"/>
      <c r="ON128" s="212" t="n"/>
      <c r="OO128" s="212" t="n"/>
      <c r="OP128" s="212" t="n"/>
      <c r="OQ128" s="212" t="n"/>
      <c r="OR128" s="212" t="n"/>
      <c r="OS128" s="212" t="n"/>
      <c r="OT128" s="212" t="n"/>
      <c r="OU128" s="212" t="n"/>
      <c r="OV128" s="212" t="n"/>
      <c r="OW128" s="212" t="n"/>
      <c r="OX128" s="212" t="n"/>
      <c r="OY128" s="212" t="n"/>
      <c r="OZ128" s="212" t="n"/>
      <c r="PA128" s="212" t="n"/>
      <c r="PB128" s="212" t="n"/>
      <c r="PC128" s="212" t="n"/>
      <c r="PD128" s="212" t="n"/>
      <c r="PE128" s="212" t="n"/>
      <c r="PF128" s="212" t="n"/>
      <c r="PG128" s="212" t="n"/>
      <c r="PH128" s="212" t="n"/>
      <c r="PI128" s="212" t="n"/>
      <c r="PJ128" s="212" t="n"/>
      <c r="PK128" s="212" t="n"/>
      <c r="PL128" s="212" t="n"/>
      <c r="PM128" s="212" t="n"/>
      <c r="PN128" s="212" t="n"/>
      <c r="PO128" s="212" t="n"/>
      <c r="PP128" s="212" t="n"/>
      <c r="PQ128" s="212" t="n"/>
      <c r="PR128" s="212" t="n"/>
      <c r="PS128" s="212" t="n"/>
      <c r="PT128" s="212" t="n"/>
      <c r="PU128" s="212" t="n"/>
      <c r="PV128" s="212" t="n"/>
      <c r="PW128" s="212" t="n"/>
      <c r="PX128" s="212" t="n"/>
      <c r="PY128" s="212" t="n"/>
      <c r="PZ128" s="212" t="n"/>
      <c r="QA128" s="212" t="n"/>
      <c r="QB128" s="212" t="n"/>
      <c r="QC128" s="212" t="n"/>
      <c r="QD128" s="212" t="n"/>
      <c r="QE128" s="212" t="n"/>
      <c r="QF128" s="212" t="n"/>
      <c r="QG128" s="212" t="n"/>
      <c r="QH128" s="212" t="n"/>
      <c r="QI128" s="212" t="n"/>
      <c r="QJ128" s="212" t="n"/>
      <c r="QK128" s="212" t="n"/>
      <c r="QL128" s="212" t="n"/>
      <c r="QM128" s="212" t="n"/>
      <c r="QN128" s="212" t="n"/>
      <c r="QO128" s="212" t="n"/>
      <c r="QP128" s="212" t="n"/>
      <c r="QQ128" s="212" t="n"/>
      <c r="QR128" s="212" t="n"/>
      <c r="QS128" s="212" t="n"/>
      <c r="QT128" s="212" t="n"/>
      <c r="QU128" s="212" t="n"/>
      <c r="QV128" s="212" t="n"/>
      <c r="QW128" s="212" t="n"/>
      <c r="QX128" s="212" t="n"/>
      <c r="QY128" s="212" t="n"/>
      <c r="QZ128" s="212" t="n"/>
      <c r="RA128" s="212" t="n"/>
      <c r="RB128" s="212" t="n"/>
      <c r="RC128" s="212" t="n"/>
      <c r="RD128" s="212" t="n"/>
      <c r="RE128" s="212" t="n"/>
      <c r="RF128" s="212" t="n"/>
      <c r="RG128" s="212" t="n"/>
      <c r="RH128" s="212" t="n"/>
      <c r="RI128" s="212" t="n"/>
      <c r="RJ128" s="212" t="n"/>
      <c r="RK128" s="212" t="n"/>
      <c r="RL128" s="212" t="n"/>
      <c r="RM128" s="212" t="n"/>
      <c r="RN128" s="212" t="n"/>
      <c r="RO128" s="212" t="n"/>
      <c r="RP128" s="212" t="n"/>
      <c r="RQ128" s="212" t="n"/>
      <c r="RR128" s="212" t="n"/>
      <c r="RS128" s="212" t="n"/>
      <c r="RT128" s="212" t="n"/>
      <c r="RU128" s="212" t="n"/>
      <c r="RV128" s="212" t="n"/>
      <c r="RW128" s="212" t="n"/>
      <c r="RX128" s="212" t="n"/>
      <c r="RY128" s="212" t="n"/>
      <c r="RZ128" s="212" t="n"/>
      <c r="SA128" s="212" t="n"/>
      <c r="SB128" s="212" t="n"/>
      <c r="SC128" s="212" t="n"/>
      <c r="SD128" s="212" t="n"/>
      <c r="SE128" s="212" t="n"/>
      <c r="SF128" s="212" t="n"/>
      <c r="SG128" s="212" t="n"/>
      <c r="SH128" s="212" t="n"/>
      <c r="SI128" s="212" t="n"/>
      <c r="SJ128" s="212" t="n"/>
      <c r="SK128" s="212" t="n"/>
      <c r="SL128" s="212" t="n"/>
      <c r="SM128" s="212" t="n"/>
      <c r="SN128" s="212" t="n"/>
      <c r="SO128" s="212" t="n"/>
      <c r="SP128" s="212" t="n"/>
      <c r="SQ128" s="212" t="n"/>
      <c r="SR128" s="212" t="n"/>
      <c r="SS128" s="212" t="n"/>
      <c r="ST128" s="212" t="n"/>
      <c r="SU128" s="212" t="n"/>
      <c r="SV128" s="212" t="n"/>
    </row>
    <row r="129">
      <c r="B129" s="209" t="n"/>
      <c r="C129" s="209" t="n"/>
      <c r="D129" s="209" t="n"/>
      <c r="E129" s="209" t="n"/>
      <c r="F129" s="209">
        <f>IF(TRIM(D129&amp;E129)="","",TRIM(D129)&amp;" "&amp;TRIM(E129))</f>
        <v/>
      </c>
      <c r="G129" s="209" t="n"/>
      <c r="H129" s="209" t="n"/>
      <c r="I129" s="209" t="n"/>
      <c r="J129" s="209" t="n"/>
      <c r="K129" s="209" t="n"/>
      <c r="L129" s="209" t="n"/>
      <c r="M129" s="209" t="n"/>
      <c r="N129" s="209" t="n"/>
      <c r="O129" s="209" t="n"/>
      <c r="P129" s="209" t="n"/>
      <c r="Q129" s="209" t="n"/>
      <c r="R129" s="209" t="n"/>
      <c r="S129" s="212" t="n"/>
      <c r="T129" s="212" t="n"/>
      <c r="U129" s="212" t="n"/>
      <c r="V129" s="212" t="n"/>
      <c r="W129" s="212" t="n"/>
      <c r="X129" s="212" t="n"/>
      <c r="Y129" s="212" t="n"/>
      <c r="Z129" s="212" t="n"/>
      <c r="AA129" s="212" t="n"/>
      <c r="AB129" s="212" t="n"/>
      <c r="AC129" s="212" t="n"/>
      <c r="AD129" s="212" t="n"/>
      <c r="AE129" s="212" t="n"/>
      <c r="AF129" s="212" t="n"/>
      <c r="AG129" s="212" t="n"/>
      <c r="AH129" s="212" t="n"/>
      <c r="AI129" s="212" t="n"/>
      <c r="AJ129" s="212" t="n"/>
      <c r="AK129" s="212" t="n"/>
      <c r="AL129" s="212" t="n"/>
      <c r="AM129" s="212" t="n"/>
      <c r="AN129" s="212" t="n"/>
      <c r="AO129" s="212" t="n"/>
      <c r="AP129" s="212" t="n"/>
      <c r="AQ129" s="212" t="n"/>
      <c r="AR129" s="212" t="n"/>
      <c r="AS129" s="212" t="n"/>
      <c r="AT129" s="212" t="n"/>
      <c r="AU129" s="212" t="n"/>
      <c r="AV129" s="212" t="n"/>
      <c r="AW129" s="212" t="n"/>
      <c r="AX129" s="212" t="n"/>
      <c r="AY129" s="212" t="n"/>
      <c r="AZ129" s="212" t="n"/>
      <c r="BA129" s="212" t="n"/>
      <c r="BB129" s="212" t="n"/>
      <c r="BC129" s="212" t="n"/>
      <c r="BD129" s="212" t="n"/>
      <c r="BE129" s="212" t="n"/>
      <c r="BF129" s="212" t="n"/>
      <c r="BG129" s="212" t="n"/>
      <c r="BH129" s="212" t="n"/>
      <c r="BI129" s="212" t="n"/>
      <c r="BJ129" s="212" t="n"/>
      <c r="BK129" s="212" t="n"/>
      <c r="BL129" s="212" t="n"/>
      <c r="BM129" s="212" t="n"/>
      <c r="BN129" s="212" t="n"/>
      <c r="BO129" s="212" t="n"/>
      <c r="BP129" s="212" t="n"/>
      <c r="BQ129" s="212" t="n"/>
      <c r="BR129" s="212" t="n"/>
      <c r="BS129" s="212" t="n"/>
      <c r="BT129" s="212" t="n"/>
      <c r="BU129" s="212" t="n"/>
      <c r="BV129" s="212" t="n"/>
      <c r="BW129" s="212" t="n"/>
      <c r="BX129" s="212" t="n"/>
      <c r="BY129" s="212" t="n"/>
      <c r="BZ129" s="212" t="n"/>
      <c r="CA129" s="212" t="n"/>
      <c r="CB129" s="212" t="n"/>
      <c r="CC129" s="212" t="n"/>
      <c r="CD129" s="212" t="n"/>
      <c r="CE129" s="212" t="n"/>
      <c r="CF129" s="212" t="n"/>
      <c r="CG129" s="212" t="n"/>
      <c r="CH129" s="212" t="n"/>
      <c r="CI129" s="212" t="n"/>
      <c r="CJ129" s="212" t="n"/>
      <c r="CK129" s="212" t="n"/>
      <c r="CL129" s="212" t="n"/>
      <c r="CM129" s="212" t="n"/>
      <c r="CN129" s="212" t="n"/>
      <c r="CO129" s="212" t="n"/>
      <c r="CP129" s="212" t="n"/>
      <c r="CQ129" s="212" t="n"/>
      <c r="CR129" s="212" t="n"/>
      <c r="CS129" s="212" t="n"/>
      <c r="CT129" s="212" t="n"/>
      <c r="CU129" s="212" t="n"/>
      <c r="CV129" s="212" t="n"/>
      <c r="CW129" s="212" t="n"/>
      <c r="CX129" s="212" t="n"/>
      <c r="CY129" s="212" t="n"/>
      <c r="CZ129" s="212" t="n"/>
      <c r="DA129" s="212" t="n"/>
      <c r="DB129" s="212" t="n"/>
      <c r="DC129" s="212" t="n"/>
      <c r="DD129" s="212" t="n"/>
      <c r="DE129" s="212" t="n"/>
      <c r="DF129" s="212" t="n"/>
      <c r="DG129" s="212" t="n"/>
      <c r="DH129" s="212" t="n"/>
      <c r="DI129" s="212" t="n"/>
      <c r="DJ129" s="212" t="n"/>
      <c r="DK129" s="212" t="n"/>
      <c r="DL129" s="212" t="n"/>
      <c r="DM129" s="212" t="n"/>
      <c r="DN129" s="212" t="n"/>
      <c r="DO129" s="212" t="n"/>
      <c r="DP129" s="212" t="n"/>
      <c r="DQ129" s="212" t="n"/>
      <c r="DR129" s="212" t="n"/>
      <c r="DS129" s="212" t="n"/>
      <c r="DT129" s="212" t="n"/>
      <c r="DU129" s="212" t="n"/>
      <c r="DV129" s="212" t="n"/>
      <c r="DW129" s="212" t="n"/>
      <c r="DX129" s="212" t="n"/>
      <c r="DY129" s="212" t="n"/>
      <c r="DZ129" s="212" t="n"/>
      <c r="EA129" s="212" t="n"/>
      <c r="EB129" s="212" t="n"/>
      <c r="EC129" s="212" t="n"/>
      <c r="ED129" s="212" t="n"/>
      <c r="EE129" s="212" t="n"/>
      <c r="EF129" s="212" t="n"/>
      <c r="EG129" s="212" t="n"/>
      <c r="EH129" s="212" t="n"/>
      <c r="EI129" s="212" t="n"/>
      <c r="EJ129" s="212" t="n"/>
      <c r="EK129" s="212" t="n"/>
      <c r="EL129" s="212" t="n"/>
      <c r="EM129" s="212" t="n"/>
      <c r="EN129" s="212" t="n"/>
      <c r="EO129" s="212" t="n"/>
      <c r="EP129" s="212" t="n"/>
      <c r="EQ129" s="212" t="n"/>
      <c r="ER129" s="212" t="n"/>
      <c r="ES129" s="212" t="n"/>
      <c r="ET129" s="212" t="n"/>
      <c r="EU129" s="212" t="n"/>
      <c r="EV129" s="212" t="n"/>
      <c r="EW129" s="212" t="n"/>
      <c r="EX129" s="212" t="n"/>
      <c r="EY129" s="212" t="n"/>
      <c r="EZ129" s="212" t="n"/>
      <c r="FA129" s="212" t="n"/>
      <c r="FB129" s="212" t="n"/>
      <c r="FC129" s="212" t="n"/>
      <c r="FD129" s="212" t="n"/>
      <c r="FE129" s="212" t="n"/>
      <c r="FF129" s="212" t="n"/>
      <c r="FG129" s="212" t="n"/>
      <c r="FH129" s="212" t="n"/>
      <c r="FI129" s="212" t="n"/>
      <c r="FJ129" s="212" t="n"/>
      <c r="FK129" s="212" t="n"/>
      <c r="FL129" s="212" t="n"/>
      <c r="FM129" s="212" t="n"/>
      <c r="FN129" s="212" t="n"/>
      <c r="FO129" s="212" t="n"/>
      <c r="FP129" s="212" t="n"/>
      <c r="FQ129" s="212" t="n"/>
      <c r="FR129" s="212" t="n"/>
      <c r="FS129" s="212" t="n"/>
      <c r="FT129" s="212" t="n"/>
      <c r="FU129" s="212" t="n"/>
      <c r="FV129" s="212" t="n"/>
      <c r="FW129" s="212" t="n"/>
      <c r="FX129" s="212" t="n"/>
      <c r="FY129" s="212" t="n"/>
      <c r="FZ129" s="212" t="n"/>
      <c r="GA129" s="212" t="n"/>
      <c r="GB129" s="212" t="n"/>
      <c r="GC129" s="212" t="n"/>
      <c r="GD129" s="212" t="n"/>
      <c r="GE129" s="212" t="n"/>
      <c r="GF129" s="212" t="n"/>
      <c r="GG129" s="212" t="n"/>
      <c r="GH129" s="212" t="n"/>
      <c r="GI129" s="212" t="n"/>
      <c r="GJ129" s="212" t="n"/>
      <c r="GK129" s="212" t="n"/>
      <c r="GL129" s="212" t="n"/>
      <c r="GM129" s="212" t="n"/>
      <c r="GN129" s="212" t="n"/>
      <c r="GO129" s="212" t="n"/>
      <c r="GP129" s="212" t="n"/>
      <c r="GQ129" s="212" t="n"/>
      <c r="GR129" s="212" t="n"/>
      <c r="GS129" s="212" t="n"/>
      <c r="GT129" s="212" t="n"/>
      <c r="GU129" s="212" t="n"/>
      <c r="GV129" s="212" t="n"/>
      <c r="GW129" s="212" t="n"/>
      <c r="GX129" s="212" t="n"/>
      <c r="GY129" s="212" t="n"/>
      <c r="GZ129" s="212" t="n"/>
      <c r="HA129" s="212" t="n"/>
      <c r="HB129" s="212" t="n"/>
      <c r="HC129" s="212" t="n"/>
      <c r="HD129" s="212" t="n"/>
      <c r="HE129" s="212" t="n"/>
      <c r="HF129" s="212" t="n"/>
      <c r="HG129" s="212" t="n"/>
      <c r="HH129" s="212" t="n"/>
      <c r="HI129" s="212" t="n"/>
      <c r="HJ129" s="212" t="n"/>
      <c r="HK129" s="212" t="n"/>
      <c r="HL129" s="212" t="n"/>
      <c r="HM129" s="212" t="n"/>
      <c r="HN129" s="212" t="n"/>
      <c r="HO129" s="212" t="n"/>
      <c r="HP129" s="212" t="n"/>
      <c r="HQ129" s="212" t="n"/>
      <c r="HR129" s="212" t="n"/>
      <c r="HS129" s="212" t="n"/>
      <c r="HT129" s="212" t="n"/>
      <c r="HU129" s="212" t="n"/>
      <c r="HV129" s="212" t="n"/>
      <c r="HW129" s="212" t="n"/>
      <c r="HX129" s="212" t="n"/>
      <c r="HY129" s="212" t="n"/>
      <c r="HZ129" s="212" t="n"/>
      <c r="IA129" s="212" t="n"/>
      <c r="IB129" s="212" t="n"/>
      <c r="IC129" s="212" t="n"/>
      <c r="ID129" s="212" t="n"/>
      <c r="IE129" s="212" t="n"/>
      <c r="IF129" s="212" t="n"/>
      <c r="IG129" s="212" t="n"/>
      <c r="IH129" s="212" t="n"/>
      <c r="II129" s="212" t="n"/>
      <c r="IJ129" s="212" t="n"/>
      <c r="IK129" s="212" t="n"/>
      <c r="IL129" s="212" t="n"/>
      <c r="IM129" s="212" t="n"/>
      <c r="IN129" s="212" t="n"/>
      <c r="IO129" s="212" t="n"/>
      <c r="IP129" s="212" t="n"/>
      <c r="IQ129" s="212" t="n"/>
      <c r="IR129" s="212" t="n"/>
      <c r="IS129" s="212" t="n"/>
      <c r="IT129" s="212" t="n"/>
      <c r="IU129" s="212" t="n"/>
      <c r="IV129" s="212" t="n"/>
      <c r="IW129" s="212" t="n"/>
      <c r="IX129" s="212" t="n"/>
      <c r="IY129" s="212" t="n"/>
      <c r="IZ129" s="212" t="n"/>
      <c r="JA129" s="212" t="n"/>
      <c r="JB129" s="212" t="n"/>
      <c r="JC129" s="212" t="n"/>
      <c r="JD129" s="212" t="n"/>
      <c r="JE129" s="212" t="n"/>
      <c r="JF129" s="212" t="n"/>
      <c r="JG129" s="212" t="n"/>
      <c r="JH129" s="212" t="n"/>
      <c r="JI129" s="212" t="n"/>
      <c r="JJ129" s="212" t="n"/>
      <c r="JK129" s="212" t="n"/>
      <c r="JL129" s="212" t="n"/>
      <c r="JM129" s="212" t="n"/>
      <c r="JN129" s="212" t="n"/>
      <c r="JO129" s="212" t="n"/>
      <c r="JP129" s="212" t="n"/>
      <c r="JQ129" s="212" t="n"/>
      <c r="JR129" s="212" t="n"/>
      <c r="JS129" s="212" t="n"/>
      <c r="JT129" s="212" t="n"/>
      <c r="JU129" s="212" t="n"/>
      <c r="JV129" s="212" t="n"/>
      <c r="JW129" s="212" t="n"/>
      <c r="JX129" s="212" t="n"/>
      <c r="JY129" s="212" t="n"/>
      <c r="JZ129" s="212" t="n"/>
      <c r="KA129" s="212" t="n"/>
      <c r="KB129" s="212" t="n"/>
      <c r="KC129" s="212" t="n"/>
      <c r="KD129" s="212" t="n"/>
      <c r="KE129" s="212" t="n"/>
      <c r="KF129" s="212" t="n"/>
      <c r="KG129" s="212" t="n"/>
      <c r="KH129" s="212" t="n"/>
      <c r="KI129" s="212" t="n"/>
      <c r="KJ129" s="212" t="n"/>
      <c r="KK129" s="212" t="n"/>
      <c r="KL129" s="212" t="n"/>
      <c r="KM129" s="212" t="n"/>
      <c r="KN129" s="212" t="n"/>
      <c r="KO129" s="212" t="n"/>
      <c r="KP129" s="212" t="n"/>
      <c r="KQ129" s="212" t="n"/>
      <c r="KR129" s="212" t="n"/>
      <c r="KS129" s="212" t="n"/>
      <c r="KT129" s="212" t="n"/>
      <c r="KU129" s="212" t="n"/>
      <c r="KV129" s="212" t="n"/>
      <c r="KW129" s="212" t="n"/>
      <c r="KX129" s="212" t="n"/>
      <c r="KY129" s="212" t="n"/>
      <c r="KZ129" s="212" t="n"/>
      <c r="LA129" s="212" t="n"/>
      <c r="LB129" s="212" t="n"/>
      <c r="LC129" s="212" t="n"/>
      <c r="LD129" s="212" t="n"/>
      <c r="LE129" s="212" t="n"/>
      <c r="LF129" s="212" t="n"/>
      <c r="LG129" s="212" t="n"/>
      <c r="LH129" s="212" t="n"/>
      <c r="LI129" s="212" t="n"/>
      <c r="LJ129" s="212" t="n"/>
      <c r="LK129" s="212" t="n"/>
      <c r="LL129" s="212" t="n"/>
      <c r="LM129" s="212" t="n"/>
      <c r="LN129" s="212" t="n"/>
      <c r="LO129" s="212" t="n"/>
      <c r="LP129" s="212" t="n"/>
      <c r="LQ129" s="212" t="n"/>
      <c r="LR129" s="212" t="n"/>
      <c r="LS129" s="212" t="n"/>
      <c r="LT129" s="212" t="n"/>
      <c r="LU129" s="212" t="n"/>
      <c r="LV129" s="212" t="n"/>
      <c r="LW129" s="212" t="n"/>
      <c r="LX129" s="212" t="n"/>
      <c r="LY129" s="212" t="n"/>
      <c r="LZ129" s="212" t="n"/>
      <c r="MA129" s="212" t="n"/>
      <c r="MB129" s="212" t="n"/>
      <c r="MC129" s="212" t="n"/>
      <c r="MD129" s="212" t="n"/>
      <c r="ME129" s="212" t="n"/>
      <c r="MF129" s="212" t="n"/>
      <c r="MG129" s="212" t="n"/>
      <c r="MH129" s="212" t="n"/>
      <c r="MI129" s="212" t="n"/>
      <c r="MJ129" s="212" t="n"/>
      <c r="MK129" s="212" t="n"/>
      <c r="ML129" s="212" t="n"/>
      <c r="MM129" s="212" t="n"/>
      <c r="MN129" s="212" t="n"/>
      <c r="MO129" s="212" t="n"/>
      <c r="MP129" s="212" t="n"/>
      <c r="MQ129" s="212" t="n"/>
      <c r="MR129" s="212" t="n"/>
      <c r="MS129" s="212" t="n"/>
      <c r="MT129" s="212" t="n"/>
      <c r="MU129" s="212" t="n"/>
      <c r="MV129" s="212" t="n"/>
      <c r="MW129" s="212" t="n"/>
      <c r="MX129" s="212" t="n"/>
      <c r="MY129" s="212" t="n"/>
      <c r="MZ129" s="212" t="n"/>
      <c r="NA129" s="212" t="n"/>
      <c r="NB129" s="212" t="n"/>
      <c r="NC129" s="212" t="n"/>
      <c r="ND129" s="212" t="n"/>
      <c r="NE129" s="212" t="n"/>
      <c r="NF129" s="212" t="n"/>
      <c r="NG129" s="212" t="n"/>
      <c r="NH129" s="212" t="n"/>
      <c r="NI129" s="212" t="n"/>
      <c r="NJ129" s="212" t="n"/>
      <c r="NK129" s="212" t="n"/>
      <c r="NL129" s="212" t="n"/>
      <c r="NM129" s="212" t="n"/>
      <c r="NN129" s="212" t="n"/>
      <c r="NO129" s="212" t="n"/>
      <c r="NP129" s="212" t="n"/>
      <c r="NQ129" s="212" t="n"/>
      <c r="NR129" s="212" t="n"/>
      <c r="NS129" s="212" t="n"/>
      <c r="NT129" s="212" t="n"/>
      <c r="NU129" s="212" t="n"/>
      <c r="NV129" s="212" t="n"/>
      <c r="NW129" s="212" t="n"/>
      <c r="NX129" s="212" t="n"/>
      <c r="NY129" s="212" t="n"/>
      <c r="NZ129" s="212" t="n"/>
      <c r="OA129" s="212" t="n"/>
      <c r="OB129" s="212" t="n"/>
      <c r="OC129" s="212" t="n"/>
      <c r="OD129" s="212" t="n"/>
      <c r="OE129" s="212" t="n"/>
      <c r="OF129" s="212" t="n"/>
      <c r="OG129" s="212" t="n"/>
      <c r="OH129" s="212" t="n"/>
      <c r="OI129" s="212" t="n"/>
      <c r="OJ129" s="212" t="n"/>
      <c r="OK129" s="212" t="n"/>
      <c r="OL129" s="212" t="n"/>
      <c r="OM129" s="212" t="n"/>
      <c r="ON129" s="212" t="n"/>
      <c r="OO129" s="212" t="n"/>
      <c r="OP129" s="212" t="n"/>
      <c r="OQ129" s="212" t="n"/>
      <c r="OR129" s="212" t="n"/>
      <c r="OS129" s="212" t="n"/>
      <c r="OT129" s="212" t="n"/>
      <c r="OU129" s="212" t="n"/>
      <c r="OV129" s="212" t="n"/>
      <c r="OW129" s="212" t="n"/>
      <c r="OX129" s="212" t="n"/>
      <c r="OY129" s="212" t="n"/>
      <c r="OZ129" s="212" t="n"/>
      <c r="PA129" s="212" t="n"/>
      <c r="PB129" s="212" t="n"/>
      <c r="PC129" s="212" t="n"/>
      <c r="PD129" s="212" t="n"/>
      <c r="PE129" s="212" t="n"/>
      <c r="PF129" s="212" t="n"/>
      <c r="PG129" s="212" t="n"/>
      <c r="PH129" s="212" t="n"/>
      <c r="PI129" s="212" t="n"/>
      <c r="PJ129" s="212" t="n"/>
      <c r="PK129" s="212" t="n"/>
      <c r="PL129" s="212" t="n"/>
      <c r="PM129" s="212" t="n"/>
      <c r="PN129" s="212" t="n"/>
      <c r="PO129" s="212" t="n"/>
      <c r="PP129" s="212" t="n"/>
      <c r="PQ129" s="212" t="n"/>
      <c r="PR129" s="212" t="n"/>
      <c r="PS129" s="212" t="n"/>
      <c r="PT129" s="212" t="n"/>
      <c r="PU129" s="212" t="n"/>
      <c r="PV129" s="212" t="n"/>
      <c r="PW129" s="212" t="n"/>
      <c r="PX129" s="212" t="n"/>
      <c r="PY129" s="212" t="n"/>
      <c r="PZ129" s="212" t="n"/>
      <c r="QA129" s="212" t="n"/>
      <c r="QB129" s="212" t="n"/>
      <c r="QC129" s="212" t="n"/>
      <c r="QD129" s="212" t="n"/>
      <c r="QE129" s="212" t="n"/>
      <c r="QF129" s="212" t="n"/>
      <c r="QG129" s="212" t="n"/>
      <c r="QH129" s="212" t="n"/>
      <c r="QI129" s="212" t="n"/>
      <c r="QJ129" s="212" t="n"/>
      <c r="QK129" s="212" t="n"/>
      <c r="QL129" s="212" t="n"/>
      <c r="QM129" s="212" t="n"/>
      <c r="QN129" s="212" t="n"/>
      <c r="QO129" s="212" t="n"/>
      <c r="QP129" s="212" t="n"/>
      <c r="QQ129" s="212" t="n"/>
      <c r="QR129" s="212" t="n"/>
      <c r="QS129" s="212" t="n"/>
      <c r="QT129" s="212" t="n"/>
      <c r="QU129" s="212" t="n"/>
      <c r="QV129" s="212" t="n"/>
      <c r="QW129" s="212" t="n"/>
      <c r="QX129" s="212" t="n"/>
      <c r="QY129" s="212" t="n"/>
      <c r="QZ129" s="212" t="n"/>
      <c r="RA129" s="212" t="n"/>
      <c r="RB129" s="212" t="n"/>
      <c r="RC129" s="212" t="n"/>
      <c r="RD129" s="212" t="n"/>
      <c r="RE129" s="212" t="n"/>
      <c r="RF129" s="212" t="n"/>
      <c r="RG129" s="212" t="n"/>
      <c r="RH129" s="212" t="n"/>
      <c r="RI129" s="212" t="n"/>
      <c r="RJ129" s="212" t="n"/>
      <c r="RK129" s="212" t="n"/>
      <c r="RL129" s="212" t="n"/>
      <c r="RM129" s="212" t="n"/>
      <c r="RN129" s="212" t="n"/>
      <c r="RO129" s="212" t="n"/>
      <c r="RP129" s="212" t="n"/>
      <c r="RQ129" s="212" t="n"/>
      <c r="RR129" s="212" t="n"/>
      <c r="RS129" s="212" t="n"/>
      <c r="RT129" s="212" t="n"/>
      <c r="RU129" s="212" t="n"/>
      <c r="RV129" s="212" t="n"/>
      <c r="RW129" s="212" t="n"/>
      <c r="RX129" s="212" t="n"/>
      <c r="RY129" s="212" t="n"/>
      <c r="RZ129" s="212" t="n"/>
      <c r="SA129" s="212" t="n"/>
      <c r="SB129" s="212" t="n"/>
      <c r="SC129" s="212" t="n"/>
      <c r="SD129" s="212" t="n"/>
      <c r="SE129" s="212" t="n"/>
      <c r="SF129" s="212" t="n"/>
      <c r="SG129" s="212" t="n"/>
      <c r="SH129" s="212" t="n"/>
      <c r="SI129" s="212" t="n"/>
      <c r="SJ129" s="212" t="n"/>
      <c r="SK129" s="212" t="n"/>
      <c r="SL129" s="212" t="n"/>
      <c r="SM129" s="212" t="n"/>
      <c r="SN129" s="212" t="n"/>
      <c r="SO129" s="212" t="n"/>
      <c r="SP129" s="212" t="n"/>
      <c r="SQ129" s="212" t="n"/>
      <c r="SR129" s="212" t="n"/>
      <c r="SS129" s="212" t="n"/>
      <c r="ST129" s="212" t="n"/>
      <c r="SU129" s="212" t="n"/>
      <c r="SV129" s="212" t="n"/>
    </row>
    <row r="130">
      <c r="B130" s="209" t="n"/>
      <c r="C130" s="209" t="n"/>
      <c r="D130" s="209" t="n"/>
      <c r="E130" s="209" t="n"/>
      <c r="F130" s="209">
        <f>IF(TRIM(D130&amp;E130)="","",TRIM(D130)&amp;" "&amp;TRIM(E130))</f>
        <v/>
      </c>
      <c r="G130" s="209" t="n"/>
      <c r="H130" s="209" t="n"/>
      <c r="I130" s="209" t="n"/>
      <c r="J130" s="209" t="n"/>
      <c r="K130" s="209" t="n"/>
      <c r="L130" s="209" t="n"/>
      <c r="M130" s="209" t="n"/>
      <c r="N130" s="209" t="n"/>
      <c r="O130" s="209" t="n"/>
      <c r="P130" s="209" t="n"/>
      <c r="Q130" s="209" t="n"/>
      <c r="R130" s="209" t="n"/>
      <c r="S130" s="212" t="n"/>
      <c r="T130" s="212" t="n"/>
      <c r="U130" s="212" t="n"/>
      <c r="V130" s="212" t="n"/>
      <c r="W130" s="212" t="n"/>
      <c r="X130" s="212" t="n"/>
      <c r="Y130" s="212" t="n"/>
      <c r="Z130" s="212" t="n"/>
      <c r="AA130" s="212" t="n"/>
      <c r="AB130" s="212" t="n"/>
      <c r="AC130" s="212" t="n"/>
      <c r="AD130" s="212" t="n"/>
      <c r="AE130" s="212" t="n"/>
      <c r="AF130" s="212" t="n"/>
      <c r="AG130" s="212" t="n"/>
      <c r="AH130" s="212" t="n"/>
      <c r="AI130" s="212" t="n"/>
      <c r="AJ130" s="212" t="n"/>
      <c r="AK130" s="212" t="n"/>
      <c r="AL130" s="212" t="n"/>
      <c r="AM130" s="212" t="n"/>
      <c r="AN130" s="212" t="n"/>
      <c r="AO130" s="212" t="n"/>
      <c r="AP130" s="212" t="n"/>
      <c r="AQ130" s="212" t="n"/>
      <c r="AR130" s="212" t="n"/>
      <c r="AS130" s="212" t="n"/>
      <c r="AT130" s="212" t="n"/>
      <c r="AU130" s="212" t="n"/>
      <c r="AV130" s="212" t="n"/>
      <c r="AW130" s="212" t="n"/>
      <c r="AX130" s="212" t="n"/>
      <c r="AY130" s="212" t="n"/>
      <c r="AZ130" s="212" t="n"/>
      <c r="BA130" s="212" t="n"/>
      <c r="BB130" s="212" t="n"/>
      <c r="BC130" s="212" t="n"/>
      <c r="BD130" s="212" t="n"/>
      <c r="BE130" s="212" t="n"/>
      <c r="BF130" s="212" t="n"/>
      <c r="BG130" s="212" t="n"/>
      <c r="BH130" s="212" t="n"/>
      <c r="BI130" s="212" t="n"/>
      <c r="BJ130" s="212" t="n"/>
      <c r="BK130" s="212" t="n"/>
      <c r="BL130" s="212" t="n"/>
      <c r="BM130" s="212" t="n"/>
      <c r="BN130" s="212" t="n"/>
      <c r="BO130" s="212" t="n"/>
      <c r="BP130" s="212" t="n"/>
      <c r="BQ130" s="212" t="n"/>
      <c r="BR130" s="212" t="n"/>
      <c r="BS130" s="212" t="n"/>
      <c r="BT130" s="212" t="n"/>
      <c r="BU130" s="212" t="n"/>
      <c r="BV130" s="212" t="n"/>
      <c r="BW130" s="212" t="n"/>
      <c r="BX130" s="212" t="n"/>
      <c r="BY130" s="212" t="n"/>
      <c r="BZ130" s="212" t="n"/>
      <c r="CA130" s="212" t="n"/>
      <c r="CB130" s="212" t="n"/>
      <c r="CC130" s="212" t="n"/>
      <c r="CD130" s="212" t="n"/>
      <c r="CE130" s="212" t="n"/>
      <c r="CF130" s="212" t="n"/>
      <c r="CG130" s="212" t="n"/>
      <c r="CH130" s="212" t="n"/>
      <c r="CI130" s="212" t="n"/>
      <c r="CJ130" s="212" t="n"/>
      <c r="CK130" s="212" t="n"/>
      <c r="CL130" s="212" t="n"/>
      <c r="CM130" s="212" t="n"/>
      <c r="CN130" s="212" t="n"/>
      <c r="CO130" s="212" t="n"/>
      <c r="CP130" s="212" t="n"/>
      <c r="CQ130" s="212" t="n"/>
      <c r="CR130" s="212" t="n"/>
      <c r="CS130" s="212" t="n"/>
      <c r="CT130" s="212" t="n"/>
      <c r="CU130" s="212" t="n"/>
      <c r="CV130" s="212" t="n"/>
      <c r="CW130" s="212" t="n"/>
      <c r="CX130" s="212" t="n"/>
      <c r="CY130" s="212" t="n"/>
      <c r="CZ130" s="212" t="n"/>
      <c r="DA130" s="212" t="n"/>
      <c r="DB130" s="212" t="n"/>
      <c r="DC130" s="212" t="n"/>
      <c r="DD130" s="212" t="n"/>
      <c r="DE130" s="212" t="n"/>
      <c r="DF130" s="212" t="n"/>
      <c r="DG130" s="212" t="n"/>
      <c r="DH130" s="212" t="n"/>
      <c r="DI130" s="212" t="n"/>
      <c r="DJ130" s="212" t="n"/>
      <c r="DK130" s="212" t="n"/>
      <c r="DL130" s="212" t="n"/>
      <c r="DM130" s="212" t="n"/>
      <c r="DN130" s="212" t="n"/>
      <c r="DO130" s="212" t="n"/>
      <c r="DP130" s="212" t="n"/>
      <c r="DQ130" s="212" t="n"/>
      <c r="DR130" s="212" t="n"/>
      <c r="DS130" s="212" t="n"/>
      <c r="DT130" s="212" t="n"/>
      <c r="DU130" s="212" t="n"/>
      <c r="DV130" s="212" t="n"/>
      <c r="DW130" s="212" t="n"/>
      <c r="DX130" s="212" t="n"/>
      <c r="DY130" s="212" t="n"/>
      <c r="DZ130" s="212" t="n"/>
      <c r="EA130" s="212" t="n"/>
      <c r="EB130" s="212" t="n"/>
      <c r="EC130" s="212" t="n"/>
      <c r="ED130" s="212" t="n"/>
      <c r="EE130" s="212" t="n"/>
      <c r="EF130" s="212" t="n"/>
      <c r="EG130" s="212" t="n"/>
      <c r="EH130" s="212" t="n"/>
      <c r="EI130" s="212" t="n"/>
      <c r="EJ130" s="212" t="n"/>
      <c r="EK130" s="212" t="n"/>
      <c r="EL130" s="212" t="n"/>
      <c r="EM130" s="212" t="n"/>
      <c r="EN130" s="212" t="n"/>
      <c r="EO130" s="212" t="n"/>
      <c r="EP130" s="212" t="n"/>
      <c r="EQ130" s="212" t="n"/>
      <c r="ER130" s="212" t="n"/>
      <c r="ES130" s="212" t="n"/>
      <c r="ET130" s="212" t="n"/>
      <c r="EU130" s="212" t="n"/>
      <c r="EV130" s="212" t="n"/>
      <c r="EW130" s="212" t="n"/>
      <c r="EX130" s="212" t="n"/>
      <c r="EY130" s="212" t="n"/>
      <c r="EZ130" s="212" t="n"/>
      <c r="FA130" s="212" t="n"/>
      <c r="FB130" s="212" t="n"/>
      <c r="FC130" s="212" t="n"/>
      <c r="FD130" s="212" t="n"/>
      <c r="FE130" s="212" t="n"/>
      <c r="FF130" s="212" t="n"/>
      <c r="FG130" s="212" t="n"/>
      <c r="FH130" s="212" t="n"/>
      <c r="FI130" s="212" t="n"/>
      <c r="FJ130" s="212" t="n"/>
      <c r="FK130" s="212" t="n"/>
      <c r="FL130" s="212" t="n"/>
      <c r="FM130" s="212" t="n"/>
      <c r="FN130" s="212" t="n"/>
      <c r="FO130" s="212" t="n"/>
      <c r="FP130" s="212" t="n"/>
      <c r="FQ130" s="212" t="n"/>
      <c r="FR130" s="212" t="n"/>
      <c r="FS130" s="212" t="n"/>
      <c r="FT130" s="212" t="n"/>
      <c r="FU130" s="212" t="n"/>
      <c r="FV130" s="212" t="n"/>
      <c r="FW130" s="212" t="n"/>
      <c r="FX130" s="212" t="n"/>
      <c r="FY130" s="212" t="n"/>
      <c r="FZ130" s="212" t="n"/>
      <c r="GA130" s="212" t="n"/>
      <c r="GB130" s="212" t="n"/>
      <c r="GC130" s="212" t="n"/>
      <c r="GD130" s="212" t="n"/>
      <c r="GE130" s="212" t="n"/>
      <c r="GF130" s="212" t="n"/>
      <c r="GG130" s="212" t="n"/>
      <c r="GH130" s="212" t="n"/>
      <c r="GI130" s="212" t="n"/>
      <c r="GJ130" s="212" t="n"/>
      <c r="GK130" s="212" t="n"/>
      <c r="GL130" s="212" t="n"/>
      <c r="GM130" s="212" t="n"/>
      <c r="GN130" s="212" t="n"/>
      <c r="GO130" s="212" t="n"/>
      <c r="GP130" s="212" t="n"/>
      <c r="GQ130" s="212" t="n"/>
      <c r="GR130" s="212" t="n"/>
      <c r="GS130" s="212" t="n"/>
      <c r="GT130" s="212" t="n"/>
      <c r="GU130" s="212" t="n"/>
      <c r="GV130" s="212" t="n"/>
      <c r="GW130" s="212" t="n"/>
      <c r="GX130" s="212" t="n"/>
      <c r="GY130" s="212" t="n"/>
      <c r="GZ130" s="212" t="n"/>
      <c r="HA130" s="212" t="n"/>
      <c r="HB130" s="212" t="n"/>
      <c r="HC130" s="212" t="n"/>
      <c r="HD130" s="212" t="n"/>
      <c r="HE130" s="212" t="n"/>
      <c r="HF130" s="212" t="n"/>
      <c r="HG130" s="212" t="n"/>
      <c r="HH130" s="212" t="n"/>
      <c r="HI130" s="212" t="n"/>
      <c r="HJ130" s="212" t="n"/>
      <c r="HK130" s="212" t="n"/>
      <c r="HL130" s="212" t="n"/>
      <c r="HM130" s="212" t="n"/>
      <c r="HN130" s="212" t="n"/>
      <c r="HO130" s="212" t="n"/>
      <c r="HP130" s="212" t="n"/>
      <c r="HQ130" s="212" t="n"/>
      <c r="HR130" s="212" t="n"/>
      <c r="HS130" s="212" t="n"/>
      <c r="HT130" s="212" t="n"/>
      <c r="HU130" s="212" t="n"/>
      <c r="HV130" s="212" t="n"/>
      <c r="HW130" s="212" t="n"/>
      <c r="HX130" s="212" t="n"/>
      <c r="HY130" s="212" t="n"/>
      <c r="HZ130" s="212" t="n"/>
      <c r="IA130" s="212" t="n"/>
      <c r="IB130" s="212" t="n"/>
      <c r="IC130" s="212" t="n"/>
      <c r="ID130" s="212" t="n"/>
      <c r="IE130" s="212" t="n"/>
      <c r="IF130" s="212" t="n"/>
      <c r="IG130" s="212" t="n"/>
      <c r="IH130" s="212" t="n"/>
      <c r="II130" s="212" t="n"/>
      <c r="IJ130" s="212" t="n"/>
      <c r="IK130" s="212" t="n"/>
      <c r="IL130" s="212" t="n"/>
      <c r="IM130" s="212" t="n"/>
      <c r="IN130" s="212" t="n"/>
      <c r="IO130" s="212" t="n"/>
      <c r="IP130" s="212" t="n"/>
      <c r="IQ130" s="212" t="n"/>
      <c r="IR130" s="212" t="n"/>
      <c r="IS130" s="212" t="n"/>
      <c r="IT130" s="212" t="n"/>
      <c r="IU130" s="212" t="n"/>
      <c r="IV130" s="212" t="n"/>
      <c r="IW130" s="212" t="n"/>
      <c r="IX130" s="212" t="n"/>
      <c r="IY130" s="212" t="n"/>
      <c r="IZ130" s="212" t="n"/>
      <c r="JA130" s="212" t="n"/>
      <c r="JB130" s="212" t="n"/>
      <c r="JC130" s="212" t="n"/>
      <c r="JD130" s="212" t="n"/>
      <c r="JE130" s="212" t="n"/>
      <c r="JF130" s="212" t="n"/>
      <c r="JG130" s="212" t="n"/>
      <c r="JH130" s="212" t="n"/>
      <c r="JI130" s="212" t="n"/>
      <c r="JJ130" s="212" t="n"/>
      <c r="JK130" s="212" t="n"/>
      <c r="JL130" s="212" t="n"/>
      <c r="JM130" s="212" t="n"/>
      <c r="JN130" s="212" t="n"/>
      <c r="JO130" s="212" t="n"/>
      <c r="JP130" s="212" t="n"/>
      <c r="JQ130" s="212" t="n"/>
      <c r="JR130" s="212" t="n"/>
      <c r="JS130" s="212" t="n"/>
      <c r="JT130" s="212" t="n"/>
      <c r="JU130" s="212" t="n"/>
      <c r="JV130" s="212" t="n"/>
      <c r="JW130" s="212" t="n"/>
      <c r="JX130" s="212" t="n"/>
      <c r="JY130" s="212" t="n"/>
      <c r="JZ130" s="212" t="n"/>
      <c r="KA130" s="212" t="n"/>
      <c r="KB130" s="212" t="n"/>
      <c r="KC130" s="212" t="n"/>
      <c r="KD130" s="212" t="n"/>
      <c r="KE130" s="212" t="n"/>
      <c r="KF130" s="212" t="n"/>
      <c r="KG130" s="212" t="n"/>
      <c r="KH130" s="212" t="n"/>
      <c r="KI130" s="212" t="n"/>
      <c r="KJ130" s="212" t="n"/>
      <c r="KK130" s="212" t="n"/>
      <c r="KL130" s="212" t="n"/>
      <c r="KM130" s="212" t="n"/>
      <c r="KN130" s="212" t="n"/>
      <c r="KO130" s="212" t="n"/>
      <c r="KP130" s="212" t="n"/>
      <c r="KQ130" s="212" t="n"/>
      <c r="KR130" s="212" t="n"/>
      <c r="KS130" s="212" t="n"/>
      <c r="KT130" s="212" t="n"/>
      <c r="KU130" s="212" t="n"/>
      <c r="KV130" s="212" t="n"/>
      <c r="KW130" s="212" t="n"/>
      <c r="KX130" s="212" t="n"/>
      <c r="KY130" s="212" t="n"/>
      <c r="KZ130" s="212" t="n"/>
      <c r="LA130" s="212" t="n"/>
      <c r="LB130" s="212" t="n"/>
      <c r="LC130" s="212" t="n"/>
      <c r="LD130" s="212" t="n"/>
      <c r="LE130" s="212" t="n"/>
      <c r="LF130" s="212" t="n"/>
      <c r="LG130" s="212" t="n"/>
      <c r="LH130" s="212" t="n"/>
      <c r="LI130" s="212" t="n"/>
      <c r="LJ130" s="212" t="n"/>
      <c r="LK130" s="212" t="n"/>
      <c r="LL130" s="212" t="n"/>
      <c r="LM130" s="212" t="n"/>
      <c r="LN130" s="212" t="n"/>
      <c r="LO130" s="212" t="n"/>
      <c r="LP130" s="212" t="n"/>
      <c r="LQ130" s="212" t="n"/>
      <c r="LR130" s="212" t="n"/>
      <c r="LS130" s="212" t="n"/>
      <c r="LT130" s="212" t="n"/>
      <c r="LU130" s="212" t="n"/>
      <c r="LV130" s="212" t="n"/>
      <c r="LW130" s="212" t="n"/>
      <c r="LX130" s="212" t="n"/>
      <c r="LY130" s="212" t="n"/>
      <c r="LZ130" s="212" t="n"/>
      <c r="MA130" s="212" t="n"/>
      <c r="MB130" s="212" t="n"/>
      <c r="MC130" s="212" t="n"/>
      <c r="MD130" s="212" t="n"/>
      <c r="ME130" s="212" t="n"/>
      <c r="MF130" s="212" t="n"/>
      <c r="MG130" s="212" t="n"/>
      <c r="MH130" s="212" t="n"/>
      <c r="MI130" s="212" t="n"/>
      <c r="MJ130" s="212" t="n"/>
      <c r="MK130" s="212" t="n"/>
      <c r="ML130" s="212" t="n"/>
      <c r="MM130" s="212" t="n"/>
      <c r="MN130" s="212" t="n"/>
      <c r="MO130" s="212" t="n"/>
      <c r="MP130" s="212" t="n"/>
      <c r="MQ130" s="212" t="n"/>
      <c r="MR130" s="212" t="n"/>
      <c r="MS130" s="212" t="n"/>
      <c r="MT130" s="212" t="n"/>
      <c r="MU130" s="212" t="n"/>
      <c r="MV130" s="212" t="n"/>
      <c r="MW130" s="212" t="n"/>
      <c r="MX130" s="212" t="n"/>
      <c r="MY130" s="212" t="n"/>
      <c r="MZ130" s="212" t="n"/>
      <c r="NA130" s="212" t="n"/>
      <c r="NB130" s="212" t="n"/>
      <c r="NC130" s="212" t="n"/>
      <c r="ND130" s="212" t="n"/>
      <c r="NE130" s="212" t="n"/>
      <c r="NF130" s="212" t="n"/>
      <c r="NG130" s="212" t="n"/>
      <c r="NH130" s="212" t="n"/>
      <c r="NI130" s="212" t="n"/>
      <c r="NJ130" s="212" t="n"/>
      <c r="NK130" s="212" t="n"/>
      <c r="NL130" s="212" t="n"/>
      <c r="NM130" s="212" t="n"/>
      <c r="NN130" s="212" t="n"/>
      <c r="NO130" s="212" t="n"/>
      <c r="NP130" s="212" t="n"/>
      <c r="NQ130" s="212" t="n"/>
      <c r="NR130" s="212" t="n"/>
      <c r="NS130" s="212" t="n"/>
      <c r="NT130" s="212" t="n"/>
      <c r="NU130" s="212" t="n"/>
      <c r="NV130" s="212" t="n"/>
      <c r="NW130" s="212" t="n"/>
      <c r="NX130" s="212" t="n"/>
      <c r="NY130" s="212" t="n"/>
      <c r="NZ130" s="212" t="n"/>
      <c r="OA130" s="212" t="n"/>
      <c r="OB130" s="212" t="n"/>
      <c r="OC130" s="212" t="n"/>
      <c r="OD130" s="212" t="n"/>
      <c r="OE130" s="212" t="n"/>
      <c r="OF130" s="212" t="n"/>
      <c r="OG130" s="212" t="n"/>
      <c r="OH130" s="212" t="n"/>
      <c r="OI130" s="212" t="n"/>
      <c r="OJ130" s="212" t="n"/>
      <c r="OK130" s="212" t="n"/>
      <c r="OL130" s="212" t="n"/>
      <c r="OM130" s="212" t="n"/>
      <c r="ON130" s="212" t="n"/>
      <c r="OO130" s="212" t="n"/>
      <c r="OP130" s="212" t="n"/>
      <c r="OQ130" s="212" t="n"/>
      <c r="OR130" s="212" t="n"/>
      <c r="OS130" s="212" t="n"/>
      <c r="OT130" s="212" t="n"/>
      <c r="OU130" s="212" t="n"/>
      <c r="OV130" s="212" t="n"/>
      <c r="OW130" s="212" t="n"/>
      <c r="OX130" s="212" t="n"/>
      <c r="OY130" s="212" t="n"/>
      <c r="OZ130" s="212" t="n"/>
      <c r="PA130" s="212" t="n"/>
      <c r="PB130" s="212" t="n"/>
      <c r="PC130" s="212" t="n"/>
      <c r="PD130" s="212" t="n"/>
      <c r="PE130" s="212" t="n"/>
      <c r="PF130" s="212" t="n"/>
      <c r="PG130" s="212" t="n"/>
      <c r="PH130" s="212" t="n"/>
      <c r="PI130" s="212" t="n"/>
      <c r="PJ130" s="212" t="n"/>
      <c r="PK130" s="212" t="n"/>
      <c r="PL130" s="212" t="n"/>
      <c r="PM130" s="212" t="n"/>
      <c r="PN130" s="212" t="n"/>
      <c r="PO130" s="212" t="n"/>
      <c r="PP130" s="212" t="n"/>
      <c r="PQ130" s="212" t="n"/>
      <c r="PR130" s="212" t="n"/>
      <c r="PS130" s="212" t="n"/>
      <c r="PT130" s="212" t="n"/>
      <c r="PU130" s="212" t="n"/>
      <c r="PV130" s="212" t="n"/>
      <c r="PW130" s="212" t="n"/>
      <c r="PX130" s="212" t="n"/>
      <c r="PY130" s="212" t="n"/>
      <c r="PZ130" s="212" t="n"/>
      <c r="QA130" s="212" t="n"/>
      <c r="QB130" s="212" t="n"/>
      <c r="QC130" s="212" t="n"/>
      <c r="QD130" s="212" t="n"/>
      <c r="QE130" s="212" t="n"/>
      <c r="QF130" s="212" t="n"/>
      <c r="QG130" s="212" t="n"/>
      <c r="QH130" s="212" t="n"/>
      <c r="QI130" s="212" t="n"/>
      <c r="QJ130" s="212" t="n"/>
      <c r="QK130" s="212" t="n"/>
      <c r="QL130" s="212" t="n"/>
      <c r="QM130" s="212" t="n"/>
      <c r="QN130" s="212" t="n"/>
      <c r="QO130" s="212" t="n"/>
      <c r="QP130" s="212" t="n"/>
      <c r="QQ130" s="212" t="n"/>
      <c r="QR130" s="212" t="n"/>
      <c r="QS130" s="212" t="n"/>
      <c r="QT130" s="212" t="n"/>
      <c r="QU130" s="212" t="n"/>
      <c r="QV130" s="212" t="n"/>
      <c r="QW130" s="212" t="n"/>
      <c r="QX130" s="212" t="n"/>
      <c r="QY130" s="212" t="n"/>
      <c r="QZ130" s="212" t="n"/>
      <c r="RA130" s="212" t="n"/>
      <c r="RB130" s="212" t="n"/>
      <c r="RC130" s="212" t="n"/>
      <c r="RD130" s="212" t="n"/>
      <c r="RE130" s="212" t="n"/>
      <c r="RF130" s="212" t="n"/>
      <c r="RG130" s="212" t="n"/>
      <c r="RH130" s="212" t="n"/>
      <c r="RI130" s="212" t="n"/>
      <c r="RJ130" s="212" t="n"/>
      <c r="RK130" s="212" t="n"/>
      <c r="RL130" s="212" t="n"/>
      <c r="RM130" s="212" t="n"/>
      <c r="RN130" s="212" t="n"/>
      <c r="RO130" s="212" t="n"/>
      <c r="RP130" s="212" t="n"/>
      <c r="RQ130" s="212" t="n"/>
      <c r="RR130" s="212" t="n"/>
      <c r="RS130" s="212" t="n"/>
      <c r="RT130" s="212" t="n"/>
      <c r="RU130" s="212" t="n"/>
      <c r="RV130" s="212" t="n"/>
      <c r="RW130" s="212" t="n"/>
      <c r="RX130" s="212" t="n"/>
      <c r="RY130" s="212" t="n"/>
      <c r="RZ130" s="212" t="n"/>
      <c r="SA130" s="212" t="n"/>
      <c r="SB130" s="212" t="n"/>
      <c r="SC130" s="212" t="n"/>
      <c r="SD130" s="212" t="n"/>
      <c r="SE130" s="212" t="n"/>
      <c r="SF130" s="212" t="n"/>
      <c r="SG130" s="212" t="n"/>
      <c r="SH130" s="212" t="n"/>
      <c r="SI130" s="212" t="n"/>
      <c r="SJ130" s="212" t="n"/>
      <c r="SK130" s="212" t="n"/>
      <c r="SL130" s="212" t="n"/>
      <c r="SM130" s="212" t="n"/>
      <c r="SN130" s="212" t="n"/>
      <c r="SO130" s="212" t="n"/>
      <c r="SP130" s="212" t="n"/>
      <c r="SQ130" s="212" t="n"/>
      <c r="SR130" s="212" t="n"/>
      <c r="SS130" s="212" t="n"/>
      <c r="ST130" s="212" t="n"/>
      <c r="SU130" s="212" t="n"/>
      <c r="SV130" s="212" t="n"/>
    </row>
    <row r="131">
      <c r="B131" s="209" t="n"/>
      <c r="C131" s="209" t="n"/>
      <c r="D131" s="209" t="n"/>
      <c r="E131" s="209" t="n"/>
      <c r="F131" s="209">
        <f>IF(TRIM(D131&amp;E131)="","",TRIM(D131)&amp;" "&amp;TRIM(E131))</f>
        <v/>
      </c>
      <c r="G131" s="209" t="n"/>
      <c r="H131" s="209" t="n"/>
      <c r="I131" s="209" t="n"/>
      <c r="J131" s="209" t="n"/>
      <c r="K131" s="209" t="n"/>
      <c r="L131" s="209" t="n"/>
      <c r="M131" s="209" t="n"/>
      <c r="N131" s="209" t="n"/>
      <c r="O131" s="209" t="n"/>
      <c r="P131" s="209" t="n"/>
      <c r="Q131" s="209" t="n"/>
      <c r="R131" s="209" t="n"/>
      <c r="S131" s="212" t="n"/>
      <c r="T131" s="212" t="n"/>
      <c r="U131" s="212" t="n"/>
      <c r="V131" s="212" t="n"/>
      <c r="W131" s="212" t="n"/>
      <c r="X131" s="212" t="n"/>
      <c r="Y131" s="212" t="n"/>
      <c r="Z131" s="212" t="n"/>
      <c r="AA131" s="212" t="n"/>
      <c r="AB131" s="212" t="n"/>
      <c r="AC131" s="212" t="n"/>
      <c r="AD131" s="212" t="n"/>
      <c r="AE131" s="212" t="n"/>
      <c r="AF131" s="212" t="n"/>
      <c r="AG131" s="212" t="n"/>
      <c r="AH131" s="212" t="n"/>
      <c r="AI131" s="212" t="n"/>
      <c r="AJ131" s="212" t="n"/>
      <c r="AK131" s="212" t="n"/>
      <c r="AL131" s="212" t="n"/>
      <c r="AM131" s="212" t="n"/>
      <c r="AN131" s="212" t="n"/>
      <c r="AO131" s="212" t="n"/>
      <c r="AP131" s="212" t="n"/>
      <c r="AQ131" s="212" t="n"/>
      <c r="AR131" s="212" t="n"/>
      <c r="AS131" s="212" t="n"/>
      <c r="AT131" s="212" t="n"/>
      <c r="AU131" s="212" t="n"/>
      <c r="AV131" s="212" t="n"/>
      <c r="AW131" s="212" t="n"/>
      <c r="AX131" s="212" t="n"/>
      <c r="AY131" s="212" t="n"/>
      <c r="AZ131" s="212" t="n"/>
      <c r="BA131" s="212" t="n"/>
      <c r="BB131" s="212" t="n"/>
      <c r="BC131" s="212" t="n"/>
      <c r="BD131" s="212" t="n"/>
      <c r="BE131" s="212" t="n"/>
      <c r="BF131" s="212" t="n"/>
      <c r="BG131" s="212" t="n"/>
      <c r="BH131" s="212" t="n"/>
      <c r="BI131" s="212" t="n"/>
      <c r="BJ131" s="212" t="n"/>
      <c r="BK131" s="212" t="n"/>
      <c r="BL131" s="212" t="n"/>
      <c r="BM131" s="212" t="n"/>
      <c r="BN131" s="212" t="n"/>
      <c r="BO131" s="212" t="n"/>
      <c r="BP131" s="212" t="n"/>
      <c r="BQ131" s="212" t="n"/>
      <c r="BR131" s="212" t="n"/>
      <c r="BS131" s="212" t="n"/>
      <c r="BT131" s="212" t="n"/>
      <c r="BU131" s="212" t="n"/>
      <c r="BV131" s="212" t="n"/>
      <c r="BW131" s="212" t="n"/>
      <c r="BX131" s="212" t="n"/>
      <c r="BY131" s="212" t="n"/>
      <c r="BZ131" s="212" t="n"/>
      <c r="CA131" s="212" t="n"/>
      <c r="CB131" s="212" t="n"/>
      <c r="CC131" s="212" t="n"/>
      <c r="CD131" s="212" t="n"/>
      <c r="CE131" s="212" t="n"/>
      <c r="CF131" s="212" t="n"/>
      <c r="CG131" s="212" t="n"/>
      <c r="CH131" s="212" t="n"/>
      <c r="CI131" s="212" t="n"/>
      <c r="CJ131" s="212" t="n"/>
      <c r="CK131" s="212" t="n"/>
      <c r="CL131" s="212" t="n"/>
      <c r="CM131" s="212" t="n"/>
      <c r="CN131" s="212" t="n"/>
      <c r="CO131" s="212" t="n"/>
      <c r="CP131" s="212" t="n"/>
      <c r="CQ131" s="212" t="n"/>
      <c r="CR131" s="212" t="n"/>
      <c r="CS131" s="212" t="n"/>
      <c r="CT131" s="212" t="n"/>
      <c r="CU131" s="212" t="n"/>
      <c r="CV131" s="212" t="n"/>
      <c r="CW131" s="212" t="n"/>
      <c r="CX131" s="212" t="n"/>
      <c r="CY131" s="212" t="n"/>
      <c r="CZ131" s="212" t="n"/>
      <c r="DA131" s="212" t="n"/>
      <c r="DB131" s="212" t="n"/>
      <c r="DC131" s="212" t="n"/>
      <c r="DD131" s="212" t="n"/>
      <c r="DE131" s="212" t="n"/>
      <c r="DF131" s="212" t="n"/>
      <c r="DG131" s="212" t="n"/>
      <c r="DH131" s="212" t="n"/>
      <c r="DI131" s="212" t="n"/>
      <c r="DJ131" s="212" t="n"/>
      <c r="DK131" s="212" t="n"/>
      <c r="DL131" s="212" t="n"/>
      <c r="DM131" s="212" t="n"/>
      <c r="DN131" s="212" t="n"/>
      <c r="DO131" s="212" t="n"/>
      <c r="DP131" s="212" t="n"/>
      <c r="DQ131" s="212" t="n"/>
      <c r="DR131" s="212" t="n"/>
      <c r="DS131" s="212" t="n"/>
      <c r="DT131" s="212" t="n"/>
      <c r="DU131" s="212" t="n"/>
      <c r="DV131" s="212" t="n"/>
      <c r="DW131" s="212" t="n"/>
      <c r="DX131" s="212" t="n"/>
      <c r="DY131" s="212" t="n"/>
      <c r="DZ131" s="212" t="n"/>
      <c r="EA131" s="212" t="n"/>
      <c r="EB131" s="212" t="n"/>
      <c r="EC131" s="212" t="n"/>
      <c r="ED131" s="212" t="n"/>
      <c r="EE131" s="212" t="n"/>
      <c r="EF131" s="212" t="n"/>
      <c r="EG131" s="212" t="n"/>
      <c r="EH131" s="212" t="n"/>
      <c r="EI131" s="212" t="n"/>
      <c r="EJ131" s="212" t="n"/>
      <c r="EK131" s="212" t="n"/>
      <c r="EL131" s="212" t="n"/>
      <c r="EM131" s="212" t="n"/>
      <c r="EN131" s="212" t="n"/>
      <c r="EO131" s="212" t="n"/>
      <c r="EP131" s="212" t="n"/>
      <c r="EQ131" s="212" t="n"/>
      <c r="ER131" s="212" t="n"/>
      <c r="ES131" s="212" t="n"/>
      <c r="ET131" s="212" t="n"/>
      <c r="EU131" s="212" t="n"/>
      <c r="EV131" s="212" t="n"/>
      <c r="EW131" s="212" t="n"/>
      <c r="EX131" s="212" t="n"/>
      <c r="EY131" s="212" t="n"/>
      <c r="EZ131" s="212" t="n"/>
      <c r="FA131" s="212" t="n"/>
      <c r="FB131" s="212" t="n"/>
      <c r="FC131" s="212" t="n"/>
      <c r="FD131" s="212" t="n"/>
      <c r="FE131" s="212" t="n"/>
      <c r="FF131" s="212" t="n"/>
      <c r="FG131" s="212" t="n"/>
      <c r="FH131" s="212" t="n"/>
      <c r="FI131" s="212" t="n"/>
      <c r="FJ131" s="212" t="n"/>
      <c r="FK131" s="212" t="n"/>
      <c r="FL131" s="212" t="n"/>
      <c r="FM131" s="212" t="n"/>
      <c r="FN131" s="212" t="n"/>
      <c r="FO131" s="212" t="n"/>
      <c r="FP131" s="212" t="n"/>
      <c r="FQ131" s="212" t="n"/>
      <c r="FR131" s="212" t="n"/>
      <c r="FS131" s="212" t="n"/>
      <c r="FT131" s="212" t="n"/>
      <c r="FU131" s="212" t="n"/>
      <c r="FV131" s="212" t="n"/>
      <c r="FW131" s="212" t="n"/>
      <c r="FX131" s="212" t="n"/>
      <c r="FY131" s="212" t="n"/>
      <c r="FZ131" s="212" t="n"/>
      <c r="GA131" s="212" t="n"/>
      <c r="GB131" s="212" t="n"/>
      <c r="GC131" s="212" t="n"/>
      <c r="GD131" s="212" t="n"/>
      <c r="GE131" s="212" t="n"/>
      <c r="GF131" s="212" t="n"/>
      <c r="GG131" s="212" t="n"/>
      <c r="GH131" s="212" t="n"/>
      <c r="GI131" s="212" t="n"/>
      <c r="GJ131" s="212" t="n"/>
      <c r="GK131" s="212" t="n"/>
      <c r="GL131" s="212" t="n"/>
      <c r="GM131" s="212" t="n"/>
      <c r="GN131" s="212" t="n"/>
      <c r="GO131" s="212" t="n"/>
      <c r="GP131" s="212" t="n"/>
      <c r="GQ131" s="212" t="n"/>
      <c r="GR131" s="212" t="n"/>
      <c r="GS131" s="212" t="n"/>
      <c r="GT131" s="212" t="n"/>
      <c r="GU131" s="212" t="n"/>
      <c r="GV131" s="212" t="n"/>
      <c r="GW131" s="212" t="n"/>
      <c r="GX131" s="212" t="n"/>
      <c r="GY131" s="212" t="n"/>
      <c r="GZ131" s="212" t="n"/>
      <c r="HA131" s="212" t="n"/>
      <c r="HB131" s="212" t="n"/>
      <c r="HC131" s="212" t="n"/>
      <c r="HD131" s="212" t="n"/>
      <c r="HE131" s="212" t="n"/>
      <c r="HF131" s="212" t="n"/>
      <c r="HG131" s="212" t="n"/>
      <c r="HH131" s="212" t="n"/>
      <c r="HI131" s="212" t="n"/>
      <c r="HJ131" s="212" t="n"/>
      <c r="HK131" s="212" t="n"/>
      <c r="HL131" s="212" t="n"/>
      <c r="HM131" s="212" t="n"/>
      <c r="HN131" s="212" t="n"/>
      <c r="HO131" s="212" t="n"/>
      <c r="HP131" s="212" t="n"/>
      <c r="HQ131" s="212" t="n"/>
      <c r="HR131" s="212" t="n"/>
      <c r="HS131" s="212" t="n"/>
      <c r="HT131" s="212" t="n"/>
      <c r="HU131" s="212" t="n"/>
      <c r="HV131" s="212" t="n"/>
      <c r="HW131" s="212" t="n"/>
      <c r="HX131" s="212" t="n"/>
      <c r="HY131" s="212" t="n"/>
      <c r="HZ131" s="212" t="n"/>
      <c r="IA131" s="212" t="n"/>
      <c r="IB131" s="212" t="n"/>
      <c r="IC131" s="212" t="n"/>
      <c r="ID131" s="212" t="n"/>
      <c r="IE131" s="212" t="n"/>
      <c r="IF131" s="212" t="n"/>
      <c r="IG131" s="212" t="n"/>
      <c r="IH131" s="212" t="n"/>
      <c r="II131" s="212" t="n"/>
      <c r="IJ131" s="212" t="n"/>
      <c r="IK131" s="212" t="n"/>
      <c r="IL131" s="212" t="n"/>
      <c r="IM131" s="212" t="n"/>
      <c r="IN131" s="212" t="n"/>
      <c r="IO131" s="212" t="n"/>
      <c r="IP131" s="212" t="n"/>
      <c r="IQ131" s="212" t="n"/>
      <c r="IR131" s="212" t="n"/>
      <c r="IS131" s="212" t="n"/>
      <c r="IT131" s="212" t="n"/>
      <c r="IU131" s="212" t="n"/>
      <c r="IV131" s="212" t="n"/>
      <c r="IW131" s="212" t="n"/>
      <c r="IX131" s="212" t="n"/>
      <c r="IY131" s="212" t="n"/>
      <c r="IZ131" s="212" t="n"/>
      <c r="JA131" s="212" t="n"/>
      <c r="JB131" s="212" t="n"/>
      <c r="JC131" s="212" t="n"/>
      <c r="JD131" s="212" t="n"/>
      <c r="JE131" s="212" t="n"/>
      <c r="JF131" s="212" t="n"/>
      <c r="JG131" s="212" t="n"/>
      <c r="JH131" s="212" t="n"/>
      <c r="JI131" s="212" t="n"/>
      <c r="JJ131" s="212" t="n"/>
      <c r="JK131" s="212" t="n"/>
      <c r="JL131" s="212" t="n"/>
      <c r="JM131" s="212" t="n"/>
      <c r="JN131" s="212" t="n"/>
      <c r="JO131" s="212" t="n"/>
      <c r="JP131" s="212" t="n"/>
      <c r="JQ131" s="212" t="n"/>
      <c r="JR131" s="212" t="n"/>
      <c r="JS131" s="212" t="n"/>
      <c r="JT131" s="212" t="n"/>
      <c r="JU131" s="212" t="n"/>
      <c r="JV131" s="212" t="n"/>
      <c r="JW131" s="212" t="n"/>
      <c r="JX131" s="212" t="n"/>
      <c r="JY131" s="212" t="n"/>
      <c r="JZ131" s="212" t="n"/>
      <c r="KA131" s="212" t="n"/>
      <c r="KB131" s="212" t="n"/>
      <c r="KC131" s="212" t="n"/>
      <c r="KD131" s="212" t="n"/>
      <c r="KE131" s="212" t="n"/>
      <c r="KF131" s="212" t="n"/>
      <c r="KG131" s="212" t="n"/>
      <c r="KH131" s="212" t="n"/>
      <c r="KI131" s="212" t="n"/>
      <c r="KJ131" s="212" t="n"/>
      <c r="KK131" s="212" t="n"/>
      <c r="KL131" s="212" t="n"/>
      <c r="KM131" s="212" t="n"/>
      <c r="KN131" s="212" t="n"/>
      <c r="KO131" s="212" t="n"/>
      <c r="KP131" s="212" t="n"/>
      <c r="KQ131" s="212" t="n"/>
      <c r="KR131" s="212" t="n"/>
      <c r="KS131" s="212" t="n"/>
      <c r="KT131" s="212" t="n"/>
      <c r="KU131" s="212" t="n"/>
      <c r="KV131" s="212" t="n"/>
      <c r="KW131" s="212" t="n"/>
      <c r="KX131" s="212" t="n"/>
      <c r="KY131" s="212" t="n"/>
      <c r="KZ131" s="212" t="n"/>
      <c r="LA131" s="212" t="n"/>
      <c r="LB131" s="212" t="n"/>
      <c r="LC131" s="212" t="n"/>
      <c r="LD131" s="212" t="n"/>
      <c r="LE131" s="212" t="n"/>
      <c r="LF131" s="212" t="n"/>
      <c r="LG131" s="212" t="n"/>
      <c r="LH131" s="212" t="n"/>
      <c r="LI131" s="212" t="n"/>
      <c r="LJ131" s="212" t="n"/>
      <c r="LK131" s="212" t="n"/>
      <c r="LL131" s="212" t="n"/>
      <c r="LM131" s="212" t="n"/>
      <c r="LN131" s="212" t="n"/>
      <c r="LO131" s="212" t="n"/>
      <c r="LP131" s="212" t="n"/>
      <c r="LQ131" s="212" t="n"/>
      <c r="LR131" s="212" t="n"/>
      <c r="LS131" s="212" t="n"/>
      <c r="LT131" s="212" t="n"/>
      <c r="LU131" s="212" t="n"/>
      <c r="LV131" s="212" t="n"/>
      <c r="LW131" s="212" t="n"/>
      <c r="LX131" s="212" t="n"/>
      <c r="LY131" s="212" t="n"/>
      <c r="LZ131" s="212" t="n"/>
      <c r="MA131" s="212" t="n"/>
      <c r="MB131" s="212" t="n"/>
      <c r="MC131" s="212" t="n"/>
      <c r="MD131" s="212" t="n"/>
      <c r="ME131" s="212" t="n"/>
      <c r="MF131" s="212" t="n"/>
      <c r="MG131" s="212" t="n"/>
      <c r="MH131" s="212" t="n"/>
      <c r="MI131" s="212" t="n"/>
      <c r="MJ131" s="212" t="n"/>
      <c r="MK131" s="212" t="n"/>
      <c r="ML131" s="212" t="n"/>
      <c r="MM131" s="212" t="n"/>
      <c r="MN131" s="212" t="n"/>
      <c r="MO131" s="212" t="n"/>
      <c r="MP131" s="212" t="n"/>
      <c r="MQ131" s="212" t="n"/>
      <c r="MR131" s="212" t="n"/>
      <c r="MS131" s="212" t="n"/>
      <c r="MT131" s="212" t="n"/>
      <c r="MU131" s="212" t="n"/>
      <c r="MV131" s="212" t="n"/>
      <c r="MW131" s="212" t="n"/>
      <c r="MX131" s="212" t="n"/>
      <c r="MY131" s="212" t="n"/>
      <c r="MZ131" s="212" t="n"/>
      <c r="NA131" s="212" t="n"/>
      <c r="NB131" s="212" t="n"/>
      <c r="NC131" s="212" t="n"/>
      <c r="ND131" s="212" t="n"/>
      <c r="NE131" s="212" t="n"/>
      <c r="NF131" s="212" t="n"/>
      <c r="NG131" s="212" t="n"/>
      <c r="NH131" s="212" t="n"/>
      <c r="NI131" s="212" t="n"/>
      <c r="NJ131" s="212" t="n"/>
      <c r="NK131" s="212" t="n"/>
      <c r="NL131" s="212" t="n"/>
      <c r="NM131" s="212" t="n"/>
      <c r="NN131" s="212" t="n"/>
      <c r="NO131" s="212" t="n"/>
      <c r="NP131" s="212" t="n"/>
      <c r="NQ131" s="212" t="n"/>
      <c r="NR131" s="212" t="n"/>
      <c r="NS131" s="212" t="n"/>
      <c r="NT131" s="212" t="n"/>
      <c r="NU131" s="212" t="n"/>
      <c r="NV131" s="212" t="n"/>
      <c r="NW131" s="212" t="n"/>
      <c r="NX131" s="212" t="n"/>
      <c r="NY131" s="212" t="n"/>
      <c r="NZ131" s="212" t="n"/>
      <c r="OA131" s="212" t="n"/>
      <c r="OB131" s="212" t="n"/>
      <c r="OC131" s="212" t="n"/>
      <c r="OD131" s="212" t="n"/>
      <c r="OE131" s="212" t="n"/>
      <c r="OF131" s="212" t="n"/>
      <c r="OG131" s="212" t="n"/>
      <c r="OH131" s="212" t="n"/>
      <c r="OI131" s="212" t="n"/>
      <c r="OJ131" s="212" t="n"/>
      <c r="OK131" s="212" t="n"/>
      <c r="OL131" s="212" t="n"/>
      <c r="OM131" s="212" t="n"/>
      <c r="ON131" s="212" t="n"/>
      <c r="OO131" s="212" t="n"/>
      <c r="OP131" s="212" t="n"/>
      <c r="OQ131" s="212" t="n"/>
      <c r="OR131" s="212" t="n"/>
      <c r="OS131" s="212" t="n"/>
      <c r="OT131" s="212" t="n"/>
      <c r="OU131" s="212" t="n"/>
      <c r="OV131" s="212" t="n"/>
      <c r="OW131" s="212" t="n"/>
      <c r="OX131" s="212" t="n"/>
      <c r="OY131" s="212" t="n"/>
      <c r="OZ131" s="212" t="n"/>
      <c r="PA131" s="212" t="n"/>
      <c r="PB131" s="212" t="n"/>
      <c r="PC131" s="212" t="n"/>
      <c r="PD131" s="212" t="n"/>
      <c r="PE131" s="212" t="n"/>
      <c r="PF131" s="212" t="n"/>
      <c r="PG131" s="212" t="n"/>
      <c r="PH131" s="212" t="n"/>
      <c r="PI131" s="212" t="n"/>
      <c r="PJ131" s="212" t="n"/>
      <c r="PK131" s="212" t="n"/>
      <c r="PL131" s="212" t="n"/>
      <c r="PM131" s="212" t="n"/>
      <c r="PN131" s="212" t="n"/>
      <c r="PO131" s="212" t="n"/>
      <c r="PP131" s="212" t="n"/>
      <c r="PQ131" s="212" t="n"/>
      <c r="PR131" s="212" t="n"/>
      <c r="PS131" s="212" t="n"/>
      <c r="PT131" s="212" t="n"/>
      <c r="PU131" s="212" t="n"/>
      <c r="PV131" s="212" t="n"/>
      <c r="PW131" s="212" t="n"/>
      <c r="PX131" s="212" t="n"/>
      <c r="PY131" s="212" t="n"/>
      <c r="PZ131" s="212" t="n"/>
      <c r="QA131" s="212" t="n"/>
      <c r="QB131" s="212" t="n"/>
      <c r="QC131" s="212" t="n"/>
      <c r="QD131" s="212" t="n"/>
      <c r="QE131" s="212" t="n"/>
      <c r="QF131" s="212" t="n"/>
      <c r="QG131" s="212" t="n"/>
      <c r="QH131" s="212" t="n"/>
      <c r="QI131" s="212" t="n"/>
      <c r="QJ131" s="212" t="n"/>
      <c r="QK131" s="212" t="n"/>
      <c r="QL131" s="212" t="n"/>
      <c r="QM131" s="212" t="n"/>
      <c r="QN131" s="212" t="n"/>
      <c r="QO131" s="212" t="n"/>
      <c r="QP131" s="212" t="n"/>
      <c r="QQ131" s="212" t="n"/>
      <c r="QR131" s="212" t="n"/>
      <c r="QS131" s="212" t="n"/>
      <c r="QT131" s="212" t="n"/>
      <c r="QU131" s="212" t="n"/>
      <c r="QV131" s="212" t="n"/>
      <c r="QW131" s="212" t="n"/>
      <c r="QX131" s="212" t="n"/>
      <c r="QY131" s="212" t="n"/>
      <c r="QZ131" s="212" t="n"/>
      <c r="RA131" s="212" t="n"/>
      <c r="RB131" s="212" t="n"/>
      <c r="RC131" s="212" t="n"/>
      <c r="RD131" s="212" t="n"/>
      <c r="RE131" s="212" t="n"/>
      <c r="RF131" s="212" t="n"/>
      <c r="RG131" s="212" t="n"/>
      <c r="RH131" s="212" t="n"/>
      <c r="RI131" s="212" t="n"/>
      <c r="RJ131" s="212" t="n"/>
      <c r="RK131" s="212" t="n"/>
      <c r="RL131" s="212" t="n"/>
      <c r="RM131" s="212" t="n"/>
      <c r="RN131" s="212" t="n"/>
      <c r="RO131" s="212" t="n"/>
      <c r="RP131" s="212" t="n"/>
      <c r="RQ131" s="212" t="n"/>
      <c r="RR131" s="212" t="n"/>
      <c r="RS131" s="212" t="n"/>
      <c r="RT131" s="212" t="n"/>
      <c r="RU131" s="212" t="n"/>
      <c r="RV131" s="212" t="n"/>
      <c r="RW131" s="212" t="n"/>
      <c r="RX131" s="212" t="n"/>
      <c r="RY131" s="212" t="n"/>
      <c r="RZ131" s="212" t="n"/>
      <c r="SA131" s="212" t="n"/>
      <c r="SB131" s="212" t="n"/>
      <c r="SC131" s="212" t="n"/>
      <c r="SD131" s="212" t="n"/>
      <c r="SE131" s="212" t="n"/>
      <c r="SF131" s="212" t="n"/>
      <c r="SG131" s="212" t="n"/>
      <c r="SH131" s="212" t="n"/>
      <c r="SI131" s="212" t="n"/>
      <c r="SJ131" s="212" t="n"/>
      <c r="SK131" s="212" t="n"/>
      <c r="SL131" s="212" t="n"/>
      <c r="SM131" s="212" t="n"/>
      <c r="SN131" s="212" t="n"/>
      <c r="SO131" s="212" t="n"/>
      <c r="SP131" s="212" t="n"/>
      <c r="SQ131" s="212" t="n"/>
      <c r="SR131" s="212" t="n"/>
      <c r="SS131" s="212" t="n"/>
      <c r="ST131" s="212" t="n"/>
      <c r="SU131" s="212" t="n"/>
      <c r="SV131" s="212" t="n"/>
    </row>
    <row r="132">
      <c r="B132" s="209" t="n"/>
      <c r="C132" s="209" t="n"/>
      <c r="D132" s="209" t="n"/>
      <c r="E132" s="209" t="n"/>
      <c r="F132" s="209">
        <f>IF(TRIM(D132&amp;E132)="","",TRIM(D132)&amp;" "&amp;TRIM(E132))</f>
        <v/>
      </c>
      <c r="G132" s="209" t="n"/>
      <c r="H132" s="209" t="n"/>
      <c r="I132" s="209" t="n"/>
      <c r="J132" s="209" t="n"/>
      <c r="K132" s="209" t="n"/>
      <c r="L132" s="209" t="n"/>
      <c r="M132" s="209" t="n"/>
      <c r="N132" s="209" t="n"/>
      <c r="O132" s="209" t="n"/>
      <c r="P132" s="209" t="n"/>
      <c r="Q132" s="209" t="n"/>
      <c r="R132" s="209" t="n"/>
      <c r="S132" s="212" t="n"/>
      <c r="T132" s="212" t="n"/>
      <c r="U132" s="212" t="n"/>
      <c r="V132" s="212" t="n"/>
      <c r="W132" s="212" t="n"/>
      <c r="X132" s="212" t="n"/>
      <c r="Y132" s="212" t="n"/>
      <c r="Z132" s="212" t="n"/>
      <c r="AA132" s="212" t="n"/>
      <c r="AB132" s="212" t="n"/>
      <c r="AC132" s="212" t="n"/>
      <c r="AD132" s="212" t="n"/>
      <c r="AE132" s="212" t="n"/>
      <c r="AF132" s="212" t="n"/>
      <c r="AG132" s="212" t="n"/>
      <c r="AH132" s="212" t="n"/>
      <c r="AI132" s="212" t="n"/>
      <c r="AJ132" s="212" t="n"/>
      <c r="AK132" s="212" t="n"/>
      <c r="AL132" s="212" t="n"/>
      <c r="AM132" s="212" t="n"/>
      <c r="AN132" s="212" t="n"/>
      <c r="AO132" s="212" t="n"/>
      <c r="AP132" s="212" t="n"/>
      <c r="AQ132" s="212" t="n"/>
      <c r="AR132" s="212" t="n"/>
      <c r="AS132" s="212" t="n"/>
      <c r="AT132" s="212" t="n"/>
      <c r="AU132" s="212" t="n"/>
      <c r="AV132" s="212" t="n"/>
      <c r="AW132" s="212" t="n"/>
      <c r="AX132" s="212" t="n"/>
      <c r="AY132" s="212" t="n"/>
      <c r="AZ132" s="212" t="n"/>
      <c r="BA132" s="212" t="n"/>
      <c r="BB132" s="212" t="n"/>
      <c r="BC132" s="212" t="n"/>
      <c r="BD132" s="212" t="n"/>
      <c r="BE132" s="212" t="n"/>
      <c r="BF132" s="212" t="n"/>
      <c r="BG132" s="212" t="n"/>
      <c r="BH132" s="212" t="n"/>
      <c r="BI132" s="212" t="n"/>
      <c r="BJ132" s="212" t="n"/>
      <c r="BK132" s="212" t="n"/>
      <c r="BL132" s="212" t="n"/>
      <c r="BM132" s="212" t="n"/>
      <c r="BN132" s="212" t="n"/>
      <c r="BO132" s="212" t="n"/>
      <c r="BP132" s="212" t="n"/>
      <c r="BQ132" s="212" t="n"/>
      <c r="BR132" s="212" t="n"/>
      <c r="BS132" s="212" t="n"/>
      <c r="BT132" s="212" t="n"/>
      <c r="BU132" s="212" t="n"/>
      <c r="BV132" s="212" t="n"/>
      <c r="BW132" s="212" t="n"/>
      <c r="BX132" s="212" t="n"/>
      <c r="BY132" s="212" t="n"/>
      <c r="BZ132" s="212" t="n"/>
      <c r="CA132" s="212" t="n"/>
      <c r="CB132" s="212" t="n"/>
      <c r="CC132" s="212" t="n"/>
      <c r="CD132" s="212" t="n"/>
      <c r="CE132" s="212" t="n"/>
      <c r="CF132" s="212" t="n"/>
      <c r="CG132" s="212" t="n"/>
      <c r="CH132" s="212" t="n"/>
      <c r="CI132" s="212" t="n"/>
      <c r="CJ132" s="212" t="n"/>
      <c r="CK132" s="212" t="n"/>
      <c r="CL132" s="212" t="n"/>
      <c r="CM132" s="212" t="n"/>
      <c r="CN132" s="212" t="n"/>
      <c r="CO132" s="212" t="n"/>
      <c r="CP132" s="212" t="n"/>
      <c r="CQ132" s="212" t="n"/>
      <c r="CR132" s="212" t="n"/>
      <c r="CS132" s="212" t="n"/>
      <c r="CT132" s="212" t="n"/>
      <c r="CU132" s="212" t="n"/>
      <c r="CV132" s="212" t="n"/>
      <c r="CW132" s="212" t="n"/>
      <c r="CX132" s="212" t="n"/>
      <c r="CY132" s="212" t="n"/>
      <c r="CZ132" s="212" t="n"/>
      <c r="DA132" s="212" t="n"/>
      <c r="DB132" s="212" t="n"/>
      <c r="DC132" s="212" t="n"/>
      <c r="DD132" s="212" t="n"/>
      <c r="DE132" s="212" t="n"/>
      <c r="DF132" s="212" t="n"/>
      <c r="DG132" s="212" t="n"/>
      <c r="DH132" s="212" t="n"/>
      <c r="DI132" s="212" t="n"/>
      <c r="DJ132" s="212" t="n"/>
      <c r="DK132" s="212" t="n"/>
      <c r="DL132" s="212" t="n"/>
      <c r="DM132" s="212" t="n"/>
      <c r="DN132" s="212" t="n"/>
      <c r="DO132" s="212" t="n"/>
      <c r="DP132" s="212" t="n"/>
      <c r="DQ132" s="212" t="n"/>
      <c r="DR132" s="212" t="n"/>
      <c r="DS132" s="212" t="n"/>
      <c r="DT132" s="212" t="n"/>
      <c r="DU132" s="212" t="n"/>
      <c r="DV132" s="212" t="n"/>
      <c r="DW132" s="212" t="n"/>
      <c r="DX132" s="212" t="n"/>
      <c r="DY132" s="212" t="n"/>
      <c r="DZ132" s="212" t="n"/>
      <c r="EA132" s="212" t="n"/>
      <c r="EB132" s="212" t="n"/>
      <c r="EC132" s="212" t="n"/>
      <c r="ED132" s="212" t="n"/>
      <c r="EE132" s="212" t="n"/>
      <c r="EF132" s="212" t="n"/>
      <c r="EG132" s="212" t="n"/>
      <c r="EH132" s="212" t="n"/>
      <c r="EI132" s="212" t="n"/>
      <c r="EJ132" s="212" t="n"/>
      <c r="EK132" s="212" t="n"/>
      <c r="EL132" s="212" t="n"/>
      <c r="EM132" s="212" t="n"/>
      <c r="EN132" s="212" t="n"/>
      <c r="EO132" s="212" t="n"/>
      <c r="EP132" s="212" t="n"/>
      <c r="EQ132" s="212" t="n"/>
      <c r="ER132" s="212" t="n"/>
      <c r="ES132" s="212" t="n"/>
      <c r="ET132" s="212" t="n"/>
      <c r="EU132" s="212" t="n"/>
      <c r="EV132" s="212" t="n"/>
      <c r="EW132" s="212" t="n"/>
      <c r="EX132" s="212" t="n"/>
      <c r="EY132" s="212" t="n"/>
      <c r="EZ132" s="212" t="n"/>
      <c r="FA132" s="212" t="n"/>
      <c r="FB132" s="212" t="n"/>
      <c r="FC132" s="212" t="n"/>
      <c r="FD132" s="212" t="n"/>
      <c r="FE132" s="212" t="n"/>
      <c r="FF132" s="212" t="n"/>
      <c r="FG132" s="212" t="n"/>
      <c r="FH132" s="212" t="n"/>
      <c r="FI132" s="212" t="n"/>
      <c r="FJ132" s="212" t="n"/>
      <c r="FK132" s="212" t="n"/>
      <c r="FL132" s="212" t="n"/>
      <c r="FM132" s="212" t="n"/>
      <c r="FN132" s="212" t="n"/>
      <c r="FO132" s="212" t="n"/>
      <c r="FP132" s="212" t="n"/>
      <c r="FQ132" s="212" t="n"/>
      <c r="FR132" s="212" t="n"/>
      <c r="FS132" s="212" t="n"/>
      <c r="FT132" s="212" t="n"/>
      <c r="FU132" s="212" t="n"/>
      <c r="FV132" s="212" t="n"/>
      <c r="FW132" s="212" t="n"/>
      <c r="FX132" s="212" t="n"/>
      <c r="FY132" s="212" t="n"/>
      <c r="FZ132" s="212" t="n"/>
      <c r="GA132" s="212" t="n"/>
      <c r="GB132" s="212" t="n"/>
      <c r="GC132" s="212" t="n"/>
      <c r="GD132" s="212" t="n"/>
      <c r="GE132" s="212" t="n"/>
      <c r="GF132" s="212" t="n"/>
      <c r="GG132" s="212" t="n"/>
      <c r="GH132" s="212" t="n"/>
      <c r="GI132" s="212" t="n"/>
      <c r="GJ132" s="212" t="n"/>
      <c r="GK132" s="212" t="n"/>
      <c r="GL132" s="212" t="n"/>
      <c r="GM132" s="212" t="n"/>
      <c r="GN132" s="212" t="n"/>
      <c r="GO132" s="212" t="n"/>
      <c r="GP132" s="212" t="n"/>
      <c r="GQ132" s="212" t="n"/>
      <c r="GR132" s="212" t="n"/>
      <c r="GS132" s="212" t="n"/>
      <c r="GT132" s="212" t="n"/>
      <c r="GU132" s="212" t="n"/>
      <c r="GV132" s="212" t="n"/>
      <c r="GW132" s="212" t="n"/>
      <c r="GX132" s="212" t="n"/>
      <c r="GY132" s="212" t="n"/>
      <c r="GZ132" s="212" t="n"/>
      <c r="HA132" s="212" t="n"/>
      <c r="HB132" s="212" t="n"/>
      <c r="HC132" s="212" t="n"/>
      <c r="HD132" s="212" t="n"/>
      <c r="HE132" s="212" t="n"/>
      <c r="HF132" s="212" t="n"/>
      <c r="HG132" s="212" t="n"/>
      <c r="HH132" s="212" t="n"/>
      <c r="HI132" s="212" t="n"/>
      <c r="HJ132" s="212" t="n"/>
      <c r="HK132" s="212" t="n"/>
      <c r="HL132" s="212" t="n"/>
      <c r="HM132" s="212" t="n"/>
      <c r="HN132" s="212" t="n"/>
      <c r="HO132" s="212" t="n"/>
      <c r="HP132" s="212" t="n"/>
      <c r="HQ132" s="212" t="n"/>
      <c r="HR132" s="212" t="n"/>
      <c r="HS132" s="212" t="n"/>
      <c r="HT132" s="212" t="n"/>
      <c r="HU132" s="212" t="n"/>
      <c r="HV132" s="212" t="n"/>
      <c r="HW132" s="212" t="n"/>
      <c r="HX132" s="212" t="n"/>
      <c r="HY132" s="212" t="n"/>
      <c r="HZ132" s="212" t="n"/>
      <c r="IA132" s="212" t="n"/>
      <c r="IB132" s="212" t="n"/>
      <c r="IC132" s="212" t="n"/>
      <c r="ID132" s="212" t="n"/>
      <c r="IE132" s="212" t="n"/>
      <c r="IF132" s="212" t="n"/>
      <c r="IG132" s="212" t="n"/>
      <c r="IH132" s="212" t="n"/>
      <c r="II132" s="212" t="n"/>
      <c r="IJ132" s="212" t="n"/>
      <c r="IK132" s="212" t="n"/>
      <c r="IL132" s="212" t="n"/>
      <c r="IM132" s="212" t="n"/>
      <c r="IN132" s="212" t="n"/>
      <c r="IO132" s="212" t="n"/>
      <c r="IP132" s="212" t="n"/>
      <c r="IQ132" s="212" t="n"/>
      <c r="IR132" s="212" t="n"/>
      <c r="IS132" s="212" t="n"/>
      <c r="IT132" s="212" t="n"/>
      <c r="IU132" s="212" t="n"/>
      <c r="IV132" s="212" t="n"/>
      <c r="IW132" s="212" t="n"/>
      <c r="IX132" s="212" t="n"/>
      <c r="IY132" s="212" t="n"/>
      <c r="IZ132" s="212" t="n"/>
      <c r="JA132" s="212" t="n"/>
      <c r="JB132" s="212" t="n"/>
      <c r="JC132" s="212" t="n"/>
      <c r="JD132" s="212" t="n"/>
      <c r="JE132" s="212" t="n"/>
      <c r="JF132" s="212" t="n"/>
      <c r="JG132" s="212" t="n"/>
      <c r="JH132" s="212" t="n"/>
      <c r="JI132" s="212" t="n"/>
      <c r="JJ132" s="212" t="n"/>
      <c r="JK132" s="212" t="n"/>
      <c r="JL132" s="212" t="n"/>
      <c r="JM132" s="212" t="n"/>
      <c r="JN132" s="212" t="n"/>
      <c r="JO132" s="212" t="n"/>
      <c r="JP132" s="212" t="n"/>
      <c r="JQ132" s="212" t="n"/>
      <c r="JR132" s="212" t="n"/>
      <c r="JS132" s="212" t="n"/>
      <c r="JT132" s="212" t="n"/>
      <c r="JU132" s="212" t="n"/>
      <c r="JV132" s="212" t="n"/>
      <c r="JW132" s="212" t="n"/>
      <c r="JX132" s="212" t="n"/>
      <c r="JY132" s="212" t="n"/>
      <c r="JZ132" s="212" t="n"/>
      <c r="KA132" s="212" t="n"/>
      <c r="KB132" s="212" t="n"/>
      <c r="KC132" s="212" t="n"/>
      <c r="KD132" s="212" t="n"/>
      <c r="KE132" s="212" t="n"/>
      <c r="KF132" s="212" t="n"/>
      <c r="KG132" s="212" t="n"/>
      <c r="KH132" s="212" t="n"/>
      <c r="KI132" s="212" t="n"/>
      <c r="KJ132" s="212" t="n"/>
      <c r="KK132" s="212" t="n"/>
      <c r="KL132" s="212" t="n"/>
      <c r="KM132" s="212" t="n"/>
      <c r="KN132" s="212" t="n"/>
      <c r="KO132" s="212" t="n"/>
      <c r="KP132" s="212" t="n"/>
      <c r="KQ132" s="212" t="n"/>
      <c r="KR132" s="212" t="n"/>
      <c r="KS132" s="212" t="n"/>
      <c r="KT132" s="212" t="n"/>
      <c r="KU132" s="212" t="n"/>
      <c r="KV132" s="212" t="n"/>
      <c r="KW132" s="212" t="n"/>
      <c r="KX132" s="212" t="n"/>
      <c r="KY132" s="212" t="n"/>
      <c r="KZ132" s="212" t="n"/>
      <c r="LA132" s="212" t="n"/>
      <c r="LB132" s="212" t="n"/>
      <c r="LC132" s="212" t="n"/>
      <c r="LD132" s="212" t="n"/>
      <c r="LE132" s="212" t="n"/>
      <c r="LF132" s="212" t="n"/>
      <c r="LG132" s="212" t="n"/>
      <c r="LH132" s="212" t="n"/>
      <c r="LI132" s="212" t="n"/>
      <c r="LJ132" s="212" t="n"/>
      <c r="LK132" s="212" t="n"/>
      <c r="LL132" s="212" t="n"/>
      <c r="LM132" s="212" t="n"/>
      <c r="LN132" s="212" t="n"/>
      <c r="LO132" s="212" t="n"/>
      <c r="LP132" s="212" t="n"/>
      <c r="LQ132" s="212" t="n"/>
      <c r="LR132" s="212" t="n"/>
      <c r="LS132" s="212" t="n"/>
      <c r="LT132" s="212" t="n"/>
      <c r="LU132" s="212" t="n"/>
      <c r="LV132" s="212" t="n"/>
      <c r="LW132" s="212" t="n"/>
      <c r="LX132" s="212" t="n"/>
      <c r="LY132" s="212" t="n"/>
      <c r="LZ132" s="212" t="n"/>
      <c r="MA132" s="212" t="n"/>
      <c r="MB132" s="212" t="n"/>
      <c r="MC132" s="212" t="n"/>
      <c r="MD132" s="212" t="n"/>
      <c r="ME132" s="212" t="n"/>
      <c r="MF132" s="212" t="n"/>
      <c r="MG132" s="212" t="n"/>
      <c r="MH132" s="212" t="n"/>
      <c r="MI132" s="212" t="n"/>
      <c r="MJ132" s="212" t="n"/>
      <c r="MK132" s="212" t="n"/>
      <c r="ML132" s="212" t="n"/>
      <c r="MM132" s="212" t="n"/>
      <c r="MN132" s="212" t="n"/>
      <c r="MO132" s="212" t="n"/>
      <c r="MP132" s="212" t="n"/>
      <c r="MQ132" s="212" t="n"/>
      <c r="MR132" s="212" t="n"/>
      <c r="MS132" s="212" t="n"/>
      <c r="MT132" s="212" t="n"/>
      <c r="MU132" s="212" t="n"/>
      <c r="MV132" s="212" t="n"/>
      <c r="MW132" s="212" t="n"/>
      <c r="MX132" s="212" t="n"/>
      <c r="MY132" s="212" t="n"/>
      <c r="MZ132" s="212" t="n"/>
      <c r="NA132" s="212" t="n"/>
      <c r="NB132" s="212" t="n"/>
      <c r="NC132" s="212" t="n"/>
      <c r="ND132" s="212" t="n"/>
      <c r="NE132" s="212" t="n"/>
      <c r="NF132" s="212" t="n"/>
      <c r="NG132" s="212" t="n"/>
      <c r="NH132" s="212" t="n"/>
      <c r="NI132" s="212" t="n"/>
      <c r="NJ132" s="212" t="n"/>
      <c r="NK132" s="212" t="n"/>
      <c r="NL132" s="212" t="n"/>
      <c r="NM132" s="212" t="n"/>
      <c r="NN132" s="212" t="n"/>
      <c r="NO132" s="212" t="n"/>
      <c r="NP132" s="212" t="n"/>
      <c r="NQ132" s="212" t="n"/>
      <c r="NR132" s="212" t="n"/>
      <c r="NS132" s="212" t="n"/>
      <c r="NT132" s="212" t="n"/>
      <c r="NU132" s="212" t="n"/>
      <c r="NV132" s="212" t="n"/>
      <c r="NW132" s="212" t="n"/>
      <c r="NX132" s="212" t="n"/>
      <c r="NY132" s="212" t="n"/>
      <c r="NZ132" s="212" t="n"/>
      <c r="OA132" s="212" t="n"/>
      <c r="OB132" s="212" t="n"/>
      <c r="OC132" s="212" t="n"/>
      <c r="OD132" s="212" t="n"/>
      <c r="OE132" s="212" t="n"/>
      <c r="OF132" s="212" t="n"/>
      <c r="OG132" s="212" t="n"/>
      <c r="OH132" s="212" t="n"/>
      <c r="OI132" s="212" t="n"/>
      <c r="OJ132" s="212" t="n"/>
      <c r="OK132" s="212" t="n"/>
      <c r="OL132" s="212" t="n"/>
      <c r="OM132" s="212" t="n"/>
      <c r="ON132" s="212" t="n"/>
      <c r="OO132" s="212" t="n"/>
      <c r="OP132" s="212" t="n"/>
      <c r="OQ132" s="212" t="n"/>
      <c r="OR132" s="212" t="n"/>
      <c r="OS132" s="212" t="n"/>
      <c r="OT132" s="212" t="n"/>
      <c r="OU132" s="212" t="n"/>
      <c r="OV132" s="212" t="n"/>
      <c r="OW132" s="212" t="n"/>
      <c r="OX132" s="212" t="n"/>
      <c r="OY132" s="212" t="n"/>
      <c r="OZ132" s="212" t="n"/>
      <c r="PA132" s="212" t="n"/>
      <c r="PB132" s="212" t="n"/>
      <c r="PC132" s="212" t="n"/>
      <c r="PD132" s="212" t="n"/>
      <c r="PE132" s="212" t="n"/>
      <c r="PF132" s="212" t="n"/>
      <c r="PG132" s="212" t="n"/>
      <c r="PH132" s="212" t="n"/>
      <c r="PI132" s="212" t="n"/>
      <c r="PJ132" s="212" t="n"/>
      <c r="PK132" s="212" t="n"/>
      <c r="PL132" s="212" t="n"/>
      <c r="PM132" s="212" t="n"/>
      <c r="PN132" s="212" t="n"/>
      <c r="PO132" s="212" t="n"/>
      <c r="PP132" s="212" t="n"/>
      <c r="PQ132" s="212" t="n"/>
      <c r="PR132" s="212" t="n"/>
      <c r="PS132" s="212" t="n"/>
      <c r="PT132" s="212" t="n"/>
      <c r="PU132" s="212" t="n"/>
      <c r="PV132" s="212" t="n"/>
      <c r="PW132" s="212" t="n"/>
      <c r="PX132" s="212" t="n"/>
      <c r="PY132" s="212" t="n"/>
      <c r="PZ132" s="212" t="n"/>
      <c r="QA132" s="212" t="n"/>
      <c r="QB132" s="212" t="n"/>
      <c r="QC132" s="212" t="n"/>
      <c r="QD132" s="212" t="n"/>
      <c r="QE132" s="212" t="n"/>
      <c r="QF132" s="212" t="n"/>
      <c r="QG132" s="212" t="n"/>
      <c r="QH132" s="212" t="n"/>
      <c r="QI132" s="212" t="n"/>
      <c r="QJ132" s="212" t="n"/>
      <c r="QK132" s="212" t="n"/>
      <c r="QL132" s="212" t="n"/>
      <c r="QM132" s="212" t="n"/>
      <c r="QN132" s="212" t="n"/>
      <c r="QO132" s="212" t="n"/>
      <c r="QP132" s="212" t="n"/>
      <c r="QQ132" s="212" t="n"/>
      <c r="QR132" s="212" t="n"/>
      <c r="QS132" s="212" t="n"/>
      <c r="QT132" s="212" t="n"/>
      <c r="QU132" s="212" t="n"/>
      <c r="QV132" s="212" t="n"/>
      <c r="QW132" s="212" t="n"/>
      <c r="QX132" s="212" t="n"/>
      <c r="QY132" s="212" t="n"/>
      <c r="QZ132" s="212" t="n"/>
      <c r="RA132" s="212" t="n"/>
      <c r="RB132" s="212" t="n"/>
      <c r="RC132" s="212" t="n"/>
      <c r="RD132" s="212" t="n"/>
      <c r="RE132" s="212" t="n"/>
      <c r="RF132" s="212" t="n"/>
      <c r="RG132" s="212" t="n"/>
      <c r="RH132" s="212" t="n"/>
      <c r="RI132" s="212" t="n"/>
      <c r="RJ132" s="212" t="n"/>
      <c r="RK132" s="212" t="n"/>
      <c r="RL132" s="212" t="n"/>
      <c r="RM132" s="212" t="n"/>
      <c r="RN132" s="212" t="n"/>
      <c r="RO132" s="212" t="n"/>
      <c r="RP132" s="212" t="n"/>
      <c r="RQ132" s="212" t="n"/>
      <c r="RR132" s="212" t="n"/>
      <c r="RS132" s="212" t="n"/>
      <c r="RT132" s="212" t="n"/>
      <c r="RU132" s="212" t="n"/>
      <c r="RV132" s="212" t="n"/>
      <c r="RW132" s="212" t="n"/>
      <c r="RX132" s="212" t="n"/>
      <c r="RY132" s="212" t="n"/>
      <c r="RZ132" s="212" t="n"/>
      <c r="SA132" s="212" t="n"/>
      <c r="SB132" s="212" t="n"/>
      <c r="SC132" s="212" t="n"/>
      <c r="SD132" s="212" t="n"/>
      <c r="SE132" s="212" t="n"/>
      <c r="SF132" s="212" t="n"/>
      <c r="SG132" s="212" t="n"/>
      <c r="SH132" s="212" t="n"/>
      <c r="SI132" s="212" t="n"/>
      <c r="SJ132" s="212" t="n"/>
      <c r="SK132" s="212" t="n"/>
      <c r="SL132" s="212" t="n"/>
      <c r="SM132" s="212" t="n"/>
      <c r="SN132" s="212" t="n"/>
      <c r="SO132" s="212" t="n"/>
      <c r="SP132" s="212" t="n"/>
      <c r="SQ132" s="212" t="n"/>
      <c r="SR132" s="212" t="n"/>
      <c r="SS132" s="212" t="n"/>
      <c r="ST132" s="212" t="n"/>
      <c r="SU132" s="212" t="n"/>
      <c r="SV132" s="212" t="n"/>
    </row>
    <row r="133">
      <c r="B133" s="209" t="n"/>
      <c r="C133" s="209" t="n"/>
      <c r="D133" s="209" t="n"/>
      <c r="E133" s="209" t="n"/>
      <c r="F133" s="209">
        <f>IF(TRIM(D133&amp;E133)="","",TRIM(D133)&amp;" "&amp;TRIM(E133))</f>
        <v/>
      </c>
      <c r="G133" s="209" t="n"/>
      <c r="H133" s="209" t="n"/>
      <c r="I133" s="209" t="n"/>
      <c r="J133" s="209" t="n"/>
      <c r="K133" s="209" t="n"/>
      <c r="L133" s="209" t="n"/>
      <c r="M133" s="209" t="n"/>
      <c r="N133" s="209" t="n"/>
      <c r="O133" s="209" t="n"/>
      <c r="P133" s="209" t="n"/>
      <c r="Q133" s="209" t="n"/>
      <c r="R133" s="209" t="n"/>
      <c r="S133" s="212" t="n"/>
      <c r="T133" s="212" t="n"/>
      <c r="U133" s="212" t="n"/>
      <c r="V133" s="212" t="n"/>
      <c r="W133" s="212" t="n"/>
      <c r="X133" s="212" t="n"/>
      <c r="Y133" s="212" t="n"/>
      <c r="Z133" s="212" t="n"/>
      <c r="AA133" s="212" t="n"/>
      <c r="AB133" s="212" t="n"/>
      <c r="AC133" s="212" t="n"/>
      <c r="AD133" s="212" t="n"/>
      <c r="AE133" s="212" t="n"/>
      <c r="AF133" s="212" t="n"/>
      <c r="AG133" s="212" t="n"/>
      <c r="AH133" s="212" t="n"/>
      <c r="AI133" s="212" t="n"/>
      <c r="AJ133" s="212" t="n"/>
      <c r="AK133" s="212" t="n"/>
      <c r="AL133" s="212" t="n"/>
      <c r="AM133" s="212" t="n"/>
      <c r="AN133" s="212" t="n"/>
      <c r="AO133" s="212" t="n"/>
      <c r="AP133" s="212" t="n"/>
      <c r="AQ133" s="212" t="n"/>
      <c r="AR133" s="212" t="n"/>
      <c r="AS133" s="212" t="n"/>
      <c r="AT133" s="212" t="n"/>
      <c r="AU133" s="212" t="n"/>
      <c r="AV133" s="212" t="n"/>
      <c r="AW133" s="212" t="n"/>
      <c r="AX133" s="212" t="n"/>
      <c r="AY133" s="212" t="n"/>
      <c r="AZ133" s="212" t="n"/>
      <c r="BA133" s="212" t="n"/>
      <c r="BB133" s="212" t="n"/>
      <c r="BC133" s="212" t="n"/>
      <c r="BD133" s="212" t="n"/>
      <c r="BE133" s="212" t="n"/>
      <c r="BF133" s="212" t="n"/>
      <c r="BG133" s="212" t="n"/>
      <c r="BH133" s="212" t="n"/>
      <c r="BI133" s="212" t="n"/>
      <c r="BJ133" s="212" t="n"/>
      <c r="BK133" s="212" t="n"/>
      <c r="BL133" s="212" t="n"/>
      <c r="BM133" s="212" t="n"/>
      <c r="BN133" s="212" t="n"/>
      <c r="BO133" s="212" t="n"/>
      <c r="BP133" s="212" t="n"/>
      <c r="BQ133" s="212" t="n"/>
      <c r="BR133" s="212" t="n"/>
      <c r="BS133" s="212" t="n"/>
      <c r="BT133" s="212" t="n"/>
      <c r="BU133" s="212" t="n"/>
      <c r="BV133" s="212" t="n"/>
      <c r="BW133" s="212" t="n"/>
      <c r="BX133" s="212" t="n"/>
      <c r="BY133" s="212" t="n"/>
      <c r="BZ133" s="212" t="n"/>
      <c r="CA133" s="212" t="n"/>
      <c r="CB133" s="212" t="n"/>
      <c r="CC133" s="212" t="n"/>
      <c r="CD133" s="212" t="n"/>
      <c r="CE133" s="212" t="n"/>
      <c r="CF133" s="212" t="n"/>
      <c r="CG133" s="212" t="n"/>
      <c r="CH133" s="212" t="n"/>
      <c r="CI133" s="212" t="n"/>
      <c r="CJ133" s="212" t="n"/>
      <c r="CK133" s="212" t="n"/>
      <c r="CL133" s="212" t="n"/>
      <c r="CM133" s="212" t="n"/>
      <c r="CN133" s="212" t="n"/>
      <c r="CO133" s="212" t="n"/>
      <c r="CP133" s="212" t="n"/>
      <c r="CQ133" s="212" t="n"/>
      <c r="CR133" s="212" t="n"/>
      <c r="CS133" s="212" t="n"/>
      <c r="CT133" s="212" t="n"/>
      <c r="CU133" s="212" t="n"/>
      <c r="CV133" s="212" t="n"/>
      <c r="CW133" s="212" t="n"/>
      <c r="CX133" s="212" t="n"/>
      <c r="CY133" s="212" t="n"/>
      <c r="CZ133" s="212" t="n"/>
      <c r="DA133" s="212" t="n"/>
      <c r="DB133" s="212" t="n"/>
      <c r="DC133" s="212" t="n"/>
      <c r="DD133" s="212" t="n"/>
      <c r="DE133" s="212" t="n"/>
      <c r="DF133" s="212" t="n"/>
      <c r="DG133" s="212" t="n"/>
      <c r="DH133" s="212" t="n"/>
      <c r="DI133" s="212" t="n"/>
      <c r="DJ133" s="212" t="n"/>
      <c r="DK133" s="212" t="n"/>
      <c r="DL133" s="212" t="n"/>
      <c r="DM133" s="212" t="n"/>
      <c r="DN133" s="212" t="n"/>
      <c r="DO133" s="212" t="n"/>
      <c r="DP133" s="212" t="n"/>
      <c r="DQ133" s="212" t="n"/>
      <c r="DR133" s="212" t="n"/>
      <c r="DS133" s="212" t="n"/>
      <c r="DT133" s="212" t="n"/>
      <c r="DU133" s="212" t="n"/>
      <c r="DV133" s="212" t="n"/>
      <c r="DW133" s="212" t="n"/>
      <c r="DX133" s="212" t="n"/>
      <c r="DY133" s="212" t="n"/>
      <c r="DZ133" s="212" t="n"/>
      <c r="EA133" s="212" t="n"/>
      <c r="EB133" s="212" t="n"/>
      <c r="EC133" s="212" t="n"/>
      <c r="ED133" s="212" t="n"/>
      <c r="EE133" s="212" t="n"/>
      <c r="EF133" s="212" t="n"/>
      <c r="EG133" s="212" t="n"/>
      <c r="EH133" s="212" t="n"/>
      <c r="EI133" s="212" t="n"/>
      <c r="EJ133" s="212" t="n"/>
      <c r="EK133" s="212" t="n"/>
      <c r="EL133" s="212" t="n"/>
      <c r="EM133" s="212" t="n"/>
      <c r="EN133" s="212" t="n"/>
      <c r="EO133" s="212" t="n"/>
      <c r="EP133" s="212" t="n"/>
      <c r="EQ133" s="212" t="n"/>
      <c r="ER133" s="212" t="n"/>
      <c r="ES133" s="212" t="n"/>
      <c r="ET133" s="212" t="n"/>
      <c r="EU133" s="212" t="n"/>
      <c r="EV133" s="212" t="n"/>
      <c r="EW133" s="212" t="n"/>
      <c r="EX133" s="212" t="n"/>
      <c r="EY133" s="212" t="n"/>
      <c r="EZ133" s="212" t="n"/>
      <c r="FA133" s="212" t="n"/>
      <c r="FB133" s="212" t="n"/>
      <c r="FC133" s="212" t="n"/>
      <c r="FD133" s="212" t="n"/>
      <c r="FE133" s="212" t="n"/>
      <c r="FF133" s="212" t="n"/>
      <c r="FG133" s="212" t="n"/>
      <c r="FH133" s="212" t="n"/>
      <c r="FI133" s="212" t="n"/>
      <c r="FJ133" s="212" t="n"/>
      <c r="FK133" s="212" t="n"/>
      <c r="FL133" s="212" t="n"/>
      <c r="FM133" s="212" t="n"/>
      <c r="FN133" s="212" t="n"/>
      <c r="FO133" s="212" t="n"/>
      <c r="FP133" s="212" t="n"/>
      <c r="FQ133" s="212" t="n"/>
      <c r="FR133" s="212" t="n"/>
      <c r="FS133" s="212" t="n"/>
      <c r="FT133" s="212" t="n"/>
      <c r="FU133" s="212" t="n"/>
      <c r="FV133" s="212" t="n"/>
      <c r="FW133" s="212" t="n"/>
      <c r="FX133" s="212" t="n"/>
      <c r="FY133" s="212" t="n"/>
      <c r="FZ133" s="212" t="n"/>
      <c r="GA133" s="212" t="n"/>
      <c r="GB133" s="212" t="n"/>
      <c r="GC133" s="212" t="n"/>
      <c r="GD133" s="212" t="n"/>
      <c r="GE133" s="212" t="n"/>
      <c r="GF133" s="212" t="n"/>
      <c r="GG133" s="212" t="n"/>
      <c r="GH133" s="212" t="n"/>
      <c r="GI133" s="212" t="n"/>
      <c r="GJ133" s="212" t="n"/>
      <c r="GK133" s="212" t="n"/>
      <c r="GL133" s="212" t="n"/>
      <c r="GM133" s="212" t="n"/>
      <c r="GN133" s="212" t="n"/>
      <c r="GO133" s="212" t="n"/>
      <c r="GP133" s="212" t="n"/>
      <c r="GQ133" s="212" t="n"/>
      <c r="GR133" s="212" t="n"/>
      <c r="GS133" s="212" t="n"/>
      <c r="GT133" s="212" t="n"/>
      <c r="GU133" s="212" t="n"/>
      <c r="GV133" s="212" t="n"/>
      <c r="GW133" s="212" t="n"/>
      <c r="GX133" s="212" t="n"/>
      <c r="GY133" s="212" t="n"/>
      <c r="GZ133" s="212" t="n"/>
      <c r="HA133" s="212" t="n"/>
      <c r="HB133" s="212" t="n"/>
      <c r="HC133" s="212" t="n"/>
      <c r="HD133" s="212" t="n"/>
      <c r="HE133" s="212" t="n"/>
      <c r="HF133" s="212" t="n"/>
      <c r="HG133" s="212" t="n"/>
      <c r="HH133" s="212" t="n"/>
      <c r="HI133" s="212" t="n"/>
      <c r="HJ133" s="212" t="n"/>
      <c r="HK133" s="212" t="n"/>
      <c r="HL133" s="212" t="n"/>
      <c r="HM133" s="212" t="n"/>
      <c r="HN133" s="212" t="n"/>
      <c r="HO133" s="212" t="n"/>
      <c r="HP133" s="212" t="n"/>
      <c r="HQ133" s="212" t="n"/>
      <c r="HR133" s="212" t="n"/>
      <c r="HS133" s="212" t="n"/>
      <c r="HT133" s="212" t="n"/>
      <c r="HU133" s="212" t="n"/>
      <c r="HV133" s="212" t="n"/>
      <c r="HW133" s="212" t="n"/>
      <c r="HX133" s="212" t="n"/>
      <c r="HY133" s="212" t="n"/>
      <c r="HZ133" s="212" t="n"/>
      <c r="IA133" s="212" t="n"/>
      <c r="IB133" s="212" t="n"/>
      <c r="IC133" s="212" t="n"/>
      <c r="ID133" s="212" t="n"/>
      <c r="IE133" s="212" t="n"/>
      <c r="IF133" s="212" t="n"/>
      <c r="IG133" s="212" t="n"/>
      <c r="IH133" s="212" t="n"/>
      <c r="II133" s="212" t="n"/>
      <c r="IJ133" s="212" t="n"/>
      <c r="IK133" s="212" t="n"/>
      <c r="IL133" s="212" t="n"/>
      <c r="IM133" s="212" t="n"/>
      <c r="IN133" s="212" t="n"/>
      <c r="IO133" s="212" t="n"/>
      <c r="IP133" s="212" t="n"/>
      <c r="IQ133" s="212" t="n"/>
      <c r="IR133" s="212" t="n"/>
      <c r="IS133" s="212" t="n"/>
      <c r="IT133" s="212" t="n"/>
      <c r="IU133" s="212" t="n"/>
      <c r="IV133" s="212" t="n"/>
      <c r="IW133" s="212" t="n"/>
      <c r="IX133" s="212" t="n"/>
      <c r="IY133" s="212" t="n"/>
      <c r="IZ133" s="212" t="n"/>
      <c r="JA133" s="212" t="n"/>
      <c r="JB133" s="212" t="n"/>
      <c r="JC133" s="212" t="n"/>
      <c r="JD133" s="212" t="n"/>
      <c r="JE133" s="212" t="n"/>
      <c r="JF133" s="212" t="n"/>
      <c r="JG133" s="212" t="n"/>
      <c r="JH133" s="212" t="n"/>
      <c r="JI133" s="212" t="n"/>
      <c r="JJ133" s="212" t="n"/>
      <c r="JK133" s="212" t="n"/>
      <c r="JL133" s="212" t="n"/>
      <c r="JM133" s="212" t="n"/>
      <c r="JN133" s="212" t="n"/>
      <c r="JO133" s="212" t="n"/>
      <c r="JP133" s="212" t="n"/>
      <c r="JQ133" s="212" t="n"/>
      <c r="JR133" s="212" t="n"/>
      <c r="JS133" s="212" t="n"/>
      <c r="JT133" s="212" t="n"/>
      <c r="JU133" s="212" t="n"/>
      <c r="JV133" s="212" t="n"/>
      <c r="JW133" s="212" t="n"/>
      <c r="JX133" s="212" t="n"/>
      <c r="JY133" s="212" t="n"/>
      <c r="JZ133" s="212" t="n"/>
      <c r="KA133" s="212" t="n"/>
      <c r="KB133" s="212" t="n"/>
      <c r="KC133" s="212" t="n"/>
      <c r="KD133" s="212" t="n"/>
      <c r="KE133" s="212" t="n"/>
      <c r="KF133" s="212" t="n"/>
      <c r="KG133" s="212" t="n"/>
      <c r="KH133" s="212" t="n"/>
      <c r="KI133" s="212" t="n"/>
      <c r="KJ133" s="212" t="n"/>
      <c r="KK133" s="212" t="n"/>
      <c r="KL133" s="212" t="n"/>
      <c r="KM133" s="212" t="n"/>
      <c r="KN133" s="212" t="n"/>
      <c r="KO133" s="212" t="n"/>
      <c r="KP133" s="212" t="n"/>
      <c r="KQ133" s="212" t="n"/>
      <c r="KR133" s="212" t="n"/>
      <c r="KS133" s="212" t="n"/>
      <c r="KT133" s="212" t="n"/>
      <c r="KU133" s="212" t="n"/>
      <c r="KV133" s="212" t="n"/>
      <c r="KW133" s="212" t="n"/>
      <c r="KX133" s="212" t="n"/>
      <c r="KY133" s="212" t="n"/>
      <c r="KZ133" s="212" t="n"/>
      <c r="LA133" s="212" t="n"/>
      <c r="LB133" s="212" t="n"/>
      <c r="LC133" s="212" t="n"/>
      <c r="LD133" s="212" t="n"/>
      <c r="LE133" s="212" t="n"/>
      <c r="LF133" s="212" t="n"/>
      <c r="LG133" s="212" t="n"/>
      <c r="LH133" s="212" t="n"/>
      <c r="LI133" s="212" t="n"/>
      <c r="LJ133" s="212" t="n"/>
      <c r="LK133" s="212" t="n"/>
      <c r="LL133" s="212" t="n"/>
      <c r="LM133" s="212" t="n"/>
      <c r="LN133" s="212" t="n"/>
      <c r="LO133" s="212" t="n"/>
      <c r="LP133" s="212" t="n"/>
      <c r="LQ133" s="212" t="n"/>
      <c r="LR133" s="212" t="n"/>
      <c r="LS133" s="212" t="n"/>
      <c r="LT133" s="212" t="n"/>
      <c r="LU133" s="212" t="n"/>
      <c r="LV133" s="212" t="n"/>
      <c r="LW133" s="212" t="n"/>
      <c r="LX133" s="212" t="n"/>
      <c r="LY133" s="212" t="n"/>
      <c r="LZ133" s="212" t="n"/>
      <c r="MA133" s="212" t="n"/>
      <c r="MB133" s="212" t="n"/>
      <c r="MC133" s="212" t="n"/>
      <c r="MD133" s="212" t="n"/>
      <c r="ME133" s="212" t="n"/>
      <c r="MF133" s="212" t="n"/>
      <c r="MG133" s="212" t="n"/>
      <c r="MH133" s="212" t="n"/>
      <c r="MI133" s="212" t="n"/>
      <c r="MJ133" s="212" t="n"/>
      <c r="MK133" s="212" t="n"/>
      <c r="ML133" s="212" t="n"/>
      <c r="MM133" s="212" t="n"/>
      <c r="MN133" s="212" t="n"/>
      <c r="MO133" s="212" t="n"/>
      <c r="MP133" s="212" t="n"/>
      <c r="MQ133" s="212" t="n"/>
      <c r="MR133" s="212" t="n"/>
      <c r="MS133" s="212" t="n"/>
      <c r="MT133" s="212" t="n"/>
      <c r="MU133" s="212" t="n"/>
      <c r="MV133" s="212" t="n"/>
      <c r="MW133" s="212" t="n"/>
      <c r="MX133" s="212" t="n"/>
      <c r="MY133" s="212" t="n"/>
      <c r="MZ133" s="212" t="n"/>
      <c r="NA133" s="212" t="n"/>
      <c r="NB133" s="212" t="n"/>
      <c r="NC133" s="212" t="n"/>
      <c r="ND133" s="212" t="n"/>
      <c r="NE133" s="212" t="n"/>
      <c r="NF133" s="212" t="n"/>
      <c r="NG133" s="212" t="n"/>
      <c r="NH133" s="212" t="n"/>
      <c r="NI133" s="212" t="n"/>
      <c r="NJ133" s="212" t="n"/>
      <c r="NK133" s="212" t="n"/>
      <c r="NL133" s="212" t="n"/>
      <c r="NM133" s="212" t="n"/>
      <c r="NN133" s="212" t="n"/>
      <c r="NO133" s="212" t="n"/>
      <c r="NP133" s="212" t="n"/>
      <c r="NQ133" s="212" t="n"/>
      <c r="NR133" s="212" t="n"/>
      <c r="NS133" s="212" t="n"/>
      <c r="NT133" s="212" t="n"/>
      <c r="NU133" s="212" t="n"/>
      <c r="NV133" s="212" t="n"/>
      <c r="NW133" s="212" t="n"/>
      <c r="NX133" s="212" t="n"/>
      <c r="NY133" s="212" t="n"/>
      <c r="NZ133" s="212" t="n"/>
      <c r="OA133" s="212" t="n"/>
      <c r="OB133" s="212" t="n"/>
      <c r="OC133" s="212" t="n"/>
      <c r="OD133" s="212" t="n"/>
      <c r="OE133" s="212" t="n"/>
      <c r="OF133" s="212" t="n"/>
      <c r="OG133" s="212" t="n"/>
      <c r="OH133" s="212" t="n"/>
      <c r="OI133" s="212" t="n"/>
      <c r="OJ133" s="212" t="n"/>
      <c r="OK133" s="212" t="n"/>
      <c r="OL133" s="212" t="n"/>
      <c r="OM133" s="212" t="n"/>
      <c r="ON133" s="212" t="n"/>
      <c r="OO133" s="212" t="n"/>
      <c r="OP133" s="212" t="n"/>
      <c r="OQ133" s="212" t="n"/>
      <c r="OR133" s="212" t="n"/>
      <c r="OS133" s="212" t="n"/>
      <c r="OT133" s="212" t="n"/>
      <c r="OU133" s="212" t="n"/>
      <c r="OV133" s="212" t="n"/>
      <c r="OW133" s="212" t="n"/>
      <c r="OX133" s="212" t="n"/>
      <c r="OY133" s="212" t="n"/>
      <c r="OZ133" s="212" t="n"/>
      <c r="PA133" s="212" t="n"/>
      <c r="PB133" s="212" t="n"/>
      <c r="PC133" s="212" t="n"/>
      <c r="PD133" s="212" t="n"/>
      <c r="PE133" s="212" t="n"/>
      <c r="PF133" s="212" t="n"/>
      <c r="PG133" s="212" t="n"/>
      <c r="PH133" s="212" t="n"/>
      <c r="PI133" s="212" t="n"/>
      <c r="PJ133" s="212" t="n"/>
      <c r="PK133" s="212" t="n"/>
      <c r="PL133" s="212" t="n"/>
      <c r="PM133" s="212" t="n"/>
      <c r="PN133" s="212" t="n"/>
      <c r="PO133" s="212" t="n"/>
      <c r="PP133" s="212" t="n"/>
      <c r="PQ133" s="212" t="n"/>
      <c r="PR133" s="212" t="n"/>
      <c r="PS133" s="212" t="n"/>
      <c r="PT133" s="212" t="n"/>
      <c r="PU133" s="212" t="n"/>
      <c r="PV133" s="212" t="n"/>
      <c r="PW133" s="212" t="n"/>
      <c r="PX133" s="212" t="n"/>
      <c r="PY133" s="212" t="n"/>
      <c r="PZ133" s="212" t="n"/>
      <c r="QA133" s="212" t="n"/>
      <c r="QB133" s="212" t="n"/>
      <c r="QC133" s="212" t="n"/>
      <c r="QD133" s="212" t="n"/>
      <c r="QE133" s="212" t="n"/>
      <c r="QF133" s="212" t="n"/>
      <c r="QG133" s="212" t="n"/>
      <c r="QH133" s="212" t="n"/>
      <c r="QI133" s="212" t="n"/>
      <c r="QJ133" s="212" t="n"/>
      <c r="QK133" s="212" t="n"/>
      <c r="QL133" s="212" t="n"/>
      <c r="QM133" s="212" t="n"/>
      <c r="QN133" s="212" t="n"/>
      <c r="QO133" s="212" t="n"/>
      <c r="QP133" s="212" t="n"/>
      <c r="QQ133" s="212" t="n"/>
      <c r="QR133" s="212" t="n"/>
      <c r="QS133" s="212" t="n"/>
      <c r="QT133" s="212" t="n"/>
      <c r="QU133" s="212" t="n"/>
      <c r="QV133" s="212" t="n"/>
      <c r="QW133" s="212" t="n"/>
      <c r="QX133" s="212" t="n"/>
      <c r="QY133" s="212" t="n"/>
      <c r="QZ133" s="212" t="n"/>
      <c r="RA133" s="212" t="n"/>
      <c r="RB133" s="212" t="n"/>
      <c r="RC133" s="212" t="n"/>
      <c r="RD133" s="212" t="n"/>
      <c r="RE133" s="212" t="n"/>
      <c r="RF133" s="212" t="n"/>
      <c r="RG133" s="212" t="n"/>
      <c r="RH133" s="212" t="n"/>
      <c r="RI133" s="212" t="n"/>
      <c r="RJ133" s="212" t="n"/>
      <c r="RK133" s="212" t="n"/>
      <c r="RL133" s="212" t="n"/>
      <c r="RM133" s="212" t="n"/>
      <c r="RN133" s="212" t="n"/>
      <c r="RO133" s="212" t="n"/>
      <c r="RP133" s="212" t="n"/>
      <c r="RQ133" s="212" t="n"/>
      <c r="RR133" s="212" t="n"/>
      <c r="RS133" s="212" t="n"/>
      <c r="RT133" s="212" t="n"/>
      <c r="RU133" s="212" t="n"/>
      <c r="RV133" s="212" t="n"/>
      <c r="RW133" s="212" t="n"/>
      <c r="RX133" s="212" t="n"/>
      <c r="RY133" s="212" t="n"/>
      <c r="RZ133" s="212" t="n"/>
      <c r="SA133" s="212" t="n"/>
      <c r="SB133" s="212" t="n"/>
      <c r="SC133" s="212" t="n"/>
      <c r="SD133" s="212" t="n"/>
      <c r="SE133" s="212" t="n"/>
      <c r="SF133" s="212" t="n"/>
      <c r="SG133" s="212" t="n"/>
      <c r="SH133" s="212" t="n"/>
      <c r="SI133" s="212" t="n"/>
      <c r="SJ133" s="212" t="n"/>
      <c r="SK133" s="212" t="n"/>
      <c r="SL133" s="212" t="n"/>
      <c r="SM133" s="212" t="n"/>
      <c r="SN133" s="212" t="n"/>
      <c r="SO133" s="212" t="n"/>
      <c r="SP133" s="212" t="n"/>
      <c r="SQ133" s="212" t="n"/>
      <c r="SR133" s="212" t="n"/>
      <c r="SS133" s="212" t="n"/>
      <c r="ST133" s="212" t="n"/>
      <c r="SU133" s="212" t="n"/>
      <c r="SV133" s="212" t="n"/>
    </row>
    <row r="134">
      <c r="B134" s="209" t="n"/>
      <c r="C134" s="209" t="n"/>
      <c r="D134" s="209" t="n"/>
      <c r="E134" s="209" t="n"/>
      <c r="F134" s="209">
        <f>IF(TRIM(D134&amp;E134)="","",TRIM(D134)&amp;" "&amp;TRIM(E134))</f>
        <v/>
      </c>
      <c r="G134" s="209" t="n"/>
      <c r="H134" s="209" t="n"/>
      <c r="I134" s="209" t="n"/>
      <c r="J134" s="209" t="n"/>
      <c r="K134" s="209" t="n"/>
      <c r="L134" s="209" t="n"/>
      <c r="M134" s="209" t="n"/>
      <c r="N134" s="209" t="n"/>
      <c r="O134" s="209" t="n"/>
      <c r="P134" s="209" t="n"/>
      <c r="Q134" s="209" t="n"/>
      <c r="R134" s="209" t="n"/>
      <c r="S134" s="212" t="n"/>
      <c r="T134" s="212" t="n"/>
      <c r="U134" s="212" t="n"/>
      <c r="V134" s="212" t="n"/>
      <c r="W134" s="212" t="n"/>
      <c r="X134" s="212" t="n"/>
      <c r="Y134" s="212" t="n"/>
      <c r="Z134" s="212" t="n"/>
      <c r="AA134" s="212" t="n"/>
      <c r="AB134" s="212" t="n"/>
      <c r="AC134" s="212" t="n"/>
      <c r="AD134" s="212" t="n"/>
      <c r="AE134" s="212" t="n"/>
      <c r="AF134" s="212" t="n"/>
      <c r="AG134" s="212" t="n"/>
      <c r="AH134" s="212" t="n"/>
      <c r="AI134" s="212" t="n"/>
      <c r="AJ134" s="212" t="n"/>
      <c r="AK134" s="212" t="n"/>
      <c r="AL134" s="212" t="n"/>
      <c r="AM134" s="212" t="n"/>
      <c r="AN134" s="212" t="n"/>
      <c r="AO134" s="212" t="n"/>
      <c r="AP134" s="212" t="n"/>
      <c r="AQ134" s="212" t="n"/>
      <c r="AR134" s="212" t="n"/>
      <c r="AS134" s="212" t="n"/>
      <c r="AT134" s="212" t="n"/>
      <c r="AU134" s="212" t="n"/>
      <c r="AV134" s="212" t="n"/>
      <c r="AW134" s="212" t="n"/>
      <c r="AX134" s="212" t="n"/>
      <c r="AY134" s="212" t="n"/>
      <c r="AZ134" s="212" t="n"/>
      <c r="BA134" s="212" t="n"/>
      <c r="BB134" s="212" t="n"/>
      <c r="BC134" s="212" t="n"/>
      <c r="BD134" s="212" t="n"/>
      <c r="BE134" s="212" t="n"/>
      <c r="BF134" s="212" t="n"/>
      <c r="BG134" s="212" t="n"/>
      <c r="BH134" s="212" t="n"/>
      <c r="BI134" s="212" t="n"/>
      <c r="BJ134" s="212" t="n"/>
      <c r="BK134" s="212" t="n"/>
      <c r="BL134" s="212" t="n"/>
      <c r="BM134" s="212" t="n"/>
      <c r="BN134" s="212" t="n"/>
      <c r="BO134" s="212" t="n"/>
      <c r="BP134" s="212" t="n"/>
      <c r="BQ134" s="212" t="n"/>
      <c r="BR134" s="212" t="n"/>
      <c r="BS134" s="212" t="n"/>
      <c r="BT134" s="212" t="n"/>
      <c r="BU134" s="212" t="n"/>
      <c r="BV134" s="212" t="n"/>
      <c r="BW134" s="212" t="n"/>
      <c r="BX134" s="212" t="n"/>
      <c r="BY134" s="212" t="n"/>
      <c r="BZ134" s="212" t="n"/>
      <c r="CA134" s="212" t="n"/>
      <c r="CB134" s="212" t="n"/>
      <c r="CC134" s="212" t="n"/>
      <c r="CD134" s="212" t="n"/>
      <c r="CE134" s="212" t="n"/>
      <c r="CF134" s="212" t="n"/>
      <c r="CG134" s="212" t="n"/>
      <c r="CH134" s="212" t="n"/>
      <c r="CI134" s="212" t="n"/>
      <c r="CJ134" s="212" t="n"/>
      <c r="CK134" s="212" t="n"/>
      <c r="CL134" s="212" t="n"/>
      <c r="CM134" s="212" t="n"/>
      <c r="CN134" s="212" t="n"/>
      <c r="CO134" s="212" t="n"/>
      <c r="CP134" s="212" t="n"/>
      <c r="CQ134" s="212" t="n"/>
      <c r="CR134" s="212" t="n"/>
      <c r="CS134" s="212" t="n"/>
      <c r="CT134" s="212" t="n"/>
      <c r="CU134" s="212" t="n"/>
      <c r="CV134" s="212" t="n"/>
      <c r="CW134" s="212" t="n"/>
      <c r="CX134" s="212" t="n"/>
      <c r="CY134" s="212" t="n"/>
      <c r="CZ134" s="212" t="n"/>
      <c r="DA134" s="212" t="n"/>
      <c r="DB134" s="212" t="n"/>
      <c r="DC134" s="212" t="n"/>
      <c r="DD134" s="212" t="n"/>
      <c r="DE134" s="212" t="n"/>
      <c r="DF134" s="212" t="n"/>
      <c r="DG134" s="212" t="n"/>
      <c r="DH134" s="212" t="n"/>
      <c r="DI134" s="212" t="n"/>
      <c r="DJ134" s="212" t="n"/>
      <c r="DK134" s="212" t="n"/>
      <c r="DL134" s="212" t="n"/>
      <c r="DM134" s="212" t="n"/>
      <c r="DN134" s="212" t="n"/>
      <c r="DO134" s="212" t="n"/>
      <c r="DP134" s="212" t="n"/>
      <c r="DQ134" s="212" t="n"/>
      <c r="DR134" s="212" t="n"/>
      <c r="DS134" s="212" t="n"/>
      <c r="DT134" s="212" t="n"/>
      <c r="DU134" s="212" t="n"/>
      <c r="DV134" s="212" t="n"/>
      <c r="DW134" s="212" t="n"/>
      <c r="DX134" s="212" t="n"/>
      <c r="DY134" s="212" t="n"/>
      <c r="DZ134" s="212" t="n"/>
      <c r="EA134" s="212" t="n"/>
      <c r="EB134" s="212" t="n"/>
      <c r="EC134" s="212" t="n"/>
      <c r="ED134" s="212" t="n"/>
      <c r="EE134" s="212" t="n"/>
      <c r="EF134" s="212" t="n"/>
      <c r="EG134" s="212" t="n"/>
      <c r="EH134" s="212" t="n"/>
      <c r="EI134" s="212" t="n"/>
      <c r="EJ134" s="212" t="n"/>
      <c r="EK134" s="212" t="n"/>
      <c r="EL134" s="212" t="n"/>
      <c r="EM134" s="212" t="n"/>
      <c r="EN134" s="212" t="n"/>
      <c r="EO134" s="212" t="n"/>
      <c r="EP134" s="212" t="n"/>
      <c r="EQ134" s="212" t="n"/>
      <c r="ER134" s="212" t="n"/>
      <c r="ES134" s="212" t="n"/>
      <c r="ET134" s="212" t="n"/>
      <c r="EU134" s="212" t="n"/>
      <c r="EV134" s="212" t="n"/>
      <c r="EW134" s="212" t="n"/>
      <c r="EX134" s="212" t="n"/>
      <c r="EY134" s="212" t="n"/>
      <c r="EZ134" s="212" t="n"/>
      <c r="FA134" s="212" t="n"/>
      <c r="FB134" s="212" t="n"/>
      <c r="FC134" s="212" t="n"/>
      <c r="FD134" s="212" t="n"/>
      <c r="FE134" s="212" t="n"/>
      <c r="FF134" s="212" t="n"/>
      <c r="FG134" s="212" t="n"/>
      <c r="FH134" s="212" t="n"/>
      <c r="FI134" s="212" t="n"/>
      <c r="FJ134" s="212" t="n"/>
      <c r="FK134" s="212" t="n"/>
      <c r="FL134" s="212" t="n"/>
      <c r="FM134" s="212" t="n"/>
      <c r="FN134" s="212" t="n"/>
      <c r="FO134" s="212" t="n"/>
      <c r="FP134" s="212" t="n"/>
      <c r="FQ134" s="212" t="n"/>
      <c r="FR134" s="212" t="n"/>
      <c r="FS134" s="212" t="n"/>
      <c r="FT134" s="212" t="n"/>
      <c r="FU134" s="212" t="n"/>
      <c r="FV134" s="212" t="n"/>
      <c r="FW134" s="212" t="n"/>
      <c r="FX134" s="212" t="n"/>
      <c r="FY134" s="212" t="n"/>
      <c r="FZ134" s="212" t="n"/>
      <c r="GA134" s="212" t="n"/>
      <c r="GB134" s="212" t="n"/>
      <c r="GC134" s="212" t="n"/>
      <c r="GD134" s="212" t="n"/>
      <c r="GE134" s="212" t="n"/>
      <c r="GF134" s="212" t="n"/>
      <c r="GG134" s="212" t="n"/>
      <c r="GH134" s="212" t="n"/>
      <c r="GI134" s="212" t="n"/>
      <c r="GJ134" s="212" t="n"/>
      <c r="GK134" s="212" t="n"/>
      <c r="GL134" s="212" t="n"/>
      <c r="GM134" s="212" t="n"/>
      <c r="GN134" s="212" t="n"/>
      <c r="GO134" s="212" t="n"/>
      <c r="GP134" s="212" t="n"/>
      <c r="GQ134" s="212" t="n"/>
      <c r="GR134" s="212" t="n"/>
      <c r="GS134" s="212" t="n"/>
      <c r="GT134" s="212" t="n"/>
      <c r="GU134" s="212" t="n"/>
      <c r="GV134" s="212" t="n"/>
      <c r="GW134" s="212" t="n"/>
      <c r="GX134" s="212" t="n"/>
      <c r="GY134" s="212" t="n"/>
      <c r="GZ134" s="212" t="n"/>
      <c r="HA134" s="212" t="n"/>
      <c r="HB134" s="212" t="n"/>
      <c r="HC134" s="212" t="n"/>
      <c r="HD134" s="212" t="n"/>
      <c r="HE134" s="212" t="n"/>
      <c r="HF134" s="212" t="n"/>
      <c r="HG134" s="212" t="n"/>
      <c r="HH134" s="212" t="n"/>
      <c r="HI134" s="212" t="n"/>
      <c r="HJ134" s="212" t="n"/>
      <c r="HK134" s="212" t="n"/>
      <c r="HL134" s="212" t="n"/>
      <c r="HM134" s="212" t="n"/>
      <c r="HN134" s="212" t="n"/>
      <c r="HO134" s="212" t="n"/>
      <c r="HP134" s="212" t="n"/>
      <c r="HQ134" s="212" t="n"/>
      <c r="HR134" s="212" t="n"/>
      <c r="HS134" s="212" t="n"/>
      <c r="HT134" s="212" t="n"/>
      <c r="HU134" s="212" t="n"/>
      <c r="HV134" s="212" t="n"/>
      <c r="HW134" s="212" t="n"/>
      <c r="HX134" s="212" t="n"/>
      <c r="HY134" s="212" t="n"/>
      <c r="HZ134" s="212" t="n"/>
      <c r="IA134" s="212" t="n"/>
      <c r="IB134" s="212" t="n"/>
      <c r="IC134" s="212" t="n"/>
      <c r="ID134" s="212" t="n"/>
      <c r="IE134" s="212" t="n"/>
      <c r="IF134" s="212" t="n"/>
      <c r="IG134" s="212" t="n"/>
      <c r="IH134" s="212" t="n"/>
      <c r="II134" s="212" t="n"/>
      <c r="IJ134" s="212" t="n"/>
      <c r="IK134" s="212" t="n"/>
      <c r="IL134" s="212" t="n"/>
      <c r="IM134" s="212" t="n"/>
      <c r="IN134" s="212" t="n"/>
      <c r="IO134" s="212" t="n"/>
      <c r="IP134" s="212" t="n"/>
      <c r="IQ134" s="212" t="n"/>
      <c r="IR134" s="212" t="n"/>
      <c r="IS134" s="212" t="n"/>
      <c r="IT134" s="212" t="n"/>
      <c r="IU134" s="212" t="n"/>
      <c r="IV134" s="212" t="n"/>
      <c r="IW134" s="212" t="n"/>
      <c r="IX134" s="212" t="n"/>
      <c r="IY134" s="212" t="n"/>
      <c r="IZ134" s="212" t="n"/>
      <c r="JA134" s="212" t="n"/>
      <c r="JB134" s="212" t="n"/>
      <c r="JC134" s="212" t="n"/>
      <c r="JD134" s="212" t="n"/>
      <c r="JE134" s="212" t="n"/>
      <c r="JF134" s="212" t="n"/>
      <c r="JG134" s="212" t="n"/>
      <c r="JH134" s="212" t="n"/>
      <c r="JI134" s="212" t="n"/>
      <c r="JJ134" s="212" t="n"/>
      <c r="JK134" s="212" t="n"/>
      <c r="JL134" s="212" t="n"/>
      <c r="JM134" s="212" t="n"/>
      <c r="JN134" s="212" t="n"/>
      <c r="JO134" s="212" t="n"/>
      <c r="JP134" s="212" t="n"/>
      <c r="JQ134" s="212" t="n"/>
      <c r="JR134" s="212" t="n"/>
      <c r="JS134" s="212" t="n"/>
      <c r="JT134" s="212" t="n"/>
      <c r="JU134" s="212" t="n"/>
      <c r="JV134" s="212" t="n"/>
      <c r="JW134" s="212" t="n"/>
      <c r="JX134" s="212" t="n"/>
      <c r="JY134" s="212" t="n"/>
      <c r="JZ134" s="212" t="n"/>
      <c r="KA134" s="212" t="n"/>
      <c r="KB134" s="212" t="n"/>
      <c r="KC134" s="212" t="n"/>
      <c r="KD134" s="212" t="n"/>
      <c r="KE134" s="212" t="n"/>
      <c r="KF134" s="212" t="n"/>
      <c r="KG134" s="212" t="n"/>
      <c r="KH134" s="212" t="n"/>
      <c r="KI134" s="212" t="n"/>
      <c r="KJ134" s="212" t="n"/>
      <c r="KK134" s="212" t="n"/>
      <c r="KL134" s="212" t="n"/>
      <c r="KM134" s="212" t="n"/>
      <c r="KN134" s="212" t="n"/>
      <c r="KO134" s="212" t="n"/>
      <c r="KP134" s="212" t="n"/>
      <c r="KQ134" s="212" t="n"/>
      <c r="KR134" s="212" t="n"/>
      <c r="KS134" s="212" t="n"/>
      <c r="KT134" s="212" t="n"/>
      <c r="KU134" s="212" t="n"/>
      <c r="KV134" s="212" t="n"/>
      <c r="KW134" s="212" t="n"/>
      <c r="KX134" s="212" t="n"/>
      <c r="KY134" s="212" t="n"/>
      <c r="KZ134" s="212" t="n"/>
      <c r="LA134" s="212" t="n"/>
      <c r="LB134" s="212" t="n"/>
      <c r="LC134" s="212" t="n"/>
      <c r="LD134" s="212" t="n"/>
      <c r="LE134" s="212" t="n"/>
      <c r="LF134" s="212" t="n"/>
      <c r="LG134" s="212" t="n"/>
      <c r="LH134" s="212" t="n"/>
      <c r="LI134" s="212" t="n"/>
      <c r="LJ134" s="212" t="n"/>
      <c r="LK134" s="212" t="n"/>
      <c r="LL134" s="212" t="n"/>
      <c r="LM134" s="212" t="n"/>
      <c r="LN134" s="212" t="n"/>
      <c r="LO134" s="212" t="n"/>
      <c r="LP134" s="212" t="n"/>
      <c r="LQ134" s="212" t="n"/>
      <c r="LR134" s="212" t="n"/>
      <c r="LS134" s="212" t="n"/>
      <c r="LT134" s="212" t="n"/>
      <c r="LU134" s="212" t="n"/>
      <c r="LV134" s="212" t="n"/>
      <c r="LW134" s="212" t="n"/>
      <c r="LX134" s="212" t="n"/>
      <c r="LY134" s="212" t="n"/>
      <c r="LZ134" s="212" t="n"/>
      <c r="MA134" s="212" t="n"/>
      <c r="MB134" s="212" t="n"/>
      <c r="MC134" s="212" t="n"/>
      <c r="MD134" s="212" t="n"/>
      <c r="ME134" s="212" t="n"/>
      <c r="MF134" s="212" t="n"/>
      <c r="MG134" s="212" t="n"/>
      <c r="MH134" s="212" t="n"/>
      <c r="MI134" s="212" t="n"/>
      <c r="MJ134" s="212" t="n"/>
      <c r="MK134" s="212" t="n"/>
      <c r="ML134" s="212" t="n"/>
      <c r="MM134" s="212" t="n"/>
      <c r="MN134" s="212" t="n"/>
      <c r="MO134" s="212" t="n"/>
      <c r="MP134" s="212" t="n"/>
      <c r="MQ134" s="212" t="n"/>
      <c r="MR134" s="212" t="n"/>
      <c r="MS134" s="212" t="n"/>
      <c r="MT134" s="212" t="n"/>
      <c r="MU134" s="212" t="n"/>
      <c r="MV134" s="212" t="n"/>
      <c r="MW134" s="212" t="n"/>
      <c r="MX134" s="212" t="n"/>
      <c r="MY134" s="212" t="n"/>
      <c r="MZ134" s="212" t="n"/>
      <c r="NA134" s="212" t="n"/>
      <c r="NB134" s="212" t="n"/>
      <c r="NC134" s="212" t="n"/>
      <c r="ND134" s="212" t="n"/>
      <c r="NE134" s="212" t="n"/>
      <c r="NF134" s="212" t="n"/>
      <c r="NG134" s="212" t="n"/>
      <c r="NH134" s="212" t="n"/>
      <c r="NI134" s="212" t="n"/>
      <c r="NJ134" s="212" t="n"/>
      <c r="NK134" s="212" t="n"/>
      <c r="NL134" s="212" t="n"/>
      <c r="NM134" s="212" t="n"/>
      <c r="NN134" s="212" t="n"/>
      <c r="NO134" s="212" t="n"/>
      <c r="NP134" s="212" t="n"/>
      <c r="NQ134" s="212" t="n"/>
      <c r="NR134" s="212" t="n"/>
      <c r="NS134" s="212" t="n"/>
      <c r="NT134" s="212" t="n"/>
      <c r="NU134" s="212" t="n"/>
      <c r="NV134" s="212" t="n"/>
      <c r="NW134" s="212" t="n"/>
      <c r="NX134" s="212" t="n"/>
      <c r="NY134" s="212" t="n"/>
      <c r="NZ134" s="212" t="n"/>
      <c r="OA134" s="212" t="n"/>
      <c r="OB134" s="212" t="n"/>
      <c r="OC134" s="212" t="n"/>
      <c r="OD134" s="212" t="n"/>
      <c r="OE134" s="212" t="n"/>
      <c r="OF134" s="212" t="n"/>
      <c r="OG134" s="212" t="n"/>
      <c r="OH134" s="212" t="n"/>
      <c r="OI134" s="212" t="n"/>
      <c r="OJ134" s="212" t="n"/>
      <c r="OK134" s="212" t="n"/>
      <c r="OL134" s="212" t="n"/>
      <c r="OM134" s="212" t="n"/>
      <c r="ON134" s="212" t="n"/>
      <c r="OO134" s="212" t="n"/>
      <c r="OP134" s="212" t="n"/>
      <c r="OQ134" s="212" t="n"/>
      <c r="OR134" s="212" t="n"/>
      <c r="OS134" s="212" t="n"/>
      <c r="OT134" s="212" t="n"/>
      <c r="OU134" s="212" t="n"/>
      <c r="OV134" s="212" t="n"/>
      <c r="OW134" s="212" t="n"/>
      <c r="OX134" s="212" t="n"/>
      <c r="OY134" s="212" t="n"/>
      <c r="OZ134" s="212" t="n"/>
      <c r="PA134" s="212" t="n"/>
      <c r="PB134" s="212" t="n"/>
      <c r="PC134" s="212" t="n"/>
      <c r="PD134" s="212" t="n"/>
      <c r="PE134" s="212" t="n"/>
      <c r="PF134" s="212" t="n"/>
      <c r="PG134" s="212" t="n"/>
      <c r="PH134" s="212" t="n"/>
      <c r="PI134" s="212" t="n"/>
      <c r="PJ134" s="212" t="n"/>
      <c r="PK134" s="212" t="n"/>
      <c r="PL134" s="212" t="n"/>
      <c r="PM134" s="212" t="n"/>
      <c r="PN134" s="212" t="n"/>
      <c r="PO134" s="212" t="n"/>
      <c r="PP134" s="212" t="n"/>
      <c r="PQ134" s="212" t="n"/>
      <c r="PR134" s="212" t="n"/>
      <c r="PS134" s="212" t="n"/>
      <c r="PT134" s="212" t="n"/>
      <c r="PU134" s="212" t="n"/>
      <c r="PV134" s="212" t="n"/>
      <c r="PW134" s="212" t="n"/>
      <c r="PX134" s="212" t="n"/>
      <c r="PY134" s="212" t="n"/>
      <c r="PZ134" s="212" t="n"/>
      <c r="QA134" s="212" t="n"/>
      <c r="QB134" s="212" t="n"/>
      <c r="QC134" s="212" t="n"/>
      <c r="QD134" s="212" t="n"/>
      <c r="QE134" s="212" t="n"/>
      <c r="QF134" s="212" t="n"/>
      <c r="QG134" s="212" t="n"/>
      <c r="QH134" s="212" t="n"/>
      <c r="QI134" s="212" t="n"/>
      <c r="QJ134" s="212" t="n"/>
      <c r="QK134" s="212" t="n"/>
      <c r="QL134" s="212" t="n"/>
      <c r="QM134" s="212" t="n"/>
      <c r="QN134" s="212" t="n"/>
      <c r="QO134" s="212" t="n"/>
      <c r="QP134" s="212" t="n"/>
      <c r="QQ134" s="212" t="n"/>
      <c r="QR134" s="212" t="n"/>
      <c r="QS134" s="212" t="n"/>
      <c r="QT134" s="212" t="n"/>
      <c r="QU134" s="212" t="n"/>
      <c r="QV134" s="212" t="n"/>
      <c r="QW134" s="212" t="n"/>
      <c r="QX134" s="212" t="n"/>
      <c r="QY134" s="212" t="n"/>
      <c r="QZ134" s="212" t="n"/>
      <c r="RA134" s="212" t="n"/>
      <c r="RB134" s="212" t="n"/>
      <c r="RC134" s="212" t="n"/>
      <c r="RD134" s="212" t="n"/>
      <c r="RE134" s="212" t="n"/>
      <c r="RF134" s="212" t="n"/>
      <c r="RG134" s="212" t="n"/>
      <c r="RH134" s="212" t="n"/>
      <c r="RI134" s="212" t="n"/>
      <c r="RJ134" s="212" t="n"/>
      <c r="RK134" s="212" t="n"/>
      <c r="RL134" s="212" t="n"/>
      <c r="RM134" s="212" t="n"/>
      <c r="RN134" s="212" t="n"/>
      <c r="RO134" s="212" t="n"/>
      <c r="RP134" s="212" t="n"/>
      <c r="RQ134" s="212" t="n"/>
      <c r="RR134" s="212" t="n"/>
      <c r="RS134" s="212" t="n"/>
      <c r="RT134" s="212" t="n"/>
      <c r="RU134" s="212" t="n"/>
      <c r="RV134" s="212" t="n"/>
      <c r="RW134" s="212" t="n"/>
      <c r="RX134" s="212" t="n"/>
      <c r="RY134" s="212" t="n"/>
      <c r="RZ134" s="212" t="n"/>
      <c r="SA134" s="212" t="n"/>
      <c r="SB134" s="212" t="n"/>
      <c r="SC134" s="212" t="n"/>
      <c r="SD134" s="212" t="n"/>
      <c r="SE134" s="212" t="n"/>
      <c r="SF134" s="212" t="n"/>
      <c r="SG134" s="212" t="n"/>
      <c r="SH134" s="212" t="n"/>
      <c r="SI134" s="212" t="n"/>
      <c r="SJ134" s="212" t="n"/>
      <c r="SK134" s="212" t="n"/>
      <c r="SL134" s="212" t="n"/>
      <c r="SM134" s="212" t="n"/>
      <c r="SN134" s="212" t="n"/>
      <c r="SO134" s="212" t="n"/>
      <c r="SP134" s="212" t="n"/>
      <c r="SQ134" s="212" t="n"/>
      <c r="SR134" s="212" t="n"/>
      <c r="SS134" s="212" t="n"/>
      <c r="ST134" s="212" t="n"/>
      <c r="SU134" s="212" t="n"/>
      <c r="SV134" s="212" t="n"/>
    </row>
    <row r="135">
      <c r="B135" s="209" t="n"/>
      <c r="C135" s="209" t="n"/>
      <c r="D135" s="209" t="n"/>
      <c r="E135" s="209" t="n"/>
      <c r="F135" s="209">
        <f>IF(TRIM(D135&amp;E135)="","",TRIM(D135)&amp;" "&amp;TRIM(E135))</f>
        <v/>
      </c>
      <c r="G135" s="209" t="n"/>
      <c r="H135" s="209" t="n"/>
      <c r="I135" s="209" t="n"/>
      <c r="J135" s="209" t="n"/>
      <c r="K135" s="209" t="n"/>
      <c r="L135" s="209" t="n"/>
      <c r="M135" s="209" t="n"/>
      <c r="N135" s="209" t="n"/>
      <c r="O135" s="209" t="n"/>
      <c r="P135" s="209" t="n"/>
      <c r="Q135" s="209" t="n"/>
      <c r="R135" s="209" t="n"/>
      <c r="S135" s="212" t="n"/>
      <c r="T135" s="212" t="n"/>
      <c r="U135" s="212" t="n"/>
      <c r="V135" s="212" t="n"/>
      <c r="W135" s="212" t="n"/>
      <c r="X135" s="212" t="n"/>
      <c r="Y135" s="212" t="n"/>
      <c r="Z135" s="212" t="n"/>
      <c r="AA135" s="212" t="n"/>
      <c r="AB135" s="212" t="n"/>
      <c r="AC135" s="212" t="n"/>
      <c r="AD135" s="212" t="n"/>
      <c r="AE135" s="212" t="n"/>
      <c r="AF135" s="212" t="n"/>
      <c r="AG135" s="212" t="n"/>
      <c r="AH135" s="212" t="n"/>
      <c r="AI135" s="212" t="n"/>
      <c r="AJ135" s="212" t="n"/>
      <c r="AK135" s="212" t="n"/>
      <c r="AL135" s="212" t="n"/>
      <c r="AM135" s="212" t="n"/>
      <c r="AN135" s="212" t="n"/>
      <c r="AO135" s="212" t="n"/>
      <c r="AP135" s="212" t="n"/>
      <c r="AQ135" s="212" t="n"/>
      <c r="AR135" s="212" t="n"/>
      <c r="AS135" s="212" t="n"/>
      <c r="AT135" s="212" t="n"/>
      <c r="AU135" s="212" t="n"/>
      <c r="AV135" s="212" t="n"/>
      <c r="AW135" s="212" t="n"/>
      <c r="AX135" s="212" t="n"/>
      <c r="AY135" s="212" t="n"/>
      <c r="AZ135" s="212" t="n"/>
      <c r="BA135" s="212" t="n"/>
      <c r="BB135" s="212" t="n"/>
      <c r="BC135" s="212" t="n"/>
      <c r="BD135" s="212" t="n"/>
      <c r="BE135" s="212" t="n"/>
      <c r="BF135" s="212" t="n"/>
      <c r="BG135" s="212" t="n"/>
      <c r="BH135" s="212" t="n"/>
      <c r="BI135" s="212" t="n"/>
      <c r="BJ135" s="212" t="n"/>
      <c r="BK135" s="212" t="n"/>
      <c r="BL135" s="212" t="n"/>
      <c r="BM135" s="212" t="n"/>
      <c r="BN135" s="212" t="n"/>
      <c r="BO135" s="212" t="n"/>
      <c r="BP135" s="212" t="n"/>
      <c r="BQ135" s="212" t="n"/>
      <c r="BR135" s="212" t="n"/>
      <c r="BS135" s="212" t="n"/>
      <c r="BT135" s="212" t="n"/>
      <c r="BU135" s="212" t="n"/>
      <c r="BV135" s="212" t="n"/>
      <c r="BW135" s="212" t="n"/>
      <c r="BX135" s="212" t="n"/>
      <c r="BY135" s="212" t="n"/>
      <c r="BZ135" s="212" t="n"/>
      <c r="CA135" s="212" t="n"/>
      <c r="CB135" s="212" t="n"/>
      <c r="CC135" s="212" t="n"/>
      <c r="CD135" s="212" t="n"/>
      <c r="CE135" s="212" t="n"/>
      <c r="CF135" s="212" t="n"/>
      <c r="CG135" s="212" t="n"/>
      <c r="CH135" s="212" t="n"/>
      <c r="CI135" s="212" t="n"/>
      <c r="CJ135" s="212" t="n"/>
      <c r="CK135" s="212" t="n"/>
      <c r="CL135" s="212" t="n"/>
      <c r="CM135" s="212" t="n"/>
      <c r="CN135" s="212" t="n"/>
      <c r="CO135" s="212" t="n"/>
      <c r="CP135" s="212" t="n"/>
      <c r="CQ135" s="212" t="n"/>
      <c r="CR135" s="212" t="n"/>
      <c r="CS135" s="212" t="n"/>
      <c r="CT135" s="212" t="n"/>
      <c r="CU135" s="212" t="n"/>
      <c r="CV135" s="212" t="n"/>
      <c r="CW135" s="212" t="n"/>
      <c r="CX135" s="212" t="n"/>
      <c r="CY135" s="212" t="n"/>
      <c r="CZ135" s="212" t="n"/>
      <c r="DA135" s="212" t="n"/>
      <c r="DB135" s="212" t="n"/>
      <c r="DC135" s="212" t="n"/>
      <c r="DD135" s="212" t="n"/>
      <c r="DE135" s="212" t="n"/>
      <c r="DF135" s="212" t="n"/>
      <c r="DG135" s="212" t="n"/>
      <c r="DH135" s="212" t="n"/>
      <c r="DI135" s="212" t="n"/>
      <c r="DJ135" s="212" t="n"/>
      <c r="DK135" s="212" t="n"/>
      <c r="DL135" s="212" t="n"/>
      <c r="DM135" s="212" t="n"/>
      <c r="DN135" s="212" t="n"/>
      <c r="DO135" s="212" t="n"/>
      <c r="DP135" s="212" t="n"/>
      <c r="DQ135" s="212" t="n"/>
      <c r="DR135" s="212" t="n"/>
      <c r="DS135" s="212" t="n"/>
      <c r="DT135" s="212" t="n"/>
      <c r="DU135" s="212" t="n"/>
      <c r="DV135" s="212" t="n"/>
      <c r="DW135" s="212" t="n"/>
      <c r="DX135" s="212" t="n"/>
      <c r="DY135" s="212" t="n"/>
      <c r="DZ135" s="212" t="n"/>
      <c r="EA135" s="212" t="n"/>
      <c r="EB135" s="212" t="n"/>
      <c r="EC135" s="212" t="n"/>
      <c r="ED135" s="212" t="n"/>
      <c r="EE135" s="212" t="n"/>
      <c r="EF135" s="212" t="n"/>
      <c r="EG135" s="212" t="n"/>
      <c r="EH135" s="212" t="n"/>
      <c r="EI135" s="212" t="n"/>
      <c r="EJ135" s="212" t="n"/>
      <c r="EK135" s="212" t="n"/>
      <c r="EL135" s="212" t="n"/>
      <c r="EM135" s="212" t="n"/>
      <c r="EN135" s="212" t="n"/>
      <c r="EO135" s="212" t="n"/>
      <c r="EP135" s="212" t="n"/>
      <c r="EQ135" s="212" t="n"/>
      <c r="ER135" s="212" t="n"/>
      <c r="ES135" s="212" t="n"/>
      <c r="ET135" s="212" t="n"/>
      <c r="EU135" s="212" t="n"/>
      <c r="EV135" s="212" t="n"/>
      <c r="EW135" s="212" t="n"/>
      <c r="EX135" s="212" t="n"/>
      <c r="EY135" s="212" t="n"/>
      <c r="EZ135" s="212" t="n"/>
      <c r="FA135" s="212" t="n"/>
      <c r="FB135" s="212" t="n"/>
      <c r="FC135" s="212" t="n"/>
      <c r="FD135" s="212" t="n"/>
      <c r="FE135" s="212" t="n"/>
      <c r="FF135" s="212" t="n"/>
      <c r="FG135" s="212" t="n"/>
      <c r="FH135" s="212" t="n"/>
      <c r="FI135" s="212" t="n"/>
      <c r="FJ135" s="212" t="n"/>
      <c r="FK135" s="212" t="n"/>
      <c r="FL135" s="212" t="n"/>
      <c r="FM135" s="212" t="n"/>
      <c r="FN135" s="212" t="n"/>
      <c r="FO135" s="212" t="n"/>
      <c r="FP135" s="212" t="n"/>
      <c r="FQ135" s="212" t="n"/>
      <c r="FR135" s="212" t="n"/>
      <c r="FS135" s="212" t="n"/>
      <c r="FT135" s="212" t="n"/>
      <c r="FU135" s="212" t="n"/>
      <c r="FV135" s="212" t="n"/>
      <c r="FW135" s="212" t="n"/>
      <c r="FX135" s="212" t="n"/>
      <c r="FY135" s="212" t="n"/>
      <c r="FZ135" s="212" t="n"/>
      <c r="GA135" s="212" t="n"/>
      <c r="GB135" s="212" t="n"/>
      <c r="GC135" s="212" t="n"/>
      <c r="GD135" s="212" t="n"/>
      <c r="GE135" s="212" t="n"/>
      <c r="GF135" s="212" t="n"/>
      <c r="GG135" s="212" t="n"/>
      <c r="GH135" s="212" t="n"/>
      <c r="GI135" s="212" t="n"/>
      <c r="GJ135" s="212" t="n"/>
      <c r="GK135" s="212" t="n"/>
      <c r="GL135" s="212" t="n"/>
      <c r="GM135" s="212" t="n"/>
      <c r="GN135" s="212" t="n"/>
      <c r="GO135" s="212" t="n"/>
      <c r="GP135" s="212" t="n"/>
      <c r="GQ135" s="212" t="n"/>
      <c r="GR135" s="212" t="n"/>
      <c r="GS135" s="212" t="n"/>
      <c r="GT135" s="212" t="n"/>
      <c r="GU135" s="212" t="n"/>
      <c r="GV135" s="212" t="n"/>
      <c r="GW135" s="212" t="n"/>
      <c r="GX135" s="212" t="n"/>
      <c r="GY135" s="212" t="n"/>
      <c r="GZ135" s="212" t="n"/>
      <c r="HA135" s="212" t="n"/>
      <c r="HB135" s="212" t="n"/>
      <c r="HC135" s="212" t="n"/>
      <c r="HD135" s="212" t="n"/>
      <c r="HE135" s="212" t="n"/>
      <c r="HF135" s="212" t="n"/>
      <c r="HG135" s="212" t="n"/>
      <c r="HH135" s="212" t="n"/>
      <c r="HI135" s="212" t="n"/>
      <c r="HJ135" s="212" t="n"/>
      <c r="HK135" s="212" t="n"/>
      <c r="HL135" s="212" t="n"/>
      <c r="HM135" s="212" t="n"/>
      <c r="HN135" s="212" t="n"/>
      <c r="HO135" s="212" t="n"/>
      <c r="HP135" s="212" t="n"/>
      <c r="HQ135" s="212" t="n"/>
      <c r="HR135" s="212" t="n"/>
      <c r="HS135" s="212" t="n"/>
      <c r="HT135" s="212" t="n"/>
      <c r="HU135" s="212" t="n"/>
      <c r="HV135" s="212" t="n"/>
      <c r="HW135" s="212" t="n"/>
      <c r="HX135" s="212" t="n"/>
      <c r="HY135" s="212" t="n"/>
      <c r="HZ135" s="212" t="n"/>
      <c r="IA135" s="212" t="n"/>
      <c r="IB135" s="212" t="n"/>
      <c r="IC135" s="212" t="n"/>
      <c r="ID135" s="212" t="n"/>
      <c r="IE135" s="212" t="n"/>
      <c r="IF135" s="212" t="n"/>
      <c r="IG135" s="212" t="n"/>
      <c r="IH135" s="212" t="n"/>
      <c r="II135" s="212" t="n"/>
      <c r="IJ135" s="212" t="n"/>
      <c r="IK135" s="212" t="n"/>
      <c r="IL135" s="212" t="n"/>
      <c r="IM135" s="212" t="n"/>
      <c r="IN135" s="212" t="n"/>
      <c r="IO135" s="212" t="n"/>
      <c r="IP135" s="212" t="n"/>
      <c r="IQ135" s="212" t="n"/>
      <c r="IR135" s="212" t="n"/>
      <c r="IS135" s="212" t="n"/>
      <c r="IT135" s="212" t="n"/>
      <c r="IU135" s="212" t="n"/>
      <c r="IV135" s="212" t="n"/>
      <c r="IW135" s="212" t="n"/>
      <c r="IX135" s="212" t="n"/>
      <c r="IY135" s="212" t="n"/>
      <c r="IZ135" s="212" t="n"/>
      <c r="JA135" s="212" t="n"/>
      <c r="JB135" s="212" t="n"/>
      <c r="JC135" s="212" t="n"/>
      <c r="JD135" s="212" t="n"/>
      <c r="JE135" s="212" t="n"/>
      <c r="JF135" s="212" t="n"/>
      <c r="JG135" s="212" t="n"/>
      <c r="JH135" s="212" t="n"/>
      <c r="JI135" s="212" t="n"/>
      <c r="JJ135" s="212" t="n"/>
      <c r="JK135" s="212" t="n"/>
      <c r="JL135" s="212" t="n"/>
      <c r="JM135" s="212" t="n"/>
      <c r="JN135" s="212" t="n"/>
      <c r="JO135" s="212" t="n"/>
      <c r="JP135" s="212" t="n"/>
      <c r="JQ135" s="212" t="n"/>
      <c r="JR135" s="212" t="n"/>
      <c r="JS135" s="212" t="n"/>
      <c r="JT135" s="212" t="n"/>
      <c r="JU135" s="212" t="n"/>
      <c r="JV135" s="212" t="n"/>
      <c r="JW135" s="212" t="n"/>
      <c r="JX135" s="212" t="n"/>
      <c r="JY135" s="212" t="n"/>
      <c r="JZ135" s="212" t="n"/>
      <c r="KA135" s="212" t="n"/>
      <c r="KB135" s="212" t="n"/>
      <c r="KC135" s="212" t="n"/>
      <c r="KD135" s="212" t="n"/>
      <c r="KE135" s="212" t="n"/>
      <c r="KF135" s="212" t="n"/>
      <c r="KG135" s="212" t="n"/>
      <c r="KH135" s="212" t="n"/>
      <c r="KI135" s="212" t="n"/>
      <c r="KJ135" s="212" t="n"/>
      <c r="KK135" s="212" t="n"/>
      <c r="KL135" s="212" t="n"/>
      <c r="KM135" s="212" t="n"/>
      <c r="KN135" s="212" t="n"/>
      <c r="KO135" s="212" t="n"/>
      <c r="KP135" s="212" t="n"/>
      <c r="KQ135" s="212" t="n"/>
      <c r="KR135" s="212" t="n"/>
      <c r="KS135" s="212" t="n"/>
      <c r="KT135" s="212" t="n"/>
      <c r="KU135" s="212" t="n"/>
      <c r="KV135" s="212" t="n"/>
      <c r="KW135" s="212" t="n"/>
      <c r="KX135" s="212" t="n"/>
      <c r="KY135" s="212" t="n"/>
      <c r="KZ135" s="212" t="n"/>
      <c r="LA135" s="212" t="n"/>
      <c r="LB135" s="212" t="n"/>
      <c r="LC135" s="212" t="n"/>
      <c r="LD135" s="212" t="n"/>
      <c r="LE135" s="212" t="n"/>
      <c r="LF135" s="212" t="n"/>
      <c r="LG135" s="212" t="n"/>
      <c r="LH135" s="212" t="n"/>
      <c r="LI135" s="212" t="n"/>
      <c r="LJ135" s="212" t="n"/>
      <c r="LK135" s="212" t="n"/>
      <c r="LL135" s="212" t="n"/>
      <c r="LM135" s="212" t="n"/>
      <c r="LN135" s="212" t="n"/>
      <c r="LO135" s="212" t="n"/>
      <c r="LP135" s="212" t="n"/>
      <c r="LQ135" s="212" t="n"/>
      <c r="LR135" s="212" t="n"/>
      <c r="LS135" s="212" t="n"/>
      <c r="LT135" s="212" t="n"/>
      <c r="LU135" s="212" t="n"/>
      <c r="LV135" s="212" t="n"/>
      <c r="LW135" s="212" t="n"/>
      <c r="LX135" s="212" t="n"/>
      <c r="LY135" s="212" t="n"/>
      <c r="LZ135" s="212" t="n"/>
      <c r="MA135" s="212" t="n"/>
      <c r="MB135" s="212" t="n"/>
      <c r="MC135" s="212" t="n"/>
      <c r="MD135" s="212" t="n"/>
      <c r="ME135" s="212" t="n"/>
      <c r="MF135" s="212" t="n"/>
      <c r="MG135" s="212" t="n"/>
      <c r="MH135" s="212" t="n"/>
      <c r="MI135" s="212" t="n"/>
      <c r="MJ135" s="212" t="n"/>
      <c r="MK135" s="212" t="n"/>
      <c r="ML135" s="212" t="n"/>
      <c r="MM135" s="212" t="n"/>
      <c r="MN135" s="212" t="n"/>
      <c r="MO135" s="212" t="n"/>
      <c r="MP135" s="212" t="n"/>
      <c r="MQ135" s="212" t="n"/>
      <c r="MR135" s="212" t="n"/>
      <c r="MS135" s="212" t="n"/>
      <c r="MT135" s="212" t="n"/>
      <c r="MU135" s="212" t="n"/>
      <c r="MV135" s="212" t="n"/>
      <c r="MW135" s="212" t="n"/>
      <c r="MX135" s="212" t="n"/>
      <c r="MY135" s="212" t="n"/>
      <c r="MZ135" s="212" t="n"/>
      <c r="NA135" s="212" t="n"/>
      <c r="NB135" s="212" t="n"/>
      <c r="NC135" s="212" t="n"/>
      <c r="ND135" s="212" t="n"/>
      <c r="NE135" s="212" t="n"/>
      <c r="NF135" s="212" t="n"/>
      <c r="NG135" s="212" t="n"/>
      <c r="NH135" s="212" t="n"/>
      <c r="NI135" s="212" t="n"/>
      <c r="NJ135" s="212" t="n"/>
      <c r="NK135" s="212" t="n"/>
      <c r="NL135" s="212" t="n"/>
      <c r="NM135" s="212" t="n"/>
      <c r="NN135" s="212" t="n"/>
      <c r="NO135" s="212" t="n"/>
      <c r="NP135" s="212" t="n"/>
      <c r="NQ135" s="212" t="n"/>
      <c r="NR135" s="212" t="n"/>
      <c r="NS135" s="212" t="n"/>
      <c r="NT135" s="212" t="n"/>
      <c r="NU135" s="212" t="n"/>
      <c r="NV135" s="212" t="n"/>
      <c r="NW135" s="212" t="n"/>
      <c r="NX135" s="212" t="n"/>
      <c r="NY135" s="212" t="n"/>
      <c r="NZ135" s="212" t="n"/>
      <c r="OA135" s="212" t="n"/>
      <c r="OB135" s="212" t="n"/>
      <c r="OC135" s="212" t="n"/>
      <c r="OD135" s="212" t="n"/>
      <c r="OE135" s="212" t="n"/>
      <c r="OF135" s="212" t="n"/>
      <c r="OG135" s="212" t="n"/>
      <c r="OH135" s="212" t="n"/>
      <c r="OI135" s="212" t="n"/>
      <c r="OJ135" s="212" t="n"/>
      <c r="OK135" s="212" t="n"/>
      <c r="OL135" s="212" t="n"/>
      <c r="OM135" s="212" t="n"/>
      <c r="ON135" s="212" t="n"/>
      <c r="OO135" s="212" t="n"/>
      <c r="OP135" s="212" t="n"/>
      <c r="OQ135" s="212" t="n"/>
      <c r="OR135" s="212" t="n"/>
      <c r="OS135" s="212" t="n"/>
      <c r="OT135" s="212" t="n"/>
      <c r="OU135" s="212" t="n"/>
      <c r="OV135" s="212" t="n"/>
      <c r="OW135" s="212" t="n"/>
      <c r="OX135" s="212" t="n"/>
      <c r="OY135" s="212" t="n"/>
      <c r="OZ135" s="212" t="n"/>
      <c r="PA135" s="212" t="n"/>
      <c r="PB135" s="212" t="n"/>
      <c r="PC135" s="212" t="n"/>
      <c r="PD135" s="212" t="n"/>
      <c r="PE135" s="212" t="n"/>
      <c r="PF135" s="212" t="n"/>
      <c r="PG135" s="212" t="n"/>
      <c r="PH135" s="212" t="n"/>
      <c r="PI135" s="212" t="n"/>
      <c r="PJ135" s="212" t="n"/>
      <c r="PK135" s="212" t="n"/>
      <c r="PL135" s="212" t="n"/>
      <c r="PM135" s="212" t="n"/>
      <c r="PN135" s="212" t="n"/>
      <c r="PO135" s="212" t="n"/>
      <c r="PP135" s="212" t="n"/>
      <c r="PQ135" s="212" t="n"/>
      <c r="PR135" s="212" t="n"/>
      <c r="PS135" s="212" t="n"/>
      <c r="PT135" s="212" t="n"/>
      <c r="PU135" s="212" t="n"/>
      <c r="PV135" s="212" t="n"/>
      <c r="PW135" s="212" t="n"/>
      <c r="PX135" s="212" t="n"/>
      <c r="PY135" s="212" t="n"/>
      <c r="PZ135" s="212" t="n"/>
      <c r="QA135" s="212" t="n"/>
      <c r="QB135" s="212" t="n"/>
      <c r="QC135" s="212" t="n"/>
      <c r="QD135" s="212" t="n"/>
      <c r="QE135" s="212" t="n"/>
      <c r="QF135" s="212" t="n"/>
      <c r="QG135" s="212" t="n"/>
      <c r="QH135" s="212" t="n"/>
      <c r="QI135" s="212" t="n"/>
      <c r="QJ135" s="212" t="n"/>
      <c r="QK135" s="212" t="n"/>
      <c r="QL135" s="212" t="n"/>
      <c r="QM135" s="212" t="n"/>
      <c r="QN135" s="212" t="n"/>
      <c r="QO135" s="212" t="n"/>
      <c r="QP135" s="212" t="n"/>
      <c r="QQ135" s="212" t="n"/>
      <c r="QR135" s="212" t="n"/>
      <c r="QS135" s="212" t="n"/>
      <c r="QT135" s="212" t="n"/>
      <c r="QU135" s="212" t="n"/>
      <c r="QV135" s="212" t="n"/>
      <c r="QW135" s="212" t="n"/>
      <c r="QX135" s="212" t="n"/>
      <c r="QY135" s="212" t="n"/>
      <c r="QZ135" s="212" t="n"/>
      <c r="RA135" s="212" t="n"/>
      <c r="RB135" s="212" t="n"/>
      <c r="RC135" s="212" t="n"/>
      <c r="RD135" s="212" t="n"/>
      <c r="RE135" s="212" t="n"/>
      <c r="RF135" s="212" t="n"/>
      <c r="RG135" s="212" t="n"/>
      <c r="RH135" s="212" t="n"/>
      <c r="RI135" s="212" t="n"/>
      <c r="RJ135" s="212" t="n"/>
      <c r="RK135" s="212" t="n"/>
      <c r="RL135" s="212" t="n"/>
      <c r="RM135" s="212" t="n"/>
      <c r="RN135" s="212" t="n"/>
      <c r="RO135" s="212" t="n"/>
      <c r="RP135" s="212" t="n"/>
      <c r="RQ135" s="212" t="n"/>
      <c r="RR135" s="212" t="n"/>
      <c r="RS135" s="212" t="n"/>
      <c r="RT135" s="212" t="n"/>
      <c r="RU135" s="212" t="n"/>
      <c r="RV135" s="212" t="n"/>
      <c r="RW135" s="212" t="n"/>
      <c r="RX135" s="212" t="n"/>
      <c r="RY135" s="212" t="n"/>
      <c r="RZ135" s="212" t="n"/>
      <c r="SA135" s="212" t="n"/>
      <c r="SB135" s="212" t="n"/>
      <c r="SC135" s="212" t="n"/>
      <c r="SD135" s="212" t="n"/>
      <c r="SE135" s="212" t="n"/>
      <c r="SF135" s="212" t="n"/>
      <c r="SG135" s="212" t="n"/>
      <c r="SH135" s="212" t="n"/>
      <c r="SI135" s="212" t="n"/>
      <c r="SJ135" s="212" t="n"/>
      <c r="SK135" s="212" t="n"/>
      <c r="SL135" s="212" t="n"/>
      <c r="SM135" s="212" t="n"/>
      <c r="SN135" s="212" t="n"/>
      <c r="SO135" s="212" t="n"/>
      <c r="SP135" s="212" t="n"/>
      <c r="SQ135" s="212" t="n"/>
      <c r="SR135" s="212" t="n"/>
      <c r="SS135" s="212" t="n"/>
      <c r="ST135" s="212" t="n"/>
      <c r="SU135" s="212" t="n"/>
      <c r="SV135" s="212" t="n"/>
    </row>
    <row r="136">
      <c r="B136" s="209" t="n"/>
      <c r="C136" s="209" t="n"/>
      <c r="D136" s="209" t="n"/>
      <c r="E136" s="209" t="n"/>
      <c r="F136" s="209">
        <f>IF(TRIM(D136&amp;E136)="","",TRIM(D136)&amp;" "&amp;TRIM(E136))</f>
        <v/>
      </c>
      <c r="G136" s="209" t="n"/>
      <c r="H136" s="209" t="n"/>
      <c r="I136" s="209" t="n"/>
      <c r="J136" s="209" t="n"/>
      <c r="K136" s="209" t="n"/>
      <c r="L136" s="209" t="n"/>
      <c r="M136" s="209" t="n"/>
      <c r="N136" s="209" t="n"/>
      <c r="O136" s="209" t="n"/>
      <c r="P136" s="209" t="n"/>
      <c r="Q136" s="209" t="n"/>
      <c r="R136" s="209" t="n"/>
      <c r="S136" s="212" t="n"/>
      <c r="T136" s="212" t="n"/>
      <c r="U136" s="212" t="n"/>
      <c r="V136" s="212" t="n"/>
      <c r="W136" s="212" t="n"/>
      <c r="X136" s="212" t="n"/>
      <c r="Y136" s="212" t="n"/>
      <c r="Z136" s="212" t="n"/>
      <c r="AA136" s="212" t="n"/>
      <c r="AB136" s="212" t="n"/>
      <c r="AC136" s="212" t="n"/>
      <c r="AD136" s="212" t="n"/>
      <c r="AE136" s="212" t="n"/>
      <c r="AF136" s="212" t="n"/>
      <c r="AG136" s="212" t="n"/>
      <c r="AH136" s="212" t="n"/>
      <c r="AI136" s="212" t="n"/>
      <c r="AJ136" s="212" t="n"/>
      <c r="AK136" s="212" t="n"/>
      <c r="AL136" s="212" t="n"/>
      <c r="AM136" s="212" t="n"/>
      <c r="AN136" s="212" t="n"/>
      <c r="AO136" s="212" t="n"/>
      <c r="AP136" s="212" t="n"/>
      <c r="AQ136" s="212" t="n"/>
      <c r="AR136" s="212" t="n"/>
      <c r="AS136" s="212" t="n"/>
      <c r="AT136" s="212" t="n"/>
      <c r="AU136" s="212" t="n"/>
      <c r="AV136" s="212" t="n"/>
      <c r="AW136" s="212" t="n"/>
      <c r="AX136" s="212" t="n"/>
      <c r="AY136" s="212" t="n"/>
      <c r="AZ136" s="212" t="n"/>
      <c r="BA136" s="212" t="n"/>
      <c r="BB136" s="212" t="n"/>
      <c r="BC136" s="212" t="n"/>
      <c r="BD136" s="212" t="n"/>
      <c r="BE136" s="212" t="n"/>
      <c r="BF136" s="212" t="n"/>
      <c r="BG136" s="212" t="n"/>
      <c r="BH136" s="212" t="n"/>
      <c r="BI136" s="212" t="n"/>
      <c r="BJ136" s="212" t="n"/>
      <c r="BK136" s="212" t="n"/>
      <c r="BL136" s="212" t="n"/>
      <c r="BM136" s="212" t="n"/>
      <c r="BN136" s="212" t="n"/>
      <c r="BO136" s="212" t="n"/>
      <c r="BP136" s="212" t="n"/>
      <c r="BQ136" s="212" t="n"/>
      <c r="BR136" s="212" t="n"/>
      <c r="BS136" s="212" t="n"/>
      <c r="BT136" s="212" t="n"/>
      <c r="BU136" s="212" t="n"/>
      <c r="BV136" s="212" t="n"/>
      <c r="BW136" s="212" t="n"/>
      <c r="BX136" s="212" t="n"/>
      <c r="BY136" s="212" t="n"/>
      <c r="BZ136" s="212" t="n"/>
      <c r="CA136" s="212" t="n"/>
      <c r="CB136" s="212" t="n"/>
      <c r="CC136" s="212" t="n"/>
      <c r="CD136" s="212" t="n"/>
      <c r="CE136" s="212" t="n"/>
      <c r="CF136" s="212" t="n"/>
      <c r="CG136" s="212" t="n"/>
      <c r="CH136" s="212" t="n"/>
      <c r="CI136" s="212" t="n"/>
      <c r="CJ136" s="212" t="n"/>
      <c r="CK136" s="212" t="n"/>
      <c r="CL136" s="212" t="n"/>
      <c r="CM136" s="212" t="n"/>
      <c r="CN136" s="212" t="n"/>
      <c r="CO136" s="212" t="n"/>
      <c r="CP136" s="212" t="n"/>
      <c r="CQ136" s="212" t="n"/>
      <c r="CR136" s="212" t="n"/>
      <c r="CS136" s="212" t="n"/>
      <c r="CT136" s="212" t="n"/>
      <c r="CU136" s="212" t="n"/>
      <c r="CV136" s="212" t="n"/>
      <c r="CW136" s="212" t="n"/>
      <c r="CX136" s="212" t="n"/>
      <c r="CY136" s="212" t="n"/>
      <c r="CZ136" s="212" t="n"/>
      <c r="DA136" s="212" t="n"/>
      <c r="DB136" s="212" t="n"/>
      <c r="DC136" s="212" t="n"/>
      <c r="DD136" s="212" t="n"/>
      <c r="DE136" s="212" t="n"/>
      <c r="DF136" s="212" t="n"/>
      <c r="DG136" s="212" t="n"/>
      <c r="DH136" s="212" t="n"/>
      <c r="DI136" s="212" t="n"/>
      <c r="DJ136" s="212" t="n"/>
      <c r="DK136" s="212" t="n"/>
      <c r="DL136" s="212" t="n"/>
      <c r="DM136" s="212" t="n"/>
      <c r="DN136" s="212" t="n"/>
      <c r="DO136" s="212" t="n"/>
      <c r="DP136" s="212" t="n"/>
      <c r="DQ136" s="212" t="n"/>
      <c r="DR136" s="212" t="n"/>
      <c r="DS136" s="212" t="n"/>
      <c r="DT136" s="212" t="n"/>
      <c r="DU136" s="212" t="n"/>
      <c r="DV136" s="212" t="n"/>
      <c r="DW136" s="212" t="n"/>
      <c r="DX136" s="212" t="n"/>
      <c r="DY136" s="212" t="n"/>
      <c r="DZ136" s="212" t="n"/>
      <c r="EA136" s="212" t="n"/>
      <c r="EB136" s="212" t="n"/>
      <c r="EC136" s="212" t="n"/>
      <c r="ED136" s="212" t="n"/>
      <c r="EE136" s="212" t="n"/>
      <c r="EF136" s="212" t="n"/>
      <c r="EG136" s="212" t="n"/>
      <c r="EH136" s="212" t="n"/>
      <c r="EI136" s="212" t="n"/>
      <c r="EJ136" s="212" t="n"/>
      <c r="EK136" s="212" t="n"/>
      <c r="EL136" s="212" t="n"/>
      <c r="EM136" s="212" t="n"/>
      <c r="EN136" s="212" t="n"/>
      <c r="EO136" s="212" t="n"/>
      <c r="EP136" s="212" t="n"/>
      <c r="EQ136" s="212" t="n"/>
      <c r="ER136" s="212" t="n"/>
      <c r="ES136" s="212" t="n"/>
      <c r="ET136" s="212" t="n"/>
      <c r="EU136" s="212" t="n"/>
      <c r="EV136" s="212" t="n"/>
      <c r="EW136" s="212" t="n"/>
      <c r="EX136" s="212" t="n"/>
      <c r="EY136" s="212" t="n"/>
      <c r="EZ136" s="212" t="n"/>
      <c r="FA136" s="212" t="n"/>
      <c r="FB136" s="212" t="n"/>
      <c r="FC136" s="212" t="n"/>
      <c r="FD136" s="212" t="n"/>
      <c r="FE136" s="212" t="n"/>
      <c r="FF136" s="212" t="n"/>
      <c r="FG136" s="212" t="n"/>
      <c r="FH136" s="212" t="n"/>
      <c r="FI136" s="212" t="n"/>
      <c r="FJ136" s="212" t="n"/>
      <c r="FK136" s="212" t="n"/>
      <c r="FL136" s="212" t="n"/>
      <c r="FM136" s="212" t="n"/>
      <c r="FN136" s="212" t="n"/>
      <c r="FO136" s="212" t="n"/>
      <c r="FP136" s="212" t="n"/>
      <c r="FQ136" s="212" t="n"/>
      <c r="FR136" s="212" t="n"/>
      <c r="FS136" s="212" t="n"/>
      <c r="FT136" s="212" t="n"/>
      <c r="FU136" s="212" t="n"/>
      <c r="FV136" s="212" t="n"/>
      <c r="FW136" s="212" t="n"/>
      <c r="FX136" s="212" t="n"/>
      <c r="FY136" s="212" t="n"/>
      <c r="FZ136" s="212" t="n"/>
      <c r="GA136" s="212" t="n"/>
      <c r="GB136" s="212" t="n"/>
      <c r="GC136" s="212" t="n"/>
      <c r="GD136" s="212" t="n"/>
      <c r="GE136" s="212" t="n"/>
      <c r="GF136" s="212" t="n"/>
      <c r="GG136" s="212" t="n"/>
      <c r="GH136" s="212" t="n"/>
      <c r="GI136" s="212" t="n"/>
      <c r="GJ136" s="212" t="n"/>
      <c r="GK136" s="212" t="n"/>
      <c r="GL136" s="212" t="n"/>
      <c r="GM136" s="212" t="n"/>
      <c r="GN136" s="212" t="n"/>
      <c r="GO136" s="212" t="n"/>
      <c r="GP136" s="212" t="n"/>
      <c r="GQ136" s="212" t="n"/>
      <c r="GR136" s="212" t="n"/>
      <c r="GS136" s="212" t="n"/>
      <c r="GT136" s="212" t="n"/>
      <c r="GU136" s="212" t="n"/>
      <c r="GV136" s="212" t="n"/>
      <c r="GW136" s="212" t="n"/>
      <c r="GX136" s="212" t="n"/>
      <c r="GY136" s="212" t="n"/>
      <c r="GZ136" s="212" t="n"/>
      <c r="HA136" s="212" t="n"/>
      <c r="HB136" s="212" t="n"/>
      <c r="HC136" s="212" t="n"/>
      <c r="HD136" s="212" t="n"/>
      <c r="HE136" s="212" t="n"/>
      <c r="HF136" s="212" t="n"/>
      <c r="HG136" s="212" t="n"/>
      <c r="HH136" s="212" t="n"/>
      <c r="HI136" s="212" t="n"/>
      <c r="HJ136" s="212" t="n"/>
      <c r="HK136" s="212" t="n"/>
      <c r="HL136" s="212" t="n"/>
      <c r="HM136" s="212" t="n"/>
      <c r="HN136" s="212" t="n"/>
      <c r="HO136" s="212" t="n"/>
      <c r="HP136" s="212" t="n"/>
      <c r="HQ136" s="212" t="n"/>
      <c r="HR136" s="212" t="n"/>
      <c r="HS136" s="212" t="n"/>
      <c r="HT136" s="212" t="n"/>
      <c r="HU136" s="212" t="n"/>
      <c r="HV136" s="212" t="n"/>
      <c r="HW136" s="212" t="n"/>
      <c r="HX136" s="212" t="n"/>
      <c r="HY136" s="212" t="n"/>
      <c r="HZ136" s="212" t="n"/>
      <c r="IA136" s="212" t="n"/>
      <c r="IB136" s="212" t="n"/>
      <c r="IC136" s="212" t="n"/>
      <c r="ID136" s="212" t="n"/>
      <c r="IE136" s="212" t="n"/>
      <c r="IF136" s="212" t="n"/>
      <c r="IG136" s="212" t="n"/>
      <c r="IH136" s="212" t="n"/>
      <c r="II136" s="212" t="n"/>
      <c r="IJ136" s="212" t="n"/>
      <c r="IK136" s="212" t="n"/>
      <c r="IL136" s="212" t="n"/>
      <c r="IM136" s="212" t="n"/>
      <c r="IN136" s="212" t="n"/>
      <c r="IO136" s="212" t="n"/>
      <c r="IP136" s="212" t="n"/>
      <c r="IQ136" s="212" t="n"/>
      <c r="IR136" s="212" t="n"/>
      <c r="IS136" s="212" t="n"/>
      <c r="IT136" s="212" t="n"/>
      <c r="IU136" s="212" t="n"/>
      <c r="IV136" s="212" t="n"/>
      <c r="IW136" s="212" t="n"/>
      <c r="IX136" s="212" t="n"/>
      <c r="IY136" s="212" t="n"/>
      <c r="IZ136" s="212" t="n"/>
      <c r="JA136" s="212" t="n"/>
      <c r="JB136" s="212" t="n"/>
      <c r="JC136" s="212" t="n"/>
      <c r="JD136" s="212" t="n"/>
      <c r="JE136" s="212" t="n"/>
      <c r="JF136" s="212" t="n"/>
      <c r="JG136" s="212" t="n"/>
      <c r="JH136" s="212" t="n"/>
      <c r="JI136" s="212" t="n"/>
      <c r="JJ136" s="212" t="n"/>
      <c r="JK136" s="212" t="n"/>
      <c r="JL136" s="212" t="n"/>
      <c r="JM136" s="212" t="n"/>
      <c r="JN136" s="212" t="n"/>
      <c r="JO136" s="212" t="n"/>
      <c r="JP136" s="212" t="n"/>
      <c r="JQ136" s="212" t="n"/>
      <c r="JR136" s="212" t="n"/>
      <c r="JS136" s="212" t="n"/>
      <c r="JT136" s="212" t="n"/>
      <c r="JU136" s="212" t="n"/>
      <c r="JV136" s="212" t="n"/>
      <c r="JW136" s="212" t="n"/>
      <c r="JX136" s="212" t="n"/>
      <c r="JY136" s="212" t="n"/>
      <c r="JZ136" s="212" t="n"/>
      <c r="KA136" s="212" t="n"/>
      <c r="KB136" s="212" t="n"/>
      <c r="KC136" s="212" t="n"/>
      <c r="KD136" s="212" t="n"/>
      <c r="KE136" s="212" t="n"/>
      <c r="KF136" s="212" t="n"/>
      <c r="KG136" s="212" t="n"/>
      <c r="KH136" s="212" t="n"/>
      <c r="KI136" s="212" t="n"/>
      <c r="KJ136" s="212" t="n"/>
      <c r="KK136" s="212" t="n"/>
      <c r="KL136" s="212" t="n"/>
      <c r="KM136" s="212" t="n"/>
      <c r="KN136" s="212" t="n"/>
      <c r="KO136" s="212" t="n"/>
      <c r="KP136" s="212" t="n"/>
      <c r="KQ136" s="212" t="n"/>
      <c r="KR136" s="212" t="n"/>
      <c r="KS136" s="212" t="n"/>
      <c r="KT136" s="212" t="n"/>
      <c r="KU136" s="212" t="n"/>
      <c r="KV136" s="212" t="n"/>
      <c r="KW136" s="212" t="n"/>
      <c r="KX136" s="212" t="n"/>
      <c r="KY136" s="212" t="n"/>
      <c r="KZ136" s="212" t="n"/>
      <c r="LA136" s="212" t="n"/>
      <c r="LB136" s="212" t="n"/>
      <c r="LC136" s="212" t="n"/>
      <c r="LD136" s="212" t="n"/>
      <c r="LE136" s="212" t="n"/>
      <c r="LF136" s="212" t="n"/>
      <c r="LG136" s="212" t="n"/>
      <c r="LH136" s="212" t="n"/>
      <c r="LI136" s="212" t="n"/>
      <c r="LJ136" s="212" t="n"/>
      <c r="LK136" s="212" t="n"/>
      <c r="LL136" s="212" t="n"/>
      <c r="LM136" s="212" t="n"/>
      <c r="LN136" s="212" t="n"/>
      <c r="LO136" s="212" t="n"/>
      <c r="LP136" s="212" t="n"/>
      <c r="LQ136" s="212" t="n"/>
      <c r="LR136" s="212" t="n"/>
      <c r="LS136" s="212" t="n"/>
      <c r="LT136" s="212" t="n"/>
      <c r="LU136" s="212" t="n"/>
      <c r="LV136" s="212" t="n"/>
      <c r="LW136" s="212" t="n"/>
      <c r="LX136" s="212" t="n"/>
      <c r="LY136" s="212" t="n"/>
      <c r="LZ136" s="212" t="n"/>
      <c r="MA136" s="212" t="n"/>
      <c r="MB136" s="212" t="n"/>
      <c r="MC136" s="212" t="n"/>
      <c r="MD136" s="212" t="n"/>
      <c r="ME136" s="212" t="n"/>
      <c r="MF136" s="212" t="n"/>
      <c r="MG136" s="212" t="n"/>
      <c r="MH136" s="212" t="n"/>
      <c r="MI136" s="212" t="n"/>
      <c r="MJ136" s="212" t="n"/>
      <c r="MK136" s="212" t="n"/>
      <c r="ML136" s="212" t="n"/>
      <c r="MM136" s="212" t="n"/>
      <c r="MN136" s="212" t="n"/>
      <c r="MO136" s="212" t="n"/>
      <c r="MP136" s="212" t="n"/>
      <c r="MQ136" s="212" t="n"/>
      <c r="MR136" s="212" t="n"/>
      <c r="MS136" s="212" t="n"/>
      <c r="MT136" s="212" t="n"/>
      <c r="MU136" s="212" t="n"/>
      <c r="MV136" s="212" t="n"/>
      <c r="MW136" s="212" t="n"/>
      <c r="MX136" s="212" t="n"/>
      <c r="MY136" s="212" t="n"/>
      <c r="MZ136" s="212" t="n"/>
      <c r="NA136" s="212" t="n"/>
      <c r="NB136" s="212" t="n"/>
      <c r="NC136" s="212" t="n"/>
      <c r="ND136" s="212" t="n"/>
      <c r="NE136" s="212" t="n"/>
      <c r="NF136" s="212" t="n"/>
      <c r="NG136" s="212" t="n"/>
      <c r="NH136" s="212" t="n"/>
      <c r="NI136" s="212" t="n"/>
      <c r="NJ136" s="212" t="n"/>
      <c r="NK136" s="212" t="n"/>
      <c r="NL136" s="212" t="n"/>
      <c r="NM136" s="212" t="n"/>
      <c r="NN136" s="212" t="n"/>
      <c r="NO136" s="212" t="n"/>
      <c r="NP136" s="212" t="n"/>
      <c r="NQ136" s="212" t="n"/>
      <c r="NR136" s="212" t="n"/>
      <c r="NS136" s="212" t="n"/>
      <c r="NT136" s="212" t="n"/>
      <c r="NU136" s="212" t="n"/>
      <c r="NV136" s="212" t="n"/>
      <c r="NW136" s="212" t="n"/>
      <c r="NX136" s="212" t="n"/>
      <c r="NY136" s="212" t="n"/>
      <c r="NZ136" s="212" t="n"/>
      <c r="OA136" s="212" t="n"/>
      <c r="OB136" s="212" t="n"/>
      <c r="OC136" s="212" t="n"/>
      <c r="OD136" s="212" t="n"/>
      <c r="OE136" s="212" t="n"/>
      <c r="OF136" s="212" t="n"/>
      <c r="OG136" s="212" t="n"/>
      <c r="OH136" s="212" t="n"/>
      <c r="OI136" s="212" t="n"/>
      <c r="OJ136" s="212" t="n"/>
      <c r="OK136" s="212" t="n"/>
      <c r="OL136" s="212" t="n"/>
      <c r="OM136" s="212" t="n"/>
      <c r="ON136" s="212" t="n"/>
      <c r="OO136" s="212" t="n"/>
      <c r="OP136" s="212" t="n"/>
      <c r="OQ136" s="212" t="n"/>
      <c r="OR136" s="212" t="n"/>
      <c r="OS136" s="212" t="n"/>
      <c r="OT136" s="212" t="n"/>
      <c r="OU136" s="212" t="n"/>
      <c r="OV136" s="212" t="n"/>
      <c r="OW136" s="212" t="n"/>
      <c r="OX136" s="212" t="n"/>
      <c r="OY136" s="212" t="n"/>
      <c r="OZ136" s="212" t="n"/>
      <c r="PA136" s="212" t="n"/>
      <c r="PB136" s="212" t="n"/>
      <c r="PC136" s="212" t="n"/>
      <c r="PD136" s="212" t="n"/>
      <c r="PE136" s="212" t="n"/>
      <c r="PF136" s="212" t="n"/>
      <c r="PG136" s="212" t="n"/>
      <c r="PH136" s="212" t="n"/>
      <c r="PI136" s="212" t="n"/>
      <c r="PJ136" s="212" t="n"/>
      <c r="PK136" s="212" t="n"/>
      <c r="PL136" s="212" t="n"/>
      <c r="PM136" s="212" t="n"/>
      <c r="PN136" s="212" t="n"/>
      <c r="PO136" s="212" t="n"/>
      <c r="PP136" s="212" t="n"/>
      <c r="PQ136" s="212" t="n"/>
      <c r="PR136" s="212" t="n"/>
      <c r="PS136" s="212" t="n"/>
      <c r="PT136" s="212" t="n"/>
      <c r="PU136" s="212" t="n"/>
      <c r="PV136" s="212" t="n"/>
      <c r="PW136" s="212" t="n"/>
      <c r="PX136" s="212" t="n"/>
      <c r="PY136" s="212" t="n"/>
      <c r="PZ136" s="212" t="n"/>
      <c r="QA136" s="212" t="n"/>
      <c r="QB136" s="212" t="n"/>
      <c r="QC136" s="212" t="n"/>
      <c r="QD136" s="212" t="n"/>
      <c r="QE136" s="212" t="n"/>
      <c r="QF136" s="212" t="n"/>
      <c r="QG136" s="212" t="n"/>
      <c r="QH136" s="212" t="n"/>
      <c r="QI136" s="212" t="n"/>
      <c r="QJ136" s="212" t="n"/>
      <c r="QK136" s="212" t="n"/>
      <c r="QL136" s="212" t="n"/>
      <c r="QM136" s="212" t="n"/>
      <c r="QN136" s="212" t="n"/>
      <c r="QO136" s="212" t="n"/>
      <c r="QP136" s="212" t="n"/>
      <c r="QQ136" s="212" t="n"/>
      <c r="QR136" s="212" t="n"/>
      <c r="QS136" s="212" t="n"/>
      <c r="QT136" s="212" t="n"/>
      <c r="QU136" s="212" t="n"/>
      <c r="QV136" s="212" t="n"/>
      <c r="QW136" s="212" t="n"/>
      <c r="QX136" s="212" t="n"/>
      <c r="QY136" s="212" t="n"/>
      <c r="QZ136" s="212" t="n"/>
      <c r="RA136" s="212" t="n"/>
      <c r="RB136" s="212" t="n"/>
      <c r="RC136" s="212" t="n"/>
      <c r="RD136" s="212" t="n"/>
      <c r="RE136" s="212" t="n"/>
      <c r="RF136" s="212" t="n"/>
      <c r="RG136" s="212" t="n"/>
      <c r="RH136" s="212" t="n"/>
      <c r="RI136" s="212" t="n"/>
      <c r="RJ136" s="212" t="n"/>
      <c r="RK136" s="212" t="n"/>
      <c r="RL136" s="212" t="n"/>
      <c r="RM136" s="212" t="n"/>
      <c r="RN136" s="212" t="n"/>
      <c r="RO136" s="212" t="n"/>
      <c r="RP136" s="212" t="n"/>
      <c r="RQ136" s="212" t="n"/>
      <c r="RR136" s="212" t="n"/>
      <c r="RS136" s="212" t="n"/>
      <c r="RT136" s="212" t="n"/>
      <c r="RU136" s="212" t="n"/>
      <c r="RV136" s="212" t="n"/>
      <c r="RW136" s="212" t="n"/>
      <c r="RX136" s="212" t="n"/>
      <c r="RY136" s="212" t="n"/>
      <c r="RZ136" s="212" t="n"/>
      <c r="SA136" s="212" t="n"/>
      <c r="SB136" s="212" t="n"/>
      <c r="SC136" s="212" t="n"/>
      <c r="SD136" s="212" t="n"/>
      <c r="SE136" s="212" t="n"/>
      <c r="SF136" s="212" t="n"/>
      <c r="SG136" s="212" t="n"/>
      <c r="SH136" s="212" t="n"/>
      <c r="SI136" s="212" t="n"/>
      <c r="SJ136" s="212" t="n"/>
      <c r="SK136" s="212" t="n"/>
      <c r="SL136" s="212" t="n"/>
      <c r="SM136" s="212" t="n"/>
      <c r="SN136" s="212" t="n"/>
      <c r="SO136" s="212" t="n"/>
      <c r="SP136" s="212" t="n"/>
      <c r="SQ136" s="212" t="n"/>
      <c r="SR136" s="212" t="n"/>
      <c r="SS136" s="212" t="n"/>
      <c r="ST136" s="212" t="n"/>
      <c r="SU136" s="212" t="n"/>
      <c r="SV136" s="212" t="n"/>
    </row>
    <row r="137">
      <c r="B137" s="209" t="n"/>
      <c r="C137" s="209" t="n"/>
      <c r="D137" s="209" t="n"/>
      <c r="E137" s="209" t="n"/>
      <c r="F137" s="209">
        <f>IF(TRIM(D137&amp;E137)="","",TRIM(D137)&amp;" "&amp;TRIM(E137))</f>
        <v/>
      </c>
      <c r="G137" s="209" t="n"/>
      <c r="H137" s="209" t="n"/>
      <c r="I137" s="209" t="n"/>
      <c r="J137" s="209" t="n"/>
      <c r="K137" s="209" t="n"/>
      <c r="L137" s="209" t="n"/>
      <c r="M137" s="209" t="n"/>
      <c r="N137" s="209" t="n"/>
      <c r="O137" s="209" t="n"/>
      <c r="P137" s="209" t="n"/>
      <c r="Q137" s="209" t="n"/>
      <c r="R137" s="209" t="n"/>
      <c r="S137" s="212" t="n"/>
      <c r="T137" s="212" t="n"/>
      <c r="U137" s="212" t="n"/>
      <c r="V137" s="212" t="n"/>
      <c r="W137" s="212" t="n"/>
      <c r="X137" s="212" t="n"/>
      <c r="Y137" s="212" t="n"/>
      <c r="Z137" s="212" t="n"/>
      <c r="AA137" s="212" t="n"/>
      <c r="AB137" s="212" t="n"/>
      <c r="AC137" s="212" t="n"/>
      <c r="AD137" s="212" t="n"/>
      <c r="AE137" s="212" t="n"/>
      <c r="AF137" s="212" t="n"/>
      <c r="AG137" s="212" t="n"/>
      <c r="AH137" s="212" t="n"/>
      <c r="AI137" s="212" t="n"/>
      <c r="AJ137" s="212" t="n"/>
      <c r="AK137" s="212" t="n"/>
      <c r="AL137" s="212" t="n"/>
      <c r="AM137" s="212" t="n"/>
      <c r="AN137" s="212" t="n"/>
      <c r="AO137" s="212" t="n"/>
      <c r="AP137" s="212" t="n"/>
      <c r="AQ137" s="212" t="n"/>
      <c r="AR137" s="212" t="n"/>
      <c r="AS137" s="212" t="n"/>
      <c r="AT137" s="212" t="n"/>
      <c r="AU137" s="212" t="n"/>
      <c r="AV137" s="212" t="n"/>
      <c r="AW137" s="212" t="n"/>
      <c r="AX137" s="212" t="n"/>
      <c r="AY137" s="212" t="n"/>
      <c r="AZ137" s="212" t="n"/>
      <c r="BA137" s="212" t="n"/>
      <c r="BB137" s="212" t="n"/>
      <c r="BC137" s="212" t="n"/>
      <c r="BD137" s="212" t="n"/>
      <c r="BE137" s="212" t="n"/>
      <c r="BF137" s="212" t="n"/>
      <c r="BG137" s="212" t="n"/>
      <c r="BH137" s="212" t="n"/>
      <c r="BI137" s="212" t="n"/>
      <c r="BJ137" s="212" t="n"/>
      <c r="BK137" s="212" t="n"/>
      <c r="BL137" s="212" t="n"/>
      <c r="BM137" s="212" t="n"/>
      <c r="BN137" s="212" t="n"/>
      <c r="BO137" s="212" t="n"/>
      <c r="BP137" s="212" t="n"/>
      <c r="BQ137" s="212" t="n"/>
      <c r="BR137" s="212" t="n"/>
      <c r="BS137" s="212" t="n"/>
      <c r="BT137" s="212" t="n"/>
      <c r="BU137" s="212" t="n"/>
      <c r="BV137" s="212" t="n"/>
      <c r="BW137" s="212" t="n"/>
      <c r="BX137" s="212" t="n"/>
      <c r="BY137" s="212" t="n"/>
      <c r="BZ137" s="212" t="n"/>
      <c r="CA137" s="212" t="n"/>
      <c r="CB137" s="212" t="n"/>
      <c r="CC137" s="212" t="n"/>
      <c r="CD137" s="212" t="n"/>
      <c r="CE137" s="212" t="n"/>
      <c r="CF137" s="212" t="n"/>
      <c r="CG137" s="212" t="n"/>
      <c r="CH137" s="212" t="n"/>
      <c r="CI137" s="212" t="n"/>
      <c r="CJ137" s="212" t="n"/>
      <c r="CK137" s="212" t="n"/>
      <c r="CL137" s="212" t="n"/>
      <c r="CM137" s="212" t="n"/>
      <c r="CN137" s="212" t="n"/>
      <c r="CO137" s="212" t="n"/>
      <c r="CP137" s="212" t="n"/>
      <c r="CQ137" s="212" t="n"/>
      <c r="CR137" s="212" t="n"/>
      <c r="CS137" s="212" t="n"/>
      <c r="CT137" s="212" t="n"/>
      <c r="CU137" s="212" t="n"/>
      <c r="CV137" s="212" t="n"/>
      <c r="CW137" s="212" t="n"/>
      <c r="CX137" s="212" t="n"/>
      <c r="CY137" s="212" t="n"/>
      <c r="CZ137" s="212" t="n"/>
      <c r="DA137" s="212" t="n"/>
      <c r="DB137" s="212" t="n"/>
      <c r="DC137" s="212" t="n"/>
      <c r="DD137" s="212" t="n"/>
      <c r="DE137" s="212" t="n"/>
      <c r="DF137" s="212" t="n"/>
      <c r="DG137" s="212" t="n"/>
      <c r="DH137" s="212" t="n"/>
      <c r="DI137" s="212" t="n"/>
      <c r="DJ137" s="212" t="n"/>
      <c r="DK137" s="212" t="n"/>
      <c r="DL137" s="212" t="n"/>
      <c r="DM137" s="212" t="n"/>
      <c r="DN137" s="212" t="n"/>
      <c r="DO137" s="212" t="n"/>
      <c r="DP137" s="212" t="n"/>
      <c r="DQ137" s="212" t="n"/>
      <c r="DR137" s="212" t="n"/>
      <c r="DS137" s="212" t="n"/>
      <c r="DT137" s="212" t="n"/>
      <c r="DU137" s="212" t="n"/>
      <c r="DV137" s="212" t="n"/>
      <c r="DW137" s="212" t="n"/>
      <c r="DX137" s="212" t="n"/>
      <c r="DY137" s="212" t="n"/>
      <c r="DZ137" s="212" t="n"/>
      <c r="EA137" s="212" t="n"/>
      <c r="EB137" s="212" t="n"/>
      <c r="EC137" s="212" t="n"/>
      <c r="ED137" s="212" t="n"/>
      <c r="EE137" s="212" t="n"/>
      <c r="EF137" s="212" t="n"/>
      <c r="EG137" s="212" t="n"/>
      <c r="EH137" s="212" t="n"/>
      <c r="EI137" s="212" t="n"/>
      <c r="EJ137" s="212" t="n"/>
      <c r="EK137" s="212" t="n"/>
      <c r="EL137" s="212" t="n"/>
      <c r="EM137" s="212" t="n"/>
      <c r="EN137" s="212" t="n"/>
      <c r="EO137" s="212" t="n"/>
      <c r="EP137" s="212" t="n"/>
      <c r="EQ137" s="212" t="n"/>
      <c r="ER137" s="212" t="n"/>
      <c r="ES137" s="212" t="n"/>
      <c r="ET137" s="212" t="n"/>
      <c r="EU137" s="212" t="n"/>
      <c r="EV137" s="212" t="n"/>
      <c r="EW137" s="212" t="n"/>
      <c r="EX137" s="212" t="n"/>
      <c r="EY137" s="212" t="n"/>
      <c r="EZ137" s="212" t="n"/>
      <c r="FA137" s="212" t="n"/>
      <c r="FB137" s="212" t="n"/>
      <c r="FC137" s="212" t="n"/>
      <c r="FD137" s="212" t="n"/>
      <c r="FE137" s="212" t="n"/>
      <c r="FF137" s="212" t="n"/>
      <c r="FG137" s="212" t="n"/>
      <c r="FH137" s="212" t="n"/>
      <c r="FI137" s="212" t="n"/>
      <c r="FJ137" s="212" t="n"/>
      <c r="FK137" s="212" t="n"/>
      <c r="FL137" s="212" t="n"/>
      <c r="FM137" s="212" t="n"/>
      <c r="FN137" s="212" t="n"/>
      <c r="FO137" s="212" t="n"/>
      <c r="FP137" s="212" t="n"/>
      <c r="FQ137" s="212" t="n"/>
      <c r="FR137" s="212" t="n"/>
      <c r="FS137" s="212" t="n"/>
      <c r="FT137" s="212" t="n"/>
      <c r="FU137" s="212" t="n"/>
      <c r="FV137" s="212" t="n"/>
      <c r="FW137" s="212" t="n"/>
      <c r="FX137" s="212" t="n"/>
      <c r="FY137" s="212" t="n"/>
      <c r="FZ137" s="212" t="n"/>
      <c r="GA137" s="212" t="n"/>
      <c r="GB137" s="212" t="n"/>
      <c r="GC137" s="212" t="n"/>
      <c r="GD137" s="212" t="n"/>
      <c r="GE137" s="212" t="n"/>
      <c r="GF137" s="212" t="n"/>
      <c r="GG137" s="212" t="n"/>
      <c r="GH137" s="212" t="n"/>
      <c r="GI137" s="212" t="n"/>
      <c r="GJ137" s="212" t="n"/>
      <c r="GK137" s="212" t="n"/>
      <c r="GL137" s="212" t="n"/>
      <c r="GM137" s="212" t="n"/>
      <c r="GN137" s="212" t="n"/>
      <c r="GO137" s="212" t="n"/>
      <c r="GP137" s="212" t="n"/>
      <c r="GQ137" s="212" t="n"/>
      <c r="GR137" s="212" t="n"/>
      <c r="GS137" s="212" t="n"/>
      <c r="GT137" s="212" t="n"/>
      <c r="GU137" s="212" t="n"/>
      <c r="GV137" s="212" t="n"/>
      <c r="GW137" s="212" t="n"/>
      <c r="GX137" s="212" t="n"/>
      <c r="GY137" s="212" t="n"/>
      <c r="GZ137" s="212" t="n"/>
      <c r="HA137" s="212" t="n"/>
      <c r="HB137" s="212" t="n"/>
      <c r="HC137" s="212" t="n"/>
      <c r="HD137" s="212" t="n"/>
      <c r="HE137" s="212" t="n"/>
      <c r="HF137" s="212" t="n"/>
      <c r="HG137" s="212" t="n"/>
      <c r="HH137" s="212" t="n"/>
      <c r="HI137" s="212" t="n"/>
      <c r="HJ137" s="212" t="n"/>
      <c r="HK137" s="212" t="n"/>
      <c r="HL137" s="212" t="n"/>
      <c r="HM137" s="212" t="n"/>
      <c r="HN137" s="212" t="n"/>
      <c r="HO137" s="212" t="n"/>
      <c r="HP137" s="212" t="n"/>
      <c r="HQ137" s="212" t="n"/>
      <c r="HR137" s="212" t="n"/>
      <c r="HS137" s="212" t="n"/>
      <c r="HT137" s="212" t="n"/>
      <c r="HU137" s="212" t="n"/>
      <c r="HV137" s="212" t="n"/>
      <c r="HW137" s="212" t="n"/>
      <c r="HX137" s="212" t="n"/>
      <c r="HY137" s="212" t="n"/>
      <c r="HZ137" s="212" t="n"/>
      <c r="IA137" s="212" t="n"/>
      <c r="IB137" s="212" t="n"/>
      <c r="IC137" s="212" t="n"/>
      <c r="ID137" s="212" t="n"/>
      <c r="IE137" s="212" t="n"/>
      <c r="IF137" s="212" t="n"/>
      <c r="IG137" s="212" t="n"/>
      <c r="IH137" s="212" t="n"/>
      <c r="II137" s="212" t="n"/>
      <c r="IJ137" s="212" t="n"/>
      <c r="IK137" s="212" t="n"/>
      <c r="IL137" s="212" t="n"/>
      <c r="IM137" s="212" t="n"/>
      <c r="IN137" s="212" t="n"/>
      <c r="IO137" s="212" t="n"/>
      <c r="IP137" s="212" t="n"/>
      <c r="IQ137" s="212" t="n"/>
      <c r="IR137" s="212" t="n"/>
      <c r="IS137" s="212" t="n"/>
      <c r="IT137" s="212" t="n"/>
      <c r="IU137" s="212" t="n"/>
      <c r="IV137" s="212" t="n"/>
      <c r="IW137" s="212" t="n"/>
      <c r="IX137" s="212" t="n"/>
      <c r="IY137" s="212" t="n"/>
      <c r="IZ137" s="212" t="n"/>
      <c r="JA137" s="212" t="n"/>
      <c r="JB137" s="212" t="n"/>
      <c r="JC137" s="212" t="n"/>
      <c r="JD137" s="212" t="n"/>
      <c r="JE137" s="212" t="n"/>
      <c r="JF137" s="212" t="n"/>
      <c r="JG137" s="212" t="n"/>
      <c r="JH137" s="212" t="n"/>
      <c r="JI137" s="212" t="n"/>
      <c r="JJ137" s="212" t="n"/>
      <c r="JK137" s="212" t="n"/>
      <c r="JL137" s="212" t="n"/>
      <c r="JM137" s="212" t="n"/>
      <c r="JN137" s="212" t="n"/>
      <c r="JO137" s="212" t="n"/>
      <c r="JP137" s="212" t="n"/>
      <c r="JQ137" s="212" t="n"/>
      <c r="JR137" s="212" t="n"/>
      <c r="JS137" s="212" t="n"/>
      <c r="JT137" s="212" t="n"/>
      <c r="JU137" s="212" t="n"/>
      <c r="JV137" s="212" t="n"/>
      <c r="JW137" s="212" t="n"/>
      <c r="JX137" s="212" t="n"/>
      <c r="JY137" s="212" t="n"/>
      <c r="JZ137" s="212" t="n"/>
      <c r="KA137" s="212" t="n"/>
      <c r="KB137" s="212" t="n"/>
      <c r="KC137" s="212" t="n"/>
      <c r="KD137" s="212" t="n"/>
      <c r="KE137" s="212" t="n"/>
      <c r="KF137" s="212" t="n"/>
      <c r="KG137" s="212" t="n"/>
      <c r="KH137" s="212" t="n"/>
      <c r="KI137" s="212" t="n"/>
      <c r="KJ137" s="212" t="n"/>
      <c r="KK137" s="212" t="n"/>
      <c r="KL137" s="212" t="n"/>
      <c r="KM137" s="212" t="n"/>
      <c r="KN137" s="212" t="n"/>
      <c r="KO137" s="212" t="n"/>
      <c r="KP137" s="212" t="n"/>
      <c r="KQ137" s="212" t="n"/>
      <c r="KR137" s="212" t="n"/>
      <c r="KS137" s="212" t="n"/>
      <c r="KT137" s="212" t="n"/>
      <c r="KU137" s="212" t="n"/>
      <c r="KV137" s="212" t="n"/>
      <c r="KW137" s="212" t="n"/>
      <c r="KX137" s="212" t="n"/>
      <c r="KY137" s="212" t="n"/>
      <c r="KZ137" s="212" t="n"/>
      <c r="LA137" s="212" t="n"/>
      <c r="LB137" s="212" t="n"/>
      <c r="LC137" s="212" t="n"/>
      <c r="LD137" s="212" t="n"/>
      <c r="LE137" s="212" t="n"/>
      <c r="LF137" s="212" t="n"/>
      <c r="LG137" s="212" t="n"/>
      <c r="LH137" s="212" t="n"/>
      <c r="LI137" s="212" t="n"/>
      <c r="LJ137" s="212" t="n"/>
      <c r="LK137" s="212" t="n"/>
      <c r="LL137" s="212" t="n"/>
      <c r="LM137" s="212" t="n"/>
      <c r="LN137" s="212" t="n"/>
      <c r="LO137" s="212" t="n"/>
      <c r="LP137" s="212" t="n"/>
      <c r="LQ137" s="212" t="n"/>
      <c r="LR137" s="212" t="n"/>
      <c r="LS137" s="212" t="n"/>
      <c r="LT137" s="212" t="n"/>
      <c r="LU137" s="212" t="n"/>
      <c r="LV137" s="212" t="n"/>
      <c r="LW137" s="212" t="n"/>
      <c r="LX137" s="212" t="n"/>
      <c r="LY137" s="212" t="n"/>
      <c r="LZ137" s="212" t="n"/>
      <c r="MA137" s="212" t="n"/>
      <c r="MB137" s="212" t="n"/>
      <c r="MC137" s="212" t="n"/>
      <c r="MD137" s="212" t="n"/>
      <c r="ME137" s="212" t="n"/>
      <c r="MF137" s="212" t="n"/>
      <c r="MG137" s="212" t="n"/>
      <c r="MH137" s="212" t="n"/>
      <c r="MI137" s="212" t="n"/>
      <c r="MJ137" s="212" t="n"/>
      <c r="MK137" s="212" t="n"/>
      <c r="ML137" s="212" t="n"/>
      <c r="MM137" s="212" t="n"/>
      <c r="MN137" s="212" t="n"/>
      <c r="MO137" s="212" t="n"/>
      <c r="MP137" s="212" t="n"/>
      <c r="MQ137" s="212" t="n"/>
      <c r="MR137" s="212" t="n"/>
      <c r="MS137" s="212" t="n"/>
      <c r="MT137" s="212" t="n"/>
      <c r="MU137" s="212" t="n"/>
      <c r="MV137" s="212" t="n"/>
      <c r="MW137" s="212" t="n"/>
      <c r="MX137" s="212" t="n"/>
      <c r="MY137" s="212" t="n"/>
      <c r="MZ137" s="212" t="n"/>
      <c r="NA137" s="212" t="n"/>
      <c r="NB137" s="212" t="n"/>
      <c r="NC137" s="212" t="n"/>
      <c r="ND137" s="212" t="n"/>
      <c r="NE137" s="212" t="n"/>
      <c r="NF137" s="212" t="n"/>
      <c r="NG137" s="212" t="n"/>
      <c r="NH137" s="212" t="n"/>
      <c r="NI137" s="212" t="n"/>
      <c r="NJ137" s="212" t="n"/>
      <c r="NK137" s="212" t="n"/>
      <c r="NL137" s="212" t="n"/>
      <c r="NM137" s="212" t="n"/>
      <c r="NN137" s="212" t="n"/>
      <c r="NO137" s="212" t="n"/>
      <c r="NP137" s="212" t="n"/>
      <c r="NQ137" s="212" t="n"/>
      <c r="NR137" s="212" t="n"/>
      <c r="NS137" s="212" t="n"/>
      <c r="NT137" s="212" t="n"/>
      <c r="NU137" s="212" t="n"/>
      <c r="NV137" s="212" t="n"/>
      <c r="NW137" s="212" t="n"/>
      <c r="NX137" s="212" t="n"/>
      <c r="NY137" s="212" t="n"/>
      <c r="NZ137" s="212" t="n"/>
      <c r="OA137" s="212" t="n"/>
      <c r="OB137" s="212" t="n"/>
      <c r="OC137" s="212" t="n"/>
      <c r="OD137" s="212" t="n"/>
      <c r="OE137" s="212" t="n"/>
      <c r="OF137" s="212" t="n"/>
      <c r="OG137" s="212" t="n"/>
      <c r="OH137" s="212" t="n"/>
      <c r="OI137" s="212" t="n"/>
      <c r="OJ137" s="212" t="n"/>
      <c r="OK137" s="212" t="n"/>
      <c r="OL137" s="212" t="n"/>
      <c r="OM137" s="212" t="n"/>
      <c r="ON137" s="212" t="n"/>
      <c r="OO137" s="212" t="n"/>
      <c r="OP137" s="212" t="n"/>
      <c r="OQ137" s="212" t="n"/>
      <c r="OR137" s="212" t="n"/>
      <c r="OS137" s="212" t="n"/>
      <c r="OT137" s="212" t="n"/>
      <c r="OU137" s="212" t="n"/>
      <c r="OV137" s="212" t="n"/>
      <c r="OW137" s="212" t="n"/>
      <c r="OX137" s="212" t="n"/>
      <c r="OY137" s="212" t="n"/>
      <c r="OZ137" s="212" t="n"/>
      <c r="PA137" s="212" t="n"/>
      <c r="PB137" s="212" t="n"/>
      <c r="PC137" s="212" t="n"/>
      <c r="PD137" s="212" t="n"/>
      <c r="PE137" s="212" t="n"/>
      <c r="PF137" s="212" t="n"/>
      <c r="PG137" s="212" t="n"/>
      <c r="PH137" s="212" t="n"/>
      <c r="PI137" s="212" t="n"/>
      <c r="PJ137" s="212" t="n"/>
      <c r="PK137" s="212" t="n"/>
      <c r="PL137" s="212" t="n"/>
      <c r="PM137" s="212" t="n"/>
      <c r="PN137" s="212" t="n"/>
      <c r="PO137" s="212" t="n"/>
      <c r="PP137" s="212" t="n"/>
      <c r="PQ137" s="212" t="n"/>
      <c r="PR137" s="212" t="n"/>
      <c r="PS137" s="212" t="n"/>
      <c r="PT137" s="212" t="n"/>
      <c r="PU137" s="212" t="n"/>
      <c r="PV137" s="212" t="n"/>
      <c r="PW137" s="212" t="n"/>
      <c r="PX137" s="212" t="n"/>
      <c r="PY137" s="212" t="n"/>
      <c r="PZ137" s="212" t="n"/>
      <c r="QA137" s="212" t="n"/>
      <c r="QB137" s="212" t="n"/>
      <c r="QC137" s="212" t="n"/>
      <c r="QD137" s="212" t="n"/>
      <c r="QE137" s="212" t="n"/>
      <c r="QF137" s="212" t="n"/>
      <c r="QG137" s="212" t="n"/>
      <c r="QH137" s="212" t="n"/>
      <c r="QI137" s="212" t="n"/>
      <c r="QJ137" s="212" t="n"/>
      <c r="QK137" s="212" t="n"/>
      <c r="QL137" s="212" t="n"/>
      <c r="QM137" s="212" t="n"/>
      <c r="QN137" s="212" t="n"/>
      <c r="QO137" s="212" t="n"/>
      <c r="QP137" s="212" t="n"/>
      <c r="QQ137" s="212" t="n"/>
      <c r="QR137" s="212" t="n"/>
      <c r="QS137" s="212" t="n"/>
      <c r="QT137" s="212" t="n"/>
      <c r="QU137" s="212" t="n"/>
      <c r="QV137" s="212" t="n"/>
      <c r="QW137" s="212" t="n"/>
      <c r="QX137" s="212" t="n"/>
      <c r="QY137" s="212" t="n"/>
      <c r="QZ137" s="212" t="n"/>
      <c r="RA137" s="212" t="n"/>
      <c r="RB137" s="212" t="n"/>
      <c r="RC137" s="212" t="n"/>
      <c r="RD137" s="212" t="n"/>
      <c r="RE137" s="212" t="n"/>
      <c r="RF137" s="212" t="n"/>
      <c r="RG137" s="212" t="n"/>
      <c r="RH137" s="212" t="n"/>
      <c r="RI137" s="212" t="n"/>
      <c r="RJ137" s="212" t="n"/>
      <c r="RK137" s="212" t="n"/>
      <c r="RL137" s="212" t="n"/>
      <c r="RM137" s="212" t="n"/>
      <c r="RN137" s="212" t="n"/>
      <c r="RO137" s="212" t="n"/>
      <c r="RP137" s="212" t="n"/>
      <c r="RQ137" s="212" t="n"/>
      <c r="RR137" s="212" t="n"/>
      <c r="RS137" s="212" t="n"/>
      <c r="RT137" s="212" t="n"/>
      <c r="RU137" s="212" t="n"/>
      <c r="RV137" s="212" t="n"/>
      <c r="RW137" s="212" t="n"/>
      <c r="RX137" s="212" t="n"/>
      <c r="RY137" s="212" t="n"/>
      <c r="RZ137" s="212" t="n"/>
      <c r="SA137" s="212" t="n"/>
      <c r="SB137" s="212" t="n"/>
      <c r="SC137" s="212" t="n"/>
      <c r="SD137" s="212" t="n"/>
      <c r="SE137" s="212" t="n"/>
      <c r="SF137" s="212" t="n"/>
      <c r="SG137" s="212" t="n"/>
      <c r="SH137" s="212" t="n"/>
      <c r="SI137" s="212" t="n"/>
      <c r="SJ137" s="212" t="n"/>
      <c r="SK137" s="212" t="n"/>
      <c r="SL137" s="212" t="n"/>
      <c r="SM137" s="212" t="n"/>
      <c r="SN137" s="212" t="n"/>
      <c r="SO137" s="212" t="n"/>
      <c r="SP137" s="212" t="n"/>
      <c r="SQ137" s="212" t="n"/>
      <c r="SR137" s="212" t="n"/>
      <c r="SS137" s="212" t="n"/>
      <c r="ST137" s="212" t="n"/>
      <c r="SU137" s="212" t="n"/>
      <c r="SV137" s="212" t="n"/>
    </row>
    <row r="138">
      <c r="B138" s="209" t="n"/>
      <c r="C138" s="209" t="n"/>
      <c r="D138" s="209" t="n"/>
      <c r="E138" s="209" t="n"/>
      <c r="F138" s="209">
        <f>IF(TRIM(D138&amp;E138)="","",TRIM(D138)&amp;" "&amp;TRIM(E138))</f>
        <v/>
      </c>
      <c r="G138" s="209" t="n"/>
      <c r="H138" s="209" t="n"/>
      <c r="I138" s="209" t="n"/>
      <c r="J138" s="209" t="n"/>
      <c r="K138" s="209" t="n"/>
      <c r="L138" s="209" t="n"/>
      <c r="M138" s="209" t="n"/>
      <c r="N138" s="209" t="n"/>
      <c r="O138" s="209" t="n"/>
      <c r="P138" s="209" t="n"/>
      <c r="Q138" s="209" t="n"/>
      <c r="R138" s="209" t="n"/>
      <c r="S138" s="212" t="n"/>
      <c r="T138" s="212" t="n"/>
      <c r="U138" s="212" t="n"/>
      <c r="V138" s="212" t="n"/>
      <c r="W138" s="212" t="n"/>
      <c r="X138" s="212" t="n"/>
      <c r="Y138" s="212" t="n"/>
      <c r="Z138" s="212" t="n"/>
      <c r="AA138" s="212" t="n"/>
      <c r="AB138" s="212" t="n"/>
      <c r="AC138" s="212" t="n"/>
      <c r="AD138" s="212" t="n"/>
      <c r="AE138" s="212" t="n"/>
      <c r="AF138" s="212" t="n"/>
      <c r="AG138" s="212" t="n"/>
      <c r="AH138" s="212" t="n"/>
      <c r="AI138" s="212" t="n"/>
      <c r="AJ138" s="212" t="n"/>
      <c r="AK138" s="212" t="n"/>
      <c r="AL138" s="212" t="n"/>
      <c r="AM138" s="212" t="n"/>
      <c r="AN138" s="212" t="n"/>
      <c r="AO138" s="212" t="n"/>
      <c r="AP138" s="212" t="n"/>
      <c r="AQ138" s="212" t="n"/>
      <c r="AR138" s="212" t="n"/>
      <c r="AS138" s="212" t="n"/>
      <c r="AT138" s="212" t="n"/>
      <c r="AU138" s="212" t="n"/>
      <c r="AV138" s="212" t="n"/>
      <c r="AW138" s="212" t="n"/>
      <c r="AX138" s="212" t="n"/>
      <c r="AY138" s="212" t="n"/>
      <c r="AZ138" s="212" t="n"/>
      <c r="BA138" s="212" t="n"/>
      <c r="BB138" s="212" t="n"/>
      <c r="BC138" s="212" t="n"/>
      <c r="BD138" s="212" t="n"/>
      <c r="BE138" s="212" t="n"/>
      <c r="BF138" s="212" t="n"/>
      <c r="BG138" s="212" t="n"/>
      <c r="BH138" s="212" t="n"/>
      <c r="BI138" s="212" t="n"/>
      <c r="BJ138" s="212" t="n"/>
      <c r="BK138" s="212" t="n"/>
      <c r="BL138" s="212" t="n"/>
      <c r="BM138" s="212" t="n"/>
      <c r="BN138" s="212" t="n"/>
      <c r="BO138" s="212" t="n"/>
      <c r="BP138" s="212" t="n"/>
      <c r="BQ138" s="212" t="n"/>
      <c r="BR138" s="212" t="n"/>
      <c r="BS138" s="212" t="n"/>
      <c r="BT138" s="212" t="n"/>
      <c r="BU138" s="212" t="n"/>
      <c r="BV138" s="212" t="n"/>
      <c r="BW138" s="212" t="n"/>
      <c r="BX138" s="212" t="n"/>
      <c r="BY138" s="212" t="n"/>
      <c r="BZ138" s="212" t="n"/>
      <c r="CA138" s="212" t="n"/>
      <c r="CB138" s="212" t="n"/>
      <c r="CC138" s="212" t="n"/>
      <c r="CD138" s="212" t="n"/>
      <c r="CE138" s="212" t="n"/>
      <c r="CF138" s="212" t="n"/>
      <c r="CG138" s="212" t="n"/>
      <c r="CH138" s="212" t="n"/>
      <c r="CI138" s="212" t="n"/>
      <c r="CJ138" s="212" t="n"/>
      <c r="CK138" s="212" t="n"/>
      <c r="CL138" s="212" t="n"/>
      <c r="CM138" s="212" t="n"/>
      <c r="CN138" s="212" t="n"/>
      <c r="CO138" s="212" t="n"/>
      <c r="CP138" s="212" t="n"/>
      <c r="CQ138" s="212" t="n"/>
      <c r="CR138" s="212" t="n"/>
      <c r="CS138" s="212" t="n"/>
      <c r="CT138" s="212" t="n"/>
      <c r="CU138" s="212" t="n"/>
      <c r="CV138" s="212" t="n"/>
      <c r="CW138" s="212" t="n"/>
      <c r="CX138" s="212" t="n"/>
      <c r="CY138" s="212" t="n"/>
      <c r="CZ138" s="212" t="n"/>
      <c r="DA138" s="212" t="n"/>
      <c r="DB138" s="212" t="n"/>
      <c r="DC138" s="212" t="n"/>
      <c r="DD138" s="212" t="n"/>
      <c r="DE138" s="212" t="n"/>
      <c r="DF138" s="212" t="n"/>
      <c r="DG138" s="212" t="n"/>
      <c r="DH138" s="212" t="n"/>
      <c r="DI138" s="212" t="n"/>
      <c r="DJ138" s="212" t="n"/>
      <c r="DK138" s="212" t="n"/>
      <c r="DL138" s="212" t="n"/>
      <c r="DM138" s="212" t="n"/>
      <c r="DN138" s="212" t="n"/>
      <c r="DO138" s="212" t="n"/>
      <c r="DP138" s="212" t="n"/>
      <c r="DQ138" s="212" t="n"/>
      <c r="DR138" s="212" t="n"/>
      <c r="DS138" s="212" t="n"/>
      <c r="DT138" s="212" t="n"/>
      <c r="DU138" s="212" t="n"/>
      <c r="DV138" s="212" t="n"/>
      <c r="DW138" s="212" t="n"/>
      <c r="DX138" s="212" t="n"/>
      <c r="DY138" s="212" t="n"/>
      <c r="DZ138" s="212" t="n"/>
      <c r="EA138" s="212" t="n"/>
      <c r="EB138" s="212" t="n"/>
      <c r="EC138" s="212" t="n"/>
      <c r="ED138" s="212" t="n"/>
      <c r="EE138" s="212" t="n"/>
      <c r="EF138" s="212" t="n"/>
      <c r="EG138" s="212" t="n"/>
      <c r="EH138" s="212" t="n"/>
      <c r="EI138" s="212" t="n"/>
      <c r="EJ138" s="212" t="n"/>
      <c r="EK138" s="212" t="n"/>
      <c r="EL138" s="212" t="n"/>
      <c r="EM138" s="212" t="n"/>
      <c r="EN138" s="212" t="n"/>
      <c r="EO138" s="212" t="n"/>
      <c r="EP138" s="212" t="n"/>
      <c r="EQ138" s="212" t="n"/>
      <c r="ER138" s="212" t="n"/>
      <c r="ES138" s="212" t="n"/>
      <c r="ET138" s="212" t="n"/>
      <c r="EU138" s="212" t="n"/>
      <c r="EV138" s="212" t="n"/>
      <c r="EW138" s="212" t="n"/>
      <c r="EX138" s="212" t="n"/>
      <c r="EY138" s="212" t="n"/>
      <c r="EZ138" s="212" t="n"/>
      <c r="FA138" s="212" t="n"/>
      <c r="FB138" s="212" t="n"/>
      <c r="FC138" s="212" t="n"/>
      <c r="FD138" s="212" t="n"/>
      <c r="FE138" s="212" t="n"/>
      <c r="FF138" s="212" t="n"/>
      <c r="FG138" s="212" t="n"/>
      <c r="FH138" s="212" t="n"/>
      <c r="FI138" s="212" t="n"/>
      <c r="FJ138" s="212" t="n"/>
      <c r="FK138" s="212" t="n"/>
      <c r="FL138" s="212" t="n"/>
      <c r="FM138" s="212" t="n"/>
      <c r="FN138" s="212" t="n"/>
      <c r="FO138" s="212" t="n"/>
      <c r="FP138" s="212" t="n"/>
      <c r="FQ138" s="212" t="n"/>
      <c r="FR138" s="212" t="n"/>
      <c r="FS138" s="212" t="n"/>
      <c r="FT138" s="212" t="n"/>
      <c r="FU138" s="212" t="n"/>
      <c r="FV138" s="212" t="n"/>
      <c r="FW138" s="212" t="n"/>
      <c r="FX138" s="212" t="n"/>
      <c r="FY138" s="212" t="n"/>
      <c r="FZ138" s="212" t="n"/>
      <c r="GA138" s="212" t="n"/>
      <c r="GB138" s="212" t="n"/>
      <c r="GC138" s="212" t="n"/>
      <c r="GD138" s="212" t="n"/>
      <c r="GE138" s="212" t="n"/>
      <c r="GF138" s="212" t="n"/>
      <c r="GG138" s="212" t="n"/>
      <c r="GH138" s="212" t="n"/>
      <c r="GI138" s="212" t="n"/>
      <c r="GJ138" s="212" t="n"/>
      <c r="GK138" s="212" t="n"/>
      <c r="GL138" s="212" t="n"/>
      <c r="GM138" s="212" t="n"/>
      <c r="GN138" s="212" t="n"/>
      <c r="GO138" s="212" t="n"/>
      <c r="GP138" s="212" t="n"/>
      <c r="GQ138" s="212" t="n"/>
      <c r="GR138" s="212" t="n"/>
      <c r="GS138" s="212" t="n"/>
      <c r="GT138" s="212" t="n"/>
      <c r="GU138" s="212" t="n"/>
      <c r="GV138" s="212" t="n"/>
      <c r="GW138" s="212" t="n"/>
      <c r="GX138" s="212" t="n"/>
      <c r="GY138" s="212" t="n"/>
      <c r="GZ138" s="212" t="n"/>
      <c r="HA138" s="212" t="n"/>
      <c r="HB138" s="212" t="n"/>
      <c r="HC138" s="212" t="n"/>
      <c r="HD138" s="212" t="n"/>
      <c r="HE138" s="212" t="n"/>
      <c r="HF138" s="212" t="n"/>
      <c r="HG138" s="212" t="n"/>
      <c r="HH138" s="212" t="n"/>
      <c r="HI138" s="212" t="n"/>
      <c r="HJ138" s="212" t="n"/>
      <c r="HK138" s="212" t="n"/>
      <c r="HL138" s="212" t="n"/>
      <c r="HM138" s="212" t="n"/>
      <c r="HN138" s="212" t="n"/>
      <c r="HO138" s="212" t="n"/>
      <c r="HP138" s="212" t="n"/>
      <c r="HQ138" s="212" t="n"/>
      <c r="HR138" s="212" t="n"/>
      <c r="HS138" s="212" t="n"/>
      <c r="HT138" s="212" t="n"/>
      <c r="HU138" s="212" t="n"/>
      <c r="HV138" s="212" t="n"/>
      <c r="HW138" s="212" t="n"/>
      <c r="HX138" s="212" t="n"/>
      <c r="HY138" s="212" t="n"/>
      <c r="HZ138" s="212" t="n"/>
      <c r="IA138" s="212" t="n"/>
      <c r="IB138" s="212" t="n"/>
      <c r="IC138" s="212" t="n"/>
      <c r="ID138" s="212" t="n"/>
      <c r="IE138" s="212" t="n"/>
      <c r="IF138" s="212" t="n"/>
      <c r="IG138" s="212" t="n"/>
      <c r="IH138" s="212" t="n"/>
      <c r="II138" s="212" t="n"/>
      <c r="IJ138" s="212" t="n"/>
      <c r="IK138" s="212" t="n"/>
      <c r="IL138" s="212" t="n"/>
      <c r="IM138" s="212" t="n"/>
      <c r="IN138" s="212" t="n"/>
      <c r="IO138" s="212" t="n"/>
      <c r="IP138" s="212" t="n"/>
      <c r="IQ138" s="212" t="n"/>
      <c r="IR138" s="212" t="n"/>
      <c r="IS138" s="212" t="n"/>
      <c r="IT138" s="212" t="n"/>
      <c r="IU138" s="212" t="n"/>
      <c r="IV138" s="212" t="n"/>
      <c r="IW138" s="212" t="n"/>
      <c r="IX138" s="212" t="n"/>
      <c r="IY138" s="212" t="n"/>
      <c r="IZ138" s="212" t="n"/>
      <c r="JA138" s="212" t="n"/>
      <c r="JB138" s="212" t="n"/>
      <c r="JC138" s="212" t="n"/>
      <c r="JD138" s="212" t="n"/>
      <c r="JE138" s="212" t="n"/>
      <c r="JF138" s="212" t="n"/>
      <c r="JG138" s="212" t="n"/>
      <c r="JH138" s="212" t="n"/>
      <c r="JI138" s="212" t="n"/>
      <c r="JJ138" s="212" t="n"/>
      <c r="JK138" s="212" t="n"/>
      <c r="JL138" s="212" t="n"/>
      <c r="JM138" s="212" t="n"/>
      <c r="JN138" s="212" t="n"/>
      <c r="JO138" s="212" t="n"/>
      <c r="JP138" s="212" t="n"/>
      <c r="JQ138" s="212" t="n"/>
      <c r="JR138" s="212" t="n"/>
      <c r="JS138" s="212" t="n"/>
      <c r="JT138" s="212" t="n"/>
      <c r="JU138" s="212" t="n"/>
      <c r="JV138" s="212" t="n"/>
      <c r="JW138" s="212" t="n"/>
      <c r="JX138" s="212" t="n"/>
      <c r="JY138" s="212" t="n"/>
      <c r="JZ138" s="212" t="n"/>
      <c r="KA138" s="212" t="n"/>
      <c r="KB138" s="212" t="n"/>
      <c r="KC138" s="212" t="n"/>
      <c r="KD138" s="212" t="n"/>
      <c r="KE138" s="212" t="n"/>
      <c r="KF138" s="212" t="n"/>
      <c r="KG138" s="212" t="n"/>
      <c r="KH138" s="212" t="n"/>
      <c r="KI138" s="212" t="n"/>
      <c r="KJ138" s="212" t="n"/>
      <c r="KK138" s="212" t="n"/>
      <c r="KL138" s="212" t="n"/>
      <c r="KM138" s="212" t="n"/>
      <c r="KN138" s="212" t="n"/>
      <c r="KO138" s="212" t="n"/>
      <c r="KP138" s="212" t="n"/>
      <c r="KQ138" s="212" t="n"/>
      <c r="KR138" s="212" t="n"/>
      <c r="KS138" s="212" t="n"/>
      <c r="KT138" s="212" t="n"/>
      <c r="KU138" s="212" t="n"/>
      <c r="KV138" s="212" t="n"/>
      <c r="KW138" s="212" t="n"/>
      <c r="KX138" s="212" t="n"/>
      <c r="KY138" s="212" t="n"/>
      <c r="KZ138" s="212" t="n"/>
      <c r="LA138" s="212" t="n"/>
      <c r="LB138" s="212" t="n"/>
      <c r="LC138" s="212" t="n"/>
      <c r="LD138" s="212" t="n"/>
      <c r="LE138" s="212" t="n"/>
      <c r="LF138" s="212" t="n"/>
      <c r="LG138" s="212" t="n"/>
      <c r="LH138" s="212" t="n"/>
      <c r="LI138" s="212" t="n"/>
      <c r="LJ138" s="212" t="n"/>
      <c r="LK138" s="212" t="n"/>
      <c r="LL138" s="212" t="n"/>
      <c r="LM138" s="212" t="n"/>
      <c r="LN138" s="212" t="n"/>
      <c r="LO138" s="212" t="n"/>
      <c r="LP138" s="212" t="n"/>
      <c r="LQ138" s="212" t="n"/>
      <c r="LR138" s="212" t="n"/>
      <c r="LS138" s="212" t="n"/>
      <c r="LT138" s="212" t="n"/>
      <c r="LU138" s="212" t="n"/>
      <c r="LV138" s="212" t="n"/>
      <c r="LW138" s="212" t="n"/>
      <c r="LX138" s="212" t="n"/>
      <c r="LY138" s="212" t="n"/>
      <c r="LZ138" s="212" t="n"/>
      <c r="MA138" s="212" t="n"/>
      <c r="MB138" s="212" t="n"/>
      <c r="MC138" s="212" t="n"/>
      <c r="MD138" s="212" t="n"/>
      <c r="ME138" s="212" t="n"/>
      <c r="MF138" s="212" t="n"/>
      <c r="MG138" s="212" t="n"/>
      <c r="MH138" s="212" t="n"/>
      <c r="MI138" s="212" t="n"/>
      <c r="MJ138" s="212" t="n"/>
      <c r="MK138" s="212" t="n"/>
      <c r="ML138" s="212" t="n"/>
      <c r="MM138" s="212" t="n"/>
      <c r="MN138" s="212" t="n"/>
      <c r="MO138" s="212" t="n"/>
      <c r="MP138" s="212" t="n"/>
      <c r="MQ138" s="212" t="n"/>
      <c r="MR138" s="212" t="n"/>
      <c r="MS138" s="212" t="n"/>
      <c r="MT138" s="212" t="n"/>
      <c r="MU138" s="212" t="n"/>
      <c r="MV138" s="212" t="n"/>
      <c r="MW138" s="212" t="n"/>
      <c r="MX138" s="212" t="n"/>
      <c r="MY138" s="212" t="n"/>
      <c r="MZ138" s="212" t="n"/>
      <c r="NA138" s="212" t="n"/>
      <c r="NB138" s="212" t="n"/>
      <c r="NC138" s="212" t="n"/>
      <c r="ND138" s="212" t="n"/>
      <c r="NE138" s="212" t="n"/>
      <c r="NF138" s="212" t="n"/>
      <c r="NG138" s="212" t="n"/>
      <c r="NH138" s="212" t="n"/>
      <c r="NI138" s="212" t="n"/>
      <c r="NJ138" s="212" t="n"/>
      <c r="NK138" s="212" t="n"/>
      <c r="NL138" s="212" t="n"/>
      <c r="NM138" s="212" t="n"/>
      <c r="NN138" s="212" t="n"/>
      <c r="NO138" s="212" t="n"/>
      <c r="NP138" s="212" t="n"/>
      <c r="NQ138" s="212" t="n"/>
      <c r="NR138" s="212" t="n"/>
      <c r="NS138" s="212" t="n"/>
      <c r="NT138" s="212" t="n"/>
      <c r="NU138" s="212" t="n"/>
      <c r="NV138" s="212" t="n"/>
      <c r="NW138" s="212" t="n"/>
      <c r="NX138" s="212" t="n"/>
      <c r="NY138" s="212" t="n"/>
      <c r="NZ138" s="212" t="n"/>
      <c r="OA138" s="212" t="n"/>
      <c r="OB138" s="212" t="n"/>
      <c r="OC138" s="212" t="n"/>
      <c r="OD138" s="212" t="n"/>
      <c r="OE138" s="212" t="n"/>
      <c r="OF138" s="212" t="n"/>
      <c r="OG138" s="212" t="n"/>
      <c r="OH138" s="212" t="n"/>
      <c r="OI138" s="212" t="n"/>
      <c r="OJ138" s="212" t="n"/>
      <c r="OK138" s="212" t="n"/>
      <c r="OL138" s="212" t="n"/>
      <c r="OM138" s="212" t="n"/>
      <c r="ON138" s="212" t="n"/>
      <c r="OO138" s="212" t="n"/>
      <c r="OP138" s="212" t="n"/>
      <c r="OQ138" s="212" t="n"/>
      <c r="OR138" s="212" t="n"/>
      <c r="OS138" s="212" t="n"/>
      <c r="OT138" s="212" t="n"/>
      <c r="OU138" s="212" t="n"/>
      <c r="OV138" s="212" t="n"/>
      <c r="OW138" s="212" t="n"/>
      <c r="OX138" s="212" t="n"/>
      <c r="OY138" s="212" t="n"/>
      <c r="OZ138" s="212" t="n"/>
      <c r="PA138" s="212" t="n"/>
      <c r="PB138" s="212" t="n"/>
      <c r="PC138" s="212" t="n"/>
      <c r="PD138" s="212" t="n"/>
      <c r="PE138" s="212" t="n"/>
      <c r="PF138" s="212" t="n"/>
      <c r="PG138" s="212" t="n"/>
      <c r="PH138" s="212" t="n"/>
      <c r="PI138" s="212" t="n"/>
      <c r="PJ138" s="212" t="n"/>
      <c r="PK138" s="212" t="n"/>
      <c r="PL138" s="212" t="n"/>
      <c r="PM138" s="212" t="n"/>
      <c r="PN138" s="212" t="n"/>
      <c r="PO138" s="212" t="n"/>
      <c r="PP138" s="212" t="n"/>
      <c r="PQ138" s="212" t="n"/>
      <c r="PR138" s="212" t="n"/>
      <c r="PS138" s="212" t="n"/>
      <c r="PT138" s="212" t="n"/>
      <c r="PU138" s="212" t="n"/>
      <c r="PV138" s="212" t="n"/>
      <c r="PW138" s="212" t="n"/>
      <c r="PX138" s="212" t="n"/>
      <c r="PY138" s="212" t="n"/>
      <c r="PZ138" s="212" t="n"/>
      <c r="QA138" s="212" t="n"/>
      <c r="QB138" s="212" t="n"/>
      <c r="QC138" s="212" t="n"/>
      <c r="QD138" s="212" t="n"/>
      <c r="QE138" s="212" t="n"/>
      <c r="QF138" s="212" t="n"/>
      <c r="QG138" s="212" t="n"/>
      <c r="QH138" s="212" t="n"/>
      <c r="QI138" s="212" t="n"/>
      <c r="QJ138" s="212" t="n"/>
      <c r="QK138" s="212" t="n"/>
      <c r="QL138" s="212" t="n"/>
      <c r="QM138" s="212" t="n"/>
      <c r="QN138" s="212" t="n"/>
      <c r="QO138" s="212" t="n"/>
      <c r="QP138" s="212" t="n"/>
      <c r="QQ138" s="212" t="n"/>
      <c r="QR138" s="212" t="n"/>
      <c r="QS138" s="212" t="n"/>
      <c r="QT138" s="212" t="n"/>
      <c r="QU138" s="212" t="n"/>
      <c r="QV138" s="212" t="n"/>
      <c r="QW138" s="212" t="n"/>
      <c r="QX138" s="212" t="n"/>
      <c r="QY138" s="212" t="n"/>
      <c r="QZ138" s="212" t="n"/>
      <c r="RA138" s="212" t="n"/>
      <c r="RB138" s="212" t="n"/>
      <c r="RC138" s="212" t="n"/>
      <c r="RD138" s="212" t="n"/>
      <c r="RE138" s="212" t="n"/>
      <c r="RF138" s="212" t="n"/>
      <c r="RG138" s="212" t="n"/>
      <c r="RH138" s="212" t="n"/>
      <c r="RI138" s="212" t="n"/>
      <c r="RJ138" s="212" t="n"/>
      <c r="RK138" s="212" t="n"/>
      <c r="RL138" s="212" t="n"/>
      <c r="RM138" s="212" t="n"/>
      <c r="RN138" s="212" t="n"/>
      <c r="RO138" s="212" t="n"/>
      <c r="RP138" s="212" t="n"/>
      <c r="RQ138" s="212" t="n"/>
      <c r="RR138" s="212" t="n"/>
      <c r="RS138" s="212" t="n"/>
      <c r="RT138" s="212" t="n"/>
      <c r="RU138" s="212" t="n"/>
      <c r="RV138" s="212" t="n"/>
      <c r="RW138" s="212" t="n"/>
      <c r="RX138" s="212" t="n"/>
      <c r="RY138" s="212" t="n"/>
      <c r="RZ138" s="212" t="n"/>
      <c r="SA138" s="212" t="n"/>
      <c r="SB138" s="212" t="n"/>
      <c r="SC138" s="212" t="n"/>
      <c r="SD138" s="212" t="n"/>
      <c r="SE138" s="212" t="n"/>
      <c r="SF138" s="212" t="n"/>
      <c r="SG138" s="212" t="n"/>
      <c r="SH138" s="212" t="n"/>
      <c r="SI138" s="212" t="n"/>
      <c r="SJ138" s="212" t="n"/>
      <c r="SK138" s="212" t="n"/>
      <c r="SL138" s="212" t="n"/>
      <c r="SM138" s="212" t="n"/>
      <c r="SN138" s="212" t="n"/>
      <c r="SO138" s="212" t="n"/>
      <c r="SP138" s="212" t="n"/>
      <c r="SQ138" s="212" t="n"/>
      <c r="SR138" s="212" t="n"/>
      <c r="SS138" s="212" t="n"/>
      <c r="ST138" s="212" t="n"/>
      <c r="SU138" s="212" t="n"/>
      <c r="SV138" s="212" t="n"/>
    </row>
    <row r="139">
      <c r="B139" s="209" t="n"/>
      <c r="C139" s="209" t="n"/>
      <c r="D139" s="209" t="n"/>
      <c r="E139" s="209" t="n"/>
      <c r="F139" s="209">
        <f>IF(TRIM(D139&amp;E139)="","",TRIM(D139)&amp;" "&amp;TRIM(E139))</f>
        <v/>
      </c>
      <c r="G139" s="209" t="n"/>
      <c r="H139" s="209" t="n"/>
      <c r="I139" s="209" t="n"/>
      <c r="J139" s="209" t="n"/>
      <c r="K139" s="209" t="n"/>
      <c r="L139" s="209" t="n"/>
      <c r="M139" s="209" t="n"/>
      <c r="N139" s="209" t="n"/>
      <c r="O139" s="209" t="n"/>
      <c r="P139" s="209" t="n"/>
      <c r="Q139" s="209" t="n"/>
      <c r="R139" s="209" t="n"/>
      <c r="S139" s="212" t="n"/>
      <c r="T139" s="212" t="n"/>
      <c r="U139" s="212" t="n"/>
      <c r="V139" s="212" t="n"/>
      <c r="W139" s="212" t="n"/>
      <c r="X139" s="212" t="n"/>
      <c r="Y139" s="212" t="n"/>
      <c r="Z139" s="212" t="n"/>
      <c r="AA139" s="212" t="n"/>
      <c r="AB139" s="212" t="n"/>
      <c r="AC139" s="212" t="n"/>
      <c r="AD139" s="212" t="n"/>
      <c r="AE139" s="212" t="n"/>
      <c r="AF139" s="212" t="n"/>
      <c r="AG139" s="212" t="n"/>
      <c r="AH139" s="212" t="n"/>
      <c r="AI139" s="212" t="n"/>
      <c r="AJ139" s="212" t="n"/>
      <c r="AK139" s="212" t="n"/>
      <c r="AL139" s="212" t="n"/>
      <c r="AM139" s="212" t="n"/>
      <c r="AN139" s="212" t="n"/>
      <c r="AO139" s="212" t="n"/>
      <c r="AP139" s="212" t="n"/>
      <c r="AQ139" s="212" t="n"/>
      <c r="AR139" s="212" t="n"/>
      <c r="AS139" s="212" t="n"/>
      <c r="AT139" s="212" t="n"/>
      <c r="AU139" s="212" t="n"/>
      <c r="AV139" s="212" t="n"/>
      <c r="AW139" s="212" t="n"/>
      <c r="AX139" s="212" t="n"/>
      <c r="AY139" s="212" t="n"/>
      <c r="AZ139" s="212" t="n"/>
      <c r="BA139" s="212" t="n"/>
      <c r="BB139" s="212" t="n"/>
      <c r="BC139" s="212" t="n"/>
      <c r="BD139" s="212" t="n"/>
      <c r="BE139" s="212" t="n"/>
      <c r="BF139" s="212" t="n"/>
      <c r="BG139" s="212" t="n"/>
      <c r="BH139" s="212" t="n"/>
      <c r="BI139" s="212" t="n"/>
      <c r="BJ139" s="212" t="n"/>
      <c r="BK139" s="212" t="n"/>
      <c r="BL139" s="212" t="n"/>
      <c r="BM139" s="212" t="n"/>
      <c r="BN139" s="212" t="n"/>
      <c r="BO139" s="212" t="n"/>
      <c r="BP139" s="212" t="n"/>
      <c r="BQ139" s="212" t="n"/>
      <c r="BR139" s="212" t="n"/>
      <c r="BS139" s="212" t="n"/>
      <c r="BT139" s="212" t="n"/>
      <c r="BU139" s="212" t="n"/>
      <c r="BV139" s="212" t="n"/>
      <c r="BW139" s="212" t="n"/>
      <c r="BX139" s="212" t="n"/>
      <c r="BY139" s="212" t="n"/>
      <c r="BZ139" s="212" t="n"/>
      <c r="CA139" s="212" t="n"/>
      <c r="CB139" s="212" t="n"/>
      <c r="CC139" s="212" t="n"/>
      <c r="CD139" s="212" t="n"/>
      <c r="CE139" s="212" t="n"/>
      <c r="CF139" s="212" t="n"/>
      <c r="CG139" s="212" t="n"/>
      <c r="CH139" s="212" t="n"/>
      <c r="CI139" s="212" t="n"/>
      <c r="CJ139" s="212" t="n"/>
      <c r="CK139" s="212" t="n"/>
      <c r="CL139" s="212" t="n"/>
      <c r="CM139" s="212" t="n"/>
      <c r="CN139" s="212" t="n"/>
      <c r="CO139" s="212" t="n"/>
      <c r="CP139" s="212" t="n"/>
      <c r="CQ139" s="212" t="n"/>
      <c r="CR139" s="212" t="n"/>
      <c r="CS139" s="212" t="n"/>
      <c r="CT139" s="212" t="n"/>
      <c r="CU139" s="212" t="n"/>
      <c r="CV139" s="212" t="n"/>
      <c r="CW139" s="212" t="n"/>
      <c r="CX139" s="212" t="n"/>
      <c r="CY139" s="212" t="n"/>
      <c r="CZ139" s="212" t="n"/>
      <c r="DA139" s="212" t="n"/>
      <c r="DB139" s="212" t="n"/>
      <c r="DC139" s="212" t="n"/>
      <c r="DD139" s="212" t="n"/>
      <c r="DE139" s="212" t="n"/>
      <c r="DF139" s="212" t="n"/>
      <c r="DG139" s="212" t="n"/>
      <c r="DH139" s="212" t="n"/>
      <c r="DI139" s="212" t="n"/>
      <c r="DJ139" s="212" t="n"/>
      <c r="DK139" s="212" t="n"/>
      <c r="DL139" s="212" t="n"/>
      <c r="DM139" s="212" t="n"/>
      <c r="DN139" s="212" t="n"/>
      <c r="DO139" s="212" t="n"/>
      <c r="DP139" s="212" t="n"/>
      <c r="DQ139" s="212" t="n"/>
      <c r="DR139" s="212" t="n"/>
      <c r="DS139" s="212" t="n"/>
      <c r="DT139" s="212" t="n"/>
      <c r="DU139" s="212" t="n"/>
      <c r="DV139" s="212" t="n"/>
      <c r="DW139" s="212" t="n"/>
      <c r="DX139" s="212" t="n"/>
      <c r="DY139" s="212" t="n"/>
      <c r="DZ139" s="212" t="n"/>
      <c r="EA139" s="212" t="n"/>
      <c r="EB139" s="212" t="n"/>
      <c r="EC139" s="212" t="n"/>
      <c r="ED139" s="212" t="n"/>
      <c r="EE139" s="212" t="n"/>
      <c r="EF139" s="212" t="n"/>
      <c r="EG139" s="212" t="n"/>
      <c r="EH139" s="212" t="n"/>
      <c r="EI139" s="212" t="n"/>
      <c r="EJ139" s="212" t="n"/>
      <c r="EK139" s="212" t="n"/>
      <c r="EL139" s="212" t="n"/>
      <c r="EM139" s="212" t="n"/>
      <c r="EN139" s="212" t="n"/>
      <c r="EO139" s="212" t="n"/>
      <c r="EP139" s="212" t="n"/>
      <c r="EQ139" s="212" t="n"/>
      <c r="ER139" s="212" t="n"/>
      <c r="ES139" s="212" t="n"/>
      <c r="ET139" s="212" t="n"/>
      <c r="EU139" s="212" t="n"/>
      <c r="EV139" s="212" t="n"/>
      <c r="EW139" s="212" t="n"/>
      <c r="EX139" s="212" t="n"/>
      <c r="EY139" s="212" t="n"/>
      <c r="EZ139" s="212" t="n"/>
      <c r="FA139" s="212" t="n"/>
      <c r="FB139" s="212" t="n"/>
      <c r="FC139" s="212" t="n"/>
      <c r="FD139" s="212" t="n"/>
      <c r="FE139" s="212" t="n"/>
      <c r="FF139" s="212" t="n"/>
      <c r="FG139" s="212" t="n"/>
      <c r="FH139" s="212" t="n"/>
      <c r="FI139" s="212" t="n"/>
      <c r="FJ139" s="212" t="n"/>
      <c r="FK139" s="212" t="n"/>
      <c r="FL139" s="212" t="n"/>
      <c r="FM139" s="212" t="n"/>
      <c r="FN139" s="212" t="n"/>
      <c r="FO139" s="212" t="n"/>
      <c r="FP139" s="212" t="n"/>
      <c r="FQ139" s="212" t="n"/>
      <c r="FR139" s="212" t="n"/>
      <c r="FS139" s="212" t="n"/>
      <c r="FT139" s="212" t="n"/>
      <c r="FU139" s="212" t="n"/>
      <c r="FV139" s="212" t="n"/>
      <c r="FW139" s="212" t="n"/>
      <c r="FX139" s="212" t="n"/>
      <c r="FY139" s="212" t="n"/>
      <c r="FZ139" s="212" t="n"/>
      <c r="GA139" s="212" t="n"/>
      <c r="GB139" s="212" t="n"/>
      <c r="GC139" s="212" t="n"/>
      <c r="GD139" s="212" t="n"/>
      <c r="GE139" s="212" t="n"/>
      <c r="GF139" s="212" t="n"/>
      <c r="GG139" s="212" t="n"/>
      <c r="GH139" s="212" t="n"/>
      <c r="GI139" s="212" t="n"/>
      <c r="GJ139" s="212" t="n"/>
      <c r="GK139" s="212" t="n"/>
      <c r="GL139" s="212" t="n"/>
      <c r="GM139" s="212" t="n"/>
      <c r="GN139" s="212" t="n"/>
      <c r="GO139" s="212" t="n"/>
      <c r="GP139" s="212" t="n"/>
      <c r="GQ139" s="212" t="n"/>
      <c r="GR139" s="212" t="n"/>
      <c r="GS139" s="212" t="n"/>
      <c r="GT139" s="212" t="n"/>
      <c r="GU139" s="212" t="n"/>
      <c r="GV139" s="212" t="n"/>
      <c r="GW139" s="212" t="n"/>
      <c r="GX139" s="212" t="n"/>
      <c r="GY139" s="212" t="n"/>
      <c r="GZ139" s="212" t="n"/>
      <c r="HA139" s="212" t="n"/>
      <c r="HB139" s="212" t="n"/>
      <c r="HC139" s="212" t="n"/>
      <c r="HD139" s="212" t="n"/>
      <c r="HE139" s="212" t="n"/>
      <c r="HF139" s="212" t="n"/>
      <c r="HG139" s="212" t="n"/>
      <c r="HH139" s="212" t="n"/>
      <c r="HI139" s="212" t="n"/>
      <c r="HJ139" s="212" t="n"/>
      <c r="HK139" s="212" t="n"/>
      <c r="HL139" s="212" t="n"/>
      <c r="HM139" s="212" t="n"/>
      <c r="HN139" s="212" t="n"/>
      <c r="HO139" s="212" t="n"/>
      <c r="HP139" s="212" t="n"/>
      <c r="HQ139" s="212" t="n"/>
      <c r="HR139" s="212" t="n"/>
      <c r="HS139" s="212" t="n"/>
      <c r="HT139" s="212" t="n"/>
      <c r="HU139" s="212" t="n"/>
      <c r="HV139" s="212" t="n"/>
      <c r="HW139" s="212" t="n"/>
      <c r="HX139" s="212" t="n"/>
      <c r="HY139" s="212" t="n"/>
      <c r="HZ139" s="212" t="n"/>
      <c r="IA139" s="212" t="n"/>
      <c r="IB139" s="212" t="n"/>
      <c r="IC139" s="212" t="n"/>
      <c r="ID139" s="212" t="n"/>
      <c r="IE139" s="212" t="n"/>
      <c r="IF139" s="212" t="n"/>
      <c r="IG139" s="212" t="n"/>
      <c r="IH139" s="212" t="n"/>
      <c r="II139" s="212" t="n"/>
      <c r="IJ139" s="212" t="n"/>
      <c r="IK139" s="212" t="n"/>
      <c r="IL139" s="212" t="n"/>
      <c r="IM139" s="212" t="n"/>
      <c r="IN139" s="212" t="n"/>
      <c r="IO139" s="212" t="n"/>
      <c r="IP139" s="212" t="n"/>
      <c r="IQ139" s="212" t="n"/>
      <c r="IR139" s="212" t="n"/>
      <c r="IS139" s="212" t="n"/>
      <c r="IT139" s="212" t="n"/>
      <c r="IU139" s="212" t="n"/>
      <c r="IV139" s="212" t="n"/>
      <c r="IW139" s="212" t="n"/>
      <c r="IX139" s="212" t="n"/>
      <c r="IY139" s="212" t="n"/>
      <c r="IZ139" s="212" t="n"/>
      <c r="JA139" s="212" t="n"/>
      <c r="JB139" s="212" t="n"/>
      <c r="JC139" s="212" t="n"/>
      <c r="JD139" s="212" t="n"/>
      <c r="JE139" s="212" t="n"/>
      <c r="JF139" s="212" t="n"/>
      <c r="JG139" s="212" t="n"/>
      <c r="JH139" s="212" t="n"/>
      <c r="JI139" s="212" t="n"/>
      <c r="JJ139" s="212" t="n"/>
      <c r="JK139" s="212" t="n"/>
      <c r="JL139" s="212" t="n"/>
      <c r="JM139" s="212" t="n"/>
      <c r="JN139" s="212" t="n"/>
      <c r="JO139" s="212" t="n"/>
      <c r="JP139" s="212" t="n"/>
      <c r="JQ139" s="212" t="n"/>
      <c r="JR139" s="212" t="n"/>
      <c r="JS139" s="212" t="n"/>
      <c r="JT139" s="212" t="n"/>
      <c r="JU139" s="212" t="n"/>
      <c r="JV139" s="212" t="n"/>
      <c r="JW139" s="212" t="n"/>
      <c r="JX139" s="212" t="n"/>
      <c r="JY139" s="212" t="n"/>
      <c r="JZ139" s="212" t="n"/>
      <c r="KA139" s="212" t="n"/>
      <c r="KB139" s="212" t="n"/>
      <c r="KC139" s="212" t="n"/>
      <c r="KD139" s="212" t="n"/>
      <c r="KE139" s="212" t="n"/>
      <c r="KF139" s="212" t="n"/>
      <c r="KG139" s="212" t="n"/>
      <c r="KH139" s="212" t="n"/>
      <c r="KI139" s="212" t="n"/>
      <c r="KJ139" s="212" t="n"/>
      <c r="KK139" s="212" t="n"/>
      <c r="KL139" s="212" t="n"/>
      <c r="KM139" s="212" t="n"/>
      <c r="KN139" s="212" t="n"/>
      <c r="KO139" s="212" t="n"/>
      <c r="KP139" s="212" t="n"/>
      <c r="KQ139" s="212" t="n"/>
      <c r="KR139" s="212" t="n"/>
      <c r="KS139" s="212" t="n"/>
      <c r="KT139" s="212" t="n"/>
      <c r="KU139" s="212" t="n"/>
      <c r="KV139" s="212" t="n"/>
      <c r="KW139" s="212" t="n"/>
      <c r="KX139" s="212" t="n"/>
      <c r="KY139" s="212" t="n"/>
      <c r="KZ139" s="212" t="n"/>
      <c r="LA139" s="212" t="n"/>
      <c r="LB139" s="212" t="n"/>
      <c r="LC139" s="212" t="n"/>
      <c r="LD139" s="212" t="n"/>
      <c r="LE139" s="212" t="n"/>
      <c r="LF139" s="212" t="n"/>
      <c r="LG139" s="212" t="n"/>
      <c r="LH139" s="212" t="n"/>
      <c r="LI139" s="212" t="n"/>
      <c r="LJ139" s="212" t="n"/>
      <c r="LK139" s="212" t="n"/>
      <c r="LL139" s="212" t="n"/>
      <c r="LM139" s="212" t="n"/>
      <c r="LN139" s="212" t="n"/>
      <c r="LO139" s="212" t="n"/>
      <c r="LP139" s="212" t="n"/>
      <c r="LQ139" s="212" t="n"/>
      <c r="LR139" s="212" t="n"/>
      <c r="LS139" s="212" t="n"/>
      <c r="LT139" s="212" t="n"/>
      <c r="LU139" s="212" t="n"/>
      <c r="LV139" s="212" t="n"/>
      <c r="LW139" s="212" t="n"/>
      <c r="LX139" s="212" t="n"/>
      <c r="LY139" s="212" t="n"/>
      <c r="LZ139" s="212" t="n"/>
      <c r="MA139" s="212" t="n"/>
      <c r="MB139" s="212" t="n"/>
      <c r="MC139" s="212" t="n"/>
      <c r="MD139" s="212" t="n"/>
      <c r="ME139" s="212" t="n"/>
      <c r="MF139" s="212" t="n"/>
      <c r="MG139" s="212" t="n"/>
      <c r="MH139" s="212" t="n"/>
      <c r="MI139" s="212" t="n"/>
      <c r="MJ139" s="212" t="n"/>
      <c r="MK139" s="212" t="n"/>
      <c r="ML139" s="212" t="n"/>
      <c r="MM139" s="212" t="n"/>
      <c r="MN139" s="212" t="n"/>
      <c r="MO139" s="212" t="n"/>
      <c r="MP139" s="212" t="n"/>
      <c r="MQ139" s="212" t="n"/>
      <c r="MR139" s="212" t="n"/>
      <c r="MS139" s="212" t="n"/>
      <c r="MT139" s="212" t="n"/>
      <c r="MU139" s="212" t="n"/>
      <c r="MV139" s="212" t="n"/>
      <c r="MW139" s="212" t="n"/>
      <c r="MX139" s="212" t="n"/>
      <c r="MY139" s="212" t="n"/>
      <c r="MZ139" s="212" t="n"/>
      <c r="NA139" s="212" t="n"/>
      <c r="NB139" s="212" t="n"/>
      <c r="NC139" s="212" t="n"/>
      <c r="ND139" s="212" t="n"/>
      <c r="NE139" s="212" t="n"/>
      <c r="NF139" s="212" t="n"/>
      <c r="NG139" s="212" t="n"/>
      <c r="NH139" s="212" t="n"/>
      <c r="NI139" s="212" t="n"/>
      <c r="NJ139" s="212" t="n"/>
      <c r="NK139" s="212" t="n"/>
      <c r="NL139" s="212" t="n"/>
      <c r="NM139" s="212" t="n"/>
      <c r="NN139" s="212" t="n"/>
      <c r="NO139" s="212" t="n"/>
      <c r="NP139" s="212" t="n"/>
      <c r="NQ139" s="212" t="n"/>
      <c r="NR139" s="212" t="n"/>
      <c r="NS139" s="212" t="n"/>
      <c r="NT139" s="212" t="n"/>
      <c r="NU139" s="212" t="n"/>
      <c r="NV139" s="212" t="n"/>
      <c r="NW139" s="212" t="n"/>
      <c r="NX139" s="212" t="n"/>
      <c r="NY139" s="212" t="n"/>
      <c r="NZ139" s="212" t="n"/>
      <c r="OA139" s="212" t="n"/>
      <c r="OB139" s="212" t="n"/>
      <c r="OC139" s="212" t="n"/>
      <c r="OD139" s="212" t="n"/>
      <c r="OE139" s="212" t="n"/>
      <c r="OF139" s="212" t="n"/>
      <c r="OG139" s="212" t="n"/>
      <c r="OH139" s="212" t="n"/>
      <c r="OI139" s="212" t="n"/>
      <c r="OJ139" s="212" t="n"/>
      <c r="OK139" s="212" t="n"/>
      <c r="OL139" s="212" t="n"/>
      <c r="OM139" s="212" t="n"/>
      <c r="ON139" s="212" t="n"/>
      <c r="OO139" s="212" t="n"/>
      <c r="OP139" s="212" t="n"/>
      <c r="OQ139" s="212" t="n"/>
      <c r="OR139" s="212" t="n"/>
      <c r="OS139" s="212" t="n"/>
      <c r="OT139" s="212" t="n"/>
      <c r="OU139" s="212" t="n"/>
      <c r="OV139" s="212" t="n"/>
      <c r="OW139" s="212" t="n"/>
      <c r="OX139" s="212" t="n"/>
      <c r="OY139" s="212" t="n"/>
      <c r="OZ139" s="212" t="n"/>
      <c r="PA139" s="212" t="n"/>
      <c r="PB139" s="212" t="n"/>
      <c r="PC139" s="212" t="n"/>
      <c r="PD139" s="212" t="n"/>
      <c r="PE139" s="212" t="n"/>
      <c r="PF139" s="212" t="n"/>
      <c r="PG139" s="212" t="n"/>
      <c r="PH139" s="212" t="n"/>
      <c r="PI139" s="212" t="n"/>
      <c r="PJ139" s="212" t="n"/>
      <c r="PK139" s="212" t="n"/>
      <c r="PL139" s="212" t="n"/>
      <c r="PM139" s="212" t="n"/>
      <c r="PN139" s="212" t="n"/>
      <c r="PO139" s="212" t="n"/>
      <c r="PP139" s="212" t="n"/>
      <c r="PQ139" s="212" t="n"/>
      <c r="PR139" s="212" t="n"/>
      <c r="PS139" s="212" t="n"/>
      <c r="PT139" s="212" t="n"/>
      <c r="PU139" s="212" t="n"/>
      <c r="PV139" s="212" t="n"/>
      <c r="PW139" s="212" t="n"/>
      <c r="PX139" s="212" t="n"/>
      <c r="PY139" s="212" t="n"/>
      <c r="PZ139" s="212" t="n"/>
      <c r="QA139" s="212" t="n"/>
      <c r="QB139" s="212" t="n"/>
      <c r="QC139" s="212" t="n"/>
      <c r="QD139" s="212" t="n"/>
      <c r="QE139" s="212" t="n"/>
      <c r="QF139" s="212" t="n"/>
      <c r="QG139" s="212" t="n"/>
      <c r="QH139" s="212" t="n"/>
      <c r="QI139" s="212" t="n"/>
      <c r="QJ139" s="212" t="n"/>
      <c r="QK139" s="212" t="n"/>
      <c r="QL139" s="212" t="n"/>
      <c r="QM139" s="212" t="n"/>
      <c r="QN139" s="212" t="n"/>
      <c r="QO139" s="212" t="n"/>
      <c r="QP139" s="212" t="n"/>
      <c r="QQ139" s="212" t="n"/>
      <c r="QR139" s="212" t="n"/>
      <c r="QS139" s="212" t="n"/>
      <c r="QT139" s="212" t="n"/>
      <c r="QU139" s="212" t="n"/>
      <c r="QV139" s="212" t="n"/>
      <c r="QW139" s="212" t="n"/>
      <c r="QX139" s="212" t="n"/>
      <c r="QY139" s="212" t="n"/>
      <c r="QZ139" s="212" t="n"/>
      <c r="RA139" s="212" t="n"/>
      <c r="RB139" s="212" t="n"/>
      <c r="RC139" s="212" t="n"/>
      <c r="RD139" s="212" t="n"/>
      <c r="RE139" s="212" t="n"/>
      <c r="RF139" s="212" t="n"/>
      <c r="RG139" s="212" t="n"/>
      <c r="RH139" s="212" t="n"/>
      <c r="RI139" s="212" t="n"/>
      <c r="RJ139" s="212" t="n"/>
      <c r="RK139" s="212" t="n"/>
      <c r="RL139" s="212" t="n"/>
      <c r="RM139" s="212" t="n"/>
      <c r="RN139" s="212" t="n"/>
      <c r="RO139" s="212" t="n"/>
      <c r="RP139" s="212" t="n"/>
      <c r="RQ139" s="212" t="n"/>
      <c r="RR139" s="212" t="n"/>
      <c r="RS139" s="212" t="n"/>
      <c r="RT139" s="212" t="n"/>
      <c r="RU139" s="212" t="n"/>
      <c r="RV139" s="212" t="n"/>
      <c r="RW139" s="212" t="n"/>
      <c r="RX139" s="212" t="n"/>
      <c r="RY139" s="212" t="n"/>
      <c r="RZ139" s="212" t="n"/>
      <c r="SA139" s="212" t="n"/>
      <c r="SB139" s="212" t="n"/>
      <c r="SC139" s="212" t="n"/>
      <c r="SD139" s="212" t="n"/>
      <c r="SE139" s="212" t="n"/>
      <c r="SF139" s="212" t="n"/>
      <c r="SG139" s="212" t="n"/>
      <c r="SH139" s="212" t="n"/>
      <c r="SI139" s="212" t="n"/>
      <c r="SJ139" s="212" t="n"/>
      <c r="SK139" s="212" t="n"/>
      <c r="SL139" s="212" t="n"/>
      <c r="SM139" s="212" t="n"/>
      <c r="SN139" s="212" t="n"/>
      <c r="SO139" s="212" t="n"/>
      <c r="SP139" s="212" t="n"/>
      <c r="SQ139" s="212" t="n"/>
      <c r="SR139" s="212" t="n"/>
      <c r="SS139" s="212" t="n"/>
      <c r="ST139" s="212" t="n"/>
      <c r="SU139" s="212" t="n"/>
      <c r="SV139" s="212" t="n"/>
    </row>
    <row r="140">
      <c r="B140" s="209" t="n"/>
      <c r="C140" s="209" t="n"/>
      <c r="D140" s="209" t="n"/>
      <c r="E140" s="209" t="n"/>
      <c r="F140" s="209">
        <f>IF(TRIM(D140&amp;E140)="","",TRIM(D140)&amp;" "&amp;TRIM(E140))</f>
        <v/>
      </c>
      <c r="G140" s="209" t="n"/>
      <c r="H140" s="209" t="n"/>
      <c r="I140" s="209" t="n"/>
      <c r="J140" s="209" t="n"/>
      <c r="K140" s="209" t="n"/>
      <c r="L140" s="209" t="n"/>
      <c r="M140" s="209" t="n"/>
      <c r="N140" s="209" t="n"/>
      <c r="O140" s="209" t="n"/>
      <c r="P140" s="209" t="n"/>
      <c r="Q140" s="209" t="n"/>
      <c r="R140" s="209" t="n"/>
      <c r="S140" s="212" t="n"/>
      <c r="T140" s="212" t="n"/>
      <c r="U140" s="212" t="n"/>
      <c r="V140" s="212" t="n"/>
      <c r="W140" s="212" t="n"/>
      <c r="X140" s="212" t="n"/>
      <c r="Y140" s="212" t="n"/>
      <c r="Z140" s="212" t="n"/>
      <c r="AA140" s="212" t="n"/>
      <c r="AB140" s="212" t="n"/>
      <c r="AC140" s="212" t="n"/>
      <c r="AD140" s="212" t="n"/>
      <c r="AE140" s="212" t="n"/>
      <c r="AF140" s="212" t="n"/>
      <c r="AG140" s="212" t="n"/>
      <c r="AH140" s="212" t="n"/>
      <c r="AI140" s="212" t="n"/>
      <c r="AJ140" s="212" t="n"/>
      <c r="AK140" s="212" t="n"/>
      <c r="AL140" s="212" t="n"/>
      <c r="AM140" s="212" t="n"/>
      <c r="AN140" s="212" t="n"/>
      <c r="AO140" s="212" t="n"/>
      <c r="AP140" s="212" t="n"/>
      <c r="AQ140" s="212" t="n"/>
      <c r="AR140" s="212" t="n"/>
      <c r="AS140" s="212" t="n"/>
      <c r="AT140" s="212" t="n"/>
      <c r="AU140" s="212" t="n"/>
      <c r="AV140" s="212" t="n"/>
      <c r="AW140" s="212" t="n"/>
      <c r="AX140" s="212" t="n"/>
      <c r="AY140" s="212" t="n"/>
      <c r="AZ140" s="212" t="n"/>
      <c r="BA140" s="212" t="n"/>
      <c r="BB140" s="212" t="n"/>
      <c r="BC140" s="212" t="n"/>
      <c r="BD140" s="212" t="n"/>
      <c r="BE140" s="212" t="n"/>
      <c r="BF140" s="212" t="n"/>
      <c r="BG140" s="212" t="n"/>
      <c r="BH140" s="212" t="n"/>
      <c r="BI140" s="212" t="n"/>
      <c r="BJ140" s="212" t="n"/>
      <c r="BK140" s="212" t="n"/>
      <c r="BL140" s="212" t="n"/>
      <c r="BM140" s="212" t="n"/>
      <c r="BN140" s="212" t="n"/>
      <c r="BO140" s="212" t="n"/>
      <c r="BP140" s="212" t="n"/>
      <c r="BQ140" s="212" t="n"/>
      <c r="BR140" s="212" t="n"/>
      <c r="BS140" s="212" t="n"/>
      <c r="BT140" s="212" t="n"/>
      <c r="BU140" s="212" t="n"/>
      <c r="BV140" s="212" t="n"/>
      <c r="BW140" s="212" t="n"/>
      <c r="BX140" s="212" t="n"/>
      <c r="BY140" s="212" t="n"/>
      <c r="BZ140" s="212" t="n"/>
      <c r="CA140" s="212" t="n"/>
      <c r="CB140" s="212" t="n"/>
      <c r="CC140" s="212" t="n"/>
      <c r="CD140" s="212" t="n"/>
      <c r="CE140" s="212" t="n"/>
      <c r="CF140" s="212" t="n"/>
      <c r="CG140" s="212" t="n"/>
      <c r="CH140" s="212" t="n"/>
      <c r="CI140" s="212" t="n"/>
      <c r="CJ140" s="212" t="n"/>
      <c r="CK140" s="212" t="n"/>
      <c r="CL140" s="212" t="n"/>
      <c r="CM140" s="212" t="n"/>
      <c r="CN140" s="212" t="n"/>
      <c r="CO140" s="212" t="n"/>
      <c r="CP140" s="212" t="n"/>
      <c r="CQ140" s="212" t="n"/>
      <c r="CR140" s="212" t="n"/>
      <c r="CS140" s="212" t="n"/>
      <c r="CT140" s="212" t="n"/>
      <c r="CU140" s="212" t="n"/>
      <c r="CV140" s="212" t="n"/>
      <c r="CW140" s="212" t="n"/>
      <c r="CX140" s="212" t="n"/>
      <c r="CY140" s="212" t="n"/>
      <c r="CZ140" s="212" t="n"/>
      <c r="DA140" s="212" t="n"/>
      <c r="DB140" s="212" t="n"/>
      <c r="DC140" s="212" t="n"/>
      <c r="DD140" s="212" t="n"/>
      <c r="DE140" s="212" t="n"/>
      <c r="DF140" s="212" t="n"/>
      <c r="DG140" s="212" t="n"/>
      <c r="DH140" s="212" t="n"/>
      <c r="DI140" s="212" t="n"/>
      <c r="DJ140" s="212" t="n"/>
      <c r="DK140" s="212" t="n"/>
      <c r="DL140" s="212" t="n"/>
      <c r="DM140" s="212" t="n"/>
      <c r="DN140" s="212" t="n"/>
      <c r="DO140" s="212" t="n"/>
      <c r="DP140" s="212" t="n"/>
      <c r="DQ140" s="212" t="n"/>
      <c r="DR140" s="212" t="n"/>
      <c r="DS140" s="212" t="n"/>
      <c r="DT140" s="212" t="n"/>
      <c r="DU140" s="212" t="n"/>
      <c r="DV140" s="212" t="n"/>
      <c r="DW140" s="212" t="n"/>
      <c r="DX140" s="212" t="n"/>
      <c r="DY140" s="212" t="n"/>
      <c r="DZ140" s="212" t="n"/>
      <c r="EA140" s="212" t="n"/>
      <c r="EB140" s="212" t="n"/>
      <c r="EC140" s="212" t="n"/>
      <c r="ED140" s="212" t="n"/>
      <c r="EE140" s="212" t="n"/>
      <c r="EF140" s="212" t="n"/>
      <c r="EG140" s="212" t="n"/>
      <c r="EH140" s="212" t="n"/>
      <c r="EI140" s="212" t="n"/>
      <c r="EJ140" s="212" t="n"/>
      <c r="EK140" s="212" t="n"/>
      <c r="EL140" s="212" t="n"/>
      <c r="EM140" s="212" t="n"/>
      <c r="EN140" s="212" t="n"/>
      <c r="EO140" s="212" t="n"/>
      <c r="EP140" s="212" t="n"/>
      <c r="EQ140" s="212" t="n"/>
      <c r="ER140" s="212" t="n"/>
      <c r="ES140" s="212" t="n"/>
      <c r="ET140" s="212" t="n"/>
      <c r="EU140" s="212" t="n"/>
      <c r="EV140" s="212" t="n"/>
      <c r="EW140" s="212" t="n"/>
      <c r="EX140" s="212" t="n"/>
      <c r="EY140" s="212" t="n"/>
      <c r="EZ140" s="212" t="n"/>
      <c r="FA140" s="212" t="n"/>
      <c r="FB140" s="212" t="n"/>
      <c r="FC140" s="212" t="n"/>
      <c r="FD140" s="212" t="n"/>
      <c r="FE140" s="212" t="n"/>
      <c r="FF140" s="212" t="n"/>
      <c r="FG140" s="212" t="n"/>
      <c r="FH140" s="212" t="n"/>
      <c r="FI140" s="212" t="n"/>
      <c r="FJ140" s="212" t="n"/>
      <c r="FK140" s="212" t="n"/>
      <c r="FL140" s="212" t="n"/>
      <c r="FM140" s="212" t="n"/>
      <c r="FN140" s="212" t="n"/>
      <c r="FO140" s="212" t="n"/>
      <c r="FP140" s="212" t="n"/>
      <c r="FQ140" s="212" t="n"/>
      <c r="FR140" s="212" t="n"/>
      <c r="FS140" s="212" t="n"/>
      <c r="FT140" s="212" t="n"/>
      <c r="FU140" s="212" t="n"/>
      <c r="FV140" s="212" t="n"/>
      <c r="FW140" s="212" t="n"/>
      <c r="FX140" s="212" t="n"/>
      <c r="FY140" s="212" t="n"/>
      <c r="FZ140" s="212" t="n"/>
      <c r="GA140" s="212" t="n"/>
      <c r="GB140" s="212" t="n"/>
      <c r="GC140" s="212" t="n"/>
      <c r="GD140" s="212" t="n"/>
      <c r="GE140" s="212" t="n"/>
      <c r="GF140" s="212" t="n"/>
      <c r="GG140" s="212" t="n"/>
      <c r="GH140" s="212" t="n"/>
      <c r="GI140" s="212" t="n"/>
      <c r="GJ140" s="212" t="n"/>
      <c r="GK140" s="212" t="n"/>
      <c r="GL140" s="212" t="n"/>
      <c r="GM140" s="212" t="n"/>
      <c r="GN140" s="212" t="n"/>
      <c r="GO140" s="212" t="n"/>
      <c r="GP140" s="212" t="n"/>
      <c r="GQ140" s="212" t="n"/>
      <c r="GR140" s="212" t="n"/>
      <c r="GS140" s="212" t="n"/>
      <c r="GT140" s="212" t="n"/>
      <c r="GU140" s="212" t="n"/>
      <c r="GV140" s="212" t="n"/>
      <c r="GW140" s="212" t="n"/>
      <c r="GX140" s="212" t="n"/>
      <c r="GY140" s="212" t="n"/>
      <c r="GZ140" s="212" t="n"/>
      <c r="HA140" s="212" t="n"/>
      <c r="HB140" s="212" t="n"/>
      <c r="HC140" s="212" t="n"/>
      <c r="HD140" s="212" t="n"/>
      <c r="HE140" s="212" t="n"/>
      <c r="HF140" s="212" t="n"/>
      <c r="HG140" s="212" t="n"/>
      <c r="HH140" s="212" t="n"/>
      <c r="HI140" s="212" t="n"/>
      <c r="HJ140" s="212" t="n"/>
      <c r="HK140" s="212" t="n"/>
      <c r="HL140" s="212" t="n"/>
      <c r="HM140" s="212" t="n"/>
      <c r="HN140" s="212" t="n"/>
      <c r="HO140" s="212" t="n"/>
      <c r="HP140" s="212" t="n"/>
      <c r="HQ140" s="212" t="n"/>
      <c r="HR140" s="212" t="n"/>
      <c r="HS140" s="212" t="n"/>
      <c r="HT140" s="212" t="n"/>
      <c r="HU140" s="212" t="n"/>
      <c r="HV140" s="212" t="n"/>
      <c r="HW140" s="212" t="n"/>
      <c r="HX140" s="212" t="n"/>
      <c r="HY140" s="212" t="n"/>
      <c r="HZ140" s="212" t="n"/>
      <c r="IA140" s="212" t="n"/>
      <c r="IB140" s="212" t="n"/>
      <c r="IC140" s="212" t="n"/>
      <c r="ID140" s="212" t="n"/>
      <c r="IE140" s="212" t="n"/>
      <c r="IF140" s="212" t="n"/>
      <c r="IG140" s="212" t="n"/>
      <c r="IH140" s="212" t="n"/>
      <c r="II140" s="212" t="n"/>
      <c r="IJ140" s="212" t="n"/>
      <c r="IK140" s="212" t="n"/>
      <c r="IL140" s="212" t="n"/>
      <c r="IM140" s="212" t="n"/>
      <c r="IN140" s="212" t="n"/>
      <c r="IO140" s="212" t="n"/>
      <c r="IP140" s="212" t="n"/>
      <c r="IQ140" s="212" t="n"/>
      <c r="IR140" s="212" t="n"/>
      <c r="IS140" s="212" t="n"/>
      <c r="IT140" s="212" t="n"/>
      <c r="IU140" s="212" t="n"/>
      <c r="IV140" s="212" t="n"/>
      <c r="IW140" s="212" t="n"/>
      <c r="IX140" s="212" t="n"/>
      <c r="IY140" s="212" t="n"/>
      <c r="IZ140" s="212" t="n"/>
      <c r="JA140" s="212" t="n"/>
      <c r="JB140" s="212" t="n"/>
      <c r="JC140" s="212" t="n"/>
      <c r="JD140" s="212" t="n"/>
      <c r="JE140" s="212" t="n"/>
      <c r="JF140" s="212" t="n"/>
      <c r="JG140" s="212" t="n"/>
      <c r="JH140" s="212" t="n"/>
      <c r="JI140" s="212" t="n"/>
      <c r="JJ140" s="212" t="n"/>
      <c r="JK140" s="212" t="n"/>
      <c r="JL140" s="212" t="n"/>
      <c r="JM140" s="212" t="n"/>
      <c r="JN140" s="212" t="n"/>
      <c r="JO140" s="212" t="n"/>
      <c r="JP140" s="212" t="n"/>
      <c r="JQ140" s="212" t="n"/>
      <c r="JR140" s="212" t="n"/>
      <c r="JS140" s="212" t="n"/>
      <c r="JT140" s="212" t="n"/>
      <c r="JU140" s="212" t="n"/>
      <c r="JV140" s="212" t="n"/>
      <c r="JW140" s="212" t="n"/>
      <c r="JX140" s="212" t="n"/>
      <c r="JY140" s="212" t="n"/>
      <c r="JZ140" s="212" t="n"/>
      <c r="KA140" s="212" t="n"/>
      <c r="KB140" s="212" t="n"/>
      <c r="KC140" s="212" t="n"/>
      <c r="KD140" s="212" t="n"/>
      <c r="KE140" s="212" t="n"/>
      <c r="KF140" s="212" t="n"/>
      <c r="KG140" s="212" t="n"/>
      <c r="KH140" s="212" t="n"/>
      <c r="KI140" s="212" t="n"/>
      <c r="KJ140" s="212" t="n"/>
      <c r="KK140" s="212" t="n"/>
      <c r="KL140" s="212" t="n"/>
      <c r="KM140" s="212" t="n"/>
      <c r="KN140" s="212" t="n"/>
      <c r="KO140" s="212" t="n"/>
      <c r="KP140" s="212" t="n"/>
      <c r="KQ140" s="212" t="n"/>
      <c r="KR140" s="212" t="n"/>
      <c r="KS140" s="212" t="n"/>
      <c r="KT140" s="212" t="n"/>
      <c r="KU140" s="212" t="n"/>
      <c r="KV140" s="212" t="n"/>
      <c r="KW140" s="212" t="n"/>
      <c r="KX140" s="212" t="n"/>
      <c r="KY140" s="212" t="n"/>
      <c r="KZ140" s="212" t="n"/>
      <c r="LA140" s="212" t="n"/>
      <c r="LB140" s="212" t="n"/>
      <c r="LC140" s="212" t="n"/>
      <c r="LD140" s="212" t="n"/>
      <c r="LE140" s="212" t="n"/>
      <c r="LF140" s="212" t="n"/>
      <c r="LG140" s="212" t="n"/>
      <c r="LH140" s="212" t="n"/>
      <c r="LI140" s="212" t="n"/>
      <c r="LJ140" s="212" t="n"/>
      <c r="LK140" s="212" t="n"/>
      <c r="LL140" s="212" t="n"/>
      <c r="LM140" s="212" t="n"/>
      <c r="LN140" s="212" t="n"/>
      <c r="LO140" s="212" t="n"/>
      <c r="LP140" s="212" t="n"/>
      <c r="LQ140" s="212" t="n"/>
      <c r="LR140" s="212" t="n"/>
      <c r="LS140" s="212" t="n"/>
      <c r="LT140" s="212" t="n"/>
      <c r="LU140" s="212" t="n"/>
      <c r="LV140" s="212" t="n"/>
      <c r="LW140" s="212" t="n"/>
      <c r="LX140" s="212" t="n"/>
      <c r="LY140" s="212" t="n"/>
      <c r="LZ140" s="212" t="n"/>
      <c r="MA140" s="212" t="n"/>
      <c r="MB140" s="212" t="n"/>
      <c r="MC140" s="212" t="n"/>
      <c r="MD140" s="212" t="n"/>
      <c r="ME140" s="212" t="n"/>
      <c r="MF140" s="212" t="n"/>
      <c r="MG140" s="212" t="n"/>
      <c r="MH140" s="212" t="n"/>
      <c r="MI140" s="212" t="n"/>
      <c r="MJ140" s="212" t="n"/>
      <c r="MK140" s="212" t="n"/>
      <c r="ML140" s="212" t="n"/>
      <c r="MM140" s="212" t="n"/>
      <c r="MN140" s="212" t="n"/>
      <c r="MO140" s="212" t="n"/>
      <c r="MP140" s="212" t="n"/>
      <c r="MQ140" s="212" t="n"/>
      <c r="MR140" s="212" t="n"/>
      <c r="MS140" s="212" t="n"/>
      <c r="MT140" s="212" t="n"/>
      <c r="MU140" s="212" t="n"/>
      <c r="MV140" s="212" t="n"/>
      <c r="MW140" s="212" t="n"/>
      <c r="MX140" s="212" t="n"/>
      <c r="MY140" s="212" t="n"/>
      <c r="MZ140" s="212" t="n"/>
      <c r="NA140" s="212" t="n"/>
      <c r="NB140" s="212" t="n"/>
      <c r="NC140" s="212" t="n"/>
      <c r="ND140" s="212" t="n"/>
      <c r="NE140" s="212" t="n"/>
      <c r="NF140" s="212" t="n"/>
      <c r="NG140" s="212" t="n"/>
      <c r="NH140" s="212" t="n"/>
      <c r="NI140" s="212" t="n"/>
      <c r="NJ140" s="212" t="n"/>
      <c r="NK140" s="212" t="n"/>
      <c r="NL140" s="212" t="n"/>
      <c r="NM140" s="212" t="n"/>
      <c r="NN140" s="212" t="n"/>
      <c r="NO140" s="212" t="n"/>
      <c r="NP140" s="212" t="n"/>
      <c r="NQ140" s="212" t="n"/>
      <c r="NR140" s="212" t="n"/>
      <c r="NS140" s="212" t="n"/>
      <c r="NT140" s="212" t="n"/>
      <c r="NU140" s="212" t="n"/>
      <c r="NV140" s="212" t="n"/>
      <c r="NW140" s="212" t="n"/>
      <c r="NX140" s="212" t="n"/>
      <c r="NY140" s="212" t="n"/>
      <c r="NZ140" s="212" t="n"/>
      <c r="OA140" s="212" t="n"/>
      <c r="OB140" s="212" t="n"/>
      <c r="OC140" s="212" t="n"/>
      <c r="OD140" s="212" t="n"/>
      <c r="OE140" s="212" t="n"/>
      <c r="OF140" s="212" t="n"/>
      <c r="OG140" s="212" t="n"/>
      <c r="OH140" s="212" t="n"/>
      <c r="OI140" s="212" t="n"/>
      <c r="OJ140" s="212" t="n"/>
      <c r="OK140" s="212" t="n"/>
      <c r="OL140" s="212" t="n"/>
      <c r="OM140" s="212" t="n"/>
      <c r="ON140" s="212" t="n"/>
      <c r="OO140" s="212" t="n"/>
      <c r="OP140" s="212" t="n"/>
      <c r="OQ140" s="212" t="n"/>
      <c r="OR140" s="212" t="n"/>
      <c r="OS140" s="212" t="n"/>
      <c r="OT140" s="212" t="n"/>
      <c r="OU140" s="212" t="n"/>
      <c r="OV140" s="212" t="n"/>
      <c r="OW140" s="212" t="n"/>
      <c r="OX140" s="212" t="n"/>
      <c r="OY140" s="212" t="n"/>
      <c r="OZ140" s="212" t="n"/>
      <c r="PA140" s="212" t="n"/>
      <c r="PB140" s="212" t="n"/>
      <c r="PC140" s="212" t="n"/>
      <c r="PD140" s="212" t="n"/>
      <c r="PE140" s="212" t="n"/>
      <c r="PF140" s="212" t="n"/>
      <c r="PG140" s="212" t="n"/>
      <c r="PH140" s="212" t="n"/>
      <c r="PI140" s="212" t="n"/>
      <c r="PJ140" s="212" t="n"/>
      <c r="PK140" s="212" t="n"/>
      <c r="PL140" s="212" t="n"/>
      <c r="PM140" s="212" t="n"/>
      <c r="PN140" s="212" t="n"/>
      <c r="PO140" s="212" t="n"/>
      <c r="PP140" s="212" t="n"/>
      <c r="PQ140" s="212" t="n"/>
      <c r="PR140" s="212" t="n"/>
      <c r="PS140" s="212" t="n"/>
      <c r="PT140" s="212" t="n"/>
      <c r="PU140" s="212" t="n"/>
      <c r="PV140" s="212" t="n"/>
      <c r="PW140" s="212" t="n"/>
      <c r="PX140" s="212" t="n"/>
      <c r="PY140" s="212" t="n"/>
      <c r="PZ140" s="212" t="n"/>
      <c r="QA140" s="212" t="n"/>
      <c r="QB140" s="212" t="n"/>
      <c r="QC140" s="212" t="n"/>
      <c r="QD140" s="212" t="n"/>
      <c r="QE140" s="212" t="n"/>
      <c r="QF140" s="212" t="n"/>
      <c r="QG140" s="212" t="n"/>
      <c r="QH140" s="212" t="n"/>
      <c r="QI140" s="212" t="n"/>
      <c r="QJ140" s="212" t="n"/>
      <c r="QK140" s="212" t="n"/>
      <c r="QL140" s="212" t="n"/>
      <c r="QM140" s="212" t="n"/>
      <c r="QN140" s="212" t="n"/>
      <c r="QO140" s="212" t="n"/>
      <c r="QP140" s="212" t="n"/>
      <c r="QQ140" s="212" t="n"/>
      <c r="QR140" s="212" t="n"/>
      <c r="QS140" s="212" t="n"/>
      <c r="QT140" s="212" t="n"/>
      <c r="QU140" s="212" t="n"/>
      <c r="QV140" s="212" t="n"/>
      <c r="QW140" s="212" t="n"/>
      <c r="QX140" s="212" t="n"/>
      <c r="QY140" s="212" t="n"/>
      <c r="QZ140" s="212" t="n"/>
      <c r="RA140" s="212" t="n"/>
      <c r="RB140" s="212" t="n"/>
      <c r="RC140" s="212" t="n"/>
      <c r="RD140" s="212" t="n"/>
      <c r="RE140" s="212" t="n"/>
      <c r="RF140" s="212" t="n"/>
      <c r="RG140" s="212" t="n"/>
      <c r="RH140" s="212" t="n"/>
      <c r="RI140" s="212" t="n"/>
      <c r="RJ140" s="212" t="n"/>
      <c r="RK140" s="212" t="n"/>
      <c r="RL140" s="212" t="n"/>
      <c r="RM140" s="212" t="n"/>
      <c r="RN140" s="212" t="n"/>
      <c r="RO140" s="212" t="n"/>
      <c r="RP140" s="212" t="n"/>
      <c r="RQ140" s="212" t="n"/>
      <c r="RR140" s="212" t="n"/>
      <c r="RS140" s="212" t="n"/>
      <c r="RT140" s="212" t="n"/>
      <c r="RU140" s="212" t="n"/>
      <c r="RV140" s="212" t="n"/>
      <c r="RW140" s="212" t="n"/>
      <c r="RX140" s="212" t="n"/>
      <c r="RY140" s="212" t="n"/>
      <c r="RZ140" s="212" t="n"/>
      <c r="SA140" s="212" t="n"/>
      <c r="SB140" s="212" t="n"/>
      <c r="SC140" s="212" t="n"/>
      <c r="SD140" s="212" t="n"/>
      <c r="SE140" s="212" t="n"/>
      <c r="SF140" s="212" t="n"/>
      <c r="SG140" s="212" t="n"/>
      <c r="SH140" s="212" t="n"/>
      <c r="SI140" s="212" t="n"/>
      <c r="SJ140" s="212" t="n"/>
      <c r="SK140" s="212" t="n"/>
      <c r="SL140" s="212" t="n"/>
      <c r="SM140" s="212" t="n"/>
      <c r="SN140" s="212" t="n"/>
      <c r="SO140" s="212" t="n"/>
      <c r="SP140" s="212" t="n"/>
      <c r="SQ140" s="212" t="n"/>
      <c r="SR140" s="212" t="n"/>
      <c r="SS140" s="212" t="n"/>
      <c r="ST140" s="212" t="n"/>
      <c r="SU140" s="212" t="n"/>
      <c r="SV140" s="212" t="n"/>
    </row>
    <row r="141">
      <c r="B141" s="209" t="n"/>
      <c r="C141" s="209" t="n"/>
      <c r="D141" s="209" t="n"/>
      <c r="E141" s="209" t="n"/>
      <c r="F141" s="209">
        <f>IF(TRIM(D141&amp;E141)="","",TRIM(D141)&amp;" "&amp;TRIM(E141))</f>
        <v/>
      </c>
      <c r="G141" s="209" t="n"/>
      <c r="H141" s="209" t="n"/>
      <c r="I141" s="209" t="n"/>
      <c r="J141" s="209" t="n"/>
      <c r="K141" s="209" t="n"/>
      <c r="L141" s="209" t="n"/>
      <c r="M141" s="209" t="n"/>
      <c r="N141" s="209" t="n"/>
      <c r="O141" s="209" t="n"/>
      <c r="P141" s="209" t="n"/>
      <c r="Q141" s="209" t="n"/>
      <c r="R141" s="209" t="n"/>
      <c r="S141" s="212" t="n"/>
      <c r="T141" s="212" t="n"/>
      <c r="U141" s="212" t="n"/>
      <c r="V141" s="212" t="n"/>
      <c r="W141" s="212" t="n"/>
      <c r="X141" s="212" t="n"/>
      <c r="Y141" s="212" t="n"/>
      <c r="Z141" s="212" t="n"/>
      <c r="AA141" s="212" t="n"/>
      <c r="AB141" s="212" t="n"/>
      <c r="AC141" s="212" t="n"/>
      <c r="AD141" s="212" t="n"/>
      <c r="AE141" s="212" t="n"/>
      <c r="AF141" s="212" t="n"/>
      <c r="AG141" s="212" t="n"/>
      <c r="AH141" s="212" t="n"/>
      <c r="AI141" s="212" t="n"/>
      <c r="AJ141" s="212" t="n"/>
      <c r="AK141" s="212" t="n"/>
      <c r="AL141" s="212" t="n"/>
      <c r="AM141" s="212" t="n"/>
      <c r="AN141" s="212" t="n"/>
      <c r="AO141" s="212" t="n"/>
      <c r="AP141" s="212" t="n"/>
      <c r="AQ141" s="212" t="n"/>
      <c r="AR141" s="212" t="n"/>
      <c r="AS141" s="212" t="n"/>
      <c r="AT141" s="212" t="n"/>
      <c r="AU141" s="212" t="n"/>
      <c r="AV141" s="212" t="n"/>
      <c r="AW141" s="212" t="n"/>
      <c r="AX141" s="212" t="n"/>
      <c r="AY141" s="212" t="n"/>
      <c r="AZ141" s="212" t="n"/>
      <c r="BA141" s="212" t="n"/>
      <c r="BB141" s="212" t="n"/>
      <c r="BC141" s="212" t="n"/>
      <c r="BD141" s="212" t="n"/>
      <c r="BE141" s="212" t="n"/>
      <c r="BF141" s="212" t="n"/>
      <c r="BG141" s="212" t="n"/>
      <c r="BH141" s="212" t="n"/>
      <c r="BI141" s="212" t="n"/>
      <c r="BJ141" s="212" t="n"/>
      <c r="BK141" s="212" t="n"/>
      <c r="BL141" s="212" t="n"/>
      <c r="BM141" s="212" t="n"/>
      <c r="BN141" s="212" t="n"/>
      <c r="BO141" s="212" t="n"/>
      <c r="BP141" s="212" t="n"/>
      <c r="BQ141" s="212" t="n"/>
      <c r="BR141" s="212" t="n"/>
      <c r="BS141" s="212" t="n"/>
      <c r="BT141" s="212" t="n"/>
      <c r="BU141" s="212" t="n"/>
      <c r="BV141" s="212" t="n"/>
      <c r="BW141" s="212" t="n"/>
      <c r="BX141" s="212" t="n"/>
      <c r="BY141" s="212" t="n"/>
      <c r="BZ141" s="212" t="n"/>
      <c r="CA141" s="212" t="n"/>
      <c r="CB141" s="212" t="n"/>
      <c r="CC141" s="212" t="n"/>
      <c r="CD141" s="212" t="n"/>
      <c r="CE141" s="212" t="n"/>
      <c r="CF141" s="212" t="n"/>
      <c r="CG141" s="212" t="n"/>
      <c r="CH141" s="212" t="n"/>
      <c r="CI141" s="212" t="n"/>
      <c r="CJ141" s="212" t="n"/>
      <c r="CK141" s="212" t="n"/>
      <c r="CL141" s="212" t="n"/>
      <c r="CM141" s="212" t="n"/>
      <c r="CN141" s="212" t="n"/>
      <c r="CO141" s="212" t="n"/>
      <c r="CP141" s="212" t="n"/>
      <c r="CQ141" s="212" t="n"/>
      <c r="CR141" s="212" t="n"/>
      <c r="CS141" s="212" t="n"/>
      <c r="CT141" s="212" t="n"/>
      <c r="CU141" s="212" t="n"/>
      <c r="CV141" s="212" t="n"/>
      <c r="CW141" s="212" t="n"/>
      <c r="CX141" s="212" t="n"/>
      <c r="CY141" s="212" t="n"/>
      <c r="CZ141" s="212" t="n"/>
      <c r="DA141" s="212" t="n"/>
      <c r="DB141" s="212" t="n"/>
      <c r="DC141" s="212" t="n"/>
      <c r="DD141" s="212" t="n"/>
      <c r="DE141" s="212" t="n"/>
      <c r="DF141" s="212" t="n"/>
      <c r="DG141" s="212" t="n"/>
      <c r="DH141" s="212" t="n"/>
      <c r="DI141" s="212" t="n"/>
      <c r="DJ141" s="212" t="n"/>
      <c r="DK141" s="212" t="n"/>
      <c r="DL141" s="212" t="n"/>
      <c r="DM141" s="212" t="n"/>
      <c r="DN141" s="212" t="n"/>
      <c r="DO141" s="212" t="n"/>
      <c r="DP141" s="212" t="n"/>
      <c r="DQ141" s="212" t="n"/>
      <c r="DR141" s="212" t="n"/>
      <c r="DS141" s="212" t="n"/>
      <c r="DT141" s="212" t="n"/>
      <c r="DU141" s="212" t="n"/>
      <c r="DV141" s="212" t="n"/>
      <c r="DW141" s="212" t="n"/>
      <c r="DX141" s="212" t="n"/>
      <c r="DY141" s="212" t="n"/>
      <c r="DZ141" s="212" t="n"/>
      <c r="EA141" s="212" t="n"/>
      <c r="EB141" s="212" t="n"/>
      <c r="EC141" s="212" t="n"/>
      <c r="ED141" s="212" t="n"/>
      <c r="EE141" s="212" t="n"/>
      <c r="EF141" s="212" t="n"/>
      <c r="EG141" s="212" t="n"/>
      <c r="EH141" s="212" t="n"/>
      <c r="EI141" s="212" t="n"/>
      <c r="EJ141" s="212" t="n"/>
      <c r="EK141" s="212" t="n"/>
      <c r="EL141" s="212" t="n"/>
      <c r="EM141" s="212" t="n"/>
      <c r="EN141" s="212" t="n"/>
      <c r="EO141" s="212" t="n"/>
      <c r="EP141" s="212" t="n"/>
      <c r="EQ141" s="212" t="n"/>
      <c r="ER141" s="212" t="n"/>
      <c r="ES141" s="212" t="n"/>
      <c r="ET141" s="212" t="n"/>
      <c r="EU141" s="212" t="n"/>
      <c r="EV141" s="212" t="n"/>
      <c r="EW141" s="212" t="n"/>
      <c r="EX141" s="212" t="n"/>
      <c r="EY141" s="212" t="n"/>
      <c r="EZ141" s="212" t="n"/>
      <c r="FA141" s="212" t="n"/>
      <c r="FB141" s="212" t="n"/>
      <c r="FC141" s="212" t="n"/>
      <c r="FD141" s="212" t="n"/>
      <c r="FE141" s="212" t="n"/>
      <c r="FF141" s="212" t="n"/>
      <c r="FG141" s="212" t="n"/>
      <c r="FH141" s="212" t="n"/>
      <c r="FI141" s="212" t="n"/>
      <c r="FJ141" s="212" t="n"/>
      <c r="FK141" s="212" t="n"/>
      <c r="FL141" s="212" t="n"/>
      <c r="FM141" s="212" t="n"/>
      <c r="FN141" s="212" t="n"/>
      <c r="FO141" s="212" t="n"/>
      <c r="FP141" s="212" t="n"/>
      <c r="FQ141" s="212" t="n"/>
      <c r="FR141" s="212" t="n"/>
      <c r="FS141" s="212" t="n"/>
      <c r="FT141" s="212" t="n"/>
      <c r="FU141" s="212" t="n"/>
      <c r="FV141" s="212" t="n"/>
      <c r="FW141" s="212" t="n"/>
      <c r="FX141" s="212" t="n"/>
      <c r="FY141" s="212" t="n"/>
      <c r="FZ141" s="212" t="n"/>
      <c r="GA141" s="212" t="n"/>
      <c r="GB141" s="212" t="n"/>
      <c r="GC141" s="212" t="n"/>
      <c r="GD141" s="212" t="n"/>
      <c r="GE141" s="212" t="n"/>
      <c r="GF141" s="212" t="n"/>
      <c r="GG141" s="212" t="n"/>
      <c r="GH141" s="212" t="n"/>
      <c r="GI141" s="212" t="n"/>
      <c r="GJ141" s="212" t="n"/>
      <c r="GK141" s="212" t="n"/>
      <c r="GL141" s="212" t="n"/>
      <c r="GM141" s="212" t="n"/>
      <c r="GN141" s="212" t="n"/>
      <c r="GO141" s="212" t="n"/>
      <c r="GP141" s="212" t="n"/>
      <c r="GQ141" s="212" t="n"/>
      <c r="GR141" s="212" t="n"/>
      <c r="GS141" s="212" t="n"/>
      <c r="GT141" s="212" t="n"/>
      <c r="GU141" s="212" t="n"/>
      <c r="GV141" s="212" t="n"/>
      <c r="GW141" s="212" t="n"/>
      <c r="GX141" s="212" t="n"/>
      <c r="GY141" s="212" t="n"/>
      <c r="GZ141" s="212" t="n"/>
      <c r="HA141" s="212" t="n"/>
      <c r="HB141" s="212" t="n"/>
      <c r="HC141" s="212" t="n"/>
      <c r="HD141" s="212" t="n"/>
      <c r="HE141" s="212" t="n"/>
      <c r="HF141" s="212" t="n"/>
      <c r="HG141" s="212" t="n"/>
      <c r="HH141" s="212" t="n"/>
      <c r="HI141" s="212" t="n"/>
      <c r="HJ141" s="212" t="n"/>
      <c r="HK141" s="212" t="n"/>
      <c r="HL141" s="212" t="n"/>
      <c r="HM141" s="212" t="n"/>
      <c r="HN141" s="212" t="n"/>
      <c r="HO141" s="212" t="n"/>
      <c r="HP141" s="212" t="n"/>
      <c r="HQ141" s="212" t="n"/>
      <c r="HR141" s="212" t="n"/>
      <c r="HS141" s="212" t="n"/>
      <c r="HT141" s="212" t="n"/>
      <c r="HU141" s="212" t="n"/>
      <c r="HV141" s="212" t="n"/>
      <c r="HW141" s="212" t="n"/>
      <c r="HX141" s="212" t="n"/>
      <c r="HY141" s="212" t="n"/>
      <c r="HZ141" s="212" t="n"/>
      <c r="IA141" s="212" t="n"/>
      <c r="IB141" s="212" t="n"/>
      <c r="IC141" s="212" t="n"/>
      <c r="ID141" s="212" t="n"/>
      <c r="IE141" s="212" t="n"/>
      <c r="IF141" s="212" t="n"/>
      <c r="IG141" s="212" t="n"/>
      <c r="IH141" s="212" t="n"/>
      <c r="II141" s="212" t="n"/>
      <c r="IJ141" s="212" t="n"/>
      <c r="IK141" s="212" t="n"/>
      <c r="IL141" s="212" t="n"/>
      <c r="IM141" s="212" t="n"/>
      <c r="IN141" s="212" t="n"/>
      <c r="IO141" s="212" t="n"/>
      <c r="IP141" s="212" t="n"/>
      <c r="IQ141" s="212" t="n"/>
      <c r="IR141" s="212" t="n"/>
      <c r="IS141" s="212" t="n"/>
      <c r="IT141" s="212" t="n"/>
      <c r="IU141" s="212" t="n"/>
      <c r="IV141" s="212" t="n"/>
      <c r="IW141" s="212" t="n"/>
      <c r="IX141" s="212" t="n"/>
      <c r="IY141" s="212" t="n"/>
      <c r="IZ141" s="212" t="n"/>
      <c r="JA141" s="212" t="n"/>
      <c r="JB141" s="212" t="n"/>
      <c r="JC141" s="212" t="n"/>
      <c r="JD141" s="212" t="n"/>
      <c r="JE141" s="212" t="n"/>
      <c r="JF141" s="212" t="n"/>
      <c r="JG141" s="212" t="n"/>
      <c r="JH141" s="212" t="n"/>
      <c r="JI141" s="212" t="n"/>
      <c r="JJ141" s="212" t="n"/>
      <c r="JK141" s="212" t="n"/>
      <c r="JL141" s="212" t="n"/>
      <c r="JM141" s="212" t="n"/>
      <c r="JN141" s="212" t="n"/>
      <c r="JO141" s="212" t="n"/>
      <c r="JP141" s="212" t="n"/>
      <c r="JQ141" s="212" t="n"/>
      <c r="JR141" s="212" t="n"/>
      <c r="JS141" s="212" t="n"/>
      <c r="JT141" s="212" t="n"/>
      <c r="JU141" s="212" t="n"/>
      <c r="JV141" s="212" t="n"/>
      <c r="JW141" s="212" t="n"/>
      <c r="JX141" s="212" t="n"/>
      <c r="JY141" s="212" t="n"/>
      <c r="JZ141" s="212" t="n"/>
      <c r="KA141" s="212" t="n"/>
      <c r="KB141" s="212" t="n"/>
      <c r="KC141" s="212" t="n"/>
      <c r="KD141" s="212" t="n"/>
      <c r="KE141" s="212" t="n"/>
      <c r="KF141" s="212" t="n"/>
      <c r="KG141" s="212" t="n"/>
      <c r="KH141" s="212" t="n"/>
      <c r="KI141" s="212" t="n"/>
      <c r="KJ141" s="212" t="n"/>
      <c r="KK141" s="212" t="n"/>
      <c r="KL141" s="212" t="n"/>
      <c r="KM141" s="212" t="n"/>
      <c r="KN141" s="212" t="n"/>
      <c r="KO141" s="212" t="n"/>
      <c r="KP141" s="212" t="n"/>
      <c r="KQ141" s="212" t="n"/>
      <c r="KR141" s="212" t="n"/>
      <c r="KS141" s="212" t="n"/>
      <c r="KT141" s="212" t="n"/>
      <c r="KU141" s="212" t="n"/>
      <c r="KV141" s="212" t="n"/>
      <c r="KW141" s="212" t="n"/>
      <c r="KX141" s="212" t="n"/>
      <c r="KY141" s="212" t="n"/>
      <c r="KZ141" s="212" t="n"/>
      <c r="LA141" s="212" t="n"/>
      <c r="LB141" s="212" t="n"/>
      <c r="LC141" s="212" t="n"/>
      <c r="LD141" s="212" t="n"/>
      <c r="LE141" s="212" t="n"/>
      <c r="LF141" s="212" t="n"/>
      <c r="LG141" s="212" t="n"/>
      <c r="LH141" s="212" t="n"/>
      <c r="LI141" s="212" t="n"/>
      <c r="LJ141" s="212" t="n"/>
      <c r="LK141" s="212" t="n"/>
      <c r="LL141" s="212" t="n"/>
      <c r="LM141" s="212" t="n"/>
      <c r="LN141" s="212" t="n"/>
      <c r="LO141" s="212" t="n"/>
      <c r="LP141" s="212" t="n"/>
      <c r="LQ141" s="212" t="n"/>
      <c r="LR141" s="212" t="n"/>
      <c r="LS141" s="212" t="n"/>
      <c r="LT141" s="212" t="n"/>
      <c r="LU141" s="212" t="n"/>
      <c r="LV141" s="212" t="n"/>
      <c r="LW141" s="212" t="n"/>
      <c r="LX141" s="212" t="n"/>
      <c r="LY141" s="212" t="n"/>
      <c r="LZ141" s="212" t="n"/>
      <c r="MA141" s="212" t="n"/>
      <c r="MB141" s="212" t="n"/>
      <c r="MC141" s="212" t="n"/>
      <c r="MD141" s="212" t="n"/>
      <c r="ME141" s="212" t="n"/>
      <c r="MF141" s="212" t="n"/>
      <c r="MG141" s="212" t="n"/>
      <c r="MH141" s="212" t="n"/>
      <c r="MI141" s="212" t="n"/>
      <c r="MJ141" s="212" t="n"/>
      <c r="MK141" s="212" t="n"/>
      <c r="ML141" s="212" t="n"/>
      <c r="MM141" s="212" t="n"/>
      <c r="MN141" s="212" t="n"/>
      <c r="MO141" s="212" t="n"/>
      <c r="MP141" s="212" t="n"/>
      <c r="MQ141" s="212" t="n"/>
      <c r="MR141" s="212" t="n"/>
      <c r="MS141" s="212" t="n"/>
      <c r="MT141" s="212" t="n"/>
      <c r="MU141" s="212" t="n"/>
      <c r="MV141" s="212" t="n"/>
      <c r="MW141" s="212" t="n"/>
      <c r="MX141" s="212" t="n"/>
      <c r="MY141" s="212" t="n"/>
      <c r="MZ141" s="212" t="n"/>
      <c r="NA141" s="212" t="n"/>
      <c r="NB141" s="212" t="n"/>
      <c r="NC141" s="212" t="n"/>
      <c r="ND141" s="212" t="n"/>
      <c r="NE141" s="212" t="n"/>
      <c r="NF141" s="212" t="n"/>
      <c r="NG141" s="212" t="n"/>
      <c r="NH141" s="212" t="n"/>
      <c r="NI141" s="212" t="n"/>
      <c r="NJ141" s="212" t="n"/>
      <c r="NK141" s="212" t="n"/>
      <c r="NL141" s="212" t="n"/>
      <c r="NM141" s="212" t="n"/>
      <c r="NN141" s="212" t="n"/>
      <c r="NO141" s="212" t="n"/>
      <c r="NP141" s="212" t="n"/>
      <c r="NQ141" s="212" t="n"/>
      <c r="NR141" s="212" t="n"/>
      <c r="NS141" s="212" t="n"/>
      <c r="NT141" s="212" t="n"/>
      <c r="NU141" s="212" t="n"/>
      <c r="NV141" s="212" t="n"/>
      <c r="NW141" s="212" t="n"/>
      <c r="NX141" s="212" t="n"/>
      <c r="NY141" s="212" t="n"/>
      <c r="NZ141" s="212" t="n"/>
      <c r="OA141" s="212" t="n"/>
      <c r="OB141" s="212" t="n"/>
      <c r="OC141" s="212" t="n"/>
      <c r="OD141" s="212" t="n"/>
      <c r="OE141" s="212" t="n"/>
      <c r="OF141" s="212" t="n"/>
      <c r="OG141" s="212" t="n"/>
      <c r="OH141" s="212" t="n"/>
      <c r="OI141" s="212" t="n"/>
      <c r="OJ141" s="212" t="n"/>
      <c r="OK141" s="212" t="n"/>
      <c r="OL141" s="212" t="n"/>
      <c r="OM141" s="212" t="n"/>
      <c r="ON141" s="212" t="n"/>
      <c r="OO141" s="212" t="n"/>
      <c r="OP141" s="212" t="n"/>
      <c r="OQ141" s="212" t="n"/>
      <c r="OR141" s="212" t="n"/>
      <c r="OS141" s="212" t="n"/>
      <c r="OT141" s="212" t="n"/>
      <c r="OU141" s="212" t="n"/>
      <c r="OV141" s="212" t="n"/>
      <c r="OW141" s="212" t="n"/>
      <c r="OX141" s="212" t="n"/>
      <c r="OY141" s="212" t="n"/>
      <c r="OZ141" s="212" t="n"/>
      <c r="PA141" s="212" t="n"/>
      <c r="PB141" s="212" t="n"/>
      <c r="PC141" s="212" t="n"/>
      <c r="PD141" s="212" t="n"/>
      <c r="PE141" s="212" t="n"/>
      <c r="PF141" s="212" t="n"/>
      <c r="PG141" s="212" t="n"/>
      <c r="PH141" s="212" t="n"/>
      <c r="PI141" s="212" t="n"/>
      <c r="PJ141" s="212" t="n"/>
      <c r="PK141" s="212" t="n"/>
      <c r="PL141" s="212" t="n"/>
      <c r="PM141" s="212" t="n"/>
      <c r="PN141" s="212" t="n"/>
      <c r="PO141" s="212" t="n"/>
      <c r="PP141" s="212" t="n"/>
      <c r="PQ141" s="212" t="n"/>
      <c r="PR141" s="212" t="n"/>
      <c r="PS141" s="212" t="n"/>
      <c r="PT141" s="212" t="n"/>
      <c r="PU141" s="212" t="n"/>
      <c r="PV141" s="212" t="n"/>
      <c r="PW141" s="212" t="n"/>
      <c r="PX141" s="212" t="n"/>
      <c r="PY141" s="212" t="n"/>
      <c r="PZ141" s="212" t="n"/>
      <c r="QA141" s="212" t="n"/>
      <c r="QB141" s="212" t="n"/>
      <c r="QC141" s="212" t="n"/>
      <c r="QD141" s="212" t="n"/>
      <c r="QE141" s="212" t="n"/>
      <c r="QF141" s="212" t="n"/>
      <c r="QG141" s="212" t="n"/>
      <c r="QH141" s="212" t="n"/>
      <c r="QI141" s="212" t="n"/>
      <c r="QJ141" s="212" t="n"/>
      <c r="QK141" s="212" t="n"/>
      <c r="QL141" s="212" t="n"/>
      <c r="QM141" s="212" t="n"/>
      <c r="QN141" s="212" t="n"/>
      <c r="QO141" s="212" t="n"/>
      <c r="QP141" s="212" t="n"/>
      <c r="QQ141" s="212" t="n"/>
      <c r="QR141" s="212" t="n"/>
      <c r="QS141" s="212" t="n"/>
      <c r="QT141" s="212" t="n"/>
      <c r="QU141" s="212" t="n"/>
      <c r="QV141" s="212" t="n"/>
      <c r="QW141" s="212" t="n"/>
      <c r="QX141" s="212" t="n"/>
      <c r="QY141" s="212" t="n"/>
      <c r="QZ141" s="212" t="n"/>
      <c r="RA141" s="212" t="n"/>
      <c r="RB141" s="212" t="n"/>
      <c r="RC141" s="212" t="n"/>
      <c r="RD141" s="212" t="n"/>
      <c r="RE141" s="212" t="n"/>
      <c r="RF141" s="212" t="n"/>
      <c r="RG141" s="212" t="n"/>
      <c r="RH141" s="212" t="n"/>
      <c r="RI141" s="212" t="n"/>
      <c r="RJ141" s="212" t="n"/>
      <c r="RK141" s="212" t="n"/>
      <c r="RL141" s="212" t="n"/>
      <c r="RM141" s="212" t="n"/>
      <c r="RN141" s="212" t="n"/>
      <c r="RO141" s="212" t="n"/>
      <c r="RP141" s="212" t="n"/>
      <c r="RQ141" s="212" t="n"/>
      <c r="RR141" s="212" t="n"/>
      <c r="RS141" s="212" t="n"/>
      <c r="RT141" s="212" t="n"/>
      <c r="RU141" s="212" t="n"/>
      <c r="RV141" s="212" t="n"/>
      <c r="RW141" s="212" t="n"/>
      <c r="RX141" s="212" t="n"/>
      <c r="RY141" s="212" t="n"/>
      <c r="RZ141" s="212" t="n"/>
      <c r="SA141" s="212" t="n"/>
      <c r="SB141" s="212" t="n"/>
      <c r="SC141" s="212" t="n"/>
      <c r="SD141" s="212" t="n"/>
      <c r="SE141" s="212" t="n"/>
      <c r="SF141" s="212" t="n"/>
      <c r="SG141" s="212" t="n"/>
      <c r="SH141" s="212" t="n"/>
      <c r="SI141" s="212" t="n"/>
      <c r="SJ141" s="212" t="n"/>
      <c r="SK141" s="212" t="n"/>
      <c r="SL141" s="212" t="n"/>
      <c r="SM141" s="212" t="n"/>
      <c r="SN141" s="212" t="n"/>
      <c r="SO141" s="212" t="n"/>
      <c r="SP141" s="212" t="n"/>
      <c r="SQ141" s="212" t="n"/>
      <c r="SR141" s="212" t="n"/>
      <c r="SS141" s="212" t="n"/>
      <c r="ST141" s="212" t="n"/>
      <c r="SU141" s="212" t="n"/>
      <c r="SV141" s="212" t="n"/>
    </row>
    <row r="142">
      <c r="B142" s="209" t="n"/>
      <c r="C142" s="209" t="n"/>
      <c r="D142" s="209" t="n"/>
      <c r="E142" s="209" t="n"/>
      <c r="F142" s="209">
        <f>IF(TRIM(D142&amp;E142)="","",TRIM(D142)&amp;" "&amp;TRIM(E142))</f>
        <v/>
      </c>
      <c r="G142" s="209" t="n"/>
      <c r="H142" s="209" t="n"/>
      <c r="I142" s="209" t="n"/>
      <c r="J142" s="209" t="n"/>
      <c r="K142" s="209" t="n"/>
      <c r="L142" s="209" t="n"/>
      <c r="M142" s="209" t="n"/>
      <c r="N142" s="209" t="n"/>
      <c r="O142" s="209" t="n"/>
      <c r="P142" s="209" t="n"/>
      <c r="Q142" s="209" t="n"/>
      <c r="R142" s="209" t="n"/>
      <c r="S142" s="212" t="n"/>
      <c r="T142" s="212" t="n"/>
      <c r="U142" s="212" t="n"/>
      <c r="V142" s="212" t="n"/>
      <c r="W142" s="212" t="n"/>
      <c r="X142" s="212" t="n"/>
      <c r="Y142" s="212" t="n"/>
      <c r="Z142" s="212" t="n"/>
      <c r="AA142" s="212" t="n"/>
      <c r="AB142" s="212" t="n"/>
      <c r="AC142" s="212" t="n"/>
      <c r="AD142" s="212" t="n"/>
      <c r="AE142" s="212" t="n"/>
      <c r="AF142" s="212" t="n"/>
      <c r="AG142" s="212" t="n"/>
      <c r="AH142" s="212" t="n"/>
      <c r="AI142" s="212" t="n"/>
      <c r="AJ142" s="212" t="n"/>
      <c r="AK142" s="212" t="n"/>
      <c r="AL142" s="212" t="n"/>
      <c r="AM142" s="212" t="n"/>
      <c r="AN142" s="212" t="n"/>
      <c r="AO142" s="212" t="n"/>
      <c r="AP142" s="212" t="n"/>
      <c r="AQ142" s="212" t="n"/>
      <c r="AR142" s="212" t="n"/>
      <c r="AS142" s="212" t="n"/>
      <c r="AT142" s="212" t="n"/>
      <c r="AU142" s="212" t="n"/>
      <c r="AV142" s="212" t="n"/>
      <c r="AW142" s="212" t="n"/>
      <c r="AX142" s="212" t="n"/>
      <c r="AY142" s="212" t="n"/>
      <c r="AZ142" s="212" t="n"/>
      <c r="BA142" s="212" t="n"/>
      <c r="BB142" s="212" t="n"/>
      <c r="BC142" s="212" t="n"/>
      <c r="BD142" s="212" t="n"/>
      <c r="BE142" s="212" t="n"/>
      <c r="BF142" s="212" t="n"/>
      <c r="BG142" s="212" t="n"/>
      <c r="BH142" s="212" t="n"/>
      <c r="BI142" s="212" t="n"/>
      <c r="BJ142" s="212" t="n"/>
      <c r="BK142" s="212" t="n"/>
      <c r="BL142" s="212" t="n"/>
      <c r="BM142" s="212" t="n"/>
      <c r="BN142" s="212" t="n"/>
      <c r="BO142" s="212" t="n"/>
      <c r="BP142" s="212" t="n"/>
      <c r="BQ142" s="212" t="n"/>
      <c r="BR142" s="212" t="n"/>
      <c r="BS142" s="212" t="n"/>
      <c r="BT142" s="212" t="n"/>
      <c r="BU142" s="212" t="n"/>
      <c r="BV142" s="212" t="n"/>
      <c r="BW142" s="212" t="n"/>
      <c r="BX142" s="212" t="n"/>
      <c r="BY142" s="212" t="n"/>
      <c r="BZ142" s="212" t="n"/>
      <c r="CA142" s="212" t="n"/>
      <c r="CB142" s="212" t="n"/>
      <c r="CC142" s="212" t="n"/>
      <c r="CD142" s="212" t="n"/>
      <c r="CE142" s="212" t="n"/>
      <c r="CF142" s="212" t="n"/>
      <c r="CG142" s="212" t="n"/>
      <c r="CH142" s="212" t="n"/>
      <c r="CI142" s="212" t="n"/>
      <c r="CJ142" s="212" t="n"/>
      <c r="CK142" s="212" t="n"/>
      <c r="CL142" s="212" t="n"/>
      <c r="CM142" s="212" t="n"/>
      <c r="CN142" s="212" t="n"/>
      <c r="CO142" s="212" t="n"/>
      <c r="CP142" s="212" t="n"/>
      <c r="CQ142" s="212" t="n"/>
      <c r="CR142" s="212" t="n"/>
      <c r="CS142" s="212" t="n"/>
      <c r="CT142" s="212" t="n"/>
      <c r="CU142" s="212" t="n"/>
      <c r="CV142" s="212" t="n"/>
      <c r="CW142" s="212" t="n"/>
      <c r="CX142" s="212" t="n"/>
      <c r="CY142" s="212" t="n"/>
      <c r="CZ142" s="212" t="n"/>
      <c r="DA142" s="212" t="n"/>
      <c r="DB142" s="212" t="n"/>
      <c r="DC142" s="212" t="n"/>
      <c r="DD142" s="212" t="n"/>
      <c r="DE142" s="212" t="n"/>
      <c r="DF142" s="212" t="n"/>
      <c r="DG142" s="212" t="n"/>
      <c r="DH142" s="212" t="n"/>
      <c r="DI142" s="212" t="n"/>
      <c r="DJ142" s="212" t="n"/>
      <c r="DK142" s="212" t="n"/>
      <c r="DL142" s="212" t="n"/>
      <c r="DM142" s="212" t="n"/>
      <c r="DN142" s="212" t="n"/>
      <c r="DO142" s="212" t="n"/>
      <c r="DP142" s="212" t="n"/>
      <c r="DQ142" s="212" t="n"/>
      <c r="DR142" s="212" t="n"/>
      <c r="DS142" s="212" t="n"/>
      <c r="DT142" s="212" t="n"/>
      <c r="DU142" s="212" t="n"/>
      <c r="DV142" s="212" t="n"/>
      <c r="DW142" s="212" t="n"/>
      <c r="DX142" s="212" t="n"/>
      <c r="DY142" s="212" t="n"/>
      <c r="DZ142" s="212" t="n"/>
      <c r="EA142" s="212" t="n"/>
      <c r="EB142" s="212" t="n"/>
      <c r="EC142" s="212" t="n"/>
      <c r="ED142" s="212" t="n"/>
      <c r="EE142" s="212" t="n"/>
      <c r="EF142" s="212" t="n"/>
      <c r="EG142" s="212" t="n"/>
      <c r="EH142" s="212" t="n"/>
      <c r="EI142" s="212" t="n"/>
      <c r="EJ142" s="212" t="n"/>
      <c r="EK142" s="212" t="n"/>
      <c r="EL142" s="212" t="n"/>
      <c r="EM142" s="212" t="n"/>
      <c r="EN142" s="212" t="n"/>
      <c r="EO142" s="212" t="n"/>
      <c r="EP142" s="212" t="n"/>
      <c r="EQ142" s="212" t="n"/>
      <c r="ER142" s="212" t="n"/>
      <c r="ES142" s="212" t="n"/>
      <c r="ET142" s="212" t="n"/>
      <c r="EU142" s="212" t="n"/>
      <c r="EV142" s="212" t="n"/>
      <c r="EW142" s="212" t="n"/>
      <c r="EX142" s="212" t="n"/>
      <c r="EY142" s="212" t="n"/>
      <c r="EZ142" s="212" t="n"/>
      <c r="FA142" s="212" t="n"/>
      <c r="FB142" s="212" t="n"/>
      <c r="FC142" s="212" t="n"/>
      <c r="FD142" s="212" t="n"/>
      <c r="FE142" s="212" t="n"/>
      <c r="FF142" s="212" t="n"/>
      <c r="FG142" s="212" t="n"/>
      <c r="FH142" s="212" t="n"/>
      <c r="FI142" s="212" t="n"/>
      <c r="FJ142" s="212" t="n"/>
      <c r="FK142" s="212" t="n"/>
      <c r="FL142" s="212" t="n"/>
      <c r="FM142" s="212" t="n"/>
      <c r="FN142" s="212" t="n"/>
      <c r="FO142" s="212" t="n"/>
      <c r="FP142" s="212" t="n"/>
      <c r="FQ142" s="212" t="n"/>
      <c r="FR142" s="212" t="n"/>
      <c r="FS142" s="212" t="n"/>
      <c r="FT142" s="212" t="n"/>
      <c r="FU142" s="212" t="n"/>
      <c r="FV142" s="212" t="n"/>
      <c r="FW142" s="212" t="n"/>
      <c r="FX142" s="212" t="n"/>
      <c r="FY142" s="212" t="n"/>
      <c r="FZ142" s="212" t="n"/>
      <c r="GA142" s="212" t="n"/>
      <c r="GB142" s="212" t="n"/>
      <c r="GC142" s="212" t="n"/>
      <c r="GD142" s="212" t="n"/>
      <c r="GE142" s="212" t="n"/>
      <c r="GF142" s="212" t="n"/>
      <c r="GG142" s="212" t="n"/>
      <c r="GH142" s="212" t="n"/>
      <c r="GI142" s="212" t="n"/>
      <c r="GJ142" s="212" t="n"/>
      <c r="GK142" s="212" t="n"/>
      <c r="GL142" s="212" t="n"/>
      <c r="GM142" s="212" t="n"/>
      <c r="GN142" s="212" t="n"/>
      <c r="GO142" s="212" t="n"/>
      <c r="GP142" s="212" t="n"/>
      <c r="GQ142" s="212" t="n"/>
      <c r="GR142" s="212" t="n"/>
      <c r="GS142" s="212" t="n"/>
      <c r="GT142" s="212" t="n"/>
      <c r="GU142" s="212" t="n"/>
      <c r="GV142" s="212" t="n"/>
      <c r="GW142" s="212" t="n"/>
      <c r="GX142" s="212" t="n"/>
      <c r="GY142" s="212" t="n"/>
      <c r="GZ142" s="212" t="n"/>
      <c r="HA142" s="212" t="n"/>
      <c r="HB142" s="212" t="n"/>
      <c r="HC142" s="212" t="n"/>
      <c r="HD142" s="212" t="n"/>
      <c r="HE142" s="212" t="n"/>
      <c r="HF142" s="212" t="n"/>
      <c r="HG142" s="212" t="n"/>
      <c r="HH142" s="212" t="n"/>
      <c r="HI142" s="212" t="n"/>
      <c r="HJ142" s="212" t="n"/>
      <c r="HK142" s="212" t="n"/>
      <c r="HL142" s="212" t="n"/>
      <c r="HM142" s="212" t="n"/>
      <c r="HN142" s="212" t="n"/>
      <c r="HO142" s="212" t="n"/>
      <c r="HP142" s="212" t="n"/>
      <c r="HQ142" s="212" t="n"/>
      <c r="HR142" s="212" t="n"/>
      <c r="HS142" s="212" t="n"/>
      <c r="HT142" s="212" t="n"/>
      <c r="HU142" s="212" t="n"/>
      <c r="HV142" s="212" t="n"/>
      <c r="HW142" s="212" t="n"/>
      <c r="HX142" s="212" t="n"/>
      <c r="HY142" s="212" t="n"/>
      <c r="HZ142" s="212" t="n"/>
      <c r="IA142" s="212" t="n"/>
      <c r="IB142" s="212" t="n"/>
      <c r="IC142" s="212" t="n"/>
      <c r="ID142" s="212" t="n"/>
      <c r="IE142" s="212" t="n"/>
      <c r="IF142" s="212" t="n"/>
      <c r="IG142" s="212" t="n"/>
      <c r="IH142" s="212" t="n"/>
      <c r="II142" s="212" t="n"/>
      <c r="IJ142" s="212" t="n"/>
      <c r="IK142" s="212" t="n"/>
      <c r="IL142" s="212" t="n"/>
      <c r="IM142" s="212" t="n"/>
      <c r="IN142" s="212" t="n"/>
      <c r="IO142" s="212" t="n"/>
      <c r="IP142" s="212" t="n"/>
      <c r="IQ142" s="212" t="n"/>
      <c r="IR142" s="212" t="n"/>
      <c r="IS142" s="212" t="n"/>
      <c r="IT142" s="212" t="n"/>
      <c r="IU142" s="212" t="n"/>
      <c r="IV142" s="212" t="n"/>
      <c r="IW142" s="212" t="n"/>
      <c r="IX142" s="212" t="n"/>
      <c r="IY142" s="212" t="n"/>
      <c r="IZ142" s="212" t="n"/>
      <c r="JA142" s="212" t="n"/>
      <c r="JB142" s="212" t="n"/>
      <c r="JC142" s="212" t="n"/>
      <c r="JD142" s="212" t="n"/>
      <c r="JE142" s="212" t="n"/>
      <c r="JF142" s="212" t="n"/>
      <c r="JG142" s="212" t="n"/>
      <c r="JH142" s="212" t="n"/>
      <c r="JI142" s="212" t="n"/>
      <c r="JJ142" s="212" t="n"/>
      <c r="JK142" s="212" t="n"/>
      <c r="JL142" s="212" t="n"/>
      <c r="JM142" s="212" t="n"/>
      <c r="JN142" s="212" t="n"/>
      <c r="JO142" s="212" t="n"/>
      <c r="JP142" s="212" t="n"/>
      <c r="JQ142" s="212" t="n"/>
      <c r="JR142" s="212" t="n"/>
      <c r="JS142" s="212" t="n"/>
      <c r="JT142" s="212" t="n"/>
      <c r="JU142" s="212" t="n"/>
      <c r="JV142" s="212" t="n"/>
      <c r="JW142" s="212" t="n"/>
      <c r="JX142" s="212" t="n"/>
      <c r="JY142" s="212" t="n"/>
      <c r="JZ142" s="212" t="n"/>
      <c r="KA142" s="212" t="n"/>
      <c r="KB142" s="212" t="n"/>
      <c r="KC142" s="212" t="n"/>
      <c r="KD142" s="212" t="n"/>
      <c r="KE142" s="212" t="n"/>
      <c r="KF142" s="212" t="n"/>
      <c r="KG142" s="212" t="n"/>
      <c r="KH142" s="212" t="n"/>
      <c r="KI142" s="212" t="n"/>
      <c r="KJ142" s="212" t="n"/>
      <c r="KK142" s="212" t="n"/>
      <c r="KL142" s="212" t="n"/>
      <c r="KM142" s="212" t="n"/>
      <c r="KN142" s="212" t="n"/>
      <c r="KO142" s="212" t="n"/>
      <c r="KP142" s="212" t="n"/>
      <c r="KQ142" s="212" t="n"/>
      <c r="KR142" s="212" t="n"/>
      <c r="KS142" s="212" t="n"/>
      <c r="KT142" s="212" t="n"/>
      <c r="KU142" s="212" t="n"/>
      <c r="KV142" s="212" t="n"/>
      <c r="KW142" s="212" t="n"/>
      <c r="KX142" s="212" t="n"/>
      <c r="KY142" s="212" t="n"/>
      <c r="KZ142" s="212" t="n"/>
      <c r="LA142" s="212" t="n"/>
      <c r="LB142" s="212" t="n"/>
      <c r="LC142" s="212" t="n"/>
      <c r="LD142" s="212" t="n"/>
      <c r="LE142" s="212" t="n"/>
      <c r="LF142" s="212" t="n"/>
      <c r="LG142" s="212" t="n"/>
      <c r="LH142" s="212" t="n"/>
      <c r="LI142" s="212" t="n"/>
      <c r="LJ142" s="212" t="n"/>
      <c r="LK142" s="212" t="n"/>
      <c r="LL142" s="212" t="n"/>
      <c r="LM142" s="212" t="n"/>
      <c r="LN142" s="212" t="n"/>
      <c r="LO142" s="212" t="n"/>
      <c r="LP142" s="212" t="n"/>
      <c r="LQ142" s="212" t="n"/>
      <c r="LR142" s="212" t="n"/>
      <c r="LS142" s="212" t="n"/>
      <c r="LT142" s="212" t="n"/>
      <c r="LU142" s="212" t="n"/>
      <c r="LV142" s="212" t="n"/>
      <c r="LW142" s="212" t="n"/>
      <c r="LX142" s="212" t="n"/>
      <c r="LY142" s="212" t="n"/>
      <c r="LZ142" s="212" t="n"/>
      <c r="MA142" s="212" t="n"/>
      <c r="MB142" s="212" t="n"/>
      <c r="MC142" s="212" t="n"/>
      <c r="MD142" s="212" t="n"/>
      <c r="ME142" s="212" t="n"/>
      <c r="MF142" s="212" t="n"/>
      <c r="MG142" s="212" t="n"/>
      <c r="MH142" s="212" t="n"/>
      <c r="MI142" s="212" t="n"/>
      <c r="MJ142" s="212" t="n"/>
      <c r="MK142" s="212" t="n"/>
      <c r="ML142" s="212" t="n"/>
      <c r="MM142" s="212" t="n"/>
      <c r="MN142" s="212" t="n"/>
      <c r="MO142" s="212" t="n"/>
      <c r="MP142" s="212" t="n"/>
      <c r="MQ142" s="212" t="n"/>
      <c r="MR142" s="212" t="n"/>
      <c r="MS142" s="212" t="n"/>
      <c r="MT142" s="212" t="n"/>
      <c r="MU142" s="212" t="n"/>
      <c r="MV142" s="212" t="n"/>
      <c r="MW142" s="212" t="n"/>
      <c r="MX142" s="212" t="n"/>
      <c r="MY142" s="212" t="n"/>
      <c r="MZ142" s="212" t="n"/>
      <c r="NA142" s="212" t="n"/>
      <c r="NB142" s="212" t="n"/>
      <c r="NC142" s="212" t="n"/>
      <c r="ND142" s="212" t="n"/>
      <c r="NE142" s="212" t="n"/>
      <c r="NF142" s="212" t="n"/>
      <c r="NG142" s="212" t="n"/>
      <c r="NH142" s="212" t="n"/>
      <c r="NI142" s="212" t="n"/>
      <c r="NJ142" s="212" t="n"/>
      <c r="NK142" s="212" t="n"/>
      <c r="NL142" s="212" t="n"/>
      <c r="NM142" s="212" t="n"/>
      <c r="NN142" s="212" t="n"/>
      <c r="NO142" s="212" t="n"/>
      <c r="NP142" s="212" t="n"/>
      <c r="NQ142" s="212" t="n"/>
      <c r="NR142" s="212" t="n"/>
      <c r="NS142" s="212" t="n"/>
      <c r="NT142" s="212" t="n"/>
      <c r="NU142" s="212" t="n"/>
      <c r="NV142" s="212" t="n"/>
      <c r="NW142" s="212" t="n"/>
      <c r="NX142" s="212" t="n"/>
      <c r="NY142" s="212" t="n"/>
      <c r="NZ142" s="212" t="n"/>
      <c r="OA142" s="212" t="n"/>
      <c r="OB142" s="212" t="n"/>
      <c r="OC142" s="212" t="n"/>
      <c r="OD142" s="212" t="n"/>
      <c r="OE142" s="212" t="n"/>
      <c r="OF142" s="212" t="n"/>
      <c r="OG142" s="212" t="n"/>
      <c r="OH142" s="212" t="n"/>
      <c r="OI142" s="212" t="n"/>
      <c r="OJ142" s="212" t="n"/>
      <c r="OK142" s="212" t="n"/>
      <c r="OL142" s="212" t="n"/>
      <c r="OM142" s="212" t="n"/>
      <c r="ON142" s="212" t="n"/>
      <c r="OO142" s="212" t="n"/>
      <c r="OP142" s="212" t="n"/>
      <c r="OQ142" s="212" t="n"/>
      <c r="OR142" s="212" t="n"/>
      <c r="OS142" s="212" t="n"/>
      <c r="OT142" s="212" t="n"/>
      <c r="OU142" s="212" t="n"/>
      <c r="OV142" s="212" t="n"/>
      <c r="OW142" s="212" t="n"/>
      <c r="OX142" s="212" t="n"/>
      <c r="OY142" s="212" t="n"/>
      <c r="OZ142" s="212" t="n"/>
      <c r="PA142" s="212" t="n"/>
      <c r="PB142" s="212" t="n"/>
      <c r="PC142" s="212" t="n"/>
      <c r="PD142" s="212" t="n"/>
      <c r="PE142" s="212" t="n"/>
      <c r="PF142" s="212" t="n"/>
      <c r="PG142" s="212" t="n"/>
      <c r="PH142" s="212" t="n"/>
      <c r="PI142" s="212" t="n"/>
      <c r="PJ142" s="212" t="n"/>
      <c r="PK142" s="212" t="n"/>
      <c r="PL142" s="212" t="n"/>
      <c r="PM142" s="212" t="n"/>
      <c r="PN142" s="212" t="n"/>
      <c r="PO142" s="212" t="n"/>
      <c r="PP142" s="212" t="n"/>
      <c r="PQ142" s="212" t="n"/>
      <c r="PR142" s="212" t="n"/>
      <c r="PS142" s="212" t="n"/>
      <c r="PT142" s="212" t="n"/>
      <c r="PU142" s="212" t="n"/>
      <c r="PV142" s="212" t="n"/>
      <c r="PW142" s="212" t="n"/>
      <c r="PX142" s="212" t="n"/>
      <c r="PY142" s="212" t="n"/>
      <c r="PZ142" s="212" t="n"/>
      <c r="QA142" s="212" t="n"/>
      <c r="QB142" s="212" t="n"/>
      <c r="QC142" s="212" t="n"/>
      <c r="QD142" s="212" t="n"/>
      <c r="QE142" s="212" t="n"/>
      <c r="QF142" s="212" t="n"/>
      <c r="QG142" s="212" t="n"/>
      <c r="QH142" s="212" t="n"/>
      <c r="QI142" s="212" t="n"/>
      <c r="QJ142" s="212" t="n"/>
      <c r="QK142" s="212" t="n"/>
      <c r="QL142" s="212" t="n"/>
      <c r="QM142" s="212" t="n"/>
      <c r="QN142" s="212" t="n"/>
      <c r="QO142" s="212" t="n"/>
      <c r="QP142" s="212" t="n"/>
      <c r="QQ142" s="212" t="n"/>
      <c r="QR142" s="212" t="n"/>
      <c r="QS142" s="212" t="n"/>
      <c r="QT142" s="212" t="n"/>
      <c r="QU142" s="212" t="n"/>
      <c r="QV142" s="212" t="n"/>
      <c r="QW142" s="212" t="n"/>
      <c r="QX142" s="212" t="n"/>
      <c r="QY142" s="212" t="n"/>
      <c r="QZ142" s="212" t="n"/>
      <c r="RA142" s="212" t="n"/>
      <c r="RB142" s="212" t="n"/>
      <c r="RC142" s="212" t="n"/>
      <c r="RD142" s="212" t="n"/>
      <c r="RE142" s="212" t="n"/>
      <c r="RF142" s="212" t="n"/>
      <c r="RG142" s="212" t="n"/>
      <c r="RH142" s="212" t="n"/>
      <c r="RI142" s="212" t="n"/>
      <c r="RJ142" s="212" t="n"/>
      <c r="RK142" s="212" t="n"/>
      <c r="RL142" s="212" t="n"/>
      <c r="RM142" s="212" t="n"/>
      <c r="RN142" s="212" t="n"/>
      <c r="RO142" s="212" t="n"/>
      <c r="RP142" s="212" t="n"/>
      <c r="RQ142" s="212" t="n"/>
      <c r="RR142" s="212" t="n"/>
      <c r="RS142" s="212" t="n"/>
      <c r="RT142" s="212" t="n"/>
      <c r="RU142" s="212" t="n"/>
      <c r="RV142" s="212" t="n"/>
      <c r="RW142" s="212" t="n"/>
      <c r="RX142" s="212" t="n"/>
      <c r="RY142" s="212" t="n"/>
      <c r="RZ142" s="212" t="n"/>
      <c r="SA142" s="212" t="n"/>
      <c r="SB142" s="212" t="n"/>
      <c r="SC142" s="212" t="n"/>
      <c r="SD142" s="212" t="n"/>
      <c r="SE142" s="212" t="n"/>
      <c r="SF142" s="212" t="n"/>
      <c r="SG142" s="212" t="n"/>
      <c r="SH142" s="212" t="n"/>
      <c r="SI142" s="212" t="n"/>
      <c r="SJ142" s="212" t="n"/>
      <c r="SK142" s="212" t="n"/>
      <c r="SL142" s="212" t="n"/>
      <c r="SM142" s="212" t="n"/>
      <c r="SN142" s="212" t="n"/>
      <c r="SO142" s="212" t="n"/>
      <c r="SP142" s="212" t="n"/>
      <c r="SQ142" s="212" t="n"/>
      <c r="SR142" s="212" t="n"/>
      <c r="SS142" s="212" t="n"/>
      <c r="ST142" s="212" t="n"/>
      <c r="SU142" s="212" t="n"/>
      <c r="SV142" s="212" t="n"/>
    </row>
    <row r="143">
      <c r="B143" s="209" t="n"/>
      <c r="C143" s="209" t="n"/>
      <c r="D143" s="209" t="n"/>
      <c r="E143" s="209" t="n"/>
      <c r="F143" s="209">
        <f>IF(TRIM(D143&amp;E143)="","",TRIM(D143)&amp;" "&amp;TRIM(E143))</f>
        <v/>
      </c>
      <c r="G143" s="209" t="n"/>
      <c r="H143" s="209" t="n"/>
      <c r="I143" s="209" t="n"/>
      <c r="J143" s="209" t="n"/>
      <c r="K143" s="209" t="n"/>
      <c r="L143" s="209" t="n"/>
      <c r="M143" s="209" t="n"/>
      <c r="N143" s="209" t="n"/>
      <c r="O143" s="209" t="n"/>
      <c r="P143" s="209" t="n"/>
      <c r="Q143" s="209" t="n"/>
      <c r="R143" s="209" t="n"/>
      <c r="S143" s="212" t="n"/>
      <c r="T143" s="212" t="n"/>
      <c r="U143" s="212" t="n"/>
      <c r="V143" s="212" t="n"/>
      <c r="W143" s="212" t="n"/>
      <c r="X143" s="212" t="n"/>
      <c r="Y143" s="212" t="n"/>
      <c r="Z143" s="212" t="n"/>
      <c r="AA143" s="212" t="n"/>
      <c r="AB143" s="212" t="n"/>
      <c r="AC143" s="212" t="n"/>
      <c r="AD143" s="212" t="n"/>
      <c r="AE143" s="212" t="n"/>
      <c r="AF143" s="212" t="n"/>
      <c r="AG143" s="212" t="n"/>
      <c r="AH143" s="212" t="n"/>
      <c r="AI143" s="212" t="n"/>
      <c r="AJ143" s="212" t="n"/>
      <c r="AK143" s="212" t="n"/>
      <c r="AL143" s="212" t="n"/>
      <c r="AM143" s="212" t="n"/>
      <c r="AN143" s="212" t="n"/>
      <c r="AO143" s="212" t="n"/>
      <c r="AP143" s="212" t="n"/>
      <c r="AQ143" s="212" t="n"/>
      <c r="AR143" s="212" t="n"/>
      <c r="AS143" s="212" t="n"/>
      <c r="AT143" s="212" t="n"/>
      <c r="AU143" s="212" t="n"/>
      <c r="AV143" s="212" t="n"/>
      <c r="AW143" s="212" t="n"/>
      <c r="AX143" s="212" t="n"/>
      <c r="AY143" s="212" t="n"/>
      <c r="AZ143" s="212" t="n"/>
      <c r="BA143" s="212" t="n"/>
      <c r="BB143" s="212" t="n"/>
      <c r="BC143" s="212" t="n"/>
      <c r="BD143" s="212" t="n"/>
      <c r="BE143" s="212" t="n"/>
      <c r="BF143" s="212" t="n"/>
      <c r="BG143" s="212" t="n"/>
      <c r="BH143" s="212" t="n"/>
      <c r="BI143" s="212" t="n"/>
      <c r="BJ143" s="212" t="n"/>
      <c r="BK143" s="212" t="n"/>
      <c r="BL143" s="212" t="n"/>
      <c r="BM143" s="212" t="n"/>
      <c r="BN143" s="212" t="n"/>
      <c r="BO143" s="212" t="n"/>
      <c r="BP143" s="212" t="n"/>
      <c r="BQ143" s="212" t="n"/>
      <c r="BR143" s="212" t="n"/>
      <c r="BS143" s="212" t="n"/>
      <c r="BT143" s="212" t="n"/>
      <c r="BU143" s="212" t="n"/>
      <c r="BV143" s="212" t="n"/>
      <c r="BW143" s="212" t="n"/>
      <c r="BX143" s="212" t="n"/>
      <c r="BY143" s="212" t="n"/>
      <c r="BZ143" s="212" t="n"/>
      <c r="CA143" s="212" t="n"/>
      <c r="CB143" s="212" t="n"/>
      <c r="CC143" s="212" t="n"/>
      <c r="CD143" s="212" t="n"/>
      <c r="CE143" s="212" t="n"/>
      <c r="CF143" s="212" t="n"/>
      <c r="CG143" s="212" t="n"/>
      <c r="CH143" s="212" t="n"/>
      <c r="CI143" s="212" t="n"/>
      <c r="CJ143" s="212" t="n"/>
      <c r="CK143" s="212" t="n"/>
      <c r="CL143" s="212" t="n"/>
      <c r="CM143" s="212" t="n"/>
      <c r="CN143" s="212" t="n"/>
      <c r="CO143" s="212" t="n"/>
      <c r="CP143" s="212" t="n"/>
      <c r="CQ143" s="212" t="n"/>
      <c r="CR143" s="212" t="n"/>
      <c r="CS143" s="212" t="n"/>
      <c r="CT143" s="212" t="n"/>
      <c r="CU143" s="212" t="n"/>
      <c r="CV143" s="212" t="n"/>
      <c r="CW143" s="212" t="n"/>
      <c r="CX143" s="212" t="n"/>
      <c r="CY143" s="212" t="n"/>
      <c r="CZ143" s="212" t="n"/>
      <c r="DA143" s="212" t="n"/>
      <c r="DB143" s="212" t="n"/>
      <c r="DC143" s="212" t="n"/>
      <c r="DD143" s="212" t="n"/>
      <c r="DE143" s="212" t="n"/>
      <c r="DF143" s="212" t="n"/>
      <c r="DG143" s="212" t="n"/>
      <c r="DH143" s="212" t="n"/>
      <c r="DI143" s="212" t="n"/>
      <c r="DJ143" s="212" t="n"/>
      <c r="DK143" s="212" t="n"/>
      <c r="DL143" s="212" t="n"/>
      <c r="DM143" s="212" t="n"/>
      <c r="DN143" s="212" t="n"/>
      <c r="DO143" s="212" t="n"/>
      <c r="DP143" s="212" t="n"/>
      <c r="DQ143" s="212" t="n"/>
      <c r="DR143" s="212" t="n"/>
      <c r="DS143" s="212" t="n"/>
      <c r="DT143" s="212" t="n"/>
      <c r="DU143" s="212" t="n"/>
      <c r="DV143" s="212" t="n"/>
      <c r="DW143" s="212" t="n"/>
      <c r="DX143" s="212" t="n"/>
      <c r="DY143" s="212" t="n"/>
      <c r="DZ143" s="212" t="n"/>
      <c r="EA143" s="212" t="n"/>
      <c r="EB143" s="212" t="n"/>
      <c r="EC143" s="212" t="n"/>
      <c r="ED143" s="212" t="n"/>
      <c r="EE143" s="212" t="n"/>
      <c r="EF143" s="212" t="n"/>
      <c r="EG143" s="212" t="n"/>
      <c r="EH143" s="212" t="n"/>
      <c r="EI143" s="212" t="n"/>
      <c r="EJ143" s="212" t="n"/>
      <c r="EK143" s="212" t="n"/>
      <c r="EL143" s="212" t="n"/>
      <c r="EM143" s="212" t="n"/>
      <c r="EN143" s="212" t="n"/>
      <c r="EO143" s="212" t="n"/>
      <c r="EP143" s="212" t="n"/>
      <c r="EQ143" s="212" t="n"/>
      <c r="ER143" s="212" t="n"/>
      <c r="ES143" s="212" t="n"/>
      <c r="ET143" s="212" t="n"/>
      <c r="EU143" s="212" t="n"/>
      <c r="EV143" s="212" t="n"/>
      <c r="EW143" s="212" t="n"/>
      <c r="EX143" s="212" t="n"/>
      <c r="EY143" s="212" t="n"/>
      <c r="EZ143" s="212" t="n"/>
      <c r="FA143" s="212" t="n"/>
      <c r="FB143" s="212" t="n"/>
      <c r="FC143" s="212" t="n"/>
      <c r="FD143" s="212" t="n"/>
      <c r="FE143" s="212" t="n"/>
      <c r="FF143" s="212" t="n"/>
      <c r="FG143" s="212" t="n"/>
      <c r="FH143" s="212" t="n"/>
      <c r="FI143" s="212" t="n"/>
      <c r="FJ143" s="212" t="n"/>
      <c r="FK143" s="212" t="n"/>
      <c r="FL143" s="212" t="n"/>
      <c r="FM143" s="212" t="n"/>
      <c r="FN143" s="212" t="n"/>
      <c r="FO143" s="212" t="n"/>
      <c r="FP143" s="212" t="n"/>
      <c r="FQ143" s="212" t="n"/>
      <c r="FR143" s="212" t="n"/>
      <c r="FS143" s="212" t="n"/>
      <c r="FT143" s="212" t="n"/>
      <c r="FU143" s="212" t="n"/>
      <c r="FV143" s="212" t="n"/>
      <c r="FW143" s="212" t="n"/>
      <c r="FX143" s="212" t="n"/>
      <c r="FY143" s="212" t="n"/>
      <c r="FZ143" s="212" t="n"/>
      <c r="GA143" s="212" t="n"/>
      <c r="GB143" s="212" t="n"/>
      <c r="GC143" s="212" t="n"/>
      <c r="GD143" s="212" t="n"/>
      <c r="GE143" s="212" t="n"/>
      <c r="GF143" s="212" t="n"/>
      <c r="GG143" s="212" t="n"/>
      <c r="GH143" s="212" t="n"/>
      <c r="GI143" s="212" t="n"/>
      <c r="GJ143" s="212" t="n"/>
      <c r="GK143" s="212" t="n"/>
      <c r="GL143" s="212" t="n"/>
      <c r="GM143" s="212" t="n"/>
      <c r="GN143" s="212" t="n"/>
      <c r="GO143" s="212" t="n"/>
      <c r="GP143" s="212" t="n"/>
      <c r="GQ143" s="212" t="n"/>
      <c r="GR143" s="212" t="n"/>
      <c r="GS143" s="212" t="n"/>
      <c r="GT143" s="212" t="n"/>
      <c r="GU143" s="212" t="n"/>
      <c r="GV143" s="212" t="n"/>
      <c r="GW143" s="212" t="n"/>
      <c r="GX143" s="212" t="n"/>
      <c r="GY143" s="212" t="n"/>
      <c r="GZ143" s="212" t="n"/>
      <c r="HA143" s="212" t="n"/>
      <c r="HB143" s="212" t="n"/>
      <c r="HC143" s="212" t="n"/>
      <c r="HD143" s="212" t="n"/>
      <c r="HE143" s="212" t="n"/>
      <c r="HF143" s="212" t="n"/>
      <c r="HG143" s="212" t="n"/>
      <c r="HH143" s="212" t="n"/>
      <c r="HI143" s="212" t="n"/>
      <c r="HJ143" s="212" t="n"/>
      <c r="HK143" s="212" t="n"/>
      <c r="HL143" s="212" t="n"/>
      <c r="HM143" s="212" t="n"/>
      <c r="HN143" s="212" t="n"/>
      <c r="HO143" s="212" t="n"/>
      <c r="HP143" s="212" t="n"/>
      <c r="HQ143" s="212" t="n"/>
      <c r="HR143" s="212" t="n"/>
      <c r="HS143" s="212" t="n"/>
      <c r="HT143" s="212" t="n"/>
      <c r="HU143" s="212" t="n"/>
      <c r="HV143" s="212" t="n"/>
      <c r="HW143" s="212" t="n"/>
      <c r="HX143" s="212" t="n"/>
      <c r="HY143" s="212" t="n"/>
      <c r="HZ143" s="212" t="n"/>
      <c r="IA143" s="212" t="n"/>
      <c r="IB143" s="212" t="n"/>
      <c r="IC143" s="212" t="n"/>
      <c r="ID143" s="212" t="n"/>
      <c r="IE143" s="212" t="n"/>
      <c r="IF143" s="212" t="n"/>
      <c r="IG143" s="212" t="n"/>
      <c r="IH143" s="212" t="n"/>
      <c r="II143" s="212" t="n"/>
      <c r="IJ143" s="212" t="n"/>
      <c r="IK143" s="212" t="n"/>
      <c r="IL143" s="212" t="n"/>
      <c r="IM143" s="212" t="n"/>
      <c r="IN143" s="212" t="n"/>
      <c r="IO143" s="212" t="n"/>
      <c r="IP143" s="212" t="n"/>
      <c r="IQ143" s="212" t="n"/>
      <c r="IR143" s="212" t="n"/>
      <c r="IS143" s="212" t="n"/>
      <c r="IT143" s="212" t="n"/>
      <c r="IU143" s="212" t="n"/>
      <c r="IV143" s="212" t="n"/>
      <c r="IW143" s="212" t="n"/>
      <c r="IX143" s="212" t="n"/>
      <c r="IY143" s="212" t="n"/>
      <c r="IZ143" s="212" t="n"/>
      <c r="JA143" s="212" t="n"/>
      <c r="JB143" s="212" t="n"/>
      <c r="JC143" s="212" t="n"/>
      <c r="JD143" s="212" t="n"/>
      <c r="JE143" s="212" t="n"/>
      <c r="JF143" s="212" t="n"/>
      <c r="JG143" s="212" t="n"/>
      <c r="JH143" s="212" t="n"/>
      <c r="JI143" s="212" t="n"/>
      <c r="JJ143" s="212" t="n"/>
      <c r="JK143" s="212" t="n"/>
      <c r="JL143" s="212" t="n"/>
      <c r="JM143" s="212" t="n"/>
      <c r="JN143" s="212" t="n"/>
      <c r="JO143" s="212" t="n"/>
      <c r="JP143" s="212" t="n"/>
      <c r="JQ143" s="212" t="n"/>
      <c r="JR143" s="212" t="n"/>
      <c r="JS143" s="212" t="n"/>
      <c r="JT143" s="212" t="n"/>
      <c r="JU143" s="212" t="n"/>
      <c r="JV143" s="212" t="n"/>
      <c r="JW143" s="212" t="n"/>
      <c r="JX143" s="212" t="n"/>
      <c r="JY143" s="212" t="n"/>
      <c r="JZ143" s="212" t="n"/>
      <c r="KA143" s="212" t="n"/>
      <c r="KB143" s="212" t="n"/>
      <c r="KC143" s="212" t="n"/>
      <c r="KD143" s="212" t="n"/>
      <c r="KE143" s="212" t="n"/>
      <c r="KF143" s="212" t="n"/>
      <c r="KG143" s="212" t="n"/>
      <c r="KH143" s="212" t="n"/>
      <c r="KI143" s="212" t="n"/>
      <c r="KJ143" s="212" t="n"/>
      <c r="KK143" s="212" t="n"/>
      <c r="KL143" s="212" t="n"/>
      <c r="KM143" s="212" t="n"/>
      <c r="KN143" s="212" t="n"/>
      <c r="KO143" s="212" t="n"/>
      <c r="KP143" s="212" t="n"/>
      <c r="KQ143" s="212" t="n"/>
      <c r="KR143" s="212" t="n"/>
      <c r="KS143" s="212" t="n"/>
      <c r="KT143" s="212" t="n"/>
      <c r="KU143" s="212" t="n"/>
      <c r="KV143" s="212" t="n"/>
      <c r="KW143" s="212" t="n"/>
      <c r="KX143" s="212" t="n"/>
      <c r="KY143" s="212" t="n"/>
      <c r="KZ143" s="212" t="n"/>
      <c r="LA143" s="212" t="n"/>
      <c r="LB143" s="212" t="n"/>
      <c r="LC143" s="212" t="n"/>
      <c r="LD143" s="212" t="n"/>
      <c r="LE143" s="212" t="n"/>
      <c r="LF143" s="212" t="n"/>
      <c r="LG143" s="212" t="n"/>
      <c r="LH143" s="212" t="n"/>
      <c r="LI143" s="212" t="n"/>
      <c r="LJ143" s="212" t="n"/>
      <c r="LK143" s="212" t="n"/>
      <c r="LL143" s="212" t="n"/>
      <c r="LM143" s="212" t="n"/>
      <c r="LN143" s="212" t="n"/>
      <c r="LO143" s="212" t="n"/>
      <c r="LP143" s="212" t="n"/>
      <c r="LQ143" s="212" t="n"/>
      <c r="LR143" s="212" t="n"/>
      <c r="LS143" s="212" t="n"/>
      <c r="LT143" s="212" t="n"/>
      <c r="LU143" s="212" t="n"/>
      <c r="LV143" s="212" t="n"/>
      <c r="LW143" s="212" t="n"/>
      <c r="LX143" s="212" t="n"/>
      <c r="LY143" s="212" t="n"/>
      <c r="LZ143" s="212" t="n"/>
      <c r="MA143" s="212" t="n"/>
      <c r="MB143" s="212" t="n"/>
      <c r="MC143" s="212" t="n"/>
      <c r="MD143" s="212" t="n"/>
      <c r="ME143" s="212" t="n"/>
      <c r="MF143" s="212" t="n"/>
      <c r="MG143" s="212" t="n"/>
      <c r="MH143" s="212" t="n"/>
      <c r="MI143" s="212" t="n"/>
      <c r="MJ143" s="212" t="n"/>
      <c r="MK143" s="212" t="n"/>
      <c r="ML143" s="212" t="n"/>
      <c r="MM143" s="212" t="n"/>
      <c r="MN143" s="212" t="n"/>
      <c r="MO143" s="212" t="n"/>
      <c r="MP143" s="212" t="n"/>
      <c r="MQ143" s="212" t="n"/>
      <c r="MR143" s="212" t="n"/>
      <c r="MS143" s="212" t="n"/>
      <c r="MT143" s="212" t="n"/>
      <c r="MU143" s="212" t="n"/>
      <c r="MV143" s="212" t="n"/>
      <c r="MW143" s="212" t="n"/>
      <c r="MX143" s="212" t="n"/>
      <c r="MY143" s="212" t="n"/>
      <c r="MZ143" s="212" t="n"/>
      <c r="NA143" s="212" t="n"/>
      <c r="NB143" s="212" t="n"/>
      <c r="NC143" s="212" t="n"/>
      <c r="ND143" s="212" t="n"/>
      <c r="NE143" s="212" t="n"/>
      <c r="NF143" s="212" t="n"/>
      <c r="NG143" s="212" t="n"/>
      <c r="NH143" s="212" t="n"/>
      <c r="NI143" s="212" t="n"/>
      <c r="NJ143" s="212" t="n"/>
      <c r="NK143" s="212" t="n"/>
      <c r="NL143" s="212" t="n"/>
      <c r="NM143" s="212" t="n"/>
      <c r="NN143" s="212" t="n"/>
      <c r="NO143" s="212" t="n"/>
      <c r="NP143" s="212" t="n"/>
      <c r="NQ143" s="212" t="n"/>
      <c r="NR143" s="212" t="n"/>
      <c r="NS143" s="212" t="n"/>
      <c r="NT143" s="212" t="n"/>
      <c r="NU143" s="212" t="n"/>
      <c r="NV143" s="212" t="n"/>
      <c r="NW143" s="212" t="n"/>
      <c r="NX143" s="212" t="n"/>
      <c r="NY143" s="212" t="n"/>
      <c r="NZ143" s="212" t="n"/>
      <c r="OA143" s="212" t="n"/>
      <c r="OB143" s="212" t="n"/>
      <c r="OC143" s="212" t="n"/>
      <c r="OD143" s="212" t="n"/>
      <c r="OE143" s="212" t="n"/>
      <c r="OF143" s="212" t="n"/>
      <c r="OG143" s="212" t="n"/>
      <c r="OH143" s="212" t="n"/>
      <c r="OI143" s="212" t="n"/>
      <c r="OJ143" s="212" t="n"/>
      <c r="OK143" s="212" t="n"/>
      <c r="OL143" s="212" t="n"/>
      <c r="OM143" s="212" t="n"/>
      <c r="ON143" s="212" t="n"/>
      <c r="OO143" s="212" t="n"/>
      <c r="OP143" s="212" t="n"/>
      <c r="OQ143" s="212" t="n"/>
      <c r="OR143" s="212" t="n"/>
      <c r="OS143" s="212" t="n"/>
      <c r="OT143" s="212" t="n"/>
      <c r="OU143" s="212" t="n"/>
      <c r="OV143" s="212" t="n"/>
      <c r="OW143" s="212" t="n"/>
      <c r="OX143" s="212" t="n"/>
      <c r="OY143" s="212" t="n"/>
      <c r="OZ143" s="212" t="n"/>
      <c r="PA143" s="212" t="n"/>
      <c r="PB143" s="212" t="n"/>
      <c r="PC143" s="212" t="n"/>
      <c r="PD143" s="212" t="n"/>
      <c r="PE143" s="212" t="n"/>
      <c r="PF143" s="212" t="n"/>
      <c r="PG143" s="212" t="n"/>
      <c r="PH143" s="212" t="n"/>
      <c r="PI143" s="212" t="n"/>
      <c r="PJ143" s="212" t="n"/>
      <c r="PK143" s="212" t="n"/>
      <c r="PL143" s="212" t="n"/>
      <c r="PM143" s="212" t="n"/>
      <c r="PN143" s="212" t="n"/>
      <c r="PO143" s="212" t="n"/>
      <c r="PP143" s="212" t="n"/>
      <c r="PQ143" s="212" t="n"/>
      <c r="PR143" s="212" t="n"/>
      <c r="PS143" s="212" t="n"/>
      <c r="PT143" s="212" t="n"/>
      <c r="PU143" s="212" t="n"/>
      <c r="PV143" s="212" t="n"/>
      <c r="PW143" s="212" t="n"/>
      <c r="PX143" s="212" t="n"/>
      <c r="PY143" s="212" t="n"/>
      <c r="PZ143" s="212" t="n"/>
      <c r="QA143" s="212" t="n"/>
      <c r="QB143" s="212" t="n"/>
      <c r="QC143" s="212" t="n"/>
      <c r="QD143" s="212" t="n"/>
      <c r="QE143" s="212" t="n"/>
      <c r="QF143" s="212" t="n"/>
      <c r="QG143" s="212" t="n"/>
      <c r="QH143" s="212" t="n"/>
      <c r="QI143" s="212" t="n"/>
      <c r="QJ143" s="212" t="n"/>
      <c r="QK143" s="212" t="n"/>
      <c r="QL143" s="212" t="n"/>
      <c r="QM143" s="212" t="n"/>
      <c r="QN143" s="212" t="n"/>
      <c r="QO143" s="212" t="n"/>
      <c r="QP143" s="212" t="n"/>
      <c r="QQ143" s="212" t="n"/>
      <c r="QR143" s="212" t="n"/>
      <c r="QS143" s="212" t="n"/>
      <c r="QT143" s="212" t="n"/>
      <c r="QU143" s="212" t="n"/>
      <c r="QV143" s="212" t="n"/>
      <c r="QW143" s="212" t="n"/>
      <c r="QX143" s="212" t="n"/>
      <c r="QY143" s="212" t="n"/>
      <c r="QZ143" s="212" t="n"/>
      <c r="RA143" s="212" t="n"/>
      <c r="RB143" s="212" t="n"/>
      <c r="RC143" s="212" t="n"/>
      <c r="RD143" s="212" t="n"/>
      <c r="RE143" s="212" t="n"/>
      <c r="RF143" s="212" t="n"/>
      <c r="RG143" s="212" t="n"/>
      <c r="RH143" s="212" t="n"/>
      <c r="RI143" s="212" t="n"/>
      <c r="RJ143" s="212" t="n"/>
      <c r="RK143" s="212" t="n"/>
      <c r="RL143" s="212" t="n"/>
      <c r="RM143" s="212" t="n"/>
      <c r="RN143" s="212" t="n"/>
      <c r="RO143" s="212" t="n"/>
      <c r="RP143" s="212" t="n"/>
      <c r="RQ143" s="212" t="n"/>
      <c r="RR143" s="212" t="n"/>
      <c r="RS143" s="212" t="n"/>
      <c r="RT143" s="212" t="n"/>
      <c r="RU143" s="212" t="n"/>
      <c r="RV143" s="212" t="n"/>
      <c r="RW143" s="212" t="n"/>
      <c r="RX143" s="212" t="n"/>
      <c r="RY143" s="212" t="n"/>
      <c r="RZ143" s="212" t="n"/>
      <c r="SA143" s="212" t="n"/>
      <c r="SB143" s="212" t="n"/>
      <c r="SC143" s="212" t="n"/>
      <c r="SD143" s="212" t="n"/>
      <c r="SE143" s="212" t="n"/>
      <c r="SF143" s="212" t="n"/>
      <c r="SG143" s="212" t="n"/>
      <c r="SH143" s="212" t="n"/>
      <c r="SI143" s="212" t="n"/>
      <c r="SJ143" s="212" t="n"/>
      <c r="SK143" s="212" t="n"/>
      <c r="SL143" s="212" t="n"/>
      <c r="SM143" s="212" t="n"/>
      <c r="SN143" s="212" t="n"/>
      <c r="SO143" s="212" t="n"/>
      <c r="SP143" s="212" t="n"/>
      <c r="SQ143" s="212" t="n"/>
      <c r="SR143" s="212" t="n"/>
      <c r="SS143" s="212" t="n"/>
      <c r="ST143" s="212" t="n"/>
      <c r="SU143" s="212" t="n"/>
      <c r="SV143" s="212" t="n"/>
    </row>
    <row r="144">
      <c r="B144" s="209" t="n"/>
      <c r="C144" s="209" t="n"/>
      <c r="D144" s="209" t="n"/>
      <c r="E144" s="209" t="n"/>
      <c r="F144" s="209">
        <f>IF(TRIM(D144&amp;E144)="","",TRIM(D144)&amp;" "&amp;TRIM(E144))</f>
        <v/>
      </c>
      <c r="G144" s="209" t="n"/>
      <c r="H144" s="209" t="n"/>
      <c r="I144" s="209" t="n"/>
      <c r="J144" s="209" t="n"/>
      <c r="K144" s="209" t="n"/>
      <c r="L144" s="209" t="n"/>
      <c r="M144" s="209" t="n"/>
      <c r="N144" s="209" t="n"/>
      <c r="O144" s="209" t="n"/>
      <c r="P144" s="209" t="n"/>
      <c r="Q144" s="209" t="n"/>
      <c r="R144" s="209" t="n"/>
      <c r="S144" s="212" t="n"/>
      <c r="T144" s="212" t="n"/>
      <c r="U144" s="212" t="n"/>
      <c r="V144" s="212" t="n"/>
      <c r="W144" s="212" t="n"/>
      <c r="X144" s="212" t="n"/>
      <c r="Y144" s="212" t="n"/>
      <c r="Z144" s="212" t="n"/>
      <c r="AA144" s="212" t="n"/>
      <c r="AB144" s="212" t="n"/>
      <c r="AC144" s="212" t="n"/>
      <c r="AD144" s="212" t="n"/>
      <c r="AE144" s="212" t="n"/>
      <c r="AF144" s="212" t="n"/>
      <c r="AG144" s="212" t="n"/>
      <c r="AH144" s="212" t="n"/>
      <c r="AI144" s="212" t="n"/>
      <c r="AJ144" s="212" t="n"/>
      <c r="AK144" s="212" t="n"/>
      <c r="AL144" s="212" t="n"/>
      <c r="AM144" s="212" t="n"/>
      <c r="AN144" s="212" t="n"/>
      <c r="AO144" s="212" t="n"/>
      <c r="AP144" s="212" t="n"/>
      <c r="AQ144" s="212" t="n"/>
      <c r="AR144" s="212" t="n"/>
      <c r="AS144" s="212" t="n"/>
      <c r="AT144" s="212" t="n"/>
      <c r="AU144" s="212" t="n"/>
      <c r="AV144" s="212" t="n"/>
      <c r="AW144" s="212" t="n"/>
      <c r="AX144" s="212" t="n"/>
      <c r="AY144" s="212" t="n"/>
      <c r="AZ144" s="212" t="n"/>
      <c r="BA144" s="212" t="n"/>
      <c r="BB144" s="212" t="n"/>
      <c r="BC144" s="212" t="n"/>
      <c r="BD144" s="212" t="n"/>
      <c r="BE144" s="212" t="n"/>
      <c r="BF144" s="212" t="n"/>
      <c r="BG144" s="212" t="n"/>
      <c r="BH144" s="212" t="n"/>
      <c r="BI144" s="212" t="n"/>
      <c r="BJ144" s="212" t="n"/>
      <c r="BK144" s="212" t="n"/>
      <c r="BL144" s="212" t="n"/>
      <c r="BM144" s="212" t="n"/>
      <c r="BN144" s="212" t="n"/>
      <c r="BO144" s="212" t="n"/>
      <c r="BP144" s="212" t="n"/>
      <c r="BQ144" s="212" t="n"/>
      <c r="BR144" s="212" t="n"/>
      <c r="BS144" s="212" t="n"/>
      <c r="BT144" s="212" t="n"/>
      <c r="BU144" s="212" t="n"/>
      <c r="BV144" s="212" t="n"/>
      <c r="BW144" s="212" t="n"/>
      <c r="BX144" s="212" t="n"/>
      <c r="BY144" s="212" t="n"/>
      <c r="BZ144" s="212" t="n"/>
      <c r="CA144" s="212" t="n"/>
      <c r="CB144" s="212" t="n"/>
      <c r="CC144" s="212" t="n"/>
      <c r="CD144" s="212" t="n"/>
      <c r="CE144" s="212" t="n"/>
      <c r="CF144" s="212" t="n"/>
      <c r="CG144" s="212" t="n"/>
      <c r="CH144" s="212" t="n"/>
      <c r="CI144" s="212" t="n"/>
      <c r="CJ144" s="212" t="n"/>
      <c r="CK144" s="212" t="n"/>
      <c r="CL144" s="212" t="n"/>
      <c r="CM144" s="212" t="n"/>
      <c r="CN144" s="212" t="n"/>
      <c r="CO144" s="212" t="n"/>
      <c r="CP144" s="212" t="n"/>
      <c r="CQ144" s="212" t="n"/>
      <c r="CR144" s="212" t="n"/>
      <c r="CS144" s="212" t="n"/>
      <c r="CT144" s="212" t="n"/>
      <c r="CU144" s="212" t="n"/>
      <c r="CV144" s="212" t="n"/>
      <c r="CW144" s="212" t="n"/>
      <c r="CX144" s="212" t="n"/>
      <c r="CY144" s="212" t="n"/>
      <c r="CZ144" s="212" t="n"/>
      <c r="DA144" s="212" t="n"/>
      <c r="DB144" s="212" t="n"/>
      <c r="DC144" s="212" t="n"/>
      <c r="DD144" s="212" t="n"/>
      <c r="DE144" s="212" t="n"/>
      <c r="DF144" s="212" t="n"/>
      <c r="DG144" s="212" t="n"/>
      <c r="DH144" s="212" t="n"/>
      <c r="DI144" s="212" t="n"/>
      <c r="DJ144" s="212" t="n"/>
      <c r="DK144" s="212" t="n"/>
      <c r="DL144" s="212" t="n"/>
      <c r="DM144" s="212" t="n"/>
      <c r="DN144" s="212" t="n"/>
      <c r="DO144" s="212" t="n"/>
      <c r="DP144" s="212" t="n"/>
      <c r="DQ144" s="212" t="n"/>
      <c r="DR144" s="212" t="n"/>
      <c r="DS144" s="212" t="n"/>
      <c r="DT144" s="212" t="n"/>
      <c r="DU144" s="212" t="n"/>
      <c r="DV144" s="212" t="n"/>
      <c r="DW144" s="212" t="n"/>
      <c r="DX144" s="212" t="n"/>
      <c r="DY144" s="212" t="n"/>
      <c r="DZ144" s="212" t="n"/>
      <c r="EA144" s="212" t="n"/>
      <c r="EB144" s="212" t="n"/>
      <c r="EC144" s="212" t="n"/>
      <c r="ED144" s="212" t="n"/>
      <c r="EE144" s="212" t="n"/>
      <c r="EF144" s="212" t="n"/>
      <c r="EG144" s="212" t="n"/>
      <c r="EH144" s="212" t="n"/>
      <c r="EI144" s="212" t="n"/>
      <c r="EJ144" s="212" t="n"/>
      <c r="EK144" s="212" t="n"/>
      <c r="EL144" s="212" t="n"/>
      <c r="EM144" s="212" t="n"/>
      <c r="EN144" s="212" t="n"/>
      <c r="EO144" s="212" t="n"/>
      <c r="EP144" s="212" t="n"/>
      <c r="EQ144" s="212" t="n"/>
      <c r="ER144" s="212" t="n"/>
      <c r="ES144" s="212" t="n"/>
      <c r="ET144" s="212" t="n"/>
      <c r="EU144" s="212" t="n"/>
      <c r="EV144" s="212" t="n"/>
      <c r="EW144" s="212" t="n"/>
      <c r="EX144" s="212" t="n"/>
      <c r="EY144" s="212" t="n"/>
      <c r="EZ144" s="212" t="n"/>
      <c r="FA144" s="212" t="n"/>
      <c r="FB144" s="212" t="n"/>
      <c r="FC144" s="212" t="n"/>
      <c r="FD144" s="212" t="n"/>
      <c r="FE144" s="212" t="n"/>
      <c r="FF144" s="212" t="n"/>
      <c r="FG144" s="212" t="n"/>
      <c r="FH144" s="212" t="n"/>
      <c r="FI144" s="212" t="n"/>
      <c r="FJ144" s="212" t="n"/>
      <c r="FK144" s="212" t="n"/>
      <c r="FL144" s="212" t="n"/>
      <c r="FM144" s="212" t="n"/>
      <c r="FN144" s="212" t="n"/>
      <c r="FO144" s="212" t="n"/>
      <c r="FP144" s="212" t="n"/>
      <c r="FQ144" s="212" t="n"/>
      <c r="FR144" s="212" t="n"/>
      <c r="FS144" s="212" t="n"/>
      <c r="FT144" s="212" t="n"/>
      <c r="FU144" s="212" t="n"/>
      <c r="FV144" s="212" t="n"/>
      <c r="FW144" s="212" t="n"/>
      <c r="FX144" s="212" t="n"/>
      <c r="FY144" s="212" t="n"/>
      <c r="FZ144" s="212" t="n"/>
      <c r="GA144" s="212" t="n"/>
      <c r="GB144" s="212" t="n"/>
      <c r="GC144" s="212" t="n"/>
      <c r="GD144" s="212" t="n"/>
      <c r="GE144" s="212" t="n"/>
      <c r="GF144" s="212" t="n"/>
      <c r="GG144" s="212" t="n"/>
      <c r="GH144" s="212" t="n"/>
      <c r="GI144" s="212" t="n"/>
      <c r="GJ144" s="212" t="n"/>
      <c r="GK144" s="212" t="n"/>
      <c r="GL144" s="212" t="n"/>
      <c r="GM144" s="212" t="n"/>
      <c r="GN144" s="212" t="n"/>
      <c r="GO144" s="212" t="n"/>
      <c r="GP144" s="212" t="n"/>
      <c r="GQ144" s="212" t="n"/>
      <c r="GR144" s="212" t="n"/>
      <c r="GS144" s="212" t="n"/>
      <c r="GT144" s="212" t="n"/>
      <c r="GU144" s="212" t="n"/>
      <c r="GV144" s="212" t="n"/>
      <c r="GW144" s="212" t="n"/>
      <c r="GX144" s="212" t="n"/>
      <c r="GY144" s="212" t="n"/>
      <c r="GZ144" s="212" t="n"/>
      <c r="HA144" s="212" t="n"/>
      <c r="HB144" s="212" t="n"/>
      <c r="HC144" s="212" t="n"/>
      <c r="HD144" s="212" t="n"/>
      <c r="HE144" s="212" t="n"/>
      <c r="HF144" s="212" t="n"/>
      <c r="HG144" s="212" t="n"/>
      <c r="HH144" s="212" t="n"/>
      <c r="HI144" s="212" t="n"/>
      <c r="HJ144" s="212" t="n"/>
      <c r="HK144" s="212" t="n"/>
      <c r="HL144" s="212" t="n"/>
      <c r="HM144" s="212" t="n"/>
      <c r="HN144" s="212" t="n"/>
      <c r="HO144" s="212" t="n"/>
      <c r="HP144" s="212" t="n"/>
      <c r="HQ144" s="212" t="n"/>
      <c r="HR144" s="212" t="n"/>
      <c r="HS144" s="212" t="n"/>
      <c r="HT144" s="212" t="n"/>
      <c r="HU144" s="212" t="n"/>
      <c r="HV144" s="212" t="n"/>
      <c r="HW144" s="212" t="n"/>
      <c r="HX144" s="212" t="n"/>
      <c r="HY144" s="212" t="n"/>
      <c r="HZ144" s="212" t="n"/>
      <c r="IA144" s="212" t="n"/>
      <c r="IB144" s="212" t="n"/>
      <c r="IC144" s="212" t="n"/>
      <c r="ID144" s="212" t="n"/>
      <c r="IE144" s="212" t="n"/>
      <c r="IF144" s="212" t="n"/>
      <c r="IG144" s="212" t="n"/>
      <c r="IH144" s="212" t="n"/>
      <c r="II144" s="212" t="n"/>
      <c r="IJ144" s="212" t="n"/>
      <c r="IK144" s="212" t="n"/>
      <c r="IL144" s="212" t="n"/>
      <c r="IM144" s="212" t="n"/>
      <c r="IN144" s="212" t="n"/>
      <c r="IO144" s="212" t="n"/>
      <c r="IP144" s="212" t="n"/>
      <c r="IQ144" s="212" t="n"/>
      <c r="IR144" s="212" t="n"/>
      <c r="IS144" s="212" t="n"/>
      <c r="IT144" s="212" t="n"/>
      <c r="IU144" s="212" t="n"/>
      <c r="IV144" s="212" t="n"/>
      <c r="IW144" s="212" t="n"/>
      <c r="IX144" s="212" t="n"/>
      <c r="IY144" s="212" t="n"/>
      <c r="IZ144" s="212" t="n"/>
      <c r="JA144" s="212" t="n"/>
      <c r="JB144" s="212" t="n"/>
      <c r="JC144" s="212" t="n"/>
      <c r="JD144" s="212" t="n"/>
      <c r="JE144" s="212" t="n"/>
      <c r="JF144" s="212" t="n"/>
      <c r="JG144" s="212" t="n"/>
      <c r="JH144" s="212" t="n"/>
      <c r="JI144" s="212" t="n"/>
      <c r="JJ144" s="212" t="n"/>
      <c r="JK144" s="212" t="n"/>
      <c r="JL144" s="212" t="n"/>
      <c r="JM144" s="212" t="n"/>
      <c r="JN144" s="212" t="n"/>
      <c r="JO144" s="212" t="n"/>
      <c r="JP144" s="212" t="n"/>
      <c r="JQ144" s="212" t="n"/>
      <c r="JR144" s="212" t="n"/>
      <c r="JS144" s="212" t="n"/>
      <c r="JT144" s="212" t="n"/>
      <c r="JU144" s="212" t="n"/>
      <c r="JV144" s="212" t="n"/>
      <c r="JW144" s="212" t="n"/>
      <c r="JX144" s="212" t="n"/>
      <c r="JY144" s="212" t="n"/>
      <c r="JZ144" s="212" t="n"/>
      <c r="KA144" s="212" t="n"/>
      <c r="KB144" s="212" t="n"/>
      <c r="KC144" s="212" t="n"/>
      <c r="KD144" s="212" t="n"/>
      <c r="KE144" s="212" t="n"/>
      <c r="KF144" s="212" t="n"/>
      <c r="KG144" s="212" t="n"/>
      <c r="KH144" s="212" t="n"/>
      <c r="KI144" s="212" t="n"/>
      <c r="KJ144" s="212" t="n"/>
      <c r="KK144" s="212" t="n"/>
      <c r="KL144" s="212" t="n"/>
      <c r="KM144" s="212" t="n"/>
      <c r="KN144" s="212" t="n"/>
      <c r="KO144" s="212" t="n"/>
      <c r="KP144" s="212" t="n"/>
      <c r="KQ144" s="212" t="n"/>
      <c r="KR144" s="212" t="n"/>
      <c r="KS144" s="212" t="n"/>
      <c r="KT144" s="212" t="n"/>
      <c r="KU144" s="212" t="n"/>
      <c r="KV144" s="212" t="n"/>
      <c r="KW144" s="212" t="n"/>
      <c r="KX144" s="212" t="n"/>
      <c r="KY144" s="212" t="n"/>
      <c r="KZ144" s="212" t="n"/>
      <c r="LA144" s="212" t="n"/>
      <c r="LB144" s="212" t="n"/>
      <c r="LC144" s="212" t="n"/>
      <c r="LD144" s="212" t="n"/>
      <c r="LE144" s="212" t="n"/>
      <c r="LF144" s="212" t="n"/>
      <c r="LG144" s="212" t="n"/>
      <c r="LH144" s="212" t="n"/>
      <c r="LI144" s="212" t="n"/>
      <c r="LJ144" s="212" t="n"/>
      <c r="LK144" s="212" t="n"/>
      <c r="LL144" s="212" t="n"/>
      <c r="LM144" s="212" t="n"/>
      <c r="LN144" s="212" t="n"/>
      <c r="LO144" s="212" t="n"/>
      <c r="LP144" s="212" t="n"/>
      <c r="LQ144" s="212" t="n"/>
      <c r="LR144" s="212" t="n"/>
      <c r="LS144" s="212" t="n"/>
      <c r="LT144" s="212" t="n"/>
      <c r="LU144" s="212" t="n"/>
      <c r="LV144" s="212" t="n"/>
      <c r="LW144" s="212" t="n"/>
      <c r="LX144" s="212" t="n"/>
      <c r="LY144" s="212" t="n"/>
      <c r="LZ144" s="212" t="n"/>
      <c r="MA144" s="212" t="n"/>
      <c r="MB144" s="212" t="n"/>
      <c r="MC144" s="212" t="n"/>
      <c r="MD144" s="212" t="n"/>
      <c r="ME144" s="212" t="n"/>
      <c r="MF144" s="212" t="n"/>
      <c r="MG144" s="212" t="n"/>
      <c r="MH144" s="212" t="n"/>
      <c r="MI144" s="212" t="n"/>
      <c r="MJ144" s="212" t="n"/>
      <c r="MK144" s="212" t="n"/>
      <c r="ML144" s="212" t="n"/>
      <c r="MM144" s="212" t="n"/>
      <c r="MN144" s="212" t="n"/>
      <c r="MO144" s="212" t="n"/>
      <c r="MP144" s="212" t="n"/>
      <c r="MQ144" s="212" t="n"/>
      <c r="MR144" s="212" t="n"/>
      <c r="MS144" s="212" t="n"/>
      <c r="MT144" s="212" t="n"/>
      <c r="MU144" s="212" t="n"/>
      <c r="MV144" s="212" t="n"/>
      <c r="MW144" s="212" t="n"/>
      <c r="MX144" s="212" t="n"/>
      <c r="MY144" s="212" t="n"/>
      <c r="MZ144" s="212" t="n"/>
      <c r="NA144" s="212" t="n"/>
      <c r="NB144" s="212" t="n"/>
      <c r="NC144" s="212" t="n"/>
      <c r="ND144" s="212" t="n"/>
      <c r="NE144" s="212" t="n"/>
      <c r="NF144" s="212" t="n"/>
      <c r="NG144" s="212" t="n"/>
      <c r="NH144" s="212" t="n"/>
      <c r="NI144" s="212" t="n"/>
      <c r="NJ144" s="212" t="n"/>
      <c r="NK144" s="212" t="n"/>
      <c r="NL144" s="212" t="n"/>
      <c r="NM144" s="212" t="n"/>
      <c r="NN144" s="212" t="n"/>
      <c r="NO144" s="212" t="n"/>
      <c r="NP144" s="212" t="n"/>
      <c r="NQ144" s="212" t="n"/>
      <c r="NR144" s="212" t="n"/>
      <c r="NS144" s="212" t="n"/>
      <c r="NT144" s="212" t="n"/>
      <c r="NU144" s="212" t="n"/>
      <c r="NV144" s="212" t="n"/>
      <c r="NW144" s="212" t="n"/>
      <c r="NX144" s="212" t="n"/>
      <c r="NY144" s="212" t="n"/>
      <c r="NZ144" s="212" t="n"/>
      <c r="OA144" s="212" t="n"/>
      <c r="OB144" s="212" t="n"/>
      <c r="OC144" s="212" t="n"/>
      <c r="OD144" s="212" t="n"/>
      <c r="OE144" s="212" t="n"/>
      <c r="OF144" s="212" t="n"/>
      <c r="OG144" s="212" t="n"/>
      <c r="OH144" s="212" t="n"/>
      <c r="OI144" s="212" t="n"/>
      <c r="OJ144" s="212" t="n"/>
      <c r="OK144" s="212" t="n"/>
      <c r="OL144" s="212" t="n"/>
      <c r="OM144" s="212" t="n"/>
      <c r="ON144" s="212" t="n"/>
      <c r="OO144" s="212" t="n"/>
      <c r="OP144" s="212" t="n"/>
      <c r="OQ144" s="212" t="n"/>
      <c r="OR144" s="212" t="n"/>
      <c r="OS144" s="212" t="n"/>
      <c r="OT144" s="212" t="n"/>
      <c r="OU144" s="212" t="n"/>
      <c r="OV144" s="212" t="n"/>
      <c r="OW144" s="212" t="n"/>
      <c r="OX144" s="212" t="n"/>
      <c r="OY144" s="212" t="n"/>
      <c r="OZ144" s="212" t="n"/>
      <c r="PA144" s="212" t="n"/>
      <c r="PB144" s="212" t="n"/>
      <c r="PC144" s="212" t="n"/>
      <c r="PD144" s="212" t="n"/>
      <c r="PE144" s="212" t="n"/>
      <c r="PF144" s="212" t="n"/>
      <c r="PG144" s="212" t="n"/>
      <c r="PH144" s="212" t="n"/>
      <c r="PI144" s="212" t="n"/>
      <c r="PJ144" s="212" t="n"/>
      <c r="PK144" s="212" t="n"/>
      <c r="PL144" s="212" t="n"/>
      <c r="PM144" s="212" t="n"/>
      <c r="PN144" s="212" t="n"/>
      <c r="PO144" s="212" t="n"/>
      <c r="PP144" s="212" t="n"/>
      <c r="PQ144" s="212" t="n"/>
      <c r="PR144" s="212" t="n"/>
      <c r="PS144" s="212" t="n"/>
      <c r="PT144" s="212" t="n"/>
      <c r="PU144" s="212" t="n"/>
      <c r="PV144" s="212" t="n"/>
      <c r="PW144" s="212" t="n"/>
      <c r="PX144" s="212" t="n"/>
      <c r="PY144" s="212" t="n"/>
      <c r="PZ144" s="212" t="n"/>
      <c r="QA144" s="212" t="n"/>
      <c r="QB144" s="212" t="n"/>
      <c r="QC144" s="212" t="n"/>
      <c r="QD144" s="212" t="n"/>
      <c r="QE144" s="212" t="n"/>
      <c r="QF144" s="212" t="n"/>
      <c r="QG144" s="212" t="n"/>
      <c r="QH144" s="212" t="n"/>
      <c r="QI144" s="212" t="n"/>
      <c r="QJ144" s="212" t="n"/>
      <c r="QK144" s="212" t="n"/>
      <c r="QL144" s="212" t="n"/>
      <c r="QM144" s="212" t="n"/>
      <c r="QN144" s="212" t="n"/>
      <c r="QO144" s="212" t="n"/>
      <c r="QP144" s="212" t="n"/>
      <c r="QQ144" s="212" t="n"/>
      <c r="QR144" s="212" t="n"/>
      <c r="QS144" s="212" t="n"/>
      <c r="QT144" s="212" t="n"/>
      <c r="QU144" s="212" t="n"/>
      <c r="QV144" s="212" t="n"/>
      <c r="QW144" s="212" t="n"/>
      <c r="QX144" s="212" t="n"/>
      <c r="QY144" s="212" t="n"/>
      <c r="QZ144" s="212" t="n"/>
      <c r="RA144" s="212" t="n"/>
      <c r="RB144" s="212" t="n"/>
      <c r="RC144" s="212" t="n"/>
      <c r="RD144" s="212" t="n"/>
      <c r="RE144" s="212" t="n"/>
      <c r="RF144" s="212" t="n"/>
      <c r="RG144" s="212" t="n"/>
      <c r="RH144" s="212" t="n"/>
      <c r="RI144" s="212" t="n"/>
      <c r="RJ144" s="212" t="n"/>
      <c r="RK144" s="212" t="n"/>
      <c r="RL144" s="212" t="n"/>
      <c r="RM144" s="212" t="n"/>
      <c r="RN144" s="212" t="n"/>
      <c r="RO144" s="212" t="n"/>
      <c r="RP144" s="212" t="n"/>
      <c r="RQ144" s="212" t="n"/>
      <c r="RR144" s="212" t="n"/>
      <c r="RS144" s="212" t="n"/>
      <c r="RT144" s="212" t="n"/>
      <c r="RU144" s="212" t="n"/>
      <c r="RV144" s="212" t="n"/>
      <c r="RW144" s="212" t="n"/>
      <c r="RX144" s="212" t="n"/>
      <c r="RY144" s="212" t="n"/>
      <c r="RZ144" s="212" t="n"/>
      <c r="SA144" s="212" t="n"/>
      <c r="SB144" s="212" t="n"/>
      <c r="SC144" s="212" t="n"/>
      <c r="SD144" s="212" t="n"/>
      <c r="SE144" s="212" t="n"/>
      <c r="SF144" s="212" t="n"/>
      <c r="SG144" s="212" t="n"/>
      <c r="SH144" s="212" t="n"/>
      <c r="SI144" s="212" t="n"/>
      <c r="SJ144" s="212" t="n"/>
      <c r="SK144" s="212" t="n"/>
      <c r="SL144" s="212" t="n"/>
      <c r="SM144" s="212" t="n"/>
      <c r="SN144" s="212" t="n"/>
      <c r="SO144" s="212" t="n"/>
      <c r="SP144" s="212" t="n"/>
      <c r="SQ144" s="212" t="n"/>
      <c r="SR144" s="212" t="n"/>
      <c r="SS144" s="212" t="n"/>
      <c r="ST144" s="212" t="n"/>
      <c r="SU144" s="212" t="n"/>
      <c r="SV144" s="212" t="n"/>
    </row>
    <row r="145">
      <c r="B145" s="209" t="n"/>
      <c r="C145" s="209" t="n"/>
      <c r="D145" s="209" t="n"/>
      <c r="E145" s="209" t="n"/>
      <c r="F145" s="209">
        <f>IF(TRIM(D145&amp;E145)="","",TRIM(D145)&amp;" "&amp;TRIM(E145))</f>
        <v/>
      </c>
      <c r="G145" s="209" t="n"/>
      <c r="H145" s="209" t="n"/>
      <c r="I145" s="209" t="n"/>
      <c r="J145" s="209" t="n"/>
      <c r="K145" s="209" t="n"/>
      <c r="L145" s="209" t="n"/>
      <c r="M145" s="209" t="n"/>
      <c r="N145" s="209" t="n"/>
      <c r="O145" s="209" t="n"/>
      <c r="P145" s="209" t="n"/>
      <c r="Q145" s="209" t="n"/>
      <c r="R145" s="209" t="n"/>
      <c r="S145" s="212" t="n"/>
      <c r="T145" s="212" t="n"/>
      <c r="U145" s="212" t="n"/>
      <c r="V145" s="212" t="n"/>
      <c r="W145" s="212" t="n"/>
      <c r="X145" s="212" t="n"/>
      <c r="Y145" s="212" t="n"/>
      <c r="Z145" s="212" t="n"/>
      <c r="AA145" s="212" t="n"/>
      <c r="AB145" s="212" t="n"/>
      <c r="AC145" s="212" t="n"/>
      <c r="AD145" s="212" t="n"/>
      <c r="AE145" s="212" t="n"/>
      <c r="AF145" s="212" t="n"/>
      <c r="AG145" s="212" t="n"/>
      <c r="AH145" s="212" t="n"/>
      <c r="AI145" s="212" t="n"/>
      <c r="AJ145" s="212" t="n"/>
      <c r="AK145" s="212" t="n"/>
      <c r="AL145" s="212" t="n"/>
      <c r="AM145" s="212" t="n"/>
      <c r="AN145" s="212" t="n"/>
      <c r="AO145" s="212" t="n"/>
      <c r="AP145" s="212" t="n"/>
      <c r="AQ145" s="212" t="n"/>
      <c r="AR145" s="212" t="n"/>
      <c r="AS145" s="212" t="n"/>
      <c r="AT145" s="212" t="n"/>
      <c r="AU145" s="212" t="n"/>
      <c r="AV145" s="212" t="n"/>
      <c r="AW145" s="212" t="n"/>
      <c r="AX145" s="212" t="n"/>
      <c r="AY145" s="212" t="n"/>
      <c r="AZ145" s="212" t="n"/>
      <c r="BA145" s="212" t="n"/>
      <c r="BB145" s="212" t="n"/>
      <c r="BC145" s="212" t="n"/>
      <c r="BD145" s="212" t="n"/>
      <c r="BE145" s="212" t="n"/>
      <c r="BF145" s="212" t="n"/>
      <c r="BG145" s="212" t="n"/>
      <c r="BH145" s="212" t="n"/>
      <c r="BI145" s="212" t="n"/>
      <c r="BJ145" s="212" t="n"/>
      <c r="BK145" s="212" t="n"/>
      <c r="BL145" s="212" t="n"/>
      <c r="BM145" s="212" t="n"/>
      <c r="BN145" s="212" t="n"/>
      <c r="BO145" s="212" t="n"/>
      <c r="BP145" s="212" t="n"/>
      <c r="BQ145" s="212" t="n"/>
      <c r="BR145" s="212" t="n"/>
      <c r="BS145" s="212" t="n"/>
      <c r="BT145" s="212" t="n"/>
      <c r="BU145" s="212" t="n"/>
      <c r="BV145" s="212" t="n"/>
      <c r="BW145" s="212" t="n"/>
      <c r="BX145" s="212" t="n"/>
      <c r="BY145" s="212" t="n"/>
      <c r="BZ145" s="212" t="n"/>
      <c r="CA145" s="212" t="n"/>
      <c r="CB145" s="212" t="n"/>
      <c r="CC145" s="212" t="n"/>
      <c r="CD145" s="212" t="n"/>
      <c r="CE145" s="212" t="n"/>
      <c r="CF145" s="212" t="n"/>
      <c r="CG145" s="212" t="n"/>
      <c r="CH145" s="212" t="n"/>
      <c r="CI145" s="212" t="n"/>
      <c r="CJ145" s="212" t="n"/>
      <c r="CK145" s="212" t="n"/>
      <c r="CL145" s="212" t="n"/>
      <c r="CM145" s="212" t="n"/>
      <c r="CN145" s="212" t="n"/>
      <c r="CO145" s="212" t="n"/>
      <c r="CP145" s="212" t="n"/>
      <c r="CQ145" s="212" t="n"/>
      <c r="CR145" s="212" t="n"/>
      <c r="CS145" s="212" t="n"/>
      <c r="CT145" s="212" t="n"/>
      <c r="CU145" s="212" t="n"/>
      <c r="CV145" s="212" t="n"/>
      <c r="CW145" s="212" t="n"/>
      <c r="CX145" s="212" t="n"/>
      <c r="CY145" s="212" t="n"/>
      <c r="CZ145" s="212" t="n"/>
      <c r="DA145" s="212" t="n"/>
      <c r="DB145" s="212" t="n"/>
      <c r="DC145" s="212" t="n"/>
      <c r="DD145" s="212" t="n"/>
      <c r="DE145" s="212" t="n"/>
      <c r="DF145" s="212" t="n"/>
      <c r="DG145" s="212" t="n"/>
      <c r="DH145" s="212" t="n"/>
      <c r="DI145" s="212" t="n"/>
      <c r="DJ145" s="212" t="n"/>
      <c r="DK145" s="212" t="n"/>
      <c r="DL145" s="212" t="n"/>
      <c r="DM145" s="212" t="n"/>
      <c r="DN145" s="212" t="n"/>
      <c r="DO145" s="212" t="n"/>
      <c r="DP145" s="212" t="n"/>
      <c r="DQ145" s="212" t="n"/>
      <c r="DR145" s="212" t="n"/>
      <c r="DS145" s="212" t="n"/>
      <c r="DT145" s="212" t="n"/>
      <c r="DU145" s="212" t="n"/>
      <c r="DV145" s="212" t="n"/>
      <c r="DW145" s="212" t="n"/>
      <c r="DX145" s="212" t="n"/>
      <c r="DY145" s="212" t="n"/>
      <c r="DZ145" s="212" t="n"/>
      <c r="EA145" s="212" t="n"/>
      <c r="EB145" s="212" t="n"/>
      <c r="EC145" s="212" t="n"/>
      <c r="ED145" s="212" t="n"/>
      <c r="EE145" s="212" t="n"/>
      <c r="EF145" s="212" t="n"/>
      <c r="EG145" s="212" t="n"/>
      <c r="EH145" s="212" t="n"/>
      <c r="EI145" s="212" t="n"/>
      <c r="EJ145" s="212" t="n"/>
      <c r="EK145" s="212" t="n"/>
      <c r="EL145" s="212" t="n"/>
      <c r="EM145" s="212" t="n"/>
      <c r="EN145" s="212" t="n"/>
      <c r="EO145" s="212" t="n"/>
      <c r="EP145" s="212" t="n"/>
      <c r="EQ145" s="212" t="n"/>
      <c r="ER145" s="212" t="n"/>
      <c r="ES145" s="212" t="n"/>
      <c r="ET145" s="212" t="n"/>
      <c r="EU145" s="212" t="n"/>
      <c r="EV145" s="212" t="n"/>
      <c r="EW145" s="212" t="n"/>
      <c r="EX145" s="212" t="n"/>
      <c r="EY145" s="212" t="n"/>
      <c r="EZ145" s="212" t="n"/>
      <c r="FA145" s="212" t="n"/>
      <c r="FB145" s="212" t="n"/>
      <c r="FC145" s="212" t="n"/>
      <c r="FD145" s="212" t="n"/>
      <c r="FE145" s="212" t="n"/>
      <c r="FF145" s="212" t="n"/>
      <c r="FG145" s="212" t="n"/>
      <c r="FH145" s="212" t="n"/>
      <c r="FI145" s="212" t="n"/>
      <c r="FJ145" s="212" t="n"/>
      <c r="FK145" s="212" t="n"/>
      <c r="FL145" s="212" t="n"/>
      <c r="FM145" s="212" t="n"/>
      <c r="FN145" s="212" t="n"/>
      <c r="FO145" s="212" t="n"/>
      <c r="FP145" s="212" t="n"/>
      <c r="FQ145" s="212" t="n"/>
      <c r="FR145" s="212" t="n"/>
      <c r="FS145" s="212" t="n"/>
      <c r="FT145" s="212" t="n"/>
      <c r="FU145" s="212" t="n"/>
      <c r="FV145" s="212" t="n"/>
      <c r="FW145" s="212" t="n"/>
      <c r="FX145" s="212" t="n"/>
      <c r="FY145" s="212" t="n"/>
      <c r="FZ145" s="212" t="n"/>
      <c r="GA145" s="212" t="n"/>
      <c r="GB145" s="212" t="n"/>
      <c r="GC145" s="212" t="n"/>
      <c r="GD145" s="212" t="n"/>
      <c r="GE145" s="212" t="n"/>
      <c r="GF145" s="212" t="n"/>
      <c r="GG145" s="212" t="n"/>
      <c r="GH145" s="212" t="n"/>
      <c r="GI145" s="212" t="n"/>
      <c r="GJ145" s="212" t="n"/>
      <c r="GK145" s="212" t="n"/>
      <c r="GL145" s="212" t="n"/>
      <c r="GM145" s="212" t="n"/>
      <c r="GN145" s="212" t="n"/>
      <c r="GO145" s="212" t="n"/>
      <c r="GP145" s="212" t="n"/>
      <c r="GQ145" s="212" t="n"/>
      <c r="GR145" s="212" t="n"/>
      <c r="GS145" s="212" t="n"/>
      <c r="GT145" s="212" t="n"/>
      <c r="GU145" s="212" t="n"/>
      <c r="GV145" s="212" t="n"/>
      <c r="GW145" s="212" t="n"/>
      <c r="GX145" s="212" t="n"/>
      <c r="GY145" s="212" t="n"/>
      <c r="GZ145" s="212" t="n"/>
      <c r="HA145" s="212" t="n"/>
      <c r="HB145" s="212" t="n"/>
      <c r="HC145" s="212" t="n"/>
      <c r="HD145" s="212" t="n"/>
      <c r="HE145" s="212" t="n"/>
      <c r="HF145" s="212" t="n"/>
      <c r="HG145" s="212" t="n"/>
      <c r="HH145" s="212" t="n"/>
      <c r="HI145" s="212" t="n"/>
      <c r="HJ145" s="212" t="n"/>
      <c r="HK145" s="212" t="n"/>
      <c r="HL145" s="212" t="n"/>
      <c r="HM145" s="212" t="n"/>
      <c r="HN145" s="212" t="n"/>
      <c r="HO145" s="212" t="n"/>
      <c r="HP145" s="212" t="n"/>
      <c r="HQ145" s="212" t="n"/>
      <c r="HR145" s="212" t="n"/>
      <c r="HS145" s="212" t="n"/>
      <c r="HT145" s="212" t="n"/>
      <c r="HU145" s="212" t="n"/>
      <c r="HV145" s="212" t="n"/>
      <c r="HW145" s="212" t="n"/>
      <c r="HX145" s="212" t="n"/>
      <c r="HY145" s="212" t="n"/>
      <c r="HZ145" s="212" t="n"/>
      <c r="IA145" s="212" t="n"/>
      <c r="IB145" s="212" t="n"/>
      <c r="IC145" s="212" t="n"/>
      <c r="ID145" s="212" t="n"/>
      <c r="IE145" s="212" t="n"/>
      <c r="IF145" s="212" t="n"/>
      <c r="IG145" s="212" t="n"/>
      <c r="IH145" s="212" t="n"/>
      <c r="II145" s="212" t="n"/>
      <c r="IJ145" s="212" t="n"/>
      <c r="IK145" s="212" t="n"/>
      <c r="IL145" s="212" t="n"/>
      <c r="IM145" s="212" t="n"/>
      <c r="IN145" s="212" t="n"/>
      <c r="IO145" s="212" t="n"/>
      <c r="IP145" s="212" t="n"/>
      <c r="IQ145" s="212" t="n"/>
      <c r="IR145" s="212" t="n"/>
      <c r="IS145" s="212" t="n"/>
      <c r="IT145" s="212" t="n"/>
      <c r="IU145" s="212" t="n"/>
      <c r="IV145" s="212" t="n"/>
      <c r="IW145" s="212" t="n"/>
      <c r="IX145" s="212" t="n"/>
      <c r="IY145" s="212" t="n"/>
      <c r="IZ145" s="212" t="n"/>
      <c r="JA145" s="212" t="n"/>
      <c r="JB145" s="212" t="n"/>
      <c r="JC145" s="212" t="n"/>
      <c r="JD145" s="212" t="n"/>
      <c r="JE145" s="212" t="n"/>
      <c r="JF145" s="212" t="n"/>
      <c r="JG145" s="212" t="n"/>
      <c r="JH145" s="212" t="n"/>
      <c r="JI145" s="212" t="n"/>
      <c r="JJ145" s="212" t="n"/>
      <c r="JK145" s="212" t="n"/>
      <c r="JL145" s="212" t="n"/>
      <c r="JM145" s="212" t="n"/>
      <c r="JN145" s="212" t="n"/>
      <c r="JO145" s="212" t="n"/>
      <c r="JP145" s="212" t="n"/>
      <c r="JQ145" s="212" t="n"/>
      <c r="JR145" s="212" t="n"/>
      <c r="JS145" s="212" t="n"/>
      <c r="JT145" s="212" t="n"/>
      <c r="JU145" s="212" t="n"/>
      <c r="JV145" s="212" t="n"/>
      <c r="JW145" s="212" t="n"/>
      <c r="JX145" s="212" t="n"/>
      <c r="JY145" s="212" t="n"/>
      <c r="JZ145" s="212" t="n"/>
      <c r="KA145" s="212" t="n"/>
      <c r="KB145" s="212" t="n"/>
      <c r="KC145" s="212" t="n"/>
      <c r="KD145" s="212" t="n"/>
      <c r="KE145" s="212" t="n"/>
      <c r="KF145" s="212" t="n"/>
      <c r="KG145" s="212" t="n"/>
      <c r="KH145" s="212" t="n"/>
      <c r="KI145" s="212" t="n"/>
      <c r="KJ145" s="212" t="n"/>
      <c r="KK145" s="212" t="n"/>
      <c r="KL145" s="212" t="n"/>
      <c r="KM145" s="212" t="n"/>
      <c r="KN145" s="212" t="n"/>
      <c r="KO145" s="212" t="n"/>
      <c r="KP145" s="212" t="n"/>
      <c r="KQ145" s="212" t="n"/>
      <c r="KR145" s="212" t="n"/>
      <c r="KS145" s="212" t="n"/>
      <c r="KT145" s="212" t="n"/>
      <c r="KU145" s="212" t="n"/>
      <c r="KV145" s="212" t="n"/>
      <c r="KW145" s="212" t="n"/>
      <c r="KX145" s="212" t="n"/>
      <c r="KY145" s="212" t="n"/>
      <c r="KZ145" s="212" t="n"/>
      <c r="LA145" s="212" t="n"/>
      <c r="LB145" s="212" t="n"/>
      <c r="LC145" s="212" t="n"/>
      <c r="LD145" s="212" t="n"/>
      <c r="LE145" s="212" t="n"/>
      <c r="LF145" s="212" t="n"/>
      <c r="LG145" s="212" t="n"/>
      <c r="LH145" s="212" t="n"/>
      <c r="LI145" s="212" t="n"/>
      <c r="LJ145" s="212" t="n"/>
      <c r="LK145" s="212" t="n"/>
      <c r="LL145" s="212" t="n"/>
      <c r="LM145" s="212" t="n"/>
      <c r="LN145" s="212" t="n"/>
      <c r="LO145" s="212" t="n"/>
      <c r="LP145" s="212" t="n"/>
      <c r="LQ145" s="212" t="n"/>
      <c r="LR145" s="212" t="n"/>
      <c r="LS145" s="212" t="n"/>
      <c r="LT145" s="212" t="n"/>
      <c r="LU145" s="212" t="n"/>
      <c r="LV145" s="212" t="n"/>
      <c r="LW145" s="212" t="n"/>
      <c r="LX145" s="212" t="n"/>
      <c r="LY145" s="212" t="n"/>
      <c r="LZ145" s="212" t="n"/>
      <c r="MA145" s="212" t="n"/>
      <c r="MB145" s="212" t="n"/>
      <c r="MC145" s="212" t="n"/>
      <c r="MD145" s="212" t="n"/>
      <c r="ME145" s="212" t="n"/>
      <c r="MF145" s="212" t="n"/>
      <c r="MG145" s="212" t="n"/>
      <c r="MH145" s="212" t="n"/>
      <c r="MI145" s="212" t="n"/>
      <c r="MJ145" s="212" t="n"/>
      <c r="MK145" s="212" t="n"/>
      <c r="ML145" s="212" t="n"/>
      <c r="MM145" s="212" t="n"/>
      <c r="MN145" s="212" t="n"/>
      <c r="MO145" s="212" t="n"/>
      <c r="MP145" s="212" t="n"/>
      <c r="MQ145" s="212" t="n"/>
      <c r="MR145" s="212" t="n"/>
      <c r="MS145" s="212" t="n"/>
      <c r="MT145" s="212" t="n"/>
      <c r="MU145" s="212" t="n"/>
      <c r="MV145" s="212" t="n"/>
      <c r="MW145" s="212" t="n"/>
      <c r="MX145" s="212" t="n"/>
      <c r="MY145" s="212" t="n"/>
      <c r="MZ145" s="212" t="n"/>
      <c r="NA145" s="212" t="n"/>
      <c r="NB145" s="212" t="n"/>
      <c r="NC145" s="212" t="n"/>
      <c r="ND145" s="212" t="n"/>
      <c r="NE145" s="212" t="n"/>
      <c r="NF145" s="212" t="n"/>
      <c r="NG145" s="212" t="n"/>
      <c r="NH145" s="212" t="n"/>
      <c r="NI145" s="212" t="n"/>
      <c r="NJ145" s="212" t="n"/>
      <c r="NK145" s="212" t="n"/>
      <c r="NL145" s="212" t="n"/>
      <c r="NM145" s="212" t="n"/>
      <c r="NN145" s="212" t="n"/>
      <c r="NO145" s="212" t="n"/>
      <c r="NP145" s="212" t="n"/>
      <c r="NQ145" s="212" t="n"/>
      <c r="NR145" s="212" t="n"/>
      <c r="NS145" s="212" t="n"/>
      <c r="NT145" s="212" t="n"/>
      <c r="NU145" s="212" t="n"/>
      <c r="NV145" s="212" t="n"/>
      <c r="NW145" s="212" t="n"/>
      <c r="NX145" s="212" t="n"/>
      <c r="NY145" s="212" t="n"/>
      <c r="NZ145" s="212" t="n"/>
      <c r="OA145" s="212" t="n"/>
      <c r="OB145" s="212" t="n"/>
      <c r="OC145" s="212" t="n"/>
      <c r="OD145" s="212" t="n"/>
      <c r="OE145" s="212" t="n"/>
      <c r="OF145" s="212" t="n"/>
      <c r="OG145" s="212" t="n"/>
      <c r="OH145" s="212" t="n"/>
      <c r="OI145" s="212" t="n"/>
      <c r="OJ145" s="212" t="n"/>
      <c r="OK145" s="212" t="n"/>
      <c r="OL145" s="212" t="n"/>
      <c r="OM145" s="212" t="n"/>
      <c r="ON145" s="212" t="n"/>
      <c r="OO145" s="212" t="n"/>
      <c r="OP145" s="212" t="n"/>
      <c r="OQ145" s="212" t="n"/>
      <c r="OR145" s="212" t="n"/>
      <c r="OS145" s="212" t="n"/>
      <c r="OT145" s="212" t="n"/>
      <c r="OU145" s="212" t="n"/>
      <c r="OV145" s="212" t="n"/>
      <c r="OW145" s="212" t="n"/>
      <c r="OX145" s="212" t="n"/>
      <c r="OY145" s="212" t="n"/>
      <c r="OZ145" s="212" t="n"/>
      <c r="PA145" s="212" t="n"/>
      <c r="PB145" s="212" t="n"/>
      <c r="PC145" s="212" t="n"/>
      <c r="PD145" s="212" t="n"/>
      <c r="PE145" s="212" t="n"/>
      <c r="PF145" s="212" t="n"/>
      <c r="PG145" s="212" t="n"/>
      <c r="PH145" s="212" t="n"/>
      <c r="PI145" s="212" t="n"/>
      <c r="PJ145" s="212" t="n"/>
      <c r="PK145" s="212" t="n"/>
      <c r="PL145" s="212" t="n"/>
      <c r="PM145" s="212" t="n"/>
      <c r="PN145" s="212" t="n"/>
      <c r="PO145" s="212" t="n"/>
      <c r="PP145" s="212" t="n"/>
      <c r="PQ145" s="212" t="n"/>
      <c r="PR145" s="212" t="n"/>
      <c r="PS145" s="212" t="n"/>
      <c r="PT145" s="212" t="n"/>
      <c r="PU145" s="212" t="n"/>
      <c r="PV145" s="212" t="n"/>
      <c r="PW145" s="212" t="n"/>
      <c r="PX145" s="212" t="n"/>
      <c r="PY145" s="212" t="n"/>
      <c r="PZ145" s="212" t="n"/>
      <c r="QA145" s="212" t="n"/>
      <c r="QB145" s="212" t="n"/>
      <c r="QC145" s="212" t="n"/>
      <c r="QD145" s="212" t="n"/>
      <c r="QE145" s="212" t="n"/>
      <c r="QF145" s="212" t="n"/>
      <c r="QG145" s="212" t="n"/>
      <c r="QH145" s="212" t="n"/>
      <c r="QI145" s="212" t="n"/>
      <c r="QJ145" s="212" t="n"/>
      <c r="QK145" s="212" t="n"/>
      <c r="QL145" s="212" t="n"/>
      <c r="QM145" s="212" t="n"/>
      <c r="QN145" s="212" t="n"/>
      <c r="QO145" s="212" t="n"/>
      <c r="QP145" s="212" t="n"/>
      <c r="QQ145" s="212" t="n"/>
      <c r="QR145" s="212" t="n"/>
      <c r="QS145" s="212" t="n"/>
      <c r="QT145" s="212" t="n"/>
      <c r="QU145" s="212" t="n"/>
      <c r="QV145" s="212" t="n"/>
      <c r="QW145" s="212" t="n"/>
      <c r="QX145" s="212" t="n"/>
      <c r="QY145" s="212" t="n"/>
      <c r="QZ145" s="212" t="n"/>
      <c r="RA145" s="212" t="n"/>
      <c r="RB145" s="212" t="n"/>
      <c r="RC145" s="212" t="n"/>
      <c r="RD145" s="212" t="n"/>
      <c r="RE145" s="212" t="n"/>
      <c r="RF145" s="212" t="n"/>
      <c r="RG145" s="212" t="n"/>
      <c r="RH145" s="212" t="n"/>
      <c r="RI145" s="212" t="n"/>
      <c r="RJ145" s="212" t="n"/>
      <c r="RK145" s="212" t="n"/>
      <c r="RL145" s="212" t="n"/>
      <c r="RM145" s="212" t="n"/>
      <c r="RN145" s="212" t="n"/>
      <c r="RO145" s="212" t="n"/>
      <c r="RP145" s="212" t="n"/>
      <c r="RQ145" s="212" t="n"/>
      <c r="RR145" s="212" t="n"/>
      <c r="RS145" s="212" t="n"/>
      <c r="RT145" s="212" t="n"/>
      <c r="RU145" s="212" t="n"/>
      <c r="RV145" s="212" t="n"/>
      <c r="RW145" s="212" t="n"/>
      <c r="RX145" s="212" t="n"/>
      <c r="RY145" s="212" t="n"/>
      <c r="RZ145" s="212" t="n"/>
      <c r="SA145" s="212" t="n"/>
      <c r="SB145" s="212" t="n"/>
      <c r="SC145" s="212" t="n"/>
      <c r="SD145" s="212" t="n"/>
      <c r="SE145" s="212" t="n"/>
      <c r="SF145" s="212" t="n"/>
      <c r="SG145" s="212" t="n"/>
      <c r="SH145" s="212" t="n"/>
      <c r="SI145" s="212" t="n"/>
      <c r="SJ145" s="212" t="n"/>
      <c r="SK145" s="212" t="n"/>
      <c r="SL145" s="212" t="n"/>
      <c r="SM145" s="212" t="n"/>
      <c r="SN145" s="212" t="n"/>
      <c r="SO145" s="212" t="n"/>
      <c r="SP145" s="212" t="n"/>
      <c r="SQ145" s="212" t="n"/>
      <c r="SR145" s="212" t="n"/>
      <c r="SS145" s="212" t="n"/>
      <c r="ST145" s="212" t="n"/>
      <c r="SU145" s="212" t="n"/>
      <c r="SV145" s="212" t="n"/>
    </row>
    <row r="146">
      <c r="B146" s="209" t="n"/>
      <c r="C146" s="209" t="n"/>
      <c r="D146" s="209" t="n"/>
      <c r="E146" s="209" t="n"/>
      <c r="F146" s="209">
        <f>IF(TRIM(D146&amp;E146)="","",TRIM(D146)&amp;" "&amp;TRIM(E146))</f>
        <v/>
      </c>
      <c r="G146" s="209" t="n"/>
      <c r="H146" s="209" t="n"/>
      <c r="I146" s="209" t="n"/>
      <c r="J146" s="209" t="n"/>
      <c r="K146" s="209" t="n"/>
      <c r="L146" s="209" t="n"/>
      <c r="M146" s="209" t="n"/>
      <c r="N146" s="209" t="n"/>
      <c r="O146" s="209" t="n"/>
      <c r="P146" s="209" t="n"/>
      <c r="Q146" s="209" t="n"/>
      <c r="R146" s="209" t="n"/>
      <c r="S146" s="212" t="n"/>
      <c r="T146" s="212" t="n"/>
      <c r="U146" s="212" t="n"/>
      <c r="V146" s="212" t="n"/>
      <c r="W146" s="212" t="n"/>
      <c r="X146" s="212" t="n"/>
      <c r="Y146" s="212" t="n"/>
      <c r="Z146" s="212" t="n"/>
      <c r="AA146" s="212" t="n"/>
      <c r="AB146" s="212" t="n"/>
      <c r="AC146" s="212" t="n"/>
      <c r="AD146" s="212" t="n"/>
      <c r="AE146" s="212" t="n"/>
      <c r="AF146" s="212" t="n"/>
      <c r="AG146" s="212" t="n"/>
      <c r="AH146" s="212" t="n"/>
      <c r="AI146" s="212" t="n"/>
      <c r="AJ146" s="212" t="n"/>
      <c r="AK146" s="212" t="n"/>
      <c r="AL146" s="212" t="n"/>
      <c r="AM146" s="212" t="n"/>
      <c r="AN146" s="212" t="n"/>
      <c r="AO146" s="212" t="n"/>
      <c r="AP146" s="212" t="n"/>
      <c r="AQ146" s="212" t="n"/>
      <c r="AR146" s="212" t="n"/>
      <c r="AS146" s="212" t="n"/>
      <c r="AT146" s="212" t="n"/>
      <c r="AU146" s="212" t="n"/>
      <c r="AV146" s="212" t="n"/>
      <c r="AW146" s="212" t="n"/>
      <c r="AX146" s="212" t="n"/>
      <c r="AY146" s="212" t="n"/>
      <c r="AZ146" s="212" t="n"/>
      <c r="BA146" s="212" t="n"/>
      <c r="BB146" s="212" t="n"/>
      <c r="BC146" s="212" t="n"/>
      <c r="BD146" s="212" t="n"/>
      <c r="BE146" s="212" t="n"/>
      <c r="BF146" s="212" t="n"/>
      <c r="BG146" s="212" t="n"/>
      <c r="BH146" s="212" t="n"/>
      <c r="BI146" s="212" t="n"/>
      <c r="BJ146" s="212" t="n"/>
      <c r="BK146" s="212" t="n"/>
      <c r="BL146" s="212" t="n"/>
      <c r="BM146" s="212" t="n"/>
      <c r="BN146" s="212" t="n"/>
      <c r="BO146" s="212" t="n"/>
      <c r="BP146" s="212" t="n"/>
      <c r="BQ146" s="212" t="n"/>
      <c r="BR146" s="212" t="n"/>
      <c r="BS146" s="212" t="n"/>
      <c r="BT146" s="212" t="n"/>
      <c r="BU146" s="212" t="n"/>
      <c r="BV146" s="212" t="n"/>
      <c r="BW146" s="212" t="n"/>
      <c r="BX146" s="212" t="n"/>
      <c r="BY146" s="212" t="n"/>
      <c r="BZ146" s="212" t="n"/>
      <c r="CA146" s="212" t="n"/>
      <c r="CB146" s="212" t="n"/>
      <c r="CC146" s="212" t="n"/>
      <c r="CD146" s="212" t="n"/>
      <c r="CE146" s="212" t="n"/>
      <c r="CF146" s="212" t="n"/>
      <c r="CG146" s="212" t="n"/>
      <c r="CH146" s="212" t="n"/>
      <c r="CI146" s="212" t="n"/>
      <c r="CJ146" s="212" t="n"/>
      <c r="CK146" s="212" t="n"/>
      <c r="CL146" s="212" t="n"/>
      <c r="CM146" s="212" t="n"/>
      <c r="CN146" s="212" t="n"/>
      <c r="CO146" s="212" t="n"/>
      <c r="CP146" s="212" t="n"/>
      <c r="CQ146" s="212" t="n"/>
      <c r="CR146" s="212" t="n"/>
      <c r="CS146" s="212" t="n"/>
      <c r="CT146" s="212" t="n"/>
      <c r="CU146" s="212" t="n"/>
      <c r="CV146" s="212" t="n"/>
      <c r="CW146" s="212" t="n"/>
      <c r="CX146" s="212" t="n"/>
      <c r="CY146" s="212" t="n"/>
      <c r="CZ146" s="212" t="n"/>
      <c r="DA146" s="212" t="n"/>
      <c r="DB146" s="212" t="n"/>
      <c r="DC146" s="212" t="n"/>
      <c r="DD146" s="212" t="n"/>
      <c r="DE146" s="212" t="n"/>
      <c r="DF146" s="212" t="n"/>
      <c r="DG146" s="212" t="n"/>
      <c r="DH146" s="212" t="n"/>
      <c r="DI146" s="212" t="n"/>
      <c r="DJ146" s="212" t="n"/>
      <c r="DK146" s="212" t="n"/>
      <c r="DL146" s="212" t="n"/>
      <c r="DM146" s="212" t="n"/>
      <c r="DN146" s="212" t="n"/>
      <c r="DO146" s="212" t="n"/>
      <c r="DP146" s="212" t="n"/>
      <c r="DQ146" s="212" t="n"/>
      <c r="DR146" s="212" t="n"/>
      <c r="DS146" s="212" t="n"/>
      <c r="DT146" s="212" t="n"/>
      <c r="DU146" s="212" t="n"/>
      <c r="DV146" s="212" t="n"/>
      <c r="DW146" s="212" t="n"/>
      <c r="DX146" s="212" t="n"/>
      <c r="DY146" s="212" t="n"/>
      <c r="DZ146" s="212" t="n"/>
      <c r="EA146" s="212" t="n"/>
      <c r="EB146" s="212" t="n"/>
      <c r="EC146" s="212" t="n"/>
      <c r="ED146" s="212" t="n"/>
      <c r="EE146" s="212" t="n"/>
      <c r="EF146" s="212" t="n"/>
      <c r="EG146" s="212" t="n"/>
      <c r="EH146" s="212" t="n"/>
      <c r="EI146" s="212" t="n"/>
      <c r="EJ146" s="212" t="n"/>
      <c r="EK146" s="212" t="n"/>
      <c r="EL146" s="212" t="n"/>
      <c r="EM146" s="212" t="n"/>
      <c r="EN146" s="212" t="n"/>
      <c r="EO146" s="212" t="n"/>
      <c r="EP146" s="212" t="n"/>
      <c r="EQ146" s="212" t="n"/>
      <c r="ER146" s="212" t="n"/>
      <c r="ES146" s="212" t="n"/>
      <c r="ET146" s="212" t="n"/>
      <c r="EU146" s="212" t="n"/>
      <c r="EV146" s="212" t="n"/>
      <c r="EW146" s="212" t="n"/>
      <c r="EX146" s="212" t="n"/>
      <c r="EY146" s="212" t="n"/>
      <c r="EZ146" s="212" t="n"/>
      <c r="FA146" s="212" t="n"/>
      <c r="FB146" s="212" t="n"/>
      <c r="FC146" s="212" t="n"/>
      <c r="FD146" s="212" t="n"/>
      <c r="FE146" s="212" t="n"/>
      <c r="FF146" s="212" t="n"/>
      <c r="FG146" s="212" t="n"/>
      <c r="FH146" s="212" t="n"/>
      <c r="FI146" s="212" t="n"/>
      <c r="FJ146" s="212" t="n"/>
      <c r="FK146" s="212" t="n"/>
      <c r="FL146" s="212" t="n"/>
      <c r="FM146" s="212" t="n"/>
      <c r="FN146" s="212" t="n"/>
      <c r="FO146" s="212" t="n"/>
      <c r="FP146" s="212" t="n"/>
      <c r="FQ146" s="212" t="n"/>
      <c r="FR146" s="212" t="n"/>
      <c r="FS146" s="212" t="n"/>
      <c r="FT146" s="212" t="n"/>
      <c r="FU146" s="212" t="n"/>
      <c r="FV146" s="212" t="n"/>
      <c r="FW146" s="212" t="n"/>
      <c r="FX146" s="212" t="n"/>
      <c r="FY146" s="212" t="n"/>
      <c r="FZ146" s="212" t="n"/>
      <c r="GA146" s="212" t="n"/>
      <c r="GB146" s="212" t="n"/>
      <c r="GC146" s="212" t="n"/>
      <c r="GD146" s="212" t="n"/>
      <c r="GE146" s="212" t="n"/>
      <c r="GF146" s="212" t="n"/>
      <c r="GG146" s="212" t="n"/>
      <c r="GH146" s="212" t="n"/>
      <c r="GI146" s="212" t="n"/>
      <c r="GJ146" s="212" t="n"/>
      <c r="GK146" s="212" t="n"/>
      <c r="GL146" s="212" t="n"/>
      <c r="GM146" s="212" t="n"/>
      <c r="GN146" s="212" t="n"/>
      <c r="GO146" s="212" t="n"/>
      <c r="GP146" s="212" t="n"/>
      <c r="GQ146" s="212" t="n"/>
      <c r="GR146" s="212" t="n"/>
      <c r="GS146" s="212" t="n"/>
      <c r="GT146" s="212" t="n"/>
      <c r="GU146" s="212" t="n"/>
      <c r="GV146" s="212" t="n"/>
      <c r="GW146" s="212" t="n"/>
      <c r="GX146" s="212" t="n"/>
      <c r="GY146" s="212" t="n"/>
      <c r="GZ146" s="212" t="n"/>
      <c r="HA146" s="212" t="n"/>
      <c r="HB146" s="212" t="n"/>
      <c r="HC146" s="212" t="n"/>
      <c r="HD146" s="212" t="n"/>
      <c r="HE146" s="212" t="n"/>
      <c r="HF146" s="212" t="n"/>
      <c r="HG146" s="212" t="n"/>
      <c r="HH146" s="212" t="n"/>
      <c r="HI146" s="212" t="n"/>
      <c r="HJ146" s="212" t="n"/>
      <c r="HK146" s="212" t="n"/>
      <c r="HL146" s="212" t="n"/>
      <c r="HM146" s="212" t="n"/>
      <c r="HN146" s="212" t="n"/>
      <c r="HO146" s="212" t="n"/>
      <c r="HP146" s="212" t="n"/>
      <c r="HQ146" s="212" t="n"/>
      <c r="HR146" s="212" t="n"/>
      <c r="HS146" s="212" t="n"/>
      <c r="HT146" s="212" t="n"/>
      <c r="HU146" s="212" t="n"/>
      <c r="HV146" s="212" t="n"/>
      <c r="HW146" s="212" t="n"/>
      <c r="HX146" s="212" t="n"/>
      <c r="HY146" s="212" t="n"/>
      <c r="HZ146" s="212" t="n"/>
      <c r="IA146" s="212" t="n"/>
      <c r="IB146" s="212" t="n"/>
      <c r="IC146" s="212" t="n"/>
      <c r="ID146" s="212" t="n"/>
      <c r="IE146" s="212" t="n"/>
      <c r="IF146" s="212" t="n"/>
      <c r="IG146" s="212" t="n"/>
      <c r="IH146" s="212" t="n"/>
      <c r="II146" s="212" t="n"/>
      <c r="IJ146" s="212" t="n"/>
      <c r="IK146" s="212" t="n"/>
      <c r="IL146" s="212" t="n"/>
      <c r="IM146" s="212" t="n"/>
      <c r="IN146" s="212" t="n"/>
      <c r="IO146" s="212" t="n"/>
      <c r="IP146" s="212" t="n"/>
      <c r="IQ146" s="212" t="n"/>
      <c r="IR146" s="212" t="n"/>
      <c r="IS146" s="212" t="n"/>
      <c r="IT146" s="212" t="n"/>
      <c r="IU146" s="212" t="n"/>
      <c r="IV146" s="212" t="n"/>
      <c r="IW146" s="212" t="n"/>
      <c r="IX146" s="212" t="n"/>
      <c r="IY146" s="212" t="n"/>
      <c r="IZ146" s="212" t="n"/>
      <c r="JA146" s="212" t="n"/>
      <c r="JB146" s="212" t="n"/>
      <c r="JC146" s="212" t="n"/>
      <c r="JD146" s="212" t="n"/>
      <c r="JE146" s="212" t="n"/>
      <c r="JF146" s="212" t="n"/>
      <c r="JG146" s="212" t="n"/>
      <c r="JH146" s="212" t="n"/>
      <c r="JI146" s="212" t="n"/>
      <c r="JJ146" s="212" t="n"/>
      <c r="JK146" s="212" t="n"/>
      <c r="JL146" s="212" t="n"/>
      <c r="JM146" s="212" t="n"/>
      <c r="JN146" s="212" t="n"/>
      <c r="JO146" s="212" t="n"/>
      <c r="JP146" s="212" t="n"/>
      <c r="JQ146" s="212" t="n"/>
      <c r="JR146" s="212" t="n"/>
      <c r="JS146" s="212" t="n"/>
      <c r="JT146" s="212" t="n"/>
      <c r="JU146" s="212" t="n"/>
      <c r="JV146" s="212" t="n"/>
      <c r="JW146" s="212" t="n"/>
      <c r="JX146" s="212" t="n"/>
      <c r="JY146" s="212" t="n"/>
      <c r="JZ146" s="212" t="n"/>
      <c r="KA146" s="212" t="n"/>
      <c r="KB146" s="212" t="n"/>
      <c r="KC146" s="212" t="n"/>
      <c r="KD146" s="212" t="n"/>
      <c r="KE146" s="212" t="n"/>
      <c r="KF146" s="212" t="n"/>
      <c r="KG146" s="212" t="n"/>
      <c r="KH146" s="212" t="n"/>
      <c r="KI146" s="212" t="n"/>
      <c r="KJ146" s="212" t="n"/>
      <c r="KK146" s="212" t="n"/>
      <c r="KL146" s="212" t="n"/>
      <c r="KM146" s="212" t="n"/>
      <c r="KN146" s="212" t="n"/>
      <c r="KO146" s="212" t="n"/>
      <c r="KP146" s="212" t="n"/>
      <c r="KQ146" s="212" t="n"/>
      <c r="KR146" s="212" t="n"/>
      <c r="KS146" s="212" t="n"/>
      <c r="KT146" s="212" t="n"/>
      <c r="KU146" s="212" t="n"/>
      <c r="KV146" s="212" t="n"/>
      <c r="KW146" s="212" t="n"/>
      <c r="KX146" s="212" t="n"/>
      <c r="KY146" s="212" t="n"/>
      <c r="KZ146" s="212" t="n"/>
      <c r="LA146" s="212" t="n"/>
      <c r="LB146" s="212" t="n"/>
      <c r="LC146" s="212" t="n"/>
      <c r="LD146" s="212" t="n"/>
      <c r="LE146" s="212" t="n"/>
      <c r="LF146" s="212" t="n"/>
      <c r="LG146" s="212" t="n"/>
      <c r="LH146" s="212" t="n"/>
      <c r="LI146" s="212" t="n"/>
      <c r="LJ146" s="212" t="n"/>
      <c r="LK146" s="212" t="n"/>
      <c r="LL146" s="212" t="n"/>
      <c r="LM146" s="212" t="n"/>
      <c r="LN146" s="212" t="n"/>
      <c r="LO146" s="212" t="n"/>
      <c r="LP146" s="212" t="n"/>
      <c r="LQ146" s="212" t="n"/>
      <c r="LR146" s="212" t="n"/>
      <c r="LS146" s="212" t="n"/>
      <c r="LT146" s="212" t="n"/>
      <c r="LU146" s="212" t="n"/>
      <c r="LV146" s="212" t="n"/>
      <c r="LW146" s="212" t="n"/>
      <c r="LX146" s="212" t="n"/>
      <c r="LY146" s="212" t="n"/>
      <c r="LZ146" s="212" t="n"/>
      <c r="MA146" s="212" t="n"/>
      <c r="MB146" s="212" t="n"/>
      <c r="MC146" s="212" t="n"/>
      <c r="MD146" s="212" t="n"/>
      <c r="ME146" s="212" t="n"/>
      <c r="MF146" s="212" t="n"/>
      <c r="MG146" s="212" t="n"/>
      <c r="MH146" s="212" t="n"/>
      <c r="MI146" s="212" t="n"/>
      <c r="MJ146" s="212" t="n"/>
      <c r="MK146" s="212" t="n"/>
      <c r="ML146" s="212" t="n"/>
      <c r="MM146" s="212" t="n"/>
      <c r="MN146" s="212" t="n"/>
      <c r="MO146" s="212" t="n"/>
      <c r="MP146" s="212" t="n"/>
      <c r="MQ146" s="212" t="n"/>
      <c r="MR146" s="212" t="n"/>
      <c r="MS146" s="212" t="n"/>
      <c r="MT146" s="212" t="n"/>
      <c r="MU146" s="212" t="n"/>
      <c r="MV146" s="212" t="n"/>
      <c r="MW146" s="212" t="n"/>
      <c r="MX146" s="212" t="n"/>
      <c r="MY146" s="212" t="n"/>
      <c r="MZ146" s="212" t="n"/>
      <c r="NA146" s="212" t="n"/>
      <c r="NB146" s="212" t="n"/>
      <c r="NC146" s="212" t="n"/>
      <c r="ND146" s="212" t="n"/>
      <c r="NE146" s="212" t="n"/>
      <c r="NF146" s="212" t="n"/>
      <c r="NG146" s="212" t="n"/>
      <c r="NH146" s="212" t="n"/>
      <c r="NI146" s="212" t="n"/>
      <c r="NJ146" s="212" t="n"/>
      <c r="NK146" s="212" t="n"/>
      <c r="NL146" s="212" t="n"/>
      <c r="NM146" s="212" t="n"/>
      <c r="NN146" s="212" t="n"/>
      <c r="NO146" s="212" t="n"/>
      <c r="NP146" s="212" t="n"/>
      <c r="NQ146" s="212" t="n"/>
      <c r="NR146" s="212" t="n"/>
      <c r="NS146" s="212" t="n"/>
      <c r="NT146" s="212" t="n"/>
      <c r="NU146" s="212" t="n"/>
      <c r="NV146" s="212" t="n"/>
      <c r="NW146" s="212" t="n"/>
      <c r="NX146" s="212" t="n"/>
      <c r="NY146" s="212" t="n"/>
      <c r="NZ146" s="212" t="n"/>
      <c r="OA146" s="212" t="n"/>
      <c r="OB146" s="212" t="n"/>
      <c r="OC146" s="212" t="n"/>
      <c r="OD146" s="212" t="n"/>
      <c r="OE146" s="212" t="n"/>
      <c r="OF146" s="212" t="n"/>
      <c r="OG146" s="212" t="n"/>
      <c r="OH146" s="212" t="n"/>
      <c r="OI146" s="212" t="n"/>
      <c r="OJ146" s="212" t="n"/>
      <c r="OK146" s="212" t="n"/>
      <c r="OL146" s="212" t="n"/>
      <c r="OM146" s="212" t="n"/>
      <c r="ON146" s="212" t="n"/>
      <c r="OO146" s="212" t="n"/>
      <c r="OP146" s="212" t="n"/>
      <c r="OQ146" s="212" t="n"/>
      <c r="OR146" s="212" t="n"/>
      <c r="OS146" s="212" t="n"/>
      <c r="OT146" s="212" t="n"/>
      <c r="OU146" s="212" t="n"/>
      <c r="OV146" s="212" t="n"/>
      <c r="OW146" s="212" t="n"/>
      <c r="OX146" s="212" t="n"/>
      <c r="OY146" s="212" t="n"/>
      <c r="OZ146" s="212" t="n"/>
      <c r="PA146" s="212" t="n"/>
      <c r="PB146" s="212" t="n"/>
      <c r="PC146" s="212" t="n"/>
      <c r="PD146" s="212" t="n"/>
      <c r="PE146" s="212" t="n"/>
      <c r="PF146" s="212" t="n"/>
      <c r="PG146" s="212" t="n"/>
      <c r="PH146" s="212" t="n"/>
      <c r="PI146" s="212" t="n"/>
      <c r="PJ146" s="212" t="n"/>
      <c r="PK146" s="212" t="n"/>
      <c r="PL146" s="212" t="n"/>
      <c r="PM146" s="212" t="n"/>
      <c r="PN146" s="212" t="n"/>
      <c r="PO146" s="212" t="n"/>
      <c r="PP146" s="212" t="n"/>
      <c r="PQ146" s="212" t="n"/>
      <c r="PR146" s="212" t="n"/>
      <c r="PS146" s="212" t="n"/>
      <c r="PT146" s="212" t="n"/>
      <c r="PU146" s="212" t="n"/>
      <c r="PV146" s="212" t="n"/>
      <c r="PW146" s="212" t="n"/>
      <c r="PX146" s="212" t="n"/>
      <c r="PY146" s="212" t="n"/>
      <c r="PZ146" s="212" t="n"/>
      <c r="QA146" s="212" t="n"/>
      <c r="QB146" s="212" t="n"/>
      <c r="QC146" s="212" t="n"/>
      <c r="QD146" s="212" t="n"/>
      <c r="QE146" s="212" t="n"/>
      <c r="QF146" s="212" t="n"/>
      <c r="QG146" s="212" t="n"/>
      <c r="QH146" s="212" t="n"/>
      <c r="QI146" s="212" t="n"/>
      <c r="QJ146" s="212" t="n"/>
      <c r="QK146" s="212" t="n"/>
      <c r="QL146" s="212" t="n"/>
      <c r="QM146" s="212" t="n"/>
      <c r="QN146" s="212" t="n"/>
      <c r="QO146" s="212" t="n"/>
      <c r="QP146" s="212" t="n"/>
      <c r="QQ146" s="212" t="n"/>
      <c r="QR146" s="212" t="n"/>
      <c r="QS146" s="212" t="n"/>
      <c r="QT146" s="212" t="n"/>
      <c r="QU146" s="212" t="n"/>
      <c r="QV146" s="212" t="n"/>
      <c r="QW146" s="212" t="n"/>
      <c r="QX146" s="212" t="n"/>
      <c r="QY146" s="212" t="n"/>
      <c r="QZ146" s="212" t="n"/>
      <c r="RA146" s="212" t="n"/>
      <c r="RB146" s="212" t="n"/>
      <c r="RC146" s="212" t="n"/>
      <c r="RD146" s="212" t="n"/>
      <c r="RE146" s="212" t="n"/>
      <c r="RF146" s="212" t="n"/>
      <c r="RG146" s="212" t="n"/>
      <c r="RH146" s="212" t="n"/>
      <c r="RI146" s="212" t="n"/>
      <c r="RJ146" s="212" t="n"/>
      <c r="RK146" s="212" t="n"/>
      <c r="RL146" s="212" t="n"/>
      <c r="RM146" s="212" t="n"/>
      <c r="RN146" s="212" t="n"/>
      <c r="RO146" s="212" t="n"/>
      <c r="RP146" s="212" t="n"/>
      <c r="RQ146" s="212" t="n"/>
      <c r="RR146" s="212" t="n"/>
      <c r="RS146" s="212" t="n"/>
      <c r="RT146" s="212" t="n"/>
      <c r="RU146" s="212" t="n"/>
      <c r="RV146" s="212" t="n"/>
      <c r="RW146" s="212" t="n"/>
      <c r="RX146" s="212" t="n"/>
      <c r="RY146" s="212" t="n"/>
      <c r="RZ146" s="212" t="n"/>
      <c r="SA146" s="212" t="n"/>
      <c r="SB146" s="212" t="n"/>
      <c r="SC146" s="212" t="n"/>
      <c r="SD146" s="212" t="n"/>
      <c r="SE146" s="212" t="n"/>
      <c r="SF146" s="212" t="n"/>
      <c r="SG146" s="212" t="n"/>
      <c r="SH146" s="212" t="n"/>
      <c r="SI146" s="212" t="n"/>
      <c r="SJ146" s="212" t="n"/>
      <c r="SK146" s="212" t="n"/>
      <c r="SL146" s="212" t="n"/>
      <c r="SM146" s="212" t="n"/>
      <c r="SN146" s="212" t="n"/>
      <c r="SO146" s="212" t="n"/>
      <c r="SP146" s="212" t="n"/>
      <c r="SQ146" s="212" t="n"/>
      <c r="SR146" s="212" t="n"/>
      <c r="SS146" s="212" t="n"/>
      <c r="ST146" s="212" t="n"/>
      <c r="SU146" s="212" t="n"/>
      <c r="SV146" s="212" t="n"/>
    </row>
    <row r="147">
      <c r="B147" s="209" t="n"/>
      <c r="C147" s="209" t="n"/>
      <c r="D147" s="209" t="n"/>
      <c r="E147" s="209" t="n"/>
      <c r="F147" s="209">
        <f>IF(TRIM(D147&amp;E147)="","",TRIM(D147)&amp;" "&amp;TRIM(E147))</f>
        <v/>
      </c>
      <c r="G147" s="209" t="n"/>
      <c r="H147" s="209" t="n"/>
      <c r="I147" s="209" t="n"/>
      <c r="J147" s="209" t="n"/>
      <c r="K147" s="209" t="n"/>
      <c r="L147" s="209" t="n"/>
      <c r="M147" s="209" t="n"/>
      <c r="N147" s="209" t="n"/>
      <c r="O147" s="209" t="n"/>
      <c r="P147" s="209" t="n"/>
      <c r="Q147" s="209" t="n"/>
      <c r="R147" s="209" t="n"/>
      <c r="S147" s="212" t="n"/>
      <c r="T147" s="212" t="n"/>
      <c r="U147" s="212" t="n"/>
      <c r="V147" s="212" t="n"/>
      <c r="W147" s="212" t="n"/>
      <c r="X147" s="212" t="n"/>
      <c r="Y147" s="212" t="n"/>
      <c r="Z147" s="212" t="n"/>
      <c r="AA147" s="212" t="n"/>
      <c r="AB147" s="212" t="n"/>
      <c r="AC147" s="212" t="n"/>
      <c r="AD147" s="212" t="n"/>
      <c r="AE147" s="212" t="n"/>
      <c r="AF147" s="212" t="n"/>
      <c r="AG147" s="212" t="n"/>
      <c r="AH147" s="212" t="n"/>
      <c r="AI147" s="212" t="n"/>
      <c r="AJ147" s="212" t="n"/>
      <c r="AK147" s="212" t="n"/>
      <c r="AL147" s="212" t="n"/>
      <c r="AM147" s="212" t="n"/>
      <c r="AN147" s="212" t="n"/>
      <c r="AO147" s="212" t="n"/>
      <c r="AP147" s="212" t="n"/>
      <c r="AQ147" s="212" t="n"/>
      <c r="AR147" s="212" t="n"/>
      <c r="AS147" s="212" t="n"/>
      <c r="AT147" s="212" t="n"/>
      <c r="AU147" s="212" t="n"/>
      <c r="AV147" s="212" t="n"/>
      <c r="AW147" s="212" t="n"/>
      <c r="AX147" s="212" t="n"/>
      <c r="AY147" s="212" t="n"/>
      <c r="AZ147" s="212" t="n"/>
      <c r="BA147" s="212" t="n"/>
      <c r="BB147" s="212" t="n"/>
      <c r="BC147" s="212" t="n"/>
      <c r="BD147" s="212" t="n"/>
      <c r="BE147" s="212" t="n"/>
      <c r="BF147" s="212" t="n"/>
      <c r="BG147" s="212" t="n"/>
      <c r="BH147" s="212" t="n"/>
      <c r="BI147" s="212" t="n"/>
      <c r="BJ147" s="212" t="n"/>
      <c r="BK147" s="212" t="n"/>
      <c r="BL147" s="212" t="n"/>
      <c r="BM147" s="212" t="n"/>
      <c r="BN147" s="212" t="n"/>
      <c r="BO147" s="212" t="n"/>
      <c r="BP147" s="212" t="n"/>
      <c r="BQ147" s="212" t="n"/>
      <c r="BR147" s="212" t="n"/>
      <c r="BS147" s="212" t="n"/>
      <c r="BT147" s="212" t="n"/>
      <c r="BU147" s="212" t="n"/>
      <c r="BV147" s="212" t="n"/>
      <c r="BW147" s="212" t="n"/>
      <c r="BX147" s="212" t="n"/>
      <c r="BY147" s="212" t="n"/>
      <c r="BZ147" s="212" t="n"/>
      <c r="CA147" s="212" t="n"/>
      <c r="CB147" s="212" t="n"/>
      <c r="CC147" s="212" t="n"/>
      <c r="CD147" s="212" t="n"/>
      <c r="CE147" s="212" t="n"/>
      <c r="CF147" s="212" t="n"/>
      <c r="CG147" s="212" t="n"/>
      <c r="CH147" s="212" t="n"/>
      <c r="CI147" s="212" t="n"/>
      <c r="CJ147" s="212" t="n"/>
      <c r="CK147" s="212" t="n"/>
      <c r="CL147" s="212" t="n"/>
      <c r="CM147" s="212" t="n"/>
      <c r="CN147" s="212" t="n"/>
      <c r="CO147" s="212" t="n"/>
      <c r="CP147" s="212" t="n"/>
      <c r="CQ147" s="212" t="n"/>
      <c r="CR147" s="212" t="n"/>
      <c r="CS147" s="212" t="n"/>
      <c r="CT147" s="212" t="n"/>
      <c r="CU147" s="212" t="n"/>
      <c r="CV147" s="212" t="n"/>
      <c r="CW147" s="212" t="n"/>
      <c r="CX147" s="212" t="n"/>
      <c r="CY147" s="212" t="n"/>
      <c r="CZ147" s="212" t="n"/>
      <c r="DA147" s="212" t="n"/>
      <c r="DB147" s="212" t="n"/>
      <c r="DC147" s="212" t="n"/>
      <c r="DD147" s="212" t="n"/>
      <c r="DE147" s="212" t="n"/>
      <c r="DF147" s="212" t="n"/>
      <c r="DG147" s="212" t="n"/>
      <c r="DH147" s="212" t="n"/>
      <c r="DI147" s="212" t="n"/>
      <c r="DJ147" s="212" t="n"/>
      <c r="DK147" s="212" t="n"/>
      <c r="DL147" s="212" t="n"/>
      <c r="DM147" s="212" t="n"/>
      <c r="DN147" s="212" t="n"/>
      <c r="DO147" s="212" t="n"/>
      <c r="DP147" s="212" t="n"/>
      <c r="DQ147" s="212" t="n"/>
      <c r="DR147" s="212" t="n"/>
      <c r="DS147" s="212" t="n"/>
      <c r="DT147" s="212" t="n"/>
      <c r="DU147" s="212" t="n"/>
      <c r="DV147" s="212" t="n"/>
      <c r="DW147" s="212" t="n"/>
      <c r="DX147" s="212" t="n"/>
      <c r="DY147" s="212" t="n"/>
      <c r="DZ147" s="212" t="n"/>
      <c r="EA147" s="212" t="n"/>
      <c r="EB147" s="212" t="n"/>
      <c r="EC147" s="212" t="n"/>
      <c r="ED147" s="212" t="n"/>
      <c r="EE147" s="212" t="n"/>
      <c r="EF147" s="212" t="n"/>
      <c r="EG147" s="212" t="n"/>
      <c r="EH147" s="212" t="n"/>
      <c r="EI147" s="212" t="n"/>
      <c r="EJ147" s="212" t="n"/>
      <c r="EK147" s="212" t="n"/>
      <c r="EL147" s="212" t="n"/>
      <c r="EM147" s="212" t="n"/>
      <c r="EN147" s="212" t="n"/>
      <c r="EO147" s="212" t="n"/>
      <c r="EP147" s="212" t="n"/>
      <c r="EQ147" s="212" t="n"/>
      <c r="ER147" s="212" t="n"/>
      <c r="ES147" s="212" t="n"/>
      <c r="ET147" s="212" t="n"/>
      <c r="EU147" s="212" t="n"/>
      <c r="EV147" s="212" t="n"/>
      <c r="EW147" s="212" t="n"/>
      <c r="EX147" s="212" t="n"/>
      <c r="EY147" s="212" t="n"/>
      <c r="EZ147" s="212" t="n"/>
      <c r="FA147" s="212" t="n"/>
      <c r="FB147" s="212" t="n"/>
      <c r="FC147" s="212" t="n"/>
      <c r="FD147" s="212" t="n"/>
      <c r="FE147" s="212" t="n"/>
      <c r="FF147" s="212" t="n"/>
      <c r="FG147" s="212" t="n"/>
      <c r="FH147" s="212" t="n"/>
      <c r="FI147" s="212" t="n"/>
      <c r="FJ147" s="212" t="n"/>
      <c r="FK147" s="212" t="n"/>
      <c r="FL147" s="212" t="n"/>
      <c r="FM147" s="212" t="n"/>
      <c r="FN147" s="212" t="n"/>
      <c r="FO147" s="212" t="n"/>
      <c r="FP147" s="212" t="n"/>
      <c r="FQ147" s="212" t="n"/>
      <c r="FR147" s="212" t="n"/>
      <c r="FS147" s="212" t="n"/>
      <c r="FT147" s="212" t="n"/>
      <c r="FU147" s="212" t="n"/>
      <c r="FV147" s="212" t="n"/>
      <c r="FW147" s="212" t="n"/>
      <c r="FX147" s="212" t="n"/>
      <c r="FY147" s="212" t="n"/>
      <c r="FZ147" s="212" t="n"/>
      <c r="GA147" s="212" t="n"/>
      <c r="GB147" s="212" t="n"/>
      <c r="GC147" s="212" t="n"/>
      <c r="GD147" s="212" t="n"/>
      <c r="GE147" s="212" t="n"/>
      <c r="GF147" s="212" t="n"/>
      <c r="GG147" s="212" t="n"/>
      <c r="GH147" s="212" t="n"/>
      <c r="GI147" s="212" t="n"/>
      <c r="GJ147" s="212" t="n"/>
      <c r="GK147" s="212" t="n"/>
      <c r="GL147" s="212" t="n"/>
      <c r="GM147" s="212" t="n"/>
      <c r="GN147" s="212" t="n"/>
      <c r="GO147" s="212" t="n"/>
      <c r="GP147" s="212" t="n"/>
      <c r="GQ147" s="212" t="n"/>
      <c r="GR147" s="212" t="n"/>
      <c r="GS147" s="212" t="n"/>
      <c r="GT147" s="212" t="n"/>
      <c r="GU147" s="212" t="n"/>
      <c r="GV147" s="212" t="n"/>
      <c r="GW147" s="212" t="n"/>
      <c r="GX147" s="212" t="n"/>
      <c r="GY147" s="212" t="n"/>
      <c r="GZ147" s="212" t="n"/>
      <c r="HA147" s="212" t="n"/>
      <c r="HB147" s="212" t="n"/>
      <c r="HC147" s="212" t="n"/>
      <c r="HD147" s="212" t="n"/>
      <c r="HE147" s="212" t="n"/>
      <c r="HF147" s="212" t="n"/>
      <c r="HG147" s="212" t="n"/>
      <c r="HH147" s="212" t="n"/>
      <c r="HI147" s="212" t="n"/>
      <c r="HJ147" s="212" t="n"/>
      <c r="HK147" s="212" t="n"/>
      <c r="HL147" s="212" t="n"/>
      <c r="HM147" s="212" t="n"/>
      <c r="HN147" s="212" t="n"/>
      <c r="HO147" s="212" t="n"/>
      <c r="HP147" s="212" t="n"/>
      <c r="HQ147" s="212" t="n"/>
      <c r="HR147" s="212" t="n"/>
      <c r="HS147" s="212" t="n"/>
      <c r="HT147" s="212" t="n"/>
      <c r="HU147" s="212" t="n"/>
      <c r="HV147" s="212" t="n"/>
      <c r="HW147" s="212" t="n"/>
      <c r="HX147" s="212" t="n"/>
      <c r="HY147" s="212" t="n"/>
      <c r="HZ147" s="212" t="n"/>
      <c r="IA147" s="212" t="n"/>
      <c r="IB147" s="212" t="n"/>
      <c r="IC147" s="212" t="n"/>
      <c r="ID147" s="212" t="n"/>
      <c r="IE147" s="212" t="n"/>
      <c r="IF147" s="212" t="n"/>
      <c r="IG147" s="212" t="n"/>
      <c r="IH147" s="212" t="n"/>
      <c r="II147" s="212" t="n"/>
      <c r="IJ147" s="212" t="n"/>
      <c r="IK147" s="212" t="n"/>
      <c r="IL147" s="212" t="n"/>
      <c r="IM147" s="212" t="n"/>
      <c r="IN147" s="212" t="n"/>
      <c r="IO147" s="212" t="n"/>
      <c r="IP147" s="212" t="n"/>
      <c r="IQ147" s="212" t="n"/>
      <c r="IR147" s="212" t="n"/>
      <c r="IS147" s="212" t="n"/>
      <c r="IT147" s="212" t="n"/>
      <c r="IU147" s="212" t="n"/>
      <c r="IV147" s="212" t="n"/>
      <c r="IW147" s="212" t="n"/>
      <c r="IX147" s="212" t="n"/>
      <c r="IY147" s="212" t="n"/>
      <c r="IZ147" s="212" t="n"/>
      <c r="JA147" s="212" t="n"/>
      <c r="JB147" s="212" t="n"/>
      <c r="JC147" s="212" t="n"/>
      <c r="JD147" s="212" t="n"/>
      <c r="JE147" s="212" t="n"/>
      <c r="JF147" s="212" t="n"/>
      <c r="JG147" s="212" t="n"/>
      <c r="JH147" s="212" t="n"/>
      <c r="JI147" s="212" t="n"/>
      <c r="JJ147" s="212" t="n"/>
      <c r="JK147" s="212" t="n"/>
      <c r="JL147" s="212" t="n"/>
      <c r="JM147" s="212" t="n"/>
      <c r="JN147" s="212" t="n"/>
      <c r="JO147" s="212" t="n"/>
      <c r="JP147" s="212" t="n"/>
      <c r="JQ147" s="212" t="n"/>
      <c r="JR147" s="212" t="n"/>
      <c r="JS147" s="212" t="n"/>
      <c r="JT147" s="212" t="n"/>
      <c r="JU147" s="212" t="n"/>
      <c r="JV147" s="212" t="n"/>
      <c r="JW147" s="212" t="n"/>
      <c r="JX147" s="212" t="n"/>
      <c r="JY147" s="212" t="n"/>
      <c r="JZ147" s="212" t="n"/>
      <c r="KA147" s="212" t="n"/>
      <c r="KB147" s="212" t="n"/>
      <c r="KC147" s="212" t="n"/>
      <c r="KD147" s="212" t="n"/>
      <c r="KE147" s="212" t="n"/>
      <c r="KF147" s="212" t="n"/>
      <c r="KG147" s="212" t="n"/>
      <c r="KH147" s="212" t="n"/>
      <c r="KI147" s="212" t="n"/>
      <c r="KJ147" s="212" t="n"/>
      <c r="KK147" s="212" t="n"/>
      <c r="KL147" s="212" t="n"/>
      <c r="KM147" s="212" t="n"/>
      <c r="KN147" s="212" t="n"/>
      <c r="KO147" s="212" t="n"/>
      <c r="KP147" s="212" t="n"/>
      <c r="KQ147" s="212" t="n"/>
      <c r="KR147" s="212" t="n"/>
      <c r="KS147" s="212" t="n"/>
      <c r="KT147" s="212" t="n"/>
      <c r="KU147" s="212" t="n"/>
      <c r="KV147" s="212" t="n"/>
      <c r="KW147" s="212" t="n"/>
      <c r="KX147" s="212" t="n"/>
      <c r="KY147" s="212" t="n"/>
      <c r="KZ147" s="212" t="n"/>
      <c r="LA147" s="212" t="n"/>
      <c r="LB147" s="212" t="n"/>
      <c r="LC147" s="212" t="n"/>
      <c r="LD147" s="212" t="n"/>
      <c r="LE147" s="212" t="n"/>
      <c r="LF147" s="212" t="n"/>
      <c r="LG147" s="212" t="n"/>
      <c r="LH147" s="212" t="n"/>
      <c r="LI147" s="212" t="n"/>
      <c r="LJ147" s="212" t="n"/>
      <c r="LK147" s="212" t="n"/>
      <c r="LL147" s="212" t="n"/>
      <c r="LM147" s="212" t="n"/>
      <c r="LN147" s="212" t="n"/>
      <c r="LO147" s="212" t="n"/>
      <c r="LP147" s="212" t="n"/>
      <c r="LQ147" s="212" t="n"/>
      <c r="LR147" s="212" t="n"/>
      <c r="LS147" s="212" t="n"/>
      <c r="LT147" s="212" t="n"/>
      <c r="LU147" s="212" t="n"/>
      <c r="LV147" s="212" t="n"/>
      <c r="LW147" s="212" t="n"/>
      <c r="LX147" s="212" t="n"/>
      <c r="LY147" s="212" t="n"/>
      <c r="LZ147" s="212" t="n"/>
      <c r="MA147" s="212" t="n"/>
      <c r="MB147" s="212" t="n"/>
      <c r="MC147" s="212" t="n"/>
      <c r="MD147" s="212" t="n"/>
      <c r="ME147" s="212" t="n"/>
      <c r="MF147" s="212" t="n"/>
      <c r="MG147" s="212" t="n"/>
      <c r="MH147" s="212" t="n"/>
      <c r="MI147" s="212" t="n"/>
      <c r="MJ147" s="212" t="n"/>
      <c r="MK147" s="212" t="n"/>
      <c r="ML147" s="212" t="n"/>
      <c r="MM147" s="212" t="n"/>
      <c r="MN147" s="212" t="n"/>
      <c r="MO147" s="212" t="n"/>
      <c r="MP147" s="212" t="n"/>
      <c r="MQ147" s="212" t="n"/>
      <c r="MR147" s="212" t="n"/>
      <c r="MS147" s="212" t="n"/>
      <c r="MT147" s="212" t="n"/>
      <c r="MU147" s="212" t="n"/>
      <c r="MV147" s="212" t="n"/>
      <c r="MW147" s="212" t="n"/>
      <c r="MX147" s="212" t="n"/>
      <c r="MY147" s="212" t="n"/>
      <c r="MZ147" s="212" t="n"/>
      <c r="NA147" s="212" t="n"/>
      <c r="NB147" s="212" t="n"/>
      <c r="NC147" s="212" t="n"/>
      <c r="ND147" s="212" t="n"/>
      <c r="NE147" s="212" t="n"/>
      <c r="NF147" s="212" t="n"/>
      <c r="NG147" s="212" t="n"/>
      <c r="NH147" s="212" t="n"/>
      <c r="NI147" s="212" t="n"/>
      <c r="NJ147" s="212" t="n"/>
      <c r="NK147" s="212" t="n"/>
      <c r="NL147" s="212" t="n"/>
      <c r="NM147" s="212" t="n"/>
      <c r="NN147" s="212" t="n"/>
      <c r="NO147" s="212" t="n"/>
      <c r="NP147" s="212" t="n"/>
      <c r="NQ147" s="212" t="n"/>
      <c r="NR147" s="212" t="n"/>
      <c r="NS147" s="212" t="n"/>
      <c r="NT147" s="212" t="n"/>
      <c r="NU147" s="212" t="n"/>
      <c r="NV147" s="212" t="n"/>
      <c r="NW147" s="212" t="n"/>
      <c r="NX147" s="212" t="n"/>
      <c r="NY147" s="212" t="n"/>
      <c r="NZ147" s="212" t="n"/>
      <c r="OA147" s="212" t="n"/>
      <c r="OB147" s="212" t="n"/>
      <c r="OC147" s="212" t="n"/>
      <c r="OD147" s="212" t="n"/>
      <c r="OE147" s="212" t="n"/>
      <c r="OF147" s="212" t="n"/>
      <c r="OG147" s="212" t="n"/>
      <c r="OH147" s="212" t="n"/>
      <c r="OI147" s="212" t="n"/>
      <c r="OJ147" s="212" t="n"/>
      <c r="OK147" s="212" t="n"/>
      <c r="OL147" s="212" t="n"/>
      <c r="OM147" s="212" t="n"/>
      <c r="ON147" s="212" t="n"/>
      <c r="OO147" s="212" t="n"/>
      <c r="OP147" s="212" t="n"/>
      <c r="OQ147" s="212" t="n"/>
      <c r="OR147" s="212" t="n"/>
      <c r="OS147" s="212" t="n"/>
      <c r="OT147" s="212" t="n"/>
      <c r="OU147" s="212" t="n"/>
      <c r="OV147" s="212" t="n"/>
      <c r="OW147" s="212" t="n"/>
      <c r="OX147" s="212" t="n"/>
      <c r="OY147" s="212" t="n"/>
      <c r="OZ147" s="212" t="n"/>
      <c r="PA147" s="212" t="n"/>
      <c r="PB147" s="212" t="n"/>
      <c r="PC147" s="212" t="n"/>
      <c r="PD147" s="212" t="n"/>
      <c r="PE147" s="212" t="n"/>
      <c r="PF147" s="212" t="n"/>
      <c r="PG147" s="212" t="n"/>
      <c r="PH147" s="212" t="n"/>
      <c r="PI147" s="212" t="n"/>
      <c r="PJ147" s="212" t="n"/>
      <c r="PK147" s="212" t="n"/>
      <c r="PL147" s="212" t="n"/>
      <c r="PM147" s="212" t="n"/>
      <c r="PN147" s="212" t="n"/>
      <c r="PO147" s="212" t="n"/>
      <c r="PP147" s="212" t="n"/>
      <c r="PQ147" s="212" t="n"/>
      <c r="PR147" s="212" t="n"/>
      <c r="PS147" s="212" t="n"/>
      <c r="PT147" s="212" t="n"/>
      <c r="PU147" s="212" t="n"/>
      <c r="PV147" s="212" t="n"/>
      <c r="PW147" s="212" t="n"/>
      <c r="PX147" s="212" t="n"/>
      <c r="PY147" s="212" t="n"/>
      <c r="PZ147" s="212" t="n"/>
      <c r="QA147" s="212" t="n"/>
      <c r="QB147" s="212" t="n"/>
      <c r="QC147" s="212" t="n"/>
      <c r="QD147" s="212" t="n"/>
      <c r="QE147" s="212" t="n"/>
      <c r="QF147" s="212" t="n"/>
      <c r="QG147" s="212" t="n"/>
      <c r="QH147" s="212" t="n"/>
      <c r="QI147" s="212" t="n"/>
      <c r="QJ147" s="212" t="n"/>
      <c r="QK147" s="212" t="n"/>
      <c r="QL147" s="212" t="n"/>
      <c r="QM147" s="212" t="n"/>
      <c r="QN147" s="212" t="n"/>
      <c r="QO147" s="212" t="n"/>
      <c r="QP147" s="212" t="n"/>
      <c r="QQ147" s="212" t="n"/>
      <c r="QR147" s="212" t="n"/>
      <c r="QS147" s="212" t="n"/>
      <c r="QT147" s="212" t="n"/>
      <c r="QU147" s="212" t="n"/>
      <c r="QV147" s="212" t="n"/>
      <c r="QW147" s="212" t="n"/>
      <c r="QX147" s="212" t="n"/>
      <c r="QY147" s="212" t="n"/>
      <c r="QZ147" s="212" t="n"/>
      <c r="RA147" s="212" t="n"/>
      <c r="RB147" s="212" t="n"/>
      <c r="RC147" s="212" t="n"/>
      <c r="RD147" s="212" t="n"/>
      <c r="RE147" s="212" t="n"/>
      <c r="RF147" s="212" t="n"/>
      <c r="RG147" s="212" t="n"/>
      <c r="RH147" s="212" t="n"/>
      <c r="RI147" s="212" t="n"/>
      <c r="RJ147" s="212" t="n"/>
      <c r="RK147" s="212" t="n"/>
      <c r="RL147" s="212" t="n"/>
      <c r="RM147" s="212" t="n"/>
      <c r="RN147" s="212" t="n"/>
      <c r="RO147" s="212" t="n"/>
      <c r="RP147" s="212" t="n"/>
      <c r="RQ147" s="212" t="n"/>
      <c r="RR147" s="212" t="n"/>
      <c r="RS147" s="212" t="n"/>
      <c r="RT147" s="212" t="n"/>
      <c r="RU147" s="212" t="n"/>
      <c r="RV147" s="212" t="n"/>
      <c r="RW147" s="212" t="n"/>
      <c r="RX147" s="212" t="n"/>
      <c r="RY147" s="212" t="n"/>
      <c r="RZ147" s="212" t="n"/>
      <c r="SA147" s="212" t="n"/>
      <c r="SB147" s="212" t="n"/>
      <c r="SC147" s="212" t="n"/>
      <c r="SD147" s="212" t="n"/>
      <c r="SE147" s="212" t="n"/>
      <c r="SF147" s="212" t="n"/>
      <c r="SG147" s="212" t="n"/>
      <c r="SH147" s="212" t="n"/>
      <c r="SI147" s="212" t="n"/>
      <c r="SJ147" s="212" t="n"/>
      <c r="SK147" s="212" t="n"/>
      <c r="SL147" s="212" t="n"/>
      <c r="SM147" s="212" t="n"/>
      <c r="SN147" s="212" t="n"/>
      <c r="SO147" s="212" t="n"/>
      <c r="SP147" s="212" t="n"/>
      <c r="SQ147" s="212" t="n"/>
      <c r="SR147" s="212" t="n"/>
      <c r="SS147" s="212" t="n"/>
      <c r="ST147" s="212" t="n"/>
      <c r="SU147" s="212" t="n"/>
      <c r="SV147" s="212" t="n"/>
    </row>
    <row r="148">
      <c r="B148" s="209" t="n"/>
      <c r="C148" s="209" t="n"/>
      <c r="D148" s="209" t="n"/>
      <c r="E148" s="209" t="n"/>
      <c r="F148" s="209">
        <f>IF(TRIM(D148&amp;E148)="","",TRIM(D148)&amp;" "&amp;TRIM(E148))</f>
        <v/>
      </c>
      <c r="G148" s="209" t="n"/>
      <c r="H148" s="209" t="n"/>
      <c r="I148" s="209" t="n"/>
      <c r="J148" s="209" t="n"/>
      <c r="K148" s="209" t="n"/>
      <c r="L148" s="209" t="n"/>
      <c r="M148" s="209" t="n"/>
      <c r="N148" s="209" t="n"/>
      <c r="O148" s="209" t="n"/>
      <c r="P148" s="209" t="n"/>
      <c r="Q148" s="209" t="n"/>
      <c r="R148" s="209" t="n"/>
      <c r="S148" s="212" t="n"/>
      <c r="T148" s="212" t="n"/>
      <c r="U148" s="212" t="n"/>
      <c r="V148" s="212" t="n"/>
      <c r="W148" s="212" t="n"/>
      <c r="X148" s="212" t="n"/>
      <c r="Y148" s="212" t="n"/>
      <c r="Z148" s="212" t="n"/>
      <c r="AA148" s="212" t="n"/>
      <c r="AB148" s="212" t="n"/>
      <c r="AC148" s="212" t="n"/>
      <c r="AD148" s="212" t="n"/>
      <c r="AE148" s="212" t="n"/>
      <c r="AF148" s="212" t="n"/>
      <c r="AG148" s="212" t="n"/>
      <c r="AH148" s="212" t="n"/>
      <c r="AI148" s="212" t="n"/>
      <c r="AJ148" s="212" t="n"/>
      <c r="AK148" s="212" t="n"/>
      <c r="AL148" s="212" t="n"/>
      <c r="AM148" s="212" t="n"/>
      <c r="AN148" s="212" t="n"/>
      <c r="AO148" s="212" t="n"/>
      <c r="AP148" s="212" t="n"/>
      <c r="AQ148" s="212" t="n"/>
      <c r="AR148" s="212" t="n"/>
      <c r="AS148" s="212" t="n"/>
      <c r="AT148" s="212" t="n"/>
      <c r="AU148" s="212" t="n"/>
      <c r="AV148" s="212" t="n"/>
      <c r="AW148" s="212" t="n"/>
      <c r="AX148" s="212" t="n"/>
      <c r="AY148" s="212" t="n"/>
      <c r="AZ148" s="212" t="n"/>
      <c r="BA148" s="212" t="n"/>
      <c r="BB148" s="212" t="n"/>
      <c r="BC148" s="212" t="n"/>
      <c r="BD148" s="212" t="n"/>
      <c r="BE148" s="212" t="n"/>
      <c r="BF148" s="212" t="n"/>
      <c r="BG148" s="212" t="n"/>
      <c r="BH148" s="212" t="n"/>
      <c r="BI148" s="212" t="n"/>
      <c r="BJ148" s="212" t="n"/>
      <c r="BK148" s="212" t="n"/>
      <c r="BL148" s="212" t="n"/>
      <c r="BM148" s="212" t="n"/>
      <c r="BN148" s="212" t="n"/>
      <c r="BO148" s="212" t="n"/>
      <c r="BP148" s="212" t="n"/>
      <c r="BQ148" s="212" t="n"/>
      <c r="BR148" s="212" t="n"/>
      <c r="BS148" s="212" t="n"/>
      <c r="BT148" s="212" t="n"/>
      <c r="BU148" s="212" t="n"/>
      <c r="BV148" s="212" t="n"/>
      <c r="BW148" s="212" t="n"/>
      <c r="BX148" s="212" t="n"/>
      <c r="BY148" s="212" t="n"/>
      <c r="BZ148" s="212" t="n"/>
      <c r="CA148" s="212" t="n"/>
      <c r="CB148" s="212" t="n"/>
      <c r="CC148" s="212" t="n"/>
      <c r="CD148" s="212" t="n"/>
      <c r="CE148" s="212" t="n"/>
      <c r="CF148" s="212" t="n"/>
      <c r="CG148" s="212" t="n"/>
      <c r="CH148" s="212" t="n"/>
      <c r="CI148" s="212" t="n"/>
      <c r="CJ148" s="212" t="n"/>
      <c r="CK148" s="212" t="n"/>
      <c r="CL148" s="212" t="n"/>
      <c r="CM148" s="212" t="n"/>
      <c r="CN148" s="212" t="n"/>
      <c r="CO148" s="212" t="n"/>
      <c r="CP148" s="212" t="n"/>
      <c r="CQ148" s="212" t="n"/>
      <c r="CR148" s="212" t="n"/>
      <c r="CS148" s="212" t="n"/>
      <c r="CT148" s="212" t="n"/>
      <c r="CU148" s="212" t="n"/>
      <c r="CV148" s="212" t="n"/>
      <c r="CW148" s="212" t="n"/>
      <c r="CX148" s="212" t="n"/>
      <c r="CY148" s="212" t="n"/>
      <c r="CZ148" s="212" t="n"/>
      <c r="DA148" s="212" t="n"/>
      <c r="DB148" s="212" t="n"/>
      <c r="DC148" s="212" t="n"/>
      <c r="DD148" s="212" t="n"/>
      <c r="DE148" s="212" t="n"/>
      <c r="DF148" s="212" t="n"/>
      <c r="DG148" s="212" t="n"/>
      <c r="DH148" s="212" t="n"/>
      <c r="DI148" s="212" t="n"/>
      <c r="DJ148" s="212" t="n"/>
      <c r="DK148" s="212" t="n"/>
      <c r="DL148" s="212" t="n"/>
      <c r="DM148" s="212" t="n"/>
      <c r="DN148" s="212" t="n"/>
      <c r="DO148" s="212" t="n"/>
      <c r="DP148" s="212" t="n"/>
      <c r="DQ148" s="212" t="n"/>
      <c r="DR148" s="212" t="n"/>
      <c r="DS148" s="212" t="n"/>
      <c r="DT148" s="212" t="n"/>
      <c r="DU148" s="212" t="n"/>
      <c r="DV148" s="212" t="n"/>
      <c r="DW148" s="212" t="n"/>
      <c r="DX148" s="212" t="n"/>
      <c r="DY148" s="212" t="n"/>
      <c r="DZ148" s="212" t="n"/>
      <c r="EA148" s="212" t="n"/>
      <c r="EB148" s="212" t="n"/>
      <c r="EC148" s="212" t="n"/>
      <c r="ED148" s="212" t="n"/>
      <c r="EE148" s="212" t="n"/>
      <c r="EF148" s="212" t="n"/>
      <c r="EG148" s="212" t="n"/>
      <c r="EH148" s="212" t="n"/>
      <c r="EI148" s="212" t="n"/>
      <c r="EJ148" s="212" t="n"/>
      <c r="EK148" s="212" t="n"/>
      <c r="EL148" s="212" t="n"/>
      <c r="EM148" s="212" t="n"/>
      <c r="EN148" s="212" t="n"/>
      <c r="EO148" s="212" t="n"/>
      <c r="EP148" s="212" t="n"/>
      <c r="EQ148" s="212" t="n"/>
      <c r="ER148" s="212" t="n"/>
      <c r="ES148" s="212" t="n"/>
      <c r="ET148" s="212" t="n"/>
      <c r="EU148" s="212" t="n"/>
      <c r="EV148" s="212" t="n"/>
      <c r="EW148" s="212" t="n"/>
      <c r="EX148" s="212" t="n"/>
      <c r="EY148" s="212" t="n"/>
      <c r="EZ148" s="212" t="n"/>
      <c r="FA148" s="212" t="n"/>
      <c r="FB148" s="212" t="n"/>
      <c r="FC148" s="212" t="n"/>
      <c r="FD148" s="212" t="n"/>
      <c r="FE148" s="212" t="n"/>
      <c r="FF148" s="212" t="n"/>
      <c r="FG148" s="212" t="n"/>
      <c r="FH148" s="212" t="n"/>
      <c r="FI148" s="212" t="n"/>
      <c r="FJ148" s="212" t="n"/>
      <c r="FK148" s="212" t="n"/>
      <c r="FL148" s="212" t="n"/>
      <c r="FM148" s="212" t="n"/>
      <c r="FN148" s="212" t="n"/>
      <c r="FO148" s="212" t="n"/>
      <c r="FP148" s="212" t="n"/>
      <c r="FQ148" s="212" t="n"/>
      <c r="FR148" s="212" t="n"/>
      <c r="FS148" s="212" t="n"/>
      <c r="FT148" s="212" t="n"/>
      <c r="FU148" s="212" t="n"/>
      <c r="FV148" s="212" t="n"/>
      <c r="FW148" s="212" t="n"/>
      <c r="FX148" s="212" t="n"/>
      <c r="FY148" s="212" t="n"/>
      <c r="FZ148" s="212" t="n"/>
      <c r="GA148" s="212" t="n"/>
      <c r="GB148" s="212" t="n"/>
      <c r="GC148" s="212" t="n"/>
      <c r="GD148" s="212" t="n"/>
      <c r="GE148" s="212" t="n"/>
      <c r="GF148" s="212" t="n"/>
      <c r="GG148" s="212" t="n"/>
      <c r="GH148" s="212" t="n"/>
      <c r="GI148" s="212" t="n"/>
      <c r="GJ148" s="212" t="n"/>
      <c r="GK148" s="212" t="n"/>
      <c r="GL148" s="212" t="n"/>
      <c r="GM148" s="212" t="n"/>
      <c r="GN148" s="212" t="n"/>
      <c r="GO148" s="212" t="n"/>
      <c r="GP148" s="212" t="n"/>
      <c r="GQ148" s="212" t="n"/>
      <c r="GR148" s="212" t="n"/>
      <c r="GS148" s="212" t="n"/>
      <c r="GT148" s="212" t="n"/>
      <c r="GU148" s="212" t="n"/>
      <c r="GV148" s="212" t="n"/>
      <c r="GW148" s="212" t="n"/>
      <c r="GX148" s="212" t="n"/>
      <c r="GY148" s="212" t="n"/>
      <c r="GZ148" s="212" t="n"/>
      <c r="HA148" s="212" t="n"/>
      <c r="HB148" s="212" t="n"/>
      <c r="HC148" s="212" t="n"/>
      <c r="HD148" s="212" t="n"/>
      <c r="HE148" s="212" t="n"/>
      <c r="HF148" s="212" t="n"/>
      <c r="HG148" s="212" t="n"/>
      <c r="HH148" s="212" t="n"/>
      <c r="HI148" s="212" t="n"/>
      <c r="HJ148" s="212" t="n"/>
      <c r="HK148" s="212" t="n"/>
      <c r="HL148" s="212" t="n"/>
      <c r="HM148" s="212" t="n"/>
      <c r="HN148" s="212" t="n"/>
      <c r="HO148" s="212" t="n"/>
      <c r="HP148" s="212" t="n"/>
      <c r="HQ148" s="212" t="n"/>
      <c r="HR148" s="212" t="n"/>
      <c r="HS148" s="212" t="n"/>
      <c r="HT148" s="212" t="n"/>
      <c r="HU148" s="212" t="n"/>
      <c r="HV148" s="212" t="n"/>
      <c r="HW148" s="212" t="n"/>
      <c r="HX148" s="212" t="n"/>
      <c r="HY148" s="212" t="n"/>
      <c r="HZ148" s="212" t="n"/>
      <c r="IA148" s="212" t="n"/>
      <c r="IB148" s="212" t="n"/>
      <c r="IC148" s="212" t="n"/>
      <c r="ID148" s="212" t="n"/>
      <c r="IE148" s="212" t="n"/>
      <c r="IF148" s="212" t="n"/>
      <c r="IG148" s="212" t="n"/>
      <c r="IH148" s="212" t="n"/>
      <c r="II148" s="212" t="n"/>
      <c r="IJ148" s="212" t="n"/>
      <c r="IK148" s="212" t="n"/>
      <c r="IL148" s="212" t="n"/>
      <c r="IM148" s="212" t="n"/>
      <c r="IN148" s="212" t="n"/>
      <c r="IO148" s="212" t="n"/>
      <c r="IP148" s="212" t="n"/>
      <c r="IQ148" s="212" t="n"/>
      <c r="IR148" s="212" t="n"/>
      <c r="IS148" s="212" t="n"/>
      <c r="IT148" s="212" t="n"/>
      <c r="IU148" s="212" t="n"/>
      <c r="IV148" s="212" t="n"/>
      <c r="IW148" s="212" t="n"/>
      <c r="IX148" s="212" t="n"/>
      <c r="IY148" s="212" t="n"/>
      <c r="IZ148" s="212" t="n"/>
      <c r="JA148" s="212" t="n"/>
      <c r="JB148" s="212" t="n"/>
      <c r="JC148" s="212" t="n"/>
      <c r="JD148" s="212" t="n"/>
      <c r="JE148" s="212" t="n"/>
      <c r="JF148" s="212" t="n"/>
      <c r="JG148" s="212" t="n"/>
      <c r="JH148" s="212" t="n"/>
      <c r="JI148" s="212" t="n"/>
      <c r="JJ148" s="212" t="n"/>
      <c r="JK148" s="212" t="n"/>
      <c r="JL148" s="212" t="n"/>
      <c r="JM148" s="212" t="n"/>
      <c r="JN148" s="212" t="n"/>
      <c r="JO148" s="212" t="n"/>
      <c r="JP148" s="212" t="n"/>
      <c r="JQ148" s="212" t="n"/>
      <c r="JR148" s="212" t="n"/>
      <c r="JS148" s="212" t="n"/>
      <c r="JT148" s="212" t="n"/>
      <c r="JU148" s="212" t="n"/>
      <c r="JV148" s="212" t="n"/>
      <c r="JW148" s="212" t="n"/>
      <c r="JX148" s="212" t="n"/>
      <c r="JY148" s="212" t="n"/>
      <c r="JZ148" s="212" t="n"/>
      <c r="KA148" s="212" t="n"/>
      <c r="KB148" s="212" t="n"/>
      <c r="KC148" s="212" t="n"/>
      <c r="KD148" s="212" t="n"/>
      <c r="KE148" s="212" t="n"/>
      <c r="KF148" s="212" t="n"/>
      <c r="KG148" s="212" t="n"/>
      <c r="KH148" s="212" t="n"/>
      <c r="KI148" s="212" t="n"/>
      <c r="KJ148" s="212" t="n"/>
      <c r="KK148" s="212" t="n"/>
      <c r="KL148" s="212" t="n"/>
      <c r="KM148" s="212" t="n"/>
      <c r="KN148" s="212" t="n"/>
      <c r="KO148" s="212" t="n"/>
      <c r="KP148" s="212" t="n"/>
      <c r="KQ148" s="212" t="n"/>
      <c r="KR148" s="212" t="n"/>
      <c r="KS148" s="212" t="n"/>
      <c r="KT148" s="212" t="n"/>
      <c r="KU148" s="212" t="n"/>
      <c r="KV148" s="212" t="n"/>
      <c r="KW148" s="212" t="n"/>
      <c r="KX148" s="212" t="n"/>
      <c r="KY148" s="212" t="n"/>
      <c r="KZ148" s="212" t="n"/>
      <c r="LA148" s="212" t="n"/>
      <c r="LB148" s="212" t="n"/>
      <c r="LC148" s="212" t="n"/>
      <c r="LD148" s="212" t="n"/>
      <c r="LE148" s="212" t="n"/>
      <c r="LF148" s="212" t="n"/>
      <c r="LG148" s="212" t="n"/>
      <c r="LH148" s="212" t="n"/>
      <c r="LI148" s="212" t="n"/>
      <c r="LJ148" s="212" t="n"/>
      <c r="LK148" s="212" t="n"/>
      <c r="LL148" s="212" t="n"/>
      <c r="LM148" s="212" t="n"/>
      <c r="LN148" s="212" t="n"/>
      <c r="LO148" s="212" t="n"/>
      <c r="LP148" s="212" t="n"/>
      <c r="LQ148" s="212" t="n"/>
      <c r="LR148" s="212" t="n"/>
      <c r="LS148" s="212" t="n"/>
      <c r="LT148" s="212" t="n"/>
      <c r="LU148" s="212" t="n"/>
      <c r="LV148" s="212" t="n"/>
      <c r="LW148" s="212" t="n"/>
      <c r="LX148" s="212" t="n"/>
      <c r="LY148" s="212" t="n"/>
      <c r="LZ148" s="212" t="n"/>
      <c r="MA148" s="212" t="n"/>
      <c r="MB148" s="212" t="n"/>
      <c r="MC148" s="212" t="n"/>
      <c r="MD148" s="212" t="n"/>
      <c r="ME148" s="212" t="n"/>
      <c r="MF148" s="212" t="n"/>
      <c r="MG148" s="212" t="n"/>
      <c r="MH148" s="212" t="n"/>
      <c r="MI148" s="212" t="n"/>
      <c r="MJ148" s="212" t="n"/>
      <c r="MK148" s="212" t="n"/>
      <c r="ML148" s="212" t="n"/>
      <c r="MM148" s="212" t="n"/>
      <c r="MN148" s="212" t="n"/>
      <c r="MO148" s="212" t="n"/>
      <c r="MP148" s="212" t="n"/>
      <c r="MQ148" s="212" t="n"/>
      <c r="MR148" s="212" t="n"/>
      <c r="MS148" s="212" t="n"/>
      <c r="MT148" s="212" t="n"/>
      <c r="MU148" s="212" t="n"/>
      <c r="MV148" s="212" t="n"/>
      <c r="MW148" s="212" t="n"/>
      <c r="MX148" s="212" t="n"/>
      <c r="MY148" s="212" t="n"/>
      <c r="MZ148" s="212" t="n"/>
      <c r="NA148" s="212" t="n"/>
      <c r="NB148" s="212" t="n"/>
      <c r="NC148" s="212" t="n"/>
      <c r="ND148" s="212" t="n"/>
      <c r="NE148" s="212" t="n"/>
      <c r="NF148" s="212" t="n"/>
      <c r="NG148" s="212" t="n"/>
      <c r="NH148" s="212" t="n"/>
      <c r="NI148" s="212" t="n"/>
      <c r="NJ148" s="212" t="n"/>
      <c r="NK148" s="212" t="n"/>
      <c r="NL148" s="212" t="n"/>
      <c r="NM148" s="212" t="n"/>
      <c r="NN148" s="212" t="n"/>
      <c r="NO148" s="212" t="n"/>
      <c r="NP148" s="212" t="n"/>
      <c r="NQ148" s="212" t="n"/>
      <c r="NR148" s="212" t="n"/>
      <c r="NS148" s="212" t="n"/>
      <c r="NT148" s="212" t="n"/>
      <c r="NU148" s="212" t="n"/>
      <c r="NV148" s="212" t="n"/>
      <c r="NW148" s="212" t="n"/>
      <c r="NX148" s="212" t="n"/>
      <c r="NY148" s="212" t="n"/>
      <c r="NZ148" s="212" t="n"/>
      <c r="OA148" s="212" t="n"/>
      <c r="OB148" s="212" t="n"/>
      <c r="OC148" s="212" t="n"/>
      <c r="OD148" s="212" t="n"/>
      <c r="OE148" s="212" t="n"/>
      <c r="OF148" s="212" t="n"/>
      <c r="OG148" s="212" t="n"/>
      <c r="OH148" s="212" t="n"/>
      <c r="OI148" s="212" t="n"/>
      <c r="OJ148" s="212" t="n"/>
      <c r="OK148" s="212" t="n"/>
      <c r="OL148" s="212" t="n"/>
      <c r="OM148" s="212" t="n"/>
      <c r="ON148" s="212" t="n"/>
      <c r="OO148" s="212" t="n"/>
      <c r="OP148" s="212" t="n"/>
      <c r="OQ148" s="212" t="n"/>
      <c r="OR148" s="212" t="n"/>
      <c r="OS148" s="212" t="n"/>
      <c r="OT148" s="212" t="n"/>
      <c r="OU148" s="212" t="n"/>
      <c r="OV148" s="212" t="n"/>
      <c r="OW148" s="212" t="n"/>
      <c r="OX148" s="212" t="n"/>
      <c r="OY148" s="212" t="n"/>
      <c r="OZ148" s="212" t="n"/>
      <c r="PA148" s="212" t="n"/>
      <c r="PB148" s="212" t="n"/>
      <c r="PC148" s="212" t="n"/>
      <c r="PD148" s="212" t="n"/>
      <c r="PE148" s="212" t="n"/>
      <c r="PF148" s="212" t="n"/>
      <c r="PG148" s="212" t="n"/>
      <c r="PH148" s="212" t="n"/>
      <c r="PI148" s="212" t="n"/>
      <c r="PJ148" s="212" t="n"/>
      <c r="PK148" s="212" t="n"/>
      <c r="PL148" s="212" t="n"/>
      <c r="PM148" s="212" t="n"/>
      <c r="PN148" s="212" t="n"/>
      <c r="PO148" s="212" t="n"/>
      <c r="PP148" s="212" t="n"/>
      <c r="PQ148" s="212" t="n"/>
      <c r="PR148" s="212" t="n"/>
      <c r="PS148" s="212" t="n"/>
      <c r="PT148" s="212" t="n"/>
      <c r="PU148" s="212" t="n"/>
      <c r="PV148" s="212" t="n"/>
      <c r="PW148" s="212" t="n"/>
      <c r="PX148" s="212" t="n"/>
      <c r="PY148" s="212" t="n"/>
      <c r="PZ148" s="212" t="n"/>
      <c r="QA148" s="212" t="n"/>
      <c r="QB148" s="212" t="n"/>
      <c r="QC148" s="212" t="n"/>
      <c r="QD148" s="212" t="n"/>
      <c r="QE148" s="212" t="n"/>
      <c r="QF148" s="212" t="n"/>
      <c r="QG148" s="212" t="n"/>
      <c r="QH148" s="212" t="n"/>
      <c r="QI148" s="212" t="n"/>
      <c r="QJ148" s="212" t="n"/>
      <c r="QK148" s="212" t="n"/>
      <c r="QL148" s="212" t="n"/>
      <c r="QM148" s="212" t="n"/>
      <c r="QN148" s="212" t="n"/>
      <c r="QO148" s="212" t="n"/>
      <c r="QP148" s="212" t="n"/>
      <c r="QQ148" s="212" t="n"/>
      <c r="QR148" s="212" t="n"/>
      <c r="QS148" s="212" t="n"/>
      <c r="QT148" s="212" t="n"/>
      <c r="QU148" s="212" t="n"/>
      <c r="QV148" s="212" t="n"/>
      <c r="QW148" s="212" t="n"/>
      <c r="QX148" s="212" t="n"/>
      <c r="QY148" s="212" t="n"/>
      <c r="QZ148" s="212" t="n"/>
      <c r="RA148" s="212" t="n"/>
      <c r="RB148" s="212" t="n"/>
      <c r="RC148" s="212" t="n"/>
      <c r="RD148" s="212" t="n"/>
      <c r="RE148" s="212" t="n"/>
      <c r="RF148" s="212" t="n"/>
      <c r="RG148" s="212" t="n"/>
      <c r="RH148" s="212" t="n"/>
      <c r="RI148" s="212" t="n"/>
      <c r="RJ148" s="212" t="n"/>
      <c r="RK148" s="212" t="n"/>
      <c r="RL148" s="212" t="n"/>
      <c r="RM148" s="212" t="n"/>
      <c r="RN148" s="212" t="n"/>
      <c r="RO148" s="212" t="n"/>
      <c r="RP148" s="212" t="n"/>
      <c r="RQ148" s="212" t="n"/>
      <c r="RR148" s="212" t="n"/>
      <c r="RS148" s="212" t="n"/>
      <c r="RT148" s="212" t="n"/>
      <c r="RU148" s="212" t="n"/>
      <c r="RV148" s="212" t="n"/>
      <c r="RW148" s="212" t="n"/>
      <c r="RX148" s="212" t="n"/>
      <c r="RY148" s="212" t="n"/>
      <c r="RZ148" s="212" t="n"/>
      <c r="SA148" s="212" t="n"/>
      <c r="SB148" s="212" t="n"/>
      <c r="SC148" s="212" t="n"/>
      <c r="SD148" s="212" t="n"/>
      <c r="SE148" s="212" t="n"/>
      <c r="SF148" s="212" t="n"/>
      <c r="SG148" s="212" t="n"/>
      <c r="SH148" s="212" t="n"/>
      <c r="SI148" s="212" t="n"/>
      <c r="SJ148" s="212" t="n"/>
      <c r="SK148" s="212" t="n"/>
      <c r="SL148" s="212" t="n"/>
      <c r="SM148" s="212" t="n"/>
      <c r="SN148" s="212" t="n"/>
      <c r="SO148" s="212" t="n"/>
      <c r="SP148" s="212" t="n"/>
      <c r="SQ148" s="212" t="n"/>
      <c r="SR148" s="212" t="n"/>
      <c r="SS148" s="212" t="n"/>
      <c r="ST148" s="212" t="n"/>
      <c r="SU148" s="212" t="n"/>
      <c r="SV148" s="212" t="n"/>
    </row>
    <row r="149">
      <c r="B149" s="209" t="n"/>
      <c r="C149" s="209" t="n"/>
      <c r="D149" s="209" t="n"/>
      <c r="E149" s="209" t="n"/>
      <c r="F149" s="209">
        <f>IF(TRIM(D149&amp;E149)="","",TRIM(D149)&amp;" "&amp;TRIM(E149))</f>
        <v/>
      </c>
      <c r="G149" s="209" t="n"/>
      <c r="H149" s="209" t="n"/>
      <c r="I149" s="209" t="n"/>
      <c r="J149" s="209" t="n"/>
      <c r="K149" s="209" t="n"/>
      <c r="L149" s="209" t="n"/>
      <c r="M149" s="209" t="n"/>
      <c r="N149" s="209" t="n"/>
      <c r="O149" s="209" t="n"/>
      <c r="P149" s="209" t="n"/>
      <c r="Q149" s="209" t="n"/>
      <c r="R149" s="209" t="n"/>
      <c r="S149" s="212" t="n"/>
      <c r="T149" s="212" t="n"/>
      <c r="U149" s="212" t="n"/>
      <c r="V149" s="212" t="n"/>
      <c r="W149" s="212" t="n"/>
      <c r="X149" s="212" t="n"/>
      <c r="Y149" s="212" t="n"/>
      <c r="Z149" s="212" t="n"/>
      <c r="AA149" s="212" t="n"/>
      <c r="AB149" s="212" t="n"/>
      <c r="AC149" s="212" t="n"/>
      <c r="AD149" s="212" t="n"/>
      <c r="AE149" s="212" t="n"/>
      <c r="AF149" s="212" t="n"/>
      <c r="AG149" s="212" t="n"/>
      <c r="AH149" s="212" t="n"/>
      <c r="AI149" s="212" t="n"/>
      <c r="AJ149" s="212" t="n"/>
      <c r="AK149" s="212" t="n"/>
      <c r="AL149" s="212" t="n"/>
      <c r="AM149" s="212" t="n"/>
      <c r="AN149" s="212" t="n"/>
      <c r="AO149" s="212" t="n"/>
      <c r="AP149" s="212" t="n"/>
      <c r="AQ149" s="212" t="n"/>
      <c r="AR149" s="212" t="n"/>
      <c r="AS149" s="212" t="n"/>
      <c r="AT149" s="212" t="n"/>
      <c r="AU149" s="212" t="n"/>
      <c r="AV149" s="212" t="n"/>
      <c r="AW149" s="212" t="n"/>
      <c r="AX149" s="212" t="n"/>
      <c r="AY149" s="212" t="n"/>
      <c r="AZ149" s="212" t="n"/>
      <c r="BA149" s="212" t="n"/>
      <c r="BB149" s="212" t="n"/>
      <c r="BC149" s="212" t="n"/>
      <c r="BD149" s="212" t="n"/>
      <c r="BE149" s="212" t="n"/>
      <c r="BF149" s="212" t="n"/>
      <c r="BG149" s="212" t="n"/>
      <c r="BH149" s="212" t="n"/>
      <c r="BI149" s="212" t="n"/>
      <c r="BJ149" s="212" t="n"/>
      <c r="BK149" s="212" t="n"/>
      <c r="BL149" s="212" t="n"/>
      <c r="BM149" s="212" t="n"/>
      <c r="BN149" s="212" t="n"/>
      <c r="BO149" s="212" t="n"/>
      <c r="BP149" s="212" t="n"/>
      <c r="BQ149" s="212" t="n"/>
      <c r="BR149" s="212" t="n"/>
      <c r="BS149" s="212" t="n"/>
      <c r="BT149" s="212" t="n"/>
      <c r="BU149" s="212" t="n"/>
      <c r="BV149" s="212" t="n"/>
      <c r="BW149" s="212" t="n"/>
      <c r="BX149" s="212" t="n"/>
      <c r="BY149" s="212" t="n"/>
      <c r="BZ149" s="212" t="n"/>
      <c r="CA149" s="212" t="n"/>
      <c r="CB149" s="212" t="n"/>
      <c r="CC149" s="212" t="n"/>
      <c r="CD149" s="212" t="n"/>
      <c r="CE149" s="212" t="n"/>
      <c r="CF149" s="212" t="n"/>
      <c r="CG149" s="212" t="n"/>
      <c r="CH149" s="212" t="n"/>
      <c r="CI149" s="212" t="n"/>
      <c r="CJ149" s="212" t="n"/>
      <c r="CK149" s="212" t="n"/>
      <c r="CL149" s="212" t="n"/>
      <c r="CM149" s="212" t="n"/>
      <c r="CN149" s="212" t="n"/>
      <c r="CO149" s="212" t="n"/>
      <c r="CP149" s="212" t="n"/>
      <c r="CQ149" s="212" t="n"/>
      <c r="CR149" s="212" t="n"/>
      <c r="CS149" s="212" t="n"/>
      <c r="CT149" s="212" t="n"/>
      <c r="CU149" s="212" t="n"/>
      <c r="CV149" s="212" t="n"/>
      <c r="CW149" s="212" t="n"/>
      <c r="CX149" s="212" t="n"/>
      <c r="CY149" s="212" t="n"/>
      <c r="CZ149" s="212" t="n"/>
      <c r="DA149" s="212" t="n"/>
      <c r="DB149" s="212" t="n"/>
      <c r="DC149" s="212" t="n"/>
      <c r="DD149" s="212" t="n"/>
      <c r="DE149" s="212" t="n"/>
      <c r="DF149" s="212" t="n"/>
      <c r="DG149" s="212" t="n"/>
      <c r="DH149" s="212" t="n"/>
      <c r="DI149" s="212" t="n"/>
      <c r="DJ149" s="212" t="n"/>
      <c r="DK149" s="212" t="n"/>
      <c r="DL149" s="212" t="n"/>
      <c r="DM149" s="212" t="n"/>
      <c r="DN149" s="212" t="n"/>
      <c r="DO149" s="212" t="n"/>
      <c r="DP149" s="212" t="n"/>
      <c r="DQ149" s="212" t="n"/>
      <c r="DR149" s="212" t="n"/>
      <c r="DS149" s="212" t="n"/>
      <c r="DT149" s="212" t="n"/>
      <c r="DU149" s="212" t="n"/>
      <c r="DV149" s="212" t="n"/>
      <c r="DW149" s="212" t="n"/>
      <c r="DX149" s="212" t="n"/>
      <c r="DY149" s="212" t="n"/>
      <c r="DZ149" s="212" t="n"/>
      <c r="EA149" s="212" t="n"/>
      <c r="EB149" s="212" t="n"/>
      <c r="EC149" s="212" t="n"/>
      <c r="ED149" s="212" t="n"/>
      <c r="EE149" s="212" t="n"/>
      <c r="EF149" s="212" t="n"/>
      <c r="EG149" s="212" t="n"/>
      <c r="EH149" s="212" t="n"/>
      <c r="EI149" s="212" t="n"/>
      <c r="EJ149" s="212" t="n"/>
      <c r="EK149" s="212" t="n"/>
      <c r="EL149" s="212" t="n"/>
      <c r="EM149" s="212" t="n"/>
      <c r="EN149" s="212" t="n"/>
      <c r="EO149" s="212" t="n"/>
      <c r="EP149" s="212" t="n"/>
      <c r="EQ149" s="212" t="n"/>
      <c r="ER149" s="212" t="n"/>
      <c r="ES149" s="212" t="n"/>
      <c r="ET149" s="212" t="n"/>
      <c r="EU149" s="212" t="n"/>
      <c r="EV149" s="212" t="n"/>
      <c r="EW149" s="212" t="n"/>
      <c r="EX149" s="212" t="n"/>
      <c r="EY149" s="212" t="n"/>
      <c r="EZ149" s="212" t="n"/>
      <c r="FA149" s="212" t="n"/>
      <c r="FB149" s="212" t="n"/>
      <c r="FC149" s="212" t="n"/>
      <c r="FD149" s="212" t="n"/>
      <c r="FE149" s="212" t="n"/>
      <c r="FF149" s="212" t="n"/>
      <c r="FG149" s="212" t="n"/>
      <c r="FH149" s="212" t="n"/>
      <c r="FI149" s="212" t="n"/>
      <c r="FJ149" s="212" t="n"/>
      <c r="FK149" s="212" t="n"/>
      <c r="FL149" s="212" t="n"/>
      <c r="FM149" s="212" t="n"/>
      <c r="FN149" s="212" t="n"/>
      <c r="FO149" s="212" t="n"/>
      <c r="FP149" s="212" t="n"/>
      <c r="FQ149" s="212" t="n"/>
      <c r="FR149" s="212" t="n"/>
      <c r="FS149" s="212" t="n"/>
      <c r="FT149" s="212" t="n"/>
      <c r="FU149" s="212" t="n"/>
      <c r="FV149" s="212" t="n"/>
      <c r="FW149" s="212" t="n"/>
      <c r="FX149" s="212" t="n"/>
      <c r="FY149" s="212" t="n"/>
      <c r="FZ149" s="212" t="n"/>
      <c r="GA149" s="212" t="n"/>
      <c r="GB149" s="212" t="n"/>
      <c r="GC149" s="212" t="n"/>
      <c r="GD149" s="212" t="n"/>
      <c r="GE149" s="212" t="n"/>
      <c r="GF149" s="212" t="n"/>
      <c r="GG149" s="212" t="n"/>
      <c r="GH149" s="212" t="n"/>
      <c r="GI149" s="212" t="n"/>
      <c r="GJ149" s="212" t="n"/>
      <c r="GK149" s="212" t="n"/>
      <c r="GL149" s="212" t="n"/>
      <c r="GM149" s="212" t="n"/>
      <c r="GN149" s="212" t="n"/>
      <c r="GO149" s="212" t="n"/>
      <c r="GP149" s="212" t="n"/>
      <c r="GQ149" s="212" t="n"/>
      <c r="GR149" s="212" t="n"/>
      <c r="GS149" s="212" t="n"/>
      <c r="GT149" s="212" t="n"/>
      <c r="GU149" s="212" t="n"/>
      <c r="GV149" s="212" t="n"/>
      <c r="GW149" s="212" t="n"/>
      <c r="GX149" s="212" t="n"/>
      <c r="GY149" s="212" t="n"/>
      <c r="GZ149" s="212" t="n"/>
      <c r="HA149" s="212" t="n"/>
      <c r="HB149" s="212" t="n"/>
      <c r="HC149" s="212" t="n"/>
      <c r="HD149" s="212" t="n"/>
      <c r="HE149" s="212" t="n"/>
      <c r="HF149" s="212" t="n"/>
      <c r="HG149" s="212" t="n"/>
      <c r="HH149" s="212" t="n"/>
      <c r="HI149" s="212" t="n"/>
      <c r="HJ149" s="212" t="n"/>
      <c r="HK149" s="212" t="n"/>
      <c r="HL149" s="212" t="n"/>
      <c r="HM149" s="212" t="n"/>
      <c r="HN149" s="212" t="n"/>
      <c r="HO149" s="212" t="n"/>
      <c r="HP149" s="212" t="n"/>
      <c r="HQ149" s="212" t="n"/>
      <c r="HR149" s="212" t="n"/>
      <c r="HS149" s="212" t="n"/>
      <c r="HT149" s="212" t="n"/>
      <c r="HU149" s="212" t="n"/>
      <c r="HV149" s="212" t="n"/>
      <c r="HW149" s="212" t="n"/>
      <c r="HX149" s="212" t="n"/>
      <c r="HY149" s="212" t="n"/>
      <c r="HZ149" s="212" t="n"/>
      <c r="IA149" s="212" t="n"/>
      <c r="IB149" s="212" t="n"/>
      <c r="IC149" s="212" t="n"/>
      <c r="ID149" s="212" t="n"/>
      <c r="IE149" s="212" t="n"/>
      <c r="IF149" s="212" t="n"/>
      <c r="IG149" s="212" t="n"/>
      <c r="IH149" s="212" t="n"/>
      <c r="II149" s="212" t="n"/>
      <c r="IJ149" s="212" t="n"/>
      <c r="IK149" s="212" t="n"/>
      <c r="IL149" s="212" t="n"/>
      <c r="IM149" s="212" t="n"/>
      <c r="IN149" s="212" t="n"/>
      <c r="IO149" s="212" t="n"/>
      <c r="IP149" s="212" t="n"/>
      <c r="IQ149" s="212" t="n"/>
      <c r="IR149" s="212" t="n"/>
      <c r="IS149" s="212" t="n"/>
      <c r="IT149" s="212" t="n"/>
      <c r="IU149" s="212" t="n"/>
      <c r="IV149" s="212" t="n"/>
      <c r="IW149" s="212" t="n"/>
      <c r="IX149" s="212" t="n"/>
      <c r="IY149" s="212" t="n"/>
      <c r="IZ149" s="212" t="n"/>
      <c r="JA149" s="212" t="n"/>
      <c r="JB149" s="212" t="n"/>
      <c r="JC149" s="212" t="n"/>
      <c r="JD149" s="212" t="n"/>
      <c r="JE149" s="212" t="n"/>
      <c r="JF149" s="212" t="n"/>
      <c r="JG149" s="212" t="n"/>
      <c r="JH149" s="212" t="n"/>
      <c r="JI149" s="212" t="n"/>
      <c r="JJ149" s="212" t="n"/>
      <c r="JK149" s="212" t="n"/>
      <c r="JL149" s="212" t="n"/>
      <c r="JM149" s="212" t="n"/>
      <c r="JN149" s="212" t="n"/>
      <c r="JO149" s="212" t="n"/>
      <c r="JP149" s="212" t="n"/>
      <c r="JQ149" s="212" t="n"/>
      <c r="JR149" s="212" t="n"/>
      <c r="JS149" s="212" t="n"/>
      <c r="JT149" s="212" t="n"/>
      <c r="JU149" s="212" t="n"/>
      <c r="JV149" s="212" t="n"/>
      <c r="JW149" s="212" t="n"/>
      <c r="JX149" s="212" t="n"/>
      <c r="JY149" s="212" t="n"/>
      <c r="JZ149" s="212" t="n"/>
      <c r="KA149" s="212" t="n"/>
      <c r="KB149" s="212" t="n"/>
      <c r="KC149" s="212" t="n"/>
      <c r="KD149" s="212" t="n"/>
      <c r="KE149" s="212" t="n"/>
      <c r="KF149" s="212" t="n"/>
      <c r="KG149" s="212" t="n"/>
      <c r="KH149" s="212" t="n"/>
      <c r="KI149" s="212" t="n"/>
      <c r="KJ149" s="212" t="n"/>
      <c r="KK149" s="212" t="n"/>
      <c r="KL149" s="212" t="n"/>
      <c r="KM149" s="212" t="n"/>
      <c r="KN149" s="212" t="n"/>
      <c r="KO149" s="212" t="n"/>
      <c r="KP149" s="212" t="n"/>
      <c r="KQ149" s="212" t="n"/>
      <c r="KR149" s="212" t="n"/>
      <c r="KS149" s="212" t="n"/>
      <c r="KT149" s="212" t="n"/>
      <c r="KU149" s="212" t="n"/>
      <c r="KV149" s="212" t="n"/>
      <c r="KW149" s="212" t="n"/>
      <c r="KX149" s="212" t="n"/>
      <c r="KY149" s="212" t="n"/>
      <c r="KZ149" s="212" t="n"/>
      <c r="LA149" s="212" t="n"/>
      <c r="LB149" s="212" t="n"/>
      <c r="LC149" s="212" t="n"/>
      <c r="LD149" s="212" t="n"/>
      <c r="LE149" s="212" t="n"/>
      <c r="LF149" s="212" t="n"/>
      <c r="LG149" s="212" t="n"/>
      <c r="LH149" s="212" t="n"/>
      <c r="LI149" s="212" t="n"/>
      <c r="LJ149" s="212" t="n"/>
      <c r="LK149" s="212" t="n"/>
      <c r="LL149" s="212" t="n"/>
      <c r="LM149" s="212" t="n"/>
      <c r="LN149" s="212" t="n"/>
      <c r="LO149" s="212" t="n"/>
      <c r="LP149" s="212" t="n"/>
      <c r="LQ149" s="212" t="n"/>
      <c r="LR149" s="212" t="n"/>
      <c r="LS149" s="212" t="n"/>
      <c r="LT149" s="212" t="n"/>
      <c r="LU149" s="212" t="n"/>
      <c r="LV149" s="212" t="n"/>
      <c r="LW149" s="212" t="n"/>
      <c r="LX149" s="212" t="n"/>
      <c r="LY149" s="212" t="n"/>
      <c r="LZ149" s="212" t="n"/>
      <c r="MA149" s="212" t="n"/>
      <c r="MB149" s="212" t="n"/>
      <c r="MC149" s="212" t="n"/>
      <c r="MD149" s="212" t="n"/>
      <c r="ME149" s="212" t="n"/>
      <c r="MF149" s="212" t="n"/>
      <c r="MG149" s="212" t="n"/>
      <c r="MH149" s="212" t="n"/>
      <c r="MI149" s="212" t="n"/>
      <c r="MJ149" s="212" t="n"/>
      <c r="MK149" s="212" t="n"/>
      <c r="ML149" s="212" t="n"/>
      <c r="MM149" s="212" t="n"/>
      <c r="MN149" s="212" t="n"/>
      <c r="MO149" s="212" t="n"/>
      <c r="MP149" s="212" t="n"/>
      <c r="MQ149" s="212" t="n"/>
      <c r="MR149" s="212" t="n"/>
      <c r="MS149" s="212" t="n"/>
      <c r="MT149" s="212" t="n"/>
      <c r="MU149" s="212" t="n"/>
      <c r="MV149" s="212" t="n"/>
      <c r="MW149" s="212" t="n"/>
      <c r="MX149" s="212" t="n"/>
      <c r="MY149" s="212" t="n"/>
      <c r="MZ149" s="212" t="n"/>
      <c r="NA149" s="212" t="n"/>
      <c r="NB149" s="212" t="n"/>
      <c r="NC149" s="212" t="n"/>
      <c r="ND149" s="212" t="n"/>
      <c r="NE149" s="212" t="n"/>
      <c r="NF149" s="212" t="n"/>
      <c r="NG149" s="212" t="n"/>
      <c r="NH149" s="212" t="n"/>
      <c r="NI149" s="212" t="n"/>
      <c r="NJ149" s="212" t="n"/>
      <c r="NK149" s="212" t="n"/>
      <c r="NL149" s="212" t="n"/>
      <c r="NM149" s="212" t="n"/>
      <c r="NN149" s="212" t="n"/>
      <c r="NO149" s="212" t="n"/>
      <c r="NP149" s="212" t="n"/>
      <c r="NQ149" s="212" t="n"/>
      <c r="NR149" s="212" t="n"/>
      <c r="NS149" s="212" t="n"/>
      <c r="NT149" s="212" t="n"/>
      <c r="NU149" s="212" t="n"/>
      <c r="NV149" s="212" t="n"/>
      <c r="NW149" s="212" t="n"/>
      <c r="NX149" s="212" t="n"/>
      <c r="NY149" s="212" t="n"/>
      <c r="NZ149" s="212" t="n"/>
      <c r="OA149" s="212" t="n"/>
      <c r="OB149" s="212" t="n"/>
      <c r="OC149" s="212" t="n"/>
      <c r="OD149" s="212" t="n"/>
      <c r="OE149" s="212" t="n"/>
      <c r="OF149" s="212" t="n"/>
      <c r="OG149" s="212" t="n"/>
      <c r="OH149" s="212" t="n"/>
      <c r="OI149" s="212" t="n"/>
      <c r="OJ149" s="212" t="n"/>
      <c r="OK149" s="212" t="n"/>
      <c r="OL149" s="212" t="n"/>
      <c r="OM149" s="212" t="n"/>
      <c r="ON149" s="212" t="n"/>
      <c r="OO149" s="212" t="n"/>
      <c r="OP149" s="212" t="n"/>
      <c r="OQ149" s="212" t="n"/>
      <c r="OR149" s="212" t="n"/>
      <c r="OS149" s="212" t="n"/>
      <c r="OT149" s="212" t="n"/>
      <c r="OU149" s="212" t="n"/>
      <c r="OV149" s="212" t="n"/>
      <c r="OW149" s="212" t="n"/>
      <c r="OX149" s="212" t="n"/>
      <c r="OY149" s="212" t="n"/>
      <c r="OZ149" s="212" t="n"/>
      <c r="PA149" s="212" t="n"/>
      <c r="PB149" s="212" t="n"/>
      <c r="PC149" s="212" t="n"/>
      <c r="PD149" s="212" t="n"/>
      <c r="PE149" s="212" t="n"/>
      <c r="PF149" s="212" t="n"/>
      <c r="PG149" s="212" t="n"/>
      <c r="PH149" s="212" t="n"/>
      <c r="PI149" s="212" t="n"/>
      <c r="PJ149" s="212" t="n"/>
      <c r="PK149" s="212" t="n"/>
      <c r="PL149" s="212" t="n"/>
      <c r="PM149" s="212" t="n"/>
      <c r="PN149" s="212" t="n"/>
      <c r="PO149" s="212" t="n"/>
      <c r="PP149" s="212" t="n"/>
      <c r="PQ149" s="212" t="n"/>
      <c r="PR149" s="212" t="n"/>
      <c r="PS149" s="212" t="n"/>
      <c r="PT149" s="212" t="n"/>
      <c r="PU149" s="212" t="n"/>
      <c r="PV149" s="212" t="n"/>
      <c r="PW149" s="212" t="n"/>
      <c r="PX149" s="212" t="n"/>
      <c r="PY149" s="212" t="n"/>
      <c r="PZ149" s="212" t="n"/>
      <c r="QA149" s="212" t="n"/>
      <c r="QB149" s="212" t="n"/>
      <c r="QC149" s="212" t="n"/>
      <c r="QD149" s="212" t="n"/>
      <c r="QE149" s="212" t="n"/>
      <c r="QF149" s="212" t="n"/>
      <c r="QG149" s="212" t="n"/>
      <c r="QH149" s="212" t="n"/>
      <c r="QI149" s="212" t="n"/>
      <c r="QJ149" s="212" t="n"/>
      <c r="QK149" s="212" t="n"/>
      <c r="QL149" s="212" t="n"/>
      <c r="QM149" s="212" t="n"/>
      <c r="QN149" s="212" t="n"/>
      <c r="QO149" s="212" t="n"/>
      <c r="QP149" s="212" t="n"/>
      <c r="QQ149" s="212" t="n"/>
      <c r="QR149" s="212" t="n"/>
      <c r="QS149" s="212" t="n"/>
      <c r="QT149" s="212" t="n"/>
      <c r="QU149" s="212" t="n"/>
      <c r="QV149" s="212" t="n"/>
      <c r="QW149" s="212" t="n"/>
      <c r="QX149" s="212" t="n"/>
      <c r="QY149" s="212" t="n"/>
      <c r="QZ149" s="212" t="n"/>
      <c r="RA149" s="212" t="n"/>
      <c r="RB149" s="212" t="n"/>
      <c r="RC149" s="212" t="n"/>
      <c r="RD149" s="212" t="n"/>
      <c r="RE149" s="212" t="n"/>
      <c r="RF149" s="212" t="n"/>
      <c r="RG149" s="212" t="n"/>
      <c r="RH149" s="212" t="n"/>
      <c r="RI149" s="212" t="n"/>
      <c r="RJ149" s="212" t="n"/>
      <c r="RK149" s="212" t="n"/>
      <c r="RL149" s="212" t="n"/>
      <c r="RM149" s="212" t="n"/>
      <c r="RN149" s="212" t="n"/>
      <c r="RO149" s="212" t="n"/>
      <c r="RP149" s="212" t="n"/>
      <c r="RQ149" s="212" t="n"/>
      <c r="RR149" s="212" t="n"/>
      <c r="RS149" s="212" t="n"/>
      <c r="RT149" s="212" t="n"/>
      <c r="RU149" s="212" t="n"/>
      <c r="RV149" s="212" t="n"/>
      <c r="RW149" s="212" t="n"/>
      <c r="RX149" s="212" t="n"/>
      <c r="RY149" s="212" t="n"/>
      <c r="RZ149" s="212" t="n"/>
      <c r="SA149" s="212" t="n"/>
      <c r="SB149" s="212" t="n"/>
      <c r="SC149" s="212" t="n"/>
      <c r="SD149" s="212" t="n"/>
      <c r="SE149" s="212" t="n"/>
      <c r="SF149" s="212" t="n"/>
      <c r="SG149" s="212" t="n"/>
      <c r="SH149" s="212" t="n"/>
      <c r="SI149" s="212" t="n"/>
      <c r="SJ149" s="212" t="n"/>
      <c r="SK149" s="212" t="n"/>
      <c r="SL149" s="212" t="n"/>
      <c r="SM149" s="212" t="n"/>
      <c r="SN149" s="212" t="n"/>
      <c r="SO149" s="212" t="n"/>
      <c r="SP149" s="212" t="n"/>
      <c r="SQ149" s="212" t="n"/>
      <c r="SR149" s="212" t="n"/>
      <c r="SS149" s="212" t="n"/>
      <c r="ST149" s="212" t="n"/>
      <c r="SU149" s="212" t="n"/>
      <c r="SV149" s="212" t="n"/>
    </row>
    <row r="150">
      <c r="B150" s="209" t="n"/>
      <c r="C150" s="209" t="n"/>
      <c r="D150" s="209" t="n"/>
      <c r="E150" s="209" t="n"/>
      <c r="F150" s="209">
        <f>IF(TRIM(D150&amp;E150)="","",TRIM(D150)&amp;" "&amp;TRIM(E150))</f>
        <v/>
      </c>
      <c r="G150" s="209" t="n"/>
      <c r="H150" s="209" t="n"/>
      <c r="I150" s="209" t="n"/>
      <c r="J150" s="209" t="n"/>
      <c r="K150" s="209" t="n"/>
      <c r="L150" s="209" t="n"/>
      <c r="M150" s="209" t="n"/>
      <c r="N150" s="209" t="n"/>
      <c r="O150" s="209" t="n"/>
      <c r="P150" s="209" t="n"/>
      <c r="Q150" s="209" t="n"/>
      <c r="R150" s="209" t="n"/>
      <c r="S150" s="212" t="n"/>
      <c r="T150" s="212" t="n"/>
      <c r="U150" s="212" t="n"/>
      <c r="V150" s="212" t="n"/>
      <c r="W150" s="212" t="n"/>
      <c r="X150" s="212" t="n"/>
      <c r="Y150" s="212" t="n"/>
      <c r="Z150" s="212" t="n"/>
      <c r="AA150" s="212" t="n"/>
      <c r="AB150" s="212" t="n"/>
      <c r="AC150" s="212" t="n"/>
      <c r="AD150" s="212" t="n"/>
      <c r="AE150" s="212" t="n"/>
      <c r="AF150" s="212" t="n"/>
      <c r="AG150" s="212" t="n"/>
      <c r="AH150" s="212" t="n"/>
      <c r="AI150" s="212" t="n"/>
      <c r="AJ150" s="212" t="n"/>
      <c r="AK150" s="212" t="n"/>
      <c r="AL150" s="212" t="n"/>
      <c r="AM150" s="212" t="n"/>
      <c r="AN150" s="212" t="n"/>
      <c r="AO150" s="212" t="n"/>
      <c r="AP150" s="212" t="n"/>
      <c r="AQ150" s="212" t="n"/>
      <c r="AR150" s="212" t="n"/>
      <c r="AS150" s="212" t="n"/>
      <c r="AT150" s="212" t="n"/>
      <c r="AU150" s="212" t="n"/>
      <c r="AV150" s="212" t="n"/>
      <c r="AW150" s="212" t="n"/>
      <c r="AX150" s="212" t="n"/>
      <c r="AY150" s="212" t="n"/>
      <c r="AZ150" s="212" t="n"/>
      <c r="BA150" s="212" t="n"/>
      <c r="BB150" s="212" t="n"/>
      <c r="BC150" s="212" t="n"/>
      <c r="BD150" s="212" t="n"/>
      <c r="BE150" s="212" t="n"/>
      <c r="BF150" s="212" t="n"/>
      <c r="BG150" s="212" t="n"/>
      <c r="BH150" s="212" t="n"/>
      <c r="BI150" s="212" t="n"/>
      <c r="BJ150" s="212" t="n"/>
      <c r="BK150" s="212" t="n"/>
      <c r="BL150" s="212" t="n"/>
      <c r="BM150" s="212" t="n"/>
      <c r="BN150" s="212" t="n"/>
      <c r="BO150" s="212" t="n"/>
      <c r="BP150" s="212" t="n"/>
      <c r="BQ150" s="212" t="n"/>
      <c r="BR150" s="212" t="n"/>
      <c r="BS150" s="212" t="n"/>
      <c r="BT150" s="212" t="n"/>
      <c r="BU150" s="212" t="n"/>
      <c r="BV150" s="212" t="n"/>
      <c r="BW150" s="212" t="n"/>
      <c r="BX150" s="212" t="n"/>
      <c r="BY150" s="212" t="n"/>
      <c r="BZ150" s="212" t="n"/>
      <c r="CA150" s="212" t="n"/>
      <c r="CB150" s="212" t="n"/>
      <c r="CC150" s="212" t="n"/>
      <c r="CD150" s="212" t="n"/>
      <c r="CE150" s="212" t="n"/>
      <c r="CF150" s="212" t="n"/>
      <c r="CG150" s="212" t="n"/>
      <c r="CH150" s="212" t="n"/>
      <c r="CI150" s="212" t="n"/>
      <c r="CJ150" s="212" t="n"/>
      <c r="CK150" s="212" t="n"/>
      <c r="CL150" s="212" t="n"/>
      <c r="CM150" s="212" t="n"/>
      <c r="CN150" s="212" t="n"/>
      <c r="CO150" s="212" t="n"/>
      <c r="CP150" s="212" t="n"/>
      <c r="CQ150" s="212" t="n"/>
      <c r="CR150" s="212" t="n"/>
      <c r="CS150" s="212" t="n"/>
      <c r="CT150" s="212" t="n"/>
      <c r="CU150" s="212" t="n"/>
      <c r="CV150" s="212" t="n"/>
      <c r="CW150" s="212" t="n"/>
      <c r="CX150" s="212" t="n"/>
      <c r="CY150" s="212" t="n"/>
      <c r="CZ150" s="212" t="n"/>
      <c r="DA150" s="212" t="n"/>
      <c r="DB150" s="212" t="n"/>
      <c r="DC150" s="212" t="n"/>
      <c r="DD150" s="212" t="n"/>
      <c r="DE150" s="212" t="n"/>
      <c r="DF150" s="212" t="n"/>
      <c r="DG150" s="212" t="n"/>
      <c r="DH150" s="212" t="n"/>
      <c r="DI150" s="212" t="n"/>
      <c r="DJ150" s="212" t="n"/>
      <c r="DK150" s="212" t="n"/>
      <c r="DL150" s="212" t="n"/>
      <c r="DM150" s="212" t="n"/>
      <c r="DN150" s="212" t="n"/>
      <c r="DO150" s="212" t="n"/>
      <c r="DP150" s="212" t="n"/>
      <c r="DQ150" s="212" t="n"/>
      <c r="DR150" s="212" t="n"/>
      <c r="DS150" s="212" t="n"/>
      <c r="DT150" s="212" t="n"/>
      <c r="DU150" s="212" t="n"/>
      <c r="DV150" s="212" t="n"/>
      <c r="DW150" s="212" t="n"/>
      <c r="DX150" s="212" t="n"/>
      <c r="DY150" s="212" t="n"/>
      <c r="DZ150" s="212" t="n"/>
      <c r="EA150" s="212" t="n"/>
      <c r="EB150" s="212" t="n"/>
      <c r="EC150" s="212" t="n"/>
      <c r="ED150" s="212" t="n"/>
      <c r="EE150" s="212" t="n"/>
      <c r="EF150" s="212" t="n"/>
      <c r="EG150" s="212" t="n"/>
      <c r="EH150" s="212" t="n"/>
      <c r="EI150" s="212" t="n"/>
      <c r="EJ150" s="212" t="n"/>
      <c r="EK150" s="212" t="n"/>
      <c r="EL150" s="212" t="n"/>
      <c r="EM150" s="212" t="n"/>
      <c r="EN150" s="212" t="n"/>
      <c r="EO150" s="212" t="n"/>
      <c r="EP150" s="212" t="n"/>
      <c r="EQ150" s="212" t="n"/>
      <c r="ER150" s="212" t="n"/>
      <c r="ES150" s="212" t="n"/>
      <c r="ET150" s="212" t="n"/>
      <c r="EU150" s="212" t="n"/>
      <c r="EV150" s="212" t="n"/>
      <c r="EW150" s="212" t="n"/>
      <c r="EX150" s="212" t="n"/>
      <c r="EY150" s="212" t="n"/>
      <c r="EZ150" s="212" t="n"/>
      <c r="FA150" s="212" t="n"/>
      <c r="FB150" s="212" t="n"/>
      <c r="FC150" s="212" t="n"/>
      <c r="FD150" s="212" t="n"/>
      <c r="FE150" s="212" t="n"/>
      <c r="FF150" s="212" t="n"/>
      <c r="FG150" s="212" t="n"/>
      <c r="FH150" s="212" t="n"/>
      <c r="FI150" s="212" t="n"/>
      <c r="FJ150" s="212" t="n"/>
      <c r="FK150" s="212" t="n"/>
      <c r="FL150" s="212" t="n"/>
      <c r="FM150" s="212" t="n"/>
      <c r="FN150" s="212" t="n"/>
      <c r="FO150" s="212" t="n"/>
      <c r="FP150" s="212" t="n"/>
      <c r="FQ150" s="212" t="n"/>
      <c r="FR150" s="212" t="n"/>
      <c r="FS150" s="212" t="n"/>
      <c r="FT150" s="212" t="n"/>
      <c r="FU150" s="212" t="n"/>
      <c r="FV150" s="212" t="n"/>
      <c r="FW150" s="212" t="n"/>
      <c r="FX150" s="212" t="n"/>
      <c r="FY150" s="212" t="n"/>
      <c r="FZ150" s="212" t="n"/>
      <c r="GA150" s="212" t="n"/>
      <c r="GB150" s="212" t="n"/>
      <c r="GC150" s="212" t="n"/>
      <c r="GD150" s="212" t="n"/>
      <c r="GE150" s="212" t="n"/>
      <c r="GF150" s="212" t="n"/>
      <c r="GG150" s="212" t="n"/>
      <c r="GH150" s="212" t="n"/>
      <c r="GI150" s="212" t="n"/>
      <c r="GJ150" s="212" t="n"/>
      <c r="GK150" s="212" t="n"/>
      <c r="GL150" s="212" t="n"/>
      <c r="GM150" s="212" t="n"/>
      <c r="GN150" s="212" t="n"/>
      <c r="GO150" s="212" t="n"/>
      <c r="GP150" s="212" t="n"/>
      <c r="GQ150" s="212" t="n"/>
      <c r="GR150" s="212" t="n"/>
      <c r="GS150" s="212" t="n"/>
      <c r="GT150" s="212" t="n"/>
      <c r="GU150" s="212" t="n"/>
      <c r="GV150" s="212" t="n"/>
      <c r="GW150" s="212" t="n"/>
      <c r="GX150" s="212" t="n"/>
      <c r="GY150" s="212" t="n"/>
      <c r="GZ150" s="212" t="n"/>
      <c r="HA150" s="212" t="n"/>
      <c r="HB150" s="212" t="n"/>
      <c r="HC150" s="212" t="n"/>
      <c r="HD150" s="212" t="n"/>
      <c r="HE150" s="212" t="n"/>
      <c r="HF150" s="212" t="n"/>
      <c r="HG150" s="212" t="n"/>
      <c r="HH150" s="212" t="n"/>
      <c r="HI150" s="212" t="n"/>
      <c r="HJ150" s="212" t="n"/>
      <c r="HK150" s="212" t="n"/>
      <c r="HL150" s="212" t="n"/>
      <c r="HM150" s="212" t="n"/>
      <c r="HN150" s="212" t="n"/>
      <c r="HO150" s="212" t="n"/>
      <c r="HP150" s="212" t="n"/>
      <c r="HQ150" s="212" t="n"/>
      <c r="HR150" s="212" t="n"/>
      <c r="HS150" s="212" t="n"/>
      <c r="HT150" s="212" t="n"/>
      <c r="HU150" s="212" t="n"/>
      <c r="HV150" s="212" t="n"/>
      <c r="HW150" s="212" t="n"/>
      <c r="HX150" s="212" t="n"/>
      <c r="HY150" s="212" t="n"/>
      <c r="HZ150" s="212" t="n"/>
      <c r="IA150" s="212" t="n"/>
      <c r="IB150" s="212" t="n"/>
      <c r="IC150" s="212" t="n"/>
      <c r="ID150" s="212" t="n"/>
      <c r="IE150" s="212" t="n"/>
      <c r="IF150" s="212" t="n"/>
      <c r="IG150" s="212" t="n"/>
      <c r="IH150" s="212" t="n"/>
      <c r="II150" s="212" t="n"/>
      <c r="IJ150" s="212" t="n"/>
      <c r="IK150" s="212" t="n"/>
      <c r="IL150" s="212" t="n"/>
      <c r="IM150" s="212" t="n"/>
      <c r="IN150" s="212" t="n"/>
      <c r="IO150" s="212" t="n"/>
      <c r="IP150" s="212" t="n"/>
      <c r="IQ150" s="212" t="n"/>
      <c r="IR150" s="212" t="n"/>
      <c r="IS150" s="212" t="n"/>
      <c r="IT150" s="212" t="n"/>
      <c r="IU150" s="212" t="n"/>
      <c r="IV150" s="212" t="n"/>
      <c r="IW150" s="212" t="n"/>
      <c r="IX150" s="212" t="n"/>
      <c r="IY150" s="212" t="n"/>
      <c r="IZ150" s="212" t="n"/>
      <c r="JA150" s="212" t="n"/>
      <c r="JB150" s="212" t="n"/>
      <c r="JC150" s="212" t="n"/>
      <c r="JD150" s="212" t="n"/>
      <c r="JE150" s="212" t="n"/>
      <c r="JF150" s="212" t="n"/>
      <c r="JG150" s="212" t="n"/>
      <c r="JH150" s="212" t="n"/>
      <c r="JI150" s="212" t="n"/>
      <c r="JJ150" s="212" t="n"/>
      <c r="JK150" s="212" t="n"/>
      <c r="JL150" s="212" t="n"/>
      <c r="JM150" s="212" t="n"/>
      <c r="JN150" s="212" t="n"/>
      <c r="JO150" s="212" t="n"/>
      <c r="JP150" s="212" t="n"/>
      <c r="JQ150" s="212" t="n"/>
      <c r="JR150" s="212" t="n"/>
      <c r="JS150" s="212" t="n"/>
      <c r="JT150" s="212" t="n"/>
      <c r="JU150" s="212" t="n"/>
      <c r="JV150" s="212" t="n"/>
      <c r="JW150" s="212" t="n"/>
      <c r="JX150" s="212" t="n"/>
      <c r="JY150" s="212" t="n"/>
      <c r="JZ150" s="212" t="n"/>
      <c r="KA150" s="212" t="n"/>
      <c r="KB150" s="212" t="n"/>
      <c r="KC150" s="212" t="n"/>
      <c r="KD150" s="212" t="n"/>
      <c r="KE150" s="212" t="n"/>
      <c r="KF150" s="212" t="n"/>
      <c r="KG150" s="212" t="n"/>
      <c r="KH150" s="212" t="n"/>
      <c r="KI150" s="212" t="n"/>
      <c r="KJ150" s="212" t="n"/>
      <c r="KK150" s="212" t="n"/>
      <c r="KL150" s="212" t="n"/>
      <c r="KM150" s="212" t="n"/>
      <c r="KN150" s="212" t="n"/>
      <c r="KO150" s="212" t="n"/>
      <c r="KP150" s="212" t="n"/>
      <c r="KQ150" s="212" t="n"/>
      <c r="KR150" s="212" t="n"/>
      <c r="KS150" s="212" t="n"/>
      <c r="KT150" s="212" t="n"/>
      <c r="KU150" s="212" t="n"/>
      <c r="KV150" s="212" t="n"/>
      <c r="KW150" s="212" t="n"/>
      <c r="KX150" s="212" t="n"/>
      <c r="KY150" s="212" t="n"/>
      <c r="KZ150" s="212" t="n"/>
      <c r="LA150" s="212" t="n"/>
      <c r="LB150" s="212" t="n"/>
      <c r="LC150" s="212" t="n"/>
      <c r="LD150" s="212" t="n"/>
      <c r="LE150" s="212" t="n"/>
      <c r="LF150" s="212" t="n"/>
      <c r="LG150" s="212" t="n"/>
      <c r="LH150" s="212" t="n"/>
      <c r="LI150" s="212" t="n"/>
      <c r="LJ150" s="212" t="n"/>
      <c r="LK150" s="212" t="n"/>
      <c r="LL150" s="212" t="n"/>
      <c r="LM150" s="212" t="n"/>
      <c r="LN150" s="212" t="n"/>
      <c r="LO150" s="212" t="n"/>
      <c r="LP150" s="212" t="n"/>
      <c r="LQ150" s="212" t="n"/>
      <c r="LR150" s="212" t="n"/>
      <c r="LS150" s="212" t="n"/>
      <c r="LT150" s="212" t="n"/>
      <c r="LU150" s="212" t="n"/>
      <c r="LV150" s="212" t="n"/>
      <c r="LW150" s="212" t="n"/>
      <c r="LX150" s="212" t="n"/>
      <c r="LY150" s="212" t="n"/>
      <c r="LZ150" s="212" t="n"/>
      <c r="MA150" s="212" t="n"/>
      <c r="MB150" s="212" t="n"/>
      <c r="MC150" s="212" t="n"/>
      <c r="MD150" s="212" t="n"/>
      <c r="ME150" s="212" t="n"/>
      <c r="MF150" s="212" t="n"/>
      <c r="MG150" s="212" t="n"/>
      <c r="MH150" s="212" t="n"/>
      <c r="MI150" s="212" t="n"/>
      <c r="MJ150" s="212" t="n"/>
      <c r="MK150" s="212" t="n"/>
      <c r="ML150" s="212" t="n"/>
      <c r="MM150" s="212" t="n"/>
      <c r="MN150" s="212" t="n"/>
      <c r="MO150" s="212" t="n"/>
      <c r="MP150" s="212" t="n"/>
      <c r="MQ150" s="212" t="n"/>
      <c r="MR150" s="212" t="n"/>
      <c r="MS150" s="212" t="n"/>
      <c r="MT150" s="212" t="n"/>
      <c r="MU150" s="212" t="n"/>
      <c r="MV150" s="212" t="n"/>
      <c r="MW150" s="212" t="n"/>
      <c r="MX150" s="212" t="n"/>
      <c r="MY150" s="212" t="n"/>
      <c r="MZ150" s="212" t="n"/>
      <c r="NA150" s="212" t="n"/>
      <c r="NB150" s="212" t="n"/>
      <c r="NC150" s="212" t="n"/>
      <c r="ND150" s="212" t="n"/>
      <c r="NE150" s="212" t="n"/>
      <c r="NF150" s="212" t="n"/>
      <c r="NG150" s="212" t="n"/>
      <c r="NH150" s="212" t="n"/>
      <c r="NI150" s="212" t="n"/>
      <c r="NJ150" s="212" t="n"/>
      <c r="NK150" s="212" t="n"/>
      <c r="NL150" s="212" t="n"/>
      <c r="NM150" s="212" t="n"/>
      <c r="NN150" s="212" t="n"/>
      <c r="NO150" s="212" t="n"/>
      <c r="NP150" s="212" t="n"/>
      <c r="NQ150" s="212" t="n"/>
      <c r="NR150" s="212" t="n"/>
      <c r="NS150" s="212" t="n"/>
      <c r="NT150" s="212" t="n"/>
      <c r="NU150" s="212" t="n"/>
      <c r="NV150" s="212" t="n"/>
      <c r="NW150" s="212" t="n"/>
      <c r="NX150" s="212" t="n"/>
      <c r="NY150" s="212" t="n"/>
      <c r="NZ150" s="212" t="n"/>
      <c r="OA150" s="212" t="n"/>
      <c r="OB150" s="212" t="n"/>
      <c r="OC150" s="212" t="n"/>
      <c r="OD150" s="212" t="n"/>
      <c r="OE150" s="212" t="n"/>
      <c r="OF150" s="212" t="n"/>
      <c r="OG150" s="212" t="n"/>
      <c r="OH150" s="212" t="n"/>
      <c r="OI150" s="212" t="n"/>
      <c r="OJ150" s="212" t="n"/>
      <c r="OK150" s="212" t="n"/>
      <c r="OL150" s="212" t="n"/>
      <c r="OM150" s="212" t="n"/>
      <c r="ON150" s="212" t="n"/>
      <c r="OO150" s="212" t="n"/>
      <c r="OP150" s="212" t="n"/>
      <c r="OQ150" s="212" t="n"/>
      <c r="OR150" s="212" t="n"/>
      <c r="OS150" s="212" t="n"/>
      <c r="OT150" s="212" t="n"/>
      <c r="OU150" s="212" t="n"/>
      <c r="OV150" s="212" t="n"/>
      <c r="OW150" s="212" t="n"/>
      <c r="OX150" s="212" t="n"/>
      <c r="OY150" s="212" t="n"/>
      <c r="OZ150" s="212" t="n"/>
      <c r="PA150" s="212" t="n"/>
      <c r="PB150" s="212" t="n"/>
      <c r="PC150" s="212" t="n"/>
      <c r="PD150" s="212" t="n"/>
      <c r="PE150" s="212" t="n"/>
      <c r="PF150" s="212" t="n"/>
      <c r="PG150" s="212" t="n"/>
      <c r="PH150" s="212" t="n"/>
      <c r="PI150" s="212" t="n"/>
      <c r="PJ150" s="212" t="n"/>
      <c r="PK150" s="212" t="n"/>
      <c r="PL150" s="212" t="n"/>
      <c r="PM150" s="212" t="n"/>
      <c r="PN150" s="212" t="n"/>
      <c r="PO150" s="212" t="n"/>
      <c r="PP150" s="212" t="n"/>
      <c r="PQ150" s="212" t="n"/>
      <c r="PR150" s="212" t="n"/>
      <c r="PS150" s="212" t="n"/>
      <c r="PT150" s="212" t="n"/>
      <c r="PU150" s="212" t="n"/>
      <c r="PV150" s="212" t="n"/>
      <c r="PW150" s="212" t="n"/>
      <c r="PX150" s="212" t="n"/>
      <c r="PY150" s="212" t="n"/>
      <c r="PZ150" s="212" t="n"/>
      <c r="QA150" s="212" t="n"/>
      <c r="QB150" s="212" t="n"/>
      <c r="QC150" s="212" t="n"/>
      <c r="QD150" s="212" t="n"/>
      <c r="QE150" s="212" t="n"/>
      <c r="QF150" s="212" t="n"/>
      <c r="QG150" s="212" t="n"/>
      <c r="QH150" s="212" t="n"/>
      <c r="QI150" s="212" t="n"/>
      <c r="QJ150" s="212" t="n"/>
      <c r="QK150" s="212" t="n"/>
      <c r="QL150" s="212" t="n"/>
      <c r="QM150" s="212" t="n"/>
      <c r="QN150" s="212" t="n"/>
      <c r="QO150" s="212" t="n"/>
      <c r="QP150" s="212" t="n"/>
      <c r="QQ150" s="212" t="n"/>
      <c r="QR150" s="212" t="n"/>
      <c r="QS150" s="212" t="n"/>
      <c r="QT150" s="212" t="n"/>
      <c r="QU150" s="212" t="n"/>
      <c r="QV150" s="212" t="n"/>
      <c r="QW150" s="212" t="n"/>
      <c r="QX150" s="212" t="n"/>
      <c r="QY150" s="212" t="n"/>
      <c r="QZ150" s="212" t="n"/>
      <c r="RA150" s="212" t="n"/>
      <c r="RB150" s="212" t="n"/>
      <c r="RC150" s="212" t="n"/>
      <c r="RD150" s="212" t="n"/>
      <c r="RE150" s="212" t="n"/>
      <c r="RF150" s="212" t="n"/>
      <c r="RG150" s="212" t="n"/>
      <c r="RH150" s="212" t="n"/>
      <c r="RI150" s="212" t="n"/>
      <c r="RJ150" s="212" t="n"/>
      <c r="RK150" s="212" t="n"/>
      <c r="RL150" s="212" t="n"/>
      <c r="RM150" s="212" t="n"/>
      <c r="RN150" s="212" t="n"/>
      <c r="RO150" s="212" t="n"/>
      <c r="RP150" s="212" t="n"/>
      <c r="RQ150" s="212" t="n"/>
      <c r="RR150" s="212" t="n"/>
      <c r="RS150" s="212" t="n"/>
      <c r="RT150" s="212" t="n"/>
      <c r="RU150" s="212" t="n"/>
      <c r="RV150" s="212" t="n"/>
      <c r="RW150" s="212" t="n"/>
      <c r="RX150" s="212" t="n"/>
      <c r="RY150" s="212" t="n"/>
      <c r="RZ150" s="212" t="n"/>
      <c r="SA150" s="212" t="n"/>
      <c r="SB150" s="212" t="n"/>
      <c r="SC150" s="212" t="n"/>
      <c r="SD150" s="212" t="n"/>
      <c r="SE150" s="212" t="n"/>
      <c r="SF150" s="212" t="n"/>
      <c r="SG150" s="212" t="n"/>
      <c r="SH150" s="212" t="n"/>
      <c r="SI150" s="212" t="n"/>
      <c r="SJ150" s="212" t="n"/>
      <c r="SK150" s="212" t="n"/>
      <c r="SL150" s="212" t="n"/>
      <c r="SM150" s="212" t="n"/>
      <c r="SN150" s="212" t="n"/>
      <c r="SO150" s="212" t="n"/>
      <c r="SP150" s="212" t="n"/>
      <c r="SQ150" s="212" t="n"/>
      <c r="SR150" s="212" t="n"/>
      <c r="SS150" s="212" t="n"/>
      <c r="ST150" s="212" t="n"/>
      <c r="SU150" s="212" t="n"/>
      <c r="SV150" s="212" t="n"/>
    </row>
    <row r="151">
      <c r="B151" s="209" t="n"/>
      <c r="C151" s="209" t="n"/>
      <c r="D151" s="209" t="n"/>
      <c r="E151" s="209" t="n"/>
      <c r="F151" s="209">
        <f>IF(TRIM(D151&amp;E151)="","",TRIM(D151)&amp;" "&amp;TRIM(E151))</f>
        <v/>
      </c>
      <c r="G151" s="209" t="n"/>
      <c r="H151" s="209" t="n"/>
      <c r="I151" s="209" t="n"/>
      <c r="J151" s="209" t="n"/>
      <c r="K151" s="209" t="n"/>
      <c r="L151" s="209" t="n"/>
      <c r="M151" s="209" t="n"/>
      <c r="N151" s="209" t="n"/>
      <c r="O151" s="209" t="n"/>
      <c r="P151" s="209" t="n"/>
      <c r="Q151" s="209" t="n"/>
      <c r="R151" s="209" t="n"/>
      <c r="S151" s="212" t="n"/>
      <c r="T151" s="212" t="n"/>
      <c r="U151" s="212" t="n"/>
      <c r="V151" s="212" t="n"/>
      <c r="W151" s="212" t="n"/>
      <c r="X151" s="212" t="n"/>
      <c r="Y151" s="212" t="n"/>
      <c r="Z151" s="212" t="n"/>
      <c r="AA151" s="212" t="n"/>
      <c r="AB151" s="212" t="n"/>
      <c r="AC151" s="212" t="n"/>
      <c r="AD151" s="212" t="n"/>
      <c r="AE151" s="212" t="n"/>
      <c r="AF151" s="212" t="n"/>
      <c r="AG151" s="212" t="n"/>
      <c r="AH151" s="212" t="n"/>
      <c r="AI151" s="212" t="n"/>
      <c r="AJ151" s="212" t="n"/>
      <c r="AK151" s="212" t="n"/>
      <c r="AL151" s="212" t="n"/>
      <c r="AM151" s="212" t="n"/>
      <c r="AN151" s="212" t="n"/>
      <c r="AO151" s="212" t="n"/>
      <c r="AP151" s="212" t="n"/>
      <c r="AQ151" s="212" t="n"/>
      <c r="AR151" s="212" t="n"/>
      <c r="AS151" s="212" t="n"/>
      <c r="AT151" s="212" t="n"/>
      <c r="AU151" s="212" t="n"/>
      <c r="AV151" s="212" t="n"/>
      <c r="AW151" s="212" t="n"/>
      <c r="AX151" s="212" t="n"/>
      <c r="AY151" s="212" t="n"/>
      <c r="AZ151" s="212" t="n"/>
      <c r="BA151" s="212" t="n"/>
      <c r="BB151" s="212" t="n"/>
      <c r="BC151" s="212" t="n"/>
      <c r="BD151" s="212" t="n"/>
      <c r="BE151" s="212" t="n"/>
      <c r="BF151" s="212" t="n"/>
      <c r="BG151" s="212" t="n"/>
      <c r="BH151" s="212" t="n"/>
      <c r="BI151" s="212" t="n"/>
      <c r="BJ151" s="212" t="n"/>
      <c r="BK151" s="212" t="n"/>
      <c r="BL151" s="212" t="n"/>
      <c r="BM151" s="212" t="n"/>
      <c r="BN151" s="212" t="n"/>
      <c r="BO151" s="212" t="n"/>
      <c r="BP151" s="212" t="n"/>
      <c r="BQ151" s="212" t="n"/>
      <c r="BR151" s="212" t="n"/>
      <c r="BS151" s="212" t="n"/>
      <c r="BT151" s="212" t="n"/>
      <c r="BU151" s="212" t="n"/>
      <c r="BV151" s="212" t="n"/>
      <c r="BW151" s="212" t="n"/>
      <c r="BX151" s="212" t="n"/>
      <c r="BY151" s="212" t="n"/>
      <c r="BZ151" s="212" t="n"/>
      <c r="CA151" s="212" t="n"/>
      <c r="CB151" s="212" t="n"/>
      <c r="CC151" s="212" t="n"/>
      <c r="CD151" s="212" t="n"/>
      <c r="CE151" s="212" t="n"/>
      <c r="CF151" s="212" t="n"/>
      <c r="CG151" s="212" t="n"/>
      <c r="CH151" s="212" t="n"/>
      <c r="CI151" s="212" t="n"/>
      <c r="CJ151" s="212" t="n"/>
      <c r="CK151" s="212" t="n"/>
      <c r="CL151" s="212" t="n"/>
      <c r="CM151" s="212" t="n"/>
      <c r="CN151" s="212" t="n"/>
      <c r="CO151" s="212" t="n"/>
      <c r="CP151" s="212" t="n"/>
      <c r="CQ151" s="212" t="n"/>
      <c r="CR151" s="212" t="n"/>
      <c r="CS151" s="212" t="n"/>
      <c r="CT151" s="212" t="n"/>
      <c r="CU151" s="212" t="n"/>
      <c r="CV151" s="212" t="n"/>
      <c r="CW151" s="212" t="n"/>
      <c r="CX151" s="212" t="n"/>
      <c r="CY151" s="212" t="n"/>
      <c r="CZ151" s="212" t="n"/>
      <c r="DA151" s="212" t="n"/>
      <c r="DB151" s="212" t="n"/>
      <c r="DC151" s="212" t="n"/>
      <c r="DD151" s="212" t="n"/>
      <c r="DE151" s="212" t="n"/>
      <c r="DF151" s="212" t="n"/>
      <c r="DG151" s="212" t="n"/>
      <c r="DH151" s="212" t="n"/>
      <c r="DI151" s="212" t="n"/>
      <c r="DJ151" s="212" t="n"/>
      <c r="DK151" s="212" t="n"/>
      <c r="DL151" s="212" t="n"/>
      <c r="DM151" s="212" t="n"/>
      <c r="DN151" s="212" t="n"/>
      <c r="DO151" s="212" t="n"/>
      <c r="DP151" s="212" t="n"/>
      <c r="DQ151" s="212" t="n"/>
      <c r="DR151" s="212" t="n"/>
      <c r="DS151" s="212" t="n"/>
      <c r="DT151" s="212" t="n"/>
      <c r="DU151" s="212" t="n"/>
      <c r="DV151" s="212" t="n"/>
      <c r="DW151" s="212" t="n"/>
      <c r="DX151" s="212" t="n"/>
      <c r="DY151" s="212" t="n"/>
      <c r="DZ151" s="212" t="n"/>
      <c r="EA151" s="212" t="n"/>
      <c r="EB151" s="212" t="n"/>
      <c r="EC151" s="212" t="n"/>
      <c r="ED151" s="212" t="n"/>
      <c r="EE151" s="212" t="n"/>
      <c r="EF151" s="212" t="n"/>
      <c r="EG151" s="212" t="n"/>
      <c r="EH151" s="212" t="n"/>
      <c r="EI151" s="212" t="n"/>
      <c r="EJ151" s="212" t="n"/>
      <c r="EK151" s="212" t="n"/>
      <c r="EL151" s="212" t="n"/>
      <c r="EM151" s="212" t="n"/>
      <c r="EN151" s="212" t="n"/>
      <c r="EO151" s="212" t="n"/>
      <c r="EP151" s="212" t="n"/>
      <c r="EQ151" s="212" t="n"/>
      <c r="ER151" s="212" t="n"/>
      <c r="ES151" s="212" t="n"/>
      <c r="ET151" s="212" t="n"/>
      <c r="EU151" s="212" t="n"/>
      <c r="EV151" s="212" t="n"/>
      <c r="EW151" s="212" t="n"/>
      <c r="EX151" s="212" t="n"/>
      <c r="EY151" s="212" t="n"/>
      <c r="EZ151" s="212" t="n"/>
      <c r="FA151" s="212" t="n"/>
      <c r="FB151" s="212" t="n"/>
      <c r="FC151" s="212" t="n"/>
      <c r="FD151" s="212" t="n"/>
      <c r="FE151" s="212" t="n"/>
      <c r="FF151" s="212" t="n"/>
      <c r="FG151" s="212" t="n"/>
      <c r="FH151" s="212" t="n"/>
      <c r="FI151" s="212" t="n"/>
      <c r="FJ151" s="212" t="n"/>
      <c r="FK151" s="212" t="n"/>
      <c r="FL151" s="212" t="n"/>
      <c r="FM151" s="212" t="n"/>
      <c r="FN151" s="212" t="n"/>
      <c r="FO151" s="212" t="n"/>
      <c r="FP151" s="212" t="n"/>
      <c r="FQ151" s="212" t="n"/>
      <c r="FR151" s="212" t="n"/>
      <c r="FS151" s="212" t="n"/>
      <c r="FT151" s="212" t="n"/>
      <c r="FU151" s="212" t="n"/>
      <c r="FV151" s="212" t="n"/>
      <c r="FW151" s="212" t="n"/>
      <c r="FX151" s="212" t="n"/>
      <c r="FY151" s="212" t="n"/>
      <c r="FZ151" s="212" t="n"/>
      <c r="GA151" s="212" t="n"/>
      <c r="GB151" s="212" t="n"/>
      <c r="GC151" s="212" t="n"/>
      <c r="GD151" s="212" t="n"/>
      <c r="GE151" s="212" t="n"/>
      <c r="GF151" s="212" t="n"/>
      <c r="GG151" s="212" t="n"/>
      <c r="GH151" s="212" t="n"/>
      <c r="GI151" s="212" t="n"/>
      <c r="GJ151" s="212" t="n"/>
      <c r="GK151" s="212" t="n"/>
      <c r="GL151" s="212" t="n"/>
      <c r="GM151" s="212" t="n"/>
      <c r="GN151" s="212" t="n"/>
      <c r="GO151" s="212" t="n"/>
      <c r="GP151" s="212" t="n"/>
      <c r="GQ151" s="212" t="n"/>
      <c r="GR151" s="212" t="n"/>
      <c r="GS151" s="212" t="n"/>
      <c r="GT151" s="212" t="n"/>
      <c r="GU151" s="212" t="n"/>
      <c r="GV151" s="212" t="n"/>
      <c r="GW151" s="212" t="n"/>
      <c r="GX151" s="212" t="n"/>
      <c r="GY151" s="212" t="n"/>
      <c r="GZ151" s="212" t="n"/>
      <c r="HA151" s="212" t="n"/>
      <c r="HB151" s="212" t="n"/>
      <c r="HC151" s="212" t="n"/>
      <c r="HD151" s="212" t="n"/>
      <c r="HE151" s="212" t="n"/>
      <c r="HF151" s="212" t="n"/>
      <c r="HG151" s="212" t="n"/>
      <c r="HH151" s="212" t="n"/>
      <c r="HI151" s="212" t="n"/>
      <c r="HJ151" s="212" t="n"/>
      <c r="HK151" s="212" t="n"/>
      <c r="HL151" s="212" t="n"/>
      <c r="HM151" s="212" t="n"/>
      <c r="HN151" s="212" t="n"/>
      <c r="HO151" s="212" t="n"/>
      <c r="HP151" s="212" t="n"/>
      <c r="HQ151" s="212" t="n"/>
      <c r="HR151" s="212" t="n"/>
      <c r="HS151" s="212" t="n"/>
      <c r="HT151" s="212" t="n"/>
      <c r="HU151" s="212" t="n"/>
      <c r="HV151" s="212" t="n"/>
      <c r="HW151" s="212" t="n"/>
      <c r="HX151" s="212" t="n"/>
      <c r="HY151" s="212" t="n"/>
      <c r="HZ151" s="212" t="n"/>
      <c r="IA151" s="212" t="n"/>
      <c r="IB151" s="212" t="n"/>
      <c r="IC151" s="212" t="n"/>
      <c r="ID151" s="212" t="n"/>
      <c r="IE151" s="212" t="n"/>
      <c r="IF151" s="212" t="n"/>
      <c r="IG151" s="212" t="n"/>
      <c r="IH151" s="212" t="n"/>
      <c r="II151" s="212" t="n"/>
      <c r="IJ151" s="212" t="n"/>
      <c r="IK151" s="212" t="n"/>
      <c r="IL151" s="212" t="n"/>
      <c r="IM151" s="212" t="n"/>
      <c r="IN151" s="212" t="n"/>
      <c r="IO151" s="212" t="n"/>
      <c r="IP151" s="212" t="n"/>
      <c r="IQ151" s="212" t="n"/>
      <c r="IR151" s="212" t="n"/>
      <c r="IS151" s="212" t="n"/>
      <c r="IT151" s="212" t="n"/>
      <c r="IU151" s="212" t="n"/>
      <c r="IV151" s="212" t="n"/>
      <c r="IW151" s="212" t="n"/>
      <c r="IX151" s="212" t="n"/>
      <c r="IY151" s="212" t="n"/>
      <c r="IZ151" s="212" t="n"/>
      <c r="JA151" s="212" t="n"/>
      <c r="JB151" s="212" t="n"/>
      <c r="JC151" s="212" t="n"/>
      <c r="JD151" s="212" t="n"/>
      <c r="JE151" s="212" t="n"/>
      <c r="JF151" s="212" t="n"/>
      <c r="JG151" s="212" t="n"/>
      <c r="JH151" s="212" t="n"/>
      <c r="JI151" s="212" t="n"/>
      <c r="JJ151" s="212" t="n"/>
      <c r="JK151" s="212" t="n"/>
      <c r="JL151" s="212" t="n"/>
      <c r="JM151" s="212" t="n"/>
      <c r="JN151" s="212" t="n"/>
      <c r="JO151" s="212" t="n"/>
      <c r="JP151" s="212" t="n"/>
      <c r="JQ151" s="212" t="n"/>
      <c r="JR151" s="212" t="n"/>
      <c r="JS151" s="212" t="n"/>
      <c r="JT151" s="212" t="n"/>
      <c r="JU151" s="212" t="n"/>
      <c r="JV151" s="212" t="n"/>
      <c r="JW151" s="212" t="n"/>
      <c r="JX151" s="212" t="n"/>
      <c r="JY151" s="212" t="n"/>
      <c r="JZ151" s="212" t="n"/>
      <c r="KA151" s="212" t="n"/>
      <c r="KB151" s="212" t="n"/>
      <c r="KC151" s="212" t="n"/>
      <c r="KD151" s="212" t="n"/>
      <c r="KE151" s="212" t="n"/>
      <c r="KF151" s="212" t="n"/>
      <c r="KG151" s="212" t="n"/>
      <c r="KH151" s="212" t="n"/>
      <c r="KI151" s="212" t="n"/>
      <c r="KJ151" s="212" t="n"/>
      <c r="KK151" s="212" t="n"/>
      <c r="KL151" s="212" t="n"/>
      <c r="KM151" s="212" t="n"/>
      <c r="KN151" s="212" t="n"/>
      <c r="KO151" s="212" t="n"/>
      <c r="KP151" s="212" t="n"/>
      <c r="KQ151" s="212" t="n"/>
      <c r="KR151" s="212" t="n"/>
      <c r="KS151" s="212" t="n"/>
      <c r="KT151" s="212" t="n"/>
      <c r="KU151" s="212" t="n"/>
      <c r="KV151" s="212" t="n"/>
      <c r="KW151" s="212" t="n"/>
      <c r="KX151" s="212" t="n"/>
      <c r="KY151" s="212" t="n"/>
      <c r="KZ151" s="212" t="n"/>
      <c r="LA151" s="212" t="n"/>
      <c r="LB151" s="212" t="n"/>
      <c r="LC151" s="212" t="n"/>
      <c r="LD151" s="212" t="n"/>
      <c r="LE151" s="212" t="n"/>
      <c r="LF151" s="212" t="n"/>
      <c r="LG151" s="212" t="n"/>
      <c r="LH151" s="212" t="n"/>
      <c r="LI151" s="212" t="n"/>
      <c r="LJ151" s="212" t="n"/>
      <c r="LK151" s="212" t="n"/>
      <c r="LL151" s="212" t="n"/>
      <c r="LM151" s="212" t="n"/>
      <c r="LN151" s="212" t="n"/>
      <c r="LO151" s="212" t="n"/>
      <c r="LP151" s="212" t="n"/>
      <c r="LQ151" s="212" t="n"/>
      <c r="LR151" s="212" t="n"/>
      <c r="LS151" s="212" t="n"/>
      <c r="LT151" s="212" t="n"/>
      <c r="LU151" s="212" t="n"/>
      <c r="LV151" s="212" t="n"/>
      <c r="LW151" s="212" t="n"/>
      <c r="LX151" s="212" t="n"/>
      <c r="LY151" s="212" t="n"/>
      <c r="LZ151" s="212" t="n"/>
      <c r="MA151" s="212" t="n"/>
      <c r="MB151" s="212" t="n"/>
      <c r="MC151" s="212" t="n"/>
      <c r="MD151" s="212" t="n"/>
      <c r="ME151" s="212" t="n"/>
      <c r="MF151" s="212" t="n"/>
      <c r="MG151" s="212" t="n"/>
      <c r="MH151" s="212" t="n"/>
      <c r="MI151" s="212" t="n"/>
      <c r="MJ151" s="212" t="n"/>
      <c r="MK151" s="212" t="n"/>
      <c r="ML151" s="212" t="n"/>
      <c r="MM151" s="212" t="n"/>
      <c r="MN151" s="212" t="n"/>
      <c r="MO151" s="212" t="n"/>
      <c r="MP151" s="212" t="n"/>
      <c r="MQ151" s="212" t="n"/>
      <c r="MR151" s="212" t="n"/>
      <c r="MS151" s="212" t="n"/>
      <c r="MT151" s="212" t="n"/>
      <c r="MU151" s="212" t="n"/>
      <c r="MV151" s="212" t="n"/>
      <c r="MW151" s="212" t="n"/>
      <c r="MX151" s="212" t="n"/>
      <c r="MY151" s="212" t="n"/>
      <c r="MZ151" s="212" t="n"/>
      <c r="NA151" s="212" t="n"/>
      <c r="NB151" s="212" t="n"/>
      <c r="NC151" s="212" t="n"/>
      <c r="ND151" s="212" t="n"/>
      <c r="NE151" s="212" t="n"/>
      <c r="NF151" s="212" t="n"/>
      <c r="NG151" s="212" t="n"/>
      <c r="NH151" s="212" t="n"/>
      <c r="NI151" s="212" t="n"/>
      <c r="NJ151" s="212" t="n"/>
      <c r="NK151" s="212" t="n"/>
      <c r="NL151" s="212" t="n"/>
      <c r="NM151" s="212" t="n"/>
      <c r="NN151" s="212" t="n"/>
      <c r="NO151" s="212" t="n"/>
      <c r="NP151" s="212" t="n"/>
      <c r="NQ151" s="212" t="n"/>
      <c r="NR151" s="212" t="n"/>
      <c r="NS151" s="212" t="n"/>
      <c r="NT151" s="212" t="n"/>
      <c r="NU151" s="212" t="n"/>
      <c r="NV151" s="212" t="n"/>
      <c r="NW151" s="212" t="n"/>
      <c r="NX151" s="212" t="n"/>
      <c r="NY151" s="212" t="n"/>
      <c r="NZ151" s="212" t="n"/>
      <c r="OA151" s="212" t="n"/>
      <c r="OB151" s="212" t="n"/>
      <c r="OC151" s="212" t="n"/>
      <c r="OD151" s="212" t="n"/>
      <c r="OE151" s="212" t="n"/>
      <c r="OF151" s="212" t="n"/>
      <c r="OG151" s="212" t="n"/>
      <c r="OH151" s="212" t="n"/>
      <c r="OI151" s="212" t="n"/>
      <c r="OJ151" s="212" t="n"/>
      <c r="OK151" s="212" t="n"/>
      <c r="OL151" s="212" t="n"/>
      <c r="OM151" s="212" t="n"/>
      <c r="ON151" s="212" t="n"/>
      <c r="OO151" s="212" t="n"/>
      <c r="OP151" s="212" t="n"/>
      <c r="OQ151" s="212" t="n"/>
      <c r="OR151" s="212" t="n"/>
      <c r="OS151" s="212" t="n"/>
      <c r="OT151" s="212" t="n"/>
      <c r="OU151" s="212" t="n"/>
      <c r="OV151" s="212" t="n"/>
      <c r="OW151" s="212" t="n"/>
      <c r="OX151" s="212" t="n"/>
      <c r="OY151" s="212" t="n"/>
      <c r="OZ151" s="212" t="n"/>
      <c r="PA151" s="212" t="n"/>
      <c r="PB151" s="212" t="n"/>
      <c r="PC151" s="212" t="n"/>
      <c r="PD151" s="212" t="n"/>
      <c r="PE151" s="212" t="n"/>
      <c r="PF151" s="212" t="n"/>
      <c r="PG151" s="212" t="n"/>
      <c r="PH151" s="212" t="n"/>
      <c r="PI151" s="212" t="n"/>
      <c r="PJ151" s="212" t="n"/>
      <c r="PK151" s="212" t="n"/>
      <c r="PL151" s="212" t="n"/>
      <c r="PM151" s="212" t="n"/>
      <c r="PN151" s="212" t="n"/>
      <c r="PO151" s="212" t="n"/>
      <c r="PP151" s="212" t="n"/>
      <c r="PQ151" s="212" t="n"/>
      <c r="PR151" s="212" t="n"/>
      <c r="PS151" s="212" t="n"/>
      <c r="PT151" s="212" t="n"/>
      <c r="PU151" s="212" t="n"/>
      <c r="PV151" s="212" t="n"/>
      <c r="PW151" s="212" t="n"/>
      <c r="PX151" s="212" t="n"/>
      <c r="PY151" s="212" t="n"/>
      <c r="PZ151" s="212" t="n"/>
      <c r="QA151" s="212" t="n"/>
      <c r="QB151" s="212" t="n"/>
      <c r="QC151" s="212" t="n"/>
      <c r="QD151" s="212" t="n"/>
      <c r="QE151" s="212" t="n"/>
      <c r="QF151" s="212" t="n"/>
      <c r="QG151" s="212" t="n"/>
      <c r="QH151" s="212" t="n"/>
      <c r="QI151" s="212" t="n"/>
      <c r="QJ151" s="212" t="n"/>
      <c r="QK151" s="212" t="n"/>
      <c r="QL151" s="212" t="n"/>
      <c r="QM151" s="212" t="n"/>
      <c r="QN151" s="212" t="n"/>
      <c r="QO151" s="212" t="n"/>
      <c r="QP151" s="212" t="n"/>
      <c r="QQ151" s="212" t="n"/>
      <c r="QR151" s="212" t="n"/>
      <c r="QS151" s="212" t="n"/>
      <c r="QT151" s="212" t="n"/>
      <c r="QU151" s="212" t="n"/>
      <c r="QV151" s="212" t="n"/>
      <c r="QW151" s="212" t="n"/>
      <c r="QX151" s="212" t="n"/>
      <c r="QY151" s="212" t="n"/>
      <c r="QZ151" s="212" t="n"/>
      <c r="RA151" s="212" t="n"/>
      <c r="RB151" s="212" t="n"/>
      <c r="RC151" s="212" t="n"/>
      <c r="RD151" s="212" t="n"/>
      <c r="RE151" s="212" t="n"/>
      <c r="RF151" s="212" t="n"/>
      <c r="RG151" s="212" t="n"/>
      <c r="RH151" s="212" t="n"/>
      <c r="RI151" s="212" t="n"/>
      <c r="RJ151" s="212" t="n"/>
      <c r="RK151" s="212" t="n"/>
      <c r="RL151" s="212" t="n"/>
      <c r="RM151" s="212" t="n"/>
      <c r="RN151" s="212" t="n"/>
      <c r="RO151" s="212" t="n"/>
      <c r="RP151" s="212" t="n"/>
      <c r="RQ151" s="212" t="n"/>
      <c r="RR151" s="212" t="n"/>
      <c r="RS151" s="212" t="n"/>
      <c r="RT151" s="212" t="n"/>
      <c r="RU151" s="212" t="n"/>
      <c r="RV151" s="212" t="n"/>
      <c r="RW151" s="212" t="n"/>
      <c r="RX151" s="212" t="n"/>
      <c r="RY151" s="212" t="n"/>
      <c r="RZ151" s="212" t="n"/>
      <c r="SA151" s="212" t="n"/>
      <c r="SB151" s="212" t="n"/>
      <c r="SC151" s="212" t="n"/>
      <c r="SD151" s="212" t="n"/>
      <c r="SE151" s="212" t="n"/>
      <c r="SF151" s="212" t="n"/>
      <c r="SG151" s="212" t="n"/>
      <c r="SH151" s="212" t="n"/>
      <c r="SI151" s="212" t="n"/>
      <c r="SJ151" s="212" t="n"/>
      <c r="SK151" s="212" t="n"/>
      <c r="SL151" s="212" t="n"/>
      <c r="SM151" s="212" t="n"/>
      <c r="SN151" s="212" t="n"/>
      <c r="SO151" s="212" t="n"/>
      <c r="SP151" s="212" t="n"/>
      <c r="SQ151" s="212" t="n"/>
      <c r="SR151" s="212" t="n"/>
      <c r="SS151" s="212" t="n"/>
      <c r="ST151" s="212" t="n"/>
      <c r="SU151" s="212" t="n"/>
      <c r="SV151" s="212" t="n"/>
    </row>
    <row r="152">
      <c r="B152" s="209" t="n"/>
      <c r="C152" s="209" t="n"/>
      <c r="D152" s="209" t="n"/>
      <c r="E152" s="209" t="n"/>
      <c r="F152" s="209">
        <f>IF(TRIM(D152&amp;E152)="","",TRIM(D152)&amp;" "&amp;TRIM(E152))</f>
        <v/>
      </c>
      <c r="G152" s="209" t="n"/>
      <c r="H152" s="209" t="n"/>
      <c r="I152" s="209" t="n"/>
      <c r="J152" s="209" t="n"/>
      <c r="K152" s="209" t="n"/>
      <c r="L152" s="209" t="n"/>
      <c r="M152" s="209" t="n"/>
      <c r="N152" s="209" t="n"/>
      <c r="O152" s="209" t="n"/>
      <c r="P152" s="209" t="n"/>
      <c r="Q152" s="209" t="n"/>
      <c r="R152" s="209" t="n"/>
      <c r="S152" s="212" t="n"/>
      <c r="T152" s="212" t="n"/>
      <c r="U152" s="212" t="n"/>
      <c r="V152" s="212" t="n"/>
      <c r="W152" s="212" t="n"/>
      <c r="X152" s="212" t="n"/>
      <c r="Y152" s="212" t="n"/>
      <c r="Z152" s="212" t="n"/>
      <c r="AA152" s="212" t="n"/>
      <c r="AB152" s="212" t="n"/>
      <c r="AC152" s="212" t="n"/>
      <c r="AD152" s="212" t="n"/>
      <c r="AE152" s="212" t="n"/>
      <c r="AF152" s="212" t="n"/>
      <c r="AG152" s="212" t="n"/>
      <c r="AH152" s="212" t="n"/>
      <c r="AI152" s="212" t="n"/>
      <c r="AJ152" s="212" t="n"/>
      <c r="AK152" s="212" t="n"/>
      <c r="AL152" s="212" t="n"/>
      <c r="AM152" s="212" t="n"/>
      <c r="AN152" s="212" t="n"/>
      <c r="AO152" s="212" t="n"/>
      <c r="AP152" s="212" t="n"/>
      <c r="AQ152" s="212" t="n"/>
      <c r="AR152" s="212" t="n"/>
      <c r="AS152" s="212" t="n"/>
      <c r="AT152" s="212" t="n"/>
      <c r="AU152" s="212" t="n"/>
      <c r="AV152" s="212" t="n"/>
      <c r="AW152" s="212" t="n"/>
      <c r="AX152" s="212" t="n"/>
      <c r="AY152" s="212" t="n"/>
      <c r="AZ152" s="212" t="n"/>
      <c r="BA152" s="212" t="n"/>
      <c r="BB152" s="212" t="n"/>
      <c r="BC152" s="212" t="n"/>
      <c r="BD152" s="212" t="n"/>
      <c r="BE152" s="212" t="n"/>
      <c r="BF152" s="212" t="n"/>
      <c r="BG152" s="212" t="n"/>
      <c r="BH152" s="212" t="n"/>
      <c r="BI152" s="212" t="n"/>
      <c r="BJ152" s="212" t="n"/>
      <c r="BK152" s="212" t="n"/>
      <c r="BL152" s="212" t="n"/>
      <c r="BM152" s="212" t="n"/>
      <c r="BN152" s="212" t="n"/>
      <c r="BO152" s="212" t="n"/>
      <c r="BP152" s="212" t="n"/>
      <c r="BQ152" s="212" t="n"/>
      <c r="BR152" s="212" t="n"/>
      <c r="BS152" s="212" t="n"/>
      <c r="BT152" s="212" t="n"/>
      <c r="BU152" s="212" t="n"/>
      <c r="BV152" s="212" t="n"/>
      <c r="BW152" s="212" t="n"/>
      <c r="BX152" s="212" t="n"/>
      <c r="BY152" s="212" t="n"/>
      <c r="BZ152" s="212" t="n"/>
      <c r="CA152" s="212" t="n"/>
      <c r="CB152" s="212" t="n"/>
      <c r="CC152" s="212" t="n"/>
      <c r="CD152" s="212" t="n"/>
      <c r="CE152" s="212" t="n"/>
      <c r="CF152" s="212" t="n"/>
      <c r="CG152" s="212" t="n"/>
      <c r="CH152" s="212" t="n"/>
      <c r="CI152" s="212" t="n"/>
      <c r="CJ152" s="212" t="n"/>
      <c r="CK152" s="212" t="n"/>
      <c r="CL152" s="212" t="n"/>
      <c r="CM152" s="212" t="n"/>
      <c r="CN152" s="212" t="n"/>
      <c r="CO152" s="212" t="n"/>
      <c r="CP152" s="212" t="n"/>
      <c r="CQ152" s="212" t="n"/>
      <c r="CR152" s="212" t="n"/>
      <c r="CS152" s="212" t="n"/>
      <c r="CT152" s="212" t="n"/>
      <c r="CU152" s="212" t="n"/>
      <c r="CV152" s="212" t="n"/>
      <c r="CW152" s="212" t="n"/>
      <c r="CX152" s="212" t="n"/>
      <c r="CY152" s="212" t="n"/>
      <c r="CZ152" s="212" t="n"/>
      <c r="DA152" s="212" t="n"/>
      <c r="DB152" s="212" t="n"/>
      <c r="DC152" s="212" t="n"/>
      <c r="DD152" s="212" t="n"/>
      <c r="DE152" s="212" t="n"/>
      <c r="DF152" s="212" t="n"/>
      <c r="DG152" s="212" t="n"/>
      <c r="DH152" s="212" t="n"/>
      <c r="DI152" s="212" t="n"/>
      <c r="DJ152" s="212" t="n"/>
      <c r="DK152" s="212" t="n"/>
      <c r="DL152" s="212" t="n"/>
      <c r="DM152" s="212" t="n"/>
      <c r="DN152" s="212" t="n"/>
      <c r="DO152" s="212" t="n"/>
      <c r="DP152" s="212" t="n"/>
      <c r="DQ152" s="212" t="n"/>
      <c r="DR152" s="212" t="n"/>
      <c r="DS152" s="212" t="n"/>
      <c r="DT152" s="212" t="n"/>
      <c r="DU152" s="212" t="n"/>
      <c r="DV152" s="212" t="n"/>
      <c r="DW152" s="212" t="n"/>
      <c r="DX152" s="212" t="n"/>
      <c r="DY152" s="212" t="n"/>
      <c r="DZ152" s="212" t="n"/>
      <c r="EA152" s="212" t="n"/>
      <c r="EB152" s="212" t="n"/>
      <c r="EC152" s="212" t="n"/>
      <c r="ED152" s="212" t="n"/>
      <c r="EE152" s="212" t="n"/>
      <c r="EF152" s="212" t="n"/>
      <c r="EG152" s="212" t="n"/>
      <c r="EH152" s="212" t="n"/>
      <c r="EI152" s="212" t="n"/>
      <c r="EJ152" s="212" t="n"/>
      <c r="EK152" s="212" t="n"/>
      <c r="EL152" s="212" t="n"/>
      <c r="EM152" s="212" t="n"/>
      <c r="EN152" s="212" t="n"/>
      <c r="EO152" s="212" t="n"/>
      <c r="EP152" s="212" t="n"/>
      <c r="EQ152" s="212" t="n"/>
      <c r="ER152" s="212" t="n"/>
      <c r="ES152" s="212" t="n"/>
      <c r="ET152" s="212" t="n"/>
      <c r="EU152" s="212" t="n"/>
      <c r="EV152" s="212" t="n"/>
      <c r="EW152" s="212" t="n"/>
      <c r="EX152" s="212" t="n"/>
      <c r="EY152" s="212" t="n"/>
      <c r="EZ152" s="212" t="n"/>
      <c r="FA152" s="212" t="n"/>
      <c r="FB152" s="212" t="n"/>
      <c r="FC152" s="212" t="n"/>
      <c r="FD152" s="212" t="n"/>
      <c r="FE152" s="212" t="n"/>
      <c r="FF152" s="212" t="n"/>
      <c r="FG152" s="212" t="n"/>
      <c r="FH152" s="212" t="n"/>
      <c r="FI152" s="212" t="n"/>
      <c r="FJ152" s="212" t="n"/>
      <c r="FK152" s="212" t="n"/>
      <c r="FL152" s="212" t="n"/>
      <c r="FM152" s="212" t="n"/>
      <c r="FN152" s="212" t="n"/>
      <c r="FO152" s="212" t="n"/>
      <c r="FP152" s="212" t="n"/>
      <c r="FQ152" s="212" t="n"/>
      <c r="FR152" s="212" t="n"/>
      <c r="FS152" s="212" t="n"/>
      <c r="FT152" s="212" t="n"/>
      <c r="FU152" s="212" t="n"/>
      <c r="FV152" s="212" t="n"/>
      <c r="FW152" s="212" t="n"/>
      <c r="FX152" s="212" t="n"/>
      <c r="FY152" s="212" t="n"/>
      <c r="FZ152" s="212" t="n"/>
      <c r="GA152" s="212" t="n"/>
      <c r="GB152" s="212" t="n"/>
      <c r="GC152" s="212" t="n"/>
      <c r="GD152" s="212" t="n"/>
      <c r="GE152" s="212" t="n"/>
      <c r="GF152" s="212" t="n"/>
      <c r="GG152" s="212" t="n"/>
      <c r="GH152" s="212" t="n"/>
      <c r="GI152" s="212" t="n"/>
      <c r="GJ152" s="212" t="n"/>
      <c r="GK152" s="212" t="n"/>
      <c r="GL152" s="212" t="n"/>
      <c r="GM152" s="212" t="n"/>
      <c r="GN152" s="212" t="n"/>
      <c r="GO152" s="212" t="n"/>
      <c r="GP152" s="212" t="n"/>
      <c r="GQ152" s="212" t="n"/>
      <c r="GR152" s="212" t="n"/>
      <c r="GS152" s="212" t="n"/>
      <c r="GT152" s="212" t="n"/>
      <c r="GU152" s="212" t="n"/>
      <c r="GV152" s="212" t="n"/>
      <c r="GW152" s="212" t="n"/>
      <c r="GX152" s="212" t="n"/>
      <c r="GY152" s="212" t="n"/>
      <c r="GZ152" s="212" t="n"/>
      <c r="HA152" s="212" t="n"/>
      <c r="HB152" s="212" t="n"/>
      <c r="HC152" s="212" t="n"/>
      <c r="HD152" s="212" t="n"/>
      <c r="HE152" s="212" t="n"/>
      <c r="HF152" s="212" t="n"/>
      <c r="HG152" s="212" t="n"/>
      <c r="HH152" s="212" t="n"/>
      <c r="HI152" s="212" t="n"/>
      <c r="HJ152" s="212" t="n"/>
      <c r="HK152" s="212" t="n"/>
      <c r="HL152" s="212" t="n"/>
      <c r="HM152" s="212" t="n"/>
      <c r="HN152" s="212" t="n"/>
      <c r="HO152" s="212" t="n"/>
      <c r="HP152" s="212" t="n"/>
      <c r="HQ152" s="212" t="n"/>
      <c r="HR152" s="212" t="n"/>
      <c r="HS152" s="212" t="n"/>
      <c r="HT152" s="212" t="n"/>
      <c r="HU152" s="212" t="n"/>
      <c r="HV152" s="212" t="n"/>
      <c r="HW152" s="212" t="n"/>
      <c r="HX152" s="212" t="n"/>
      <c r="HY152" s="212" t="n"/>
      <c r="HZ152" s="212" t="n"/>
      <c r="IA152" s="212" t="n"/>
      <c r="IB152" s="212" t="n"/>
      <c r="IC152" s="212" t="n"/>
      <c r="ID152" s="212" t="n"/>
      <c r="IE152" s="212" t="n"/>
      <c r="IF152" s="212" t="n"/>
      <c r="IG152" s="212" t="n"/>
      <c r="IH152" s="212" t="n"/>
      <c r="II152" s="212" t="n"/>
      <c r="IJ152" s="212" t="n"/>
      <c r="IK152" s="212" t="n"/>
      <c r="IL152" s="212" t="n"/>
      <c r="IM152" s="212" t="n"/>
      <c r="IN152" s="212" t="n"/>
      <c r="IO152" s="212" t="n"/>
      <c r="IP152" s="212" t="n"/>
      <c r="IQ152" s="212" t="n"/>
      <c r="IR152" s="212" t="n"/>
      <c r="IS152" s="212" t="n"/>
      <c r="IT152" s="212" t="n"/>
      <c r="IU152" s="212" t="n"/>
      <c r="IV152" s="212" t="n"/>
      <c r="IW152" s="212" t="n"/>
      <c r="IX152" s="212" t="n"/>
      <c r="IY152" s="212" t="n"/>
      <c r="IZ152" s="212" t="n"/>
      <c r="JA152" s="212" t="n"/>
      <c r="JB152" s="212" t="n"/>
      <c r="JC152" s="212" t="n"/>
      <c r="JD152" s="212" t="n"/>
      <c r="JE152" s="212" t="n"/>
      <c r="JF152" s="212" t="n"/>
      <c r="JG152" s="212" t="n"/>
      <c r="JH152" s="212" t="n"/>
      <c r="JI152" s="212" t="n"/>
      <c r="JJ152" s="212" t="n"/>
      <c r="JK152" s="212" t="n"/>
      <c r="JL152" s="212" t="n"/>
      <c r="JM152" s="212" t="n"/>
      <c r="JN152" s="212" t="n"/>
      <c r="JO152" s="212" t="n"/>
      <c r="JP152" s="212" t="n"/>
      <c r="JQ152" s="212" t="n"/>
      <c r="JR152" s="212" t="n"/>
      <c r="JS152" s="212" t="n"/>
      <c r="JT152" s="212" t="n"/>
      <c r="JU152" s="212" t="n"/>
      <c r="JV152" s="212" t="n"/>
      <c r="JW152" s="212" t="n"/>
      <c r="JX152" s="212" t="n"/>
      <c r="JY152" s="212" t="n"/>
      <c r="JZ152" s="212" t="n"/>
      <c r="KA152" s="212" t="n"/>
      <c r="KB152" s="212" t="n"/>
      <c r="KC152" s="212" t="n"/>
      <c r="KD152" s="212" t="n"/>
      <c r="KE152" s="212" t="n"/>
      <c r="KF152" s="212" t="n"/>
      <c r="KG152" s="212" t="n"/>
      <c r="KH152" s="212" t="n"/>
      <c r="KI152" s="212" t="n"/>
      <c r="KJ152" s="212" t="n"/>
      <c r="KK152" s="212" t="n"/>
      <c r="KL152" s="212" t="n"/>
      <c r="KM152" s="212" t="n"/>
      <c r="KN152" s="212" t="n"/>
      <c r="KO152" s="212" t="n"/>
      <c r="KP152" s="212" t="n"/>
      <c r="KQ152" s="212" t="n"/>
      <c r="KR152" s="212" t="n"/>
      <c r="KS152" s="212" t="n"/>
      <c r="KT152" s="212" t="n"/>
      <c r="KU152" s="212" t="n"/>
      <c r="KV152" s="212" t="n"/>
      <c r="KW152" s="212" t="n"/>
      <c r="KX152" s="212" t="n"/>
      <c r="KY152" s="212" t="n"/>
      <c r="KZ152" s="212" t="n"/>
      <c r="LA152" s="212" t="n"/>
      <c r="LB152" s="212" t="n"/>
      <c r="LC152" s="212" t="n"/>
      <c r="LD152" s="212" t="n"/>
      <c r="LE152" s="212" t="n"/>
      <c r="LF152" s="212" t="n"/>
      <c r="LG152" s="212" t="n"/>
      <c r="LH152" s="212" t="n"/>
      <c r="LI152" s="212" t="n"/>
      <c r="LJ152" s="212" t="n"/>
      <c r="LK152" s="212" t="n"/>
      <c r="LL152" s="212" t="n"/>
      <c r="LM152" s="212" t="n"/>
      <c r="LN152" s="212" t="n"/>
      <c r="LO152" s="212" t="n"/>
      <c r="LP152" s="212" t="n"/>
      <c r="LQ152" s="212" t="n"/>
      <c r="LR152" s="212" t="n"/>
      <c r="LS152" s="212" t="n"/>
      <c r="LT152" s="212" t="n"/>
      <c r="LU152" s="212" t="n"/>
      <c r="LV152" s="212" t="n"/>
      <c r="LW152" s="212" t="n"/>
      <c r="LX152" s="212" t="n"/>
      <c r="LY152" s="212" t="n"/>
      <c r="LZ152" s="212" t="n"/>
      <c r="MA152" s="212" t="n"/>
      <c r="MB152" s="212" t="n"/>
      <c r="MC152" s="212" t="n"/>
      <c r="MD152" s="212" t="n"/>
      <c r="ME152" s="212" t="n"/>
      <c r="MF152" s="212" t="n"/>
      <c r="MG152" s="212" t="n"/>
      <c r="MH152" s="212" t="n"/>
      <c r="MI152" s="212" t="n"/>
      <c r="MJ152" s="212" t="n"/>
      <c r="MK152" s="212" t="n"/>
      <c r="ML152" s="212" t="n"/>
      <c r="MM152" s="212" t="n"/>
      <c r="MN152" s="212" t="n"/>
      <c r="MO152" s="212" t="n"/>
      <c r="MP152" s="212" t="n"/>
      <c r="MQ152" s="212" t="n"/>
      <c r="MR152" s="212" t="n"/>
      <c r="MS152" s="212" t="n"/>
      <c r="MT152" s="212" t="n"/>
      <c r="MU152" s="212" t="n"/>
      <c r="MV152" s="212" t="n"/>
      <c r="MW152" s="212" t="n"/>
      <c r="MX152" s="212" t="n"/>
      <c r="MY152" s="212" t="n"/>
      <c r="MZ152" s="212" t="n"/>
      <c r="NA152" s="212" t="n"/>
      <c r="NB152" s="212" t="n"/>
      <c r="NC152" s="212" t="n"/>
      <c r="ND152" s="212" t="n"/>
      <c r="NE152" s="212" t="n"/>
      <c r="NF152" s="212" t="n"/>
      <c r="NG152" s="212" t="n"/>
      <c r="NH152" s="212" t="n"/>
      <c r="NI152" s="212" t="n"/>
      <c r="NJ152" s="212" t="n"/>
      <c r="NK152" s="212" t="n"/>
      <c r="NL152" s="212" t="n"/>
      <c r="NM152" s="212" t="n"/>
      <c r="NN152" s="212" t="n"/>
      <c r="NO152" s="212" t="n"/>
      <c r="NP152" s="212" t="n"/>
      <c r="NQ152" s="212" t="n"/>
      <c r="NR152" s="212" t="n"/>
      <c r="NS152" s="212" t="n"/>
      <c r="NT152" s="212" t="n"/>
      <c r="NU152" s="212" t="n"/>
      <c r="NV152" s="212" t="n"/>
      <c r="NW152" s="212" t="n"/>
      <c r="NX152" s="212" t="n"/>
      <c r="NY152" s="212" t="n"/>
      <c r="NZ152" s="212" t="n"/>
      <c r="OA152" s="212" t="n"/>
      <c r="OB152" s="212" t="n"/>
      <c r="OC152" s="212" t="n"/>
      <c r="OD152" s="212" t="n"/>
      <c r="OE152" s="212" t="n"/>
      <c r="OF152" s="212" t="n"/>
      <c r="OG152" s="212" t="n"/>
      <c r="OH152" s="212" t="n"/>
      <c r="OI152" s="212" t="n"/>
      <c r="OJ152" s="212" t="n"/>
      <c r="OK152" s="212" t="n"/>
      <c r="OL152" s="212" t="n"/>
      <c r="OM152" s="212" t="n"/>
      <c r="ON152" s="212" t="n"/>
      <c r="OO152" s="212" t="n"/>
      <c r="OP152" s="212" t="n"/>
      <c r="OQ152" s="212" t="n"/>
      <c r="OR152" s="212" t="n"/>
      <c r="OS152" s="212" t="n"/>
      <c r="OT152" s="212" t="n"/>
      <c r="OU152" s="212" t="n"/>
      <c r="OV152" s="212" t="n"/>
      <c r="OW152" s="212" t="n"/>
      <c r="OX152" s="212" t="n"/>
      <c r="OY152" s="212" t="n"/>
      <c r="OZ152" s="212" t="n"/>
      <c r="PA152" s="212" t="n"/>
      <c r="PB152" s="212" t="n"/>
      <c r="PC152" s="212" t="n"/>
      <c r="PD152" s="212" t="n"/>
      <c r="PE152" s="212" t="n"/>
      <c r="PF152" s="212" t="n"/>
      <c r="PG152" s="212" t="n"/>
      <c r="PH152" s="212" t="n"/>
      <c r="PI152" s="212" t="n"/>
      <c r="PJ152" s="212" t="n"/>
      <c r="PK152" s="212" t="n"/>
      <c r="PL152" s="212" t="n"/>
      <c r="PM152" s="212" t="n"/>
      <c r="PN152" s="212" t="n"/>
      <c r="PO152" s="212" t="n"/>
      <c r="PP152" s="212" t="n"/>
      <c r="PQ152" s="212" t="n"/>
      <c r="PR152" s="212" t="n"/>
      <c r="PS152" s="212" t="n"/>
      <c r="PT152" s="212" t="n"/>
      <c r="PU152" s="212" t="n"/>
      <c r="PV152" s="212" t="n"/>
      <c r="PW152" s="212" t="n"/>
      <c r="PX152" s="212" t="n"/>
      <c r="PY152" s="212" t="n"/>
      <c r="PZ152" s="212" t="n"/>
      <c r="QA152" s="212" t="n"/>
      <c r="QB152" s="212" t="n"/>
      <c r="QC152" s="212" t="n"/>
      <c r="QD152" s="212" t="n"/>
      <c r="QE152" s="212" t="n"/>
      <c r="QF152" s="212" t="n"/>
      <c r="QG152" s="212" t="n"/>
      <c r="QH152" s="212" t="n"/>
      <c r="QI152" s="212" t="n"/>
      <c r="QJ152" s="212" t="n"/>
      <c r="QK152" s="212" t="n"/>
      <c r="QL152" s="212" t="n"/>
      <c r="QM152" s="212" t="n"/>
      <c r="QN152" s="212" t="n"/>
      <c r="QO152" s="212" t="n"/>
      <c r="QP152" s="212" t="n"/>
      <c r="QQ152" s="212" t="n"/>
      <c r="QR152" s="212" t="n"/>
      <c r="QS152" s="212" t="n"/>
      <c r="QT152" s="212" t="n"/>
      <c r="QU152" s="212" t="n"/>
      <c r="QV152" s="212" t="n"/>
      <c r="QW152" s="212" t="n"/>
      <c r="QX152" s="212" t="n"/>
      <c r="QY152" s="212" t="n"/>
      <c r="QZ152" s="212" t="n"/>
      <c r="RA152" s="212" t="n"/>
      <c r="RB152" s="212" t="n"/>
      <c r="RC152" s="212" t="n"/>
      <c r="RD152" s="212" t="n"/>
      <c r="RE152" s="212" t="n"/>
      <c r="RF152" s="212" t="n"/>
      <c r="RG152" s="212" t="n"/>
      <c r="RH152" s="212" t="n"/>
      <c r="RI152" s="212" t="n"/>
      <c r="RJ152" s="212" t="n"/>
      <c r="RK152" s="212" t="n"/>
      <c r="RL152" s="212" t="n"/>
      <c r="RM152" s="212" t="n"/>
      <c r="RN152" s="212" t="n"/>
      <c r="RO152" s="212" t="n"/>
      <c r="RP152" s="212" t="n"/>
      <c r="RQ152" s="212" t="n"/>
      <c r="RR152" s="212" t="n"/>
      <c r="RS152" s="212" t="n"/>
      <c r="RT152" s="212" t="n"/>
      <c r="RU152" s="212" t="n"/>
      <c r="RV152" s="212" t="n"/>
      <c r="RW152" s="212" t="n"/>
      <c r="RX152" s="212" t="n"/>
      <c r="RY152" s="212" t="n"/>
      <c r="RZ152" s="212" t="n"/>
      <c r="SA152" s="212" t="n"/>
      <c r="SB152" s="212" t="n"/>
      <c r="SC152" s="212" t="n"/>
      <c r="SD152" s="212" t="n"/>
      <c r="SE152" s="212" t="n"/>
      <c r="SF152" s="212" t="n"/>
      <c r="SG152" s="212" t="n"/>
      <c r="SH152" s="212" t="n"/>
      <c r="SI152" s="212" t="n"/>
      <c r="SJ152" s="212" t="n"/>
      <c r="SK152" s="212" t="n"/>
      <c r="SL152" s="212" t="n"/>
      <c r="SM152" s="212" t="n"/>
      <c r="SN152" s="212" t="n"/>
      <c r="SO152" s="212" t="n"/>
      <c r="SP152" s="212" t="n"/>
      <c r="SQ152" s="212" t="n"/>
      <c r="SR152" s="212" t="n"/>
      <c r="SS152" s="212" t="n"/>
      <c r="ST152" s="212" t="n"/>
      <c r="SU152" s="212" t="n"/>
      <c r="SV152" s="212" t="n"/>
    </row>
    <row r="153">
      <c r="B153" s="209" t="n"/>
      <c r="C153" s="209" t="n"/>
      <c r="D153" s="209" t="n"/>
      <c r="E153" s="209" t="n"/>
      <c r="F153" s="209">
        <f>IF(TRIM(D153&amp;E153)="","",TRIM(D153)&amp;" "&amp;TRIM(E153))</f>
        <v/>
      </c>
      <c r="G153" s="209" t="n"/>
      <c r="H153" s="209" t="n"/>
      <c r="I153" s="209" t="n"/>
      <c r="J153" s="209" t="n"/>
      <c r="K153" s="209" t="n"/>
      <c r="L153" s="209" t="n"/>
      <c r="M153" s="209" t="n"/>
      <c r="N153" s="209" t="n"/>
      <c r="O153" s="209" t="n"/>
      <c r="P153" s="209" t="n"/>
      <c r="Q153" s="209" t="n"/>
      <c r="R153" s="209" t="n"/>
      <c r="S153" s="212" t="n"/>
      <c r="T153" s="212" t="n"/>
      <c r="U153" s="212" t="n"/>
      <c r="V153" s="212" t="n"/>
      <c r="W153" s="212" t="n"/>
      <c r="X153" s="212" t="n"/>
      <c r="Y153" s="212" t="n"/>
      <c r="Z153" s="212" t="n"/>
      <c r="AA153" s="212" t="n"/>
      <c r="AB153" s="212" t="n"/>
      <c r="AC153" s="212" t="n"/>
      <c r="AD153" s="212" t="n"/>
      <c r="AE153" s="212" t="n"/>
      <c r="AF153" s="212" t="n"/>
      <c r="AG153" s="212" t="n"/>
      <c r="AH153" s="212" t="n"/>
      <c r="AI153" s="212" t="n"/>
      <c r="AJ153" s="212" t="n"/>
      <c r="AK153" s="212" t="n"/>
      <c r="AL153" s="212" t="n"/>
      <c r="AM153" s="212" t="n"/>
      <c r="AN153" s="212" t="n"/>
      <c r="AO153" s="212" t="n"/>
      <c r="AP153" s="212" t="n"/>
      <c r="AQ153" s="212" t="n"/>
      <c r="AR153" s="212" t="n"/>
      <c r="AS153" s="212" t="n"/>
      <c r="AT153" s="212" t="n"/>
      <c r="AU153" s="212" t="n"/>
      <c r="AV153" s="212" t="n"/>
      <c r="AW153" s="212" t="n"/>
      <c r="AX153" s="212" t="n"/>
      <c r="AY153" s="212" t="n"/>
      <c r="AZ153" s="212" t="n"/>
      <c r="BA153" s="212" t="n"/>
      <c r="BB153" s="212" t="n"/>
      <c r="BC153" s="212" t="n"/>
      <c r="BD153" s="212" t="n"/>
      <c r="BE153" s="212" t="n"/>
      <c r="BF153" s="212" t="n"/>
      <c r="BG153" s="212" t="n"/>
      <c r="BH153" s="212" t="n"/>
      <c r="BI153" s="212" t="n"/>
      <c r="BJ153" s="212" t="n"/>
      <c r="BK153" s="212" t="n"/>
      <c r="BL153" s="212" t="n"/>
      <c r="BM153" s="212" t="n"/>
      <c r="BN153" s="212" t="n"/>
      <c r="BO153" s="212" t="n"/>
      <c r="BP153" s="212" t="n"/>
      <c r="BQ153" s="212" t="n"/>
      <c r="BR153" s="212" t="n"/>
      <c r="BS153" s="212" t="n"/>
      <c r="BT153" s="212" t="n"/>
      <c r="BU153" s="212" t="n"/>
      <c r="BV153" s="212" t="n"/>
      <c r="BW153" s="212" t="n"/>
      <c r="BX153" s="212" t="n"/>
      <c r="BY153" s="212" t="n"/>
      <c r="BZ153" s="212" t="n"/>
      <c r="CA153" s="212" t="n"/>
      <c r="CB153" s="212" t="n"/>
      <c r="CC153" s="212" t="n"/>
      <c r="CD153" s="212" t="n"/>
      <c r="CE153" s="212" t="n"/>
      <c r="CF153" s="212" t="n"/>
      <c r="CG153" s="212" t="n"/>
      <c r="CH153" s="212" t="n"/>
      <c r="CI153" s="212" t="n"/>
      <c r="CJ153" s="212" t="n"/>
      <c r="CK153" s="212" t="n"/>
      <c r="CL153" s="212" t="n"/>
      <c r="CM153" s="212" t="n"/>
      <c r="CN153" s="212" t="n"/>
      <c r="CO153" s="212" t="n"/>
      <c r="CP153" s="212" t="n"/>
      <c r="CQ153" s="212" t="n"/>
      <c r="CR153" s="212" t="n"/>
      <c r="CS153" s="212" t="n"/>
      <c r="CT153" s="212" t="n"/>
      <c r="CU153" s="212" t="n"/>
      <c r="CV153" s="212" t="n"/>
      <c r="CW153" s="212" t="n"/>
      <c r="CX153" s="212" t="n"/>
      <c r="CY153" s="212" t="n"/>
      <c r="CZ153" s="212" t="n"/>
      <c r="DA153" s="212" t="n"/>
      <c r="DB153" s="212" t="n"/>
      <c r="DC153" s="212" t="n"/>
      <c r="DD153" s="212" t="n"/>
      <c r="DE153" s="212" t="n"/>
      <c r="DF153" s="212" t="n"/>
      <c r="DG153" s="212" t="n"/>
      <c r="DH153" s="212" t="n"/>
      <c r="DI153" s="212" t="n"/>
      <c r="DJ153" s="212" t="n"/>
      <c r="DK153" s="212" t="n"/>
      <c r="DL153" s="212" t="n"/>
      <c r="DM153" s="212" t="n"/>
      <c r="DN153" s="212" t="n"/>
      <c r="DO153" s="212" t="n"/>
      <c r="DP153" s="212" t="n"/>
      <c r="DQ153" s="212" t="n"/>
      <c r="DR153" s="212" t="n"/>
      <c r="DS153" s="212" t="n"/>
      <c r="DT153" s="212" t="n"/>
      <c r="DU153" s="212" t="n"/>
      <c r="DV153" s="212" t="n"/>
      <c r="DW153" s="212" t="n"/>
      <c r="DX153" s="212" t="n"/>
      <c r="DY153" s="212" t="n"/>
      <c r="DZ153" s="212" t="n"/>
      <c r="EA153" s="212" t="n"/>
      <c r="EB153" s="212" t="n"/>
      <c r="EC153" s="212" t="n"/>
      <c r="ED153" s="212" t="n"/>
      <c r="EE153" s="212" t="n"/>
      <c r="EF153" s="212" t="n"/>
      <c r="EG153" s="212" t="n"/>
      <c r="EH153" s="212" t="n"/>
      <c r="EI153" s="212" t="n"/>
      <c r="EJ153" s="212" t="n"/>
      <c r="EK153" s="212" t="n"/>
      <c r="EL153" s="212" t="n"/>
      <c r="EM153" s="212" t="n"/>
      <c r="EN153" s="212" t="n"/>
      <c r="EO153" s="212" t="n"/>
      <c r="EP153" s="212" t="n"/>
      <c r="EQ153" s="212" t="n"/>
      <c r="ER153" s="212" t="n"/>
      <c r="ES153" s="212" t="n"/>
      <c r="ET153" s="212" t="n"/>
      <c r="EU153" s="212" t="n"/>
      <c r="EV153" s="212" t="n"/>
      <c r="EW153" s="212" t="n"/>
      <c r="EX153" s="212" t="n"/>
      <c r="EY153" s="212" t="n"/>
      <c r="EZ153" s="212" t="n"/>
      <c r="FA153" s="212" t="n"/>
      <c r="FB153" s="212" t="n"/>
      <c r="FC153" s="212" t="n"/>
      <c r="FD153" s="212" t="n"/>
      <c r="FE153" s="212" t="n"/>
      <c r="FF153" s="212" t="n"/>
      <c r="FG153" s="212" t="n"/>
      <c r="FH153" s="212" t="n"/>
      <c r="FI153" s="212" t="n"/>
      <c r="FJ153" s="212" t="n"/>
      <c r="FK153" s="212" t="n"/>
      <c r="FL153" s="212" t="n"/>
      <c r="FM153" s="212" t="n"/>
      <c r="FN153" s="212" t="n"/>
      <c r="FO153" s="212" t="n"/>
      <c r="FP153" s="212" t="n"/>
      <c r="FQ153" s="212" t="n"/>
      <c r="FR153" s="212" t="n"/>
      <c r="FS153" s="212" t="n"/>
      <c r="FT153" s="212" t="n"/>
      <c r="FU153" s="212" t="n"/>
      <c r="FV153" s="212" t="n"/>
      <c r="FW153" s="212" t="n"/>
      <c r="FX153" s="212" t="n"/>
      <c r="FY153" s="212" t="n"/>
      <c r="FZ153" s="212" t="n"/>
      <c r="GA153" s="212" t="n"/>
      <c r="GB153" s="212" t="n"/>
      <c r="GC153" s="212" t="n"/>
      <c r="GD153" s="212" t="n"/>
      <c r="GE153" s="212" t="n"/>
      <c r="GF153" s="212" t="n"/>
      <c r="GG153" s="212" t="n"/>
      <c r="GH153" s="212" t="n"/>
      <c r="GI153" s="212" t="n"/>
      <c r="GJ153" s="212" t="n"/>
      <c r="GK153" s="212" t="n"/>
      <c r="GL153" s="212" t="n"/>
      <c r="GM153" s="212" t="n"/>
      <c r="GN153" s="212" t="n"/>
      <c r="GO153" s="212" t="n"/>
      <c r="GP153" s="212" t="n"/>
      <c r="GQ153" s="212" t="n"/>
      <c r="GR153" s="212" t="n"/>
      <c r="GS153" s="212" t="n"/>
      <c r="GT153" s="212" t="n"/>
      <c r="GU153" s="212" t="n"/>
      <c r="GV153" s="212" t="n"/>
      <c r="GW153" s="212" t="n"/>
      <c r="GX153" s="212" t="n"/>
      <c r="GY153" s="212" t="n"/>
      <c r="GZ153" s="212" t="n"/>
      <c r="HA153" s="212" t="n"/>
      <c r="HB153" s="212" t="n"/>
      <c r="HC153" s="212" t="n"/>
      <c r="HD153" s="212" t="n"/>
      <c r="HE153" s="212" t="n"/>
      <c r="HF153" s="212" t="n"/>
      <c r="HG153" s="212" t="n"/>
      <c r="HH153" s="212" t="n"/>
      <c r="HI153" s="212" t="n"/>
      <c r="HJ153" s="212" t="n"/>
      <c r="HK153" s="212" t="n"/>
      <c r="HL153" s="212" t="n"/>
      <c r="HM153" s="212" t="n"/>
      <c r="HN153" s="212" t="n"/>
      <c r="HO153" s="212" t="n"/>
      <c r="HP153" s="212" t="n"/>
      <c r="HQ153" s="212" t="n"/>
      <c r="HR153" s="212" t="n"/>
      <c r="HS153" s="212" t="n"/>
      <c r="HT153" s="212" t="n"/>
      <c r="HU153" s="212" t="n"/>
      <c r="HV153" s="212" t="n"/>
      <c r="HW153" s="212" t="n"/>
      <c r="HX153" s="212" t="n"/>
      <c r="HY153" s="212" t="n"/>
      <c r="HZ153" s="212" t="n"/>
      <c r="IA153" s="212" t="n"/>
      <c r="IB153" s="212" t="n"/>
      <c r="IC153" s="212" t="n"/>
      <c r="ID153" s="212" t="n"/>
      <c r="IE153" s="212" t="n"/>
      <c r="IF153" s="212" t="n"/>
      <c r="IG153" s="212" t="n"/>
      <c r="IH153" s="212" t="n"/>
      <c r="II153" s="212" t="n"/>
      <c r="IJ153" s="212" t="n"/>
      <c r="IK153" s="212" t="n"/>
      <c r="IL153" s="212" t="n"/>
      <c r="IM153" s="212" t="n"/>
      <c r="IN153" s="212" t="n"/>
      <c r="IO153" s="212" t="n"/>
      <c r="IP153" s="212" t="n"/>
      <c r="IQ153" s="212" t="n"/>
      <c r="IR153" s="212" t="n"/>
      <c r="IS153" s="212" t="n"/>
      <c r="IT153" s="212" t="n"/>
      <c r="IU153" s="212" t="n"/>
      <c r="IV153" s="212" t="n"/>
      <c r="IW153" s="212" t="n"/>
      <c r="IX153" s="212" t="n"/>
      <c r="IY153" s="212" t="n"/>
      <c r="IZ153" s="212" t="n"/>
      <c r="JA153" s="212" t="n"/>
      <c r="JB153" s="212" t="n"/>
      <c r="JC153" s="212" t="n"/>
      <c r="JD153" s="212" t="n"/>
      <c r="JE153" s="212" t="n"/>
      <c r="JF153" s="212" t="n"/>
      <c r="JG153" s="212" t="n"/>
      <c r="JH153" s="212" t="n"/>
      <c r="JI153" s="212" t="n"/>
      <c r="JJ153" s="212" t="n"/>
      <c r="JK153" s="212" t="n"/>
      <c r="JL153" s="212" t="n"/>
      <c r="JM153" s="212" t="n"/>
      <c r="JN153" s="212" t="n"/>
      <c r="JO153" s="212" t="n"/>
      <c r="JP153" s="212" t="n"/>
      <c r="JQ153" s="212" t="n"/>
      <c r="JR153" s="212" t="n"/>
      <c r="JS153" s="212" t="n"/>
      <c r="JT153" s="212" t="n"/>
      <c r="JU153" s="212" t="n"/>
      <c r="JV153" s="212" t="n"/>
      <c r="JW153" s="212" t="n"/>
      <c r="JX153" s="212" t="n"/>
      <c r="JY153" s="212" t="n"/>
      <c r="JZ153" s="212" t="n"/>
      <c r="KA153" s="212" t="n"/>
      <c r="KB153" s="212" t="n"/>
      <c r="KC153" s="212" t="n"/>
      <c r="KD153" s="212" t="n"/>
      <c r="KE153" s="212" t="n"/>
      <c r="KF153" s="212" t="n"/>
      <c r="KG153" s="212" t="n"/>
      <c r="KH153" s="212" t="n"/>
      <c r="KI153" s="212" t="n"/>
      <c r="KJ153" s="212" t="n"/>
      <c r="KK153" s="212" t="n"/>
      <c r="KL153" s="212" t="n"/>
      <c r="KM153" s="212" t="n"/>
      <c r="KN153" s="212" t="n"/>
      <c r="KO153" s="212" t="n"/>
      <c r="KP153" s="212" t="n"/>
      <c r="KQ153" s="212" t="n"/>
      <c r="KR153" s="212" t="n"/>
      <c r="KS153" s="212" t="n"/>
      <c r="KT153" s="212" t="n"/>
      <c r="KU153" s="212" t="n"/>
      <c r="KV153" s="212" t="n"/>
      <c r="KW153" s="212" t="n"/>
      <c r="KX153" s="212" t="n"/>
      <c r="KY153" s="212" t="n"/>
      <c r="KZ153" s="212" t="n"/>
      <c r="LA153" s="212" t="n"/>
      <c r="LB153" s="212" t="n"/>
      <c r="LC153" s="212" t="n"/>
      <c r="LD153" s="212" t="n"/>
      <c r="LE153" s="212" t="n"/>
      <c r="LF153" s="212" t="n"/>
      <c r="LG153" s="212" t="n"/>
      <c r="LH153" s="212" t="n"/>
      <c r="LI153" s="212" t="n"/>
      <c r="LJ153" s="212" t="n"/>
      <c r="LK153" s="212" t="n"/>
      <c r="LL153" s="212" t="n"/>
      <c r="LM153" s="212" t="n"/>
      <c r="LN153" s="212" t="n"/>
      <c r="LO153" s="212" t="n"/>
      <c r="LP153" s="212" t="n"/>
      <c r="LQ153" s="212" t="n"/>
      <c r="LR153" s="212" t="n"/>
      <c r="LS153" s="212" t="n"/>
      <c r="LT153" s="212" t="n"/>
      <c r="LU153" s="212" t="n"/>
      <c r="LV153" s="212" t="n"/>
      <c r="LW153" s="212" t="n"/>
      <c r="LX153" s="212" t="n"/>
      <c r="LY153" s="212" t="n"/>
      <c r="LZ153" s="212" t="n"/>
      <c r="MA153" s="212" t="n"/>
      <c r="MB153" s="212" t="n"/>
      <c r="MC153" s="212" t="n"/>
      <c r="MD153" s="212" t="n"/>
      <c r="ME153" s="212" t="n"/>
      <c r="MF153" s="212" t="n"/>
      <c r="MG153" s="212" t="n"/>
      <c r="MH153" s="212" t="n"/>
      <c r="MI153" s="212" t="n"/>
      <c r="MJ153" s="212" t="n"/>
      <c r="MK153" s="212" t="n"/>
      <c r="ML153" s="212" t="n"/>
      <c r="MM153" s="212" t="n"/>
      <c r="MN153" s="212" t="n"/>
      <c r="MO153" s="212" t="n"/>
      <c r="MP153" s="212" t="n"/>
      <c r="MQ153" s="212" t="n"/>
      <c r="MR153" s="212" t="n"/>
      <c r="MS153" s="212" t="n"/>
      <c r="MT153" s="212" t="n"/>
      <c r="MU153" s="212" t="n"/>
      <c r="MV153" s="212" t="n"/>
      <c r="MW153" s="212" t="n"/>
      <c r="MX153" s="212" t="n"/>
      <c r="MY153" s="212" t="n"/>
      <c r="MZ153" s="212" t="n"/>
      <c r="NA153" s="212" t="n"/>
      <c r="NB153" s="212" t="n"/>
      <c r="NC153" s="212" t="n"/>
      <c r="ND153" s="212" t="n"/>
      <c r="NE153" s="212" t="n"/>
      <c r="NF153" s="212" t="n"/>
      <c r="NG153" s="212" t="n"/>
      <c r="NH153" s="212" t="n"/>
      <c r="NI153" s="212" t="n"/>
      <c r="NJ153" s="212" t="n"/>
      <c r="NK153" s="212" t="n"/>
      <c r="NL153" s="212" t="n"/>
      <c r="NM153" s="212" t="n"/>
      <c r="NN153" s="212" t="n"/>
      <c r="NO153" s="212" t="n"/>
      <c r="NP153" s="212" t="n"/>
      <c r="NQ153" s="212" t="n"/>
      <c r="NR153" s="212" t="n"/>
      <c r="NS153" s="212" t="n"/>
      <c r="NT153" s="212" t="n"/>
      <c r="NU153" s="212" t="n"/>
      <c r="NV153" s="212" t="n"/>
      <c r="NW153" s="212" t="n"/>
      <c r="NX153" s="212" t="n"/>
      <c r="NY153" s="212" t="n"/>
      <c r="NZ153" s="212" t="n"/>
      <c r="OA153" s="212" t="n"/>
      <c r="OB153" s="212" t="n"/>
      <c r="OC153" s="212" t="n"/>
      <c r="OD153" s="212" t="n"/>
      <c r="OE153" s="212" t="n"/>
      <c r="OF153" s="212" t="n"/>
      <c r="OG153" s="212" t="n"/>
      <c r="OH153" s="212" t="n"/>
      <c r="OI153" s="212" t="n"/>
      <c r="OJ153" s="212" t="n"/>
      <c r="OK153" s="212" t="n"/>
      <c r="OL153" s="212" t="n"/>
      <c r="OM153" s="212" t="n"/>
      <c r="ON153" s="212" t="n"/>
      <c r="OO153" s="212" t="n"/>
      <c r="OP153" s="212" t="n"/>
      <c r="OQ153" s="212" t="n"/>
      <c r="OR153" s="212" t="n"/>
      <c r="OS153" s="212" t="n"/>
      <c r="OT153" s="212" t="n"/>
      <c r="OU153" s="212" t="n"/>
      <c r="OV153" s="212" t="n"/>
      <c r="OW153" s="212" t="n"/>
      <c r="OX153" s="212" t="n"/>
      <c r="OY153" s="212" t="n"/>
      <c r="OZ153" s="212" t="n"/>
      <c r="PA153" s="212" t="n"/>
      <c r="PB153" s="212" t="n"/>
      <c r="PC153" s="212" t="n"/>
      <c r="PD153" s="212" t="n"/>
      <c r="PE153" s="212" t="n"/>
      <c r="PF153" s="212" t="n"/>
      <c r="PG153" s="212" t="n"/>
      <c r="PH153" s="212" t="n"/>
      <c r="PI153" s="212" t="n"/>
      <c r="PJ153" s="212" t="n"/>
      <c r="PK153" s="212" t="n"/>
      <c r="PL153" s="212" t="n"/>
      <c r="PM153" s="212" t="n"/>
      <c r="PN153" s="212" t="n"/>
      <c r="PO153" s="212" t="n"/>
      <c r="PP153" s="212" t="n"/>
      <c r="PQ153" s="212" t="n"/>
      <c r="PR153" s="212" t="n"/>
      <c r="PS153" s="212" t="n"/>
      <c r="PT153" s="212" t="n"/>
      <c r="PU153" s="212" t="n"/>
      <c r="PV153" s="212" t="n"/>
      <c r="PW153" s="212" t="n"/>
      <c r="PX153" s="212" t="n"/>
      <c r="PY153" s="212" t="n"/>
      <c r="PZ153" s="212" t="n"/>
      <c r="QA153" s="212" t="n"/>
      <c r="QB153" s="212" t="n"/>
      <c r="QC153" s="212" t="n"/>
      <c r="QD153" s="212" t="n"/>
      <c r="QE153" s="212" t="n"/>
      <c r="QF153" s="212" t="n"/>
      <c r="QG153" s="212" t="n"/>
      <c r="QH153" s="212" t="n"/>
      <c r="QI153" s="212" t="n"/>
      <c r="QJ153" s="212" t="n"/>
      <c r="QK153" s="212" t="n"/>
      <c r="QL153" s="212" t="n"/>
      <c r="QM153" s="212" t="n"/>
      <c r="QN153" s="212" t="n"/>
      <c r="QO153" s="212" t="n"/>
      <c r="QP153" s="212" t="n"/>
      <c r="QQ153" s="212" t="n"/>
      <c r="QR153" s="212" t="n"/>
      <c r="QS153" s="212" t="n"/>
      <c r="QT153" s="212" t="n"/>
      <c r="QU153" s="212" t="n"/>
      <c r="QV153" s="212" t="n"/>
      <c r="QW153" s="212" t="n"/>
      <c r="QX153" s="212" t="n"/>
      <c r="QY153" s="212" t="n"/>
      <c r="QZ153" s="212" t="n"/>
      <c r="RA153" s="212" t="n"/>
      <c r="RB153" s="212" t="n"/>
      <c r="RC153" s="212" t="n"/>
      <c r="RD153" s="212" t="n"/>
      <c r="RE153" s="212" t="n"/>
      <c r="RF153" s="212" t="n"/>
      <c r="RG153" s="212" t="n"/>
      <c r="RH153" s="212" t="n"/>
      <c r="RI153" s="212" t="n"/>
      <c r="RJ153" s="212" t="n"/>
      <c r="RK153" s="212" t="n"/>
      <c r="RL153" s="212" t="n"/>
      <c r="RM153" s="212" t="n"/>
      <c r="RN153" s="212" t="n"/>
      <c r="RO153" s="212" t="n"/>
      <c r="RP153" s="212" t="n"/>
      <c r="RQ153" s="212" t="n"/>
      <c r="RR153" s="212" t="n"/>
      <c r="RS153" s="212" t="n"/>
      <c r="RT153" s="212" t="n"/>
      <c r="RU153" s="212" t="n"/>
      <c r="RV153" s="212" t="n"/>
      <c r="RW153" s="212" t="n"/>
      <c r="RX153" s="212" t="n"/>
      <c r="RY153" s="212" t="n"/>
      <c r="RZ153" s="212" t="n"/>
      <c r="SA153" s="212" t="n"/>
      <c r="SB153" s="212" t="n"/>
      <c r="SC153" s="212" t="n"/>
      <c r="SD153" s="212" t="n"/>
      <c r="SE153" s="212" t="n"/>
      <c r="SF153" s="212" t="n"/>
      <c r="SG153" s="212" t="n"/>
      <c r="SH153" s="212" t="n"/>
      <c r="SI153" s="212" t="n"/>
      <c r="SJ153" s="212" t="n"/>
      <c r="SK153" s="212" t="n"/>
      <c r="SL153" s="212" t="n"/>
      <c r="SM153" s="212" t="n"/>
      <c r="SN153" s="212" t="n"/>
      <c r="SO153" s="212" t="n"/>
      <c r="SP153" s="212" t="n"/>
      <c r="SQ153" s="212" t="n"/>
      <c r="SR153" s="212" t="n"/>
      <c r="SS153" s="212" t="n"/>
      <c r="ST153" s="212" t="n"/>
      <c r="SU153" s="212" t="n"/>
      <c r="SV153" s="212" t="n"/>
    </row>
    <row r="154">
      <c r="B154" s="209" t="n"/>
      <c r="C154" s="209" t="n"/>
      <c r="D154" s="209" t="n"/>
      <c r="E154" s="209" t="n"/>
      <c r="F154" s="209">
        <f>IF(TRIM(D154&amp;E154)="","",TRIM(D154)&amp;" "&amp;TRIM(E154))</f>
        <v/>
      </c>
      <c r="G154" s="209" t="n"/>
      <c r="H154" s="209" t="n"/>
      <c r="I154" s="209" t="n"/>
      <c r="J154" s="209" t="n"/>
      <c r="K154" s="209" t="n"/>
      <c r="L154" s="209" t="n"/>
      <c r="M154" s="209" t="n"/>
      <c r="N154" s="209" t="n"/>
      <c r="O154" s="209" t="n"/>
      <c r="P154" s="209" t="n"/>
      <c r="Q154" s="209" t="n"/>
      <c r="R154" s="209" t="n"/>
      <c r="S154" s="212" t="n"/>
      <c r="T154" s="212" t="n"/>
      <c r="U154" s="212" t="n"/>
      <c r="V154" s="212" t="n"/>
      <c r="W154" s="212" t="n"/>
      <c r="X154" s="212" t="n"/>
      <c r="Y154" s="212" t="n"/>
      <c r="Z154" s="212" t="n"/>
      <c r="AA154" s="212" t="n"/>
      <c r="AB154" s="212" t="n"/>
      <c r="AC154" s="212" t="n"/>
      <c r="AD154" s="212" t="n"/>
      <c r="AE154" s="212" t="n"/>
      <c r="AF154" s="212" t="n"/>
      <c r="AG154" s="212" t="n"/>
      <c r="AH154" s="212" t="n"/>
      <c r="AI154" s="212" t="n"/>
      <c r="AJ154" s="212" t="n"/>
      <c r="AK154" s="212" t="n"/>
      <c r="AL154" s="212" t="n"/>
      <c r="AM154" s="212" t="n"/>
      <c r="AN154" s="212" t="n"/>
      <c r="AO154" s="212" t="n"/>
      <c r="AP154" s="212" t="n"/>
      <c r="AQ154" s="212" t="n"/>
      <c r="AR154" s="212" t="n"/>
      <c r="AS154" s="212" t="n"/>
      <c r="AT154" s="212" t="n"/>
      <c r="AU154" s="212" t="n"/>
      <c r="AV154" s="212" t="n"/>
      <c r="AW154" s="212" t="n"/>
      <c r="AX154" s="212" t="n"/>
      <c r="AY154" s="212" t="n"/>
      <c r="AZ154" s="212" t="n"/>
      <c r="BA154" s="212" t="n"/>
      <c r="BB154" s="212" t="n"/>
      <c r="BC154" s="212" t="n"/>
      <c r="BD154" s="212" t="n"/>
      <c r="BE154" s="212" t="n"/>
      <c r="BF154" s="212" t="n"/>
      <c r="BG154" s="212" t="n"/>
      <c r="BH154" s="212" t="n"/>
      <c r="BI154" s="212" t="n"/>
      <c r="BJ154" s="212" t="n"/>
      <c r="BK154" s="212" t="n"/>
      <c r="BL154" s="212" t="n"/>
      <c r="BM154" s="212" t="n"/>
      <c r="BN154" s="212" t="n"/>
      <c r="BO154" s="212" t="n"/>
      <c r="BP154" s="212" t="n"/>
      <c r="BQ154" s="212" t="n"/>
      <c r="BR154" s="212" t="n"/>
      <c r="BS154" s="212" t="n"/>
      <c r="BT154" s="212" t="n"/>
      <c r="BU154" s="212" t="n"/>
      <c r="BV154" s="212" t="n"/>
      <c r="BW154" s="212" t="n"/>
      <c r="BX154" s="212" t="n"/>
      <c r="BY154" s="212" t="n"/>
      <c r="BZ154" s="212" t="n"/>
      <c r="CA154" s="212" t="n"/>
      <c r="CB154" s="212" t="n"/>
      <c r="CC154" s="212" t="n"/>
      <c r="CD154" s="212" t="n"/>
      <c r="CE154" s="212" t="n"/>
      <c r="CF154" s="212" t="n"/>
      <c r="CG154" s="212" t="n"/>
      <c r="CH154" s="212" t="n"/>
      <c r="CI154" s="212" t="n"/>
      <c r="CJ154" s="212" t="n"/>
      <c r="CK154" s="212" t="n"/>
      <c r="CL154" s="212" t="n"/>
      <c r="CM154" s="212" t="n"/>
      <c r="CN154" s="212" t="n"/>
      <c r="CO154" s="212" t="n"/>
      <c r="CP154" s="212" t="n"/>
      <c r="CQ154" s="212" t="n"/>
      <c r="CR154" s="212" t="n"/>
      <c r="CS154" s="212" t="n"/>
      <c r="CT154" s="212" t="n"/>
      <c r="CU154" s="212" t="n"/>
      <c r="CV154" s="212" t="n"/>
      <c r="CW154" s="212" t="n"/>
      <c r="CX154" s="212" t="n"/>
      <c r="CY154" s="212" t="n"/>
      <c r="CZ154" s="212" t="n"/>
      <c r="DA154" s="212" t="n"/>
      <c r="DB154" s="212" t="n"/>
      <c r="DC154" s="212" t="n"/>
      <c r="DD154" s="212" t="n"/>
      <c r="DE154" s="212" t="n"/>
      <c r="DF154" s="212" t="n"/>
      <c r="DG154" s="212" t="n"/>
      <c r="DH154" s="212" t="n"/>
      <c r="DI154" s="212" t="n"/>
      <c r="DJ154" s="212" t="n"/>
      <c r="DK154" s="212" t="n"/>
      <c r="DL154" s="212" t="n"/>
      <c r="DM154" s="212" t="n"/>
      <c r="DN154" s="212" t="n"/>
      <c r="DO154" s="212" t="n"/>
      <c r="DP154" s="212" t="n"/>
      <c r="DQ154" s="212" t="n"/>
      <c r="DR154" s="212" t="n"/>
      <c r="DS154" s="212" t="n"/>
      <c r="DT154" s="212" t="n"/>
      <c r="DU154" s="212" t="n"/>
      <c r="DV154" s="212" t="n"/>
      <c r="DW154" s="212" t="n"/>
      <c r="DX154" s="212" t="n"/>
      <c r="DY154" s="212" t="n"/>
      <c r="DZ154" s="212" t="n"/>
      <c r="EA154" s="212" t="n"/>
      <c r="EB154" s="212" t="n"/>
      <c r="EC154" s="212" t="n"/>
      <c r="ED154" s="212" t="n"/>
      <c r="EE154" s="212" t="n"/>
      <c r="EF154" s="212" t="n"/>
      <c r="EG154" s="212" t="n"/>
      <c r="EH154" s="212" t="n"/>
      <c r="EI154" s="212" t="n"/>
      <c r="EJ154" s="212" t="n"/>
      <c r="EK154" s="212" t="n"/>
      <c r="EL154" s="212" t="n"/>
      <c r="EM154" s="212" t="n"/>
      <c r="EN154" s="212" t="n"/>
      <c r="EO154" s="212" t="n"/>
      <c r="EP154" s="212" t="n"/>
      <c r="EQ154" s="212" t="n"/>
      <c r="ER154" s="212" t="n"/>
      <c r="ES154" s="212" t="n"/>
      <c r="ET154" s="212" t="n"/>
      <c r="EU154" s="212" t="n"/>
      <c r="EV154" s="212" t="n"/>
      <c r="EW154" s="212" t="n"/>
      <c r="EX154" s="212" t="n"/>
      <c r="EY154" s="212" t="n"/>
      <c r="EZ154" s="212" t="n"/>
      <c r="FA154" s="212" t="n"/>
      <c r="FB154" s="212" t="n"/>
      <c r="FC154" s="212" t="n"/>
      <c r="FD154" s="212" t="n"/>
      <c r="FE154" s="212" t="n"/>
      <c r="FF154" s="212" t="n"/>
      <c r="FG154" s="212" t="n"/>
      <c r="FH154" s="212" t="n"/>
      <c r="FI154" s="212" t="n"/>
      <c r="FJ154" s="212" t="n"/>
      <c r="FK154" s="212" t="n"/>
      <c r="FL154" s="212" t="n"/>
      <c r="FM154" s="212" t="n"/>
      <c r="FN154" s="212" t="n"/>
      <c r="FO154" s="212" t="n"/>
      <c r="FP154" s="212" t="n"/>
      <c r="FQ154" s="212" t="n"/>
      <c r="FR154" s="212" t="n"/>
      <c r="FS154" s="212" t="n"/>
      <c r="FT154" s="212" t="n"/>
      <c r="FU154" s="212" t="n"/>
      <c r="FV154" s="212" t="n"/>
      <c r="FW154" s="212" t="n"/>
      <c r="FX154" s="212" t="n"/>
      <c r="FY154" s="212" t="n"/>
      <c r="FZ154" s="212" t="n"/>
      <c r="GA154" s="212" t="n"/>
      <c r="GB154" s="212" t="n"/>
      <c r="GC154" s="212" t="n"/>
      <c r="GD154" s="212" t="n"/>
      <c r="GE154" s="212" t="n"/>
      <c r="GF154" s="212" t="n"/>
      <c r="GG154" s="212" t="n"/>
      <c r="GH154" s="212" t="n"/>
      <c r="GI154" s="212" t="n"/>
      <c r="GJ154" s="212" t="n"/>
      <c r="GK154" s="212" t="n"/>
      <c r="GL154" s="212" t="n"/>
      <c r="GM154" s="212" t="n"/>
      <c r="GN154" s="212" t="n"/>
      <c r="GO154" s="212" t="n"/>
      <c r="GP154" s="212" t="n"/>
      <c r="GQ154" s="212" t="n"/>
      <c r="GR154" s="212" t="n"/>
      <c r="GS154" s="212" t="n"/>
      <c r="GT154" s="212" t="n"/>
      <c r="GU154" s="212" t="n"/>
      <c r="GV154" s="212" t="n"/>
      <c r="GW154" s="212" t="n"/>
      <c r="GX154" s="212" t="n"/>
      <c r="GY154" s="212" t="n"/>
      <c r="GZ154" s="212" t="n"/>
      <c r="HA154" s="212" t="n"/>
      <c r="HB154" s="212" t="n"/>
      <c r="HC154" s="212" t="n"/>
      <c r="HD154" s="212" t="n"/>
      <c r="HE154" s="212" t="n"/>
      <c r="HF154" s="212" t="n"/>
      <c r="HG154" s="212" t="n"/>
      <c r="HH154" s="212" t="n"/>
      <c r="HI154" s="212" t="n"/>
      <c r="HJ154" s="212" t="n"/>
      <c r="HK154" s="212" t="n"/>
      <c r="HL154" s="212" t="n"/>
      <c r="HM154" s="212" t="n"/>
      <c r="HN154" s="212" t="n"/>
      <c r="HO154" s="212" t="n"/>
      <c r="HP154" s="212" t="n"/>
      <c r="HQ154" s="212" t="n"/>
      <c r="HR154" s="212" t="n"/>
      <c r="HS154" s="212" t="n"/>
      <c r="HT154" s="212" t="n"/>
      <c r="HU154" s="212" t="n"/>
      <c r="HV154" s="212" t="n"/>
      <c r="HW154" s="212" t="n"/>
      <c r="HX154" s="212" t="n"/>
      <c r="HY154" s="212" t="n"/>
      <c r="HZ154" s="212" t="n"/>
      <c r="IA154" s="212" t="n"/>
      <c r="IB154" s="212" t="n"/>
      <c r="IC154" s="212" t="n"/>
      <c r="ID154" s="212" t="n"/>
      <c r="IE154" s="212" t="n"/>
      <c r="IF154" s="212" t="n"/>
      <c r="IG154" s="212" t="n"/>
      <c r="IH154" s="212" t="n"/>
      <c r="II154" s="212" t="n"/>
      <c r="IJ154" s="212" t="n"/>
      <c r="IK154" s="212" t="n"/>
      <c r="IL154" s="212" t="n"/>
      <c r="IM154" s="212" t="n"/>
      <c r="IN154" s="212" t="n"/>
      <c r="IO154" s="212" t="n"/>
      <c r="IP154" s="212" t="n"/>
      <c r="IQ154" s="212" t="n"/>
      <c r="IR154" s="212" t="n"/>
      <c r="IS154" s="212" t="n"/>
      <c r="IT154" s="212" t="n"/>
      <c r="IU154" s="212" t="n"/>
      <c r="IV154" s="212" t="n"/>
      <c r="IW154" s="212" t="n"/>
      <c r="IX154" s="212" t="n"/>
      <c r="IY154" s="212" t="n"/>
      <c r="IZ154" s="212" t="n"/>
      <c r="JA154" s="212" t="n"/>
      <c r="JB154" s="212" t="n"/>
      <c r="JC154" s="212" t="n"/>
      <c r="JD154" s="212" t="n"/>
      <c r="JE154" s="212" t="n"/>
      <c r="JF154" s="212" t="n"/>
      <c r="JG154" s="212" t="n"/>
      <c r="JH154" s="212" t="n"/>
      <c r="JI154" s="212" t="n"/>
      <c r="JJ154" s="212" t="n"/>
      <c r="JK154" s="212" t="n"/>
      <c r="JL154" s="212" t="n"/>
      <c r="JM154" s="212" t="n"/>
      <c r="JN154" s="212" t="n"/>
      <c r="JO154" s="212" t="n"/>
      <c r="JP154" s="212" t="n"/>
      <c r="JQ154" s="212" t="n"/>
      <c r="JR154" s="212" t="n"/>
      <c r="JS154" s="212" t="n"/>
      <c r="JT154" s="212" t="n"/>
      <c r="JU154" s="212" t="n"/>
      <c r="JV154" s="212" t="n"/>
      <c r="JW154" s="212" t="n"/>
      <c r="JX154" s="212" t="n"/>
      <c r="JY154" s="212" t="n"/>
      <c r="JZ154" s="212" t="n"/>
      <c r="KA154" s="212" t="n"/>
      <c r="KB154" s="212" t="n"/>
      <c r="KC154" s="212" t="n"/>
      <c r="KD154" s="212" t="n"/>
      <c r="KE154" s="212" t="n"/>
      <c r="KF154" s="212" t="n"/>
      <c r="KG154" s="212" t="n"/>
      <c r="KH154" s="212" t="n"/>
      <c r="KI154" s="212" t="n"/>
      <c r="KJ154" s="212" t="n"/>
      <c r="KK154" s="212" t="n"/>
      <c r="KL154" s="212" t="n"/>
      <c r="KM154" s="212" t="n"/>
      <c r="KN154" s="212" t="n"/>
      <c r="KO154" s="212" t="n"/>
      <c r="KP154" s="212" t="n"/>
      <c r="KQ154" s="212" t="n"/>
      <c r="KR154" s="212" t="n"/>
      <c r="KS154" s="212" t="n"/>
      <c r="KT154" s="212" t="n"/>
      <c r="KU154" s="212" t="n"/>
      <c r="KV154" s="212" t="n"/>
      <c r="KW154" s="212" t="n"/>
      <c r="KX154" s="212" t="n"/>
      <c r="KY154" s="212" t="n"/>
      <c r="KZ154" s="212" t="n"/>
      <c r="LA154" s="212" t="n"/>
      <c r="LB154" s="212" t="n"/>
      <c r="LC154" s="212" t="n"/>
      <c r="LD154" s="212" t="n"/>
      <c r="LE154" s="212" t="n"/>
      <c r="LF154" s="212" t="n"/>
      <c r="LG154" s="212" t="n"/>
      <c r="LH154" s="212" t="n"/>
      <c r="LI154" s="212" t="n"/>
      <c r="LJ154" s="212" t="n"/>
      <c r="LK154" s="212" t="n"/>
      <c r="LL154" s="212" t="n"/>
      <c r="LM154" s="212" t="n"/>
      <c r="LN154" s="212" t="n"/>
      <c r="LO154" s="212" t="n"/>
      <c r="LP154" s="212" t="n"/>
      <c r="LQ154" s="212" t="n"/>
      <c r="LR154" s="212" t="n"/>
      <c r="LS154" s="212" t="n"/>
      <c r="LT154" s="212" t="n"/>
      <c r="LU154" s="212" t="n"/>
      <c r="LV154" s="212" t="n"/>
      <c r="LW154" s="212" t="n"/>
      <c r="LX154" s="212" t="n"/>
      <c r="LY154" s="212" t="n"/>
      <c r="LZ154" s="212" t="n"/>
      <c r="MA154" s="212" t="n"/>
      <c r="MB154" s="212" t="n"/>
      <c r="MC154" s="212" t="n"/>
      <c r="MD154" s="212" t="n"/>
      <c r="ME154" s="212" t="n"/>
      <c r="MF154" s="212" t="n"/>
      <c r="MG154" s="212" t="n"/>
      <c r="MH154" s="212" t="n"/>
      <c r="MI154" s="212" t="n"/>
      <c r="MJ154" s="212" t="n"/>
      <c r="MK154" s="212" t="n"/>
      <c r="ML154" s="212" t="n"/>
      <c r="MM154" s="212" t="n"/>
      <c r="MN154" s="212" t="n"/>
      <c r="MO154" s="212" t="n"/>
      <c r="MP154" s="212" t="n"/>
      <c r="MQ154" s="212" t="n"/>
      <c r="MR154" s="212" t="n"/>
      <c r="MS154" s="212" t="n"/>
      <c r="MT154" s="212" t="n"/>
      <c r="MU154" s="212" t="n"/>
      <c r="MV154" s="212" t="n"/>
      <c r="MW154" s="212" t="n"/>
      <c r="MX154" s="212" t="n"/>
      <c r="MY154" s="212" t="n"/>
      <c r="MZ154" s="212" t="n"/>
      <c r="NA154" s="212" t="n"/>
      <c r="NB154" s="212" t="n"/>
      <c r="NC154" s="212" t="n"/>
      <c r="ND154" s="212" t="n"/>
      <c r="NE154" s="212" t="n"/>
      <c r="NF154" s="212" t="n"/>
      <c r="NG154" s="212" t="n"/>
      <c r="NH154" s="212" t="n"/>
      <c r="NI154" s="212" t="n"/>
      <c r="NJ154" s="212" t="n"/>
      <c r="NK154" s="212" t="n"/>
      <c r="NL154" s="212" t="n"/>
      <c r="NM154" s="212" t="n"/>
      <c r="NN154" s="212" t="n"/>
      <c r="NO154" s="212" t="n"/>
      <c r="NP154" s="212" t="n"/>
      <c r="NQ154" s="212" t="n"/>
      <c r="NR154" s="212" t="n"/>
      <c r="NS154" s="212" t="n"/>
      <c r="NT154" s="212" t="n"/>
      <c r="NU154" s="212" t="n"/>
      <c r="NV154" s="212" t="n"/>
      <c r="NW154" s="212" t="n"/>
      <c r="NX154" s="212" t="n"/>
      <c r="NY154" s="212" t="n"/>
      <c r="NZ154" s="212" t="n"/>
      <c r="OA154" s="212" t="n"/>
      <c r="OB154" s="212" t="n"/>
      <c r="OC154" s="212" t="n"/>
      <c r="OD154" s="212" t="n"/>
      <c r="OE154" s="212" t="n"/>
      <c r="OF154" s="212" t="n"/>
      <c r="OG154" s="212" t="n"/>
      <c r="OH154" s="212" t="n"/>
      <c r="OI154" s="212" t="n"/>
      <c r="OJ154" s="212" t="n"/>
      <c r="OK154" s="212" t="n"/>
      <c r="OL154" s="212" t="n"/>
      <c r="OM154" s="212" t="n"/>
      <c r="ON154" s="212" t="n"/>
      <c r="OO154" s="212" t="n"/>
      <c r="OP154" s="212" t="n"/>
      <c r="OQ154" s="212" t="n"/>
      <c r="OR154" s="212" t="n"/>
      <c r="OS154" s="212" t="n"/>
      <c r="OT154" s="212" t="n"/>
      <c r="OU154" s="212" t="n"/>
      <c r="OV154" s="212" t="n"/>
      <c r="OW154" s="212" t="n"/>
      <c r="OX154" s="212" t="n"/>
      <c r="OY154" s="212" t="n"/>
      <c r="OZ154" s="212" t="n"/>
      <c r="PA154" s="212" t="n"/>
      <c r="PB154" s="212" t="n"/>
      <c r="PC154" s="212" t="n"/>
      <c r="PD154" s="212" t="n"/>
      <c r="PE154" s="212" t="n"/>
      <c r="PF154" s="212" t="n"/>
      <c r="PG154" s="212" t="n"/>
      <c r="PH154" s="212" t="n"/>
      <c r="PI154" s="212" t="n"/>
      <c r="PJ154" s="212" t="n"/>
      <c r="PK154" s="212" t="n"/>
      <c r="PL154" s="212" t="n"/>
      <c r="PM154" s="212" t="n"/>
      <c r="PN154" s="212" t="n"/>
      <c r="PO154" s="212" t="n"/>
      <c r="PP154" s="212" t="n"/>
      <c r="PQ154" s="212" t="n"/>
      <c r="PR154" s="212" t="n"/>
      <c r="PS154" s="212" t="n"/>
      <c r="PT154" s="212" t="n"/>
      <c r="PU154" s="212" t="n"/>
      <c r="PV154" s="212" t="n"/>
      <c r="PW154" s="212" t="n"/>
      <c r="PX154" s="212" t="n"/>
      <c r="PY154" s="212" t="n"/>
      <c r="PZ154" s="212" t="n"/>
      <c r="QA154" s="212" t="n"/>
      <c r="QB154" s="212" t="n"/>
      <c r="QC154" s="212" t="n"/>
      <c r="QD154" s="212" t="n"/>
      <c r="QE154" s="212" t="n"/>
      <c r="QF154" s="212" t="n"/>
      <c r="QG154" s="212" t="n"/>
      <c r="QH154" s="212" t="n"/>
      <c r="QI154" s="212" t="n"/>
      <c r="QJ154" s="212" t="n"/>
      <c r="QK154" s="212" t="n"/>
      <c r="QL154" s="212" t="n"/>
      <c r="QM154" s="212" t="n"/>
      <c r="QN154" s="212" t="n"/>
      <c r="QO154" s="212" t="n"/>
      <c r="QP154" s="212" t="n"/>
      <c r="QQ154" s="212" t="n"/>
      <c r="QR154" s="212" t="n"/>
      <c r="QS154" s="212" t="n"/>
      <c r="QT154" s="212" t="n"/>
      <c r="QU154" s="212" t="n"/>
      <c r="QV154" s="212" t="n"/>
      <c r="QW154" s="212" t="n"/>
      <c r="QX154" s="212" t="n"/>
      <c r="QY154" s="212" t="n"/>
      <c r="QZ154" s="212" t="n"/>
      <c r="RA154" s="212" t="n"/>
      <c r="RB154" s="212" t="n"/>
      <c r="RC154" s="212" t="n"/>
      <c r="RD154" s="212" t="n"/>
      <c r="RE154" s="212" t="n"/>
      <c r="RF154" s="212" t="n"/>
      <c r="RG154" s="212" t="n"/>
      <c r="RH154" s="212" t="n"/>
      <c r="RI154" s="212" t="n"/>
      <c r="RJ154" s="212" t="n"/>
      <c r="RK154" s="212" t="n"/>
      <c r="RL154" s="212" t="n"/>
      <c r="RM154" s="212" t="n"/>
      <c r="RN154" s="212" t="n"/>
      <c r="RO154" s="212" t="n"/>
      <c r="RP154" s="212" t="n"/>
      <c r="RQ154" s="212" t="n"/>
      <c r="RR154" s="212" t="n"/>
      <c r="RS154" s="212" t="n"/>
      <c r="RT154" s="212" t="n"/>
      <c r="RU154" s="212" t="n"/>
      <c r="RV154" s="212" t="n"/>
      <c r="RW154" s="212" t="n"/>
      <c r="RX154" s="212" t="n"/>
      <c r="RY154" s="212" t="n"/>
      <c r="RZ154" s="212" t="n"/>
      <c r="SA154" s="212" t="n"/>
      <c r="SB154" s="212" t="n"/>
      <c r="SC154" s="212" t="n"/>
      <c r="SD154" s="212" t="n"/>
      <c r="SE154" s="212" t="n"/>
      <c r="SF154" s="212" t="n"/>
      <c r="SG154" s="212" t="n"/>
      <c r="SH154" s="212" t="n"/>
      <c r="SI154" s="212" t="n"/>
      <c r="SJ154" s="212" t="n"/>
      <c r="SK154" s="212" t="n"/>
      <c r="SL154" s="212" t="n"/>
      <c r="SM154" s="212" t="n"/>
      <c r="SN154" s="212" t="n"/>
      <c r="SO154" s="212" t="n"/>
      <c r="SP154" s="212" t="n"/>
      <c r="SQ154" s="212" t="n"/>
      <c r="SR154" s="212" t="n"/>
      <c r="SS154" s="212" t="n"/>
      <c r="ST154" s="212" t="n"/>
      <c r="SU154" s="212" t="n"/>
      <c r="SV154" s="212" t="n"/>
    </row>
    <row r="155">
      <c r="B155" s="209" t="n"/>
      <c r="C155" s="209" t="n"/>
      <c r="D155" s="209" t="n"/>
      <c r="E155" s="209" t="n"/>
      <c r="F155" s="209">
        <f>IF(TRIM(D155&amp;E155)="","",TRIM(D155)&amp;" "&amp;TRIM(E155))</f>
        <v/>
      </c>
      <c r="G155" s="209" t="n"/>
      <c r="H155" s="209" t="n"/>
      <c r="I155" s="209" t="n"/>
      <c r="J155" s="209" t="n"/>
      <c r="K155" s="209" t="n"/>
      <c r="L155" s="209" t="n"/>
      <c r="M155" s="209" t="n"/>
      <c r="N155" s="209" t="n"/>
      <c r="O155" s="209" t="n"/>
      <c r="P155" s="209" t="n"/>
      <c r="Q155" s="209" t="n"/>
      <c r="R155" s="209" t="n"/>
      <c r="S155" s="212" t="n"/>
      <c r="T155" s="212" t="n"/>
      <c r="U155" s="212" t="n"/>
      <c r="V155" s="212" t="n"/>
      <c r="W155" s="212" t="n"/>
      <c r="X155" s="212" t="n"/>
      <c r="Y155" s="212" t="n"/>
      <c r="Z155" s="212" t="n"/>
      <c r="AA155" s="212" t="n"/>
      <c r="AB155" s="212" t="n"/>
      <c r="AC155" s="212" t="n"/>
      <c r="AD155" s="212" t="n"/>
      <c r="AE155" s="212" t="n"/>
      <c r="AF155" s="212" t="n"/>
      <c r="AG155" s="212" t="n"/>
      <c r="AH155" s="212" t="n"/>
      <c r="AI155" s="212" t="n"/>
      <c r="AJ155" s="212" t="n"/>
      <c r="AK155" s="212" t="n"/>
      <c r="AL155" s="212" t="n"/>
      <c r="AM155" s="212" t="n"/>
      <c r="AN155" s="212" t="n"/>
      <c r="AO155" s="212" t="n"/>
      <c r="AP155" s="212" t="n"/>
      <c r="AQ155" s="212" t="n"/>
      <c r="AR155" s="212" t="n"/>
      <c r="AS155" s="212" t="n"/>
      <c r="AT155" s="212" t="n"/>
      <c r="AU155" s="212" t="n"/>
      <c r="AV155" s="212" t="n"/>
      <c r="AW155" s="212" t="n"/>
      <c r="AX155" s="212" t="n"/>
      <c r="AY155" s="212" t="n"/>
      <c r="AZ155" s="212" t="n"/>
      <c r="BA155" s="212" t="n"/>
      <c r="BB155" s="212" t="n"/>
      <c r="BC155" s="212" t="n"/>
      <c r="BD155" s="212" t="n"/>
      <c r="BE155" s="212" t="n"/>
      <c r="BF155" s="212" t="n"/>
      <c r="BG155" s="212" t="n"/>
      <c r="BH155" s="212" t="n"/>
      <c r="BI155" s="212" t="n"/>
      <c r="BJ155" s="212" t="n"/>
      <c r="BK155" s="212" t="n"/>
      <c r="BL155" s="212" t="n"/>
      <c r="BM155" s="212" t="n"/>
      <c r="BN155" s="212" t="n"/>
      <c r="BO155" s="212" t="n"/>
      <c r="BP155" s="212" t="n"/>
      <c r="BQ155" s="212" t="n"/>
      <c r="BR155" s="212" t="n"/>
      <c r="BS155" s="212" t="n"/>
      <c r="BT155" s="212" t="n"/>
      <c r="BU155" s="212" t="n"/>
      <c r="BV155" s="212" t="n"/>
      <c r="BW155" s="212" t="n"/>
      <c r="BX155" s="212" t="n"/>
      <c r="BY155" s="212" t="n"/>
      <c r="BZ155" s="212" t="n"/>
      <c r="CA155" s="212" t="n"/>
      <c r="CB155" s="212" t="n"/>
      <c r="CC155" s="212" t="n"/>
      <c r="CD155" s="212" t="n"/>
      <c r="CE155" s="212" t="n"/>
      <c r="CF155" s="212" t="n"/>
      <c r="CG155" s="212" t="n"/>
      <c r="CH155" s="212" t="n"/>
      <c r="CI155" s="212" t="n"/>
      <c r="CJ155" s="212" t="n"/>
      <c r="CK155" s="212" t="n"/>
      <c r="CL155" s="212" t="n"/>
      <c r="CM155" s="212" t="n"/>
      <c r="CN155" s="212" t="n"/>
      <c r="CO155" s="212" t="n"/>
      <c r="CP155" s="212" t="n"/>
      <c r="CQ155" s="212" t="n"/>
      <c r="CR155" s="212" t="n"/>
      <c r="CS155" s="212" t="n"/>
      <c r="CT155" s="212" t="n"/>
      <c r="CU155" s="212" t="n"/>
      <c r="CV155" s="212" t="n"/>
      <c r="CW155" s="212" t="n"/>
      <c r="CX155" s="212" t="n"/>
      <c r="CY155" s="212" t="n"/>
      <c r="CZ155" s="212" t="n"/>
      <c r="DA155" s="212" t="n"/>
      <c r="DB155" s="212" t="n"/>
      <c r="DC155" s="212" t="n"/>
      <c r="DD155" s="212" t="n"/>
      <c r="DE155" s="212" t="n"/>
      <c r="DF155" s="212" t="n"/>
      <c r="DG155" s="212" t="n"/>
      <c r="DH155" s="212" t="n"/>
      <c r="DI155" s="212" t="n"/>
      <c r="DJ155" s="212" t="n"/>
      <c r="DK155" s="212" t="n"/>
      <c r="DL155" s="212" t="n"/>
      <c r="DM155" s="212" t="n"/>
      <c r="DN155" s="212" t="n"/>
      <c r="DO155" s="212" t="n"/>
      <c r="DP155" s="212" t="n"/>
      <c r="DQ155" s="212" t="n"/>
      <c r="DR155" s="212" t="n"/>
      <c r="DS155" s="212" t="n"/>
      <c r="DT155" s="212" t="n"/>
      <c r="DU155" s="212" t="n"/>
      <c r="DV155" s="212" t="n"/>
      <c r="DW155" s="212" t="n"/>
      <c r="DX155" s="212" t="n"/>
      <c r="DY155" s="212" t="n"/>
      <c r="DZ155" s="212" t="n"/>
      <c r="EA155" s="212" t="n"/>
      <c r="EB155" s="212" t="n"/>
      <c r="EC155" s="212" t="n"/>
      <c r="ED155" s="212" t="n"/>
      <c r="EE155" s="212" t="n"/>
      <c r="EF155" s="212" t="n"/>
      <c r="EG155" s="212" t="n"/>
      <c r="EH155" s="212" t="n"/>
      <c r="EI155" s="212" t="n"/>
      <c r="EJ155" s="212" t="n"/>
      <c r="EK155" s="212" t="n"/>
      <c r="EL155" s="212" t="n"/>
      <c r="EM155" s="212" t="n"/>
      <c r="EN155" s="212" t="n"/>
      <c r="EO155" s="212" t="n"/>
      <c r="EP155" s="212" t="n"/>
      <c r="EQ155" s="212" t="n"/>
      <c r="ER155" s="212" t="n"/>
      <c r="ES155" s="212" t="n"/>
      <c r="ET155" s="212" t="n"/>
      <c r="EU155" s="212" t="n"/>
      <c r="EV155" s="212" t="n"/>
      <c r="EW155" s="212" t="n"/>
      <c r="EX155" s="212" t="n"/>
      <c r="EY155" s="212" t="n"/>
      <c r="EZ155" s="212" t="n"/>
      <c r="FA155" s="212" t="n"/>
      <c r="FB155" s="212" t="n"/>
      <c r="FC155" s="212" t="n"/>
      <c r="FD155" s="212" t="n"/>
      <c r="FE155" s="212" t="n"/>
      <c r="FF155" s="212" t="n"/>
      <c r="FG155" s="212" t="n"/>
      <c r="FH155" s="212" t="n"/>
      <c r="FI155" s="212" t="n"/>
      <c r="FJ155" s="212" t="n"/>
      <c r="FK155" s="212" t="n"/>
      <c r="FL155" s="212" t="n"/>
      <c r="FM155" s="212" t="n"/>
      <c r="FN155" s="212" t="n"/>
      <c r="FO155" s="212" t="n"/>
      <c r="FP155" s="212" t="n"/>
      <c r="FQ155" s="212" t="n"/>
      <c r="FR155" s="212" t="n"/>
      <c r="FS155" s="212" t="n"/>
      <c r="FT155" s="212" t="n"/>
      <c r="FU155" s="212" t="n"/>
      <c r="FV155" s="212" t="n"/>
      <c r="FW155" s="212" t="n"/>
      <c r="FX155" s="212" t="n"/>
      <c r="FY155" s="212" t="n"/>
      <c r="FZ155" s="212" t="n"/>
      <c r="GA155" s="212" t="n"/>
      <c r="GB155" s="212" t="n"/>
      <c r="GC155" s="212" t="n"/>
      <c r="GD155" s="212" t="n"/>
      <c r="GE155" s="212" t="n"/>
      <c r="GF155" s="212" t="n"/>
      <c r="GG155" s="212" t="n"/>
      <c r="GH155" s="212" t="n"/>
      <c r="GI155" s="212" t="n"/>
      <c r="GJ155" s="212" t="n"/>
      <c r="GK155" s="212" t="n"/>
      <c r="GL155" s="212" t="n"/>
      <c r="GM155" s="212" t="n"/>
      <c r="GN155" s="212" t="n"/>
      <c r="GO155" s="212" t="n"/>
      <c r="GP155" s="212" t="n"/>
      <c r="GQ155" s="212" t="n"/>
      <c r="GR155" s="212" t="n"/>
      <c r="GS155" s="212" t="n"/>
      <c r="GT155" s="212" t="n"/>
      <c r="GU155" s="212" t="n"/>
      <c r="GV155" s="212" t="n"/>
      <c r="GW155" s="212" t="n"/>
      <c r="GX155" s="212" t="n"/>
      <c r="GY155" s="212" t="n"/>
      <c r="GZ155" s="212" t="n"/>
      <c r="HA155" s="212" t="n"/>
      <c r="HB155" s="212" t="n"/>
      <c r="HC155" s="212" t="n"/>
      <c r="HD155" s="212" t="n"/>
      <c r="HE155" s="212" t="n"/>
      <c r="HF155" s="212" t="n"/>
      <c r="HG155" s="212" t="n"/>
      <c r="HH155" s="212" t="n"/>
      <c r="HI155" s="212" t="n"/>
      <c r="HJ155" s="212" t="n"/>
      <c r="HK155" s="212" t="n"/>
      <c r="HL155" s="212" t="n"/>
      <c r="HM155" s="212" t="n"/>
      <c r="HN155" s="212" t="n"/>
      <c r="HO155" s="212" t="n"/>
      <c r="HP155" s="212" t="n"/>
      <c r="HQ155" s="212" t="n"/>
      <c r="HR155" s="212" t="n"/>
      <c r="HS155" s="212" t="n"/>
      <c r="HT155" s="212" t="n"/>
      <c r="HU155" s="212" t="n"/>
      <c r="HV155" s="212" t="n"/>
      <c r="HW155" s="212" t="n"/>
      <c r="HX155" s="212" t="n"/>
      <c r="HY155" s="212" t="n"/>
      <c r="HZ155" s="212" t="n"/>
      <c r="IA155" s="212" t="n"/>
      <c r="IB155" s="212" t="n"/>
      <c r="IC155" s="212" t="n"/>
      <c r="ID155" s="212" t="n"/>
      <c r="IE155" s="212" t="n"/>
      <c r="IF155" s="212" t="n"/>
      <c r="IG155" s="212" t="n"/>
      <c r="IH155" s="212" t="n"/>
      <c r="II155" s="212" t="n"/>
      <c r="IJ155" s="212" t="n"/>
      <c r="IK155" s="212" t="n"/>
      <c r="IL155" s="212" t="n"/>
      <c r="IM155" s="212" t="n"/>
      <c r="IN155" s="212" t="n"/>
      <c r="IO155" s="212" t="n"/>
      <c r="IP155" s="212" t="n"/>
      <c r="IQ155" s="212" t="n"/>
      <c r="IR155" s="212" t="n"/>
      <c r="IS155" s="212" t="n"/>
      <c r="IT155" s="212" t="n"/>
      <c r="IU155" s="212" t="n"/>
      <c r="IV155" s="212" t="n"/>
      <c r="IW155" s="212" t="n"/>
      <c r="IX155" s="212" t="n"/>
      <c r="IY155" s="212" t="n"/>
      <c r="IZ155" s="212" t="n"/>
      <c r="JA155" s="212" t="n"/>
      <c r="JB155" s="212" t="n"/>
      <c r="JC155" s="212" t="n"/>
      <c r="JD155" s="212" t="n"/>
      <c r="JE155" s="212" t="n"/>
      <c r="JF155" s="212" t="n"/>
      <c r="JG155" s="212" t="n"/>
      <c r="JH155" s="212" t="n"/>
      <c r="JI155" s="212" t="n"/>
      <c r="JJ155" s="212" t="n"/>
      <c r="JK155" s="212" t="n"/>
      <c r="JL155" s="212" t="n"/>
      <c r="JM155" s="212" t="n"/>
      <c r="JN155" s="212" t="n"/>
      <c r="JO155" s="212" t="n"/>
      <c r="JP155" s="212" t="n"/>
      <c r="JQ155" s="212" t="n"/>
      <c r="JR155" s="212" t="n"/>
      <c r="JS155" s="212" t="n"/>
      <c r="JT155" s="212" t="n"/>
      <c r="JU155" s="212" t="n"/>
      <c r="JV155" s="212" t="n"/>
      <c r="JW155" s="212" t="n"/>
      <c r="JX155" s="212" t="n"/>
      <c r="JY155" s="212" t="n"/>
      <c r="JZ155" s="212" t="n"/>
      <c r="KA155" s="212" t="n"/>
      <c r="KB155" s="212" t="n"/>
      <c r="KC155" s="212" t="n"/>
      <c r="KD155" s="212" t="n"/>
      <c r="KE155" s="212" t="n"/>
      <c r="KF155" s="212" t="n"/>
      <c r="KG155" s="212" t="n"/>
      <c r="KH155" s="212" t="n"/>
      <c r="KI155" s="212" t="n"/>
      <c r="KJ155" s="212" t="n"/>
      <c r="KK155" s="212" t="n"/>
      <c r="KL155" s="212" t="n"/>
      <c r="KM155" s="212" t="n"/>
      <c r="KN155" s="212" t="n"/>
      <c r="KO155" s="212" t="n"/>
      <c r="KP155" s="212" t="n"/>
      <c r="KQ155" s="212" t="n"/>
      <c r="KR155" s="212" t="n"/>
      <c r="KS155" s="212" t="n"/>
      <c r="KT155" s="212" t="n"/>
      <c r="KU155" s="212" t="n"/>
      <c r="KV155" s="212" t="n"/>
      <c r="KW155" s="212" t="n"/>
      <c r="KX155" s="212" t="n"/>
      <c r="KY155" s="212" t="n"/>
      <c r="KZ155" s="212" t="n"/>
      <c r="LA155" s="212" t="n"/>
      <c r="LB155" s="212" t="n"/>
      <c r="LC155" s="212" t="n"/>
      <c r="LD155" s="212" t="n"/>
      <c r="LE155" s="212" t="n"/>
      <c r="LF155" s="212" t="n"/>
      <c r="LG155" s="212" t="n"/>
      <c r="LH155" s="212" t="n"/>
      <c r="LI155" s="212" t="n"/>
      <c r="LJ155" s="212" t="n"/>
      <c r="LK155" s="212" t="n"/>
      <c r="LL155" s="212" t="n"/>
      <c r="LM155" s="212" t="n"/>
      <c r="LN155" s="212" t="n"/>
      <c r="LO155" s="212" t="n"/>
      <c r="LP155" s="212" t="n"/>
      <c r="LQ155" s="212" t="n"/>
      <c r="LR155" s="212" t="n"/>
      <c r="LS155" s="212" t="n"/>
      <c r="LT155" s="212" t="n"/>
      <c r="LU155" s="212" t="n"/>
      <c r="LV155" s="212" t="n"/>
      <c r="LW155" s="212" t="n"/>
      <c r="LX155" s="212" t="n"/>
      <c r="LY155" s="212" t="n"/>
      <c r="LZ155" s="212" t="n"/>
      <c r="MA155" s="212" t="n"/>
      <c r="MB155" s="212" t="n"/>
      <c r="MC155" s="212" t="n"/>
      <c r="MD155" s="212" t="n"/>
      <c r="ME155" s="212" t="n"/>
      <c r="MF155" s="212" t="n"/>
      <c r="MG155" s="212" t="n"/>
      <c r="MH155" s="212" t="n"/>
      <c r="MI155" s="212" t="n"/>
      <c r="MJ155" s="212" t="n"/>
      <c r="MK155" s="212" t="n"/>
      <c r="ML155" s="212" t="n"/>
      <c r="MM155" s="212" t="n"/>
      <c r="MN155" s="212" t="n"/>
      <c r="MO155" s="212" t="n"/>
      <c r="MP155" s="212" t="n"/>
      <c r="MQ155" s="212" t="n"/>
      <c r="MR155" s="212" t="n"/>
      <c r="MS155" s="212" t="n"/>
      <c r="MT155" s="212" t="n"/>
      <c r="MU155" s="212" t="n"/>
      <c r="MV155" s="212" t="n"/>
      <c r="MW155" s="212" t="n"/>
      <c r="MX155" s="212" t="n"/>
      <c r="MY155" s="212" t="n"/>
      <c r="MZ155" s="212" t="n"/>
      <c r="NA155" s="212" t="n"/>
      <c r="NB155" s="212" t="n"/>
      <c r="NC155" s="212" t="n"/>
      <c r="ND155" s="212" t="n"/>
      <c r="NE155" s="212" t="n"/>
      <c r="NF155" s="212" t="n"/>
      <c r="NG155" s="212" t="n"/>
      <c r="NH155" s="212" t="n"/>
      <c r="NI155" s="212" t="n"/>
      <c r="NJ155" s="212" t="n"/>
      <c r="NK155" s="212" t="n"/>
      <c r="NL155" s="212" t="n"/>
      <c r="NM155" s="212" t="n"/>
      <c r="NN155" s="212" t="n"/>
      <c r="NO155" s="212" t="n"/>
      <c r="NP155" s="212" t="n"/>
      <c r="NQ155" s="212" t="n"/>
      <c r="NR155" s="212" t="n"/>
      <c r="NS155" s="212" t="n"/>
      <c r="NT155" s="212" t="n"/>
      <c r="NU155" s="212" t="n"/>
      <c r="NV155" s="212" t="n"/>
      <c r="NW155" s="212" t="n"/>
      <c r="NX155" s="212" t="n"/>
      <c r="NY155" s="212" t="n"/>
      <c r="NZ155" s="212" t="n"/>
      <c r="OA155" s="212" t="n"/>
      <c r="OB155" s="212" t="n"/>
      <c r="OC155" s="212" t="n"/>
      <c r="OD155" s="212" t="n"/>
      <c r="OE155" s="212" t="n"/>
      <c r="OF155" s="212" t="n"/>
      <c r="OG155" s="212" t="n"/>
      <c r="OH155" s="212" t="n"/>
      <c r="OI155" s="212" t="n"/>
      <c r="OJ155" s="212" t="n"/>
      <c r="OK155" s="212" t="n"/>
      <c r="OL155" s="212" t="n"/>
      <c r="OM155" s="212" t="n"/>
      <c r="ON155" s="212" t="n"/>
      <c r="OO155" s="212" t="n"/>
      <c r="OP155" s="212" t="n"/>
      <c r="OQ155" s="212" t="n"/>
      <c r="OR155" s="212" t="n"/>
      <c r="OS155" s="212" t="n"/>
      <c r="OT155" s="212" t="n"/>
      <c r="OU155" s="212" t="n"/>
      <c r="OV155" s="212" t="n"/>
      <c r="OW155" s="212" t="n"/>
      <c r="OX155" s="212" t="n"/>
      <c r="OY155" s="212" t="n"/>
      <c r="OZ155" s="212" t="n"/>
      <c r="PA155" s="212" t="n"/>
      <c r="PB155" s="212" t="n"/>
      <c r="PC155" s="212" t="n"/>
      <c r="PD155" s="212" t="n"/>
      <c r="PE155" s="212" t="n"/>
      <c r="PF155" s="212" t="n"/>
      <c r="PG155" s="212" t="n"/>
      <c r="PH155" s="212" t="n"/>
      <c r="PI155" s="212" t="n"/>
      <c r="PJ155" s="212" t="n"/>
      <c r="PK155" s="212" t="n"/>
      <c r="PL155" s="212" t="n"/>
      <c r="PM155" s="212" t="n"/>
      <c r="PN155" s="212" t="n"/>
      <c r="PO155" s="212" t="n"/>
      <c r="PP155" s="212" t="n"/>
      <c r="PQ155" s="212" t="n"/>
      <c r="PR155" s="212" t="n"/>
      <c r="PS155" s="212" t="n"/>
      <c r="PT155" s="212" t="n"/>
      <c r="PU155" s="212" t="n"/>
      <c r="PV155" s="212" t="n"/>
      <c r="PW155" s="212" t="n"/>
      <c r="PX155" s="212" t="n"/>
      <c r="PY155" s="212" t="n"/>
      <c r="PZ155" s="212" t="n"/>
      <c r="QA155" s="212" t="n"/>
      <c r="QB155" s="212" t="n"/>
      <c r="QC155" s="212" t="n"/>
      <c r="QD155" s="212" t="n"/>
      <c r="QE155" s="212" t="n"/>
      <c r="QF155" s="212" t="n"/>
      <c r="QG155" s="212" t="n"/>
      <c r="QH155" s="212" t="n"/>
      <c r="QI155" s="212" t="n"/>
      <c r="QJ155" s="212" t="n"/>
      <c r="QK155" s="212" t="n"/>
      <c r="QL155" s="212" t="n"/>
      <c r="QM155" s="212" t="n"/>
      <c r="QN155" s="212" t="n"/>
      <c r="QO155" s="212" t="n"/>
      <c r="QP155" s="212" t="n"/>
      <c r="QQ155" s="212" t="n"/>
      <c r="QR155" s="212" t="n"/>
      <c r="QS155" s="212" t="n"/>
      <c r="QT155" s="212" t="n"/>
      <c r="QU155" s="212" t="n"/>
      <c r="QV155" s="212" t="n"/>
      <c r="QW155" s="212" t="n"/>
      <c r="QX155" s="212" t="n"/>
      <c r="QY155" s="212" t="n"/>
      <c r="QZ155" s="212" t="n"/>
      <c r="RA155" s="212" t="n"/>
      <c r="RB155" s="212" t="n"/>
      <c r="RC155" s="212" t="n"/>
      <c r="RD155" s="212" t="n"/>
      <c r="RE155" s="212" t="n"/>
      <c r="RF155" s="212" t="n"/>
      <c r="RG155" s="212" t="n"/>
      <c r="RH155" s="212" t="n"/>
      <c r="RI155" s="212" t="n"/>
      <c r="RJ155" s="212" t="n"/>
      <c r="RK155" s="212" t="n"/>
      <c r="RL155" s="212" t="n"/>
      <c r="RM155" s="212" t="n"/>
      <c r="RN155" s="212" t="n"/>
      <c r="RO155" s="212" t="n"/>
      <c r="RP155" s="212" t="n"/>
      <c r="RQ155" s="212" t="n"/>
      <c r="RR155" s="212" t="n"/>
      <c r="RS155" s="212" t="n"/>
      <c r="RT155" s="212" t="n"/>
      <c r="RU155" s="212" t="n"/>
      <c r="RV155" s="212" t="n"/>
      <c r="RW155" s="212" t="n"/>
      <c r="RX155" s="212" t="n"/>
      <c r="RY155" s="212" t="n"/>
      <c r="RZ155" s="212" t="n"/>
      <c r="SA155" s="212" t="n"/>
      <c r="SB155" s="212" t="n"/>
      <c r="SC155" s="212" t="n"/>
      <c r="SD155" s="212" t="n"/>
      <c r="SE155" s="212" t="n"/>
      <c r="SF155" s="212" t="n"/>
      <c r="SG155" s="212" t="n"/>
      <c r="SH155" s="212" t="n"/>
      <c r="SI155" s="212" t="n"/>
      <c r="SJ155" s="212" t="n"/>
      <c r="SK155" s="212" t="n"/>
      <c r="SL155" s="212" t="n"/>
      <c r="SM155" s="212" t="n"/>
      <c r="SN155" s="212" t="n"/>
      <c r="SO155" s="212" t="n"/>
      <c r="SP155" s="212" t="n"/>
      <c r="SQ155" s="212" t="n"/>
      <c r="SR155" s="212" t="n"/>
      <c r="SS155" s="212" t="n"/>
      <c r="ST155" s="212" t="n"/>
      <c r="SU155" s="212" t="n"/>
      <c r="SV155" s="212" t="n"/>
    </row>
    <row r="156">
      <c r="B156" s="209" t="n"/>
      <c r="C156" s="209" t="n"/>
      <c r="D156" s="209" t="n"/>
      <c r="E156" s="209" t="n"/>
      <c r="F156" s="209">
        <f>IF(TRIM(D156&amp;E156)="","",TRIM(D156)&amp;" "&amp;TRIM(E156))</f>
        <v/>
      </c>
      <c r="G156" s="209" t="n"/>
      <c r="H156" s="209" t="n"/>
      <c r="I156" s="209" t="n"/>
      <c r="J156" s="209" t="n"/>
      <c r="K156" s="209" t="n"/>
      <c r="L156" s="209" t="n"/>
      <c r="M156" s="209" t="n"/>
      <c r="N156" s="209" t="n"/>
      <c r="O156" s="209" t="n"/>
      <c r="P156" s="209" t="n"/>
      <c r="Q156" s="209" t="n"/>
      <c r="R156" s="209" t="n"/>
      <c r="S156" s="212" t="n"/>
      <c r="T156" s="212" t="n"/>
      <c r="U156" s="212" t="n"/>
      <c r="V156" s="212" t="n"/>
      <c r="W156" s="212" t="n"/>
      <c r="X156" s="212" t="n"/>
      <c r="Y156" s="212" t="n"/>
      <c r="Z156" s="212" t="n"/>
      <c r="AA156" s="212" t="n"/>
      <c r="AB156" s="212" t="n"/>
      <c r="AC156" s="212" t="n"/>
      <c r="AD156" s="212" t="n"/>
      <c r="AE156" s="212" t="n"/>
      <c r="AF156" s="212" t="n"/>
      <c r="AG156" s="212" t="n"/>
      <c r="AH156" s="212" t="n"/>
      <c r="AI156" s="212" t="n"/>
      <c r="AJ156" s="212" t="n"/>
      <c r="AK156" s="212" t="n"/>
      <c r="AL156" s="212" t="n"/>
      <c r="AM156" s="212" t="n"/>
      <c r="AN156" s="212" t="n"/>
      <c r="AO156" s="212" t="n"/>
      <c r="AP156" s="212" t="n"/>
      <c r="AQ156" s="212" t="n"/>
      <c r="AR156" s="212" t="n"/>
      <c r="AS156" s="212" t="n"/>
      <c r="AT156" s="212" t="n"/>
      <c r="AU156" s="212" t="n"/>
      <c r="AV156" s="212" t="n"/>
      <c r="AW156" s="212" t="n"/>
      <c r="AX156" s="212" t="n"/>
      <c r="AY156" s="212" t="n"/>
      <c r="AZ156" s="212" t="n"/>
      <c r="BA156" s="212" t="n"/>
      <c r="BB156" s="212" t="n"/>
      <c r="BC156" s="212" t="n"/>
      <c r="BD156" s="212" t="n"/>
      <c r="BE156" s="212" t="n"/>
      <c r="BF156" s="212" t="n"/>
      <c r="BG156" s="212" t="n"/>
      <c r="BH156" s="212" t="n"/>
      <c r="BI156" s="212" t="n"/>
      <c r="BJ156" s="212" t="n"/>
      <c r="BK156" s="212" t="n"/>
      <c r="BL156" s="212" t="n"/>
      <c r="BM156" s="212" t="n"/>
      <c r="BN156" s="212" t="n"/>
      <c r="BO156" s="212" t="n"/>
      <c r="BP156" s="212" t="n"/>
      <c r="BQ156" s="212" t="n"/>
      <c r="BR156" s="212" t="n"/>
      <c r="BS156" s="212" t="n"/>
      <c r="BT156" s="212" t="n"/>
      <c r="BU156" s="212" t="n"/>
      <c r="BV156" s="212" t="n"/>
      <c r="BW156" s="212" t="n"/>
      <c r="BX156" s="212" t="n"/>
      <c r="BY156" s="212" t="n"/>
      <c r="BZ156" s="212" t="n"/>
      <c r="CA156" s="212" t="n"/>
      <c r="CB156" s="212" t="n"/>
      <c r="CC156" s="212" t="n"/>
      <c r="CD156" s="212" t="n"/>
      <c r="CE156" s="212" t="n"/>
      <c r="CF156" s="212" t="n"/>
      <c r="CG156" s="212" t="n"/>
      <c r="CH156" s="212" t="n"/>
      <c r="CI156" s="212" t="n"/>
      <c r="CJ156" s="212" t="n"/>
      <c r="CK156" s="212" t="n"/>
      <c r="CL156" s="212" t="n"/>
      <c r="CM156" s="212" t="n"/>
      <c r="CN156" s="212" t="n"/>
      <c r="CO156" s="212" t="n"/>
      <c r="CP156" s="212" t="n"/>
      <c r="CQ156" s="212" t="n"/>
      <c r="CR156" s="212" t="n"/>
      <c r="CS156" s="212" t="n"/>
      <c r="CT156" s="212" t="n"/>
      <c r="CU156" s="212" t="n"/>
      <c r="CV156" s="212" t="n"/>
      <c r="CW156" s="212" t="n"/>
      <c r="CX156" s="212" t="n"/>
      <c r="CY156" s="212" t="n"/>
      <c r="CZ156" s="212" t="n"/>
      <c r="DA156" s="212" t="n"/>
      <c r="DB156" s="212" t="n"/>
      <c r="DC156" s="212" t="n"/>
      <c r="DD156" s="212" t="n"/>
      <c r="DE156" s="212" t="n"/>
      <c r="DF156" s="212" t="n"/>
      <c r="DG156" s="212" t="n"/>
      <c r="DH156" s="212" t="n"/>
      <c r="DI156" s="212" t="n"/>
      <c r="DJ156" s="212" t="n"/>
      <c r="DK156" s="212" t="n"/>
      <c r="DL156" s="212" t="n"/>
      <c r="DM156" s="212" t="n"/>
      <c r="DN156" s="212" t="n"/>
      <c r="DO156" s="212" t="n"/>
      <c r="DP156" s="212" t="n"/>
      <c r="DQ156" s="212" t="n"/>
      <c r="DR156" s="212" t="n"/>
      <c r="DS156" s="212" t="n"/>
      <c r="DT156" s="212" t="n"/>
      <c r="DU156" s="212" t="n"/>
      <c r="DV156" s="212" t="n"/>
      <c r="DW156" s="212" t="n"/>
      <c r="DX156" s="212" t="n"/>
      <c r="DY156" s="212" t="n"/>
      <c r="DZ156" s="212" t="n"/>
      <c r="EA156" s="212" t="n"/>
      <c r="EB156" s="212" t="n"/>
      <c r="EC156" s="212" t="n"/>
      <c r="ED156" s="212" t="n"/>
      <c r="EE156" s="212" t="n"/>
      <c r="EF156" s="212" t="n"/>
      <c r="EG156" s="212" t="n"/>
      <c r="EH156" s="212" t="n"/>
      <c r="EI156" s="212" t="n"/>
      <c r="EJ156" s="212" t="n"/>
      <c r="EK156" s="212" t="n"/>
      <c r="EL156" s="212" t="n"/>
      <c r="EM156" s="212" t="n"/>
      <c r="EN156" s="212" t="n"/>
      <c r="EO156" s="212" t="n"/>
      <c r="EP156" s="212" t="n"/>
      <c r="EQ156" s="212" t="n"/>
      <c r="ER156" s="212" t="n"/>
      <c r="ES156" s="212" t="n"/>
      <c r="ET156" s="212" t="n"/>
      <c r="EU156" s="212" t="n"/>
      <c r="EV156" s="212" t="n"/>
      <c r="EW156" s="212" t="n"/>
      <c r="EX156" s="212" t="n"/>
      <c r="EY156" s="212" t="n"/>
      <c r="EZ156" s="212" t="n"/>
      <c r="FA156" s="212" t="n"/>
      <c r="FB156" s="212" t="n"/>
      <c r="FC156" s="212" t="n"/>
      <c r="FD156" s="212" t="n"/>
      <c r="FE156" s="212" t="n"/>
      <c r="FF156" s="212" t="n"/>
      <c r="FG156" s="212" t="n"/>
      <c r="FH156" s="212" t="n"/>
      <c r="FI156" s="212" t="n"/>
      <c r="FJ156" s="212" t="n"/>
      <c r="FK156" s="212" t="n"/>
      <c r="FL156" s="212" t="n"/>
      <c r="FM156" s="212" t="n"/>
      <c r="FN156" s="212" t="n"/>
      <c r="FO156" s="212" t="n"/>
      <c r="FP156" s="212" t="n"/>
      <c r="FQ156" s="212" t="n"/>
      <c r="FR156" s="212" t="n"/>
      <c r="FS156" s="212" t="n"/>
      <c r="FT156" s="212" t="n"/>
      <c r="FU156" s="212" t="n"/>
      <c r="FV156" s="212" t="n"/>
      <c r="FW156" s="212" t="n"/>
      <c r="FX156" s="212" t="n"/>
      <c r="FY156" s="212" t="n"/>
      <c r="FZ156" s="212" t="n"/>
      <c r="GA156" s="212" t="n"/>
      <c r="GB156" s="212" t="n"/>
      <c r="GC156" s="212" t="n"/>
      <c r="GD156" s="212" t="n"/>
      <c r="GE156" s="212" t="n"/>
      <c r="GF156" s="212" t="n"/>
      <c r="GG156" s="212" t="n"/>
      <c r="GH156" s="212" t="n"/>
      <c r="GI156" s="212" t="n"/>
      <c r="GJ156" s="212" t="n"/>
      <c r="GK156" s="212" t="n"/>
      <c r="GL156" s="212" t="n"/>
      <c r="GM156" s="212" t="n"/>
      <c r="GN156" s="212" t="n"/>
      <c r="GO156" s="212" t="n"/>
      <c r="GP156" s="212" t="n"/>
      <c r="GQ156" s="212" t="n"/>
      <c r="GR156" s="212" t="n"/>
      <c r="GS156" s="212" t="n"/>
      <c r="GT156" s="212" t="n"/>
      <c r="GU156" s="212" t="n"/>
      <c r="GV156" s="212" t="n"/>
      <c r="GW156" s="212" t="n"/>
      <c r="GX156" s="212" t="n"/>
      <c r="GY156" s="212" t="n"/>
      <c r="GZ156" s="212" t="n"/>
      <c r="HA156" s="212" t="n"/>
      <c r="HB156" s="212" t="n"/>
      <c r="HC156" s="212" t="n"/>
      <c r="HD156" s="212" t="n"/>
      <c r="HE156" s="212" t="n"/>
      <c r="HF156" s="212" t="n"/>
      <c r="HG156" s="212" t="n"/>
      <c r="HH156" s="212" t="n"/>
      <c r="HI156" s="212" t="n"/>
      <c r="HJ156" s="212" t="n"/>
      <c r="HK156" s="212" t="n"/>
      <c r="HL156" s="212" t="n"/>
      <c r="HM156" s="212" t="n"/>
      <c r="HN156" s="212" t="n"/>
      <c r="HO156" s="212" t="n"/>
      <c r="HP156" s="212" t="n"/>
      <c r="HQ156" s="212" t="n"/>
      <c r="HR156" s="212" t="n"/>
      <c r="HS156" s="212" t="n"/>
      <c r="HT156" s="212" t="n"/>
      <c r="HU156" s="212" t="n"/>
      <c r="HV156" s="212" t="n"/>
      <c r="HW156" s="212" t="n"/>
      <c r="HX156" s="212" t="n"/>
      <c r="HY156" s="212" t="n"/>
      <c r="HZ156" s="212" t="n"/>
      <c r="IA156" s="212" t="n"/>
      <c r="IB156" s="212" t="n"/>
      <c r="IC156" s="212" t="n"/>
      <c r="ID156" s="212" t="n"/>
      <c r="IE156" s="212" t="n"/>
      <c r="IF156" s="212" t="n"/>
      <c r="IG156" s="212" t="n"/>
      <c r="IH156" s="212" t="n"/>
      <c r="II156" s="212" t="n"/>
      <c r="IJ156" s="212" t="n"/>
      <c r="IK156" s="212" t="n"/>
      <c r="IL156" s="212" t="n"/>
      <c r="IM156" s="212" t="n"/>
      <c r="IN156" s="212" t="n"/>
      <c r="IO156" s="212" t="n"/>
      <c r="IP156" s="212" t="n"/>
      <c r="IQ156" s="212" t="n"/>
      <c r="IR156" s="212" t="n"/>
      <c r="IS156" s="212" t="n"/>
      <c r="IT156" s="212" t="n"/>
      <c r="IU156" s="212" t="n"/>
      <c r="IV156" s="212" t="n"/>
      <c r="IW156" s="212" t="n"/>
      <c r="IX156" s="212" t="n"/>
      <c r="IY156" s="212" t="n"/>
      <c r="IZ156" s="212" t="n"/>
      <c r="JA156" s="212" t="n"/>
      <c r="JB156" s="212" t="n"/>
      <c r="JC156" s="212" t="n"/>
      <c r="JD156" s="212" t="n"/>
      <c r="JE156" s="212" t="n"/>
      <c r="JF156" s="212" t="n"/>
      <c r="JG156" s="212" t="n"/>
      <c r="JH156" s="212" t="n"/>
      <c r="JI156" s="212" t="n"/>
      <c r="JJ156" s="212" t="n"/>
      <c r="JK156" s="212" t="n"/>
      <c r="JL156" s="212" t="n"/>
      <c r="JM156" s="212" t="n"/>
      <c r="JN156" s="212" t="n"/>
      <c r="JO156" s="212" t="n"/>
      <c r="JP156" s="212" t="n"/>
      <c r="JQ156" s="212" t="n"/>
      <c r="JR156" s="212" t="n"/>
      <c r="JS156" s="212" t="n"/>
      <c r="JT156" s="212" t="n"/>
      <c r="JU156" s="212" t="n"/>
      <c r="JV156" s="212" t="n"/>
      <c r="JW156" s="212" t="n"/>
      <c r="JX156" s="212" t="n"/>
      <c r="JY156" s="212" t="n"/>
      <c r="JZ156" s="212" t="n"/>
      <c r="KA156" s="212" t="n"/>
      <c r="KB156" s="212" t="n"/>
      <c r="KC156" s="212" t="n"/>
      <c r="KD156" s="212" t="n"/>
      <c r="KE156" s="212" t="n"/>
      <c r="KF156" s="212" t="n"/>
      <c r="KG156" s="212" t="n"/>
      <c r="KH156" s="212" t="n"/>
      <c r="KI156" s="212" t="n"/>
      <c r="KJ156" s="212" t="n"/>
      <c r="KK156" s="212" t="n"/>
      <c r="KL156" s="212" t="n"/>
      <c r="KM156" s="212" t="n"/>
      <c r="KN156" s="212" t="n"/>
      <c r="KO156" s="212" t="n"/>
      <c r="KP156" s="212" t="n"/>
      <c r="KQ156" s="212" t="n"/>
      <c r="KR156" s="212" t="n"/>
      <c r="KS156" s="212" t="n"/>
      <c r="KT156" s="212" t="n"/>
      <c r="KU156" s="212" t="n"/>
      <c r="KV156" s="212" t="n"/>
      <c r="KW156" s="212" t="n"/>
      <c r="KX156" s="212" t="n"/>
      <c r="KY156" s="212" t="n"/>
      <c r="KZ156" s="212" t="n"/>
      <c r="LA156" s="212" t="n"/>
      <c r="LB156" s="212" t="n"/>
      <c r="LC156" s="212" t="n"/>
      <c r="LD156" s="212" t="n"/>
      <c r="LE156" s="212" t="n"/>
      <c r="LF156" s="212" t="n"/>
      <c r="LG156" s="212" t="n"/>
      <c r="LH156" s="212" t="n"/>
      <c r="LI156" s="212" t="n"/>
      <c r="LJ156" s="212" t="n"/>
      <c r="LK156" s="212" t="n"/>
      <c r="LL156" s="212" t="n"/>
      <c r="LM156" s="212" t="n"/>
      <c r="LN156" s="212" t="n"/>
      <c r="LO156" s="212" t="n"/>
      <c r="LP156" s="212" t="n"/>
      <c r="LQ156" s="212" t="n"/>
      <c r="LR156" s="212" t="n"/>
      <c r="LS156" s="212" t="n"/>
      <c r="LT156" s="212" t="n"/>
      <c r="LU156" s="212" t="n"/>
      <c r="LV156" s="212" t="n"/>
      <c r="LW156" s="212" t="n"/>
      <c r="LX156" s="212" t="n"/>
      <c r="LY156" s="212" t="n"/>
      <c r="LZ156" s="212" t="n"/>
      <c r="MA156" s="212" t="n"/>
      <c r="MB156" s="212" t="n"/>
      <c r="MC156" s="212" t="n"/>
      <c r="MD156" s="212" t="n"/>
      <c r="ME156" s="212" t="n"/>
      <c r="MF156" s="212" t="n"/>
      <c r="MG156" s="212" t="n"/>
      <c r="MH156" s="212" t="n"/>
      <c r="MI156" s="212" t="n"/>
      <c r="MJ156" s="212" t="n"/>
      <c r="MK156" s="212" t="n"/>
      <c r="ML156" s="212" t="n"/>
      <c r="MM156" s="212" t="n"/>
      <c r="MN156" s="212" t="n"/>
      <c r="MO156" s="212" t="n"/>
      <c r="MP156" s="212" t="n"/>
      <c r="MQ156" s="212" t="n"/>
      <c r="MR156" s="212" t="n"/>
      <c r="MS156" s="212" t="n"/>
      <c r="MT156" s="212" t="n"/>
      <c r="MU156" s="212" t="n"/>
      <c r="MV156" s="212" t="n"/>
      <c r="MW156" s="212" t="n"/>
      <c r="MX156" s="212" t="n"/>
      <c r="MY156" s="212" t="n"/>
      <c r="MZ156" s="212" t="n"/>
      <c r="NA156" s="212" t="n"/>
      <c r="NB156" s="212" t="n"/>
      <c r="NC156" s="212" t="n"/>
      <c r="ND156" s="212" t="n"/>
      <c r="NE156" s="212" t="n"/>
      <c r="NF156" s="212" t="n"/>
      <c r="NG156" s="212" t="n"/>
      <c r="NH156" s="212" t="n"/>
      <c r="NI156" s="212" t="n"/>
      <c r="NJ156" s="212" t="n"/>
      <c r="NK156" s="212" t="n"/>
      <c r="NL156" s="212" t="n"/>
      <c r="NM156" s="212" t="n"/>
      <c r="NN156" s="212" t="n"/>
      <c r="NO156" s="212" t="n"/>
      <c r="NP156" s="212" t="n"/>
      <c r="NQ156" s="212" t="n"/>
      <c r="NR156" s="212" t="n"/>
      <c r="NS156" s="212" t="n"/>
      <c r="NT156" s="212" t="n"/>
      <c r="NU156" s="212" t="n"/>
      <c r="NV156" s="212" t="n"/>
      <c r="NW156" s="212" t="n"/>
      <c r="NX156" s="212" t="n"/>
      <c r="NY156" s="212" t="n"/>
      <c r="NZ156" s="212" t="n"/>
      <c r="OA156" s="212" t="n"/>
      <c r="OB156" s="212" t="n"/>
      <c r="OC156" s="212" t="n"/>
      <c r="OD156" s="212" t="n"/>
      <c r="OE156" s="212" t="n"/>
      <c r="OF156" s="212" t="n"/>
      <c r="OG156" s="212" t="n"/>
      <c r="OH156" s="212" t="n"/>
      <c r="OI156" s="212" t="n"/>
      <c r="OJ156" s="212" t="n"/>
      <c r="OK156" s="212" t="n"/>
      <c r="OL156" s="212" t="n"/>
      <c r="OM156" s="212" t="n"/>
      <c r="ON156" s="212" t="n"/>
      <c r="OO156" s="212" t="n"/>
      <c r="OP156" s="212" t="n"/>
      <c r="OQ156" s="212" t="n"/>
      <c r="OR156" s="212" t="n"/>
      <c r="OS156" s="212" t="n"/>
      <c r="OT156" s="212" t="n"/>
      <c r="OU156" s="212" t="n"/>
      <c r="OV156" s="212" t="n"/>
      <c r="OW156" s="212" t="n"/>
      <c r="OX156" s="212" t="n"/>
      <c r="OY156" s="212" t="n"/>
      <c r="OZ156" s="212" t="n"/>
      <c r="PA156" s="212" t="n"/>
      <c r="PB156" s="212" t="n"/>
      <c r="PC156" s="212" t="n"/>
      <c r="PD156" s="212" t="n"/>
      <c r="PE156" s="212" t="n"/>
      <c r="PF156" s="212" t="n"/>
      <c r="PG156" s="212" t="n"/>
      <c r="PH156" s="212" t="n"/>
      <c r="PI156" s="212" t="n"/>
      <c r="PJ156" s="212" t="n"/>
      <c r="PK156" s="212" t="n"/>
      <c r="PL156" s="212" t="n"/>
      <c r="PM156" s="212" t="n"/>
      <c r="PN156" s="212" t="n"/>
      <c r="PO156" s="212" t="n"/>
      <c r="PP156" s="212" t="n"/>
      <c r="PQ156" s="212" t="n"/>
      <c r="PR156" s="212" t="n"/>
      <c r="PS156" s="212" t="n"/>
      <c r="PT156" s="212" t="n"/>
      <c r="PU156" s="212" t="n"/>
      <c r="PV156" s="212" t="n"/>
      <c r="PW156" s="212" t="n"/>
      <c r="PX156" s="212" t="n"/>
      <c r="PY156" s="212" t="n"/>
      <c r="PZ156" s="212" t="n"/>
      <c r="QA156" s="212" t="n"/>
      <c r="QB156" s="212" t="n"/>
      <c r="QC156" s="212" t="n"/>
      <c r="QD156" s="212" t="n"/>
      <c r="QE156" s="212" t="n"/>
      <c r="QF156" s="212" t="n"/>
      <c r="QG156" s="212" t="n"/>
      <c r="QH156" s="212" t="n"/>
      <c r="QI156" s="212" t="n"/>
      <c r="QJ156" s="212" t="n"/>
      <c r="QK156" s="212" t="n"/>
      <c r="QL156" s="212" t="n"/>
      <c r="QM156" s="212" t="n"/>
      <c r="QN156" s="212" t="n"/>
      <c r="QO156" s="212" t="n"/>
      <c r="QP156" s="212" t="n"/>
      <c r="QQ156" s="212" t="n"/>
      <c r="QR156" s="212" t="n"/>
      <c r="QS156" s="212" t="n"/>
      <c r="QT156" s="212" t="n"/>
      <c r="QU156" s="212" t="n"/>
      <c r="QV156" s="212" t="n"/>
      <c r="QW156" s="212" t="n"/>
      <c r="QX156" s="212" t="n"/>
      <c r="QY156" s="212" t="n"/>
      <c r="QZ156" s="212" t="n"/>
      <c r="RA156" s="212" t="n"/>
      <c r="RB156" s="212" t="n"/>
      <c r="RC156" s="212" t="n"/>
      <c r="RD156" s="212" t="n"/>
      <c r="RE156" s="212" t="n"/>
      <c r="RF156" s="212" t="n"/>
      <c r="RG156" s="212" t="n"/>
      <c r="RH156" s="212" t="n"/>
      <c r="RI156" s="212" t="n"/>
      <c r="RJ156" s="212" t="n"/>
      <c r="RK156" s="212" t="n"/>
      <c r="RL156" s="212" t="n"/>
      <c r="RM156" s="212" t="n"/>
      <c r="RN156" s="212" t="n"/>
      <c r="RO156" s="212" t="n"/>
      <c r="RP156" s="212" t="n"/>
      <c r="RQ156" s="212" t="n"/>
      <c r="RR156" s="212" t="n"/>
      <c r="RS156" s="212" t="n"/>
      <c r="RT156" s="212" t="n"/>
      <c r="RU156" s="212" t="n"/>
      <c r="RV156" s="212" t="n"/>
      <c r="RW156" s="212" t="n"/>
      <c r="RX156" s="212" t="n"/>
      <c r="RY156" s="212" t="n"/>
      <c r="RZ156" s="212" t="n"/>
      <c r="SA156" s="212" t="n"/>
      <c r="SB156" s="212" t="n"/>
      <c r="SC156" s="212" t="n"/>
      <c r="SD156" s="212" t="n"/>
      <c r="SE156" s="212" t="n"/>
      <c r="SF156" s="212" t="n"/>
      <c r="SG156" s="212" t="n"/>
      <c r="SH156" s="212" t="n"/>
      <c r="SI156" s="212" t="n"/>
      <c r="SJ156" s="212" t="n"/>
      <c r="SK156" s="212" t="n"/>
      <c r="SL156" s="212" t="n"/>
      <c r="SM156" s="212" t="n"/>
      <c r="SN156" s="212" t="n"/>
      <c r="SO156" s="212" t="n"/>
      <c r="SP156" s="212" t="n"/>
      <c r="SQ156" s="212" t="n"/>
      <c r="SR156" s="212" t="n"/>
      <c r="SS156" s="212" t="n"/>
      <c r="ST156" s="212" t="n"/>
      <c r="SU156" s="212" t="n"/>
      <c r="SV156" s="212" t="n"/>
    </row>
    <row r="157">
      <c r="B157" s="209" t="n"/>
      <c r="C157" s="209" t="n"/>
      <c r="D157" s="209" t="n"/>
      <c r="E157" s="209" t="n"/>
      <c r="F157" s="209">
        <f>IF(TRIM(D157&amp;E157)="","",TRIM(D157)&amp;" "&amp;TRIM(E157))</f>
        <v/>
      </c>
      <c r="G157" s="209" t="n"/>
      <c r="H157" s="209" t="n"/>
      <c r="I157" s="209" t="n"/>
      <c r="J157" s="209" t="n"/>
      <c r="K157" s="209" t="n"/>
      <c r="L157" s="209" t="n"/>
      <c r="M157" s="209" t="n"/>
      <c r="N157" s="209" t="n"/>
      <c r="O157" s="209" t="n"/>
      <c r="P157" s="209" t="n"/>
      <c r="Q157" s="209" t="n"/>
      <c r="R157" s="209" t="n"/>
      <c r="S157" s="212" t="n"/>
      <c r="T157" s="212" t="n"/>
      <c r="U157" s="212" t="n"/>
      <c r="V157" s="212" t="n"/>
      <c r="W157" s="212" t="n"/>
      <c r="X157" s="212" t="n"/>
      <c r="Y157" s="212" t="n"/>
      <c r="Z157" s="212" t="n"/>
      <c r="AA157" s="212" t="n"/>
      <c r="AB157" s="212" t="n"/>
      <c r="AC157" s="212" t="n"/>
      <c r="AD157" s="212" t="n"/>
      <c r="AE157" s="212" t="n"/>
      <c r="AF157" s="212" t="n"/>
      <c r="AG157" s="212" t="n"/>
      <c r="AH157" s="212" t="n"/>
      <c r="AI157" s="212" t="n"/>
      <c r="AJ157" s="212" t="n"/>
      <c r="AK157" s="212" t="n"/>
      <c r="AL157" s="212" t="n"/>
      <c r="AM157" s="212" t="n"/>
      <c r="AN157" s="212" t="n"/>
      <c r="AO157" s="212" t="n"/>
      <c r="AP157" s="212" t="n"/>
      <c r="AQ157" s="212" t="n"/>
      <c r="AR157" s="212" t="n"/>
      <c r="AS157" s="212" t="n"/>
      <c r="AT157" s="212" t="n"/>
      <c r="AU157" s="212" t="n"/>
      <c r="AV157" s="212" t="n"/>
      <c r="AW157" s="212" t="n"/>
      <c r="AX157" s="212" t="n"/>
      <c r="AY157" s="212" t="n"/>
      <c r="AZ157" s="212" t="n"/>
      <c r="BA157" s="212" t="n"/>
      <c r="BB157" s="212" t="n"/>
      <c r="BC157" s="212" t="n"/>
      <c r="BD157" s="212" t="n"/>
      <c r="BE157" s="212" t="n"/>
      <c r="BF157" s="212" t="n"/>
      <c r="BG157" s="212" t="n"/>
      <c r="BH157" s="212" t="n"/>
      <c r="BI157" s="212" t="n"/>
      <c r="BJ157" s="212" t="n"/>
      <c r="BK157" s="212" t="n"/>
      <c r="BL157" s="212" t="n"/>
      <c r="BM157" s="212" t="n"/>
      <c r="BN157" s="212" t="n"/>
      <c r="BO157" s="212" t="n"/>
      <c r="BP157" s="212" t="n"/>
      <c r="BQ157" s="212" t="n"/>
      <c r="BR157" s="212" t="n"/>
      <c r="BS157" s="212" t="n"/>
      <c r="BT157" s="212" t="n"/>
      <c r="BU157" s="212" t="n"/>
      <c r="BV157" s="212" t="n"/>
      <c r="BW157" s="212" t="n"/>
      <c r="BX157" s="212" t="n"/>
      <c r="BY157" s="212" t="n"/>
      <c r="BZ157" s="212" t="n"/>
      <c r="CA157" s="212" t="n"/>
      <c r="CB157" s="212" t="n"/>
      <c r="CC157" s="212" t="n"/>
      <c r="CD157" s="212" t="n"/>
      <c r="CE157" s="212" t="n"/>
      <c r="CF157" s="212" t="n"/>
      <c r="CG157" s="212" t="n"/>
      <c r="CH157" s="212" t="n"/>
      <c r="CI157" s="212" t="n"/>
      <c r="CJ157" s="212" t="n"/>
      <c r="CK157" s="212" t="n"/>
      <c r="CL157" s="212" t="n"/>
      <c r="CM157" s="212" t="n"/>
      <c r="CN157" s="212" t="n"/>
      <c r="CO157" s="212" t="n"/>
      <c r="CP157" s="212" t="n"/>
      <c r="CQ157" s="212" t="n"/>
      <c r="CR157" s="212" t="n"/>
      <c r="CS157" s="212" t="n"/>
      <c r="CT157" s="212" t="n"/>
      <c r="CU157" s="212" t="n"/>
      <c r="CV157" s="212" t="n"/>
      <c r="CW157" s="212" t="n"/>
      <c r="CX157" s="212" t="n"/>
      <c r="CY157" s="212" t="n"/>
      <c r="CZ157" s="212" t="n"/>
      <c r="DA157" s="212" t="n"/>
      <c r="DB157" s="212" t="n"/>
      <c r="DC157" s="212" t="n"/>
      <c r="DD157" s="212" t="n"/>
      <c r="DE157" s="212" t="n"/>
      <c r="DF157" s="212" t="n"/>
      <c r="DG157" s="212" t="n"/>
      <c r="DH157" s="212" t="n"/>
      <c r="DI157" s="212" t="n"/>
      <c r="DJ157" s="212" t="n"/>
      <c r="DK157" s="212" t="n"/>
      <c r="DL157" s="212" t="n"/>
      <c r="DM157" s="212" t="n"/>
      <c r="DN157" s="212" t="n"/>
      <c r="DO157" s="212" t="n"/>
      <c r="DP157" s="212" t="n"/>
      <c r="DQ157" s="212" t="n"/>
      <c r="DR157" s="212" t="n"/>
      <c r="DS157" s="212" t="n"/>
      <c r="DT157" s="212" t="n"/>
      <c r="DU157" s="212" t="n"/>
      <c r="DV157" s="212" t="n"/>
      <c r="DW157" s="212" t="n"/>
      <c r="DX157" s="212" t="n"/>
      <c r="DY157" s="212" t="n"/>
      <c r="DZ157" s="212" t="n"/>
      <c r="EA157" s="212" t="n"/>
      <c r="EB157" s="212" t="n"/>
      <c r="EC157" s="212" t="n"/>
      <c r="ED157" s="212" t="n"/>
      <c r="EE157" s="212" t="n"/>
      <c r="EF157" s="212" t="n"/>
      <c r="EG157" s="212" t="n"/>
      <c r="EH157" s="212" t="n"/>
      <c r="EI157" s="212" t="n"/>
      <c r="EJ157" s="212" t="n"/>
      <c r="EK157" s="212" t="n"/>
      <c r="EL157" s="212" t="n"/>
      <c r="EM157" s="212" t="n"/>
      <c r="EN157" s="212" t="n"/>
      <c r="EO157" s="212" t="n"/>
      <c r="EP157" s="212" t="n"/>
      <c r="EQ157" s="212" t="n"/>
      <c r="ER157" s="212" t="n"/>
      <c r="ES157" s="212" t="n"/>
      <c r="ET157" s="212" t="n"/>
      <c r="EU157" s="212" t="n"/>
      <c r="EV157" s="212" t="n"/>
      <c r="EW157" s="212" t="n"/>
      <c r="EX157" s="212" t="n"/>
      <c r="EY157" s="212" t="n"/>
      <c r="EZ157" s="212" t="n"/>
      <c r="FA157" s="212" t="n"/>
      <c r="FB157" s="212" t="n"/>
      <c r="FC157" s="212" t="n"/>
      <c r="FD157" s="212" t="n"/>
      <c r="FE157" s="212" t="n"/>
      <c r="FF157" s="212" t="n"/>
      <c r="FG157" s="212" t="n"/>
      <c r="FH157" s="212" t="n"/>
      <c r="FI157" s="212" t="n"/>
      <c r="FJ157" s="212" t="n"/>
      <c r="FK157" s="212" t="n"/>
      <c r="FL157" s="212" t="n"/>
      <c r="FM157" s="212" t="n"/>
      <c r="FN157" s="212" t="n"/>
      <c r="FO157" s="212" t="n"/>
      <c r="FP157" s="212" t="n"/>
      <c r="FQ157" s="212" t="n"/>
      <c r="FR157" s="212" t="n"/>
      <c r="FS157" s="212" t="n"/>
      <c r="FT157" s="212" t="n"/>
      <c r="FU157" s="212" t="n"/>
      <c r="FV157" s="212" t="n"/>
      <c r="FW157" s="212" t="n"/>
      <c r="FX157" s="212" t="n"/>
      <c r="FY157" s="212" t="n"/>
      <c r="FZ157" s="212" t="n"/>
      <c r="GA157" s="212" t="n"/>
      <c r="GB157" s="212" t="n"/>
      <c r="GC157" s="212" t="n"/>
      <c r="GD157" s="212" t="n"/>
      <c r="GE157" s="212" t="n"/>
      <c r="GF157" s="212" t="n"/>
      <c r="GG157" s="212" t="n"/>
      <c r="GH157" s="212" t="n"/>
      <c r="GI157" s="212" t="n"/>
      <c r="GJ157" s="212" t="n"/>
      <c r="GK157" s="212" t="n"/>
      <c r="GL157" s="212" t="n"/>
      <c r="GM157" s="212" t="n"/>
      <c r="GN157" s="212" t="n"/>
      <c r="GO157" s="212" t="n"/>
      <c r="GP157" s="212" t="n"/>
      <c r="GQ157" s="212" t="n"/>
      <c r="GR157" s="212" t="n"/>
      <c r="GS157" s="212" t="n"/>
      <c r="GT157" s="212" t="n"/>
      <c r="GU157" s="212" t="n"/>
      <c r="GV157" s="212" t="n"/>
      <c r="GW157" s="212" t="n"/>
      <c r="GX157" s="212" t="n"/>
      <c r="GY157" s="212" t="n"/>
      <c r="GZ157" s="212" t="n"/>
      <c r="HA157" s="212" t="n"/>
      <c r="HB157" s="212" t="n"/>
      <c r="HC157" s="212" t="n"/>
      <c r="HD157" s="212" t="n"/>
      <c r="HE157" s="212" t="n"/>
      <c r="HF157" s="212" t="n"/>
      <c r="HG157" s="212" t="n"/>
      <c r="HH157" s="212" t="n"/>
      <c r="HI157" s="212" t="n"/>
      <c r="HJ157" s="212" t="n"/>
      <c r="HK157" s="212" t="n"/>
      <c r="HL157" s="212" t="n"/>
      <c r="HM157" s="212" t="n"/>
      <c r="HN157" s="212" t="n"/>
      <c r="HO157" s="212" t="n"/>
      <c r="HP157" s="212" t="n"/>
      <c r="HQ157" s="212" t="n"/>
      <c r="HR157" s="212" t="n"/>
      <c r="HS157" s="212" t="n"/>
      <c r="HT157" s="212" t="n"/>
      <c r="HU157" s="212" t="n"/>
      <c r="HV157" s="212" t="n"/>
      <c r="HW157" s="212" t="n"/>
      <c r="HX157" s="212" t="n"/>
      <c r="HY157" s="212" t="n"/>
      <c r="HZ157" s="212" t="n"/>
      <c r="IA157" s="212" t="n"/>
      <c r="IB157" s="212" t="n"/>
      <c r="IC157" s="212" t="n"/>
      <c r="ID157" s="212" t="n"/>
      <c r="IE157" s="212" t="n"/>
      <c r="IF157" s="212" t="n"/>
      <c r="IG157" s="212" t="n"/>
      <c r="IH157" s="212" t="n"/>
      <c r="II157" s="212" t="n"/>
      <c r="IJ157" s="212" t="n"/>
      <c r="IK157" s="212" t="n"/>
      <c r="IL157" s="212" t="n"/>
      <c r="IM157" s="212" t="n"/>
      <c r="IN157" s="212" t="n"/>
      <c r="IO157" s="212" t="n"/>
      <c r="IP157" s="212" t="n"/>
      <c r="IQ157" s="212" t="n"/>
      <c r="IR157" s="212" t="n"/>
      <c r="IS157" s="212" t="n"/>
      <c r="IT157" s="212" t="n"/>
      <c r="IU157" s="212" t="n"/>
      <c r="IV157" s="212" t="n"/>
      <c r="IW157" s="212" t="n"/>
      <c r="IX157" s="212" t="n"/>
      <c r="IY157" s="212" t="n"/>
      <c r="IZ157" s="212" t="n"/>
      <c r="JA157" s="212" t="n"/>
      <c r="JB157" s="212" t="n"/>
      <c r="JC157" s="212" t="n"/>
      <c r="JD157" s="212" t="n"/>
      <c r="JE157" s="212" t="n"/>
      <c r="JF157" s="212" t="n"/>
      <c r="JG157" s="212" t="n"/>
      <c r="JH157" s="212" t="n"/>
      <c r="JI157" s="212" t="n"/>
      <c r="JJ157" s="212" t="n"/>
      <c r="JK157" s="212" t="n"/>
      <c r="JL157" s="212" t="n"/>
      <c r="JM157" s="212" t="n"/>
      <c r="JN157" s="212" t="n"/>
      <c r="JO157" s="212" t="n"/>
      <c r="JP157" s="212" t="n"/>
      <c r="JQ157" s="212" t="n"/>
      <c r="JR157" s="212" t="n"/>
      <c r="JS157" s="212" t="n"/>
      <c r="JT157" s="212" t="n"/>
      <c r="JU157" s="212" t="n"/>
      <c r="JV157" s="212" t="n"/>
      <c r="JW157" s="212" t="n"/>
      <c r="JX157" s="212" t="n"/>
      <c r="JY157" s="212" t="n"/>
      <c r="JZ157" s="212" t="n"/>
      <c r="KA157" s="212" t="n"/>
      <c r="KB157" s="212" t="n"/>
      <c r="KC157" s="212" t="n"/>
      <c r="KD157" s="212" t="n"/>
      <c r="KE157" s="212" t="n"/>
      <c r="KF157" s="212" t="n"/>
      <c r="KG157" s="212" t="n"/>
      <c r="KH157" s="212" t="n"/>
      <c r="KI157" s="212" t="n"/>
      <c r="KJ157" s="212" t="n"/>
      <c r="KK157" s="212" t="n"/>
      <c r="KL157" s="212" t="n"/>
      <c r="KM157" s="212" t="n"/>
      <c r="KN157" s="212" t="n"/>
      <c r="KO157" s="212" t="n"/>
      <c r="KP157" s="212" t="n"/>
      <c r="KQ157" s="212" t="n"/>
      <c r="KR157" s="212" t="n"/>
      <c r="KS157" s="212" t="n"/>
      <c r="KT157" s="212" t="n"/>
      <c r="KU157" s="212" t="n"/>
      <c r="KV157" s="212" t="n"/>
      <c r="KW157" s="212" t="n"/>
      <c r="KX157" s="212" t="n"/>
      <c r="KY157" s="212" t="n"/>
      <c r="KZ157" s="212" t="n"/>
      <c r="LA157" s="212" t="n"/>
      <c r="LB157" s="212" t="n"/>
      <c r="LC157" s="212" t="n"/>
      <c r="LD157" s="212" t="n"/>
      <c r="LE157" s="212" t="n"/>
      <c r="LF157" s="212" t="n"/>
      <c r="LG157" s="212" t="n"/>
      <c r="LH157" s="212" t="n"/>
      <c r="LI157" s="212" t="n"/>
      <c r="LJ157" s="212" t="n"/>
      <c r="LK157" s="212" t="n"/>
      <c r="LL157" s="212" t="n"/>
      <c r="LM157" s="212" t="n"/>
      <c r="LN157" s="212" t="n"/>
      <c r="LO157" s="212" t="n"/>
      <c r="LP157" s="212" t="n"/>
      <c r="LQ157" s="212" t="n"/>
      <c r="LR157" s="212" t="n"/>
      <c r="LS157" s="212" t="n"/>
      <c r="LT157" s="212" t="n"/>
      <c r="LU157" s="212" t="n"/>
      <c r="LV157" s="212" t="n"/>
      <c r="LW157" s="212" t="n"/>
      <c r="LX157" s="212" t="n"/>
      <c r="LY157" s="212" t="n"/>
      <c r="LZ157" s="212" t="n"/>
      <c r="MA157" s="212" t="n"/>
      <c r="MB157" s="212" t="n"/>
      <c r="MC157" s="212" t="n"/>
      <c r="MD157" s="212" t="n"/>
      <c r="ME157" s="212" t="n"/>
      <c r="MF157" s="212" t="n"/>
      <c r="MG157" s="212" t="n"/>
      <c r="MH157" s="212" t="n"/>
      <c r="MI157" s="212" t="n"/>
      <c r="MJ157" s="212" t="n"/>
      <c r="MK157" s="212" t="n"/>
      <c r="ML157" s="212" t="n"/>
      <c r="MM157" s="212" t="n"/>
      <c r="MN157" s="212" t="n"/>
      <c r="MO157" s="212" t="n"/>
      <c r="MP157" s="212" t="n"/>
      <c r="MQ157" s="212" t="n"/>
      <c r="MR157" s="212" t="n"/>
      <c r="MS157" s="212" t="n"/>
      <c r="MT157" s="212" t="n"/>
      <c r="MU157" s="212" t="n"/>
      <c r="MV157" s="212" t="n"/>
      <c r="MW157" s="212" t="n"/>
      <c r="MX157" s="212" t="n"/>
      <c r="MY157" s="212" t="n"/>
      <c r="MZ157" s="212" t="n"/>
      <c r="NA157" s="212" t="n"/>
      <c r="NB157" s="212" t="n"/>
      <c r="NC157" s="212" t="n"/>
      <c r="ND157" s="212" t="n"/>
      <c r="NE157" s="212" t="n"/>
      <c r="NF157" s="212" t="n"/>
      <c r="NG157" s="212" t="n"/>
      <c r="NH157" s="212" t="n"/>
      <c r="NI157" s="212" t="n"/>
      <c r="NJ157" s="212" t="n"/>
      <c r="NK157" s="212" t="n"/>
      <c r="NL157" s="212" t="n"/>
      <c r="NM157" s="212" t="n"/>
      <c r="NN157" s="212" t="n"/>
      <c r="NO157" s="212" t="n"/>
      <c r="NP157" s="212" t="n"/>
      <c r="NQ157" s="212" t="n"/>
      <c r="NR157" s="212" t="n"/>
      <c r="NS157" s="212" t="n"/>
      <c r="NT157" s="212" t="n"/>
      <c r="NU157" s="212" t="n"/>
      <c r="NV157" s="212" t="n"/>
      <c r="NW157" s="212" t="n"/>
      <c r="NX157" s="212" t="n"/>
      <c r="NY157" s="212" t="n"/>
      <c r="NZ157" s="212" t="n"/>
      <c r="OA157" s="212" t="n"/>
      <c r="OB157" s="212" t="n"/>
      <c r="OC157" s="212" t="n"/>
      <c r="OD157" s="212" t="n"/>
      <c r="OE157" s="212" t="n"/>
      <c r="OF157" s="212" t="n"/>
      <c r="OG157" s="212" t="n"/>
      <c r="OH157" s="212" t="n"/>
      <c r="OI157" s="212" t="n"/>
      <c r="OJ157" s="212" t="n"/>
      <c r="OK157" s="212" t="n"/>
      <c r="OL157" s="212" t="n"/>
      <c r="OM157" s="212" t="n"/>
      <c r="ON157" s="212" t="n"/>
      <c r="OO157" s="212" t="n"/>
      <c r="OP157" s="212" t="n"/>
      <c r="OQ157" s="212" t="n"/>
      <c r="OR157" s="212" t="n"/>
      <c r="OS157" s="212" t="n"/>
      <c r="OT157" s="212" t="n"/>
      <c r="OU157" s="212" t="n"/>
      <c r="OV157" s="212" t="n"/>
      <c r="OW157" s="212" t="n"/>
      <c r="OX157" s="212" t="n"/>
      <c r="OY157" s="212" t="n"/>
      <c r="OZ157" s="212" t="n"/>
      <c r="PA157" s="212" t="n"/>
      <c r="PB157" s="212" t="n"/>
      <c r="PC157" s="212" t="n"/>
      <c r="PD157" s="212" t="n"/>
      <c r="PE157" s="212" t="n"/>
      <c r="PF157" s="212" t="n"/>
      <c r="PG157" s="212" t="n"/>
      <c r="PH157" s="212" t="n"/>
      <c r="PI157" s="212" t="n"/>
      <c r="PJ157" s="212" t="n"/>
      <c r="PK157" s="212" t="n"/>
      <c r="PL157" s="212" t="n"/>
      <c r="PM157" s="212" t="n"/>
      <c r="PN157" s="212" t="n"/>
      <c r="PO157" s="212" t="n"/>
      <c r="PP157" s="212" t="n"/>
      <c r="PQ157" s="212" t="n"/>
      <c r="PR157" s="212" t="n"/>
      <c r="PS157" s="212" t="n"/>
      <c r="PT157" s="212" t="n"/>
      <c r="PU157" s="212" t="n"/>
      <c r="PV157" s="212" t="n"/>
      <c r="PW157" s="212" t="n"/>
      <c r="PX157" s="212" t="n"/>
      <c r="PY157" s="212" t="n"/>
      <c r="PZ157" s="212" t="n"/>
      <c r="QA157" s="212" t="n"/>
      <c r="QB157" s="212" t="n"/>
      <c r="QC157" s="212" t="n"/>
      <c r="QD157" s="212" t="n"/>
      <c r="QE157" s="212" t="n"/>
      <c r="QF157" s="212" t="n"/>
      <c r="QG157" s="212" t="n"/>
      <c r="QH157" s="212" t="n"/>
      <c r="QI157" s="212" t="n"/>
      <c r="QJ157" s="212" t="n"/>
      <c r="QK157" s="212" t="n"/>
      <c r="QL157" s="212" t="n"/>
      <c r="QM157" s="212" t="n"/>
      <c r="QN157" s="212" t="n"/>
      <c r="QO157" s="212" t="n"/>
      <c r="QP157" s="212" t="n"/>
      <c r="QQ157" s="212" t="n"/>
      <c r="QR157" s="212" t="n"/>
      <c r="QS157" s="212" t="n"/>
      <c r="QT157" s="212" t="n"/>
      <c r="QU157" s="212" t="n"/>
      <c r="QV157" s="212" t="n"/>
      <c r="QW157" s="212" t="n"/>
      <c r="QX157" s="212" t="n"/>
      <c r="QY157" s="212" t="n"/>
      <c r="QZ157" s="212" t="n"/>
      <c r="RA157" s="212" t="n"/>
      <c r="RB157" s="212" t="n"/>
      <c r="RC157" s="212" t="n"/>
      <c r="RD157" s="212" t="n"/>
      <c r="RE157" s="212" t="n"/>
      <c r="RF157" s="212" t="n"/>
      <c r="RG157" s="212" t="n"/>
      <c r="RH157" s="212" t="n"/>
      <c r="RI157" s="212" t="n"/>
      <c r="RJ157" s="212" t="n"/>
      <c r="RK157" s="212" t="n"/>
      <c r="RL157" s="212" t="n"/>
      <c r="RM157" s="212" t="n"/>
      <c r="RN157" s="212" t="n"/>
      <c r="RO157" s="212" t="n"/>
      <c r="RP157" s="212" t="n"/>
      <c r="RQ157" s="212" t="n"/>
      <c r="RR157" s="212" t="n"/>
      <c r="RS157" s="212" t="n"/>
      <c r="RT157" s="212" t="n"/>
      <c r="RU157" s="212" t="n"/>
      <c r="RV157" s="212" t="n"/>
      <c r="RW157" s="212" t="n"/>
      <c r="RX157" s="212" t="n"/>
      <c r="RY157" s="212" t="n"/>
      <c r="RZ157" s="212" t="n"/>
      <c r="SA157" s="212" t="n"/>
      <c r="SB157" s="212" t="n"/>
      <c r="SC157" s="212" t="n"/>
      <c r="SD157" s="212" t="n"/>
      <c r="SE157" s="212" t="n"/>
      <c r="SF157" s="212" t="n"/>
      <c r="SG157" s="212" t="n"/>
      <c r="SH157" s="212" t="n"/>
      <c r="SI157" s="212" t="n"/>
      <c r="SJ157" s="212" t="n"/>
      <c r="SK157" s="212" t="n"/>
      <c r="SL157" s="212" t="n"/>
      <c r="SM157" s="212" t="n"/>
      <c r="SN157" s="212" t="n"/>
      <c r="SO157" s="212" t="n"/>
      <c r="SP157" s="212" t="n"/>
      <c r="SQ157" s="212" t="n"/>
      <c r="SR157" s="212" t="n"/>
      <c r="SS157" s="212" t="n"/>
      <c r="ST157" s="212" t="n"/>
      <c r="SU157" s="212" t="n"/>
      <c r="SV157" s="212" t="n"/>
    </row>
    <row r="158">
      <c r="B158" s="209" t="n"/>
      <c r="C158" s="209" t="n"/>
      <c r="D158" s="209" t="n"/>
      <c r="E158" s="209" t="n"/>
      <c r="F158" s="209">
        <f>IF(TRIM(D158&amp;E158)="","",TRIM(D158)&amp;" "&amp;TRIM(E158))</f>
        <v/>
      </c>
      <c r="G158" s="209" t="n"/>
      <c r="H158" s="209" t="n"/>
      <c r="I158" s="209" t="n"/>
      <c r="J158" s="209" t="n"/>
      <c r="K158" s="209" t="n"/>
      <c r="L158" s="209" t="n"/>
      <c r="M158" s="209" t="n"/>
      <c r="N158" s="209" t="n"/>
      <c r="O158" s="209" t="n"/>
      <c r="P158" s="209" t="n"/>
      <c r="Q158" s="209" t="n"/>
      <c r="R158" s="209" t="n"/>
      <c r="S158" s="212" t="n"/>
      <c r="T158" s="212" t="n"/>
      <c r="U158" s="212" t="n"/>
      <c r="V158" s="212" t="n"/>
      <c r="W158" s="212" t="n"/>
      <c r="X158" s="212" t="n"/>
      <c r="Y158" s="212" t="n"/>
      <c r="Z158" s="212" t="n"/>
      <c r="AA158" s="212" t="n"/>
      <c r="AB158" s="212" t="n"/>
      <c r="AC158" s="212" t="n"/>
      <c r="AD158" s="212" t="n"/>
      <c r="AE158" s="212" t="n"/>
      <c r="AF158" s="212" t="n"/>
      <c r="AG158" s="212" t="n"/>
      <c r="AH158" s="212" t="n"/>
      <c r="AI158" s="212" t="n"/>
      <c r="AJ158" s="212" t="n"/>
      <c r="AK158" s="212" t="n"/>
      <c r="AL158" s="212" t="n"/>
      <c r="AM158" s="212" t="n"/>
      <c r="AN158" s="212" t="n"/>
      <c r="AO158" s="212" t="n"/>
      <c r="AP158" s="212" t="n"/>
      <c r="AQ158" s="212" t="n"/>
      <c r="AR158" s="212" t="n"/>
      <c r="AS158" s="212" t="n"/>
      <c r="AT158" s="212" t="n"/>
      <c r="AU158" s="212" t="n"/>
      <c r="AV158" s="212" t="n"/>
      <c r="AW158" s="212" t="n"/>
      <c r="AX158" s="212" t="n"/>
      <c r="AY158" s="212" t="n"/>
      <c r="AZ158" s="212" t="n"/>
      <c r="BA158" s="212" t="n"/>
      <c r="BB158" s="212" t="n"/>
      <c r="BC158" s="212" t="n"/>
      <c r="BD158" s="212" t="n"/>
      <c r="BE158" s="212" t="n"/>
      <c r="BF158" s="212" t="n"/>
      <c r="BG158" s="212" t="n"/>
      <c r="BH158" s="212" t="n"/>
      <c r="BI158" s="212" t="n"/>
      <c r="BJ158" s="212" t="n"/>
      <c r="BK158" s="212" t="n"/>
      <c r="BL158" s="212" t="n"/>
      <c r="BM158" s="212" t="n"/>
      <c r="BN158" s="212" t="n"/>
      <c r="BO158" s="212" t="n"/>
      <c r="BP158" s="212" t="n"/>
      <c r="BQ158" s="212" t="n"/>
      <c r="BR158" s="212" t="n"/>
      <c r="BS158" s="212" t="n"/>
      <c r="BT158" s="212" t="n"/>
      <c r="BU158" s="212" t="n"/>
      <c r="BV158" s="212" t="n"/>
      <c r="BW158" s="212" t="n"/>
      <c r="BX158" s="212" t="n"/>
      <c r="BY158" s="212" t="n"/>
      <c r="BZ158" s="212" t="n"/>
      <c r="CA158" s="212" t="n"/>
      <c r="CB158" s="212" t="n"/>
      <c r="CC158" s="212" t="n"/>
      <c r="CD158" s="212" t="n"/>
      <c r="CE158" s="212" t="n"/>
      <c r="CF158" s="212" t="n"/>
      <c r="CG158" s="212" t="n"/>
      <c r="CH158" s="212" t="n"/>
      <c r="CI158" s="212" t="n"/>
      <c r="CJ158" s="212" t="n"/>
      <c r="CK158" s="212" t="n"/>
      <c r="CL158" s="212" t="n"/>
      <c r="CM158" s="212" t="n"/>
      <c r="CN158" s="212" t="n"/>
      <c r="CO158" s="212" t="n"/>
      <c r="CP158" s="212" t="n"/>
      <c r="CQ158" s="212" t="n"/>
      <c r="CR158" s="212" t="n"/>
      <c r="CS158" s="212" t="n"/>
      <c r="CT158" s="212" t="n"/>
      <c r="CU158" s="212" t="n"/>
      <c r="CV158" s="212" t="n"/>
      <c r="CW158" s="212" t="n"/>
      <c r="CX158" s="212" t="n"/>
      <c r="CY158" s="212" t="n"/>
      <c r="CZ158" s="212" t="n"/>
      <c r="DA158" s="212" t="n"/>
      <c r="DB158" s="212" t="n"/>
      <c r="DC158" s="212" t="n"/>
      <c r="DD158" s="212" t="n"/>
      <c r="DE158" s="212" t="n"/>
      <c r="DF158" s="212" t="n"/>
      <c r="DG158" s="212" t="n"/>
      <c r="DH158" s="212" t="n"/>
      <c r="DI158" s="212" t="n"/>
      <c r="DJ158" s="212" t="n"/>
      <c r="DK158" s="212" t="n"/>
      <c r="DL158" s="212" t="n"/>
      <c r="DM158" s="212" t="n"/>
      <c r="DN158" s="212" t="n"/>
      <c r="DO158" s="212" t="n"/>
      <c r="DP158" s="212" t="n"/>
      <c r="DQ158" s="212" t="n"/>
      <c r="DR158" s="212" t="n"/>
      <c r="DS158" s="212" t="n"/>
      <c r="DT158" s="212" t="n"/>
      <c r="DU158" s="212" t="n"/>
      <c r="DV158" s="212" t="n"/>
      <c r="DW158" s="212" t="n"/>
      <c r="DX158" s="212" t="n"/>
      <c r="DY158" s="212" t="n"/>
      <c r="DZ158" s="212" t="n"/>
      <c r="EA158" s="212" t="n"/>
      <c r="EB158" s="212" t="n"/>
      <c r="EC158" s="212" t="n"/>
      <c r="ED158" s="212" t="n"/>
      <c r="EE158" s="212" t="n"/>
      <c r="EF158" s="212" t="n"/>
      <c r="EG158" s="212" t="n"/>
      <c r="EH158" s="212" t="n"/>
      <c r="EI158" s="212" t="n"/>
      <c r="EJ158" s="212" t="n"/>
      <c r="EK158" s="212" t="n"/>
      <c r="EL158" s="212" t="n"/>
      <c r="EM158" s="212" t="n"/>
      <c r="EN158" s="212" t="n"/>
      <c r="EO158" s="212" t="n"/>
      <c r="EP158" s="212" t="n"/>
      <c r="EQ158" s="212" t="n"/>
      <c r="ER158" s="212" t="n"/>
      <c r="ES158" s="212" t="n"/>
      <c r="ET158" s="212" t="n"/>
      <c r="EU158" s="212" t="n"/>
      <c r="EV158" s="212" t="n"/>
      <c r="EW158" s="212" t="n"/>
      <c r="EX158" s="212" t="n"/>
      <c r="EY158" s="212" t="n"/>
      <c r="EZ158" s="212" t="n"/>
      <c r="FA158" s="212" t="n"/>
      <c r="FB158" s="212" t="n"/>
      <c r="FC158" s="212" t="n"/>
      <c r="FD158" s="212" t="n"/>
      <c r="FE158" s="212" t="n"/>
      <c r="FF158" s="212" t="n"/>
      <c r="FG158" s="212" t="n"/>
      <c r="FH158" s="212" t="n"/>
      <c r="FI158" s="212" t="n"/>
      <c r="FJ158" s="212" t="n"/>
      <c r="FK158" s="212" t="n"/>
      <c r="FL158" s="212" t="n"/>
      <c r="FM158" s="212" t="n"/>
      <c r="FN158" s="212" t="n"/>
      <c r="FO158" s="212" t="n"/>
      <c r="FP158" s="212" t="n"/>
      <c r="FQ158" s="212" t="n"/>
      <c r="FR158" s="212" t="n"/>
      <c r="FS158" s="212" t="n"/>
      <c r="FT158" s="212" t="n"/>
      <c r="FU158" s="212" t="n"/>
      <c r="FV158" s="212" t="n"/>
      <c r="FW158" s="212" t="n"/>
      <c r="FX158" s="212" t="n"/>
      <c r="FY158" s="212" t="n"/>
      <c r="FZ158" s="212" t="n"/>
      <c r="GA158" s="212" t="n"/>
      <c r="GB158" s="212" t="n"/>
      <c r="GC158" s="212" t="n"/>
      <c r="GD158" s="212" t="n"/>
      <c r="GE158" s="212" t="n"/>
      <c r="GF158" s="212" t="n"/>
      <c r="GG158" s="212" t="n"/>
      <c r="GH158" s="212" t="n"/>
      <c r="GI158" s="212" t="n"/>
      <c r="GJ158" s="212" t="n"/>
      <c r="GK158" s="212" t="n"/>
      <c r="GL158" s="212" t="n"/>
      <c r="GM158" s="212" t="n"/>
      <c r="GN158" s="212" t="n"/>
      <c r="GO158" s="212" t="n"/>
      <c r="GP158" s="212" t="n"/>
      <c r="GQ158" s="212" t="n"/>
      <c r="GR158" s="212" t="n"/>
      <c r="GS158" s="212" t="n"/>
      <c r="GT158" s="212" t="n"/>
      <c r="GU158" s="212" t="n"/>
      <c r="GV158" s="212" t="n"/>
      <c r="GW158" s="212" t="n"/>
      <c r="GX158" s="212" t="n"/>
      <c r="GY158" s="212" t="n"/>
      <c r="GZ158" s="212" t="n"/>
      <c r="HA158" s="212" t="n"/>
      <c r="HB158" s="212" t="n"/>
      <c r="HC158" s="212" t="n"/>
      <c r="HD158" s="212" t="n"/>
      <c r="HE158" s="212" t="n"/>
      <c r="HF158" s="212" t="n"/>
      <c r="HG158" s="212" t="n"/>
      <c r="HH158" s="212" t="n"/>
      <c r="HI158" s="212" t="n"/>
      <c r="HJ158" s="212" t="n"/>
      <c r="HK158" s="212" t="n"/>
      <c r="HL158" s="212" t="n"/>
      <c r="HM158" s="212" t="n"/>
      <c r="HN158" s="212" t="n"/>
      <c r="HO158" s="212" t="n"/>
      <c r="HP158" s="212" t="n"/>
      <c r="HQ158" s="212" t="n"/>
      <c r="HR158" s="212" t="n"/>
      <c r="HS158" s="212" t="n"/>
      <c r="HT158" s="212" t="n"/>
      <c r="HU158" s="212" t="n"/>
      <c r="HV158" s="212" t="n"/>
      <c r="HW158" s="212" t="n"/>
      <c r="HX158" s="212" t="n"/>
      <c r="HY158" s="212" t="n"/>
      <c r="HZ158" s="212" t="n"/>
      <c r="IA158" s="212" t="n"/>
      <c r="IB158" s="212" t="n"/>
      <c r="IC158" s="212" t="n"/>
      <c r="ID158" s="212" t="n"/>
      <c r="IE158" s="212" t="n"/>
      <c r="IF158" s="212" t="n"/>
      <c r="IG158" s="212" t="n"/>
      <c r="IH158" s="212" t="n"/>
      <c r="II158" s="212" t="n"/>
      <c r="IJ158" s="212" t="n"/>
      <c r="IK158" s="212" t="n"/>
      <c r="IL158" s="212" t="n"/>
      <c r="IM158" s="212" t="n"/>
      <c r="IN158" s="212" t="n"/>
      <c r="IO158" s="212" t="n"/>
      <c r="IP158" s="212" t="n"/>
      <c r="IQ158" s="212" t="n"/>
      <c r="IR158" s="212" t="n"/>
      <c r="IS158" s="212" t="n"/>
      <c r="IT158" s="212" t="n"/>
      <c r="IU158" s="212" t="n"/>
      <c r="IV158" s="212" t="n"/>
      <c r="IW158" s="212" t="n"/>
      <c r="IX158" s="212" t="n"/>
      <c r="IY158" s="212" t="n"/>
      <c r="IZ158" s="212" t="n"/>
      <c r="JA158" s="212" t="n"/>
      <c r="JB158" s="212" t="n"/>
      <c r="JC158" s="212" t="n"/>
      <c r="JD158" s="212" t="n"/>
      <c r="JE158" s="212" t="n"/>
      <c r="JF158" s="212" t="n"/>
      <c r="JG158" s="212" t="n"/>
      <c r="JH158" s="212" t="n"/>
      <c r="JI158" s="212" t="n"/>
      <c r="JJ158" s="212" t="n"/>
      <c r="JK158" s="212" t="n"/>
      <c r="JL158" s="212" t="n"/>
      <c r="JM158" s="212" t="n"/>
      <c r="JN158" s="212" t="n"/>
      <c r="JO158" s="212" t="n"/>
      <c r="JP158" s="212" t="n"/>
      <c r="JQ158" s="212" t="n"/>
      <c r="JR158" s="212" t="n"/>
      <c r="JS158" s="212" t="n"/>
      <c r="JT158" s="212" t="n"/>
      <c r="JU158" s="212" t="n"/>
      <c r="JV158" s="212" t="n"/>
      <c r="JW158" s="212" t="n"/>
      <c r="JX158" s="212" t="n"/>
      <c r="JY158" s="212" t="n"/>
      <c r="JZ158" s="212" t="n"/>
      <c r="KA158" s="212" t="n"/>
      <c r="KB158" s="212" t="n"/>
      <c r="KC158" s="212" t="n"/>
      <c r="KD158" s="212" t="n"/>
      <c r="KE158" s="212" t="n"/>
      <c r="KF158" s="212" t="n"/>
      <c r="KG158" s="212" t="n"/>
      <c r="KH158" s="212" t="n"/>
      <c r="KI158" s="212" t="n"/>
      <c r="KJ158" s="212" t="n"/>
      <c r="KK158" s="212" t="n"/>
      <c r="KL158" s="212" t="n"/>
      <c r="KM158" s="212" t="n"/>
      <c r="KN158" s="212" t="n"/>
      <c r="KO158" s="212" t="n"/>
      <c r="KP158" s="212" t="n"/>
      <c r="KQ158" s="212" t="n"/>
      <c r="KR158" s="212" t="n"/>
      <c r="KS158" s="212" t="n"/>
      <c r="KT158" s="212" t="n"/>
      <c r="KU158" s="212" t="n"/>
      <c r="KV158" s="212" t="n"/>
      <c r="KW158" s="212" t="n"/>
      <c r="KX158" s="212" t="n"/>
      <c r="KY158" s="212" t="n"/>
      <c r="KZ158" s="212" t="n"/>
      <c r="LA158" s="212" t="n"/>
      <c r="LB158" s="212" t="n"/>
      <c r="LC158" s="212" t="n"/>
      <c r="LD158" s="212" t="n"/>
      <c r="LE158" s="212" t="n"/>
      <c r="LF158" s="212" t="n"/>
      <c r="LG158" s="212" t="n"/>
      <c r="LH158" s="212" t="n"/>
      <c r="LI158" s="212" t="n"/>
      <c r="LJ158" s="212" t="n"/>
      <c r="LK158" s="212" t="n"/>
      <c r="LL158" s="212" t="n"/>
      <c r="LM158" s="212" t="n"/>
      <c r="LN158" s="212" t="n"/>
      <c r="LO158" s="212" t="n"/>
      <c r="LP158" s="212" t="n"/>
      <c r="LQ158" s="212" t="n"/>
      <c r="LR158" s="212" t="n"/>
      <c r="LS158" s="212" t="n"/>
      <c r="LT158" s="212" t="n"/>
      <c r="LU158" s="212" t="n"/>
      <c r="LV158" s="212" t="n"/>
      <c r="LW158" s="212" t="n"/>
      <c r="LX158" s="212" t="n"/>
      <c r="LY158" s="212" t="n"/>
      <c r="LZ158" s="212" t="n"/>
      <c r="MA158" s="212" t="n"/>
      <c r="MB158" s="212" t="n"/>
      <c r="MC158" s="212" t="n"/>
      <c r="MD158" s="212" t="n"/>
      <c r="ME158" s="212" t="n"/>
      <c r="MF158" s="212" t="n"/>
      <c r="MG158" s="212" t="n"/>
      <c r="MH158" s="212" t="n"/>
      <c r="MI158" s="212" t="n"/>
      <c r="MJ158" s="212" t="n"/>
      <c r="MK158" s="212" t="n"/>
      <c r="ML158" s="212" t="n"/>
      <c r="MM158" s="212" t="n"/>
      <c r="MN158" s="212" t="n"/>
      <c r="MO158" s="212" t="n"/>
      <c r="MP158" s="212" t="n"/>
      <c r="MQ158" s="212" t="n"/>
      <c r="MR158" s="212" t="n"/>
      <c r="MS158" s="212" t="n"/>
      <c r="MT158" s="212" t="n"/>
      <c r="MU158" s="212" t="n"/>
      <c r="MV158" s="212" t="n"/>
      <c r="MW158" s="212" t="n"/>
      <c r="MX158" s="212" t="n"/>
      <c r="MY158" s="212" t="n"/>
      <c r="MZ158" s="212" t="n"/>
      <c r="NA158" s="212" t="n"/>
      <c r="NB158" s="212" t="n"/>
      <c r="NC158" s="212" t="n"/>
      <c r="ND158" s="212" t="n"/>
      <c r="NE158" s="212" t="n"/>
      <c r="NF158" s="212" t="n"/>
      <c r="NG158" s="212" t="n"/>
      <c r="NH158" s="212" t="n"/>
      <c r="NI158" s="212" t="n"/>
      <c r="NJ158" s="212" t="n"/>
      <c r="NK158" s="212" t="n"/>
      <c r="NL158" s="212" t="n"/>
      <c r="NM158" s="212" t="n"/>
      <c r="NN158" s="212" t="n"/>
      <c r="NO158" s="212" t="n"/>
      <c r="NP158" s="212" t="n"/>
      <c r="NQ158" s="212" t="n"/>
      <c r="NR158" s="212" t="n"/>
      <c r="NS158" s="212" t="n"/>
      <c r="NT158" s="212" t="n"/>
      <c r="NU158" s="212" t="n"/>
      <c r="NV158" s="212" t="n"/>
      <c r="NW158" s="212" t="n"/>
      <c r="NX158" s="212" t="n"/>
      <c r="NY158" s="212" t="n"/>
      <c r="NZ158" s="212" t="n"/>
      <c r="OA158" s="212" t="n"/>
      <c r="OB158" s="212" t="n"/>
      <c r="OC158" s="212" t="n"/>
      <c r="OD158" s="212" t="n"/>
      <c r="OE158" s="212" t="n"/>
      <c r="OF158" s="212" t="n"/>
      <c r="OG158" s="212" t="n"/>
      <c r="OH158" s="212" t="n"/>
      <c r="OI158" s="212" t="n"/>
      <c r="OJ158" s="212" t="n"/>
      <c r="OK158" s="212" t="n"/>
      <c r="OL158" s="212" t="n"/>
      <c r="OM158" s="212" t="n"/>
      <c r="ON158" s="212" t="n"/>
      <c r="OO158" s="212" t="n"/>
      <c r="OP158" s="212" t="n"/>
      <c r="OQ158" s="212" t="n"/>
      <c r="OR158" s="212" t="n"/>
      <c r="OS158" s="212" t="n"/>
      <c r="OT158" s="212" t="n"/>
      <c r="OU158" s="212" t="n"/>
      <c r="OV158" s="212" t="n"/>
      <c r="OW158" s="212" t="n"/>
      <c r="OX158" s="212" t="n"/>
      <c r="OY158" s="212" t="n"/>
      <c r="OZ158" s="212" t="n"/>
      <c r="PA158" s="212" t="n"/>
      <c r="PB158" s="212" t="n"/>
      <c r="PC158" s="212" t="n"/>
      <c r="PD158" s="212" t="n"/>
      <c r="PE158" s="212" t="n"/>
      <c r="PF158" s="212" t="n"/>
      <c r="PG158" s="212" t="n"/>
      <c r="PH158" s="212" t="n"/>
      <c r="PI158" s="212" t="n"/>
      <c r="PJ158" s="212" t="n"/>
      <c r="PK158" s="212" t="n"/>
      <c r="PL158" s="212" t="n"/>
      <c r="PM158" s="212" t="n"/>
      <c r="PN158" s="212" t="n"/>
      <c r="PO158" s="212" t="n"/>
      <c r="PP158" s="212" t="n"/>
      <c r="PQ158" s="212" t="n"/>
      <c r="PR158" s="212" t="n"/>
      <c r="PS158" s="212" t="n"/>
      <c r="PT158" s="212" t="n"/>
      <c r="PU158" s="212" t="n"/>
      <c r="PV158" s="212" t="n"/>
      <c r="PW158" s="212" t="n"/>
      <c r="PX158" s="212" t="n"/>
      <c r="PY158" s="212" t="n"/>
      <c r="PZ158" s="212" t="n"/>
      <c r="QA158" s="212" t="n"/>
      <c r="QB158" s="212" t="n"/>
      <c r="QC158" s="212" t="n"/>
      <c r="QD158" s="212" t="n"/>
      <c r="QE158" s="212" t="n"/>
      <c r="QF158" s="212" t="n"/>
      <c r="QG158" s="212" t="n"/>
      <c r="QH158" s="212" t="n"/>
      <c r="QI158" s="212" t="n"/>
      <c r="QJ158" s="212" t="n"/>
      <c r="QK158" s="212" t="n"/>
      <c r="QL158" s="212" t="n"/>
      <c r="QM158" s="212" t="n"/>
      <c r="QN158" s="212" t="n"/>
      <c r="QO158" s="212" t="n"/>
      <c r="QP158" s="212" t="n"/>
      <c r="QQ158" s="212" t="n"/>
      <c r="QR158" s="212" t="n"/>
      <c r="QS158" s="212" t="n"/>
      <c r="QT158" s="212" t="n"/>
      <c r="QU158" s="212" t="n"/>
      <c r="QV158" s="212" t="n"/>
      <c r="QW158" s="212" t="n"/>
      <c r="QX158" s="212" t="n"/>
      <c r="QY158" s="212" t="n"/>
      <c r="QZ158" s="212" t="n"/>
      <c r="RA158" s="212" t="n"/>
      <c r="RB158" s="212" t="n"/>
      <c r="RC158" s="212" t="n"/>
      <c r="RD158" s="212" t="n"/>
      <c r="RE158" s="212" t="n"/>
      <c r="RF158" s="212" t="n"/>
      <c r="RG158" s="212" t="n"/>
      <c r="RH158" s="212" t="n"/>
      <c r="RI158" s="212" t="n"/>
      <c r="RJ158" s="212" t="n"/>
      <c r="RK158" s="212" t="n"/>
      <c r="RL158" s="212" t="n"/>
      <c r="RM158" s="212" t="n"/>
      <c r="RN158" s="212" t="n"/>
      <c r="RO158" s="212" t="n"/>
      <c r="RP158" s="212" t="n"/>
      <c r="RQ158" s="212" t="n"/>
      <c r="RR158" s="212" t="n"/>
      <c r="RS158" s="212" t="n"/>
      <c r="RT158" s="212" t="n"/>
      <c r="RU158" s="212" t="n"/>
      <c r="RV158" s="212" t="n"/>
      <c r="RW158" s="212" t="n"/>
      <c r="RX158" s="212" t="n"/>
      <c r="RY158" s="212" t="n"/>
      <c r="RZ158" s="212" t="n"/>
      <c r="SA158" s="212" t="n"/>
      <c r="SB158" s="212" t="n"/>
      <c r="SC158" s="212" t="n"/>
      <c r="SD158" s="212" t="n"/>
      <c r="SE158" s="212" t="n"/>
      <c r="SF158" s="212" t="n"/>
      <c r="SG158" s="212" t="n"/>
      <c r="SH158" s="212" t="n"/>
      <c r="SI158" s="212" t="n"/>
      <c r="SJ158" s="212" t="n"/>
      <c r="SK158" s="212" t="n"/>
      <c r="SL158" s="212" t="n"/>
      <c r="SM158" s="212" t="n"/>
      <c r="SN158" s="212" t="n"/>
      <c r="SO158" s="212" t="n"/>
      <c r="SP158" s="212" t="n"/>
      <c r="SQ158" s="212" t="n"/>
      <c r="SR158" s="212" t="n"/>
      <c r="SS158" s="212" t="n"/>
      <c r="ST158" s="212" t="n"/>
      <c r="SU158" s="212" t="n"/>
      <c r="SV158" s="212" t="n"/>
    </row>
    <row r="159">
      <c r="B159" s="209" t="n"/>
      <c r="C159" s="209" t="n"/>
      <c r="D159" s="209" t="n"/>
      <c r="E159" s="209" t="n"/>
      <c r="F159" s="209">
        <f>IF(TRIM(D159&amp;E159)="","",TRIM(D159)&amp;" "&amp;TRIM(E159))</f>
        <v/>
      </c>
      <c r="G159" s="209" t="n"/>
      <c r="H159" s="209" t="n"/>
      <c r="I159" s="209" t="n"/>
      <c r="J159" s="209" t="n"/>
      <c r="K159" s="209" t="n"/>
      <c r="L159" s="209" t="n"/>
      <c r="M159" s="209" t="n"/>
      <c r="N159" s="209" t="n"/>
      <c r="O159" s="209" t="n"/>
      <c r="P159" s="209" t="n"/>
      <c r="Q159" s="209" t="n"/>
      <c r="R159" s="209" t="n"/>
      <c r="S159" s="212" t="n"/>
      <c r="T159" s="212" t="n"/>
      <c r="U159" s="212" t="n"/>
      <c r="V159" s="212" t="n"/>
      <c r="W159" s="212" t="n"/>
      <c r="X159" s="212" t="n"/>
      <c r="Y159" s="212" t="n"/>
      <c r="Z159" s="212" t="n"/>
      <c r="AA159" s="212" t="n"/>
      <c r="AB159" s="212" t="n"/>
      <c r="AC159" s="212" t="n"/>
      <c r="AD159" s="212" t="n"/>
      <c r="AE159" s="212" t="n"/>
      <c r="AF159" s="212" t="n"/>
      <c r="AG159" s="212" t="n"/>
      <c r="AH159" s="212" t="n"/>
      <c r="AI159" s="212" t="n"/>
      <c r="AJ159" s="212" t="n"/>
      <c r="AK159" s="212" t="n"/>
      <c r="AL159" s="212" t="n"/>
      <c r="AM159" s="212" t="n"/>
      <c r="AN159" s="212" t="n"/>
      <c r="AO159" s="212" t="n"/>
      <c r="AP159" s="212" t="n"/>
      <c r="AQ159" s="212" t="n"/>
      <c r="AR159" s="212" t="n"/>
      <c r="AS159" s="212" t="n"/>
      <c r="AT159" s="212" t="n"/>
      <c r="AU159" s="212" t="n"/>
      <c r="AV159" s="212" t="n"/>
      <c r="AW159" s="212" t="n"/>
      <c r="AX159" s="212" t="n"/>
      <c r="AY159" s="212" t="n"/>
      <c r="AZ159" s="212" t="n"/>
      <c r="BA159" s="212" t="n"/>
      <c r="BB159" s="212" t="n"/>
      <c r="BC159" s="212" t="n"/>
      <c r="BD159" s="212" t="n"/>
      <c r="BE159" s="212" t="n"/>
      <c r="BF159" s="212" t="n"/>
      <c r="BG159" s="212" t="n"/>
      <c r="BH159" s="212" t="n"/>
      <c r="BI159" s="212" t="n"/>
      <c r="BJ159" s="212" t="n"/>
      <c r="BK159" s="212" t="n"/>
      <c r="BL159" s="212" t="n"/>
      <c r="BM159" s="212" t="n"/>
      <c r="BN159" s="212" t="n"/>
      <c r="BO159" s="212" t="n"/>
      <c r="BP159" s="212" t="n"/>
      <c r="BQ159" s="212" t="n"/>
      <c r="BR159" s="212" t="n"/>
      <c r="BS159" s="212" t="n"/>
      <c r="BT159" s="212" t="n"/>
      <c r="BU159" s="212" t="n"/>
      <c r="BV159" s="212" t="n"/>
      <c r="BW159" s="212" t="n"/>
      <c r="BX159" s="212" t="n"/>
      <c r="BY159" s="212" t="n"/>
      <c r="BZ159" s="212" t="n"/>
      <c r="CA159" s="212" t="n"/>
      <c r="CB159" s="212" t="n"/>
      <c r="CC159" s="212" t="n"/>
      <c r="CD159" s="212" t="n"/>
      <c r="CE159" s="212" t="n"/>
      <c r="CF159" s="212" t="n"/>
      <c r="CG159" s="212" t="n"/>
      <c r="CH159" s="212" t="n"/>
      <c r="CI159" s="212" t="n"/>
      <c r="CJ159" s="212" t="n"/>
      <c r="CK159" s="212" t="n"/>
      <c r="CL159" s="212" t="n"/>
      <c r="CM159" s="212" t="n"/>
      <c r="CN159" s="212" t="n"/>
      <c r="CO159" s="212" t="n"/>
      <c r="CP159" s="212" t="n"/>
      <c r="CQ159" s="212" t="n"/>
      <c r="CR159" s="212" t="n"/>
      <c r="CS159" s="212" t="n"/>
      <c r="CT159" s="212" t="n"/>
      <c r="CU159" s="212" t="n"/>
      <c r="CV159" s="212" t="n"/>
      <c r="CW159" s="212" t="n"/>
      <c r="CX159" s="212" t="n"/>
      <c r="CY159" s="212" t="n"/>
      <c r="CZ159" s="212" t="n"/>
      <c r="DA159" s="212" t="n"/>
      <c r="DB159" s="212" t="n"/>
      <c r="DC159" s="212" t="n"/>
      <c r="DD159" s="212" t="n"/>
      <c r="DE159" s="212" t="n"/>
      <c r="DF159" s="212" t="n"/>
      <c r="DG159" s="212" t="n"/>
      <c r="DH159" s="212" t="n"/>
      <c r="DI159" s="212" t="n"/>
      <c r="DJ159" s="212" t="n"/>
      <c r="DK159" s="212" t="n"/>
      <c r="DL159" s="212" t="n"/>
      <c r="DM159" s="212" t="n"/>
      <c r="DN159" s="212" t="n"/>
      <c r="DO159" s="212" t="n"/>
      <c r="DP159" s="212" t="n"/>
      <c r="DQ159" s="212" t="n"/>
      <c r="DR159" s="212" t="n"/>
      <c r="DS159" s="212" t="n"/>
      <c r="DT159" s="212" t="n"/>
      <c r="DU159" s="212" t="n"/>
      <c r="DV159" s="212" t="n"/>
      <c r="DW159" s="212" t="n"/>
      <c r="DX159" s="212" t="n"/>
      <c r="DY159" s="212" t="n"/>
      <c r="DZ159" s="212" t="n"/>
      <c r="EA159" s="212" t="n"/>
      <c r="EB159" s="212" t="n"/>
      <c r="EC159" s="212" t="n"/>
      <c r="ED159" s="212" t="n"/>
      <c r="EE159" s="212" t="n"/>
      <c r="EF159" s="212" t="n"/>
      <c r="EG159" s="212" t="n"/>
      <c r="EH159" s="212" t="n"/>
      <c r="EI159" s="212" t="n"/>
      <c r="EJ159" s="212" t="n"/>
      <c r="EK159" s="212" t="n"/>
      <c r="EL159" s="212" t="n"/>
      <c r="EM159" s="212" t="n"/>
      <c r="EN159" s="212" t="n"/>
      <c r="EO159" s="212" t="n"/>
      <c r="EP159" s="212" t="n"/>
      <c r="EQ159" s="212" t="n"/>
      <c r="ER159" s="212" t="n"/>
      <c r="ES159" s="212" t="n"/>
      <c r="ET159" s="212" t="n"/>
      <c r="EU159" s="212" t="n"/>
      <c r="EV159" s="212" t="n"/>
      <c r="EW159" s="212" t="n"/>
      <c r="EX159" s="212" t="n"/>
      <c r="EY159" s="212" t="n"/>
      <c r="EZ159" s="212" t="n"/>
      <c r="FA159" s="212" t="n"/>
      <c r="FB159" s="212" t="n"/>
      <c r="FC159" s="212" t="n"/>
      <c r="FD159" s="212" t="n"/>
      <c r="FE159" s="212" t="n"/>
      <c r="FF159" s="212" t="n"/>
      <c r="FG159" s="212" t="n"/>
      <c r="FH159" s="212" t="n"/>
      <c r="FI159" s="212" t="n"/>
      <c r="FJ159" s="212" t="n"/>
      <c r="FK159" s="212" t="n"/>
      <c r="FL159" s="212" t="n"/>
      <c r="FM159" s="212" t="n"/>
      <c r="FN159" s="212" t="n"/>
      <c r="FO159" s="212" t="n"/>
      <c r="FP159" s="212" t="n"/>
      <c r="FQ159" s="212" t="n"/>
      <c r="FR159" s="212" t="n"/>
      <c r="FS159" s="212" t="n"/>
      <c r="FT159" s="212" t="n"/>
      <c r="FU159" s="212" t="n"/>
      <c r="FV159" s="212" t="n"/>
      <c r="FW159" s="212" t="n"/>
      <c r="FX159" s="212" t="n"/>
      <c r="FY159" s="212" t="n"/>
      <c r="FZ159" s="212" t="n"/>
      <c r="GA159" s="212" t="n"/>
      <c r="GB159" s="212" t="n"/>
      <c r="GC159" s="212" t="n"/>
      <c r="GD159" s="212" t="n"/>
      <c r="GE159" s="212" t="n"/>
      <c r="GF159" s="212" t="n"/>
      <c r="GG159" s="212" t="n"/>
      <c r="GH159" s="212" t="n"/>
      <c r="GI159" s="212" t="n"/>
      <c r="GJ159" s="212" t="n"/>
      <c r="GK159" s="212" t="n"/>
      <c r="GL159" s="212" t="n"/>
      <c r="GM159" s="212" t="n"/>
      <c r="GN159" s="212" t="n"/>
      <c r="GO159" s="212" t="n"/>
      <c r="GP159" s="212" t="n"/>
      <c r="GQ159" s="212" t="n"/>
      <c r="GR159" s="212" t="n"/>
      <c r="GS159" s="212" t="n"/>
      <c r="GT159" s="212" t="n"/>
      <c r="GU159" s="212" t="n"/>
      <c r="GV159" s="212" t="n"/>
      <c r="GW159" s="212" t="n"/>
      <c r="GX159" s="212" t="n"/>
      <c r="GY159" s="212" t="n"/>
      <c r="GZ159" s="212" t="n"/>
      <c r="HA159" s="212" t="n"/>
      <c r="HB159" s="212" t="n"/>
      <c r="HC159" s="212" t="n"/>
      <c r="HD159" s="212" t="n"/>
      <c r="HE159" s="212" t="n"/>
      <c r="HF159" s="212" t="n"/>
      <c r="HG159" s="212" t="n"/>
      <c r="HH159" s="212" t="n"/>
      <c r="HI159" s="212" t="n"/>
      <c r="HJ159" s="212" t="n"/>
      <c r="HK159" s="212" t="n"/>
      <c r="HL159" s="212" t="n"/>
      <c r="HM159" s="212" t="n"/>
      <c r="HN159" s="212" t="n"/>
      <c r="HO159" s="212" t="n"/>
      <c r="HP159" s="212" t="n"/>
      <c r="HQ159" s="212" t="n"/>
      <c r="HR159" s="212" t="n"/>
      <c r="HS159" s="212" t="n"/>
      <c r="HT159" s="212" t="n"/>
      <c r="HU159" s="212" t="n"/>
      <c r="HV159" s="212" t="n"/>
      <c r="HW159" s="212" t="n"/>
      <c r="HX159" s="212" t="n"/>
      <c r="HY159" s="212" t="n"/>
      <c r="HZ159" s="212" t="n"/>
      <c r="IA159" s="212" t="n"/>
      <c r="IB159" s="212" t="n"/>
      <c r="IC159" s="212" t="n"/>
      <c r="ID159" s="212" t="n"/>
      <c r="IE159" s="212" t="n"/>
      <c r="IF159" s="212" t="n"/>
      <c r="IG159" s="212" t="n"/>
      <c r="IH159" s="212" t="n"/>
      <c r="II159" s="212" t="n"/>
      <c r="IJ159" s="212" t="n"/>
      <c r="IK159" s="212" t="n"/>
      <c r="IL159" s="212" t="n"/>
      <c r="IM159" s="212" t="n"/>
      <c r="IN159" s="212" t="n"/>
      <c r="IO159" s="212" t="n"/>
      <c r="IP159" s="212" t="n"/>
      <c r="IQ159" s="212" t="n"/>
      <c r="IR159" s="212" t="n"/>
      <c r="IS159" s="212" t="n"/>
      <c r="IT159" s="212" t="n"/>
      <c r="IU159" s="212" t="n"/>
      <c r="IV159" s="212" t="n"/>
      <c r="IW159" s="212" t="n"/>
      <c r="IX159" s="212" t="n"/>
      <c r="IY159" s="212" t="n"/>
      <c r="IZ159" s="212" t="n"/>
      <c r="JA159" s="212" t="n"/>
      <c r="JB159" s="212" t="n"/>
      <c r="JC159" s="212" t="n"/>
      <c r="JD159" s="212" t="n"/>
      <c r="JE159" s="212" t="n"/>
      <c r="JF159" s="212" t="n"/>
      <c r="JG159" s="212" t="n"/>
      <c r="JH159" s="212" t="n"/>
      <c r="JI159" s="212" t="n"/>
      <c r="JJ159" s="212" t="n"/>
      <c r="JK159" s="212" t="n"/>
      <c r="JL159" s="212" t="n"/>
      <c r="JM159" s="212" t="n"/>
      <c r="JN159" s="212" t="n"/>
      <c r="JO159" s="212" t="n"/>
      <c r="JP159" s="212" t="n"/>
      <c r="JQ159" s="212" t="n"/>
      <c r="JR159" s="212" t="n"/>
      <c r="JS159" s="212" t="n"/>
      <c r="JT159" s="212" t="n"/>
      <c r="JU159" s="212" t="n"/>
      <c r="JV159" s="212" t="n"/>
      <c r="JW159" s="212" t="n"/>
      <c r="JX159" s="212" t="n"/>
      <c r="JY159" s="212" t="n"/>
      <c r="JZ159" s="212" t="n"/>
      <c r="KA159" s="212" t="n"/>
      <c r="KB159" s="212" t="n"/>
      <c r="KC159" s="212" t="n"/>
      <c r="KD159" s="212" t="n"/>
      <c r="KE159" s="212" t="n"/>
      <c r="KF159" s="212" t="n"/>
      <c r="KG159" s="212" t="n"/>
      <c r="KH159" s="212" t="n"/>
      <c r="KI159" s="212" t="n"/>
      <c r="KJ159" s="212" t="n"/>
      <c r="KK159" s="212" t="n"/>
      <c r="KL159" s="212" t="n"/>
      <c r="KM159" s="212" t="n"/>
      <c r="KN159" s="212" t="n"/>
      <c r="KO159" s="212" t="n"/>
      <c r="KP159" s="212" t="n"/>
      <c r="KQ159" s="212" t="n"/>
      <c r="KR159" s="212" t="n"/>
      <c r="KS159" s="212" t="n"/>
      <c r="KT159" s="212" t="n"/>
      <c r="KU159" s="212" t="n"/>
      <c r="KV159" s="212" t="n"/>
      <c r="KW159" s="212" t="n"/>
      <c r="KX159" s="212" t="n"/>
      <c r="KY159" s="212" t="n"/>
      <c r="KZ159" s="212" t="n"/>
      <c r="LA159" s="212" t="n"/>
      <c r="LB159" s="212" t="n"/>
      <c r="LC159" s="212" t="n"/>
      <c r="LD159" s="212" t="n"/>
      <c r="LE159" s="212" t="n"/>
      <c r="LF159" s="212" t="n"/>
      <c r="LG159" s="212" t="n"/>
      <c r="LH159" s="212" t="n"/>
      <c r="LI159" s="212" t="n"/>
      <c r="LJ159" s="212" t="n"/>
      <c r="LK159" s="212" t="n"/>
      <c r="LL159" s="212" t="n"/>
      <c r="LM159" s="212" t="n"/>
      <c r="LN159" s="212" t="n"/>
      <c r="LO159" s="212" t="n"/>
      <c r="LP159" s="212" t="n"/>
      <c r="LQ159" s="212" t="n"/>
      <c r="LR159" s="212" t="n"/>
      <c r="LS159" s="212" t="n"/>
      <c r="LT159" s="212" t="n"/>
      <c r="LU159" s="212" t="n"/>
      <c r="LV159" s="212" t="n"/>
      <c r="LW159" s="212" t="n"/>
      <c r="LX159" s="212" t="n"/>
      <c r="LY159" s="212" t="n"/>
      <c r="LZ159" s="212" t="n"/>
      <c r="MA159" s="212" t="n"/>
      <c r="MB159" s="212" t="n"/>
      <c r="MC159" s="212" t="n"/>
      <c r="MD159" s="212" t="n"/>
      <c r="ME159" s="212" t="n"/>
      <c r="MF159" s="212" t="n"/>
      <c r="MG159" s="212" t="n"/>
      <c r="MH159" s="212" t="n"/>
      <c r="MI159" s="212" t="n"/>
      <c r="MJ159" s="212" t="n"/>
      <c r="MK159" s="212" t="n"/>
      <c r="ML159" s="212" t="n"/>
      <c r="MM159" s="212" t="n"/>
      <c r="MN159" s="212" t="n"/>
      <c r="MO159" s="212" t="n"/>
      <c r="MP159" s="212" t="n"/>
      <c r="MQ159" s="212" t="n"/>
      <c r="MR159" s="212" t="n"/>
      <c r="MS159" s="212" t="n"/>
      <c r="MT159" s="212" t="n"/>
      <c r="MU159" s="212" t="n"/>
      <c r="MV159" s="212" t="n"/>
      <c r="MW159" s="212" t="n"/>
      <c r="MX159" s="212" t="n"/>
      <c r="MY159" s="212" t="n"/>
      <c r="MZ159" s="212" t="n"/>
      <c r="NA159" s="212" t="n"/>
      <c r="NB159" s="212" t="n"/>
      <c r="NC159" s="212" t="n"/>
      <c r="ND159" s="212" t="n"/>
      <c r="NE159" s="212" t="n"/>
      <c r="NF159" s="212" t="n"/>
      <c r="NG159" s="212" t="n"/>
      <c r="NH159" s="212" t="n"/>
      <c r="NI159" s="212" t="n"/>
      <c r="NJ159" s="212" t="n"/>
      <c r="NK159" s="212" t="n"/>
      <c r="NL159" s="212" t="n"/>
      <c r="NM159" s="212" t="n"/>
      <c r="NN159" s="212" t="n"/>
      <c r="NO159" s="212" t="n"/>
      <c r="NP159" s="212" t="n"/>
      <c r="NQ159" s="212" t="n"/>
      <c r="NR159" s="212" t="n"/>
      <c r="NS159" s="212" t="n"/>
      <c r="NT159" s="212" t="n"/>
      <c r="NU159" s="212" t="n"/>
      <c r="NV159" s="212" t="n"/>
      <c r="NW159" s="212" t="n"/>
      <c r="NX159" s="212" t="n"/>
      <c r="NY159" s="212" t="n"/>
      <c r="NZ159" s="212" t="n"/>
      <c r="OA159" s="212" t="n"/>
      <c r="OB159" s="212" t="n"/>
      <c r="OC159" s="212" t="n"/>
      <c r="OD159" s="212" t="n"/>
      <c r="OE159" s="212" t="n"/>
      <c r="OF159" s="212" t="n"/>
      <c r="OG159" s="212" t="n"/>
      <c r="OH159" s="212" t="n"/>
      <c r="OI159" s="212" t="n"/>
      <c r="OJ159" s="212" t="n"/>
      <c r="OK159" s="212" t="n"/>
      <c r="OL159" s="212" t="n"/>
      <c r="OM159" s="212" t="n"/>
      <c r="ON159" s="212" t="n"/>
      <c r="OO159" s="212" t="n"/>
      <c r="OP159" s="212" t="n"/>
      <c r="OQ159" s="212" t="n"/>
      <c r="OR159" s="212" t="n"/>
      <c r="OS159" s="212" t="n"/>
      <c r="OT159" s="212" t="n"/>
      <c r="OU159" s="212" t="n"/>
      <c r="OV159" s="212" t="n"/>
      <c r="OW159" s="212" t="n"/>
      <c r="OX159" s="212" t="n"/>
      <c r="OY159" s="212" t="n"/>
      <c r="OZ159" s="212" t="n"/>
      <c r="PA159" s="212" t="n"/>
      <c r="PB159" s="212" t="n"/>
      <c r="PC159" s="212" t="n"/>
      <c r="PD159" s="212" t="n"/>
      <c r="PE159" s="212" t="n"/>
      <c r="PF159" s="212" t="n"/>
      <c r="PG159" s="212" t="n"/>
      <c r="PH159" s="212" t="n"/>
      <c r="PI159" s="212" t="n"/>
      <c r="PJ159" s="212" t="n"/>
      <c r="PK159" s="212" t="n"/>
      <c r="PL159" s="212" t="n"/>
      <c r="PM159" s="212" t="n"/>
      <c r="PN159" s="212" t="n"/>
      <c r="PO159" s="212" t="n"/>
      <c r="PP159" s="212" t="n"/>
      <c r="PQ159" s="212" t="n"/>
      <c r="PR159" s="212" t="n"/>
      <c r="PS159" s="212" t="n"/>
      <c r="PT159" s="212" t="n"/>
      <c r="PU159" s="212" t="n"/>
      <c r="PV159" s="212" t="n"/>
      <c r="PW159" s="212" t="n"/>
      <c r="PX159" s="212" t="n"/>
      <c r="PY159" s="212" t="n"/>
      <c r="PZ159" s="212" t="n"/>
      <c r="QA159" s="212" t="n"/>
      <c r="QB159" s="212" t="n"/>
      <c r="QC159" s="212" t="n"/>
      <c r="QD159" s="212" t="n"/>
      <c r="QE159" s="212" t="n"/>
      <c r="QF159" s="212" t="n"/>
      <c r="QG159" s="212" t="n"/>
      <c r="QH159" s="212" t="n"/>
      <c r="QI159" s="212" t="n"/>
      <c r="QJ159" s="212" t="n"/>
      <c r="QK159" s="212" t="n"/>
      <c r="QL159" s="212" t="n"/>
      <c r="QM159" s="212" t="n"/>
      <c r="QN159" s="212" t="n"/>
      <c r="QO159" s="212" t="n"/>
      <c r="QP159" s="212" t="n"/>
      <c r="QQ159" s="212" t="n"/>
      <c r="QR159" s="212" t="n"/>
      <c r="QS159" s="212" t="n"/>
      <c r="QT159" s="212" t="n"/>
      <c r="QU159" s="212" t="n"/>
      <c r="QV159" s="212" t="n"/>
      <c r="QW159" s="212" t="n"/>
      <c r="QX159" s="212" t="n"/>
      <c r="QY159" s="212" t="n"/>
      <c r="QZ159" s="212" t="n"/>
      <c r="RA159" s="212" t="n"/>
      <c r="RB159" s="212" t="n"/>
      <c r="RC159" s="212" t="n"/>
      <c r="RD159" s="212" t="n"/>
      <c r="RE159" s="212" t="n"/>
      <c r="RF159" s="212" t="n"/>
      <c r="RG159" s="212" t="n"/>
      <c r="RH159" s="212" t="n"/>
      <c r="RI159" s="212" t="n"/>
      <c r="RJ159" s="212" t="n"/>
      <c r="RK159" s="212" t="n"/>
      <c r="RL159" s="212" t="n"/>
      <c r="RM159" s="212" t="n"/>
      <c r="RN159" s="212" t="n"/>
      <c r="RO159" s="212" t="n"/>
      <c r="RP159" s="212" t="n"/>
      <c r="RQ159" s="212" t="n"/>
      <c r="RR159" s="212" t="n"/>
      <c r="RS159" s="212" t="n"/>
      <c r="RT159" s="212" t="n"/>
      <c r="RU159" s="212" t="n"/>
      <c r="RV159" s="212" t="n"/>
      <c r="RW159" s="212" t="n"/>
      <c r="RX159" s="212" t="n"/>
      <c r="RY159" s="212" t="n"/>
      <c r="RZ159" s="212" t="n"/>
      <c r="SA159" s="212" t="n"/>
      <c r="SB159" s="212" t="n"/>
      <c r="SC159" s="212" t="n"/>
      <c r="SD159" s="212" t="n"/>
      <c r="SE159" s="212" t="n"/>
      <c r="SF159" s="212" t="n"/>
      <c r="SG159" s="212" t="n"/>
      <c r="SH159" s="212" t="n"/>
      <c r="SI159" s="212" t="n"/>
      <c r="SJ159" s="212" t="n"/>
      <c r="SK159" s="212" t="n"/>
      <c r="SL159" s="212" t="n"/>
      <c r="SM159" s="212" t="n"/>
      <c r="SN159" s="212" t="n"/>
      <c r="SO159" s="212" t="n"/>
      <c r="SP159" s="212" t="n"/>
      <c r="SQ159" s="212" t="n"/>
      <c r="SR159" s="212" t="n"/>
      <c r="SS159" s="212" t="n"/>
      <c r="ST159" s="212" t="n"/>
      <c r="SU159" s="212" t="n"/>
      <c r="SV159" s="212" t="n"/>
    </row>
    <row r="160">
      <c r="B160" s="209" t="n"/>
      <c r="C160" s="209" t="n"/>
      <c r="D160" s="209" t="n"/>
      <c r="E160" s="209" t="n"/>
      <c r="F160" s="209">
        <f>IF(TRIM(D160&amp;E160)="","",TRIM(D160)&amp;" "&amp;TRIM(E160))</f>
        <v/>
      </c>
      <c r="G160" s="209" t="n"/>
      <c r="H160" s="209" t="n"/>
      <c r="I160" s="209" t="n"/>
      <c r="J160" s="209" t="n"/>
      <c r="K160" s="209" t="n"/>
      <c r="L160" s="209" t="n"/>
      <c r="M160" s="209" t="n"/>
      <c r="N160" s="209" t="n"/>
      <c r="O160" s="209" t="n"/>
      <c r="P160" s="209" t="n"/>
      <c r="Q160" s="209" t="n"/>
      <c r="R160" s="209" t="n"/>
      <c r="S160" s="212" t="n"/>
      <c r="T160" s="212" t="n"/>
      <c r="U160" s="212" t="n"/>
      <c r="V160" s="212" t="n"/>
      <c r="W160" s="212" t="n"/>
      <c r="X160" s="212" t="n"/>
      <c r="Y160" s="212" t="n"/>
      <c r="Z160" s="212" t="n"/>
      <c r="AA160" s="212" t="n"/>
      <c r="AB160" s="212" t="n"/>
      <c r="AC160" s="212" t="n"/>
      <c r="AD160" s="212" t="n"/>
      <c r="AE160" s="212" t="n"/>
      <c r="AF160" s="212" t="n"/>
      <c r="AG160" s="212" t="n"/>
      <c r="AH160" s="212" t="n"/>
      <c r="AI160" s="212" t="n"/>
      <c r="AJ160" s="212" t="n"/>
      <c r="AK160" s="212" t="n"/>
      <c r="AL160" s="212" t="n"/>
      <c r="AM160" s="212" t="n"/>
      <c r="AN160" s="212" t="n"/>
      <c r="AO160" s="212" t="n"/>
      <c r="AP160" s="212" t="n"/>
      <c r="AQ160" s="212" t="n"/>
      <c r="AR160" s="212" t="n"/>
      <c r="AS160" s="212" t="n"/>
      <c r="AT160" s="212" t="n"/>
      <c r="AU160" s="212" t="n"/>
      <c r="AV160" s="212" t="n"/>
      <c r="AW160" s="212" t="n"/>
      <c r="AX160" s="212" t="n"/>
      <c r="AY160" s="212" t="n"/>
      <c r="AZ160" s="212" t="n"/>
      <c r="BA160" s="212" t="n"/>
      <c r="BB160" s="212" t="n"/>
      <c r="BC160" s="212" t="n"/>
      <c r="BD160" s="212" t="n"/>
      <c r="BE160" s="212" t="n"/>
      <c r="BF160" s="212" t="n"/>
      <c r="BG160" s="212" t="n"/>
      <c r="BH160" s="212" t="n"/>
      <c r="BI160" s="212" t="n"/>
      <c r="BJ160" s="212" t="n"/>
      <c r="BK160" s="212" t="n"/>
      <c r="BL160" s="212" t="n"/>
      <c r="BM160" s="212" t="n"/>
      <c r="BN160" s="212" t="n"/>
      <c r="BO160" s="212" t="n"/>
      <c r="BP160" s="212" t="n"/>
      <c r="BQ160" s="212" t="n"/>
      <c r="BR160" s="212" t="n"/>
      <c r="BS160" s="212" t="n"/>
      <c r="BT160" s="212" t="n"/>
      <c r="BU160" s="212" t="n"/>
      <c r="BV160" s="212" t="n"/>
      <c r="BW160" s="212" t="n"/>
      <c r="BX160" s="212" t="n"/>
      <c r="BY160" s="212" t="n"/>
      <c r="BZ160" s="212" t="n"/>
      <c r="CA160" s="212" t="n"/>
      <c r="CB160" s="212" t="n"/>
      <c r="CC160" s="212" t="n"/>
      <c r="CD160" s="212" t="n"/>
      <c r="CE160" s="212" t="n"/>
      <c r="CF160" s="212" t="n"/>
      <c r="CG160" s="212" t="n"/>
      <c r="CH160" s="212" t="n"/>
      <c r="CI160" s="212" t="n"/>
      <c r="CJ160" s="212" t="n"/>
      <c r="CK160" s="212" t="n"/>
      <c r="CL160" s="212" t="n"/>
      <c r="CM160" s="212" t="n"/>
      <c r="CN160" s="212" t="n"/>
      <c r="CO160" s="212" t="n"/>
      <c r="CP160" s="212" t="n"/>
      <c r="CQ160" s="212" t="n"/>
      <c r="CR160" s="212" t="n"/>
      <c r="CS160" s="212" t="n"/>
      <c r="CT160" s="212" t="n"/>
      <c r="CU160" s="212" t="n"/>
      <c r="CV160" s="212" t="n"/>
      <c r="CW160" s="212" t="n"/>
      <c r="CX160" s="212" t="n"/>
      <c r="CY160" s="212" t="n"/>
      <c r="CZ160" s="212" t="n"/>
      <c r="DA160" s="212" t="n"/>
      <c r="DB160" s="212" t="n"/>
      <c r="DC160" s="212" t="n"/>
      <c r="DD160" s="212" t="n"/>
      <c r="DE160" s="212" t="n"/>
      <c r="DF160" s="212" t="n"/>
      <c r="DG160" s="212" t="n"/>
      <c r="DH160" s="212" t="n"/>
      <c r="DI160" s="212" t="n"/>
      <c r="DJ160" s="212" t="n"/>
      <c r="DK160" s="212" t="n"/>
      <c r="DL160" s="212" t="n"/>
      <c r="DM160" s="212" t="n"/>
      <c r="DN160" s="212" t="n"/>
      <c r="DO160" s="212" t="n"/>
      <c r="DP160" s="212" t="n"/>
      <c r="DQ160" s="212" t="n"/>
      <c r="DR160" s="212" t="n"/>
      <c r="DS160" s="212" t="n"/>
      <c r="DT160" s="212" t="n"/>
      <c r="DU160" s="212" t="n"/>
      <c r="DV160" s="212" t="n"/>
      <c r="DW160" s="212" t="n"/>
      <c r="DX160" s="212" t="n"/>
      <c r="DY160" s="212" t="n"/>
      <c r="DZ160" s="212" t="n"/>
      <c r="EA160" s="212" t="n"/>
      <c r="EB160" s="212" t="n"/>
      <c r="EC160" s="212" t="n"/>
      <c r="ED160" s="212" t="n"/>
      <c r="EE160" s="212" t="n"/>
      <c r="EF160" s="212" t="n"/>
      <c r="EG160" s="212" t="n"/>
      <c r="EH160" s="212" t="n"/>
      <c r="EI160" s="212" t="n"/>
      <c r="EJ160" s="212" t="n"/>
      <c r="EK160" s="212" t="n"/>
      <c r="EL160" s="212" t="n"/>
      <c r="EM160" s="212" t="n"/>
      <c r="EN160" s="212" t="n"/>
      <c r="EO160" s="212" t="n"/>
      <c r="EP160" s="212" t="n"/>
      <c r="EQ160" s="212" t="n"/>
      <c r="ER160" s="212" t="n"/>
      <c r="ES160" s="212" t="n"/>
      <c r="ET160" s="212" t="n"/>
      <c r="EU160" s="212" t="n"/>
      <c r="EV160" s="212" t="n"/>
      <c r="EW160" s="212" t="n"/>
      <c r="EX160" s="212" t="n"/>
      <c r="EY160" s="212" t="n"/>
      <c r="EZ160" s="212" t="n"/>
      <c r="FA160" s="212" t="n"/>
      <c r="FB160" s="212" t="n"/>
      <c r="FC160" s="212" t="n"/>
      <c r="FD160" s="212" t="n"/>
      <c r="FE160" s="212" t="n"/>
      <c r="FF160" s="212" t="n"/>
      <c r="FG160" s="212" t="n"/>
      <c r="FH160" s="212" t="n"/>
      <c r="FI160" s="212" t="n"/>
      <c r="FJ160" s="212" t="n"/>
      <c r="FK160" s="212" t="n"/>
      <c r="FL160" s="212" t="n"/>
      <c r="FM160" s="212" t="n"/>
      <c r="FN160" s="212" t="n"/>
      <c r="FO160" s="212" t="n"/>
      <c r="FP160" s="212" t="n"/>
      <c r="FQ160" s="212" t="n"/>
      <c r="FR160" s="212" t="n"/>
      <c r="FS160" s="212" t="n"/>
      <c r="FT160" s="212" t="n"/>
      <c r="FU160" s="212" t="n"/>
      <c r="FV160" s="212" t="n"/>
      <c r="FW160" s="212" t="n"/>
      <c r="FX160" s="212" t="n"/>
      <c r="FY160" s="212" t="n"/>
      <c r="FZ160" s="212" t="n"/>
      <c r="GA160" s="212" t="n"/>
      <c r="GB160" s="212" t="n"/>
      <c r="GC160" s="212" t="n"/>
      <c r="GD160" s="212" t="n"/>
      <c r="GE160" s="212" t="n"/>
      <c r="GF160" s="212" t="n"/>
      <c r="GG160" s="212" t="n"/>
      <c r="GH160" s="212" t="n"/>
      <c r="GI160" s="212" t="n"/>
      <c r="GJ160" s="212" t="n"/>
      <c r="GK160" s="212" t="n"/>
      <c r="GL160" s="212" t="n"/>
      <c r="GM160" s="212" t="n"/>
      <c r="GN160" s="212" t="n"/>
      <c r="GO160" s="212" t="n"/>
      <c r="GP160" s="212" t="n"/>
      <c r="GQ160" s="212" t="n"/>
      <c r="GR160" s="212" t="n"/>
      <c r="GS160" s="212" t="n"/>
      <c r="GT160" s="212" t="n"/>
      <c r="GU160" s="212" t="n"/>
      <c r="GV160" s="212" t="n"/>
      <c r="GW160" s="212" t="n"/>
      <c r="GX160" s="212" t="n"/>
      <c r="GY160" s="212" t="n"/>
      <c r="GZ160" s="212" t="n"/>
      <c r="HA160" s="212" t="n"/>
      <c r="HB160" s="212" t="n"/>
      <c r="HC160" s="212" t="n"/>
      <c r="HD160" s="212" t="n"/>
      <c r="HE160" s="212" t="n"/>
      <c r="HF160" s="212" t="n"/>
      <c r="HG160" s="212" t="n"/>
      <c r="HH160" s="212" t="n"/>
      <c r="HI160" s="212" t="n"/>
      <c r="HJ160" s="212" t="n"/>
      <c r="HK160" s="212" t="n"/>
      <c r="HL160" s="212" t="n"/>
      <c r="HM160" s="212" t="n"/>
      <c r="HN160" s="212" t="n"/>
      <c r="HO160" s="212" t="n"/>
      <c r="HP160" s="212" t="n"/>
      <c r="HQ160" s="212" t="n"/>
      <c r="HR160" s="212" t="n"/>
      <c r="HS160" s="212" t="n"/>
      <c r="HT160" s="212" t="n"/>
      <c r="HU160" s="212" t="n"/>
      <c r="HV160" s="212" t="n"/>
      <c r="HW160" s="212" t="n"/>
      <c r="HX160" s="212" t="n"/>
      <c r="HY160" s="212" t="n"/>
      <c r="HZ160" s="212" t="n"/>
      <c r="IA160" s="212" t="n"/>
      <c r="IB160" s="212" t="n"/>
      <c r="IC160" s="212" t="n"/>
      <c r="ID160" s="212" t="n"/>
      <c r="IE160" s="212" t="n"/>
      <c r="IF160" s="212" t="n"/>
      <c r="IG160" s="212" t="n"/>
      <c r="IH160" s="212" t="n"/>
      <c r="II160" s="212" t="n"/>
      <c r="IJ160" s="212" t="n"/>
      <c r="IK160" s="212" t="n"/>
      <c r="IL160" s="212" t="n"/>
      <c r="IM160" s="212" t="n"/>
      <c r="IN160" s="212" t="n"/>
      <c r="IO160" s="212" t="n"/>
      <c r="IP160" s="212" t="n"/>
      <c r="IQ160" s="212" t="n"/>
      <c r="IR160" s="212" t="n"/>
      <c r="IS160" s="212" t="n"/>
      <c r="IT160" s="212" t="n"/>
      <c r="IU160" s="212" t="n"/>
      <c r="IV160" s="212" t="n"/>
      <c r="IW160" s="212" t="n"/>
      <c r="IX160" s="212" t="n"/>
      <c r="IY160" s="212" t="n"/>
      <c r="IZ160" s="212" t="n"/>
      <c r="JA160" s="212" t="n"/>
      <c r="JB160" s="212" t="n"/>
      <c r="JC160" s="212" t="n"/>
      <c r="JD160" s="212" t="n"/>
      <c r="JE160" s="212" t="n"/>
      <c r="JF160" s="212" t="n"/>
      <c r="JG160" s="212" t="n"/>
      <c r="JH160" s="212" t="n"/>
      <c r="JI160" s="212" t="n"/>
      <c r="JJ160" s="212" t="n"/>
      <c r="JK160" s="212" t="n"/>
      <c r="JL160" s="212" t="n"/>
      <c r="JM160" s="212" t="n"/>
      <c r="JN160" s="212" t="n"/>
      <c r="JO160" s="212" t="n"/>
      <c r="JP160" s="212" t="n"/>
      <c r="JQ160" s="212" t="n"/>
      <c r="JR160" s="212" t="n"/>
      <c r="JS160" s="212" t="n"/>
      <c r="JT160" s="212" t="n"/>
      <c r="JU160" s="212" t="n"/>
      <c r="JV160" s="212" t="n"/>
      <c r="JW160" s="212" t="n"/>
      <c r="JX160" s="212" t="n"/>
      <c r="JY160" s="212" t="n"/>
      <c r="JZ160" s="212" t="n"/>
      <c r="KA160" s="212" t="n"/>
      <c r="KB160" s="212" t="n"/>
      <c r="KC160" s="212" t="n"/>
      <c r="KD160" s="212" t="n"/>
      <c r="KE160" s="212" t="n"/>
      <c r="KF160" s="212" t="n"/>
      <c r="KG160" s="212" t="n"/>
      <c r="KH160" s="212" t="n"/>
      <c r="KI160" s="212" t="n"/>
      <c r="KJ160" s="212" t="n"/>
      <c r="KK160" s="212" t="n"/>
      <c r="KL160" s="212" t="n"/>
      <c r="KM160" s="212" t="n"/>
      <c r="KN160" s="212" t="n"/>
      <c r="KO160" s="212" t="n"/>
      <c r="KP160" s="212" t="n"/>
      <c r="KQ160" s="212" t="n"/>
      <c r="KR160" s="212" t="n"/>
      <c r="KS160" s="212" t="n"/>
      <c r="KT160" s="212" t="n"/>
      <c r="KU160" s="212" t="n"/>
      <c r="KV160" s="212" t="n"/>
      <c r="KW160" s="212" t="n"/>
      <c r="KX160" s="212" t="n"/>
      <c r="KY160" s="212" t="n"/>
      <c r="KZ160" s="212" t="n"/>
      <c r="LA160" s="212" t="n"/>
      <c r="LB160" s="212" t="n"/>
      <c r="LC160" s="212" t="n"/>
      <c r="LD160" s="212" t="n"/>
      <c r="LE160" s="212" t="n"/>
      <c r="LF160" s="212" t="n"/>
      <c r="LG160" s="212" t="n"/>
      <c r="LH160" s="212" t="n"/>
      <c r="LI160" s="212" t="n"/>
      <c r="LJ160" s="212" t="n"/>
      <c r="LK160" s="212" t="n"/>
      <c r="LL160" s="212" t="n"/>
      <c r="LM160" s="212" t="n"/>
      <c r="LN160" s="212" t="n"/>
      <c r="LO160" s="212" t="n"/>
      <c r="LP160" s="212" t="n"/>
      <c r="LQ160" s="212" t="n"/>
      <c r="LR160" s="212" t="n"/>
      <c r="LS160" s="212" t="n"/>
      <c r="LT160" s="212" t="n"/>
      <c r="LU160" s="212" t="n"/>
      <c r="LV160" s="212" t="n"/>
      <c r="LW160" s="212" t="n"/>
      <c r="LX160" s="212" t="n"/>
      <c r="LY160" s="212" t="n"/>
      <c r="LZ160" s="212" t="n"/>
      <c r="MA160" s="212" t="n"/>
      <c r="MB160" s="212" t="n"/>
      <c r="MC160" s="212" t="n"/>
      <c r="MD160" s="212" t="n"/>
      <c r="ME160" s="212" t="n"/>
      <c r="MF160" s="212" t="n"/>
      <c r="MG160" s="212" t="n"/>
      <c r="MH160" s="212" t="n"/>
      <c r="MI160" s="212" t="n"/>
      <c r="MJ160" s="212" t="n"/>
      <c r="MK160" s="212" t="n"/>
      <c r="ML160" s="212" t="n"/>
      <c r="MM160" s="212" t="n"/>
      <c r="MN160" s="212" t="n"/>
      <c r="MO160" s="212" t="n"/>
      <c r="MP160" s="212" t="n"/>
      <c r="MQ160" s="212" t="n"/>
      <c r="MR160" s="212" t="n"/>
      <c r="MS160" s="212" t="n"/>
      <c r="MT160" s="212" t="n"/>
      <c r="MU160" s="212" t="n"/>
      <c r="MV160" s="212" t="n"/>
      <c r="MW160" s="212" t="n"/>
      <c r="MX160" s="212" t="n"/>
      <c r="MY160" s="212" t="n"/>
      <c r="MZ160" s="212" t="n"/>
      <c r="NA160" s="212" t="n"/>
      <c r="NB160" s="212" t="n"/>
      <c r="NC160" s="212" t="n"/>
      <c r="ND160" s="212" t="n"/>
      <c r="NE160" s="212" t="n"/>
      <c r="NF160" s="212" t="n"/>
      <c r="NG160" s="212" t="n"/>
      <c r="NH160" s="212" t="n"/>
      <c r="NI160" s="212" t="n"/>
      <c r="NJ160" s="212" t="n"/>
      <c r="NK160" s="212" t="n"/>
      <c r="NL160" s="212" t="n"/>
      <c r="NM160" s="212" t="n"/>
      <c r="NN160" s="212" t="n"/>
      <c r="NO160" s="212" t="n"/>
      <c r="NP160" s="212" t="n"/>
      <c r="NQ160" s="212" t="n"/>
      <c r="NR160" s="212" t="n"/>
      <c r="NS160" s="212" t="n"/>
      <c r="NT160" s="212" t="n"/>
      <c r="NU160" s="212" t="n"/>
      <c r="NV160" s="212" t="n"/>
      <c r="NW160" s="212" t="n"/>
      <c r="NX160" s="212" t="n"/>
      <c r="NY160" s="212" t="n"/>
      <c r="NZ160" s="212" t="n"/>
      <c r="OA160" s="212" t="n"/>
      <c r="OB160" s="212" t="n"/>
      <c r="OC160" s="212" t="n"/>
      <c r="OD160" s="212" t="n"/>
      <c r="OE160" s="212" t="n"/>
      <c r="OF160" s="212" t="n"/>
      <c r="OG160" s="212" t="n"/>
      <c r="OH160" s="212" t="n"/>
      <c r="OI160" s="212" t="n"/>
      <c r="OJ160" s="212" t="n"/>
      <c r="OK160" s="212" t="n"/>
      <c r="OL160" s="212" t="n"/>
      <c r="OM160" s="212" t="n"/>
      <c r="ON160" s="212" t="n"/>
      <c r="OO160" s="212" t="n"/>
      <c r="OP160" s="212" t="n"/>
      <c r="OQ160" s="212" t="n"/>
      <c r="OR160" s="212" t="n"/>
      <c r="OS160" s="212" t="n"/>
      <c r="OT160" s="212" t="n"/>
      <c r="OU160" s="212" t="n"/>
      <c r="OV160" s="212" t="n"/>
      <c r="OW160" s="212" t="n"/>
      <c r="OX160" s="212" t="n"/>
      <c r="OY160" s="212" t="n"/>
      <c r="OZ160" s="212" t="n"/>
      <c r="PA160" s="212" t="n"/>
      <c r="PB160" s="212" t="n"/>
      <c r="PC160" s="212" t="n"/>
      <c r="PD160" s="212" t="n"/>
      <c r="PE160" s="212" t="n"/>
      <c r="PF160" s="212" t="n"/>
      <c r="PG160" s="212" t="n"/>
      <c r="PH160" s="212" t="n"/>
      <c r="PI160" s="212" t="n"/>
      <c r="PJ160" s="212" t="n"/>
      <c r="PK160" s="212" t="n"/>
      <c r="PL160" s="212" t="n"/>
      <c r="PM160" s="212" t="n"/>
      <c r="PN160" s="212" t="n"/>
      <c r="PO160" s="212" t="n"/>
      <c r="PP160" s="212" t="n"/>
      <c r="PQ160" s="212" t="n"/>
      <c r="PR160" s="212" t="n"/>
      <c r="PS160" s="212" t="n"/>
      <c r="PT160" s="212" t="n"/>
      <c r="PU160" s="212" t="n"/>
      <c r="PV160" s="212" t="n"/>
      <c r="PW160" s="212" t="n"/>
      <c r="PX160" s="212" t="n"/>
      <c r="PY160" s="212" t="n"/>
      <c r="PZ160" s="212" t="n"/>
      <c r="QA160" s="212" t="n"/>
      <c r="QB160" s="212" t="n"/>
      <c r="QC160" s="212" t="n"/>
      <c r="QD160" s="212" t="n"/>
      <c r="QE160" s="212" t="n"/>
      <c r="QF160" s="212" t="n"/>
      <c r="QG160" s="212" t="n"/>
      <c r="QH160" s="212" t="n"/>
      <c r="QI160" s="212" t="n"/>
      <c r="QJ160" s="212" t="n"/>
      <c r="QK160" s="212" t="n"/>
      <c r="QL160" s="212" t="n"/>
      <c r="QM160" s="212" t="n"/>
      <c r="QN160" s="212" t="n"/>
      <c r="QO160" s="212" t="n"/>
      <c r="QP160" s="212" t="n"/>
      <c r="QQ160" s="212" t="n"/>
      <c r="QR160" s="212" t="n"/>
      <c r="QS160" s="212" t="n"/>
      <c r="QT160" s="212" t="n"/>
      <c r="QU160" s="212" t="n"/>
      <c r="QV160" s="212" t="n"/>
      <c r="QW160" s="212" t="n"/>
      <c r="QX160" s="212" t="n"/>
      <c r="QY160" s="212" t="n"/>
      <c r="QZ160" s="212" t="n"/>
      <c r="RA160" s="212" t="n"/>
      <c r="RB160" s="212" t="n"/>
      <c r="RC160" s="212" t="n"/>
      <c r="RD160" s="212" t="n"/>
      <c r="RE160" s="212" t="n"/>
      <c r="RF160" s="212" t="n"/>
      <c r="RG160" s="212" t="n"/>
      <c r="RH160" s="212" t="n"/>
      <c r="RI160" s="212" t="n"/>
      <c r="RJ160" s="212" t="n"/>
      <c r="RK160" s="212" t="n"/>
      <c r="RL160" s="212" t="n"/>
      <c r="RM160" s="212" t="n"/>
      <c r="RN160" s="212" t="n"/>
      <c r="RO160" s="212" t="n"/>
      <c r="RP160" s="212" t="n"/>
      <c r="RQ160" s="212" t="n"/>
      <c r="RR160" s="212" t="n"/>
      <c r="RS160" s="212" t="n"/>
      <c r="RT160" s="212" t="n"/>
      <c r="RU160" s="212" t="n"/>
      <c r="RV160" s="212" t="n"/>
      <c r="RW160" s="212" t="n"/>
      <c r="RX160" s="212" t="n"/>
      <c r="RY160" s="212" t="n"/>
      <c r="RZ160" s="212" t="n"/>
      <c r="SA160" s="212" t="n"/>
      <c r="SB160" s="212" t="n"/>
      <c r="SC160" s="212" t="n"/>
      <c r="SD160" s="212" t="n"/>
      <c r="SE160" s="212" t="n"/>
      <c r="SF160" s="212" t="n"/>
      <c r="SG160" s="212" t="n"/>
      <c r="SH160" s="212" t="n"/>
      <c r="SI160" s="212" t="n"/>
      <c r="SJ160" s="212" t="n"/>
      <c r="SK160" s="212" t="n"/>
      <c r="SL160" s="212" t="n"/>
      <c r="SM160" s="212" t="n"/>
      <c r="SN160" s="212" t="n"/>
      <c r="SO160" s="212" t="n"/>
      <c r="SP160" s="212" t="n"/>
      <c r="SQ160" s="212" t="n"/>
      <c r="SR160" s="212" t="n"/>
      <c r="SS160" s="212" t="n"/>
      <c r="ST160" s="212" t="n"/>
      <c r="SU160" s="212" t="n"/>
      <c r="SV160" s="212" t="n"/>
    </row>
    <row r="161">
      <c r="B161" s="209" t="n"/>
      <c r="C161" s="209" t="n"/>
      <c r="D161" s="209" t="n"/>
      <c r="E161" s="209" t="n"/>
      <c r="F161" s="209">
        <f>IF(TRIM(D161&amp;E161)="","",TRIM(D161)&amp;" "&amp;TRIM(E161))</f>
        <v/>
      </c>
      <c r="G161" s="209" t="n"/>
      <c r="H161" s="209" t="n"/>
      <c r="I161" s="209" t="n"/>
      <c r="J161" s="209" t="n"/>
      <c r="K161" s="209" t="n"/>
      <c r="L161" s="209" t="n"/>
      <c r="M161" s="209" t="n"/>
      <c r="N161" s="209" t="n"/>
      <c r="O161" s="209" t="n"/>
      <c r="P161" s="209" t="n"/>
      <c r="Q161" s="209" t="n"/>
      <c r="R161" s="209" t="n"/>
      <c r="S161" s="212" t="n"/>
      <c r="T161" s="212" t="n"/>
      <c r="U161" s="212" t="n"/>
      <c r="V161" s="212" t="n"/>
      <c r="W161" s="212" t="n"/>
      <c r="X161" s="212" t="n"/>
      <c r="Y161" s="212" t="n"/>
      <c r="Z161" s="212" t="n"/>
      <c r="AA161" s="212" t="n"/>
      <c r="AB161" s="212" t="n"/>
      <c r="AC161" s="212" t="n"/>
      <c r="AD161" s="212" t="n"/>
      <c r="AE161" s="212" t="n"/>
      <c r="AF161" s="212" t="n"/>
      <c r="AG161" s="212" t="n"/>
      <c r="AH161" s="212" t="n"/>
      <c r="AI161" s="212" t="n"/>
      <c r="AJ161" s="212" t="n"/>
      <c r="AK161" s="212" t="n"/>
      <c r="AL161" s="212" t="n"/>
      <c r="AM161" s="212" t="n"/>
      <c r="AN161" s="212" t="n"/>
      <c r="AO161" s="212" t="n"/>
      <c r="AP161" s="212" t="n"/>
      <c r="AQ161" s="212" t="n"/>
      <c r="AR161" s="212" t="n"/>
      <c r="AS161" s="212" t="n"/>
      <c r="AT161" s="212" t="n"/>
      <c r="AU161" s="212" t="n"/>
      <c r="AV161" s="212" t="n"/>
      <c r="AW161" s="212" t="n"/>
      <c r="AX161" s="212" t="n"/>
      <c r="AY161" s="212" t="n"/>
      <c r="AZ161" s="212" t="n"/>
      <c r="BA161" s="212" t="n"/>
      <c r="BB161" s="212" t="n"/>
      <c r="BC161" s="212" t="n"/>
      <c r="BD161" s="212" t="n"/>
      <c r="BE161" s="212" t="n"/>
      <c r="BF161" s="212" t="n"/>
      <c r="BG161" s="212" t="n"/>
      <c r="BH161" s="212" t="n"/>
      <c r="BI161" s="212" t="n"/>
      <c r="BJ161" s="212" t="n"/>
      <c r="BK161" s="212" t="n"/>
      <c r="BL161" s="212" t="n"/>
      <c r="BM161" s="212" t="n"/>
      <c r="BN161" s="212" t="n"/>
      <c r="BO161" s="212" t="n"/>
      <c r="BP161" s="212" t="n"/>
      <c r="BQ161" s="212" t="n"/>
      <c r="BR161" s="212" t="n"/>
      <c r="BS161" s="212" t="n"/>
      <c r="BT161" s="212" t="n"/>
      <c r="BU161" s="212" t="n"/>
      <c r="BV161" s="212" t="n"/>
      <c r="BW161" s="212" t="n"/>
      <c r="BX161" s="212" t="n"/>
      <c r="BY161" s="212" t="n"/>
      <c r="BZ161" s="212" t="n"/>
      <c r="CA161" s="212" t="n"/>
      <c r="CB161" s="212" t="n"/>
      <c r="CC161" s="212" t="n"/>
      <c r="CD161" s="212" t="n"/>
      <c r="CE161" s="212" t="n"/>
      <c r="CF161" s="212" t="n"/>
      <c r="CG161" s="212" t="n"/>
      <c r="CH161" s="212" t="n"/>
      <c r="CI161" s="212" t="n"/>
      <c r="CJ161" s="212" t="n"/>
      <c r="CK161" s="212" t="n"/>
      <c r="CL161" s="212" t="n"/>
      <c r="CM161" s="212" t="n"/>
      <c r="CN161" s="212" t="n"/>
      <c r="CO161" s="212" t="n"/>
      <c r="CP161" s="212" t="n"/>
      <c r="CQ161" s="212" t="n"/>
      <c r="CR161" s="212" t="n"/>
      <c r="CS161" s="212" t="n"/>
      <c r="CT161" s="212" t="n"/>
      <c r="CU161" s="212" t="n"/>
      <c r="CV161" s="212" t="n"/>
      <c r="CW161" s="212" t="n"/>
      <c r="CX161" s="212" t="n"/>
      <c r="CY161" s="212" t="n"/>
      <c r="CZ161" s="212" t="n"/>
      <c r="DA161" s="212" t="n"/>
      <c r="DB161" s="212" t="n"/>
      <c r="DC161" s="212" t="n"/>
      <c r="DD161" s="212" t="n"/>
      <c r="DE161" s="212" t="n"/>
      <c r="DF161" s="212" t="n"/>
      <c r="DG161" s="212" t="n"/>
      <c r="DH161" s="212" t="n"/>
      <c r="DI161" s="212" t="n"/>
      <c r="DJ161" s="212" t="n"/>
      <c r="DK161" s="212" t="n"/>
      <c r="DL161" s="212" t="n"/>
      <c r="DM161" s="212" t="n"/>
      <c r="DN161" s="212" t="n"/>
      <c r="DO161" s="212" t="n"/>
      <c r="DP161" s="212" t="n"/>
      <c r="DQ161" s="212" t="n"/>
      <c r="DR161" s="212" t="n"/>
      <c r="DS161" s="212" t="n"/>
      <c r="DT161" s="212" t="n"/>
      <c r="DU161" s="212" t="n"/>
      <c r="DV161" s="212" t="n"/>
      <c r="DW161" s="212" t="n"/>
      <c r="DX161" s="212" t="n"/>
      <c r="DY161" s="212" t="n"/>
      <c r="DZ161" s="212" t="n"/>
      <c r="EA161" s="212" t="n"/>
      <c r="EB161" s="212" t="n"/>
      <c r="EC161" s="212" t="n"/>
      <c r="ED161" s="212" t="n"/>
      <c r="EE161" s="212" t="n"/>
      <c r="EF161" s="212" t="n"/>
      <c r="EG161" s="212" t="n"/>
      <c r="EH161" s="212" t="n"/>
      <c r="EI161" s="212" t="n"/>
      <c r="EJ161" s="212" t="n"/>
      <c r="EK161" s="212" t="n"/>
      <c r="EL161" s="212" t="n"/>
      <c r="EM161" s="212" t="n"/>
      <c r="EN161" s="212" t="n"/>
      <c r="EO161" s="212" t="n"/>
      <c r="EP161" s="212" t="n"/>
      <c r="EQ161" s="212" t="n"/>
      <c r="ER161" s="212" t="n"/>
      <c r="ES161" s="212" t="n"/>
      <c r="ET161" s="212" t="n"/>
      <c r="EU161" s="212" t="n"/>
      <c r="EV161" s="212" t="n"/>
      <c r="EW161" s="212" t="n"/>
      <c r="EX161" s="212" t="n"/>
      <c r="EY161" s="212" t="n"/>
      <c r="EZ161" s="212" t="n"/>
      <c r="FA161" s="212" t="n"/>
      <c r="FB161" s="212" t="n"/>
      <c r="FC161" s="212" t="n"/>
      <c r="FD161" s="212" t="n"/>
      <c r="FE161" s="212" t="n"/>
      <c r="FF161" s="212" t="n"/>
      <c r="FG161" s="212" t="n"/>
      <c r="FH161" s="212" t="n"/>
      <c r="FI161" s="212" t="n"/>
      <c r="FJ161" s="212" t="n"/>
      <c r="FK161" s="212" t="n"/>
      <c r="FL161" s="212" t="n"/>
      <c r="FM161" s="212" t="n"/>
      <c r="FN161" s="212" t="n"/>
      <c r="FO161" s="212" t="n"/>
      <c r="FP161" s="212" t="n"/>
      <c r="FQ161" s="212" t="n"/>
      <c r="FR161" s="212" t="n"/>
      <c r="FS161" s="212" t="n"/>
      <c r="FT161" s="212" t="n"/>
      <c r="FU161" s="212" t="n"/>
      <c r="FV161" s="212" t="n"/>
      <c r="FW161" s="212" t="n"/>
      <c r="FX161" s="212" t="n"/>
      <c r="FY161" s="212" t="n"/>
      <c r="FZ161" s="212" t="n"/>
      <c r="GA161" s="212" t="n"/>
      <c r="GB161" s="212" t="n"/>
      <c r="GC161" s="212" t="n"/>
      <c r="GD161" s="212" t="n"/>
      <c r="GE161" s="212" t="n"/>
      <c r="GF161" s="212" t="n"/>
      <c r="GG161" s="212" t="n"/>
      <c r="GH161" s="212" t="n"/>
      <c r="GI161" s="212" t="n"/>
      <c r="GJ161" s="212" t="n"/>
      <c r="GK161" s="212" t="n"/>
      <c r="GL161" s="212" t="n"/>
      <c r="GM161" s="212" t="n"/>
      <c r="GN161" s="212" t="n"/>
      <c r="GO161" s="212" t="n"/>
      <c r="GP161" s="212" t="n"/>
      <c r="GQ161" s="212" t="n"/>
      <c r="GR161" s="212" t="n"/>
      <c r="GS161" s="212" t="n"/>
      <c r="GT161" s="212" t="n"/>
      <c r="GU161" s="212" t="n"/>
      <c r="GV161" s="212" t="n"/>
      <c r="GW161" s="212" t="n"/>
      <c r="GX161" s="212" t="n"/>
      <c r="GY161" s="212" t="n"/>
      <c r="GZ161" s="212" t="n"/>
      <c r="HA161" s="212" t="n"/>
      <c r="HB161" s="212" t="n"/>
      <c r="HC161" s="212" t="n"/>
      <c r="HD161" s="212" t="n"/>
      <c r="HE161" s="212" t="n"/>
      <c r="HF161" s="212" t="n"/>
      <c r="HG161" s="212" t="n"/>
      <c r="HH161" s="212" t="n"/>
      <c r="HI161" s="212" t="n"/>
      <c r="HJ161" s="212" t="n"/>
      <c r="HK161" s="212" t="n"/>
      <c r="HL161" s="212" t="n"/>
      <c r="HM161" s="212" t="n"/>
      <c r="HN161" s="212" t="n"/>
      <c r="HO161" s="212" t="n"/>
      <c r="HP161" s="212" t="n"/>
      <c r="HQ161" s="212" t="n"/>
      <c r="HR161" s="212" t="n"/>
      <c r="HS161" s="212" t="n"/>
      <c r="HT161" s="212" t="n"/>
      <c r="HU161" s="212" t="n"/>
      <c r="HV161" s="212" t="n"/>
      <c r="HW161" s="212" t="n"/>
      <c r="HX161" s="212" t="n"/>
      <c r="HY161" s="212" t="n"/>
      <c r="HZ161" s="212" t="n"/>
      <c r="IA161" s="212" t="n"/>
      <c r="IB161" s="212" t="n"/>
      <c r="IC161" s="212" t="n"/>
      <c r="ID161" s="212" t="n"/>
      <c r="IE161" s="212" t="n"/>
      <c r="IF161" s="212" t="n"/>
      <c r="IG161" s="212" t="n"/>
      <c r="IH161" s="212" t="n"/>
      <c r="II161" s="212" t="n"/>
      <c r="IJ161" s="212" t="n"/>
      <c r="IK161" s="212" t="n"/>
      <c r="IL161" s="212" t="n"/>
      <c r="IM161" s="212" t="n"/>
      <c r="IN161" s="212" t="n"/>
      <c r="IO161" s="212" t="n"/>
      <c r="IP161" s="212" t="n"/>
      <c r="IQ161" s="212" t="n"/>
      <c r="IR161" s="212" t="n"/>
      <c r="IS161" s="212" t="n"/>
      <c r="IT161" s="212" t="n"/>
      <c r="IU161" s="212" t="n"/>
      <c r="IV161" s="212" t="n"/>
      <c r="IW161" s="212" t="n"/>
      <c r="IX161" s="212" t="n"/>
      <c r="IY161" s="212" t="n"/>
      <c r="IZ161" s="212" t="n"/>
      <c r="JA161" s="212" t="n"/>
      <c r="JB161" s="212" t="n"/>
      <c r="JC161" s="212" t="n"/>
      <c r="JD161" s="212" t="n"/>
      <c r="JE161" s="212" t="n"/>
      <c r="JF161" s="212" t="n"/>
      <c r="JG161" s="212" t="n"/>
      <c r="JH161" s="212" t="n"/>
      <c r="JI161" s="212" t="n"/>
      <c r="JJ161" s="212" t="n"/>
      <c r="JK161" s="212" t="n"/>
      <c r="JL161" s="212" t="n"/>
      <c r="JM161" s="212" t="n"/>
      <c r="JN161" s="212" t="n"/>
      <c r="JO161" s="212" t="n"/>
      <c r="JP161" s="212" t="n"/>
      <c r="JQ161" s="212" t="n"/>
      <c r="JR161" s="212" t="n"/>
      <c r="JS161" s="212" t="n"/>
      <c r="JT161" s="212" t="n"/>
      <c r="JU161" s="212" t="n"/>
      <c r="JV161" s="212" t="n"/>
      <c r="JW161" s="212" t="n"/>
      <c r="JX161" s="212" t="n"/>
      <c r="JY161" s="212" t="n"/>
      <c r="JZ161" s="212" t="n"/>
      <c r="KA161" s="212" t="n"/>
      <c r="KB161" s="212" t="n"/>
      <c r="KC161" s="212" t="n"/>
      <c r="KD161" s="212" t="n"/>
      <c r="KE161" s="212" t="n"/>
      <c r="KF161" s="212" t="n"/>
      <c r="KG161" s="212" t="n"/>
      <c r="KH161" s="212" t="n"/>
      <c r="KI161" s="212" t="n"/>
      <c r="KJ161" s="212" t="n"/>
      <c r="KK161" s="212" t="n"/>
      <c r="KL161" s="212" t="n"/>
      <c r="KM161" s="212" t="n"/>
      <c r="KN161" s="212" t="n"/>
      <c r="KO161" s="212" t="n"/>
      <c r="KP161" s="212" t="n"/>
      <c r="KQ161" s="212" t="n"/>
      <c r="KR161" s="212" t="n"/>
      <c r="KS161" s="212" t="n"/>
      <c r="KT161" s="212" t="n"/>
      <c r="KU161" s="212" t="n"/>
      <c r="KV161" s="212" t="n"/>
      <c r="KW161" s="212" t="n"/>
      <c r="KX161" s="212" t="n"/>
      <c r="KY161" s="212" t="n"/>
      <c r="KZ161" s="212" t="n"/>
      <c r="LA161" s="212" t="n"/>
      <c r="LB161" s="212" t="n"/>
      <c r="LC161" s="212" t="n"/>
      <c r="LD161" s="212" t="n"/>
      <c r="LE161" s="212" t="n"/>
      <c r="LF161" s="212" t="n"/>
      <c r="LG161" s="212" t="n"/>
      <c r="LH161" s="212" t="n"/>
      <c r="LI161" s="212" t="n"/>
      <c r="LJ161" s="212" t="n"/>
      <c r="LK161" s="212" t="n"/>
      <c r="LL161" s="212" t="n"/>
      <c r="LM161" s="212" t="n"/>
      <c r="LN161" s="212" t="n"/>
      <c r="LO161" s="212" t="n"/>
      <c r="LP161" s="212" t="n"/>
      <c r="LQ161" s="212" t="n"/>
      <c r="LR161" s="212" t="n"/>
      <c r="LS161" s="212" t="n"/>
      <c r="LT161" s="212" t="n"/>
      <c r="LU161" s="212" t="n"/>
      <c r="LV161" s="212" t="n"/>
      <c r="LW161" s="212" t="n"/>
      <c r="LX161" s="212" t="n"/>
      <c r="LY161" s="212" t="n"/>
      <c r="LZ161" s="212" t="n"/>
      <c r="MA161" s="212" t="n"/>
      <c r="MB161" s="212" t="n"/>
      <c r="MC161" s="212" t="n"/>
      <c r="MD161" s="212" t="n"/>
      <c r="ME161" s="212" t="n"/>
      <c r="MF161" s="212" t="n"/>
      <c r="MG161" s="212" t="n"/>
      <c r="MH161" s="212" t="n"/>
      <c r="MI161" s="212" t="n"/>
      <c r="MJ161" s="212" t="n"/>
      <c r="MK161" s="212" t="n"/>
      <c r="ML161" s="212" t="n"/>
      <c r="MM161" s="212" t="n"/>
      <c r="MN161" s="212" t="n"/>
      <c r="MO161" s="212" t="n"/>
      <c r="MP161" s="212" t="n"/>
      <c r="MQ161" s="212" t="n"/>
      <c r="MR161" s="212" t="n"/>
      <c r="MS161" s="212" t="n"/>
      <c r="MT161" s="212" t="n"/>
      <c r="MU161" s="212" t="n"/>
      <c r="MV161" s="212" t="n"/>
      <c r="MW161" s="212" t="n"/>
      <c r="MX161" s="212" t="n"/>
      <c r="MY161" s="212" t="n"/>
      <c r="MZ161" s="212" t="n"/>
      <c r="NA161" s="212" t="n"/>
      <c r="NB161" s="212" t="n"/>
      <c r="NC161" s="212" t="n"/>
      <c r="ND161" s="212" t="n"/>
      <c r="NE161" s="212" t="n"/>
      <c r="NF161" s="212" t="n"/>
      <c r="NG161" s="212" t="n"/>
      <c r="NH161" s="212" t="n"/>
      <c r="NI161" s="212" t="n"/>
      <c r="NJ161" s="212" t="n"/>
      <c r="NK161" s="212" t="n"/>
      <c r="NL161" s="212" t="n"/>
      <c r="NM161" s="212" t="n"/>
      <c r="NN161" s="212" t="n"/>
      <c r="NO161" s="212" t="n"/>
      <c r="NP161" s="212" t="n"/>
      <c r="NQ161" s="212" t="n"/>
      <c r="NR161" s="212" t="n"/>
      <c r="NS161" s="212" t="n"/>
      <c r="NT161" s="212" t="n"/>
      <c r="NU161" s="212" t="n"/>
      <c r="NV161" s="212" t="n"/>
      <c r="NW161" s="212" t="n"/>
      <c r="NX161" s="212" t="n"/>
      <c r="NY161" s="212" t="n"/>
      <c r="NZ161" s="212" t="n"/>
      <c r="OA161" s="212" t="n"/>
      <c r="OB161" s="212" t="n"/>
      <c r="OC161" s="212" t="n"/>
      <c r="OD161" s="212" t="n"/>
      <c r="OE161" s="212" t="n"/>
      <c r="OF161" s="212" t="n"/>
      <c r="OG161" s="212" t="n"/>
      <c r="OH161" s="212" t="n"/>
      <c r="OI161" s="212" t="n"/>
      <c r="OJ161" s="212" t="n"/>
      <c r="OK161" s="212" t="n"/>
      <c r="OL161" s="212" t="n"/>
      <c r="OM161" s="212" t="n"/>
      <c r="ON161" s="212" t="n"/>
      <c r="OO161" s="212" t="n"/>
      <c r="OP161" s="212" t="n"/>
      <c r="OQ161" s="212" t="n"/>
      <c r="OR161" s="212" t="n"/>
      <c r="OS161" s="212" t="n"/>
      <c r="OT161" s="212" t="n"/>
      <c r="OU161" s="212" t="n"/>
      <c r="OV161" s="212" t="n"/>
      <c r="OW161" s="212" t="n"/>
      <c r="OX161" s="212" t="n"/>
      <c r="OY161" s="212" t="n"/>
      <c r="OZ161" s="212" t="n"/>
      <c r="PA161" s="212" t="n"/>
      <c r="PB161" s="212" t="n"/>
      <c r="PC161" s="212" t="n"/>
      <c r="PD161" s="212" t="n"/>
      <c r="PE161" s="212" t="n"/>
      <c r="PF161" s="212" t="n"/>
      <c r="PG161" s="212" t="n"/>
      <c r="PH161" s="212" t="n"/>
      <c r="PI161" s="212" t="n"/>
      <c r="PJ161" s="212" t="n"/>
      <c r="PK161" s="212" t="n"/>
      <c r="PL161" s="212" t="n"/>
      <c r="PM161" s="212" t="n"/>
      <c r="PN161" s="212" t="n"/>
      <c r="PO161" s="212" t="n"/>
      <c r="PP161" s="212" t="n"/>
      <c r="PQ161" s="212" t="n"/>
      <c r="PR161" s="212" t="n"/>
      <c r="PS161" s="212" t="n"/>
      <c r="PT161" s="212" t="n"/>
      <c r="PU161" s="212" t="n"/>
      <c r="PV161" s="212" t="n"/>
      <c r="PW161" s="212" t="n"/>
      <c r="PX161" s="212" t="n"/>
      <c r="PY161" s="212" t="n"/>
      <c r="PZ161" s="212" t="n"/>
      <c r="QA161" s="212" t="n"/>
      <c r="QB161" s="212" t="n"/>
      <c r="QC161" s="212" t="n"/>
      <c r="QD161" s="212" t="n"/>
      <c r="QE161" s="212" t="n"/>
      <c r="QF161" s="212" t="n"/>
      <c r="QG161" s="212" t="n"/>
      <c r="QH161" s="212" t="n"/>
      <c r="QI161" s="212" t="n"/>
      <c r="QJ161" s="212" t="n"/>
      <c r="QK161" s="212" t="n"/>
      <c r="QL161" s="212" t="n"/>
      <c r="QM161" s="212" t="n"/>
      <c r="QN161" s="212" t="n"/>
      <c r="QO161" s="212" t="n"/>
      <c r="QP161" s="212" t="n"/>
      <c r="QQ161" s="212" t="n"/>
      <c r="QR161" s="212" t="n"/>
      <c r="QS161" s="212" t="n"/>
      <c r="QT161" s="212" t="n"/>
      <c r="QU161" s="212" t="n"/>
      <c r="QV161" s="212" t="n"/>
      <c r="QW161" s="212" t="n"/>
      <c r="QX161" s="212" t="n"/>
      <c r="QY161" s="212" t="n"/>
      <c r="QZ161" s="212" t="n"/>
      <c r="RA161" s="212" t="n"/>
      <c r="RB161" s="212" t="n"/>
      <c r="RC161" s="212" t="n"/>
      <c r="RD161" s="212" t="n"/>
      <c r="RE161" s="212" t="n"/>
      <c r="RF161" s="212" t="n"/>
      <c r="RG161" s="212" t="n"/>
      <c r="RH161" s="212" t="n"/>
      <c r="RI161" s="212" t="n"/>
      <c r="RJ161" s="212" t="n"/>
      <c r="RK161" s="212" t="n"/>
      <c r="RL161" s="212" t="n"/>
      <c r="RM161" s="212" t="n"/>
      <c r="RN161" s="212" t="n"/>
      <c r="RO161" s="212" t="n"/>
      <c r="RP161" s="212" t="n"/>
      <c r="RQ161" s="212" t="n"/>
      <c r="RR161" s="212" t="n"/>
      <c r="RS161" s="212" t="n"/>
      <c r="RT161" s="212" t="n"/>
      <c r="RU161" s="212" t="n"/>
      <c r="RV161" s="212" t="n"/>
      <c r="RW161" s="212" t="n"/>
      <c r="RX161" s="212" t="n"/>
      <c r="RY161" s="212" t="n"/>
      <c r="RZ161" s="212" t="n"/>
      <c r="SA161" s="212" t="n"/>
      <c r="SB161" s="212" t="n"/>
      <c r="SC161" s="212" t="n"/>
      <c r="SD161" s="212" t="n"/>
      <c r="SE161" s="212" t="n"/>
      <c r="SF161" s="212" t="n"/>
      <c r="SG161" s="212" t="n"/>
      <c r="SH161" s="212" t="n"/>
      <c r="SI161" s="212" t="n"/>
      <c r="SJ161" s="212" t="n"/>
      <c r="SK161" s="212" t="n"/>
      <c r="SL161" s="212" t="n"/>
      <c r="SM161" s="212" t="n"/>
      <c r="SN161" s="212" t="n"/>
      <c r="SO161" s="212" t="n"/>
      <c r="SP161" s="212" t="n"/>
      <c r="SQ161" s="212" t="n"/>
      <c r="SR161" s="212" t="n"/>
      <c r="SS161" s="212" t="n"/>
      <c r="ST161" s="212" t="n"/>
      <c r="SU161" s="212" t="n"/>
      <c r="SV161" s="212" t="n"/>
    </row>
    <row r="162">
      <c r="B162" s="209" t="n"/>
      <c r="C162" s="209" t="n"/>
      <c r="D162" s="209" t="n"/>
      <c r="E162" s="209" t="n"/>
      <c r="F162" s="209">
        <f>IF(TRIM(D162&amp;E162)="","",TRIM(D162)&amp;" "&amp;TRIM(E162))</f>
        <v/>
      </c>
      <c r="G162" s="209" t="n"/>
      <c r="H162" s="209" t="n"/>
      <c r="I162" s="209" t="n"/>
      <c r="J162" s="209" t="n"/>
      <c r="K162" s="209" t="n"/>
      <c r="L162" s="209" t="n"/>
      <c r="M162" s="209" t="n"/>
      <c r="N162" s="209" t="n"/>
      <c r="O162" s="209" t="n"/>
      <c r="P162" s="209" t="n"/>
      <c r="Q162" s="209" t="n"/>
      <c r="R162" s="209" t="n"/>
      <c r="S162" s="212" t="n"/>
      <c r="T162" s="212" t="n"/>
      <c r="U162" s="212" t="n"/>
      <c r="V162" s="212" t="n"/>
      <c r="W162" s="212" t="n"/>
      <c r="X162" s="212" t="n"/>
      <c r="Y162" s="212" t="n"/>
      <c r="Z162" s="212" t="n"/>
      <c r="AA162" s="212" t="n"/>
      <c r="AB162" s="212" t="n"/>
      <c r="AC162" s="212" t="n"/>
      <c r="AD162" s="212" t="n"/>
      <c r="AE162" s="212" t="n"/>
      <c r="AF162" s="212" t="n"/>
      <c r="AG162" s="212" t="n"/>
      <c r="AH162" s="212" t="n"/>
      <c r="AI162" s="212" t="n"/>
      <c r="AJ162" s="212" t="n"/>
      <c r="AK162" s="212" t="n"/>
      <c r="AL162" s="212" t="n"/>
      <c r="AM162" s="212" t="n"/>
      <c r="AN162" s="212" t="n"/>
      <c r="AO162" s="212" t="n"/>
      <c r="AP162" s="212" t="n"/>
      <c r="AQ162" s="212" t="n"/>
      <c r="AR162" s="212" t="n"/>
      <c r="AS162" s="212" t="n"/>
      <c r="AT162" s="212" t="n"/>
      <c r="AU162" s="212" t="n"/>
      <c r="AV162" s="212" t="n"/>
      <c r="AW162" s="212" t="n"/>
      <c r="AX162" s="212" t="n"/>
      <c r="AY162" s="212" t="n"/>
      <c r="AZ162" s="212" t="n"/>
      <c r="BA162" s="212" t="n"/>
      <c r="BB162" s="212" t="n"/>
      <c r="BC162" s="212" t="n"/>
      <c r="BD162" s="212" t="n"/>
      <c r="BE162" s="212" t="n"/>
      <c r="BF162" s="212" t="n"/>
      <c r="BG162" s="212" t="n"/>
      <c r="BH162" s="212" t="n"/>
      <c r="BI162" s="212" t="n"/>
      <c r="BJ162" s="212" t="n"/>
      <c r="BK162" s="212" t="n"/>
      <c r="BL162" s="212" t="n"/>
      <c r="BM162" s="212" t="n"/>
      <c r="BN162" s="212" t="n"/>
      <c r="BO162" s="212" t="n"/>
      <c r="BP162" s="212" t="n"/>
      <c r="BQ162" s="212" t="n"/>
      <c r="BR162" s="212" t="n"/>
      <c r="BS162" s="212" t="n"/>
      <c r="BT162" s="212" t="n"/>
      <c r="BU162" s="212" t="n"/>
      <c r="BV162" s="212" t="n"/>
      <c r="BW162" s="212" t="n"/>
      <c r="BX162" s="212" t="n"/>
      <c r="BY162" s="212" t="n"/>
      <c r="BZ162" s="212" t="n"/>
      <c r="CA162" s="212" t="n"/>
      <c r="CB162" s="212" t="n"/>
      <c r="CC162" s="212" t="n"/>
      <c r="CD162" s="212" t="n"/>
      <c r="CE162" s="212" t="n"/>
      <c r="CF162" s="212" t="n"/>
      <c r="CG162" s="212" t="n"/>
      <c r="CH162" s="212" t="n"/>
      <c r="CI162" s="212" t="n"/>
      <c r="CJ162" s="212" t="n"/>
      <c r="CK162" s="212" t="n"/>
      <c r="CL162" s="212" t="n"/>
      <c r="CM162" s="212" t="n"/>
      <c r="CN162" s="212" t="n"/>
      <c r="CO162" s="212" t="n"/>
      <c r="CP162" s="212" t="n"/>
      <c r="CQ162" s="212" t="n"/>
      <c r="CR162" s="212" t="n"/>
      <c r="CS162" s="212" t="n"/>
      <c r="CT162" s="212" t="n"/>
      <c r="CU162" s="212" t="n"/>
      <c r="CV162" s="212" t="n"/>
      <c r="CW162" s="212" t="n"/>
      <c r="CX162" s="212" t="n"/>
      <c r="CY162" s="212" t="n"/>
      <c r="CZ162" s="212" t="n"/>
      <c r="DA162" s="212" t="n"/>
      <c r="DB162" s="212" t="n"/>
      <c r="DC162" s="212" t="n"/>
      <c r="DD162" s="212" t="n"/>
      <c r="DE162" s="212" t="n"/>
      <c r="DF162" s="212" t="n"/>
      <c r="DG162" s="212" t="n"/>
      <c r="DH162" s="212" t="n"/>
      <c r="DI162" s="212" t="n"/>
      <c r="DJ162" s="212" t="n"/>
      <c r="DK162" s="212" t="n"/>
      <c r="DL162" s="212" t="n"/>
      <c r="DM162" s="212" t="n"/>
      <c r="DN162" s="212" t="n"/>
      <c r="DO162" s="212" t="n"/>
      <c r="DP162" s="212" t="n"/>
      <c r="DQ162" s="212" t="n"/>
      <c r="DR162" s="212" t="n"/>
      <c r="DS162" s="212" t="n"/>
      <c r="DT162" s="212" t="n"/>
      <c r="DU162" s="212" t="n"/>
      <c r="DV162" s="212" t="n"/>
      <c r="DW162" s="212" t="n"/>
      <c r="DX162" s="212" t="n"/>
      <c r="DY162" s="212" t="n"/>
      <c r="DZ162" s="212" t="n"/>
      <c r="EA162" s="212" t="n"/>
      <c r="EB162" s="212" t="n"/>
      <c r="EC162" s="212" t="n"/>
      <c r="ED162" s="212" t="n"/>
      <c r="EE162" s="212" t="n"/>
      <c r="EF162" s="212" t="n"/>
      <c r="EG162" s="212" t="n"/>
      <c r="EH162" s="212" t="n"/>
      <c r="EI162" s="212" t="n"/>
      <c r="EJ162" s="212" t="n"/>
      <c r="EK162" s="212" t="n"/>
      <c r="EL162" s="212" t="n"/>
      <c r="EM162" s="212" t="n"/>
      <c r="EN162" s="212" t="n"/>
      <c r="EO162" s="212" t="n"/>
      <c r="EP162" s="212" t="n"/>
      <c r="EQ162" s="212" t="n"/>
      <c r="ER162" s="212" t="n"/>
      <c r="ES162" s="212" t="n"/>
      <c r="ET162" s="212" t="n"/>
      <c r="EU162" s="212" t="n"/>
      <c r="EV162" s="212" t="n"/>
      <c r="EW162" s="212" t="n"/>
      <c r="EX162" s="212" t="n"/>
      <c r="EY162" s="212" t="n"/>
      <c r="EZ162" s="212" t="n"/>
      <c r="FA162" s="212" t="n"/>
      <c r="FB162" s="212" t="n"/>
      <c r="FC162" s="212" t="n"/>
      <c r="FD162" s="212" t="n"/>
      <c r="FE162" s="212" t="n"/>
      <c r="FF162" s="212" t="n"/>
      <c r="FG162" s="212" t="n"/>
      <c r="FH162" s="212" t="n"/>
      <c r="FI162" s="212" t="n"/>
      <c r="FJ162" s="212" t="n"/>
      <c r="FK162" s="212" t="n"/>
      <c r="FL162" s="212" t="n"/>
      <c r="FM162" s="212" t="n"/>
      <c r="FN162" s="212" t="n"/>
      <c r="FO162" s="212" t="n"/>
      <c r="FP162" s="212" t="n"/>
      <c r="FQ162" s="212" t="n"/>
      <c r="FR162" s="212" t="n"/>
      <c r="FS162" s="212" t="n"/>
      <c r="FT162" s="212" t="n"/>
      <c r="FU162" s="212" t="n"/>
      <c r="FV162" s="212" t="n"/>
      <c r="FW162" s="212" t="n"/>
      <c r="FX162" s="212" t="n"/>
      <c r="FY162" s="212" t="n"/>
      <c r="FZ162" s="212" t="n"/>
      <c r="GA162" s="212" t="n"/>
      <c r="GB162" s="212" t="n"/>
      <c r="GC162" s="212" t="n"/>
      <c r="GD162" s="212" t="n"/>
      <c r="GE162" s="212" t="n"/>
      <c r="GF162" s="212" t="n"/>
      <c r="GG162" s="212" t="n"/>
      <c r="GH162" s="212" t="n"/>
      <c r="GI162" s="212" t="n"/>
      <c r="GJ162" s="212" t="n"/>
      <c r="GK162" s="212" t="n"/>
      <c r="GL162" s="212" t="n"/>
      <c r="GM162" s="212" t="n"/>
      <c r="GN162" s="212" t="n"/>
      <c r="GO162" s="212" t="n"/>
      <c r="GP162" s="212" t="n"/>
      <c r="GQ162" s="212" t="n"/>
      <c r="GR162" s="212" t="n"/>
      <c r="GS162" s="212" t="n"/>
      <c r="GT162" s="212" t="n"/>
      <c r="GU162" s="212" t="n"/>
      <c r="GV162" s="212" t="n"/>
      <c r="GW162" s="212" t="n"/>
      <c r="GX162" s="212" t="n"/>
      <c r="GY162" s="212" t="n"/>
      <c r="GZ162" s="212" t="n"/>
      <c r="HA162" s="212" t="n"/>
      <c r="HB162" s="212" t="n"/>
      <c r="HC162" s="212" t="n"/>
      <c r="HD162" s="212" t="n"/>
      <c r="HE162" s="212" t="n"/>
      <c r="HF162" s="212" t="n"/>
      <c r="HG162" s="212" t="n"/>
      <c r="HH162" s="212" t="n"/>
      <c r="HI162" s="212" t="n"/>
      <c r="HJ162" s="212" t="n"/>
      <c r="HK162" s="212" t="n"/>
      <c r="HL162" s="212" t="n"/>
      <c r="HM162" s="212" t="n"/>
      <c r="HN162" s="212" t="n"/>
      <c r="HO162" s="212" t="n"/>
      <c r="HP162" s="212" t="n"/>
      <c r="HQ162" s="212" t="n"/>
      <c r="HR162" s="212" t="n"/>
      <c r="HS162" s="212" t="n"/>
      <c r="HT162" s="212" t="n"/>
      <c r="HU162" s="212" t="n"/>
      <c r="HV162" s="212" t="n"/>
      <c r="HW162" s="212" t="n"/>
      <c r="HX162" s="212" t="n"/>
      <c r="HY162" s="212" t="n"/>
      <c r="HZ162" s="212" t="n"/>
      <c r="IA162" s="212" t="n"/>
      <c r="IB162" s="212" t="n"/>
      <c r="IC162" s="212" t="n"/>
      <c r="ID162" s="212" t="n"/>
      <c r="IE162" s="212" t="n"/>
      <c r="IF162" s="212" t="n"/>
      <c r="IG162" s="212" t="n"/>
      <c r="IH162" s="212" t="n"/>
      <c r="II162" s="212" t="n"/>
      <c r="IJ162" s="212" t="n"/>
      <c r="IK162" s="212" t="n"/>
      <c r="IL162" s="212" t="n"/>
      <c r="IM162" s="212" t="n"/>
      <c r="IN162" s="212" t="n"/>
      <c r="IO162" s="212" t="n"/>
      <c r="IP162" s="212" t="n"/>
      <c r="IQ162" s="212" t="n"/>
      <c r="IR162" s="212" t="n"/>
      <c r="IS162" s="212" t="n"/>
      <c r="IT162" s="212" t="n"/>
      <c r="IU162" s="212" t="n"/>
      <c r="IV162" s="212" t="n"/>
      <c r="IW162" s="212" t="n"/>
      <c r="IX162" s="212" t="n"/>
      <c r="IY162" s="212" t="n"/>
      <c r="IZ162" s="212" t="n"/>
      <c r="JA162" s="212" t="n"/>
      <c r="JB162" s="212" t="n"/>
      <c r="JC162" s="212" t="n"/>
      <c r="JD162" s="212" t="n"/>
      <c r="JE162" s="212" t="n"/>
      <c r="JF162" s="212" t="n"/>
      <c r="JG162" s="212" t="n"/>
      <c r="JH162" s="212" t="n"/>
      <c r="JI162" s="212" t="n"/>
      <c r="JJ162" s="212" t="n"/>
      <c r="JK162" s="212" t="n"/>
      <c r="JL162" s="212" t="n"/>
      <c r="JM162" s="212" t="n"/>
      <c r="JN162" s="212" t="n"/>
      <c r="JO162" s="212" t="n"/>
      <c r="JP162" s="212" t="n"/>
      <c r="JQ162" s="212" t="n"/>
      <c r="JR162" s="212" t="n"/>
      <c r="JS162" s="212" t="n"/>
      <c r="JT162" s="212" t="n"/>
      <c r="JU162" s="212" t="n"/>
      <c r="JV162" s="212" t="n"/>
      <c r="JW162" s="212" t="n"/>
      <c r="JX162" s="212" t="n"/>
      <c r="JY162" s="212" t="n"/>
      <c r="JZ162" s="212" t="n"/>
      <c r="KA162" s="212" t="n"/>
      <c r="KB162" s="212" t="n"/>
      <c r="KC162" s="212" t="n"/>
      <c r="KD162" s="212" t="n"/>
      <c r="KE162" s="212" t="n"/>
      <c r="KF162" s="212" t="n"/>
      <c r="KG162" s="212" t="n"/>
      <c r="KH162" s="212" t="n"/>
      <c r="KI162" s="212" t="n"/>
      <c r="KJ162" s="212" t="n"/>
      <c r="KK162" s="212" t="n"/>
      <c r="KL162" s="212" t="n"/>
      <c r="KM162" s="212" t="n"/>
      <c r="KN162" s="212" t="n"/>
      <c r="KO162" s="212" t="n"/>
      <c r="KP162" s="212" t="n"/>
      <c r="KQ162" s="212" t="n"/>
      <c r="KR162" s="212" t="n"/>
      <c r="KS162" s="212" t="n"/>
      <c r="KT162" s="212" t="n"/>
      <c r="KU162" s="212" t="n"/>
      <c r="KV162" s="212" t="n"/>
      <c r="KW162" s="212" t="n"/>
      <c r="KX162" s="212" t="n"/>
      <c r="KY162" s="212" t="n"/>
      <c r="KZ162" s="212" t="n"/>
      <c r="LA162" s="212" t="n"/>
      <c r="LB162" s="212" t="n"/>
      <c r="LC162" s="212" t="n"/>
      <c r="LD162" s="212" t="n"/>
      <c r="LE162" s="212" t="n"/>
      <c r="LF162" s="212" t="n"/>
      <c r="LG162" s="212" t="n"/>
      <c r="LH162" s="212" t="n"/>
      <c r="LI162" s="212" t="n"/>
      <c r="LJ162" s="212" t="n"/>
      <c r="LK162" s="212" t="n"/>
      <c r="LL162" s="212" t="n"/>
      <c r="LM162" s="212" t="n"/>
      <c r="LN162" s="212" t="n"/>
      <c r="LO162" s="212" t="n"/>
      <c r="LP162" s="212" t="n"/>
      <c r="LQ162" s="212" t="n"/>
      <c r="LR162" s="212" t="n"/>
      <c r="LS162" s="212" t="n"/>
      <c r="LT162" s="212" t="n"/>
      <c r="LU162" s="212" t="n"/>
      <c r="LV162" s="212" t="n"/>
      <c r="LW162" s="212" t="n"/>
      <c r="LX162" s="212" t="n"/>
      <c r="LY162" s="212" t="n"/>
      <c r="LZ162" s="212" t="n"/>
      <c r="MA162" s="212" t="n"/>
      <c r="MB162" s="212" t="n"/>
      <c r="MC162" s="212" t="n"/>
      <c r="MD162" s="212" t="n"/>
      <c r="ME162" s="212" t="n"/>
      <c r="MF162" s="212" t="n"/>
      <c r="MG162" s="212" t="n"/>
      <c r="MH162" s="212" t="n"/>
      <c r="MI162" s="212" t="n"/>
      <c r="MJ162" s="212" t="n"/>
      <c r="MK162" s="212" t="n"/>
      <c r="ML162" s="212" t="n"/>
      <c r="MM162" s="212" t="n"/>
      <c r="MN162" s="212" t="n"/>
      <c r="MO162" s="212" t="n"/>
      <c r="MP162" s="212" t="n"/>
      <c r="MQ162" s="212" t="n"/>
      <c r="MR162" s="212" t="n"/>
      <c r="MS162" s="212" t="n"/>
      <c r="MT162" s="212" t="n"/>
      <c r="MU162" s="212" t="n"/>
      <c r="MV162" s="212" t="n"/>
      <c r="MW162" s="212" t="n"/>
      <c r="MX162" s="212" t="n"/>
      <c r="MY162" s="212" t="n"/>
      <c r="MZ162" s="212" t="n"/>
      <c r="NA162" s="212" t="n"/>
      <c r="NB162" s="212" t="n"/>
      <c r="NC162" s="212" t="n"/>
      <c r="ND162" s="212" t="n"/>
      <c r="NE162" s="212" t="n"/>
      <c r="NF162" s="212" t="n"/>
      <c r="NG162" s="212" t="n"/>
      <c r="NH162" s="212" t="n"/>
      <c r="NI162" s="212" t="n"/>
      <c r="NJ162" s="212" t="n"/>
      <c r="NK162" s="212" t="n"/>
      <c r="NL162" s="212" t="n"/>
      <c r="NM162" s="212" t="n"/>
      <c r="NN162" s="212" t="n"/>
      <c r="NO162" s="212" t="n"/>
      <c r="NP162" s="212" t="n"/>
      <c r="NQ162" s="212" t="n"/>
      <c r="NR162" s="212" t="n"/>
      <c r="NS162" s="212" t="n"/>
      <c r="NT162" s="212" t="n"/>
      <c r="NU162" s="212" t="n"/>
      <c r="NV162" s="212" t="n"/>
      <c r="NW162" s="212" t="n"/>
      <c r="NX162" s="212" t="n"/>
      <c r="NY162" s="212" t="n"/>
      <c r="NZ162" s="212" t="n"/>
      <c r="OA162" s="212" t="n"/>
      <c r="OB162" s="212" t="n"/>
      <c r="OC162" s="212" t="n"/>
      <c r="OD162" s="212" t="n"/>
      <c r="OE162" s="212" t="n"/>
      <c r="OF162" s="212" t="n"/>
      <c r="OG162" s="212" t="n"/>
      <c r="OH162" s="212" t="n"/>
      <c r="OI162" s="212" t="n"/>
      <c r="OJ162" s="212" t="n"/>
      <c r="OK162" s="212" t="n"/>
      <c r="OL162" s="212" t="n"/>
      <c r="OM162" s="212" t="n"/>
      <c r="ON162" s="212" t="n"/>
      <c r="OO162" s="212" t="n"/>
      <c r="OP162" s="212" t="n"/>
      <c r="OQ162" s="212" t="n"/>
      <c r="OR162" s="212" t="n"/>
      <c r="OS162" s="212" t="n"/>
      <c r="OT162" s="212" t="n"/>
      <c r="OU162" s="212" t="n"/>
      <c r="OV162" s="212" t="n"/>
      <c r="OW162" s="212" t="n"/>
      <c r="OX162" s="212" t="n"/>
      <c r="OY162" s="212" t="n"/>
      <c r="OZ162" s="212" t="n"/>
      <c r="PA162" s="212" t="n"/>
      <c r="PB162" s="212" t="n"/>
      <c r="PC162" s="212" t="n"/>
      <c r="PD162" s="212" t="n"/>
      <c r="PE162" s="212" t="n"/>
      <c r="PF162" s="212" t="n"/>
      <c r="PG162" s="212" t="n"/>
      <c r="PH162" s="212" t="n"/>
      <c r="PI162" s="212" t="n"/>
      <c r="PJ162" s="212" t="n"/>
      <c r="PK162" s="212" t="n"/>
      <c r="PL162" s="212" t="n"/>
      <c r="PM162" s="212" t="n"/>
      <c r="PN162" s="212" t="n"/>
      <c r="PO162" s="212" t="n"/>
      <c r="PP162" s="212" t="n"/>
      <c r="PQ162" s="212" t="n"/>
      <c r="PR162" s="212" t="n"/>
      <c r="PS162" s="212" t="n"/>
      <c r="PT162" s="212" t="n"/>
      <c r="PU162" s="212" t="n"/>
      <c r="PV162" s="212" t="n"/>
      <c r="PW162" s="212" t="n"/>
      <c r="PX162" s="212" t="n"/>
      <c r="PY162" s="212" t="n"/>
      <c r="PZ162" s="212" t="n"/>
      <c r="QA162" s="212" t="n"/>
      <c r="QB162" s="212" t="n"/>
      <c r="QC162" s="212" t="n"/>
      <c r="QD162" s="212" t="n"/>
      <c r="QE162" s="212" t="n"/>
      <c r="QF162" s="212" t="n"/>
      <c r="QG162" s="212" t="n"/>
      <c r="QH162" s="212" t="n"/>
      <c r="QI162" s="212" t="n"/>
      <c r="QJ162" s="212" t="n"/>
      <c r="QK162" s="212" t="n"/>
      <c r="QL162" s="212" t="n"/>
      <c r="QM162" s="212" t="n"/>
      <c r="QN162" s="212" t="n"/>
      <c r="QO162" s="212" t="n"/>
      <c r="QP162" s="212" t="n"/>
      <c r="QQ162" s="212" t="n"/>
      <c r="QR162" s="212" t="n"/>
      <c r="QS162" s="212" t="n"/>
      <c r="QT162" s="212" t="n"/>
      <c r="QU162" s="212" t="n"/>
      <c r="QV162" s="212" t="n"/>
      <c r="QW162" s="212" t="n"/>
      <c r="QX162" s="212" t="n"/>
      <c r="QY162" s="212" t="n"/>
      <c r="QZ162" s="212" t="n"/>
      <c r="RA162" s="212" t="n"/>
      <c r="RB162" s="212" t="n"/>
      <c r="RC162" s="212" t="n"/>
      <c r="RD162" s="212" t="n"/>
      <c r="RE162" s="212" t="n"/>
      <c r="RF162" s="212" t="n"/>
      <c r="RG162" s="212" t="n"/>
      <c r="RH162" s="212" t="n"/>
      <c r="RI162" s="212" t="n"/>
      <c r="RJ162" s="212" t="n"/>
      <c r="RK162" s="212" t="n"/>
      <c r="RL162" s="212" t="n"/>
      <c r="RM162" s="212" t="n"/>
      <c r="RN162" s="212" t="n"/>
      <c r="RO162" s="212" t="n"/>
      <c r="RP162" s="212" t="n"/>
      <c r="RQ162" s="212" t="n"/>
      <c r="RR162" s="212" t="n"/>
      <c r="RS162" s="212" t="n"/>
      <c r="RT162" s="212" t="n"/>
      <c r="RU162" s="212" t="n"/>
      <c r="RV162" s="212" t="n"/>
      <c r="RW162" s="212" t="n"/>
      <c r="RX162" s="212" t="n"/>
      <c r="RY162" s="212" t="n"/>
      <c r="RZ162" s="212" t="n"/>
      <c r="SA162" s="212" t="n"/>
      <c r="SB162" s="212" t="n"/>
      <c r="SC162" s="212" t="n"/>
      <c r="SD162" s="212" t="n"/>
      <c r="SE162" s="212" t="n"/>
      <c r="SF162" s="212" t="n"/>
      <c r="SG162" s="212" t="n"/>
      <c r="SH162" s="212" t="n"/>
      <c r="SI162" s="212" t="n"/>
      <c r="SJ162" s="212" t="n"/>
      <c r="SK162" s="212" t="n"/>
      <c r="SL162" s="212" t="n"/>
      <c r="SM162" s="212" t="n"/>
      <c r="SN162" s="212" t="n"/>
      <c r="SO162" s="212" t="n"/>
      <c r="SP162" s="212" t="n"/>
      <c r="SQ162" s="212" t="n"/>
      <c r="SR162" s="212" t="n"/>
      <c r="SS162" s="212" t="n"/>
      <c r="ST162" s="212" t="n"/>
      <c r="SU162" s="212" t="n"/>
      <c r="SV162" s="212" t="n"/>
    </row>
    <row r="163">
      <c r="B163" s="209" t="n"/>
      <c r="C163" s="209" t="n"/>
      <c r="D163" s="209" t="n"/>
      <c r="E163" s="209" t="n"/>
      <c r="F163" s="209">
        <f>IF(TRIM(D163&amp;E163)="","",TRIM(D163)&amp;" "&amp;TRIM(E163))</f>
        <v/>
      </c>
      <c r="G163" s="209" t="n"/>
      <c r="H163" s="209" t="n"/>
      <c r="I163" s="209" t="n"/>
      <c r="J163" s="209" t="n"/>
      <c r="K163" s="209" t="n"/>
      <c r="L163" s="209" t="n"/>
      <c r="M163" s="209" t="n"/>
      <c r="N163" s="209" t="n"/>
      <c r="O163" s="209" t="n"/>
      <c r="P163" s="209" t="n"/>
      <c r="Q163" s="209" t="n"/>
      <c r="R163" s="209" t="n"/>
      <c r="S163" s="212" t="n"/>
      <c r="T163" s="212" t="n"/>
      <c r="U163" s="212" t="n"/>
      <c r="V163" s="212" t="n"/>
      <c r="W163" s="212" t="n"/>
      <c r="X163" s="212" t="n"/>
      <c r="Y163" s="212" t="n"/>
      <c r="Z163" s="212" t="n"/>
      <c r="AA163" s="212" t="n"/>
      <c r="AB163" s="212" t="n"/>
      <c r="AC163" s="212" t="n"/>
      <c r="AD163" s="212" t="n"/>
      <c r="AE163" s="212" t="n"/>
      <c r="AF163" s="212" t="n"/>
      <c r="AG163" s="212" t="n"/>
      <c r="AH163" s="212" t="n"/>
      <c r="AI163" s="212" t="n"/>
      <c r="AJ163" s="212" t="n"/>
      <c r="AK163" s="212" t="n"/>
      <c r="AL163" s="212" t="n"/>
      <c r="AM163" s="212" t="n"/>
      <c r="AN163" s="212" t="n"/>
      <c r="AO163" s="212" t="n"/>
      <c r="AP163" s="212" t="n"/>
      <c r="AQ163" s="212" t="n"/>
      <c r="AR163" s="212" t="n"/>
      <c r="AS163" s="212" t="n"/>
      <c r="AT163" s="212" t="n"/>
      <c r="AU163" s="212" t="n"/>
      <c r="AV163" s="212" t="n"/>
      <c r="AW163" s="212" t="n"/>
      <c r="AX163" s="212" t="n"/>
      <c r="AY163" s="212" t="n"/>
      <c r="AZ163" s="212" t="n"/>
      <c r="BA163" s="212" t="n"/>
      <c r="BB163" s="212" t="n"/>
      <c r="BC163" s="212" t="n"/>
      <c r="BD163" s="212" t="n"/>
      <c r="BE163" s="212" t="n"/>
      <c r="BF163" s="212" t="n"/>
      <c r="BG163" s="212" t="n"/>
      <c r="BH163" s="212" t="n"/>
      <c r="BI163" s="212" t="n"/>
      <c r="BJ163" s="212" t="n"/>
      <c r="BK163" s="212" t="n"/>
      <c r="BL163" s="212" t="n"/>
      <c r="BM163" s="212" t="n"/>
      <c r="BN163" s="212" t="n"/>
      <c r="BO163" s="212" t="n"/>
      <c r="BP163" s="212" t="n"/>
      <c r="BQ163" s="212" t="n"/>
      <c r="BR163" s="212" t="n"/>
      <c r="BS163" s="212" t="n"/>
      <c r="BT163" s="212" t="n"/>
      <c r="BU163" s="212" t="n"/>
      <c r="BV163" s="212" t="n"/>
      <c r="BW163" s="212" t="n"/>
      <c r="BX163" s="212" t="n"/>
      <c r="BY163" s="212" t="n"/>
      <c r="BZ163" s="212" t="n"/>
      <c r="CA163" s="212" t="n"/>
      <c r="CB163" s="212" t="n"/>
      <c r="CC163" s="212" t="n"/>
      <c r="CD163" s="212" t="n"/>
      <c r="CE163" s="212" t="n"/>
      <c r="CF163" s="212" t="n"/>
      <c r="CG163" s="212" t="n"/>
      <c r="CH163" s="212" t="n"/>
      <c r="CI163" s="212" t="n"/>
      <c r="CJ163" s="212" t="n"/>
      <c r="CK163" s="212" t="n"/>
      <c r="CL163" s="212" t="n"/>
      <c r="CM163" s="212" t="n"/>
      <c r="CN163" s="212" t="n"/>
      <c r="CO163" s="212" t="n"/>
      <c r="CP163" s="212" t="n"/>
      <c r="CQ163" s="212" t="n"/>
      <c r="CR163" s="212" t="n"/>
      <c r="CS163" s="212" t="n"/>
      <c r="CT163" s="212" t="n"/>
      <c r="CU163" s="212" t="n"/>
      <c r="CV163" s="212" t="n"/>
      <c r="CW163" s="212" t="n"/>
      <c r="CX163" s="212" t="n"/>
      <c r="CY163" s="212" t="n"/>
      <c r="CZ163" s="212" t="n"/>
      <c r="DA163" s="212" t="n"/>
      <c r="DB163" s="212" t="n"/>
      <c r="DC163" s="212" t="n"/>
      <c r="DD163" s="212" t="n"/>
      <c r="DE163" s="212" t="n"/>
      <c r="DF163" s="212" t="n"/>
      <c r="DG163" s="212" t="n"/>
      <c r="DH163" s="212" t="n"/>
      <c r="DI163" s="212" t="n"/>
      <c r="DJ163" s="212" t="n"/>
      <c r="DK163" s="212" t="n"/>
      <c r="DL163" s="212" t="n"/>
      <c r="DM163" s="212" t="n"/>
      <c r="DN163" s="212" t="n"/>
      <c r="DO163" s="212" t="n"/>
      <c r="DP163" s="212" t="n"/>
      <c r="DQ163" s="212" t="n"/>
      <c r="DR163" s="212" t="n"/>
      <c r="DS163" s="212" t="n"/>
      <c r="DT163" s="212" t="n"/>
      <c r="DU163" s="212" t="n"/>
      <c r="DV163" s="212" t="n"/>
      <c r="DW163" s="212" t="n"/>
      <c r="DX163" s="212" t="n"/>
      <c r="DY163" s="212" t="n"/>
      <c r="DZ163" s="212" t="n"/>
      <c r="EA163" s="212" t="n"/>
      <c r="EB163" s="212" t="n"/>
      <c r="EC163" s="212" t="n"/>
      <c r="ED163" s="212" t="n"/>
      <c r="EE163" s="212" t="n"/>
      <c r="EF163" s="212" t="n"/>
      <c r="EG163" s="212" t="n"/>
      <c r="EH163" s="212" t="n"/>
      <c r="EI163" s="212" t="n"/>
      <c r="EJ163" s="212" t="n"/>
      <c r="EK163" s="212" t="n"/>
      <c r="EL163" s="212" t="n"/>
      <c r="EM163" s="212" t="n"/>
      <c r="EN163" s="212" t="n"/>
      <c r="EO163" s="212" t="n"/>
      <c r="EP163" s="212" t="n"/>
      <c r="EQ163" s="212" t="n"/>
      <c r="ER163" s="212" t="n"/>
      <c r="ES163" s="212" t="n"/>
      <c r="ET163" s="212" t="n"/>
      <c r="EU163" s="212" t="n"/>
      <c r="EV163" s="212" t="n"/>
      <c r="EW163" s="212" t="n"/>
      <c r="EX163" s="212" t="n"/>
      <c r="EY163" s="212" t="n"/>
      <c r="EZ163" s="212" t="n"/>
      <c r="FA163" s="212" t="n"/>
      <c r="FB163" s="212" t="n"/>
      <c r="FC163" s="212" t="n"/>
      <c r="FD163" s="212" t="n"/>
      <c r="FE163" s="212" t="n"/>
      <c r="FF163" s="212" t="n"/>
      <c r="FG163" s="212" t="n"/>
      <c r="FH163" s="212" t="n"/>
      <c r="FI163" s="212" t="n"/>
      <c r="FJ163" s="212" t="n"/>
      <c r="FK163" s="212" t="n"/>
      <c r="FL163" s="212" t="n"/>
      <c r="FM163" s="212" t="n"/>
      <c r="FN163" s="212" t="n"/>
      <c r="FO163" s="212" t="n"/>
      <c r="FP163" s="212" t="n"/>
      <c r="FQ163" s="212" t="n"/>
      <c r="FR163" s="212" t="n"/>
      <c r="FS163" s="212" t="n"/>
      <c r="FT163" s="212" t="n"/>
      <c r="FU163" s="212" t="n"/>
      <c r="FV163" s="212" t="n"/>
      <c r="FW163" s="212" t="n"/>
      <c r="FX163" s="212" t="n"/>
      <c r="FY163" s="212" t="n"/>
      <c r="FZ163" s="212" t="n"/>
      <c r="GA163" s="212" t="n"/>
      <c r="GB163" s="212" t="n"/>
      <c r="GC163" s="212" t="n"/>
      <c r="GD163" s="212" t="n"/>
      <c r="GE163" s="212" t="n"/>
      <c r="GF163" s="212" t="n"/>
      <c r="GG163" s="212" t="n"/>
      <c r="GH163" s="212" t="n"/>
      <c r="GI163" s="212" t="n"/>
      <c r="GJ163" s="212" t="n"/>
      <c r="GK163" s="212" t="n"/>
      <c r="GL163" s="212" t="n"/>
      <c r="GM163" s="212" t="n"/>
      <c r="GN163" s="212" t="n"/>
      <c r="GO163" s="212" t="n"/>
      <c r="GP163" s="212" t="n"/>
      <c r="GQ163" s="212" t="n"/>
      <c r="GR163" s="212" t="n"/>
      <c r="GS163" s="212" t="n"/>
      <c r="GT163" s="212" t="n"/>
      <c r="GU163" s="212" t="n"/>
      <c r="GV163" s="212" t="n"/>
      <c r="GW163" s="212" t="n"/>
      <c r="GX163" s="212" t="n"/>
      <c r="GY163" s="212" t="n"/>
      <c r="GZ163" s="212" t="n"/>
      <c r="HA163" s="212" t="n"/>
      <c r="HB163" s="212" t="n"/>
      <c r="HC163" s="212" t="n"/>
      <c r="HD163" s="212" t="n"/>
      <c r="HE163" s="212" t="n"/>
      <c r="HF163" s="212" t="n"/>
      <c r="HG163" s="212" t="n"/>
      <c r="HH163" s="212" t="n"/>
      <c r="HI163" s="212" t="n"/>
      <c r="HJ163" s="212" t="n"/>
      <c r="HK163" s="212" t="n"/>
      <c r="HL163" s="212" t="n"/>
      <c r="HM163" s="212" t="n"/>
      <c r="HN163" s="212" t="n"/>
      <c r="HO163" s="212" t="n"/>
      <c r="HP163" s="212" t="n"/>
      <c r="HQ163" s="212" t="n"/>
      <c r="HR163" s="212" t="n"/>
      <c r="HS163" s="212" t="n"/>
      <c r="HT163" s="212" t="n"/>
      <c r="HU163" s="212" t="n"/>
      <c r="HV163" s="212" t="n"/>
      <c r="HW163" s="212" t="n"/>
      <c r="HX163" s="212" t="n"/>
      <c r="HY163" s="212" t="n"/>
      <c r="HZ163" s="212" t="n"/>
      <c r="IA163" s="212" t="n"/>
      <c r="IB163" s="212" t="n"/>
      <c r="IC163" s="212" t="n"/>
      <c r="ID163" s="212" t="n"/>
      <c r="IE163" s="212" t="n"/>
      <c r="IF163" s="212" t="n"/>
      <c r="IG163" s="212" t="n"/>
      <c r="IH163" s="212" t="n"/>
      <c r="II163" s="212" t="n"/>
      <c r="IJ163" s="212" t="n"/>
      <c r="IK163" s="212" t="n"/>
      <c r="IL163" s="212" t="n"/>
      <c r="IM163" s="212" t="n"/>
      <c r="IN163" s="212" t="n"/>
      <c r="IO163" s="212" t="n"/>
      <c r="IP163" s="212" t="n"/>
      <c r="IQ163" s="212" t="n"/>
      <c r="IR163" s="212" t="n"/>
      <c r="IS163" s="212" t="n"/>
      <c r="IT163" s="212" t="n"/>
      <c r="IU163" s="212" t="n"/>
      <c r="IV163" s="212" t="n"/>
      <c r="IW163" s="212" t="n"/>
      <c r="IX163" s="212" t="n"/>
      <c r="IY163" s="212" t="n"/>
      <c r="IZ163" s="212" t="n"/>
      <c r="JA163" s="212" t="n"/>
      <c r="JB163" s="212" t="n"/>
      <c r="JC163" s="212" t="n"/>
      <c r="JD163" s="212" t="n"/>
      <c r="JE163" s="212" t="n"/>
      <c r="JF163" s="212" t="n"/>
      <c r="JG163" s="212" t="n"/>
      <c r="JH163" s="212" t="n"/>
      <c r="JI163" s="212" t="n"/>
      <c r="JJ163" s="212" t="n"/>
      <c r="JK163" s="212" t="n"/>
      <c r="JL163" s="212" t="n"/>
      <c r="JM163" s="212" t="n"/>
      <c r="JN163" s="212" t="n"/>
      <c r="JO163" s="212" t="n"/>
      <c r="JP163" s="212" t="n"/>
      <c r="JQ163" s="212" t="n"/>
      <c r="JR163" s="212" t="n"/>
      <c r="JS163" s="212" t="n"/>
      <c r="JT163" s="212" t="n"/>
      <c r="JU163" s="212" t="n"/>
      <c r="JV163" s="212" t="n"/>
      <c r="JW163" s="212" t="n"/>
      <c r="JX163" s="212" t="n"/>
      <c r="JY163" s="212" t="n"/>
      <c r="JZ163" s="212" t="n"/>
      <c r="KA163" s="212" t="n"/>
      <c r="KB163" s="212" t="n"/>
      <c r="KC163" s="212" t="n"/>
      <c r="KD163" s="212" t="n"/>
      <c r="KE163" s="212" t="n"/>
      <c r="KF163" s="212" t="n"/>
      <c r="KG163" s="212" t="n"/>
      <c r="KH163" s="212" t="n"/>
      <c r="KI163" s="212" t="n"/>
      <c r="KJ163" s="212" t="n"/>
      <c r="KK163" s="212" t="n"/>
      <c r="KL163" s="212" t="n"/>
      <c r="KM163" s="212" t="n"/>
      <c r="KN163" s="212" t="n"/>
      <c r="KO163" s="212" t="n"/>
      <c r="KP163" s="212" t="n"/>
      <c r="KQ163" s="212" t="n"/>
      <c r="KR163" s="212" t="n"/>
      <c r="KS163" s="212" t="n"/>
      <c r="KT163" s="212" t="n"/>
      <c r="KU163" s="212" t="n"/>
      <c r="KV163" s="212" t="n"/>
      <c r="KW163" s="212" t="n"/>
      <c r="KX163" s="212" t="n"/>
      <c r="KY163" s="212" t="n"/>
      <c r="KZ163" s="212" t="n"/>
      <c r="LA163" s="212" t="n"/>
      <c r="LB163" s="212" t="n"/>
      <c r="LC163" s="212" t="n"/>
      <c r="LD163" s="212" t="n"/>
      <c r="LE163" s="212" t="n"/>
      <c r="LF163" s="212" t="n"/>
      <c r="LG163" s="212" t="n"/>
      <c r="LH163" s="212" t="n"/>
      <c r="LI163" s="212" t="n"/>
      <c r="LJ163" s="212" t="n"/>
      <c r="LK163" s="212" t="n"/>
      <c r="LL163" s="212" t="n"/>
      <c r="LM163" s="212" t="n"/>
      <c r="LN163" s="212" t="n"/>
      <c r="LO163" s="212" t="n"/>
      <c r="LP163" s="212" t="n"/>
      <c r="LQ163" s="212" t="n"/>
      <c r="LR163" s="212" t="n"/>
      <c r="LS163" s="212" t="n"/>
      <c r="LT163" s="212" t="n"/>
      <c r="LU163" s="212" t="n"/>
      <c r="LV163" s="212" t="n"/>
      <c r="LW163" s="212" t="n"/>
      <c r="LX163" s="212" t="n"/>
      <c r="LY163" s="212" t="n"/>
      <c r="LZ163" s="212" t="n"/>
      <c r="MA163" s="212" t="n"/>
      <c r="MB163" s="212" t="n"/>
      <c r="MC163" s="212" t="n"/>
      <c r="MD163" s="212" t="n"/>
      <c r="ME163" s="212" t="n"/>
      <c r="MF163" s="212" t="n"/>
      <c r="MG163" s="212" t="n"/>
      <c r="MH163" s="212" t="n"/>
      <c r="MI163" s="212" t="n"/>
      <c r="MJ163" s="212" t="n"/>
      <c r="MK163" s="212" t="n"/>
      <c r="ML163" s="212" t="n"/>
      <c r="MM163" s="212" t="n"/>
      <c r="MN163" s="212" t="n"/>
      <c r="MO163" s="212" t="n"/>
      <c r="MP163" s="212" t="n"/>
      <c r="MQ163" s="212" t="n"/>
      <c r="MR163" s="212" t="n"/>
      <c r="MS163" s="212" t="n"/>
      <c r="MT163" s="212" t="n"/>
      <c r="MU163" s="212" t="n"/>
      <c r="MV163" s="212" t="n"/>
      <c r="MW163" s="212" t="n"/>
      <c r="MX163" s="212" t="n"/>
      <c r="MY163" s="212" t="n"/>
      <c r="MZ163" s="212" t="n"/>
      <c r="NA163" s="212" t="n"/>
      <c r="NB163" s="212" t="n"/>
      <c r="NC163" s="212" t="n"/>
      <c r="ND163" s="212" t="n"/>
      <c r="NE163" s="212" t="n"/>
      <c r="NF163" s="212" t="n"/>
      <c r="NG163" s="212" t="n"/>
      <c r="NH163" s="212" t="n"/>
      <c r="NI163" s="212" t="n"/>
      <c r="NJ163" s="212" t="n"/>
      <c r="NK163" s="212" t="n"/>
      <c r="NL163" s="212" t="n"/>
      <c r="NM163" s="212" t="n"/>
      <c r="NN163" s="212" t="n"/>
      <c r="NO163" s="212" t="n"/>
      <c r="NP163" s="212" t="n"/>
      <c r="NQ163" s="212" t="n"/>
      <c r="NR163" s="212" t="n"/>
      <c r="NS163" s="212" t="n"/>
      <c r="NT163" s="212" t="n"/>
      <c r="NU163" s="212" t="n"/>
      <c r="NV163" s="212" t="n"/>
      <c r="NW163" s="212" t="n"/>
      <c r="NX163" s="212" t="n"/>
      <c r="NY163" s="212" t="n"/>
      <c r="NZ163" s="212" t="n"/>
      <c r="OA163" s="212" t="n"/>
      <c r="OB163" s="212" t="n"/>
      <c r="OC163" s="212" t="n"/>
      <c r="OD163" s="212" t="n"/>
      <c r="OE163" s="212" t="n"/>
      <c r="OF163" s="212" t="n"/>
      <c r="OG163" s="212" t="n"/>
      <c r="OH163" s="212" t="n"/>
      <c r="OI163" s="212" t="n"/>
      <c r="OJ163" s="212" t="n"/>
      <c r="OK163" s="212" t="n"/>
      <c r="OL163" s="212" t="n"/>
      <c r="OM163" s="212" t="n"/>
      <c r="ON163" s="212" t="n"/>
      <c r="OO163" s="212" t="n"/>
      <c r="OP163" s="212" t="n"/>
      <c r="OQ163" s="212" t="n"/>
      <c r="OR163" s="212" t="n"/>
      <c r="OS163" s="212" t="n"/>
      <c r="OT163" s="212" t="n"/>
      <c r="OU163" s="212" t="n"/>
      <c r="OV163" s="212" t="n"/>
      <c r="OW163" s="212" t="n"/>
      <c r="OX163" s="212" t="n"/>
      <c r="OY163" s="212" t="n"/>
      <c r="OZ163" s="212" t="n"/>
      <c r="PA163" s="212" t="n"/>
      <c r="PB163" s="212" t="n"/>
      <c r="PC163" s="212" t="n"/>
      <c r="PD163" s="212" t="n"/>
      <c r="PE163" s="212" t="n"/>
      <c r="PF163" s="212" t="n"/>
      <c r="PG163" s="212" t="n"/>
      <c r="PH163" s="212" t="n"/>
      <c r="PI163" s="212" t="n"/>
      <c r="PJ163" s="212" t="n"/>
      <c r="PK163" s="212" t="n"/>
      <c r="PL163" s="212" t="n"/>
      <c r="PM163" s="212" t="n"/>
      <c r="PN163" s="212" t="n"/>
      <c r="PO163" s="212" t="n"/>
      <c r="PP163" s="212" t="n"/>
      <c r="PQ163" s="212" t="n"/>
      <c r="PR163" s="212" t="n"/>
      <c r="PS163" s="212" t="n"/>
      <c r="PT163" s="212" t="n"/>
      <c r="PU163" s="212" t="n"/>
      <c r="PV163" s="212" t="n"/>
      <c r="PW163" s="212" t="n"/>
      <c r="PX163" s="212" t="n"/>
      <c r="PY163" s="212" t="n"/>
      <c r="PZ163" s="212" t="n"/>
      <c r="QA163" s="212" t="n"/>
      <c r="QB163" s="212" t="n"/>
      <c r="QC163" s="212" t="n"/>
      <c r="QD163" s="212" t="n"/>
      <c r="QE163" s="212" t="n"/>
      <c r="QF163" s="212" t="n"/>
      <c r="QG163" s="212" t="n"/>
      <c r="QH163" s="212" t="n"/>
      <c r="QI163" s="212" t="n"/>
      <c r="QJ163" s="212" t="n"/>
      <c r="QK163" s="212" t="n"/>
      <c r="QL163" s="212" t="n"/>
      <c r="QM163" s="212" t="n"/>
      <c r="QN163" s="212" t="n"/>
      <c r="QO163" s="212" t="n"/>
      <c r="QP163" s="212" t="n"/>
      <c r="QQ163" s="212" t="n"/>
      <c r="QR163" s="212" t="n"/>
      <c r="QS163" s="212" t="n"/>
      <c r="QT163" s="212" t="n"/>
      <c r="QU163" s="212" t="n"/>
      <c r="QV163" s="212" t="n"/>
      <c r="QW163" s="212" t="n"/>
      <c r="QX163" s="212" t="n"/>
      <c r="QY163" s="212" t="n"/>
      <c r="QZ163" s="212" t="n"/>
      <c r="RA163" s="212" t="n"/>
      <c r="RB163" s="212" t="n"/>
      <c r="RC163" s="212" t="n"/>
      <c r="RD163" s="212" t="n"/>
      <c r="RE163" s="212" t="n"/>
      <c r="RF163" s="212" t="n"/>
      <c r="RG163" s="212" t="n"/>
      <c r="RH163" s="212" t="n"/>
      <c r="RI163" s="212" t="n"/>
      <c r="RJ163" s="212" t="n"/>
      <c r="RK163" s="212" t="n"/>
      <c r="RL163" s="212" t="n"/>
      <c r="RM163" s="212" t="n"/>
      <c r="RN163" s="212" t="n"/>
      <c r="RO163" s="212" t="n"/>
      <c r="RP163" s="212" t="n"/>
      <c r="RQ163" s="212" t="n"/>
      <c r="RR163" s="212" t="n"/>
      <c r="RS163" s="212" t="n"/>
      <c r="RT163" s="212" t="n"/>
      <c r="RU163" s="212" t="n"/>
      <c r="RV163" s="212" t="n"/>
      <c r="RW163" s="212" t="n"/>
      <c r="RX163" s="212" t="n"/>
      <c r="RY163" s="212" t="n"/>
      <c r="RZ163" s="212" t="n"/>
      <c r="SA163" s="212" t="n"/>
      <c r="SB163" s="212" t="n"/>
      <c r="SC163" s="212" t="n"/>
      <c r="SD163" s="212" t="n"/>
      <c r="SE163" s="212" t="n"/>
      <c r="SF163" s="212" t="n"/>
      <c r="SG163" s="212" t="n"/>
      <c r="SH163" s="212" t="n"/>
      <c r="SI163" s="212" t="n"/>
      <c r="SJ163" s="212" t="n"/>
      <c r="SK163" s="212" t="n"/>
      <c r="SL163" s="212" t="n"/>
      <c r="SM163" s="212" t="n"/>
      <c r="SN163" s="212" t="n"/>
      <c r="SO163" s="212" t="n"/>
      <c r="SP163" s="212" t="n"/>
      <c r="SQ163" s="212" t="n"/>
      <c r="SR163" s="212" t="n"/>
      <c r="SS163" s="212" t="n"/>
      <c r="ST163" s="212" t="n"/>
      <c r="SU163" s="212" t="n"/>
      <c r="SV163" s="212" t="n"/>
    </row>
    <row r="164">
      <c r="B164" s="209" t="n"/>
      <c r="C164" s="209" t="n"/>
      <c r="D164" s="209" t="n"/>
      <c r="E164" s="209" t="n"/>
      <c r="F164" s="209">
        <f>IF(TRIM(D164&amp;E164)="","",TRIM(D164)&amp;" "&amp;TRIM(E164))</f>
        <v/>
      </c>
      <c r="G164" s="209" t="n"/>
      <c r="H164" s="209" t="n"/>
      <c r="I164" s="209" t="n"/>
      <c r="J164" s="209" t="n"/>
      <c r="K164" s="209" t="n"/>
      <c r="L164" s="209" t="n"/>
      <c r="M164" s="209" t="n"/>
      <c r="N164" s="209" t="n"/>
      <c r="O164" s="209" t="n"/>
      <c r="P164" s="209" t="n"/>
      <c r="Q164" s="209" t="n"/>
      <c r="R164" s="209" t="n"/>
      <c r="S164" s="212" t="n"/>
      <c r="T164" s="212" t="n"/>
      <c r="U164" s="212" t="n"/>
      <c r="V164" s="212" t="n"/>
      <c r="W164" s="212" t="n"/>
      <c r="X164" s="212" t="n"/>
      <c r="Y164" s="212" t="n"/>
      <c r="Z164" s="212" t="n"/>
      <c r="AA164" s="212" t="n"/>
      <c r="AB164" s="212" t="n"/>
      <c r="AC164" s="212" t="n"/>
      <c r="AD164" s="212" t="n"/>
      <c r="AE164" s="212" t="n"/>
      <c r="AF164" s="212" t="n"/>
      <c r="AG164" s="212" t="n"/>
      <c r="AH164" s="212" t="n"/>
      <c r="AI164" s="212" t="n"/>
      <c r="AJ164" s="212" t="n"/>
      <c r="AK164" s="212" t="n"/>
      <c r="AL164" s="212" t="n"/>
      <c r="AM164" s="212" t="n"/>
      <c r="AN164" s="212" t="n"/>
      <c r="AO164" s="212" t="n"/>
      <c r="AP164" s="212" t="n"/>
      <c r="AQ164" s="212" t="n"/>
      <c r="AR164" s="212" t="n"/>
      <c r="AS164" s="212" t="n"/>
      <c r="AT164" s="212" t="n"/>
      <c r="AU164" s="212" t="n"/>
      <c r="AV164" s="212" t="n"/>
      <c r="AW164" s="212" t="n"/>
      <c r="AX164" s="212" t="n"/>
      <c r="AY164" s="212" t="n"/>
      <c r="AZ164" s="212" t="n"/>
      <c r="BA164" s="212" t="n"/>
      <c r="BB164" s="212" t="n"/>
      <c r="BC164" s="212" t="n"/>
      <c r="BD164" s="212" t="n"/>
      <c r="BE164" s="212" t="n"/>
      <c r="BF164" s="212" t="n"/>
      <c r="BG164" s="212" t="n"/>
      <c r="BH164" s="212" t="n"/>
      <c r="BI164" s="212" t="n"/>
      <c r="BJ164" s="212" t="n"/>
      <c r="BK164" s="212" t="n"/>
      <c r="BL164" s="212" t="n"/>
      <c r="BM164" s="212" t="n"/>
      <c r="BN164" s="212" t="n"/>
      <c r="BO164" s="212" t="n"/>
      <c r="BP164" s="212" t="n"/>
      <c r="BQ164" s="212" t="n"/>
      <c r="BR164" s="212" t="n"/>
      <c r="BS164" s="212" t="n"/>
      <c r="BT164" s="212" t="n"/>
      <c r="BU164" s="212" t="n"/>
      <c r="BV164" s="212" t="n"/>
      <c r="BW164" s="212" t="n"/>
      <c r="BX164" s="212" t="n"/>
      <c r="BY164" s="212" t="n"/>
      <c r="BZ164" s="212" t="n"/>
      <c r="CA164" s="212" t="n"/>
      <c r="CB164" s="212" t="n"/>
      <c r="CC164" s="212" t="n"/>
      <c r="CD164" s="212" t="n"/>
      <c r="CE164" s="212" t="n"/>
      <c r="CF164" s="212" t="n"/>
      <c r="CG164" s="212" t="n"/>
      <c r="CH164" s="212" t="n"/>
      <c r="CI164" s="212" t="n"/>
      <c r="CJ164" s="212" t="n"/>
      <c r="CK164" s="212" t="n"/>
      <c r="CL164" s="212" t="n"/>
      <c r="CM164" s="212" t="n"/>
      <c r="CN164" s="212" t="n"/>
      <c r="CO164" s="212" t="n"/>
      <c r="CP164" s="212" t="n"/>
      <c r="CQ164" s="212" t="n"/>
      <c r="CR164" s="212" t="n"/>
      <c r="CS164" s="212" t="n"/>
      <c r="CT164" s="212" t="n"/>
      <c r="CU164" s="212" t="n"/>
      <c r="CV164" s="212" t="n"/>
      <c r="CW164" s="212" t="n"/>
      <c r="CX164" s="212" t="n"/>
      <c r="CY164" s="212" t="n"/>
      <c r="CZ164" s="212" t="n"/>
      <c r="DA164" s="212" t="n"/>
      <c r="DB164" s="212" t="n"/>
      <c r="DC164" s="212" t="n"/>
      <c r="DD164" s="212" t="n"/>
      <c r="DE164" s="212" t="n"/>
      <c r="DF164" s="212" t="n"/>
      <c r="DG164" s="212" t="n"/>
      <c r="DH164" s="212" t="n"/>
      <c r="DI164" s="212" t="n"/>
      <c r="DJ164" s="212" t="n"/>
      <c r="DK164" s="212" t="n"/>
      <c r="DL164" s="212" t="n"/>
      <c r="DM164" s="212" t="n"/>
      <c r="DN164" s="212" t="n"/>
      <c r="DO164" s="212" t="n"/>
      <c r="DP164" s="212" t="n"/>
      <c r="DQ164" s="212" t="n"/>
      <c r="DR164" s="212" t="n"/>
      <c r="DS164" s="212" t="n"/>
      <c r="DT164" s="212" t="n"/>
      <c r="DU164" s="212" t="n"/>
      <c r="DV164" s="212" t="n"/>
      <c r="DW164" s="212" t="n"/>
      <c r="DX164" s="212" t="n"/>
      <c r="DY164" s="212" t="n"/>
      <c r="DZ164" s="212" t="n"/>
      <c r="EA164" s="212" t="n"/>
      <c r="EB164" s="212" t="n"/>
      <c r="EC164" s="212" t="n"/>
      <c r="ED164" s="212" t="n"/>
      <c r="EE164" s="212" t="n"/>
      <c r="EF164" s="212" t="n"/>
      <c r="EG164" s="212" t="n"/>
      <c r="EH164" s="212" t="n"/>
      <c r="EI164" s="212" t="n"/>
      <c r="EJ164" s="212" t="n"/>
      <c r="EK164" s="212" t="n"/>
      <c r="EL164" s="212" t="n"/>
      <c r="EM164" s="212" t="n"/>
      <c r="EN164" s="212" t="n"/>
      <c r="EO164" s="212" t="n"/>
      <c r="EP164" s="212" t="n"/>
      <c r="EQ164" s="212" t="n"/>
      <c r="ER164" s="212" t="n"/>
      <c r="ES164" s="212" t="n"/>
      <c r="ET164" s="212" t="n"/>
      <c r="EU164" s="212" t="n"/>
      <c r="EV164" s="212" t="n"/>
      <c r="EW164" s="212" t="n"/>
      <c r="EX164" s="212" t="n"/>
      <c r="EY164" s="212" t="n"/>
      <c r="EZ164" s="212" t="n"/>
      <c r="FA164" s="212" t="n"/>
      <c r="FB164" s="212" t="n"/>
      <c r="FC164" s="212" t="n"/>
      <c r="FD164" s="212" t="n"/>
      <c r="FE164" s="212" t="n"/>
      <c r="FF164" s="212" t="n"/>
      <c r="FG164" s="212" t="n"/>
      <c r="FH164" s="212" t="n"/>
      <c r="FI164" s="212" t="n"/>
      <c r="FJ164" s="212" t="n"/>
      <c r="FK164" s="212" t="n"/>
      <c r="FL164" s="212" t="n"/>
      <c r="FM164" s="212" t="n"/>
      <c r="FN164" s="212" t="n"/>
      <c r="FO164" s="212" t="n"/>
      <c r="FP164" s="212" t="n"/>
      <c r="FQ164" s="212" t="n"/>
      <c r="FR164" s="212" t="n"/>
      <c r="FS164" s="212" t="n"/>
      <c r="FT164" s="212" t="n"/>
      <c r="FU164" s="212" t="n"/>
      <c r="FV164" s="212" t="n"/>
      <c r="FW164" s="212" t="n"/>
      <c r="FX164" s="212" t="n"/>
      <c r="FY164" s="212" t="n"/>
      <c r="FZ164" s="212" t="n"/>
      <c r="GA164" s="212" t="n"/>
      <c r="GB164" s="212" t="n"/>
      <c r="GC164" s="212" t="n"/>
      <c r="GD164" s="212" t="n"/>
      <c r="GE164" s="212" t="n"/>
      <c r="GF164" s="212" t="n"/>
      <c r="GG164" s="212" t="n"/>
      <c r="GH164" s="212" t="n"/>
      <c r="GI164" s="212" t="n"/>
      <c r="GJ164" s="212" t="n"/>
      <c r="GK164" s="212" t="n"/>
      <c r="GL164" s="212" t="n"/>
      <c r="GM164" s="212" t="n"/>
      <c r="GN164" s="212" t="n"/>
      <c r="GO164" s="212" t="n"/>
      <c r="GP164" s="212" t="n"/>
      <c r="GQ164" s="212" t="n"/>
      <c r="GR164" s="212" t="n"/>
      <c r="GS164" s="212" t="n"/>
      <c r="GT164" s="212" t="n"/>
      <c r="GU164" s="212" t="n"/>
      <c r="GV164" s="212" t="n"/>
      <c r="GW164" s="212" t="n"/>
      <c r="GX164" s="212" t="n"/>
      <c r="GY164" s="212" t="n"/>
      <c r="GZ164" s="212" t="n"/>
      <c r="HA164" s="212" t="n"/>
      <c r="HB164" s="212" t="n"/>
      <c r="HC164" s="212" t="n"/>
      <c r="HD164" s="212" t="n"/>
      <c r="HE164" s="212" t="n"/>
      <c r="HF164" s="212" t="n"/>
      <c r="HG164" s="212" t="n"/>
      <c r="HH164" s="212" t="n"/>
      <c r="HI164" s="212" t="n"/>
      <c r="HJ164" s="212" t="n"/>
      <c r="HK164" s="212" t="n"/>
      <c r="HL164" s="212" t="n"/>
      <c r="HM164" s="212" t="n"/>
      <c r="HN164" s="212" t="n"/>
      <c r="HO164" s="212" t="n"/>
      <c r="HP164" s="212" t="n"/>
      <c r="HQ164" s="212" t="n"/>
      <c r="HR164" s="212" t="n"/>
      <c r="HS164" s="212" t="n"/>
      <c r="HT164" s="212" t="n"/>
      <c r="HU164" s="212" t="n"/>
      <c r="HV164" s="212" t="n"/>
      <c r="HW164" s="212" t="n"/>
      <c r="HX164" s="212" t="n"/>
      <c r="HY164" s="212" t="n"/>
      <c r="HZ164" s="212" t="n"/>
      <c r="IA164" s="212" t="n"/>
      <c r="IB164" s="212" t="n"/>
      <c r="IC164" s="212" t="n"/>
      <c r="ID164" s="212" t="n"/>
      <c r="IE164" s="212" t="n"/>
      <c r="IF164" s="212" t="n"/>
      <c r="IG164" s="212" t="n"/>
      <c r="IH164" s="212" t="n"/>
      <c r="II164" s="212" t="n"/>
      <c r="IJ164" s="212" t="n"/>
      <c r="IK164" s="212" t="n"/>
      <c r="IL164" s="212" t="n"/>
      <c r="IM164" s="212" t="n"/>
      <c r="IN164" s="212" t="n"/>
      <c r="IO164" s="212" t="n"/>
      <c r="IP164" s="212" t="n"/>
      <c r="IQ164" s="212" t="n"/>
      <c r="IR164" s="212" t="n"/>
      <c r="IS164" s="212" t="n"/>
      <c r="IT164" s="212" t="n"/>
      <c r="IU164" s="212" t="n"/>
      <c r="IV164" s="212" t="n"/>
      <c r="IW164" s="212" t="n"/>
      <c r="IX164" s="212" t="n"/>
      <c r="IY164" s="212" t="n"/>
      <c r="IZ164" s="212" t="n"/>
      <c r="JA164" s="212" t="n"/>
      <c r="JB164" s="212" t="n"/>
      <c r="JC164" s="212" t="n"/>
      <c r="JD164" s="212" t="n"/>
      <c r="JE164" s="212" t="n"/>
      <c r="JF164" s="212" t="n"/>
      <c r="JG164" s="212" t="n"/>
      <c r="JH164" s="212" t="n"/>
      <c r="JI164" s="212" t="n"/>
      <c r="JJ164" s="212" t="n"/>
      <c r="JK164" s="212" t="n"/>
      <c r="JL164" s="212" t="n"/>
      <c r="JM164" s="212" t="n"/>
      <c r="JN164" s="212" t="n"/>
      <c r="JO164" s="212" t="n"/>
      <c r="JP164" s="212" t="n"/>
      <c r="JQ164" s="212" t="n"/>
      <c r="JR164" s="212" t="n"/>
      <c r="JS164" s="212" t="n"/>
      <c r="JT164" s="212" t="n"/>
      <c r="JU164" s="212" t="n"/>
      <c r="JV164" s="212" t="n"/>
      <c r="JW164" s="212" t="n"/>
      <c r="JX164" s="212" t="n"/>
      <c r="JY164" s="212" t="n"/>
      <c r="JZ164" s="212" t="n"/>
      <c r="KA164" s="212" t="n"/>
      <c r="KB164" s="212" t="n"/>
      <c r="KC164" s="212" t="n"/>
      <c r="KD164" s="212" t="n"/>
      <c r="KE164" s="212" t="n"/>
      <c r="KF164" s="212" t="n"/>
      <c r="KG164" s="212" t="n"/>
      <c r="KH164" s="212" t="n"/>
      <c r="KI164" s="212" t="n"/>
      <c r="KJ164" s="212" t="n"/>
      <c r="KK164" s="212" t="n"/>
      <c r="KL164" s="212" t="n"/>
      <c r="KM164" s="212" t="n"/>
      <c r="KN164" s="212" t="n"/>
      <c r="KO164" s="212" t="n"/>
      <c r="KP164" s="212" t="n"/>
      <c r="KQ164" s="212" t="n"/>
      <c r="KR164" s="212" t="n"/>
      <c r="KS164" s="212" t="n"/>
      <c r="KT164" s="212" t="n"/>
      <c r="KU164" s="212" t="n"/>
      <c r="KV164" s="212" t="n"/>
      <c r="KW164" s="212" t="n"/>
      <c r="KX164" s="212" t="n"/>
      <c r="KY164" s="212" t="n"/>
      <c r="KZ164" s="212" t="n"/>
      <c r="LA164" s="212" t="n"/>
      <c r="LB164" s="212" t="n"/>
      <c r="LC164" s="212" t="n"/>
      <c r="LD164" s="212" t="n"/>
      <c r="LE164" s="212" t="n"/>
      <c r="LF164" s="212" t="n"/>
      <c r="LG164" s="212" t="n"/>
      <c r="LH164" s="212" t="n"/>
      <c r="LI164" s="212" t="n"/>
      <c r="LJ164" s="212" t="n"/>
      <c r="LK164" s="212" t="n"/>
      <c r="LL164" s="212" t="n"/>
      <c r="LM164" s="212" t="n"/>
      <c r="LN164" s="212" t="n"/>
      <c r="LO164" s="212" t="n"/>
      <c r="LP164" s="212" t="n"/>
      <c r="LQ164" s="212" t="n"/>
      <c r="LR164" s="212" t="n"/>
      <c r="LS164" s="212" t="n"/>
      <c r="LT164" s="212" t="n"/>
      <c r="LU164" s="212" t="n"/>
      <c r="LV164" s="212" t="n"/>
      <c r="LW164" s="212" t="n"/>
      <c r="LX164" s="212" t="n"/>
      <c r="LY164" s="212" t="n"/>
      <c r="LZ164" s="212" t="n"/>
      <c r="MA164" s="212" t="n"/>
      <c r="MB164" s="212" t="n"/>
      <c r="MC164" s="212" t="n"/>
      <c r="MD164" s="212" t="n"/>
      <c r="ME164" s="212" t="n"/>
      <c r="MF164" s="212" t="n"/>
      <c r="MG164" s="212" t="n"/>
      <c r="MH164" s="212" t="n"/>
      <c r="MI164" s="212" t="n"/>
      <c r="MJ164" s="212" t="n"/>
      <c r="MK164" s="212" t="n"/>
      <c r="ML164" s="212" t="n"/>
      <c r="MM164" s="212" t="n"/>
      <c r="MN164" s="212" t="n"/>
      <c r="MO164" s="212" t="n"/>
      <c r="MP164" s="212" t="n"/>
      <c r="MQ164" s="212" t="n"/>
      <c r="MR164" s="212" t="n"/>
      <c r="MS164" s="212" t="n"/>
      <c r="MT164" s="212" t="n"/>
      <c r="MU164" s="212" t="n"/>
      <c r="MV164" s="212" t="n"/>
      <c r="MW164" s="212" t="n"/>
      <c r="MX164" s="212" t="n"/>
      <c r="MY164" s="212" t="n"/>
      <c r="MZ164" s="212" t="n"/>
      <c r="NA164" s="212" t="n"/>
      <c r="NB164" s="212" t="n"/>
      <c r="NC164" s="212" t="n"/>
      <c r="ND164" s="212" t="n"/>
      <c r="NE164" s="212" t="n"/>
      <c r="NF164" s="212" t="n"/>
      <c r="NG164" s="212" t="n"/>
      <c r="NH164" s="212" t="n"/>
      <c r="NI164" s="212" t="n"/>
      <c r="NJ164" s="212" t="n"/>
      <c r="NK164" s="212" t="n"/>
      <c r="NL164" s="212" t="n"/>
      <c r="NM164" s="212" t="n"/>
      <c r="NN164" s="212" t="n"/>
      <c r="NO164" s="212" t="n"/>
      <c r="NP164" s="212" t="n"/>
      <c r="NQ164" s="212" t="n"/>
      <c r="NR164" s="212" t="n"/>
      <c r="NS164" s="212" t="n"/>
      <c r="NT164" s="212" t="n"/>
      <c r="NU164" s="212" t="n"/>
      <c r="NV164" s="212" t="n"/>
      <c r="NW164" s="212" t="n"/>
      <c r="NX164" s="212" t="n"/>
      <c r="NY164" s="212" t="n"/>
      <c r="NZ164" s="212" t="n"/>
      <c r="OA164" s="212" t="n"/>
      <c r="OB164" s="212" t="n"/>
      <c r="OC164" s="212" t="n"/>
      <c r="OD164" s="212" t="n"/>
      <c r="OE164" s="212" t="n"/>
      <c r="OF164" s="212" t="n"/>
      <c r="OG164" s="212" t="n"/>
      <c r="OH164" s="212" t="n"/>
      <c r="OI164" s="212" t="n"/>
      <c r="OJ164" s="212" t="n"/>
      <c r="OK164" s="212" t="n"/>
      <c r="OL164" s="212" t="n"/>
      <c r="OM164" s="212" t="n"/>
      <c r="ON164" s="212" t="n"/>
      <c r="OO164" s="212" t="n"/>
      <c r="OP164" s="212" t="n"/>
      <c r="OQ164" s="212" t="n"/>
      <c r="OR164" s="212" t="n"/>
      <c r="OS164" s="212" t="n"/>
      <c r="OT164" s="212" t="n"/>
      <c r="OU164" s="212" t="n"/>
      <c r="OV164" s="212" t="n"/>
      <c r="OW164" s="212" t="n"/>
      <c r="OX164" s="212" t="n"/>
      <c r="OY164" s="212" t="n"/>
      <c r="OZ164" s="212" t="n"/>
      <c r="PA164" s="212" t="n"/>
      <c r="PB164" s="212" t="n"/>
      <c r="PC164" s="212" t="n"/>
      <c r="PD164" s="212" t="n"/>
      <c r="PE164" s="212" t="n"/>
      <c r="PF164" s="212" t="n"/>
      <c r="PG164" s="212" t="n"/>
      <c r="PH164" s="212" t="n"/>
      <c r="PI164" s="212" t="n"/>
      <c r="PJ164" s="212" t="n"/>
      <c r="PK164" s="212" t="n"/>
      <c r="PL164" s="212" t="n"/>
      <c r="PM164" s="212" t="n"/>
      <c r="PN164" s="212" t="n"/>
      <c r="PO164" s="212" t="n"/>
      <c r="PP164" s="212" t="n"/>
      <c r="PQ164" s="212" t="n"/>
      <c r="PR164" s="212" t="n"/>
      <c r="PS164" s="212" t="n"/>
      <c r="PT164" s="212" t="n"/>
      <c r="PU164" s="212" t="n"/>
      <c r="PV164" s="212" t="n"/>
      <c r="PW164" s="212" t="n"/>
      <c r="PX164" s="212" t="n"/>
      <c r="PY164" s="212" t="n"/>
      <c r="PZ164" s="212" t="n"/>
      <c r="QA164" s="212" t="n"/>
      <c r="QB164" s="212" t="n"/>
      <c r="QC164" s="212" t="n"/>
      <c r="QD164" s="212" t="n"/>
      <c r="QE164" s="212" t="n"/>
      <c r="QF164" s="212" t="n"/>
      <c r="QG164" s="212" t="n"/>
      <c r="QH164" s="212" t="n"/>
      <c r="QI164" s="212" t="n"/>
      <c r="QJ164" s="212" t="n"/>
      <c r="QK164" s="212" t="n"/>
      <c r="QL164" s="212" t="n"/>
      <c r="QM164" s="212" t="n"/>
      <c r="QN164" s="212" t="n"/>
      <c r="QO164" s="212" t="n"/>
      <c r="QP164" s="212" t="n"/>
      <c r="QQ164" s="212" t="n"/>
      <c r="QR164" s="212" t="n"/>
      <c r="QS164" s="212" t="n"/>
      <c r="QT164" s="212" t="n"/>
      <c r="QU164" s="212" t="n"/>
      <c r="QV164" s="212" t="n"/>
      <c r="QW164" s="212" t="n"/>
      <c r="QX164" s="212" t="n"/>
      <c r="QY164" s="212" t="n"/>
      <c r="QZ164" s="212" t="n"/>
      <c r="RA164" s="212" t="n"/>
      <c r="RB164" s="212" t="n"/>
      <c r="RC164" s="212" t="n"/>
      <c r="RD164" s="212" t="n"/>
      <c r="RE164" s="212" t="n"/>
      <c r="RF164" s="212" t="n"/>
      <c r="RG164" s="212" t="n"/>
      <c r="RH164" s="212" t="n"/>
      <c r="RI164" s="212" t="n"/>
      <c r="RJ164" s="212" t="n"/>
      <c r="RK164" s="212" t="n"/>
      <c r="RL164" s="212" t="n"/>
      <c r="RM164" s="212" t="n"/>
      <c r="RN164" s="212" t="n"/>
      <c r="RO164" s="212" t="n"/>
      <c r="RP164" s="212" t="n"/>
      <c r="RQ164" s="212" t="n"/>
      <c r="RR164" s="212" t="n"/>
      <c r="RS164" s="212" t="n"/>
      <c r="RT164" s="212" t="n"/>
      <c r="RU164" s="212" t="n"/>
      <c r="RV164" s="212" t="n"/>
      <c r="RW164" s="212" t="n"/>
      <c r="RX164" s="212" t="n"/>
      <c r="RY164" s="212" t="n"/>
      <c r="RZ164" s="212" t="n"/>
      <c r="SA164" s="212" t="n"/>
      <c r="SB164" s="212" t="n"/>
      <c r="SC164" s="212" t="n"/>
      <c r="SD164" s="212" t="n"/>
      <c r="SE164" s="212" t="n"/>
      <c r="SF164" s="212" t="n"/>
      <c r="SG164" s="212" t="n"/>
      <c r="SH164" s="212" t="n"/>
      <c r="SI164" s="212" t="n"/>
      <c r="SJ164" s="212" t="n"/>
      <c r="SK164" s="212" t="n"/>
      <c r="SL164" s="212" t="n"/>
      <c r="SM164" s="212" t="n"/>
      <c r="SN164" s="212" t="n"/>
      <c r="SO164" s="212" t="n"/>
      <c r="SP164" s="212" t="n"/>
      <c r="SQ164" s="212" t="n"/>
      <c r="SR164" s="212" t="n"/>
      <c r="SS164" s="212" t="n"/>
      <c r="ST164" s="212" t="n"/>
      <c r="SU164" s="212" t="n"/>
      <c r="SV164" s="212" t="n"/>
    </row>
    <row r="165">
      <c r="B165" s="209" t="n"/>
      <c r="C165" s="209" t="n"/>
      <c r="D165" s="209" t="n"/>
      <c r="E165" s="209" t="n"/>
      <c r="F165" s="209">
        <f>IF(TRIM(D165&amp;E165)="","",TRIM(D165)&amp;" "&amp;TRIM(E165))</f>
        <v/>
      </c>
      <c r="G165" s="209" t="n"/>
      <c r="H165" s="209" t="n"/>
      <c r="I165" s="209" t="n"/>
      <c r="J165" s="209" t="n"/>
      <c r="K165" s="209" t="n"/>
      <c r="L165" s="209" t="n"/>
      <c r="M165" s="209" t="n"/>
      <c r="N165" s="209" t="n"/>
      <c r="O165" s="209" t="n"/>
      <c r="P165" s="209" t="n"/>
      <c r="Q165" s="209" t="n"/>
      <c r="R165" s="209" t="n"/>
      <c r="S165" s="212" t="n"/>
      <c r="T165" s="212" t="n"/>
      <c r="U165" s="212" t="n"/>
      <c r="V165" s="212" t="n"/>
      <c r="W165" s="212" t="n"/>
      <c r="X165" s="212" t="n"/>
      <c r="Y165" s="212" t="n"/>
      <c r="Z165" s="212" t="n"/>
      <c r="AA165" s="212" t="n"/>
      <c r="AB165" s="212" t="n"/>
      <c r="AC165" s="212" t="n"/>
      <c r="AD165" s="212" t="n"/>
      <c r="AE165" s="212" t="n"/>
      <c r="AF165" s="212" t="n"/>
      <c r="AG165" s="212" t="n"/>
      <c r="AH165" s="212" t="n"/>
      <c r="AI165" s="212" t="n"/>
      <c r="AJ165" s="212" t="n"/>
      <c r="AK165" s="212" t="n"/>
      <c r="AL165" s="212" t="n"/>
      <c r="AM165" s="212" t="n"/>
      <c r="AN165" s="212" t="n"/>
      <c r="AO165" s="212" t="n"/>
      <c r="AP165" s="212" t="n"/>
      <c r="AQ165" s="212" t="n"/>
      <c r="AR165" s="212" t="n"/>
      <c r="AS165" s="212" t="n"/>
      <c r="AT165" s="212" t="n"/>
      <c r="AU165" s="212" t="n"/>
      <c r="AV165" s="212" t="n"/>
      <c r="AW165" s="212" t="n"/>
      <c r="AX165" s="212" t="n"/>
      <c r="AY165" s="212" t="n"/>
      <c r="AZ165" s="212" t="n"/>
      <c r="BA165" s="212" t="n"/>
      <c r="BB165" s="212" t="n"/>
      <c r="BC165" s="212" t="n"/>
      <c r="BD165" s="212" t="n"/>
      <c r="BE165" s="212" t="n"/>
      <c r="BF165" s="212" t="n"/>
      <c r="BG165" s="212" t="n"/>
      <c r="BH165" s="212" t="n"/>
      <c r="BI165" s="212" t="n"/>
      <c r="BJ165" s="212" t="n"/>
      <c r="BK165" s="212" t="n"/>
      <c r="BL165" s="212" t="n"/>
      <c r="BM165" s="212" t="n"/>
      <c r="BN165" s="212" t="n"/>
      <c r="BO165" s="212" t="n"/>
      <c r="BP165" s="212" t="n"/>
      <c r="BQ165" s="212" t="n"/>
      <c r="BR165" s="212" t="n"/>
      <c r="BS165" s="212" t="n"/>
      <c r="BT165" s="212" t="n"/>
      <c r="BU165" s="212" t="n"/>
      <c r="BV165" s="212" t="n"/>
      <c r="BW165" s="212" t="n"/>
      <c r="BX165" s="212" t="n"/>
      <c r="BY165" s="212" t="n"/>
      <c r="BZ165" s="212" t="n"/>
      <c r="CA165" s="212" t="n"/>
      <c r="CB165" s="212" t="n"/>
      <c r="CC165" s="212" t="n"/>
      <c r="CD165" s="212" t="n"/>
      <c r="CE165" s="212" t="n"/>
      <c r="CF165" s="212" t="n"/>
      <c r="CG165" s="212" t="n"/>
      <c r="CH165" s="212" t="n"/>
      <c r="CI165" s="212" t="n"/>
      <c r="CJ165" s="212" t="n"/>
      <c r="CK165" s="212" t="n"/>
      <c r="CL165" s="212" t="n"/>
      <c r="CM165" s="212" t="n"/>
      <c r="CN165" s="212" t="n"/>
      <c r="CO165" s="212" t="n"/>
      <c r="CP165" s="212" t="n"/>
      <c r="CQ165" s="212" t="n"/>
      <c r="CR165" s="212" t="n"/>
      <c r="CS165" s="212" t="n"/>
      <c r="CT165" s="212" t="n"/>
      <c r="CU165" s="212" t="n"/>
      <c r="CV165" s="212" t="n"/>
      <c r="CW165" s="212" t="n"/>
      <c r="CX165" s="212" t="n"/>
      <c r="CY165" s="212" t="n"/>
      <c r="CZ165" s="212" t="n"/>
      <c r="DA165" s="212" t="n"/>
      <c r="DB165" s="212" t="n"/>
      <c r="DC165" s="212" t="n"/>
      <c r="DD165" s="212" t="n"/>
      <c r="DE165" s="212" t="n"/>
      <c r="DF165" s="212" t="n"/>
      <c r="DG165" s="212" t="n"/>
      <c r="DH165" s="212" t="n"/>
      <c r="DI165" s="212" t="n"/>
      <c r="DJ165" s="212" t="n"/>
      <c r="DK165" s="212" t="n"/>
      <c r="DL165" s="212" t="n"/>
      <c r="DM165" s="212" t="n"/>
      <c r="DN165" s="212" t="n"/>
      <c r="DO165" s="212" t="n"/>
      <c r="DP165" s="212" t="n"/>
      <c r="DQ165" s="212" t="n"/>
      <c r="DR165" s="212" t="n"/>
      <c r="DS165" s="212" t="n"/>
      <c r="DT165" s="212" t="n"/>
      <c r="DU165" s="212" t="n"/>
      <c r="DV165" s="212" t="n"/>
      <c r="DW165" s="212" t="n"/>
      <c r="DX165" s="212" t="n"/>
      <c r="DY165" s="212" t="n"/>
      <c r="DZ165" s="212" t="n"/>
      <c r="EA165" s="212" t="n"/>
      <c r="EB165" s="212" t="n"/>
      <c r="EC165" s="212" t="n"/>
      <c r="ED165" s="212" t="n"/>
      <c r="EE165" s="212" t="n"/>
      <c r="EF165" s="212" t="n"/>
      <c r="EG165" s="212" t="n"/>
      <c r="EH165" s="212" t="n"/>
      <c r="EI165" s="212" t="n"/>
      <c r="EJ165" s="212" t="n"/>
      <c r="EK165" s="212" t="n"/>
      <c r="EL165" s="212" t="n"/>
      <c r="EM165" s="212" t="n"/>
      <c r="EN165" s="212" t="n"/>
      <c r="EO165" s="212" t="n"/>
      <c r="EP165" s="212" t="n"/>
      <c r="EQ165" s="212" t="n"/>
      <c r="ER165" s="212" t="n"/>
      <c r="ES165" s="212" t="n"/>
      <c r="ET165" s="212" t="n"/>
      <c r="EU165" s="212" t="n"/>
      <c r="EV165" s="212" t="n"/>
      <c r="EW165" s="212" t="n"/>
      <c r="EX165" s="212" t="n"/>
      <c r="EY165" s="212" t="n"/>
      <c r="EZ165" s="212" t="n"/>
      <c r="FA165" s="212" t="n"/>
      <c r="FB165" s="212" t="n"/>
      <c r="FC165" s="212" t="n"/>
      <c r="FD165" s="212" t="n"/>
      <c r="FE165" s="212" t="n"/>
      <c r="FF165" s="212" t="n"/>
      <c r="FG165" s="212" t="n"/>
      <c r="FH165" s="212" t="n"/>
      <c r="FI165" s="212" t="n"/>
      <c r="FJ165" s="212" t="n"/>
      <c r="FK165" s="212" t="n"/>
      <c r="FL165" s="212" t="n"/>
      <c r="FM165" s="212" t="n"/>
      <c r="FN165" s="212" t="n"/>
      <c r="FO165" s="212" t="n"/>
      <c r="FP165" s="212" t="n"/>
      <c r="FQ165" s="212" t="n"/>
      <c r="FR165" s="212" t="n"/>
      <c r="FS165" s="212" t="n"/>
      <c r="FT165" s="212" t="n"/>
      <c r="FU165" s="212" t="n"/>
      <c r="FV165" s="212" t="n"/>
      <c r="FW165" s="212" t="n"/>
      <c r="FX165" s="212" t="n"/>
      <c r="FY165" s="212" t="n"/>
      <c r="FZ165" s="212" t="n"/>
      <c r="GA165" s="212" t="n"/>
      <c r="GB165" s="212" t="n"/>
      <c r="GC165" s="212" t="n"/>
      <c r="GD165" s="212" t="n"/>
      <c r="GE165" s="212" t="n"/>
      <c r="GF165" s="212" t="n"/>
      <c r="GG165" s="212" t="n"/>
      <c r="GH165" s="212" t="n"/>
      <c r="GI165" s="212" t="n"/>
      <c r="GJ165" s="212" t="n"/>
      <c r="GK165" s="212" t="n"/>
      <c r="GL165" s="212" t="n"/>
      <c r="GM165" s="212" t="n"/>
      <c r="GN165" s="212" t="n"/>
      <c r="GO165" s="212" t="n"/>
      <c r="GP165" s="212" t="n"/>
      <c r="GQ165" s="212" t="n"/>
      <c r="GR165" s="212" t="n"/>
      <c r="GS165" s="212" t="n"/>
      <c r="GT165" s="212" t="n"/>
      <c r="GU165" s="212" t="n"/>
      <c r="GV165" s="212" t="n"/>
      <c r="GW165" s="212" t="n"/>
      <c r="GX165" s="212" t="n"/>
      <c r="GY165" s="212" t="n"/>
      <c r="GZ165" s="212" t="n"/>
      <c r="HA165" s="212" t="n"/>
      <c r="HB165" s="212" t="n"/>
      <c r="HC165" s="212" t="n"/>
      <c r="HD165" s="212" t="n"/>
      <c r="HE165" s="212" t="n"/>
      <c r="HF165" s="212" t="n"/>
      <c r="HG165" s="212" t="n"/>
      <c r="HH165" s="212" t="n"/>
      <c r="HI165" s="212" t="n"/>
      <c r="HJ165" s="212" t="n"/>
      <c r="HK165" s="212" t="n"/>
      <c r="HL165" s="212" t="n"/>
      <c r="HM165" s="212" t="n"/>
      <c r="HN165" s="212" t="n"/>
      <c r="HO165" s="212" t="n"/>
      <c r="HP165" s="212" t="n"/>
      <c r="HQ165" s="212" t="n"/>
      <c r="HR165" s="212" t="n"/>
      <c r="HS165" s="212" t="n"/>
      <c r="HT165" s="212" t="n"/>
      <c r="HU165" s="212" t="n"/>
      <c r="HV165" s="212" t="n"/>
      <c r="HW165" s="212" t="n"/>
      <c r="HX165" s="212" t="n"/>
      <c r="HY165" s="212" t="n"/>
      <c r="HZ165" s="212" t="n"/>
      <c r="IA165" s="212" t="n"/>
      <c r="IB165" s="212" t="n"/>
      <c r="IC165" s="212" t="n"/>
      <c r="ID165" s="212" t="n"/>
      <c r="IE165" s="212" t="n"/>
      <c r="IF165" s="212" t="n"/>
      <c r="IG165" s="212" t="n"/>
      <c r="IH165" s="212" t="n"/>
      <c r="II165" s="212" t="n"/>
      <c r="IJ165" s="212" t="n"/>
      <c r="IK165" s="212" t="n"/>
      <c r="IL165" s="212" t="n"/>
      <c r="IM165" s="212" t="n"/>
      <c r="IN165" s="212" t="n"/>
      <c r="IO165" s="212" t="n"/>
      <c r="IP165" s="212" t="n"/>
      <c r="IQ165" s="212" t="n"/>
      <c r="IR165" s="212" t="n"/>
      <c r="IS165" s="212" t="n"/>
      <c r="IT165" s="212" t="n"/>
      <c r="IU165" s="212" t="n"/>
      <c r="IV165" s="212" t="n"/>
      <c r="IW165" s="212" t="n"/>
      <c r="IX165" s="212" t="n"/>
      <c r="IY165" s="212" t="n"/>
      <c r="IZ165" s="212" t="n"/>
      <c r="JA165" s="212" t="n"/>
      <c r="JB165" s="212" t="n"/>
      <c r="JC165" s="212" t="n"/>
      <c r="JD165" s="212" t="n"/>
      <c r="JE165" s="212" t="n"/>
      <c r="JF165" s="212" t="n"/>
      <c r="JG165" s="212" t="n"/>
      <c r="JH165" s="212" t="n"/>
      <c r="JI165" s="212" t="n"/>
      <c r="JJ165" s="212" t="n"/>
      <c r="JK165" s="212" t="n"/>
      <c r="JL165" s="212" t="n"/>
      <c r="JM165" s="212" t="n"/>
      <c r="JN165" s="212" t="n"/>
      <c r="JO165" s="212" t="n"/>
      <c r="JP165" s="212" t="n"/>
      <c r="JQ165" s="212" t="n"/>
      <c r="JR165" s="212" t="n"/>
      <c r="JS165" s="212" t="n"/>
      <c r="JT165" s="212" t="n"/>
      <c r="JU165" s="212" t="n"/>
      <c r="JV165" s="212" t="n"/>
      <c r="JW165" s="212" t="n"/>
      <c r="JX165" s="212" t="n"/>
      <c r="JY165" s="212" t="n"/>
      <c r="JZ165" s="212" t="n"/>
      <c r="KA165" s="212" t="n"/>
      <c r="KB165" s="212" t="n"/>
      <c r="KC165" s="212" t="n"/>
      <c r="KD165" s="212" t="n"/>
      <c r="KE165" s="212" t="n"/>
      <c r="KF165" s="212" t="n"/>
      <c r="KG165" s="212" t="n"/>
      <c r="KH165" s="212" t="n"/>
      <c r="KI165" s="212" t="n"/>
      <c r="KJ165" s="212" t="n"/>
      <c r="KK165" s="212" t="n"/>
      <c r="KL165" s="212" t="n"/>
      <c r="KM165" s="212" t="n"/>
      <c r="KN165" s="212" t="n"/>
      <c r="KO165" s="212" t="n"/>
      <c r="KP165" s="212" t="n"/>
      <c r="KQ165" s="212" t="n"/>
      <c r="KR165" s="212" t="n"/>
      <c r="KS165" s="212" t="n"/>
      <c r="KT165" s="212" t="n"/>
      <c r="KU165" s="212" t="n"/>
      <c r="KV165" s="212" t="n"/>
      <c r="KW165" s="212" t="n"/>
      <c r="KX165" s="212" t="n"/>
      <c r="KY165" s="212" t="n"/>
      <c r="KZ165" s="212" t="n"/>
      <c r="LA165" s="212" t="n"/>
      <c r="LB165" s="212" t="n"/>
      <c r="LC165" s="212" t="n"/>
      <c r="LD165" s="212" t="n"/>
      <c r="LE165" s="212" t="n"/>
      <c r="LF165" s="212" t="n"/>
      <c r="LG165" s="212" t="n"/>
      <c r="LH165" s="212" t="n"/>
      <c r="LI165" s="212" t="n"/>
      <c r="LJ165" s="212" t="n"/>
      <c r="LK165" s="212" t="n"/>
      <c r="LL165" s="212" t="n"/>
      <c r="LM165" s="212" t="n"/>
      <c r="LN165" s="212" t="n"/>
      <c r="LO165" s="212" t="n"/>
      <c r="LP165" s="212" t="n"/>
      <c r="LQ165" s="212" t="n"/>
      <c r="LR165" s="212" t="n"/>
      <c r="LS165" s="212" t="n"/>
      <c r="LT165" s="212" t="n"/>
      <c r="LU165" s="212" t="n"/>
      <c r="LV165" s="212" t="n"/>
      <c r="LW165" s="212" t="n"/>
      <c r="LX165" s="212" t="n"/>
      <c r="LY165" s="212" t="n"/>
      <c r="LZ165" s="212" t="n"/>
      <c r="MA165" s="212" t="n"/>
      <c r="MB165" s="212" t="n"/>
      <c r="MC165" s="212" t="n"/>
      <c r="MD165" s="212" t="n"/>
      <c r="ME165" s="212" t="n"/>
      <c r="MF165" s="212" t="n"/>
      <c r="MG165" s="212" t="n"/>
      <c r="MH165" s="212" t="n"/>
      <c r="MI165" s="212" t="n"/>
      <c r="MJ165" s="212" t="n"/>
      <c r="MK165" s="212" t="n"/>
      <c r="ML165" s="212" t="n"/>
      <c r="MM165" s="212" t="n"/>
      <c r="MN165" s="212" t="n"/>
      <c r="MO165" s="212" t="n"/>
      <c r="MP165" s="212" t="n"/>
      <c r="MQ165" s="212" t="n"/>
      <c r="MR165" s="212" t="n"/>
      <c r="MS165" s="212" t="n"/>
      <c r="MT165" s="212" t="n"/>
      <c r="MU165" s="212" t="n"/>
      <c r="MV165" s="212" t="n"/>
      <c r="MW165" s="212" t="n"/>
      <c r="MX165" s="212" t="n"/>
      <c r="MY165" s="212" t="n"/>
      <c r="MZ165" s="212" t="n"/>
      <c r="NA165" s="212" t="n"/>
      <c r="NB165" s="212" t="n"/>
      <c r="NC165" s="212" t="n"/>
      <c r="ND165" s="212" t="n"/>
      <c r="NE165" s="212" t="n"/>
      <c r="NF165" s="212" t="n"/>
      <c r="NG165" s="212" t="n"/>
      <c r="NH165" s="212" t="n"/>
      <c r="NI165" s="212" t="n"/>
      <c r="NJ165" s="212" t="n"/>
      <c r="NK165" s="212" t="n"/>
      <c r="NL165" s="212" t="n"/>
      <c r="NM165" s="212" t="n"/>
      <c r="NN165" s="212" t="n"/>
      <c r="NO165" s="212" t="n"/>
      <c r="NP165" s="212" t="n"/>
      <c r="NQ165" s="212" t="n"/>
      <c r="NR165" s="212" t="n"/>
      <c r="NS165" s="212" t="n"/>
      <c r="NT165" s="212" t="n"/>
      <c r="NU165" s="212" t="n"/>
      <c r="NV165" s="212" t="n"/>
      <c r="NW165" s="212" t="n"/>
      <c r="NX165" s="212" t="n"/>
      <c r="NY165" s="212" t="n"/>
      <c r="NZ165" s="212" t="n"/>
      <c r="OA165" s="212" t="n"/>
      <c r="OB165" s="212" t="n"/>
      <c r="OC165" s="212" t="n"/>
      <c r="OD165" s="212" t="n"/>
      <c r="OE165" s="212" t="n"/>
      <c r="OF165" s="212" t="n"/>
      <c r="OG165" s="212" t="n"/>
      <c r="OH165" s="212" t="n"/>
      <c r="OI165" s="212" t="n"/>
      <c r="OJ165" s="212" t="n"/>
      <c r="OK165" s="212" t="n"/>
      <c r="OL165" s="212" t="n"/>
      <c r="OM165" s="212" t="n"/>
      <c r="ON165" s="212" t="n"/>
      <c r="OO165" s="212" t="n"/>
      <c r="OP165" s="212" t="n"/>
      <c r="OQ165" s="212" t="n"/>
      <c r="OR165" s="212" t="n"/>
      <c r="OS165" s="212" t="n"/>
      <c r="OT165" s="212" t="n"/>
      <c r="OU165" s="212" t="n"/>
      <c r="OV165" s="212" t="n"/>
      <c r="OW165" s="212" t="n"/>
      <c r="OX165" s="212" t="n"/>
      <c r="OY165" s="212" t="n"/>
      <c r="OZ165" s="212" t="n"/>
      <c r="PA165" s="212" t="n"/>
      <c r="PB165" s="212" t="n"/>
      <c r="PC165" s="212" t="n"/>
      <c r="PD165" s="212" t="n"/>
      <c r="PE165" s="212" t="n"/>
      <c r="PF165" s="212" t="n"/>
      <c r="PG165" s="212" t="n"/>
      <c r="PH165" s="212" t="n"/>
      <c r="PI165" s="212" t="n"/>
      <c r="PJ165" s="212" t="n"/>
      <c r="PK165" s="212" t="n"/>
      <c r="PL165" s="212" t="n"/>
      <c r="PM165" s="212" t="n"/>
      <c r="PN165" s="212" t="n"/>
      <c r="PO165" s="212" t="n"/>
      <c r="PP165" s="212" t="n"/>
      <c r="PQ165" s="212" t="n"/>
      <c r="PR165" s="212" t="n"/>
      <c r="PS165" s="212" t="n"/>
      <c r="PT165" s="212" t="n"/>
      <c r="PU165" s="212" t="n"/>
      <c r="PV165" s="212" t="n"/>
      <c r="PW165" s="212" t="n"/>
      <c r="PX165" s="212" t="n"/>
      <c r="PY165" s="212" t="n"/>
      <c r="PZ165" s="212" t="n"/>
      <c r="QA165" s="212" t="n"/>
      <c r="QB165" s="212" t="n"/>
      <c r="QC165" s="212" t="n"/>
      <c r="QD165" s="212" t="n"/>
      <c r="QE165" s="212" t="n"/>
      <c r="QF165" s="212" t="n"/>
      <c r="QG165" s="212" t="n"/>
      <c r="QH165" s="212" t="n"/>
      <c r="QI165" s="212" t="n"/>
      <c r="QJ165" s="212" t="n"/>
      <c r="QK165" s="212" t="n"/>
      <c r="QL165" s="212" t="n"/>
      <c r="QM165" s="212" t="n"/>
      <c r="QN165" s="212" t="n"/>
      <c r="QO165" s="212" t="n"/>
      <c r="QP165" s="212" t="n"/>
      <c r="QQ165" s="212" t="n"/>
      <c r="QR165" s="212" t="n"/>
      <c r="QS165" s="212" t="n"/>
      <c r="QT165" s="212" t="n"/>
      <c r="QU165" s="212" t="n"/>
      <c r="QV165" s="212" t="n"/>
      <c r="QW165" s="212" t="n"/>
      <c r="QX165" s="212" t="n"/>
      <c r="QY165" s="212" t="n"/>
      <c r="QZ165" s="212" t="n"/>
      <c r="RA165" s="212" t="n"/>
      <c r="RB165" s="212" t="n"/>
      <c r="RC165" s="212" t="n"/>
      <c r="RD165" s="212" t="n"/>
      <c r="RE165" s="212" t="n"/>
      <c r="RF165" s="212" t="n"/>
      <c r="RG165" s="212" t="n"/>
      <c r="RH165" s="212" t="n"/>
      <c r="RI165" s="212" t="n"/>
      <c r="RJ165" s="212" t="n"/>
      <c r="RK165" s="212" t="n"/>
      <c r="RL165" s="212" t="n"/>
      <c r="RM165" s="212" t="n"/>
      <c r="RN165" s="212" t="n"/>
      <c r="RO165" s="212" t="n"/>
      <c r="RP165" s="212" t="n"/>
      <c r="RQ165" s="212" t="n"/>
      <c r="RR165" s="212" t="n"/>
      <c r="RS165" s="212" t="n"/>
      <c r="RT165" s="212" t="n"/>
      <c r="RU165" s="212" t="n"/>
      <c r="RV165" s="212" t="n"/>
      <c r="RW165" s="212" t="n"/>
      <c r="RX165" s="212" t="n"/>
      <c r="RY165" s="212" t="n"/>
      <c r="RZ165" s="212" t="n"/>
      <c r="SA165" s="212" t="n"/>
      <c r="SB165" s="212" t="n"/>
      <c r="SC165" s="212" t="n"/>
      <c r="SD165" s="212" t="n"/>
      <c r="SE165" s="212" t="n"/>
      <c r="SF165" s="212" t="n"/>
      <c r="SG165" s="212" t="n"/>
      <c r="SH165" s="212" t="n"/>
      <c r="SI165" s="212" t="n"/>
      <c r="SJ165" s="212" t="n"/>
      <c r="SK165" s="212" t="n"/>
      <c r="SL165" s="212" t="n"/>
      <c r="SM165" s="212" t="n"/>
      <c r="SN165" s="212" t="n"/>
      <c r="SO165" s="212" t="n"/>
      <c r="SP165" s="212" t="n"/>
      <c r="SQ165" s="212" t="n"/>
      <c r="SR165" s="212" t="n"/>
      <c r="SS165" s="212" t="n"/>
      <c r="ST165" s="212" t="n"/>
      <c r="SU165" s="212" t="n"/>
      <c r="SV165" s="212" t="n"/>
    </row>
    <row r="166">
      <c r="B166" s="209" t="n"/>
      <c r="C166" s="209" t="n"/>
      <c r="D166" s="209" t="n"/>
      <c r="E166" s="209" t="n"/>
      <c r="F166" s="209">
        <f>IF(TRIM(D166&amp;E166)="","",TRIM(D166)&amp;" "&amp;TRIM(E166))</f>
        <v/>
      </c>
      <c r="G166" s="209" t="n"/>
      <c r="H166" s="209" t="n"/>
      <c r="I166" s="209" t="n"/>
      <c r="J166" s="209" t="n"/>
      <c r="K166" s="209" t="n"/>
      <c r="L166" s="209" t="n"/>
      <c r="M166" s="209" t="n"/>
      <c r="N166" s="209" t="n"/>
      <c r="O166" s="209" t="n"/>
      <c r="P166" s="209" t="n"/>
      <c r="Q166" s="209" t="n"/>
      <c r="R166" s="209" t="n"/>
      <c r="S166" s="212" t="n"/>
      <c r="T166" s="212" t="n"/>
      <c r="U166" s="212" t="n"/>
      <c r="V166" s="212" t="n"/>
      <c r="W166" s="212" t="n"/>
      <c r="X166" s="212" t="n"/>
      <c r="Y166" s="212" t="n"/>
      <c r="Z166" s="212" t="n"/>
      <c r="AA166" s="212" t="n"/>
      <c r="AB166" s="212" t="n"/>
      <c r="AC166" s="212" t="n"/>
      <c r="AD166" s="212" t="n"/>
      <c r="AE166" s="212" t="n"/>
      <c r="AF166" s="212" t="n"/>
      <c r="AG166" s="212" t="n"/>
      <c r="AH166" s="212" t="n"/>
      <c r="AI166" s="212" t="n"/>
      <c r="AJ166" s="212" t="n"/>
      <c r="AK166" s="212" t="n"/>
      <c r="AL166" s="212" t="n"/>
      <c r="AM166" s="212" t="n"/>
      <c r="AN166" s="212" t="n"/>
      <c r="AO166" s="212" t="n"/>
      <c r="AP166" s="212" t="n"/>
      <c r="AQ166" s="212" t="n"/>
      <c r="AR166" s="212" t="n"/>
      <c r="AS166" s="212" t="n"/>
      <c r="AT166" s="212" t="n"/>
      <c r="AU166" s="212" t="n"/>
      <c r="AV166" s="212" t="n"/>
      <c r="AW166" s="212" t="n"/>
      <c r="AX166" s="212" t="n"/>
      <c r="AY166" s="212" t="n"/>
      <c r="AZ166" s="212" t="n"/>
      <c r="BA166" s="212" t="n"/>
      <c r="BB166" s="212" t="n"/>
      <c r="BC166" s="212" t="n"/>
      <c r="BD166" s="212" t="n"/>
      <c r="BE166" s="212" t="n"/>
      <c r="BF166" s="212" t="n"/>
      <c r="BG166" s="212" t="n"/>
      <c r="BH166" s="212" t="n"/>
      <c r="BI166" s="212" t="n"/>
      <c r="BJ166" s="212" t="n"/>
      <c r="BK166" s="212" t="n"/>
      <c r="BL166" s="212" t="n"/>
      <c r="BM166" s="212" t="n"/>
      <c r="BN166" s="212" t="n"/>
      <c r="BO166" s="212" t="n"/>
      <c r="BP166" s="212" t="n"/>
      <c r="BQ166" s="212" t="n"/>
      <c r="BR166" s="212" t="n"/>
      <c r="BS166" s="212" t="n"/>
      <c r="BT166" s="212" t="n"/>
      <c r="BU166" s="212" t="n"/>
      <c r="BV166" s="212" t="n"/>
      <c r="BW166" s="212" t="n"/>
      <c r="BX166" s="212" t="n"/>
      <c r="BY166" s="212" t="n"/>
      <c r="BZ166" s="212" t="n"/>
      <c r="CA166" s="212" t="n"/>
      <c r="CB166" s="212" t="n"/>
      <c r="CC166" s="212" t="n"/>
      <c r="CD166" s="212" t="n"/>
      <c r="CE166" s="212" t="n"/>
      <c r="CF166" s="212" t="n"/>
      <c r="CG166" s="212" t="n"/>
      <c r="CH166" s="212" t="n"/>
      <c r="CI166" s="212" t="n"/>
      <c r="CJ166" s="212" t="n"/>
      <c r="CK166" s="212" t="n"/>
      <c r="CL166" s="212" t="n"/>
      <c r="CM166" s="212" t="n"/>
      <c r="CN166" s="212" t="n"/>
      <c r="CO166" s="212" t="n"/>
      <c r="CP166" s="212" t="n"/>
      <c r="CQ166" s="212" t="n"/>
      <c r="CR166" s="212" t="n"/>
      <c r="CS166" s="212" t="n"/>
      <c r="CT166" s="212" t="n"/>
      <c r="CU166" s="212" t="n"/>
      <c r="CV166" s="212" t="n"/>
      <c r="CW166" s="212" t="n"/>
      <c r="CX166" s="212" t="n"/>
      <c r="CY166" s="212" t="n"/>
      <c r="CZ166" s="212" t="n"/>
      <c r="DA166" s="212" t="n"/>
      <c r="DB166" s="212" t="n"/>
      <c r="DC166" s="212" t="n"/>
      <c r="DD166" s="212" t="n"/>
      <c r="DE166" s="212" t="n"/>
      <c r="DF166" s="212" t="n"/>
      <c r="DG166" s="212" t="n"/>
      <c r="DH166" s="212" t="n"/>
      <c r="DI166" s="212" t="n"/>
      <c r="DJ166" s="212" t="n"/>
      <c r="DK166" s="212" t="n"/>
      <c r="DL166" s="212" t="n"/>
      <c r="DM166" s="212" t="n"/>
      <c r="DN166" s="212" t="n"/>
      <c r="DO166" s="212" t="n"/>
      <c r="DP166" s="212" t="n"/>
      <c r="DQ166" s="212" t="n"/>
      <c r="DR166" s="212" t="n"/>
      <c r="DS166" s="212" t="n"/>
      <c r="DT166" s="212" t="n"/>
      <c r="DU166" s="212" t="n"/>
      <c r="DV166" s="212" t="n"/>
      <c r="DW166" s="212" t="n"/>
      <c r="DX166" s="212" t="n"/>
      <c r="DY166" s="212" t="n"/>
      <c r="DZ166" s="212" t="n"/>
      <c r="EA166" s="212" t="n"/>
      <c r="EB166" s="212" t="n"/>
      <c r="EC166" s="212" t="n"/>
      <c r="ED166" s="212" t="n"/>
      <c r="EE166" s="212" t="n"/>
      <c r="EF166" s="212" t="n"/>
      <c r="EG166" s="212" t="n"/>
      <c r="EH166" s="212" t="n"/>
      <c r="EI166" s="212" t="n"/>
      <c r="EJ166" s="212" t="n"/>
      <c r="EK166" s="212" t="n"/>
      <c r="EL166" s="212" t="n"/>
      <c r="EM166" s="212" t="n"/>
      <c r="EN166" s="212" t="n"/>
      <c r="EO166" s="212" t="n"/>
      <c r="EP166" s="212" t="n"/>
      <c r="EQ166" s="212" t="n"/>
      <c r="ER166" s="212" t="n"/>
      <c r="ES166" s="212" t="n"/>
      <c r="ET166" s="212" t="n"/>
      <c r="EU166" s="212" t="n"/>
      <c r="EV166" s="212" t="n"/>
      <c r="EW166" s="212" t="n"/>
      <c r="EX166" s="212" t="n"/>
      <c r="EY166" s="212" t="n"/>
      <c r="EZ166" s="212" t="n"/>
      <c r="FA166" s="212" t="n"/>
      <c r="FB166" s="212" t="n"/>
      <c r="FC166" s="212" t="n"/>
      <c r="FD166" s="212" t="n"/>
      <c r="FE166" s="212" t="n"/>
      <c r="FF166" s="212" t="n"/>
      <c r="FG166" s="212" t="n"/>
      <c r="FH166" s="212" t="n"/>
      <c r="FI166" s="212" t="n"/>
      <c r="FJ166" s="212" t="n"/>
      <c r="FK166" s="212" t="n"/>
      <c r="FL166" s="212" t="n"/>
      <c r="FM166" s="212" t="n"/>
      <c r="FN166" s="212" t="n"/>
      <c r="FO166" s="212" t="n"/>
      <c r="FP166" s="212" t="n"/>
      <c r="FQ166" s="212" t="n"/>
      <c r="FR166" s="212" t="n"/>
      <c r="FS166" s="212" t="n"/>
      <c r="FT166" s="212" t="n"/>
      <c r="FU166" s="212" t="n"/>
      <c r="FV166" s="212" t="n"/>
      <c r="FW166" s="212" t="n"/>
      <c r="FX166" s="212" t="n"/>
      <c r="FY166" s="212" t="n"/>
      <c r="FZ166" s="212" t="n"/>
      <c r="GA166" s="212" t="n"/>
      <c r="GB166" s="212" t="n"/>
      <c r="GC166" s="212" t="n"/>
      <c r="GD166" s="212" t="n"/>
      <c r="GE166" s="212" t="n"/>
      <c r="GF166" s="212" t="n"/>
      <c r="GG166" s="212" t="n"/>
      <c r="GH166" s="212" t="n"/>
      <c r="GI166" s="212" t="n"/>
      <c r="GJ166" s="212" t="n"/>
      <c r="GK166" s="212" t="n"/>
      <c r="GL166" s="212" t="n"/>
      <c r="GM166" s="212" t="n"/>
      <c r="GN166" s="212" t="n"/>
      <c r="GO166" s="212" t="n"/>
      <c r="GP166" s="212" t="n"/>
      <c r="GQ166" s="212" t="n"/>
      <c r="GR166" s="212" t="n"/>
      <c r="GS166" s="212" t="n"/>
      <c r="GT166" s="212" t="n"/>
      <c r="GU166" s="212" t="n"/>
      <c r="GV166" s="212" t="n"/>
      <c r="GW166" s="212" t="n"/>
      <c r="GX166" s="212" t="n"/>
      <c r="GY166" s="212" t="n"/>
      <c r="GZ166" s="212" t="n"/>
      <c r="HA166" s="212" t="n"/>
      <c r="HB166" s="212" t="n"/>
      <c r="HC166" s="212" t="n"/>
      <c r="HD166" s="212" t="n"/>
      <c r="HE166" s="212" t="n"/>
      <c r="HF166" s="212" t="n"/>
      <c r="HG166" s="212" t="n"/>
      <c r="HH166" s="212" t="n"/>
      <c r="HI166" s="212" t="n"/>
      <c r="HJ166" s="212" t="n"/>
      <c r="HK166" s="212" t="n"/>
      <c r="HL166" s="212" t="n"/>
      <c r="HM166" s="212" t="n"/>
      <c r="HN166" s="212" t="n"/>
      <c r="HO166" s="212" t="n"/>
      <c r="HP166" s="212" t="n"/>
      <c r="HQ166" s="212" t="n"/>
      <c r="HR166" s="212" t="n"/>
      <c r="HS166" s="212" t="n"/>
      <c r="HT166" s="212" t="n"/>
      <c r="HU166" s="212" t="n"/>
      <c r="HV166" s="212" t="n"/>
      <c r="HW166" s="212" t="n"/>
      <c r="HX166" s="212" t="n"/>
      <c r="HY166" s="212" t="n"/>
      <c r="HZ166" s="212" t="n"/>
      <c r="IA166" s="212" t="n"/>
      <c r="IB166" s="212" t="n"/>
      <c r="IC166" s="212" t="n"/>
      <c r="ID166" s="212" t="n"/>
      <c r="IE166" s="212" t="n"/>
      <c r="IF166" s="212" t="n"/>
      <c r="IG166" s="212" t="n"/>
      <c r="IH166" s="212" t="n"/>
      <c r="II166" s="212" t="n"/>
      <c r="IJ166" s="212" t="n"/>
      <c r="IK166" s="212" t="n"/>
      <c r="IL166" s="212" t="n"/>
      <c r="IM166" s="212" t="n"/>
      <c r="IN166" s="212" t="n"/>
      <c r="IO166" s="212" t="n"/>
      <c r="IP166" s="212" t="n"/>
      <c r="IQ166" s="212" t="n"/>
      <c r="IR166" s="212" t="n"/>
      <c r="IS166" s="212" t="n"/>
      <c r="IT166" s="212" t="n"/>
      <c r="IU166" s="212" t="n"/>
      <c r="IV166" s="212" t="n"/>
      <c r="IW166" s="212" t="n"/>
      <c r="IX166" s="212" t="n"/>
      <c r="IY166" s="212" t="n"/>
      <c r="IZ166" s="212" t="n"/>
      <c r="JA166" s="212" t="n"/>
      <c r="JB166" s="212" t="n"/>
      <c r="JC166" s="212" t="n"/>
      <c r="JD166" s="212" t="n"/>
      <c r="JE166" s="212" t="n"/>
      <c r="JF166" s="212" t="n"/>
      <c r="JG166" s="212" t="n"/>
      <c r="JH166" s="212" t="n"/>
      <c r="JI166" s="212" t="n"/>
      <c r="JJ166" s="212" t="n"/>
      <c r="JK166" s="212" t="n"/>
      <c r="JL166" s="212" t="n"/>
      <c r="JM166" s="212" t="n"/>
      <c r="JN166" s="212" t="n"/>
      <c r="JO166" s="212" t="n"/>
      <c r="JP166" s="212" t="n"/>
      <c r="JQ166" s="212" t="n"/>
      <c r="JR166" s="212" t="n"/>
      <c r="JS166" s="212" t="n"/>
      <c r="JT166" s="212" t="n"/>
      <c r="JU166" s="212" t="n"/>
      <c r="JV166" s="212" t="n"/>
      <c r="JW166" s="212" t="n"/>
      <c r="JX166" s="212" t="n"/>
      <c r="JY166" s="212" t="n"/>
      <c r="JZ166" s="212" t="n"/>
      <c r="KA166" s="212" t="n"/>
      <c r="KB166" s="212" t="n"/>
      <c r="KC166" s="212" t="n"/>
      <c r="KD166" s="212" t="n"/>
      <c r="KE166" s="212" t="n"/>
      <c r="KF166" s="212" t="n"/>
      <c r="KG166" s="212" t="n"/>
      <c r="KH166" s="212" t="n"/>
      <c r="KI166" s="212" t="n"/>
      <c r="KJ166" s="212" t="n"/>
      <c r="KK166" s="212" t="n"/>
      <c r="KL166" s="212" t="n"/>
      <c r="KM166" s="212" t="n"/>
      <c r="KN166" s="212" t="n"/>
      <c r="KO166" s="212" t="n"/>
      <c r="KP166" s="212" t="n"/>
      <c r="KQ166" s="212" t="n"/>
      <c r="KR166" s="212" t="n"/>
      <c r="KS166" s="212" t="n"/>
      <c r="KT166" s="212" t="n"/>
      <c r="KU166" s="212" t="n"/>
      <c r="KV166" s="212" t="n"/>
      <c r="KW166" s="212" t="n"/>
      <c r="KX166" s="212" t="n"/>
      <c r="KY166" s="212" t="n"/>
      <c r="KZ166" s="212" t="n"/>
      <c r="LA166" s="212" t="n"/>
      <c r="LB166" s="212" t="n"/>
      <c r="LC166" s="212" t="n"/>
      <c r="LD166" s="212" t="n"/>
      <c r="LE166" s="212" t="n"/>
      <c r="LF166" s="212" t="n"/>
      <c r="LG166" s="212" t="n"/>
      <c r="LH166" s="212" t="n"/>
      <c r="LI166" s="212" t="n"/>
      <c r="LJ166" s="212" t="n"/>
      <c r="LK166" s="212" t="n"/>
      <c r="LL166" s="212" t="n"/>
      <c r="LM166" s="212" t="n"/>
      <c r="LN166" s="212" t="n"/>
      <c r="LO166" s="212" t="n"/>
      <c r="LP166" s="212" t="n"/>
      <c r="LQ166" s="212" t="n"/>
      <c r="LR166" s="212" t="n"/>
      <c r="LS166" s="212" t="n"/>
      <c r="LT166" s="212" t="n"/>
      <c r="LU166" s="212" t="n"/>
      <c r="LV166" s="212" t="n"/>
      <c r="LW166" s="212" t="n"/>
      <c r="LX166" s="212" t="n"/>
      <c r="LY166" s="212" t="n"/>
      <c r="LZ166" s="212" t="n"/>
      <c r="MA166" s="212" t="n"/>
      <c r="MB166" s="212" t="n"/>
      <c r="MC166" s="212" t="n"/>
      <c r="MD166" s="212" t="n"/>
      <c r="ME166" s="212" t="n"/>
      <c r="MF166" s="212" t="n"/>
      <c r="MG166" s="212" t="n"/>
      <c r="MH166" s="212" t="n"/>
      <c r="MI166" s="212" t="n"/>
      <c r="MJ166" s="212" t="n"/>
      <c r="MK166" s="212" t="n"/>
      <c r="ML166" s="212" t="n"/>
      <c r="MM166" s="212" t="n"/>
      <c r="MN166" s="212" t="n"/>
      <c r="MO166" s="212" t="n"/>
      <c r="MP166" s="212" t="n"/>
      <c r="MQ166" s="212" t="n"/>
      <c r="MR166" s="212" t="n"/>
      <c r="MS166" s="212" t="n"/>
      <c r="MT166" s="212" t="n"/>
      <c r="MU166" s="212" t="n"/>
      <c r="MV166" s="212" t="n"/>
      <c r="MW166" s="212" t="n"/>
      <c r="MX166" s="212" t="n"/>
      <c r="MY166" s="212" t="n"/>
      <c r="MZ166" s="212" t="n"/>
      <c r="NA166" s="212" t="n"/>
      <c r="NB166" s="212" t="n"/>
      <c r="NC166" s="212" t="n"/>
      <c r="ND166" s="212" t="n"/>
      <c r="NE166" s="212" t="n"/>
      <c r="NF166" s="212" t="n"/>
      <c r="NG166" s="212" t="n"/>
      <c r="NH166" s="212" t="n"/>
      <c r="NI166" s="212" t="n"/>
      <c r="NJ166" s="212" t="n"/>
      <c r="NK166" s="212" t="n"/>
      <c r="NL166" s="212" t="n"/>
      <c r="NM166" s="212" t="n"/>
      <c r="NN166" s="212" t="n"/>
      <c r="NO166" s="212" t="n"/>
      <c r="NP166" s="212" t="n"/>
      <c r="NQ166" s="212" t="n"/>
      <c r="NR166" s="212" t="n"/>
      <c r="NS166" s="212" t="n"/>
      <c r="NT166" s="212" t="n"/>
      <c r="NU166" s="212" t="n"/>
      <c r="NV166" s="212" t="n"/>
      <c r="NW166" s="212" t="n"/>
      <c r="NX166" s="212" t="n"/>
      <c r="NY166" s="212" t="n"/>
      <c r="NZ166" s="212" t="n"/>
      <c r="OA166" s="212" t="n"/>
      <c r="OB166" s="212" t="n"/>
      <c r="OC166" s="212" t="n"/>
      <c r="OD166" s="212" t="n"/>
      <c r="OE166" s="212" t="n"/>
      <c r="OF166" s="212" t="n"/>
      <c r="OG166" s="212" t="n"/>
      <c r="OH166" s="212" t="n"/>
      <c r="OI166" s="212" t="n"/>
      <c r="OJ166" s="212" t="n"/>
      <c r="OK166" s="212" t="n"/>
      <c r="OL166" s="212" t="n"/>
      <c r="OM166" s="212" t="n"/>
      <c r="ON166" s="212" t="n"/>
      <c r="OO166" s="212" t="n"/>
      <c r="OP166" s="212" t="n"/>
      <c r="OQ166" s="212" t="n"/>
      <c r="OR166" s="212" t="n"/>
      <c r="OS166" s="212" t="n"/>
      <c r="OT166" s="212" t="n"/>
      <c r="OU166" s="212" t="n"/>
      <c r="OV166" s="212" t="n"/>
      <c r="OW166" s="212" t="n"/>
      <c r="OX166" s="212" t="n"/>
      <c r="OY166" s="212" t="n"/>
      <c r="OZ166" s="212" t="n"/>
      <c r="PA166" s="212" t="n"/>
      <c r="PB166" s="212" t="n"/>
      <c r="PC166" s="212" t="n"/>
      <c r="PD166" s="212" t="n"/>
      <c r="PE166" s="212" t="n"/>
      <c r="PF166" s="212" t="n"/>
      <c r="PG166" s="212" t="n"/>
      <c r="PH166" s="212" t="n"/>
      <c r="PI166" s="212" t="n"/>
      <c r="PJ166" s="212" t="n"/>
      <c r="PK166" s="212" t="n"/>
      <c r="PL166" s="212" t="n"/>
      <c r="PM166" s="212" t="n"/>
      <c r="PN166" s="212" t="n"/>
      <c r="PO166" s="212" t="n"/>
      <c r="PP166" s="212" t="n"/>
      <c r="PQ166" s="212" t="n"/>
      <c r="PR166" s="212" t="n"/>
      <c r="PS166" s="212" t="n"/>
      <c r="PT166" s="212" t="n"/>
      <c r="PU166" s="212" t="n"/>
      <c r="PV166" s="212" t="n"/>
      <c r="PW166" s="212" t="n"/>
      <c r="PX166" s="212" t="n"/>
      <c r="PY166" s="212" t="n"/>
      <c r="PZ166" s="212" t="n"/>
      <c r="QA166" s="212" t="n"/>
      <c r="QB166" s="212" t="n"/>
      <c r="QC166" s="212" t="n"/>
      <c r="QD166" s="212" t="n"/>
      <c r="QE166" s="212" t="n"/>
      <c r="QF166" s="212" t="n"/>
      <c r="QG166" s="212" t="n"/>
      <c r="QH166" s="212" t="n"/>
      <c r="QI166" s="212" t="n"/>
      <c r="QJ166" s="212" t="n"/>
      <c r="QK166" s="212" t="n"/>
      <c r="QL166" s="212" t="n"/>
      <c r="QM166" s="212" t="n"/>
      <c r="QN166" s="212" t="n"/>
      <c r="QO166" s="212" t="n"/>
      <c r="QP166" s="212" t="n"/>
      <c r="QQ166" s="212" t="n"/>
      <c r="QR166" s="212" t="n"/>
      <c r="QS166" s="212" t="n"/>
      <c r="QT166" s="212" t="n"/>
      <c r="QU166" s="212" t="n"/>
      <c r="QV166" s="212" t="n"/>
      <c r="QW166" s="212" t="n"/>
      <c r="QX166" s="212" t="n"/>
      <c r="QY166" s="212" t="n"/>
      <c r="QZ166" s="212" t="n"/>
      <c r="RA166" s="212" t="n"/>
      <c r="RB166" s="212" t="n"/>
      <c r="RC166" s="212" t="n"/>
      <c r="RD166" s="212" t="n"/>
      <c r="RE166" s="212" t="n"/>
      <c r="RF166" s="212" t="n"/>
      <c r="RG166" s="212" t="n"/>
      <c r="RH166" s="212" t="n"/>
      <c r="RI166" s="212" t="n"/>
      <c r="RJ166" s="212" t="n"/>
      <c r="RK166" s="212" t="n"/>
      <c r="RL166" s="212" t="n"/>
      <c r="RM166" s="212" t="n"/>
      <c r="RN166" s="212" t="n"/>
      <c r="RO166" s="212" t="n"/>
      <c r="RP166" s="212" t="n"/>
      <c r="RQ166" s="212" t="n"/>
      <c r="RR166" s="212" t="n"/>
      <c r="RS166" s="212" t="n"/>
      <c r="RT166" s="212" t="n"/>
      <c r="RU166" s="212" t="n"/>
      <c r="RV166" s="212" t="n"/>
      <c r="RW166" s="212" t="n"/>
      <c r="RX166" s="212" t="n"/>
      <c r="RY166" s="212" t="n"/>
      <c r="RZ166" s="212" t="n"/>
      <c r="SA166" s="212" t="n"/>
      <c r="SB166" s="212" t="n"/>
      <c r="SC166" s="212" t="n"/>
      <c r="SD166" s="212" t="n"/>
      <c r="SE166" s="212" t="n"/>
      <c r="SF166" s="212" t="n"/>
      <c r="SG166" s="212" t="n"/>
      <c r="SH166" s="212" t="n"/>
      <c r="SI166" s="212" t="n"/>
      <c r="SJ166" s="212" t="n"/>
      <c r="SK166" s="212" t="n"/>
      <c r="SL166" s="212" t="n"/>
      <c r="SM166" s="212" t="n"/>
      <c r="SN166" s="212" t="n"/>
      <c r="SO166" s="212" t="n"/>
      <c r="SP166" s="212" t="n"/>
      <c r="SQ166" s="212" t="n"/>
      <c r="SR166" s="212" t="n"/>
      <c r="SS166" s="212" t="n"/>
      <c r="ST166" s="212" t="n"/>
      <c r="SU166" s="212" t="n"/>
      <c r="SV166" s="212" t="n"/>
    </row>
    <row r="167">
      <c r="B167" s="209" t="n"/>
      <c r="C167" s="209" t="n"/>
      <c r="D167" s="209" t="n"/>
      <c r="E167" s="209" t="n"/>
      <c r="F167" s="209">
        <f>IF(TRIM(D167&amp;E167)="","",TRIM(D167)&amp;" "&amp;TRIM(E167))</f>
        <v/>
      </c>
      <c r="G167" s="209" t="n"/>
      <c r="H167" s="209" t="n"/>
      <c r="I167" s="209" t="n"/>
      <c r="J167" s="209" t="n"/>
      <c r="K167" s="209" t="n"/>
      <c r="L167" s="209" t="n"/>
      <c r="M167" s="209" t="n"/>
      <c r="N167" s="209" t="n"/>
      <c r="O167" s="209" t="n"/>
      <c r="P167" s="209" t="n"/>
      <c r="Q167" s="209" t="n"/>
      <c r="R167" s="209" t="n"/>
      <c r="S167" s="212" t="n"/>
      <c r="T167" s="212" t="n"/>
      <c r="U167" s="212" t="n"/>
      <c r="V167" s="212" t="n"/>
      <c r="W167" s="212" t="n"/>
      <c r="X167" s="212" t="n"/>
      <c r="Y167" s="212" t="n"/>
      <c r="Z167" s="212" t="n"/>
      <c r="AA167" s="212" t="n"/>
      <c r="AB167" s="212" t="n"/>
      <c r="AC167" s="212" t="n"/>
      <c r="AD167" s="212" t="n"/>
      <c r="AE167" s="212" t="n"/>
      <c r="AF167" s="212" t="n"/>
      <c r="AG167" s="212" t="n"/>
      <c r="AH167" s="212" t="n"/>
      <c r="AI167" s="212" t="n"/>
      <c r="AJ167" s="212" t="n"/>
      <c r="AK167" s="212" t="n"/>
      <c r="AL167" s="212" t="n"/>
      <c r="AM167" s="212" t="n"/>
      <c r="AN167" s="212" t="n"/>
      <c r="AO167" s="212" t="n"/>
      <c r="AP167" s="212" t="n"/>
      <c r="AQ167" s="212" t="n"/>
      <c r="AR167" s="212" t="n"/>
      <c r="AS167" s="212" t="n"/>
      <c r="AT167" s="212" t="n"/>
      <c r="AU167" s="212" t="n"/>
      <c r="AV167" s="212" t="n"/>
      <c r="AW167" s="212" t="n"/>
      <c r="AX167" s="212" t="n"/>
      <c r="AY167" s="212" t="n"/>
      <c r="AZ167" s="212" t="n"/>
      <c r="BA167" s="212" t="n"/>
      <c r="BB167" s="212" t="n"/>
      <c r="BC167" s="212" t="n"/>
      <c r="BD167" s="212" t="n"/>
      <c r="BE167" s="212" t="n"/>
      <c r="BF167" s="212" t="n"/>
      <c r="BG167" s="212" t="n"/>
      <c r="BH167" s="212" t="n"/>
      <c r="BI167" s="212" t="n"/>
      <c r="BJ167" s="212" t="n"/>
      <c r="BK167" s="212" t="n"/>
      <c r="BL167" s="212" t="n"/>
      <c r="BM167" s="212" t="n"/>
      <c r="BN167" s="212" t="n"/>
      <c r="BO167" s="212" t="n"/>
      <c r="BP167" s="212" t="n"/>
      <c r="BQ167" s="212" t="n"/>
      <c r="BR167" s="212" t="n"/>
      <c r="BS167" s="212" t="n"/>
      <c r="BT167" s="212" t="n"/>
      <c r="BU167" s="212" t="n"/>
      <c r="BV167" s="212" t="n"/>
      <c r="BW167" s="212" t="n"/>
      <c r="BX167" s="212" t="n"/>
      <c r="BY167" s="212" t="n"/>
      <c r="BZ167" s="212" t="n"/>
      <c r="CA167" s="212" t="n"/>
      <c r="CB167" s="212" t="n"/>
      <c r="CC167" s="212" t="n"/>
      <c r="CD167" s="212" t="n"/>
      <c r="CE167" s="212" t="n"/>
      <c r="CF167" s="212" t="n"/>
      <c r="CG167" s="212" t="n"/>
      <c r="CH167" s="212" t="n"/>
      <c r="CI167" s="212" t="n"/>
      <c r="CJ167" s="212" t="n"/>
      <c r="CK167" s="212" t="n"/>
      <c r="CL167" s="212" t="n"/>
      <c r="CM167" s="212" t="n"/>
      <c r="CN167" s="212" t="n"/>
      <c r="CO167" s="212" t="n"/>
      <c r="CP167" s="212" t="n"/>
      <c r="CQ167" s="212" t="n"/>
      <c r="CR167" s="212" t="n"/>
      <c r="CS167" s="212" t="n"/>
      <c r="CT167" s="212" t="n"/>
      <c r="CU167" s="212" t="n"/>
      <c r="CV167" s="212" t="n"/>
      <c r="CW167" s="212" t="n"/>
      <c r="CX167" s="212" t="n"/>
      <c r="CY167" s="212" t="n"/>
      <c r="CZ167" s="212" t="n"/>
      <c r="DA167" s="212" t="n"/>
      <c r="DB167" s="212" t="n"/>
      <c r="DC167" s="212" t="n"/>
      <c r="DD167" s="212" t="n"/>
      <c r="DE167" s="212" t="n"/>
      <c r="DF167" s="212" t="n"/>
      <c r="DG167" s="212" t="n"/>
      <c r="DH167" s="212" t="n"/>
      <c r="DI167" s="212" t="n"/>
      <c r="DJ167" s="212" t="n"/>
      <c r="DK167" s="212" t="n"/>
      <c r="DL167" s="212" t="n"/>
      <c r="DM167" s="212" t="n"/>
      <c r="DN167" s="212" t="n"/>
      <c r="DO167" s="212" t="n"/>
      <c r="DP167" s="212" t="n"/>
      <c r="DQ167" s="212" t="n"/>
      <c r="DR167" s="212" t="n"/>
      <c r="DS167" s="212" t="n"/>
      <c r="DT167" s="212" t="n"/>
      <c r="DU167" s="212" t="n"/>
      <c r="DV167" s="212" t="n"/>
      <c r="DW167" s="212" t="n"/>
      <c r="DX167" s="212" t="n"/>
      <c r="DY167" s="212" t="n"/>
      <c r="DZ167" s="212" t="n"/>
      <c r="EA167" s="212" t="n"/>
      <c r="EB167" s="212" t="n"/>
      <c r="EC167" s="212" t="n"/>
      <c r="ED167" s="212" t="n"/>
      <c r="EE167" s="212" t="n"/>
      <c r="EF167" s="212" t="n"/>
      <c r="EG167" s="212" t="n"/>
      <c r="EH167" s="212" t="n"/>
      <c r="EI167" s="212" t="n"/>
      <c r="EJ167" s="212" t="n"/>
      <c r="EK167" s="212" t="n"/>
      <c r="EL167" s="212" t="n"/>
      <c r="EM167" s="212" t="n"/>
      <c r="EN167" s="212" t="n"/>
      <c r="EO167" s="212" t="n"/>
      <c r="EP167" s="212" t="n"/>
      <c r="EQ167" s="212" t="n"/>
      <c r="ER167" s="212" t="n"/>
      <c r="ES167" s="212" t="n"/>
      <c r="ET167" s="212" t="n"/>
      <c r="EU167" s="212" t="n"/>
      <c r="EV167" s="212" t="n"/>
      <c r="EW167" s="212" t="n"/>
      <c r="EX167" s="212" t="n"/>
      <c r="EY167" s="212" t="n"/>
      <c r="EZ167" s="212" t="n"/>
      <c r="FA167" s="212" t="n"/>
      <c r="FB167" s="212" t="n"/>
      <c r="FC167" s="212" t="n"/>
      <c r="FD167" s="212" t="n"/>
      <c r="FE167" s="212" t="n"/>
      <c r="FF167" s="212" t="n"/>
      <c r="FG167" s="212" t="n"/>
      <c r="FH167" s="212" t="n"/>
      <c r="FI167" s="212" t="n"/>
      <c r="FJ167" s="212" t="n"/>
      <c r="FK167" s="212" t="n"/>
      <c r="FL167" s="212" t="n"/>
      <c r="FM167" s="212" t="n"/>
      <c r="FN167" s="212" t="n"/>
      <c r="FO167" s="212" t="n"/>
      <c r="FP167" s="212" t="n"/>
      <c r="FQ167" s="212" t="n"/>
      <c r="FR167" s="212" t="n"/>
      <c r="FS167" s="212" t="n"/>
      <c r="FT167" s="212" t="n"/>
      <c r="FU167" s="212" t="n"/>
      <c r="FV167" s="212" t="n"/>
      <c r="FW167" s="212" t="n"/>
      <c r="FX167" s="212" t="n"/>
      <c r="FY167" s="212" t="n"/>
      <c r="FZ167" s="212" t="n"/>
      <c r="GA167" s="212" t="n"/>
      <c r="GB167" s="212" t="n"/>
      <c r="GC167" s="212" t="n"/>
      <c r="GD167" s="212" t="n"/>
      <c r="GE167" s="212" t="n"/>
      <c r="GF167" s="212" t="n"/>
      <c r="GG167" s="212" t="n"/>
      <c r="GH167" s="212" t="n"/>
      <c r="GI167" s="212" t="n"/>
      <c r="GJ167" s="212" t="n"/>
      <c r="GK167" s="212" t="n"/>
      <c r="GL167" s="212" t="n"/>
      <c r="GM167" s="212" t="n"/>
      <c r="GN167" s="212" t="n"/>
      <c r="GO167" s="212" t="n"/>
      <c r="GP167" s="212" t="n"/>
      <c r="GQ167" s="212" t="n"/>
      <c r="GR167" s="212" t="n"/>
      <c r="GS167" s="212" t="n"/>
      <c r="GT167" s="212" t="n"/>
      <c r="GU167" s="212" t="n"/>
      <c r="GV167" s="212" t="n"/>
      <c r="GW167" s="212" t="n"/>
      <c r="GX167" s="212" t="n"/>
      <c r="GY167" s="212" t="n"/>
      <c r="GZ167" s="212" t="n"/>
      <c r="HA167" s="212" t="n"/>
      <c r="HB167" s="212" t="n"/>
      <c r="HC167" s="212" t="n"/>
      <c r="HD167" s="212" t="n"/>
      <c r="HE167" s="212" t="n"/>
      <c r="HF167" s="212" t="n"/>
      <c r="HG167" s="212" t="n"/>
      <c r="HH167" s="212" t="n"/>
      <c r="HI167" s="212" t="n"/>
      <c r="HJ167" s="212" t="n"/>
      <c r="HK167" s="212" t="n"/>
      <c r="HL167" s="212" t="n"/>
      <c r="HM167" s="212" t="n"/>
      <c r="HN167" s="212" t="n"/>
      <c r="HO167" s="212" t="n"/>
      <c r="HP167" s="212" t="n"/>
      <c r="HQ167" s="212" t="n"/>
      <c r="HR167" s="212" t="n"/>
      <c r="HS167" s="212" t="n"/>
      <c r="HT167" s="212" t="n"/>
      <c r="HU167" s="212" t="n"/>
      <c r="HV167" s="212" t="n"/>
      <c r="HW167" s="212" t="n"/>
      <c r="HX167" s="212" t="n"/>
      <c r="HY167" s="212" t="n"/>
      <c r="HZ167" s="212" t="n"/>
      <c r="IA167" s="212" t="n"/>
      <c r="IB167" s="212" t="n"/>
      <c r="IC167" s="212" t="n"/>
      <c r="ID167" s="212" t="n"/>
      <c r="IE167" s="212" t="n"/>
      <c r="IF167" s="212" t="n"/>
      <c r="IG167" s="212" t="n"/>
      <c r="IH167" s="212" t="n"/>
      <c r="II167" s="212" t="n"/>
      <c r="IJ167" s="212" t="n"/>
      <c r="IK167" s="212" t="n"/>
      <c r="IL167" s="212" t="n"/>
      <c r="IM167" s="212" t="n"/>
      <c r="IN167" s="212" t="n"/>
      <c r="IO167" s="212" t="n"/>
      <c r="IP167" s="212" t="n"/>
      <c r="IQ167" s="212" t="n"/>
      <c r="IR167" s="212" t="n"/>
      <c r="IS167" s="212" t="n"/>
      <c r="IT167" s="212" t="n"/>
      <c r="IU167" s="212" t="n"/>
      <c r="IV167" s="212" t="n"/>
      <c r="IW167" s="212" t="n"/>
      <c r="IX167" s="212" t="n"/>
      <c r="IY167" s="212" t="n"/>
      <c r="IZ167" s="212" t="n"/>
      <c r="JA167" s="212" t="n"/>
      <c r="JB167" s="212" t="n"/>
      <c r="JC167" s="212" t="n"/>
      <c r="JD167" s="212" t="n"/>
      <c r="JE167" s="212" t="n"/>
      <c r="JF167" s="212" t="n"/>
      <c r="JG167" s="212" t="n"/>
      <c r="JH167" s="212" t="n"/>
      <c r="JI167" s="212" t="n"/>
      <c r="JJ167" s="212" t="n"/>
      <c r="JK167" s="212" t="n"/>
      <c r="JL167" s="212" t="n"/>
      <c r="JM167" s="212" t="n"/>
      <c r="JN167" s="212" t="n"/>
      <c r="JO167" s="212" t="n"/>
      <c r="JP167" s="212" t="n"/>
      <c r="JQ167" s="212" t="n"/>
      <c r="JR167" s="212" t="n"/>
      <c r="JS167" s="212" t="n"/>
      <c r="JT167" s="212" t="n"/>
      <c r="JU167" s="212" t="n"/>
      <c r="JV167" s="212" t="n"/>
      <c r="JW167" s="212" t="n"/>
      <c r="JX167" s="212" t="n"/>
      <c r="JY167" s="212" t="n"/>
      <c r="JZ167" s="212" t="n"/>
      <c r="KA167" s="212" t="n"/>
      <c r="KB167" s="212" t="n"/>
      <c r="KC167" s="212" t="n"/>
      <c r="KD167" s="212" t="n"/>
      <c r="KE167" s="212" t="n"/>
      <c r="KF167" s="212" t="n"/>
      <c r="KG167" s="212" t="n"/>
      <c r="KH167" s="212" t="n"/>
      <c r="KI167" s="212" t="n"/>
      <c r="KJ167" s="212" t="n"/>
      <c r="KK167" s="212" t="n"/>
      <c r="KL167" s="212" t="n"/>
      <c r="KM167" s="212" t="n"/>
      <c r="KN167" s="212" t="n"/>
      <c r="KO167" s="212" t="n"/>
      <c r="KP167" s="212" t="n"/>
      <c r="KQ167" s="212" t="n"/>
      <c r="KR167" s="212" t="n"/>
      <c r="KS167" s="212" t="n"/>
      <c r="KT167" s="212" t="n"/>
      <c r="KU167" s="212" t="n"/>
      <c r="KV167" s="212" t="n"/>
      <c r="KW167" s="212" t="n"/>
      <c r="KX167" s="212" t="n"/>
      <c r="KY167" s="212" t="n"/>
      <c r="KZ167" s="212" t="n"/>
      <c r="LA167" s="212" t="n"/>
      <c r="LB167" s="212" t="n"/>
      <c r="LC167" s="212" t="n"/>
      <c r="LD167" s="212" t="n"/>
      <c r="LE167" s="212" t="n"/>
      <c r="LF167" s="212" t="n"/>
      <c r="LG167" s="212" t="n"/>
      <c r="LH167" s="212" t="n"/>
      <c r="LI167" s="212" t="n"/>
      <c r="LJ167" s="212" t="n"/>
      <c r="LK167" s="212" t="n"/>
      <c r="LL167" s="212" t="n"/>
      <c r="LM167" s="212" t="n"/>
      <c r="LN167" s="212" t="n"/>
      <c r="LO167" s="212" t="n"/>
      <c r="LP167" s="212" t="n"/>
      <c r="LQ167" s="212" t="n"/>
      <c r="LR167" s="212" t="n"/>
      <c r="LS167" s="212" t="n"/>
      <c r="LT167" s="212" t="n"/>
      <c r="LU167" s="212" t="n"/>
      <c r="LV167" s="212" t="n"/>
      <c r="LW167" s="212" t="n"/>
      <c r="LX167" s="212" t="n"/>
      <c r="LY167" s="212" t="n"/>
      <c r="LZ167" s="212" t="n"/>
      <c r="MA167" s="212" t="n"/>
      <c r="MB167" s="212" t="n"/>
      <c r="MC167" s="212" t="n"/>
      <c r="MD167" s="212" t="n"/>
      <c r="ME167" s="212" t="n"/>
      <c r="MF167" s="212" t="n"/>
      <c r="MG167" s="212" t="n"/>
      <c r="MH167" s="212" t="n"/>
      <c r="MI167" s="212" t="n"/>
      <c r="MJ167" s="212" t="n"/>
      <c r="MK167" s="212" t="n"/>
      <c r="ML167" s="212" t="n"/>
      <c r="MM167" s="212" t="n"/>
      <c r="MN167" s="212" t="n"/>
      <c r="MO167" s="212" t="n"/>
      <c r="MP167" s="212" t="n"/>
      <c r="MQ167" s="212" t="n"/>
      <c r="MR167" s="212" t="n"/>
      <c r="MS167" s="212" t="n"/>
      <c r="MT167" s="212" t="n"/>
      <c r="MU167" s="212" t="n"/>
      <c r="MV167" s="212" t="n"/>
      <c r="MW167" s="212" t="n"/>
      <c r="MX167" s="212" t="n"/>
      <c r="MY167" s="212" t="n"/>
      <c r="MZ167" s="212" t="n"/>
      <c r="NA167" s="212" t="n"/>
      <c r="NB167" s="212" t="n"/>
      <c r="NC167" s="212" t="n"/>
      <c r="ND167" s="212" t="n"/>
      <c r="NE167" s="212" t="n"/>
      <c r="NF167" s="212" t="n"/>
      <c r="NG167" s="212" t="n"/>
      <c r="NH167" s="212" t="n"/>
      <c r="NI167" s="212" t="n"/>
      <c r="NJ167" s="212" t="n"/>
      <c r="NK167" s="212" t="n"/>
      <c r="NL167" s="212" t="n"/>
      <c r="NM167" s="212" t="n"/>
      <c r="NN167" s="212" t="n"/>
      <c r="NO167" s="212" t="n"/>
      <c r="NP167" s="212" t="n"/>
      <c r="NQ167" s="212" t="n"/>
      <c r="NR167" s="212" t="n"/>
      <c r="NS167" s="212" t="n"/>
      <c r="NT167" s="212" t="n"/>
      <c r="NU167" s="212" t="n"/>
      <c r="NV167" s="212" t="n"/>
      <c r="NW167" s="212" t="n"/>
      <c r="NX167" s="212" t="n"/>
      <c r="NY167" s="212" t="n"/>
      <c r="NZ167" s="212" t="n"/>
      <c r="OA167" s="212" t="n"/>
      <c r="OB167" s="212" t="n"/>
      <c r="OC167" s="212" t="n"/>
      <c r="OD167" s="212" t="n"/>
      <c r="OE167" s="212" t="n"/>
      <c r="OF167" s="212" t="n"/>
      <c r="OG167" s="212" t="n"/>
      <c r="OH167" s="212" t="n"/>
      <c r="OI167" s="212" t="n"/>
      <c r="OJ167" s="212" t="n"/>
      <c r="OK167" s="212" t="n"/>
      <c r="OL167" s="212" t="n"/>
      <c r="OM167" s="212" t="n"/>
      <c r="ON167" s="212" t="n"/>
      <c r="OO167" s="212" t="n"/>
      <c r="OP167" s="212" t="n"/>
      <c r="OQ167" s="212" t="n"/>
      <c r="OR167" s="212" t="n"/>
      <c r="OS167" s="212" t="n"/>
      <c r="OT167" s="212" t="n"/>
      <c r="OU167" s="212" t="n"/>
      <c r="OV167" s="212" t="n"/>
      <c r="OW167" s="212" t="n"/>
      <c r="OX167" s="212" t="n"/>
      <c r="OY167" s="212" t="n"/>
      <c r="OZ167" s="212" t="n"/>
      <c r="PA167" s="212" t="n"/>
      <c r="PB167" s="212" t="n"/>
      <c r="PC167" s="212" t="n"/>
      <c r="PD167" s="212" t="n"/>
      <c r="PE167" s="212" t="n"/>
      <c r="PF167" s="212" t="n"/>
      <c r="PG167" s="212" t="n"/>
      <c r="PH167" s="212" t="n"/>
      <c r="PI167" s="212" t="n"/>
      <c r="PJ167" s="212" t="n"/>
      <c r="PK167" s="212" t="n"/>
      <c r="PL167" s="212" t="n"/>
      <c r="PM167" s="212" t="n"/>
      <c r="PN167" s="212" t="n"/>
      <c r="PO167" s="212" t="n"/>
      <c r="PP167" s="212" t="n"/>
      <c r="PQ167" s="212" t="n"/>
      <c r="PR167" s="212" t="n"/>
      <c r="PS167" s="212" t="n"/>
      <c r="PT167" s="212" t="n"/>
      <c r="PU167" s="212" t="n"/>
      <c r="PV167" s="212" t="n"/>
      <c r="PW167" s="212" t="n"/>
      <c r="PX167" s="212" t="n"/>
      <c r="PY167" s="212" t="n"/>
      <c r="PZ167" s="212" t="n"/>
      <c r="QA167" s="212" t="n"/>
      <c r="QB167" s="212" t="n"/>
      <c r="QC167" s="212" t="n"/>
      <c r="QD167" s="212" t="n"/>
      <c r="QE167" s="212" t="n"/>
      <c r="QF167" s="212" t="n"/>
      <c r="QG167" s="212" t="n"/>
      <c r="QH167" s="212" t="n"/>
      <c r="QI167" s="212" t="n"/>
      <c r="QJ167" s="212" t="n"/>
      <c r="QK167" s="212" t="n"/>
      <c r="QL167" s="212" t="n"/>
      <c r="QM167" s="212" t="n"/>
      <c r="QN167" s="212" t="n"/>
      <c r="QO167" s="212" t="n"/>
      <c r="QP167" s="212" t="n"/>
      <c r="QQ167" s="212" t="n"/>
      <c r="QR167" s="212" t="n"/>
      <c r="QS167" s="212" t="n"/>
      <c r="QT167" s="212" t="n"/>
      <c r="QU167" s="212" t="n"/>
      <c r="QV167" s="212" t="n"/>
      <c r="QW167" s="212" t="n"/>
      <c r="QX167" s="212" t="n"/>
      <c r="QY167" s="212" t="n"/>
      <c r="QZ167" s="212" t="n"/>
      <c r="RA167" s="212" t="n"/>
      <c r="RB167" s="212" t="n"/>
      <c r="RC167" s="212" t="n"/>
      <c r="RD167" s="212" t="n"/>
      <c r="RE167" s="212" t="n"/>
      <c r="RF167" s="212" t="n"/>
      <c r="RG167" s="212" t="n"/>
      <c r="RH167" s="212" t="n"/>
      <c r="RI167" s="212" t="n"/>
      <c r="RJ167" s="212" t="n"/>
      <c r="RK167" s="212" t="n"/>
      <c r="RL167" s="212" t="n"/>
      <c r="RM167" s="212" t="n"/>
      <c r="RN167" s="212" t="n"/>
      <c r="RO167" s="212" t="n"/>
      <c r="RP167" s="212" t="n"/>
      <c r="RQ167" s="212" t="n"/>
      <c r="RR167" s="212" t="n"/>
      <c r="RS167" s="212" t="n"/>
      <c r="RT167" s="212" t="n"/>
      <c r="RU167" s="212" t="n"/>
      <c r="RV167" s="212" t="n"/>
      <c r="RW167" s="212" t="n"/>
      <c r="RX167" s="212" t="n"/>
      <c r="RY167" s="212" t="n"/>
      <c r="RZ167" s="212" t="n"/>
      <c r="SA167" s="212" t="n"/>
      <c r="SB167" s="212" t="n"/>
      <c r="SC167" s="212" t="n"/>
      <c r="SD167" s="212" t="n"/>
      <c r="SE167" s="212" t="n"/>
      <c r="SF167" s="212" t="n"/>
      <c r="SG167" s="212" t="n"/>
      <c r="SH167" s="212" t="n"/>
      <c r="SI167" s="212" t="n"/>
      <c r="SJ167" s="212" t="n"/>
      <c r="SK167" s="212" t="n"/>
      <c r="SL167" s="212" t="n"/>
      <c r="SM167" s="212" t="n"/>
      <c r="SN167" s="212" t="n"/>
      <c r="SO167" s="212" t="n"/>
      <c r="SP167" s="212" t="n"/>
      <c r="SQ167" s="212" t="n"/>
      <c r="SR167" s="212" t="n"/>
      <c r="SS167" s="212" t="n"/>
      <c r="ST167" s="212" t="n"/>
      <c r="SU167" s="212" t="n"/>
      <c r="SV167" s="212" t="n"/>
    </row>
    <row r="168">
      <c r="B168" s="209" t="n"/>
      <c r="C168" s="209" t="n"/>
      <c r="D168" s="209" t="n"/>
      <c r="E168" s="209" t="n"/>
      <c r="F168" s="209">
        <f>IF(TRIM(D168&amp;E168)="","",TRIM(D168)&amp;" "&amp;TRIM(E168))</f>
        <v/>
      </c>
      <c r="G168" s="209" t="n"/>
      <c r="H168" s="209" t="n"/>
      <c r="I168" s="209" t="n"/>
      <c r="J168" s="209" t="n"/>
      <c r="K168" s="209" t="n"/>
      <c r="L168" s="209" t="n"/>
      <c r="M168" s="209" t="n"/>
      <c r="N168" s="209" t="n"/>
      <c r="O168" s="209" t="n"/>
      <c r="P168" s="209" t="n"/>
      <c r="Q168" s="209" t="n"/>
      <c r="R168" s="209" t="n"/>
      <c r="S168" s="212" t="n"/>
      <c r="T168" s="212" t="n"/>
      <c r="U168" s="212" t="n"/>
      <c r="V168" s="212" t="n"/>
      <c r="W168" s="212" t="n"/>
      <c r="X168" s="212" t="n"/>
      <c r="Y168" s="212" t="n"/>
      <c r="Z168" s="212" t="n"/>
      <c r="AA168" s="212" t="n"/>
      <c r="AB168" s="212" t="n"/>
      <c r="AC168" s="212" t="n"/>
      <c r="AD168" s="212" t="n"/>
      <c r="AE168" s="212" t="n"/>
      <c r="AF168" s="212" t="n"/>
      <c r="AG168" s="212" t="n"/>
      <c r="AH168" s="212" t="n"/>
      <c r="AI168" s="212" t="n"/>
      <c r="AJ168" s="212" t="n"/>
      <c r="AK168" s="212" t="n"/>
      <c r="AL168" s="212" t="n"/>
      <c r="AM168" s="212" t="n"/>
      <c r="AN168" s="212" t="n"/>
      <c r="AO168" s="212" t="n"/>
      <c r="AP168" s="212" t="n"/>
      <c r="AQ168" s="212" t="n"/>
      <c r="AR168" s="212" t="n"/>
      <c r="AS168" s="212" t="n"/>
      <c r="AT168" s="212" t="n"/>
      <c r="AU168" s="212" t="n"/>
      <c r="AV168" s="212" t="n"/>
      <c r="AW168" s="212" t="n"/>
      <c r="AX168" s="212" t="n"/>
      <c r="AY168" s="212" t="n"/>
      <c r="AZ168" s="212" t="n"/>
      <c r="BA168" s="212" t="n"/>
      <c r="BB168" s="212" t="n"/>
      <c r="BC168" s="212" t="n"/>
      <c r="BD168" s="212" t="n"/>
      <c r="BE168" s="212" t="n"/>
      <c r="BF168" s="212" t="n"/>
      <c r="BG168" s="212" t="n"/>
      <c r="BH168" s="212" t="n"/>
      <c r="BI168" s="212" t="n"/>
      <c r="BJ168" s="212" t="n"/>
      <c r="BK168" s="212" t="n"/>
      <c r="BL168" s="212" t="n"/>
      <c r="BM168" s="212" t="n"/>
      <c r="BN168" s="212" t="n"/>
      <c r="BO168" s="212" t="n"/>
      <c r="BP168" s="212" t="n"/>
      <c r="BQ168" s="212" t="n"/>
      <c r="BR168" s="212" t="n"/>
      <c r="BS168" s="212" t="n"/>
      <c r="BT168" s="212" t="n"/>
      <c r="BU168" s="212" t="n"/>
      <c r="BV168" s="212" t="n"/>
      <c r="BW168" s="212" t="n"/>
      <c r="BX168" s="212" t="n"/>
      <c r="BY168" s="212" t="n"/>
      <c r="BZ168" s="212" t="n"/>
      <c r="CA168" s="212" t="n"/>
      <c r="CB168" s="212" t="n"/>
      <c r="CC168" s="212" t="n"/>
      <c r="CD168" s="212" t="n"/>
      <c r="CE168" s="212" t="n"/>
      <c r="CF168" s="212" t="n"/>
      <c r="CG168" s="212" t="n"/>
      <c r="CH168" s="212" t="n"/>
      <c r="CI168" s="212" t="n"/>
      <c r="CJ168" s="212" t="n"/>
      <c r="CK168" s="212" t="n"/>
      <c r="CL168" s="212" t="n"/>
      <c r="CM168" s="212" t="n"/>
      <c r="CN168" s="212" t="n"/>
      <c r="CO168" s="212" t="n"/>
      <c r="CP168" s="212" t="n"/>
      <c r="CQ168" s="212" t="n"/>
      <c r="CR168" s="212" t="n"/>
      <c r="CS168" s="212" t="n"/>
      <c r="CT168" s="212" t="n"/>
      <c r="CU168" s="212" t="n"/>
      <c r="CV168" s="212" t="n"/>
      <c r="CW168" s="212" t="n"/>
      <c r="CX168" s="212" t="n"/>
      <c r="CY168" s="212" t="n"/>
      <c r="CZ168" s="212" t="n"/>
      <c r="DA168" s="212" t="n"/>
      <c r="DB168" s="212" t="n"/>
      <c r="DC168" s="212" t="n"/>
      <c r="DD168" s="212" t="n"/>
      <c r="DE168" s="212" t="n"/>
      <c r="DF168" s="212" t="n"/>
      <c r="DG168" s="212" t="n"/>
      <c r="DH168" s="212" t="n"/>
      <c r="DI168" s="212" t="n"/>
      <c r="DJ168" s="212" t="n"/>
      <c r="DK168" s="212" t="n"/>
      <c r="DL168" s="212" t="n"/>
      <c r="DM168" s="212" t="n"/>
      <c r="DN168" s="212" t="n"/>
      <c r="DO168" s="212" t="n"/>
      <c r="DP168" s="212" t="n"/>
      <c r="DQ168" s="212" t="n"/>
      <c r="DR168" s="212" t="n"/>
      <c r="DS168" s="212" t="n"/>
      <c r="DT168" s="212" t="n"/>
      <c r="DU168" s="212" t="n"/>
      <c r="DV168" s="212" t="n"/>
      <c r="DW168" s="212" t="n"/>
      <c r="DX168" s="212" t="n"/>
      <c r="DY168" s="212" t="n"/>
      <c r="DZ168" s="212" t="n"/>
      <c r="EA168" s="212" t="n"/>
      <c r="EB168" s="212" t="n"/>
      <c r="EC168" s="212" t="n"/>
      <c r="ED168" s="212" t="n"/>
      <c r="EE168" s="212" t="n"/>
      <c r="EF168" s="212" t="n"/>
      <c r="EG168" s="212" t="n"/>
      <c r="EH168" s="212" t="n"/>
      <c r="EI168" s="212" t="n"/>
      <c r="EJ168" s="212" t="n"/>
      <c r="EK168" s="212" t="n"/>
      <c r="EL168" s="212" t="n"/>
      <c r="EM168" s="212" t="n"/>
      <c r="EN168" s="212" t="n"/>
      <c r="EO168" s="212" t="n"/>
      <c r="EP168" s="212" t="n"/>
      <c r="EQ168" s="212" t="n"/>
      <c r="ER168" s="212" t="n"/>
      <c r="ES168" s="212" t="n"/>
      <c r="ET168" s="212" t="n"/>
      <c r="EU168" s="212" t="n"/>
      <c r="EV168" s="212" t="n"/>
      <c r="EW168" s="212" t="n"/>
      <c r="EX168" s="212" t="n"/>
      <c r="EY168" s="212" t="n"/>
      <c r="EZ168" s="212" t="n"/>
      <c r="FA168" s="212" t="n"/>
      <c r="FB168" s="212" t="n"/>
      <c r="FC168" s="212" t="n"/>
      <c r="FD168" s="212" t="n"/>
      <c r="FE168" s="212" t="n"/>
      <c r="FF168" s="212" t="n"/>
      <c r="FG168" s="212" t="n"/>
      <c r="FH168" s="212" t="n"/>
      <c r="FI168" s="212" t="n"/>
      <c r="FJ168" s="212" t="n"/>
      <c r="FK168" s="212" t="n"/>
      <c r="FL168" s="212" t="n"/>
      <c r="FM168" s="212" t="n"/>
      <c r="FN168" s="212" t="n"/>
      <c r="FO168" s="212" t="n"/>
      <c r="FP168" s="212" t="n"/>
      <c r="FQ168" s="212" t="n"/>
      <c r="FR168" s="212" t="n"/>
      <c r="FS168" s="212" t="n"/>
      <c r="FT168" s="212" t="n"/>
      <c r="FU168" s="212" t="n"/>
      <c r="FV168" s="212" t="n"/>
      <c r="FW168" s="212" t="n"/>
      <c r="FX168" s="212" t="n"/>
      <c r="FY168" s="212" t="n"/>
      <c r="FZ168" s="212" t="n"/>
      <c r="GA168" s="212" t="n"/>
      <c r="GB168" s="212" t="n"/>
      <c r="GC168" s="212" t="n"/>
      <c r="GD168" s="212" t="n"/>
      <c r="GE168" s="212" t="n"/>
      <c r="GF168" s="212" t="n"/>
      <c r="GG168" s="212" t="n"/>
      <c r="GH168" s="212" t="n"/>
      <c r="GI168" s="212" t="n"/>
      <c r="GJ168" s="212" t="n"/>
      <c r="GK168" s="212" t="n"/>
      <c r="GL168" s="212" t="n"/>
      <c r="GM168" s="212" t="n"/>
      <c r="GN168" s="212" t="n"/>
      <c r="GO168" s="212" t="n"/>
      <c r="GP168" s="212" t="n"/>
      <c r="GQ168" s="212" t="n"/>
      <c r="GR168" s="212" t="n"/>
      <c r="GS168" s="212" t="n"/>
      <c r="GT168" s="212" t="n"/>
      <c r="GU168" s="212" t="n"/>
      <c r="GV168" s="212" t="n"/>
      <c r="GW168" s="212" t="n"/>
      <c r="GX168" s="212" t="n"/>
      <c r="GY168" s="212" t="n"/>
      <c r="GZ168" s="212" t="n"/>
      <c r="HA168" s="212" t="n"/>
      <c r="HB168" s="212" t="n"/>
      <c r="HC168" s="212" t="n"/>
      <c r="HD168" s="212" t="n"/>
      <c r="HE168" s="212" t="n"/>
      <c r="HF168" s="212" t="n"/>
      <c r="HG168" s="212" t="n"/>
      <c r="HH168" s="212" t="n"/>
      <c r="HI168" s="212" t="n"/>
      <c r="HJ168" s="212" t="n"/>
      <c r="HK168" s="212" t="n"/>
      <c r="HL168" s="212" t="n"/>
      <c r="HM168" s="212" t="n"/>
      <c r="HN168" s="212" t="n"/>
      <c r="HO168" s="212" t="n"/>
      <c r="HP168" s="212" t="n"/>
      <c r="HQ168" s="212" t="n"/>
      <c r="HR168" s="212" t="n"/>
      <c r="HS168" s="212" t="n"/>
      <c r="HT168" s="212" t="n"/>
      <c r="HU168" s="212" t="n"/>
      <c r="HV168" s="212" t="n"/>
      <c r="HW168" s="212" t="n"/>
      <c r="HX168" s="212" t="n"/>
      <c r="HY168" s="212" t="n"/>
      <c r="HZ168" s="212" t="n"/>
      <c r="IA168" s="212" t="n"/>
      <c r="IB168" s="212" t="n"/>
      <c r="IC168" s="212" t="n"/>
      <c r="ID168" s="212" t="n"/>
      <c r="IE168" s="212" t="n"/>
      <c r="IF168" s="212" t="n"/>
      <c r="IG168" s="212" t="n"/>
      <c r="IH168" s="212" t="n"/>
      <c r="II168" s="212" t="n"/>
      <c r="IJ168" s="212" t="n"/>
      <c r="IK168" s="212" t="n"/>
      <c r="IL168" s="212" t="n"/>
      <c r="IM168" s="212" t="n"/>
      <c r="IN168" s="212" t="n"/>
      <c r="IO168" s="212" t="n"/>
      <c r="IP168" s="212" t="n"/>
      <c r="IQ168" s="212" t="n"/>
      <c r="IR168" s="212" t="n"/>
      <c r="IS168" s="212" t="n"/>
      <c r="IT168" s="212" t="n"/>
      <c r="IU168" s="212" t="n"/>
      <c r="IV168" s="212" t="n"/>
      <c r="IW168" s="212" t="n"/>
      <c r="IX168" s="212" t="n"/>
      <c r="IY168" s="212" t="n"/>
      <c r="IZ168" s="212" t="n"/>
      <c r="JA168" s="212" t="n"/>
      <c r="JB168" s="212" t="n"/>
      <c r="JC168" s="212" t="n"/>
      <c r="JD168" s="212" t="n"/>
      <c r="JE168" s="212" t="n"/>
      <c r="JF168" s="212" t="n"/>
      <c r="JG168" s="212" t="n"/>
      <c r="JH168" s="212" t="n"/>
      <c r="JI168" s="212" t="n"/>
      <c r="JJ168" s="212" t="n"/>
      <c r="JK168" s="212" t="n"/>
      <c r="JL168" s="212" t="n"/>
      <c r="JM168" s="212" t="n"/>
      <c r="JN168" s="212" t="n"/>
      <c r="JO168" s="212" t="n"/>
      <c r="JP168" s="212" t="n"/>
      <c r="JQ168" s="212" t="n"/>
      <c r="JR168" s="212" t="n"/>
      <c r="JS168" s="212" t="n"/>
      <c r="JT168" s="212" t="n"/>
      <c r="JU168" s="212" t="n"/>
      <c r="JV168" s="212" t="n"/>
      <c r="JW168" s="212" t="n"/>
      <c r="JX168" s="212" t="n"/>
      <c r="JY168" s="212" t="n"/>
      <c r="JZ168" s="212" t="n"/>
      <c r="KA168" s="212" t="n"/>
      <c r="KB168" s="212" t="n"/>
      <c r="KC168" s="212" t="n"/>
      <c r="KD168" s="212" t="n"/>
      <c r="KE168" s="212" t="n"/>
      <c r="KF168" s="212" t="n"/>
      <c r="KG168" s="212" t="n"/>
      <c r="KH168" s="212" t="n"/>
      <c r="KI168" s="212" t="n"/>
      <c r="KJ168" s="212" t="n"/>
      <c r="KK168" s="212" t="n"/>
      <c r="KL168" s="212" t="n"/>
      <c r="KM168" s="212" t="n"/>
      <c r="KN168" s="212" t="n"/>
      <c r="KO168" s="212" t="n"/>
      <c r="KP168" s="212" t="n"/>
      <c r="KQ168" s="212" t="n"/>
      <c r="KR168" s="212" t="n"/>
      <c r="KS168" s="212" t="n"/>
      <c r="KT168" s="212" t="n"/>
      <c r="KU168" s="212" t="n"/>
      <c r="KV168" s="212" t="n"/>
      <c r="KW168" s="212" t="n"/>
      <c r="KX168" s="212" t="n"/>
      <c r="KY168" s="212" t="n"/>
      <c r="KZ168" s="212" t="n"/>
      <c r="LA168" s="212" t="n"/>
      <c r="LB168" s="212" t="n"/>
      <c r="LC168" s="212" t="n"/>
      <c r="LD168" s="212" t="n"/>
      <c r="LE168" s="212" t="n"/>
      <c r="LF168" s="212" t="n"/>
      <c r="LG168" s="212" t="n"/>
      <c r="LH168" s="212" t="n"/>
      <c r="LI168" s="212" t="n"/>
      <c r="LJ168" s="212" t="n"/>
      <c r="LK168" s="212" t="n"/>
      <c r="LL168" s="212" t="n"/>
      <c r="LM168" s="212" t="n"/>
      <c r="LN168" s="212" t="n"/>
      <c r="LO168" s="212" t="n"/>
      <c r="LP168" s="212" t="n"/>
      <c r="LQ168" s="212" t="n"/>
      <c r="LR168" s="212" t="n"/>
      <c r="LS168" s="212" t="n"/>
      <c r="LT168" s="212" t="n"/>
      <c r="LU168" s="212" t="n"/>
      <c r="LV168" s="212" t="n"/>
      <c r="LW168" s="212" t="n"/>
      <c r="LX168" s="212" t="n"/>
      <c r="LY168" s="212" t="n"/>
      <c r="LZ168" s="212" t="n"/>
      <c r="MA168" s="212" t="n"/>
      <c r="MB168" s="212" t="n"/>
      <c r="MC168" s="212" t="n"/>
      <c r="MD168" s="212" t="n"/>
      <c r="ME168" s="212" t="n"/>
      <c r="MF168" s="212" t="n"/>
      <c r="MG168" s="212" t="n"/>
      <c r="MH168" s="212" t="n"/>
      <c r="MI168" s="212" t="n"/>
      <c r="MJ168" s="212" t="n"/>
      <c r="MK168" s="212" t="n"/>
      <c r="ML168" s="212" t="n"/>
      <c r="MM168" s="212" t="n"/>
      <c r="MN168" s="212" t="n"/>
      <c r="MO168" s="212" t="n"/>
      <c r="MP168" s="212" t="n"/>
      <c r="MQ168" s="212" t="n"/>
      <c r="MR168" s="212" t="n"/>
      <c r="MS168" s="212" t="n"/>
      <c r="MT168" s="212" t="n"/>
      <c r="MU168" s="212" t="n"/>
      <c r="MV168" s="212" t="n"/>
      <c r="MW168" s="212" t="n"/>
      <c r="MX168" s="212" t="n"/>
      <c r="MY168" s="212" t="n"/>
      <c r="MZ168" s="212" t="n"/>
      <c r="NA168" s="212" t="n"/>
      <c r="NB168" s="212" t="n"/>
      <c r="NC168" s="212" t="n"/>
      <c r="ND168" s="212" t="n"/>
      <c r="NE168" s="212" t="n"/>
      <c r="NF168" s="212" t="n"/>
      <c r="NG168" s="212" t="n"/>
      <c r="NH168" s="212" t="n"/>
      <c r="NI168" s="212" t="n"/>
      <c r="NJ168" s="212" t="n"/>
      <c r="NK168" s="212" t="n"/>
      <c r="NL168" s="212" t="n"/>
      <c r="NM168" s="212" t="n"/>
      <c r="NN168" s="212" t="n"/>
      <c r="NO168" s="212" t="n"/>
      <c r="NP168" s="212" t="n"/>
      <c r="NQ168" s="212" t="n"/>
      <c r="NR168" s="212" t="n"/>
      <c r="NS168" s="212" t="n"/>
      <c r="NT168" s="212" t="n"/>
      <c r="NU168" s="212" t="n"/>
      <c r="NV168" s="212" t="n"/>
      <c r="NW168" s="212" t="n"/>
      <c r="NX168" s="212" t="n"/>
      <c r="NY168" s="212" t="n"/>
      <c r="NZ168" s="212" t="n"/>
      <c r="OA168" s="212" t="n"/>
      <c r="OB168" s="212" t="n"/>
      <c r="OC168" s="212" t="n"/>
      <c r="OD168" s="212" t="n"/>
      <c r="OE168" s="212" t="n"/>
      <c r="OF168" s="212" t="n"/>
      <c r="OG168" s="212" t="n"/>
      <c r="OH168" s="212" t="n"/>
      <c r="OI168" s="212" t="n"/>
      <c r="OJ168" s="212" t="n"/>
      <c r="OK168" s="212" t="n"/>
      <c r="OL168" s="212" t="n"/>
      <c r="OM168" s="212" t="n"/>
      <c r="ON168" s="212" t="n"/>
      <c r="OO168" s="212" t="n"/>
      <c r="OP168" s="212" t="n"/>
      <c r="OQ168" s="212" t="n"/>
      <c r="OR168" s="212" t="n"/>
      <c r="OS168" s="212" t="n"/>
      <c r="OT168" s="212" t="n"/>
      <c r="OU168" s="212" t="n"/>
      <c r="OV168" s="212" t="n"/>
      <c r="OW168" s="212" t="n"/>
      <c r="OX168" s="212" t="n"/>
      <c r="OY168" s="212" t="n"/>
      <c r="OZ168" s="212" t="n"/>
      <c r="PA168" s="212" t="n"/>
      <c r="PB168" s="212" t="n"/>
      <c r="PC168" s="212" t="n"/>
      <c r="PD168" s="212" t="n"/>
      <c r="PE168" s="212" t="n"/>
      <c r="PF168" s="212" t="n"/>
      <c r="PG168" s="212" t="n"/>
      <c r="PH168" s="212" t="n"/>
      <c r="PI168" s="212" t="n"/>
      <c r="PJ168" s="212" t="n"/>
      <c r="PK168" s="212" t="n"/>
      <c r="PL168" s="212" t="n"/>
      <c r="PM168" s="212" t="n"/>
      <c r="PN168" s="212" t="n"/>
      <c r="PO168" s="212" t="n"/>
      <c r="PP168" s="212" t="n"/>
      <c r="PQ168" s="212" t="n"/>
      <c r="PR168" s="212" t="n"/>
      <c r="PS168" s="212" t="n"/>
      <c r="PT168" s="212" t="n"/>
      <c r="PU168" s="212" t="n"/>
      <c r="PV168" s="212" t="n"/>
      <c r="PW168" s="212" t="n"/>
      <c r="PX168" s="212" t="n"/>
      <c r="PY168" s="212" t="n"/>
      <c r="PZ168" s="212" t="n"/>
      <c r="QA168" s="212" t="n"/>
      <c r="QB168" s="212" t="n"/>
      <c r="QC168" s="212" t="n"/>
      <c r="QD168" s="212" t="n"/>
      <c r="QE168" s="212" t="n"/>
      <c r="QF168" s="212" t="n"/>
      <c r="QG168" s="212" t="n"/>
      <c r="QH168" s="212" t="n"/>
      <c r="QI168" s="212" t="n"/>
      <c r="QJ168" s="212" t="n"/>
      <c r="QK168" s="212" t="n"/>
      <c r="QL168" s="212" t="n"/>
      <c r="QM168" s="212" t="n"/>
      <c r="QN168" s="212" t="n"/>
      <c r="QO168" s="212" t="n"/>
      <c r="QP168" s="212" t="n"/>
      <c r="QQ168" s="212" t="n"/>
      <c r="QR168" s="212" t="n"/>
      <c r="QS168" s="212" t="n"/>
      <c r="QT168" s="212" t="n"/>
      <c r="QU168" s="212" t="n"/>
      <c r="QV168" s="212" t="n"/>
      <c r="QW168" s="212" t="n"/>
      <c r="QX168" s="212" t="n"/>
      <c r="QY168" s="212" t="n"/>
      <c r="QZ168" s="212" t="n"/>
      <c r="RA168" s="212" t="n"/>
      <c r="RB168" s="212" t="n"/>
      <c r="RC168" s="212" t="n"/>
      <c r="RD168" s="212" t="n"/>
      <c r="RE168" s="212" t="n"/>
      <c r="RF168" s="212" t="n"/>
      <c r="RG168" s="212" t="n"/>
      <c r="RH168" s="212" t="n"/>
      <c r="RI168" s="212" t="n"/>
      <c r="RJ168" s="212" t="n"/>
      <c r="RK168" s="212" t="n"/>
      <c r="RL168" s="212" t="n"/>
      <c r="RM168" s="212" t="n"/>
      <c r="RN168" s="212" t="n"/>
      <c r="RO168" s="212" t="n"/>
      <c r="RP168" s="212" t="n"/>
      <c r="RQ168" s="212" t="n"/>
      <c r="RR168" s="212" t="n"/>
      <c r="RS168" s="212" t="n"/>
      <c r="RT168" s="212" t="n"/>
      <c r="RU168" s="212" t="n"/>
      <c r="RV168" s="212" t="n"/>
      <c r="RW168" s="212" t="n"/>
      <c r="RX168" s="212" t="n"/>
      <c r="RY168" s="212" t="n"/>
      <c r="RZ168" s="212" t="n"/>
      <c r="SA168" s="212" t="n"/>
      <c r="SB168" s="212" t="n"/>
      <c r="SC168" s="212" t="n"/>
      <c r="SD168" s="212" t="n"/>
      <c r="SE168" s="212" t="n"/>
      <c r="SF168" s="212" t="n"/>
      <c r="SG168" s="212" t="n"/>
      <c r="SH168" s="212" t="n"/>
      <c r="SI168" s="212" t="n"/>
      <c r="SJ168" s="212" t="n"/>
      <c r="SK168" s="212" t="n"/>
      <c r="SL168" s="212" t="n"/>
      <c r="SM168" s="212" t="n"/>
      <c r="SN168" s="212" t="n"/>
      <c r="SO168" s="212" t="n"/>
      <c r="SP168" s="212" t="n"/>
      <c r="SQ168" s="212" t="n"/>
      <c r="SR168" s="212" t="n"/>
      <c r="SS168" s="212" t="n"/>
      <c r="ST168" s="212" t="n"/>
      <c r="SU168" s="212" t="n"/>
      <c r="SV168" s="212" t="n"/>
    </row>
    <row r="169">
      <c r="B169" s="209" t="n"/>
      <c r="C169" s="209" t="n"/>
      <c r="D169" s="209" t="n"/>
      <c r="E169" s="209" t="n"/>
      <c r="F169" s="209">
        <f>IF(TRIM(D169&amp;E169)="","",TRIM(D169)&amp;" "&amp;TRIM(E169))</f>
        <v/>
      </c>
      <c r="G169" s="209" t="n"/>
      <c r="H169" s="209" t="n"/>
      <c r="I169" s="209" t="n"/>
      <c r="J169" s="209" t="n"/>
      <c r="K169" s="209" t="n"/>
      <c r="L169" s="209" t="n"/>
      <c r="M169" s="209" t="n"/>
      <c r="N169" s="209" t="n"/>
      <c r="O169" s="209" t="n"/>
      <c r="P169" s="209" t="n"/>
      <c r="Q169" s="209" t="n"/>
      <c r="R169" s="209" t="n"/>
      <c r="S169" s="212" t="n"/>
      <c r="T169" s="212" t="n"/>
      <c r="U169" s="212" t="n"/>
      <c r="V169" s="212" t="n"/>
      <c r="W169" s="212" t="n"/>
      <c r="X169" s="212" t="n"/>
      <c r="Y169" s="212" t="n"/>
      <c r="Z169" s="212" t="n"/>
      <c r="AA169" s="212" t="n"/>
      <c r="AB169" s="212" t="n"/>
      <c r="AC169" s="212" t="n"/>
      <c r="AD169" s="212" t="n"/>
      <c r="AE169" s="212" t="n"/>
      <c r="AF169" s="212" t="n"/>
      <c r="AG169" s="212" t="n"/>
      <c r="AH169" s="212" t="n"/>
      <c r="AI169" s="212" t="n"/>
      <c r="AJ169" s="212" t="n"/>
      <c r="AK169" s="212" t="n"/>
      <c r="AL169" s="212" t="n"/>
      <c r="AM169" s="212" t="n"/>
      <c r="AN169" s="212" t="n"/>
      <c r="AO169" s="212" t="n"/>
      <c r="AP169" s="212" t="n"/>
      <c r="AQ169" s="212" t="n"/>
      <c r="AR169" s="212" t="n"/>
      <c r="AS169" s="212" t="n"/>
      <c r="AT169" s="212" t="n"/>
      <c r="AU169" s="212" t="n"/>
      <c r="AV169" s="212" t="n"/>
      <c r="AW169" s="212" t="n"/>
      <c r="AX169" s="212" t="n"/>
      <c r="AY169" s="212" t="n"/>
      <c r="AZ169" s="212" t="n"/>
      <c r="BA169" s="212" t="n"/>
      <c r="BB169" s="212" t="n"/>
      <c r="BC169" s="212" t="n"/>
      <c r="BD169" s="212" t="n"/>
      <c r="BE169" s="212" t="n"/>
      <c r="BF169" s="212" t="n"/>
      <c r="BG169" s="212" t="n"/>
      <c r="BH169" s="212" t="n"/>
      <c r="BI169" s="212" t="n"/>
      <c r="BJ169" s="212" t="n"/>
      <c r="BK169" s="212" t="n"/>
      <c r="BL169" s="212" t="n"/>
      <c r="BM169" s="212" t="n"/>
      <c r="BN169" s="212" t="n"/>
      <c r="BO169" s="212" t="n"/>
      <c r="BP169" s="212" t="n"/>
      <c r="BQ169" s="212" t="n"/>
      <c r="BR169" s="212" t="n"/>
      <c r="BS169" s="212" t="n"/>
      <c r="BT169" s="212" t="n"/>
      <c r="BU169" s="212" t="n"/>
      <c r="BV169" s="212" t="n"/>
      <c r="BW169" s="212" t="n"/>
      <c r="BX169" s="212" t="n"/>
      <c r="BY169" s="212" t="n"/>
      <c r="BZ169" s="212" t="n"/>
      <c r="CA169" s="212" t="n"/>
      <c r="CB169" s="212" t="n"/>
      <c r="CC169" s="212" t="n"/>
      <c r="CD169" s="212" t="n"/>
      <c r="CE169" s="212" t="n"/>
      <c r="CF169" s="212" t="n"/>
      <c r="CG169" s="212" t="n"/>
      <c r="CH169" s="212" t="n"/>
      <c r="CI169" s="212" t="n"/>
      <c r="CJ169" s="212" t="n"/>
      <c r="CK169" s="212" t="n"/>
      <c r="CL169" s="212" t="n"/>
      <c r="CM169" s="212" t="n"/>
      <c r="CN169" s="212" t="n"/>
      <c r="CO169" s="212" t="n"/>
      <c r="CP169" s="212" t="n"/>
      <c r="CQ169" s="212" t="n"/>
      <c r="CR169" s="212" t="n"/>
      <c r="CS169" s="212" t="n"/>
      <c r="CT169" s="212" t="n"/>
      <c r="CU169" s="212" t="n"/>
      <c r="CV169" s="212" t="n"/>
      <c r="CW169" s="212" t="n"/>
      <c r="CX169" s="212" t="n"/>
      <c r="CY169" s="212" t="n"/>
      <c r="CZ169" s="212" t="n"/>
      <c r="DA169" s="212" t="n"/>
      <c r="DB169" s="212" t="n"/>
      <c r="DC169" s="212" t="n"/>
      <c r="DD169" s="212" t="n"/>
      <c r="DE169" s="212" t="n"/>
      <c r="DF169" s="212" t="n"/>
      <c r="DG169" s="212" t="n"/>
      <c r="DH169" s="212" t="n"/>
      <c r="DI169" s="212" t="n"/>
      <c r="DJ169" s="212" t="n"/>
      <c r="DK169" s="212" t="n"/>
      <c r="DL169" s="212" t="n"/>
      <c r="DM169" s="212" t="n"/>
      <c r="DN169" s="212" t="n"/>
      <c r="DO169" s="212" t="n"/>
      <c r="DP169" s="212" t="n"/>
      <c r="DQ169" s="212" t="n"/>
      <c r="DR169" s="212" t="n"/>
      <c r="DS169" s="212" t="n"/>
      <c r="DT169" s="212" t="n"/>
      <c r="DU169" s="212" t="n"/>
      <c r="DV169" s="212" t="n"/>
      <c r="DW169" s="212" t="n"/>
      <c r="DX169" s="212" t="n"/>
      <c r="DY169" s="212" t="n"/>
      <c r="DZ169" s="212" t="n"/>
      <c r="EA169" s="212" t="n"/>
      <c r="EB169" s="212" t="n"/>
      <c r="EC169" s="212" t="n"/>
      <c r="ED169" s="212" t="n"/>
      <c r="EE169" s="212" t="n"/>
      <c r="EF169" s="212" t="n"/>
      <c r="EG169" s="212" t="n"/>
      <c r="EH169" s="212" t="n"/>
      <c r="EI169" s="212" t="n"/>
      <c r="EJ169" s="212" t="n"/>
      <c r="EK169" s="212" t="n"/>
      <c r="EL169" s="212" t="n"/>
      <c r="EM169" s="212" t="n"/>
      <c r="EN169" s="212" t="n"/>
      <c r="EO169" s="212" t="n"/>
      <c r="EP169" s="212" t="n"/>
      <c r="EQ169" s="212" t="n"/>
      <c r="ER169" s="212" t="n"/>
      <c r="ES169" s="212" t="n"/>
      <c r="ET169" s="212" t="n"/>
      <c r="EU169" s="212" t="n"/>
      <c r="EV169" s="212" t="n"/>
      <c r="EW169" s="212" t="n"/>
      <c r="EX169" s="212" t="n"/>
      <c r="EY169" s="212" t="n"/>
      <c r="EZ169" s="212" t="n"/>
      <c r="FA169" s="212" t="n"/>
      <c r="FB169" s="212" t="n"/>
      <c r="FC169" s="212" t="n"/>
      <c r="FD169" s="212" t="n"/>
      <c r="FE169" s="212" t="n"/>
      <c r="FF169" s="212" t="n"/>
      <c r="FG169" s="212" t="n"/>
      <c r="FH169" s="212" t="n"/>
      <c r="FI169" s="212" t="n"/>
      <c r="FJ169" s="212" t="n"/>
      <c r="FK169" s="212" t="n"/>
      <c r="FL169" s="212" t="n"/>
      <c r="FM169" s="212" t="n"/>
      <c r="FN169" s="212" t="n"/>
      <c r="FO169" s="212" t="n"/>
      <c r="FP169" s="212" t="n"/>
      <c r="FQ169" s="212" t="n"/>
      <c r="FR169" s="212" t="n"/>
      <c r="FS169" s="212" t="n"/>
      <c r="FT169" s="212" t="n"/>
      <c r="FU169" s="212" t="n"/>
      <c r="FV169" s="212" t="n"/>
      <c r="FW169" s="212" t="n"/>
      <c r="FX169" s="212" t="n"/>
      <c r="FY169" s="212" t="n"/>
      <c r="FZ169" s="212" t="n"/>
      <c r="GA169" s="212" t="n"/>
      <c r="GB169" s="212" t="n"/>
      <c r="GC169" s="212" t="n"/>
      <c r="GD169" s="212" t="n"/>
      <c r="GE169" s="212" t="n"/>
      <c r="GF169" s="212" t="n"/>
      <c r="GG169" s="212" t="n"/>
      <c r="GH169" s="212" t="n"/>
      <c r="GI169" s="212" t="n"/>
      <c r="GJ169" s="212" t="n"/>
      <c r="GK169" s="212" t="n"/>
      <c r="GL169" s="212" t="n"/>
      <c r="GM169" s="212" t="n"/>
      <c r="GN169" s="212" t="n"/>
      <c r="GO169" s="212" t="n"/>
      <c r="GP169" s="212" t="n"/>
      <c r="GQ169" s="212" t="n"/>
      <c r="GR169" s="212" t="n"/>
      <c r="GS169" s="212" t="n"/>
      <c r="GT169" s="212" t="n"/>
      <c r="GU169" s="212" t="n"/>
      <c r="GV169" s="212" t="n"/>
      <c r="GW169" s="212" t="n"/>
      <c r="GX169" s="212" t="n"/>
      <c r="GY169" s="212" t="n"/>
      <c r="GZ169" s="212" t="n"/>
      <c r="HA169" s="212" t="n"/>
      <c r="HB169" s="212" t="n"/>
      <c r="HC169" s="212" t="n"/>
      <c r="HD169" s="212" t="n"/>
      <c r="HE169" s="212" t="n"/>
      <c r="HF169" s="212" t="n"/>
      <c r="HG169" s="212" t="n"/>
      <c r="HH169" s="212" t="n"/>
      <c r="HI169" s="212" t="n"/>
      <c r="HJ169" s="212" t="n"/>
      <c r="HK169" s="212" t="n"/>
      <c r="HL169" s="212" t="n"/>
      <c r="HM169" s="212" t="n"/>
      <c r="HN169" s="212" t="n"/>
      <c r="HO169" s="212" t="n"/>
      <c r="HP169" s="212" t="n"/>
      <c r="HQ169" s="212" t="n"/>
      <c r="HR169" s="212" t="n"/>
      <c r="HS169" s="212" t="n"/>
      <c r="HT169" s="212" t="n"/>
      <c r="HU169" s="212" t="n"/>
      <c r="HV169" s="212" t="n"/>
      <c r="HW169" s="212" t="n"/>
      <c r="HX169" s="212" t="n"/>
      <c r="HY169" s="212" t="n"/>
      <c r="HZ169" s="212" t="n"/>
      <c r="IA169" s="212" t="n"/>
      <c r="IB169" s="212" t="n"/>
      <c r="IC169" s="212" t="n"/>
      <c r="ID169" s="212" t="n"/>
      <c r="IE169" s="212" t="n"/>
      <c r="IF169" s="212" t="n"/>
      <c r="IG169" s="212" t="n"/>
      <c r="IH169" s="212" t="n"/>
      <c r="II169" s="212" t="n"/>
      <c r="IJ169" s="212" t="n"/>
      <c r="IK169" s="212" t="n"/>
      <c r="IL169" s="212" t="n"/>
      <c r="IM169" s="212" t="n"/>
      <c r="IN169" s="212" t="n"/>
      <c r="IO169" s="212" t="n"/>
      <c r="IP169" s="212" t="n"/>
      <c r="IQ169" s="212" t="n"/>
      <c r="IR169" s="212" t="n"/>
      <c r="IS169" s="212" t="n"/>
      <c r="IT169" s="212" t="n"/>
      <c r="IU169" s="212" t="n"/>
      <c r="IV169" s="212" t="n"/>
      <c r="IW169" s="212" t="n"/>
      <c r="IX169" s="212" t="n"/>
      <c r="IY169" s="212" t="n"/>
      <c r="IZ169" s="212" t="n"/>
      <c r="JA169" s="212" t="n"/>
      <c r="JB169" s="212" t="n"/>
      <c r="JC169" s="212" t="n"/>
      <c r="JD169" s="212" t="n"/>
      <c r="JE169" s="212" t="n"/>
      <c r="JF169" s="212" t="n"/>
      <c r="JG169" s="212" t="n"/>
      <c r="JH169" s="212" t="n"/>
      <c r="JI169" s="212" t="n"/>
      <c r="JJ169" s="212" t="n"/>
      <c r="JK169" s="212" t="n"/>
      <c r="JL169" s="212" t="n"/>
      <c r="JM169" s="212" t="n"/>
      <c r="JN169" s="212" t="n"/>
      <c r="JO169" s="212" t="n"/>
      <c r="JP169" s="212" t="n"/>
      <c r="JQ169" s="212" t="n"/>
      <c r="JR169" s="212" t="n"/>
      <c r="JS169" s="212" t="n"/>
      <c r="JT169" s="212" t="n"/>
      <c r="JU169" s="212" t="n"/>
      <c r="JV169" s="212" t="n"/>
      <c r="JW169" s="212" t="n"/>
      <c r="JX169" s="212" t="n"/>
      <c r="JY169" s="212" t="n"/>
      <c r="JZ169" s="212" t="n"/>
      <c r="KA169" s="212" t="n"/>
      <c r="KB169" s="212" t="n"/>
      <c r="KC169" s="212" t="n"/>
      <c r="KD169" s="212" t="n"/>
      <c r="KE169" s="212" t="n"/>
      <c r="KF169" s="212" t="n"/>
      <c r="KG169" s="212" t="n"/>
      <c r="KH169" s="212" t="n"/>
      <c r="KI169" s="212" t="n"/>
      <c r="KJ169" s="212" t="n"/>
      <c r="KK169" s="212" t="n"/>
      <c r="KL169" s="212" t="n"/>
      <c r="KM169" s="212" t="n"/>
      <c r="KN169" s="212" t="n"/>
      <c r="KO169" s="212" t="n"/>
      <c r="KP169" s="212" t="n"/>
      <c r="KQ169" s="212" t="n"/>
      <c r="KR169" s="212" t="n"/>
      <c r="KS169" s="212" t="n"/>
      <c r="KT169" s="212" t="n"/>
      <c r="KU169" s="212" t="n"/>
      <c r="KV169" s="212" t="n"/>
      <c r="KW169" s="212" t="n"/>
      <c r="KX169" s="212" t="n"/>
      <c r="KY169" s="212" t="n"/>
      <c r="KZ169" s="212" t="n"/>
      <c r="LA169" s="212" t="n"/>
      <c r="LB169" s="212" t="n"/>
      <c r="LC169" s="212" t="n"/>
      <c r="LD169" s="212" t="n"/>
      <c r="LE169" s="212" t="n"/>
      <c r="LF169" s="212" t="n"/>
      <c r="LG169" s="212" t="n"/>
      <c r="LH169" s="212" t="n"/>
      <c r="LI169" s="212" t="n"/>
      <c r="LJ169" s="212" t="n"/>
      <c r="LK169" s="212" t="n"/>
      <c r="LL169" s="212" t="n"/>
      <c r="LM169" s="212" t="n"/>
      <c r="LN169" s="212" t="n"/>
      <c r="LO169" s="212" t="n"/>
      <c r="LP169" s="212" t="n"/>
      <c r="LQ169" s="212" t="n"/>
      <c r="LR169" s="212" t="n"/>
      <c r="LS169" s="212" t="n"/>
      <c r="LT169" s="212" t="n"/>
      <c r="LU169" s="212" t="n"/>
      <c r="LV169" s="212" t="n"/>
      <c r="LW169" s="212" t="n"/>
      <c r="LX169" s="212" t="n"/>
      <c r="LY169" s="212" t="n"/>
      <c r="LZ169" s="212" t="n"/>
      <c r="MA169" s="212" t="n"/>
      <c r="MB169" s="212" t="n"/>
      <c r="MC169" s="212" t="n"/>
      <c r="MD169" s="212" t="n"/>
      <c r="ME169" s="212" t="n"/>
      <c r="MF169" s="212" t="n"/>
      <c r="MG169" s="212" t="n"/>
      <c r="MH169" s="212" t="n"/>
      <c r="MI169" s="212" t="n"/>
      <c r="MJ169" s="212" t="n"/>
      <c r="MK169" s="212" t="n"/>
      <c r="ML169" s="212" t="n"/>
      <c r="MM169" s="212" t="n"/>
      <c r="MN169" s="212" t="n"/>
      <c r="MO169" s="212" t="n"/>
      <c r="MP169" s="212" t="n"/>
      <c r="MQ169" s="212" t="n"/>
      <c r="MR169" s="212" t="n"/>
      <c r="MS169" s="212" t="n"/>
      <c r="MT169" s="212" t="n"/>
      <c r="MU169" s="212" t="n"/>
      <c r="MV169" s="212" t="n"/>
      <c r="MW169" s="212" t="n"/>
      <c r="MX169" s="212" t="n"/>
      <c r="MY169" s="212" t="n"/>
      <c r="MZ169" s="212" t="n"/>
      <c r="NA169" s="212" t="n"/>
      <c r="NB169" s="212" t="n"/>
      <c r="NC169" s="212" t="n"/>
      <c r="ND169" s="212" t="n"/>
      <c r="NE169" s="212" t="n"/>
      <c r="NF169" s="212" t="n"/>
      <c r="NG169" s="212" t="n"/>
      <c r="NH169" s="212" t="n"/>
      <c r="NI169" s="212" t="n"/>
      <c r="NJ169" s="212" t="n"/>
      <c r="NK169" s="212" t="n"/>
      <c r="NL169" s="212" t="n"/>
      <c r="NM169" s="212" t="n"/>
      <c r="NN169" s="212" t="n"/>
      <c r="NO169" s="212" t="n"/>
      <c r="NP169" s="212" t="n"/>
      <c r="NQ169" s="212" t="n"/>
      <c r="NR169" s="212" t="n"/>
      <c r="NS169" s="212" t="n"/>
      <c r="NT169" s="212" t="n"/>
      <c r="NU169" s="212" t="n"/>
      <c r="NV169" s="212" t="n"/>
      <c r="NW169" s="212" t="n"/>
      <c r="NX169" s="212" t="n"/>
      <c r="NY169" s="212" t="n"/>
      <c r="NZ169" s="212" t="n"/>
      <c r="OA169" s="212" t="n"/>
      <c r="OB169" s="212" t="n"/>
      <c r="OC169" s="212" t="n"/>
      <c r="OD169" s="212" t="n"/>
      <c r="OE169" s="212" t="n"/>
      <c r="OF169" s="212" t="n"/>
      <c r="OG169" s="212" t="n"/>
      <c r="OH169" s="212" t="n"/>
      <c r="OI169" s="212" t="n"/>
      <c r="OJ169" s="212" t="n"/>
      <c r="OK169" s="212" t="n"/>
      <c r="OL169" s="212" t="n"/>
      <c r="OM169" s="212" t="n"/>
      <c r="ON169" s="212" t="n"/>
      <c r="OO169" s="212" t="n"/>
      <c r="OP169" s="212" t="n"/>
      <c r="OQ169" s="212" t="n"/>
      <c r="OR169" s="212" t="n"/>
      <c r="OS169" s="212" t="n"/>
      <c r="OT169" s="212" t="n"/>
      <c r="OU169" s="212" t="n"/>
      <c r="OV169" s="212" t="n"/>
      <c r="OW169" s="212" t="n"/>
      <c r="OX169" s="212" t="n"/>
      <c r="OY169" s="212" t="n"/>
      <c r="OZ169" s="212" t="n"/>
      <c r="PA169" s="212" t="n"/>
      <c r="PB169" s="212" t="n"/>
      <c r="PC169" s="212" t="n"/>
      <c r="PD169" s="212" t="n"/>
      <c r="PE169" s="212" t="n"/>
      <c r="PF169" s="212" t="n"/>
      <c r="PG169" s="212" t="n"/>
      <c r="PH169" s="212" t="n"/>
      <c r="PI169" s="212" t="n"/>
      <c r="PJ169" s="212" t="n"/>
      <c r="PK169" s="212" t="n"/>
      <c r="PL169" s="212" t="n"/>
      <c r="PM169" s="212" t="n"/>
      <c r="PN169" s="212" t="n"/>
      <c r="PO169" s="212" t="n"/>
      <c r="PP169" s="212" t="n"/>
      <c r="PQ169" s="212" t="n"/>
      <c r="PR169" s="212" t="n"/>
      <c r="PS169" s="212" t="n"/>
      <c r="PT169" s="212" t="n"/>
      <c r="PU169" s="212" t="n"/>
      <c r="PV169" s="212" t="n"/>
      <c r="PW169" s="212" t="n"/>
      <c r="PX169" s="212" t="n"/>
      <c r="PY169" s="212" t="n"/>
      <c r="PZ169" s="212" t="n"/>
      <c r="QA169" s="212" t="n"/>
      <c r="QB169" s="212" t="n"/>
      <c r="QC169" s="212" t="n"/>
      <c r="QD169" s="212" t="n"/>
      <c r="QE169" s="212" t="n"/>
      <c r="QF169" s="212" t="n"/>
      <c r="QG169" s="212" t="n"/>
      <c r="QH169" s="212" t="n"/>
      <c r="QI169" s="212" t="n"/>
      <c r="QJ169" s="212" t="n"/>
      <c r="QK169" s="212" t="n"/>
      <c r="QL169" s="212" t="n"/>
      <c r="QM169" s="212" t="n"/>
      <c r="QN169" s="212" t="n"/>
      <c r="QO169" s="212" t="n"/>
      <c r="QP169" s="212" t="n"/>
      <c r="QQ169" s="212" t="n"/>
      <c r="QR169" s="212" t="n"/>
      <c r="QS169" s="212" t="n"/>
      <c r="QT169" s="212" t="n"/>
      <c r="QU169" s="212" t="n"/>
      <c r="QV169" s="212" t="n"/>
      <c r="QW169" s="212" t="n"/>
      <c r="QX169" s="212" t="n"/>
      <c r="QY169" s="212" t="n"/>
      <c r="QZ169" s="212" t="n"/>
      <c r="RA169" s="212" t="n"/>
      <c r="RB169" s="212" t="n"/>
      <c r="RC169" s="212" t="n"/>
      <c r="RD169" s="212" t="n"/>
      <c r="RE169" s="212" t="n"/>
      <c r="RF169" s="212" t="n"/>
      <c r="RG169" s="212" t="n"/>
      <c r="RH169" s="212" t="n"/>
      <c r="RI169" s="212" t="n"/>
      <c r="RJ169" s="212" t="n"/>
      <c r="RK169" s="212" t="n"/>
      <c r="RL169" s="212" t="n"/>
      <c r="RM169" s="212" t="n"/>
      <c r="RN169" s="212" t="n"/>
      <c r="RO169" s="212" t="n"/>
      <c r="RP169" s="212" t="n"/>
      <c r="RQ169" s="212" t="n"/>
      <c r="RR169" s="212" t="n"/>
      <c r="RS169" s="212" t="n"/>
      <c r="RT169" s="212" t="n"/>
      <c r="RU169" s="212" t="n"/>
      <c r="RV169" s="212" t="n"/>
      <c r="RW169" s="212" t="n"/>
      <c r="RX169" s="212" t="n"/>
      <c r="RY169" s="212" t="n"/>
      <c r="RZ169" s="212" t="n"/>
      <c r="SA169" s="212" t="n"/>
      <c r="SB169" s="212" t="n"/>
      <c r="SC169" s="212" t="n"/>
      <c r="SD169" s="212" t="n"/>
      <c r="SE169" s="212" t="n"/>
      <c r="SF169" s="212" t="n"/>
      <c r="SG169" s="212" t="n"/>
      <c r="SH169" s="212" t="n"/>
      <c r="SI169" s="212" t="n"/>
      <c r="SJ169" s="212" t="n"/>
      <c r="SK169" s="212" t="n"/>
      <c r="SL169" s="212" t="n"/>
      <c r="SM169" s="212" t="n"/>
      <c r="SN169" s="212" t="n"/>
      <c r="SO169" s="212" t="n"/>
      <c r="SP169" s="212" t="n"/>
      <c r="SQ169" s="212" t="n"/>
      <c r="SR169" s="212" t="n"/>
      <c r="SS169" s="212" t="n"/>
      <c r="ST169" s="212" t="n"/>
      <c r="SU169" s="212" t="n"/>
      <c r="SV169" s="212" t="n"/>
    </row>
    <row r="170">
      <c r="B170" s="209" t="n"/>
      <c r="C170" s="209" t="n"/>
      <c r="D170" s="209" t="n"/>
      <c r="E170" s="209" t="n"/>
      <c r="F170" s="209">
        <f>IF(TRIM(D170&amp;E170)="","",TRIM(D170)&amp;" "&amp;TRIM(E170))</f>
        <v/>
      </c>
      <c r="G170" s="209" t="n"/>
      <c r="H170" s="209" t="n"/>
      <c r="I170" s="209" t="n"/>
      <c r="J170" s="209" t="n"/>
      <c r="K170" s="209" t="n"/>
      <c r="L170" s="209" t="n"/>
      <c r="M170" s="209" t="n"/>
      <c r="N170" s="209" t="n"/>
      <c r="O170" s="209" t="n"/>
      <c r="P170" s="209" t="n"/>
      <c r="Q170" s="209" t="n"/>
      <c r="R170" s="209" t="n"/>
      <c r="S170" s="212" t="n"/>
      <c r="T170" s="212" t="n"/>
      <c r="U170" s="212" t="n"/>
      <c r="V170" s="212" t="n"/>
      <c r="W170" s="212" t="n"/>
      <c r="X170" s="212" t="n"/>
      <c r="Y170" s="212" t="n"/>
      <c r="Z170" s="212" t="n"/>
      <c r="AA170" s="212" t="n"/>
      <c r="AB170" s="212" t="n"/>
      <c r="AC170" s="212" t="n"/>
      <c r="AD170" s="212" t="n"/>
      <c r="AE170" s="212" t="n"/>
      <c r="AF170" s="212" t="n"/>
      <c r="AG170" s="212" t="n"/>
      <c r="AH170" s="212" t="n"/>
      <c r="AI170" s="212" t="n"/>
      <c r="AJ170" s="212" t="n"/>
      <c r="AK170" s="212" t="n"/>
      <c r="AL170" s="212" t="n"/>
      <c r="AM170" s="212" t="n"/>
      <c r="AN170" s="212" t="n"/>
      <c r="AO170" s="212" t="n"/>
      <c r="AP170" s="212" t="n"/>
      <c r="AQ170" s="212" t="n"/>
      <c r="AR170" s="212" t="n"/>
      <c r="AS170" s="212" t="n"/>
      <c r="AT170" s="212" t="n"/>
      <c r="AU170" s="212" t="n"/>
      <c r="AV170" s="212" t="n"/>
      <c r="AW170" s="212" t="n"/>
      <c r="AX170" s="212" t="n"/>
      <c r="AY170" s="212" t="n"/>
      <c r="AZ170" s="212" t="n"/>
      <c r="BA170" s="212" t="n"/>
      <c r="BB170" s="212" t="n"/>
      <c r="BC170" s="212" t="n"/>
      <c r="BD170" s="212" t="n"/>
      <c r="BE170" s="212" t="n"/>
      <c r="BF170" s="212" t="n"/>
      <c r="BG170" s="212" t="n"/>
      <c r="BH170" s="212" t="n"/>
      <c r="BI170" s="212" t="n"/>
      <c r="BJ170" s="212" t="n"/>
      <c r="BK170" s="212" t="n"/>
      <c r="BL170" s="212" t="n"/>
      <c r="BM170" s="212" t="n"/>
      <c r="BN170" s="212" t="n"/>
      <c r="BO170" s="212" t="n"/>
      <c r="BP170" s="212" t="n"/>
      <c r="BQ170" s="212" t="n"/>
      <c r="BR170" s="212" t="n"/>
      <c r="BS170" s="212" t="n"/>
      <c r="BT170" s="212" t="n"/>
      <c r="BU170" s="212" t="n"/>
      <c r="BV170" s="212" t="n"/>
      <c r="BW170" s="212" t="n"/>
      <c r="BX170" s="212" t="n"/>
      <c r="BY170" s="212" t="n"/>
      <c r="BZ170" s="212" t="n"/>
      <c r="CA170" s="212" t="n"/>
      <c r="CB170" s="212" t="n"/>
      <c r="CC170" s="212" t="n"/>
      <c r="CD170" s="212" t="n"/>
      <c r="CE170" s="212" t="n"/>
      <c r="CF170" s="212" t="n"/>
      <c r="CG170" s="212" t="n"/>
      <c r="CH170" s="212" t="n"/>
      <c r="CI170" s="212" t="n"/>
      <c r="CJ170" s="212" t="n"/>
      <c r="CK170" s="212" t="n"/>
      <c r="CL170" s="212" t="n"/>
      <c r="CM170" s="212" t="n"/>
      <c r="CN170" s="212" t="n"/>
      <c r="CO170" s="212" t="n"/>
      <c r="CP170" s="212" t="n"/>
      <c r="CQ170" s="212" t="n"/>
      <c r="CR170" s="212" t="n"/>
      <c r="CS170" s="212" t="n"/>
      <c r="CT170" s="212" t="n"/>
      <c r="CU170" s="212" t="n"/>
      <c r="CV170" s="212" t="n"/>
      <c r="CW170" s="212" t="n"/>
      <c r="CX170" s="212" t="n"/>
      <c r="CY170" s="212" t="n"/>
      <c r="CZ170" s="212" t="n"/>
      <c r="DA170" s="212" t="n"/>
      <c r="DB170" s="212" t="n"/>
      <c r="DC170" s="212" t="n"/>
      <c r="DD170" s="212" t="n"/>
      <c r="DE170" s="212" t="n"/>
      <c r="DF170" s="212" t="n"/>
      <c r="DG170" s="212" t="n"/>
      <c r="DH170" s="212" t="n"/>
      <c r="DI170" s="212" t="n"/>
      <c r="DJ170" s="212" t="n"/>
      <c r="DK170" s="212" t="n"/>
      <c r="DL170" s="212" t="n"/>
      <c r="DM170" s="212" t="n"/>
      <c r="DN170" s="212" t="n"/>
      <c r="DO170" s="212" t="n"/>
      <c r="DP170" s="212" t="n"/>
      <c r="DQ170" s="212" t="n"/>
      <c r="DR170" s="212" t="n"/>
      <c r="DS170" s="212" t="n"/>
      <c r="DT170" s="212" t="n"/>
      <c r="DU170" s="212" t="n"/>
      <c r="DV170" s="212" t="n"/>
      <c r="DW170" s="212" t="n"/>
      <c r="DX170" s="212" t="n"/>
      <c r="DY170" s="212" t="n"/>
      <c r="DZ170" s="212" t="n"/>
      <c r="EA170" s="212" t="n"/>
      <c r="EB170" s="212" t="n"/>
      <c r="EC170" s="212" t="n"/>
      <c r="ED170" s="212" t="n"/>
      <c r="EE170" s="212" t="n"/>
      <c r="EF170" s="212" t="n"/>
      <c r="EG170" s="212" t="n"/>
      <c r="EH170" s="212" t="n"/>
      <c r="EI170" s="212" t="n"/>
      <c r="EJ170" s="212" t="n"/>
      <c r="EK170" s="212" t="n"/>
      <c r="EL170" s="212" t="n"/>
      <c r="EM170" s="212" t="n"/>
      <c r="EN170" s="212" t="n"/>
      <c r="EO170" s="212" t="n"/>
      <c r="EP170" s="212" t="n"/>
      <c r="EQ170" s="212" t="n"/>
      <c r="ER170" s="212" t="n"/>
      <c r="ES170" s="212" t="n"/>
      <c r="ET170" s="212" t="n"/>
      <c r="EU170" s="212" t="n"/>
      <c r="EV170" s="212" t="n"/>
      <c r="EW170" s="212" t="n"/>
      <c r="EX170" s="212" t="n"/>
      <c r="EY170" s="212" t="n"/>
      <c r="EZ170" s="212" t="n"/>
      <c r="FA170" s="212" t="n"/>
      <c r="FB170" s="212" t="n"/>
      <c r="FC170" s="212" t="n"/>
      <c r="FD170" s="212" t="n"/>
      <c r="FE170" s="212" t="n"/>
      <c r="FF170" s="212" t="n"/>
      <c r="FG170" s="212" t="n"/>
      <c r="FH170" s="212" t="n"/>
      <c r="FI170" s="212" t="n"/>
      <c r="FJ170" s="212" t="n"/>
      <c r="FK170" s="212" t="n"/>
      <c r="FL170" s="212" t="n"/>
      <c r="FM170" s="212" t="n"/>
      <c r="FN170" s="212" t="n"/>
      <c r="FO170" s="212" t="n"/>
      <c r="FP170" s="212" t="n"/>
      <c r="FQ170" s="212" t="n"/>
      <c r="FR170" s="212" t="n"/>
      <c r="FS170" s="212" t="n"/>
      <c r="FT170" s="212" t="n"/>
      <c r="FU170" s="212" t="n"/>
      <c r="FV170" s="212" t="n"/>
      <c r="FW170" s="212" t="n"/>
      <c r="FX170" s="212" t="n"/>
      <c r="FY170" s="212" t="n"/>
      <c r="FZ170" s="212" t="n"/>
      <c r="GA170" s="212" t="n"/>
      <c r="GB170" s="212" t="n"/>
      <c r="GC170" s="212" t="n"/>
      <c r="GD170" s="212" t="n"/>
      <c r="GE170" s="212" t="n"/>
      <c r="GF170" s="212" t="n"/>
      <c r="GG170" s="212" t="n"/>
      <c r="GH170" s="212" t="n"/>
      <c r="GI170" s="212" t="n"/>
      <c r="GJ170" s="212" t="n"/>
      <c r="GK170" s="212" t="n"/>
      <c r="GL170" s="212" t="n"/>
      <c r="GM170" s="212" t="n"/>
      <c r="GN170" s="212" t="n"/>
      <c r="GO170" s="212" t="n"/>
      <c r="GP170" s="212" t="n"/>
      <c r="GQ170" s="212" t="n"/>
      <c r="GR170" s="212" t="n"/>
      <c r="GS170" s="212" t="n"/>
      <c r="GT170" s="212" t="n"/>
      <c r="GU170" s="212" t="n"/>
      <c r="GV170" s="212" t="n"/>
      <c r="GW170" s="212" t="n"/>
      <c r="GX170" s="212" t="n"/>
      <c r="GY170" s="212" t="n"/>
      <c r="GZ170" s="212" t="n"/>
      <c r="HA170" s="212" t="n"/>
      <c r="HB170" s="212" t="n"/>
      <c r="HC170" s="212" t="n"/>
      <c r="HD170" s="212" t="n"/>
      <c r="HE170" s="212" t="n"/>
      <c r="HF170" s="212" t="n"/>
      <c r="HG170" s="212" t="n"/>
      <c r="HH170" s="212" t="n"/>
      <c r="HI170" s="212" t="n"/>
      <c r="HJ170" s="212" t="n"/>
      <c r="HK170" s="212" t="n"/>
      <c r="HL170" s="212" t="n"/>
      <c r="HM170" s="212" t="n"/>
      <c r="HN170" s="212" t="n"/>
      <c r="HO170" s="212" t="n"/>
      <c r="HP170" s="212" t="n"/>
      <c r="HQ170" s="212" t="n"/>
      <c r="HR170" s="212" t="n"/>
      <c r="HS170" s="212" t="n"/>
      <c r="HT170" s="212" t="n"/>
      <c r="HU170" s="212" t="n"/>
      <c r="HV170" s="212" t="n"/>
      <c r="HW170" s="212" t="n"/>
      <c r="HX170" s="212" t="n"/>
      <c r="HY170" s="212" t="n"/>
      <c r="HZ170" s="212" t="n"/>
      <c r="IA170" s="212" t="n"/>
      <c r="IB170" s="212" t="n"/>
      <c r="IC170" s="212" t="n"/>
      <c r="ID170" s="212" t="n"/>
      <c r="IE170" s="212" t="n"/>
      <c r="IF170" s="212" t="n"/>
      <c r="IG170" s="212" t="n"/>
      <c r="IH170" s="212" t="n"/>
      <c r="II170" s="212" t="n"/>
      <c r="IJ170" s="212" t="n"/>
      <c r="IK170" s="212" t="n"/>
      <c r="IL170" s="212" t="n"/>
      <c r="IM170" s="212" t="n"/>
      <c r="IN170" s="212" t="n"/>
      <c r="IO170" s="212" t="n"/>
      <c r="IP170" s="212" t="n"/>
      <c r="IQ170" s="212" t="n"/>
      <c r="IR170" s="212" t="n"/>
      <c r="IS170" s="212" t="n"/>
      <c r="IT170" s="212" t="n"/>
      <c r="IU170" s="212" t="n"/>
      <c r="IV170" s="212" t="n"/>
      <c r="IW170" s="212" t="n"/>
      <c r="IX170" s="212" t="n"/>
      <c r="IY170" s="212" t="n"/>
      <c r="IZ170" s="212" t="n"/>
      <c r="JA170" s="212" t="n"/>
      <c r="JB170" s="212" t="n"/>
      <c r="JC170" s="212" t="n"/>
      <c r="JD170" s="212" t="n"/>
      <c r="JE170" s="212" t="n"/>
      <c r="JF170" s="212" t="n"/>
      <c r="JG170" s="212" t="n"/>
      <c r="JH170" s="212" t="n"/>
      <c r="JI170" s="212" t="n"/>
      <c r="JJ170" s="212" t="n"/>
      <c r="JK170" s="212" t="n"/>
      <c r="JL170" s="212" t="n"/>
      <c r="JM170" s="212" t="n"/>
      <c r="JN170" s="212" t="n"/>
      <c r="JO170" s="212" t="n"/>
      <c r="JP170" s="212" t="n"/>
      <c r="JQ170" s="212" t="n"/>
      <c r="JR170" s="212" t="n"/>
      <c r="JS170" s="212" t="n"/>
      <c r="JT170" s="212" t="n"/>
      <c r="JU170" s="212" t="n"/>
      <c r="JV170" s="212" t="n"/>
      <c r="JW170" s="212" t="n"/>
      <c r="JX170" s="212" t="n"/>
      <c r="JY170" s="212" t="n"/>
      <c r="JZ170" s="212" t="n"/>
      <c r="KA170" s="212" t="n"/>
      <c r="KB170" s="212" t="n"/>
      <c r="KC170" s="212" t="n"/>
      <c r="KD170" s="212" t="n"/>
      <c r="KE170" s="212" t="n"/>
      <c r="KF170" s="212" t="n"/>
      <c r="KG170" s="212" t="n"/>
      <c r="KH170" s="212" t="n"/>
      <c r="KI170" s="212" t="n"/>
      <c r="KJ170" s="212" t="n"/>
      <c r="KK170" s="212" t="n"/>
      <c r="KL170" s="212" t="n"/>
      <c r="KM170" s="212" t="n"/>
      <c r="KN170" s="212" t="n"/>
      <c r="KO170" s="212" t="n"/>
      <c r="KP170" s="212" t="n"/>
      <c r="KQ170" s="212" t="n"/>
      <c r="KR170" s="212" t="n"/>
      <c r="KS170" s="212" t="n"/>
      <c r="KT170" s="212" t="n"/>
      <c r="KU170" s="212" t="n"/>
      <c r="KV170" s="212" t="n"/>
      <c r="KW170" s="212" t="n"/>
      <c r="KX170" s="212" t="n"/>
      <c r="KY170" s="212" t="n"/>
      <c r="KZ170" s="212" t="n"/>
      <c r="LA170" s="212" t="n"/>
      <c r="LB170" s="212" t="n"/>
      <c r="LC170" s="212" t="n"/>
      <c r="LD170" s="212" t="n"/>
      <c r="LE170" s="212" t="n"/>
      <c r="LF170" s="212" t="n"/>
      <c r="LG170" s="212" t="n"/>
      <c r="LH170" s="212" t="n"/>
      <c r="LI170" s="212" t="n"/>
      <c r="LJ170" s="212" t="n"/>
      <c r="LK170" s="212" t="n"/>
      <c r="LL170" s="212" t="n"/>
      <c r="LM170" s="212" t="n"/>
      <c r="LN170" s="212" t="n"/>
      <c r="LO170" s="212" t="n"/>
      <c r="LP170" s="212" t="n"/>
      <c r="LQ170" s="212" t="n"/>
      <c r="LR170" s="212" t="n"/>
      <c r="LS170" s="212" t="n"/>
      <c r="LT170" s="212" t="n"/>
      <c r="LU170" s="212" t="n"/>
      <c r="LV170" s="212" t="n"/>
      <c r="LW170" s="212" t="n"/>
      <c r="LX170" s="212" t="n"/>
      <c r="LY170" s="212" t="n"/>
      <c r="LZ170" s="212" t="n"/>
      <c r="MA170" s="212" t="n"/>
      <c r="MB170" s="212" t="n"/>
      <c r="MC170" s="212" t="n"/>
      <c r="MD170" s="212" t="n"/>
      <c r="ME170" s="212" t="n"/>
      <c r="MF170" s="212" t="n"/>
      <c r="MG170" s="212" t="n"/>
      <c r="MH170" s="212" t="n"/>
      <c r="MI170" s="212" t="n"/>
      <c r="MJ170" s="212" t="n"/>
      <c r="MK170" s="212" t="n"/>
      <c r="ML170" s="212" t="n"/>
      <c r="MM170" s="212" t="n"/>
      <c r="MN170" s="212" t="n"/>
      <c r="MO170" s="212" t="n"/>
      <c r="MP170" s="212" t="n"/>
      <c r="MQ170" s="212" t="n"/>
      <c r="MR170" s="212" t="n"/>
      <c r="MS170" s="212" t="n"/>
      <c r="MT170" s="212" t="n"/>
      <c r="MU170" s="212" t="n"/>
      <c r="MV170" s="212" t="n"/>
      <c r="MW170" s="212" t="n"/>
      <c r="MX170" s="212" t="n"/>
      <c r="MY170" s="212" t="n"/>
      <c r="MZ170" s="212" t="n"/>
      <c r="NA170" s="212" t="n"/>
      <c r="NB170" s="212" t="n"/>
      <c r="NC170" s="212" t="n"/>
      <c r="ND170" s="212" t="n"/>
      <c r="NE170" s="212" t="n"/>
      <c r="NF170" s="212" t="n"/>
      <c r="NG170" s="212" t="n"/>
      <c r="NH170" s="212" t="n"/>
      <c r="NI170" s="212" t="n"/>
      <c r="NJ170" s="212" t="n"/>
      <c r="NK170" s="212" t="n"/>
      <c r="NL170" s="212" t="n"/>
      <c r="NM170" s="212" t="n"/>
      <c r="NN170" s="212" t="n"/>
      <c r="NO170" s="212" t="n"/>
      <c r="NP170" s="212" t="n"/>
      <c r="NQ170" s="212" t="n"/>
      <c r="NR170" s="212" t="n"/>
      <c r="NS170" s="212" t="n"/>
      <c r="NT170" s="212" t="n"/>
      <c r="NU170" s="212" t="n"/>
      <c r="NV170" s="212" t="n"/>
      <c r="NW170" s="212" t="n"/>
      <c r="NX170" s="212" t="n"/>
      <c r="NY170" s="212" t="n"/>
      <c r="NZ170" s="212" t="n"/>
      <c r="OA170" s="212" t="n"/>
      <c r="OB170" s="212" t="n"/>
      <c r="OC170" s="212" t="n"/>
      <c r="OD170" s="212" t="n"/>
      <c r="OE170" s="212" t="n"/>
      <c r="OF170" s="212" t="n"/>
      <c r="OG170" s="212" t="n"/>
      <c r="OH170" s="212" t="n"/>
      <c r="OI170" s="212" t="n"/>
      <c r="OJ170" s="212" t="n"/>
      <c r="OK170" s="212" t="n"/>
      <c r="OL170" s="212" t="n"/>
      <c r="OM170" s="212" t="n"/>
      <c r="ON170" s="212" t="n"/>
      <c r="OO170" s="212" t="n"/>
      <c r="OP170" s="212" t="n"/>
      <c r="OQ170" s="212" t="n"/>
      <c r="OR170" s="212" t="n"/>
      <c r="OS170" s="212" t="n"/>
      <c r="OT170" s="212" t="n"/>
      <c r="OU170" s="212" t="n"/>
      <c r="OV170" s="212" t="n"/>
      <c r="OW170" s="212" t="n"/>
      <c r="OX170" s="212" t="n"/>
      <c r="OY170" s="212" t="n"/>
      <c r="OZ170" s="212" t="n"/>
      <c r="PA170" s="212" t="n"/>
      <c r="PB170" s="212" t="n"/>
      <c r="PC170" s="212" t="n"/>
      <c r="PD170" s="212" t="n"/>
      <c r="PE170" s="212" t="n"/>
      <c r="PF170" s="212" t="n"/>
      <c r="PG170" s="212" t="n"/>
      <c r="PH170" s="212" t="n"/>
      <c r="PI170" s="212" t="n"/>
      <c r="PJ170" s="212" t="n"/>
      <c r="PK170" s="212" t="n"/>
      <c r="PL170" s="212" t="n"/>
      <c r="PM170" s="212" t="n"/>
      <c r="PN170" s="212" t="n"/>
      <c r="PO170" s="212" t="n"/>
      <c r="PP170" s="212" t="n"/>
      <c r="PQ170" s="212" t="n"/>
      <c r="PR170" s="212" t="n"/>
      <c r="PS170" s="212" t="n"/>
      <c r="PT170" s="212" t="n"/>
      <c r="PU170" s="212" t="n"/>
      <c r="PV170" s="212" t="n"/>
      <c r="PW170" s="212" t="n"/>
      <c r="PX170" s="212" t="n"/>
      <c r="PY170" s="212" t="n"/>
      <c r="PZ170" s="212" t="n"/>
      <c r="QA170" s="212" t="n"/>
      <c r="QB170" s="212" t="n"/>
      <c r="QC170" s="212" t="n"/>
      <c r="QD170" s="212" t="n"/>
      <c r="QE170" s="212" t="n"/>
      <c r="QF170" s="212" t="n"/>
      <c r="QG170" s="212" t="n"/>
      <c r="QH170" s="212" t="n"/>
      <c r="QI170" s="212" t="n"/>
      <c r="QJ170" s="212" t="n"/>
      <c r="QK170" s="212" t="n"/>
      <c r="QL170" s="212" t="n"/>
      <c r="QM170" s="212" t="n"/>
      <c r="QN170" s="212" t="n"/>
      <c r="QO170" s="212" t="n"/>
      <c r="QP170" s="212" t="n"/>
      <c r="QQ170" s="212" t="n"/>
      <c r="QR170" s="212" t="n"/>
      <c r="QS170" s="212" t="n"/>
      <c r="QT170" s="212" t="n"/>
      <c r="QU170" s="212" t="n"/>
      <c r="QV170" s="212" t="n"/>
      <c r="QW170" s="212" t="n"/>
      <c r="QX170" s="212" t="n"/>
      <c r="QY170" s="212" t="n"/>
      <c r="QZ170" s="212" t="n"/>
      <c r="RA170" s="212" t="n"/>
      <c r="RB170" s="212" t="n"/>
      <c r="RC170" s="212" t="n"/>
      <c r="RD170" s="212" t="n"/>
      <c r="RE170" s="212" t="n"/>
      <c r="RF170" s="212" t="n"/>
      <c r="RG170" s="212" t="n"/>
      <c r="RH170" s="212" t="n"/>
      <c r="RI170" s="212" t="n"/>
      <c r="RJ170" s="212" t="n"/>
      <c r="RK170" s="212" t="n"/>
      <c r="RL170" s="212" t="n"/>
      <c r="RM170" s="212" t="n"/>
      <c r="RN170" s="212" t="n"/>
      <c r="RO170" s="212" t="n"/>
      <c r="RP170" s="212" t="n"/>
      <c r="RQ170" s="212" t="n"/>
      <c r="RR170" s="212" t="n"/>
      <c r="RS170" s="212" t="n"/>
      <c r="RT170" s="212" t="n"/>
      <c r="RU170" s="212" t="n"/>
      <c r="RV170" s="212" t="n"/>
      <c r="RW170" s="212" t="n"/>
      <c r="RX170" s="212" t="n"/>
      <c r="RY170" s="212" t="n"/>
      <c r="RZ170" s="212" t="n"/>
      <c r="SA170" s="212" t="n"/>
      <c r="SB170" s="212" t="n"/>
      <c r="SC170" s="212" t="n"/>
      <c r="SD170" s="212" t="n"/>
      <c r="SE170" s="212" t="n"/>
      <c r="SF170" s="212" t="n"/>
      <c r="SG170" s="212" t="n"/>
      <c r="SH170" s="212" t="n"/>
      <c r="SI170" s="212" t="n"/>
      <c r="SJ170" s="212" t="n"/>
      <c r="SK170" s="212" t="n"/>
      <c r="SL170" s="212" t="n"/>
      <c r="SM170" s="212" t="n"/>
      <c r="SN170" s="212" t="n"/>
      <c r="SO170" s="212" t="n"/>
      <c r="SP170" s="212" t="n"/>
      <c r="SQ170" s="212" t="n"/>
      <c r="SR170" s="212" t="n"/>
      <c r="SS170" s="212" t="n"/>
      <c r="ST170" s="212" t="n"/>
      <c r="SU170" s="212" t="n"/>
      <c r="SV170" s="212" t="n"/>
    </row>
    <row r="171">
      <c r="B171" s="209" t="n"/>
      <c r="C171" s="209" t="n"/>
      <c r="D171" s="209" t="n"/>
      <c r="E171" s="209" t="n"/>
      <c r="F171" s="209">
        <f>IF(TRIM(D171&amp;E171)="","",TRIM(D171)&amp;" "&amp;TRIM(E171))</f>
        <v/>
      </c>
      <c r="G171" s="209" t="n"/>
      <c r="H171" s="209" t="n"/>
      <c r="I171" s="209" t="n"/>
      <c r="J171" s="209" t="n"/>
      <c r="K171" s="209" t="n"/>
      <c r="L171" s="209" t="n"/>
      <c r="M171" s="209" t="n"/>
      <c r="N171" s="209" t="n"/>
      <c r="O171" s="209" t="n"/>
      <c r="P171" s="209" t="n"/>
      <c r="Q171" s="209" t="n"/>
      <c r="R171" s="209" t="n"/>
      <c r="S171" s="212" t="n"/>
      <c r="T171" s="212" t="n"/>
      <c r="U171" s="212" t="n"/>
      <c r="V171" s="212" t="n"/>
      <c r="W171" s="212" t="n"/>
      <c r="X171" s="212" t="n"/>
      <c r="Y171" s="212" t="n"/>
      <c r="Z171" s="212" t="n"/>
      <c r="AA171" s="212" t="n"/>
      <c r="AB171" s="212" t="n"/>
      <c r="AC171" s="212" t="n"/>
      <c r="AD171" s="212" t="n"/>
      <c r="AE171" s="212" t="n"/>
      <c r="AF171" s="212" t="n"/>
      <c r="AG171" s="212" t="n"/>
      <c r="AH171" s="212" t="n"/>
      <c r="AI171" s="212" t="n"/>
      <c r="AJ171" s="212" t="n"/>
      <c r="AK171" s="212" t="n"/>
      <c r="AL171" s="212" t="n"/>
      <c r="AM171" s="212" t="n"/>
      <c r="AN171" s="212" t="n"/>
      <c r="AO171" s="212" t="n"/>
      <c r="AP171" s="212" t="n"/>
      <c r="AQ171" s="212" t="n"/>
      <c r="AR171" s="212" t="n"/>
      <c r="AS171" s="212" t="n"/>
      <c r="AT171" s="212" t="n"/>
      <c r="AU171" s="212" t="n"/>
      <c r="AV171" s="212" t="n"/>
      <c r="AW171" s="212" t="n"/>
      <c r="AX171" s="212" t="n"/>
      <c r="AY171" s="212" t="n"/>
      <c r="AZ171" s="212" t="n"/>
      <c r="BA171" s="212" t="n"/>
      <c r="BB171" s="212" t="n"/>
      <c r="BC171" s="212" t="n"/>
      <c r="BD171" s="212" t="n"/>
      <c r="BE171" s="212" t="n"/>
      <c r="BF171" s="212" t="n"/>
      <c r="BG171" s="212" t="n"/>
      <c r="BH171" s="212" t="n"/>
      <c r="BI171" s="212" t="n"/>
      <c r="BJ171" s="212" t="n"/>
      <c r="BK171" s="212" t="n"/>
      <c r="BL171" s="212" t="n"/>
      <c r="BM171" s="212" t="n"/>
      <c r="BN171" s="212" t="n"/>
      <c r="BO171" s="212" t="n"/>
      <c r="BP171" s="212" t="n"/>
      <c r="BQ171" s="212" t="n"/>
      <c r="BR171" s="212" t="n"/>
      <c r="BS171" s="212" t="n"/>
      <c r="BT171" s="212" t="n"/>
      <c r="BU171" s="212" t="n"/>
      <c r="BV171" s="212" t="n"/>
      <c r="BW171" s="212" t="n"/>
      <c r="BX171" s="212" t="n"/>
      <c r="BY171" s="212" t="n"/>
      <c r="BZ171" s="212" t="n"/>
      <c r="CA171" s="212" t="n"/>
      <c r="CB171" s="212" t="n"/>
      <c r="CC171" s="212" t="n"/>
      <c r="CD171" s="212" t="n"/>
      <c r="CE171" s="212" t="n"/>
      <c r="CF171" s="212" t="n"/>
      <c r="CG171" s="212" t="n"/>
      <c r="CH171" s="212" t="n"/>
      <c r="CI171" s="212" t="n"/>
      <c r="CJ171" s="212" t="n"/>
      <c r="CK171" s="212" t="n"/>
      <c r="CL171" s="212" t="n"/>
      <c r="CM171" s="212" t="n"/>
      <c r="CN171" s="212" t="n"/>
      <c r="CO171" s="212" t="n"/>
      <c r="CP171" s="212" t="n"/>
      <c r="CQ171" s="212" t="n"/>
      <c r="CR171" s="212" t="n"/>
      <c r="CS171" s="212" t="n"/>
      <c r="CT171" s="212" t="n"/>
      <c r="CU171" s="212" t="n"/>
      <c r="CV171" s="212" t="n"/>
      <c r="CW171" s="212" t="n"/>
      <c r="CX171" s="212" t="n"/>
      <c r="CY171" s="212" t="n"/>
      <c r="CZ171" s="212" t="n"/>
      <c r="DA171" s="212" t="n"/>
      <c r="DB171" s="212" t="n"/>
      <c r="DC171" s="212" t="n"/>
      <c r="DD171" s="212" t="n"/>
      <c r="DE171" s="212" t="n"/>
      <c r="DF171" s="212" t="n"/>
      <c r="DG171" s="212" t="n"/>
      <c r="DH171" s="212" t="n"/>
      <c r="DI171" s="212" t="n"/>
      <c r="DJ171" s="212" t="n"/>
      <c r="DK171" s="212" t="n"/>
      <c r="DL171" s="212" t="n"/>
      <c r="DM171" s="212" t="n"/>
      <c r="DN171" s="212" t="n"/>
      <c r="DO171" s="212" t="n"/>
      <c r="DP171" s="212" t="n"/>
      <c r="DQ171" s="212" t="n"/>
      <c r="DR171" s="212" t="n"/>
      <c r="DS171" s="212" t="n"/>
      <c r="DT171" s="212" t="n"/>
      <c r="DU171" s="212" t="n"/>
      <c r="DV171" s="212" t="n"/>
      <c r="DW171" s="212" t="n"/>
      <c r="DX171" s="212" t="n"/>
      <c r="DY171" s="212" t="n"/>
      <c r="DZ171" s="212" t="n"/>
      <c r="EA171" s="212" t="n"/>
      <c r="EB171" s="212" t="n"/>
      <c r="EC171" s="212" t="n"/>
      <c r="ED171" s="212" t="n"/>
      <c r="EE171" s="212" t="n"/>
      <c r="EF171" s="212" t="n"/>
      <c r="EG171" s="212" t="n"/>
      <c r="EH171" s="212" t="n"/>
      <c r="EI171" s="212" t="n"/>
      <c r="EJ171" s="212" t="n"/>
      <c r="EK171" s="212" t="n"/>
      <c r="EL171" s="212" t="n"/>
      <c r="EM171" s="212" t="n"/>
      <c r="EN171" s="212" t="n"/>
      <c r="EO171" s="212" t="n"/>
      <c r="EP171" s="212" t="n"/>
      <c r="EQ171" s="212" t="n"/>
      <c r="ER171" s="212" t="n"/>
      <c r="ES171" s="212" t="n"/>
      <c r="ET171" s="212" t="n"/>
      <c r="EU171" s="212" t="n"/>
      <c r="EV171" s="212" t="n"/>
      <c r="EW171" s="212" t="n"/>
      <c r="EX171" s="212" t="n"/>
      <c r="EY171" s="212" t="n"/>
      <c r="EZ171" s="212" t="n"/>
      <c r="FA171" s="212" t="n"/>
      <c r="FB171" s="212" t="n"/>
      <c r="FC171" s="212" t="n"/>
      <c r="FD171" s="212" t="n"/>
      <c r="FE171" s="212" t="n"/>
      <c r="FF171" s="212" t="n"/>
      <c r="FG171" s="212" t="n"/>
      <c r="FH171" s="212" t="n"/>
      <c r="FI171" s="212" t="n"/>
      <c r="FJ171" s="212" t="n"/>
      <c r="FK171" s="212" t="n"/>
      <c r="FL171" s="212" t="n"/>
      <c r="FM171" s="212" t="n"/>
      <c r="FN171" s="212" t="n"/>
      <c r="FO171" s="212" t="n"/>
      <c r="FP171" s="212" t="n"/>
      <c r="FQ171" s="212" t="n"/>
      <c r="FR171" s="212" t="n"/>
      <c r="FS171" s="212" t="n"/>
      <c r="FT171" s="212" t="n"/>
      <c r="FU171" s="212" t="n"/>
      <c r="FV171" s="212" t="n"/>
      <c r="FW171" s="212" t="n"/>
      <c r="FX171" s="212" t="n"/>
      <c r="FY171" s="212" t="n"/>
      <c r="FZ171" s="212" t="n"/>
      <c r="GA171" s="212" t="n"/>
      <c r="GB171" s="212" t="n"/>
      <c r="GC171" s="212" t="n"/>
      <c r="GD171" s="212" t="n"/>
      <c r="GE171" s="212" t="n"/>
      <c r="GF171" s="212" t="n"/>
      <c r="GG171" s="212" t="n"/>
      <c r="GH171" s="212" t="n"/>
      <c r="GI171" s="212" t="n"/>
      <c r="GJ171" s="212" t="n"/>
      <c r="GK171" s="212" t="n"/>
      <c r="GL171" s="212" t="n"/>
      <c r="GM171" s="212" t="n"/>
      <c r="GN171" s="212" t="n"/>
      <c r="GO171" s="212" t="n"/>
      <c r="GP171" s="212" t="n"/>
      <c r="GQ171" s="212" t="n"/>
      <c r="GR171" s="212" t="n"/>
      <c r="GS171" s="212" t="n"/>
      <c r="GT171" s="212" t="n"/>
      <c r="GU171" s="212" t="n"/>
      <c r="GV171" s="212" t="n"/>
      <c r="GW171" s="212" t="n"/>
      <c r="GX171" s="212" t="n"/>
      <c r="GY171" s="212" t="n"/>
      <c r="GZ171" s="212" t="n"/>
      <c r="HA171" s="212" t="n"/>
      <c r="HB171" s="212" t="n"/>
      <c r="HC171" s="212" t="n"/>
      <c r="HD171" s="212" t="n"/>
      <c r="HE171" s="212" t="n"/>
      <c r="HF171" s="212" t="n"/>
      <c r="HG171" s="212" t="n"/>
      <c r="HH171" s="212" t="n"/>
      <c r="HI171" s="212" t="n"/>
      <c r="HJ171" s="212" t="n"/>
      <c r="HK171" s="212" t="n"/>
      <c r="HL171" s="212" t="n"/>
      <c r="HM171" s="212" t="n"/>
      <c r="HN171" s="212" t="n"/>
      <c r="HO171" s="212" t="n"/>
      <c r="HP171" s="212" t="n"/>
      <c r="HQ171" s="212" t="n"/>
      <c r="HR171" s="212" t="n"/>
      <c r="HS171" s="212" t="n"/>
      <c r="HT171" s="212" t="n"/>
      <c r="HU171" s="212" t="n"/>
      <c r="HV171" s="212" t="n"/>
      <c r="HW171" s="212" t="n"/>
      <c r="HX171" s="212" t="n"/>
      <c r="HY171" s="212" t="n"/>
      <c r="HZ171" s="212" t="n"/>
      <c r="IA171" s="212" t="n"/>
      <c r="IB171" s="212" t="n"/>
      <c r="IC171" s="212" t="n"/>
      <c r="ID171" s="212" t="n"/>
      <c r="IE171" s="212" t="n"/>
      <c r="IF171" s="212" t="n"/>
      <c r="IG171" s="212" t="n"/>
      <c r="IH171" s="212" t="n"/>
      <c r="II171" s="212" t="n"/>
      <c r="IJ171" s="212" t="n"/>
      <c r="IK171" s="212" t="n"/>
      <c r="IL171" s="212" t="n"/>
      <c r="IM171" s="212" t="n"/>
      <c r="IN171" s="212" t="n"/>
      <c r="IO171" s="212" t="n"/>
      <c r="IP171" s="212" t="n"/>
      <c r="IQ171" s="212" t="n"/>
      <c r="IR171" s="212" t="n"/>
      <c r="IS171" s="212" t="n"/>
      <c r="IT171" s="212" t="n"/>
      <c r="IU171" s="212" t="n"/>
      <c r="IV171" s="212" t="n"/>
      <c r="IW171" s="212" t="n"/>
      <c r="IX171" s="212" t="n"/>
      <c r="IY171" s="212" t="n"/>
      <c r="IZ171" s="212" t="n"/>
      <c r="JA171" s="212" t="n"/>
      <c r="JB171" s="212" t="n"/>
      <c r="JC171" s="212" t="n"/>
      <c r="JD171" s="212" t="n"/>
      <c r="JE171" s="212" t="n"/>
      <c r="JF171" s="212" t="n"/>
      <c r="JG171" s="212" t="n"/>
      <c r="JH171" s="212" t="n"/>
      <c r="JI171" s="212" t="n"/>
      <c r="JJ171" s="212" t="n"/>
      <c r="JK171" s="212" t="n"/>
      <c r="JL171" s="212" t="n"/>
      <c r="JM171" s="212" t="n"/>
      <c r="JN171" s="212" t="n"/>
      <c r="JO171" s="212" t="n"/>
      <c r="JP171" s="212" t="n"/>
      <c r="JQ171" s="212" t="n"/>
      <c r="JR171" s="212" t="n"/>
      <c r="JS171" s="212" t="n"/>
      <c r="JT171" s="212" t="n"/>
      <c r="JU171" s="212" t="n"/>
      <c r="JV171" s="212" t="n"/>
      <c r="JW171" s="212" t="n"/>
      <c r="JX171" s="212" t="n"/>
      <c r="JY171" s="212" t="n"/>
      <c r="JZ171" s="212" t="n"/>
      <c r="KA171" s="212" t="n"/>
      <c r="KB171" s="212" t="n"/>
      <c r="KC171" s="212" t="n"/>
      <c r="KD171" s="212" t="n"/>
      <c r="KE171" s="212" t="n"/>
      <c r="KF171" s="212" t="n"/>
      <c r="KG171" s="212" t="n"/>
      <c r="KH171" s="212" t="n"/>
      <c r="KI171" s="212" t="n"/>
      <c r="KJ171" s="212" t="n"/>
      <c r="KK171" s="212" t="n"/>
      <c r="KL171" s="212" t="n"/>
      <c r="KM171" s="212" t="n"/>
      <c r="KN171" s="212" t="n"/>
      <c r="KO171" s="212" t="n"/>
      <c r="KP171" s="212" t="n"/>
      <c r="KQ171" s="212" t="n"/>
      <c r="KR171" s="212" t="n"/>
      <c r="KS171" s="212" t="n"/>
      <c r="KT171" s="212" t="n"/>
      <c r="KU171" s="212" t="n"/>
      <c r="KV171" s="212" t="n"/>
      <c r="KW171" s="212" t="n"/>
      <c r="KX171" s="212" t="n"/>
      <c r="KY171" s="212" t="n"/>
      <c r="KZ171" s="212" t="n"/>
      <c r="LA171" s="212" t="n"/>
      <c r="LB171" s="212" t="n"/>
      <c r="LC171" s="212" t="n"/>
      <c r="LD171" s="212" t="n"/>
      <c r="LE171" s="212" t="n"/>
      <c r="LF171" s="212" t="n"/>
      <c r="LG171" s="212" t="n"/>
      <c r="LH171" s="212" t="n"/>
      <c r="LI171" s="212" t="n"/>
      <c r="LJ171" s="212" t="n"/>
      <c r="LK171" s="212" t="n"/>
      <c r="LL171" s="212" t="n"/>
      <c r="LM171" s="212" t="n"/>
      <c r="LN171" s="212" t="n"/>
      <c r="LO171" s="212" t="n"/>
      <c r="LP171" s="212" t="n"/>
      <c r="LQ171" s="212" t="n"/>
      <c r="LR171" s="212" t="n"/>
      <c r="LS171" s="212" t="n"/>
      <c r="LT171" s="212" t="n"/>
      <c r="LU171" s="212" t="n"/>
      <c r="LV171" s="212" t="n"/>
      <c r="LW171" s="212" t="n"/>
      <c r="LX171" s="212" t="n"/>
      <c r="LY171" s="212" t="n"/>
      <c r="LZ171" s="212" t="n"/>
      <c r="MA171" s="212" t="n"/>
      <c r="MB171" s="212" t="n"/>
      <c r="MC171" s="212" t="n"/>
      <c r="MD171" s="212" t="n"/>
      <c r="ME171" s="212" t="n"/>
      <c r="MF171" s="212" t="n"/>
      <c r="MG171" s="212" t="n"/>
      <c r="MH171" s="212" t="n"/>
      <c r="MI171" s="212" t="n"/>
      <c r="MJ171" s="212" t="n"/>
      <c r="MK171" s="212" t="n"/>
      <c r="ML171" s="212" t="n"/>
      <c r="MM171" s="212" t="n"/>
      <c r="MN171" s="212" t="n"/>
      <c r="MO171" s="212" t="n"/>
      <c r="MP171" s="212" t="n"/>
      <c r="MQ171" s="212" t="n"/>
      <c r="MR171" s="212" t="n"/>
      <c r="MS171" s="212" t="n"/>
      <c r="MT171" s="212" t="n"/>
      <c r="MU171" s="212" t="n"/>
      <c r="MV171" s="212" t="n"/>
      <c r="MW171" s="212" t="n"/>
      <c r="MX171" s="212" t="n"/>
      <c r="MY171" s="212" t="n"/>
      <c r="MZ171" s="212" t="n"/>
      <c r="NA171" s="212" t="n"/>
      <c r="NB171" s="212" t="n"/>
      <c r="NC171" s="212" t="n"/>
      <c r="ND171" s="212" t="n"/>
      <c r="NE171" s="212" t="n"/>
      <c r="NF171" s="212" t="n"/>
      <c r="NG171" s="212" t="n"/>
      <c r="NH171" s="212" t="n"/>
      <c r="NI171" s="212" t="n"/>
      <c r="NJ171" s="212" t="n"/>
      <c r="NK171" s="212" t="n"/>
      <c r="NL171" s="212" t="n"/>
      <c r="NM171" s="212" t="n"/>
      <c r="NN171" s="212" t="n"/>
      <c r="NO171" s="212" t="n"/>
      <c r="NP171" s="212" t="n"/>
      <c r="NQ171" s="212" t="n"/>
      <c r="NR171" s="212" t="n"/>
      <c r="NS171" s="212" t="n"/>
      <c r="NT171" s="212" t="n"/>
      <c r="NU171" s="212" t="n"/>
      <c r="NV171" s="212" t="n"/>
      <c r="NW171" s="212" t="n"/>
      <c r="NX171" s="212" t="n"/>
      <c r="NY171" s="212" t="n"/>
      <c r="NZ171" s="212" t="n"/>
      <c r="OA171" s="212" t="n"/>
      <c r="OB171" s="212" t="n"/>
      <c r="OC171" s="212" t="n"/>
      <c r="OD171" s="212" t="n"/>
      <c r="OE171" s="212" t="n"/>
      <c r="OF171" s="212" t="n"/>
      <c r="OG171" s="212" t="n"/>
      <c r="OH171" s="212" t="n"/>
      <c r="OI171" s="212" t="n"/>
      <c r="OJ171" s="212" t="n"/>
      <c r="OK171" s="212" t="n"/>
      <c r="OL171" s="212" t="n"/>
      <c r="OM171" s="212" t="n"/>
      <c r="ON171" s="212" t="n"/>
      <c r="OO171" s="212" t="n"/>
      <c r="OP171" s="212" t="n"/>
      <c r="OQ171" s="212" t="n"/>
      <c r="OR171" s="212" t="n"/>
      <c r="OS171" s="212" t="n"/>
      <c r="OT171" s="212" t="n"/>
      <c r="OU171" s="212" t="n"/>
      <c r="OV171" s="212" t="n"/>
      <c r="OW171" s="212" t="n"/>
      <c r="OX171" s="212" t="n"/>
      <c r="OY171" s="212" t="n"/>
      <c r="OZ171" s="212" t="n"/>
      <c r="PA171" s="212" t="n"/>
      <c r="PB171" s="212" t="n"/>
      <c r="PC171" s="212" t="n"/>
      <c r="PD171" s="212" t="n"/>
      <c r="PE171" s="212" t="n"/>
      <c r="PF171" s="212" t="n"/>
      <c r="PG171" s="212" t="n"/>
      <c r="PH171" s="212" t="n"/>
      <c r="PI171" s="212" t="n"/>
      <c r="PJ171" s="212" t="n"/>
      <c r="PK171" s="212" t="n"/>
      <c r="PL171" s="212" t="n"/>
      <c r="PM171" s="212" t="n"/>
      <c r="PN171" s="212" t="n"/>
      <c r="PO171" s="212" t="n"/>
      <c r="PP171" s="212" t="n"/>
      <c r="PQ171" s="212" t="n"/>
      <c r="PR171" s="212" t="n"/>
      <c r="PS171" s="212" t="n"/>
      <c r="PT171" s="212" t="n"/>
      <c r="PU171" s="212" t="n"/>
      <c r="PV171" s="212" t="n"/>
      <c r="PW171" s="212" t="n"/>
      <c r="PX171" s="212" t="n"/>
      <c r="PY171" s="212" t="n"/>
      <c r="PZ171" s="212" t="n"/>
      <c r="QA171" s="212" t="n"/>
      <c r="QB171" s="212" t="n"/>
      <c r="QC171" s="212" t="n"/>
      <c r="QD171" s="212" t="n"/>
      <c r="QE171" s="212" t="n"/>
      <c r="QF171" s="212" t="n"/>
      <c r="QG171" s="212" t="n"/>
      <c r="QH171" s="212" t="n"/>
      <c r="QI171" s="212" t="n"/>
      <c r="QJ171" s="212" t="n"/>
      <c r="QK171" s="212" t="n"/>
      <c r="QL171" s="212" t="n"/>
      <c r="QM171" s="212" t="n"/>
      <c r="QN171" s="212" t="n"/>
      <c r="QO171" s="212" t="n"/>
      <c r="QP171" s="212" t="n"/>
      <c r="QQ171" s="212" t="n"/>
      <c r="QR171" s="212" t="n"/>
      <c r="QS171" s="212" t="n"/>
      <c r="QT171" s="212" t="n"/>
      <c r="QU171" s="212" t="n"/>
      <c r="QV171" s="212" t="n"/>
      <c r="QW171" s="212" t="n"/>
      <c r="QX171" s="212" t="n"/>
      <c r="QY171" s="212" t="n"/>
      <c r="QZ171" s="212" t="n"/>
      <c r="RA171" s="212" t="n"/>
      <c r="RB171" s="212" t="n"/>
      <c r="RC171" s="212" t="n"/>
      <c r="RD171" s="212" t="n"/>
      <c r="RE171" s="212" t="n"/>
      <c r="RF171" s="212" t="n"/>
      <c r="RG171" s="212" t="n"/>
      <c r="RH171" s="212" t="n"/>
      <c r="RI171" s="212" t="n"/>
      <c r="RJ171" s="212" t="n"/>
      <c r="RK171" s="212" t="n"/>
      <c r="RL171" s="212" t="n"/>
      <c r="RM171" s="212" t="n"/>
      <c r="RN171" s="212" t="n"/>
      <c r="RO171" s="212" t="n"/>
      <c r="RP171" s="212" t="n"/>
      <c r="RQ171" s="212" t="n"/>
      <c r="RR171" s="212" t="n"/>
      <c r="RS171" s="212" t="n"/>
      <c r="RT171" s="212" t="n"/>
      <c r="RU171" s="212" t="n"/>
      <c r="RV171" s="212" t="n"/>
      <c r="RW171" s="212" t="n"/>
      <c r="RX171" s="212" t="n"/>
      <c r="RY171" s="212" t="n"/>
      <c r="RZ171" s="212" t="n"/>
      <c r="SA171" s="212" t="n"/>
      <c r="SB171" s="212" t="n"/>
      <c r="SC171" s="212" t="n"/>
      <c r="SD171" s="212" t="n"/>
      <c r="SE171" s="212" t="n"/>
      <c r="SF171" s="212" t="n"/>
      <c r="SG171" s="212" t="n"/>
      <c r="SH171" s="212" t="n"/>
      <c r="SI171" s="212" t="n"/>
      <c r="SJ171" s="212" t="n"/>
      <c r="SK171" s="212" t="n"/>
      <c r="SL171" s="212" t="n"/>
      <c r="SM171" s="212" t="n"/>
      <c r="SN171" s="212" t="n"/>
      <c r="SO171" s="212" t="n"/>
      <c r="SP171" s="212" t="n"/>
      <c r="SQ171" s="212" t="n"/>
      <c r="SR171" s="212" t="n"/>
      <c r="SS171" s="212" t="n"/>
      <c r="ST171" s="212" t="n"/>
      <c r="SU171" s="212" t="n"/>
      <c r="SV171" s="212" t="n"/>
    </row>
    <row r="172">
      <c r="B172" s="209" t="n"/>
      <c r="C172" s="209" t="n"/>
      <c r="D172" s="209" t="n"/>
      <c r="E172" s="209" t="n"/>
      <c r="F172" s="209">
        <f>IF(TRIM(D172&amp;E172)="","",TRIM(D172)&amp;" "&amp;TRIM(E172))</f>
        <v/>
      </c>
      <c r="G172" s="209" t="n"/>
      <c r="H172" s="209" t="n"/>
      <c r="I172" s="209" t="n"/>
      <c r="J172" s="209" t="n"/>
      <c r="K172" s="209" t="n"/>
      <c r="L172" s="209" t="n"/>
      <c r="M172" s="209" t="n"/>
      <c r="N172" s="209" t="n"/>
      <c r="O172" s="209" t="n"/>
      <c r="P172" s="209" t="n"/>
      <c r="Q172" s="209" t="n"/>
      <c r="R172" s="209" t="n"/>
      <c r="S172" s="212" t="n"/>
      <c r="T172" s="212" t="n"/>
      <c r="U172" s="212" t="n"/>
      <c r="V172" s="212" t="n"/>
      <c r="W172" s="212" t="n"/>
      <c r="X172" s="212" t="n"/>
      <c r="Y172" s="212" t="n"/>
      <c r="Z172" s="212" t="n"/>
      <c r="AA172" s="212" t="n"/>
      <c r="AB172" s="212" t="n"/>
      <c r="AC172" s="212" t="n"/>
      <c r="AD172" s="212" t="n"/>
      <c r="AE172" s="212" t="n"/>
      <c r="AF172" s="212" t="n"/>
      <c r="AG172" s="212" t="n"/>
      <c r="AH172" s="212" t="n"/>
      <c r="AI172" s="212" t="n"/>
      <c r="AJ172" s="212" t="n"/>
      <c r="AK172" s="212" t="n"/>
      <c r="AL172" s="212" t="n"/>
      <c r="AM172" s="212" t="n"/>
      <c r="AN172" s="212" t="n"/>
      <c r="AO172" s="212" t="n"/>
      <c r="AP172" s="212" t="n"/>
      <c r="AQ172" s="212" t="n"/>
      <c r="AR172" s="212" t="n"/>
      <c r="AS172" s="212" t="n"/>
      <c r="AT172" s="212" t="n"/>
      <c r="AU172" s="212" t="n"/>
      <c r="AV172" s="212" t="n"/>
      <c r="AW172" s="212" t="n"/>
      <c r="AX172" s="212" t="n"/>
      <c r="AY172" s="212" t="n"/>
      <c r="AZ172" s="212" t="n"/>
      <c r="BA172" s="212" t="n"/>
      <c r="BB172" s="212" t="n"/>
      <c r="BC172" s="212" t="n"/>
      <c r="BD172" s="212" t="n"/>
      <c r="BE172" s="212" t="n"/>
      <c r="BF172" s="212" t="n"/>
      <c r="BG172" s="212" t="n"/>
      <c r="BH172" s="212" t="n"/>
      <c r="BI172" s="212" t="n"/>
      <c r="BJ172" s="212" t="n"/>
      <c r="BK172" s="212" t="n"/>
      <c r="BL172" s="212" t="n"/>
      <c r="BM172" s="212" t="n"/>
      <c r="BN172" s="212" t="n"/>
      <c r="BO172" s="212" t="n"/>
      <c r="BP172" s="212" t="n"/>
      <c r="BQ172" s="212" t="n"/>
      <c r="BR172" s="212" t="n"/>
      <c r="BS172" s="212" t="n"/>
      <c r="BT172" s="212" t="n"/>
      <c r="BU172" s="212" t="n"/>
      <c r="BV172" s="212" t="n"/>
      <c r="BW172" s="212" t="n"/>
      <c r="BX172" s="212" t="n"/>
      <c r="BY172" s="212" t="n"/>
      <c r="BZ172" s="212" t="n"/>
      <c r="CA172" s="212" t="n"/>
      <c r="CB172" s="212" t="n"/>
      <c r="CC172" s="212" t="n"/>
      <c r="CD172" s="212" t="n"/>
      <c r="CE172" s="212" t="n"/>
      <c r="CF172" s="212" t="n"/>
      <c r="CG172" s="212" t="n"/>
      <c r="CH172" s="212" t="n"/>
      <c r="CI172" s="212" t="n"/>
      <c r="CJ172" s="212" t="n"/>
      <c r="CK172" s="212" t="n"/>
      <c r="CL172" s="212" t="n"/>
      <c r="CM172" s="212" t="n"/>
      <c r="CN172" s="212" t="n"/>
      <c r="CO172" s="212" t="n"/>
      <c r="CP172" s="212" t="n"/>
      <c r="CQ172" s="212" t="n"/>
      <c r="CR172" s="212" t="n"/>
      <c r="CS172" s="212" t="n"/>
      <c r="CT172" s="212" t="n"/>
      <c r="CU172" s="212" t="n"/>
      <c r="CV172" s="212" t="n"/>
      <c r="CW172" s="212" t="n"/>
      <c r="CX172" s="212" t="n"/>
      <c r="CY172" s="212" t="n"/>
      <c r="CZ172" s="212" t="n"/>
      <c r="DA172" s="212" t="n"/>
      <c r="DB172" s="212" t="n"/>
      <c r="DC172" s="212" t="n"/>
      <c r="DD172" s="212" t="n"/>
      <c r="DE172" s="212" t="n"/>
      <c r="DF172" s="212" t="n"/>
      <c r="DG172" s="212" t="n"/>
      <c r="DH172" s="212" t="n"/>
      <c r="DI172" s="212" t="n"/>
      <c r="DJ172" s="212" t="n"/>
      <c r="DK172" s="212" t="n"/>
      <c r="DL172" s="212" t="n"/>
      <c r="DM172" s="212" t="n"/>
      <c r="DN172" s="212" t="n"/>
      <c r="DO172" s="212" t="n"/>
      <c r="DP172" s="212" t="n"/>
      <c r="DQ172" s="212" t="n"/>
      <c r="DR172" s="212" t="n"/>
      <c r="DS172" s="212" t="n"/>
      <c r="DT172" s="212" t="n"/>
      <c r="DU172" s="212" t="n"/>
      <c r="DV172" s="212" t="n"/>
      <c r="DW172" s="212" t="n"/>
      <c r="DX172" s="212" t="n"/>
      <c r="DY172" s="212" t="n"/>
      <c r="DZ172" s="212" t="n"/>
      <c r="EA172" s="212" t="n"/>
      <c r="EB172" s="212" t="n"/>
      <c r="EC172" s="212" t="n"/>
      <c r="ED172" s="212" t="n"/>
      <c r="EE172" s="212" t="n"/>
      <c r="EF172" s="212" t="n"/>
      <c r="EG172" s="212" t="n"/>
      <c r="EH172" s="212" t="n"/>
      <c r="EI172" s="212" t="n"/>
      <c r="EJ172" s="212" t="n"/>
      <c r="EK172" s="212" t="n"/>
      <c r="EL172" s="212" t="n"/>
      <c r="EM172" s="212" t="n"/>
      <c r="EN172" s="212" t="n"/>
      <c r="EO172" s="212" t="n"/>
      <c r="EP172" s="212" t="n"/>
      <c r="EQ172" s="212" t="n"/>
      <c r="ER172" s="212" t="n"/>
      <c r="ES172" s="212" t="n"/>
      <c r="ET172" s="212" t="n"/>
      <c r="EU172" s="212" t="n"/>
      <c r="EV172" s="212" t="n"/>
      <c r="EW172" s="212" t="n"/>
      <c r="EX172" s="212" t="n"/>
      <c r="EY172" s="212" t="n"/>
      <c r="EZ172" s="212" t="n"/>
      <c r="FA172" s="212" t="n"/>
      <c r="FB172" s="212" t="n"/>
      <c r="FC172" s="212" t="n"/>
      <c r="FD172" s="212" t="n"/>
      <c r="FE172" s="212" t="n"/>
      <c r="FF172" s="212" t="n"/>
      <c r="FG172" s="212" t="n"/>
      <c r="FH172" s="212" t="n"/>
      <c r="FI172" s="212" t="n"/>
      <c r="FJ172" s="212" t="n"/>
      <c r="FK172" s="212" t="n"/>
      <c r="FL172" s="212" t="n"/>
      <c r="FM172" s="212" t="n"/>
      <c r="FN172" s="212" t="n"/>
      <c r="FO172" s="212" t="n"/>
      <c r="FP172" s="212" t="n"/>
      <c r="FQ172" s="212" t="n"/>
      <c r="FR172" s="212" t="n"/>
      <c r="FS172" s="212" t="n"/>
      <c r="FT172" s="212" t="n"/>
      <c r="FU172" s="212" t="n"/>
      <c r="FV172" s="212" t="n"/>
      <c r="FW172" s="212" t="n"/>
      <c r="FX172" s="212" t="n"/>
      <c r="FY172" s="212" t="n"/>
      <c r="FZ172" s="212" t="n"/>
      <c r="GA172" s="212" t="n"/>
      <c r="GB172" s="212" t="n"/>
      <c r="GC172" s="212" t="n"/>
      <c r="GD172" s="212" t="n"/>
      <c r="GE172" s="212" t="n"/>
      <c r="GF172" s="212" t="n"/>
      <c r="GG172" s="212" t="n"/>
      <c r="GH172" s="212" t="n"/>
      <c r="GI172" s="212" t="n"/>
      <c r="GJ172" s="212" t="n"/>
      <c r="GK172" s="212" t="n"/>
      <c r="GL172" s="212" t="n"/>
      <c r="GM172" s="212" t="n"/>
      <c r="GN172" s="212" t="n"/>
      <c r="GO172" s="212" t="n"/>
      <c r="GP172" s="212" t="n"/>
      <c r="GQ172" s="212" t="n"/>
      <c r="GR172" s="212" t="n"/>
      <c r="GS172" s="212" t="n"/>
      <c r="GT172" s="212" t="n"/>
      <c r="GU172" s="212" t="n"/>
      <c r="GV172" s="212" t="n"/>
      <c r="GW172" s="212" t="n"/>
      <c r="GX172" s="212" t="n"/>
      <c r="GY172" s="212" t="n"/>
      <c r="GZ172" s="212" t="n"/>
      <c r="HA172" s="212" t="n"/>
      <c r="HB172" s="212" t="n"/>
      <c r="HC172" s="212" t="n"/>
      <c r="HD172" s="212" t="n"/>
      <c r="HE172" s="212" t="n"/>
      <c r="HF172" s="212" t="n"/>
      <c r="HG172" s="212" t="n"/>
      <c r="HH172" s="212" t="n"/>
      <c r="HI172" s="212" t="n"/>
      <c r="HJ172" s="212" t="n"/>
      <c r="HK172" s="212" t="n"/>
      <c r="HL172" s="212" t="n"/>
      <c r="HM172" s="212" t="n"/>
      <c r="HN172" s="212" t="n"/>
      <c r="HO172" s="212" t="n"/>
      <c r="HP172" s="212" t="n"/>
      <c r="HQ172" s="212" t="n"/>
      <c r="HR172" s="212" t="n"/>
      <c r="HS172" s="212" t="n"/>
      <c r="HT172" s="212" t="n"/>
      <c r="HU172" s="212" t="n"/>
      <c r="HV172" s="212" t="n"/>
      <c r="HW172" s="212" t="n"/>
      <c r="HX172" s="212" t="n"/>
      <c r="HY172" s="212" t="n"/>
      <c r="HZ172" s="212" t="n"/>
      <c r="IA172" s="212" t="n"/>
      <c r="IB172" s="212" t="n"/>
      <c r="IC172" s="212" t="n"/>
      <c r="ID172" s="212" t="n"/>
      <c r="IE172" s="212" t="n"/>
      <c r="IF172" s="212" t="n"/>
      <c r="IG172" s="212" t="n"/>
      <c r="IH172" s="212" t="n"/>
      <c r="II172" s="212" t="n"/>
      <c r="IJ172" s="212" t="n"/>
      <c r="IK172" s="212" t="n"/>
      <c r="IL172" s="212" t="n"/>
      <c r="IM172" s="212" t="n"/>
      <c r="IN172" s="212" t="n"/>
      <c r="IO172" s="212" t="n"/>
      <c r="IP172" s="212" t="n"/>
      <c r="IQ172" s="212" t="n"/>
      <c r="IR172" s="212" t="n"/>
      <c r="IS172" s="212" t="n"/>
      <c r="IT172" s="212" t="n"/>
      <c r="IU172" s="212" t="n"/>
      <c r="IV172" s="212" t="n"/>
      <c r="IW172" s="212" t="n"/>
      <c r="IX172" s="212" t="n"/>
      <c r="IY172" s="212" t="n"/>
      <c r="IZ172" s="212" t="n"/>
      <c r="JA172" s="212" t="n"/>
      <c r="JB172" s="212" t="n"/>
      <c r="JC172" s="212" t="n"/>
      <c r="JD172" s="212" t="n"/>
      <c r="JE172" s="212" t="n"/>
      <c r="JF172" s="212" t="n"/>
      <c r="JG172" s="212" t="n"/>
      <c r="JH172" s="212" t="n"/>
      <c r="JI172" s="212" t="n"/>
      <c r="JJ172" s="212" t="n"/>
      <c r="JK172" s="212" t="n"/>
      <c r="JL172" s="212" t="n"/>
      <c r="JM172" s="212" t="n"/>
      <c r="JN172" s="212" t="n"/>
      <c r="JO172" s="212" t="n"/>
      <c r="JP172" s="212" t="n"/>
      <c r="JQ172" s="212" t="n"/>
      <c r="JR172" s="212" t="n"/>
      <c r="JS172" s="212" t="n"/>
      <c r="JT172" s="212" t="n"/>
      <c r="JU172" s="212" t="n"/>
      <c r="JV172" s="212" t="n"/>
      <c r="JW172" s="212" t="n"/>
      <c r="JX172" s="212" t="n"/>
      <c r="JY172" s="212" t="n"/>
      <c r="JZ172" s="212" t="n"/>
      <c r="KA172" s="212" t="n"/>
      <c r="KB172" s="212" t="n"/>
      <c r="KC172" s="212" t="n"/>
      <c r="KD172" s="212" t="n"/>
      <c r="KE172" s="212" t="n"/>
      <c r="KF172" s="212" t="n"/>
      <c r="KG172" s="212" t="n"/>
      <c r="KH172" s="212" t="n"/>
      <c r="KI172" s="212" t="n"/>
      <c r="KJ172" s="212" t="n"/>
      <c r="KK172" s="212" t="n"/>
      <c r="KL172" s="212" t="n"/>
      <c r="KM172" s="212" t="n"/>
      <c r="KN172" s="212" t="n"/>
      <c r="KO172" s="212" t="n"/>
      <c r="KP172" s="212" t="n"/>
      <c r="KQ172" s="212" t="n"/>
      <c r="KR172" s="212" t="n"/>
      <c r="KS172" s="212" t="n"/>
      <c r="KT172" s="212" t="n"/>
      <c r="KU172" s="212" t="n"/>
      <c r="KV172" s="212" t="n"/>
      <c r="KW172" s="212" t="n"/>
      <c r="KX172" s="212" t="n"/>
      <c r="KY172" s="212" t="n"/>
      <c r="KZ172" s="212" t="n"/>
      <c r="LA172" s="212" t="n"/>
      <c r="LB172" s="212" t="n"/>
      <c r="LC172" s="212" t="n"/>
      <c r="LD172" s="212" t="n"/>
      <c r="LE172" s="212" t="n"/>
      <c r="LF172" s="212" t="n"/>
      <c r="LG172" s="212" t="n"/>
      <c r="LH172" s="212" t="n"/>
      <c r="LI172" s="212" t="n"/>
      <c r="LJ172" s="212" t="n"/>
      <c r="LK172" s="212" t="n"/>
      <c r="LL172" s="212" t="n"/>
      <c r="LM172" s="212" t="n"/>
      <c r="LN172" s="212" t="n"/>
      <c r="LO172" s="212" t="n"/>
      <c r="LP172" s="212" t="n"/>
      <c r="LQ172" s="212" t="n"/>
      <c r="LR172" s="212" t="n"/>
      <c r="LS172" s="212" t="n"/>
      <c r="LT172" s="212" t="n"/>
      <c r="LU172" s="212" t="n"/>
      <c r="LV172" s="212" t="n"/>
      <c r="LW172" s="212" t="n"/>
      <c r="LX172" s="212" t="n"/>
      <c r="LY172" s="212" t="n"/>
      <c r="LZ172" s="212" t="n"/>
      <c r="MA172" s="212" t="n"/>
      <c r="MB172" s="212" t="n"/>
      <c r="MC172" s="212" t="n"/>
      <c r="MD172" s="212" t="n"/>
      <c r="ME172" s="212" t="n"/>
      <c r="MF172" s="212" t="n"/>
      <c r="MG172" s="212" t="n"/>
      <c r="MH172" s="212" t="n"/>
      <c r="MI172" s="212" t="n"/>
      <c r="MJ172" s="212" t="n"/>
      <c r="MK172" s="212" t="n"/>
      <c r="ML172" s="212" t="n"/>
      <c r="MM172" s="212" t="n"/>
      <c r="MN172" s="212" t="n"/>
      <c r="MO172" s="212" t="n"/>
      <c r="MP172" s="212" t="n"/>
      <c r="MQ172" s="212" t="n"/>
      <c r="MR172" s="212" t="n"/>
      <c r="MS172" s="212" t="n"/>
      <c r="MT172" s="212" t="n"/>
      <c r="MU172" s="212" t="n"/>
      <c r="MV172" s="212" t="n"/>
      <c r="MW172" s="212" t="n"/>
      <c r="MX172" s="212" t="n"/>
      <c r="MY172" s="212" t="n"/>
      <c r="MZ172" s="212" t="n"/>
      <c r="NA172" s="212" t="n"/>
      <c r="NB172" s="212" t="n"/>
      <c r="NC172" s="212" t="n"/>
      <c r="ND172" s="212" t="n"/>
      <c r="NE172" s="212" t="n"/>
      <c r="NF172" s="212" t="n"/>
      <c r="NG172" s="212" t="n"/>
      <c r="NH172" s="212" t="n"/>
      <c r="NI172" s="212" t="n"/>
      <c r="NJ172" s="212" t="n"/>
      <c r="NK172" s="212" t="n"/>
      <c r="NL172" s="212" t="n"/>
      <c r="NM172" s="212" t="n"/>
      <c r="NN172" s="212" t="n"/>
      <c r="NO172" s="212" t="n"/>
      <c r="NP172" s="212" t="n"/>
      <c r="NQ172" s="212" t="n"/>
      <c r="NR172" s="212" t="n"/>
      <c r="NS172" s="212" t="n"/>
      <c r="NT172" s="212" t="n"/>
      <c r="NU172" s="212" t="n"/>
      <c r="NV172" s="212" t="n"/>
      <c r="NW172" s="212" t="n"/>
      <c r="NX172" s="212" t="n"/>
      <c r="NY172" s="212" t="n"/>
      <c r="NZ172" s="212" t="n"/>
      <c r="OA172" s="212" t="n"/>
      <c r="OB172" s="212" t="n"/>
      <c r="OC172" s="212" t="n"/>
      <c r="OD172" s="212" t="n"/>
      <c r="OE172" s="212" t="n"/>
      <c r="OF172" s="212" t="n"/>
      <c r="OG172" s="212" t="n"/>
      <c r="OH172" s="212" t="n"/>
      <c r="OI172" s="212" t="n"/>
      <c r="OJ172" s="212" t="n"/>
      <c r="OK172" s="212" t="n"/>
      <c r="OL172" s="212" t="n"/>
      <c r="OM172" s="212" t="n"/>
      <c r="ON172" s="212" t="n"/>
      <c r="OO172" s="212" t="n"/>
      <c r="OP172" s="212" t="n"/>
      <c r="OQ172" s="212" t="n"/>
      <c r="OR172" s="212" t="n"/>
      <c r="OS172" s="212" t="n"/>
      <c r="OT172" s="212" t="n"/>
      <c r="OU172" s="212" t="n"/>
      <c r="OV172" s="212" t="n"/>
      <c r="OW172" s="212" t="n"/>
      <c r="OX172" s="212" t="n"/>
      <c r="OY172" s="212" t="n"/>
      <c r="OZ172" s="212" t="n"/>
      <c r="PA172" s="212" t="n"/>
      <c r="PB172" s="212" t="n"/>
      <c r="PC172" s="212" t="n"/>
      <c r="PD172" s="212" t="n"/>
      <c r="PE172" s="212" t="n"/>
      <c r="PF172" s="212" t="n"/>
      <c r="PG172" s="212" t="n"/>
      <c r="PH172" s="212" t="n"/>
      <c r="PI172" s="212" t="n"/>
      <c r="PJ172" s="212" t="n"/>
      <c r="PK172" s="212" t="n"/>
      <c r="PL172" s="212" t="n"/>
      <c r="PM172" s="212" t="n"/>
      <c r="PN172" s="212" t="n"/>
      <c r="PO172" s="212" t="n"/>
      <c r="PP172" s="212" t="n"/>
      <c r="PQ172" s="212" t="n"/>
      <c r="PR172" s="212" t="n"/>
      <c r="PS172" s="212" t="n"/>
      <c r="PT172" s="212" t="n"/>
      <c r="PU172" s="212" t="n"/>
      <c r="PV172" s="212" t="n"/>
      <c r="PW172" s="212" t="n"/>
      <c r="PX172" s="212" t="n"/>
      <c r="PY172" s="212" t="n"/>
      <c r="PZ172" s="212" t="n"/>
      <c r="QA172" s="212" t="n"/>
      <c r="QB172" s="212" t="n"/>
      <c r="QC172" s="212" t="n"/>
      <c r="QD172" s="212" t="n"/>
      <c r="QE172" s="212" t="n"/>
      <c r="QF172" s="212" t="n"/>
      <c r="QG172" s="212" t="n"/>
      <c r="QH172" s="212" t="n"/>
      <c r="QI172" s="212" t="n"/>
      <c r="QJ172" s="212" t="n"/>
      <c r="QK172" s="212" t="n"/>
      <c r="QL172" s="212" t="n"/>
      <c r="QM172" s="212" t="n"/>
      <c r="QN172" s="212" t="n"/>
      <c r="QO172" s="212" t="n"/>
      <c r="QP172" s="212" t="n"/>
      <c r="QQ172" s="212" t="n"/>
      <c r="QR172" s="212" t="n"/>
      <c r="QS172" s="212" t="n"/>
      <c r="QT172" s="212" t="n"/>
      <c r="QU172" s="212" t="n"/>
      <c r="QV172" s="212" t="n"/>
      <c r="QW172" s="212" t="n"/>
      <c r="QX172" s="212" t="n"/>
      <c r="QY172" s="212" t="n"/>
      <c r="QZ172" s="212" t="n"/>
      <c r="RA172" s="212" t="n"/>
      <c r="RB172" s="212" t="n"/>
      <c r="RC172" s="212" t="n"/>
      <c r="RD172" s="212" t="n"/>
      <c r="RE172" s="212" t="n"/>
      <c r="RF172" s="212" t="n"/>
      <c r="RG172" s="212" t="n"/>
      <c r="RH172" s="212" t="n"/>
      <c r="RI172" s="212" t="n"/>
      <c r="RJ172" s="212" t="n"/>
      <c r="RK172" s="212" t="n"/>
      <c r="RL172" s="212" t="n"/>
      <c r="RM172" s="212" t="n"/>
      <c r="RN172" s="212" t="n"/>
      <c r="RO172" s="212" t="n"/>
      <c r="RP172" s="212" t="n"/>
      <c r="RQ172" s="212" t="n"/>
      <c r="RR172" s="212" t="n"/>
      <c r="RS172" s="212" t="n"/>
      <c r="RT172" s="212" t="n"/>
      <c r="RU172" s="212" t="n"/>
      <c r="RV172" s="212" t="n"/>
      <c r="RW172" s="212" t="n"/>
      <c r="RX172" s="212" t="n"/>
      <c r="RY172" s="212" t="n"/>
      <c r="RZ172" s="212" t="n"/>
      <c r="SA172" s="212" t="n"/>
      <c r="SB172" s="212" t="n"/>
      <c r="SC172" s="212" t="n"/>
      <c r="SD172" s="212" t="n"/>
      <c r="SE172" s="212" t="n"/>
      <c r="SF172" s="212" t="n"/>
      <c r="SG172" s="212" t="n"/>
      <c r="SH172" s="212" t="n"/>
      <c r="SI172" s="212" t="n"/>
      <c r="SJ172" s="212" t="n"/>
      <c r="SK172" s="212" t="n"/>
      <c r="SL172" s="212" t="n"/>
      <c r="SM172" s="212" t="n"/>
      <c r="SN172" s="212" t="n"/>
      <c r="SO172" s="212" t="n"/>
      <c r="SP172" s="212" t="n"/>
      <c r="SQ172" s="212" t="n"/>
      <c r="SR172" s="212" t="n"/>
      <c r="SS172" s="212" t="n"/>
      <c r="ST172" s="212" t="n"/>
      <c r="SU172" s="212" t="n"/>
      <c r="SV172" s="212" t="n"/>
    </row>
    <row r="173">
      <c r="B173" s="209" t="n"/>
      <c r="C173" s="209" t="n"/>
      <c r="D173" s="209" t="n"/>
      <c r="E173" s="209" t="n"/>
      <c r="F173" s="209">
        <f>IF(TRIM(D173&amp;E173)="","",TRIM(D173)&amp;" "&amp;TRIM(E173))</f>
        <v/>
      </c>
      <c r="G173" s="209" t="n"/>
      <c r="H173" s="209" t="n"/>
      <c r="I173" s="209" t="n"/>
      <c r="J173" s="209" t="n"/>
      <c r="K173" s="209" t="n"/>
      <c r="L173" s="209" t="n"/>
      <c r="M173" s="209" t="n"/>
      <c r="N173" s="209" t="n"/>
      <c r="O173" s="209" t="n"/>
      <c r="P173" s="209" t="n"/>
      <c r="Q173" s="209" t="n"/>
      <c r="R173" s="209" t="n"/>
      <c r="S173" s="212" t="n"/>
      <c r="T173" s="212" t="n"/>
      <c r="U173" s="212" t="n"/>
      <c r="V173" s="212" t="n"/>
      <c r="W173" s="212" t="n"/>
      <c r="X173" s="212" t="n"/>
      <c r="Y173" s="212" t="n"/>
      <c r="Z173" s="212" t="n"/>
      <c r="AA173" s="212" t="n"/>
      <c r="AB173" s="212" t="n"/>
      <c r="AC173" s="212" t="n"/>
      <c r="AD173" s="212" t="n"/>
      <c r="AE173" s="212" t="n"/>
      <c r="AF173" s="212" t="n"/>
      <c r="AG173" s="212" t="n"/>
      <c r="AH173" s="212" t="n"/>
      <c r="AI173" s="212" t="n"/>
      <c r="AJ173" s="212" t="n"/>
      <c r="AK173" s="212" t="n"/>
      <c r="AL173" s="212" t="n"/>
      <c r="AM173" s="212" t="n"/>
      <c r="AN173" s="212" t="n"/>
      <c r="AO173" s="212" t="n"/>
      <c r="AP173" s="212" t="n"/>
      <c r="AQ173" s="212" t="n"/>
      <c r="AR173" s="212" t="n"/>
      <c r="AS173" s="212" t="n"/>
      <c r="AT173" s="212" t="n"/>
      <c r="AU173" s="212" t="n"/>
      <c r="AV173" s="212" t="n"/>
      <c r="AW173" s="212" t="n"/>
      <c r="AX173" s="212" t="n"/>
      <c r="AY173" s="212" t="n"/>
      <c r="AZ173" s="212" t="n"/>
      <c r="BA173" s="212" t="n"/>
      <c r="BB173" s="212" t="n"/>
      <c r="BC173" s="212" t="n"/>
      <c r="BD173" s="212" t="n"/>
      <c r="BE173" s="212" t="n"/>
      <c r="BF173" s="212" t="n"/>
      <c r="BG173" s="212" t="n"/>
      <c r="BH173" s="212" t="n"/>
      <c r="BI173" s="212" t="n"/>
      <c r="BJ173" s="212" t="n"/>
      <c r="BK173" s="212" t="n"/>
      <c r="BL173" s="212" t="n"/>
      <c r="BM173" s="212" t="n"/>
      <c r="BN173" s="212" t="n"/>
      <c r="BO173" s="212" t="n"/>
      <c r="BP173" s="212" t="n"/>
      <c r="BQ173" s="212" t="n"/>
      <c r="BR173" s="212" t="n"/>
      <c r="BS173" s="212" t="n"/>
      <c r="BT173" s="212" t="n"/>
      <c r="BU173" s="212" t="n"/>
      <c r="BV173" s="212" t="n"/>
      <c r="BW173" s="212" t="n"/>
      <c r="BX173" s="212" t="n"/>
      <c r="BY173" s="212" t="n"/>
      <c r="BZ173" s="212" t="n"/>
      <c r="CA173" s="212" t="n"/>
      <c r="CB173" s="212" t="n"/>
      <c r="CC173" s="212" t="n"/>
      <c r="CD173" s="212" t="n"/>
      <c r="CE173" s="212" t="n"/>
      <c r="CF173" s="212" t="n"/>
      <c r="CG173" s="212" t="n"/>
      <c r="CH173" s="212" t="n"/>
      <c r="CI173" s="212" t="n"/>
      <c r="CJ173" s="212" t="n"/>
      <c r="CK173" s="212" t="n"/>
      <c r="CL173" s="212" t="n"/>
      <c r="CM173" s="212" t="n"/>
      <c r="CN173" s="212" t="n"/>
      <c r="CO173" s="212" t="n"/>
      <c r="CP173" s="212" t="n"/>
      <c r="CQ173" s="212" t="n"/>
      <c r="CR173" s="212" t="n"/>
      <c r="CS173" s="212" t="n"/>
      <c r="CT173" s="212" t="n"/>
      <c r="CU173" s="212" t="n"/>
      <c r="CV173" s="212" t="n"/>
      <c r="CW173" s="212" t="n"/>
      <c r="CX173" s="212" t="n"/>
      <c r="CY173" s="212" t="n"/>
      <c r="CZ173" s="212" t="n"/>
      <c r="DA173" s="212" t="n"/>
      <c r="DB173" s="212" t="n"/>
      <c r="DC173" s="212" t="n"/>
      <c r="DD173" s="212" t="n"/>
      <c r="DE173" s="212" t="n"/>
      <c r="DF173" s="212" t="n"/>
      <c r="DG173" s="212" t="n"/>
      <c r="DH173" s="212" t="n"/>
      <c r="DI173" s="212" t="n"/>
      <c r="DJ173" s="212" t="n"/>
      <c r="DK173" s="212" t="n"/>
      <c r="DL173" s="212" t="n"/>
      <c r="DM173" s="212" t="n"/>
      <c r="DN173" s="212" t="n"/>
      <c r="DO173" s="212" t="n"/>
      <c r="DP173" s="212" t="n"/>
      <c r="DQ173" s="212" t="n"/>
      <c r="DR173" s="212" t="n"/>
      <c r="DS173" s="212" t="n"/>
      <c r="DT173" s="212" t="n"/>
      <c r="DU173" s="212" t="n"/>
      <c r="DV173" s="212" t="n"/>
      <c r="DW173" s="212" t="n"/>
      <c r="DX173" s="212" t="n"/>
      <c r="DY173" s="212" t="n"/>
      <c r="DZ173" s="212" t="n"/>
      <c r="EA173" s="212" t="n"/>
      <c r="EB173" s="212" t="n"/>
      <c r="EC173" s="212" t="n"/>
      <c r="ED173" s="212" t="n"/>
      <c r="EE173" s="212" t="n"/>
      <c r="EF173" s="212" t="n"/>
      <c r="EG173" s="212" t="n"/>
      <c r="EH173" s="212" t="n"/>
      <c r="EI173" s="212" t="n"/>
      <c r="EJ173" s="212" t="n"/>
      <c r="EK173" s="212" t="n"/>
      <c r="EL173" s="212" t="n"/>
      <c r="EM173" s="212" t="n"/>
      <c r="EN173" s="212" t="n"/>
      <c r="EO173" s="212" t="n"/>
      <c r="EP173" s="212" t="n"/>
      <c r="EQ173" s="212" t="n"/>
      <c r="ER173" s="212" t="n"/>
      <c r="ES173" s="212" t="n"/>
      <c r="ET173" s="212" t="n"/>
      <c r="EU173" s="212" t="n"/>
      <c r="EV173" s="212" t="n"/>
      <c r="EW173" s="212" t="n"/>
      <c r="EX173" s="212" t="n"/>
      <c r="EY173" s="212" t="n"/>
      <c r="EZ173" s="212" t="n"/>
      <c r="FA173" s="212" t="n"/>
      <c r="FB173" s="212" t="n"/>
      <c r="FC173" s="212" t="n"/>
      <c r="FD173" s="212" t="n"/>
      <c r="FE173" s="212" t="n"/>
      <c r="FF173" s="212" t="n"/>
      <c r="FG173" s="212" t="n"/>
      <c r="FH173" s="212" t="n"/>
      <c r="FI173" s="212" t="n"/>
      <c r="FJ173" s="212" t="n"/>
      <c r="FK173" s="212" t="n"/>
      <c r="FL173" s="212" t="n"/>
      <c r="FM173" s="212" t="n"/>
      <c r="FN173" s="212" t="n"/>
      <c r="FO173" s="212" t="n"/>
      <c r="FP173" s="212" t="n"/>
      <c r="FQ173" s="212" t="n"/>
      <c r="FR173" s="212" t="n"/>
      <c r="FS173" s="212" t="n"/>
      <c r="FT173" s="212" t="n"/>
      <c r="FU173" s="212" t="n"/>
      <c r="FV173" s="212" t="n"/>
      <c r="FW173" s="212" t="n"/>
      <c r="FX173" s="212" t="n"/>
      <c r="FY173" s="212" t="n"/>
      <c r="FZ173" s="212" t="n"/>
      <c r="GA173" s="212" t="n"/>
      <c r="GB173" s="212" t="n"/>
      <c r="GC173" s="212" t="n"/>
      <c r="GD173" s="212" t="n"/>
      <c r="GE173" s="212" t="n"/>
      <c r="GF173" s="212" t="n"/>
      <c r="GG173" s="212" t="n"/>
      <c r="GH173" s="212" t="n"/>
      <c r="GI173" s="212" t="n"/>
      <c r="GJ173" s="212" t="n"/>
      <c r="GK173" s="212" t="n"/>
      <c r="GL173" s="212" t="n"/>
      <c r="GM173" s="212" t="n"/>
      <c r="GN173" s="212" t="n"/>
      <c r="GO173" s="212" t="n"/>
      <c r="GP173" s="212" t="n"/>
      <c r="GQ173" s="212" t="n"/>
      <c r="GR173" s="212" t="n"/>
      <c r="GS173" s="212" t="n"/>
      <c r="GT173" s="212" t="n"/>
      <c r="GU173" s="212" t="n"/>
      <c r="GV173" s="212" t="n"/>
      <c r="GW173" s="212" t="n"/>
      <c r="GX173" s="212" t="n"/>
      <c r="GY173" s="212" t="n"/>
      <c r="GZ173" s="212" t="n"/>
      <c r="HA173" s="212" t="n"/>
      <c r="HB173" s="212" t="n"/>
      <c r="HC173" s="212" t="n"/>
      <c r="HD173" s="212" t="n"/>
      <c r="HE173" s="212" t="n"/>
      <c r="HF173" s="212" t="n"/>
      <c r="HG173" s="212" t="n"/>
      <c r="HH173" s="212" t="n"/>
      <c r="HI173" s="212" t="n"/>
      <c r="HJ173" s="212" t="n"/>
      <c r="HK173" s="212" t="n"/>
      <c r="HL173" s="212" t="n"/>
      <c r="HM173" s="212" t="n"/>
      <c r="HN173" s="212" t="n"/>
      <c r="HO173" s="212" t="n"/>
      <c r="HP173" s="212" t="n"/>
      <c r="HQ173" s="212" t="n"/>
      <c r="HR173" s="212" t="n"/>
      <c r="HS173" s="212" t="n"/>
      <c r="HT173" s="212" t="n"/>
      <c r="HU173" s="212" t="n"/>
      <c r="HV173" s="212" t="n"/>
      <c r="HW173" s="212" t="n"/>
      <c r="HX173" s="212" t="n"/>
      <c r="HY173" s="212" t="n"/>
      <c r="HZ173" s="212" t="n"/>
      <c r="IA173" s="212" t="n"/>
      <c r="IB173" s="212" t="n"/>
      <c r="IC173" s="212" t="n"/>
      <c r="ID173" s="212" t="n"/>
      <c r="IE173" s="212" t="n"/>
      <c r="IF173" s="212" t="n"/>
      <c r="IG173" s="212" t="n"/>
      <c r="IH173" s="212" t="n"/>
      <c r="II173" s="212" t="n"/>
      <c r="IJ173" s="212" t="n"/>
      <c r="IK173" s="212" t="n"/>
      <c r="IL173" s="212" t="n"/>
      <c r="IM173" s="212" t="n"/>
      <c r="IN173" s="212" t="n"/>
      <c r="IO173" s="212" t="n"/>
      <c r="IP173" s="212" t="n"/>
      <c r="IQ173" s="212" t="n"/>
      <c r="IR173" s="212" t="n"/>
      <c r="IS173" s="212" t="n"/>
      <c r="IT173" s="212" t="n"/>
      <c r="IU173" s="212" t="n"/>
      <c r="IV173" s="212" t="n"/>
      <c r="IW173" s="212" t="n"/>
      <c r="IX173" s="212" t="n"/>
      <c r="IY173" s="212" t="n"/>
      <c r="IZ173" s="212" t="n"/>
      <c r="JA173" s="212" t="n"/>
      <c r="JB173" s="212" t="n"/>
      <c r="JC173" s="212" t="n"/>
      <c r="JD173" s="212" t="n"/>
      <c r="JE173" s="212" t="n"/>
      <c r="JF173" s="212" t="n"/>
      <c r="JG173" s="212" t="n"/>
      <c r="JH173" s="212" t="n"/>
      <c r="JI173" s="212" t="n"/>
      <c r="JJ173" s="212" t="n"/>
      <c r="JK173" s="212" t="n"/>
      <c r="JL173" s="212" t="n"/>
      <c r="JM173" s="212" t="n"/>
      <c r="JN173" s="212" t="n"/>
      <c r="JO173" s="212" t="n"/>
      <c r="JP173" s="212" t="n"/>
      <c r="JQ173" s="212" t="n"/>
      <c r="JR173" s="212" t="n"/>
      <c r="JS173" s="212" t="n"/>
      <c r="JT173" s="212" t="n"/>
      <c r="JU173" s="212" t="n"/>
      <c r="JV173" s="212" t="n"/>
      <c r="JW173" s="212" t="n"/>
      <c r="JX173" s="212" t="n"/>
      <c r="JY173" s="212" t="n"/>
      <c r="JZ173" s="212" t="n"/>
      <c r="KA173" s="212" t="n"/>
      <c r="KB173" s="212" t="n"/>
      <c r="KC173" s="212" t="n"/>
      <c r="KD173" s="212" t="n"/>
      <c r="KE173" s="212" t="n"/>
      <c r="KF173" s="212" t="n"/>
      <c r="KG173" s="212" t="n"/>
      <c r="KH173" s="212" t="n"/>
      <c r="KI173" s="212" t="n"/>
      <c r="KJ173" s="212" t="n"/>
      <c r="KK173" s="212" t="n"/>
      <c r="KL173" s="212" t="n"/>
      <c r="KM173" s="212" t="n"/>
      <c r="KN173" s="212" t="n"/>
      <c r="KO173" s="212" t="n"/>
      <c r="KP173" s="212" t="n"/>
      <c r="KQ173" s="212" t="n"/>
      <c r="KR173" s="212" t="n"/>
      <c r="KS173" s="212" t="n"/>
      <c r="KT173" s="212" t="n"/>
      <c r="KU173" s="212" t="n"/>
      <c r="KV173" s="212" t="n"/>
      <c r="KW173" s="212" t="n"/>
      <c r="KX173" s="212" t="n"/>
      <c r="KY173" s="212" t="n"/>
      <c r="KZ173" s="212" t="n"/>
      <c r="LA173" s="212" t="n"/>
      <c r="LB173" s="212" t="n"/>
      <c r="LC173" s="212" t="n"/>
      <c r="LD173" s="212" t="n"/>
      <c r="LE173" s="212" t="n"/>
      <c r="LF173" s="212" t="n"/>
      <c r="LG173" s="212" t="n"/>
      <c r="LH173" s="212" t="n"/>
      <c r="LI173" s="212" t="n"/>
      <c r="LJ173" s="212" t="n"/>
      <c r="LK173" s="212" t="n"/>
      <c r="LL173" s="212" t="n"/>
      <c r="LM173" s="212" t="n"/>
      <c r="LN173" s="212" t="n"/>
      <c r="LO173" s="212" t="n"/>
      <c r="LP173" s="212" t="n"/>
      <c r="LQ173" s="212" t="n"/>
      <c r="LR173" s="212" t="n"/>
      <c r="LS173" s="212" t="n"/>
      <c r="LT173" s="212" t="n"/>
      <c r="LU173" s="212" t="n"/>
      <c r="LV173" s="212" t="n"/>
      <c r="LW173" s="212" t="n"/>
      <c r="LX173" s="212" t="n"/>
      <c r="LY173" s="212" t="n"/>
      <c r="LZ173" s="212" t="n"/>
      <c r="MA173" s="212" t="n"/>
      <c r="MB173" s="212" t="n"/>
      <c r="MC173" s="212" t="n"/>
      <c r="MD173" s="212" t="n"/>
      <c r="ME173" s="212" t="n"/>
      <c r="MF173" s="212" t="n"/>
      <c r="MG173" s="212" t="n"/>
      <c r="MH173" s="212" t="n"/>
      <c r="MI173" s="212" t="n"/>
      <c r="MJ173" s="212" t="n"/>
      <c r="MK173" s="212" t="n"/>
      <c r="ML173" s="212" t="n"/>
      <c r="MM173" s="212" t="n"/>
      <c r="MN173" s="212" t="n"/>
      <c r="MO173" s="212" t="n"/>
      <c r="MP173" s="212" t="n"/>
      <c r="MQ173" s="212" t="n"/>
      <c r="MR173" s="212" t="n"/>
      <c r="MS173" s="212" t="n"/>
      <c r="MT173" s="212" t="n"/>
      <c r="MU173" s="212" t="n"/>
      <c r="MV173" s="212" t="n"/>
      <c r="MW173" s="212" t="n"/>
      <c r="MX173" s="212" t="n"/>
      <c r="MY173" s="212" t="n"/>
      <c r="MZ173" s="212" t="n"/>
      <c r="NA173" s="212" t="n"/>
      <c r="NB173" s="212" t="n"/>
      <c r="NC173" s="212" t="n"/>
      <c r="ND173" s="212" t="n"/>
      <c r="NE173" s="212" t="n"/>
      <c r="NF173" s="212" t="n"/>
      <c r="NG173" s="212" t="n"/>
      <c r="NH173" s="212" t="n"/>
      <c r="NI173" s="212" t="n"/>
      <c r="NJ173" s="212" t="n"/>
      <c r="NK173" s="212" t="n"/>
      <c r="NL173" s="212" t="n"/>
      <c r="NM173" s="212" t="n"/>
      <c r="NN173" s="212" t="n"/>
      <c r="NO173" s="212" t="n"/>
      <c r="NP173" s="212" t="n"/>
      <c r="NQ173" s="212" t="n"/>
      <c r="NR173" s="212" t="n"/>
      <c r="NS173" s="212" t="n"/>
      <c r="NT173" s="212" t="n"/>
      <c r="NU173" s="212" t="n"/>
      <c r="NV173" s="212" t="n"/>
      <c r="NW173" s="212" t="n"/>
      <c r="NX173" s="212" t="n"/>
      <c r="NY173" s="212" t="n"/>
      <c r="NZ173" s="212" t="n"/>
      <c r="OA173" s="212" t="n"/>
      <c r="OB173" s="212" t="n"/>
      <c r="OC173" s="212" t="n"/>
      <c r="OD173" s="212" t="n"/>
      <c r="OE173" s="212" t="n"/>
      <c r="OF173" s="212" t="n"/>
      <c r="OG173" s="212" t="n"/>
      <c r="OH173" s="212" t="n"/>
      <c r="OI173" s="212" t="n"/>
      <c r="OJ173" s="212" t="n"/>
      <c r="OK173" s="212" t="n"/>
      <c r="OL173" s="212" t="n"/>
      <c r="OM173" s="212" t="n"/>
      <c r="ON173" s="212" t="n"/>
      <c r="OO173" s="212" t="n"/>
      <c r="OP173" s="212" t="n"/>
      <c r="OQ173" s="212" t="n"/>
      <c r="OR173" s="212" t="n"/>
      <c r="OS173" s="212" t="n"/>
      <c r="OT173" s="212" t="n"/>
      <c r="OU173" s="212" t="n"/>
      <c r="OV173" s="212" t="n"/>
      <c r="OW173" s="212" t="n"/>
      <c r="OX173" s="212" t="n"/>
      <c r="OY173" s="212" t="n"/>
      <c r="OZ173" s="212" t="n"/>
      <c r="PA173" s="212" t="n"/>
      <c r="PB173" s="212" t="n"/>
      <c r="PC173" s="212" t="n"/>
      <c r="PD173" s="212" t="n"/>
      <c r="PE173" s="212" t="n"/>
      <c r="PF173" s="212" t="n"/>
      <c r="PG173" s="212" t="n"/>
      <c r="PH173" s="212" t="n"/>
      <c r="PI173" s="212" t="n"/>
      <c r="PJ173" s="212" t="n"/>
      <c r="PK173" s="212" t="n"/>
      <c r="PL173" s="212" t="n"/>
      <c r="PM173" s="212" t="n"/>
      <c r="PN173" s="212" t="n"/>
      <c r="PO173" s="212" t="n"/>
      <c r="PP173" s="212" t="n"/>
      <c r="PQ173" s="212" t="n"/>
      <c r="PR173" s="212" t="n"/>
      <c r="PS173" s="212" t="n"/>
      <c r="PT173" s="212" t="n"/>
      <c r="PU173" s="212" t="n"/>
      <c r="PV173" s="212" t="n"/>
      <c r="PW173" s="212" t="n"/>
      <c r="PX173" s="212" t="n"/>
      <c r="PY173" s="212" t="n"/>
      <c r="PZ173" s="212" t="n"/>
      <c r="QA173" s="212" t="n"/>
      <c r="QB173" s="212" t="n"/>
      <c r="QC173" s="212" t="n"/>
      <c r="QD173" s="212" t="n"/>
      <c r="QE173" s="212" t="n"/>
      <c r="QF173" s="212" t="n"/>
      <c r="QG173" s="212" t="n"/>
      <c r="QH173" s="212" t="n"/>
      <c r="QI173" s="212" t="n"/>
      <c r="QJ173" s="212" t="n"/>
      <c r="QK173" s="212" t="n"/>
      <c r="QL173" s="212" t="n"/>
      <c r="QM173" s="212" t="n"/>
      <c r="QN173" s="212" t="n"/>
      <c r="QO173" s="212" t="n"/>
      <c r="QP173" s="212" t="n"/>
      <c r="QQ173" s="212" t="n"/>
      <c r="QR173" s="212" t="n"/>
      <c r="QS173" s="212" t="n"/>
      <c r="QT173" s="212" t="n"/>
      <c r="QU173" s="212" t="n"/>
      <c r="QV173" s="212" t="n"/>
      <c r="QW173" s="212" t="n"/>
      <c r="QX173" s="212" t="n"/>
      <c r="QY173" s="212" t="n"/>
      <c r="QZ173" s="212" t="n"/>
      <c r="RA173" s="212" t="n"/>
      <c r="RB173" s="212" t="n"/>
      <c r="RC173" s="212" t="n"/>
      <c r="RD173" s="212" t="n"/>
      <c r="RE173" s="212" t="n"/>
      <c r="RF173" s="212" t="n"/>
      <c r="RG173" s="212" t="n"/>
      <c r="RH173" s="212" t="n"/>
      <c r="RI173" s="212" t="n"/>
      <c r="RJ173" s="212" t="n"/>
      <c r="RK173" s="212" t="n"/>
      <c r="RL173" s="212" t="n"/>
      <c r="RM173" s="212" t="n"/>
      <c r="RN173" s="212" t="n"/>
      <c r="RO173" s="212" t="n"/>
      <c r="RP173" s="212" t="n"/>
      <c r="RQ173" s="212" t="n"/>
      <c r="RR173" s="212" t="n"/>
      <c r="RS173" s="212" t="n"/>
      <c r="RT173" s="212" t="n"/>
      <c r="RU173" s="212" t="n"/>
      <c r="RV173" s="212" t="n"/>
      <c r="RW173" s="212" t="n"/>
      <c r="RX173" s="212" t="n"/>
      <c r="RY173" s="212" t="n"/>
      <c r="RZ173" s="212" t="n"/>
      <c r="SA173" s="212" t="n"/>
      <c r="SB173" s="212" t="n"/>
      <c r="SC173" s="212" t="n"/>
      <c r="SD173" s="212" t="n"/>
      <c r="SE173" s="212" t="n"/>
      <c r="SF173" s="212" t="n"/>
      <c r="SG173" s="212" t="n"/>
      <c r="SH173" s="212" t="n"/>
      <c r="SI173" s="212" t="n"/>
      <c r="SJ173" s="212" t="n"/>
      <c r="SK173" s="212" t="n"/>
      <c r="SL173" s="212" t="n"/>
      <c r="SM173" s="212" t="n"/>
      <c r="SN173" s="212" t="n"/>
      <c r="SO173" s="212" t="n"/>
      <c r="SP173" s="212" t="n"/>
      <c r="SQ173" s="212" t="n"/>
      <c r="SR173" s="212" t="n"/>
      <c r="SS173" s="212" t="n"/>
      <c r="ST173" s="212" t="n"/>
      <c r="SU173" s="212" t="n"/>
      <c r="SV173" s="212" t="n"/>
    </row>
    <row r="174">
      <c r="B174" s="209" t="n"/>
      <c r="C174" s="209" t="n"/>
      <c r="D174" s="209" t="n"/>
      <c r="E174" s="209" t="n"/>
      <c r="F174" s="209">
        <f>IF(TRIM(D174&amp;E174)="","",TRIM(D174)&amp;" "&amp;TRIM(E174))</f>
        <v/>
      </c>
      <c r="G174" s="209" t="n"/>
      <c r="H174" s="209" t="n"/>
      <c r="I174" s="209" t="n"/>
      <c r="J174" s="209" t="n"/>
      <c r="K174" s="209" t="n"/>
      <c r="L174" s="209" t="n"/>
      <c r="M174" s="209" t="n"/>
      <c r="N174" s="209" t="n"/>
      <c r="O174" s="209" t="n"/>
      <c r="P174" s="209" t="n"/>
      <c r="Q174" s="209" t="n"/>
      <c r="R174" s="209" t="n"/>
      <c r="S174" s="212" t="n"/>
      <c r="T174" s="212" t="n"/>
      <c r="U174" s="212" t="n"/>
      <c r="V174" s="212" t="n"/>
      <c r="W174" s="212" t="n"/>
      <c r="X174" s="212" t="n"/>
      <c r="Y174" s="212" t="n"/>
      <c r="Z174" s="212" t="n"/>
      <c r="AA174" s="212" t="n"/>
      <c r="AB174" s="212" t="n"/>
      <c r="AC174" s="212" t="n"/>
      <c r="AD174" s="212" t="n"/>
      <c r="AE174" s="212" t="n"/>
      <c r="AF174" s="212" t="n"/>
      <c r="AG174" s="212" t="n"/>
      <c r="AH174" s="212" t="n"/>
      <c r="AI174" s="212" t="n"/>
      <c r="AJ174" s="212" t="n"/>
      <c r="AK174" s="212" t="n"/>
      <c r="AL174" s="212" t="n"/>
      <c r="AM174" s="212" t="n"/>
      <c r="AN174" s="212" t="n"/>
      <c r="AO174" s="212" t="n"/>
      <c r="AP174" s="212" t="n"/>
      <c r="AQ174" s="212" t="n"/>
      <c r="AR174" s="212" t="n"/>
      <c r="AS174" s="212" t="n"/>
      <c r="AT174" s="212" t="n"/>
      <c r="AU174" s="212" t="n"/>
      <c r="AV174" s="212" t="n"/>
      <c r="AW174" s="212" t="n"/>
      <c r="AX174" s="212" t="n"/>
      <c r="AY174" s="212" t="n"/>
      <c r="AZ174" s="212" t="n"/>
      <c r="BA174" s="212" t="n"/>
      <c r="BB174" s="212" t="n"/>
      <c r="BC174" s="212" t="n"/>
      <c r="BD174" s="212" t="n"/>
      <c r="BE174" s="212" t="n"/>
      <c r="BF174" s="212" t="n"/>
      <c r="BG174" s="212" t="n"/>
      <c r="BH174" s="212" t="n"/>
      <c r="BI174" s="212" t="n"/>
      <c r="BJ174" s="212" t="n"/>
      <c r="BK174" s="212" t="n"/>
      <c r="BL174" s="212" t="n"/>
      <c r="BM174" s="212" t="n"/>
      <c r="BN174" s="212" t="n"/>
      <c r="BO174" s="212" t="n"/>
      <c r="BP174" s="212" t="n"/>
      <c r="BQ174" s="212" t="n"/>
      <c r="BR174" s="212" t="n"/>
      <c r="BS174" s="212" t="n"/>
      <c r="BT174" s="212" t="n"/>
      <c r="BU174" s="212" t="n"/>
      <c r="BV174" s="212" t="n"/>
      <c r="BW174" s="212" t="n"/>
      <c r="BX174" s="212" t="n"/>
      <c r="BY174" s="212" t="n"/>
      <c r="BZ174" s="212" t="n"/>
      <c r="CA174" s="212" t="n"/>
      <c r="CB174" s="212" t="n"/>
      <c r="CC174" s="212" t="n"/>
      <c r="CD174" s="212" t="n"/>
      <c r="CE174" s="212" t="n"/>
      <c r="CF174" s="212" t="n"/>
      <c r="CG174" s="212" t="n"/>
      <c r="CH174" s="212" t="n"/>
      <c r="CI174" s="212" t="n"/>
      <c r="CJ174" s="212" t="n"/>
      <c r="CK174" s="212" t="n"/>
      <c r="CL174" s="212" t="n"/>
      <c r="CM174" s="212" t="n"/>
      <c r="CN174" s="212" t="n"/>
      <c r="CO174" s="212" t="n"/>
      <c r="CP174" s="212" t="n"/>
      <c r="CQ174" s="212" t="n"/>
      <c r="CR174" s="212" t="n"/>
      <c r="CS174" s="212" t="n"/>
      <c r="CT174" s="212" t="n"/>
      <c r="CU174" s="212" t="n"/>
      <c r="CV174" s="212" t="n"/>
      <c r="CW174" s="212" t="n"/>
      <c r="CX174" s="212" t="n"/>
      <c r="CY174" s="212" t="n"/>
      <c r="CZ174" s="212" t="n"/>
      <c r="DA174" s="212" t="n"/>
      <c r="DB174" s="212" t="n"/>
      <c r="DC174" s="212" t="n"/>
      <c r="DD174" s="212" t="n"/>
      <c r="DE174" s="212" t="n"/>
      <c r="DF174" s="212" t="n"/>
      <c r="DG174" s="212" t="n"/>
      <c r="DH174" s="212" t="n"/>
      <c r="DI174" s="212" t="n"/>
      <c r="DJ174" s="212" t="n"/>
      <c r="DK174" s="212" t="n"/>
      <c r="DL174" s="212" t="n"/>
      <c r="DM174" s="212" t="n"/>
      <c r="DN174" s="212" t="n"/>
      <c r="DO174" s="212" t="n"/>
      <c r="DP174" s="212" t="n"/>
      <c r="DQ174" s="212" t="n"/>
      <c r="DR174" s="212" t="n"/>
      <c r="DS174" s="212" t="n"/>
      <c r="DT174" s="212" t="n"/>
      <c r="DU174" s="212" t="n"/>
      <c r="DV174" s="212" t="n"/>
      <c r="DW174" s="212" t="n"/>
      <c r="DX174" s="212" t="n"/>
      <c r="DY174" s="212" t="n"/>
      <c r="DZ174" s="212" t="n"/>
      <c r="EA174" s="212" t="n"/>
      <c r="EB174" s="212" t="n"/>
      <c r="EC174" s="212" t="n"/>
      <c r="ED174" s="212" t="n"/>
      <c r="EE174" s="212" t="n"/>
      <c r="EF174" s="212" t="n"/>
      <c r="EG174" s="212" t="n"/>
      <c r="EH174" s="212" t="n"/>
      <c r="EI174" s="212" t="n"/>
      <c r="EJ174" s="212" t="n"/>
      <c r="EK174" s="212" t="n"/>
      <c r="EL174" s="212" t="n"/>
      <c r="EM174" s="212" t="n"/>
      <c r="EN174" s="212" t="n"/>
      <c r="EO174" s="212" t="n"/>
      <c r="EP174" s="212" t="n"/>
      <c r="EQ174" s="212" t="n"/>
      <c r="ER174" s="212" t="n"/>
      <c r="ES174" s="212" t="n"/>
      <c r="ET174" s="212" t="n"/>
      <c r="EU174" s="212" t="n"/>
      <c r="EV174" s="212" t="n"/>
      <c r="EW174" s="212" t="n"/>
      <c r="EX174" s="212" t="n"/>
      <c r="EY174" s="212" t="n"/>
      <c r="EZ174" s="212" t="n"/>
      <c r="FA174" s="212" t="n"/>
      <c r="FB174" s="212" t="n"/>
      <c r="FC174" s="212" t="n"/>
      <c r="FD174" s="212" t="n"/>
      <c r="FE174" s="212" t="n"/>
      <c r="FF174" s="212" t="n"/>
      <c r="FG174" s="212" t="n"/>
      <c r="FH174" s="212" t="n"/>
      <c r="FI174" s="212" t="n"/>
      <c r="FJ174" s="212" t="n"/>
      <c r="FK174" s="212" t="n"/>
      <c r="FL174" s="212" t="n"/>
      <c r="FM174" s="212" t="n"/>
      <c r="FN174" s="212" t="n"/>
      <c r="FO174" s="212" t="n"/>
      <c r="FP174" s="212" t="n"/>
      <c r="FQ174" s="212" t="n"/>
      <c r="FR174" s="212" t="n"/>
      <c r="FS174" s="212" t="n"/>
      <c r="FT174" s="212" t="n"/>
      <c r="FU174" s="212" t="n"/>
      <c r="FV174" s="212" t="n"/>
      <c r="FW174" s="212" t="n"/>
      <c r="FX174" s="212" t="n"/>
      <c r="FY174" s="212" t="n"/>
      <c r="FZ174" s="212" t="n"/>
      <c r="GA174" s="212" t="n"/>
      <c r="GB174" s="212" t="n"/>
      <c r="GC174" s="212" t="n"/>
      <c r="GD174" s="212" t="n"/>
      <c r="GE174" s="212" t="n"/>
      <c r="GF174" s="212" t="n"/>
      <c r="GG174" s="212" t="n"/>
      <c r="GH174" s="212" t="n"/>
      <c r="GI174" s="212" t="n"/>
      <c r="GJ174" s="212" t="n"/>
      <c r="GK174" s="212" t="n"/>
      <c r="GL174" s="212" t="n"/>
      <c r="GM174" s="212" t="n"/>
      <c r="GN174" s="212" t="n"/>
      <c r="GO174" s="212" t="n"/>
      <c r="GP174" s="212" t="n"/>
      <c r="GQ174" s="212" t="n"/>
      <c r="GR174" s="212" t="n"/>
      <c r="GS174" s="212" t="n"/>
      <c r="GT174" s="212" t="n"/>
      <c r="GU174" s="212" t="n"/>
      <c r="GV174" s="212" t="n"/>
      <c r="GW174" s="212" t="n"/>
      <c r="GX174" s="212" t="n"/>
      <c r="GY174" s="212" t="n"/>
      <c r="GZ174" s="212" t="n"/>
      <c r="HA174" s="212" t="n"/>
      <c r="HB174" s="212" t="n"/>
      <c r="HC174" s="212" t="n"/>
      <c r="HD174" s="212" t="n"/>
      <c r="HE174" s="212" t="n"/>
      <c r="HF174" s="212" t="n"/>
      <c r="HG174" s="212" t="n"/>
      <c r="HH174" s="212" t="n"/>
      <c r="HI174" s="212" t="n"/>
      <c r="HJ174" s="212" t="n"/>
      <c r="HK174" s="212" t="n"/>
      <c r="HL174" s="212" t="n"/>
      <c r="HM174" s="212" t="n"/>
      <c r="HN174" s="212" t="n"/>
      <c r="HO174" s="212" t="n"/>
      <c r="HP174" s="212" t="n"/>
      <c r="HQ174" s="212" t="n"/>
      <c r="HR174" s="212" t="n"/>
      <c r="HS174" s="212" t="n"/>
      <c r="HT174" s="212" t="n"/>
      <c r="HU174" s="212" t="n"/>
      <c r="HV174" s="212" t="n"/>
      <c r="HW174" s="212" t="n"/>
      <c r="HX174" s="212" t="n"/>
      <c r="HY174" s="212" t="n"/>
      <c r="HZ174" s="212" t="n"/>
      <c r="IA174" s="212" t="n"/>
      <c r="IB174" s="212" t="n"/>
      <c r="IC174" s="212" t="n"/>
      <c r="ID174" s="212" t="n"/>
      <c r="IE174" s="212" t="n"/>
      <c r="IF174" s="212" t="n"/>
      <c r="IG174" s="212" t="n"/>
      <c r="IH174" s="212" t="n"/>
      <c r="II174" s="212" t="n"/>
      <c r="IJ174" s="212" t="n"/>
      <c r="IK174" s="212" t="n"/>
      <c r="IL174" s="212" t="n"/>
      <c r="IM174" s="212" t="n"/>
      <c r="IN174" s="212" t="n"/>
      <c r="IO174" s="212" t="n"/>
      <c r="IP174" s="212" t="n"/>
      <c r="IQ174" s="212" t="n"/>
      <c r="IR174" s="212" t="n"/>
      <c r="IS174" s="212" t="n"/>
      <c r="IT174" s="212" t="n"/>
      <c r="IU174" s="212" t="n"/>
      <c r="IV174" s="212" t="n"/>
      <c r="IW174" s="212" t="n"/>
      <c r="IX174" s="212" t="n"/>
      <c r="IY174" s="212" t="n"/>
      <c r="IZ174" s="212" t="n"/>
      <c r="JA174" s="212" t="n"/>
      <c r="JB174" s="212" t="n"/>
      <c r="JC174" s="212" t="n"/>
      <c r="JD174" s="212" t="n"/>
      <c r="JE174" s="212" t="n"/>
      <c r="JF174" s="212" t="n"/>
      <c r="JG174" s="212" t="n"/>
      <c r="JH174" s="212" t="n"/>
      <c r="JI174" s="212" t="n"/>
      <c r="JJ174" s="212" t="n"/>
      <c r="JK174" s="212" t="n"/>
      <c r="JL174" s="212" t="n"/>
      <c r="JM174" s="212" t="n"/>
      <c r="JN174" s="212" t="n"/>
      <c r="JO174" s="212" t="n"/>
      <c r="JP174" s="212" t="n"/>
      <c r="JQ174" s="212" t="n"/>
      <c r="JR174" s="212" t="n"/>
      <c r="JS174" s="212" t="n"/>
      <c r="JT174" s="212" t="n"/>
      <c r="JU174" s="212" t="n"/>
      <c r="JV174" s="212" t="n"/>
      <c r="JW174" s="212" t="n"/>
      <c r="JX174" s="212" t="n"/>
      <c r="JY174" s="212" t="n"/>
      <c r="JZ174" s="212" t="n"/>
      <c r="KA174" s="212" t="n"/>
      <c r="KB174" s="212" t="n"/>
      <c r="KC174" s="212" t="n"/>
      <c r="KD174" s="212" t="n"/>
      <c r="KE174" s="212" t="n"/>
      <c r="KF174" s="212" t="n"/>
      <c r="KG174" s="212" t="n"/>
      <c r="KH174" s="212" t="n"/>
      <c r="KI174" s="212" t="n"/>
      <c r="KJ174" s="212" t="n"/>
      <c r="KK174" s="212" t="n"/>
      <c r="KL174" s="212" t="n"/>
      <c r="KM174" s="212" t="n"/>
      <c r="KN174" s="212" t="n"/>
      <c r="KO174" s="212" t="n"/>
      <c r="KP174" s="212" t="n"/>
      <c r="KQ174" s="212" t="n"/>
      <c r="KR174" s="212" t="n"/>
      <c r="KS174" s="212" t="n"/>
      <c r="KT174" s="212" t="n"/>
      <c r="KU174" s="212" t="n"/>
      <c r="KV174" s="212" t="n"/>
      <c r="KW174" s="212" t="n"/>
      <c r="KX174" s="212" t="n"/>
      <c r="KY174" s="212" t="n"/>
      <c r="KZ174" s="212" t="n"/>
      <c r="LA174" s="212" t="n"/>
      <c r="LB174" s="212" t="n"/>
      <c r="LC174" s="212" t="n"/>
      <c r="LD174" s="212" t="n"/>
      <c r="LE174" s="212" t="n"/>
      <c r="LF174" s="212" t="n"/>
      <c r="LG174" s="212" t="n"/>
      <c r="LH174" s="212" t="n"/>
      <c r="LI174" s="212" t="n"/>
      <c r="LJ174" s="212" t="n"/>
      <c r="LK174" s="212" t="n"/>
      <c r="LL174" s="212" t="n"/>
      <c r="LM174" s="212" t="n"/>
      <c r="LN174" s="212" t="n"/>
      <c r="LO174" s="212" t="n"/>
      <c r="LP174" s="212" t="n"/>
      <c r="LQ174" s="212" t="n"/>
      <c r="LR174" s="212" t="n"/>
      <c r="LS174" s="212" t="n"/>
      <c r="LT174" s="212" t="n"/>
      <c r="LU174" s="212" t="n"/>
      <c r="LV174" s="212" t="n"/>
      <c r="LW174" s="212" t="n"/>
      <c r="LX174" s="212" t="n"/>
      <c r="LY174" s="212" t="n"/>
      <c r="LZ174" s="212" t="n"/>
      <c r="MA174" s="212" t="n"/>
      <c r="MB174" s="212" t="n"/>
      <c r="MC174" s="212" t="n"/>
      <c r="MD174" s="212" t="n"/>
      <c r="ME174" s="212" t="n"/>
      <c r="MF174" s="212" t="n"/>
      <c r="MG174" s="212" t="n"/>
      <c r="MH174" s="212" t="n"/>
      <c r="MI174" s="212" t="n"/>
      <c r="MJ174" s="212" t="n"/>
      <c r="MK174" s="212" t="n"/>
      <c r="ML174" s="212" t="n"/>
      <c r="MM174" s="212" t="n"/>
      <c r="MN174" s="212" t="n"/>
      <c r="MO174" s="212" t="n"/>
      <c r="MP174" s="212" t="n"/>
      <c r="MQ174" s="212" t="n"/>
      <c r="MR174" s="212" t="n"/>
      <c r="MS174" s="212" t="n"/>
      <c r="MT174" s="212" t="n"/>
      <c r="MU174" s="212" t="n"/>
      <c r="MV174" s="212" t="n"/>
      <c r="MW174" s="212" t="n"/>
      <c r="MX174" s="212" t="n"/>
      <c r="MY174" s="212" t="n"/>
      <c r="MZ174" s="212" t="n"/>
      <c r="NA174" s="212" t="n"/>
      <c r="NB174" s="212" t="n"/>
      <c r="NC174" s="212" t="n"/>
      <c r="ND174" s="212" t="n"/>
      <c r="NE174" s="212" t="n"/>
      <c r="NF174" s="212" t="n"/>
      <c r="NG174" s="212" t="n"/>
      <c r="NH174" s="212" t="n"/>
      <c r="NI174" s="212" t="n"/>
      <c r="NJ174" s="212" t="n"/>
      <c r="NK174" s="212" t="n"/>
      <c r="NL174" s="212" t="n"/>
      <c r="NM174" s="212" t="n"/>
      <c r="NN174" s="212" t="n"/>
      <c r="NO174" s="212" t="n"/>
      <c r="NP174" s="212" t="n"/>
      <c r="NQ174" s="212" t="n"/>
      <c r="NR174" s="212" t="n"/>
      <c r="NS174" s="212" t="n"/>
      <c r="NT174" s="212" t="n"/>
      <c r="NU174" s="212" t="n"/>
      <c r="NV174" s="212" t="n"/>
      <c r="NW174" s="212" t="n"/>
      <c r="NX174" s="212" t="n"/>
      <c r="NY174" s="212" t="n"/>
      <c r="NZ174" s="212" t="n"/>
      <c r="OA174" s="212" t="n"/>
      <c r="OB174" s="212" t="n"/>
      <c r="OC174" s="212" t="n"/>
      <c r="OD174" s="212" t="n"/>
      <c r="OE174" s="212" t="n"/>
      <c r="OF174" s="212" t="n"/>
      <c r="OG174" s="212" t="n"/>
      <c r="OH174" s="212" t="n"/>
      <c r="OI174" s="212" t="n"/>
      <c r="OJ174" s="212" t="n"/>
      <c r="OK174" s="212" t="n"/>
      <c r="OL174" s="212" t="n"/>
      <c r="OM174" s="212" t="n"/>
      <c r="ON174" s="212" t="n"/>
      <c r="OO174" s="212" t="n"/>
      <c r="OP174" s="212" t="n"/>
      <c r="OQ174" s="212" t="n"/>
      <c r="OR174" s="212" t="n"/>
      <c r="OS174" s="212" t="n"/>
      <c r="OT174" s="212" t="n"/>
      <c r="OU174" s="212" t="n"/>
      <c r="OV174" s="212" t="n"/>
      <c r="OW174" s="212" t="n"/>
      <c r="OX174" s="212" t="n"/>
      <c r="OY174" s="212" t="n"/>
      <c r="OZ174" s="212" t="n"/>
      <c r="PA174" s="212" t="n"/>
      <c r="PB174" s="212" t="n"/>
      <c r="PC174" s="212" t="n"/>
      <c r="PD174" s="212" t="n"/>
      <c r="PE174" s="212" t="n"/>
      <c r="PF174" s="212" t="n"/>
      <c r="PG174" s="212" t="n"/>
      <c r="PH174" s="212" t="n"/>
      <c r="PI174" s="212" t="n"/>
      <c r="PJ174" s="212" t="n"/>
      <c r="PK174" s="212" t="n"/>
      <c r="PL174" s="212" t="n"/>
      <c r="PM174" s="212" t="n"/>
      <c r="PN174" s="212" t="n"/>
      <c r="PO174" s="212" t="n"/>
      <c r="PP174" s="212" t="n"/>
      <c r="PQ174" s="212" t="n"/>
      <c r="PR174" s="212" t="n"/>
      <c r="PS174" s="212" t="n"/>
      <c r="PT174" s="212" t="n"/>
      <c r="PU174" s="212" t="n"/>
      <c r="PV174" s="212" t="n"/>
      <c r="PW174" s="212" t="n"/>
      <c r="PX174" s="212" t="n"/>
      <c r="PY174" s="212" t="n"/>
      <c r="PZ174" s="212" t="n"/>
      <c r="QA174" s="212" t="n"/>
      <c r="QB174" s="212" t="n"/>
      <c r="QC174" s="212" t="n"/>
      <c r="QD174" s="212" t="n"/>
      <c r="QE174" s="212" t="n"/>
      <c r="QF174" s="212" t="n"/>
      <c r="QG174" s="212" t="n"/>
      <c r="QH174" s="212" t="n"/>
      <c r="QI174" s="212" t="n"/>
      <c r="QJ174" s="212" t="n"/>
      <c r="QK174" s="212" t="n"/>
      <c r="QL174" s="212" t="n"/>
      <c r="QM174" s="212" t="n"/>
      <c r="QN174" s="212" t="n"/>
      <c r="QO174" s="212" t="n"/>
      <c r="QP174" s="212" t="n"/>
      <c r="QQ174" s="212" t="n"/>
      <c r="QR174" s="212" t="n"/>
      <c r="QS174" s="212" t="n"/>
      <c r="QT174" s="212" t="n"/>
      <c r="QU174" s="212" t="n"/>
      <c r="QV174" s="212" t="n"/>
      <c r="QW174" s="212" t="n"/>
      <c r="QX174" s="212" t="n"/>
      <c r="QY174" s="212" t="n"/>
      <c r="QZ174" s="212" t="n"/>
      <c r="RA174" s="212" t="n"/>
      <c r="RB174" s="212" t="n"/>
      <c r="RC174" s="212" t="n"/>
      <c r="RD174" s="212" t="n"/>
      <c r="RE174" s="212" t="n"/>
      <c r="RF174" s="212" t="n"/>
      <c r="RG174" s="212" t="n"/>
      <c r="RH174" s="212" t="n"/>
      <c r="RI174" s="212" t="n"/>
      <c r="RJ174" s="212" t="n"/>
      <c r="RK174" s="212" t="n"/>
      <c r="RL174" s="212" t="n"/>
      <c r="RM174" s="212" t="n"/>
      <c r="RN174" s="212" t="n"/>
      <c r="RO174" s="212" t="n"/>
      <c r="RP174" s="212" t="n"/>
      <c r="RQ174" s="212" t="n"/>
      <c r="RR174" s="212" t="n"/>
      <c r="RS174" s="212" t="n"/>
      <c r="RT174" s="212" t="n"/>
      <c r="RU174" s="212" t="n"/>
      <c r="RV174" s="212" t="n"/>
      <c r="RW174" s="212" t="n"/>
      <c r="RX174" s="212" t="n"/>
      <c r="RY174" s="212" t="n"/>
      <c r="RZ174" s="212" t="n"/>
      <c r="SA174" s="212" t="n"/>
      <c r="SB174" s="212" t="n"/>
      <c r="SC174" s="212" t="n"/>
      <c r="SD174" s="212" t="n"/>
      <c r="SE174" s="212" t="n"/>
      <c r="SF174" s="212" t="n"/>
      <c r="SG174" s="212" t="n"/>
      <c r="SH174" s="212" t="n"/>
      <c r="SI174" s="212" t="n"/>
      <c r="SJ174" s="212" t="n"/>
      <c r="SK174" s="212" t="n"/>
      <c r="SL174" s="212" t="n"/>
      <c r="SM174" s="212" t="n"/>
      <c r="SN174" s="212" t="n"/>
      <c r="SO174" s="212" t="n"/>
      <c r="SP174" s="212" t="n"/>
      <c r="SQ174" s="212" t="n"/>
      <c r="SR174" s="212" t="n"/>
      <c r="SS174" s="212" t="n"/>
      <c r="ST174" s="212" t="n"/>
      <c r="SU174" s="212" t="n"/>
      <c r="SV174" s="212" t="n"/>
    </row>
    <row r="175">
      <c r="B175" s="209" t="n"/>
      <c r="C175" s="209" t="n"/>
      <c r="D175" s="209" t="n"/>
      <c r="E175" s="209" t="n"/>
      <c r="F175" s="209">
        <f>IF(TRIM(D175&amp;E175)="","",TRIM(D175)&amp;" "&amp;TRIM(E175))</f>
        <v/>
      </c>
      <c r="G175" s="209" t="n"/>
      <c r="H175" s="209" t="n"/>
      <c r="I175" s="209" t="n"/>
      <c r="J175" s="209" t="n"/>
      <c r="K175" s="209" t="n"/>
      <c r="L175" s="209" t="n"/>
      <c r="M175" s="209" t="n"/>
      <c r="N175" s="209" t="n"/>
      <c r="O175" s="209" t="n"/>
      <c r="P175" s="209" t="n"/>
      <c r="Q175" s="209" t="n"/>
      <c r="R175" s="209" t="n"/>
      <c r="S175" s="212" t="n"/>
      <c r="T175" s="212" t="n"/>
      <c r="U175" s="212" t="n"/>
      <c r="V175" s="212" t="n"/>
      <c r="W175" s="212" t="n"/>
      <c r="X175" s="212" t="n"/>
      <c r="Y175" s="212" t="n"/>
      <c r="Z175" s="212" t="n"/>
      <c r="AA175" s="212" t="n"/>
      <c r="AB175" s="212" t="n"/>
      <c r="AC175" s="212" t="n"/>
      <c r="AD175" s="212" t="n"/>
      <c r="AE175" s="212" t="n"/>
      <c r="AF175" s="212" t="n"/>
      <c r="AG175" s="212" t="n"/>
      <c r="AH175" s="212" t="n"/>
      <c r="AI175" s="212" t="n"/>
      <c r="AJ175" s="212" t="n"/>
      <c r="AK175" s="212" t="n"/>
      <c r="AL175" s="212" t="n"/>
      <c r="AM175" s="212" t="n"/>
      <c r="AN175" s="212" t="n"/>
      <c r="AO175" s="212" t="n"/>
      <c r="AP175" s="212" t="n"/>
      <c r="AQ175" s="212" t="n"/>
      <c r="AR175" s="212" t="n"/>
      <c r="AS175" s="212" t="n"/>
      <c r="AT175" s="212" t="n"/>
      <c r="AU175" s="212" t="n"/>
      <c r="AV175" s="212" t="n"/>
      <c r="AW175" s="212" t="n"/>
      <c r="AX175" s="212" t="n"/>
      <c r="AY175" s="212" t="n"/>
      <c r="AZ175" s="212" t="n"/>
      <c r="BA175" s="212" t="n"/>
      <c r="BB175" s="212" t="n"/>
      <c r="BC175" s="212" t="n"/>
      <c r="BD175" s="212" t="n"/>
      <c r="BE175" s="212" t="n"/>
      <c r="BF175" s="212" t="n"/>
      <c r="BG175" s="212" t="n"/>
      <c r="BH175" s="212" t="n"/>
      <c r="BI175" s="212" t="n"/>
      <c r="BJ175" s="212" t="n"/>
      <c r="BK175" s="212" t="n"/>
      <c r="BL175" s="212" t="n"/>
      <c r="BM175" s="212" t="n"/>
      <c r="BN175" s="212" t="n"/>
      <c r="BO175" s="212" t="n"/>
      <c r="BP175" s="212" t="n"/>
      <c r="BQ175" s="212" t="n"/>
      <c r="BR175" s="212" t="n"/>
      <c r="BS175" s="212" t="n"/>
      <c r="BT175" s="212" t="n"/>
      <c r="BU175" s="212" t="n"/>
      <c r="BV175" s="212" t="n"/>
      <c r="BW175" s="212" t="n"/>
      <c r="BX175" s="212" t="n"/>
      <c r="BY175" s="212" t="n"/>
      <c r="BZ175" s="212" t="n"/>
      <c r="CA175" s="212" t="n"/>
      <c r="CB175" s="212" t="n"/>
      <c r="CC175" s="212" t="n"/>
      <c r="CD175" s="212" t="n"/>
      <c r="CE175" s="212" t="n"/>
      <c r="CF175" s="212" t="n"/>
      <c r="CG175" s="212" t="n"/>
      <c r="CH175" s="212" t="n"/>
      <c r="CI175" s="212" t="n"/>
      <c r="CJ175" s="212" t="n"/>
      <c r="CK175" s="212" t="n"/>
      <c r="CL175" s="212" t="n"/>
      <c r="CM175" s="212" t="n"/>
      <c r="CN175" s="212" t="n"/>
      <c r="CO175" s="212" t="n"/>
      <c r="CP175" s="212" t="n"/>
      <c r="CQ175" s="212" t="n"/>
      <c r="CR175" s="212" t="n"/>
      <c r="CS175" s="212" t="n"/>
      <c r="CT175" s="212" t="n"/>
      <c r="CU175" s="212" t="n"/>
      <c r="CV175" s="212" t="n"/>
      <c r="CW175" s="212" t="n"/>
      <c r="CX175" s="212" t="n"/>
      <c r="CY175" s="212" t="n"/>
      <c r="CZ175" s="212" t="n"/>
      <c r="DA175" s="212" t="n"/>
      <c r="DB175" s="212" t="n"/>
      <c r="DC175" s="212" t="n"/>
      <c r="DD175" s="212" t="n"/>
      <c r="DE175" s="212" t="n"/>
      <c r="DF175" s="212" t="n"/>
      <c r="DG175" s="212" t="n"/>
      <c r="DH175" s="212" t="n"/>
      <c r="DI175" s="212" t="n"/>
      <c r="DJ175" s="212" t="n"/>
      <c r="DK175" s="212" t="n"/>
      <c r="DL175" s="212" t="n"/>
      <c r="DM175" s="212" t="n"/>
      <c r="DN175" s="212" t="n"/>
      <c r="DO175" s="212" t="n"/>
      <c r="DP175" s="212" t="n"/>
      <c r="DQ175" s="212" t="n"/>
      <c r="DR175" s="212" t="n"/>
      <c r="DS175" s="212" t="n"/>
      <c r="DT175" s="212" t="n"/>
      <c r="DU175" s="212" t="n"/>
      <c r="DV175" s="212" t="n"/>
      <c r="DW175" s="212" t="n"/>
      <c r="DX175" s="212" t="n"/>
      <c r="DY175" s="212" t="n"/>
      <c r="DZ175" s="212" t="n"/>
      <c r="EA175" s="212" t="n"/>
      <c r="EB175" s="212" t="n"/>
      <c r="EC175" s="212" t="n"/>
      <c r="ED175" s="212" t="n"/>
      <c r="EE175" s="212" t="n"/>
      <c r="EF175" s="212" t="n"/>
      <c r="EG175" s="212" t="n"/>
      <c r="EH175" s="212" t="n"/>
      <c r="EI175" s="212" t="n"/>
      <c r="EJ175" s="212" t="n"/>
      <c r="EK175" s="212" t="n"/>
      <c r="EL175" s="212" t="n"/>
      <c r="EM175" s="212" t="n"/>
      <c r="EN175" s="212" t="n"/>
      <c r="EO175" s="212" t="n"/>
      <c r="EP175" s="212" t="n"/>
      <c r="EQ175" s="212" t="n"/>
      <c r="ER175" s="212" t="n"/>
      <c r="ES175" s="212" t="n"/>
      <c r="ET175" s="212" t="n"/>
      <c r="EU175" s="212" t="n"/>
      <c r="EV175" s="212" t="n"/>
      <c r="EW175" s="212" t="n"/>
      <c r="EX175" s="212" t="n"/>
      <c r="EY175" s="212" t="n"/>
      <c r="EZ175" s="212" t="n"/>
      <c r="FA175" s="212" t="n"/>
      <c r="FB175" s="212" t="n"/>
      <c r="FC175" s="212" t="n"/>
      <c r="FD175" s="212" t="n"/>
      <c r="FE175" s="212" t="n"/>
      <c r="FF175" s="212" t="n"/>
      <c r="FG175" s="212" t="n"/>
      <c r="FH175" s="212" t="n"/>
      <c r="FI175" s="212" t="n"/>
      <c r="FJ175" s="212" t="n"/>
      <c r="FK175" s="212" t="n"/>
      <c r="FL175" s="212" t="n"/>
      <c r="FM175" s="212" t="n"/>
      <c r="FN175" s="212" t="n"/>
      <c r="FO175" s="212" t="n"/>
      <c r="FP175" s="212" t="n"/>
      <c r="FQ175" s="212" t="n"/>
      <c r="FR175" s="212" t="n"/>
      <c r="FS175" s="212" t="n"/>
      <c r="FT175" s="212" t="n"/>
      <c r="FU175" s="212" t="n"/>
      <c r="FV175" s="212" t="n"/>
      <c r="FW175" s="212" t="n"/>
      <c r="FX175" s="212" t="n"/>
      <c r="FY175" s="212" t="n"/>
      <c r="FZ175" s="212" t="n"/>
      <c r="GA175" s="212" t="n"/>
      <c r="GB175" s="212" t="n"/>
      <c r="GC175" s="212" t="n"/>
      <c r="GD175" s="212" t="n"/>
      <c r="GE175" s="212" t="n"/>
      <c r="GF175" s="212" t="n"/>
      <c r="GG175" s="212" t="n"/>
      <c r="GH175" s="212" t="n"/>
      <c r="GI175" s="212" t="n"/>
      <c r="GJ175" s="212" t="n"/>
      <c r="GK175" s="212" t="n"/>
      <c r="GL175" s="212" t="n"/>
      <c r="GM175" s="212" t="n"/>
      <c r="GN175" s="212" t="n"/>
      <c r="GO175" s="212" t="n"/>
      <c r="GP175" s="212" t="n"/>
      <c r="GQ175" s="212" t="n"/>
      <c r="GR175" s="212" t="n"/>
      <c r="GS175" s="212" t="n"/>
      <c r="GT175" s="212" t="n"/>
      <c r="GU175" s="212" t="n"/>
      <c r="GV175" s="212" t="n"/>
      <c r="GW175" s="212" t="n"/>
      <c r="GX175" s="212" t="n"/>
      <c r="GY175" s="212" t="n"/>
      <c r="GZ175" s="212" t="n"/>
      <c r="HA175" s="212" t="n"/>
      <c r="HB175" s="212" t="n"/>
      <c r="HC175" s="212" t="n"/>
      <c r="HD175" s="212" t="n"/>
      <c r="HE175" s="212" t="n"/>
      <c r="HF175" s="212" t="n"/>
      <c r="HG175" s="212" t="n"/>
      <c r="HH175" s="212" t="n"/>
      <c r="HI175" s="212" t="n"/>
      <c r="HJ175" s="212" t="n"/>
      <c r="HK175" s="212" t="n"/>
      <c r="HL175" s="212" t="n"/>
      <c r="HM175" s="212" t="n"/>
      <c r="HN175" s="212" t="n"/>
      <c r="HO175" s="212" t="n"/>
      <c r="HP175" s="212" t="n"/>
      <c r="HQ175" s="212" t="n"/>
      <c r="HR175" s="212" t="n"/>
      <c r="HS175" s="212" t="n"/>
      <c r="HT175" s="212" t="n"/>
      <c r="HU175" s="212" t="n"/>
      <c r="HV175" s="212" t="n"/>
      <c r="HW175" s="212" t="n"/>
      <c r="HX175" s="212" t="n"/>
      <c r="HY175" s="212" t="n"/>
      <c r="HZ175" s="212" t="n"/>
      <c r="IA175" s="212" t="n"/>
      <c r="IB175" s="212" t="n"/>
      <c r="IC175" s="212" t="n"/>
      <c r="ID175" s="212" t="n"/>
      <c r="IE175" s="212" t="n"/>
      <c r="IF175" s="212" t="n"/>
      <c r="IG175" s="212" t="n"/>
      <c r="IH175" s="212" t="n"/>
      <c r="II175" s="212" t="n"/>
      <c r="IJ175" s="212" t="n"/>
      <c r="IK175" s="212" t="n"/>
      <c r="IL175" s="212" t="n"/>
      <c r="IM175" s="212" t="n"/>
      <c r="IN175" s="212" t="n"/>
      <c r="IO175" s="212" t="n"/>
      <c r="IP175" s="212" t="n"/>
      <c r="IQ175" s="212" t="n"/>
      <c r="IR175" s="212" t="n"/>
      <c r="IS175" s="212" t="n"/>
      <c r="IT175" s="212" t="n"/>
      <c r="IU175" s="212" t="n"/>
      <c r="IV175" s="212" t="n"/>
      <c r="IW175" s="212" t="n"/>
      <c r="IX175" s="212" t="n"/>
      <c r="IY175" s="212" t="n"/>
      <c r="IZ175" s="212" t="n"/>
      <c r="JA175" s="212" t="n"/>
      <c r="JB175" s="212" t="n"/>
      <c r="JC175" s="212" t="n"/>
      <c r="JD175" s="212" t="n"/>
      <c r="JE175" s="212" t="n"/>
      <c r="JF175" s="212" t="n"/>
      <c r="JG175" s="212" t="n"/>
      <c r="JH175" s="212" t="n"/>
      <c r="JI175" s="212" t="n"/>
      <c r="JJ175" s="212" t="n"/>
      <c r="JK175" s="212" t="n"/>
      <c r="JL175" s="212" t="n"/>
      <c r="JM175" s="212" t="n"/>
      <c r="JN175" s="212" t="n"/>
      <c r="JO175" s="212" t="n"/>
      <c r="JP175" s="212" t="n"/>
      <c r="JQ175" s="212" t="n"/>
      <c r="JR175" s="212" t="n"/>
      <c r="JS175" s="212" t="n"/>
      <c r="JT175" s="212" t="n"/>
      <c r="JU175" s="212" t="n"/>
      <c r="JV175" s="212" t="n"/>
      <c r="JW175" s="212" t="n"/>
      <c r="JX175" s="212" t="n"/>
      <c r="JY175" s="212" t="n"/>
      <c r="JZ175" s="212" t="n"/>
      <c r="KA175" s="212" t="n"/>
      <c r="KB175" s="212" t="n"/>
      <c r="KC175" s="212" t="n"/>
      <c r="KD175" s="212" t="n"/>
      <c r="KE175" s="212" t="n"/>
      <c r="KF175" s="212" t="n"/>
      <c r="KG175" s="212" t="n"/>
      <c r="KH175" s="212" t="n"/>
      <c r="KI175" s="212" t="n"/>
      <c r="KJ175" s="212" t="n"/>
      <c r="KK175" s="212" t="n"/>
      <c r="KL175" s="212" t="n"/>
      <c r="KM175" s="212" t="n"/>
      <c r="KN175" s="212" t="n"/>
      <c r="KO175" s="212" t="n"/>
      <c r="KP175" s="212" t="n"/>
      <c r="KQ175" s="212" t="n"/>
      <c r="KR175" s="212" t="n"/>
      <c r="KS175" s="212" t="n"/>
      <c r="KT175" s="212" t="n"/>
      <c r="KU175" s="212" t="n"/>
      <c r="KV175" s="212" t="n"/>
      <c r="KW175" s="212" t="n"/>
      <c r="KX175" s="212" t="n"/>
      <c r="KY175" s="212" t="n"/>
      <c r="KZ175" s="212" t="n"/>
      <c r="LA175" s="212" t="n"/>
      <c r="LB175" s="212" t="n"/>
      <c r="LC175" s="212" t="n"/>
      <c r="LD175" s="212" t="n"/>
      <c r="LE175" s="212" t="n"/>
      <c r="LF175" s="212" t="n"/>
      <c r="LG175" s="212" t="n"/>
      <c r="LH175" s="212" t="n"/>
      <c r="LI175" s="212" t="n"/>
      <c r="LJ175" s="212" t="n"/>
      <c r="LK175" s="212" t="n"/>
      <c r="LL175" s="212" t="n"/>
      <c r="LM175" s="212" t="n"/>
      <c r="LN175" s="212" t="n"/>
      <c r="LO175" s="212" t="n"/>
      <c r="LP175" s="212" t="n"/>
      <c r="LQ175" s="212" t="n"/>
      <c r="LR175" s="212" t="n"/>
      <c r="LS175" s="212" t="n"/>
      <c r="LT175" s="212" t="n"/>
      <c r="LU175" s="212" t="n"/>
      <c r="LV175" s="212" t="n"/>
      <c r="LW175" s="212" t="n"/>
      <c r="LX175" s="212" t="n"/>
      <c r="LY175" s="212" t="n"/>
      <c r="LZ175" s="212" t="n"/>
      <c r="MA175" s="212" t="n"/>
      <c r="MB175" s="212" t="n"/>
      <c r="MC175" s="212" t="n"/>
      <c r="MD175" s="212" t="n"/>
      <c r="ME175" s="212" t="n"/>
      <c r="MF175" s="212" t="n"/>
      <c r="MG175" s="212" t="n"/>
      <c r="MH175" s="212" t="n"/>
      <c r="MI175" s="212" t="n"/>
      <c r="MJ175" s="212" t="n"/>
      <c r="MK175" s="212" t="n"/>
      <c r="ML175" s="212" t="n"/>
      <c r="MM175" s="212" t="n"/>
      <c r="MN175" s="212" t="n"/>
      <c r="MO175" s="212" t="n"/>
      <c r="MP175" s="212" t="n"/>
      <c r="MQ175" s="212" t="n"/>
      <c r="MR175" s="212" t="n"/>
      <c r="MS175" s="212" t="n"/>
      <c r="MT175" s="212" t="n"/>
      <c r="MU175" s="212" t="n"/>
      <c r="MV175" s="212" t="n"/>
      <c r="MW175" s="212" t="n"/>
      <c r="MX175" s="212" t="n"/>
      <c r="MY175" s="212" t="n"/>
      <c r="MZ175" s="212" t="n"/>
      <c r="NA175" s="212" t="n"/>
      <c r="NB175" s="212" t="n"/>
      <c r="NC175" s="212" t="n"/>
      <c r="ND175" s="212" t="n"/>
      <c r="NE175" s="212" t="n"/>
      <c r="NF175" s="212" t="n"/>
      <c r="NG175" s="212" t="n"/>
      <c r="NH175" s="212" t="n"/>
      <c r="NI175" s="212" t="n"/>
      <c r="NJ175" s="212" t="n"/>
      <c r="NK175" s="212" t="n"/>
      <c r="NL175" s="212" t="n"/>
      <c r="NM175" s="212" t="n"/>
      <c r="NN175" s="212" t="n"/>
      <c r="NO175" s="212" t="n"/>
      <c r="NP175" s="212" t="n"/>
      <c r="NQ175" s="212" t="n"/>
      <c r="NR175" s="212" t="n"/>
      <c r="NS175" s="212" t="n"/>
      <c r="NT175" s="212" t="n"/>
      <c r="NU175" s="212" t="n"/>
      <c r="NV175" s="212" t="n"/>
      <c r="NW175" s="212" t="n"/>
      <c r="NX175" s="212" t="n"/>
      <c r="NY175" s="212" t="n"/>
      <c r="NZ175" s="212" t="n"/>
      <c r="OA175" s="212" t="n"/>
      <c r="OB175" s="212" t="n"/>
      <c r="OC175" s="212" t="n"/>
      <c r="OD175" s="212" t="n"/>
      <c r="OE175" s="212" t="n"/>
      <c r="OF175" s="212" t="n"/>
      <c r="OG175" s="212" t="n"/>
      <c r="OH175" s="212" t="n"/>
      <c r="OI175" s="212" t="n"/>
      <c r="OJ175" s="212" t="n"/>
      <c r="OK175" s="212" t="n"/>
      <c r="OL175" s="212" t="n"/>
      <c r="OM175" s="212" t="n"/>
      <c r="ON175" s="212" t="n"/>
      <c r="OO175" s="212" t="n"/>
      <c r="OP175" s="212" t="n"/>
      <c r="OQ175" s="212" t="n"/>
      <c r="OR175" s="212" t="n"/>
      <c r="OS175" s="212" t="n"/>
      <c r="OT175" s="212" t="n"/>
      <c r="OU175" s="212" t="n"/>
      <c r="OV175" s="212" t="n"/>
      <c r="OW175" s="212" t="n"/>
      <c r="OX175" s="212" t="n"/>
      <c r="OY175" s="212" t="n"/>
      <c r="OZ175" s="212" t="n"/>
      <c r="PA175" s="212" t="n"/>
      <c r="PB175" s="212" t="n"/>
      <c r="PC175" s="212" t="n"/>
      <c r="PD175" s="212" t="n"/>
      <c r="PE175" s="212" t="n"/>
      <c r="PF175" s="212" t="n"/>
      <c r="PG175" s="212" t="n"/>
      <c r="PH175" s="212" t="n"/>
      <c r="PI175" s="212" t="n"/>
      <c r="PJ175" s="212" t="n"/>
      <c r="PK175" s="212" t="n"/>
      <c r="PL175" s="212" t="n"/>
      <c r="PM175" s="212" t="n"/>
      <c r="PN175" s="212" t="n"/>
      <c r="PO175" s="212" t="n"/>
      <c r="PP175" s="212" t="n"/>
      <c r="PQ175" s="212" t="n"/>
      <c r="PR175" s="212" t="n"/>
      <c r="PS175" s="212" t="n"/>
      <c r="PT175" s="212" t="n"/>
      <c r="PU175" s="212" t="n"/>
      <c r="PV175" s="212" t="n"/>
      <c r="PW175" s="212" t="n"/>
      <c r="PX175" s="212" t="n"/>
      <c r="PY175" s="212" t="n"/>
      <c r="PZ175" s="212" t="n"/>
      <c r="QA175" s="212" t="n"/>
      <c r="QB175" s="212" t="n"/>
      <c r="QC175" s="212" t="n"/>
      <c r="QD175" s="212" t="n"/>
      <c r="QE175" s="212" t="n"/>
      <c r="QF175" s="212" t="n"/>
      <c r="QG175" s="212" t="n"/>
      <c r="QH175" s="212" t="n"/>
      <c r="QI175" s="212" t="n"/>
      <c r="QJ175" s="212" t="n"/>
      <c r="QK175" s="212" t="n"/>
      <c r="QL175" s="212" t="n"/>
      <c r="QM175" s="212" t="n"/>
      <c r="QN175" s="212" t="n"/>
      <c r="QO175" s="212" t="n"/>
      <c r="QP175" s="212" t="n"/>
      <c r="QQ175" s="212" t="n"/>
      <c r="QR175" s="212" t="n"/>
      <c r="QS175" s="212" t="n"/>
      <c r="QT175" s="212" t="n"/>
      <c r="QU175" s="212" t="n"/>
      <c r="QV175" s="212" t="n"/>
      <c r="QW175" s="212" t="n"/>
      <c r="QX175" s="212" t="n"/>
      <c r="QY175" s="212" t="n"/>
      <c r="QZ175" s="212" t="n"/>
      <c r="RA175" s="212" t="n"/>
      <c r="RB175" s="212" t="n"/>
      <c r="RC175" s="212" t="n"/>
      <c r="RD175" s="212" t="n"/>
      <c r="RE175" s="212" t="n"/>
      <c r="RF175" s="212" t="n"/>
      <c r="RG175" s="212" t="n"/>
      <c r="RH175" s="212" t="n"/>
      <c r="RI175" s="212" t="n"/>
      <c r="RJ175" s="212" t="n"/>
      <c r="RK175" s="212" t="n"/>
      <c r="RL175" s="212" t="n"/>
      <c r="RM175" s="212" t="n"/>
      <c r="RN175" s="212" t="n"/>
      <c r="RO175" s="212" t="n"/>
      <c r="RP175" s="212" t="n"/>
      <c r="RQ175" s="212" t="n"/>
      <c r="RR175" s="212" t="n"/>
      <c r="RS175" s="212" t="n"/>
      <c r="RT175" s="212" t="n"/>
      <c r="RU175" s="212" t="n"/>
      <c r="RV175" s="212" t="n"/>
      <c r="RW175" s="212" t="n"/>
      <c r="RX175" s="212" t="n"/>
      <c r="RY175" s="212" t="n"/>
      <c r="RZ175" s="212" t="n"/>
      <c r="SA175" s="212" t="n"/>
      <c r="SB175" s="212" t="n"/>
      <c r="SC175" s="212" t="n"/>
      <c r="SD175" s="212" t="n"/>
      <c r="SE175" s="212" t="n"/>
      <c r="SF175" s="212" t="n"/>
      <c r="SG175" s="212" t="n"/>
      <c r="SH175" s="212" t="n"/>
      <c r="SI175" s="212" t="n"/>
      <c r="SJ175" s="212" t="n"/>
      <c r="SK175" s="212" t="n"/>
      <c r="SL175" s="212" t="n"/>
      <c r="SM175" s="212" t="n"/>
      <c r="SN175" s="212" t="n"/>
      <c r="SO175" s="212" t="n"/>
      <c r="SP175" s="212" t="n"/>
      <c r="SQ175" s="212" t="n"/>
      <c r="SR175" s="212" t="n"/>
      <c r="SS175" s="212" t="n"/>
      <c r="ST175" s="212" t="n"/>
      <c r="SU175" s="212" t="n"/>
      <c r="SV175" s="212" t="n"/>
    </row>
    <row r="176">
      <c r="B176" s="209" t="n"/>
      <c r="C176" s="209" t="n"/>
      <c r="D176" s="209" t="n"/>
      <c r="E176" s="209" t="n"/>
      <c r="F176" s="209">
        <f>IF(TRIM(D176&amp;E176)="","",TRIM(D176)&amp;" "&amp;TRIM(E176))</f>
        <v/>
      </c>
      <c r="G176" s="209" t="n"/>
      <c r="H176" s="209" t="n"/>
      <c r="I176" s="209" t="n"/>
      <c r="J176" s="209" t="n"/>
      <c r="K176" s="209" t="n"/>
      <c r="L176" s="209" t="n"/>
      <c r="M176" s="209" t="n"/>
      <c r="N176" s="209" t="n"/>
      <c r="O176" s="209" t="n"/>
      <c r="P176" s="209" t="n"/>
      <c r="Q176" s="209" t="n"/>
      <c r="R176" s="209" t="n"/>
      <c r="S176" s="212" t="n"/>
      <c r="T176" s="212" t="n"/>
      <c r="U176" s="212" t="n"/>
      <c r="V176" s="212" t="n"/>
      <c r="W176" s="212" t="n"/>
      <c r="X176" s="212" t="n"/>
      <c r="Y176" s="212" t="n"/>
      <c r="Z176" s="212" t="n"/>
      <c r="AA176" s="212" t="n"/>
      <c r="AB176" s="212" t="n"/>
      <c r="AC176" s="212" t="n"/>
      <c r="AD176" s="212" t="n"/>
      <c r="AE176" s="212" t="n"/>
      <c r="AF176" s="212" t="n"/>
      <c r="AG176" s="212" t="n"/>
      <c r="AH176" s="212" t="n"/>
      <c r="AI176" s="212" t="n"/>
      <c r="AJ176" s="212" t="n"/>
      <c r="AK176" s="212" t="n"/>
      <c r="AL176" s="212" t="n"/>
      <c r="AM176" s="212" t="n"/>
      <c r="AN176" s="212" t="n"/>
      <c r="AO176" s="212" t="n"/>
      <c r="AP176" s="212" t="n"/>
      <c r="AQ176" s="212" t="n"/>
      <c r="AR176" s="212" t="n"/>
      <c r="AS176" s="212" t="n"/>
      <c r="AT176" s="212" t="n"/>
      <c r="AU176" s="212" t="n"/>
      <c r="AV176" s="212" t="n"/>
      <c r="AW176" s="212" t="n"/>
      <c r="AX176" s="212" t="n"/>
      <c r="AY176" s="212" t="n"/>
      <c r="AZ176" s="212" t="n"/>
      <c r="BA176" s="212" t="n"/>
      <c r="BB176" s="212" t="n"/>
      <c r="BC176" s="212" t="n"/>
      <c r="BD176" s="212" t="n"/>
      <c r="BE176" s="212" t="n"/>
      <c r="BF176" s="212" t="n"/>
      <c r="BG176" s="212" t="n"/>
      <c r="BH176" s="212" t="n"/>
      <c r="BI176" s="212" t="n"/>
      <c r="BJ176" s="212" t="n"/>
      <c r="BK176" s="212" t="n"/>
      <c r="BL176" s="212" t="n"/>
      <c r="BM176" s="212" t="n"/>
      <c r="BN176" s="212" t="n"/>
      <c r="BO176" s="212" t="n"/>
      <c r="BP176" s="212" t="n"/>
      <c r="BQ176" s="212" t="n"/>
      <c r="BR176" s="212" t="n"/>
      <c r="BS176" s="212" t="n"/>
      <c r="BT176" s="212" t="n"/>
      <c r="BU176" s="212" t="n"/>
      <c r="BV176" s="212" t="n"/>
      <c r="BW176" s="212" t="n"/>
      <c r="BX176" s="212" t="n"/>
      <c r="BY176" s="212" t="n"/>
      <c r="BZ176" s="212" t="n"/>
      <c r="CA176" s="212" t="n"/>
      <c r="CB176" s="212" t="n"/>
      <c r="CC176" s="212" t="n"/>
      <c r="CD176" s="212" t="n"/>
      <c r="CE176" s="212" t="n"/>
      <c r="CF176" s="212" t="n"/>
      <c r="CG176" s="212" t="n"/>
      <c r="CH176" s="212" t="n"/>
      <c r="CI176" s="212" t="n"/>
      <c r="CJ176" s="212" t="n"/>
      <c r="CK176" s="212" t="n"/>
      <c r="CL176" s="212" t="n"/>
      <c r="CM176" s="212" t="n"/>
      <c r="CN176" s="212" t="n"/>
      <c r="CO176" s="212" t="n"/>
      <c r="CP176" s="212" t="n"/>
      <c r="CQ176" s="212" t="n"/>
      <c r="CR176" s="212" t="n"/>
      <c r="CS176" s="212" t="n"/>
      <c r="CT176" s="212" t="n"/>
      <c r="CU176" s="212" t="n"/>
      <c r="CV176" s="212" t="n"/>
      <c r="CW176" s="212" t="n"/>
      <c r="CX176" s="212" t="n"/>
      <c r="CY176" s="212" t="n"/>
      <c r="CZ176" s="212" t="n"/>
      <c r="DA176" s="212" t="n"/>
      <c r="DB176" s="212" t="n"/>
      <c r="DC176" s="212" t="n"/>
      <c r="DD176" s="212" t="n"/>
      <c r="DE176" s="212" t="n"/>
      <c r="DF176" s="212" t="n"/>
      <c r="DG176" s="212" t="n"/>
      <c r="DH176" s="212" t="n"/>
      <c r="DI176" s="212" t="n"/>
      <c r="DJ176" s="212" t="n"/>
      <c r="DK176" s="212" t="n"/>
      <c r="DL176" s="212" t="n"/>
      <c r="DM176" s="212" t="n"/>
      <c r="DN176" s="212" t="n"/>
      <c r="DO176" s="212" t="n"/>
      <c r="DP176" s="212" t="n"/>
      <c r="DQ176" s="212" t="n"/>
      <c r="DR176" s="212" t="n"/>
      <c r="DS176" s="212" t="n"/>
      <c r="DT176" s="212" t="n"/>
      <c r="DU176" s="212" t="n"/>
      <c r="DV176" s="212" t="n"/>
      <c r="DW176" s="212" t="n"/>
      <c r="DX176" s="212" t="n"/>
      <c r="DY176" s="212" t="n"/>
      <c r="DZ176" s="212" t="n"/>
      <c r="EA176" s="212" t="n"/>
      <c r="EB176" s="212" t="n"/>
      <c r="EC176" s="212" t="n"/>
      <c r="ED176" s="212" t="n"/>
      <c r="EE176" s="212" t="n"/>
      <c r="EF176" s="212" t="n"/>
      <c r="EG176" s="212" t="n"/>
      <c r="EH176" s="212" t="n"/>
      <c r="EI176" s="212" t="n"/>
      <c r="EJ176" s="212" t="n"/>
      <c r="EK176" s="212" t="n"/>
      <c r="EL176" s="212" t="n"/>
      <c r="EM176" s="212" t="n"/>
      <c r="EN176" s="212" t="n"/>
      <c r="EO176" s="212" t="n"/>
      <c r="EP176" s="212" t="n"/>
      <c r="EQ176" s="212" t="n"/>
      <c r="ER176" s="212" t="n"/>
      <c r="ES176" s="212" t="n"/>
      <c r="ET176" s="212" t="n"/>
      <c r="EU176" s="212" t="n"/>
      <c r="EV176" s="212" t="n"/>
      <c r="EW176" s="212" t="n"/>
      <c r="EX176" s="212" t="n"/>
      <c r="EY176" s="212" t="n"/>
      <c r="EZ176" s="212" t="n"/>
      <c r="FA176" s="212" t="n"/>
      <c r="FB176" s="212" t="n"/>
      <c r="FC176" s="212" t="n"/>
      <c r="FD176" s="212" t="n"/>
      <c r="FE176" s="212" t="n"/>
      <c r="FF176" s="212" t="n"/>
      <c r="FG176" s="212" t="n"/>
      <c r="FH176" s="212" t="n"/>
      <c r="FI176" s="212" t="n"/>
      <c r="FJ176" s="212" t="n"/>
      <c r="FK176" s="212" t="n"/>
      <c r="FL176" s="212" t="n"/>
      <c r="FM176" s="212" t="n"/>
      <c r="FN176" s="212" t="n"/>
      <c r="FO176" s="212" t="n"/>
      <c r="FP176" s="212" t="n"/>
      <c r="FQ176" s="212" t="n"/>
      <c r="FR176" s="212" t="n"/>
      <c r="FS176" s="212" t="n"/>
      <c r="FT176" s="212" t="n"/>
      <c r="FU176" s="212" t="n"/>
      <c r="FV176" s="212" t="n"/>
      <c r="FW176" s="212" t="n"/>
      <c r="FX176" s="212" t="n"/>
      <c r="FY176" s="212" t="n"/>
      <c r="FZ176" s="212" t="n"/>
      <c r="GA176" s="212" t="n"/>
      <c r="GB176" s="212" t="n"/>
      <c r="GC176" s="212" t="n"/>
      <c r="GD176" s="212" t="n"/>
      <c r="GE176" s="212" t="n"/>
      <c r="GF176" s="212" t="n"/>
      <c r="GG176" s="212" t="n"/>
      <c r="GH176" s="212" t="n"/>
      <c r="GI176" s="212" t="n"/>
      <c r="GJ176" s="212" t="n"/>
      <c r="GK176" s="212" t="n"/>
      <c r="GL176" s="212" t="n"/>
      <c r="GM176" s="212" t="n"/>
      <c r="GN176" s="212" t="n"/>
      <c r="GO176" s="212" t="n"/>
      <c r="GP176" s="212" t="n"/>
      <c r="GQ176" s="212" t="n"/>
      <c r="GR176" s="212" t="n"/>
      <c r="GS176" s="212" t="n"/>
      <c r="GT176" s="212" t="n"/>
      <c r="GU176" s="212" t="n"/>
      <c r="GV176" s="212" t="n"/>
      <c r="GW176" s="212" t="n"/>
      <c r="GX176" s="212" t="n"/>
      <c r="GY176" s="212" t="n"/>
      <c r="GZ176" s="212" t="n"/>
      <c r="HA176" s="212" t="n"/>
      <c r="HB176" s="212" t="n"/>
      <c r="HC176" s="212" t="n"/>
      <c r="HD176" s="212" t="n"/>
      <c r="HE176" s="212" t="n"/>
      <c r="HF176" s="212" t="n"/>
      <c r="HG176" s="212" t="n"/>
      <c r="HH176" s="212" t="n"/>
      <c r="HI176" s="212" t="n"/>
      <c r="HJ176" s="212" t="n"/>
      <c r="HK176" s="212" t="n"/>
      <c r="HL176" s="212" t="n"/>
      <c r="HM176" s="212" t="n"/>
      <c r="HN176" s="212" t="n"/>
      <c r="HO176" s="212" t="n"/>
      <c r="HP176" s="212" t="n"/>
      <c r="HQ176" s="212" t="n"/>
      <c r="HR176" s="212" t="n"/>
      <c r="HS176" s="212" t="n"/>
      <c r="HT176" s="212" t="n"/>
      <c r="HU176" s="212" t="n"/>
      <c r="HV176" s="212" t="n"/>
      <c r="HW176" s="212" t="n"/>
      <c r="HX176" s="212" t="n"/>
      <c r="HY176" s="212" t="n"/>
      <c r="HZ176" s="212" t="n"/>
      <c r="IA176" s="212" t="n"/>
      <c r="IB176" s="212" t="n"/>
      <c r="IC176" s="212" t="n"/>
      <c r="ID176" s="212" t="n"/>
      <c r="IE176" s="212" t="n"/>
      <c r="IF176" s="212" t="n"/>
      <c r="IG176" s="212" t="n"/>
      <c r="IH176" s="212" t="n"/>
      <c r="II176" s="212" t="n"/>
      <c r="IJ176" s="212" t="n"/>
      <c r="IK176" s="212" t="n"/>
      <c r="IL176" s="212" t="n"/>
      <c r="IM176" s="212" t="n"/>
      <c r="IN176" s="212" t="n"/>
      <c r="IO176" s="212" t="n"/>
      <c r="IP176" s="212" t="n"/>
      <c r="IQ176" s="212" t="n"/>
      <c r="IR176" s="212" t="n"/>
      <c r="IS176" s="212" t="n"/>
      <c r="IT176" s="212" t="n"/>
      <c r="IU176" s="212" t="n"/>
      <c r="IV176" s="212" t="n"/>
      <c r="IW176" s="212" t="n"/>
      <c r="IX176" s="212" t="n"/>
      <c r="IY176" s="212" t="n"/>
      <c r="IZ176" s="212" t="n"/>
      <c r="JA176" s="212" t="n"/>
      <c r="JB176" s="212" t="n"/>
      <c r="JC176" s="212" t="n"/>
      <c r="JD176" s="212" t="n"/>
      <c r="JE176" s="212" t="n"/>
      <c r="JF176" s="212" t="n"/>
      <c r="JG176" s="212" t="n"/>
      <c r="JH176" s="212" t="n"/>
      <c r="JI176" s="212" t="n"/>
      <c r="JJ176" s="212" t="n"/>
      <c r="JK176" s="212" t="n"/>
      <c r="JL176" s="212" t="n"/>
      <c r="JM176" s="212" t="n"/>
      <c r="JN176" s="212" t="n"/>
      <c r="JO176" s="212" t="n"/>
      <c r="JP176" s="212" t="n"/>
      <c r="JQ176" s="212" t="n"/>
      <c r="JR176" s="212" t="n"/>
      <c r="JS176" s="212" t="n"/>
      <c r="JT176" s="212" t="n"/>
      <c r="JU176" s="212" t="n"/>
      <c r="JV176" s="212" t="n"/>
      <c r="JW176" s="212" t="n"/>
      <c r="JX176" s="212" t="n"/>
      <c r="JY176" s="212" t="n"/>
      <c r="JZ176" s="212" t="n"/>
      <c r="KA176" s="212" t="n"/>
      <c r="KB176" s="212" t="n"/>
      <c r="KC176" s="212" t="n"/>
      <c r="KD176" s="212" t="n"/>
      <c r="KE176" s="212" t="n"/>
      <c r="KF176" s="212" t="n"/>
      <c r="KG176" s="212" t="n"/>
      <c r="KH176" s="212" t="n"/>
      <c r="KI176" s="212" t="n"/>
      <c r="KJ176" s="212" t="n"/>
      <c r="KK176" s="212" t="n"/>
      <c r="KL176" s="212" t="n"/>
      <c r="KM176" s="212" t="n"/>
      <c r="KN176" s="212" t="n"/>
      <c r="KO176" s="212" t="n"/>
      <c r="KP176" s="212" t="n"/>
      <c r="KQ176" s="212" t="n"/>
      <c r="KR176" s="212" t="n"/>
      <c r="KS176" s="212" t="n"/>
      <c r="KT176" s="212" t="n"/>
      <c r="KU176" s="212" t="n"/>
      <c r="KV176" s="212" t="n"/>
      <c r="KW176" s="212" t="n"/>
      <c r="KX176" s="212" t="n"/>
      <c r="KY176" s="212" t="n"/>
      <c r="KZ176" s="212" t="n"/>
      <c r="LA176" s="212" t="n"/>
      <c r="LB176" s="212" t="n"/>
      <c r="LC176" s="212" t="n"/>
      <c r="LD176" s="212" t="n"/>
      <c r="LE176" s="212" t="n"/>
      <c r="LF176" s="212" t="n"/>
      <c r="LG176" s="212" t="n"/>
      <c r="LH176" s="212" t="n"/>
      <c r="LI176" s="212" t="n"/>
      <c r="LJ176" s="212" t="n"/>
      <c r="LK176" s="212" t="n"/>
      <c r="LL176" s="212" t="n"/>
      <c r="LM176" s="212" t="n"/>
      <c r="LN176" s="212" t="n"/>
      <c r="LO176" s="212" t="n"/>
      <c r="LP176" s="212" t="n"/>
      <c r="LQ176" s="212" t="n"/>
      <c r="LR176" s="212" t="n"/>
      <c r="LS176" s="212" t="n"/>
      <c r="LT176" s="212" t="n"/>
      <c r="LU176" s="212" t="n"/>
      <c r="LV176" s="212" t="n"/>
      <c r="LW176" s="212" t="n"/>
      <c r="LX176" s="212" t="n"/>
      <c r="LY176" s="212" t="n"/>
      <c r="LZ176" s="212" t="n"/>
      <c r="MA176" s="212" t="n"/>
      <c r="MB176" s="212" t="n"/>
      <c r="MC176" s="212" t="n"/>
      <c r="MD176" s="212" t="n"/>
      <c r="ME176" s="212" t="n"/>
      <c r="MF176" s="212" t="n"/>
      <c r="MG176" s="212" t="n"/>
      <c r="MH176" s="212" t="n"/>
      <c r="MI176" s="212" t="n"/>
      <c r="MJ176" s="212" t="n"/>
      <c r="MK176" s="212" t="n"/>
      <c r="ML176" s="212" t="n"/>
      <c r="MM176" s="212" t="n"/>
      <c r="MN176" s="212" t="n"/>
      <c r="MO176" s="212" t="n"/>
      <c r="MP176" s="212" t="n"/>
      <c r="MQ176" s="212" t="n"/>
      <c r="MR176" s="212" t="n"/>
      <c r="MS176" s="212" t="n"/>
      <c r="MT176" s="212" t="n"/>
      <c r="MU176" s="212" t="n"/>
      <c r="MV176" s="212" t="n"/>
      <c r="MW176" s="212" t="n"/>
      <c r="MX176" s="212" t="n"/>
      <c r="MY176" s="212" t="n"/>
      <c r="MZ176" s="212" t="n"/>
      <c r="NA176" s="212" t="n"/>
      <c r="NB176" s="212" t="n"/>
      <c r="NC176" s="212" t="n"/>
      <c r="ND176" s="212" t="n"/>
      <c r="NE176" s="212" t="n"/>
      <c r="NF176" s="212" t="n"/>
      <c r="NG176" s="212" t="n"/>
      <c r="NH176" s="212" t="n"/>
      <c r="NI176" s="212" t="n"/>
      <c r="NJ176" s="212" t="n"/>
      <c r="NK176" s="212" t="n"/>
      <c r="NL176" s="212" t="n"/>
      <c r="NM176" s="212" t="n"/>
      <c r="NN176" s="212" t="n"/>
      <c r="NO176" s="212" t="n"/>
      <c r="NP176" s="212" t="n"/>
      <c r="NQ176" s="212" t="n"/>
      <c r="NR176" s="212" t="n"/>
      <c r="NS176" s="212" t="n"/>
      <c r="NT176" s="212" t="n"/>
      <c r="NU176" s="212" t="n"/>
      <c r="NV176" s="212" t="n"/>
      <c r="NW176" s="212" t="n"/>
      <c r="NX176" s="212" t="n"/>
      <c r="NY176" s="212" t="n"/>
      <c r="NZ176" s="212" t="n"/>
      <c r="OA176" s="212" t="n"/>
      <c r="OB176" s="212" t="n"/>
      <c r="OC176" s="212" t="n"/>
      <c r="OD176" s="212" t="n"/>
      <c r="OE176" s="212" t="n"/>
      <c r="OF176" s="212" t="n"/>
      <c r="OG176" s="212" t="n"/>
      <c r="OH176" s="212" t="n"/>
      <c r="OI176" s="212" t="n"/>
      <c r="OJ176" s="212" t="n"/>
      <c r="OK176" s="212" t="n"/>
      <c r="OL176" s="212" t="n"/>
      <c r="OM176" s="212" t="n"/>
      <c r="ON176" s="212" t="n"/>
      <c r="OO176" s="212" t="n"/>
      <c r="OP176" s="212" t="n"/>
      <c r="OQ176" s="212" t="n"/>
      <c r="OR176" s="212" t="n"/>
      <c r="OS176" s="212" t="n"/>
      <c r="OT176" s="212" t="n"/>
      <c r="OU176" s="212" t="n"/>
      <c r="OV176" s="212" t="n"/>
      <c r="OW176" s="212" t="n"/>
      <c r="OX176" s="212" t="n"/>
      <c r="OY176" s="212" t="n"/>
      <c r="OZ176" s="212" t="n"/>
      <c r="PA176" s="212" t="n"/>
      <c r="PB176" s="212" t="n"/>
      <c r="PC176" s="212" t="n"/>
      <c r="PD176" s="212" t="n"/>
      <c r="PE176" s="212" t="n"/>
      <c r="PF176" s="212" t="n"/>
      <c r="PG176" s="212" t="n"/>
      <c r="PH176" s="212" t="n"/>
      <c r="PI176" s="212" t="n"/>
      <c r="PJ176" s="212" t="n"/>
      <c r="PK176" s="212" t="n"/>
      <c r="PL176" s="212" t="n"/>
      <c r="PM176" s="212" t="n"/>
      <c r="PN176" s="212" t="n"/>
      <c r="PO176" s="212" t="n"/>
      <c r="PP176" s="212" t="n"/>
      <c r="PQ176" s="212" t="n"/>
      <c r="PR176" s="212" t="n"/>
      <c r="PS176" s="212" t="n"/>
      <c r="PT176" s="212" t="n"/>
      <c r="PU176" s="212" t="n"/>
      <c r="PV176" s="212" t="n"/>
      <c r="PW176" s="212" t="n"/>
      <c r="PX176" s="212" t="n"/>
      <c r="PY176" s="212" t="n"/>
      <c r="PZ176" s="212" t="n"/>
      <c r="QA176" s="212" t="n"/>
      <c r="QB176" s="212" t="n"/>
      <c r="QC176" s="212" t="n"/>
      <c r="QD176" s="212" t="n"/>
      <c r="QE176" s="212" t="n"/>
      <c r="QF176" s="212" t="n"/>
      <c r="QG176" s="212" t="n"/>
      <c r="QH176" s="212" t="n"/>
      <c r="QI176" s="212" t="n"/>
      <c r="QJ176" s="212" t="n"/>
      <c r="QK176" s="212" t="n"/>
      <c r="QL176" s="212" t="n"/>
      <c r="QM176" s="212" t="n"/>
      <c r="QN176" s="212" t="n"/>
      <c r="QO176" s="212" t="n"/>
      <c r="QP176" s="212" t="n"/>
      <c r="QQ176" s="212" t="n"/>
      <c r="QR176" s="212" t="n"/>
      <c r="QS176" s="212" t="n"/>
      <c r="QT176" s="212" t="n"/>
      <c r="QU176" s="212" t="n"/>
      <c r="QV176" s="212" t="n"/>
      <c r="QW176" s="212" t="n"/>
      <c r="QX176" s="212" t="n"/>
      <c r="QY176" s="212" t="n"/>
      <c r="QZ176" s="212" t="n"/>
      <c r="RA176" s="212" t="n"/>
      <c r="RB176" s="212" t="n"/>
      <c r="RC176" s="212" t="n"/>
      <c r="RD176" s="212" t="n"/>
      <c r="RE176" s="212" t="n"/>
      <c r="RF176" s="212" t="n"/>
      <c r="RG176" s="212" t="n"/>
      <c r="RH176" s="212" t="n"/>
      <c r="RI176" s="212" t="n"/>
      <c r="RJ176" s="212" t="n"/>
      <c r="RK176" s="212" t="n"/>
      <c r="RL176" s="212" t="n"/>
      <c r="RM176" s="212" t="n"/>
      <c r="RN176" s="212" t="n"/>
      <c r="RO176" s="212" t="n"/>
      <c r="RP176" s="212" t="n"/>
      <c r="RQ176" s="212" t="n"/>
      <c r="RR176" s="212" t="n"/>
      <c r="RS176" s="212" t="n"/>
      <c r="RT176" s="212" t="n"/>
      <c r="RU176" s="212" t="n"/>
      <c r="RV176" s="212" t="n"/>
      <c r="RW176" s="212" t="n"/>
      <c r="RX176" s="212" t="n"/>
      <c r="RY176" s="212" t="n"/>
      <c r="RZ176" s="212" t="n"/>
      <c r="SA176" s="212" t="n"/>
      <c r="SB176" s="212" t="n"/>
      <c r="SC176" s="212" t="n"/>
      <c r="SD176" s="212" t="n"/>
      <c r="SE176" s="212" t="n"/>
      <c r="SF176" s="212" t="n"/>
      <c r="SG176" s="212" t="n"/>
      <c r="SH176" s="212" t="n"/>
      <c r="SI176" s="212" t="n"/>
      <c r="SJ176" s="212" t="n"/>
      <c r="SK176" s="212" t="n"/>
      <c r="SL176" s="212" t="n"/>
      <c r="SM176" s="212" t="n"/>
      <c r="SN176" s="212" t="n"/>
      <c r="SO176" s="212" t="n"/>
      <c r="SP176" s="212" t="n"/>
      <c r="SQ176" s="212" t="n"/>
      <c r="SR176" s="212" t="n"/>
      <c r="SS176" s="212" t="n"/>
      <c r="ST176" s="212" t="n"/>
      <c r="SU176" s="212" t="n"/>
      <c r="SV176" s="212" t="n"/>
    </row>
    <row r="177">
      <c r="B177" s="209" t="n"/>
      <c r="C177" s="209" t="n"/>
      <c r="D177" s="209" t="n"/>
      <c r="E177" s="209" t="n"/>
      <c r="F177" s="209">
        <f>IF(TRIM(D177&amp;E177)="","",TRIM(D177)&amp;" "&amp;TRIM(E177))</f>
        <v/>
      </c>
      <c r="G177" s="209" t="n"/>
      <c r="H177" s="209" t="n"/>
      <c r="I177" s="209" t="n"/>
      <c r="J177" s="209" t="n"/>
      <c r="K177" s="209" t="n"/>
      <c r="L177" s="209" t="n"/>
      <c r="M177" s="209" t="n"/>
      <c r="N177" s="209" t="n"/>
      <c r="O177" s="209" t="n"/>
      <c r="P177" s="209" t="n"/>
      <c r="Q177" s="209" t="n"/>
      <c r="R177" s="209" t="n"/>
      <c r="S177" s="212" t="n"/>
      <c r="T177" s="212" t="n"/>
      <c r="U177" s="212" t="n"/>
      <c r="V177" s="212" t="n"/>
      <c r="W177" s="212" t="n"/>
      <c r="X177" s="212" t="n"/>
      <c r="Y177" s="212" t="n"/>
      <c r="Z177" s="212" t="n"/>
      <c r="AA177" s="212" t="n"/>
      <c r="AB177" s="212" t="n"/>
      <c r="AC177" s="212" t="n"/>
      <c r="AD177" s="212" t="n"/>
      <c r="AE177" s="212" t="n"/>
      <c r="AF177" s="212" t="n"/>
      <c r="AG177" s="212" t="n"/>
      <c r="AH177" s="212" t="n"/>
      <c r="AI177" s="212" t="n"/>
      <c r="AJ177" s="212" t="n"/>
      <c r="AK177" s="212" t="n"/>
      <c r="AL177" s="212" t="n"/>
      <c r="AM177" s="212" t="n"/>
      <c r="AN177" s="212" t="n"/>
      <c r="AO177" s="212" t="n"/>
      <c r="AP177" s="212" t="n"/>
      <c r="AQ177" s="212" t="n"/>
      <c r="AR177" s="212" t="n"/>
      <c r="AS177" s="212" t="n"/>
      <c r="AT177" s="212" t="n"/>
      <c r="AU177" s="212" t="n"/>
      <c r="AV177" s="212" t="n"/>
      <c r="AW177" s="212" t="n"/>
      <c r="AX177" s="212" t="n"/>
      <c r="AY177" s="212" t="n"/>
      <c r="AZ177" s="212" t="n"/>
      <c r="BA177" s="212" t="n"/>
      <c r="BB177" s="212" t="n"/>
      <c r="BC177" s="212" t="n"/>
      <c r="BD177" s="212" t="n"/>
      <c r="BE177" s="212" t="n"/>
      <c r="BF177" s="212" t="n"/>
      <c r="BG177" s="212" t="n"/>
      <c r="BH177" s="212" t="n"/>
      <c r="BI177" s="212" t="n"/>
      <c r="BJ177" s="212" t="n"/>
      <c r="BK177" s="212" t="n"/>
      <c r="BL177" s="212" t="n"/>
      <c r="BM177" s="212" t="n"/>
      <c r="BN177" s="212" t="n"/>
      <c r="BO177" s="212" t="n"/>
      <c r="BP177" s="212" t="n"/>
      <c r="BQ177" s="212" t="n"/>
      <c r="BR177" s="212" t="n"/>
      <c r="BS177" s="212" t="n"/>
      <c r="BT177" s="212" t="n"/>
      <c r="BU177" s="212" t="n"/>
      <c r="BV177" s="212" t="n"/>
      <c r="BW177" s="212" t="n"/>
      <c r="BX177" s="212" t="n"/>
      <c r="BY177" s="212" t="n"/>
      <c r="BZ177" s="212" t="n"/>
      <c r="CA177" s="212" t="n"/>
      <c r="CB177" s="212" t="n"/>
      <c r="CC177" s="212" t="n"/>
      <c r="CD177" s="212" t="n"/>
      <c r="CE177" s="212" t="n"/>
      <c r="CF177" s="212" t="n"/>
      <c r="CG177" s="212" t="n"/>
      <c r="CH177" s="212" t="n"/>
      <c r="CI177" s="212" t="n"/>
      <c r="CJ177" s="212" t="n"/>
      <c r="CK177" s="212" t="n"/>
      <c r="CL177" s="212" t="n"/>
      <c r="CM177" s="212" t="n"/>
      <c r="CN177" s="212" t="n"/>
      <c r="CO177" s="212" t="n"/>
      <c r="CP177" s="212" t="n"/>
      <c r="CQ177" s="212" t="n"/>
      <c r="CR177" s="212" t="n"/>
      <c r="CS177" s="212" t="n"/>
      <c r="CT177" s="212" t="n"/>
      <c r="CU177" s="212" t="n"/>
      <c r="CV177" s="212" t="n"/>
      <c r="CW177" s="212" t="n"/>
      <c r="CX177" s="212" t="n"/>
      <c r="CY177" s="212" t="n"/>
      <c r="CZ177" s="212" t="n"/>
      <c r="DA177" s="212" t="n"/>
      <c r="DB177" s="212" t="n"/>
      <c r="DC177" s="212" t="n"/>
      <c r="DD177" s="212" t="n"/>
      <c r="DE177" s="212" t="n"/>
      <c r="DF177" s="212" t="n"/>
      <c r="DG177" s="212" t="n"/>
      <c r="DH177" s="212" t="n"/>
      <c r="DI177" s="212" t="n"/>
      <c r="DJ177" s="212" t="n"/>
      <c r="DK177" s="212" t="n"/>
      <c r="DL177" s="212" t="n"/>
      <c r="DM177" s="212" t="n"/>
      <c r="DN177" s="212" t="n"/>
      <c r="DO177" s="212" t="n"/>
      <c r="DP177" s="212" t="n"/>
      <c r="DQ177" s="212" t="n"/>
      <c r="DR177" s="212" t="n"/>
      <c r="DS177" s="212" t="n"/>
      <c r="DT177" s="212" t="n"/>
      <c r="DU177" s="212" t="n"/>
      <c r="DV177" s="212" t="n"/>
      <c r="DW177" s="212" t="n"/>
      <c r="DX177" s="212" t="n"/>
      <c r="DY177" s="212" t="n"/>
      <c r="DZ177" s="212" t="n"/>
      <c r="EA177" s="212" t="n"/>
      <c r="EB177" s="212" t="n"/>
      <c r="EC177" s="212" t="n"/>
      <c r="ED177" s="212" t="n"/>
      <c r="EE177" s="212" t="n"/>
      <c r="EF177" s="212" t="n"/>
      <c r="EG177" s="212" t="n"/>
      <c r="EH177" s="212" t="n"/>
      <c r="EI177" s="212" t="n"/>
      <c r="EJ177" s="212" t="n"/>
      <c r="EK177" s="212" t="n"/>
      <c r="EL177" s="212" t="n"/>
      <c r="EM177" s="212" t="n"/>
      <c r="EN177" s="212" t="n"/>
      <c r="EO177" s="212" t="n"/>
      <c r="EP177" s="212" t="n"/>
      <c r="EQ177" s="212" t="n"/>
      <c r="ER177" s="212" t="n"/>
      <c r="ES177" s="212" t="n"/>
      <c r="ET177" s="212" t="n"/>
      <c r="EU177" s="212" t="n"/>
      <c r="EV177" s="212" t="n"/>
      <c r="EW177" s="212" t="n"/>
      <c r="EX177" s="212" t="n"/>
      <c r="EY177" s="212" t="n"/>
      <c r="EZ177" s="212" t="n"/>
      <c r="FA177" s="212" t="n"/>
      <c r="FB177" s="212" t="n"/>
      <c r="FC177" s="212" t="n"/>
      <c r="FD177" s="212" t="n"/>
      <c r="FE177" s="212" t="n"/>
      <c r="FF177" s="212" t="n"/>
      <c r="FG177" s="212" t="n"/>
      <c r="FH177" s="212" t="n"/>
      <c r="FI177" s="212" t="n"/>
      <c r="FJ177" s="212" t="n"/>
      <c r="FK177" s="212" t="n"/>
      <c r="FL177" s="212" t="n"/>
      <c r="FM177" s="212" t="n"/>
      <c r="FN177" s="212" t="n"/>
      <c r="FO177" s="212" t="n"/>
      <c r="FP177" s="212" t="n"/>
      <c r="FQ177" s="212" t="n"/>
      <c r="FR177" s="212" t="n"/>
      <c r="FS177" s="212" t="n"/>
      <c r="FT177" s="212" t="n"/>
      <c r="FU177" s="212" t="n"/>
      <c r="FV177" s="212" t="n"/>
      <c r="FW177" s="212" t="n"/>
      <c r="FX177" s="212" t="n"/>
      <c r="FY177" s="212" t="n"/>
      <c r="FZ177" s="212" t="n"/>
      <c r="GA177" s="212" t="n"/>
      <c r="GB177" s="212" t="n"/>
      <c r="GC177" s="212" t="n"/>
      <c r="GD177" s="212" t="n"/>
      <c r="GE177" s="212" t="n"/>
      <c r="GF177" s="212" t="n"/>
      <c r="GG177" s="212" t="n"/>
      <c r="GH177" s="212" t="n"/>
      <c r="GI177" s="212" t="n"/>
      <c r="GJ177" s="212" t="n"/>
      <c r="GK177" s="212" t="n"/>
      <c r="GL177" s="212" t="n"/>
      <c r="GM177" s="212" t="n"/>
      <c r="GN177" s="212" t="n"/>
      <c r="GO177" s="212" t="n"/>
      <c r="GP177" s="212" t="n"/>
      <c r="GQ177" s="212" t="n"/>
      <c r="GR177" s="212" t="n"/>
      <c r="GS177" s="212" t="n"/>
      <c r="GT177" s="212" t="n"/>
      <c r="GU177" s="212" t="n"/>
      <c r="GV177" s="212" t="n"/>
      <c r="GW177" s="212" t="n"/>
      <c r="GX177" s="212" t="n"/>
      <c r="GY177" s="212" t="n"/>
      <c r="GZ177" s="212" t="n"/>
      <c r="HA177" s="212" t="n"/>
      <c r="HB177" s="212" t="n"/>
      <c r="HC177" s="212" t="n"/>
      <c r="HD177" s="212" t="n"/>
      <c r="HE177" s="212" t="n"/>
      <c r="HF177" s="212" t="n"/>
      <c r="HG177" s="212" t="n"/>
      <c r="HH177" s="212" t="n"/>
      <c r="HI177" s="212" t="n"/>
      <c r="HJ177" s="212" t="n"/>
      <c r="HK177" s="212" t="n"/>
      <c r="HL177" s="212" t="n"/>
      <c r="HM177" s="212" t="n"/>
      <c r="HN177" s="212" t="n"/>
      <c r="HO177" s="212" t="n"/>
      <c r="HP177" s="212" t="n"/>
      <c r="HQ177" s="212" t="n"/>
      <c r="HR177" s="212" t="n"/>
      <c r="HS177" s="212" t="n"/>
      <c r="HT177" s="212" t="n"/>
      <c r="HU177" s="212" t="n"/>
      <c r="HV177" s="212" t="n"/>
      <c r="HW177" s="212" t="n"/>
      <c r="HX177" s="212" t="n"/>
      <c r="HY177" s="212" t="n"/>
      <c r="HZ177" s="212" t="n"/>
      <c r="IA177" s="212" t="n"/>
      <c r="IB177" s="212" t="n"/>
      <c r="IC177" s="212" t="n"/>
      <c r="ID177" s="212" t="n"/>
      <c r="IE177" s="212" t="n"/>
      <c r="IF177" s="212" t="n"/>
      <c r="IG177" s="212" t="n"/>
      <c r="IH177" s="212" t="n"/>
      <c r="II177" s="212" t="n"/>
      <c r="IJ177" s="212" t="n"/>
      <c r="IK177" s="212" t="n"/>
      <c r="IL177" s="212" t="n"/>
      <c r="IM177" s="212" t="n"/>
      <c r="IN177" s="212" t="n"/>
      <c r="IO177" s="212" t="n"/>
      <c r="IP177" s="212" t="n"/>
      <c r="IQ177" s="212" t="n"/>
      <c r="IR177" s="212" t="n"/>
      <c r="IS177" s="212" t="n"/>
      <c r="IT177" s="212" t="n"/>
      <c r="IU177" s="212" t="n"/>
      <c r="IV177" s="212" t="n"/>
      <c r="IW177" s="212" t="n"/>
      <c r="IX177" s="212" t="n"/>
      <c r="IY177" s="212" t="n"/>
      <c r="IZ177" s="212" t="n"/>
      <c r="JA177" s="212" t="n"/>
      <c r="JB177" s="212" t="n"/>
      <c r="JC177" s="212" t="n"/>
      <c r="JD177" s="212" t="n"/>
      <c r="JE177" s="212" t="n"/>
      <c r="JF177" s="212" t="n"/>
      <c r="JG177" s="212" t="n"/>
      <c r="JH177" s="212" t="n"/>
      <c r="JI177" s="212" t="n"/>
      <c r="JJ177" s="212" t="n"/>
      <c r="JK177" s="212" t="n"/>
      <c r="JL177" s="212" t="n"/>
      <c r="JM177" s="212" t="n"/>
      <c r="JN177" s="212" t="n"/>
      <c r="JO177" s="212" t="n"/>
      <c r="JP177" s="212" t="n"/>
      <c r="JQ177" s="212" t="n"/>
      <c r="JR177" s="212" t="n"/>
      <c r="JS177" s="212" t="n"/>
      <c r="JT177" s="212" t="n"/>
      <c r="JU177" s="212" t="n"/>
      <c r="JV177" s="212" t="n"/>
      <c r="JW177" s="212" t="n"/>
      <c r="JX177" s="212" t="n"/>
      <c r="JY177" s="212" t="n"/>
      <c r="JZ177" s="212" t="n"/>
      <c r="KA177" s="212" t="n"/>
      <c r="KB177" s="212" t="n"/>
      <c r="KC177" s="212" t="n"/>
      <c r="KD177" s="212" t="n"/>
      <c r="KE177" s="212" t="n"/>
      <c r="KF177" s="212" t="n"/>
      <c r="KG177" s="212" t="n"/>
      <c r="KH177" s="212" t="n"/>
      <c r="KI177" s="212" t="n"/>
      <c r="KJ177" s="212" t="n"/>
      <c r="KK177" s="212" t="n"/>
      <c r="KL177" s="212" t="n"/>
      <c r="KM177" s="212" t="n"/>
      <c r="KN177" s="212" t="n"/>
      <c r="KO177" s="212" t="n"/>
      <c r="KP177" s="212" t="n"/>
      <c r="KQ177" s="212" t="n"/>
      <c r="KR177" s="212" t="n"/>
      <c r="KS177" s="212" t="n"/>
      <c r="KT177" s="212" t="n"/>
      <c r="KU177" s="212" t="n"/>
      <c r="KV177" s="212" t="n"/>
      <c r="KW177" s="212" t="n"/>
      <c r="KX177" s="212" t="n"/>
      <c r="KY177" s="212" t="n"/>
      <c r="KZ177" s="212" t="n"/>
      <c r="LA177" s="212" t="n"/>
      <c r="LB177" s="212" t="n"/>
      <c r="LC177" s="212" t="n"/>
      <c r="LD177" s="212" t="n"/>
      <c r="LE177" s="212" t="n"/>
      <c r="LF177" s="212" t="n"/>
      <c r="LG177" s="212" t="n"/>
      <c r="LH177" s="212" t="n"/>
      <c r="LI177" s="212" t="n"/>
      <c r="LJ177" s="212" t="n"/>
      <c r="LK177" s="212" t="n"/>
      <c r="LL177" s="212" t="n"/>
      <c r="LM177" s="212" t="n"/>
      <c r="LN177" s="212" t="n"/>
      <c r="LO177" s="212" t="n"/>
      <c r="LP177" s="212" t="n"/>
      <c r="LQ177" s="212" t="n"/>
      <c r="LR177" s="212" t="n"/>
      <c r="LS177" s="212" t="n"/>
      <c r="LT177" s="212" t="n"/>
      <c r="LU177" s="212" t="n"/>
      <c r="LV177" s="212" t="n"/>
      <c r="LW177" s="212" t="n"/>
      <c r="LX177" s="212" t="n"/>
      <c r="LY177" s="212" t="n"/>
      <c r="LZ177" s="212" t="n"/>
      <c r="MA177" s="212" t="n"/>
      <c r="MB177" s="212" t="n"/>
      <c r="MC177" s="212" t="n"/>
      <c r="MD177" s="212" t="n"/>
      <c r="ME177" s="212" t="n"/>
      <c r="MF177" s="212" t="n"/>
      <c r="MG177" s="212" t="n"/>
      <c r="MH177" s="212" t="n"/>
      <c r="MI177" s="212" t="n"/>
      <c r="MJ177" s="212" t="n"/>
      <c r="MK177" s="212" t="n"/>
      <c r="ML177" s="212" t="n"/>
      <c r="MM177" s="212" t="n"/>
      <c r="MN177" s="212" t="n"/>
      <c r="MO177" s="212" t="n"/>
      <c r="MP177" s="212" t="n"/>
      <c r="MQ177" s="212" t="n"/>
      <c r="MR177" s="212" t="n"/>
      <c r="MS177" s="212" t="n"/>
      <c r="MT177" s="212" t="n"/>
      <c r="MU177" s="212" t="n"/>
      <c r="MV177" s="212" t="n"/>
      <c r="MW177" s="212" t="n"/>
      <c r="MX177" s="212" t="n"/>
      <c r="MY177" s="212" t="n"/>
      <c r="MZ177" s="212" t="n"/>
      <c r="NA177" s="212" t="n"/>
      <c r="NB177" s="212" t="n"/>
      <c r="NC177" s="212" t="n"/>
      <c r="ND177" s="212" t="n"/>
      <c r="NE177" s="212" t="n"/>
      <c r="NF177" s="212" t="n"/>
      <c r="NG177" s="212" t="n"/>
      <c r="NH177" s="212" t="n"/>
      <c r="NI177" s="212" t="n"/>
      <c r="NJ177" s="212" t="n"/>
      <c r="NK177" s="212" t="n"/>
      <c r="NL177" s="212" t="n"/>
      <c r="NM177" s="212" t="n"/>
      <c r="NN177" s="212" t="n"/>
      <c r="NO177" s="212" t="n"/>
      <c r="NP177" s="212" t="n"/>
      <c r="NQ177" s="212" t="n"/>
      <c r="NR177" s="212" t="n"/>
      <c r="NS177" s="212" t="n"/>
      <c r="NT177" s="212" t="n"/>
      <c r="NU177" s="212" t="n"/>
      <c r="NV177" s="212" t="n"/>
      <c r="NW177" s="212" t="n"/>
      <c r="NX177" s="212" t="n"/>
      <c r="NY177" s="212" t="n"/>
      <c r="NZ177" s="212" t="n"/>
      <c r="OA177" s="212" t="n"/>
      <c r="OB177" s="212" t="n"/>
      <c r="OC177" s="212" t="n"/>
      <c r="OD177" s="212" t="n"/>
      <c r="OE177" s="212" t="n"/>
      <c r="OF177" s="212" t="n"/>
      <c r="OG177" s="212" t="n"/>
      <c r="OH177" s="212" t="n"/>
      <c r="OI177" s="212" t="n"/>
      <c r="OJ177" s="212" t="n"/>
      <c r="OK177" s="212" t="n"/>
      <c r="OL177" s="212" t="n"/>
      <c r="OM177" s="212" t="n"/>
      <c r="ON177" s="212" t="n"/>
      <c r="OO177" s="212" t="n"/>
      <c r="OP177" s="212" t="n"/>
      <c r="OQ177" s="212" t="n"/>
      <c r="OR177" s="212" t="n"/>
      <c r="OS177" s="212" t="n"/>
      <c r="OT177" s="212" t="n"/>
      <c r="OU177" s="212" t="n"/>
      <c r="OV177" s="212" t="n"/>
      <c r="OW177" s="212" t="n"/>
      <c r="OX177" s="212" t="n"/>
      <c r="OY177" s="212" t="n"/>
      <c r="OZ177" s="212" t="n"/>
      <c r="PA177" s="212" t="n"/>
      <c r="PB177" s="212" t="n"/>
      <c r="PC177" s="212" t="n"/>
      <c r="PD177" s="212" t="n"/>
      <c r="PE177" s="212" t="n"/>
      <c r="PF177" s="212" t="n"/>
      <c r="PG177" s="212" t="n"/>
      <c r="PH177" s="212" t="n"/>
      <c r="PI177" s="212" t="n"/>
      <c r="PJ177" s="212" t="n"/>
      <c r="PK177" s="212" t="n"/>
      <c r="PL177" s="212" t="n"/>
      <c r="PM177" s="212" t="n"/>
      <c r="PN177" s="212" t="n"/>
      <c r="PO177" s="212" t="n"/>
      <c r="PP177" s="212" t="n"/>
      <c r="PQ177" s="212" t="n"/>
      <c r="PR177" s="212" t="n"/>
      <c r="PS177" s="212" t="n"/>
      <c r="PT177" s="212" t="n"/>
      <c r="PU177" s="212" t="n"/>
      <c r="PV177" s="212" t="n"/>
      <c r="PW177" s="212" t="n"/>
      <c r="PX177" s="212" t="n"/>
      <c r="PY177" s="212" t="n"/>
      <c r="PZ177" s="212" t="n"/>
      <c r="QA177" s="212" t="n"/>
      <c r="QB177" s="212" t="n"/>
      <c r="QC177" s="212" t="n"/>
      <c r="QD177" s="212" t="n"/>
      <c r="QE177" s="212" t="n"/>
      <c r="QF177" s="212" t="n"/>
      <c r="QG177" s="212" t="n"/>
      <c r="QH177" s="212" t="n"/>
      <c r="QI177" s="212" t="n"/>
      <c r="QJ177" s="212" t="n"/>
      <c r="QK177" s="212" t="n"/>
      <c r="QL177" s="212" t="n"/>
      <c r="QM177" s="212" t="n"/>
      <c r="QN177" s="212" t="n"/>
      <c r="QO177" s="212" t="n"/>
      <c r="QP177" s="212" t="n"/>
      <c r="QQ177" s="212" t="n"/>
      <c r="QR177" s="212" t="n"/>
      <c r="QS177" s="212" t="n"/>
      <c r="QT177" s="212" t="n"/>
      <c r="QU177" s="212" t="n"/>
      <c r="QV177" s="212" t="n"/>
      <c r="QW177" s="212" t="n"/>
      <c r="QX177" s="212" t="n"/>
      <c r="QY177" s="212" t="n"/>
      <c r="QZ177" s="212" t="n"/>
      <c r="RA177" s="212" t="n"/>
      <c r="RB177" s="212" t="n"/>
      <c r="RC177" s="212" t="n"/>
      <c r="RD177" s="212" t="n"/>
      <c r="RE177" s="212" t="n"/>
      <c r="RF177" s="212" t="n"/>
      <c r="RG177" s="212" t="n"/>
      <c r="RH177" s="212" t="n"/>
      <c r="RI177" s="212" t="n"/>
      <c r="RJ177" s="212" t="n"/>
      <c r="RK177" s="212" t="n"/>
      <c r="RL177" s="212" t="n"/>
      <c r="RM177" s="212" t="n"/>
      <c r="RN177" s="212" t="n"/>
      <c r="RO177" s="212" t="n"/>
      <c r="RP177" s="212" t="n"/>
      <c r="RQ177" s="212" t="n"/>
      <c r="RR177" s="212" t="n"/>
      <c r="RS177" s="212" t="n"/>
      <c r="RT177" s="212" t="n"/>
      <c r="RU177" s="212" t="n"/>
      <c r="RV177" s="212" t="n"/>
      <c r="RW177" s="212" t="n"/>
      <c r="RX177" s="212" t="n"/>
      <c r="RY177" s="212" t="n"/>
      <c r="RZ177" s="212" t="n"/>
      <c r="SA177" s="212" t="n"/>
      <c r="SB177" s="212" t="n"/>
      <c r="SC177" s="212" t="n"/>
      <c r="SD177" s="212" t="n"/>
      <c r="SE177" s="212" t="n"/>
      <c r="SF177" s="212" t="n"/>
      <c r="SG177" s="212" t="n"/>
      <c r="SH177" s="212" t="n"/>
      <c r="SI177" s="212" t="n"/>
      <c r="SJ177" s="212" t="n"/>
      <c r="SK177" s="212" t="n"/>
      <c r="SL177" s="212" t="n"/>
      <c r="SM177" s="212" t="n"/>
      <c r="SN177" s="212" t="n"/>
      <c r="SO177" s="212" t="n"/>
      <c r="SP177" s="212" t="n"/>
      <c r="SQ177" s="212" t="n"/>
      <c r="SR177" s="212" t="n"/>
      <c r="SS177" s="212" t="n"/>
      <c r="ST177" s="212" t="n"/>
      <c r="SU177" s="212" t="n"/>
      <c r="SV177" s="212" t="n"/>
    </row>
    <row r="178">
      <c r="B178" s="209" t="n"/>
      <c r="C178" s="209" t="n"/>
      <c r="D178" s="209" t="n"/>
      <c r="E178" s="209" t="n"/>
      <c r="F178" s="209">
        <f>IF(TRIM(D178&amp;E178)="","",TRIM(D178)&amp;" "&amp;TRIM(E178))</f>
        <v/>
      </c>
      <c r="G178" s="209" t="n"/>
      <c r="H178" s="209" t="n"/>
      <c r="I178" s="209" t="n"/>
      <c r="J178" s="209" t="n"/>
      <c r="K178" s="209" t="n"/>
      <c r="L178" s="209" t="n"/>
      <c r="M178" s="209" t="n"/>
      <c r="N178" s="209" t="n"/>
      <c r="O178" s="209" t="n"/>
      <c r="P178" s="209" t="n"/>
      <c r="Q178" s="209" t="n"/>
      <c r="R178" s="209" t="n"/>
      <c r="S178" s="212" t="n"/>
      <c r="T178" s="212" t="n"/>
      <c r="U178" s="212" t="n"/>
      <c r="V178" s="212" t="n"/>
      <c r="W178" s="212" t="n"/>
      <c r="X178" s="212" t="n"/>
      <c r="Y178" s="212" t="n"/>
      <c r="Z178" s="212" t="n"/>
      <c r="AA178" s="212" t="n"/>
      <c r="AB178" s="212" t="n"/>
      <c r="AC178" s="212" t="n"/>
      <c r="AD178" s="212" t="n"/>
      <c r="AE178" s="212" t="n"/>
      <c r="AF178" s="212" t="n"/>
      <c r="AG178" s="212" t="n"/>
      <c r="AH178" s="212" t="n"/>
      <c r="AI178" s="212" t="n"/>
      <c r="AJ178" s="212" t="n"/>
      <c r="AK178" s="212" t="n"/>
      <c r="AL178" s="212" t="n"/>
      <c r="AM178" s="212" t="n"/>
      <c r="AN178" s="212" t="n"/>
      <c r="AO178" s="212" t="n"/>
      <c r="AP178" s="212" t="n"/>
      <c r="AQ178" s="212" t="n"/>
      <c r="AR178" s="212" t="n"/>
      <c r="AS178" s="212" t="n"/>
      <c r="AT178" s="212" t="n"/>
      <c r="AU178" s="212" t="n"/>
      <c r="AV178" s="212" t="n"/>
      <c r="AW178" s="212" t="n"/>
      <c r="AX178" s="212" t="n"/>
      <c r="AY178" s="212" t="n"/>
      <c r="AZ178" s="212" t="n"/>
      <c r="BA178" s="212" t="n"/>
      <c r="BB178" s="212" t="n"/>
      <c r="BC178" s="212" t="n"/>
      <c r="BD178" s="212" t="n"/>
      <c r="BE178" s="212" t="n"/>
      <c r="BF178" s="212" t="n"/>
      <c r="BG178" s="212" t="n"/>
      <c r="BH178" s="212" t="n"/>
      <c r="BI178" s="212" t="n"/>
      <c r="BJ178" s="212" t="n"/>
      <c r="BK178" s="212" t="n"/>
      <c r="BL178" s="212" t="n"/>
      <c r="BM178" s="212" t="n"/>
      <c r="BN178" s="212" t="n"/>
      <c r="BO178" s="212" t="n"/>
      <c r="BP178" s="212" t="n"/>
      <c r="BQ178" s="212" t="n"/>
      <c r="BR178" s="212" t="n"/>
      <c r="BS178" s="212" t="n"/>
      <c r="BT178" s="212" t="n"/>
      <c r="BU178" s="212" t="n"/>
      <c r="BV178" s="212" t="n"/>
      <c r="BW178" s="212" t="n"/>
      <c r="BX178" s="212" t="n"/>
      <c r="BY178" s="212" t="n"/>
      <c r="BZ178" s="212" t="n"/>
      <c r="CA178" s="212" t="n"/>
      <c r="CB178" s="212" t="n"/>
      <c r="CC178" s="212" t="n"/>
      <c r="CD178" s="212" t="n"/>
      <c r="CE178" s="212" t="n"/>
      <c r="CF178" s="212" t="n"/>
      <c r="CG178" s="212" t="n"/>
      <c r="CH178" s="212" t="n"/>
      <c r="CI178" s="212" t="n"/>
      <c r="CJ178" s="212" t="n"/>
      <c r="CK178" s="212" t="n"/>
      <c r="CL178" s="212" t="n"/>
      <c r="CM178" s="212" t="n"/>
      <c r="CN178" s="212" t="n"/>
      <c r="CO178" s="212" t="n"/>
      <c r="CP178" s="212" t="n"/>
      <c r="CQ178" s="212" t="n"/>
      <c r="CR178" s="212" t="n"/>
      <c r="CS178" s="212" t="n"/>
      <c r="CT178" s="212" t="n"/>
      <c r="CU178" s="212" t="n"/>
      <c r="CV178" s="212" t="n"/>
      <c r="CW178" s="212" t="n"/>
      <c r="CX178" s="212" t="n"/>
      <c r="CY178" s="212" t="n"/>
      <c r="CZ178" s="212" t="n"/>
      <c r="DA178" s="212" t="n"/>
      <c r="DB178" s="212" t="n"/>
      <c r="DC178" s="212" t="n"/>
      <c r="DD178" s="212" t="n"/>
      <c r="DE178" s="212" t="n"/>
      <c r="DF178" s="212" t="n"/>
      <c r="DG178" s="212" t="n"/>
      <c r="DH178" s="212" t="n"/>
      <c r="DI178" s="212" t="n"/>
      <c r="DJ178" s="212" t="n"/>
      <c r="DK178" s="212" t="n"/>
      <c r="DL178" s="212" t="n"/>
      <c r="DM178" s="212" t="n"/>
      <c r="DN178" s="212" t="n"/>
      <c r="DO178" s="212" t="n"/>
      <c r="DP178" s="212" t="n"/>
      <c r="DQ178" s="212" t="n"/>
      <c r="DR178" s="212" t="n"/>
      <c r="DS178" s="212" t="n"/>
      <c r="DT178" s="212" t="n"/>
      <c r="DU178" s="212" t="n"/>
      <c r="DV178" s="212" t="n"/>
      <c r="DW178" s="212" t="n"/>
      <c r="DX178" s="212" t="n"/>
      <c r="DY178" s="212" t="n"/>
      <c r="DZ178" s="212" t="n"/>
      <c r="EA178" s="212" t="n"/>
      <c r="EB178" s="212" t="n"/>
      <c r="EC178" s="212" t="n"/>
      <c r="ED178" s="212" t="n"/>
      <c r="EE178" s="212" t="n"/>
      <c r="EF178" s="212" t="n"/>
      <c r="EG178" s="212" t="n"/>
      <c r="EH178" s="212" t="n"/>
      <c r="EI178" s="212" t="n"/>
      <c r="EJ178" s="212" t="n"/>
      <c r="EK178" s="212" t="n"/>
      <c r="EL178" s="212" t="n"/>
      <c r="EM178" s="212" t="n"/>
      <c r="EN178" s="212" t="n"/>
      <c r="EO178" s="212" t="n"/>
      <c r="EP178" s="212" t="n"/>
      <c r="EQ178" s="212" t="n"/>
      <c r="ER178" s="212" t="n"/>
      <c r="ES178" s="212" t="n"/>
      <c r="ET178" s="212" t="n"/>
      <c r="EU178" s="212" t="n"/>
      <c r="EV178" s="212" t="n"/>
      <c r="EW178" s="212" t="n"/>
      <c r="EX178" s="212" t="n"/>
      <c r="EY178" s="212" t="n"/>
      <c r="EZ178" s="212" t="n"/>
      <c r="FA178" s="212" t="n"/>
      <c r="FB178" s="212" t="n"/>
      <c r="FC178" s="212" t="n"/>
      <c r="FD178" s="212" t="n"/>
      <c r="FE178" s="212" t="n"/>
      <c r="FF178" s="212" t="n"/>
      <c r="FG178" s="212" t="n"/>
      <c r="FH178" s="212" t="n"/>
      <c r="FI178" s="212" t="n"/>
      <c r="FJ178" s="212" t="n"/>
      <c r="FK178" s="212" t="n"/>
      <c r="FL178" s="212" t="n"/>
      <c r="FM178" s="212" t="n"/>
      <c r="FN178" s="212" t="n"/>
      <c r="FO178" s="212" t="n"/>
      <c r="FP178" s="212" t="n"/>
      <c r="FQ178" s="212" t="n"/>
      <c r="FR178" s="212" t="n"/>
      <c r="FS178" s="212" t="n"/>
      <c r="FT178" s="212" t="n"/>
      <c r="FU178" s="212" t="n"/>
      <c r="FV178" s="212" t="n"/>
      <c r="FW178" s="212" t="n"/>
      <c r="FX178" s="212" t="n"/>
      <c r="FY178" s="212" t="n"/>
      <c r="FZ178" s="212" t="n"/>
      <c r="GA178" s="212" t="n"/>
      <c r="GB178" s="212" t="n"/>
      <c r="GC178" s="212" t="n"/>
      <c r="GD178" s="212" t="n"/>
      <c r="GE178" s="212" t="n"/>
      <c r="GF178" s="212" t="n"/>
      <c r="GG178" s="212" t="n"/>
      <c r="GH178" s="212" t="n"/>
      <c r="GI178" s="212" t="n"/>
      <c r="GJ178" s="212" t="n"/>
      <c r="GK178" s="212" t="n"/>
      <c r="GL178" s="212" t="n"/>
      <c r="GM178" s="212" t="n"/>
      <c r="GN178" s="212" t="n"/>
      <c r="GO178" s="212" t="n"/>
      <c r="GP178" s="212" t="n"/>
      <c r="GQ178" s="212" t="n"/>
      <c r="GR178" s="212" t="n"/>
      <c r="GS178" s="212" t="n"/>
      <c r="GT178" s="212" t="n"/>
      <c r="GU178" s="212" t="n"/>
      <c r="GV178" s="212" t="n"/>
      <c r="GW178" s="212" t="n"/>
      <c r="GX178" s="212" t="n"/>
      <c r="GY178" s="212" t="n"/>
      <c r="GZ178" s="212" t="n"/>
      <c r="HA178" s="212" t="n"/>
      <c r="HB178" s="212" t="n"/>
      <c r="HC178" s="212" t="n"/>
      <c r="HD178" s="212" t="n"/>
      <c r="HE178" s="212" t="n"/>
      <c r="HF178" s="212" t="n"/>
      <c r="HG178" s="212" t="n"/>
      <c r="HH178" s="212" t="n"/>
      <c r="HI178" s="212" t="n"/>
      <c r="HJ178" s="212" t="n"/>
      <c r="HK178" s="212" t="n"/>
      <c r="HL178" s="212" t="n"/>
      <c r="HM178" s="212" t="n"/>
      <c r="HN178" s="212" t="n"/>
      <c r="HO178" s="212" t="n"/>
      <c r="HP178" s="212" t="n"/>
      <c r="HQ178" s="212" t="n"/>
      <c r="HR178" s="212" t="n"/>
      <c r="HS178" s="212" t="n"/>
      <c r="HT178" s="212" t="n"/>
      <c r="HU178" s="212" t="n"/>
      <c r="HV178" s="212" t="n"/>
      <c r="HW178" s="212" t="n"/>
      <c r="HX178" s="212" t="n"/>
      <c r="HY178" s="212" t="n"/>
      <c r="HZ178" s="212" t="n"/>
      <c r="IA178" s="212" t="n"/>
      <c r="IB178" s="212" t="n"/>
      <c r="IC178" s="212" t="n"/>
      <c r="ID178" s="212" t="n"/>
      <c r="IE178" s="212" t="n"/>
      <c r="IF178" s="212" t="n"/>
      <c r="IG178" s="212" t="n"/>
      <c r="IH178" s="212" t="n"/>
      <c r="II178" s="212" t="n"/>
      <c r="IJ178" s="212" t="n"/>
      <c r="IK178" s="212" t="n"/>
      <c r="IL178" s="212" t="n"/>
      <c r="IM178" s="212" t="n"/>
      <c r="IN178" s="212" t="n"/>
      <c r="IO178" s="212" t="n"/>
      <c r="IP178" s="212" t="n"/>
      <c r="IQ178" s="212" t="n"/>
      <c r="IR178" s="212" t="n"/>
      <c r="IS178" s="212" t="n"/>
      <c r="IT178" s="212" t="n"/>
      <c r="IU178" s="212" t="n"/>
      <c r="IV178" s="212" t="n"/>
      <c r="IW178" s="212" t="n"/>
      <c r="IX178" s="212" t="n"/>
      <c r="IY178" s="212" t="n"/>
      <c r="IZ178" s="212" t="n"/>
      <c r="JA178" s="212" t="n"/>
      <c r="JB178" s="212" t="n"/>
      <c r="JC178" s="212" t="n"/>
      <c r="JD178" s="212" t="n"/>
      <c r="JE178" s="212" t="n"/>
      <c r="JF178" s="212" t="n"/>
      <c r="JG178" s="212" t="n"/>
      <c r="JH178" s="212" t="n"/>
      <c r="JI178" s="212" t="n"/>
      <c r="JJ178" s="212" t="n"/>
      <c r="JK178" s="212" t="n"/>
      <c r="JL178" s="212" t="n"/>
      <c r="JM178" s="212" t="n"/>
      <c r="JN178" s="212" t="n"/>
      <c r="JO178" s="212" t="n"/>
      <c r="JP178" s="212" t="n"/>
      <c r="JQ178" s="212" t="n"/>
      <c r="JR178" s="212" t="n"/>
      <c r="JS178" s="212" t="n"/>
      <c r="JT178" s="212" t="n"/>
      <c r="JU178" s="212" t="n"/>
      <c r="JV178" s="212" t="n"/>
      <c r="JW178" s="212" t="n"/>
      <c r="JX178" s="212" t="n"/>
      <c r="JY178" s="212" t="n"/>
      <c r="JZ178" s="212" t="n"/>
      <c r="KA178" s="212" t="n"/>
      <c r="KB178" s="212" t="n"/>
      <c r="KC178" s="212" t="n"/>
      <c r="KD178" s="212" t="n"/>
      <c r="KE178" s="212" t="n"/>
      <c r="KF178" s="212" t="n"/>
      <c r="KG178" s="212" t="n"/>
      <c r="KH178" s="212" t="n"/>
      <c r="KI178" s="212" t="n"/>
      <c r="KJ178" s="212" t="n"/>
      <c r="KK178" s="212" t="n"/>
      <c r="KL178" s="212" t="n"/>
      <c r="KM178" s="212" t="n"/>
      <c r="KN178" s="212" t="n"/>
      <c r="KO178" s="212" t="n"/>
      <c r="KP178" s="212" t="n"/>
      <c r="KQ178" s="212" t="n"/>
      <c r="KR178" s="212" t="n"/>
      <c r="KS178" s="212" t="n"/>
      <c r="KT178" s="212" t="n"/>
      <c r="KU178" s="212" t="n"/>
      <c r="KV178" s="212" t="n"/>
      <c r="KW178" s="212" t="n"/>
      <c r="KX178" s="212" t="n"/>
      <c r="KY178" s="212" t="n"/>
      <c r="KZ178" s="212" t="n"/>
      <c r="LA178" s="212" t="n"/>
      <c r="LB178" s="212" t="n"/>
      <c r="LC178" s="212" t="n"/>
      <c r="LD178" s="212" t="n"/>
      <c r="LE178" s="212" t="n"/>
      <c r="LF178" s="212" t="n"/>
      <c r="LG178" s="212" t="n"/>
      <c r="LH178" s="212" t="n"/>
      <c r="LI178" s="212" t="n"/>
      <c r="LJ178" s="212" t="n"/>
      <c r="LK178" s="212" t="n"/>
      <c r="LL178" s="212" t="n"/>
      <c r="LM178" s="212" t="n"/>
      <c r="LN178" s="212" t="n"/>
      <c r="LO178" s="212" t="n"/>
      <c r="LP178" s="212" t="n"/>
      <c r="LQ178" s="212" t="n"/>
      <c r="LR178" s="212" t="n"/>
      <c r="LS178" s="212" t="n"/>
      <c r="LT178" s="212" t="n"/>
      <c r="LU178" s="212" t="n"/>
      <c r="LV178" s="212" t="n"/>
      <c r="LW178" s="212" t="n"/>
      <c r="LX178" s="212" t="n"/>
      <c r="LY178" s="212" t="n"/>
      <c r="LZ178" s="212" t="n"/>
      <c r="MA178" s="212" t="n"/>
      <c r="MB178" s="212" t="n"/>
      <c r="MC178" s="212" t="n"/>
      <c r="MD178" s="212" t="n"/>
      <c r="ME178" s="212" t="n"/>
      <c r="MF178" s="212" t="n"/>
      <c r="MG178" s="212" t="n"/>
      <c r="MH178" s="212" t="n"/>
      <c r="MI178" s="212" t="n"/>
      <c r="MJ178" s="212" t="n"/>
      <c r="MK178" s="212" t="n"/>
      <c r="ML178" s="212" t="n"/>
      <c r="MM178" s="212" t="n"/>
      <c r="MN178" s="212" t="n"/>
      <c r="MO178" s="212" t="n"/>
      <c r="MP178" s="212" t="n"/>
      <c r="MQ178" s="212" t="n"/>
      <c r="MR178" s="212" t="n"/>
      <c r="MS178" s="212" t="n"/>
      <c r="MT178" s="212" t="n"/>
      <c r="MU178" s="212" t="n"/>
      <c r="MV178" s="212" t="n"/>
      <c r="MW178" s="212" t="n"/>
      <c r="MX178" s="212" t="n"/>
      <c r="MY178" s="212" t="n"/>
      <c r="MZ178" s="212" t="n"/>
      <c r="NA178" s="212" t="n"/>
      <c r="NB178" s="212" t="n"/>
      <c r="NC178" s="212" t="n"/>
      <c r="ND178" s="212" t="n"/>
      <c r="NE178" s="212" t="n"/>
      <c r="NF178" s="212" t="n"/>
      <c r="NG178" s="212" t="n"/>
      <c r="NH178" s="212" t="n"/>
      <c r="NI178" s="212" t="n"/>
      <c r="NJ178" s="212" t="n"/>
      <c r="NK178" s="212" t="n"/>
      <c r="NL178" s="212" t="n"/>
      <c r="NM178" s="212" t="n"/>
      <c r="NN178" s="212" t="n"/>
      <c r="NO178" s="212" t="n"/>
      <c r="NP178" s="212" t="n"/>
      <c r="NQ178" s="212" t="n"/>
      <c r="NR178" s="212" t="n"/>
      <c r="NS178" s="212" t="n"/>
      <c r="NT178" s="212" t="n"/>
      <c r="NU178" s="212" t="n"/>
      <c r="NV178" s="212" t="n"/>
      <c r="NW178" s="212" t="n"/>
      <c r="NX178" s="212" t="n"/>
      <c r="NY178" s="212" t="n"/>
      <c r="NZ178" s="212" t="n"/>
      <c r="OA178" s="212" t="n"/>
      <c r="OB178" s="212" t="n"/>
      <c r="OC178" s="212" t="n"/>
      <c r="OD178" s="212" t="n"/>
      <c r="OE178" s="212" t="n"/>
      <c r="OF178" s="212" t="n"/>
      <c r="OG178" s="212" t="n"/>
      <c r="OH178" s="212" t="n"/>
      <c r="OI178" s="212" t="n"/>
      <c r="OJ178" s="212" t="n"/>
      <c r="OK178" s="212" t="n"/>
      <c r="OL178" s="212" t="n"/>
      <c r="OM178" s="212" t="n"/>
      <c r="ON178" s="212" t="n"/>
      <c r="OO178" s="212" t="n"/>
      <c r="OP178" s="212" t="n"/>
      <c r="OQ178" s="212" t="n"/>
      <c r="OR178" s="212" t="n"/>
      <c r="OS178" s="212" t="n"/>
      <c r="OT178" s="212" t="n"/>
      <c r="OU178" s="212" t="n"/>
      <c r="OV178" s="212" t="n"/>
      <c r="OW178" s="212" t="n"/>
      <c r="OX178" s="212" t="n"/>
      <c r="OY178" s="212" t="n"/>
      <c r="OZ178" s="212" t="n"/>
      <c r="PA178" s="212" t="n"/>
      <c r="PB178" s="212" t="n"/>
      <c r="PC178" s="212" t="n"/>
      <c r="PD178" s="212" t="n"/>
      <c r="PE178" s="212" t="n"/>
      <c r="PF178" s="212" t="n"/>
      <c r="PG178" s="212" t="n"/>
      <c r="PH178" s="212" t="n"/>
      <c r="PI178" s="212" t="n"/>
      <c r="PJ178" s="212" t="n"/>
      <c r="PK178" s="212" t="n"/>
      <c r="PL178" s="212" t="n"/>
      <c r="PM178" s="212" t="n"/>
      <c r="PN178" s="212" t="n"/>
      <c r="PO178" s="212" t="n"/>
      <c r="PP178" s="212" t="n"/>
      <c r="PQ178" s="212" t="n"/>
      <c r="PR178" s="212" t="n"/>
      <c r="PS178" s="212" t="n"/>
      <c r="PT178" s="212" t="n"/>
      <c r="PU178" s="212" t="n"/>
      <c r="PV178" s="212" t="n"/>
      <c r="PW178" s="212" t="n"/>
      <c r="PX178" s="212" t="n"/>
      <c r="PY178" s="212" t="n"/>
      <c r="PZ178" s="212" t="n"/>
      <c r="QA178" s="212" t="n"/>
      <c r="QB178" s="212" t="n"/>
      <c r="QC178" s="212" t="n"/>
      <c r="QD178" s="212" t="n"/>
      <c r="QE178" s="212" t="n"/>
      <c r="QF178" s="212" t="n"/>
      <c r="QG178" s="212" t="n"/>
      <c r="QH178" s="212" t="n"/>
      <c r="QI178" s="212" t="n"/>
      <c r="QJ178" s="212" t="n"/>
      <c r="QK178" s="212" t="n"/>
      <c r="QL178" s="212" t="n"/>
      <c r="QM178" s="212" t="n"/>
      <c r="QN178" s="212" t="n"/>
      <c r="QO178" s="212" t="n"/>
      <c r="QP178" s="212" t="n"/>
      <c r="QQ178" s="212" t="n"/>
      <c r="QR178" s="212" t="n"/>
      <c r="QS178" s="212" t="n"/>
      <c r="QT178" s="212" t="n"/>
      <c r="QU178" s="212" t="n"/>
      <c r="QV178" s="212" t="n"/>
      <c r="QW178" s="212" t="n"/>
      <c r="QX178" s="212" t="n"/>
      <c r="QY178" s="212" t="n"/>
      <c r="QZ178" s="212" t="n"/>
      <c r="RA178" s="212" t="n"/>
      <c r="RB178" s="212" t="n"/>
      <c r="RC178" s="212" t="n"/>
      <c r="RD178" s="212" t="n"/>
      <c r="RE178" s="212" t="n"/>
      <c r="RF178" s="212" t="n"/>
      <c r="RG178" s="212" t="n"/>
      <c r="RH178" s="212" t="n"/>
      <c r="RI178" s="212" t="n"/>
      <c r="RJ178" s="212" t="n"/>
      <c r="RK178" s="212" t="n"/>
      <c r="RL178" s="212" t="n"/>
      <c r="RM178" s="212" t="n"/>
      <c r="RN178" s="212" t="n"/>
      <c r="RO178" s="212" t="n"/>
      <c r="RP178" s="212" t="n"/>
      <c r="RQ178" s="212" t="n"/>
      <c r="RR178" s="212" t="n"/>
      <c r="RS178" s="212" t="n"/>
      <c r="RT178" s="212" t="n"/>
      <c r="RU178" s="212" t="n"/>
      <c r="RV178" s="212" t="n"/>
      <c r="RW178" s="212" t="n"/>
      <c r="RX178" s="212" t="n"/>
      <c r="RY178" s="212" t="n"/>
      <c r="RZ178" s="212" t="n"/>
      <c r="SA178" s="212" t="n"/>
      <c r="SB178" s="212" t="n"/>
      <c r="SC178" s="212" t="n"/>
      <c r="SD178" s="212" t="n"/>
      <c r="SE178" s="212" t="n"/>
      <c r="SF178" s="212" t="n"/>
      <c r="SG178" s="212" t="n"/>
      <c r="SH178" s="212" t="n"/>
      <c r="SI178" s="212" t="n"/>
      <c r="SJ178" s="212" t="n"/>
      <c r="SK178" s="212" t="n"/>
      <c r="SL178" s="212" t="n"/>
      <c r="SM178" s="212" t="n"/>
      <c r="SN178" s="212" t="n"/>
      <c r="SO178" s="212" t="n"/>
      <c r="SP178" s="212" t="n"/>
      <c r="SQ178" s="212" t="n"/>
      <c r="SR178" s="212" t="n"/>
      <c r="SS178" s="212" t="n"/>
      <c r="ST178" s="212" t="n"/>
      <c r="SU178" s="212" t="n"/>
      <c r="SV178" s="212" t="n"/>
    </row>
    <row r="179">
      <c r="B179" s="209" t="n"/>
      <c r="C179" s="209" t="n"/>
      <c r="D179" s="209" t="n"/>
      <c r="E179" s="209" t="n"/>
      <c r="F179" s="209">
        <f>IF(TRIM(D179&amp;E179)="","",TRIM(D179)&amp;" "&amp;TRIM(E179))</f>
        <v/>
      </c>
      <c r="G179" s="209" t="n"/>
      <c r="H179" s="209" t="n"/>
      <c r="I179" s="209" t="n"/>
      <c r="J179" s="209" t="n"/>
      <c r="K179" s="209" t="n"/>
      <c r="L179" s="209" t="n"/>
      <c r="M179" s="209" t="n"/>
      <c r="N179" s="209" t="n"/>
      <c r="O179" s="209" t="n"/>
      <c r="P179" s="209" t="n"/>
      <c r="Q179" s="209" t="n"/>
      <c r="R179" s="209" t="n"/>
      <c r="S179" s="212" t="n"/>
      <c r="T179" s="212" t="n"/>
      <c r="U179" s="212" t="n"/>
      <c r="V179" s="212" t="n"/>
      <c r="W179" s="212" t="n"/>
      <c r="X179" s="212" t="n"/>
      <c r="Y179" s="212" t="n"/>
      <c r="Z179" s="212" t="n"/>
      <c r="AA179" s="212" t="n"/>
      <c r="AB179" s="212" t="n"/>
      <c r="AC179" s="212" t="n"/>
      <c r="AD179" s="212" t="n"/>
      <c r="AE179" s="212" t="n"/>
      <c r="AF179" s="212" t="n"/>
      <c r="AG179" s="212" t="n"/>
      <c r="AH179" s="212" t="n"/>
      <c r="AI179" s="212" t="n"/>
      <c r="AJ179" s="212" t="n"/>
      <c r="AK179" s="212" t="n"/>
      <c r="AL179" s="212" t="n"/>
      <c r="AM179" s="212" t="n"/>
      <c r="AN179" s="212" t="n"/>
      <c r="AO179" s="212" t="n"/>
      <c r="AP179" s="212" t="n"/>
      <c r="AQ179" s="212" t="n"/>
      <c r="AR179" s="212" t="n"/>
      <c r="AS179" s="212" t="n"/>
      <c r="AT179" s="212" t="n"/>
      <c r="AU179" s="212" t="n"/>
      <c r="AV179" s="212" t="n"/>
      <c r="AW179" s="212" t="n"/>
      <c r="AX179" s="212" t="n"/>
      <c r="AY179" s="212" t="n"/>
      <c r="AZ179" s="212" t="n"/>
      <c r="BA179" s="212" t="n"/>
      <c r="BB179" s="212" t="n"/>
      <c r="BC179" s="212" t="n"/>
      <c r="BD179" s="212" t="n"/>
      <c r="BE179" s="212" t="n"/>
      <c r="BF179" s="212" t="n"/>
      <c r="BG179" s="212" t="n"/>
      <c r="BH179" s="212" t="n"/>
      <c r="BI179" s="212" t="n"/>
      <c r="BJ179" s="212" t="n"/>
      <c r="BK179" s="212" t="n"/>
      <c r="BL179" s="212" t="n"/>
      <c r="BM179" s="212" t="n"/>
      <c r="BN179" s="212" t="n"/>
      <c r="BO179" s="212" t="n"/>
      <c r="BP179" s="212" t="n"/>
      <c r="BQ179" s="212" t="n"/>
      <c r="BR179" s="212" t="n"/>
      <c r="BS179" s="212" t="n"/>
      <c r="BT179" s="212" t="n"/>
      <c r="BU179" s="212" t="n"/>
      <c r="BV179" s="212" t="n"/>
      <c r="BW179" s="212" t="n"/>
      <c r="BX179" s="212" t="n"/>
      <c r="BY179" s="212" t="n"/>
      <c r="BZ179" s="212" t="n"/>
      <c r="CA179" s="212" t="n"/>
      <c r="CB179" s="212" t="n"/>
      <c r="CC179" s="212" t="n"/>
      <c r="CD179" s="212" t="n"/>
      <c r="CE179" s="212" t="n"/>
      <c r="CF179" s="212" t="n"/>
      <c r="CG179" s="212" t="n"/>
      <c r="CH179" s="212" t="n"/>
      <c r="CI179" s="212" t="n"/>
      <c r="CJ179" s="212" t="n"/>
      <c r="CK179" s="212" t="n"/>
      <c r="CL179" s="212" t="n"/>
      <c r="CM179" s="212" t="n"/>
      <c r="CN179" s="212" t="n"/>
      <c r="CO179" s="212" t="n"/>
      <c r="CP179" s="212" t="n"/>
      <c r="CQ179" s="212" t="n"/>
      <c r="CR179" s="212" t="n"/>
      <c r="CS179" s="212" t="n"/>
      <c r="CT179" s="212" t="n"/>
      <c r="CU179" s="212" t="n"/>
      <c r="CV179" s="212" t="n"/>
      <c r="CW179" s="212" t="n"/>
      <c r="CX179" s="212" t="n"/>
      <c r="CY179" s="212" t="n"/>
      <c r="CZ179" s="212" t="n"/>
      <c r="DA179" s="212" t="n"/>
      <c r="DB179" s="212" t="n"/>
      <c r="DC179" s="212" t="n"/>
      <c r="DD179" s="212" t="n"/>
      <c r="DE179" s="212" t="n"/>
      <c r="DF179" s="212" t="n"/>
      <c r="DG179" s="212" t="n"/>
      <c r="DH179" s="212" t="n"/>
      <c r="DI179" s="212" t="n"/>
      <c r="DJ179" s="212" t="n"/>
      <c r="DK179" s="212" t="n"/>
      <c r="DL179" s="212" t="n"/>
      <c r="DM179" s="212" t="n"/>
      <c r="DN179" s="212" t="n"/>
      <c r="DO179" s="212" t="n"/>
      <c r="DP179" s="212" t="n"/>
      <c r="DQ179" s="212" t="n"/>
      <c r="DR179" s="212" t="n"/>
      <c r="DS179" s="212" t="n"/>
      <c r="DT179" s="212" t="n"/>
      <c r="DU179" s="212" t="n"/>
      <c r="DV179" s="212" t="n"/>
      <c r="DW179" s="212" t="n"/>
      <c r="DX179" s="212" t="n"/>
      <c r="DY179" s="212" t="n"/>
      <c r="DZ179" s="212" t="n"/>
      <c r="EA179" s="212" t="n"/>
      <c r="EB179" s="212" t="n"/>
      <c r="EC179" s="212" t="n"/>
      <c r="ED179" s="212" t="n"/>
      <c r="EE179" s="212" t="n"/>
      <c r="EF179" s="212" t="n"/>
      <c r="EG179" s="212" t="n"/>
      <c r="EH179" s="212" t="n"/>
      <c r="EI179" s="212" t="n"/>
      <c r="EJ179" s="212" t="n"/>
      <c r="EK179" s="212" t="n"/>
      <c r="EL179" s="212" t="n"/>
      <c r="EM179" s="212" t="n"/>
      <c r="EN179" s="212" t="n"/>
      <c r="EO179" s="212" t="n"/>
      <c r="EP179" s="212" t="n"/>
      <c r="EQ179" s="212" t="n"/>
      <c r="ER179" s="212" t="n"/>
      <c r="ES179" s="212" t="n"/>
      <c r="ET179" s="212" t="n"/>
      <c r="EU179" s="212" t="n"/>
      <c r="EV179" s="212" t="n"/>
      <c r="EW179" s="212" t="n"/>
      <c r="EX179" s="212" t="n"/>
      <c r="EY179" s="212" t="n"/>
      <c r="EZ179" s="212" t="n"/>
      <c r="FA179" s="212" t="n"/>
      <c r="FB179" s="212" t="n"/>
      <c r="FC179" s="212" t="n"/>
      <c r="FD179" s="212" t="n"/>
      <c r="FE179" s="212" t="n"/>
      <c r="FF179" s="212" t="n"/>
      <c r="FG179" s="212" t="n"/>
      <c r="FH179" s="212" t="n"/>
      <c r="FI179" s="212" t="n"/>
      <c r="FJ179" s="212" t="n"/>
      <c r="FK179" s="212" t="n"/>
      <c r="FL179" s="212" t="n"/>
      <c r="FM179" s="212" t="n"/>
      <c r="FN179" s="212" t="n"/>
      <c r="FO179" s="212" t="n"/>
      <c r="FP179" s="212" t="n"/>
      <c r="FQ179" s="212" t="n"/>
      <c r="FR179" s="212" t="n"/>
      <c r="FS179" s="212" t="n"/>
      <c r="FT179" s="212" t="n"/>
      <c r="FU179" s="212" t="n"/>
      <c r="FV179" s="212" t="n"/>
      <c r="FW179" s="212" t="n"/>
      <c r="FX179" s="212" t="n"/>
      <c r="FY179" s="212" t="n"/>
      <c r="FZ179" s="212" t="n"/>
      <c r="GA179" s="212" t="n"/>
      <c r="GB179" s="212" t="n"/>
      <c r="GC179" s="212" t="n"/>
      <c r="GD179" s="212" t="n"/>
      <c r="GE179" s="212" t="n"/>
      <c r="GF179" s="212" t="n"/>
      <c r="GG179" s="212" t="n"/>
      <c r="GH179" s="212" t="n"/>
      <c r="GI179" s="212" t="n"/>
      <c r="GJ179" s="212" t="n"/>
      <c r="GK179" s="212" t="n"/>
      <c r="GL179" s="212" t="n"/>
      <c r="GM179" s="212" t="n"/>
      <c r="GN179" s="212" t="n"/>
      <c r="GO179" s="212" t="n"/>
      <c r="GP179" s="212" t="n"/>
      <c r="GQ179" s="212" t="n"/>
      <c r="GR179" s="212" t="n"/>
      <c r="GS179" s="212" t="n"/>
      <c r="GT179" s="212" t="n"/>
      <c r="GU179" s="212" t="n"/>
      <c r="GV179" s="212" t="n"/>
      <c r="GW179" s="212" t="n"/>
      <c r="GX179" s="212" t="n"/>
      <c r="GY179" s="212" t="n"/>
      <c r="GZ179" s="212" t="n"/>
      <c r="HA179" s="212" t="n"/>
      <c r="HB179" s="212" t="n"/>
      <c r="HC179" s="212" t="n"/>
      <c r="HD179" s="212" t="n"/>
      <c r="HE179" s="212" t="n"/>
      <c r="HF179" s="212" t="n"/>
      <c r="HG179" s="212" t="n"/>
      <c r="HH179" s="212" t="n"/>
      <c r="HI179" s="212" t="n"/>
      <c r="HJ179" s="212" t="n"/>
      <c r="HK179" s="212" t="n"/>
      <c r="HL179" s="212" t="n"/>
      <c r="HM179" s="212" t="n"/>
      <c r="HN179" s="212" t="n"/>
      <c r="HO179" s="212" t="n"/>
      <c r="HP179" s="212" t="n"/>
      <c r="HQ179" s="212" t="n"/>
      <c r="HR179" s="212" t="n"/>
      <c r="HS179" s="212" t="n"/>
      <c r="HT179" s="212" t="n"/>
      <c r="HU179" s="212" t="n"/>
      <c r="HV179" s="212" t="n"/>
      <c r="HW179" s="212" t="n"/>
      <c r="HX179" s="212" t="n"/>
      <c r="HY179" s="212" t="n"/>
      <c r="HZ179" s="212" t="n"/>
      <c r="IA179" s="212" t="n"/>
      <c r="IB179" s="212" t="n"/>
      <c r="IC179" s="212" t="n"/>
      <c r="ID179" s="212" t="n"/>
      <c r="IE179" s="212" t="n"/>
      <c r="IF179" s="212" t="n"/>
      <c r="IG179" s="212" t="n"/>
      <c r="IH179" s="212" t="n"/>
      <c r="II179" s="212" t="n"/>
      <c r="IJ179" s="212" t="n"/>
      <c r="IK179" s="212" t="n"/>
      <c r="IL179" s="212" t="n"/>
      <c r="IM179" s="212" t="n"/>
      <c r="IN179" s="212" t="n"/>
      <c r="IO179" s="212" t="n"/>
      <c r="IP179" s="212" t="n"/>
      <c r="IQ179" s="212" t="n"/>
      <c r="IR179" s="212" t="n"/>
      <c r="IS179" s="212" t="n"/>
      <c r="IT179" s="212" t="n"/>
      <c r="IU179" s="212" t="n"/>
      <c r="IV179" s="212" t="n"/>
      <c r="IW179" s="212" t="n"/>
      <c r="IX179" s="212" t="n"/>
      <c r="IY179" s="212" t="n"/>
      <c r="IZ179" s="212" t="n"/>
      <c r="JA179" s="212" t="n"/>
      <c r="JB179" s="212" t="n"/>
      <c r="JC179" s="212" t="n"/>
      <c r="JD179" s="212" t="n"/>
      <c r="JE179" s="212" t="n"/>
      <c r="JF179" s="212" t="n"/>
      <c r="JG179" s="212" t="n"/>
      <c r="JH179" s="212" t="n"/>
      <c r="JI179" s="212" t="n"/>
      <c r="JJ179" s="212" t="n"/>
      <c r="JK179" s="212" t="n"/>
      <c r="JL179" s="212" t="n"/>
      <c r="JM179" s="212" t="n"/>
      <c r="JN179" s="212" t="n"/>
      <c r="JO179" s="212" t="n"/>
      <c r="JP179" s="212" t="n"/>
      <c r="JQ179" s="212" t="n"/>
      <c r="JR179" s="212" t="n"/>
      <c r="JS179" s="212" t="n"/>
      <c r="JT179" s="212" t="n"/>
      <c r="JU179" s="212" t="n"/>
      <c r="JV179" s="212" t="n"/>
      <c r="JW179" s="212" t="n"/>
      <c r="JX179" s="212" t="n"/>
      <c r="JY179" s="212" t="n"/>
      <c r="JZ179" s="212" t="n"/>
      <c r="KA179" s="212" t="n"/>
      <c r="KB179" s="212" t="n"/>
      <c r="KC179" s="212" t="n"/>
      <c r="KD179" s="212" t="n"/>
      <c r="KE179" s="212" t="n"/>
      <c r="KF179" s="212" t="n"/>
      <c r="KG179" s="212" t="n"/>
      <c r="KH179" s="212" t="n"/>
      <c r="KI179" s="212" t="n"/>
      <c r="KJ179" s="212" t="n"/>
      <c r="KK179" s="212" t="n"/>
      <c r="KL179" s="212" t="n"/>
      <c r="KM179" s="212" t="n"/>
      <c r="KN179" s="212" t="n"/>
      <c r="KO179" s="212" t="n"/>
      <c r="KP179" s="212" t="n"/>
      <c r="KQ179" s="212" t="n"/>
      <c r="KR179" s="212" t="n"/>
      <c r="KS179" s="212" t="n"/>
      <c r="KT179" s="212" t="n"/>
      <c r="KU179" s="212" t="n"/>
      <c r="KV179" s="212" t="n"/>
      <c r="KW179" s="212" t="n"/>
      <c r="KX179" s="212" t="n"/>
      <c r="KY179" s="212" t="n"/>
      <c r="KZ179" s="212" t="n"/>
      <c r="LA179" s="212" t="n"/>
      <c r="LB179" s="212" t="n"/>
      <c r="LC179" s="212" t="n"/>
      <c r="LD179" s="212" t="n"/>
      <c r="LE179" s="212" t="n"/>
      <c r="LF179" s="212" t="n"/>
      <c r="LG179" s="212" t="n"/>
      <c r="LH179" s="212" t="n"/>
      <c r="LI179" s="212" t="n"/>
      <c r="LJ179" s="212" t="n"/>
      <c r="LK179" s="212" t="n"/>
      <c r="LL179" s="212" t="n"/>
      <c r="LM179" s="212" t="n"/>
      <c r="LN179" s="212" t="n"/>
      <c r="LO179" s="212" t="n"/>
      <c r="LP179" s="212" t="n"/>
      <c r="LQ179" s="212" t="n"/>
      <c r="LR179" s="212" t="n"/>
      <c r="LS179" s="212" t="n"/>
      <c r="LT179" s="212" t="n"/>
      <c r="LU179" s="212" t="n"/>
      <c r="LV179" s="212" t="n"/>
      <c r="LW179" s="212" t="n"/>
      <c r="LX179" s="212" t="n"/>
      <c r="LY179" s="212" t="n"/>
      <c r="LZ179" s="212" t="n"/>
      <c r="MA179" s="212" t="n"/>
      <c r="MB179" s="212" t="n"/>
      <c r="MC179" s="212" t="n"/>
      <c r="MD179" s="212" t="n"/>
      <c r="ME179" s="212" t="n"/>
      <c r="MF179" s="212" t="n"/>
      <c r="MG179" s="212" t="n"/>
      <c r="MH179" s="212" t="n"/>
      <c r="MI179" s="212" t="n"/>
      <c r="MJ179" s="212" t="n"/>
      <c r="MK179" s="212" t="n"/>
      <c r="ML179" s="212" t="n"/>
      <c r="MM179" s="212" t="n"/>
      <c r="MN179" s="212" t="n"/>
      <c r="MO179" s="212" t="n"/>
      <c r="MP179" s="212" t="n"/>
      <c r="MQ179" s="212" t="n"/>
      <c r="MR179" s="212" t="n"/>
      <c r="MS179" s="212" t="n"/>
      <c r="MT179" s="212" t="n"/>
      <c r="MU179" s="212" t="n"/>
      <c r="MV179" s="212" t="n"/>
      <c r="MW179" s="212" t="n"/>
      <c r="MX179" s="212" t="n"/>
      <c r="MY179" s="212" t="n"/>
      <c r="MZ179" s="212" t="n"/>
      <c r="NA179" s="212" t="n"/>
      <c r="NB179" s="212" t="n"/>
      <c r="NC179" s="212" t="n"/>
      <c r="ND179" s="212" t="n"/>
      <c r="NE179" s="212" t="n"/>
      <c r="NF179" s="212" t="n"/>
      <c r="NG179" s="212" t="n"/>
      <c r="NH179" s="212" t="n"/>
      <c r="NI179" s="212" t="n"/>
      <c r="NJ179" s="212" t="n"/>
      <c r="NK179" s="212" t="n"/>
      <c r="NL179" s="212" t="n"/>
      <c r="NM179" s="212" t="n"/>
      <c r="NN179" s="212" t="n"/>
      <c r="NO179" s="212" t="n"/>
      <c r="NP179" s="212" t="n"/>
      <c r="NQ179" s="212" t="n"/>
      <c r="NR179" s="212" t="n"/>
      <c r="NS179" s="212" t="n"/>
      <c r="NT179" s="212" t="n"/>
      <c r="NU179" s="212" t="n"/>
      <c r="NV179" s="212" t="n"/>
      <c r="NW179" s="212" t="n"/>
      <c r="NX179" s="212" t="n"/>
      <c r="NY179" s="212" t="n"/>
      <c r="NZ179" s="212" t="n"/>
      <c r="OA179" s="212" t="n"/>
      <c r="OB179" s="212" t="n"/>
      <c r="OC179" s="212" t="n"/>
      <c r="OD179" s="212" t="n"/>
      <c r="OE179" s="212" t="n"/>
      <c r="OF179" s="212" t="n"/>
      <c r="OG179" s="212" t="n"/>
      <c r="OH179" s="212" t="n"/>
      <c r="OI179" s="212" t="n"/>
      <c r="OJ179" s="212" t="n"/>
      <c r="OK179" s="212" t="n"/>
      <c r="OL179" s="212" t="n"/>
      <c r="OM179" s="212" t="n"/>
      <c r="ON179" s="212" t="n"/>
      <c r="OO179" s="212" t="n"/>
      <c r="OP179" s="212" t="n"/>
      <c r="OQ179" s="212" t="n"/>
      <c r="OR179" s="212" t="n"/>
      <c r="OS179" s="212" t="n"/>
      <c r="OT179" s="212" t="n"/>
      <c r="OU179" s="212" t="n"/>
      <c r="OV179" s="212" t="n"/>
      <c r="OW179" s="212" t="n"/>
      <c r="OX179" s="212" t="n"/>
      <c r="OY179" s="212" t="n"/>
      <c r="OZ179" s="212" t="n"/>
      <c r="PA179" s="212" t="n"/>
      <c r="PB179" s="212" t="n"/>
      <c r="PC179" s="212" t="n"/>
      <c r="PD179" s="212" t="n"/>
      <c r="PE179" s="212" t="n"/>
      <c r="PF179" s="212" t="n"/>
      <c r="PG179" s="212" t="n"/>
      <c r="PH179" s="212" t="n"/>
      <c r="PI179" s="212" t="n"/>
      <c r="PJ179" s="212" t="n"/>
      <c r="PK179" s="212" t="n"/>
      <c r="PL179" s="212" t="n"/>
      <c r="PM179" s="212" t="n"/>
      <c r="PN179" s="212" t="n"/>
      <c r="PO179" s="212" t="n"/>
      <c r="PP179" s="212" t="n"/>
      <c r="PQ179" s="212" t="n"/>
      <c r="PR179" s="212" t="n"/>
      <c r="PS179" s="212" t="n"/>
      <c r="PT179" s="212" t="n"/>
      <c r="PU179" s="212" t="n"/>
      <c r="PV179" s="212" t="n"/>
      <c r="PW179" s="212" t="n"/>
      <c r="PX179" s="212" t="n"/>
      <c r="PY179" s="212" t="n"/>
      <c r="PZ179" s="212" t="n"/>
      <c r="QA179" s="212" t="n"/>
      <c r="QB179" s="212" t="n"/>
      <c r="QC179" s="212" t="n"/>
      <c r="QD179" s="212" t="n"/>
      <c r="QE179" s="212" t="n"/>
      <c r="QF179" s="212" t="n"/>
      <c r="QG179" s="212" t="n"/>
      <c r="QH179" s="212" t="n"/>
      <c r="QI179" s="212" t="n"/>
      <c r="QJ179" s="212" t="n"/>
      <c r="QK179" s="212" t="n"/>
      <c r="QL179" s="212" t="n"/>
      <c r="QM179" s="212" t="n"/>
      <c r="QN179" s="212" t="n"/>
      <c r="QO179" s="212" t="n"/>
      <c r="QP179" s="212" t="n"/>
      <c r="QQ179" s="212" t="n"/>
      <c r="QR179" s="212" t="n"/>
      <c r="QS179" s="212" t="n"/>
      <c r="QT179" s="212" t="n"/>
      <c r="QU179" s="212" t="n"/>
      <c r="QV179" s="212" t="n"/>
      <c r="QW179" s="212" t="n"/>
      <c r="QX179" s="212" t="n"/>
      <c r="QY179" s="212" t="n"/>
      <c r="QZ179" s="212" t="n"/>
      <c r="RA179" s="212" t="n"/>
      <c r="RB179" s="212" t="n"/>
      <c r="RC179" s="212" t="n"/>
      <c r="RD179" s="212" t="n"/>
      <c r="RE179" s="212" t="n"/>
      <c r="RF179" s="212" t="n"/>
      <c r="RG179" s="212" t="n"/>
      <c r="RH179" s="212" t="n"/>
      <c r="RI179" s="212" t="n"/>
      <c r="RJ179" s="212" t="n"/>
      <c r="RK179" s="212" t="n"/>
      <c r="RL179" s="212" t="n"/>
      <c r="RM179" s="212" t="n"/>
      <c r="RN179" s="212" t="n"/>
      <c r="RO179" s="212" t="n"/>
      <c r="RP179" s="212" t="n"/>
      <c r="RQ179" s="212" t="n"/>
      <c r="RR179" s="212" t="n"/>
      <c r="RS179" s="212" t="n"/>
      <c r="RT179" s="212" t="n"/>
      <c r="RU179" s="212" t="n"/>
      <c r="RV179" s="212" t="n"/>
      <c r="RW179" s="212" t="n"/>
      <c r="RX179" s="212" t="n"/>
      <c r="RY179" s="212" t="n"/>
      <c r="RZ179" s="212" t="n"/>
      <c r="SA179" s="212" t="n"/>
      <c r="SB179" s="212" t="n"/>
      <c r="SC179" s="212" t="n"/>
      <c r="SD179" s="212" t="n"/>
      <c r="SE179" s="212" t="n"/>
      <c r="SF179" s="212" t="n"/>
      <c r="SG179" s="212" t="n"/>
      <c r="SH179" s="212" t="n"/>
      <c r="SI179" s="212" t="n"/>
      <c r="SJ179" s="212" t="n"/>
      <c r="SK179" s="212" t="n"/>
      <c r="SL179" s="212" t="n"/>
      <c r="SM179" s="212" t="n"/>
      <c r="SN179" s="212" t="n"/>
      <c r="SO179" s="212" t="n"/>
      <c r="SP179" s="212" t="n"/>
      <c r="SQ179" s="212" t="n"/>
      <c r="SR179" s="212" t="n"/>
      <c r="SS179" s="212" t="n"/>
      <c r="ST179" s="212" t="n"/>
      <c r="SU179" s="212" t="n"/>
      <c r="SV179" s="212" t="n"/>
    </row>
    <row r="180">
      <c r="B180" s="209" t="n"/>
      <c r="C180" s="209" t="n"/>
      <c r="D180" s="209" t="n"/>
      <c r="E180" s="209" t="n"/>
      <c r="F180" s="209">
        <f>IF(TRIM(D180&amp;E180)="","",TRIM(D180)&amp;" "&amp;TRIM(E180))</f>
        <v/>
      </c>
      <c r="G180" s="209" t="n"/>
      <c r="H180" s="209" t="n"/>
      <c r="I180" s="209" t="n"/>
      <c r="J180" s="209" t="n"/>
      <c r="K180" s="209" t="n"/>
      <c r="L180" s="209" t="n"/>
      <c r="M180" s="209" t="n"/>
      <c r="N180" s="209" t="n"/>
      <c r="O180" s="209" t="n"/>
      <c r="P180" s="209" t="n"/>
      <c r="Q180" s="209" t="n"/>
      <c r="R180" s="209" t="n"/>
      <c r="S180" s="212" t="n"/>
      <c r="T180" s="212" t="n"/>
      <c r="U180" s="212" t="n"/>
      <c r="V180" s="212" t="n"/>
      <c r="W180" s="212" t="n"/>
      <c r="X180" s="212" t="n"/>
      <c r="Y180" s="212" t="n"/>
      <c r="Z180" s="212" t="n"/>
      <c r="AA180" s="212" t="n"/>
      <c r="AB180" s="212" t="n"/>
      <c r="AC180" s="212" t="n"/>
      <c r="AD180" s="212" t="n"/>
      <c r="AE180" s="212" t="n"/>
      <c r="AF180" s="212" t="n"/>
      <c r="AG180" s="212" t="n"/>
      <c r="AH180" s="212" t="n"/>
      <c r="AI180" s="212" t="n"/>
      <c r="AJ180" s="212" t="n"/>
      <c r="AK180" s="212" t="n"/>
      <c r="AL180" s="212" t="n"/>
      <c r="AM180" s="212" t="n"/>
      <c r="AN180" s="212" t="n"/>
      <c r="AO180" s="212" t="n"/>
      <c r="AP180" s="212" t="n"/>
      <c r="AQ180" s="212" t="n"/>
      <c r="AR180" s="212" t="n"/>
      <c r="AS180" s="212" t="n"/>
      <c r="AT180" s="212" t="n"/>
      <c r="AU180" s="212" t="n"/>
      <c r="AV180" s="212" t="n"/>
      <c r="AW180" s="212" t="n"/>
      <c r="AX180" s="212" t="n"/>
      <c r="AY180" s="212" t="n"/>
      <c r="AZ180" s="212" t="n"/>
      <c r="BA180" s="212" t="n"/>
      <c r="BB180" s="212" t="n"/>
      <c r="BC180" s="212" t="n"/>
      <c r="BD180" s="212" t="n"/>
      <c r="BE180" s="212" t="n"/>
      <c r="BF180" s="212" t="n"/>
      <c r="BG180" s="212" t="n"/>
      <c r="BH180" s="212" t="n"/>
      <c r="BI180" s="212" t="n"/>
      <c r="BJ180" s="212" t="n"/>
      <c r="BK180" s="212" t="n"/>
      <c r="BL180" s="212" t="n"/>
      <c r="BM180" s="212" t="n"/>
      <c r="BN180" s="212" t="n"/>
      <c r="BO180" s="212" t="n"/>
      <c r="BP180" s="212" t="n"/>
      <c r="BQ180" s="212" t="n"/>
      <c r="BR180" s="212" t="n"/>
      <c r="BS180" s="212" t="n"/>
      <c r="BT180" s="212" t="n"/>
      <c r="BU180" s="212" t="n"/>
      <c r="BV180" s="212" t="n"/>
      <c r="BW180" s="212" t="n"/>
      <c r="BX180" s="212" t="n"/>
      <c r="BY180" s="212" t="n"/>
      <c r="BZ180" s="212" t="n"/>
      <c r="CA180" s="212" t="n"/>
      <c r="CB180" s="212" t="n"/>
      <c r="CC180" s="212" t="n"/>
      <c r="CD180" s="212" t="n"/>
      <c r="CE180" s="212" t="n"/>
      <c r="CF180" s="212" t="n"/>
      <c r="CG180" s="212" t="n"/>
      <c r="CH180" s="212" t="n"/>
      <c r="CI180" s="212" t="n"/>
      <c r="CJ180" s="212" t="n"/>
      <c r="CK180" s="212" t="n"/>
      <c r="CL180" s="212" t="n"/>
      <c r="CM180" s="212" t="n"/>
      <c r="CN180" s="212" t="n"/>
      <c r="CO180" s="212" t="n"/>
      <c r="CP180" s="212" t="n"/>
      <c r="CQ180" s="212" t="n"/>
      <c r="CR180" s="212" t="n"/>
      <c r="CS180" s="212" t="n"/>
      <c r="CT180" s="212" t="n"/>
      <c r="CU180" s="212" t="n"/>
      <c r="CV180" s="212" t="n"/>
      <c r="CW180" s="212" t="n"/>
      <c r="CX180" s="212" t="n"/>
      <c r="CY180" s="212" t="n"/>
      <c r="CZ180" s="212" t="n"/>
      <c r="DA180" s="212" t="n"/>
      <c r="DB180" s="212" t="n"/>
      <c r="DC180" s="212" t="n"/>
      <c r="DD180" s="212" t="n"/>
      <c r="DE180" s="212" t="n"/>
      <c r="DF180" s="212" t="n"/>
      <c r="DG180" s="212" t="n"/>
      <c r="DH180" s="212" t="n"/>
      <c r="DI180" s="212" t="n"/>
      <c r="DJ180" s="212" t="n"/>
      <c r="DK180" s="212" t="n"/>
      <c r="DL180" s="212" t="n"/>
      <c r="DM180" s="212" t="n"/>
      <c r="DN180" s="212" t="n"/>
      <c r="DO180" s="212" t="n"/>
      <c r="DP180" s="212" t="n"/>
      <c r="DQ180" s="212" t="n"/>
      <c r="DR180" s="212" t="n"/>
      <c r="DS180" s="212" t="n"/>
      <c r="DT180" s="212" t="n"/>
      <c r="DU180" s="212" t="n"/>
      <c r="DV180" s="212" t="n"/>
      <c r="DW180" s="212" t="n"/>
      <c r="DX180" s="212" t="n"/>
      <c r="DY180" s="212" t="n"/>
      <c r="DZ180" s="212" t="n"/>
      <c r="EA180" s="212" t="n"/>
      <c r="EB180" s="212" t="n"/>
      <c r="EC180" s="212" t="n"/>
      <c r="ED180" s="212" t="n"/>
      <c r="EE180" s="212" t="n"/>
      <c r="EF180" s="212" t="n"/>
      <c r="EG180" s="212" t="n"/>
      <c r="EH180" s="212" t="n"/>
      <c r="EI180" s="212" t="n"/>
      <c r="EJ180" s="212" t="n"/>
      <c r="EK180" s="212" t="n"/>
      <c r="EL180" s="212" t="n"/>
      <c r="EM180" s="212" t="n"/>
      <c r="EN180" s="212" t="n"/>
      <c r="EO180" s="212" t="n"/>
      <c r="EP180" s="212" t="n"/>
      <c r="EQ180" s="212" t="n"/>
      <c r="ER180" s="212" t="n"/>
      <c r="ES180" s="212" t="n"/>
      <c r="ET180" s="212" t="n"/>
      <c r="EU180" s="212" t="n"/>
      <c r="EV180" s="212" t="n"/>
      <c r="EW180" s="212" t="n"/>
      <c r="EX180" s="212" t="n"/>
      <c r="EY180" s="212" t="n"/>
      <c r="EZ180" s="212" t="n"/>
      <c r="FA180" s="212" t="n"/>
      <c r="FB180" s="212" t="n"/>
      <c r="FC180" s="212" t="n"/>
      <c r="FD180" s="212" t="n"/>
      <c r="FE180" s="212" t="n"/>
      <c r="FF180" s="212" t="n"/>
      <c r="FG180" s="212" t="n"/>
      <c r="FH180" s="212" t="n"/>
      <c r="FI180" s="212" t="n"/>
      <c r="FJ180" s="212" t="n"/>
      <c r="FK180" s="212" t="n"/>
      <c r="FL180" s="212" t="n"/>
      <c r="FM180" s="212" t="n"/>
      <c r="FN180" s="212" t="n"/>
      <c r="FO180" s="212" t="n"/>
      <c r="FP180" s="212" t="n"/>
      <c r="FQ180" s="212" t="n"/>
      <c r="FR180" s="212" t="n"/>
      <c r="FS180" s="212" t="n"/>
      <c r="FT180" s="212" t="n"/>
      <c r="FU180" s="212" t="n"/>
      <c r="FV180" s="212" t="n"/>
      <c r="FW180" s="212" t="n"/>
      <c r="FX180" s="212" t="n"/>
      <c r="FY180" s="212" t="n"/>
      <c r="FZ180" s="212" t="n"/>
      <c r="GA180" s="212" t="n"/>
      <c r="GB180" s="212" t="n"/>
      <c r="GC180" s="212" t="n"/>
      <c r="GD180" s="212" t="n"/>
      <c r="GE180" s="212" t="n"/>
      <c r="GF180" s="212" t="n"/>
      <c r="GG180" s="212" t="n"/>
      <c r="GH180" s="212" t="n"/>
      <c r="GI180" s="212" t="n"/>
      <c r="GJ180" s="212" t="n"/>
      <c r="GK180" s="212" t="n"/>
      <c r="GL180" s="212" t="n"/>
      <c r="GM180" s="212" t="n"/>
      <c r="GN180" s="212" t="n"/>
      <c r="GO180" s="212" t="n"/>
      <c r="GP180" s="212" t="n"/>
      <c r="GQ180" s="212" t="n"/>
      <c r="GR180" s="212" t="n"/>
      <c r="GS180" s="212" t="n"/>
      <c r="GT180" s="212" t="n"/>
      <c r="GU180" s="212" t="n"/>
      <c r="GV180" s="212" t="n"/>
      <c r="GW180" s="212" t="n"/>
      <c r="GX180" s="212" t="n"/>
      <c r="GY180" s="212" t="n"/>
      <c r="GZ180" s="212" t="n"/>
      <c r="HA180" s="212" t="n"/>
      <c r="HB180" s="212" t="n"/>
      <c r="HC180" s="212" t="n"/>
      <c r="HD180" s="212" t="n"/>
      <c r="HE180" s="212" t="n"/>
      <c r="HF180" s="212" t="n"/>
      <c r="HG180" s="212" t="n"/>
      <c r="HH180" s="212" t="n"/>
      <c r="HI180" s="212" t="n"/>
      <c r="HJ180" s="212" t="n"/>
      <c r="HK180" s="212" t="n"/>
      <c r="HL180" s="212" t="n"/>
      <c r="HM180" s="212" t="n"/>
      <c r="HN180" s="212" t="n"/>
      <c r="HO180" s="212" t="n"/>
      <c r="HP180" s="212" t="n"/>
      <c r="HQ180" s="212" t="n"/>
      <c r="HR180" s="212" t="n"/>
      <c r="HS180" s="212" t="n"/>
      <c r="HT180" s="212" t="n"/>
      <c r="HU180" s="212" t="n"/>
      <c r="HV180" s="212" t="n"/>
      <c r="HW180" s="212" t="n"/>
      <c r="HX180" s="212" t="n"/>
      <c r="HY180" s="212" t="n"/>
      <c r="HZ180" s="212" t="n"/>
      <c r="IA180" s="212" t="n"/>
      <c r="IB180" s="212" t="n"/>
      <c r="IC180" s="212" t="n"/>
      <c r="ID180" s="212" t="n"/>
      <c r="IE180" s="212" t="n"/>
      <c r="IF180" s="212" t="n"/>
      <c r="IG180" s="212" t="n"/>
      <c r="IH180" s="212" t="n"/>
      <c r="II180" s="212" t="n"/>
      <c r="IJ180" s="212" t="n"/>
      <c r="IK180" s="212" t="n"/>
      <c r="IL180" s="212" t="n"/>
      <c r="IM180" s="212" t="n"/>
      <c r="IN180" s="212" t="n"/>
      <c r="IO180" s="212" t="n"/>
      <c r="IP180" s="212" t="n"/>
      <c r="IQ180" s="212" t="n"/>
      <c r="IR180" s="212" t="n"/>
      <c r="IS180" s="212" t="n"/>
      <c r="IT180" s="212" t="n"/>
      <c r="IU180" s="212" t="n"/>
      <c r="IV180" s="212" t="n"/>
      <c r="IW180" s="212" t="n"/>
      <c r="IX180" s="212" t="n"/>
      <c r="IY180" s="212" t="n"/>
      <c r="IZ180" s="212" t="n"/>
      <c r="JA180" s="212" t="n"/>
      <c r="JB180" s="212" t="n"/>
      <c r="JC180" s="212" t="n"/>
      <c r="JD180" s="212" t="n"/>
      <c r="JE180" s="212" t="n"/>
      <c r="JF180" s="212" t="n"/>
      <c r="JG180" s="212" t="n"/>
      <c r="JH180" s="212" t="n"/>
      <c r="JI180" s="212" t="n"/>
      <c r="JJ180" s="212" t="n"/>
      <c r="JK180" s="212" t="n"/>
      <c r="JL180" s="212" t="n"/>
      <c r="JM180" s="212" t="n"/>
      <c r="JN180" s="212" t="n"/>
      <c r="JO180" s="212" t="n"/>
      <c r="JP180" s="212" t="n"/>
      <c r="JQ180" s="212" t="n"/>
      <c r="JR180" s="212" t="n"/>
      <c r="JS180" s="212" t="n"/>
      <c r="JT180" s="212" t="n"/>
      <c r="JU180" s="212" t="n"/>
      <c r="JV180" s="212" t="n"/>
      <c r="JW180" s="212" t="n"/>
      <c r="JX180" s="212" t="n"/>
      <c r="JY180" s="212" t="n"/>
      <c r="JZ180" s="212" t="n"/>
      <c r="KA180" s="212" t="n"/>
      <c r="KB180" s="212" t="n"/>
      <c r="KC180" s="212" t="n"/>
      <c r="KD180" s="212" t="n"/>
      <c r="KE180" s="212" t="n"/>
      <c r="KF180" s="212" t="n"/>
      <c r="KG180" s="212" t="n"/>
      <c r="KH180" s="212" t="n"/>
      <c r="KI180" s="212" t="n"/>
      <c r="KJ180" s="212" t="n"/>
      <c r="KK180" s="212" t="n"/>
      <c r="KL180" s="212" t="n"/>
      <c r="KM180" s="212" t="n"/>
      <c r="KN180" s="212" t="n"/>
      <c r="KO180" s="212" t="n"/>
      <c r="KP180" s="212" t="n"/>
      <c r="KQ180" s="212" t="n"/>
      <c r="KR180" s="212" t="n"/>
      <c r="KS180" s="212" t="n"/>
      <c r="KT180" s="212" t="n"/>
      <c r="KU180" s="212" t="n"/>
      <c r="KV180" s="212" t="n"/>
      <c r="KW180" s="212" t="n"/>
      <c r="KX180" s="212" t="n"/>
      <c r="KY180" s="212" t="n"/>
      <c r="KZ180" s="212" t="n"/>
      <c r="LA180" s="212" t="n"/>
      <c r="LB180" s="212" t="n"/>
      <c r="LC180" s="212" t="n"/>
      <c r="LD180" s="212" t="n"/>
      <c r="LE180" s="212" t="n"/>
      <c r="LF180" s="212" t="n"/>
      <c r="LG180" s="212" t="n"/>
      <c r="LH180" s="212" t="n"/>
      <c r="LI180" s="212" t="n"/>
      <c r="LJ180" s="212" t="n"/>
      <c r="LK180" s="212" t="n"/>
      <c r="LL180" s="212" t="n"/>
      <c r="LM180" s="212" t="n"/>
      <c r="LN180" s="212" t="n"/>
      <c r="LO180" s="212" t="n"/>
      <c r="LP180" s="212" t="n"/>
      <c r="LQ180" s="212" t="n"/>
      <c r="LR180" s="212" t="n"/>
      <c r="LS180" s="212" t="n"/>
      <c r="LT180" s="212" t="n"/>
      <c r="LU180" s="212" t="n"/>
      <c r="LV180" s="212" t="n"/>
      <c r="LW180" s="212" t="n"/>
      <c r="LX180" s="212" t="n"/>
      <c r="LY180" s="212" t="n"/>
      <c r="LZ180" s="212" t="n"/>
      <c r="MA180" s="212" t="n"/>
      <c r="MB180" s="212" t="n"/>
      <c r="MC180" s="212" t="n"/>
      <c r="MD180" s="212" t="n"/>
      <c r="ME180" s="212" t="n"/>
      <c r="MF180" s="212" t="n"/>
      <c r="MG180" s="212" t="n"/>
      <c r="MH180" s="212" t="n"/>
      <c r="MI180" s="212" t="n"/>
      <c r="MJ180" s="212" t="n"/>
      <c r="MK180" s="212" t="n"/>
      <c r="ML180" s="212" t="n"/>
      <c r="MM180" s="212" t="n"/>
      <c r="MN180" s="212" t="n"/>
      <c r="MO180" s="212" t="n"/>
      <c r="MP180" s="212" t="n"/>
      <c r="MQ180" s="212" t="n"/>
      <c r="MR180" s="212" t="n"/>
      <c r="MS180" s="212" t="n"/>
      <c r="MT180" s="212" t="n"/>
      <c r="MU180" s="212" t="n"/>
      <c r="MV180" s="212" t="n"/>
      <c r="MW180" s="212" t="n"/>
      <c r="MX180" s="212" t="n"/>
      <c r="MY180" s="212" t="n"/>
      <c r="MZ180" s="212" t="n"/>
      <c r="NA180" s="212" t="n"/>
      <c r="NB180" s="212" t="n"/>
      <c r="NC180" s="212" t="n"/>
      <c r="ND180" s="212" t="n"/>
      <c r="NE180" s="212" t="n"/>
      <c r="NF180" s="212" t="n"/>
      <c r="NG180" s="212" t="n"/>
      <c r="NH180" s="212" t="n"/>
      <c r="NI180" s="212" t="n"/>
      <c r="NJ180" s="212" t="n"/>
      <c r="NK180" s="212" t="n"/>
      <c r="NL180" s="212" t="n"/>
      <c r="NM180" s="212" t="n"/>
      <c r="NN180" s="212" t="n"/>
      <c r="NO180" s="212" t="n"/>
      <c r="NP180" s="212" t="n"/>
      <c r="NQ180" s="212" t="n"/>
      <c r="NR180" s="212" t="n"/>
      <c r="NS180" s="212" t="n"/>
      <c r="NT180" s="212" t="n"/>
      <c r="NU180" s="212" t="n"/>
      <c r="NV180" s="212" t="n"/>
      <c r="NW180" s="212" t="n"/>
      <c r="NX180" s="212" t="n"/>
      <c r="NY180" s="212" t="n"/>
      <c r="NZ180" s="212" t="n"/>
      <c r="OA180" s="212" t="n"/>
      <c r="OB180" s="212" t="n"/>
      <c r="OC180" s="212" t="n"/>
      <c r="OD180" s="212" t="n"/>
      <c r="OE180" s="212" t="n"/>
      <c r="OF180" s="212" t="n"/>
      <c r="OG180" s="212" t="n"/>
      <c r="OH180" s="212" t="n"/>
      <c r="OI180" s="212" t="n"/>
      <c r="OJ180" s="212" t="n"/>
      <c r="OK180" s="212" t="n"/>
      <c r="OL180" s="212" t="n"/>
      <c r="OM180" s="212" t="n"/>
      <c r="ON180" s="212" t="n"/>
      <c r="OO180" s="212" t="n"/>
      <c r="OP180" s="212" t="n"/>
      <c r="OQ180" s="212" t="n"/>
      <c r="OR180" s="212" t="n"/>
      <c r="OS180" s="212" t="n"/>
      <c r="OT180" s="212" t="n"/>
      <c r="OU180" s="212" t="n"/>
      <c r="OV180" s="212" t="n"/>
      <c r="OW180" s="212" t="n"/>
      <c r="OX180" s="212" t="n"/>
      <c r="OY180" s="212" t="n"/>
      <c r="OZ180" s="212" t="n"/>
      <c r="PA180" s="212" t="n"/>
      <c r="PB180" s="212" t="n"/>
      <c r="PC180" s="212" t="n"/>
      <c r="PD180" s="212" t="n"/>
      <c r="PE180" s="212" t="n"/>
      <c r="PF180" s="212" t="n"/>
      <c r="PG180" s="212" t="n"/>
      <c r="PH180" s="212" t="n"/>
      <c r="PI180" s="212" t="n"/>
      <c r="PJ180" s="212" t="n"/>
      <c r="PK180" s="212" t="n"/>
      <c r="PL180" s="212" t="n"/>
      <c r="PM180" s="212" t="n"/>
      <c r="PN180" s="212" t="n"/>
      <c r="PO180" s="212" t="n"/>
      <c r="PP180" s="212" t="n"/>
      <c r="PQ180" s="212" t="n"/>
      <c r="PR180" s="212" t="n"/>
      <c r="PS180" s="212" t="n"/>
      <c r="PT180" s="212" t="n"/>
      <c r="PU180" s="212" t="n"/>
      <c r="PV180" s="212" t="n"/>
      <c r="PW180" s="212" t="n"/>
      <c r="PX180" s="212" t="n"/>
      <c r="PY180" s="212" t="n"/>
      <c r="PZ180" s="212" t="n"/>
      <c r="QA180" s="212" t="n"/>
      <c r="QB180" s="212" t="n"/>
      <c r="QC180" s="212" t="n"/>
      <c r="QD180" s="212" t="n"/>
      <c r="QE180" s="212" t="n"/>
      <c r="QF180" s="212" t="n"/>
      <c r="QG180" s="212" t="n"/>
      <c r="QH180" s="212" t="n"/>
      <c r="QI180" s="212" t="n"/>
      <c r="QJ180" s="212" t="n"/>
      <c r="QK180" s="212" t="n"/>
      <c r="QL180" s="212" t="n"/>
      <c r="QM180" s="212" t="n"/>
      <c r="QN180" s="212" t="n"/>
      <c r="QO180" s="212" t="n"/>
      <c r="QP180" s="212" t="n"/>
      <c r="QQ180" s="212" t="n"/>
      <c r="QR180" s="212" t="n"/>
      <c r="QS180" s="212" t="n"/>
      <c r="QT180" s="212" t="n"/>
      <c r="QU180" s="212" t="n"/>
      <c r="QV180" s="212" t="n"/>
      <c r="QW180" s="212" t="n"/>
      <c r="QX180" s="212" t="n"/>
      <c r="QY180" s="212" t="n"/>
      <c r="QZ180" s="212" t="n"/>
      <c r="RA180" s="212" t="n"/>
      <c r="RB180" s="212" t="n"/>
      <c r="RC180" s="212" t="n"/>
      <c r="RD180" s="212" t="n"/>
      <c r="RE180" s="212" t="n"/>
      <c r="RF180" s="212" t="n"/>
      <c r="RG180" s="212" t="n"/>
      <c r="RH180" s="212" t="n"/>
      <c r="RI180" s="212" t="n"/>
      <c r="RJ180" s="212" t="n"/>
      <c r="RK180" s="212" t="n"/>
      <c r="RL180" s="212" t="n"/>
      <c r="RM180" s="212" t="n"/>
      <c r="RN180" s="212" t="n"/>
      <c r="RO180" s="212" t="n"/>
      <c r="RP180" s="212" t="n"/>
      <c r="RQ180" s="212" t="n"/>
      <c r="RR180" s="212" t="n"/>
      <c r="RS180" s="212" t="n"/>
      <c r="RT180" s="212" t="n"/>
      <c r="RU180" s="212" t="n"/>
      <c r="RV180" s="212" t="n"/>
      <c r="RW180" s="212" t="n"/>
      <c r="RX180" s="212" t="n"/>
      <c r="RY180" s="212" t="n"/>
      <c r="RZ180" s="212" t="n"/>
      <c r="SA180" s="212" t="n"/>
      <c r="SB180" s="212" t="n"/>
      <c r="SC180" s="212" t="n"/>
      <c r="SD180" s="212" t="n"/>
      <c r="SE180" s="212" t="n"/>
      <c r="SF180" s="212" t="n"/>
      <c r="SG180" s="212" t="n"/>
      <c r="SH180" s="212" t="n"/>
      <c r="SI180" s="212" t="n"/>
      <c r="SJ180" s="212" t="n"/>
      <c r="SK180" s="212" t="n"/>
      <c r="SL180" s="212" t="n"/>
      <c r="SM180" s="212" t="n"/>
      <c r="SN180" s="212" t="n"/>
      <c r="SO180" s="212" t="n"/>
      <c r="SP180" s="212" t="n"/>
      <c r="SQ180" s="212" t="n"/>
      <c r="SR180" s="212" t="n"/>
      <c r="SS180" s="212" t="n"/>
      <c r="ST180" s="212" t="n"/>
      <c r="SU180" s="212" t="n"/>
      <c r="SV180" s="212" t="n"/>
    </row>
    <row r="181">
      <c r="B181" s="209" t="n"/>
      <c r="C181" s="209" t="n"/>
      <c r="D181" s="209" t="n"/>
      <c r="E181" s="209" t="n"/>
      <c r="F181" s="209">
        <f>IF(TRIM(D181&amp;E181)="","",TRIM(D181)&amp;" "&amp;TRIM(E181))</f>
        <v/>
      </c>
      <c r="G181" s="209" t="n"/>
      <c r="H181" s="209" t="n"/>
      <c r="I181" s="209" t="n"/>
      <c r="J181" s="209" t="n"/>
      <c r="K181" s="209" t="n"/>
      <c r="L181" s="209" t="n"/>
      <c r="M181" s="209" t="n"/>
      <c r="N181" s="209" t="n"/>
      <c r="O181" s="209" t="n"/>
      <c r="P181" s="209" t="n"/>
      <c r="Q181" s="209" t="n"/>
      <c r="R181" s="209" t="n"/>
      <c r="S181" s="212" t="n"/>
      <c r="T181" s="212" t="n"/>
      <c r="U181" s="212" t="n"/>
      <c r="V181" s="212" t="n"/>
      <c r="W181" s="212" t="n"/>
      <c r="X181" s="212" t="n"/>
      <c r="Y181" s="212" t="n"/>
      <c r="Z181" s="212" t="n"/>
      <c r="AA181" s="212" t="n"/>
      <c r="AB181" s="212" t="n"/>
      <c r="AC181" s="212" t="n"/>
      <c r="AD181" s="212" t="n"/>
      <c r="AE181" s="212" t="n"/>
      <c r="AF181" s="212" t="n"/>
      <c r="AG181" s="212" t="n"/>
      <c r="AH181" s="212" t="n"/>
      <c r="AI181" s="212" t="n"/>
      <c r="AJ181" s="212" t="n"/>
      <c r="AK181" s="212" t="n"/>
      <c r="AL181" s="212" t="n"/>
      <c r="AM181" s="212" t="n"/>
      <c r="AN181" s="212" t="n"/>
      <c r="AO181" s="212" t="n"/>
      <c r="AP181" s="212" t="n"/>
      <c r="AQ181" s="212" t="n"/>
      <c r="AR181" s="212" t="n"/>
      <c r="AS181" s="212" t="n"/>
      <c r="AT181" s="212" t="n"/>
      <c r="AU181" s="212" t="n"/>
      <c r="AV181" s="212" t="n"/>
      <c r="AW181" s="212" t="n"/>
      <c r="AX181" s="212" t="n"/>
      <c r="AY181" s="212" t="n"/>
      <c r="AZ181" s="212" t="n"/>
      <c r="BA181" s="212" t="n"/>
      <c r="BB181" s="212" t="n"/>
      <c r="BC181" s="212" t="n"/>
      <c r="BD181" s="212" t="n"/>
      <c r="BE181" s="212" t="n"/>
      <c r="BF181" s="212" t="n"/>
      <c r="BG181" s="212" t="n"/>
      <c r="BH181" s="212" t="n"/>
      <c r="BI181" s="212" t="n"/>
      <c r="BJ181" s="212" t="n"/>
      <c r="BK181" s="212" t="n"/>
      <c r="BL181" s="212" t="n"/>
      <c r="BM181" s="212" t="n"/>
      <c r="BN181" s="212" t="n"/>
      <c r="BO181" s="212" t="n"/>
      <c r="BP181" s="212" t="n"/>
      <c r="BQ181" s="212" t="n"/>
      <c r="BR181" s="212" t="n"/>
      <c r="BS181" s="212" t="n"/>
      <c r="BT181" s="212" t="n"/>
      <c r="BU181" s="212" t="n"/>
      <c r="BV181" s="212" t="n"/>
      <c r="BW181" s="212" t="n"/>
      <c r="BX181" s="212" t="n"/>
      <c r="BY181" s="212" t="n"/>
      <c r="BZ181" s="212" t="n"/>
      <c r="CA181" s="212" t="n"/>
      <c r="CB181" s="212" t="n"/>
      <c r="CC181" s="212" t="n"/>
      <c r="CD181" s="212" t="n"/>
      <c r="CE181" s="212" t="n"/>
      <c r="CF181" s="212" t="n"/>
      <c r="CG181" s="212" t="n"/>
      <c r="CH181" s="212" t="n"/>
      <c r="CI181" s="212" t="n"/>
      <c r="CJ181" s="212" t="n"/>
      <c r="CK181" s="212" t="n"/>
      <c r="CL181" s="212" t="n"/>
      <c r="CM181" s="212" t="n"/>
      <c r="CN181" s="212" t="n"/>
      <c r="CO181" s="212" t="n"/>
      <c r="CP181" s="212" t="n"/>
      <c r="CQ181" s="212" t="n"/>
      <c r="CR181" s="212" t="n"/>
      <c r="CS181" s="212" t="n"/>
      <c r="CT181" s="212" t="n"/>
      <c r="CU181" s="212" t="n"/>
      <c r="CV181" s="212" t="n"/>
      <c r="CW181" s="212" t="n"/>
      <c r="CX181" s="212" t="n"/>
      <c r="CY181" s="212" t="n"/>
      <c r="CZ181" s="212" t="n"/>
      <c r="DA181" s="212" t="n"/>
      <c r="DB181" s="212" t="n"/>
      <c r="DC181" s="212" t="n"/>
      <c r="DD181" s="212" t="n"/>
      <c r="DE181" s="212" t="n"/>
      <c r="DF181" s="212" t="n"/>
      <c r="DG181" s="212" t="n"/>
      <c r="DH181" s="212" t="n"/>
      <c r="DI181" s="212" t="n"/>
      <c r="DJ181" s="212" t="n"/>
      <c r="DK181" s="212" t="n"/>
      <c r="DL181" s="212" t="n"/>
      <c r="DM181" s="212" t="n"/>
      <c r="DN181" s="212" t="n"/>
      <c r="DO181" s="212" t="n"/>
      <c r="DP181" s="212" t="n"/>
      <c r="DQ181" s="212" t="n"/>
      <c r="DR181" s="212" t="n"/>
      <c r="DS181" s="212" t="n"/>
      <c r="DT181" s="212" t="n"/>
      <c r="DU181" s="212" t="n"/>
      <c r="DV181" s="212" t="n"/>
      <c r="DW181" s="212" t="n"/>
      <c r="DX181" s="212" t="n"/>
      <c r="DY181" s="212" t="n"/>
      <c r="DZ181" s="212" t="n"/>
      <c r="EA181" s="212" t="n"/>
      <c r="EB181" s="212" t="n"/>
      <c r="EC181" s="212" t="n"/>
      <c r="ED181" s="212" t="n"/>
      <c r="EE181" s="212" t="n"/>
      <c r="EF181" s="212" t="n"/>
      <c r="EG181" s="212" t="n"/>
      <c r="EH181" s="212" t="n"/>
      <c r="EI181" s="212" t="n"/>
      <c r="EJ181" s="212" t="n"/>
      <c r="EK181" s="212" t="n"/>
      <c r="EL181" s="212" t="n"/>
      <c r="EM181" s="212" t="n"/>
      <c r="EN181" s="212" t="n"/>
      <c r="EO181" s="212" t="n"/>
      <c r="EP181" s="212" t="n"/>
      <c r="EQ181" s="212" t="n"/>
      <c r="ER181" s="212" t="n"/>
      <c r="ES181" s="212" t="n"/>
      <c r="ET181" s="212" t="n"/>
      <c r="EU181" s="212" t="n"/>
      <c r="EV181" s="212" t="n"/>
      <c r="EW181" s="212" t="n"/>
      <c r="EX181" s="212" t="n"/>
      <c r="EY181" s="212" t="n"/>
      <c r="EZ181" s="212" t="n"/>
      <c r="FA181" s="212" t="n"/>
      <c r="FB181" s="212" t="n"/>
      <c r="FC181" s="212" t="n"/>
      <c r="FD181" s="212" t="n"/>
      <c r="FE181" s="212" t="n"/>
      <c r="FF181" s="212" t="n"/>
      <c r="FG181" s="212" t="n"/>
      <c r="FH181" s="212" t="n"/>
      <c r="FI181" s="212" t="n"/>
      <c r="FJ181" s="212" t="n"/>
      <c r="FK181" s="212" t="n"/>
      <c r="FL181" s="212" t="n"/>
      <c r="FM181" s="212" t="n"/>
      <c r="FN181" s="212" t="n"/>
      <c r="FO181" s="212" t="n"/>
      <c r="FP181" s="212" t="n"/>
      <c r="FQ181" s="212" t="n"/>
      <c r="FR181" s="212" t="n"/>
      <c r="FS181" s="212" t="n"/>
      <c r="FT181" s="212" t="n"/>
      <c r="FU181" s="212" t="n"/>
      <c r="FV181" s="212" t="n"/>
      <c r="FW181" s="212" t="n"/>
      <c r="FX181" s="212" t="n"/>
      <c r="FY181" s="212" t="n"/>
      <c r="FZ181" s="212" t="n"/>
      <c r="GA181" s="212" t="n"/>
      <c r="GB181" s="212" t="n"/>
      <c r="GC181" s="212" t="n"/>
      <c r="GD181" s="212" t="n"/>
      <c r="GE181" s="212" t="n"/>
      <c r="GF181" s="212" t="n"/>
      <c r="GG181" s="212" t="n"/>
      <c r="GH181" s="212" t="n"/>
      <c r="GI181" s="212" t="n"/>
      <c r="GJ181" s="212" t="n"/>
      <c r="GK181" s="212" t="n"/>
      <c r="GL181" s="212" t="n"/>
      <c r="GM181" s="212" t="n"/>
      <c r="GN181" s="212" t="n"/>
      <c r="GO181" s="212" t="n"/>
      <c r="GP181" s="212" t="n"/>
      <c r="GQ181" s="212" t="n"/>
      <c r="GR181" s="212" t="n"/>
      <c r="GS181" s="212" t="n"/>
      <c r="GT181" s="212" t="n"/>
      <c r="GU181" s="212" t="n"/>
      <c r="GV181" s="212" t="n"/>
      <c r="GW181" s="212" t="n"/>
      <c r="GX181" s="212" t="n"/>
      <c r="GY181" s="212" t="n"/>
      <c r="GZ181" s="212" t="n"/>
      <c r="HA181" s="212" t="n"/>
      <c r="HB181" s="212" t="n"/>
      <c r="HC181" s="212" t="n"/>
      <c r="HD181" s="212" t="n"/>
      <c r="HE181" s="212" t="n"/>
      <c r="HF181" s="212" t="n"/>
      <c r="HG181" s="212" t="n"/>
      <c r="HH181" s="212" t="n"/>
      <c r="HI181" s="212" t="n"/>
      <c r="HJ181" s="212" t="n"/>
      <c r="HK181" s="212" t="n"/>
      <c r="HL181" s="212" t="n"/>
      <c r="HM181" s="212" t="n"/>
      <c r="HN181" s="212" t="n"/>
      <c r="HO181" s="212" t="n"/>
      <c r="HP181" s="212" t="n"/>
      <c r="HQ181" s="212" t="n"/>
      <c r="HR181" s="212" t="n"/>
      <c r="HS181" s="212" t="n"/>
      <c r="HT181" s="212" t="n"/>
      <c r="HU181" s="212" t="n"/>
      <c r="HV181" s="212" t="n"/>
      <c r="HW181" s="212" t="n"/>
      <c r="HX181" s="212" t="n"/>
      <c r="HY181" s="212" t="n"/>
      <c r="HZ181" s="212" t="n"/>
      <c r="IA181" s="212" t="n"/>
      <c r="IB181" s="212" t="n"/>
      <c r="IC181" s="212" t="n"/>
      <c r="ID181" s="212" t="n"/>
      <c r="IE181" s="212" t="n"/>
      <c r="IF181" s="212" t="n"/>
      <c r="IG181" s="212" t="n"/>
      <c r="IH181" s="212" t="n"/>
      <c r="II181" s="212" t="n"/>
      <c r="IJ181" s="212" t="n"/>
      <c r="IK181" s="212" t="n"/>
      <c r="IL181" s="212" t="n"/>
      <c r="IM181" s="212" t="n"/>
      <c r="IN181" s="212" t="n"/>
      <c r="IO181" s="212" t="n"/>
      <c r="IP181" s="212" t="n"/>
      <c r="IQ181" s="212" t="n"/>
      <c r="IR181" s="212" t="n"/>
      <c r="IS181" s="212" t="n"/>
      <c r="IT181" s="212" t="n"/>
      <c r="IU181" s="212" t="n"/>
      <c r="IV181" s="212" t="n"/>
      <c r="IW181" s="212" t="n"/>
      <c r="IX181" s="212" t="n"/>
      <c r="IY181" s="212" t="n"/>
      <c r="IZ181" s="212" t="n"/>
      <c r="JA181" s="212" t="n"/>
      <c r="JB181" s="212" t="n"/>
      <c r="JC181" s="212" t="n"/>
      <c r="JD181" s="212" t="n"/>
      <c r="JE181" s="212" t="n"/>
      <c r="JF181" s="212" t="n"/>
      <c r="JG181" s="212" t="n"/>
      <c r="JH181" s="212" t="n"/>
      <c r="JI181" s="212" t="n"/>
      <c r="JJ181" s="212" t="n"/>
      <c r="JK181" s="212" t="n"/>
      <c r="JL181" s="212" t="n"/>
      <c r="JM181" s="212" t="n"/>
      <c r="JN181" s="212" t="n"/>
      <c r="JO181" s="212" t="n"/>
      <c r="JP181" s="212" t="n"/>
      <c r="JQ181" s="212" t="n"/>
      <c r="JR181" s="212" t="n"/>
      <c r="JS181" s="212" t="n"/>
      <c r="JT181" s="212" t="n"/>
      <c r="JU181" s="212" t="n"/>
      <c r="JV181" s="212" t="n"/>
      <c r="JW181" s="212" t="n"/>
      <c r="JX181" s="212" t="n"/>
      <c r="JY181" s="212" t="n"/>
      <c r="JZ181" s="212" t="n"/>
      <c r="KA181" s="212" t="n"/>
      <c r="KB181" s="212" t="n"/>
      <c r="KC181" s="212" t="n"/>
      <c r="KD181" s="212" t="n"/>
      <c r="KE181" s="212" t="n"/>
      <c r="KF181" s="212" t="n"/>
      <c r="KG181" s="212" t="n"/>
      <c r="KH181" s="212" t="n"/>
      <c r="KI181" s="212" t="n"/>
      <c r="KJ181" s="212" t="n"/>
      <c r="KK181" s="212" t="n"/>
      <c r="KL181" s="212" t="n"/>
      <c r="KM181" s="212" t="n"/>
      <c r="KN181" s="212" t="n"/>
      <c r="KO181" s="212" t="n"/>
      <c r="KP181" s="212" t="n"/>
      <c r="KQ181" s="212" t="n"/>
      <c r="KR181" s="212" t="n"/>
      <c r="KS181" s="212" t="n"/>
      <c r="KT181" s="212" t="n"/>
      <c r="KU181" s="212" t="n"/>
      <c r="KV181" s="212" t="n"/>
      <c r="KW181" s="212" t="n"/>
      <c r="KX181" s="212" t="n"/>
      <c r="KY181" s="212" t="n"/>
      <c r="KZ181" s="212" t="n"/>
      <c r="LA181" s="212" t="n"/>
      <c r="LB181" s="212" t="n"/>
      <c r="LC181" s="212" t="n"/>
      <c r="LD181" s="212" t="n"/>
      <c r="LE181" s="212" t="n"/>
      <c r="LF181" s="212" t="n"/>
      <c r="LG181" s="212" t="n"/>
      <c r="LH181" s="212" t="n"/>
      <c r="LI181" s="212" t="n"/>
      <c r="LJ181" s="212" t="n"/>
      <c r="LK181" s="212" t="n"/>
      <c r="LL181" s="212" t="n"/>
      <c r="LM181" s="212" t="n"/>
      <c r="LN181" s="212" t="n"/>
      <c r="LO181" s="212" t="n"/>
      <c r="LP181" s="212" t="n"/>
      <c r="LQ181" s="212" t="n"/>
      <c r="LR181" s="212" t="n"/>
      <c r="LS181" s="212" t="n"/>
      <c r="LT181" s="212" t="n"/>
      <c r="LU181" s="212" t="n"/>
      <c r="LV181" s="212" t="n"/>
      <c r="LW181" s="212" t="n"/>
      <c r="LX181" s="212" t="n"/>
      <c r="LY181" s="212" t="n"/>
      <c r="LZ181" s="212" t="n"/>
      <c r="MA181" s="212" t="n"/>
      <c r="MB181" s="212" t="n"/>
      <c r="MC181" s="212" t="n"/>
      <c r="MD181" s="212" t="n"/>
      <c r="ME181" s="212" t="n"/>
      <c r="MF181" s="212" t="n"/>
      <c r="MG181" s="212" t="n"/>
      <c r="MH181" s="212" t="n"/>
      <c r="MI181" s="212" t="n"/>
      <c r="MJ181" s="212" t="n"/>
      <c r="MK181" s="212" t="n"/>
      <c r="ML181" s="212" t="n"/>
      <c r="MM181" s="212" t="n"/>
      <c r="MN181" s="212" t="n"/>
      <c r="MO181" s="212" t="n"/>
      <c r="MP181" s="212" t="n"/>
      <c r="MQ181" s="212" t="n"/>
      <c r="MR181" s="212" t="n"/>
      <c r="MS181" s="212" t="n"/>
      <c r="MT181" s="212" t="n"/>
      <c r="MU181" s="212" t="n"/>
      <c r="MV181" s="212" t="n"/>
      <c r="MW181" s="212" t="n"/>
      <c r="MX181" s="212" t="n"/>
      <c r="MY181" s="212" t="n"/>
      <c r="MZ181" s="212" t="n"/>
      <c r="NA181" s="212" t="n"/>
      <c r="NB181" s="212" t="n"/>
      <c r="NC181" s="212" t="n"/>
      <c r="ND181" s="212" t="n"/>
      <c r="NE181" s="212" t="n"/>
      <c r="NF181" s="212" t="n"/>
      <c r="NG181" s="212" t="n"/>
      <c r="NH181" s="212" t="n"/>
      <c r="NI181" s="212" t="n"/>
      <c r="NJ181" s="212" t="n"/>
      <c r="NK181" s="212" t="n"/>
      <c r="NL181" s="212" t="n"/>
      <c r="NM181" s="212" t="n"/>
      <c r="NN181" s="212" t="n"/>
      <c r="NO181" s="212" t="n"/>
      <c r="NP181" s="212" t="n"/>
      <c r="NQ181" s="212" t="n"/>
      <c r="NR181" s="212" t="n"/>
      <c r="NS181" s="212" t="n"/>
      <c r="NT181" s="212" t="n"/>
      <c r="NU181" s="212" t="n"/>
      <c r="NV181" s="212" t="n"/>
      <c r="NW181" s="212" t="n"/>
      <c r="NX181" s="212" t="n"/>
      <c r="NY181" s="212" t="n"/>
      <c r="NZ181" s="212" t="n"/>
      <c r="OA181" s="212" t="n"/>
      <c r="OB181" s="212" t="n"/>
      <c r="OC181" s="212" t="n"/>
      <c r="OD181" s="212" t="n"/>
      <c r="OE181" s="212" t="n"/>
      <c r="OF181" s="212" t="n"/>
      <c r="OG181" s="212" t="n"/>
      <c r="OH181" s="212" t="n"/>
      <c r="OI181" s="212" t="n"/>
      <c r="OJ181" s="212" t="n"/>
      <c r="OK181" s="212" t="n"/>
      <c r="OL181" s="212" t="n"/>
      <c r="OM181" s="212" t="n"/>
      <c r="ON181" s="212" t="n"/>
      <c r="OO181" s="212" t="n"/>
      <c r="OP181" s="212" t="n"/>
      <c r="OQ181" s="212" t="n"/>
      <c r="OR181" s="212" t="n"/>
      <c r="OS181" s="212" t="n"/>
      <c r="OT181" s="212" t="n"/>
      <c r="OU181" s="212" t="n"/>
      <c r="OV181" s="212" t="n"/>
      <c r="OW181" s="212" t="n"/>
      <c r="OX181" s="212" t="n"/>
      <c r="OY181" s="212" t="n"/>
      <c r="OZ181" s="212" t="n"/>
      <c r="PA181" s="212" t="n"/>
      <c r="PB181" s="212" t="n"/>
      <c r="PC181" s="212" t="n"/>
      <c r="PD181" s="212" t="n"/>
      <c r="PE181" s="212" t="n"/>
      <c r="PF181" s="212" t="n"/>
      <c r="PG181" s="212" t="n"/>
      <c r="PH181" s="212" t="n"/>
      <c r="PI181" s="212" t="n"/>
      <c r="PJ181" s="212" t="n"/>
      <c r="PK181" s="212" t="n"/>
      <c r="PL181" s="212" t="n"/>
      <c r="PM181" s="212" t="n"/>
      <c r="PN181" s="212" t="n"/>
      <c r="PO181" s="212" t="n"/>
      <c r="PP181" s="212" t="n"/>
      <c r="PQ181" s="212" t="n"/>
      <c r="PR181" s="212" t="n"/>
      <c r="PS181" s="212" t="n"/>
      <c r="PT181" s="212" t="n"/>
      <c r="PU181" s="212" t="n"/>
      <c r="PV181" s="212" t="n"/>
      <c r="PW181" s="212" t="n"/>
      <c r="PX181" s="212" t="n"/>
      <c r="PY181" s="212" t="n"/>
      <c r="PZ181" s="212" t="n"/>
      <c r="QA181" s="212" t="n"/>
      <c r="QB181" s="212" t="n"/>
      <c r="QC181" s="212" t="n"/>
      <c r="QD181" s="212" t="n"/>
      <c r="QE181" s="212" t="n"/>
      <c r="QF181" s="212" t="n"/>
      <c r="QG181" s="212" t="n"/>
      <c r="QH181" s="212" t="n"/>
      <c r="QI181" s="212" t="n"/>
      <c r="QJ181" s="212" t="n"/>
      <c r="QK181" s="212" t="n"/>
      <c r="QL181" s="212" t="n"/>
      <c r="QM181" s="212" t="n"/>
      <c r="QN181" s="212" t="n"/>
      <c r="QO181" s="212" t="n"/>
      <c r="QP181" s="212" t="n"/>
      <c r="QQ181" s="212" t="n"/>
      <c r="QR181" s="212" t="n"/>
      <c r="QS181" s="212" t="n"/>
      <c r="QT181" s="212" t="n"/>
      <c r="QU181" s="212" t="n"/>
      <c r="QV181" s="212" t="n"/>
      <c r="QW181" s="212" t="n"/>
      <c r="QX181" s="212" t="n"/>
      <c r="QY181" s="212" t="n"/>
      <c r="QZ181" s="212" t="n"/>
      <c r="RA181" s="212" t="n"/>
      <c r="RB181" s="212" t="n"/>
      <c r="RC181" s="212" t="n"/>
      <c r="RD181" s="212" t="n"/>
      <c r="RE181" s="212" t="n"/>
      <c r="RF181" s="212" t="n"/>
      <c r="RG181" s="212" t="n"/>
      <c r="RH181" s="212" t="n"/>
      <c r="RI181" s="212" t="n"/>
      <c r="RJ181" s="212" t="n"/>
      <c r="RK181" s="212" t="n"/>
      <c r="RL181" s="212" t="n"/>
      <c r="RM181" s="212" t="n"/>
      <c r="RN181" s="212" t="n"/>
      <c r="RO181" s="212" t="n"/>
      <c r="RP181" s="212" t="n"/>
      <c r="RQ181" s="212" t="n"/>
      <c r="RR181" s="212" t="n"/>
      <c r="RS181" s="212" t="n"/>
      <c r="RT181" s="212" t="n"/>
      <c r="RU181" s="212" t="n"/>
      <c r="RV181" s="212" t="n"/>
      <c r="RW181" s="212" t="n"/>
      <c r="RX181" s="212" t="n"/>
      <c r="RY181" s="212" t="n"/>
      <c r="RZ181" s="212" t="n"/>
      <c r="SA181" s="212" t="n"/>
      <c r="SB181" s="212" t="n"/>
      <c r="SC181" s="212" t="n"/>
      <c r="SD181" s="212" t="n"/>
      <c r="SE181" s="212" t="n"/>
      <c r="SF181" s="212" t="n"/>
      <c r="SG181" s="212" t="n"/>
      <c r="SH181" s="212" t="n"/>
      <c r="SI181" s="212" t="n"/>
      <c r="SJ181" s="212" t="n"/>
      <c r="SK181" s="212" t="n"/>
      <c r="SL181" s="212" t="n"/>
      <c r="SM181" s="212" t="n"/>
      <c r="SN181" s="212" t="n"/>
      <c r="SO181" s="212" t="n"/>
      <c r="SP181" s="212" t="n"/>
      <c r="SQ181" s="212" t="n"/>
      <c r="SR181" s="212" t="n"/>
      <c r="SS181" s="212" t="n"/>
      <c r="ST181" s="212" t="n"/>
      <c r="SU181" s="212" t="n"/>
      <c r="SV181" s="212" t="n"/>
    </row>
    <row r="182">
      <c r="B182" s="209" t="n"/>
      <c r="C182" s="209" t="n"/>
      <c r="D182" s="209" t="n"/>
      <c r="E182" s="209" t="n"/>
      <c r="F182" s="209">
        <f>IF(TRIM(D182&amp;E182)="","",TRIM(D182)&amp;" "&amp;TRIM(E182))</f>
        <v/>
      </c>
      <c r="G182" s="209" t="n"/>
      <c r="H182" s="209" t="n"/>
      <c r="I182" s="209" t="n"/>
      <c r="J182" s="209" t="n"/>
      <c r="K182" s="209" t="n"/>
      <c r="L182" s="209" t="n"/>
      <c r="M182" s="209" t="n"/>
      <c r="N182" s="209" t="n"/>
      <c r="O182" s="209" t="n"/>
      <c r="P182" s="209" t="n"/>
      <c r="Q182" s="209" t="n"/>
      <c r="R182" s="209" t="n"/>
      <c r="S182" s="212" t="n"/>
      <c r="T182" s="212" t="n"/>
      <c r="U182" s="212" t="n"/>
      <c r="V182" s="212" t="n"/>
      <c r="W182" s="212" t="n"/>
      <c r="X182" s="212" t="n"/>
      <c r="Y182" s="212" t="n"/>
      <c r="Z182" s="212" t="n"/>
      <c r="AA182" s="212" t="n"/>
      <c r="AB182" s="212" t="n"/>
      <c r="AC182" s="212" t="n"/>
      <c r="AD182" s="212" t="n"/>
      <c r="AE182" s="212" t="n"/>
      <c r="AF182" s="212" t="n"/>
      <c r="AG182" s="212" t="n"/>
      <c r="AH182" s="212" t="n"/>
      <c r="AI182" s="212" t="n"/>
      <c r="AJ182" s="212" t="n"/>
      <c r="AK182" s="212" t="n"/>
      <c r="AL182" s="212" t="n"/>
      <c r="AM182" s="212" t="n"/>
      <c r="AN182" s="212" t="n"/>
      <c r="AO182" s="212" t="n"/>
      <c r="AP182" s="212" t="n"/>
      <c r="AQ182" s="212" t="n"/>
      <c r="AR182" s="212" t="n"/>
      <c r="AS182" s="212" t="n"/>
      <c r="AT182" s="212" t="n"/>
      <c r="AU182" s="212" t="n"/>
      <c r="AV182" s="212" t="n"/>
      <c r="AW182" s="212" t="n"/>
      <c r="AX182" s="212" t="n"/>
      <c r="AY182" s="212" t="n"/>
      <c r="AZ182" s="212" t="n"/>
      <c r="BA182" s="212" t="n"/>
      <c r="BB182" s="212" t="n"/>
      <c r="BC182" s="212" t="n"/>
      <c r="BD182" s="212" t="n"/>
      <c r="BE182" s="212" t="n"/>
      <c r="BF182" s="212" t="n"/>
      <c r="BG182" s="212" t="n"/>
      <c r="BH182" s="212" t="n"/>
      <c r="BI182" s="212" t="n"/>
      <c r="BJ182" s="212" t="n"/>
      <c r="BK182" s="212" t="n"/>
      <c r="BL182" s="212" t="n"/>
      <c r="BM182" s="212" t="n"/>
      <c r="BN182" s="212" t="n"/>
      <c r="BO182" s="212" t="n"/>
      <c r="BP182" s="212" t="n"/>
      <c r="BQ182" s="212" t="n"/>
      <c r="BR182" s="212" t="n"/>
      <c r="BS182" s="212" t="n"/>
      <c r="BT182" s="212" t="n"/>
      <c r="BU182" s="212" t="n"/>
      <c r="BV182" s="212" t="n"/>
      <c r="BW182" s="212" t="n"/>
      <c r="BX182" s="212" t="n"/>
      <c r="BY182" s="212" t="n"/>
      <c r="BZ182" s="212" t="n"/>
      <c r="CA182" s="212" t="n"/>
      <c r="CB182" s="212" t="n"/>
      <c r="CC182" s="212" t="n"/>
      <c r="CD182" s="212" t="n"/>
      <c r="CE182" s="212" t="n"/>
      <c r="CF182" s="212" t="n"/>
      <c r="CG182" s="212" t="n"/>
      <c r="CH182" s="212" t="n"/>
      <c r="CI182" s="212" t="n"/>
      <c r="CJ182" s="212" t="n"/>
      <c r="CK182" s="212" t="n"/>
      <c r="CL182" s="212" t="n"/>
      <c r="CM182" s="212" t="n"/>
      <c r="CN182" s="212" t="n"/>
      <c r="CO182" s="212" t="n"/>
      <c r="CP182" s="212" t="n"/>
      <c r="CQ182" s="212" t="n"/>
      <c r="CR182" s="212" t="n"/>
      <c r="CS182" s="212" t="n"/>
      <c r="CT182" s="212" t="n"/>
      <c r="CU182" s="212" t="n"/>
      <c r="CV182" s="212" t="n"/>
      <c r="CW182" s="212" t="n"/>
      <c r="CX182" s="212" t="n"/>
      <c r="CY182" s="212" t="n"/>
      <c r="CZ182" s="212" t="n"/>
      <c r="DA182" s="212" t="n"/>
      <c r="DB182" s="212" t="n"/>
      <c r="DC182" s="212" t="n"/>
      <c r="DD182" s="212" t="n"/>
      <c r="DE182" s="212" t="n"/>
      <c r="DF182" s="212" t="n"/>
      <c r="DG182" s="212" t="n"/>
      <c r="DH182" s="212" t="n"/>
      <c r="DI182" s="212" t="n"/>
      <c r="DJ182" s="212" t="n"/>
      <c r="DK182" s="212" t="n"/>
      <c r="DL182" s="212" t="n"/>
      <c r="DM182" s="212" t="n"/>
      <c r="DN182" s="212" t="n"/>
      <c r="DO182" s="212" t="n"/>
      <c r="DP182" s="212" t="n"/>
      <c r="DQ182" s="212" t="n"/>
      <c r="DR182" s="212" t="n"/>
      <c r="DS182" s="212" t="n"/>
      <c r="DT182" s="212" t="n"/>
      <c r="DU182" s="212" t="n"/>
      <c r="DV182" s="212" t="n"/>
      <c r="DW182" s="212" t="n"/>
      <c r="DX182" s="212" t="n"/>
      <c r="DY182" s="212" t="n"/>
      <c r="DZ182" s="212" t="n"/>
      <c r="EA182" s="212" t="n"/>
      <c r="EB182" s="212" t="n"/>
      <c r="EC182" s="212" t="n"/>
      <c r="ED182" s="212" t="n"/>
      <c r="EE182" s="212" t="n"/>
      <c r="EF182" s="212" t="n"/>
      <c r="EG182" s="212" t="n"/>
      <c r="EH182" s="212" t="n"/>
      <c r="EI182" s="212" t="n"/>
      <c r="EJ182" s="212" t="n"/>
      <c r="EK182" s="212" t="n"/>
      <c r="EL182" s="212" t="n"/>
      <c r="EM182" s="212" t="n"/>
      <c r="EN182" s="212" t="n"/>
      <c r="EO182" s="212" t="n"/>
      <c r="EP182" s="212" t="n"/>
      <c r="EQ182" s="212" t="n"/>
      <c r="ER182" s="212" t="n"/>
      <c r="ES182" s="212" t="n"/>
      <c r="ET182" s="212" t="n"/>
      <c r="EU182" s="212" t="n"/>
      <c r="EV182" s="212" t="n"/>
      <c r="EW182" s="212" t="n"/>
      <c r="EX182" s="212" t="n"/>
      <c r="EY182" s="212" t="n"/>
      <c r="EZ182" s="212" t="n"/>
      <c r="FA182" s="212" t="n"/>
      <c r="FB182" s="212" t="n"/>
      <c r="FC182" s="212" t="n"/>
      <c r="FD182" s="212" t="n"/>
      <c r="FE182" s="212" t="n"/>
      <c r="FF182" s="212" t="n"/>
      <c r="FG182" s="212" t="n"/>
      <c r="FH182" s="212" t="n"/>
      <c r="FI182" s="212" t="n"/>
      <c r="FJ182" s="212" t="n"/>
      <c r="FK182" s="212" t="n"/>
      <c r="FL182" s="212" t="n"/>
      <c r="FM182" s="212" t="n"/>
      <c r="FN182" s="212" t="n"/>
      <c r="FO182" s="212" t="n"/>
      <c r="FP182" s="212" t="n"/>
      <c r="FQ182" s="212" t="n"/>
      <c r="FR182" s="212" t="n"/>
      <c r="FS182" s="212" t="n"/>
      <c r="FT182" s="212" t="n"/>
      <c r="FU182" s="212" t="n"/>
      <c r="FV182" s="212" t="n"/>
      <c r="FW182" s="212" t="n"/>
      <c r="FX182" s="212" t="n"/>
      <c r="FY182" s="212" t="n"/>
      <c r="FZ182" s="212" t="n"/>
      <c r="GA182" s="212" t="n"/>
      <c r="GB182" s="212" t="n"/>
      <c r="GC182" s="212" t="n"/>
      <c r="GD182" s="212" t="n"/>
      <c r="GE182" s="212" t="n"/>
      <c r="GF182" s="212" t="n"/>
      <c r="GG182" s="212" t="n"/>
      <c r="GH182" s="212" t="n"/>
      <c r="GI182" s="212" t="n"/>
      <c r="GJ182" s="212" t="n"/>
      <c r="GK182" s="212" t="n"/>
      <c r="GL182" s="212" t="n"/>
      <c r="GM182" s="212" t="n"/>
      <c r="GN182" s="212" t="n"/>
      <c r="GO182" s="212" t="n"/>
      <c r="GP182" s="212" t="n"/>
      <c r="GQ182" s="212" t="n"/>
      <c r="GR182" s="212" t="n"/>
      <c r="GS182" s="212" t="n"/>
      <c r="GT182" s="212" t="n"/>
      <c r="GU182" s="212" t="n"/>
      <c r="GV182" s="212" t="n"/>
      <c r="GW182" s="212" t="n"/>
      <c r="GX182" s="212" t="n"/>
      <c r="GY182" s="212" t="n"/>
      <c r="GZ182" s="212" t="n"/>
      <c r="HA182" s="212" t="n"/>
      <c r="HB182" s="212" t="n"/>
      <c r="HC182" s="212" t="n"/>
      <c r="HD182" s="212" t="n"/>
      <c r="HE182" s="212" t="n"/>
      <c r="HF182" s="212" t="n"/>
      <c r="HG182" s="212" t="n"/>
      <c r="HH182" s="212" t="n"/>
      <c r="HI182" s="212" t="n"/>
      <c r="HJ182" s="212" t="n"/>
      <c r="HK182" s="212" t="n"/>
      <c r="HL182" s="212" t="n"/>
      <c r="HM182" s="212" t="n"/>
      <c r="HN182" s="212" t="n"/>
      <c r="HO182" s="212" t="n"/>
      <c r="HP182" s="212" t="n"/>
      <c r="HQ182" s="212" t="n"/>
      <c r="HR182" s="212" t="n"/>
      <c r="HS182" s="212" t="n"/>
      <c r="HT182" s="212" t="n"/>
      <c r="HU182" s="212" t="n"/>
      <c r="HV182" s="212" t="n"/>
      <c r="HW182" s="212" t="n"/>
      <c r="HX182" s="212" t="n"/>
      <c r="HY182" s="212" t="n"/>
      <c r="HZ182" s="212" t="n"/>
      <c r="IA182" s="212" t="n"/>
      <c r="IB182" s="212" t="n"/>
      <c r="IC182" s="212" t="n"/>
      <c r="ID182" s="212" t="n"/>
      <c r="IE182" s="212" t="n"/>
      <c r="IF182" s="212" t="n"/>
      <c r="IG182" s="212" t="n"/>
      <c r="IH182" s="212" t="n"/>
      <c r="II182" s="212" t="n"/>
      <c r="IJ182" s="212" t="n"/>
      <c r="IK182" s="212" t="n"/>
      <c r="IL182" s="212" t="n"/>
      <c r="IM182" s="212" t="n"/>
      <c r="IN182" s="212" t="n"/>
      <c r="IO182" s="212" t="n"/>
      <c r="IP182" s="212" t="n"/>
      <c r="IQ182" s="212" t="n"/>
      <c r="IR182" s="212" t="n"/>
      <c r="IS182" s="212" t="n"/>
      <c r="IT182" s="212" t="n"/>
      <c r="IU182" s="212" t="n"/>
      <c r="IV182" s="212" t="n"/>
      <c r="IW182" s="212" t="n"/>
      <c r="IX182" s="212" t="n"/>
      <c r="IY182" s="212" t="n"/>
      <c r="IZ182" s="212" t="n"/>
      <c r="JA182" s="212" t="n"/>
      <c r="JB182" s="212" t="n"/>
      <c r="JC182" s="212" t="n"/>
      <c r="JD182" s="212" t="n"/>
      <c r="JE182" s="212" t="n"/>
      <c r="JF182" s="212" t="n"/>
      <c r="JG182" s="212" t="n"/>
      <c r="JH182" s="212" t="n"/>
      <c r="JI182" s="212" t="n"/>
      <c r="JJ182" s="212" t="n"/>
      <c r="JK182" s="212" t="n"/>
      <c r="JL182" s="212" t="n"/>
      <c r="JM182" s="212" t="n"/>
      <c r="JN182" s="212" t="n"/>
      <c r="JO182" s="212" t="n"/>
      <c r="JP182" s="212" t="n"/>
      <c r="JQ182" s="212" t="n"/>
      <c r="JR182" s="212" t="n"/>
      <c r="JS182" s="212" t="n"/>
      <c r="JT182" s="212" t="n"/>
      <c r="JU182" s="212" t="n"/>
      <c r="JV182" s="212" t="n"/>
      <c r="JW182" s="212" t="n"/>
      <c r="JX182" s="212" t="n"/>
      <c r="JY182" s="212" t="n"/>
      <c r="JZ182" s="212" t="n"/>
      <c r="KA182" s="212" t="n"/>
      <c r="KB182" s="212" t="n"/>
      <c r="KC182" s="212" t="n"/>
      <c r="KD182" s="212" t="n"/>
      <c r="KE182" s="212" t="n"/>
      <c r="KF182" s="212" t="n"/>
      <c r="KG182" s="212" t="n"/>
      <c r="KH182" s="212" t="n"/>
      <c r="KI182" s="212" t="n"/>
      <c r="KJ182" s="212" t="n"/>
      <c r="KK182" s="212" t="n"/>
      <c r="KL182" s="212" t="n"/>
      <c r="KM182" s="212" t="n"/>
      <c r="KN182" s="212" t="n"/>
      <c r="KO182" s="212" t="n"/>
      <c r="KP182" s="212" t="n"/>
      <c r="KQ182" s="212" t="n"/>
      <c r="KR182" s="212" t="n"/>
      <c r="KS182" s="212" t="n"/>
      <c r="KT182" s="212" t="n"/>
      <c r="KU182" s="212" t="n"/>
      <c r="KV182" s="212" t="n"/>
      <c r="KW182" s="212" t="n"/>
      <c r="KX182" s="212" t="n"/>
      <c r="KY182" s="212" t="n"/>
      <c r="KZ182" s="212" t="n"/>
      <c r="LA182" s="212" t="n"/>
      <c r="LB182" s="212" t="n"/>
      <c r="LC182" s="212" t="n"/>
      <c r="LD182" s="212" t="n"/>
      <c r="LE182" s="212" t="n"/>
      <c r="LF182" s="212" t="n"/>
      <c r="LG182" s="212" t="n"/>
      <c r="LH182" s="212" t="n"/>
      <c r="LI182" s="212" t="n"/>
      <c r="LJ182" s="212" t="n"/>
      <c r="LK182" s="212" t="n"/>
      <c r="LL182" s="212" t="n"/>
      <c r="LM182" s="212" t="n"/>
      <c r="LN182" s="212" t="n"/>
      <c r="LO182" s="212" t="n"/>
      <c r="LP182" s="212" t="n"/>
      <c r="LQ182" s="212" t="n"/>
      <c r="LR182" s="212" t="n"/>
      <c r="LS182" s="212" t="n"/>
      <c r="LT182" s="212" t="n"/>
      <c r="LU182" s="212" t="n"/>
      <c r="LV182" s="212" t="n"/>
      <c r="LW182" s="212" t="n"/>
      <c r="LX182" s="212" t="n"/>
      <c r="LY182" s="212" t="n"/>
      <c r="LZ182" s="212" t="n"/>
      <c r="MA182" s="212" t="n"/>
      <c r="MB182" s="212" t="n"/>
      <c r="MC182" s="212" t="n"/>
      <c r="MD182" s="212" t="n"/>
      <c r="ME182" s="212" t="n"/>
      <c r="MF182" s="212" t="n"/>
      <c r="MG182" s="212" t="n"/>
      <c r="MH182" s="212" t="n"/>
      <c r="MI182" s="212" t="n"/>
      <c r="MJ182" s="212" t="n"/>
      <c r="MK182" s="212" t="n"/>
      <c r="ML182" s="212" t="n"/>
      <c r="MM182" s="212" t="n"/>
      <c r="MN182" s="212" t="n"/>
      <c r="MO182" s="212" t="n"/>
      <c r="MP182" s="212" t="n"/>
      <c r="MQ182" s="212" t="n"/>
      <c r="MR182" s="212" t="n"/>
      <c r="MS182" s="212" t="n"/>
      <c r="MT182" s="212" t="n"/>
      <c r="MU182" s="212" t="n"/>
      <c r="MV182" s="212" t="n"/>
      <c r="MW182" s="212" t="n"/>
      <c r="MX182" s="212" t="n"/>
      <c r="MY182" s="212" t="n"/>
      <c r="MZ182" s="212" t="n"/>
      <c r="NA182" s="212" t="n"/>
      <c r="NB182" s="212" t="n"/>
      <c r="NC182" s="212" t="n"/>
      <c r="ND182" s="212" t="n"/>
      <c r="NE182" s="212" t="n"/>
      <c r="NF182" s="212" t="n"/>
      <c r="NG182" s="212" t="n"/>
      <c r="NH182" s="212" t="n"/>
      <c r="NI182" s="212" t="n"/>
      <c r="NJ182" s="212" t="n"/>
      <c r="NK182" s="212" t="n"/>
      <c r="NL182" s="212" t="n"/>
      <c r="NM182" s="212" t="n"/>
      <c r="NN182" s="212" t="n"/>
      <c r="NO182" s="212" t="n"/>
      <c r="NP182" s="212" t="n"/>
      <c r="NQ182" s="212" t="n"/>
      <c r="NR182" s="212" t="n"/>
      <c r="NS182" s="212" t="n"/>
      <c r="NT182" s="212" t="n"/>
      <c r="NU182" s="212" t="n"/>
      <c r="NV182" s="212" t="n"/>
      <c r="NW182" s="212" t="n"/>
      <c r="NX182" s="212" t="n"/>
      <c r="NY182" s="212" t="n"/>
      <c r="NZ182" s="212" t="n"/>
      <c r="OA182" s="212" t="n"/>
      <c r="OB182" s="212" t="n"/>
      <c r="OC182" s="212" t="n"/>
      <c r="OD182" s="212" t="n"/>
      <c r="OE182" s="212" t="n"/>
      <c r="OF182" s="212" t="n"/>
      <c r="OG182" s="212" t="n"/>
      <c r="OH182" s="212" t="n"/>
      <c r="OI182" s="212" t="n"/>
      <c r="OJ182" s="212" t="n"/>
      <c r="OK182" s="212" t="n"/>
      <c r="OL182" s="212" t="n"/>
      <c r="OM182" s="212" t="n"/>
      <c r="ON182" s="212" t="n"/>
      <c r="OO182" s="212" t="n"/>
      <c r="OP182" s="212" t="n"/>
      <c r="OQ182" s="212" t="n"/>
      <c r="OR182" s="212" t="n"/>
      <c r="OS182" s="212" t="n"/>
      <c r="OT182" s="212" t="n"/>
      <c r="OU182" s="212" t="n"/>
      <c r="OV182" s="212" t="n"/>
      <c r="OW182" s="212" t="n"/>
      <c r="OX182" s="212" t="n"/>
      <c r="OY182" s="212" t="n"/>
      <c r="OZ182" s="212" t="n"/>
      <c r="PA182" s="212" t="n"/>
      <c r="PB182" s="212" t="n"/>
      <c r="PC182" s="212" t="n"/>
      <c r="PD182" s="212" t="n"/>
      <c r="PE182" s="212" t="n"/>
      <c r="PF182" s="212" t="n"/>
      <c r="PG182" s="212" t="n"/>
      <c r="PH182" s="212" t="n"/>
      <c r="PI182" s="212" t="n"/>
      <c r="PJ182" s="212" t="n"/>
      <c r="PK182" s="212" t="n"/>
      <c r="PL182" s="212" t="n"/>
      <c r="PM182" s="212" t="n"/>
      <c r="PN182" s="212" t="n"/>
      <c r="PO182" s="212" t="n"/>
      <c r="PP182" s="212" t="n"/>
      <c r="PQ182" s="212" t="n"/>
      <c r="PR182" s="212" t="n"/>
      <c r="PS182" s="212" t="n"/>
      <c r="PT182" s="212" t="n"/>
      <c r="PU182" s="212" t="n"/>
      <c r="PV182" s="212" t="n"/>
      <c r="PW182" s="212" t="n"/>
      <c r="PX182" s="212" t="n"/>
      <c r="PY182" s="212" t="n"/>
      <c r="PZ182" s="212" t="n"/>
      <c r="QA182" s="212" t="n"/>
      <c r="QB182" s="212" t="n"/>
      <c r="QC182" s="212" t="n"/>
      <c r="QD182" s="212" t="n"/>
      <c r="QE182" s="212" t="n"/>
      <c r="QF182" s="212" t="n"/>
      <c r="QG182" s="212" t="n"/>
      <c r="QH182" s="212" t="n"/>
      <c r="QI182" s="212" t="n"/>
      <c r="QJ182" s="212" t="n"/>
      <c r="QK182" s="212" t="n"/>
      <c r="QL182" s="212" t="n"/>
      <c r="QM182" s="212" t="n"/>
      <c r="QN182" s="212" t="n"/>
      <c r="QO182" s="212" t="n"/>
      <c r="QP182" s="212" t="n"/>
      <c r="QQ182" s="212" t="n"/>
      <c r="QR182" s="212" t="n"/>
      <c r="QS182" s="212" t="n"/>
      <c r="QT182" s="212" t="n"/>
      <c r="QU182" s="212" t="n"/>
      <c r="QV182" s="212" t="n"/>
      <c r="QW182" s="212" t="n"/>
      <c r="QX182" s="212" t="n"/>
      <c r="QY182" s="212" t="n"/>
      <c r="QZ182" s="212" t="n"/>
      <c r="RA182" s="212" t="n"/>
      <c r="RB182" s="212" t="n"/>
      <c r="RC182" s="212" t="n"/>
      <c r="RD182" s="212" t="n"/>
      <c r="RE182" s="212" t="n"/>
      <c r="RF182" s="212" t="n"/>
      <c r="RG182" s="212" t="n"/>
      <c r="RH182" s="212" t="n"/>
      <c r="RI182" s="212" t="n"/>
      <c r="RJ182" s="212" t="n"/>
      <c r="RK182" s="212" t="n"/>
      <c r="RL182" s="212" t="n"/>
      <c r="RM182" s="212" t="n"/>
      <c r="RN182" s="212" t="n"/>
      <c r="RO182" s="212" t="n"/>
      <c r="RP182" s="212" t="n"/>
      <c r="RQ182" s="212" t="n"/>
      <c r="RR182" s="212" t="n"/>
      <c r="RS182" s="212" t="n"/>
      <c r="RT182" s="212" t="n"/>
      <c r="RU182" s="212" t="n"/>
      <c r="RV182" s="212" t="n"/>
      <c r="RW182" s="212" t="n"/>
      <c r="RX182" s="212" t="n"/>
      <c r="RY182" s="212" t="n"/>
      <c r="RZ182" s="212" t="n"/>
      <c r="SA182" s="212" t="n"/>
      <c r="SB182" s="212" t="n"/>
      <c r="SC182" s="212" t="n"/>
      <c r="SD182" s="212" t="n"/>
      <c r="SE182" s="212" t="n"/>
      <c r="SF182" s="212" t="n"/>
      <c r="SG182" s="212" t="n"/>
      <c r="SH182" s="212" t="n"/>
      <c r="SI182" s="212" t="n"/>
      <c r="SJ182" s="212" t="n"/>
      <c r="SK182" s="212" t="n"/>
      <c r="SL182" s="212" t="n"/>
      <c r="SM182" s="212" t="n"/>
      <c r="SN182" s="212" t="n"/>
      <c r="SO182" s="212" t="n"/>
      <c r="SP182" s="212" t="n"/>
      <c r="SQ182" s="212" t="n"/>
      <c r="SR182" s="212" t="n"/>
      <c r="SS182" s="212" t="n"/>
      <c r="ST182" s="212" t="n"/>
      <c r="SU182" s="212" t="n"/>
      <c r="SV182" s="212" t="n"/>
    </row>
    <row r="183">
      <c r="B183" s="209" t="n"/>
      <c r="C183" s="209" t="n"/>
      <c r="D183" s="209" t="n"/>
      <c r="E183" s="209" t="n"/>
      <c r="F183" s="209">
        <f>IF(TRIM(D183&amp;E183)="","",TRIM(D183)&amp;" "&amp;TRIM(E183))</f>
        <v/>
      </c>
      <c r="G183" s="209" t="n"/>
      <c r="H183" s="209" t="n"/>
      <c r="I183" s="209" t="n"/>
      <c r="J183" s="209" t="n"/>
      <c r="K183" s="209" t="n"/>
      <c r="L183" s="209" t="n"/>
      <c r="M183" s="209" t="n"/>
      <c r="N183" s="209" t="n"/>
      <c r="O183" s="209" t="n"/>
      <c r="P183" s="209" t="n"/>
      <c r="Q183" s="209" t="n"/>
      <c r="R183" s="209" t="n"/>
      <c r="S183" s="212" t="n"/>
      <c r="T183" s="212" t="n"/>
      <c r="U183" s="212" t="n"/>
      <c r="V183" s="212" t="n"/>
      <c r="W183" s="212" t="n"/>
      <c r="X183" s="212" t="n"/>
      <c r="Y183" s="212" t="n"/>
      <c r="Z183" s="212" t="n"/>
      <c r="AA183" s="212" t="n"/>
      <c r="AB183" s="212" t="n"/>
      <c r="AC183" s="212" t="n"/>
      <c r="AD183" s="212" t="n"/>
      <c r="AE183" s="212" t="n"/>
      <c r="AF183" s="212" t="n"/>
      <c r="AG183" s="212" t="n"/>
      <c r="AH183" s="212" t="n"/>
      <c r="AI183" s="212" t="n"/>
      <c r="AJ183" s="212" t="n"/>
      <c r="AK183" s="212" t="n"/>
      <c r="AL183" s="212" t="n"/>
      <c r="AM183" s="212" t="n"/>
      <c r="AN183" s="212" t="n"/>
      <c r="AO183" s="212" t="n"/>
      <c r="AP183" s="212" t="n"/>
      <c r="AQ183" s="212" t="n"/>
      <c r="AR183" s="212" t="n"/>
      <c r="AS183" s="212" t="n"/>
      <c r="AT183" s="212" t="n"/>
      <c r="AU183" s="212" t="n"/>
      <c r="AV183" s="212" t="n"/>
      <c r="AW183" s="212" t="n"/>
      <c r="AX183" s="212" t="n"/>
      <c r="AY183" s="212" t="n"/>
      <c r="AZ183" s="212" t="n"/>
      <c r="BA183" s="212" t="n"/>
      <c r="BB183" s="212" t="n"/>
      <c r="BC183" s="212" t="n"/>
      <c r="BD183" s="212" t="n"/>
      <c r="BE183" s="212" t="n"/>
      <c r="BF183" s="212" t="n"/>
      <c r="BG183" s="212" t="n"/>
      <c r="BH183" s="212" t="n"/>
      <c r="BI183" s="212" t="n"/>
      <c r="BJ183" s="212" t="n"/>
      <c r="BK183" s="212" t="n"/>
      <c r="BL183" s="212" t="n"/>
      <c r="BM183" s="212" t="n"/>
      <c r="BN183" s="212" t="n"/>
      <c r="BO183" s="212" t="n"/>
      <c r="BP183" s="212" t="n"/>
      <c r="BQ183" s="212" t="n"/>
      <c r="BR183" s="212" t="n"/>
      <c r="BS183" s="212" t="n"/>
      <c r="BT183" s="212" t="n"/>
      <c r="BU183" s="212" t="n"/>
      <c r="BV183" s="212" t="n"/>
      <c r="BW183" s="212" t="n"/>
      <c r="BX183" s="212" t="n"/>
      <c r="BY183" s="212" t="n"/>
      <c r="BZ183" s="212" t="n"/>
      <c r="CA183" s="212" t="n"/>
      <c r="CB183" s="212" t="n"/>
      <c r="CC183" s="212" t="n"/>
      <c r="CD183" s="212" t="n"/>
      <c r="CE183" s="212" t="n"/>
      <c r="CF183" s="212" t="n"/>
      <c r="CG183" s="212" t="n"/>
      <c r="CH183" s="212" t="n"/>
      <c r="CI183" s="212" t="n"/>
      <c r="CJ183" s="212" t="n"/>
      <c r="CK183" s="212" t="n"/>
      <c r="CL183" s="212" t="n"/>
      <c r="CM183" s="212" t="n"/>
      <c r="CN183" s="212" t="n"/>
      <c r="CO183" s="212" t="n"/>
      <c r="CP183" s="212" t="n"/>
      <c r="CQ183" s="212" t="n"/>
      <c r="CR183" s="212" t="n"/>
      <c r="CS183" s="212" t="n"/>
      <c r="CT183" s="212" t="n"/>
      <c r="CU183" s="212" t="n"/>
      <c r="CV183" s="212" t="n"/>
      <c r="CW183" s="212" t="n"/>
      <c r="CX183" s="212" t="n"/>
      <c r="CY183" s="212" t="n"/>
      <c r="CZ183" s="212" t="n"/>
      <c r="DA183" s="212" t="n"/>
      <c r="DB183" s="212" t="n"/>
      <c r="DC183" s="212" t="n"/>
      <c r="DD183" s="212" t="n"/>
      <c r="DE183" s="212" t="n"/>
      <c r="DF183" s="212" t="n"/>
      <c r="DG183" s="212" t="n"/>
      <c r="DH183" s="212" t="n"/>
      <c r="DI183" s="212" t="n"/>
      <c r="DJ183" s="212" t="n"/>
      <c r="DK183" s="212" t="n"/>
      <c r="DL183" s="212" t="n"/>
      <c r="DM183" s="212" t="n"/>
      <c r="DN183" s="212" t="n"/>
      <c r="DO183" s="212" t="n"/>
      <c r="DP183" s="212" t="n"/>
      <c r="DQ183" s="212" t="n"/>
      <c r="DR183" s="212" t="n"/>
      <c r="DS183" s="212" t="n"/>
      <c r="DT183" s="212" t="n"/>
      <c r="DU183" s="212" t="n"/>
      <c r="DV183" s="212" t="n"/>
      <c r="DW183" s="212" t="n"/>
      <c r="DX183" s="212" t="n"/>
      <c r="DY183" s="212" t="n"/>
      <c r="DZ183" s="212" t="n"/>
      <c r="EA183" s="212" t="n"/>
      <c r="EB183" s="212" t="n"/>
      <c r="EC183" s="212" t="n"/>
      <c r="ED183" s="212" t="n"/>
      <c r="EE183" s="212" t="n"/>
      <c r="EF183" s="212" t="n"/>
      <c r="EG183" s="212" t="n"/>
      <c r="EH183" s="212" t="n"/>
      <c r="EI183" s="212" t="n"/>
      <c r="EJ183" s="212" t="n"/>
      <c r="EK183" s="212" t="n"/>
      <c r="EL183" s="212" t="n"/>
      <c r="EM183" s="212" t="n"/>
      <c r="EN183" s="212" t="n"/>
      <c r="EO183" s="212" t="n"/>
      <c r="EP183" s="212" t="n"/>
      <c r="EQ183" s="212" t="n"/>
      <c r="ER183" s="212" t="n"/>
      <c r="ES183" s="212" t="n"/>
      <c r="ET183" s="212" t="n"/>
      <c r="EU183" s="212" t="n"/>
      <c r="EV183" s="212" t="n"/>
      <c r="EW183" s="212" t="n"/>
      <c r="EX183" s="212" t="n"/>
      <c r="EY183" s="212" t="n"/>
      <c r="EZ183" s="212" t="n"/>
      <c r="FA183" s="212" t="n"/>
      <c r="FB183" s="212" t="n"/>
      <c r="FC183" s="212" t="n"/>
      <c r="FD183" s="212" t="n"/>
      <c r="FE183" s="212" t="n"/>
      <c r="FF183" s="212" t="n"/>
      <c r="FG183" s="212" t="n"/>
      <c r="FH183" s="212" t="n"/>
      <c r="FI183" s="212" t="n"/>
      <c r="FJ183" s="212" t="n"/>
      <c r="FK183" s="212" t="n"/>
      <c r="FL183" s="212" t="n"/>
      <c r="FM183" s="212" t="n"/>
      <c r="FN183" s="212" t="n"/>
      <c r="FO183" s="212" t="n"/>
      <c r="FP183" s="212" t="n"/>
      <c r="FQ183" s="212" t="n"/>
      <c r="FR183" s="212" t="n"/>
      <c r="FS183" s="212" t="n"/>
      <c r="FT183" s="212" t="n"/>
      <c r="FU183" s="212" t="n"/>
      <c r="FV183" s="212" t="n"/>
      <c r="FW183" s="212" t="n"/>
      <c r="FX183" s="212" t="n"/>
      <c r="FY183" s="212" t="n"/>
      <c r="FZ183" s="212" t="n"/>
      <c r="GA183" s="212" t="n"/>
      <c r="GB183" s="212" t="n"/>
      <c r="GC183" s="212" t="n"/>
      <c r="GD183" s="212" t="n"/>
      <c r="GE183" s="212" t="n"/>
      <c r="GF183" s="212" t="n"/>
      <c r="GG183" s="212" t="n"/>
      <c r="GH183" s="212" t="n"/>
      <c r="GI183" s="212" t="n"/>
      <c r="GJ183" s="212" t="n"/>
      <c r="GK183" s="212" t="n"/>
      <c r="GL183" s="212" t="n"/>
      <c r="GM183" s="212" t="n"/>
      <c r="GN183" s="212" t="n"/>
      <c r="GO183" s="212" t="n"/>
      <c r="GP183" s="212" t="n"/>
      <c r="GQ183" s="212" t="n"/>
      <c r="GR183" s="212" t="n"/>
      <c r="GS183" s="212" t="n"/>
      <c r="GT183" s="212" t="n"/>
      <c r="GU183" s="212" t="n"/>
      <c r="GV183" s="212" t="n"/>
      <c r="GW183" s="212" t="n"/>
      <c r="GX183" s="212" t="n"/>
      <c r="GY183" s="212" t="n"/>
      <c r="GZ183" s="212" t="n"/>
      <c r="HA183" s="212" t="n"/>
      <c r="HB183" s="212" t="n"/>
      <c r="HC183" s="212" t="n"/>
      <c r="HD183" s="212" t="n"/>
      <c r="HE183" s="212" t="n"/>
      <c r="HF183" s="212" t="n"/>
      <c r="HG183" s="212" t="n"/>
      <c r="HH183" s="212" t="n"/>
      <c r="HI183" s="212" t="n"/>
      <c r="HJ183" s="212" t="n"/>
      <c r="HK183" s="212" t="n"/>
      <c r="HL183" s="212" t="n"/>
      <c r="HM183" s="212" t="n"/>
      <c r="HN183" s="212" t="n"/>
      <c r="HO183" s="212" t="n"/>
      <c r="HP183" s="212" t="n"/>
      <c r="HQ183" s="212" t="n"/>
      <c r="HR183" s="212" t="n"/>
      <c r="HS183" s="212" t="n"/>
      <c r="HT183" s="212" t="n"/>
      <c r="HU183" s="212" t="n"/>
      <c r="HV183" s="212" t="n"/>
      <c r="HW183" s="212" t="n"/>
      <c r="HX183" s="212" t="n"/>
      <c r="HY183" s="212" t="n"/>
      <c r="HZ183" s="212" t="n"/>
      <c r="IA183" s="212" t="n"/>
      <c r="IB183" s="212" t="n"/>
      <c r="IC183" s="212" t="n"/>
      <c r="ID183" s="212" t="n"/>
      <c r="IE183" s="212" t="n"/>
      <c r="IF183" s="212" t="n"/>
      <c r="IG183" s="212" t="n"/>
      <c r="IH183" s="212" t="n"/>
      <c r="II183" s="212" t="n"/>
      <c r="IJ183" s="212" t="n"/>
      <c r="IK183" s="212" t="n"/>
      <c r="IL183" s="212" t="n"/>
      <c r="IM183" s="212" t="n"/>
      <c r="IN183" s="212" t="n"/>
      <c r="IO183" s="212" t="n"/>
      <c r="IP183" s="212" t="n"/>
      <c r="IQ183" s="212" t="n"/>
      <c r="IR183" s="212" t="n"/>
      <c r="IS183" s="212" t="n"/>
      <c r="IT183" s="212" t="n"/>
      <c r="IU183" s="212" t="n"/>
      <c r="IV183" s="212" t="n"/>
      <c r="IW183" s="212" t="n"/>
      <c r="IX183" s="212" t="n"/>
      <c r="IY183" s="212" t="n"/>
      <c r="IZ183" s="212" t="n"/>
      <c r="JA183" s="212" t="n"/>
      <c r="JB183" s="212" t="n"/>
      <c r="JC183" s="212" t="n"/>
      <c r="JD183" s="212" t="n"/>
      <c r="JE183" s="212" t="n"/>
      <c r="JF183" s="212" t="n"/>
      <c r="JG183" s="212" t="n"/>
      <c r="JH183" s="212" t="n"/>
      <c r="JI183" s="212" t="n"/>
      <c r="JJ183" s="212" t="n"/>
      <c r="JK183" s="212" t="n"/>
      <c r="JL183" s="212" t="n"/>
      <c r="JM183" s="212" t="n"/>
      <c r="JN183" s="212" t="n"/>
      <c r="JO183" s="212" t="n"/>
      <c r="JP183" s="212" t="n"/>
      <c r="JQ183" s="212" t="n"/>
      <c r="JR183" s="212" t="n"/>
      <c r="JS183" s="212" t="n"/>
      <c r="JT183" s="212" t="n"/>
      <c r="JU183" s="212" t="n"/>
      <c r="JV183" s="212" t="n"/>
      <c r="JW183" s="212" t="n"/>
      <c r="JX183" s="212" t="n"/>
      <c r="JY183" s="212" t="n"/>
      <c r="JZ183" s="212" t="n"/>
      <c r="KA183" s="212" t="n"/>
      <c r="KB183" s="212" t="n"/>
      <c r="KC183" s="212" t="n"/>
      <c r="KD183" s="212" t="n"/>
      <c r="KE183" s="212" t="n"/>
      <c r="KF183" s="212" t="n"/>
      <c r="KG183" s="212" t="n"/>
      <c r="KH183" s="212" t="n"/>
      <c r="KI183" s="212" t="n"/>
      <c r="KJ183" s="212" t="n"/>
      <c r="KK183" s="212" t="n"/>
      <c r="KL183" s="212" t="n"/>
      <c r="KM183" s="212" t="n"/>
      <c r="KN183" s="212" t="n"/>
      <c r="KO183" s="212" t="n"/>
      <c r="KP183" s="212" t="n"/>
      <c r="KQ183" s="212" t="n"/>
      <c r="KR183" s="212" t="n"/>
      <c r="KS183" s="212" t="n"/>
      <c r="KT183" s="212" t="n"/>
      <c r="KU183" s="212" t="n"/>
      <c r="KV183" s="212" t="n"/>
      <c r="KW183" s="212" t="n"/>
      <c r="KX183" s="212" t="n"/>
      <c r="KY183" s="212" t="n"/>
      <c r="KZ183" s="212" t="n"/>
      <c r="LA183" s="212" t="n"/>
      <c r="LB183" s="212" t="n"/>
      <c r="LC183" s="212" t="n"/>
      <c r="LD183" s="212" t="n"/>
      <c r="LE183" s="212" t="n"/>
      <c r="LF183" s="212" t="n"/>
      <c r="LG183" s="212" t="n"/>
      <c r="LH183" s="212" t="n"/>
      <c r="LI183" s="212" t="n"/>
      <c r="LJ183" s="212" t="n"/>
      <c r="LK183" s="212" t="n"/>
      <c r="LL183" s="212" t="n"/>
      <c r="LM183" s="212" t="n"/>
      <c r="LN183" s="212" t="n"/>
      <c r="LO183" s="212" t="n"/>
      <c r="LP183" s="212" t="n"/>
      <c r="LQ183" s="212" t="n"/>
      <c r="LR183" s="212" t="n"/>
      <c r="LS183" s="212" t="n"/>
      <c r="LT183" s="212" t="n"/>
      <c r="LU183" s="212" t="n"/>
      <c r="LV183" s="212" t="n"/>
      <c r="LW183" s="212" t="n"/>
      <c r="LX183" s="212" t="n"/>
      <c r="LY183" s="212" t="n"/>
      <c r="LZ183" s="212" t="n"/>
      <c r="MA183" s="212" t="n"/>
      <c r="MB183" s="212" t="n"/>
      <c r="MC183" s="212" t="n"/>
      <c r="MD183" s="212" t="n"/>
      <c r="ME183" s="212" t="n"/>
      <c r="MF183" s="212" t="n"/>
      <c r="MG183" s="212" t="n"/>
      <c r="MH183" s="212" t="n"/>
      <c r="MI183" s="212" t="n"/>
      <c r="MJ183" s="212" t="n"/>
      <c r="MK183" s="212" t="n"/>
      <c r="ML183" s="212" t="n"/>
      <c r="MM183" s="212" t="n"/>
      <c r="MN183" s="212" t="n"/>
      <c r="MO183" s="212" t="n"/>
      <c r="MP183" s="212" t="n"/>
      <c r="MQ183" s="212" t="n"/>
      <c r="MR183" s="212" t="n"/>
      <c r="MS183" s="212" t="n"/>
      <c r="MT183" s="212" t="n"/>
      <c r="MU183" s="212" t="n"/>
      <c r="MV183" s="212" t="n"/>
      <c r="MW183" s="212" t="n"/>
      <c r="MX183" s="212" t="n"/>
      <c r="MY183" s="212" t="n"/>
      <c r="MZ183" s="212" t="n"/>
      <c r="NA183" s="212" t="n"/>
      <c r="NB183" s="212" t="n"/>
      <c r="NC183" s="212" t="n"/>
      <c r="ND183" s="212" t="n"/>
      <c r="NE183" s="212" t="n"/>
      <c r="NF183" s="212" t="n"/>
      <c r="NG183" s="212" t="n"/>
      <c r="NH183" s="212" t="n"/>
      <c r="NI183" s="212" t="n"/>
      <c r="NJ183" s="212" t="n"/>
      <c r="NK183" s="212" t="n"/>
      <c r="NL183" s="212" t="n"/>
      <c r="NM183" s="212" t="n"/>
      <c r="NN183" s="212" t="n"/>
      <c r="NO183" s="212" t="n"/>
      <c r="NP183" s="212" t="n"/>
      <c r="NQ183" s="212" t="n"/>
      <c r="NR183" s="212" t="n"/>
      <c r="NS183" s="212" t="n"/>
      <c r="NT183" s="212" t="n"/>
      <c r="NU183" s="212" t="n"/>
      <c r="NV183" s="212" t="n"/>
      <c r="NW183" s="212" t="n"/>
      <c r="NX183" s="212" t="n"/>
      <c r="NY183" s="212" t="n"/>
      <c r="NZ183" s="212" t="n"/>
      <c r="OA183" s="212" t="n"/>
      <c r="OB183" s="212" t="n"/>
      <c r="OC183" s="212" t="n"/>
      <c r="OD183" s="212" t="n"/>
      <c r="OE183" s="212" t="n"/>
      <c r="OF183" s="212" t="n"/>
      <c r="OG183" s="212" t="n"/>
      <c r="OH183" s="212" t="n"/>
      <c r="OI183" s="212" t="n"/>
      <c r="OJ183" s="212" t="n"/>
      <c r="OK183" s="212" t="n"/>
      <c r="OL183" s="212" t="n"/>
      <c r="OM183" s="212" t="n"/>
      <c r="ON183" s="212" t="n"/>
      <c r="OO183" s="212" t="n"/>
      <c r="OP183" s="212" t="n"/>
      <c r="OQ183" s="212" t="n"/>
      <c r="OR183" s="212" t="n"/>
      <c r="OS183" s="212" t="n"/>
      <c r="OT183" s="212" t="n"/>
      <c r="OU183" s="212" t="n"/>
      <c r="OV183" s="212" t="n"/>
      <c r="OW183" s="212" t="n"/>
      <c r="OX183" s="212" t="n"/>
      <c r="OY183" s="212" t="n"/>
      <c r="OZ183" s="212" t="n"/>
      <c r="PA183" s="212" t="n"/>
      <c r="PB183" s="212" t="n"/>
      <c r="PC183" s="212" t="n"/>
      <c r="PD183" s="212" t="n"/>
      <c r="PE183" s="212" t="n"/>
      <c r="PF183" s="212" t="n"/>
      <c r="PG183" s="212" t="n"/>
      <c r="PH183" s="212" t="n"/>
      <c r="PI183" s="212" t="n"/>
      <c r="PJ183" s="212" t="n"/>
      <c r="PK183" s="212" t="n"/>
      <c r="PL183" s="212" t="n"/>
      <c r="PM183" s="212" t="n"/>
      <c r="PN183" s="212" t="n"/>
      <c r="PO183" s="212" t="n"/>
      <c r="PP183" s="212" t="n"/>
      <c r="PQ183" s="212" t="n"/>
      <c r="PR183" s="212" t="n"/>
      <c r="PS183" s="212" t="n"/>
      <c r="PT183" s="212" t="n"/>
      <c r="PU183" s="212" t="n"/>
      <c r="PV183" s="212" t="n"/>
      <c r="PW183" s="212" t="n"/>
      <c r="PX183" s="212" t="n"/>
      <c r="PY183" s="212" t="n"/>
      <c r="PZ183" s="212" t="n"/>
      <c r="QA183" s="212" t="n"/>
      <c r="QB183" s="212" t="n"/>
      <c r="QC183" s="212" t="n"/>
      <c r="QD183" s="212" t="n"/>
      <c r="QE183" s="212" t="n"/>
      <c r="QF183" s="212" t="n"/>
      <c r="QG183" s="212" t="n"/>
      <c r="QH183" s="212" t="n"/>
      <c r="QI183" s="212" t="n"/>
      <c r="QJ183" s="212" t="n"/>
      <c r="QK183" s="212" t="n"/>
      <c r="QL183" s="212" t="n"/>
      <c r="QM183" s="212" t="n"/>
      <c r="QN183" s="212" t="n"/>
      <c r="QO183" s="212" t="n"/>
      <c r="QP183" s="212" t="n"/>
      <c r="QQ183" s="212" t="n"/>
      <c r="QR183" s="212" t="n"/>
      <c r="QS183" s="212" t="n"/>
      <c r="QT183" s="212" t="n"/>
      <c r="QU183" s="212" t="n"/>
      <c r="QV183" s="212" t="n"/>
      <c r="QW183" s="212" t="n"/>
      <c r="QX183" s="212" t="n"/>
      <c r="QY183" s="212" t="n"/>
      <c r="QZ183" s="212" t="n"/>
      <c r="RA183" s="212" t="n"/>
      <c r="RB183" s="212" t="n"/>
      <c r="RC183" s="212" t="n"/>
      <c r="RD183" s="212" t="n"/>
      <c r="RE183" s="212" t="n"/>
      <c r="RF183" s="212" t="n"/>
      <c r="RG183" s="212" t="n"/>
      <c r="RH183" s="212" t="n"/>
      <c r="RI183" s="212" t="n"/>
      <c r="RJ183" s="212" t="n"/>
      <c r="RK183" s="212" t="n"/>
      <c r="RL183" s="212" t="n"/>
      <c r="RM183" s="212" t="n"/>
      <c r="RN183" s="212" t="n"/>
      <c r="RO183" s="212" t="n"/>
      <c r="RP183" s="212" t="n"/>
      <c r="RQ183" s="212" t="n"/>
      <c r="RR183" s="212" t="n"/>
      <c r="RS183" s="212" t="n"/>
      <c r="RT183" s="212" t="n"/>
      <c r="RU183" s="212" t="n"/>
      <c r="RV183" s="212" t="n"/>
      <c r="RW183" s="212" t="n"/>
      <c r="RX183" s="212" t="n"/>
      <c r="RY183" s="212" t="n"/>
      <c r="RZ183" s="212" t="n"/>
      <c r="SA183" s="212" t="n"/>
      <c r="SB183" s="212" t="n"/>
      <c r="SC183" s="212" t="n"/>
      <c r="SD183" s="212" t="n"/>
      <c r="SE183" s="212" t="n"/>
      <c r="SF183" s="212" t="n"/>
      <c r="SG183" s="212" t="n"/>
      <c r="SH183" s="212" t="n"/>
      <c r="SI183" s="212" t="n"/>
      <c r="SJ183" s="212" t="n"/>
      <c r="SK183" s="212" t="n"/>
      <c r="SL183" s="212" t="n"/>
      <c r="SM183" s="212" t="n"/>
      <c r="SN183" s="212" t="n"/>
      <c r="SO183" s="212" t="n"/>
      <c r="SP183" s="212" t="n"/>
      <c r="SQ183" s="212" t="n"/>
      <c r="SR183" s="212" t="n"/>
      <c r="SS183" s="212" t="n"/>
      <c r="ST183" s="212" t="n"/>
      <c r="SU183" s="212" t="n"/>
      <c r="SV183" s="212" t="n"/>
    </row>
    <row r="184">
      <c r="B184" s="209" t="n"/>
      <c r="C184" s="209" t="n"/>
      <c r="D184" s="209" t="n"/>
      <c r="E184" s="209" t="n"/>
      <c r="F184" s="209">
        <f>IF(TRIM(D184&amp;E184)="","",TRIM(D184)&amp;" "&amp;TRIM(E184))</f>
        <v/>
      </c>
      <c r="G184" s="209" t="n"/>
      <c r="H184" s="209" t="n"/>
      <c r="I184" s="209" t="n"/>
      <c r="J184" s="209" t="n"/>
      <c r="K184" s="209" t="n"/>
      <c r="L184" s="209" t="n"/>
      <c r="M184" s="209" t="n"/>
      <c r="N184" s="209" t="n"/>
      <c r="O184" s="209" t="n"/>
      <c r="P184" s="209" t="n"/>
      <c r="Q184" s="209" t="n"/>
      <c r="R184" s="209" t="n"/>
      <c r="S184" s="212" t="n"/>
      <c r="T184" s="212" t="n"/>
      <c r="U184" s="212" t="n"/>
      <c r="V184" s="212" t="n"/>
      <c r="W184" s="212" t="n"/>
      <c r="X184" s="212" t="n"/>
      <c r="Y184" s="212" t="n"/>
      <c r="Z184" s="212" t="n"/>
      <c r="AA184" s="212" t="n"/>
      <c r="AB184" s="212" t="n"/>
      <c r="AC184" s="212" t="n"/>
      <c r="AD184" s="212" t="n"/>
      <c r="AE184" s="212" t="n"/>
      <c r="AF184" s="212" t="n"/>
      <c r="AG184" s="212" t="n"/>
      <c r="AH184" s="212" t="n"/>
      <c r="AI184" s="212" t="n"/>
      <c r="AJ184" s="212" t="n"/>
      <c r="AK184" s="212" t="n"/>
      <c r="AL184" s="212" t="n"/>
      <c r="AM184" s="212" t="n"/>
      <c r="AN184" s="212" t="n"/>
      <c r="AO184" s="212" t="n"/>
      <c r="AP184" s="212" t="n"/>
      <c r="AQ184" s="212" t="n"/>
      <c r="AR184" s="212" t="n"/>
      <c r="AS184" s="212" t="n"/>
      <c r="AT184" s="212" t="n"/>
      <c r="AU184" s="212" t="n"/>
      <c r="AV184" s="212" t="n"/>
      <c r="AW184" s="212" t="n"/>
      <c r="AX184" s="212" t="n"/>
      <c r="AY184" s="212" t="n"/>
      <c r="AZ184" s="212" t="n"/>
      <c r="BA184" s="212" t="n"/>
      <c r="BB184" s="212" t="n"/>
      <c r="BC184" s="212" t="n"/>
      <c r="BD184" s="212" t="n"/>
      <c r="BE184" s="212" t="n"/>
      <c r="BF184" s="212" t="n"/>
      <c r="BG184" s="212" t="n"/>
      <c r="BH184" s="212" t="n"/>
      <c r="BI184" s="212" t="n"/>
      <c r="BJ184" s="212" t="n"/>
      <c r="BK184" s="212" t="n"/>
      <c r="BL184" s="212" t="n"/>
      <c r="BM184" s="212" t="n"/>
      <c r="BN184" s="212" t="n"/>
      <c r="BO184" s="212" t="n"/>
      <c r="BP184" s="212" t="n"/>
      <c r="BQ184" s="212" t="n"/>
      <c r="BR184" s="212" t="n"/>
      <c r="BS184" s="212" t="n"/>
      <c r="BT184" s="212" t="n"/>
      <c r="BU184" s="212" t="n"/>
      <c r="BV184" s="212" t="n"/>
      <c r="BW184" s="212" t="n"/>
      <c r="BX184" s="212" t="n"/>
      <c r="BY184" s="212" t="n"/>
      <c r="BZ184" s="212" t="n"/>
      <c r="CA184" s="212" t="n"/>
      <c r="CB184" s="212" t="n"/>
      <c r="CC184" s="212" t="n"/>
      <c r="CD184" s="212" t="n"/>
      <c r="CE184" s="212" t="n"/>
      <c r="CF184" s="212" t="n"/>
      <c r="CG184" s="212" t="n"/>
      <c r="CH184" s="212" t="n"/>
      <c r="CI184" s="212" t="n"/>
      <c r="CJ184" s="212" t="n"/>
      <c r="CK184" s="212" t="n"/>
      <c r="CL184" s="212" t="n"/>
      <c r="CM184" s="212" t="n"/>
      <c r="CN184" s="212" t="n"/>
      <c r="CO184" s="212" t="n"/>
      <c r="CP184" s="212" t="n"/>
      <c r="CQ184" s="212" t="n"/>
      <c r="CR184" s="212" t="n"/>
      <c r="CS184" s="212" t="n"/>
      <c r="CT184" s="212" t="n"/>
      <c r="CU184" s="212" t="n"/>
      <c r="CV184" s="212" t="n"/>
      <c r="CW184" s="212" t="n"/>
      <c r="CX184" s="212" t="n"/>
      <c r="CY184" s="212" t="n"/>
      <c r="CZ184" s="212" t="n"/>
      <c r="DA184" s="212" t="n"/>
      <c r="DB184" s="212" t="n"/>
      <c r="DC184" s="212" t="n"/>
      <c r="DD184" s="212" t="n"/>
      <c r="DE184" s="212" t="n"/>
      <c r="DF184" s="212" t="n"/>
      <c r="DG184" s="212" t="n"/>
      <c r="DH184" s="212" t="n"/>
      <c r="DI184" s="212" t="n"/>
      <c r="DJ184" s="212" t="n"/>
      <c r="DK184" s="212" t="n"/>
      <c r="DL184" s="212" t="n"/>
      <c r="DM184" s="212" t="n"/>
      <c r="DN184" s="212" t="n"/>
      <c r="DO184" s="212" t="n"/>
      <c r="DP184" s="212" t="n"/>
      <c r="DQ184" s="212" t="n"/>
      <c r="DR184" s="212" t="n"/>
      <c r="DS184" s="212" t="n"/>
      <c r="DT184" s="212" t="n"/>
      <c r="DU184" s="212" t="n"/>
      <c r="DV184" s="212" t="n"/>
      <c r="DW184" s="212" t="n"/>
      <c r="DX184" s="212" t="n"/>
      <c r="DY184" s="212" t="n"/>
      <c r="DZ184" s="212" t="n"/>
      <c r="EA184" s="212" t="n"/>
      <c r="EB184" s="212" t="n"/>
      <c r="EC184" s="212" t="n"/>
      <c r="ED184" s="212" t="n"/>
      <c r="EE184" s="212" t="n"/>
      <c r="EF184" s="212" t="n"/>
      <c r="EG184" s="212" t="n"/>
      <c r="EH184" s="212" t="n"/>
      <c r="EI184" s="212" t="n"/>
      <c r="EJ184" s="212" t="n"/>
      <c r="EK184" s="212" t="n"/>
      <c r="EL184" s="212" t="n"/>
      <c r="EM184" s="212" t="n"/>
      <c r="EN184" s="212" t="n"/>
      <c r="EO184" s="212" t="n"/>
      <c r="EP184" s="212" t="n"/>
      <c r="EQ184" s="212" t="n"/>
      <c r="ER184" s="212" t="n"/>
      <c r="ES184" s="212" t="n"/>
      <c r="ET184" s="212" t="n"/>
      <c r="EU184" s="212" t="n"/>
      <c r="EV184" s="212" t="n"/>
      <c r="EW184" s="212" t="n"/>
      <c r="EX184" s="212" t="n"/>
      <c r="EY184" s="212" t="n"/>
      <c r="EZ184" s="212" t="n"/>
      <c r="FA184" s="212" t="n"/>
      <c r="FB184" s="212" t="n"/>
      <c r="FC184" s="212" t="n"/>
      <c r="FD184" s="212" t="n"/>
      <c r="FE184" s="212" t="n"/>
      <c r="FF184" s="212" t="n"/>
      <c r="FG184" s="212" t="n"/>
      <c r="FH184" s="212" t="n"/>
      <c r="FI184" s="212" t="n"/>
      <c r="FJ184" s="212" t="n"/>
      <c r="FK184" s="212" t="n"/>
      <c r="FL184" s="212" t="n"/>
      <c r="FM184" s="212" t="n"/>
      <c r="FN184" s="212" t="n"/>
      <c r="FO184" s="212" t="n"/>
      <c r="FP184" s="212" t="n"/>
      <c r="FQ184" s="212" t="n"/>
      <c r="FR184" s="212" t="n"/>
      <c r="FS184" s="212" t="n"/>
      <c r="FT184" s="212" t="n"/>
      <c r="FU184" s="212" t="n"/>
      <c r="FV184" s="212" t="n"/>
      <c r="FW184" s="212" t="n"/>
      <c r="FX184" s="212" t="n"/>
      <c r="FY184" s="212" t="n"/>
      <c r="FZ184" s="212" t="n"/>
      <c r="GA184" s="212" t="n"/>
      <c r="GB184" s="212" t="n"/>
      <c r="GC184" s="212" t="n"/>
      <c r="GD184" s="212" t="n"/>
      <c r="GE184" s="212" t="n"/>
      <c r="GF184" s="212" t="n"/>
      <c r="GG184" s="212" t="n"/>
      <c r="GH184" s="212" t="n"/>
      <c r="GI184" s="212" t="n"/>
      <c r="GJ184" s="212" t="n"/>
      <c r="GK184" s="212" t="n"/>
      <c r="GL184" s="212" t="n"/>
      <c r="GM184" s="212" t="n"/>
      <c r="GN184" s="212" t="n"/>
      <c r="GO184" s="212" t="n"/>
      <c r="GP184" s="212" t="n"/>
      <c r="GQ184" s="212" t="n"/>
      <c r="GR184" s="212" t="n"/>
      <c r="GS184" s="212" t="n"/>
      <c r="GT184" s="212" t="n"/>
      <c r="GU184" s="212" t="n"/>
      <c r="GV184" s="212" t="n"/>
      <c r="GW184" s="212" t="n"/>
      <c r="GX184" s="212" t="n"/>
      <c r="GY184" s="212" t="n"/>
      <c r="GZ184" s="212" t="n"/>
      <c r="HA184" s="212" t="n"/>
      <c r="HB184" s="212" t="n"/>
      <c r="HC184" s="212" t="n"/>
      <c r="HD184" s="212" t="n"/>
      <c r="HE184" s="212" t="n"/>
      <c r="HF184" s="212" t="n"/>
      <c r="HG184" s="212" t="n"/>
      <c r="HH184" s="212" t="n"/>
      <c r="HI184" s="212" t="n"/>
      <c r="HJ184" s="212" t="n"/>
      <c r="HK184" s="212" t="n"/>
      <c r="HL184" s="212" t="n"/>
      <c r="HM184" s="212" t="n"/>
      <c r="HN184" s="212" t="n"/>
      <c r="HO184" s="212" t="n"/>
      <c r="HP184" s="212" t="n"/>
      <c r="HQ184" s="212" t="n"/>
      <c r="HR184" s="212" t="n"/>
      <c r="HS184" s="212" t="n"/>
      <c r="HT184" s="212" t="n"/>
      <c r="HU184" s="212" t="n"/>
      <c r="HV184" s="212" t="n"/>
      <c r="HW184" s="212" t="n"/>
      <c r="HX184" s="212" t="n"/>
      <c r="HY184" s="212" t="n"/>
      <c r="HZ184" s="212" t="n"/>
      <c r="IA184" s="212" t="n"/>
      <c r="IB184" s="212" t="n"/>
      <c r="IC184" s="212" t="n"/>
      <c r="ID184" s="212" t="n"/>
      <c r="IE184" s="212" t="n"/>
      <c r="IF184" s="212" t="n"/>
      <c r="IG184" s="212" t="n"/>
      <c r="IH184" s="212" t="n"/>
      <c r="II184" s="212" t="n"/>
      <c r="IJ184" s="212" t="n"/>
      <c r="IK184" s="212" t="n"/>
      <c r="IL184" s="212" t="n"/>
      <c r="IM184" s="212" t="n"/>
      <c r="IN184" s="212" t="n"/>
      <c r="IO184" s="212" t="n"/>
      <c r="IP184" s="212" t="n"/>
      <c r="IQ184" s="212" t="n"/>
      <c r="IR184" s="212" t="n"/>
      <c r="IS184" s="212" t="n"/>
      <c r="IT184" s="212" t="n"/>
      <c r="IU184" s="212" t="n"/>
      <c r="IV184" s="212" t="n"/>
      <c r="IW184" s="212" t="n"/>
      <c r="IX184" s="212" t="n"/>
      <c r="IY184" s="212" t="n"/>
      <c r="IZ184" s="212" t="n"/>
      <c r="JA184" s="212" t="n"/>
      <c r="JB184" s="212" t="n"/>
      <c r="JC184" s="212" t="n"/>
      <c r="JD184" s="212" t="n"/>
      <c r="JE184" s="212" t="n"/>
      <c r="JF184" s="212" t="n"/>
      <c r="JG184" s="212" t="n"/>
      <c r="JH184" s="212" t="n"/>
      <c r="JI184" s="212" t="n"/>
      <c r="JJ184" s="212" t="n"/>
      <c r="JK184" s="212" t="n"/>
      <c r="JL184" s="212" t="n"/>
      <c r="JM184" s="212" t="n"/>
      <c r="JN184" s="212" t="n"/>
      <c r="JO184" s="212" t="n"/>
      <c r="JP184" s="212" t="n"/>
      <c r="JQ184" s="212" t="n"/>
      <c r="JR184" s="212" t="n"/>
      <c r="JS184" s="212" t="n"/>
      <c r="JT184" s="212" t="n"/>
      <c r="JU184" s="212" t="n"/>
      <c r="JV184" s="212" t="n"/>
      <c r="JW184" s="212" t="n"/>
      <c r="JX184" s="212" t="n"/>
      <c r="JY184" s="212" t="n"/>
      <c r="JZ184" s="212" t="n"/>
      <c r="KA184" s="212" t="n"/>
      <c r="KB184" s="212" t="n"/>
      <c r="KC184" s="212" t="n"/>
      <c r="KD184" s="212" t="n"/>
      <c r="KE184" s="212" t="n"/>
      <c r="KF184" s="212" t="n"/>
      <c r="KG184" s="212" t="n"/>
      <c r="KH184" s="212" t="n"/>
      <c r="KI184" s="212" t="n"/>
      <c r="KJ184" s="212" t="n"/>
      <c r="KK184" s="212" t="n"/>
      <c r="KL184" s="212" t="n"/>
      <c r="KM184" s="212" t="n"/>
      <c r="KN184" s="212" t="n"/>
      <c r="KO184" s="212" t="n"/>
      <c r="KP184" s="212" t="n"/>
      <c r="KQ184" s="212" t="n"/>
      <c r="KR184" s="212" t="n"/>
      <c r="KS184" s="212" t="n"/>
      <c r="KT184" s="212" t="n"/>
      <c r="KU184" s="212" t="n"/>
      <c r="KV184" s="212" t="n"/>
      <c r="KW184" s="212" t="n"/>
      <c r="KX184" s="212" t="n"/>
      <c r="KY184" s="212" t="n"/>
      <c r="KZ184" s="212" t="n"/>
      <c r="LA184" s="212" t="n"/>
      <c r="LB184" s="212" t="n"/>
      <c r="LC184" s="212" t="n"/>
      <c r="LD184" s="212" t="n"/>
      <c r="LE184" s="212" t="n"/>
      <c r="LF184" s="212" t="n"/>
      <c r="LG184" s="212" t="n"/>
      <c r="LH184" s="212" t="n"/>
      <c r="LI184" s="212" t="n"/>
      <c r="LJ184" s="212" t="n"/>
      <c r="LK184" s="212" t="n"/>
      <c r="LL184" s="212" t="n"/>
      <c r="LM184" s="212" t="n"/>
      <c r="LN184" s="212" t="n"/>
      <c r="LO184" s="212" t="n"/>
      <c r="LP184" s="212" t="n"/>
      <c r="LQ184" s="212" t="n"/>
      <c r="LR184" s="212" t="n"/>
      <c r="LS184" s="212" t="n"/>
      <c r="LT184" s="212" t="n"/>
      <c r="LU184" s="212" t="n"/>
      <c r="LV184" s="212" t="n"/>
      <c r="LW184" s="212" t="n"/>
      <c r="LX184" s="212" t="n"/>
      <c r="LY184" s="212" t="n"/>
      <c r="LZ184" s="212" t="n"/>
      <c r="MA184" s="212" t="n"/>
      <c r="MB184" s="212" t="n"/>
      <c r="MC184" s="212" t="n"/>
      <c r="MD184" s="212" t="n"/>
      <c r="ME184" s="212" t="n"/>
      <c r="MF184" s="212" t="n"/>
      <c r="MG184" s="212" t="n"/>
      <c r="MH184" s="212" t="n"/>
      <c r="MI184" s="212" t="n"/>
      <c r="MJ184" s="212" t="n"/>
      <c r="MK184" s="212" t="n"/>
      <c r="ML184" s="212" t="n"/>
      <c r="MM184" s="212" t="n"/>
      <c r="MN184" s="212" t="n"/>
      <c r="MO184" s="212" t="n"/>
      <c r="MP184" s="212" t="n"/>
      <c r="MQ184" s="212" t="n"/>
      <c r="MR184" s="212" t="n"/>
      <c r="MS184" s="212" t="n"/>
      <c r="MT184" s="212" t="n"/>
      <c r="MU184" s="212" t="n"/>
      <c r="MV184" s="212" t="n"/>
      <c r="MW184" s="212" t="n"/>
      <c r="MX184" s="212" t="n"/>
      <c r="MY184" s="212" t="n"/>
      <c r="MZ184" s="212" t="n"/>
      <c r="NA184" s="212" t="n"/>
      <c r="NB184" s="212" t="n"/>
      <c r="NC184" s="212" t="n"/>
      <c r="ND184" s="212" t="n"/>
      <c r="NE184" s="212" t="n"/>
      <c r="NF184" s="212" t="n"/>
      <c r="NG184" s="212" t="n"/>
      <c r="NH184" s="212" t="n"/>
      <c r="NI184" s="212" t="n"/>
      <c r="NJ184" s="212" t="n"/>
      <c r="NK184" s="212" t="n"/>
      <c r="NL184" s="212" t="n"/>
      <c r="NM184" s="212" t="n"/>
      <c r="NN184" s="212" t="n"/>
      <c r="NO184" s="212" t="n"/>
      <c r="NP184" s="212" t="n"/>
      <c r="NQ184" s="212" t="n"/>
      <c r="NR184" s="212" t="n"/>
      <c r="NS184" s="212" t="n"/>
      <c r="NT184" s="212" t="n"/>
      <c r="NU184" s="212" t="n"/>
      <c r="NV184" s="212" t="n"/>
      <c r="NW184" s="212" t="n"/>
      <c r="NX184" s="212" t="n"/>
      <c r="NY184" s="212" t="n"/>
      <c r="NZ184" s="212" t="n"/>
      <c r="OA184" s="212" t="n"/>
      <c r="OB184" s="212" t="n"/>
      <c r="OC184" s="212" t="n"/>
      <c r="OD184" s="212" t="n"/>
      <c r="OE184" s="212" t="n"/>
      <c r="OF184" s="212" t="n"/>
      <c r="OG184" s="212" t="n"/>
      <c r="OH184" s="212" t="n"/>
      <c r="OI184" s="212" t="n"/>
      <c r="OJ184" s="212" t="n"/>
      <c r="OK184" s="212" t="n"/>
      <c r="OL184" s="212" t="n"/>
      <c r="OM184" s="212" t="n"/>
      <c r="ON184" s="212" t="n"/>
      <c r="OO184" s="212" t="n"/>
      <c r="OP184" s="212" t="n"/>
      <c r="OQ184" s="212" t="n"/>
      <c r="OR184" s="212" t="n"/>
      <c r="OS184" s="212" t="n"/>
      <c r="OT184" s="212" t="n"/>
      <c r="OU184" s="212" t="n"/>
      <c r="OV184" s="212" t="n"/>
      <c r="OW184" s="212" t="n"/>
      <c r="OX184" s="212" t="n"/>
      <c r="OY184" s="212" t="n"/>
      <c r="OZ184" s="212" t="n"/>
      <c r="PA184" s="212" t="n"/>
      <c r="PB184" s="212" t="n"/>
      <c r="PC184" s="212" t="n"/>
      <c r="PD184" s="212" t="n"/>
      <c r="PE184" s="212" t="n"/>
      <c r="PF184" s="212" t="n"/>
      <c r="PG184" s="212" t="n"/>
      <c r="PH184" s="212" t="n"/>
      <c r="PI184" s="212" t="n"/>
      <c r="PJ184" s="212" t="n"/>
      <c r="PK184" s="212" t="n"/>
      <c r="PL184" s="212" t="n"/>
      <c r="PM184" s="212" t="n"/>
      <c r="PN184" s="212" t="n"/>
      <c r="PO184" s="212" t="n"/>
      <c r="PP184" s="212" t="n"/>
      <c r="PQ184" s="212" t="n"/>
      <c r="PR184" s="212" t="n"/>
      <c r="PS184" s="212" t="n"/>
      <c r="PT184" s="212" t="n"/>
      <c r="PU184" s="212" t="n"/>
      <c r="PV184" s="212" t="n"/>
      <c r="PW184" s="212" t="n"/>
      <c r="PX184" s="212" t="n"/>
      <c r="PY184" s="212" t="n"/>
      <c r="PZ184" s="212" t="n"/>
      <c r="QA184" s="212" t="n"/>
      <c r="QB184" s="212" t="n"/>
      <c r="QC184" s="212" t="n"/>
      <c r="QD184" s="212" t="n"/>
      <c r="QE184" s="212" t="n"/>
      <c r="QF184" s="212" t="n"/>
      <c r="QG184" s="212" t="n"/>
      <c r="QH184" s="212" t="n"/>
      <c r="QI184" s="212" t="n"/>
      <c r="QJ184" s="212" t="n"/>
      <c r="QK184" s="212" t="n"/>
      <c r="QL184" s="212" t="n"/>
      <c r="QM184" s="212" t="n"/>
      <c r="QN184" s="212" t="n"/>
      <c r="QO184" s="212" t="n"/>
      <c r="QP184" s="212" t="n"/>
      <c r="QQ184" s="212" t="n"/>
      <c r="QR184" s="212" t="n"/>
      <c r="QS184" s="212" t="n"/>
      <c r="QT184" s="212" t="n"/>
      <c r="QU184" s="212" t="n"/>
      <c r="QV184" s="212" t="n"/>
      <c r="QW184" s="212" t="n"/>
      <c r="QX184" s="212" t="n"/>
      <c r="QY184" s="212" t="n"/>
      <c r="QZ184" s="212" t="n"/>
      <c r="RA184" s="212" t="n"/>
      <c r="RB184" s="212" t="n"/>
      <c r="RC184" s="212" t="n"/>
      <c r="RD184" s="212" t="n"/>
      <c r="RE184" s="212" t="n"/>
      <c r="RF184" s="212" t="n"/>
      <c r="RG184" s="212" t="n"/>
      <c r="RH184" s="212" t="n"/>
      <c r="RI184" s="212" t="n"/>
      <c r="RJ184" s="212" t="n"/>
      <c r="RK184" s="212" t="n"/>
      <c r="RL184" s="212" t="n"/>
      <c r="RM184" s="212" t="n"/>
      <c r="RN184" s="212" t="n"/>
      <c r="RO184" s="212" t="n"/>
      <c r="RP184" s="212" t="n"/>
      <c r="RQ184" s="212" t="n"/>
      <c r="RR184" s="212" t="n"/>
      <c r="RS184" s="212" t="n"/>
      <c r="RT184" s="212" t="n"/>
      <c r="RU184" s="212" t="n"/>
      <c r="RV184" s="212" t="n"/>
      <c r="RW184" s="212" t="n"/>
      <c r="RX184" s="212" t="n"/>
      <c r="RY184" s="212" t="n"/>
      <c r="RZ184" s="212" t="n"/>
      <c r="SA184" s="212" t="n"/>
      <c r="SB184" s="212" t="n"/>
      <c r="SC184" s="212" t="n"/>
      <c r="SD184" s="212" t="n"/>
      <c r="SE184" s="212" t="n"/>
      <c r="SF184" s="212" t="n"/>
      <c r="SG184" s="212" t="n"/>
      <c r="SH184" s="212" t="n"/>
      <c r="SI184" s="212" t="n"/>
      <c r="SJ184" s="212" t="n"/>
      <c r="SK184" s="212" t="n"/>
      <c r="SL184" s="212" t="n"/>
      <c r="SM184" s="212" t="n"/>
      <c r="SN184" s="212" t="n"/>
      <c r="SO184" s="212" t="n"/>
      <c r="SP184" s="212" t="n"/>
      <c r="SQ184" s="212" t="n"/>
      <c r="SR184" s="212" t="n"/>
      <c r="SS184" s="212" t="n"/>
      <c r="ST184" s="212" t="n"/>
      <c r="SU184" s="212" t="n"/>
      <c r="SV184" s="212" t="n"/>
    </row>
    <row r="185">
      <c r="B185" s="209" t="n"/>
      <c r="C185" s="209" t="n"/>
      <c r="D185" s="209" t="n"/>
      <c r="E185" s="209" t="n"/>
      <c r="F185" s="209">
        <f>IF(TRIM(D185&amp;E185)="","",TRIM(D185)&amp;" "&amp;TRIM(E185))</f>
        <v/>
      </c>
      <c r="G185" s="209" t="n"/>
      <c r="H185" s="209" t="n"/>
      <c r="I185" s="209" t="n"/>
      <c r="J185" s="209" t="n"/>
      <c r="K185" s="209" t="n"/>
      <c r="L185" s="209" t="n"/>
      <c r="M185" s="209" t="n"/>
      <c r="N185" s="209" t="n"/>
      <c r="O185" s="209" t="n"/>
      <c r="P185" s="209" t="n"/>
      <c r="Q185" s="209" t="n"/>
      <c r="R185" s="209" t="n"/>
      <c r="S185" s="212" t="n"/>
      <c r="T185" s="212" t="n"/>
      <c r="U185" s="212" t="n"/>
      <c r="V185" s="212" t="n"/>
      <c r="W185" s="212" t="n"/>
      <c r="X185" s="212" t="n"/>
      <c r="Y185" s="212" t="n"/>
      <c r="Z185" s="212" t="n"/>
      <c r="AA185" s="212" t="n"/>
      <c r="AB185" s="212" t="n"/>
      <c r="AC185" s="212" t="n"/>
      <c r="AD185" s="212" t="n"/>
      <c r="AE185" s="212" t="n"/>
      <c r="AF185" s="212" t="n"/>
      <c r="AG185" s="212" t="n"/>
      <c r="AH185" s="212" t="n"/>
      <c r="AI185" s="212" t="n"/>
      <c r="AJ185" s="212" t="n"/>
      <c r="AK185" s="212" t="n"/>
      <c r="AL185" s="212" t="n"/>
      <c r="AM185" s="212" t="n"/>
      <c r="AN185" s="212" t="n"/>
      <c r="AO185" s="212" t="n"/>
      <c r="AP185" s="212" t="n"/>
      <c r="AQ185" s="212" t="n"/>
      <c r="AR185" s="212" t="n"/>
      <c r="AS185" s="212" t="n"/>
      <c r="AT185" s="212" t="n"/>
      <c r="AU185" s="212" t="n"/>
      <c r="AV185" s="212" t="n"/>
      <c r="AW185" s="212" t="n"/>
      <c r="AX185" s="212" t="n"/>
      <c r="AY185" s="212" t="n"/>
      <c r="AZ185" s="212" t="n"/>
      <c r="BA185" s="212" t="n"/>
      <c r="BB185" s="212" t="n"/>
      <c r="BC185" s="212" t="n"/>
      <c r="BD185" s="212" t="n"/>
      <c r="BE185" s="212" t="n"/>
      <c r="BF185" s="212" t="n"/>
      <c r="BG185" s="212" t="n"/>
      <c r="BH185" s="212" t="n"/>
      <c r="BI185" s="212" t="n"/>
      <c r="BJ185" s="212" t="n"/>
      <c r="BK185" s="212" t="n"/>
      <c r="BL185" s="212" t="n"/>
      <c r="BM185" s="212" t="n"/>
      <c r="BN185" s="212" t="n"/>
      <c r="BO185" s="212" t="n"/>
      <c r="BP185" s="212" t="n"/>
      <c r="BQ185" s="212" t="n"/>
      <c r="BR185" s="212" t="n"/>
      <c r="BS185" s="212" t="n"/>
      <c r="BT185" s="212" t="n"/>
      <c r="BU185" s="212" t="n"/>
      <c r="BV185" s="212" t="n"/>
      <c r="BW185" s="212" t="n"/>
      <c r="BX185" s="212" t="n"/>
      <c r="BY185" s="212" t="n"/>
      <c r="BZ185" s="212" t="n"/>
      <c r="CA185" s="212" t="n"/>
      <c r="CB185" s="212" t="n"/>
      <c r="CC185" s="212" t="n"/>
      <c r="CD185" s="212" t="n"/>
      <c r="CE185" s="212" t="n"/>
      <c r="CF185" s="212" t="n"/>
      <c r="CG185" s="212" t="n"/>
      <c r="CH185" s="212" t="n"/>
      <c r="CI185" s="212" t="n"/>
      <c r="CJ185" s="212" t="n"/>
      <c r="CK185" s="212" t="n"/>
      <c r="CL185" s="212" t="n"/>
      <c r="CM185" s="212" t="n"/>
      <c r="CN185" s="212" t="n"/>
      <c r="CO185" s="212" t="n"/>
      <c r="CP185" s="212" t="n"/>
      <c r="CQ185" s="212" t="n"/>
      <c r="CR185" s="212" t="n"/>
      <c r="CS185" s="212" t="n"/>
      <c r="CT185" s="212" t="n"/>
      <c r="CU185" s="212" t="n"/>
      <c r="CV185" s="212" t="n"/>
      <c r="CW185" s="212" t="n"/>
      <c r="CX185" s="212" t="n"/>
      <c r="CY185" s="212" t="n"/>
      <c r="CZ185" s="212" t="n"/>
      <c r="DA185" s="212" t="n"/>
      <c r="DB185" s="212" t="n"/>
      <c r="DC185" s="212" t="n"/>
      <c r="DD185" s="212" t="n"/>
      <c r="DE185" s="212" t="n"/>
      <c r="DF185" s="212" t="n"/>
      <c r="DG185" s="212" t="n"/>
      <c r="DH185" s="212" t="n"/>
      <c r="DI185" s="212" t="n"/>
      <c r="DJ185" s="212" t="n"/>
      <c r="DK185" s="212" t="n"/>
      <c r="DL185" s="212" t="n"/>
      <c r="DM185" s="212" t="n"/>
      <c r="DN185" s="212" t="n"/>
      <c r="DO185" s="212" t="n"/>
      <c r="DP185" s="212" t="n"/>
      <c r="DQ185" s="212" t="n"/>
      <c r="DR185" s="212" t="n"/>
      <c r="DS185" s="212" t="n"/>
      <c r="DT185" s="212" t="n"/>
      <c r="DU185" s="212" t="n"/>
      <c r="DV185" s="212" t="n"/>
      <c r="DW185" s="212" t="n"/>
      <c r="DX185" s="212" t="n"/>
      <c r="DY185" s="212" t="n"/>
      <c r="DZ185" s="212" t="n"/>
      <c r="EA185" s="212" t="n"/>
      <c r="EB185" s="212" t="n"/>
      <c r="EC185" s="212" t="n"/>
      <c r="ED185" s="212" t="n"/>
      <c r="EE185" s="212" t="n"/>
      <c r="EF185" s="212" t="n"/>
      <c r="EG185" s="212" t="n"/>
      <c r="EH185" s="212" t="n"/>
      <c r="EI185" s="212" t="n"/>
      <c r="EJ185" s="212" t="n"/>
      <c r="EK185" s="212" t="n"/>
      <c r="EL185" s="212" t="n"/>
      <c r="EM185" s="212" t="n"/>
      <c r="EN185" s="212" t="n"/>
      <c r="EO185" s="212" t="n"/>
      <c r="EP185" s="212" t="n"/>
      <c r="EQ185" s="212" t="n"/>
      <c r="ER185" s="212" t="n"/>
      <c r="ES185" s="212" t="n"/>
      <c r="ET185" s="212" t="n"/>
      <c r="EU185" s="212" t="n"/>
      <c r="EV185" s="212" t="n"/>
      <c r="EW185" s="212" t="n"/>
      <c r="EX185" s="212" t="n"/>
      <c r="EY185" s="212" t="n"/>
      <c r="EZ185" s="212" t="n"/>
      <c r="FA185" s="212" t="n"/>
      <c r="FB185" s="212" t="n"/>
      <c r="FC185" s="212" t="n"/>
      <c r="FD185" s="212" t="n"/>
      <c r="FE185" s="212" t="n"/>
      <c r="FF185" s="212" t="n"/>
      <c r="FG185" s="212" t="n"/>
      <c r="FH185" s="212" t="n"/>
      <c r="FI185" s="212" t="n"/>
      <c r="FJ185" s="212" t="n"/>
      <c r="FK185" s="212" t="n"/>
      <c r="FL185" s="212" t="n"/>
      <c r="FM185" s="212" t="n"/>
      <c r="FN185" s="212" t="n"/>
      <c r="FO185" s="212" t="n"/>
      <c r="FP185" s="212" t="n"/>
      <c r="FQ185" s="212" t="n"/>
      <c r="FR185" s="212" t="n"/>
      <c r="FS185" s="212" t="n"/>
      <c r="FT185" s="212" t="n"/>
      <c r="FU185" s="212" t="n"/>
      <c r="FV185" s="212" t="n"/>
      <c r="FW185" s="212" t="n"/>
      <c r="FX185" s="212" t="n"/>
      <c r="FY185" s="212" t="n"/>
      <c r="FZ185" s="212" t="n"/>
      <c r="GA185" s="212" t="n"/>
      <c r="GB185" s="212" t="n"/>
      <c r="GC185" s="212" t="n"/>
      <c r="GD185" s="212" t="n"/>
      <c r="GE185" s="212" t="n"/>
      <c r="GF185" s="212" t="n"/>
      <c r="GG185" s="212" t="n"/>
      <c r="GH185" s="212" t="n"/>
      <c r="GI185" s="212" t="n"/>
      <c r="GJ185" s="212" t="n"/>
      <c r="GK185" s="212" t="n"/>
      <c r="GL185" s="212" t="n"/>
      <c r="GM185" s="212" t="n"/>
      <c r="GN185" s="212" t="n"/>
      <c r="GO185" s="212" t="n"/>
      <c r="GP185" s="212" t="n"/>
      <c r="GQ185" s="212" t="n"/>
      <c r="GR185" s="212" t="n"/>
      <c r="GS185" s="212" t="n"/>
      <c r="GT185" s="212" t="n"/>
      <c r="GU185" s="212" t="n"/>
      <c r="GV185" s="212" t="n"/>
      <c r="GW185" s="212" t="n"/>
      <c r="GX185" s="212" t="n"/>
      <c r="GY185" s="212" t="n"/>
      <c r="GZ185" s="212" t="n"/>
      <c r="HA185" s="212" t="n"/>
      <c r="HB185" s="212" t="n"/>
      <c r="HC185" s="212" t="n"/>
      <c r="HD185" s="212" t="n"/>
      <c r="HE185" s="212" t="n"/>
      <c r="HF185" s="212" t="n"/>
      <c r="HG185" s="212" t="n"/>
      <c r="HH185" s="212" t="n"/>
      <c r="HI185" s="212" t="n"/>
      <c r="HJ185" s="212" t="n"/>
      <c r="HK185" s="212" t="n"/>
      <c r="HL185" s="212" t="n"/>
      <c r="HM185" s="212" t="n"/>
      <c r="HN185" s="212" t="n"/>
      <c r="HO185" s="212" t="n"/>
      <c r="HP185" s="212" t="n"/>
      <c r="HQ185" s="212" t="n"/>
      <c r="HR185" s="212" t="n"/>
      <c r="HS185" s="212" t="n"/>
      <c r="HT185" s="212" t="n"/>
      <c r="HU185" s="212" t="n"/>
      <c r="HV185" s="212" t="n"/>
      <c r="HW185" s="212" t="n"/>
      <c r="HX185" s="212" t="n"/>
      <c r="HY185" s="212" t="n"/>
      <c r="HZ185" s="212" t="n"/>
      <c r="IA185" s="212" t="n"/>
      <c r="IB185" s="212" t="n"/>
      <c r="IC185" s="212" t="n"/>
      <c r="ID185" s="212" t="n"/>
      <c r="IE185" s="212" t="n"/>
      <c r="IF185" s="212" t="n"/>
      <c r="IG185" s="212" t="n"/>
      <c r="IH185" s="212" t="n"/>
      <c r="II185" s="212" t="n"/>
      <c r="IJ185" s="212" t="n"/>
      <c r="IK185" s="212" t="n"/>
      <c r="IL185" s="212" t="n"/>
      <c r="IM185" s="212" t="n"/>
      <c r="IN185" s="212" t="n"/>
      <c r="IO185" s="212" t="n"/>
      <c r="IP185" s="212" t="n"/>
      <c r="IQ185" s="212" t="n"/>
      <c r="IR185" s="212" t="n"/>
      <c r="IS185" s="212" t="n"/>
      <c r="IT185" s="212" t="n"/>
      <c r="IU185" s="212" t="n"/>
      <c r="IV185" s="212" t="n"/>
      <c r="IW185" s="212" t="n"/>
      <c r="IX185" s="212" t="n"/>
      <c r="IY185" s="212" t="n"/>
      <c r="IZ185" s="212" t="n"/>
      <c r="JA185" s="212" t="n"/>
      <c r="JB185" s="212" t="n"/>
      <c r="JC185" s="212" t="n"/>
      <c r="JD185" s="212" t="n"/>
      <c r="JE185" s="212" t="n"/>
      <c r="JF185" s="212" t="n"/>
      <c r="JG185" s="212" t="n"/>
      <c r="JH185" s="212" t="n"/>
      <c r="JI185" s="212" t="n"/>
      <c r="JJ185" s="212" t="n"/>
      <c r="JK185" s="212" t="n"/>
      <c r="JL185" s="212" t="n"/>
      <c r="JM185" s="212" t="n"/>
      <c r="JN185" s="212" t="n"/>
      <c r="JO185" s="212" t="n"/>
      <c r="JP185" s="212" t="n"/>
      <c r="JQ185" s="212" t="n"/>
      <c r="JR185" s="212" t="n"/>
      <c r="JS185" s="212" t="n"/>
      <c r="JT185" s="212" t="n"/>
      <c r="JU185" s="212" t="n"/>
      <c r="JV185" s="212" t="n"/>
      <c r="JW185" s="212" t="n"/>
      <c r="JX185" s="212" t="n"/>
      <c r="JY185" s="212" t="n"/>
      <c r="JZ185" s="212" t="n"/>
      <c r="KA185" s="212" t="n"/>
      <c r="KB185" s="212" t="n"/>
      <c r="KC185" s="212" t="n"/>
      <c r="KD185" s="212" t="n"/>
      <c r="KE185" s="212" t="n"/>
      <c r="KF185" s="212" t="n"/>
      <c r="KG185" s="212" t="n"/>
      <c r="KH185" s="212" t="n"/>
      <c r="KI185" s="212" t="n"/>
      <c r="KJ185" s="212" t="n"/>
      <c r="KK185" s="212" t="n"/>
      <c r="KL185" s="212" t="n"/>
      <c r="KM185" s="212" t="n"/>
      <c r="KN185" s="212" t="n"/>
      <c r="KO185" s="212" t="n"/>
      <c r="KP185" s="212" t="n"/>
      <c r="KQ185" s="212" t="n"/>
      <c r="KR185" s="212" t="n"/>
      <c r="KS185" s="212" t="n"/>
      <c r="KT185" s="212" t="n"/>
      <c r="KU185" s="212" t="n"/>
      <c r="KV185" s="212" t="n"/>
      <c r="KW185" s="212" t="n"/>
      <c r="KX185" s="212" t="n"/>
      <c r="KY185" s="212" t="n"/>
      <c r="KZ185" s="212" t="n"/>
      <c r="LA185" s="212" t="n"/>
      <c r="LB185" s="212" t="n"/>
      <c r="LC185" s="212" t="n"/>
      <c r="LD185" s="212" t="n"/>
      <c r="LE185" s="212" t="n"/>
      <c r="LF185" s="212" t="n"/>
      <c r="LG185" s="212" t="n"/>
      <c r="LH185" s="212" t="n"/>
      <c r="LI185" s="212" t="n"/>
      <c r="LJ185" s="212" t="n"/>
      <c r="LK185" s="212" t="n"/>
      <c r="LL185" s="212" t="n"/>
      <c r="LM185" s="212" t="n"/>
      <c r="LN185" s="212" t="n"/>
      <c r="LO185" s="212" t="n"/>
      <c r="LP185" s="212" t="n"/>
      <c r="LQ185" s="212" t="n"/>
      <c r="LR185" s="212" t="n"/>
      <c r="LS185" s="212" t="n"/>
      <c r="LT185" s="212" t="n"/>
      <c r="LU185" s="212" t="n"/>
      <c r="LV185" s="212" t="n"/>
      <c r="LW185" s="212" t="n"/>
      <c r="LX185" s="212" t="n"/>
      <c r="LY185" s="212" t="n"/>
      <c r="LZ185" s="212" t="n"/>
      <c r="MA185" s="212" t="n"/>
      <c r="MB185" s="212" t="n"/>
      <c r="MC185" s="212" t="n"/>
      <c r="MD185" s="212" t="n"/>
      <c r="ME185" s="212" t="n"/>
      <c r="MF185" s="212" t="n"/>
      <c r="MG185" s="212" t="n"/>
      <c r="MH185" s="212" t="n"/>
      <c r="MI185" s="212" t="n"/>
      <c r="MJ185" s="212" t="n"/>
      <c r="MK185" s="212" t="n"/>
      <c r="ML185" s="212" t="n"/>
      <c r="MM185" s="212" t="n"/>
      <c r="MN185" s="212" t="n"/>
      <c r="MO185" s="212" t="n"/>
      <c r="MP185" s="212" t="n"/>
      <c r="MQ185" s="212" t="n"/>
      <c r="MR185" s="212" t="n"/>
      <c r="MS185" s="212" t="n"/>
      <c r="MT185" s="212" t="n"/>
      <c r="MU185" s="212" t="n"/>
      <c r="MV185" s="212" t="n"/>
      <c r="MW185" s="212" t="n"/>
      <c r="MX185" s="212" t="n"/>
      <c r="MY185" s="212" t="n"/>
      <c r="MZ185" s="212" t="n"/>
      <c r="NA185" s="212" t="n"/>
      <c r="NB185" s="212" t="n"/>
      <c r="NC185" s="212" t="n"/>
      <c r="ND185" s="212" t="n"/>
      <c r="NE185" s="212" t="n"/>
      <c r="NF185" s="212" t="n"/>
      <c r="NG185" s="212" t="n"/>
      <c r="NH185" s="212" t="n"/>
      <c r="NI185" s="212" t="n"/>
      <c r="NJ185" s="212" t="n"/>
      <c r="NK185" s="212" t="n"/>
      <c r="NL185" s="212" t="n"/>
      <c r="NM185" s="212" t="n"/>
      <c r="NN185" s="212" t="n"/>
      <c r="NO185" s="212" t="n"/>
      <c r="NP185" s="212" t="n"/>
      <c r="NQ185" s="212" t="n"/>
      <c r="NR185" s="212" t="n"/>
      <c r="NS185" s="212" t="n"/>
      <c r="NT185" s="212" t="n"/>
      <c r="NU185" s="212" t="n"/>
      <c r="NV185" s="212" t="n"/>
      <c r="NW185" s="212" t="n"/>
      <c r="NX185" s="212" t="n"/>
      <c r="NY185" s="212" t="n"/>
      <c r="NZ185" s="212" t="n"/>
      <c r="OA185" s="212" t="n"/>
      <c r="OB185" s="212" t="n"/>
      <c r="OC185" s="212" t="n"/>
      <c r="OD185" s="212" t="n"/>
      <c r="OE185" s="212" t="n"/>
      <c r="OF185" s="212" t="n"/>
      <c r="OG185" s="212" t="n"/>
      <c r="OH185" s="212" t="n"/>
      <c r="OI185" s="212" t="n"/>
      <c r="OJ185" s="212" t="n"/>
      <c r="OK185" s="212" t="n"/>
      <c r="OL185" s="212" t="n"/>
      <c r="OM185" s="212" t="n"/>
      <c r="ON185" s="212" t="n"/>
      <c r="OO185" s="212" t="n"/>
      <c r="OP185" s="212" t="n"/>
      <c r="OQ185" s="212" t="n"/>
      <c r="OR185" s="212" t="n"/>
      <c r="OS185" s="212" t="n"/>
      <c r="OT185" s="212" t="n"/>
      <c r="OU185" s="212" t="n"/>
      <c r="OV185" s="212" t="n"/>
      <c r="OW185" s="212" t="n"/>
      <c r="OX185" s="212" t="n"/>
      <c r="OY185" s="212" t="n"/>
      <c r="OZ185" s="212" t="n"/>
      <c r="PA185" s="212" t="n"/>
      <c r="PB185" s="212" t="n"/>
      <c r="PC185" s="212" t="n"/>
      <c r="PD185" s="212" t="n"/>
      <c r="PE185" s="212" t="n"/>
      <c r="PF185" s="212" t="n"/>
      <c r="PG185" s="212" t="n"/>
      <c r="PH185" s="212" t="n"/>
      <c r="PI185" s="212" t="n"/>
      <c r="PJ185" s="212" t="n"/>
      <c r="PK185" s="212" t="n"/>
      <c r="PL185" s="212" t="n"/>
      <c r="PM185" s="212" t="n"/>
      <c r="PN185" s="212" t="n"/>
      <c r="PO185" s="212" t="n"/>
      <c r="PP185" s="212" t="n"/>
      <c r="PQ185" s="212" t="n"/>
      <c r="PR185" s="212" t="n"/>
      <c r="PS185" s="212" t="n"/>
      <c r="PT185" s="212" t="n"/>
      <c r="PU185" s="212" t="n"/>
      <c r="PV185" s="212" t="n"/>
      <c r="PW185" s="212" t="n"/>
      <c r="PX185" s="212" t="n"/>
      <c r="PY185" s="212" t="n"/>
      <c r="PZ185" s="212" t="n"/>
      <c r="QA185" s="212" t="n"/>
      <c r="QB185" s="212" t="n"/>
      <c r="QC185" s="212" t="n"/>
      <c r="QD185" s="212" t="n"/>
      <c r="QE185" s="212" t="n"/>
      <c r="QF185" s="212" t="n"/>
      <c r="QG185" s="212" t="n"/>
      <c r="QH185" s="212" t="n"/>
      <c r="QI185" s="212" t="n"/>
      <c r="QJ185" s="212" t="n"/>
      <c r="QK185" s="212" t="n"/>
      <c r="QL185" s="212" t="n"/>
      <c r="QM185" s="212" t="n"/>
      <c r="QN185" s="212" t="n"/>
      <c r="QO185" s="212" t="n"/>
      <c r="QP185" s="212" t="n"/>
      <c r="QQ185" s="212" t="n"/>
      <c r="QR185" s="212" t="n"/>
      <c r="QS185" s="212" t="n"/>
      <c r="QT185" s="212" t="n"/>
      <c r="QU185" s="212" t="n"/>
      <c r="QV185" s="212" t="n"/>
      <c r="QW185" s="212" t="n"/>
      <c r="QX185" s="212" t="n"/>
      <c r="QY185" s="212" t="n"/>
      <c r="QZ185" s="212" t="n"/>
      <c r="RA185" s="212" t="n"/>
      <c r="RB185" s="212" t="n"/>
      <c r="RC185" s="212" t="n"/>
      <c r="RD185" s="212" t="n"/>
      <c r="RE185" s="212" t="n"/>
      <c r="RF185" s="212" t="n"/>
      <c r="RG185" s="212" t="n"/>
      <c r="RH185" s="212" t="n"/>
      <c r="RI185" s="212" t="n"/>
      <c r="RJ185" s="212" t="n"/>
      <c r="RK185" s="212" t="n"/>
      <c r="RL185" s="212" t="n"/>
      <c r="RM185" s="212" t="n"/>
      <c r="RN185" s="212" t="n"/>
      <c r="RO185" s="212" t="n"/>
      <c r="RP185" s="212" t="n"/>
      <c r="RQ185" s="212" t="n"/>
      <c r="RR185" s="212" t="n"/>
      <c r="RS185" s="212" t="n"/>
      <c r="RT185" s="212" t="n"/>
      <c r="RU185" s="212" t="n"/>
      <c r="RV185" s="212" t="n"/>
      <c r="RW185" s="212" t="n"/>
      <c r="RX185" s="212" t="n"/>
      <c r="RY185" s="212" t="n"/>
      <c r="RZ185" s="212" t="n"/>
      <c r="SA185" s="212" t="n"/>
      <c r="SB185" s="212" t="n"/>
      <c r="SC185" s="212" t="n"/>
      <c r="SD185" s="212" t="n"/>
      <c r="SE185" s="212" t="n"/>
      <c r="SF185" s="212" t="n"/>
      <c r="SG185" s="212" t="n"/>
      <c r="SH185" s="212" t="n"/>
      <c r="SI185" s="212" t="n"/>
      <c r="SJ185" s="212" t="n"/>
      <c r="SK185" s="212" t="n"/>
      <c r="SL185" s="212" t="n"/>
      <c r="SM185" s="212" t="n"/>
      <c r="SN185" s="212" t="n"/>
      <c r="SO185" s="212" t="n"/>
      <c r="SP185" s="212" t="n"/>
      <c r="SQ185" s="212" t="n"/>
      <c r="SR185" s="212" t="n"/>
      <c r="SS185" s="212" t="n"/>
      <c r="ST185" s="212" t="n"/>
      <c r="SU185" s="212" t="n"/>
      <c r="SV185" s="212" t="n"/>
    </row>
    <row r="186">
      <c r="B186" s="209" t="n"/>
      <c r="C186" s="209" t="n"/>
      <c r="D186" s="209" t="n"/>
      <c r="E186" s="209" t="n"/>
      <c r="F186" s="209">
        <f>IF(TRIM(D186&amp;E186)="","",TRIM(D186)&amp;" "&amp;TRIM(E186))</f>
        <v/>
      </c>
      <c r="G186" s="209" t="n"/>
      <c r="H186" s="209" t="n"/>
      <c r="I186" s="209" t="n"/>
      <c r="J186" s="209" t="n"/>
      <c r="K186" s="209" t="n"/>
      <c r="L186" s="209" t="n"/>
      <c r="M186" s="209" t="n"/>
      <c r="N186" s="209" t="n"/>
      <c r="O186" s="209" t="n"/>
      <c r="P186" s="209" t="n"/>
      <c r="Q186" s="209" t="n"/>
      <c r="R186" s="209" t="n"/>
      <c r="S186" s="212" t="n"/>
      <c r="T186" s="212" t="n"/>
      <c r="U186" s="212" t="n"/>
      <c r="V186" s="212" t="n"/>
      <c r="W186" s="212" t="n"/>
      <c r="X186" s="212" t="n"/>
      <c r="Y186" s="212" t="n"/>
      <c r="Z186" s="212" t="n"/>
      <c r="AA186" s="212" t="n"/>
      <c r="AB186" s="212" t="n"/>
      <c r="AC186" s="212" t="n"/>
      <c r="AD186" s="212" t="n"/>
      <c r="AE186" s="212" t="n"/>
      <c r="AF186" s="212" t="n"/>
      <c r="AG186" s="212" t="n"/>
      <c r="AH186" s="212" t="n"/>
      <c r="AI186" s="212" t="n"/>
      <c r="AJ186" s="212" t="n"/>
      <c r="AK186" s="212" t="n"/>
      <c r="AL186" s="212" t="n"/>
      <c r="AM186" s="212" t="n"/>
      <c r="AN186" s="212" t="n"/>
      <c r="AO186" s="212" t="n"/>
      <c r="AP186" s="212" t="n"/>
      <c r="AQ186" s="212" t="n"/>
      <c r="AR186" s="212" t="n"/>
      <c r="AS186" s="212" t="n"/>
      <c r="AT186" s="212" t="n"/>
      <c r="AU186" s="212" t="n"/>
      <c r="AV186" s="212" t="n"/>
      <c r="AW186" s="212" t="n"/>
      <c r="AX186" s="212" t="n"/>
      <c r="AY186" s="212" t="n"/>
      <c r="AZ186" s="212" t="n"/>
      <c r="BA186" s="212" t="n"/>
      <c r="BB186" s="212" t="n"/>
      <c r="BC186" s="212" t="n"/>
      <c r="BD186" s="212" t="n"/>
      <c r="BE186" s="212" t="n"/>
      <c r="BF186" s="212" t="n"/>
      <c r="BG186" s="212" t="n"/>
      <c r="BH186" s="212" t="n"/>
      <c r="BI186" s="212" t="n"/>
      <c r="BJ186" s="212" t="n"/>
      <c r="BK186" s="212" t="n"/>
      <c r="BL186" s="212" t="n"/>
      <c r="BM186" s="212" t="n"/>
      <c r="BN186" s="212" t="n"/>
      <c r="BO186" s="212" t="n"/>
      <c r="BP186" s="212" t="n"/>
      <c r="BQ186" s="212" t="n"/>
      <c r="BR186" s="212" t="n"/>
      <c r="BS186" s="212" t="n"/>
      <c r="BT186" s="212" t="n"/>
      <c r="BU186" s="212" t="n"/>
      <c r="BV186" s="212" t="n"/>
      <c r="BW186" s="212" t="n"/>
      <c r="BX186" s="212" t="n"/>
      <c r="BY186" s="212" t="n"/>
      <c r="BZ186" s="212" t="n"/>
      <c r="CA186" s="212" t="n"/>
      <c r="CB186" s="212" t="n"/>
      <c r="CC186" s="212" t="n"/>
      <c r="CD186" s="212" t="n"/>
      <c r="CE186" s="212" t="n"/>
      <c r="CF186" s="212" t="n"/>
      <c r="CG186" s="212" t="n"/>
      <c r="CH186" s="212" t="n"/>
      <c r="CI186" s="212" t="n"/>
      <c r="CJ186" s="212" t="n"/>
      <c r="CK186" s="212" t="n"/>
      <c r="CL186" s="212" t="n"/>
      <c r="CM186" s="212" t="n"/>
      <c r="CN186" s="212" t="n"/>
      <c r="CO186" s="212" t="n"/>
      <c r="CP186" s="212" t="n"/>
      <c r="CQ186" s="212" t="n"/>
      <c r="CR186" s="212" t="n"/>
      <c r="CS186" s="212" t="n"/>
      <c r="CT186" s="212" t="n"/>
      <c r="CU186" s="212" t="n"/>
      <c r="CV186" s="212" t="n"/>
      <c r="CW186" s="212" t="n"/>
      <c r="CX186" s="212" t="n"/>
      <c r="CY186" s="212" t="n"/>
      <c r="CZ186" s="212" t="n"/>
      <c r="DA186" s="212" t="n"/>
      <c r="DB186" s="212" t="n"/>
      <c r="DC186" s="212" t="n"/>
      <c r="DD186" s="212" t="n"/>
      <c r="DE186" s="212" t="n"/>
      <c r="DF186" s="212" t="n"/>
      <c r="DG186" s="212" t="n"/>
      <c r="DH186" s="212" t="n"/>
      <c r="DI186" s="212" t="n"/>
      <c r="DJ186" s="212" t="n"/>
      <c r="DK186" s="212" t="n"/>
      <c r="DL186" s="212" t="n"/>
      <c r="DM186" s="212" t="n"/>
      <c r="DN186" s="212" t="n"/>
      <c r="DO186" s="212" t="n"/>
      <c r="DP186" s="212" t="n"/>
      <c r="DQ186" s="212" t="n"/>
      <c r="DR186" s="212" t="n"/>
      <c r="DS186" s="212" t="n"/>
      <c r="DT186" s="212" t="n"/>
      <c r="DU186" s="212" t="n"/>
      <c r="DV186" s="212" t="n"/>
      <c r="DW186" s="212" t="n"/>
      <c r="DX186" s="212" t="n"/>
      <c r="DY186" s="212" t="n"/>
      <c r="DZ186" s="212" t="n"/>
      <c r="EA186" s="212" t="n"/>
      <c r="EB186" s="212" t="n"/>
      <c r="EC186" s="212" t="n"/>
      <c r="ED186" s="212" t="n"/>
      <c r="EE186" s="212" t="n"/>
      <c r="EF186" s="212" t="n"/>
      <c r="EG186" s="212" t="n"/>
      <c r="EH186" s="212" t="n"/>
      <c r="EI186" s="212" t="n"/>
      <c r="EJ186" s="212" t="n"/>
      <c r="EK186" s="212" t="n"/>
      <c r="EL186" s="212" t="n"/>
      <c r="EM186" s="212" t="n"/>
      <c r="EN186" s="212" t="n"/>
      <c r="EO186" s="212" t="n"/>
      <c r="EP186" s="212" t="n"/>
      <c r="EQ186" s="212" t="n"/>
      <c r="ER186" s="212" t="n"/>
      <c r="ES186" s="212" t="n"/>
      <c r="ET186" s="212" t="n"/>
      <c r="EU186" s="212" t="n"/>
      <c r="EV186" s="212" t="n"/>
      <c r="EW186" s="212" t="n"/>
      <c r="EX186" s="212" t="n"/>
      <c r="EY186" s="212" t="n"/>
      <c r="EZ186" s="212" t="n"/>
      <c r="FA186" s="212" t="n"/>
      <c r="FB186" s="212" t="n"/>
      <c r="FC186" s="212" t="n"/>
      <c r="FD186" s="212" t="n"/>
      <c r="FE186" s="212" t="n"/>
      <c r="FF186" s="212" t="n"/>
      <c r="FG186" s="212" t="n"/>
      <c r="FH186" s="212" t="n"/>
      <c r="FI186" s="212" t="n"/>
      <c r="FJ186" s="212" t="n"/>
      <c r="FK186" s="212" t="n"/>
      <c r="FL186" s="212" t="n"/>
      <c r="FM186" s="212" t="n"/>
      <c r="FN186" s="212" t="n"/>
      <c r="FO186" s="212" t="n"/>
      <c r="FP186" s="212" t="n"/>
      <c r="FQ186" s="212" t="n"/>
      <c r="FR186" s="212" t="n"/>
      <c r="FS186" s="212" t="n"/>
      <c r="FT186" s="212" t="n"/>
      <c r="FU186" s="212" t="n"/>
      <c r="FV186" s="212" t="n"/>
      <c r="FW186" s="212" t="n"/>
      <c r="FX186" s="212" t="n"/>
      <c r="FY186" s="212" t="n"/>
      <c r="FZ186" s="212" t="n"/>
      <c r="GA186" s="212" t="n"/>
      <c r="GB186" s="212" t="n"/>
      <c r="GC186" s="212" t="n"/>
      <c r="GD186" s="212" t="n"/>
      <c r="GE186" s="212" t="n"/>
      <c r="GF186" s="212" t="n"/>
      <c r="GG186" s="212" t="n"/>
      <c r="GH186" s="212" t="n"/>
      <c r="GI186" s="212" t="n"/>
      <c r="GJ186" s="212" t="n"/>
      <c r="GK186" s="212" t="n"/>
      <c r="GL186" s="212" t="n"/>
      <c r="GM186" s="212" t="n"/>
      <c r="GN186" s="212" t="n"/>
      <c r="GO186" s="212" t="n"/>
      <c r="GP186" s="212" t="n"/>
      <c r="GQ186" s="212" t="n"/>
      <c r="GR186" s="212" t="n"/>
      <c r="GS186" s="212" t="n"/>
      <c r="GT186" s="212" t="n"/>
      <c r="GU186" s="212" t="n"/>
      <c r="GV186" s="212" t="n"/>
      <c r="GW186" s="212" t="n"/>
      <c r="GX186" s="212" t="n"/>
      <c r="GY186" s="212" t="n"/>
      <c r="GZ186" s="212" t="n"/>
      <c r="HA186" s="212" t="n"/>
      <c r="HB186" s="212" t="n"/>
      <c r="HC186" s="212" t="n"/>
      <c r="HD186" s="212" t="n"/>
      <c r="HE186" s="212" t="n"/>
      <c r="HF186" s="212" t="n"/>
      <c r="HG186" s="212" t="n"/>
      <c r="HH186" s="212" t="n"/>
      <c r="HI186" s="212" t="n"/>
      <c r="HJ186" s="212" t="n"/>
      <c r="HK186" s="212" t="n"/>
      <c r="HL186" s="212" t="n"/>
      <c r="HM186" s="212" t="n"/>
      <c r="HN186" s="212" t="n"/>
      <c r="HO186" s="212" t="n"/>
      <c r="HP186" s="212" t="n"/>
      <c r="HQ186" s="212" t="n"/>
      <c r="HR186" s="212" t="n"/>
      <c r="HS186" s="212" t="n"/>
      <c r="HT186" s="212" t="n"/>
      <c r="HU186" s="212" t="n"/>
      <c r="HV186" s="212" t="n"/>
      <c r="HW186" s="212" t="n"/>
      <c r="HX186" s="212" t="n"/>
      <c r="HY186" s="212" t="n"/>
      <c r="HZ186" s="212" t="n"/>
      <c r="IA186" s="212" t="n"/>
      <c r="IB186" s="212" t="n"/>
      <c r="IC186" s="212" t="n"/>
      <c r="ID186" s="212" t="n"/>
      <c r="IE186" s="212" t="n"/>
      <c r="IF186" s="212" t="n"/>
      <c r="IG186" s="212" t="n"/>
      <c r="IH186" s="212" t="n"/>
      <c r="II186" s="212" t="n"/>
      <c r="IJ186" s="212" t="n"/>
      <c r="IK186" s="212" t="n"/>
      <c r="IL186" s="212" t="n"/>
      <c r="IM186" s="212" t="n"/>
      <c r="IN186" s="212" t="n"/>
      <c r="IO186" s="212" t="n"/>
      <c r="IP186" s="212" t="n"/>
      <c r="IQ186" s="212" t="n"/>
      <c r="IR186" s="212" t="n"/>
      <c r="IS186" s="212" t="n"/>
      <c r="IT186" s="212" t="n"/>
      <c r="IU186" s="212" t="n"/>
      <c r="IV186" s="212" t="n"/>
      <c r="IW186" s="212" t="n"/>
      <c r="IX186" s="212" t="n"/>
      <c r="IY186" s="212" t="n"/>
      <c r="IZ186" s="212" t="n"/>
      <c r="JA186" s="212" t="n"/>
      <c r="JB186" s="212" t="n"/>
      <c r="JC186" s="212" t="n"/>
      <c r="JD186" s="212" t="n"/>
      <c r="JE186" s="212" t="n"/>
      <c r="JF186" s="212" t="n"/>
      <c r="JG186" s="212" t="n"/>
      <c r="JH186" s="212" t="n"/>
      <c r="JI186" s="212" t="n"/>
      <c r="JJ186" s="212" t="n"/>
      <c r="JK186" s="212" t="n"/>
      <c r="JL186" s="212" t="n"/>
      <c r="JM186" s="212" t="n"/>
      <c r="JN186" s="212" t="n"/>
      <c r="JO186" s="212" t="n"/>
      <c r="JP186" s="212" t="n"/>
      <c r="JQ186" s="212" t="n"/>
      <c r="JR186" s="212" t="n"/>
      <c r="JS186" s="212" t="n"/>
      <c r="JT186" s="212" t="n"/>
      <c r="JU186" s="212" t="n"/>
      <c r="JV186" s="212" t="n"/>
      <c r="JW186" s="212" t="n"/>
      <c r="JX186" s="212" t="n"/>
      <c r="JY186" s="212" t="n"/>
      <c r="JZ186" s="212" t="n"/>
      <c r="KA186" s="212" t="n"/>
      <c r="KB186" s="212" t="n"/>
      <c r="KC186" s="212" t="n"/>
      <c r="KD186" s="212" t="n"/>
      <c r="KE186" s="212" t="n"/>
      <c r="KF186" s="212" t="n"/>
      <c r="KG186" s="212" t="n"/>
      <c r="KH186" s="212" t="n"/>
      <c r="KI186" s="212" t="n"/>
      <c r="KJ186" s="212" t="n"/>
      <c r="KK186" s="212" t="n"/>
      <c r="KL186" s="212" t="n"/>
      <c r="KM186" s="212" t="n"/>
      <c r="KN186" s="212" t="n"/>
      <c r="KO186" s="212" t="n"/>
      <c r="KP186" s="212" t="n"/>
      <c r="KQ186" s="212" t="n"/>
      <c r="KR186" s="212" t="n"/>
      <c r="KS186" s="212" t="n"/>
      <c r="KT186" s="212" t="n"/>
      <c r="KU186" s="212" t="n"/>
      <c r="KV186" s="212" t="n"/>
      <c r="KW186" s="212" t="n"/>
      <c r="KX186" s="212" t="n"/>
      <c r="KY186" s="212" t="n"/>
      <c r="KZ186" s="212" t="n"/>
      <c r="LA186" s="212" t="n"/>
      <c r="LB186" s="212" t="n"/>
      <c r="LC186" s="212" t="n"/>
      <c r="LD186" s="212" t="n"/>
      <c r="LE186" s="212" t="n"/>
      <c r="LF186" s="212" t="n"/>
      <c r="LG186" s="212" t="n"/>
      <c r="LH186" s="212" t="n"/>
      <c r="LI186" s="212" t="n"/>
      <c r="LJ186" s="212" t="n"/>
      <c r="LK186" s="212" t="n"/>
      <c r="LL186" s="212" t="n"/>
      <c r="LM186" s="212" t="n"/>
      <c r="LN186" s="212" t="n"/>
      <c r="LO186" s="212" t="n"/>
      <c r="LP186" s="212" t="n"/>
      <c r="LQ186" s="212" t="n"/>
      <c r="LR186" s="212" t="n"/>
      <c r="LS186" s="212" t="n"/>
      <c r="LT186" s="212" t="n"/>
      <c r="LU186" s="212" t="n"/>
      <c r="LV186" s="212" t="n"/>
      <c r="LW186" s="212" t="n"/>
      <c r="LX186" s="212" t="n"/>
      <c r="LY186" s="212" t="n"/>
      <c r="LZ186" s="212" t="n"/>
      <c r="MA186" s="212" t="n"/>
      <c r="MB186" s="212" t="n"/>
      <c r="MC186" s="212" t="n"/>
      <c r="MD186" s="212" t="n"/>
      <c r="ME186" s="212" t="n"/>
      <c r="MF186" s="212" t="n"/>
      <c r="MG186" s="212" t="n"/>
      <c r="MH186" s="212" t="n"/>
      <c r="MI186" s="212" t="n"/>
      <c r="MJ186" s="212" t="n"/>
      <c r="MK186" s="212" t="n"/>
      <c r="ML186" s="212" t="n"/>
      <c r="MM186" s="212" t="n"/>
      <c r="MN186" s="212" t="n"/>
      <c r="MO186" s="212" t="n"/>
      <c r="MP186" s="212" t="n"/>
      <c r="MQ186" s="212" t="n"/>
      <c r="MR186" s="212" t="n"/>
      <c r="MS186" s="212" t="n"/>
      <c r="MT186" s="212" t="n"/>
      <c r="MU186" s="212" t="n"/>
      <c r="MV186" s="212" t="n"/>
      <c r="MW186" s="212" t="n"/>
      <c r="MX186" s="212" t="n"/>
      <c r="MY186" s="212" t="n"/>
      <c r="MZ186" s="212" t="n"/>
      <c r="NA186" s="212" t="n"/>
      <c r="NB186" s="212" t="n"/>
      <c r="NC186" s="212" t="n"/>
      <c r="ND186" s="212" t="n"/>
      <c r="NE186" s="212" t="n"/>
      <c r="NF186" s="212" t="n"/>
      <c r="NG186" s="212" t="n"/>
      <c r="NH186" s="212" t="n"/>
      <c r="NI186" s="212" t="n"/>
      <c r="NJ186" s="212" t="n"/>
      <c r="NK186" s="212" t="n"/>
      <c r="NL186" s="212" t="n"/>
      <c r="NM186" s="212" t="n"/>
      <c r="NN186" s="212" t="n"/>
      <c r="NO186" s="212" t="n"/>
      <c r="NP186" s="212" t="n"/>
      <c r="NQ186" s="212" t="n"/>
      <c r="NR186" s="212" t="n"/>
      <c r="NS186" s="212" t="n"/>
      <c r="NT186" s="212" t="n"/>
      <c r="NU186" s="212" t="n"/>
      <c r="NV186" s="212" t="n"/>
      <c r="NW186" s="212" t="n"/>
      <c r="NX186" s="212" t="n"/>
      <c r="NY186" s="212" t="n"/>
      <c r="NZ186" s="212" t="n"/>
      <c r="OA186" s="212" t="n"/>
      <c r="OB186" s="212" t="n"/>
      <c r="OC186" s="212" t="n"/>
      <c r="OD186" s="212" t="n"/>
      <c r="OE186" s="212" t="n"/>
      <c r="OF186" s="212" t="n"/>
      <c r="OG186" s="212" t="n"/>
      <c r="OH186" s="212" t="n"/>
      <c r="OI186" s="212" t="n"/>
      <c r="OJ186" s="212" t="n"/>
      <c r="OK186" s="212" t="n"/>
      <c r="OL186" s="212" t="n"/>
      <c r="OM186" s="212" t="n"/>
      <c r="ON186" s="212" t="n"/>
      <c r="OO186" s="212" t="n"/>
      <c r="OP186" s="212" t="n"/>
      <c r="OQ186" s="212" t="n"/>
      <c r="OR186" s="212" t="n"/>
      <c r="OS186" s="212" t="n"/>
      <c r="OT186" s="212" t="n"/>
      <c r="OU186" s="212" t="n"/>
      <c r="OV186" s="212" t="n"/>
      <c r="OW186" s="212" t="n"/>
      <c r="OX186" s="212" t="n"/>
      <c r="OY186" s="212" t="n"/>
      <c r="OZ186" s="212" t="n"/>
      <c r="PA186" s="212" t="n"/>
      <c r="PB186" s="212" t="n"/>
      <c r="PC186" s="212" t="n"/>
      <c r="PD186" s="212" t="n"/>
      <c r="PE186" s="212" t="n"/>
      <c r="PF186" s="212" t="n"/>
      <c r="PG186" s="212" t="n"/>
      <c r="PH186" s="212" t="n"/>
      <c r="PI186" s="212" t="n"/>
      <c r="PJ186" s="212" t="n"/>
      <c r="PK186" s="212" t="n"/>
      <c r="PL186" s="212" t="n"/>
      <c r="PM186" s="212" t="n"/>
      <c r="PN186" s="212" t="n"/>
      <c r="PO186" s="212" t="n"/>
      <c r="PP186" s="212" t="n"/>
      <c r="PQ186" s="212" t="n"/>
      <c r="PR186" s="212" t="n"/>
      <c r="PS186" s="212" t="n"/>
      <c r="PT186" s="212" t="n"/>
      <c r="PU186" s="212" t="n"/>
      <c r="PV186" s="212" t="n"/>
      <c r="PW186" s="212" t="n"/>
      <c r="PX186" s="212" t="n"/>
      <c r="PY186" s="212" t="n"/>
      <c r="PZ186" s="212" t="n"/>
      <c r="QA186" s="212" t="n"/>
      <c r="QB186" s="212" t="n"/>
      <c r="QC186" s="212" t="n"/>
      <c r="QD186" s="212" t="n"/>
      <c r="QE186" s="212" t="n"/>
      <c r="QF186" s="212" t="n"/>
      <c r="QG186" s="212" t="n"/>
      <c r="QH186" s="212" t="n"/>
      <c r="QI186" s="212" t="n"/>
      <c r="QJ186" s="212" t="n"/>
      <c r="QK186" s="212" t="n"/>
      <c r="QL186" s="212" t="n"/>
      <c r="QM186" s="212" t="n"/>
      <c r="QN186" s="212" t="n"/>
      <c r="QO186" s="212" t="n"/>
      <c r="QP186" s="212" t="n"/>
      <c r="QQ186" s="212" t="n"/>
      <c r="QR186" s="212" t="n"/>
      <c r="QS186" s="212" t="n"/>
      <c r="QT186" s="212" t="n"/>
      <c r="QU186" s="212" t="n"/>
      <c r="QV186" s="212" t="n"/>
      <c r="QW186" s="212" t="n"/>
      <c r="QX186" s="212" t="n"/>
      <c r="QY186" s="212" t="n"/>
      <c r="QZ186" s="212" t="n"/>
      <c r="RA186" s="212" t="n"/>
      <c r="RB186" s="212" t="n"/>
      <c r="RC186" s="212" t="n"/>
      <c r="RD186" s="212" t="n"/>
      <c r="RE186" s="212" t="n"/>
      <c r="RF186" s="212" t="n"/>
      <c r="RG186" s="212" t="n"/>
      <c r="RH186" s="212" t="n"/>
      <c r="RI186" s="212" t="n"/>
      <c r="RJ186" s="212" t="n"/>
      <c r="RK186" s="212" t="n"/>
      <c r="RL186" s="212" t="n"/>
      <c r="RM186" s="212" t="n"/>
      <c r="RN186" s="212" t="n"/>
      <c r="RO186" s="212" t="n"/>
      <c r="RP186" s="212" t="n"/>
      <c r="RQ186" s="212" t="n"/>
      <c r="RR186" s="212" t="n"/>
      <c r="RS186" s="212" t="n"/>
      <c r="RT186" s="212" t="n"/>
      <c r="RU186" s="212" t="n"/>
      <c r="RV186" s="212" t="n"/>
      <c r="RW186" s="212" t="n"/>
      <c r="RX186" s="212" t="n"/>
      <c r="RY186" s="212" t="n"/>
      <c r="RZ186" s="212" t="n"/>
      <c r="SA186" s="212" t="n"/>
      <c r="SB186" s="212" t="n"/>
      <c r="SC186" s="212" t="n"/>
      <c r="SD186" s="212" t="n"/>
      <c r="SE186" s="212" t="n"/>
      <c r="SF186" s="212" t="n"/>
      <c r="SG186" s="212" t="n"/>
      <c r="SH186" s="212" t="n"/>
      <c r="SI186" s="212" t="n"/>
      <c r="SJ186" s="212" t="n"/>
      <c r="SK186" s="212" t="n"/>
      <c r="SL186" s="212" t="n"/>
      <c r="SM186" s="212" t="n"/>
      <c r="SN186" s="212" t="n"/>
      <c r="SO186" s="212" t="n"/>
      <c r="SP186" s="212" t="n"/>
      <c r="SQ186" s="212" t="n"/>
      <c r="SR186" s="212" t="n"/>
      <c r="SS186" s="212" t="n"/>
      <c r="ST186" s="212" t="n"/>
      <c r="SU186" s="212" t="n"/>
      <c r="SV186" s="212" t="n"/>
    </row>
    <row r="187">
      <c r="B187" s="209" t="n"/>
      <c r="C187" s="209" t="n"/>
      <c r="D187" s="209" t="n"/>
      <c r="E187" s="209" t="n"/>
      <c r="F187" s="209">
        <f>IF(TRIM(D187&amp;E187)="","",TRIM(D187)&amp;" "&amp;TRIM(E187))</f>
        <v/>
      </c>
      <c r="G187" s="209" t="n"/>
      <c r="H187" s="209" t="n"/>
      <c r="I187" s="209" t="n"/>
      <c r="J187" s="209" t="n"/>
      <c r="K187" s="209" t="n"/>
      <c r="L187" s="209" t="n"/>
      <c r="M187" s="209" t="n"/>
      <c r="N187" s="209" t="n"/>
      <c r="O187" s="209" t="n"/>
      <c r="P187" s="209" t="n"/>
      <c r="Q187" s="209" t="n"/>
      <c r="R187" s="209" t="n"/>
      <c r="S187" s="212" t="n"/>
      <c r="T187" s="212" t="n"/>
      <c r="U187" s="212" t="n"/>
      <c r="V187" s="212" t="n"/>
      <c r="W187" s="212" t="n"/>
      <c r="X187" s="212" t="n"/>
      <c r="Y187" s="212" t="n"/>
      <c r="Z187" s="212" t="n"/>
      <c r="AA187" s="212" t="n"/>
      <c r="AB187" s="212" t="n"/>
      <c r="AC187" s="212" t="n"/>
      <c r="AD187" s="212" t="n"/>
      <c r="AE187" s="212" t="n"/>
      <c r="AF187" s="212" t="n"/>
      <c r="AG187" s="212" t="n"/>
      <c r="AH187" s="212" t="n"/>
      <c r="AI187" s="212" t="n"/>
      <c r="AJ187" s="212" t="n"/>
      <c r="AK187" s="212" t="n"/>
      <c r="AL187" s="212" t="n"/>
      <c r="AM187" s="212" t="n"/>
      <c r="AN187" s="212" t="n"/>
      <c r="AO187" s="212" t="n"/>
      <c r="AP187" s="212" t="n"/>
      <c r="AQ187" s="212" t="n"/>
      <c r="AR187" s="212" t="n"/>
      <c r="AS187" s="212" t="n"/>
      <c r="AT187" s="212" t="n"/>
      <c r="AU187" s="212" t="n"/>
      <c r="AV187" s="212" t="n"/>
      <c r="AW187" s="212" t="n"/>
      <c r="AX187" s="212" t="n"/>
      <c r="AY187" s="212" t="n"/>
      <c r="AZ187" s="212" t="n"/>
      <c r="BA187" s="212" t="n"/>
      <c r="BB187" s="212" t="n"/>
      <c r="BC187" s="212" t="n"/>
      <c r="BD187" s="212" t="n"/>
      <c r="BE187" s="212" t="n"/>
      <c r="BF187" s="212" t="n"/>
      <c r="BG187" s="212" t="n"/>
      <c r="BH187" s="212" t="n"/>
      <c r="BI187" s="212" t="n"/>
      <c r="BJ187" s="212" t="n"/>
      <c r="BK187" s="212" t="n"/>
      <c r="BL187" s="212" t="n"/>
      <c r="BM187" s="212" t="n"/>
      <c r="BN187" s="212" t="n"/>
      <c r="BO187" s="212" t="n"/>
      <c r="BP187" s="212" t="n"/>
      <c r="BQ187" s="212" t="n"/>
      <c r="BR187" s="212" t="n"/>
      <c r="BS187" s="212" t="n"/>
      <c r="BT187" s="212" t="n"/>
      <c r="BU187" s="212" t="n"/>
      <c r="BV187" s="212" t="n"/>
      <c r="BW187" s="212" t="n"/>
      <c r="BX187" s="212" t="n"/>
      <c r="BY187" s="212" t="n"/>
      <c r="BZ187" s="212" t="n"/>
      <c r="CA187" s="212" t="n"/>
      <c r="CB187" s="212" t="n"/>
      <c r="CC187" s="212" t="n"/>
      <c r="CD187" s="212" t="n"/>
      <c r="CE187" s="212" t="n"/>
      <c r="CF187" s="212" t="n"/>
      <c r="CG187" s="212" t="n"/>
      <c r="CH187" s="212" t="n"/>
      <c r="CI187" s="212" t="n"/>
      <c r="CJ187" s="212" t="n"/>
      <c r="CK187" s="212" t="n"/>
      <c r="CL187" s="212" t="n"/>
      <c r="CM187" s="212" t="n"/>
      <c r="CN187" s="212" t="n"/>
      <c r="CO187" s="212" t="n"/>
      <c r="CP187" s="212" t="n"/>
      <c r="CQ187" s="212" t="n"/>
      <c r="CR187" s="212" t="n"/>
      <c r="CS187" s="212" t="n"/>
      <c r="CT187" s="212" t="n"/>
      <c r="CU187" s="212" t="n"/>
      <c r="CV187" s="212" t="n"/>
      <c r="CW187" s="212" t="n"/>
      <c r="CX187" s="212" t="n"/>
      <c r="CY187" s="212" t="n"/>
      <c r="CZ187" s="212" t="n"/>
      <c r="DA187" s="212" t="n"/>
      <c r="DB187" s="212" t="n"/>
      <c r="DC187" s="212" t="n"/>
      <c r="DD187" s="212" t="n"/>
      <c r="DE187" s="212" t="n"/>
      <c r="DF187" s="212" t="n"/>
      <c r="DG187" s="212" t="n"/>
      <c r="DH187" s="212" t="n"/>
      <c r="DI187" s="212" t="n"/>
      <c r="DJ187" s="212" t="n"/>
      <c r="DK187" s="212" t="n"/>
      <c r="DL187" s="212" t="n"/>
      <c r="DM187" s="212" t="n"/>
      <c r="DN187" s="212" t="n"/>
      <c r="DO187" s="212" t="n"/>
      <c r="DP187" s="212" t="n"/>
      <c r="DQ187" s="212" t="n"/>
      <c r="DR187" s="212" t="n"/>
      <c r="DS187" s="212" t="n"/>
      <c r="DT187" s="212" t="n"/>
      <c r="DU187" s="212" t="n"/>
      <c r="DV187" s="212" t="n"/>
      <c r="DW187" s="212" t="n"/>
      <c r="DX187" s="212" t="n"/>
      <c r="DY187" s="212" t="n"/>
      <c r="DZ187" s="212" t="n"/>
      <c r="EA187" s="212" t="n"/>
      <c r="EB187" s="212" t="n"/>
      <c r="EC187" s="212" t="n"/>
      <c r="ED187" s="212" t="n"/>
      <c r="EE187" s="212" t="n"/>
      <c r="EF187" s="212" t="n"/>
      <c r="EG187" s="212" t="n"/>
      <c r="EH187" s="212" t="n"/>
      <c r="EI187" s="212" t="n"/>
      <c r="EJ187" s="212" t="n"/>
      <c r="EK187" s="212" t="n"/>
      <c r="EL187" s="212" t="n"/>
      <c r="EM187" s="212" t="n"/>
      <c r="EN187" s="212" t="n"/>
      <c r="EO187" s="212" t="n"/>
      <c r="EP187" s="212" t="n"/>
      <c r="EQ187" s="212" t="n"/>
      <c r="ER187" s="212" t="n"/>
      <c r="ES187" s="212" t="n"/>
      <c r="ET187" s="212" t="n"/>
      <c r="EU187" s="212" t="n"/>
      <c r="EV187" s="212" t="n"/>
      <c r="EW187" s="212" t="n"/>
      <c r="EX187" s="212" t="n"/>
      <c r="EY187" s="212" t="n"/>
      <c r="EZ187" s="212" t="n"/>
      <c r="FA187" s="212" t="n"/>
      <c r="FB187" s="212" t="n"/>
      <c r="FC187" s="212" t="n"/>
      <c r="FD187" s="212" t="n"/>
      <c r="FE187" s="212" t="n"/>
      <c r="FF187" s="212" t="n"/>
      <c r="FG187" s="212" t="n"/>
      <c r="FH187" s="212" t="n"/>
      <c r="FI187" s="212" t="n"/>
      <c r="FJ187" s="212" t="n"/>
      <c r="FK187" s="212" t="n"/>
      <c r="FL187" s="212" t="n"/>
      <c r="FM187" s="212" t="n"/>
      <c r="FN187" s="212" t="n"/>
      <c r="FO187" s="212" t="n"/>
      <c r="FP187" s="212" t="n"/>
      <c r="FQ187" s="212" t="n"/>
      <c r="FR187" s="212" t="n"/>
      <c r="FS187" s="212" t="n"/>
      <c r="FT187" s="212" t="n"/>
      <c r="FU187" s="212" t="n"/>
      <c r="FV187" s="212" t="n"/>
      <c r="FW187" s="212" t="n"/>
      <c r="FX187" s="212" t="n"/>
      <c r="FY187" s="212" t="n"/>
      <c r="FZ187" s="212" t="n"/>
      <c r="GA187" s="212" t="n"/>
      <c r="GB187" s="212" t="n"/>
      <c r="GC187" s="212" t="n"/>
      <c r="GD187" s="212" t="n"/>
      <c r="GE187" s="212" t="n"/>
      <c r="GF187" s="212" t="n"/>
      <c r="GG187" s="212" t="n"/>
      <c r="GH187" s="212" t="n"/>
      <c r="GI187" s="212" t="n"/>
      <c r="GJ187" s="212" t="n"/>
      <c r="GK187" s="212" t="n"/>
      <c r="GL187" s="212" t="n"/>
      <c r="GM187" s="212" t="n"/>
      <c r="GN187" s="212" t="n"/>
      <c r="GO187" s="212" t="n"/>
      <c r="GP187" s="212" t="n"/>
      <c r="GQ187" s="212" t="n"/>
      <c r="GR187" s="212" t="n"/>
      <c r="GS187" s="212" t="n"/>
      <c r="GT187" s="212" t="n"/>
      <c r="GU187" s="212" t="n"/>
      <c r="GV187" s="212" t="n"/>
      <c r="GW187" s="212" t="n"/>
      <c r="GX187" s="212" t="n"/>
      <c r="GY187" s="212" t="n"/>
      <c r="GZ187" s="212" t="n"/>
      <c r="HA187" s="212" t="n"/>
      <c r="HB187" s="212" t="n"/>
      <c r="HC187" s="212" t="n"/>
      <c r="HD187" s="212" t="n"/>
      <c r="HE187" s="212" t="n"/>
      <c r="HF187" s="212" t="n"/>
      <c r="HG187" s="212" t="n"/>
      <c r="HH187" s="212" t="n"/>
      <c r="HI187" s="212" t="n"/>
      <c r="HJ187" s="212" t="n"/>
      <c r="HK187" s="212" t="n"/>
      <c r="HL187" s="212" t="n"/>
      <c r="HM187" s="212" t="n"/>
      <c r="HN187" s="212" t="n"/>
      <c r="HO187" s="212" t="n"/>
      <c r="HP187" s="212" t="n"/>
      <c r="HQ187" s="212" t="n"/>
      <c r="HR187" s="212" t="n"/>
      <c r="HS187" s="212" t="n"/>
      <c r="HT187" s="212" t="n"/>
      <c r="HU187" s="212" t="n"/>
      <c r="HV187" s="212" t="n"/>
      <c r="HW187" s="212" t="n"/>
      <c r="HX187" s="212" t="n"/>
      <c r="HY187" s="212" t="n"/>
      <c r="HZ187" s="212" t="n"/>
      <c r="IA187" s="212" t="n"/>
      <c r="IB187" s="212" t="n"/>
      <c r="IC187" s="212" t="n"/>
      <c r="ID187" s="212" t="n"/>
      <c r="IE187" s="212" t="n"/>
      <c r="IF187" s="212" t="n"/>
      <c r="IG187" s="212" t="n"/>
      <c r="IH187" s="212" t="n"/>
      <c r="II187" s="212" t="n"/>
      <c r="IJ187" s="212" t="n"/>
      <c r="IK187" s="212" t="n"/>
      <c r="IL187" s="212" t="n"/>
      <c r="IM187" s="212" t="n"/>
      <c r="IN187" s="212" t="n"/>
      <c r="IO187" s="212" t="n"/>
      <c r="IP187" s="212" t="n"/>
      <c r="IQ187" s="212" t="n"/>
      <c r="IR187" s="212" t="n"/>
      <c r="IS187" s="212" t="n"/>
      <c r="IT187" s="212" t="n"/>
      <c r="IU187" s="212" t="n"/>
      <c r="IV187" s="212" t="n"/>
      <c r="IW187" s="212" t="n"/>
      <c r="IX187" s="212" t="n"/>
      <c r="IY187" s="212" t="n"/>
      <c r="IZ187" s="212" t="n"/>
      <c r="JA187" s="212" t="n"/>
      <c r="JB187" s="212" t="n"/>
      <c r="JC187" s="212" t="n"/>
      <c r="JD187" s="212" t="n"/>
      <c r="JE187" s="212" t="n"/>
      <c r="JF187" s="212" t="n"/>
      <c r="JG187" s="212" t="n"/>
      <c r="JH187" s="212" t="n"/>
      <c r="JI187" s="212" t="n"/>
      <c r="JJ187" s="212" t="n"/>
      <c r="JK187" s="212" t="n"/>
      <c r="JL187" s="212" t="n"/>
      <c r="JM187" s="212" t="n"/>
      <c r="JN187" s="212" t="n"/>
      <c r="JO187" s="212" t="n"/>
      <c r="JP187" s="212" t="n"/>
      <c r="JQ187" s="212" t="n"/>
      <c r="JR187" s="212" t="n"/>
      <c r="JS187" s="212" t="n"/>
      <c r="JT187" s="212" t="n"/>
      <c r="JU187" s="212" t="n"/>
      <c r="JV187" s="212" t="n"/>
      <c r="JW187" s="212" t="n"/>
      <c r="JX187" s="212" t="n"/>
      <c r="JY187" s="212" t="n"/>
      <c r="JZ187" s="212" t="n"/>
      <c r="KA187" s="212" t="n"/>
      <c r="KB187" s="212" t="n"/>
      <c r="KC187" s="212" t="n"/>
      <c r="KD187" s="212" t="n"/>
      <c r="KE187" s="212" t="n"/>
      <c r="KF187" s="212" t="n"/>
      <c r="KG187" s="212" t="n"/>
      <c r="KH187" s="212" t="n"/>
      <c r="KI187" s="212" t="n"/>
      <c r="KJ187" s="212" t="n"/>
      <c r="KK187" s="212" t="n"/>
      <c r="KL187" s="212" t="n"/>
      <c r="KM187" s="212" t="n"/>
      <c r="KN187" s="212" t="n"/>
      <c r="KO187" s="212" t="n"/>
      <c r="KP187" s="212" t="n"/>
      <c r="KQ187" s="212" t="n"/>
      <c r="KR187" s="212" t="n"/>
      <c r="KS187" s="212" t="n"/>
      <c r="KT187" s="212" t="n"/>
      <c r="KU187" s="212" t="n"/>
      <c r="KV187" s="212" t="n"/>
      <c r="KW187" s="212" t="n"/>
      <c r="KX187" s="212" t="n"/>
      <c r="KY187" s="212" t="n"/>
      <c r="KZ187" s="212" t="n"/>
      <c r="LA187" s="212" t="n"/>
      <c r="LB187" s="212" t="n"/>
      <c r="LC187" s="212" t="n"/>
      <c r="LD187" s="212" t="n"/>
      <c r="LE187" s="212" t="n"/>
      <c r="LF187" s="212" t="n"/>
      <c r="LG187" s="212" t="n"/>
      <c r="LH187" s="212" t="n"/>
      <c r="LI187" s="212" t="n"/>
      <c r="LJ187" s="212" t="n"/>
      <c r="LK187" s="212" t="n"/>
      <c r="LL187" s="212" t="n"/>
      <c r="LM187" s="212" t="n"/>
      <c r="LN187" s="212" t="n"/>
      <c r="LO187" s="212" t="n"/>
      <c r="LP187" s="212" t="n"/>
      <c r="LQ187" s="212" t="n"/>
      <c r="LR187" s="212" t="n"/>
      <c r="LS187" s="212" t="n"/>
      <c r="LT187" s="212" t="n"/>
      <c r="LU187" s="212" t="n"/>
      <c r="LV187" s="212" t="n"/>
      <c r="LW187" s="212" t="n"/>
      <c r="LX187" s="212" t="n"/>
      <c r="LY187" s="212" t="n"/>
      <c r="LZ187" s="212" t="n"/>
      <c r="MA187" s="212" t="n"/>
      <c r="MB187" s="212" t="n"/>
      <c r="MC187" s="212" t="n"/>
      <c r="MD187" s="212" t="n"/>
      <c r="ME187" s="212" t="n"/>
      <c r="MF187" s="212" t="n"/>
      <c r="MG187" s="212" t="n"/>
      <c r="MH187" s="212" t="n"/>
      <c r="MI187" s="212" t="n"/>
      <c r="MJ187" s="212" t="n"/>
      <c r="MK187" s="212" t="n"/>
      <c r="ML187" s="212" t="n"/>
      <c r="MM187" s="212" t="n"/>
      <c r="MN187" s="212" t="n"/>
      <c r="MO187" s="212" t="n"/>
      <c r="MP187" s="212" t="n"/>
      <c r="MQ187" s="212" t="n"/>
      <c r="MR187" s="212" t="n"/>
      <c r="MS187" s="212" t="n"/>
      <c r="MT187" s="212" t="n"/>
      <c r="MU187" s="212" t="n"/>
      <c r="MV187" s="212" t="n"/>
      <c r="MW187" s="212" t="n"/>
      <c r="MX187" s="212" t="n"/>
      <c r="MY187" s="212" t="n"/>
      <c r="MZ187" s="212" t="n"/>
      <c r="NA187" s="212" t="n"/>
      <c r="NB187" s="212" t="n"/>
      <c r="NC187" s="212" t="n"/>
      <c r="ND187" s="212" t="n"/>
      <c r="NE187" s="212" t="n"/>
      <c r="NF187" s="212" t="n"/>
      <c r="NG187" s="212" t="n"/>
      <c r="NH187" s="212" t="n"/>
      <c r="NI187" s="212" t="n"/>
      <c r="NJ187" s="212" t="n"/>
      <c r="NK187" s="212" t="n"/>
      <c r="NL187" s="212" t="n"/>
      <c r="NM187" s="212" t="n"/>
      <c r="NN187" s="212" t="n"/>
      <c r="NO187" s="212" t="n"/>
      <c r="NP187" s="212" t="n"/>
      <c r="NQ187" s="212" t="n"/>
      <c r="NR187" s="212" t="n"/>
      <c r="NS187" s="212" t="n"/>
      <c r="NT187" s="212" t="n"/>
      <c r="NU187" s="212" t="n"/>
      <c r="NV187" s="212" t="n"/>
      <c r="NW187" s="212" t="n"/>
      <c r="NX187" s="212" t="n"/>
      <c r="NY187" s="212" t="n"/>
      <c r="NZ187" s="212" t="n"/>
      <c r="OA187" s="212" t="n"/>
      <c r="OB187" s="212" t="n"/>
      <c r="OC187" s="212" t="n"/>
      <c r="OD187" s="212" t="n"/>
      <c r="OE187" s="212" t="n"/>
      <c r="OF187" s="212" t="n"/>
      <c r="OG187" s="212" t="n"/>
      <c r="OH187" s="212" t="n"/>
      <c r="OI187" s="212" t="n"/>
      <c r="OJ187" s="212" t="n"/>
      <c r="OK187" s="212" t="n"/>
      <c r="OL187" s="212" t="n"/>
      <c r="OM187" s="212" t="n"/>
      <c r="ON187" s="212" t="n"/>
      <c r="OO187" s="212" t="n"/>
      <c r="OP187" s="212" t="n"/>
      <c r="OQ187" s="212" t="n"/>
      <c r="OR187" s="212" t="n"/>
      <c r="OS187" s="212" t="n"/>
      <c r="OT187" s="212" t="n"/>
      <c r="OU187" s="212" t="n"/>
      <c r="OV187" s="212" t="n"/>
      <c r="OW187" s="212" t="n"/>
      <c r="OX187" s="212" t="n"/>
      <c r="OY187" s="212" t="n"/>
      <c r="OZ187" s="212" t="n"/>
      <c r="PA187" s="212" t="n"/>
      <c r="PB187" s="212" t="n"/>
      <c r="PC187" s="212" t="n"/>
      <c r="PD187" s="212" t="n"/>
      <c r="PE187" s="212" t="n"/>
      <c r="PF187" s="212" t="n"/>
      <c r="PG187" s="212" t="n"/>
      <c r="PH187" s="212" t="n"/>
      <c r="PI187" s="212" t="n"/>
      <c r="PJ187" s="212" t="n"/>
      <c r="PK187" s="212" t="n"/>
      <c r="PL187" s="212" t="n"/>
      <c r="PM187" s="212" t="n"/>
      <c r="PN187" s="212" t="n"/>
      <c r="PO187" s="212" t="n"/>
      <c r="PP187" s="212" t="n"/>
      <c r="PQ187" s="212" t="n"/>
      <c r="PR187" s="212" t="n"/>
      <c r="PS187" s="212" t="n"/>
      <c r="PT187" s="212" t="n"/>
      <c r="PU187" s="212" t="n"/>
      <c r="PV187" s="212" t="n"/>
      <c r="PW187" s="212" t="n"/>
      <c r="PX187" s="212" t="n"/>
      <c r="PY187" s="212" t="n"/>
      <c r="PZ187" s="212" t="n"/>
      <c r="QA187" s="212" t="n"/>
      <c r="QB187" s="212" t="n"/>
      <c r="QC187" s="212" t="n"/>
      <c r="QD187" s="212" t="n"/>
      <c r="QE187" s="212" t="n"/>
      <c r="QF187" s="212" t="n"/>
      <c r="QG187" s="212" t="n"/>
      <c r="QH187" s="212" t="n"/>
      <c r="QI187" s="212" t="n"/>
      <c r="QJ187" s="212" t="n"/>
      <c r="QK187" s="212" t="n"/>
      <c r="QL187" s="212" t="n"/>
      <c r="QM187" s="212" t="n"/>
      <c r="QN187" s="212" t="n"/>
      <c r="QO187" s="212" t="n"/>
      <c r="QP187" s="212" t="n"/>
      <c r="QQ187" s="212" t="n"/>
      <c r="QR187" s="212" t="n"/>
      <c r="QS187" s="212" t="n"/>
      <c r="QT187" s="212" t="n"/>
      <c r="QU187" s="212" t="n"/>
      <c r="QV187" s="212" t="n"/>
      <c r="QW187" s="212" t="n"/>
      <c r="QX187" s="212" t="n"/>
      <c r="QY187" s="212" t="n"/>
      <c r="QZ187" s="212" t="n"/>
      <c r="RA187" s="212" t="n"/>
      <c r="RB187" s="212" t="n"/>
      <c r="RC187" s="212" t="n"/>
      <c r="RD187" s="212" t="n"/>
      <c r="RE187" s="212" t="n"/>
      <c r="RF187" s="212" t="n"/>
      <c r="RG187" s="212" t="n"/>
      <c r="RH187" s="212" t="n"/>
      <c r="RI187" s="212" t="n"/>
      <c r="RJ187" s="212" t="n"/>
      <c r="RK187" s="212" t="n"/>
      <c r="RL187" s="212" t="n"/>
      <c r="RM187" s="212" t="n"/>
      <c r="RN187" s="212" t="n"/>
      <c r="RO187" s="212" t="n"/>
      <c r="RP187" s="212" t="n"/>
      <c r="RQ187" s="212" t="n"/>
      <c r="RR187" s="212" t="n"/>
      <c r="RS187" s="212" t="n"/>
      <c r="RT187" s="212" t="n"/>
      <c r="RU187" s="212" t="n"/>
      <c r="RV187" s="212" t="n"/>
      <c r="RW187" s="212" t="n"/>
      <c r="RX187" s="212" t="n"/>
      <c r="RY187" s="212" t="n"/>
      <c r="RZ187" s="212" t="n"/>
      <c r="SA187" s="212" t="n"/>
      <c r="SB187" s="212" t="n"/>
      <c r="SC187" s="212" t="n"/>
      <c r="SD187" s="212" t="n"/>
      <c r="SE187" s="212" t="n"/>
      <c r="SF187" s="212" t="n"/>
      <c r="SG187" s="212" t="n"/>
      <c r="SH187" s="212" t="n"/>
      <c r="SI187" s="212" t="n"/>
      <c r="SJ187" s="212" t="n"/>
      <c r="SK187" s="212" t="n"/>
      <c r="SL187" s="212" t="n"/>
      <c r="SM187" s="212" t="n"/>
      <c r="SN187" s="212" t="n"/>
      <c r="SO187" s="212" t="n"/>
      <c r="SP187" s="212" t="n"/>
      <c r="SQ187" s="212" t="n"/>
      <c r="SR187" s="212" t="n"/>
      <c r="SS187" s="212" t="n"/>
      <c r="ST187" s="212" t="n"/>
      <c r="SU187" s="212" t="n"/>
      <c r="SV187" s="212" t="n"/>
    </row>
    <row r="188">
      <c r="B188" s="209" t="n"/>
      <c r="C188" s="209" t="n"/>
      <c r="D188" s="209" t="n"/>
      <c r="E188" s="209" t="n"/>
      <c r="F188" s="209">
        <f>IF(TRIM(D188&amp;E188)="","",TRIM(D188)&amp;" "&amp;TRIM(E188))</f>
        <v/>
      </c>
      <c r="G188" s="209" t="n"/>
      <c r="H188" s="209" t="n"/>
      <c r="I188" s="209" t="n"/>
      <c r="J188" s="209" t="n"/>
      <c r="K188" s="209" t="n"/>
      <c r="L188" s="209" t="n"/>
      <c r="M188" s="209" t="n"/>
      <c r="N188" s="209" t="n"/>
      <c r="O188" s="209" t="n"/>
      <c r="P188" s="209" t="n"/>
      <c r="Q188" s="209" t="n"/>
      <c r="R188" s="209" t="n"/>
      <c r="S188" s="212" t="n"/>
      <c r="T188" s="212" t="n"/>
      <c r="U188" s="212" t="n"/>
      <c r="V188" s="212" t="n"/>
      <c r="W188" s="212" t="n"/>
      <c r="X188" s="212" t="n"/>
      <c r="Y188" s="212" t="n"/>
      <c r="Z188" s="212" t="n"/>
      <c r="AA188" s="212" t="n"/>
      <c r="AB188" s="212" t="n"/>
      <c r="AC188" s="212" t="n"/>
      <c r="AD188" s="212" t="n"/>
      <c r="AE188" s="212" t="n"/>
      <c r="AF188" s="212" t="n"/>
      <c r="AG188" s="212" t="n"/>
      <c r="AH188" s="212" t="n"/>
      <c r="AI188" s="212" t="n"/>
      <c r="AJ188" s="212" t="n"/>
      <c r="AK188" s="212" t="n"/>
      <c r="AL188" s="212" t="n"/>
      <c r="AM188" s="212" t="n"/>
      <c r="AN188" s="212" t="n"/>
      <c r="AO188" s="212" t="n"/>
      <c r="AP188" s="212" t="n"/>
      <c r="AQ188" s="212" t="n"/>
      <c r="AR188" s="212" t="n"/>
      <c r="AS188" s="212" t="n"/>
      <c r="AT188" s="212" t="n"/>
      <c r="AU188" s="212" t="n"/>
      <c r="AV188" s="212" t="n"/>
      <c r="AW188" s="212" t="n"/>
      <c r="AX188" s="212" t="n"/>
      <c r="AY188" s="212" t="n"/>
      <c r="AZ188" s="212" t="n"/>
      <c r="BA188" s="212" t="n"/>
      <c r="BB188" s="212" t="n"/>
      <c r="BC188" s="212" t="n"/>
      <c r="BD188" s="212" t="n"/>
      <c r="BE188" s="212" t="n"/>
      <c r="BF188" s="212" t="n"/>
      <c r="BG188" s="212" t="n"/>
      <c r="BH188" s="212" t="n"/>
      <c r="BI188" s="212" t="n"/>
      <c r="BJ188" s="212" t="n"/>
      <c r="BK188" s="212" t="n"/>
      <c r="BL188" s="212" t="n"/>
      <c r="BM188" s="212" t="n"/>
      <c r="BN188" s="212" t="n"/>
      <c r="BO188" s="212" t="n"/>
      <c r="BP188" s="212" t="n"/>
      <c r="BQ188" s="212" t="n"/>
      <c r="BR188" s="212" t="n"/>
      <c r="BS188" s="212" t="n"/>
      <c r="BT188" s="212" t="n"/>
      <c r="BU188" s="212" t="n"/>
      <c r="BV188" s="212" t="n"/>
      <c r="BW188" s="212" t="n"/>
      <c r="BX188" s="212" t="n"/>
      <c r="BY188" s="212" t="n"/>
      <c r="BZ188" s="212" t="n"/>
      <c r="CA188" s="212" t="n"/>
      <c r="CB188" s="212" t="n"/>
      <c r="CC188" s="212" t="n"/>
      <c r="CD188" s="212" t="n"/>
      <c r="CE188" s="212" t="n"/>
      <c r="CF188" s="212" t="n"/>
      <c r="CG188" s="212" t="n"/>
      <c r="CH188" s="212" t="n"/>
      <c r="CI188" s="212" t="n"/>
      <c r="CJ188" s="212" t="n"/>
      <c r="CK188" s="212" t="n"/>
      <c r="CL188" s="212" t="n"/>
      <c r="CM188" s="212" t="n"/>
      <c r="CN188" s="212" t="n"/>
      <c r="CO188" s="212" t="n"/>
      <c r="CP188" s="212" t="n"/>
      <c r="CQ188" s="212" t="n"/>
      <c r="CR188" s="212" t="n"/>
      <c r="CS188" s="212" t="n"/>
      <c r="CT188" s="212" t="n"/>
      <c r="CU188" s="212" t="n"/>
      <c r="CV188" s="212" t="n"/>
      <c r="CW188" s="212" t="n"/>
      <c r="CX188" s="212" t="n"/>
      <c r="CY188" s="212" t="n"/>
      <c r="CZ188" s="212" t="n"/>
      <c r="DA188" s="212" t="n"/>
      <c r="DB188" s="212" t="n"/>
      <c r="DC188" s="212" t="n"/>
      <c r="DD188" s="212" t="n"/>
      <c r="DE188" s="212" t="n"/>
      <c r="DF188" s="212" t="n"/>
      <c r="DG188" s="212" t="n"/>
      <c r="DH188" s="212" t="n"/>
      <c r="DI188" s="212" t="n"/>
      <c r="DJ188" s="212" t="n"/>
      <c r="DK188" s="212" t="n"/>
      <c r="DL188" s="212" t="n"/>
      <c r="DM188" s="212" t="n"/>
      <c r="DN188" s="212" t="n"/>
      <c r="DO188" s="212" t="n"/>
      <c r="DP188" s="212" t="n"/>
      <c r="DQ188" s="212" t="n"/>
      <c r="DR188" s="212" t="n"/>
      <c r="DS188" s="212" t="n"/>
      <c r="DT188" s="212" t="n"/>
      <c r="DU188" s="212" t="n"/>
      <c r="DV188" s="212" t="n"/>
      <c r="DW188" s="212" t="n"/>
      <c r="DX188" s="212" t="n"/>
      <c r="DY188" s="212" t="n"/>
      <c r="DZ188" s="212" t="n"/>
      <c r="EA188" s="212" t="n"/>
      <c r="EB188" s="212" t="n"/>
      <c r="EC188" s="212" t="n"/>
      <c r="ED188" s="212" t="n"/>
      <c r="EE188" s="212" t="n"/>
      <c r="EF188" s="212" t="n"/>
      <c r="EG188" s="212" t="n"/>
      <c r="EH188" s="212" t="n"/>
      <c r="EI188" s="212" t="n"/>
      <c r="EJ188" s="212" t="n"/>
      <c r="EK188" s="212" t="n"/>
      <c r="EL188" s="212" t="n"/>
      <c r="EM188" s="212" t="n"/>
      <c r="EN188" s="212" t="n"/>
      <c r="EO188" s="212" t="n"/>
      <c r="EP188" s="212" t="n"/>
      <c r="EQ188" s="212" t="n"/>
      <c r="ER188" s="212" t="n"/>
      <c r="ES188" s="212" t="n"/>
      <c r="ET188" s="212" t="n"/>
      <c r="EU188" s="212" t="n"/>
      <c r="EV188" s="212" t="n"/>
      <c r="EW188" s="212" t="n"/>
      <c r="EX188" s="212" t="n"/>
      <c r="EY188" s="212" t="n"/>
      <c r="EZ188" s="212" t="n"/>
      <c r="FA188" s="212" t="n"/>
      <c r="FB188" s="212" t="n"/>
      <c r="FC188" s="212" t="n"/>
      <c r="FD188" s="212" t="n"/>
      <c r="FE188" s="212" t="n"/>
      <c r="FF188" s="212" t="n"/>
      <c r="FG188" s="212" t="n"/>
      <c r="FH188" s="212" t="n"/>
      <c r="FI188" s="212" t="n"/>
      <c r="FJ188" s="212" t="n"/>
      <c r="FK188" s="212" t="n"/>
      <c r="FL188" s="212" t="n"/>
      <c r="FM188" s="212" t="n"/>
      <c r="FN188" s="212" t="n"/>
      <c r="FO188" s="212" t="n"/>
      <c r="FP188" s="212" t="n"/>
      <c r="FQ188" s="212" t="n"/>
      <c r="FR188" s="212" t="n"/>
      <c r="FS188" s="212" t="n"/>
      <c r="FT188" s="212" t="n"/>
      <c r="FU188" s="212" t="n"/>
      <c r="FV188" s="212" t="n"/>
      <c r="FW188" s="212" t="n"/>
      <c r="FX188" s="212" t="n"/>
      <c r="FY188" s="212" t="n"/>
      <c r="FZ188" s="212" t="n"/>
      <c r="GA188" s="212" t="n"/>
      <c r="GB188" s="212" t="n"/>
      <c r="GC188" s="212" t="n"/>
      <c r="GD188" s="212" t="n"/>
      <c r="GE188" s="212" t="n"/>
      <c r="GF188" s="212" t="n"/>
      <c r="GG188" s="212" t="n"/>
      <c r="GH188" s="212" t="n"/>
      <c r="GI188" s="212" t="n"/>
      <c r="GJ188" s="212" t="n"/>
      <c r="GK188" s="212" t="n"/>
      <c r="GL188" s="212" t="n"/>
      <c r="GM188" s="212" t="n"/>
      <c r="GN188" s="212" t="n"/>
      <c r="GO188" s="212" t="n"/>
      <c r="GP188" s="212" t="n"/>
      <c r="GQ188" s="212" t="n"/>
      <c r="GR188" s="212" t="n"/>
      <c r="GS188" s="212" t="n"/>
      <c r="GT188" s="212" t="n"/>
      <c r="GU188" s="212" t="n"/>
      <c r="GV188" s="212" t="n"/>
      <c r="GW188" s="212" t="n"/>
      <c r="GX188" s="212" t="n"/>
      <c r="GY188" s="212" t="n"/>
      <c r="GZ188" s="212" t="n"/>
      <c r="HA188" s="212" t="n"/>
      <c r="HB188" s="212" t="n"/>
      <c r="HC188" s="212" t="n"/>
      <c r="HD188" s="212" t="n"/>
      <c r="HE188" s="212" t="n"/>
      <c r="HF188" s="212" t="n"/>
      <c r="HG188" s="212" t="n"/>
      <c r="HH188" s="212" t="n"/>
      <c r="HI188" s="212" t="n"/>
      <c r="HJ188" s="212" t="n"/>
      <c r="HK188" s="212" t="n"/>
      <c r="HL188" s="212" t="n"/>
      <c r="HM188" s="212" t="n"/>
      <c r="HN188" s="212" t="n"/>
      <c r="HO188" s="212" t="n"/>
      <c r="HP188" s="212" t="n"/>
      <c r="HQ188" s="212" t="n"/>
      <c r="HR188" s="212" t="n"/>
      <c r="HS188" s="212" t="n"/>
      <c r="HT188" s="212" t="n"/>
      <c r="HU188" s="212" t="n"/>
      <c r="HV188" s="212" t="n"/>
      <c r="HW188" s="212" t="n"/>
      <c r="HX188" s="212" t="n"/>
      <c r="HY188" s="212" t="n"/>
      <c r="HZ188" s="212" t="n"/>
      <c r="IA188" s="212" t="n"/>
      <c r="IB188" s="212" t="n"/>
      <c r="IC188" s="212" t="n"/>
      <c r="ID188" s="212" t="n"/>
      <c r="IE188" s="212" t="n"/>
      <c r="IF188" s="212" t="n"/>
      <c r="IG188" s="212" t="n"/>
      <c r="IH188" s="212" t="n"/>
      <c r="II188" s="212" t="n"/>
      <c r="IJ188" s="212" t="n"/>
      <c r="IK188" s="212" t="n"/>
      <c r="IL188" s="212" t="n"/>
      <c r="IM188" s="212" t="n"/>
      <c r="IN188" s="212" t="n"/>
      <c r="IO188" s="212" t="n"/>
      <c r="IP188" s="212" t="n"/>
      <c r="IQ188" s="212" t="n"/>
      <c r="IR188" s="212" t="n"/>
      <c r="IS188" s="212" t="n"/>
      <c r="IT188" s="212" t="n"/>
      <c r="IU188" s="212" t="n"/>
      <c r="IV188" s="212" t="n"/>
      <c r="IW188" s="212" t="n"/>
      <c r="IX188" s="212" t="n"/>
      <c r="IY188" s="212" t="n"/>
      <c r="IZ188" s="212" t="n"/>
      <c r="JA188" s="212" t="n"/>
      <c r="JB188" s="212" t="n"/>
      <c r="JC188" s="212" t="n"/>
      <c r="JD188" s="212" t="n"/>
      <c r="JE188" s="212" t="n"/>
      <c r="JF188" s="212" t="n"/>
      <c r="JG188" s="212" t="n"/>
      <c r="JH188" s="212" t="n"/>
      <c r="JI188" s="212" t="n"/>
      <c r="JJ188" s="212" t="n"/>
      <c r="JK188" s="212" t="n"/>
      <c r="JL188" s="212" t="n"/>
      <c r="JM188" s="212" t="n"/>
      <c r="JN188" s="212" t="n"/>
      <c r="JO188" s="212" t="n"/>
      <c r="JP188" s="212" t="n"/>
      <c r="JQ188" s="212" t="n"/>
      <c r="JR188" s="212" t="n"/>
      <c r="JS188" s="212" t="n"/>
      <c r="JT188" s="212" t="n"/>
      <c r="JU188" s="212" t="n"/>
      <c r="JV188" s="212" t="n"/>
      <c r="JW188" s="212" t="n"/>
      <c r="JX188" s="212" t="n"/>
      <c r="JY188" s="212" t="n"/>
      <c r="JZ188" s="212" t="n"/>
      <c r="KA188" s="212" t="n"/>
      <c r="KB188" s="212" t="n"/>
      <c r="KC188" s="212" t="n"/>
      <c r="KD188" s="212" t="n"/>
      <c r="KE188" s="212" t="n"/>
      <c r="KF188" s="212" t="n"/>
      <c r="KG188" s="212" t="n"/>
      <c r="KH188" s="212" t="n"/>
      <c r="KI188" s="212" t="n"/>
      <c r="KJ188" s="212" t="n"/>
      <c r="KK188" s="212" t="n"/>
      <c r="KL188" s="212" t="n"/>
      <c r="KM188" s="212" t="n"/>
      <c r="KN188" s="212" t="n"/>
      <c r="KO188" s="212" t="n"/>
      <c r="KP188" s="212" t="n"/>
      <c r="KQ188" s="212" t="n"/>
      <c r="KR188" s="212" t="n"/>
      <c r="KS188" s="212" t="n"/>
      <c r="KT188" s="212" t="n"/>
      <c r="KU188" s="212" t="n"/>
      <c r="KV188" s="212" t="n"/>
      <c r="KW188" s="212" t="n"/>
      <c r="KX188" s="212" t="n"/>
      <c r="KY188" s="212" t="n"/>
      <c r="KZ188" s="212" t="n"/>
      <c r="LA188" s="212" t="n"/>
      <c r="LB188" s="212" t="n"/>
      <c r="LC188" s="212" t="n"/>
      <c r="LD188" s="212" t="n"/>
      <c r="LE188" s="212" t="n"/>
      <c r="LF188" s="212" t="n"/>
      <c r="LG188" s="212" t="n"/>
      <c r="LH188" s="212" t="n"/>
      <c r="LI188" s="212" t="n"/>
      <c r="LJ188" s="212" t="n"/>
      <c r="LK188" s="212" t="n"/>
      <c r="LL188" s="212" t="n"/>
      <c r="LM188" s="212" t="n"/>
      <c r="LN188" s="212" t="n"/>
      <c r="LO188" s="212" t="n"/>
      <c r="LP188" s="212" t="n"/>
      <c r="LQ188" s="212" t="n"/>
      <c r="LR188" s="212" t="n"/>
      <c r="LS188" s="212" t="n"/>
      <c r="LT188" s="212" t="n"/>
      <c r="LU188" s="212" t="n"/>
      <c r="LV188" s="212" t="n"/>
      <c r="LW188" s="212" t="n"/>
      <c r="LX188" s="212" t="n"/>
      <c r="LY188" s="212" t="n"/>
      <c r="LZ188" s="212" t="n"/>
      <c r="MA188" s="212" t="n"/>
      <c r="MB188" s="212" t="n"/>
      <c r="MC188" s="212" t="n"/>
      <c r="MD188" s="212" t="n"/>
      <c r="ME188" s="212" t="n"/>
      <c r="MF188" s="212" t="n"/>
      <c r="MG188" s="212" t="n"/>
      <c r="MH188" s="212" t="n"/>
      <c r="MI188" s="212" t="n"/>
      <c r="MJ188" s="212" t="n"/>
      <c r="MK188" s="212" t="n"/>
      <c r="ML188" s="212" t="n"/>
      <c r="MM188" s="212" t="n"/>
      <c r="MN188" s="212" t="n"/>
      <c r="MO188" s="212" t="n"/>
      <c r="MP188" s="212" t="n"/>
      <c r="MQ188" s="212" t="n"/>
      <c r="MR188" s="212" t="n"/>
      <c r="MS188" s="212" t="n"/>
      <c r="MT188" s="212" t="n"/>
      <c r="MU188" s="212" t="n"/>
      <c r="MV188" s="212" t="n"/>
      <c r="MW188" s="212" t="n"/>
      <c r="MX188" s="212" t="n"/>
      <c r="MY188" s="212" t="n"/>
      <c r="MZ188" s="212" t="n"/>
      <c r="NA188" s="212" t="n"/>
      <c r="NB188" s="212" t="n"/>
      <c r="NC188" s="212" t="n"/>
      <c r="ND188" s="212" t="n"/>
      <c r="NE188" s="212" t="n"/>
      <c r="NF188" s="212" t="n"/>
      <c r="NG188" s="212" t="n"/>
      <c r="NH188" s="212" t="n"/>
      <c r="NI188" s="212" t="n"/>
      <c r="NJ188" s="212" t="n"/>
      <c r="NK188" s="212" t="n"/>
      <c r="NL188" s="212" t="n"/>
      <c r="NM188" s="212" t="n"/>
      <c r="NN188" s="212" t="n"/>
      <c r="NO188" s="212" t="n"/>
      <c r="NP188" s="212" t="n"/>
      <c r="NQ188" s="212" t="n"/>
      <c r="NR188" s="212" t="n"/>
      <c r="NS188" s="212" t="n"/>
      <c r="NT188" s="212" t="n"/>
      <c r="NU188" s="212" t="n"/>
      <c r="NV188" s="212" t="n"/>
      <c r="NW188" s="212" t="n"/>
      <c r="NX188" s="212" t="n"/>
      <c r="NY188" s="212" t="n"/>
      <c r="NZ188" s="212" t="n"/>
      <c r="OA188" s="212" t="n"/>
      <c r="OB188" s="212" t="n"/>
      <c r="OC188" s="212" t="n"/>
      <c r="OD188" s="212" t="n"/>
      <c r="OE188" s="212" t="n"/>
      <c r="OF188" s="212" t="n"/>
      <c r="OG188" s="212" t="n"/>
      <c r="OH188" s="212" t="n"/>
      <c r="OI188" s="212" t="n"/>
      <c r="OJ188" s="212" t="n"/>
      <c r="OK188" s="212" t="n"/>
      <c r="OL188" s="212" t="n"/>
      <c r="OM188" s="212" t="n"/>
      <c r="ON188" s="212" t="n"/>
      <c r="OO188" s="212" t="n"/>
      <c r="OP188" s="212" t="n"/>
      <c r="OQ188" s="212" t="n"/>
      <c r="OR188" s="212" t="n"/>
      <c r="OS188" s="212" t="n"/>
      <c r="OT188" s="212" t="n"/>
      <c r="OU188" s="212" t="n"/>
      <c r="OV188" s="212" t="n"/>
      <c r="OW188" s="212" t="n"/>
      <c r="OX188" s="212" t="n"/>
      <c r="OY188" s="212" t="n"/>
      <c r="OZ188" s="212" t="n"/>
      <c r="PA188" s="212" t="n"/>
      <c r="PB188" s="212" t="n"/>
      <c r="PC188" s="212" t="n"/>
      <c r="PD188" s="212" t="n"/>
      <c r="PE188" s="212" t="n"/>
      <c r="PF188" s="212" t="n"/>
      <c r="PG188" s="212" t="n"/>
      <c r="PH188" s="212" t="n"/>
      <c r="PI188" s="212" t="n"/>
      <c r="PJ188" s="212" t="n"/>
      <c r="PK188" s="212" t="n"/>
      <c r="PL188" s="212" t="n"/>
      <c r="PM188" s="212" t="n"/>
      <c r="PN188" s="212" t="n"/>
      <c r="PO188" s="212" t="n"/>
      <c r="PP188" s="212" t="n"/>
      <c r="PQ188" s="212" t="n"/>
      <c r="PR188" s="212" t="n"/>
      <c r="PS188" s="212" t="n"/>
      <c r="PT188" s="212" t="n"/>
      <c r="PU188" s="212" t="n"/>
      <c r="PV188" s="212" t="n"/>
      <c r="PW188" s="212" t="n"/>
      <c r="PX188" s="212" t="n"/>
      <c r="PY188" s="212" t="n"/>
      <c r="PZ188" s="212" t="n"/>
      <c r="QA188" s="212" t="n"/>
      <c r="QB188" s="212" t="n"/>
      <c r="QC188" s="212" t="n"/>
      <c r="QD188" s="212" t="n"/>
      <c r="QE188" s="212" t="n"/>
      <c r="QF188" s="212" t="n"/>
      <c r="QG188" s="212" t="n"/>
      <c r="QH188" s="212" t="n"/>
      <c r="QI188" s="212" t="n"/>
      <c r="QJ188" s="212" t="n"/>
      <c r="QK188" s="212" t="n"/>
      <c r="QL188" s="212" t="n"/>
      <c r="QM188" s="212" t="n"/>
      <c r="QN188" s="212" t="n"/>
      <c r="QO188" s="212" t="n"/>
      <c r="QP188" s="212" t="n"/>
      <c r="QQ188" s="212" t="n"/>
      <c r="QR188" s="212" t="n"/>
      <c r="QS188" s="212" t="n"/>
      <c r="QT188" s="212" t="n"/>
      <c r="QU188" s="212" t="n"/>
      <c r="QV188" s="212" t="n"/>
      <c r="QW188" s="212" t="n"/>
      <c r="QX188" s="212" t="n"/>
      <c r="QY188" s="212" t="n"/>
      <c r="QZ188" s="212" t="n"/>
      <c r="RA188" s="212" t="n"/>
      <c r="RB188" s="212" t="n"/>
      <c r="RC188" s="212" t="n"/>
      <c r="RD188" s="212" t="n"/>
      <c r="RE188" s="212" t="n"/>
      <c r="RF188" s="212" t="n"/>
      <c r="RG188" s="212" t="n"/>
      <c r="RH188" s="212" t="n"/>
      <c r="RI188" s="212" t="n"/>
      <c r="RJ188" s="212" t="n"/>
      <c r="RK188" s="212" t="n"/>
      <c r="RL188" s="212" t="n"/>
      <c r="RM188" s="212" t="n"/>
      <c r="RN188" s="212" t="n"/>
      <c r="RO188" s="212" t="n"/>
      <c r="RP188" s="212" t="n"/>
      <c r="RQ188" s="212" t="n"/>
      <c r="RR188" s="212" t="n"/>
      <c r="RS188" s="212" t="n"/>
      <c r="RT188" s="212" t="n"/>
      <c r="RU188" s="212" t="n"/>
      <c r="RV188" s="212" t="n"/>
      <c r="RW188" s="212" t="n"/>
      <c r="RX188" s="212" t="n"/>
      <c r="RY188" s="212" t="n"/>
      <c r="RZ188" s="212" t="n"/>
      <c r="SA188" s="212" t="n"/>
      <c r="SB188" s="212" t="n"/>
      <c r="SC188" s="212" t="n"/>
      <c r="SD188" s="212" t="n"/>
      <c r="SE188" s="212" t="n"/>
      <c r="SF188" s="212" t="n"/>
      <c r="SG188" s="212" t="n"/>
      <c r="SH188" s="212" t="n"/>
      <c r="SI188" s="212" t="n"/>
      <c r="SJ188" s="212" t="n"/>
      <c r="SK188" s="212" t="n"/>
      <c r="SL188" s="212" t="n"/>
      <c r="SM188" s="212" t="n"/>
      <c r="SN188" s="212" t="n"/>
      <c r="SO188" s="212" t="n"/>
      <c r="SP188" s="212" t="n"/>
      <c r="SQ188" s="212" t="n"/>
      <c r="SR188" s="212" t="n"/>
      <c r="SS188" s="212" t="n"/>
      <c r="ST188" s="212" t="n"/>
      <c r="SU188" s="212" t="n"/>
      <c r="SV188" s="212" t="n"/>
    </row>
    <row r="189">
      <c r="B189" s="209" t="n"/>
      <c r="C189" s="209" t="n"/>
      <c r="D189" s="209" t="n"/>
      <c r="E189" s="209" t="n"/>
      <c r="F189" s="209">
        <f>IF(TRIM(D189&amp;E189)="","",TRIM(D189)&amp;" "&amp;TRIM(E189))</f>
        <v/>
      </c>
      <c r="G189" s="209" t="n"/>
      <c r="H189" s="209" t="n"/>
      <c r="I189" s="209" t="n"/>
      <c r="J189" s="209" t="n"/>
      <c r="K189" s="209" t="n"/>
      <c r="L189" s="209" t="n"/>
      <c r="M189" s="209" t="n"/>
      <c r="N189" s="209" t="n"/>
      <c r="O189" s="209" t="n"/>
      <c r="P189" s="209" t="n"/>
      <c r="Q189" s="209" t="n"/>
      <c r="R189" s="209" t="n"/>
      <c r="S189" s="212" t="n"/>
      <c r="T189" s="212" t="n"/>
      <c r="U189" s="212" t="n"/>
      <c r="V189" s="212" t="n"/>
      <c r="W189" s="212" t="n"/>
      <c r="X189" s="212" t="n"/>
      <c r="Y189" s="212" t="n"/>
      <c r="Z189" s="212" t="n"/>
      <c r="AA189" s="212" t="n"/>
      <c r="AB189" s="212" t="n"/>
      <c r="AC189" s="212" t="n"/>
      <c r="AD189" s="212" t="n"/>
      <c r="AE189" s="212" t="n"/>
      <c r="AF189" s="212" t="n"/>
      <c r="AG189" s="212" t="n"/>
      <c r="AH189" s="212" t="n"/>
      <c r="AI189" s="212" t="n"/>
      <c r="AJ189" s="212" t="n"/>
      <c r="AK189" s="212" t="n"/>
      <c r="AL189" s="212" t="n"/>
      <c r="AM189" s="212" t="n"/>
      <c r="AN189" s="212" t="n"/>
      <c r="AO189" s="212" t="n"/>
      <c r="AP189" s="212" t="n"/>
      <c r="AQ189" s="212" t="n"/>
      <c r="AR189" s="212" t="n"/>
      <c r="AS189" s="212" t="n"/>
      <c r="AT189" s="212" t="n"/>
      <c r="AU189" s="212" t="n"/>
      <c r="AV189" s="212" t="n"/>
      <c r="AW189" s="212" t="n"/>
      <c r="AX189" s="212" t="n"/>
      <c r="AY189" s="212" t="n"/>
      <c r="AZ189" s="212" t="n"/>
      <c r="BA189" s="212" t="n"/>
      <c r="BB189" s="212" t="n"/>
      <c r="BC189" s="212" t="n"/>
      <c r="BD189" s="212" t="n"/>
      <c r="BE189" s="212" t="n"/>
      <c r="BF189" s="212" t="n"/>
      <c r="BG189" s="212" t="n"/>
      <c r="BH189" s="212" t="n"/>
      <c r="BI189" s="212" t="n"/>
      <c r="BJ189" s="212" t="n"/>
      <c r="BK189" s="212" t="n"/>
      <c r="BL189" s="212" t="n"/>
      <c r="BM189" s="212" t="n"/>
      <c r="BN189" s="212" t="n"/>
      <c r="BO189" s="212" t="n"/>
      <c r="BP189" s="212" t="n"/>
      <c r="BQ189" s="212" t="n"/>
      <c r="BR189" s="212" t="n"/>
      <c r="BS189" s="212" t="n"/>
      <c r="BT189" s="212" t="n"/>
      <c r="BU189" s="212" t="n"/>
      <c r="BV189" s="212" t="n"/>
      <c r="BW189" s="212" t="n"/>
      <c r="BX189" s="212" t="n"/>
      <c r="BY189" s="212" t="n"/>
      <c r="BZ189" s="212" t="n"/>
      <c r="CA189" s="212" t="n"/>
      <c r="CB189" s="212" t="n"/>
      <c r="CC189" s="212" t="n"/>
      <c r="CD189" s="212" t="n"/>
      <c r="CE189" s="212" t="n"/>
      <c r="CF189" s="212" t="n"/>
      <c r="CG189" s="212" t="n"/>
      <c r="CH189" s="212" t="n"/>
      <c r="CI189" s="212" t="n"/>
      <c r="CJ189" s="212" t="n"/>
      <c r="CK189" s="212" t="n"/>
      <c r="CL189" s="212" t="n"/>
      <c r="CM189" s="212" t="n"/>
      <c r="CN189" s="212" t="n"/>
      <c r="CO189" s="212" t="n"/>
      <c r="CP189" s="212" t="n"/>
      <c r="CQ189" s="212" t="n"/>
      <c r="CR189" s="212" t="n"/>
      <c r="CS189" s="212" t="n"/>
      <c r="CT189" s="212" t="n"/>
      <c r="CU189" s="212" t="n"/>
      <c r="CV189" s="212" t="n"/>
      <c r="CW189" s="212" t="n"/>
      <c r="CX189" s="212" t="n"/>
      <c r="CY189" s="212" t="n"/>
      <c r="CZ189" s="212" t="n"/>
      <c r="DA189" s="212" t="n"/>
      <c r="DB189" s="212" t="n"/>
      <c r="DC189" s="212" t="n"/>
      <c r="DD189" s="212" t="n"/>
      <c r="DE189" s="212" t="n"/>
      <c r="DF189" s="212" t="n"/>
      <c r="DG189" s="212" t="n"/>
      <c r="DH189" s="212" t="n"/>
      <c r="DI189" s="212" t="n"/>
      <c r="DJ189" s="212" t="n"/>
      <c r="DK189" s="212" t="n"/>
      <c r="DL189" s="212" t="n"/>
      <c r="DM189" s="212" t="n"/>
      <c r="DN189" s="212" t="n"/>
      <c r="DO189" s="212" t="n"/>
      <c r="DP189" s="212" t="n"/>
      <c r="DQ189" s="212" t="n"/>
      <c r="DR189" s="212" t="n"/>
      <c r="DS189" s="212" t="n"/>
      <c r="DT189" s="212" t="n"/>
      <c r="DU189" s="212" t="n"/>
      <c r="DV189" s="212" t="n"/>
      <c r="DW189" s="212" t="n"/>
      <c r="DX189" s="212" t="n"/>
      <c r="DY189" s="212" t="n"/>
      <c r="DZ189" s="212" t="n"/>
      <c r="EA189" s="212" t="n"/>
      <c r="EB189" s="212" t="n"/>
      <c r="EC189" s="212" t="n"/>
      <c r="ED189" s="212" t="n"/>
      <c r="EE189" s="212" t="n"/>
      <c r="EF189" s="212" t="n"/>
      <c r="EG189" s="212" t="n"/>
      <c r="EH189" s="212" t="n"/>
      <c r="EI189" s="212" t="n"/>
      <c r="EJ189" s="212" t="n"/>
      <c r="EK189" s="212" t="n"/>
      <c r="EL189" s="212" t="n"/>
      <c r="EM189" s="212" t="n"/>
      <c r="EN189" s="212" t="n"/>
      <c r="EO189" s="212" t="n"/>
      <c r="EP189" s="212" t="n"/>
      <c r="EQ189" s="212" t="n"/>
      <c r="ER189" s="212" t="n"/>
      <c r="ES189" s="212" t="n"/>
      <c r="ET189" s="212" t="n"/>
      <c r="EU189" s="212" t="n"/>
      <c r="EV189" s="212" t="n"/>
      <c r="EW189" s="212" t="n"/>
      <c r="EX189" s="212" t="n"/>
      <c r="EY189" s="212" t="n"/>
      <c r="EZ189" s="212" t="n"/>
      <c r="FA189" s="212" t="n"/>
      <c r="FB189" s="212" t="n"/>
      <c r="FC189" s="212" t="n"/>
      <c r="FD189" s="212" t="n"/>
      <c r="FE189" s="212" t="n"/>
      <c r="FF189" s="212" t="n"/>
      <c r="FG189" s="212" t="n"/>
      <c r="FH189" s="212" t="n"/>
      <c r="FI189" s="212" t="n"/>
      <c r="FJ189" s="212" t="n"/>
      <c r="FK189" s="212" t="n"/>
      <c r="FL189" s="212" t="n"/>
      <c r="FM189" s="212" t="n"/>
      <c r="FN189" s="212" t="n"/>
      <c r="FO189" s="212" t="n"/>
      <c r="FP189" s="212" t="n"/>
      <c r="FQ189" s="212" t="n"/>
      <c r="FR189" s="212" t="n"/>
      <c r="FS189" s="212" t="n"/>
      <c r="FT189" s="212" t="n"/>
      <c r="FU189" s="212" t="n"/>
      <c r="FV189" s="212" t="n"/>
      <c r="FW189" s="212" t="n"/>
      <c r="FX189" s="212" t="n"/>
      <c r="FY189" s="212" t="n"/>
      <c r="FZ189" s="212" t="n"/>
      <c r="GA189" s="212" t="n"/>
      <c r="GB189" s="212" t="n"/>
      <c r="GC189" s="212" t="n"/>
      <c r="GD189" s="212" t="n"/>
      <c r="GE189" s="212" t="n"/>
      <c r="GF189" s="212" t="n"/>
      <c r="GG189" s="212" t="n"/>
      <c r="GH189" s="212" t="n"/>
      <c r="GI189" s="212" t="n"/>
      <c r="GJ189" s="212" t="n"/>
      <c r="GK189" s="212" t="n"/>
      <c r="GL189" s="212" t="n"/>
      <c r="GM189" s="212" t="n"/>
      <c r="GN189" s="212" t="n"/>
      <c r="GO189" s="212" t="n"/>
      <c r="GP189" s="212" t="n"/>
      <c r="GQ189" s="212" t="n"/>
      <c r="GR189" s="212" t="n"/>
      <c r="GS189" s="212" t="n"/>
      <c r="GT189" s="212" t="n"/>
      <c r="GU189" s="212" t="n"/>
      <c r="GV189" s="212" t="n"/>
      <c r="GW189" s="212" t="n"/>
      <c r="GX189" s="212" t="n"/>
      <c r="GY189" s="212" t="n"/>
      <c r="GZ189" s="212" t="n"/>
      <c r="HA189" s="212" t="n"/>
      <c r="HB189" s="212" t="n"/>
      <c r="HC189" s="212" t="n"/>
      <c r="HD189" s="212" t="n"/>
      <c r="HE189" s="212" t="n"/>
      <c r="HF189" s="212" t="n"/>
      <c r="HG189" s="212" t="n"/>
      <c r="HH189" s="212" t="n"/>
      <c r="HI189" s="212" t="n"/>
      <c r="HJ189" s="212" t="n"/>
      <c r="HK189" s="212" t="n"/>
      <c r="HL189" s="212" t="n"/>
      <c r="HM189" s="212" t="n"/>
      <c r="HN189" s="212" t="n"/>
      <c r="HO189" s="212" t="n"/>
      <c r="HP189" s="212" t="n"/>
      <c r="HQ189" s="212" t="n"/>
      <c r="HR189" s="212" t="n"/>
      <c r="HS189" s="212" t="n"/>
      <c r="HT189" s="212" t="n"/>
      <c r="HU189" s="212" t="n"/>
      <c r="HV189" s="212" t="n"/>
      <c r="HW189" s="212" t="n"/>
      <c r="HX189" s="212" t="n"/>
      <c r="HY189" s="212" t="n"/>
      <c r="HZ189" s="212" t="n"/>
      <c r="IA189" s="212" t="n"/>
      <c r="IB189" s="212" t="n"/>
      <c r="IC189" s="212" t="n"/>
      <c r="ID189" s="212" t="n"/>
      <c r="IE189" s="212" t="n"/>
      <c r="IF189" s="212" t="n"/>
      <c r="IG189" s="212" t="n"/>
      <c r="IH189" s="212" t="n"/>
      <c r="II189" s="212" t="n"/>
      <c r="IJ189" s="212" t="n"/>
      <c r="IK189" s="212" t="n"/>
      <c r="IL189" s="212" t="n"/>
      <c r="IM189" s="212" t="n"/>
      <c r="IN189" s="212" t="n"/>
      <c r="IO189" s="212" t="n"/>
      <c r="IP189" s="212" t="n"/>
      <c r="IQ189" s="212" t="n"/>
      <c r="IR189" s="212" t="n"/>
      <c r="IS189" s="212" t="n"/>
      <c r="IT189" s="212" t="n"/>
      <c r="IU189" s="212" t="n"/>
      <c r="IV189" s="212" t="n"/>
      <c r="IW189" s="212" t="n"/>
      <c r="IX189" s="212" t="n"/>
      <c r="IY189" s="212" t="n"/>
      <c r="IZ189" s="212" t="n"/>
      <c r="JA189" s="212" t="n"/>
      <c r="JB189" s="212" t="n"/>
      <c r="JC189" s="212" t="n"/>
      <c r="JD189" s="212" t="n"/>
      <c r="JE189" s="212" t="n"/>
      <c r="JF189" s="212" t="n"/>
      <c r="JG189" s="212" t="n"/>
      <c r="JH189" s="212" t="n"/>
      <c r="JI189" s="212" t="n"/>
      <c r="JJ189" s="212" t="n"/>
      <c r="JK189" s="212" t="n"/>
      <c r="JL189" s="212" t="n"/>
      <c r="JM189" s="212" t="n"/>
      <c r="JN189" s="212" t="n"/>
      <c r="JO189" s="212" t="n"/>
      <c r="JP189" s="212" t="n"/>
      <c r="JQ189" s="212" t="n"/>
      <c r="JR189" s="212" t="n"/>
      <c r="JS189" s="212" t="n"/>
      <c r="JT189" s="212" t="n"/>
      <c r="JU189" s="212" t="n"/>
      <c r="JV189" s="212" t="n"/>
      <c r="JW189" s="212" t="n"/>
      <c r="JX189" s="212" t="n"/>
      <c r="JY189" s="212" t="n"/>
      <c r="JZ189" s="212" t="n"/>
      <c r="KA189" s="212" t="n"/>
      <c r="KB189" s="212" t="n"/>
      <c r="KC189" s="212" t="n"/>
      <c r="KD189" s="212" t="n"/>
      <c r="KE189" s="212" t="n"/>
      <c r="KF189" s="212" t="n"/>
      <c r="KG189" s="212" t="n"/>
      <c r="KH189" s="212" t="n"/>
      <c r="KI189" s="212" t="n"/>
      <c r="KJ189" s="212" t="n"/>
      <c r="KK189" s="212" t="n"/>
      <c r="KL189" s="212" t="n"/>
      <c r="KM189" s="212" t="n"/>
      <c r="KN189" s="212" t="n"/>
      <c r="KO189" s="212" t="n"/>
      <c r="KP189" s="212" t="n"/>
      <c r="KQ189" s="212" t="n"/>
      <c r="KR189" s="212" t="n"/>
      <c r="KS189" s="212" t="n"/>
      <c r="KT189" s="212" t="n"/>
      <c r="KU189" s="212" t="n"/>
      <c r="KV189" s="212" t="n"/>
      <c r="KW189" s="212" t="n"/>
      <c r="KX189" s="212" t="n"/>
      <c r="KY189" s="212" t="n"/>
      <c r="KZ189" s="212" t="n"/>
      <c r="LA189" s="212" t="n"/>
      <c r="LB189" s="212" t="n"/>
      <c r="LC189" s="212" t="n"/>
      <c r="LD189" s="212" t="n"/>
      <c r="LE189" s="212" t="n"/>
      <c r="LF189" s="212" t="n"/>
      <c r="LG189" s="212" t="n"/>
      <c r="LH189" s="212" t="n"/>
      <c r="LI189" s="212" t="n"/>
      <c r="LJ189" s="212" t="n"/>
      <c r="LK189" s="212" t="n"/>
      <c r="LL189" s="212" t="n"/>
      <c r="LM189" s="212" t="n"/>
      <c r="LN189" s="212" t="n"/>
      <c r="LO189" s="212" t="n"/>
      <c r="LP189" s="212" t="n"/>
      <c r="LQ189" s="212" t="n"/>
      <c r="LR189" s="212" t="n"/>
      <c r="LS189" s="212" t="n"/>
      <c r="LT189" s="212" t="n"/>
      <c r="LU189" s="212" t="n"/>
      <c r="LV189" s="212" t="n"/>
      <c r="LW189" s="212" t="n"/>
      <c r="LX189" s="212" t="n"/>
      <c r="LY189" s="212" t="n"/>
      <c r="LZ189" s="212" t="n"/>
      <c r="MA189" s="212" t="n"/>
      <c r="MB189" s="212" t="n"/>
      <c r="MC189" s="212" t="n"/>
      <c r="MD189" s="212" t="n"/>
      <c r="ME189" s="212" t="n"/>
      <c r="MF189" s="212" t="n"/>
      <c r="MG189" s="212" t="n"/>
      <c r="MH189" s="212" t="n"/>
      <c r="MI189" s="212" t="n"/>
      <c r="MJ189" s="212" t="n"/>
      <c r="MK189" s="212" t="n"/>
      <c r="ML189" s="212" t="n"/>
      <c r="MM189" s="212" t="n"/>
      <c r="MN189" s="212" t="n"/>
      <c r="MO189" s="212" t="n"/>
      <c r="MP189" s="212" t="n"/>
      <c r="MQ189" s="212" t="n"/>
      <c r="MR189" s="212" t="n"/>
      <c r="MS189" s="212" t="n"/>
      <c r="MT189" s="212" t="n"/>
      <c r="MU189" s="212" t="n"/>
      <c r="MV189" s="212" t="n"/>
      <c r="MW189" s="212" t="n"/>
      <c r="MX189" s="212" t="n"/>
      <c r="MY189" s="212" t="n"/>
      <c r="MZ189" s="212" t="n"/>
      <c r="NA189" s="212" t="n"/>
      <c r="NB189" s="212" t="n"/>
      <c r="NC189" s="212" t="n"/>
      <c r="ND189" s="212" t="n"/>
      <c r="NE189" s="212" t="n"/>
      <c r="NF189" s="212" t="n"/>
      <c r="NG189" s="212" t="n"/>
      <c r="NH189" s="212" t="n"/>
      <c r="NI189" s="212" t="n"/>
      <c r="NJ189" s="212" t="n"/>
      <c r="NK189" s="212" t="n"/>
      <c r="NL189" s="212" t="n"/>
      <c r="NM189" s="212" t="n"/>
      <c r="NN189" s="212" t="n"/>
      <c r="NO189" s="212" t="n"/>
      <c r="NP189" s="212" t="n"/>
      <c r="NQ189" s="212" t="n"/>
      <c r="NR189" s="212" t="n"/>
      <c r="NS189" s="212" t="n"/>
      <c r="NT189" s="212" t="n"/>
      <c r="NU189" s="212" t="n"/>
      <c r="NV189" s="212" t="n"/>
      <c r="NW189" s="212" t="n"/>
      <c r="NX189" s="212" t="n"/>
      <c r="NY189" s="212" t="n"/>
      <c r="NZ189" s="212" t="n"/>
      <c r="OA189" s="212" t="n"/>
      <c r="OB189" s="212" t="n"/>
      <c r="OC189" s="212" t="n"/>
      <c r="OD189" s="212" t="n"/>
      <c r="OE189" s="212" t="n"/>
      <c r="OF189" s="212" t="n"/>
      <c r="OG189" s="212" t="n"/>
      <c r="OH189" s="212" t="n"/>
      <c r="OI189" s="212" t="n"/>
      <c r="OJ189" s="212" t="n"/>
      <c r="OK189" s="212" t="n"/>
      <c r="OL189" s="212" t="n"/>
      <c r="OM189" s="212" t="n"/>
      <c r="ON189" s="212" t="n"/>
      <c r="OO189" s="212" t="n"/>
      <c r="OP189" s="212" t="n"/>
      <c r="OQ189" s="212" t="n"/>
      <c r="OR189" s="212" t="n"/>
      <c r="OS189" s="212" t="n"/>
      <c r="OT189" s="212" t="n"/>
      <c r="OU189" s="212" t="n"/>
      <c r="OV189" s="212" t="n"/>
      <c r="OW189" s="212" t="n"/>
      <c r="OX189" s="212" t="n"/>
      <c r="OY189" s="212" t="n"/>
      <c r="OZ189" s="212" t="n"/>
      <c r="PA189" s="212" t="n"/>
      <c r="PB189" s="212" t="n"/>
      <c r="PC189" s="212" t="n"/>
      <c r="PD189" s="212" t="n"/>
      <c r="PE189" s="212" t="n"/>
      <c r="PF189" s="212" t="n"/>
      <c r="PG189" s="212" t="n"/>
      <c r="PH189" s="212" t="n"/>
      <c r="PI189" s="212" t="n"/>
      <c r="PJ189" s="212" t="n"/>
      <c r="PK189" s="212" t="n"/>
      <c r="PL189" s="212" t="n"/>
      <c r="PM189" s="212" t="n"/>
      <c r="PN189" s="212" t="n"/>
      <c r="PO189" s="212" t="n"/>
      <c r="PP189" s="212" t="n"/>
      <c r="PQ189" s="212" t="n"/>
      <c r="PR189" s="212" t="n"/>
      <c r="PS189" s="212" t="n"/>
      <c r="PT189" s="212" t="n"/>
      <c r="PU189" s="212" t="n"/>
      <c r="PV189" s="212" t="n"/>
      <c r="PW189" s="212" t="n"/>
      <c r="PX189" s="212" t="n"/>
      <c r="PY189" s="212" t="n"/>
      <c r="PZ189" s="212" t="n"/>
      <c r="QA189" s="212" t="n"/>
      <c r="QB189" s="212" t="n"/>
      <c r="QC189" s="212" t="n"/>
      <c r="QD189" s="212" t="n"/>
      <c r="QE189" s="212" t="n"/>
      <c r="QF189" s="212" t="n"/>
      <c r="QG189" s="212" t="n"/>
      <c r="QH189" s="212" t="n"/>
      <c r="QI189" s="212" t="n"/>
      <c r="QJ189" s="212" t="n"/>
      <c r="QK189" s="212" t="n"/>
      <c r="QL189" s="212" t="n"/>
      <c r="QM189" s="212" t="n"/>
      <c r="QN189" s="212" t="n"/>
      <c r="QO189" s="212" t="n"/>
      <c r="QP189" s="212" t="n"/>
      <c r="QQ189" s="212" t="n"/>
      <c r="QR189" s="212" t="n"/>
      <c r="QS189" s="212" t="n"/>
      <c r="QT189" s="212" t="n"/>
      <c r="QU189" s="212" t="n"/>
      <c r="QV189" s="212" t="n"/>
      <c r="QW189" s="212" t="n"/>
      <c r="QX189" s="212" t="n"/>
      <c r="QY189" s="212" t="n"/>
      <c r="QZ189" s="212" t="n"/>
      <c r="RA189" s="212" t="n"/>
      <c r="RB189" s="212" t="n"/>
      <c r="RC189" s="212" t="n"/>
      <c r="RD189" s="212" t="n"/>
      <c r="RE189" s="212" t="n"/>
      <c r="RF189" s="212" t="n"/>
      <c r="RG189" s="212" t="n"/>
      <c r="RH189" s="212" t="n"/>
      <c r="RI189" s="212" t="n"/>
      <c r="RJ189" s="212" t="n"/>
      <c r="RK189" s="212" t="n"/>
      <c r="RL189" s="212" t="n"/>
      <c r="RM189" s="212" t="n"/>
      <c r="RN189" s="212" t="n"/>
      <c r="RO189" s="212" t="n"/>
      <c r="RP189" s="212" t="n"/>
      <c r="RQ189" s="212" t="n"/>
      <c r="RR189" s="212" t="n"/>
      <c r="RS189" s="212" t="n"/>
      <c r="RT189" s="212" t="n"/>
      <c r="RU189" s="212" t="n"/>
      <c r="RV189" s="212" t="n"/>
      <c r="RW189" s="212" t="n"/>
      <c r="RX189" s="212" t="n"/>
      <c r="RY189" s="212" t="n"/>
      <c r="RZ189" s="212" t="n"/>
      <c r="SA189" s="212" t="n"/>
      <c r="SB189" s="212" t="n"/>
      <c r="SC189" s="212" t="n"/>
      <c r="SD189" s="212" t="n"/>
      <c r="SE189" s="212" t="n"/>
      <c r="SF189" s="212" t="n"/>
      <c r="SG189" s="212" t="n"/>
      <c r="SH189" s="212" t="n"/>
      <c r="SI189" s="212" t="n"/>
      <c r="SJ189" s="212" t="n"/>
      <c r="SK189" s="212" t="n"/>
      <c r="SL189" s="212" t="n"/>
      <c r="SM189" s="212" t="n"/>
      <c r="SN189" s="212" t="n"/>
      <c r="SO189" s="212" t="n"/>
      <c r="SP189" s="212" t="n"/>
      <c r="SQ189" s="212" t="n"/>
      <c r="SR189" s="212" t="n"/>
      <c r="SS189" s="212" t="n"/>
      <c r="ST189" s="212" t="n"/>
      <c r="SU189" s="212" t="n"/>
      <c r="SV189" s="212" t="n"/>
    </row>
    <row r="190">
      <c r="B190" s="209" t="n"/>
      <c r="C190" s="209" t="n"/>
      <c r="D190" s="209" t="n"/>
      <c r="E190" s="209" t="n"/>
      <c r="F190" s="209">
        <f>IF(TRIM(D190&amp;E190)="","",TRIM(D190)&amp;" "&amp;TRIM(E190))</f>
        <v/>
      </c>
      <c r="G190" s="209" t="n"/>
      <c r="H190" s="209" t="n"/>
      <c r="I190" s="209" t="n"/>
      <c r="J190" s="209" t="n"/>
      <c r="K190" s="209" t="n"/>
      <c r="L190" s="209" t="n"/>
      <c r="M190" s="209" t="n"/>
      <c r="N190" s="209" t="n"/>
      <c r="O190" s="209" t="n"/>
      <c r="P190" s="209" t="n"/>
      <c r="Q190" s="209" t="n"/>
      <c r="R190" s="209" t="n"/>
      <c r="S190" s="212" t="n"/>
      <c r="T190" s="212" t="n"/>
      <c r="U190" s="212" t="n"/>
      <c r="V190" s="212" t="n"/>
      <c r="W190" s="212" t="n"/>
      <c r="X190" s="212" t="n"/>
      <c r="Y190" s="212" t="n"/>
      <c r="Z190" s="212" t="n"/>
      <c r="AA190" s="212" t="n"/>
      <c r="AB190" s="212" t="n"/>
      <c r="AC190" s="212" t="n"/>
      <c r="AD190" s="212" t="n"/>
      <c r="AE190" s="212" t="n"/>
      <c r="AF190" s="212" t="n"/>
      <c r="AG190" s="212" t="n"/>
      <c r="AH190" s="212" t="n"/>
      <c r="AI190" s="212" t="n"/>
      <c r="AJ190" s="212" t="n"/>
      <c r="AK190" s="212" t="n"/>
      <c r="AL190" s="212" t="n"/>
      <c r="AM190" s="212" t="n"/>
      <c r="AN190" s="212" t="n"/>
      <c r="AO190" s="212" t="n"/>
      <c r="AP190" s="212" t="n"/>
      <c r="AQ190" s="212" t="n"/>
      <c r="AR190" s="212" t="n"/>
      <c r="AS190" s="212" t="n"/>
      <c r="AT190" s="212" t="n"/>
      <c r="AU190" s="212" t="n"/>
      <c r="AV190" s="212" t="n"/>
      <c r="AW190" s="212" t="n"/>
      <c r="AX190" s="212" t="n"/>
      <c r="AY190" s="212" t="n"/>
      <c r="AZ190" s="212" t="n"/>
      <c r="BA190" s="212" t="n"/>
      <c r="BB190" s="212" t="n"/>
      <c r="BC190" s="212" t="n"/>
      <c r="BD190" s="212" t="n"/>
      <c r="BE190" s="212" t="n"/>
      <c r="BF190" s="212" t="n"/>
      <c r="BG190" s="212" t="n"/>
      <c r="BH190" s="212" t="n"/>
      <c r="BI190" s="212" t="n"/>
      <c r="BJ190" s="212" t="n"/>
      <c r="BK190" s="212" t="n"/>
      <c r="BL190" s="212" t="n"/>
      <c r="BM190" s="212" t="n"/>
      <c r="BN190" s="212" t="n"/>
      <c r="BO190" s="212" t="n"/>
      <c r="BP190" s="212" t="n"/>
      <c r="BQ190" s="212" t="n"/>
      <c r="BR190" s="212" t="n"/>
      <c r="BS190" s="212" t="n"/>
      <c r="BT190" s="212" t="n"/>
      <c r="BU190" s="212" t="n"/>
      <c r="BV190" s="212" t="n"/>
      <c r="BW190" s="212" t="n"/>
      <c r="BX190" s="212" t="n"/>
      <c r="BY190" s="212" t="n"/>
      <c r="BZ190" s="212" t="n"/>
      <c r="CA190" s="212" t="n"/>
      <c r="CB190" s="212" t="n"/>
      <c r="CC190" s="212" t="n"/>
      <c r="CD190" s="212" t="n"/>
      <c r="CE190" s="212" t="n"/>
      <c r="CF190" s="212" t="n"/>
      <c r="CG190" s="212" t="n"/>
      <c r="CH190" s="212" t="n"/>
      <c r="CI190" s="212" t="n"/>
      <c r="CJ190" s="212" t="n"/>
      <c r="CK190" s="212" t="n"/>
      <c r="CL190" s="212" t="n"/>
      <c r="CM190" s="212" t="n"/>
      <c r="CN190" s="212" t="n"/>
      <c r="CO190" s="212" t="n"/>
      <c r="CP190" s="212" t="n"/>
      <c r="CQ190" s="212" t="n"/>
      <c r="CR190" s="212" t="n"/>
      <c r="CS190" s="212" t="n"/>
      <c r="CT190" s="212" t="n"/>
      <c r="CU190" s="212" t="n"/>
      <c r="CV190" s="212" t="n"/>
      <c r="CW190" s="212" t="n"/>
      <c r="CX190" s="212" t="n"/>
      <c r="CY190" s="212" t="n"/>
      <c r="CZ190" s="212" t="n"/>
      <c r="DA190" s="212" t="n"/>
      <c r="DB190" s="212" t="n"/>
      <c r="DC190" s="212" t="n"/>
      <c r="DD190" s="212" t="n"/>
      <c r="DE190" s="212" t="n"/>
      <c r="DF190" s="212" t="n"/>
      <c r="DG190" s="212" t="n"/>
      <c r="DH190" s="212" t="n"/>
      <c r="DI190" s="212" t="n"/>
      <c r="DJ190" s="212" t="n"/>
      <c r="DK190" s="212" t="n"/>
      <c r="DL190" s="212" t="n"/>
      <c r="DM190" s="212" t="n"/>
      <c r="DN190" s="212" t="n"/>
      <c r="DO190" s="212" t="n"/>
      <c r="DP190" s="212" t="n"/>
      <c r="DQ190" s="212" t="n"/>
      <c r="DR190" s="212" t="n"/>
      <c r="DS190" s="212" t="n"/>
      <c r="DT190" s="212" t="n"/>
      <c r="DU190" s="212" t="n"/>
      <c r="DV190" s="212" t="n"/>
      <c r="DW190" s="212" t="n"/>
      <c r="DX190" s="212" t="n"/>
      <c r="DY190" s="212" t="n"/>
      <c r="DZ190" s="212" t="n"/>
      <c r="EA190" s="212" t="n"/>
      <c r="EB190" s="212" t="n"/>
      <c r="EC190" s="212" t="n"/>
      <c r="ED190" s="212" t="n"/>
      <c r="EE190" s="212" t="n"/>
      <c r="EF190" s="212" t="n"/>
      <c r="EG190" s="212" t="n"/>
      <c r="EH190" s="212" t="n"/>
      <c r="EI190" s="212" t="n"/>
      <c r="EJ190" s="212" t="n"/>
      <c r="EK190" s="212" t="n"/>
      <c r="EL190" s="212" t="n"/>
      <c r="EM190" s="212" t="n"/>
      <c r="EN190" s="212" t="n"/>
      <c r="EO190" s="212" t="n"/>
      <c r="EP190" s="212" t="n"/>
      <c r="EQ190" s="212" t="n"/>
      <c r="ER190" s="212" t="n"/>
      <c r="ES190" s="212" t="n"/>
      <c r="ET190" s="212" t="n"/>
      <c r="EU190" s="212" t="n"/>
      <c r="EV190" s="212" t="n"/>
      <c r="EW190" s="212" t="n"/>
      <c r="EX190" s="212" t="n"/>
      <c r="EY190" s="212" t="n"/>
      <c r="EZ190" s="212" t="n"/>
      <c r="FA190" s="212" t="n"/>
      <c r="FB190" s="212" t="n"/>
      <c r="FC190" s="212" t="n"/>
      <c r="FD190" s="212" t="n"/>
      <c r="FE190" s="212" t="n"/>
      <c r="FF190" s="212" t="n"/>
      <c r="FG190" s="212" t="n"/>
      <c r="FH190" s="212" t="n"/>
      <c r="FI190" s="212" t="n"/>
      <c r="FJ190" s="212" t="n"/>
      <c r="FK190" s="212" t="n"/>
      <c r="FL190" s="212" t="n"/>
      <c r="FM190" s="212" t="n"/>
      <c r="FN190" s="212" t="n"/>
      <c r="FO190" s="212" t="n"/>
      <c r="FP190" s="212" t="n"/>
      <c r="FQ190" s="212" t="n"/>
      <c r="FR190" s="212" t="n"/>
      <c r="FS190" s="212" t="n"/>
      <c r="FT190" s="212" t="n"/>
      <c r="FU190" s="212" t="n"/>
      <c r="FV190" s="212" t="n"/>
      <c r="FW190" s="212" t="n"/>
      <c r="FX190" s="212" t="n"/>
      <c r="FY190" s="212" t="n"/>
      <c r="FZ190" s="212" t="n"/>
      <c r="GA190" s="212" t="n"/>
      <c r="GB190" s="212" t="n"/>
      <c r="GC190" s="212" t="n"/>
      <c r="GD190" s="212" t="n"/>
      <c r="GE190" s="212" t="n"/>
      <c r="GF190" s="212" t="n"/>
      <c r="GG190" s="212" t="n"/>
      <c r="GH190" s="212" t="n"/>
      <c r="GI190" s="212" t="n"/>
      <c r="GJ190" s="212" t="n"/>
      <c r="GK190" s="212" t="n"/>
      <c r="GL190" s="212" t="n"/>
      <c r="GM190" s="212" t="n"/>
      <c r="GN190" s="212" t="n"/>
      <c r="GO190" s="212" t="n"/>
      <c r="GP190" s="212" t="n"/>
      <c r="GQ190" s="212" t="n"/>
      <c r="GR190" s="212" t="n"/>
      <c r="GS190" s="212" t="n"/>
      <c r="GT190" s="212" t="n"/>
      <c r="GU190" s="212" t="n"/>
      <c r="GV190" s="212" t="n"/>
      <c r="GW190" s="212" t="n"/>
      <c r="GX190" s="212" t="n"/>
      <c r="GY190" s="212" t="n"/>
      <c r="GZ190" s="212" t="n"/>
      <c r="HA190" s="212" t="n"/>
      <c r="HB190" s="212" t="n"/>
      <c r="HC190" s="212" t="n"/>
      <c r="HD190" s="212" t="n"/>
      <c r="HE190" s="212" t="n"/>
      <c r="HF190" s="212" t="n"/>
      <c r="HG190" s="212" t="n"/>
      <c r="HH190" s="212" t="n"/>
      <c r="HI190" s="212" t="n"/>
      <c r="HJ190" s="212" t="n"/>
      <c r="HK190" s="212" t="n"/>
      <c r="HL190" s="212" t="n"/>
      <c r="HM190" s="212" t="n"/>
      <c r="HN190" s="212" t="n"/>
      <c r="HO190" s="212" t="n"/>
      <c r="HP190" s="212" t="n"/>
      <c r="HQ190" s="212" t="n"/>
      <c r="HR190" s="212" t="n"/>
      <c r="HS190" s="212" t="n"/>
      <c r="HT190" s="212" t="n"/>
      <c r="HU190" s="212" t="n"/>
      <c r="HV190" s="212" t="n"/>
      <c r="HW190" s="212" t="n"/>
      <c r="HX190" s="212" t="n"/>
      <c r="HY190" s="212" t="n"/>
      <c r="HZ190" s="212" t="n"/>
      <c r="IA190" s="212" t="n"/>
      <c r="IB190" s="212" t="n"/>
      <c r="IC190" s="212" t="n"/>
      <c r="ID190" s="212" t="n"/>
      <c r="IE190" s="212" t="n"/>
      <c r="IF190" s="212" t="n"/>
      <c r="IG190" s="212" t="n"/>
      <c r="IH190" s="212" t="n"/>
      <c r="II190" s="212" t="n"/>
      <c r="IJ190" s="212" t="n"/>
      <c r="IK190" s="212" t="n"/>
      <c r="IL190" s="212" t="n"/>
      <c r="IM190" s="212" t="n"/>
      <c r="IN190" s="212" t="n"/>
      <c r="IO190" s="212" t="n"/>
      <c r="IP190" s="212" t="n"/>
      <c r="IQ190" s="212" t="n"/>
      <c r="IR190" s="212" t="n"/>
      <c r="IS190" s="212" t="n"/>
      <c r="IT190" s="212" t="n"/>
      <c r="IU190" s="212" t="n"/>
      <c r="IV190" s="212" t="n"/>
      <c r="IW190" s="212" t="n"/>
      <c r="IX190" s="212" t="n"/>
      <c r="IY190" s="212" t="n"/>
      <c r="IZ190" s="212" t="n"/>
      <c r="JA190" s="212" t="n"/>
      <c r="JB190" s="212" t="n"/>
      <c r="JC190" s="212" t="n"/>
      <c r="JD190" s="212" t="n"/>
      <c r="JE190" s="212" t="n"/>
      <c r="JF190" s="212" t="n"/>
      <c r="JG190" s="212" t="n"/>
      <c r="JH190" s="212" t="n"/>
      <c r="JI190" s="212" t="n"/>
      <c r="JJ190" s="212" t="n"/>
      <c r="JK190" s="212" t="n"/>
      <c r="JL190" s="212" t="n"/>
      <c r="JM190" s="212" t="n"/>
      <c r="JN190" s="212" t="n"/>
      <c r="JO190" s="212" t="n"/>
      <c r="JP190" s="212" t="n"/>
      <c r="JQ190" s="212" t="n"/>
      <c r="JR190" s="212" t="n"/>
      <c r="JS190" s="212" t="n"/>
      <c r="JT190" s="212" t="n"/>
      <c r="JU190" s="212" t="n"/>
      <c r="JV190" s="212" t="n"/>
      <c r="JW190" s="212" t="n"/>
      <c r="JX190" s="212" t="n"/>
      <c r="JY190" s="212" t="n"/>
      <c r="JZ190" s="212" t="n"/>
      <c r="KA190" s="212" t="n"/>
      <c r="KB190" s="212" t="n"/>
      <c r="KC190" s="212" t="n"/>
      <c r="KD190" s="212" t="n"/>
      <c r="KE190" s="212" t="n"/>
      <c r="KF190" s="212" t="n"/>
      <c r="KG190" s="212" t="n"/>
      <c r="KH190" s="212" t="n"/>
      <c r="KI190" s="212" t="n"/>
      <c r="KJ190" s="212" t="n"/>
      <c r="KK190" s="212" t="n"/>
      <c r="KL190" s="212" t="n"/>
      <c r="KM190" s="212" t="n"/>
      <c r="KN190" s="212" t="n"/>
      <c r="KO190" s="212" t="n"/>
      <c r="KP190" s="212" t="n"/>
      <c r="KQ190" s="212" t="n"/>
      <c r="KR190" s="212" t="n"/>
      <c r="KS190" s="212" t="n"/>
      <c r="KT190" s="212" t="n"/>
      <c r="KU190" s="212" t="n"/>
      <c r="KV190" s="212" t="n"/>
      <c r="KW190" s="212" t="n"/>
      <c r="KX190" s="212" t="n"/>
      <c r="KY190" s="212" t="n"/>
      <c r="KZ190" s="212" t="n"/>
      <c r="LA190" s="212" t="n"/>
      <c r="LB190" s="212" t="n"/>
      <c r="LC190" s="212" t="n"/>
      <c r="LD190" s="212" t="n"/>
      <c r="LE190" s="212" t="n"/>
      <c r="LF190" s="212" t="n"/>
      <c r="LG190" s="212" t="n"/>
      <c r="LH190" s="212" t="n"/>
      <c r="LI190" s="212" t="n"/>
      <c r="LJ190" s="212" t="n"/>
      <c r="LK190" s="212" t="n"/>
      <c r="LL190" s="212" t="n"/>
      <c r="LM190" s="212" t="n"/>
      <c r="LN190" s="212" t="n"/>
      <c r="LO190" s="212" t="n"/>
      <c r="LP190" s="212" t="n"/>
      <c r="LQ190" s="212" t="n"/>
      <c r="LR190" s="212" t="n"/>
      <c r="LS190" s="212" t="n"/>
      <c r="LT190" s="212" t="n"/>
      <c r="LU190" s="212" t="n"/>
      <c r="LV190" s="212" t="n"/>
      <c r="LW190" s="212" t="n"/>
      <c r="LX190" s="212" t="n"/>
      <c r="LY190" s="212" t="n"/>
      <c r="LZ190" s="212" t="n"/>
      <c r="MA190" s="212" t="n"/>
      <c r="MB190" s="212" t="n"/>
      <c r="MC190" s="212" t="n"/>
      <c r="MD190" s="212" t="n"/>
      <c r="ME190" s="212" t="n"/>
      <c r="MF190" s="212" t="n"/>
      <c r="MG190" s="212" t="n"/>
      <c r="MH190" s="212" t="n"/>
      <c r="MI190" s="212" t="n"/>
      <c r="MJ190" s="212" t="n"/>
      <c r="MK190" s="212" t="n"/>
      <c r="ML190" s="212" t="n"/>
      <c r="MM190" s="212" t="n"/>
      <c r="MN190" s="212" t="n"/>
      <c r="MO190" s="212" t="n"/>
      <c r="MP190" s="212" t="n"/>
      <c r="MQ190" s="212" t="n"/>
      <c r="MR190" s="212" t="n"/>
      <c r="MS190" s="212" t="n"/>
      <c r="MT190" s="212" t="n"/>
      <c r="MU190" s="212" t="n"/>
      <c r="MV190" s="212" t="n"/>
      <c r="MW190" s="212" t="n"/>
      <c r="MX190" s="212" t="n"/>
      <c r="MY190" s="212" t="n"/>
      <c r="MZ190" s="212" t="n"/>
      <c r="NA190" s="212" t="n"/>
      <c r="NB190" s="212" t="n"/>
      <c r="NC190" s="212" t="n"/>
      <c r="ND190" s="212" t="n"/>
      <c r="NE190" s="212" t="n"/>
      <c r="NF190" s="212" t="n"/>
      <c r="NG190" s="212" t="n"/>
      <c r="NH190" s="212" t="n"/>
      <c r="NI190" s="212" t="n"/>
      <c r="NJ190" s="212" t="n"/>
      <c r="NK190" s="212" t="n"/>
      <c r="NL190" s="212" t="n"/>
      <c r="NM190" s="212" t="n"/>
      <c r="NN190" s="212" t="n"/>
      <c r="NO190" s="212" t="n"/>
      <c r="NP190" s="212" t="n"/>
      <c r="NQ190" s="212" t="n"/>
      <c r="NR190" s="212" t="n"/>
      <c r="NS190" s="212" t="n"/>
      <c r="NT190" s="212" t="n"/>
      <c r="NU190" s="212" t="n"/>
      <c r="NV190" s="212" t="n"/>
      <c r="NW190" s="212" t="n"/>
      <c r="NX190" s="212" t="n"/>
      <c r="NY190" s="212" t="n"/>
      <c r="NZ190" s="212" t="n"/>
      <c r="OA190" s="212" t="n"/>
      <c r="OB190" s="212" t="n"/>
      <c r="OC190" s="212" t="n"/>
      <c r="OD190" s="212" t="n"/>
      <c r="OE190" s="212" t="n"/>
      <c r="OF190" s="212" t="n"/>
      <c r="OG190" s="212" t="n"/>
      <c r="OH190" s="212" t="n"/>
      <c r="OI190" s="212" t="n"/>
      <c r="OJ190" s="212" t="n"/>
      <c r="OK190" s="212" t="n"/>
      <c r="OL190" s="212" t="n"/>
      <c r="OM190" s="212" t="n"/>
      <c r="ON190" s="212" t="n"/>
      <c r="OO190" s="212" t="n"/>
      <c r="OP190" s="212" t="n"/>
      <c r="OQ190" s="212" t="n"/>
      <c r="OR190" s="212" t="n"/>
      <c r="OS190" s="212" t="n"/>
      <c r="OT190" s="212" t="n"/>
      <c r="OU190" s="212" t="n"/>
      <c r="OV190" s="212" t="n"/>
      <c r="OW190" s="212" t="n"/>
      <c r="OX190" s="212" t="n"/>
      <c r="OY190" s="212" t="n"/>
      <c r="OZ190" s="212" t="n"/>
      <c r="PA190" s="212" t="n"/>
      <c r="PB190" s="212" t="n"/>
      <c r="PC190" s="212" t="n"/>
      <c r="PD190" s="212" t="n"/>
      <c r="PE190" s="212" t="n"/>
      <c r="PF190" s="212" t="n"/>
      <c r="PG190" s="212" t="n"/>
      <c r="PH190" s="212" t="n"/>
      <c r="PI190" s="212" t="n"/>
      <c r="PJ190" s="212" t="n"/>
      <c r="PK190" s="212" t="n"/>
      <c r="PL190" s="212" t="n"/>
      <c r="PM190" s="212" t="n"/>
      <c r="PN190" s="212" t="n"/>
      <c r="PO190" s="212" t="n"/>
      <c r="PP190" s="212" t="n"/>
      <c r="PQ190" s="212" t="n"/>
      <c r="PR190" s="212" t="n"/>
      <c r="PS190" s="212" t="n"/>
      <c r="PT190" s="212" t="n"/>
      <c r="PU190" s="212" t="n"/>
      <c r="PV190" s="212" t="n"/>
      <c r="PW190" s="212" t="n"/>
      <c r="PX190" s="212" t="n"/>
      <c r="PY190" s="212" t="n"/>
      <c r="PZ190" s="212" t="n"/>
      <c r="QA190" s="212" t="n"/>
      <c r="QB190" s="212" t="n"/>
      <c r="QC190" s="212" t="n"/>
      <c r="QD190" s="212" t="n"/>
      <c r="QE190" s="212" t="n"/>
      <c r="QF190" s="212" t="n"/>
      <c r="QG190" s="212" t="n"/>
      <c r="QH190" s="212" t="n"/>
      <c r="QI190" s="212" t="n"/>
      <c r="QJ190" s="212" t="n"/>
      <c r="QK190" s="212" t="n"/>
      <c r="QL190" s="212" t="n"/>
      <c r="QM190" s="212" t="n"/>
      <c r="QN190" s="212" t="n"/>
      <c r="QO190" s="212" t="n"/>
      <c r="QP190" s="212" t="n"/>
      <c r="QQ190" s="212" t="n"/>
      <c r="QR190" s="212" t="n"/>
      <c r="QS190" s="212" t="n"/>
      <c r="QT190" s="212" t="n"/>
      <c r="QU190" s="212" t="n"/>
      <c r="QV190" s="212" t="n"/>
      <c r="QW190" s="212" t="n"/>
      <c r="QX190" s="212" t="n"/>
      <c r="QY190" s="212" t="n"/>
      <c r="QZ190" s="212" t="n"/>
      <c r="RA190" s="212" t="n"/>
      <c r="RB190" s="212" t="n"/>
      <c r="RC190" s="212" t="n"/>
      <c r="RD190" s="212" t="n"/>
      <c r="RE190" s="212" t="n"/>
      <c r="RF190" s="212" t="n"/>
      <c r="RG190" s="212" t="n"/>
      <c r="RH190" s="212" t="n"/>
      <c r="RI190" s="212" t="n"/>
      <c r="RJ190" s="212" t="n"/>
      <c r="RK190" s="212" t="n"/>
      <c r="RL190" s="212" t="n"/>
      <c r="RM190" s="212" t="n"/>
      <c r="RN190" s="212" t="n"/>
      <c r="RO190" s="212" t="n"/>
      <c r="RP190" s="212" t="n"/>
      <c r="RQ190" s="212" t="n"/>
      <c r="RR190" s="212" t="n"/>
      <c r="RS190" s="212" t="n"/>
      <c r="RT190" s="212" t="n"/>
      <c r="RU190" s="212" t="n"/>
      <c r="RV190" s="212" t="n"/>
      <c r="RW190" s="212" t="n"/>
      <c r="RX190" s="212" t="n"/>
      <c r="RY190" s="212" t="n"/>
      <c r="RZ190" s="212" t="n"/>
      <c r="SA190" s="212" t="n"/>
      <c r="SB190" s="212" t="n"/>
      <c r="SC190" s="212" t="n"/>
      <c r="SD190" s="212" t="n"/>
      <c r="SE190" s="212" t="n"/>
      <c r="SF190" s="212" t="n"/>
      <c r="SG190" s="212" t="n"/>
      <c r="SH190" s="212" t="n"/>
      <c r="SI190" s="212" t="n"/>
      <c r="SJ190" s="212" t="n"/>
      <c r="SK190" s="212" t="n"/>
      <c r="SL190" s="212" t="n"/>
      <c r="SM190" s="212" t="n"/>
      <c r="SN190" s="212" t="n"/>
      <c r="SO190" s="212" t="n"/>
      <c r="SP190" s="212" t="n"/>
      <c r="SQ190" s="212" t="n"/>
      <c r="SR190" s="212" t="n"/>
      <c r="SS190" s="212" t="n"/>
      <c r="ST190" s="212" t="n"/>
      <c r="SU190" s="212" t="n"/>
      <c r="SV190" s="212" t="n"/>
    </row>
    <row r="191">
      <c r="B191" s="209" t="n"/>
      <c r="C191" s="209" t="n"/>
      <c r="D191" s="209" t="n"/>
      <c r="E191" s="209" t="n"/>
      <c r="F191" s="209">
        <f>IF(TRIM(D191&amp;E191)="","",TRIM(D191)&amp;" "&amp;TRIM(E191))</f>
        <v/>
      </c>
      <c r="G191" s="209" t="n"/>
      <c r="H191" s="209" t="n"/>
      <c r="I191" s="209" t="n"/>
      <c r="J191" s="209" t="n"/>
      <c r="K191" s="209" t="n"/>
      <c r="L191" s="209" t="n"/>
      <c r="M191" s="209" t="n"/>
      <c r="N191" s="209" t="n"/>
      <c r="O191" s="209" t="n"/>
      <c r="P191" s="209" t="n"/>
      <c r="Q191" s="209" t="n"/>
      <c r="R191" s="209" t="n"/>
      <c r="S191" s="212" t="n"/>
      <c r="T191" s="212" t="n"/>
      <c r="U191" s="212" t="n"/>
      <c r="V191" s="212" t="n"/>
      <c r="W191" s="212" t="n"/>
      <c r="X191" s="212" t="n"/>
      <c r="Y191" s="212" t="n"/>
      <c r="Z191" s="212" t="n"/>
      <c r="AA191" s="212" t="n"/>
      <c r="AB191" s="212" t="n"/>
      <c r="AC191" s="212" t="n"/>
      <c r="AD191" s="212" t="n"/>
      <c r="AE191" s="212" t="n"/>
      <c r="AF191" s="212" t="n"/>
      <c r="AG191" s="212" t="n"/>
      <c r="AH191" s="212" t="n"/>
      <c r="AI191" s="212" t="n"/>
      <c r="AJ191" s="212" t="n"/>
      <c r="AK191" s="212" t="n"/>
      <c r="AL191" s="212" t="n"/>
      <c r="AM191" s="212" t="n"/>
      <c r="AN191" s="212" t="n"/>
      <c r="AO191" s="212" t="n"/>
      <c r="AP191" s="212" t="n"/>
      <c r="AQ191" s="212" t="n"/>
      <c r="AR191" s="212" t="n"/>
      <c r="AS191" s="212" t="n"/>
      <c r="AT191" s="212" t="n"/>
      <c r="AU191" s="212" t="n"/>
      <c r="AV191" s="212" t="n"/>
      <c r="AW191" s="212" t="n"/>
      <c r="AX191" s="212" t="n"/>
      <c r="AY191" s="212" t="n"/>
      <c r="AZ191" s="212" t="n"/>
      <c r="BA191" s="212" t="n"/>
      <c r="BB191" s="212" t="n"/>
      <c r="BC191" s="212" t="n"/>
      <c r="BD191" s="212" t="n"/>
      <c r="BE191" s="212" t="n"/>
      <c r="BF191" s="212" t="n"/>
      <c r="BG191" s="212" t="n"/>
      <c r="BH191" s="212" t="n"/>
      <c r="BI191" s="212" t="n"/>
      <c r="BJ191" s="212" t="n"/>
      <c r="BK191" s="212" t="n"/>
      <c r="BL191" s="212" t="n"/>
      <c r="BM191" s="212" t="n"/>
      <c r="BN191" s="212" t="n"/>
      <c r="BO191" s="212" t="n"/>
      <c r="BP191" s="212" t="n"/>
      <c r="BQ191" s="212" t="n"/>
      <c r="BR191" s="212" t="n"/>
      <c r="BS191" s="212" t="n"/>
      <c r="BT191" s="212" t="n"/>
      <c r="BU191" s="212" t="n"/>
      <c r="BV191" s="212" t="n"/>
      <c r="BW191" s="212" t="n"/>
      <c r="BX191" s="212" t="n"/>
      <c r="BY191" s="212" t="n"/>
      <c r="BZ191" s="212" t="n"/>
      <c r="CA191" s="212" t="n"/>
      <c r="CB191" s="212" t="n"/>
      <c r="CC191" s="212" t="n"/>
      <c r="CD191" s="212" t="n"/>
      <c r="CE191" s="212" t="n"/>
      <c r="CF191" s="212" t="n"/>
      <c r="CG191" s="212" t="n"/>
      <c r="CH191" s="212" t="n"/>
      <c r="CI191" s="212" t="n"/>
      <c r="CJ191" s="212" t="n"/>
      <c r="CK191" s="212" t="n"/>
      <c r="CL191" s="212" t="n"/>
      <c r="CM191" s="212" t="n"/>
      <c r="CN191" s="212" t="n"/>
      <c r="CO191" s="212" t="n"/>
      <c r="CP191" s="212" t="n"/>
      <c r="CQ191" s="212" t="n"/>
      <c r="CR191" s="212" t="n"/>
      <c r="CS191" s="212" t="n"/>
      <c r="CT191" s="212" t="n"/>
      <c r="CU191" s="212" t="n"/>
      <c r="CV191" s="212" t="n"/>
      <c r="CW191" s="212" t="n"/>
      <c r="CX191" s="212" t="n"/>
      <c r="CY191" s="212" t="n"/>
      <c r="CZ191" s="212" t="n"/>
      <c r="DA191" s="212" t="n"/>
      <c r="DB191" s="212" t="n"/>
      <c r="DC191" s="212" t="n"/>
      <c r="DD191" s="212" t="n"/>
      <c r="DE191" s="212" t="n"/>
      <c r="DF191" s="212" t="n"/>
      <c r="DG191" s="212" t="n"/>
      <c r="DH191" s="212" t="n"/>
      <c r="DI191" s="212" t="n"/>
      <c r="DJ191" s="212" t="n"/>
      <c r="DK191" s="212" t="n"/>
      <c r="DL191" s="212" t="n"/>
      <c r="DM191" s="212" t="n"/>
      <c r="DN191" s="212" t="n"/>
      <c r="DO191" s="212" t="n"/>
      <c r="DP191" s="212" t="n"/>
      <c r="DQ191" s="212" t="n"/>
      <c r="DR191" s="212" t="n"/>
      <c r="DS191" s="212" t="n"/>
      <c r="DT191" s="212" t="n"/>
      <c r="DU191" s="212" t="n"/>
      <c r="DV191" s="212" t="n"/>
      <c r="DW191" s="212" t="n"/>
      <c r="DX191" s="212" t="n"/>
      <c r="DY191" s="212" t="n"/>
      <c r="DZ191" s="212" t="n"/>
      <c r="EA191" s="212" t="n"/>
      <c r="EB191" s="212" t="n"/>
      <c r="EC191" s="212" t="n"/>
      <c r="ED191" s="212" t="n"/>
      <c r="EE191" s="212" t="n"/>
      <c r="EF191" s="212" t="n"/>
      <c r="EG191" s="212" t="n"/>
      <c r="EH191" s="212" t="n"/>
      <c r="EI191" s="212" t="n"/>
      <c r="EJ191" s="212" t="n"/>
      <c r="EK191" s="212" t="n"/>
      <c r="EL191" s="212" t="n"/>
      <c r="EM191" s="212" t="n"/>
      <c r="EN191" s="212" t="n"/>
      <c r="EO191" s="212" t="n"/>
      <c r="EP191" s="212" t="n"/>
      <c r="EQ191" s="212" t="n"/>
      <c r="ER191" s="212" t="n"/>
      <c r="ES191" s="212" t="n"/>
      <c r="ET191" s="212" t="n"/>
      <c r="EU191" s="212" t="n"/>
      <c r="EV191" s="212" t="n"/>
      <c r="EW191" s="212" t="n"/>
      <c r="EX191" s="212" t="n"/>
      <c r="EY191" s="212" t="n"/>
      <c r="EZ191" s="212" t="n"/>
      <c r="FA191" s="212" t="n"/>
      <c r="FB191" s="212" t="n"/>
      <c r="FC191" s="212" t="n"/>
      <c r="FD191" s="212" t="n"/>
      <c r="FE191" s="212" t="n"/>
      <c r="FF191" s="212" t="n"/>
      <c r="FG191" s="212" t="n"/>
      <c r="FH191" s="212" t="n"/>
      <c r="FI191" s="212" t="n"/>
      <c r="FJ191" s="212" t="n"/>
      <c r="FK191" s="212" t="n"/>
      <c r="FL191" s="212" t="n"/>
      <c r="FM191" s="212" t="n"/>
      <c r="FN191" s="212" t="n"/>
      <c r="FO191" s="212" t="n"/>
      <c r="FP191" s="212" t="n"/>
      <c r="FQ191" s="212" t="n"/>
      <c r="FR191" s="212" t="n"/>
      <c r="FS191" s="212" t="n"/>
      <c r="FT191" s="212" t="n"/>
      <c r="FU191" s="212" t="n"/>
      <c r="FV191" s="212" t="n"/>
      <c r="FW191" s="212" t="n"/>
      <c r="FX191" s="212" t="n"/>
      <c r="FY191" s="212" t="n"/>
      <c r="FZ191" s="212" t="n"/>
      <c r="GA191" s="212" t="n"/>
      <c r="GB191" s="212" t="n"/>
      <c r="GC191" s="212" t="n"/>
      <c r="GD191" s="212" t="n"/>
      <c r="GE191" s="212" t="n"/>
      <c r="GF191" s="212" t="n"/>
      <c r="GG191" s="212" t="n"/>
      <c r="GH191" s="212" t="n"/>
      <c r="GI191" s="212" t="n"/>
      <c r="GJ191" s="212" t="n"/>
      <c r="GK191" s="212" t="n"/>
      <c r="GL191" s="212" t="n"/>
      <c r="GM191" s="212" t="n"/>
      <c r="GN191" s="212" t="n"/>
      <c r="GO191" s="212" t="n"/>
      <c r="GP191" s="212" t="n"/>
      <c r="GQ191" s="212" t="n"/>
      <c r="GR191" s="212" t="n"/>
      <c r="GS191" s="212" t="n"/>
      <c r="GT191" s="212" t="n"/>
      <c r="GU191" s="212" t="n"/>
      <c r="GV191" s="212" t="n"/>
      <c r="GW191" s="212" t="n"/>
      <c r="GX191" s="212" t="n"/>
      <c r="GY191" s="212" t="n"/>
      <c r="GZ191" s="212" t="n"/>
      <c r="HA191" s="212" t="n"/>
      <c r="HB191" s="212" t="n"/>
      <c r="HC191" s="212" t="n"/>
      <c r="HD191" s="212" t="n"/>
      <c r="HE191" s="212" t="n"/>
      <c r="HF191" s="212" t="n"/>
      <c r="HG191" s="212" t="n"/>
      <c r="HH191" s="212" t="n"/>
      <c r="HI191" s="212" t="n"/>
      <c r="HJ191" s="212" t="n"/>
      <c r="HK191" s="212" t="n"/>
      <c r="HL191" s="212" t="n"/>
      <c r="HM191" s="212" t="n"/>
      <c r="HN191" s="212" t="n"/>
      <c r="HO191" s="212" t="n"/>
      <c r="HP191" s="212" t="n"/>
      <c r="HQ191" s="212" t="n"/>
      <c r="HR191" s="212" t="n"/>
      <c r="HS191" s="212" t="n"/>
      <c r="HT191" s="212" t="n"/>
      <c r="HU191" s="212" t="n"/>
      <c r="HV191" s="212" t="n"/>
      <c r="HW191" s="212" t="n"/>
      <c r="HX191" s="212" t="n"/>
      <c r="HY191" s="212" t="n"/>
      <c r="HZ191" s="212" t="n"/>
      <c r="IA191" s="212" t="n"/>
      <c r="IB191" s="212" t="n"/>
      <c r="IC191" s="212" t="n"/>
      <c r="ID191" s="212" t="n"/>
      <c r="IE191" s="212" t="n"/>
      <c r="IF191" s="212" t="n"/>
      <c r="IG191" s="212" t="n"/>
      <c r="IH191" s="212" t="n"/>
      <c r="II191" s="212" t="n"/>
      <c r="IJ191" s="212" t="n"/>
      <c r="IK191" s="212" t="n"/>
      <c r="IL191" s="212" t="n"/>
      <c r="IM191" s="212" t="n"/>
      <c r="IN191" s="212" t="n"/>
      <c r="IO191" s="212" t="n"/>
      <c r="IP191" s="212" t="n"/>
      <c r="IQ191" s="212" t="n"/>
      <c r="IR191" s="212" t="n"/>
      <c r="IS191" s="212" t="n"/>
      <c r="IT191" s="212" t="n"/>
      <c r="IU191" s="212" t="n"/>
      <c r="IV191" s="212" t="n"/>
      <c r="IW191" s="212" t="n"/>
      <c r="IX191" s="212" t="n"/>
      <c r="IY191" s="212" t="n"/>
      <c r="IZ191" s="212" t="n"/>
      <c r="JA191" s="212" t="n"/>
      <c r="JB191" s="212" t="n"/>
      <c r="JC191" s="212" t="n"/>
      <c r="JD191" s="212" t="n"/>
      <c r="JE191" s="212" t="n"/>
      <c r="JF191" s="212" t="n"/>
      <c r="JG191" s="212" t="n"/>
      <c r="JH191" s="212" t="n"/>
      <c r="JI191" s="212" t="n"/>
      <c r="JJ191" s="212" t="n"/>
      <c r="JK191" s="212" t="n"/>
      <c r="JL191" s="212" t="n"/>
      <c r="JM191" s="212" t="n"/>
      <c r="JN191" s="212" t="n"/>
      <c r="JO191" s="212" t="n"/>
      <c r="JP191" s="212" t="n"/>
      <c r="JQ191" s="212" t="n"/>
      <c r="JR191" s="212" t="n"/>
      <c r="JS191" s="212" t="n"/>
      <c r="JT191" s="212" t="n"/>
      <c r="JU191" s="212" t="n"/>
      <c r="JV191" s="212" t="n"/>
      <c r="JW191" s="212" t="n"/>
      <c r="JX191" s="212" t="n"/>
      <c r="JY191" s="212" t="n"/>
      <c r="JZ191" s="212" t="n"/>
      <c r="KA191" s="212" t="n"/>
      <c r="KB191" s="212" t="n"/>
      <c r="KC191" s="212" t="n"/>
      <c r="KD191" s="212" t="n"/>
      <c r="KE191" s="212" t="n"/>
      <c r="KF191" s="212" t="n"/>
      <c r="KG191" s="212" t="n"/>
      <c r="KH191" s="212" t="n"/>
      <c r="KI191" s="212" t="n"/>
      <c r="KJ191" s="212" t="n"/>
      <c r="KK191" s="212" t="n"/>
      <c r="KL191" s="212" t="n"/>
      <c r="KM191" s="212" t="n"/>
      <c r="KN191" s="212" t="n"/>
      <c r="KO191" s="212" t="n"/>
      <c r="KP191" s="212" t="n"/>
      <c r="KQ191" s="212" t="n"/>
      <c r="KR191" s="212" t="n"/>
      <c r="KS191" s="212" t="n"/>
      <c r="KT191" s="212" t="n"/>
      <c r="KU191" s="212" t="n"/>
      <c r="KV191" s="212" t="n"/>
      <c r="KW191" s="212" t="n"/>
      <c r="KX191" s="212" t="n"/>
      <c r="KY191" s="212" t="n"/>
      <c r="KZ191" s="212" t="n"/>
      <c r="LA191" s="212" t="n"/>
      <c r="LB191" s="212" t="n"/>
      <c r="LC191" s="212" t="n"/>
      <c r="LD191" s="212" t="n"/>
      <c r="LE191" s="212" t="n"/>
      <c r="LF191" s="212" t="n"/>
      <c r="LG191" s="212" t="n"/>
      <c r="LH191" s="212" t="n"/>
      <c r="LI191" s="212" t="n"/>
      <c r="LJ191" s="212" t="n"/>
      <c r="LK191" s="212" t="n"/>
      <c r="LL191" s="212" t="n"/>
      <c r="LM191" s="212" t="n"/>
      <c r="LN191" s="212" t="n"/>
      <c r="LO191" s="212" t="n"/>
      <c r="LP191" s="212" t="n"/>
      <c r="LQ191" s="212" t="n"/>
      <c r="LR191" s="212" t="n"/>
      <c r="LS191" s="212" t="n"/>
      <c r="LT191" s="212" t="n"/>
      <c r="LU191" s="212" t="n"/>
      <c r="LV191" s="212" t="n"/>
      <c r="LW191" s="212" t="n"/>
      <c r="LX191" s="212" t="n"/>
      <c r="LY191" s="212" t="n"/>
      <c r="LZ191" s="212" t="n"/>
      <c r="MA191" s="212" t="n"/>
      <c r="MB191" s="212" t="n"/>
      <c r="MC191" s="212" t="n"/>
      <c r="MD191" s="212" t="n"/>
      <c r="ME191" s="212" t="n"/>
      <c r="MF191" s="212" t="n"/>
      <c r="MG191" s="212" t="n"/>
      <c r="MH191" s="212" t="n"/>
      <c r="MI191" s="212" t="n"/>
      <c r="MJ191" s="212" t="n"/>
      <c r="MK191" s="212" t="n"/>
      <c r="ML191" s="212" t="n"/>
      <c r="MM191" s="212" t="n"/>
      <c r="MN191" s="212" t="n"/>
      <c r="MO191" s="212" t="n"/>
      <c r="MP191" s="212" t="n"/>
      <c r="MQ191" s="212" t="n"/>
      <c r="MR191" s="212" t="n"/>
      <c r="MS191" s="212" t="n"/>
      <c r="MT191" s="212" t="n"/>
      <c r="MU191" s="212" t="n"/>
      <c r="MV191" s="212" t="n"/>
      <c r="MW191" s="212" t="n"/>
      <c r="MX191" s="212" t="n"/>
      <c r="MY191" s="212" t="n"/>
      <c r="MZ191" s="212" t="n"/>
      <c r="NA191" s="212" t="n"/>
      <c r="NB191" s="212" t="n"/>
      <c r="NC191" s="212" t="n"/>
      <c r="ND191" s="212" t="n"/>
      <c r="NE191" s="212" t="n"/>
      <c r="NF191" s="212" t="n"/>
      <c r="NG191" s="212" t="n"/>
      <c r="NH191" s="212" t="n"/>
      <c r="NI191" s="212" t="n"/>
      <c r="NJ191" s="212" t="n"/>
      <c r="NK191" s="212" t="n"/>
      <c r="NL191" s="212" t="n"/>
      <c r="NM191" s="212" t="n"/>
      <c r="NN191" s="212" t="n"/>
      <c r="NO191" s="212" t="n"/>
      <c r="NP191" s="212" t="n"/>
      <c r="NQ191" s="212" t="n"/>
      <c r="NR191" s="212" t="n"/>
      <c r="NS191" s="212" t="n"/>
      <c r="NT191" s="212" t="n"/>
      <c r="NU191" s="212" t="n"/>
      <c r="NV191" s="212" t="n"/>
      <c r="NW191" s="212" t="n"/>
      <c r="NX191" s="212" t="n"/>
      <c r="NY191" s="212" t="n"/>
      <c r="NZ191" s="212" t="n"/>
      <c r="OA191" s="212" t="n"/>
      <c r="OB191" s="212" t="n"/>
      <c r="OC191" s="212" t="n"/>
      <c r="OD191" s="212" t="n"/>
      <c r="OE191" s="212" t="n"/>
      <c r="OF191" s="212" t="n"/>
      <c r="OG191" s="212" t="n"/>
      <c r="OH191" s="212" t="n"/>
      <c r="OI191" s="212" t="n"/>
      <c r="OJ191" s="212" t="n"/>
      <c r="OK191" s="212" t="n"/>
      <c r="OL191" s="212" t="n"/>
      <c r="OM191" s="212" t="n"/>
      <c r="ON191" s="212" t="n"/>
      <c r="OO191" s="212" t="n"/>
      <c r="OP191" s="212" t="n"/>
      <c r="OQ191" s="212" t="n"/>
      <c r="OR191" s="212" t="n"/>
      <c r="OS191" s="212" t="n"/>
      <c r="OT191" s="212" t="n"/>
      <c r="OU191" s="212" t="n"/>
      <c r="OV191" s="212" t="n"/>
      <c r="OW191" s="212" t="n"/>
      <c r="OX191" s="212" t="n"/>
      <c r="OY191" s="212" t="n"/>
      <c r="OZ191" s="212" t="n"/>
      <c r="PA191" s="212" t="n"/>
      <c r="PB191" s="212" t="n"/>
      <c r="PC191" s="212" t="n"/>
      <c r="PD191" s="212" t="n"/>
      <c r="PE191" s="212" t="n"/>
      <c r="PF191" s="212" t="n"/>
      <c r="PG191" s="212" t="n"/>
      <c r="PH191" s="212" t="n"/>
      <c r="PI191" s="212" t="n"/>
      <c r="PJ191" s="212" t="n"/>
      <c r="PK191" s="212" t="n"/>
      <c r="PL191" s="212" t="n"/>
      <c r="PM191" s="212" t="n"/>
      <c r="PN191" s="212" t="n"/>
      <c r="PO191" s="212" t="n"/>
      <c r="PP191" s="212" t="n"/>
      <c r="PQ191" s="212" t="n"/>
      <c r="PR191" s="212" t="n"/>
      <c r="PS191" s="212" t="n"/>
      <c r="PT191" s="212" t="n"/>
      <c r="PU191" s="212" t="n"/>
      <c r="PV191" s="212" t="n"/>
      <c r="PW191" s="212" t="n"/>
      <c r="PX191" s="212" t="n"/>
      <c r="PY191" s="212" t="n"/>
      <c r="PZ191" s="212" t="n"/>
      <c r="QA191" s="212" t="n"/>
      <c r="QB191" s="212" t="n"/>
      <c r="QC191" s="212" t="n"/>
      <c r="QD191" s="212" t="n"/>
      <c r="QE191" s="212" t="n"/>
      <c r="QF191" s="212" t="n"/>
      <c r="QG191" s="212" t="n"/>
      <c r="QH191" s="212" t="n"/>
      <c r="QI191" s="212" t="n"/>
      <c r="QJ191" s="212" t="n"/>
      <c r="QK191" s="212" t="n"/>
      <c r="QL191" s="212" t="n"/>
      <c r="QM191" s="212" t="n"/>
      <c r="QN191" s="212" t="n"/>
      <c r="QO191" s="212" t="n"/>
      <c r="QP191" s="212" t="n"/>
      <c r="QQ191" s="212" t="n"/>
      <c r="QR191" s="212" t="n"/>
      <c r="QS191" s="212" t="n"/>
      <c r="QT191" s="212" t="n"/>
      <c r="QU191" s="212" t="n"/>
      <c r="QV191" s="212" t="n"/>
      <c r="QW191" s="212" t="n"/>
      <c r="QX191" s="212" t="n"/>
      <c r="QY191" s="212" t="n"/>
      <c r="QZ191" s="212" t="n"/>
      <c r="RA191" s="212" t="n"/>
      <c r="RB191" s="212" t="n"/>
      <c r="RC191" s="212" t="n"/>
      <c r="RD191" s="212" t="n"/>
      <c r="RE191" s="212" t="n"/>
      <c r="RF191" s="212" t="n"/>
      <c r="RG191" s="212" t="n"/>
      <c r="RH191" s="212" t="n"/>
      <c r="RI191" s="212" t="n"/>
      <c r="RJ191" s="212" t="n"/>
      <c r="RK191" s="212" t="n"/>
      <c r="RL191" s="212" t="n"/>
      <c r="RM191" s="212" t="n"/>
      <c r="RN191" s="212" t="n"/>
      <c r="RO191" s="212" t="n"/>
      <c r="RP191" s="212" t="n"/>
      <c r="RQ191" s="212" t="n"/>
      <c r="RR191" s="212" t="n"/>
      <c r="RS191" s="212" t="n"/>
      <c r="RT191" s="212" t="n"/>
      <c r="RU191" s="212" t="n"/>
      <c r="RV191" s="212" t="n"/>
      <c r="RW191" s="212" t="n"/>
      <c r="RX191" s="212" t="n"/>
      <c r="RY191" s="212" t="n"/>
      <c r="RZ191" s="212" t="n"/>
      <c r="SA191" s="212" t="n"/>
      <c r="SB191" s="212" t="n"/>
      <c r="SC191" s="212" t="n"/>
      <c r="SD191" s="212" t="n"/>
      <c r="SE191" s="212" t="n"/>
      <c r="SF191" s="212" t="n"/>
      <c r="SG191" s="212" t="n"/>
      <c r="SH191" s="212" t="n"/>
      <c r="SI191" s="212" t="n"/>
      <c r="SJ191" s="212" t="n"/>
      <c r="SK191" s="212" t="n"/>
      <c r="SL191" s="212" t="n"/>
      <c r="SM191" s="212" t="n"/>
      <c r="SN191" s="212" t="n"/>
      <c r="SO191" s="212" t="n"/>
      <c r="SP191" s="212" t="n"/>
      <c r="SQ191" s="212" t="n"/>
      <c r="SR191" s="212" t="n"/>
      <c r="SS191" s="212" t="n"/>
      <c r="ST191" s="212" t="n"/>
      <c r="SU191" s="212" t="n"/>
      <c r="SV191" s="212" t="n"/>
    </row>
    <row r="192">
      <c r="B192" s="209" t="n"/>
      <c r="C192" s="209" t="n"/>
      <c r="D192" s="209" t="n"/>
      <c r="E192" s="209" t="n"/>
      <c r="F192" s="209">
        <f>IF(TRIM(D192&amp;E192)="","",TRIM(D192)&amp;" "&amp;TRIM(E192))</f>
        <v/>
      </c>
      <c r="G192" s="209" t="n"/>
      <c r="H192" s="209" t="n"/>
      <c r="I192" s="209" t="n"/>
      <c r="J192" s="209" t="n"/>
      <c r="K192" s="209" t="n"/>
      <c r="L192" s="209" t="n"/>
      <c r="M192" s="209" t="n"/>
      <c r="N192" s="209" t="n"/>
      <c r="O192" s="209" t="n"/>
      <c r="P192" s="209" t="n"/>
      <c r="Q192" s="209" t="n"/>
      <c r="R192" s="209" t="n"/>
      <c r="S192" s="212" t="n"/>
      <c r="T192" s="212" t="n"/>
      <c r="U192" s="212" t="n"/>
      <c r="V192" s="212" t="n"/>
      <c r="W192" s="212" t="n"/>
      <c r="X192" s="212" t="n"/>
      <c r="Y192" s="212" t="n"/>
      <c r="Z192" s="212" t="n"/>
      <c r="AA192" s="212" t="n"/>
      <c r="AB192" s="212" t="n"/>
      <c r="AC192" s="212" t="n"/>
      <c r="AD192" s="212" t="n"/>
      <c r="AE192" s="212" t="n"/>
      <c r="AF192" s="212" t="n"/>
      <c r="AG192" s="212" t="n"/>
      <c r="AH192" s="212" t="n"/>
      <c r="AI192" s="212" t="n"/>
      <c r="AJ192" s="212" t="n"/>
      <c r="AK192" s="212" t="n"/>
      <c r="AL192" s="212" t="n"/>
      <c r="AM192" s="212" t="n"/>
      <c r="AN192" s="212" t="n"/>
      <c r="AO192" s="212" t="n"/>
      <c r="AP192" s="212" t="n"/>
      <c r="AQ192" s="212" t="n"/>
      <c r="AR192" s="212" t="n"/>
      <c r="AS192" s="212" t="n"/>
      <c r="AT192" s="212" t="n"/>
      <c r="AU192" s="212" t="n"/>
      <c r="AV192" s="212" t="n"/>
      <c r="AW192" s="212" t="n"/>
      <c r="AX192" s="212" t="n"/>
      <c r="AY192" s="212" t="n"/>
      <c r="AZ192" s="212" t="n"/>
      <c r="BA192" s="212" t="n"/>
      <c r="BB192" s="212" t="n"/>
      <c r="BC192" s="212" t="n"/>
      <c r="BD192" s="212" t="n"/>
      <c r="BE192" s="212" t="n"/>
      <c r="BF192" s="212" t="n"/>
      <c r="BG192" s="212" t="n"/>
      <c r="BH192" s="212" t="n"/>
      <c r="BI192" s="212" t="n"/>
      <c r="BJ192" s="212" t="n"/>
      <c r="BK192" s="212" t="n"/>
      <c r="BL192" s="212" t="n"/>
      <c r="BM192" s="212" t="n"/>
      <c r="BN192" s="212" t="n"/>
      <c r="BO192" s="212" t="n"/>
      <c r="BP192" s="212" t="n"/>
      <c r="BQ192" s="212" t="n"/>
      <c r="BR192" s="212" t="n"/>
      <c r="BS192" s="212" t="n"/>
      <c r="BT192" s="212" t="n"/>
      <c r="BU192" s="212" t="n"/>
      <c r="BV192" s="212" t="n"/>
      <c r="BW192" s="212" t="n"/>
      <c r="BX192" s="212" t="n"/>
      <c r="BY192" s="212" t="n"/>
      <c r="BZ192" s="212" t="n"/>
      <c r="CA192" s="212" t="n"/>
      <c r="CB192" s="212" t="n"/>
      <c r="CC192" s="212" t="n"/>
      <c r="CD192" s="212" t="n"/>
      <c r="CE192" s="212" t="n"/>
      <c r="CF192" s="212" t="n"/>
      <c r="CG192" s="212" t="n"/>
      <c r="CH192" s="212" t="n"/>
      <c r="CI192" s="212" t="n"/>
      <c r="CJ192" s="212" t="n"/>
      <c r="CK192" s="212" t="n"/>
      <c r="CL192" s="212" t="n"/>
      <c r="CM192" s="212" t="n"/>
      <c r="CN192" s="212" t="n"/>
      <c r="CO192" s="212" t="n"/>
      <c r="CP192" s="212" t="n"/>
      <c r="CQ192" s="212" t="n"/>
      <c r="CR192" s="212" t="n"/>
      <c r="CS192" s="212" t="n"/>
      <c r="CT192" s="212" t="n"/>
      <c r="CU192" s="212" t="n"/>
      <c r="CV192" s="212" t="n"/>
      <c r="CW192" s="212" t="n"/>
      <c r="CX192" s="212" t="n"/>
      <c r="CY192" s="212" t="n"/>
      <c r="CZ192" s="212" t="n"/>
      <c r="DA192" s="212" t="n"/>
      <c r="DB192" s="212" t="n"/>
      <c r="DC192" s="212" t="n"/>
      <c r="DD192" s="212" t="n"/>
      <c r="DE192" s="212" t="n"/>
      <c r="DF192" s="212" t="n"/>
      <c r="DG192" s="212" t="n"/>
      <c r="DH192" s="212" t="n"/>
      <c r="DI192" s="212" t="n"/>
      <c r="DJ192" s="212" t="n"/>
      <c r="DK192" s="212" t="n"/>
      <c r="DL192" s="212" t="n"/>
      <c r="DM192" s="212" t="n"/>
      <c r="DN192" s="212" t="n"/>
      <c r="DO192" s="212" t="n"/>
      <c r="DP192" s="212" t="n"/>
      <c r="DQ192" s="212" t="n"/>
      <c r="DR192" s="212" t="n"/>
      <c r="DS192" s="212" t="n"/>
      <c r="DT192" s="212" t="n"/>
      <c r="DU192" s="212" t="n"/>
      <c r="DV192" s="212" t="n"/>
      <c r="DW192" s="212" t="n"/>
      <c r="DX192" s="212" t="n"/>
      <c r="DY192" s="212" t="n"/>
      <c r="DZ192" s="212" t="n"/>
      <c r="EA192" s="212" t="n"/>
      <c r="EB192" s="212" t="n"/>
      <c r="EC192" s="212" t="n"/>
      <c r="ED192" s="212" t="n"/>
      <c r="EE192" s="212" t="n"/>
      <c r="EF192" s="212" t="n"/>
      <c r="EG192" s="212" t="n"/>
      <c r="EH192" s="212" t="n"/>
      <c r="EI192" s="212" t="n"/>
      <c r="EJ192" s="212" t="n"/>
      <c r="EK192" s="212" t="n"/>
      <c r="EL192" s="212" t="n"/>
      <c r="EM192" s="212" t="n"/>
      <c r="EN192" s="212" t="n"/>
      <c r="EO192" s="212" t="n"/>
      <c r="EP192" s="212" t="n"/>
      <c r="EQ192" s="212" t="n"/>
      <c r="ER192" s="212" t="n"/>
      <c r="ES192" s="212" t="n"/>
      <c r="ET192" s="212" t="n"/>
      <c r="EU192" s="212" t="n"/>
      <c r="EV192" s="212" t="n"/>
      <c r="EW192" s="212" t="n"/>
      <c r="EX192" s="212" t="n"/>
      <c r="EY192" s="212" t="n"/>
      <c r="EZ192" s="212" t="n"/>
      <c r="FA192" s="212" t="n"/>
      <c r="FB192" s="212" t="n"/>
      <c r="FC192" s="212" t="n"/>
      <c r="FD192" s="212" t="n"/>
      <c r="FE192" s="212" t="n"/>
      <c r="FF192" s="212" t="n"/>
      <c r="FG192" s="212" t="n"/>
      <c r="FH192" s="212" t="n"/>
      <c r="FI192" s="212" t="n"/>
      <c r="FJ192" s="212" t="n"/>
      <c r="FK192" s="212" t="n"/>
      <c r="FL192" s="212" t="n"/>
      <c r="FM192" s="212" t="n"/>
      <c r="FN192" s="212" t="n"/>
      <c r="FO192" s="212" t="n"/>
      <c r="FP192" s="212" t="n"/>
      <c r="FQ192" s="212" t="n"/>
      <c r="FR192" s="212" t="n"/>
      <c r="FS192" s="212" t="n"/>
      <c r="FT192" s="212" t="n"/>
      <c r="FU192" s="212" t="n"/>
      <c r="FV192" s="212" t="n"/>
      <c r="FW192" s="212" t="n"/>
      <c r="FX192" s="212" t="n"/>
      <c r="FY192" s="212" t="n"/>
      <c r="FZ192" s="212" t="n"/>
      <c r="GA192" s="212" t="n"/>
      <c r="GB192" s="212" t="n"/>
      <c r="GC192" s="212" t="n"/>
      <c r="GD192" s="212" t="n"/>
      <c r="GE192" s="212" t="n"/>
      <c r="GF192" s="212" t="n"/>
      <c r="GG192" s="212" t="n"/>
      <c r="GH192" s="212" t="n"/>
      <c r="GI192" s="212" t="n"/>
      <c r="GJ192" s="212" t="n"/>
      <c r="GK192" s="212" t="n"/>
      <c r="GL192" s="212" t="n"/>
      <c r="GM192" s="212" t="n"/>
      <c r="GN192" s="212" t="n"/>
      <c r="GO192" s="212" t="n"/>
      <c r="GP192" s="212" t="n"/>
      <c r="GQ192" s="212" t="n"/>
      <c r="GR192" s="212" t="n"/>
      <c r="GS192" s="212" t="n"/>
      <c r="GT192" s="212" t="n"/>
      <c r="GU192" s="212" t="n"/>
      <c r="GV192" s="212" t="n"/>
      <c r="GW192" s="212" t="n"/>
      <c r="GX192" s="212" t="n"/>
      <c r="GY192" s="212" t="n"/>
      <c r="GZ192" s="212" t="n"/>
      <c r="HA192" s="212" t="n"/>
      <c r="HB192" s="212" t="n"/>
      <c r="HC192" s="212" t="n"/>
      <c r="HD192" s="212" t="n"/>
      <c r="HE192" s="212" t="n"/>
      <c r="HF192" s="212" t="n"/>
      <c r="HG192" s="212" t="n"/>
      <c r="HH192" s="212" t="n"/>
      <c r="HI192" s="212" t="n"/>
      <c r="HJ192" s="212" t="n"/>
      <c r="HK192" s="212" t="n"/>
      <c r="HL192" s="212" t="n"/>
      <c r="HM192" s="212" t="n"/>
      <c r="HN192" s="212" t="n"/>
      <c r="HO192" s="212" t="n"/>
      <c r="HP192" s="212" t="n"/>
      <c r="HQ192" s="212" t="n"/>
      <c r="HR192" s="212" t="n"/>
      <c r="HS192" s="212" t="n"/>
      <c r="HT192" s="212" t="n"/>
      <c r="HU192" s="212" t="n"/>
      <c r="HV192" s="212" t="n"/>
      <c r="HW192" s="212" t="n"/>
      <c r="HX192" s="212" t="n"/>
      <c r="HY192" s="212" t="n"/>
      <c r="HZ192" s="212" t="n"/>
      <c r="IA192" s="212" t="n"/>
      <c r="IB192" s="212" t="n"/>
      <c r="IC192" s="212" t="n"/>
      <c r="ID192" s="212" t="n"/>
      <c r="IE192" s="212" t="n"/>
      <c r="IF192" s="212" t="n"/>
      <c r="IG192" s="212" t="n"/>
      <c r="IH192" s="212" t="n"/>
      <c r="II192" s="212" t="n"/>
      <c r="IJ192" s="212" t="n"/>
      <c r="IK192" s="212" t="n"/>
      <c r="IL192" s="212" t="n"/>
      <c r="IM192" s="212" t="n"/>
      <c r="IN192" s="212" t="n"/>
      <c r="IO192" s="212" t="n"/>
      <c r="IP192" s="212" t="n"/>
      <c r="IQ192" s="212" t="n"/>
      <c r="IR192" s="212" t="n"/>
      <c r="IS192" s="212" t="n"/>
      <c r="IT192" s="212" t="n"/>
      <c r="IU192" s="212" t="n"/>
      <c r="IV192" s="212" t="n"/>
      <c r="IW192" s="212" t="n"/>
      <c r="IX192" s="212" t="n"/>
      <c r="IY192" s="212" t="n"/>
      <c r="IZ192" s="212" t="n"/>
      <c r="JA192" s="212" t="n"/>
      <c r="JB192" s="212" t="n"/>
      <c r="JC192" s="212" t="n"/>
      <c r="JD192" s="212" t="n"/>
      <c r="JE192" s="212" t="n"/>
      <c r="JF192" s="212" t="n"/>
      <c r="JG192" s="212" t="n"/>
      <c r="JH192" s="212" t="n"/>
      <c r="JI192" s="212" t="n"/>
      <c r="JJ192" s="212" t="n"/>
      <c r="JK192" s="212" t="n"/>
      <c r="JL192" s="212" t="n"/>
      <c r="JM192" s="212" t="n"/>
      <c r="JN192" s="212" t="n"/>
      <c r="JO192" s="212" t="n"/>
      <c r="JP192" s="212" t="n"/>
      <c r="JQ192" s="212" t="n"/>
      <c r="JR192" s="212" t="n"/>
      <c r="JS192" s="212" t="n"/>
      <c r="JT192" s="212" t="n"/>
      <c r="JU192" s="212" t="n"/>
      <c r="JV192" s="212" t="n"/>
      <c r="JW192" s="212" t="n"/>
      <c r="JX192" s="212" t="n"/>
      <c r="JY192" s="212" t="n"/>
      <c r="JZ192" s="212" t="n"/>
      <c r="KA192" s="212" t="n"/>
      <c r="KB192" s="212" t="n"/>
      <c r="KC192" s="212" t="n"/>
      <c r="KD192" s="212" t="n"/>
      <c r="KE192" s="212" t="n"/>
      <c r="KF192" s="212" t="n"/>
      <c r="KG192" s="212" t="n"/>
      <c r="KH192" s="212" t="n"/>
      <c r="KI192" s="212" t="n"/>
      <c r="KJ192" s="212" t="n"/>
      <c r="KK192" s="212" t="n"/>
      <c r="KL192" s="212" t="n"/>
      <c r="KM192" s="212" t="n"/>
      <c r="KN192" s="212" t="n"/>
      <c r="KO192" s="212" t="n"/>
      <c r="KP192" s="212" t="n"/>
      <c r="KQ192" s="212" t="n"/>
      <c r="KR192" s="212" t="n"/>
      <c r="KS192" s="212" t="n"/>
      <c r="KT192" s="212" t="n"/>
      <c r="KU192" s="212" t="n"/>
      <c r="KV192" s="212" t="n"/>
      <c r="KW192" s="212" t="n"/>
      <c r="KX192" s="212" t="n"/>
      <c r="KY192" s="212" t="n"/>
      <c r="KZ192" s="212" t="n"/>
      <c r="LA192" s="212" t="n"/>
      <c r="LB192" s="212" t="n"/>
      <c r="LC192" s="212" t="n"/>
      <c r="LD192" s="212" t="n"/>
      <c r="LE192" s="212" t="n"/>
      <c r="LF192" s="212" t="n"/>
      <c r="LG192" s="212" t="n"/>
      <c r="LH192" s="212" t="n"/>
      <c r="LI192" s="212" t="n"/>
      <c r="LJ192" s="212" t="n"/>
      <c r="LK192" s="212" t="n"/>
      <c r="LL192" s="212" t="n"/>
      <c r="LM192" s="212" t="n"/>
      <c r="LN192" s="212" t="n"/>
      <c r="LO192" s="212" t="n"/>
      <c r="LP192" s="212" t="n"/>
      <c r="LQ192" s="212" t="n"/>
      <c r="LR192" s="212" t="n"/>
      <c r="LS192" s="212" t="n"/>
      <c r="LT192" s="212" t="n"/>
      <c r="LU192" s="212" t="n"/>
      <c r="LV192" s="212" t="n"/>
      <c r="LW192" s="212" t="n"/>
      <c r="LX192" s="212" t="n"/>
      <c r="LY192" s="212" t="n"/>
      <c r="LZ192" s="212" t="n"/>
      <c r="MA192" s="212" t="n"/>
      <c r="MB192" s="212" t="n"/>
      <c r="MC192" s="212" t="n"/>
      <c r="MD192" s="212" t="n"/>
      <c r="ME192" s="212" t="n"/>
      <c r="MF192" s="212" t="n"/>
      <c r="MG192" s="212" t="n"/>
      <c r="MH192" s="212" t="n"/>
      <c r="MI192" s="212" t="n"/>
      <c r="MJ192" s="212" t="n"/>
      <c r="MK192" s="212" t="n"/>
      <c r="ML192" s="212" t="n"/>
      <c r="MM192" s="212" t="n"/>
      <c r="MN192" s="212" t="n"/>
      <c r="MO192" s="212" t="n"/>
      <c r="MP192" s="212" t="n"/>
      <c r="MQ192" s="212" t="n"/>
      <c r="MR192" s="212" t="n"/>
      <c r="MS192" s="212" t="n"/>
      <c r="MT192" s="212" t="n"/>
      <c r="MU192" s="212" t="n"/>
      <c r="MV192" s="212" t="n"/>
      <c r="MW192" s="212" t="n"/>
      <c r="MX192" s="212" t="n"/>
      <c r="MY192" s="212" t="n"/>
      <c r="MZ192" s="212" t="n"/>
      <c r="NA192" s="212" t="n"/>
      <c r="NB192" s="212" t="n"/>
      <c r="NC192" s="212" t="n"/>
      <c r="ND192" s="212" t="n"/>
      <c r="NE192" s="212" t="n"/>
      <c r="NF192" s="212" t="n"/>
      <c r="NG192" s="212" t="n"/>
      <c r="NH192" s="212" t="n"/>
      <c r="NI192" s="212" t="n"/>
      <c r="NJ192" s="212" t="n"/>
      <c r="NK192" s="212" t="n"/>
      <c r="NL192" s="212" t="n"/>
      <c r="NM192" s="212" t="n"/>
      <c r="NN192" s="212" t="n"/>
      <c r="NO192" s="212" t="n"/>
      <c r="NP192" s="212" t="n"/>
      <c r="NQ192" s="212" t="n"/>
      <c r="NR192" s="212" t="n"/>
      <c r="NS192" s="212" t="n"/>
      <c r="NT192" s="212" t="n"/>
      <c r="NU192" s="212" t="n"/>
      <c r="NV192" s="212" t="n"/>
      <c r="NW192" s="212" t="n"/>
      <c r="NX192" s="212" t="n"/>
      <c r="NY192" s="212" t="n"/>
      <c r="NZ192" s="212" t="n"/>
      <c r="OA192" s="212" t="n"/>
      <c r="OB192" s="212" t="n"/>
      <c r="OC192" s="212" t="n"/>
      <c r="OD192" s="212" t="n"/>
      <c r="OE192" s="212" t="n"/>
      <c r="OF192" s="212" t="n"/>
      <c r="OG192" s="212" t="n"/>
      <c r="OH192" s="212" t="n"/>
      <c r="OI192" s="212" t="n"/>
      <c r="OJ192" s="212" t="n"/>
      <c r="OK192" s="212" t="n"/>
      <c r="OL192" s="212" t="n"/>
      <c r="OM192" s="212" t="n"/>
      <c r="ON192" s="212" t="n"/>
      <c r="OO192" s="212" t="n"/>
      <c r="OP192" s="212" t="n"/>
      <c r="OQ192" s="212" t="n"/>
      <c r="OR192" s="212" t="n"/>
      <c r="OS192" s="212" t="n"/>
      <c r="OT192" s="212" t="n"/>
      <c r="OU192" s="212" t="n"/>
      <c r="OV192" s="212" t="n"/>
      <c r="OW192" s="212" t="n"/>
      <c r="OX192" s="212" t="n"/>
      <c r="OY192" s="212" t="n"/>
      <c r="OZ192" s="212" t="n"/>
      <c r="PA192" s="212" t="n"/>
      <c r="PB192" s="212" t="n"/>
      <c r="PC192" s="212" t="n"/>
      <c r="PD192" s="212" t="n"/>
      <c r="PE192" s="212" t="n"/>
      <c r="PF192" s="212" t="n"/>
      <c r="PG192" s="212" t="n"/>
      <c r="PH192" s="212" t="n"/>
      <c r="PI192" s="212" t="n"/>
      <c r="PJ192" s="212" t="n"/>
      <c r="PK192" s="212" t="n"/>
      <c r="PL192" s="212" t="n"/>
      <c r="PM192" s="212" t="n"/>
      <c r="PN192" s="212" t="n"/>
      <c r="PO192" s="212" t="n"/>
      <c r="PP192" s="212" t="n"/>
      <c r="PQ192" s="212" t="n"/>
      <c r="PR192" s="212" t="n"/>
      <c r="PS192" s="212" t="n"/>
      <c r="PT192" s="212" t="n"/>
      <c r="PU192" s="212" t="n"/>
      <c r="PV192" s="212" t="n"/>
      <c r="PW192" s="212" t="n"/>
      <c r="PX192" s="212" t="n"/>
      <c r="PY192" s="212" t="n"/>
      <c r="PZ192" s="212" t="n"/>
      <c r="QA192" s="212" t="n"/>
      <c r="QB192" s="212" t="n"/>
      <c r="QC192" s="212" t="n"/>
      <c r="QD192" s="212" t="n"/>
      <c r="QE192" s="212" t="n"/>
      <c r="QF192" s="212" t="n"/>
      <c r="QG192" s="212" t="n"/>
      <c r="QH192" s="212" t="n"/>
      <c r="QI192" s="212" t="n"/>
      <c r="QJ192" s="212" t="n"/>
      <c r="QK192" s="212" t="n"/>
      <c r="QL192" s="212" t="n"/>
      <c r="QM192" s="212" t="n"/>
      <c r="QN192" s="212" t="n"/>
      <c r="QO192" s="212" t="n"/>
      <c r="QP192" s="212" t="n"/>
      <c r="QQ192" s="212" t="n"/>
      <c r="QR192" s="212" t="n"/>
      <c r="QS192" s="212" t="n"/>
      <c r="QT192" s="212" t="n"/>
      <c r="QU192" s="212" t="n"/>
      <c r="QV192" s="212" t="n"/>
      <c r="QW192" s="212" t="n"/>
      <c r="QX192" s="212" t="n"/>
      <c r="QY192" s="212" t="n"/>
      <c r="QZ192" s="212" t="n"/>
      <c r="RA192" s="212" t="n"/>
      <c r="RB192" s="212" t="n"/>
      <c r="RC192" s="212" t="n"/>
      <c r="RD192" s="212" t="n"/>
      <c r="RE192" s="212" t="n"/>
      <c r="RF192" s="212" t="n"/>
      <c r="RG192" s="212" t="n"/>
      <c r="RH192" s="212" t="n"/>
      <c r="RI192" s="212" t="n"/>
      <c r="RJ192" s="212" t="n"/>
      <c r="RK192" s="212" t="n"/>
      <c r="RL192" s="212" t="n"/>
      <c r="RM192" s="212" t="n"/>
      <c r="RN192" s="212" t="n"/>
      <c r="RO192" s="212" t="n"/>
      <c r="RP192" s="212" t="n"/>
      <c r="RQ192" s="212" t="n"/>
      <c r="RR192" s="212" t="n"/>
      <c r="RS192" s="212" t="n"/>
      <c r="RT192" s="212" t="n"/>
      <c r="RU192" s="212" t="n"/>
      <c r="RV192" s="212" t="n"/>
      <c r="RW192" s="212" t="n"/>
      <c r="RX192" s="212" t="n"/>
      <c r="RY192" s="212" t="n"/>
      <c r="RZ192" s="212" t="n"/>
      <c r="SA192" s="212" t="n"/>
      <c r="SB192" s="212" t="n"/>
      <c r="SC192" s="212" t="n"/>
      <c r="SD192" s="212" t="n"/>
      <c r="SE192" s="212" t="n"/>
      <c r="SF192" s="212" t="n"/>
      <c r="SG192" s="212" t="n"/>
      <c r="SH192" s="212" t="n"/>
      <c r="SI192" s="212" t="n"/>
      <c r="SJ192" s="212" t="n"/>
      <c r="SK192" s="212" t="n"/>
      <c r="SL192" s="212" t="n"/>
      <c r="SM192" s="212" t="n"/>
      <c r="SN192" s="212" t="n"/>
      <c r="SO192" s="212" t="n"/>
      <c r="SP192" s="212" t="n"/>
      <c r="SQ192" s="212" t="n"/>
      <c r="SR192" s="212" t="n"/>
      <c r="SS192" s="212" t="n"/>
      <c r="ST192" s="212" t="n"/>
      <c r="SU192" s="212" t="n"/>
      <c r="SV192" s="212" t="n"/>
    </row>
    <row r="193">
      <c r="B193" s="209" t="n"/>
      <c r="C193" s="209" t="n"/>
      <c r="D193" s="209" t="n"/>
      <c r="E193" s="209" t="n"/>
      <c r="F193" s="209">
        <f>IF(TRIM(D193&amp;E193)="","",TRIM(D193)&amp;" "&amp;TRIM(E193))</f>
        <v/>
      </c>
      <c r="G193" s="209" t="n"/>
      <c r="H193" s="209" t="n"/>
      <c r="I193" s="209" t="n"/>
      <c r="J193" s="209" t="n"/>
      <c r="K193" s="209" t="n"/>
      <c r="L193" s="209" t="n"/>
      <c r="M193" s="209" t="n"/>
      <c r="N193" s="209" t="n"/>
      <c r="O193" s="209" t="n"/>
      <c r="P193" s="209" t="n"/>
      <c r="Q193" s="209" t="n"/>
      <c r="R193" s="209" t="n"/>
      <c r="S193" s="212" t="n"/>
      <c r="T193" s="212" t="n"/>
      <c r="U193" s="212" t="n"/>
      <c r="V193" s="212" t="n"/>
      <c r="W193" s="212" t="n"/>
      <c r="X193" s="212" t="n"/>
      <c r="Y193" s="212" t="n"/>
      <c r="Z193" s="212" t="n"/>
      <c r="AA193" s="212" t="n"/>
      <c r="AB193" s="212" t="n"/>
      <c r="AC193" s="212" t="n"/>
      <c r="AD193" s="212" t="n"/>
      <c r="AE193" s="212" t="n"/>
      <c r="AF193" s="212" t="n"/>
      <c r="AG193" s="212" t="n"/>
      <c r="AH193" s="212" t="n"/>
      <c r="AI193" s="212" t="n"/>
      <c r="AJ193" s="212" t="n"/>
      <c r="AK193" s="212" t="n"/>
      <c r="AL193" s="212" t="n"/>
      <c r="AM193" s="212" t="n"/>
      <c r="AN193" s="212" t="n"/>
      <c r="AO193" s="212" t="n"/>
      <c r="AP193" s="212" t="n"/>
      <c r="AQ193" s="212" t="n"/>
      <c r="AR193" s="212" t="n"/>
      <c r="AS193" s="212" t="n"/>
      <c r="AT193" s="212" t="n"/>
      <c r="AU193" s="212" t="n"/>
      <c r="AV193" s="212" t="n"/>
      <c r="AW193" s="212" t="n"/>
      <c r="AX193" s="212" t="n"/>
      <c r="AY193" s="212" t="n"/>
      <c r="AZ193" s="212" t="n"/>
      <c r="BA193" s="212" t="n"/>
      <c r="BB193" s="212" t="n"/>
      <c r="BC193" s="212" t="n"/>
      <c r="BD193" s="212" t="n"/>
      <c r="BE193" s="212" t="n"/>
      <c r="BF193" s="212" t="n"/>
      <c r="BG193" s="212" t="n"/>
      <c r="BH193" s="212" t="n"/>
      <c r="BI193" s="212" t="n"/>
      <c r="BJ193" s="212" t="n"/>
      <c r="BK193" s="212" t="n"/>
      <c r="BL193" s="212" t="n"/>
      <c r="BM193" s="212" t="n"/>
      <c r="BN193" s="212" t="n"/>
      <c r="BO193" s="212" t="n"/>
      <c r="BP193" s="212" t="n"/>
      <c r="BQ193" s="212" t="n"/>
      <c r="BR193" s="212" t="n"/>
      <c r="BS193" s="212" t="n"/>
      <c r="BT193" s="212" t="n"/>
      <c r="BU193" s="212" t="n"/>
      <c r="BV193" s="212" t="n"/>
      <c r="BW193" s="212" t="n"/>
      <c r="BX193" s="212" t="n"/>
      <c r="BY193" s="212" t="n"/>
      <c r="BZ193" s="212" t="n"/>
      <c r="CA193" s="212" t="n"/>
      <c r="CB193" s="212" t="n"/>
      <c r="CC193" s="212" t="n"/>
      <c r="CD193" s="212" t="n"/>
      <c r="CE193" s="212" t="n"/>
      <c r="CF193" s="212" t="n"/>
      <c r="CG193" s="212" t="n"/>
      <c r="CH193" s="212" t="n"/>
      <c r="CI193" s="212" t="n"/>
      <c r="CJ193" s="212" t="n"/>
      <c r="CK193" s="212" t="n"/>
      <c r="CL193" s="212" t="n"/>
      <c r="CM193" s="212" t="n"/>
      <c r="CN193" s="212" t="n"/>
      <c r="CO193" s="212" t="n"/>
      <c r="CP193" s="212" t="n"/>
      <c r="CQ193" s="212" t="n"/>
      <c r="CR193" s="212" t="n"/>
      <c r="CS193" s="212" t="n"/>
      <c r="CT193" s="212" t="n"/>
      <c r="CU193" s="212" t="n"/>
      <c r="CV193" s="212" t="n"/>
      <c r="CW193" s="212" t="n"/>
      <c r="CX193" s="212" t="n"/>
      <c r="CY193" s="212" t="n"/>
      <c r="CZ193" s="212" t="n"/>
      <c r="DA193" s="212" t="n"/>
      <c r="DB193" s="212" t="n"/>
      <c r="DC193" s="212" t="n"/>
      <c r="DD193" s="212" t="n"/>
      <c r="DE193" s="212" t="n"/>
      <c r="DF193" s="212" t="n"/>
      <c r="DG193" s="212" t="n"/>
      <c r="DH193" s="212" t="n"/>
      <c r="DI193" s="212" t="n"/>
      <c r="DJ193" s="212" t="n"/>
      <c r="DK193" s="212" t="n"/>
      <c r="DL193" s="212" t="n"/>
      <c r="DM193" s="212" t="n"/>
      <c r="DN193" s="212" t="n"/>
      <c r="DO193" s="212" t="n"/>
      <c r="DP193" s="212" t="n"/>
      <c r="DQ193" s="212" t="n"/>
      <c r="DR193" s="212" t="n"/>
      <c r="DS193" s="212" t="n"/>
      <c r="DT193" s="212" t="n"/>
      <c r="DU193" s="212" t="n"/>
      <c r="DV193" s="212" t="n"/>
      <c r="DW193" s="212" t="n"/>
      <c r="DX193" s="212" t="n"/>
      <c r="DY193" s="212" t="n"/>
      <c r="DZ193" s="212" t="n"/>
      <c r="EA193" s="212" t="n"/>
      <c r="EB193" s="212" t="n"/>
      <c r="EC193" s="212" t="n"/>
      <c r="ED193" s="212" t="n"/>
      <c r="EE193" s="212" t="n"/>
      <c r="EF193" s="212" t="n"/>
      <c r="EG193" s="212" t="n"/>
      <c r="EH193" s="212" t="n"/>
      <c r="EI193" s="212" t="n"/>
      <c r="EJ193" s="212" t="n"/>
      <c r="EK193" s="212" t="n"/>
      <c r="EL193" s="212" t="n"/>
      <c r="EM193" s="212" t="n"/>
      <c r="EN193" s="212" t="n"/>
      <c r="EO193" s="212" t="n"/>
      <c r="EP193" s="212" t="n"/>
      <c r="EQ193" s="212" t="n"/>
      <c r="ER193" s="212" t="n"/>
      <c r="ES193" s="212" t="n"/>
      <c r="ET193" s="212" t="n"/>
      <c r="EU193" s="212" t="n"/>
      <c r="EV193" s="212" t="n"/>
      <c r="EW193" s="212" t="n"/>
      <c r="EX193" s="212" t="n"/>
      <c r="EY193" s="212" t="n"/>
      <c r="EZ193" s="212" t="n"/>
      <c r="FA193" s="212" t="n"/>
      <c r="FB193" s="212" t="n"/>
      <c r="FC193" s="212" t="n"/>
      <c r="FD193" s="212" t="n"/>
      <c r="FE193" s="212" t="n"/>
      <c r="FF193" s="212" t="n"/>
      <c r="FG193" s="212" t="n"/>
      <c r="FH193" s="212" t="n"/>
      <c r="FI193" s="212" t="n"/>
      <c r="FJ193" s="212" t="n"/>
      <c r="FK193" s="212" t="n"/>
      <c r="FL193" s="212" t="n"/>
      <c r="FM193" s="212" t="n"/>
      <c r="FN193" s="212" t="n"/>
      <c r="FO193" s="212" t="n"/>
      <c r="FP193" s="212" t="n"/>
      <c r="FQ193" s="212" t="n"/>
      <c r="FR193" s="212" t="n"/>
      <c r="FS193" s="212" t="n"/>
      <c r="FT193" s="212" t="n"/>
      <c r="FU193" s="212" t="n"/>
      <c r="FV193" s="212" t="n"/>
      <c r="FW193" s="212" t="n"/>
      <c r="FX193" s="212" t="n"/>
      <c r="FY193" s="212" t="n"/>
      <c r="FZ193" s="212" t="n"/>
      <c r="GA193" s="212" t="n"/>
      <c r="GB193" s="212" t="n"/>
      <c r="GC193" s="212" t="n"/>
      <c r="GD193" s="212" t="n"/>
      <c r="GE193" s="212" t="n"/>
      <c r="GF193" s="212" t="n"/>
      <c r="GG193" s="212" t="n"/>
      <c r="GH193" s="212" t="n"/>
      <c r="GI193" s="212" t="n"/>
      <c r="GJ193" s="212" t="n"/>
      <c r="GK193" s="212" t="n"/>
      <c r="GL193" s="212" t="n"/>
      <c r="GM193" s="212" t="n"/>
      <c r="GN193" s="212" t="n"/>
      <c r="GO193" s="212" t="n"/>
      <c r="GP193" s="212" t="n"/>
      <c r="GQ193" s="212" t="n"/>
      <c r="GR193" s="212" t="n"/>
      <c r="GS193" s="212" t="n"/>
      <c r="GT193" s="212" t="n"/>
      <c r="GU193" s="212" t="n"/>
      <c r="GV193" s="212" t="n"/>
      <c r="GW193" s="212" t="n"/>
      <c r="GX193" s="212" t="n"/>
      <c r="GY193" s="212" t="n"/>
      <c r="GZ193" s="212" t="n"/>
      <c r="HA193" s="212" t="n"/>
      <c r="HB193" s="212" t="n"/>
      <c r="HC193" s="212" t="n"/>
      <c r="HD193" s="212" t="n"/>
      <c r="HE193" s="212" t="n"/>
      <c r="HF193" s="212" t="n"/>
      <c r="HG193" s="212" t="n"/>
      <c r="HH193" s="212" t="n"/>
      <c r="HI193" s="212" t="n"/>
      <c r="HJ193" s="212" t="n"/>
      <c r="HK193" s="212" t="n"/>
      <c r="HL193" s="212" t="n"/>
      <c r="HM193" s="212" t="n"/>
      <c r="HN193" s="212" t="n"/>
      <c r="HO193" s="212" t="n"/>
      <c r="HP193" s="212" t="n"/>
      <c r="HQ193" s="212" t="n"/>
      <c r="HR193" s="212" t="n"/>
      <c r="HS193" s="212" t="n"/>
      <c r="HT193" s="212" t="n"/>
      <c r="HU193" s="212" t="n"/>
      <c r="HV193" s="212" t="n"/>
      <c r="HW193" s="212" t="n"/>
      <c r="HX193" s="212" t="n"/>
      <c r="HY193" s="212" t="n"/>
      <c r="HZ193" s="212" t="n"/>
      <c r="IA193" s="212" t="n"/>
      <c r="IB193" s="212" t="n"/>
      <c r="IC193" s="212" t="n"/>
      <c r="ID193" s="212" t="n"/>
      <c r="IE193" s="212" t="n"/>
      <c r="IF193" s="212" t="n"/>
      <c r="IG193" s="212" t="n"/>
      <c r="IH193" s="212" t="n"/>
      <c r="II193" s="212" t="n"/>
      <c r="IJ193" s="212" t="n"/>
      <c r="IK193" s="212" t="n"/>
      <c r="IL193" s="212" t="n"/>
      <c r="IM193" s="212" t="n"/>
      <c r="IN193" s="212" t="n"/>
      <c r="IO193" s="212" t="n"/>
      <c r="IP193" s="212" t="n"/>
      <c r="IQ193" s="212" t="n"/>
      <c r="IR193" s="212" t="n"/>
      <c r="IS193" s="212" t="n"/>
      <c r="IT193" s="212" t="n"/>
      <c r="IU193" s="212" t="n"/>
      <c r="IV193" s="212" t="n"/>
      <c r="IW193" s="212" t="n"/>
      <c r="IX193" s="212" t="n"/>
      <c r="IY193" s="212" t="n"/>
      <c r="IZ193" s="212" t="n"/>
      <c r="JA193" s="212" t="n"/>
      <c r="JB193" s="212" t="n"/>
      <c r="JC193" s="212" t="n"/>
      <c r="JD193" s="212" t="n"/>
      <c r="JE193" s="212" t="n"/>
      <c r="JF193" s="212" t="n"/>
      <c r="JG193" s="212" t="n"/>
      <c r="JH193" s="212" t="n"/>
      <c r="JI193" s="212" t="n"/>
      <c r="JJ193" s="212" t="n"/>
      <c r="JK193" s="212" t="n"/>
      <c r="JL193" s="212" t="n"/>
      <c r="JM193" s="212" t="n"/>
      <c r="JN193" s="212" t="n"/>
      <c r="JO193" s="212" t="n"/>
      <c r="JP193" s="212" t="n"/>
      <c r="JQ193" s="212" t="n"/>
      <c r="JR193" s="212" t="n"/>
      <c r="JS193" s="212" t="n"/>
      <c r="JT193" s="212" t="n"/>
      <c r="JU193" s="212" t="n"/>
      <c r="JV193" s="212" t="n"/>
      <c r="JW193" s="212" t="n"/>
      <c r="JX193" s="212" t="n"/>
      <c r="JY193" s="212" t="n"/>
      <c r="JZ193" s="212" t="n"/>
      <c r="KA193" s="212" t="n"/>
      <c r="KB193" s="212" t="n"/>
      <c r="KC193" s="212" t="n"/>
      <c r="KD193" s="212" t="n"/>
      <c r="KE193" s="212" t="n"/>
      <c r="KF193" s="212" t="n"/>
      <c r="KG193" s="212" t="n"/>
      <c r="KH193" s="212" t="n"/>
      <c r="KI193" s="212" t="n"/>
      <c r="KJ193" s="212" t="n"/>
      <c r="KK193" s="212" t="n"/>
      <c r="KL193" s="212" t="n"/>
      <c r="KM193" s="212" t="n"/>
      <c r="KN193" s="212" t="n"/>
      <c r="KO193" s="212" t="n"/>
      <c r="KP193" s="212" t="n"/>
      <c r="KQ193" s="212" t="n"/>
      <c r="KR193" s="212" t="n"/>
      <c r="KS193" s="212" t="n"/>
      <c r="KT193" s="212" t="n"/>
      <c r="KU193" s="212" t="n"/>
      <c r="KV193" s="212" t="n"/>
      <c r="KW193" s="212" t="n"/>
      <c r="KX193" s="212" t="n"/>
      <c r="KY193" s="212" t="n"/>
      <c r="KZ193" s="212" t="n"/>
      <c r="LA193" s="212" t="n"/>
      <c r="LB193" s="212" t="n"/>
      <c r="LC193" s="212" t="n"/>
      <c r="LD193" s="212" t="n"/>
      <c r="LE193" s="212" t="n"/>
      <c r="LF193" s="212" t="n"/>
      <c r="LG193" s="212" t="n"/>
      <c r="LH193" s="212" t="n"/>
      <c r="LI193" s="212" t="n"/>
      <c r="LJ193" s="212" t="n"/>
      <c r="LK193" s="212" t="n"/>
      <c r="LL193" s="212" t="n"/>
      <c r="LM193" s="212" t="n"/>
      <c r="LN193" s="212" t="n"/>
      <c r="LO193" s="212" t="n"/>
      <c r="LP193" s="212" t="n"/>
      <c r="LQ193" s="212" t="n"/>
      <c r="LR193" s="212" t="n"/>
      <c r="LS193" s="212" t="n"/>
      <c r="LT193" s="212" t="n"/>
      <c r="LU193" s="212" t="n"/>
      <c r="LV193" s="212" t="n"/>
      <c r="LW193" s="212" t="n"/>
      <c r="LX193" s="212" t="n"/>
      <c r="LY193" s="212" t="n"/>
      <c r="LZ193" s="212" t="n"/>
      <c r="MA193" s="212" t="n"/>
      <c r="MB193" s="212" t="n"/>
      <c r="MC193" s="212" t="n"/>
      <c r="MD193" s="212" t="n"/>
      <c r="ME193" s="212" t="n"/>
      <c r="MF193" s="212" t="n"/>
      <c r="MG193" s="212" t="n"/>
      <c r="MH193" s="212" t="n"/>
      <c r="MI193" s="212" t="n"/>
      <c r="MJ193" s="212" t="n"/>
      <c r="MK193" s="212" t="n"/>
      <c r="ML193" s="212" t="n"/>
      <c r="MM193" s="212" t="n"/>
      <c r="MN193" s="212" t="n"/>
      <c r="MO193" s="212" t="n"/>
      <c r="MP193" s="212" t="n"/>
      <c r="MQ193" s="212" t="n"/>
      <c r="MR193" s="212" t="n"/>
      <c r="MS193" s="212" t="n"/>
      <c r="MT193" s="212" t="n"/>
      <c r="MU193" s="212" t="n"/>
      <c r="MV193" s="212" t="n"/>
      <c r="MW193" s="212" t="n"/>
      <c r="MX193" s="212" t="n"/>
      <c r="MY193" s="212" t="n"/>
      <c r="MZ193" s="212" t="n"/>
      <c r="NA193" s="212" t="n"/>
      <c r="NB193" s="212" t="n"/>
      <c r="NC193" s="212" t="n"/>
      <c r="ND193" s="212" t="n"/>
      <c r="NE193" s="212" t="n"/>
      <c r="NF193" s="212" t="n"/>
      <c r="NG193" s="212" t="n"/>
      <c r="NH193" s="212" t="n"/>
      <c r="NI193" s="212" t="n"/>
      <c r="NJ193" s="212" t="n"/>
      <c r="NK193" s="212" t="n"/>
      <c r="NL193" s="212" t="n"/>
      <c r="NM193" s="212" t="n"/>
      <c r="NN193" s="212" t="n"/>
      <c r="NO193" s="212" t="n"/>
      <c r="NP193" s="212" t="n"/>
      <c r="NQ193" s="212" t="n"/>
      <c r="NR193" s="212" t="n"/>
      <c r="NS193" s="212" t="n"/>
      <c r="NT193" s="212" t="n"/>
      <c r="NU193" s="212" t="n"/>
      <c r="NV193" s="212" t="n"/>
      <c r="NW193" s="212" t="n"/>
      <c r="NX193" s="212" t="n"/>
      <c r="NY193" s="212" t="n"/>
      <c r="NZ193" s="212" t="n"/>
      <c r="OA193" s="212" t="n"/>
      <c r="OB193" s="212" t="n"/>
      <c r="OC193" s="212" t="n"/>
      <c r="OD193" s="212" t="n"/>
      <c r="OE193" s="212" t="n"/>
      <c r="OF193" s="212" t="n"/>
      <c r="OG193" s="212" t="n"/>
      <c r="OH193" s="212" t="n"/>
      <c r="OI193" s="212" t="n"/>
      <c r="OJ193" s="212" t="n"/>
      <c r="OK193" s="212" t="n"/>
      <c r="OL193" s="212" t="n"/>
      <c r="OM193" s="212" t="n"/>
      <c r="ON193" s="212" t="n"/>
      <c r="OO193" s="212" t="n"/>
      <c r="OP193" s="212" t="n"/>
      <c r="OQ193" s="212" t="n"/>
      <c r="OR193" s="212" t="n"/>
      <c r="OS193" s="212" t="n"/>
      <c r="OT193" s="212" t="n"/>
      <c r="OU193" s="212" t="n"/>
      <c r="OV193" s="212" t="n"/>
      <c r="OW193" s="212" t="n"/>
      <c r="OX193" s="212" t="n"/>
      <c r="OY193" s="212" t="n"/>
      <c r="OZ193" s="212" t="n"/>
      <c r="PA193" s="212" t="n"/>
      <c r="PB193" s="212" t="n"/>
      <c r="PC193" s="212" t="n"/>
      <c r="PD193" s="212" t="n"/>
      <c r="PE193" s="212" t="n"/>
      <c r="PF193" s="212" t="n"/>
      <c r="PG193" s="212" t="n"/>
      <c r="PH193" s="212" t="n"/>
      <c r="PI193" s="212" t="n"/>
      <c r="PJ193" s="212" t="n"/>
      <c r="PK193" s="212" t="n"/>
      <c r="PL193" s="212" t="n"/>
      <c r="PM193" s="212" t="n"/>
      <c r="PN193" s="212" t="n"/>
      <c r="PO193" s="212" t="n"/>
      <c r="PP193" s="212" t="n"/>
      <c r="PQ193" s="212" t="n"/>
      <c r="PR193" s="212" t="n"/>
      <c r="PS193" s="212" t="n"/>
      <c r="PT193" s="212" t="n"/>
      <c r="PU193" s="212" t="n"/>
      <c r="PV193" s="212" t="n"/>
      <c r="PW193" s="212" t="n"/>
      <c r="PX193" s="212" t="n"/>
      <c r="PY193" s="212" t="n"/>
      <c r="PZ193" s="212" t="n"/>
      <c r="QA193" s="212" t="n"/>
      <c r="QB193" s="212" t="n"/>
      <c r="QC193" s="212" t="n"/>
      <c r="QD193" s="212" t="n"/>
      <c r="QE193" s="212" t="n"/>
      <c r="QF193" s="212" t="n"/>
      <c r="QG193" s="212" t="n"/>
      <c r="QH193" s="212" t="n"/>
      <c r="QI193" s="212" t="n"/>
      <c r="QJ193" s="212" t="n"/>
      <c r="QK193" s="212" t="n"/>
      <c r="QL193" s="212" t="n"/>
      <c r="QM193" s="212" t="n"/>
      <c r="QN193" s="212" t="n"/>
      <c r="QO193" s="212" t="n"/>
      <c r="QP193" s="212" t="n"/>
      <c r="QQ193" s="212" t="n"/>
      <c r="QR193" s="212" t="n"/>
      <c r="QS193" s="212" t="n"/>
      <c r="QT193" s="212" t="n"/>
      <c r="QU193" s="212" t="n"/>
      <c r="QV193" s="212" t="n"/>
      <c r="QW193" s="212" t="n"/>
      <c r="QX193" s="212" t="n"/>
      <c r="QY193" s="212" t="n"/>
      <c r="QZ193" s="212" t="n"/>
      <c r="RA193" s="212" t="n"/>
      <c r="RB193" s="212" t="n"/>
      <c r="RC193" s="212" t="n"/>
      <c r="RD193" s="212" t="n"/>
      <c r="RE193" s="212" t="n"/>
      <c r="RF193" s="212" t="n"/>
      <c r="RG193" s="212" t="n"/>
      <c r="RH193" s="212" t="n"/>
      <c r="RI193" s="212" t="n"/>
      <c r="RJ193" s="212" t="n"/>
      <c r="RK193" s="212" t="n"/>
      <c r="RL193" s="212" t="n"/>
      <c r="RM193" s="212" t="n"/>
      <c r="RN193" s="212" t="n"/>
      <c r="RO193" s="212" t="n"/>
      <c r="RP193" s="212" t="n"/>
      <c r="RQ193" s="212" t="n"/>
      <c r="RR193" s="212" t="n"/>
      <c r="RS193" s="212" t="n"/>
      <c r="RT193" s="212" t="n"/>
      <c r="RU193" s="212" t="n"/>
      <c r="RV193" s="212" t="n"/>
      <c r="RW193" s="212" t="n"/>
      <c r="RX193" s="212" t="n"/>
      <c r="RY193" s="212" t="n"/>
      <c r="RZ193" s="212" t="n"/>
      <c r="SA193" s="212" t="n"/>
      <c r="SB193" s="212" t="n"/>
      <c r="SC193" s="212" t="n"/>
      <c r="SD193" s="212" t="n"/>
      <c r="SE193" s="212" t="n"/>
      <c r="SF193" s="212" t="n"/>
      <c r="SG193" s="212" t="n"/>
      <c r="SH193" s="212" t="n"/>
      <c r="SI193" s="212" t="n"/>
      <c r="SJ193" s="212" t="n"/>
      <c r="SK193" s="212" t="n"/>
      <c r="SL193" s="212" t="n"/>
      <c r="SM193" s="212" t="n"/>
      <c r="SN193" s="212" t="n"/>
      <c r="SO193" s="212" t="n"/>
      <c r="SP193" s="212" t="n"/>
      <c r="SQ193" s="212" t="n"/>
      <c r="SR193" s="212" t="n"/>
      <c r="SS193" s="212" t="n"/>
      <c r="ST193" s="212" t="n"/>
      <c r="SU193" s="212" t="n"/>
      <c r="SV193" s="212" t="n"/>
    </row>
    <row r="194">
      <c r="B194" s="209" t="n"/>
      <c r="C194" s="209" t="n"/>
      <c r="D194" s="209" t="n"/>
      <c r="E194" s="209" t="n"/>
      <c r="F194" s="209">
        <f>IF(TRIM(D194&amp;E194)="","",TRIM(D194)&amp;" "&amp;TRIM(E194))</f>
        <v/>
      </c>
      <c r="G194" s="209" t="n"/>
      <c r="H194" s="209" t="n"/>
      <c r="I194" s="209" t="n"/>
      <c r="J194" s="209" t="n"/>
      <c r="K194" s="209" t="n"/>
      <c r="L194" s="209" t="n"/>
      <c r="M194" s="209" t="n"/>
      <c r="N194" s="209" t="n"/>
      <c r="O194" s="209" t="n"/>
      <c r="P194" s="209" t="n"/>
      <c r="Q194" s="209" t="n"/>
      <c r="R194" s="209" t="n"/>
      <c r="S194" s="212" t="n"/>
      <c r="T194" s="212" t="n"/>
      <c r="U194" s="212" t="n"/>
      <c r="V194" s="212" t="n"/>
      <c r="W194" s="212" t="n"/>
      <c r="X194" s="212" t="n"/>
      <c r="Y194" s="212" t="n"/>
      <c r="Z194" s="212" t="n"/>
      <c r="AA194" s="212" t="n"/>
      <c r="AB194" s="212" t="n"/>
      <c r="AC194" s="212" t="n"/>
      <c r="AD194" s="212" t="n"/>
      <c r="AE194" s="212" t="n"/>
      <c r="AF194" s="212" t="n"/>
      <c r="AG194" s="212" t="n"/>
      <c r="AH194" s="212" t="n"/>
      <c r="AI194" s="212" t="n"/>
      <c r="AJ194" s="212" t="n"/>
      <c r="AK194" s="212" t="n"/>
      <c r="AL194" s="212" t="n"/>
      <c r="AM194" s="212" t="n"/>
      <c r="AN194" s="212" t="n"/>
      <c r="AO194" s="212" t="n"/>
      <c r="AP194" s="212" t="n"/>
      <c r="AQ194" s="212" t="n"/>
      <c r="AR194" s="212" t="n"/>
      <c r="AS194" s="212" t="n"/>
      <c r="AT194" s="212" t="n"/>
      <c r="AU194" s="212" t="n"/>
      <c r="AV194" s="212" t="n"/>
      <c r="AW194" s="212" t="n"/>
      <c r="AX194" s="212" t="n"/>
      <c r="AY194" s="212" t="n"/>
      <c r="AZ194" s="212" t="n"/>
      <c r="BA194" s="212" t="n"/>
      <c r="BB194" s="212" t="n"/>
      <c r="BC194" s="212" t="n"/>
      <c r="BD194" s="212" t="n"/>
      <c r="BE194" s="212" t="n"/>
      <c r="BF194" s="212" t="n"/>
      <c r="BG194" s="212" t="n"/>
      <c r="BH194" s="212" t="n"/>
      <c r="BI194" s="212" t="n"/>
      <c r="BJ194" s="212" t="n"/>
      <c r="BK194" s="212" t="n"/>
      <c r="BL194" s="212" t="n"/>
      <c r="BM194" s="212" t="n"/>
      <c r="BN194" s="212" t="n"/>
      <c r="BO194" s="212" t="n"/>
      <c r="BP194" s="212" t="n"/>
      <c r="BQ194" s="212" t="n"/>
      <c r="BR194" s="212" t="n"/>
      <c r="BS194" s="212" t="n"/>
      <c r="BT194" s="212" t="n"/>
      <c r="BU194" s="212" t="n"/>
      <c r="BV194" s="212" t="n"/>
      <c r="BW194" s="212" t="n"/>
      <c r="BX194" s="212" t="n"/>
      <c r="BY194" s="212" t="n"/>
      <c r="BZ194" s="212" t="n"/>
      <c r="CA194" s="212" t="n"/>
      <c r="CB194" s="212" t="n"/>
      <c r="CC194" s="212" t="n"/>
      <c r="CD194" s="212" t="n"/>
      <c r="CE194" s="212" t="n"/>
      <c r="CF194" s="212" t="n"/>
      <c r="CG194" s="212" t="n"/>
      <c r="CH194" s="212" t="n"/>
      <c r="CI194" s="212" t="n"/>
      <c r="CJ194" s="212" t="n"/>
      <c r="CK194" s="212" t="n"/>
      <c r="CL194" s="212" t="n"/>
      <c r="CM194" s="212" t="n"/>
      <c r="CN194" s="212" t="n"/>
      <c r="CO194" s="212" t="n"/>
      <c r="CP194" s="212" t="n"/>
      <c r="CQ194" s="212" t="n"/>
      <c r="CR194" s="212" t="n"/>
      <c r="CS194" s="212" t="n"/>
      <c r="CT194" s="212" t="n"/>
      <c r="CU194" s="212" t="n"/>
      <c r="CV194" s="212" t="n"/>
      <c r="CW194" s="212" t="n"/>
      <c r="CX194" s="212" t="n"/>
      <c r="CY194" s="212" t="n"/>
      <c r="CZ194" s="212" t="n"/>
      <c r="DA194" s="212" t="n"/>
      <c r="DB194" s="212" t="n"/>
      <c r="DC194" s="212" t="n"/>
      <c r="DD194" s="212" t="n"/>
      <c r="DE194" s="212" t="n"/>
      <c r="DF194" s="212" t="n"/>
      <c r="DG194" s="212" t="n"/>
      <c r="DH194" s="212" t="n"/>
      <c r="DI194" s="212" t="n"/>
      <c r="DJ194" s="212" t="n"/>
      <c r="DK194" s="212" t="n"/>
      <c r="DL194" s="212" t="n"/>
      <c r="DM194" s="212" t="n"/>
      <c r="DN194" s="212" t="n"/>
      <c r="DO194" s="212" t="n"/>
      <c r="DP194" s="212" t="n"/>
      <c r="DQ194" s="212" t="n"/>
      <c r="DR194" s="212" t="n"/>
      <c r="DS194" s="212" t="n"/>
      <c r="DT194" s="212" t="n"/>
      <c r="DU194" s="212" t="n"/>
      <c r="DV194" s="212" t="n"/>
      <c r="DW194" s="212" t="n"/>
      <c r="DX194" s="212" t="n"/>
      <c r="DY194" s="212" t="n"/>
      <c r="DZ194" s="212" t="n"/>
      <c r="EA194" s="212" t="n"/>
      <c r="EB194" s="212" t="n"/>
      <c r="EC194" s="212" t="n"/>
      <c r="ED194" s="212" t="n"/>
      <c r="EE194" s="212" t="n"/>
      <c r="EF194" s="212" t="n"/>
      <c r="EG194" s="212" t="n"/>
      <c r="EH194" s="212" t="n"/>
      <c r="EI194" s="212" t="n"/>
      <c r="EJ194" s="212" t="n"/>
      <c r="EK194" s="212" t="n"/>
      <c r="EL194" s="212" t="n"/>
      <c r="EM194" s="212" t="n"/>
      <c r="EN194" s="212" t="n"/>
      <c r="EO194" s="212" t="n"/>
      <c r="EP194" s="212" t="n"/>
      <c r="EQ194" s="212" t="n"/>
      <c r="ER194" s="212" t="n"/>
      <c r="ES194" s="212" t="n"/>
      <c r="ET194" s="212" t="n"/>
      <c r="EU194" s="212" t="n"/>
      <c r="EV194" s="212" t="n"/>
      <c r="EW194" s="212" t="n"/>
      <c r="EX194" s="212" t="n"/>
      <c r="EY194" s="212" t="n"/>
      <c r="EZ194" s="212" t="n"/>
      <c r="FA194" s="212" t="n"/>
      <c r="FB194" s="212" t="n"/>
      <c r="FC194" s="212" t="n"/>
      <c r="FD194" s="212" t="n"/>
      <c r="FE194" s="212" t="n"/>
      <c r="FF194" s="212" t="n"/>
      <c r="FG194" s="212" t="n"/>
      <c r="FH194" s="212" t="n"/>
      <c r="FI194" s="212" t="n"/>
      <c r="FJ194" s="212" t="n"/>
      <c r="FK194" s="212" t="n"/>
      <c r="FL194" s="212" t="n"/>
      <c r="FM194" s="212" t="n"/>
      <c r="FN194" s="212" t="n"/>
      <c r="FO194" s="212" t="n"/>
      <c r="FP194" s="212" t="n"/>
      <c r="FQ194" s="212" t="n"/>
      <c r="FR194" s="212" t="n"/>
      <c r="FS194" s="212" t="n"/>
      <c r="FT194" s="212" t="n"/>
      <c r="FU194" s="212" t="n"/>
      <c r="FV194" s="212" t="n"/>
      <c r="FW194" s="212" t="n"/>
      <c r="FX194" s="212" t="n"/>
      <c r="FY194" s="212" t="n"/>
      <c r="FZ194" s="212" t="n"/>
      <c r="GA194" s="212" t="n"/>
      <c r="GB194" s="212" t="n"/>
      <c r="GC194" s="212" t="n"/>
      <c r="GD194" s="212" t="n"/>
      <c r="GE194" s="212" t="n"/>
      <c r="GF194" s="212" t="n"/>
      <c r="GG194" s="212" t="n"/>
      <c r="GH194" s="212" t="n"/>
      <c r="GI194" s="212" t="n"/>
      <c r="GJ194" s="212" t="n"/>
      <c r="GK194" s="212" t="n"/>
      <c r="GL194" s="212" t="n"/>
      <c r="GM194" s="212" t="n"/>
      <c r="GN194" s="212" t="n"/>
      <c r="GO194" s="212" t="n"/>
      <c r="GP194" s="212" t="n"/>
      <c r="GQ194" s="212" t="n"/>
      <c r="GR194" s="212" t="n"/>
      <c r="GS194" s="212" t="n"/>
      <c r="GT194" s="212" t="n"/>
      <c r="GU194" s="212" t="n"/>
      <c r="GV194" s="212" t="n"/>
      <c r="GW194" s="212" t="n"/>
      <c r="GX194" s="212" t="n"/>
      <c r="GY194" s="212" t="n"/>
      <c r="GZ194" s="212" t="n"/>
      <c r="HA194" s="212" t="n"/>
      <c r="HB194" s="212" t="n"/>
      <c r="HC194" s="212" t="n"/>
      <c r="HD194" s="212" t="n"/>
      <c r="HE194" s="212" t="n"/>
      <c r="HF194" s="212" t="n"/>
      <c r="HG194" s="212" t="n"/>
      <c r="HH194" s="212" t="n"/>
      <c r="HI194" s="212" t="n"/>
      <c r="HJ194" s="212" t="n"/>
      <c r="HK194" s="212" t="n"/>
      <c r="HL194" s="212" t="n"/>
      <c r="HM194" s="212" t="n"/>
      <c r="HN194" s="212" t="n"/>
      <c r="HO194" s="212" t="n"/>
      <c r="HP194" s="212" t="n"/>
      <c r="HQ194" s="212" t="n"/>
      <c r="HR194" s="212" t="n"/>
      <c r="HS194" s="212" t="n"/>
      <c r="HT194" s="212" t="n"/>
      <c r="HU194" s="212" t="n"/>
      <c r="HV194" s="212" t="n"/>
      <c r="HW194" s="212" t="n"/>
      <c r="HX194" s="212" t="n"/>
      <c r="HY194" s="212" t="n"/>
      <c r="HZ194" s="212" t="n"/>
      <c r="IA194" s="212" t="n"/>
      <c r="IB194" s="212" t="n"/>
      <c r="IC194" s="212" t="n"/>
      <c r="ID194" s="212" t="n"/>
      <c r="IE194" s="212" t="n"/>
      <c r="IF194" s="212" t="n"/>
      <c r="IG194" s="212" t="n"/>
      <c r="IH194" s="212" t="n"/>
      <c r="II194" s="212" t="n"/>
      <c r="IJ194" s="212" t="n"/>
      <c r="IK194" s="212" t="n"/>
      <c r="IL194" s="212" t="n"/>
      <c r="IM194" s="212" t="n"/>
      <c r="IN194" s="212" t="n"/>
      <c r="IO194" s="212" t="n"/>
      <c r="IP194" s="212" t="n"/>
      <c r="IQ194" s="212" t="n"/>
      <c r="IR194" s="212" t="n"/>
      <c r="IS194" s="212" t="n"/>
      <c r="IT194" s="212" t="n"/>
      <c r="IU194" s="212" t="n"/>
      <c r="IV194" s="212" t="n"/>
      <c r="IW194" s="212" t="n"/>
      <c r="IX194" s="212" t="n"/>
      <c r="IY194" s="212" t="n"/>
      <c r="IZ194" s="212" t="n"/>
      <c r="JA194" s="212" t="n"/>
      <c r="JB194" s="212" t="n"/>
      <c r="JC194" s="212" t="n"/>
      <c r="JD194" s="212" t="n"/>
      <c r="JE194" s="212" t="n"/>
      <c r="JF194" s="212" t="n"/>
      <c r="JG194" s="212" t="n"/>
      <c r="JH194" s="212" t="n"/>
      <c r="JI194" s="212" t="n"/>
      <c r="JJ194" s="212" t="n"/>
      <c r="JK194" s="212" t="n"/>
      <c r="JL194" s="212" t="n"/>
      <c r="JM194" s="212" t="n"/>
      <c r="JN194" s="212" t="n"/>
      <c r="JO194" s="212" t="n"/>
      <c r="JP194" s="212" t="n"/>
      <c r="JQ194" s="212" t="n"/>
      <c r="JR194" s="212" t="n"/>
      <c r="JS194" s="212" t="n"/>
      <c r="JT194" s="212" t="n"/>
      <c r="JU194" s="212" t="n"/>
      <c r="JV194" s="212" t="n"/>
      <c r="JW194" s="212" t="n"/>
      <c r="JX194" s="212" t="n"/>
      <c r="JY194" s="212" t="n"/>
      <c r="JZ194" s="212" t="n"/>
      <c r="KA194" s="212" t="n"/>
      <c r="KB194" s="212" t="n"/>
      <c r="KC194" s="212" t="n"/>
      <c r="KD194" s="212" t="n"/>
      <c r="KE194" s="212" t="n"/>
      <c r="KF194" s="212" t="n"/>
      <c r="KG194" s="212" t="n"/>
      <c r="KH194" s="212" t="n"/>
      <c r="KI194" s="212" t="n"/>
      <c r="KJ194" s="212" t="n"/>
      <c r="KK194" s="212" t="n"/>
      <c r="KL194" s="212" t="n"/>
      <c r="KM194" s="212" t="n"/>
      <c r="KN194" s="212" t="n"/>
      <c r="KO194" s="212" t="n"/>
      <c r="KP194" s="212" t="n"/>
      <c r="KQ194" s="212" t="n"/>
      <c r="KR194" s="212" t="n"/>
      <c r="KS194" s="212" t="n"/>
      <c r="KT194" s="212" t="n"/>
      <c r="KU194" s="212" t="n"/>
      <c r="KV194" s="212" t="n"/>
      <c r="KW194" s="212" t="n"/>
      <c r="KX194" s="212" t="n"/>
      <c r="KY194" s="212" t="n"/>
      <c r="KZ194" s="212" t="n"/>
      <c r="LA194" s="212" t="n"/>
      <c r="LB194" s="212" t="n"/>
      <c r="LC194" s="212" t="n"/>
      <c r="LD194" s="212" t="n"/>
      <c r="LE194" s="212" t="n"/>
      <c r="LF194" s="212" t="n"/>
      <c r="LG194" s="212" t="n"/>
      <c r="LH194" s="212" t="n"/>
      <c r="LI194" s="212" t="n"/>
      <c r="LJ194" s="212" t="n"/>
      <c r="LK194" s="212" t="n"/>
      <c r="LL194" s="212" t="n"/>
      <c r="LM194" s="212" t="n"/>
      <c r="LN194" s="212" t="n"/>
      <c r="LO194" s="212" t="n"/>
      <c r="LP194" s="212" t="n"/>
      <c r="LQ194" s="212" t="n"/>
      <c r="LR194" s="212" t="n"/>
      <c r="LS194" s="212" t="n"/>
      <c r="LT194" s="212" t="n"/>
      <c r="LU194" s="212" t="n"/>
      <c r="LV194" s="212" t="n"/>
      <c r="LW194" s="212" t="n"/>
      <c r="LX194" s="212" t="n"/>
      <c r="LY194" s="212" t="n"/>
      <c r="LZ194" s="212" t="n"/>
      <c r="MA194" s="212" t="n"/>
      <c r="MB194" s="212" t="n"/>
      <c r="MC194" s="212" t="n"/>
      <c r="MD194" s="212" t="n"/>
      <c r="ME194" s="212" t="n"/>
      <c r="MF194" s="212" t="n"/>
      <c r="MG194" s="212" t="n"/>
      <c r="MH194" s="212" t="n"/>
      <c r="MI194" s="212" t="n"/>
      <c r="MJ194" s="212" t="n"/>
      <c r="MK194" s="212" t="n"/>
      <c r="ML194" s="212" t="n"/>
      <c r="MM194" s="212" t="n"/>
      <c r="MN194" s="212" t="n"/>
      <c r="MO194" s="212" t="n"/>
      <c r="MP194" s="212" t="n"/>
      <c r="MQ194" s="212" t="n"/>
      <c r="MR194" s="212" t="n"/>
      <c r="MS194" s="212" t="n"/>
      <c r="MT194" s="212" t="n"/>
      <c r="MU194" s="212" t="n"/>
      <c r="MV194" s="212" t="n"/>
      <c r="MW194" s="212" t="n"/>
      <c r="MX194" s="212" t="n"/>
      <c r="MY194" s="212" t="n"/>
      <c r="MZ194" s="212" t="n"/>
      <c r="NA194" s="212" t="n"/>
      <c r="NB194" s="212" t="n"/>
      <c r="NC194" s="212" t="n"/>
      <c r="ND194" s="212" t="n"/>
      <c r="NE194" s="212" t="n"/>
      <c r="NF194" s="212" t="n"/>
      <c r="NG194" s="212" t="n"/>
      <c r="NH194" s="212" t="n"/>
      <c r="NI194" s="212" t="n"/>
      <c r="NJ194" s="212" t="n"/>
      <c r="NK194" s="212" t="n"/>
      <c r="NL194" s="212" t="n"/>
      <c r="NM194" s="212" t="n"/>
      <c r="NN194" s="212" t="n"/>
      <c r="NO194" s="212" t="n"/>
      <c r="NP194" s="212" t="n"/>
      <c r="NQ194" s="212" t="n"/>
      <c r="NR194" s="212" t="n"/>
      <c r="NS194" s="212" t="n"/>
      <c r="NT194" s="212" t="n"/>
      <c r="NU194" s="212" t="n"/>
      <c r="NV194" s="212" t="n"/>
      <c r="NW194" s="212" t="n"/>
      <c r="NX194" s="212" t="n"/>
      <c r="NY194" s="212" t="n"/>
      <c r="NZ194" s="212" t="n"/>
      <c r="OA194" s="212" t="n"/>
      <c r="OB194" s="212" t="n"/>
      <c r="OC194" s="212" t="n"/>
      <c r="OD194" s="212" t="n"/>
      <c r="OE194" s="212" t="n"/>
      <c r="OF194" s="212" t="n"/>
      <c r="OG194" s="212" t="n"/>
      <c r="OH194" s="212" t="n"/>
      <c r="OI194" s="212" t="n"/>
      <c r="OJ194" s="212" t="n"/>
      <c r="OK194" s="212" t="n"/>
      <c r="OL194" s="212" t="n"/>
      <c r="OM194" s="212" t="n"/>
      <c r="ON194" s="212" t="n"/>
      <c r="OO194" s="212" t="n"/>
      <c r="OP194" s="212" t="n"/>
      <c r="OQ194" s="212" t="n"/>
      <c r="OR194" s="212" t="n"/>
      <c r="OS194" s="212" t="n"/>
      <c r="OT194" s="212" t="n"/>
      <c r="OU194" s="212" t="n"/>
      <c r="OV194" s="212" t="n"/>
      <c r="OW194" s="212" t="n"/>
      <c r="OX194" s="212" t="n"/>
      <c r="OY194" s="212" t="n"/>
      <c r="OZ194" s="212" t="n"/>
      <c r="PA194" s="212" t="n"/>
      <c r="PB194" s="212" t="n"/>
      <c r="PC194" s="212" t="n"/>
      <c r="PD194" s="212" t="n"/>
      <c r="PE194" s="212" t="n"/>
      <c r="PF194" s="212" t="n"/>
      <c r="PG194" s="212" t="n"/>
      <c r="PH194" s="212" t="n"/>
      <c r="PI194" s="212" t="n"/>
      <c r="PJ194" s="212" t="n"/>
      <c r="PK194" s="212" t="n"/>
      <c r="PL194" s="212" t="n"/>
      <c r="PM194" s="212" t="n"/>
      <c r="PN194" s="212" t="n"/>
      <c r="PO194" s="212" t="n"/>
      <c r="PP194" s="212" t="n"/>
      <c r="PQ194" s="212" t="n"/>
      <c r="PR194" s="212" t="n"/>
      <c r="PS194" s="212" t="n"/>
      <c r="PT194" s="212" t="n"/>
      <c r="PU194" s="212" t="n"/>
      <c r="PV194" s="212" t="n"/>
      <c r="PW194" s="212" t="n"/>
      <c r="PX194" s="212" t="n"/>
      <c r="PY194" s="212" t="n"/>
      <c r="PZ194" s="212" t="n"/>
      <c r="QA194" s="212" t="n"/>
      <c r="QB194" s="212" t="n"/>
      <c r="QC194" s="212" t="n"/>
      <c r="QD194" s="212" t="n"/>
      <c r="QE194" s="212" t="n"/>
      <c r="QF194" s="212" t="n"/>
      <c r="QG194" s="212" t="n"/>
      <c r="QH194" s="212" t="n"/>
      <c r="QI194" s="212" t="n"/>
      <c r="QJ194" s="212" t="n"/>
      <c r="QK194" s="212" t="n"/>
      <c r="QL194" s="212" t="n"/>
      <c r="QM194" s="212" t="n"/>
      <c r="QN194" s="212" t="n"/>
      <c r="QO194" s="212" t="n"/>
      <c r="QP194" s="212" t="n"/>
      <c r="QQ194" s="212" t="n"/>
      <c r="QR194" s="212" t="n"/>
      <c r="QS194" s="212" t="n"/>
      <c r="QT194" s="212" t="n"/>
      <c r="QU194" s="212" t="n"/>
      <c r="QV194" s="212" t="n"/>
      <c r="QW194" s="212" t="n"/>
      <c r="QX194" s="212" t="n"/>
      <c r="QY194" s="212" t="n"/>
      <c r="QZ194" s="212" t="n"/>
      <c r="RA194" s="212" t="n"/>
      <c r="RB194" s="212" t="n"/>
      <c r="RC194" s="212" t="n"/>
      <c r="RD194" s="212" t="n"/>
      <c r="RE194" s="212" t="n"/>
      <c r="RF194" s="212" t="n"/>
      <c r="RG194" s="212" t="n"/>
      <c r="RH194" s="212" t="n"/>
      <c r="RI194" s="212" t="n"/>
      <c r="RJ194" s="212" t="n"/>
      <c r="RK194" s="212" t="n"/>
      <c r="RL194" s="212" t="n"/>
      <c r="RM194" s="212" t="n"/>
      <c r="RN194" s="212" t="n"/>
      <c r="RO194" s="212" t="n"/>
      <c r="RP194" s="212" t="n"/>
      <c r="RQ194" s="212" t="n"/>
      <c r="RR194" s="212" t="n"/>
      <c r="RS194" s="212" t="n"/>
      <c r="RT194" s="212" t="n"/>
      <c r="RU194" s="212" t="n"/>
      <c r="RV194" s="212" t="n"/>
      <c r="RW194" s="212" t="n"/>
      <c r="RX194" s="212" t="n"/>
      <c r="RY194" s="212" t="n"/>
      <c r="RZ194" s="212" t="n"/>
      <c r="SA194" s="212" t="n"/>
      <c r="SB194" s="212" t="n"/>
      <c r="SC194" s="212" t="n"/>
      <c r="SD194" s="212" t="n"/>
      <c r="SE194" s="212" t="n"/>
      <c r="SF194" s="212" t="n"/>
      <c r="SG194" s="212" t="n"/>
      <c r="SH194" s="212" t="n"/>
      <c r="SI194" s="212" t="n"/>
      <c r="SJ194" s="212" t="n"/>
      <c r="SK194" s="212" t="n"/>
      <c r="SL194" s="212" t="n"/>
      <c r="SM194" s="212" t="n"/>
      <c r="SN194" s="212" t="n"/>
      <c r="SO194" s="212" t="n"/>
      <c r="SP194" s="212" t="n"/>
      <c r="SQ194" s="212" t="n"/>
      <c r="SR194" s="212" t="n"/>
      <c r="SS194" s="212" t="n"/>
      <c r="ST194" s="212" t="n"/>
      <c r="SU194" s="212" t="n"/>
      <c r="SV194" s="212" t="n"/>
    </row>
    <row r="195">
      <c r="B195" s="209" t="n"/>
      <c r="C195" s="209" t="n"/>
      <c r="D195" s="209" t="n"/>
      <c r="E195" s="209" t="n"/>
      <c r="F195" s="209">
        <f>IF(TRIM(D195&amp;E195)="","",TRIM(D195)&amp;" "&amp;TRIM(E195))</f>
        <v/>
      </c>
      <c r="G195" s="209" t="n"/>
      <c r="H195" s="209" t="n"/>
      <c r="I195" s="209" t="n"/>
      <c r="J195" s="209" t="n"/>
      <c r="K195" s="209" t="n"/>
      <c r="L195" s="209" t="n"/>
      <c r="M195" s="209" t="n"/>
      <c r="N195" s="209" t="n"/>
      <c r="O195" s="209" t="n"/>
      <c r="P195" s="209" t="n"/>
      <c r="Q195" s="209" t="n"/>
      <c r="R195" s="209" t="n"/>
      <c r="S195" s="212" t="n"/>
      <c r="T195" s="212" t="n"/>
      <c r="U195" s="212" t="n"/>
      <c r="V195" s="212" t="n"/>
      <c r="W195" s="212" t="n"/>
      <c r="X195" s="212" t="n"/>
      <c r="Y195" s="212" t="n"/>
      <c r="Z195" s="212" t="n"/>
      <c r="AA195" s="212" t="n"/>
      <c r="AB195" s="212" t="n"/>
      <c r="AC195" s="212" t="n"/>
      <c r="AD195" s="212" t="n"/>
      <c r="AE195" s="212" t="n"/>
      <c r="AF195" s="212" t="n"/>
      <c r="AG195" s="212" t="n"/>
      <c r="AH195" s="212" t="n"/>
      <c r="AI195" s="212" t="n"/>
      <c r="AJ195" s="212" t="n"/>
      <c r="AK195" s="212" t="n"/>
      <c r="AL195" s="212" t="n"/>
      <c r="AM195" s="212" t="n"/>
      <c r="AN195" s="212" t="n"/>
      <c r="AO195" s="212" t="n"/>
      <c r="AP195" s="212" t="n"/>
      <c r="AQ195" s="212" t="n"/>
      <c r="AR195" s="212" t="n"/>
      <c r="AS195" s="212" t="n"/>
      <c r="AT195" s="212" t="n"/>
      <c r="AU195" s="212" t="n"/>
      <c r="AV195" s="212" t="n"/>
      <c r="AW195" s="212" t="n"/>
      <c r="AX195" s="212" t="n"/>
      <c r="AY195" s="212" t="n"/>
      <c r="AZ195" s="212" t="n"/>
      <c r="BA195" s="212" t="n"/>
      <c r="BB195" s="212" t="n"/>
      <c r="BC195" s="212" t="n"/>
      <c r="BD195" s="212" t="n"/>
      <c r="BE195" s="212" t="n"/>
      <c r="BF195" s="212" t="n"/>
      <c r="BG195" s="212" t="n"/>
      <c r="BH195" s="212" t="n"/>
      <c r="BI195" s="212" t="n"/>
      <c r="BJ195" s="212" t="n"/>
      <c r="BK195" s="212" t="n"/>
      <c r="BL195" s="212" t="n"/>
      <c r="BM195" s="212" t="n"/>
      <c r="BN195" s="212" t="n"/>
      <c r="BO195" s="212" t="n"/>
      <c r="BP195" s="212" t="n"/>
      <c r="BQ195" s="212" t="n"/>
      <c r="BR195" s="212" t="n"/>
      <c r="BS195" s="212" t="n"/>
      <c r="BT195" s="212" t="n"/>
      <c r="BU195" s="212" t="n"/>
      <c r="BV195" s="212" t="n"/>
      <c r="BW195" s="212" t="n"/>
      <c r="BX195" s="212" t="n"/>
      <c r="BY195" s="212" t="n"/>
      <c r="BZ195" s="212" t="n"/>
      <c r="CA195" s="212" t="n"/>
      <c r="CB195" s="212" t="n"/>
      <c r="CC195" s="212" t="n"/>
      <c r="CD195" s="212" t="n"/>
      <c r="CE195" s="212" t="n"/>
      <c r="CF195" s="212" t="n"/>
      <c r="CG195" s="212" t="n"/>
      <c r="CH195" s="212" t="n"/>
      <c r="CI195" s="212" t="n"/>
      <c r="CJ195" s="212" t="n"/>
      <c r="CK195" s="212" t="n"/>
      <c r="CL195" s="212" t="n"/>
      <c r="CM195" s="212" t="n"/>
      <c r="CN195" s="212" t="n"/>
      <c r="CO195" s="212" t="n"/>
      <c r="CP195" s="212" t="n"/>
      <c r="CQ195" s="212" t="n"/>
      <c r="CR195" s="212" t="n"/>
      <c r="CS195" s="212" t="n"/>
      <c r="CT195" s="212" t="n"/>
      <c r="CU195" s="212" t="n"/>
      <c r="CV195" s="212" t="n"/>
      <c r="CW195" s="212" t="n"/>
      <c r="CX195" s="212" t="n"/>
      <c r="CY195" s="212" t="n"/>
      <c r="CZ195" s="212" t="n"/>
      <c r="DA195" s="212" t="n"/>
      <c r="DB195" s="212" t="n"/>
      <c r="DC195" s="212" t="n"/>
      <c r="DD195" s="212" t="n"/>
      <c r="DE195" s="212" t="n"/>
      <c r="DF195" s="212" t="n"/>
      <c r="DG195" s="212" t="n"/>
      <c r="DH195" s="212" t="n"/>
      <c r="DI195" s="212" t="n"/>
      <c r="DJ195" s="212" t="n"/>
      <c r="DK195" s="212" t="n"/>
      <c r="DL195" s="212" t="n"/>
      <c r="DM195" s="212" t="n"/>
      <c r="DN195" s="212" t="n"/>
      <c r="DO195" s="212" t="n"/>
      <c r="DP195" s="212" t="n"/>
      <c r="DQ195" s="212" t="n"/>
      <c r="DR195" s="212" t="n"/>
      <c r="DS195" s="212" t="n"/>
      <c r="DT195" s="212" t="n"/>
      <c r="DU195" s="212" t="n"/>
      <c r="DV195" s="212" t="n"/>
      <c r="DW195" s="212" t="n"/>
      <c r="DX195" s="212" t="n"/>
      <c r="DY195" s="212" t="n"/>
      <c r="DZ195" s="212" t="n"/>
      <c r="EA195" s="212" t="n"/>
      <c r="EB195" s="212" t="n"/>
      <c r="EC195" s="212" t="n"/>
      <c r="ED195" s="212" t="n"/>
      <c r="EE195" s="212" t="n"/>
      <c r="EF195" s="212" t="n"/>
      <c r="EG195" s="212" t="n"/>
      <c r="EH195" s="212" t="n"/>
      <c r="EI195" s="212" t="n"/>
      <c r="EJ195" s="212" t="n"/>
      <c r="EK195" s="212" t="n"/>
      <c r="EL195" s="212" t="n"/>
      <c r="EM195" s="212" t="n"/>
      <c r="EN195" s="212" t="n"/>
      <c r="EO195" s="212" t="n"/>
      <c r="EP195" s="212" t="n"/>
      <c r="EQ195" s="212" t="n"/>
      <c r="ER195" s="212" t="n"/>
      <c r="ES195" s="212" t="n"/>
      <c r="ET195" s="212" t="n"/>
      <c r="EU195" s="212" t="n"/>
      <c r="EV195" s="212" t="n"/>
      <c r="EW195" s="212" t="n"/>
      <c r="EX195" s="212" t="n"/>
      <c r="EY195" s="212" t="n"/>
      <c r="EZ195" s="212" t="n"/>
      <c r="FA195" s="212" t="n"/>
      <c r="FB195" s="212" t="n"/>
      <c r="FC195" s="212" t="n"/>
      <c r="FD195" s="212" t="n"/>
      <c r="FE195" s="212" t="n"/>
      <c r="FF195" s="212" t="n"/>
      <c r="FG195" s="212" t="n"/>
      <c r="FH195" s="212" t="n"/>
      <c r="FI195" s="212" t="n"/>
      <c r="FJ195" s="212" t="n"/>
      <c r="FK195" s="212" t="n"/>
      <c r="FL195" s="212" t="n"/>
      <c r="FM195" s="212" t="n"/>
      <c r="FN195" s="212" t="n"/>
      <c r="FO195" s="212" t="n"/>
      <c r="FP195" s="212" t="n"/>
      <c r="FQ195" s="212" t="n"/>
      <c r="FR195" s="212" t="n"/>
      <c r="FS195" s="212" t="n"/>
      <c r="FT195" s="212" t="n"/>
      <c r="FU195" s="212" t="n"/>
      <c r="FV195" s="212" t="n"/>
      <c r="FW195" s="212" t="n"/>
      <c r="FX195" s="212" t="n"/>
      <c r="FY195" s="212" t="n"/>
      <c r="FZ195" s="212" t="n"/>
      <c r="GA195" s="212" t="n"/>
      <c r="GB195" s="212" t="n"/>
      <c r="GC195" s="212" t="n"/>
      <c r="GD195" s="212" t="n"/>
      <c r="GE195" s="212" t="n"/>
      <c r="GF195" s="212" t="n"/>
      <c r="GG195" s="212" t="n"/>
      <c r="GH195" s="212" t="n"/>
      <c r="GI195" s="212" t="n"/>
      <c r="GJ195" s="212" t="n"/>
      <c r="GK195" s="212" t="n"/>
      <c r="GL195" s="212" t="n"/>
      <c r="GM195" s="212" t="n"/>
      <c r="GN195" s="212" t="n"/>
      <c r="GO195" s="212" t="n"/>
      <c r="GP195" s="212" t="n"/>
      <c r="GQ195" s="212" t="n"/>
      <c r="GR195" s="212" t="n"/>
      <c r="GS195" s="212" t="n"/>
      <c r="GT195" s="212" t="n"/>
      <c r="GU195" s="212" t="n"/>
      <c r="GV195" s="212" t="n"/>
      <c r="GW195" s="212" t="n"/>
      <c r="GX195" s="212" t="n"/>
      <c r="GY195" s="212" t="n"/>
      <c r="GZ195" s="212" t="n"/>
      <c r="HA195" s="212" t="n"/>
      <c r="HB195" s="212" t="n"/>
      <c r="HC195" s="212" t="n"/>
      <c r="HD195" s="212" t="n"/>
      <c r="HE195" s="212" t="n"/>
      <c r="HF195" s="212" t="n"/>
      <c r="HG195" s="212" t="n"/>
      <c r="HH195" s="212" t="n"/>
      <c r="HI195" s="212" t="n"/>
      <c r="HJ195" s="212" t="n"/>
      <c r="HK195" s="212" t="n"/>
      <c r="HL195" s="212" t="n"/>
      <c r="HM195" s="212" t="n"/>
      <c r="HN195" s="212" t="n"/>
      <c r="HO195" s="212" t="n"/>
      <c r="HP195" s="212" t="n"/>
      <c r="HQ195" s="212" t="n"/>
      <c r="HR195" s="212" t="n"/>
      <c r="HS195" s="212" t="n"/>
      <c r="HT195" s="212" t="n"/>
      <c r="HU195" s="212" t="n"/>
      <c r="HV195" s="212" t="n"/>
      <c r="HW195" s="212" t="n"/>
      <c r="HX195" s="212" t="n"/>
      <c r="HY195" s="212" t="n"/>
      <c r="HZ195" s="212" t="n"/>
      <c r="IA195" s="212" t="n"/>
      <c r="IB195" s="212" t="n"/>
      <c r="IC195" s="212" t="n"/>
      <c r="ID195" s="212" t="n"/>
      <c r="IE195" s="212" t="n"/>
      <c r="IF195" s="212" t="n"/>
      <c r="IG195" s="212" t="n"/>
      <c r="IH195" s="212" t="n"/>
      <c r="II195" s="212" t="n"/>
      <c r="IJ195" s="212" t="n"/>
      <c r="IK195" s="212" t="n"/>
      <c r="IL195" s="212" t="n"/>
      <c r="IM195" s="212" t="n"/>
      <c r="IN195" s="212" t="n"/>
      <c r="IO195" s="212" t="n"/>
      <c r="IP195" s="212" t="n"/>
      <c r="IQ195" s="212" t="n"/>
      <c r="IR195" s="212" t="n"/>
      <c r="IS195" s="212" t="n"/>
      <c r="IT195" s="212" t="n"/>
      <c r="IU195" s="212" t="n"/>
      <c r="IV195" s="212" t="n"/>
      <c r="IW195" s="212" t="n"/>
      <c r="IX195" s="212" t="n"/>
      <c r="IY195" s="212" t="n"/>
      <c r="IZ195" s="212" t="n"/>
      <c r="JA195" s="212" t="n"/>
      <c r="JB195" s="212" t="n"/>
      <c r="JC195" s="212" t="n"/>
      <c r="JD195" s="212" t="n"/>
      <c r="JE195" s="212" t="n"/>
      <c r="JF195" s="212" t="n"/>
      <c r="JG195" s="212" t="n"/>
      <c r="JH195" s="212" t="n"/>
      <c r="JI195" s="212" t="n"/>
      <c r="JJ195" s="212" t="n"/>
      <c r="JK195" s="212" t="n"/>
      <c r="JL195" s="212" t="n"/>
      <c r="JM195" s="212" t="n"/>
      <c r="JN195" s="212" t="n"/>
      <c r="JO195" s="212" t="n"/>
      <c r="JP195" s="212" t="n"/>
      <c r="JQ195" s="212" t="n"/>
      <c r="JR195" s="212" t="n"/>
      <c r="JS195" s="212" t="n"/>
      <c r="JT195" s="212" t="n"/>
      <c r="JU195" s="212" t="n"/>
      <c r="JV195" s="212" t="n"/>
      <c r="JW195" s="212" t="n"/>
      <c r="JX195" s="212" t="n"/>
      <c r="JY195" s="212" t="n"/>
      <c r="JZ195" s="212" t="n"/>
      <c r="KA195" s="212" t="n"/>
      <c r="KB195" s="212" t="n"/>
      <c r="KC195" s="212" t="n"/>
      <c r="KD195" s="212" t="n"/>
      <c r="KE195" s="212" t="n"/>
      <c r="KF195" s="212" t="n"/>
      <c r="KG195" s="212" t="n"/>
      <c r="KH195" s="212" t="n"/>
      <c r="KI195" s="212" t="n"/>
      <c r="KJ195" s="212" t="n"/>
      <c r="KK195" s="212" t="n"/>
      <c r="KL195" s="212" t="n"/>
      <c r="KM195" s="212" t="n"/>
      <c r="KN195" s="212" t="n"/>
      <c r="KO195" s="212" t="n"/>
      <c r="KP195" s="212" t="n"/>
      <c r="KQ195" s="212" t="n"/>
      <c r="KR195" s="212" t="n"/>
      <c r="KS195" s="212" t="n"/>
      <c r="KT195" s="212" t="n"/>
      <c r="KU195" s="212" t="n"/>
      <c r="KV195" s="212" t="n"/>
      <c r="KW195" s="212" t="n"/>
      <c r="KX195" s="212" t="n"/>
      <c r="KY195" s="212" t="n"/>
      <c r="KZ195" s="212" t="n"/>
      <c r="LA195" s="212" t="n"/>
      <c r="LB195" s="212" t="n"/>
      <c r="LC195" s="212" t="n"/>
      <c r="LD195" s="212" t="n"/>
      <c r="LE195" s="212" t="n"/>
      <c r="LF195" s="212" t="n"/>
      <c r="LG195" s="212" t="n"/>
      <c r="LH195" s="212" t="n"/>
      <c r="LI195" s="212" t="n"/>
      <c r="LJ195" s="212" t="n"/>
      <c r="LK195" s="212" t="n"/>
      <c r="LL195" s="212" t="n"/>
      <c r="LM195" s="212" t="n"/>
      <c r="LN195" s="212" t="n"/>
      <c r="LO195" s="212" t="n"/>
      <c r="LP195" s="212" t="n"/>
      <c r="LQ195" s="212" t="n"/>
      <c r="LR195" s="212" t="n"/>
      <c r="LS195" s="212" t="n"/>
      <c r="LT195" s="212" t="n"/>
      <c r="LU195" s="212" t="n"/>
      <c r="LV195" s="212" t="n"/>
      <c r="LW195" s="212" t="n"/>
      <c r="LX195" s="212" t="n"/>
      <c r="LY195" s="212" t="n"/>
      <c r="LZ195" s="212" t="n"/>
      <c r="MA195" s="212" t="n"/>
      <c r="MB195" s="212" t="n"/>
      <c r="MC195" s="212" t="n"/>
      <c r="MD195" s="212" t="n"/>
      <c r="ME195" s="212" t="n"/>
      <c r="MF195" s="212" t="n"/>
      <c r="MG195" s="212" t="n"/>
      <c r="MH195" s="212" t="n"/>
      <c r="MI195" s="212" t="n"/>
      <c r="MJ195" s="212" t="n"/>
      <c r="MK195" s="212" t="n"/>
      <c r="ML195" s="212" t="n"/>
      <c r="MM195" s="212" t="n"/>
      <c r="MN195" s="212" t="n"/>
      <c r="MO195" s="212" t="n"/>
      <c r="MP195" s="212" t="n"/>
      <c r="MQ195" s="212" t="n"/>
      <c r="MR195" s="212" t="n"/>
      <c r="MS195" s="212" t="n"/>
      <c r="MT195" s="212" t="n"/>
      <c r="MU195" s="212" t="n"/>
      <c r="MV195" s="212" t="n"/>
      <c r="MW195" s="212" t="n"/>
      <c r="MX195" s="212" t="n"/>
      <c r="MY195" s="212" t="n"/>
      <c r="MZ195" s="212" t="n"/>
      <c r="NA195" s="212" t="n"/>
      <c r="NB195" s="212" t="n"/>
      <c r="NC195" s="212" t="n"/>
      <c r="ND195" s="212" t="n"/>
      <c r="NE195" s="212" t="n"/>
      <c r="NF195" s="212" t="n"/>
      <c r="NG195" s="212" t="n"/>
      <c r="NH195" s="212" t="n"/>
      <c r="NI195" s="212" t="n"/>
      <c r="NJ195" s="212" t="n"/>
      <c r="NK195" s="212" t="n"/>
      <c r="NL195" s="212" t="n"/>
      <c r="NM195" s="212" t="n"/>
      <c r="NN195" s="212" t="n"/>
      <c r="NO195" s="212" t="n"/>
      <c r="NP195" s="212" t="n"/>
      <c r="NQ195" s="212" t="n"/>
      <c r="NR195" s="212" t="n"/>
      <c r="NS195" s="212" t="n"/>
      <c r="NT195" s="212" t="n"/>
      <c r="NU195" s="212" t="n"/>
      <c r="NV195" s="212" t="n"/>
      <c r="NW195" s="212" t="n"/>
      <c r="NX195" s="212" t="n"/>
      <c r="NY195" s="212" t="n"/>
      <c r="NZ195" s="212" t="n"/>
      <c r="OA195" s="212" t="n"/>
      <c r="OB195" s="212" t="n"/>
      <c r="OC195" s="212" t="n"/>
      <c r="OD195" s="212" t="n"/>
      <c r="OE195" s="212" t="n"/>
      <c r="OF195" s="212" t="n"/>
      <c r="OG195" s="212" t="n"/>
      <c r="OH195" s="212" t="n"/>
      <c r="OI195" s="212" t="n"/>
      <c r="OJ195" s="212" t="n"/>
      <c r="OK195" s="212" t="n"/>
      <c r="OL195" s="212" t="n"/>
      <c r="OM195" s="212" t="n"/>
      <c r="ON195" s="212" t="n"/>
      <c r="OO195" s="212" t="n"/>
      <c r="OP195" s="212" t="n"/>
      <c r="OQ195" s="212" t="n"/>
      <c r="OR195" s="212" t="n"/>
      <c r="OS195" s="212" t="n"/>
      <c r="OT195" s="212" t="n"/>
      <c r="OU195" s="212" t="n"/>
      <c r="OV195" s="212" t="n"/>
      <c r="OW195" s="212" t="n"/>
      <c r="OX195" s="212" t="n"/>
      <c r="OY195" s="212" t="n"/>
      <c r="OZ195" s="212" t="n"/>
      <c r="PA195" s="212" t="n"/>
      <c r="PB195" s="212" t="n"/>
      <c r="PC195" s="212" t="n"/>
      <c r="PD195" s="212" t="n"/>
      <c r="PE195" s="212" t="n"/>
      <c r="PF195" s="212" t="n"/>
      <c r="PG195" s="212" t="n"/>
      <c r="PH195" s="212" t="n"/>
      <c r="PI195" s="212" t="n"/>
      <c r="PJ195" s="212" t="n"/>
      <c r="PK195" s="212" t="n"/>
      <c r="PL195" s="212" t="n"/>
      <c r="PM195" s="212" t="n"/>
      <c r="PN195" s="212" t="n"/>
      <c r="PO195" s="212" t="n"/>
      <c r="PP195" s="212" t="n"/>
      <c r="PQ195" s="212" t="n"/>
      <c r="PR195" s="212" t="n"/>
      <c r="PS195" s="212" t="n"/>
      <c r="PT195" s="212" t="n"/>
      <c r="PU195" s="212" t="n"/>
      <c r="PV195" s="212" t="n"/>
      <c r="PW195" s="212" t="n"/>
      <c r="PX195" s="212" t="n"/>
      <c r="PY195" s="212" t="n"/>
      <c r="PZ195" s="212" t="n"/>
      <c r="QA195" s="212" t="n"/>
      <c r="QB195" s="212" t="n"/>
      <c r="QC195" s="212" t="n"/>
      <c r="QD195" s="212" t="n"/>
      <c r="QE195" s="212" t="n"/>
      <c r="QF195" s="212" t="n"/>
      <c r="QG195" s="212" t="n"/>
      <c r="QH195" s="212" t="n"/>
      <c r="QI195" s="212" t="n"/>
      <c r="QJ195" s="212" t="n"/>
      <c r="QK195" s="212" t="n"/>
      <c r="QL195" s="212" t="n"/>
      <c r="QM195" s="212" t="n"/>
      <c r="QN195" s="212" t="n"/>
      <c r="QO195" s="212" t="n"/>
      <c r="QP195" s="212" t="n"/>
      <c r="QQ195" s="212" t="n"/>
      <c r="QR195" s="212" t="n"/>
      <c r="QS195" s="212" t="n"/>
      <c r="QT195" s="212" t="n"/>
      <c r="QU195" s="212" t="n"/>
      <c r="QV195" s="212" t="n"/>
      <c r="QW195" s="212" t="n"/>
      <c r="QX195" s="212" t="n"/>
      <c r="QY195" s="212" t="n"/>
      <c r="QZ195" s="212" t="n"/>
      <c r="RA195" s="212" t="n"/>
      <c r="RB195" s="212" t="n"/>
      <c r="RC195" s="212" t="n"/>
      <c r="RD195" s="212" t="n"/>
      <c r="RE195" s="212" t="n"/>
      <c r="RF195" s="212" t="n"/>
      <c r="RG195" s="212" t="n"/>
      <c r="RH195" s="212" t="n"/>
      <c r="RI195" s="212" t="n"/>
      <c r="RJ195" s="212" t="n"/>
      <c r="RK195" s="212" t="n"/>
      <c r="RL195" s="212" t="n"/>
      <c r="RM195" s="212" t="n"/>
      <c r="RN195" s="212" t="n"/>
      <c r="RO195" s="212" t="n"/>
      <c r="RP195" s="212" t="n"/>
      <c r="RQ195" s="212" t="n"/>
      <c r="RR195" s="212" t="n"/>
      <c r="RS195" s="212" t="n"/>
      <c r="RT195" s="212" t="n"/>
      <c r="RU195" s="212" t="n"/>
      <c r="RV195" s="212" t="n"/>
      <c r="RW195" s="212" t="n"/>
      <c r="RX195" s="212" t="n"/>
      <c r="RY195" s="212" t="n"/>
      <c r="RZ195" s="212" t="n"/>
      <c r="SA195" s="212" t="n"/>
      <c r="SB195" s="212" t="n"/>
      <c r="SC195" s="212" t="n"/>
      <c r="SD195" s="212" t="n"/>
      <c r="SE195" s="212" t="n"/>
      <c r="SF195" s="212" t="n"/>
      <c r="SG195" s="212" t="n"/>
      <c r="SH195" s="212" t="n"/>
      <c r="SI195" s="212" t="n"/>
      <c r="SJ195" s="212" t="n"/>
      <c r="SK195" s="212" t="n"/>
      <c r="SL195" s="212" t="n"/>
      <c r="SM195" s="212" t="n"/>
      <c r="SN195" s="212" t="n"/>
      <c r="SO195" s="212" t="n"/>
      <c r="SP195" s="212" t="n"/>
      <c r="SQ195" s="212" t="n"/>
      <c r="SR195" s="212" t="n"/>
      <c r="SS195" s="212" t="n"/>
      <c r="ST195" s="212" t="n"/>
      <c r="SU195" s="212" t="n"/>
      <c r="SV195" s="212" t="n"/>
    </row>
    <row r="196">
      <c r="B196" s="209" t="n"/>
      <c r="C196" s="209" t="n"/>
      <c r="D196" s="209" t="n"/>
      <c r="E196" s="209" t="n"/>
      <c r="F196" s="209">
        <f>IF(TRIM(D196&amp;E196)="","",TRIM(D196)&amp;" "&amp;TRIM(E196))</f>
        <v/>
      </c>
      <c r="G196" s="209" t="n"/>
      <c r="H196" s="209" t="n"/>
      <c r="I196" s="209" t="n"/>
      <c r="J196" s="209" t="n"/>
      <c r="K196" s="209" t="n"/>
      <c r="L196" s="209" t="n"/>
      <c r="M196" s="209" t="n"/>
      <c r="N196" s="209" t="n"/>
      <c r="O196" s="209" t="n"/>
      <c r="P196" s="209" t="n"/>
      <c r="Q196" s="209" t="n"/>
      <c r="R196" s="209" t="n"/>
      <c r="S196" s="212" t="n"/>
      <c r="T196" s="212" t="n"/>
      <c r="U196" s="212" t="n"/>
      <c r="V196" s="212" t="n"/>
      <c r="W196" s="212" t="n"/>
      <c r="X196" s="212" t="n"/>
      <c r="Y196" s="212" t="n"/>
      <c r="Z196" s="212" t="n"/>
      <c r="AA196" s="212" t="n"/>
      <c r="AB196" s="212" t="n"/>
      <c r="AC196" s="212" t="n"/>
      <c r="AD196" s="212" t="n"/>
      <c r="AE196" s="212" t="n"/>
      <c r="AF196" s="212" t="n"/>
      <c r="AG196" s="212" t="n"/>
      <c r="AH196" s="212" t="n"/>
      <c r="AI196" s="212" t="n"/>
      <c r="AJ196" s="212" t="n"/>
      <c r="AK196" s="212" t="n"/>
      <c r="AL196" s="212" t="n"/>
      <c r="AM196" s="212" t="n"/>
      <c r="AN196" s="212" t="n"/>
      <c r="AO196" s="212" t="n"/>
      <c r="AP196" s="212" t="n"/>
      <c r="AQ196" s="212" t="n"/>
      <c r="AR196" s="212" t="n"/>
      <c r="AS196" s="212" t="n"/>
      <c r="AT196" s="212" t="n"/>
      <c r="AU196" s="212" t="n"/>
      <c r="AV196" s="212" t="n"/>
      <c r="AW196" s="212" t="n"/>
      <c r="AX196" s="212" t="n"/>
      <c r="AY196" s="212" t="n"/>
      <c r="AZ196" s="212" t="n"/>
      <c r="BA196" s="212" t="n"/>
      <c r="BB196" s="212" t="n"/>
      <c r="BC196" s="212" t="n"/>
      <c r="BD196" s="212" t="n"/>
      <c r="BE196" s="212" t="n"/>
      <c r="BF196" s="212" t="n"/>
      <c r="BG196" s="212" t="n"/>
      <c r="BH196" s="212" t="n"/>
      <c r="BI196" s="212" t="n"/>
      <c r="BJ196" s="212" t="n"/>
      <c r="BK196" s="212" t="n"/>
      <c r="BL196" s="212" t="n"/>
      <c r="BM196" s="212" t="n"/>
      <c r="BN196" s="212" t="n"/>
      <c r="BO196" s="212" t="n"/>
      <c r="BP196" s="212" t="n"/>
      <c r="BQ196" s="212" t="n"/>
      <c r="BR196" s="212" t="n"/>
      <c r="BS196" s="212" t="n"/>
      <c r="BT196" s="212" t="n"/>
      <c r="BU196" s="212" t="n"/>
      <c r="BV196" s="212" t="n"/>
      <c r="BW196" s="212" t="n"/>
      <c r="BX196" s="212" t="n"/>
      <c r="BY196" s="212" t="n"/>
      <c r="BZ196" s="212" t="n"/>
      <c r="CA196" s="212" t="n"/>
      <c r="CB196" s="212" t="n"/>
      <c r="CC196" s="212" t="n"/>
      <c r="CD196" s="212" t="n"/>
      <c r="CE196" s="212" t="n"/>
      <c r="CF196" s="212" t="n"/>
      <c r="CG196" s="212" t="n"/>
      <c r="CH196" s="212" t="n"/>
      <c r="CI196" s="212" t="n"/>
      <c r="CJ196" s="212" t="n"/>
      <c r="CK196" s="212" t="n"/>
      <c r="CL196" s="212" t="n"/>
      <c r="CM196" s="212" t="n"/>
      <c r="CN196" s="212" t="n"/>
      <c r="CO196" s="212" t="n"/>
      <c r="CP196" s="212" t="n"/>
      <c r="CQ196" s="212" t="n"/>
      <c r="CR196" s="212" t="n"/>
      <c r="CS196" s="212" t="n"/>
      <c r="CT196" s="212" t="n"/>
      <c r="CU196" s="212" t="n"/>
      <c r="CV196" s="212" t="n"/>
      <c r="CW196" s="212" t="n"/>
      <c r="CX196" s="212" t="n"/>
      <c r="CY196" s="212" t="n"/>
      <c r="CZ196" s="212" t="n"/>
      <c r="DA196" s="212" t="n"/>
      <c r="DB196" s="212" t="n"/>
      <c r="DC196" s="212" t="n"/>
      <c r="DD196" s="212" t="n"/>
      <c r="DE196" s="212" t="n"/>
      <c r="DF196" s="212" t="n"/>
      <c r="DG196" s="212" t="n"/>
      <c r="DH196" s="212" t="n"/>
      <c r="DI196" s="212" t="n"/>
      <c r="DJ196" s="212" t="n"/>
      <c r="DK196" s="212" t="n"/>
      <c r="DL196" s="212" t="n"/>
      <c r="DM196" s="212" t="n"/>
      <c r="DN196" s="212" t="n"/>
      <c r="DO196" s="212" t="n"/>
      <c r="DP196" s="212" t="n"/>
      <c r="DQ196" s="212" t="n"/>
      <c r="DR196" s="212" t="n"/>
      <c r="DS196" s="212" t="n"/>
      <c r="DT196" s="212" t="n"/>
      <c r="DU196" s="212" t="n"/>
      <c r="DV196" s="212" t="n"/>
      <c r="DW196" s="212" t="n"/>
      <c r="DX196" s="212" t="n"/>
      <c r="DY196" s="212" t="n"/>
      <c r="DZ196" s="212" t="n"/>
      <c r="EA196" s="212" t="n"/>
      <c r="EB196" s="212" t="n"/>
      <c r="EC196" s="212" t="n"/>
      <c r="ED196" s="212" t="n"/>
      <c r="EE196" s="212" t="n"/>
      <c r="EF196" s="212" t="n"/>
      <c r="EG196" s="212" t="n"/>
      <c r="EH196" s="212" t="n"/>
      <c r="EI196" s="212" t="n"/>
      <c r="EJ196" s="212" t="n"/>
      <c r="EK196" s="212" t="n"/>
      <c r="EL196" s="212" t="n"/>
      <c r="EM196" s="212" t="n"/>
      <c r="EN196" s="212" t="n"/>
      <c r="EO196" s="212" t="n"/>
      <c r="EP196" s="212" t="n"/>
      <c r="EQ196" s="212" t="n"/>
      <c r="ER196" s="212" t="n"/>
      <c r="ES196" s="212" t="n"/>
      <c r="ET196" s="212" t="n"/>
      <c r="EU196" s="212" t="n"/>
      <c r="EV196" s="212" t="n"/>
      <c r="EW196" s="212" t="n"/>
      <c r="EX196" s="212" t="n"/>
      <c r="EY196" s="212" t="n"/>
      <c r="EZ196" s="212" t="n"/>
      <c r="FA196" s="212" t="n"/>
      <c r="FB196" s="212" t="n"/>
      <c r="FC196" s="212" t="n"/>
      <c r="FD196" s="212" t="n"/>
      <c r="FE196" s="212" t="n"/>
      <c r="FF196" s="212" t="n"/>
      <c r="FG196" s="212" t="n"/>
      <c r="FH196" s="212" t="n"/>
      <c r="FI196" s="212" t="n"/>
      <c r="FJ196" s="212" t="n"/>
      <c r="FK196" s="212" t="n"/>
      <c r="FL196" s="212" t="n"/>
      <c r="FM196" s="212" t="n"/>
      <c r="FN196" s="212" t="n"/>
      <c r="FO196" s="212" t="n"/>
      <c r="FP196" s="212" t="n"/>
      <c r="FQ196" s="212" t="n"/>
      <c r="FR196" s="212" t="n"/>
      <c r="FS196" s="212" t="n"/>
      <c r="FT196" s="212" t="n"/>
      <c r="FU196" s="212" t="n"/>
      <c r="FV196" s="212" t="n"/>
      <c r="FW196" s="212" t="n"/>
      <c r="FX196" s="212" t="n"/>
      <c r="FY196" s="212" t="n"/>
      <c r="FZ196" s="212" t="n"/>
      <c r="GA196" s="212" t="n"/>
      <c r="GB196" s="212" t="n"/>
      <c r="GC196" s="212" t="n"/>
      <c r="GD196" s="212" t="n"/>
      <c r="GE196" s="212" t="n"/>
      <c r="GF196" s="212" t="n"/>
      <c r="GG196" s="212" t="n"/>
      <c r="GH196" s="212" t="n"/>
      <c r="GI196" s="212" t="n"/>
      <c r="GJ196" s="212" t="n"/>
      <c r="GK196" s="212" t="n"/>
      <c r="GL196" s="212" t="n"/>
      <c r="GM196" s="212" t="n"/>
      <c r="GN196" s="212" t="n"/>
      <c r="GO196" s="212" t="n"/>
      <c r="GP196" s="212" t="n"/>
      <c r="GQ196" s="212" t="n"/>
      <c r="GR196" s="212" t="n"/>
      <c r="GS196" s="212" t="n"/>
      <c r="GT196" s="212" t="n"/>
      <c r="GU196" s="212" t="n"/>
      <c r="GV196" s="212" t="n"/>
      <c r="GW196" s="212" t="n"/>
      <c r="GX196" s="212" t="n"/>
      <c r="GY196" s="212" t="n"/>
      <c r="GZ196" s="212" t="n"/>
      <c r="HA196" s="212" t="n"/>
      <c r="HB196" s="212" t="n"/>
      <c r="HC196" s="212" t="n"/>
      <c r="HD196" s="212" t="n"/>
      <c r="HE196" s="212" t="n"/>
      <c r="HF196" s="212" t="n"/>
      <c r="HG196" s="212" t="n"/>
      <c r="HH196" s="212" t="n"/>
      <c r="HI196" s="212" t="n"/>
      <c r="HJ196" s="212" t="n"/>
      <c r="HK196" s="212" t="n"/>
      <c r="HL196" s="212" t="n"/>
      <c r="HM196" s="212" t="n"/>
      <c r="HN196" s="212" t="n"/>
      <c r="HO196" s="212" t="n"/>
      <c r="HP196" s="212" t="n"/>
      <c r="HQ196" s="212" t="n"/>
      <c r="HR196" s="212" t="n"/>
      <c r="HS196" s="212" t="n"/>
      <c r="HT196" s="212" t="n"/>
      <c r="HU196" s="212" t="n"/>
      <c r="HV196" s="212" t="n"/>
      <c r="HW196" s="212" t="n"/>
      <c r="HX196" s="212" t="n"/>
      <c r="HY196" s="212" t="n"/>
      <c r="HZ196" s="212" t="n"/>
      <c r="IA196" s="212" t="n"/>
      <c r="IB196" s="212" t="n"/>
      <c r="IC196" s="212" t="n"/>
      <c r="ID196" s="212" t="n"/>
      <c r="IE196" s="212" t="n"/>
      <c r="IF196" s="212" t="n"/>
      <c r="IG196" s="212" t="n"/>
      <c r="IH196" s="212" t="n"/>
      <c r="II196" s="212" t="n"/>
      <c r="IJ196" s="212" t="n"/>
      <c r="IK196" s="212" t="n"/>
      <c r="IL196" s="212" t="n"/>
      <c r="IM196" s="212" t="n"/>
      <c r="IN196" s="212" t="n"/>
      <c r="IO196" s="212" t="n"/>
      <c r="IP196" s="212" t="n"/>
      <c r="IQ196" s="212" t="n"/>
      <c r="IR196" s="212" t="n"/>
      <c r="IS196" s="212" t="n"/>
      <c r="IT196" s="212" t="n"/>
      <c r="IU196" s="212" t="n"/>
      <c r="IV196" s="212" t="n"/>
      <c r="IW196" s="212" t="n"/>
      <c r="IX196" s="212" t="n"/>
      <c r="IY196" s="212" t="n"/>
      <c r="IZ196" s="212" t="n"/>
      <c r="JA196" s="212" t="n"/>
      <c r="JB196" s="212" t="n"/>
      <c r="JC196" s="212" t="n"/>
      <c r="JD196" s="212" t="n"/>
      <c r="JE196" s="212" t="n"/>
      <c r="JF196" s="212" t="n"/>
      <c r="JG196" s="212" t="n"/>
      <c r="JH196" s="212" t="n"/>
      <c r="JI196" s="212" t="n"/>
      <c r="JJ196" s="212" t="n"/>
      <c r="JK196" s="212" t="n"/>
      <c r="JL196" s="212" t="n"/>
      <c r="JM196" s="212" t="n"/>
      <c r="JN196" s="212" t="n"/>
      <c r="JO196" s="212" t="n"/>
      <c r="JP196" s="212" t="n"/>
      <c r="JQ196" s="212" t="n"/>
      <c r="JR196" s="212" t="n"/>
      <c r="JS196" s="212" t="n"/>
      <c r="JT196" s="212" t="n"/>
      <c r="JU196" s="212" t="n"/>
      <c r="JV196" s="212" t="n"/>
      <c r="JW196" s="212" t="n"/>
      <c r="JX196" s="212" t="n"/>
      <c r="JY196" s="212" t="n"/>
      <c r="JZ196" s="212" t="n"/>
      <c r="KA196" s="212" t="n"/>
      <c r="KB196" s="212" t="n"/>
      <c r="KC196" s="212" t="n"/>
      <c r="KD196" s="212" t="n"/>
      <c r="KE196" s="212" t="n"/>
      <c r="KF196" s="212" t="n"/>
      <c r="KG196" s="212" t="n"/>
      <c r="KH196" s="212" t="n"/>
      <c r="KI196" s="212" t="n"/>
      <c r="KJ196" s="212" t="n"/>
      <c r="KK196" s="212" t="n"/>
      <c r="KL196" s="212" t="n"/>
      <c r="KM196" s="212" t="n"/>
      <c r="KN196" s="212" t="n"/>
      <c r="KO196" s="212" t="n"/>
      <c r="KP196" s="212" t="n"/>
      <c r="KQ196" s="212" t="n"/>
      <c r="KR196" s="212" t="n"/>
      <c r="KS196" s="212" t="n"/>
      <c r="KT196" s="212" t="n"/>
      <c r="KU196" s="212" t="n"/>
      <c r="KV196" s="212" t="n"/>
      <c r="KW196" s="212" t="n"/>
      <c r="KX196" s="212" t="n"/>
      <c r="KY196" s="212" t="n"/>
      <c r="KZ196" s="212" t="n"/>
      <c r="LA196" s="212" t="n"/>
      <c r="LB196" s="212" t="n"/>
      <c r="LC196" s="212" t="n"/>
      <c r="LD196" s="212" t="n"/>
      <c r="LE196" s="212" t="n"/>
      <c r="LF196" s="212" t="n"/>
      <c r="LG196" s="212" t="n"/>
      <c r="LH196" s="212" t="n"/>
      <c r="LI196" s="212" t="n"/>
      <c r="LJ196" s="212" t="n"/>
      <c r="LK196" s="212" t="n"/>
      <c r="LL196" s="212" t="n"/>
      <c r="LM196" s="212" t="n"/>
      <c r="LN196" s="212" t="n"/>
      <c r="LO196" s="212" t="n"/>
      <c r="LP196" s="212" t="n"/>
      <c r="LQ196" s="212" t="n"/>
      <c r="LR196" s="212" t="n"/>
      <c r="LS196" s="212" t="n"/>
      <c r="LT196" s="212" t="n"/>
      <c r="LU196" s="212" t="n"/>
      <c r="LV196" s="212" t="n"/>
      <c r="LW196" s="212" t="n"/>
      <c r="LX196" s="212" t="n"/>
      <c r="LY196" s="212" t="n"/>
      <c r="LZ196" s="212" t="n"/>
      <c r="MA196" s="212" t="n"/>
      <c r="MB196" s="212" t="n"/>
      <c r="MC196" s="212" t="n"/>
      <c r="MD196" s="212" t="n"/>
      <c r="ME196" s="212" t="n"/>
      <c r="MF196" s="212" t="n"/>
      <c r="MG196" s="212" t="n"/>
      <c r="MH196" s="212" t="n"/>
      <c r="MI196" s="212" t="n"/>
      <c r="MJ196" s="212" t="n"/>
      <c r="MK196" s="212" t="n"/>
      <c r="ML196" s="212" t="n"/>
      <c r="MM196" s="212" t="n"/>
      <c r="MN196" s="212" t="n"/>
      <c r="MO196" s="212" t="n"/>
      <c r="MP196" s="212" t="n"/>
      <c r="MQ196" s="212" t="n"/>
      <c r="MR196" s="212" t="n"/>
      <c r="MS196" s="212" t="n"/>
      <c r="MT196" s="212" t="n"/>
      <c r="MU196" s="212" t="n"/>
      <c r="MV196" s="212" t="n"/>
      <c r="MW196" s="212" t="n"/>
      <c r="MX196" s="212" t="n"/>
      <c r="MY196" s="212" t="n"/>
      <c r="MZ196" s="212" t="n"/>
      <c r="NA196" s="212" t="n"/>
      <c r="NB196" s="212" t="n"/>
      <c r="NC196" s="212" t="n"/>
      <c r="ND196" s="212" t="n"/>
      <c r="NE196" s="212" t="n"/>
      <c r="NF196" s="212" t="n"/>
      <c r="NG196" s="212" t="n"/>
      <c r="NH196" s="212" t="n"/>
      <c r="NI196" s="212" t="n"/>
      <c r="NJ196" s="212" t="n"/>
      <c r="NK196" s="212" t="n"/>
      <c r="NL196" s="212" t="n"/>
      <c r="NM196" s="212" t="n"/>
      <c r="NN196" s="212" t="n"/>
      <c r="NO196" s="212" t="n"/>
      <c r="NP196" s="212" t="n"/>
      <c r="NQ196" s="212" t="n"/>
      <c r="NR196" s="212" t="n"/>
      <c r="NS196" s="212" t="n"/>
      <c r="NT196" s="212" t="n"/>
      <c r="NU196" s="212" t="n"/>
      <c r="NV196" s="212" t="n"/>
      <c r="NW196" s="212" t="n"/>
      <c r="NX196" s="212" t="n"/>
      <c r="NY196" s="212" t="n"/>
      <c r="NZ196" s="212" t="n"/>
      <c r="OA196" s="212" t="n"/>
      <c r="OB196" s="212" t="n"/>
      <c r="OC196" s="212" t="n"/>
      <c r="OD196" s="212" t="n"/>
      <c r="OE196" s="212" t="n"/>
      <c r="OF196" s="212" t="n"/>
      <c r="OG196" s="212" t="n"/>
      <c r="OH196" s="212" t="n"/>
      <c r="OI196" s="212" t="n"/>
      <c r="OJ196" s="212" t="n"/>
      <c r="OK196" s="212" t="n"/>
      <c r="OL196" s="212" t="n"/>
      <c r="OM196" s="212" t="n"/>
      <c r="ON196" s="212" t="n"/>
      <c r="OO196" s="212" t="n"/>
      <c r="OP196" s="212" t="n"/>
      <c r="OQ196" s="212" t="n"/>
      <c r="OR196" s="212" t="n"/>
      <c r="OS196" s="212" t="n"/>
      <c r="OT196" s="212" t="n"/>
      <c r="OU196" s="212" t="n"/>
      <c r="OV196" s="212" t="n"/>
      <c r="OW196" s="212" t="n"/>
      <c r="OX196" s="212" t="n"/>
      <c r="OY196" s="212" t="n"/>
      <c r="OZ196" s="212" t="n"/>
      <c r="PA196" s="212" t="n"/>
      <c r="PB196" s="212" t="n"/>
      <c r="PC196" s="212" t="n"/>
      <c r="PD196" s="212" t="n"/>
      <c r="PE196" s="212" t="n"/>
      <c r="PF196" s="212" t="n"/>
      <c r="PG196" s="212" t="n"/>
      <c r="PH196" s="212" t="n"/>
      <c r="PI196" s="212" t="n"/>
      <c r="PJ196" s="212" t="n"/>
      <c r="PK196" s="212" t="n"/>
      <c r="PL196" s="212" t="n"/>
      <c r="PM196" s="212" t="n"/>
      <c r="PN196" s="212" t="n"/>
      <c r="PO196" s="212" t="n"/>
      <c r="PP196" s="212" t="n"/>
      <c r="PQ196" s="212" t="n"/>
      <c r="PR196" s="212" t="n"/>
      <c r="PS196" s="212" t="n"/>
      <c r="PT196" s="212" t="n"/>
      <c r="PU196" s="212" t="n"/>
      <c r="PV196" s="212" t="n"/>
      <c r="PW196" s="212" t="n"/>
      <c r="PX196" s="212" t="n"/>
      <c r="PY196" s="212" t="n"/>
      <c r="PZ196" s="212" t="n"/>
      <c r="QA196" s="212" t="n"/>
      <c r="QB196" s="212" t="n"/>
      <c r="QC196" s="212" t="n"/>
      <c r="QD196" s="212" t="n"/>
      <c r="QE196" s="212" t="n"/>
      <c r="QF196" s="212" t="n"/>
      <c r="QG196" s="212" t="n"/>
      <c r="QH196" s="212" t="n"/>
      <c r="QI196" s="212" t="n"/>
      <c r="QJ196" s="212" t="n"/>
      <c r="QK196" s="212" t="n"/>
      <c r="QL196" s="212" t="n"/>
      <c r="QM196" s="212" t="n"/>
      <c r="QN196" s="212" t="n"/>
      <c r="QO196" s="212" t="n"/>
      <c r="QP196" s="212" t="n"/>
      <c r="QQ196" s="212" t="n"/>
      <c r="QR196" s="212" t="n"/>
      <c r="QS196" s="212" t="n"/>
      <c r="QT196" s="212" t="n"/>
      <c r="QU196" s="212" t="n"/>
      <c r="QV196" s="212" t="n"/>
      <c r="QW196" s="212" t="n"/>
      <c r="QX196" s="212" t="n"/>
      <c r="QY196" s="212" t="n"/>
      <c r="QZ196" s="212" t="n"/>
      <c r="RA196" s="212" t="n"/>
      <c r="RB196" s="212" t="n"/>
      <c r="RC196" s="212" t="n"/>
      <c r="RD196" s="212" t="n"/>
      <c r="RE196" s="212" t="n"/>
      <c r="RF196" s="212" t="n"/>
      <c r="RG196" s="212" t="n"/>
      <c r="RH196" s="212" t="n"/>
      <c r="RI196" s="212" t="n"/>
      <c r="RJ196" s="212" t="n"/>
      <c r="RK196" s="212" t="n"/>
      <c r="RL196" s="212" t="n"/>
      <c r="RM196" s="212" t="n"/>
      <c r="RN196" s="212" t="n"/>
      <c r="RO196" s="212" t="n"/>
      <c r="RP196" s="212" t="n"/>
      <c r="RQ196" s="212" t="n"/>
      <c r="RR196" s="212" t="n"/>
      <c r="RS196" s="212" t="n"/>
      <c r="RT196" s="212" t="n"/>
      <c r="RU196" s="212" t="n"/>
      <c r="RV196" s="212" t="n"/>
      <c r="RW196" s="212" t="n"/>
      <c r="RX196" s="212" t="n"/>
      <c r="RY196" s="212" t="n"/>
      <c r="RZ196" s="212" t="n"/>
      <c r="SA196" s="212" t="n"/>
      <c r="SB196" s="212" t="n"/>
      <c r="SC196" s="212" t="n"/>
      <c r="SD196" s="212" t="n"/>
      <c r="SE196" s="212" t="n"/>
      <c r="SF196" s="212" t="n"/>
      <c r="SG196" s="212" t="n"/>
      <c r="SH196" s="212" t="n"/>
      <c r="SI196" s="212" t="n"/>
      <c r="SJ196" s="212" t="n"/>
      <c r="SK196" s="212" t="n"/>
      <c r="SL196" s="212" t="n"/>
      <c r="SM196" s="212" t="n"/>
      <c r="SN196" s="212" t="n"/>
      <c r="SO196" s="212" t="n"/>
      <c r="SP196" s="212" t="n"/>
      <c r="SQ196" s="212" t="n"/>
      <c r="SR196" s="212" t="n"/>
      <c r="SS196" s="212" t="n"/>
      <c r="ST196" s="212" t="n"/>
      <c r="SU196" s="212" t="n"/>
      <c r="SV196" s="212" t="n"/>
    </row>
    <row r="197">
      <c r="B197" s="209" t="n"/>
      <c r="C197" s="209" t="n"/>
      <c r="D197" s="209" t="n"/>
      <c r="E197" s="209" t="n"/>
      <c r="F197" s="209">
        <f>IF(TRIM(D197&amp;E197)="","",TRIM(D197)&amp;" "&amp;TRIM(E197))</f>
        <v/>
      </c>
      <c r="G197" s="209" t="n"/>
      <c r="H197" s="209" t="n"/>
      <c r="I197" s="209" t="n"/>
      <c r="J197" s="209" t="n"/>
      <c r="K197" s="209" t="n"/>
      <c r="L197" s="209" t="n"/>
      <c r="M197" s="209" t="n"/>
      <c r="N197" s="209" t="n"/>
      <c r="O197" s="209" t="n"/>
      <c r="P197" s="209" t="n"/>
      <c r="Q197" s="209" t="n"/>
      <c r="R197" s="209" t="n"/>
      <c r="S197" s="212" t="n"/>
      <c r="T197" s="212" t="n"/>
      <c r="U197" s="212" t="n"/>
      <c r="V197" s="212" t="n"/>
      <c r="W197" s="212" t="n"/>
      <c r="X197" s="212" t="n"/>
      <c r="Y197" s="212" t="n"/>
      <c r="Z197" s="212" t="n"/>
      <c r="AA197" s="212" t="n"/>
      <c r="AB197" s="212" t="n"/>
      <c r="AC197" s="212" t="n"/>
      <c r="AD197" s="212" t="n"/>
      <c r="AE197" s="212" t="n"/>
      <c r="AF197" s="212" t="n"/>
      <c r="AG197" s="212" t="n"/>
      <c r="AH197" s="212" t="n"/>
      <c r="AI197" s="212" t="n"/>
      <c r="AJ197" s="212" t="n"/>
      <c r="AK197" s="212" t="n"/>
      <c r="AL197" s="212" t="n"/>
      <c r="AM197" s="212" t="n"/>
      <c r="AN197" s="212" t="n"/>
      <c r="AO197" s="212" t="n"/>
      <c r="AP197" s="212" t="n"/>
      <c r="AQ197" s="212" t="n"/>
      <c r="AR197" s="212" t="n"/>
      <c r="AS197" s="212" t="n"/>
      <c r="AT197" s="212" t="n"/>
      <c r="AU197" s="212" t="n"/>
      <c r="AV197" s="212" t="n"/>
      <c r="AW197" s="212" t="n"/>
      <c r="AX197" s="212" t="n"/>
      <c r="AY197" s="212" t="n"/>
      <c r="AZ197" s="212" t="n"/>
      <c r="BA197" s="212" t="n"/>
      <c r="BB197" s="212" t="n"/>
      <c r="BC197" s="212" t="n"/>
      <c r="BD197" s="212" t="n"/>
      <c r="BE197" s="212" t="n"/>
      <c r="BF197" s="212" t="n"/>
      <c r="BG197" s="212" t="n"/>
      <c r="BH197" s="212" t="n"/>
      <c r="BI197" s="212" t="n"/>
      <c r="BJ197" s="212" t="n"/>
      <c r="BK197" s="212" t="n"/>
      <c r="BL197" s="212" t="n"/>
      <c r="BM197" s="212" t="n"/>
      <c r="BN197" s="212" t="n"/>
      <c r="BO197" s="212" t="n"/>
      <c r="BP197" s="212" t="n"/>
      <c r="BQ197" s="212" t="n"/>
      <c r="BR197" s="212" t="n"/>
      <c r="BS197" s="212" t="n"/>
      <c r="BT197" s="212" t="n"/>
      <c r="BU197" s="212" t="n"/>
      <c r="BV197" s="212" t="n"/>
      <c r="BW197" s="212" t="n"/>
      <c r="BX197" s="212" t="n"/>
      <c r="BY197" s="212" t="n"/>
      <c r="BZ197" s="212" t="n"/>
      <c r="CA197" s="212" t="n"/>
      <c r="CB197" s="212" t="n"/>
      <c r="CC197" s="212" t="n"/>
      <c r="CD197" s="212" t="n"/>
      <c r="CE197" s="212" t="n"/>
      <c r="CF197" s="212" t="n"/>
      <c r="CG197" s="212" t="n"/>
      <c r="CH197" s="212" t="n"/>
      <c r="CI197" s="212" t="n"/>
      <c r="CJ197" s="212" t="n"/>
      <c r="CK197" s="212" t="n"/>
      <c r="CL197" s="212" t="n"/>
      <c r="CM197" s="212" t="n"/>
      <c r="CN197" s="212" t="n"/>
      <c r="CO197" s="212" t="n"/>
      <c r="CP197" s="212" t="n"/>
      <c r="CQ197" s="212" t="n"/>
      <c r="CR197" s="212" t="n"/>
      <c r="CS197" s="212" t="n"/>
      <c r="CT197" s="212" t="n"/>
      <c r="CU197" s="212" t="n"/>
      <c r="CV197" s="212" t="n"/>
      <c r="CW197" s="212" t="n"/>
      <c r="CX197" s="212" t="n"/>
      <c r="CY197" s="212" t="n"/>
      <c r="CZ197" s="212" t="n"/>
      <c r="DA197" s="212" t="n"/>
      <c r="DB197" s="212" t="n"/>
      <c r="DC197" s="212" t="n"/>
      <c r="DD197" s="212" t="n"/>
      <c r="DE197" s="212" t="n"/>
      <c r="DF197" s="212" t="n"/>
      <c r="DG197" s="212" t="n"/>
      <c r="DH197" s="212" t="n"/>
      <c r="DI197" s="212" t="n"/>
      <c r="DJ197" s="212" t="n"/>
      <c r="DK197" s="212" t="n"/>
      <c r="DL197" s="212" t="n"/>
      <c r="DM197" s="212" t="n"/>
      <c r="DN197" s="212" t="n"/>
      <c r="DO197" s="212" t="n"/>
      <c r="DP197" s="212" t="n"/>
      <c r="DQ197" s="212" t="n"/>
      <c r="DR197" s="212" t="n"/>
      <c r="DS197" s="212" t="n"/>
      <c r="DT197" s="212" t="n"/>
      <c r="DU197" s="212" t="n"/>
      <c r="DV197" s="212" t="n"/>
      <c r="DW197" s="212" t="n"/>
      <c r="DX197" s="212" t="n"/>
      <c r="DY197" s="212" t="n"/>
      <c r="DZ197" s="212" t="n"/>
      <c r="EA197" s="212" t="n"/>
      <c r="EB197" s="212" t="n"/>
      <c r="EC197" s="212" t="n"/>
      <c r="ED197" s="212" t="n"/>
      <c r="EE197" s="212" t="n"/>
      <c r="EF197" s="212" t="n"/>
      <c r="EG197" s="212" t="n"/>
      <c r="EH197" s="212" t="n"/>
      <c r="EI197" s="212" t="n"/>
      <c r="EJ197" s="212" t="n"/>
      <c r="EK197" s="212" t="n"/>
      <c r="EL197" s="212" t="n"/>
      <c r="EM197" s="212" t="n"/>
      <c r="EN197" s="212" t="n"/>
      <c r="EO197" s="212" t="n"/>
      <c r="EP197" s="212" t="n"/>
      <c r="EQ197" s="212" t="n"/>
      <c r="ER197" s="212" t="n"/>
      <c r="ES197" s="212" t="n"/>
      <c r="ET197" s="212" t="n"/>
      <c r="EU197" s="212" t="n"/>
      <c r="EV197" s="212" t="n"/>
      <c r="EW197" s="212" t="n"/>
      <c r="EX197" s="212" t="n"/>
      <c r="EY197" s="212" t="n"/>
      <c r="EZ197" s="212" t="n"/>
      <c r="FA197" s="212" t="n"/>
      <c r="FB197" s="212" t="n"/>
      <c r="FC197" s="212" t="n"/>
      <c r="FD197" s="212" t="n"/>
      <c r="FE197" s="212" t="n"/>
      <c r="FF197" s="212" t="n"/>
      <c r="FG197" s="212" t="n"/>
      <c r="FH197" s="212" t="n"/>
      <c r="FI197" s="212" t="n"/>
      <c r="FJ197" s="212" t="n"/>
      <c r="FK197" s="212" t="n"/>
      <c r="FL197" s="212" t="n"/>
      <c r="FM197" s="212" t="n"/>
      <c r="FN197" s="212" t="n"/>
      <c r="FO197" s="212" t="n"/>
      <c r="FP197" s="212" t="n"/>
      <c r="FQ197" s="212" t="n"/>
      <c r="FR197" s="212" t="n"/>
      <c r="FS197" s="212" t="n"/>
      <c r="FT197" s="212" t="n"/>
      <c r="FU197" s="212" t="n"/>
      <c r="FV197" s="212" t="n"/>
      <c r="FW197" s="212" t="n"/>
      <c r="FX197" s="212" t="n"/>
      <c r="FY197" s="212" t="n"/>
      <c r="FZ197" s="212" t="n"/>
      <c r="GA197" s="212" t="n"/>
      <c r="GB197" s="212" t="n"/>
      <c r="GC197" s="212" t="n"/>
      <c r="GD197" s="212" t="n"/>
      <c r="GE197" s="212" t="n"/>
      <c r="GF197" s="212" t="n"/>
      <c r="GG197" s="212" t="n"/>
      <c r="GH197" s="212" t="n"/>
      <c r="GI197" s="212" t="n"/>
      <c r="GJ197" s="212" t="n"/>
      <c r="GK197" s="212" t="n"/>
      <c r="GL197" s="212" t="n"/>
      <c r="GM197" s="212" t="n"/>
      <c r="GN197" s="212" t="n"/>
      <c r="GO197" s="212" t="n"/>
      <c r="GP197" s="212" t="n"/>
      <c r="GQ197" s="212" t="n"/>
      <c r="GR197" s="212" t="n"/>
      <c r="GS197" s="212" t="n"/>
      <c r="GT197" s="212" t="n"/>
      <c r="GU197" s="212" t="n"/>
      <c r="GV197" s="212" t="n"/>
      <c r="GW197" s="212" t="n"/>
      <c r="GX197" s="212" t="n"/>
      <c r="GY197" s="212" t="n"/>
      <c r="GZ197" s="212" t="n"/>
      <c r="HA197" s="212" t="n"/>
      <c r="HB197" s="212" t="n"/>
      <c r="HC197" s="212" t="n"/>
      <c r="HD197" s="212" t="n"/>
      <c r="HE197" s="212" t="n"/>
      <c r="HF197" s="212" t="n"/>
      <c r="HG197" s="212" t="n"/>
      <c r="HH197" s="212" t="n"/>
      <c r="HI197" s="212" t="n"/>
      <c r="HJ197" s="212" t="n"/>
      <c r="HK197" s="212" t="n"/>
      <c r="HL197" s="212" t="n"/>
      <c r="HM197" s="212" t="n"/>
      <c r="HN197" s="212" t="n"/>
      <c r="HO197" s="212" t="n"/>
      <c r="HP197" s="212" t="n"/>
      <c r="HQ197" s="212" t="n"/>
      <c r="HR197" s="212" t="n"/>
      <c r="HS197" s="212" t="n"/>
      <c r="HT197" s="212" t="n"/>
      <c r="HU197" s="212" t="n"/>
      <c r="HV197" s="212" t="n"/>
      <c r="HW197" s="212" t="n"/>
      <c r="HX197" s="212" t="n"/>
      <c r="HY197" s="212" t="n"/>
      <c r="HZ197" s="212" t="n"/>
      <c r="IA197" s="212" t="n"/>
      <c r="IB197" s="212" t="n"/>
      <c r="IC197" s="212" t="n"/>
      <c r="ID197" s="212" t="n"/>
      <c r="IE197" s="212" t="n"/>
      <c r="IF197" s="212" t="n"/>
      <c r="IG197" s="212" t="n"/>
      <c r="IH197" s="212" t="n"/>
      <c r="II197" s="212" t="n"/>
      <c r="IJ197" s="212" t="n"/>
      <c r="IK197" s="212" t="n"/>
      <c r="IL197" s="212" t="n"/>
      <c r="IM197" s="212" t="n"/>
      <c r="IN197" s="212" t="n"/>
      <c r="IO197" s="212" t="n"/>
      <c r="IP197" s="212" t="n"/>
      <c r="IQ197" s="212" t="n"/>
      <c r="IR197" s="212" t="n"/>
      <c r="IS197" s="212" t="n"/>
      <c r="IT197" s="212" t="n"/>
      <c r="IU197" s="212" t="n"/>
      <c r="IV197" s="212" t="n"/>
      <c r="IW197" s="212" t="n"/>
      <c r="IX197" s="212" t="n"/>
      <c r="IY197" s="212" t="n"/>
      <c r="IZ197" s="212" t="n"/>
      <c r="JA197" s="212" t="n"/>
      <c r="JB197" s="212" t="n"/>
      <c r="JC197" s="212" t="n"/>
      <c r="JD197" s="212" t="n"/>
      <c r="JE197" s="212" t="n"/>
      <c r="JF197" s="212" t="n"/>
      <c r="JG197" s="212" t="n"/>
      <c r="JH197" s="212" t="n"/>
      <c r="JI197" s="212" t="n"/>
      <c r="JJ197" s="212" t="n"/>
      <c r="JK197" s="212" t="n"/>
      <c r="JL197" s="212" t="n"/>
      <c r="JM197" s="212" t="n"/>
      <c r="JN197" s="212" t="n"/>
      <c r="JO197" s="212" t="n"/>
      <c r="JP197" s="212" t="n"/>
      <c r="JQ197" s="212" t="n"/>
      <c r="JR197" s="212" t="n"/>
      <c r="JS197" s="212" t="n"/>
      <c r="JT197" s="212" t="n"/>
      <c r="JU197" s="212" t="n"/>
      <c r="JV197" s="212" t="n"/>
      <c r="JW197" s="212" t="n"/>
      <c r="JX197" s="212" t="n"/>
      <c r="JY197" s="212" t="n"/>
      <c r="JZ197" s="212" t="n"/>
      <c r="KA197" s="212" t="n"/>
      <c r="KB197" s="212" t="n"/>
      <c r="KC197" s="212" t="n"/>
      <c r="KD197" s="212" t="n"/>
      <c r="KE197" s="212" t="n"/>
      <c r="KF197" s="212" t="n"/>
      <c r="KG197" s="212" t="n"/>
      <c r="KH197" s="212" t="n"/>
      <c r="KI197" s="212" t="n"/>
      <c r="KJ197" s="212" t="n"/>
      <c r="KK197" s="212" t="n"/>
      <c r="KL197" s="212" t="n"/>
      <c r="KM197" s="212" t="n"/>
      <c r="KN197" s="212" t="n"/>
      <c r="KO197" s="212" t="n"/>
      <c r="KP197" s="212" t="n"/>
      <c r="KQ197" s="212" t="n"/>
      <c r="KR197" s="212" t="n"/>
      <c r="KS197" s="212" t="n"/>
      <c r="KT197" s="212" t="n"/>
      <c r="KU197" s="212" t="n"/>
      <c r="KV197" s="212" t="n"/>
      <c r="KW197" s="212" t="n"/>
      <c r="KX197" s="212" t="n"/>
      <c r="KY197" s="212" t="n"/>
      <c r="KZ197" s="212" t="n"/>
      <c r="LA197" s="212" t="n"/>
      <c r="LB197" s="212" t="n"/>
      <c r="LC197" s="212" t="n"/>
      <c r="LD197" s="212" t="n"/>
      <c r="LE197" s="212" t="n"/>
      <c r="LF197" s="212" t="n"/>
      <c r="LG197" s="212" t="n"/>
      <c r="LH197" s="212" t="n"/>
      <c r="LI197" s="212" t="n"/>
      <c r="LJ197" s="212" t="n"/>
      <c r="LK197" s="212" t="n"/>
      <c r="LL197" s="212" t="n"/>
      <c r="LM197" s="212" t="n"/>
      <c r="LN197" s="212" t="n"/>
      <c r="LO197" s="212" t="n"/>
      <c r="LP197" s="212" t="n"/>
      <c r="LQ197" s="212" t="n"/>
      <c r="LR197" s="212" t="n"/>
      <c r="LS197" s="212" t="n"/>
      <c r="LT197" s="212" t="n"/>
      <c r="LU197" s="212" t="n"/>
      <c r="LV197" s="212" t="n"/>
      <c r="LW197" s="212" t="n"/>
      <c r="LX197" s="212" t="n"/>
      <c r="LY197" s="212" t="n"/>
      <c r="LZ197" s="212" t="n"/>
      <c r="MA197" s="212" t="n"/>
      <c r="MB197" s="212" t="n"/>
      <c r="MC197" s="212" t="n"/>
      <c r="MD197" s="212" t="n"/>
      <c r="ME197" s="212" t="n"/>
      <c r="MF197" s="212" t="n"/>
      <c r="MG197" s="212" t="n"/>
      <c r="MH197" s="212" t="n"/>
      <c r="MI197" s="212" t="n"/>
      <c r="MJ197" s="212" t="n"/>
      <c r="MK197" s="212" t="n"/>
      <c r="ML197" s="212" t="n"/>
      <c r="MM197" s="212" t="n"/>
      <c r="MN197" s="212" t="n"/>
      <c r="MO197" s="212" t="n"/>
      <c r="MP197" s="212" t="n"/>
      <c r="MQ197" s="212" t="n"/>
      <c r="MR197" s="212" t="n"/>
      <c r="MS197" s="212" t="n"/>
      <c r="MT197" s="212" t="n"/>
      <c r="MU197" s="212" t="n"/>
      <c r="MV197" s="212" t="n"/>
      <c r="MW197" s="212" t="n"/>
      <c r="MX197" s="212" t="n"/>
      <c r="MY197" s="212" t="n"/>
      <c r="MZ197" s="212" t="n"/>
      <c r="NA197" s="212" t="n"/>
      <c r="NB197" s="212" t="n"/>
      <c r="NC197" s="212" t="n"/>
      <c r="ND197" s="212" t="n"/>
      <c r="NE197" s="212" t="n"/>
      <c r="NF197" s="212" t="n"/>
      <c r="NG197" s="212" t="n"/>
      <c r="NH197" s="212" t="n"/>
      <c r="NI197" s="212" t="n"/>
      <c r="NJ197" s="212" t="n"/>
      <c r="NK197" s="212" t="n"/>
      <c r="NL197" s="212" t="n"/>
      <c r="NM197" s="212" t="n"/>
      <c r="NN197" s="212" t="n"/>
      <c r="NO197" s="212" t="n"/>
      <c r="NP197" s="212" t="n"/>
      <c r="NQ197" s="212" t="n"/>
      <c r="NR197" s="212" t="n"/>
      <c r="NS197" s="212" t="n"/>
      <c r="NT197" s="212" t="n"/>
      <c r="NU197" s="212" t="n"/>
      <c r="NV197" s="212" t="n"/>
      <c r="NW197" s="212" t="n"/>
      <c r="NX197" s="212" t="n"/>
      <c r="NY197" s="212" t="n"/>
      <c r="NZ197" s="212" t="n"/>
      <c r="OA197" s="212" t="n"/>
      <c r="OB197" s="212" t="n"/>
      <c r="OC197" s="212" t="n"/>
      <c r="OD197" s="212" t="n"/>
      <c r="OE197" s="212" t="n"/>
      <c r="OF197" s="212" t="n"/>
      <c r="OG197" s="212" t="n"/>
      <c r="OH197" s="212" t="n"/>
      <c r="OI197" s="212" t="n"/>
      <c r="OJ197" s="212" t="n"/>
      <c r="OK197" s="212" t="n"/>
      <c r="OL197" s="212" t="n"/>
      <c r="OM197" s="212" t="n"/>
      <c r="ON197" s="212" t="n"/>
      <c r="OO197" s="212" t="n"/>
      <c r="OP197" s="212" t="n"/>
      <c r="OQ197" s="212" t="n"/>
      <c r="OR197" s="212" t="n"/>
      <c r="OS197" s="212" t="n"/>
      <c r="OT197" s="212" t="n"/>
      <c r="OU197" s="212" t="n"/>
      <c r="OV197" s="212" t="n"/>
      <c r="OW197" s="212" t="n"/>
      <c r="OX197" s="212" t="n"/>
      <c r="OY197" s="212" t="n"/>
      <c r="OZ197" s="212" t="n"/>
      <c r="PA197" s="212" t="n"/>
      <c r="PB197" s="212" t="n"/>
      <c r="PC197" s="212" t="n"/>
      <c r="PD197" s="212" t="n"/>
      <c r="PE197" s="212" t="n"/>
      <c r="PF197" s="212" t="n"/>
      <c r="PG197" s="212" t="n"/>
      <c r="PH197" s="212" t="n"/>
      <c r="PI197" s="212" t="n"/>
      <c r="PJ197" s="212" t="n"/>
      <c r="PK197" s="212" t="n"/>
      <c r="PL197" s="212" t="n"/>
      <c r="PM197" s="212" t="n"/>
      <c r="PN197" s="212" t="n"/>
      <c r="PO197" s="212" t="n"/>
      <c r="PP197" s="212" t="n"/>
      <c r="PQ197" s="212" t="n"/>
      <c r="PR197" s="212" t="n"/>
      <c r="PS197" s="212" t="n"/>
      <c r="PT197" s="212" t="n"/>
      <c r="PU197" s="212" t="n"/>
      <c r="PV197" s="212" t="n"/>
      <c r="PW197" s="212" t="n"/>
      <c r="PX197" s="212" t="n"/>
      <c r="PY197" s="212" t="n"/>
      <c r="PZ197" s="212" t="n"/>
      <c r="QA197" s="212" t="n"/>
      <c r="QB197" s="212" t="n"/>
      <c r="QC197" s="212" t="n"/>
      <c r="QD197" s="212" t="n"/>
      <c r="QE197" s="212" t="n"/>
      <c r="QF197" s="212" t="n"/>
      <c r="QG197" s="212" t="n"/>
      <c r="QH197" s="212" t="n"/>
      <c r="QI197" s="212" t="n"/>
      <c r="QJ197" s="212" t="n"/>
      <c r="QK197" s="212" t="n"/>
      <c r="QL197" s="212" t="n"/>
      <c r="QM197" s="212" t="n"/>
      <c r="QN197" s="212" t="n"/>
      <c r="QO197" s="212" t="n"/>
      <c r="QP197" s="212" t="n"/>
      <c r="QQ197" s="212" t="n"/>
      <c r="QR197" s="212" t="n"/>
      <c r="QS197" s="212" t="n"/>
      <c r="QT197" s="212" t="n"/>
      <c r="QU197" s="212" t="n"/>
      <c r="QV197" s="212" t="n"/>
      <c r="QW197" s="212" t="n"/>
      <c r="QX197" s="212" t="n"/>
      <c r="QY197" s="212" t="n"/>
      <c r="QZ197" s="212" t="n"/>
      <c r="RA197" s="212" t="n"/>
      <c r="RB197" s="212" t="n"/>
      <c r="RC197" s="212" t="n"/>
      <c r="RD197" s="212" t="n"/>
      <c r="RE197" s="212" t="n"/>
      <c r="RF197" s="212" t="n"/>
      <c r="RG197" s="212" t="n"/>
      <c r="RH197" s="212" t="n"/>
      <c r="RI197" s="212" t="n"/>
      <c r="RJ197" s="212" t="n"/>
      <c r="RK197" s="212" t="n"/>
      <c r="RL197" s="212" t="n"/>
      <c r="RM197" s="212" t="n"/>
      <c r="RN197" s="212" t="n"/>
      <c r="RO197" s="212" t="n"/>
      <c r="RP197" s="212" t="n"/>
      <c r="RQ197" s="212" t="n"/>
      <c r="RR197" s="212" t="n"/>
      <c r="RS197" s="212" t="n"/>
      <c r="RT197" s="212" t="n"/>
      <c r="RU197" s="212" t="n"/>
      <c r="RV197" s="212" t="n"/>
      <c r="RW197" s="212" t="n"/>
      <c r="RX197" s="212" t="n"/>
      <c r="RY197" s="212" t="n"/>
      <c r="RZ197" s="212" t="n"/>
      <c r="SA197" s="212" t="n"/>
      <c r="SB197" s="212" t="n"/>
      <c r="SC197" s="212" t="n"/>
      <c r="SD197" s="212" t="n"/>
      <c r="SE197" s="212" t="n"/>
      <c r="SF197" s="212" t="n"/>
      <c r="SG197" s="212" t="n"/>
      <c r="SH197" s="212" t="n"/>
      <c r="SI197" s="212" t="n"/>
      <c r="SJ197" s="212" t="n"/>
      <c r="SK197" s="212" t="n"/>
      <c r="SL197" s="212" t="n"/>
      <c r="SM197" s="212" t="n"/>
      <c r="SN197" s="212" t="n"/>
      <c r="SO197" s="212" t="n"/>
      <c r="SP197" s="212" t="n"/>
      <c r="SQ197" s="212" t="n"/>
      <c r="SR197" s="212" t="n"/>
      <c r="SS197" s="212" t="n"/>
      <c r="ST197" s="212" t="n"/>
      <c r="SU197" s="212" t="n"/>
      <c r="SV197" s="212" t="n"/>
    </row>
    <row r="198">
      <c r="B198" s="209" t="n"/>
      <c r="C198" s="209" t="n"/>
      <c r="D198" s="209" t="n"/>
      <c r="E198" s="209" t="n"/>
      <c r="F198" s="209">
        <f>IF(TRIM(D198&amp;E198)="","",TRIM(D198)&amp;" "&amp;TRIM(E198))</f>
        <v/>
      </c>
      <c r="G198" s="209" t="n"/>
      <c r="H198" s="209" t="n"/>
      <c r="I198" s="209" t="n"/>
      <c r="J198" s="209" t="n"/>
      <c r="K198" s="209" t="n"/>
      <c r="L198" s="209" t="n"/>
      <c r="M198" s="209" t="n"/>
      <c r="N198" s="209" t="n"/>
      <c r="O198" s="209" t="n"/>
      <c r="P198" s="209" t="n"/>
      <c r="Q198" s="209" t="n"/>
      <c r="R198" s="209" t="n"/>
      <c r="S198" s="212" t="n"/>
      <c r="T198" s="212" t="n"/>
      <c r="U198" s="212" t="n"/>
      <c r="V198" s="212" t="n"/>
      <c r="W198" s="212" t="n"/>
      <c r="X198" s="212" t="n"/>
      <c r="Y198" s="212" t="n"/>
      <c r="Z198" s="212" t="n"/>
      <c r="AA198" s="212" t="n"/>
      <c r="AB198" s="212" t="n"/>
      <c r="AC198" s="212" t="n"/>
      <c r="AD198" s="212" t="n"/>
      <c r="AE198" s="212" t="n"/>
      <c r="AF198" s="212" t="n"/>
      <c r="AG198" s="212" t="n"/>
      <c r="AH198" s="212" t="n"/>
      <c r="AI198" s="212" t="n"/>
      <c r="AJ198" s="212" t="n"/>
      <c r="AK198" s="212" t="n"/>
      <c r="AL198" s="212" t="n"/>
      <c r="AM198" s="212" t="n"/>
      <c r="AN198" s="212" t="n"/>
      <c r="AO198" s="212" t="n"/>
      <c r="AP198" s="212" t="n"/>
      <c r="AQ198" s="212" t="n"/>
      <c r="AR198" s="212" t="n"/>
      <c r="AS198" s="212" t="n"/>
      <c r="AT198" s="212" t="n"/>
      <c r="AU198" s="212" t="n"/>
      <c r="AV198" s="212" t="n"/>
      <c r="AW198" s="212" t="n"/>
      <c r="AX198" s="212" t="n"/>
      <c r="AY198" s="212" t="n"/>
      <c r="AZ198" s="212" t="n"/>
      <c r="BA198" s="212" t="n"/>
      <c r="BB198" s="212" t="n"/>
      <c r="BC198" s="212" t="n"/>
      <c r="BD198" s="212" t="n"/>
      <c r="BE198" s="212" t="n"/>
      <c r="BF198" s="212" t="n"/>
      <c r="BG198" s="212" t="n"/>
      <c r="BH198" s="212" t="n"/>
      <c r="BI198" s="212" t="n"/>
      <c r="BJ198" s="212" t="n"/>
      <c r="BK198" s="212" t="n"/>
      <c r="BL198" s="212" t="n"/>
      <c r="BM198" s="212" t="n"/>
      <c r="BN198" s="212" t="n"/>
      <c r="BO198" s="212" t="n"/>
      <c r="BP198" s="212" t="n"/>
      <c r="BQ198" s="212" t="n"/>
      <c r="BR198" s="212" t="n"/>
      <c r="BS198" s="212" t="n"/>
      <c r="BT198" s="212" t="n"/>
      <c r="BU198" s="212" t="n"/>
      <c r="BV198" s="212" t="n"/>
      <c r="BW198" s="212" t="n"/>
      <c r="BX198" s="212" t="n"/>
      <c r="BY198" s="212" t="n"/>
      <c r="BZ198" s="212" t="n"/>
      <c r="CA198" s="212" t="n"/>
      <c r="CB198" s="212" t="n"/>
      <c r="CC198" s="212" t="n"/>
      <c r="CD198" s="212" t="n"/>
      <c r="CE198" s="212" t="n"/>
      <c r="CF198" s="212" t="n"/>
      <c r="CG198" s="212" t="n"/>
      <c r="CH198" s="212" t="n"/>
      <c r="CI198" s="212" t="n"/>
      <c r="CJ198" s="212" t="n"/>
      <c r="CK198" s="212" t="n"/>
      <c r="CL198" s="212" t="n"/>
      <c r="CM198" s="212" t="n"/>
      <c r="CN198" s="212" t="n"/>
      <c r="CO198" s="212" t="n"/>
      <c r="CP198" s="212" t="n"/>
      <c r="CQ198" s="212" t="n"/>
      <c r="CR198" s="212" t="n"/>
      <c r="CS198" s="212" t="n"/>
      <c r="CT198" s="212" t="n"/>
      <c r="CU198" s="212" t="n"/>
      <c r="CV198" s="212" t="n"/>
      <c r="CW198" s="212" t="n"/>
      <c r="CX198" s="212" t="n"/>
      <c r="CY198" s="212" t="n"/>
      <c r="CZ198" s="212" t="n"/>
      <c r="DA198" s="212" t="n"/>
      <c r="DB198" s="212" t="n"/>
      <c r="DC198" s="212" t="n"/>
      <c r="DD198" s="212" t="n"/>
      <c r="DE198" s="212" t="n"/>
      <c r="DF198" s="212" t="n"/>
      <c r="DG198" s="212" t="n"/>
      <c r="DH198" s="212" t="n"/>
      <c r="DI198" s="212" t="n"/>
      <c r="DJ198" s="212" t="n"/>
      <c r="DK198" s="212" t="n"/>
      <c r="DL198" s="212" t="n"/>
      <c r="DM198" s="212" t="n"/>
      <c r="DN198" s="212" t="n"/>
      <c r="DO198" s="212" t="n"/>
      <c r="DP198" s="212" t="n"/>
      <c r="DQ198" s="212" t="n"/>
      <c r="DR198" s="212" t="n"/>
      <c r="DS198" s="212" t="n"/>
      <c r="DT198" s="212" t="n"/>
      <c r="DU198" s="212" t="n"/>
      <c r="DV198" s="212" t="n"/>
      <c r="DW198" s="212" t="n"/>
      <c r="DX198" s="212" t="n"/>
      <c r="DY198" s="212" t="n"/>
      <c r="DZ198" s="212" t="n"/>
      <c r="EA198" s="212" t="n"/>
      <c r="EB198" s="212" t="n"/>
      <c r="EC198" s="212" t="n"/>
      <c r="ED198" s="212" t="n"/>
      <c r="EE198" s="212" t="n"/>
      <c r="EF198" s="212" t="n"/>
      <c r="EG198" s="212" t="n"/>
      <c r="EH198" s="212" t="n"/>
      <c r="EI198" s="212" t="n"/>
      <c r="EJ198" s="212" t="n"/>
      <c r="EK198" s="212" t="n"/>
      <c r="EL198" s="212" t="n"/>
      <c r="EM198" s="212" t="n"/>
      <c r="EN198" s="212" t="n"/>
      <c r="EO198" s="212" t="n"/>
      <c r="EP198" s="212" t="n"/>
      <c r="EQ198" s="212" t="n"/>
      <c r="ER198" s="212" t="n"/>
      <c r="ES198" s="212" t="n"/>
      <c r="ET198" s="212" t="n"/>
      <c r="EU198" s="212" t="n"/>
      <c r="EV198" s="212" t="n"/>
      <c r="EW198" s="212" t="n"/>
      <c r="EX198" s="212" t="n"/>
      <c r="EY198" s="212" t="n"/>
      <c r="EZ198" s="212" t="n"/>
      <c r="FA198" s="212" t="n"/>
      <c r="FB198" s="212" t="n"/>
      <c r="FC198" s="212" t="n"/>
      <c r="FD198" s="212" t="n"/>
      <c r="FE198" s="212" t="n"/>
      <c r="FF198" s="212" t="n"/>
      <c r="FG198" s="212" t="n"/>
      <c r="FH198" s="212" t="n"/>
      <c r="FI198" s="212" t="n"/>
      <c r="FJ198" s="212" t="n"/>
      <c r="FK198" s="212" t="n"/>
      <c r="FL198" s="212" t="n"/>
      <c r="FM198" s="212" t="n"/>
      <c r="FN198" s="212" t="n"/>
      <c r="FO198" s="212" t="n"/>
      <c r="FP198" s="212" t="n"/>
      <c r="FQ198" s="212" t="n"/>
      <c r="FR198" s="212" t="n"/>
      <c r="FS198" s="212" t="n"/>
      <c r="FT198" s="212" t="n"/>
      <c r="FU198" s="212" t="n"/>
      <c r="FV198" s="212" t="n"/>
      <c r="FW198" s="212" t="n"/>
      <c r="FX198" s="212" t="n"/>
      <c r="FY198" s="212" t="n"/>
      <c r="FZ198" s="212" t="n"/>
      <c r="GA198" s="212" t="n"/>
      <c r="GB198" s="212" t="n"/>
      <c r="GC198" s="212" t="n"/>
      <c r="GD198" s="212" t="n"/>
      <c r="GE198" s="212" t="n"/>
      <c r="GF198" s="212" t="n"/>
      <c r="GG198" s="212" t="n"/>
      <c r="GH198" s="212" t="n"/>
      <c r="GI198" s="212" t="n"/>
      <c r="GJ198" s="212" t="n"/>
      <c r="GK198" s="212" t="n"/>
      <c r="GL198" s="212" t="n"/>
      <c r="GM198" s="212" t="n"/>
      <c r="GN198" s="212" t="n"/>
      <c r="GO198" s="212" t="n"/>
      <c r="GP198" s="212" t="n"/>
      <c r="GQ198" s="212" t="n"/>
      <c r="GR198" s="212" t="n"/>
      <c r="GS198" s="212" t="n"/>
      <c r="GT198" s="212" t="n"/>
      <c r="GU198" s="212" t="n"/>
      <c r="GV198" s="212" t="n"/>
      <c r="GW198" s="212" t="n"/>
      <c r="GX198" s="212" t="n"/>
      <c r="GY198" s="212" t="n"/>
      <c r="GZ198" s="212" t="n"/>
      <c r="HA198" s="212" t="n"/>
      <c r="HB198" s="212" t="n"/>
      <c r="HC198" s="212" t="n"/>
      <c r="HD198" s="212" t="n"/>
      <c r="HE198" s="212" t="n"/>
      <c r="HF198" s="212" t="n"/>
      <c r="HG198" s="212" t="n"/>
      <c r="HH198" s="212" t="n"/>
      <c r="HI198" s="212" t="n"/>
      <c r="HJ198" s="212" t="n"/>
      <c r="HK198" s="212" t="n"/>
      <c r="HL198" s="212" t="n"/>
      <c r="HM198" s="212" t="n"/>
      <c r="HN198" s="212" t="n"/>
      <c r="HO198" s="212" t="n"/>
      <c r="HP198" s="212" t="n"/>
      <c r="HQ198" s="212" t="n"/>
      <c r="HR198" s="212" t="n"/>
      <c r="HS198" s="212" t="n"/>
      <c r="HT198" s="212" t="n"/>
      <c r="HU198" s="212" t="n"/>
      <c r="HV198" s="212" t="n"/>
      <c r="HW198" s="212" t="n"/>
      <c r="HX198" s="212" t="n"/>
      <c r="HY198" s="212" t="n"/>
      <c r="HZ198" s="212" t="n"/>
      <c r="IA198" s="212" t="n"/>
      <c r="IB198" s="212" t="n"/>
      <c r="IC198" s="212" t="n"/>
      <c r="ID198" s="212" t="n"/>
      <c r="IE198" s="212" t="n"/>
      <c r="IF198" s="212" t="n"/>
      <c r="IG198" s="212" t="n"/>
      <c r="IH198" s="212" t="n"/>
      <c r="II198" s="212" t="n"/>
      <c r="IJ198" s="212" t="n"/>
      <c r="IK198" s="212" t="n"/>
      <c r="IL198" s="212" t="n"/>
      <c r="IM198" s="212" t="n"/>
      <c r="IN198" s="212" t="n"/>
      <c r="IO198" s="212" t="n"/>
      <c r="IP198" s="212" t="n"/>
      <c r="IQ198" s="212" t="n"/>
      <c r="IR198" s="212" t="n"/>
      <c r="IS198" s="212" t="n"/>
      <c r="IT198" s="212" t="n"/>
      <c r="IU198" s="212" t="n"/>
      <c r="IV198" s="212" t="n"/>
      <c r="IW198" s="212" t="n"/>
      <c r="IX198" s="212" t="n"/>
      <c r="IY198" s="212" t="n"/>
      <c r="IZ198" s="212" t="n"/>
      <c r="JA198" s="212" t="n"/>
      <c r="JB198" s="212" t="n"/>
      <c r="JC198" s="212" t="n"/>
      <c r="JD198" s="212" t="n"/>
      <c r="JE198" s="212" t="n"/>
      <c r="JF198" s="212" t="n"/>
      <c r="JG198" s="212" t="n"/>
      <c r="JH198" s="212" t="n"/>
      <c r="JI198" s="212" t="n"/>
      <c r="JJ198" s="212" t="n"/>
      <c r="JK198" s="212" t="n"/>
      <c r="JL198" s="212" t="n"/>
      <c r="JM198" s="212" t="n"/>
      <c r="JN198" s="212" t="n"/>
      <c r="JO198" s="212" t="n"/>
      <c r="JP198" s="212" t="n"/>
      <c r="JQ198" s="212" t="n"/>
      <c r="JR198" s="212" t="n"/>
      <c r="JS198" s="212" t="n"/>
      <c r="JT198" s="212" t="n"/>
      <c r="JU198" s="212" t="n"/>
      <c r="JV198" s="212" t="n"/>
      <c r="JW198" s="212" t="n"/>
      <c r="JX198" s="212" t="n"/>
      <c r="JY198" s="212" t="n"/>
      <c r="JZ198" s="212" t="n"/>
      <c r="KA198" s="212" t="n"/>
      <c r="KB198" s="212" t="n"/>
      <c r="KC198" s="212" t="n"/>
      <c r="KD198" s="212" t="n"/>
      <c r="KE198" s="212" t="n"/>
      <c r="KF198" s="212" t="n"/>
      <c r="KG198" s="212" t="n"/>
      <c r="KH198" s="212" t="n"/>
      <c r="KI198" s="212" t="n"/>
      <c r="KJ198" s="212" t="n"/>
      <c r="KK198" s="212" t="n"/>
      <c r="KL198" s="212" t="n"/>
      <c r="KM198" s="212" t="n"/>
      <c r="KN198" s="212" t="n"/>
      <c r="KO198" s="212" t="n"/>
      <c r="KP198" s="212" t="n"/>
      <c r="KQ198" s="212" t="n"/>
      <c r="KR198" s="212" t="n"/>
      <c r="KS198" s="212" t="n"/>
      <c r="KT198" s="212" t="n"/>
      <c r="KU198" s="212" t="n"/>
      <c r="KV198" s="212" t="n"/>
      <c r="KW198" s="212" t="n"/>
      <c r="KX198" s="212" t="n"/>
      <c r="KY198" s="212" t="n"/>
      <c r="KZ198" s="212" t="n"/>
      <c r="LA198" s="212" t="n"/>
      <c r="LB198" s="212" t="n"/>
      <c r="LC198" s="212" t="n"/>
      <c r="LD198" s="212" t="n"/>
      <c r="LE198" s="212" t="n"/>
      <c r="LF198" s="212" t="n"/>
      <c r="LG198" s="212" t="n"/>
      <c r="LH198" s="212" t="n"/>
      <c r="LI198" s="212" t="n"/>
      <c r="LJ198" s="212" t="n"/>
      <c r="LK198" s="212" t="n"/>
      <c r="LL198" s="212" t="n"/>
      <c r="LM198" s="212" t="n"/>
      <c r="LN198" s="212" t="n"/>
      <c r="LO198" s="212" t="n"/>
      <c r="LP198" s="212" t="n"/>
      <c r="LQ198" s="212" t="n"/>
      <c r="LR198" s="212" t="n"/>
      <c r="LS198" s="212" t="n"/>
      <c r="LT198" s="212" t="n"/>
      <c r="LU198" s="212" t="n"/>
      <c r="LV198" s="212" t="n"/>
      <c r="LW198" s="212" t="n"/>
      <c r="LX198" s="212" t="n"/>
      <c r="LY198" s="212" t="n"/>
      <c r="LZ198" s="212" t="n"/>
      <c r="MA198" s="212" t="n"/>
      <c r="MB198" s="212" t="n"/>
      <c r="MC198" s="212" t="n"/>
      <c r="MD198" s="212" t="n"/>
      <c r="ME198" s="212" t="n"/>
      <c r="MF198" s="212" t="n"/>
      <c r="MG198" s="212" t="n"/>
      <c r="MH198" s="212" t="n"/>
      <c r="MI198" s="212" t="n"/>
      <c r="MJ198" s="212" t="n"/>
      <c r="MK198" s="212" t="n"/>
      <c r="ML198" s="212" t="n"/>
      <c r="MM198" s="212" t="n"/>
      <c r="MN198" s="212" t="n"/>
      <c r="MO198" s="212" t="n"/>
      <c r="MP198" s="212" t="n"/>
      <c r="MQ198" s="212" t="n"/>
      <c r="MR198" s="212" t="n"/>
      <c r="MS198" s="212" t="n"/>
      <c r="MT198" s="212" t="n"/>
      <c r="MU198" s="212" t="n"/>
      <c r="MV198" s="212" t="n"/>
      <c r="MW198" s="212" t="n"/>
      <c r="MX198" s="212" t="n"/>
      <c r="MY198" s="212" t="n"/>
      <c r="MZ198" s="212" t="n"/>
      <c r="NA198" s="212" t="n"/>
      <c r="NB198" s="212" t="n"/>
      <c r="NC198" s="212" t="n"/>
      <c r="ND198" s="212" t="n"/>
      <c r="NE198" s="212" t="n"/>
      <c r="NF198" s="212" t="n"/>
      <c r="NG198" s="212" t="n"/>
      <c r="NH198" s="212" t="n"/>
      <c r="NI198" s="212" t="n"/>
      <c r="NJ198" s="212" t="n"/>
      <c r="NK198" s="212" t="n"/>
      <c r="NL198" s="212" t="n"/>
      <c r="NM198" s="212" t="n"/>
      <c r="NN198" s="212" t="n"/>
      <c r="NO198" s="212" t="n"/>
      <c r="NP198" s="212" t="n"/>
      <c r="NQ198" s="212" t="n"/>
      <c r="NR198" s="212" t="n"/>
      <c r="NS198" s="212" t="n"/>
      <c r="NT198" s="212" t="n"/>
      <c r="NU198" s="212" t="n"/>
      <c r="NV198" s="212" t="n"/>
      <c r="NW198" s="212" t="n"/>
      <c r="NX198" s="212" t="n"/>
      <c r="NY198" s="212" t="n"/>
      <c r="NZ198" s="212" t="n"/>
      <c r="OA198" s="212" t="n"/>
      <c r="OB198" s="212" t="n"/>
      <c r="OC198" s="212" t="n"/>
      <c r="OD198" s="212" t="n"/>
      <c r="OE198" s="212" t="n"/>
      <c r="OF198" s="212" t="n"/>
      <c r="OG198" s="212" t="n"/>
      <c r="OH198" s="212" t="n"/>
      <c r="OI198" s="212" t="n"/>
      <c r="OJ198" s="212" t="n"/>
      <c r="OK198" s="212" t="n"/>
      <c r="OL198" s="212" t="n"/>
      <c r="OM198" s="212" t="n"/>
      <c r="ON198" s="212" t="n"/>
      <c r="OO198" s="212" t="n"/>
      <c r="OP198" s="212" t="n"/>
      <c r="OQ198" s="212" t="n"/>
      <c r="OR198" s="212" t="n"/>
      <c r="OS198" s="212" t="n"/>
      <c r="OT198" s="212" t="n"/>
      <c r="OU198" s="212" t="n"/>
      <c r="OV198" s="212" t="n"/>
      <c r="OW198" s="212" t="n"/>
      <c r="OX198" s="212" t="n"/>
      <c r="OY198" s="212" t="n"/>
      <c r="OZ198" s="212" t="n"/>
      <c r="PA198" s="212" t="n"/>
      <c r="PB198" s="212" t="n"/>
      <c r="PC198" s="212" t="n"/>
      <c r="PD198" s="212" t="n"/>
      <c r="PE198" s="212" t="n"/>
      <c r="PF198" s="212" t="n"/>
      <c r="PG198" s="212" t="n"/>
      <c r="PH198" s="212" t="n"/>
      <c r="PI198" s="212" t="n"/>
      <c r="PJ198" s="212" t="n"/>
      <c r="PK198" s="212" t="n"/>
      <c r="PL198" s="212" t="n"/>
      <c r="PM198" s="212" t="n"/>
      <c r="PN198" s="212" t="n"/>
      <c r="PO198" s="212" t="n"/>
      <c r="PP198" s="212" t="n"/>
      <c r="PQ198" s="212" t="n"/>
      <c r="PR198" s="212" t="n"/>
      <c r="PS198" s="212" t="n"/>
      <c r="PT198" s="212" t="n"/>
      <c r="PU198" s="212" t="n"/>
      <c r="PV198" s="212" t="n"/>
      <c r="PW198" s="212" t="n"/>
      <c r="PX198" s="212" t="n"/>
      <c r="PY198" s="212" t="n"/>
      <c r="PZ198" s="212" t="n"/>
      <c r="QA198" s="212" t="n"/>
      <c r="QB198" s="212" t="n"/>
      <c r="QC198" s="212" t="n"/>
      <c r="QD198" s="212" t="n"/>
      <c r="QE198" s="212" t="n"/>
      <c r="QF198" s="212" t="n"/>
      <c r="QG198" s="212" t="n"/>
      <c r="QH198" s="212" t="n"/>
      <c r="QI198" s="212" t="n"/>
      <c r="QJ198" s="212" t="n"/>
      <c r="QK198" s="212" t="n"/>
      <c r="QL198" s="212" t="n"/>
      <c r="QM198" s="212" t="n"/>
      <c r="QN198" s="212" t="n"/>
      <c r="QO198" s="212" t="n"/>
      <c r="QP198" s="212" t="n"/>
      <c r="QQ198" s="212" t="n"/>
      <c r="QR198" s="212" t="n"/>
      <c r="QS198" s="212" t="n"/>
      <c r="QT198" s="212" t="n"/>
      <c r="QU198" s="212" t="n"/>
      <c r="QV198" s="212" t="n"/>
      <c r="QW198" s="212" t="n"/>
      <c r="QX198" s="212" t="n"/>
      <c r="QY198" s="212" t="n"/>
      <c r="QZ198" s="212" t="n"/>
      <c r="RA198" s="212" t="n"/>
      <c r="RB198" s="212" t="n"/>
      <c r="RC198" s="212" t="n"/>
      <c r="RD198" s="212" t="n"/>
      <c r="RE198" s="212" t="n"/>
      <c r="RF198" s="212" t="n"/>
      <c r="RG198" s="212" t="n"/>
      <c r="RH198" s="212" t="n"/>
      <c r="RI198" s="212" t="n"/>
      <c r="RJ198" s="212" t="n"/>
      <c r="RK198" s="212" t="n"/>
      <c r="RL198" s="212" t="n"/>
      <c r="RM198" s="212" t="n"/>
      <c r="RN198" s="212" t="n"/>
      <c r="RO198" s="212" t="n"/>
      <c r="RP198" s="212" t="n"/>
      <c r="RQ198" s="212" t="n"/>
      <c r="RR198" s="212" t="n"/>
      <c r="RS198" s="212" t="n"/>
      <c r="RT198" s="212" t="n"/>
      <c r="RU198" s="212" t="n"/>
      <c r="RV198" s="212" t="n"/>
      <c r="RW198" s="212" t="n"/>
      <c r="RX198" s="212" t="n"/>
      <c r="RY198" s="212" t="n"/>
      <c r="RZ198" s="212" t="n"/>
      <c r="SA198" s="212" t="n"/>
      <c r="SB198" s="212" t="n"/>
      <c r="SC198" s="212" t="n"/>
      <c r="SD198" s="212" t="n"/>
      <c r="SE198" s="212" t="n"/>
      <c r="SF198" s="212" t="n"/>
      <c r="SG198" s="212" t="n"/>
      <c r="SH198" s="212" t="n"/>
      <c r="SI198" s="212" t="n"/>
      <c r="SJ198" s="212" t="n"/>
      <c r="SK198" s="212" t="n"/>
      <c r="SL198" s="212" t="n"/>
      <c r="SM198" s="212" t="n"/>
      <c r="SN198" s="212" t="n"/>
      <c r="SO198" s="212" t="n"/>
      <c r="SP198" s="212" t="n"/>
      <c r="SQ198" s="212" t="n"/>
      <c r="SR198" s="212" t="n"/>
      <c r="SS198" s="212" t="n"/>
      <c r="ST198" s="212" t="n"/>
      <c r="SU198" s="212" t="n"/>
      <c r="SV198" s="212" t="n"/>
    </row>
    <row r="199">
      <c r="B199" s="209" t="n"/>
      <c r="C199" s="209" t="n"/>
      <c r="D199" s="209" t="n"/>
      <c r="E199" s="209" t="n"/>
      <c r="F199" s="209">
        <f>IF(TRIM(D199&amp;E199)="","",TRIM(D199)&amp;" "&amp;TRIM(E199))</f>
        <v/>
      </c>
      <c r="G199" s="209" t="n"/>
      <c r="H199" s="209" t="n"/>
      <c r="I199" s="209" t="n"/>
      <c r="J199" s="209" t="n"/>
      <c r="K199" s="209" t="n"/>
      <c r="L199" s="209" t="n"/>
      <c r="M199" s="209" t="n"/>
      <c r="N199" s="209" t="n"/>
      <c r="O199" s="209" t="n"/>
      <c r="P199" s="209" t="n"/>
      <c r="Q199" s="209" t="n"/>
      <c r="R199" s="209" t="n"/>
      <c r="S199" s="212" t="n"/>
      <c r="T199" s="212" t="n"/>
      <c r="U199" s="212" t="n"/>
      <c r="V199" s="212" t="n"/>
      <c r="W199" s="212" t="n"/>
      <c r="X199" s="212" t="n"/>
      <c r="Y199" s="212" t="n"/>
      <c r="Z199" s="212" t="n"/>
      <c r="AA199" s="212" t="n"/>
      <c r="AB199" s="212" t="n"/>
      <c r="AC199" s="212" t="n"/>
      <c r="AD199" s="212" t="n"/>
      <c r="AE199" s="212" t="n"/>
      <c r="AF199" s="212" t="n"/>
      <c r="AG199" s="212" t="n"/>
      <c r="AH199" s="212" t="n"/>
      <c r="AI199" s="212" t="n"/>
      <c r="AJ199" s="212" t="n"/>
      <c r="AK199" s="212" t="n"/>
      <c r="AL199" s="212" t="n"/>
      <c r="AM199" s="212" t="n"/>
      <c r="AN199" s="212" t="n"/>
      <c r="AO199" s="212" t="n"/>
      <c r="AP199" s="212" t="n"/>
      <c r="AQ199" s="212" t="n"/>
      <c r="AR199" s="212" t="n"/>
      <c r="AS199" s="212" t="n"/>
      <c r="AT199" s="212" t="n"/>
      <c r="AU199" s="212" t="n"/>
      <c r="AV199" s="212" t="n"/>
      <c r="AW199" s="212" t="n"/>
      <c r="AX199" s="212" t="n"/>
      <c r="AY199" s="212" t="n"/>
      <c r="AZ199" s="212" t="n"/>
      <c r="BA199" s="212" t="n"/>
      <c r="BB199" s="212" t="n"/>
      <c r="BC199" s="212" t="n"/>
      <c r="BD199" s="212" t="n"/>
      <c r="BE199" s="212" t="n"/>
      <c r="BF199" s="212" t="n"/>
      <c r="BG199" s="212" t="n"/>
      <c r="BH199" s="212" t="n"/>
      <c r="BI199" s="212" t="n"/>
      <c r="BJ199" s="212" t="n"/>
      <c r="BK199" s="212" t="n"/>
      <c r="BL199" s="212" t="n"/>
      <c r="BM199" s="212" t="n"/>
      <c r="BN199" s="212" t="n"/>
      <c r="BO199" s="212" t="n"/>
      <c r="BP199" s="212" t="n"/>
      <c r="BQ199" s="212" t="n"/>
      <c r="BR199" s="212" t="n"/>
      <c r="BS199" s="212" t="n"/>
      <c r="BT199" s="212" t="n"/>
      <c r="BU199" s="212" t="n"/>
      <c r="BV199" s="212" t="n"/>
      <c r="BW199" s="212" t="n"/>
      <c r="BX199" s="212" t="n"/>
      <c r="BY199" s="212" t="n"/>
      <c r="BZ199" s="212" t="n"/>
      <c r="CA199" s="212" t="n"/>
      <c r="CB199" s="212" t="n"/>
      <c r="CC199" s="212" t="n"/>
      <c r="CD199" s="212" t="n"/>
      <c r="CE199" s="212" t="n"/>
      <c r="CF199" s="212" t="n"/>
      <c r="CG199" s="212" t="n"/>
      <c r="CH199" s="212" t="n"/>
      <c r="CI199" s="212" t="n"/>
      <c r="CJ199" s="212" t="n"/>
      <c r="CK199" s="212" t="n"/>
      <c r="CL199" s="212" t="n"/>
      <c r="CM199" s="212" t="n"/>
      <c r="CN199" s="212" t="n"/>
      <c r="CO199" s="212" t="n"/>
      <c r="CP199" s="212" t="n"/>
      <c r="CQ199" s="212" t="n"/>
      <c r="CR199" s="212" t="n"/>
      <c r="CS199" s="212" t="n"/>
      <c r="CT199" s="212" t="n"/>
      <c r="CU199" s="212" t="n"/>
      <c r="CV199" s="212" t="n"/>
      <c r="CW199" s="212" t="n"/>
      <c r="CX199" s="212" t="n"/>
      <c r="CY199" s="212" t="n"/>
      <c r="CZ199" s="212" t="n"/>
      <c r="DA199" s="212" t="n"/>
      <c r="DB199" s="212" t="n"/>
      <c r="DC199" s="212" t="n"/>
      <c r="DD199" s="212" t="n"/>
      <c r="DE199" s="212" t="n"/>
      <c r="DF199" s="212" t="n"/>
      <c r="DG199" s="212" t="n"/>
      <c r="DH199" s="212" t="n"/>
      <c r="DI199" s="212" t="n"/>
      <c r="DJ199" s="212" t="n"/>
      <c r="DK199" s="212" t="n"/>
      <c r="DL199" s="212" t="n"/>
      <c r="DM199" s="212" t="n"/>
      <c r="DN199" s="212" t="n"/>
      <c r="DO199" s="212" t="n"/>
      <c r="DP199" s="212" t="n"/>
      <c r="DQ199" s="212" t="n"/>
      <c r="DR199" s="212" t="n"/>
      <c r="DS199" s="212" t="n"/>
      <c r="DT199" s="212" t="n"/>
      <c r="DU199" s="212" t="n"/>
      <c r="DV199" s="212" t="n"/>
      <c r="DW199" s="212" t="n"/>
      <c r="DX199" s="212" t="n"/>
      <c r="DY199" s="212" t="n"/>
      <c r="DZ199" s="212" t="n"/>
      <c r="EA199" s="212" t="n"/>
      <c r="EB199" s="212" t="n"/>
      <c r="EC199" s="212" t="n"/>
      <c r="ED199" s="212" t="n"/>
      <c r="EE199" s="212" t="n"/>
      <c r="EF199" s="212" t="n"/>
      <c r="EG199" s="212" t="n"/>
      <c r="EH199" s="212" t="n"/>
      <c r="EI199" s="212" t="n"/>
      <c r="EJ199" s="212" t="n"/>
      <c r="EK199" s="212" t="n"/>
      <c r="EL199" s="212" t="n"/>
      <c r="EM199" s="212" t="n"/>
      <c r="EN199" s="212" t="n"/>
      <c r="EO199" s="212" t="n"/>
      <c r="EP199" s="212" t="n"/>
      <c r="EQ199" s="212" t="n"/>
      <c r="ER199" s="212" t="n"/>
      <c r="ES199" s="212" t="n"/>
      <c r="ET199" s="212" t="n"/>
      <c r="EU199" s="212" t="n"/>
      <c r="EV199" s="212" t="n"/>
      <c r="EW199" s="212" t="n"/>
      <c r="EX199" s="212" t="n"/>
      <c r="EY199" s="212" t="n"/>
      <c r="EZ199" s="212" t="n"/>
      <c r="FA199" s="212" t="n"/>
      <c r="FB199" s="212" t="n"/>
      <c r="FC199" s="212" t="n"/>
      <c r="FD199" s="212" t="n"/>
      <c r="FE199" s="212" t="n"/>
      <c r="FF199" s="212" t="n"/>
      <c r="FG199" s="212" t="n"/>
      <c r="FH199" s="212" t="n"/>
      <c r="FI199" s="212" t="n"/>
      <c r="FJ199" s="212" t="n"/>
      <c r="FK199" s="212" t="n"/>
      <c r="FL199" s="212" t="n"/>
      <c r="FM199" s="212" t="n"/>
      <c r="FN199" s="212" t="n"/>
      <c r="FO199" s="212" t="n"/>
      <c r="FP199" s="212" t="n"/>
      <c r="FQ199" s="212" t="n"/>
      <c r="FR199" s="212" t="n"/>
      <c r="FS199" s="212" t="n"/>
      <c r="FT199" s="212" t="n"/>
      <c r="FU199" s="212" t="n"/>
      <c r="FV199" s="212" t="n"/>
      <c r="FW199" s="212" t="n"/>
      <c r="FX199" s="212" t="n"/>
      <c r="FY199" s="212" t="n"/>
      <c r="FZ199" s="212" t="n"/>
      <c r="GA199" s="212" t="n"/>
      <c r="GB199" s="212" t="n"/>
      <c r="GC199" s="212" t="n"/>
      <c r="GD199" s="212" t="n"/>
      <c r="GE199" s="212" t="n"/>
      <c r="GF199" s="212" t="n"/>
      <c r="GG199" s="212" t="n"/>
      <c r="GH199" s="212" t="n"/>
      <c r="GI199" s="212" t="n"/>
      <c r="GJ199" s="212" t="n"/>
      <c r="GK199" s="212" t="n"/>
      <c r="GL199" s="212" t="n"/>
      <c r="GM199" s="212" t="n"/>
      <c r="GN199" s="212" t="n"/>
      <c r="GO199" s="212" t="n"/>
      <c r="GP199" s="212" t="n"/>
      <c r="GQ199" s="212" t="n"/>
      <c r="GR199" s="212" t="n"/>
      <c r="GS199" s="212" t="n"/>
      <c r="GT199" s="212" t="n"/>
      <c r="GU199" s="212" t="n"/>
      <c r="GV199" s="212" t="n"/>
      <c r="GW199" s="212" t="n"/>
      <c r="GX199" s="212" t="n"/>
      <c r="GY199" s="212" t="n"/>
      <c r="GZ199" s="212" t="n"/>
      <c r="HA199" s="212" t="n"/>
      <c r="HB199" s="212" t="n"/>
      <c r="HC199" s="212" t="n"/>
      <c r="HD199" s="212" t="n"/>
      <c r="HE199" s="212" t="n"/>
      <c r="HF199" s="212" t="n"/>
      <c r="HG199" s="212" t="n"/>
      <c r="HH199" s="212" t="n"/>
      <c r="HI199" s="212" t="n"/>
      <c r="HJ199" s="212" t="n"/>
      <c r="HK199" s="212" t="n"/>
      <c r="HL199" s="212" t="n"/>
      <c r="HM199" s="212" t="n"/>
      <c r="HN199" s="212" t="n"/>
      <c r="HO199" s="212" t="n"/>
      <c r="HP199" s="212" t="n"/>
      <c r="HQ199" s="212" t="n"/>
      <c r="HR199" s="212" t="n"/>
      <c r="HS199" s="212" t="n"/>
      <c r="HT199" s="212" t="n"/>
      <c r="HU199" s="212" t="n"/>
      <c r="HV199" s="212" t="n"/>
      <c r="HW199" s="212" t="n"/>
      <c r="HX199" s="212" t="n"/>
      <c r="HY199" s="212" t="n"/>
      <c r="HZ199" s="212" t="n"/>
      <c r="IA199" s="212" t="n"/>
      <c r="IB199" s="212" t="n"/>
      <c r="IC199" s="212" t="n"/>
      <c r="ID199" s="212" t="n"/>
      <c r="IE199" s="212" t="n"/>
      <c r="IF199" s="212" t="n"/>
      <c r="IG199" s="212" t="n"/>
      <c r="IH199" s="212" t="n"/>
      <c r="II199" s="212" t="n"/>
      <c r="IJ199" s="212" t="n"/>
      <c r="IK199" s="212" t="n"/>
      <c r="IL199" s="212" t="n"/>
      <c r="IM199" s="212" t="n"/>
      <c r="IN199" s="212" t="n"/>
      <c r="IO199" s="212" t="n"/>
      <c r="IP199" s="212" t="n"/>
      <c r="IQ199" s="212" t="n"/>
      <c r="IR199" s="212" t="n"/>
      <c r="IS199" s="212" t="n"/>
      <c r="IT199" s="212" t="n"/>
      <c r="IU199" s="212" t="n"/>
      <c r="IV199" s="212" t="n"/>
      <c r="IW199" s="212" t="n"/>
      <c r="IX199" s="212" t="n"/>
      <c r="IY199" s="212" t="n"/>
      <c r="IZ199" s="212" t="n"/>
      <c r="JA199" s="212" t="n"/>
      <c r="JB199" s="212" t="n"/>
      <c r="JC199" s="212" t="n"/>
      <c r="JD199" s="212" t="n"/>
      <c r="JE199" s="212" t="n"/>
      <c r="JF199" s="212" t="n"/>
      <c r="JG199" s="212" t="n"/>
      <c r="JH199" s="212" t="n"/>
      <c r="JI199" s="212" t="n"/>
      <c r="JJ199" s="212" t="n"/>
      <c r="JK199" s="212" t="n"/>
      <c r="JL199" s="212" t="n"/>
      <c r="JM199" s="212" t="n"/>
      <c r="JN199" s="212" t="n"/>
      <c r="JO199" s="212" t="n"/>
      <c r="JP199" s="212" t="n"/>
      <c r="JQ199" s="212" t="n"/>
      <c r="JR199" s="212" t="n"/>
      <c r="JS199" s="212" t="n"/>
      <c r="JT199" s="212" t="n"/>
      <c r="JU199" s="212" t="n"/>
      <c r="JV199" s="212" t="n"/>
      <c r="JW199" s="212" t="n"/>
      <c r="JX199" s="212" t="n"/>
      <c r="JY199" s="212" t="n"/>
      <c r="JZ199" s="212" t="n"/>
      <c r="KA199" s="212" t="n"/>
      <c r="KB199" s="212" t="n"/>
      <c r="KC199" s="212" t="n"/>
      <c r="KD199" s="212" t="n"/>
      <c r="KE199" s="212" t="n"/>
      <c r="KF199" s="212" t="n"/>
      <c r="KG199" s="212" t="n"/>
      <c r="KH199" s="212" t="n"/>
      <c r="KI199" s="212" t="n"/>
      <c r="KJ199" s="212" t="n"/>
      <c r="KK199" s="212" t="n"/>
      <c r="KL199" s="212" t="n"/>
      <c r="KM199" s="212" t="n"/>
      <c r="KN199" s="212" t="n"/>
      <c r="KO199" s="212" t="n"/>
      <c r="KP199" s="212" t="n"/>
      <c r="KQ199" s="212" t="n"/>
      <c r="KR199" s="212" t="n"/>
      <c r="KS199" s="212" t="n"/>
      <c r="KT199" s="212" t="n"/>
      <c r="KU199" s="212" t="n"/>
      <c r="KV199" s="212" t="n"/>
      <c r="KW199" s="212" t="n"/>
      <c r="KX199" s="212" t="n"/>
      <c r="KY199" s="212" t="n"/>
      <c r="KZ199" s="212" t="n"/>
      <c r="LA199" s="212" t="n"/>
      <c r="LB199" s="212" t="n"/>
      <c r="LC199" s="212" t="n"/>
      <c r="LD199" s="212" t="n"/>
      <c r="LE199" s="212" t="n"/>
      <c r="LF199" s="212" t="n"/>
      <c r="LG199" s="212" t="n"/>
      <c r="LH199" s="212" t="n"/>
      <c r="LI199" s="212" t="n"/>
      <c r="LJ199" s="212" t="n"/>
      <c r="LK199" s="212" t="n"/>
      <c r="LL199" s="212" t="n"/>
      <c r="LM199" s="212" t="n"/>
      <c r="LN199" s="212" t="n"/>
      <c r="LO199" s="212" t="n"/>
      <c r="LP199" s="212" t="n"/>
      <c r="LQ199" s="212" t="n"/>
      <c r="LR199" s="212" t="n"/>
      <c r="LS199" s="212" t="n"/>
      <c r="LT199" s="212" t="n"/>
      <c r="LU199" s="212" t="n"/>
      <c r="LV199" s="212" t="n"/>
      <c r="LW199" s="212" t="n"/>
      <c r="LX199" s="212" t="n"/>
      <c r="LY199" s="212" t="n"/>
      <c r="LZ199" s="212" t="n"/>
      <c r="MA199" s="212" t="n"/>
      <c r="MB199" s="212" t="n"/>
      <c r="MC199" s="212" t="n"/>
      <c r="MD199" s="212" t="n"/>
      <c r="ME199" s="212" t="n"/>
      <c r="MF199" s="212" t="n"/>
      <c r="MG199" s="212" t="n"/>
      <c r="MH199" s="212" t="n"/>
      <c r="MI199" s="212" t="n"/>
      <c r="MJ199" s="212" t="n"/>
      <c r="MK199" s="212" t="n"/>
      <c r="ML199" s="212" t="n"/>
      <c r="MM199" s="212" t="n"/>
      <c r="MN199" s="212" t="n"/>
      <c r="MO199" s="212" t="n"/>
      <c r="MP199" s="212" t="n"/>
      <c r="MQ199" s="212" t="n"/>
      <c r="MR199" s="212" t="n"/>
      <c r="MS199" s="212" t="n"/>
      <c r="MT199" s="212" t="n"/>
      <c r="MU199" s="212" t="n"/>
      <c r="MV199" s="212" t="n"/>
      <c r="MW199" s="212" t="n"/>
      <c r="MX199" s="212" t="n"/>
      <c r="MY199" s="212" t="n"/>
      <c r="MZ199" s="212" t="n"/>
      <c r="NA199" s="212" t="n"/>
      <c r="NB199" s="212" t="n"/>
      <c r="NC199" s="212" t="n"/>
      <c r="ND199" s="212" t="n"/>
      <c r="NE199" s="212" t="n"/>
      <c r="NF199" s="212" t="n"/>
      <c r="NG199" s="212" t="n"/>
      <c r="NH199" s="212" t="n"/>
      <c r="NI199" s="212" t="n"/>
      <c r="NJ199" s="212" t="n"/>
      <c r="NK199" s="212" t="n"/>
      <c r="NL199" s="212" t="n"/>
      <c r="NM199" s="212" t="n"/>
      <c r="NN199" s="212" t="n"/>
      <c r="NO199" s="212" t="n"/>
      <c r="NP199" s="212" t="n"/>
      <c r="NQ199" s="212" t="n"/>
      <c r="NR199" s="212" t="n"/>
      <c r="NS199" s="212" t="n"/>
      <c r="NT199" s="212" t="n"/>
      <c r="NU199" s="212" t="n"/>
      <c r="NV199" s="212" t="n"/>
      <c r="NW199" s="212" t="n"/>
      <c r="NX199" s="212" t="n"/>
      <c r="NY199" s="212" t="n"/>
      <c r="NZ199" s="212" t="n"/>
      <c r="OA199" s="212" t="n"/>
      <c r="OB199" s="212" t="n"/>
      <c r="OC199" s="212" t="n"/>
      <c r="OD199" s="212" t="n"/>
      <c r="OE199" s="212" t="n"/>
      <c r="OF199" s="212" t="n"/>
      <c r="OG199" s="212" t="n"/>
      <c r="OH199" s="212" t="n"/>
      <c r="OI199" s="212" t="n"/>
      <c r="OJ199" s="212" t="n"/>
      <c r="OK199" s="212" t="n"/>
      <c r="OL199" s="212" t="n"/>
      <c r="OM199" s="212" t="n"/>
      <c r="ON199" s="212" t="n"/>
      <c r="OO199" s="212" t="n"/>
      <c r="OP199" s="212" t="n"/>
      <c r="OQ199" s="212" t="n"/>
      <c r="OR199" s="212" t="n"/>
      <c r="OS199" s="212" t="n"/>
      <c r="OT199" s="212" t="n"/>
      <c r="OU199" s="212" t="n"/>
      <c r="OV199" s="212" t="n"/>
      <c r="OW199" s="212" t="n"/>
      <c r="OX199" s="212" t="n"/>
      <c r="OY199" s="212" t="n"/>
      <c r="OZ199" s="212" t="n"/>
      <c r="PA199" s="212" t="n"/>
      <c r="PB199" s="212" t="n"/>
      <c r="PC199" s="212" t="n"/>
      <c r="PD199" s="212" t="n"/>
      <c r="PE199" s="212" t="n"/>
      <c r="PF199" s="212" t="n"/>
      <c r="PG199" s="212" t="n"/>
      <c r="PH199" s="212" t="n"/>
      <c r="PI199" s="212" t="n"/>
      <c r="PJ199" s="212" t="n"/>
      <c r="PK199" s="212" t="n"/>
      <c r="PL199" s="212" t="n"/>
      <c r="PM199" s="212" t="n"/>
      <c r="PN199" s="212" t="n"/>
      <c r="PO199" s="212" t="n"/>
      <c r="PP199" s="212" t="n"/>
      <c r="PQ199" s="212" t="n"/>
      <c r="PR199" s="212" t="n"/>
      <c r="PS199" s="212" t="n"/>
      <c r="PT199" s="212" t="n"/>
      <c r="PU199" s="212" t="n"/>
      <c r="PV199" s="212" t="n"/>
      <c r="PW199" s="212" t="n"/>
      <c r="PX199" s="212" t="n"/>
      <c r="PY199" s="212" t="n"/>
      <c r="PZ199" s="212" t="n"/>
      <c r="QA199" s="212" t="n"/>
      <c r="QB199" s="212" t="n"/>
      <c r="QC199" s="212" t="n"/>
      <c r="QD199" s="212" t="n"/>
      <c r="QE199" s="212" t="n"/>
      <c r="QF199" s="212" t="n"/>
      <c r="QG199" s="212" t="n"/>
      <c r="QH199" s="212" t="n"/>
      <c r="QI199" s="212" t="n"/>
      <c r="QJ199" s="212" t="n"/>
      <c r="QK199" s="212" t="n"/>
      <c r="QL199" s="212" t="n"/>
      <c r="QM199" s="212" t="n"/>
      <c r="QN199" s="212" t="n"/>
      <c r="QO199" s="212" t="n"/>
      <c r="QP199" s="212" t="n"/>
      <c r="QQ199" s="212" t="n"/>
      <c r="QR199" s="212" t="n"/>
      <c r="QS199" s="212" t="n"/>
      <c r="QT199" s="212" t="n"/>
      <c r="QU199" s="212" t="n"/>
      <c r="QV199" s="212" t="n"/>
      <c r="QW199" s="212" t="n"/>
      <c r="QX199" s="212" t="n"/>
      <c r="QY199" s="212" t="n"/>
      <c r="QZ199" s="212" t="n"/>
      <c r="RA199" s="212" t="n"/>
      <c r="RB199" s="212" t="n"/>
      <c r="RC199" s="212" t="n"/>
      <c r="RD199" s="212" t="n"/>
      <c r="RE199" s="212" t="n"/>
      <c r="RF199" s="212" t="n"/>
      <c r="RG199" s="212" t="n"/>
      <c r="RH199" s="212" t="n"/>
      <c r="RI199" s="212" t="n"/>
      <c r="RJ199" s="212" t="n"/>
      <c r="RK199" s="212" t="n"/>
      <c r="RL199" s="212" t="n"/>
      <c r="RM199" s="212" t="n"/>
      <c r="RN199" s="212" t="n"/>
      <c r="RO199" s="212" t="n"/>
      <c r="RP199" s="212" t="n"/>
      <c r="RQ199" s="212" t="n"/>
      <c r="RR199" s="212" t="n"/>
      <c r="RS199" s="212" t="n"/>
      <c r="RT199" s="212" t="n"/>
      <c r="RU199" s="212" t="n"/>
      <c r="RV199" s="212" t="n"/>
      <c r="RW199" s="212" t="n"/>
      <c r="RX199" s="212" t="n"/>
      <c r="RY199" s="212" t="n"/>
      <c r="RZ199" s="212" t="n"/>
      <c r="SA199" s="212" t="n"/>
      <c r="SB199" s="212" t="n"/>
      <c r="SC199" s="212" t="n"/>
      <c r="SD199" s="212" t="n"/>
      <c r="SE199" s="212" t="n"/>
      <c r="SF199" s="212" t="n"/>
      <c r="SG199" s="212" t="n"/>
      <c r="SH199" s="212" t="n"/>
      <c r="SI199" s="212" t="n"/>
      <c r="SJ199" s="212" t="n"/>
      <c r="SK199" s="212" t="n"/>
      <c r="SL199" s="212" t="n"/>
      <c r="SM199" s="212" t="n"/>
      <c r="SN199" s="212" t="n"/>
      <c r="SO199" s="212" t="n"/>
      <c r="SP199" s="212" t="n"/>
      <c r="SQ199" s="212" t="n"/>
      <c r="SR199" s="212" t="n"/>
      <c r="SS199" s="212" t="n"/>
      <c r="ST199" s="212" t="n"/>
      <c r="SU199" s="212" t="n"/>
      <c r="SV199" s="212" t="n"/>
    </row>
    <row r="200">
      <c r="B200" s="209" t="n"/>
      <c r="C200" s="209" t="n"/>
      <c r="D200" s="209" t="n"/>
      <c r="E200" s="209" t="n"/>
      <c r="F200" s="209">
        <f>IF(TRIM(D200&amp;E200)="","",TRIM(D200)&amp;" "&amp;TRIM(E200))</f>
        <v/>
      </c>
      <c r="G200" s="209" t="n"/>
      <c r="H200" s="209" t="n"/>
      <c r="I200" s="209" t="n"/>
      <c r="J200" s="209" t="n"/>
      <c r="K200" s="209" t="n"/>
      <c r="L200" s="209" t="n"/>
      <c r="M200" s="209" t="n"/>
      <c r="N200" s="209" t="n"/>
      <c r="O200" s="209" t="n"/>
      <c r="P200" s="209" t="n"/>
      <c r="Q200" s="209" t="n"/>
      <c r="R200" s="209" t="n"/>
      <c r="S200" s="212" t="n"/>
      <c r="T200" s="212" t="n"/>
      <c r="U200" s="212" t="n"/>
      <c r="V200" s="212" t="n"/>
      <c r="W200" s="212" t="n"/>
      <c r="X200" s="212" t="n"/>
      <c r="Y200" s="212" t="n"/>
      <c r="Z200" s="212" t="n"/>
      <c r="AA200" s="212" t="n"/>
      <c r="AB200" s="212" t="n"/>
      <c r="AC200" s="212" t="n"/>
      <c r="AD200" s="212" t="n"/>
      <c r="AE200" s="212" t="n"/>
      <c r="AF200" s="212" t="n"/>
      <c r="AG200" s="212" t="n"/>
      <c r="AH200" s="212" t="n"/>
      <c r="AI200" s="212" t="n"/>
      <c r="AJ200" s="212" t="n"/>
      <c r="AK200" s="212" t="n"/>
      <c r="AL200" s="212" t="n"/>
      <c r="AM200" s="212" t="n"/>
      <c r="AN200" s="212" t="n"/>
      <c r="AO200" s="212" t="n"/>
      <c r="AP200" s="212" t="n"/>
      <c r="AQ200" s="212" t="n"/>
      <c r="AR200" s="212" t="n"/>
      <c r="AS200" s="212" t="n"/>
      <c r="AT200" s="212" t="n"/>
      <c r="AU200" s="212" t="n"/>
      <c r="AV200" s="212" t="n"/>
      <c r="AW200" s="212" t="n"/>
      <c r="AX200" s="212" t="n"/>
      <c r="AY200" s="212" t="n"/>
      <c r="AZ200" s="212" t="n"/>
      <c r="BA200" s="212" t="n"/>
      <c r="BB200" s="212" t="n"/>
      <c r="BC200" s="212" t="n"/>
      <c r="BD200" s="212" t="n"/>
      <c r="BE200" s="212" t="n"/>
      <c r="BF200" s="212" t="n"/>
      <c r="BG200" s="212" t="n"/>
      <c r="BH200" s="212" t="n"/>
      <c r="BI200" s="212" t="n"/>
      <c r="BJ200" s="212" t="n"/>
      <c r="BK200" s="212" t="n"/>
      <c r="BL200" s="212" t="n"/>
      <c r="BM200" s="212" t="n"/>
      <c r="BN200" s="212" t="n"/>
      <c r="BO200" s="212" t="n"/>
      <c r="BP200" s="212" t="n"/>
      <c r="BQ200" s="212" t="n"/>
      <c r="BR200" s="212" t="n"/>
      <c r="BS200" s="212" t="n"/>
      <c r="BT200" s="212" t="n"/>
      <c r="BU200" s="212" t="n"/>
      <c r="BV200" s="212" t="n"/>
      <c r="BW200" s="212" t="n"/>
      <c r="BX200" s="212" t="n"/>
      <c r="BY200" s="212" t="n"/>
      <c r="BZ200" s="212" t="n"/>
      <c r="CA200" s="212" t="n"/>
      <c r="CB200" s="212" t="n"/>
      <c r="CC200" s="212" t="n"/>
      <c r="CD200" s="212" t="n"/>
      <c r="CE200" s="212" t="n"/>
      <c r="CF200" s="212" t="n"/>
      <c r="CG200" s="212" t="n"/>
      <c r="CH200" s="212" t="n"/>
      <c r="CI200" s="212" t="n"/>
      <c r="CJ200" s="212" t="n"/>
      <c r="CK200" s="212" t="n"/>
      <c r="CL200" s="212" t="n"/>
      <c r="CM200" s="212" t="n"/>
      <c r="CN200" s="212" t="n"/>
      <c r="CO200" s="212" t="n"/>
      <c r="CP200" s="212" t="n"/>
      <c r="CQ200" s="212" t="n"/>
      <c r="CR200" s="212" t="n"/>
      <c r="CS200" s="212" t="n"/>
      <c r="CT200" s="212" t="n"/>
      <c r="CU200" s="212" t="n"/>
      <c r="CV200" s="212" t="n"/>
      <c r="CW200" s="212" t="n"/>
      <c r="CX200" s="212" t="n"/>
      <c r="CY200" s="212" t="n"/>
      <c r="CZ200" s="212" t="n"/>
      <c r="DA200" s="212" t="n"/>
      <c r="DB200" s="212" t="n"/>
      <c r="DC200" s="212" t="n"/>
      <c r="DD200" s="212" t="n"/>
      <c r="DE200" s="212" t="n"/>
      <c r="DF200" s="212" t="n"/>
      <c r="DG200" s="212" t="n"/>
      <c r="DH200" s="212" t="n"/>
      <c r="DI200" s="212" t="n"/>
      <c r="DJ200" s="212" t="n"/>
      <c r="DK200" s="212" t="n"/>
      <c r="DL200" s="212" t="n"/>
      <c r="DM200" s="212" t="n"/>
      <c r="DN200" s="212" t="n"/>
      <c r="DO200" s="212" t="n"/>
      <c r="DP200" s="212" t="n"/>
      <c r="DQ200" s="212" t="n"/>
      <c r="DR200" s="212" t="n"/>
      <c r="DS200" s="212" t="n"/>
      <c r="DT200" s="212" t="n"/>
      <c r="DU200" s="212" t="n"/>
      <c r="DV200" s="212" t="n"/>
      <c r="DW200" s="212" t="n"/>
      <c r="DX200" s="212" t="n"/>
      <c r="DY200" s="212" t="n"/>
      <c r="DZ200" s="212" t="n"/>
      <c r="EA200" s="212" t="n"/>
      <c r="EB200" s="212" t="n"/>
      <c r="EC200" s="212" t="n"/>
      <c r="ED200" s="212" t="n"/>
      <c r="EE200" s="212" t="n"/>
      <c r="EF200" s="212" t="n"/>
      <c r="EG200" s="212" t="n"/>
      <c r="EH200" s="212" t="n"/>
      <c r="EI200" s="212" t="n"/>
      <c r="EJ200" s="212" t="n"/>
      <c r="EK200" s="212" t="n"/>
      <c r="EL200" s="212" t="n"/>
      <c r="EM200" s="212" t="n"/>
      <c r="EN200" s="212" t="n"/>
      <c r="EO200" s="212" t="n"/>
      <c r="EP200" s="212" t="n"/>
      <c r="EQ200" s="212" t="n"/>
      <c r="ER200" s="212" t="n"/>
      <c r="ES200" s="212" t="n"/>
      <c r="ET200" s="212" t="n"/>
      <c r="EU200" s="212" t="n"/>
      <c r="EV200" s="212" t="n"/>
      <c r="EW200" s="212" t="n"/>
      <c r="EX200" s="212" t="n"/>
      <c r="EY200" s="212" t="n"/>
      <c r="EZ200" s="212" t="n"/>
      <c r="FA200" s="212" t="n"/>
      <c r="FB200" s="212" t="n"/>
      <c r="FC200" s="212" t="n"/>
      <c r="FD200" s="212" t="n"/>
      <c r="FE200" s="212" t="n"/>
      <c r="FF200" s="212" t="n"/>
      <c r="FG200" s="212" t="n"/>
      <c r="FH200" s="212" t="n"/>
      <c r="FI200" s="212" t="n"/>
      <c r="FJ200" s="212" t="n"/>
      <c r="FK200" s="212" t="n"/>
      <c r="FL200" s="212" t="n"/>
      <c r="FM200" s="212" t="n"/>
      <c r="FN200" s="212" t="n"/>
      <c r="FO200" s="212" t="n"/>
      <c r="FP200" s="212" t="n"/>
      <c r="FQ200" s="212" t="n"/>
      <c r="FR200" s="212" t="n"/>
      <c r="FS200" s="212" t="n"/>
      <c r="FT200" s="212" t="n"/>
      <c r="FU200" s="212" t="n"/>
      <c r="FV200" s="212" t="n"/>
      <c r="FW200" s="212" t="n"/>
      <c r="FX200" s="212" t="n"/>
      <c r="FY200" s="212" t="n"/>
      <c r="FZ200" s="212" t="n"/>
      <c r="GA200" s="212" t="n"/>
      <c r="GB200" s="212" t="n"/>
      <c r="GC200" s="212" t="n"/>
      <c r="GD200" s="212" t="n"/>
      <c r="GE200" s="212" t="n"/>
      <c r="GF200" s="212" t="n"/>
      <c r="GG200" s="212" t="n"/>
      <c r="GH200" s="212" t="n"/>
      <c r="GI200" s="212" t="n"/>
      <c r="GJ200" s="212" t="n"/>
      <c r="GK200" s="212" t="n"/>
      <c r="GL200" s="212" t="n"/>
      <c r="GM200" s="212" t="n"/>
      <c r="GN200" s="212" t="n"/>
      <c r="GO200" s="212" t="n"/>
      <c r="GP200" s="212" t="n"/>
      <c r="GQ200" s="212" t="n"/>
      <c r="GR200" s="212" t="n"/>
      <c r="GS200" s="212" t="n"/>
      <c r="GT200" s="212" t="n"/>
      <c r="GU200" s="212" t="n"/>
      <c r="GV200" s="212" t="n"/>
      <c r="GW200" s="212" t="n"/>
      <c r="GX200" s="212" t="n"/>
      <c r="GY200" s="212" t="n"/>
      <c r="GZ200" s="212" t="n"/>
      <c r="HA200" s="212" t="n"/>
      <c r="HB200" s="212" t="n"/>
      <c r="HC200" s="212" t="n"/>
      <c r="HD200" s="212" t="n"/>
      <c r="HE200" s="212" t="n"/>
      <c r="HF200" s="212" t="n"/>
      <c r="HG200" s="212" t="n"/>
      <c r="HH200" s="212" t="n"/>
      <c r="HI200" s="212" t="n"/>
      <c r="HJ200" s="212" t="n"/>
      <c r="HK200" s="212" t="n"/>
      <c r="HL200" s="212" t="n"/>
      <c r="HM200" s="212" t="n"/>
      <c r="HN200" s="212" t="n"/>
      <c r="HO200" s="212" t="n"/>
      <c r="HP200" s="212" t="n"/>
      <c r="HQ200" s="212" t="n"/>
      <c r="HR200" s="212" t="n"/>
      <c r="HS200" s="212" t="n"/>
      <c r="HT200" s="212" t="n"/>
      <c r="HU200" s="212" t="n"/>
      <c r="HV200" s="212" t="n"/>
      <c r="HW200" s="212" t="n"/>
      <c r="HX200" s="212" t="n"/>
      <c r="HY200" s="212" t="n"/>
      <c r="HZ200" s="212" t="n"/>
      <c r="IA200" s="212" t="n"/>
      <c r="IB200" s="212" t="n"/>
      <c r="IC200" s="212" t="n"/>
      <c r="ID200" s="212" t="n"/>
      <c r="IE200" s="212" t="n"/>
      <c r="IF200" s="212" t="n"/>
      <c r="IG200" s="212" t="n"/>
      <c r="IH200" s="212" t="n"/>
      <c r="II200" s="212" t="n"/>
      <c r="IJ200" s="212" t="n"/>
      <c r="IK200" s="212" t="n"/>
      <c r="IL200" s="212" t="n"/>
      <c r="IM200" s="212" t="n"/>
      <c r="IN200" s="212" t="n"/>
      <c r="IO200" s="212" t="n"/>
      <c r="IP200" s="212" t="n"/>
      <c r="IQ200" s="212" t="n"/>
      <c r="IR200" s="212" t="n"/>
      <c r="IS200" s="212" t="n"/>
      <c r="IT200" s="212" t="n"/>
      <c r="IU200" s="212" t="n"/>
      <c r="IV200" s="212" t="n"/>
      <c r="IW200" s="212" t="n"/>
      <c r="IX200" s="212" t="n"/>
      <c r="IY200" s="212" t="n"/>
      <c r="IZ200" s="212" t="n"/>
      <c r="JA200" s="212" t="n"/>
      <c r="JB200" s="212" t="n"/>
      <c r="JC200" s="212" t="n"/>
      <c r="JD200" s="212" t="n"/>
      <c r="JE200" s="212" t="n"/>
      <c r="JF200" s="212" t="n"/>
      <c r="JG200" s="212" t="n"/>
      <c r="JH200" s="212" t="n"/>
      <c r="JI200" s="212" t="n"/>
      <c r="JJ200" s="212" t="n"/>
      <c r="JK200" s="212" t="n"/>
      <c r="JL200" s="212" t="n"/>
      <c r="JM200" s="212" t="n"/>
      <c r="JN200" s="212" t="n"/>
      <c r="JO200" s="212" t="n"/>
      <c r="JP200" s="212" t="n"/>
      <c r="JQ200" s="212" t="n"/>
      <c r="JR200" s="212" t="n"/>
      <c r="JS200" s="212" t="n"/>
      <c r="JT200" s="212" t="n"/>
      <c r="JU200" s="212" t="n"/>
      <c r="JV200" s="212" t="n"/>
      <c r="JW200" s="212" t="n"/>
      <c r="JX200" s="212" t="n"/>
      <c r="JY200" s="212" t="n"/>
      <c r="JZ200" s="212" t="n"/>
      <c r="KA200" s="212" t="n"/>
      <c r="KB200" s="212" t="n"/>
      <c r="KC200" s="212" t="n"/>
      <c r="KD200" s="212" t="n"/>
      <c r="KE200" s="212" t="n"/>
      <c r="KF200" s="212" t="n"/>
      <c r="KG200" s="212" t="n"/>
      <c r="KH200" s="212" t="n"/>
      <c r="KI200" s="212" t="n"/>
      <c r="KJ200" s="212" t="n"/>
      <c r="KK200" s="212" t="n"/>
      <c r="KL200" s="212" t="n"/>
      <c r="KM200" s="212" t="n"/>
      <c r="KN200" s="212" t="n"/>
      <c r="KO200" s="212" t="n"/>
      <c r="KP200" s="212" t="n"/>
      <c r="KQ200" s="212" t="n"/>
      <c r="KR200" s="212" t="n"/>
      <c r="KS200" s="212" t="n"/>
      <c r="KT200" s="212" t="n"/>
      <c r="KU200" s="212" t="n"/>
      <c r="KV200" s="212" t="n"/>
      <c r="KW200" s="212" t="n"/>
      <c r="KX200" s="212" t="n"/>
      <c r="KY200" s="212" t="n"/>
      <c r="KZ200" s="212" t="n"/>
      <c r="LA200" s="212" t="n"/>
      <c r="LB200" s="212" t="n"/>
      <c r="LC200" s="212" t="n"/>
      <c r="LD200" s="212" t="n"/>
      <c r="LE200" s="212" t="n"/>
      <c r="LF200" s="212" t="n"/>
      <c r="LG200" s="212" t="n"/>
      <c r="LH200" s="212" t="n"/>
      <c r="LI200" s="212" t="n"/>
      <c r="LJ200" s="212" t="n"/>
      <c r="LK200" s="212" t="n"/>
      <c r="LL200" s="212" t="n"/>
      <c r="LM200" s="212" t="n"/>
      <c r="LN200" s="212" t="n"/>
      <c r="LO200" s="212" t="n"/>
      <c r="LP200" s="212" t="n"/>
      <c r="LQ200" s="212" t="n"/>
      <c r="LR200" s="212" t="n"/>
      <c r="LS200" s="212" t="n"/>
      <c r="LT200" s="212" t="n"/>
      <c r="LU200" s="212" t="n"/>
      <c r="LV200" s="212" t="n"/>
      <c r="LW200" s="212" t="n"/>
      <c r="LX200" s="212" t="n"/>
      <c r="LY200" s="212" t="n"/>
      <c r="LZ200" s="212" t="n"/>
      <c r="MA200" s="212" t="n"/>
      <c r="MB200" s="212" t="n"/>
      <c r="MC200" s="212" t="n"/>
      <c r="MD200" s="212" t="n"/>
      <c r="ME200" s="212" t="n"/>
      <c r="MF200" s="212" t="n"/>
      <c r="MG200" s="212" t="n"/>
      <c r="MH200" s="212" t="n"/>
      <c r="MI200" s="212" t="n"/>
      <c r="MJ200" s="212" t="n"/>
      <c r="MK200" s="212" t="n"/>
      <c r="ML200" s="212" t="n"/>
      <c r="MM200" s="212" t="n"/>
      <c r="MN200" s="212" t="n"/>
      <c r="MO200" s="212" t="n"/>
      <c r="MP200" s="212" t="n"/>
      <c r="MQ200" s="212" t="n"/>
      <c r="MR200" s="212" t="n"/>
      <c r="MS200" s="212" t="n"/>
      <c r="MT200" s="212" t="n"/>
      <c r="MU200" s="212" t="n"/>
      <c r="MV200" s="212" t="n"/>
      <c r="MW200" s="212" t="n"/>
      <c r="MX200" s="212" t="n"/>
      <c r="MY200" s="212" t="n"/>
      <c r="MZ200" s="212" t="n"/>
      <c r="NA200" s="212" t="n"/>
      <c r="NB200" s="212" t="n"/>
      <c r="NC200" s="212" t="n"/>
      <c r="ND200" s="212" t="n"/>
      <c r="NE200" s="212" t="n"/>
      <c r="NF200" s="212" t="n"/>
      <c r="NG200" s="212" t="n"/>
      <c r="NH200" s="212" t="n"/>
      <c r="NI200" s="212" t="n"/>
      <c r="NJ200" s="212" t="n"/>
      <c r="NK200" s="212" t="n"/>
      <c r="NL200" s="212" t="n"/>
      <c r="NM200" s="212" t="n"/>
      <c r="NN200" s="212" t="n"/>
      <c r="NO200" s="212" t="n"/>
      <c r="NP200" s="212" t="n"/>
      <c r="NQ200" s="212" t="n"/>
      <c r="NR200" s="212" t="n"/>
      <c r="NS200" s="212" t="n"/>
      <c r="NT200" s="212" t="n"/>
      <c r="NU200" s="212" t="n"/>
      <c r="NV200" s="212" t="n"/>
      <c r="NW200" s="212" t="n"/>
      <c r="NX200" s="212" t="n"/>
      <c r="NY200" s="212" t="n"/>
      <c r="NZ200" s="212" t="n"/>
      <c r="OA200" s="212" t="n"/>
      <c r="OB200" s="212" t="n"/>
      <c r="OC200" s="212" t="n"/>
      <c r="OD200" s="212" t="n"/>
      <c r="OE200" s="212" t="n"/>
      <c r="OF200" s="212" t="n"/>
      <c r="OG200" s="212" t="n"/>
      <c r="OH200" s="212" t="n"/>
      <c r="OI200" s="212" t="n"/>
      <c r="OJ200" s="212" t="n"/>
      <c r="OK200" s="212" t="n"/>
      <c r="OL200" s="212" t="n"/>
      <c r="OM200" s="212" t="n"/>
      <c r="ON200" s="212" t="n"/>
      <c r="OO200" s="212" t="n"/>
      <c r="OP200" s="212" t="n"/>
      <c r="OQ200" s="212" t="n"/>
      <c r="OR200" s="212" t="n"/>
      <c r="OS200" s="212" t="n"/>
      <c r="OT200" s="212" t="n"/>
      <c r="OU200" s="212" t="n"/>
      <c r="OV200" s="212" t="n"/>
      <c r="OW200" s="212" t="n"/>
      <c r="OX200" s="212" t="n"/>
      <c r="OY200" s="212" t="n"/>
      <c r="OZ200" s="212" t="n"/>
      <c r="PA200" s="212" t="n"/>
      <c r="PB200" s="212" t="n"/>
      <c r="PC200" s="212" t="n"/>
      <c r="PD200" s="212" t="n"/>
      <c r="PE200" s="212" t="n"/>
      <c r="PF200" s="212" t="n"/>
      <c r="PG200" s="212" t="n"/>
      <c r="PH200" s="212" t="n"/>
      <c r="PI200" s="212" t="n"/>
      <c r="PJ200" s="212" t="n"/>
      <c r="PK200" s="212" t="n"/>
      <c r="PL200" s="212" t="n"/>
      <c r="PM200" s="212" t="n"/>
      <c r="PN200" s="212" t="n"/>
      <c r="PO200" s="212" t="n"/>
      <c r="PP200" s="212" t="n"/>
      <c r="PQ200" s="212" t="n"/>
      <c r="PR200" s="212" t="n"/>
      <c r="PS200" s="212" t="n"/>
      <c r="PT200" s="212" t="n"/>
      <c r="PU200" s="212" t="n"/>
      <c r="PV200" s="212" t="n"/>
      <c r="PW200" s="212" t="n"/>
      <c r="PX200" s="212" t="n"/>
      <c r="PY200" s="212" t="n"/>
      <c r="PZ200" s="212" t="n"/>
      <c r="QA200" s="212" t="n"/>
      <c r="QB200" s="212" t="n"/>
      <c r="QC200" s="212" t="n"/>
      <c r="QD200" s="212" t="n"/>
      <c r="QE200" s="212" t="n"/>
      <c r="QF200" s="212" t="n"/>
      <c r="QG200" s="212" t="n"/>
      <c r="QH200" s="212" t="n"/>
      <c r="QI200" s="212" t="n"/>
      <c r="QJ200" s="212" t="n"/>
      <c r="QK200" s="212" t="n"/>
      <c r="QL200" s="212" t="n"/>
      <c r="QM200" s="212" t="n"/>
      <c r="QN200" s="212" t="n"/>
      <c r="QO200" s="212" t="n"/>
      <c r="QP200" s="212" t="n"/>
      <c r="QQ200" s="212" t="n"/>
      <c r="QR200" s="212" t="n"/>
      <c r="QS200" s="212" t="n"/>
      <c r="QT200" s="212" t="n"/>
      <c r="QU200" s="212" t="n"/>
      <c r="QV200" s="212" t="n"/>
      <c r="QW200" s="212" t="n"/>
      <c r="QX200" s="212" t="n"/>
      <c r="QY200" s="212" t="n"/>
      <c r="QZ200" s="212" t="n"/>
      <c r="RA200" s="212" t="n"/>
      <c r="RB200" s="212" t="n"/>
      <c r="RC200" s="212" t="n"/>
      <c r="RD200" s="212" t="n"/>
      <c r="RE200" s="212" t="n"/>
      <c r="RF200" s="212" t="n"/>
      <c r="RG200" s="212" t="n"/>
      <c r="RH200" s="212" t="n"/>
      <c r="RI200" s="212" t="n"/>
      <c r="RJ200" s="212" t="n"/>
      <c r="RK200" s="212" t="n"/>
      <c r="RL200" s="212" t="n"/>
      <c r="RM200" s="212" t="n"/>
      <c r="RN200" s="212" t="n"/>
      <c r="RO200" s="212" t="n"/>
      <c r="RP200" s="212" t="n"/>
      <c r="RQ200" s="212" t="n"/>
      <c r="RR200" s="212" t="n"/>
      <c r="RS200" s="212" t="n"/>
      <c r="RT200" s="212" t="n"/>
      <c r="RU200" s="212" t="n"/>
      <c r="RV200" s="212" t="n"/>
      <c r="RW200" s="212" t="n"/>
      <c r="RX200" s="212" t="n"/>
      <c r="RY200" s="212" t="n"/>
      <c r="RZ200" s="212" t="n"/>
      <c r="SA200" s="212" t="n"/>
      <c r="SB200" s="212" t="n"/>
      <c r="SC200" s="212" t="n"/>
      <c r="SD200" s="212" t="n"/>
      <c r="SE200" s="212" t="n"/>
      <c r="SF200" s="212" t="n"/>
      <c r="SG200" s="212" t="n"/>
      <c r="SH200" s="212" t="n"/>
      <c r="SI200" s="212" t="n"/>
      <c r="SJ200" s="212" t="n"/>
      <c r="SK200" s="212" t="n"/>
      <c r="SL200" s="212" t="n"/>
      <c r="SM200" s="212" t="n"/>
      <c r="SN200" s="212" t="n"/>
      <c r="SO200" s="212" t="n"/>
      <c r="SP200" s="212" t="n"/>
      <c r="SQ200" s="212" t="n"/>
      <c r="SR200" s="212" t="n"/>
      <c r="SS200" s="212" t="n"/>
      <c r="ST200" s="212" t="n"/>
      <c r="SU200" s="212" t="n"/>
      <c r="SV200" s="212" t="n"/>
    </row>
    <row r="201">
      <c r="B201" s="209" t="n"/>
      <c r="C201" s="209" t="n"/>
      <c r="D201" s="209" t="n"/>
      <c r="E201" s="209" t="n"/>
      <c r="F201" s="209">
        <f>IF(TRIM(D201&amp;E201)="","",TRIM(D201)&amp;" "&amp;TRIM(E201))</f>
        <v/>
      </c>
      <c r="G201" s="209" t="n"/>
      <c r="H201" s="209" t="n"/>
      <c r="I201" s="209" t="n"/>
      <c r="J201" s="209" t="n"/>
      <c r="K201" s="209" t="n"/>
      <c r="L201" s="209" t="n"/>
      <c r="M201" s="209" t="n"/>
      <c r="N201" s="209" t="n"/>
      <c r="O201" s="209" t="n"/>
      <c r="P201" s="209" t="n"/>
      <c r="Q201" s="209" t="n"/>
      <c r="R201" s="209" t="n"/>
      <c r="S201" s="212" t="n"/>
      <c r="T201" s="212" t="n"/>
      <c r="U201" s="212" t="n"/>
      <c r="V201" s="212" t="n"/>
      <c r="W201" s="212" t="n"/>
      <c r="X201" s="212" t="n"/>
      <c r="Y201" s="212" t="n"/>
      <c r="Z201" s="212" t="n"/>
      <c r="AA201" s="212" t="n"/>
      <c r="AB201" s="212" t="n"/>
      <c r="AC201" s="212" t="n"/>
      <c r="AD201" s="212" t="n"/>
      <c r="AE201" s="212" t="n"/>
      <c r="AF201" s="212" t="n"/>
      <c r="AG201" s="212" t="n"/>
      <c r="AH201" s="212" t="n"/>
      <c r="AI201" s="212" t="n"/>
      <c r="AJ201" s="212" t="n"/>
      <c r="AK201" s="212" t="n"/>
      <c r="AL201" s="212" t="n"/>
      <c r="AM201" s="212" t="n"/>
      <c r="AN201" s="212" t="n"/>
      <c r="AO201" s="212" t="n"/>
      <c r="AP201" s="212" t="n"/>
      <c r="AQ201" s="212" t="n"/>
      <c r="AR201" s="212" t="n"/>
      <c r="AS201" s="212" t="n"/>
      <c r="AT201" s="212" t="n"/>
      <c r="AU201" s="212" t="n"/>
      <c r="AV201" s="212" t="n"/>
      <c r="AW201" s="212" t="n"/>
      <c r="AX201" s="212" t="n"/>
      <c r="AY201" s="212" t="n"/>
      <c r="AZ201" s="212" t="n"/>
      <c r="BA201" s="212" t="n"/>
      <c r="BB201" s="212" t="n"/>
      <c r="BC201" s="212" t="n"/>
      <c r="BD201" s="212" t="n"/>
      <c r="BE201" s="212" t="n"/>
      <c r="BF201" s="212" t="n"/>
      <c r="BG201" s="212" t="n"/>
      <c r="BH201" s="212" t="n"/>
      <c r="BI201" s="212" t="n"/>
      <c r="BJ201" s="212" t="n"/>
      <c r="BK201" s="212" t="n"/>
      <c r="BL201" s="212" t="n"/>
      <c r="BM201" s="212" t="n"/>
      <c r="BN201" s="212" t="n"/>
      <c r="BO201" s="212" t="n"/>
      <c r="BP201" s="212" t="n"/>
      <c r="BQ201" s="212" t="n"/>
      <c r="BR201" s="212" t="n"/>
      <c r="BS201" s="212" t="n"/>
      <c r="BT201" s="212" t="n"/>
      <c r="BU201" s="212" t="n"/>
      <c r="BV201" s="212" t="n"/>
      <c r="BW201" s="212" t="n"/>
      <c r="BX201" s="212" t="n"/>
      <c r="BY201" s="212" t="n"/>
      <c r="BZ201" s="212" t="n"/>
      <c r="CA201" s="212" t="n"/>
      <c r="CB201" s="212" t="n"/>
      <c r="CC201" s="212" t="n"/>
      <c r="CD201" s="212" t="n"/>
      <c r="CE201" s="212" t="n"/>
      <c r="CF201" s="212" t="n"/>
      <c r="CG201" s="212" t="n"/>
      <c r="CH201" s="212" t="n"/>
      <c r="CI201" s="212" t="n"/>
      <c r="CJ201" s="212" t="n"/>
      <c r="CK201" s="212" t="n"/>
      <c r="CL201" s="212" t="n"/>
      <c r="CM201" s="212" t="n"/>
      <c r="CN201" s="212" t="n"/>
      <c r="CO201" s="212" t="n"/>
      <c r="CP201" s="212" t="n"/>
      <c r="CQ201" s="212" t="n"/>
      <c r="CR201" s="212" t="n"/>
      <c r="CS201" s="212" t="n"/>
      <c r="CT201" s="212" t="n"/>
      <c r="CU201" s="212" t="n"/>
      <c r="CV201" s="212" t="n"/>
      <c r="CW201" s="212" t="n"/>
      <c r="CX201" s="212" t="n"/>
      <c r="CY201" s="212" t="n"/>
      <c r="CZ201" s="212" t="n"/>
      <c r="DA201" s="212" t="n"/>
      <c r="DB201" s="212" t="n"/>
      <c r="DC201" s="212" t="n"/>
      <c r="DD201" s="212" t="n"/>
      <c r="DE201" s="212" t="n"/>
      <c r="DF201" s="212" t="n"/>
      <c r="DG201" s="212" t="n"/>
      <c r="DH201" s="212" t="n"/>
      <c r="DI201" s="212" t="n"/>
      <c r="DJ201" s="212" t="n"/>
      <c r="DK201" s="212" t="n"/>
      <c r="DL201" s="212" t="n"/>
      <c r="DM201" s="212" t="n"/>
      <c r="DN201" s="212" t="n"/>
      <c r="DO201" s="212" t="n"/>
      <c r="DP201" s="212" t="n"/>
      <c r="DQ201" s="212" t="n"/>
      <c r="DR201" s="212" t="n"/>
      <c r="DS201" s="212" t="n"/>
      <c r="DT201" s="212" t="n"/>
      <c r="DU201" s="212" t="n"/>
      <c r="DV201" s="212" t="n"/>
      <c r="DW201" s="212" t="n"/>
      <c r="DX201" s="212" t="n"/>
      <c r="DY201" s="212" t="n"/>
      <c r="DZ201" s="212" t="n"/>
      <c r="EA201" s="212" t="n"/>
      <c r="EB201" s="212" t="n"/>
      <c r="EC201" s="212" t="n"/>
      <c r="ED201" s="212" t="n"/>
      <c r="EE201" s="212" t="n"/>
      <c r="EF201" s="212" t="n"/>
      <c r="EG201" s="212" t="n"/>
      <c r="EH201" s="212" t="n"/>
      <c r="EI201" s="212" t="n"/>
      <c r="EJ201" s="212" t="n"/>
      <c r="EK201" s="212" t="n"/>
      <c r="EL201" s="212" t="n"/>
      <c r="EM201" s="212" t="n"/>
      <c r="EN201" s="212" t="n"/>
      <c r="EO201" s="212" t="n"/>
      <c r="EP201" s="212" t="n"/>
      <c r="EQ201" s="212" t="n"/>
      <c r="ER201" s="212" t="n"/>
      <c r="ES201" s="212" t="n"/>
      <c r="ET201" s="212" t="n"/>
      <c r="EU201" s="212" t="n"/>
      <c r="EV201" s="212" t="n"/>
      <c r="EW201" s="212" t="n"/>
      <c r="EX201" s="212" t="n"/>
      <c r="EY201" s="212" t="n"/>
      <c r="EZ201" s="212" t="n"/>
      <c r="FA201" s="212" t="n"/>
      <c r="FB201" s="212" t="n"/>
      <c r="FC201" s="212" t="n"/>
      <c r="FD201" s="212" t="n"/>
      <c r="FE201" s="212" t="n"/>
      <c r="FF201" s="212" t="n"/>
      <c r="FG201" s="212" t="n"/>
      <c r="FH201" s="212" t="n"/>
      <c r="FI201" s="212" t="n"/>
      <c r="FJ201" s="212" t="n"/>
      <c r="FK201" s="212" t="n"/>
      <c r="FL201" s="212" t="n"/>
      <c r="FM201" s="212" t="n"/>
      <c r="FN201" s="212" t="n"/>
      <c r="FO201" s="212" t="n"/>
      <c r="FP201" s="212" t="n"/>
      <c r="FQ201" s="212" t="n"/>
      <c r="FR201" s="212" t="n"/>
      <c r="FS201" s="212" t="n"/>
      <c r="FT201" s="212" t="n"/>
      <c r="FU201" s="212" t="n"/>
      <c r="FV201" s="212" t="n"/>
      <c r="FW201" s="212" t="n"/>
      <c r="FX201" s="212" t="n"/>
      <c r="FY201" s="212" t="n"/>
      <c r="FZ201" s="212" t="n"/>
      <c r="GA201" s="212" t="n"/>
      <c r="GB201" s="212" t="n"/>
      <c r="GC201" s="212" t="n"/>
      <c r="GD201" s="212" t="n"/>
      <c r="GE201" s="212" t="n"/>
      <c r="GF201" s="212" t="n"/>
      <c r="GG201" s="212" t="n"/>
      <c r="GH201" s="212" t="n"/>
      <c r="GI201" s="212" t="n"/>
      <c r="GJ201" s="212" t="n"/>
      <c r="GK201" s="212" t="n"/>
      <c r="GL201" s="212" t="n"/>
      <c r="GM201" s="212" t="n"/>
      <c r="GN201" s="212" t="n"/>
      <c r="GO201" s="212" t="n"/>
      <c r="GP201" s="212" t="n"/>
      <c r="GQ201" s="212" t="n"/>
      <c r="GR201" s="212" t="n"/>
      <c r="GS201" s="212" t="n"/>
      <c r="GT201" s="212" t="n"/>
      <c r="GU201" s="212" t="n"/>
      <c r="GV201" s="212" t="n"/>
      <c r="GW201" s="212" t="n"/>
      <c r="GX201" s="212" t="n"/>
      <c r="GY201" s="212" t="n"/>
      <c r="GZ201" s="212" t="n"/>
      <c r="HA201" s="212" t="n"/>
      <c r="HB201" s="212" t="n"/>
      <c r="HC201" s="212" t="n"/>
      <c r="HD201" s="212" t="n"/>
      <c r="HE201" s="212" t="n"/>
      <c r="HF201" s="212" t="n"/>
      <c r="HG201" s="212" t="n"/>
      <c r="HH201" s="212" t="n"/>
      <c r="HI201" s="212" t="n"/>
      <c r="HJ201" s="212" t="n"/>
      <c r="HK201" s="212" t="n"/>
      <c r="HL201" s="212" t="n"/>
      <c r="HM201" s="212" t="n"/>
      <c r="HN201" s="212" t="n"/>
      <c r="HO201" s="212" t="n"/>
      <c r="HP201" s="212" t="n"/>
      <c r="HQ201" s="212" t="n"/>
      <c r="HR201" s="212" t="n"/>
      <c r="HS201" s="212" t="n"/>
      <c r="HT201" s="212" t="n"/>
      <c r="HU201" s="212" t="n"/>
      <c r="HV201" s="212" t="n"/>
      <c r="HW201" s="212" t="n"/>
      <c r="HX201" s="212" t="n"/>
      <c r="HY201" s="212" t="n"/>
      <c r="HZ201" s="212" t="n"/>
      <c r="IA201" s="212" t="n"/>
      <c r="IB201" s="212" t="n"/>
      <c r="IC201" s="212" t="n"/>
      <c r="ID201" s="212" t="n"/>
      <c r="IE201" s="212" t="n"/>
      <c r="IF201" s="212" t="n"/>
      <c r="IG201" s="212" t="n"/>
      <c r="IH201" s="212" t="n"/>
      <c r="II201" s="212" t="n"/>
      <c r="IJ201" s="212" t="n"/>
      <c r="IK201" s="212" t="n"/>
      <c r="IL201" s="212" t="n"/>
      <c r="IM201" s="212" t="n"/>
      <c r="IN201" s="212" t="n"/>
      <c r="IO201" s="212" t="n"/>
      <c r="IP201" s="212" t="n"/>
      <c r="IQ201" s="212" t="n"/>
      <c r="IR201" s="212" t="n"/>
      <c r="IS201" s="212" t="n"/>
      <c r="IT201" s="212" t="n"/>
      <c r="IU201" s="212" t="n"/>
      <c r="IV201" s="212" t="n"/>
      <c r="IW201" s="212" t="n"/>
      <c r="IX201" s="212" t="n"/>
      <c r="IY201" s="212" t="n"/>
      <c r="IZ201" s="212" t="n"/>
      <c r="JA201" s="212" t="n"/>
      <c r="JB201" s="212" t="n"/>
      <c r="JC201" s="212" t="n"/>
      <c r="JD201" s="212" t="n"/>
      <c r="JE201" s="212" t="n"/>
      <c r="JF201" s="212" t="n"/>
      <c r="JG201" s="212" t="n"/>
      <c r="JH201" s="212" t="n"/>
      <c r="JI201" s="212" t="n"/>
      <c r="JJ201" s="212" t="n"/>
      <c r="JK201" s="212" t="n"/>
      <c r="JL201" s="212" t="n"/>
      <c r="JM201" s="212" t="n"/>
      <c r="JN201" s="212" t="n"/>
      <c r="JO201" s="212" t="n"/>
      <c r="JP201" s="212" t="n"/>
      <c r="JQ201" s="212" t="n"/>
      <c r="JR201" s="212" t="n"/>
      <c r="JS201" s="212" t="n"/>
      <c r="JT201" s="212" t="n"/>
      <c r="JU201" s="212" t="n"/>
      <c r="JV201" s="212" t="n"/>
      <c r="JW201" s="212" t="n"/>
      <c r="JX201" s="212" t="n"/>
      <c r="JY201" s="212" t="n"/>
      <c r="JZ201" s="212" t="n"/>
      <c r="KA201" s="212" t="n"/>
      <c r="KB201" s="212" t="n"/>
      <c r="KC201" s="212" t="n"/>
      <c r="KD201" s="212" t="n"/>
      <c r="KE201" s="212" t="n"/>
      <c r="KF201" s="212" t="n"/>
      <c r="KG201" s="212" t="n"/>
      <c r="KH201" s="212" t="n"/>
      <c r="KI201" s="212" t="n"/>
      <c r="KJ201" s="212" t="n"/>
      <c r="KK201" s="212" t="n"/>
      <c r="KL201" s="212" t="n"/>
      <c r="KM201" s="212" t="n"/>
      <c r="KN201" s="212" t="n"/>
      <c r="KO201" s="212" t="n"/>
      <c r="KP201" s="212" t="n"/>
      <c r="KQ201" s="212" t="n"/>
      <c r="KR201" s="212" t="n"/>
      <c r="KS201" s="212" t="n"/>
      <c r="KT201" s="212" t="n"/>
      <c r="KU201" s="212" t="n"/>
      <c r="KV201" s="212" t="n"/>
      <c r="KW201" s="212" t="n"/>
      <c r="KX201" s="212" t="n"/>
      <c r="KY201" s="212" t="n"/>
      <c r="KZ201" s="212" t="n"/>
      <c r="LA201" s="212" t="n"/>
      <c r="LB201" s="212" t="n"/>
      <c r="LC201" s="212" t="n"/>
      <c r="LD201" s="212" t="n"/>
      <c r="LE201" s="212" t="n"/>
      <c r="LF201" s="212" t="n"/>
      <c r="LG201" s="212" t="n"/>
      <c r="LH201" s="212" t="n"/>
      <c r="LI201" s="212" t="n"/>
      <c r="LJ201" s="212" t="n"/>
      <c r="LK201" s="212" t="n"/>
      <c r="LL201" s="212" t="n"/>
      <c r="LM201" s="212" t="n"/>
      <c r="LN201" s="212" t="n"/>
      <c r="LO201" s="212" t="n"/>
      <c r="LP201" s="212" t="n"/>
      <c r="LQ201" s="212" t="n"/>
      <c r="LR201" s="212" t="n"/>
      <c r="LS201" s="212" t="n"/>
      <c r="LT201" s="212" t="n"/>
      <c r="LU201" s="212" t="n"/>
      <c r="LV201" s="212" t="n"/>
      <c r="LW201" s="212" t="n"/>
      <c r="LX201" s="212" t="n"/>
      <c r="LY201" s="212" t="n"/>
      <c r="LZ201" s="212" t="n"/>
      <c r="MA201" s="212" t="n"/>
      <c r="MB201" s="212" t="n"/>
      <c r="MC201" s="212" t="n"/>
      <c r="MD201" s="212" t="n"/>
      <c r="ME201" s="212" t="n"/>
      <c r="MF201" s="212" t="n"/>
      <c r="MG201" s="212" t="n"/>
      <c r="MH201" s="212" t="n"/>
      <c r="MI201" s="212" t="n"/>
      <c r="MJ201" s="212" t="n"/>
      <c r="MK201" s="212" t="n"/>
      <c r="ML201" s="212" t="n"/>
      <c r="MM201" s="212" t="n"/>
      <c r="MN201" s="212" t="n"/>
      <c r="MO201" s="212" t="n"/>
      <c r="MP201" s="212" t="n"/>
      <c r="MQ201" s="212" t="n"/>
      <c r="MR201" s="212" t="n"/>
      <c r="MS201" s="212" t="n"/>
      <c r="MT201" s="212" t="n"/>
      <c r="MU201" s="212" t="n"/>
      <c r="MV201" s="212" t="n"/>
      <c r="MW201" s="212" t="n"/>
      <c r="MX201" s="212" t="n"/>
      <c r="MY201" s="212" t="n"/>
      <c r="MZ201" s="212" t="n"/>
      <c r="NA201" s="212" t="n"/>
      <c r="NB201" s="212" t="n"/>
      <c r="NC201" s="212" t="n"/>
      <c r="ND201" s="212" t="n"/>
      <c r="NE201" s="212" t="n"/>
      <c r="NF201" s="212" t="n"/>
      <c r="NG201" s="212" t="n"/>
      <c r="NH201" s="212" t="n"/>
      <c r="NI201" s="212" t="n"/>
      <c r="NJ201" s="212" t="n"/>
      <c r="NK201" s="212" t="n"/>
      <c r="NL201" s="212" t="n"/>
      <c r="NM201" s="212" t="n"/>
      <c r="NN201" s="212" t="n"/>
      <c r="NO201" s="212" t="n"/>
      <c r="NP201" s="212" t="n"/>
      <c r="NQ201" s="212" t="n"/>
      <c r="NR201" s="212" t="n"/>
      <c r="NS201" s="212" t="n"/>
      <c r="NT201" s="212" t="n"/>
      <c r="NU201" s="212" t="n"/>
      <c r="NV201" s="212" t="n"/>
      <c r="NW201" s="212" t="n"/>
      <c r="NX201" s="212" t="n"/>
      <c r="NY201" s="212" t="n"/>
      <c r="NZ201" s="212" t="n"/>
      <c r="OA201" s="212" t="n"/>
      <c r="OB201" s="212" t="n"/>
      <c r="OC201" s="212" t="n"/>
      <c r="OD201" s="212" t="n"/>
      <c r="OE201" s="212" t="n"/>
      <c r="OF201" s="212" t="n"/>
      <c r="OG201" s="212" t="n"/>
      <c r="OH201" s="212" t="n"/>
      <c r="OI201" s="212" t="n"/>
      <c r="OJ201" s="212" t="n"/>
      <c r="OK201" s="212" t="n"/>
      <c r="OL201" s="212" t="n"/>
      <c r="OM201" s="212" t="n"/>
      <c r="ON201" s="212" t="n"/>
      <c r="OO201" s="212" t="n"/>
      <c r="OP201" s="212" t="n"/>
      <c r="OQ201" s="212" t="n"/>
      <c r="OR201" s="212" t="n"/>
      <c r="OS201" s="212" t="n"/>
      <c r="OT201" s="212" t="n"/>
      <c r="OU201" s="212" t="n"/>
      <c r="OV201" s="212" t="n"/>
      <c r="OW201" s="212" t="n"/>
      <c r="OX201" s="212" t="n"/>
      <c r="OY201" s="212" t="n"/>
      <c r="OZ201" s="212" t="n"/>
      <c r="PA201" s="212" t="n"/>
      <c r="PB201" s="212" t="n"/>
      <c r="PC201" s="212" t="n"/>
      <c r="PD201" s="212" t="n"/>
      <c r="PE201" s="212" t="n"/>
      <c r="PF201" s="212" t="n"/>
      <c r="PG201" s="212" t="n"/>
      <c r="PH201" s="212" t="n"/>
      <c r="PI201" s="212" t="n"/>
      <c r="PJ201" s="212" t="n"/>
      <c r="PK201" s="212" t="n"/>
      <c r="PL201" s="212" t="n"/>
      <c r="PM201" s="212" t="n"/>
      <c r="PN201" s="212" t="n"/>
      <c r="PO201" s="212" t="n"/>
      <c r="PP201" s="212" t="n"/>
      <c r="PQ201" s="212" t="n"/>
      <c r="PR201" s="212" t="n"/>
      <c r="PS201" s="212" t="n"/>
      <c r="PT201" s="212" t="n"/>
      <c r="PU201" s="212" t="n"/>
      <c r="PV201" s="212" t="n"/>
      <c r="PW201" s="212" t="n"/>
      <c r="PX201" s="212" t="n"/>
      <c r="PY201" s="212" t="n"/>
      <c r="PZ201" s="212" t="n"/>
      <c r="QA201" s="212" t="n"/>
      <c r="QB201" s="212" t="n"/>
      <c r="QC201" s="212" t="n"/>
      <c r="QD201" s="212" t="n"/>
      <c r="QE201" s="212" t="n"/>
      <c r="QF201" s="212" t="n"/>
      <c r="QG201" s="212" t="n"/>
      <c r="QH201" s="212" t="n"/>
      <c r="QI201" s="212" t="n"/>
      <c r="QJ201" s="212" t="n"/>
      <c r="QK201" s="212" t="n"/>
      <c r="QL201" s="212" t="n"/>
      <c r="QM201" s="212" t="n"/>
      <c r="QN201" s="212" t="n"/>
      <c r="QO201" s="212" t="n"/>
      <c r="QP201" s="212" t="n"/>
      <c r="QQ201" s="212" t="n"/>
      <c r="QR201" s="212" t="n"/>
      <c r="QS201" s="212" t="n"/>
      <c r="QT201" s="212" t="n"/>
      <c r="QU201" s="212" t="n"/>
      <c r="QV201" s="212" t="n"/>
      <c r="QW201" s="212" t="n"/>
      <c r="QX201" s="212" t="n"/>
      <c r="QY201" s="212" t="n"/>
      <c r="QZ201" s="212" t="n"/>
      <c r="RA201" s="212" t="n"/>
      <c r="RB201" s="212" t="n"/>
      <c r="RC201" s="212" t="n"/>
      <c r="RD201" s="212" t="n"/>
      <c r="RE201" s="212" t="n"/>
      <c r="RF201" s="212" t="n"/>
      <c r="RG201" s="212" t="n"/>
      <c r="RH201" s="212" t="n"/>
      <c r="RI201" s="212" t="n"/>
      <c r="RJ201" s="212" t="n"/>
      <c r="RK201" s="212" t="n"/>
      <c r="RL201" s="212" t="n"/>
      <c r="RM201" s="212" t="n"/>
      <c r="RN201" s="212" t="n"/>
      <c r="RO201" s="212" t="n"/>
      <c r="RP201" s="212" t="n"/>
      <c r="RQ201" s="212" t="n"/>
      <c r="RR201" s="212" t="n"/>
      <c r="RS201" s="212" t="n"/>
      <c r="RT201" s="212" t="n"/>
      <c r="RU201" s="212" t="n"/>
      <c r="RV201" s="212" t="n"/>
      <c r="RW201" s="212" t="n"/>
      <c r="RX201" s="212" t="n"/>
      <c r="RY201" s="212" t="n"/>
      <c r="RZ201" s="212" t="n"/>
      <c r="SA201" s="212" t="n"/>
      <c r="SB201" s="212" t="n"/>
      <c r="SC201" s="212" t="n"/>
      <c r="SD201" s="212" t="n"/>
      <c r="SE201" s="212" t="n"/>
      <c r="SF201" s="212" t="n"/>
      <c r="SG201" s="212" t="n"/>
      <c r="SH201" s="212" t="n"/>
      <c r="SI201" s="212" t="n"/>
      <c r="SJ201" s="212" t="n"/>
      <c r="SK201" s="212" t="n"/>
      <c r="SL201" s="212" t="n"/>
      <c r="SM201" s="212" t="n"/>
      <c r="SN201" s="212" t="n"/>
      <c r="SO201" s="212" t="n"/>
      <c r="SP201" s="212" t="n"/>
      <c r="SQ201" s="212" t="n"/>
      <c r="SR201" s="212" t="n"/>
      <c r="SS201" s="212" t="n"/>
      <c r="ST201" s="212" t="n"/>
      <c r="SU201" s="212" t="n"/>
      <c r="SV201" s="212" t="n"/>
    </row>
    <row r="202">
      <c r="B202" s="209" t="n"/>
      <c r="C202" s="209" t="n"/>
      <c r="D202" s="209" t="n"/>
      <c r="E202" s="209" t="n"/>
      <c r="F202" s="209">
        <f>IF(TRIM(D202&amp;E202)="","",TRIM(D202)&amp;" "&amp;TRIM(E202))</f>
        <v/>
      </c>
      <c r="G202" s="209" t="n"/>
      <c r="H202" s="209" t="n"/>
      <c r="I202" s="209" t="n"/>
      <c r="J202" s="209" t="n"/>
      <c r="K202" s="209" t="n"/>
      <c r="L202" s="209" t="n"/>
      <c r="M202" s="209" t="n"/>
      <c r="N202" s="209" t="n"/>
      <c r="O202" s="209" t="n"/>
      <c r="P202" s="209" t="n"/>
      <c r="Q202" s="209" t="n"/>
      <c r="R202" s="209" t="n"/>
      <c r="S202" s="212" t="n"/>
      <c r="T202" s="212" t="n"/>
      <c r="U202" s="212" t="n"/>
      <c r="V202" s="212" t="n"/>
      <c r="W202" s="212" t="n"/>
      <c r="X202" s="212" t="n"/>
      <c r="Y202" s="212" t="n"/>
      <c r="Z202" s="212" t="n"/>
      <c r="AA202" s="212" t="n"/>
      <c r="AB202" s="212" t="n"/>
      <c r="AC202" s="212" t="n"/>
      <c r="AD202" s="212" t="n"/>
      <c r="AE202" s="212" t="n"/>
      <c r="AF202" s="212" t="n"/>
      <c r="AG202" s="212" t="n"/>
      <c r="AH202" s="212" t="n"/>
      <c r="AI202" s="212" t="n"/>
      <c r="AJ202" s="212" t="n"/>
      <c r="AK202" s="212" t="n"/>
      <c r="AL202" s="212" t="n"/>
      <c r="AM202" s="212" t="n"/>
      <c r="AN202" s="212" t="n"/>
      <c r="AO202" s="212" t="n"/>
      <c r="AP202" s="212" t="n"/>
      <c r="AQ202" s="212" t="n"/>
      <c r="AR202" s="212" t="n"/>
      <c r="AS202" s="212" t="n"/>
      <c r="AT202" s="212" t="n"/>
      <c r="AU202" s="212" t="n"/>
      <c r="AV202" s="212" t="n"/>
      <c r="AW202" s="212" t="n"/>
      <c r="AX202" s="212" t="n"/>
      <c r="AY202" s="212" t="n"/>
      <c r="AZ202" s="212" t="n"/>
      <c r="BA202" s="212" t="n"/>
      <c r="BB202" s="212" t="n"/>
      <c r="BC202" s="212" t="n"/>
      <c r="BD202" s="212" t="n"/>
      <c r="BE202" s="212" t="n"/>
      <c r="BF202" s="212" t="n"/>
      <c r="BG202" s="212" t="n"/>
      <c r="BH202" s="212" t="n"/>
      <c r="BI202" s="212" t="n"/>
      <c r="BJ202" s="212" t="n"/>
      <c r="BK202" s="212" t="n"/>
      <c r="BL202" s="212" t="n"/>
      <c r="BM202" s="212" t="n"/>
      <c r="BN202" s="212" t="n"/>
      <c r="BO202" s="212" t="n"/>
      <c r="BP202" s="212" t="n"/>
      <c r="BQ202" s="212" t="n"/>
      <c r="BR202" s="212" t="n"/>
      <c r="BS202" s="212" t="n"/>
      <c r="BT202" s="212" t="n"/>
      <c r="BU202" s="212" t="n"/>
      <c r="BV202" s="212" t="n"/>
      <c r="BW202" s="212" t="n"/>
      <c r="BX202" s="212" t="n"/>
      <c r="BY202" s="212" t="n"/>
      <c r="BZ202" s="212" t="n"/>
      <c r="CA202" s="212" t="n"/>
      <c r="CB202" s="212" t="n"/>
      <c r="CC202" s="212" t="n"/>
      <c r="CD202" s="212" t="n"/>
      <c r="CE202" s="212" t="n"/>
      <c r="CF202" s="212" t="n"/>
      <c r="CG202" s="212" t="n"/>
      <c r="CH202" s="212" t="n"/>
      <c r="CI202" s="212" t="n"/>
      <c r="CJ202" s="212" t="n"/>
      <c r="CK202" s="212" t="n"/>
      <c r="CL202" s="212" t="n"/>
      <c r="CM202" s="212" t="n"/>
      <c r="CN202" s="212" t="n"/>
      <c r="CO202" s="212" t="n"/>
      <c r="CP202" s="212" t="n"/>
      <c r="CQ202" s="212" t="n"/>
      <c r="CR202" s="212" t="n"/>
      <c r="CS202" s="212" t="n"/>
      <c r="CT202" s="212" t="n"/>
      <c r="CU202" s="212" t="n"/>
      <c r="CV202" s="212" t="n"/>
      <c r="CW202" s="212" t="n"/>
      <c r="CX202" s="212" t="n"/>
      <c r="CY202" s="212" t="n"/>
      <c r="CZ202" s="212" t="n"/>
      <c r="DA202" s="212" t="n"/>
      <c r="DB202" s="212" t="n"/>
      <c r="DC202" s="212" t="n"/>
      <c r="DD202" s="212" t="n"/>
      <c r="DE202" s="212" t="n"/>
      <c r="DF202" s="212" t="n"/>
      <c r="DG202" s="212" t="n"/>
      <c r="DH202" s="212" t="n"/>
      <c r="DI202" s="212" t="n"/>
      <c r="DJ202" s="212" t="n"/>
      <c r="DK202" s="212" t="n"/>
      <c r="DL202" s="212" t="n"/>
      <c r="DM202" s="212" t="n"/>
      <c r="DN202" s="212" t="n"/>
      <c r="DO202" s="212" t="n"/>
      <c r="DP202" s="212" t="n"/>
      <c r="DQ202" s="212" t="n"/>
      <c r="DR202" s="212" t="n"/>
      <c r="DS202" s="212" t="n"/>
      <c r="DT202" s="212" t="n"/>
      <c r="DU202" s="212" t="n"/>
      <c r="DV202" s="212" t="n"/>
      <c r="DW202" s="212" t="n"/>
      <c r="DX202" s="212" t="n"/>
      <c r="DY202" s="212" t="n"/>
      <c r="DZ202" s="212" t="n"/>
      <c r="EA202" s="212" t="n"/>
      <c r="EB202" s="212" t="n"/>
      <c r="EC202" s="212" t="n"/>
      <c r="ED202" s="212" t="n"/>
      <c r="EE202" s="212" t="n"/>
      <c r="EF202" s="212" t="n"/>
      <c r="EG202" s="212" t="n"/>
      <c r="EH202" s="212" t="n"/>
      <c r="EI202" s="212" t="n"/>
      <c r="EJ202" s="212" t="n"/>
      <c r="EK202" s="212" t="n"/>
      <c r="EL202" s="212" t="n"/>
      <c r="EM202" s="212" t="n"/>
      <c r="EN202" s="212" t="n"/>
      <c r="EO202" s="212" t="n"/>
      <c r="EP202" s="212" t="n"/>
      <c r="EQ202" s="212" t="n"/>
      <c r="ER202" s="212" t="n"/>
      <c r="ES202" s="212" t="n"/>
      <c r="ET202" s="212" t="n"/>
      <c r="EU202" s="212" t="n"/>
      <c r="EV202" s="212" t="n"/>
      <c r="EW202" s="212" t="n"/>
      <c r="EX202" s="212" t="n"/>
      <c r="EY202" s="212" t="n"/>
      <c r="EZ202" s="212" t="n"/>
      <c r="FA202" s="212" t="n"/>
      <c r="FB202" s="212" t="n"/>
      <c r="FC202" s="212" t="n"/>
      <c r="FD202" s="212" t="n"/>
      <c r="FE202" s="212" t="n"/>
      <c r="FF202" s="212" t="n"/>
      <c r="FG202" s="212" t="n"/>
      <c r="FH202" s="212" t="n"/>
      <c r="FI202" s="212" t="n"/>
      <c r="FJ202" s="212" t="n"/>
      <c r="FK202" s="212" t="n"/>
      <c r="FL202" s="212" t="n"/>
      <c r="FM202" s="212" t="n"/>
      <c r="FN202" s="212" t="n"/>
      <c r="FO202" s="212" t="n"/>
      <c r="FP202" s="212" t="n"/>
      <c r="FQ202" s="212" t="n"/>
      <c r="FR202" s="212" t="n"/>
      <c r="FS202" s="212" t="n"/>
      <c r="FT202" s="212" t="n"/>
      <c r="FU202" s="212" t="n"/>
      <c r="FV202" s="212" t="n"/>
      <c r="FW202" s="212" t="n"/>
      <c r="FX202" s="212" t="n"/>
      <c r="FY202" s="212" t="n"/>
      <c r="FZ202" s="212" t="n"/>
      <c r="GA202" s="212" t="n"/>
      <c r="GB202" s="212" t="n"/>
      <c r="GC202" s="212" t="n"/>
      <c r="GD202" s="212" t="n"/>
      <c r="GE202" s="212" t="n"/>
      <c r="GF202" s="212" t="n"/>
      <c r="GG202" s="212" t="n"/>
      <c r="GH202" s="212" t="n"/>
      <c r="GI202" s="212" t="n"/>
      <c r="GJ202" s="212" t="n"/>
      <c r="GK202" s="212" t="n"/>
      <c r="GL202" s="212" t="n"/>
      <c r="GM202" s="212" t="n"/>
      <c r="GN202" s="212" t="n"/>
      <c r="GO202" s="212" t="n"/>
      <c r="GP202" s="212" t="n"/>
      <c r="GQ202" s="212" t="n"/>
      <c r="GR202" s="212" t="n"/>
      <c r="GS202" s="212" t="n"/>
      <c r="GT202" s="212" t="n"/>
      <c r="GU202" s="212" t="n"/>
      <c r="GV202" s="212" t="n"/>
      <c r="GW202" s="212" t="n"/>
      <c r="GX202" s="212" t="n"/>
      <c r="GY202" s="212" t="n"/>
      <c r="GZ202" s="212" t="n"/>
      <c r="HA202" s="212" t="n"/>
      <c r="HB202" s="212" t="n"/>
      <c r="HC202" s="212" t="n"/>
      <c r="HD202" s="212" t="n"/>
      <c r="HE202" s="212" t="n"/>
      <c r="HF202" s="212" t="n"/>
      <c r="HG202" s="212" t="n"/>
      <c r="HH202" s="212" t="n"/>
      <c r="HI202" s="212" t="n"/>
      <c r="HJ202" s="212" t="n"/>
      <c r="HK202" s="212" t="n"/>
      <c r="HL202" s="212" t="n"/>
      <c r="HM202" s="212" t="n"/>
      <c r="HN202" s="212" t="n"/>
      <c r="HO202" s="212" t="n"/>
      <c r="HP202" s="212" t="n"/>
      <c r="HQ202" s="212" t="n"/>
      <c r="HR202" s="212" t="n"/>
      <c r="HS202" s="212" t="n"/>
      <c r="HT202" s="212" t="n"/>
      <c r="HU202" s="212" t="n"/>
      <c r="HV202" s="212" t="n"/>
      <c r="HW202" s="212" t="n"/>
      <c r="HX202" s="212" t="n"/>
      <c r="HY202" s="212" t="n"/>
      <c r="HZ202" s="212" t="n"/>
      <c r="IA202" s="212" t="n"/>
      <c r="IB202" s="212" t="n"/>
      <c r="IC202" s="212" t="n"/>
      <c r="ID202" s="212" t="n"/>
      <c r="IE202" s="212" t="n"/>
      <c r="IF202" s="212" t="n"/>
      <c r="IG202" s="212" t="n"/>
      <c r="IH202" s="212" t="n"/>
      <c r="II202" s="212" t="n"/>
      <c r="IJ202" s="212" t="n"/>
      <c r="IK202" s="212" t="n"/>
      <c r="IL202" s="212" t="n"/>
      <c r="IM202" s="212" t="n"/>
      <c r="IN202" s="212" t="n"/>
      <c r="IO202" s="212" t="n"/>
      <c r="IP202" s="212" t="n"/>
      <c r="IQ202" s="212" t="n"/>
      <c r="IR202" s="212" t="n"/>
      <c r="IS202" s="212" t="n"/>
      <c r="IT202" s="212" t="n"/>
      <c r="IU202" s="212" t="n"/>
      <c r="IV202" s="212" t="n"/>
      <c r="IW202" s="212" t="n"/>
      <c r="IX202" s="212" t="n"/>
      <c r="IY202" s="212" t="n"/>
      <c r="IZ202" s="212" t="n"/>
      <c r="JA202" s="212" t="n"/>
      <c r="JB202" s="212" t="n"/>
      <c r="JC202" s="212" t="n"/>
      <c r="JD202" s="212" t="n"/>
      <c r="JE202" s="212" t="n"/>
      <c r="JF202" s="212" t="n"/>
      <c r="JG202" s="212" t="n"/>
      <c r="JH202" s="212" t="n"/>
      <c r="JI202" s="212" t="n"/>
      <c r="JJ202" s="212" t="n"/>
      <c r="JK202" s="212" t="n"/>
      <c r="JL202" s="212" t="n"/>
      <c r="JM202" s="212" t="n"/>
      <c r="JN202" s="212" t="n"/>
      <c r="JO202" s="212" t="n"/>
      <c r="JP202" s="212" t="n"/>
      <c r="JQ202" s="212" t="n"/>
      <c r="JR202" s="212" t="n"/>
      <c r="JS202" s="212" t="n"/>
      <c r="JT202" s="212" t="n"/>
      <c r="JU202" s="212" t="n"/>
      <c r="JV202" s="212" t="n"/>
      <c r="JW202" s="212" t="n"/>
      <c r="JX202" s="212" t="n"/>
      <c r="JY202" s="212" t="n"/>
      <c r="JZ202" s="212" t="n"/>
      <c r="KA202" s="212" t="n"/>
      <c r="KB202" s="212" t="n"/>
      <c r="KC202" s="212" t="n"/>
      <c r="KD202" s="212" t="n"/>
      <c r="KE202" s="212" t="n"/>
      <c r="KF202" s="212" t="n"/>
      <c r="KG202" s="212" t="n"/>
      <c r="KH202" s="212" t="n"/>
      <c r="KI202" s="212" t="n"/>
      <c r="KJ202" s="212" t="n"/>
      <c r="KK202" s="212" t="n"/>
      <c r="KL202" s="212" t="n"/>
      <c r="KM202" s="212" t="n"/>
      <c r="KN202" s="212" t="n"/>
      <c r="KO202" s="212" t="n"/>
      <c r="KP202" s="212" t="n"/>
      <c r="KQ202" s="212" t="n"/>
      <c r="KR202" s="212" t="n"/>
      <c r="KS202" s="212" t="n"/>
      <c r="KT202" s="212" t="n"/>
      <c r="KU202" s="212" t="n"/>
      <c r="KV202" s="212" t="n"/>
      <c r="KW202" s="212" t="n"/>
      <c r="KX202" s="212" t="n"/>
      <c r="KY202" s="212" t="n"/>
      <c r="KZ202" s="212" t="n"/>
      <c r="LA202" s="212" t="n"/>
      <c r="LB202" s="212" t="n"/>
      <c r="LC202" s="212" t="n"/>
      <c r="LD202" s="212" t="n"/>
      <c r="LE202" s="212" t="n"/>
      <c r="LF202" s="212" t="n"/>
      <c r="LG202" s="212" t="n"/>
      <c r="LH202" s="212" t="n"/>
      <c r="LI202" s="212" t="n"/>
      <c r="LJ202" s="212" t="n"/>
      <c r="LK202" s="212" t="n"/>
      <c r="LL202" s="212" t="n"/>
      <c r="LM202" s="212" t="n"/>
      <c r="LN202" s="212" t="n"/>
      <c r="LO202" s="212" t="n"/>
      <c r="LP202" s="212" t="n"/>
      <c r="LQ202" s="212" t="n"/>
      <c r="LR202" s="212" t="n"/>
      <c r="LS202" s="212" t="n"/>
      <c r="LT202" s="212" t="n"/>
      <c r="LU202" s="212" t="n"/>
      <c r="LV202" s="212" t="n"/>
      <c r="LW202" s="212" t="n"/>
      <c r="LX202" s="212" t="n"/>
      <c r="LY202" s="212" t="n"/>
      <c r="LZ202" s="212" t="n"/>
      <c r="MA202" s="212" t="n"/>
      <c r="MB202" s="212" t="n"/>
      <c r="MC202" s="212" t="n"/>
      <c r="MD202" s="212" t="n"/>
      <c r="ME202" s="212" t="n"/>
      <c r="MF202" s="212" t="n"/>
      <c r="MG202" s="212" t="n"/>
      <c r="MH202" s="212" t="n"/>
      <c r="MI202" s="212" t="n"/>
      <c r="MJ202" s="212" t="n"/>
      <c r="MK202" s="212" t="n"/>
      <c r="ML202" s="212" t="n"/>
      <c r="MM202" s="212" t="n"/>
      <c r="MN202" s="212" t="n"/>
      <c r="MO202" s="212" t="n"/>
      <c r="MP202" s="212" t="n"/>
      <c r="MQ202" s="212" t="n"/>
      <c r="MR202" s="212" t="n"/>
      <c r="MS202" s="212" t="n"/>
      <c r="MT202" s="212" t="n"/>
      <c r="MU202" s="212" t="n"/>
      <c r="MV202" s="212" t="n"/>
      <c r="MW202" s="212" t="n"/>
      <c r="MX202" s="212" t="n"/>
      <c r="MY202" s="212" t="n"/>
      <c r="MZ202" s="212" t="n"/>
      <c r="NA202" s="212" t="n"/>
      <c r="NB202" s="212" t="n"/>
      <c r="NC202" s="212" t="n"/>
      <c r="ND202" s="212" t="n"/>
      <c r="NE202" s="212" t="n"/>
      <c r="NF202" s="212" t="n"/>
      <c r="NG202" s="212" t="n"/>
      <c r="NH202" s="212" t="n"/>
      <c r="NI202" s="212" t="n"/>
      <c r="NJ202" s="212" t="n"/>
      <c r="NK202" s="212" t="n"/>
      <c r="NL202" s="212" t="n"/>
      <c r="NM202" s="212" t="n"/>
      <c r="NN202" s="212" t="n"/>
      <c r="NO202" s="212" t="n"/>
      <c r="NP202" s="212" t="n"/>
      <c r="NQ202" s="212" t="n"/>
      <c r="NR202" s="212" t="n"/>
      <c r="NS202" s="212" t="n"/>
      <c r="NT202" s="212" t="n"/>
      <c r="NU202" s="212" t="n"/>
      <c r="NV202" s="212" t="n"/>
      <c r="NW202" s="212" t="n"/>
      <c r="NX202" s="212" t="n"/>
      <c r="NY202" s="212" t="n"/>
      <c r="NZ202" s="212" t="n"/>
      <c r="OA202" s="212" t="n"/>
      <c r="OB202" s="212" t="n"/>
      <c r="OC202" s="212" t="n"/>
      <c r="OD202" s="212" t="n"/>
      <c r="OE202" s="212" t="n"/>
      <c r="OF202" s="212" t="n"/>
      <c r="OG202" s="212" t="n"/>
      <c r="OH202" s="212" t="n"/>
      <c r="OI202" s="212" t="n"/>
      <c r="OJ202" s="212" t="n"/>
      <c r="OK202" s="212" t="n"/>
      <c r="OL202" s="212" t="n"/>
      <c r="OM202" s="212" t="n"/>
      <c r="ON202" s="212" t="n"/>
      <c r="OO202" s="212" t="n"/>
      <c r="OP202" s="212" t="n"/>
      <c r="OQ202" s="212" t="n"/>
      <c r="OR202" s="212" t="n"/>
      <c r="OS202" s="212" t="n"/>
      <c r="OT202" s="212" t="n"/>
      <c r="OU202" s="212" t="n"/>
      <c r="OV202" s="212" t="n"/>
      <c r="OW202" s="212" t="n"/>
      <c r="OX202" s="212" t="n"/>
      <c r="OY202" s="212" t="n"/>
      <c r="OZ202" s="212" t="n"/>
      <c r="PA202" s="212" t="n"/>
      <c r="PB202" s="212" t="n"/>
      <c r="PC202" s="212" t="n"/>
      <c r="PD202" s="212" t="n"/>
      <c r="PE202" s="212" t="n"/>
      <c r="PF202" s="212" t="n"/>
      <c r="PG202" s="212" t="n"/>
      <c r="PH202" s="212" t="n"/>
      <c r="PI202" s="212" t="n"/>
      <c r="PJ202" s="212" t="n"/>
      <c r="PK202" s="212" t="n"/>
      <c r="PL202" s="212" t="n"/>
      <c r="PM202" s="212" t="n"/>
      <c r="PN202" s="212" t="n"/>
      <c r="PO202" s="212" t="n"/>
      <c r="PP202" s="212" t="n"/>
      <c r="PQ202" s="212" t="n"/>
      <c r="PR202" s="212" t="n"/>
      <c r="PS202" s="212" t="n"/>
      <c r="PT202" s="212" t="n"/>
      <c r="PU202" s="212" t="n"/>
      <c r="PV202" s="212" t="n"/>
      <c r="PW202" s="212" t="n"/>
      <c r="PX202" s="212" t="n"/>
      <c r="PY202" s="212" t="n"/>
      <c r="PZ202" s="212" t="n"/>
      <c r="QA202" s="212" t="n"/>
      <c r="QB202" s="212" t="n"/>
      <c r="QC202" s="212" t="n"/>
      <c r="QD202" s="212" t="n"/>
      <c r="QE202" s="212" t="n"/>
      <c r="QF202" s="212" t="n"/>
      <c r="QG202" s="212" t="n"/>
      <c r="QH202" s="212" t="n"/>
      <c r="QI202" s="212" t="n"/>
      <c r="QJ202" s="212" t="n"/>
      <c r="QK202" s="212" t="n"/>
      <c r="QL202" s="212" t="n"/>
      <c r="QM202" s="212" t="n"/>
      <c r="QN202" s="212" t="n"/>
      <c r="QO202" s="212" t="n"/>
      <c r="QP202" s="212" t="n"/>
      <c r="QQ202" s="212" t="n"/>
      <c r="QR202" s="212" t="n"/>
      <c r="QS202" s="212" t="n"/>
      <c r="QT202" s="212" t="n"/>
      <c r="QU202" s="212" t="n"/>
      <c r="QV202" s="212" t="n"/>
      <c r="QW202" s="212" t="n"/>
      <c r="QX202" s="212" t="n"/>
      <c r="QY202" s="212" t="n"/>
      <c r="QZ202" s="212" t="n"/>
      <c r="RA202" s="212" t="n"/>
      <c r="RB202" s="212" t="n"/>
      <c r="RC202" s="212" t="n"/>
      <c r="RD202" s="212" t="n"/>
      <c r="RE202" s="212" t="n"/>
      <c r="RF202" s="212" t="n"/>
      <c r="RG202" s="212" t="n"/>
      <c r="RH202" s="212" t="n"/>
      <c r="RI202" s="212" t="n"/>
      <c r="RJ202" s="212" t="n"/>
      <c r="RK202" s="212" t="n"/>
      <c r="RL202" s="212" t="n"/>
      <c r="RM202" s="212" t="n"/>
      <c r="RN202" s="212" t="n"/>
      <c r="RO202" s="212" t="n"/>
      <c r="RP202" s="212" t="n"/>
      <c r="RQ202" s="212" t="n"/>
      <c r="RR202" s="212" t="n"/>
      <c r="RS202" s="212" t="n"/>
      <c r="RT202" s="212" t="n"/>
      <c r="RU202" s="212" t="n"/>
      <c r="RV202" s="212" t="n"/>
      <c r="RW202" s="212" t="n"/>
      <c r="RX202" s="212" t="n"/>
      <c r="RY202" s="212" t="n"/>
      <c r="RZ202" s="212" t="n"/>
      <c r="SA202" s="212" t="n"/>
      <c r="SB202" s="212" t="n"/>
      <c r="SC202" s="212" t="n"/>
      <c r="SD202" s="212" t="n"/>
      <c r="SE202" s="212" t="n"/>
      <c r="SF202" s="212" t="n"/>
      <c r="SG202" s="212" t="n"/>
      <c r="SH202" s="212" t="n"/>
      <c r="SI202" s="212" t="n"/>
      <c r="SJ202" s="212" t="n"/>
      <c r="SK202" s="212" t="n"/>
      <c r="SL202" s="212" t="n"/>
      <c r="SM202" s="212" t="n"/>
      <c r="SN202" s="212" t="n"/>
      <c r="SO202" s="212" t="n"/>
      <c r="SP202" s="212" t="n"/>
      <c r="SQ202" s="212" t="n"/>
      <c r="SR202" s="212" t="n"/>
      <c r="SS202" s="212" t="n"/>
      <c r="ST202" s="212" t="n"/>
      <c r="SU202" s="212" t="n"/>
      <c r="SV202" s="212" t="n"/>
    </row>
    <row r="203">
      <c r="B203" s="209" t="n"/>
      <c r="C203" s="209" t="n"/>
      <c r="D203" s="209" t="n"/>
      <c r="E203" s="209" t="n"/>
      <c r="F203" s="209">
        <f>IF(TRIM(D203&amp;E203)="","",TRIM(D203)&amp;" "&amp;TRIM(E203))</f>
        <v/>
      </c>
      <c r="G203" s="209" t="n"/>
      <c r="H203" s="209" t="n"/>
      <c r="I203" s="209" t="n"/>
      <c r="J203" s="209" t="n"/>
      <c r="K203" s="209" t="n"/>
      <c r="L203" s="209" t="n"/>
      <c r="M203" s="209" t="n"/>
      <c r="N203" s="209" t="n"/>
      <c r="O203" s="209" t="n"/>
      <c r="P203" s="209" t="n"/>
      <c r="Q203" s="209" t="n"/>
      <c r="R203" s="209" t="n"/>
      <c r="S203" s="212" t="n"/>
      <c r="T203" s="212" t="n"/>
      <c r="U203" s="212" t="n"/>
      <c r="V203" s="212" t="n"/>
      <c r="W203" s="212" t="n"/>
      <c r="X203" s="212" t="n"/>
      <c r="Y203" s="212" t="n"/>
      <c r="Z203" s="212" t="n"/>
      <c r="AA203" s="212" t="n"/>
      <c r="AB203" s="212" t="n"/>
      <c r="AC203" s="212" t="n"/>
      <c r="AD203" s="212" t="n"/>
      <c r="AE203" s="212" t="n"/>
      <c r="AF203" s="212" t="n"/>
      <c r="AG203" s="212" t="n"/>
      <c r="AH203" s="212" t="n"/>
      <c r="AI203" s="212" t="n"/>
      <c r="AJ203" s="212" t="n"/>
      <c r="AK203" s="212" t="n"/>
      <c r="AL203" s="212" t="n"/>
      <c r="AM203" s="212" t="n"/>
      <c r="AN203" s="212" t="n"/>
      <c r="AO203" s="212" t="n"/>
      <c r="AP203" s="212" t="n"/>
      <c r="AQ203" s="212" t="n"/>
      <c r="AR203" s="212" t="n"/>
      <c r="AS203" s="212" t="n"/>
      <c r="AT203" s="212" t="n"/>
      <c r="AU203" s="212" t="n"/>
      <c r="AV203" s="212" t="n"/>
      <c r="AW203" s="212" t="n"/>
      <c r="AX203" s="212" t="n"/>
      <c r="AY203" s="212" t="n"/>
      <c r="AZ203" s="212" t="n"/>
      <c r="BA203" s="212" t="n"/>
      <c r="BB203" s="212" t="n"/>
      <c r="BC203" s="212" t="n"/>
      <c r="BD203" s="212" t="n"/>
      <c r="BE203" s="212" t="n"/>
      <c r="BF203" s="212" t="n"/>
      <c r="BG203" s="212" t="n"/>
      <c r="BH203" s="212" t="n"/>
      <c r="BI203" s="212" t="n"/>
      <c r="BJ203" s="212" t="n"/>
      <c r="BK203" s="212" t="n"/>
      <c r="BL203" s="212" t="n"/>
      <c r="BM203" s="212" t="n"/>
      <c r="BN203" s="212" t="n"/>
      <c r="BO203" s="212" t="n"/>
      <c r="BP203" s="212" t="n"/>
      <c r="BQ203" s="212" t="n"/>
      <c r="BR203" s="212" t="n"/>
      <c r="BS203" s="212" t="n"/>
      <c r="BT203" s="212" t="n"/>
      <c r="BU203" s="212" t="n"/>
      <c r="BV203" s="212" t="n"/>
      <c r="BW203" s="212" t="n"/>
      <c r="BX203" s="212" t="n"/>
      <c r="BY203" s="212" t="n"/>
      <c r="BZ203" s="212" t="n"/>
      <c r="CA203" s="212" t="n"/>
      <c r="CB203" s="212" t="n"/>
      <c r="CC203" s="212" t="n"/>
      <c r="CD203" s="212" t="n"/>
      <c r="CE203" s="212" t="n"/>
      <c r="CF203" s="212" t="n"/>
      <c r="CG203" s="212" t="n"/>
      <c r="CH203" s="212" t="n"/>
      <c r="CI203" s="212" t="n"/>
      <c r="CJ203" s="212" t="n"/>
      <c r="CK203" s="212" t="n"/>
      <c r="CL203" s="212" t="n"/>
      <c r="CM203" s="212" t="n"/>
      <c r="CN203" s="212" t="n"/>
      <c r="CO203" s="212" t="n"/>
      <c r="CP203" s="212" t="n"/>
      <c r="CQ203" s="212" t="n"/>
      <c r="CR203" s="212" t="n"/>
      <c r="CS203" s="212" t="n"/>
      <c r="CT203" s="212" t="n"/>
      <c r="CU203" s="212" t="n"/>
      <c r="CV203" s="212" t="n"/>
      <c r="CW203" s="212" t="n"/>
      <c r="CX203" s="212" t="n"/>
      <c r="CY203" s="212" t="n"/>
      <c r="CZ203" s="212" t="n"/>
      <c r="DA203" s="212" t="n"/>
      <c r="DB203" s="212" t="n"/>
      <c r="DC203" s="212" t="n"/>
      <c r="DD203" s="212" t="n"/>
      <c r="DE203" s="212" t="n"/>
      <c r="DF203" s="212" t="n"/>
      <c r="DG203" s="212" t="n"/>
      <c r="DH203" s="212" t="n"/>
      <c r="DI203" s="212" t="n"/>
      <c r="DJ203" s="212" t="n"/>
      <c r="DK203" s="212" t="n"/>
      <c r="DL203" s="212" t="n"/>
      <c r="DM203" s="212" t="n"/>
      <c r="DN203" s="212" t="n"/>
      <c r="DO203" s="212" t="n"/>
      <c r="DP203" s="212" t="n"/>
      <c r="DQ203" s="212" t="n"/>
      <c r="DR203" s="212" t="n"/>
      <c r="DS203" s="212" t="n"/>
      <c r="DT203" s="212" t="n"/>
      <c r="DU203" s="212" t="n"/>
      <c r="DV203" s="212" t="n"/>
      <c r="DW203" s="212" t="n"/>
      <c r="DX203" s="212" t="n"/>
      <c r="DY203" s="212" t="n"/>
      <c r="DZ203" s="212" t="n"/>
      <c r="EA203" s="212" t="n"/>
      <c r="EB203" s="212" t="n"/>
      <c r="EC203" s="212" t="n"/>
      <c r="ED203" s="212" t="n"/>
      <c r="EE203" s="212" t="n"/>
      <c r="EF203" s="212" t="n"/>
      <c r="EG203" s="212" t="n"/>
      <c r="EH203" s="212" t="n"/>
      <c r="EI203" s="212" t="n"/>
      <c r="EJ203" s="212" t="n"/>
      <c r="EK203" s="212" t="n"/>
      <c r="EL203" s="212" t="n"/>
      <c r="EM203" s="212" t="n"/>
      <c r="EN203" s="212" t="n"/>
      <c r="EO203" s="212" t="n"/>
      <c r="EP203" s="212" t="n"/>
      <c r="EQ203" s="212" t="n"/>
      <c r="ER203" s="212" t="n"/>
      <c r="ES203" s="212" t="n"/>
      <c r="ET203" s="212" t="n"/>
      <c r="EU203" s="212" t="n"/>
      <c r="EV203" s="212" t="n"/>
      <c r="EW203" s="212" t="n"/>
      <c r="EX203" s="212" t="n"/>
      <c r="EY203" s="212" t="n"/>
      <c r="EZ203" s="212" t="n"/>
      <c r="FA203" s="212" t="n"/>
      <c r="FB203" s="212" t="n"/>
      <c r="FC203" s="212" t="n"/>
      <c r="FD203" s="212" t="n"/>
      <c r="FE203" s="212" t="n"/>
      <c r="FF203" s="212" t="n"/>
      <c r="FG203" s="212" t="n"/>
      <c r="FH203" s="212" t="n"/>
      <c r="FI203" s="212" t="n"/>
      <c r="FJ203" s="212" t="n"/>
      <c r="FK203" s="212" t="n"/>
      <c r="FL203" s="212" t="n"/>
      <c r="FM203" s="212" t="n"/>
      <c r="FN203" s="212" t="n"/>
      <c r="FO203" s="212" t="n"/>
      <c r="FP203" s="212" t="n"/>
      <c r="FQ203" s="212" t="n"/>
      <c r="FR203" s="212" t="n"/>
      <c r="FS203" s="212" t="n"/>
      <c r="FT203" s="212" t="n"/>
      <c r="FU203" s="212" t="n"/>
      <c r="FV203" s="212" t="n"/>
      <c r="FW203" s="212" t="n"/>
      <c r="FX203" s="212" t="n"/>
      <c r="FY203" s="212" t="n"/>
      <c r="FZ203" s="212" t="n"/>
      <c r="GA203" s="212" t="n"/>
      <c r="GB203" s="212" t="n"/>
      <c r="GC203" s="212" t="n"/>
      <c r="GD203" s="212" t="n"/>
      <c r="GE203" s="212" t="n"/>
      <c r="GF203" s="212" t="n"/>
      <c r="GG203" s="212" t="n"/>
      <c r="GH203" s="212" t="n"/>
      <c r="GI203" s="212" t="n"/>
      <c r="GJ203" s="212" t="n"/>
      <c r="GK203" s="212" t="n"/>
      <c r="GL203" s="212" t="n"/>
      <c r="GM203" s="212" t="n"/>
      <c r="GN203" s="212" t="n"/>
      <c r="GO203" s="212" t="n"/>
      <c r="GP203" s="212" t="n"/>
      <c r="GQ203" s="212" t="n"/>
      <c r="GR203" s="212" t="n"/>
      <c r="GS203" s="212" t="n"/>
      <c r="GT203" s="212" t="n"/>
      <c r="GU203" s="212" t="n"/>
      <c r="GV203" s="212" t="n"/>
      <c r="GW203" s="212" t="n"/>
      <c r="GX203" s="212" t="n"/>
      <c r="GY203" s="212" t="n"/>
      <c r="GZ203" s="212" t="n"/>
      <c r="HA203" s="212" t="n"/>
      <c r="HB203" s="212" t="n"/>
      <c r="HC203" s="212" t="n"/>
      <c r="HD203" s="212" t="n"/>
      <c r="HE203" s="212" t="n"/>
      <c r="HF203" s="212" t="n"/>
      <c r="HG203" s="212" t="n"/>
      <c r="HH203" s="212" t="n"/>
      <c r="HI203" s="212" t="n"/>
      <c r="HJ203" s="212" t="n"/>
      <c r="HK203" s="212" t="n"/>
      <c r="HL203" s="212" t="n"/>
      <c r="HM203" s="212" t="n"/>
      <c r="HN203" s="212" t="n"/>
      <c r="HO203" s="212" t="n"/>
      <c r="HP203" s="212" t="n"/>
      <c r="HQ203" s="212" t="n"/>
      <c r="HR203" s="212" t="n"/>
      <c r="HS203" s="212" t="n"/>
      <c r="HT203" s="212" t="n"/>
      <c r="HU203" s="212" t="n"/>
      <c r="HV203" s="212" t="n"/>
      <c r="HW203" s="212" t="n"/>
      <c r="HX203" s="212" t="n"/>
      <c r="HY203" s="212" t="n"/>
      <c r="HZ203" s="212" t="n"/>
      <c r="IA203" s="212" t="n"/>
      <c r="IB203" s="212" t="n"/>
      <c r="IC203" s="212" t="n"/>
      <c r="ID203" s="212" t="n"/>
      <c r="IE203" s="212" t="n"/>
      <c r="IF203" s="212" t="n"/>
      <c r="IG203" s="212" t="n"/>
      <c r="IH203" s="212" t="n"/>
      <c r="II203" s="212" t="n"/>
      <c r="IJ203" s="212" t="n"/>
      <c r="IK203" s="212" t="n"/>
      <c r="IL203" s="212" t="n"/>
      <c r="IM203" s="212" t="n"/>
      <c r="IN203" s="212" t="n"/>
      <c r="IO203" s="212" t="n"/>
      <c r="IP203" s="212" t="n"/>
      <c r="IQ203" s="212" t="n"/>
      <c r="IR203" s="212" t="n"/>
      <c r="IS203" s="212" t="n"/>
      <c r="IT203" s="212" t="n"/>
      <c r="IU203" s="212" t="n"/>
      <c r="IV203" s="212" t="n"/>
      <c r="IW203" s="212" t="n"/>
      <c r="IX203" s="212" t="n"/>
      <c r="IY203" s="212" t="n"/>
      <c r="IZ203" s="212" t="n"/>
      <c r="JA203" s="212" t="n"/>
      <c r="JB203" s="212" t="n"/>
      <c r="JC203" s="212" t="n"/>
      <c r="JD203" s="212" t="n"/>
      <c r="JE203" s="212" t="n"/>
      <c r="JF203" s="212" t="n"/>
      <c r="JG203" s="212" t="n"/>
      <c r="JH203" s="212" t="n"/>
      <c r="JI203" s="212" t="n"/>
      <c r="JJ203" s="212" t="n"/>
      <c r="JK203" s="212" t="n"/>
      <c r="JL203" s="212" t="n"/>
      <c r="JM203" s="212" t="n"/>
      <c r="JN203" s="212" t="n"/>
      <c r="JO203" s="212" t="n"/>
      <c r="JP203" s="212" t="n"/>
      <c r="JQ203" s="212" t="n"/>
      <c r="JR203" s="212" t="n"/>
      <c r="JS203" s="212" t="n"/>
      <c r="JT203" s="212" t="n"/>
      <c r="JU203" s="212" t="n"/>
      <c r="JV203" s="212" t="n"/>
      <c r="JW203" s="212" t="n"/>
      <c r="JX203" s="212" t="n"/>
      <c r="JY203" s="212" t="n"/>
      <c r="JZ203" s="212" t="n"/>
      <c r="KA203" s="212" t="n"/>
      <c r="KB203" s="212" t="n"/>
      <c r="KC203" s="212" t="n"/>
      <c r="KD203" s="212" t="n"/>
      <c r="KE203" s="212" t="n"/>
      <c r="KF203" s="212" t="n"/>
      <c r="KG203" s="212" t="n"/>
      <c r="KH203" s="212" t="n"/>
      <c r="KI203" s="212" t="n"/>
      <c r="KJ203" s="212" t="n"/>
      <c r="KK203" s="212" t="n"/>
      <c r="KL203" s="212" t="n"/>
      <c r="KM203" s="212" t="n"/>
      <c r="KN203" s="212" t="n"/>
      <c r="KO203" s="212" t="n"/>
      <c r="KP203" s="212" t="n"/>
      <c r="KQ203" s="212" t="n"/>
      <c r="KR203" s="212" t="n"/>
      <c r="KS203" s="212" t="n"/>
      <c r="KT203" s="212" t="n"/>
      <c r="KU203" s="212" t="n"/>
      <c r="KV203" s="212" t="n"/>
      <c r="KW203" s="212" t="n"/>
      <c r="KX203" s="212" t="n"/>
      <c r="KY203" s="212" t="n"/>
      <c r="KZ203" s="212" t="n"/>
      <c r="LA203" s="212" t="n"/>
      <c r="LB203" s="212" t="n"/>
      <c r="LC203" s="212" t="n"/>
      <c r="LD203" s="212" t="n"/>
      <c r="LE203" s="212" t="n"/>
      <c r="LF203" s="212" t="n"/>
      <c r="LG203" s="212" t="n"/>
      <c r="LH203" s="212" t="n"/>
      <c r="LI203" s="212" t="n"/>
      <c r="LJ203" s="212" t="n"/>
      <c r="LK203" s="212" t="n"/>
      <c r="LL203" s="212" t="n"/>
      <c r="LM203" s="212" t="n"/>
      <c r="LN203" s="212" t="n"/>
      <c r="LO203" s="212" t="n"/>
      <c r="LP203" s="212" t="n"/>
      <c r="LQ203" s="212" t="n"/>
      <c r="LR203" s="212" t="n"/>
      <c r="LS203" s="212" t="n"/>
      <c r="LT203" s="212" t="n"/>
      <c r="LU203" s="212" t="n"/>
      <c r="LV203" s="212" t="n"/>
      <c r="LW203" s="212" t="n"/>
      <c r="LX203" s="212" t="n"/>
      <c r="LY203" s="212" t="n"/>
      <c r="LZ203" s="212" t="n"/>
      <c r="MA203" s="212" t="n"/>
      <c r="MB203" s="212" t="n"/>
      <c r="MC203" s="212" t="n"/>
      <c r="MD203" s="212" t="n"/>
      <c r="ME203" s="212" t="n"/>
      <c r="MF203" s="212" t="n"/>
      <c r="MG203" s="212" t="n"/>
      <c r="MH203" s="212" t="n"/>
      <c r="MI203" s="212" t="n"/>
      <c r="MJ203" s="212" t="n"/>
      <c r="MK203" s="212" t="n"/>
      <c r="ML203" s="212" t="n"/>
      <c r="MM203" s="212" t="n"/>
      <c r="MN203" s="212" t="n"/>
      <c r="MO203" s="212" t="n"/>
      <c r="MP203" s="212" t="n"/>
      <c r="MQ203" s="212" t="n"/>
      <c r="MR203" s="212" t="n"/>
      <c r="MS203" s="212" t="n"/>
      <c r="MT203" s="212" t="n"/>
      <c r="MU203" s="212" t="n"/>
      <c r="MV203" s="212" t="n"/>
      <c r="MW203" s="212" t="n"/>
      <c r="MX203" s="212" t="n"/>
      <c r="MY203" s="212" t="n"/>
      <c r="MZ203" s="212" t="n"/>
      <c r="NA203" s="212" t="n"/>
      <c r="NB203" s="212" t="n"/>
      <c r="NC203" s="212" t="n"/>
      <c r="ND203" s="212" t="n"/>
      <c r="NE203" s="212" t="n"/>
      <c r="NF203" s="212" t="n"/>
      <c r="NG203" s="212" t="n"/>
      <c r="NH203" s="212" t="n"/>
      <c r="NI203" s="212" t="n"/>
      <c r="NJ203" s="212" t="n"/>
      <c r="NK203" s="212" t="n"/>
      <c r="NL203" s="212" t="n"/>
      <c r="NM203" s="212" t="n"/>
      <c r="NN203" s="212" t="n"/>
      <c r="NO203" s="212" t="n"/>
      <c r="NP203" s="212" t="n"/>
      <c r="NQ203" s="212" t="n"/>
      <c r="NR203" s="212" t="n"/>
      <c r="NS203" s="212" t="n"/>
      <c r="NT203" s="212" t="n"/>
      <c r="NU203" s="212" t="n"/>
      <c r="NV203" s="212" t="n"/>
      <c r="NW203" s="212" t="n"/>
      <c r="NX203" s="212" t="n"/>
      <c r="NY203" s="212" t="n"/>
      <c r="NZ203" s="212" t="n"/>
      <c r="OA203" s="212" t="n"/>
      <c r="OB203" s="212" t="n"/>
      <c r="OC203" s="212" t="n"/>
      <c r="OD203" s="212" t="n"/>
      <c r="OE203" s="212" t="n"/>
      <c r="OF203" s="212" t="n"/>
      <c r="OG203" s="212" t="n"/>
      <c r="OH203" s="212" t="n"/>
      <c r="OI203" s="212" t="n"/>
      <c r="OJ203" s="212" t="n"/>
      <c r="OK203" s="212" t="n"/>
      <c r="OL203" s="212" t="n"/>
      <c r="OM203" s="212" t="n"/>
      <c r="ON203" s="212" t="n"/>
      <c r="OO203" s="212" t="n"/>
      <c r="OP203" s="212" t="n"/>
      <c r="OQ203" s="212" t="n"/>
      <c r="OR203" s="212" t="n"/>
      <c r="OS203" s="212" t="n"/>
      <c r="OT203" s="212" t="n"/>
      <c r="OU203" s="212" t="n"/>
      <c r="OV203" s="212" t="n"/>
      <c r="OW203" s="212" t="n"/>
      <c r="OX203" s="212" t="n"/>
      <c r="OY203" s="212" t="n"/>
      <c r="OZ203" s="212" t="n"/>
      <c r="PA203" s="212" t="n"/>
      <c r="PB203" s="212" t="n"/>
      <c r="PC203" s="212" t="n"/>
      <c r="PD203" s="212" t="n"/>
      <c r="PE203" s="212" t="n"/>
      <c r="PF203" s="212" t="n"/>
      <c r="PG203" s="212" t="n"/>
      <c r="PH203" s="212" t="n"/>
      <c r="PI203" s="212" t="n"/>
      <c r="PJ203" s="212" t="n"/>
      <c r="PK203" s="212" t="n"/>
      <c r="PL203" s="212" t="n"/>
      <c r="PM203" s="212" t="n"/>
      <c r="PN203" s="212" t="n"/>
      <c r="PO203" s="212" t="n"/>
      <c r="PP203" s="212" t="n"/>
      <c r="PQ203" s="212" t="n"/>
      <c r="PR203" s="212" t="n"/>
      <c r="PS203" s="212" t="n"/>
      <c r="PT203" s="212" t="n"/>
      <c r="PU203" s="212" t="n"/>
      <c r="PV203" s="212" t="n"/>
      <c r="PW203" s="212" t="n"/>
      <c r="PX203" s="212" t="n"/>
      <c r="PY203" s="212" t="n"/>
      <c r="PZ203" s="212" t="n"/>
      <c r="QA203" s="212" t="n"/>
      <c r="QB203" s="212" t="n"/>
      <c r="QC203" s="212" t="n"/>
      <c r="QD203" s="212" t="n"/>
      <c r="QE203" s="212" t="n"/>
      <c r="QF203" s="212" t="n"/>
      <c r="QG203" s="212" t="n"/>
      <c r="QH203" s="212" t="n"/>
      <c r="QI203" s="212" t="n"/>
      <c r="QJ203" s="212" t="n"/>
      <c r="QK203" s="212" t="n"/>
      <c r="QL203" s="212" t="n"/>
      <c r="QM203" s="212" t="n"/>
      <c r="QN203" s="212" t="n"/>
      <c r="QO203" s="212" t="n"/>
      <c r="QP203" s="212" t="n"/>
      <c r="QQ203" s="212" t="n"/>
      <c r="QR203" s="212" t="n"/>
      <c r="QS203" s="212" t="n"/>
      <c r="QT203" s="212" t="n"/>
      <c r="QU203" s="212" t="n"/>
      <c r="QV203" s="212" t="n"/>
      <c r="QW203" s="212" t="n"/>
      <c r="QX203" s="212" t="n"/>
      <c r="QY203" s="212" t="n"/>
      <c r="QZ203" s="212" t="n"/>
      <c r="RA203" s="212" t="n"/>
      <c r="RB203" s="212" t="n"/>
      <c r="RC203" s="212" t="n"/>
      <c r="RD203" s="212" t="n"/>
      <c r="RE203" s="212" t="n"/>
      <c r="RF203" s="212" t="n"/>
      <c r="RG203" s="212" t="n"/>
      <c r="RH203" s="212" t="n"/>
      <c r="RI203" s="212" t="n"/>
      <c r="RJ203" s="212" t="n"/>
      <c r="RK203" s="212" t="n"/>
      <c r="RL203" s="212" t="n"/>
      <c r="RM203" s="212" t="n"/>
      <c r="RN203" s="212" t="n"/>
      <c r="RO203" s="212" t="n"/>
      <c r="RP203" s="212" t="n"/>
      <c r="RQ203" s="212" t="n"/>
      <c r="RR203" s="212" t="n"/>
      <c r="RS203" s="212" t="n"/>
      <c r="RT203" s="212" t="n"/>
      <c r="RU203" s="212" t="n"/>
      <c r="RV203" s="212" t="n"/>
      <c r="RW203" s="212" t="n"/>
      <c r="RX203" s="212" t="n"/>
      <c r="RY203" s="212" t="n"/>
      <c r="RZ203" s="212" t="n"/>
      <c r="SA203" s="212" t="n"/>
      <c r="SB203" s="212" t="n"/>
      <c r="SC203" s="212" t="n"/>
      <c r="SD203" s="212" t="n"/>
      <c r="SE203" s="212" t="n"/>
      <c r="SF203" s="212" t="n"/>
      <c r="SG203" s="212" t="n"/>
      <c r="SH203" s="212" t="n"/>
      <c r="SI203" s="212" t="n"/>
      <c r="SJ203" s="212" t="n"/>
      <c r="SK203" s="212" t="n"/>
      <c r="SL203" s="212" t="n"/>
      <c r="SM203" s="212" t="n"/>
      <c r="SN203" s="212" t="n"/>
      <c r="SO203" s="212" t="n"/>
      <c r="SP203" s="212" t="n"/>
      <c r="SQ203" s="212" t="n"/>
      <c r="SR203" s="212" t="n"/>
      <c r="SS203" s="212" t="n"/>
      <c r="ST203" s="212" t="n"/>
      <c r="SU203" s="212" t="n"/>
      <c r="SV203" s="212" t="n"/>
    </row>
    <row r="204">
      <c r="B204" s="209" t="n"/>
      <c r="C204" s="209" t="n"/>
      <c r="D204" s="209" t="n"/>
      <c r="E204" s="209" t="n"/>
      <c r="F204" s="209">
        <f>IF(TRIM(D204&amp;E204)="","",TRIM(D204)&amp;" "&amp;TRIM(E204))</f>
        <v/>
      </c>
      <c r="G204" s="209" t="n"/>
      <c r="H204" s="209" t="n"/>
      <c r="I204" s="209" t="n"/>
      <c r="J204" s="209" t="n"/>
      <c r="K204" s="209" t="n"/>
      <c r="L204" s="209" t="n"/>
      <c r="M204" s="209" t="n"/>
      <c r="N204" s="209" t="n"/>
      <c r="O204" s="209" t="n"/>
      <c r="P204" s="209" t="n"/>
      <c r="Q204" s="209" t="n"/>
      <c r="R204" s="209" t="n"/>
      <c r="S204" s="212" t="n"/>
      <c r="T204" s="212" t="n"/>
      <c r="U204" s="212" t="n"/>
      <c r="V204" s="212" t="n"/>
      <c r="W204" s="212" t="n"/>
      <c r="X204" s="212" t="n"/>
      <c r="Y204" s="212" t="n"/>
      <c r="Z204" s="212" t="n"/>
      <c r="AA204" s="212" t="n"/>
      <c r="AB204" s="212" t="n"/>
      <c r="AC204" s="212" t="n"/>
      <c r="AD204" s="212" t="n"/>
      <c r="AE204" s="212" t="n"/>
      <c r="AF204" s="212" t="n"/>
      <c r="AG204" s="212" t="n"/>
      <c r="AH204" s="212" t="n"/>
      <c r="AI204" s="212" t="n"/>
      <c r="AJ204" s="212" t="n"/>
      <c r="AK204" s="212" t="n"/>
      <c r="AL204" s="212" t="n"/>
      <c r="AM204" s="212" t="n"/>
      <c r="AN204" s="212" t="n"/>
      <c r="AO204" s="212" t="n"/>
      <c r="AP204" s="212" t="n"/>
      <c r="AQ204" s="212" t="n"/>
      <c r="AR204" s="212" t="n"/>
      <c r="AS204" s="212" t="n"/>
      <c r="AT204" s="212" t="n"/>
      <c r="AU204" s="212" t="n"/>
      <c r="AV204" s="212" t="n"/>
      <c r="AW204" s="212" t="n"/>
      <c r="AX204" s="212" t="n"/>
      <c r="AY204" s="212" t="n"/>
      <c r="AZ204" s="212" t="n"/>
      <c r="BA204" s="212" t="n"/>
      <c r="BB204" s="212" t="n"/>
      <c r="BC204" s="212" t="n"/>
      <c r="BD204" s="212" t="n"/>
      <c r="BE204" s="212" t="n"/>
      <c r="BF204" s="212" t="n"/>
      <c r="BG204" s="212" t="n"/>
      <c r="BH204" s="212" t="n"/>
      <c r="BI204" s="212" t="n"/>
      <c r="BJ204" s="212" t="n"/>
      <c r="BK204" s="212" t="n"/>
      <c r="BL204" s="212" t="n"/>
      <c r="BM204" s="212" t="n"/>
      <c r="BN204" s="212" t="n"/>
      <c r="BO204" s="212" t="n"/>
      <c r="BP204" s="212" t="n"/>
      <c r="BQ204" s="212" t="n"/>
      <c r="BR204" s="212" t="n"/>
      <c r="BS204" s="212" t="n"/>
      <c r="BT204" s="212" t="n"/>
      <c r="BU204" s="212" t="n"/>
      <c r="BV204" s="212" t="n"/>
      <c r="BW204" s="212" t="n"/>
      <c r="BX204" s="212" t="n"/>
      <c r="BY204" s="212" t="n"/>
      <c r="BZ204" s="212" t="n"/>
      <c r="CA204" s="212" t="n"/>
      <c r="CB204" s="212" t="n"/>
      <c r="CC204" s="212" t="n"/>
      <c r="CD204" s="212" t="n"/>
      <c r="CE204" s="212" t="n"/>
      <c r="CF204" s="212" t="n"/>
      <c r="CG204" s="212" t="n"/>
      <c r="CH204" s="212" t="n"/>
      <c r="CI204" s="212" t="n"/>
      <c r="CJ204" s="212" t="n"/>
      <c r="CK204" s="212" t="n"/>
      <c r="CL204" s="212" t="n"/>
      <c r="CM204" s="212" t="n"/>
      <c r="CN204" s="212" t="n"/>
      <c r="CO204" s="212" t="n"/>
      <c r="CP204" s="212" t="n"/>
      <c r="CQ204" s="212" t="n"/>
      <c r="CR204" s="212" t="n"/>
      <c r="CS204" s="212" t="n"/>
      <c r="CT204" s="212" t="n"/>
      <c r="CU204" s="212" t="n"/>
      <c r="CV204" s="212" t="n"/>
      <c r="CW204" s="212" t="n"/>
      <c r="CX204" s="212" t="n"/>
      <c r="CY204" s="212" t="n"/>
      <c r="CZ204" s="212" t="n"/>
      <c r="DA204" s="212" t="n"/>
      <c r="DB204" s="212" t="n"/>
      <c r="DC204" s="212" t="n"/>
      <c r="DD204" s="212" t="n"/>
      <c r="DE204" s="212" t="n"/>
      <c r="DF204" s="212" t="n"/>
      <c r="DG204" s="212" t="n"/>
      <c r="DH204" s="212" t="n"/>
      <c r="DI204" s="212" t="n"/>
      <c r="DJ204" s="212" t="n"/>
      <c r="DK204" s="212" t="n"/>
      <c r="DL204" s="212" t="n"/>
      <c r="DM204" s="212" t="n"/>
      <c r="DN204" s="212" t="n"/>
      <c r="DO204" s="212" t="n"/>
      <c r="DP204" s="212" t="n"/>
      <c r="DQ204" s="212" t="n"/>
      <c r="DR204" s="212" t="n"/>
      <c r="DS204" s="212" t="n"/>
      <c r="DT204" s="212" t="n"/>
      <c r="DU204" s="212" t="n"/>
      <c r="DV204" s="212" t="n"/>
      <c r="DW204" s="212" t="n"/>
      <c r="DX204" s="212" t="n"/>
      <c r="DY204" s="212" t="n"/>
      <c r="DZ204" s="212" t="n"/>
      <c r="EA204" s="212" t="n"/>
      <c r="EB204" s="212" t="n"/>
      <c r="EC204" s="212" t="n"/>
      <c r="ED204" s="212" t="n"/>
      <c r="EE204" s="212" t="n"/>
      <c r="EF204" s="212" t="n"/>
      <c r="EG204" s="212" t="n"/>
      <c r="EH204" s="212" t="n"/>
      <c r="EI204" s="212" t="n"/>
      <c r="EJ204" s="212" t="n"/>
      <c r="EK204" s="212" t="n"/>
      <c r="EL204" s="212" t="n"/>
      <c r="EM204" s="212" t="n"/>
      <c r="EN204" s="212" t="n"/>
      <c r="EO204" s="212" t="n"/>
      <c r="EP204" s="212" t="n"/>
      <c r="EQ204" s="212" t="n"/>
      <c r="ER204" s="212" t="n"/>
      <c r="ES204" s="212" t="n"/>
      <c r="ET204" s="212" t="n"/>
      <c r="EU204" s="212" t="n"/>
      <c r="EV204" s="212" t="n"/>
      <c r="EW204" s="212" t="n"/>
      <c r="EX204" s="212" t="n"/>
      <c r="EY204" s="212" t="n"/>
      <c r="EZ204" s="212" t="n"/>
      <c r="FA204" s="212" t="n"/>
      <c r="FB204" s="212" t="n"/>
      <c r="FC204" s="212" t="n"/>
      <c r="FD204" s="212" t="n"/>
      <c r="FE204" s="212" t="n"/>
      <c r="FF204" s="212" t="n"/>
      <c r="FG204" s="212" t="n"/>
      <c r="FH204" s="212" t="n"/>
      <c r="FI204" s="212" t="n"/>
      <c r="FJ204" s="212" t="n"/>
      <c r="FK204" s="212" t="n"/>
      <c r="FL204" s="212" t="n"/>
      <c r="FM204" s="212" t="n"/>
      <c r="FN204" s="212" t="n"/>
      <c r="FO204" s="212" t="n"/>
      <c r="FP204" s="212" t="n"/>
      <c r="FQ204" s="212" t="n"/>
      <c r="FR204" s="212" t="n"/>
      <c r="FS204" s="212" t="n"/>
      <c r="FT204" s="212" t="n"/>
      <c r="FU204" s="212" t="n"/>
      <c r="FV204" s="212" t="n"/>
      <c r="FW204" s="212" t="n"/>
      <c r="FX204" s="212" t="n"/>
      <c r="FY204" s="212" t="n"/>
      <c r="FZ204" s="212" t="n"/>
      <c r="GA204" s="212" t="n"/>
      <c r="GB204" s="212" t="n"/>
      <c r="GC204" s="212" t="n"/>
      <c r="GD204" s="212" t="n"/>
      <c r="GE204" s="212" t="n"/>
      <c r="GF204" s="212" t="n"/>
      <c r="GG204" s="212" t="n"/>
      <c r="GH204" s="212" t="n"/>
      <c r="GI204" s="212" t="n"/>
      <c r="GJ204" s="212" t="n"/>
      <c r="GK204" s="212" t="n"/>
      <c r="GL204" s="212" t="n"/>
      <c r="GM204" s="212" t="n"/>
      <c r="GN204" s="212" t="n"/>
      <c r="GO204" s="212" t="n"/>
      <c r="GP204" s="212" t="n"/>
      <c r="GQ204" s="212" t="n"/>
      <c r="GR204" s="212" t="n"/>
      <c r="GS204" s="212" t="n"/>
      <c r="GT204" s="212" t="n"/>
      <c r="GU204" s="212" t="n"/>
      <c r="GV204" s="212" t="n"/>
      <c r="GW204" s="212" t="n"/>
      <c r="GX204" s="212" t="n"/>
      <c r="GY204" s="212" t="n"/>
      <c r="GZ204" s="212" t="n"/>
      <c r="HA204" s="212" t="n"/>
      <c r="HB204" s="212" t="n"/>
      <c r="HC204" s="212" t="n"/>
      <c r="HD204" s="212" t="n"/>
      <c r="HE204" s="212" t="n"/>
      <c r="HF204" s="212" t="n"/>
      <c r="HG204" s="212" t="n"/>
      <c r="HH204" s="212" t="n"/>
      <c r="HI204" s="212" t="n"/>
      <c r="HJ204" s="212" t="n"/>
      <c r="HK204" s="212" t="n"/>
      <c r="HL204" s="212" t="n"/>
      <c r="HM204" s="212" t="n"/>
      <c r="HN204" s="212" t="n"/>
      <c r="HO204" s="212" t="n"/>
      <c r="HP204" s="212" t="n"/>
      <c r="HQ204" s="212" t="n"/>
      <c r="HR204" s="212" t="n"/>
      <c r="HS204" s="212" t="n"/>
      <c r="HT204" s="212" t="n"/>
      <c r="HU204" s="212" t="n"/>
      <c r="HV204" s="212" t="n"/>
      <c r="HW204" s="212" t="n"/>
      <c r="HX204" s="212" t="n"/>
      <c r="HY204" s="212" t="n"/>
      <c r="HZ204" s="212" t="n"/>
      <c r="IA204" s="212" t="n"/>
      <c r="IB204" s="212" t="n"/>
      <c r="IC204" s="212" t="n"/>
      <c r="ID204" s="212" t="n"/>
      <c r="IE204" s="212" t="n"/>
      <c r="IF204" s="212" t="n"/>
      <c r="IG204" s="212" t="n"/>
      <c r="IH204" s="212" t="n"/>
      <c r="II204" s="212" t="n"/>
      <c r="IJ204" s="212" t="n"/>
      <c r="IK204" s="212" t="n"/>
      <c r="IL204" s="212" t="n"/>
      <c r="IM204" s="212" t="n"/>
      <c r="IN204" s="212" t="n"/>
      <c r="IO204" s="212" t="n"/>
      <c r="IP204" s="212" t="n"/>
      <c r="IQ204" s="212" t="n"/>
      <c r="IR204" s="212" t="n"/>
      <c r="IS204" s="212" t="n"/>
      <c r="IT204" s="212" t="n"/>
      <c r="IU204" s="212" t="n"/>
      <c r="IV204" s="212" t="n"/>
      <c r="IW204" s="212" t="n"/>
      <c r="IX204" s="212" t="n"/>
      <c r="IY204" s="212" t="n"/>
      <c r="IZ204" s="212" t="n"/>
      <c r="JA204" s="212" t="n"/>
      <c r="JB204" s="212" t="n"/>
      <c r="JC204" s="212" t="n"/>
      <c r="JD204" s="212" t="n"/>
      <c r="JE204" s="212" t="n"/>
      <c r="JF204" s="212" t="n"/>
      <c r="JG204" s="212" t="n"/>
      <c r="JH204" s="212" t="n"/>
      <c r="JI204" s="212" t="n"/>
      <c r="JJ204" s="212" t="n"/>
      <c r="JK204" s="212" t="n"/>
      <c r="JL204" s="212" t="n"/>
      <c r="JM204" s="212" t="n"/>
      <c r="JN204" s="212" t="n"/>
      <c r="JO204" s="212" t="n"/>
      <c r="JP204" s="212" t="n"/>
      <c r="JQ204" s="212" t="n"/>
      <c r="JR204" s="212" t="n"/>
      <c r="JS204" s="212" t="n"/>
      <c r="JT204" s="212" t="n"/>
      <c r="JU204" s="212" t="n"/>
      <c r="JV204" s="212" t="n"/>
      <c r="JW204" s="212" t="n"/>
      <c r="JX204" s="212" t="n"/>
      <c r="JY204" s="212" t="n"/>
      <c r="JZ204" s="212" t="n"/>
      <c r="KA204" s="212" t="n"/>
      <c r="KB204" s="212" t="n"/>
      <c r="KC204" s="212" t="n"/>
      <c r="KD204" s="212" t="n"/>
      <c r="KE204" s="212" t="n"/>
      <c r="KF204" s="212" t="n"/>
      <c r="KG204" s="212" t="n"/>
      <c r="KH204" s="212" t="n"/>
      <c r="KI204" s="212" t="n"/>
      <c r="KJ204" s="212" t="n"/>
      <c r="KK204" s="212" t="n"/>
      <c r="KL204" s="212" t="n"/>
      <c r="KM204" s="212" t="n"/>
      <c r="KN204" s="212" t="n"/>
      <c r="KO204" s="212" t="n"/>
      <c r="KP204" s="212" t="n"/>
      <c r="KQ204" s="212" t="n"/>
      <c r="KR204" s="212" t="n"/>
      <c r="KS204" s="212" t="n"/>
      <c r="KT204" s="212" t="n"/>
      <c r="KU204" s="212" t="n"/>
      <c r="KV204" s="212" t="n"/>
      <c r="KW204" s="212" t="n"/>
      <c r="KX204" s="212" t="n"/>
      <c r="KY204" s="212" t="n"/>
      <c r="KZ204" s="212" t="n"/>
      <c r="LA204" s="212" t="n"/>
      <c r="LB204" s="212" t="n"/>
      <c r="LC204" s="212" t="n"/>
      <c r="LD204" s="212" t="n"/>
      <c r="LE204" s="212" t="n"/>
      <c r="LF204" s="212" t="n"/>
      <c r="LG204" s="212" t="n"/>
      <c r="LH204" s="212" t="n"/>
      <c r="LI204" s="212" t="n"/>
      <c r="LJ204" s="212" t="n"/>
      <c r="LK204" s="212" t="n"/>
      <c r="LL204" s="212" t="n"/>
      <c r="LM204" s="212" t="n"/>
      <c r="LN204" s="212" t="n"/>
      <c r="LO204" s="212" t="n"/>
      <c r="LP204" s="212" t="n"/>
      <c r="LQ204" s="212" t="n"/>
      <c r="LR204" s="212" t="n"/>
      <c r="LS204" s="212" t="n"/>
      <c r="LT204" s="212" t="n"/>
      <c r="LU204" s="212" t="n"/>
      <c r="LV204" s="212" t="n"/>
      <c r="LW204" s="212" t="n"/>
      <c r="LX204" s="212" t="n"/>
      <c r="LY204" s="212" t="n"/>
      <c r="LZ204" s="212" t="n"/>
      <c r="MA204" s="212" t="n"/>
      <c r="MB204" s="212" t="n"/>
      <c r="MC204" s="212" t="n"/>
      <c r="MD204" s="212" t="n"/>
      <c r="ME204" s="212" t="n"/>
      <c r="MF204" s="212" t="n"/>
      <c r="MG204" s="212" t="n"/>
      <c r="MH204" s="212" t="n"/>
      <c r="MI204" s="212" t="n"/>
      <c r="MJ204" s="212" t="n"/>
      <c r="MK204" s="212" t="n"/>
      <c r="ML204" s="212" t="n"/>
      <c r="MM204" s="212" t="n"/>
      <c r="MN204" s="212" t="n"/>
      <c r="MO204" s="212" t="n"/>
      <c r="MP204" s="212" t="n"/>
      <c r="MQ204" s="212" t="n"/>
      <c r="MR204" s="212" t="n"/>
      <c r="MS204" s="212" t="n"/>
      <c r="MT204" s="212" t="n"/>
      <c r="MU204" s="212" t="n"/>
      <c r="MV204" s="212" t="n"/>
      <c r="MW204" s="212" t="n"/>
      <c r="MX204" s="212" t="n"/>
      <c r="MY204" s="212" t="n"/>
      <c r="MZ204" s="212" t="n"/>
      <c r="NA204" s="212" t="n"/>
      <c r="NB204" s="212" t="n"/>
      <c r="NC204" s="212" t="n"/>
      <c r="ND204" s="212" t="n"/>
      <c r="NE204" s="212" t="n"/>
      <c r="NF204" s="212" t="n"/>
      <c r="NG204" s="212" t="n"/>
      <c r="NH204" s="212" t="n"/>
      <c r="NI204" s="212" t="n"/>
      <c r="NJ204" s="212" t="n"/>
      <c r="NK204" s="212" t="n"/>
      <c r="NL204" s="212" t="n"/>
      <c r="NM204" s="212" t="n"/>
      <c r="NN204" s="212" t="n"/>
      <c r="NO204" s="212" t="n"/>
      <c r="NP204" s="212" t="n"/>
      <c r="NQ204" s="212" t="n"/>
      <c r="NR204" s="212" t="n"/>
      <c r="NS204" s="212" t="n"/>
      <c r="NT204" s="212" t="n"/>
      <c r="NU204" s="212" t="n"/>
      <c r="NV204" s="212" t="n"/>
      <c r="NW204" s="212" t="n"/>
      <c r="NX204" s="212" t="n"/>
      <c r="NY204" s="212" t="n"/>
      <c r="NZ204" s="212" t="n"/>
      <c r="OA204" s="212" t="n"/>
      <c r="OB204" s="212" t="n"/>
      <c r="OC204" s="212" t="n"/>
      <c r="OD204" s="212" t="n"/>
      <c r="OE204" s="212" t="n"/>
      <c r="OF204" s="212" t="n"/>
      <c r="OG204" s="212" t="n"/>
      <c r="OH204" s="212" t="n"/>
      <c r="OI204" s="212" t="n"/>
      <c r="OJ204" s="212" t="n"/>
      <c r="OK204" s="212" t="n"/>
      <c r="OL204" s="212" t="n"/>
      <c r="OM204" s="212" t="n"/>
      <c r="ON204" s="212" t="n"/>
      <c r="OO204" s="212" t="n"/>
      <c r="OP204" s="212" t="n"/>
      <c r="OQ204" s="212" t="n"/>
      <c r="OR204" s="212" t="n"/>
      <c r="OS204" s="212" t="n"/>
      <c r="OT204" s="212" t="n"/>
      <c r="OU204" s="212" t="n"/>
      <c r="OV204" s="212" t="n"/>
      <c r="OW204" s="212" t="n"/>
      <c r="OX204" s="212" t="n"/>
      <c r="OY204" s="212" t="n"/>
      <c r="OZ204" s="212" t="n"/>
      <c r="PA204" s="212" t="n"/>
      <c r="PB204" s="212" t="n"/>
      <c r="PC204" s="212" t="n"/>
      <c r="PD204" s="212" t="n"/>
      <c r="PE204" s="212" t="n"/>
      <c r="PF204" s="212" t="n"/>
      <c r="PG204" s="212" t="n"/>
      <c r="PH204" s="212" t="n"/>
      <c r="PI204" s="212" t="n"/>
      <c r="PJ204" s="212" t="n"/>
      <c r="PK204" s="212" t="n"/>
      <c r="PL204" s="212" t="n"/>
      <c r="PM204" s="212" t="n"/>
      <c r="PN204" s="212" t="n"/>
      <c r="PO204" s="212" t="n"/>
      <c r="PP204" s="212" t="n"/>
      <c r="PQ204" s="212" t="n"/>
      <c r="PR204" s="212" t="n"/>
      <c r="PS204" s="212" t="n"/>
      <c r="PT204" s="212" t="n"/>
      <c r="PU204" s="212" t="n"/>
      <c r="PV204" s="212" t="n"/>
      <c r="PW204" s="212" t="n"/>
      <c r="PX204" s="212" t="n"/>
      <c r="PY204" s="212" t="n"/>
      <c r="PZ204" s="212" t="n"/>
      <c r="QA204" s="212" t="n"/>
      <c r="QB204" s="212" t="n"/>
      <c r="QC204" s="212" t="n"/>
      <c r="QD204" s="212" t="n"/>
      <c r="QE204" s="212" t="n"/>
      <c r="QF204" s="212" t="n"/>
      <c r="QG204" s="212" t="n"/>
      <c r="QH204" s="212" t="n"/>
      <c r="QI204" s="212" t="n"/>
      <c r="QJ204" s="212" t="n"/>
      <c r="QK204" s="212" t="n"/>
      <c r="QL204" s="212" t="n"/>
      <c r="QM204" s="212" t="n"/>
      <c r="QN204" s="212" t="n"/>
      <c r="QO204" s="212" t="n"/>
      <c r="QP204" s="212" t="n"/>
      <c r="QQ204" s="212" t="n"/>
      <c r="QR204" s="212" t="n"/>
      <c r="QS204" s="212" t="n"/>
      <c r="QT204" s="212" t="n"/>
      <c r="QU204" s="212" t="n"/>
      <c r="QV204" s="212" t="n"/>
      <c r="QW204" s="212" t="n"/>
      <c r="QX204" s="212" t="n"/>
      <c r="QY204" s="212" t="n"/>
      <c r="QZ204" s="212" t="n"/>
      <c r="RA204" s="212" t="n"/>
      <c r="RB204" s="212" t="n"/>
      <c r="RC204" s="212" t="n"/>
      <c r="RD204" s="212" t="n"/>
      <c r="RE204" s="212" t="n"/>
      <c r="RF204" s="212" t="n"/>
      <c r="RG204" s="212" t="n"/>
      <c r="RH204" s="212" t="n"/>
      <c r="RI204" s="212" t="n"/>
      <c r="RJ204" s="212" t="n"/>
      <c r="RK204" s="212" t="n"/>
      <c r="RL204" s="212" t="n"/>
      <c r="RM204" s="212" t="n"/>
      <c r="RN204" s="212" t="n"/>
      <c r="RO204" s="212" t="n"/>
      <c r="RP204" s="212" t="n"/>
      <c r="RQ204" s="212" t="n"/>
      <c r="RR204" s="212" t="n"/>
      <c r="RS204" s="212" t="n"/>
      <c r="RT204" s="212" t="n"/>
      <c r="RU204" s="212" t="n"/>
      <c r="RV204" s="212" t="n"/>
      <c r="RW204" s="212" t="n"/>
      <c r="RX204" s="212" t="n"/>
      <c r="RY204" s="212" t="n"/>
      <c r="RZ204" s="212" t="n"/>
      <c r="SA204" s="212" t="n"/>
      <c r="SB204" s="212" t="n"/>
      <c r="SC204" s="212" t="n"/>
      <c r="SD204" s="212" t="n"/>
      <c r="SE204" s="212" t="n"/>
      <c r="SF204" s="212" t="n"/>
      <c r="SG204" s="212" t="n"/>
      <c r="SH204" s="212" t="n"/>
      <c r="SI204" s="212" t="n"/>
      <c r="SJ204" s="212" t="n"/>
      <c r="SK204" s="212" t="n"/>
      <c r="SL204" s="212" t="n"/>
      <c r="SM204" s="212" t="n"/>
      <c r="SN204" s="212" t="n"/>
      <c r="SO204" s="212" t="n"/>
      <c r="SP204" s="212" t="n"/>
      <c r="SQ204" s="212" t="n"/>
      <c r="SR204" s="212" t="n"/>
      <c r="SS204" s="212" t="n"/>
      <c r="ST204" s="212" t="n"/>
      <c r="SU204" s="212" t="n"/>
      <c r="SV204" s="212" t="n"/>
    </row>
    <row r="205">
      <c r="B205" s="209" t="n"/>
      <c r="C205" s="209" t="n"/>
      <c r="D205" s="209" t="n"/>
      <c r="E205" s="209" t="n"/>
      <c r="F205" s="209">
        <f>IF(TRIM(D205&amp;E205)="","",TRIM(D205)&amp;" "&amp;TRIM(E205))</f>
        <v/>
      </c>
      <c r="G205" s="209" t="n"/>
      <c r="H205" s="209" t="n"/>
      <c r="I205" s="209" t="n"/>
      <c r="J205" s="209" t="n"/>
      <c r="K205" s="209" t="n"/>
      <c r="L205" s="209" t="n"/>
      <c r="M205" s="209" t="n"/>
      <c r="N205" s="209" t="n"/>
      <c r="O205" s="209" t="n"/>
      <c r="P205" s="209" t="n"/>
      <c r="Q205" s="209" t="n"/>
      <c r="R205" s="209" t="n"/>
      <c r="S205" s="212" t="n"/>
      <c r="T205" s="212" t="n"/>
      <c r="U205" s="212" t="n"/>
      <c r="V205" s="212" t="n"/>
      <c r="W205" s="212" t="n"/>
      <c r="X205" s="212" t="n"/>
      <c r="Y205" s="212" t="n"/>
      <c r="Z205" s="212" t="n"/>
      <c r="AA205" s="212" t="n"/>
      <c r="AB205" s="212" t="n"/>
      <c r="AC205" s="212" t="n"/>
      <c r="AD205" s="212" t="n"/>
      <c r="AE205" s="212" t="n"/>
      <c r="AF205" s="212" t="n"/>
      <c r="AG205" s="212" t="n"/>
      <c r="AH205" s="212" t="n"/>
      <c r="AI205" s="212" t="n"/>
      <c r="AJ205" s="212" t="n"/>
      <c r="AK205" s="212" t="n"/>
      <c r="AL205" s="212" t="n"/>
      <c r="AM205" s="212" t="n"/>
      <c r="AN205" s="212" t="n"/>
      <c r="AO205" s="212" t="n"/>
      <c r="AP205" s="212" t="n"/>
      <c r="AQ205" s="212" t="n"/>
      <c r="AR205" s="212" t="n"/>
      <c r="AS205" s="212" t="n"/>
      <c r="AT205" s="212" t="n"/>
      <c r="AU205" s="212" t="n"/>
      <c r="AV205" s="212" t="n"/>
      <c r="AW205" s="212" t="n"/>
      <c r="AX205" s="212" t="n"/>
      <c r="AY205" s="212" t="n"/>
      <c r="AZ205" s="212" t="n"/>
      <c r="BA205" s="212" t="n"/>
      <c r="BB205" s="212" t="n"/>
      <c r="BC205" s="212" t="n"/>
      <c r="BD205" s="212" t="n"/>
      <c r="BE205" s="212" t="n"/>
      <c r="BF205" s="212" t="n"/>
      <c r="BG205" s="212" t="n"/>
      <c r="BH205" s="212" t="n"/>
      <c r="BI205" s="212" t="n"/>
      <c r="BJ205" s="212" t="n"/>
      <c r="BK205" s="212" t="n"/>
      <c r="BL205" s="212" t="n"/>
      <c r="BM205" s="212" t="n"/>
      <c r="BN205" s="212" t="n"/>
      <c r="BO205" s="212" t="n"/>
      <c r="BP205" s="212" t="n"/>
      <c r="BQ205" s="212" t="n"/>
      <c r="BR205" s="212" t="n"/>
      <c r="BS205" s="212" t="n"/>
      <c r="BT205" s="212" t="n"/>
      <c r="BU205" s="212" t="n"/>
      <c r="BV205" s="212" t="n"/>
      <c r="BW205" s="212" t="n"/>
      <c r="BX205" s="212" t="n"/>
      <c r="BY205" s="212" t="n"/>
      <c r="BZ205" s="212" t="n"/>
      <c r="CA205" s="212" t="n"/>
      <c r="CB205" s="212" t="n"/>
      <c r="CC205" s="212" t="n"/>
      <c r="CD205" s="212" t="n"/>
      <c r="CE205" s="212" t="n"/>
      <c r="CF205" s="212" t="n"/>
      <c r="CG205" s="212" t="n"/>
      <c r="CH205" s="212" t="n"/>
      <c r="CI205" s="212" t="n"/>
      <c r="CJ205" s="212" t="n"/>
      <c r="CK205" s="212" t="n"/>
      <c r="CL205" s="212" t="n"/>
      <c r="CM205" s="212" t="n"/>
      <c r="CN205" s="212" t="n"/>
      <c r="CO205" s="212" t="n"/>
      <c r="CP205" s="212" t="n"/>
      <c r="CQ205" s="212" t="n"/>
      <c r="CR205" s="212" t="n"/>
      <c r="CS205" s="212" t="n"/>
      <c r="CT205" s="212" t="n"/>
      <c r="CU205" s="212" t="n"/>
      <c r="CV205" s="212" t="n"/>
      <c r="CW205" s="212" t="n"/>
      <c r="CX205" s="212" t="n"/>
      <c r="CY205" s="212" t="n"/>
      <c r="CZ205" s="212" t="n"/>
      <c r="DA205" s="212" t="n"/>
      <c r="DB205" s="212" t="n"/>
      <c r="DC205" s="212" t="n"/>
      <c r="DD205" s="212" t="n"/>
      <c r="DE205" s="212" t="n"/>
      <c r="DF205" s="212" t="n"/>
      <c r="DG205" s="212" t="n"/>
      <c r="DH205" s="212" t="n"/>
      <c r="DI205" s="212" t="n"/>
      <c r="DJ205" s="212" t="n"/>
      <c r="DK205" s="212" t="n"/>
      <c r="DL205" s="212" t="n"/>
      <c r="DM205" s="212" t="n"/>
      <c r="DN205" s="212" t="n"/>
      <c r="DO205" s="212" t="n"/>
      <c r="DP205" s="212" t="n"/>
      <c r="DQ205" s="212" t="n"/>
      <c r="DR205" s="212" t="n"/>
      <c r="DS205" s="212" t="n"/>
      <c r="DT205" s="212" t="n"/>
      <c r="DU205" s="212" t="n"/>
      <c r="DV205" s="212" t="n"/>
      <c r="DW205" s="212" t="n"/>
      <c r="DX205" s="212" t="n"/>
      <c r="DY205" s="212" t="n"/>
      <c r="DZ205" s="212" t="n"/>
      <c r="EA205" s="212" t="n"/>
      <c r="EB205" s="212" t="n"/>
      <c r="EC205" s="212" t="n"/>
      <c r="ED205" s="212" t="n"/>
      <c r="EE205" s="212" t="n"/>
      <c r="EF205" s="212" t="n"/>
      <c r="EG205" s="212" t="n"/>
      <c r="EH205" s="212" t="n"/>
      <c r="EI205" s="212" t="n"/>
      <c r="EJ205" s="212" t="n"/>
      <c r="EK205" s="212" t="n"/>
      <c r="EL205" s="212" t="n"/>
      <c r="EM205" s="212" t="n"/>
      <c r="EN205" s="212" t="n"/>
      <c r="EO205" s="212" t="n"/>
      <c r="EP205" s="212" t="n"/>
      <c r="EQ205" s="212" t="n"/>
      <c r="ER205" s="212" t="n"/>
      <c r="ES205" s="212" t="n"/>
      <c r="ET205" s="212" t="n"/>
      <c r="EU205" s="212" t="n"/>
      <c r="EV205" s="212" t="n"/>
      <c r="EW205" s="212" t="n"/>
      <c r="EX205" s="212" t="n"/>
      <c r="EY205" s="212" t="n"/>
      <c r="EZ205" s="212" t="n"/>
      <c r="FA205" s="212" t="n"/>
      <c r="FB205" s="212" t="n"/>
      <c r="FC205" s="212" t="n"/>
      <c r="FD205" s="212" t="n"/>
      <c r="FE205" s="212" t="n"/>
      <c r="FF205" s="212" t="n"/>
      <c r="FG205" s="212" t="n"/>
      <c r="FH205" s="212" t="n"/>
      <c r="FI205" s="212" t="n"/>
      <c r="FJ205" s="212" t="n"/>
      <c r="FK205" s="212" t="n"/>
      <c r="FL205" s="212" t="n"/>
      <c r="FM205" s="212" t="n"/>
      <c r="FN205" s="212" t="n"/>
      <c r="FO205" s="212" t="n"/>
      <c r="FP205" s="212" t="n"/>
      <c r="FQ205" s="212" t="n"/>
      <c r="FR205" s="212" t="n"/>
      <c r="FS205" s="212" t="n"/>
      <c r="FT205" s="212" t="n"/>
      <c r="FU205" s="212" t="n"/>
      <c r="FV205" s="212" t="n"/>
      <c r="FW205" s="212" t="n"/>
      <c r="FX205" s="212" t="n"/>
      <c r="FY205" s="212" t="n"/>
      <c r="FZ205" s="212" t="n"/>
      <c r="GA205" s="212" t="n"/>
      <c r="GB205" s="212" t="n"/>
      <c r="GC205" s="212" t="n"/>
      <c r="GD205" s="212" t="n"/>
      <c r="GE205" s="212" t="n"/>
      <c r="GF205" s="212" t="n"/>
      <c r="GG205" s="212" t="n"/>
      <c r="GH205" s="212" t="n"/>
      <c r="GI205" s="212" t="n"/>
      <c r="GJ205" s="212" t="n"/>
      <c r="GK205" s="212" t="n"/>
      <c r="GL205" s="212" t="n"/>
      <c r="GM205" s="212" t="n"/>
      <c r="GN205" s="212" t="n"/>
      <c r="GO205" s="212" t="n"/>
      <c r="GP205" s="212" t="n"/>
      <c r="GQ205" s="212" t="n"/>
      <c r="GR205" s="212" t="n"/>
      <c r="GS205" s="212" t="n"/>
      <c r="GT205" s="212" t="n"/>
      <c r="GU205" s="212" t="n"/>
      <c r="GV205" s="212" t="n"/>
      <c r="GW205" s="212" t="n"/>
      <c r="GX205" s="212" t="n"/>
      <c r="GY205" s="212" t="n"/>
      <c r="GZ205" s="212" t="n"/>
      <c r="HA205" s="212" t="n"/>
      <c r="HB205" s="212" t="n"/>
      <c r="HC205" s="212" t="n"/>
      <c r="HD205" s="212" t="n"/>
      <c r="HE205" s="212" t="n"/>
      <c r="HF205" s="212" t="n"/>
      <c r="HG205" s="212" t="n"/>
      <c r="HH205" s="212" t="n"/>
      <c r="HI205" s="212" t="n"/>
      <c r="HJ205" s="212" t="n"/>
      <c r="HK205" s="212" t="n"/>
      <c r="HL205" s="212" t="n"/>
      <c r="HM205" s="212" t="n"/>
      <c r="HN205" s="212" t="n"/>
      <c r="HO205" s="212" t="n"/>
      <c r="HP205" s="212" t="n"/>
      <c r="HQ205" s="212" t="n"/>
      <c r="HR205" s="212" t="n"/>
      <c r="HS205" s="212" t="n"/>
      <c r="HT205" s="212" t="n"/>
      <c r="HU205" s="212" t="n"/>
      <c r="HV205" s="212" t="n"/>
      <c r="HW205" s="212" t="n"/>
      <c r="HX205" s="212" t="n"/>
      <c r="HY205" s="212" t="n"/>
      <c r="HZ205" s="212" t="n"/>
      <c r="IA205" s="212" t="n"/>
      <c r="IB205" s="212" t="n"/>
      <c r="IC205" s="212" t="n"/>
      <c r="ID205" s="212" t="n"/>
      <c r="IE205" s="212" t="n"/>
      <c r="IF205" s="212" t="n"/>
      <c r="IG205" s="212" t="n"/>
      <c r="IH205" s="212" t="n"/>
      <c r="II205" s="212" t="n"/>
      <c r="IJ205" s="212" t="n"/>
      <c r="IK205" s="212" t="n"/>
      <c r="IL205" s="212" t="n"/>
      <c r="IM205" s="212" t="n"/>
      <c r="IN205" s="212" t="n"/>
      <c r="IO205" s="212" t="n"/>
      <c r="IP205" s="212" t="n"/>
      <c r="IQ205" s="212" t="n"/>
      <c r="IR205" s="212" t="n"/>
      <c r="IS205" s="212" t="n"/>
      <c r="IT205" s="212" t="n"/>
      <c r="IU205" s="212" t="n"/>
      <c r="IV205" s="212" t="n"/>
      <c r="IW205" s="212" t="n"/>
      <c r="IX205" s="212" t="n"/>
      <c r="IY205" s="212" t="n"/>
      <c r="IZ205" s="212" t="n"/>
      <c r="JA205" s="212" t="n"/>
      <c r="JB205" s="212" t="n"/>
      <c r="JC205" s="212" t="n"/>
      <c r="JD205" s="212" t="n"/>
      <c r="JE205" s="212" t="n"/>
      <c r="JF205" s="212" t="n"/>
      <c r="JG205" s="212" t="n"/>
      <c r="JH205" s="212" t="n"/>
      <c r="JI205" s="212" t="n"/>
      <c r="JJ205" s="212" t="n"/>
      <c r="JK205" s="212" t="n"/>
      <c r="JL205" s="212" t="n"/>
      <c r="JM205" s="212" t="n"/>
      <c r="JN205" s="212" t="n"/>
      <c r="JO205" s="212" t="n"/>
      <c r="JP205" s="212" t="n"/>
      <c r="JQ205" s="212" t="n"/>
      <c r="JR205" s="212" t="n"/>
      <c r="JS205" s="212" t="n"/>
      <c r="JT205" s="212" t="n"/>
      <c r="JU205" s="212" t="n"/>
      <c r="JV205" s="212" t="n"/>
      <c r="JW205" s="212" t="n"/>
      <c r="JX205" s="212" t="n"/>
      <c r="JY205" s="212" t="n"/>
      <c r="JZ205" s="212" t="n"/>
      <c r="KA205" s="212" t="n"/>
      <c r="KB205" s="212" t="n"/>
      <c r="KC205" s="212" t="n"/>
      <c r="KD205" s="212" t="n"/>
      <c r="KE205" s="212" t="n"/>
      <c r="KF205" s="212" t="n"/>
      <c r="KG205" s="212" t="n"/>
      <c r="KH205" s="212" t="n"/>
      <c r="KI205" s="212" t="n"/>
      <c r="KJ205" s="212" t="n"/>
      <c r="KK205" s="212" t="n"/>
      <c r="KL205" s="212" t="n"/>
      <c r="KM205" s="212" t="n"/>
      <c r="KN205" s="212" t="n"/>
      <c r="KO205" s="212" t="n"/>
      <c r="KP205" s="212" t="n"/>
      <c r="KQ205" s="212" t="n"/>
      <c r="KR205" s="212" t="n"/>
      <c r="KS205" s="212" t="n"/>
      <c r="KT205" s="212" t="n"/>
      <c r="KU205" s="212" t="n"/>
      <c r="KV205" s="212" t="n"/>
      <c r="KW205" s="212" t="n"/>
      <c r="KX205" s="212" t="n"/>
      <c r="KY205" s="212" t="n"/>
      <c r="KZ205" s="212" t="n"/>
      <c r="LA205" s="212" t="n"/>
      <c r="LB205" s="212" t="n"/>
      <c r="LC205" s="212" t="n"/>
      <c r="LD205" s="212" t="n"/>
      <c r="LE205" s="212" t="n"/>
      <c r="LF205" s="212" t="n"/>
      <c r="LG205" s="212" t="n"/>
      <c r="LH205" s="212" t="n"/>
      <c r="LI205" s="212" t="n"/>
      <c r="LJ205" s="212" t="n"/>
      <c r="LK205" s="212" t="n"/>
      <c r="LL205" s="212" t="n"/>
      <c r="LM205" s="212" t="n"/>
      <c r="LN205" s="212" t="n"/>
      <c r="LO205" s="212" t="n"/>
      <c r="LP205" s="212" t="n"/>
      <c r="LQ205" s="212" t="n"/>
      <c r="LR205" s="212" t="n"/>
      <c r="LS205" s="212" t="n"/>
      <c r="LT205" s="212" t="n"/>
      <c r="LU205" s="212" t="n"/>
      <c r="LV205" s="212" t="n"/>
      <c r="LW205" s="212" t="n"/>
      <c r="LX205" s="212" t="n"/>
      <c r="LY205" s="212" t="n"/>
      <c r="LZ205" s="212" t="n"/>
      <c r="MA205" s="212" t="n"/>
      <c r="MB205" s="212" t="n"/>
      <c r="MC205" s="212" t="n"/>
      <c r="MD205" s="212" t="n"/>
      <c r="ME205" s="212" t="n"/>
      <c r="MF205" s="212" t="n"/>
      <c r="MG205" s="212" t="n"/>
      <c r="MH205" s="212" t="n"/>
      <c r="MI205" s="212" t="n"/>
      <c r="MJ205" s="212" t="n"/>
      <c r="MK205" s="212" t="n"/>
      <c r="ML205" s="212" t="n"/>
      <c r="MM205" s="212" t="n"/>
      <c r="MN205" s="212" t="n"/>
      <c r="MO205" s="212" t="n"/>
      <c r="MP205" s="212" t="n"/>
      <c r="MQ205" s="212" t="n"/>
      <c r="MR205" s="212" t="n"/>
      <c r="MS205" s="212" t="n"/>
      <c r="MT205" s="212" t="n"/>
      <c r="MU205" s="212" t="n"/>
      <c r="MV205" s="212" t="n"/>
      <c r="MW205" s="212" t="n"/>
      <c r="MX205" s="212" t="n"/>
      <c r="MY205" s="212" t="n"/>
      <c r="MZ205" s="212" t="n"/>
      <c r="NA205" s="212" t="n"/>
      <c r="NB205" s="212" t="n"/>
      <c r="NC205" s="212" t="n"/>
      <c r="ND205" s="212" t="n"/>
      <c r="NE205" s="212" t="n"/>
      <c r="NF205" s="212" t="n"/>
      <c r="NG205" s="212" t="n"/>
      <c r="NH205" s="212" t="n"/>
      <c r="NI205" s="212" t="n"/>
      <c r="NJ205" s="212" t="n"/>
      <c r="NK205" s="212" t="n"/>
      <c r="NL205" s="212" t="n"/>
      <c r="NM205" s="212" t="n"/>
      <c r="NN205" s="212" t="n"/>
      <c r="NO205" s="212" t="n"/>
      <c r="NP205" s="212" t="n"/>
      <c r="NQ205" s="212" t="n"/>
      <c r="NR205" s="212" t="n"/>
      <c r="NS205" s="212" t="n"/>
      <c r="NT205" s="212" t="n"/>
      <c r="NU205" s="212" t="n"/>
      <c r="NV205" s="212" t="n"/>
      <c r="NW205" s="212" t="n"/>
      <c r="NX205" s="212" t="n"/>
      <c r="NY205" s="212" t="n"/>
      <c r="NZ205" s="212" t="n"/>
      <c r="OA205" s="212" t="n"/>
      <c r="OB205" s="212" t="n"/>
      <c r="OC205" s="212" t="n"/>
      <c r="OD205" s="212" t="n"/>
      <c r="OE205" s="212" t="n"/>
      <c r="OF205" s="212" t="n"/>
      <c r="OG205" s="212" t="n"/>
      <c r="OH205" s="212" t="n"/>
      <c r="OI205" s="212" t="n"/>
      <c r="OJ205" s="212" t="n"/>
      <c r="OK205" s="212" t="n"/>
      <c r="OL205" s="212" t="n"/>
      <c r="OM205" s="212" t="n"/>
      <c r="ON205" s="212" t="n"/>
      <c r="OO205" s="212" t="n"/>
      <c r="OP205" s="212" t="n"/>
      <c r="OQ205" s="212" t="n"/>
      <c r="OR205" s="212" t="n"/>
      <c r="OS205" s="212" t="n"/>
      <c r="OT205" s="212" t="n"/>
      <c r="OU205" s="212" t="n"/>
      <c r="OV205" s="212" t="n"/>
      <c r="OW205" s="212" t="n"/>
      <c r="OX205" s="212" t="n"/>
      <c r="OY205" s="212" t="n"/>
      <c r="OZ205" s="212" t="n"/>
      <c r="PA205" s="212" t="n"/>
      <c r="PB205" s="212" t="n"/>
      <c r="PC205" s="212" t="n"/>
      <c r="PD205" s="212" t="n"/>
      <c r="PE205" s="212" t="n"/>
      <c r="PF205" s="212" t="n"/>
      <c r="PG205" s="212" t="n"/>
      <c r="PH205" s="212" t="n"/>
      <c r="PI205" s="212" t="n"/>
      <c r="PJ205" s="212" t="n"/>
      <c r="PK205" s="212" t="n"/>
      <c r="PL205" s="212" t="n"/>
      <c r="PM205" s="212" t="n"/>
      <c r="PN205" s="212" t="n"/>
      <c r="PO205" s="212" t="n"/>
      <c r="PP205" s="212" t="n"/>
      <c r="PQ205" s="212" t="n"/>
      <c r="PR205" s="212" t="n"/>
      <c r="PS205" s="212" t="n"/>
      <c r="PT205" s="212" t="n"/>
      <c r="PU205" s="212" t="n"/>
      <c r="PV205" s="212" t="n"/>
      <c r="PW205" s="212" t="n"/>
      <c r="PX205" s="212" t="n"/>
      <c r="PY205" s="212" t="n"/>
      <c r="PZ205" s="212" t="n"/>
      <c r="QA205" s="212" t="n"/>
      <c r="QB205" s="212" t="n"/>
      <c r="QC205" s="212" t="n"/>
      <c r="QD205" s="212" t="n"/>
      <c r="QE205" s="212" t="n"/>
      <c r="QF205" s="212" t="n"/>
      <c r="QG205" s="212" t="n"/>
      <c r="QH205" s="212" t="n"/>
      <c r="QI205" s="212" t="n"/>
      <c r="QJ205" s="212" t="n"/>
      <c r="QK205" s="212" t="n"/>
      <c r="QL205" s="212" t="n"/>
      <c r="QM205" s="212" t="n"/>
      <c r="QN205" s="212" t="n"/>
      <c r="QO205" s="212" t="n"/>
      <c r="QP205" s="212" t="n"/>
      <c r="QQ205" s="212" t="n"/>
      <c r="QR205" s="212" t="n"/>
      <c r="QS205" s="212" t="n"/>
      <c r="QT205" s="212" t="n"/>
      <c r="QU205" s="212" t="n"/>
      <c r="QV205" s="212" t="n"/>
      <c r="QW205" s="212" t="n"/>
      <c r="QX205" s="212" t="n"/>
      <c r="QY205" s="212" t="n"/>
      <c r="QZ205" s="212" t="n"/>
      <c r="RA205" s="212" t="n"/>
      <c r="RB205" s="212" t="n"/>
      <c r="RC205" s="212" t="n"/>
      <c r="RD205" s="212" t="n"/>
      <c r="RE205" s="212" t="n"/>
      <c r="RF205" s="212" t="n"/>
      <c r="RG205" s="212" t="n"/>
      <c r="RH205" s="212" t="n"/>
      <c r="RI205" s="212" t="n"/>
      <c r="RJ205" s="212" t="n"/>
      <c r="RK205" s="212" t="n"/>
      <c r="RL205" s="212" t="n"/>
      <c r="RM205" s="212" t="n"/>
      <c r="RN205" s="212" t="n"/>
      <c r="RO205" s="212" t="n"/>
      <c r="RP205" s="212" t="n"/>
      <c r="RQ205" s="212" t="n"/>
      <c r="RR205" s="212" t="n"/>
      <c r="RS205" s="212" t="n"/>
      <c r="RT205" s="212" t="n"/>
      <c r="RU205" s="212" t="n"/>
      <c r="RV205" s="212" t="n"/>
      <c r="RW205" s="212" t="n"/>
      <c r="RX205" s="212" t="n"/>
      <c r="RY205" s="212" t="n"/>
      <c r="RZ205" s="212" t="n"/>
      <c r="SA205" s="212" t="n"/>
      <c r="SB205" s="212" t="n"/>
      <c r="SC205" s="212" t="n"/>
      <c r="SD205" s="212" t="n"/>
      <c r="SE205" s="212" t="n"/>
      <c r="SF205" s="212" t="n"/>
      <c r="SG205" s="212" t="n"/>
      <c r="SH205" s="212" t="n"/>
      <c r="SI205" s="212" t="n"/>
      <c r="SJ205" s="212" t="n"/>
      <c r="SK205" s="212" t="n"/>
      <c r="SL205" s="212" t="n"/>
      <c r="SM205" s="212" t="n"/>
      <c r="SN205" s="212" t="n"/>
      <c r="SO205" s="212" t="n"/>
      <c r="SP205" s="212" t="n"/>
      <c r="SQ205" s="212" t="n"/>
      <c r="SR205" s="212" t="n"/>
      <c r="SS205" s="212" t="n"/>
      <c r="ST205" s="212" t="n"/>
      <c r="SU205" s="212" t="n"/>
      <c r="SV205" s="212" t="n"/>
    </row>
    <row r="206">
      <c r="B206" s="209" t="n"/>
      <c r="C206" s="209" t="n"/>
      <c r="D206" s="209" t="n"/>
      <c r="E206" s="209" t="n"/>
      <c r="F206" s="209">
        <f>IF(TRIM(D206&amp;E206)="","",TRIM(D206)&amp;" "&amp;TRIM(E206))</f>
        <v/>
      </c>
      <c r="G206" s="209" t="n"/>
      <c r="H206" s="209" t="n"/>
      <c r="I206" s="209" t="n"/>
      <c r="J206" s="209" t="n"/>
      <c r="K206" s="209" t="n"/>
      <c r="L206" s="209" t="n"/>
      <c r="M206" s="209" t="n"/>
      <c r="N206" s="209" t="n"/>
      <c r="O206" s="209" t="n"/>
      <c r="P206" s="209" t="n"/>
      <c r="Q206" s="209" t="n"/>
      <c r="R206" s="209" t="n"/>
      <c r="S206" s="212" t="n"/>
      <c r="T206" s="212" t="n"/>
      <c r="U206" s="212" t="n"/>
      <c r="V206" s="212" t="n"/>
      <c r="W206" s="212" t="n"/>
      <c r="X206" s="212" t="n"/>
      <c r="Y206" s="212" t="n"/>
      <c r="Z206" s="212" t="n"/>
      <c r="AA206" s="212" t="n"/>
      <c r="AB206" s="212" t="n"/>
      <c r="AC206" s="212" t="n"/>
      <c r="AD206" s="212" t="n"/>
      <c r="AE206" s="212" t="n"/>
      <c r="AF206" s="212" t="n"/>
      <c r="AG206" s="212" t="n"/>
      <c r="AH206" s="212" t="n"/>
      <c r="AI206" s="212" t="n"/>
      <c r="AJ206" s="212" t="n"/>
      <c r="AK206" s="212" t="n"/>
      <c r="AL206" s="212" t="n"/>
      <c r="AM206" s="212" t="n"/>
      <c r="AN206" s="212" t="n"/>
      <c r="AO206" s="212" t="n"/>
      <c r="AP206" s="212" t="n"/>
      <c r="AQ206" s="212" t="n"/>
      <c r="AR206" s="212" t="n"/>
      <c r="AS206" s="212" t="n"/>
      <c r="AT206" s="212" t="n"/>
      <c r="AU206" s="212" t="n"/>
      <c r="AV206" s="212" t="n"/>
      <c r="AW206" s="212" t="n"/>
      <c r="AX206" s="212" t="n"/>
      <c r="AY206" s="212" t="n"/>
      <c r="AZ206" s="212" t="n"/>
      <c r="BA206" s="212" t="n"/>
      <c r="BB206" s="212" t="n"/>
      <c r="BC206" s="212" t="n"/>
      <c r="BD206" s="212" t="n"/>
      <c r="BE206" s="212" t="n"/>
      <c r="BF206" s="212" t="n"/>
      <c r="BG206" s="212" t="n"/>
      <c r="BH206" s="212" t="n"/>
      <c r="BI206" s="212" t="n"/>
      <c r="BJ206" s="212" t="n"/>
      <c r="BK206" s="212" t="n"/>
      <c r="BL206" s="212" t="n"/>
      <c r="BM206" s="212" t="n"/>
      <c r="BN206" s="212" t="n"/>
      <c r="BO206" s="212" t="n"/>
      <c r="BP206" s="212" t="n"/>
      <c r="BQ206" s="212" t="n"/>
      <c r="BR206" s="212" t="n"/>
      <c r="BS206" s="212" t="n"/>
      <c r="BT206" s="212" t="n"/>
      <c r="BU206" s="212" t="n"/>
      <c r="BV206" s="212" t="n"/>
      <c r="BW206" s="212" t="n"/>
      <c r="BX206" s="212" t="n"/>
      <c r="BY206" s="212" t="n"/>
      <c r="BZ206" s="212" t="n"/>
      <c r="CA206" s="212" t="n"/>
      <c r="CB206" s="212" t="n"/>
      <c r="CC206" s="212" t="n"/>
      <c r="CD206" s="212" t="n"/>
      <c r="CE206" s="212" t="n"/>
      <c r="CF206" s="212" t="n"/>
      <c r="CG206" s="212" t="n"/>
      <c r="CH206" s="212" t="n"/>
      <c r="CI206" s="212" t="n"/>
      <c r="CJ206" s="212" t="n"/>
      <c r="CK206" s="212" t="n"/>
      <c r="CL206" s="212" t="n"/>
      <c r="CM206" s="212" t="n"/>
      <c r="CN206" s="212" t="n"/>
      <c r="CO206" s="212" t="n"/>
      <c r="CP206" s="212" t="n"/>
      <c r="CQ206" s="212" t="n"/>
      <c r="CR206" s="212" t="n"/>
      <c r="CS206" s="212" t="n"/>
      <c r="CT206" s="212" t="n"/>
      <c r="CU206" s="212" t="n"/>
      <c r="CV206" s="212" t="n"/>
      <c r="CW206" s="212" t="n"/>
      <c r="CX206" s="212" t="n"/>
      <c r="CY206" s="212" t="n"/>
      <c r="CZ206" s="212" t="n"/>
      <c r="DA206" s="212" t="n"/>
      <c r="DB206" s="212" t="n"/>
      <c r="DC206" s="212" t="n"/>
      <c r="DD206" s="212" t="n"/>
      <c r="DE206" s="212" t="n"/>
      <c r="DF206" s="212" t="n"/>
      <c r="DG206" s="212" t="n"/>
      <c r="DH206" s="212" t="n"/>
      <c r="DI206" s="212" t="n"/>
      <c r="DJ206" s="212" t="n"/>
      <c r="DK206" s="212" t="n"/>
      <c r="DL206" s="212" t="n"/>
      <c r="DM206" s="212" t="n"/>
      <c r="DN206" s="212" t="n"/>
      <c r="DO206" s="212" t="n"/>
      <c r="DP206" s="212" t="n"/>
      <c r="DQ206" s="212" t="n"/>
      <c r="DR206" s="212" t="n"/>
      <c r="DS206" s="212" t="n"/>
      <c r="DT206" s="212" t="n"/>
      <c r="DU206" s="212" t="n"/>
      <c r="DV206" s="212" t="n"/>
      <c r="DW206" s="212" t="n"/>
      <c r="DX206" s="212" t="n"/>
      <c r="DY206" s="212" t="n"/>
      <c r="DZ206" s="212" t="n"/>
      <c r="EA206" s="212" t="n"/>
      <c r="EB206" s="212" t="n"/>
      <c r="EC206" s="212" t="n"/>
      <c r="ED206" s="212" t="n"/>
      <c r="EE206" s="212" t="n"/>
      <c r="EF206" s="212" t="n"/>
      <c r="EG206" s="212" t="n"/>
      <c r="EH206" s="212" t="n"/>
      <c r="EI206" s="212" t="n"/>
      <c r="EJ206" s="212" t="n"/>
      <c r="EK206" s="212" t="n"/>
      <c r="EL206" s="212" t="n"/>
      <c r="EM206" s="212" t="n"/>
      <c r="EN206" s="212" t="n"/>
      <c r="EO206" s="212" t="n"/>
      <c r="EP206" s="212" t="n"/>
      <c r="EQ206" s="212" t="n"/>
      <c r="ER206" s="212" t="n"/>
      <c r="ES206" s="212" t="n"/>
      <c r="ET206" s="212" t="n"/>
      <c r="EU206" s="212" t="n"/>
      <c r="EV206" s="212" t="n"/>
      <c r="EW206" s="212" t="n"/>
      <c r="EX206" s="212" t="n"/>
      <c r="EY206" s="212" t="n"/>
      <c r="EZ206" s="212" t="n"/>
      <c r="FA206" s="212" t="n"/>
      <c r="FB206" s="212" t="n"/>
      <c r="FC206" s="212" t="n"/>
      <c r="FD206" s="212" t="n"/>
      <c r="FE206" s="212" t="n"/>
      <c r="FF206" s="212" t="n"/>
      <c r="FG206" s="212" t="n"/>
      <c r="FH206" s="212" t="n"/>
      <c r="FI206" s="212" t="n"/>
      <c r="FJ206" s="212" t="n"/>
      <c r="FK206" s="212" t="n"/>
      <c r="FL206" s="212" t="n"/>
      <c r="FM206" s="212" t="n"/>
      <c r="FN206" s="212" t="n"/>
      <c r="FO206" s="212" t="n"/>
      <c r="FP206" s="212" t="n"/>
      <c r="FQ206" s="212" t="n"/>
      <c r="FR206" s="212" t="n"/>
      <c r="FS206" s="212" t="n"/>
      <c r="FT206" s="212" t="n"/>
      <c r="FU206" s="212" t="n"/>
      <c r="FV206" s="212" t="n"/>
      <c r="FW206" s="212" t="n"/>
      <c r="FX206" s="212" t="n"/>
      <c r="FY206" s="212" t="n"/>
      <c r="FZ206" s="212" t="n"/>
      <c r="GA206" s="212" t="n"/>
      <c r="GB206" s="212" t="n"/>
      <c r="GC206" s="212" t="n"/>
      <c r="GD206" s="212" t="n"/>
      <c r="GE206" s="212" t="n"/>
      <c r="GF206" s="212" t="n"/>
      <c r="GG206" s="212" t="n"/>
      <c r="GH206" s="212" t="n"/>
      <c r="GI206" s="212" t="n"/>
      <c r="GJ206" s="212" t="n"/>
      <c r="GK206" s="212" t="n"/>
      <c r="GL206" s="212" t="n"/>
      <c r="GM206" s="212" t="n"/>
      <c r="GN206" s="212" t="n"/>
      <c r="GO206" s="212" t="n"/>
      <c r="GP206" s="212" t="n"/>
      <c r="GQ206" s="212" t="n"/>
      <c r="GR206" s="212" t="n"/>
      <c r="GS206" s="212" t="n"/>
      <c r="GT206" s="212" t="n"/>
      <c r="GU206" s="212" t="n"/>
      <c r="GV206" s="212" t="n"/>
      <c r="GW206" s="212" t="n"/>
      <c r="GX206" s="212" t="n"/>
      <c r="GY206" s="212" t="n"/>
      <c r="GZ206" s="212" t="n"/>
      <c r="HA206" s="212" t="n"/>
      <c r="HB206" s="212" t="n"/>
      <c r="HC206" s="212" t="n"/>
      <c r="HD206" s="212" t="n"/>
      <c r="HE206" s="212" t="n"/>
      <c r="HF206" s="212" t="n"/>
      <c r="HG206" s="212" t="n"/>
      <c r="HH206" s="212" t="n"/>
      <c r="HI206" s="212" t="n"/>
      <c r="HJ206" s="212" t="n"/>
      <c r="HK206" s="212" t="n"/>
      <c r="HL206" s="212" t="n"/>
      <c r="HM206" s="212" t="n"/>
      <c r="HN206" s="212" t="n"/>
      <c r="HO206" s="212" t="n"/>
      <c r="HP206" s="212" t="n"/>
      <c r="HQ206" s="212" t="n"/>
      <c r="HR206" s="212" t="n"/>
      <c r="HS206" s="212" t="n"/>
      <c r="HT206" s="212" t="n"/>
      <c r="HU206" s="212" t="n"/>
      <c r="HV206" s="212" t="n"/>
      <c r="HW206" s="212" t="n"/>
      <c r="HX206" s="212" t="n"/>
      <c r="HY206" s="212" t="n"/>
      <c r="HZ206" s="212" t="n"/>
      <c r="IA206" s="212" t="n"/>
      <c r="IB206" s="212" t="n"/>
      <c r="IC206" s="212" t="n"/>
      <c r="ID206" s="212" t="n"/>
      <c r="IE206" s="212" t="n"/>
      <c r="IF206" s="212" t="n"/>
      <c r="IG206" s="212" t="n"/>
      <c r="IH206" s="212" t="n"/>
      <c r="II206" s="212" t="n"/>
      <c r="IJ206" s="212" t="n"/>
      <c r="IK206" s="212" t="n"/>
      <c r="IL206" s="212" t="n"/>
      <c r="IM206" s="212" t="n"/>
      <c r="IN206" s="212" t="n"/>
      <c r="IO206" s="212" t="n"/>
      <c r="IP206" s="212" t="n"/>
      <c r="IQ206" s="212" t="n"/>
      <c r="IR206" s="212" t="n"/>
      <c r="IS206" s="212" t="n"/>
      <c r="IT206" s="212" t="n"/>
      <c r="IU206" s="212" t="n"/>
      <c r="IV206" s="212" t="n"/>
      <c r="IW206" s="212" t="n"/>
      <c r="IX206" s="212" t="n"/>
      <c r="IY206" s="212" t="n"/>
      <c r="IZ206" s="212" t="n"/>
      <c r="JA206" s="212" t="n"/>
      <c r="JB206" s="212" t="n"/>
      <c r="JC206" s="212" t="n"/>
      <c r="JD206" s="212" t="n"/>
      <c r="JE206" s="212" t="n"/>
      <c r="JF206" s="212" t="n"/>
      <c r="JG206" s="212" t="n"/>
      <c r="JH206" s="212" t="n"/>
      <c r="JI206" s="212" t="n"/>
      <c r="JJ206" s="212" t="n"/>
      <c r="JK206" s="212" t="n"/>
      <c r="JL206" s="212" t="n"/>
      <c r="JM206" s="212" t="n"/>
      <c r="JN206" s="212" t="n"/>
      <c r="JO206" s="212" t="n"/>
      <c r="JP206" s="212" t="n"/>
      <c r="JQ206" s="212" t="n"/>
      <c r="JR206" s="212" t="n"/>
      <c r="JS206" s="212" t="n"/>
      <c r="JT206" s="212" t="n"/>
      <c r="JU206" s="212" t="n"/>
      <c r="JV206" s="212" t="n"/>
      <c r="JW206" s="212" t="n"/>
      <c r="JX206" s="212" t="n"/>
      <c r="JY206" s="212" t="n"/>
      <c r="JZ206" s="212" t="n"/>
      <c r="KA206" s="212" t="n"/>
      <c r="KB206" s="212" t="n"/>
      <c r="KC206" s="212" t="n"/>
      <c r="KD206" s="212" t="n"/>
      <c r="KE206" s="212" t="n"/>
      <c r="KF206" s="212" t="n"/>
      <c r="KG206" s="212" t="n"/>
      <c r="KH206" s="212" t="n"/>
      <c r="KI206" s="212" t="n"/>
      <c r="KJ206" s="212" t="n"/>
      <c r="KK206" s="212" t="n"/>
      <c r="KL206" s="212" t="n"/>
      <c r="KM206" s="212" t="n"/>
      <c r="KN206" s="212" t="n"/>
      <c r="KO206" s="212" t="n"/>
      <c r="KP206" s="212" t="n"/>
      <c r="KQ206" s="212" t="n"/>
      <c r="KR206" s="212" t="n"/>
      <c r="KS206" s="212" t="n"/>
      <c r="KT206" s="212" t="n"/>
      <c r="KU206" s="212" t="n"/>
      <c r="KV206" s="212" t="n"/>
      <c r="KW206" s="212" t="n"/>
      <c r="KX206" s="212" t="n"/>
      <c r="KY206" s="212" t="n"/>
      <c r="KZ206" s="212" t="n"/>
      <c r="LA206" s="212" t="n"/>
      <c r="LB206" s="212" t="n"/>
      <c r="LC206" s="212" t="n"/>
      <c r="LD206" s="212" t="n"/>
      <c r="LE206" s="212" t="n"/>
      <c r="LF206" s="212" t="n"/>
      <c r="LG206" s="212" t="n"/>
      <c r="LH206" s="212" t="n"/>
      <c r="LI206" s="212" t="n"/>
      <c r="LJ206" s="212" t="n"/>
      <c r="LK206" s="212" t="n"/>
      <c r="LL206" s="212" t="n"/>
      <c r="LM206" s="212" t="n"/>
      <c r="LN206" s="212" t="n"/>
      <c r="LO206" s="212" t="n"/>
      <c r="LP206" s="212" t="n"/>
      <c r="LQ206" s="212" t="n"/>
      <c r="LR206" s="212" t="n"/>
      <c r="LS206" s="212" t="n"/>
      <c r="LT206" s="212" t="n"/>
      <c r="LU206" s="212" t="n"/>
      <c r="LV206" s="212" t="n"/>
      <c r="LW206" s="212" t="n"/>
      <c r="LX206" s="212" t="n"/>
      <c r="LY206" s="212" t="n"/>
      <c r="LZ206" s="212" t="n"/>
      <c r="MA206" s="212" t="n"/>
      <c r="MB206" s="212" t="n"/>
      <c r="MC206" s="212" t="n"/>
      <c r="MD206" s="212" t="n"/>
      <c r="ME206" s="212" t="n"/>
      <c r="MF206" s="212" t="n"/>
      <c r="MG206" s="212" t="n"/>
      <c r="MH206" s="212" t="n"/>
      <c r="MI206" s="212" t="n"/>
      <c r="MJ206" s="212" t="n"/>
      <c r="MK206" s="212" t="n"/>
      <c r="ML206" s="212" t="n"/>
      <c r="MM206" s="212" t="n"/>
      <c r="MN206" s="212" t="n"/>
      <c r="MO206" s="212" t="n"/>
      <c r="MP206" s="212" t="n"/>
      <c r="MQ206" s="212" t="n"/>
      <c r="MR206" s="212" t="n"/>
      <c r="MS206" s="212" t="n"/>
      <c r="MT206" s="212" t="n"/>
      <c r="MU206" s="212" t="n"/>
      <c r="MV206" s="212" t="n"/>
      <c r="MW206" s="212" t="n"/>
      <c r="MX206" s="212" t="n"/>
      <c r="MY206" s="212" t="n"/>
      <c r="MZ206" s="212" t="n"/>
      <c r="NA206" s="212" t="n"/>
      <c r="NB206" s="212" t="n"/>
      <c r="NC206" s="212" t="n"/>
      <c r="ND206" s="212" t="n"/>
      <c r="NE206" s="212" t="n"/>
      <c r="NF206" s="212" t="n"/>
      <c r="NG206" s="212" t="n"/>
      <c r="NH206" s="212" t="n"/>
      <c r="NI206" s="212" t="n"/>
      <c r="NJ206" s="212" t="n"/>
      <c r="NK206" s="212" t="n"/>
      <c r="NL206" s="212" t="n"/>
      <c r="NM206" s="212" t="n"/>
      <c r="NN206" s="212" t="n"/>
      <c r="NO206" s="212" t="n"/>
      <c r="NP206" s="212" t="n"/>
      <c r="NQ206" s="212" t="n"/>
      <c r="NR206" s="212" t="n"/>
      <c r="NS206" s="212" t="n"/>
      <c r="NT206" s="212" t="n"/>
      <c r="NU206" s="212" t="n"/>
      <c r="NV206" s="212" t="n"/>
      <c r="NW206" s="212" t="n"/>
      <c r="NX206" s="212" t="n"/>
      <c r="NY206" s="212" t="n"/>
      <c r="NZ206" s="212" t="n"/>
      <c r="OA206" s="212" t="n"/>
      <c r="OB206" s="212" t="n"/>
      <c r="OC206" s="212" t="n"/>
      <c r="OD206" s="212" t="n"/>
      <c r="OE206" s="212" t="n"/>
      <c r="OF206" s="212" t="n"/>
      <c r="OG206" s="212" t="n"/>
      <c r="OH206" s="212" t="n"/>
      <c r="OI206" s="212" t="n"/>
      <c r="OJ206" s="212" t="n"/>
      <c r="OK206" s="212" t="n"/>
      <c r="OL206" s="212" t="n"/>
      <c r="OM206" s="212" t="n"/>
      <c r="ON206" s="212" t="n"/>
      <c r="OO206" s="212" t="n"/>
      <c r="OP206" s="212" t="n"/>
      <c r="OQ206" s="212" t="n"/>
      <c r="OR206" s="212" t="n"/>
      <c r="OS206" s="212" t="n"/>
      <c r="OT206" s="212" t="n"/>
      <c r="OU206" s="212" t="n"/>
      <c r="OV206" s="212" t="n"/>
      <c r="OW206" s="212" t="n"/>
      <c r="OX206" s="212" t="n"/>
      <c r="OY206" s="212" t="n"/>
      <c r="OZ206" s="212" t="n"/>
      <c r="PA206" s="212" t="n"/>
      <c r="PB206" s="212" t="n"/>
      <c r="PC206" s="212" t="n"/>
      <c r="PD206" s="212" t="n"/>
      <c r="PE206" s="212" t="n"/>
      <c r="PF206" s="212" t="n"/>
      <c r="PG206" s="212" t="n"/>
      <c r="PH206" s="212" t="n"/>
      <c r="PI206" s="212" t="n"/>
      <c r="PJ206" s="212" t="n"/>
      <c r="PK206" s="212" t="n"/>
      <c r="PL206" s="212" t="n"/>
      <c r="PM206" s="212" t="n"/>
      <c r="PN206" s="212" t="n"/>
      <c r="PO206" s="212" t="n"/>
      <c r="PP206" s="212" t="n"/>
      <c r="PQ206" s="212" t="n"/>
      <c r="PR206" s="212" t="n"/>
      <c r="PS206" s="212" t="n"/>
      <c r="PT206" s="212" t="n"/>
      <c r="PU206" s="212" t="n"/>
      <c r="PV206" s="212" t="n"/>
      <c r="PW206" s="212" t="n"/>
      <c r="PX206" s="212" t="n"/>
      <c r="PY206" s="212" t="n"/>
      <c r="PZ206" s="212" t="n"/>
      <c r="QA206" s="212" t="n"/>
      <c r="QB206" s="212" t="n"/>
      <c r="QC206" s="212" t="n"/>
      <c r="QD206" s="212" t="n"/>
      <c r="QE206" s="212" t="n"/>
      <c r="QF206" s="212" t="n"/>
      <c r="QG206" s="212" t="n"/>
      <c r="QH206" s="212" t="n"/>
      <c r="QI206" s="212" t="n"/>
      <c r="QJ206" s="212" t="n"/>
      <c r="QK206" s="212" t="n"/>
      <c r="QL206" s="212" t="n"/>
      <c r="QM206" s="212" t="n"/>
      <c r="QN206" s="212" t="n"/>
      <c r="QO206" s="212" t="n"/>
      <c r="QP206" s="212" t="n"/>
      <c r="QQ206" s="212" t="n"/>
      <c r="QR206" s="212" t="n"/>
      <c r="QS206" s="212" t="n"/>
      <c r="QT206" s="212" t="n"/>
      <c r="QU206" s="212" t="n"/>
      <c r="QV206" s="212" t="n"/>
      <c r="QW206" s="212" t="n"/>
      <c r="QX206" s="212" t="n"/>
      <c r="QY206" s="212" t="n"/>
      <c r="QZ206" s="212" t="n"/>
      <c r="RA206" s="212" t="n"/>
      <c r="RB206" s="212" t="n"/>
      <c r="RC206" s="212" t="n"/>
      <c r="RD206" s="212" t="n"/>
      <c r="RE206" s="212" t="n"/>
      <c r="RF206" s="212" t="n"/>
      <c r="RG206" s="212" t="n"/>
      <c r="RH206" s="212" t="n"/>
      <c r="RI206" s="212" t="n"/>
      <c r="RJ206" s="212" t="n"/>
      <c r="RK206" s="212" t="n"/>
      <c r="RL206" s="212" t="n"/>
      <c r="RM206" s="212" t="n"/>
      <c r="RN206" s="212" t="n"/>
      <c r="RO206" s="212" t="n"/>
      <c r="RP206" s="212" t="n"/>
      <c r="RQ206" s="212" t="n"/>
      <c r="RR206" s="212" t="n"/>
      <c r="RS206" s="212" t="n"/>
      <c r="RT206" s="212" t="n"/>
      <c r="RU206" s="212" t="n"/>
      <c r="RV206" s="212" t="n"/>
      <c r="RW206" s="212" t="n"/>
      <c r="RX206" s="212" t="n"/>
      <c r="RY206" s="212" t="n"/>
      <c r="RZ206" s="212" t="n"/>
      <c r="SA206" s="212" t="n"/>
      <c r="SB206" s="212" t="n"/>
      <c r="SC206" s="212" t="n"/>
      <c r="SD206" s="212" t="n"/>
      <c r="SE206" s="212" t="n"/>
      <c r="SF206" s="212" t="n"/>
      <c r="SG206" s="212" t="n"/>
      <c r="SH206" s="212" t="n"/>
      <c r="SI206" s="212" t="n"/>
      <c r="SJ206" s="212" t="n"/>
      <c r="SK206" s="212" t="n"/>
      <c r="SL206" s="212" t="n"/>
      <c r="SM206" s="212" t="n"/>
      <c r="SN206" s="212" t="n"/>
      <c r="SO206" s="212" t="n"/>
      <c r="SP206" s="212" t="n"/>
      <c r="SQ206" s="212" t="n"/>
      <c r="SR206" s="212" t="n"/>
      <c r="SS206" s="212" t="n"/>
      <c r="ST206" s="212" t="n"/>
      <c r="SU206" s="212" t="n"/>
      <c r="SV206" s="212" t="n"/>
    </row>
  </sheetData>
  <mergeCells count="8">
    <mergeCell ref="C1:D1"/>
    <mergeCell ref="G1:H1"/>
    <mergeCell ref="E1:F1"/>
    <mergeCell ref="K1:L1"/>
    <mergeCell ref="B2:R2"/>
    <mergeCell ref="O1:P1"/>
    <mergeCell ref="M1:N1"/>
    <mergeCell ref="I1:J1"/>
  </mergeCells>
  <conditionalFormatting sqref="S3:SV4">
    <cfRule type="expression" priority="1" dxfId="23">
      <formula>S$4=Settings!$C$8</formula>
    </cfRule>
  </conditionalFormatting>
  <dataValidations count="1">
    <dataValidation sqref="I6:L206" showDropDown="0" showInputMessage="0" showErrorMessage="0" allowBlank="1" type="list">
      <formula1>"YES,NO,REQ,TBA,TBC"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8102E"/>
    <outlinePr summaryBelow="1" summaryRight="1"/>
    <pageSetUpPr/>
  </sheetPr>
  <dimension ref="B1:H1504"/>
  <sheetViews>
    <sheetView showGridLines="0" tabSelected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53" min="2" max="2"/>
    <col width="14" customWidth="1" style="53" min="3" max="3"/>
    <col width="26" customWidth="1" style="53" min="4" max="4"/>
    <col width="14" customWidth="1" style="53" min="5" max="5"/>
    <col width="26" customWidth="1" style="53" min="6" max="6"/>
    <col width="28" customWidth="1" style="53" min="7" max="7"/>
    <col width="30" customWidth="1" style="53" min="8" max="8"/>
  </cols>
  <sheetData>
    <row r="1" ht="34" customHeight="1" s="53">
      <c r="B1" s="202" t="inlineStr">
        <is>
          <t>▶  INPUT HERE  -  NPI travel &amp; accommodation bookings. Update the Status column as each booking moves along; add new rows at the bottom.</t>
        </is>
      </c>
      <c r="C1" s="203" t="n"/>
      <c r="D1" s="203" t="n"/>
      <c r="E1" s="203" t="n"/>
      <c r="F1" s="203" t="n"/>
      <c r="G1" s="203" t="n"/>
      <c r="H1" s="203" t="n"/>
    </row>
    <row r="2">
      <c r="B2" s="164" t="inlineStr">
        <is>
          <t>Loaded from the roster cell colours on 22 Oct 2026 for every site / travel day from today. Status drives the "bookings pending" figures on the Dashboard.</t>
        </is>
      </c>
    </row>
    <row r="4">
      <c r="B4" s="125" t="inlineStr">
        <is>
          <t>Name</t>
        </is>
      </c>
      <c r="C4" s="125" t="inlineStr">
        <is>
          <t>Company</t>
        </is>
      </c>
      <c r="D4" s="125" t="inlineStr">
        <is>
          <t>Crew</t>
        </is>
      </c>
      <c r="E4" s="125" t="inlineStr">
        <is>
          <t>Date</t>
        </is>
      </c>
      <c r="F4" s="125" t="inlineStr">
        <is>
          <t>Roster entry</t>
        </is>
      </c>
      <c r="G4" s="125" t="inlineStr">
        <is>
          <t>Status</t>
        </is>
      </c>
      <c r="H4" s="125" t="inlineStr">
        <is>
          <t>NPI ref / notes</t>
        </is>
      </c>
    </row>
    <row r="5">
      <c r="B5" s="227" t="inlineStr">
        <is>
          <t>Aaron Pick</t>
        </is>
      </c>
      <c r="C5" s="227" t="inlineStr">
        <is>
          <t>LGC</t>
        </is>
      </c>
      <c r="D5" s="227" t="inlineStr">
        <is>
          <t>Roster B- Electrical Team 2 (5x)</t>
        </is>
      </c>
      <c r="E5" s="228" t="n">
        <v>46317</v>
      </c>
      <c r="F5" s="192" t="inlineStr">
        <is>
          <t>RDM</t>
        </is>
      </c>
      <c r="G5" s="227" t="inlineStr">
        <is>
          <t>Confirmed (bright green - check)</t>
        </is>
      </c>
      <c r="H5" s="227" t="n"/>
    </row>
    <row r="6">
      <c r="B6" s="227" t="inlineStr">
        <is>
          <t>Abdallah Joudeh</t>
        </is>
      </c>
      <c r="C6" s="227" t="inlineStr">
        <is>
          <t>Wabtec</t>
        </is>
      </c>
      <c r="D6" s="227" t="inlineStr">
        <is>
          <t>Management HSE / CM ( 2x)</t>
        </is>
      </c>
      <c r="E6" s="228" t="n">
        <v>46317</v>
      </c>
      <c r="F6" s="192" t="inlineStr">
        <is>
          <t>LND</t>
        </is>
      </c>
      <c r="G6" s="227" t="inlineStr">
        <is>
          <t>Double checked</t>
        </is>
      </c>
      <c r="H6" s="227" t="n"/>
    </row>
    <row r="7">
      <c r="B7" s="227" t="inlineStr">
        <is>
          <t>Andrew Burger</t>
        </is>
      </c>
      <c r="C7" s="227" t="inlineStr">
        <is>
          <t>Wabtec</t>
        </is>
      </c>
      <c r="D7" s="227" t="inlineStr">
        <is>
          <t>Roster B - Civil Team 2 (4x)</t>
        </is>
      </c>
      <c r="E7" s="228" t="n">
        <v>46317</v>
      </c>
      <c r="F7" s="192" t="inlineStr">
        <is>
          <t>WRR</t>
        </is>
      </c>
      <c r="G7" s="227" t="inlineStr">
        <is>
          <t>Confirmed (bright green - check)</t>
        </is>
      </c>
      <c r="H7" s="227" t="n"/>
    </row>
    <row r="8">
      <c r="B8" s="227" t="inlineStr">
        <is>
          <t>Bruce Lamb</t>
        </is>
      </c>
      <c r="C8" s="227" t="inlineStr">
        <is>
          <t>Sentinel</t>
        </is>
      </c>
      <c r="D8" s="227" t="inlineStr">
        <is>
          <t>Track Protection Officers (Standby)</t>
        </is>
      </c>
      <c r="E8" s="228" t="n">
        <v>46317</v>
      </c>
      <c r="F8" s="192" t="inlineStr">
        <is>
          <t>RDM</t>
        </is>
      </c>
      <c r="G8" s="227" t="inlineStr">
        <is>
          <t>Confirmed (bright green - check)</t>
        </is>
      </c>
      <c r="H8" s="227" t="n"/>
    </row>
    <row r="9">
      <c r="B9" s="227" t="inlineStr">
        <is>
          <t>Cayde Summerfield</t>
        </is>
      </c>
      <c r="C9" s="227" t="inlineStr">
        <is>
          <t>SLM</t>
        </is>
      </c>
      <c r="D9" s="227" t="inlineStr">
        <is>
          <t>Roster B - Civil Team 2 (4x)</t>
        </is>
      </c>
      <c r="E9" s="228" t="n">
        <v>46317</v>
      </c>
      <c r="F9" s="192" t="inlineStr">
        <is>
          <t>WRR</t>
        </is>
      </c>
      <c r="G9" s="227" t="inlineStr">
        <is>
          <t>Confirmed (bright green - check)</t>
        </is>
      </c>
      <c r="H9" s="227" t="n"/>
    </row>
    <row r="10">
      <c r="B10" s="227" t="inlineStr">
        <is>
          <t>David Child</t>
        </is>
      </c>
      <c r="C10" s="227" t="inlineStr">
        <is>
          <t>Wabtec</t>
        </is>
      </c>
      <c r="D10" s="227" t="inlineStr">
        <is>
          <t>Roster B- Electrical Team 2 (5x)</t>
        </is>
      </c>
      <c r="E10" s="228" t="n">
        <v>46317</v>
      </c>
      <c r="F10" s="192" t="inlineStr">
        <is>
          <t>RDM</t>
        </is>
      </c>
      <c r="G10" s="227" t="inlineStr">
        <is>
          <t>Confirmed (bright green - check)</t>
        </is>
      </c>
      <c r="H10" s="227" t="n"/>
    </row>
    <row r="11">
      <c r="B11" s="227" t="inlineStr">
        <is>
          <t>David Keating</t>
        </is>
      </c>
      <c r="C11" s="227" t="inlineStr">
        <is>
          <t>Sentinel</t>
        </is>
      </c>
      <c r="D11" s="227" t="inlineStr">
        <is>
          <t>Track Protection Officers (Standby)</t>
        </is>
      </c>
      <c r="E11" s="228" t="n">
        <v>46317</v>
      </c>
      <c r="F11" s="192" t="inlineStr">
        <is>
          <t>WRR</t>
        </is>
      </c>
      <c r="G11" s="227" t="inlineStr">
        <is>
          <t>Confirmed (bright green - check)</t>
        </is>
      </c>
      <c r="H11" s="227" t="n"/>
    </row>
    <row r="12">
      <c r="B12" s="227" t="inlineStr">
        <is>
          <t>David McGowan</t>
        </is>
      </c>
      <c r="C12" s="227" t="inlineStr">
        <is>
          <t>Back Up</t>
        </is>
      </c>
      <c r="D12" s="227" t="inlineStr">
        <is>
          <t>Communication Specialist</t>
        </is>
      </c>
      <c r="E12" s="228" t="n">
        <v>46317</v>
      </c>
      <c r="F12" s="192" t="inlineStr">
        <is>
          <t>DI PM RDM</t>
        </is>
      </c>
      <c r="G12" s="227" t="inlineStr">
        <is>
          <t>New changes</t>
        </is>
      </c>
      <c r="H12" s="227" t="n"/>
    </row>
    <row r="13">
      <c r="B13" s="227" t="inlineStr">
        <is>
          <t>Declan Turner</t>
        </is>
      </c>
      <c r="C13" s="227" t="inlineStr">
        <is>
          <t>Wabtec</t>
        </is>
      </c>
      <c r="D13" s="227" t="inlineStr">
        <is>
          <t>Roster A - Electrical Team 1 (5x)</t>
        </is>
      </c>
      <c r="E13" s="228" t="n">
        <v>46317</v>
      </c>
      <c r="F13" s="192" t="inlineStr">
        <is>
          <t>WRR</t>
        </is>
      </c>
      <c r="G13" s="227" t="inlineStr">
        <is>
          <t>Confirmed (bright green - check)</t>
        </is>
      </c>
      <c r="H13" s="227" t="n"/>
    </row>
    <row r="14">
      <c r="B14" s="227" t="inlineStr">
        <is>
          <t>Elizabeth Kamana</t>
        </is>
      </c>
      <c r="C14" s="227" t="inlineStr">
        <is>
          <t>Sentinel</t>
        </is>
      </c>
      <c r="D14" s="227" t="inlineStr">
        <is>
          <t>Track Protection Officers (Standby)</t>
        </is>
      </c>
      <c r="E14" s="228" t="n">
        <v>46317</v>
      </c>
      <c r="F14" s="192" t="inlineStr">
        <is>
          <t>WRR</t>
        </is>
      </c>
      <c r="G14" s="227" t="inlineStr">
        <is>
          <t>Confirmed (bright green - check)</t>
        </is>
      </c>
      <c r="H14" s="227" t="n"/>
    </row>
    <row r="15">
      <c r="B15" s="227" t="inlineStr">
        <is>
          <t>Jacob Harding</t>
        </is>
      </c>
      <c r="C15" s="227" t="inlineStr">
        <is>
          <t>2XM</t>
        </is>
      </c>
      <c r="D15" s="227" t="inlineStr">
        <is>
          <t>Roster B- Electrical Team 2 (5x)</t>
        </is>
      </c>
      <c r="E15" s="228" t="n">
        <v>46317</v>
      </c>
      <c r="F15" s="192" t="inlineStr">
        <is>
          <t>RDM</t>
        </is>
      </c>
      <c r="G15" s="227" t="inlineStr">
        <is>
          <t>Confirmed (bright green - check)</t>
        </is>
      </c>
      <c r="H15" s="227" t="n"/>
    </row>
    <row r="16">
      <c r="B16" s="227" t="inlineStr">
        <is>
          <t>John Stephen</t>
        </is>
      </c>
      <c r="C16" s="227" t="inlineStr">
        <is>
          <t>Wabtec</t>
        </is>
      </c>
      <c r="D16" s="227" t="inlineStr">
        <is>
          <t>Logistics Team (4x)</t>
        </is>
      </c>
      <c r="E16" s="228" t="n">
        <v>46317</v>
      </c>
      <c r="F16" s="192" t="inlineStr">
        <is>
          <t>RDM</t>
        </is>
      </c>
      <c r="G16" s="227" t="inlineStr">
        <is>
          <t>Double checked</t>
        </is>
      </c>
      <c r="H16" s="227" t="n"/>
    </row>
    <row r="17">
      <c r="B17" s="227" t="inlineStr">
        <is>
          <t>Joseph Parker</t>
        </is>
      </c>
      <c r="C17" s="227" t="inlineStr">
        <is>
          <t>Wabtec</t>
        </is>
      </c>
      <c r="D17" s="227" t="inlineStr">
        <is>
          <t>Roster A - Electrical Team 1 (5x)</t>
        </is>
      </c>
      <c r="E17" s="228" t="n">
        <v>46317</v>
      </c>
      <c r="F17" s="192" t="inlineStr">
        <is>
          <t>WRR</t>
        </is>
      </c>
      <c r="G17" s="227" t="inlineStr">
        <is>
          <t>Confirmed (bright green - check)</t>
        </is>
      </c>
      <c r="H17" s="227" t="n"/>
    </row>
    <row r="18">
      <c r="B18" s="227" t="inlineStr">
        <is>
          <t>Keith Hale</t>
        </is>
      </c>
      <c r="C18" s="227" t="inlineStr">
        <is>
          <t>LGC Rail</t>
        </is>
      </c>
      <c r="D18" s="227" t="inlineStr">
        <is>
          <t>Logistics Team (4x)</t>
        </is>
      </c>
      <c r="E18" s="228" t="n">
        <v>46317</v>
      </c>
      <c r="F18" s="192" t="inlineStr">
        <is>
          <t>PHE/PER PM</t>
        </is>
      </c>
      <c r="G18" s="227" t="inlineStr">
        <is>
          <t>To be submitted</t>
        </is>
      </c>
      <c r="H18" s="227" t="n"/>
    </row>
    <row r="19">
      <c r="B19" s="227" t="inlineStr">
        <is>
          <t>Luke Watson</t>
        </is>
      </c>
      <c r="C19" s="227" t="inlineStr">
        <is>
          <t>Wabtec</t>
        </is>
      </c>
      <c r="D19" s="227" t="inlineStr">
        <is>
          <t>Roster B- Electrical Team 2 (5x)</t>
        </is>
      </c>
      <c r="E19" s="228" t="n">
        <v>46317</v>
      </c>
      <c r="F19" s="192" t="inlineStr">
        <is>
          <t>RDM</t>
        </is>
      </c>
      <c r="G19" s="227" t="inlineStr">
        <is>
          <t>Confirmed (bright green - check)</t>
        </is>
      </c>
      <c r="H19" s="227" t="n"/>
    </row>
    <row r="20">
      <c r="B20" s="227" t="inlineStr">
        <is>
          <t>Martin Smart</t>
        </is>
      </c>
      <c r="C20" s="227" t="inlineStr">
        <is>
          <t>STS</t>
        </is>
      </c>
      <c r="D20" s="227" t="inlineStr">
        <is>
          <t>Roster B- Electrical Team 2 (5x)</t>
        </is>
      </c>
      <c r="E20" s="228" t="n">
        <v>46317</v>
      </c>
      <c r="F20" s="192" t="inlineStr">
        <is>
          <t>RDM</t>
        </is>
      </c>
      <c r="G20" s="227" t="inlineStr">
        <is>
          <t>Confirmed (bright green - check)</t>
        </is>
      </c>
      <c r="H20" s="227" t="n"/>
    </row>
    <row r="21">
      <c r="B21" s="227" t="inlineStr">
        <is>
          <t>Ngang Chool</t>
        </is>
      </c>
      <c r="C21" s="227" t="inlineStr">
        <is>
          <t>LGC Rail</t>
        </is>
      </c>
      <c r="D21" s="227" t="inlineStr">
        <is>
          <t>Roster B - Civil Team 2 (4x)</t>
        </is>
      </c>
      <c r="E21" s="228" t="n">
        <v>46317</v>
      </c>
      <c r="F21" s="192" t="inlineStr">
        <is>
          <t>PER/ZNE PM WRR</t>
        </is>
      </c>
      <c r="G21" s="227" t="inlineStr">
        <is>
          <t>To be submitted</t>
        </is>
      </c>
      <c r="H21" s="227" t="n"/>
    </row>
    <row r="22">
      <c r="B22" s="227" t="inlineStr">
        <is>
          <t>Richard Lewis</t>
        </is>
      </c>
      <c r="C22" s="227" t="inlineStr">
        <is>
          <t>2XM</t>
        </is>
      </c>
      <c r="D22" s="227" t="inlineStr">
        <is>
          <t>Roster A - Electrical Team 1 (5x)</t>
        </is>
      </c>
      <c r="E22" s="228" t="n">
        <v>46317</v>
      </c>
      <c r="F22" s="192" t="inlineStr">
        <is>
          <t>WRR</t>
        </is>
      </c>
      <c r="G22" s="227" t="inlineStr">
        <is>
          <t>Confirmed (bright green - check)</t>
        </is>
      </c>
      <c r="H22" s="227" t="n"/>
    </row>
    <row r="23">
      <c r="B23" s="227" t="inlineStr">
        <is>
          <t>Stephen Anthony</t>
        </is>
      </c>
      <c r="C23" s="227" t="inlineStr">
        <is>
          <t>Wabtec</t>
        </is>
      </c>
      <c r="D23" s="227" t="inlineStr">
        <is>
          <t>Roster A - Electrical Team 1 (5x)</t>
        </is>
      </c>
      <c r="E23" s="228" t="n">
        <v>46317</v>
      </c>
      <c r="F23" s="192" t="inlineStr">
        <is>
          <t>WRR</t>
        </is>
      </c>
      <c r="G23" s="227" t="inlineStr">
        <is>
          <t>Confirmed (bright green - check)</t>
        </is>
      </c>
      <c r="H23" s="227" t="n"/>
    </row>
    <row r="24">
      <c r="B24" s="227" t="inlineStr">
        <is>
          <t>William Stoneman</t>
        </is>
      </c>
      <c r="C24" s="227" t="inlineStr">
        <is>
          <t>SLM</t>
        </is>
      </c>
      <c r="D24" s="227" t="inlineStr">
        <is>
          <t>Roster B - Civil Team 2 (4x)</t>
        </is>
      </c>
      <c r="E24" s="228" t="n">
        <v>46317</v>
      </c>
      <c r="F24" s="192" t="inlineStr">
        <is>
          <t>WRR</t>
        </is>
      </c>
      <c r="G24" s="227" t="inlineStr">
        <is>
          <t>Confirmed (bright green - check)</t>
        </is>
      </c>
      <c r="H24" s="227" t="n"/>
    </row>
    <row r="25">
      <c r="B25" s="227" t="inlineStr">
        <is>
          <t>Aaron Pick</t>
        </is>
      </c>
      <c r="C25" s="227" t="inlineStr">
        <is>
          <t>LGC</t>
        </is>
      </c>
      <c r="D25" s="227" t="inlineStr">
        <is>
          <t>Roster B- Electrical Team 2 (5x)</t>
        </is>
      </c>
      <c r="E25" s="228" t="n">
        <v>46318</v>
      </c>
      <c r="F25" s="192" t="inlineStr">
        <is>
          <t>RDM</t>
        </is>
      </c>
      <c r="G25" s="227" t="inlineStr">
        <is>
          <t>Confirmed (bright green - check)</t>
        </is>
      </c>
      <c r="H25" s="227" t="n"/>
    </row>
    <row r="26">
      <c r="B26" s="227" t="inlineStr">
        <is>
          <t>Abdallah Joudeh</t>
        </is>
      </c>
      <c r="C26" s="227" t="inlineStr">
        <is>
          <t>Wabtec</t>
        </is>
      </c>
      <c r="D26" s="227" t="inlineStr">
        <is>
          <t>Management HSE / CM ( 2x)</t>
        </is>
      </c>
      <c r="E26" s="228" t="n">
        <v>46318</v>
      </c>
      <c r="F26" s="192" t="inlineStr">
        <is>
          <t>LND</t>
        </is>
      </c>
      <c r="G26" s="227" t="inlineStr">
        <is>
          <t>Double checked</t>
        </is>
      </c>
      <c r="H26" s="227" t="n"/>
    </row>
    <row r="27">
      <c r="B27" s="227" t="inlineStr">
        <is>
          <t>Andrew Burger</t>
        </is>
      </c>
      <c r="C27" s="227" t="inlineStr">
        <is>
          <t>Wabtec</t>
        </is>
      </c>
      <c r="D27" s="227" t="inlineStr">
        <is>
          <t>Roster B - Civil Team 2 (4x)</t>
        </is>
      </c>
      <c r="E27" s="228" t="n">
        <v>46318</v>
      </c>
      <c r="F27" s="192" t="inlineStr">
        <is>
          <t>WRR</t>
        </is>
      </c>
      <c r="G27" s="227" t="inlineStr">
        <is>
          <t>Confirmed (bright green - check)</t>
        </is>
      </c>
      <c r="H27" s="227" t="n"/>
    </row>
    <row r="28">
      <c r="B28" s="227" t="inlineStr">
        <is>
          <t>Bruce Lamb</t>
        </is>
      </c>
      <c r="C28" s="227" t="inlineStr">
        <is>
          <t>Sentinel</t>
        </is>
      </c>
      <c r="D28" s="227" t="inlineStr">
        <is>
          <t>Track Protection Officers (Standby)</t>
        </is>
      </c>
      <c r="E28" s="228" t="n">
        <v>46318</v>
      </c>
      <c r="F28" s="192" t="inlineStr">
        <is>
          <t>RDM</t>
        </is>
      </c>
      <c r="G28" s="227" t="inlineStr">
        <is>
          <t>Confirmed (bright green - check)</t>
        </is>
      </c>
      <c r="H28" s="227" t="n"/>
    </row>
    <row r="29">
      <c r="B29" s="227" t="inlineStr">
        <is>
          <t>Cayde Summerfield</t>
        </is>
      </c>
      <c r="C29" s="227" t="inlineStr">
        <is>
          <t>SLM</t>
        </is>
      </c>
      <c r="D29" s="227" t="inlineStr">
        <is>
          <t>Roster B - Civil Team 2 (4x)</t>
        </is>
      </c>
      <c r="E29" s="228" t="n">
        <v>46318</v>
      </c>
      <c r="F29" s="192" t="inlineStr">
        <is>
          <t>ZNE/PER PM</t>
        </is>
      </c>
      <c r="G29" s="227" t="inlineStr">
        <is>
          <t>To be submitted</t>
        </is>
      </c>
      <c r="H29" s="227" t="n"/>
    </row>
    <row r="30">
      <c r="B30" s="227" t="inlineStr">
        <is>
          <t>David Child</t>
        </is>
      </c>
      <c r="C30" s="227" t="inlineStr">
        <is>
          <t>Wabtec</t>
        </is>
      </c>
      <c r="D30" s="227" t="inlineStr">
        <is>
          <t>Roster B- Electrical Team 2 (5x)</t>
        </is>
      </c>
      <c r="E30" s="228" t="n">
        <v>46318</v>
      </c>
      <c r="F30" s="192" t="inlineStr">
        <is>
          <t>RDM</t>
        </is>
      </c>
      <c r="G30" s="227" t="inlineStr">
        <is>
          <t>Confirmed (bright green - check)</t>
        </is>
      </c>
      <c r="H30" s="227" t="n"/>
    </row>
    <row r="31">
      <c r="B31" s="227" t="inlineStr">
        <is>
          <t>David Keating</t>
        </is>
      </c>
      <c r="C31" s="227" t="inlineStr">
        <is>
          <t>Sentinel</t>
        </is>
      </c>
      <c r="D31" s="227" t="inlineStr">
        <is>
          <t>Track Protection Officers (Standby)</t>
        </is>
      </c>
      <c r="E31" s="228" t="n">
        <v>46318</v>
      </c>
      <c r="F31" s="192" t="inlineStr">
        <is>
          <t>WRR</t>
        </is>
      </c>
      <c r="G31" s="227" t="inlineStr">
        <is>
          <t>Confirmed (bright green - check)</t>
        </is>
      </c>
      <c r="H31" s="227" t="n"/>
    </row>
    <row r="32">
      <c r="B32" s="227" t="inlineStr">
        <is>
          <t>David McGowan</t>
        </is>
      </c>
      <c r="C32" s="227" t="inlineStr">
        <is>
          <t>Back Up</t>
        </is>
      </c>
      <c r="D32" s="227" t="inlineStr">
        <is>
          <t>Communication Specialist</t>
        </is>
      </c>
      <c r="E32" s="228" t="n">
        <v>46318</v>
      </c>
      <c r="F32" s="192" t="inlineStr">
        <is>
          <t>DO AM</t>
        </is>
      </c>
      <c r="G32" s="227" t="inlineStr">
        <is>
          <t>New changes</t>
        </is>
      </c>
      <c r="H32" s="227" t="n"/>
    </row>
    <row r="33">
      <c r="B33" s="227" t="inlineStr">
        <is>
          <t>Declan Turner</t>
        </is>
      </c>
      <c r="C33" s="227" t="inlineStr">
        <is>
          <t>Wabtec</t>
        </is>
      </c>
      <c r="D33" s="227" t="inlineStr">
        <is>
          <t>Roster A - Electrical Team 1 (5x)</t>
        </is>
      </c>
      <c r="E33" s="228" t="n">
        <v>46318</v>
      </c>
      <c r="F33" s="192" t="inlineStr">
        <is>
          <t>WRR</t>
        </is>
      </c>
      <c r="G33" s="227" t="inlineStr">
        <is>
          <t>Confirmed (bright green - check)</t>
        </is>
      </c>
      <c r="H33" s="227" t="n"/>
    </row>
    <row r="34">
      <c r="B34" s="227" t="inlineStr">
        <is>
          <t>Elizabeth Kamana</t>
        </is>
      </c>
      <c r="C34" s="227" t="inlineStr">
        <is>
          <t>Sentinel</t>
        </is>
      </c>
      <c r="D34" s="227" t="inlineStr">
        <is>
          <t>Track Protection Officers (Standby)</t>
        </is>
      </c>
      <c r="E34" s="228" t="n">
        <v>46318</v>
      </c>
      <c r="F34" s="192" t="inlineStr">
        <is>
          <t>WRR</t>
        </is>
      </c>
      <c r="G34" s="227" t="inlineStr">
        <is>
          <t>Confirmed (bright green - check)</t>
        </is>
      </c>
      <c r="H34" s="227" t="n"/>
    </row>
    <row r="35">
      <c r="B35" s="227" t="inlineStr">
        <is>
          <t>Jacob Harding</t>
        </is>
      </c>
      <c r="C35" s="227" t="inlineStr">
        <is>
          <t>2XM</t>
        </is>
      </c>
      <c r="D35" s="227" t="inlineStr">
        <is>
          <t>Roster B- Electrical Team 2 (5x)</t>
        </is>
      </c>
      <c r="E35" s="228" t="n">
        <v>46318</v>
      </c>
      <c r="F35" s="192" t="inlineStr">
        <is>
          <t>RDM</t>
        </is>
      </c>
      <c r="G35" s="227" t="inlineStr">
        <is>
          <t>Confirmed (bright green - check)</t>
        </is>
      </c>
      <c r="H35" s="227" t="n"/>
    </row>
    <row r="36">
      <c r="B36" s="227" t="inlineStr">
        <is>
          <t>John Stephen</t>
        </is>
      </c>
      <c r="C36" s="227" t="inlineStr">
        <is>
          <t>Wabtec</t>
        </is>
      </c>
      <c r="D36" s="227" t="inlineStr">
        <is>
          <t>Logistics Team (4x)</t>
        </is>
      </c>
      <c r="E36" s="228" t="n">
        <v>46318</v>
      </c>
      <c r="F36" s="192" t="inlineStr">
        <is>
          <t>RDM</t>
        </is>
      </c>
      <c r="G36" s="227" t="inlineStr">
        <is>
          <t>Double checked</t>
        </is>
      </c>
      <c r="H36" s="227" t="n"/>
    </row>
    <row r="37">
      <c r="B37" s="227" t="inlineStr">
        <is>
          <t>Joseph Parker</t>
        </is>
      </c>
      <c r="C37" s="227" t="inlineStr">
        <is>
          <t>Wabtec</t>
        </is>
      </c>
      <c r="D37" s="227" t="inlineStr">
        <is>
          <t>Roster A - Electrical Team 1 (5x)</t>
        </is>
      </c>
      <c r="E37" s="228" t="n">
        <v>46318</v>
      </c>
      <c r="F37" s="192" t="inlineStr">
        <is>
          <t>WRR</t>
        </is>
      </c>
      <c r="G37" s="227" t="inlineStr">
        <is>
          <t>Confirmed (bright green - check)</t>
        </is>
      </c>
      <c r="H37" s="227" t="n"/>
    </row>
    <row r="38">
      <c r="B38" s="227" t="inlineStr">
        <is>
          <t>Luke Watson</t>
        </is>
      </c>
      <c r="C38" s="227" t="inlineStr">
        <is>
          <t>Wabtec</t>
        </is>
      </c>
      <c r="D38" s="227" t="inlineStr">
        <is>
          <t>Roster B- Electrical Team 2 (5x)</t>
        </is>
      </c>
      <c r="E38" s="228" t="n">
        <v>46318</v>
      </c>
      <c r="F38" s="192" t="inlineStr">
        <is>
          <t>RDM</t>
        </is>
      </c>
      <c r="G38" s="227" t="inlineStr">
        <is>
          <t>Confirmed (bright green - check)</t>
        </is>
      </c>
      <c r="H38" s="227" t="n"/>
    </row>
    <row r="39">
      <c r="B39" s="227" t="inlineStr">
        <is>
          <t>Martin Smart</t>
        </is>
      </c>
      <c r="C39" s="227" t="inlineStr">
        <is>
          <t>STS</t>
        </is>
      </c>
      <c r="D39" s="227" t="inlineStr">
        <is>
          <t>Roster B- Electrical Team 2 (5x)</t>
        </is>
      </c>
      <c r="E39" s="228" t="n">
        <v>46318</v>
      </c>
      <c r="F39" s="192" t="inlineStr">
        <is>
          <t>RDM</t>
        </is>
      </c>
      <c r="G39" s="227" t="inlineStr">
        <is>
          <t>Confirmed (bright green - check)</t>
        </is>
      </c>
      <c r="H39" s="227" t="n"/>
    </row>
    <row r="40">
      <c r="B40" s="227" t="inlineStr">
        <is>
          <t>Ngang Chool</t>
        </is>
      </c>
      <c r="C40" s="227" t="inlineStr">
        <is>
          <t>LGC Rail</t>
        </is>
      </c>
      <c r="D40" s="227" t="inlineStr">
        <is>
          <t>Roster B - Civil Team 2 (4x)</t>
        </is>
      </c>
      <c r="E40" s="228" t="n">
        <v>46318</v>
      </c>
      <c r="F40" s="192" t="inlineStr">
        <is>
          <t>WRR</t>
        </is>
      </c>
      <c r="G40" s="227" t="inlineStr">
        <is>
          <t>To be submitted</t>
        </is>
      </c>
      <c r="H40" s="227" t="n"/>
    </row>
    <row r="41">
      <c r="B41" s="227" t="inlineStr">
        <is>
          <t>Richard Lewis</t>
        </is>
      </c>
      <c r="C41" s="227" t="inlineStr">
        <is>
          <t>2XM</t>
        </is>
      </c>
      <c r="D41" s="227" t="inlineStr">
        <is>
          <t>Roster A - Electrical Team 1 (5x)</t>
        </is>
      </c>
      <c r="E41" s="228" t="n">
        <v>46318</v>
      </c>
      <c r="F41" s="192" t="inlineStr">
        <is>
          <t>WRR</t>
        </is>
      </c>
      <c r="G41" s="227" t="inlineStr">
        <is>
          <t>Confirmed (bright green - check)</t>
        </is>
      </c>
      <c r="H41" s="227" t="n"/>
    </row>
    <row r="42">
      <c r="B42" s="227" t="inlineStr">
        <is>
          <t>Stephen Anthony</t>
        </is>
      </c>
      <c r="C42" s="227" t="inlineStr">
        <is>
          <t>Wabtec</t>
        </is>
      </c>
      <c r="D42" s="227" t="inlineStr">
        <is>
          <t>Roster A - Electrical Team 1 (5x)</t>
        </is>
      </c>
      <c r="E42" s="228" t="n">
        <v>46318</v>
      </c>
      <c r="F42" s="192" t="inlineStr">
        <is>
          <t>WRR</t>
        </is>
      </c>
      <c r="G42" s="227" t="inlineStr">
        <is>
          <t>Confirmed (bright green - check)</t>
        </is>
      </c>
      <c r="H42" s="227" t="n"/>
    </row>
    <row r="43">
      <c r="B43" s="227" t="inlineStr">
        <is>
          <t>William Stoneman</t>
        </is>
      </c>
      <c r="C43" s="227" t="inlineStr">
        <is>
          <t>SLM</t>
        </is>
      </c>
      <c r="D43" s="227" t="inlineStr">
        <is>
          <t>Roster B - Civil Team 2 (4x)</t>
        </is>
      </c>
      <c r="E43" s="228" t="n">
        <v>46318</v>
      </c>
      <c r="F43" s="192" t="inlineStr">
        <is>
          <t>WRR</t>
        </is>
      </c>
      <c r="G43" s="227" t="inlineStr">
        <is>
          <t>Confirmed (bright green - check)</t>
        </is>
      </c>
      <c r="H43" s="227" t="n"/>
    </row>
    <row r="44">
      <c r="B44" s="227" t="inlineStr">
        <is>
          <t>Aaron Pick</t>
        </is>
      </c>
      <c r="C44" s="227" t="inlineStr">
        <is>
          <t>LGC</t>
        </is>
      </c>
      <c r="D44" s="227" t="inlineStr">
        <is>
          <t>Roster B- Electrical Team 2 (5x)</t>
        </is>
      </c>
      <c r="E44" s="228" t="n">
        <v>46319</v>
      </c>
      <c r="F44" s="192" t="inlineStr">
        <is>
          <t>RDM</t>
        </is>
      </c>
      <c r="G44" s="227" t="inlineStr">
        <is>
          <t>Confirmed (bright green - check)</t>
        </is>
      </c>
      <c r="H44" s="227" t="n"/>
    </row>
    <row r="45">
      <c r="B45" s="227" t="inlineStr">
        <is>
          <t>Abdallah Joudeh</t>
        </is>
      </c>
      <c r="C45" s="227" t="inlineStr">
        <is>
          <t>Wabtec</t>
        </is>
      </c>
      <c r="D45" s="227" t="inlineStr">
        <is>
          <t>Management HSE / CM ( 2x)</t>
        </is>
      </c>
      <c r="E45" s="228" t="n">
        <v>46319</v>
      </c>
      <c r="F45" s="192" t="inlineStr">
        <is>
          <t>LND</t>
        </is>
      </c>
      <c r="G45" s="227" t="inlineStr">
        <is>
          <t>Double checked</t>
        </is>
      </c>
      <c r="H45" s="227" t="n"/>
    </row>
    <row r="46">
      <c r="B46" s="227" t="inlineStr">
        <is>
          <t>Andrew Burger</t>
        </is>
      </c>
      <c r="C46" s="227" t="inlineStr">
        <is>
          <t>Wabtec</t>
        </is>
      </c>
      <c r="D46" s="227" t="inlineStr">
        <is>
          <t>Roster B - Civil Team 2 (4x)</t>
        </is>
      </c>
      <c r="E46" s="228" t="n">
        <v>46319</v>
      </c>
      <c r="F46" s="192" t="inlineStr">
        <is>
          <t>WRR</t>
        </is>
      </c>
      <c r="G46" s="227" t="inlineStr">
        <is>
          <t>Confirmed (bright green - check)</t>
        </is>
      </c>
      <c r="H46" s="227" t="n"/>
    </row>
    <row r="47">
      <c r="B47" s="227" t="inlineStr">
        <is>
          <t>Bruce Lamb</t>
        </is>
      </c>
      <c r="C47" s="227" t="inlineStr">
        <is>
          <t>Sentinel</t>
        </is>
      </c>
      <c r="D47" s="227" t="inlineStr">
        <is>
          <t>Track Protection Officers (Standby)</t>
        </is>
      </c>
      <c r="E47" s="228" t="n">
        <v>46319</v>
      </c>
      <c r="F47" s="192" t="inlineStr">
        <is>
          <t>RDM</t>
        </is>
      </c>
      <c r="G47" s="227" t="inlineStr">
        <is>
          <t>Confirmed (bright green - check)</t>
        </is>
      </c>
      <c r="H47" s="227" t="n"/>
    </row>
    <row r="48">
      <c r="B48" s="227" t="inlineStr">
        <is>
          <t>David Child</t>
        </is>
      </c>
      <c r="C48" s="227" t="inlineStr">
        <is>
          <t>Wabtec</t>
        </is>
      </c>
      <c r="D48" s="227" t="inlineStr">
        <is>
          <t>Roster B- Electrical Team 2 (5x)</t>
        </is>
      </c>
      <c r="E48" s="228" t="n">
        <v>46319</v>
      </c>
      <c r="F48" s="192" t="inlineStr">
        <is>
          <t>RDM</t>
        </is>
      </c>
      <c r="G48" s="227" t="inlineStr">
        <is>
          <t>Confirmed (bright green - check)</t>
        </is>
      </c>
      <c r="H48" s="227" t="n"/>
    </row>
    <row r="49">
      <c r="B49" s="227" t="inlineStr">
        <is>
          <t>David Keating</t>
        </is>
      </c>
      <c r="C49" s="227" t="inlineStr">
        <is>
          <t>Sentinel</t>
        </is>
      </c>
      <c r="D49" s="227" t="inlineStr">
        <is>
          <t>Track Protection Officers (Standby)</t>
        </is>
      </c>
      <c r="E49" s="228" t="n">
        <v>46319</v>
      </c>
      <c r="F49" s="192" t="inlineStr">
        <is>
          <t>WRR</t>
        </is>
      </c>
      <c r="G49" s="227" t="inlineStr">
        <is>
          <t>Confirmed (bright green - check)</t>
        </is>
      </c>
      <c r="H49" s="227" t="n"/>
    </row>
    <row r="50">
      <c r="B50" s="227" t="inlineStr">
        <is>
          <t>Declan Turner</t>
        </is>
      </c>
      <c r="C50" s="227" t="inlineStr">
        <is>
          <t>Wabtec</t>
        </is>
      </c>
      <c r="D50" s="227" t="inlineStr">
        <is>
          <t>Roster A - Electrical Team 1 (5x)</t>
        </is>
      </c>
      <c r="E50" s="228" t="n">
        <v>46319</v>
      </c>
      <c r="F50" s="192" t="inlineStr">
        <is>
          <t>WRR</t>
        </is>
      </c>
      <c r="G50" s="227" t="inlineStr">
        <is>
          <t>Confirmed (bright green - check)</t>
        </is>
      </c>
      <c r="H50" s="227" t="n"/>
    </row>
    <row r="51">
      <c r="B51" s="227" t="inlineStr">
        <is>
          <t>Elizabeth Kamana</t>
        </is>
      </c>
      <c r="C51" s="227" t="inlineStr">
        <is>
          <t>Sentinel</t>
        </is>
      </c>
      <c r="D51" s="227" t="inlineStr">
        <is>
          <t>Track Protection Officers (Standby)</t>
        </is>
      </c>
      <c r="E51" s="228" t="n">
        <v>46319</v>
      </c>
      <c r="F51" s="192" t="inlineStr">
        <is>
          <t>WRR</t>
        </is>
      </c>
      <c r="G51" s="227" t="inlineStr">
        <is>
          <t>Confirmed (bright green - check)</t>
        </is>
      </c>
      <c r="H51" s="227" t="n"/>
    </row>
    <row r="52">
      <c r="B52" s="227" t="inlineStr">
        <is>
          <t>Jacob Harding</t>
        </is>
      </c>
      <c r="C52" s="227" t="inlineStr">
        <is>
          <t>2XM</t>
        </is>
      </c>
      <c r="D52" s="227" t="inlineStr">
        <is>
          <t>Roster B- Electrical Team 2 (5x)</t>
        </is>
      </c>
      <c r="E52" s="228" t="n">
        <v>46319</v>
      </c>
      <c r="F52" s="192" t="inlineStr">
        <is>
          <t>RDM</t>
        </is>
      </c>
      <c r="G52" s="227" t="inlineStr">
        <is>
          <t>Confirmed (bright green - check)</t>
        </is>
      </c>
      <c r="H52" s="227" t="n"/>
    </row>
    <row r="53">
      <c r="B53" s="227" t="inlineStr">
        <is>
          <t>John Stephen</t>
        </is>
      </c>
      <c r="C53" s="227" t="inlineStr">
        <is>
          <t>Wabtec</t>
        </is>
      </c>
      <c r="D53" s="227" t="inlineStr">
        <is>
          <t>Logistics Team (4x)</t>
        </is>
      </c>
      <c r="E53" s="228" t="n">
        <v>46319</v>
      </c>
      <c r="F53" s="192" t="inlineStr">
        <is>
          <t>RDM</t>
        </is>
      </c>
      <c r="G53" s="227" t="inlineStr">
        <is>
          <t>Double checked</t>
        </is>
      </c>
      <c r="H53" s="227" t="n"/>
    </row>
    <row r="54">
      <c r="B54" s="227" t="inlineStr">
        <is>
          <t>Joseph Parker</t>
        </is>
      </c>
      <c r="C54" s="227" t="inlineStr">
        <is>
          <t>Wabtec</t>
        </is>
      </c>
      <c r="D54" s="227" t="inlineStr">
        <is>
          <t>Roster A - Electrical Team 1 (5x)</t>
        </is>
      </c>
      <c r="E54" s="228" t="n">
        <v>46319</v>
      </c>
      <c r="F54" s="192" t="inlineStr">
        <is>
          <t>WRR</t>
        </is>
      </c>
      <c r="G54" s="227" t="inlineStr">
        <is>
          <t>Confirmed (bright green - check)</t>
        </is>
      </c>
      <c r="H54" s="227" t="n"/>
    </row>
    <row r="55">
      <c r="B55" s="227" t="inlineStr">
        <is>
          <t>Luke Watson</t>
        </is>
      </c>
      <c r="C55" s="227" t="inlineStr">
        <is>
          <t>Wabtec</t>
        </is>
      </c>
      <c r="D55" s="227" t="inlineStr">
        <is>
          <t>Roster B- Electrical Team 2 (5x)</t>
        </is>
      </c>
      <c r="E55" s="228" t="n">
        <v>46319</v>
      </c>
      <c r="F55" s="192" t="inlineStr">
        <is>
          <t>RDM</t>
        </is>
      </c>
      <c r="G55" s="227" t="inlineStr">
        <is>
          <t>Confirmed (bright green - check)</t>
        </is>
      </c>
      <c r="H55" s="227" t="n"/>
    </row>
    <row r="56">
      <c r="B56" s="227" t="inlineStr">
        <is>
          <t>Martin Smart</t>
        </is>
      </c>
      <c r="C56" s="227" t="inlineStr">
        <is>
          <t>STS</t>
        </is>
      </c>
      <c r="D56" s="227" t="inlineStr">
        <is>
          <t>Roster B- Electrical Team 2 (5x)</t>
        </is>
      </c>
      <c r="E56" s="228" t="n">
        <v>46319</v>
      </c>
      <c r="F56" s="192" t="inlineStr">
        <is>
          <t>RDM</t>
        </is>
      </c>
      <c r="G56" s="227" t="inlineStr">
        <is>
          <t>Confirmed (bright green - check)</t>
        </is>
      </c>
      <c r="H56" s="227" t="n"/>
    </row>
    <row r="57">
      <c r="B57" s="227" t="inlineStr">
        <is>
          <t>Merle Quaak</t>
        </is>
      </c>
      <c r="C57" s="227" t="inlineStr">
        <is>
          <t>PTM</t>
        </is>
      </c>
      <c r="D57" s="227" t="inlineStr">
        <is>
          <t>Traffic Controllers &amp; Lifting</t>
        </is>
      </c>
      <c r="E57" s="228" t="n">
        <v>46319</v>
      </c>
      <c r="F57" s="192" t="inlineStr">
        <is>
          <t>DI PM WRR</t>
        </is>
      </c>
      <c r="G57" s="227" t="inlineStr">
        <is>
          <t>To be submitted</t>
        </is>
      </c>
      <c r="H57" s="227" t="n"/>
    </row>
    <row r="58">
      <c r="B58" s="227" t="inlineStr">
        <is>
          <t>Ngang Chool</t>
        </is>
      </c>
      <c r="C58" s="227" t="inlineStr">
        <is>
          <t>LGC Rail</t>
        </is>
      </c>
      <c r="D58" s="227" t="inlineStr">
        <is>
          <t>Roster B - Civil Team 2 (4x)</t>
        </is>
      </c>
      <c r="E58" s="228" t="n">
        <v>46319</v>
      </c>
      <c r="F58" s="192" t="inlineStr">
        <is>
          <t>WRR</t>
        </is>
      </c>
      <c r="G58" s="227" t="inlineStr">
        <is>
          <t>To be submitted</t>
        </is>
      </c>
      <c r="H58" s="227" t="n"/>
    </row>
    <row r="59">
      <c r="B59" s="227" t="inlineStr">
        <is>
          <t>Richard Lewis</t>
        </is>
      </c>
      <c r="C59" s="227" t="inlineStr">
        <is>
          <t>2XM</t>
        </is>
      </c>
      <c r="D59" s="227" t="inlineStr">
        <is>
          <t>Roster A - Electrical Team 1 (5x)</t>
        </is>
      </c>
      <c r="E59" s="228" t="n">
        <v>46319</v>
      </c>
      <c r="F59" s="192" t="inlineStr">
        <is>
          <t>WRR</t>
        </is>
      </c>
      <c r="G59" s="227" t="inlineStr">
        <is>
          <t>Confirmed (bright green - check)</t>
        </is>
      </c>
      <c r="H59" s="227" t="n"/>
    </row>
    <row r="60">
      <c r="B60" s="227" t="inlineStr">
        <is>
          <t>Roisin Coleman</t>
        </is>
      </c>
      <c r="C60" s="227" t="inlineStr">
        <is>
          <t>PTM</t>
        </is>
      </c>
      <c r="D60" s="227" t="inlineStr">
        <is>
          <t>Traffic Controllers &amp; Lifting</t>
        </is>
      </c>
      <c r="E60" s="228" t="n">
        <v>46319</v>
      </c>
      <c r="F60" s="192" t="inlineStr">
        <is>
          <t>DI PM WRR</t>
        </is>
      </c>
      <c r="G60" s="227" t="inlineStr">
        <is>
          <t>To be submitted</t>
        </is>
      </c>
      <c r="H60" s="227" t="n"/>
    </row>
    <row r="61">
      <c r="B61" s="227" t="inlineStr">
        <is>
          <t>Stephen Anthony</t>
        </is>
      </c>
      <c r="C61" s="227" t="inlineStr">
        <is>
          <t>Wabtec</t>
        </is>
      </c>
      <c r="D61" s="227" t="inlineStr">
        <is>
          <t>Roster A - Electrical Team 1 (5x)</t>
        </is>
      </c>
      <c r="E61" s="228" t="n">
        <v>46319</v>
      </c>
      <c r="F61" s="192" t="inlineStr">
        <is>
          <t>WRR</t>
        </is>
      </c>
      <c r="G61" s="227" t="inlineStr">
        <is>
          <t>Confirmed (bright green - check)</t>
        </is>
      </c>
      <c r="H61" s="227" t="n"/>
    </row>
    <row r="62">
      <c r="B62" s="227" t="inlineStr">
        <is>
          <t>William Stoneman</t>
        </is>
      </c>
      <c r="C62" s="227" t="inlineStr">
        <is>
          <t>SLM</t>
        </is>
      </c>
      <c r="D62" s="227" t="inlineStr">
        <is>
          <t>Roster B - Civil Team 2 (4x)</t>
        </is>
      </c>
      <c r="E62" s="228" t="n">
        <v>46319</v>
      </c>
      <c r="F62" s="192" t="inlineStr">
        <is>
          <t>WRR</t>
        </is>
      </c>
      <c r="G62" s="227" t="inlineStr">
        <is>
          <t>Confirmed (bright green - check)</t>
        </is>
      </c>
      <c r="H62" s="227" t="n"/>
    </row>
    <row r="63">
      <c r="B63" s="227" t="inlineStr">
        <is>
          <t>Aaron Pick</t>
        </is>
      </c>
      <c r="C63" s="227" t="inlineStr">
        <is>
          <t>LGC</t>
        </is>
      </c>
      <c r="D63" s="227" t="inlineStr">
        <is>
          <t>Roster B- Electrical Team 2 (5x)</t>
        </is>
      </c>
      <c r="E63" s="228" t="n">
        <v>46320</v>
      </c>
      <c r="F63" s="192" t="inlineStr">
        <is>
          <t>RDM</t>
        </is>
      </c>
      <c r="G63" s="227" t="inlineStr">
        <is>
          <t>Confirmed (bright green - check)</t>
        </is>
      </c>
      <c r="H63" s="227" t="n"/>
    </row>
    <row r="64">
      <c r="B64" s="227" t="inlineStr">
        <is>
          <t>Abdallah Joudeh</t>
        </is>
      </c>
      <c r="C64" s="227" t="inlineStr">
        <is>
          <t>Wabtec</t>
        </is>
      </c>
      <c r="D64" s="227" t="inlineStr">
        <is>
          <t>Management HSE / CM ( 2x)</t>
        </is>
      </c>
      <c r="E64" s="228" t="n">
        <v>46320</v>
      </c>
      <c r="F64" s="192" t="inlineStr">
        <is>
          <t>LND</t>
        </is>
      </c>
      <c r="G64" s="227" t="inlineStr">
        <is>
          <t>Double checked</t>
        </is>
      </c>
      <c r="H64" s="227" t="n"/>
    </row>
    <row r="65">
      <c r="B65" s="227" t="inlineStr">
        <is>
          <t>Andrew Burger</t>
        </is>
      </c>
      <c r="C65" s="227" t="inlineStr">
        <is>
          <t>Wabtec</t>
        </is>
      </c>
      <c r="D65" s="227" t="inlineStr">
        <is>
          <t>Roster B - Civil Team 2 (4x)</t>
        </is>
      </c>
      <c r="E65" s="228" t="n">
        <v>46320</v>
      </c>
      <c r="F65" s="192" t="inlineStr">
        <is>
          <t>WRR</t>
        </is>
      </c>
      <c r="G65" s="227" t="inlineStr">
        <is>
          <t>Confirmed (bright green - check)</t>
        </is>
      </c>
      <c r="H65" s="227" t="n"/>
    </row>
    <row r="66">
      <c r="B66" s="227" t="inlineStr">
        <is>
          <t>Bruce Lamb</t>
        </is>
      </c>
      <c r="C66" s="227" t="inlineStr">
        <is>
          <t>Sentinel</t>
        </is>
      </c>
      <c r="D66" s="227" t="inlineStr">
        <is>
          <t>Track Protection Officers (Standby)</t>
        </is>
      </c>
      <c r="E66" s="228" t="n">
        <v>46320</v>
      </c>
      <c r="F66" s="192" t="inlineStr">
        <is>
          <t>RDM</t>
        </is>
      </c>
      <c r="G66" s="227" t="inlineStr">
        <is>
          <t>Confirmed (bright green - check)</t>
        </is>
      </c>
      <c r="H66" s="227" t="n"/>
    </row>
    <row r="67">
      <c r="B67" s="227" t="inlineStr">
        <is>
          <t>David Child</t>
        </is>
      </c>
      <c r="C67" s="227" t="inlineStr">
        <is>
          <t>Wabtec</t>
        </is>
      </c>
      <c r="D67" s="227" t="inlineStr">
        <is>
          <t>Roster B- Electrical Team 2 (5x)</t>
        </is>
      </c>
      <c r="E67" s="228" t="n">
        <v>46320</v>
      </c>
      <c r="F67" s="192" t="inlineStr">
        <is>
          <t>RDM</t>
        </is>
      </c>
      <c r="G67" s="227" t="inlineStr">
        <is>
          <t>Confirmed (bright green - check)</t>
        </is>
      </c>
      <c r="H67" s="227" t="n"/>
    </row>
    <row r="68">
      <c r="B68" s="227" t="inlineStr">
        <is>
          <t>David Keating</t>
        </is>
      </c>
      <c r="C68" s="227" t="inlineStr">
        <is>
          <t>Sentinel</t>
        </is>
      </c>
      <c r="D68" s="227" t="inlineStr">
        <is>
          <t>Track Protection Officers (Standby)</t>
        </is>
      </c>
      <c r="E68" s="228" t="n">
        <v>46320</v>
      </c>
      <c r="F68" s="192" t="inlineStr">
        <is>
          <t>WRR</t>
        </is>
      </c>
      <c r="G68" s="227" t="inlineStr">
        <is>
          <t>Confirmed (bright green - check)</t>
        </is>
      </c>
      <c r="H68" s="227" t="n"/>
    </row>
    <row r="69">
      <c r="B69" s="227" t="inlineStr">
        <is>
          <t>David McGowan</t>
        </is>
      </c>
      <c r="C69" s="227" t="inlineStr">
        <is>
          <t>Back Up</t>
        </is>
      </c>
      <c r="D69" s="227" t="inlineStr">
        <is>
          <t>Communication Specialist</t>
        </is>
      </c>
      <c r="E69" s="228" t="n">
        <v>46320</v>
      </c>
      <c r="F69" s="192" t="inlineStr">
        <is>
          <t>DI PM RDM</t>
        </is>
      </c>
      <c r="G69" s="227" t="inlineStr">
        <is>
          <t>New changes</t>
        </is>
      </c>
      <c r="H69" s="227" t="n"/>
    </row>
    <row r="70">
      <c r="B70" s="227" t="inlineStr">
        <is>
          <t>Declan Turner</t>
        </is>
      </c>
      <c r="C70" s="227" t="inlineStr">
        <is>
          <t>Wabtec</t>
        </is>
      </c>
      <c r="D70" s="227" t="inlineStr">
        <is>
          <t>Roster A - Electrical Team 1 (5x)</t>
        </is>
      </c>
      <c r="E70" s="228" t="n">
        <v>46320</v>
      </c>
      <c r="F70" s="192" t="inlineStr">
        <is>
          <t>WRR</t>
        </is>
      </c>
      <c r="G70" s="227" t="inlineStr">
        <is>
          <t>Confirmed (bright green - check)</t>
        </is>
      </c>
      <c r="H70" s="227" t="n"/>
    </row>
    <row r="71">
      <c r="B71" s="227" t="inlineStr">
        <is>
          <t>Elizabeth Kamana</t>
        </is>
      </c>
      <c r="C71" s="227" t="inlineStr">
        <is>
          <t>Sentinel</t>
        </is>
      </c>
      <c r="D71" s="227" t="inlineStr">
        <is>
          <t>Track Protection Officers (Standby)</t>
        </is>
      </c>
      <c r="E71" s="228" t="n">
        <v>46320</v>
      </c>
      <c r="F71" s="192" t="inlineStr">
        <is>
          <t>WRR</t>
        </is>
      </c>
      <c r="G71" s="227" t="inlineStr">
        <is>
          <t>Confirmed (bright green - check)</t>
        </is>
      </c>
      <c r="H71" s="227" t="n"/>
    </row>
    <row r="72">
      <c r="B72" s="227" t="inlineStr">
        <is>
          <t>Jacob Harding</t>
        </is>
      </c>
      <c r="C72" s="227" t="inlineStr">
        <is>
          <t>2XM</t>
        </is>
      </c>
      <c r="D72" s="227" t="inlineStr">
        <is>
          <t>Roster B- Electrical Team 2 (5x)</t>
        </is>
      </c>
      <c r="E72" s="228" t="n">
        <v>46320</v>
      </c>
      <c r="F72" s="192" t="inlineStr">
        <is>
          <t>RDM</t>
        </is>
      </c>
      <c r="G72" s="227" t="inlineStr">
        <is>
          <t>Confirmed (bright green - check)</t>
        </is>
      </c>
      <c r="H72" s="227" t="n"/>
    </row>
    <row r="73">
      <c r="B73" s="227" t="inlineStr">
        <is>
          <t>John Stephen</t>
        </is>
      </c>
      <c r="C73" s="227" t="inlineStr">
        <is>
          <t>Wabtec</t>
        </is>
      </c>
      <c r="D73" s="227" t="inlineStr">
        <is>
          <t>Logistics Team (4x)</t>
        </is>
      </c>
      <c r="E73" s="228" t="n">
        <v>46320</v>
      </c>
      <c r="F73" s="192" t="inlineStr">
        <is>
          <t>RDM</t>
        </is>
      </c>
      <c r="G73" s="227" t="inlineStr">
        <is>
          <t>Double checked</t>
        </is>
      </c>
      <c r="H73" s="227" t="n"/>
    </row>
    <row r="74">
      <c r="B74" s="227" t="inlineStr">
        <is>
          <t>Joseph Parker</t>
        </is>
      </c>
      <c r="C74" s="227" t="inlineStr">
        <is>
          <t>Wabtec</t>
        </is>
      </c>
      <c r="D74" s="227" t="inlineStr">
        <is>
          <t>Roster A - Electrical Team 1 (5x)</t>
        </is>
      </c>
      <c r="E74" s="228" t="n">
        <v>46320</v>
      </c>
      <c r="F74" s="192" t="inlineStr">
        <is>
          <t>WRR</t>
        </is>
      </c>
      <c r="G74" s="227" t="inlineStr">
        <is>
          <t>Confirmed (bright green - check)</t>
        </is>
      </c>
      <c r="H74" s="227" t="n"/>
    </row>
    <row r="75">
      <c r="B75" s="227" t="inlineStr">
        <is>
          <t>Luke Watson</t>
        </is>
      </c>
      <c r="C75" s="227" t="inlineStr">
        <is>
          <t>Wabtec</t>
        </is>
      </c>
      <c r="D75" s="227" t="inlineStr">
        <is>
          <t>Roster B- Electrical Team 2 (5x)</t>
        </is>
      </c>
      <c r="E75" s="228" t="n">
        <v>46320</v>
      </c>
      <c r="F75" s="192" t="inlineStr">
        <is>
          <t>RDM</t>
        </is>
      </c>
      <c r="G75" s="227" t="inlineStr">
        <is>
          <t>Confirmed (bright green - check)</t>
        </is>
      </c>
      <c r="H75" s="227" t="n"/>
    </row>
    <row r="76">
      <c r="B76" s="227" t="inlineStr">
        <is>
          <t>Martin Smart</t>
        </is>
      </c>
      <c r="C76" s="227" t="inlineStr">
        <is>
          <t>STS</t>
        </is>
      </c>
      <c r="D76" s="227" t="inlineStr">
        <is>
          <t>Roster B- Electrical Team 2 (5x)</t>
        </is>
      </c>
      <c r="E76" s="228" t="n">
        <v>46320</v>
      </c>
      <c r="F76" s="192" t="inlineStr">
        <is>
          <t>RDM</t>
        </is>
      </c>
      <c r="G76" s="227" t="inlineStr">
        <is>
          <t>Confirmed (bright green - check)</t>
        </is>
      </c>
      <c r="H76" s="227" t="n"/>
    </row>
    <row r="77">
      <c r="B77" s="227" t="inlineStr">
        <is>
          <t>Merle Quaak</t>
        </is>
      </c>
      <c r="C77" s="227" t="inlineStr">
        <is>
          <t>PTM</t>
        </is>
      </c>
      <c r="D77" s="227" t="inlineStr">
        <is>
          <t>Traffic Controllers &amp; Lifting</t>
        </is>
      </c>
      <c r="E77" s="228" t="n">
        <v>46320</v>
      </c>
      <c r="F77" s="192" t="inlineStr">
        <is>
          <t>WRR</t>
        </is>
      </c>
      <c r="G77" s="227" t="inlineStr">
        <is>
          <t>To be submitted</t>
        </is>
      </c>
      <c r="H77" s="227" t="n"/>
    </row>
    <row r="78">
      <c r="B78" s="227" t="inlineStr">
        <is>
          <t>Ngang Chool</t>
        </is>
      </c>
      <c r="C78" s="227" t="inlineStr">
        <is>
          <t>LGC Rail</t>
        </is>
      </c>
      <c r="D78" s="227" t="inlineStr">
        <is>
          <t>Roster B - Civil Team 2 (4x)</t>
        </is>
      </c>
      <c r="E78" s="228" t="n">
        <v>46320</v>
      </c>
      <c r="F78" s="192" t="inlineStr">
        <is>
          <t>WRR</t>
        </is>
      </c>
      <c r="G78" s="227" t="inlineStr">
        <is>
          <t>To be submitted</t>
        </is>
      </c>
      <c r="H78" s="227" t="n"/>
    </row>
    <row r="79">
      <c r="B79" s="227" t="inlineStr">
        <is>
          <t>Richard Lewis</t>
        </is>
      </c>
      <c r="C79" s="227" t="inlineStr">
        <is>
          <t>2XM</t>
        </is>
      </c>
      <c r="D79" s="227" t="inlineStr">
        <is>
          <t>Roster A - Electrical Team 1 (5x)</t>
        </is>
      </c>
      <c r="E79" s="228" t="n">
        <v>46320</v>
      </c>
      <c r="F79" s="192" t="inlineStr">
        <is>
          <t>WRR</t>
        </is>
      </c>
      <c r="G79" s="227" t="inlineStr">
        <is>
          <t>Confirmed (bright green - check)</t>
        </is>
      </c>
      <c r="H79" s="227" t="n"/>
    </row>
    <row r="80">
      <c r="B80" s="227" t="inlineStr">
        <is>
          <t>Roisin Coleman</t>
        </is>
      </c>
      <c r="C80" s="227" t="inlineStr">
        <is>
          <t>PTM</t>
        </is>
      </c>
      <c r="D80" s="227" t="inlineStr">
        <is>
          <t>Traffic Controllers &amp; Lifting</t>
        </is>
      </c>
      <c r="E80" s="228" t="n">
        <v>46320</v>
      </c>
      <c r="F80" s="192" t="inlineStr">
        <is>
          <t>WRR</t>
        </is>
      </c>
      <c r="G80" s="227" t="inlineStr">
        <is>
          <t>To be submitted</t>
        </is>
      </c>
      <c r="H80" s="227" t="n"/>
    </row>
    <row r="81">
      <c r="B81" s="227" t="inlineStr">
        <is>
          <t>Stephen Anthony</t>
        </is>
      </c>
      <c r="C81" s="227" t="inlineStr">
        <is>
          <t>Wabtec</t>
        </is>
      </c>
      <c r="D81" s="227" t="inlineStr">
        <is>
          <t>Roster A - Electrical Team 1 (5x)</t>
        </is>
      </c>
      <c r="E81" s="228" t="n">
        <v>46320</v>
      </c>
      <c r="F81" s="192" t="inlineStr">
        <is>
          <t>WRR</t>
        </is>
      </c>
      <c r="G81" s="227" t="inlineStr">
        <is>
          <t>Confirmed (bright green - check)</t>
        </is>
      </c>
      <c r="H81" s="227" t="n"/>
    </row>
    <row r="82">
      <c r="B82" s="227" t="inlineStr">
        <is>
          <t>Wayne Furge</t>
        </is>
      </c>
      <c r="C82" s="227" t="inlineStr">
        <is>
          <t>LGC Rail</t>
        </is>
      </c>
      <c r="D82" s="227" t="inlineStr">
        <is>
          <t>Logistics Team (4x)</t>
        </is>
      </c>
      <c r="E82" s="228" t="n">
        <v>46320</v>
      </c>
      <c r="F82" s="192" t="inlineStr">
        <is>
          <t>DRV-IN PM RDM</t>
        </is>
      </c>
      <c r="G82" s="227" t="inlineStr">
        <is>
          <t>To be submitted</t>
        </is>
      </c>
      <c r="H82" s="227" t="n"/>
    </row>
    <row r="83">
      <c r="B83" s="227" t="inlineStr">
        <is>
          <t>William Stoneman</t>
        </is>
      </c>
      <c r="C83" s="227" t="inlineStr">
        <is>
          <t>SLM</t>
        </is>
      </c>
      <c r="D83" s="227" t="inlineStr">
        <is>
          <t>Roster B - Civil Team 2 (4x)</t>
        </is>
      </c>
      <c r="E83" s="228" t="n">
        <v>46320</v>
      </c>
      <c r="F83" s="192" t="inlineStr">
        <is>
          <t>WRR</t>
        </is>
      </c>
      <c r="G83" s="227" t="inlineStr">
        <is>
          <t>Confirmed (bright green - check)</t>
        </is>
      </c>
      <c r="H83" s="227" t="n"/>
    </row>
    <row r="84">
      <c r="B84" s="227" t="inlineStr">
        <is>
          <t>Aaron Pick</t>
        </is>
      </c>
      <c r="C84" s="227" t="inlineStr">
        <is>
          <t>LGC</t>
        </is>
      </c>
      <c r="D84" s="227" t="inlineStr">
        <is>
          <t>Roster B- Electrical Team 2 (5x)</t>
        </is>
      </c>
      <c r="E84" s="228" t="n">
        <v>46321</v>
      </c>
      <c r="F84" s="192" t="inlineStr">
        <is>
          <t>RDM</t>
        </is>
      </c>
      <c r="G84" s="227" t="inlineStr">
        <is>
          <t>Confirmed (bright green - check)</t>
        </is>
      </c>
      <c r="H84" s="227" t="n"/>
    </row>
    <row r="85">
      <c r="B85" s="227" t="inlineStr">
        <is>
          <t>Abdallah Joudeh</t>
        </is>
      </c>
      <c r="C85" s="227" t="inlineStr">
        <is>
          <t>Wabtec</t>
        </is>
      </c>
      <c r="D85" s="227" t="inlineStr">
        <is>
          <t>Management HSE / CM ( 2x)</t>
        </is>
      </c>
      <c r="E85" s="228" t="n">
        <v>46321</v>
      </c>
      <c r="F85" s="192" t="inlineStr">
        <is>
          <t>PHE/PER AM</t>
        </is>
      </c>
      <c r="G85" s="227" t="inlineStr">
        <is>
          <t>Confirmed (bright green - check)</t>
        </is>
      </c>
      <c r="H85" s="227" t="n"/>
    </row>
    <row r="86">
      <c r="B86" s="227" t="inlineStr">
        <is>
          <t>Andrew Burger</t>
        </is>
      </c>
      <c r="C86" s="227" t="inlineStr">
        <is>
          <t>Wabtec</t>
        </is>
      </c>
      <c r="D86" s="227" t="inlineStr">
        <is>
          <t>Roster B - Civil Team 2 (4x)</t>
        </is>
      </c>
      <c r="E86" s="228" t="n">
        <v>46321</v>
      </c>
      <c r="F86" s="192" t="inlineStr">
        <is>
          <t>WRR</t>
        </is>
      </c>
      <c r="G86" s="227" t="inlineStr">
        <is>
          <t>Confirmed (bright green - check)</t>
        </is>
      </c>
      <c r="H86" s="227" t="n"/>
    </row>
    <row r="87">
      <c r="B87" s="227" t="inlineStr">
        <is>
          <t>Bruce Lamb</t>
        </is>
      </c>
      <c r="C87" s="227" t="inlineStr">
        <is>
          <t>Sentinel</t>
        </is>
      </c>
      <c r="D87" s="227" t="inlineStr">
        <is>
          <t>Track Protection Officers (Standby)</t>
        </is>
      </c>
      <c r="E87" s="228" t="n">
        <v>46321</v>
      </c>
      <c r="F87" s="192" t="inlineStr">
        <is>
          <t>RDM</t>
        </is>
      </c>
      <c r="G87" s="227" t="inlineStr">
        <is>
          <t>Confirmed (bright green - check)</t>
        </is>
      </c>
      <c r="H87" s="227" t="n"/>
    </row>
    <row r="88">
      <c r="B88" s="227" t="inlineStr">
        <is>
          <t>David Child</t>
        </is>
      </c>
      <c r="C88" s="227" t="inlineStr">
        <is>
          <t>Wabtec</t>
        </is>
      </c>
      <c r="D88" s="227" t="inlineStr">
        <is>
          <t>Roster B- Electrical Team 2 (5x)</t>
        </is>
      </c>
      <c r="E88" s="228" t="n">
        <v>46321</v>
      </c>
      <c r="F88" s="192" t="inlineStr">
        <is>
          <t>RDM</t>
        </is>
      </c>
      <c r="G88" s="227" t="inlineStr">
        <is>
          <t>Confirmed (bright green - check)</t>
        </is>
      </c>
      <c r="H88" s="227" t="n"/>
    </row>
    <row r="89">
      <c r="B89" s="227" t="inlineStr">
        <is>
          <t>David Keating</t>
        </is>
      </c>
      <c r="C89" s="227" t="inlineStr">
        <is>
          <t>Sentinel</t>
        </is>
      </c>
      <c r="D89" s="227" t="inlineStr">
        <is>
          <t>Track Protection Officers (Standby)</t>
        </is>
      </c>
      <c r="E89" s="228" t="n">
        <v>46321</v>
      </c>
      <c r="F89" s="192" t="inlineStr">
        <is>
          <t>WRR</t>
        </is>
      </c>
      <c r="G89" s="227" t="inlineStr">
        <is>
          <t>Confirmed (bright green - check)</t>
        </is>
      </c>
      <c r="H89" s="227" t="n"/>
    </row>
    <row r="90">
      <c r="B90" s="227" t="inlineStr">
        <is>
          <t>David McGowan</t>
        </is>
      </c>
      <c r="C90" s="227" t="inlineStr">
        <is>
          <t>Back Up</t>
        </is>
      </c>
      <c r="D90" s="227" t="inlineStr">
        <is>
          <t>Communication Specialist</t>
        </is>
      </c>
      <c r="E90" s="228" t="n">
        <v>46321</v>
      </c>
      <c r="F90" s="192" t="inlineStr">
        <is>
          <t>DO AM</t>
        </is>
      </c>
      <c r="G90" s="227" t="inlineStr">
        <is>
          <t>New changes</t>
        </is>
      </c>
      <c r="H90" s="227" t="n"/>
    </row>
    <row r="91">
      <c r="B91" s="227" t="inlineStr">
        <is>
          <t>Declan Turner</t>
        </is>
      </c>
      <c r="C91" s="227" t="inlineStr">
        <is>
          <t>Wabtec</t>
        </is>
      </c>
      <c r="D91" s="227" t="inlineStr">
        <is>
          <t>Roster A - Electrical Team 1 (5x)</t>
        </is>
      </c>
      <c r="E91" s="228" t="n">
        <v>46321</v>
      </c>
      <c r="F91" s="192" t="inlineStr">
        <is>
          <t>WRR</t>
        </is>
      </c>
      <c r="G91" s="227" t="inlineStr">
        <is>
          <t>Confirmed (bright green - check)</t>
        </is>
      </c>
      <c r="H91" s="227" t="n"/>
    </row>
    <row r="92">
      <c r="B92" s="227" t="inlineStr">
        <is>
          <t>Elizabeth Kamana</t>
        </is>
      </c>
      <c r="C92" s="227" t="inlineStr">
        <is>
          <t>Sentinel</t>
        </is>
      </c>
      <c r="D92" s="227" t="inlineStr">
        <is>
          <t>Track Protection Officers (Standby)</t>
        </is>
      </c>
      <c r="E92" s="228" t="n">
        <v>46321</v>
      </c>
      <c r="F92" s="192" t="inlineStr">
        <is>
          <t>WRR</t>
        </is>
      </c>
      <c r="G92" s="227" t="inlineStr">
        <is>
          <t>Confirmed (bright green - check)</t>
        </is>
      </c>
      <c r="H92" s="227" t="n"/>
    </row>
    <row r="93">
      <c r="B93" s="227" t="inlineStr">
        <is>
          <t>Jacob Harding</t>
        </is>
      </c>
      <c r="C93" s="227" t="inlineStr">
        <is>
          <t>2XM</t>
        </is>
      </c>
      <c r="D93" s="227" t="inlineStr">
        <is>
          <t>Roster B- Electrical Team 2 (5x)</t>
        </is>
      </c>
      <c r="E93" s="228" t="n">
        <v>46321</v>
      </c>
      <c r="F93" s="192" t="inlineStr">
        <is>
          <t>RDM</t>
        </is>
      </c>
      <c r="G93" s="227" t="inlineStr">
        <is>
          <t>Confirmed (bright green - check)</t>
        </is>
      </c>
      <c r="H93" s="227" t="n"/>
    </row>
    <row r="94">
      <c r="B94" s="227" t="inlineStr">
        <is>
          <t>John Stephen</t>
        </is>
      </c>
      <c r="C94" s="227" t="inlineStr">
        <is>
          <t>Wabtec</t>
        </is>
      </c>
      <c r="D94" s="227" t="inlineStr">
        <is>
          <t>Logistics Team (4x)</t>
        </is>
      </c>
      <c r="E94" s="228" t="n">
        <v>46321</v>
      </c>
      <c r="F94" s="192" t="inlineStr">
        <is>
          <t>RDM</t>
        </is>
      </c>
      <c r="G94" s="227" t="inlineStr">
        <is>
          <t>Double checked</t>
        </is>
      </c>
      <c r="H94" s="227" t="n"/>
    </row>
    <row r="95">
      <c r="B95" s="227" t="inlineStr">
        <is>
          <t>Joseph Parker</t>
        </is>
      </c>
      <c r="C95" s="227" t="inlineStr">
        <is>
          <t>Wabtec</t>
        </is>
      </c>
      <c r="D95" s="227" t="inlineStr">
        <is>
          <t>Roster A - Electrical Team 1 (5x)</t>
        </is>
      </c>
      <c r="E95" s="228" t="n">
        <v>46321</v>
      </c>
      <c r="F95" s="192" t="inlineStr">
        <is>
          <t>WRR</t>
        </is>
      </c>
      <c r="G95" s="227" t="inlineStr">
        <is>
          <t>Confirmed (bright green - check)</t>
        </is>
      </c>
      <c r="H95" s="227" t="n"/>
    </row>
    <row r="96">
      <c r="B96" s="227" t="inlineStr">
        <is>
          <t>Luke Watson</t>
        </is>
      </c>
      <c r="C96" s="227" t="inlineStr">
        <is>
          <t>Wabtec</t>
        </is>
      </c>
      <c r="D96" s="227" t="inlineStr">
        <is>
          <t>Roster B- Electrical Team 2 (5x)</t>
        </is>
      </c>
      <c r="E96" s="228" t="n">
        <v>46321</v>
      </c>
      <c r="F96" s="192" t="inlineStr">
        <is>
          <t>RDM</t>
        </is>
      </c>
      <c r="G96" s="227" t="inlineStr">
        <is>
          <t>Confirmed (bright green - check)</t>
        </is>
      </c>
      <c r="H96" s="227" t="n"/>
    </row>
    <row r="97">
      <c r="B97" s="227" t="inlineStr">
        <is>
          <t>Martin Smart</t>
        </is>
      </c>
      <c r="C97" s="227" t="inlineStr">
        <is>
          <t>STS</t>
        </is>
      </c>
      <c r="D97" s="227" t="inlineStr">
        <is>
          <t>Roster B- Electrical Team 2 (5x)</t>
        </is>
      </c>
      <c r="E97" s="228" t="n">
        <v>46321</v>
      </c>
      <c r="F97" s="192" t="inlineStr">
        <is>
          <t>RDM</t>
        </is>
      </c>
      <c r="G97" s="227" t="inlineStr">
        <is>
          <t>Confirmed (bright green - check)</t>
        </is>
      </c>
      <c r="H97" s="227" t="n"/>
    </row>
    <row r="98">
      <c r="B98" s="227" t="inlineStr">
        <is>
          <t>Merle Quaak</t>
        </is>
      </c>
      <c r="C98" s="227" t="inlineStr">
        <is>
          <t>PTM</t>
        </is>
      </c>
      <c r="D98" s="227" t="inlineStr">
        <is>
          <t>Traffic Controllers &amp; Lifting</t>
        </is>
      </c>
      <c r="E98" s="228" t="n">
        <v>46321</v>
      </c>
      <c r="F98" s="192" t="inlineStr">
        <is>
          <t>DO PM</t>
        </is>
      </c>
      <c r="G98" s="227" t="inlineStr">
        <is>
          <t>To be submitted</t>
        </is>
      </c>
      <c r="H98" s="227" t="n"/>
    </row>
    <row r="99">
      <c r="B99" s="227" t="inlineStr">
        <is>
          <t>Ngang Chool</t>
        </is>
      </c>
      <c r="C99" s="227" t="inlineStr">
        <is>
          <t>LGC Rail</t>
        </is>
      </c>
      <c r="D99" s="227" t="inlineStr">
        <is>
          <t>Roster B - Civil Team 2 (4x)</t>
        </is>
      </c>
      <c r="E99" s="228" t="n">
        <v>46321</v>
      </c>
      <c r="F99" s="192" t="inlineStr">
        <is>
          <t>WRR</t>
        </is>
      </c>
      <c r="G99" s="227" t="inlineStr">
        <is>
          <t>To be submitted</t>
        </is>
      </c>
      <c r="H99" s="227" t="n"/>
    </row>
    <row r="100">
      <c r="B100" s="227" t="inlineStr">
        <is>
          <t>Richard Lewis</t>
        </is>
      </c>
      <c r="C100" s="227" t="inlineStr">
        <is>
          <t>2XM</t>
        </is>
      </c>
      <c r="D100" s="227" t="inlineStr">
        <is>
          <t>Roster A - Electrical Team 1 (5x)</t>
        </is>
      </c>
      <c r="E100" s="228" t="n">
        <v>46321</v>
      </c>
      <c r="F100" s="192" t="inlineStr">
        <is>
          <t>WRR</t>
        </is>
      </c>
      <c r="G100" s="227" t="inlineStr">
        <is>
          <t>Confirmed (bright green - check)</t>
        </is>
      </c>
      <c r="H100" s="227" t="n"/>
    </row>
    <row r="101">
      <c r="B101" s="227" t="inlineStr">
        <is>
          <t>Roisin Coleman</t>
        </is>
      </c>
      <c r="C101" s="227" t="inlineStr">
        <is>
          <t>PTM</t>
        </is>
      </c>
      <c r="D101" s="227" t="inlineStr">
        <is>
          <t>Traffic Controllers &amp; Lifting</t>
        </is>
      </c>
      <c r="E101" s="228" t="n">
        <v>46321</v>
      </c>
      <c r="F101" s="192" t="inlineStr">
        <is>
          <t>DO PM</t>
        </is>
      </c>
      <c r="G101" s="227" t="inlineStr">
        <is>
          <t>To be submitted</t>
        </is>
      </c>
      <c r="H101" s="227" t="n"/>
    </row>
    <row r="102">
      <c r="B102" s="227" t="inlineStr">
        <is>
          <t>Stephen Anthony</t>
        </is>
      </c>
      <c r="C102" s="227" t="inlineStr">
        <is>
          <t>Wabtec</t>
        </is>
      </c>
      <c r="D102" s="227" t="inlineStr">
        <is>
          <t>Roster A - Electrical Team 1 (5x)</t>
        </is>
      </c>
      <c r="E102" s="228" t="n">
        <v>46321</v>
      </c>
      <c r="F102" s="192" t="inlineStr">
        <is>
          <t>WRR</t>
        </is>
      </c>
      <c r="G102" s="227" t="inlineStr">
        <is>
          <t>Confirmed (bright green - check)</t>
        </is>
      </c>
      <c r="H102" s="227" t="n"/>
    </row>
    <row r="103">
      <c r="B103" s="227" t="inlineStr">
        <is>
          <t>Wayne Furge</t>
        </is>
      </c>
      <c r="C103" s="227" t="inlineStr">
        <is>
          <t>LGC Rail</t>
        </is>
      </c>
      <c r="D103" s="227" t="inlineStr">
        <is>
          <t>Logistics Team (4x)</t>
        </is>
      </c>
      <c r="E103" s="228" t="n">
        <v>46321</v>
      </c>
      <c r="F103" s="192" t="inlineStr">
        <is>
          <t>RDM</t>
        </is>
      </c>
      <c r="G103" s="227" t="inlineStr">
        <is>
          <t>To be submitted</t>
        </is>
      </c>
      <c r="H103" s="227" t="n"/>
    </row>
    <row r="104">
      <c r="B104" s="227" t="inlineStr">
        <is>
          <t>William Stoneman</t>
        </is>
      </c>
      <c r="C104" s="227" t="inlineStr">
        <is>
          <t>SLM</t>
        </is>
      </c>
      <c r="D104" s="227" t="inlineStr">
        <is>
          <t>Roster B - Civil Team 2 (4x)</t>
        </is>
      </c>
      <c r="E104" s="228" t="n">
        <v>46321</v>
      </c>
      <c r="F104" s="192" t="inlineStr">
        <is>
          <t>WRR</t>
        </is>
      </c>
      <c r="G104" s="227" t="inlineStr">
        <is>
          <t>Confirmed (bright green - check)</t>
        </is>
      </c>
      <c r="H104" s="227" t="n"/>
    </row>
    <row r="105">
      <c r="B105" s="227" t="inlineStr">
        <is>
          <t>Aaron Pick</t>
        </is>
      </c>
      <c r="C105" s="227" t="inlineStr">
        <is>
          <t>LGC</t>
        </is>
      </c>
      <c r="D105" s="227" t="inlineStr">
        <is>
          <t>Roster B- Electrical Team 2 (5x)</t>
        </is>
      </c>
      <c r="E105" s="228" t="n">
        <v>46322</v>
      </c>
      <c r="F105" s="192" t="inlineStr">
        <is>
          <t>PHE/PER PM</t>
        </is>
      </c>
      <c r="G105" s="227" t="inlineStr">
        <is>
          <t>Double checked</t>
        </is>
      </c>
      <c r="H105" s="227" t="n"/>
    </row>
    <row r="106">
      <c r="B106" s="227" t="inlineStr">
        <is>
          <t>Aaron Vaccaro</t>
        </is>
      </c>
      <c r="C106" s="227" t="inlineStr">
        <is>
          <t>LGC Rail</t>
        </is>
      </c>
      <c r="D106" s="227" t="inlineStr">
        <is>
          <t>Logistics Team (4x)</t>
        </is>
      </c>
      <c r="E106" s="228" t="n">
        <v>46322</v>
      </c>
      <c r="F106" s="192" t="inlineStr">
        <is>
          <t>PER/PHE PM LND</t>
        </is>
      </c>
      <c r="G106" s="227" t="inlineStr">
        <is>
          <t>Double checked</t>
        </is>
      </c>
      <c r="H106" s="227" t="n"/>
    </row>
    <row r="107">
      <c r="B107" s="227" t="inlineStr">
        <is>
          <t>Andrew Burger</t>
        </is>
      </c>
      <c r="C107" s="227" t="inlineStr">
        <is>
          <t>Wabtec</t>
        </is>
      </c>
      <c r="D107" s="227" t="inlineStr">
        <is>
          <t>Roster B - Civil Team 2 (4x)</t>
        </is>
      </c>
      <c r="E107" s="228" t="n">
        <v>46322</v>
      </c>
      <c r="F107" s="192" t="inlineStr">
        <is>
          <t>PHE/PER PM</t>
        </is>
      </c>
      <c r="G107" s="227" t="inlineStr">
        <is>
          <t>Double checked</t>
        </is>
      </c>
      <c r="H107" s="227" t="n"/>
    </row>
    <row r="108">
      <c r="B108" s="227" t="inlineStr">
        <is>
          <t>Bruce Lamb</t>
        </is>
      </c>
      <c r="C108" s="227" t="inlineStr">
        <is>
          <t>Sentinel</t>
        </is>
      </c>
      <c r="D108" s="227" t="inlineStr">
        <is>
          <t>Track Protection Officers (Standby)</t>
        </is>
      </c>
      <c r="E108" s="228" t="n">
        <v>46322</v>
      </c>
      <c r="F108" s="192" t="inlineStr">
        <is>
          <t>PHE/PER PM</t>
        </is>
      </c>
      <c r="G108" s="227" t="inlineStr">
        <is>
          <t>Double checked</t>
        </is>
      </c>
      <c r="H108" s="227" t="n"/>
    </row>
    <row r="109">
      <c r="B109" s="227" t="inlineStr">
        <is>
          <t>Carradene Boyer</t>
        </is>
      </c>
      <c r="C109" s="227" t="inlineStr">
        <is>
          <t>LGC Rail</t>
        </is>
      </c>
      <c r="D109" s="227" t="inlineStr">
        <is>
          <t>Roster A - Civil Team 1 (4x)</t>
        </is>
      </c>
      <c r="E109" s="228" t="n">
        <v>46322</v>
      </c>
      <c r="F109" s="192" t="inlineStr">
        <is>
          <t>PER/PHE PM LND</t>
        </is>
      </c>
      <c r="G109" s="227" t="inlineStr">
        <is>
          <t>To be submitted</t>
        </is>
      </c>
      <c r="H109" s="227" t="n"/>
    </row>
    <row r="110">
      <c r="B110" s="227" t="inlineStr">
        <is>
          <t>David Child</t>
        </is>
      </c>
      <c r="C110" s="227" t="inlineStr">
        <is>
          <t>Wabtec</t>
        </is>
      </c>
      <c r="D110" s="227" t="inlineStr">
        <is>
          <t>Roster B- Electrical Team 2 (5x)</t>
        </is>
      </c>
      <c r="E110" s="228" t="n">
        <v>46322</v>
      </c>
      <c r="F110" s="192" t="inlineStr">
        <is>
          <t>PHE/PER PM</t>
        </is>
      </c>
      <c r="G110" s="227" t="inlineStr">
        <is>
          <t>Double checked</t>
        </is>
      </c>
      <c r="H110" s="227" t="n"/>
    </row>
    <row r="111">
      <c r="B111" s="227" t="inlineStr">
        <is>
          <t>David Keating</t>
        </is>
      </c>
      <c r="C111" s="227" t="inlineStr">
        <is>
          <t>Sentinel</t>
        </is>
      </c>
      <c r="D111" s="227" t="inlineStr">
        <is>
          <t>Track Protection Officers (Standby)</t>
        </is>
      </c>
      <c r="E111" s="228" t="n">
        <v>46322</v>
      </c>
      <c r="F111" s="192" t="inlineStr">
        <is>
          <t>WRR</t>
        </is>
      </c>
      <c r="G111" s="227" t="inlineStr">
        <is>
          <t>Confirmed (bright green - check)</t>
        </is>
      </c>
      <c r="H111" s="227" t="n"/>
    </row>
    <row r="112">
      <c r="B112" s="227" t="inlineStr">
        <is>
          <t>Declan Turner</t>
        </is>
      </c>
      <c r="C112" s="227" t="inlineStr">
        <is>
          <t>Wabtec</t>
        </is>
      </c>
      <c r="D112" s="227" t="inlineStr">
        <is>
          <t>Roster A - Electrical Team 1 (5x)</t>
        </is>
      </c>
      <c r="E112" s="228" t="n">
        <v>46322</v>
      </c>
      <c r="F112" s="192" t="inlineStr">
        <is>
          <t>WRR</t>
        </is>
      </c>
      <c r="G112" s="227" t="inlineStr">
        <is>
          <t>Confirmed (bright green - check)</t>
        </is>
      </c>
      <c r="H112" s="227" t="n"/>
    </row>
    <row r="113">
      <c r="B113" s="227" t="inlineStr">
        <is>
          <t>Duke Southby Osborne</t>
        </is>
      </c>
      <c r="C113" s="227" t="inlineStr">
        <is>
          <t>SLM</t>
        </is>
      </c>
      <c r="D113" s="227" t="inlineStr">
        <is>
          <t>Roster A - Civil Team 1 (4x)</t>
        </is>
      </c>
      <c r="E113" s="228" t="n">
        <v>46322</v>
      </c>
      <c r="F113" s="192" t="inlineStr">
        <is>
          <t>PER/PHE PM LND</t>
        </is>
      </c>
      <c r="G113" s="227" t="inlineStr">
        <is>
          <t>To be submitted</t>
        </is>
      </c>
      <c r="H113" s="227" t="n"/>
    </row>
    <row r="114">
      <c r="B114" s="227" t="inlineStr">
        <is>
          <t>Elizabeth Kamana</t>
        </is>
      </c>
      <c r="C114" s="227" t="inlineStr">
        <is>
          <t>Sentinel</t>
        </is>
      </c>
      <c r="D114" s="227" t="inlineStr">
        <is>
          <t>Track Protection Officers (Standby)</t>
        </is>
      </c>
      <c r="E114" s="228" t="n">
        <v>46322</v>
      </c>
      <c r="F114" s="192" t="inlineStr">
        <is>
          <t>PHE/PER PM</t>
        </is>
      </c>
      <c r="G114" s="227" t="inlineStr">
        <is>
          <t>Confirmed (bright green - check)</t>
        </is>
      </c>
      <c r="H114" s="227" t="n"/>
    </row>
    <row r="115">
      <c r="B115" s="227" t="inlineStr">
        <is>
          <t>George Milton</t>
        </is>
      </c>
      <c r="C115" s="227" t="inlineStr">
        <is>
          <t>Wabtec</t>
        </is>
      </c>
      <c r="D115" s="227" t="inlineStr">
        <is>
          <t>Roster A - Electrical Team 1 (5x)</t>
        </is>
      </c>
      <c r="E115" s="228" t="n">
        <v>46322</v>
      </c>
      <c r="F115" s="192" t="inlineStr">
        <is>
          <t>PER/ZNE PM WRR</t>
        </is>
      </c>
      <c r="G115" s="227" t="inlineStr">
        <is>
          <t>To be submitted</t>
        </is>
      </c>
      <c r="H115" s="227" t="n"/>
    </row>
    <row r="116">
      <c r="B116" s="227" t="inlineStr">
        <is>
          <t>Jacob Harding</t>
        </is>
      </c>
      <c r="C116" s="227" t="inlineStr">
        <is>
          <t>2XM</t>
        </is>
      </c>
      <c r="D116" s="227" t="inlineStr">
        <is>
          <t>Roster B- Electrical Team 2 (5x)</t>
        </is>
      </c>
      <c r="E116" s="228" t="n">
        <v>46322</v>
      </c>
      <c r="F116" s="192" t="inlineStr">
        <is>
          <t>PHE/PER PM</t>
        </is>
      </c>
      <c r="G116" s="227" t="inlineStr">
        <is>
          <t>Double checked</t>
        </is>
      </c>
      <c r="H116" s="227" t="n"/>
    </row>
    <row r="117">
      <c r="B117" s="227" t="inlineStr">
        <is>
          <t>John Stephen</t>
        </is>
      </c>
      <c r="C117" s="227" t="inlineStr">
        <is>
          <t>Wabtec</t>
        </is>
      </c>
      <c r="D117" s="227" t="inlineStr">
        <is>
          <t>Logistics Team (4x)</t>
        </is>
      </c>
      <c r="E117" s="228" t="n">
        <v>46322</v>
      </c>
      <c r="F117" s="192" t="inlineStr">
        <is>
          <t>PHE/PER PM</t>
        </is>
      </c>
      <c r="G117" s="227" t="inlineStr">
        <is>
          <t>Double checked</t>
        </is>
      </c>
      <c r="H117" s="227" t="n"/>
    </row>
    <row r="118">
      <c r="B118" s="227" t="inlineStr">
        <is>
          <t>Joseph Parker</t>
        </is>
      </c>
      <c r="C118" s="227" t="inlineStr">
        <is>
          <t>Wabtec</t>
        </is>
      </c>
      <c r="D118" s="227" t="inlineStr">
        <is>
          <t>Roster A - Electrical Team 1 (5x)</t>
        </is>
      </c>
      <c r="E118" s="228" t="n">
        <v>46322</v>
      </c>
      <c r="F118" s="192" t="inlineStr">
        <is>
          <t>WRR</t>
        </is>
      </c>
      <c r="G118" s="227" t="inlineStr">
        <is>
          <t>Confirmed (bright green - check)</t>
        </is>
      </c>
      <c r="H118" s="227" t="n"/>
    </row>
    <row r="119">
      <c r="B119" s="227" t="inlineStr">
        <is>
          <t>Luke Watson</t>
        </is>
      </c>
      <c r="C119" s="227" t="inlineStr">
        <is>
          <t>Wabtec</t>
        </is>
      </c>
      <c r="D119" s="227" t="inlineStr">
        <is>
          <t>Roster B- Electrical Team 2 (5x)</t>
        </is>
      </c>
      <c r="E119" s="228" t="n">
        <v>46322</v>
      </c>
      <c r="F119" s="192" t="inlineStr">
        <is>
          <t>PHE/PER PM</t>
        </is>
      </c>
      <c r="G119" s="227" t="inlineStr">
        <is>
          <t>Double checked</t>
        </is>
      </c>
      <c r="H119" s="227" t="n"/>
    </row>
    <row r="120">
      <c r="B120" s="227" t="inlineStr">
        <is>
          <t>Martin Smart</t>
        </is>
      </c>
      <c r="C120" s="227" t="inlineStr">
        <is>
          <t>STS</t>
        </is>
      </c>
      <c r="D120" s="227" t="inlineStr">
        <is>
          <t>Roster B- Electrical Team 2 (5x)</t>
        </is>
      </c>
      <c r="E120" s="228" t="n">
        <v>46322</v>
      </c>
      <c r="F120" s="192" t="inlineStr">
        <is>
          <t>PHE/PER PM</t>
        </is>
      </c>
      <c r="G120" s="227" t="inlineStr">
        <is>
          <t>Double checked</t>
        </is>
      </c>
      <c r="H120" s="227" t="n"/>
    </row>
    <row r="121">
      <c r="B121" s="227" t="inlineStr">
        <is>
          <t>Ngang Chool</t>
        </is>
      </c>
      <c r="C121" s="227" t="inlineStr">
        <is>
          <t>LGC Rail</t>
        </is>
      </c>
      <c r="D121" s="227" t="inlineStr">
        <is>
          <t>Roster B - Civil Team 2 (4x)</t>
        </is>
      </c>
      <c r="E121" s="228" t="n">
        <v>46322</v>
      </c>
      <c r="F121" s="192" t="inlineStr">
        <is>
          <t>PHE/PER PM</t>
        </is>
      </c>
      <c r="G121" s="227" t="inlineStr">
        <is>
          <t>To be submitted</t>
        </is>
      </c>
      <c r="H121" s="227" t="n"/>
    </row>
    <row r="122">
      <c r="B122" s="227" t="inlineStr">
        <is>
          <t>Richard Lewis</t>
        </is>
      </c>
      <c r="C122" s="227" t="inlineStr">
        <is>
          <t>2XM</t>
        </is>
      </c>
      <c r="D122" s="227" t="inlineStr">
        <is>
          <t>Roster A - Electrical Team 1 (5x)</t>
        </is>
      </c>
      <c r="E122" s="228" t="n">
        <v>46322</v>
      </c>
      <c r="F122" s="192" t="inlineStr">
        <is>
          <t>WRR</t>
        </is>
      </c>
      <c r="G122" s="227" t="inlineStr">
        <is>
          <t>Confirmed (bright green - check)</t>
        </is>
      </c>
      <c r="H122" s="227" t="n"/>
    </row>
    <row r="123">
      <c r="B123" s="227" t="inlineStr">
        <is>
          <t>Stephen Anthony</t>
        </is>
      </c>
      <c r="C123" s="227" t="inlineStr">
        <is>
          <t>Wabtec</t>
        </is>
      </c>
      <c r="D123" s="227" t="inlineStr">
        <is>
          <t>Roster A - Electrical Team 1 (5x)</t>
        </is>
      </c>
      <c r="E123" s="228" t="n">
        <v>46322</v>
      </c>
      <c r="F123" s="192" t="inlineStr">
        <is>
          <t>WRR</t>
        </is>
      </c>
      <c r="G123" s="227" t="inlineStr">
        <is>
          <t>Confirmed (bright green - check)</t>
        </is>
      </c>
      <c r="H123" s="227" t="n"/>
    </row>
    <row r="124">
      <c r="B124" s="227" t="inlineStr">
        <is>
          <t>Tyler Jorgensen</t>
        </is>
      </c>
      <c r="C124" s="227" t="inlineStr">
        <is>
          <t>LGC Rail</t>
        </is>
      </c>
      <c r="D124" s="227" t="inlineStr">
        <is>
          <t>Roster A - Civil Team 1 (4x)</t>
        </is>
      </c>
      <c r="E124" s="228" t="n">
        <v>46322</v>
      </c>
      <c r="F124" s="192" t="inlineStr">
        <is>
          <t>PER/PHE PM LND</t>
        </is>
      </c>
      <c r="G124" s="227" t="inlineStr">
        <is>
          <t>To be submitted</t>
        </is>
      </c>
      <c r="H124" s="227" t="n"/>
    </row>
    <row r="125">
      <c r="B125" s="227" t="inlineStr">
        <is>
          <t>Wayne Furge</t>
        </is>
      </c>
      <c r="C125" s="227" t="inlineStr">
        <is>
          <t>LGC Rail</t>
        </is>
      </c>
      <c r="D125" s="227" t="inlineStr">
        <is>
          <t>Logistics Team (4x)</t>
        </is>
      </c>
      <c r="E125" s="228" t="n">
        <v>46322</v>
      </c>
      <c r="F125" s="192" t="inlineStr">
        <is>
          <t>RDM</t>
        </is>
      </c>
      <c r="G125" s="227" t="inlineStr">
        <is>
          <t>To be submitted</t>
        </is>
      </c>
      <c r="H125" s="227" t="n"/>
    </row>
    <row r="126">
      <c r="B126" s="227" t="inlineStr">
        <is>
          <t>William Bolger</t>
        </is>
      </c>
      <c r="C126" s="227" t="inlineStr">
        <is>
          <t>LGC Rail</t>
        </is>
      </c>
      <c r="D126" s="227" t="inlineStr">
        <is>
          <t>Roster A - Civil Team 1 (4x)</t>
        </is>
      </c>
      <c r="E126" s="228" t="n">
        <v>46322</v>
      </c>
      <c r="F126" s="192" t="inlineStr">
        <is>
          <t>PER/PHE PM LND</t>
        </is>
      </c>
      <c r="G126" s="227" t="inlineStr">
        <is>
          <t>To be submitted</t>
        </is>
      </c>
      <c r="H126" s="227" t="n"/>
    </row>
    <row r="127">
      <c r="B127" s="227" t="inlineStr">
        <is>
          <t>William Stoneman</t>
        </is>
      </c>
      <c r="C127" s="227" t="inlineStr">
        <is>
          <t>SLM</t>
        </is>
      </c>
      <c r="D127" s="227" t="inlineStr">
        <is>
          <t>Roster B - Civil Team 2 (4x)</t>
        </is>
      </c>
      <c r="E127" s="228" t="n">
        <v>46322</v>
      </c>
      <c r="F127" s="192" t="inlineStr">
        <is>
          <t>PHE/PER PM</t>
        </is>
      </c>
      <c r="G127" s="227" t="inlineStr">
        <is>
          <t>Confirmed (bright green - check)</t>
        </is>
      </c>
      <c r="H127" s="227" t="n"/>
    </row>
    <row r="128">
      <c r="B128" s="227" t="inlineStr">
        <is>
          <t>Aaron Vaccaro</t>
        </is>
      </c>
      <c r="C128" s="227" t="inlineStr">
        <is>
          <t>LGC Rail</t>
        </is>
      </c>
      <c r="D128" s="227" t="inlineStr">
        <is>
          <t>Logistics Team (4x)</t>
        </is>
      </c>
      <c r="E128" s="228" t="n">
        <v>46323</v>
      </c>
      <c r="F128" s="192" t="inlineStr">
        <is>
          <t>RDM</t>
        </is>
      </c>
      <c r="G128" s="227" t="inlineStr">
        <is>
          <t>To be submitted</t>
        </is>
      </c>
      <c r="H128" s="227" t="n"/>
    </row>
    <row r="129">
      <c r="B129" s="227" t="inlineStr">
        <is>
          <t>Carradene Boyer</t>
        </is>
      </c>
      <c r="C129" s="227" t="inlineStr">
        <is>
          <t>LGC Rail</t>
        </is>
      </c>
      <c r="D129" s="227" t="inlineStr">
        <is>
          <t>Roster A - Civil Team 1 (4x)</t>
        </is>
      </c>
      <c r="E129" s="228" t="n">
        <v>46323</v>
      </c>
      <c r="F129" s="192" t="inlineStr">
        <is>
          <t>RDM</t>
        </is>
      </c>
      <c r="G129" s="227" t="inlineStr">
        <is>
          <t>To be submitted</t>
        </is>
      </c>
      <c r="H129" s="227" t="n"/>
    </row>
    <row r="130">
      <c r="B130" s="227" t="inlineStr">
        <is>
          <t>David Keating</t>
        </is>
      </c>
      <c r="C130" s="227" t="inlineStr">
        <is>
          <t>Sentinel</t>
        </is>
      </c>
      <c r="D130" s="227" t="inlineStr">
        <is>
          <t>Track Protection Officers (Standby)</t>
        </is>
      </c>
      <c r="E130" s="228" t="n">
        <v>46323</v>
      </c>
      <c r="F130" s="192" t="inlineStr">
        <is>
          <t>SPX</t>
        </is>
      </c>
      <c r="G130" s="227" t="inlineStr">
        <is>
          <t>Confirmed (bright green - check)</t>
        </is>
      </c>
      <c r="H130" s="227" t="n"/>
    </row>
    <row r="131">
      <c r="B131" s="227" t="inlineStr">
        <is>
          <t>Declan Turner</t>
        </is>
      </c>
      <c r="C131" s="227" t="inlineStr">
        <is>
          <t>Wabtec</t>
        </is>
      </c>
      <c r="D131" s="227" t="inlineStr">
        <is>
          <t>Roster A - Electrical Team 1 (5x)</t>
        </is>
      </c>
      <c r="E131" s="228" t="n">
        <v>46323</v>
      </c>
      <c r="F131" s="192" t="inlineStr">
        <is>
          <t>WRR</t>
        </is>
      </c>
      <c r="G131" s="227" t="inlineStr">
        <is>
          <t>To be submitted</t>
        </is>
      </c>
      <c r="H131" s="227" t="n"/>
    </row>
    <row r="132">
      <c r="B132" s="227" t="inlineStr">
        <is>
          <t>Duke Southby Osborne</t>
        </is>
      </c>
      <c r="C132" s="227" t="inlineStr">
        <is>
          <t>SLM</t>
        </is>
      </c>
      <c r="D132" s="227" t="inlineStr">
        <is>
          <t>Roster A - Civil Team 1 (4x)</t>
        </is>
      </c>
      <c r="E132" s="228" t="n">
        <v>46323</v>
      </c>
      <c r="F132" s="192" t="inlineStr">
        <is>
          <t>RDM</t>
        </is>
      </c>
      <c r="G132" s="227" t="inlineStr">
        <is>
          <t>To be submitted</t>
        </is>
      </c>
      <c r="H132" s="227" t="n"/>
    </row>
    <row r="133">
      <c r="B133" s="227" t="inlineStr">
        <is>
          <t>George Milton</t>
        </is>
      </c>
      <c r="C133" s="227" t="inlineStr">
        <is>
          <t>Wabtec</t>
        </is>
      </c>
      <c r="D133" s="227" t="inlineStr">
        <is>
          <t>Roster A - Electrical Team 1 (5x)</t>
        </is>
      </c>
      <c r="E133" s="228" t="n">
        <v>46323</v>
      </c>
      <c r="F133" s="192" t="inlineStr">
        <is>
          <t>WRR</t>
        </is>
      </c>
      <c r="G133" s="227" t="inlineStr">
        <is>
          <t>To be submitted</t>
        </is>
      </c>
      <c r="H133" s="227" t="n"/>
    </row>
    <row r="134">
      <c r="B134" s="227" t="inlineStr">
        <is>
          <t>Joseph Parker</t>
        </is>
      </c>
      <c r="C134" s="227" t="inlineStr">
        <is>
          <t>Wabtec</t>
        </is>
      </c>
      <c r="D134" s="227" t="inlineStr">
        <is>
          <t>Roster A - Electrical Team 1 (5x)</t>
        </is>
      </c>
      <c r="E134" s="228" t="n">
        <v>46323</v>
      </c>
      <c r="F134" s="192" t="inlineStr">
        <is>
          <t>WRR</t>
        </is>
      </c>
      <c r="G134" s="227" t="inlineStr">
        <is>
          <t>To be submitted</t>
        </is>
      </c>
      <c r="H134" s="227" t="n"/>
    </row>
    <row r="135">
      <c r="B135" s="227" t="inlineStr">
        <is>
          <t>Richard Lewis</t>
        </is>
      </c>
      <c r="C135" s="227" t="inlineStr">
        <is>
          <t>2XM</t>
        </is>
      </c>
      <c r="D135" s="227" t="inlineStr">
        <is>
          <t>Roster A - Electrical Team 1 (5x)</t>
        </is>
      </c>
      <c r="E135" s="228" t="n">
        <v>46323</v>
      </c>
      <c r="F135" s="192" t="inlineStr">
        <is>
          <t>WRR</t>
        </is>
      </c>
      <c r="G135" s="227" t="inlineStr">
        <is>
          <t>To be submitted</t>
        </is>
      </c>
      <c r="H135" s="227" t="n"/>
    </row>
    <row r="136">
      <c r="B136" s="227" t="inlineStr">
        <is>
          <t>Stephen Anthony</t>
        </is>
      </c>
      <c r="C136" s="227" t="inlineStr">
        <is>
          <t>Wabtec</t>
        </is>
      </c>
      <c r="D136" s="227" t="inlineStr">
        <is>
          <t>Roster A - Electrical Team 1 (5x)</t>
        </is>
      </c>
      <c r="E136" s="228" t="n">
        <v>46323</v>
      </c>
      <c r="F136" s="192" t="inlineStr">
        <is>
          <t>WRR</t>
        </is>
      </c>
      <c r="G136" s="227" t="inlineStr">
        <is>
          <t>To be submitted</t>
        </is>
      </c>
      <c r="H136" s="227" t="n"/>
    </row>
    <row r="137">
      <c r="B137" s="227" t="inlineStr">
        <is>
          <t>Tyler Jorgensen</t>
        </is>
      </c>
      <c r="C137" s="227" t="inlineStr">
        <is>
          <t>LGC Rail</t>
        </is>
      </c>
      <c r="D137" s="227" t="inlineStr">
        <is>
          <t>Roster A - Civil Team 1 (4x)</t>
        </is>
      </c>
      <c r="E137" s="228" t="n">
        <v>46323</v>
      </c>
      <c r="F137" s="192" t="inlineStr">
        <is>
          <t>RDM</t>
        </is>
      </c>
      <c r="G137" s="227" t="inlineStr">
        <is>
          <t>To be submitted</t>
        </is>
      </c>
      <c r="H137" s="227" t="n"/>
    </row>
    <row r="138">
      <c r="B138" s="227" t="inlineStr">
        <is>
          <t>Wayne Furge</t>
        </is>
      </c>
      <c r="C138" s="227" t="inlineStr">
        <is>
          <t>LGC Rail</t>
        </is>
      </c>
      <c r="D138" s="227" t="inlineStr">
        <is>
          <t>Logistics Team (4x)</t>
        </is>
      </c>
      <c r="E138" s="228" t="n">
        <v>46323</v>
      </c>
      <c r="F138" s="192" t="inlineStr">
        <is>
          <t>RDM</t>
        </is>
      </c>
      <c r="G138" s="227" t="inlineStr">
        <is>
          <t>To be submitted</t>
        </is>
      </c>
      <c r="H138" s="227" t="n"/>
    </row>
    <row r="139">
      <c r="B139" s="227" t="inlineStr">
        <is>
          <t>William Bolger</t>
        </is>
      </c>
      <c r="C139" s="227" t="inlineStr">
        <is>
          <t>LGC Rail</t>
        </is>
      </c>
      <c r="D139" s="227" t="inlineStr">
        <is>
          <t>Roster A - Civil Team 1 (4x)</t>
        </is>
      </c>
      <c r="E139" s="228" t="n">
        <v>46323</v>
      </c>
      <c r="F139" s="192" t="inlineStr">
        <is>
          <t>RDM</t>
        </is>
      </c>
      <c r="G139" s="227" t="inlineStr">
        <is>
          <t>To be submitted</t>
        </is>
      </c>
      <c r="H139" s="227" t="n"/>
    </row>
    <row r="140">
      <c r="B140" s="227" t="inlineStr">
        <is>
          <t>Aaron Vaccaro</t>
        </is>
      </c>
      <c r="C140" s="227" t="inlineStr">
        <is>
          <t>LGC Rail</t>
        </is>
      </c>
      <c r="D140" s="227" t="inlineStr">
        <is>
          <t>Logistics Team (4x)</t>
        </is>
      </c>
      <c r="E140" s="228" t="n">
        <v>46324</v>
      </c>
      <c r="F140" s="192" t="inlineStr">
        <is>
          <t>RDM</t>
        </is>
      </c>
      <c r="G140" s="227" t="inlineStr">
        <is>
          <t>To be submitted</t>
        </is>
      </c>
      <c r="H140" s="227" t="n"/>
    </row>
    <row r="141">
      <c r="B141" s="227" t="inlineStr">
        <is>
          <t>Carradene Boyer</t>
        </is>
      </c>
      <c r="C141" s="227" t="inlineStr">
        <is>
          <t>LGC Rail</t>
        </is>
      </c>
      <c r="D141" s="227" t="inlineStr">
        <is>
          <t>Roster A - Civil Team 1 (4x)</t>
        </is>
      </c>
      <c r="E141" s="228" t="n">
        <v>46324</v>
      </c>
      <c r="F141" s="192" t="inlineStr">
        <is>
          <t>RDM</t>
        </is>
      </c>
      <c r="G141" s="227" t="inlineStr">
        <is>
          <t>To be submitted</t>
        </is>
      </c>
      <c r="H141" s="227" t="n"/>
    </row>
    <row r="142">
      <c r="B142" s="227" t="inlineStr">
        <is>
          <t>David Keating</t>
        </is>
      </c>
      <c r="C142" s="227" t="inlineStr">
        <is>
          <t>Sentinel</t>
        </is>
      </c>
      <c r="D142" s="227" t="inlineStr">
        <is>
          <t>Track Protection Officers (Standby)</t>
        </is>
      </c>
      <c r="E142" s="228" t="n">
        <v>46324</v>
      </c>
      <c r="F142" s="192" t="inlineStr">
        <is>
          <t>SPX</t>
        </is>
      </c>
      <c r="G142" s="227" t="inlineStr">
        <is>
          <t>Confirmed (bright green - check)</t>
        </is>
      </c>
      <c r="H142" s="227" t="n"/>
    </row>
    <row r="143">
      <c r="B143" s="227" t="inlineStr">
        <is>
          <t>Declan Turner</t>
        </is>
      </c>
      <c r="C143" s="227" t="inlineStr">
        <is>
          <t>Wabtec</t>
        </is>
      </c>
      <c r="D143" s="227" t="inlineStr">
        <is>
          <t>Roster A - Electrical Team 1 (5x)</t>
        </is>
      </c>
      <c r="E143" s="228" t="n">
        <v>46324</v>
      </c>
      <c r="F143" s="192" t="inlineStr">
        <is>
          <t>WRR</t>
        </is>
      </c>
      <c r="G143" s="227" t="inlineStr">
        <is>
          <t>To be submitted</t>
        </is>
      </c>
      <c r="H143" s="227" t="n"/>
    </row>
    <row r="144">
      <c r="B144" s="227" t="inlineStr">
        <is>
          <t>Duke Southby Osborne</t>
        </is>
      </c>
      <c r="C144" s="227" t="inlineStr">
        <is>
          <t>SLM</t>
        </is>
      </c>
      <c r="D144" s="227" t="inlineStr">
        <is>
          <t>Roster A - Civil Team 1 (4x)</t>
        </is>
      </c>
      <c r="E144" s="228" t="n">
        <v>46324</v>
      </c>
      <c r="F144" s="192" t="inlineStr">
        <is>
          <t>RDM</t>
        </is>
      </c>
      <c r="G144" s="227" t="inlineStr">
        <is>
          <t>To be submitted</t>
        </is>
      </c>
      <c r="H144" s="227" t="n"/>
    </row>
    <row r="145">
      <c r="B145" s="227" t="inlineStr">
        <is>
          <t>George Milton</t>
        </is>
      </c>
      <c r="C145" s="227" t="inlineStr">
        <is>
          <t>Wabtec</t>
        </is>
      </c>
      <c r="D145" s="227" t="inlineStr">
        <is>
          <t>Roster A - Electrical Team 1 (5x)</t>
        </is>
      </c>
      <c r="E145" s="228" t="n">
        <v>46324</v>
      </c>
      <c r="F145" s="192" t="inlineStr">
        <is>
          <t>WRR</t>
        </is>
      </c>
      <c r="G145" s="227" t="inlineStr">
        <is>
          <t>To be submitted</t>
        </is>
      </c>
      <c r="H145" s="227" t="n"/>
    </row>
    <row r="146">
      <c r="B146" s="227" t="inlineStr">
        <is>
          <t>Joseph Parker</t>
        </is>
      </c>
      <c r="C146" s="227" t="inlineStr">
        <is>
          <t>Wabtec</t>
        </is>
      </c>
      <c r="D146" s="227" t="inlineStr">
        <is>
          <t>Roster A - Electrical Team 1 (5x)</t>
        </is>
      </c>
      <c r="E146" s="228" t="n">
        <v>46324</v>
      </c>
      <c r="F146" s="192" t="inlineStr">
        <is>
          <t>WRR</t>
        </is>
      </c>
      <c r="G146" s="227" t="inlineStr">
        <is>
          <t>To be submitted</t>
        </is>
      </c>
      <c r="H146" s="227" t="n"/>
    </row>
    <row r="147">
      <c r="B147" s="227" t="inlineStr">
        <is>
          <t>Richard Lewis</t>
        </is>
      </c>
      <c r="C147" s="227" t="inlineStr">
        <is>
          <t>2XM</t>
        </is>
      </c>
      <c r="D147" s="227" t="inlineStr">
        <is>
          <t>Roster A - Electrical Team 1 (5x)</t>
        </is>
      </c>
      <c r="E147" s="228" t="n">
        <v>46324</v>
      </c>
      <c r="F147" s="192" t="inlineStr">
        <is>
          <t>WRR</t>
        </is>
      </c>
      <c r="G147" s="227" t="inlineStr">
        <is>
          <t>To be submitted</t>
        </is>
      </c>
      <c r="H147" s="227" t="n"/>
    </row>
    <row r="148">
      <c r="B148" s="227" t="inlineStr">
        <is>
          <t>Stephen Anthony</t>
        </is>
      </c>
      <c r="C148" s="227" t="inlineStr">
        <is>
          <t>Wabtec</t>
        </is>
      </c>
      <c r="D148" s="227" t="inlineStr">
        <is>
          <t>Roster A - Electrical Team 1 (5x)</t>
        </is>
      </c>
      <c r="E148" s="228" t="n">
        <v>46324</v>
      </c>
      <c r="F148" s="192" t="inlineStr">
        <is>
          <t>WRR</t>
        </is>
      </c>
      <c r="G148" s="227" t="inlineStr">
        <is>
          <t>To be submitted</t>
        </is>
      </c>
      <c r="H148" s="227" t="n"/>
    </row>
    <row r="149">
      <c r="B149" s="227" t="inlineStr">
        <is>
          <t>Tyler Jorgensen</t>
        </is>
      </c>
      <c r="C149" s="227" t="inlineStr">
        <is>
          <t>LGC Rail</t>
        </is>
      </c>
      <c r="D149" s="227" t="inlineStr">
        <is>
          <t>Roster A - Civil Team 1 (4x)</t>
        </is>
      </c>
      <c r="E149" s="228" t="n">
        <v>46324</v>
      </c>
      <c r="F149" s="192" t="inlineStr">
        <is>
          <t>RDM</t>
        </is>
      </c>
      <c r="G149" s="227" t="inlineStr">
        <is>
          <t>To be submitted</t>
        </is>
      </c>
      <c r="H149" s="227" t="n"/>
    </row>
    <row r="150">
      <c r="B150" s="227" t="inlineStr">
        <is>
          <t>Wayne Furge</t>
        </is>
      </c>
      <c r="C150" s="227" t="inlineStr">
        <is>
          <t>LGC Rail</t>
        </is>
      </c>
      <c r="D150" s="227" t="inlineStr">
        <is>
          <t>Logistics Team (4x)</t>
        </is>
      </c>
      <c r="E150" s="228" t="n">
        <v>46324</v>
      </c>
      <c r="F150" s="192" t="inlineStr">
        <is>
          <t>RDM</t>
        </is>
      </c>
      <c r="G150" s="227" t="inlineStr">
        <is>
          <t>To be submitted</t>
        </is>
      </c>
      <c r="H150" s="227" t="n"/>
    </row>
    <row r="151">
      <c r="B151" s="227" t="inlineStr">
        <is>
          <t>William Bolger</t>
        </is>
      </c>
      <c r="C151" s="227" t="inlineStr">
        <is>
          <t>LGC Rail</t>
        </is>
      </c>
      <c r="D151" s="227" t="inlineStr">
        <is>
          <t>Roster A - Civil Team 1 (4x)</t>
        </is>
      </c>
      <c r="E151" s="228" t="n">
        <v>46324</v>
      </c>
      <c r="F151" s="192" t="inlineStr">
        <is>
          <t>RDM</t>
        </is>
      </c>
      <c r="G151" s="227" t="inlineStr">
        <is>
          <t>To be submitted</t>
        </is>
      </c>
      <c r="H151" s="227" t="n"/>
    </row>
    <row r="152">
      <c r="B152" s="227" t="inlineStr">
        <is>
          <t>Aaron Vaccaro</t>
        </is>
      </c>
      <c r="C152" s="227" t="inlineStr">
        <is>
          <t>LGC Rail</t>
        </is>
      </c>
      <c r="D152" s="227" t="inlineStr">
        <is>
          <t>Logistics Team (4x)</t>
        </is>
      </c>
      <c r="E152" s="228" t="n">
        <v>46325</v>
      </c>
      <c r="F152" s="192" t="inlineStr">
        <is>
          <t>RDM</t>
        </is>
      </c>
      <c r="G152" s="227" t="inlineStr">
        <is>
          <t>To be submitted</t>
        </is>
      </c>
      <c r="H152" s="227" t="n"/>
    </row>
    <row r="153">
      <c r="B153" s="227" t="inlineStr">
        <is>
          <t>Carradene Boyer</t>
        </is>
      </c>
      <c r="C153" s="227" t="inlineStr">
        <is>
          <t>LGC Rail</t>
        </is>
      </c>
      <c r="D153" s="227" t="inlineStr">
        <is>
          <t>Roster A - Civil Team 1 (4x)</t>
        </is>
      </c>
      <c r="E153" s="228" t="n">
        <v>46325</v>
      </c>
      <c r="F153" s="192" t="inlineStr">
        <is>
          <t>RDM</t>
        </is>
      </c>
      <c r="G153" s="227" t="inlineStr">
        <is>
          <t>To be submitted</t>
        </is>
      </c>
      <c r="H153" s="227" t="n"/>
    </row>
    <row r="154">
      <c r="B154" s="227" t="inlineStr">
        <is>
          <t>David Keating</t>
        </is>
      </c>
      <c r="C154" s="227" t="inlineStr">
        <is>
          <t>Sentinel</t>
        </is>
      </c>
      <c r="D154" s="227" t="inlineStr">
        <is>
          <t>Track Protection Officers (Standby)</t>
        </is>
      </c>
      <c r="E154" s="228" t="n">
        <v>46325</v>
      </c>
      <c r="F154" s="192" t="inlineStr">
        <is>
          <t>SPX</t>
        </is>
      </c>
      <c r="G154" s="227" t="inlineStr">
        <is>
          <t>Confirmed (bright green - check)</t>
        </is>
      </c>
      <c r="H154" s="227" t="n"/>
    </row>
    <row r="155">
      <c r="B155" s="227" t="inlineStr">
        <is>
          <t>Declan Turner</t>
        </is>
      </c>
      <c r="C155" s="227" t="inlineStr">
        <is>
          <t>Wabtec</t>
        </is>
      </c>
      <c r="D155" s="227" t="inlineStr">
        <is>
          <t>Roster A - Electrical Team 1 (5x)</t>
        </is>
      </c>
      <c r="E155" s="228" t="n">
        <v>46325</v>
      </c>
      <c r="F155" s="192" t="inlineStr">
        <is>
          <t>WRR</t>
        </is>
      </c>
      <c r="G155" s="227" t="inlineStr">
        <is>
          <t>To be submitted</t>
        </is>
      </c>
      <c r="H155" s="227" t="n"/>
    </row>
    <row r="156">
      <c r="B156" s="227" t="inlineStr">
        <is>
          <t>Duke Southby Osborne</t>
        </is>
      </c>
      <c r="C156" s="227" t="inlineStr">
        <is>
          <t>SLM</t>
        </is>
      </c>
      <c r="D156" s="227" t="inlineStr">
        <is>
          <t>Roster A - Civil Team 1 (4x)</t>
        </is>
      </c>
      <c r="E156" s="228" t="n">
        <v>46325</v>
      </c>
      <c r="F156" s="192" t="inlineStr">
        <is>
          <t>RDM</t>
        </is>
      </c>
      <c r="G156" s="227" t="inlineStr">
        <is>
          <t>To be submitted</t>
        </is>
      </c>
      <c r="H156" s="227" t="n"/>
    </row>
    <row r="157">
      <c r="B157" s="227" t="inlineStr">
        <is>
          <t>George Milton</t>
        </is>
      </c>
      <c r="C157" s="227" t="inlineStr">
        <is>
          <t>Wabtec</t>
        </is>
      </c>
      <c r="D157" s="227" t="inlineStr">
        <is>
          <t>Roster A - Electrical Team 1 (5x)</t>
        </is>
      </c>
      <c r="E157" s="228" t="n">
        <v>46325</v>
      </c>
      <c r="F157" s="192" t="inlineStr">
        <is>
          <t>WRR</t>
        </is>
      </c>
      <c r="G157" s="227" t="inlineStr">
        <is>
          <t>To be submitted</t>
        </is>
      </c>
      <c r="H157" s="227" t="n"/>
    </row>
    <row r="158">
      <c r="B158" s="227" t="inlineStr">
        <is>
          <t>Joseph Parker</t>
        </is>
      </c>
      <c r="C158" s="227" t="inlineStr">
        <is>
          <t>Wabtec</t>
        </is>
      </c>
      <c r="D158" s="227" t="inlineStr">
        <is>
          <t>Roster A - Electrical Team 1 (5x)</t>
        </is>
      </c>
      <c r="E158" s="228" t="n">
        <v>46325</v>
      </c>
      <c r="F158" s="192" t="inlineStr">
        <is>
          <t>WRR</t>
        </is>
      </c>
      <c r="G158" s="227" t="inlineStr">
        <is>
          <t>To be submitted</t>
        </is>
      </c>
      <c r="H158" s="227" t="n"/>
    </row>
    <row r="159">
      <c r="B159" s="227" t="inlineStr">
        <is>
          <t>Richard Lewis</t>
        </is>
      </c>
      <c r="C159" s="227" t="inlineStr">
        <is>
          <t>2XM</t>
        </is>
      </c>
      <c r="D159" s="227" t="inlineStr">
        <is>
          <t>Roster A - Electrical Team 1 (5x)</t>
        </is>
      </c>
      <c r="E159" s="228" t="n">
        <v>46325</v>
      </c>
      <c r="F159" s="192" t="inlineStr">
        <is>
          <t>WRR</t>
        </is>
      </c>
      <c r="G159" s="227" t="inlineStr">
        <is>
          <t>To be submitted</t>
        </is>
      </c>
      <c r="H159" s="227" t="n"/>
    </row>
    <row r="160">
      <c r="B160" s="227" t="inlineStr">
        <is>
          <t>Stephen Anthony</t>
        </is>
      </c>
      <c r="C160" s="227" t="inlineStr">
        <is>
          <t>Wabtec</t>
        </is>
      </c>
      <c r="D160" s="227" t="inlineStr">
        <is>
          <t>Roster A - Electrical Team 1 (5x)</t>
        </is>
      </c>
      <c r="E160" s="228" t="n">
        <v>46325</v>
      </c>
      <c r="F160" s="192" t="inlineStr">
        <is>
          <t>WRR</t>
        </is>
      </c>
      <c r="G160" s="227" t="inlineStr">
        <is>
          <t>To be submitted</t>
        </is>
      </c>
      <c r="H160" s="227" t="n"/>
    </row>
    <row r="161">
      <c r="B161" s="227" t="inlineStr">
        <is>
          <t>Tyler Jorgensen</t>
        </is>
      </c>
      <c r="C161" s="227" t="inlineStr">
        <is>
          <t>LGC Rail</t>
        </is>
      </c>
      <c r="D161" s="227" t="inlineStr">
        <is>
          <t>Roster A - Civil Team 1 (4x)</t>
        </is>
      </c>
      <c r="E161" s="228" t="n">
        <v>46325</v>
      </c>
      <c r="F161" s="192" t="inlineStr">
        <is>
          <t>RDM</t>
        </is>
      </c>
      <c r="G161" s="227" t="inlineStr">
        <is>
          <t>To be submitted</t>
        </is>
      </c>
      <c r="H161" s="227" t="n"/>
    </row>
    <row r="162">
      <c r="B162" s="227" t="inlineStr">
        <is>
          <t>Wayne Furge</t>
        </is>
      </c>
      <c r="C162" s="227" t="inlineStr">
        <is>
          <t>LGC Rail</t>
        </is>
      </c>
      <c r="D162" s="227" t="inlineStr">
        <is>
          <t>Logistics Team (4x)</t>
        </is>
      </c>
      <c r="E162" s="228" t="n">
        <v>46325</v>
      </c>
      <c r="F162" s="192" t="inlineStr">
        <is>
          <t>RDM</t>
        </is>
      </c>
      <c r="G162" s="227" t="inlineStr">
        <is>
          <t>To be submitted</t>
        </is>
      </c>
      <c r="H162" s="227" t="n"/>
    </row>
    <row r="163">
      <c r="B163" s="227" t="inlineStr">
        <is>
          <t>William Bolger</t>
        </is>
      </c>
      <c r="C163" s="227" t="inlineStr">
        <is>
          <t>LGC Rail</t>
        </is>
      </c>
      <c r="D163" s="227" t="inlineStr">
        <is>
          <t>Roster A - Civil Team 1 (4x)</t>
        </is>
      </c>
      <c r="E163" s="228" t="n">
        <v>46325</v>
      </c>
      <c r="F163" s="192" t="inlineStr">
        <is>
          <t>RDM</t>
        </is>
      </c>
      <c r="G163" s="227" t="inlineStr">
        <is>
          <t>To be submitted</t>
        </is>
      </c>
      <c r="H163" s="227" t="n"/>
    </row>
    <row r="164">
      <c r="B164" s="227" t="inlineStr">
        <is>
          <t>Aaron Vaccaro</t>
        </is>
      </c>
      <c r="C164" s="227" t="inlineStr">
        <is>
          <t>LGC Rail</t>
        </is>
      </c>
      <c r="D164" s="227" t="inlineStr">
        <is>
          <t>Logistics Team (4x)</t>
        </is>
      </c>
      <c r="E164" s="228" t="n">
        <v>46326</v>
      </c>
      <c r="F164" s="192" t="inlineStr">
        <is>
          <t>RDM</t>
        </is>
      </c>
      <c r="G164" s="227" t="inlineStr">
        <is>
          <t>To be submitted</t>
        </is>
      </c>
      <c r="H164" s="227" t="n"/>
    </row>
    <row r="165">
      <c r="B165" s="227" t="inlineStr">
        <is>
          <t>Carradene Boyer</t>
        </is>
      </c>
      <c r="C165" s="227" t="inlineStr">
        <is>
          <t>LGC Rail</t>
        </is>
      </c>
      <c r="D165" s="227" t="inlineStr">
        <is>
          <t>Roster A - Civil Team 1 (4x)</t>
        </is>
      </c>
      <c r="E165" s="228" t="n">
        <v>46326</v>
      </c>
      <c r="F165" s="192" t="inlineStr">
        <is>
          <t>RDM</t>
        </is>
      </c>
      <c r="G165" s="227" t="inlineStr">
        <is>
          <t>To be submitted</t>
        </is>
      </c>
      <c r="H165" s="227" t="n"/>
    </row>
    <row r="166">
      <c r="B166" s="227" t="inlineStr">
        <is>
          <t>David Keating</t>
        </is>
      </c>
      <c r="C166" s="227" t="inlineStr">
        <is>
          <t>Sentinel</t>
        </is>
      </c>
      <c r="D166" s="227" t="inlineStr">
        <is>
          <t>Track Protection Officers (Standby)</t>
        </is>
      </c>
      <c r="E166" s="228" t="n">
        <v>46326</v>
      </c>
      <c r="F166" s="192" t="inlineStr">
        <is>
          <t>SPX</t>
        </is>
      </c>
      <c r="G166" s="227" t="inlineStr">
        <is>
          <t>Confirmed (bright green - check)</t>
        </is>
      </c>
      <c r="H166" s="227" t="n"/>
    </row>
    <row r="167">
      <c r="B167" s="227" t="inlineStr">
        <is>
          <t>Declan Turner</t>
        </is>
      </c>
      <c r="C167" s="227" t="inlineStr">
        <is>
          <t>Wabtec</t>
        </is>
      </c>
      <c r="D167" s="227" t="inlineStr">
        <is>
          <t>Roster A - Electrical Team 1 (5x)</t>
        </is>
      </c>
      <c r="E167" s="228" t="n">
        <v>46326</v>
      </c>
      <c r="F167" s="192" t="inlineStr">
        <is>
          <t>WRR</t>
        </is>
      </c>
      <c r="G167" s="227" t="inlineStr">
        <is>
          <t>To be submitted</t>
        </is>
      </c>
      <c r="H167" s="227" t="n"/>
    </row>
    <row r="168">
      <c r="B168" s="227" t="inlineStr">
        <is>
          <t>Duke Southby Osborne</t>
        </is>
      </c>
      <c r="C168" s="227" t="inlineStr">
        <is>
          <t>SLM</t>
        </is>
      </c>
      <c r="D168" s="227" t="inlineStr">
        <is>
          <t>Roster A - Civil Team 1 (4x)</t>
        </is>
      </c>
      <c r="E168" s="228" t="n">
        <v>46326</v>
      </c>
      <c r="F168" s="192" t="inlineStr">
        <is>
          <t>RDM</t>
        </is>
      </c>
      <c r="G168" s="227" t="inlineStr">
        <is>
          <t>To be submitted</t>
        </is>
      </c>
      <c r="H168" s="227" t="n"/>
    </row>
    <row r="169">
      <c r="B169" s="227" t="inlineStr">
        <is>
          <t>George Milton</t>
        </is>
      </c>
      <c r="C169" s="227" t="inlineStr">
        <is>
          <t>Wabtec</t>
        </is>
      </c>
      <c r="D169" s="227" t="inlineStr">
        <is>
          <t>Roster A - Electrical Team 1 (5x)</t>
        </is>
      </c>
      <c r="E169" s="228" t="n">
        <v>46326</v>
      </c>
      <c r="F169" s="192" t="inlineStr">
        <is>
          <t>WRR</t>
        </is>
      </c>
      <c r="G169" s="227" t="inlineStr">
        <is>
          <t>To be submitted</t>
        </is>
      </c>
      <c r="H169" s="227" t="n"/>
    </row>
    <row r="170">
      <c r="B170" s="227" t="inlineStr">
        <is>
          <t>Joseph Parker</t>
        </is>
      </c>
      <c r="C170" s="227" t="inlineStr">
        <is>
          <t>Wabtec</t>
        </is>
      </c>
      <c r="D170" s="227" t="inlineStr">
        <is>
          <t>Roster A - Electrical Team 1 (5x)</t>
        </is>
      </c>
      <c r="E170" s="228" t="n">
        <v>46326</v>
      </c>
      <c r="F170" s="192" t="inlineStr">
        <is>
          <t>WRR</t>
        </is>
      </c>
      <c r="G170" s="227" t="inlineStr">
        <is>
          <t>To be submitted</t>
        </is>
      </c>
      <c r="H170" s="227" t="n"/>
    </row>
    <row r="171">
      <c r="B171" s="227" t="inlineStr">
        <is>
          <t>Richard Lewis</t>
        </is>
      </c>
      <c r="C171" s="227" t="inlineStr">
        <is>
          <t>2XM</t>
        </is>
      </c>
      <c r="D171" s="227" t="inlineStr">
        <is>
          <t>Roster A - Electrical Team 1 (5x)</t>
        </is>
      </c>
      <c r="E171" s="228" t="n">
        <v>46326</v>
      </c>
      <c r="F171" s="192" t="inlineStr">
        <is>
          <t>WRR</t>
        </is>
      </c>
      <c r="G171" s="227" t="inlineStr">
        <is>
          <t>To be submitted</t>
        </is>
      </c>
      <c r="H171" s="227" t="n"/>
    </row>
    <row r="172">
      <c r="B172" s="227" t="inlineStr">
        <is>
          <t>Stephen Anthony</t>
        </is>
      </c>
      <c r="C172" s="227" t="inlineStr">
        <is>
          <t>Wabtec</t>
        </is>
      </c>
      <c r="D172" s="227" t="inlineStr">
        <is>
          <t>Roster A - Electrical Team 1 (5x)</t>
        </is>
      </c>
      <c r="E172" s="228" t="n">
        <v>46326</v>
      </c>
      <c r="F172" s="192" t="inlineStr">
        <is>
          <t>WRR</t>
        </is>
      </c>
      <c r="G172" s="227" t="inlineStr">
        <is>
          <t>To be submitted</t>
        </is>
      </c>
      <c r="H172" s="227" t="n"/>
    </row>
    <row r="173">
      <c r="B173" s="227" t="inlineStr">
        <is>
          <t>Tyler Jorgensen</t>
        </is>
      </c>
      <c r="C173" s="227" t="inlineStr">
        <is>
          <t>LGC Rail</t>
        </is>
      </c>
      <c r="D173" s="227" t="inlineStr">
        <is>
          <t>Roster A - Civil Team 1 (4x)</t>
        </is>
      </c>
      <c r="E173" s="228" t="n">
        <v>46326</v>
      </c>
      <c r="F173" s="192" t="inlineStr">
        <is>
          <t>RDM</t>
        </is>
      </c>
      <c r="G173" s="227" t="inlineStr">
        <is>
          <t>To be submitted</t>
        </is>
      </c>
      <c r="H173" s="227" t="n"/>
    </row>
    <row r="174">
      <c r="B174" s="227" t="inlineStr">
        <is>
          <t>Wayne Furge</t>
        </is>
      </c>
      <c r="C174" s="227" t="inlineStr">
        <is>
          <t>LGC Rail</t>
        </is>
      </c>
      <c r="D174" s="227" t="inlineStr">
        <is>
          <t>Logistics Team (4x)</t>
        </is>
      </c>
      <c r="E174" s="228" t="n">
        <v>46326</v>
      </c>
      <c r="F174" s="192" t="inlineStr">
        <is>
          <t>RDM</t>
        </is>
      </c>
      <c r="G174" s="227" t="inlineStr">
        <is>
          <t>To be submitted</t>
        </is>
      </c>
      <c r="H174" s="227" t="n"/>
    </row>
    <row r="175">
      <c r="B175" s="227" t="inlineStr">
        <is>
          <t>William Bolger</t>
        </is>
      </c>
      <c r="C175" s="227" t="inlineStr">
        <is>
          <t>LGC Rail</t>
        </is>
      </c>
      <c r="D175" s="227" t="inlineStr">
        <is>
          <t>Roster A - Civil Team 1 (4x)</t>
        </is>
      </c>
      <c r="E175" s="228" t="n">
        <v>46326</v>
      </c>
      <c r="F175" s="192" t="inlineStr">
        <is>
          <t>RDM</t>
        </is>
      </c>
      <c r="G175" s="227" t="inlineStr">
        <is>
          <t>To be submitted</t>
        </is>
      </c>
      <c r="H175" s="227" t="n"/>
    </row>
    <row r="176">
      <c r="B176" s="227" t="inlineStr">
        <is>
          <t>Aaron Vaccaro</t>
        </is>
      </c>
      <c r="C176" s="227" t="inlineStr">
        <is>
          <t>LGC Rail</t>
        </is>
      </c>
      <c r="D176" s="227" t="inlineStr">
        <is>
          <t>Logistics Team (4x)</t>
        </is>
      </c>
      <c r="E176" s="228" t="n">
        <v>46327</v>
      </c>
      <c r="F176" s="192" t="inlineStr">
        <is>
          <t>RDM</t>
        </is>
      </c>
      <c r="G176" s="227" t="inlineStr">
        <is>
          <t>To be submitted</t>
        </is>
      </c>
      <c r="H176" s="227" t="n"/>
    </row>
    <row r="177">
      <c r="B177" s="227" t="inlineStr">
        <is>
          <t>Carradene Boyer</t>
        </is>
      </c>
      <c r="C177" s="227" t="inlineStr">
        <is>
          <t>LGC Rail</t>
        </is>
      </c>
      <c r="D177" s="227" t="inlineStr">
        <is>
          <t>Roster A - Civil Team 1 (4x)</t>
        </is>
      </c>
      <c r="E177" s="228" t="n">
        <v>46327</v>
      </c>
      <c r="F177" s="192" t="inlineStr">
        <is>
          <t>RDM</t>
        </is>
      </c>
      <c r="G177" s="227" t="inlineStr">
        <is>
          <t>To be submitted</t>
        </is>
      </c>
      <c r="H177" s="227" t="n"/>
    </row>
    <row r="178">
      <c r="B178" s="227" t="inlineStr">
        <is>
          <t>David Keating</t>
        </is>
      </c>
      <c r="C178" s="227" t="inlineStr">
        <is>
          <t>Sentinel</t>
        </is>
      </c>
      <c r="D178" s="227" t="inlineStr">
        <is>
          <t>Track Protection Officers (Standby)</t>
        </is>
      </c>
      <c r="E178" s="228" t="n">
        <v>46327</v>
      </c>
      <c r="F178" s="192" t="inlineStr">
        <is>
          <t>SPX</t>
        </is>
      </c>
      <c r="G178" s="227" t="inlineStr">
        <is>
          <t>Confirmed (bright green - check)</t>
        </is>
      </c>
      <c r="H178" s="227" t="n"/>
    </row>
    <row r="179">
      <c r="B179" s="227" t="inlineStr">
        <is>
          <t>David McGowan</t>
        </is>
      </c>
      <c r="C179" s="227" t="inlineStr">
        <is>
          <t>Back Up</t>
        </is>
      </c>
      <c r="D179" s="227" t="inlineStr">
        <is>
          <t>Communication Specialist</t>
        </is>
      </c>
      <c r="E179" s="228" t="n">
        <v>46327</v>
      </c>
      <c r="F179" s="192" t="inlineStr">
        <is>
          <t>DI PM RDM</t>
        </is>
      </c>
      <c r="G179" s="227" t="inlineStr">
        <is>
          <t>New changes</t>
        </is>
      </c>
      <c r="H179" s="227" t="n"/>
    </row>
    <row r="180">
      <c r="B180" s="227" t="inlineStr">
        <is>
          <t>Declan Turner</t>
        </is>
      </c>
      <c r="C180" s="227" t="inlineStr">
        <is>
          <t>Wabtec</t>
        </is>
      </c>
      <c r="D180" s="227" t="inlineStr">
        <is>
          <t>Roster A - Electrical Team 1 (5x)</t>
        </is>
      </c>
      <c r="E180" s="228" t="n">
        <v>46327</v>
      </c>
      <c r="F180" s="192" t="inlineStr">
        <is>
          <t>SPX</t>
        </is>
      </c>
      <c r="G180" s="227" t="inlineStr">
        <is>
          <t>Confirmed (bright green - check)</t>
        </is>
      </c>
      <c r="H180" s="227" t="n"/>
    </row>
    <row r="181">
      <c r="B181" s="227" t="inlineStr">
        <is>
          <t>Duke Southby Osborne</t>
        </is>
      </c>
      <c r="C181" s="227" t="inlineStr">
        <is>
          <t>SLM</t>
        </is>
      </c>
      <c r="D181" s="227" t="inlineStr">
        <is>
          <t>Roster A - Civil Team 1 (4x)</t>
        </is>
      </c>
      <c r="E181" s="228" t="n">
        <v>46327</v>
      </c>
      <c r="F181" s="192" t="inlineStr">
        <is>
          <t>RDM</t>
        </is>
      </c>
      <c r="G181" s="227" t="inlineStr">
        <is>
          <t>To be submitted</t>
        </is>
      </c>
      <c r="H181" s="227" t="n"/>
    </row>
    <row r="182">
      <c r="B182" s="227" t="inlineStr">
        <is>
          <t>George Milton</t>
        </is>
      </c>
      <c r="C182" s="227" t="inlineStr">
        <is>
          <t>Wabtec</t>
        </is>
      </c>
      <c r="D182" s="227" t="inlineStr">
        <is>
          <t>Roster A - Electrical Team 1 (5x)</t>
        </is>
      </c>
      <c r="E182" s="228" t="n">
        <v>46327</v>
      </c>
      <c r="F182" s="192" t="inlineStr">
        <is>
          <t>SPX</t>
        </is>
      </c>
      <c r="G182" s="227" t="inlineStr">
        <is>
          <t>Confirmed (bright green - check)</t>
        </is>
      </c>
      <c r="H182" s="227" t="n"/>
    </row>
    <row r="183">
      <c r="B183" s="227" t="inlineStr">
        <is>
          <t>Joseph Parker</t>
        </is>
      </c>
      <c r="C183" s="227" t="inlineStr">
        <is>
          <t>Wabtec</t>
        </is>
      </c>
      <c r="D183" s="227" t="inlineStr">
        <is>
          <t>Roster A - Electrical Team 1 (5x)</t>
        </is>
      </c>
      <c r="E183" s="228" t="n">
        <v>46327</v>
      </c>
      <c r="F183" s="192" t="inlineStr">
        <is>
          <t>SPX</t>
        </is>
      </c>
      <c r="G183" s="227" t="inlineStr">
        <is>
          <t>Confirmed (bright green - check)</t>
        </is>
      </c>
      <c r="H183" s="227" t="n"/>
    </row>
    <row r="184">
      <c r="B184" s="227" t="inlineStr">
        <is>
          <t>Richard Lewis</t>
        </is>
      </c>
      <c r="C184" s="227" t="inlineStr">
        <is>
          <t>2XM</t>
        </is>
      </c>
      <c r="D184" s="227" t="inlineStr">
        <is>
          <t>Roster A - Electrical Team 1 (5x)</t>
        </is>
      </c>
      <c r="E184" s="228" t="n">
        <v>46327</v>
      </c>
      <c r="F184" s="192" t="inlineStr">
        <is>
          <t>SPX</t>
        </is>
      </c>
      <c r="G184" s="227" t="inlineStr">
        <is>
          <t>Confirmed (bright green - check)</t>
        </is>
      </c>
      <c r="H184" s="227" t="n"/>
    </row>
    <row r="185">
      <c r="B185" s="227" t="inlineStr">
        <is>
          <t>Stephen Anthony</t>
        </is>
      </c>
      <c r="C185" s="227" t="inlineStr">
        <is>
          <t>Wabtec</t>
        </is>
      </c>
      <c r="D185" s="227" t="inlineStr">
        <is>
          <t>Roster A - Electrical Team 1 (5x)</t>
        </is>
      </c>
      <c r="E185" s="228" t="n">
        <v>46327</v>
      </c>
      <c r="F185" s="192" t="inlineStr">
        <is>
          <t>SPX</t>
        </is>
      </c>
      <c r="G185" s="227" t="inlineStr">
        <is>
          <t>Confirmed (bright green - check)</t>
        </is>
      </c>
      <c r="H185" s="227" t="n"/>
    </row>
    <row r="186">
      <c r="B186" s="227" t="inlineStr">
        <is>
          <t>Tyler Jorgensen</t>
        </is>
      </c>
      <c r="C186" s="227" t="inlineStr">
        <is>
          <t>LGC Rail</t>
        </is>
      </c>
      <c r="D186" s="227" t="inlineStr">
        <is>
          <t>Roster A - Civil Team 1 (4x)</t>
        </is>
      </c>
      <c r="E186" s="228" t="n">
        <v>46327</v>
      </c>
      <c r="F186" s="192" t="inlineStr">
        <is>
          <t>RDM</t>
        </is>
      </c>
      <c r="G186" s="227" t="inlineStr">
        <is>
          <t>To be submitted</t>
        </is>
      </c>
      <c r="H186" s="227" t="n"/>
    </row>
    <row r="187">
      <c r="B187" s="227" t="inlineStr">
        <is>
          <t>Wayne Furge</t>
        </is>
      </c>
      <c r="C187" s="227" t="inlineStr">
        <is>
          <t>LGC Rail</t>
        </is>
      </c>
      <c r="D187" s="227" t="inlineStr">
        <is>
          <t>Logistics Team (4x)</t>
        </is>
      </c>
      <c r="E187" s="228" t="n">
        <v>46327</v>
      </c>
      <c r="F187" s="192" t="inlineStr">
        <is>
          <t>RDM</t>
        </is>
      </c>
      <c r="G187" s="227" t="inlineStr">
        <is>
          <t>To be submitted</t>
        </is>
      </c>
      <c r="H187" s="227" t="n"/>
    </row>
    <row r="188">
      <c r="B188" s="227" t="inlineStr">
        <is>
          <t>William Bolger</t>
        </is>
      </c>
      <c r="C188" s="227" t="inlineStr">
        <is>
          <t>LGC Rail</t>
        </is>
      </c>
      <c r="D188" s="227" t="inlineStr">
        <is>
          <t>Roster A - Civil Team 1 (4x)</t>
        </is>
      </c>
      <c r="E188" s="228" t="n">
        <v>46327</v>
      </c>
      <c r="F188" s="192" t="inlineStr">
        <is>
          <t>RDM</t>
        </is>
      </c>
      <c r="G188" s="227" t="inlineStr">
        <is>
          <t>To be submitted</t>
        </is>
      </c>
      <c r="H188" s="227" t="n"/>
    </row>
    <row r="189">
      <c r="B189" s="227" t="inlineStr">
        <is>
          <t>Aaron Vaccaro</t>
        </is>
      </c>
      <c r="C189" s="227" t="inlineStr">
        <is>
          <t>LGC Rail</t>
        </is>
      </c>
      <c r="D189" s="227" t="inlineStr">
        <is>
          <t>Logistics Team (4x)</t>
        </is>
      </c>
      <c r="E189" s="228" t="n">
        <v>46328</v>
      </c>
      <c r="F189" s="192" t="inlineStr">
        <is>
          <t>RDM</t>
        </is>
      </c>
      <c r="G189" s="227" t="inlineStr">
        <is>
          <t>To be submitted</t>
        </is>
      </c>
      <c r="H189" s="227" t="n"/>
    </row>
    <row r="190">
      <c r="B190" s="227" t="inlineStr">
        <is>
          <t>Carradene Boyer</t>
        </is>
      </c>
      <c r="C190" s="227" t="inlineStr">
        <is>
          <t>LGC Rail</t>
        </is>
      </c>
      <c r="D190" s="227" t="inlineStr">
        <is>
          <t>Roster A - Civil Team 1 (4x)</t>
        </is>
      </c>
      <c r="E190" s="228" t="n">
        <v>46328</v>
      </c>
      <c r="F190" s="192" t="inlineStr">
        <is>
          <t>RDM</t>
        </is>
      </c>
      <c r="G190" s="227" t="inlineStr">
        <is>
          <t>To be submitted</t>
        </is>
      </c>
      <c r="H190" s="227" t="n"/>
    </row>
    <row r="191">
      <c r="B191" s="227" t="inlineStr">
        <is>
          <t>David Keating</t>
        </is>
      </c>
      <c r="C191" s="227" t="inlineStr">
        <is>
          <t>Sentinel</t>
        </is>
      </c>
      <c r="D191" s="227" t="inlineStr">
        <is>
          <t>Track Protection Officers (Standby)</t>
        </is>
      </c>
      <c r="E191" s="228" t="n">
        <v>46328</v>
      </c>
      <c r="F191" s="192" t="inlineStr">
        <is>
          <t>SPX</t>
        </is>
      </c>
      <c r="G191" s="227" t="inlineStr">
        <is>
          <t>Confirmed (bright green - check)</t>
        </is>
      </c>
      <c r="H191" s="227" t="n"/>
    </row>
    <row r="192">
      <c r="B192" s="227" t="inlineStr">
        <is>
          <t>David McGowan</t>
        </is>
      </c>
      <c r="C192" s="227" t="inlineStr">
        <is>
          <t>Back Up</t>
        </is>
      </c>
      <c r="D192" s="227" t="inlineStr">
        <is>
          <t>Communication Specialist</t>
        </is>
      </c>
      <c r="E192" s="228" t="n">
        <v>46328</v>
      </c>
      <c r="F192" s="192" t="inlineStr">
        <is>
          <t>DO AM</t>
        </is>
      </c>
      <c r="G192" s="227" t="inlineStr">
        <is>
          <t>New changes</t>
        </is>
      </c>
      <c r="H192" s="227" t="n"/>
    </row>
    <row r="193">
      <c r="B193" s="227" t="inlineStr">
        <is>
          <t>Declan Turner</t>
        </is>
      </c>
      <c r="C193" s="227" t="inlineStr">
        <is>
          <t>Wabtec</t>
        </is>
      </c>
      <c r="D193" s="227" t="inlineStr">
        <is>
          <t>Roster A - Electrical Team 1 (5x)</t>
        </is>
      </c>
      <c r="E193" s="228" t="n">
        <v>46328</v>
      </c>
      <c r="F193" s="192" t="inlineStr">
        <is>
          <t>SPX</t>
        </is>
      </c>
      <c r="G193" s="227" t="inlineStr">
        <is>
          <t>Confirmed (bright green - check)</t>
        </is>
      </c>
      <c r="H193" s="227" t="n"/>
    </row>
    <row r="194">
      <c r="B194" s="227" t="inlineStr">
        <is>
          <t>Duke Southby Osborne</t>
        </is>
      </c>
      <c r="C194" s="227" t="inlineStr">
        <is>
          <t>SLM</t>
        </is>
      </c>
      <c r="D194" s="227" t="inlineStr">
        <is>
          <t>Roster A - Civil Team 1 (4x)</t>
        </is>
      </c>
      <c r="E194" s="228" t="n">
        <v>46328</v>
      </c>
      <c r="F194" s="192" t="inlineStr">
        <is>
          <t>RDM</t>
        </is>
      </c>
      <c r="G194" s="227" t="inlineStr">
        <is>
          <t>To be submitted</t>
        </is>
      </c>
      <c r="H194" s="227" t="n"/>
    </row>
    <row r="195">
      <c r="B195" s="227" t="inlineStr">
        <is>
          <t>George Milton</t>
        </is>
      </c>
      <c r="C195" s="227" t="inlineStr">
        <is>
          <t>Wabtec</t>
        </is>
      </c>
      <c r="D195" s="227" t="inlineStr">
        <is>
          <t>Roster A - Electrical Team 1 (5x)</t>
        </is>
      </c>
      <c r="E195" s="228" t="n">
        <v>46328</v>
      </c>
      <c r="F195" s="192" t="inlineStr">
        <is>
          <t>SPX</t>
        </is>
      </c>
      <c r="G195" s="227" t="inlineStr">
        <is>
          <t>Confirmed (bright green - check)</t>
        </is>
      </c>
      <c r="H195" s="227" t="n"/>
    </row>
    <row r="196">
      <c r="B196" s="227" t="inlineStr">
        <is>
          <t>Joseph Parker</t>
        </is>
      </c>
      <c r="C196" s="227" t="inlineStr">
        <is>
          <t>Wabtec</t>
        </is>
      </c>
      <c r="D196" s="227" t="inlineStr">
        <is>
          <t>Roster A - Electrical Team 1 (5x)</t>
        </is>
      </c>
      <c r="E196" s="228" t="n">
        <v>46328</v>
      </c>
      <c r="F196" s="192" t="inlineStr">
        <is>
          <t>SPX</t>
        </is>
      </c>
      <c r="G196" s="227" t="inlineStr">
        <is>
          <t>Confirmed (bright green - check)</t>
        </is>
      </c>
      <c r="H196" s="227" t="n"/>
    </row>
    <row r="197">
      <c r="B197" s="227" t="inlineStr">
        <is>
          <t>Richard Lewis</t>
        </is>
      </c>
      <c r="C197" s="227" t="inlineStr">
        <is>
          <t>2XM</t>
        </is>
      </c>
      <c r="D197" s="227" t="inlineStr">
        <is>
          <t>Roster A - Electrical Team 1 (5x)</t>
        </is>
      </c>
      <c r="E197" s="228" t="n">
        <v>46328</v>
      </c>
      <c r="F197" s="192" t="inlineStr">
        <is>
          <t>SPX</t>
        </is>
      </c>
      <c r="G197" s="227" t="inlineStr">
        <is>
          <t>Confirmed (bright green - check)</t>
        </is>
      </c>
      <c r="H197" s="227" t="n"/>
    </row>
    <row r="198">
      <c r="B198" s="227" t="inlineStr">
        <is>
          <t>Stephen Anthony</t>
        </is>
      </c>
      <c r="C198" s="227" t="inlineStr">
        <is>
          <t>Wabtec</t>
        </is>
      </c>
      <c r="D198" s="227" t="inlineStr">
        <is>
          <t>Roster A - Electrical Team 1 (5x)</t>
        </is>
      </c>
      <c r="E198" s="228" t="n">
        <v>46328</v>
      </c>
      <c r="F198" s="192" t="inlineStr">
        <is>
          <t>SPX</t>
        </is>
      </c>
      <c r="G198" s="227" t="inlineStr">
        <is>
          <t>Confirmed (bright green - check)</t>
        </is>
      </c>
      <c r="H198" s="227" t="n"/>
    </row>
    <row r="199">
      <c r="B199" s="227" t="inlineStr">
        <is>
          <t>Tyler Jorgensen</t>
        </is>
      </c>
      <c r="C199" s="227" t="inlineStr">
        <is>
          <t>LGC Rail</t>
        </is>
      </c>
      <c r="D199" s="227" t="inlineStr">
        <is>
          <t>Roster A - Civil Team 1 (4x)</t>
        </is>
      </c>
      <c r="E199" s="228" t="n">
        <v>46328</v>
      </c>
      <c r="F199" s="192" t="inlineStr">
        <is>
          <t>RDM</t>
        </is>
      </c>
      <c r="G199" s="227" t="inlineStr">
        <is>
          <t>To be submitted</t>
        </is>
      </c>
      <c r="H199" s="227" t="n"/>
    </row>
    <row r="200">
      <c r="B200" s="227" t="inlineStr">
        <is>
          <t>Wayne Furge</t>
        </is>
      </c>
      <c r="C200" s="227" t="inlineStr">
        <is>
          <t>LGC Rail</t>
        </is>
      </c>
      <c r="D200" s="227" t="inlineStr">
        <is>
          <t>Logistics Team (4x)</t>
        </is>
      </c>
      <c r="E200" s="228" t="n">
        <v>46328</v>
      </c>
      <c r="F200" s="192" t="inlineStr">
        <is>
          <t>RDM</t>
        </is>
      </c>
      <c r="G200" s="227" t="inlineStr">
        <is>
          <t>To be submitted</t>
        </is>
      </c>
      <c r="H200" s="227" t="n"/>
    </row>
    <row r="201">
      <c r="B201" s="227" t="inlineStr">
        <is>
          <t>William Bolger</t>
        </is>
      </c>
      <c r="C201" s="227" t="inlineStr">
        <is>
          <t>LGC Rail</t>
        </is>
      </c>
      <c r="D201" s="227" t="inlineStr">
        <is>
          <t>Roster A - Civil Team 1 (4x)</t>
        </is>
      </c>
      <c r="E201" s="228" t="n">
        <v>46328</v>
      </c>
      <c r="F201" s="192" t="inlineStr">
        <is>
          <t>RDM</t>
        </is>
      </c>
      <c r="G201" s="227" t="inlineStr">
        <is>
          <t>To be submitted</t>
        </is>
      </c>
      <c r="H201" s="227" t="n"/>
    </row>
    <row r="202">
      <c r="B202" s="227" t="inlineStr">
        <is>
          <t>Aaron Vaccaro</t>
        </is>
      </c>
      <c r="C202" s="227" t="inlineStr">
        <is>
          <t>LGC Rail</t>
        </is>
      </c>
      <c r="D202" s="227" t="inlineStr">
        <is>
          <t>Logistics Team (4x)</t>
        </is>
      </c>
      <c r="E202" s="228" t="n">
        <v>46329</v>
      </c>
      <c r="F202" s="192" t="inlineStr">
        <is>
          <t>RDM</t>
        </is>
      </c>
      <c r="G202" s="227" t="inlineStr">
        <is>
          <t>To be submitted</t>
        </is>
      </c>
      <c r="H202" s="227" t="n"/>
    </row>
    <row r="203">
      <c r="B203" s="227" t="inlineStr">
        <is>
          <t>Brendan Delavere</t>
        </is>
      </c>
      <c r="C203" s="227" t="inlineStr">
        <is>
          <t>STS</t>
        </is>
      </c>
      <c r="D203" s="227" t="inlineStr">
        <is>
          <t>Roster B- Electrical Team 2 (5x)</t>
        </is>
      </c>
      <c r="E203" s="228" t="n">
        <v>46329</v>
      </c>
      <c r="F203" s="192" t="inlineStr">
        <is>
          <t>PER/PHE PM LND</t>
        </is>
      </c>
      <c r="G203" s="227" t="inlineStr">
        <is>
          <t>To be submitted</t>
        </is>
      </c>
      <c r="H203" s="227" t="n"/>
    </row>
    <row r="204">
      <c r="B204" s="227" t="inlineStr">
        <is>
          <t>Carradene Boyer</t>
        </is>
      </c>
      <c r="C204" s="227" t="inlineStr">
        <is>
          <t>LGC Rail</t>
        </is>
      </c>
      <c r="D204" s="227" t="inlineStr">
        <is>
          <t>Roster A - Civil Team 1 (4x)</t>
        </is>
      </c>
      <c r="E204" s="228" t="n">
        <v>46329</v>
      </c>
      <c r="F204" s="192" t="inlineStr">
        <is>
          <t>PHE/PER PM</t>
        </is>
      </c>
      <c r="G204" s="227" t="inlineStr">
        <is>
          <t>To be submitted</t>
        </is>
      </c>
      <c r="H204" s="227" t="n"/>
    </row>
    <row r="205">
      <c r="B205" s="227" t="inlineStr">
        <is>
          <t>David Keating</t>
        </is>
      </c>
      <c r="C205" s="227" t="inlineStr">
        <is>
          <t>Sentinel</t>
        </is>
      </c>
      <c r="D205" s="227" t="inlineStr">
        <is>
          <t>Track Protection Officers (Standby)</t>
        </is>
      </c>
      <c r="E205" s="228" t="n">
        <v>46329</v>
      </c>
      <c r="F205" s="192" t="inlineStr">
        <is>
          <t>PHE/PER PM</t>
        </is>
      </c>
      <c r="G205" s="227" t="inlineStr">
        <is>
          <t>Double checked</t>
        </is>
      </c>
      <c r="H205" s="227" t="n"/>
    </row>
    <row r="206">
      <c r="B206" s="227" t="inlineStr">
        <is>
          <t>Declan Turner</t>
        </is>
      </c>
      <c r="C206" s="227" t="inlineStr">
        <is>
          <t>Wabtec</t>
        </is>
      </c>
      <c r="D206" s="227" t="inlineStr">
        <is>
          <t>Roster A - Electrical Team 1 (5x)</t>
        </is>
      </c>
      <c r="E206" s="228" t="n">
        <v>46329</v>
      </c>
      <c r="F206" s="192" t="inlineStr">
        <is>
          <t>BYP/PER PM</t>
        </is>
      </c>
      <c r="G206" s="227" t="inlineStr">
        <is>
          <t>To be submitted</t>
        </is>
      </c>
      <c r="H206" s="227" t="n"/>
    </row>
    <row r="207">
      <c r="B207" s="227" t="inlineStr">
        <is>
          <t>Duke Southby Osborne</t>
        </is>
      </c>
      <c r="C207" s="227" t="inlineStr">
        <is>
          <t>SLM</t>
        </is>
      </c>
      <c r="D207" s="227" t="inlineStr">
        <is>
          <t>Roster A - Civil Team 1 (4x)</t>
        </is>
      </c>
      <c r="E207" s="228" t="n">
        <v>46329</v>
      </c>
      <c r="F207" s="192" t="inlineStr">
        <is>
          <t>PHE/PER PM</t>
        </is>
      </c>
      <c r="G207" s="227" t="inlineStr">
        <is>
          <t>To be submitted</t>
        </is>
      </c>
      <c r="H207" s="227" t="n"/>
    </row>
    <row r="208">
      <c r="B208" s="227" t="inlineStr">
        <is>
          <t>George Milton</t>
        </is>
      </c>
      <c r="C208" s="227" t="inlineStr">
        <is>
          <t>Wabtec</t>
        </is>
      </c>
      <c r="D208" s="227" t="inlineStr">
        <is>
          <t>Roster A - Electrical Team 1 (5x)</t>
        </is>
      </c>
      <c r="E208" s="228" t="n">
        <v>46329</v>
      </c>
      <c r="F208" s="192" t="inlineStr">
        <is>
          <t>BYP/PER PM</t>
        </is>
      </c>
      <c r="G208" s="227" t="inlineStr">
        <is>
          <t>To be submitted</t>
        </is>
      </c>
      <c r="H208" s="227" t="n"/>
    </row>
    <row r="209">
      <c r="B209" s="227" t="inlineStr">
        <is>
          <t>Jacob Harding</t>
        </is>
      </c>
      <c r="C209" s="227" t="inlineStr">
        <is>
          <t>2XM</t>
        </is>
      </c>
      <c r="D209" s="227" t="inlineStr">
        <is>
          <t>Roster B- Electrical Team 2 (5x)</t>
        </is>
      </c>
      <c r="E209" s="228" t="n">
        <v>46329</v>
      </c>
      <c r="F209" s="192" t="inlineStr">
        <is>
          <t>PER/PHE PM LND</t>
        </is>
      </c>
      <c r="G209" s="227" t="inlineStr">
        <is>
          <t>To be submitted</t>
        </is>
      </c>
      <c r="H209" s="227" t="n"/>
    </row>
    <row r="210">
      <c r="B210" s="227" t="inlineStr">
        <is>
          <t>John Stephen</t>
        </is>
      </c>
      <c r="C210" s="227" t="inlineStr">
        <is>
          <t>Wabtec</t>
        </is>
      </c>
      <c r="D210" s="227" t="inlineStr">
        <is>
          <t>Logistics Team (4x)</t>
        </is>
      </c>
      <c r="E210" s="228" t="n">
        <v>46329</v>
      </c>
      <c r="F210" s="192" t="inlineStr">
        <is>
          <t>PER/PHE PM LND</t>
        </is>
      </c>
      <c r="G210" s="227" t="inlineStr">
        <is>
          <t>Double checked</t>
        </is>
      </c>
      <c r="H210" s="227" t="n"/>
    </row>
    <row r="211">
      <c r="B211" s="227" t="inlineStr">
        <is>
          <t>Joseph Parker</t>
        </is>
      </c>
      <c r="C211" s="227" t="inlineStr">
        <is>
          <t>Wabtec</t>
        </is>
      </c>
      <c r="D211" s="227" t="inlineStr">
        <is>
          <t>Roster A - Electrical Team 1 (5x)</t>
        </is>
      </c>
      <c r="E211" s="228" t="n">
        <v>46329</v>
      </c>
      <c r="F211" s="192" t="inlineStr">
        <is>
          <t>BYP/PER PM</t>
        </is>
      </c>
      <c r="G211" s="227" t="inlineStr">
        <is>
          <t>To be submitted</t>
        </is>
      </c>
      <c r="H211" s="227" t="n"/>
    </row>
    <row r="212">
      <c r="B212" s="227" t="inlineStr">
        <is>
          <t>Keith Hale</t>
        </is>
      </c>
      <c r="C212" s="227" t="inlineStr">
        <is>
          <t>LGC Rail</t>
        </is>
      </c>
      <c r="D212" s="227" t="inlineStr">
        <is>
          <t>Logistics Team (4x)</t>
        </is>
      </c>
      <c r="E212" s="228" t="n">
        <v>46329</v>
      </c>
      <c r="F212" s="192" t="inlineStr">
        <is>
          <t>PER/PHE PM LND</t>
        </is>
      </c>
      <c r="G212" s="227" t="inlineStr">
        <is>
          <t>To be submitted</t>
        </is>
      </c>
      <c r="H212" s="227" t="n"/>
    </row>
    <row r="213">
      <c r="B213" s="227" t="inlineStr">
        <is>
          <t>Martin Smart</t>
        </is>
      </c>
      <c r="C213" s="227" t="inlineStr">
        <is>
          <t>STS</t>
        </is>
      </c>
      <c r="D213" s="227" t="inlineStr">
        <is>
          <t>Roster B- Electrical Team 2 (5x)</t>
        </is>
      </c>
      <c r="E213" s="228" t="n">
        <v>46329</v>
      </c>
      <c r="F213" s="192" t="inlineStr">
        <is>
          <t>PER/PHE PM LND</t>
        </is>
      </c>
      <c r="G213" s="227" t="inlineStr">
        <is>
          <t>To be submitted</t>
        </is>
      </c>
      <c r="H213" s="227" t="n"/>
    </row>
    <row r="214">
      <c r="B214" s="227" t="inlineStr">
        <is>
          <t>Richard Lewis</t>
        </is>
      </c>
      <c r="C214" s="227" t="inlineStr">
        <is>
          <t>2XM</t>
        </is>
      </c>
      <c r="D214" s="227" t="inlineStr">
        <is>
          <t>Roster A - Electrical Team 1 (5x)</t>
        </is>
      </c>
      <c r="E214" s="228" t="n">
        <v>46329</v>
      </c>
      <c r="F214" s="192" t="inlineStr">
        <is>
          <t>BYP/PER PM</t>
        </is>
      </c>
      <c r="G214" s="227" t="inlineStr">
        <is>
          <t>To be submitted</t>
        </is>
      </c>
      <c r="H214" s="227" t="n"/>
    </row>
    <row r="215">
      <c r="B215" s="227" t="inlineStr">
        <is>
          <t>Stephen Anthony</t>
        </is>
      </c>
      <c r="C215" s="227" t="inlineStr">
        <is>
          <t>Wabtec</t>
        </is>
      </c>
      <c r="D215" s="227" t="inlineStr">
        <is>
          <t>Roster A - Electrical Team 1 (5x)</t>
        </is>
      </c>
      <c r="E215" s="228" t="n">
        <v>46329</v>
      </c>
      <c r="F215" s="192" t="inlineStr">
        <is>
          <t>BYP/PER PM</t>
        </is>
      </c>
      <c r="G215" s="227" t="inlineStr">
        <is>
          <t>To be submitted</t>
        </is>
      </c>
      <c r="H215" s="227" t="n"/>
    </row>
    <row r="216">
      <c r="B216" s="227" t="inlineStr">
        <is>
          <t>TBC TBC</t>
        </is>
      </c>
      <c r="C216" s="227" t="inlineStr">
        <is>
          <t>STS</t>
        </is>
      </c>
      <c r="D216" s="227" t="inlineStr">
        <is>
          <t>Roster B- Electrical Team 2 (5x)</t>
        </is>
      </c>
      <c r="E216" s="228" t="n">
        <v>46329</v>
      </c>
      <c r="F216" s="192" t="inlineStr">
        <is>
          <t>PER/PHE PM LND</t>
        </is>
      </c>
      <c r="G216" s="227" t="inlineStr">
        <is>
          <t>Unknown colour</t>
        </is>
      </c>
      <c r="H216" s="227" t="n"/>
    </row>
    <row r="217">
      <c r="B217" s="227" t="inlineStr">
        <is>
          <t>TBC TBC</t>
        </is>
      </c>
      <c r="C217" s="227" t="inlineStr">
        <is>
          <t>STS</t>
        </is>
      </c>
      <c r="D217" s="227" t="inlineStr">
        <is>
          <t>Roster B- Electrical Team 2 (5x)</t>
        </is>
      </c>
      <c r="E217" s="228" t="n">
        <v>46329</v>
      </c>
      <c r="F217" s="192" t="inlineStr">
        <is>
          <t>PER/PHE PM LND</t>
        </is>
      </c>
      <c r="G217" s="227" t="inlineStr">
        <is>
          <t>Unknown colour</t>
        </is>
      </c>
      <c r="H217" s="227" t="n"/>
    </row>
    <row r="218">
      <c r="B218" s="227" t="inlineStr">
        <is>
          <t>Tyler Jorgensen</t>
        </is>
      </c>
      <c r="C218" s="227" t="inlineStr">
        <is>
          <t>LGC Rail</t>
        </is>
      </c>
      <c r="D218" s="227" t="inlineStr">
        <is>
          <t>Roster A - Civil Team 1 (4x)</t>
        </is>
      </c>
      <c r="E218" s="228" t="n">
        <v>46329</v>
      </c>
      <c r="F218" s="192" t="inlineStr">
        <is>
          <t>PHE/PER PM</t>
        </is>
      </c>
      <c r="G218" s="227" t="inlineStr">
        <is>
          <t>To be submitted</t>
        </is>
      </c>
      <c r="H218" s="227" t="n"/>
    </row>
    <row r="219">
      <c r="B219" s="227" t="inlineStr">
        <is>
          <t>Wayne Furge</t>
        </is>
      </c>
      <c r="C219" s="227" t="inlineStr">
        <is>
          <t>LGC Rail</t>
        </is>
      </c>
      <c r="D219" s="227" t="inlineStr">
        <is>
          <t>Logistics Team (4x)</t>
        </is>
      </c>
      <c r="E219" s="228" t="n">
        <v>46329</v>
      </c>
      <c r="F219" s="192" t="inlineStr">
        <is>
          <t>PHE/PER PM</t>
        </is>
      </c>
      <c r="G219" s="227" t="inlineStr">
        <is>
          <t>To be submitted</t>
        </is>
      </c>
      <c r="H219" s="227" t="n"/>
    </row>
    <row r="220">
      <c r="B220" s="227" t="inlineStr">
        <is>
          <t>William Bolger</t>
        </is>
      </c>
      <c r="C220" s="227" t="inlineStr">
        <is>
          <t>LGC Rail</t>
        </is>
      </c>
      <c r="D220" s="227" t="inlineStr">
        <is>
          <t>Roster A - Civil Team 1 (4x)</t>
        </is>
      </c>
      <c r="E220" s="228" t="n">
        <v>46329</v>
      </c>
      <c r="F220" s="192" t="inlineStr">
        <is>
          <t>PHE/PER PM</t>
        </is>
      </c>
      <c r="G220" s="227" t="inlineStr">
        <is>
          <t>To be submitted</t>
        </is>
      </c>
      <c r="H220" s="227" t="n"/>
    </row>
    <row r="221">
      <c r="B221" s="227" t="inlineStr">
        <is>
          <t>Aaron Vaccaro</t>
        </is>
      </c>
      <c r="C221" s="227" t="inlineStr">
        <is>
          <t>LGC Rail</t>
        </is>
      </c>
      <c r="D221" s="227" t="inlineStr">
        <is>
          <t>Logistics Team (4x)</t>
        </is>
      </c>
      <c r="E221" s="228" t="n">
        <v>46330</v>
      </c>
      <c r="F221" s="192" t="inlineStr">
        <is>
          <t>RDM</t>
        </is>
      </c>
      <c r="G221" s="227" t="inlineStr">
        <is>
          <t>To be submitted</t>
        </is>
      </c>
      <c r="H221" s="227" t="n"/>
    </row>
    <row r="222">
      <c r="B222" s="227" t="inlineStr">
        <is>
          <t>Brendan Delavere</t>
        </is>
      </c>
      <c r="C222" s="227" t="inlineStr">
        <is>
          <t>STS</t>
        </is>
      </c>
      <c r="D222" s="227" t="inlineStr">
        <is>
          <t>Roster B- Electrical Team 2 (5x)</t>
        </is>
      </c>
      <c r="E222" s="228" t="n">
        <v>46330</v>
      </c>
      <c r="F222" s="192" t="inlineStr">
        <is>
          <t>RDM</t>
        </is>
      </c>
      <c r="G222" s="227" t="inlineStr">
        <is>
          <t>To be submitted</t>
        </is>
      </c>
      <c r="H222" s="227" t="n"/>
    </row>
    <row r="223">
      <c r="B223" s="227" t="inlineStr">
        <is>
          <t>Jacob Harding</t>
        </is>
      </c>
      <c r="C223" s="227" t="inlineStr">
        <is>
          <t>2XM</t>
        </is>
      </c>
      <c r="D223" s="227" t="inlineStr">
        <is>
          <t>Roster B- Electrical Team 2 (5x)</t>
        </is>
      </c>
      <c r="E223" s="228" t="n">
        <v>46330</v>
      </c>
      <c r="F223" s="192" t="inlineStr">
        <is>
          <t>RDM</t>
        </is>
      </c>
      <c r="G223" s="227" t="inlineStr">
        <is>
          <t>To be submitted</t>
        </is>
      </c>
      <c r="H223" s="227" t="n"/>
    </row>
    <row r="224">
      <c r="B224" s="227" t="inlineStr">
        <is>
          <t>John Stephen</t>
        </is>
      </c>
      <c r="C224" s="227" t="inlineStr">
        <is>
          <t>Wabtec</t>
        </is>
      </c>
      <c r="D224" s="227" t="inlineStr">
        <is>
          <t>Logistics Team (4x)</t>
        </is>
      </c>
      <c r="E224" s="228" t="n">
        <v>46330</v>
      </c>
      <c r="F224" s="192" t="inlineStr">
        <is>
          <t>RDM</t>
        </is>
      </c>
      <c r="G224" s="227" t="inlineStr">
        <is>
          <t>To be submitted</t>
        </is>
      </c>
      <c r="H224" s="227" t="n"/>
    </row>
    <row r="225">
      <c r="B225" s="227" t="inlineStr">
        <is>
          <t>Keith Hale</t>
        </is>
      </c>
      <c r="C225" s="227" t="inlineStr">
        <is>
          <t>LGC Rail</t>
        </is>
      </c>
      <c r="D225" s="227" t="inlineStr">
        <is>
          <t>Logistics Team (4x)</t>
        </is>
      </c>
      <c r="E225" s="228" t="n">
        <v>46330</v>
      </c>
      <c r="F225" s="192" t="inlineStr">
        <is>
          <t>RDM</t>
        </is>
      </c>
      <c r="G225" s="227" t="inlineStr">
        <is>
          <t>To be submitted</t>
        </is>
      </c>
      <c r="H225" s="227" t="n"/>
    </row>
    <row r="226">
      <c r="B226" s="227" t="inlineStr">
        <is>
          <t>Martin Smart</t>
        </is>
      </c>
      <c r="C226" s="227" t="inlineStr">
        <is>
          <t>STS</t>
        </is>
      </c>
      <c r="D226" s="227" t="inlineStr">
        <is>
          <t>Roster B- Electrical Team 2 (5x)</t>
        </is>
      </c>
      <c r="E226" s="228" t="n">
        <v>46330</v>
      </c>
      <c r="F226" s="192" t="inlineStr">
        <is>
          <t>RDM</t>
        </is>
      </c>
      <c r="G226" s="227" t="inlineStr">
        <is>
          <t>To be submitted</t>
        </is>
      </c>
      <c r="H226" s="227" t="n"/>
    </row>
    <row r="227">
      <c r="B227" s="227" t="inlineStr">
        <is>
          <t>TBC TBC</t>
        </is>
      </c>
      <c r="C227" s="227" t="inlineStr">
        <is>
          <t>STS</t>
        </is>
      </c>
      <c r="D227" s="227" t="inlineStr">
        <is>
          <t>Roster B- Electrical Team 2 (5x)</t>
        </is>
      </c>
      <c r="E227" s="228" t="n">
        <v>46330</v>
      </c>
      <c r="F227" s="192" t="inlineStr">
        <is>
          <t>RDM</t>
        </is>
      </c>
      <c r="G227" s="227" t="inlineStr">
        <is>
          <t>Unknown colour</t>
        </is>
      </c>
      <c r="H227" s="227" t="n"/>
    </row>
    <row r="228">
      <c r="B228" s="227" t="inlineStr">
        <is>
          <t>TBC TBC</t>
        </is>
      </c>
      <c r="C228" s="227" t="inlineStr">
        <is>
          <t>STS</t>
        </is>
      </c>
      <c r="D228" s="227" t="inlineStr">
        <is>
          <t>Roster B- Electrical Team 2 (5x)</t>
        </is>
      </c>
      <c r="E228" s="228" t="n">
        <v>46330</v>
      </c>
      <c r="F228" s="192" t="inlineStr">
        <is>
          <t>RDM</t>
        </is>
      </c>
      <c r="G228" s="227" t="inlineStr">
        <is>
          <t>Unknown colour</t>
        </is>
      </c>
      <c r="H228" s="227" t="n"/>
    </row>
    <row r="229">
      <c r="B229" s="227" t="inlineStr">
        <is>
          <t>Aaron Vaccaro</t>
        </is>
      </c>
      <c r="C229" s="227" t="inlineStr">
        <is>
          <t>LGC Rail</t>
        </is>
      </c>
      <c r="D229" s="227" t="inlineStr">
        <is>
          <t>Logistics Team (4x)</t>
        </is>
      </c>
      <c r="E229" s="228" t="n">
        <v>46331</v>
      </c>
      <c r="F229" s="192" t="inlineStr">
        <is>
          <t>RDM</t>
        </is>
      </c>
      <c r="G229" s="227" t="inlineStr">
        <is>
          <t>To be submitted</t>
        </is>
      </c>
      <c r="H229" s="227" t="n"/>
    </row>
    <row r="230">
      <c r="B230" s="227" t="inlineStr">
        <is>
          <t>Brendan Delavere</t>
        </is>
      </c>
      <c r="C230" s="227" t="inlineStr">
        <is>
          <t>STS</t>
        </is>
      </c>
      <c r="D230" s="227" t="inlineStr">
        <is>
          <t>Roster B- Electrical Team 2 (5x)</t>
        </is>
      </c>
      <c r="E230" s="228" t="n">
        <v>46331</v>
      </c>
      <c r="F230" s="192" t="inlineStr">
        <is>
          <t>RDM</t>
        </is>
      </c>
      <c r="G230" s="227" t="inlineStr">
        <is>
          <t>To be submitted</t>
        </is>
      </c>
      <c r="H230" s="227" t="n"/>
    </row>
    <row r="231">
      <c r="B231" s="227" t="inlineStr">
        <is>
          <t>Jacob Harding</t>
        </is>
      </c>
      <c r="C231" s="227" t="inlineStr">
        <is>
          <t>2XM</t>
        </is>
      </c>
      <c r="D231" s="227" t="inlineStr">
        <is>
          <t>Roster B- Electrical Team 2 (5x)</t>
        </is>
      </c>
      <c r="E231" s="228" t="n">
        <v>46331</v>
      </c>
      <c r="F231" s="192" t="inlineStr">
        <is>
          <t>RDM</t>
        </is>
      </c>
      <c r="G231" s="227" t="inlineStr">
        <is>
          <t>To be submitted</t>
        </is>
      </c>
      <c r="H231" s="227" t="n"/>
    </row>
    <row r="232">
      <c r="B232" s="227" t="inlineStr">
        <is>
          <t>John Stephen</t>
        </is>
      </c>
      <c r="C232" s="227" t="inlineStr">
        <is>
          <t>Wabtec</t>
        </is>
      </c>
      <c r="D232" s="227" t="inlineStr">
        <is>
          <t>Logistics Team (4x)</t>
        </is>
      </c>
      <c r="E232" s="228" t="n">
        <v>46331</v>
      </c>
      <c r="F232" s="192" t="inlineStr">
        <is>
          <t>RDM</t>
        </is>
      </c>
      <c r="G232" s="227" t="inlineStr">
        <is>
          <t>To be submitted</t>
        </is>
      </c>
      <c r="H232" s="227" t="n"/>
    </row>
    <row r="233">
      <c r="B233" s="227" t="inlineStr">
        <is>
          <t>Keith Hale</t>
        </is>
      </c>
      <c r="C233" s="227" t="inlineStr">
        <is>
          <t>LGC Rail</t>
        </is>
      </c>
      <c r="D233" s="227" t="inlineStr">
        <is>
          <t>Logistics Team (4x)</t>
        </is>
      </c>
      <c r="E233" s="228" t="n">
        <v>46331</v>
      </c>
      <c r="F233" s="192" t="inlineStr">
        <is>
          <t>RDM</t>
        </is>
      </c>
      <c r="G233" s="227" t="inlineStr">
        <is>
          <t>To be submitted</t>
        </is>
      </c>
      <c r="H233" s="227" t="n"/>
    </row>
    <row r="234">
      <c r="B234" s="227" t="inlineStr">
        <is>
          <t>Martin Smart</t>
        </is>
      </c>
      <c r="C234" s="227" t="inlineStr">
        <is>
          <t>STS</t>
        </is>
      </c>
      <c r="D234" s="227" t="inlineStr">
        <is>
          <t>Roster B- Electrical Team 2 (5x)</t>
        </is>
      </c>
      <c r="E234" s="228" t="n">
        <v>46331</v>
      </c>
      <c r="F234" s="192" t="inlineStr">
        <is>
          <t>RDM</t>
        </is>
      </c>
      <c r="G234" s="227" t="inlineStr">
        <is>
          <t>To be submitted</t>
        </is>
      </c>
      <c r="H234" s="227" t="n"/>
    </row>
    <row r="235">
      <c r="B235" s="227" t="inlineStr">
        <is>
          <t>TBC TBC</t>
        </is>
      </c>
      <c r="C235" s="227" t="inlineStr">
        <is>
          <t>STS</t>
        </is>
      </c>
      <c r="D235" s="227" t="inlineStr">
        <is>
          <t>Roster B- Electrical Team 2 (5x)</t>
        </is>
      </c>
      <c r="E235" s="228" t="n">
        <v>46331</v>
      </c>
      <c r="F235" s="192" t="inlineStr">
        <is>
          <t>RDM</t>
        </is>
      </c>
      <c r="G235" s="227" t="inlineStr">
        <is>
          <t>Unknown colour</t>
        </is>
      </c>
      <c r="H235" s="227" t="n"/>
    </row>
    <row r="236">
      <c r="B236" s="227" t="inlineStr">
        <is>
          <t>TBC TBC</t>
        </is>
      </c>
      <c r="C236" s="227" t="inlineStr">
        <is>
          <t>STS</t>
        </is>
      </c>
      <c r="D236" s="227" t="inlineStr">
        <is>
          <t>Roster B- Electrical Team 2 (5x)</t>
        </is>
      </c>
      <c r="E236" s="228" t="n">
        <v>46331</v>
      </c>
      <c r="F236" s="192" t="inlineStr">
        <is>
          <t>RDM</t>
        </is>
      </c>
      <c r="G236" s="227" t="inlineStr">
        <is>
          <t>Unknown colour</t>
        </is>
      </c>
      <c r="H236" s="227" t="n"/>
    </row>
    <row r="237">
      <c r="B237" s="227" t="inlineStr">
        <is>
          <t>Aaron Vaccaro</t>
        </is>
      </c>
      <c r="C237" s="227" t="inlineStr">
        <is>
          <t>LGC Rail</t>
        </is>
      </c>
      <c r="D237" s="227" t="inlineStr">
        <is>
          <t>Logistics Team (4x)</t>
        </is>
      </c>
      <c r="E237" s="228" t="n">
        <v>46332</v>
      </c>
      <c r="F237" s="192" t="inlineStr">
        <is>
          <t>RDM</t>
        </is>
      </c>
      <c r="G237" s="227" t="inlineStr">
        <is>
          <t>To be submitted</t>
        </is>
      </c>
      <c r="H237" s="227" t="n"/>
    </row>
    <row r="238">
      <c r="B238" s="227" t="inlineStr">
        <is>
          <t>Brendan Delavere</t>
        </is>
      </c>
      <c r="C238" s="227" t="inlineStr">
        <is>
          <t>STS</t>
        </is>
      </c>
      <c r="D238" s="227" t="inlineStr">
        <is>
          <t>Roster B- Electrical Team 2 (5x)</t>
        </is>
      </c>
      <c r="E238" s="228" t="n">
        <v>46332</v>
      </c>
      <c r="F238" s="192" t="inlineStr">
        <is>
          <t>RDM</t>
        </is>
      </c>
      <c r="G238" s="227" t="inlineStr">
        <is>
          <t>To be submitted</t>
        </is>
      </c>
      <c r="H238" s="227" t="n"/>
    </row>
    <row r="239">
      <c r="B239" s="227" t="inlineStr">
        <is>
          <t>Jacob Harding</t>
        </is>
      </c>
      <c r="C239" s="227" t="inlineStr">
        <is>
          <t>2XM</t>
        </is>
      </c>
      <c r="D239" s="227" t="inlineStr">
        <is>
          <t>Roster B- Electrical Team 2 (5x)</t>
        </is>
      </c>
      <c r="E239" s="228" t="n">
        <v>46332</v>
      </c>
      <c r="F239" s="192" t="inlineStr">
        <is>
          <t>RDM</t>
        </is>
      </c>
      <c r="G239" s="227" t="inlineStr">
        <is>
          <t>To be submitted</t>
        </is>
      </c>
      <c r="H239" s="227" t="n"/>
    </row>
    <row r="240">
      <c r="B240" s="227" t="inlineStr">
        <is>
          <t>John Stephen</t>
        </is>
      </c>
      <c r="C240" s="227" t="inlineStr">
        <is>
          <t>Wabtec</t>
        </is>
      </c>
      <c r="D240" s="227" t="inlineStr">
        <is>
          <t>Logistics Team (4x)</t>
        </is>
      </c>
      <c r="E240" s="228" t="n">
        <v>46332</v>
      </c>
      <c r="F240" s="192" t="inlineStr">
        <is>
          <t>RDM</t>
        </is>
      </c>
      <c r="G240" s="227" t="inlineStr">
        <is>
          <t>To be submitted</t>
        </is>
      </c>
      <c r="H240" s="227" t="n"/>
    </row>
    <row r="241">
      <c r="B241" s="227" t="inlineStr">
        <is>
          <t>Keith Hale</t>
        </is>
      </c>
      <c r="C241" s="227" t="inlineStr">
        <is>
          <t>LGC Rail</t>
        </is>
      </c>
      <c r="D241" s="227" t="inlineStr">
        <is>
          <t>Logistics Team (4x)</t>
        </is>
      </c>
      <c r="E241" s="228" t="n">
        <v>46332</v>
      </c>
      <c r="F241" s="192" t="inlineStr">
        <is>
          <t>RDM</t>
        </is>
      </c>
      <c r="G241" s="227" t="inlineStr">
        <is>
          <t>To be submitted</t>
        </is>
      </c>
      <c r="H241" s="227" t="n"/>
    </row>
    <row r="242">
      <c r="B242" s="227" t="inlineStr">
        <is>
          <t>Martin Smart</t>
        </is>
      </c>
      <c r="C242" s="227" t="inlineStr">
        <is>
          <t>STS</t>
        </is>
      </c>
      <c r="D242" s="227" t="inlineStr">
        <is>
          <t>Roster B- Electrical Team 2 (5x)</t>
        </is>
      </c>
      <c r="E242" s="228" t="n">
        <v>46332</v>
      </c>
      <c r="F242" s="192" t="inlineStr">
        <is>
          <t>RDM</t>
        </is>
      </c>
      <c r="G242" s="227" t="inlineStr">
        <is>
          <t>To be submitted</t>
        </is>
      </c>
      <c r="H242" s="227" t="n"/>
    </row>
    <row r="243">
      <c r="B243" s="227" t="inlineStr">
        <is>
          <t>TBC TBC</t>
        </is>
      </c>
      <c r="C243" s="227" t="inlineStr">
        <is>
          <t>STS</t>
        </is>
      </c>
      <c r="D243" s="227" t="inlineStr">
        <is>
          <t>Roster B- Electrical Team 2 (5x)</t>
        </is>
      </c>
      <c r="E243" s="228" t="n">
        <v>46332</v>
      </c>
      <c r="F243" s="192" t="inlineStr">
        <is>
          <t>RDM</t>
        </is>
      </c>
      <c r="G243" s="227" t="inlineStr">
        <is>
          <t>Unknown colour</t>
        </is>
      </c>
      <c r="H243" s="227" t="n"/>
    </row>
    <row r="244">
      <c r="B244" s="227" t="inlineStr">
        <is>
          <t>TBC TBC</t>
        </is>
      </c>
      <c r="C244" s="227" t="inlineStr">
        <is>
          <t>STS</t>
        </is>
      </c>
      <c r="D244" s="227" t="inlineStr">
        <is>
          <t>Roster B- Electrical Team 2 (5x)</t>
        </is>
      </c>
      <c r="E244" s="228" t="n">
        <v>46332</v>
      </c>
      <c r="F244" s="192" t="inlineStr">
        <is>
          <t>RDM</t>
        </is>
      </c>
      <c r="G244" s="227" t="inlineStr">
        <is>
          <t>Unknown colour</t>
        </is>
      </c>
      <c r="H244" s="227" t="n"/>
    </row>
    <row r="245">
      <c r="B245" s="227" t="inlineStr">
        <is>
          <t>Aaron Vaccaro</t>
        </is>
      </c>
      <c r="C245" s="227" t="inlineStr">
        <is>
          <t>LGC Rail</t>
        </is>
      </c>
      <c r="D245" s="227" t="inlineStr">
        <is>
          <t>Logistics Team (4x)</t>
        </is>
      </c>
      <c r="E245" s="228" t="n">
        <v>46333</v>
      </c>
      <c r="F245" s="192" t="inlineStr">
        <is>
          <t>RDM</t>
        </is>
      </c>
      <c r="G245" s="227" t="inlineStr">
        <is>
          <t>To be submitted</t>
        </is>
      </c>
      <c r="H245" s="227" t="n"/>
    </row>
    <row r="246">
      <c r="B246" s="227" t="inlineStr">
        <is>
          <t>Andrew Burger</t>
        </is>
      </c>
      <c r="C246" s="227" t="inlineStr">
        <is>
          <t>Wabtec</t>
        </is>
      </c>
      <c r="D246" s="227" t="inlineStr">
        <is>
          <t>Roster B - Civil Team 2 (4x)</t>
        </is>
      </c>
      <c r="E246" s="228" t="n">
        <v>46333</v>
      </c>
      <c r="F246" s="192" t="inlineStr">
        <is>
          <t>PER/PHE PM LND</t>
        </is>
      </c>
      <c r="G246" s="227" t="inlineStr">
        <is>
          <t>To be submitted</t>
        </is>
      </c>
      <c r="H246" s="227" t="n"/>
    </row>
    <row r="247">
      <c r="B247" s="227" t="inlineStr">
        <is>
          <t>Brendan Delavere</t>
        </is>
      </c>
      <c r="C247" s="227" t="inlineStr">
        <is>
          <t>STS</t>
        </is>
      </c>
      <c r="D247" s="227" t="inlineStr">
        <is>
          <t>Roster B- Electrical Team 2 (5x)</t>
        </is>
      </c>
      <c r="E247" s="228" t="n">
        <v>46333</v>
      </c>
      <c r="F247" s="192" t="inlineStr">
        <is>
          <t>RDM</t>
        </is>
      </c>
      <c r="G247" s="227" t="inlineStr">
        <is>
          <t>To be submitted</t>
        </is>
      </c>
      <c r="H247" s="227" t="n"/>
    </row>
    <row r="248">
      <c r="B248" s="227" t="inlineStr">
        <is>
          <t>Jacob Harding</t>
        </is>
      </c>
      <c r="C248" s="227" t="inlineStr">
        <is>
          <t>2XM</t>
        </is>
      </c>
      <c r="D248" s="227" t="inlineStr">
        <is>
          <t>Roster B- Electrical Team 2 (5x)</t>
        </is>
      </c>
      <c r="E248" s="228" t="n">
        <v>46333</v>
      </c>
      <c r="F248" s="192" t="inlineStr">
        <is>
          <t>RDM</t>
        </is>
      </c>
      <c r="G248" s="227" t="inlineStr">
        <is>
          <t>To be submitted</t>
        </is>
      </c>
      <c r="H248" s="227" t="n"/>
    </row>
    <row r="249">
      <c r="B249" s="227" t="inlineStr">
        <is>
          <t>John Stephen</t>
        </is>
      </c>
      <c r="C249" s="227" t="inlineStr">
        <is>
          <t>Wabtec</t>
        </is>
      </c>
      <c r="D249" s="227" t="inlineStr">
        <is>
          <t>Logistics Team (4x)</t>
        </is>
      </c>
      <c r="E249" s="228" t="n">
        <v>46333</v>
      </c>
      <c r="F249" s="192" t="inlineStr">
        <is>
          <t>RDM</t>
        </is>
      </c>
      <c r="G249" s="227" t="inlineStr">
        <is>
          <t>To be submitted</t>
        </is>
      </c>
      <c r="H249" s="227" t="n"/>
    </row>
    <row r="250">
      <c r="B250" s="227" t="inlineStr">
        <is>
          <t>Keith Hale</t>
        </is>
      </c>
      <c r="C250" s="227" t="inlineStr">
        <is>
          <t>LGC Rail</t>
        </is>
      </c>
      <c r="D250" s="227" t="inlineStr">
        <is>
          <t>Logistics Team (4x)</t>
        </is>
      </c>
      <c r="E250" s="228" t="n">
        <v>46333</v>
      </c>
      <c r="F250" s="192" t="inlineStr">
        <is>
          <t>RDM</t>
        </is>
      </c>
      <c r="G250" s="227" t="inlineStr">
        <is>
          <t>To be submitted</t>
        </is>
      </c>
      <c r="H250" s="227" t="n"/>
    </row>
    <row r="251">
      <c r="B251" s="227" t="inlineStr">
        <is>
          <t>Martin Smart</t>
        </is>
      </c>
      <c r="C251" s="227" t="inlineStr">
        <is>
          <t>STS</t>
        </is>
      </c>
      <c r="D251" s="227" t="inlineStr">
        <is>
          <t>Roster B- Electrical Team 2 (5x)</t>
        </is>
      </c>
      <c r="E251" s="228" t="n">
        <v>46333</v>
      </c>
      <c r="F251" s="192" t="inlineStr">
        <is>
          <t>RDM</t>
        </is>
      </c>
      <c r="G251" s="227" t="inlineStr">
        <is>
          <t>To be submitted</t>
        </is>
      </c>
      <c r="H251" s="227" t="n"/>
    </row>
    <row r="252">
      <c r="B252" s="227" t="inlineStr">
        <is>
          <t>TBC TBC</t>
        </is>
      </c>
      <c r="C252" s="227" t="inlineStr">
        <is>
          <t>STS</t>
        </is>
      </c>
      <c r="D252" s="227" t="inlineStr">
        <is>
          <t>Roster B- Electrical Team 2 (5x)</t>
        </is>
      </c>
      <c r="E252" s="228" t="n">
        <v>46333</v>
      </c>
      <c r="F252" s="192" t="inlineStr">
        <is>
          <t>RDM</t>
        </is>
      </c>
      <c r="G252" s="227" t="inlineStr">
        <is>
          <t>Unknown colour</t>
        </is>
      </c>
      <c r="H252" s="227" t="n"/>
    </row>
    <row r="253">
      <c r="B253" s="227" t="inlineStr">
        <is>
          <t>TBC TBC</t>
        </is>
      </c>
      <c r="C253" s="227" t="inlineStr">
        <is>
          <t>STS</t>
        </is>
      </c>
      <c r="D253" s="227" t="inlineStr">
        <is>
          <t>Roster B- Electrical Team 2 (5x)</t>
        </is>
      </c>
      <c r="E253" s="228" t="n">
        <v>46333</v>
      </c>
      <c r="F253" s="192" t="inlineStr">
        <is>
          <t>RDM</t>
        </is>
      </c>
      <c r="G253" s="227" t="inlineStr">
        <is>
          <t>Unknown colour</t>
        </is>
      </c>
      <c r="H253" s="227" t="n"/>
    </row>
    <row r="254">
      <c r="B254" s="227" t="inlineStr">
        <is>
          <t>Aaron Vaccaro</t>
        </is>
      </c>
      <c r="C254" s="227" t="inlineStr">
        <is>
          <t>LGC Rail</t>
        </is>
      </c>
      <c r="D254" s="227" t="inlineStr">
        <is>
          <t>Logistics Team (4x)</t>
        </is>
      </c>
      <c r="E254" s="228" t="n">
        <v>46334</v>
      </c>
      <c r="F254" s="192" t="inlineStr">
        <is>
          <t>RDM</t>
        </is>
      </c>
      <c r="G254" s="227" t="inlineStr">
        <is>
          <t>To be submitted</t>
        </is>
      </c>
      <c r="H254" s="227" t="n"/>
    </row>
    <row r="255">
      <c r="B255" s="227" t="inlineStr">
        <is>
          <t>Andrew Burger</t>
        </is>
      </c>
      <c r="C255" s="227" t="inlineStr">
        <is>
          <t>Wabtec</t>
        </is>
      </c>
      <c r="D255" s="227" t="inlineStr">
        <is>
          <t>Roster B - Civil Team 2 (4x)</t>
        </is>
      </c>
      <c r="E255" s="228" t="n">
        <v>46334</v>
      </c>
      <c r="F255" s="192" t="inlineStr">
        <is>
          <t>RDM</t>
        </is>
      </c>
      <c r="G255" s="227" t="inlineStr">
        <is>
          <t>To be submitted</t>
        </is>
      </c>
      <c r="H255" s="227" t="n"/>
    </row>
    <row r="256">
      <c r="B256" s="227" t="inlineStr">
        <is>
          <t>Brendan Delavere</t>
        </is>
      </c>
      <c r="C256" s="227" t="inlineStr">
        <is>
          <t>STS</t>
        </is>
      </c>
      <c r="D256" s="227" t="inlineStr">
        <is>
          <t>Roster B- Electrical Team 2 (5x)</t>
        </is>
      </c>
      <c r="E256" s="228" t="n">
        <v>46334</v>
      </c>
      <c r="F256" s="192" t="inlineStr">
        <is>
          <t>RDM</t>
        </is>
      </c>
      <c r="G256" s="227" t="inlineStr">
        <is>
          <t>To be submitted</t>
        </is>
      </c>
      <c r="H256" s="227" t="n"/>
    </row>
    <row r="257">
      <c r="B257" s="227" t="inlineStr">
        <is>
          <t>Jacob Harding</t>
        </is>
      </c>
      <c r="C257" s="227" t="inlineStr">
        <is>
          <t>2XM</t>
        </is>
      </c>
      <c r="D257" s="227" t="inlineStr">
        <is>
          <t>Roster B- Electrical Team 2 (5x)</t>
        </is>
      </c>
      <c r="E257" s="228" t="n">
        <v>46334</v>
      </c>
      <c r="F257" s="192" t="inlineStr">
        <is>
          <t>RDM</t>
        </is>
      </c>
      <c r="G257" s="227" t="inlineStr">
        <is>
          <t>To be submitted</t>
        </is>
      </c>
      <c r="H257" s="227" t="n"/>
    </row>
    <row r="258">
      <c r="B258" s="227" t="inlineStr">
        <is>
          <t>John Stephen</t>
        </is>
      </c>
      <c r="C258" s="227" t="inlineStr">
        <is>
          <t>Wabtec</t>
        </is>
      </c>
      <c r="D258" s="227" t="inlineStr">
        <is>
          <t>Logistics Team (4x)</t>
        </is>
      </c>
      <c r="E258" s="228" t="n">
        <v>46334</v>
      </c>
      <c r="F258" s="192" t="inlineStr">
        <is>
          <t>RDM</t>
        </is>
      </c>
      <c r="G258" s="227" t="inlineStr">
        <is>
          <t>To be submitted</t>
        </is>
      </c>
      <c r="H258" s="227" t="n"/>
    </row>
    <row r="259">
      <c r="B259" s="227" t="inlineStr">
        <is>
          <t>Keith Hale</t>
        </is>
      </c>
      <c r="C259" s="227" t="inlineStr">
        <is>
          <t>LGC Rail</t>
        </is>
      </c>
      <c r="D259" s="227" t="inlineStr">
        <is>
          <t>Logistics Team (4x)</t>
        </is>
      </c>
      <c r="E259" s="228" t="n">
        <v>46334</v>
      </c>
      <c r="F259" s="192" t="inlineStr">
        <is>
          <t>RDM</t>
        </is>
      </c>
      <c r="G259" s="227" t="inlineStr">
        <is>
          <t>To be submitted</t>
        </is>
      </c>
      <c r="H259" s="227" t="n"/>
    </row>
    <row r="260">
      <c r="B260" s="227" t="inlineStr">
        <is>
          <t>Martin Smart</t>
        </is>
      </c>
      <c r="C260" s="227" t="inlineStr">
        <is>
          <t>STS</t>
        </is>
      </c>
      <c r="D260" s="227" t="inlineStr">
        <is>
          <t>Roster B- Electrical Team 2 (5x)</t>
        </is>
      </c>
      <c r="E260" s="228" t="n">
        <v>46334</v>
      </c>
      <c r="F260" s="192" t="inlineStr">
        <is>
          <t>RDM</t>
        </is>
      </c>
      <c r="G260" s="227" t="inlineStr">
        <is>
          <t>To be submitted</t>
        </is>
      </c>
      <c r="H260" s="227" t="n"/>
    </row>
    <row r="261">
      <c r="B261" s="227" t="inlineStr">
        <is>
          <t>TBC TBC</t>
        </is>
      </c>
      <c r="C261" s="227" t="inlineStr">
        <is>
          <t>STS</t>
        </is>
      </c>
      <c r="D261" s="227" t="inlineStr">
        <is>
          <t>Roster B- Electrical Team 2 (5x)</t>
        </is>
      </c>
      <c r="E261" s="228" t="n">
        <v>46334</v>
      </c>
      <c r="F261" s="192" t="inlineStr">
        <is>
          <t>RDM</t>
        </is>
      </c>
      <c r="G261" s="227" t="inlineStr">
        <is>
          <t>Unknown colour</t>
        </is>
      </c>
      <c r="H261" s="227" t="n"/>
    </row>
    <row r="262">
      <c r="B262" s="227" t="inlineStr">
        <is>
          <t>TBC TBC</t>
        </is>
      </c>
      <c r="C262" s="227" t="inlineStr">
        <is>
          <t>STS</t>
        </is>
      </c>
      <c r="D262" s="227" t="inlineStr">
        <is>
          <t>Roster B- Electrical Team 2 (5x)</t>
        </is>
      </c>
      <c r="E262" s="228" t="n">
        <v>46334</v>
      </c>
      <c r="F262" s="192" t="inlineStr">
        <is>
          <t>RDM</t>
        </is>
      </c>
      <c r="G262" s="227" t="inlineStr">
        <is>
          <t>Unknown colour</t>
        </is>
      </c>
      <c r="H262" s="227" t="n"/>
    </row>
    <row r="263">
      <c r="B263" s="227" t="inlineStr">
        <is>
          <t>Aaron Vaccaro</t>
        </is>
      </c>
      <c r="C263" s="227" t="inlineStr">
        <is>
          <t>LGC Rail</t>
        </is>
      </c>
      <c r="D263" s="227" t="inlineStr">
        <is>
          <t>Logistics Team (4x)</t>
        </is>
      </c>
      <c r="E263" s="228" t="n">
        <v>46335</v>
      </c>
      <c r="F263" s="192" t="inlineStr">
        <is>
          <t>RDM</t>
        </is>
      </c>
      <c r="G263" s="227" t="inlineStr">
        <is>
          <t>To be submitted</t>
        </is>
      </c>
      <c r="H263" s="227" t="n"/>
    </row>
    <row r="264">
      <c r="B264" s="227" t="inlineStr">
        <is>
          <t>Abdallah Joudeh</t>
        </is>
      </c>
      <c r="C264" s="227" t="inlineStr">
        <is>
          <t>Wabtec</t>
        </is>
      </c>
      <c r="D264" s="227" t="inlineStr">
        <is>
          <t>Management HSE / CM ( 2x)</t>
        </is>
      </c>
      <c r="E264" s="228" t="n">
        <v>46335</v>
      </c>
      <c r="F264" s="192" t="inlineStr">
        <is>
          <t>PER/PHE AM LND</t>
        </is>
      </c>
      <c r="G264" s="227" t="inlineStr">
        <is>
          <t>Confirmed (bright green - check)</t>
        </is>
      </c>
      <c r="H264" s="227" t="n"/>
    </row>
    <row r="265">
      <c r="B265" s="227" t="inlineStr">
        <is>
          <t>Andrew Burger</t>
        </is>
      </c>
      <c r="C265" s="227" t="inlineStr">
        <is>
          <t>Wabtec</t>
        </is>
      </c>
      <c r="D265" s="227" t="inlineStr">
        <is>
          <t>Roster B - Civil Team 2 (4x)</t>
        </is>
      </c>
      <c r="E265" s="228" t="n">
        <v>46335</v>
      </c>
      <c r="F265" s="192" t="inlineStr">
        <is>
          <t>RDM</t>
        </is>
      </c>
      <c r="G265" s="227" t="inlineStr">
        <is>
          <t>To be submitted</t>
        </is>
      </c>
      <c r="H265" s="227" t="n"/>
    </row>
    <row r="266">
      <c r="B266" s="227" t="inlineStr">
        <is>
          <t>Brendan Delavere</t>
        </is>
      </c>
      <c r="C266" s="227" t="inlineStr">
        <is>
          <t>STS</t>
        </is>
      </c>
      <c r="D266" s="227" t="inlineStr">
        <is>
          <t>Roster B- Electrical Team 2 (5x)</t>
        </is>
      </c>
      <c r="E266" s="228" t="n">
        <v>46335</v>
      </c>
      <c r="F266" s="192" t="inlineStr">
        <is>
          <t>RDM</t>
        </is>
      </c>
      <c r="G266" s="227" t="inlineStr">
        <is>
          <t>To be submitted</t>
        </is>
      </c>
      <c r="H266" s="227" t="n"/>
    </row>
    <row r="267">
      <c r="B267" s="227" t="inlineStr">
        <is>
          <t>Jacob Harding</t>
        </is>
      </c>
      <c r="C267" s="227" t="inlineStr">
        <is>
          <t>2XM</t>
        </is>
      </c>
      <c r="D267" s="227" t="inlineStr">
        <is>
          <t>Roster B- Electrical Team 2 (5x)</t>
        </is>
      </c>
      <c r="E267" s="228" t="n">
        <v>46335</v>
      </c>
      <c r="F267" s="192" t="inlineStr">
        <is>
          <t>RDM</t>
        </is>
      </c>
      <c r="G267" s="227" t="inlineStr">
        <is>
          <t>To be submitted</t>
        </is>
      </c>
      <c r="H267" s="227" t="n"/>
    </row>
    <row r="268">
      <c r="B268" s="227" t="inlineStr">
        <is>
          <t>John Stephen</t>
        </is>
      </c>
      <c r="C268" s="227" t="inlineStr">
        <is>
          <t>Wabtec</t>
        </is>
      </c>
      <c r="D268" s="227" t="inlineStr">
        <is>
          <t>Logistics Team (4x)</t>
        </is>
      </c>
      <c r="E268" s="228" t="n">
        <v>46335</v>
      </c>
      <c r="F268" s="192" t="inlineStr">
        <is>
          <t>RDM</t>
        </is>
      </c>
      <c r="G268" s="227" t="inlineStr">
        <is>
          <t>To be submitted</t>
        </is>
      </c>
      <c r="H268" s="227" t="n"/>
    </row>
    <row r="269">
      <c r="B269" s="227" t="inlineStr">
        <is>
          <t>Keith Hale</t>
        </is>
      </c>
      <c r="C269" s="227" t="inlineStr">
        <is>
          <t>LGC Rail</t>
        </is>
      </c>
      <c r="D269" s="227" t="inlineStr">
        <is>
          <t>Logistics Team (4x)</t>
        </is>
      </c>
      <c r="E269" s="228" t="n">
        <v>46335</v>
      </c>
      <c r="F269" s="192" t="inlineStr">
        <is>
          <t>RDM</t>
        </is>
      </c>
      <c r="G269" s="227" t="inlineStr">
        <is>
          <t>To be submitted</t>
        </is>
      </c>
      <c r="H269" s="227" t="n"/>
    </row>
    <row r="270">
      <c r="B270" s="227" t="inlineStr">
        <is>
          <t>Martin Smart</t>
        </is>
      </c>
      <c r="C270" s="227" t="inlineStr">
        <is>
          <t>STS</t>
        </is>
      </c>
      <c r="D270" s="227" t="inlineStr">
        <is>
          <t>Roster B- Electrical Team 2 (5x)</t>
        </is>
      </c>
      <c r="E270" s="228" t="n">
        <v>46335</v>
      </c>
      <c r="F270" s="192" t="inlineStr">
        <is>
          <t>RDM</t>
        </is>
      </c>
      <c r="G270" s="227" t="inlineStr">
        <is>
          <t>To be submitted</t>
        </is>
      </c>
      <c r="H270" s="227" t="n"/>
    </row>
    <row r="271">
      <c r="B271" s="227" t="inlineStr">
        <is>
          <t>TBC TBC</t>
        </is>
      </c>
      <c r="C271" s="227" t="inlineStr">
        <is>
          <t>STS</t>
        </is>
      </c>
      <c r="D271" s="227" t="inlineStr">
        <is>
          <t>Roster B- Electrical Team 2 (5x)</t>
        </is>
      </c>
      <c r="E271" s="228" t="n">
        <v>46335</v>
      </c>
      <c r="F271" s="192" t="inlineStr">
        <is>
          <t>RDM</t>
        </is>
      </c>
      <c r="G271" s="227" t="inlineStr">
        <is>
          <t>Unknown colour</t>
        </is>
      </c>
      <c r="H271" s="227" t="n"/>
    </row>
    <row r="272">
      <c r="B272" s="227" t="inlineStr">
        <is>
          <t>TBC TBC</t>
        </is>
      </c>
      <c r="C272" s="227" t="inlineStr">
        <is>
          <t>STS</t>
        </is>
      </c>
      <c r="D272" s="227" t="inlineStr">
        <is>
          <t>Roster B- Electrical Team 2 (5x)</t>
        </is>
      </c>
      <c r="E272" s="228" t="n">
        <v>46335</v>
      </c>
      <c r="F272" s="192" t="inlineStr">
        <is>
          <t>RDM</t>
        </is>
      </c>
      <c r="G272" s="227" t="inlineStr">
        <is>
          <t>Unknown colour</t>
        </is>
      </c>
      <c r="H272" s="227" t="n"/>
    </row>
    <row r="273">
      <c r="B273" s="227" t="inlineStr">
        <is>
          <t>Aaron Vaccaro</t>
        </is>
      </c>
      <c r="C273" s="227" t="inlineStr">
        <is>
          <t>LGC Rail</t>
        </is>
      </c>
      <c r="D273" s="227" t="inlineStr">
        <is>
          <t>Logistics Team (4x)</t>
        </is>
      </c>
      <c r="E273" s="228" t="n">
        <v>46336</v>
      </c>
      <c r="F273" s="192" t="inlineStr">
        <is>
          <t>PHE/PER PM</t>
        </is>
      </c>
      <c r="G273" s="227" t="inlineStr">
        <is>
          <t>Double checked</t>
        </is>
      </c>
      <c r="H273" s="227" t="n"/>
    </row>
    <row r="274">
      <c r="B274" s="227" t="inlineStr">
        <is>
          <t>Abdallah Joudeh</t>
        </is>
      </c>
      <c r="C274" s="227" t="inlineStr">
        <is>
          <t>Wabtec</t>
        </is>
      </c>
      <c r="D274" s="227" t="inlineStr">
        <is>
          <t>Management HSE / CM ( 2x)</t>
        </is>
      </c>
      <c r="E274" s="228" t="n">
        <v>46336</v>
      </c>
      <c r="F274" s="192" t="inlineStr">
        <is>
          <t>LND</t>
        </is>
      </c>
      <c r="G274" s="227" t="inlineStr">
        <is>
          <t>Double checked</t>
        </is>
      </c>
      <c r="H274" s="227" t="n"/>
    </row>
    <row r="275">
      <c r="B275" s="227" t="inlineStr">
        <is>
          <t>Andrew Burger</t>
        </is>
      </c>
      <c r="C275" s="227" t="inlineStr">
        <is>
          <t>Wabtec</t>
        </is>
      </c>
      <c r="D275" s="227" t="inlineStr">
        <is>
          <t>Roster B - Civil Team 2 (4x)</t>
        </is>
      </c>
      <c r="E275" s="228" t="n">
        <v>46336</v>
      </c>
      <c r="F275" s="192" t="inlineStr">
        <is>
          <t>RDM</t>
        </is>
      </c>
      <c r="G275" s="227" t="inlineStr">
        <is>
          <t>To be submitted</t>
        </is>
      </c>
      <c r="H275" s="227" t="n"/>
    </row>
    <row r="276">
      <c r="B276" s="227" t="inlineStr">
        <is>
          <t>Brendan Delavere</t>
        </is>
      </c>
      <c r="C276" s="227" t="inlineStr">
        <is>
          <t>STS</t>
        </is>
      </c>
      <c r="D276" s="227" t="inlineStr">
        <is>
          <t>Roster B- Electrical Team 2 (5x)</t>
        </is>
      </c>
      <c r="E276" s="228" t="n">
        <v>46336</v>
      </c>
      <c r="F276" s="192" t="inlineStr">
        <is>
          <t>PHE/PER PM</t>
        </is>
      </c>
      <c r="G276" s="227" t="inlineStr">
        <is>
          <t>To be submitted</t>
        </is>
      </c>
      <c r="H276" s="227" t="n"/>
    </row>
    <row r="277">
      <c r="B277" s="227" t="inlineStr">
        <is>
          <t>Declan Turner</t>
        </is>
      </c>
      <c r="C277" s="227" t="inlineStr">
        <is>
          <t>Wabtec</t>
        </is>
      </c>
      <c r="D277" s="227" t="inlineStr">
        <is>
          <t>Roster A - Electrical Team 1 (5x)</t>
        </is>
      </c>
      <c r="E277" s="228" t="n">
        <v>46336</v>
      </c>
      <c r="F277" s="192" t="inlineStr">
        <is>
          <t>PER/BYP PM</t>
        </is>
      </c>
      <c r="G277" s="227" t="inlineStr">
        <is>
          <t>To be submitted</t>
        </is>
      </c>
      <c r="H277" s="227" t="n"/>
    </row>
    <row r="278">
      <c r="B278" s="227" t="inlineStr">
        <is>
          <t>George Milton</t>
        </is>
      </c>
      <c r="C278" s="227" t="inlineStr">
        <is>
          <t>Wabtec</t>
        </is>
      </c>
      <c r="D278" s="227" t="inlineStr">
        <is>
          <t>Roster A - Electrical Team 1 (5x)</t>
        </is>
      </c>
      <c r="E278" s="228" t="n">
        <v>46336</v>
      </c>
      <c r="F278" s="192" t="inlineStr">
        <is>
          <t>PER/BYP PM</t>
        </is>
      </c>
      <c r="G278" s="227" t="inlineStr">
        <is>
          <t>To be submitted</t>
        </is>
      </c>
      <c r="H278" s="227" t="n"/>
    </row>
    <row r="279">
      <c r="B279" s="227" t="inlineStr">
        <is>
          <t>Jacob Harding</t>
        </is>
      </c>
      <c r="C279" s="227" t="inlineStr">
        <is>
          <t>2XM</t>
        </is>
      </c>
      <c r="D279" s="227" t="inlineStr">
        <is>
          <t>Roster B- Electrical Team 2 (5x)</t>
        </is>
      </c>
      <c r="E279" s="228" t="n">
        <v>46336</v>
      </c>
      <c r="F279" s="192" t="inlineStr">
        <is>
          <t>PHE/PER PM</t>
        </is>
      </c>
      <c r="G279" s="227" t="inlineStr">
        <is>
          <t>To be submitted</t>
        </is>
      </c>
      <c r="H279" s="227" t="n"/>
    </row>
    <row r="280">
      <c r="B280" s="227" t="inlineStr">
        <is>
          <t>John Stephen</t>
        </is>
      </c>
      <c r="C280" s="227" t="inlineStr">
        <is>
          <t>Wabtec</t>
        </is>
      </c>
      <c r="D280" s="227" t="inlineStr">
        <is>
          <t>Logistics Team (4x)</t>
        </is>
      </c>
      <c r="E280" s="228" t="n">
        <v>46336</v>
      </c>
      <c r="F280" s="192" t="inlineStr">
        <is>
          <t>RDM</t>
        </is>
      </c>
      <c r="G280" s="227" t="inlineStr">
        <is>
          <t>To be submitted</t>
        </is>
      </c>
      <c r="H280" s="227" t="n"/>
    </row>
    <row r="281">
      <c r="B281" s="227" t="inlineStr">
        <is>
          <t>Joseph Parker</t>
        </is>
      </c>
      <c r="C281" s="227" t="inlineStr">
        <is>
          <t>Wabtec</t>
        </is>
      </c>
      <c r="D281" s="227" t="inlineStr">
        <is>
          <t>Roster A - Electrical Team 1 (5x)</t>
        </is>
      </c>
      <c r="E281" s="228" t="n">
        <v>46336</v>
      </c>
      <c r="F281" s="192" t="inlineStr">
        <is>
          <t>PER/BYP PM</t>
        </is>
      </c>
      <c r="G281" s="227" t="inlineStr">
        <is>
          <t>To be submitted</t>
        </is>
      </c>
      <c r="H281" s="227" t="n"/>
    </row>
    <row r="282">
      <c r="B282" s="227" t="inlineStr">
        <is>
          <t>Keith Hale</t>
        </is>
      </c>
      <c r="C282" s="227" t="inlineStr">
        <is>
          <t>LGC Rail</t>
        </is>
      </c>
      <c r="D282" s="227" t="inlineStr">
        <is>
          <t>Logistics Team (4x)</t>
        </is>
      </c>
      <c r="E282" s="228" t="n">
        <v>46336</v>
      </c>
      <c r="F282" s="192" t="inlineStr">
        <is>
          <t>RDM</t>
        </is>
      </c>
      <c r="G282" s="227" t="inlineStr">
        <is>
          <t>To be submitted</t>
        </is>
      </c>
      <c r="H282" s="227" t="n"/>
    </row>
    <row r="283">
      <c r="B283" s="227" t="inlineStr">
        <is>
          <t>Martin Smart</t>
        </is>
      </c>
      <c r="C283" s="227" t="inlineStr">
        <is>
          <t>STS</t>
        </is>
      </c>
      <c r="D283" s="227" t="inlineStr">
        <is>
          <t>Roster B- Electrical Team 2 (5x)</t>
        </is>
      </c>
      <c r="E283" s="228" t="n">
        <v>46336</v>
      </c>
      <c r="F283" s="192" t="inlineStr">
        <is>
          <t>PHE/PER PM</t>
        </is>
      </c>
      <c r="G283" s="227" t="inlineStr">
        <is>
          <t>To be submitted</t>
        </is>
      </c>
      <c r="H283" s="227" t="n"/>
    </row>
    <row r="284">
      <c r="B284" s="227" t="inlineStr">
        <is>
          <t>Richard Lewis</t>
        </is>
      </c>
      <c r="C284" s="227" t="inlineStr">
        <is>
          <t>2XM</t>
        </is>
      </c>
      <c r="D284" s="227" t="inlineStr">
        <is>
          <t>Roster A - Electrical Team 1 (5x)</t>
        </is>
      </c>
      <c r="E284" s="228" t="n">
        <v>46336</v>
      </c>
      <c r="F284" s="192" t="inlineStr">
        <is>
          <t>PER/BYP PM</t>
        </is>
      </c>
      <c r="G284" s="227" t="inlineStr">
        <is>
          <t>To be submitted</t>
        </is>
      </c>
      <c r="H284" s="227" t="n"/>
    </row>
    <row r="285">
      <c r="B285" s="227" t="inlineStr">
        <is>
          <t>Stephen Anthony</t>
        </is>
      </c>
      <c r="C285" s="227" t="inlineStr">
        <is>
          <t>Wabtec</t>
        </is>
      </c>
      <c r="D285" s="227" t="inlineStr">
        <is>
          <t>Roster A - Electrical Team 1 (5x)</t>
        </is>
      </c>
      <c r="E285" s="228" t="n">
        <v>46336</v>
      </c>
      <c r="F285" s="192" t="inlineStr">
        <is>
          <t>PER/BYP PM</t>
        </is>
      </c>
      <c r="G285" s="227" t="inlineStr">
        <is>
          <t>To be submitted</t>
        </is>
      </c>
      <c r="H285" s="227" t="n"/>
    </row>
    <row r="286">
      <c r="B286" s="227" t="inlineStr">
        <is>
          <t>Stephen Murgia</t>
        </is>
      </c>
      <c r="C286" s="227" t="inlineStr">
        <is>
          <t>Jurovich Survey</t>
        </is>
      </c>
      <c r="D286" s="227" t="inlineStr">
        <is>
          <t>Surveyors</t>
        </is>
      </c>
      <c r="E286" s="228" t="n">
        <v>46336</v>
      </c>
      <c r="F286" s="192" t="inlineStr">
        <is>
          <t>PER/PHE AM RDM</t>
        </is>
      </c>
      <c r="G286" s="227" t="inlineStr">
        <is>
          <t>To be submitted</t>
        </is>
      </c>
      <c r="H286" s="227" t="n"/>
    </row>
    <row r="287">
      <c r="B287" s="227" t="inlineStr">
        <is>
          <t>TBC TBC</t>
        </is>
      </c>
      <c r="C287" s="227" t="inlineStr">
        <is>
          <t>STS</t>
        </is>
      </c>
      <c r="D287" s="227" t="inlineStr">
        <is>
          <t>Roster B- Electrical Team 2 (5x)</t>
        </is>
      </c>
      <c r="E287" s="228" t="n">
        <v>46336</v>
      </c>
      <c r="F287" s="192" t="inlineStr">
        <is>
          <t>PHE/PER PM</t>
        </is>
      </c>
      <c r="G287" s="227" t="inlineStr">
        <is>
          <t>Unknown colour</t>
        </is>
      </c>
      <c r="H287" s="227" t="n"/>
    </row>
    <row r="288">
      <c r="B288" s="227" t="inlineStr">
        <is>
          <t>TBC TBC</t>
        </is>
      </c>
      <c r="C288" s="227" t="inlineStr">
        <is>
          <t>STS</t>
        </is>
      </c>
      <c r="D288" s="227" t="inlineStr">
        <is>
          <t>Roster B- Electrical Team 2 (5x)</t>
        </is>
      </c>
      <c r="E288" s="228" t="n">
        <v>46336</v>
      </c>
      <c r="F288" s="192" t="inlineStr">
        <is>
          <t>PHE/PER PM</t>
        </is>
      </c>
      <c r="G288" s="227" t="inlineStr">
        <is>
          <t>Unknown colour</t>
        </is>
      </c>
      <c r="H288" s="227" t="n"/>
    </row>
    <row r="289">
      <c r="B289" s="227" t="inlineStr">
        <is>
          <t>Abdallah Joudeh</t>
        </is>
      </c>
      <c r="C289" s="227" t="inlineStr">
        <is>
          <t>Wabtec</t>
        </is>
      </c>
      <c r="D289" s="227" t="inlineStr">
        <is>
          <t>Management HSE / CM ( 2x)</t>
        </is>
      </c>
      <c r="E289" s="228" t="n">
        <v>46337</v>
      </c>
      <c r="F289" s="192" t="inlineStr">
        <is>
          <t>LND</t>
        </is>
      </c>
      <c r="G289" s="227" t="inlineStr">
        <is>
          <t>Double checked</t>
        </is>
      </c>
      <c r="H289" s="227" t="n"/>
    </row>
    <row r="290">
      <c r="B290" s="227" t="inlineStr">
        <is>
          <t>Andrew Burger</t>
        </is>
      </c>
      <c r="C290" s="227" t="inlineStr">
        <is>
          <t>Wabtec</t>
        </is>
      </c>
      <c r="D290" s="227" t="inlineStr">
        <is>
          <t>Roster B - Civil Team 2 (4x)</t>
        </is>
      </c>
      <c r="E290" s="228" t="n">
        <v>46337</v>
      </c>
      <c r="F290" s="192" t="inlineStr">
        <is>
          <t>RDM</t>
        </is>
      </c>
      <c r="G290" s="227" t="inlineStr">
        <is>
          <t>To be submitted</t>
        </is>
      </c>
      <c r="H290" s="227" t="n"/>
    </row>
    <row r="291">
      <c r="B291" s="227" t="inlineStr">
        <is>
          <t>Declan Turner</t>
        </is>
      </c>
      <c r="C291" s="227" t="inlineStr">
        <is>
          <t>Wabtec</t>
        </is>
      </c>
      <c r="D291" s="227" t="inlineStr">
        <is>
          <t>Roster A - Electrical Team 1 (5x)</t>
        </is>
      </c>
      <c r="E291" s="228" t="n">
        <v>46337</v>
      </c>
      <c r="F291" s="192" t="inlineStr">
        <is>
          <t>SPX</t>
        </is>
      </c>
      <c r="G291" s="227" t="inlineStr">
        <is>
          <t>To be submitted</t>
        </is>
      </c>
      <c r="H291" s="227" t="n"/>
    </row>
    <row r="292">
      <c r="B292" s="227" t="inlineStr">
        <is>
          <t>George Milton</t>
        </is>
      </c>
      <c r="C292" s="227" t="inlineStr">
        <is>
          <t>Wabtec</t>
        </is>
      </c>
      <c r="D292" s="227" t="inlineStr">
        <is>
          <t>Roster A - Electrical Team 1 (5x)</t>
        </is>
      </c>
      <c r="E292" s="228" t="n">
        <v>46337</v>
      </c>
      <c r="F292" s="192" t="inlineStr">
        <is>
          <t>SPX</t>
        </is>
      </c>
      <c r="G292" s="227" t="inlineStr">
        <is>
          <t>To be submitted</t>
        </is>
      </c>
      <c r="H292" s="227" t="n"/>
    </row>
    <row r="293">
      <c r="B293" s="227" t="inlineStr">
        <is>
          <t>John Stephen</t>
        </is>
      </c>
      <c r="C293" s="227" t="inlineStr">
        <is>
          <t>Wabtec</t>
        </is>
      </c>
      <c r="D293" s="227" t="inlineStr">
        <is>
          <t>Logistics Team (4x)</t>
        </is>
      </c>
      <c r="E293" s="228" t="n">
        <v>46337</v>
      </c>
      <c r="F293" s="192" t="inlineStr">
        <is>
          <t>RDM</t>
        </is>
      </c>
      <c r="G293" s="227" t="inlineStr">
        <is>
          <t>To be submitted</t>
        </is>
      </c>
      <c r="H293" s="227" t="n"/>
    </row>
    <row r="294">
      <c r="B294" s="227" t="inlineStr">
        <is>
          <t>Joseph Parker</t>
        </is>
      </c>
      <c r="C294" s="227" t="inlineStr">
        <is>
          <t>Wabtec</t>
        </is>
      </c>
      <c r="D294" s="227" t="inlineStr">
        <is>
          <t>Roster A - Electrical Team 1 (5x)</t>
        </is>
      </c>
      <c r="E294" s="228" t="n">
        <v>46337</v>
      </c>
      <c r="F294" s="192" t="inlineStr">
        <is>
          <t>SPX</t>
        </is>
      </c>
      <c r="G294" s="227" t="inlineStr">
        <is>
          <t>To be submitted</t>
        </is>
      </c>
      <c r="H294" s="227" t="n"/>
    </row>
    <row r="295">
      <c r="B295" s="227" t="inlineStr">
        <is>
          <t>Keith Hale</t>
        </is>
      </c>
      <c r="C295" s="227" t="inlineStr">
        <is>
          <t>LGC Rail</t>
        </is>
      </c>
      <c r="D295" s="227" t="inlineStr">
        <is>
          <t>Logistics Team (4x)</t>
        </is>
      </c>
      <c r="E295" s="228" t="n">
        <v>46337</v>
      </c>
      <c r="F295" s="192" t="inlineStr">
        <is>
          <t>RDM</t>
        </is>
      </c>
      <c r="G295" s="227" t="inlineStr">
        <is>
          <t>To be submitted</t>
        </is>
      </c>
      <c r="H295" s="227" t="n"/>
    </row>
    <row r="296">
      <c r="B296" s="227" t="inlineStr">
        <is>
          <t>Richard Lewis</t>
        </is>
      </c>
      <c r="C296" s="227" t="inlineStr">
        <is>
          <t>2XM</t>
        </is>
      </c>
      <c r="D296" s="227" t="inlineStr">
        <is>
          <t>Roster A - Electrical Team 1 (5x)</t>
        </is>
      </c>
      <c r="E296" s="228" t="n">
        <v>46337</v>
      </c>
      <c r="F296" s="192" t="inlineStr">
        <is>
          <t>SPX</t>
        </is>
      </c>
      <c r="G296" s="227" t="inlineStr">
        <is>
          <t>To be submitted</t>
        </is>
      </c>
      <c r="H296" s="227" t="n"/>
    </row>
    <row r="297">
      <c r="B297" s="227" t="inlineStr">
        <is>
          <t>Stephen Anthony</t>
        </is>
      </c>
      <c r="C297" s="227" t="inlineStr">
        <is>
          <t>Wabtec</t>
        </is>
      </c>
      <c r="D297" s="227" t="inlineStr">
        <is>
          <t>Roster A - Electrical Team 1 (5x)</t>
        </is>
      </c>
      <c r="E297" s="228" t="n">
        <v>46337</v>
      </c>
      <c r="F297" s="192" t="inlineStr">
        <is>
          <t>SPX</t>
        </is>
      </c>
      <c r="G297" s="227" t="inlineStr">
        <is>
          <t>To be submitted</t>
        </is>
      </c>
      <c r="H297" s="227" t="n"/>
    </row>
    <row r="298">
      <c r="B298" s="227" t="inlineStr">
        <is>
          <t>Stephen Murgia</t>
        </is>
      </c>
      <c r="C298" s="227" t="inlineStr">
        <is>
          <t>Jurovich Survey</t>
        </is>
      </c>
      <c r="D298" s="227" t="inlineStr">
        <is>
          <t>Surveyors</t>
        </is>
      </c>
      <c r="E298" s="228" t="n">
        <v>46337</v>
      </c>
      <c r="F298" s="192" t="inlineStr">
        <is>
          <t>PHE/PER PM</t>
        </is>
      </c>
      <c r="G298" s="227" t="inlineStr">
        <is>
          <t>To be submitted</t>
        </is>
      </c>
      <c r="H298" s="227" t="n"/>
    </row>
    <row r="299">
      <c r="B299" s="227" t="inlineStr">
        <is>
          <t>Abdallah Joudeh</t>
        </is>
      </c>
      <c r="C299" s="227" t="inlineStr">
        <is>
          <t>Wabtec</t>
        </is>
      </c>
      <c r="D299" s="227" t="inlineStr">
        <is>
          <t>Management HSE / CM ( 2x)</t>
        </is>
      </c>
      <c r="E299" s="228" t="n">
        <v>46338</v>
      </c>
      <c r="F299" s="192" t="inlineStr">
        <is>
          <t>LND</t>
        </is>
      </c>
      <c r="G299" s="227" t="inlineStr">
        <is>
          <t>Double checked</t>
        </is>
      </c>
      <c r="H299" s="227" t="n"/>
    </row>
    <row r="300">
      <c r="B300" s="227" t="inlineStr">
        <is>
          <t>Andrew Burger</t>
        </is>
      </c>
      <c r="C300" s="227" t="inlineStr">
        <is>
          <t>Wabtec</t>
        </is>
      </c>
      <c r="D300" s="227" t="inlineStr">
        <is>
          <t>Roster B - Civil Team 2 (4x)</t>
        </is>
      </c>
      <c r="E300" s="228" t="n">
        <v>46338</v>
      </c>
      <c r="F300" s="192" t="inlineStr">
        <is>
          <t>RDM</t>
        </is>
      </c>
      <c r="G300" s="227" t="inlineStr">
        <is>
          <t>To be submitted</t>
        </is>
      </c>
      <c r="H300" s="227" t="n"/>
    </row>
    <row r="301">
      <c r="B301" s="227" t="inlineStr">
        <is>
          <t>Declan Turner</t>
        </is>
      </c>
      <c r="C301" s="227" t="inlineStr">
        <is>
          <t>Wabtec</t>
        </is>
      </c>
      <c r="D301" s="227" t="inlineStr">
        <is>
          <t>Roster A - Electrical Team 1 (5x)</t>
        </is>
      </c>
      <c r="E301" s="228" t="n">
        <v>46338</v>
      </c>
      <c r="F301" s="192" t="inlineStr">
        <is>
          <t>SPX</t>
        </is>
      </c>
      <c r="G301" s="227" t="inlineStr">
        <is>
          <t>To be submitted</t>
        </is>
      </c>
      <c r="H301" s="227" t="n"/>
    </row>
    <row r="302">
      <c r="B302" s="227" t="inlineStr">
        <is>
          <t>George Milton</t>
        </is>
      </c>
      <c r="C302" s="227" t="inlineStr">
        <is>
          <t>Wabtec</t>
        </is>
      </c>
      <c r="D302" s="227" t="inlineStr">
        <is>
          <t>Roster A - Electrical Team 1 (5x)</t>
        </is>
      </c>
      <c r="E302" s="228" t="n">
        <v>46338</v>
      </c>
      <c r="F302" s="192" t="inlineStr">
        <is>
          <t>SPX</t>
        </is>
      </c>
      <c r="G302" s="227" t="inlineStr">
        <is>
          <t>To be submitted</t>
        </is>
      </c>
      <c r="H302" s="227" t="n"/>
    </row>
    <row r="303">
      <c r="B303" s="227" t="inlineStr">
        <is>
          <t>John Stephen</t>
        </is>
      </c>
      <c r="C303" s="227" t="inlineStr">
        <is>
          <t>Wabtec</t>
        </is>
      </c>
      <c r="D303" s="227" t="inlineStr">
        <is>
          <t>Logistics Team (4x)</t>
        </is>
      </c>
      <c r="E303" s="228" t="n">
        <v>46338</v>
      </c>
      <c r="F303" s="192" t="inlineStr">
        <is>
          <t>RDM</t>
        </is>
      </c>
      <c r="G303" s="227" t="inlineStr">
        <is>
          <t>To be submitted</t>
        </is>
      </c>
      <c r="H303" s="227" t="n"/>
    </row>
    <row r="304">
      <c r="B304" s="227" t="inlineStr">
        <is>
          <t>Joseph Parker</t>
        </is>
      </c>
      <c r="C304" s="227" t="inlineStr">
        <is>
          <t>Wabtec</t>
        </is>
      </c>
      <c r="D304" s="227" t="inlineStr">
        <is>
          <t>Roster A - Electrical Team 1 (5x)</t>
        </is>
      </c>
      <c r="E304" s="228" t="n">
        <v>46338</v>
      </c>
      <c r="F304" s="192" t="inlineStr">
        <is>
          <t>SPX</t>
        </is>
      </c>
      <c r="G304" s="227" t="inlineStr">
        <is>
          <t>To be submitted</t>
        </is>
      </c>
      <c r="H304" s="227" t="n"/>
    </row>
    <row r="305">
      <c r="B305" s="227" t="inlineStr">
        <is>
          <t>Keith Hale</t>
        </is>
      </c>
      <c r="C305" s="227" t="inlineStr">
        <is>
          <t>LGC Rail</t>
        </is>
      </c>
      <c r="D305" s="227" t="inlineStr">
        <is>
          <t>Logistics Team (4x)</t>
        </is>
      </c>
      <c r="E305" s="228" t="n">
        <v>46338</v>
      </c>
      <c r="F305" s="192" t="inlineStr">
        <is>
          <t>RDM</t>
        </is>
      </c>
      <c r="G305" s="227" t="inlineStr">
        <is>
          <t>To be submitted</t>
        </is>
      </c>
      <c r="H305" s="227" t="n"/>
    </row>
    <row r="306">
      <c r="B306" s="227" t="inlineStr">
        <is>
          <t>Richard Lewis</t>
        </is>
      </c>
      <c r="C306" s="227" t="inlineStr">
        <is>
          <t>2XM</t>
        </is>
      </c>
      <c r="D306" s="227" t="inlineStr">
        <is>
          <t>Roster A - Electrical Team 1 (5x)</t>
        </is>
      </c>
      <c r="E306" s="228" t="n">
        <v>46338</v>
      </c>
      <c r="F306" s="192" t="inlineStr">
        <is>
          <t>SPX</t>
        </is>
      </c>
      <c r="G306" s="227" t="inlineStr">
        <is>
          <t>To be submitted</t>
        </is>
      </c>
      <c r="H306" s="227" t="n"/>
    </row>
    <row r="307">
      <c r="B307" s="227" t="inlineStr">
        <is>
          <t>Stephen Anthony</t>
        </is>
      </c>
      <c r="C307" s="227" t="inlineStr">
        <is>
          <t>Wabtec</t>
        </is>
      </c>
      <c r="D307" s="227" t="inlineStr">
        <is>
          <t>Roster A - Electrical Team 1 (5x)</t>
        </is>
      </c>
      <c r="E307" s="228" t="n">
        <v>46338</v>
      </c>
      <c r="F307" s="192" t="inlineStr">
        <is>
          <t>SPX</t>
        </is>
      </c>
      <c r="G307" s="227" t="inlineStr">
        <is>
          <t>To be submitted</t>
        </is>
      </c>
      <c r="H307" s="227" t="n"/>
    </row>
    <row r="308">
      <c r="B308" s="227" t="inlineStr">
        <is>
          <t>Abdallah Joudeh</t>
        </is>
      </c>
      <c r="C308" s="227" t="inlineStr">
        <is>
          <t>Wabtec</t>
        </is>
      </c>
      <c r="D308" s="227" t="inlineStr">
        <is>
          <t>Management HSE / CM ( 2x)</t>
        </is>
      </c>
      <c r="E308" s="228" t="n">
        <v>46339</v>
      </c>
      <c r="F308" s="192" t="inlineStr">
        <is>
          <t>LND</t>
        </is>
      </c>
      <c r="G308" s="227" t="inlineStr">
        <is>
          <t>Double checked</t>
        </is>
      </c>
      <c r="H308" s="227" t="n"/>
    </row>
    <row r="309">
      <c r="B309" s="227" t="inlineStr">
        <is>
          <t>Andrew Burger</t>
        </is>
      </c>
      <c r="C309" s="227" t="inlineStr">
        <is>
          <t>Wabtec</t>
        </is>
      </c>
      <c r="D309" s="227" t="inlineStr">
        <is>
          <t>Roster B - Civil Team 2 (4x)</t>
        </is>
      </c>
      <c r="E309" s="228" t="n">
        <v>46339</v>
      </c>
      <c r="F309" s="192" t="inlineStr">
        <is>
          <t>RDM</t>
        </is>
      </c>
      <c r="G309" s="227" t="inlineStr">
        <is>
          <t>To be submitted</t>
        </is>
      </c>
      <c r="H309" s="227" t="n"/>
    </row>
    <row r="310">
      <c r="B310" s="227" t="inlineStr">
        <is>
          <t>Declan Turner</t>
        </is>
      </c>
      <c r="C310" s="227" t="inlineStr">
        <is>
          <t>Wabtec</t>
        </is>
      </c>
      <c r="D310" s="227" t="inlineStr">
        <is>
          <t>Roster A - Electrical Team 1 (5x)</t>
        </is>
      </c>
      <c r="E310" s="228" t="n">
        <v>46339</v>
      </c>
      <c r="F310" s="192" t="inlineStr">
        <is>
          <t>SPX</t>
        </is>
      </c>
      <c r="G310" s="227" t="inlineStr">
        <is>
          <t>To be submitted</t>
        </is>
      </c>
      <c r="H310" s="227" t="n"/>
    </row>
    <row r="311">
      <c r="B311" s="227" t="inlineStr">
        <is>
          <t>George Milton</t>
        </is>
      </c>
      <c r="C311" s="227" t="inlineStr">
        <is>
          <t>Wabtec</t>
        </is>
      </c>
      <c r="D311" s="227" t="inlineStr">
        <is>
          <t>Roster A - Electrical Team 1 (5x)</t>
        </is>
      </c>
      <c r="E311" s="228" t="n">
        <v>46339</v>
      </c>
      <c r="F311" s="192" t="inlineStr">
        <is>
          <t>SPX</t>
        </is>
      </c>
      <c r="G311" s="227" t="inlineStr">
        <is>
          <t>To be submitted</t>
        </is>
      </c>
      <c r="H311" s="227" t="n"/>
    </row>
    <row r="312">
      <c r="B312" s="227" t="inlineStr">
        <is>
          <t>John Stephen</t>
        </is>
      </c>
      <c r="C312" s="227" t="inlineStr">
        <is>
          <t>Wabtec</t>
        </is>
      </c>
      <c r="D312" s="227" t="inlineStr">
        <is>
          <t>Logistics Team (4x)</t>
        </is>
      </c>
      <c r="E312" s="228" t="n">
        <v>46339</v>
      </c>
      <c r="F312" s="192" t="inlineStr">
        <is>
          <t>RDM</t>
        </is>
      </c>
      <c r="G312" s="227" t="inlineStr">
        <is>
          <t>To be submitted</t>
        </is>
      </c>
      <c r="H312" s="227" t="n"/>
    </row>
    <row r="313">
      <c r="B313" s="227" t="inlineStr">
        <is>
          <t>Joseph Parker</t>
        </is>
      </c>
      <c r="C313" s="227" t="inlineStr">
        <is>
          <t>Wabtec</t>
        </is>
      </c>
      <c r="D313" s="227" t="inlineStr">
        <is>
          <t>Roster A - Electrical Team 1 (5x)</t>
        </is>
      </c>
      <c r="E313" s="228" t="n">
        <v>46339</v>
      </c>
      <c r="F313" s="192" t="inlineStr">
        <is>
          <t>SPX</t>
        </is>
      </c>
      <c r="G313" s="227" t="inlineStr">
        <is>
          <t>To be submitted</t>
        </is>
      </c>
      <c r="H313" s="227" t="n"/>
    </row>
    <row r="314">
      <c r="B314" s="227" t="inlineStr">
        <is>
          <t>Keith Hale</t>
        </is>
      </c>
      <c r="C314" s="227" t="inlineStr">
        <is>
          <t>LGC Rail</t>
        </is>
      </c>
      <c r="D314" s="227" t="inlineStr">
        <is>
          <t>Logistics Team (4x)</t>
        </is>
      </c>
      <c r="E314" s="228" t="n">
        <v>46339</v>
      </c>
      <c r="F314" s="192" t="inlineStr">
        <is>
          <t>RDM</t>
        </is>
      </c>
      <c r="G314" s="227" t="inlineStr">
        <is>
          <t>To be submitted</t>
        </is>
      </c>
      <c r="H314" s="227" t="n"/>
    </row>
    <row r="315">
      <c r="B315" s="227" t="inlineStr">
        <is>
          <t>Richard Lewis</t>
        </is>
      </c>
      <c r="C315" s="227" t="inlineStr">
        <is>
          <t>2XM</t>
        </is>
      </c>
      <c r="D315" s="227" t="inlineStr">
        <is>
          <t>Roster A - Electrical Team 1 (5x)</t>
        </is>
      </c>
      <c r="E315" s="228" t="n">
        <v>46339</v>
      </c>
      <c r="F315" s="192" t="inlineStr">
        <is>
          <t>SPX</t>
        </is>
      </c>
      <c r="G315" s="227" t="inlineStr">
        <is>
          <t>To be submitted</t>
        </is>
      </c>
      <c r="H315" s="227" t="n"/>
    </row>
    <row r="316">
      <c r="B316" s="227" t="inlineStr">
        <is>
          <t>Stephen Anthony</t>
        </is>
      </c>
      <c r="C316" s="227" t="inlineStr">
        <is>
          <t>Wabtec</t>
        </is>
      </c>
      <c r="D316" s="227" t="inlineStr">
        <is>
          <t>Roster A - Electrical Team 1 (5x)</t>
        </is>
      </c>
      <c r="E316" s="228" t="n">
        <v>46339</v>
      </c>
      <c r="F316" s="192" t="inlineStr">
        <is>
          <t>SPX</t>
        </is>
      </c>
      <c r="G316" s="227" t="inlineStr">
        <is>
          <t>To be submitted</t>
        </is>
      </c>
      <c r="H316" s="227" t="n"/>
    </row>
    <row r="317">
      <c r="B317" s="227" t="inlineStr">
        <is>
          <t>Abdallah Joudeh</t>
        </is>
      </c>
      <c r="C317" s="227" t="inlineStr">
        <is>
          <t>Wabtec</t>
        </is>
      </c>
      <c r="D317" s="227" t="inlineStr">
        <is>
          <t>Management HSE / CM ( 2x)</t>
        </is>
      </c>
      <c r="E317" s="228" t="n">
        <v>46340</v>
      </c>
      <c r="F317" s="192" t="inlineStr">
        <is>
          <t>LND</t>
        </is>
      </c>
      <c r="G317" s="227" t="inlineStr">
        <is>
          <t>Double checked</t>
        </is>
      </c>
      <c r="H317" s="227" t="n"/>
    </row>
    <row r="318">
      <c r="B318" s="227" t="inlineStr">
        <is>
          <t>Andrew Burger</t>
        </is>
      </c>
      <c r="C318" s="227" t="inlineStr">
        <is>
          <t>Wabtec</t>
        </is>
      </c>
      <c r="D318" s="227" t="inlineStr">
        <is>
          <t>Roster B - Civil Team 2 (4x)</t>
        </is>
      </c>
      <c r="E318" s="228" t="n">
        <v>46340</v>
      </c>
      <c r="F318" s="192" t="inlineStr">
        <is>
          <t>RDM</t>
        </is>
      </c>
      <c r="G318" s="227" t="inlineStr">
        <is>
          <t>To be submitted</t>
        </is>
      </c>
      <c r="H318" s="227" t="n"/>
    </row>
    <row r="319">
      <c r="B319" s="227" t="inlineStr">
        <is>
          <t>Declan Turner</t>
        </is>
      </c>
      <c r="C319" s="227" t="inlineStr">
        <is>
          <t>Wabtec</t>
        </is>
      </c>
      <c r="D319" s="227" t="inlineStr">
        <is>
          <t>Roster A - Electrical Team 1 (5x)</t>
        </is>
      </c>
      <c r="E319" s="228" t="n">
        <v>46340</v>
      </c>
      <c r="F319" s="192" t="inlineStr">
        <is>
          <t>SPX</t>
        </is>
      </c>
      <c r="G319" s="227" t="inlineStr">
        <is>
          <t>To be submitted</t>
        </is>
      </c>
      <c r="H319" s="227" t="n"/>
    </row>
    <row r="320">
      <c r="B320" s="227" t="inlineStr">
        <is>
          <t>George Milton</t>
        </is>
      </c>
      <c r="C320" s="227" t="inlineStr">
        <is>
          <t>Wabtec</t>
        </is>
      </c>
      <c r="D320" s="227" t="inlineStr">
        <is>
          <t>Roster A - Electrical Team 1 (5x)</t>
        </is>
      </c>
      <c r="E320" s="228" t="n">
        <v>46340</v>
      </c>
      <c r="F320" s="192" t="inlineStr">
        <is>
          <t>SPX</t>
        </is>
      </c>
      <c r="G320" s="227" t="inlineStr">
        <is>
          <t>To be submitted</t>
        </is>
      </c>
      <c r="H320" s="227" t="n"/>
    </row>
    <row r="321">
      <c r="B321" s="227" t="inlineStr">
        <is>
          <t>John Stephen</t>
        </is>
      </c>
      <c r="C321" s="227" t="inlineStr">
        <is>
          <t>Wabtec</t>
        </is>
      </c>
      <c r="D321" s="227" t="inlineStr">
        <is>
          <t>Logistics Team (4x)</t>
        </is>
      </c>
      <c r="E321" s="228" t="n">
        <v>46340</v>
      </c>
      <c r="F321" s="192" t="inlineStr">
        <is>
          <t>RDM</t>
        </is>
      </c>
      <c r="G321" s="227" t="inlineStr">
        <is>
          <t>To be submitted</t>
        </is>
      </c>
      <c r="H321" s="227" t="n"/>
    </row>
    <row r="322">
      <c r="B322" s="227" t="inlineStr">
        <is>
          <t>Joseph Parker</t>
        </is>
      </c>
      <c r="C322" s="227" t="inlineStr">
        <is>
          <t>Wabtec</t>
        </is>
      </c>
      <c r="D322" s="227" t="inlineStr">
        <is>
          <t>Roster A - Electrical Team 1 (5x)</t>
        </is>
      </c>
      <c r="E322" s="228" t="n">
        <v>46340</v>
      </c>
      <c r="F322" s="192" t="inlineStr">
        <is>
          <t>SPX</t>
        </is>
      </c>
      <c r="G322" s="227" t="inlineStr">
        <is>
          <t>To be submitted</t>
        </is>
      </c>
      <c r="H322" s="227" t="n"/>
    </row>
    <row r="323">
      <c r="B323" s="227" t="inlineStr">
        <is>
          <t>Keith Hale</t>
        </is>
      </c>
      <c r="C323" s="227" t="inlineStr">
        <is>
          <t>LGC Rail</t>
        </is>
      </c>
      <c r="D323" s="227" t="inlineStr">
        <is>
          <t>Logistics Team (4x)</t>
        </is>
      </c>
      <c r="E323" s="228" t="n">
        <v>46340</v>
      </c>
      <c r="F323" s="192" t="inlineStr">
        <is>
          <t>RDM</t>
        </is>
      </c>
      <c r="G323" s="227" t="inlineStr">
        <is>
          <t>To be submitted</t>
        </is>
      </c>
      <c r="H323" s="227" t="n"/>
    </row>
    <row r="324">
      <c r="B324" s="227" t="inlineStr">
        <is>
          <t>Richard Lewis</t>
        </is>
      </c>
      <c r="C324" s="227" t="inlineStr">
        <is>
          <t>2XM</t>
        </is>
      </c>
      <c r="D324" s="227" t="inlineStr">
        <is>
          <t>Roster A - Electrical Team 1 (5x)</t>
        </is>
      </c>
      <c r="E324" s="228" t="n">
        <v>46340</v>
      </c>
      <c r="F324" s="192" t="inlineStr">
        <is>
          <t>SPX</t>
        </is>
      </c>
      <c r="G324" s="227" t="inlineStr">
        <is>
          <t>To be submitted</t>
        </is>
      </c>
      <c r="H324" s="227" t="n"/>
    </row>
    <row r="325">
      <c r="B325" s="227" t="inlineStr">
        <is>
          <t>Stephen Anthony</t>
        </is>
      </c>
      <c r="C325" s="227" t="inlineStr">
        <is>
          <t>Wabtec</t>
        </is>
      </c>
      <c r="D325" s="227" t="inlineStr">
        <is>
          <t>Roster A - Electrical Team 1 (5x)</t>
        </is>
      </c>
      <c r="E325" s="228" t="n">
        <v>46340</v>
      </c>
      <c r="F325" s="192" t="inlineStr">
        <is>
          <t>SPX</t>
        </is>
      </c>
      <c r="G325" s="227" t="inlineStr">
        <is>
          <t>To be submitted</t>
        </is>
      </c>
      <c r="H325" s="227" t="n"/>
    </row>
    <row r="326">
      <c r="B326" s="227" t="inlineStr">
        <is>
          <t>Abdallah Joudeh</t>
        </is>
      </c>
      <c r="C326" s="227" t="inlineStr">
        <is>
          <t>Wabtec</t>
        </is>
      </c>
      <c r="D326" s="227" t="inlineStr">
        <is>
          <t>Management HSE / CM ( 2x)</t>
        </is>
      </c>
      <c r="E326" s="228" t="n">
        <v>46341</v>
      </c>
      <c r="F326" s="192" t="inlineStr">
        <is>
          <t>LND</t>
        </is>
      </c>
      <c r="G326" s="227" t="inlineStr">
        <is>
          <t>Double checked</t>
        </is>
      </c>
      <c r="H326" s="227" t="n"/>
    </row>
    <row r="327">
      <c r="B327" s="227" t="inlineStr">
        <is>
          <t>Andrew Burger</t>
        </is>
      </c>
      <c r="C327" s="227" t="inlineStr">
        <is>
          <t>Wabtec</t>
        </is>
      </c>
      <c r="D327" s="227" t="inlineStr">
        <is>
          <t>Roster B - Civil Team 2 (4x)</t>
        </is>
      </c>
      <c r="E327" s="228" t="n">
        <v>46341</v>
      </c>
      <c r="F327" s="192" t="inlineStr">
        <is>
          <t>RDM</t>
        </is>
      </c>
      <c r="G327" s="227" t="inlineStr">
        <is>
          <t>To be submitted</t>
        </is>
      </c>
      <c r="H327" s="227" t="n"/>
    </row>
    <row r="328">
      <c r="B328" s="227" t="inlineStr">
        <is>
          <t>Declan Turner</t>
        </is>
      </c>
      <c r="C328" s="227" t="inlineStr">
        <is>
          <t>Wabtec</t>
        </is>
      </c>
      <c r="D328" s="227" t="inlineStr">
        <is>
          <t>Roster A - Electrical Team 1 (5x)</t>
        </is>
      </c>
      <c r="E328" s="228" t="n">
        <v>46341</v>
      </c>
      <c r="F328" s="192" t="inlineStr">
        <is>
          <t>SPX</t>
        </is>
      </c>
      <c r="G328" s="227" t="inlineStr">
        <is>
          <t>To be submitted</t>
        </is>
      </c>
      <c r="H328" s="227" t="n"/>
    </row>
    <row r="329">
      <c r="B329" s="227" t="inlineStr">
        <is>
          <t>George Milton</t>
        </is>
      </c>
      <c r="C329" s="227" t="inlineStr">
        <is>
          <t>Wabtec</t>
        </is>
      </c>
      <c r="D329" s="227" t="inlineStr">
        <is>
          <t>Roster A - Electrical Team 1 (5x)</t>
        </is>
      </c>
      <c r="E329" s="228" t="n">
        <v>46341</v>
      </c>
      <c r="F329" s="192" t="inlineStr">
        <is>
          <t>SPX</t>
        </is>
      </c>
      <c r="G329" s="227" t="inlineStr">
        <is>
          <t>To be submitted</t>
        </is>
      </c>
      <c r="H329" s="227" t="n"/>
    </row>
    <row r="330">
      <c r="B330" s="227" t="inlineStr">
        <is>
          <t>John Stephen</t>
        </is>
      </c>
      <c r="C330" s="227" t="inlineStr">
        <is>
          <t>Wabtec</t>
        </is>
      </c>
      <c r="D330" s="227" t="inlineStr">
        <is>
          <t>Logistics Team (4x)</t>
        </is>
      </c>
      <c r="E330" s="228" t="n">
        <v>46341</v>
      </c>
      <c r="F330" s="192" t="inlineStr">
        <is>
          <t>RDM</t>
        </is>
      </c>
      <c r="G330" s="227" t="inlineStr">
        <is>
          <t>To be submitted</t>
        </is>
      </c>
      <c r="H330" s="227" t="n"/>
    </row>
    <row r="331">
      <c r="B331" s="227" t="inlineStr">
        <is>
          <t>Joseph Parker</t>
        </is>
      </c>
      <c r="C331" s="227" t="inlineStr">
        <is>
          <t>Wabtec</t>
        </is>
      </c>
      <c r="D331" s="227" t="inlineStr">
        <is>
          <t>Roster A - Electrical Team 1 (5x)</t>
        </is>
      </c>
      <c r="E331" s="228" t="n">
        <v>46341</v>
      </c>
      <c r="F331" s="192" t="inlineStr">
        <is>
          <t>SPX</t>
        </is>
      </c>
      <c r="G331" s="227" t="inlineStr">
        <is>
          <t>To be submitted</t>
        </is>
      </c>
      <c r="H331" s="227" t="n"/>
    </row>
    <row r="332">
      <c r="B332" s="227" t="inlineStr">
        <is>
          <t>Keith Hale</t>
        </is>
      </c>
      <c r="C332" s="227" t="inlineStr">
        <is>
          <t>LGC Rail</t>
        </is>
      </c>
      <c r="D332" s="227" t="inlineStr">
        <is>
          <t>Logistics Team (4x)</t>
        </is>
      </c>
      <c r="E332" s="228" t="n">
        <v>46341</v>
      </c>
      <c r="F332" s="192" t="inlineStr">
        <is>
          <t>RDM</t>
        </is>
      </c>
      <c r="G332" s="227" t="inlineStr">
        <is>
          <t>To be submitted</t>
        </is>
      </c>
      <c r="H332" s="227" t="n"/>
    </row>
    <row r="333">
      <c r="B333" s="227" t="inlineStr">
        <is>
          <t>Richard Lewis</t>
        </is>
      </c>
      <c r="C333" s="227" t="inlineStr">
        <is>
          <t>2XM</t>
        </is>
      </c>
      <c r="D333" s="227" t="inlineStr">
        <is>
          <t>Roster A - Electrical Team 1 (5x)</t>
        </is>
      </c>
      <c r="E333" s="228" t="n">
        <v>46341</v>
      </c>
      <c r="F333" s="192" t="inlineStr">
        <is>
          <t>SPX</t>
        </is>
      </c>
      <c r="G333" s="227" t="inlineStr">
        <is>
          <t>To be submitted</t>
        </is>
      </c>
      <c r="H333" s="227" t="n"/>
    </row>
    <row r="334">
      <c r="B334" s="227" t="inlineStr">
        <is>
          <t>Stephen Anthony</t>
        </is>
      </c>
      <c r="C334" s="227" t="inlineStr">
        <is>
          <t>Wabtec</t>
        </is>
      </c>
      <c r="D334" s="227" t="inlineStr">
        <is>
          <t>Roster A - Electrical Team 1 (5x)</t>
        </is>
      </c>
      <c r="E334" s="228" t="n">
        <v>46341</v>
      </c>
      <c r="F334" s="192" t="inlineStr">
        <is>
          <t>SPX</t>
        </is>
      </c>
      <c r="G334" s="227" t="inlineStr">
        <is>
          <t>To be submitted</t>
        </is>
      </c>
      <c r="H334" s="227" t="n"/>
    </row>
    <row r="335">
      <c r="B335" s="227" t="inlineStr">
        <is>
          <t>Abdallah Joudeh</t>
        </is>
      </c>
      <c r="C335" s="227" t="inlineStr">
        <is>
          <t>Wabtec</t>
        </is>
      </c>
      <c r="D335" s="227" t="inlineStr">
        <is>
          <t>Management HSE / CM ( 2x)</t>
        </is>
      </c>
      <c r="E335" s="228" t="n">
        <v>46342</v>
      </c>
      <c r="F335" s="192" t="inlineStr">
        <is>
          <t>LND</t>
        </is>
      </c>
      <c r="G335" s="227" t="inlineStr">
        <is>
          <t>Double checked</t>
        </is>
      </c>
      <c r="H335" s="227" t="n"/>
    </row>
    <row r="336">
      <c r="B336" s="227" t="inlineStr">
        <is>
          <t>Andrew Burger</t>
        </is>
      </c>
      <c r="C336" s="227" t="inlineStr">
        <is>
          <t>Wabtec</t>
        </is>
      </c>
      <c r="D336" s="227" t="inlineStr">
        <is>
          <t>Roster B - Civil Team 2 (4x)</t>
        </is>
      </c>
      <c r="E336" s="228" t="n">
        <v>46342</v>
      </c>
      <c r="F336" s="192" t="inlineStr">
        <is>
          <t>RDM</t>
        </is>
      </c>
      <c r="G336" s="227" t="inlineStr">
        <is>
          <t>To be submitted</t>
        </is>
      </c>
      <c r="H336" s="227" t="n"/>
    </row>
    <row r="337">
      <c r="B337" s="227" t="inlineStr">
        <is>
          <t>Declan Turner</t>
        </is>
      </c>
      <c r="C337" s="227" t="inlineStr">
        <is>
          <t>Wabtec</t>
        </is>
      </c>
      <c r="D337" s="227" t="inlineStr">
        <is>
          <t>Roster A - Electrical Team 1 (5x)</t>
        </is>
      </c>
      <c r="E337" s="228" t="n">
        <v>46342</v>
      </c>
      <c r="F337" s="192" t="inlineStr">
        <is>
          <t>SPX</t>
        </is>
      </c>
      <c r="G337" s="227" t="inlineStr">
        <is>
          <t>To be submitted</t>
        </is>
      </c>
      <c r="H337" s="227" t="n"/>
    </row>
    <row r="338">
      <c r="B338" s="227" t="inlineStr">
        <is>
          <t>George Milton</t>
        </is>
      </c>
      <c r="C338" s="227" t="inlineStr">
        <is>
          <t>Wabtec</t>
        </is>
      </c>
      <c r="D338" s="227" t="inlineStr">
        <is>
          <t>Roster A - Electrical Team 1 (5x)</t>
        </is>
      </c>
      <c r="E338" s="228" t="n">
        <v>46342</v>
      </c>
      <c r="F338" s="192" t="inlineStr">
        <is>
          <t>SPX</t>
        </is>
      </c>
      <c r="G338" s="227" t="inlineStr">
        <is>
          <t>To be submitted</t>
        </is>
      </c>
      <c r="H338" s="227" t="n"/>
    </row>
    <row r="339">
      <c r="B339" s="227" t="inlineStr">
        <is>
          <t>John Stephen</t>
        </is>
      </c>
      <c r="C339" s="227" t="inlineStr">
        <is>
          <t>Wabtec</t>
        </is>
      </c>
      <c r="D339" s="227" t="inlineStr">
        <is>
          <t>Logistics Team (4x)</t>
        </is>
      </c>
      <c r="E339" s="228" t="n">
        <v>46342</v>
      </c>
      <c r="F339" s="192" t="inlineStr">
        <is>
          <t>RDM</t>
        </is>
      </c>
      <c r="G339" s="227" t="inlineStr">
        <is>
          <t>To be submitted</t>
        </is>
      </c>
      <c r="H339" s="227" t="n"/>
    </row>
    <row r="340">
      <c r="B340" s="227" t="inlineStr">
        <is>
          <t>Joseph Parker</t>
        </is>
      </c>
      <c r="C340" s="227" t="inlineStr">
        <is>
          <t>Wabtec</t>
        </is>
      </c>
      <c r="D340" s="227" t="inlineStr">
        <is>
          <t>Roster A - Electrical Team 1 (5x)</t>
        </is>
      </c>
      <c r="E340" s="228" t="n">
        <v>46342</v>
      </c>
      <c r="F340" s="192" t="inlineStr">
        <is>
          <t>SPX</t>
        </is>
      </c>
      <c r="G340" s="227" t="inlineStr">
        <is>
          <t>To be submitted</t>
        </is>
      </c>
      <c r="H340" s="227" t="n"/>
    </row>
    <row r="341">
      <c r="B341" s="227" t="inlineStr">
        <is>
          <t>Keith Hale</t>
        </is>
      </c>
      <c r="C341" s="227" t="inlineStr">
        <is>
          <t>LGC Rail</t>
        </is>
      </c>
      <c r="D341" s="227" t="inlineStr">
        <is>
          <t>Logistics Team (4x)</t>
        </is>
      </c>
      <c r="E341" s="228" t="n">
        <v>46342</v>
      </c>
      <c r="F341" s="192" t="inlineStr">
        <is>
          <t>RDM</t>
        </is>
      </c>
      <c r="G341" s="227" t="inlineStr">
        <is>
          <t>To be submitted</t>
        </is>
      </c>
      <c r="H341" s="227" t="n"/>
    </row>
    <row r="342">
      <c r="B342" s="227" t="inlineStr">
        <is>
          <t>Richard Lewis</t>
        </is>
      </c>
      <c r="C342" s="227" t="inlineStr">
        <is>
          <t>2XM</t>
        </is>
      </c>
      <c r="D342" s="227" t="inlineStr">
        <is>
          <t>Roster A - Electrical Team 1 (5x)</t>
        </is>
      </c>
      <c r="E342" s="228" t="n">
        <v>46342</v>
      </c>
      <c r="F342" s="192" t="inlineStr">
        <is>
          <t>SPX</t>
        </is>
      </c>
      <c r="G342" s="227" t="inlineStr">
        <is>
          <t>To be submitted</t>
        </is>
      </c>
      <c r="H342" s="227" t="n"/>
    </row>
    <row r="343">
      <c r="B343" s="227" t="inlineStr">
        <is>
          <t>Stephen Anthony</t>
        </is>
      </c>
      <c r="C343" s="227" t="inlineStr">
        <is>
          <t>Wabtec</t>
        </is>
      </c>
      <c r="D343" s="227" t="inlineStr">
        <is>
          <t>Roster A - Electrical Team 1 (5x)</t>
        </is>
      </c>
      <c r="E343" s="228" t="n">
        <v>46342</v>
      </c>
      <c r="F343" s="192" t="inlineStr">
        <is>
          <t>SPX</t>
        </is>
      </c>
      <c r="G343" s="227" t="inlineStr">
        <is>
          <t>To be submitted</t>
        </is>
      </c>
      <c r="H343" s="227" t="n"/>
    </row>
    <row r="344">
      <c r="B344" s="227" t="inlineStr">
        <is>
          <t>Abdallah Joudeh</t>
        </is>
      </c>
      <c r="C344" s="227" t="inlineStr">
        <is>
          <t>Wabtec</t>
        </is>
      </c>
      <c r="D344" s="227" t="inlineStr">
        <is>
          <t>Management HSE / CM ( 2x)</t>
        </is>
      </c>
      <c r="E344" s="228" t="n">
        <v>46343</v>
      </c>
      <c r="F344" s="192" t="inlineStr">
        <is>
          <t>PHE/PER PM</t>
        </is>
      </c>
      <c r="G344" s="227" t="inlineStr">
        <is>
          <t>Double checked</t>
        </is>
      </c>
      <c r="H344" s="227" t="n"/>
    </row>
    <row r="345">
      <c r="B345" s="227" t="inlineStr">
        <is>
          <t>Andrew Burger</t>
        </is>
      </c>
      <c r="C345" s="227" t="inlineStr">
        <is>
          <t>Wabtec</t>
        </is>
      </c>
      <c r="D345" s="227" t="inlineStr">
        <is>
          <t>Roster B - Civil Team 2 (4x)</t>
        </is>
      </c>
      <c r="E345" s="228" t="n">
        <v>46343</v>
      </c>
      <c r="F345" s="192" t="inlineStr">
        <is>
          <t>PHE/PER PM</t>
        </is>
      </c>
      <c r="G345" s="227" t="inlineStr">
        <is>
          <t>To be submitted</t>
        </is>
      </c>
      <c r="H345" s="227" t="n"/>
    </row>
    <row r="346">
      <c r="B346" s="227" t="inlineStr">
        <is>
          <t>Declan Turner</t>
        </is>
      </c>
      <c r="C346" s="227" t="inlineStr">
        <is>
          <t>Wabtec</t>
        </is>
      </c>
      <c r="D346" s="227" t="inlineStr">
        <is>
          <t>Roster A - Electrical Team 1 (5x)</t>
        </is>
      </c>
      <c r="E346" s="228" t="n">
        <v>46343</v>
      </c>
      <c r="F346" s="192" t="inlineStr">
        <is>
          <t>BYP/PER PM</t>
        </is>
      </c>
      <c r="G346" s="227" t="inlineStr">
        <is>
          <t>To be submitted</t>
        </is>
      </c>
      <c r="H346" s="227" t="n"/>
    </row>
    <row r="347">
      <c r="B347" s="227" t="inlineStr">
        <is>
          <t>George Milton</t>
        </is>
      </c>
      <c r="C347" s="227" t="inlineStr">
        <is>
          <t>Wabtec</t>
        </is>
      </c>
      <c r="D347" s="227" t="inlineStr">
        <is>
          <t>Roster A - Electrical Team 1 (5x)</t>
        </is>
      </c>
      <c r="E347" s="228" t="n">
        <v>46343</v>
      </c>
      <c r="F347" s="192" t="inlineStr">
        <is>
          <t>SPX</t>
        </is>
      </c>
      <c r="G347" s="227" t="inlineStr">
        <is>
          <t>To be submitted</t>
        </is>
      </c>
      <c r="H347" s="227" t="n"/>
    </row>
    <row r="348">
      <c r="B348" s="227" t="inlineStr">
        <is>
          <t>John Stephen</t>
        </is>
      </c>
      <c r="C348" s="227" t="inlineStr">
        <is>
          <t>Wabtec</t>
        </is>
      </c>
      <c r="D348" s="227" t="inlineStr">
        <is>
          <t>Logistics Team (4x)</t>
        </is>
      </c>
      <c r="E348" s="228" t="n">
        <v>46343</v>
      </c>
      <c r="F348" s="192" t="inlineStr">
        <is>
          <t>PHE/PER PM</t>
        </is>
      </c>
      <c r="G348" s="227" t="inlineStr">
        <is>
          <t>To be submitted</t>
        </is>
      </c>
      <c r="H348" s="227" t="n"/>
    </row>
    <row r="349">
      <c r="B349" s="227" t="inlineStr">
        <is>
          <t>Joseph Parker</t>
        </is>
      </c>
      <c r="C349" s="227" t="inlineStr">
        <is>
          <t>Wabtec</t>
        </is>
      </c>
      <c r="D349" s="227" t="inlineStr">
        <is>
          <t>Roster A - Electrical Team 1 (5x)</t>
        </is>
      </c>
      <c r="E349" s="228" t="n">
        <v>46343</v>
      </c>
      <c r="F349" s="192" t="inlineStr">
        <is>
          <t>SPX</t>
        </is>
      </c>
      <c r="G349" s="227" t="inlineStr">
        <is>
          <t>To be submitted</t>
        </is>
      </c>
      <c r="H349" s="227" t="n"/>
    </row>
    <row r="350">
      <c r="B350" s="227" t="inlineStr">
        <is>
          <t>Keith Hale</t>
        </is>
      </c>
      <c r="C350" s="227" t="inlineStr">
        <is>
          <t>LGC Rail</t>
        </is>
      </c>
      <c r="D350" s="227" t="inlineStr">
        <is>
          <t>Logistics Team (4x)</t>
        </is>
      </c>
      <c r="E350" s="228" t="n">
        <v>46343</v>
      </c>
      <c r="F350" s="192" t="inlineStr">
        <is>
          <t>PHE/PER PM</t>
        </is>
      </c>
      <c r="G350" s="227" t="inlineStr">
        <is>
          <t>To be submitted</t>
        </is>
      </c>
      <c r="H350" s="227" t="n"/>
    </row>
    <row r="351">
      <c r="B351" s="227" t="inlineStr">
        <is>
          <t>Richard Lewis</t>
        </is>
      </c>
      <c r="C351" s="227" t="inlineStr">
        <is>
          <t>2XM</t>
        </is>
      </c>
      <c r="D351" s="227" t="inlineStr">
        <is>
          <t>Roster A - Electrical Team 1 (5x)</t>
        </is>
      </c>
      <c r="E351" s="228" t="n">
        <v>46343</v>
      </c>
      <c r="F351" s="192" t="inlineStr">
        <is>
          <t>SPX</t>
        </is>
      </c>
      <c r="G351" s="227" t="inlineStr">
        <is>
          <t>To be submitted</t>
        </is>
      </c>
      <c r="H351" s="227" t="n"/>
    </row>
    <row r="352">
      <c r="B352" s="227" t="inlineStr">
        <is>
          <t>Stephen Anthony</t>
        </is>
      </c>
      <c r="C352" s="227" t="inlineStr">
        <is>
          <t>Wabtec</t>
        </is>
      </c>
      <c r="D352" s="227" t="inlineStr">
        <is>
          <t>Roster A - Electrical Team 1 (5x)</t>
        </is>
      </c>
      <c r="E352" s="228" t="n">
        <v>46343</v>
      </c>
      <c r="F352" s="192" t="inlineStr">
        <is>
          <t>SPX</t>
        </is>
      </c>
      <c r="G352" s="227" t="inlineStr">
        <is>
          <t>To be submitted</t>
        </is>
      </c>
      <c r="H352" s="227" t="n"/>
    </row>
    <row r="353">
      <c r="B353" s="227" t="inlineStr">
        <is>
          <t>George Milton</t>
        </is>
      </c>
      <c r="C353" s="227" t="inlineStr">
        <is>
          <t>Wabtec</t>
        </is>
      </c>
      <c r="D353" s="227" t="inlineStr">
        <is>
          <t>Roster A - Electrical Team 1 (5x)</t>
        </is>
      </c>
      <c r="E353" s="228" t="n">
        <v>46344</v>
      </c>
      <c r="F353" s="192" t="inlineStr">
        <is>
          <t>SPX</t>
        </is>
      </c>
      <c r="G353" s="227" t="inlineStr">
        <is>
          <t>To be submitted</t>
        </is>
      </c>
      <c r="H353" s="227" t="n"/>
    </row>
    <row r="354">
      <c r="B354" s="227" t="inlineStr">
        <is>
          <t>Joseph Parker</t>
        </is>
      </c>
      <c r="C354" s="227" t="inlineStr">
        <is>
          <t>Wabtec</t>
        </is>
      </c>
      <c r="D354" s="227" t="inlineStr">
        <is>
          <t>Roster A - Electrical Team 1 (5x)</t>
        </is>
      </c>
      <c r="E354" s="228" t="n">
        <v>46344</v>
      </c>
      <c r="F354" s="192" t="inlineStr">
        <is>
          <t>SPX</t>
        </is>
      </c>
      <c r="G354" s="227" t="inlineStr">
        <is>
          <t>To be submitted</t>
        </is>
      </c>
      <c r="H354" s="227" t="n"/>
    </row>
    <row r="355">
      <c r="B355" s="227" t="inlineStr">
        <is>
          <t>Richard Lewis</t>
        </is>
      </c>
      <c r="C355" s="227" t="inlineStr">
        <is>
          <t>2XM</t>
        </is>
      </c>
      <c r="D355" s="227" t="inlineStr">
        <is>
          <t>Roster A - Electrical Team 1 (5x)</t>
        </is>
      </c>
      <c r="E355" s="228" t="n">
        <v>46344</v>
      </c>
      <c r="F355" s="192" t="inlineStr">
        <is>
          <t>SPX</t>
        </is>
      </c>
      <c r="G355" s="227" t="inlineStr">
        <is>
          <t>To be submitted</t>
        </is>
      </c>
      <c r="H355" s="227" t="n"/>
    </row>
    <row r="356">
      <c r="B356" s="227" t="inlineStr">
        <is>
          <t>Stephen Anthony</t>
        </is>
      </c>
      <c r="C356" s="227" t="inlineStr">
        <is>
          <t>Wabtec</t>
        </is>
      </c>
      <c r="D356" s="227" t="inlineStr">
        <is>
          <t>Roster A - Electrical Team 1 (5x)</t>
        </is>
      </c>
      <c r="E356" s="228" t="n">
        <v>46344</v>
      </c>
      <c r="F356" s="192" t="inlineStr">
        <is>
          <t>SPX</t>
        </is>
      </c>
      <c r="G356" s="227" t="inlineStr">
        <is>
          <t>To be submitted</t>
        </is>
      </c>
      <c r="H356" s="227" t="n"/>
    </row>
    <row r="357">
      <c r="B357" s="227" t="inlineStr">
        <is>
          <t>George Milton</t>
        </is>
      </c>
      <c r="C357" s="227" t="inlineStr">
        <is>
          <t>Wabtec</t>
        </is>
      </c>
      <c r="D357" s="227" t="inlineStr">
        <is>
          <t>Roster A - Electrical Team 1 (5x)</t>
        </is>
      </c>
      <c r="E357" s="228" t="n">
        <v>46345</v>
      </c>
      <c r="F357" s="192" t="inlineStr">
        <is>
          <t>PHE/PER PM</t>
        </is>
      </c>
      <c r="G357" s="227" t="inlineStr">
        <is>
          <t>To be submitted</t>
        </is>
      </c>
      <c r="H357" s="227" t="n"/>
    </row>
    <row r="358">
      <c r="B358" s="227" t="inlineStr">
        <is>
          <t>Joseph Parker</t>
        </is>
      </c>
      <c r="C358" s="227" t="inlineStr">
        <is>
          <t>Wabtec</t>
        </is>
      </c>
      <c r="D358" s="227" t="inlineStr">
        <is>
          <t>Roster A - Electrical Team 1 (5x)</t>
        </is>
      </c>
      <c r="E358" s="228" t="n">
        <v>46345</v>
      </c>
      <c r="F358" s="192" t="inlineStr">
        <is>
          <t>PHE/PER PM</t>
        </is>
      </c>
      <c r="G358" s="227" t="inlineStr">
        <is>
          <t>To be submitted</t>
        </is>
      </c>
      <c r="H358" s="227" t="n"/>
    </row>
    <row r="359">
      <c r="B359" s="227" t="inlineStr">
        <is>
          <t>Richard Lewis</t>
        </is>
      </c>
      <c r="C359" s="227" t="inlineStr">
        <is>
          <t>2XM</t>
        </is>
      </c>
      <c r="D359" s="227" t="inlineStr">
        <is>
          <t>Roster A - Electrical Team 1 (5x)</t>
        </is>
      </c>
      <c r="E359" s="228" t="n">
        <v>46345</v>
      </c>
      <c r="F359" s="192" t="inlineStr">
        <is>
          <t>PHE/PER PM</t>
        </is>
      </c>
      <c r="G359" s="227" t="inlineStr">
        <is>
          <t>To be submitted</t>
        </is>
      </c>
      <c r="H359" s="227" t="n"/>
    </row>
    <row r="360">
      <c r="B360" s="227" t="inlineStr">
        <is>
          <t>Stephen Anthony</t>
        </is>
      </c>
      <c r="C360" s="227" t="inlineStr">
        <is>
          <t>Wabtec</t>
        </is>
      </c>
      <c r="D360" s="227" t="inlineStr">
        <is>
          <t>Roster A - Electrical Team 1 (5x)</t>
        </is>
      </c>
      <c r="E360" s="228" t="n">
        <v>46345</v>
      </c>
      <c r="F360" s="192" t="inlineStr">
        <is>
          <t>PHE/PER PM</t>
        </is>
      </c>
      <c r="G360" s="227" t="inlineStr">
        <is>
          <t>To be submitted</t>
        </is>
      </c>
      <c r="H360" s="227" t="n"/>
    </row>
    <row r="361">
      <c r="B361" s="227" t="n"/>
      <c r="C361" s="227" t="n"/>
      <c r="D361" s="227" t="n"/>
      <c r="E361" s="228" t="n"/>
      <c r="F361" s="192" t="n"/>
      <c r="G361" s="227" t="n"/>
      <c r="H361" s="227" t="n"/>
    </row>
    <row r="362">
      <c r="B362" s="227" t="n"/>
      <c r="C362" s="227" t="n"/>
      <c r="D362" s="227" t="n"/>
      <c r="E362" s="228" t="n"/>
      <c r="F362" s="192" t="n"/>
      <c r="G362" s="227" t="n"/>
      <c r="H362" s="227" t="n"/>
    </row>
    <row r="363">
      <c r="B363" s="227" t="n"/>
      <c r="C363" s="227" t="n"/>
      <c r="D363" s="227" t="n"/>
      <c r="E363" s="228" t="n"/>
      <c r="F363" s="192" t="n"/>
      <c r="G363" s="227" t="n"/>
      <c r="H363" s="227" t="n"/>
    </row>
    <row r="364">
      <c r="B364" s="227" t="n"/>
      <c r="C364" s="227" t="n"/>
      <c r="D364" s="227" t="n"/>
      <c r="E364" s="228" t="n"/>
      <c r="F364" s="192" t="n"/>
      <c r="G364" s="227" t="n"/>
      <c r="H364" s="227" t="n"/>
    </row>
    <row r="365">
      <c r="B365" s="227" t="n"/>
      <c r="C365" s="227" t="n"/>
      <c r="D365" s="227" t="n"/>
      <c r="E365" s="228" t="n"/>
      <c r="F365" s="192" t="n"/>
      <c r="G365" s="227" t="n"/>
      <c r="H365" s="227" t="n"/>
    </row>
    <row r="366">
      <c r="B366" s="227" t="n"/>
      <c r="C366" s="227" t="n"/>
      <c r="D366" s="227" t="n"/>
      <c r="E366" s="228" t="n"/>
      <c r="F366" s="192" t="n"/>
      <c r="G366" s="227" t="n"/>
      <c r="H366" s="227" t="n"/>
    </row>
    <row r="367">
      <c r="B367" s="227" t="n"/>
      <c r="C367" s="227" t="n"/>
      <c r="D367" s="227" t="n"/>
      <c r="E367" s="228" t="n"/>
      <c r="F367" s="192" t="n"/>
      <c r="G367" s="227" t="n"/>
      <c r="H367" s="227" t="n"/>
    </row>
    <row r="368">
      <c r="B368" s="227" t="n"/>
      <c r="C368" s="227" t="n"/>
      <c r="D368" s="227" t="n"/>
      <c r="E368" s="228" t="n"/>
      <c r="F368" s="192" t="n"/>
      <c r="G368" s="227" t="n"/>
      <c r="H368" s="227" t="n"/>
    </row>
    <row r="369">
      <c r="B369" s="227" t="n"/>
      <c r="C369" s="227" t="n"/>
      <c r="D369" s="227" t="n"/>
      <c r="E369" s="228" t="n"/>
      <c r="F369" s="192" t="n"/>
      <c r="G369" s="227" t="n"/>
      <c r="H369" s="227" t="n"/>
    </row>
    <row r="370">
      <c r="B370" s="227" t="n"/>
      <c r="C370" s="227" t="n"/>
      <c r="D370" s="227" t="n"/>
      <c r="E370" s="228" t="n"/>
      <c r="F370" s="192" t="n"/>
      <c r="G370" s="227" t="n"/>
      <c r="H370" s="227" t="n"/>
    </row>
    <row r="371">
      <c r="B371" s="227" t="n"/>
      <c r="C371" s="227" t="n"/>
      <c r="D371" s="227" t="n"/>
      <c r="E371" s="228" t="n"/>
      <c r="F371" s="192" t="n"/>
      <c r="G371" s="227" t="n"/>
      <c r="H371" s="227" t="n"/>
    </row>
    <row r="372">
      <c r="B372" s="227" t="n"/>
      <c r="C372" s="227" t="n"/>
      <c r="D372" s="227" t="n"/>
      <c r="E372" s="228" t="n"/>
      <c r="F372" s="192" t="n"/>
      <c r="G372" s="227" t="n"/>
      <c r="H372" s="227" t="n"/>
    </row>
    <row r="373">
      <c r="B373" s="227" t="n"/>
      <c r="C373" s="227" t="n"/>
      <c r="D373" s="227" t="n"/>
      <c r="E373" s="228" t="n"/>
      <c r="F373" s="192" t="n"/>
      <c r="G373" s="227" t="n"/>
      <c r="H373" s="227" t="n"/>
    </row>
    <row r="374">
      <c r="B374" s="227" t="n"/>
      <c r="C374" s="227" t="n"/>
      <c r="D374" s="227" t="n"/>
      <c r="E374" s="228" t="n"/>
      <c r="F374" s="192" t="n"/>
      <c r="G374" s="227" t="n"/>
      <c r="H374" s="227" t="n"/>
    </row>
    <row r="375">
      <c r="B375" s="227" t="n"/>
      <c r="C375" s="227" t="n"/>
      <c r="D375" s="227" t="n"/>
      <c r="E375" s="228" t="n"/>
      <c r="F375" s="192" t="n"/>
      <c r="G375" s="227" t="n"/>
      <c r="H375" s="227" t="n"/>
    </row>
    <row r="376">
      <c r="B376" s="227" t="n"/>
      <c r="C376" s="227" t="n"/>
      <c r="D376" s="227" t="n"/>
      <c r="E376" s="228" t="n"/>
      <c r="F376" s="192" t="n"/>
      <c r="G376" s="227" t="n"/>
      <c r="H376" s="227" t="n"/>
    </row>
    <row r="377">
      <c r="B377" s="227" t="n"/>
      <c r="C377" s="227" t="n"/>
      <c r="D377" s="227" t="n"/>
      <c r="E377" s="228" t="n"/>
      <c r="F377" s="192" t="n"/>
      <c r="G377" s="227" t="n"/>
      <c r="H377" s="227" t="n"/>
    </row>
    <row r="378">
      <c r="B378" s="227" t="n"/>
      <c r="C378" s="227" t="n"/>
      <c r="D378" s="227" t="n"/>
      <c r="E378" s="228" t="n"/>
      <c r="F378" s="192" t="n"/>
      <c r="G378" s="227" t="n"/>
      <c r="H378" s="227" t="n"/>
    </row>
    <row r="379">
      <c r="B379" s="227" t="n"/>
      <c r="C379" s="227" t="n"/>
      <c r="D379" s="227" t="n"/>
      <c r="E379" s="228" t="n"/>
      <c r="F379" s="192" t="n"/>
      <c r="G379" s="227" t="n"/>
      <c r="H379" s="227" t="n"/>
    </row>
    <row r="380">
      <c r="B380" s="227" t="n"/>
      <c r="C380" s="227" t="n"/>
      <c r="D380" s="227" t="n"/>
      <c r="E380" s="228" t="n"/>
      <c r="F380" s="192" t="n"/>
      <c r="G380" s="227" t="n"/>
      <c r="H380" s="227" t="n"/>
    </row>
    <row r="381">
      <c r="B381" s="227" t="n"/>
      <c r="C381" s="227" t="n"/>
      <c r="D381" s="227" t="n"/>
      <c r="E381" s="228" t="n"/>
      <c r="F381" s="192" t="n"/>
      <c r="G381" s="227" t="n"/>
      <c r="H381" s="227" t="n"/>
    </row>
    <row r="382">
      <c r="B382" s="227" t="n"/>
      <c r="C382" s="227" t="n"/>
      <c r="D382" s="227" t="n"/>
      <c r="E382" s="228" t="n"/>
      <c r="F382" s="192" t="n"/>
      <c r="G382" s="227" t="n"/>
      <c r="H382" s="227" t="n"/>
    </row>
    <row r="383">
      <c r="B383" s="227" t="n"/>
      <c r="C383" s="227" t="n"/>
      <c r="D383" s="227" t="n"/>
      <c r="E383" s="228" t="n"/>
      <c r="F383" s="192" t="n"/>
      <c r="G383" s="227" t="n"/>
      <c r="H383" s="227" t="n"/>
    </row>
    <row r="384">
      <c r="B384" s="227" t="n"/>
      <c r="C384" s="227" t="n"/>
      <c r="D384" s="227" t="n"/>
      <c r="E384" s="228" t="n"/>
      <c r="F384" s="192" t="n"/>
      <c r="G384" s="227" t="n"/>
      <c r="H384" s="227" t="n"/>
    </row>
    <row r="385">
      <c r="B385" s="227" t="n"/>
      <c r="C385" s="227" t="n"/>
      <c r="D385" s="227" t="n"/>
      <c r="E385" s="228" t="n"/>
      <c r="F385" s="192" t="n"/>
      <c r="G385" s="227" t="n"/>
      <c r="H385" s="227" t="n"/>
    </row>
    <row r="386">
      <c r="B386" s="227" t="n"/>
      <c r="C386" s="227" t="n"/>
      <c r="D386" s="227" t="n"/>
      <c r="E386" s="228" t="n"/>
      <c r="F386" s="192" t="n"/>
      <c r="G386" s="227" t="n"/>
      <c r="H386" s="227" t="n"/>
    </row>
    <row r="387">
      <c r="B387" s="227" t="n"/>
      <c r="C387" s="227" t="n"/>
      <c r="D387" s="227" t="n"/>
      <c r="E387" s="228" t="n"/>
      <c r="F387" s="192" t="n"/>
      <c r="G387" s="227" t="n"/>
      <c r="H387" s="227" t="n"/>
    </row>
    <row r="388">
      <c r="B388" s="227" t="n"/>
      <c r="C388" s="227" t="n"/>
      <c r="D388" s="227" t="n"/>
      <c r="E388" s="228" t="n"/>
      <c r="F388" s="192" t="n"/>
      <c r="G388" s="227" t="n"/>
      <c r="H388" s="227" t="n"/>
    </row>
    <row r="389">
      <c r="B389" s="227" t="n"/>
      <c r="C389" s="227" t="n"/>
      <c r="D389" s="227" t="n"/>
      <c r="E389" s="228" t="n"/>
      <c r="F389" s="192" t="n"/>
      <c r="G389" s="227" t="n"/>
      <c r="H389" s="227" t="n"/>
    </row>
    <row r="390">
      <c r="B390" s="227" t="n"/>
      <c r="C390" s="227" t="n"/>
      <c r="D390" s="227" t="n"/>
      <c r="E390" s="228" t="n"/>
      <c r="F390" s="192" t="n"/>
      <c r="G390" s="227" t="n"/>
      <c r="H390" s="227" t="n"/>
    </row>
    <row r="391">
      <c r="B391" s="227" t="n"/>
      <c r="C391" s="227" t="n"/>
      <c r="D391" s="227" t="n"/>
      <c r="E391" s="228" t="n"/>
      <c r="F391" s="192" t="n"/>
      <c r="G391" s="227" t="n"/>
      <c r="H391" s="227" t="n"/>
    </row>
    <row r="392">
      <c r="B392" s="227" t="n"/>
      <c r="C392" s="227" t="n"/>
      <c r="D392" s="227" t="n"/>
      <c r="E392" s="228" t="n"/>
      <c r="F392" s="192" t="n"/>
      <c r="G392" s="227" t="n"/>
      <c r="H392" s="227" t="n"/>
    </row>
    <row r="393">
      <c r="B393" s="227" t="n"/>
      <c r="C393" s="227" t="n"/>
      <c r="D393" s="227" t="n"/>
      <c r="E393" s="228" t="n"/>
      <c r="F393" s="192" t="n"/>
      <c r="G393" s="227" t="n"/>
      <c r="H393" s="227" t="n"/>
    </row>
    <row r="394">
      <c r="B394" s="227" t="n"/>
      <c r="C394" s="227" t="n"/>
      <c r="D394" s="227" t="n"/>
      <c r="E394" s="228" t="n"/>
      <c r="F394" s="192" t="n"/>
      <c r="G394" s="227" t="n"/>
      <c r="H394" s="227" t="n"/>
    </row>
    <row r="395">
      <c r="B395" s="227" t="n"/>
      <c r="C395" s="227" t="n"/>
      <c r="D395" s="227" t="n"/>
      <c r="E395" s="228" t="n"/>
      <c r="F395" s="192" t="n"/>
      <c r="G395" s="227" t="n"/>
      <c r="H395" s="227" t="n"/>
    </row>
    <row r="396">
      <c r="B396" s="227" t="n"/>
      <c r="C396" s="227" t="n"/>
      <c r="D396" s="227" t="n"/>
      <c r="E396" s="228" t="n"/>
      <c r="F396" s="192" t="n"/>
      <c r="G396" s="227" t="n"/>
      <c r="H396" s="227" t="n"/>
    </row>
    <row r="397">
      <c r="B397" s="227" t="n"/>
      <c r="C397" s="227" t="n"/>
      <c r="D397" s="227" t="n"/>
      <c r="E397" s="228" t="n"/>
      <c r="F397" s="192" t="n"/>
      <c r="G397" s="227" t="n"/>
      <c r="H397" s="227" t="n"/>
    </row>
    <row r="398">
      <c r="B398" s="227" t="n"/>
      <c r="C398" s="227" t="n"/>
      <c r="D398" s="227" t="n"/>
      <c r="E398" s="228" t="n"/>
      <c r="F398" s="192" t="n"/>
      <c r="G398" s="227" t="n"/>
      <c r="H398" s="227" t="n"/>
    </row>
    <row r="399">
      <c r="B399" s="227" t="n"/>
      <c r="C399" s="227" t="n"/>
      <c r="D399" s="227" t="n"/>
      <c r="E399" s="228" t="n"/>
      <c r="F399" s="192" t="n"/>
      <c r="G399" s="227" t="n"/>
      <c r="H399" s="227" t="n"/>
    </row>
    <row r="400">
      <c r="B400" s="227" t="n"/>
      <c r="C400" s="227" t="n"/>
      <c r="D400" s="227" t="n"/>
      <c r="E400" s="228" t="n"/>
      <c r="F400" s="192" t="n"/>
      <c r="G400" s="227" t="n"/>
      <c r="H400" s="227" t="n"/>
    </row>
    <row r="401">
      <c r="B401" s="227" t="n"/>
      <c r="C401" s="227" t="n"/>
      <c r="D401" s="227" t="n"/>
      <c r="E401" s="228" t="n"/>
      <c r="F401" s="192" t="n"/>
      <c r="G401" s="227" t="n"/>
      <c r="H401" s="227" t="n"/>
    </row>
    <row r="402">
      <c r="B402" s="227" t="n"/>
      <c r="C402" s="227" t="n"/>
      <c r="D402" s="227" t="n"/>
      <c r="E402" s="228" t="n"/>
      <c r="F402" s="192" t="n"/>
      <c r="G402" s="227" t="n"/>
      <c r="H402" s="227" t="n"/>
    </row>
    <row r="403">
      <c r="B403" s="227" t="n"/>
      <c r="C403" s="227" t="n"/>
      <c r="D403" s="227" t="n"/>
      <c r="E403" s="228" t="n"/>
      <c r="F403" s="192" t="n"/>
      <c r="G403" s="227" t="n"/>
      <c r="H403" s="227" t="n"/>
    </row>
    <row r="404">
      <c r="B404" s="227" t="n"/>
      <c r="C404" s="227" t="n"/>
      <c r="D404" s="227" t="n"/>
      <c r="E404" s="228" t="n"/>
      <c r="F404" s="192" t="n"/>
      <c r="G404" s="227" t="n"/>
      <c r="H404" s="227" t="n"/>
    </row>
    <row r="405">
      <c r="B405" s="227" t="n"/>
      <c r="C405" s="227" t="n"/>
      <c r="D405" s="227" t="n"/>
      <c r="E405" s="228" t="n"/>
      <c r="F405" s="192" t="n"/>
      <c r="G405" s="227" t="n"/>
      <c r="H405" s="227" t="n"/>
    </row>
    <row r="406">
      <c r="B406" s="227" t="n"/>
      <c r="C406" s="227" t="n"/>
      <c r="D406" s="227" t="n"/>
      <c r="E406" s="228" t="n"/>
      <c r="F406" s="192" t="n"/>
      <c r="G406" s="227" t="n"/>
      <c r="H406" s="227" t="n"/>
    </row>
    <row r="407">
      <c r="B407" s="227" t="n"/>
      <c r="C407" s="227" t="n"/>
      <c r="D407" s="227" t="n"/>
      <c r="E407" s="228" t="n"/>
      <c r="F407" s="192" t="n"/>
      <c r="G407" s="227" t="n"/>
      <c r="H407" s="227" t="n"/>
    </row>
    <row r="408">
      <c r="B408" s="227" t="n"/>
      <c r="C408" s="227" t="n"/>
      <c r="D408" s="227" t="n"/>
      <c r="E408" s="228" t="n"/>
      <c r="F408" s="192" t="n"/>
      <c r="G408" s="227" t="n"/>
      <c r="H408" s="227" t="n"/>
    </row>
    <row r="409">
      <c r="B409" s="227" t="n"/>
      <c r="C409" s="227" t="n"/>
      <c r="D409" s="227" t="n"/>
      <c r="E409" s="228" t="n"/>
      <c r="F409" s="192" t="n"/>
      <c r="G409" s="227" t="n"/>
      <c r="H409" s="227" t="n"/>
    </row>
    <row r="410">
      <c r="B410" s="227" t="n"/>
      <c r="C410" s="227" t="n"/>
      <c r="D410" s="227" t="n"/>
      <c r="E410" s="228" t="n"/>
      <c r="F410" s="192" t="n"/>
      <c r="G410" s="227" t="n"/>
      <c r="H410" s="227" t="n"/>
    </row>
    <row r="411">
      <c r="B411" s="227" t="n"/>
      <c r="C411" s="227" t="n"/>
      <c r="D411" s="227" t="n"/>
      <c r="E411" s="228" t="n"/>
      <c r="F411" s="192" t="n"/>
      <c r="G411" s="227" t="n"/>
      <c r="H411" s="227" t="n"/>
    </row>
    <row r="412">
      <c r="B412" s="227" t="n"/>
      <c r="C412" s="227" t="n"/>
      <c r="D412" s="227" t="n"/>
      <c r="E412" s="228" t="n"/>
      <c r="F412" s="192" t="n"/>
      <c r="G412" s="227" t="n"/>
      <c r="H412" s="227" t="n"/>
    </row>
    <row r="413">
      <c r="B413" s="227" t="n"/>
      <c r="C413" s="227" t="n"/>
      <c r="D413" s="227" t="n"/>
      <c r="E413" s="228" t="n"/>
      <c r="F413" s="192" t="n"/>
      <c r="G413" s="227" t="n"/>
      <c r="H413" s="227" t="n"/>
    </row>
    <row r="414">
      <c r="B414" s="227" t="n"/>
      <c r="C414" s="227" t="n"/>
      <c r="D414" s="227" t="n"/>
      <c r="E414" s="228" t="n"/>
      <c r="F414" s="192" t="n"/>
      <c r="G414" s="227" t="n"/>
      <c r="H414" s="227" t="n"/>
    </row>
    <row r="415">
      <c r="B415" s="227" t="n"/>
      <c r="C415" s="227" t="n"/>
      <c r="D415" s="227" t="n"/>
      <c r="E415" s="228" t="n"/>
      <c r="F415" s="192" t="n"/>
      <c r="G415" s="227" t="n"/>
      <c r="H415" s="227" t="n"/>
    </row>
    <row r="416">
      <c r="B416" s="227" t="n"/>
      <c r="C416" s="227" t="n"/>
      <c r="D416" s="227" t="n"/>
      <c r="E416" s="228" t="n"/>
      <c r="F416" s="192" t="n"/>
      <c r="G416" s="227" t="n"/>
      <c r="H416" s="227" t="n"/>
    </row>
    <row r="417">
      <c r="B417" s="227" t="n"/>
      <c r="C417" s="227" t="n"/>
      <c r="D417" s="227" t="n"/>
      <c r="E417" s="228" t="n"/>
      <c r="F417" s="192" t="n"/>
      <c r="G417" s="227" t="n"/>
      <c r="H417" s="227" t="n"/>
    </row>
    <row r="418">
      <c r="B418" s="227" t="n"/>
      <c r="C418" s="227" t="n"/>
      <c r="D418" s="227" t="n"/>
      <c r="E418" s="228" t="n"/>
      <c r="F418" s="192" t="n"/>
      <c r="G418" s="227" t="n"/>
      <c r="H418" s="227" t="n"/>
    </row>
    <row r="419">
      <c r="B419" s="227" t="n"/>
      <c r="C419" s="227" t="n"/>
      <c r="D419" s="227" t="n"/>
      <c r="E419" s="228" t="n"/>
      <c r="F419" s="192" t="n"/>
      <c r="G419" s="227" t="n"/>
      <c r="H419" s="227" t="n"/>
    </row>
    <row r="420">
      <c r="B420" s="227" t="n"/>
      <c r="C420" s="227" t="n"/>
      <c r="D420" s="227" t="n"/>
      <c r="E420" s="228" t="n"/>
      <c r="F420" s="192" t="n"/>
      <c r="G420" s="227" t="n"/>
      <c r="H420" s="227" t="n"/>
    </row>
    <row r="421">
      <c r="B421" s="227" t="n"/>
      <c r="C421" s="227" t="n"/>
      <c r="D421" s="227" t="n"/>
      <c r="E421" s="228" t="n"/>
      <c r="F421" s="192" t="n"/>
      <c r="G421" s="227" t="n"/>
      <c r="H421" s="227" t="n"/>
    </row>
    <row r="422">
      <c r="B422" s="227" t="n"/>
      <c r="C422" s="227" t="n"/>
      <c r="D422" s="227" t="n"/>
      <c r="E422" s="228" t="n"/>
      <c r="F422" s="192" t="n"/>
      <c r="G422" s="227" t="n"/>
      <c r="H422" s="227" t="n"/>
    </row>
    <row r="423">
      <c r="B423" s="227" t="n"/>
      <c r="C423" s="227" t="n"/>
      <c r="D423" s="227" t="n"/>
      <c r="E423" s="228" t="n"/>
      <c r="F423" s="192" t="n"/>
      <c r="G423" s="227" t="n"/>
      <c r="H423" s="227" t="n"/>
    </row>
    <row r="424">
      <c r="B424" s="227" t="n"/>
      <c r="C424" s="227" t="n"/>
      <c r="D424" s="227" t="n"/>
      <c r="E424" s="228" t="n"/>
      <c r="F424" s="192" t="n"/>
      <c r="G424" s="227" t="n"/>
      <c r="H424" s="227" t="n"/>
    </row>
    <row r="425">
      <c r="B425" s="227" t="n"/>
      <c r="C425" s="227" t="n"/>
      <c r="D425" s="227" t="n"/>
      <c r="E425" s="228" t="n"/>
      <c r="F425" s="192" t="n"/>
      <c r="G425" s="227" t="n"/>
      <c r="H425" s="227" t="n"/>
    </row>
    <row r="426">
      <c r="B426" s="227" t="n"/>
      <c r="C426" s="227" t="n"/>
      <c r="D426" s="227" t="n"/>
      <c r="E426" s="228" t="n"/>
      <c r="F426" s="192" t="n"/>
      <c r="G426" s="227" t="n"/>
      <c r="H426" s="227" t="n"/>
    </row>
    <row r="427">
      <c r="B427" s="227" t="n"/>
      <c r="C427" s="227" t="n"/>
      <c r="D427" s="227" t="n"/>
      <c r="E427" s="228" t="n"/>
      <c r="F427" s="192" t="n"/>
      <c r="G427" s="227" t="n"/>
      <c r="H427" s="227" t="n"/>
    </row>
    <row r="428">
      <c r="B428" s="227" t="n"/>
      <c r="C428" s="227" t="n"/>
      <c r="D428" s="227" t="n"/>
      <c r="E428" s="228" t="n"/>
      <c r="F428" s="192" t="n"/>
      <c r="G428" s="227" t="n"/>
      <c r="H428" s="227" t="n"/>
    </row>
    <row r="429">
      <c r="B429" s="227" t="n"/>
      <c r="C429" s="227" t="n"/>
      <c r="D429" s="227" t="n"/>
      <c r="E429" s="228" t="n"/>
      <c r="F429" s="192" t="n"/>
      <c r="G429" s="227" t="n"/>
      <c r="H429" s="227" t="n"/>
    </row>
    <row r="430">
      <c r="B430" s="227" t="n"/>
      <c r="C430" s="227" t="n"/>
      <c r="D430" s="227" t="n"/>
      <c r="E430" s="228" t="n"/>
      <c r="F430" s="192" t="n"/>
      <c r="G430" s="227" t="n"/>
      <c r="H430" s="227" t="n"/>
    </row>
    <row r="431">
      <c r="B431" s="227" t="n"/>
      <c r="C431" s="227" t="n"/>
      <c r="D431" s="227" t="n"/>
      <c r="E431" s="228" t="n"/>
      <c r="F431" s="192" t="n"/>
      <c r="G431" s="227" t="n"/>
      <c r="H431" s="227" t="n"/>
    </row>
    <row r="432">
      <c r="B432" s="227" t="n"/>
      <c r="C432" s="227" t="n"/>
      <c r="D432" s="227" t="n"/>
      <c r="E432" s="228" t="n"/>
      <c r="F432" s="192" t="n"/>
      <c r="G432" s="227" t="n"/>
      <c r="H432" s="227" t="n"/>
    </row>
    <row r="433">
      <c r="B433" s="227" t="n"/>
      <c r="C433" s="227" t="n"/>
      <c r="D433" s="227" t="n"/>
      <c r="E433" s="228" t="n"/>
      <c r="F433" s="192" t="n"/>
      <c r="G433" s="227" t="n"/>
      <c r="H433" s="227" t="n"/>
    </row>
    <row r="434">
      <c r="B434" s="227" t="n"/>
      <c r="C434" s="227" t="n"/>
      <c r="D434" s="227" t="n"/>
      <c r="E434" s="228" t="n"/>
      <c r="F434" s="192" t="n"/>
      <c r="G434" s="227" t="n"/>
      <c r="H434" s="227" t="n"/>
    </row>
    <row r="435">
      <c r="B435" s="227" t="n"/>
      <c r="C435" s="227" t="n"/>
      <c r="D435" s="227" t="n"/>
      <c r="E435" s="228" t="n"/>
      <c r="F435" s="192" t="n"/>
      <c r="G435" s="227" t="n"/>
      <c r="H435" s="227" t="n"/>
    </row>
    <row r="436">
      <c r="B436" s="227" t="n"/>
      <c r="C436" s="227" t="n"/>
      <c r="D436" s="227" t="n"/>
      <c r="E436" s="228" t="n"/>
      <c r="F436" s="192" t="n"/>
      <c r="G436" s="227" t="n"/>
      <c r="H436" s="227" t="n"/>
    </row>
    <row r="437">
      <c r="B437" s="227" t="n"/>
      <c r="C437" s="227" t="n"/>
      <c r="D437" s="227" t="n"/>
      <c r="E437" s="228" t="n"/>
      <c r="F437" s="192" t="n"/>
      <c r="G437" s="227" t="n"/>
      <c r="H437" s="227" t="n"/>
    </row>
    <row r="438">
      <c r="B438" s="227" t="n"/>
      <c r="C438" s="227" t="n"/>
      <c r="D438" s="227" t="n"/>
      <c r="E438" s="228" t="n"/>
      <c r="F438" s="192" t="n"/>
      <c r="G438" s="227" t="n"/>
      <c r="H438" s="227" t="n"/>
    </row>
    <row r="439">
      <c r="B439" s="227" t="n"/>
      <c r="C439" s="227" t="n"/>
      <c r="D439" s="227" t="n"/>
      <c r="E439" s="228" t="n"/>
      <c r="F439" s="192" t="n"/>
      <c r="G439" s="227" t="n"/>
      <c r="H439" s="227" t="n"/>
    </row>
    <row r="440">
      <c r="B440" s="227" t="n"/>
      <c r="C440" s="227" t="n"/>
      <c r="D440" s="227" t="n"/>
      <c r="E440" s="228" t="n"/>
      <c r="F440" s="192" t="n"/>
      <c r="G440" s="227" t="n"/>
      <c r="H440" s="227" t="n"/>
    </row>
    <row r="441">
      <c r="B441" s="227" t="n"/>
      <c r="C441" s="227" t="n"/>
      <c r="D441" s="227" t="n"/>
      <c r="E441" s="228" t="n"/>
      <c r="F441" s="192" t="n"/>
      <c r="G441" s="227" t="n"/>
      <c r="H441" s="227" t="n"/>
    </row>
    <row r="442">
      <c r="B442" s="227" t="n"/>
      <c r="C442" s="227" t="n"/>
      <c r="D442" s="227" t="n"/>
      <c r="E442" s="228" t="n"/>
      <c r="F442" s="192" t="n"/>
      <c r="G442" s="227" t="n"/>
      <c r="H442" s="227" t="n"/>
    </row>
    <row r="443">
      <c r="B443" s="227" t="n"/>
      <c r="C443" s="227" t="n"/>
      <c r="D443" s="227" t="n"/>
      <c r="E443" s="228" t="n"/>
      <c r="F443" s="192" t="n"/>
      <c r="G443" s="227" t="n"/>
      <c r="H443" s="227" t="n"/>
    </row>
    <row r="444">
      <c r="B444" s="227" t="n"/>
      <c r="C444" s="227" t="n"/>
      <c r="D444" s="227" t="n"/>
      <c r="E444" s="228" t="n"/>
      <c r="F444" s="192" t="n"/>
      <c r="G444" s="227" t="n"/>
      <c r="H444" s="227" t="n"/>
    </row>
    <row r="445">
      <c r="B445" s="227" t="n"/>
      <c r="C445" s="227" t="n"/>
      <c r="D445" s="227" t="n"/>
      <c r="E445" s="228" t="n"/>
      <c r="F445" s="192" t="n"/>
      <c r="G445" s="227" t="n"/>
      <c r="H445" s="227" t="n"/>
    </row>
    <row r="446">
      <c r="B446" s="227" t="n"/>
      <c r="C446" s="227" t="n"/>
      <c r="D446" s="227" t="n"/>
      <c r="E446" s="228" t="n"/>
      <c r="F446" s="192" t="n"/>
      <c r="G446" s="227" t="n"/>
      <c r="H446" s="227" t="n"/>
    </row>
    <row r="447">
      <c r="B447" s="227" t="n"/>
      <c r="C447" s="227" t="n"/>
      <c r="D447" s="227" t="n"/>
      <c r="E447" s="228" t="n"/>
      <c r="F447" s="192" t="n"/>
      <c r="G447" s="227" t="n"/>
      <c r="H447" s="227" t="n"/>
    </row>
    <row r="448">
      <c r="B448" s="227" t="n"/>
      <c r="C448" s="227" t="n"/>
      <c r="D448" s="227" t="n"/>
      <c r="E448" s="228" t="n"/>
      <c r="F448" s="192" t="n"/>
      <c r="G448" s="227" t="n"/>
      <c r="H448" s="227" t="n"/>
    </row>
    <row r="449">
      <c r="B449" s="227" t="n"/>
      <c r="C449" s="227" t="n"/>
      <c r="D449" s="227" t="n"/>
      <c r="E449" s="228" t="n"/>
      <c r="F449" s="192" t="n"/>
      <c r="G449" s="227" t="n"/>
      <c r="H449" s="227" t="n"/>
    </row>
    <row r="450">
      <c r="B450" s="227" t="n"/>
      <c r="C450" s="227" t="n"/>
      <c r="D450" s="227" t="n"/>
      <c r="E450" s="228" t="n"/>
      <c r="F450" s="192" t="n"/>
      <c r="G450" s="227" t="n"/>
      <c r="H450" s="227" t="n"/>
    </row>
    <row r="451">
      <c r="B451" s="227" t="n"/>
      <c r="C451" s="227" t="n"/>
      <c r="D451" s="227" t="n"/>
      <c r="E451" s="228" t="n"/>
      <c r="F451" s="192" t="n"/>
      <c r="G451" s="227" t="n"/>
      <c r="H451" s="227" t="n"/>
    </row>
    <row r="452">
      <c r="B452" s="227" t="n"/>
      <c r="C452" s="227" t="n"/>
      <c r="D452" s="227" t="n"/>
      <c r="E452" s="228" t="n"/>
      <c r="F452" s="192" t="n"/>
      <c r="G452" s="227" t="n"/>
      <c r="H452" s="227" t="n"/>
    </row>
    <row r="453">
      <c r="B453" s="227" t="n"/>
      <c r="C453" s="227" t="n"/>
      <c r="D453" s="227" t="n"/>
      <c r="E453" s="228" t="n"/>
      <c r="F453" s="192" t="n"/>
      <c r="G453" s="227" t="n"/>
      <c r="H453" s="227" t="n"/>
    </row>
    <row r="454">
      <c r="B454" s="227" t="n"/>
      <c r="C454" s="227" t="n"/>
      <c r="D454" s="227" t="n"/>
      <c r="E454" s="228" t="n"/>
      <c r="F454" s="192" t="n"/>
      <c r="G454" s="227" t="n"/>
      <c r="H454" s="227" t="n"/>
    </row>
    <row r="455">
      <c r="B455" s="227" t="n"/>
      <c r="C455" s="227" t="n"/>
      <c r="D455" s="227" t="n"/>
      <c r="E455" s="228" t="n"/>
      <c r="F455" s="192" t="n"/>
      <c r="G455" s="227" t="n"/>
      <c r="H455" s="227" t="n"/>
    </row>
    <row r="456">
      <c r="B456" s="227" t="n"/>
      <c r="C456" s="227" t="n"/>
      <c r="D456" s="227" t="n"/>
      <c r="E456" s="228" t="n"/>
      <c r="F456" s="192" t="n"/>
      <c r="G456" s="227" t="n"/>
      <c r="H456" s="227" t="n"/>
    </row>
    <row r="457">
      <c r="B457" s="227" t="n"/>
      <c r="C457" s="227" t="n"/>
      <c r="D457" s="227" t="n"/>
      <c r="E457" s="228" t="n"/>
      <c r="F457" s="192" t="n"/>
      <c r="G457" s="227" t="n"/>
      <c r="H457" s="227" t="n"/>
    </row>
    <row r="458">
      <c r="B458" s="227" t="n"/>
      <c r="C458" s="227" t="n"/>
      <c r="D458" s="227" t="n"/>
      <c r="E458" s="228" t="n"/>
      <c r="F458" s="192" t="n"/>
      <c r="G458" s="227" t="n"/>
      <c r="H458" s="227" t="n"/>
    </row>
    <row r="459">
      <c r="B459" s="227" t="n"/>
      <c r="C459" s="227" t="n"/>
      <c r="D459" s="227" t="n"/>
      <c r="E459" s="228" t="n"/>
      <c r="F459" s="192" t="n"/>
      <c r="G459" s="227" t="n"/>
      <c r="H459" s="227" t="n"/>
    </row>
    <row r="460">
      <c r="B460" s="227" t="n"/>
      <c r="C460" s="227" t="n"/>
      <c r="D460" s="227" t="n"/>
      <c r="E460" s="228" t="n"/>
      <c r="F460" s="192" t="n"/>
      <c r="G460" s="227" t="n"/>
      <c r="H460" s="227" t="n"/>
    </row>
    <row r="461">
      <c r="B461" s="227" t="n"/>
      <c r="C461" s="227" t="n"/>
      <c r="D461" s="227" t="n"/>
      <c r="E461" s="228" t="n"/>
      <c r="F461" s="192" t="n"/>
      <c r="G461" s="227" t="n"/>
      <c r="H461" s="227" t="n"/>
    </row>
    <row r="462">
      <c r="B462" s="227" t="n"/>
      <c r="C462" s="227" t="n"/>
      <c r="D462" s="227" t="n"/>
      <c r="E462" s="228" t="n"/>
      <c r="F462" s="192" t="n"/>
      <c r="G462" s="227" t="n"/>
      <c r="H462" s="227" t="n"/>
    </row>
    <row r="463">
      <c r="B463" s="227" t="n"/>
      <c r="C463" s="227" t="n"/>
      <c r="D463" s="227" t="n"/>
      <c r="E463" s="228" t="n"/>
      <c r="F463" s="192" t="n"/>
      <c r="G463" s="227" t="n"/>
      <c r="H463" s="227" t="n"/>
    </row>
    <row r="464">
      <c r="B464" s="227" t="n"/>
      <c r="C464" s="227" t="n"/>
      <c r="D464" s="227" t="n"/>
      <c r="E464" s="228" t="n"/>
      <c r="F464" s="192" t="n"/>
      <c r="G464" s="227" t="n"/>
      <c r="H464" s="227" t="n"/>
    </row>
    <row r="465">
      <c r="B465" s="227" t="n"/>
      <c r="C465" s="227" t="n"/>
      <c r="D465" s="227" t="n"/>
      <c r="E465" s="228" t="n"/>
      <c r="F465" s="192" t="n"/>
      <c r="G465" s="227" t="n"/>
      <c r="H465" s="227" t="n"/>
    </row>
    <row r="466">
      <c r="B466" s="227" t="n"/>
      <c r="C466" s="227" t="n"/>
      <c r="D466" s="227" t="n"/>
      <c r="E466" s="228" t="n"/>
      <c r="F466" s="192" t="n"/>
      <c r="G466" s="227" t="n"/>
      <c r="H466" s="227" t="n"/>
    </row>
    <row r="467">
      <c r="B467" s="227" t="n"/>
      <c r="C467" s="227" t="n"/>
      <c r="D467" s="227" t="n"/>
      <c r="E467" s="228" t="n"/>
      <c r="F467" s="192" t="n"/>
      <c r="G467" s="227" t="n"/>
      <c r="H467" s="227" t="n"/>
    </row>
    <row r="468">
      <c r="B468" s="227" t="n"/>
      <c r="C468" s="227" t="n"/>
      <c r="D468" s="227" t="n"/>
      <c r="E468" s="228" t="n"/>
      <c r="F468" s="192" t="n"/>
      <c r="G468" s="227" t="n"/>
      <c r="H468" s="227" t="n"/>
    </row>
    <row r="469">
      <c r="B469" s="227" t="n"/>
      <c r="C469" s="227" t="n"/>
      <c r="D469" s="227" t="n"/>
      <c r="E469" s="228" t="n"/>
      <c r="F469" s="192" t="n"/>
      <c r="G469" s="227" t="n"/>
      <c r="H469" s="227" t="n"/>
    </row>
    <row r="470">
      <c r="B470" s="227" t="n"/>
      <c r="C470" s="227" t="n"/>
      <c r="D470" s="227" t="n"/>
      <c r="E470" s="228" t="n"/>
      <c r="F470" s="192" t="n"/>
      <c r="G470" s="227" t="n"/>
      <c r="H470" s="227" t="n"/>
    </row>
    <row r="471">
      <c r="B471" s="227" t="n"/>
      <c r="C471" s="227" t="n"/>
      <c r="D471" s="227" t="n"/>
      <c r="E471" s="228" t="n"/>
      <c r="F471" s="192" t="n"/>
      <c r="G471" s="227" t="n"/>
      <c r="H471" s="227" t="n"/>
    </row>
    <row r="472">
      <c r="B472" s="227" t="n"/>
      <c r="C472" s="227" t="n"/>
      <c r="D472" s="227" t="n"/>
      <c r="E472" s="228" t="n"/>
      <c r="F472" s="192" t="n"/>
      <c r="G472" s="227" t="n"/>
      <c r="H472" s="227" t="n"/>
    </row>
    <row r="473">
      <c r="B473" s="227" t="n"/>
      <c r="C473" s="227" t="n"/>
      <c r="D473" s="227" t="n"/>
      <c r="E473" s="228" t="n"/>
      <c r="F473" s="192" t="n"/>
      <c r="G473" s="227" t="n"/>
      <c r="H473" s="227" t="n"/>
    </row>
    <row r="474">
      <c r="B474" s="227" t="n"/>
      <c r="C474" s="227" t="n"/>
      <c r="D474" s="227" t="n"/>
      <c r="E474" s="228" t="n"/>
      <c r="F474" s="192" t="n"/>
      <c r="G474" s="227" t="n"/>
      <c r="H474" s="227" t="n"/>
    </row>
    <row r="475">
      <c r="B475" s="227" t="n"/>
      <c r="C475" s="227" t="n"/>
      <c r="D475" s="227" t="n"/>
      <c r="E475" s="228" t="n"/>
      <c r="F475" s="192" t="n"/>
      <c r="G475" s="227" t="n"/>
      <c r="H475" s="227" t="n"/>
    </row>
    <row r="476">
      <c r="B476" s="227" t="n"/>
      <c r="C476" s="227" t="n"/>
      <c r="D476" s="227" t="n"/>
      <c r="E476" s="228" t="n"/>
      <c r="F476" s="192" t="n"/>
      <c r="G476" s="227" t="n"/>
      <c r="H476" s="227" t="n"/>
    </row>
    <row r="477">
      <c r="B477" s="227" t="n"/>
      <c r="C477" s="227" t="n"/>
      <c r="D477" s="227" t="n"/>
      <c r="E477" s="228" t="n"/>
      <c r="F477" s="192" t="n"/>
      <c r="G477" s="227" t="n"/>
      <c r="H477" s="227" t="n"/>
    </row>
    <row r="478">
      <c r="B478" s="227" t="n"/>
      <c r="C478" s="227" t="n"/>
      <c r="D478" s="227" t="n"/>
      <c r="E478" s="228" t="n"/>
      <c r="F478" s="192" t="n"/>
      <c r="G478" s="227" t="n"/>
      <c r="H478" s="227" t="n"/>
    </row>
    <row r="479">
      <c r="B479" s="227" t="n"/>
      <c r="C479" s="227" t="n"/>
      <c r="D479" s="227" t="n"/>
      <c r="E479" s="228" t="n"/>
      <c r="F479" s="192" t="n"/>
      <c r="G479" s="227" t="n"/>
      <c r="H479" s="227" t="n"/>
    </row>
    <row r="480">
      <c r="B480" s="227" t="n"/>
      <c r="C480" s="227" t="n"/>
      <c r="D480" s="227" t="n"/>
      <c r="E480" s="228" t="n"/>
      <c r="F480" s="192" t="n"/>
      <c r="G480" s="227" t="n"/>
      <c r="H480" s="227" t="n"/>
    </row>
    <row r="481">
      <c r="B481" s="227" t="n"/>
      <c r="C481" s="227" t="n"/>
      <c r="D481" s="227" t="n"/>
      <c r="E481" s="228" t="n"/>
      <c r="F481" s="192" t="n"/>
      <c r="G481" s="227" t="n"/>
      <c r="H481" s="227" t="n"/>
    </row>
    <row r="482">
      <c r="B482" s="227" t="n"/>
      <c r="C482" s="227" t="n"/>
      <c r="D482" s="227" t="n"/>
      <c r="E482" s="228" t="n"/>
      <c r="F482" s="192" t="n"/>
      <c r="G482" s="227" t="n"/>
      <c r="H482" s="227" t="n"/>
    </row>
    <row r="483">
      <c r="B483" s="227" t="n"/>
      <c r="C483" s="227" t="n"/>
      <c r="D483" s="227" t="n"/>
      <c r="E483" s="228" t="n"/>
      <c r="F483" s="192" t="n"/>
      <c r="G483" s="227" t="n"/>
      <c r="H483" s="227" t="n"/>
    </row>
    <row r="484">
      <c r="B484" s="227" t="n"/>
      <c r="C484" s="227" t="n"/>
      <c r="D484" s="227" t="n"/>
      <c r="E484" s="228" t="n"/>
      <c r="F484" s="192" t="n"/>
      <c r="G484" s="227" t="n"/>
      <c r="H484" s="227" t="n"/>
    </row>
    <row r="485">
      <c r="B485" s="227" t="n"/>
      <c r="C485" s="227" t="n"/>
      <c r="D485" s="227" t="n"/>
      <c r="E485" s="228" t="n"/>
      <c r="F485" s="192" t="n"/>
      <c r="G485" s="227" t="n"/>
      <c r="H485" s="227" t="n"/>
    </row>
    <row r="486">
      <c r="B486" s="227" t="n"/>
      <c r="C486" s="227" t="n"/>
      <c r="D486" s="227" t="n"/>
      <c r="E486" s="228" t="n"/>
      <c r="F486" s="192" t="n"/>
      <c r="G486" s="227" t="n"/>
      <c r="H486" s="227" t="n"/>
    </row>
    <row r="487">
      <c r="B487" s="227" t="n"/>
      <c r="C487" s="227" t="n"/>
      <c r="D487" s="227" t="n"/>
      <c r="E487" s="228" t="n"/>
      <c r="F487" s="192" t="n"/>
      <c r="G487" s="227" t="n"/>
      <c r="H487" s="227" t="n"/>
    </row>
    <row r="488">
      <c r="B488" s="227" t="n"/>
      <c r="C488" s="227" t="n"/>
      <c r="D488" s="227" t="n"/>
      <c r="E488" s="228" t="n"/>
      <c r="F488" s="192" t="n"/>
      <c r="G488" s="227" t="n"/>
      <c r="H488" s="227" t="n"/>
    </row>
    <row r="489">
      <c r="B489" s="227" t="n"/>
      <c r="C489" s="227" t="n"/>
      <c r="D489" s="227" t="n"/>
      <c r="E489" s="228" t="n"/>
      <c r="F489" s="192" t="n"/>
      <c r="G489" s="227" t="n"/>
      <c r="H489" s="227" t="n"/>
    </row>
    <row r="490">
      <c r="B490" s="227" t="n"/>
      <c r="C490" s="227" t="n"/>
      <c r="D490" s="227" t="n"/>
      <c r="E490" s="228" t="n"/>
      <c r="F490" s="192" t="n"/>
      <c r="G490" s="227" t="n"/>
      <c r="H490" s="227" t="n"/>
    </row>
    <row r="491">
      <c r="B491" s="227" t="n"/>
      <c r="C491" s="227" t="n"/>
      <c r="D491" s="227" t="n"/>
      <c r="E491" s="228" t="n"/>
      <c r="F491" s="192" t="n"/>
      <c r="G491" s="227" t="n"/>
      <c r="H491" s="227" t="n"/>
    </row>
    <row r="492">
      <c r="B492" s="227" t="n"/>
      <c r="C492" s="227" t="n"/>
      <c r="D492" s="227" t="n"/>
      <c r="E492" s="228" t="n"/>
      <c r="F492" s="192" t="n"/>
      <c r="G492" s="227" t="n"/>
      <c r="H492" s="227" t="n"/>
    </row>
    <row r="493">
      <c r="B493" s="227" t="n"/>
      <c r="C493" s="227" t="n"/>
      <c r="D493" s="227" t="n"/>
      <c r="E493" s="228" t="n"/>
      <c r="F493" s="192" t="n"/>
      <c r="G493" s="227" t="n"/>
      <c r="H493" s="227" t="n"/>
    </row>
    <row r="494">
      <c r="B494" s="227" t="n"/>
      <c r="C494" s="227" t="n"/>
      <c r="D494" s="227" t="n"/>
      <c r="E494" s="228" t="n"/>
      <c r="F494" s="192" t="n"/>
      <c r="G494" s="227" t="n"/>
      <c r="H494" s="227" t="n"/>
    </row>
    <row r="495">
      <c r="B495" s="227" t="n"/>
      <c r="C495" s="227" t="n"/>
      <c r="D495" s="227" t="n"/>
      <c r="E495" s="228" t="n"/>
      <c r="F495" s="192" t="n"/>
      <c r="G495" s="227" t="n"/>
      <c r="H495" s="227" t="n"/>
    </row>
    <row r="496">
      <c r="B496" s="227" t="n"/>
      <c r="C496" s="227" t="n"/>
      <c r="D496" s="227" t="n"/>
      <c r="E496" s="228" t="n"/>
      <c r="F496" s="192" t="n"/>
      <c r="G496" s="227" t="n"/>
      <c r="H496" s="227" t="n"/>
    </row>
    <row r="497">
      <c r="B497" s="227" t="n"/>
      <c r="C497" s="227" t="n"/>
      <c r="D497" s="227" t="n"/>
      <c r="E497" s="228" t="n"/>
      <c r="F497" s="192" t="n"/>
      <c r="G497" s="227" t="n"/>
      <c r="H497" s="227" t="n"/>
    </row>
    <row r="498">
      <c r="B498" s="227" t="n"/>
      <c r="C498" s="227" t="n"/>
      <c r="D498" s="227" t="n"/>
      <c r="E498" s="228" t="n"/>
      <c r="F498" s="192" t="n"/>
      <c r="G498" s="227" t="n"/>
      <c r="H498" s="227" t="n"/>
    </row>
    <row r="499">
      <c r="B499" s="227" t="n"/>
      <c r="C499" s="227" t="n"/>
      <c r="D499" s="227" t="n"/>
      <c r="E499" s="228" t="n"/>
      <c r="F499" s="192" t="n"/>
      <c r="G499" s="227" t="n"/>
      <c r="H499" s="227" t="n"/>
    </row>
    <row r="500">
      <c r="B500" s="227" t="n"/>
      <c r="C500" s="227" t="n"/>
      <c r="D500" s="227" t="n"/>
      <c r="E500" s="228" t="n"/>
      <c r="F500" s="192" t="n"/>
      <c r="G500" s="227" t="n"/>
      <c r="H500" s="227" t="n"/>
    </row>
    <row r="501">
      <c r="B501" s="227" t="n"/>
      <c r="C501" s="227" t="n"/>
      <c r="D501" s="227" t="n"/>
      <c r="E501" s="228" t="n"/>
      <c r="F501" s="192" t="n"/>
      <c r="G501" s="227" t="n"/>
      <c r="H501" s="227" t="n"/>
    </row>
    <row r="502">
      <c r="B502" s="227" t="n"/>
      <c r="C502" s="227" t="n"/>
      <c r="D502" s="227" t="n"/>
      <c r="E502" s="228" t="n"/>
      <c r="F502" s="192" t="n"/>
      <c r="G502" s="227" t="n"/>
      <c r="H502" s="227" t="n"/>
    </row>
    <row r="503">
      <c r="B503" s="227" t="n"/>
      <c r="C503" s="227" t="n"/>
      <c r="D503" s="227" t="n"/>
      <c r="E503" s="228" t="n"/>
      <c r="F503" s="192" t="n"/>
      <c r="G503" s="227" t="n"/>
      <c r="H503" s="227" t="n"/>
    </row>
    <row r="504">
      <c r="B504" s="227" t="n"/>
      <c r="C504" s="227" t="n"/>
      <c r="D504" s="227" t="n"/>
      <c r="E504" s="228" t="n"/>
      <c r="F504" s="192" t="n"/>
      <c r="G504" s="227" t="n"/>
      <c r="H504" s="227" t="n"/>
    </row>
    <row r="505">
      <c r="B505" s="227" t="n"/>
      <c r="C505" s="227" t="n"/>
      <c r="D505" s="227" t="n"/>
      <c r="E505" s="228" t="n"/>
      <c r="F505" s="192" t="n"/>
      <c r="G505" s="227" t="n"/>
      <c r="H505" s="227" t="n"/>
    </row>
    <row r="506">
      <c r="B506" s="227" t="n"/>
      <c r="C506" s="227" t="n"/>
      <c r="D506" s="227" t="n"/>
      <c r="E506" s="228" t="n"/>
      <c r="F506" s="192" t="n"/>
      <c r="G506" s="227" t="n"/>
      <c r="H506" s="227" t="n"/>
    </row>
    <row r="507">
      <c r="B507" s="227" t="n"/>
      <c r="C507" s="227" t="n"/>
      <c r="D507" s="227" t="n"/>
      <c r="E507" s="228" t="n"/>
      <c r="F507" s="192" t="n"/>
      <c r="G507" s="227" t="n"/>
      <c r="H507" s="227" t="n"/>
    </row>
    <row r="508">
      <c r="B508" s="227" t="n"/>
      <c r="C508" s="227" t="n"/>
      <c r="D508" s="227" t="n"/>
      <c r="E508" s="228" t="n"/>
      <c r="F508" s="192" t="n"/>
      <c r="G508" s="227" t="n"/>
      <c r="H508" s="227" t="n"/>
    </row>
    <row r="509">
      <c r="B509" s="227" t="n"/>
      <c r="C509" s="227" t="n"/>
      <c r="D509" s="227" t="n"/>
      <c r="E509" s="228" t="n"/>
      <c r="F509" s="192" t="n"/>
      <c r="G509" s="227" t="n"/>
      <c r="H509" s="227" t="n"/>
    </row>
    <row r="510">
      <c r="B510" s="227" t="n"/>
      <c r="C510" s="227" t="n"/>
      <c r="D510" s="227" t="n"/>
      <c r="E510" s="228" t="n"/>
      <c r="F510" s="192" t="n"/>
      <c r="G510" s="227" t="n"/>
      <c r="H510" s="227" t="n"/>
    </row>
    <row r="511">
      <c r="B511" s="227" t="n"/>
      <c r="C511" s="227" t="n"/>
      <c r="D511" s="227" t="n"/>
      <c r="E511" s="228" t="n"/>
      <c r="F511" s="192" t="n"/>
      <c r="G511" s="227" t="n"/>
      <c r="H511" s="227" t="n"/>
    </row>
    <row r="512">
      <c r="B512" s="227" t="n"/>
      <c r="C512" s="227" t="n"/>
      <c r="D512" s="227" t="n"/>
      <c r="E512" s="228" t="n"/>
      <c r="F512" s="192" t="n"/>
      <c r="G512" s="227" t="n"/>
      <c r="H512" s="227" t="n"/>
    </row>
    <row r="513">
      <c r="B513" s="227" t="n"/>
      <c r="C513" s="227" t="n"/>
      <c r="D513" s="227" t="n"/>
      <c r="E513" s="228" t="n"/>
      <c r="F513" s="192" t="n"/>
      <c r="G513" s="227" t="n"/>
      <c r="H513" s="227" t="n"/>
    </row>
    <row r="514">
      <c r="B514" s="227" t="n"/>
      <c r="C514" s="227" t="n"/>
      <c r="D514" s="227" t="n"/>
      <c r="E514" s="228" t="n"/>
      <c r="F514" s="192" t="n"/>
      <c r="G514" s="227" t="n"/>
      <c r="H514" s="227" t="n"/>
    </row>
    <row r="515">
      <c r="B515" s="227" t="n"/>
      <c r="C515" s="227" t="n"/>
      <c r="D515" s="227" t="n"/>
      <c r="E515" s="228" t="n"/>
      <c r="F515" s="192" t="n"/>
      <c r="G515" s="227" t="n"/>
      <c r="H515" s="227" t="n"/>
    </row>
    <row r="516">
      <c r="B516" s="227" t="n"/>
      <c r="C516" s="227" t="n"/>
      <c r="D516" s="227" t="n"/>
      <c r="E516" s="228" t="n"/>
      <c r="F516" s="192" t="n"/>
      <c r="G516" s="227" t="n"/>
      <c r="H516" s="227" t="n"/>
    </row>
    <row r="517">
      <c r="B517" s="227" t="n"/>
      <c r="C517" s="227" t="n"/>
      <c r="D517" s="227" t="n"/>
      <c r="E517" s="228" t="n"/>
      <c r="F517" s="192" t="n"/>
      <c r="G517" s="227" t="n"/>
      <c r="H517" s="227" t="n"/>
    </row>
    <row r="518">
      <c r="B518" s="227" t="n"/>
      <c r="C518" s="227" t="n"/>
      <c r="D518" s="227" t="n"/>
      <c r="E518" s="228" t="n"/>
      <c r="F518" s="192" t="n"/>
      <c r="G518" s="227" t="n"/>
      <c r="H518" s="227" t="n"/>
    </row>
    <row r="519">
      <c r="B519" s="227" t="n"/>
      <c r="C519" s="227" t="n"/>
      <c r="D519" s="227" t="n"/>
      <c r="E519" s="228" t="n"/>
      <c r="F519" s="192" t="n"/>
      <c r="G519" s="227" t="n"/>
      <c r="H519" s="227" t="n"/>
    </row>
    <row r="520">
      <c r="B520" s="227" t="n"/>
      <c r="C520" s="227" t="n"/>
      <c r="D520" s="227" t="n"/>
      <c r="E520" s="228" t="n"/>
      <c r="F520" s="192" t="n"/>
      <c r="G520" s="227" t="n"/>
      <c r="H520" s="227" t="n"/>
    </row>
    <row r="521">
      <c r="B521" s="227" t="n"/>
      <c r="C521" s="227" t="n"/>
      <c r="D521" s="227" t="n"/>
      <c r="E521" s="228" t="n"/>
      <c r="F521" s="192" t="n"/>
      <c r="G521" s="227" t="n"/>
      <c r="H521" s="227" t="n"/>
    </row>
    <row r="522">
      <c r="B522" s="227" t="n"/>
      <c r="C522" s="227" t="n"/>
      <c r="D522" s="227" t="n"/>
      <c r="E522" s="228" t="n"/>
      <c r="F522" s="192" t="n"/>
      <c r="G522" s="227" t="n"/>
      <c r="H522" s="227" t="n"/>
    </row>
    <row r="523">
      <c r="B523" s="227" t="n"/>
      <c r="C523" s="227" t="n"/>
      <c r="D523" s="227" t="n"/>
      <c r="E523" s="228" t="n"/>
      <c r="F523" s="192" t="n"/>
      <c r="G523" s="227" t="n"/>
      <c r="H523" s="227" t="n"/>
    </row>
    <row r="524">
      <c r="B524" s="227" t="n"/>
      <c r="C524" s="227" t="n"/>
      <c r="D524" s="227" t="n"/>
      <c r="E524" s="228" t="n"/>
      <c r="F524" s="192" t="n"/>
      <c r="G524" s="227" t="n"/>
      <c r="H524" s="227" t="n"/>
    </row>
    <row r="525">
      <c r="B525" s="227" t="n"/>
      <c r="C525" s="227" t="n"/>
      <c r="D525" s="227" t="n"/>
      <c r="E525" s="228" t="n"/>
      <c r="F525" s="192" t="n"/>
      <c r="G525" s="227" t="n"/>
      <c r="H525" s="227" t="n"/>
    </row>
    <row r="526">
      <c r="B526" s="227" t="n"/>
      <c r="C526" s="227" t="n"/>
      <c r="D526" s="227" t="n"/>
      <c r="E526" s="228" t="n"/>
      <c r="F526" s="192" t="n"/>
      <c r="G526" s="227" t="n"/>
      <c r="H526" s="227" t="n"/>
    </row>
    <row r="527">
      <c r="B527" s="227" t="n"/>
      <c r="C527" s="227" t="n"/>
      <c r="D527" s="227" t="n"/>
      <c r="E527" s="228" t="n"/>
      <c r="F527" s="192" t="n"/>
      <c r="G527" s="227" t="n"/>
      <c r="H527" s="227" t="n"/>
    </row>
    <row r="528">
      <c r="B528" s="227" t="n"/>
      <c r="C528" s="227" t="n"/>
      <c r="D528" s="227" t="n"/>
      <c r="E528" s="228" t="n"/>
      <c r="F528" s="192" t="n"/>
      <c r="G528" s="227" t="n"/>
      <c r="H528" s="227" t="n"/>
    </row>
    <row r="529">
      <c r="B529" s="227" t="n"/>
      <c r="C529" s="227" t="n"/>
      <c r="D529" s="227" t="n"/>
      <c r="E529" s="228" t="n"/>
      <c r="F529" s="192" t="n"/>
      <c r="G529" s="227" t="n"/>
      <c r="H529" s="227" t="n"/>
    </row>
    <row r="530">
      <c r="B530" s="227" t="n"/>
      <c r="C530" s="227" t="n"/>
      <c r="D530" s="227" t="n"/>
      <c r="E530" s="228" t="n"/>
      <c r="F530" s="192" t="n"/>
      <c r="G530" s="227" t="n"/>
      <c r="H530" s="227" t="n"/>
    </row>
    <row r="531">
      <c r="B531" s="227" t="n"/>
      <c r="C531" s="227" t="n"/>
      <c r="D531" s="227" t="n"/>
      <c r="E531" s="228" t="n"/>
      <c r="F531" s="192" t="n"/>
      <c r="G531" s="227" t="n"/>
      <c r="H531" s="227" t="n"/>
    </row>
    <row r="532">
      <c r="B532" s="227" t="n"/>
      <c r="C532" s="227" t="n"/>
      <c r="D532" s="227" t="n"/>
      <c r="E532" s="228" t="n"/>
      <c r="F532" s="192" t="n"/>
      <c r="G532" s="227" t="n"/>
      <c r="H532" s="227" t="n"/>
    </row>
    <row r="533">
      <c r="B533" s="227" t="n"/>
      <c r="C533" s="227" t="n"/>
      <c r="D533" s="227" t="n"/>
      <c r="E533" s="228" t="n"/>
      <c r="F533" s="192" t="n"/>
      <c r="G533" s="227" t="n"/>
      <c r="H533" s="227" t="n"/>
    </row>
    <row r="534">
      <c r="B534" s="227" t="n"/>
      <c r="C534" s="227" t="n"/>
      <c r="D534" s="227" t="n"/>
      <c r="E534" s="228" t="n"/>
      <c r="F534" s="192" t="n"/>
      <c r="G534" s="227" t="n"/>
      <c r="H534" s="227" t="n"/>
    </row>
    <row r="535">
      <c r="B535" s="227" t="n"/>
      <c r="C535" s="227" t="n"/>
      <c r="D535" s="227" t="n"/>
      <c r="E535" s="228" t="n"/>
      <c r="F535" s="192" t="n"/>
      <c r="G535" s="227" t="n"/>
      <c r="H535" s="227" t="n"/>
    </row>
    <row r="536">
      <c r="B536" s="227" t="n"/>
      <c r="C536" s="227" t="n"/>
      <c r="D536" s="227" t="n"/>
      <c r="E536" s="228" t="n"/>
      <c r="F536" s="192" t="n"/>
      <c r="G536" s="227" t="n"/>
      <c r="H536" s="227" t="n"/>
    </row>
    <row r="537">
      <c r="B537" s="227" t="n"/>
      <c r="C537" s="227" t="n"/>
      <c r="D537" s="227" t="n"/>
      <c r="E537" s="228" t="n"/>
      <c r="F537" s="192" t="n"/>
      <c r="G537" s="227" t="n"/>
      <c r="H537" s="227" t="n"/>
    </row>
    <row r="538">
      <c r="B538" s="227" t="n"/>
      <c r="C538" s="227" t="n"/>
      <c r="D538" s="227" t="n"/>
      <c r="E538" s="228" t="n"/>
      <c r="F538" s="192" t="n"/>
      <c r="G538" s="227" t="n"/>
      <c r="H538" s="227" t="n"/>
    </row>
    <row r="539">
      <c r="B539" s="227" t="n"/>
      <c r="C539" s="227" t="n"/>
      <c r="D539" s="227" t="n"/>
      <c r="E539" s="228" t="n"/>
      <c r="F539" s="192" t="n"/>
      <c r="G539" s="227" t="n"/>
      <c r="H539" s="227" t="n"/>
    </row>
    <row r="540">
      <c r="B540" s="227" t="n"/>
      <c r="C540" s="227" t="n"/>
      <c r="D540" s="227" t="n"/>
      <c r="E540" s="228" t="n"/>
      <c r="F540" s="192" t="n"/>
      <c r="G540" s="227" t="n"/>
      <c r="H540" s="227" t="n"/>
    </row>
    <row r="541">
      <c r="B541" s="227" t="n"/>
      <c r="C541" s="227" t="n"/>
      <c r="D541" s="227" t="n"/>
      <c r="E541" s="228" t="n"/>
      <c r="F541" s="192" t="n"/>
      <c r="G541" s="227" t="n"/>
      <c r="H541" s="227" t="n"/>
    </row>
    <row r="542">
      <c r="B542" s="227" t="n"/>
      <c r="C542" s="227" t="n"/>
      <c r="D542" s="227" t="n"/>
      <c r="E542" s="228" t="n"/>
      <c r="F542" s="192" t="n"/>
      <c r="G542" s="227" t="n"/>
      <c r="H542" s="227" t="n"/>
    </row>
    <row r="543">
      <c r="B543" s="227" t="n"/>
      <c r="C543" s="227" t="n"/>
      <c r="D543" s="227" t="n"/>
      <c r="E543" s="228" t="n"/>
      <c r="F543" s="192" t="n"/>
      <c r="G543" s="227" t="n"/>
      <c r="H543" s="227" t="n"/>
    </row>
    <row r="544">
      <c r="B544" s="227" t="n"/>
      <c r="C544" s="227" t="n"/>
      <c r="D544" s="227" t="n"/>
      <c r="E544" s="228" t="n"/>
      <c r="F544" s="192" t="n"/>
      <c r="G544" s="227" t="n"/>
      <c r="H544" s="227" t="n"/>
    </row>
    <row r="545">
      <c r="B545" s="227" t="n"/>
      <c r="C545" s="227" t="n"/>
      <c r="D545" s="227" t="n"/>
      <c r="E545" s="228" t="n"/>
      <c r="F545" s="192" t="n"/>
      <c r="G545" s="227" t="n"/>
      <c r="H545" s="227" t="n"/>
    </row>
    <row r="546">
      <c r="B546" s="227" t="n"/>
      <c r="C546" s="227" t="n"/>
      <c r="D546" s="227" t="n"/>
      <c r="E546" s="228" t="n"/>
      <c r="F546" s="192" t="n"/>
      <c r="G546" s="227" t="n"/>
      <c r="H546" s="227" t="n"/>
    </row>
    <row r="547">
      <c r="B547" s="227" t="n"/>
      <c r="C547" s="227" t="n"/>
      <c r="D547" s="227" t="n"/>
      <c r="E547" s="228" t="n"/>
      <c r="F547" s="192" t="n"/>
      <c r="G547" s="227" t="n"/>
      <c r="H547" s="227" t="n"/>
    </row>
    <row r="548">
      <c r="B548" s="227" t="n"/>
      <c r="C548" s="227" t="n"/>
      <c r="D548" s="227" t="n"/>
      <c r="E548" s="228" t="n"/>
      <c r="F548" s="192" t="n"/>
      <c r="G548" s="227" t="n"/>
      <c r="H548" s="227" t="n"/>
    </row>
    <row r="549">
      <c r="B549" s="227" t="n"/>
      <c r="C549" s="227" t="n"/>
      <c r="D549" s="227" t="n"/>
      <c r="E549" s="228" t="n"/>
      <c r="F549" s="192" t="n"/>
      <c r="G549" s="227" t="n"/>
      <c r="H549" s="227" t="n"/>
    </row>
    <row r="550">
      <c r="B550" s="227" t="n"/>
      <c r="C550" s="227" t="n"/>
      <c r="D550" s="227" t="n"/>
      <c r="E550" s="228" t="n"/>
      <c r="F550" s="192" t="n"/>
      <c r="G550" s="227" t="n"/>
      <c r="H550" s="227" t="n"/>
    </row>
    <row r="551">
      <c r="B551" s="227" t="n"/>
      <c r="C551" s="227" t="n"/>
      <c r="D551" s="227" t="n"/>
      <c r="E551" s="228" t="n"/>
      <c r="F551" s="192" t="n"/>
      <c r="G551" s="227" t="n"/>
      <c r="H551" s="227" t="n"/>
    </row>
    <row r="552">
      <c r="B552" s="227" t="n"/>
      <c r="C552" s="227" t="n"/>
      <c r="D552" s="227" t="n"/>
      <c r="E552" s="228" t="n"/>
      <c r="F552" s="192" t="n"/>
      <c r="G552" s="227" t="n"/>
      <c r="H552" s="227" t="n"/>
    </row>
    <row r="553">
      <c r="B553" s="227" t="n"/>
      <c r="C553" s="227" t="n"/>
      <c r="D553" s="227" t="n"/>
      <c r="E553" s="228" t="n"/>
      <c r="F553" s="192" t="n"/>
      <c r="G553" s="227" t="n"/>
      <c r="H553" s="227" t="n"/>
    </row>
    <row r="554">
      <c r="B554" s="227" t="n"/>
      <c r="C554" s="227" t="n"/>
      <c r="D554" s="227" t="n"/>
      <c r="E554" s="228" t="n"/>
      <c r="F554" s="192" t="n"/>
      <c r="G554" s="227" t="n"/>
      <c r="H554" s="227" t="n"/>
    </row>
    <row r="555">
      <c r="B555" s="227" t="n"/>
      <c r="C555" s="227" t="n"/>
      <c r="D555" s="227" t="n"/>
      <c r="E555" s="228" t="n"/>
      <c r="F555" s="192" t="n"/>
      <c r="G555" s="227" t="n"/>
      <c r="H555" s="227" t="n"/>
    </row>
    <row r="556">
      <c r="B556" s="227" t="n"/>
      <c r="C556" s="227" t="n"/>
      <c r="D556" s="227" t="n"/>
      <c r="E556" s="228" t="n"/>
      <c r="F556" s="192" t="n"/>
      <c r="G556" s="227" t="n"/>
      <c r="H556" s="227" t="n"/>
    </row>
    <row r="557">
      <c r="B557" s="227" t="n"/>
      <c r="C557" s="227" t="n"/>
      <c r="D557" s="227" t="n"/>
      <c r="E557" s="228" t="n"/>
      <c r="F557" s="192" t="n"/>
      <c r="G557" s="227" t="n"/>
      <c r="H557" s="227" t="n"/>
    </row>
    <row r="558">
      <c r="B558" s="227" t="n"/>
      <c r="C558" s="227" t="n"/>
      <c r="D558" s="227" t="n"/>
      <c r="E558" s="228" t="n"/>
      <c r="F558" s="192" t="n"/>
      <c r="G558" s="227" t="n"/>
      <c r="H558" s="227" t="n"/>
    </row>
    <row r="559">
      <c r="B559" s="227" t="n"/>
      <c r="C559" s="227" t="n"/>
      <c r="D559" s="227" t="n"/>
      <c r="E559" s="228" t="n"/>
      <c r="F559" s="192" t="n"/>
      <c r="G559" s="227" t="n"/>
      <c r="H559" s="227" t="n"/>
    </row>
    <row r="560">
      <c r="B560" s="227" t="n"/>
      <c r="C560" s="227" t="n"/>
      <c r="D560" s="227" t="n"/>
      <c r="E560" s="228" t="n"/>
      <c r="F560" s="192" t="n"/>
      <c r="G560" s="227" t="n"/>
      <c r="H560" s="227" t="n"/>
    </row>
    <row r="561">
      <c r="B561" s="227" t="n"/>
      <c r="C561" s="227" t="n"/>
      <c r="D561" s="227" t="n"/>
      <c r="E561" s="228" t="n"/>
      <c r="F561" s="192" t="n"/>
      <c r="G561" s="227" t="n"/>
      <c r="H561" s="227" t="n"/>
    </row>
    <row r="562">
      <c r="B562" s="227" t="n"/>
      <c r="C562" s="227" t="n"/>
      <c r="D562" s="227" t="n"/>
      <c r="E562" s="228" t="n"/>
      <c r="F562" s="192" t="n"/>
      <c r="G562" s="227" t="n"/>
      <c r="H562" s="227" t="n"/>
    </row>
    <row r="563">
      <c r="B563" s="227" t="n"/>
      <c r="C563" s="227" t="n"/>
      <c r="D563" s="227" t="n"/>
      <c r="E563" s="228" t="n"/>
      <c r="F563" s="192" t="n"/>
      <c r="G563" s="227" t="n"/>
      <c r="H563" s="227" t="n"/>
    </row>
    <row r="564">
      <c r="B564" s="227" t="n"/>
      <c r="C564" s="227" t="n"/>
      <c r="D564" s="227" t="n"/>
      <c r="E564" s="228" t="n"/>
      <c r="F564" s="192" t="n"/>
      <c r="G564" s="227" t="n"/>
      <c r="H564" s="227" t="n"/>
    </row>
    <row r="565">
      <c r="B565" s="227" t="n"/>
      <c r="C565" s="227" t="n"/>
      <c r="D565" s="227" t="n"/>
      <c r="E565" s="228" t="n"/>
      <c r="F565" s="192" t="n"/>
      <c r="G565" s="227" t="n"/>
      <c r="H565" s="227" t="n"/>
    </row>
    <row r="566">
      <c r="B566" s="227" t="n"/>
      <c r="C566" s="227" t="n"/>
      <c r="D566" s="227" t="n"/>
      <c r="E566" s="228" t="n"/>
      <c r="F566" s="192" t="n"/>
      <c r="G566" s="227" t="n"/>
      <c r="H566" s="227" t="n"/>
    </row>
    <row r="567">
      <c r="B567" s="227" t="n"/>
      <c r="C567" s="227" t="n"/>
      <c r="D567" s="227" t="n"/>
      <c r="E567" s="228" t="n"/>
      <c r="F567" s="192" t="n"/>
      <c r="G567" s="227" t="n"/>
      <c r="H567" s="227" t="n"/>
    </row>
    <row r="568">
      <c r="B568" s="227" t="n"/>
      <c r="C568" s="227" t="n"/>
      <c r="D568" s="227" t="n"/>
      <c r="E568" s="228" t="n"/>
      <c r="F568" s="192" t="n"/>
      <c r="G568" s="227" t="n"/>
      <c r="H568" s="227" t="n"/>
    </row>
    <row r="569">
      <c r="B569" s="227" t="n"/>
      <c r="C569" s="227" t="n"/>
      <c r="D569" s="227" t="n"/>
      <c r="E569" s="228" t="n"/>
      <c r="F569" s="192" t="n"/>
      <c r="G569" s="227" t="n"/>
      <c r="H569" s="227" t="n"/>
    </row>
    <row r="570">
      <c r="B570" s="227" t="n"/>
      <c r="C570" s="227" t="n"/>
      <c r="D570" s="227" t="n"/>
      <c r="E570" s="228" t="n"/>
      <c r="F570" s="192" t="n"/>
      <c r="G570" s="227" t="n"/>
      <c r="H570" s="227" t="n"/>
    </row>
    <row r="571">
      <c r="B571" s="227" t="n"/>
      <c r="C571" s="227" t="n"/>
      <c r="D571" s="227" t="n"/>
      <c r="E571" s="228" t="n"/>
      <c r="F571" s="192" t="n"/>
      <c r="G571" s="227" t="n"/>
      <c r="H571" s="227" t="n"/>
    </row>
    <row r="572">
      <c r="B572" s="227" t="n"/>
      <c r="C572" s="227" t="n"/>
      <c r="D572" s="227" t="n"/>
      <c r="E572" s="228" t="n"/>
      <c r="F572" s="192" t="n"/>
      <c r="G572" s="227" t="n"/>
      <c r="H572" s="227" t="n"/>
    </row>
    <row r="573">
      <c r="B573" s="227" t="n"/>
      <c r="C573" s="227" t="n"/>
      <c r="D573" s="227" t="n"/>
      <c r="E573" s="228" t="n"/>
      <c r="F573" s="192" t="n"/>
      <c r="G573" s="227" t="n"/>
      <c r="H573" s="227" t="n"/>
    </row>
    <row r="574">
      <c r="B574" s="227" t="n"/>
      <c r="C574" s="227" t="n"/>
      <c r="D574" s="227" t="n"/>
      <c r="E574" s="228" t="n"/>
      <c r="F574" s="192" t="n"/>
      <c r="G574" s="227" t="n"/>
      <c r="H574" s="227" t="n"/>
    </row>
    <row r="575">
      <c r="B575" s="227" t="n"/>
      <c r="C575" s="227" t="n"/>
      <c r="D575" s="227" t="n"/>
      <c r="E575" s="228" t="n"/>
      <c r="F575" s="192" t="n"/>
      <c r="G575" s="227" t="n"/>
      <c r="H575" s="227" t="n"/>
    </row>
    <row r="576">
      <c r="B576" s="227" t="n"/>
      <c r="C576" s="227" t="n"/>
      <c r="D576" s="227" t="n"/>
      <c r="E576" s="228" t="n"/>
      <c r="F576" s="192" t="n"/>
      <c r="G576" s="227" t="n"/>
      <c r="H576" s="227" t="n"/>
    </row>
    <row r="577">
      <c r="B577" s="227" t="n"/>
      <c r="C577" s="227" t="n"/>
      <c r="D577" s="227" t="n"/>
      <c r="E577" s="228" t="n"/>
      <c r="F577" s="192" t="n"/>
      <c r="G577" s="227" t="n"/>
      <c r="H577" s="227" t="n"/>
    </row>
    <row r="578">
      <c r="B578" s="227" t="n"/>
      <c r="C578" s="227" t="n"/>
      <c r="D578" s="227" t="n"/>
      <c r="E578" s="228" t="n"/>
      <c r="F578" s="192" t="n"/>
      <c r="G578" s="227" t="n"/>
      <c r="H578" s="227" t="n"/>
    </row>
    <row r="579">
      <c r="B579" s="227" t="n"/>
      <c r="C579" s="227" t="n"/>
      <c r="D579" s="227" t="n"/>
      <c r="E579" s="228" t="n"/>
      <c r="F579" s="192" t="n"/>
      <c r="G579" s="227" t="n"/>
      <c r="H579" s="227" t="n"/>
    </row>
    <row r="580">
      <c r="B580" s="227" t="n"/>
      <c r="C580" s="227" t="n"/>
      <c r="D580" s="227" t="n"/>
      <c r="E580" s="228" t="n"/>
      <c r="F580" s="192" t="n"/>
      <c r="G580" s="227" t="n"/>
      <c r="H580" s="227" t="n"/>
    </row>
    <row r="581">
      <c r="B581" s="227" t="n"/>
      <c r="C581" s="227" t="n"/>
      <c r="D581" s="227" t="n"/>
      <c r="E581" s="228" t="n"/>
      <c r="F581" s="192" t="n"/>
      <c r="G581" s="227" t="n"/>
      <c r="H581" s="227" t="n"/>
    </row>
    <row r="582">
      <c r="B582" s="227" t="n"/>
      <c r="C582" s="227" t="n"/>
      <c r="D582" s="227" t="n"/>
      <c r="E582" s="228" t="n"/>
      <c r="F582" s="192" t="n"/>
      <c r="G582" s="227" t="n"/>
      <c r="H582" s="227" t="n"/>
    </row>
    <row r="583">
      <c r="B583" s="227" t="n"/>
      <c r="C583" s="227" t="n"/>
      <c r="D583" s="227" t="n"/>
      <c r="E583" s="228" t="n"/>
      <c r="F583" s="192" t="n"/>
      <c r="G583" s="227" t="n"/>
      <c r="H583" s="227" t="n"/>
    </row>
    <row r="584">
      <c r="B584" s="227" t="n"/>
      <c r="C584" s="227" t="n"/>
      <c r="D584" s="227" t="n"/>
      <c r="E584" s="228" t="n"/>
      <c r="F584" s="192" t="n"/>
      <c r="G584" s="227" t="n"/>
      <c r="H584" s="227" t="n"/>
    </row>
    <row r="585">
      <c r="B585" s="227" t="n"/>
      <c r="C585" s="227" t="n"/>
      <c r="D585" s="227" t="n"/>
      <c r="E585" s="228" t="n"/>
      <c r="F585" s="192" t="n"/>
      <c r="G585" s="227" t="n"/>
      <c r="H585" s="227" t="n"/>
    </row>
    <row r="586">
      <c r="B586" s="227" t="n"/>
      <c r="C586" s="227" t="n"/>
      <c r="D586" s="227" t="n"/>
      <c r="E586" s="228" t="n"/>
      <c r="F586" s="192" t="n"/>
      <c r="G586" s="227" t="n"/>
      <c r="H586" s="227" t="n"/>
    </row>
    <row r="587">
      <c r="B587" s="227" t="n"/>
      <c r="C587" s="227" t="n"/>
      <c r="D587" s="227" t="n"/>
      <c r="E587" s="228" t="n"/>
      <c r="F587" s="192" t="n"/>
      <c r="G587" s="227" t="n"/>
      <c r="H587" s="227" t="n"/>
    </row>
    <row r="588">
      <c r="B588" s="227" t="n"/>
      <c r="C588" s="227" t="n"/>
      <c r="D588" s="227" t="n"/>
      <c r="E588" s="228" t="n"/>
      <c r="F588" s="192" t="n"/>
      <c r="G588" s="227" t="n"/>
      <c r="H588" s="227" t="n"/>
    </row>
    <row r="589">
      <c r="B589" s="227" t="n"/>
      <c r="C589" s="227" t="n"/>
      <c r="D589" s="227" t="n"/>
      <c r="E589" s="228" t="n"/>
      <c r="F589" s="192" t="n"/>
      <c r="G589" s="227" t="n"/>
      <c r="H589" s="227" t="n"/>
    </row>
    <row r="590">
      <c r="B590" s="227" t="n"/>
      <c r="C590" s="227" t="n"/>
      <c r="D590" s="227" t="n"/>
      <c r="E590" s="228" t="n"/>
      <c r="F590" s="192" t="n"/>
      <c r="G590" s="227" t="n"/>
      <c r="H590" s="227" t="n"/>
    </row>
    <row r="591">
      <c r="B591" s="227" t="n"/>
      <c r="C591" s="227" t="n"/>
      <c r="D591" s="227" t="n"/>
      <c r="E591" s="228" t="n"/>
      <c r="F591" s="192" t="n"/>
      <c r="G591" s="227" t="n"/>
      <c r="H591" s="227" t="n"/>
    </row>
    <row r="592">
      <c r="B592" s="227" t="n"/>
      <c r="C592" s="227" t="n"/>
      <c r="D592" s="227" t="n"/>
      <c r="E592" s="228" t="n"/>
      <c r="F592" s="192" t="n"/>
      <c r="G592" s="227" t="n"/>
      <c r="H592" s="227" t="n"/>
    </row>
    <row r="593">
      <c r="B593" s="227" t="n"/>
      <c r="C593" s="227" t="n"/>
      <c r="D593" s="227" t="n"/>
      <c r="E593" s="228" t="n"/>
      <c r="F593" s="192" t="n"/>
      <c r="G593" s="227" t="n"/>
      <c r="H593" s="227" t="n"/>
    </row>
    <row r="594">
      <c r="B594" s="227" t="n"/>
      <c r="C594" s="227" t="n"/>
      <c r="D594" s="227" t="n"/>
      <c r="E594" s="228" t="n"/>
      <c r="F594" s="192" t="n"/>
      <c r="G594" s="227" t="n"/>
      <c r="H594" s="227" t="n"/>
    </row>
    <row r="595">
      <c r="B595" s="227" t="n"/>
      <c r="C595" s="227" t="n"/>
      <c r="D595" s="227" t="n"/>
      <c r="E595" s="228" t="n"/>
      <c r="F595" s="192" t="n"/>
      <c r="G595" s="227" t="n"/>
      <c r="H595" s="227" t="n"/>
    </row>
    <row r="596">
      <c r="B596" s="227" t="n"/>
      <c r="C596" s="227" t="n"/>
      <c r="D596" s="227" t="n"/>
      <c r="E596" s="228" t="n"/>
      <c r="F596" s="192" t="n"/>
      <c r="G596" s="227" t="n"/>
      <c r="H596" s="227" t="n"/>
    </row>
    <row r="597">
      <c r="B597" s="227" t="n"/>
      <c r="C597" s="227" t="n"/>
      <c r="D597" s="227" t="n"/>
      <c r="E597" s="228" t="n"/>
      <c r="F597" s="192" t="n"/>
      <c r="G597" s="227" t="n"/>
      <c r="H597" s="227" t="n"/>
    </row>
    <row r="598">
      <c r="B598" s="227" t="n"/>
      <c r="C598" s="227" t="n"/>
      <c r="D598" s="227" t="n"/>
      <c r="E598" s="228" t="n"/>
      <c r="F598" s="192" t="n"/>
      <c r="G598" s="227" t="n"/>
      <c r="H598" s="227" t="n"/>
    </row>
    <row r="599">
      <c r="B599" s="227" t="n"/>
      <c r="C599" s="227" t="n"/>
      <c r="D599" s="227" t="n"/>
      <c r="E599" s="228" t="n"/>
      <c r="F599" s="192" t="n"/>
      <c r="G599" s="227" t="n"/>
      <c r="H599" s="227" t="n"/>
    </row>
    <row r="600">
      <c r="B600" s="227" t="n"/>
      <c r="C600" s="227" t="n"/>
      <c r="D600" s="227" t="n"/>
      <c r="E600" s="228" t="n"/>
      <c r="F600" s="192" t="n"/>
      <c r="G600" s="227" t="n"/>
      <c r="H600" s="227" t="n"/>
    </row>
    <row r="601">
      <c r="B601" s="227" t="n"/>
      <c r="C601" s="227" t="n"/>
      <c r="D601" s="227" t="n"/>
      <c r="E601" s="228" t="n"/>
      <c r="F601" s="192" t="n"/>
      <c r="G601" s="227" t="n"/>
      <c r="H601" s="227" t="n"/>
    </row>
    <row r="602">
      <c r="B602" s="227" t="n"/>
      <c r="C602" s="227" t="n"/>
      <c r="D602" s="227" t="n"/>
      <c r="E602" s="228" t="n"/>
      <c r="F602" s="192" t="n"/>
      <c r="G602" s="227" t="n"/>
      <c r="H602" s="227" t="n"/>
    </row>
    <row r="603">
      <c r="B603" s="227" t="n"/>
      <c r="C603" s="227" t="n"/>
      <c r="D603" s="227" t="n"/>
      <c r="E603" s="228" t="n"/>
      <c r="F603" s="192" t="n"/>
      <c r="G603" s="227" t="n"/>
      <c r="H603" s="227" t="n"/>
    </row>
    <row r="604">
      <c r="B604" s="227" t="n"/>
      <c r="C604" s="227" t="n"/>
      <c r="D604" s="227" t="n"/>
      <c r="E604" s="228" t="n"/>
      <c r="F604" s="192" t="n"/>
      <c r="G604" s="227" t="n"/>
      <c r="H604" s="227" t="n"/>
    </row>
    <row r="605">
      <c r="B605" s="227" t="n"/>
      <c r="C605" s="227" t="n"/>
      <c r="D605" s="227" t="n"/>
      <c r="E605" s="228" t="n"/>
      <c r="F605" s="192" t="n"/>
      <c r="G605" s="227" t="n"/>
      <c r="H605" s="227" t="n"/>
    </row>
    <row r="606">
      <c r="B606" s="227" t="n"/>
      <c r="C606" s="227" t="n"/>
      <c r="D606" s="227" t="n"/>
      <c r="E606" s="228" t="n"/>
      <c r="F606" s="192" t="n"/>
      <c r="G606" s="227" t="n"/>
      <c r="H606" s="227" t="n"/>
    </row>
    <row r="607">
      <c r="B607" s="227" t="n"/>
      <c r="C607" s="227" t="n"/>
      <c r="D607" s="227" t="n"/>
      <c r="E607" s="228" t="n"/>
      <c r="F607" s="192" t="n"/>
      <c r="G607" s="227" t="n"/>
      <c r="H607" s="227" t="n"/>
    </row>
    <row r="608">
      <c r="B608" s="227" t="n"/>
      <c r="C608" s="227" t="n"/>
      <c r="D608" s="227" t="n"/>
      <c r="E608" s="228" t="n"/>
      <c r="F608" s="192" t="n"/>
      <c r="G608" s="227" t="n"/>
      <c r="H608" s="227" t="n"/>
    </row>
    <row r="609">
      <c r="B609" s="227" t="n"/>
      <c r="C609" s="227" t="n"/>
      <c r="D609" s="227" t="n"/>
      <c r="E609" s="228" t="n"/>
      <c r="F609" s="192" t="n"/>
      <c r="G609" s="227" t="n"/>
      <c r="H609" s="227" t="n"/>
    </row>
    <row r="610">
      <c r="B610" s="227" t="n"/>
      <c r="C610" s="227" t="n"/>
      <c r="D610" s="227" t="n"/>
      <c r="E610" s="228" t="n"/>
      <c r="F610" s="192" t="n"/>
      <c r="G610" s="227" t="n"/>
      <c r="H610" s="227" t="n"/>
    </row>
    <row r="611">
      <c r="B611" s="227" t="n"/>
      <c r="C611" s="227" t="n"/>
      <c r="D611" s="227" t="n"/>
      <c r="E611" s="228" t="n"/>
      <c r="F611" s="192" t="n"/>
      <c r="G611" s="227" t="n"/>
      <c r="H611" s="227" t="n"/>
    </row>
    <row r="612">
      <c r="B612" s="227" t="n"/>
      <c r="C612" s="227" t="n"/>
      <c r="D612" s="227" t="n"/>
      <c r="E612" s="228" t="n"/>
      <c r="F612" s="192" t="n"/>
      <c r="G612" s="227" t="n"/>
      <c r="H612" s="227" t="n"/>
    </row>
    <row r="613">
      <c r="B613" s="227" t="n"/>
      <c r="C613" s="227" t="n"/>
      <c r="D613" s="227" t="n"/>
      <c r="E613" s="228" t="n"/>
      <c r="F613" s="192" t="n"/>
      <c r="G613" s="227" t="n"/>
      <c r="H613" s="227" t="n"/>
    </row>
    <row r="614">
      <c r="B614" s="227" t="n"/>
      <c r="C614" s="227" t="n"/>
      <c r="D614" s="227" t="n"/>
      <c r="E614" s="228" t="n"/>
      <c r="F614" s="192" t="n"/>
      <c r="G614" s="227" t="n"/>
      <c r="H614" s="227" t="n"/>
    </row>
    <row r="615">
      <c r="B615" s="227" t="n"/>
      <c r="C615" s="227" t="n"/>
      <c r="D615" s="227" t="n"/>
      <c r="E615" s="228" t="n"/>
      <c r="F615" s="192" t="n"/>
      <c r="G615" s="227" t="n"/>
      <c r="H615" s="227" t="n"/>
    </row>
    <row r="616">
      <c r="B616" s="227" t="n"/>
      <c r="C616" s="227" t="n"/>
      <c r="D616" s="227" t="n"/>
      <c r="E616" s="228" t="n"/>
      <c r="F616" s="192" t="n"/>
      <c r="G616" s="227" t="n"/>
      <c r="H616" s="227" t="n"/>
    </row>
    <row r="617">
      <c r="B617" s="227" t="n"/>
      <c r="C617" s="227" t="n"/>
      <c r="D617" s="227" t="n"/>
      <c r="E617" s="228" t="n"/>
      <c r="F617" s="192" t="n"/>
      <c r="G617" s="227" t="n"/>
      <c r="H617" s="227" t="n"/>
    </row>
    <row r="618">
      <c r="B618" s="227" t="n"/>
      <c r="C618" s="227" t="n"/>
      <c r="D618" s="227" t="n"/>
      <c r="E618" s="228" t="n"/>
      <c r="F618" s="192" t="n"/>
      <c r="G618" s="227" t="n"/>
      <c r="H618" s="227" t="n"/>
    </row>
    <row r="619">
      <c r="B619" s="227" t="n"/>
      <c r="C619" s="227" t="n"/>
      <c r="D619" s="227" t="n"/>
      <c r="E619" s="228" t="n"/>
      <c r="F619" s="192" t="n"/>
      <c r="G619" s="227" t="n"/>
      <c r="H619" s="227" t="n"/>
    </row>
    <row r="620">
      <c r="B620" s="227" t="n"/>
      <c r="C620" s="227" t="n"/>
      <c r="D620" s="227" t="n"/>
      <c r="E620" s="228" t="n"/>
      <c r="F620" s="192" t="n"/>
      <c r="G620" s="227" t="n"/>
      <c r="H620" s="227" t="n"/>
    </row>
    <row r="621">
      <c r="B621" s="227" t="n"/>
      <c r="C621" s="227" t="n"/>
      <c r="D621" s="227" t="n"/>
      <c r="E621" s="228" t="n"/>
      <c r="F621" s="192" t="n"/>
      <c r="G621" s="227" t="n"/>
      <c r="H621" s="227" t="n"/>
    </row>
    <row r="622">
      <c r="B622" s="227" t="n"/>
      <c r="C622" s="227" t="n"/>
      <c r="D622" s="227" t="n"/>
      <c r="E622" s="228" t="n"/>
      <c r="F622" s="192" t="n"/>
      <c r="G622" s="227" t="n"/>
      <c r="H622" s="227" t="n"/>
    </row>
    <row r="623">
      <c r="B623" s="227" t="n"/>
      <c r="C623" s="227" t="n"/>
      <c r="D623" s="227" t="n"/>
      <c r="E623" s="228" t="n"/>
      <c r="F623" s="192" t="n"/>
      <c r="G623" s="227" t="n"/>
      <c r="H623" s="227" t="n"/>
    </row>
    <row r="624">
      <c r="B624" s="227" t="n"/>
      <c r="C624" s="227" t="n"/>
      <c r="D624" s="227" t="n"/>
      <c r="E624" s="228" t="n"/>
      <c r="F624" s="192" t="n"/>
      <c r="G624" s="227" t="n"/>
      <c r="H624" s="227" t="n"/>
    </row>
    <row r="625">
      <c r="B625" s="227" t="n"/>
      <c r="C625" s="227" t="n"/>
      <c r="D625" s="227" t="n"/>
      <c r="E625" s="228" t="n"/>
      <c r="F625" s="192" t="n"/>
      <c r="G625" s="227" t="n"/>
      <c r="H625" s="227" t="n"/>
    </row>
    <row r="626">
      <c r="B626" s="227" t="n"/>
      <c r="C626" s="227" t="n"/>
      <c r="D626" s="227" t="n"/>
      <c r="E626" s="228" t="n"/>
      <c r="F626" s="192" t="n"/>
      <c r="G626" s="227" t="n"/>
      <c r="H626" s="227" t="n"/>
    </row>
    <row r="627">
      <c r="B627" s="227" t="n"/>
      <c r="C627" s="227" t="n"/>
      <c r="D627" s="227" t="n"/>
      <c r="E627" s="228" t="n"/>
      <c r="F627" s="192" t="n"/>
      <c r="G627" s="227" t="n"/>
      <c r="H627" s="227" t="n"/>
    </row>
    <row r="628">
      <c r="B628" s="227" t="n"/>
      <c r="C628" s="227" t="n"/>
      <c r="D628" s="227" t="n"/>
      <c r="E628" s="228" t="n"/>
      <c r="F628" s="192" t="n"/>
      <c r="G628" s="227" t="n"/>
      <c r="H628" s="227" t="n"/>
    </row>
    <row r="629">
      <c r="B629" s="227" t="n"/>
      <c r="C629" s="227" t="n"/>
      <c r="D629" s="227" t="n"/>
      <c r="E629" s="228" t="n"/>
      <c r="F629" s="192" t="n"/>
      <c r="G629" s="227" t="n"/>
      <c r="H629" s="227" t="n"/>
    </row>
    <row r="630">
      <c r="B630" s="227" t="n"/>
      <c r="C630" s="227" t="n"/>
      <c r="D630" s="227" t="n"/>
      <c r="E630" s="228" t="n"/>
      <c r="F630" s="192" t="n"/>
      <c r="G630" s="227" t="n"/>
      <c r="H630" s="227" t="n"/>
    </row>
    <row r="631">
      <c r="B631" s="227" t="n"/>
      <c r="C631" s="227" t="n"/>
      <c r="D631" s="227" t="n"/>
      <c r="E631" s="228" t="n"/>
      <c r="F631" s="192" t="n"/>
      <c r="G631" s="227" t="n"/>
      <c r="H631" s="227" t="n"/>
    </row>
    <row r="632">
      <c r="B632" s="227" t="n"/>
      <c r="C632" s="227" t="n"/>
      <c r="D632" s="227" t="n"/>
      <c r="E632" s="228" t="n"/>
      <c r="F632" s="192" t="n"/>
      <c r="G632" s="227" t="n"/>
      <c r="H632" s="227" t="n"/>
    </row>
    <row r="633">
      <c r="B633" s="227" t="n"/>
      <c r="C633" s="227" t="n"/>
      <c r="D633" s="227" t="n"/>
      <c r="E633" s="228" t="n"/>
      <c r="F633" s="192" t="n"/>
      <c r="G633" s="227" t="n"/>
      <c r="H633" s="227" t="n"/>
    </row>
    <row r="634">
      <c r="B634" s="227" t="n"/>
      <c r="C634" s="227" t="n"/>
      <c r="D634" s="227" t="n"/>
      <c r="E634" s="228" t="n"/>
      <c r="F634" s="192" t="n"/>
      <c r="G634" s="227" t="n"/>
      <c r="H634" s="227" t="n"/>
    </row>
    <row r="635">
      <c r="B635" s="227" t="n"/>
      <c r="C635" s="227" t="n"/>
      <c r="D635" s="227" t="n"/>
      <c r="E635" s="228" t="n"/>
      <c r="F635" s="192" t="n"/>
      <c r="G635" s="227" t="n"/>
      <c r="H635" s="227" t="n"/>
    </row>
    <row r="636">
      <c r="B636" s="227" t="n"/>
      <c r="C636" s="227" t="n"/>
      <c r="D636" s="227" t="n"/>
      <c r="E636" s="228" t="n"/>
      <c r="F636" s="192" t="n"/>
      <c r="G636" s="227" t="n"/>
      <c r="H636" s="227" t="n"/>
    </row>
    <row r="637">
      <c r="B637" s="227" t="n"/>
      <c r="C637" s="227" t="n"/>
      <c r="D637" s="227" t="n"/>
      <c r="E637" s="228" t="n"/>
      <c r="F637" s="192" t="n"/>
      <c r="G637" s="227" t="n"/>
      <c r="H637" s="227" t="n"/>
    </row>
    <row r="638">
      <c r="B638" s="227" t="n"/>
      <c r="C638" s="227" t="n"/>
      <c r="D638" s="227" t="n"/>
      <c r="E638" s="228" t="n"/>
      <c r="F638" s="192" t="n"/>
      <c r="G638" s="227" t="n"/>
      <c r="H638" s="227" t="n"/>
    </row>
    <row r="639">
      <c r="B639" s="227" t="n"/>
      <c r="C639" s="227" t="n"/>
      <c r="D639" s="227" t="n"/>
      <c r="E639" s="228" t="n"/>
      <c r="F639" s="192" t="n"/>
      <c r="G639" s="227" t="n"/>
      <c r="H639" s="227" t="n"/>
    </row>
    <row r="640">
      <c r="B640" s="227" t="n"/>
      <c r="C640" s="227" t="n"/>
      <c r="D640" s="227" t="n"/>
      <c r="E640" s="228" t="n"/>
      <c r="F640" s="192" t="n"/>
      <c r="G640" s="227" t="n"/>
      <c r="H640" s="227" t="n"/>
    </row>
    <row r="641">
      <c r="B641" s="227" t="n"/>
      <c r="C641" s="227" t="n"/>
      <c r="D641" s="227" t="n"/>
      <c r="E641" s="228" t="n"/>
      <c r="F641" s="192" t="n"/>
      <c r="G641" s="227" t="n"/>
      <c r="H641" s="227" t="n"/>
    </row>
    <row r="642">
      <c r="B642" s="227" t="n"/>
      <c r="C642" s="227" t="n"/>
      <c r="D642" s="227" t="n"/>
      <c r="E642" s="228" t="n"/>
      <c r="F642" s="192" t="n"/>
      <c r="G642" s="227" t="n"/>
      <c r="H642" s="227" t="n"/>
    </row>
    <row r="643">
      <c r="B643" s="227" t="n"/>
      <c r="C643" s="227" t="n"/>
      <c r="D643" s="227" t="n"/>
      <c r="E643" s="228" t="n"/>
      <c r="F643" s="192" t="n"/>
      <c r="G643" s="227" t="n"/>
      <c r="H643" s="227" t="n"/>
    </row>
    <row r="644">
      <c r="B644" s="227" t="n"/>
      <c r="C644" s="227" t="n"/>
      <c r="D644" s="227" t="n"/>
      <c r="E644" s="228" t="n"/>
      <c r="F644" s="192" t="n"/>
      <c r="G644" s="227" t="n"/>
      <c r="H644" s="227" t="n"/>
    </row>
    <row r="645">
      <c r="B645" s="227" t="n"/>
      <c r="C645" s="227" t="n"/>
      <c r="D645" s="227" t="n"/>
      <c r="E645" s="228" t="n"/>
      <c r="F645" s="192" t="n"/>
      <c r="G645" s="227" t="n"/>
      <c r="H645" s="227" t="n"/>
    </row>
    <row r="646">
      <c r="B646" s="227" t="n"/>
      <c r="C646" s="227" t="n"/>
      <c r="D646" s="227" t="n"/>
      <c r="E646" s="228" t="n"/>
      <c r="F646" s="192" t="n"/>
      <c r="G646" s="227" t="n"/>
      <c r="H646" s="227" t="n"/>
    </row>
    <row r="647">
      <c r="B647" s="227" t="n"/>
      <c r="C647" s="227" t="n"/>
      <c r="D647" s="227" t="n"/>
      <c r="E647" s="228" t="n"/>
      <c r="F647" s="192" t="n"/>
      <c r="G647" s="227" t="n"/>
      <c r="H647" s="227" t="n"/>
    </row>
    <row r="648">
      <c r="B648" s="227" t="n"/>
      <c r="C648" s="227" t="n"/>
      <c r="D648" s="227" t="n"/>
      <c r="E648" s="228" t="n"/>
      <c r="F648" s="192" t="n"/>
      <c r="G648" s="227" t="n"/>
      <c r="H648" s="227" t="n"/>
    </row>
    <row r="649">
      <c r="B649" s="227" t="n"/>
      <c r="C649" s="227" t="n"/>
      <c r="D649" s="227" t="n"/>
      <c r="E649" s="228" t="n"/>
      <c r="F649" s="192" t="n"/>
      <c r="G649" s="227" t="n"/>
      <c r="H649" s="227" t="n"/>
    </row>
    <row r="650">
      <c r="B650" s="227" t="n"/>
      <c r="C650" s="227" t="n"/>
      <c r="D650" s="227" t="n"/>
      <c r="E650" s="228" t="n"/>
      <c r="F650" s="192" t="n"/>
      <c r="G650" s="227" t="n"/>
      <c r="H650" s="227" t="n"/>
    </row>
    <row r="651">
      <c r="B651" s="227" t="n"/>
      <c r="C651" s="227" t="n"/>
      <c r="D651" s="227" t="n"/>
      <c r="E651" s="228" t="n"/>
      <c r="F651" s="192" t="n"/>
      <c r="G651" s="227" t="n"/>
      <c r="H651" s="227" t="n"/>
    </row>
    <row r="652">
      <c r="B652" s="227" t="n"/>
      <c r="C652" s="227" t="n"/>
      <c r="D652" s="227" t="n"/>
      <c r="E652" s="228" t="n"/>
      <c r="F652" s="192" t="n"/>
      <c r="G652" s="227" t="n"/>
      <c r="H652" s="227" t="n"/>
    </row>
    <row r="653">
      <c r="B653" s="227" t="n"/>
      <c r="C653" s="227" t="n"/>
      <c r="D653" s="227" t="n"/>
      <c r="E653" s="228" t="n"/>
      <c r="F653" s="192" t="n"/>
      <c r="G653" s="227" t="n"/>
      <c r="H653" s="227" t="n"/>
    </row>
    <row r="654">
      <c r="B654" s="227" t="n"/>
      <c r="C654" s="227" t="n"/>
      <c r="D654" s="227" t="n"/>
      <c r="E654" s="228" t="n"/>
      <c r="F654" s="192" t="n"/>
      <c r="G654" s="227" t="n"/>
      <c r="H654" s="227" t="n"/>
    </row>
    <row r="655">
      <c r="B655" s="227" t="n"/>
      <c r="C655" s="227" t="n"/>
      <c r="D655" s="227" t="n"/>
      <c r="E655" s="228" t="n"/>
      <c r="F655" s="192" t="n"/>
      <c r="G655" s="227" t="n"/>
      <c r="H655" s="227" t="n"/>
    </row>
    <row r="656">
      <c r="B656" s="227" t="n"/>
      <c r="C656" s="227" t="n"/>
      <c r="D656" s="227" t="n"/>
      <c r="E656" s="228" t="n"/>
      <c r="F656" s="192" t="n"/>
      <c r="G656" s="227" t="n"/>
      <c r="H656" s="227" t="n"/>
    </row>
    <row r="657">
      <c r="B657" s="227" t="n"/>
      <c r="C657" s="227" t="n"/>
      <c r="D657" s="227" t="n"/>
      <c r="E657" s="228" t="n"/>
      <c r="F657" s="192" t="n"/>
      <c r="G657" s="227" t="n"/>
      <c r="H657" s="227" t="n"/>
    </row>
    <row r="658">
      <c r="B658" s="227" t="n"/>
      <c r="C658" s="227" t="n"/>
      <c r="D658" s="227" t="n"/>
      <c r="E658" s="228" t="n"/>
      <c r="F658" s="192" t="n"/>
      <c r="G658" s="227" t="n"/>
      <c r="H658" s="227" t="n"/>
    </row>
    <row r="659">
      <c r="B659" s="227" t="n"/>
      <c r="C659" s="227" t="n"/>
      <c r="D659" s="227" t="n"/>
      <c r="E659" s="228" t="n"/>
      <c r="F659" s="192" t="n"/>
      <c r="G659" s="227" t="n"/>
      <c r="H659" s="227" t="n"/>
    </row>
    <row r="660">
      <c r="B660" s="227" t="n"/>
      <c r="C660" s="227" t="n"/>
      <c r="D660" s="227" t="n"/>
      <c r="E660" s="228" t="n"/>
      <c r="F660" s="192" t="n"/>
      <c r="G660" s="227" t="n"/>
      <c r="H660" s="227" t="n"/>
    </row>
    <row r="661">
      <c r="B661" s="227" t="n"/>
      <c r="C661" s="227" t="n"/>
      <c r="D661" s="227" t="n"/>
      <c r="E661" s="228" t="n"/>
      <c r="F661" s="192" t="n"/>
      <c r="G661" s="227" t="n"/>
      <c r="H661" s="227" t="n"/>
    </row>
    <row r="662">
      <c r="B662" s="227" t="n"/>
      <c r="C662" s="227" t="n"/>
      <c r="D662" s="227" t="n"/>
      <c r="E662" s="228" t="n"/>
      <c r="F662" s="192" t="n"/>
      <c r="G662" s="227" t="n"/>
      <c r="H662" s="227" t="n"/>
    </row>
    <row r="663">
      <c r="B663" s="227" t="n"/>
      <c r="C663" s="227" t="n"/>
      <c r="D663" s="227" t="n"/>
      <c r="E663" s="228" t="n"/>
      <c r="F663" s="192" t="n"/>
      <c r="G663" s="227" t="n"/>
      <c r="H663" s="227" t="n"/>
    </row>
    <row r="664">
      <c r="B664" s="227" t="n"/>
      <c r="C664" s="227" t="n"/>
      <c r="D664" s="227" t="n"/>
      <c r="E664" s="228" t="n"/>
      <c r="F664" s="192" t="n"/>
      <c r="G664" s="227" t="n"/>
      <c r="H664" s="227" t="n"/>
    </row>
    <row r="665">
      <c r="B665" s="227" t="n"/>
      <c r="C665" s="227" t="n"/>
      <c r="D665" s="227" t="n"/>
      <c r="E665" s="228" t="n"/>
      <c r="F665" s="192" t="n"/>
      <c r="G665" s="227" t="n"/>
      <c r="H665" s="227" t="n"/>
    </row>
    <row r="666">
      <c r="B666" s="227" t="n"/>
      <c r="C666" s="227" t="n"/>
      <c r="D666" s="227" t="n"/>
      <c r="E666" s="228" t="n"/>
      <c r="F666" s="192" t="n"/>
      <c r="G666" s="227" t="n"/>
      <c r="H666" s="227" t="n"/>
    </row>
    <row r="667">
      <c r="B667" s="227" t="n"/>
      <c r="C667" s="227" t="n"/>
      <c r="D667" s="227" t="n"/>
      <c r="E667" s="228" t="n"/>
      <c r="F667" s="192" t="n"/>
      <c r="G667" s="227" t="n"/>
      <c r="H667" s="227" t="n"/>
    </row>
    <row r="668">
      <c r="B668" s="227" t="n"/>
      <c r="C668" s="227" t="n"/>
      <c r="D668" s="227" t="n"/>
      <c r="E668" s="228" t="n"/>
      <c r="F668" s="192" t="n"/>
      <c r="G668" s="227" t="n"/>
      <c r="H668" s="227" t="n"/>
    </row>
    <row r="669">
      <c r="B669" s="227" t="n"/>
      <c r="C669" s="227" t="n"/>
      <c r="D669" s="227" t="n"/>
      <c r="E669" s="228" t="n"/>
      <c r="F669" s="192" t="n"/>
      <c r="G669" s="227" t="n"/>
      <c r="H669" s="227" t="n"/>
    </row>
    <row r="670">
      <c r="B670" s="227" t="n"/>
      <c r="C670" s="227" t="n"/>
      <c r="D670" s="227" t="n"/>
      <c r="E670" s="228" t="n"/>
      <c r="F670" s="192" t="n"/>
      <c r="G670" s="227" t="n"/>
      <c r="H670" s="227" t="n"/>
    </row>
    <row r="671">
      <c r="B671" s="227" t="n"/>
      <c r="C671" s="227" t="n"/>
      <c r="D671" s="227" t="n"/>
      <c r="E671" s="228" t="n"/>
      <c r="F671" s="192" t="n"/>
      <c r="G671" s="227" t="n"/>
      <c r="H671" s="227" t="n"/>
    </row>
    <row r="672">
      <c r="B672" s="227" t="n"/>
      <c r="C672" s="227" t="n"/>
      <c r="D672" s="227" t="n"/>
      <c r="E672" s="228" t="n"/>
      <c r="F672" s="192" t="n"/>
      <c r="G672" s="227" t="n"/>
      <c r="H672" s="227" t="n"/>
    </row>
    <row r="673">
      <c r="B673" s="227" t="n"/>
      <c r="C673" s="227" t="n"/>
      <c r="D673" s="227" t="n"/>
      <c r="E673" s="228" t="n"/>
      <c r="F673" s="192" t="n"/>
      <c r="G673" s="227" t="n"/>
      <c r="H673" s="227" t="n"/>
    </row>
    <row r="674">
      <c r="B674" s="227" t="n"/>
      <c r="C674" s="227" t="n"/>
      <c r="D674" s="227" t="n"/>
      <c r="E674" s="228" t="n"/>
      <c r="F674" s="192" t="n"/>
      <c r="G674" s="227" t="n"/>
      <c r="H674" s="227" t="n"/>
    </row>
    <row r="675">
      <c r="B675" s="227" t="n"/>
      <c r="C675" s="227" t="n"/>
      <c r="D675" s="227" t="n"/>
      <c r="E675" s="228" t="n"/>
      <c r="F675" s="192" t="n"/>
      <c r="G675" s="227" t="n"/>
      <c r="H675" s="227" t="n"/>
    </row>
    <row r="676">
      <c r="B676" s="227" t="n"/>
      <c r="C676" s="227" t="n"/>
      <c r="D676" s="227" t="n"/>
      <c r="E676" s="228" t="n"/>
      <c r="F676" s="192" t="n"/>
      <c r="G676" s="227" t="n"/>
      <c r="H676" s="227" t="n"/>
    </row>
    <row r="677">
      <c r="B677" s="227" t="n"/>
      <c r="C677" s="227" t="n"/>
      <c r="D677" s="227" t="n"/>
      <c r="E677" s="228" t="n"/>
      <c r="F677" s="192" t="n"/>
      <c r="G677" s="227" t="n"/>
      <c r="H677" s="227" t="n"/>
    </row>
    <row r="678">
      <c r="B678" s="227" t="n"/>
      <c r="C678" s="227" t="n"/>
      <c r="D678" s="227" t="n"/>
      <c r="E678" s="228" t="n"/>
      <c r="F678" s="192" t="n"/>
      <c r="G678" s="227" t="n"/>
      <c r="H678" s="227" t="n"/>
    </row>
    <row r="679">
      <c r="B679" s="227" t="n"/>
      <c r="C679" s="227" t="n"/>
      <c r="D679" s="227" t="n"/>
      <c r="E679" s="228" t="n"/>
      <c r="F679" s="192" t="n"/>
      <c r="G679" s="227" t="n"/>
      <c r="H679" s="227" t="n"/>
    </row>
    <row r="680">
      <c r="B680" s="227" t="n"/>
      <c r="C680" s="227" t="n"/>
      <c r="D680" s="227" t="n"/>
      <c r="E680" s="228" t="n"/>
      <c r="F680" s="192" t="n"/>
      <c r="G680" s="227" t="n"/>
      <c r="H680" s="227" t="n"/>
    </row>
    <row r="681">
      <c r="B681" s="227" t="n"/>
      <c r="C681" s="227" t="n"/>
      <c r="D681" s="227" t="n"/>
      <c r="E681" s="228" t="n"/>
      <c r="F681" s="192" t="n"/>
      <c r="G681" s="227" t="n"/>
      <c r="H681" s="227" t="n"/>
    </row>
    <row r="682">
      <c r="B682" s="227" t="n"/>
      <c r="C682" s="227" t="n"/>
      <c r="D682" s="227" t="n"/>
      <c r="E682" s="228" t="n"/>
      <c r="F682" s="192" t="n"/>
      <c r="G682" s="227" t="n"/>
      <c r="H682" s="227" t="n"/>
    </row>
    <row r="683">
      <c r="B683" s="227" t="n"/>
      <c r="C683" s="227" t="n"/>
      <c r="D683" s="227" t="n"/>
      <c r="E683" s="228" t="n"/>
      <c r="F683" s="192" t="n"/>
      <c r="G683" s="227" t="n"/>
      <c r="H683" s="227" t="n"/>
    </row>
    <row r="684">
      <c r="B684" s="227" t="n"/>
      <c r="C684" s="227" t="n"/>
      <c r="D684" s="227" t="n"/>
      <c r="E684" s="228" t="n"/>
      <c r="F684" s="192" t="n"/>
      <c r="G684" s="227" t="n"/>
      <c r="H684" s="227" t="n"/>
    </row>
    <row r="685">
      <c r="B685" s="227" t="n"/>
      <c r="C685" s="227" t="n"/>
      <c r="D685" s="227" t="n"/>
      <c r="E685" s="228" t="n"/>
      <c r="F685" s="192" t="n"/>
      <c r="G685" s="227" t="n"/>
      <c r="H685" s="227" t="n"/>
    </row>
    <row r="686">
      <c r="B686" s="227" t="n"/>
      <c r="C686" s="227" t="n"/>
      <c r="D686" s="227" t="n"/>
      <c r="E686" s="228" t="n"/>
      <c r="F686" s="192" t="n"/>
      <c r="G686" s="227" t="n"/>
      <c r="H686" s="227" t="n"/>
    </row>
    <row r="687">
      <c r="B687" s="227" t="n"/>
      <c r="C687" s="227" t="n"/>
      <c r="D687" s="227" t="n"/>
      <c r="E687" s="228" t="n"/>
      <c r="F687" s="192" t="n"/>
      <c r="G687" s="227" t="n"/>
      <c r="H687" s="227" t="n"/>
    </row>
    <row r="688">
      <c r="B688" s="227" t="n"/>
      <c r="C688" s="227" t="n"/>
      <c r="D688" s="227" t="n"/>
      <c r="E688" s="228" t="n"/>
      <c r="F688" s="192" t="n"/>
      <c r="G688" s="227" t="n"/>
      <c r="H688" s="227" t="n"/>
    </row>
    <row r="689">
      <c r="B689" s="227" t="n"/>
      <c r="C689" s="227" t="n"/>
      <c r="D689" s="227" t="n"/>
      <c r="E689" s="228" t="n"/>
      <c r="F689" s="192" t="n"/>
      <c r="G689" s="227" t="n"/>
      <c r="H689" s="227" t="n"/>
    </row>
    <row r="690">
      <c r="B690" s="227" t="n"/>
      <c r="C690" s="227" t="n"/>
      <c r="D690" s="227" t="n"/>
      <c r="E690" s="228" t="n"/>
      <c r="F690" s="192" t="n"/>
      <c r="G690" s="227" t="n"/>
      <c r="H690" s="227" t="n"/>
    </row>
    <row r="691">
      <c r="B691" s="227" t="n"/>
      <c r="C691" s="227" t="n"/>
      <c r="D691" s="227" t="n"/>
      <c r="E691" s="228" t="n"/>
      <c r="F691" s="192" t="n"/>
      <c r="G691" s="227" t="n"/>
      <c r="H691" s="227" t="n"/>
    </row>
    <row r="692">
      <c r="B692" s="227" t="n"/>
      <c r="C692" s="227" t="n"/>
      <c r="D692" s="227" t="n"/>
      <c r="E692" s="228" t="n"/>
      <c r="F692" s="192" t="n"/>
      <c r="G692" s="227" t="n"/>
      <c r="H692" s="227" t="n"/>
    </row>
    <row r="693">
      <c r="B693" s="227" t="n"/>
      <c r="C693" s="227" t="n"/>
      <c r="D693" s="227" t="n"/>
      <c r="E693" s="228" t="n"/>
      <c r="F693" s="192" t="n"/>
      <c r="G693" s="227" t="n"/>
      <c r="H693" s="227" t="n"/>
    </row>
    <row r="694">
      <c r="B694" s="227" t="n"/>
      <c r="C694" s="227" t="n"/>
      <c r="D694" s="227" t="n"/>
      <c r="E694" s="228" t="n"/>
      <c r="F694" s="192" t="n"/>
      <c r="G694" s="227" t="n"/>
      <c r="H694" s="227" t="n"/>
    </row>
    <row r="695">
      <c r="B695" s="227" t="n"/>
      <c r="C695" s="227" t="n"/>
      <c r="D695" s="227" t="n"/>
      <c r="E695" s="228" t="n"/>
      <c r="F695" s="192" t="n"/>
      <c r="G695" s="227" t="n"/>
      <c r="H695" s="227" t="n"/>
    </row>
    <row r="696">
      <c r="B696" s="227" t="n"/>
      <c r="C696" s="227" t="n"/>
      <c r="D696" s="227" t="n"/>
      <c r="E696" s="228" t="n"/>
      <c r="F696" s="192" t="n"/>
      <c r="G696" s="227" t="n"/>
      <c r="H696" s="227" t="n"/>
    </row>
    <row r="697">
      <c r="B697" s="227" t="n"/>
      <c r="C697" s="227" t="n"/>
      <c r="D697" s="227" t="n"/>
      <c r="E697" s="228" t="n"/>
      <c r="F697" s="192" t="n"/>
      <c r="G697" s="227" t="n"/>
      <c r="H697" s="227" t="n"/>
    </row>
    <row r="698">
      <c r="B698" s="227" t="n"/>
      <c r="C698" s="227" t="n"/>
      <c r="D698" s="227" t="n"/>
      <c r="E698" s="228" t="n"/>
      <c r="F698" s="192" t="n"/>
      <c r="G698" s="227" t="n"/>
      <c r="H698" s="227" t="n"/>
    </row>
    <row r="699">
      <c r="B699" s="227" t="n"/>
      <c r="C699" s="227" t="n"/>
      <c r="D699" s="227" t="n"/>
      <c r="E699" s="228" t="n"/>
      <c r="F699" s="192" t="n"/>
      <c r="G699" s="227" t="n"/>
      <c r="H699" s="227" t="n"/>
    </row>
    <row r="700">
      <c r="B700" s="227" t="n"/>
      <c r="C700" s="227" t="n"/>
      <c r="D700" s="227" t="n"/>
      <c r="E700" s="228" t="n"/>
      <c r="F700" s="192" t="n"/>
      <c r="G700" s="227" t="n"/>
      <c r="H700" s="227" t="n"/>
    </row>
    <row r="701">
      <c r="B701" s="227" t="n"/>
      <c r="C701" s="227" t="n"/>
      <c r="D701" s="227" t="n"/>
      <c r="E701" s="228" t="n"/>
      <c r="F701" s="192" t="n"/>
      <c r="G701" s="227" t="n"/>
      <c r="H701" s="227" t="n"/>
    </row>
    <row r="702">
      <c r="B702" s="227" t="n"/>
      <c r="C702" s="227" t="n"/>
      <c r="D702" s="227" t="n"/>
      <c r="E702" s="228" t="n"/>
      <c r="F702" s="192" t="n"/>
      <c r="G702" s="227" t="n"/>
      <c r="H702" s="227" t="n"/>
    </row>
    <row r="703">
      <c r="B703" s="227" t="n"/>
      <c r="C703" s="227" t="n"/>
      <c r="D703" s="227" t="n"/>
      <c r="E703" s="228" t="n"/>
      <c r="F703" s="192" t="n"/>
      <c r="G703" s="227" t="n"/>
      <c r="H703" s="227" t="n"/>
    </row>
    <row r="704">
      <c r="B704" s="227" t="n"/>
      <c r="C704" s="227" t="n"/>
      <c r="D704" s="227" t="n"/>
      <c r="E704" s="228" t="n"/>
      <c r="F704" s="192" t="n"/>
      <c r="G704" s="227" t="n"/>
      <c r="H704" s="227" t="n"/>
    </row>
    <row r="705">
      <c r="B705" s="227" t="n"/>
      <c r="C705" s="227" t="n"/>
      <c r="D705" s="227" t="n"/>
      <c r="E705" s="228" t="n"/>
      <c r="F705" s="192" t="n"/>
      <c r="G705" s="227" t="n"/>
      <c r="H705" s="227" t="n"/>
    </row>
    <row r="706">
      <c r="B706" s="227" t="n"/>
      <c r="C706" s="227" t="n"/>
      <c r="D706" s="227" t="n"/>
      <c r="E706" s="228" t="n"/>
      <c r="F706" s="192" t="n"/>
      <c r="G706" s="227" t="n"/>
      <c r="H706" s="227" t="n"/>
    </row>
    <row r="707">
      <c r="B707" s="227" t="n"/>
      <c r="C707" s="227" t="n"/>
      <c r="D707" s="227" t="n"/>
      <c r="E707" s="228" t="n"/>
      <c r="F707" s="192" t="n"/>
      <c r="G707" s="227" t="n"/>
      <c r="H707" s="227" t="n"/>
    </row>
    <row r="708">
      <c r="B708" s="227" t="n"/>
      <c r="C708" s="227" t="n"/>
      <c r="D708" s="227" t="n"/>
      <c r="E708" s="228" t="n"/>
      <c r="F708" s="192" t="n"/>
      <c r="G708" s="227" t="n"/>
      <c r="H708" s="227" t="n"/>
    </row>
    <row r="709">
      <c r="B709" s="227" t="n"/>
      <c r="C709" s="227" t="n"/>
      <c r="D709" s="227" t="n"/>
      <c r="E709" s="228" t="n"/>
      <c r="F709" s="192" t="n"/>
      <c r="G709" s="227" t="n"/>
      <c r="H709" s="227" t="n"/>
    </row>
    <row r="710">
      <c r="B710" s="227" t="n"/>
      <c r="C710" s="227" t="n"/>
      <c r="D710" s="227" t="n"/>
      <c r="E710" s="228" t="n"/>
      <c r="F710" s="192" t="n"/>
      <c r="G710" s="227" t="n"/>
      <c r="H710" s="227" t="n"/>
    </row>
    <row r="711">
      <c r="B711" s="227" t="n"/>
      <c r="C711" s="227" t="n"/>
      <c r="D711" s="227" t="n"/>
      <c r="E711" s="228" t="n"/>
      <c r="F711" s="192" t="n"/>
      <c r="G711" s="227" t="n"/>
      <c r="H711" s="227" t="n"/>
    </row>
    <row r="712">
      <c r="B712" s="227" t="n"/>
      <c r="C712" s="227" t="n"/>
      <c r="D712" s="227" t="n"/>
      <c r="E712" s="228" t="n"/>
      <c r="F712" s="192" t="n"/>
      <c r="G712" s="227" t="n"/>
      <c r="H712" s="227" t="n"/>
    </row>
    <row r="713">
      <c r="B713" s="227" t="n"/>
      <c r="C713" s="227" t="n"/>
      <c r="D713" s="227" t="n"/>
      <c r="E713" s="228" t="n"/>
      <c r="F713" s="192" t="n"/>
      <c r="G713" s="227" t="n"/>
      <c r="H713" s="227" t="n"/>
    </row>
    <row r="714">
      <c r="B714" s="227" t="n"/>
      <c r="C714" s="227" t="n"/>
      <c r="D714" s="227" t="n"/>
      <c r="E714" s="228" t="n"/>
      <c r="F714" s="192" t="n"/>
      <c r="G714" s="227" t="n"/>
      <c r="H714" s="227" t="n"/>
    </row>
    <row r="715">
      <c r="B715" s="227" t="n"/>
      <c r="C715" s="227" t="n"/>
      <c r="D715" s="227" t="n"/>
      <c r="E715" s="228" t="n"/>
      <c r="F715" s="192" t="n"/>
      <c r="G715" s="227" t="n"/>
      <c r="H715" s="227" t="n"/>
    </row>
    <row r="716">
      <c r="B716" s="227" t="n"/>
      <c r="C716" s="227" t="n"/>
      <c r="D716" s="227" t="n"/>
      <c r="E716" s="228" t="n"/>
      <c r="F716" s="192" t="n"/>
      <c r="G716" s="227" t="n"/>
      <c r="H716" s="227" t="n"/>
    </row>
    <row r="717">
      <c r="B717" s="227" t="n"/>
      <c r="C717" s="227" t="n"/>
      <c r="D717" s="227" t="n"/>
      <c r="E717" s="228" t="n"/>
      <c r="F717" s="192" t="n"/>
      <c r="G717" s="227" t="n"/>
      <c r="H717" s="227" t="n"/>
    </row>
    <row r="718">
      <c r="B718" s="227" t="n"/>
      <c r="C718" s="227" t="n"/>
      <c r="D718" s="227" t="n"/>
      <c r="E718" s="228" t="n"/>
      <c r="F718" s="192" t="n"/>
      <c r="G718" s="227" t="n"/>
      <c r="H718" s="227" t="n"/>
    </row>
    <row r="719">
      <c r="B719" s="227" t="n"/>
      <c r="C719" s="227" t="n"/>
      <c r="D719" s="227" t="n"/>
      <c r="E719" s="228" t="n"/>
      <c r="F719" s="192" t="n"/>
      <c r="G719" s="227" t="n"/>
      <c r="H719" s="227" t="n"/>
    </row>
    <row r="720">
      <c r="B720" s="227" t="n"/>
      <c r="C720" s="227" t="n"/>
      <c r="D720" s="227" t="n"/>
      <c r="E720" s="228" t="n"/>
      <c r="F720" s="192" t="n"/>
      <c r="G720" s="227" t="n"/>
      <c r="H720" s="227" t="n"/>
    </row>
    <row r="721">
      <c r="B721" s="227" t="n"/>
      <c r="C721" s="227" t="n"/>
      <c r="D721" s="227" t="n"/>
      <c r="E721" s="228" t="n"/>
      <c r="F721" s="192" t="n"/>
      <c r="G721" s="227" t="n"/>
      <c r="H721" s="227" t="n"/>
    </row>
    <row r="722">
      <c r="B722" s="227" t="n"/>
      <c r="C722" s="227" t="n"/>
      <c r="D722" s="227" t="n"/>
      <c r="E722" s="228" t="n"/>
      <c r="F722" s="192" t="n"/>
      <c r="G722" s="227" t="n"/>
      <c r="H722" s="227" t="n"/>
    </row>
    <row r="723">
      <c r="B723" s="227" t="n"/>
      <c r="C723" s="227" t="n"/>
      <c r="D723" s="227" t="n"/>
      <c r="E723" s="228" t="n"/>
      <c r="F723" s="192" t="n"/>
      <c r="G723" s="227" t="n"/>
      <c r="H723" s="227" t="n"/>
    </row>
    <row r="724">
      <c r="B724" s="227" t="n"/>
      <c r="C724" s="227" t="n"/>
      <c r="D724" s="227" t="n"/>
      <c r="E724" s="228" t="n"/>
      <c r="F724" s="192" t="n"/>
      <c r="G724" s="227" t="n"/>
      <c r="H724" s="227" t="n"/>
    </row>
    <row r="725">
      <c r="B725" s="227" t="n"/>
      <c r="C725" s="227" t="n"/>
      <c r="D725" s="227" t="n"/>
      <c r="E725" s="228" t="n"/>
      <c r="F725" s="192" t="n"/>
      <c r="G725" s="227" t="n"/>
      <c r="H725" s="227" t="n"/>
    </row>
    <row r="726">
      <c r="B726" s="227" t="n"/>
      <c r="C726" s="227" t="n"/>
      <c r="D726" s="227" t="n"/>
      <c r="E726" s="228" t="n"/>
      <c r="F726" s="192" t="n"/>
      <c r="G726" s="227" t="n"/>
      <c r="H726" s="227" t="n"/>
    </row>
    <row r="727">
      <c r="B727" s="227" t="n"/>
      <c r="C727" s="227" t="n"/>
      <c r="D727" s="227" t="n"/>
      <c r="E727" s="228" t="n"/>
      <c r="F727" s="192" t="n"/>
      <c r="G727" s="227" t="n"/>
      <c r="H727" s="227" t="n"/>
    </row>
    <row r="728">
      <c r="B728" s="227" t="n"/>
      <c r="C728" s="227" t="n"/>
      <c r="D728" s="227" t="n"/>
      <c r="E728" s="228" t="n"/>
      <c r="F728" s="192" t="n"/>
      <c r="G728" s="227" t="n"/>
      <c r="H728" s="227" t="n"/>
    </row>
    <row r="729">
      <c r="B729" s="227" t="n"/>
      <c r="C729" s="227" t="n"/>
      <c r="D729" s="227" t="n"/>
      <c r="E729" s="228" t="n"/>
      <c r="F729" s="192" t="n"/>
      <c r="G729" s="227" t="n"/>
      <c r="H729" s="227" t="n"/>
    </row>
    <row r="730">
      <c r="B730" s="227" t="n"/>
      <c r="C730" s="227" t="n"/>
      <c r="D730" s="227" t="n"/>
      <c r="E730" s="228" t="n"/>
      <c r="F730" s="192" t="n"/>
      <c r="G730" s="227" t="n"/>
      <c r="H730" s="227" t="n"/>
    </row>
    <row r="731">
      <c r="B731" s="227" t="n"/>
      <c r="C731" s="227" t="n"/>
      <c r="D731" s="227" t="n"/>
      <c r="E731" s="228" t="n"/>
      <c r="F731" s="192" t="n"/>
      <c r="G731" s="227" t="n"/>
      <c r="H731" s="227" t="n"/>
    </row>
    <row r="732">
      <c r="B732" s="227" t="n"/>
      <c r="C732" s="227" t="n"/>
      <c r="D732" s="227" t="n"/>
      <c r="E732" s="228" t="n"/>
      <c r="F732" s="192" t="n"/>
      <c r="G732" s="227" t="n"/>
      <c r="H732" s="227" t="n"/>
    </row>
    <row r="733">
      <c r="B733" s="227" t="n"/>
      <c r="C733" s="227" t="n"/>
      <c r="D733" s="227" t="n"/>
      <c r="E733" s="228" t="n"/>
      <c r="F733" s="192" t="n"/>
      <c r="G733" s="227" t="n"/>
      <c r="H733" s="227" t="n"/>
    </row>
    <row r="734">
      <c r="B734" s="227" t="n"/>
      <c r="C734" s="227" t="n"/>
      <c r="D734" s="227" t="n"/>
      <c r="E734" s="228" t="n"/>
      <c r="F734" s="192" t="n"/>
      <c r="G734" s="227" t="n"/>
      <c r="H734" s="227" t="n"/>
    </row>
    <row r="735">
      <c r="B735" s="227" t="n"/>
      <c r="C735" s="227" t="n"/>
      <c r="D735" s="227" t="n"/>
      <c r="E735" s="228" t="n"/>
      <c r="F735" s="192" t="n"/>
      <c r="G735" s="227" t="n"/>
      <c r="H735" s="227" t="n"/>
    </row>
    <row r="736">
      <c r="B736" s="227" t="n"/>
      <c r="C736" s="227" t="n"/>
      <c r="D736" s="227" t="n"/>
      <c r="E736" s="228" t="n"/>
      <c r="F736" s="192" t="n"/>
      <c r="G736" s="227" t="n"/>
      <c r="H736" s="227" t="n"/>
    </row>
    <row r="737">
      <c r="B737" s="227" t="n"/>
      <c r="C737" s="227" t="n"/>
      <c r="D737" s="227" t="n"/>
      <c r="E737" s="228" t="n"/>
      <c r="F737" s="192" t="n"/>
      <c r="G737" s="227" t="n"/>
      <c r="H737" s="227" t="n"/>
    </row>
    <row r="738">
      <c r="B738" s="227" t="n"/>
      <c r="C738" s="227" t="n"/>
      <c r="D738" s="227" t="n"/>
      <c r="E738" s="228" t="n"/>
      <c r="F738" s="192" t="n"/>
      <c r="G738" s="227" t="n"/>
      <c r="H738" s="227" t="n"/>
    </row>
    <row r="739">
      <c r="B739" s="227" t="n"/>
      <c r="C739" s="227" t="n"/>
      <c r="D739" s="227" t="n"/>
      <c r="E739" s="228" t="n"/>
      <c r="F739" s="192" t="n"/>
      <c r="G739" s="227" t="n"/>
      <c r="H739" s="227" t="n"/>
    </row>
    <row r="740">
      <c r="B740" s="227" t="n"/>
      <c r="C740" s="227" t="n"/>
      <c r="D740" s="227" t="n"/>
      <c r="E740" s="228" t="n"/>
      <c r="F740" s="192" t="n"/>
      <c r="G740" s="227" t="n"/>
      <c r="H740" s="227" t="n"/>
    </row>
    <row r="741">
      <c r="B741" s="227" t="n"/>
      <c r="C741" s="227" t="n"/>
      <c r="D741" s="227" t="n"/>
      <c r="E741" s="228" t="n"/>
      <c r="F741" s="192" t="n"/>
      <c r="G741" s="227" t="n"/>
      <c r="H741" s="227" t="n"/>
    </row>
    <row r="742">
      <c r="B742" s="227" t="n"/>
      <c r="C742" s="227" t="n"/>
      <c r="D742" s="227" t="n"/>
      <c r="E742" s="228" t="n"/>
      <c r="F742" s="192" t="n"/>
      <c r="G742" s="227" t="n"/>
      <c r="H742" s="227" t="n"/>
    </row>
    <row r="743">
      <c r="B743" s="227" t="n"/>
      <c r="C743" s="227" t="n"/>
      <c r="D743" s="227" t="n"/>
      <c r="E743" s="228" t="n"/>
      <c r="F743" s="192" t="n"/>
      <c r="G743" s="227" t="n"/>
      <c r="H743" s="227" t="n"/>
    </row>
    <row r="744">
      <c r="B744" s="227" t="n"/>
      <c r="C744" s="227" t="n"/>
      <c r="D744" s="227" t="n"/>
      <c r="E744" s="228" t="n"/>
      <c r="F744" s="192" t="n"/>
      <c r="G744" s="227" t="n"/>
      <c r="H744" s="227" t="n"/>
    </row>
    <row r="745">
      <c r="B745" s="227" t="n"/>
      <c r="C745" s="227" t="n"/>
      <c r="D745" s="227" t="n"/>
      <c r="E745" s="228" t="n"/>
      <c r="F745" s="192" t="n"/>
      <c r="G745" s="227" t="n"/>
      <c r="H745" s="227" t="n"/>
    </row>
    <row r="746">
      <c r="B746" s="227" t="n"/>
      <c r="C746" s="227" t="n"/>
      <c r="D746" s="227" t="n"/>
      <c r="E746" s="228" t="n"/>
      <c r="F746" s="192" t="n"/>
      <c r="G746" s="227" t="n"/>
      <c r="H746" s="227" t="n"/>
    </row>
    <row r="747">
      <c r="B747" s="227" t="n"/>
      <c r="C747" s="227" t="n"/>
      <c r="D747" s="227" t="n"/>
      <c r="E747" s="228" t="n"/>
      <c r="F747" s="192" t="n"/>
      <c r="G747" s="227" t="n"/>
      <c r="H747" s="227" t="n"/>
    </row>
    <row r="748">
      <c r="B748" s="227" t="n"/>
      <c r="C748" s="227" t="n"/>
      <c r="D748" s="227" t="n"/>
      <c r="E748" s="228" t="n"/>
      <c r="F748" s="192" t="n"/>
      <c r="G748" s="227" t="n"/>
      <c r="H748" s="227" t="n"/>
    </row>
    <row r="749">
      <c r="B749" s="227" t="n"/>
      <c r="C749" s="227" t="n"/>
      <c r="D749" s="227" t="n"/>
      <c r="E749" s="228" t="n"/>
      <c r="F749" s="192" t="n"/>
      <c r="G749" s="227" t="n"/>
      <c r="H749" s="227" t="n"/>
    </row>
    <row r="750">
      <c r="B750" s="227" t="n"/>
      <c r="C750" s="227" t="n"/>
      <c r="D750" s="227" t="n"/>
      <c r="E750" s="228" t="n"/>
      <c r="F750" s="192" t="n"/>
      <c r="G750" s="227" t="n"/>
      <c r="H750" s="227" t="n"/>
    </row>
    <row r="751">
      <c r="B751" s="227" t="n"/>
      <c r="C751" s="227" t="n"/>
      <c r="D751" s="227" t="n"/>
      <c r="E751" s="228" t="n"/>
      <c r="F751" s="192" t="n"/>
      <c r="G751" s="227" t="n"/>
      <c r="H751" s="227" t="n"/>
    </row>
    <row r="752">
      <c r="B752" s="227" t="n"/>
      <c r="C752" s="227" t="n"/>
      <c r="D752" s="227" t="n"/>
      <c r="E752" s="228" t="n"/>
      <c r="F752" s="192" t="n"/>
      <c r="G752" s="227" t="n"/>
      <c r="H752" s="227" t="n"/>
    </row>
    <row r="753">
      <c r="B753" s="227" t="n"/>
      <c r="C753" s="227" t="n"/>
      <c r="D753" s="227" t="n"/>
      <c r="E753" s="228" t="n"/>
      <c r="F753" s="192" t="n"/>
      <c r="G753" s="227" t="n"/>
      <c r="H753" s="227" t="n"/>
    </row>
    <row r="754">
      <c r="B754" s="227" t="n"/>
      <c r="C754" s="227" t="n"/>
      <c r="D754" s="227" t="n"/>
      <c r="E754" s="228" t="n"/>
      <c r="F754" s="192" t="n"/>
      <c r="G754" s="227" t="n"/>
      <c r="H754" s="227" t="n"/>
    </row>
    <row r="755">
      <c r="B755" s="227" t="n"/>
      <c r="C755" s="227" t="n"/>
      <c r="D755" s="227" t="n"/>
      <c r="E755" s="228" t="n"/>
      <c r="F755" s="192" t="n"/>
      <c r="G755" s="227" t="n"/>
      <c r="H755" s="227" t="n"/>
    </row>
    <row r="756">
      <c r="B756" s="227" t="n"/>
      <c r="C756" s="227" t="n"/>
      <c r="D756" s="227" t="n"/>
      <c r="E756" s="228" t="n"/>
      <c r="F756" s="192" t="n"/>
      <c r="G756" s="227" t="n"/>
      <c r="H756" s="227" t="n"/>
    </row>
    <row r="757">
      <c r="B757" s="227" t="n"/>
      <c r="C757" s="227" t="n"/>
      <c r="D757" s="227" t="n"/>
      <c r="E757" s="228" t="n"/>
      <c r="F757" s="192" t="n"/>
      <c r="G757" s="227" t="n"/>
      <c r="H757" s="227" t="n"/>
    </row>
    <row r="758">
      <c r="B758" s="227" t="n"/>
      <c r="C758" s="227" t="n"/>
      <c r="D758" s="227" t="n"/>
      <c r="E758" s="228" t="n"/>
      <c r="F758" s="192" t="n"/>
      <c r="G758" s="227" t="n"/>
      <c r="H758" s="227" t="n"/>
    </row>
    <row r="759">
      <c r="B759" s="227" t="n"/>
      <c r="C759" s="227" t="n"/>
      <c r="D759" s="227" t="n"/>
      <c r="E759" s="228" t="n"/>
      <c r="F759" s="192" t="n"/>
      <c r="G759" s="227" t="n"/>
      <c r="H759" s="227" t="n"/>
    </row>
    <row r="760">
      <c r="B760" s="227" t="n"/>
      <c r="C760" s="227" t="n"/>
      <c r="D760" s="227" t="n"/>
      <c r="E760" s="228" t="n"/>
      <c r="F760" s="192" t="n"/>
      <c r="G760" s="227" t="n"/>
      <c r="H760" s="227" t="n"/>
    </row>
    <row r="761">
      <c r="B761" s="227" t="n"/>
      <c r="C761" s="227" t="n"/>
      <c r="D761" s="227" t="n"/>
      <c r="E761" s="228" t="n"/>
      <c r="F761" s="192" t="n"/>
      <c r="G761" s="227" t="n"/>
      <c r="H761" s="227" t="n"/>
    </row>
    <row r="762">
      <c r="B762" s="227" t="n"/>
      <c r="C762" s="227" t="n"/>
      <c r="D762" s="227" t="n"/>
      <c r="E762" s="228" t="n"/>
      <c r="F762" s="192" t="n"/>
      <c r="G762" s="227" t="n"/>
      <c r="H762" s="227" t="n"/>
    </row>
    <row r="763">
      <c r="B763" s="227" t="n"/>
      <c r="C763" s="227" t="n"/>
      <c r="D763" s="227" t="n"/>
      <c r="E763" s="228" t="n"/>
      <c r="F763" s="192" t="n"/>
      <c r="G763" s="227" t="n"/>
      <c r="H763" s="227" t="n"/>
    </row>
    <row r="764">
      <c r="B764" s="227" t="n"/>
      <c r="C764" s="227" t="n"/>
      <c r="D764" s="227" t="n"/>
      <c r="E764" s="228" t="n"/>
      <c r="F764" s="192" t="n"/>
      <c r="G764" s="227" t="n"/>
      <c r="H764" s="227" t="n"/>
    </row>
    <row r="765">
      <c r="B765" s="227" t="n"/>
      <c r="C765" s="227" t="n"/>
      <c r="D765" s="227" t="n"/>
      <c r="E765" s="228" t="n"/>
      <c r="F765" s="192" t="n"/>
      <c r="G765" s="227" t="n"/>
      <c r="H765" s="227" t="n"/>
    </row>
    <row r="766">
      <c r="B766" s="227" t="n"/>
      <c r="C766" s="227" t="n"/>
      <c r="D766" s="227" t="n"/>
      <c r="E766" s="228" t="n"/>
      <c r="F766" s="192" t="n"/>
      <c r="G766" s="227" t="n"/>
      <c r="H766" s="227" t="n"/>
    </row>
    <row r="767">
      <c r="B767" s="227" t="n"/>
      <c r="C767" s="227" t="n"/>
      <c r="D767" s="227" t="n"/>
      <c r="E767" s="228" t="n"/>
      <c r="F767" s="192" t="n"/>
      <c r="G767" s="227" t="n"/>
      <c r="H767" s="227" t="n"/>
    </row>
    <row r="768">
      <c r="B768" s="227" t="n"/>
      <c r="C768" s="227" t="n"/>
      <c r="D768" s="227" t="n"/>
      <c r="E768" s="228" t="n"/>
      <c r="F768" s="192" t="n"/>
      <c r="G768" s="227" t="n"/>
      <c r="H768" s="227" t="n"/>
    </row>
    <row r="769">
      <c r="B769" s="227" t="n"/>
      <c r="C769" s="227" t="n"/>
      <c r="D769" s="227" t="n"/>
      <c r="E769" s="228" t="n"/>
      <c r="F769" s="192" t="n"/>
      <c r="G769" s="227" t="n"/>
      <c r="H769" s="227" t="n"/>
    </row>
    <row r="770">
      <c r="B770" s="227" t="n"/>
      <c r="C770" s="227" t="n"/>
      <c r="D770" s="227" t="n"/>
      <c r="E770" s="228" t="n"/>
      <c r="F770" s="192" t="n"/>
      <c r="G770" s="227" t="n"/>
      <c r="H770" s="227" t="n"/>
    </row>
    <row r="771">
      <c r="B771" s="227" t="n"/>
      <c r="C771" s="227" t="n"/>
      <c r="D771" s="227" t="n"/>
      <c r="E771" s="228" t="n"/>
      <c r="F771" s="192" t="n"/>
      <c r="G771" s="227" t="n"/>
      <c r="H771" s="227" t="n"/>
    </row>
    <row r="772">
      <c r="B772" s="227" t="n"/>
      <c r="C772" s="227" t="n"/>
      <c r="D772" s="227" t="n"/>
      <c r="E772" s="228" t="n"/>
      <c r="F772" s="192" t="n"/>
      <c r="G772" s="227" t="n"/>
      <c r="H772" s="227" t="n"/>
    </row>
    <row r="773">
      <c r="B773" s="227" t="n"/>
      <c r="C773" s="227" t="n"/>
      <c r="D773" s="227" t="n"/>
      <c r="E773" s="228" t="n"/>
      <c r="F773" s="192" t="n"/>
      <c r="G773" s="227" t="n"/>
      <c r="H773" s="227" t="n"/>
    </row>
    <row r="774">
      <c r="B774" s="227" t="n"/>
      <c r="C774" s="227" t="n"/>
      <c r="D774" s="227" t="n"/>
      <c r="E774" s="228" t="n"/>
      <c r="F774" s="192" t="n"/>
      <c r="G774" s="227" t="n"/>
      <c r="H774" s="227" t="n"/>
    </row>
    <row r="775">
      <c r="B775" s="227" t="n"/>
      <c r="C775" s="227" t="n"/>
      <c r="D775" s="227" t="n"/>
      <c r="E775" s="228" t="n"/>
      <c r="F775" s="192" t="n"/>
      <c r="G775" s="227" t="n"/>
      <c r="H775" s="227" t="n"/>
    </row>
    <row r="776">
      <c r="B776" s="227" t="n"/>
      <c r="C776" s="227" t="n"/>
      <c r="D776" s="227" t="n"/>
      <c r="E776" s="228" t="n"/>
      <c r="F776" s="192" t="n"/>
      <c r="G776" s="227" t="n"/>
      <c r="H776" s="227" t="n"/>
    </row>
    <row r="777">
      <c r="B777" s="227" t="n"/>
      <c r="C777" s="227" t="n"/>
      <c r="D777" s="227" t="n"/>
      <c r="E777" s="228" t="n"/>
      <c r="F777" s="192" t="n"/>
      <c r="G777" s="227" t="n"/>
      <c r="H777" s="227" t="n"/>
    </row>
    <row r="778">
      <c r="B778" s="227" t="n"/>
      <c r="C778" s="227" t="n"/>
      <c r="D778" s="227" t="n"/>
      <c r="E778" s="228" t="n"/>
      <c r="F778" s="192" t="n"/>
      <c r="G778" s="227" t="n"/>
      <c r="H778" s="227" t="n"/>
    </row>
    <row r="779">
      <c r="B779" s="227" t="n"/>
      <c r="C779" s="227" t="n"/>
      <c r="D779" s="227" t="n"/>
      <c r="E779" s="228" t="n"/>
      <c r="F779" s="192" t="n"/>
      <c r="G779" s="227" t="n"/>
      <c r="H779" s="227" t="n"/>
    </row>
    <row r="780">
      <c r="B780" s="227" t="n"/>
      <c r="C780" s="227" t="n"/>
      <c r="D780" s="227" t="n"/>
      <c r="E780" s="228" t="n"/>
      <c r="F780" s="192" t="n"/>
      <c r="G780" s="227" t="n"/>
      <c r="H780" s="227" t="n"/>
    </row>
    <row r="781">
      <c r="B781" s="227" t="n"/>
      <c r="C781" s="227" t="n"/>
      <c r="D781" s="227" t="n"/>
      <c r="E781" s="228" t="n"/>
      <c r="F781" s="192" t="n"/>
      <c r="G781" s="227" t="n"/>
      <c r="H781" s="227" t="n"/>
    </row>
    <row r="782">
      <c r="B782" s="227" t="n"/>
      <c r="C782" s="227" t="n"/>
      <c r="D782" s="227" t="n"/>
      <c r="E782" s="228" t="n"/>
      <c r="F782" s="192" t="n"/>
      <c r="G782" s="227" t="n"/>
      <c r="H782" s="227" t="n"/>
    </row>
    <row r="783">
      <c r="B783" s="227" t="n"/>
      <c r="C783" s="227" t="n"/>
      <c r="D783" s="227" t="n"/>
      <c r="E783" s="228" t="n"/>
      <c r="F783" s="192" t="n"/>
      <c r="G783" s="227" t="n"/>
      <c r="H783" s="227" t="n"/>
    </row>
    <row r="784">
      <c r="B784" s="227" t="n"/>
      <c r="C784" s="227" t="n"/>
      <c r="D784" s="227" t="n"/>
      <c r="E784" s="228" t="n"/>
      <c r="F784" s="192" t="n"/>
      <c r="G784" s="227" t="n"/>
      <c r="H784" s="227" t="n"/>
    </row>
    <row r="785">
      <c r="B785" s="227" t="n"/>
      <c r="C785" s="227" t="n"/>
      <c r="D785" s="227" t="n"/>
      <c r="E785" s="228" t="n"/>
      <c r="F785" s="192" t="n"/>
      <c r="G785" s="227" t="n"/>
      <c r="H785" s="227" t="n"/>
    </row>
    <row r="786">
      <c r="B786" s="227" t="n"/>
      <c r="C786" s="227" t="n"/>
      <c r="D786" s="227" t="n"/>
      <c r="E786" s="228" t="n"/>
      <c r="F786" s="192" t="n"/>
      <c r="G786" s="227" t="n"/>
      <c r="H786" s="227" t="n"/>
    </row>
    <row r="787">
      <c r="B787" s="227" t="n"/>
      <c r="C787" s="227" t="n"/>
      <c r="D787" s="227" t="n"/>
      <c r="E787" s="228" t="n"/>
      <c r="F787" s="192" t="n"/>
      <c r="G787" s="227" t="n"/>
      <c r="H787" s="227" t="n"/>
    </row>
    <row r="788">
      <c r="B788" s="227" t="n"/>
      <c r="C788" s="227" t="n"/>
      <c r="D788" s="227" t="n"/>
      <c r="E788" s="228" t="n"/>
      <c r="F788" s="192" t="n"/>
      <c r="G788" s="227" t="n"/>
      <c r="H788" s="227" t="n"/>
    </row>
    <row r="789">
      <c r="B789" s="227" t="n"/>
      <c r="C789" s="227" t="n"/>
      <c r="D789" s="227" t="n"/>
      <c r="E789" s="228" t="n"/>
      <c r="F789" s="192" t="n"/>
      <c r="G789" s="227" t="n"/>
      <c r="H789" s="227" t="n"/>
    </row>
    <row r="790">
      <c r="B790" s="227" t="n"/>
      <c r="C790" s="227" t="n"/>
      <c r="D790" s="227" t="n"/>
      <c r="E790" s="228" t="n"/>
      <c r="F790" s="192" t="n"/>
      <c r="G790" s="227" t="n"/>
      <c r="H790" s="227" t="n"/>
    </row>
    <row r="791">
      <c r="B791" s="227" t="n"/>
      <c r="C791" s="227" t="n"/>
      <c r="D791" s="227" t="n"/>
      <c r="E791" s="228" t="n"/>
      <c r="F791" s="192" t="n"/>
      <c r="G791" s="227" t="n"/>
      <c r="H791" s="227" t="n"/>
    </row>
    <row r="792">
      <c r="B792" s="227" t="n"/>
      <c r="C792" s="227" t="n"/>
      <c r="D792" s="227" t="n"/>
      <c r="E792" s="228" t="n"/>
      <c r="F792" s="192" t="n"/>
      <c r="G792" s="227" t="n"/>
      <c r="H792" s="227" t="n"/>
    </row>
    <row r="793">
      <c r="B793" s="227" t="n"/>
      <c r="C793" s="227" t="n"/>
      <c r="D793" s="227" t="n"/>
      <c r="E793" s="228" t="n"/>
      <c r="F793" s="192" t="n"/>
      <c r="G793" s="227" t="n"/>
      <c r="H793" s="227" t="n"/>
    </row>
    <row r="794">
      <c r="B794" s="227" t="n"/>
      <c r="C794" s="227" t="n"/>
      <c r="D794" s="227" t="n"/>
      <c r="E794" s="228" t="n"/>
      <c r="F794" s="192" t="n"/>
      <c r="G794" s="227" t="n"/>
      <c r="H794" s="227" t="n"/>
    </row>
    <row r="795">
      <c r="B795" s="227" t="n"/>
      <c r="C795" s="227" t="n"/>
      <c r="D795" s="227" t="n"/>
      <c r="E795" s="228" t="n"/>
      <c r="F795" s="192" t="n"/>
      <c r="G795" s="227" t="n"/>
      <c r="H795" s="227" t="n"/>
    </row>
    <row r="796">
      <c r="B796" s="227" t="n"/>
      <c r="C796" s="227" t="n"/>
      <c r="D796" s="227" t="n"/>
      <c r="E796" s="228" t="n"/>
      <c r="F796" s="192" t="n"/>
      <c r="G796" s="227" t="n"/>
      <c r="H796" s="227" t="n"/>
    </row>
    <row r="797">
      <c r="B797" s="227" t="n"/>
      <c r="C797" s="227" t="n"/>
      <c r="D797" s="227" t="n"/>
      <c r="E797" s="228" t="n"/>
      <c r="F797" s="192" t="n"/>
      <c r="G797" s="227" t="n"/>
      <c r="H797" s="227" t="n"/>
    </row>
    <row r="798">
      <c r="B798" s="227" t="n"/>
      <c r="C798" s="227" t="n"/>
      <c r="D798" s="227" t="n"/>
      <c r="E798" s="228" t="n"/>
      <c r="F798" s="192" t="n"/>
      <c r="G798" s="227" t="n"/>
      <c r="H798" s="227" t="n"/>
    </row>
    <row r="799">
      <c r="B799" s="227" t="n"/>
      <c r="C799" s="227" t="n"/>
      <c r="D799" s="227" t="n"/>
      <c r="E799" s="228" t="n"/>
      <c r="F799" s="192" t="n"/>
      <c r="G799" s="227" t="n"/>
      <c r="H799" s="227" t="n"/>
    </row>
    <row r="800">
      <c r="B800" s="227" t="n"/>
      <c r="C800" s="227" t="n"/>
      <c r="D800" s="227" t="n"/>
      <c r="E800" s="228" t="n"/>
      <c r="F800" s="192" t="n"/>
      <c r="G800" s="227" t="n"/>
      <c r="H800" s="227" t="n"/>
    </row>
    <row r="801">
      <c r="B801" s="227" t="n"/>
      <c r="C801" s="227" t="n"/>
      <c r="D801" s="227" t="n"/>
      <c r="E801" s="228" t="n"/>
      <c r="F801" s="192" t="n"/>
      <c r="G801" s="227" t="n"/>
      <c r="H801" s="227" t="n"/>
    </row>
    <row r="802">
      <c r="B802" s="227" t="n"/>
      <c r="C802" s="227" t="n"/>
      <c r="D802" s="227" t="n"/>
      <c r="E802" s="228" t="n"/>
      <c r="F802" s="192" t="n"/>
      <c r="G802" s="227" t="n"/>
      <c r="H802" s="227" t="n"/>
    </row>
    <row r="803">
      <c r="B803" s="227" t="n"/>
      <c r="C803" s="227" t="n"/>
      <c r="D803" s="227" t="n"/>
      <c r="E803" s="228" t="n"/>
      <c r="F803" s="192" t="n"/>
      <c r="G803" s="227" t="n"/>
      <c r="H803" s="227" t="n"/>
    </row>
    <row r="804">
      <c r="B804" s="227" t="n"/>
      <c r="C804" s="227" t="n"/>
      <c r="D804" s="227" t="n"/>
      <c r="E804" s="228" t="n"/>
      <c r="F804" s="192" t="n"/>
      <c r="G804" s="227" t="n"/>
      <c r="H804" s="227" t="n"/>
    </row>
    <row r="805">
      <c r="B805" s="227" t="n"/>
      <c r="C805" s="227" t="n"/>
      <c r="D805" s="227" t="n"/>
      <c r="E805" s="228" t="n"/>
      <c r="F805" s="192" t="n"/>
      <c r="G805" s="227" t="n"/>
      <c r="H805" s="227" t="n"/>
    </row>
    <row r="806">
      <c r="B806" s="227" t="n"/>
      <c r="C806" s="227" t="n"/>
      <c r="D806" s="227" t="n"/>
      <c r="E806" s="228" t="n"/>
      <c r="F806" s="192" t="n"/>
      <c r="G806" s="227" t="n"/>
      <c r="H806" s="227" t="n"/>
    </row>
    <row r="807">
      <c r="B807" s="227" t="n"/>
      <c r="C807" s="227" t="n"/>
      <c r="D807" s="227" t="n"/>
      <c r="E807" s="228" t="n"/>
      <c r="F807" s="192" t="n"/>
      <c r="G807" s="227" t="n"/>
      <c r="H807" s="227" t="n"/>
    </row>
    <row r="808">
      <c r="B808" s="227" t="n"/>
      <c r="C808" s="227" t="n"/>
      <c r="D808" s="227" t="n"/>
      <c r="E808" s="228" t="n"/>
      <c r="F808" s="192" t="n"/>
      <c r="G808" s="227" t="n"/>
      <c r="H808" s="227" t="n"/>
    </row>
    <row r="809">
      <c r="B809" s="227" t="n"/>
      <c r="C809" s="227" t="n"/>
      <c r="D809" s="227" t="n"/>
      <c r="E809" s="228" t="n"/>
      <c r="F809" s="192" t="n"/>
      <c r="G809" s="227" t="n"/>
      <c r="H809" s="227" t="n"/>
    </row>
    <row r="810">
      <c r="B810" s="227" t="n"/>
      <c r="C810" s="227" t="n"/>
      <c r="D810" s="227" t="n"/>
      <c r="E810" s="228" t="n"/>
      <c r="F810" s="192" t="n"/>
      <c r="G810" s="227" t="n"/>
      <c r="H810" s="227" t="n"/>
    </row>
    <row r="811">
      <c r="B811" s="227" t="n"/>
      <c r="C811" s="227" t="n"/>
      <c r="D811" s="227" t="n"/>
      <c r="E811" s="228" t="n"/>
      <c r="F811" s="192" t="n"/>
      <c r="G811" s="227" t="n"/>
      <c r="H811" s="227" t="n"/>
    </row>
    <row r="812">
      <c r="B812" s="227" t="n"/>
      <c r="C812" s="227" t="n"/>
      <c r="D812" s="227" t="n"/>
      <c r="E812" s="228" t="n"/>
      <c r="F812" s="192" t="n"/>
      <c r="G812" s="227" t="n"/>
      <c r="H812" s="227" t="n"/>
    </row>
    <row r="813">
      <c r="B813" s="227" t="n"/>
      <c r="C813" s="227" t="n"/>
      <c r="D813" s="227" t="n"/>
      <c r="E813" s="228" t="n"/>
      <c r="F813" s="192" t="n"/>
      <c r="G813" s="227" t="n"/>
      <c r="H813" s="227" t="n"/>
    </row>
    <row r="814">
      <c r="B814" s="227" t="n"/>
      <c r="C814" s="227" t="n"/>
      <c r="D814" s="227" t="n"/>
      <c r="E814" s="228" t="n"/>
      <c r="F814" s="192" t="n"/>
      <c r="G814" s="227" t="n"/>
      <c r="H814" s="227" t="n"/>
    </row>
    <row r="815">
      <c r="B815" s="227" t="n"/>
      <c r="C815" s="227" t="n"/>
      <c r="D815" s="227" t="n"/>
      <c r="E815" s="228" t="n"/>
      <c r="F815" s="192" t="n"/>
      <c r="G815" s="227" t="n"/>
      <c r="H815" s="227" t="n"/>
    </row>
    <row r="816">
      <c r="B816" s="227" t="n"/>
      <c r="C816" s="227" t="n"/>
      <c r="D816" s="227" t="n"/>
      <c r="E816" s="228" t="n"/>
      <c r="F816" s="192" t="n"/>
      <c r="G816" s="227" t="n"/>
      <c r="H816" s="227" t="n"/>
    </row>
    <row r="817">
      <c r="B817" s="227" t="n"/>
      <c r="C817" s="227" t="n"/>
      <c r="D817" s="227" t="n"/>
      <c r="E817" s="228" t="n"/>
      <c r="F817" s="192" t="n"/>
      <c r="G817" s="227" t="n"/>
      <c r="H817" s="227" t="n"/>
    </row>
    <row r="818">
      <c r="B818" s="227" t="n"/>
      <c r="C818" s="227" t="n"/>
      <c r="D818" s="227" t="n"/>
      <c r="E818" s="228" t="n"/>
      <c r="F818" s="192" t="n"/>
      <c r="G818" s="227" t="n"/>
      <c r="H818" s="227" t="n"/>
    </row>
    <row r="819">
      <c r="B819" s="227" t="n"/>
      <c r="C819" s="227" t="n"/>
      <c r="D819" s="227" t="n"/>
      <c r="E819" s="228" t="n"/>
      <c r="F819" s="192" t="n"/>
      <c r="G819" s="227" t="n"/>
      <c r="H819" s="227" t="n"/>
    </row>
    <row r="820">
      <c r="B820" s="227" t="n"/>
      <c r="C820" s="227" t="n"/>
      <c r="D820" s="227" t="n"/>
      <c r="E820" s="228" t="n"/>
      <c r="F820" s="192" t="n"/>
      <c r="G820" s="227" t="n"/>
      <c r="H820" s="227" t="n"/>
    </row>
    <row r="821">
      <c r="B821" s="227" t="n"/>
      <c r="C821" s="227" t="n"/>
      <c r="D821" s="227" t="n"/>
      <c r="E821" s="228" t="n"/>
      <c r="F821" s="192" t="n"/>
      <c r="G821" s="227" t="n"/>
      <c r="H821" s="227" t="n"/>
    </row>
    <row r="822">
      <c r="B822" s="227" t="n"/>
      <c r="C822" s="227" t="n"/>
      <c r="D822" s="227" t="n"/>
      <c r="E822" s="228" t="n"/>
      <c r="F822" s="192" t="n"/>
      <c r="G822" s="227" t="n"/>
      <c r="H822" s="227" t="n"/>
    </row>
    <row r="823">
      <c r="B823" s="227" t="n"/>
      <c r="C823" s="227" t="n"/>
      <c r="D823" s="227" t="n"/>
      <c r="E823" s="228" t="n"/>
      <c r="F823" s="192" t="n"/>
      <c r="G823" s="227" t="n"/>
      <c r="H823" s="227" t="n"/>
    </row>
    <row r="824">
      <c r="B824" s="227" t="n"/>
      <c r="C824" s="227" t="n"/>
      <c r="D824" s="227" t="n"/>
      <c r="E824" s="228" t="n"/>
      <c r="F824" s="192" t="n"/>
      <c r="G824" s="227" t="n"/>
      <c r="H824" s="227" t="n"/>
    </row>
    <row r="825">
      <c r="B825" s="227" t="n"/>
      <c r="C825" s="227" t="n"/>
      <c r="D825" s="227" t="n"/>
      <c r="E825" s="228" t="n"/>
      <c r="F825" s="192" t="n"/>
      <c r="G825" s="227" t="n"/>
      <c r="H825" s="227" t="n"/>
    </row>
    <row r="826">
      <c r="B826" s="227" t="n"/>
      <c r="C826" s="227" t="n"/>
      <c r="D826" s="227" t="n"/>
      <c r="E826" s="228" t="n"/>
      <c r="F826" s="192" t="n"/>
      <c r="G826" s="227" t="n"/>
      <c r="H826" s="227" t="n"/>
    </row>
    <row r="827">
      <c r="B827" s="227" t="n"/>
      <c r="C827" s="227" t="n"/>
      <c r="D827" s="227" t="n"/>
      <c r="E827" s="228" t="n"/>
      <c r="F827" s="192" t="n"/>
      <c r="G827" s="227" t="n"/>
      <c r="H827" s="227" t="n"/>
    </row>
    <row r="828">
      <c r="B828" s="227" t="n"/>
      <c r="C828" s="227" t="n"/>
      <c r="D828" s="227" t="n"/>
      <c r="E828" s="228" t="n"/>
      <c r="F828" s="192" t="n"/>
      <c r="G828" s="227" t="n"/>
      <c r="H828" s="227" t="n"/>
    </row>
    <row r="829">
      <c r="B829" s="227" t="n"/>
      <c r="C829" s="227" t="n"/>
      <c r="D829" s="227" t="n"/>
      <c r="E829" s="228" t="n"/>
      <c r="F829" s="192" t="n"/>
      <c r="G829" s="227" t="n"/>
      <c r="H829" s="227" t="n"/>
    </row>
    <row r="830">
      <c r="B830" s="227" t="n"/>
      <c r="C830" s="227" t="n"/>
      <c r="D830" s="227" t="n"/>
      <c r="E830" s="228" t="n"/>
      <c r="F830" s="192" t="n"/>
      <c r="G830" s="227" t="n"/>
      <c r="H830" s="227" t="n"/>
    </row>
    <row r="831">
      <c r="B831" s="227" t="n"/>
      <c r="C831" s="227" t="n"/>
      <c r="D831" s="227" t="n"/>
      <c r="E831" s="228" t="n"/>
      <c r="F831" s="192" t="n"/>
      <c r="G831" s="227" t="n"/>
      <c r="H831" s="227" t="n"/>
    </row>
    <row r="832">
      <c r="B832" s="227" t="n"/>
      <c r="C832" s="227" t="n"/>
      <c r="D832" s="227" t="n"/>
      <c r="E832" s="228" t="n"/>
      <c r="F832" s="192" t="n"/>
      <c r="G832" s="227" t="n"/>
      <c r="H832" s="227" t="n"/>
    </row>
    <row r="833">
      <c r="B833" s="227" t="n"/>
      <c r="C833" s="227" t="n"/>
      <c r="D833" s="227" t="n"/>
      <c r="E833" s="228" t="n"/>
      <c r="F833" s="192" t="n"/>
      <c r="G833" s="227" t="n"/>
      <c r="H833" s="227" t="n"/>
    </row>
    <row r="834">
      <c r="B834" s="227" t="n"/>
      <c r="C834" s="227" t="n"/>
      <c r="D834" s="227" t="n"/>
      <c r="E834" s="228" t="n"/>
      <c r="F834" s="192" t="n"/>
      <c r="G834" s="227" t="n"/>
      <c r="H834" s="227" t="n"/>
    </row>
    <row r="835">
      <c r="B835" s="227" t="n"/>
      <c r="C835" s="227" t="n"/>
      <c r="D835" s="227" t="n"/>
      <c r="E835" s="228" t="n"/>
      <c r="F835" s="192" t="n"/>
      <c r="G835" s="227" t="n"/>
      <c r="H835" s="227" t="n"/>
    </row>
    <row r="836">
      <c r="B836" s="227" t="n"/>
      <c r="C836" s="227" t="n"/>
      <c r="D836" s="227" t="n"/>
      <c r="E836" s="228" t="n"/>
      <c r="F836" s="192" t="n"/>
      <c r="G836" s="227" t="n"/>
      <c r="H836" s="227" t="n"/>
    </row>
    <row r="837">
      <c r="B837" s="227" t="n"/>
      <c r="C837" s="227" t="n"/>
      <c r="D837" s="227" t="n"/>
      <c r="E837" s="228" t="n"/>
      <c r="F837" s="192" t="n"/>
      <c r="G837" s="227" t="n"/>
      <c r="H837" s="227" t="n"/>
    </row>
    <row r="838">
      <c r="B838" s="227" t="n"/>
      <c r="C838" s="227" t="n"/>
      <c r="D838" s="227" t="n"/>
      <c r="E838" s="228" t="n"/>
      <c r="F838" s="192" t="n"/>
      <c r="G838" s="227" t="n"/>
      <c r="H838" s="227" t="n"/>
    </row>
    <row r="839">
      <c r="B839" s="227" t="n"/>
      <c r="C839" s="227" t="n"/>
      <c r="D839" s="227" t="n"/>
      <c r="E839" s="228" t="n"/>
      <c r="F839" s="192" t="n"/>
      <c r="G839" s="227" t="n"/>
      <c r="H839" s="227" t="n"/>
    </row>
    <row r="840">
      <c r="B840" s="227" t="n"/>
      <c r="C840" s="227" t="n"/>
      <c r="D840" s="227" t="n"/>
      <c r="E840" s="228" t="n"/>
      <c r="F840" s="192" t="n"/>
      <c r="G840" s="227" t="n"/>
      <c r="H840" s="227" t="n"/>
    </row>
    <row r="841">
      <c r="B841" s="227" t="n"/>
      <c r="C841" s="227" t="n"/>
      <c r="D841" s="227" t="n"/>
      <c r="E841" s="228" t="n"/>
      <c r="F841" s="192" t="n"/>
      <c r="G841" s="227" t="n"/>
      <c r="H841" s="227" t="n"/>
    </row>
    <row r="842">
      <c r="B842" s="227" t="n"/>
      <c r="C842" s="227" t="n"/>
      <c r="D842" s="227" t="n"/>
      <c r="E842" s="228" t="n"/>
      <c r="F842" s="192" t="n"/>
      <c r="G842" s="227" t="n"/>
      <c r="H842" s="227" t="n"/>
    </row>
    <row r="843">
      <c r="B843" s="227" t="n"/>
      <c r="C843" s="227" t="n"/>
      <c r="D843" s="227" t="n"/>
      <c r="E843" s="228" t="n"/>
      <c r="F843" s="192" t="n"/>
      <c r="G843" s="227" t="n"/>
      <c r="H843" s="227" t="n"/>
    </row>
    <row r="844">
      <c r="B844" s="227" t="n"/>
      <c r="C844" s="227" t="n"/>
      <c r="D844" s="227" t="n"/>
      <c r="E844" s="228" t="n"/>
      <c r="F844" s="192" t="n"/>
      <c r="G844" s="227" t="n"/>
      <c r="H844" s="227" t="n"/>
    </row>
    <row r="845">
      <c r="B845" s="227" t="n"/>
      <c r="C845" s="227" t="n"/>
      <c r="D845" s="227" t="n"/>
      <c r="E845" s="228" t="n"/>
      <c r="F845" s="192" t="n"/>
      <c r="G845" s="227" t="n"/>
      <c r="H845" s="227" t="n"/>
    </row>
    <row r="846">
      <c r="B846" s="227" t="n"/>
      <c r="C846" s="227" t="n"/>
      <c r="D846" s="227" t="n"/>
      <c r="E846" s="228" t="n"/>
      <c r="F846" s="192" t="n"/>
      <c r="G846" s="227" t="n"/>
      <c r="H846" s="227" t="n"/>
    </row>
    <row r="847">
      <c r="B847" s="227" t="n"/>
      <c r="C847" s="227" t="n"/>
      <c r="D847" s="227" t="n"/>
      <c r="E847" s="228" t="n"/>
      <c r="F847" s="192" t="n"/>
      <c r="G847" s="227" t="n"/>
      <c r="H847" s="227" t="n"/>
    </row>
    <row r="848">
      <c r="B848" s="227" t="n"/>
      <c r="C848" s="227" t="n"/>
      <c r="D848" s="227" t="n"/>
      <c r="E848" s="228" t="n"/>
      <c r="F848" s="192" t="n"/>
      <c r="G848" s="227" t="n"/>
      <c r="H848" s="227" t="n"/>
    </row>
    <row r="849">
      <c r="B849" s="227" t="n"/>
      <c r="C849" s="227" t="n"/>
      <c r="D849" s="227" t="n"/>
      <c r="E849" s="228" t="n"/>
      <c r="F849" s="192" t="n"/>
      <c r="G849" s="227" t="n"/>
      <c r="H849" s="227" t="n"/>
    </row>
    <row r="850">
      <c r="B850" s="227" t="n"/>
      <c r="C850" s="227" t="n"/>
      <c r="D850" s="227" t="n"/>
      <c r="E850" s="228" t="n"/>
      <c r="F850" s="192" t="n"/>
      <c r="G850" s="227" t="n"/>
      <c r="H850" s="227" t="n"/>
    </row>
    <row r="851">
      <c r="B851" s="227" t="n"/>
      <c r="C851" s="227" t="n"/>
      <c r="D851" s="227" t="n"/>
      <c r="E851" s="228" t="n"/>
      <c r="F851" s="192" t="n"/>
      <c r="G851" s="227" t="n"/>
      <c r="H851" s="227" t="n"/>
    </row>
    <row r="852">
      <c r="B852" s="227" t="n"/>
      <c r="C852" s="227" t="n"/>
      <c r="D852" s="227" t="n"/>
      <c r="E852" s="228" t="n"/>
      <c r="F852" s="192" t="n"/>
      <c r="G852" s="227" t="n"/>
      <c r="H852" s="227" t="n"/>
    </row>
    <row r="853">
      <c r="B853" s="227" t="n"/>
      <c r="C853" s="227" t="n"/>
      <c r="D853" s="227" t="n"/>
      <c r="E853" s="228" t="n"/>
      <c r="F853" s="192" t="n"/>
      <c r="G853" s="227" t="n"/>
      <c r="H853" s="227" t="n"/>
    </row>
    <row r="854">
      <c r="B854" s="227" t="n"/>
      <c r="C854" s="227" t="n"/>
      <c r="D854" s="227" t="n"/>
      <c r="E854" s="228" t="n"/>
      <c r="F854" s="192" t="n"/>
      <c r="G854" s="227" t="n"/>
      <c r="H854" s="227" t="n"/>
    </row>
    <row r="855">
      <c r="B855" s="227" t="n"/>
      <c r="C855" s="227" t="n"/>
      <c r="D855" s="227" t="n"/>
      <c r="E855" s="228" t="n"/>
      <c r="F855" s="192" t="n"/>
      <c r="G855" s="227" t="n"/>
      <c r="H855" s="227" t="n"/>
    </row>
    <row r="856">
      <c r="B856" s="227" t="n"/>
      <c r="C856" s="227" t="n"/>
      <c r="D856" s="227" t="n"/>
      <c r="E856" s="228" t="n"/>
      <c r="F856" s="192" t="n"/>
      <c r="G856" s="227" t="n"/>
      <c r="H856" s="227" t="n"/>
    </row>
    <row r="857">
      <c r="B857" s="227" t="n"/>
      <c r="C857" s="227" t="n"/>
      <c r="D857" s="227" t="n"/>
      <c r="E857" s="228" t="n"/>
      <c r="F857" s="192" t="n"/>
      <c r="G857" s="227" t="n"/>
      <c r="H857" s="227" t="n"/>
    </row>
    <row r="858">
      <c r="B858" s="227" t="n"/>
      <c r="C858" s="227" t="n"/>
      <c r="D858" s="227" t="n"/>
      <c r="E858" s="228" t="n"/>
      <c r="F858" s="192" t="n"/>
      <c r="G858" s="227" t="n"/>
      <c r="H858" s="227" t="n"/>
    </row>
    <row r="859">
      <c r="B859" s="227" t="n"/>
      <c r="C859" s="227" t="n"/>
      <c r="D859" s="227" t="n"/>
      <c r="E859" s="228" t="n"/>
      <c r="F859" s="192" t="n"/>
      <c r="G859" s="227" t="n"/>
      <c r="H859" s="227" t="n"/>
    </row>
    <row r="860">
      <c r="B860" s="227" t="n"/>
      <c r="C860" s="227" t="n"/>
      <c r="D860" s="227" t="n"/>
      <c r="E860" s="228" t="n"/>
      <c r="F860" s="192" t="n"/>
      <c r="G860" s="227" t="n"/>
      <c r="H860" s="227" t="n"/>
    </row>
    <row r="861">
      <c r="B861" s="227" t="n"/>
      <c r="C861" s="227" t="n"/>
      <c r="D861" s="227" t="n"/>
      <c r="E861" s="228" t="n"/>
      <c r="F861" s="192" t="n"/>
      <c r="G861" s="227" t="n"/>
      <c r="H861" s="227" t="n"/>
    </row>
    <row r="862">
      <c r="B862" s="227" t="n"/>
      <c r="C862" s="227" t="n"/>
      <c r="D862" s="227" t="n"/>
      <c r="E862" s="228" t="n"/>
      <c r="F862" s="192" t="n"/>
      <c r="G862" s="227" t="n"/>
      <c r="H862" s="227" t="n"/>
    </row>
    <row r="863">
      <c r="B863" s="227" t="n"/>
      <c r="C863" s="227" t="n"/>
      <c r="D863" s="227" t="n"/>
      <c r="E863" s="228" t="n"/>
      <c r="F863" s="192" t="n"/>
      <c r="G863" s="227" t="n"/>
      <c r="H863" s="227" t="n"/>
    </row>
    <row r="864">
      <c r="B864" s="227" t="n"/>
      <c r="C864" s="227" t="n"/>
      <c r="D864" s="227" t="n"/>
      <c r="E864" s="228" t="n"/>
      <c r="F864" s="192" t="n"/>
      <c r="G864" s="227" t="n"/>
      <c r="H864" s="227" t="n"/>
    </row>
    <row r="865">
      <c r="B865" s="227" t="n"/>
      <c r="C865" s="227" t="n"/>
      <c r="D865" s="227" t="n"/>
      <c r="E865" s="228" t="n"/>
      <c r="F865" s="192" t="n"/>
      <c r="G865" s="227" t="n"/>
      <c r="H865" s="227" t="n"/>
    </row>
    <row r="866">
      <c r="B866" s="227" t="n"/>
      <c r="C866" s="227" t="n"/>
      <c r="D866" s="227" t="n"/>
      <c r="E866" s="228" t="n"/>
      <c r="F866" s="192" t="n"/>
      <c r="G866" s="227" t="n"/>
      <c r="H866" s="227" t="n"/>
    </row>
    <row r="867">
      <c r="B867" s="227" t="n"/>
      <c r="C867" s="227" t="n"/>
      <c r="D867" s="227" t="n"/>
      <c r="E867" s="228" t="n"/>
      <c r="F867" s="192" t="n"/>
      <c r="G867" s="227" t="n"/>
      <c r="H867" s="227" t="n"/>
    </row>
    <row r="868">
      <c r="B868" s="227" t="n"/>
      <c r="C868" s="227" t="n"/>
      <c r="D868" s="227" t="n"/>
      <c r="E868" s="228" t="n"/>
      <c r="F868" s="192" t="n"/>
      <c r="G868" s="227" t="n"/>
      <c r="H868" s="227" t="n"/>
    </row>
    <row r="869">
      <c r="B869" s="227" t="n"/>
      <c r="C869" s="227" t="n"/>
      <c r="D869" s="227" t="n"/>
      <c r="E869" s="228" t="n"/>
      <c r="F869" s="192" t="n"/>
      <c r="G869" s="227" t="n"/>
      <c r="H869" s="227" t="n"/>
    </row>
    <row r="870">
      <c r="B870" s="227" t="n"/>
      <c r="C870" s="227" t="n"/>
      <c r="D870" s="227" t="n"/>
      <c r="E870" s="228" t="n"/>
      <c r="F870" s="192" t="n"/>
      <c r="G870" s="227" t="n"/>
      <c r="H870" s="227" t="n"/>
    </row>
    <row r="871">
      <c r="B871" s="227" t="n"/>
      <c r="C871" s="227" t="n"/>
      <c r="D871" s="227" t="n"/>
      <c r="E871" s="228" t="n"/>
      <c r="F871" s="192" t="n"/>
      <c r="G871" s="227" t="n"/>
      <c r="H871" s="227" t="n"/>
    </row>
    <row r="872">
      <c r="B872" s="227" t="n"/>
      <c r="C872" s="227" t="n"/>
      <c r="D872" s="227" t="n"/>
      <c r="E872" s="228" t="n"/>
      <c r="F872" s="192" t="n"/>
      <c r="G872" s="227" t="n"/>
      <c r="H872" s="227" t="n"/>
    </row>
    <row r="873">
      <c r="B873" s="227" t="n"/>
      <c r="C873" s="227" t="n"/>
      <c r="D873" s="227" t="n"/>
      <c r="E873" s="228" t="n"/>
      <c r="F873" s="192" t="n"/>
      <c r="G873" s="227" t="n"/>
      <c r="H873" s="227" t="n"/>
    </row>
    <row r="874">
      <c r="B874" s="227" t="n"/>
      <c r="C874" s="227" t="n"/>
      <c r="D874" s="227" t="n"/>
      <c r="E874" s="228" t="n"/>
      <c r="F874" s="192" t="n"/>
      <c r="G874" s="227" t="n"/>
      <c r="H874" s="227" t="n"/>
    </row>
    <row r="875">
      <c r="B875" s="227" t="n"/>
      <c r="C875" s="227" t="n"/>
      <c r="D875" s="227" t="n"/>
      <c r="E875" s="228" t="n"/>
      <c r="F875" s="192" t="n"/>
      <c r="G875" s="227" t="n"/>
      <c r="H875" s="227" t="n"/>
    </row>
    <row r="876">
      <c r="B876" s="227" t="n"/>
      <c r="C876" s="227" t="n"/>
      <c r="D876" s="227" t="n"/>
      <c r="E876" s="228" t="n"/>
      <c r="F876" s="192" t="n"/>
      <c r="G876" s="227" t="n"/>
      <c r="H876" s="227" t="n"/>
    </row>
    <row r="877">
      <c r="B877" s="227" t="n"/>
      <c r="C877" s="227" t="n"/>
      <c r="D877" s="227" t="n"/>
      <c r="E877" s="228" t="n"/>
      <c r="F877" s="192" t="n"/>
      <c r="G877" s="227" t="n"/>
      <c r="H877" s="227" t="n"/>
    </row>
    <row r="878">
      <c r="B878" s="227" t="n"/>
      <c r="C878" s="227" t="n"/>
      <c r="D878" s="227" t="n"/>
      <c r="E878" s="228" t="n"/>
      <c r="F878" s="192" t="n"/>
      <c r="G878" s="227" t="n"/>
      <c r="H878" s="227" t="n"/>
    </row>
    <row r="879">
      <c r="B879" s="227" t="n"/>
      <c r="C879" s="227" t="n"/>
      <c r="D879" s="227" t="n"/>
      <c r="E879" s="228" t="n"/>
      <c r="F879" s="192" t="n"/>
      <c r="G879" s="227" t="n"/>
      <c r="H879" s="227" t="n"/>
    </row>
    <row r="880">
      <c r="B880" s="227" t="n"/>
      <c r="C880" s="227" t="n"/>
      <c r="D880" s="227" t="n"/>
      <c r="E880" s="228" t="n"/>
      <c r="F880" s="192" t="n"/>
      <c r="G880" s="227" t="n"/>
      <c r="H880" s="227" t="n"/>
    </row>
    <row r="881">
      <c r="B881" s="227" t="n"/>
      <c r="C881" s="227" t="n"/>
      <c r="D881" s="227" t="n"/>
      <c r="E881" s="228" t="n"/>
      <c r="F881" s="192" t="n"/>
      <c r="G881" s="227" t="n"/>
      <c r="H881" s="227" t="n"/>
    </row>
    <row r="882">
      <c r="B882" s="227" t="n"/>
      <c r="C882" s="227" t="n"/>
      <c r="D882" s="227" t="n"/>
      <c r="E882" s="228" t="n"/>
      <c r="F882" s="192" t="n"/>
      <c r="G882" s="227" t="n"/>
      <c r="H882" s="227" t="n"/>
    </row>
    <row r="883">
      <c r="B883" s="227" t="n"/>
      <c r="C883" s="227" t="n"/>
      <c r="D883" s="227" t="n"/>
      <c r="E883" s="228" t="n"/>
      <c r="F883" s="192" t="n"/>
      <c r="G883" s="227" t="n"/>
      <c r="H883" s="227" t="n"/>
    </row>
    <row r="884">
      <c r="B884" s="227" t="n"/>
      <c r="C884" s="227" t="n"/>
      <c r="D884" s="227" t="n"/>
      <c r="E884" s="228" t="n"/>
      <c r="F884" s="192" t="n"/>
      <c r="G884" s="227" t="n"/>
      <c r="H884" s="227" t="n"/>
    </row>
    <row r="885">
      <c r="B885" s="227" t="n"/>
      <c r="C885" s="227" t="n"/>
      <c r="D885" s="227" t="n"/>
      <c r="E885" s="228" t="n"/>
      <c r="F885" s="192" t="n"/>
      <c r="G885" s="227" t="n"/>
      <c r="H885" s="227" t="n"/>
    </row>
    <row r="886">
      <c r="B886" s="227" t="n"/>
      <c r="C886" s="227" t="n"/>
      <c r="D886" s="227" t="n"/>
      <c r="E886" s="228" t="n"/>
      <c r="F886" s="192" t="n"/>
      <c r="G886" s="227" t="n"/>
      <c r="H886" s="227" t="n"/>
    </row>
    <row r="887">
      <c r="B887" s="227" t="n"/>
      <c r="C887" s="227" t="n"/>
      <c r="D887" s="227" t="n"/>
      <c r="E887" s="228" t="n"/>
      <c r="F887" s="192" t="n"/>
      <c r="G887" s="227" t="n"/>
      <c r="H887" s="227" t="n"/>
    </row>
    <row r="888">
      <c r="B888" s="227" t="n"/>
      <c r="C888" s="227" t="n"/>
      <c r="D888" s="227" t="n"/>
      <c r="E888" s="228" t="n"/>
      <c r="F888" s="192" t="n"/>
      <c r="G888" s="227" t="n"/>
      <c r="H888" s="227" t="n"/>
    </row>
    <row r="889">
      <c r="B889" s="227" t="n"/>
      <c r="C889" s="227" t="n"/>
      <c r="D889" s="227" t="n"/>
      <c r="E889" s="228" t="n"/>
      <c r="F889" s="192" t="n"/>
      <c r="G889" s="227" t="n"/>
      <c r="H889" s="227" t="n"/>
    </row>
    <row r="890">
      <c r="B890" s="227" t="n"/>
      <c r="C890" s="227" t="n"/>
      <c r="D890" s="227" t="n"/>
      <c r="E890" s="228" t="n"/>
      <c r="F890" s="192" t="n"/>
      <c r="G890" s="227" t="n"/>
      <c r="H890" s="227" t="n"/>
    </row>
    <row r="891">
      <c r="B891" s="227" t="n"/>
      <c r="C891" s="227" t="n"/>
      <c r="D891" s="227" t="n"/>
      <c r="E891" s="228" t="n"/>
      <c r="F891" s="192" t="n"/>
      <c r="G891" s="227" t="n"/>
      <c r="H891" s="227" t="n"/>
    </row>
    <row r="892">
      <c r="B892" s="227" t="n"/>
      <c r="C892" s="227" t="n"/>
      <c r="D892" s="227" t="n"/>
      <c r="E892" s="228" t="n"/>
      <c r="F892" s="192" t="n"/>
      <c r="G892" s="227" t="n"/>
      <c r="H892" s="227" t="n"/>
    </row>
    <row r="893">
      <c r="B893" s="227" t="n"/>
      <c r="C893" s="227" t="n"/>
      <c r="D893" s="227" t="n"/>
      <c r="E893" s="228" t="n"/>
      <c r="F893" s="192" t="n"/>
      <c r="G893" s="227" t="n"/>
      <c r="H893" s="227" t="n"/>
    </row>
    <row r="894">
      <c r="B894" s="227" t="n"/>
      <c r="C894" s="227" t="n"/>
      <c r="D894" s="227" t="n"/>
      <c r="E894" s="228" t="n"/>
      <c r="F894" s="192" t="n"/>
      <c r="G894" s="227" t="n"/>
      <c r="H894" s="227" t="n"/>
    </row>
    <row r="895">
      <c r="B895" s="227" t="n"/>
      <c r="C895" s="227" t="n"/>
      <c r="D895" s="227" t="n"/>
      <c r="E895" s="228" t="n"/>
      <c r="F895" s="192" t="n"/>
      <c r="G895" s="227" t="n"/>
      <c r="H895" s="227" t="n"/>
    </row>
    <row r="896">
      <c r="B896" s="227" t="n"/>
      <c r="C896" s="227" t="n"/>
      <c r="D896" s="227" t="n"/>
      <c r="E896" s="228" t="n"/>
      <c r="F896" s="192" t="n"/>
      <c r="G896" s="227" t="n"/>
      <c r="H896" s="227" t="n"/>
    </row>
    <row r="897">
      <c r="B897" s="227" t="n"/>
      <c r="C897" s="227" t="n"/>
      <c r="D897" s="227" t="n"/>
      <c r="E897" s="228" t="n"/>
      <c r="F897" s="192" t="n"/>
      <c r="G897" s="227" t="n"/>
      <c r="H897" s="227" t="n"/>
    </row>
    <row r="898">
      <c r="B898" s="227" t="n"/>
      <c r="C898" s="227" t="n"/>
      <c r="D898" s="227" t="n"/>
      <c r="E898" s="228" t="n"/>
      <c r="F898" s="192" t="n"/>
      <c r="G898" s="227" t="n"/>
      <c r="H898" s="227" t="n"/>
    </row>
    <row r="899">
      <c r="B899" s="227" t="n"/>
      <c r="C899" s="227" t="n"/>
      <c r="D899" s="227" t="n"/>
      <c r="E899" s="228" t="n"/>
      <c r="F899" s="192" t="n"/>
      <c r="G899" s="227" t="n"/>
      <c r="H899" s="227" t="n"/>
    </row>
    <row r="900">
      <c r="B900" s="227" t="n"/>
      <c r="C900" s="227" t="n"/>
      <c r="D900" s="227" t="n"/>
      <c r="E900" s="228" t="n"/>
      <c r="F900" s="192" t="n"/>
      <c r="G900" s="227" t="n"/>
      <c r="H900" s="227" t="n"/>
    </row>
    <row r="901">
      <c r="B901" s="227" t="n"/>
      <c r="C901" s="227" t="n"/>
      <c r="D901" s="227" t="n"/>
      <c r="E901" s="228" t="n"/>
      <c r="F901" s="192" t="n"/>
      <c r="G901" s="227" t="n"/>
      <c r="H901" s="227" t="n"/>
    </row>
    <row r="902">
      <c r="B902" s="227" t="n"/>
      <c r="C902" s="227" t="n"/>
      <c r="D902" s="227" t="n"/>
      <c r="E902" s="228" t="n"/>
      <c r="F902" s="192" t="n"/>
      <c r="G902" s="227" t="n"/>
      <c r="H902" s="227" t="n"/>
    </row>
    <row r="903">
      <c r="B903" s="227" t="n"/>
      <c r="C903" s="227" t="n"/>
      <c r="D903" s="227" t="n"/>
      <c r="E903" s="228" t="n"/>
      <c r="F903" s="192" t="n"/>
      <c r="G903" s="227" t="n"/>
      <c r="H903" s="227" t="n"/>
    </row>
    <row r="904">
      <c r="B904" s="227" t="n"/>
      <c r="C904" s="227" t="n"/>
      <c r="D904" s="227" t="n"/>
      <c r="E904" s="228" t="n"/>
      <c r="F904" s="192" t="n"/>
      <c r="G904" s="227" t="n"/>
      <c r="H904" s="227" t="n"/>
    </row>
    <row r="905">
      <c r="B905" s="227" t="n"/>
      <c r="C905" s="227" t="n"/>
      <c r="D905" s="227" t="n"/>
      <c r="E905" s="228" t="n"/>
      <c r="F905" s="192" t="n"/>
      <c r="G905" s="227" t="n"/>
      <c r="H905" s="227" t="n"/>
    </row>
    <row r="906">
      <c r="B906" s="227" t="n"/>
      <c r="C906" s="227" t="n"/>
      <c r="D906" s="227" t="n"/>
      <c r="E906" s="228" t="n"/>
      <c r="F906" s="192" t="n"/>
      <c r="G906" s="227" t="n"/>
      <c r="H906" s="227" t="n"/>
    </row>
    <row r="907">
      <c r="B907" s="227" t="n"/>
      <c r="C907" s="227" t="n"/>
      <c r="D907" s="227" t="n"/>
      <c r="E907" s="228" t="n"/>
      <c r="F907" s="192" t="n"/>
      <c r="G907" s="227" t="n"/>
      <c r="H907" s="227" t="n"/>
    </row>
    <row r="908">
      <c r="B908" s="227" t="n"/>
      <c r="C908" s="227" t="n"/>
      <c r="D908" s="227" t="n"/>
      <c r="E908" s="228" t="n"/>
      <c r="F908" s="192" t="n"/>
      <c r="G908" s="227" t="n"/>
      <c r="H908" s="227" t="n"/>
    </row>
    <row r="909">
      <c r="B909" s="227" t="n"/>
      <c r="C909" s="227" t="n"/>
      <c r="D909" s="227" t="n"/>
      <c r="E909" s="228" t="n"/>
      <c r="F909" s="192" t="n"/>
      <c r="G909" s="227" t="n"/>
      <c r="H909" s="227" t="n"/>
    </row>
    <row r="910">
      <c r="B910" s="227" t="n"/>
      <c r="C910" s="227" t="n"/>
      <c r="D910" s="227" t="n"/>
      <c r="E910" s="228" t="n"/>
      <c r="F910" s="192" t="n"/>
      <c r="G910" s="227" t="n"/>
      <c r="H910" s="227" t="n"/>
    </row>
    <row r="911">
      <c r="B911" s="227" t="n"/>
      <c r="C911" s="227" t="n"/>
      <c r="D911" s="227" t="n"/>
      <c r="E911" s="228" t="n"/>
      <c r="F911" s="192" t="n"/>
      <c r="G911" s="227" t="n"/>
      <c r="H911" s="227" t="n"/>
    </row>
    <row r="912">
      <c r="B912" s="227" t="n"/>
      <c r="C912" s="227" t="n"/>
      <c r="D912" s="227" t="n"/>
      <c r="E912" s="228" t="n"/>
      <c r="F912" s="192" t="n"/>
      <c r="G912" s="227" t="n"/>
      <c r="H912" s="227" t="n"/>
    </row>
    <row r="913">
      <c r="B913" s="227" t="n"/>
      <c r="C913" s="227" t="n"/>
      <c r="D913" s="227" t="n"/>
      <c r="E913" s="228" t="n"/>
      <c r="F913" s="192" t="n"/>
      <c r="G913" s="227" t="n"/>
      <c r="H913" s="227" t="n"/>
    </row>
    <row r="914">
      <c r="B914" s="227" t="n"/>
      <c r="C914" s="227" t="n"/>
      <c r="D914" s="227" t="n"/>
      <c r="E914" s="228" t="n"/>
      <c r="F914" s="192" t="n"/>
      <c r="G914" s="227" t="n"/>
      <c r="H914" s="227" t="n"/>
    </row>
    <row r="915">
      <c r="B915" s="227" t="n"/>
      <c r="C915" s="227" t="n"/>
      <c r="D915" s="227" t="n"/>
      <c r="E915" s="228" t="n"/>
      <c r="F915" s="192" t="n"/>
      <c r="G915" s="227" t="n"/>
      <c r="H915" s="227" t="n"/>
    </row>
    <row r="916">
      <c r="B916" s="227" t="n"/>
      <c r="C916" s="227" t="n"/>
      <c r="D916" s="227" t="n"/>
      <c r="E916" s="228" t="n"/>
      <c r="F916" s="192" t="n"/>
      <c r="G916" s="227" t="n"/>
      <c r="H916" s="227" t="n"/>
    </row>
    <row r="917">
      <c r="B917" s="227" t="n"/>
      <c r="C917" s="227" t="n"/>
      <c r="D917" s="227" t="n"/>
      <c r="E917" s="228" t="n"/>
      <c r="F917" s="192" t="n"/>
      <c r="G917" s="227" t="n"/>
      <c r="H917" s="227" t="n"/>
    </row>
    <row r="918">
      <c r="B918" s="227" t="n"/>
      <c r="C918" s="227" t="n"/>
      <c r="D918" s="227" t="n"/>
      <c r="E918" s="228" t="n"/>
      <c r="F918" s="192" t="n"/>
      <c r="G918" s="227" t="n"/>
      <c r="H918" s="227" t="n"/>
    </row>
    <row r="919">
      <c r="B919" s="227" t="n"/>
      <c r="C919" s="227" t="n"/>
      <c r="D919" s="227" t="n"/>
      <c r="E919" s="228" t="n"/>
      <c r="F919" s="192" t="n"/>
      <c r="G919" s="227" t="n"/>
      <c r="H919" s="227" t="n"/>
    </row>
    <row r="920">
      <c r="B920" s="227" t="n"/>
      <c r="C920" s="227" t="n"/>
      <c r="D920" s="227" t="n"/>
      <c r="E920" s="228" t="n"/>
      <c r="F920" s="192" t="n"/>
      <c r="G920" s="227" t="n"/>
      <c r="H920" s="227" t="n"/>
    </row>
    <row r="921">
      <c r="B921" s="227" t="n"/>
      <c r="C921" s="227" t="n"/>
      <c r="D921" s="227" t="n"/>
      <c r="E921" s="228" t="n"/>
      <c r="F921" s="192" t="n"/>
      <c r="G921" s="227" t="n"/>
      <c r="H921" s="227" t="n"/>
    </row>
    <row r="922">
      <c r="B922" s="227" t="n"/>
      <c r="C922" s="227" t="n"/>
      <c r="D922" s="227" t="n"/>
      <c r="E922" s="228" t="n"/>
      <c r="F922" s="192" t="n"/>
      <c r="G922" s="227" t="n"/>
      <c r="H922" s="227" t="n"/>
    </row>
    <row r="923">
      <c r="B923" s="227" t="n"/>
      <c r="C923" s="227" t="n"/>
      <c r="D923" s="227" t="n"/>
      <c r="E923" s="228" t="n"/>
      <c r="F923" s="192" t="n"/>
      <c r="G923" s="227" t="n"/>
      <c r="H923" s="227" t="n"/>
    </row>
    <row r="924">
      <c r="B924" s="227" t="n"/>
      <c r="C924" s="227" t="n"/>
      <c r="D924" s="227" t="n"/>
      <c r="E924" s="228" t="n"/>
      <c r="F924" s="192" t="n"/>
      <c r="G924" s="227" t="n"/>
      <c r="H924" s="227" t="n"/>
    </row>
    <row r="925">
      <c r="B925" s="227" t="n"/>
      <c r="C925" s="227" t="n"/>
      <c r="D925" s="227" t="n"/>
      <c r="E925" s="228" t="n"/>
      <c r="F925" s="192" t="n"/>
      <c r="G925" s="227" t="n"/>
      <c r="H925" s="227" t="n"/>
    </row>
    <row r="926">
      <c r="B926" s="227" t="n"/>
      <c r="C926" s="227" t="n"/>
      <c r="D926" s="227" t="n"/>
      <c r="E926" s="228" t="n"/>
      <c r="F926" s="192" t="n"/>
      <c r="G926" s="227" t="n"/>
      <c r="H926" s="227" t="n"/>
    </row>
    <row r="927">
      <c r="B927" s="227" t="n"/>
      <c r="C927" s="227" t="n"/>
      <c r="D927" s="227" t="n"/>
      <c r="E927" s="228" t="n"/>
      <c r="F927" s="192" t="n"/>
      <c r="G927" s="227" t="n"/>
      <c r="H927" s="227" t="n"/>
    </row>
    <row r="928">
      <c r="B928" s="227" t="n"/>
      <c r="C928" s="227" t="n"/>
      <c r="D928" s="227" t="n"/>
      <c r="E928" s="228" t="n"/>
      <c r="F928" s="192" t="n"/>
      <c r="G928" s="227" t="n"/>
      <c r="H928" s="227" t="n"/>
    </row>
    <row r="929">
      <c r="B929" s="227" t="n"/>
      <c r="C929" s="227" t="n"/>
      <c r="D929" s="227" t="n"/>
      <c r="E929" s="228" t="n"/>
      <c r="F929" s="192" t="n"/>
      <c r="G929" s="227" t="n"/>
      <c r="H929" s="227" t="n"/>
    </row>
    <row r="930">
      <c r="B930" s="227" t="n"/>
      <c r="C930" s="227" t="n"/>
      <c r="D930" s="227" t="n"/>
      <c r="E930" s="228" t="n"/>
      <c r="F930" s="192" t="n"/>
      <c r="G930" s="227" t="n"/>
      <c r="H930" s="227" t="n"/>
    </row>
    <row r="931">
      <c r="B931" s="227" t="n"/>
      <c r="C931" s="227" t="n"/>
      <c r="D931" s="227" t="n"/>
      <c r="E931" s="228" t="n"/>
      <c r="F931" s="192" t="n"/>
      <c r="G931" s="227" t="n"/>
      <c r="H931" s="227" t="n"/>
    </row>
    <row r="932">
      <c r="B932" s="227" t="n"/>
      <c r="C932" s="227" t="n"/>
      <c r="D932" s="227" t="n"/>
      <c r="E932" s="228" t="n"/>
      <c r="F932" s="192" t="n"/>
      <c r="G932" s="227" t="n"/>
      <c r="H932" s="227" t="n"/>
    </row>
    <row r="933">
      <c r="B933" s="227" t="n"/>
      <c r="C933" s="227" t="n"/>
      <c r="D933" s="227" t="n"/>
      <c r="E933" s="228" t="n"/>
      <c r="F933" s="192" t="n"/>
      <c r="G933" s="227" t="n"/>
      <c r="H933" s="227" t="n"/>
    </row>
    <row r="934">
      <c r="B934" s="227" t="n"/>
      <c r="C934" s="227" t="n"/>
      <c r="D934" s="227" t="n"/>
      <c r="E934" s="228" t="n"/>
      <c r="F934" s="192" t="n"/>
      <c r="G934" s="227" t="n"/>
      <c r="H934" s="227" t="n"/>
    </row>
    <row r="935">
      <c r="B935" s="227" t="n"/>
      <c r="C935" s="227" t="n"/>
      <c r="D935" s="227" t="n"/>
      <c r="E935" s="228" t="n"/>
      <c r="F935" s="192" t="n"/>
      <c r="G935" s="227" t="n"/>
      <c r="H935" s="227" t="n"/>
    </row>
    <row r="936">
      <c r="B936" s="227" t="n"/>
      <c r="C936" s="227" t="n"/>
      <c r="D936" s="227" t="n"/>
      <c r="E936" s="228" t="n"/>
      <c r="F936" s="192" t="n"/>
      <c r="G936" s="227" t="n"/>
      <c r="H936" s="227" t="n"/>
    </row>
    <row r="937">
      <c r="B937" s="227" t="n"/>
      <c r="C937" s="227" t="n"/>
      <c r="D937" s="227" t="n"/>
      <c r="E937" s="228" t="n"/>
      <c r="F937" s="192" t="n"/>
      <c r="G937" s="227" t="n"/>
      <c r="H937" s="227" t="n"/>
    </row>
    <row r="938">
      <c r="B938" s="227" t="n"/>
      <c r="C938" s="227" t="n"/>
      <c r="D938" s="227" t="n"/>
      <c r="E938" s="228" t="n"/>
      <c r="F938" s="192" t="n"/>
      <c r="G938" s="227" t="n"/>
      <c r="H938" s="227" t="n"/>
    </row>
    <row r="939">
      <c r="B939" s="227" t="n"/>
      <c r="C939" s="227" t="n"/>
      <c r="D939" s="227" t="n"/>
      <c r="E939" s="228" t="n"/>
      <c r="F939" s="192" t="n"/>
      <c r="G939" s="227" t="n"/>
      <c r="H939" s="227" t="n"/>
    </row>
    <row r="940">
      <c r="B940" s="227" t="n"/>
      <c r="C940" s="227" t="n"/>
      <c r="D940" s="227" t="n"/>
      <c r="E940" s="228" t="n"/>
      <c r="F940" s="192" t="n"/>
      <c r="G940" s="227" t="n"/>
      <c r="H940" s="227" t="n"/>
    </row>
    <row r="941">
      <c r="B941" s="227" t="n"/>
      <c r="C941" s="227" t="n"/>
      <c r="D941" s="227" t="n"/>
      <c r="E941" s="228" t="n"/>
      <c r="F941" s="192" t="n"/>
      <c r="G941" s="227" t="n"/>
      <c r="H941" s="227" t="n"/>
    </row>
    <row r="942">
      <c r="B942" s="227" t="n"/>
      <c r="C942" s="227" t="n"/>
      <c r="D942" s="227" t="n"/>
      <c r="E942" s="228" t="n"/>
      <c r="F942" s="192" t="n"/>
      <c r="G942" s="227" t="n"/>
      <c r="H942" s="227" t="n"/>
    </row>
    <row r="943">
      <c r="B943" s="227" t="n"/>
      <c r="C943" s="227" t="n"/>
      <c r="D943" s="227" t="n"/>
      <c r="E943" s="228" t="n"/>
      <c r="F943" s="192" t="n"/>
      <c r="G943" s="227" t="n"/>
      <c r="H943" s="227" t="n"/>
    </row>
    <row r="944">
      <c r="B944" s="227" t="n"/>
      <c r="C944" s="227" t="n"/>
      <c r="D944" s="227" t="n"/>
      <c r="E944" s="228" t="n"/>
      <c r="F944" s="192" t="n"/>
      <c r="G944" s="227" t="n"/>
      <c r="H944" s="227" t="n"/>
    </row>
    <row r="945">
      <c r="B945" s="227" t="n"/>
      <c r="C945" s="227" t="n"/>
      <c r="D945" s="227" t="n"/>
      <c r="E945" s="228" t="n"/>
      <c r="F945" s="192" t="n"/>
      <c r="G945" s="227" t="n"/>
      <c r="H945" s="227" t="n"/>
    </row>
    <row r="946">
      <c r="B946" s="227" t="n"/>
      <c r="C946" s="227" t="n"/>
      <c r="D946" s="227" t="n"/>
      <c r="E946" s="228" t="n"/>
      <c r="F946" s="192" t="n"/>
      <c r="G946" s="227" t="n"/>
      <c r="H946" s="227" t="n"/>
    </row>
    <row r="947">
      <c r="B947" s="227" t="n"/>
      <c r="C947" s="227" t="n"/>
      <c r="D947" s="227" t="n"/>
      <c r="E947" s="228" t="n"/>
      <c r="F947" s="192" t="n"/>
      <c r="G947" s="227" t="n"/>
      <c r="H947" s="227" t="n"/>
    </row>
    <row r="948">
      <c r="B948" s="227" t="n"/>
      <c r="C948" s="227" t="n"/>
      <c r="D948" s="227" t="n"/>
      <c r="E948" s="228" t="n"/>
      <c r="F948" s="192" t="n"/>
      <c r="G948" s="227" t="n"/>
      <c r="H948" s="227" t="n"/>
    </row>
    <row r="949">
      <c r="B949" s="227" t="n"/>
      <c r="C949" s="227" t="n"/>
      <c r="D949" s="227" t="n"/>
      <c r="E949" s="228" t="n"/>
      <c r="F949" s="192" t="n"/>
      <c r="G949" s="227" t="n"/>
      <c r="H949" s="227" t="n"/>
    </row>
    <row r="950">
      <c r="B950" s="227" t="n"/>
      <c r="C950" s="227" t="n"/>
      <c r="D950" s="227" t="n"/>
      <c r="E950" s="228" t="n"/>
      <c r="F950" s="192" t="n"/>
      <c r="G950" s="227" t="n"/>
      <c r="H950" s="227" t="n"/>
    </row>
    <row r="951">
      <c r="B951" s="227" t="n"/>
      <c r="C951" s="227" t="n"/>
      <c r="D951" s="227" t="n"/>
      <c r="E951" s="228" t="n"/>
      <c r="F951" s="192" t="n"/>
      <c r="G951" s="227" t="n"/>
      <c r="H951" s="227" t="n"/>
    </row>
    <row r="952">
      <c r="B952" s="227" t="n"/>
      <c r="C952" s="227" t="n"/>
      <c r="D952" s="227" t="n"/>
      <c r="E952" s="228" t="n"/>
      <c r="F952" s="192" t="n"/>
      <c r="G952" s="227" t="n"/>
      <c r="H952" s="227" t="n"/>
    </row>
    <row r="953">
      <c r="B953" s="227" t="n"/>
      <c r="C953" s="227" t="n"/>
      <c r="D953" s="227" t="n"/>
      <c r="E953" s="228" t="n"/>
      <c r="F953" s="192" t="n"/>
      <c r="G953" s="227" t="n"/>
      <c r="H953" s="227" t="n"/>
    </row>
    <row r="954">
      <c r="B954" s="227" t="n"/>
      <c r="C954" s="227" t="n"/>
      <c r="D954" s="227" t="n"/>
      <c r="E954" s="228" t="n"/>
      <c r="F954" s="192" t="n"/>
      <c r="G954" s="227" t="n"/>
      <c r="H954" s="227" t="n"/>
    </row>
    <row r="955">
      <c r="B955" s="227" t="n"/>
      <c r="C955" s="227" t="n"/>
      <c r="D955" s="227" t="n"/>
      <c r="E955" s="228" t="n"/>
      <c r="F955" s="192" t="n"/>
      <c r="G955" s="227" t="n"/>
      <c r="H955" s="227" t="n"/>
    </row>
    <row r="956">
      <c r="B956" s="227" t="n"/>
      <c r="C956" s="227" t="n"/>
      <c r="D956" s="227" t="n"/>
      <c r="E956" s="228" t="n"/>
      <c r="F956" s="192" t="n"/>
      <c r="G956" s="227" t="n"/>
      <c r="H956" s="227" t="n"/>
    </row>
    <row r="957">
      <c r="B957" s="227" t="n"/>
      <c r="C957" s="227" t="n"/>
      <c r="D957" s="227" t="n"/>
      <c r="E957" s="228" t="n"/>
      <c r="F957" s="192" t="n"/>
      <c r="G957" s="227" t="n"/>
      <c r="H957" s="227" t="n"/>
    </row>
    <row r="958">
      <c r="B958" s="227" t="n"/>
      <c r="C958" s="227" t="n"/>
      <c r="D958" s="227" t="n"/>
      <c r="E958" s="228" t="n"/>
      <c r="F958" s="192" t="n"/>
      <c r="G958" s="227" t="n"/>
      <c r="H958" s="227" t="n"/>
    </row>
    <row r="959">
      <c r="B959" s="227" t="n"/>
      <c r="C959" s="227" t="n"/>
      <c r="D959" s="227" t="n"/>
      <c r="E959" s="228" t="n"/>
      <c r="F959" s="192" t="n"/>
      <c r="G959" s="227" t="n"/>
      <c r="H959" s="227" t="n"/>
    </row>
    <row r="960">
      <c r="B960" s="227" t="n"/>
      <c r="C960" s="227" t="n"/>
      <c r="D960" s="227" t="n"/>
      <c r="E960" s="228" t="n"/>
      <c r="F960" s="192" t="n"/>
      <c r="G960" s="227" t="n"/>
      <c r="H960" s="227" t="n"/>
    </row>
    <row r="961">
      <c r="B961" s="227" t="n"/>
      <c r="C961" s="227" t="n"/>
      <c r="D961" s="227" t="n"/>
      <c r="E961" s="228" t="n"/>
      <c r="F961" s="192" t="n"/>
      <c r="G961" s="227" t="n"/>
      <c r="H961" s="227" t="n"/>
    </row>
    <row r="962">
      <c r="B962" s="227" t="n"/>
      <c r="C962" s="227" t="n"/>
      <c r="D962" s="227" t="n"/>
      <c r="E962" s="228" t="n"/>
      <c r="F962" s="192" t="n"/>
      <c r="G962" s="227" t="n"/>
      <c r="H962" s="227" t="n"/>
    </row>
    <row r="963">
      <c r="B963" s="227" t="n"/>
      <c r="C963" s="227" t="n"/>
      <c r="D963" s="227" t="n"/>
      <c r="E963" s="228" t="n"/>
      <c r="F963" s="192" t="n"/>
      <c r="G963" s="227" t="n"/>
      <c r="H963" s="227" t="n"/>
    </row>
    <row r="964">
      <c r="B964" s="227" t="n"/>
      <c r="C964" s="227" t="n"/>
      <c r="D964" s="227" t="n"/>
      <c r="E964" s="228" t="n"/>
      <c r="F964" s="192" t="n"/>
      <c r="G964" s="227" t="n"/>
      <c r="H964" s="227" t="n"/>
    </row>
    <row r="965">
      <c r="B965" s="227" t="n"/>
      <c r="C965" s="227" t="n"/>
      <c r="D965" s="227" t="n"/>
      <c r="E965" s="228" t="n"/>
      <c r="F965" s="192" t="n"/>
      <c r="G965" s="227" t="n"/>
      <c r="H965" s="227" t="n"/>
    </row>
    <row r="966">
      <c r="B966" s="227" t="n"/>
      <c r="C966" s="227" t="n"/>
      <c r="D966" s="227" t="n"/>
      <c r="E966" s="228" t="n"/>
      <c r="F966" s="192" t="n"/>
      <c r="G966" s="227" t="n"/>
      <c r="H966" s="227" t="n"/>
    </row>
    <row r="967">
      <c r="B967" s="227" t="n"/>
      <c r="C967" s="227" t="n"/>
      <c r="D967" s="227" t="n"/>
      <c r="E967" s="228" t="n"/>
      <c r="F967" s="192" t="n"/>
      <c r="G967" s="227" t="n"/>
      <c r="H967" s="227" t="n"/>
    </row>
    <row r="968">
      <c r="B968" s="227" t="n"/>
      <c r="C968" s="227" t="n"/>
      <c r="D968" s="227" t="n"/>
      <c r="E968" s="228" t="n"/>
      <c r="F968" s="192" t="n"/>
      <c r="G968" s="227" t="n"/>
      <c r="H968" s="227" t="n"/>
    </row>
    <row r="969">
      <c r="B969" s="227" t="n"/>
      <c r="C969" s="227" t="n"/>
      <c r="D969" s="227" t="n"/>
      <c r="E969" s="228" t="n"/>
      <c r="F969" s="192" t="n"/>
      <c r="G969" s="227" t="n"/>
      <c r="H969" s="227" t="n"/>
    </row>
    <row r="970">
      <c r="B970" s="227" t="n"/>
      <c r="C970" s="227" t="n"/>
      <c r="D970" s="227" t="n"/>
      <c r="E970" s="228" t="n"/>
      <c r="F970" s="192" t="n"/>
      <c r="G970" s="227" t="n"/>
      <c r="H970" s="227" t="n"/>
    </row>
    <row r="971">
      <c r="B971" s="227" t="n"/>
      <c r="C971" s="227" t="n"/>
      <c r="D971" s="227" t="n"/>
      <c r="E971" s="228" t="n"/>
      <c r="F971" s="192" t="n"/>
      <c r="G971" s="227" t="n"/>
      <c r="H971" s="227" t="n"/>
    </row>
    <row r="972">
      <c r="B972" s="227" t="n"/>
      <c r="C972" s="227" t="n"/>
      <c r="D972" s="227" t="n"/>
      <c r="E972" s="228" t="n"/>
      <c r="F972" s="192" t="n"/>
      <c r="G972" s="227" t="n"/>
      <c r="H972" s="227" t="n"/>
    </row>
    <row r="973">
      <c r="B973" s="227" t="n"/>
      <c r="C973" s="227" t="n"/>
      <c r="D973" s="227" t="n"/>
      <c r="E973" s="228" t="n"/>
      <c r="F973" s="192" t="n"/>
      <c r="G973" s="227" t="n"/>
      <c r="H973" s="227" t="n"/>
    </row>
    <row r="974">
      <c r="B974" s="227" t="n"/>
      <c r="C974" s="227" t="n"/>
      <c r="D974" s="227" t="n"/>
      <c r="E974" s="228" t="n"/>
      <c r="F974" s="192" t="n"/>
      <c r="G974" s="227" t="n"/>
      <c r="H974" s="227" t="n"/>
    </row>
    <row r="975">
      <c r="B975" s="227" t="n"/>
      <c r="C975" s="227" t="n"/>
      <c r="D975" s="227" t="n"/>
      <c r="E975" s="228" t="n"/>
      <c r="F975" s="192" t="n"/>
      <c r="G975" s="227" t="n"/>
      <c r="H975" s="227" t="n"/>
    </row>
    <row r="976">
      <c r="B976" s="227" t="n"/>
      <c r="C976" s="227" t="n"/>
      <c r="D976" s="227" t="n"/>
      <c r="E976" s="228" t="n"/>
      <c r="F976" s="192" t="n"/>
      <c r="G976" s="227" t="n"/>
      <c r="H976" s="227" t="n"/>
    </row>
    <row r="977">
      <c r="B977" s="227" t="n"/>
      <c r="C977" s="227" t="n"/>
      <c r="D977" s="227" t="n"/>
      <c r="E977" s="228" t="n"/>
      <c r="F977" s="192" t="n"/>
      <c r="G977" s="227" t="n"/>
      <c r="H977" s="227" t="n"/>
    </row>
    <row r="978">
      <c r="B978" s="227" t="n"/>
      <c r="C978" s="227" t="n"/>
      <c r="D978" s="227" t="n"/>
      <c r="E978" s="228" t="n"/>
      <c r="F978" s="192" t="n"/>
      <c r="G978" s="227" t="n"/>
      <c r="H978" s="227" t="n"/>
    </row>
    <row r="979">
      <c r="B979" s="227" t="n"/>
      <c r="C979" s="227" t="n"/>
      <c r="D979" s="227" t="n"/>
      <c r="E979" s="228" t="n"/>
      <c r="F979" s="192" t="n"/>
      <c r="G979" s="227" t="n"/>
      <c r="H979" s="227" t="n"/>
    </row>
    <row r="980">
      <c r="B980" s="227" t="n"/>
      <c r="C980" s="227" t="n"/>
      <c r="D980" s="227" t="n"/>
      <c r="E980" s="228" t="n"/>
      <c r="F980" s="192" t="n"/>
      <c r="G980" s="227" t="n"/>
      <c r="H980" s="227" t="n"/>
    </row>
    <row r="981">
      <c r="B981" s="227" t="n"/>
      <c r="C981" s="227" t="n"/>
      <c r="D981" s="227" t="n"/>
      <c r="E981" s="228" t="n"/>
      <c r="F981" s="192" t="n"/>
      <c r="G981" s="227" t="n"/>
      <c r="H981" s="227" t="n"/>
    </row>
    <row r="982">
      <c r="B982" s="227" t="n"/>
      <c r="C982" s="227" t="n"/>
      <c r="D982" s="227" t="n"/>
      <c r="E982" s="228" t="n"/>
      <c r="F982" s="192" t="n"/>
      <c r="G982" s="227" t="n"/>
      <c r="H982" s="227" t="n"/>
    </row>
    <row r="983">
      <c r="B983" s="227" t="n"/>
      <c r="C983" s="227" t="n"/>
      <c r="D983" s="227" t="n"/>
      <c r="E983" s="228" t="n"/>
      <c r="F983" s="192" t="n"/>
      <c r="G983" s="227" t="n"/>
      <c r="H983" s="227" t="n"/>
    </row>
    <row r="984">
      <c r="B984" s="227" t="n"/>
      <c r="C984" s="227" t="n"/>
      <c r="D984" s="227" t="n"/>
      <c r="E984" s="228" t="n"/>
      <c r="F984" s="192" t="n"/>
      <c r="G984" s="227" t="n"/>
      <c r="H984" s="227" t="n"/>
    </row>
    <row r="985">
      <c r="B985" s="227" t="n"/>
      <c r="C985" s="227" t="n"/>
      <c r="D985" s="227" t="n"/>
      <c r="E985" s="228" t="n"/>
      <c r="F985" s="192" t="n"/>
      <c r="G985" s="227" t="n"/>
      <c r="H985" s="227" t="n"/>
    </row>
    <row r="986">
      <c r="B986" s="227" t="n"/>
      <c r="C986" s="227" t="n"/>
      <c r="D986" s="227" t="n"/>
      <c r="E986" s="228" t="n"/>
      <c r="F986" s="192" t="n"/>
      <c r="G986" s="227" t="n"/>
      <c r="H986" s="227" t="n"/>
    </row>
    <row r="987">
      <c r="B987" s="227" t="n"/>
      <c r="C987" s="227" t="n"/>
      <c r="D987" s="227" t="n"/>
      <c r="E987" s="228" t="n"/>
      <c r="F987" s="192" t="n"/>
      <c r="G987" s="227" t="n"/>
      <c r="H987" s="227" t="n"/>
    </row>
    <row r="988">
      <c r="B988" s="227" t="n"/>
      <c r="C988" s="227" t="n"/>
      <c r="D988" s="227" t="n"/>
      <c r="E988" s="228" t="n"/>
      <c r="F988" s="192" t="n"/>
      <c r="G988" s="227" t="n"/>
      <c r="H988" s="227" t="n"/>
    </row>
    <row r="989">
      <c r="B989" s="227" t="n"/>
      <c r="C989" s="227" t="n"/>
      <c r="D989" s="227" t="n"/>
      <c r="E989" s="228" t="n"/>
      <c r="F989" s="192" t="n"/>
      <c r="G989" s="227" t="n"/>
      <c r="H989" s="227" t="n"/>
    </row>
    <row r="990">
      <c r="B990" s="227" t="n"/>
      <c r="C990" s="227" t="n"/>
      <c r="D990" s="227" t="n"/>
      <c r="E990" s="228" t="n"/>
      <c r="F990" s="192" t="n"/>
      <c r="G990" s="227" t="n"/>
      <c r="H990" s="227" t="n"/>
    </row>
    <row r="991">
      <c r="B991" s="227" t="n"/>
      <c r="C991" s="227" t="n"/>
      <c r="D991" s="227" t="n"/>
      <c r="E991" s="228" t="n"/>
      <c r="F991" s="192" t="n"/>
      <c r="G991" s="227" t="n"/>
      <c r="H991" s="227" t="n"/>
    </row>
    <row r="992">
      <c r="B992" s="227" t="n"/>
      <c r="C992" s="227" t="n"/>
      <c r="D992" s="227" t="n"/>
      <c r="E992" s="228" t="n"/>
      <c r="F992" s="192" t="n"/>
      <c r="G992" s="227" t="n"/>
      <c r="H992" s="227" t="n"/>
    </row>
    <row r="993">
      <c r="B993" s="227" t="n"/>
      <c r="C993" s="227" t="n"/>
      <c r="D993" s="227" t="n"/>
      <c r="E993" s="228" t="n"/>
      <c r="F993" s="192" t="n"/>
      <c r="G993" s="227" t="n"/>
      <c r="H993" s="227" t="n"/>
    </row>
    <row r="994">
      <c r="B994" s="227" t="n"/>
      <c r="C994" s="227" t="n"/>
      <c r="D994" s="227" t="n"/>
      <c r="E994" s="228" t="n"/>
      <c r="F994" s="192" t="n"/>
      <c r="G994" s="227" t="n"/>
      <c r="H994" s="227" t="n"/>
    </row>
    <row r="995">
      <c r="B995" s="227" t="n"/>
      <c r="C995" s="227" t="n"/>
      <c r="D995" s="227" t="n"/>
      <c r="E995" s="228" t="n"/>
      <c r="F995" s="192" t="n"/>
      <c r="G995" s="227" t="n"/>
      <c r="H995" s="227" t="n"/>
    </row>
    <row r="996">
      <c r="B996" s="227" t="n"/>
      <c r="C996" s="227" t="n"/>
      <c r="D996" s="227" t="n"/>
      <c r="E996" s="228" t="n"/>
      <c r="F996" s="192" t="n"/>
      <c r="G996" s="227" t="n"/>
      <c r="H996" s="227" t="n"/>
    </row>
    <row r="997">
      <c r="B997" s="227" t="n"/>
      <c r="C997" s="227" t="n"/>
      <c r="D997" s="227" t="n"/>
      <c r="E997" s="228" t="n"/>
      <c r="F997" s="192" t="n"/>
      <c r="G997" s="227" t="n"/>
      <c r="H997" s="227" t="n"/>
    </row>
    <row r="998">
      <c r="B998" s="227" t="n"/>
      <c r="C998" s="227" t="n"/>
      <c r="D998" s="227" t="n"/>
      <c r="E998" s="228" t="n"/>
      <c r="F998" s="192" t="n"/>
      <c r="G998" s="227" t="n"/>
      <c r="H998" s="227" t="n"/>
    </row>
    <row r="999">
      <c r="B999" s="227" t="n"/>
      <c r="C999" s="227" t="n"/>
      <c r="D999" s="227" t="n"/>
      <c r="E999" s="228" t="n"/>
      <c r="F999" s="192" t="n"/>
      <c r="G999" s="227" t="n"/>
      <c r="H999" s="227" t="n"/>
    </row>
    <row r="1000">
      <c r="B1000" s="227" t="n"/>
      <c r="C1000" s="227" t="n"/>
      <c r="D1000" s="227" t="n"/>
      <c r="E1000" s="228" t="n"/>
      <c r="F1000" s="192" t="n"/>
      <c r="G1000" s="227" t="n"/>
      <c r="H1000" s="227" t="n"/>
    </row>
    <row r="1001">
      <c r="B1001" s="227" t="n"/>
      <c r="C1001" s="227" t="n"/>
      <c r="D1001" s="227" t="n"/>
      <c r="E1001" s="228" t="n"/>
      <c r="F1001" s="192" t="n"/>
      <c r="G1001" s="227" t="n"/>
      <c r="H1001" s="227" t="n"/>
    </row>
    <row r="1002">
      <c r="B1002" s="227" t="n"/>
      <c r="C1002" s="227" t="n"/>
      <c r="D1002" s="227" t="n"/>
      <c r="E1002" s="228" t="n"/>
      <c r="F1002" s="192" t="n"/>
      <c r="G1002" s="227" t="n"/>
      <c r="H1002" s="227" t="n"/>
    </row>
    <row r="1003">
      <c r="B1003" s="227" t="n"/>
      <c r="C1003" s="227" t="n"/>
      <c r="D1003" s="227" t="n"/>
      <c r="E1003" s="228" t="n"/>
      <c r="F1003" s="192" t="n"/>
      <c r="G1003" s="227" t="n"/>
      <c r="H1003" s="227" t="n"/>
    </row>
    <row r="1004">
      <c r="B1004" s="227" t="n"/>
      <c r="C1004" s="227" t="n"/>
      <c r="D1004" s="227" t="n"/>
      <c r="E1004" s="228" t="n"/>
      <c r="F1004" s="192" t="n"/>
      <c r="G1004" s="227" t="n"/>
      <c r="H1004" s="227" t="n"/>
    </row>
    <row r="1005">
      <c r="B1005" s="227" t="n"/>
      <c r="C1005" s="227" t="n"/>
      <c r="D1005" s="227" t="n"/>
      <c r="E1005" s="228" t="n"/>
      <c r="F1005" s="192" t="n"/>
      <c r="G1005" s="227" t="n"/>
      <c r="H1005" s="227" t="n"/>
    </row>
    <row r="1006">
      <c r="B1006" s="227" t="n"/>
      <c r="C1006" s="227" t="n"/>
      <c r="D1006" s="227" t="n"/>
      <c r="E1006" s="228" t="n"/>
      <c r="F1006" s="192" t="n"/>
      <c r="G1006" s="227" t="n"/>
      <c r="H1006" s="227" t="n"/>
    </row>
    <row r="1007">
      <c r="B1007" s="227" t="n"/>
      <c r="C1007" s="227" t="n"/>
      <c r="D1007" s="227" t="n"/>
      <c r="E1007" s="228" t="n"/>
      <c r="F1007" s="192" t="n"/>
      <c r="G1007" s="227" t="n"/>
      <c r="H1007" s="227" t="n"/>
    </row>
    <row r="1008">
      <c r="B1008" s="227" t="n"/>
      <c r="C1008" s="227" t="n"/>
      <c r="D1008" s="227" t="n"/>
      <c r="E1008" s="228" t="n"/>
      <c r="F1008" s="192" t="n"/>
      <c r="G1008" s="227" t="n"/>
      <c r="H1008" s="227" t="n"/>
    </row>
    <row r="1009">
      <c r="B1009" s="227" t="n"/>
      <c r="C1009" s="227" t="n"/>
      <c r="D1009" s="227" t="n"/>
      <c r="E1009" s="228" t="n"/>
      <c r="F1009" s="192" t="n"/>
      <c r="G1009" s="227" t="n"/>
      <c r="H1009" s="227" t="n"/>
    </row>
    <row r="1010">
      <c r="B1010" s="227" t="n"/>
      <c r="C1010" s="227" t="n"/>
      <c r="D1010" s="227" t="n"/>
      <c r="E1010" s="228" t="n"/>
      <c r="F1010" s="192" t="n"/>
      <c r="G1010" s="227" t="n"/>
      <c r="H1010" s="227" t="n"/>
    </row>
    <row r="1011">
      <c r="B1011" s="227" t="n"/>
      <c r="C1011" s="227" t="n"/>
      <c r="D1011" s="227" t="n"/>
      <c r="E1011" s="228" t="n"/>
      <c r="F1011" s="192" t="n"/>
      <c r="G1011" s="227" t="n"/>
      <c r="H1011" s="227" t="n"/>
    </row>
    <row r="1012">
      <c r="B1012" s="227" t="n"/>
      <c r="C1012" s="227" t="n"/>
      <c r="D1012" s="227" t="n"/>
      <c r="E1012" s="228" t="n"/>
      <c r="F1012" s="192" t="n"/>
      <c r="G1012" s="227" t="n"/>
      <c r="H1012" s="227" t="n"/>
    </row>
    <row r="1013">
      <c r="B1013" s="227" t="n"/>
      <c r="C1013" s="227" t="n"/>
      <c r="D1013" s="227" t="n"/>
      <c r="E1013" s="228" t="n"/>
      <c r="F1013" s="192" t="n"/>
      <c r="G1013" s="227" t="n"/>
      <c r="H1013" s="227" t="n"/>
    </row>
    <row r="1014">
      <c r="B1014" s="227" t="n"/>
      <c r="C1014" s="227" t="n"/>
      <c r="D1014" s="227" t="n"/>
      <c r="E1014" s="228" t="n"/>
      <c r="F1014" s="192" t="n"/>
      <c r="G1014" s="227" t="n"/>
      <c r="H1014" s="227" t="n"/>
    </row>
    <row r="1015">
      <c r="B1015" s="227" t="n"/>
      <c r="C1015" s="227" t="n"/>
      <c r="D1015" s="227" t="n"/>
      <c r="E1015" s="228" t="n"/>
      <c r="F1015" s="192" t="n"/>
      <c r="G1015" s="227" t="n"/>
      <c r="H1015" s="227" t="n"/>
    </row>
    <row r="1016">
      <c r="B1016" s="227" t="n"/>
      <c r="C1016" s="227" t="n"/>
      <c r="D1016" s="227" t="n"/>
      <c r="E1016" s="228" t="n"/>
      <c r="F1016" s="192" t="n"/>
      <c r="G1016" s="227" t="n"/>
      <c r="H1016" s="227" t="n"/>
    </row>
    <row r="1017">
      <c r="B1017" s="227" t="n"/>
      <c r="C1017" s="227" t="n"/>
      <c r="D1017" s="227" t="n"/>
      <c r="E1017" s="228" t="n"/>
      <c r="F1017" s="192" t="n"/>
      <c r="G1017" s="227" t="n"/>
      <c r="H1017" s="227" t="n"/>
    </row>
    <row r="1018">
      <c r="B1018" s="227" t="n"/>
      <c r="C1018" s="227" t="n"/>
      <c r="D1018" s="227" t="n"/>
      <c r="E1018" s="228" t="n"/>
      <c r="F1018" s="192" t="n"/>
      <c r="G1018" s="227" t="n"/>
      <c r="H1018" s="227" t="n"/>
    </row>
    <row r="1019">
      <c r="B1019" s="227" t="n"/>
      <c r="C1019" s="227" t="n"/>
      <c r="D1019" s="227" t="n"/>
      <c r="E1019" s="228" t="n"/>
      <c r="F1019" s="192" t="n"/>
      <c r="G1019" s="227" t="n"/>
      <c r="H1019" s="227" t="n"/>
    </row>
    <row r="1020">
      <c r="B1020" s="227" t="n"/>
      <c r="C1020" s="227" t="n"/>
      <c r="D1020" s="227" t="n"/>
      <c r="E1020" s="228" t="n"/>
      <c r="F1020" s="192" t="n"/>
      <c r="G1020" s="227" t="n"/>
      <c r="H1020" s="227" t="n"/>
    </row>
    <row r="1021">
      <c r="B1021" s="227" t="n"/>
      <c r="C1021" s="227" t="n"/>
      <c r="D1021" s="227" t="n"/>
      <c r="E1021" s="228" t="n"/>
      <c r="F1021" s="192" t="n"/>
      <c r="G1021" s="227" t="n"/>
      <c r="H1021" s="227" t="n"/>
    </row>
    <row r="1022">
      <c r="B1022" s="227" t="n"/>
      <c r="C1022" s="227" t="n"/>
      <c r="D1022" s="227" t="n"/>
      <c r="E1022" s="228" t="n"/>
      <c r="F1022" s="192" t="n"/>
      <c r="G1022" s="227" t="n"/>
      <c r="H1022" s="227" t="n"/>
    </row>
    <row r="1023">
      <c r="B1023" s="227" t="n"/>
      <c r="C1023" s="227" t="n"/>
      <c r="D1023" s="227" t="n"/>
      <c r="E1023" s="228" t="n"/>
      <c r="F1023" s="192" t="n"/>
      <c r="G1023" s="227" t="n"/>
      <c r="H1023" s="227" t="n"/>
    </row>
    <row r="1024">
      <c r="B1024" s="227" t="n"/>
      <c r="C1024" s="227" t="n"/>
      <c r="D1024" s="227" t="n"/>
      <c r="E1024" s="228" t="n"/>
      <c r="F1024" s="192" t="n"/>
      <c r="G1024" s="227" t="n"/>
      <c r="H1024" s="227" t="n"/>
    </row>
    <row r="1025">
      <c r="B1025" s="227" t="n"/>
      <c r="C1025" s="227" t="n"/>
      <c r="D1025" s="227" t="n"/>
      <c r="E1025" s="228" t="n"/>
      <c r="F1025" s="192" t="n"/>
      <c r="G1025" s="227" t="n"/>
      <c r="H1025" s="227" t="n"/>
    </row>
    <row r="1026">
      <c r="B1026" s="227" t="n"/>
      <c r="C1026" s="227" t="n"/>
      <c r="D1026" s="227" t="n"/>
      <c r="E1026" s="228" t="n"/>
      <c r="F1026" s="192" t="n"/>
      <c r="G1026" s="227" t="n"/>
      <c r="H1026" s="227" t="n"/>
    </row>
    <row r="1027">
      <c r="B1027" s="227" t="n"/>
      <c r="C1027" s="227" t="n"/>
      <c r="D1027" s="227" t="n"/>
      <c r="E1027" s="228" t="n"/>
      <c r="F1027" s="192" t="n"/>
      <c r="G1027" s="227" t="n"/>
      <c r="H1027" s="227" t="n"/>
    </row>
    <row r="1028">
      <c r="B1028" s="227" t="n"/>
      <c r="C1028" s="227" t="n"/>
      <c r="D1028" s="227" t="n"/>
      <c r="E1028" s="228" t="n"/>
      <c r="F1028" s="192" t="n"/>
      <c r="G1028" s="227" t="n"/>
      <c r="H1028" s="227" t="n"/>
    </row>
    <row r="1029">
      <c r="B1029" s="227" t="n"/>
      <c r="C1029" s="227" t="n"/>
      <c r="D1029" s="227" t="n"/>
      <c r="E1029" s="228" t="n"/>
      <c r="F1029" s="192" t="n"/>
      <c r="G1029" s="227" t="n"/>
      <c r="H1029" s="227" t="n"/>
    </row>
    <row r="1030">
      <c r="B1030" s="227" t="n"/>
      <c r="C1030" s="227" t="n"/>
      <c r="D1030" s="227" t="n"/>
      <c r="E1030" s="228" t="n"/>
      <c r="F1030" s="192" t="n"/>
      <c r="G1030" s="227" t="n"/>
      <c r="H1030" s="227" t="n"/>
    </row>
    <row r="1031">
      <c r="B1031" s="227" t="n"/>
      <c r="C1031" s="227" t="n"/>
      <c r="D1031" s="227" t="n"/>
      <c r="E1031" s="228" t="n"/>
      <c r="F1031" s="192" t="n"/>
      <c r="G1031" s="227" t="n"/>
      <c r="H1031" s="227" t="n"/>
    </row>
    <row r="1032">
      <c r="B1032" s="227" t="n"/>
      <c r="C1032" s="227" t="n"/>
      <c r="D1032" s="227" t="n"/>
      <c r="E1032" s="228" t="n"/>
      <c r="F1032" s="192" t="n"/>
      <c r="G1032" s="227" t="n"/>
      <c r="H1032" s="227" t="n"/>
    </row>
    <row r="1033">
      <c r="B1033" s="227" t="n"/>
      <c r="C1033" s="227" t="n"/>
      <c r="D1033" s="227" t="n"/>
      <c r="E1033" s="228" t="n"/>
      <c r="F1033" s="192" t="n"/>
      <c r="G1033" s="227" t="n"/>
      <c r="H1033" s="227" t="n"/>
    </row>
    <row r="1034">
      <c r="B1034" s="227" t="n"/>
      <c r="C1034" s="227" t="n"/>
      <c r="D1034" s="227" t="n"/>
      <c r="E1034" s="228" t="n"/>
      <c r="F1034" s="192" t="n"/>
      <c r="G1034" s="227" t="n"/>
      <c r="H1034" s="227" t="n"/>
    </row>
    <row r="1035">
      <c r="B1035" s="227" t="n"/>
      <c r="C1035" s="227" t="n"/>
      <c r="D1035" s="227" t="n"/>
      <c r="E1035" s="228" t="n"/>
      <c r="F1035" s="192" t="n"/>
      <c r="G1035" s="227" t="n"/>
      <c r="H1035" s="227" t="n"/>
    </row>
    <row r="1036">
      <c r="B1036" s="227" t="n"/>
      <c r="C1036" s="227" t="n"/>
      <c r="D1036" s="227" t="n"/>
      <c r="E1036" s="228" t="n"/>
      <c r="F1036" s="192" t="n"/>
      <c r="G1036" s="227" t="n"/>
      <c r="H1036" s="227" t="n"/>
    </row>
    <row r="1037">
      <c r="B1037" s="227" t="n"/>
      <c r="C1037" s="227" t="n"/>
      <c r="D1037" s="227" t="n"/>
      <c r="E1037" s="228" t="n"/>
      <c r="F1037" s="192" t="n"/>
      <c r="G1037" s="227" t="n"/>
      <c r="H1037" s="227" t="n"/>
    </row>
    <row r="1038">
      <c r="B1038" s="227" t="n"/>
      <c r="C1038" s="227" t="n"/>
      <c r="D1038" s="227" t="n"/>
      <c r="E1038" s="228" t="n"/>
      <c r="F1038" s="192" t="n"/>
      <c r="G1038" s="227" t="n"/>
      <c r="H1038" s="227" t="n"/>
    </row>
    <row r="1039">
      <c r="B1039" s="227" t="n"/>
      <c r="C1039" s="227" t="n"/>
      <c r="D1039" s="227" t="n"/>
      <c r="E1039" s="228" t="n"/>
      <c r="F1039" s="192" t="n"/>
      <c r="G1039" s="227" t="n"/>
      <c r="H1039" s="227" t="n"/>
    </row>
    <row r="1040">
      <c r="B1040" s="227" t="n"/>
      <c r="C1040" s="227" t="n"/>
      <c r="D1040" s="227" t="n"/>
      <c r="E1040" s="228" t="n"/>
      <c r="F1040" s="192" t="n"/>
      <c r="G1040" s="227" t="n"/>
      <c r="H1040" s="227" t="n"/>
    </row>
    <row r="1041">
      <c r="B1041" s="227" t="n"/>
      <c r="C1041" s="227" t="n"/>
      <c r="D1041" s="227" t="n"/>
      <c r="E1041" s="228" t="n"/>
      <c r="F1041" s="192" t="n"/>
      <c r="G1041" s="227" t="n"/>
      <c r="H1041" s="227" t="n"/>
    </row>
    <row r="1042">
      <c r="B1042" s="227" t="n"/>
      <c r="C1042" s="227" t="n"/>
      <c r="D1042" s="227" t="n"/>
      <c r="E1042" s="228" t="n"/>
      <c r="F1042" s="192" t="n"/>
      <c r="G1042" s="227" t="n"/>
      <c r="H1042" s="227" t="n"/>
    </row>
    <row r="1043">
      <c r="B1043" s="227" t="n"/>
      <c r="C1043" s="227" t="n"/>
      <c r="D1043" s="227" t="n"/>
      <c r="E1043" s="228" t="n"/>
      <c r="F1043" s="192" t="n"/>
      <c r="G1043" s="227" t="n"/>
      <c r="H1043" s="227" t="n"/>
    </row>
    <row r="1044">
      <c r="B1044" s="227" t="n"/>
      <c r="C1044" s="227" t="n"/>
      <c r="D1044" s="227" t="n"/>
      <c r="E1044" s="228" t="n"/>
      <c r="F1044" s="192" t="n"/>
      <c r="G1044" s="227" t="n"/>
      <c r="H1044" s="227" t="n"/>
    </row>
    <row r="1045">
      <c r="B1045" s="227" t="n"/>
      <c r="C1045" s="227" t="n"/>
      <c r="D1045" s="227" t="n"/>
      <c r="E1045" s="228" t="n"/>
      <c r="F1045" s="192" t="n"/>
      <c r="G1045" s="227" t="n"/>
      <c r="H1045" s="227" t="n"/>
    </row>
    <row r="1046">
      <c r="B1046" s="227" t="n"/>
      <c r="C1046" s="227" t="n"/>
      <c r="D1046" s="227" t="n"/>
      <c r="E1046" s="228" t="n"/>
      <c r="F1046" s="192" t="n"/>
      <c r="G1046" s="227" t="n"/>
      <c r="H1046" s="227" t="n"/>
    </row>
    <row r="1047">
      <c r="B1047" s="227" t="n"/>
      <c r="C1047" s="227" t="n"/>
      <c r="D1047" s="227" t="n"/>
      <c r="E1047" s="228" t="n"/>
      <c r="F1047" s="192" t="n"/>
      <c r="G1047" s="227" t="n"/>
      <c r="H1047" s="227" t="n"/>
    </row>
    <row r="1048">
      <c r="B1048" s="227" t="n"/>
      <c r="C1048" s="227" t="n"/>
      <c r="D1048" s="227" t="n"/>
      <c r="E1048" s="228" t="n"/>
      <c r="F1048" s="192" t="n"/>
      <c r="G1048" s="227" t="n"/>
      <c r="H1048" s="227" t="n"/>
    </row>
    <row r="1049">
      <c r="B1049" s="227" t="n"/>
      <c r="C1049" s="227" t="n"/>
      <c r="D1049" s="227" t="n"/>
      <c r="E1049" s="228" t="n"/>
      <c r="F1049" s="192" t="n"/>
      <c r="G1049" s="227" t="n"/>
      <c r="H1049" s="227" t="n"/>
    </row>
    <row r="1050">
      <c r="B1050" s="227" t="n"/>
      <c r="C1050" s="227" t="n"/>
      <c r="D1050" s="227" t="n"/>
      <c r="E1050" s="228" t="n"/>
      <c r="F1050" s="192" t="n"/>
      <c r="G1050" s="227" t="n"/>
      <c r="H1050" s="227" t="n"/>
    </row>
    <row r="1051">
      <c r="B1051" s="227" t="n"/>
      <c r="C1051" s="227" t="n"/>
      <c r="D1051" s="227" t="n"/>
      <c r="E1051" s="228" t="n"/>
      <c r="F1051" s="192" t="n"/>
      <c r="G1051" s="227" t="n"/>
      <c r="H1051" s="227" t="n"/>
    </row>
    <row r="1052">
      <c r="B1052" s="227" t="n"/>
      <c r="C1052" s="227" t="n"/>
      <c r="D1052" s="227" t="n"/>
      <c r="E1052" s="228" t="n"/>
      <c r="F1052" s="192" t="n"/>
      <c r="G1052" s="227" t="n"/>
      <c r="H1052" s="227" t="n"/>
    </row>
    <row r="1053">
      <c r="B1053" s="227" t="n"/>
      <c r="C1053" s="227" t="n"/>
      <c r="D1053" s="227" t="n"/>
      <c r="E1053" s="228" t="n"/>
      <c r="F1053" s="192" t="n"/>
      <c r="G1053" s="227" t="n"/>
      <c r="H1053" s="227" t="n"/>
    </row>
    <row r="1054">
      <c r="B1054" s="227" t="n"/>
      <c r="C1054" s="227" t="n"/>
      <c r="D1054" s="227" t="n"/>
      <c r="E1054" s="228" t="n"/>
      <c r="F1054" s="192" t="n"/>
      <c r="G1054" s="227" t="n"/>
      <c r="H1054" s="227" t="n"/>
    </row>
    <row r="1055">
      <c r="B1055" s="227" t="n"/>
      <c r="C1055" s="227" t="n"/>
      <c r="D1055" s="227" t="n"/>
      <c r="E1055" s="228" t="n"/>
      <c r="F1055" s="192" t="n"/>
      <c r="G1055" s="227" t="n"/>
      <c r="H1055" s="227" t="n"/>
    </row>
    <row r="1056">
      <c r="B1056" s="227" t="n"/>
      <c r="C1056" s="227" t="n"/>
      <c r="D1056" s="227" t="n"/>
      <c r="E1056" s="228" t="n"/>
      <c r="F1056" s="192" t="n"/>
      <c r="G1056" s="227" t="n"/>
      <c r="H1056" s="227" t="n"/>
    </row>
    <row r="1057">
      <c r="B1057" s="227" t="n"/>
      <c r="C1057" s="227" t="n"/>
      <c r="D1057" s="227" t="n"/>
      <c r="E1057" s="228" t="n"/>
      <c r="F1057" s="192" t="n"/>
      <c r="G1057" s="227" t="n"/>
      <c r="H1057" s="227" t="n"/>
    </row>
    <row r="1058">
      <c r="B1058" s="227" t="n"/>
      <c r="C1058" s="227" t="n"/>
      <c r="D1058" s="227" t="n"/>
      <c r="E1058" s="228" t="n"/>
      <c r="F1058" s="192" t="n"/>
      <c r="G1058" s="227" t="n"/>
      <c r="H1058" s="227" t="n"/>
    </row>
    <row r="1059">
      <c r="B1059" s="227" t="n"/>
      <c r="C1059" s="227" t="n"/>
      <c r="D1059" s="227" t="n"/>
      <c r="E1059" s="228" t="n"/>
      <c r="F1059" s="192" t="n"/>
      <c r="G1059" s="227" t="n"/>
      <c r="H1059" s="227" t="n"/>
    </row>
    <row r="1060">
      <c r="B1060" s="227" t="n"/>
      <c r="C1060" s="227" t="n"/>
      <c r="D1060" s="227" t="n"/>
      <c r="E1060" s="228" t="n"/>
      <c r="F1060" s="192" t="n"/>
      <c r="G1060" s="227" t="n"/>
      <c r="H1060" s="227" t="n"/>
    </row>
    <row r="1061">
      <c r="B1061" s="227" t="n"/>
      <c r="C1061" s="227" t="n"/>
      <c r="D1061" s="227" t="n"/>
      <c r="E1061" s="228" t="n"/>
      <c r="F1061" s="192" t="n"/>
      <c r="G1061" s="227" t="n"/>
      <c r="H1061" s="227" t="n"/>
    </row>
    <row r="1062">
      <c r="B1062" s="227" t="n"/>
      <c r="C1062" s="227" t="n"/>
      <c r="D1062" s="227" t="n"/>
      <c r="E1062" s="228" t="n"/>
      <c r="F1062" s="192" t="n"/>
      <c r="G1062" s="227" t="n"/>
      <c r="H1062" s="227" t="n"/>
    </row>
    <row r="1063">
      <c r="B1063" s="227" t="n"/>
      <c r="C1063" s="227" t="n"/>
      <c r="D1063" s="227" t="n"/>
      <c r="E1063" s="228" t="n"/>
      <c r="F1063" s="192" t="n"/>
      <c r="G1063" s="227" t="n"/>
      <c r="H1063" s="227" t="n"/>
    </row>
    <row r="1064">
      <c r="B1064" s="227" t="n"/>
      <c r="C1064" s="227" t="n"/>
      <c r="D1064" s="227" t="n"/>
      <c r="E1064" s="228" t="n"/>
      <c r="F1064" s="192" t="n"/>
      <c r="G1064" s="227" t="n"/>
      <c r="H1064" s="227" t="n"/>
    </row>
    <row r="1065">
      <c r="B1065" s="227" t="n"/>
      <c r="C1065" s="227" t="n"/>
      <c r="D1065" s="227" t="n"/>
      <c r="E1065" s="228" t="n"/>
      <c r="F1065" s="192" t="n"/>
      <c r="G1065" s="227" t="n"/>
      <c r="H1065" s="227" t="n"/>
    </row>
    <row r="1066">
      <c r="B1066" s="227" t="n"/>
      <c r="C1066" s="227" t="n"/>
      <c r="D1066" s="227" t="n"/>
      <c r="E1066" s="228" t="n"/>
      <c r="F1066" s="192" t="n"/>
      <c r="G1066" s="227" t="n"/>
      <c r="H1066" s="227" t="n"/>
    </row>
    <row r="1067">
      <c r="B1067" s="227" t="n"/>
      <c r="C1067" s="227" t="n"/>
      <c r="D1067" s="227" t="n"/>
      <c r="E1067" s="228" t="n"/>
      <c r="F1067" s="192" t="n"/>
      <c r="G1067" s="227" t="n"/>
      <c r="H1067" s="227" t="n"/>
    </row>
    <row r="1068">
      <c r="B1068" s="227" t="n"/>
      <c r="C1068" s="227" t="n"/>
      <c r="D1068" s="227" t="n"/>
      <c r="E1068" s="228" t="n"/>
      <c r="F1068" s="192" t="n"/>
      <c r="G1068" s="227" t="n"/>
      <c r="H1068" s="227" t="n"/>
    </row>
    <row r="1069">
      <c r="B1069" s="227" t="n"/>
      <c r="C1069" s="227" t="n"/>
      <c r="D1069" s="227" t="n"/>
      <c r="E1069" s="228" t="n"/>
      <c r="F1069" s="192" t="n"/>
      <c r="G1069" s="227" t="n"/>
      <c r="H1069" s="227" t="n"/>
    </row>
    <row r="1070">
      <c r="B1070" s="227" t="n"/>
      <c r="C1070" s="227" t="n"/>
      <c r="D1070" s="227" t="n"/>
      <c r="E1070" s="228" t="n"/>
      <c r="F1070" s="192" t="n"/>
      <c r="G1070" s="227" t="n"/>
      <c r="H1070" s="227" t="n"/>
    </row>
    <row r="1071">
      <c r="B1071" s="227" t="n"/>
      <c r="C1071" s="227" t="n"/>
      <c r="D1071" s="227" t="n"/>
      <c r="E1071" s="228" t="n"/>
      <c r="F1071" s="192" t="n"/>
      <c r="G1071" s="227" t="n"/>
      <c r="H1071" s="227" t="n"/>
    </row>
    <row r="1072">
      <c r="B1072" s="227" t="n"/>
      <c r="C1072" s="227" t="n"/>
      <c r="D1072" s="227" t="n"/>
      <c r="E1072" s="228" t="n"/>
      <c r="F1072" s="192" t="n"/>
      <c r="G1072" s="227" t="n"/>
      <c r="H1072" s="227" t="n"/>
    </row>
    <row r="1073">
      <c r="B1073" s="227" t="n"/>
      <c r="C1073" s="227" t="n"/>
      <c r="D1073" s="227" t="n"/>
      <c r="E1073" s="228" t="n"/>
      <c r="F1073" s="192" t="n"/>
      <c r="G1073" s="227" t="n"/>
      <c r="H1073" s="227" t="n"/>
    </row>
    <row r="1074">
      <c r="B1074" s="227" t="n"/>
      <c r="C1074" s="227" t="n"/>
      <c r="D1074" s="227" t="n"/>
      <c r="E1074" s="228" t="n"/>
      <c r="F1074" s="192" t="n"/>
      <c r="G1074" s="227" t="n"/>
      <c r="H1074" s="227" t="n"/>
    </row>
    <row r="1075">
      <c r="B1075" s="227" t="n"/>
      <c r="C1075" s="227" t="n"/>
      <c r="D1075" s="227" t="n"/>
      <c r="E1075" s="228" t="n"/>
      <c r="F1075" s="192" t="n"/>
      <c r="G1075" s="227" t="n"/>
      <c r="H1075" s="227" t="n"/>
    </row>
    <row r="1076">
      <c r="B1076" s="227" t="n"/>
      <c r="C1076" s="227" t="n"/>
      <c r="D1076" s="227" t="n"/>
      <c r="E1076" s="228" t="n"/>
      <c r="F1076" s="192" t="n"/>
      <c r="G1076" s="227" t="n"/>
      <c r="H1076" s="227" t="n"/>
    </row>
    <row r="1077">
      <c r="B1077" s="227" t="n"/>
      <c r="C1077" s="227" t="n"/>
      <c r="D1077" s="227" t="n"/>
      <c r="E1077" s="228" t="n"/>
      <c r="F1077" s="192" t="n"/>
      <c r="G1077" s="227" t="n"/>
      <c r="H1077" s="227" t="n"/>
    </row>
    <row r="1078">
      <c r="B1078" s="227" t="n"/>
      <c r="C1078" s="227" t="n"/>
      <c r="D1078" s="227" t="n"/>
      <c r="E1078" s="228" t="n"/>
      <c r="F1078" s="192" t="n"/>
      <c r="G1078" s="227" t="n"/>
      <c r="H1078" s="227" t="n"/>
    </row>
    <row r="1079">
      <c r="B1079" s="227" t="n"/>
      <c r="C1079" s="227" t="n"/>
      <c r="D1079" s="227" t="n"/>
      <c r="E1079" s="228" t="n"/>
      <c r="F1079" s="192" t="n"/>
      <c r="G1079" s="227" t="n"/>
      <c r="H1079" s="227" t="n"/>
    </row>
    <row r="1080">
      <c r="B1080" s="227" t="n"/>
      <c r="C1080" s="227" t="n"/>
      <c r="D1080" s="227" t="n"/>
      <c r="E1080" s="228" t="n"/>
      <c r="F1080" s="192" t="n"/>
      <c r="G1080" s="227" t="n"/>
      <c r="H1080" s="227" t="n"/>
    </row>
    <row r="1081">
      <c r="B1081" s="227" t="n"/>
      <c r="C1081" s="227" t="n"/>
      <c r="D1081" s="227" t="n"/>
      <c r="E1081" s="228" t="n"/>
      <c r="F1081" s="192" t="n"/>
      <c r="G1081" s="227" t="n"/>
      <c r="H1081" s="227" t="n"/>
    </row>
    <row r="1082">
      <c r="B1082" s="227" t="n"/>
      <c r="C1082" s="227" t="n"/>
      <c r="D1082" s="227" t="n"/>
      <c r="E1082" s="228" t="n"/>
      <c r="F1082" s="192" t="n"/>
      <c r="G1082" s="227" t="n"/>
      <c r="H1082" s="227" t="n"/>
    </row>
    <row r="1083">
      <c r="B1083" s="227" t="n"/>
      <c r="C1083" s="227" t="n"/>
      <c r="D1083" s="227" t="n"/>
      <c r="E1083" s="228" t="n"/>
      <c r="F1083" s="192" t="n"/>
      <c r="G1083" s="227" t="n"/>
      <c r="H1083" s="227" t="n"/>
    </row>
    <row r="1084">
      <c r="B1084" s="227" t="n"/>
      <c r="C1084" s="227" t="n"/>
      <c r="D1084" s="227" t="n"/>
      <c r="E1084" s="228" t="n"/>
      <c r="F1084" s="192" t="n"/>
      <c r="G1084" s="227" t="n"/>
      <c r="H1084" s="227" t="n"/>
    </row>
    <row r="1085">
      <c r="B1085" s="227" t="n"/>
      <c r="C1085" s="227" t="n"/>
      <c r="D1085" s="227" t="n"/>
      <c r="E1085" s="228" t="n"/>
      <c r="F1085" s="192" t="n"/>
      <c r="G1085" s="227" t="n"/>
      <c r="H1085" s="227" t="n"/>
    </row>
    <row r="1086">
      <c r="B1086" s="227" t="n"/>
      <c r="C1086" s="227" t="n"/>
      <c r="D1086" s="227" t="n"/>
      <c r="E1086" s="228" t="n"/>
      <c r="F1086" s="192" t="n"/>
      <c r="G1086" s="227" t="n"/>
      <c r="H1086" s="227" t="n"/>
    </row>
    <row r="1087">
      <c r="B1087" s="227" t="n"/>
      <c r="C1087" s="227" t="n"/>
      <c r="D1087" s="227" t="n"/>
      <c r="E1087" s="228" t="n"/>
      <c r="F1087" s="192" t="n"/>
      <c r="G1087" s="227" t="n"/>
      <c r="H1087" s="227" t="n"/>
    </row>
    <row r="1088">
      <c r="B1088" s="227" t="n"/>
      <c r="C1088" s="227" t="n"/>
      <c r="D1088" s="227" t="n"/>
      <c r="E1088" s="228" t="n"/>
      <c r="F1088" s="192" t="n"/>
      <c r="G1088" s="227" t="n"/>
      <c r="H1088" s="227" t="n"/>
    </row>
    <row r="1089">
      <c r="B1089" s="227" t="n"/>
      <c r="C1089" s="227" t="n"/>
      <c r="D1089" s="227" t="n"/>
      <c r="E1089" s="228" t="n"/>
      <c r="F1089" s="192" t="n"/>
      <c r="G1089" s="227" t="n"/>
      <c r="H1089" s="227" t="n"/>
    </row>
    <row r="1090">
      <c r="B1090" s="227" t="n"/>
      <c r="C1090" s="227" t="n"/>
      <c r="D1090" s="227" t="n"/>
      <c r="E1090" s="228" t="n"/>
      <c r="F1090" s="192" t="n"/>
      <c r="G1090" s="227" t="n"/>
      <c r="H1090" s="227" t="n"/>
    </row>
    <row r="1091">
      <c r="B1091" s="227" t="n"/>
      <c r="C1091" s="227" t="n"/>
      <c r="D1091" s="227" t="n"/>
      <c r="E1091" s="228" t="n"/>
      <c r="F1091" s="192" t="n"/>
      <c r="G1091" s="227" t="n"/>
      <c r="H1091" s="227" t="n"/>
    </row>
    <row r="1092">
      <c r="B1092" s="227" t="n"/>
      <c r="C1092" s="227" t="n"/>
      <c r="D1092" s="227" t="n"/>
      <c r="E1092" s="228" t="n"/>
      <c r="F1092" s="192" t="n"/>
      <c r="G1092" s="227" t="n"/>
      <c r="H1092" s="227" t="n"/>
    </row>
    <row r="1093">
      <c r="B1093" s="227" t="n"/>
      <c r="C1093" s="227" t="n"/>
      <c r="D1093" s="227" t="n"/>
      <c r="E1093" s="228" t="n"/>
      <c r="F1093" s="192" t="n"/>
      <c r="G1093" s="227" t="n"/>
      <c r="H1093" s="227" t="n"/>
    </row>
    <row r="1094">
      <c r="B1094" s="227" t="n"/>
      <c r="C1094" s="227" t="n"/>
      <c r="D1094" s="227" t="n"/>
      <c r="E1094" s="228" t="n"/>
      <c r="F1094" s="192" t="n"/>
      <c r="G1094" s="227" t="n"/>
      <c r="H1094" s="227" t="n"/>
    </row>
    <row r="1095">
      <c r="B1095" s="227" t="n"/>
      <c r="C1095" s="227" t="n"/>
      <c r="D1095" s="227" t="n"/>
      <c r="E1095" s="228" t="n"/>
      <c r="F1095" s="192" t="n"/>
      <c r="G1095" s="227" t="n"/>
      <c r="H1095" s="227" t="n"/>
    </row>
    <row r="1096">
      <c r="B1096" s="227" t="n"/>
      <c r="C1096" s="227" t="n"/>
      <c r="D1096" s="227" t="n"/>
      <c r="E1096" s="228" t="n"/>
      <c r="F1096" s="192" t="n"/>
      <c r="G1096" s="227" t="n"/>
      <c r="H1096" s="227" t="n"/>
    </row>
    <row r="1097">
      <c r="B1097" s="227" t="n"/>
      <c r="C1097" s="227" t="n"/>
      <c r="D1097" s="227" t="n"/>
      <c r="E1097" s="228" t="n"/>
      <c r="F1097" s="192" t="n"/>
      <c r="G1097" s="227" t="n"/>
      <c r="H1097" s="227" t="n"/>
    </row>
    <row r="1098">
      <c r="B1098" s="227" t="n"/>
      <c r="C1098" s="227" t="n"/>
      <c r="D1098" s="227" t="n"/>
      <c r="E1098" s="228" t="n"/>
      <c r="F1098" s="192" t="n"/>
      <c r="G1098" s="227" t="n"/>
      <c r="H1098" s="227" t="n"/>
    </row>
    <row r="1099">
      <c r="B1099" s="227" t="n"/>
      <c r="C1099" s="227" t="n"/>
      <c r="D1099" s="227" t="n"/>
      <c r="E1099" s="228" t="n"/>
      <c r="F1099" s="192" t="n"/>
      <c r="G1099" s="227" t="n"/>
      <c r="H1099" s="227" t="n"/>
    </row>
    <row r="1100">
      <c r="B1100" s="227" t="n"/>
      <c r="C1100" s="227" t="n"/>
      <c r="D1100" s="227" t="n"/>
      <c r="E1100" s="228" t="n"/>
      <c r="F1100" s="192" t="n"/>
      <c r="G1100" s="227" t="n"/>
      <c r="H1100" s="227" t="n"/>
    </row>
    <row r="1101">
      <c r="B1101" s="227" t="n"/>
      <c r="C1101" s="227" t="n"/>
      <c r="D1101" s="227" t="n"/>
      <c r="E1101" s="228" t="n"/>
      <c r="F1101" s="192" t="n"/>
      <c r="G1101" s="227" t="n"/>
      <c r="H1101" s="227" t="n"/>
    </row>
    <row r="1102">
      <c r="B1102" s="227" t="n"/>
      <c r="C1102" s="227" t="n"/>
      <c r="D1102" s="227" t="n"/>
      <c r="E1102" s="228" t="n"/>
      <c r="F1102" s="192" t="n"/>
      <c r="G1102" s="227" t="n"/>
      <c r="H1102" s="227" t="n"/>
    </row>
    <row r="1103">
      <c r="B1103" s="227" t="n"/>
      <c r="C1103" s="227" t="n"/>
      <c r="D1103" s="227" t="n"/>
      <c r="E1103" s="228" t="n"/>
      <c r="F1103" s="192" t="n"/>
      <c r="G1103" s="227" t="n"/>
      <c r="H1103" s="227" t="n"/>
    </row>
    <row r="1104">
      <c r="B1104" s="227" t="n"/>
      <c r="C1104" s="227" t="n"/>
      <c r="D1104" s="227" t="n"/>
      <c r="E1104" s="228" t="n"/>
      <c r="F1104" s="192" t="n"/>
      <c r="G1104" s="227" t="n"/>
      <c r="H1104" s="227" t="n"/>
    </row>
    <row r="1105">
      <c r="B1105" s="227" t="n"/>
      <c r="C1105" s="227" t="n"/>
      <c r="D1105" s="227" t="n"/>
      <c r="E1105" s="228" t="n"/>
      <c r="F1105" s="192" t="n"/>
      <c r="G1105" s="227" t="n"/>
      <c r="H1105" s="227" t="n"/>
    </row>
    <row r="1106">
      <c r="B1106" s="227" t="n"/>
      <c r="C1106" s="227" t="n"/>
      <c r="D1106" s="227" t="n"/>
      <c r="E1106" s="228" t="n"/>
      <c r="F1106" s="192" t="n"/>
      <c r="G1106" s="227" t="n"/>
      <c r="H1106" s="227" t="n"/>
    </row>
    <row r="1107">
      <c r="B1107" s="227" t="n"/>
      <c r="C1107" s="227" t="n"/>
      <c r="D1107" s="227" t="n"/>
      <c r="E1107" s="228" t="n"/>
      <c r="F1107" s="192" t="n"/>
      <c r="G1107" s="227" t="n"/>
      <c r="H1107" s="227" t="n"/>
    </row>
    <row r="1108">
      <c r="B1108" s="227" t="n"/>
      <c r="C1108" s="227" t="n"/>
      <c r="D1108" s="227" t="n"/>
      <c r="E1108" s="228" t="n"/>
      <c r="F1108" s="192" t="n"/>
      <c r="G1108" s="227" t="n"/>
      <c r="H1108" s="227" t="n"/>
    </row>
    <row r="1109">
      <c r="B1109" s="227" t="n"/>
      <c r="C1109" s="227" t="n"/>
      <c r="D1109" s="227" t="n"/>
      <c r="E1109" s="228" t="n"/>
      <c r="F1109" s="192" t="n"/>
      <c r="G1109" s="227" t="n"/>
      <c r="H1109" s="227" t="n"/>
    </row>
    <row r="1110">
      <c r="B1110" s="227" t="n"/>
      <c r="C1110" s="227" t="n"/>
      <c r="D1110" s="227" t="n"/>
      <c r="E1110" s="228" t="n"/>
      <c r="F1110" s="192" t="n"/>
      <c r="G1110" s="227" t="n"/>
      <c r="H1110" s="227" t="n"/>
    </row>
    <row r="1111">
      <c r="B1111" s="227" t="n"/>
      <c r="C1111" s="227" t="n"/>
      <c r="D1111" s="227" t="n"/>
      <c r="E1111" s="228" t="n"/>
      <c r="F1111" s="192" t="n"/>
      <c r="G1111" s="227" t="n"/>
      <c r="H1111" s="227" t="n"/>
    </row>
    <row r="1112">
      <c r="B1112" s="227" t="n"/>
      <c r="C1112" s="227" t="n"/>
      <c r="D1112" s="227" t="n"/>
      <c r="E1112" s="228" t="n"/>
      <c r="F1112" s="192" t="n"/>
      <c r="G1112" s="227" t="n"/>
      <c r="H1112" s="227" t="n"/>
    </row>
    <row r="1113">
      <c r="B1113" s="227" t="n"/>
      <c r="C1113" s="227" t="n"/>
      <c r="D1113" s="227" t="n"/>
      <c r="E1113" s="228" t="n"/>
      <c r="F1113" s="192" t="n"/>
      <c r="G1113" s="227" t="n"/>
      <c r="H1113" s="227" t="n"/>
    </row>
    <row r="1114">
      <c r="B1114" s="227" t="n"/>
      <c r="C1114" s="227" t="n"/>
      <c r="D1114" s="227" t="n"/>
      <c r="E1114" s="228" t="n"/>
      <c r="F1114" s="192" t="n"/>
      <c r="G1114" s="227" t="n"/>
      <c r="H1114" s="227" t="n"/>
    </row>
    <row r="1115">
      <c r="B1115" s="227" t="n"/>
      <c r="C1115" s="227" t="n"/>
      <c r="D1115" s="227" t="n"/>
      <c r="E1115" s="228" t="n"/>
      <c r="F1115" s="192" t="n"/>
      <c r="G1115" s="227" t="n"/>
      <c r="H1115" s="227" t="n"/>
    </row>
    <row r="1116">
      <c r="B1116" s="227" t="n"/>
      <c r="C1116" s="227" t="n"/>
      <c r="D1116" s="227" t="n"/>
      <c r="E1116" s="228" t="n"/>
      <c r="F1116" s="192" t="n"/>
      <c r="G1116" s="227" t="n"/>
      <c r="H1116" s="227" t="n"/>
    </row>
    <row r="1117">
      <c r="B1117" s="227" t="n"/>
      <c r="C1117" s="227" t="n"/>
      <c r="D1117" s="227" t="n"/>
      <c r="E1117" s="228" t="n"/>
      <c r="F1117" s="192" t="n"/>
      <c r="G1117" s="227" t="n"/>
      <c r="H1117" s="227" t="n"/>
    </row>
    <row r="1118">
      <c r="B1118" s="227" t="n"/>
      <c r="C1118" s="227" t="n"/>
      <c r="D1118" s="227" t="n"/>
      <c r="E1118" s="228" t="n"/>
      <c r="F1118" s="192" t="n"/>
      <c r="G1118" s="227" t="n"/>
      <c r="H1118" s="227" t="n"/>
    </row>
    <row r="1119">
      <c r="B1119" s="227" t="n"/>
      <c r="C1119" s="227" t="n"/>
      <c r="D1119" s="227" t="n"/>
      <c r="E1119" s="228" t="n"/>
      <c r="F1119" s="192" t="n"/>
      <c r="G1119" s="227" t="n"/>
      <c r="H1119" s="227" t="n"/>
    </row>
    <row r="1120">
      <c r="B1120" s="227" t="n"/>
      <c r="C1120" s="227" t="n"/>
      <c r="D1120" s="227" t="n"/>
      <c r="E1120" s="228" t="n"/>
      <c r="F1120" s="192" t="n"/>
      <c r="G1120" s="227" t="n"/>
      <c r="H1120" s="227" t="n"/>
    </row>
    <row r="1121">
      <c r="B1121" s="227" t="n"/>
      <c r="C1121" s="227" t="n"/>
      <c r="D1121" s="227" t="n"/>
      <c r="E1121" s="228" t="n"/>
      <c r="F1121" s="192" t="n"/>
      <c r="G1121" s="227" t="n"/>
      <c r="H1121" s="227" t="n"/>
    </row>
    <row r="1122">
      <c r="B1122" s="227" t="n"/>
      <c r="C1122" s="227" t="n"/>
      <c r="D1122" s="227" t="n"/>
      <c r="E1122" s="228" t="n"/>
      <c r="F1122" s="192" t="n"/>
      <c r="G1122" s="227" t="n"/>
      <c r="H1122" s="227" t="n"/>
    </row>
    <row r="1123">
      <c r="B1123" s="227" t="n"/>
      <c r="C1123" s="227" t="n"/>
      <c r="D1123" s="227" t="n"/>
      <c r="E1123" s="228" t="n"/>
      <c r="F1123" s="192" t="n"/>
      <c r="G1123" s="227" t="n"/>
      <c r="H1123" s="227" t="n"/>
    </row>
    <row r="1124">
      <c r="B1124" s="227" t="n"/>
      <c r="C1124" s="227" t="n"/>
      <c r="D1124" s="227" t="n"/>
      <c r="E1124" s="228" t="n"/>
      <c r="F1124" s="192" t="n"/>
      <c r="G1124" s="227" t="n"/>
      <c r="H1124" s="227" t="n"/>
    </row>
    <row r="1125">
      <c r="B1125" s="227" t="n"/>
      <c r="C1125" s="227" t="n"/>
      <c r="D1125" s="227" t="n"/>
      <c r="E1125" s="228" t="n"/>
      <c r="F1125" s="192" t="n"/>
      <c r="G1125" s="227" t="n"/>
      <c r="H1125" s="227" t="n"/>
    </row>
    <row r="1126">
      <c r="B1126" s="227" t="n"/>
      <c r="C1126" s="227" t="n"/>
      <c r="D1126" s="227" t="n"/>
      <c r="E1126" s="228" t="n"/>
      <c r="F1126" s="192" t="n"/>
      <c r="G1126" s="227" t="n"/>
      <c r="H1126" s="227" t="n"/>
    </row>
    <row r="1127">
      <c r="B1127" s="227" t="n"/>
      <c r="C1127" s="227" t="n"/>
      <c r="D1127" s="227" t="n"/>
      <c r="E1127" s="228" t="n"/>
      <c r="F1127" s="192" t="n"/>
      <c r="G1127" s="227" t="n"/>
      <c r="H1127" s="227" t="n"/>
    </row>
    <row r="1128">
      <c r="B1128" s="227" t="n"/>
      <c r="C1128" s="227" t="n"/>
      <c r="D1128" s="227" t="n"/>
      <c r="E1128" s="228" t="n"/>
      <c r="F1128" s="192" t="n"/>
      <c r="G1128" s="227" t="n"/>
      <c r="H1128" s="227" t="n"/>
    </row>
    <row r="1129">
      <c r="B1129" s="227" t="n"/>
      <c r="C1129" s="227" t="n"/>
      <c r="D1129" s="227" t="n"/>
      <c r="E1129" s="228" t="n"/>
      <c r="F1129" s="192" t="n"/>
      <c r="G1129" s="227" t="n"/>
      <c r="H1129" s="227" t="n"/>
    </row>
    <row r="1130">
      <c r="B1130" s="227" t="n"/>
      <c r="C1130" s="227" t="n"/>
      <c r="D1130" s="227" t="n"/>
      <c r="E1130" s="228" t="n"/>
      <c r="F1130" s="192" t="n"/>
      <c r="G1130" s="227" t="n"/>
      <c r="H1130" s="227" t="n"/>
    </row>
    <row r="1131">
      <c r="B1131" s="227" t="n"/>
      <c r="C1131" s="227" t="n"/>
      <c r="D1131" s="227" t="n"/>
      <c r="E1131" s="228" t="n"/>
      <c r="F1131" s="192" t="n"/>
      <c r="G1131" s="227" t="n"/>
      <c r="H1131" s="227" t="n"/>
    </row>
    <row r="1132">
      <c r="B1132" s="227" t="n"/>
      <c r="C1132" s="227" t="n"/>
      <c r="D1132" s="227" t="n"/>
      <c r="E1132" s="228" t="n"/>
      <c r="F1132" s="192" t="n"/>
      <c r="G1132" s="227" t="n"/>
      <c r="H1132" s="227" t="n"/>
    </row>
    <row r="1133">
      <c r="B1133" s="227" t="n"/>
      <c r="C1133" s="227" t="n"/>
      <c r="D1133" s="227" t="n"/>
      <c r="E1133" s="228" t="n"/>
      <c r="F1133" s="192" t="n"/>
      <c r="G1133" s="227" t="n"/>
      <c r="H1133" s="227" t="n"/>
    </row>
    <row r="1134">
      <c r="B1134" s="227" t="n"/>
      <c r="C1134" s="227" t="n"/>
      <c r="D1134" s="227" t="n"/>
      <c r="E1134" s="228" t="n"/>
      <c r="F1134" s="192" t="n"/>
      <c r="G1134" s="227" t="n"/>
      <c r="H1134" s="227" t="n"/>
    </row>
    <row r="1135">
      <c r="B1135" s="227" t="n"/>
      <c r="C1135" s="227" t="n"/>
      <c r="D1135" s="227" t="n"/>
      <c r="E1135" s="228" t="n"/>
      <c r="F1135" s="192" t="n"/>
      <c r="G1135" s="227" t="n"/>
      <c r="H1135" s="227" t="n"/>
    </row>
    <row r="1136">
      <c r="B1136" s="227" t="n"/>
      <c r="C1136" s="227" t="n"/>
      <c r="D1136" s="227" t="n"/>
      <c r="E1136" s="228" t="n"/>
      <c r="F1136" s="192" t="n"/>
      <c r="G1136" s="227" t="n"/>
      <c r="H1136" s="227" t="n"/>
    </row>
    <row r="1137">
      <c r="B1137" s="227" t="n"/>
      <c r="C1137" s="227" t="n"/>
      <c r="D1137" s="227" t="n"/>
      <c r="E1137" s="228" t="n"/>
      <c r="F1137" s="192" t="n"/>
      <c r="G1137" s="227" t="n"/>
      <c r="H1137" s="227" t="n"/>
    </row>
    <row r="1138">
      <c r="B1138" s="227" t="n"/>
      <c r="C1138" s="227" t="n"/>
      <c r="D1138" s="227" t="n"/>
      <c r="E1138" s="228" t="n"/>
      <c r="F1138" s="192" t="n"/>
      <c r="G1138" s="227" t="n"/>
      <c r="H1138" s="227" t="n"/>
    </row>
    <row r="1139">
      <c r="B1139" s="227" t="n"/>
      <c r="C1139" s="227" t="n"/>
      <c r="D1139" s="227" t="n"/>
      <c r="E1139" s="228" t="n"/>
      <c r="F1139" s="192" t="n"/>
      <c r="G1139" s="227" t="n"/>
      <c r="H1139" s="227" t="n"/>
    </row>
    <row r="1140">
      <c r="B1140" s="227" t="n"/>
      <c r="C1140" s="227" t="n"/>
      <c r="D1140" s="227" t="n"/>
      <c r="E1140" s="228" t="n"/>
      <c r="F1140" s="192" t="n"/>
      <c r="G1140" s="227" t="n"/>
      <c r="H1140" s="227" t="n"/>
    </row>
    <row r="1141">
      <c r="B1141" s="227" t="n"/>
      <c r="C1141" s="227" t="n"/>
      <c r="D1141" s="227" t="n"/>
      <c r="E1141" s="228" t="n"/>
      <c r="F1141" s="192" t="n"/>
      <c r="G1141" s="227" t="n"/>
      <c r="H1141" s="227" t="n"/>
    </row>
    <row r="1142">
      <c r="B1142" s="227" t="n"/>
      <c r="C1142" s="227" t="n"/>
      <c r="D1142" s="227" t="n"/>
      <c r="E1142" s="228" t="n"/>
      <c r="F1142" s="192" t="n"/>
      <c r="G1142" s="227" t="n"/>
      <c r="H1142" s="227" t="n"/>
    </row>
    <row r="1143">
      <c r="B1143" s="227" t="n"/>
      <c r="C1143" s="227" t="n"/>
      <c r="D1143" s="227" t="n"/>
      <c r="E1143" s="228" t="n"/>
      <c r="F1143" s="192" t="n"/>
      <c r="G1143" s="227" t="n"/>
      <c r="H1143" s="227" t="n"/>
    </row>
    <row r="1144">
      <c r="B1144" s="227" t="n"/>
      <c r="C1144" s="227" t="n"/>
      <c r="D1144" s="227" t="n"/>
      <c r="E1144" s="228" t="n"/>
      <c r="F1144" s="192" t="n"/>
      <c r="G1144" s="227" t="n"/>
      <c r="H1144" s="227" t="n"/>
    </row>
    <row r="1145">
      <c r="B1145" s="227" t="n"/>
      <c r="C1145" s="227" t="n"/>
      <c r="D1145" s="227" t="n"/>
      <c r="E1145" s="228" t="n"/>
      <c r="F1145" s="192" t="n"/>
      <c r="G1145" s="227" t="n"/>
      <c r="H1145" s="227" t="n"/>
    </row>
    <row r="1146">
      <c r="B1146" s="227" t="n"/>
      <c r="C1146" s="227" t="n"/>
      <c r="D1146" s="227" t="n"/>
      <c r="E1146" s="228" t="n"/>
      <c r="F1146" s="192" t="n"/>
      <c r="G1146" s="227" t="n"/>
      <c r="H1146" s="227" t="n"/>
    </row>
    <row r="1147">
      <c r="B1147" s="227" t="n"/>
      <c r="C1147" s="227" t="n"/>
      <c r="D1147" s="227" t="n"/>
      <c r="E1147" s="228" t="n"/>
      <c r="F1147" s="192" t="n"/>
      <c r="G1147" s="227" t="n"/>
      <c r="H1147" s="227" t="n"/>
    </row>
    <row r="1148">
      <c r="B1148" s="227" t="n"/>
      <c r="C1148" s="227" t="n"/>
      <c r="D1148" s="227" t="n"/>
      <c r="E1148" s="228" t="n"/>
      <c r="F1148" s="192" t="n"/>
      <c r="G1148" s="227" t="n"/>
      <c r="H1148" s="227" t="n"/>
    </row>
    <row r="1149">
      <c r="B1149" s="227" t="n"/>
      <c r="C1149" s="227" t="n"/>
      <c r="D1149" s="227" t="n"/>
      <c r="E1149" s="228" t="n"/>
      <c r="F1149" s="192" t="n"/>
      <c r="G1149" s="227" t="n"/>
      <c r="H1149" s="227" t="n"/>
    </row>
    <row r="1150">
      <c r="B1150" s="227" t="n"/>
      <c r="C1150" s="227" t="n"/>
      <c r="D1150" s="227" t="n"/>
      <c r="E1150" s="228" t="n"/>
      <c r="F1150" s="192" t="n"/>
      <c r="G1150" s="227" t="n"/>
      <c r="H1150" s="227" t="n"/>
    </row>
    <row r="1151">
      <c r="B1151" s="227" t="n"/>
      <c r="C1151" s="227" t="n"/>
      <c r="D1151" s="227" t="n"/>
      <c r="E1151" s="228" t="n"/>
      <c r="F1151" s="192" t="n"/>
      <c r="G1151" s="227" t="n"/>
      <c r="H1151" s="227" t="n"/>
    </row>
    <row r="1152">
      <c r="B1152" s="227" t="n"/>
      <c r="C1152" s="227" t="n"/>
      <c r="D1152" s="227" t="n"/>
      <c r="E1152" s="228" t="n"/>
      <c r="F1152" s="192" t="n"/>
      <c r="G1152" s="227" t="n"/>
      <c r="H1152" s="227" t="n"/>
    </row>
    <row r="1153">
      <c r="B1153" s="227" t="n"/>
      <c r="C1153" s="227" t="n"/>
      <c r="D1153" s="227" t="n"/>
      <c r="E1153" s="228" t="n"/>
      <c r="F1153" s="192" t="n"/>
      <c r="G1153" s="227" t="n"/>
      <c r="H1153" s="227" t="n"/>
    </row>
    <row r="1154">
      <c r="B1154" s="227" t="n"/>
      <c r="C1154" s="227" t="n"/>
      <c r="D1154" s="227" t="n"/>
      <c r="E1154" s="228" t="n"/>
      <c r="F1154" s="192" t="n"/>
      <c r="G1154" s="227" t="n"/>
      <c r="H1154" s="227" t="n"/>
    </row>
    <row r="1155">
      <c r="B1155" s="227" t="n"/>
      <c r="C1155" s="227" t="n"/>
      <c r="D1155" s="227" t="n"/>
      <c r="E1155" s="228" t="n"/>
      <c r="F1155" s="192" t="n"/>
      <c r="G1155" s="227" t="n"/>
      <c r="H1155" s="227" t="n"/>
    </row>
    <row r="1156">
      <c r="B1156" s="227" t="n"/>
      <c r="C1156" s="227" t="n"/>
      <c r="D1156" s="227" t="n"/>
      <c r="E1156" s="228" t="n"/>
      <c r="F1156" s="192" t="n"/>
      <c r="G1156" s="227" t="n"/>
      <c r="H1156" s="227" t="n"/>
    </row>
    <row r="1157">
      <c r="B1157" s="227" t="n"/>
      <c r="C1157" s="227" t="n"/>
      <c r="D1157" s="227" t="n"/>
      <c r="E1157" s="228" t="n"/>
      <c r="F1157" s="192" t="n"/>
      <c r="G1157" s="227" t="n"/>
      <c r="H1157" s="227" t="n"/>
    </row>
    <row r="1158">
      <c r="B1158" s="227" t="n"/>
      <c r="C1158" s="227" t="n"/>
      <c r="D1158" s="227" t="n"/>
      <c r="E1158" s="228" t="n"/>
      <c r="F1158" s="192" t="n"/>
      <c r="G1158" s="227" t="n"/>
      <c r="H1158" s="227" t="n"/>
    </row>
    <row r="1159">
      <c r="B1159" s="227" t="n"/>
      <c r="C1159" s="227" t="n"/>
      <c r="D1159" s="227" t="n"/>
      <c r="E1159" s="228" t="n"/>
      <c r="F1159" s="192" t="n"/>
      <c r="G1159" s="227" t="n"/>
      <c r="H1159" s="227" t="n"/>
    </row>
    <row r="1160">
      <c r="B1160" s="227" t="n"/>
      <c r="C1160" s="227" t="n"/>
      <c r="D1160" s="227" t="n"/>
      <c r="E1160" s="228" t="n"/>
      <c r="F1160" s="192" t="n"/>
      <c r="G1160" s="227" t="n"/>
      <c r="H1160" s="227" t="n"/>
    </row>
    <row r="1161">
      <c r="B1161" s="227" t="n"/>
      <c r="C1161" s="227" t="n"/>
      <c r="D1161" s="227" t="n"/>
      <c r="E1161" s="228" t="n"/>
      <c r="F1161" s="192" t="n"/>
      <c r="G1161" s="227" t="n"/>
      <c r="H1161" s="227" t="n"/>
    </row>
    <row r="1162">
      <c r="B1162" s="227" t="n"/>
      <c r="C1162" s="227" t="n"/>
      <c r="D1162" s="227" t="n"/>
      <c r="E1162" s="228" t="n"/>
      <c r="F1162" s="192" t="n"/>
      <c r="G1162" s="227" t="n"/>
      <c r="H1162" s="227" t="n"/>
    </row>
    <row r="1163">
      <c r="B1163" s="227" t="n"/>
      <c r="C1163" s="227" t="n"/>
      <c r="D1163" s="227" t="n"/>
      <c r="E1163" s="228" t="n"/>
      <c r="F1163" s="192" t="n"/>
      <c r="G1163" s="227" t="n"/>
      <c r="H1163" s="227" t="n"/>
    </row>
    <row r="1164">
      <c r="B1164" s="227" t="n"/>
      <c r="C1164" s="227" t="n"/>
      <c r="D1164" s="227" t="n"/>
      <c r="E1164" s="228" t="n"/>
      <c r="F1164" s="192" t="n"/>
      <c r="G1164" s="227" t="n"/>
      <c r="H1164" s="227" t="n"/>
    </row>
    <row r="1165">
      <c r="B1165" s="227" t="n"/>
      <c r="C1165" s="227" t="n"/>
      <c r="D1165" s="227" t="n"/>
      <c r="E1165" s="228" t="n"/>
      <c r="F1165" s="192" t="n"/>
      <c r="G1165" s="227" t="n"/>
      <c r="H1165" s="227" t="n"/>
    </row>
    <row r="1166">
      <c r="B1166" s="227" t="n"/>
      <c r="C1166" s="227" t="n"/>
      <c r="D1166" s="227" t="n"/>
      <c r="E1166" s="228" t="n"/>
      <c r="F1166" s="192" t="n"/>
      <c r="G1166" s="227" t="n"/>
      <c r="H1166" s="227" t="n"/>
    </row>
    <row r="1167">
      <c r="B1167" s="227" t="n"/>
      <c r="C1167" s="227" t="n"/>
      <c r="D1167" s="227" t="n"/>
      <c r="E1167" s="228" t="n"/>
      <c r="F1167" s="192" t="n"/>
      <c r="G1167" s="227" t="n"/>
      <c r="H1167" s="227" t="n"/>
    </row>
    <row r="1168">
      <c r="B1168" s="227" t="n"/>
      <c r="C1168" s="227" t="n"/>
      <c r="D1168" s="227" t="n"/>
      <c r="E1168" s="228" t="n"/>
      <c r="F1168" s="192" t="n"/>
      <c r="G1168" s="227" t="n"/>
      <c r="H1168" s="227" t="n"/>
    </row>
    <row r="1169">
      <c r="B1169" s="227" t="n"/>
      <c r="C1169" s="227" t="n"/>
      <c r="D1169" s="227" t="n"/>
      <c r="E1169" s="228" t="n"/>
      <c r="F1169" s="192" t="n"/>
      <c r="G1169" s="227" t="n"/>
      <c r="H1169" s="227" t="n"/>
    </row>
    <row r="1170">
      <c r="B1170" s="227" t="n"/>
      <c r="C1170" s="227" t="n"/>
      <c r="D1170" s="227" t="n"/>
      <c r="E1170" s="228" t="n"/>
      <c r="F1170" s="192" t="n"/>
      <c r="G1170" s="227" t="n"/>
      <c r="H1170" s="227" t="n"/>
    </row>
    <row r="1171">
      <c r="B1171" s="227" t="n"/>
      <c r="C1171" s="227" t="n"/>
      <c r="D1171" s="227" t="n"/>
      <c r="E1171" s="228" t="n"/>
      <c r="F1171" s="192" t="n"/>
      <c r="G1171" s="227" t="n"/>
      <c r="H1171" s="227" t="n"/>
    </row>
    <row r="1172">
      <c r="B1172" s="227" t="n"/>
      <c r="C1172" s="227" t="n"/>
      <c r="D1172" s="227" t="n"/>
      <c r="E1172" s="228" t="n"/>
      <c r="F1172" s="192" t="n"/>
      <c r="G1172" s="227" t="n"/>
      <c r="H1172" s="227" t="n"/>
    </row>
    <row r="1173">
      <c r="B1173" s="227" t="n"/>
      <c r="C1173" s="227" t="n"/>
      <c r="D1173" s="227" t="n"/>
      <c r="E1173" s="228" t="n"/>
      <c r="F1173" s="192" t="n"/>
      <c r="G1173" s="227" t="n"/>
      <c r="H1173" s="227" t="n"/>
    </row>
    <row r="1174">
      <c r="B1174" s="227" t="n"/>
      <c r="C1174" s="227" t="n"/>
      <c r="D1174" s="227" t="n"/>
      <c r="E1174" s="228" t="n"/>
      <c r="F1174" s="192" t="n"/>
      <c r="G1174" s="227" t="n"/>
      <c r="H1174" s="227" t="n"/>
    </row>
    <row r="1175">
      <c r="B1175" s="227" t="n"/>
      <c r="C1175" s="227" t="n"/>
      <c r="D1175" s="227" t="n"/>
      <c r="E1175" s="228" t="n"/>
      <c r="F1175" s="192" t="n"/>
      <c r="G1175" s="227" t="n"/>
      <c r="H1175" s="227" t="n"/>
    </row>
    <row r="1176">
      <c r="B1176" s="227" t="n"/>
      <c r="C1176" s="227" t="n"/>
      <c r="D1176" s="227" t="n"/>
      <c r="E1176" s="228" t="n"/>
      <c r="F1176" s="192" t="n"/>
      <c r="G1176" s="227" t="n"/>
      <c r="H1176" s="227" t="n"/>
    </row>
    <row r="1177">
      <c r="B1177" s="227" t="n"/>
      <c r="C1177" s="227" t="n"/>
      <c r="D1177" s="227" t="n"/>
      <c r="E1177" s="228" t="n"/>
      <c r="F1177" s="192" t="n"/>
      <c r="G1177" s="227" t="n"/>
      <c r="H1177" s="227" t="n"/>
    </row>
    <row r="1178">
      <c r="B1178" s="227" t="n"/>
      <c r="C1178" s="227" t="n"/>
      <c r="D1178" s="227" t="n"/>
      <c r="E1178" s="228" t="n"/>
      <c r="F1178" s="192" t="n"/>
      <c r="G1178" s="227" t="n"/>
      <c r="H1178" s="227" t="n"/>
    </row>
    <row r="1179">
      <c r="B1179" s="227" t="n"/>
      <c r="C1179" s="227" t="n"/>
      <c r="D1179" s="227" t="n"/>
      <c r="E1179" s="228" t="n"/>
      <c r="F1179" s="192" t="n"/>
      <c r="G1179" s="227" t="n"/>
      <c r="H1179" s="227" t="n"/>
    </row>
    <row r="1180">
      <c r="B1180" s="227" t="n"/>
      <c r="C1180" s="227" t="n"/>
      <c r="D1180" s="227" t="n"/>
      <c r="E1180" s="228" t="n"/>
      <c r="F1180" s="192" t="n"/>
      <c r="G1180" s="227" t="n"/>
      <c r="H1180" s="227" t="n"/>
    </row>
    <row r="1181">
      <c r="B1181" s="227" t="n"/>
      <c r="C1181" s="227" t="n"/>
      <c r="D1181" s="227" t="n"/>
      <c r="E1181" s="228" t="n"/>
      <c r="F1181" s="192" t="n"/>
      <c r="G1181" s="227" t="n"/>
      <c r="H1181" s="227" t="n"/>
    </row>
    <row r="1182">
      <c r="B1182" s="227" t="n"/>
      <c r="C1182" s="227" t="n"/>
      <c r="D1182" s="227" t="n"/>
      <c r="E1182" s="228" t="n"/>
      <c r="F1182" s="192" t="n"/>
      <c r="G1182" s="227" t="n"/>
      <c r="H1182" s="227" t="n"/>
    </row>
    <row r="1183">
      <c r="B1183" s="227" t="n"/>
      <c r="C1183" s="227" t="n"/>
      <c r="D1183" s="227" t="n"/>
      <c r="E1183" s="228" t="n"/>
      <c r="F1183" s="192" t="n"/>
      <c r="G1183" s="227" t="n"/>
      <c r="H1183" s="227" t="n"/>
    </row>
    <row r="1184">
      <c r="B1184" s="227" t="n"/>
      <c r="C1184" s="227" t="n"/>
      <c r="D1184" s="227" t="n"/>
      <c r="E1184" s="228" t="n"/>
      <c r="F1184" s="192" t="n"/>
      <c r="G1184" s="227" t="n"/>
      <c r="H1184" s="227" t="n"/>
    </row>
    <row r="1185">
      <c r="B1185" s="227" t="n"/>
      <c r="C1185" s="227" t="n"/>
      <c r="D1185" s="227" t="n"/>
      <c r="E1185" s="228" t="n"/>
      <c r="F1185" s="192" t="n"/>
      <c r="G1185" s="227" t="n"/>
      <c r="H1185" s="227" t="n"/>
    </row>
    <row r="1186">
      <c r="B1186" s="227" t="n"/>
      <c r="C1186" s="227" t="n"/>
      <c r="D1186" s="227" t="n"/>
      <c r="E1186" s="228" t="n"/>
      <c r="F1186" s="192" t="n"/>
      <c r="G1186" s="227" t="n"/>
      <c r="H1186" s="227" t="n"/>
    </row>
    <row r="1187">
      <c r="B1187" s="227" t="n"/>
      <c r="C1187" s="227" t="n"/>
      <c r="D1187" s="227" t="n"/>
      <c r="E1187" s="228" t="n"/>
      <c r="F1187" s="192" t="n"/>
      <c r="G1187" s="227" t="n"/>
      <c r="H1187" s="227" t="n"/>
    </row>
    <row r="1188">
      <c r="B1188" s="227" t="n"/>
      <c r="C1188" s="227" t="n"/>
      <c r="D1188" s="227" t="n"/>
      <c r="E1188" s="228" t="n"/>
      <c r="F1188" s="192" t="n"/>
      <c r="G1188" s="227" t="n"/>
      <c r="H1188" s="227" t="n"/>
    </row>
    <row r="1189">
      <c r="B1189" s="227" t="n"/>
      <c r="C1189" s="227" t="n"/>
      <c r="D1189" s="227" t="n"/>
      <c r="E1189" s="228" t="n"/>
      <c r="F1189" s="192" t="n"/>
      <c r="G1189" s="227" t="n"/>
      <c r="H1189" s="227" t="n"/>
    </row>
    <row r="1190">
      <c r="B1190" s="227" t="n"/>
      <c r="C1190" s="227" t="n"/>
      <c r="D1190" s="227" t="n"/>
      <c r="E1190" s="228" t="n"/>
      <c r="F1190" s="192" t="n"/>
      <c r="G1190" s="227" t="n"/>
      <c r="H1190" s="227" t="n"/>
    </row>
    <row r="1191">
      <c r="B1191" s="227" t="n"/>
      <c r="C1191" s="227" t="n"/>
      <c r="D1191" s="227" t="n"/>
      <c r="E1191" s="228" t="n"/>
      <c r="F1191" s="192" t="n"/>
      <c r="G1191" s="227" t="n"/>
      <c r="H1191" s="227" t="n"/>
    </row>
    <row r="1192">
      <c r="B1192" s="227" t="n"/>
      <c r="C1192" s="227" t="n"/>
      <c r="D1192" s="227" t="n"/>
      <c r="E1192" s="228" t="n"/>
      <c r="F1192" s="192" t="n"/>
      <c r="G1192" s="227" t="n"/>
      <c r="H1192" s="227" t="n"/>
    </row>
    <row r="1193">
      <c r="B1193" s="227" t="n"/>
      <c r="C1193" s="227" t="n"/>
      <c r="D1193" s="227" t="n"/>
      <c r="E1193" s="228" t="n"/>
      <c r="F1193" s="192" t="n"/>
      <c r="G1193" s="227" t="n"/>
      <c r="H1193" s="227" t="n"/>
    </row>
    <row r="1194">
      <c r="B1194" s="227" t="n"/>
      <c r="C1194" s="227" t="n"/>
      <c r="D1194" s="227" t="n"/>
      <c r="E1194" s="228" t="n"/>
      <c r="F1194" s="192" t="n"/>
      <c r="G1194" s="227" t="n"/>
      <c r="H1194" s="227" t="n"/>
    </row>
    <row r="1195">
      <c r="B1195" s="227" t="n"/>
      <c r="C1195" s="227" t="n"/>
      <c r="D1195" s="227" t="n"/>
      <c r="E1195" s="228" t="n"/>
      <c r="F1195" s="192" t="n"/>
      <c r="G1195" s="227" t="n"/>
      <c r="H1195" s="227" t="n"/>
    </row>
    <row r="1196">
      <c r="B1196" s="227" t="n"/>
      <c r="C1196" s="227" t="n"/>
      <c r="D1196" s="227" t="n"/>
      <c r="E1196" s="228" t="n"/>
      <c r="F1196" s="192" t="n"/>
      <c r="G1196" s="227" t="n"/>
      <c r="H1196" s="227" t="n"/>
    </row>
    <row r="1197">
      <c r="B1197" s="227" t="n"/>
      <c r="C1197" s="227" t="n"/>
      <c r="D1197" s="227" t="n"/>
      <c r="E1197" s="228" t="n"/>
      <c r="F1197" s="192" t="n"/>
      <c r="G1197" s="227" t="n"/>
      <c r="H1197" s="227" t="n"/>
    </row>
    <row r="1198">
      <c r="B1198" s="227" t="n"/>
      <c r="C1198" s="227" t="n"/>
      <c r="D1198" s="227" t="n"/>
      <c r="E1198" s="228" t="n"/>
      <c r="F1198" s="192" t="n"/>
      <c r="G1198" s="227" t="n"/>
      <c r="H1198" s="227" t="n"/>
    </row>
    <row r="1199">
      <c r="B1199" s="227" t="n"/>
      <c r="C1199" s="227" t="n"/>
      <c r="D1199" s="227" t="n"/>
      <c r="E1199" s="228" t="n"/>
      <c r="F1199" s="192" t="n"/>
      <c r="G1199" s="227" t="n"/>
      <c r="H1199" s="227" t="n"/>
    </row>
    <row r="1200">
      <c r="B1200" s="227" t="n"/>
      <c r="C1200" s="227" t="n"/>
      <c r="D1200" s="227" t="n"/>
      <c r="E1200" s="228" t="n"/>
      <c r="F1200" s="192" t="n"/>
      <c r="G1200" s="227" t="n"/>
      <c r="H1200" s="227" t="n"/>
    </row>
    <row r="1201">
      <c r="B1201" s="227" t="n"/>
      <c r="C1201" s="227" t="n"/>
      <c r="D1201" s="227" t="n"/>
      <c r="E1201" s="228" t="n"/>
      <c r="F1201" s="192" t="n"/>
      <c r="G1201" s="227" t="n"/>
      <c r="H1201" s="227" t="n"/>
    </row>
    <row r="1202">
      <c r="B1202" s="227" t="n"/>
      <c r="C1202" s="227" t="n"/>
      <c r="D1202" s="227" t="n"/>
      <c r="E1202" s="228" t="n"/>
      <c r="F1202" s="192" t="n"/>
      <c r="G1202" s="227" t="n"/>
      <c r="H1202" s="227" t="n"/>
    </row>
    <row r="1203">
      <c r="B1203" s="227" t="n"/>
      <c r="C1203" s="227" t="n"/>
      <c r="D1203" s="227" t="n"/>
      <c r="E1203" s="228" t="n"/>
      <c r="F1203" s="192" t="n"/>
      <c r="G1203" s="227" t="n"/>
      <c r="H1203" s="227" t="n"/>
    </row>
    <row r="1204">
      <c r="B1204" s="227" t="n"/>
      <c r="C1204" s="227" t="n"/>
      <c r="D1204" s="227" t="n"/>
      <c r="E1204" s="228" t="n"/>
      <c r="F1204" s="192" t="n"/>
      <c r="G1204" s="227" t="n"/>
      <c r="H1204" s="227" t="n"/>
    </row>
    <row r="1205">
      <c r="B1205" s="227" t="n"/>
      <c r="C1205" s="227" t="n"/>
      <c r="D1205" s="227" t="n"/>
      <c r="E1205" s="228" t="n"/>
      <c r="F1205" s="192" t="n"/>
      <c r="G1205" s="227" t="n"/>
      <c r="H1205" s="227" t="n"/>
    </row>
    <row r="1206">
      <c r="B1206" s="227" t="n"/>
      <c r="C1206" s="227" t="n"/>
      <c r="D1206" s="227" t="n"/>
      <c r="E1206" s="228" t="n"/>
      <c r="F1206" s="192" t="n"/>
      <c r="G1206" s="227" t="n"/>
      <c r="H1206" s="227" t="n"/>
    </row>
    <row r="1207">
      <c r="B1207" s="227" t="n"/>
      <c r="C1207" s="227" t="n"/>
      <c r="D1207" s="227" t="n"/>
      <c r="E1207" s="228" t="n"/>
      <c r="F1207" s="192" t="n"/>
      <c r="G1207" s="227" t="n"/>
      <c r="H1207" s="227" t="n"/>
    </row>
    <row r="1208">
      <c r="B1208" s="227" t="n"/>
      <c r="C1208" s="227" t="n"/>
      <c r="D1208" s="227" t="n"/>
      <c r="E1208" s="228" t="n"/>
      <c r="F1208" s="192" t="n"/>
      <c r="G1208" s="227" t="n"/>
      <c r="H1208" s="227" t="n"/>
    </row>
    <row r="1209">
      <c r="B1209" s="227" t="n"/>
      <c r="C1209" s="227" t="n"/>
      <c r="D1209" s="227" t="n"/>
      <c r="E1209" s="228" t="n"/>
      <c r="F1209" s="192" t="n"/>
      <c r="G1209" s="227" t="n"/>
      <c r="H1209" s="227" t="n"/>
    </row>
    <row r="1210">
      <c r="B1210" s="227" t="n"/>
      <c r="C1210" s="227" t="n"/>
      <c r="D1210" s="227" t="n"/>
      <c r="E1210" s="228" t="n"/>
      <c r="F1210" s="192" t="n"/>
      <c r="G1210" s="227" t="n"/>
      <c r="H1210" s="227" t="n"/>
    </row>
    <row r="1211">
      <c r="B1211" s="227" t="n"/>
      <c r="C1211" s="227" t="n"/>
      <c r="D1211" s="227" t="n"/>
      <c r="E1211" s="228" t="n"/>
      <c r="F1211" s="192" t="n"/>
      <c r="G1211" s="227" t="n"/>
      <c r="H1211" s="227" t="n"/>
    </row>
    <row r="1212">
      <c r="B1212" s="227" t="n"/>
      <c r="C1212" s="227" t="n"/>
      <c r="D1212" s="227" t="n"/>
      <c r="E1212" s="228" t="n"/>
      <c r="F1212" s="192" t="n"/>
      <c r="G1212" s="227" t="n"/>
      <c r="H1212" s="227" t="n"/>
    </row>
    <row r="1213">
      <c r="B1213" s="227" t="n"/>
      <c r="C1213" s="227" t="n"/>
      <c r="D1213" s="227" t="n"/>
      <c r="E1213" s="228" t="n"/>
      <c r="F1213" s="192" t="n"/>
      <c r="G1213" s="227" t="n"/>
      <c r="H1213" s="227" t="n"/>
    </row>
    <row r="1214">
      <c r="B1214" s="227" t="n"/>
      <c r="C1214" s="227" t="n"/>
      <c r="D1214" s="227" t="n"/>
      <c r="E1214" s="228" t="n"/>
      <c r="F1214" s="192" t="n"/>
      <c r="G1214" s="227" t="n"/>
      <c r="H1214" s="227" t="n"/>
    </row>
    <row r="1215">
      <c r="B1215" s="227" t="n"/>
      <c r="C1215" s="227" t="n"/>
      <c r="D1215" s="227" t="n"/>
      <c r="E1215" s="228" t="n"/>
      <c r="F1215" s="192" t="n"/>
      <c r="G1215" s="227" t="n"/>
      <c r="H1215" s="227" t="n"/>
    </row>
    <row r="1216">
      <c r="B1216" s="227" t="n"/>
      <c r="C1216" s="227" t="n"/>
      <c r="D1216" s="227" t="n"/>
      <c r="E1216" s="228" t="n"/>
      <c r="F1216" s="192" t="n"/>
      <c r="G1216" s="227" t="n"/>
      <c r="H1216" s="227" t="n"/>
    </row>
    <row r="1217">
      <c r="B1217" s="227" t="n"/>
      <c r="C1217" s="227" t="n"/>
      <c r="D1217" s="227" t="n"/>
      <c r="E1217" s="228" t="n"/>
      <c r="F1217" s="192" t="n"/>
      <c r="G1217" s="227" t="n"/>
      <c r="H1217" s="227" t="n"/>
    </row>
    <row r="1218">
      <c r="B1218" s="227" t="n"/>
      <c r="C1218" s="227" t="n"/>
      <c r="D1218" s="227" t="n"/>
      <c r="E1218" s="228" t="n"/>
      <c r="F1218" s="192" t="n"/>
      <c r="G1218" s="227" t="n"/>
      <c r="H1218" s="227" t="n"/>
    </row>
    <row r="1219">
      <c r="B1219" s="227" t="n"/>
      <c r="C1219" s="227" t="n"/>
      <c r="D1219" s="227" t="n"/>
      <c r="E1219" s="228" t="n"/>
      <c r="F1219" s="192" t="n"/>
      <c r="G1219" s="227" t="n"/>
      <c r="H1219" s="227" t="n"/>
    </row>
    <row r="1220">
      <c r="B1220" s="227" t="n"/>
      <c r="C1220" s="227" t="n"/>
      <c r="D1220" s="227" t="n"/>
      <c r="E1220" s="228" t="n"/>
      <c r="F1220" s="192" t="n"/>
      <c r="G1220" s="227" t="n"/>
      <c r="H1220" s="227" t="n"/>
    </row>
    <row r="1221">
      <c r="B1221" s="227" t="n"/>
      <c r="C1221" s="227" t="n"/>
      <c r="D1221" s="227" t="n"/>
      <c r="E1221" s="228" t="n"/>
      <c r="F1221" s="192" t="n"/>
      <c r="G1221" s="227" t="n"/>
      <c r="H1221" s="227" t="n"/>
    </row>
    <row r="1222">
      <c r="B1222" s="227" t="n"/>
      <c r="C1222" s="227" t="n"/>
      <c r="D1222" s="227" t="n"/>
      <c r="E1222" s="228" t="n"/>
      <c r="F1222" s="192" t="n"/>
      <c r="G1222" s="227" t="n"/>
      <c r="H1222" s="227" t="n"/>
    </row>
    <row r="1223">
      <c r="B1223" s="227" t="n"/>
      <c r="C1223" s="227" t="n"/>
      <c r="D1223" s="227" t="n"/>
      <c r="E1223" s="228" t="n"/>
      <c r="F1223" s="192" t="n"/>
      <c r="G1223" s="227" t="n"/>
      <c r="H1223" s="227" t="n"/>
    </row>
    <row r="1224">
      <c r="B1224" s="227" t="n"/>
      <c r="C1224" s="227" t="n"/>
      <c r="D1224" s="227" t="n"/>
      <c r="E1224" s="228" t="n"/>
      <c r="F1224" s="192" t="n"/>
      <c r="G1224" s="227" t="n"/>
      <c r="H1224" s="227" t="n"/>
    </row>
    <row r="1225">
      <c r="B1225" s="227" t="n"/>
      <c r="C1225" s="227" t="n"/>
      <c r="D1225" s="227" t="n"/>
      <c r="E1225" s="228" t="n"/>
      <c r="F1225" s="192" t="n"/>
      <c r="G1225" s="227" t="n"/>
      <c r="H1225" s="227" t="n"/>
    </row>
    <row r="1226">
      <c r="B1226" s="227" t="n"/>
      <c r="C1226" s="227" t="n"/>
      <c r="D1226" s="227" t="n"/>
      <c r="E1226" s="228" t="n"/>
      <c r="F1226" s="192" t="n"/>
      <c r="G1226" s="227" t="n"/>
      <c r="H1226" s="227" t="n"/>
    </row>
    <row r="1227">
      <c r="B1227" s="227" t="n"/>
      <c r="C1227" s="227" t="n"/>
      <c r="D1227" s="227" t="n"/>
      <c r="E1227" s="228" t="n"/>
      <c r="F1227" s="192" t="n"/>
      <c r="G1227" s="227" t="n"/>
      <c r="H1227" s="227" t="n"/>
    </row>
    <row r="1228">
      <c r="B1228" s="227" t="n"/>
      <c r="C1228" s="227" t="n"/>
      <c r="D1228" s="227" t="n"/>
      <c r="E1228" s="228" t="n"/>
      <c r="F1228" s="192" t="n"/>
      <c r="G1228" s="227" t="n"/>
      <c r="H1228" s="227" t="n"/>
    </row>
    <row r="1229">
      <c r="B1229" s="227" t="n"/>
      <c r="C1229" s="227" t="n"/>
      <c r="D1229" s="227" t="n"/>
      <c r="E1229" s="228" t="n"/>
      <c r="F1229" s="192" t="n"/>
      <c r="G1229" s="227" t="n"/>
      <c r="H1229" s="227" t="n"/>
    </row>
    <row r="1230">
      <c r="B1230" s="227" t="n"/>
      <c r="C1230" s="227" t="n"/>
      <c r="D1230" s="227" t="n"/>
      <c r="E1230" s="228" t="n"/>
      <c r="F1230" s="192" t="n"/>
      <c r="G1230" s="227" t="n"/>
      <c r="H1230" s="227" t="n"/>
    </row>
    <row r="1231">
      <c r="B1231" s="227" t="n"/>
      <c r="C1231" s="227" t="n"/>
      <c r="D1231" s="227" t="n"/>
      <c r="E1231" s="228" t="n"/>
      <c r="F1231" s="192" t="n"/>
      <c r="G1231" s="227" t="n"/>
      <c r="H1231" s="227" t="n"/>
    </row>
    <row r="1232">
      <c r="B1232" s="227" t="n"/>
      <c r="C1232" s="227" t="n"/>
      <c r="D1232" s="227" t="n"/>
      <c r="E1232" s="228" t="n"/>
      <c r="F1232" s="192" t="n"/>
      <c r="G1232" s="227" t="n"/>
      <c r="H1232" s="227" t="n"/>
    </row>
    <row r="1233">
      <c r="B1233" s="227" t="n"/>
      <c r="C1233" s="227" t="n"/>
      <c r="D1233" s="227" t="n"/>
      <c r="E1233" s="228" t="n"/>
      <c r="F1233" s="192" t="n"/>
      <c r="G1233" s="227" t="n"/>
      <c r="H1233" s="227" t="n"/>
    </row>
    <row r="1234">
      <c r="B1234" s="227" t="n"/>
      <c r="C1234" s="227" t="n"/>
      <c r="D1234" s="227" t="n"/>
      <c r="E1234" s="228" t="n"/>
      <c r="F1234" s="192" t="n"/>
      <c r="G1234" s="227" t="n"/>
      <c r="H1234" s="227" t="n"/>
    </row>
    <row r="1235">
      <c r="B1235" s="227" t="n"/>
      <c r="C1235" s="227" t="n"/>
      <c r="D1235" s="227" t="n"/>
      <c r="E1235" s="228" t="n"/>
      <c r="F1235" s="192" t="n"/>
      <c r="G1235" s="227" t="n"/>
      <c r="H1235" s="227" t="n"/>
    </row>
    <row r="1236">
      <c r="B1236" s="227" t="n"/>
      <c r="C1236" s="227" t="n"/>
      <c r="D1236" s="227" t="n"/>
      <c r="E1236" s="228" t="n"/>
      <c r="F1236" s="192" t="n"/>
      <c r="G1236" s="227" t="n"/>
      <c r="H1236" s="227" t="n"/>
    </row>
    <row r="1237">
      <c r="B1237" s="227" t="n"/>
      <c r="C1237" s="227" t="n"/>
      <c r="D1237" s="227" t="n"/>
      <c r="E1237" s="228" t="n"/>
      <c r="F1237" s="192" t="n"/>
      <c r="G1237" s="227" t="n"/>
      <c r="H1237" s="227" t="n"/>
    </row>
    <row r="1238">
      <c r="B1238" s="227" t="n"/>
      <c r="C1238" s="227" t="n"/>
      <c r="D1238" s="227" t="n"/>
      <c r="E1238" s="228" t="n"/>
      <c r="F1238" s="192" t="n"/>
      <c r="G1238" s="227" t="n"/>
      <c r="H1238" s="227" t="n"/>
    </row>
    <row r="1239">
      <c r="B1239" s="227" t="n"/>
      <c r="C1239" s="227" t="n"/>
      <c r="D1239" s="227" t="n"/>
      <c r="E1239" s="228" t="n"/>
      <c r="F1239" s="192" t="n"/>
      <c r="G1239" s="227" t="n"/>
      <c r="H1239" s="227" t="n"/>
    </row>
    <row r="1240">
      <c r="B1240" s="227" t="n"/>
      <c r="C1240" s="227" t="n"/>
      <c r="D1240" s="227" t="n"/>
      <c r="E1240" s="228" t="n"/>
      <c r="F1240" s="192" t="n"/>
      <c r="G1240" s="227" t="n"/>
      <c r="H1240" s="227" t="n"/>
    </row>
    <row r="1241">
      <c r="B1241" s="227" t="n"/>
      <c r="C1241" s="227" t="n"/>
      <c r="D1241" s="227" t="n"/>
      <c r="E1241" s="228" t="n"/>
      <c r="F1241" s="192" t="n"/>
      <c r="G1241" s="227" t="n"/>
      <c r="H1241" s="227" t="n"/>
    </row>
    <row r="1242">
      <c r="B1242" s="227" t="n"/>
      <c r="C1242" s="227" t="n"/>
      <c r="D1242" s="227" t="n"/>
      <c r="E1242" s="228" t="n"/>
      <c r="F1242" s="192" t="n"/>
      <c r="G1242" s="227" t="n"/>
      <c r="H1242" s="227" t="n"/>
    </row>
    <row r="1243">
      <c r="B1243" s="227" t="n"/>
      <c r="C1243" s="227" t="n"/>
      <c r="D1243" s="227" t="n"/>
      <c r="E1243" s="228" t="n"/>
      <c r="F1243" s="192" t="n"/>
      <c r="G1243" s="227" t="n"/>
      <c r="H1243" s="227" t="n"/>
    </row>
    <row r="1244">
      <c r="B1244" s="227" t="n"/>
      <c r="C1244" s="227" t="n"/>
      <c r="D1244" s="227" t="n"/>
      <c r="E1244" s="228" t="n"/>
      <c r="F1244" s="192" t="n"/>
      <c r="G1244" s="227" t="n"/>
      <c r="H1244" s="227" t="n"/>
    </row>
    <row r="1245">
      <c r="B1245" s="227" t="n"/>
      <c r="C1245" s="227" t="n"/>
      <c r="D1245" s="227" t="n"/>
      <c r="E1245" s="228" t="n"/>
      <c r="F1245" s="192" t="n"/>
      <c r="G1245" s="227" t="n"/>
      <c r="H1245" s="227" t="n"/>
    </row>
    <row r="1246">
      <c r="B1246" s="227" t="n"/>
      <c r="C1246" s="227" t="n"/>
      <c r="D1246" s="227" t="n"/>
      <c r="E1246" s="228" t="n"/>
      <c r="F1246" s="192" t="n"/>
      <c r="G1246" s="227" t="n"/>
      <c r="H1246" s="227" t="n"/>
    </row>
    <row r="1247">
      <c r="B1247" s="227" t="n"/>
      <c r="C1247" s="227" t="n"/>
      <c r="D1247" s="227" t="n"/>
      <c r="E1247" s="228" t="n"/>
      <c r="F1247" s="192" t="n"/>
      <c r="G1247" s="227" t="n"/>
      <c r="H1247" s="227" t="n"/>
    </row>
    <row r="1248">
      <c r="B1248" s="227" t="n"/>
      <c r="C1248" s="227" t="n"/>
      <c r="D1248" s="227" t="n"/>
      <c r="E1248" s="228" t="n"/>
      <c r="F1248" s="192" t="n"/>
      <c r="G1248" s="227" t="n"/>
      <c r="H1248" s="227" t="n"/>
    </row>
    <row r="1249">
      <c r="B1249" s="227" t="n"/>
      <c r="C1249" s="227" t="n"/>
      <c r="D1249" s="227" t="n"/>
      <c r="E1249" s="228" t="n"/>
      <c r="F1249" s="192" t="n"/>
      <c r="G1249" s="227" t="n"/>
      <c r="H1249" s="227" t="n"/>
    </row>
    <row r="1250">
      <c r="B1250" s="227" t="n"/>
      <c r="C1250" s="227" t="n"/>
      <c r="D1250" s="227" t="n"/>
      <c r="E1250" s="228" t="n"/>
      <c r="F1250" s="192" t="n"/>
      <c r="G1250" s="227" t="n"/>
      <c r="H1250" s="227" t="n"/>
    </row>
    <row r="1251">
      <c r="B1251" s="227" t="n"/>
      <c r="C1251" s="227" t="n"/>
      <c r="D1251" s="227" t="n"/>
      <c r="E1251" s="228" t="n"/>
      <c r="F1251" s="192" t="n"/>
      <c r="G1251" s="227" t="n"/>
      <c r="H1251" s="227" t="n"/>
    </row>
    <row r="1252">
      <c r="B1252" s="227" t="n"/>
      <c r="C1252" s="227" t="n"/>
      <c r="D1252" s="227" t="n"/>
      <c r="E1252" s="228" t="n"/>
      <c r="F1252" s="192" t="n"/>
      <c r="G1252" s="227" t="n"/>
      <c r="H1252" s="227" t="n"/>
    </row>
    <row r="1253">
      <c r="B1253" s="227" t="n"/>
      <c r="C1253" s="227" t="n"/>
      <c r="D1253" s="227" t="n"/>
      <c r="E1253" s="228" t="n"/>
      <c r="F1253" s="192" t="n"/>
      <c r="G1253" s="227" t="n"/>
      <c r="H1253" s="227" t="n"/>
    </row>
    <row r="1254">
      <c r="B1254" s="227" t="n"/>
      <c r="C1254" s="227" t="n"/>
      <c r="D1254" s="227" t="n"/>
      <c r="E1254" s="228" t="n"/>
      <c r="F1254" s="192" t="n"/>
      <c r="G1254" s="227" t="n"/>
      <c r="H1254" s="227" t="n"/>
    </row>
    <row r="1255">
      <c r="B1255" s="227" t="n"/>
      <c r="C1255" s="227" t="n"/>
      <c r="D1255" s="227" t="n"/>
      <c r="E1255" s="228" t="n"/>
      <c r="F1255" s="192" t="n"/>
      <c r="G1255" s="227" t="n"/>
      <c r="H1255" s="227" t="n"/>
    </row>
    <row r="1256">
      <c r="B1256" s="227" t="n"/>
      <c r="C1256" s="227" t="n"/>
      <c r="D1256" s="227" t="n"/>
      <c r="E1256" s="228" t="n"/>
      <c r="F1256" s="192" t="n"/>
      <c r="G1256" s="227" t="n"/>
      <c r="H1256" s="227" t="n"/>
    </row>
    <row r="1257">
      <c r="B1257" s="227" t="n"/>
      <c r="C1257" s="227" t="n"/>
      <c r="D1257" s="227" t="n"/>
      <c r="E1257" s="228" t="n"/>
      <c r="F1257" s="192" t="n"/>
      <c r="G1257" s="227" t="n"/>
      <c r="H1257" s="227" t="n"/>
    </row>
    <row r="1258">
      <c r="B1258" s="227" t="n"/>
      <c r="C1258" s="227" t="n"/>
      <c r="D1258" s="227" t="n"/>
      <c r="E1258" s="228" t="n"/>
      <c r="F1258" s="192" t="n"/>
      <c r="G1258" s="227" t="n"/>
      <c r="H1258" s="227" t="n"/>
    </row>
    <row r="1259">
      <c r="B1259" s="227" t="n"/>
      <c r="C1259" s="227" t="n"/>
      <c r="D1259" s="227" t="n"/>
      <c r="E1259" s="228" t="n"/>
      <c r="F1259" s="192" t="n"/>
      <c r="G1259" s="227" t="n"/>
      <c r="H1259" s="227" t="n"/>
    </row>
    <row r="1260">
      <c r="B1260" s="227" t="n"/>
      <c r="C1260" s="227" t="n"/>
      <c r="D1260" s="227" t="n"/>
      <c r="E1260" s="228" t="n"/>
      <c r="F1260" s="192" t="n"/>
      <c r="G1260" s="227" t="n"/>
      <c r="H1260" s="227" t="n"/>
    </row>
    <row r="1261">
      <c r="B1261" s="227" t="n"/>
      <c r="C1261" s="227" t="n"/>
      <c r="D1261" s="227" t="n"/>
      <c r="E1261" s="228" t="n"/>
      <c r="F1261" s="192" t="n"/>
      <c r="G1261" s="227" t="n"/>
      <c r="H1261" s="227" t="n"/>
    </row>
    <row r="1262">
      <c r="B1262" s="227" t="n"/>
      <c r="C1262" s="227" t="n"/>
      <c r="D1262" s="227" t="n"/>
      <c r="E1262" s="228" t="n"/>
      <c r="F1262" s="192" t="n"/>
      <c r="G1262" s="227" t="n"/>
      <c r="H1262" s="227" t="n"/>
    </row>
    <row r="1263">
      <c r="B1263" s="227" t="n"/>
      <c r="C1263" s="227" t="n"/>
      <c r="D1263" s="227" t="n"/>
      <c r="E1263" s="228" t="n"/>
      <c r="F1263" s="192" t="n"/>
      <c r="G1263" s="227" t="n"/>
      <c r="H1263" s="227" t="n"/>
    </row>
    <row r="1264">
      <c r="B1264" s="227" t="n"/>
      <c r="C1264" s="227" t="n"/>
      <c r="D1264" s="227" t="n"/>
      <c r="E1264" s="228" t="n"/>
      <c r="F1264" s="192" t="n"/>
      <c r="G1264" s="227" t="n"/>
      <c r="H1264" s="227" t="n"/>
    </row>
    <row r="1265">
      <c r="B1265" s="227" t="n"/>
      <c r="C1265" s="227" t="n"/>
      <c r="D1265" s="227" t="n"/>
      <c r="E1265" s="228" t="n"/>
      <c r="F1265" s="192" t="n"/>
      <c r="G1265" s="227" t="n"/>
      <c r="H1265" s="227" t="n"/>
    </row>
    <row r="1266">
      <c r="B1266" s="227" t="n"/>
      <c r="C1266" s="227" t="n"/>
      <c r="D1266" s="227" t="n"/>
      <c r="E1266" s="228" t="n"/>
      <c r="F1266" s="192" t="n"/>
      <c r="G1266" s="227" t="n"/>
      <c r="H1266" s="227" t="n"/>
    </row>
    <row r="1267">
      <c r="B1267" s="227" t="n"/>
      <c r="C1267" s="227" t="n"/>
      <c r="D1267" s="227" t="n"/>
      <c r="E1267" s="228" t="n"/>
      <c r="F1267" s="192" t="n"/>
      <c r="G1267" s="227" t="n"/>
      <c r="H1267" s="227" t="n"/>
    </row>
    <row r="1268">
      <c r="B1268" s="227" t="n"/>
      <c r="C1268" s="227" t="n"/>
      <c r="D1268" s="227" t="n"/>
      <c r="E1268" s="228" t="n"/>
      <c r="F1268" s="192" t="n"/>
      <c r="G1268" s="227" t="n"/>
      <c r="H1268" s="227" t="n"/>
    </row>
    <row r="1269">
      <c r="B1269" s="227" t="n"/>
      <c r="C1269" s="227" t="n"/>
      <c r="D1269" s="227" t="n"/>
      <c r="E1269" s="228" t="n"/>
      <c r="F1269" s="192" t="n"/>
      <c r="G1269" s="227" t="n"/>
      <c r="H1269" s="227" t="n"/>
    </row>
    <row r="1270">
      <c r="B1270" s="227" t="n"/>
      <c r="C1270" s="227" t="n"/>
      <c r="D1270" s="227" t="n"/>
      <c r="E1270" s="228" t="n"/>
      <c r="F1270" s="192" t="n"/>
      <c r="G1270" s="227" t="n"/>
      <c r="H1270" s="227" t="n"/>
    </row>
    <row r="1271">
      <c r="B1271" s="227" t="n"/>
      <c r="C1271" s="227" t="n"/>
      <c r="D1271" s="227" t="n"/>
      <c r="E1271" s="228" t="n"/>
      <c r="F1271" s="192" t="n"/>
      <c r="G1271" s="227" t="n"/>
      <c r="H1271" s="227" t="n"/>
    </row>
    <row r="1272">
      <c r="B1272" s="227" t="n"/>
      <c r="C1272" s="227" t="n"/>
      <c r="D1272" s="227" t="n"/>
      <c r="E1272" s="228" t="n"/>
      <c r="F1272" s="192" t="n"/>
      <c r="G1272" s="227" t="n"/>
      <c r="H1272" s="227" t="n"/>
    </row>
    <row r="1273">
      <c r="B1273" s="227" t="n"/>
      <c r="C1273" s="227" t="n"/>
      <c r="D1273" s="227" t="n"/>
      <c r="E1273" s="228" t="n"/>
      <c r="F1273" s="192" t="n"/>
      <c r="G1273" s="227" t="n"/>
      <c r="H1273" s="227" t="n"/>
    </row>
    <row r="1274">
      <c r="B1274" s="227" t="n"/>
      <c r="C1274" s="227" t="n"/>
      <c r="D1274" s="227" t="n"/>
      <c r="E1274" s="228" t="n"/>
      <c r="F1274" s="192" t="n"/>
      <c r="G1274" s="227" t="n"/>
      <c r="H1274" s="227" t="n"/>
    </row>
    <row r="1275">
      <c r="B1275" s="227" t="n"/>
      <c r="C1275" s="227" t="n"/>
      <c r="D1275" s="227" t="n"/>
      <c r="E1275" s="228" t="n"/>
      <c r="F1275" s="192" t="n"/>
      <c r="G1275" s="227" t="n"/>
      <c r="H1275" s="227" t="n"/>
    </row>
    <row r="1276">
      <c r="B1276" s="227" t="n"/>
      <c r="C1276" s="227" t="n"/>
      <c r="D1276" s="227" t="n"/>
      <c r="E1276" s="228" t="n"/>
      <c r="F1276" s="192" t="n"/>
      <c r="G1276" s="227" t="n"/>
      <c r="H1276" s="227" t="n"/>
    </row>
    <row r="1277">
      <c r="B1277" s="227" t="n"/>
      <c r="C1277" s="227" t="n"/>
      <c r="D1277" s="227" t="n"/>
      <c r="E1277" s="228" t="n"/>
      <c r="F1277" s="192" t="n"/>
      <c r="G1277" s="227" t="n"/>
      <c r="H1277" s="227" t="n"/>
    </row>
    <row r="1278">
      <c r="B1278" s="227" t="n"/>
      <c r="C1278" s="227" t="n"/>
      <c r="D1278" s="227" t="n"/>
      <c r="E1278" s="228" t="n"/>
      <c r="F1278" s="192" t="n"/>
      <c r="G1278" s="227" t="n"/>
      <c r="H1278" s="227" t="n"/>
    </row>
    <row r="1279">
      <c r="B1279" s="227" t="n"/>
      <c r="C1279" s="227" t="n"/>
      <c r="D1279" s="227" t="n"/>
      <c r="E1279" s="228" t="n"/>
      <c r="F1279" s="192" t="n"/>
      <c r="G1279" s="227" t="n"/>
      <c r="H1279" s="227" t="n"/>
    </row>
    <row r="1280">
      <c r="B1280" s="227" t="n"/>
      <c r="C1280" s="227" t="n"/>
      <c r="D1280" s="227" t="n"/>
      <c r="E1280" s="228" t="n"/>
      <c r="F1280" s="192" t="n"/>
      <c r="G1280" s="227" t="n"/>
      <c r="H1280" s="227" t="n"/>
    </row>
    <row r="1281">
      <c r="B1281" s="227" t="n"/>
      <c r="C1281" s="227" t="n"/>
      <c r="D1281" s="227" t="n"/>
      <c r="E1281" s="228" t="n"/>
      <c r="F1281" s="192" t="n"/>
      <c r="G1281" s="227" t="n"/>
      <c r="H1281" s="227" t="n"/>
    </row>
    <row r="1282">
      <c r="B1282" s="227" t="n"/>
      <c r="C1282" s="227" t="n"/>
      <c r="D1282" s="227" t="n"/>
      <c r="E1282" s="228" t="n"/>
      <c r="F1282" s="192" t="n"/>
      <c r="G1282" s="227" t="n"/>
      <c r="H1282" s="227" t="n"/>
    </row>
    <row r="1283">
      <c r="B1283" s="227" t="n"/>
      <c r="C1283" s="227" t="n"/>
      <c r="D1283" s="227" t="n"/>
      <c r="E1283" s="228" t="n"/>
      <c r="F1283" s="192" t="n"/>
      <c r="G1283" s="227" t="n"/>
      <c r="H1283" s="227" t="n"/>
    </row>
    <row r="1284">
      <c r="B1284" s="227" t="n"/>
      <c r="C1284" s="227" t="n"/>
      <c r="D1284" s="227" t="n"/>
      <c r="E1284" s="228" t="n"/>
      <c r="F1284" s="192" t="n"/>
      <c r="G1284" s="227" t="n"/>
      <c r="H1284" s="227" t="n"/>
    </row>
    <row r="1285">
      <c r="B1285" s="227" t="n"/>
      <c r="C1285" s="227" t="n"/>
      <c r="D1285" s="227" t="n"/>
      <c r="E1285" s="228" t="n"/>
      <c r="F1285" s="192" t="n"/>
      <c r="G1285" s="227" t="n"/>
      <c r="H1285" s="227" t="n"/>
    </row>
    <row r="1286">
      <c r="B1286" s="227" t="n"/>
      <c r="C1286" s="227" t="n"/>
      <c r="D1286" s="227" t="n"/>
      <c r="E1286" s="228" t="n"/>
      <c r="F1286" s="192" t="n"/>
      <c r="G1286" s="227" t="n"/>
      <c r="H1286" s="227" t="n"/>
    </row>
    <row r="1287">
      <c r="B1287" s="227" t="n"/>
      <c r="C1287" s="227" t="n"/>
      <c r="D1287" s="227" t="n"/>
      <c r="E1287" s="228" t="n"/>
      <c r="F1287" s="192" t="n"/>
      <c r="G1287" s="227" t="n"/>
      <c r="H1287" s="227" t="n"/>
    </row>
    <row r="1288">
      <c r="B1288" s="227" t="n"/>
      <c r="C1288" s="227" t="n"/>
      <c r="D1288" s="227" t="n"/>
      <c r="E1288" s="228" t="n"/>
      <c r="F1288" s="192" t="n"/>
      <c r="G1288" s="227" t="n"/>
      <c r="H1288" s="227" t="n"/>
    </row>
    <row r="1289">
      <c r="B1289" s="227" t="n"/>
      <c r="C1289" s="227" t="n"/>
      <c r="D1289" s="227" t="n"/>
      <c r="E1289" s="228" t="n"/>
      <c r="F1289" s="192" t="n"/>
      <c r="G1289" s="227" t="n"/>
      <c r="H1289" s="227" t="n"/>
    </row>
    <row r="1290">
      <c r="B1290" s="227" t="n"/>
      <c r="C1290" s="227" t="n"/>
      <c r="D1290" s="227" t="n"/>
      <c r="E1290" s="228" t="n"/>
      <c r="F1290" s="192" t="n"/>
      <c r="G1290" s="227" t="n"/>
      <c r="H1290" s="227" t="n"/>
    </row>
    <row r="1291">
      <c r="B1291" s="227" t="n"/>
      <c r="C1291" s="227" t="n"/>
      <c r="D1291" s="227" t="n"/>
      <c r="E1291" s="228" t="n"/>
      <c r="F1291" s="192" t="n"/>
      <c r="G1291" s="227" t="n"/>
      <c r="H1291" s="227" t="n"/>
    </row>
    <row r="1292">
      <c r="B1292" s="227" t="n"/>
      <c r="C1292" s="227" t="n"/>
      <c r="D1292" s="227" t="n"/>
      <c r="E1292" s="228" t="n"/>
      <c r="F1292" s="192" t="n"/>
      <c r="G1292" s="227" t="n"/>
      <c r="H1292" s="227" t="n"/>
    </row>
    <row r="1293">
      <c r="B1293" s="227" t="n"/>
      <c r="C1293" s="227" t="n"/>
      <c r="D1293" s="227" t="n"/>
      <c r="E1293" s="228" t="n"/>
      <c r="F1293" s="192" t="n"/>
      <c r="G1293" s="227" t="n"/>
      <c r="H1293" s="227" t="n"/>
    </row>
    <row r="1294">
      <c r="B1294" s="227" t="n"/>
      <c r="C1294" s="227" t="n"/>
      <c r="D1294" s="227" t="n"/>
      <c r="E1294" s="228" t="n"/>
      <c r="F1294" s="192" t="n"/>
      <c r="G1294" s="227" t="n"/>
      <c r="H1294" s="227" t="n"/>
    </row>
    <row r="1295">
      <c r="B1295" s="227" t="n"/>
      <c r="C1295" s="227" t="n"/>
      <c r="D1295" s="227" t="n"/>
      <c r="E1295" s="228" t="n"/>
      <c r="F1295" s="192" t="n"/>
      <c r="G1295" s="227" t="n"/>
      <c r="H1295" s="227" t="n"/>
    </row>
    <row r="1296">
      <c r="B1296" s="227" t="n"/>
      <c r="C1296" s="227" t="n"/>
      <c r="D1296" s="227" t="n"/>
      <c r="E1296" s="228" t="n"/>
      <c r="F1296" s="192" t="n"/>
      <c r="G1296" s="227" t="n"/>
      <c r="H1296" s="227" t="n"/>
    </row>
    <row r="1297">
      <c r="B1297" s="227" t="n"/>
      <c r="C1297" s="227" t="n"/>
      <c r="D1297" s="227" t="n"/>
      <c r="E1297" s="228" t="n"/>
      <c r="F1297" s="192" t="n"/>
      <c r="G1297" s="227" t="n"/>
      <c r="H1297" s="227" t="n"/>
    </row>
    <row r="1298">
      <c r="B1298" s="227" t="n"/>
      <c r="C1298" s="227" t="n"/>
      <c r="D1298" s="227" t="n"/>
      <c r="E1298" s="228" t="n"/>
      <c r="F1298" s="192" t="n"/>
      <c r="G1298" s="227" t="n"/>
      <c r="H1298" s="227" t="n"/>
    </row>
    <row r="1299">
      <c r="B1299" s="227" t="n"/>
      <c r="C1299" s="227" t="n"/>
      <c r="D1299" s="227" t="n"/>
      <c r="E1299" s="228" t="n"/>
      <c r="F1299" s="192" t="n"/>
      <c r="G1299" s="227" t="n"/>
      <c r="H1299" s="227" t="n"/>
    </row>
    <row r="1300">
      <c r="B1300" s="227" t="n"/>
      <c r="C1300" s="227" t="n"/>
      <c r="D1300" s="227" t="n"/>
      <c r="E1300" s="228" t="n"/>
      <c r="F1300" s="192" t="n"/>
      <c r="G1300" s="227" t="n"/>
      <c r="H1300" s="227" t="n"/>
    </row>
    <row r="1301">
      <c r="B1301" s="227" t="n"/>
      <c r="C1301" s="227" t="n"/>
      <c r="D1301" s="227" t="n"/>
      <c r="E1301" s="228" t="n"/>
      <c r="F1301" s="192" t="n"/>
      <c r="G1301" s="227" t="n"/>
      <c r="H1301" s="227" t="n"/>
    </row>
    <row r="1302">
      <c r="B1302" s="227" t="n"/>
      <c r="C1302" s="227" t="n"/>
      <c r="D1302" s="227" t="n"/>
      <c r="E1302" s="228" t="n"/>
      <c r="F1302" s="192" t="n"/>
      <c r="G1302" s="227" t="n"/>
      <c r="H1302" s="227" t="n"/>
    </row>
    <row r="1303">
      <c r="B1303" s="227" t="n"/>
      <c r="C1303" s="227" t="n"/>
      <c r="D1303" s="227" t="n"/>
      <c r="E1303" s="228" t="n"/>
      <c r="F1303" s="192" t="n"/>
      <c r="G1303" s="227" t="n"/>
      <c r="H1303" s="227" t="n"/>
    </row>
    <row r="1304">
      <c r="B1304" s="227" t="n"/>
      <c r="C1304" s="227" t="n"/>
      <c r="D1304" s="227" t="n"/>
      <c r="E1304" s="228" t="n"/>
      <c r="F1304" s="192" t="n"/>
      <c r="G1304" s="227" t="n"/>
      <c r="H1304" s="227" t="n"/>
    </row>
    <row r="1305">
      <c r="B1305" s="227" t="n"/>
      <c r="C1305" s="227" t="n"/>
      <c r="D1305" s="227" t="n"/>
      <c r="E1305" s="228" t="n"/>
      <c r="F1305" s="192" t="n"/>
      <c r="G1305" s="227" t="n"/>
      <c r="H1305" s="227" t="n"/>
    </row>
    <row r="1306">
      <c r="B1306" s="227" t="n"/>
      <c r="C1306" s="227" t="n"/>
      <c r="D1306" s="227" t="n"/>
      <c r="E1306" s="228" t="n"/>
      <c r="F1306" s="192" t="n"/>
      <c r="G1306" s="227" t="n"/>
      <c r="H1306" s="227" t="n"/>
    </row>
    <row r="1307">
      <c r="B1307" s="227" t="n"/>
      <c r="C1307" s="227" t="n"/>
      <c r="D1307" s="227" t="n"/>
      <c r="E1307" s="228" t="n"/>
      <c r="F1307" s="192" t="n"/>
      <c r="G1307" s="227" t="n"/>
      <c r="H1307" s="227" t="n"/>
    </row>
    <row r="1308">
      <c r="B1308" s="227" t="n"/>
      <c r="C1308" s="227" t="n"/>
      <c r="D1308" s="227" t="n"/>
      <c r="E1308" s="228" t="n"/>
      <c r="F1308" s="192" t="n"/>
      <c r="G1308" s="227" t="n"/>
      <c r="H1308" s="227" t="n"/>
    </row>
    <row r="1309">
      <c r="B1309" s="227" t="n"/>
      <c r="C1309" s="227" t="n"/>
      <c r="D1309" s="227" t="n"/>
      <c r="E1309" s="228" t="n"/>
      <c r="F1309" s="192" t="n"/>
      <c r="G1309" s="227" t="n"/>
      <c r="H1309" s="227" t="n"/>
    </row>
    <row r="1310">
      <c r="B1310" s="227" t="n"/>
      <c r="C1310" s="227" t="n"/>
      <c r="D1310" s="227" t="n"/>
      <c r="E1310" s="228" t="n"/>
      <c r="F1310" s="192" t="n"/>
      <c r="G1310" s="227" t="n"/>
      <c r="H1310" s="227" t="n"/>
    </row>
    <row r="1311">
      <c r="B1311" s="227" t="n"/>
      <c r="C1311" s="227" t="n"/>
      <c r="D1311" s="227" t="n"/>
      <c r="E1311" s="228" t="n"/>
      <c r="F1311" s="192" t="n"/>
      <c r="G1311" s="227" t="n"/>
      <c r="H1311" s="227" t="n"/>
    </row>
    <row r="1312">
      <c r="B1312" s="227" t="n"/>
      <c r="C1312" s="227" t="n"/>
      <c r="D1312" s="227" t="n"/>
      <c r="E1312" s="228" t="n"/>
      <c r="F1312" s="192" t="n"/>
      <c r="G1312" s="227" t="n"/>
      <c r="H1312" s="227" t="n"/>
    </row>
    <row r="1313">
      <c r="B1313" s="227" t="n"/>
      <c r="C1313" s="227" t="n"/>
      <c r="D1313" s="227" t="n"/>
      <c r="E1313" s="228" t="n"/>
      <c r="F1313" s="192" t="n"/>
      <c r="G1313" s="227" t="n"/>
      <c r="H1313" s="227" t="n"/>
    </row>
    <row r="1314">
      <c r="B1314" s="227" t="n"/>
      <c r="C1314" s="227" t="n"/>
      <c r="D1314" s="227" t="n"/>
      <c r="E1314" s="228" t="n"/>
      <c r="F1314" s="192" t="n"/>
      <c r="G1314" s="227" t="n"/>
      <c r="H1314" s="227" t="n"/>
    </row>
    <row r="1315">
      <c r="B1315" s="227" t="n"/>
      <c r="C1315" s="227" t="n"/>
      <c r="D1315" s="227" t="n"/>
      <c r="E1315" s="228" t="n"/>
      <c r="F1315" s="192" t="n"/>
      <c r="G1315" s="227" t="n"/>
      <c r="H1315" s="227" t="n"/>
    </row>
    <row r="1316">
      <c r="B1316" s="227" t="n"/>
      <c r="C1316" s="227" t="n"/>
      <c r="D1316" s="227" t="n"/>
      <c r="E1316" s="228" t="n"/>
      <c r="F1316" s="192" t="n"/>
      <c r="G1316" s="227" t="n"/>
      <c r="H1316" s="227" t="n"/>
    </row>
    <row r="1317">
      <c r="B1317" s="227" t="n"/>
      <c r="C1317" s="227" t="n"/>
      <c r="D1317" s="227" t="n"/>
      <c r="E1317" s="228" t="n"/>
      <c r="F1317" s="192" t="n"/>
      <c r="G1317" s="227" t="n"/>
      <c r="H1317" s="227" t="n"/>
    </row>
    <row r="1318">
      <c r="B1318" s="227" t="n"/>
      <c r="C1318" s="227" t="n"/>
      <c r="D1318" s="227" t="n"/>
      <c r="E1318" s="228" t="n"/>
      <c r="F1318" s="192" t="n"/>
      <c r="G1318" s="227" t="n"/>
      <c r="H1318" s="227" t="n"/>
    </row>
    <row r="1319">
      <c r="B1319" s="227" t="n"/>
      <c r="C1319" s="227" t="n"/>
      <c r="D1319" s="227" t="n"/>
      <c r="E1319" s="228" t="n"/>
      <c r="F1319" s="192" t="n"/>
      <c r="G1319" s="227" t="n"/>
      <c r="H1319" s="227" t="n"/>
    </row>
    <row r="1320">
      <c r="B1320" s="227" t="n"/>
      <c r="C1320" s="227" t="n"/>
      <c r="D1320" s="227" t="n"/>
      <c r="E1320" s="228" t="n"/>
      <c r="F1320" s="192" t="n"/>
      <c r="G1320" s="227" t="n"/>
      <c r="H1320" s="227" t="n"/>
    </row>
    <row r="1321">
      <c r="B1321" s="227" t="n"/>
      <c r="C1321" s="227" t="n"/>
      <c r="D1321" s="227" t="n"/>
      <c r="E1321" s="228" t="n"/>
      <c r="F1321" s="192" t="n"/>
      <c r="G1321" s="227" t="n"/>
      <c r="H1321" s="227" t="n"/>
    </row>
    <row r="1322">
      <c r="B1322" s="227" t="n"/>
      <c r="C1322" s="227" t="n"/>
      <c r="D1322" s="227" t="n"/>
      <c r="E1322" s="228" t="n"/>
      <c r="F1322" s="192" t="n"/>
      <c r="G1322" s="227" t="n"/>
      <c r="H1322" s="227" t="n"/>
    </row>
    <row r="1323">
      <c r="B1323" s="227" t="n"/>
      <c r="C1323" s="227" t="n"/>
      <c r="D1323" s="227" t="n"/>
      <c r="E1323" s="228" t="n"/>
      <c r="F1323" s="192" t="n"/>
      <c r="G1323" s="227" t="n"/>
      <c r="H1323" s="227" t="n"/>
    </row>
    <row r="1324">
      <c r="B1324" s="227" t="n"/>
      <c r="C1324" s="227" t="n"/>
      <c r="D1324" s="227" t="n"/>
      <c r="E1324" s="228" t="n"/>
      <c r="F1324" s="192" t="n"/>
      <c r="G1324" s="227" t="n"/>
      <c r="H1324" s="227" t="n"/>
    </row>
    <row r="1325">
      <c r="B1325" s="227" t="n"/>
      <c r="C1325" s="227" t="n"/>
      <c r="D1325" s="227" t="n"/>
      <c r="E1325" s="228" t="n"/>
      <c r="F1325" s="192" t="n"/>
      <c r="G1325" s="227" t="n"/>
      <c r="H1325" s="227" t="n"/>
    </row>
    <row r="1326">
      <c r="B1326" s="227" t="n"/>
      <c r="C1326" s="227" t="n"/>
      <c r="D1326" s="227" t="n"/>
      <c r="E1326" s="228" t="n"/>
      <c r="F1326" s="192" t="n"/>
      <c r="G1326" s="227" t="n"/>
      <c r="H1326" s="227" t="n"/>
    </row>
    <row r="1327">
      <c r="B1327" s="227" t="n"/>
      <c r="C1327" s="227" t="n"/>
      <c r="D1327" s="227" t="n"/>
      <c r="E1327" s="228" t="n"/>
      <c r="F1327" s="192" t="n"/>
      <c r="G1327" s="227" t="n"/>
      <c r="H1327" s="227" t="n"/>
    </row>
    <row r="1328">
      <c r="B1328" s="227" t="n"/>
      <c r="C1328" s="227" t="n"/>
      <c r="D1328" s="227" t="n"/>
      <c r="E1328" s="228" t="n"/>
      <c r="F1328" s="192" t="n"/>
      <c r="G1328" s="227" t="n"/>
      <c r="H1328" s="227" t="n"/>
    </row>
    <row r="1329">
      <c r="B1329" s="227" t="n"/>
      <c r="C1329" s="227" t="n"/>
      <c r="D1329" s="227" t="n"/>
      <c r="E1329" s="228" t="n"/>
      <c r="F1329" s="192" t="n"/>
      <c r="G1329" s="227" t="n"/>
      <c r="H1329" s="227" t="n"/>
    </row>
    <row r="1330">
      <c r="B1330" s="227" t="n"/>
      <c r="C1330" s="227" t="n"/>
      <c r="D1330" s="227" t="n"/>
      <c r="E1330" s="228" t="n"/>
      <c r="F1330" s="192" t="n"/>
      <c r="G1330" s="227" t="n"/>
      <c r="H1330" s="227" t="n"/>
    </row>
    <row r="1331">
      <c r="B1331" s="227" t="n"/>
      <c r="C1331" s="227" t="n"/>
      <c r="D1331" s="227" t="n"/>
      <c r="E1331" s="228" t="n"/>
      <c r="F1331" s="192" t="n"/>
      <c r="G1331" s="227" t="n"/>
      <c r="H1331" s="227" t="n"/>
    </row>
    <row r="1332">
      <c r="B1332" s="227" t="n"/>
      <c r="C1332" s="227" t="n"/>
      <c r="D1332" s="227" t="n"/>
      <c r="E1332" s="228" t="n"/>
      <c r="F1332" s="192" t="n"/>
      <c r="G1332" s="227" t="n"/>
      <c r="H1332" s="227" t="n"/>
    </row>
    <row r="1333">
      <c r="B1333" s="227" t="n"/>
      <c r="C1333" s="227" t="n"/>
      <c r="D1333" s="227" t="n"/>
      <c r="E1333" s="228" t="n"/>
      <c r="F1333" s="192" t="n"/>
      <c r="G1333" s="227" t="n"/>
      <c r="H1333" s="227" t="n"/>
    </row>
    <row r="1334">
      <c r="B1334" s="227" t="n"/>
      <c r="C1334" s="227" t="n"/>
      <c r="D1334" s="227" t="n"/>
      <c r="E1334" s="228" t="n"/>
      <c r="F1334" s="192" t="n"/>
      <c r="G1334" s="227" t="n"/>
      <c r="H1334" s="227" t="n"/>
    </row>
    <row r="1335">
      <c r="B1335" s="227" t="n"/>
      <c r="C1335" s="227" t="n"/>
      <c r="D1335" s="227" t="n"/>
      <c r="E1335" s="228" t="n"/>
      <c r="F1335" s="192" t="n"/>
      <c r="G1335" s="227" t="n"/>
      <c r="H1335" s="227" t="n"/>
    </row>
    <row r="1336">
      <c r="B1336" s="227" t="n"/>
      <c r="C1336" s="227" t="n"/>
      <c r="D1336" s="227" t="n"/>
      <c r="E1336" s="228" t="n"/>
      <c r="F1336" s="192" t="n"/>
      <c r="G1336" s="227" t="n"/>
      <c r="H1336" s="227" t="n"/>
    </row>
    <row r="1337">
      <c r="B1337" s="227" t="n"/>
      <c r="C1337" s="227" t="n"/>
      <c r="D1337" s="227" t="n"/>
      <c r="E1337" s="228" t="n"/>
      <c r="F1337" s="192" t="n"/>
      <c r="G1337" s="227" t="n"/>
      <c r="H1337" s="227" t="n"/>
    </row>
    <row r="1338">
      <c r="B1338" s="227" t="n"/>
      <c r="C1338" s="227" t="n"/>
      <c r="D1338" s="227" t="n"/>
      <c r="E1338" s="228" t="n"/>
      <c r="F1338" s="192" t="n"/>
      <c r="G1338" s="227" t="n"/>
      <c r="H1338" s="227" t="n"/>
    </row>
    <row r="1339">
      <c r="B1339" s="227" t="n"/>
      <c r="C1339" s="227" t="n"/>
      <c r="D1339" s="227" t="n"/>
      <c r="E1339" s="228" t="n"/>
      <c r="F1339" s="192" t="n"/>
      <c r="G1339" s="227" t="n"/>
      <c r="H1339" s="227" t="n"/>
    </row>
    <row r="1340">
      <c r="B1340" s="227" t="n"/>
      <c r="C1340" s="227" t="n"/>
      <c r="D1340" s="227" t="n"/>
      <c r="E1340" s="228" t="n"/>
      <c r="F1340" s="192" t="n"/>
      <c r="G1340" s="227" t="n"/>
      <c r="H1340" s="227" t="n"/>
    </row>
    <row r="1341">
      <c r="B1341" s="227" t="n"/>
      <c r="C1341" s="227" t="n"/>
      <c r="D1341" s="227" t="n"/>
      <c r="E1341" s="228" t="n"/>
      <c r="F1341" s="192" t="n"/>
      <c r="G1341" s="227" t="n"/>
      <c r="H1341" s="227" t="n"/>
    </row>
    <row r="1342">
      <c r="B1342" s="227" t="n"/>
      <c r="C1342" s="227" t="n"/>
      <c r="D1342" s="227" t="n"/>
      <c r="E1342" s="228" t="n"/>
      <c r="F1342" s="192" t="n"/>
      <c r="G1342" s="227" t="n"/>
      <c r="H1342" s="227" t="n"/>
    </row>
    <row r="1343">
      <c r="B1343" s="227" t="n"/>
      <c r="C1343" s="227" t="n"/>
      <c r="D1343" s="227" t="n"/>
      <c r="E1343" s="228" t="n"/>
      <c r="F1343" s="192" t="n"/>
      <c r="G1343" s="227" t="n"/>
      <c r="H1343" s="227" t="n"/>
    </row>
    <row r="1344">
      <c r="B1344" s="227" t="n"/>
      <c r="C1344" s="227" t="n"/>
      <c r="D1344" s="227" t="n"/>
      <c r="E1344" s="228" t="n"/>
      <c r="F1344" s="192" t="n"/>
      <c r="G1344" s="227" t="n"/>
      <c r="H1344" s="227" t="n"/>
    </row>
    <row r="1345">
      <c r="B1345" s="227" t="n"/>
      <c r="C1345" s="227" t="n"/>
      <c r="D1345" s="227" t="n"/>
      <c r="E1345" s="228" t="n"/>
      <c r="F1345" s="192" t="n"/>
      <c r="G1345" s="227" t="n"/>
      <c r="H1345" s="227" t="n"/>
    </row>
    <row r="1346">
      <c r="B1346" s="227" t="n"/>
      <c r="C1346" s="227" t="n"/>
      <c r="D1346" s="227" t="n"/>
      <c r="E1346" s="228" t="n"/>
      <c r="F1346" s="192" t="n"/>
      <c r="G1346" s="227" t="n"/>
      <c r="H1346" s="227" t="n"/>
    </row>
    <row r="1347">
      <c r="B1347" s="227" t="n"/>
      <c r="C1347" s="227" t="n"/>
      <c r="D1347" s="227" t="n"/>
      <c r="E1347" s="228" t="n"/>
      <c r="F1347" s="192" t="n"/>
      <c r="G1347" s="227" t="n"/>
      <c r="H1347" s="227" t="n"/>
    </row>
    <row r="1348">
      <c r="B1348" s="227" t="n"/>
      <c r="C1348" s="227" t="n"/>
      <c r="D1348" s="227" t="n"/>
      <c r="E1348" s="228" t="n"/>
      <c r="F1348" s="192" t="n"/>
      <c r="G1348" s="227" t="n"/>
      <c r="H1348" s="227" t="n"/>
    </row>
    <row r="1349">
      <c r="B1349" s="227" t="n"/>
      <c r="C1349" s="227" t="n"/>
      <c r="D1349" s="227" t="n"/>
      <c r="E1349" s="228" t="n"/>
      <c r="F1349" s="192" t="n"/>
      <c r="G1349" s="227" t="n"/>
      <c r="H1349" s="227" t="n"/>
    </row>
    <row r="1350">
      <c r="B1350" s="227" t="n"/>
      <c r="C1350" s="227" t="n"/>
      <c r="D1350" s="227" t="n"/>
      <c r="E1350" s="228" t="n"/>
      <c r="F1350" s="192" t="n"/>
      <c r="G1350" s="227" t="n"/>
      <c r="H1350" s="227" t="n"/>
    </row>
    <row r="1351">
      <c r="B1351" s="227" t="n"/>
      <c r="C1351" s="227" t="n"/>
      <c r="D1351" s="227" t="n"/>
      <c r="E1351" s="228" t="n"/>
      <c r="F1351" s="192" t="n"/>
      <c r="G1351" s="227" t="n"/>
      <c r="H1351" s="227" t="n"/>
    </row>
    <row r="1352">
      <c r="B1352" s="227" t="n"/>
      <c r="C1352" s="227" t="n"/>
      <c r="D1352" s="227" t="n"/>
      <c r="E1352" s="228" t="n"/>
      <c r="F1352" s="192" t="n"/>
      <c r="G1352" s="227" t="n"/>
      <c r="H1352" s="227" t="n"/>
    </row>
    <row r="1353">
      <c r="B1353" s="227" t="n"/>
      <c r="C1353" s="227" t="n"/>
      <c r="D1353" s="227" t="n"/>
      <c r="E1353" s="228" t="n"/>
      <c r="F1353" s="192" t="n"/>
      <c r="G1353" s="227" t="n"/>
      <c r="H1353" s="227" t="n"/>
    </row>
    <row r="1354">
      <c r="B1354" s="227" t="n"/>
      <c r="C1354" s="227" t="n"/>
      <c r="D1354" s="227" t="n"/>
      <c r="E1354" s="228" t="n"/>
      <c r="F1354" s="192" t="n"/>
      <c r="G1354" s="227" t="n"/>
      <c r="H1354" s="227" t="n"/>
    </row>
    <row r="1355">
      <c r="B1355" s="227" t="n"/>
      <c r="C1355" s="227" t="n"/>
      <c r="D1355" s="227" t="n"/>
      <c r="E1355" s="228" t="n"/>
      <c r="F1355" s="192" t="n"/>
      <c r="G1355" s="227" t="n"/>
      <c r="H1355" s="227" t="n"/>
    </row>
    <row r="1356">
      <c r="B1356" s="227" t="n"/>
      <c r="C1356" s="227" t="n"/>
      <c r="D1356" s="227" t="n"/>
      <c r="E1356" s="228" t="n"/>
      <c r="F1356" s="192" t="n"/>
      <c r="G1356" s="227" t="n"/>
      <c r="H1356" s="227" t="n"/>
    </row>
    <row r="1357">
      <c r="B1357" s="227" t="n"/>
      <c r="C1357" s="227" t="n"/>
      <c r="D1357" s="227" t="n"/>
      <c r="E1357" s="228" t="n"/>
      <c r="F1357" s="192" t="n"/>
      <c r="G1357" s="227" t="n"/>
      <c r="H1357" s="227" t="n"/>
    </row>
    <row r="1358">
      <c r="B1358" s="227" t="n"/>
      <c r="C1358" s="227" t="n"/>
      <c r="D1358" s="227" t="n"/>
      <c r="E1358" s="228" t="n"/>
      <c r="F1358" s="192" t="n"/>
      <c r="G1358" s="227" t="n"/>
      <c r="H1358" s="227" t="n"/>
    </row>
    <row r="1359">
      <c r="B1359" s="227" t="n"/>
      <c r="C1359" s="227" t="n"/>
      <c r="D1359" s="227" t="n"/>
      <c r="E1359" s="228" t="n"/>
      <c r="F1359" s="192" t="n"/>
      <c r="G1359" s="227" t="n"/>
      <c r="H1359" s="227" t="n"/>
    </row>
    <row r="1360">
      <c r="B1360" s="227" t="n"/>
      <c r="C1360" s="227" t="n"/>
      <c r="D1360" s="227" t="n"/>
      <c r="E1360" s="228" t="n"/>
      <c r="F1360" s="192" t="n"/>
      <c r="G1360" s="227" t="n"/>
      <c r="H1360" s="227" t="n"/>
    </row>
    <row r="1361">
      <c r="B1361" s="227" t="n"/>
      <c r="C1361" s="227" t="n"/>
      <c r="D1361" s="227" t="n"/>
      <c r="E1361" s="228" t="n"/>
      <c r="F1361" s="192" t="n"/>
      <c r="G1361" s="227" t="n"/>
      <c r="H1361" s="227" t="n"/>
    </row>
    <row r="1362">
      <c r="B1362" s="227" t="n"/>
      <c r="C1362" s="227" t="n"/>
      <c r="D1362" s="227" t="n"/>
      <c r="E1362" s="228" t="n"/>
      <c r="F1362" s="192" t="n"/>
      <c r="G1362" s="227" t="n"/>
      <c r="H1362" s="227" t="n"/>
    </row>
    <row r="1363">
      <c r="B1363" s="227" t="n"/>
      <c r="C1363" s="227" t="n"/>
      <c r="D1363" s="227" t="n"/>
      <c r="E1363" s="228" t="n"/>
      <c r="F1363" s="192" t="n"/>
      <c r="G1363" s="227" t="n"/>
      <c r="H1363" s="227" t="n"/>
    </row>
    <row r="1364">
      <c r="B1364" s="227" t="n"/>
      <c r="C1364" s="227" t="n"/>
      <c r="D1364" s="227" t="n"/>
      <c r="E1364" s="228" t="n"/>
      <c r="F1364" s="192" t="n"/>
      <c r="G1364" s="227" t="n"/>
      <c r="H1364" s="227" t="n"/>
    </row>
    <row r="1365">
      <c r="B1365" s="227" t="n"/>
      <c r="C1365" s="227" t="n"/>
      <c r="D1365" s="227" t="n"/>
      <c r="E1365" s="228" t="n"/>
      <c r="F1365" s="192" t="n"/>
      <c r="G1365" s="227" t="n"/>
      <c r="H1365" s="227" t="n"/>
    </row>
    <row r="1366">
      <c r="B1366" s="227" t="n"/>
      <c r="C1366" s="227" t="n"/>
      <c r="D1366" s="227" t="n"/>
      <c r="E1366" s="228" t="n"/>
      <c r="F1366" s="192" t="n"/>
      <c r="G1366" s="227" t="n"/>
      <c r="H1366" s="227" t="n"/>
    </row>
    <row r="1367">
      <c r="B1367" s="227" t="n"/>
      <c r="C1367" s="227" t="n"/>
      <c r="D1367" s="227" t="n"/>
      <c r="E1367" s="228" t="n"/>
      <c r="F1367" s="192" t="n"/>
      <c r="G1367" s="227" t="n"/>
      <c r="H1367" s="227" t="n"/>
    </row>
    <row r="1368">
      <c r="B1368" s="227" t="n"/>
      <c r="C1368" s="227" t="n"/>
      <c r="D1368" s="227" t="n"/>
      <c r="E1368" s="228" t="n"/>
      <c r="F1368" s="192" t="n"/>
      <c r="G1368" s="227" t="n"/>
      <c r="H1368" s="227" t="n"/>
    </row>
    <row r="1369">
      <c r="B1369" s="227" t="n"/>
      <c r="C1369" s="227" t="n"/>
      <c r="D1369" s="227" t="n"/>
      <c r="E1369" s="228" t="n"/>
      <c r="F1369" s="192" t="n"/>
      <c r="G1369" s="227" t="n"/>
      <c r="H1369" s="227" t="n"/>
    </row>
    <row r="1370">
      <c r="B1370" s="227" t="n"/>
      <c r="C1370" s="227" t="n"/>
      <c r="D1370" s="227" t="n"/>
      <c r="E1370" s="228" t="n"/>
      <c r="F1370" s="192" t="n"/>
      <c r="G1370" s="227" t="n"/>
      <c r="H1370" s="227" t="n"/>
    </row>
    <row r="1371">
      <c r="B1371" s="227" t="n"/>
      <c r="C1371" s="227" t="n"/>
      <c r="D1371" s="227" t="n"/>
      <c r="E1371" s="228" t="n"/>
      <c r="F1371" s="192" t="n"/>
      <c r="G1371" s="227" t="n"/>
      <c r="H1371" s="227" t="n"/>
    </row>
    <row r="1372">
      <c r="B1372" s="227" t="n"/>
      <c r="C1372" s="227" t="n"/>
      <c r="D1372" s="227" t="n"/>
      <c r="E1372" s="228" t="n"/>
      <c r="F1372" s="192" t="n"/>
      <c r="G1372" s="227" t="n"/>
      <c r="H1372" s="227" t="n"/>
    </row>
    <row r="1373">
      <c r="B1373" s="227" t="n"/>
      <c r="C1373" s="227" t="n"/>
      <c r="D1373" s="227" t="n"/>
      <c r="E1373" s="228" t="n"/>
      <c r="F1373" s="192" t="n"/>
      <c r="G1373" s="227" t="n"/>
      <c r="H1373" s="227" t="n"/>
    </row>
    <row r="1374">
      <c r="B1374" s="227" t="n"/>
      <c r="C1374" s="227" t="n"/>
      <c r="D1374" s="227" t="n"/>
      <c r="E1374" s="228" t="n"/>
      <c r="F1374" s="192" t="n"/>
      <c r="G1374" s="227" t="n"/>
      <c r="H1374" s="227" t="n"/>
    </row>
    <row r="1375">
      <c r="B1375" s="227" t="n"/>
      <c r="C1375" s="227" t="n"/>
      <c r="D1375" s="227" t="n"/>
      <c r="E1375" s="228" t="n"/>
      <c r="F1375" s="192" t="n"/>
      <c r="G1375" s="227" t="n"/>
      <c r="H1375" s="227" t="n"/>
    </row>
    <row r="1376">
      <c r="B1376" s="227" t="n"/>
      <c r="C1376" s="227" t="n"/>
      <c r="D1376" s="227" t="n"/>
      <c r="E1376" s="228" t="n"/>
      <c r="F1376" s="192" t="n"/>
      <c r="G1376" s="227" t="n"/>
      <c r="H1376" s="227" t="n"/>
    </row>
    <row r="1377">
      <c r="B1377" s="227" t="n"/>
      <c r="C1377" s="227" t="n"/>
      <c r="D1377" s="227" t="n"/>
      <c r="E1377" s="228" t="n"/>
      <c r="F1377" s="192" t="n"/>
      <c r="G1377" s="227" t="n"/>
      <c r="H1377" s="227" t="n"/>
    </row>
    <row r="1378">
      <c r="B1378" s="227" t="n"/>
      <c r="C1378" s="227" t="n"/>
      <c r="D1378" s="227" t="n"/>
      <c r="E1378" s="228" t="n"/>
      <c r="F1378" s="192" t="n"/>
      <c r="G1378" s="227" t="n"/>
      <c r="H1378" s="227" t="n"/>
    </row>
    <row r="1379">
      <c r="B1379" s="227" t="n"/>
      <c r="C1379" s="227" t="n"/>
      <c r="D1379" s="227" t="n"/>
      <c r="E1379" s="228" t="n"/>
      <c r="F1379" s="192" t="n"/>
      <c r="G1379" s="227" t="n"/>
      <c r="H1379" s="227" t="n"/>
    </row>
    <row r="1380">
      <c r="B1380" s="227" t="n"/>
      <c r="C1380" s="227" t="n"/>
      <c r="D1380" s="227" t="n"/>
      <c r="E1380" s="228" t="n"/>
      <c r="F1380" s="192" t="n"/>
      <c r="G1380" s="227" t="n"/>
      <c r="H1380" s="227" t="n"/>
    </row>
    <row r="1381">
      <c r="B1381" s="227" t="n"/>
      <c r="C1381" s="227" t="n"/>
      <c r="D1381" s="227" t="n"/>
      <c r="E1381" s="228" t="n"/>
      <c r="F1381" s="192" t="n"/>
      <c r="G1381" s="227" t="n"/>
      <c r="H1381" s="227" t="n"/>
    </row>
    <row r="1382">
      <c r="B1382" s="227" t="n"/>
      <c r="C1382" s="227" t="n"/>
      <c r="D1382" s="227" t="n"/>
      <c r="E1382" s="228" t="n"/>
      <c r="F1382" s="192" t="n"/>
      <c r="G1382" s="227" t="n"/>
      <c r="H1382" s="227" t="n"/>
    </row>
    <row r="1383">
      <c r="B1383" s="227" t="n"/>
      <c r="C1383" s="227" t="n"/>
      <c r="D1383" s="227" t="n"/>
      <c r="E1383" s="228" t="n"/>
      <c r="F1383" s="192" t="n"/>
      <c r="G1383" s="227" t="n"/>
      <c r="H1383" s="227" t="n"/>
    </row>
    <row r="1384">
      <c r="B1384" s="227" t="n"/>
      <c r="C1384" s="227" t="n"/>
      <c r="D1384" s="227" t="n"/>
      <c r="E1384" s="228" t="n"/>
      <c r="F1384" s="192" t="n"/>
      <c r="G1384" s="227" t="n"/>
      <c r="H1384" s="227" t="n"/>
    </row>
    <row r="1385">
      <c r="B1385" s="227" t="n"/>
      <c r="C1385" s="227" t="n"/>
      <c r="D1385" s="227" t="n"/>
      <c r="E1385" s="228" t="n"/>
      <c r="F1385" s="192" t="n"/>
      <c r="G1385" s="227" t="n"/>
      <c r="H1385" s="227" t="n"/>
    </row>
    <row r="1386">
      <c r="B1386" s="227" t="n"/>
      <c r="C1386" s="227" t="n"/>
      <c r="D1386" s="227" t="n"/>
      <c r="E1386" s="228" t="n"/>
      <c r="F1386" s="192" t="n"/>
      <c r="G1386" s="227" t="n"/>
      <c r="H1386" s="227" t="n"/>
    </row>
    <row r="1387">
      <c r="B1387" s="227" t="n"/>
      <c r="C1387" s="227" t="n"/>
      <c r="D1387" s="227" t="n"/>
      <c r="E1387" s="228" t="n"/>
      <c r="F1387" s="192" t="n"/>
      <c r="G1387" s="227" t="n"/>
      <c r="H1387" s="227" t="n"/>
    </row>
    <row r="1388">
      <c r="B1388" s="227" t="n"/>
      <c r="C1388" s="227" t="n"/>
      <c r="D1388" s="227" t="n"/>
      <c r="E1388" s="228" t="n"/>
      <c r="F1388" s="192" t="n"/>
      <c r="G1388" s="227" t="n"/>
      <c r="H1388" s="227" t="n"/>
    </row>
    <row r="1389">
      <c r="B1389" s="227" t="n"/>
      <c r="C1389" s="227" t="n"/>
      <c r="D1389" s="227" t="n"/>
      <c r="E1389" s="228" t="n"/>
      <c r="F1389" s="192" t="n"/>
      <c r="G1389" s="227" t="n"/>
      <c r="H1389" s="227" t="n"/>
    </row>
    <row r="1390">
      <c r="B1390" s="227" t="n"/>
      <c r="C1390" s="227" t="n"/>
      <c r="D1390" s="227" t="n"/>
      <c r="E1390" s="228" t="n"/>
      <c r="F1390" s="192" t="n"/>
      <c r="G1390" s="227" t="n"/>
      <c r="H1390" s="227" t="n"/>
    </row>
    <row r="1391">
      <c r="B1391" s="227" t="n"/>
      <c r="C1391" s="227" t="n"/>
      <c r="D1391" s="227" t="n"/>
      <c r="E1391" s="228" t="n"/>
      <c r="F1391" s="192" t="n"/>
      <c r="G1391" s="227" t="n"/>
      <c r="H1391" s="227" t="n"/>
    </row>
    <row r="1392">
      <c r="B1392" s="227" t="n"/>
      <c r="C1392" s="227" t="n"/>
      <c r="D1392" s="227" t="n"/>
      <c r="E1392" s="228" t="n"/>
      <c r="F1392" s="192" t="n"/>
      <c r="G1392" s="227" t="n"/>
      <c r="H1392" s="227" t="n"/>
    </row>
    <row r="1393">
      <c r="B1393" s="227" t="n"/>
      <c r="C1393" s="227" t="n"/>
      <c r="D1393" s="227" t="n"/>
      <c r="E1393" s="228" t="n"/>
      <c r="F1393" s="192" t="n"/>
      <c r="G1393" s="227" t="n"/>
      <c r="H1393" s="227" t="n"/>
    </row>
    <row r="1394">
      <c r="B1394" s="227" t="n"/>
      <c r="C1394" s="227" t="n"/>
      <c r="D1394" s="227" t="n"/>
      <c r="E1394" s="228" t="n"/>
      <c r="F1394" s="192" t="n"/>
      <c r="G1394" s="227" t="n"/>
      <c r="H1394" s="227" t="n"/>
    </row>
    <row r="1395">
      <c r="B1395" s="227" t="n"/>
      <c r="C1395" s="227" t="n"/>
      <c r="D1395" s="227" t="n"/>
      <c r="E1395" s="228" t="n"/>
      <c r="F1395" s="192" t="n"/>
      <c r="G1395" s="227" t="n"/>
      <c r="H1395" s="227" t="n"/>
    </row>
    <row r="1396">
      <c r="B1396" s="227" t="n"/>
      <c r="C1396" s="227" t="n"/>
      <c r="D1396" s="227" t="n"/>
      <c r="E1396" s="228" t="n"/>
      <c r="F1396" s="192" t="n"/>
      <c r="G1396" s="227" t="n"/>
      <c r="H1396" s="227" t="n"/>
    </row>
    <row r="1397">
      <c r="B1397" s="227" t="n"/>
      <c r="C1397" s="227" t="n"/>
      <c r="D1397" s="227" t="n"/>
      <c r="E1397" s="228" t="n"/>
      <c r="F1397" s="192" t="n"/>
      <c r="G1397" s="227" t="n"/>
      <c r="H1397" s="227" t="n"/>
    </row>
    <row r="1398">
      <c r="B1398" s="227" t="n"/>
      <c r="C1398" s="227" t="n"/>
      <c r="D1398" s="227" t="n"/>
      <c r="E1398" s="228" t="n"/>
      <c r="F1398" s="192" t="n"/>
      <c r="G1398" s="227" t="n"/>
      <c r="H1398" s="227" t="n"/>
    </row>
    <row r="1399">
      <c r="B1399" s="227" t="n"/>
      <c r="C1399" s="227" t="n"/>
      <c r="D1399" s="227" t="n"/>
      <c r="E1399" s="228" t="n"/>
      <c r="F1399" s="192" t="n"/>
      <c r="G1399" s="227" t="n"/>
      <c r="H1399" s="227" t="n"/>
    </row>
    <row r="1400">
      <c r="B1400" s="227" t="n"/>
      <c r="C1400" s="227" t="n"/>
      <c r="D1400" s="227" t="n"/>
      <c r="E1400" s="228" t="n"/>
      <c r="F1400" s="192" t="n"/>
      <c r="G1400" s="227" t="n"/>
      <c r="H1400" s="227" t="n"/>
    </row>
    <row r="1401">
      <c r="B1401" s="227" t="n"/>
      <c r="C1401" s="227" t="n"/>
      <c r="D1401" s="227" t="n"/>
      <c r="E1401" s="228" t="n"/>
      <c r="F1401" s="192" t="n"/>
      <c r="G1401" s="227" t="n"/>
      <c r="H1401" s="227" t="n"/>
    </row>
    <row r="1402">
      <c r="B1402" s="227" t="n"/>
      <c r="C1402" s="227" t="n"/>
      <c r="D1402" s="227" t="n"/>
      <c r="E1402" s="228" t="n"/>
      <c r="F1402" s="192" t="n"/>
      <c r="G1402" s="227" t="n"/>
      <c r="H1402" s="227" t="n"/>
    </row>
    <row r="1403">
      <c r="B1403" s="227" t="n"/>
      <c r="C1403" s="227" t="n"/>
      <c r="D1403" s="227" t="n"/>
      <c r="E1403" s="228" t="n"/>
      <c r="F1403" s="192" t="n"/>
      <c r="G1403" s="227" t="n"/>
      <c r="H1403" s="227" t="n"/>
    </row>
    <row r="1404">
      <c r="B1404" s="227" t="n"/>
      <c r="C1404" s="227" t="n"/>
      <c r="D1404" s="227" t="n"/>
      <c r="E1404" s="228" t="n"/>
      <c r="F1404" s="192" t="n"/>
      <c r="G1404" s="227" t="n"/>
      <c r="H1404" s="227" t="n"/>
    </row>
    <row r="1405">
      <c r="B1405" s="227" t="n"/>
      <c r="C1405" s="227" t="n"/>
      <c r="D1405" s="227" t="n"/>
      <c r="E1405" s="228" t="n"/>
      <c r="F1405" s="192" t="n"/>
      <c r="G1405" s="227" t="n"/>
      <c r="H1405" s="227" t="n"/>
    </row>
    <row r="1406">
      <c r="B1406" s="227" t="n"/>
      <c r="C1406" s="227" t="n"/>
      <c r="D1406" s="227" t="n"/>
      <c r="E1406" s="228" t="n"/>
      <c r="F1406" s="192" t="n"/>
      <c r="G1406" s="227" t="n"/>
      <c r="H1406" s="227" t="n"/>
    </row>
    <row r="1407">
      <c r="B1407" s="227" t="n"/>
      <c r="C1407" s="227" t="n"/>
      <c r="D1407" s="227" t="n"/>
      <c r="E1407" s="228" t="n"/>
      <c r="F1407" s="192" t="n"/>
      <c r="G1407" s="227" t="n"/>
      <c r="H1407" s="227" t="n"/>
    </row>
    <row r="1408">
      <c r="B1408" s="227" t="n"/>
      <c r="C1408" s="227" t="n"/>
      <c r="D1408" s="227" t="n"/>
      <c r="E1408" s="228" t="n"/>
      <c r="F1408" s="192" t="n"/>
      <c r="G1408" s="227" t="n"/>
      <c r="H1408" s="227" t="n"/>
    </row>
    <row r="1409">
      <c r="B1409" s="227" t="n"/>
      <c r="C1409" s="227" t="n"/>
      <c r="D1409" s="227" t="n"/>
      <c r="E1409" s="228" t="n"/>
      <c r="F1409" s="192" t="n"/>
      <c r="G1409" s="227" t="n"/>
      <c r="H1409" s="227" t="n"/>
    </row>
    <row r="1410">
      <c r="B1410" s="227" t="n"/>
      <c r="C1410" s="227" t="n"/>
      <c r="D1410" s="227" t="n"/>
      <c r="E1410" s="228" t="n"/>
      <c r="F1410" s="192" t="n"/>
      <c r="G1410" s="227" t="n"/>
      <c r="H1410" s="227" t="n"/>
    </row>
    <row r="1411">
      <c r="B1411" s="227" t="n"/>
      <c r="C1411" s="227" t="n"/>
      <c r="D1411" s="227" t="n"/>
      <c r="E1411" s="228" t="n"/>
      <c r="F1411" s="192" t="n"/>
      <c r="G1411" s="227" t="n"/>
      <c r="H1411" s="227" t="n"/>
    </row>
    <row r="1412">
      <c r="B1412" s="227" t="n"/>
      <c r="C1412" s="227" t="n"/>
      <c r="D1412" s="227" t="n"/>
      <c r="E1412" s="228" t="n"/>
      <c r="F1412" s="192" t="n"/>
      <c r="G1412" s="227" t="n"/>
      <c r="H1412" s="227" t="n"/>
    </row>
    <row r="1413">
      <c r="B1413" s="227" t="n"/>
      <c r="C1413" s="227" t="n"/>
      <c r="D1413" s="227" t="n"/>
      <c r="E1413" s="228" t="n"/>
      <c r="F1413" s="192" t="n"/>
      <c r="G1413" s="227" t="n"/>
      <c r="H1413" s="227" t="n"/>
    </row>
    <row r="1414">
      <c r="B1414" s="227" t="n"/>
      <c r="C1414" s="227" t="n"/>
      <c r="D1414" s="227" t="n"/>
      <c r="E1414" s="228" t="n"/>
      <c r="F1414" s="192" t="n"/>
      <c r="G1414" s="227" t="n"/>
      <c r="H1414" s="227" t="n"/>
    </row>
    <row r="1415">
      <c r="B1415" s="227" t="n"/>
      <c r="C1415" s="227" t="n"/>
      <c r="D1415" s="227" t="n"/>
      <c r="E1415" s="228" t="n"/>
      <c r="F1415" s="192" t="n"/>
      <c r="G1415" s="227" t="n"/>
      <c r="H1415" s="227" t="n"/>
    </row>
    <row r="1416">
      <c r="B1416" s="227" t="n"/>
      <c r="C1416" s="227" t="n"/>
      <c r="D1416" s="227" t="n"/>
      <c r="E1416" s="228" t="n"/>
      <c r="F1416" s="192" t="n"/>
      <c r="G1416" s="227" t="n"/>
      <c r="H1416" s="227" t="n"/>
    </row>
    <row r="1417">
      <c r="B1417" s="227" t="n"/>
      <c r="C1417" s="227" t="n"/>
      <c r="D1417" s="227" t="n"/>
      <c r="E1417" s="228" t="n"/>
      <c r="F1417" s="192" t="n"/>
      <c r="G1417" s="227" t="n"/>
      <c r="H1417" s="227" t="n"/>
    </row>
    <row r="1418">
      <c r="B1418" s="227" t="n"/>
      <c r="C1418" s="227" t="n"/>
      <c r="D1418" s="227" t="n"/>
      <c r="E1418" s="228" t="n"/>
      <c r="F1418" s="192" t="n"/>
      <c r="G1418" s="227" t="n"/>
      <c r="H1418" s="227" t="n"/>
    </row>
    <row r="1419">
      <c r="B1419" s="227" t="n"/>
      <c r="C1419" s="227" t="n"/>
      <c r="D1419" s="227" t="n"/>
      <c r="E1419" s="228" t="n"/>
      <c r="F1419" s="192" t="n"/>
      <c r="G1419" s="227" t="n"/>
      <c r="H1419" s="227" t="n"/>
    </row>
    <row r="1420">
      <c r="B1420" s="227" t="n"/>
      <c r="C1420" s="227" t="n"/>
      <c r="D1420" s="227" t="n"/>
      <c r="E1420" s="228" t="n"/>
      <c r="F1420" s="192" t="n"/>
      <c r="G1420" s="227" t="n"/>
      <c r="H1420" s="227" t="n"/>
    </row>
    <row r="1421">
      <c r="B1421" s="227" t="n"/>
      <c r="C1421" s="227" t="n"/>
      <c r="D1421" s="227" t="n"/>
      <c r="E1421" s="228" t="n"/>
      <c r="F1421" s="192" t="n"/>
      <c r="G1421" s="227" t="n"/>
      <c r="H1421" s="227" t="n"/>
    </row>
    <row r="1422">
      <c r="B1422" s="227" t="n"/>
      <c r="C1422" s="227" t="n"/>
      <c r="D1422" s="227" t="n"/>
      <c r="E1422" s="228" t="n"/>
      <c r="F1422" s="192" t="n"/>
      <c r="G1422" s="227" t="n"/>
      <c r="H1422" s="227" t="n"/>
    </row>
    <row r="1423">
      <c r="B1423" s="227" t="n"/>
      <c r="C1423" s="227" t="n"/>
      <c r="D1423" s="227" t="n"/>
      <c r="E1423" s="228" t="n"/>
      <c r="F1423" s="192" t="n"/>
      <c r="G1423" s="227" t="n"/>
      <c r="H1423" s="227" t="n"/>
    </row>
    <row r="1424">
      <c r="B1424" s="227" t="n"/>
      <c r="C1424" s="227" t="n"/>
      <c r="D1424" s="227" t="n"/>
      <c r="E1424" s="228" t="n"/>
      <c r="F1424" s="192" t="n"/>
      <c r="G1424" s="227" t="n"/>
      <c r="H1424" s="227" t="n"/>
    </row>
    <row r="1425">
      <c r="B1425" s="227" t="n"/>
      <c r="C1425" s="227" t="n"/>
      <c r="D1425" s="227" t="n"/>
      <c r="E1425" s="228" t="n"/>
      <c r="F1425" s="192" t="n"/>
      <c r="G1425" s="227" t="n"/>
      <c r="H1425" s="227" t="n"/>
    </row>
    <row r="1426">
      <c r="B1426" s="227" t="n"/>
      <c r="C1426" s="227" t="n"/>
      <c r="D1426" s="227" t="n"/>
      <c r="E1426" s="228" t="n"/>
      <c r="F1426" s="192" t="n"/>
      <c r="G1426" s="227" t="n"/>
      <c r="H1426" s="227" t="n"/>
    </row>
    <row r="1427">
      <c r="B1427" s="227" t="n"/>
      <c r="C1427" s="227" t="n"/>
      <c r="D1427" s="227" t="n"/>
      <c r="E1427" s="228" t="n"/>
      <c r="F1427" s="192" t="n"/>
      <c r="G1427" s="227" t="n"/>
      <c r="H1427" s="227" t="n"/>
    </row>
    <row r="1428">
      <c r="B1428" s="227" t="n"/>
      <c r="C1428" s="227" t="n"/>
      <c r="D1428" s="227" t="n"/>
      <c r="E1428" s="228" t="n"/>
      <c r="F1428" s="192" t="n"/>
      <c r="G1428" s="227" t="n"/>
      <c r="H1428" s="227" t="n"/>
    </row>
    <row r="1429">
      <c r="B1429" s="227" t="n"/>
      <c r="C1429" s="227" t="n"/>
      <c r="D1429" s="227" t="n"/>
      <c r="E1429" s="228" t="n"/>
      <c r="F1429" s="192" t="n"/>
      <c r="G1429" s="227" t="n"/>
      <c r="H1429" s="227" t="n"/>
    </row>
    <row r="1430">
      <c r="B1430" s="227" t="n"/>
      <c r="C1430" s="227" t="n"/>
      <c r="D1430" s="227" t="n"/>
      <c r="E1430" s="228" t="n"/>
      <c r="F1430" s="192" t="n"/>
      <c r="G1430" s="227" t="n"/>
      <c r="H1430" s="227" t="n"/>
    </row>
    <row r="1431">
      <c r="B1431" s="227" t="n"/>
      <c r="C1431" s="227" t="n"/>
      <c r="D1431" s="227" t="n"/>
      <c r="E1431" s="228" t="n"/>
      <c r="F1431" s="192" t="n"/>
      <c r="G1431" s="227" t="n"/>
      <c r="H1431" s="227" t="n"/>
    </row>
    <row r="1432">
      <c r="B1432" s="227" t="n"/>
      <c r="C1432" s="227" t="n"/>
      <c r="D1432" s="227" t="n"/>
      <c r="E1432" s="228" t="n"/>
      <c r="F1432" s="192" t="n"/>
      <c r="G1432" s="227" t="n"/>
      <c r="H1432" s="227" t="n"/>
    </row>
    <row r="1433">
      <c r="B1433" s="227" t="n"/>
      <c r="C1433" s="227" t="n"/>
      <c r="D1433" s="227" t="n"/>
      <c r="E1433" s="228" t="n"/>
      <c r="F1433" s="192" t="n"/>
      <c r="G1433" s="227" t="n"/>
      <c r="H1433" s="227" t="n"/>
    </row>
    <row r="1434">
      <c r="B1434" s="227" t="n"/>
      <c r="C1434" s="227" t="n"/>
      <c r="D1434" s="227" t="n"/>
      <c r="E1434" s="228" t="n"/>
      <c r="F1434" s="192" t="n"/>
      <c r="G1434" s="227" t="n"/>
      <c r="H1434" s="227" t="n"/>
    </row>
    <row r="1435">
      <c r="B1435" s="227" t="n"/>
      <c r="C1435" s="227" t="n"/>
      <c r="D1435" s="227" t="n"/>
      <c r="E1435" s="228" t="n"/>
      <c r="F1435" s="192" t="n"/>
      <c r="G1435" s="227" t="n"/>
      <c r="H1435" s="227" t="n"/>
    </row>
    <row r="1436">
      <c r="B1436" s="227" t="n"/>
      <c r="C1436" s="227" t="n"/>
      <c r="D1436" s="227" t="n"/>
      <c r="E1436" s="228" t="n"/>
      <c r="F1436" s="192" t="n"/>
      <c r="G1436" s="227" t="n"/>
      <c r="H1436" s="227" t="n"/>
    </row>
    <row r="1437">
      <c r="B1437" s="227" t="n"/>
      <c r="C1437" s="227" t="n"/>
      <c r="D1437" s="227" t="n"/>
      <c r="E1437" s="228" t="n"/>
      <c r="F1437" s="192" t="n"/>
      <c r="G1437" s="227" t="n"/>
      <c r="H1437" s="227" t="n"/>
    </row>
    <row r="1438">
      <c r="B1438" s="227" t="n"/>
      <c r="C1438" s="227" t="n"/>
      <c r="D1438" s="227" t="n"/>
      <c r="E1438" s="228" t="n"/>
      <c r="F1438" s="192" t="n"/>
      <c r="G1438" s="227" t="n"/>
      <c r="H1438" s="227" t="n"/>
    </row>
    <row r="1439">
      <c r="B1439" s="227" t="n"/>
      <c r="C1439" s="227" t="n"/>
      <c r="D1439" s="227" t="n"/>
      <c r="E1439" s="228" t="n"/>
      <c r="F1439" s="192" t="n"/>
      <c r="G1439" s="227" t="n"/>
      <c r="H1439" s="227" t="n"/>
    </row>
    <row r="1440">
      <c r="B1440" s="227" t="n"/>
      <c r="C1440" s="227" t="n"/>
      <c r="D1440" s="227" t="n"/>
      <c r="E1440" s="228" t="n"/>
      <c r="F1440" s="192" t="n"/>
      <c r="G1440" s="227" t="n"/>
      <c r="H1440" s="227" t="n"/>
    </row>
    <row r="1441">
      <c r="B1441" s="227" t="n"/>
      <c r="C1441" s="227" t="n"/>
      <c r="D1441" s="227" t="n"/>
      <c r="E1441" s="228" t="n"/>
      <c r="F1441" s="192" t="n"/>
      <c r="G1441" s="227" t="n"/>
      <c r="H1441" s="227" t="n"/>
    </row>
    <row r="1442">
      <c r="B1442" s="227" t="n"/>
      <c r="C1442" s="227" t="n"/>
      <c r="D1442" s="227" t="n"/>
      <c r="E1442" s="228" t="n"/>
      <c r="F1442" s="192" t="n"/>
      <c r="G1442" s="227" t="n"/>
      <c r="H1442" s="227" t="n"/>
    </row>
    <row r="1443">
      <c r="B1443" s="227" t="n"/>
      <c r="C1443" s="227" t="n"/>
      <c r="D1443" s="227" t="n"/>
      <c r="E1443" s="228" t="n"/>
      <c r="F1443" s="192" t="n"/>
      <c r="G1443" s="227" t="n"/>
      <c r="H1443" s="227" t="n"/>
    </row>
    <row r="1444">
      <c r="B1444" s="227" t="n"/>
      <c r="C1444" s="227" t="n"/>
      <c r="D1444" s="227" t="n"/>
      <c r="E1444" s="228" t="n"/>
      <c r="F1444" s="192" t="n"/>
      <c r="G1444" s="227" t="n"/>
      <c r="H1444" s="227" t="n"/>
    </row>
    <row r="1445">
      <c r="B1445" s="227" t="n"/>
      <c r="C1445" s="227" t="n"/>
      <c r="D1445" s="227" t="n"/>
      <c r="E1445" s="228" t="n"/>
      <c r="F1445" s="192" t="n"/>
      <c r="G1445" s="227" t="n"/>
      <c r="H1445" s="227" t="n"/>
    </row>
    <row r="1446">
      <c r="B1446" s="227" t="n"/>
      <c r="C1446" s="227" t="n"/>
      <c r="D1446" s="227" t="n"/>
      <c r="E1446" s="228" t="n"/>
      <c r="F1446" s="192" t="n"/>
      <c r="G1446" s="227" t="n"/>
      <c r="H1446" s="227" t="n"/>
    </row>
    <row r="1447">
      <c r="B1447" s="227" t="n"/>
      <c r="C1447" s="227" t="n"/>
      <c r="D1447" s="227" t="n"/>
      <c r="E1447" s="228" t="n"/>
      <c r="F1447" s="192" t="n"/>
      <c r="G1447" s="227" t="n"/>
      <c r="H1447" s="227" t="n"/>
    </row>
    <row r="1448">
      <c r="B1448" s="227" t="n"/>
      <c r="C1448" s="227" t="n"/>
      <c r="D1448" s="227" t="n"/>
      <c r="E1448" s="228" t="n"/>
      <c r="F1448" s="192" t="n"/>
      <c r="G1448" s="227" t="n"/>
      <c r="H1448" s="227" t="n"/>
    </row>
    <row r="1449">
      <c r="B1449" s="227" t="n"/>
      <c r="C1449" s="227" t="n"/>
      <c r="D1449" s="227" t="n"/>
      <c r="E1449" s="228" t="n"/>
      <c r="F1449" s="192" t="n"/>
      <c r="G1449" s="227" t="n"/>
      <c r="H1449" s="227" t="n"/>
    </row>
    <row r="1450">
      <c r="B1450" s="227" t="n"/>
      <c r="C1450" s="227" t="n"/>
      <c r="D1450" s="227" t="n"/>
      <c r="E1450" s="228" t="n"/>
      <c r="F1450" s="192" t="n"/>
      <c r="G1450" s="227" t="n"/>
      <c r="H1450" s="227" t="n"/>
    </row>
    <row r="1451">
      <c r="B1451" s="227" t="n"/>
      <c r="C1451" s="227" t="n"/>
      <c r="D1451" s="227" t="n"/>
      <c r="E1451" s="228" t="n"/>
      <c r="F1451" s="192" t="n"/>
      <c r="G1451" s="227" t="n"/>
      <c r="H1451" s="227" t="n"/>
    </row>
    <row r="1452">
      <c r="B1452" s="227" t="n"/>
      <c r="C1452" s="227" t="n"/>
      <c r="D1452" s="227" t="n"/>
      <c r="E1452" s="228" t="n"/>
      <c r="F1452" s="192" t="n"/>
      <c r="G1452" s="227" t="n"/>
      <c r="H1452" s="227" t="n"/>
    </row>
    <row r="1453">
      <c r="B1453" s="227" t="n"/>
      <c r="C1453" s="227" t="n"/>
      <c r="D1453" s="227" t="n"/>
      <c r="E1453" s="228" t="n"/>
      <c r="F1453" s="192" t="n"/>
      <c r="G1453" s="227" t="n"/>
      <c r="H1453" s="227" t="n"/>
    </row>
    <row r="1454">
      <c r="B1454" s="227" t="n"/>
      <c r="C1454" s="227" t="n"/>
      <c r="D1454" s="227" t="n"/>
      <c r="E1454" s="228" t="n"/>
      <c r="F1454" s="192" t="n"/>
      <c r="G1454" s="227" t="n"/>
      <c r="H1454" s="227" t="n"/>
    </row>
    <row r="1455">
      <c r="B1455" s="227" t="n"/>
      <c r="C1455" s="227" t="n"/>
      <c r="D1455" s="227" t="n"/>
      <c r="E1455" s="228" t="n"/>
      <c r="F1455" s="192" t="n"/>
      <c r="G1455" s="227" t="n"/>
      <c r="H1455" s="227" t="n"/>
    </row>
    <row r="1456">
      <c r="B1456" s="227" t="n"/>
      <c r="C1456" s="227" t="n"/>
      <c r="D1456" s="227" t="n"/>
      <c r="E1456" s="228" t="n"/>
      <c r="F1456" s="192" t="n"/>
      <c r="G1456" s="227" t="n"/>
      <c r="H1456" s="227" t="n"/>
    </row>
    <row r="1457">
      <c r="B1457" s="227" t="n"/>
      <c r="C1457" s="227" t="n"/>
      <c r="D1457" s="227" t="n"/>
      <c r="E1457" s="228" t="n"/>
      <c r="F1457" s="192" t="n"/>
      <c r="G1457" s="227" t="n"/>
      <c r="H1457" s="227" t="n"/>
    </row>
    <row r="1458">
      <c r="B1458" s="227" t="n"/>
      <c r="C1458" s="227" t="n"/>
      <c r="D1458" s="227" t="n"/>
      <c r="E1458" s="228" t="n"/>
      <c r="F1458" s="192" t="n"/>
      <c r="G1458" s="227" t="n"/>
      <c r="H1458" s="227" t="n"/>
    </row>
    <row r="1459">
      <c r="B1459" s="227" t="n"/>
      <c r="C1459" s="227" t="n"/>
      <c r="D1459" s="227" t="n"/>
      <c r="E1459" s="228" t="n"/>
      <c r="F1459" s="192" t="n"/>
      <c r="G1459" s="227" t="n"/>
      <c r="H1459" s="227" t="n"/>
    </row>
    <row r="1460">
      <c r="B1460" s="227" t="n"/>
      <c r="C1460" s="227" t="n"/>
      <c r="D1460" s="227" t="n"/>
      <c r="E1460" s="228" t="n"/>
      <c r="F1460" s="192" t="n"/>
      <c r="G1460" s="227" t="n"/>
      <c r="H1460" s="227" t="n"/>
    </row>
    <row r="1461">
      <c r="B1461" s="227" t="n"/>
      <c r="C1461" s="227" t="n"/>
      <c r="D1461" s="227" t="n"/>
      <c r="E1461" s="228" t="n"/>
      <c r="F1461" s="192" t="n"/>
      <c r="G1461" s="227" t="n"/>
      <c r="H1461" s="227" t="n"/>
    </row>
    <row r="1462">
      <c r="B1462" s="227" t="n"/>
      <c r="C1462" s="227" t="n"/>
      <c r="D1462" s="227" t="n"/>
      <c r="E1462" s="228" t="n"/>
      <c r="F1462" s="192" t="n"/>
      <c r="G1462" s="227" t="n"/>
      <c r="H1462" s="227" t="n"/>
    </row>
    <row r="1463">
      <c r="B1463" s="227" t="n"/>
      <c r="C1463" s="227" t="n"/>
      <c r="D1463" s="227" t="n"/>
      <c r="E1463" s="228" t="n"/>
      <c r="F1463" s="192" t="n"/>
      <c r="G1463" s="227" t="n"/>
      <c r="H1463" s="227" t="n"/>
    </row>
    <row r="1464">
      <c r="B1464" s="227" t="n"/>
      <c r="C1464" s="227" t="n"/>
      <c r="D1464" s="227" t="n"/>
      <c r="E1464" s="228" t="n"/>
      <c r="F1464" s="192" t="n"/>
      <c r="G1464" s="227" t="n"/>
      <c r="H1464" s="227" t="n"/>
    </row>
    <row r="1465">
      <c r="B1465" s="227" t="n"/>
      <c r="C1465" s="227" t="n"/>
      <c r="D1465" s="227" t="n"/>
      <c r="E1465" s="228" t="n"/>
      <c r="F1465" s="192" t="n"/>
      <c r="G1465" s="227" t="n"/>
      <c r="H1465" s="227" t="n"/>
    </row>
    <row r="1466">
      <c r="B1466" s="227" t="n"/>
      <c r="C1466" s="227" t="n"/>
      <c r="D1466" s="227" t="n"/>
      <c r="E1466" s="228" t="n"/>
      <c r="F1466" s="192" t="n"/>
      <c r="G1466" s="227" t="n"/>
      <c r="H1466" s="227" t="n"/>
    </row>
    <row r="1467">
      <c r="B1467" s="227" t="n"/>
      <c r="C1467" s="227" t="n"/>
      <c r="D1467" s="227" t="n"/>
      <c r="E1467" s="228" t="n"/>
      <c r="F1467" s="192" t="n"/>
      <c r="G1467" s="227" t="n"/>
      <c r="H1467" s="227" t="n"/>
    </row>
    <row r="1468">
      <c r="B1468" s="227" t="n"/>
      <c r="C1468" s="227" t="n"/>
      <c r="D1468" s="227" t="n"/>
      <c r="E1468" s="228" t="n"/>
      <c r="F1468" s="192" t="n"/>
      <c r="G1468" s="227" t="n"/>
      <c r="H1468" s="227" t="n"/>
    </row>
    <row r="1469">
      <c r="B1469" s="227" t="n"/>
      <c r="C1469" s="227" t="n"/>
      <c r="D1469" s="227" t="n"/>
      <c r="E1469" s="228" t="n"/>
      <c r="F1469" s="192" t="n"/>
      <c r="G1469" s="227" t="n"/>
      <c r="H1469" s="227" t="n"/>
    </row>
    <row r="1470">
      <c r="B1470" s="227" t="n"/>
      <c r="C1470" s="227" t="n"/>
      <c r="D1470" s="227" t="n"/>
      <c r="E1470" s="228" t="n"/>
      <c r="F1470" s="192" t="n"/>
      <c r="G1470" s="227" t="n"/>
      <c r="H1470" s="227" t="n"/>
    </row>
    <row r="1471">
      <c r="B1471" s="227" t="n"/>
      <c r="C1471" s="227" t="n"/>
      <c r="D1471" s="227" t="n"/>
      <c r="E1471" s="228" t="n"/>
      <c r="F1471" s="192" t="n"/>
      <c r="G1471" s="227" t="n"/>
      <c r="H1471" s="227" t="n"/>
    </row>
    <row r="1472">
      <c r="B1472" s="227" t="n"/>
      <c r="C1472" s="227" t="n"/>
      <c r="D1472" s="227" t="n"/>
      <c r="E1472" s="228" t="n"/>
      <c r="F1472" s="192" t="n"/>
      <c r="G1472" s="227" t="n"/>
      <c r="H1472" s="227" t="n"/>
    </row>
    <row r="1473">
      <c r="B1473" s="227" t="n"/>
      <c r="C1473" s="227" t="n"/>
      <c r="D1473" s="227" t="n"/>
      <c r="E1473" s="228" t="n"/>
      <c r="F1473" s="192" t="n"/>
      <c r="G1473" s="227" t="n"/>
      <c r="H1473" s="227" t="n"/>
    </row>
    <row r="1474">
      <c r="B1474" s="227" t="n"/>
      <c r="C1474" s="227" t="n"/>
      <c r="D1474" s="227" t="n"/>
      <c r="E1474" s="228" t="n"/>
      <c r="F1474" s="192" t="n"/>
      <c r="G1474" s="227" t="n"/>
      <c r="H1474" s="227" t="n"/>
    </row>
    <row r="1475">
      <c r="B1475" s="227" t="n"/>
      <c r="C1475" s="227" t="n"/>
      <c r="D1475" s="227" t="n"/>
      <c r="E1475" s="228" t="n"/>
      <c r="F1475" s="192" t="n"/>
      <c r="G1475" s="227" t="n"/>
      <c r="H1475" s="227" t="n"/>
    </row>
    <row r="1476">
      <c r="B1476" s="227" t="n"/>
      <c r="C1476" s="227" t="n"/>
      <c r="D1476" s="227" t="n"/>
      <c r="E1476" s="228" t="n"/>
      <c r="F1476" s="192" t="n"/>
      <c r="G1476" s="227" t="n"/>
      <c r="H1476" s="227" t="n"/>
    </row>
    <row r="1477">
      <c r="B1477" s="227" t="n"/>
      <c r="C1477" s="227" t="n"/>
      <c r="D1477" s="227" t="n"/>
      <c r="E1477" s="228" t="n"/>
      <c r="F1477" s="192" t="n"/>
      <c r="G1477" s="227" t="n"/>
      <c r="H1477" s="227" t="n"/>
    </row>
    <row r="1478">
      <c r="B1478" s="227" t="n"/>
      <c r="C1478" s="227" t="n"/>
      <c r="D1478" s="227" t="n"/>
      <c r="E1478" s="228" t="n"/>
      <c r="F1478" s="192" t="n"/>
      <c r="G1478" s="227" t="n"/>
      <c r="H1478" s="227" t="n"/>
    </row>
    <row r="1479">
      <c r="B1479" s="227" t="n"/>
      <c r="C1479" s="227" t="n"/>
      <c r="D1479" s="227" t="n"/>
      <c r="E1479" s="228" t="n"/>
      <c r="F1479" s="192" t="n"/>
      <c r="G1479" s="227" t="n"/>
      <c r="H1479" s="227" t="n"/>
    </row>
    <row r="1480">
      <c r="B1480" s="227" t="n"/>
      <c r="C1480" s="227" t="n"/>
      <c r="D1480" s="227" t="n"/>
      <c r="E1480" s="228" t="n"/>
      <c r="F1480" s="192" t="n"/>
      <c r="G1480" s="227" t="n"/>
      <c r="H1480" s="227" t="n"/>
    </row>
    <row r="1481">
      <c r="B1481" s="227" t="n"/>
      <c r="C1481" s="227" t="n"/>
      <c r="D1481" s="227" t="n"/>
      <c r="E1481" s="228" t="n"/>
      <c r="F1481" s="192" t="n"/>
      <c r="G1481" s="227" t="n"/>
      <c r="H1481" s="227" t="n"/>
    </row>
    <row r="1482">
      <c r="B1482" s="227" t="n"/>
      <c r="C1482" s="227" t="n"/>
      <c r="D1482" s="227" t="n"/>
      <c r="E1482" s="228" t="n"/>
      <c r="F1482" s="192" t="n"/>
      <c r="G1482" s="227" t="n"/>
      <c r="H1482" s="227" t="n"/>
    </row>
    <row r="1483">
      <c r="B1483" s="227" t="n"/>
      <c r="C1483" s="227" t="n"/>
      <c r="D1483" s="227" t="n"/>
      <c r="E1483" s="228" t="n"/>
      <c r="F1483" s="192" t="n"/>
      <c r="G1483" s="227" t="n"/>
      <c r="H1483" s="227" t="n"/>
    </row>
    <row r="1484">
      <c r="B1484" s="227" t="n"/>
      <c r="C1484" s="227" t="n"/>
      <c r="D1484" s="227" t="n"/>
      <c r="E1484" s="228" t="n"/>
      <c r="F1484" s="192" t="n"/>
      <c r="G1484" s="227" t="n"/>
      <c r="H1484" s="227" t="n"/>
    </row>
    <row r="1485">
      <c r="B1485" s="227" t="n"/>
      <c r="C1485" s="227" t="n"/>
      <c r="D1485" s="227" t="n"/>
      <c r="E1485" s="228" t="n"/>
      <c r="F1485" s="192" t="n"/>
      <c r="G1485" s="227" t="n"/>
      <c r="H1485" s="227" t="n"/>
    </row>
    <row r="1486">
      <c r="B1486" s="227" t="n"/>
      <c r="C1486" s="227" t="n"/>
      <c r="D1486" s="227" t="n"/>
      <c r="E1486" s="228" t="n"/>
      <c r="F1486" s="192" t="n"/>
      <c r="G1486" s="227" t="n"/>
      <c r="H1486" s="227" t="n"/>
    </row>
    <row r="1487">
      <c r="B1487" s="227" t="n"/>
      <c r="C1487" s="227" t="n"/>
      <c r="D1487" s="227" t="n"/>
      <c r="E1487" s="228" t="n"/>
      <c r="F1487" s="192" t="n"/>
      <c r="G1487" s="227" t="n"/>
      <c r="H1487" s="227" t="n"/>
    </row>
    <row r="1488">
      <c r="B1488" s="227" t="n"/>
      <c r="C1488" s="227" t="n"/>
      <c r="D1488" s="227" t="n"/>
      <c r="E1488" s="228" t="n"/>
      <c r="F1488" s="192" t="n"/>
      <c r="G1488" s="227" t="n"/>
      <c r="H1488" s="227" t="n"/>
    </row>
    <row r="1489">
      <c r="B1489" s="227" t="n"/>
      <c r="C1489" s="227" t="n"/>
      <c r="D1489" s="227" t="n"/>
      <c r="E1489" s="228" t="n"/>
      <c r="F1489" s="192" t="n"/>
      <c r="G1489" s="227" t="n"/>
      <c r="H1489" s="227" t="n"/>
    </row>
    <row r="1490">
      <c r="B1490" s="227" t="n"/>
      <c r="C1490" s="227" t="n"/>
      <c r="D1490" s="227" t="n"/>
      <c r="E1490" s="228" t="n"/>
      <c r="F1490" s="192" t="n"/>
      <c r="G1490" s="227" t="n"/>
      <c r="H1490" s="227" t="n"/>
    </row>
    <row r="1491">
      <c r="B1491" s="227" t="n"/>
      <c r="C1491" s="227" t="n"/>
      <c r="D1491" s="227" t="n"/>
      <c r="E1491" s="228" t="n"/>
      <c r="F1491" s="192" t="n"/>
      <c r="G1491" s="227" t="n"/>
      <c r="H1491" s="227" t="n"/>
    </row>
    <row r="1492">
      <c r="B1492" s="227" t="n"/>
      <c r="C1492" s="227" t="n"/>
      <c r="D1492" s="227" t="n"/>
      <c r="E1492" s="228" t="n"/>
      <c r="F1492" s="192" t="n"/>
      <c r="G1492" s="227" t="n"/>
      <c r="H1492" s="227" t="n"/>
    </row>
    <row r="1493">
      <c r="B1493" s="227" t="n"/>
      <c r="C1493" s="227" t="n"/>
      <c r="D1493" s="227" t="n"/>
      <c r="E1493" s="228" t="n"/>
      <c r="F1493" s="192" t="n"/>
      <c r="G1493" s="227" t="n"/>
      <c r="H1493" s="227" t="n"/>
    </row>
    <row r="1494">
      <c r="B1494" s="227" t="n"/>
      <c r="C1494" s="227" t="n"/>
      <c r="D1494" s="227" t="n"/>
      <c r="E1494" s="228" t="n"/>
      <c r="F1494" s="192" t="n"/>
      <c r="G1494" s="227" t="n"/>
      <c r="H1494" s="227" t="n"/>
    </row>
    <row r="1495">
      <c r="B1495" s="227" t="n"/>
      <c r="C1495" s="227" t="n"/>
      <c r="D1495" s="227" t="n"/>
      <c r="E1495" s="228" t="n"/>
      <c r="F1495" s="192" t="n"/>
      <c r="G1495" s="227" t="n"/>
      <c r="H1495" s="227" t="n"/>
    </row>
    <row r="1496">
      <c r="B1496" s="227" t="n"/>
      <c r="C1496" s="227" t="n"/>
      <c r="D1496" s="227" t="n"/>
      <c r="E1496" s="228" t="n"/>
      <c r="F1496" s="192" t="n"/>
      <c r="G1496" s="227" t="n"/>
      <c r="H1496" s="227" t="n"/>
    </row>
    <row r="1497">
      <c r="B1497" s="227" t="n"/>
      <c r="C1497" s="227" t="n"/>
      <c r="D1497" s="227" t="n"/>
      <c r="E1497" s="228" t="n"/>
      <c r="F1497" s="192" t="n"/>
      <c r="G1497" s="227" t="n"/>
      <c r="H1497" s="227" t="n"/>
    </row>
    <row r="1498">
      <c r="B1498" s="227" t="n"/>
      <c r="C1498" s="227" t="n"/>
      <c r="D1498" s="227" t="n"/>
      <c r="E1498" s="228" t="n"/>
      <c r="F1498" s="192" t="n"/>
      <c r="G1498" s="227" t="n"/>
      <c r="H1498" s="227" t="n"/>
    </row>
    <row r="1499">
      <c r="B1499" s="227" t="n"/>
      <c r="C1499" s="227" t="n"/>
      <c r="D1499" s="227" t="n"/>
      <c r="E1499" s="228" t="n"/>
      <c r="F1499" s="192" t="n"/>
      <c r="G1499" s="227" t="n"/>
      <c r="H1499" s="227" t="n"/>
    </row>
    <row r="1500">
      <c r="B1500" s="227" t="n"/>
      <c r="C1500" s="227" t="n"/>
      <c r="D1500" s="227" t="n"/>
      <c r="E1500" s="228" t="n"/>
      <c r="F1500" s="192" t="n"/>
      <c r="G1500" s="227" t="n"/>
      <c r="H1500" s="227" t="n"/>
    </row>
    <row r="1501">
      <c r="B1501" s="227" t="n"/>
      <c r="C1501" s="227" t="n"/>
      <c r="D1501" s="227" t="n"/>
      <c r="E1501" s="228" t="n"/>
      <c r="F1501" s="192" t="n"/>
      <c r="G1501" s="227" t="n"/>
      <c r="H1501" s="227" t="n"/>
    </row>
    <row r="1502">
      <c r="B1502" s="227" t="n"/>
      <c r="C1502" s="227" t="n"/>
      <c r="D1502" s="227" t="n"/>
      <c r="E1502" s="228" t="n"/>
      <c r="F1502" s="192" t="n"/>
      <c r="G1502" s="227" t="n"/>
      <c r="H1502" s="227" t="n"/>
    </row>
    <row r="1503">
      <c r="B1503" s="227" t="n"/>
      <c r="C1503" s="227" t="n"/>
      <c r="D1503" s="227" t="n"/>
      <c r="E1503" s="228" t="n"/>
      <c r="F1503" s="192" t="n"/>
      <c r="G1503" s="227" t="n"/>
      <c r="H1503" s="227" t="n"/>
    </row>
    <row r="1504">
      <c r="B1504" s="227" t="n"/>
      <c r="C1504" s="227" t="n"/>
      <c r="D1504" s="227" t="n"/>
      <c r="E1504" s="228" t="n"/>
      <c r="F1504" s="192" t="n"/>
      <c r="G1504" s="227" t="n"/>
      <c r="H1504" s="227" t="n"/>
    </row>
  </sheetData>
  <autoFilter ref="B4:H1504"/>
  <mergeCells count="1">
    <mergeCell ref="B1:H1"/>
  </mergeCells>
  <conditionalFormatting sqref="G5:G1504">
    <cfRule type="expression" priority="1" dxfId="34">
      <formula>LEFT(G5,5)="To be"</formula>
    </cfRule>
    <cfRule type="expression" priority="2" dxfId="35">
      <formula>LEFT(G5,7)="NPI esc"</formula>
    </cfRule>
    <cfRule type="expression" priority="3" dxfId="36">
      <formula>LEFT(G5,7)="Booking"</formula>
    </cfRule>
    <cfRule type="expression" priority="4" dxfId="37">
      <formula>LEFT(G5,7)="NPI dec"</formula>
    </cfRule>
    <cfRule type="expression" priority="5" dxfId="38">
      <formula>LEFT(G5,3)="New"</formula>
    </cfRule>
    <cfRule type="expression" priority="6" dxfId="21">
      <formula>LEFT(G5,7)="Unknown"</formula>
    </cfRule>
    <cfRule type="expression" priority="7" dxfId="21">
      <formula>LEFT(G5,6)="No col"</formula>
    </cfRule>
    <cfRule type="expression" priority="8" dxfId="39">
      <formula>LEFT(G5,9)="Confirmed"</formula>
    </cfRule>
    <cfRule type="expression" priority="9" dxfId="40">
      <formula>LEFT(G5,6)="Double"</formula>
    </cfRule>
  </conditionalFormatting>
  <dataValidations count="1">
    <dataValidation sqref="G5:G1504" showDropDown="0" showInputMessage="0" showErrorMessage="0" allowBlank="1" type="list">
      <formula1>=Settings!$P$14:$P$24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/>
  </sheetPr>
  <dimension ref="A1:P54"/>
  <sheetViews>
    <sheetView tabSelected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style="53" min="1" max="1"/>
    <col width="18" customWidth="1" style="53" min="2" max="2"/>
    <col width="16" customWidth="1" style="53" min="3" max="3"/>
    <col width="28" customWidth="1" style="53" min="4" max="4"/>
    <col width="10" customWidth="1" style="53" min="5" max="5"/>
    <col width="10" customWidth="1" style="53" min="6" max="6"/>
    <col width="8" customWidth="1" style="53" min="7" max="7"/>
    <col width="8" customWidth="1" style="53" min="8" max="8"/>
    <col width="8" customWidth="1" style="53" min="9" max="9"/>
    <col width="8" customWidth="1" style="53" min="10" max="10"/>
    <col width="8" customWidth="1" style="53" min="11" max="11"/>
    <col width="8" customWidth="1" style="53" min="12" max="12"/>
    <col width="8" customWidth="1" style="53" min="13" max="13"/>
    <col width="8" customWidth="1" style="53" min="14" max="14"/>
    <col width="8" customWidth="1" style="53" min="15" max="15"/>
    <col width="30" customWidth="1" style="53" min="16" max="16"/>
  </cols>
  <sheetData>
    <row r="1">
      <c r="D1" s="229" t="inlineStr">
        <is>
          <t>BHP Wayside Power Upgrade  - Site Access 2026</t>
        </is>
      </c>
    </row>
    <row r="2">
      <c r="B2" s="19" t="inlineStr">
        <is>
          <t>First Name</t>
        </is>
      </c>
      <c r="C2" s="19" t="inlineStr">
        <is>
          <t>Last Name</t>
        </is>
      </c>
      <c r="D2" s="19" t="inlineStr">
        <is>
          <t>Position</t>
        </is>
      </c>
      <c r="E2" s="19" t="inlineStr">
        <is>
          <t>BHP ID</t>
        </is>
      </c>
      <c r="F2" s="19" t="inlineStr">
        <is>
          <t>ERMS ID</t>
        </is>
      </c>
      <c r="G2" s="19" t="inlineStr">
        <is>
          <t>Active</t>
        </is>
      </c>
      <c r="H2" s="19" t="inlineStr">
        <is>
          <t>Track Access</t>
        </is>
      </c>
      <c r="I2" s="19" t="inlineStr">
        <is>
          <t>Boodarie</t>
        </is>
      </c>
      <c r="J2" s="19" t="inlineStr">
        <is>
          <t>Mooka</t>
        </is>
      </c>
      <c r="K2" s="19" t="inlineStr">
        <is>
          <t>Rail</t>
        </is>
      </c>
      <c r="L2" s="19" t="inlineStr">
        <is>
          <t>Area C</t>
        </is>
      </c>
      <c r="M2" s="19" t="inlineStr">
        <is>
          <t>Newman</t>
        </is>
      </c>
      <c r="N2" s="19" t="inlineStr">
        <is>
          <t>Jimblebar</t>
        </is>
      </c>
      <c r="O2" s="19" t="inlineStr">
        <is>
          <t>Yandi</t>
        </is>
      </c>
      <c r="P2" s="19" t="inlineStr">
        <is>
          <t>Comments</t>
        </is>
      </c>
    </row>
    <row r="3">
      <c r="B3" s="230" t="inlineStr">
        <is>
          <t>Abdallah Taha Mousa</t>
        </is>
      </c>
      <c r="C3" s="230" t="inlineStr">
        <is>
          <t>Joudeh</t>
        </is>
      </c>
      <c r="D3" s="230" t="inlineStr">
        <is>
          <t>Construction Manager</t>
        </is>
      </c>
      <c r="E3" s="230" t="n">
        <v>863078</v>
      </c>
      <c r="F3" s="230" t="n">
        <v>466807</v>
      </c>
      <c r="G3" s="230" t="inlineStr">
        <is>
          <t>Yes</t>
        </is>
      </c>
      <c r="H3" s="230" t="inlineStr">
        <is>
          <t>Yes</t>
        </is>
      </c>
      <c r="I3" s="230" t="inlineStr">
        <is>
          <t>Yes</t>
        </is>
      </c>
      <c r="J3" s="230" t="inlineStr">
        <is>
          <t>Yes</t>
        </is>
      </c>
      <c r="K3" s="230" t="inlineStr">
        <is>
          <t>Yes</t>
        </is>
      </c>
      <c r="L3" s="230" t="inlineStr">
        <is>
          <t>N/A</t>
        </is>
      </c>
      <c r="M3" s="230" t="inlineStr">
        <is>
          <t>Yes</t>
        </is>
      </c>
      <c r="N3" s="230" t="inlineStr">
        <is>
          <t>Yes</t>
        </is>
      </c>
      <c r="O3" s="230" t="inlineStr">
        <is>
          <t>Yes</t>
        </is>
      </c>
    </row>
    <row r="4">
      <c r="B4" s="230" t="inlineStr">
        <is>
          <t>Prasanna</t>
        </is>
      </c>
      <c r="C4" s="230" t="inlineStr">
        <is>
          <t>Rajagopal</t>
        </is>
      </c>
      <c r="D4" s="229" t="inlineStr">
        <is>
          <t>Construction Manager (Reserve)</t>
        </is>
      </c>
      <c r="E4" s="230" t="n">
        <v>819842</v>
      </c>
      <c r="F4" s="230" t="n">
        <v>436211</v>
      </c>
      <c r="G4" s="230" t="inlineStr">
        <is>
          <t>Yes</t>
        </is>
      </c>
      <c r="H4" s="230" t="inlineStr">
        <is>
          <t>Yes</t>
        </is>
      </c>
      <c r="I4" s="230" t="inlineStr">
        <is>
          <t>Yes</t>
        </is>
      </c>
      <c r="J4" s="230" t="inlineStr">
        <is>
          <t>Yes</t>
        </is>
      </c>
      <c r="K4" s="230" t="inlineStr">
        <is>
          <t>Yes</t>
        </is>
      </c>
      <c r="L4" s="230" t="inlineStr">
        <is>
          <t>Yes</t>
        </is>
      </c>
      <c r="M4" s="230" t="inlineStr">
        <is>
          <t>Yes</t>
        </is>
      </c>
      <c r="N4" s="230" t="inlineStr">
        <is>
          <t>Yes</t>
        </is>
      </c>
      <c r="O4" s="230" t="inlineStr">
        <is>
          <t>Yes</t>
        </is>
      </c>
    </row>
    <row r="5">
      <c r="B5" s="230" t="inlineStr">
        <is>
          <t>Mohamed</t>
        </is>
      </c>
      <c r="C5" s="230" t="inlineStr">
        <is>
          <t>Amin</t>
        </is>
      </c>
      <c r="D5" s="229" t="inlineStr">
        <is>
          <t>Construction Manager (Reserve)</t>
        </is>
      </c>
      <c r="E5" s="230" t="n">
        <v>826857</v>
      </c>
      <c r="F5" s="230" t="n">
        <v>441324</v>
      </c>
      <c r="G5" s="230" t="inlineStr">
        <is>
          <t>Yes</t>
        </is>
      </c>
      <c r="H5" s="230" t="inlineStr">
        <is>
          <t>Yes</t>
        </is>
      </c>
      <c r="I5" s="230" t="inlineStr">
        <is>
          <t>Yes</t>
        </is>
      </c>
      <c r="J5" s="230" t="inlineStr">
        <is>
          <t>Yes</t>
        </is>
      </c>
      <c r="K5" s="230" t="inlineStr">
        <is>
          <t>Yes</t>
        </is>
      </c>
      <c r="L5" s="230" t="inlineStr">
        <is>
          <t>N/A</t>
        </is>
      </c>
      <c r="M5" s="230" t="inlineStr">
        <is>
          <t>Yes</t>
        </is>
      </c>
      <c r="N5" s="230" t="inlineStr">
        <is>
          <t>Yes</t>
        </is>
      </c>
      <c r="O5" s="230" t="inlineStr">
        <is>
          <t>Yes</t>
        </is>
      </c>
    </row>
    <row r="6">
      <c r="B6" s="230" t="inlineStr">
        <is>
          <t>Logistics Team</t>
        </is>
      </c>
    </row>
    <row r="7">
      <c r="B7" s="230" t="inlineStr">
        <is>
          <t>Keith</t>
        </is>
      </c>
      <c r="C7" s="230" t="inlineStr">
        <is>
          <t>Hale</t>
        </is>
      </c>
      <c r="D7" s="230" t="inlineStr">
        <is>
          <t>Truck Driver</t>
        </is>
      </c>
      <c r="E7" s="230" t="n">
        <v>863187</v>
      </c>
      <c r="F7" s="230" t="n">
        <v>466884</v>
      </c>
      <c r="G7" s="230" t="inlineStr">
        <is>
          <t>Yes</t>
        </is>
      </c>
      <c r="H7" s="230" t="inlineStr">
        <is>
          <t>Yes</t>
        </is>
      </c>
      <c r="I7" s="230" t="inlineStr">
        <is>
          <t>Yes</t>
        </is>
      </c>
      <c r="J7" s="230" t="inlineStr">
        <is>
          <t>Yes</t>
        </is>
      </c>
      <c r="K7" s="230" t="inlineStr">
        <is>
          <t>Yes</t>
        </is>
      </c>
      <c r="L7" s="230" t="inlineStr">
        <is>
          <t>Yes</t>
        </is>
      </c>
      <c r="M7" s="230" t="inlineStr">
        <is>
          <t>Yes</t>
        </is>
      </c>
      <c r="N7" s="230" t="inlineStr">
        <is>
          <t>Yes</t>
        </is>
      </c>
      <c r="O7" s="230" t="inlineStr">
        <is>
          <t>Yes</t>
        </is>
      </c>
    </row>
    <row r="8">
      <c r="B8" s="230" t="inlineStr">
        <is>
          <t>John</t>
        </is>
      </c>
      <c r="C8" s="230" t="inlineStr">
        <is>
          <t>Stephen</t>
        </is>
      </c>
      <c r="D8" s="229" t="inlineStr">
        <is>
          <t>Operator / Trade Assistant  1</t>
        </is>
      </c>
      <c r="E8" s="230" t="n">
        <v>688368</v>
      </c>
      <c r="F8" s="230" t="n">
        <v>349407</v>
      </c>
      <c r="G8" s="230" t="inlineStr">
        <is>
          <t>Yes</t>
        </is>
      </c>
      <c r="H8" s="230" t="inlineStr">
        <is>
          <t>Yes</t>
        </is>
      </c>
      <c r="I8" s="230" t="inlineStr">
        <is>
          <t>Yes</t>
        </is>
      </c>
      <c r="J8" s="230" t="inlineStr">
        <is>
          <t>Yes</t>
        </is>
      </c>
      <c r="K8" s="230" t="inlineStr">
        <is>
          <t>Yes</t>
        </is>
      </c>
      <c r="L8" s="230" t="inlineStr">
        <is>
          <t>N/A</t>
        </is>
      </c>
      <c r="M8" s="230" t="inlineStr">
        <is>
          <t>Yes</t>
        </is>
      </c>
      <c r="N8" s="230" t="inlineStr">
        <is>
          <t>Yes</t>
        </is>
      </c>
      <c r="O8" s="230" t="inlineStr">
        <is>
          <t>Yes</t>
        </is>
      </c>
    </row>
    <row r="9">
      <c r="B9" s="230" t="inlineStr">
        <is>
          <t>Aaron</t>
        </is>
      </c>
      <c r="C9" s="230" t="inlineStr">
        <is>
          <t>Vaccaro</t>
        </is>
      </c>
      <c r="D9" s="229" t="inlineStr">
        <is>
          <t>Truck/Forklift Driver /  Trade Assistant 2</t>
        </is>
      </c>
      <c r="E9" s="230" t="n">
        <v>853837</v>
      </c>
      <c r="F9" s="230" t="n">
        <v>85267</v>
      </c>
      <c r="G9" s="230" t="inlineStr">
        <is>
          <t>Yes</t>
        </is>
      </c>
      <c r="H9" s="230" t="inlineStr">
        <is>
          <t>Yes</t>
        </is>
      </c>
      <c r="I9" s="230" t="inlineStr">
        <is>
          <t>Yes</t>
        </is>
      </c>
      <c r="J9" s="230" t="inlineStr">
        <is>
          <t>Yes</t>
        </is>
      </c>
      <c r="K9" s="230" t="inlineStr">
        <is>
          <t>Yes</t>
        </is>
      </c>
      <c r="L9" s="230" t="inlineStr">
        <is>
          <t>Yes</t>
        </is>
      </c>
      <c r="M9" s="230" t="inlineStr">
        <is>
          <t>Yes</t>
        </is>
      </c>
      <c r="N9" s="230" t="inlineStr">
        <is>
          <t>Yes</t>
        </is>
      </c>
      <c r="O9" s="230" t="inlineStr">
        <is>
          <t>Yes</t>
        </is>
      </c>
    </row>
    <row r="10">
      <c r="B10" s="230" t="inlineStr">
        <is>
          <t>Electrical T1</t>
        </is>
      </c>
    </row>
    <row r="11">
      <c r="B11" s="230" t="inlineStr">
        <is>
          <t>Stephen</t>
        </is>
      </c>
      <c r="C11" s="230" t="inlineStr">
        <is>
          <t>Anthony</t>
        </is>
      </c>
      <c r="D11" s="229" t="inlineStr">
        <is>
          <t>Electrical Supervisor non stat - WHS</t>
        </is>
      </c>
      <c r="E11" s="230" t="n">
        <v>783046</v>
      </c>
      <c r="F11" s="230" t="n">
        <v>409664</v>
      </c>
      <c r="G11" s="230" t="inlineStr">
        <is>
          <t>Yes</t>
        </is>
      </c>
      <c r="H11" s="230" t="inlineStr">
        <is>
          <t>Yes</t>
        </is>
      </c>
      <c r="I11" s="230" t="inlineStr">
        <is>
          <t>Yes</t>
        </is>
      </c>
      <c r="J11" s="230" t="inlineStr">
        <is>
          <t>Yes</t>
        </is>
      </c>
      <c r="K11" s="230" t="inlineStr">
        <is>
          <t>Yes</t>
        </is>
      </c>
      <c r="L11" s="230" t="inlineStr">
        <is>
          <t>Yes</t>
        </is>
      </c>
      <c r="M11" s="230" t="inlineStr">
        <is>
          <t>Yes</t>
        </is>
      </c>
      <c r="N11" s="230" t="inlineStr">
        <is>
          <t>Yes</t>
        </is>
      </c>
      <c r="O11" s="230" t="inlineStr">
        <is>
          <t>Yes</t>
        </is>
      </c>
    </row>
    <row r="12">
      <c r="B12" s="230" t="inlineStr">
        <is>
          <t>Joseph</t>
        </is>
      </c>
      <c r="C12" s="230" t="inlineStr">
        <is>
          <t>Parker</t>
        </is>
      </c>
      <c r="D12" s="230" t="inlineStr">
        <is>
          <t>Cert IV Technician 2</t>
        </is>
      </c>
      <c r="E12" s="230" t="n">
        <v>863534</v>
      </c>
      <c r="F12" s="230" t="n">
        <v>467138</v>
      </c>
      <c r="G12" s="230" t="inlineStr">
        <is>
          <t>Yes</t>
        </is>
      </c>
      <c r="H12" s="230" t="inlineStr">
        <is>
          <t>Yes</t>
        </is>
      </c>
      <c r="I12" s="230" t="inlineStr">
        <is>
          <t>Yes</t>
        </is>
      </c>
      <c r="J12" s="230" t="inlineStr">
        <is>
          <t>Yes</t>
        </is>
      </c>
      <c r="K12" s="230" t="inlineStr">
        <is>
          <t>Yes</t>
        </is>
      </c>
      <c r="L12" s="230" t="inlineStr">
        <is>
          <t>N/A</t>
        </is>
      </c>
      <c r="M12" s="230" t="inlineStr">
        <is>
          <t>Yes</t>
        </is>
      </c>
      <c r="N12" s="230" t="inlineStr">
        <is>
          <t>Yes</t>
        </is>
      </c>
      <c r="O12" s="230" t="inlineStr">
        <is>
          <t>Yes</t>
        </is>
      </c>
    </row>
    <row r="13">
      <c r="B13" s="230" t="inlineStr">
        <is>
          <t>George</t>
        </is>
      </c>
      <c r="C13" s="230" t="inlineStr">
        <is>
          <t>Milton</t>
        </is>
      </c>
      <c r="D13" s="230" t="inlineStr">
        <is>
          <t>Electrician1</t>
        </is>
      </c>
      <c r="E13" s="230" t="n">
        <v>851281</v>
      </c>
      <c r="F13" s="230" t="n">
        <v>458289</v>
      </c>
      <c r="G13" s="230" t="inlineStr">
        <is>
          <t>Yes</t>
        </is>
      </c>
      <c r="H13" s="230" t="inlineStr">
        <is>
          <t>Yes</t>
        </is>
      </c>
      <c r="I13" s="230" t="inlineStr">
        <is>
          <t>Yes</t>
        </is>
      </c>
      <c r="J13" s="230" t="inlineStr">
        <is>
          <t>Yes</t>
        </is>
      </c>
      <c r="K13" s="230" t="inlineStr">
        <is>
          <t>Yes</t>
        </is>
      </c>
      <c r="L13" s="230" t="inlineStr">
        <is>
          <t>Yes</t>
        </is>
      </c>
      <c r="M13" s="230" t="inlineStr">
        <is>
          <t>Yes</t>
        </is>
      </c>
      <c r="N13" s="230" t="inlineStr">
        <is>
          <t>Yes</t>
        </is>
      </c>
      <c r="O13" s="230" t="inlineStr">
        <is>
          <t>Yes</t>
        </is>
      </c>
    </row>
    <row r="14">
      <c r="B14" s="230" t="inlineStr">
        <is>
          <t>Richard</t>
        </is>
      </c>
      <c r="C14" s="230" t="inlineStr">
        <is>
          <t>Lewis</t>
        </is>
      </c>
      <c r="D14" s="229" t="inlineStr">
        <is>
          <t>Information Systems Technician</t>
        </is>
      </c>
      <c r="E14" s="230" t="n">
        <v>695708</v>
      </c>
      <c r="F14" s="230" t="n">
        <v>278004</v>
      </c>
      <c r="G14" s="230" t="inlineStr">
        <is>
          <t>Yes</t>
        </is>
      </c>
      <c r="H14" s="230" t="inlineStr">
        <is>
          <t>Yes</t>
        </is>
      </c>
      <c r="I14" s="230" t="inlineStr">
        <is>
          <t>Yes</t>
        </is>
      </c>
      <c r="J14" s="230" t="inlineStr">
        <is>
          <t>Yes</t>
        </is>
      </c>
      <c r="K14" s="230" t="inlineStr">
        <is>
          <t>Yes</t>
        </is>
      </c>
      <c r="L14" s="230" t="inlineStr">
        <is>
          <t>Yes</t>
        </is>
      </c>
      <c r="M14" s="230" t="inlineStr">
        <is>
          <t>Yes</t>
        </is>
      </c>
      <c r="N14" s="230" t="inlineStr">
        <is>
          <t>Yes</t>
        </is>
      </c>
      <c r="O14" s="230" t="inlineStr">
        <is>
          <t>Yes</t>
        </is>
      </c>
    </row>
    <row r="15">
      <c r="B15" s="229" t="inlineStr">
        <is>
          <t>Roster B  -  Electrical T2</t>
        </is>
      </c>
    </row>
    <row r="16">
      <c r="B16" s="230" t="inlineStr">
        <is>
          <t>Martin</t>
        </is>
      </c>
      <c r="C16" s="230" t="inlineStr">
        <is>
          <t>Smart</t>
        </is>
      </c>
      <c r="D16" s="229" t="inlineStr">
        <is>
          <t>Electrical Supervisor non stat - WHS</t>
        </is>
      </c>
      <c r="E16" s="230" t="n">
        <v>796112</v>
      </c>
      <c r="F16" s="230" t="n">
        <v>419087</v>
      </c>
      <c r="G16" s="230" t="inlineStr">
        <is>
          <t>Yes</t>
        </is>
      </c>
      <c r="H16" s="230" t="inlineStr">
        <is>
          <t>Yes</t>
        </is>
      </c>
      <c r="I16" s="230" t="inlineStr">
        <is>
          <t>Yes</t>
        </is>
      </c>
      <c r="J16" s="230" t="inlineStr">
        <is>
          <t>Yes</t>
        </is>
      </c>
      <c r="K16" s="230" t="inlineStr">
        <is>
          <t>Yes</t>
        </is>
      </c>
      <c r="L16" s="230" t="inlineStr">
        <is>
          <t>Yes</t>
        </is>
      </c>
      <c r="M16" s="230" t="inlineStr">
        <is>
          <t>Yes</t>
        </is>
      </c>
      <c r="N16" s="230" t="inlineStr">
        <is>
          <t>Yes</t>
        </is>
      </c>
      <c r="O16" s="230" t="inlineStr">
        <is>
          <t>Yes</t>
        </is>
      </c>
    </row>
    <row r="17">
      <c r="B17" s="230" t="inlineStr">
        <is>
          <t>Brendan</t>
        </is>
      </c>
      <c r="C17" s="230" t="inlineStr">
        <is>
          <t>Delavere</t>
        </is>
      </c>
      <c r="D17" s="229" t="inlineStr">
        <is>
          <t>Electrical Supervisor non stat - WHS</t>
        </is>
      </c>
      <c r="E17" s="230" t="n">
        <v>799932</v>
      </c>
      <c r="F17" s="230" t="n">
        <v>421834</v>
      </c>
      <c r="G17" s="230" t="inlineStr">
        <is>
          <t>Yes</t>
        </is>
      </c>
      <c r="H17" s="230" t="inlineStr">
        <is>
          <t>Yes</t>
        </is>
      </c>
      <c r="I17" s="230" t="inlineStr">
        <is>
          <t>Yes</t>
        </is>
      </c>
      <c r="J17" s="230" t="inlineStr">
        <is>
          <t>Yes</t>
        </is>
      </c>
      <c r="K17" s="230" t="inlineStr">
        <is>
          <t>REQ</t>
        </is>
      </c>
      <c r="L17" s="230" t="inlineStr">
        <is>
          <t>N/A</t>
        </is>
      </c>
      <c r="M17" s="230" t="inlineStr">
        <is>
          <t>REQ</t>
        </is>
      </c>
      <c r="N17" s="230" t="inlineStr">
        <is>
          <t>REQ</t>
        </is>
      </c>
      <c r="O17" s="230" t="inlineStr">
        <is>
          <t>REQ</t>
        </is>
      </c>
    </row>
    <row r="18">
      <c r="B18" s="230" t="inlineStr">
        <is>
          <t>Luke</t>
        </is>
      </c>
      <c r="C18" s="230" t="inlineStr">
        <is>
          <t>Watson</t>
        </is>
      </c>
      <c r="D18" s="230" t="inlineStr">
        <is>
          <t>Cert IV Technician</t>
        </is>
      </c>
      <c r="E18" s="230" t="n">
        <v>854853</v>
      </c>
      <c r="F18" s="230" t="n">
        <v>460897</v>
      </c>
      <c r="G18" s="230" t="inlineStr">
        <is>
          <t>Yes</t>
        </is>
      </c>
      <c r="H18" s="230" t="inlineStr">
        <is>
          <t>Yes</t>
        </is>
      </c>
      <c r="I18" s="230" t="inlineStr">
        <is>
          <t>Yes</t>
        </is>
      </c>
      <c r="J18" s="230" t="inlineStr">
        <is>
          <t>Yes</t>
        </is>
      </c>
      <c r="K18" s="230" t="inlineStr">
        <is>
          <t>Yes</t>
        </is>
      </c>
      <c r="L18" s="230" t="inlineStr">
        <is>
          <t>Yes</t>
        </is>
      </c>
      <c r="M18" s="230" t="inlineStr">
        <is>
          <t>Yes</t>
        </is>
      </c>
      <c r="N18" s="230" t="inlineStr">
        <is>
          <t>Yes</t>
        </is>
      </c>
      <c r="O18" s="230" t="inlineStr">
        <is>
          <t>Yes</t>
        </is>
      </c>
    </row>
    <row r="19">
      <c r="B19" s="230" t="inlineStr">
        <is>
          <t>Aaron</t>
        </is>
      </c>
      <c r="C19" s="230" t="inlineStr">
        <is>
          <t>Pick</t>
        </is>
      </c>
      <c r="D19" s="230" t="inlineStr">
        <is>
          <t>Electrician 2</t>
        </is>
      </c>
      <c r="E19" s="230" t="n">
        <v>732777</v>
      </c>
      <c r="F19" s="230" t="n">
        <v>376590</v>
      </c>
      <c r="G19" s="230" t="inlineStr">
        <is>
          <t>Yes</t>
        </is>
      </c>
      <c r="H19" s="230" t="inlineStr">
        <is>
          <t>Yes</t>
        </is>
      </c>
      <c r="I19" s="230" t="inlineStr">
        <is>
          <t>Yes</t>
        </is>
      </c>
      <c r="J19" s="230" t="inlineStr">
        <is>
          <t>Yes</t>
        </is>
      </c>
      <c r="K19" s="230" t="inlineStr">
        <is>
          <t>Yes</t>
        </is>
      </c>
      <c r="L19" s="230" t="inlineStr">
        <is>
          <t>Yes</t>
        </is>
      </c>
      <c r="M19" s="230" t="inlineStr">
        <is>
          <t>Yes</t>
        </is>
      </c>
      <c r="N19" s="230" t="inlineStr">
        <is>
          <t>Yes</t>
        </is>
      </c>
      <c r="O19" s="230" t="inlineStr">
        <is>
          <t>Yes</t>
        </is>
      </c>
    </row>
    <row r="20">
      <c r="B20" s="230" t="inlineStr">
        <is>
          <t>Jacob</t>
        </is>
      </c>
      <c r="C20" s="230" t="inlineStr">
        <is>
          <t>Harding</t>
        </is>
      </c>
      <c r="D20" s="230" t="inlineStr">
        <is>
          <t>Electrician 1</t>
        </is>
      </c>
      <c r="E20" s="230" t="n">
        <v>863083</v>
      </c>
      <c r="F20" s="230" t="n">
        <v>466813</v>
      </c>
      <c r="G20" s="230" t="inlineStr">
        <is>
          <t>Yes</t>
        </is>
      </c>
      <c r="H20" s="230" t="inlineStr">
        <is>
          <t>Yes</t>
        </is>
      </c>
      <c r="I20" s="230" t="inlineStr">
        <is>
          <t>Yes</t>
        </is>
      </c>
      <c r="J20" s="230" t="inlineStr">
        <is>
          <t>Yes</t>
        </is>
      </c>
      <c r="K20" s="230" t="inlineStr">
        <is>
          <t>Yes</t>
        </is>
      </c>
      <c r="L20" s="230" t="inlineStr">
        <is>
          <t>Yes</t>
        </is>
      </c>
      <c r="M20" s="230" t="inlineStr">
        <is>
          <t>Yes</t>
        </is>
      </c>
      <c r="N20" s="230" t="inlineStr">
        <is>
          <t>Yes</t>
        </is>
      </c>
      <c r="O20" s="230" t="inlineStr">
        <is>
          <t>Yes</t>
        </is>
      </c>
    </row>
    <row r="21">
      <c r="B21" s="230" t="inlineStr">
        <is>
          <t>David</t>
        </is>
      </c>
      <c r="C21" s="230" t="inlineStr">
        <is>
          <t>Child</t>
        </is>
      </c>
      <c r="D21" s="229" t="inlineStr">
        <is>
          <t>Information Systems Technician</t>
        </is>
      </c>
      <c r="E21" s="230" t="n">
        <v>819870</v>
      </c>
      <c r="F21" s="230" t="n">
        <v>436234</v>
      </c>
      <c r="G21" s="230" t="inlineStr">
        <is>
          <t>Yes</t>
        </is>
      </c>
      <c r="H21" s="230" t="inlineStr">
        <is>
          <t>Yes</t>
        </is>
      </c>
      <c r="I21" s="230" t="inlineStr">
        <is>
          <t>Yes</t>
        </is>
      </c>
      <c r="J21" s="230" t="inlineStr">
        <is>
          <t>Yes</t>
        </is>
      </c>
      <c r="K21" s="230" t="inlineStr">
        <is>
          <t>Yes</t>
        </is>
      </c>
      <c r="L21" s="230" t="inlineStr">
        <is>
          <t>Yes</t>
        </is>
      </c>
      <c r="M21" s="230" t="inlineStr">
        <is>
          <t>Yes</t>
        </is>
      </c>
      <c r="N21" s="230" t="inlineStr">
        <is>
          <t>Yes</t>
        </is>
      </c>
      <c r="O21" s="230" t="inlineStr">
        <is>
          <t>Yes</t>
        </is>
      </c>
    </row>
    <row r="22">
      <c r="B22" s="230" t="inlineStr">
        <is>
          <t>Roster A       Civil T1</t>
        </is>
      </c>
    </row>
    <row r="23">
      <c r="B23" s="230" t="inlineStr">
        <is>
          <t>Carradene</t>
        </is>
      </c>
      <c r="C23" s="230" t="inlineStr">
        <is>
          <t>Boyer</t>
        </is>
      </c>
      <c r="D23" s="230" t="inlineStr">
        <is>
          <t>Civil Supervisor</t>
        </is>
      </c>
      <c r="E23" s="230" t="n">
        <v>623467</v>
      </c>
      <c r="F23" s="230" t="n">
        <v>263407</v>
      </c>
      <c r="G23" s="230" t="inlineStr">
        <is>
          <t>Yes</t>
        </is>
      </c>
      <c r="H23" s="230" t="inlineStr">
        <is>
          <t>Yes</t>
        </is>
      </c>
      <c r="I23" s="230" t="inlineStr">
        <is>
          <t>Yes</t>
        </is>
      </c>
      <c r="J23" s="230" t="inlineStr">
        <is>
          <t>Yes</t>
        </is>
      </c>
      <c r="K23" s="230" t="inlineStr">
        <is>
          <t>Yes</t>
        </is>
      </c>
      <c r="L23" s="230" t="inlineStr">
        <is>
          <t>Yes</t>
        </is>
      </c>
      <c r="M23" s="230" t="inlineStr">
        <is>
          <t>Yes</t>
        </is>
      </c>
      <c r="N23" s="230" t="inlineStr">
        <is>
          <t>Yes</t>
        </is>
      </c>
      <c r="O23" s="230" t="inlineStr">
        <is>
          <t>Yes</t>
        </is>
      </c>
    </row>
    <row r="24">
      <c r="B24" s="230" t="inlineStr">
        <is>
          <t>Duke</t>
        </is>
      </c>
      <c r="C24" s="230" t="inlineStr">
        <is>
          <t>Southby Osborne</t>
        </is>
      </c>
      <c r="D24" s="230" t="inlineStr">
        <is>
          <t>Operator - Excavator</t>
        </is>
      </c>
      <c r="E24" s="230" t="n">
        <v>860792</v>
      </c>
      <c r="F24" s="230" t="n">
        <v>465241</v>
      </c>
      <c r="G24" s="230" t="inlineStr">
        <is>
          <t>Yes</t>
        </is>
      </c>
      <c r="H24" s="230" t="inlineStr">
        <is>
          <t>Yes</t>
        </is>
      </c>
      <c r="I24" s="230" t="inlineStr">
        <is>
          <t>Yes</t>
        </is>
      </c>
      <c r="J24" s="230" t="inlineStr">
        <is>
          <t>Yes</t>
        </is>
      </c>
      <c r="K24" s="230" t="inlineStr">
        <is>
          <t>Yes</t>
        </is>
      </c>
      <c r="L24" s="230" t="inlineStr">
        <is>
          <t>Yes</t>
        </is>
      </c>
      <c r="M24" s="230" t="inlineStr">
        <is>
          <t>Yes</t>
        </is>
      </c>
      <c r="N24" s="230" t="inlineStr">
        <is>
          <t>Yes</t>
        </is>
      </c>
      <c r="O24" s="230" t="inlineStr">
        <is>
          <t>Yes</t>
        </is>
      </c>
    </row>
    <row r="25">
      <c r="B25" s="230" t="inlineStr">
        <is>
          <t>Tyler</t>
        </is>
      </c>
      <c r="C25" s="230" t="inlineStr">
        <is>
          <t>Jorgensen</t>
        </is>
      </c>
      <c r="D25" s="230" t="inlineStr">
        <is>
          <t>Operator 1</t>
        </is>
      </c>
      <c r="E25" s="230" t="n">
        <v>795539</v>
      </c>
      <c r="F25" s="230" t="n">
        <v>418684</v>
      </c>
      <c r="G25" s="230" t="inlineStr">
        <is>
          <t>Yes</t>
        </is>
      </c>
      <c r="H25" s="230" t="inlineStr">
        <is>
          <t>Yes</t>
        </is>
      </c>
      <c r="I25" s="230" t="inlineStr">
        <is>
          <t>Yes</t>
        </is>
      </c>
      <c r="J25" s="230" t="inlineStr">
        <is>
          <t>Yes</t>
        </is>
      </c>
      <c r="K25" s="230" t="inlineStr">
        <is>
          <t>Yes</t>
        </is>
      </c>
      <c r="L25" s="230" t="inlineStr">
        <is>
          <t>N/A</t>
        </is>
      </c>
      <c r="M25" s="230" t="inlineStr">
        <is>
          <t>Yes</t>
        </is>
      </c>
      <c r="N25" s="230" t="inlineStr">
        <is>
          <t>Yes</t>
        </is>
      </c>
      <c r="O25" s="230" t="inlineStr">
        <is>
          <t>Yes</t>
        </is>
      </c>
    </row>
    <row r="26">
      <c r="B26" s="230" t="inlineStr">
        <is>
          <t>Christian</t>
        </is>
      </c>
      <c r="C26" s="230" t="inlineStr">
        <is>
          <t>Vujnovich</t>
        </is>
      </c>
      <c r="D26" s="230" t="inlineStr">
        <is>
          <t>Labourer</t>
        </is>
      </c>
      <c r="E26" s="230" t="n">
        <v>810362</v>
      </c>
      <c r="F26" s="230" t="n">
        <v>429360</v>
      </c>
      <c r="G26" s="230" t="inlineStr">
        <is>
          <t>Yes</t>
        </is>
      </c>
      <c r="H26" s="230" t="inlineStr">
        <is>
          <t>Yes</t>
        </is>
      </c>
      <c r="I26" s="230" t="inlineStr">
        <is>
          <t>Yes</t>
        </is>
      </c>
      <c r="J26" s="230" t="inlineStr">
        <is>
          <t>Yes</t>
        </is>
      </c>
      <c r="K26" s="230" t="inlineStr">
        <is>
          <t>Yes</t>
        </is>
      </c>
      <c r="L26" s="230" t="inlineStr">
        <is>
          <t>N/A</t>
        </is>
      </c>
      <c r="M26" s="230" t="inlineStr">
        <is>
          <t>Yes</t>
        </is>
      </c>
      <c r="N26" s="230" t="inlineStr">
        <is>
          <t>Yes</t>
        </is>
      </c>
      <c r="O26" s="230" t="inlineStr">
        <is>
          <t>Yes</t>
        </is>
      </c>
    </row>
    <row r="27">
      <c r="B27" s="230" t="inlineStr">
        <is>
          <t>Michael</t>
        </is>
      </c>
      <c r="C27" s="230" t="inlineStr">
        <is>
          <t>Duffy</t>
        </is>
      </c>
      <c r="D27" s="230" t="inlineStr">
        <is>
          <t>Operator 1</t>
        </is>
      </c>
      <c r="E27" s="230" t="n">
        <v>835223</v>
      </c>
      <c r="F27" s="230" t="n">
        <v>447250</v>
      </c>
      <c r="G27" s="230" t="inlineStr">
        <is>
          <t>Yes</t>
        </is>
      </c>
      <c r="H27" s="230" t="inlineStr">
        <is>
          <t>Yes</t>
        </is>
      </c>
      <c r="I27" s="230" t="inlineStr">
        <is>
          <t>Yes</t>
        </is>
      </c>
      <c r="J27" s="230" t="inlineStr">
        <is>
          <t>Yes</t>
        </is>
      </c>
      <c r="K27" s="230" t="inlineStr">
        <is>
          <t>Yes</t>
        </is>
      </c>
      <c r="L27" s="230" t="inlineStr">
        <is>
          <t>N/A</t>
        </is>
      </c>
      <c r="M27" s="230" t="inlineStr">
        <is>
          <t>Yes</t>
        </is>
      </c>
      <c r="N27" s="230" t="inlineStr">
        <is>
          <t>Yes</t>
        </is>
      </c>
      <c r="O27" s="230" t="inlineStr">
        <is>
          <t>Yes</t>
        </is>
      </c>
    </row>
    <row r="28">
      <c r="B28" s="230" t="inlineStr">
        <is>
          <t>William</t>
        </is>
      </c>
      <c r="C28" s="230" t="inlineStr">
        <is>
          <t>Bolger</t>
        </is>
      </c>
      <c r="D28" s="230" t="inlineStr">
        <is>
          <t>Trade Assistant</t>
        </is>
      </c>
      <c r="E28" s="230" t="n">
        <v>857042</v>
      </c>
      <c r="F28" s="230" t="n">
        <v>462557</v>
      </c>
      <c r="G28" s="230" t="inlineStr">
        <is>
          <t>Yes</t>
        </is>
      </c>
      <c r="H28" s="230" t="inlineStr">
        <is>
          <t>Yes</t>
        </is>
      </c>
      <c r="I28" s="230" t="inlineStr">
        <is>
          <t>Yes</t>
        </is>
      </c>
      <c r="J28" s="230" t="inlineStr">
        <is>
          <t>Yes</t>
        </is>
      </c>
      <c r="K28" s="230" t="inlineStr">
        <is>
          <t>Yes</t>
        </is>
      </c>
      <c r="L28" s="230" t="inlineStr">
        <is>
          <t>Yes</t>
        </is>
      </c>
      <c r="M28" s="230" t="inlineStr">
        <is>
          <t>Yes</t>
        </is>
      </c>
      <c r="N28" s="230" t="inlineStr">
        <is>
          <t>Yes</t>
        </is>
      </c>
      <c r="O28" s="230" t="inlineStr">
        <is>
          <t>Yes</t>
        </is>
      </c>
    </row>
    <row r="29">
      <c r="B29" s="230" t="inlineStr">
        <is>
          <t>Roster A       Civil T2</t>
        </is>
      </c>
    </row>
    <row r="30">
      <c r="B30" s="230" t="inlineStr">
        <is>
          <t>Andrew</t>
        </is>
      </c>
      <c r="C30" s="230" t="inlineStr">
        <is>
          <t>Burger</t>
        </is>
      </c>
      <c r="D30" s="230" t="inlineStr">
        <is>
          <t>Civil Supervisor</t>
        </is>
      </c>
      <c r="E30" s="230" t="n">
        <v>623467</v>
      </c>
      <c r="F30" s="230" t="n">
        <v>263407</v>
      </c>
      <c r="G30" s="230" t="inlineStr">
        <is>
          <t>Yes</t>
        </is>
      </c>
      <c r="H30" s="230" t="inlineStr">
        <is>
          <t>Yes</t>
        </is>
      </c>
      <c r="I30" s="230" t="inlineStr">
        <is>
          <t>Yes</t>
        </is>
      </c>
      <c r="J30" s="230" t="inlineStr">
        <is>
          <t>Yes</t>
        </is>
      </c>
      <c r="K30" s="230" t="inlineStr">
        <is>
          <t>Yes</t>
        </is>
      </c>
      <c r="L30" s="230" t="inlineStr">
        <is>
          <t>Yes</t>
        </is>
      </c>
      <c r="M30" s="230" t="inlineStr">
        <is>
          <t>Yes</t>
        </is>
      </c>
      <c r="N30" s="230" t="inlineStr">
        <is>
          <t>Yes</t>
        </is>
      </c>
      <c r="O30" s="230" t="inlineStr">
        <is>
          <t>Yes</t>
        </is>
      </c>
    </row>
    <row r="31">
      <c r="B31" s="230" t="inlineStr">
        <is>
          <t>Cayde</t>
        </is>
      </c>
      <c r="C31" s="230" t="inlineStr">
        <is>
          <t>Summerfield</t>
        </is>
      </c>
      <c r="D31" s="230" t="inlineStr">
        <is>
          <t>Plant Operator 1</t>
        </is>
      </c>
      <c r="E31" s="230" t="n">
        <v>795539</v>
      </c>
      <c r="F31" s="230" t="n">
        <v>418684</v>
      </c>
      <c r="G31" s="230" t="inlineStr">
        <is>
          <t>Yes</t>
        </is>
      </c>
      <c r="H31" s="230" t="inlineStr">
        <is>
          <t>Yes</t>
        </is>
      </c>
      <c r="I31" s="230" t="inlineStr">
        <is>
          <t>Yes</t>
        </is>
      </c>
      <c r="J31" s="230" t="inlineStr">
        <is>
          <t>Yes</t>
        </is>
      </c>
      <c r="K31" s="230" t="inlineStr">
        <is>
          <t>Yes</t>
        </is>
      </c>
      <c r="L31" s="230" t="inlineStr">
        <is>
          <t>Yes</t>
        </is>
      </c>
      <c r="M31" s="230" t="inlineStr">
        <is>
          <t>Yes</t>
        </is>
      </c>
      <c r="N31" s="230" t="inlineStr">
        <is>
          <t>Yes</t>
        </is>
      </c>
      <c r="O31" s="230" t="inlineStr">
        <is>
          <t>Yes</t>
        </is>
      </c>
    </row>
    <row r="32">
      <c r="B32" s="230" t="inlineStr">
        <is>
          <t>Aaron</t>
        </is>
      </c>
      <c r="C32" s="230" t="inlineStr">
        <is>
          <t>Gilroy</t>
        </is>
      </c>
      <c r="D32" s="229" t="inlineStr">
        <is>
          <t>Excavator Operator 2   BACK UP</t>
        </is>
      </c>
      <c r="E32" s="230" t="n">
        <v>862973</v>
      </c>
      <c r="F32" s="230" t="n">
        <v>465167</v>
      </c>
      <c r="G32" s="230" t="inlineStr">
        <is>
          <t>Yes</t>
        </is>
      </c>
      <c r="H32" s="230" t="inlineStr">
        <is>
          <t>Yes</t>
        </is>
      </c>
      <c r="I32" s="230" t="inlineStr">
        <is>
          <t>Yes</t>
        </is>
      </c>
      <c r="J32" s="230" t="inlineStr">
        <is>
          <t>Yes</t>
        </is>
      </c>
      <c r="K32" s="230" t="inlineStr">
        <is>
          <t>Yes</t>
        </is>
      </c>
      <c r="L32" s="230" t="inlineStr">
        <is>
          <t>Yes</t>
        </is>
      </c>
      <c r="M32" s="230" t="inlineStr">
        <is>
          <t>Yes</t>
        </is>
      </c>
      <c r="N32" s="230" t="inlineStr">
        <is>
          <t>Yes</t>
        </is>
      </c>
      <c r="O32" s="230" t="inlineStr">
        <is>
          <t>Yes</t>
        </is>
      </c>
    </row>
    <row r="33">
      <c r="B33" s="230" t="inlineStr">
        <is>
          <t>Joshua</t>
        </is>
      </c>
      <c r="C33" s="230" t="inlineStr">
        <is>
          <t>Poole</t>
        </is>
      </c>
      <c r="D33" s="230" t="inlineStr">
        <is>
          <t>Plant Operator3</t>
        </is>
      </c>
      <c r="E33" s="230" t="n">
        <v>857042</v>
      </c>
      <c r="F33" s="230" t="n">
        <v>462557</v>
      </c>
      <c r="G33" s="230" t="inlineStr">
        <is>
          <t>Yes</t>
        </is>
      </c>
      <c r="H33" s="230" t="inlineStr">
        <is>
          <t>Yes</t>
        </is>
      </c>
      <c r="I33" s="230" t="inlineStr">
        <is>
          <t>Yes</t>
        </is>
      </c>
      <c r="J33" s="230" t="inlineStr">
        <is>
          <t>Yes</t>
        </is>
      </c>
      <c r="K33" s="230" t="inlineStr">
        <is>
          <t>Yes</t>
        </is>
      </c>
      <c r="L33" s="230" t="inlineStr">
        <is>
          <t>Yes</t>
        </is>
      </c>
      <c r="M33" s="230" t="inlineStr">
        <is>
          <t>Yes</t>
        </is>
      </c>
      <c r="N33" s="230" t="inlineStr">
        <is>
          <t>Yes</t>
        </is>
      </c>
      <c r="O33" s="230" t="inlineStr">
        <is>
          <t>Yes</t>
        </is>
      </c>
    </row>
    <row r="34">
      <c r="B34" s="230" t="inlineStr">
        <is>
          <t>Mitchell</t>
        </is>
      </c>
      <c r="C34" s="230" t="inlineStr">
        <is>
          <t>Hardcastle</t>
        </is>
      </c>
      <c r="D34" s="230" t="inlineStr">
        <is>
          <t>TPO 4</t>
        </is>
      </c>
      <c r="E34" s="230" t="n">
        <v>523484</v>
      </c>
      <c r="F34" s="230" t="n">
        <v>261414</v>
      </c>
      <c r="G34" s="230" t="inlineStr">
        <is>
          <t>Yes</t>
        </is>
      </c>
      <c r="H34" s="230" t="inlineStr">
        <is>
          <t>Yes</t>
        </is>
      </c>
      <c r="I34" s="230" t="inlineStr">
        <is>
          <t>Yes</t>
        </is>
      </c>
      <c r="J34" s="230" t="inlineStr">
        <is>
          <t>Yes</t>
        </is>
      </c>
      <c r="K34" s="230" t="inlineStr">
        <is>
          <t>Yes</t>
        </is>
      </c>
      <c r="L34" s="230" t="inlineStr">
        <is>
          <t>Yes</t>
        </is>
      </c>
      <c r="M34" s="230" t="inlineStr">
        <is>
          <t>Yes</t>
        </is>
      </c>
      <c r="N34" s="230" t="inlineStr">
        <is>
          <t>Yes</t>
        </is>
      </c>
      <c r="O34" s="230" t="inlineStr">
        <is>
          <t>Yes</t>
        </is>
      </c>
    </row>
    <row r="35">
      <c r="B35" s="230" t="inlineStr">
        <is>
          <t>Roster A       Civil T2</t>
        </is>
      </c>
    </row>
    <row r="36">
      <c r="B36" s="230" t="inlineStr">
        <is>
          <t>David</t>
        </is>
      </c>
      <c r="C36" s="230" t="inlineStr">
        <is>
          <t>McGowan</t>
        </is>
      </c>
      <c r="D36" s="230" t="inlineStr">
        <is>
          <t>Information Sytem Tech</t>
        </is>
      </c>
      <c r="E36" s="230" t="n">
        <v>244197</v>
      </c>
      <c r="F36" s="230" t="n">
        <v>10789</v>
      </c>
      <c r="G36" s="230" t="inlineStr">
        <is>
          <t>Yes</t>
        </is>
      </c>
      <c r="H36" s="230" t="inlineStr">
        <is>
          <t>Yes</t>
        </is>
      </c>
      <c r="I36" s="230" t="inlineStr">
        <is>
          <t>Yes</t>
        </is>
      </c>
      <c r="J36" s="230" t="inlineStr">
        <is>
          <t>Yes</t>
        </is>
      </c>
      <c r="K36" s="230" t="inlineStr">
        <is>
          <t>Yes</t>
        </is>
      </c>
      <c r="L36" s="230" t="inlineStr">
        <is>
          <t>Yes</t>
        </is>
      </c>
      <c r="M36" s="230" t="inlineStr">
        <is>
          <t>Yes</t>
        </is>
      </c>
      <c r="N36" s="230" t="inlineStr">
        <is>
          <t>Yes</t>
        </is>
      </c>
      <c r="O36" s="230" t="inlineStr">
        <is>
          <t>Yes</t>
        </is>
      </c>
    </row>
    <row r="37">
      <c r="B37" s="230" t="inlineStr">
        <is>
          <t>Danny</t>
        </is>
      </c>
      <c r="C37" s="230" t="inlineStr">
        <is>
          <t>McGowan</t>
        </is>
      </c>
      <c r="D37" s="230" t="inlineStr">
        <is>
          <t>Information Sytem Tech</t>
        </is>
      </c>
      <c r="E37" s="230" t="n">
        <v>244196</v>
      </c>
      <c r="F37" s="230" t="n">
        <v>10788</v>
      </c>
      <c r="G37" s="230" t="inlineStr">
        <is>
          <t>Yes</t>
        </is>
      </c>
      <c r="H37" s="230" t="inlineStr">
        <is>
          <t>Yes</t>
        </is>
      </c>
      <c r="I37" s="230" t="inlineStr">
        <is>
          <t>Yes</t>
        </is>
      </c>
      <c r="J37" s="230" t="inlineStr">
        <is>
          <t>Yes</t>
        </is>
      </c>
      <c r="K37" s="230" t="inlineStr">
        <is>
          <t>Yes</t>
        </is>
      </c>
      <c r="L37" s="230" t="inlineStr">
        <is>
          <t>Yes</t>
        </is>
      </c>
      <c r="M37" s="230" t="inlineStr">
        <is>
          <t>Yes</t>
        </is>
      </c>
      <c r="N37" s="230" t="inlineStr">
        <is>
          <t>Yes</t>
        </is>
      </c>
      <c r="O37" s="230" t="inlineStr">
        <is>
          <t>Yes</t>
        </is>
      </c>
    </row>
    <row r="38">
      <c r="B38" s="230" t="inlineStr">
        <is>
          <t>TPO</t>
        </is>
      </c>
    </row>
    <row r="39">
      <c r="B39" s="230" t="inlineStr">
        <is>
          <t>Brian</t>
        </is>
      </c>
      <c r="C39" s="230" t="inlineStr">
        <is>
          <t>Bloomfield</t>
        </is>
      </c>
      <c r="D39" s="230" t="inlineStr">
        <is>
          <t>TPO1</t>
        </is>
      </c>
      <c r="E39" s="230" t="n">
        <v>270294</v>
      </c>
      <c r="F39" s="230" t="n">
        <v>62354</v>
      </c>
      <c r="G39" s="230" t="inlineStr">
        <is>
          <t>Yes</t>
        </is>
      </c>
      <c r="H39" s="230" t="inlineStr">
        <is>
          <t>Yes</t>
        </is>
      </c>
      <c r="I39" s="230" t="inlineStr">
        <is>
          <t>Yes</t>
        </is>
      </c>
      <c r="J39" s="230" t="inlineStr">
        <is>
          <t>Yes</t>
        </is>
      </c>
      <c r="K39" s="230" t="inlineStr">
        <is>
          <t>Yes</t>
        </is>
      </c>
      <c r="L39" s="230" t="inlineStr">
        <is>
          <t>Yes</t>
        </is>
      </c>
      <c r="M39" s="230" t="inlineStr">
        <is>
          <t>Yes</t>
        </is>
      </c>
      <c r="N39" s="230" t="inlineStr">
        <is>
          <t>Yes</t>
        </is>
      </c>
      <c r="O39" s="230" t="inlineStr">
        <is>
          <t>Yes</t>
        </is>
      </c>
    </row>
    <row r="40">
      <c r="B40" s="230" t="inlineStr">
        <is>
          <t>Leanda</t>
        </is>
      </c>
      <c r="C40" s="230" t="inlineStr">
        <is>
          <t>Harding</t>
        </is>
      </c>
      <c r="D40" s="230" t="inlineStr">
        <is>
          <t>TPO1</t>
        </is>
      </c>
      <c r="F40" s="230" t="n">
        <v>377230</v>
      </c>
      <c r="G40" s="230" t="inlineStr">
        <is>
          <t>Yes</t>
        </is>
      </c>
      <c r="H40" s="230" t="inlineStr">
        <is>
          <t>Yes</t>
        </is>
      </c>
      <c r="I40" s="230" t="inlineStr">
        <is>
          <t>Yes</t>
        </is>
      </c>
      <c r="J40" s="230" t="inlineStr">
        <is>
          <t>Yes</t>
        </is>
      </c>
      <c r="K40" s="230" t="inlineStr">
        <is>
          <t>Yes</t>
        </is>
      </c>
      <c r="L40" s="230" t="inlineStr">
        <is>
          <t>Yes</t>
        </is>
      </c>
      <c r="M40" s="230" t="inlineStr">
        <is>
          <t>Yes</t>
        </is>
      </c>
      <c r="N40" s="230" t="inlineStr">
        <is>
          <t>Yes</t>
        </is>
      </c>
      <c r="O40" s="230" t="inlineStr">
        <is>
          <t>Yes</t>
        </is>
      </c>
    </row>
    <row r="41">
      <c r="B41" s="230" t="inlineStr">
        <is>
          <t>Wayne</t>
        </is>
      </c>
      <c r="C41" s="230" t="inlineStr">
        <is>
          <t>Van Heythuysen</t>
        </is>
      </c>
      <c r="D41" s="230" t="inlineStr">
        <is>
          <t>TPO 2</t>
        </is>
      </c>
      <c r="E41" s="230" t="n">
        <v>683053</v>
      </c>
      <c r="F41" s="230" t="n">
        <v>260766</v>
      </c>
      <c r="G41" s="230" t="inlineStr">
        <is>
          <t>Yes</t>
        </is>
      </c>
      <c r="H41" s="230" t="inlineStr">
        <is>
          <t>Yes</t>
        </is>
      </c>
      <c r="I41" s="230" t="inlineStr">
        <is>
          <t>Yes</t>
        </is>
      </c>
      <c r="J41" s="230" t="inlineStr">
        <is>
          <t>Yes</t>
        </is>
      </c>
      <c r="K41" s="230" t="inlineStr">
        <is>
          <t>Yes</t>
        </is>
      </c>
      <c r="L41" s="230" t="inlineStr">
        <is>
          <t>Yes</t>
        </is>
      </c>
      <c r="M41" s="230" t="inlineStr">
        <is>
          <t>Yes</t>
        </is>
      </c>
      <c r="N41" s="230" t="inlineStr">
        <is>
          <t>Yes</t>
        </is>
      </c>
      <c r="O41" s="230" t="inlineStr">
        <is>
          <t>Yes</t>
        </is>
      </c>
    </row>
    <row r="42">
      <c r="B42" s="230" t="inlineStr">
        <is>
          <t>Richard</t>
        </is>
      </c>
      <c r="C42" s="230" t="inlineStr">
        <is>
          <t>Collin</t>
        </is>
      </c>
      <c r="D42" s="230" t="inlineStr">
        <is>
          <t>TPO</t>
        </is>
      </c>
      <c r="E42" s="230" t="n">
        <v>728530</v>
      </c>
      <c r="F42" s="230" t="n">
        <v>373898</v>
      </c>
      <c r="G42" s="230" t="inlineStr">
        <is>
          <t>Yes</t>
        </is>
      </c>
      <c r="H42" s="230" t="inlineStr">
        <is>
          <t>Yes</t>
        </is>
      </c>
      <c r="I42" s="230" t="inlineStr">
        <is>
          <t>Yes</t>
        </is>
      </c>
      <c r="J42" s="230" t="inlineStr">
        <is>
          <t>Yes</t>
        </is>
      </c>
      <c r="K42" s="230" t="inlineStr">
        <is>
          <t>Yes</t>
        </is>
      </c>
      <c r="L42" s="230" t="inlineStr">
        <is>
          <t>Yes</t>
        </is>
      </c>
      <c r="M42" s="230" t="inlineStr">
        <is>
          <t>Yes</t>
        </is>
      </c>
      <c r="N42" s="230" t="inlineStr">
        <is>
          <t>Yes</t>
        </is>
      </c>
      <c r="O42" s="230" t="inlineStr">
        <is>
          <t>Yes</t>
        </is>
      </c>
    </row>
    <row r="43">
      <c r="B43" s="230" t="inlineStr">
        <is>
          <t>Mitchell</t>
        </is>
      </c>
      <c r="C43" s="230" t="inlineStr">
        <is>
          <t>Hardcastle</t>
        </is>
      </c>
      <c r="D43" s="230" t="inlineStr">
        <is>
          <t>TPO 4</t>
        </is>
      </c>
      <c r="E43" s="230" t="n">
        <v>523484</v>
      </c>
      <c r="F43" s="230" t="n">
        <v>261414</v>
      </c>
      <c r="G43" s="230" t="inlineStr">
        <is>
          <t>Yes</t>
        </is>
      </c>
      <c r="H43" s="230" t="inlineStr">
        <is>
          <t>Yes</t>
        </is>
      </c>
      <c r="I43" s="230" t="inlineStr">
        <is>
          <t>Yes</t>
        </is>
      </c>
      <c r="J43" s="230" t="inlineStr">
        <is>
          <t>Yes</t>
        </is>
      </c>
      <c r="K43" s="230" t="inlineStr">
        <is>
          <t>Yes</t>
        </is>
      </c>
      <c r="L43" s="230" t="inlineStr">
        <is>
          <t>Yes</t>
        </is>
      </c>
      <c r="M43" s="230" t="inlineStr">
        <is>
          <t>Yes</t>
        </is>
      </c>
      <c r="N43" s="230" t="inlineStr">
        <is>
          <t>Yes</t>
        </is>
      </c>
      <c r="O43" s="230" t="inlineStr">
        <is>
          <t>Yes</t>
        </is>
      </c>
    </row>
    <row r="44">
      <c r="B44" s="230" t="inlineStr">
        <is>
          <t>David</t>
        </is>
      </c>
      <c r="C44" s="230" t="inlineStr">
        <is>
          <t>Keating</t>
        </is>
      </c>
      <c r="D44" s="229" t="inlineStr">
        <is>
          <t>TPO 3 (from 2nd swing Lisa Kamana)</t>
        </is>
      </c>
      <c r="E44" s="230" t="n">
        <v>243126</v>
      </c>
      <c r="F44" s="230" t="n">
        <v>7589</v>
      </c>
      <c r="G44" s="230" t="inlineStr">
        <is>
          <t>Yes</t>
        </is>
      </c>
      <c r="H44" s="230" t="inlineStr">
        <is>
          <t>Yes</t>
        </is>
      </c>
      <c r="I44" s="230" t="inlineStr">
        <is>
          <t>Yes</t>
        </is>
      </c>
      <c r="J44" s="230" t="inlineStr">
        <is>
          <t>Yes</t>
        </is>
      </c>
      <c r="K44" s="230" t="inlineStr">
        <is>
          <t>Yes</t>
        </is>
      </c>
      <c r="L44" s="230" t="inlineStr">
        <is>
          <t>Yes</t>
        </is>
      </c>
      <c r="M44" s="230" t="inlineStr">
        <is>
          <t>Yes</t>
        </is>
      </c>
      <c r="N44" s="230" t="inlineStr">
        <is>
          <t>Yes</t>
        </is>
      </c>
      <c r="O44" s="230" t="inlineStr">
        <is>
          <t>Yes</t>
        </is>
      </c>
    </row>
    <row r="45">
      <c r="B45" s="230" t="inlineStr">
        <is>
          <t>Madeline</t>
        </is>
      </c>
      <c r="C45" s="230" t="inlineStr">
        <is>
          <t>Alexander</t>
        </is>
      </c>
      <c r="D45" s="230" t="inlineStr">
        <is>
          <t>TPO</t>
        </is>
      </c>
      <c r="E45" s="230" t="n">
        <v>754930</v>
      </c>
      <c r="F45" s="230" t="n">
        <v>390001</v>
      </c>
      <c r="G45" s="230" t="inlineStr">
        <is>
          <t>Yes</t>
        </is>
      </c>
      <c r="H45" s="230" t="inlineStr">
        <is>
          <t>Yes</t>
        </is>
      </c>
      <c r="I45" s="230" t="inlineStr">
        <is>
          <t>Yes</t>
        </is>
      </c>
      <c r="J45" s="230" t="inlineStr">
        <is>
          <t>Yes</t>
        </is>
      </c>
      <c r="K45" s="230" t="inlineStr">
        <is>
          <t>Yes</t>
        </is>
      </c>
      <c r="L45" s="230" t="inlineStr">
        <is>
          <t>Yes</t>
        </is>
      </c>
      <c r="M45" s="230" t="inlineStr">
        <is>
          <t>Yes</t>
        </is>
      </c>
      <c r="N45" s="230" t="inlineStr">
        <is>
          <t>Yes</t>
        </is>
      </c>
      <c r="O45" s="230" t="inlineStr">
        <is>
          <t>Yes</t>
        </is>
      </c>
    </row>
    <row r="46">
      <c r="B46" s="230" t="inlineStr">
        <is>
          <t>Elizabeth</t>
        </is>
      </c>
      <c r="C46" s="230" t="inlineStr">
        <is>
          <t>Kamana</t>
        </is>
      </c>
      <c r="D46" s="230" t="inlineStr">
        <is>
          <t>TPO</t>
        </is>
      </c>
      <c r="E46" s="230" t="n">
        <v>728195</v>
      </c>
      <c r="F46" s="230" t="n">
        <v>373698</v>
      </c>
      <c r="G46" s="230" t="inlineStr">
        <is>
          <t>Yes</t>
        </is>
      </c>
      <c r="H46" s="230" t="inlineStr">
        <is>
          <t>Yes</t>
        </is>
      </c>
      <c r="I46" s="230" t="inlineStr">
        <is>
          <t>Yes</t>
        </is>
      </c>
      <c r="J46" s="230" t="inlineStr">
        <is>
          <t>Yes</t>
        </is>
      </c>
      <c r="K46" s="230" t="inlineStr">
        <is>
          <t>Yes</t>
        </is>
      </c>
      <c r="L46" s="230" t="inlineStr">
        <is>
          <t>Yes</t>
        </is>
      </c>
      <c r="M46" s="230" t="inlineStr">
        <is>
          <t>Yes</t>
        </is>
      </c>
      <c r="N46" s="230" t="inlineStr">
        <is>
          <t>Yes</t>
        </is>
      </c>
      <c r="O46" s="230" t="inlineStr">
        <is>
          <t>Yes</t>
        </is>
      </c>
    </row>
    <row r="47">
      <c r="B47" s="230" t="inlineStr">
        <is>
          <t>Tenille</t>
        </is>
      </c>
      <c r="C47" s="230" t="inlineStr">
        <is>
          <t>Lunaro</t>
        </is>
      </c>
      <c r="D47" s="230" t="inlineStr">
        <is>
          <t>TPO</t>
        </is>
      </c>
      <c r="E47" s="230" t="n">
        <v>838688</v>
      </c>
      <c r="F47" s="230" t="n">
        <v>449636</v>
      </c>
      <c r="G47" s="230" t="inlineStr">
        <is>
          <t>Yes</t>
        </is>
      </c>
      <c r="H47" s="230" t="inlineStr">
        <is>
          <t>Yes</t>
        </is>
      </c>
      <c r="I47" s="230" t="inlineStr">
        <is>
          <t>Yes</t>
        </is>
      </c>
      <c r="J47" s="230" t="inlineStr">
        <is>
          <t>Yes</t>
        </is>
      </c>
      <c r="K47" s="230" t="inlineStr">
        <is>
          <t>Yes</t>
        </is>
      </c>
      <c r="L47" s="230" t="inlineStr">
        <is>
          <t>N/A</t>
        </is>
      </c>
      <c r="M47" s="230" t="inlineStr">
        <is>
          <t>Yes</t>
        </is>
      </c>
      <c r="N47" s="230" t="inlineStr">
        <is>
          <t>Yes</t>
        </is>
      </c>
      <c r="O47" s="230" t="inlineStr">
        <is>
          <t>Yes</t>
        </is>
      </c>
    </row>
    <row r="48">
      <c r="B48" s="230" t="inlineStr">
        <is>
          <t>Bruce</t>
        </is>
      </c>
      <c r="C48" s="230" t="inlineStr">
        <is>
          <t>Lamb</t>
        </is>
      </c>
      <c r="D48" s="230" t="inlineStr">
        <is>
          <t>TPO</t>
        </is>
      </c>
      <c r="E48" s="230" t="n">
        <v>746831</v>
      </c>
      <c r="F48" s="230" t="n">
        <v>384912</v>
      </c>
      <c r="G48" s="230" t="inlineStr">
        <is>
          <t>Yes</t>
        </is>
      </c>
      <c r="H48" s="230" t="inlineStr">
        <is>
          <t>Yes</t>
        </is>
      </c>
      <c r="I48" s="230" t="inlineStr">
        <is>
          <t>Yes</t>
        </is>
      </c>
      <c r="J48" s="230" t="inlineStr">
        <is>
          <t>Yes</t>
        </is>
      </c>
      <c r="K48" s="230" t="inlineStr">
        <is>
          <t>Yes</t>
        </is>
      </c>
      <c r="L48" s="230" t="inlineStr">
        <is>
          <t>N/A</t>
        </is>
      </c>
      <c r="M48" s="230" t="inlineStr">
        <is>
          <t>Yes</t>
        </is>
      </c>
      <c r="N48" s="230" t="inlineStr">
        <is>
          <t>Yes</t>
        </is>
      </c>
      <c r="O48" s="230" t="inlineStr">
        <is>
          <t>Yes</t>
        </is>
      </c>
    </row>
    <row r="49">
      <c r="B49" s="230" t="inlineStr">
        <is>
          <t>Traffic Controllers</t>
        </is>
      </c>
    </row>
    <row r="50">
      <c r="B50" s="230" t="inlineStr">
        <is>
          <t>Holly</t>
        </is>
      </c>
      <c r="C50" s="230" t="inlineStr">
        <is>
          <t>Vick</t>
        </is>
      </c>
      <c r="D50" s="230" t="inlineStr">
        <is>
          <t>Traffic Controller</t>
        </is>
      </c>
      <c r="E50" s="230" t="n">
        <v>358855</v>
      </c>
      <c r="F50" s="230" t="n">
        <v>155435</v>
      </c>
      <c r="G50" s="230" t="inlineStr">
        <is>
          <t>Yes</t>
        </is>
      </c>
      <c r="H50" s="230" t="inlineStr">
        <is>
          <t>Yes</t>
        </is>
      </c>
      <c r="I50" s="230" t="inlineStr">
        <is>
          <t>N/A</t>
        </is>
      </c>
      <c r="J50" s="230" t="inlineStr">
        <is>
          <t>N/A</t>
        </is>
      </c>
      <c r="K50" s="230" t="inlineStr">
        <is>
          <t>Yes</t>
        </is>
      </c>
      <c r="L50" s="230" t="inlineStr">
        <is>
          <t>N/A</t>
        </is>
      </c>
      <c r="M50" s="230" t="inlineStr">
        <is>
          <t>Yes</t>
        </is>
      </c>
      <c r="N50" s="230" t="inlineStr">
        <is>
          <t>Yes</t>
        </is>
      </c>
      <c r="O50" s="230" t="inlineStr">
        <is>
          <t>Yes</t>
        </is>
      </c>
    </row>
    <row r="51">
      <c r="B51" s="230" t="inlineStr">
        <is>
          <t>Alaoise</t>
        </is>
      </c>
      <c r="C51" s="230" t="inlineStr">
        <is>
          <t>Mccarthy</t>
        </is>
      </c>
      <c r="D51" s="230" t="inlineStr">
        <is>
          <t>Traffic Controller</t>
        </is>
      </c>
      <c r="E51" s="230" t="n">
        <v>862658</v>
      </c>
      <c r="F51" s="230" t="n">
        <v>466505</v>
      </c>
      <c r="G51" s="230" t="inlineStr">
        <is>
          <t>Yes</t>
        </is>
      </c>
      <c r="H51" s="230" t="inlineStr">
        <is>
          <t>Yes</t>
        </is>
      </c>
      <c r="I51" s="230" t="inlineStr">
        <is>
          <t>N/A</t>
        </is>
      </c>
      <c r="J51" s="230" t="inlineStr">
        <is>
          <t>N/A</t>
        </is>
      </c>
      <c r="K51" s="230" t="inlineStr">
        <is>
          <t>Yes</t>
        </is>
      </c>
      <c r="L51" s="230" t="inlineStr">
        <is>
          <t>N/A</t>
        </is>
      </c>
      <c r="M51" s="230" t="inlineStr">
        <is>
          <t>Yes</t>
        </is>
      </c>
      <c r="N51" s="230" t="inlineStr">
        <is>
          <t>Yes</t>
        </is>
      </c>
      <c r="O51" s="230" t="inlineStr">
        <is>
          <t>Yes</t>
        </is>
      </c>
    </row>
    <row r="52">
      <c r="B52" s="230" t="inlineStr">
        <is>
          <t>Roisin</t>
        </is>
      </c>
      <c r="C52" s="230" t="inlineStr">
        <is>
          <t>Coleman</t>
        </is>
      </c>
      <c r="D52" s="230" t="inlineStr">
        <is>
          <t>Traffic Controller</t>
        </is>
      </c>
      <c r="E52" s="230" t="n">
        <v>837431</v>
      </c>
      <c r="F52" s="230" t="n">
        <v>448774</v>
      </c>
      <c r="G52" s="230" t="inlineStr">
        <is>
          <t>Yes</t>
        </is>
      </c>
      <c r="H52" s="230" t="inlineStr">
        <is>
          <t>Yes</t>
        </is>
      </c>
      <c r="I52" s="230" t="inlineStr">
        <is>
          <t>N/A</t>
        </is>
      </c>
      <c r="J52" s="230" t="inlineStr">
        <is>
          <t>N/A</t>
        </is>
      </c>
      <c r="K52" s="230" t="inlineStr">
        <is>
          <t>Yes</t>
        </is>
      </c>
      <c r="L52" s="230" t="inlineStr">
        <is>
          <t>N/A</t>
        </is>
      </c>
      <c r="M52" s="230" t="inlineStr">
        <is>
          <t>Yes</t>
        </is>
      </c>
      <c r="N52" s="230" t="inlineStr">
        <is>
          <t>N/A</t>
        </is>
      </c>
      <c r="O52" s="230" t="inlineStr">
        <is>
          <t>N/A</t>
        </is>
      </c>
    </row>
    <row r="53">
      <c r="B53" s="230" t="inlineStr">
        <is>
          <t>Misc</t>
        </is>
      </c>
    </row>
    <row r="54">
      <c r="B54" s="230" t="inlineStr">
        <is>
          <t>Stephen</t>
        </is>
      </c>
      <c r="C54" s="230" t="inlineStr">
        <is>
          <t>Murgia</t>
        </is>
      </c>
      <c r="D54" s="230" t="inlineStr">
        <is>
          <t>Surveyor</t>
        </is>
      </c>
      <c r="E54" s="230" t="n">
        <v>715100</v>
      </c>
      <c r="F54" s="230" t="n">
        <v>365699</v>
      </c>
      <c r="G54" s="230" t="inlineStr">
        <is>
          <t>Yes</t>
        </is>
      </c>
      <c r="H54" s="230" t="inlineStr">
        <is>
          <t>Yes</t>
        </is>
      </c>
      <c r="I54" s="230" t="inlineStr">
        <is>
          <t>N/A</t>
        </is>
      </c>
      <c r="J54" s="230" t="inlineStr">
        <is>
          <t>N/A</t>
        </is>
      </c>
      <c r="K54" s="230" t="inlineStr">
        <is>
          <t>Yes</t>
        </is>
      </c>
      <c r="L54" s="230" t="inlineStr">
        <is>
          <t>N/A</t>
        </is>
      </c>
      <c r="M54" s="230" t="inlineStr">
        <is>
          <t>Yes</t>
        </is>
      </c>
      <c r="N54" s="230" t="inlineStr">
        <is>
          <t>Yes</t>
        </is>
      </c>
      <c r="O54" s="230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F7F7F"/>
    <outlinePr summaryBelow="1" summaryRight="1"/>
    <pageSetUpPr/>
  </sheetPr>
  <dimension ref="A2:L31"/>
  <sheetViews>
    <sheetView tabSelected="0" workbookViewId="0">
      <selection activeCell="A1" sqref="A1"/>
    </sheetView>
  </sheetViews>
  <sheetFormatPr baseColWidth="8" defaultRowHeight="15"/>
  <cols>
    <col width="2" customWidth="1" style="53" min="1" max="1"/>
    <col width="26" customWidth="1" style="53" min="2" max="2"/>
    <col width="26" customWidth="1" style="53" min="3" max="3"/>
    <col width="26" customWidth="1" style="53" min="4" max="4"/>
    <col width="26" customWidth="1" style="53" min="5" max="5"/>
    <col width="26" customWidth="1" style="53" min="6" max="6"/>
    <col width="26" customWidth="1" style="53" min="7" max="7"/>
    <col width="26" customWidth="1" style="53" min="8" max="8"/>
    <col width="26" customWidth="1" style="53" min="9" max="9"/>
    <col width="26" customWidth="1" style="53" min="10" max="10"/>
    <col width="26" customWidth="1" style="53" min="11" max="11"/>
    <col width="26" customWidth="1" style="53" min="12" max="12"/>
  </cols>
  <sheetData>
    <row r="2">
      <c r="B2" s="229" t="inlineStr">
        <is>
          <t>Mandatory Qualifications for ERMS submission</t>
        </is>
      </c>
    </row>
    <row r="4">
      <c r="B4" s="230" t="inlineStr">
        <is>
          <t>PROJECT ROLES</t>
        </is>
      </c>
    </row>
    <row r="6">
      <c r="B6" s="19" t="inlineStr">
        <is>
          <t>Health &amp; Safety Advisor</t>
        </is>
      </c>
      <c r="C6" s="19" t="inlineStr">
        <is>
          <t>Construction Manager</t>
        </is>
      </c>
      <c r="D6" s="19" t="inlineStr">
        <is>
          <t>Engineer</t>
        </is>
      </c>
      <c r="E6" s="19" t="inlineStr">
        <is>
          <t>Information Systems Technician</t>
        </is>
      </c>
      <c r="F6" s="19" t="inlineStr">
        <is>
          <t>Signal Technician (Electrical) (Cert IV)</t>
        </is>
      </c>
      <c r="G6" s="19" t="inlineStr">
        <is>
          <t>Electrician</t>
        </is>
      </c>
      <c r="H6" s="19" t="inlineStr">
        <is>
          <t>Operator (Civil)</t>
        </is>
      </c>
      <c r="I6" s="19" t="inlineStr">
        <is>
          <t>Spotter (TPO)</t>
        </is>
      </c>
      <c r="J6" s="19" t="inlineStr">
        <is>
          <t>Supervisor Electrical - Non-Statutory - WHS</t>
        </is>
      </c>
      <c r="K6" s="19" t="inlineStr">
        <is>
          <t>Supervisor Civil  (Non-Statutory) - WHS</t>
        </is>
      </c>
      <c r="L6" s="19" t="inlineStr">
        <is>
          <t>Labourer</t>
        </is>
      </c>
    </row>
    <row r="7">
      <c r="B7" s="230" t="inlineStr">
        <is>
          <t>BHP Photo ID</t>
        </is>
      </c>
      <c r="C7" s="230" t="inlineStr">
        <is>
          <t>BHP Photo ID</t>
        </is>
      </c>
      <c r="D7" s="230" t="inlineStr">
        <is>
          <t>BHP Photo ID</t>
        </is>
      </c>
      <c r="E7" s="230" t="inlineStr">
        <is>
          <t>BHP Photo ID</t>
        </is>
      </c>
      <c r="F7" s="230" t="inlineStr">
        <is>
          <t>BHP Photo ID</t>
        </is>
      </c>
      <c r="G7" s="230" t="inlineStr">
        <is>
          <t>BHP Photo ID</t>
        </is>
      </c>
      <c r="H7" s="230" t="inlineStr">
        <is>
          <t>BHP Photo ID</t>
        </is>
      </c>
      <c r="I7" s="230" t="inlineStr">
        <is>
          <t>BHP Photo ID</t>
        </is>
      </c>
      <c r="J7" s="230" t="inlineStr">
        <is>
          <t>BHP Photo ID</t>
        </is>
      </c>
      <c r="K7" s="230" t="inlineStr">
        <is>
          <t>BHP Photo ID</t>
        </is>
      </c>
      <c r="L7" s="230" t="inlineStr">
        <is>
          <t>BHP Photo ID</t>
        </is>
      </c>
    </row>
    <row r="8">
      <c r="B8" s="229" t="inlineStr">
        <is>
          <t>CERT IV Health and Safety</t>
        </is>
      </c>
      <c r="C8" s="230" t="inlineStr">
        <is>
          <t>Construction White Card</t>
        </is>
      </c>
      <c r="D8" s="230" t="inlineStr">
        <is>
          <t>Construction White Card</t>
        </is>
      </c>
      <c r="E8" s="230" t="inlineStr">
        <is>
          <t>Construction White Card</t>
        </is>
      </c>
      <c r="F8" s="230" t="inlineStr">
        <is>
          <t>Construction White Card</t>
        </is>
      </c>
      <c r="G8" s="230" t="inlineStr">
        <is>
          <t>Construction White Card</t>
        </is>
      </c>
      <c r="H8" s="230" t="inlineStr">
        <is>
          <t>Construction White Card</t>
        </is>
      </c>
      <c r="I8" s="230" t="inlineStr">
        <is>
          <t>Construction White Card</t>
        </is>
      </c>
      <c r="J8" s="230" t="inlineStr">
        <is>
          <t>Construction White Card</t>
        </is>
      </c>
      <c r="K8" s="230" t="inlineStr">
        <is>
          <t>Construction White Card</t>
        </is>
      </c>
      <c r="L8" s="230" t="inlineStr">
        <is>
          <t>Construction White Card</t>
        </is>
      </c>
    </row>
    <row r="9">
      <c r="B9" s="229" t="inlineStr">
        <is>
          <t>Drivers Licence - Australian</t>
        </is>
      </c>
      <c r="C9" s="229" t="inlineStr">
        <is>
          <t>Drivers Licence - Australian</t>
        </is>
      </c>
      <c r="D9" s="229" t="inlineStr">
        <is>
          <t>Drivers Licence - Australian</t>
        </is>
      </c>
      <c r="E9" s="229" t="inlineStr">
        <is>
          <t>Drivers Licence - Australian</t>
        </is>
      </c>
      <c r="F9" s="229" t="inlineStr">
        <is>
          <t>Drivers Licence - Australian</t>
        </is>
      </c>
      <c r="G9" s="229" t="inlineStr">
        <is>
          <t>Drivers Licence - Australian</t>
        </is>
      </c>
      <c r="H9" s="229" t="inlineStr">
        <is>
          <t>Drivers Licence - Australian</t>
        </is>
      </c>
      <c r="I9" s="229" t="inlineStr">
        <is>
          <t>Drivers Licence - Australian</t>
        </is>
      </c>
      <c r="J9" s="229" t="inlineStr">
        <is>
          <t>Drivers Licence - Australian</t>
        </is>
      </c>
      <c r="K9" s="229" t="inlineStr">
        <is>
          <t>Drivers Licence - Australian</t>
        </is>
      </c>
      <c r="L9" s="229" t="inlineStr">
        <is>
          <t>Drivers Licence - Australian</t>
        </is>
      </c>
    </row>
    <row r="10">
      <c r="B10" s="229" t="inlineStr">
        <is>
          <t>Rail Medical CAT 3 or above</t>
        </is>
      </c>
      <c r="C10" s="229" t="inlineStr">
        <is>
          <t>Rail Medical CAT 3 or above</t>
        </is>
      </c>
      <c r="D10" s="229" t="inlineStr">
        <is>
          <t>Rail Medical CAT 3 or above</t>
        </is>
      </c>
      <c r="E10" s="229" t="inlineStr">
        <is>
          <t>Rail Medical CAT 3 or above</t>
        </is>
      </c>
      <c r="F10" s="230" t="inlineStr">
        <is>
          <t>Rail Medical CAT 1</t>
        </is>
      </c>
      <c r="G10" s="230" t="inlineStr">
        <is>
          <t>Rail Medical CAT 1</t>
        </is>
      </c>
      <c r="H10" s="229" t="inlineStr">
        <is>
          <t>Rail Medical CAT 3 or above</t>
        </is>
      </c>
      <c r="I10" s="229" t="inlineStr">
        <is>
          <t>Rail Medical CAT 3 or above</t>
        </is>
      </c>
      <c r="J10" s="230" t="inlineStr">
        <is>
          <t>Rail Medical CAT 1</t>
        </is>
      </c>
      <c r="K10" s="229" t="inlineStr">
        <is>
          <t>Rail Medical CAT 3 or above</t>
        </is>
      </c>
      <c r="L10" s="229" t="inlineStr">
        <is>
          <t>Rail Medical CAT 3 or above</t>
        </is>
      </c>
    </row>
    <row r="11">
      <c r="B11" s="229" t="inlineStr">
        <is>
          <t>4WD Certificate (RIIvEH305F)</t>
        </is>
      </c>
      <c r="C11" s="229" t="inlineStr">
        <is>
          <t>4WD Certificate (RIIvEH305F)</t>
        </is>
      </c>
      <c r="D11" s="229" t="inlineStr">
        <is>
          <t>4WD Certificate (RIIvEH305F)</t>
        </is>
      </c>
      <c r="E11" s="229" t="inlineStr">
        <is>
          <t>4WD Certificate (RIIvEH305F)</t>
        </is>
      </c>
      <c r="F11" s="229" t="inlineStr">
        <is>
          <t>4WD Certificate (RIIvEH305F)</t>
        </is>
      </c>
      <c r="G11" s="229" t="inlineStr">
        <is>
          <t>4WD Certificate (RIIvEH305F)</t>
        </is>
      </c>
      <c r="H11" s="229" t="inlineStr">
        <is>
          <t>4WD Certificate (RIIvEH305F)</t>
        </is>
      </c>
      <c r="I11" s="229" t="inlineStr">
        <is>
          <t>4WD Certificate (RIIvEH305F)</t>
        </is>
      </c>
      <c r="J11" s="229" t="inlineStr">
        <is>
          <t>4WD Certificate (RIIvEH305F)</t>
        </is>
      </c>
      <c r="K11" s="229" t="inlineStr">
        <is>
          <t>4WD Certificate (RIIvEH305F)</t>
        </is>
      </c>
      <c r="L11" s="229" t="inlineStr">
        <is>
          <t>4WD Certificate (RIIvEH305F)</t>
        </is>
      </c>
    </row>
    <row r="12">
      <c r="B12" s="230" t="inlineStr">
        <is>
          <t>First Aid (HLTAID011)</t>
        </is>
      </c>
      <c r="D12" s="229" t="inlineStr">
        <is>
          <t>Highest Education' Engineer Qualification</t>
        </is>
      </c>
      <c r="F12" s="230" t="inlineStr">
        <is>
          <t>First Aid (HLTAID011)</t>
        </is>
      </c>
      <c r="G12" s="230" t="inlineStr">
        <is>
          <t>First Aid (HLTAID011)</t>
        </is>
      </c>
      <c r="I12" s="229" t="inlineStr">
        <is>
          <t>TPO BHP Accrediadation Card</t>
        </is>
      </c>
      <c r="J12" s="230" t="inlineStr">
        <is>
          <t>First Aid (HLTAID011)</t>
        </is>
      </c>
      <c r="K12" s="230" t="inlineStr">
        <is>
          <t>First Aid (HLTAID011)</t>
        </is>
      </c>
    </row>
    <row r="13">
      <c r="B13" s="229" t="inlineStr">
        <is>
          <t>Demonstrat First Attack Firefighting</t>
        </is>
      </c>
      <c r="F13" s="230" t="inlineStr">
        <is>
          <t>CPR (HLTAID009)</t>
        </is>
      </c>
      <c r="G13" s="230" t="inlineStr">
        <is>
          <t>CPR (HLTAID009)</t>
        </is>
      </c>
      <c r="J13" s="230" t="inlineStr">
        <is>
          <t>CPR (HLTAID009)</t>
        </is>
      </c>
      <c r="K13" s="230" t="inlineStr">
        <is>
          <t>CPR (HLTAID009)</t>
        </is>
      </c>
    </row>
    <row r="14">
      <c r="B14" s="230" t="inlineStr">
        <is>
          <t>CPR (HLTAID009)</t>
        </is>
      </c>
      <c r="F14" s="229" t="inlineStr">
        <is>
          <t>Low Voltage Rescue (UETDRRF004)</t>
        </is>
      </c>
      <c r="G14" s="229" t="inlineStr">
        <is>
          <t>Low Voltage Rescue (UETDRRF004)</t>
        </is>
      </c>
      <c r="J14" s="229" t="inlineStr">
        <is>
          <t>Low Voltage Rescue (UETDRRF004)</t>
        </is>
      </c>
    </row>
    <row r="15">
      <c r="B15" s="230" t="inlineStr">
        <is>
          <t>Fire Warden</t>
        </is>
      </c>
      <c r="F15" s="230" t="inlineStr">
        <is>
          <t>WA Electrical Licence</t>
        </is>
      </c>
      <c r="G15" s="230" t="inlineStr">
        <is>
          <t>WA Electrical Licence</t>
        </is>
      </c>
      <c r="J15" s="230" t="inlineStr">
        <is>
          <t>WA Electrical Licence</t>
        </is>
      </c>
    </row>
    <row r="16">
      <c r="B16" s="230" t="inlineStr">
        <is>
          <t>Construction White Card</t>
        </is>
      </c>
      <c r="F16" s="229" t="inlineStr">
        <is>
          <t>Demonstrat First Attack Firefighting</t>
        </is>
      </c>
      <c r="G16" s="229" t="inlineStr">
        <is>
          <t>Demonstrat First Attack Firefighting</t>
        </is>
      </c>
      <c r="J16" s="229" t="inlineStr">
        <is>
          <t>Demonstrat First Attack Firefighting</t>
        </is>
      </c>
      <c r="K16" s="229" t="inlineStr">
        <is>
          <t>Demonstrat First Attack Firefighting</t>
        </is>
      </c>
    </row>
    <row r="17">
      <c r="B17" s="230" t="inlineStr">
        <is>
          <t>ICAM Investigator</t>
        </is>
      </c>
      <c r="F17" s="229" t="inlineStr">
        <is>
          <t>Cert IV Electrical Rail Signaling</t>
        </is>
      </c>
      <c r="J17" s="229" t="inlineStr">
        <is>
          <t>(Cert IV Electrical Rail Signaling) - not mandatory</t>
        </is>
      </c>
    </row>
    <row r="18">
      <c r="J18" s="229" t="inlineStr">
        <is>
          <t>Supervisor Accredited Modules:</t>
        </is>
      </c>
      <c r="K18" s="229" t="inlineStr">
        <is>
          <t>Supervisor Accredited Modules:</t>
        </is>
      </c>
    </row>
    <row r="19">
      <c r="F19" s="229" t="inlineStr">
        <is>
          <t>Relevent Operator Certificates &amp; adjacent Mob position in ERMS:</t>
        </is>
      </c>
      <c r="G19" s="229" t="inlineStr">
        <is>
          <t>Relevent Operator Certificates &amp; adjacent Mob position in ERMS:</t>
        </is>
      </c>
      <c r="H19" s="229" t="inlineStr">
        <is>
          <t>Relevent Operator Certificates &amp; adjacent Mob position in ERMS:</t>
        </is>
      </c>
      <c r="J19" s="229" t="inlineStr">
        <is>
          <t>Implement and Monitor WHS (BSBWHS411)</t>
        </is>
      </c>
      <c r="K19" s="229" t="inlineStr">
        <is>
          <t>Implement and Monitor WHS (BSBWHS411)</t>
        </is>
      </c>
    </row>
    <row r="20">
      <c r="F20" s="229" t="inlineStr">
        <is>
          <t>Confined space tickets
(expected for 4 resources total, 2 in each team) - 
RIIWHS202E - Enter and work in confined spaces
MSMWHS217 - Gas test atmospheres</t>
        </is>
      </c>
      <c r="G20" s="229" t="inlineStr">
        <is>
          <t>Confined space tickets
(expected for 4 resources total, 2 in each team) - 
RIIWHS202E - Enter and work in confined spaces
MSMWHS217 - Gas test atmospheres</t>
        </is>
      </c>
      <c r="H20" s="229" t="inlineStr">
        <is>
          <t>All Logistics Resources:
Operator Truck driver = Driver Licence HC or above.
Manual preferred, but Auto can work.</t>
        </is>
      </c>
      <c r="J20" s="229" t="inlineStr">
        <is>
          <t>Contribute to WHS risk management (BSBWHS414)</t>
        </is>
      </c>
      <c r="K20" s="229" t="inlineStr">
        <is>
          <t>Contribute to WHS risk management (BSBWHS414)</t>
        </is>
      </c>
    </row>
    <row r="21">
      <c r="H21" s="229" t="inlineStr">
        <is>
          <t>Civil team operators:
Operator Truck driver = Driver Licence HR or above.
Manual preferred, but Auto can work.</t>
        </is>
      </c>
      <c r="J21" s="230" t="inlineStr">
        <is>
          <t>WA Record</t>
        </is>
      </c>
    </row>
    <row r="22">
      <c r="H22" s="229" t="inlineStr">
        <is>
          <t>Civil operators:
Operator Excavator - Excavator Ticket</t>
        </is>
      </c>
      <c r="J22" s="229" t="inlineStr">
        <is>
          <t>Investigate and Report on Electrical Incidents and Causes</t>
        </is>
      </c>
    </row>
    <row r="23">
      <c r="H23" s="229" t="inlineStr">
        <is>
          <t>Civil operators:
Operator Skid steer / bobcat - Skidsteer Ticket</t>
        </is>
      </c>
    </row>
    <row r="24">
      <c r="H24" s="229" t="inlineStr">
        <is>
          <t>Logistics Resource:
1 resource x per Team minimum:
Forklift Licence.</t>
        </is>
      </c>
    </row>
    <row r="25">
      <c r="H25" s="229" t="inlineStr">
        <is>
          <t>Nice to have:
Logistics Team
Resource 1 per team - Hi- Ab Ticket</t>
        </is>
      </c>
    </row>
    <row r="26">
      <c r="H26" s="229" t="inlineStr">
        <is>
          <t>Nice to have:
Logistics Team
Resource 2 per team - Dogman Ticket</t>
        </is>
      </c>
    </row>
    <row r="27">
      <c r="H27" s="229" t="inlineStr">
        <is>
          <t>Nice to have:
Civil team operators:
1 x Civil operator per team:
Operator Truck driver = Driver Licence HC or above.
Manual preferred, but Auto can work.</t>
        </is>
      </c>
    </row>
    <row r="28">
      <c r="H28" s="229" t="inlineStr">
        <is>
          <t>Nice to have:
Operator Backhoe Loader -</t>
        </is>
      </c>
    </row>
    <row r="29">
      <c r="H29" s="229" t="inlineStr">
        <is>
          <t>Nice to have:
Operator front end loader - Front end loader ticket</t>
        </is>
      </c>
    </row>
    <row r="30">
      <c r="H30" s="229" t="inlineStr">
        <is>
          <t>Nice to have:
Operator Telehandler - Telehandler Ticket</t>
        </is>
      </c>
    </row>
    <row r="31">
      <c r="H31" s="229" t="inlineStr">
        <is>
          <t>Nice to have:
Confined space tickets - 
RIIWHS202E - Enter and work in confined spaces
MSMWHS217 - Gas test atmospheres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F7F7F"/>
    <outlinePr summaryBelow="1" summaryRight="1"/>
    <pageSetUpPr/>
  </sheetPr>
  <dimension ref="A2:L39"/>
  <sheetViews>
    <sheetView tabSelected="0" workbookViewId="0">
      <selection activeCell="A1" sqref="A1"/>
    </sheetView>
  </sheetViews>
  <sheetFormatPr baseColWidth="8" defaultRowHeight="15"/>
  <cols>
    <col width="2" customWidth="1" style="53" min="1" max="1"/>
    <col width="26" customWidth="1" style="53" min="2" max="2"/>
    <col width="12" customWidth="1" style="53" min="3" max="3"/>
    <col width="20" customWidth="1" style="53" min="4" max="4"/>
    <col width="22" customWidth="1" style="53" min="5" max="5"/>
    <col width="10" customWidth="1" style="53" min="6" max="6"/>
    <col width="12" customWidth="1" style="53" min="7" max="7"/>
    <col width="18" customWidth="1" style="53" min="8" max="8"/>
    <col width="40" customWidth="1" style="53" min="9" max="9"/>
    <col width="10" customWidth="1" style="53" min="10" max="10"/>
    <col width="10" customWidth="1" style="53" min="11" max="11"/>
    <col width="10" customWidth="1" style="53" min="12" max="12"/>
  </cols>
  <sheetData>
    <row r="2">
      <c r="B2" s="230" t="inlineStr">
        <is>
          <t>Ute Allocation Plan</t>
        </is>
      </c>
    </row>
    <row r="5">
      <c r="B5" s="19" t="inlineStr">
        <is>
          <t>Crew</t>
        </is>
      </c>
      <c r="C5" s="19" t="inlineStr">
        <is>
          <t>Assignment</t>
        </is>
      </c>
      <c r="D5" s="19" t="inlineStr">
        <is>
          <t>Assigned To</t>
        </is>
      </c>
      <c r="E5" s="19" t="inlineStr">
        <is>
          <t>Role</t>
        </is>
      </c>
      <c r="F5" s="19" t="inlineStr">
        <is>
          <t>Asset ID</t>
        </is>
      </c>
      <c r="G5" s="19" t="inlineStr">
        <is>
          <t>Rego</t>
        </is>
      </c>
      <c r="H5" s="19" t="inlineStr">
        <is>
          <t>Model</t>
        </is>
      </c>
      <c r="I5" s="19" t="inlineStr">
        <is>
          <t>Notes</t>
        </is>
      </c>
    </row>
    <row r="6">
      <c r="B6" s="230" t="inlineStr">
        <is>
          <t>Ops</t>
        </is>
      </c>
      <c r="C6" s="230" t="inlineStr">
        <is>
          <t>Pool</t>
        </is>
      </c>
      <c r="D6" s="230" t="inlineStr">
        <is>
          <t>Mo/ Prasanna</t>
        </is>
      </c>
      <c r="E6" s="230" t="inlineStr">
        <is>
          <t>Program Manager</t>
        </is>
      </c>
      <c r="G6" s="229">
        <f>IFERROR(INDEX($B$27:$B$40,MATCH(F6,$F$27:$F$40,0)),"")</f>
        <v/>
      </c>
    </row>
    <row r="7">
      <c r="B7" s="230" t="inlineStr">
        <is>
          <t>CM</t>
        </is>
      </c>
      <c r="C7" s="230" t="inlineStr">
        <is>
          <t>Dedicated</t>
        </is>
      </c>
      <c r="D7" s="230" t="inlineStr">
        <is>
          <t>Abdallah Joudeh</t>
        </is>
      </c>
      <c r="E7" s="230" t="inlineStr">
        <is>
          <t>Construction Manager</t>
        </is>
      </c>
      <c r="F7" s="230" t="inlineStr">
        <is>
          <t>WCS76</t>
        </is>
      </c>
      <c r="G7" s="229">
        <f>IFERROR(INDEX($B$27:$B$40,MATCH(F7,$F$27:$F$40,0)),"")</f>
        <v/>
      </c>
      <c r="H7" s="230" t="inlineStr">
        <is>
          <t>Toyota Hilux</t>
        </is>
      </c>
      <c r="I7" s="229" t="inlineStr">
        <is>
          <t>CM ute, can be used when RnR by Ops when on site</t>
        </is>
      </c>
    </row>
    <row r="8">
      <c r="B8" s="230" t="inlineStr">
        <is>
          <t>Logistics</t>
        </is>
      </c>
      <c r="C8" s="230" t="inlineStr">
        <is>
          <t>Pool</t>
        </is>
      </c>
      <c r="D8" s="230" t="inlineStr">
        <is>
          <t>Rotates daily</t>
        </is>
      </c>
      <c r="E8" s="230" t="inlineStr">
        <is>
          <t>Logistics</t>
        </is>
      </c>
      <c r="F8" s="230" t="inlineStr">
        <is>
          <t>WCS77</t>
        </is>
      </c>
      <c r="G8" s="229">
        <f>IFERROR(INDEX($B$27:$B$40,MATCH(F8,$F$27:$F$40,0)),"")</f>
        <v/>
      </c>
      <c r="H8" s="230" t="inlineStr">
        <is>
          <t>Toyota Hilux</t>
        </is>
      </c>
      <c r="I8" s="229" t="inlineStr">
        <is>
          <t>Civil Team 2 can use logistics when required</t>
        </is>
      </c>
    </row>
    <row r="9">
      <c r="B9" s="230" t="inlineStr">
        <is>
          <t>Civil — Carradene</t>
        </is>
      </c>
      <c r="C9" s="230" t="inlineStr">
        <is>
          <t>Assigned</t>
        </is>
      </c>
      <c r="D9" s="230" t="inlineStr">
        <is>
          <t>Carradene Boyer</t>
        </is>
      </c>
      <c r="E9" s="230" t="inlineStr">
        <is>
          <t>Supervisor - Civil</t>
        </is>
      </c>
      <c r="F9" s="230" t="inlineStr">
        <is>
          <t>WCS74</t>
        </is>
      </c>
      <c r="G9" s="229">
        <f>IFERROR(INDEX($B$27:$B$40,MATCH(F9,$F$27:$F$40,0)),"")</f>
        <v/>
      </c>
      <c r="H9" s="230" t="inlineStr">
        <is>
          <t>Toyota Hilux</t>
        </is>
      </c>
      <c r="I9" s="229" t="inlineStr">
        <is>
          <t>Civil supervisor Team 1 Ute</t>
        </is>
      </c>
    </row>
    <row r="10">
      <c r="B10" s="230" t="inlineStr">
        <is>
          <t>Civil — Carradene Team</t>
        </is>
      </c>
      <c r="C10" s="230" t="inlineStr">
        <is>
          <t>Pool</t>
        </is>
      </c>
      <c r="D10" s="230" t="inlineStr">
        <is>
          <t>Rotates daily</t>
        </is>
      </c>
      <c r="E10" s="230" t="inlineStr">
        <is>
          <t>Civil Team 1</t>
        </is>
      </c>
      <c r="F10" s="230" t="inlineStr">
        <is>
          <t>WCS80</t>
        </is>
      </c>
      <c r="G10" s="229">
        <f>IFERROR(INDEX($B$27:$B$40,MATCH(F10,$F$27:$F$40,0)),"")</f>
        <v/>
      </c>
      <c r="H10" s="230" t="inlineStr">
        <is>
          <t>Toyota Landcruiser</t>
        </is>
      </c>
    </row>
    <row r="11">
      <c r="B11" s="230" t="inlineStr">
        <is>
          <t>Civil — Carradene Team</t>
        </is>
      </c>
      <c r="C11" s="230" t="inlineStr">
        <is>
          <t>Pool</t>
        </is>
      </c>
      <c r="D11" s="230" t="inlineStr">
        <is>
          <t>Rotates daily</t>
        </is>
      </c>
      <c r="E11" s="230" t="inlineStr">
        <is>
          <t>Civil Team 1</t>
        </is>
      </c>
      <c r="F11" s="230" t="inlineStr">
        <is>
          <t>TBC</t>
        </is>
      </c>
      <c r="G11" s="229">
        <f>IFERROR(INDEX($B$27:$B$40,MATCH(F11,$F$27:$F$40,0)),"")</f>
        <v/>
      </c>
      <c r="H11" s="230" t="inlineStr">
        <is>
          <t>Toyota Hilux</t>
        </is>
      </c>
    </row>
    <row r="12">
      <c r="B12" s="230" t="inlineStr">
        <is>
          <t>Civil — Bluey</t>
        </is>
      </c>
      <c r="C12" s="230" t="inlineStr">
        <is>
          <t>Assigned</t>
        </is>
      </c>
      <c r="D12" s="230" t="inlineStr">
        <is>
          <t>Andrew Burger</t>
        </is>
      </c>
      <c r="E12" s="230" t="inlineStr">
        <is>
          <t>Supervisor - Civil</t>
        </is>
      </c>
      <c r="F12" s="230" t="inlineStr">
        <is>
          <t>WCS75</t>
        </is>
      </c>
      <c r="G12" s="229">
        <f>IFERROR(INDEX($B$27:$B$40,MATCH(F12,$F$27:$F$40,0)),"")</f>
        <v/>
      </c>
      <c r="H12" s="230" t="inlineStr">
        <is>
          <t>Toyota Hilux</t>
        </is>
      </c>
      <c r="I12" s="229" t="inlineStr">
        <is>
          <t>Civil supervisor Team 2 Ute</t>
        </is>
      </c>
    </row>
    <row r="13">
      <c r="B13" s="230" t="inlineStr">
        <is>
          <t>Civil — Blueys' Team</t>
        </is>
      </c>
      <c r="C13" s="230" t="inlineStr">
        <is>
          <t>Pool</t>
        </is>
      </c>
      <c r="D13" s="230" t="inlineStr">
        <is>
          <t>Rotates daily</t>
        </is>
      </c>
      <c r="E13" s="230" t="inlineStr">
        <is>
          <t>Civil Team 1</t>
        </is>
      </c>
      <c r="F13" s="230" t="inlineStr">
        <is>
          <t>WCS79</t>
        </is>
      </c>
      <c r="G13" s="229">
        <f>IFERROR(INDEX($B$27:$B$40,MATCH(F13,$F$27:$F$40,0)),"")</f>
        <v/>
      </c>
      <c r="H13" s="230" t="inlineStr">
        <is>
          <t>Toyota Landcruiser</t>
        </is>
      </c>
    </row>
    <row r="14">
      <c r="B14" s="230" t="inlineStr">
        <is>
          <t>Civil — Blueys' Team</t>
        </is>
      </c>
      <c r="C14" s="230" t="inlineStr">
        <is>
          <t>Pool</t>
        </is>
      </c>
      <c r="D14" s="230" t="inlineStr">
        <is>
          <t>Rotates daily</t>
        </is>
      </c>
      <c r="E14" s="230" t="inlineStr">
        <is>
          <t>Civil Team 1</t>
        </is>
      </c>
      <c r="F14" s="230" t="inlineStr">
        <is>
          <t>WCS71</t>
        </is>
      </c>
      <c r="G14" s="229">
        <f>IFERROR(INDEX($B$27:$B$40,MATCH(F14,$F$27:$F$40,0)),"")</f>
        <v/>
      </c>
      <c r="H14" s="230" t="inlineStr">
        <is>
          <t>Toyota Hilux</t>
        </is>
      </c>
      <c r="I14" s="229" t="inlineStr">
        <is>
          <t>Currently with David Child</t>
        </is>
      </c>
    </row>
    <row r="15">
      <c r="B15" s="230" t="inlineStr">
        <is>
          <t>Electrical — Stephen</t>
        </is>
      </c>
      <c r="C15" s="230" t="inlineStr">
        <is>
          <t>Assigned</t>
        </is>
      </c>
      <c r="D15" s="230" t="inlineStr">
        <is>
          <t>Stephen Anthony</t>
        </is>
      </c>
      <c r="E15" s="230" t="inlineStr">
        <is>
          <t>Supervisor - Electrical</t>
        </is>
      </c>
      <c r="F15" s="230" t="inlineStr">
        <is>
          <t>WCS73</t>
        </is>
      </c>
      <c r="G15" s="229">
        <f>IFERROR(INDEX($B$27:$B$40,MATCH(F15,$F$27:$F$40,0)),"")</f>
        <v/>
      </c>
      <c r="H15" s="230" t="inlineStr">
        <is>
          <t>Toyota Hilux</t>
        </is>
      </c>
      <c r="I15" s="229" t="inlineStr">
        <is>
          <t>Electrical supervisor Team 1 Ute</t>
        </is>
      </c>
    </row>
    <row r="16">
      <c r="B16" s="229" t="inlineStr">
        <is>
          <t>Electrical — Stephen's Team</t>
        </is>
      </c>
      <c r="C16" s="230" t="inlineStr">
        <is>
          <t>Pool</t>
        </is>
      </c>
      <c r="D16" s="230" t="inlineStr">
        <is>
          <t>Rotates daily</t>
        </is>
      </c>
      <c r="E16" s="230" t="inlineStr">
        <is>
          <t>Electrical Team 1</t>
        </is>
      </c>
      <c r="F16" s="230" t="inlineStr">
        <is>
          <t>WCS70</t>
        </is>
      </c>
      <c r="G16" s="229">
        <f>IFERROR(INDEX($B$27:$B$40,MATCH(F16,$F$27:$F$40,0)),"")</f>
        <v/>
      </c>
      <c r="H16" s="230" t="inlineStr">
        <is>
          <t>Toyota Hilux</t>
        </is>
      </c>
    </row>
    <row r="17">
      <c r="B17" s="229" t="inlineStr">
        <is>
          <t>Electrical — Stephen's Team</t>
        </is>
      </c>
      <c r="C17" s="230" t="inlineStr">
        <is>
          <t>Pool</t>
        </is>
      </c>
      <c r="D17" s="230" t="inlineStr">
        <is>
          <t>Rotates daily</t>
        </is>
      </c>
      <c r="E17" s="230" t="inlineStr">
        <is>
          <t>Electrical Team 1</t>
        </is>
      </c>
      <c r="F17" s="230" t="inlineStr">
        <is>
          <t>WCS69</t>
        </is>
      </c>
      <c r="G17" s="229">
        <f>IFERROR(INDEX($B$27:$B$40,MATCH(F17,$F$27:$F$40,0)),"")</f>
        <v/>
      </c>
      <c r="H17" s="230" t="inlineStr">
        <is>
          <t>Toyota Hilux</t>
        </is>
      </c>
    </row>
    <row r="18">
      <c r="B18" s="230" t="inlineStr">
        <is>
          <t>Electrical — Martin</t>
        </is>
      </c>
      <c r="C18" s="230" t="inlineStr">
        <is>
          <t>Assigned</t>
        </is>
      </c>
      <c r="D18" s="230" t="inlineStr">
        <is>
          <t>Martin Smart</t>
        </is>
      </c>
      <c r="E18" s="230" t="inlineStr">
        <is>
          <t>Supervisor - Electrical</t>
        </is>
      </c>
      <c r="F18" s="230" t="inlineStr">
        <is>
          <t>WCS68</t>
        </is>
      </c>
      <c r="G18" s="229">
        <f>IFERROR(INDEX($B$27:$B$40,MATCH(F18,$F$27:$F$40,0)),"")</f>
        <v/>
      </c>
      <c r="H18" s="230" t="inlineStr">
        <is>
          <t>Toyota Hilux</t>
        </is>
      </c>
      <c r="I18" s="229" t="inlineStr">
        <is>
          <t>Electrical supervisor Team 2 Ute</t>
        </is>
      </c>
    </row>
    <row r="19">
      <c r="B19" s="229" t="inlineStr">
        <is>
          <t>Electrical — Martins' Team</t>
        </is>
      </c>
      <c r="C19" s="230" t="inlineStr">
        <is>
          <t>Pool</t>
        </is>
      </c>
      <c r="D19" s="230" t="inlineStr">
        <is>
          <t>Rotates daily</t>
        </is>
      </c>
      <c r="E19" s="230" t="inlineStr">
        <is>
          <t>Electrical Team 2</t>
        </is>
      </c>
      <c r="F19" s="230" t="inlineStr">
        <is>
          <t>WCS78</t>
        </is>
      </c>
      <c r="G19" s="229">
        <f>IFERROR(INDEX($B$27:$B$40,MATCH(F19,$F$27:$F$40,0)),"")</f>
        <v/>
      </c>
      <c r="H19" s="230" t="inlineStr">
        <is>
          <t>Toyota Hilux</t>
        </is>
      </c>
    </row>
    <row r="20">
      <c r="B20" s="229" t="inlineStr">
        <is>
          <t>Electrical — Martins' Team</t>
        </is>
      </c>
      <c r="C20" s="230" t="inlineStr">
        <is>
          <t>Pool</t>
        </is>
      </c>
      <c r="D20" s="230" t="inlineStr">
        <is>
          <t>Rotates daily</t>
        </is>
      </c>
      <c r="E20" s="230" t="inlineStr">
        <is>
          <t>Electrical Team 2</t>
        </is>
      </c>
      <c r="F20" s="230" t="inlineStr">
        <is>
          <t>WCS72</t>
        </is>
      </c>
      <c r="G20" s="229">
        <f>IFERROR(INDEX($B$27:$B$40,MATCH(F20,$F$27:$F$40,0)),"")</f>
        <v/>
      </c>
      <c r="H20" s="230" t="inlineStr">
        <is>
          <t>Toyota Hilux</t>
        </is>
      </c>
    </row>
    <row r="26">
      <c r="B26" s="19" t="inlineStr">
        <is>
          <t>Registration</t>
        </is>
      </c>
      <c r="C26" s="19" t="inlineStr">
        <is>
          <t>IVMS #</t>
        </is>
      </c>
      <c r="D26" s="19" t="inlineStr">
        <is>
          <t>DFMS #</t>
        </is>
      </c>
      <c r="E26" s="19" t="inlineStr">
        <is>
          <t>Model</t>
        </is>
      </c>
      <c r="F26" s="19" t="inlineStr">
        <is>
          <t>Asset ID</t>
        </is>
      </c>
      <c r="G26" s="19" t="inlineStr">
        <is>
          <t>VIN/PIN</t>
        </is>
      </c>
      <c r="H26" s="19" t="inlineStr">
        <is>
          <t>Height</t>
        </is>
      </c>
      <c r="I26" s="19" t="inlineStr">
        <is>
          <t>Length</t>
        </is>
      </c>
      <c r="J26" s="19" t="inlineStr">
        <is>
          <t>Width</t>
        </is>
      </c>
      <c r="K26" s="19" t="inlineStr">
        <is>
          <t>Weight</t>
        </is>
      </c>
      <c r="L26" s="230" t="inlineStr">
        <is>
          <t>Winch</t>
        </is>
      </c>
    </row>
    <row r="27">
      <c r="B27" s="230" t="inlineStr">
        <is>
          <t>1IUW649</t>
        </is>
      </c>
      <c r="C27" s="230" t="inlineStr">
        <is>
          <t>IVMS006</t>
        </is>
      </c>
      <c r="D27" s="230" t="inlineStr">
        <is>
          <t>DFMS132</t>
        </is>
      </c>
      <c r="E27" s="230" t="inlineStr">
        <is>
          <t>Toyota Hilux</t>
        </is>
      </c>
      <c r="F27" s="230" t="inlineStr">
        <is>
          <t>WCS68</t>
        </is>
      </c>
      <c r="G27" s="230" t="inlineStr">
        <is>
          <t>MR0KA3CD906826527</t>
        </is>
      </c>
      <c r="H27" s="230" t="inlineStr">
        <is>
          <t>1900</t>
        </is>
      </c>
      <c r="I27" s="230" t="n">
        <v>5380</v>
      </c>
      <c r="J27" s="230" t="n">
        <v>1980</v>
      </c>
      <c r="K27" s="230" t="n">
        <v>2100</v>
      </c>
      <c r="L27" s="230" t="inlineStr">
        <is>
          <t>N/A</t>
        </is>
      </c>
    </row>
    <row r="28">
      <c r="B28" s="230" t="inlineStr">
        <is>
          <t>1IJN763</t>
        </is>
      </c>
      <c r="C28" s="230" t="inlineStr">
        <is>
          <t>IVMS035</t>
        </is>
      </c>
      <c r="D28" s="230" t="inlineStr">
        <is>
          <t>DFMS022</t>
        </is>
      </c>
      <c r="E28" s="230" t="inlineStr">
        <is>
          <t>Toyota Hilux</t>
        </is>
      </c>
      <c r="F28" s="230" t="inlineStr">
        <is>
          <t>WCS69</t>
        </is>
      </c>
      <c r="G28" s="230" t="inlineStr">
        <is>
          <t>MR0KA3CD806813719</t>
        </is>
      </c>
      <c r="H28" s="230" t="inlineStr">
        <is>
          <t>1900</t>
        </is>
      </c>
      <c r="I28" s="230" t="inlineStr">
        <is>
          <t>5380</t>
        </is>
      </c>
      <c r="J28" s="230" t="inlineStr">
        <is>
          <t>1980</t>
        </is>
      </c>
      <c r="K28" s="230" t="inlineStr">
        <is>
          <t>2100</t>
        </is>
      </c>
      <c r="L28" s="230" t="inlineStr">
        <is>
          <t>N/A</t>
        </is>
      </c>
    </row>
    <row r="29">
      <c r="B29" s="230" t="inlineStr">
        <is>
          <t>1IFQ348</t>
        </is>
      </c>
      <c r="C29" s="230" t="inlineStr">
        <is>
          <t>IVMS025</t>
        </is>
      </c>
      <c r="D29" s="230" t="inlineStr">
        <is>
          <t>DFMS149</t>
        </is>
      </c>
      <c r="E29" s="230" t="inlineStr">
        <is>
          <t>Toyota Hilux</t>
        </is>
      </c>
      <c r="F29" s="230" t="inlineStr">
        <is>
          <t>WCS70</t>
        </is>
      </c>
      <c r="G29" s="230" t="inlineStr">
        <is>
          <t>MR0KA3CD506807067</t>
        </is>
      </c>
      <c r="H29" s="230" t="inlineStr">
        <is>
          <t>1900</t>
        </is>
      </c>
      <c r="I29" s="230" t="inlineStr">
        <is>
          <t>5380</t>
        </is>
      </c>
      <c r="J29" s="230" t="inlineStr">
        <is>
          <t>1980</t>
        </is>
      </c>
      <c r="K29" s="230" t="inlineStr">
        <is>
          <t>2100</t>
        </is>
      </c>
      <c r="L29" s="230" t="inlineStr">
        <is>
          <t>N/A</t>
        </is>
      </c>
    </row>
    <row r="30">
      <c r="B30" s="230" t="inlineStr">
        <is>
          <t>1IAM008</t>
        </is>
      </c>
      <c r="C30" s="230" t="inlineStr">
        <is>
          <t>IVMS044</t>
        </is>
      </c>
      <c r="D30" s="230" t="inlineStr">
        <is>
          <t>DFMS111</t>
        </is>
      </c>
      <c r="E30" s="230" t="inlineStr">
        <is>
          <t>Toyota Hilux</t>
        </is>
      </c>
      <c r="F30" s="230" t="inlineStr">
        <is>
          <t>WCS71</t>
        </is>
      </c>
      <c r="G30" s="230" t="inlineStr">
        <is>
          <t>MR0KA3CD601324829</t>
        </is>
      </c>
      <c r="H30" s="230" t="inlineStr">
        <is>
          <t>1900</t>
        </is>
      </c>
      <c r="I30" s="230" t="inlineStr">
        <is>
          <t>5380</t>
        </is>
      </c>
      <c r="J30" s="230" t="inlineStr">
        <is>
          <t>1980</t>
        </is>
      </c>
      <c r="K30" s="230" t="inlineStr">
        <is>
          <t>2100</t>
        </is>
      </c>
      <c r="L30" s="230" t="inlineStr">
        <is>
          <t>N/A</t>
        </is>
      </c>
    </row>
    <row r="31">
      <c r="B31" s="230" t="inlineStr">
        <is>
          <t>1IEA281</t>
        </is>
      </c>
      <c r="C31" s="230" t="inlineStr">
        <is>
          <t>IVMS187</t>
        </is>
      </c>
      <c r="D31" s="230" t="inlineStr">
        <is>
          <t>DFMS121</t>
        </is>
      </c>
      <c r="E31" s="230" t="inlineStr">
        <is>
          <t>Toyota Hilux</t>
        </is>
      </c>
      <c r="F31" s="230" t="inlineStr">
        <is>
          <t>WCS72</t>
        </is>
      </c>
      <c r="G31" s="230" t="inlineStr">
        <is>
          <t>MR0KA3CD306807214</t>
        </is>
      </c>
      <c r="H31" s="230" t="inlineStr">
        <is>
          <t>1900</t>
        </is>
      </c>
      <c r="I31" s="230" t="inlineStr">
        <is>
          <t>5380</t>
        </is>
      </c>
      <c r="J31" s="230" t="inlineStr">
        <is>
          <t>1980</t>
        </is>
      </c>
      <c r="K31" s="230" t="inlineStr">
        <is>
          <t>2100</t>
        </is>
      </c>
      <c r="L31" s="230" t="inlineStr">
        <is>
          <t>N/A</t>
        </is>
      </c>
    </row>
    <row r="32">
      <c r="B32" s="230" t="inlineStr">
        <is>
          <t>1HZS660</t>
        </is>
      </c>
      <c r="C32" s="230" t="inlineStr">
        <is>
          <t>IVMS026</t>
        </is>
      </c>
      <c r="D32" s="230" t="inlineStr">
        <is>
          <t>DFMS018</t>
        </is>
      </c>
      <c r="E32" s="230" t="inlineStr">
        <is>
          <t>Toyota Hilux</t>
        </is>
      </c>
      <c r="F32" s="230" t="inlineStr">
        <is>
          <t>WCS73</t>
        </is>
      </c>
      <c r="G32" s="230" t="inlineStr">
        <is>
          <t>MR0KA3CD601294554</t>
        </is>
      </c>
      <c r="H32" s="230" t="inlineStr">
        <is>
          <t>1900</t>
        </is>
      </c>
      <c r="I32" s="230" t="inlineStr">
        <is>
          <t>5380</t>
        </is>
      </c>
      <c r="J32" s="230" t="inlineStr">
        <is>
          <t>1980</t>
        </is>
      </c>
      <c r="K32" s="230" t="inlineStr">
        <is>
          <t>2100</t>
        </is>
      </c>
      <c r="L32" s="230" t="inlineStr">
        <is>
          <t>N/A</t>
        </is>
      </c>
    </row>
    <row r="33">
      <c r="B33" s="230" t="inlineStr">
        <is>
          <t>1IMZ460</t>
        </is>
      </c>
      <c r="C33" s="230" t="inlineStr">
        <is>
          <t>IVMS181</t>
        </is>
      </c>
      <c r="D33" s="230" t="inlineStr">
        <is>
          <t>DFMS109</t>
        </is>
      </c>
      <c r="E33" s="230" t="inlineStr">
        <is>
          <t>Toyota Hilux</t>
        </is>
      </c>
      <c r="F33" s="230" t="inlineStr">
        <is>
          <t>WCS74</t>
        </is>
      </c>
      <c r="G33" s="230" t="inlineStr">
        <is>
          <t>MR0KA3CD706817180</t>
        </is>
      </c>
      <c r="H33" s="230" t="inlineStr">
        <is>
          <t>1900</t>
        </is>
      </c>
      <c r="I33" s="230" t="inlineStr">
        <is>
          <t>5380</t>
        </is>
      </c>
      <c r="J33" s="230" t="inlineStr">
        <is>
          <t>1980</t>
        </is>
      </c>
      <c r="K33" s="230" t="inlineStr">
        <is>
          <t>2100</t>
        </is>
      </c>
      <c r="L33" s="230" t="inlineStr">
        <is>
          <t>N/A</t>
        </is>
      </c>
    </row>
    <row r="34">
      <c r="B34" s="230" t="inlineStr">
        <is>
          <t>1IMZ458</t>
        </is>
      </c>
      <c r="C34" s="230" t="inlineStr">
        <is>
          <t>IVMS038</t>
        </is>
      </c>
      <c r="D34" s="230" t="inlineStr">
        <is>
          <t>DFMS148</t>
        </is>
      </c>
      <c r="E34" s="230" t="inlineStr">
        <is>
          <t>Toyota Hilux</t>
        </is>
      </c>
      <c r="F34" s="230" t="inlineStr">
        <is>
          <t>WCS75</t>
        </is>
      </c>
      <c r="G34" s="230" t="inlineStr">
        <is>
          <t>MR0KA3CD506817131</t>
        </is>
      </c>
      <c r="H34" s="230" t="inlineStr">
        <is>
          <t>1900</t>
        </is>
      </c>
      <c r="I34" s="230" t="inlineStr">
        <is>
          <t>5380</t>
        </is>
      </c>
      <c r="J34" s="230" t="inlineStr">
        <is>
          <t>1980</t>
        </is>
      </c>
      <c r="K34" s="230" t="inlineStr">
        <is>
          <t>2100</t>
        </is>
      </c>
      <c r="L34" s="230" t="inlineStr">
        <is>
          <t>N/A</t>
        </is>
      </c>
    </row>
    <row r="35">
      <c r="B35" s="230" t="inlineStr">
        <is>
          <t>1ISF306</t>
        </is>
      </c>
      <c r="C35" s="230" t="inlineStr">
        <is>
          <t>IVMS003</t>
        </is>
      </c>
      <c r="D35" s="230" t="inlineStr">
        <is>
          <t>DFMS155</t>
        </is>
      </c>
      <c r="E35" s="230" t="inlineStr">
        <is>
          <t>Toyota Hilux</t>
        </is>
      </c>
      <c r="F35" s="230" t="inlineStr">
        <is>
          <t>WCS76</t>
        </is>
      </c>
      <c r="G35" s="230" t="inlineStr">
        <is>
          <t>MR0KA3CD706826266</t>
        </is>
      </c>
      <c r="H35" s="230" t="inlineStr">
        <is>
          <t>1900</t>
        </is>
      </c>
      <c r="I35" s="230" t="inlineStr">
        <is>
          <t>5380</t>
        </is>
      </c>
      <c r="J35" s="230" t="inlineStr">
        <is>
          <t>1980</t>
        </is>
      </c>
      <c r="K35" s="230" t="inlineStr">
        <is>
          <t>2100</t>
        </is>
      </c>
      <c r="L35" s="230" t="inlineStr">
        <is>
          <t>N/A</t>
        </is>
      </c>
    </row>
    <row r="36">
      <c r="B36" s="230" t="inlineStr">
        <is>
          <t>1IAT160</t>
        </is>
      </c>
      <c r="C36" s="230" t="inlineStr">
        <is>
          <t>IVMS031</t>
        </is>
      </c>
      <c r="D36" s="230" t="inlineStr">
        <is>
          <t>DFMS027</t>
        </is>
      </c>
      <c r="E36" s="230" t="inlineStr">
        <is>
          <t>Toyota Hilux</t>
        </is>
      </c>
      <c r="F36" s="230" t="inlineStr">
        <is>
          <t>WCS77</t>
        </is>
      </c>
      <c r="G36" s="230" t="inlineStr">
        <is>
          <t>MR0KA3CD201298519</t>
        </is>
      </c>
      <c r="H36" s="230" t="inlineStr">
        <is>
          <t>1900</t>
        </is>
      </c>
      <c r="I36" s="230" t="inlineStr">
        <is>
          <t>5380</t>
        </is>
      </c>
      <c r="J36" s="230" t="inlineStr">
        <is>
          <t>1980</t>
        </is>
      </c>
      <c r="K36" s="230" t="inlineStr">
        <is>
          <t>2100</t>
        </is>
      </c>
      <c r="L36" s="230" t="inlineStr">
        <is>
          <t>N/A</t>
        </is>
      </c>
    </row>
    <row r="37">
      <c r="B37" s="230" t="inlineStr">
        <is>
          <t>1IAS490</t>
        </is>
      </c>
      <c r="C37" s="230" t="inlineStr">
        <is>
          <t>IVMS017</t>
        </is>
      </c>
      <c r="D37" s="230" t="inlineStr">
        <is>
          <t>DFMS064</t>
        </is>
      </c>
      <c r="E37" s="230" t="inlineStr">
        <is>
          <t>Toyota Hilux</t>
        </is>
      </c>
      <c r="F37" s="230" t="inlineStr">
        <is>
          <t>WCS78</t>
        </is>
      </c>
      <c r="G37" s="230" t="inlineStr">
        <is>
          <t>MR0KA3CD06804371</t>
        </is>
      </c>
      <c r="H37" s="230" t="inlineStr">
        <is>
          <t>1900</t>
        </is>
      </c>
      <c r="I37" s="230" t="inlineStr">
        <is>
          <t>5380</t>
        </is>
      </c>
      <c r="J37" s="230" t="inlineStr">
        <is>
          <t>1980</t>
        </is>
      </c>
      <c r="K37" s="230" t="inlineStr">
        <is>
          <t>2100</t>
        </is>
      </c>
      <c r="L37" s="230" t="inlineStr">
        <is>
          <t>N/A</t>
        </is>
      </c>
    </row>
    <row r="38">
      <c r="B38" s="230" t="inlineStr">
        <is>
          <t>1IDX469</t>
        </is>
      </c>
      <c r="C38" s="230" t="inlineStr">
        <is>
          <t>IVMS015</t>
        </is>
      </c>
      <c r="D38" s="230" t="inlineStr">
        <is>
          <t>DFMS147</t>
        </is>
      </c>
      <c r="E38" s="230" t="inlineStr">
        <is>
          <t>Toyota Landcruiser</t>
        </is>
      </c>
      <c r="F38" s="230" t="inlineStr">
        <is>
          <t>WCS79</t>
        </is>
      </c>
      <c r="G38" s="230" t="inlineStr">
        <is>
          <t>JTEBVL1J80B013274</t>
        </is>
      </c>
      <c r="H38" s="230" t="inlineStr">
        <is>
          <t>1990</t>
        </is>
      </c>
      <c r="I38" s="230" t="inlineStr">
        <is>
          <t>5240</t>
        </is>
      </c>
      <c r="J38" s="230" t="inlineStr">
        <is>
          <t>1850</t>
        </is>
      </c>
      <c r="K38" s="230" t="inlineStr">
        <is>
          <t>2240</t>
        </is>
      </c>
      <c r="L38" s="230" t="inlineStr">
        <is>
          <t>N/A</t>
        </is>
      </c>
    </row>
    <row r="39">
      <c r="B39" s="230" t="inlineStr">
        <is>
          <t>1IGR564</t>
        </is>
      </c>
      <c r="C39" s="230" t="inlineStr">
        <is>
          <t>IVMS041</t>
        </is>
      </c>
      <c r="D39" s="230" t="inlineStr">
        <is>
          <t>DFMS166</t>
        </is>
      </c>
      <c r="E39" s="230" t="inlineStr">
        <is>
          <t>Toyota Landcruiser</t>
        </is>
      </c>
      <c r="F39" s="230" t="inlineStr">
        <is>
          <t>WCS80</t>
        </is>
      </c>
      <c r="G39" s="230" t="inlineStr">
        <is>
          <t>JTEBRL1J60B002343</t>
        </is>
      </c>
      <c r="H39" s="230" t="inlineStr">
        <is>
          <t>1990</t>
        </is>
      </c>
      <c r="I39" s="230" t="inlineStr">
        <is>
          <t>5240</t>
        </is>
      </c>
      <c r="J39" s="230" t="inlineStr">
        <is>
          <t>1850</t>
        </is>
      </c>
      <c r="K39" s="230" t="inlineStr">
        <is>
          <t>2240</t>
        </is>
      </c>
      <c r="L39" s="230" t="inlineStr">
        <is>
          <t>N/A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F7F7F"/>
    <outlinePr summaryBelow="1" summaryRight="1"/>
    <pageSetUpPr/>
  </sheetPr>
  <dimension ref="A1:D27"/>
  <sheetViews>
    <sheetView tabSelected="0" workbookViewId="0">
      <selection activeCell="A1" sqref="A1"/>
    </sheetView>
  </sheetViews>
  <sheetFormatPr baseColWidth="8" defaultRowHeight="15"/>
  <cols>
    <col width="26" customWidth="1" style="53" min="1" max="1"/>
    <col width="10" customWidth="1" style="53" min="2" max="2"/>
    <col width="8" customWidth="1" style="53" min="3" max="3"/>
    <col width="14" customWidth="1" style="53" min="4" max="4"/>
  </cols>
  <sheetData>
    <row r="1">
      <c r="A1" s="230" t="inlineStr">
        <is>
          <t>Camps</t>
        </is>
      </c>
      <c r="D1" s="230" t="inlineStr">
        <is>
          <t>Site</t>
        </is>
      </c>
    </row>
    <row r="2">
      <c r="A2" s="230" t="inlineStr">
        <is>
          <t>The Landing (Port Hed)</t>
        </is>
      </c>
      <c r="B2" s="230" t="inlineStr">
        <is>
          <t>LND</t>
        </is>
      </c>
      <c r="C2" s="230" t="n">
        <v>0</v>
      </c>
      <c r="D2" s="230" t="inlineStr">
        <is>
          <t>0 - 153</t>
        </is>
      </c>
    </row>
    <row r="3">
      <c r="A3" s="230" t="inlineStr">
        <is>
          <t>Gateway</t>
        </is>
      </c>
      <c r="B3" s="230" t="inlineStr">
        <is>
          <t>GWV</t>
        </is>
      </c>
      <c r="C3" s="230" t="n">
        <v>0</v>
      </c>
    </row>
    <row r="4">
      <c r="A4" s="230" t="inlineStr">
        <is>
          <t>Port Haven</t>
        </is>
      </c>
      <c r="B4" s="230" t="inlineStr">
        <is>
          <t>PHN</t>
        </is>
      </c>
      <c r="C4" s="230" t="n">
        <v>0</v>
      </c>
    </row>
    <row r="5">
      <c r="A5" s="230" t="inlineStr">
        <is>
          <t>Redmont</t>
        </is>
      </c>
      <c r="B5" s="230" t="inlineStr">
        <is>
          <t>RDM</t>
        </is>
      </c>
      <c r="C5" s="230" t="n">
        <v>203</v>
      </c>
      <c r="D5" s="230" t="inlineStr">
        <is>
          <t>154 - 259</t>
        </is>
      </c>
    </row>
    <row r="6">
      <c r="A6" s="230" t="inlineStr">
        <is>
          <t>Spinifex (Yandi)</t>
        </is>
      </c>
      <c r="B6" s="230" t="inlineStr">
        <is>
          <t>SPX</t>
        </is>
      </c>
      <c r="C6" s="230" t="n">
        <v>310</v>
      </c>
      <c r="D6" s="230" t="inlineStr">
        <is>
          <t>260 - 379</t>
        </is>
      </c>
    </row>
    <row r="7">
      <c r="A7" s="230" t="inlineStr">
        <is>
          <t>Warrawandu (Newman)</t>
        </is>
      </c>
      <c r="B7" s="230" t="inlineStr">
        <is>
          <t>WRR</t>
        </is>
      </c>
      <c r="C7" s="230" t="n">
        <v>416</v>
      </c>
      <c r="D7" s="230" t="inlineStr">
        <is>
          <t>380-440</t>
        </is>
      </c>
    </row>
    <row r="8">
      <c r="A8" s="230" t="inlineStr">
        <is>
          <t>Offsite</t>
        </is>
      </c>
      <c r="B8" s="230" t="inlineStr">
        <is>
          <t>O/S</t>
        </is>
      </c>
    </row>
    <row r="9">
      <c r="A9" s="230" t="inlineStr">
        <is>
          <t>Port Hedland</t>
        </is>
      </c>
    </row>
    <row r="10">
      <c r="A10" s="230" t="inlineStr">
        <is>
          <t>Fly IN</t>
        </is>
      </c>
      <c r="B10" s="230" t="inlineStr">
        <is>
          <t>PER/PHE</t>
        </is>
      </c>
    </row>
    <row r="11">
      <c r="A11" s="230" t="inlineStr">
        <is>
          <t>Fly OUT</t>
        </is>
      </c>
      <c r="B11" s="230" t="inlineStr">
        <is>
          <t>PHE/PER</t>
        </is>
      </c>
    </row>
    <row r="12">
      <c r="A12" s="230" t="inlineStr">
        <is>
          <t>Newman Airport</t>
        </is>
      </c>
    </row>
    <row r="13">
      <c r="A13" s="230" t="inlineStr">
        <is>
          <t>Fly IN</t>
        </is>
      </c>
      <c r="B13" s="230" t="inlineStr">
        <is>
          <t>PER/ZNE</t>
        </is>
      </c>
    </row>
    <row r="14">
      <c r="A14" s="230" t="inlineStr">
        <is>
          <t>Fly OUT</t>
        </is>
      </c>
      <c r="B14" s="230" t="inlineStr">
        <is>
          <t>ZNE/PER</t>
        </is>
      </c>
    </row>
    <row r="15">
      <c r="A15" s="230" t="inlineStr">
        <is>
          <t>MAC Airport</t>
        </is>
      </c>
    </row>
    <row r="16">
      <c r="A16" s="230" t="inlineStr">
        <is>
          <t>Fly IN</t>
        </is>
      </c>
      <c r="B16" s="230" t="inlineStr">
        <is>
          <t>PER/CJF</t>
        </is>
      </c>
    </row>
    <row r="17">
      <c r="A17" s="230" t="inlineStr">
        <is>
          <t>Fly OUT</t>
        </is>
      </c>
      <c r="B17" s="230" t="inlineStr">
        <is>
          <t>CJF/PER</t>
        </is>
      </c>
    </row>
    <row r="18">
      <c r="A18" s="230" t="inlineStr">
        <is>
          <t>Yandi Airport</t>
        </is>
      </c>
    </row>
    <row r="19">
      <c r="A19" s="230" t="inlineStr">
        <is>
          <t>Fly IN</t>
        </is>
      </c>
      <c r="B19" s="230" t="inlineStr">
        <is>
          <t>PER/BYP</t>
        </is>
      </c>
    </row>
    <row r="20">
      <c r="A20" s="230" t="inlineStr">
        <is>
          <t>Fly OUT</t>
        </is>
      </c>
      <c r="B20" s="230" t="inlineStr">
        <is>
          <t>BYP/PER</t>
        </is>
      </c>
    </row>
    <row r="23">
      <c r="A23" s="230" t="inlineStr">
        <is>
          <t>Annual Leave</t>
        </is>
      </c>
      <c r="B23" s="230" t="inlineStr">
        <is>
          <t>A/L</t>
        </is>
      </c>
    </row>
    <row r="24">
      <c r="A24" s="230" t="inlineStr">
        <is>
          <t>Sick Leave</t>
        </is>
      </c>
      <c r="B24" s="230" t="inlineStr">
        <is>
          <t>S/L</t>
        </is>
      </c>
    </row>
    <row r="25">
      <c r="A25" s="230" t="inlineStr">
        <is>
          <t>Personal Leave</t>
        </is>
      </c>
      <c r="B25" s="230" t="inlineStr">
        <is>
          <t>P/L</t>
        </is>
      </c>
    </row>
    <row r="26">
      <c r="A26" s="230" t="inlineStr">
        <is>
          <t>Rest On Site</t>
        </is>
      </c>
      <c r="B26" s="230" t="inlineStr">
        <is>
          <t>RDO</t>
        </is>
      </c>
    </row>
    <row r="27">
      <c r="A27" s="230" t="inlineStr">
        <is>
          <t>Rest &amp; Recovery</t>
        </is>
      </c>
      <c r="B27" s="230" t="inlineStr">
        <is>
          <t>R&amp;R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70"/>
  <sheetViews>
    <sheetView showGridLines="0" tabSelected="0" zoomScaleNormal="100" workbookViewId="0">
      <selection activeCell="B52" sqref="B52"/>
    </sheetView>
  </sheetViews>
  <sheetFormatPr baseColWidth="8" defaultColWidth="8.7109375" defaultRowHeight="15"/>
  <cols>
    <col width="2" customWidth="1" style="53" min="1" max="1"/>
    <col width="30" customWidth="1" style="53" min="2" max="2"/>
    <col width="16" customWidth="1" style="53" min="3" max="3"/>
    <col width="16" customWidth="1" style="53" min="4" max="4"/>
    <col width="3" customWidth="1" style="53" min="5" max="5"/>
    <col width="12" customWidth="1" style="53" min="6" max="6"/>
    <col width="20" customWidth="1" style="53" min="7" max="7"/>
    <col width="3" customWidth="1" style="53" min="8" max="8"/>
    <col width="14" customWidth="1" style="53" min="9" max="9"/>
    <col width="16" customWidth="1" style="53" min="10" max="10"/>
    <col width="3" customWidth="1" style="53" min="11" max="11"/>
    <col width="16" customWidth="1" style="53" min="12" max="12"/>
    <col width="22" customWidth="1" style="53" min="13" max="13"/>
    <col width="34" customWidth="1" style="53" min="14" max="14"/>
    <col width="20" customWidth="1" style="53" min="15" max="15"/>
    <col width="30" customWidth="1" style="53" min="16" max="16"/>
    <col width="9" customWidth="1" style="53" min="17" max="17"/>
  </cols>
  <sheetData>
    <row r="1" ht="21.75" customHeight="1" s="53">
      <c r="B1" s="54" t="inlineStr">
        <is>
          <t>Settings</t>
        </is>
      </c>
    </row>
    <row r="2" ht="21.75" customHeight="1" s="53"/>
    <row r="3" ht="21.75" customHeight="1" s="53">
      <c r="B3" s="56" t="inlineStr">
        <is>
          <t>Code dictionary and lists that drive the WPU roster summary and dashboard</t>
        </is>
      </c>
    </row>
    <row r="4" ht="6" customHeight="1" s="53"/>
    <row r="5" ht="3.75" customHeight="1" s="53"/>
    <row r="6"/>
    <row r="7">
      <c r="B7" s="26" t="inlineStr">
        <is>
          <t>Snapshot date (set on Dashboard)</t>
        </is>
      </c>
      <c r="C7" s="231">
        <f>Dashboard!$Q$9</f>
        <v/>
      </c>
      <c r="D7" s="28" t="inlineStr">
        <is>
          <t>Blank on the Dashboard = today</t>
        </is>
      </c>
    </row>
    <row r="8">
      <c r="B8" s="26" t="inlineStr">
        <is>
          <t>Snapshot date used</t>
        </is>
      </c>
      <c r="C8" s="232">
        <f>IF(OR(C7="",C7=0),TODAY(),C7)</f>
        <v/>
      </c>
    </row>
    <row r="9">
      <c r="B9" s="26" t="inlineStr">
        <is>
          <t>Roster column for snapshot</t>
        </is>
      </c>
      <c r="C9" s="233">
        <f>IFERROR(MATCH(C8,'INPUT - Roster'!$S$4:$SV$4,0),"Date not on roster")</f>
        <v/>
      </c>
      <c r="D9" s="28" t="inlineStr">
        <is>
          <t>Position of the date in the INPUT roster</t>
        </is>
      </c>
    </row>
    <row r="10"/>
    <row r="11" ht="30" customHeight="1" s="53"/>
    <row r="12">
      <c r="B12" s="234" t="inlineStr">
        <is>
          <t>EXACT CODES (whole cell)</t>
        </is>
      </c>
      <c r="F12" s="234" t="inlineStr">
        <is>
          <t>CAMP CODES (cell contains)</t>
        </is>
      </c>
      <c r="I12" s="234" t="inlineStr">
        <is>
          <t>STATUS CODES (contains; lower rows win)</t>
        </is>
      </c>
    </row>
    <row r="13">
      <c r="B13" s="31" t="inlineStr">
        <is>
          <t>Code</t>
        </is>
      </c>
      <c r="C13" s="31" t="inlineStr">
        <is>
          <t>Status</t>
        </is>
      </c>
      <c r="D13" s="31" t="inlineStr">
        <is>
          <t>Location</t>
        </is>
      </c>
      <c r="F13" s="31" t="inlineStr">
        <is>
          <t>Contains</t>
        </is>
      </c>
      <c r="G13" s="31" t="inlineStr">
        <is>
          <t>Camp</t>
        </is>
      </c>
      <c r="I13" s="31" t="inlineStr">
        <is>
          <t>Contains</t>
        </is>
      </c>
      <c r="J13" s="31" t="inlineStr">
        <is>
          <t>Status</t>
        </is>
      </c>
      <c r="L13" s="31" t="inlineStr">
        <is>
          <t>Status list</t>
        </is>
      </c>
      <c r="M13" s="31" t="inlineStr">
        <is>
          <t>Company filter</t>
        </is>
      </c>
      <c r="N13" s="31" t="inlineStr">
        <is>
          <t>Crew filter</t>
        </is>
      </c>
      <c r="O13" s="31" t="inlineStr">
        <is>
          <t>Camps</t>
        </is>
      </c>
      <c r="P13" s="31" t="inlineStr">
        <is>
          <t>Booking status list</t>
        </is>
      </c>
      <c r="Q13" s="31" t="inlineStr">
        <is>
          <t>Pending?</t>
        </is>
      </c>
    </row>
    <row r="14">
      <c r="B14" s="235" t="inlineStr">
        <is>
          <t>RnR</t>
        </is>
      </c>
      <c r="C14" s="235" t="inlineStr">
        <is>
          <t>R&amp;R</t>
        </is>
      </c>
      <c r="D14" s="235" t="n"/>
      <c r="F14" s="235" t="inlineStr">
        <is>
          <t>O/S</t>
        </is>
      </c>
      <c r="G14" s="235" t="inlineStr">
        <is>
          <t>Offsite</t>
        </is>
      </c>
      <c r="I14" s="235" t="inlineStr">
        <is>
          <t>N/A</t>
        </is>
      </c>
      <c r="J14" s="235" t="inlineStr">
        <is>
          <t>Not mobilised</t>
        </is>
      </c>
      <c r="L14" s="236" t="inlineStr">
        <is>
          <t>On site</t>
        </is>
      </c>
      <c r="M14" s="36" t="inlineStr">
        <is>
          <t>All</t>
        </is>
      </c>
      <c r="N14" s="36" t="inlineStr">
        <is>
          <t>All</t>
        </is>
      </c>
      <c r="O14" s="36" t="inlineStr">
        <is>
          <t>Offsite</t>
        </is>
      </c>
      <c r="P14" s="36" t="inlineStr">
        <is>
          <t>To be submitted</t>
        </is>
      </c>
      <c r="Q14" s="36" t="inlineStr">
        <is>
          <t>Yes</t>
        </is>
      </c>
    </row>
    <row r="15">
      <c r="B15" s="235" t="inlineStr">
        <is>
          <t>R&amp;R</t>
        </is>
      </c>
      <c r="C15" s="235" t="inlineStr">
        <is>
          <t>R&amp;R</t>
        </is>
      </c>
      <c r="D15" s="235" t="n"/>
      <c r="F15" s="235" t="inlineStr">
        <is>
          <t>3RD PTY</t>
        </is>
      </c>
      <c r="G15" s="235" t="inlineStr">
        <is>
          <t>Third party accom</t>
        </is>
      </c>
      <c r="I15" s="235" t="inlineStr">
        <is>
          <t>RnR</t>
        </is>
      </c>
      <c r="J15" s="235" t="inlineStr">
        <is>
          <t>R&amp;R</t>
        </is>
      </c>
      <c r="L15" s="167" t="inlineStr">
        <is>
          <t>Travel in</t>
        </is>
      </c>
      <c r="M15" s="36" t="inlineStr">
        <is>
          <t>2XM</t>
        </is>
      </c>
      <c r="N15" s="36" t="inlineStr">
        <is>
          <t>Management HSE / CM ( 2x)</t>
        </is>
      </c>
      <c r="O15" s="36" t="inlineStr">
        <is>
          <t>Third party accom</t>
        </is>
      </c>
      <c r="P15" s="36" t="inlineStr">
        <is>
          <t>NPI escalation waiting</t>
        </is>
      </c>
      <c r="Q15" s="36" t="inlineStr">
        <is>
          <t>Yes</t>
        </is>
      </c>
    </row>
    <row r="16">
      <c r="B16" s="235" t="inlineStr">
        <is>
          <t>N/A</t>
        </is>
      </c>
      <c r="C16" s="235" t="inlineStr">
        <is>
          <t>Not mobilised</t>
        </is>
      </c>
      <c r="D16" s="235" t="n"/>
      <c r="F16" s="235" t="inlineStr">
        <is>
          <t>LND</t>
        </is>
      </c>
      <c r="G16" s="235" t="inlineStr">
        <is>
          <t>The Landing</t>
        </is>
      </c>
      <c r="I16" s="235" t="inlineStr">
        <is>
          <t>R&amp;R</t>
        </is>
      </c>
      <c r="J16" s="235" t="inlineStr">
        <is>
          <t>R&amp;R</t>
        </is>
      </c>
      <c r="L16" s="237" t="inlineStr">
        <is>
          <t>Travel out</t>
        </is>
      </c>
      <c r="M16" s="36" t="inlineStr">
        <is>
          <t>Back Up</t>
        </is>
      </c>
      <c r="N16" s="36" t="inlineStr">
        <is>
          <t>Logistics Team (4x)</t>
        </is>
      </c>
      <c r="O16" s="36" t="inlineStr">
        <is>
          <t>The Landing</t>
        </is>
      </c>
      <c r="P16" s="36" t="inlineStr">
        <is>
          <t>Booking submitted</t>
        </is>
      </c>
      <c r="Q16" s="36" t="inlineStr">
        <is>
          <t>Yes</t>
        </is>
      </c>
    </row>
    <row r="17">
      <c r="B17" s="235" t="inlineStr">
        <is>
          <t>TBC</t>
        </is>
      </c>
      <c r="C17" s="235" t="inlineStr">
        <is>
          <t>TBC</t>
        </is>
      </c>
      <c r="D17" s="235" t="n"/>
      <c r="F17" s="235" t="inlineStr">
        <is>
          <t>GWV</t>
        </is>
      </c>
      <c r="G17" s="235" t="inlineStr">
        <is>
          <t>Gateway</t>
        </is>
      </c>
      <c r="I17" s="235" t="inlineStr">
        <is>
          <t>O/S</t>
        </is>
      </c>
      <c r="J17" s="235" t="inlineStr">
        <is>
          <t>On site</t>
        </is>
      </c>
      <c r="L17" s="238" t="inlineStr">
        <is>
          <t>R&amp;R</t>
        </is>
      </c>
      <c r="M17" s="36" t="inlineStr">
        <is>
          <t>Comms WA</t>
        </is>
      </c>
      <c r="N17" s="36" t="inlineStr">
        <is>
          <t>Roster A - Civil Team 1 (4x)</t>
        </is>
      </c>
      <c r="O17" s="36" t="inlineStr">
        <is>
          <t>Gateway</t>
        </is>
      </c>
      <c r="P17" s="36" t="inlineStr">
        <is>
          <t>NPI decline</t>
        </is>
      </c>
      <c r="Q17" s="36" t="inlineStr">
        <is>
          <t>Yes</t>
        </is>
      </c>
    </row>
    <row r="18">
      <c r="B18" s="235" t="inlineStr">
        <is>
          <t>TBA</t>
        </is>
      </c>
      <c r="C18" s="235" t="inlineStr">
        <is>
          <t>TBC</t>
        </is>
      </c>
      <c r="D18" s="235" t="n"/>
      <c r="F18" s="235" t="inlineStr">
        <is>
          <t>PHN</t>
        </is>
      </c>
      <c r="G18" s="235" t="inlineStr">
        <is>
          <t>Port Haven</t>
        </is>
      </c>
      <c r="I18" s="235" t="inlineStr">
        <is>
          <t>3RD PTY</t>
        </is>
      </c>
      <c r="J18" s="235" t="inlineStr">
        <is>
          <t>On site</t>
        </is>
      </c>
      <c r="L18" s="239" t="inlineStr">
        <is>
          <t>Leave</t>
        </is>
      </c>
      <c r="M18" s="36" t="inlineStr">
        <is>
          <t>Freo Cranes</t>
        </is>
      </c>
      <c r="N18" s="36" t="inlineStr">
        <is>
          <t>Roster B - Civil Team 2 (4x)</t>
        </is>
      </c>
      <c r="O18" s="36" t="inlineStr">
        <is>
          <t>Port Haven</t>
        </is>
      </c>
      <c r="P18" s="36" t="inlineStr">
        <is>
          <t>New changes</t>
        </is>
      </c>
      <c r="Q18" s="36" t="inlineStr">
        <is>
          <t>Yes</t>
        </is>
      </c>
    </row>
    <row r="19">
      <c r="B19" s="235" t="inlineStr">
        <is>
          <t>RDO</t>
        </is>
      </c>
      <c r="C19" s="235" t="inlineStr">
        <is>
          <t>On site</t>
        </is>
      </c>
      <c r="D19" s="235" t="n"/>
      <c r="F19" s="235" t="inlineStr">
        <is>
          <t>RDM</t>
        </is>
      </c>
      <c r="G19" s="235" t="inlineStr">
        <is>
          <t>Redmont</t>
        </is>
      </c>
      <c r="I19" s="235" t="inlineStr">
        <is>
          <t>LND</t>
        </is>
      </c>
      <c r="J19" s="235" t="inlineStr">
        <is>
          <t>On site</t>
        </is>
      </c>
      <c r="L19" s="240" t="inlineStr">
        <is>
          <t>Not mobilised</t>
        </is>
      </c>
      <c r="M19" s="36" t="inlineStr">
        <is>
          <t>Jurovich Survey</t>
        </is>
      </c>
      <c r="N19" s="36" t="inlineStr">
        <is>
          <t>Roster A - Electrical Team 1 (5x)</t>
        </is>
      </c>
      <c r="O19" s="36" t="inlineStr">
        <is>
          <t>Redmont</t>
        </is>
      </c>
      <c r="P19" s="36" t="inlineStr">
        <is>
          <t>Unknown colour</t>
        </is>
      </c>
      <c r="Q19" s="36" t="inlineStr">
        <is>
          <t>Yes</t>
        </is>
      </c>
    </row>
    <row r="20">
      <c r="B20" s="235" t="inlineStr">
        <is>
          <t>MISSED FLIGHT</t>
        </is>
      </c>
      <c r="C20" s="235" t="inlineStr">
        <is>
          <t>Other</t>
        </is>
      </c>
      <c r="D20" s="235" t="n"/>
      <c r="F20" s="235" t="inlineStr">
        <is>
          <t>SPX</t>
        </is>
      </c>
      <c r="G20" s="235" t="inlineStr">
        <is>
          <t>Spinifex</t>
        </is>
      </c>
      <c r="I20" s="235" t="inlineStr">
        <is>
          <t>GWV</t>
        </is>
      </c>
      <c r="J20" s="235" t="inlineStr">
        <is>
          <t>On site</t>
        </is>
      </c>
      <c r="L20" s="241" t="inlineStr">
        <is>
          <t>TBC</t>
        </is>
      </c>
      <c r="M20" s="36" t="inlineStr">
        <is>
          <t>LGC</t>
        </is>
      </c>
      <c r="N20" s="36" t="inlineStr">
        <is>
          <t>Roster B- Electrical Team 2 (5x)</t>
        </is>
      </c>
      <c r="O20" s="36" t="inlineStr">
        <is>
          <t>Spinifex</t>
        </is>
      </c>
      <c r="P20" s="36" t="inlineStr">
        <is>
          <t>No colour</t>
        </is>
      </c>
      <c r="Q20" s="36" t="inlineStr">
        <is>
          <t>Yes</t>
        </is>
      </c>
    </row>
    <row r="21">
      <c r="B21" s="235" t="n"/>
      <c r="C21" s="235" t="n"/>
      <c r="D21" s="235" t="n"/>
      <c r="F21" s="235" t="inlineStr">
        <is>
          <t>WRR</t>
        </is>
      </c>
      <c r="G21" s="235" t="inlineStr">
        <is>
          <t>Warrawandu</t>
        </is>
      </c>
      <c r="I21" s="235" t="inlineStr">
        <is>
          <t>PHN</t>
        </is>
      </c>
      <c r="J21" s="235" t="inlineStr">
        <is>
          <t>On site</t>
        </is>
      </c>
      <c r="L21" s="242" t="inlineStr">
        <is>
          <t>Other</t>
        </is>
      </c>
      <c r="M21" s="36" t="inlineStr">
        <is>
          <t>LGC Rail</t>
        </is>
      </c>
      <c r="N21" s="36" t="inlineStr">
        <is>
          <t>Communication Specialist</t>
        </is>
      </c>
      <c r="O21" s="36" t="inlineStr">
        <is>
          <t>Warrawandu</t>
        </is>
      </c>
      <c r="P21" s="36" t="inlineStr">
        <is>
          <t>Confirmed by NPI</t>
        </is>
      </c>
      <c r="Q21" s="36" t="inlineStr">
        <is>
          <t>No</t>
        </is>
      </c>
    </row>
    <row r="22">
      <c r="B22" s="235" t="n"/>
      <c r="C22" s="235" t="n"/>
      <c r="D22" s="235" t="n"/>
      <c r="F22" s="235" t="inlineStr">
        <is>
          <t>WWR</t>
        </is>
      </c>
      <c r="G22" s="235" t="inlineStr">
        <is>
          <t>Warrawandu</t>
        </is>
      </c>
      <c r="I22" s="235" t="inlineStr">
        <is>
          <t>RDM</t>
        </is>
      </c>
      <c r="J22" s="235" t="inlineStr">
        <is>
          <t>On site</t>
        </is>
      </c>
      <c r="L22" s="243" t="inlineStr">
        <is>
          <t>Not rostered</t>
        </is>
      </c>
      <c r="M22" s="36" t="inlineStr">
        <is>
          <t>PTM</t>
        </is>
      </c>
      <c r="N22" s="36" t="inlineStr">
        <is>
          <t>Track Protection Officers (Standby)</t>
        </is>
      </c>
      <c r="O22" s="36" t="inlineStr">
        <is>
          <t>Kalgans Rest</t>
        </is>
      </c>
      <c r="P22" s="36" t="inlineStr">
        <is>
          <t>Confirmed (bright green - check)</t>
        </is>
      </c>
      <c r="Q22" s="36" t="inlineStr">
        <is>
          <t>No</t>
        </is>
      </c>
    </row>
    <row r="23">
      <c r="B23" s="235" t="n"/>
      <c r="C23" s="235" t="n"/>
      <c r="D23" s="235" t="n"/>
      <c r="F23" s="235" t="inlineStr">
        <is>
          <t>KAL</t>
        </is>
      </c>
      <c r="G23" s="235" t="inlineStr">
        <is>
          <t>Kalgans Rest</t>
        </is>
      </c>
      <c r="I23" s="235" t="inlineStr">
        <is>
          <t>SPX</t>
        </is>
      </c>
      <c r="J23" s="235" t="inlineStr">
        <is>
          <t>On site</t>
        </is>
      </c>
      <c r="L23" s="36" t="n"/>
      <c r="M23" s="36" t="inlineStr">
        <is>
          <t>Sentinel</t>
        </is>
      </c>
      <c r="N23" s="36" t="inlineStr">
        <is>
          <t>Traffic Controllers &amp; Lifting</t>
        </is>
      </c>
      <c r="O23" s="36" t="inlineStr">
        <is>
          <t>Mulla Mulla</t>
        </is>
      </c>
      <c r="P23" s="36" t="inlineStr">
        <is>
          <t>Double checked</t>
        </is>
      </c>
      <c r="Q23" s="36" t="inlineStr">
        <is>
          <t>No</t>
        </is>
      </c>
    </row>
    <row r="24">
      <c r="B24" s="235" t="n"/>
      <c r="C24" s="235" t="n"/>
      <c r="D24" s="235" t="n"/>
      <c r="F24" s="235" t="inlineStr">
        <is>
          <t>MMV</t>
        </is>
      </c>
      <c r="G24" s="235" t="inlineStr">
        <is>
          <t>Mulla Mulla</t>
        </is>
      </c>
      <c r="I24" s="235" t="inlineStr">
        <is>
          <t>WRR</t>
        </is>
      </c>
      <c r="J24" s="235" t="inlineStr">
        <is>
          <t>On site</t>
        </is>
      </c>
      <c r="L24" s="36" t="n"/>
      <c r="M24" s="36" t="inlineStr">
        <is>
          <t>SLM</t>
        </is>
      </c>
      <c r="N24" s="36" t="inlineStr">
        <is>
          <t>Surveyors</t>
        </is>
      </c>
      <c r="O24" s="36" t="inlineStr">
        <is>
          <t>Oasis</t>
        </is>
      </c>
      <c r="P24" s="36" t="inlineStr">
        <is>
          <t>Cancelled</t>
        </is>
      </c>
      <c r="Q24" s="36" t="inlineStr">
        <is>
          <t>No</t>
        </is>
      </c>
    </row>
    <row r="25">
      <c r="B25" s="235" t="n"/>
      <c r="C25" s="235" t="n"/>
      <c r="D25" s="235" t="n"/>
      <c r="F25" s="235" t="inlineStr">
        <is>
          <t>OAS</t>
        </is>
      </c>
      <c r="G25" s="235" t="inlineStr">
        <is>
          <t>Oasis</t>
        </is>
      </c>
      <c r="I25" s="235" t="inlineStr">
        <is>
          <t>WWR</t>
        </is>
      </c>
      <c r="J25" s="235" t="inlineStr">
        <is>
          <t>On site</t>
        </is>
      </c>
      <c r="L25" s="36" t="n"/>
      <c r="M25" s="36" t="inlineStr">
        <is>
          <t>STS</t>
        </is>
      </c>
      <c r="N25" s="36" t="inlineStr">
        <is>
          <t>Demobilised</t>
        </is>
      </c>
      <c r="O25" s="36" t="inlineStr">
        <is>
          <t>Packsaddle</t>
        </is>
      </c>
    </row>
    <row r="26">
      <c r="B26" s="235" t="n"/>
      <c r="C26" s="235" t="n"/>
      <c r="D26" s="235" t="n"/>
      <c r="F26" s="235" t="inlineStr">
        <is>
          <t>PSC</t>
        </is>
      </c>
      <c r="G26" s="235" t="inlineStr">
        <is>
          <t>Packsaddle</t>
        </is>
      </c>
      <c r="I26" s="235" t="inlineStr">
        <is>
          <t>KAL</t>
        </is>
      </c>
      <c r="J26" s="235" t="inlineStr">
        <is>
          <t>On site</t>
        </is>
      </c>
      <c r="L26" s="36" t="n"/>
      <c r="M26" s="36" t="inlineStr">
        <is>
          <t>Wabtec</t>
        </is>
      </c>
      <c r="N26" s="36" t="n"/>
      <c r="O26" s="36" t="inlineStr">
        <is>
          <t>Whaleback</t>
        </is>
      </c>
    </row>
    <row r="27">
      <c r="B27" s="235" t="n"/>
      <c r="C27" s="235" t="n"/>
      <c r="D27" s="235" t="n"/>
      <c r="F27" s="235" t="inlineStr">
        <is>
          <t>WBV</t>
        </is>
      </c>
      <c r="G27" s="235" t="inlineStr">
        <is>
          <t>Whaleback</t>
        </is>
      </c>
      <c r="I27" s="235" t="inlineStr">
        <is>
          <t>MMV</t>
        </is>
      </c>
      <c r="J27" s="235" t="inlineStr">
        <is>
          <t>On site</t>
        </is>
      </c>
      <c r="L27" s="36" t="n"/>
      <c r="M27" s="36" t="n"/>
      <c r="N27" s="36" t="n"/>
      <c r="O27" s="36" t="n"/>
    </row>
    <row r="28">
      <c r="B28" s="235" t="n"/>
      <c r="C28" s="235" t="n"/>
      <c r="D28" s="235" t="n"/>
      <c r="F28" s="235" t="n"/>
      <c r="G28" s="235" t="n"/>
      <c r="I28" s="235" t="inlineStr">
        <is>
          <t>OAS</t>
        </is>
      </c>
      <c r="J28" s="235" t="inlineStr">
        <is>
          <t>On site</t>
        </is>
      </c>
      <c r="L28" s="36" t="n"/>
      <c r="M28" s="36" t="n"/>
      <c r="N28" s="36" t="n"/>
      <c r="O28" s="36" t="n"/>
    </row>
    <row r="29">
      <c r="B29" s="235" t="n"/>
      <c r="C29" s="235" t="n"/>
      <c r="D29" s="235" t="n"/>
      <c r="F29" s="235" t="n"/>
      <c r="G29" s="235" t="n"/>
      <c r="I29" s="235" t="inlineStr">
        <is>
          <t>PSC</t>
        </is>
      </c>
      <c r="J29" s="235" t="inlineStr">
        <is>
          <t>On site</t>
        </is>
      </c>
      <c r="L29" s="36" t="n"/>
      <c r="M29" s="36" t="n"/>
      <c r="N29" s="36" t="n"/>
      <c r="O29" s="36" t="n"/>
    </row>
    <row r="30">
      <c r="B30" s="235" t="n"/>
      <c r="C30" s="235" t="n"/>
      <c r="D30" s="235" t="n"/>
      <c r="F30" s="235" t="n"/>
      <c r="G30" s="235" t="n"/>
      <c r="I30" s="235" t="inlineStr">
        <is>
          <t>WBV</t>
        </is>
      </c>
      <c r="J30" s="235" t="inlineStr">
        <is>
          <t>On site</t>
        </is>
      </c>
      <c r="L30" s="36" t="n"/>
      <c r="M30" s="36" t="n"/>
      <c r="N30" s="36" t="n"/>
      <c r="O30" s="36" t="n"/>
    </row>
    <row r="31">
      <c r="B31" s="235" t="n"/>
      <c r="C31" s="235" t="n"/>
      <c r="D31" s="235" t="n"/>
      <c r="F31" s="235" t="n"/>
      <c r="G31" s="235" t="n"/>
      <c r="I31" s="235" t="inlineStr">
        <is>
          <t>A/L</t>
        </is>
      </c>
      <c r="J31" s="235" t="inlineStr">
        <is>
          <t>Leave</t>
        </is>
      </c>
      <c r="L31" s="36" t="n"/>
      <c r="M31" s="36" t="n"/>
      <c r="N31" s="36" t="n"/>
      <c r="O31" s="36" t="n"/>
    </row>
    <row r="32">
      <c r="B32" s="235" t="n"/>
      <c r="C32" s="235" t="n"/>
      <c r="D32" s="235" t="n"/>
      <c r="F32" s="235" t="n"/>
      <c r="G32" s="235" t="n"/>
      <c r="I32" s="235" t="inlineStr">
        <is>
          <t>S/L</t>
        </is>
      </c>
      <c r="J32" s="235" t="inlineStr">
        <is>
          <t>Leave</t>
        </is>
      </c>
      <c r="L32" s="36" t="n"/>
      <c r="M32" s="36" t="n"/>
      <c r="N32" s="36" t="n"/>
      <c r="O32" s="36" t="n"/>
    </row>
    <row r="33">
      <c r="B33" s="235" t="n"/>
      <c r="C33" s="235" t="n"/>
      <c r="D33" s="235" t="n"/>
      <c r="F33" s="235" t="n"/>
      <c r="G33" s="235" t="n"/>
      <c r="I33" s="235" t="inlineStr">
        <is>
          <t>P/L</t>
        </is>
      </c>
      <c r="J33" s="235" t="inlineStr">
        <is>
          <t>Leave</t>
        </is>
      </c>
      <c r="L33" s="36" t="n"/>
      <c r="M33" s="36" t="n"/>
      <c r="N33" s="36" t="n"/>
      <c r="O33" s="36" t="n"/>
    </row>
    <row r="34">
      <c r="F34" s="235" t="n"/>
      <c r="G34" s="235" t="n"/>
      <c r="I34" s="235" t="inlineStr">
        <is>
          <t>SICK</t>
        </is>
      </c>
      <c r="J34" s="235" t="inlineStr">
        <is>
          <t>Leave</t>
        </is>
      </c>
      <c r="L34" s="36" t="n"/>
      <c r="M34" s="36" t="n"/>
      <c r="N34" s="36" t="n"/>
      <c r="O34" s="36" t="n"/>
    </row>
    <row r="35">
      <c r="F35" s="235" t="n"/>
      <c r="G35" s="235" t="n"/>
      <c r="I35" s="235" t="inlineStr">
        <is>
          <t>LEAVE</t>
        </is>
      </c>
      <c r="J35" s="235" t="inlineStr">
        <is>
          <t>Leave</t>
        </is>
      </c>
      <c r="L35" s="36" t="n"/>
      <c r="M35" s="36" t="n"/>
      <c r="N35" s="36" t="n"/>
      <c r="O35" s="36" t="n"/>
    </row>
    <row r="36">
      <c r="F36" s="235" t="n"/>
      <c r="G36" s="235" t="n"/>
      <c r="I36" s="235" t="inlineStr">
        <is>
          <t>DEMOB</t>
        </is>
      </c>
      <c r="J36" s="235" t="inlineStr">
        <is>
          <t>Not mobilised</t>
        </is>
      </c>
      <c r="L36" s="36" t="n"/>
      <c r="M36" s="36" t="n"/>
      <c r="N36" s="36" t="n"/>
      <c r="O36" s="36" t="n"/>
    </row>
    <row r="37">
      <c r="F37" s="235" t="n"/>
      <c r="G37" s="235" t="n"/>
      <c r="I37" s="235" t="inlineStr">
        <is>
          <t>No longer</t>
        </is>
      </c>
      <c r="J37" s="235" t="inlineStr">
        <is>
          <t>Not mobilised</t>
        </is>
      </c>
      <c r="L37" s="36" t="n"/>
      <c r="M37" s="36" t="n"/>
      <c r="N37" s="36" t="n"/>
      <c r="O37" s="36" t="n"/>
    </row>
    <row r="38">
      <c r="F38" s="235" t="n"/>
      <c r="G38" s="235" t="n"/>
      <c r="I38" s="235" t="inlineStr">
        <is>
          <t>PER/PHE</t>
        </is>
      </c>
      <c r="J38" s="235" t="inlineStr">
        <is>
          <t>Travel in</t>
        </is>
      </c>
      <c r="L38" s="36" t="n"/>
      <c r="M38" s="36" t="n"/>
      <c r="N38" s="36" t="n"/>
      <c r="O38" s="36" t="n"/>
    </row>
    <row r="39">
      <c r="F39" s="235" t="n"/>
      <c r="G39" s="235" t="n"/>
      <c r="I39" s="235" t="inlineStr">
        <is>
          <t>PER/ZNE</t>
        </is>
      </c>
      <c r="J39" s="235" t="inlineStr">
        <is>
          <t>Travel in</t>
        </is>
      </c>
      <c r="L39" s="36" t="n"/>
      <c r="M39" s="36" t="n"/>
      <c r="N39" s="36" t="n"/>
      <c r="O39" s="36" t="n"/>
    </row>
    <row r="40">
      <c r="F40" s="235" t="n"/>
      <c r="G40" s="235" t="n"/>
      <c r="I40" s="235" t="inlineStr">
        <is>
          <t>PER/CJF</t>
        </is>
      </c>
      <c r="J40" s="235" t="inlineStr">
        <is>
          <t>Travel in</t>
        </is>
      </c>
      <c r="L40" s="36" t="n"/>
      <c r="M40" s="36" t="n"/>
      <c r="N40" s="36" t="n"/>
      <c r="O40" s="36" t="n"/>
    </row>
    <row r="41">
      <c r="F41" s="235" t="n"/>
      <c r="G41" s="235" t="n"/>
      <c r="I41" s="235" t="inlineStr">
        <is>
          <t>PER/BYP</t>
        </is>
      </c>
      <c r="J41" s="235" t="inlineStr">
        <is>
          <t>Travel in</t>
        </is>
      </c>
      <c r="L41" s="36" t="n"/>
      <c r="M41" s="36" t="n"/>
      <c r="N41" s="36" t="n"/>
      <c r="O41" s="36" t="n"/>
    </row>
    <row r="42">
      <c r="F42" s="235" t="n"/>
      <c r="G42" s="235" t="n"/>
      <c r="I42" s="235" t="inlineStr">
        <is>
          <t>DRV-IN</t>
        </is>
      </c>
      <c r="J42" s="235" t="inlineStr">
        <is>
          <t>Travel in</t>
        </is>
      </c>
      <c r="L42" s="36" t="n"/>
      <c r="M42" s="36" t="n"/>
      <c r="N42" s="36" t="n"/>
      <c r="O42" s="36" t="n"/>
    </row>
    <row r="43">
      <c r="F43" s="235" t="n"/>
      <c r="G43" s="235" t="n"/>
      <c r="I43" s="235" t="inlineStr">
        <is>
          <t>DRIVE IN</t>
        </is>
      </c>
      <c r="J43" s="235" t="inlineStr">
        <is>
          <t>Travel in</t>
        </is>
      </c>
      <c r="L43" s="36" t="n"/>
      <c r="M43" s="36" t="n"/>
      <c r="N43" s="36" t="n"/>
      <c r="O43" s="36" t="n"/>
    </row>
    <row r="44">
      <c r="I44" s="235" t="inlineStr">
        <is>
          <t>DI PM</t>
        </is>
      </c>
      <c r="J44" s="235" t="inlineStr">
        <is>
          <t>Travel in</t>
        </is>
      </c>
      <c r="L44" s="36" t="n"/>
      <c r="M44" s="36" t="n"/>
      <c r="N44" s="36" t="n"/>
      <c r="O44" s="36" t="n"/>
    </row>
    <row r="45">
      <c r="I45" s="235" t="inlineStr">
        <is>
          <t>DI AM</t>
        </is>
      </c>
      <c r="J45" s="235" t="inlineStr">
        <is>
          <t>Travel in</t>
        </is>
      </c>
      <c r="L45" s="36" t="n"/>
      <c r="M45" s="36" t="n"/>
      <c r="N45" s="36" t="n"/>
      <c r="O45" s="36" t="n"/>
    </row>
    <row r="46">
      <c r="I46" s="235" t="inlineStr">
        <is>
          <t>PHE/PER</t>
        </is>
      </c>
      <c r="J46" s="235" t="inlineStr">
        <is>
          <t>Travel out</t>
        </is>
      </c>
      <c r="L46" s="36" t="n"/>
      <c r="M46" s="36" t="n"/>
      <c r="N46" s="36" t="n"/>
      <c r="O46" s="36" t="n"/>
    </row>
    <row r="47">
      <c r="I47" s="235" t="inlineStr">
        <is>
          <t>ZNE/PER</t>
        </is>
      </c>
      <c r="J47" s="235" t="inlineStr">
        <is>
          <t>Travel out</t>
        </is>
      </c>
      <c r="L47" s="36" t="n"/>
      <c r="M47" s="36" t="n"/>
      <c r="N47" s="36" t="n"/>
      <c r="O47" s="36" t="n"/>
    </row>
    <row r="48">
      <c r="I48" s="235" t="inlineStr">
        <is>
          <t>CJF/PER</t>
        </is>
      </c>
      <c r="J48" s="235" t="inlineStr">
        <is>
          <t>Travel out</t>
        </is>
      </c>
      <c r="L48" s="36" t="n"/>
      <c r="M48" s="36" t="n"/>
      <c r="N48" s="36" t="n"/>
      <c r="O48" s="36" t="n"/>
    </row>
    <row r="49">
      <c r="I49" s="235" t="inlineStr">
        <is>
          <t>BYP/PER</t>
        </is>
      </c>
      <c r="J49" s="235" t="inlineStr">
        <is>
          <t>Travel out</t>
        </is>
      </c>
      <c r="L49" s="36" t="n"/>
      <c r="M49" s="36" t="n"/>
      <c r="N49" s="36" t="n"/>
      <c r="O49" s="36" t="n"/>
    </row>
    <row r="50">
      <c r="I50" s="235" t="inlineStr">
        <is>
          <t>DRV-OUT</t>
        </is>
      </c>
      <c r="J50" s="235" t="inlineStr">
        <is>
          <t>Travel out</t>
        </is>
      </c>
      <c r="L50" s="36" t="n"/>
      <c r="M50" s="36" t="n"/>
      <c r="N50" s="36" t="n"/>
      <c r="O50" s="36" t="n"/>
    </row>
    <row r="51">
      <c r="I51" s="235" t="inlineStr">
        <is>
          <t>DRIVE OUT</t>
        </is>
      </c>
      <c r="J51" s="235" t="inlineStr">
        <is>
          <t>Travel out</t>
        </is>
      </c>
      <c r="L51" s="36" t="n"/>
      <c r="M51" s="36" t="n"/>
      <c r="N51" s="36" t="n"/>
      <c r="O51" s="36" t="n"/>
    </row>
    <row r="52">
      <c r="I52" s="235" t="inlineStr">
        <is>
          <t>DO PM</t>
        </is>
      </c>
      <c r="J52" s="235" t="inlineStr">
        <is>
          <t>Travel out</t>
        </is>
      </c>
      <c r="L52" s="36" t="n"/>
      <c r="M52" s="36" t="n"/>
      <c r="N52" s="36" t="n"/>
      <c r="O52" s="36" t="n"/>
    </row>
    <row r="53">
      <c r="I53" s="235" t="inlineStr">
        <is>
          <t>DO AM</t>
        </is>
      </c>
      <c r="J53" s="235" t="inlineStr">
        <is>
          <t>Travel out</t>
        </is>
      </c>
      <c r="L53" s="36" t="n"/>
      <c r="M53" s="36" t="n"/>
      <c r="N53" s="36" t="n"/>
      <c r="O53" s="36" t="n"/>
    </row>
    <row r="54">
      <c r="I54" s="235" t="inlineStr">
        <is>
          <t>RDO</t>
        </is>
      </c>
      <c r="J54" s="235" t="inlineStr">
        <is>
          <t>On site</t>
        </is>
      </c>
    </row>
    <row r="55">
      <c r="I55" s="235" t="n"/>
      <c r="J55" s="235" t="n"/>
    </row>
    <row r="56">
      <c r="I56" s="235" t="n"/>
      <c r="J56" s="235" t="n"/>
    </row>
    <row r="57">
      <c r="I57" s="235" t="n"/>
      <c r="J57" s="235" t="n"/>
    </row>
    <row r="58">
      <c r="I58" s="235" t="n"/>
      <c r="J58" s="235" t="n"/>
    </row>
    <row r="59">
      <c r="I59" s="235" t="n"/>
      <c r="J59" s="235" t="n"/>
    </row>
    <row r="60">
      <c r="I60" s="235" t="n"/>
      <c r="J60" s="235" t="n"/>
    </row>
    <row r="61">
      <c r="I61" s="235" t="n"/>
      <c r="J61" s="235" t="n"/>
    </row>
    <row r="62">
      <c r="I62" s="235" t="n"/>
      <c r="J62" s="235" t="n"/>
    </row>
    <row r="63">
      <c r="I63" s="235" t="n"/>
      <c r="J63" s="235" t="n"/>
    </row>
    <row r="64">
      <c r="I64" s="235" t="n"/>
      <c r="J64" s="235" t="n"/>
    </row>
    <row r="65">
      <c r="I65" s="235" t="n"/>
      <c r="J65" s="235" t="n"/>
    </row>
    <row r="66">
      <c r="I66" s="235" t="n"/>
      <c r="J66" s="235" t="n"/>
    </row>
    <row r="67">
      <c r="I67" s="235" t="n"/>
      <c r="J67" s="235" t="n"/>
    </row>
    <row r="68">
      <c r="I68" s="235" t="n"/>
      <c r="J68" s="235" t="n"/>
    </row>
    <row r="69">
      <c r="I69" s="235" t="n"/>
      <c r="J69" s="235" t="n"/>
    </row>
    <row r="70">
      <c r="I70" s="235" t="n"/>
      <c r="J70" s="235" t="n"/>
    </row>
    <row r="71">
      <c r="I71" s="235" t="n"/>
      <c r="J71" s="235" t="n"/>
    </row>
    <row r="72">
      <c r="I72" s="235" t="n"/>
      <c r="J72" s="235" t="n"/>
    </row>
    <row r="73">
      <c r="I73" s="235" t="n"/>
      <c r="J73" s="235" t="n"/>
    </row>
    <row r="74">
      <c r="I74" s="235" t="n"/>
      <c r="J74" s="235" t="n"/>
    </row>
    <row r="75">
      <c r="I75" s="235" t="n"/>
      <c r="J75" s="235" t="n"/>
    </row>
    <row r="76">
      <c r="I76" s="235" t="n"/>
      <c r="J76" s="235" t="n"/>
    </row>
    <row r="77">
      <c r="I77" s="235" t="n"/>
      <c r="J77" s="235" t="n"/>
    </row>
    <row r="78">
      <c r="I78" s="235" t="n"/>
      <c r="J78" s="235" t="n"/>
    </row>
    <row r="79">
      <c r="I79" s="235" t="n"/>
      <c r="J79" s="235" t="n"/>
    </row>
    <row r="80">
      <c r="I80" s="235" t="n"/>
      <c r="J80" s="235" t="n"/>
    </row>
    <row r="81">
      <c r="I81" s="235" t="n"/>
      <c r="J81" s="235" t="n"/>
    </row>
    <row r="82">
      <c r="I82" s="235" t="n"/>
      <c r="J82" s="235" t="n"/>
    </row>
    <row r="83">
      <c r="I83" s="235" t="n"/>
      <c r="J83" s="235" t="n"/>
    </row>
    <row r="84"/>
    <row r="85"/>
    <row r="86">
      <c r="B86" s="234" t="inlineStr">
        <is>
          <t>HOW IT WORKS</t>
        </is>
      </c>
    </row>
    <row r="87">
      <c r="B87" s="28" t="inlineStr">
        <is>
          <t>Only two tabs take input: 'INPUT - Roster' (who is where, every day to Dec 2027) and 'INPUT - Bookings' (NPI booking status).</t>
        </is>
      </c>
    </row>
    <row r="88">
      <c r="B88" s="28" t="inlineStr">
        <is>
          <t>Each roster cell is read as text: exact codes first, then 'contains' codes (lower rows win, so a flight beats a camp code).</t>
        </is>
      </c>
    </row>
    <row r="89">
      <c r="B89" s="28" t="inlineStr">
        <is>
          <t>A new camp or route is a new row in the tables above - no formulas to touch.</t>
        </is>
      </c>
    </row>
    <row r="90">
      <c r="B90" s="28" t="inlineStr">
        <is>
          <t>To roll the roster past 2027, extend the date row on the INPUT tab and copy the last Camp Summary column across.</t>
        </is>
      </c>
    </row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70"/>
  </sheetData>
  <mergeCells count="2">
    <mergeCell ref="B1:F2"/>
    <mergeCell ref="B3:F3"/>
  </mergeCells>
  <pageMargins left="0.75" right="0.75" top="1" bottom="1" header="0.511811023622047" footer="0.511811023622047"/>
  <pageSetup orientation="portrait" paperSize="9" horizontalDpi="300" verticalDpi="300"/>
  <headerFooter>
    <oddHeader>&amp;R&amp;"Aptos"&amp;1 &amp;K000000 1 - General Business#_x000d_</oddHeader>
    <oddFooter/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/>
  </sheetPr>
  <dimension ref="A1:BC1504"/>
  <sheetViews>
    <sheetView tabSelected="0" workbookViewId="0">
      <selection activeCell="A1" sqref="A1"/>
    </sheetView>
  </sheetViews>
  <sheetFormatPr baseColWidth="8" defaultRowHeight="15"/>
  <sheetData>
    <row r="1">
      <c r="A1" s="169" t="inlineStr">
        <is>
          <t>Status today (filtered)</t>
        </is>
      </c>
      <c r="B1" s="169" t="inlineStr">
        <is>
          <t>Count</t>
        </is>
      </c>
      <c r="D1" s="169" t="inlineStr">
        <is>
          <t>Camp today</t>
        </is>
      </c>
      <c r="E1" s="169" t="inlineStr">
        <is>
          <t>People</t>
        </is>
      </c>
      <c r="G1" s="169" t="inlineStr">
        <is>
          <t>Day</t>
        </is>
      </c>
      <c r="H1" s="169" t="inlineStr">
        <is>
          <t>On site</t>
        </is>
      </c>
      <c r="I1" s="169" t="inlineStr">
        <is>
          <t>Travel in</t>
        </is>
      </c>
      <c r="J1" s="169" t="inlineStr">
        <is>
          <t>Travel out</t>
        </is>
      </c>
      <c r="T1" s="169" t="inlineStr">
        <is>
          <t>Week of</t>
        </is>
      </c>
      <c r="U1" s="169" t="inlineStr">
        <is>
          <t>Peak beds</t>
        </is>
      </c>
      <c r="AM1" s="169" t="inlineStr">
        <is>
          <t>k</t>
        </is>
      </c>
      <c r="AN1" s="169" t="inlineStr">
        <is>
          <t>Key</t>
        </is>
      </c>
      <c r="AO1" s="169" t="inlineStr">
        <is>
          <t>Day</t>
        </is>
      </c>
      <c r="AP1" s="169" t="inlineStr">
        <is>
          <t>Person</t>
        </is>
      </c>
      <c r="AR1" s="169" t="inlineStr">
        <is>
          <t>k</t>
        </is>
      </c>
      <c r="AS1" s="169" t="inlineStr">
        <is>
          <t>Key</t>
        </is>
      </c>
      <c r="AT1" s="169" t="inlineStr">
        <is>
          <t>Row</t>
        </is>
      </c>
      <c r="AX1" s="169" t="inlineStr">
        <is>
          <t>Site access key</t>
        </is>
      </c>
    </row>
    <row r="2">
      <c r="A2" s="244" t="inlineStr">
        <is>
          <t>On site</t>
        </is>
      </c>
      <c r="B2" s="244">
        <f>COUNTIFS(Grid!$AI$3:$AI$152,A2,'Roster Summary'!$U$31:$U$180,1)</f>
        <v/>
      </c>
      <c r="D2" s="244" t="inlineStr">
        <is>
          <t>Offsite</t>
        </is>
      </c>
      <c r="E2" s="244">
        <f>COUNTIFS(Grid!$BL$3:$BL$152,D2,Grid!$AI$3:$AI$152,"On site",'Roster Summary'!$U$31:$U$180,1)+COUNTIFS(Grid!$BL$3:$BL$152,D2,Grid!$AI$3:$AI$152,"Travel in",'Roster Summary'!$U$31:$U$180,1)</f>
        <v/>
      </c>
      <c r="G2" s="244">
        <f>TEXT(Grid!F$2,"dd-mmm")</f>
        <v/>
      </c>
      <c r="H2" s="244">
        <f>COUNTIFS(Grid!$AI$3:$AI$152,"On site",'Roster Summary'!$U$31:$U$180,1)</f>
        <v/>
      </c>
      <c r="I2" s="244">
        <f>COUNTIFS(Grid!$AI$3:$AI$152,"Travel in",'Roster Summary'!$U$31:$U$180,1)</f>
        <v/>
      </c>
      <c r="J2" s="244">
        <f>COUNTIFS(Grid!$AI$3:$AI$152,"Travel out",'Roster Summary'!$U$31:$U$180,1)</f>
        <v/>
      </c>
      <c r="T2" s="244">
        <f>TEXT(INDEX('Camp Summary'!$C$4:$SF$4,1),"dd-mmm-yy")</f>
        <v/>
      </c>
      <c r="U2" s="244">
        <f>MAX(INDEX('Camp Summary'!$C$19:$SF$19,1):INDEX('Camp Summary'!$C$19:$SF$19,7))</f>
        <v/>
      </c>
      <c r="W2" s="244">
        <f>IF(AND(INDEX('Roster Summary'!$U$31:$U$180,1)=1,LEFT(Grid!AI3,6)="Travel"),0*1000+1,"")</f>
        <v/>
      </c>
      <c r="X2" s="244">
        <f>IF(AND(INDEX('Roster Summary'!$U$31:$U$180,1)=1,LEFT(Grid!AJ3,6)="Travel"),1*1000+1,"")</f>
        <v/>
      </c>
      <c r="Y2" s="244">
        <f>IF(AND(INDEX('Roster Summary'!$U$31:$U$180,1)=1,LEFT(Grid!AK3,6)="Travel"),2*1000+1,"")</f>
        <v/>
      </c>
      <c r="Z2" s="244">
        <f>IF(AND(INDEX('Roster Summary'!$U$31:$U$180,1)=1,LEFT(Grid!AL3,6)="Travel"),3*1000+1,"")</f>
        <v/>
      </c>
      <c r="AA2" s="244">
        <f>IF(AND(INDEX('Roster Summary'!$U$31:$U$180,1)=1,LEFT(Grid!AM3,6)="Travel"),4*1000+1,"")</f>
        <v/>
      </c>
      <c r="AB2" s="244">
        <f>IF(AND(INDEX('Roster Summary'!$U$31:$U$180,1)=1,LEFT(Grid!AN3,6)="Travel"),5*1000+1,"")</f>
        <v/>
      </c>
      <c r="AC2" s="244">
        <f>IF(AND(INDEX('Roster Summary'!$U$31:$U$180,1)=1,LEFT(Grid!AO3,6)="Travel"),6*1000+1,"")</f>
        <v/>
      </c>
      <c r="AD2" s="244">
        <f>IF(AND(INDEX('Roster Summary'!$U$31:$U$180,1)=1,LEFT(Grid!AP3,6)="Travel"),7*1000+1,"")</f>
        <v/>
      </c>
      <c r="AE2" s="244">
        <f>IF(AND(INDEX('Roster Summary'!$U$31:$U$180,1)=1,LEFT(Grid!AQ3,6)="Travel"),8*1000+1,"")</f>
        <v/>
      </c>
      <c r="AF2" s="244">
        <f>IF(AND(INDEX('Roster Summary'!$U$31:$U$180,1)=1,LEFT(Grid!AR3,6)="Travel"),9*1000+1,"")</f>
        <v/>
      </c>
      <c r="AG2" s="244">
        <f>IF(AND(INDEX('Roster Summary'!$U$31:$U$180,1)=1,LEFT(Grid!AS3,6)="Travel"),10*1000+1,"")</f>
        <v/>
      </c>
      <c r="AH2" s="244">
        <f>IF(AND(INDEX('Roster Summary'!$U$31:$U$180,1)=1,LEFT(Grid!AT3,6)="Travel"),11*1000+1,"")</f>
        <v/>
      </c>
      <c r="AI2" s="244">
        <f>IF(AND(INDEX('Roster Summary'!$U$31:$U$180,1)=1,LEFT(Grid!AU3,6)="Travel"),12*1000+1,"")</f>
        <v/>
      </c>
      <c r="AJ2" s="244">
        <f>IF(AND(INDEX('Roster Summary'!$U$31:$U$180,1)=1,LEFT(Grid!AV3,6)="Travel"),13*1000+1,"")</f>
        <v/>
      </c>
      <c r="AM2" s="244" t="n">
        <v>1</v>
      </c>
      <c r="AN2" s="244">
        <f>IFERROR(SMALL(Calc!$W$2:$AJ$151,AM2),"")</f>
        <v/>
      </c>
      <c r="AO2" s="244">
        <f>IF(AN2="","",INT(AN2/1000))</f>
        <v/>
      </c>
      <c r="AP2" s="244">
        <f>IF(AN2="","",MOD(AN2,1000))</f>
        <v/>
      </c>
      <c r="AR2" s="244" t="n">
        <v>1</v>
      </c>
      <c r="AS2" s="244">
        <f>IFERROR(SMALL($BC$5:$BC$1504,AR2),"")</f>
        <v/>
      </c>
      <c r="AT2" s="244">
        <f>IF(AS2="","",MATCH(AS2,$BC$5:$BC$1504,0))</f>
        <v/>
      </c>
    </row>
    <row r="3">
      <c r="A3" s="244" t="inlineStr">
        <is>
          <t>Travel in</t>
        </is>
      </c>
      <c r="B3" s="244">
        <f>COUNTIFS(Grid!$AI$3:$AI$152,A3,'Roster Summary'!$U$31:$U$180,1)</f>
        <v/>
      </c>
      <c r="D3" s="244" t="inlineStr">
        <is>
          <t>Third party accom</t>
        </is>
      </c>
      <c r="E3" s="244">
        <f>COUNTIFS(Grid!$BL$3:$BL$152,D3,Grid!$AI$3:$AI$152,"On site",'Roster Summary'!$U$31:$U$180,1)+COUNTIFS(Grid!$BL$3:$BL$152,D3,Grid!$AI$3:$AI$152,"Travel in",'Roster Summary'!$U$31:$U$180,1)</f>
        <v/>
      </c>
      <c r="G3" s="244">
        <f>TEXT(Grid!G$2,"dd-mmm")</f>
        <v/>
      </c>
      <c r="H3" s="244">
        <f>COUNTIFS(Grid!$AJ$3:$AJ$152,"On site",'Roster Summary'!$U$31:$U$180,1)</f>
        <v/>
      </c>
      <c r="I3" s="244">
        <f>COUNTIFS(Grid!$AJ$3:$AJ$152,"Travel in",'Roster Summary'!$U$31:$U$180,1)</f>
        <v/>
      </c>
      <c r="J3" s="244">
        <f>COUNTIFS(Grid!$AJ$3:$AJ$152,"Travel out",'Roster Summary'!$U$31:$U$180,1)</f>
        <v/>
      </c>
      <c r="T3" s="244">
        <f>TEXT(INDEX('Camp Summary'!$C$4:$SF$4,8),"dd-mmm-yy")</f>
        <v/>
      </c>
      <c r="U3" s="244">
        <f>MAX(INDEX('Camp Summary'!$C$19:$SF$19,8):INDEX('Camp Summary'!$C$19:$SF$19,14))</f>
        <v/>
      </c>
      <c r="W3" s="244">
        <f>IF(AND(INDEX('Roster Summary'!$U$31:$U$180,2)=1,LEFT(Grid!AI4,6)="Travel"),0*1000+2,"")</f>
        <v/>
      </c>
      <c r="X3" s="244">
        <f>IF(AND(INDEX('Roster Summary'!$U$31:$U$180,2)=1,LEFT(Grid!AJ4,6)="Travel"),1*1000+2,"")</f>
        <v/>
      </c>
      <c r="Y3" s="244">
        <f>IF(AND(INDEX('Roster Summary'!$U$31:$U$180,2)=1,LEFT(Grid!AK4,6)="Travel"),2*1000+2,"")</f>
        <v/>
      </c>
      <c r="Z3" s="244">
        <f>IF(AND(INDEX('Roster Summary'!$U$31:$U$180,2)=1,LEFT(Grid!AL4,6)="Travel"),3*1000+2,"")</f>
        <v/>
      </c>
      <c r="AA3" s="244">
        <f>IF(AND(INDEX('Roster Summary'!$U$31:$U$180,2)=1,LEFT(Grid!AM4,6)="Travel"),4*1000+2,"")</f>
        <v/>
      </c>
      <c r="AB3" s="244">
        <f>IF(AND(INDEX('Roster Summary'!$U$31:$U$180,2)=1,LEFT(Grid!AN4,6)="Travel"),5*1000+2,"")</f>
        <v/>
      </c>
      <c r="AC3" s="244">
        <f>IF(AND(INDEX('Roster Summary'!$U$31:$U$180,2)=1,LEFT(Grid!AO4,6)="Travel"),6*1000+2,"")</f>
        <v/>
      </c>
      <c r="AD3" s="244">
        <f>IF(AND(INDEX('Roster Summary'!$U$31:$U$180,2)=1,LEFT(Grid!AP4,6)="Travel"),7*1000+2,"")</f>
        <v/>
      </c>
      <c r="AE3" s="244">
        <f>IF(AND(INDEX('Roster Summary'!$U$31:$U$180,2)=1,LEFT(Grid!AQ4,6)="Travel"),8*1000+2,"")</f>
        <v/>
      </c>
      <c r="AF3" s="244">
        <f>IF(AND(INDEX('Roster Summary'!$U$31:$U$180,2)=1,LEFT(Grid!AR4,6)="Travel"),9*1000+2,"")</f>
        <v/>
      </c>
      <c r="AG3" s="244">
        <f>IF(AND(INDEX('Roster Summary'!$U$31:$U$180,2)=1,LEFT(Grid!AS4,6)="Travel"),10*1000+2,"")</f>
        <v/>
      </c>
      <c r="AH3" s="244">
        <f>IF(AND(INDEX('Roster Summary'!$U$31:$U$180,2)=1,LEFT(Grid!AT4,6)="Travel"),11*1000+2,"")</f>
        <v/>
      </c>
      <c r="AI3" s="244">
        <f>IF(AND(INDEX('Roster Summary'!$U$31:$U$180,2)=1,LEFT(Grid!AU4,6)="Travel"),12*1000+2,"")</f>
        <v/>
      </c>
      <c r="AJ3" s="244">
        <f>IF(AND(INDEX('Roster Summary'!$U$31:$U$180,2)=1,LEFT(Grid!AV4,6)="Travel"),13*1000+2,"")</f>
        <v/>
      </c>
      <c r="AM3" s="244" t="n">
        <v>2</v>
      </c>
      <c r="AN3" s="244">
        <f>IFERROR(SMALL(Calc!$W$2:$AJ$151,AM3),"")</f>
        <v/>
      </c>
      <c r="AO3" s="244">
        <f>IF(AN3="","",INT(AN3/1000))</f>
        <v/>
      </c>
      <c r="AP3" s="244">
        <f>IF(AN3="","",MOD(AN3,1000))</f>
        <v/>
      </c>
      <c r="AR3" s="244" t="n">
        <v>2</v>
      </c>
      <c r="AS3" s="244">
        <f>IFERROR(SMALL($BC$5:$BC$1504,AR3),"")</f>
        <v/>
      </c>
      <c r="AT3" s="244">
        <f>IF(AS3="","",MATCH(AS3,$BC$5:$BC$1504,0))</f>
        <v/>
      </c>
      <c r="AX3" s="244">
        <f>LOWER(TRIM('BHP Site Access'!B3&amp;"")&amp;"|"&amp;TRIM('BHP Site Access'!C3&amp;""))</f>
        <v/>
      </c>
    </row>
    <row r="4">
      <c r="A4" s="244" t="inlineStr">
        <is>
          <t>Travel out</t>
        </is>
      </c>
      <c r="B4" s="244">
        <f>COUNTIFS(Grid!$AI$3:$AI$152,A4,'Roster Summary'!$U$31:$U$180,1)</f>
        <v/>
      </c>
      <c r="D4" s="244" t="inlineStr">
        <is>
          <t>The Landing</t>
        </is>
      </c>
      <c r="E4" s="244">
        <f>COUNTIFS(Grid!$BL$3:$BL$152,D4,Grid!$AI$3:$AI$152,"On site",'Roster Summary'!$U$31:$U$180,1)+COUNTIFS(Grid!$BL$3:$BL$152,D4,Grid!$AI$3:$AI$152,"Travel in",'Roster Summary'!$U$31:$U$180,1)</f>
        <v/>
      </c>
      <c r="G4" s="244">
        <f>TEXT(Grid!H$2,"dd-mmm")</f>
        <v/>
      </c>
      <c r="H4" s="244">
        <f>COUNTIFS(Grid!$AK$3:$AK$152,"On site",'Roster Summary'!$U$31:$U$180,1)</f>
        <v/>
      </c>
      <c r="I4" s="244">
        <f>COUNTIFS(Grid!$AK$3:$AK$152,"Travel in",'Roster Summary'!$U$31:$U$180,1)</f>
        <v/>
      </c>
      <c r="J4" s="244">
        <f>COUNTIFS(Grid!$AK$3:$AK$152,"Travel out",'Roster Summary'!$U$31:$U$180,1)</f>
        <v/>
      </c>
      <c r="T4" s="244">
        <f>TEXT(INDEX('Camp Summary'!$C$4:$SF$4,15),"dd-mmm-yy")</f>
        <v/>
      </c>
      <c r="U4" s="244">
        <f>MAX(INDEX('Camp Summary'!$C$19:$SF$19,15):INDEX('Camp Summary'!$C$19:$SF$19,21))</f>
        <v/>
      </c>
      <c r="W4" s="244">
        <f>IF(AND(INDEX('Roster Summary'!$U$31:$U$180,3)=1,LEFT(Grid!AI5,6)="Travel"),0*1000+3,"")</f>
        <v/>
      </c>
      <c r="X4" s="244">
        <f>IF(AND(INDEX('Roster Summary'!$U$31:$U$180,3)=1,LEFT(Grid!AJ5,6)="Travel"),1*1000+3,"")</f>
        <v/>
      </c>
      <c r="Y4" s="244">
        <f>IF(AND(INDEX('Roster Summary'!$U$31:$U$180,3)=1,LEFT(Grid!AK5,6)="Travel"),2*1000+3,"")</f>
        <v/>
      </c>
      <c r="Z4" s="244">
        <f>IF(AND(INDEX('Roster Summary'!$U$31:$U$180,3)=1,LEFT(Grid!AL5,6)="Travel"),3*1000+3,"")</f>
        <v/>
      </c>
      <c r="AA4" s="244">
        <f>IF(AND(INDEX('Roster Summary'!$U$31:$U$180,3)=1,LEFT(Grid!AM5,6)="Travel"),4*1000+3,"")</f>
        <v/>
      </c>
      <c r="AB4" s="244">
        <f>IF(AND(INDEX('Roster Summary'!$U$31:$U$180,3)=1,LEFT(Grid!AN5,6)="Travel"),5*1000+3,"")</f>
        <v/>
      </c>
      <c r="AC4" s="244">
        <f>IF(AND(INDEX('Roster Summary'!$U$31:$U$180,3)=1,LEFT(Grid!AO5,6)="Travel"),6*1000+3,"")</f>
        <v/>
      </c>
      <c r="AD4" s="244">
        <f>IF(AND(INDEX('Roster Summary'!$U$31:$U$180,3)=1,LEFT(Grid!AP5,6)="Travel"),7*1000+3,"")</f>
        <v/>
      </c>
      <c r="AE4" s="244">
        <f>IF(AND(INDEX('Roster Summary'!$U$31:$U$180,3)=1,LEFT(Grid!AQ5,6)="Travel"),8*1000+3,"")</f>
        <v/>
      </c>
      <c r="AF4" s="244">
        <f>IF(AND(INDEX('Roster Summary'!$U$31:$U$180,3)=1,LEFT(Grid!AR5,6)="Travel"),9*1000+3,"")</f>
        <v/>
      </c>
      <c r="AG4" s="244">
        <f>IF(AND(INDEX('Roster Summary'!$U$31:$U$180,3)=1,LEFT(Grid!AS5,6)="Travel"),10*1000+3,"")</f>
        <v/>
      </c>
      <c r="AH4" s="244">
        <f>IF(AND(INDEX('Roster Summary'!$U$31:$U$180,3)=1,LEFT(Grid!AT5,6)="Travel"),11*1000+3,"")</f>
        <v/>
      </c>
      <c r="AI4" s="244">
        <f>IF(AND(INDEX('Roster Summary'!$U$31:$U$180,3)=1,LEFT(Grid!AU5,6)="Travel"),12*1000+3,"")</f>
        <v/>
      </c>
      <c r="AJ4" s="244">
        <f>IF(AND(INDEX('Roster Summary'!$U$31:$U$180,3)=1,LEFT(Grid!AV5,6)="Travel"),13*1000+3,"")</f>
        <v/>
      </c>
      <c r="AM4" s="244" t="n">
        <v>3</v>
      </c>
      <c r="AN4" s="244">
        <f>IFERROR(SMALL(Calc!$W$2:$AJ$151,AM4),"")</f>
        <v/>
      </c>
      <c r="AO4" s="244">
        <f>IF(AN4="","",INT(AN4/1000))</f>
        <v/>
      </c>
      <c r="AP4" s="244">
        <f>IF(AN4="","",MOD(AN4,1000))</f>
        <v/>
      </c>
      <c r="AR4" s="244" t="n">
        <v>3</v>
      </c>
      <c r="AS4" s="244">
        <f>IFERROR(SMALL($BC$5:$BC$1504,AR4),"")</f>
        <v/>
      </c>
      <c r="AT4" s="244">
        <f>IF(AS4="","",MATCH(AS4,$BC$5:$BC$1504,0))</f>
        <v/>
      </c>
      <c r="AX4" s="244">
        <f>LOWER(TRIM('BHP Site Access'!B4&amp;"")&amp;"|"&amp;TRIM('BHP Site Access'!C4&amp;""))</f>
        <v/>
      </c>
      <c r="BB4" s="244" t="inlineStr">
        <is>
          <t>Booking in filter</t>
        </is>
      </c>
      <c r="BC4" s="244" t="inlineStr">
        <is>
          <t>Pending key (14 days)</t>
        </is>
      </c>
    </row>
    <row r="5">
      <c r="A5" s="244" t="inlineStr">
        <is>
          <t>R&amp;R</t>
        </is>
      </c>
      <c r="B5" s="244">
        <f>COUNTIFS(Grid!$AI$3:$AI$152,A5,'Roster Summary'!$U$31:$U$180,1)</f>
        <v/>
      </c>
      <c r="D5" s="244" t="inlineStr">
        <is>
          <t>Gateway</t>
        </is>
      </c>
      <c r="E5" s="244">
        <f>COUNTIFS(Grid!$BL$3:$BL$152,D5,Grid!$AI$3:$AI$152,"On site",'Roster Summary'!$U$31:$U$180,1)+COUNTIFS(Grid!$BL$3:$BL$152,D5,Grid!$AI$3:$AI$152,"Travel in",'Roster Summary'!$U$31:$U$180,1)</f>
        <v/>
      </c>
      <c r="G5" s="244">
        <f>TEXT(Grid!I$2,"dd-mmm")</f>
        <v/>
      </c>
      <c r="H5" s="244">
        <f>COUNTIFS(Grid!$AL$3:$AL$152,"On site",'Roster Summary'!$U$31:$U$180,1)</f>
        <v/>
      </c>
      <c r="I5" s="244">
        <f>COUNTIFS(Grid!$AL$3:$AL$152,"Travel in",'Roster Summary'!$U$31:$U$180,1)</f>
        <v/>
      </c>
      <c r="J5" s="244">
        <f>COUNTIFS(Grid!$AL$3:$AL$152,"Travel out",'Roster Summary'!$U$31:$U$180,1)</f>
        <v/>
      </c>
      <c r="T5" s="244">
        <f>TEXT(INDEX('Camp Summary'!$C$4:$SF$4,22),"dd-mmm-yy")</f>
        <v/>
      </c>
      <c r="U5" s="244">
        <f>MAX(INDEX('Camp Summary'!$C$19:$SF$19,22):INDEX('Camp Summary'!$C$19:$SF$19,28))</f>
        <v/>
      </c>
      <c r="W5" s="244">
        <f>IF(AND(INDEX('Roster Summary'!$U$31:$U$180,4)=1,LEFT(Grid!AI6,6)="Travel"),0*1000+4,"")</f>
        <v/>
      </c>
      <c r="X5" s="244">
        <f>IF(AND(INDEX('Roster Summary'!$U$31:$U$180,4)=1,LEFT(Grid!AJ6,6)="Travel"),1*1000+4,"")</f>
        <v/>
      </c>
      <c r="Y5" s="244">
        <f>IF(AND(INDEX('Roster Summary'!$U$31:$U$180,4)=1,LEFT(Grid!AK6,6)="Travel"),2*1000+4,"")</f>
        <v/>
      </c>
      <c r="Z5" s="244">
        <f>IF(AND(INDEX('Roster Summary'!$U$31:$U$180,4)=1,LEFT(Grid!AL6,6)="Travel"),3*1000+4,"")</f>
        <v/>
      </c>
      <c r="AA5" s="244">
        <f>IF(AND(INDEX('Roster Summary'!$U$31:$U$180,4)=1,LEFT(Grid!AM6,6)="Travel"),4*1000+4,"")</f>
        <v/>
      </c>
      <c r="AB5" s="244">
        <f>IF(AND(INDEX('Roster Summary'!$U$31:$U$180,4)=1,LEFT(Grid!AN6,6)="Travel"),5*1000+4,"")</f>
        <v/>
      </c>
      <c r="AC5" s="244">
        <f>IF(AND(INDEX('Roster Summary'!$U$31:$U$180,4)=1,LEFT(Grid!AO6,6)="Travel"),6*1000+4,"")</f>
        <v/>
      </c>
      <c r="AD5" s="244">
        <f>IF(AND(INDEX('Roster Summary'!$U$31:$U$180,4)=1,LEFT(Grid!AP6,6)="Travel"),7*1000+4,"")</f>
        <v/>
      </c>
      <c r="AE5" s="244">
        <f>IF(AND(INDEX('Roster Summary'!$U$31:$U$180,4)=1,LEFT(Grid!AQ6,6)="Travel"),8*1000+4,"")</f>
        <v/>
      </c>
      <c r="AF5" s="244">
        <f>IF(AND(INDEX('Roster Summary'!$U$31:$U$180,4)=1,LEFT(Grid!AR6,6)="Travel"),9*1000+4,"")</f>
        <v/>
      </c>
      <c r="AG5" s="244">
        <f>IF(AND(INDEX('Roster Summary'!$U$31:$U$180,4)=1,LEFT(Grid!AS6,6)="Travel"),10*1000+4,"")</f>
        <v/>
      </c>
      <c r="AH5" s="244">
        <f>IF(AND(INDEX('Roster Summary'!$U$31:$U$180,4)=1,LEFT(Grid!AT6,6)="Travel"),11*1000+4,"")</f>
        <v/>
      </c>
      <c r="AI5" s="244">
        <f>IF(AND(INDEX('Roster Summary'!$U$31:$U$180,4)=1,LEFT(Grid!AU6,6)="Travel"),12*1000+4,"")</f>
        <v/>
      </c>
      <c r="AJ5" s="244">
        <f>IF(AND(INDEX('Roster Summary'!$U$31:$U$180,4)=1,LEFT(Grid!AV6,6)="Travel"),13*1000+4,"")</f>
        <v/>
      </c>
      <c r="AM5" s="244" t="n">
        <v>4</v>
      </c>
      <c r="AN5" s="244">
        <f>IFERROR(SMALL(Calc!$W$2:$AJ$151,AM5),"")</f>
        <v/>
      </c>
      <c r="AO5" s="244">
        <f>IF(AN5="","",INT(AN5/1000))</f>
        <v/>
      </c>
      <c r="AP5" s="244">
        <f>IF(AN5="","",MOD(AN5,1000))</f>
        <v/>
      </c>
      <c r="AR5" s="244" t="n">
        <v>4</v>
      </c>
      <c r="AS5" s="244">
        <f>IFERROR(SMALL($BC$5:$BC$1504,AR5),"")</f>
        <v/>
      </c>
      <c r="AT5" s="244">
        <f>IF(AS5="","",MATCH(AS5,$BC$5:$BC$1504,0))</f>
        <v/>
      </c>
      <c r="AX5" s="244">
        <f>LOWER(TRIM('BHP Site Access'!B5&amp;"")&amp;"|"&amp;TRIM('BHP Site Access'!C5&amp;""))</f>
        <v/>
      </c>
      <c r="BB5" s="244">
        <f>IF('INPUT - Bookings'!$B5="",0,IF(AND(OR(Dashboard!$D$9="All",TRIM('INPUT - Bookings'!$C5)=Dashboard!$D$9),OR(Dashboard!$J$9="All",TRIM('INPUT - Bookings'!$D5)=Dashboard!$J$9)),1,0))</f>
        <v/>
      </c>
      <c r="BC5" s="244">
        <f>IF(AND(BB5=1,ISNUMBER('INPUT - Bookings'!$E5),'INPUT - Bookings'!$E5&gt;=Settings!$C$8,'INPUT - Bookings'!$E5&lt;=Settings!$C$8+14,IFERROR(INDEX(Settings!$Q$14:$Q$24,MATCH('INPUT - Bookings'!$G5,Settings!$P$14:$P$24,0)),"Yes")="Yes"),'INPUT - Bookings'!$E5+ROW()/100000,"")</f>
        <v/>
      </c>
    </row>
    <row r="6">
      <c r="A6" s="244" t="inlineStr">
        <is>
          <t>Leave</t>
        </is>
      </c>
      <c r="B6" s="244">
        <f>COUNTIFS(Grid!$AI$3:$AI$152,A6,'Roster Summary'!$U$31:$U$180,1)</f>
        <v/>
      </c>
      <c r="D6" s="244" t="inlineStr">
        <is>
          <t>Port Haven</t>
        </is>
      </c>
      <c r="E6" s="244">
        <f>COUNTIFS(Grid!$BL$3:$BL$152,D6,Grid!$AI$3:$AI$152,"On site",'Roster Summary'!$U$31:$U$180,1)+COUNTIFS(Grid!$BL$3:$BL$152,D6,Grid!$AI$3:$AI$152,"Travel in",'Roster Summary'!$U$31:$U$180,1)</f>
        <v/>
      </c>
      <c r="G6" s="244">
        <f>TEXT(Grid!J$2,"dd-mmm")</f>
        <v/>
      </c>
      <c r="H6" s="244">
        <f>COUNTIFS(Grid!$AM$3:$AM$152,"On site",'Roster Summary'!$U$31:$U$180,1)</f>
        <v/>
      </c>
      <c r="I6" s="244">
        <f>COUNTIFS(Grid!$AM$3:$AM$152,"Travel in",'Roster Summary'!$U$31:$U$180,1)</f>
        <v/>
      </c>
      <c r="J6" s="244">
        <f>COUNTIFS(Grid!$AM$3:$AM$152,"Travel out",'Roster Summary'!$U$31:$U$180,1)</f>
        <v/>
      </c>
      <c r="T6" s="244">
        <f>TEXT(INDEX('Camp Summary'!$C$4:$SF$4,29),"dd-mmm-yy")</f>
        <v/>
      </c>
      <c r="U6" s="244">
        <f>MAX(INDEX('Camp Summary'!$C$19:$SF$19,29):INDEX('Camp Summary'!$C$19:$SF$19,35))</f>
        <v/>
      </c>
      <c r="W6" s="244">
        <f>IF(AND(INDEX('Roster Summary'!$U$31:$U$180,5)=1,LEFT(Grid!AI7,6)="Travel"),0*1000+5,"")</f>
        <v/>
      </c>
      <c r="X6" s="244">
        <f>IF(AND(INDEX('Roster Summary'!$U$31:$U$180,5)=1,LEFT(Grid!AJ7,6)="Travel"),1*1000+5,"")</f>
        <v/>
      </c>
      <c r="Y6" s="244">
        <f>IF(AND(INDEX('Roster Summary'!$U$31:$U$180,5)=1,LEFT(Grid!AK7,6)="Travel"),2*1000+5,"")</f>
        <v/>
      </c>
      <c r="Z6" s="244">
        <f>IF(AND(INDEX('Roster Summary'!$U$31:$U$180,5)=1,LEFT(Grid!AL7,6)="Travel"),3*1000+5,"")</f>
        <v/>
      </c>
      <c r="AA6" s="244">
        <f>IF(AND(INDEX('Roster Summary'!$U$31:$U$180,5)=1,LEFT(Grid!AM7,6)="Travel"),4*1000+5,"")</f>
        <v/>
      </c>
      <c r="AB6" s="244">
        <f>IF(AND(INDEX('Roster Summary'!$U$31:$U$180,5)=1,LEFT(Grid!AN7,6)="Travel"),5*1000+5,"")</f>
        <v/>
      </c>
      <c r="AC6" s="244">
        <f>IF(AND(INDEX('Roster Summary'!$U$31:$U$180,5)=1,LEFT(Grid!AO7,6)="Travel"),6*1000+5,"")</f>
        <v/>
      </c>
      <c r="AD6" s="244">
        <f>IF(AND(INDEX('Roster Summary'!$U$31:$U$180,5)=1,LEFT(Grid!AP7,6)="Travel"),7*1000+5,"")</f>
        <v/>
      </c>
      <c r="AE6" s="244">
        <f>IF(AND(INDEX('Roster Summary'!$U$31:$U$180,5)=1,LEFT(Grid!AQ7,6)="Travel"),8*1000+5,"")</f>
        <v/>
      </c>
      <c r="AF6" s="244">
        <f>IF(AND(INDEX('Roster Summary'!$U$31:$U$180,5)=1,LEFT(Grid!AR7,6)="Travel"),9*1000+5,"")</f>
        <v/>
      </c>
      <c r="AG6" s="244">
        <f>IF(AND(INDEX('Roster Summary'!$U$31:$U$180,5)=1,LEFT(Grid!AS7,6)="Travel"),10*1000+5,"")</f>
        <v/>
      </c>
      <c r="AH6" s="244">
        <f>IF(AND(INDEX('Roster Summary'!$U$31:$U$180,5)=1,LEFT(Grid!AT7,6)="Travel"),11*1000+5,"")</f>
        <v/>
      </c>
      <c r="AI6" s="244">
        <f>IF(AND(INDEX('Roster Summary'!$U$31:$U$180,5)=1,LEFT(Grid!AU7,6)="Travel"),12*1000+5,"")</f>
        <v/>
      </c>
      <c r="AJ6" s="244">
        <f>IF(AND(INDEX('Roster Summary'!$U$31:$U$180,5)=1,LEFT(Grid!AV7,6)="Travel"),13*1000+5,"")</f>
        <v/>
      </c>
      <c r="AM6" s="244" t="n">
        <v>5</v>
      </c>
      <c r="AN6" s="244">
        <f>IFERROR(SMALL(Calc!$W$2:$AJ$151,AM6),"")</f>
        <v/>
      </c>
      <c r="AO6" s="244">
        <f>IF(AN6="","",INT(AN6/1000))</f>
        <v/>
      </c>
      <c r="AP6" s="244">
        <f>IF(AN6="","",MOD(AN6,1000))</f>
        <v/>
      </c>
      <c r="AR6" s="244" t="n">
        <v>5</v>
      </c>
      <c r="AS6" s="244">
        <f>IFERROR(SMALL($BC$5:$BC$1504,AR6),"")</f>
        <v/>
      </c>
      <c r="AT6" s="244">
        <f>IF(AS6="","",MATCH(AS6,$BC$5:$BC$1504,0))</f>
        <v/>
      </c>
      <c r="AX6" s="244">
        <f>LOWER(TRIM('BHP Site Access'!B6&amp;"")&amp;"|"&amp;TRIM('BHP Site Access'!C6&amp;""))</f>
        <v/>
      </c>
      <c r="BB6" s="244">
        <f>IF('INPUT - Bookings'!$B6="",0,IF(AND(OR(Dashboard!$D$9="All",TRIM('INPUT - Bookings'!$C6)=Dashboard!$D$9),OR(Dashboard!$J$9="All",TRIM('INPUT - Bookings'!$D6)=Dashboard!$J$9)),1,0))</f>
        <v/>
      </c>
      <c r="BC6" s="244">
        <f>IF(AND(BB6=1,ISNUMBER('INPUT - Bookings'!$E6),'INPUT - Bookings'!$E6&gt;=Settings!$C$8,'INPUT - Bookings'!$E6&lt;=Settings!$C$8+14,IFERROR(INDEX(Settings!$Q$14:$Q$24,MATCH('INPUT - Bookings'!$G6,Settings!$P$14:$P$24,0)),"Yes")="Yes"),'INPUT - Bookings'!$E6+ROW()/100000,"")</f>
        <v/>
      </c>
    </row>
    <row r="7">
      <c r="A7" s="244" t="inlineStr">
        <is>
          <t>Not mobilised</t>
        </is>
      </c>
      <c r="B7" s="244">
        <f>COUNTIFS(Grid!$AI$3:$AI$152,A7,'Roster Summary'!$U$31:$U$180,1)</f>
        <v/>
      </c>
      <c r="D7" s="244" t="inlineStr">
        <is>
          <t>Redmont</t>
        </is>
      </c>
      <c r="E7" s="244">
        <f>COUNTIFS(Grid!$BL$3:$BL$152,D7,Grid!$AI$3:$AI$152,"On site",'Roster Summary'!$U$31:$U$180,1)+COUNTIFS(Grid!$BL$3:$BL$152,D7,Grid!$AI$3:$AI$152,"Travel in",'Roster Summary'!$U$31:$U$180,1)</f>
        <v/>
      </c>
      <c r="G7" s="244">
        <f>TEXT(Grid!K$2,"dd-mmm")</f>
        <v/>
      </c>
      <c r="H7" s="244">
        <f>COUNTIFS(Grid!$AN$3:$AN$152,"On site",'Roster Summary'!$U$31:$U$180,1)</f>
        <v/>
      </c>
      <c r="I7" s="244">
        <f>COUNTIFS(Grid!$AN$3:$AN$152,"Travel in",'Roster Summary'!$U$31:$U$180,1)</f>
        <v/>
      </c>
      <c r="J7" s="244">
        <f>COUNTIFS(Grid!$AN$3:$AN$152,"Travel out",'Roster Summary'!$U$31:$U$180,1)</f>
        <v/>
      </c>
      <c r="T7" s="244">
        <f>TEXT(INDEX('Camp Summary'!$C$4:$SF$4,36),"dd-mmm-yy")</f>
        <v/>
      </c>
      <c r="U7" s="244">
        <f>MAX(INDEX('Camp Summary'!$C$19:$SF$19,36):INDEX('Camp Summary'!$C$19:$SF$19,42))</f>
        <v/>
      </c>
      <c r="W7" s="244">
        <f>IF(AND(INDEX('Roster Summary'!$U$31:$U$180,6)=1,LEFT(Grid!AI8,6)="Travel"),0*1000+6,"")</f>
        <v/>
      </c>
      <c r="X7" s="244">
        <f>IF(AND(INDEX('Roster Summary'!$U$31:$U$180,6)=1,LEFT(Grid!AJ8,6)="Travel"),1*1000+6,"")</f>
        <v/>
      </c>
      <c r="Y7" s="244">
        <f>IF(AND(INDEX('Roster Summary'!$U$31:$U$180,6)=1,LEFT(Grid!AK8,6)="Travel"),2*1000+6,"")</f>
        <v/>
      </c>
      <c r="Z7" s="244">
        <f>IF(AND(INDEX('Roster Summary'!$U$31:$U$180,6)=1,LEFT(Grid!AL8,6)="Travel"),3*1000+6,"")</f>
        <v/>
      </c>
      <c r="AA7" s="244">
        <f>IF(AND(INDEX('Roster Summary'!$U$31:$U$180,6)=1,LEFT(Grid!AM8,6)="Travel"),4*1000+6,"")</f>
        <v/>
      </c>
      <c r="AB7" s="244">
        <f>IF(AND(INDEX('Roster Summary'!$U$31:$U$180,6)=1,LEFT(Grid!AN8,6)="Travel"),5*1000+6,"")</f>
        <v/>
      </c>
      <c r="AC7" s="244">
        <f>IF(AND(INDEX('Roster Summary'!$U$31:$U$180,6)=1,LEFT(Grid!AO8,6)="Travel"),6*1000+6,"")</f>
        <v/>
      </c>
      <c r="AD7" s="244">
        <f>IF(AND(INDEX('Roster Summary'!$U$31:$U$180,6)=1,LEFT(Grid!AP8,6)="Travel"),7*1000+6,"")</f>
        <v/>
      </c>
      <c r="AE7" s="244">
        <f>IF(AND(INDEX('Roster Summary'!$U$31:$U$180,6)=1,LEFT(Grid!AQ8,6)="Travel"),8*1000+6,"")</f>
        <v/>
      </c>
      <c r="AF7" s="244">
        <f>IF(AND(INDEX('Roster Summary'!$U$31:$U$180,6)=1,LEFT(Grid!AR8,6)="Travel"),9*1000+6,"")</f>
        <v/>
      </c>
      <c r="AG7" s="244">
        <f>IF(AND(INDEX('Roster Summary'!$U$31:$U$180,6)=1,LEFT(Grid!AS8,6)="Travel"),10*1000+6,"")</f>
        <v/>
      </c>
      <c r="AH7" s="244">
        <f>IF(AND(INDEX('Roster Summary'!$U$31:$U$180,6)=1,LEFT(Grid!AT8,6)="Travel"),11*1000+6,"")</f>
        <v/>
      </c>
      <c r="AI7" s="244">
        <f>IF(AND(INDEX('Roster Summary'!$U$31:$U$180,6)=1,LEFT(Grid!AU8,6)="Travel"),12*1000+6,"")</f>
        <v/>
      </c>
      <c r="AJ7" s="244">
        <f>IF(AND(INDEX('Roster Summary'!$U$31:$U$180,6)=1,LEFT(Grid!AV8,6)="Travel"),13*1000+6,"")</f>
        <v/>
      </c>
      <c r="AM7" s="244" t="n">
        <v>6</v>
      </c>
      <c r="AN7" s="244">
        <f>IFERROR(SMALL(Calc!$W$2:$AJ$151,AM7),"")</f>
        <v/>
      </c>
      <c r="AO7" s="244">
        <f>IF(AN7="","",INT(AN7/1000))</f>
        <v/>
      </c>
      <c r="AP7" s="244">
        <f>IF(AN7="","",MOD(AN7,1000))</f>
        <v/>
      </c>
      <c r="AR7" s="244" t="n">
        <v>6</v>
      </c>
      <c r="AS7" s="244">
        <f>IFERROR(SMALL($BC$5:$BC$1504,AR7),"")</f>
        <v/>
      </c>
      <c r="AT7" s="244">
        <f>IF(AS7="","",MATCH(AS7,$BC$5:$BC$1504,0))</f>
        <v/>
      </c>
      <c r="AX7" s="244">
        <f>LOWER(TRIM('BHP Site Access'!B7&amp;"")&amp;"|"&amp;TRIM('BHP Site Access'!C7&amp;""))</f>
        <v/>
      </c>
      <c r="BB7" s="244">
        <f>IF('INPUT - Bookings'!$B7="",0,IF(AND(OR(Dashboard!$D$9="All",TRIM('INPUT - Bookings'!$C7)=Dashboard!$D$9),OR(Dashboard!$J$9="All",TRIM('INPUT - Bookings'!$D7)=Dashboard!$J$9)),1,0))</f>
        <v/>
      </c>
      <c r="BC7" s="244">
        <f>IF(AND(BB7=1,ISNUMBER('INPUT - Bookings'!$E7),'INPUT - Bookings'!$E7&gt;=Settings!$C$8,'INPUT - Bookings'!$E7&lt;=Settings!$C$8+14,IFERROR(INDEX(Settings!$Q$14:$Q$24,MATCH('INPUT - Bookings'!$G7,Settings!$P$14:$P$24,0)),"Yes")="Yes"),'INPUT - Bookings'!$E7+ROW()/100000,"")</f>
        <v/>
      </c>
    </row>
    <row r="8">
      <c r="A8" s="244" t="inlineStr">
        <is>
          <t>TBC</t>
        </is>
      </c>
      <c r="B8" s="244">
        <f>COUNTIFS(Grid!$AI$3:$AI$152,A8,'Roster Summary'!$U$31:$U$180,1)</f>
        <v/>
      </c>
      <c r="D8" s="244" t="inlineStr">
        <is>
          <t>Spinifex</t>
        </is>
      </c>
      <c r="E8" s="244">
        <f>COUNTIFS(Grid!$BL$3:$BL$152,D8,Grid!$AI$3:$AI$152,"On site",'Roster Summary'!$U$31:$U$180,1)+COUNTIFS(Grid!$BL$3:$BL$152,D8,Grid!$AI$3:$AI$152,"Travel in",'Roster Summary'!$U$31:$U$180,1)</f>
        <v/>
      </c>
      <c r="G8" s="244">
        <f>TEXT(Grid!L$2,"dd-mmm")</f>
        <v/>
      </c>
      <c r="H8" s="244">
        <f>COUNTIFS(Grid!$AO$3:$AO$152,"On site",'Roster Summary'!$U$31:$U$180,1)</f>
        <v/>
      </c>
      <c r="I8" s="244">
        <f>COUNTIFS(Grid!$AO$3:$AO$152,"Travel in",'Roster Summary'!$U$31:$U$180,1)</f>
        <v/>
      </c>
      <c r="J8" s="244">
        <f>COUNTIFS(Grid!$AO$3:$AO$152,"Travel out",'Roster Summary'!$U$31:$U$180,1)</f>
        <v/>
      </c>
      <c r="T8" s="244">
        <f>TEXT(INDEX('Camp Summary'!$C$4:$SF$4,43),"dd-mmm-yy")</f>
        <v/>
      </c>
      <c r="U8" s="244">
        <f>MAX(INDEX('Camp Summary'!$C$19:$SF$19,43):INDEX('Camp Summary'!$C$19:$SF$19,49))</f>
        <v/>
      </c>
      <c r="W8" s="244">
        <f>IF(AND(INDEX('Roster Summary'!$U$31:$U$180,7)=1,LEFT(Grid!AI9,6)="Travel"),0*1000+7,"")</f>
        <v/>
      </c>
      <c r="X8" s="244">
        <f>IF(AND(INDEX('Roster Summary'!$U$31:$U$180,7)=1,LEFT(Grid!AJ9,6)="Travel"),1*1000+7,"")</f>
        <v/>
      </c>
      <c r="Y8" s="244">
        <f>IF(AND(INDEX('Roster Summary'!$U$31:$U$180,7)=1,LEFT(Grid!AK9,6)="Travel"),2*1000+7,"")</f>
        <v/>
      </c>
      <c r="Z8" s="244">
        <f>IF(AND(INDEX('Roster Summary'!$U$31:$U$180,7)=1,LEFT(Grid!AL9,6)="Travel"),3*1000+7,"")</f>
        <v/>
      </c>
      <c r="AA8" s="244">
        <f>IF(AND(INDEX('Roster Summary'!$U$31:$U$180,7)=1,LEFT(Grid!AM9,6)="Travel"),4*1000+7,"")</f>
        <v/>
      </c>
      <c r="AB8" s="244">
        <f>IF(AND(INDEX('Roster Summary'!$U$31:$U$180,7)=1,LEFT(Grid!AN9,6)="Travel"),5*1000+7,"")</f>
        <v/>
      </c>
      <c r="AC8" s="244">
        <f>IF(AND(INDEX('Roster Summary'!$U$31:$U$180,7)=1,LEFT(Grid!AO9,6)="Travel"),6*1000+7,"")</f>
        <v/>
      </c>
      <c r="AD8" s="244">
        <f>IF(AND(INDEX('Roster Summary'!$U$31:$U$180,7)=1,LEFT(Grid!AP9,6)="Travel"),7*1000+7,"")</f>
        <v/>
      </c>
      <c r="AE8" s="244">
        <f>IF(AND(INDEX('Roster Summary'!$U$31:$U$180,7)=1,LEFT(Grid!AQ9,6)="Travel"),8*1000+7,"")</f>
        <v/>
      </c>
      <c r="AF8" s="244">
        <f>IF(AND(INDEX('Roster Summary'!$U$31:$U$180,7)=1,LEFT(Grid!AR9,6)="Travel"),9*1000+7,"")</f>
        <v/>
      </c>
      <c r="AG8" s="244">
        <f>IF(AND(INDEX('Roster Summary'!$U$31:$U$180,7)=1,LEFT(Grid!AS9,6)="Travel"),10*1000+7,"")</f>
        <v/>
      </c>
      <c r="AH8" s="244">
        <f>IF(AND(INDEX('Roster Summary'!$U$31:$U$180,7)=1,LEFT(Grid!AT9,6)="Travel"),11*1000+7,"")</f>
        <v/>
      </c>
      <c r="AI8" s="244">
        <f>IF(AND(INDEX('Roster Summary'!$U$31:$U$180,7)=1,LEFT(Grid!AU9,6)="Travel"),12*1000+7,"")</f>
        <v/>
      </c>
      <c r="AJ8" s="244">
        <f>IF(AND(INDEX('Roster Summary'!$U$31:$U$180,7)=1,LEFT(Grid!AV9,6)="Travel"),13*1000+7,"")</f>
        <v/>
      </c>
      <c r="AM8" s="244" t="n">
        <v>7</v>
      </c>
      <c r="AN8" s="244">
        <f>IFERROR(SMALL(Calc!$W$2:$AJ$151,AM8),"")</f>
        <v/>
      </c>
      <c r="AO8" s="244">
        <f>IF(AN8="","",INT(AN8/1000))</f>
        <v/>
      </c>
      <c r="AP8" s="244">
        <f>IF(AN8="","",MOD(AN8,1000))</f>
        <v/>
      </c>
      <c r="AR8" s="244" t="n">
        <v>7</v>
      </c>
      <c r="AS8" s="244">
        <f>IFERROR(SMALL($BC$5:$BC$1504,AR8),"")</f>
        <v/>
      </c>
      <c r="AT8" s="244">
        <f>IF(AS8="","",MATCH(AS8,$BC$5:$BC$1504,0))</f>
        <v/>
      </c>
      <c r="AX8" s="244">
        <f>LOWER(TRIM('BHP Site Access'!B8&amp;"")&amp;"|"&amp;TRIM('BHP Site Access'!C8&amp;""))</f>
        <v/>
      </c>
      <c r="BB8" s="244">
        <f>IF('INPUT - Bookings'!$B8="",0,IF(AND(OR(Dashboard!$D$9="All",TRIM('INPUT - Bookings'!$C8)=Dashboard!$D$9),OR(Dashboard!$J$9="All",TRIM('INPUT - Bookings'!$D8)=Dashboard!$J$9)),1,0))</f>
        <v/>
      </c>
      <c r="BC8" s="244">
        <f>IF(AND(BB8=1,ISNUMBER('INPUT - Bookings'!$E8),'INPUT - Bookings'!$E8&gt;=Settings!$C$8,'INPUT - Bookings'!$E8&lt;=Settings!$C$8+14,IFERROR(INDEX(Settings!$Q$14:$Q$24,MATCH('INPUT - Bookings'!$G8,Settings!$P$14:$P$24,0)),"Yes")="Yes"),'INPUT - Bookings'!$E8+ROW()/100000,"")</f>
        <v/>
      </c>
    </row>
    <row r="9">
      <c r="A9" s="244" t="inlineStr">
        <is>
          <t>Other</t>
        </is>
      </c>
      <c r="B9" s="244">
        <f>COUNTIFS(Grid!$AI$3:$AI$152,A9,'Roster Summary'!$U$31:$U$180,1)</f>
        <v/>
      </c>
      <c r="D9" s="244" t="inlineStr">
        <is>
          <t>Warrawandu</t>
        </is>
      </c>
      <c r="E9" s="244">
        <f>COUNTIFS(Grid!$BL$3:$BL$152,D9,Grid!$AI$3:$AI$152,"On site",'Roster Summary'!$U$31:$U$180,1)+COUNTIFS(Grid!$BL$3:$BL$152,D9,Grid!$AI$3:$AI$152,"Travel in",'Roster Summary'!$U$31:$U$180,1)</f>
        <v/>
      </c>
      <c r="G9" s="244">
        <f>TEXT(Grid!M$2,"dd-mmm")</f>
        <v/>
      </c>
      <c r="H9" s="244">
        <f>COUNTIFS(Grid!$AP$3:$AP$152,"On site",'Roster Summary'!$U$31:$U$180,1)</f>
        <v/>
      </c>
      <c r="I9" s="244">
        <f>COUNTIFS(Grid!$AP$3:$AP$152,"Travel in",'Roster Summary'!$U$31:$U$180,1)</f>
        <v/>
      </c>
      <c r="J9" s="244">
        <f>COUNTIFS(Grid!$AP$3:$AP$152,"Travel out",'Roster Summary'!$U$31:$U$180,1)</f>
        <v/>
      </c>
      <c r="T9" s="244">
        <f>TEXT(INDEX('Camp Summary'!$C$4:$SF$4,50),"dd-mmm-yy")</f>
        <v/>
      </c>
      <c r="U9" s="244">
        <f>MAX(INDEX('Camp Summary'!$C$19:$SF$19,50):INDEX('Camp Summary'!$C$19:$SF$19,56))</f>
        <v/>
      </c>
      <c r="W9" s="244">
        <f>IF(AND(INDEX('Roster Summary'!$U$31:$U$180,8)=1,LEFT(Grid!AI10,6)="Travel"),0*1000+8,"")</f>
        <v/>
      </c>
      <c r="X9" s="244">
        <f>IF(AND(INDEX('Roster Summary'!$U$31:$U$180,8)=1,LEFT(Grid!AJ10,6)="Travel"),1*1000+8,"")</f>
        <v/>
      </c>
      <c r="Y9" s="244">
        <f>IF(AND(INDEX('Roster Summary'!$U$31:$U$180,8)=1,LEFT(Grid!AK10,6)="Travel"),2*1000+8,"")</f>
        <v/>
      </c>
      <c r="Z9" s="244">
        <f>IF(AND(INDEX('Roster Summary'!$U$31:$U$180,8)=1,LEFT(Grid!AL10,6)="Travel"),3*1000+8,"")</f>
        <v/>
      </c>
      <c r="AA9" s="244">
        <f>IF(AND(INDEX('Roster Summary'!$U$31:$U$180,8)=1,LEFT(Grid!AM10,6)="Travel"),4*1000+8,"")</f>
        <v/>
      </c>
      <c r="AB9" s="244">
        <f>IF(AND(INDEX('Roster Summary'!$U$31:$U$180,8)=1,LEFT(Grid!AN10,6)="Travel"),5*1000+8,"")</f>
        <v/>
      </c>
      <c r="AC9" s="244">
        <f>IF(AND(INDEX('Roster Summary'!$U$31:$U$180,8)=1,LEFT(Grid!AO10,6)="Travel"),6*1000+8,"")</f>
        <v/>
      </c>
      <c r="AD9" s="244">
        <f>IF(AND(INDEX('Roster Summary'!$U$31:$U$180,8)=1,LEFT(Grid!AP10,6)="Travel"),7*1000+8,"")</f>
        <v/>
      </c>
      <c r="AE9" s="244">
        <f>IF(AND(INDEX('Roster Summary'!$U$31:$U$180,8)=1,LEFT(Grid!AQ10,6)="Travel"),8*1000+8,"")</f>
        <v/>
      </c>
      <c r="AF9" s="244">
        <f>IF(AND(INDEX('Roster Summary'!$U$31:$U$180,8)=1,LEFT(Grid!AR10,6)="Travel"),9*1000+8,"")</f>
        <v/>
      </c>
      <c r="AG9" s="244">
        <f>IF(AND(INDEX('Roster Summary'!$U$31:$U$180,8)=1,LEFT(Grid!AS10,6)="Travel"),10*1000+8,"")</f>
        <v/>
      </c>
      <c r="AH9" s="244">
        <f>IF(AND(INDEX('Roster Summary'!$U$31:$U$180,8)=1,LEFT(Grid!AT10,6)="Travel"),11*1000+8,"")</f>
        <v/>
      </c>
      <c r="AI9" s="244">
        <f>IF(AND(INDEX('Roster Summary'!$U$31:$U$180,8)=1,LEFT(Grid!AU10,6)="Travel"),12*1000+8,"")</f>
        <v/>
      </c>
      <c r="AJ9" s="244">
        <f>IF(AND(INDEX('Roster Summary'!$U$31:$U$180,8)=1,LEFT(Grid!AV10,6)="Travel"),13*1000+8,"")</f>
        <v/>
      </c>
      <c r="AM9" s="244" t="n">
        <v>8</v>
      </c>
      <c r="AN9" s="244">
        <f>IFERROR(SMALL(Calc!$W$2:$AJ$151,AM9),"")</f>
        <v/>
      </c>
      <c r="AO9" s="244">
        <f>IF(AN9="","",INT(AN9/1000))</f>
        <v/>
      </c>
      <c r="AP9" s="244">
        <f>IF(AN9="","",MOD(AN9,1000))</f>
        <v/>
      </c>
      <c r="AR9" s="244" t="n">
        <v>8</v>
      </c>
      <c r="AS9" s="244">
        <f>IFERROR(SMALL($BC$5:$BC$1504,AR9),"")</f>
        <v/>
      </c>
      <c r="AT9" s="244">
        <f>IF(AS9="","",MATCH(AS9,$BC$5:$BC$1504,0))</f>
        <v/>
      </c>
      <c r="AX9" s="244">
        <f>LOWER(TRIM('BHP Site Access'!B9&amp;"")&amp;"|"&amp;TRIM('BHP Site Access'!C9&amp;""))</f>
        <v/>
      </c>
      <c r="BB9" s="244">
        <f>IF('INPUT - Bookings'!$B9="",0,IF(AND(OR(Dashboard!$D$9="All",TRIM('INPUT - Bookings'!$C9)=Dashboard!$D$9),OR(Dashboard!$J$9="All",TRIM('INPUT - Bookings'!$D9)=Dashboard!$J$9)),1,0))</f>
        <v/>
      </c>
      <c r="BC9" s="244">
        <f>IF(AND(BB9=1,ISNUMBER('INPUT - Bookings'!$E9),'INPUT - Bookings'!$E9&gt;=Settings!$C$8,'INPUT - Bookings'!$E9&lt;=Settings!$C$8+14,IFERROR(INDEX(Settings!$Q$14:$Q$24,MATCH('INPUT - Bookings'!$G9,Settings!$P$14:$P$24,0)),"Yes")="Yes"),'INPUT - Bookings'!$E9+ROW()/100000,"")</f>
        <v/>
      </c>
    </row>
    <row r="10">
      <c r="A10" s="244" t="inlineStr">
        <is>
          <t>Not rostered</t>
        </is>
      </c>
      <c r="B10" s="244">
        <f>COUNTIFS(Grid!$AI$3:$AI$152,A10,'Roster Summary'!$U$31:$U$180,1)</f>
        <v/>
      </c>
      <c r="D10" s="244" t="inlineStr">
        <is>
          <t>Kalgans Rest</t>
        </is>
      </c>
      <c r="E10" s="244">
        <f>COUNTIFS(Grid!$BL$3:$BL$152,D10,Grid!$AI$3:$AI$152,"On site",'Roster Summary'!$U$31:$U$180,1)+COUNTIFS(Grid!$BL$3:$BL$152,D10,Grid!$AI$3:$AI$152,"Travel in",'Roster Summary'!$U$31:$U$180,1)</f>
        <v/>
      </c>
      <c r="G10" s="244">
        <f>TEXT(Grid!N$2,"dd-mmm")</f>
        <v/>
      </c>
      <c r="H10" s="244">
        <f>COUNTIFS(Grid!$AQ$3:$AQ$152,"On site",'Roster Summary'!$U$31:$U$180,1)</f>
        <v/>
      </c>
      <c r="I10" s="244">
        <f>COUNTIFS(Grid!$AQ$3:$AQ$152,"Travel in",'Roster Summary'!$U$31:$U$180,1)</f>
        <v/>
      </c>
      <c r="J10" s="244">
        <f>COUNTIFS(Grid!$AQ$3:$AQ$152,"Travel out",'Roster Summary'!$U$31:$U$180,1)</f>
        <v/>
      </c>
      <c r="T10" s="244">
        <f>TEXT(INDEX('Camp Summary'!$C$4:$SF$4,57),"dd-mmm-yy")</f>
        <v/>
      </c>
      <c r="U10" s="244">
        <f>MAX(INDEX('Camp Summary'!$C$19:$SF$19,57):INDEX('Camp Summary'!$C$19:$SF$19,63))</f>
        <v/>
      </c>
      <c r="W10" s="244">
        <f>IF(AND(INDEX('Roster Summary'!$U$31:$U$180,9)=1,LEFT(Grid!AI11,6)="Travel"),0*1000+9,"")</f>
        <v/>
      </c>
      <c r="X10" s="244">
        <f>IF(AND(INDEX('Roster Summary'!$U$31:$U$180,9)=1,LEFT(Grid!AJ11,6)="Travel"),1*1000+9,"")</f>
        <v/>
      </c>
      <c r="Y10" s="244">
        <f>IF(AND(INDEX('Roster Summary'!$U$31:$U$180,9)=1,LEFT(Grid!AK11,6)="Travel"),2*1000+9,"")</f>
        <v/>
      </c>
      <c r="Z10" s="244">
        <f>IF(AND(INDEX('Roster Summary'!$U$31:$U$180,9)=1,LEFT(Grid!AL11,6)="Travel"),3*1000+9,"")</f>
        <v/>
      </c>
      <c r="AA10" s="244">
        <f>IF(AND(INDEX('Roster Summary'!$U$31:$U$180,9)=1,LEFT(Grid!AM11,6)="Travel"),4*1000+9,"")</f>
        <v/>
      </c>
      <c r="AB10" s="244">
        <f>IF(AND(INDEX('Roster Summary'!$U$31:$U$180,9)=1,LEFT(Grid!AN11,6)="Travel"),5*1000+9,"")</f>
        <v/>
      </c>
      <c r="AC10" s="244">
        <f>IF(AND(INDEX('Roster Summary'!$U$31:$U$180,9)=1,LEFT(Grid!AO11,6)="Travel"),6*1000+9,"")</f>
        <v/>
      </c>
      <c r="AD10" s="244">
        <f>IF(AND(INDEX('Roster Summary'!$U$31:$U$180,9)=1,LEFT(Grid!AP11,6)="Travel"),7*1000+9,"")</f>
        <v/>
      </c>
      <c r="AE10" s="244">
        <f>IF(AND(INDEX('Roster Summary'!$U$31:$U$180,9)=1,LEFT(Grid!AQ11,6)="Travel"),8*1000+9,"")</f>
        <v/>
      </c>
      <c r="AF10" s="244">
        <f>IF(AND(INDEX('Roster Summary'!$U$31:$U$180,9)=1,LEFT(Grid!AR11,6)="Travel"),9*1000+9,"")</f>
        <v/>
      </c>
      <c r="AG10" s="244">
        <f>IF(AND(INDEX('Roster Summary'!$U$31:$U$180,9)=1,LEFT(Grid!AS11,6)="Travel"),10*1000+9,"")</f>
        <v/>
      </c>
      <c r="AH10" s="244">
        <f>IF(AND(INDEX('Roster Summary'!$U$31:$U$180,9)=1,LEFT(Grid!AT11,6)="Travel"),11*1000+9,"")</f>
        <v/>
      </c>
      <c r="AI10" s="244">
        <f>IF(AND(INDEX('Roster Summary'!$U$31:$U$180,9)=1,LEFT(Grid!AU11,6)="Travel"),12*1000+9,"")</f>
        <v/>
      </c>
      <c r="AJ10" s="244">
        <f>IF(AND(INDEX('Roster Summary'!$U$31:$U$180,9)=1,LEFT(Grid!AV11,6)="Travel"),13*1000+9,"")</f>
        <v/>
      </c>
      <c r="AM10" s="244" t="n">
        <v>9</v>
      </c>
      <c r="AN10" s="244">
        <f>IFERROR(SMALL(Calc!$W$2:$AJ$151,AM10),"")</f>
        <v/>
      </c>
      <c r="AO10" s="244">
        <f>IF(AN10="","",INT(AN10/1000))</f>
        <v/>
      </c>
      <c r="AP10" s="244">
        <f>IF(AN10="","",MOD(AN10,1000))</f>
        <v/>
      </c>
      <c r="AR10" s="244" t="n">
        <v>9</v>
      </c>
      <c r="AS10" s="244">
        <f>IFERROR(SMALL($BC$5:$BC$1504,AR10),"")</f>
        <v/>
      </c>
      <c r="AT10" s="244">
        <f>IF(AS10="","",MATCH(AS10,$BC$5:$BC$1504,0))</f>
        <v/>
      </c>
      <c r="AX10" s="244">
        <f>LOWER(TRIM('BHP Site Access'!B10&amp;"")&amp;"|"&amp;TRIM('BHP Site Access'!C10&amp;""))</f>
        <v/>
      </c>
      <c r="BB10" s="244">
        <f>IF('INPUT - Bookings'!$B10="",0,IF(AND(OR(Dashboard!$D$9="All",TRIM('INPUT - Bookings'!$C10)=Dashboard!$D$9),OR(Dashboard!$J$9="All",TRIM('INPUT - Bookings'!$D10)=Dashboard!$J$9)),1,0))</f>
        <v/>
      </c>
      <c r="BC10" s="244">
        <f>IF(AND(BB10=1,ISNUMBER('INPUT - Bookings'!$E10),'INPUT - Bookings'!$E10&gt;=Settings!$C$8,'INPUT - Bookings'!$E10&lt;=Settings!$C$8+14,IFERROR(INDEX(Settings!$Q$14:$Q$24,MATCH('INPUT - Bookings'!$G10,Settings!$P$14:$P$24,0)),"Yes")="Yes"),'INPUT - Bookings'!$E10+ROW()/100000,"")</f>
        <v/>
      </c>
    </row>
    <row r="11">
      <c r="D11" s="244" t="inlineStr">
        <is>
          <t>Mulla Mulla</t>
        </is>
      </c>
      <c r="E11" s="244">
        <f>COUNTIFS(Grid!$BL$3:$BL$152,D11,Grid!$AI$3:$AI$152,"On site",'Roster Summary'!$U$31:$U$180,1)+COUNTIFS(Grid!$BL$3:$BL$152,D11,Grid!$AI$3:$AI$152,"Travel in",'Roster Summary'!$U$31:$U$180,1)</f>
        <v/>
      </c>
      <c r="G11" s="244">
        <f>TEXT(Grid!O$2,"dd-mmm")</f>
        <v/>
      </c>
      <c r="H11" s="244">
        <f>COUNTIFS(Grid!$AR$3:$AR$152,"On site",'Roster Summary'!$U$31:$U$180,1)</f>
        <v/>
      </c>
      <c r="I11" s="244">
        <f>COUNTIFS(Grid!$AR$3:$AR$152,"Travel in",'Roster Summary'!$U$31:$U$180,1)</f>
        <v/>
      </c>
      <c r="J11" s="244">
        <f>COUNTIFS(Grid!$AR$3:$AR$152,"Travel out",'Roster Summary'!$U$31:$U$180,1)</f>
        <v/>
      </c>
      <c r="T11" s="244">
        <f>TEXT(INDEX('Camp Summary'!$C$4:$SF$4,64),"dd-mmm-yy")</f>
        <v/>
      </c>
      <c r="U11" s="244">
        <f>MAX(INDEX('Camp Summary'!$C$19:$SF$19,64):INDEX('Camp Summary'!$C$19:$SF$19,70))</f>
        <v/>
      </c>
      <c r="W11" s="244">
        <f>IF(AND(INDEX('Roster Summary'!$U$31:$U$180,10)=1,LEFT(Grid!AI12,6)="Travel"),0*1000+10,"")</f>
        <v/>
      </c>
      <c r="X11" s="244">
        <f>IF(AND(INDEX('Roster Summary'!$U$31:$U$180,10)=1,LEFT(Grid!AJ12,6)="Travel"),1*1000+10,"")</f>
        <v/>
      </c>
      <c r="Y11" s="244">
        <f>IF(AND(INDEX('Roster Summary'!$U$31:$U$180,10)=1,LEFT(Grid!AK12,6)="Travel"),2*1000+10,"")</f>
        <v/>
      </c>
      <c r="Z11" s="244">
        <f>IF(AND(INDEX('Roster Summary'!$U$31:$U$180,10)=1,LEFT(Grid!AL12,6)="Travel"),3*1000+10,"")</f>
        <v/>
      </c>
      <c r="AA11" s="244">
        <f>IF(AND(INDEX('Roster Summary'!$U$31:$U$180,10)=1,LEFT(Grid!AM12,6)="Travel"),4*1000+10,"")</f>
        <v/>
      </c>
      <c r="AB11" s="244">
        <f>IF(AND(INDEX('Roster Summary'!$U$31:$U$180,10)=1,LEFT(Grid!AN12,6)="Travel"),5*1000+10,"")</f>
        <v/>
      </c>
      <c r="AC11" s="244">
        <f>IF(AND(INDEX('Roster Summary'!$U$31:$U$180,10)=1,LEFT(Grid!AO12,6)="Travel"),6*1000+10,"")</f>
        <v/>
      </c>
      <c r="AD11" s="244">
        <f>IF(AND(INDEX('Roster Summary'!$U$31:$U$180,10)=1,LEFT(Grid!AP12,6)="Travel"),7*1000+10,"")</f>
        <v/>
      </c>
      <c r="AE11" s="244">
        <f>IF(AND(INDEX('Roster Summary'!$U$31:$U$180,10)=1,LEFT(Grid!AQ12,6)="Travel"),8*1000+10,"")</f>
        <v/>
      </c>
      <c r="AF11" s="244">
        <f>IF(AND(INDEX('Roster Summary'!$U$31:$U$180,10)=1,LEFT(Grid!AR12,6)="Travel"),9*1000+10,"")</f>
        <v/>
      </c>
      <c r="AG11" s="244">
        <f>IF(AND(INDEX('Roster Summary'!$U$31:$U$180,10)=1,LEFT(Grid!AS12,6)="Travel"),10*1000+10,"")</f>
        <v/>
      </c>
      <c r="AH11" s="244">
        <f>IF(AND(INDEX('Roster Summary'!$U$31:$U$180,10)=1,LEFT(Grid!AT12,6)="Travel"),11*1000+10,"")</f>
        <v/>
      </c>
      <c r="AI11" s="244">
        <f>IF(AND(INDEX('Roster Summary'!$U$31:$U$180,10)=1,LEFT(Grid!AU12,6)="Travel"),12*1000+10,"")</f>
        <v/>
      </c>
      <c r="AJ11" s="244">
        <f>IF(AND(INDEX('Roster Summary'!$U$31:$U$180,10)=1,LEFT(Grid!AV12,6)="Travel"),13*1000+10,"")</f>
        <v/>
      </c>
      <c r="AM11" s="244" t="n">
        <v>10</v>
      </c>
      <c r="AN11" s="244">
        <f>IFERROR(SMALL(Calc!$W$2:$AJ$151,AM11),"")</f>
        <v/>
      </c>
      <c r="AO11" s="244">
        <f>IF(AN11="","",INT(AN11/1000))</f>
        <v/>
      </c>
      <c r="AP11" s="244">
        <f>IF(AN11="","",MOD(AN11,1000))</f>
        <v/>
      </c>
      <c r="AR11" s="244" t="n">
        <v>10</v>
      </c>
      <c r="AS11" s="244">
        <f>IFERROR(SMALL($BC$5:$BC$1504,AR11),"")</f>
        <v/>
      </c>
      <c r="AT11" s="244">
        <f>IF(AS11="","",MATCH(AS11,$BC$5:$BC$1504,0))</f>
        <v/>
      </c>
      <c r="AX11" s="244">
        <f>LOWER(TRIM('BHP Site Access'!B11&amp;"")&amp;"|"&amp;TRIM('BHP Site Access'!C11&amp;""))</f>
        <v/>
      </c>
      <c r="BB11" s="244">
        <f>IF('INPUT - Bookings'!$B11="",0,IF(AND(OR(Dashboard!$D$9="All",TRIM('INPUT - Bookings'!$C11)=Dashboard!$D$9),OR(Dashboard!$J$9="All",TRIM('INPUT - Bookings'!$D11)=Dashboard!$J$9)),1,0))</f>
        <v/>
      </c>
      <c r="BC11" s="244">
        <f>IF(AND(BB11=1,ISNUMBER('INPUT - Bookings'!$E11),'INPUT - Bookings'!$E11&gt;=Settings!$C$8,'INPUT - Bookings'!$E11&lt;=Settings!$C$8+14,IFERROR(INDEX(Settings!$Q$14:$Q$24,MATCH('INPUT - Bookings'!$G11,Settings!$P$14:$P$24,0)),"Yes")="Yes"),'INPUT - Bookings'!$E11+ROW()/100000,"")</f>
        <v/>
      </c>
    </row>
    <row r="12">
      <c r="D12" s="244" t="inlineStr">
        <is>
          <t>Oasis</t>
        </is>
      </c>
      <c r="E12" s="244">
        <f>COUNTIFS(Grid!$BL$3:$BL$152,D12,Grid!$AI$3:$AI$152,"On site",'Roster Summary'!$U$31:$U$180,1)+COUNTIFS(Grid!$BL$3:$BL$152,D12,Grid!$AI$3:$AI$152,"Travel in",'Roster Summary'!$U$31:$U$180,1)</f>
        <v/>
      </c>
      <c r="G12" s="244">
        <f>TEXT(Grid!P$2,"dd-mmm")</f>
        <v/>
      </c>
      <c r="H12" s="244">
        <f>COUNTIFS(Grid!$AS$3:$AS$152,"On site",'Roster Summary'!$U$31:$U$180,1)</f>
        <v/>
      </c>
      <c r="I12" s="244">
        <f>COUNTIFS(Grid!$AS$3:$AS$152,"Travel in",'Roster Summary'!$U$31:$U$180,1)</f>
        <v/>
      </c>
      <c r="J12" s="244">
        <f>COUNTIFS(Grid!$AS$3:$AS$152,"Travel out",'Roster Summary'!$U$31:$U$180,1)</f>
        <v/>
      </c>
      <c r="T12" s="244">
        <f>TEXT(INDEX('Camp Summary'!$C$4:$SF$4,71),"dd-mmm-yy")</f>
        <v/>
      </c>
      <c r="U12" s="244">
        <f>MAX(INDEX('Camp Summary'!$C$19:$SF$19,71):INDEX('Camp Summary'!$C$19:$SF$19,77))</f>
        <v/>
      </c>
      <c r="W12" s="244">
        <f>IF(AND(INDEX('Roster Summary'!$U$31:$U$180,11)=1,LEFT(Grid!AI13,6)="Travel"),0*1000+11,"")</f>
        <v/>
      </c>
      <c r="X12" s="244">
        <f>IF(AND(INDEX('Roster Summary'!$U$31:$U$180,11)=1,LEFT(Grid!AJ13,6)="Travel"),1*1000+11,"")</f>
        <v/>
      </c>
      <c r="Y12" s="244">
        <f>IF(AND(INDEX('Roster Summary'!$U$31:$U$180,11)=1,LEFT(Grid!AK13,6)="Travel"),2*1000+11,"")</f>
        <v/>
      </c>
      <c r="Z12" s="244">
        <f>IF(AND(INDEX('Roster Summary'!$U$31:$U$180,11)=1,LEFT(Grid!AL13,6)="Travel"),3*1000+11,"")</f>
        <v/>
      </c>
      <c r="AA12" s="244">
        <f>IF(AND(INDEX('Roster Summary'!$U$31:$U$180,11)=1,LEFT(Grid!AM13,6)="Travel"),4*1000+11,"")</f>
        <v/>
      </c>
      <c r="AB12" s="244">
        <f>IF(AND(INDEX('Roster Summary'!$U$31:$U$180,11)=1,LEFT(Grid!AN13,6)="Travel"),5*1000+11,"")</f>
        <v/>
      </c>
      <c r="AC12" s="244">
        <f>IF(AND(INDEX('Roster Summary'!$U$31:$U$180,11)=1,LEFT(Grid!AO13,6)="Travel"),6*1000+11,"")</f>
        <v/>
      </c>
      <c r="AD12" s="244">
        <f>IF(AND(INDEX('Roster Summary'!$U$31:$U$180,11)=1,LEFT(Grid!AP13,6)="Travel"),7*1000+11,"")</f>
        <v/>
      </c>
      <c r="AE12" s="244">
        <f>IF(AND(INDEX('Roster Summary'!$U$31:$U$180,11)=1,LEFT(Grid!AQ13,6)="Travel"),8*1000+11,"")</f>
        <v/>
      </c>
      <c r="AF12" s="244">
        <f>IF(AND(INDEX('Roster Summary'!$U$31:$U$180,11)=1,LEFT(Grid!AR13,6)="Travel"),9*1000+11,"")</f>
        <v/>
      </c>
      <c r="AG12" s="244">
        <f>IF(AND(INDEX('Roster Summary'!$U$31:$U$180,11)=1,LEFT(Grid!AS13,6)="Travel"),10*1000+11,"")</f>
        <v/>
      </c>
      <c r="AH12" s="244">
        <f>IF(AND(INDEX('Roster Summary'!$U$31:$U$180,11)=1,LEFT(Grid!AT13,6)="Travel"),11*1000+11,"")</f>
        <v/>
      </c>
      <c r="AI12" s="244">
        <f>IF(AND(INDEX('Roster Summary'!$U$31:$U$180,11)=1,LEFT(Grid!AU13,6)="Travel"),12*1000+11,"")</f>
        <v/>
      </c>
      <c r="AJ12" s="244">
        <f>IF(AND(INDEX('Roster Summary'!$U$31:$U$180,11)=1,LEFT(Grid!AV13,6)="Travel"),13*1000+11,"")</f>
        <v/>
      </c>
      <c r="AM12" s="244" t="n">
        <v>11</v>
      </c>
      <c r="AN12" s="244">
        <f>IFERROR(SMALL(Calc!$W$2:$AJ$151,AM12),"")</f>
        <v/>
      </c>
      <c r="AO12" s="244">
        <f>IF(AN12="","",INT(AN12/1000))</f>
        <v/>
      </c>
      <c r="AP12" s="244">
        <f>IF(AN12="","",MOD(AN12,1000))</f>
        <v/>
      </c>
      <c r="AR12" s="244" t="n">
        <v>11</v>
      </c>
      <c r="AS12" s="244">
        <f>IFERROR(SMALL($BC$5:$BC$1504,AR12),"")</f>
        <v/>
      </c>
      <c r="AT12" s="244">
        <f>IF(AS12="","",MATCH(AS12,$BC$5:$BC$1504,0))</f>
        <v/>
      </c>
      <c r="AX12" s="244">
        <f>LOWER(TRIM('BHP Site Access'!B12&amp;"")&amp;"|"&amp;TRIM('BHP Site Access'!C12&amp;""))</f>
        <v/>
      </c>
      <c r="BB12" s="244">
        <f>IF('INPUT - Bookings'!$B12="",0,IF(AND(OR(Dashboard!$D$9="All",TRIM('INPUT - Bookings'!$C12)=Dashboard!$D$9),OR(Dashboard!$J$9="All",TRIM('INPUT - Bookings'!$D12)=Dashboard!$J$9)),1,0))</f>
        <v/>
      </c>
      <c r="BC12" s="244">
        <f>IF(AND(BB12=1,ISNUMBER('INPUT - Bookings'!$E12),'INPUT - Bookings'!$E12&gt;=Settings!$C$8,'INPUT - Bookings'!$E12&lt;=Settings!$C$8+14,IFERROR(INDEX(Settings!$Q$14:$Q$24,MATCH('INPUT - Bookings'!$G12,Settings!$P$14:$P$24,0)),"Yes")="Yes"),'INPUT - Bookings'!$E12+ROW()/100000,"")</f>
        <v/>
      </c>
    </row>
    <row r="13">
      <c r="D13" s="244" t="inlineStr">
        <is>
          <t>Packsaddle</t>
        </is>
      </c>
      <c r="E13" s="244">
        <f>COUNTIFS(Grid!$BL$3:$BL$152,D13,Grid!$AI$3:$AI$152,"On site",'Roster Summary'!$U$31:$U$180,1)+COUNTIFS(Grid!$BL$3:$BL$152,D13,Grid!$AI$3:$AI$152,"Travel in",'Roster Summary'!$U$31:$U$180,1)</f>
        <v/>
      </c>
      <c r="G13" s="244">
        <f>TEXT(Grid!Q$2,"dd-mmm")</f>
        <v/>
      </c>
      <c r="H13" s="244">
        <f>COUNTIFS(Grid!$AT$3:$AT$152,"On site",'Roster Summary'!$U$31:$U$180,1)</f>
        <v/>
      </c>
      <c r="I13" s="244">
        <f>COUNTIFS(Grid!$AT$3:$AT$152,"Travel in",'Roster Summary'!$U$31:$U$180,1)</f>
        <v/>
      </c>
      <c r="J13" s="244">
        <f>COUNTIFS(Grid!$AT$3:$AT$152,"Travel out",'Roster Summary'!$U$31:$U$180,1)</f>
        <v/>
      </c>
      <c r="T13" s="244">
        <f>TEXT(INDEX('Camp Summary'!$C$4:$SF$4,78),"dd-mmm-yy")</f>
        <v/>
      </c>
      <c r="U13" s="244">
        <f>MAX(INDEX('Camp Summary'!$C$19:$SF$19,78):INDEX('Camp Summary'!$C$19:$SF$19,84))</f>
        <v/>
      </c>
      <c r="W13" s="244">
        <f>IF(AND(INDEX('Roster Summary'!$U$31:$U$180,12)=1,LEFT(Grid!AI14,6)="Travel"),0*1000+12,"")</f>
        <v/>
      </c>
      <c r="X13" s="244">
        <f>IF(AND(INDEX('Roster Summary'!$U$31:$U$180,12)=1,LEFT(Grid!AJ14,6)="Travel"),1*1000+12,"")</f>
        <v/>
      </c>
      <c r="Y13" s="244">
        <f>IF(AND(INDEX('Roster Summary'!$U$31:$U$180,12)=1,LEFT(Grid!AK14,6)="Travel"),2*1000+12,"")</f>
        <v/>
      </c>
      <c r="Z13" s="244">
        <f>IF(AND(INDEX('Roster Summary'!$U$31:$U$180,12)=1,LEFT(Grid!AL14,6)="Travel"),3*1000+12,"")</f>
        <v/>
      </c>
      <c r="AA13" s="244">
        <f>IF(AND(INDEX('Roster Summary'!$U$31:$U$180,12)=1,LEFT(Grid!AM14,6)="Travel"),4*1000+12,"")</f>
        <v/>
      </c>
      <c r="AB13" s="244">
        <f>IF(AND(INDEX('Roster Summary'!$U$31:$U$180,12)=1,LEFT(Grid!AN14,6)="Travel"),5*1000+12,"")</f>
        <v/>
      </c>
      <c r="AC13" s="244">
        <f>IF(AND(INDEX('Roster Summary'!$U$31:$U$180,12)=1,LEFT(Grid!AO14,6)="Travel"),6*1000+12,"")</f>
        <v/>
      </c>
      <c r="AD13" s="244">
        <f>IF(AND(INDEX('Roster Summary'!$U$31:$U$180,12)=1,LEFT(Grid!AP14,6)="Travel"),7*1000+12,"")</f>
        <v/>
      </c>
      <c r="AE13" s="244">
        <f>IF(AND(INDEX('Roster Summary'!$U$31:$U$180,12)=1,LEFT(Grid!AQ14,6)="Travel"),8*1000+12,"")</f>
        <v/>
      </c>
      <c r="AF13" s="244">
        <f>IF(AND(INDEX('Roster Summary'!$U$31:$U$180,12)=1,LEFT(Grid!AR14,6)="Travel"),9*1000+12,"")</f>
        <v/>
      </c>
      <c r="AG13" s="244">
        <f>IF(AND(INDEX('Roster Summary'!$U$31:$U$180,12)=1,LEFT(Grid!AS14,6)="Travel"),10*1000+12,"")</f>
        <v/>
      </c>
      <c r="AH13" s="244">
        <f>IF(AND(INDEX('Roster Summary'!$U$31:$U$180,12)=1,LEFT(Grid!AT14,6)="Travel"),11*1000+12,"")</f>
        <v/>
      </c>
      <c r="AI13" s="244">
        <f>IF(AND(INDEX('Roster Summary'!$U$31:$U$180,12)=1,LEFT(Grid!AU14,6)="Travel"),12*1000+12,"")</f>
        <v/>
      </c>
      <c r="AJ13" s="244">
        <f>IF(AND(INDEX('Roster Summary'!$U$31:$U$180,12)=1,LEFT(Grid!AV14,6)="Travel"),13*1000+12,"")</f>
        <v/>
      </c>
      <c r="AM13" s="244" t="n">
        <v>12</v>
      </c>
      <c r="AN13" s="244">
        <f>IFERROR(SMALL(Calc!$W$2:$AJ$151,AM13),"")</f>
        <v/>
      </c>
      <c r="AO13" s="244">
        <f>IF(AN13="","",INT(AN13/1000))</f>
        <v/>
      </c>
      <c r="AP13" s="244">
        <f>IF(AN13="","",MOD(AN13,1000))</f>
        <v/>
      </c>
      <c r="AR13" s="244" t="n">
        <v>12</v>
      </c>
      <c r="AS13" s="244">
        <f>IFERROR(SMALL($BC$5:$BC$1504,AR13),"")</f>
        <v/>
      </c>
      <c r="AT13" s="244">
        <f>IF(AS13="","",MATCH(AS13,$BC$5:$BC$1504,0))</f>
        <v/>
      </c>
      <c r="AX13" s="244">
        <f>LOWER(TRIM('BHP Site Access'!B13&amp;"")&amp;"|"&amp;TRIM('BHP Site Access'!C13&amp;""))</f>
        <v/>
      </c>
      <c r="BB13" s="244">
        <f>IF('INPUT - Bookings'!$B13="",0,IF(AND(OR(Dashboard!$D$9="All",TRIM('INPUT - Bookings'!$C13)=Dashboard!$D$9),OR(Dashboard!$J$9="All",TRIM('INPUT - Bookings'!$D13)=Dashboard!$J$9)),1,0))</f>
        <v/>
      </c>
      <c r="BC13" s="244">
        <f>IF(AND(BB13=1,ISNUMBER('INPUT - Bookings'!$E13),'INPUT - Bookings'!$E13&gt;=Settings!$C$8,'INPUT - Bookings'!$E13&lt;=Settings!$C$8+14,IFERROR(INDEX(Settings!$Q$14:$Q$24,MATCH('INPUT - Bookings'!$G13,Settings!$P$14:$P$24,0)),"Yes")="Yes"),'INPUT - Bookings'!$E13+ROW()/100000,"")</f>
        <v/>
      </c>
    </row>
    <row r="14">
      <c r="A14" s="244" t="inlineStr">
        <is>
          <t>People in filter</t>
        </is>
      </c>
      <c r="B14" s="244">
        <f>SUM('Roster Summary'!$U$31:$U$180)</f>
        <v/>
      </c>
      <c r="D14" s="244" t="inlineStr">
        <is>
          <t>Whaleback</t>
        </is>
      </c>
      <c r="E14" s="244">
        <f>COUNTIFS(Grid!$BL$3:$BL$152,D14,Grid!$AI$3:$AI$152,"On site",'Roster Summary'!$U$31:$U$180,1)+COUNTIFS(Grid!$BL$3:$BL$152,D14,Grid!$AI$3:$AI$152,"Travel in",'Roster Summary'!$U$31:$U$180,1)</f>
        <v/>
      </c>
      <c r="G14" s="244">
        <f>TEXT(Grid!R$2,"dd-mmm")</f>
        <v/>
      </c>
      <c r="H14" s="244">
        <f>COUNTIFS(Grid!$AU$3:$AU$152,"On site",'Roster Summary'!$U$31:$U$180,1)</f>
        <v/>
      </c>
      <c r="I14" s="244">
        <f>COUNTIFS(Grid!$AU$3:$AU$152,"Travel in",'Roster Summary'!$U$31:$U$180,1)</f>
        <v/>
      </c>
      <c r="J14" s="244">
        <f>COUNTIFS(Grid!$AU$3:$AU$152,"Travel out",'Roster Summary'!$U$31:$U$180,1)</f>
        <v/>
      </c>
      <c r="T14" s="244">
        <f>TEXT(INDEX('Camp Summary'!$C$4:$SF$4,85),"dd-mmm-yy")</f>
        <v/>
      </c>
      <c r="U14" s="244">
        <f>MAX(INDEX('Camp Summary'!$C$19:$SF$19,85):INDEX('Camp Summary'!$C$19:$SF$19,91))</f>
        <v/>
      </c>
      <c r="W14" s="244">
        <f>IF(AND(INDEX('Roster Summary'!$U$31:$U$180,13)=1,LEFT(Grid!AI15,6)="Travel"),0*1000+13,"")</f>
        <v/>
      </c>
      <c r="X14" s="244">
        <f>IF(AND(INDEX('Roster Summary'!$U$31:$U$180,13)=1,LEFT(Grid!AJ15,6)="Travel"),1*1000+13,"")</f>
        <v/>
      </c>
      <c r="Y14" s="244">
        <f>IF(AND(INDEX('Roster Summary'!$U$31:$U$180,13)=1,LEFT(Grid!AK15,6)="Travel"),2*1000+13,"")</f>
        <v/>
      </c>
      <c r="Z14" s="244">
        <f>IF(AND(INDEX('Roster Summary'!$U$31:$U$180,13)=1,LEFT(Grid!AL15,6)="Travel"),3*1000+13,"")</f>
        <v/>
      </c>
      <c r="AA14" s="244">
        <f>IF(AND(INDEX('Roster Summary'!$U$31:$U$180,13)=1,LEFT(Grid!AM15,6)="Travel"),4*1000+13,"")</f>
        <v/>
      </c>
      <c r="AB14" s="244">
        <f>IF(AND(INDEX('Roster Summary'!$U$31:$U$180,13)=1,LEFT(Grid!AN15,6)="Travel"),5*1000+13,"")</f>
        <v/>
      </c>
      <c r="AC14" s="244">
        <f>IF(AND(INDEX('Roster Summary'!$U$31:$U$180,13)=1,LEFT(Grid!AO15,6)="Travel"),6*1000+13,"")</f>
        <v/>
      </c>
      <c r="AD14" s="244">
        <f>IF(AND(INDEX('Roster Summary'!$U$31:$U$180,13)=1,LEFT(Grid!AP15,6)="Travel"),7*1000+13,"")</f>
        <v/>
      </c>
      <c r="AE14" s="244">
        <f>IF(AND(INDEX('Roster Summary'!$U$31:$U$180,13)=1,LEFT(Grid!AQ15,6)="Travel"),8*1000+13,"")</f>
        <v/>
      </c>
      <c r="AF14" s="244">
        <f>IF(AND(INDEX('Roster Summary'!$U$31:$U$180,13)=1,LEFT(Grid!AR15,6)="Travel"),9*1000+13,"")</f>
        <v/>
      </c>
      <c r="AG14" s="244">
        <f>IF(AND(INDEX('Roster Summary'!$U$31:$U$180,13)=1,LEFT(Grid!AS15,6)="Travel"),10*1000+13,"")</f>
        <v/>
      </c>
      <c r="AH14" s="244">
        <f>IF(AND(INDEX('Roster Summary'!$U$31:$U$180,13)=1,LEFT(Grid!AT15,6)="Travel"),11*1000+13,"")</f>
        <v/>
      </c>
      <c r="AI14" s="244">
        <f>IF(AND(INDEX('Roster Summary'!$U$31:$U$180,13)=1,LEFT(Grid!AU15,6)="Travel"),12*1000+13,"")</f>
        <v/>
      </c>
      <c r="AJ14" s="244">
        <f>IF(AND(INDEX('Roster Summary'!$U$31:$U$180,13)=1,LEFT(Grid!AV15,6)="Travel"),13*1000+13,"")</f>
        <v/>
      </c>
      <c r="AX14" s="244">
        <f>LOWER(TRIM('BHP Site Access'!B14&amp;"")&amp;"|"&amp;TRIM('BHP Site Access'!C14&amp;""))</f>
        <v/>
      </c>
      <c r="BB14" s="244">
        <f>IF('INPUT - Bookings'!$B14="",0,IF(AND(OR(Dashboard!$D$9="All",TRIM('INPUT - Bookings'!$C14)=Dashboard!$D$9),OR(Dashboard!$J$9="All",TRIM('INPUT - Bookings'!$D14)=Dashboard!$J$9)),1,0))</f>
        <v/>
      </c>
      <c r="BC14" s="244">
        <f>IF(AND(BB14=1,ISNUMBER('INPUT - Bookings'!$E14),'INPUT - Bookings'!$E14&gt;=Settings!$C$8,'INPUT - Bookings'!$E14&lt;=Settings!$C$8+14,IFERROR(INDEX(Settings!$Q$14:$Q$24,MATCH('INPUT - Bookings'!$G14,Settings!$P$14:$P$24,0)),"Yes")="Yes"),'INPUT - Bookings'!$E14+ROW()/100000,"")</f>
        <v/>
      </c>
    </row>
    <row r="15">
      <c r="A15" s="244" t="inlineStr">
        <is>
          <t>Bookings pending (14 days)</t>
        </is>
      </c>
      <c r="B15" s="244">
        <f>COUNTIFS($BC$5:$BC$1504,"&gt;0",$BB$5:$BB$1504,1)</f>
        <v/>
      </c>
      <c r="G15" s="244">
        <f>TEXT(Grid!S$2,"dd-mmm")</f>
        <v/>
      </c>
      <c r="H15" s="244">
        <f>COUNTIFS(Grid!$AV$3:$AV$152,"On site",'Roster Summary'!$U$31:$U$180,1)</f>
        <v/>
      </c>
      <c r="I15" s="244">
        <f>COUNTIFS(Grid!$AV$3:$AV$152,"Travel in",'Roster Summary'!$U$31:$U$180,1)</f>
        <v/>
      </c>
      <c r="J15" s="244">
        <f>COUNTIFS(Grid!$AV$3:$AV$152,"Travel out",'Roster Summary'!$U$31:$U$180,1)</f>
        <v/>
      </c>
      <c r="T15" s="244">
        <f>TEXT(INDEX('Camp Summary'!$C$4:$SF$4,92),"dd-mmm-yy")</f>
        <v/>
      </c>
      <c r="U15" s="244">
        <f>MAX(INDEX('Camp Summary'!$C$19:$SF$19,92):INDEX('Camp Summary'!$C$19:$SF$19,98))</f>
        <v/>
      </c>
      <c r="W15" s="244">
        <f>IF(AND(INDEX('Roster Summary'!$U$31:$U$180,14)=1,LEFT(Grid!AI16,6)="Travel"),0*1000+14,"")</f>
        <v/>
      </c>
      <c r="X15" s="244">
        <f>IF(AND(INDEX('Roster Summary'!$U$31:$U$180,14)=1,LEFT(Grid!AJ16,6)="Travel"),1*1000+14,"")</f>
        <v/>
      </c>
      <c r="Y15" s="244">
        <f>IF(AND(INDEX('Roster Summary'!$U$31:$U$180,14)=1,LEFT(Grid!AK16,6)="Travel"),2*1000+14,"")</f>
        <v/>
      </c>
      <c r="Z15" s="244">
        <f>IF(AND(INDEX('Roster Summary'!$U$31:$U$180,14)=1,LEFT(Grid!AL16,6)="Travel"),3*1000+14,"")</f>
        <v/>
      </c>
      <c r="AA15" s="244">
        <f>IF(AND(INDEX('Roster Summary'!$U$31:$U$180,14)=1,LEFT(Grid!AM16,6)="Travel"),4*1000+14,"")</f>
        <v/>
      </c>
      <c r="AB15" s="244">
        <f>IF(AND(INDEX('Roster Summary'!$U$31:$U$180,14)=1,LEFT(Grid!AN16,6)="Travel"),5*1000+14,"")</f>
        <v/>
      </c>
      <c r="AC15" s="244">
        <f>IF(AND(INDEX('Roster Summary'!$U$31:$U$180,14)=1,LEFT(Grid!AO16,6)="Travel"),6*1000+14,"")</f>
        <v/>
      </c>
      <c r="AD15" s="244">
        <f>IF(AND(INDEX('Roster Summary'!$U$31:$U$180,14)=1,LEFT(Grid!AP16,6)="Travel"),7*1000+14,"")</f>
        <v/>
      </c>
      <c r="AE15" s="244">
        <f>IF(AND(INDEX('Roster Summary'!$U$31:$U$180,14)=1,LEFT(Grid!AQ16,6)="Travel"),8*1000+14,"")</f>
        <v/>
      </c>
      <c r="AF15" s="244">
        <f>IF(AND(INDEX('Roster Summary'!$U$31:$U$180,14)=1,LEFT(Grid!AR16,6)="Travel"),9*1000+14,"")</f>
        <v/>
      </c>
      <c r="AG15" s="244">
        <f>IF(AND(INDEX('Roster Summary'!$U$31:$U$180,14)=1,LEFT(Grid!AS16,6)="Travel"),10*1000+14,"")</f>
        <v/>
      </c>
      <c r="AH15" s="244">
        <f>IF(AND(INDEX('Roster Summary'!$U$31:$U$180,14)=1,LEFT(Grid!AT16,6)="Travel"),11*1000+14,"")</f>
        <v/>
      </c>
      <c r="AI15" s="244">
        <f>IF(AND(INDEX('Roster Summary'!$U$31:$U$180,14)=1,LEFT(Grid!AU16,6)="Travel"),12*1000+14,"")</f>
        <v/>
      </c>
      <c r="AJ15" s="244">
        <f>IF(AND(INDEX('Roster Summary'!$U$31:$U$180,14)=1,LEFT(Grid!AV16,6)="Travel"),13*1000+14,"")</f>
        <v/>
      </c>
      <c r="AX15" s="244">
        <f>LOWER(TRIM('BHP Site Access'!B15&amp;"")&amp;"|"&amp;TRIM('BHP Site Access'!C15&amp;""))</f>
        <v/>
      </c>
      <c r="BB15" s="244">
        <f>IF('INPUT - Bookings'!$B15="",0,IF(AND(OR(Dashboard!$D$9="All",TRIM('INPUT - Bookings'!$C15)=Dashboard!$D$9),OR(Dashboard!$J$9="All",TRIM('INPUT - Bookings'!$D15)=Dashboard!$J$9)),1,0))</f>
        <v/>
      </c>
      <c r="BC15" s="244">
        <f>IF(AND(BB15=1,ISNUMBER('INPUT - Bookings'!$E15),'INPUT - Bookings'!$E15&gt;=Settings!$C$8,'INPUT - Bookings'!$E15&lt;=Settings!$C$8+14,IFERROR(INDEX(Settings!$Q$14:$Q$24,MATCH('INPUT - Bookings'!$G15,Settings!$P$14:$P$24,0)),"Yes")="Yes"),'INPUT - Bookings'!$E15+ROW()/100000,"")</f>
        <v/>
      </c>
    </row>
    <row r="16">
      <c r="A16" s="244" t="inlineStr">
        <is>
          <t>Access / quals gaps</t>
        </is>
      </c>
      <c r="B16" s="244">
        <f>COUNTIFS('Roster Summary'!$T$31:$T$180,"GAP",'Roster Summary'!$U$31:$U$180,1)</f>
        <v/>
      </c>
      <c r="G16" s="244">
        <f>TEXT(Grid!T$2,"dd-mmm")</f>
        <v/>
      </c>
      <c r="H16" s="244">
        <f>COUNTIFS(Grid!$AW$3:$AW$152,"On site",'Roster Summary'!$U$31:$U$180,1)</f>
        <v/>
      </c>
      <c r="I16" s="244">
        <f>COUNTIFS(Grid!$AW$3:$AW$152,"Travel in",'Roster Summary'!$U$31:$U$180,1)</f>
        <v/>
      </c>
      <c r="J16" s="244">
        <f>COUNTIFS(Grid!$AW$3:$AW$152,"Travel out",'Roster Summary'!$U$31:$U$180,1)</f>
        <v/>
      </c>
      <c r="T16" s="244">
        <f>TEXT(INDEX('Camp Summary'!$C$4:$SF$4,99),"dd-mmm-yy")</f>
        <v/>
      </c>
      <c r="U16" s="244">
        <f>MAX(INDEX('Camp Summary'!$C$19:$SF$19,99):INDEX('Camp Summary'!$C$19:$SF$19,105))</f>
        <v/>
      </c>
      <c r="W16" s="244">
        <f>IF(AND(INDEX('Roster Summary'!$U$31:$U$180,15)=1,LEFT(Grid!AI17,6)="Travel"),0*1000+15,"")</f>
        <v/>
      </c>
      <c r="X16" s="244">
        <f>IF(AND(INDEX('Roster Summary'!$U$31:$U$180,15)=1,LEFT(Grid!AJ17,6)="Travel"),1*1000+15,"")</f>
        <v/>
      </c>
      <c r="Y16" s="244">
        <f>IF(AND(INDEX('Roster Summary'!$U$31:$U$180,15)=1,LEFT(Grid!AK17,6)="Travel"),2*1000+15,"")</f>
        <v/>
      </c>
      <c r="Z16" s="244">
        <f>IF(AND(INDEX('Roster Summary'!$U$31:$U$180,15)=1,LEFT(Grid!AL17,6)="Travel"),3*1000+15,"")</f>
        <v/>
      </c>
      <c r="AA16" s="244">
        <f>IF(AND(INDEX('Roster Summary'!$U$31:$U$180,15)=1,LEFT(Grid!AM17,6)="Travel"),4*1000+15,"")</f>
        <v/>
      </c>
      <c r="AB16" s="244">
        <f>IF(AND(INDEX('Roster Summary'!$U$31:$U$180,15)=1,LEFT(Grid!AN17,6)="Travel"),5*1000+15,"")</f>
        <v/>
      </c>
      <c r="AC16" s="244">
        <f>IF(AND(INDEX('Roster Summary'!$U$31:$U$180,15)=1,LEFT(Grid!AO17,6)="Travel"),6*1000+15,"")</f>
        <v/>
      </c>
      <c r="AD16" s="244">
        <f>IF(AND(INDEX('Roster Summary'!$U$31:$U$180,15)=1,LEFT(Grid!AP17,6)="Travel"),7*1000+15,"")</f>
        <v/>
      </c>
      <c r="AE16" s="244">
        <f>IF(AND(INDEX('Roster Summary'!$U$31:$U$180,15)=1,LEFT(Grid!AQ17,6)="Travel"),8*1000+15,"")</f>
        <v/>
      </c>
      <c r="AF16" s="244">
        <f>IF(AND(INDEX('Roster Summary'!$U$31:$U$180,15)=1,LEFT(Grid!AR17,6)="Travel"),9*1000+15,"")</f>
        <v/>
      </c>
      <c r="AG16" s="244">
        <f>IF(AND(INDEX('Roster Summary'!$U$31:$U$180,15)=1,LEFT(Grid!AS17,6)="Travel"),10*1000+15,"")</f>
        <v/>
      </c>
      <c r="AH16" s="244">
        <f>IF(AND(INDEX('Roster Summary'!$U$31:$U$180,15)=1,LEFT(Grid!AT17,6)="Travel"),11*1000+15,"")</f>
        <v/>
      </c>
      <c r="AI16" s="244">
        <f>IF(AND(INDEX('Roster Summary'!$U$31:$U$180,15)=1,LEFT(Grid!AU17,6)="Travel"),12*1000+15,"")</f>
        <v/>
      </c>
      <c r="AJ16" s="244">
        <f>IF(AND(INDEX('Roster Summary'!$U$31:$U$180,15)=1,LEFT(Grid!AV17,6)="Travel"),13*1000+15,"")</f>
        <v/>
      </c>
      <c r="AX16" s="244">
        <f>LOWER(TRIM('BHP Site Access'!B16&amp;"")&amp;"|"&amp;TRIM('BHP Site Access'!C16&amp;""))</f>
        <v/>
      </c>
      <c r="BB16" s="244">
        <f>IF('INPUT - Bookings'!$B16="",0,IF(AND(OR(Dashboard!$D$9="All",TRIM('INPUT - Bookings'!$C16)=Dashboard!$D$9),OR(Dashboard!$J$9="All",TRIM('INPUT - Bookings'!$D16)=Dashboard!$J$9)),1,0))</f>
        <v/>
      </c>
      <c r="BC16" s="244">
        <f>IF(AND(BB16=1,ISNUMBER('INPUT - Bookings'!$E16),'INPUT - Bookings'!$E16&gt;=Settings!$C$8,'INPUT - Bookings'!$E16&lt;=Settings!$C$8+14,IFERROR(INDEX(Settings!$Q$14:$Q$24,MATCH('INPUT - Bookings'!$G16,Settings!$P$14:$P$24,0)),"Yes")="Yes"),'INPUT - Bookings'!$E16+ROW()/100000,"")</f>
        <v/>
      </c>
    </row>
    <row r="17">
      <c r="A17" s="244" t="inlineStr">
        <is>
          <t>To be submitted (14 days)</t>
        </is>
      </c>
      <c r="B17" s="244">
        <f>COUNTIFS('INPUT - Bookings'!$G$5:$G$1504,"To be submitted",'INPUT - Bookings'!$E$5:$E$1504,"&gt;="&amp;Settings!$C$8,'INPUT - Bookings'!$E$5:$E$1504,"&lt;="&amp;Settings!$C$8+14,$BB$5:$BB$1504,1)</f>
        <v/>
      </c>
      <c r="G17" s="244">
        <f>TEXT(Grid!U$2,"dd-mmm")</f>
        <v/>
      </c>
      <c r="H17" s="244">
        <f>COUNTIFS(Grid!$AX$3:$AX$152,"On site",'Roster Summary'!$U$31:$U$180,1)</f>
        <v/>
      </c>
      <c r="I17" s="244">
        <f>COUNTIFS(Grid!$AX$3:$AX$152,"Travel in",'Roster Summary'!$U$31:$U$180,1)</f>
        <v/>
      </c>
      <c r="J17" s="244">
        <f>COUNTIFS(Grid!$AX$3:$AX$152,"Travel out",'Roster Summary'!$U$31:$U$180,1)</f>
        <v/>
      </c>
      <c r="T17" s="244">
        <f>TEXT(INDEX('Camp Summary'!$C$4:$SF$4,106),"dd-mmm-yy")</f>
        <v/>
      </c>
      <c r="U17" s="244">
        <f>MAX(INDEX('Camp Summary'!$C$19:$SF$19,106):INDEX('Camp Summary'!$C$19:$SF$19,112))</f>
        <v/>
      </c>
      <c r="W17" s="244">
        <f>IF(AND(INDEX('Roster Summary'!$U$31:$U$180,16)=1,LEFT(Grid!AI18,6)="Travel"),0*1000+16,"")</f>
        <v/>
      </c>
      <c r="X17" s="244">
        <f>IF(AND(INDEX('Roster Summary'!$U$31:$U$180,16)=1,LEFT(Grid!AJ18,6)="Travel"),1*1000+16,"")</f>
        <v/>
      </c>
      <c r="Y17" s="244">
        <f>IF(AND(INDEX('Roster Summary'!$U$31:$U$180,16)=1,LEFT(Grid!AK18,6)="Travel"),2*1000+16,"")</f>
        <v/>
      </c>
      <c r="Z17" s="244">
        <f>IF(AND(INDEX('Roster Summary'!$U$31:$U$180,16)=1,LEFT(Grid!AL18,6)="Travel"),3*1000+16,"")</f>
        <v/>
      </c>
      <c r="AA17" s="244">
        <f>IF(AND(INDEX('Roster Summary'!$U$31:$U$180,16)=1,LEFT(Grid!AM18,6)="Travel"),4*1000+16,"")</f>
        <v/>
      </c>
      <c r="AB17" s="244">
        <f>IF(AND(INDEX('Roster Summary'!$U$31:$U$180,16)=1,LEFT(Grid!AN18,6)="Travel"),5*1000+16,"")</f>
        <v/>
      </c>
      <c r="AC17" s="244">
        <f>IF(AND(INDEX('Roster Summary'!$U$31:$U$180,16)=1,LEFT(Grid!AO18,6)="Travel"),6*1000+16,"")</f>
        <v/>
      </c>
      <c r="AD17" s="244">
        <f>IF(AND(INDEX('Roster Summary'!$U$31:$U$180,16)=1,LEFT(Grid!AP18,6)="Travel"),7*1000+16,"")</f>
        <v/>
      </c>
      <c r="AE17" s="244">
        <f>IF(AND(INDEX('Roster Summary'!$U$31:$U$180,16)=1,LEFT(Grid!AQ18,6)="Travel"),8*1000+16,"")</f>
        <v/>
      </c>
      <c r="AF17" s="244">
        <f>IF(AND(INDEX('Roster Summary'!$U$31:$U$180,16)=1,LEFT(Grid!AR18,6)="Travel"),9*1000+16,"")</f>
        <v/>
      </c>
      <c r="AG17" s="244">
        <f>IF(AND(INDEX('Roster Summary'!$U$31:$U$180,16)=1,LEFT(Grid!AS18,6)="Travel"),10*1000+16,"")</f>
        <v/>
      </c>
      <c r="AH17" s="244">
        <f>IF(AND(INDEX('Roster Summary'!$U$31:$U$180,16)=1,LEFT(Grid!AT18,6)="Travel"),11*1000+16,"")</f>
        <v/>
      </c>
      <c r="AI17" s="244">
        <f>IF(AND(INDEX('Roster Summary'!$U$31:$U$180,16)=1,LEFT(Grid!AU18,6)="Travel"),12*1000+16,"")</f>
        <v/>
      </c>
      <c r="AJ17" s="244">
        <f>IF(AND(INDEX('Roster Summary'!$U$31:$U$180,16)=1,LEFT(Grid!AV18,6)="Travel"),13*1000+16,"")</f>
        <v/>
      </c>
      <c r="AX17" s="244">
        <f>LOWER(TRIM('BHP Site Access'!B17&amp;"")&amp;"|"&amp;TRIM('BHP Site Access'!C17&amp;""))</f>
        <v/>
      </c>
      <c r="BB17" s="244">
        <f>IF('INPUT - Bookings'!$B17="",0,IF(AND(OR(Dashboard!$D$9="All",TRIM('INPUT - Bookings'!$C17)=Dashboard!$D$9),OR(Dashboard!$J$9="All",TRIM('INPUT - Bookings'!$D17)=Dashboard!$J$9)),1,0))</f>
        <v/>
      </c>
      <c r="BC17" s="244">
        <f>IF(AND(BB17=1,ISNUMBER('INPUT - Bookings'!$E17),'INPUT - Bookings'!$E17&gt;=Settings!$C$8,'INPUT - Bookings'!$E17&lt;=Settings!$C$8+14,IFERROR(INDEX(Settings!$Q$14:$Q$24,MATCH('INPUT - Bookings'!$G17,Settings!$P$14:$P$24,0)),"Yes")="Yes"),'INPUT - Bookings'!$E17+ROW()/100000,"")</f>
        <v/>
      </c>
    </row>
    <row r="18">
      <c r="A18" s="244" t="inlineStr">
        <is>
          <t>Bed peak next 28 days</t>
        </is>
      </c>
      <c r="B18" s="244">
        <f>MAX(INDEX('Camp Summary'!$C$19:$SF$19,IFERROR(Settings!$C$9,1)):INDEX('Camp Summary'!$C$19:$SF$19,MIN(498,IFERROR(Settings!$C$9,1)+27)))</f>
        <v/>
      </c>
      <c r="G18" s="244">
        <f>TEXT(Grid!V$2,"dd-mmm")</f>
        <v/>
      </c>
      <c r="H18" s="244">
        <f>COUNTIFS(Grid!$AY$3:$AY$152,"On site",'Roster Summary'!$U$31:$U$180,1)</f>
        <v/>
      </c>
      <c r="I18" s="244">
        <f>COUNTIFS(Grid!$AY$3:$AY$152,"Travel in",'Roster Summary'!$U$31:$U$180,1)</f>
        <v/>
      </c>
      <c r="J18" s="244">
        <f>COUNTIFS(Grid!$AY$3:$AY$152,"Travel out",'Roster Summary'!$U$31:$U$180,1)</f>
        <v/>
      </c>
      <c r="T18" s="244">
        <f>TEXT(INDEX('Camp Summary'!$C$4:$SF$4,113),"dd-mmm-yy")</f>
        <v/>
      </c>
      <c r="U18" s="244">
        <f>MAX(INDEX('Camp Summary'!$C$19:$SF$19,113):INDEX('Camp Summary'!$C$19:$SF$19,119))</f>
        <v/>
      </c>
      <c r="W18" s="244">
        <f>IF(AND(INDEX('Roster Summary'!$U$31:$U$180,17)=1,LEFT(Grid!AI19,6)="Travel"),0*1000+17,"")</f>
        <v/>
      </c>
      <c r="X18" s="244">
        <f>IF(AND(INDEX('Roster Summary'!$U$31:$U$180,17)=1,LEFT(Grid!AJ19,6)="Travel"),1*1000+17,"")</f>
        <v/>
      </c>
      <c r="Y18" s="244">
        <f>IF(AND(INDEX('Roster Summary'!$U$31:$U$180,17)=1,LEFT(Grid!AK19,6)="Travel"),2*1000+17,"")</f>
        <v/>
      </c>
      <c r="Z18" s="244">
        <f>IF(AND(INDEX('Roster Summary'!$U$31:$U$180,17)=1,LEFT(Grid!AL19,6)="Travel"),3*1000+17,"")</f>
        <v/>
      </c>
      <c r="AA18" s="244">
        <f>IF(AND(INDEX('Roster Summary'!$U$31:$U$180,17)=1,LEFT(Grid!AM19,6)="Travel"),4*1000+17,"")</f>
        <v/>
      </c>
      <c r="AB18" s="244">
        <f>IF(AND(INDEX('Roster Summary'!$U$31:$U$180,17)=1,LEFT(Grid!AN19,6)="Travel"),5*1000+17,"")</f>
        <v/>
      </c>
      <c r="AC18" s="244">
        <f>IF(AND(INDEX('Roster Summary'!$U$31:$U$180,17)=1,LEFT(Grid!AO19,6)="Travel"),6*1000+17,"")</f>
        <v/>
      </c>
      <c r="AD18" s="244">
        <f>IF(AND(INDEX('Roster Summary'!$U$31:$U$180,17)=1,LEFT(Grid!AP19,6)="Travel"),7*1000+17,"")</f>
        <v/>
      </c>
      <c r="AE18" s="244">
        <f>IF(AND(INDEX('Roster Summary'!$U$31:$U$180,17)=1,LEFT(Grid!AQ19,6)="Travel"),8*1000+17,"")</f>
        <v/>
      </c>
      <c r="AF18" s="244">
        <f>IF(AND(INDEX('Roster Summary'!$U$31:$U$180,17)=1,LEFT(Grid!AR19,6)="Travel"),9*1000+17,"")</f>
        <v/>
      </c>
      <c r="AG18" s="244">
        <f>IF(AND(INDEX('Roster Summary'!$U$31:$U$180,17)=1,LEFT(Grid!AS19,6)="Travel"),10*1000+17,"")</f>
        <v/>
      </c>
      <c r="AH18" s="244">
        <f>IF(AND(INDEX('Roster Summary'!$U$31:$U$180,17)=1,LEFT(Grid!AT19,6)="Travel"),11*1000+17,"")</f>
        <v/>
      </c>
      <c r="AI18" s="244">
        <f>IF(AND(INDEX('Roster Summary'!$U$31:$U$180,17)=1,LEFT(Grid!AU19,6)="Travel"),12*1000+17,"")</f>
        <v/>
      </c>
      <c r="AJ18" s="244">
        <f>IF(AND(INDEX('Roster Summary'!$U$31:$U$180,17)=1,LEFT(Grid!AV19,6)="Travel"),13*1000+17,"")</f>
        <v/>
      </c>
      <c r="AX18" s="244">
        <f>LOWER(TRIM('BHP Site Access'!B18&amp;"")&amp;"|"&amp;TRIM('BHP Site Access'!C18&amp;""))</f>
        <v/>
      </c>
      <c r="BB18" s="244">
        <f>IF('INPUT - Bookings'!$B18="",0,IF(AND(OR(Dashboard!$D$9="All",TRIM('INPUT - Bookings'!$C18)=Dashboard!$D$9),OR(Dashboard!$J$9="All",TRIM('INPUT - Bookings'!$D18)=Dashboard!$J$9)),1,0))</f>
        <v/>
      </c>
      <c r="BC18" s="244">
        <f>IF(AND(BB18=1,ISNUMBER('INPUT - Bookings'!$E18),'INPUT - Bookings'!$E18&gt;=Settings!$C$8,'INPUT - Bookings'!$E18&lt;=Settings!$C$8+14,IFERROR(INDEX(Settings!$Q$14:$Q$24,MATCH('INPUT - Bookings'!$G18,Settings!$P$14:$P$24,0)),"Yes")="Yes"),'INPUT - Bookings'!$E18+ROW()/100000,"")</f>
        <v/>
      </c>
    </row>
    <row r="19">
      <c r="G19" s="244">
        <f>TEXT(Grid!W$2,"dd-mmm")</f>
        <v/>
      </c>
      <c r="H19" s="244">
        <f>COUNTIFS(Grid!$AZ$3:$AZ$152,"On site",'Roster Summary'!$U$31:$U$180,1)</f>
        <v/>
      </c>
      <c r="I19" s="244">
        <f>COUNTIFS(Grid!$AZ$3:$AZ$152,"Travel in",'Roster Summary'!$U$31:$U$180,1)</f>
        <v/>
      </c>
      <c r="J19" s="244">
        <f>COUNTIFS(Grid!$AZ$3:$AZ$152,"Travel out",'Roster Summary'!$U$31:$U$180,1)</f>
        <v/>
      </c>
      <c r="T19" s="244">
        <f>TEXT(INDEX('Camp Summary'!$C$4:$SF$4,120),"dd-mmm-yy")</f>
        <v/>
      </c>
      <c r="U19" s="244">
        <f>MAX(INDEX('Camp Summary'!$C$19:$SF$19,120):INDEX('Camp Summary'!$C$19:$SF$19,126))</f>
        <v/>
      </c>
      <c r="W19" s="244">
        <f>IF(AND(INDEX('Roster Summary'!$U$31:$U$180,18)=1,LEFT(Grid!AI20,6)="Travel"),0*1000+18,"")</f>
        <v/>
      </c>
      <c r="X19" s="244">
        <f>IF(AND(INDEX('Roster Summary'!$U$31:$U$180,18)=1,LEFT(Grid!AJ20,6)="Travel"),1*1000+18,"")</f>
        <v/>
      </c>
      <c r="Y19" s="244">
        <f>IF(AND(INDEX('Roster Summary'!$U$31:$U$180,18)=1,LEFT(Grid!AK20,6)="Travel"),2*1000+18,"")</f>
        <v/>
      </c>
      <c r="Z19" s="244">
        <f>IF(AND(INDEX('Roster Summary'!$U$31:$U$180,18)=1,LEFT(Grid!AL20,6)="Travel"),3*1000+18,"")</f>
        <v/>
      </c>
      <c r="AA19" s="244">
        <f>IF(AND(INDEX('Roster Summary'!$U$31:$U$180,18)=1,LEFT(Grid!AM20,6)="Travel"),4*1000+18,"")</f>
        <v/>
      </c>
      <c r="AB19" s="244">
        <f>IF(AND(INDEX('Roster Summary'!$U$31:$U$180,18)=1,LEFT(Grid!AN20,6)="Travel"),5*1000+18,"")</f>
        <v/>
      </c>
      <c r="AC19" s="244">
        <f>IF(AND(INDEX('Roster Summary'!$U$31:$U$180,18)=1,LEFT(Grid!AO20,6)="Travel"),6*1000+18,"")</f>
        <v/>
      </c>
      <c r="AD19" s="244">
        <f>IF(AND(INDEX('Roster Summary'!$U$31:$U$180,18)=1,LEFT(Grid!AP20,6)="Travel"),7*1000+18,"")</f>
        <v/>
      </c>
      <c r="AE19" s="244">
        <f>IF(AND(INDEX('Roster Summary'!$U$31:$U$180,18)=1,LEFT(Grid!AQ20,6)="Travel"),8*1000+18,"")</f>
        <v/>
      </c>
      <c r="AF19" s="244">
        <f>IF(AND(INDEX('Roster Summary'!$U$31:$U$180,18)=1,LEFT(Grid!AR20,6)="Travel"),9*1000+18,"")</f>
        <v/>
      </c>
      <c r="AG19" s="244">
        <f>IF(AND(INDEX('Roster Summary'!$U$31:$U$180,18)=1,LEFT(Grid!AS20,6)="Travel"),10*1000+18,"")</f>
        <v/>
      </c>
      <c r="AH19" s="244">
        <f>IF(AND(INDEX('Roster Summary'!$U$31:$U$180,18)=1,LEFT(Grid!AT20,6)="Travel"),11*1000+18,"")</f>
        <v/>
      </c>
      <c r="AI19" s="244">
        <f>IF(AND(INDEX('Roster Summary'!$U$31:$U$180,18)=1,LEFT(Grid!AU20,6)="Travel"),12*1000+18,"")</f>
        <v/>
      </c>
      <c r="AJ19" s="244">
        <f>IF(AND(INDEX('Roster Summary'!$U$31:$U$180,18)=1,LEFT(Grid!AV20,6)="Travel"),13*1000+18,"")</f>
        <v/>
      </c>
      <c r="AX19" s="244">
        <f>LOWER(TRIM('BHP Site Access'!B19&amp;"")&amp;"|"&amp;TRIM('BHP Site Access'!C19&amp;""))</f>
        <v/>
      </c>
      <c r="BB19" s="244">
        <f>IF('INPUT - Bookings'!$B19="",0,IF(AND(OR(Dashboard!$D$9="All",TRIM('INPUT - Bookings'!$C19)=Dashboard!$D$9),OR(Dashboard!$J$9="All",TRIM('INPUT - Bookings'!$D19)=Dashboard!$J$9)),1,0))</f>
        <v/>
      </c>
      <c r="BC19" s="244">
        <f>IF(AND(BB19=1,ISNUMBER('INPUT - Bookings'!$E19),'INPUT - Bookings'!$E19&gt;=Settings!$C$8,'INPUT - Bookings'!$E19&lt;=Settings!$C$8+14,IFERROR(INDEX(Settings!$Q$14:$Q$24,MATCH('INPUT - Bookings'!$G19,Settings!$P$14:$P$24,0)),"Yes")="Yes"),'INPUT - Bookings'!$E19+ROW()/100000,"")</f>
        <v/>
      </c>
    </row>
    <row r="20">
      <c r="G20" s="244">
        <f>TEXT(Grid!X$2,"dd-mmm")</f>
        <v/>
      </c>
      <c r="H20" s="244">
        <f>COUNTIFS(Grid!$BA$3:$BA$152,"On site",'Roster Summary'!$U$31:$U$180,1)</f>
        <v/>
      </c>
      <c r="I20" s="244">
        <f>COUNTIFS(Grid!$BA$3:$BA$152,"Travel in",'Roster Summary'!$U$31:$U$180,1)</f>
        <v/>
      </c>
      <c r="J20" s="244">
        <f>COUNTIFS(Grid!$BA$3:$BA$152,"Travel out",'Roster Summary'!$U$31:$U$180,1)</f>
        <v/>
      </c>
      <c r="T20" s="244">
        <f>TEXT(INDEX('Camp Summary'!$C$4:$SF$4,127),"dd-mmm-yy")</f>
        <v/>
      </c>
      <c r="U20" s="244">
        <f>MAX(INDEX('Camp Summary'!$C$19:$SF$19,127):INDEX('Camp Summary'!$C$19:$SF$19,133))</f>
        <v/>
      </c>
      <c r="W20" s="244">
        <f>IF(AND(INDEX('Roster Summary'!$U$31:$U$180,19)=1,LEFT(Grid!AI21,6)="Travel"),0*1000+19,"")</f>
        <v/>
      </c>
      <c r="X20" s="244">
        <f>IF(AND(INDEX('Roster Summary'!$U$31:$U$180,19)=1,LEFT(Grid!AJ21,6)="Travel"),1*1000+19,"")</f>
        <v/>
      </c>
      <c r="Y20" s="244">
        <f>IF(AND(INDEX('Roster Summary'!$U$31:$U$180,19)=1,LEFT(Grid!AK21,6)="Travel"),2*1000+19,"")</f>
        <v/>
      </c>
      <c r="Z20" s="244">
        <f>IF(AND(INDEX('Roster Summary'!$U$31:$U$180,19)=1,LEFT(Grid!AL21,6)="Travel"),3*1000+19,"")</f>
        <v/>
      </c>
      <c r="AA20" s="244">
        <f>IF(AND(INDEX('Roster Summary'!$U$31:$U$180,19)=1,LEFT(Grid!AM21,6)="Travel"),4*1000+19,"")</f>
        <v/>
      </c>
      <c r="AB20" s="244">
        <f>IF(AND(INDEX('Roster Summary'!$U$31:$U$180,19)=1,LEFT(Grid!AN21,6)="Travel"),5*1000+19,"")</f>
        <v/>
      </c>
      <c r="AC20" s="244">
        <f>IF(AND(INDEX('Roster Summary'!$U$31:$U$180,19)=1,LEFT(Grid!AO21,6)="Travel"),6*1000+19,"")</f>
        <v/>
      </c>
      <c r="AD20" s="244">
        <f>IF(AND(INDEX('Roster Summary'!$U$31:$U$180,19)=1,LEFT(Grid!AP21,6)="Travel"),7*1000+19,"")</f>
        <v/>
      </c>
      <c r="AE20" s="244">
        <f>IF(AND(INDEX('Roster Summary'!$U$31:$U$180,19)=1,LEFT(Grid!AQ21,6)="Travel"),8*1000+19,"")</f>
        <v/>
      </c>
      <c r="AF20" s="244">
        <f>IF(AND(INDEX('Roster Summary'!$U$31:$U$180,19)=1,LEFT(Grid!AR21,6)="Travel"),9*1000+19,"")</f>
        <v/>
      </c>
      <c r="AG20" s="244">
        <f>IF(AND(INDEX('Roster Summary'!$U$31:$U$180,19)=1,LEFT(Grid!AS21,6)="Travel"),10*1000+19,"")</f>
        <v/>
      </c>
      <c r="AH20" s="244">
        <f>IF(AND(INDEX('Roster Summary'!$U$31:$U$180,19)=1,LEFT(Grid!AT21,6)="Travel"),11*1000+19,"")</f>
        <v/>
      </c>
      <c r="AI20" s="244">
        <f>IF(AND(INDEX('Roster Summary'!$U$31:$U$180,19)=1,LEFT(Grid!AU21,6)="Travel"),12*1000+19,"")</f>
        <v/>
      </c>
      <c r="AJ20" s="244">
        <f>IF(AND(INDEX('Roster Summary'!$U$31:$U$180,19)=1,LEFT(Grid!AV21,6)="Travel"),13*1000+19,"")</f>
        <v/>
      </c>
      <c r="AX20" s="244">
        <f>LOWER(TRIM('BHP Site Access'!B20&amp;"")&amp;"|"&amp;TRIM('BHP Site Access'!C20&amp;""))</f>
        <v/>
      </c>
      <c r="BB20" s="244">
        <f>IF('INPUT - Bookings'!$B20="",0,IF(AND(OR(Dashboard!$D$9="All",TRIM('INPUT - Bookings'!$C20)=Dashboard!$D$9),OR(Dashboard!$J$9="All",TRIM('INPUT - Bookings'!$D20)=Dashboard!$J$9)),1,0))</f>
        <v/>
      </c>
      <c r="BC20" s="244">
        <f>IF(AND(BB20=1,ISNUMBER('INPUT - Bookings'!$E20),'INPUT - Bookings'!$E20&gt;=Settings!$C$8,'INPUT - Bookings'!$E20&lt;=Settings!$C$8+14,IFERROR(INDEX(Settings!$Q$14:$Q$24,MATCH('INPUT - Bookings'!$G20,Settings!$P$14:$P$24,0)),"Yes")="Yes"),'INPUT - Bookings'!$E20+ROW()/100000,"")</f>
        <v/>
      </c>
    </row>
    <row r="21">
      <c r="G21" s="244">
        <f>TEXT(Grid!Y$2,"dd-mmm")</f>
        <v/>
      </c>
      <c r="H21" s="244">
        <f>COUNTIFS(Grid!$BB$3:$BB$152,"On site",'Roster Summary'!$U$31:$U$180,1)</f>
        <v/>
      </c>
      <c r="I21" s="244">
        <f>COUNTIFS(Grid!$BB$3:$BB$152,"Travel in",'Roster Summary'!$U$31:$U$180,1)</f>
        <v/>
      </c>
      <c r="J21" s="244">
        <f>COUNTIFS(Grid!$BB$3:$BB$152,"Travel out",'Roster Summary'!$U$31:$U$180,1)</f>
        <v/>
      </c>
      <c r="T21" s="244">
        <f>TEXT(INDEX('Camp Summary'!$C$4:$SF$4,134),"dd-mmm-yy")</f>
        <v/>
      </c>
      <c r="U21" s="244">
        <f>MAX(INDEX('Camp Summary'!$C$19:$SF$19,134):INDEX('Camp Summary'!$C$19:$SF$19,140))</f>
        <v/>
      </c>
      <c r="W21" s="244">
        <f>IF(AND(INDEX('Roster Summary'!$U$31:$U$180,20)=1,LEFT(Grid!AI22,6)="Travel"),0*1000+20,"")</f>
        <v/>
      </c>
      <c r="X21" s="244">
        <f>IF(AND(INDEX('Roster Summary'!$U$31:$U$180,20)=1,LEFT(Grid!AJ22,6)="Travel"),1*1000+20,"")</f>
        <v/>
      </c>
      <c r="Y21" s="244">
        <f>IF(AND(INDEX('Roster Summary'!$U$31:$U$180,20)=1,LEFT(Grid!AK22,6)="Travel"),2*1000+20,"")</f>
        <v/>
      </c>
      <c r="Z21" s="244">
        <f>IF(AND(INDEX('Roster Summary'!$U$31:$U$180,20)=1,LEFT(Grid!AL22,6)="Travel"),3*1000+20,"")</f>
        <v/>
      </c>
      <c r="AA21" s="244">
        <f>IF(AND(INDEX('Roster Summary'!$U$31:$U$180,20)=1,LEFT(Grid!AM22,6)="Travel"),4*1000+20,"")</f>
        <v/>
      </c>
      <c r="AB21" s="244">
        <f>IF(AND(INDEX('Roster Summary'!$U$31:$U$180,20)=1,LEFT(Grid!AN22,6)="Travel"),5*1000+20,"")</f>
        <v/>
      </c>
      <c r="AC21" s="244">
        <f>IF(AND(INDEX('Roster Summary'!$U$31:$U$180,20)=1,LEFT(Grid!AO22,6)="Travel"),6*1000+20,"")</f>
        <v/>
      </c>
      <c r="AD21" s="244">
        <f>IF(AND(INDEX('Roster Summary'!$U$31:$U$180,20)=1,LEFT(Grid!AP22,6)="Travel"),7*1000+20,"")</f>
        <v/>
      </c>
      <c r="AE21" s="244">
        <f>IF(AND(INDEX('Roster Summary'!$U$31:$U$180,20)=1,LEFT(Grid!AQ22,6)="Travel"),8*1000+20,"")</f>
        <v/>
      </c>
      <c r="AF21" s="244">
        <f>IF(AND(INDEX('Roster Summary'!$U$31:$U$180,20)=1,LEFT(Grid!AR22,6)="Travel"),9*1000+20,"")</f>
        <v/>
      </c>
      <c r="AG21" s="244">
        <f>IF(AND(INDEX('Roster Summary'!$U$31:$U$180,20)=1,LEFT(Grid!AS22,6)="Travel"),10*1000+20,"")</f>
        <v/>
      </c>
      <c r="AH21" s="244">
        <f>IF(AND(INDEX('Roster Summary'!$U$31:$U$180,20)=1,LEFT(Grid!AT22,6)="Travel"),11*1000+20,"")</f>
        <v/>
      </c>
      <c r="AI21" s="244">
        <f>IF(AND(INDEX('Roster Summary'!$U$31:$U$180,20)=1,LEFT(Grid!AU22,6)="Travel"),12*1000+20,"")</f>
        <v/>
      </c>
      <c r="AJ21" s="244">
        <f>IF(AND(INDEX('Roster Summary'!$U$31:$U$180,20)=1,LEFT(Grid!AV22,6)="Travel"),13*1000+20,"")</f>
        <v/>
      </c>
      <c r="AX21" s="244">
        <f>LOWER(TRIM('BHP Site Access'!B21&amp;"")&amp;"|"&amp;TRIM('BHP Site Access'!C21&amp;""))</f>
        <v/>
      </c>
      <c r="BB21" s="244">
        <f>IF('INPUT - Bookings'!$B21="",0,IF(AND(OR(Dashboard!$D$9="All",TRIM('INPUT - Bookings'!$C21)=Dashboard!$D$9),OR(Dashboard!$J$9="All",TRIM('INPUT - Bookings'!$D21)=Dashboard!$J$9)),1,0))</f>
        <v/>
      </c>
      <c r="BC21" s="244">
        <f>IF(AND(BB21=1,ISNUMBER('INPUT - Bookings'!$E21),'INPUT - Bookings'!$E21&gt;=Settings!$C$8,'INPUT - Bookings'!$E21&lt;=Settings!$C$8+14,IFERROR(INDEX(Settings!$Q$14:$Q$24,MATCH('INPUT - Bookings'!$G21,Settings!$P$14:$P$24,0)),"Yes")="Yes"),'INPUT - Bookings'!$E21+ROW()/100000,"")</f>
        <v/>
      </c>
    </row>
    <row r="22">
      <c r="G22" s="244">
        <f>TEXT(Grid!Z$2,"dd-mmm")</f>
        <v/>
      </c>
      <c r="H22" s="244">
        <f>COUNTIFS(Grid!$BC$3:$BC$152,"On site",'Roster Summary'!$U$31:$U$180,1)</f>
        <v/>
      </c>
      <c r="I22" s="244">
        <f>COUNTIFS(Grid!$BC$3:$BC$152,"Travel in",'Roster Summary'!$U$31:$U$180,1)</f>
        <v/>
      </c>
      <c r="J22" s="244">
        <f>COUNTIFS(Grid!$BC$3:$BC$152,"Travel out",'Roster Summary'!$U$31:$U$180,1)</f>
        <v/>
      </c>
      <c r="T22" s="244">
        <f>TEXT(INDEX('Camp Summary'!$C$4:$SF$4,141),"dd-mmm-yy")</f>
        <v/>
      </c>
      <c r="U22" s="244">
        <f>MAX(INDEX('Camp Summary'!$C$19:$SF$19,141):INDEX('Camp Summary'!$C$19:$SF$19,147))</f>
        <v/>
      </c>
      <c r="W22" s="244">
        <f>IF(AND(INDEX('Roster Summary'!$U$31:$U$180,21)=1,LEFT(Grid!AI23,6)="Travel"),0*1000+21,"")</f>
        <v/>
      </c>
      <c r="X22" s="244">
        <f>IF(AND(INDEX('Roster Summary'!$U$31:$U$180,21)=1,LEFT(Grid!AJ23,6)="Travel"),1*1000+21,"")</f>
        <v/>
      </c>
      <c r="Y22" s="244">
        <f>IF(AND(INDEX('Roster Summary'!$U$31:$U$180,21)=1,LEFT(Grid!AK23,6)="Travel"),2*1000+21,"")</f>
        <v/>
      </c>
      <c r="Z22" s="244">
        <f>IF(AND(INDEX('Roster Summary'!$U$31:$U$180,21)=1,LEFT(Grid!AL23,6)="Travel"),3*1000+21,"")</f>
        <v/>
      </c>
      <c r="AA22" s="244">
        <f>IF(AND(INDEX('Roster Summary'!$U$31:$U$180,21)=1,LEFT(Grid!AM23,6)="Travel"),4*1000+21,"")</f>
        <v/>
      </c>
      <c r="AB22" s="244">
        <f>IF(AND(INDEX('Roster Summary'!$U$31:$U$180,21)=1,LEFT(Grid!AN23,6)="Travel"),5*1000+21,"")</f>
        <v/>
      </c>
      <c r="AC22" s="244">
        <f>IF(AND(INDEX('Roster Summary'!$U$31:$U$180,21)=1,LEFT(Grid!AO23,6)="Travel"),6*1000+21,"")</f>
        <v/>
      </c>
      <c r="AD22" s="244">
        <f>IF(AND(INDEX('Roster Summary'!$U$31:$U$180,21)=1,LEFT(Grid!AP23,6)="Travel"),7*1000+21,"")</f>
        <v/>
      </c>
      <c r="AE22" s="244">
        <f>IF(AND(INDEX('Roster Summary'!$U$31:$U$180,21)=1,LEFT(Grid!AQ23,6)="Travel"),8*1000+21,"")</f>
        <v/>
      </c>
      <c r="AF22" s="244">
        <f>IF(AND(INDEX('Roster Summary'!$U$31:$U$180,21)=1,LEFT(Grid!AR23,6)="Travel"),9*1000+21,"")</f>
        <v/>
      </c>
      <c r="AG22" s="244">
        <f>IF(AND(INDEX('Roster Summary'!$U$31:$U$180,21)=1,LEFT(Grid!AS23,6)="Travel"),10*1000+21,"")</f>
        <v/>
      </c>
      <c r="AH22" s="244">
        <f>IF(AND(INDEX('Roster Summary'!$U$31:$U$180,21)=1,LEFT(Grid!AT23,6)="Travel"),11*1000+21,"")</f>
        <v/>
      </c>
      <c r="AI22" s="244">
        <f>IF(AND(INDEX('Roster Summary'!$U$31:$U$180,21)=1,LEFT(Grid!AU23,6)="Travel"),12*1000+21,"")</f>
        <v/>
      </c>
      <c r="AJ22" s="244">
        <f>IF(AND(INDEX('Roster Summary'!$U$31:$U$180,21)=1,LEFT(Grid!AV23,6)="Travel"),13*1000+21,"")</f>
        <v/>
      </c>
      <c r="AX22" s="244">
        <f>LOWER(TRIM('BHP Site Access'!B22&amp;"")&amp;"|"&amp;TRIM('BHP Site Access'!C22&amp;""))</f>
        <v/>
      </c>
      <c r="BB22" s="244">
        <f>IF('INPUT - Bookings'!$B22="",0,IF(AND(OR(Dashboard!$D$9="All",TRIM('INPUT - Bookings'!$C22)=Dashboard!$D$9),OR(Dashboard!$J$9="All",TRIM('INPUT - Bookings'!$D22)=Dashboard!$J$9)),1,0))</f>
        <v/>
      </c>
      <c r="BC22" s="244">
        <f>IF(AND(BB22=1,ISNUMBER('INPUT - Bookings'!$E22),'INPUT - Bookings'!$E22&gt;=Settings!$C$8,'INPUT - Bookings'!$E22&lt;=Settings!$C$8+14,IFERROR(INDEX(Settings!$Q$14:$Q$24,MATCH('INPUT - Bookings'!$G22,Settings!$P$14:$P$24,0)),"Yes")="Yes"),'INPUT - Bookings'!$E22+ROW()/100000,"")</f>
        <v/>
      </c>
    </row>
    <row r="23">
      <c r="G23" s="244">
        <f>TEXT(Grid!AA$2,"dd-mmm")</f>
        <v/>
      </c>
      <c r="H23" s="244">
        <f>COUNTIFS(Grid!$BD$3:$BD$152,"On site",'Roster Summary'!$U$31:$U$180,1)</f>
        <v/>
      </c>
      <c r="I23" s="244">
        <f>COUNTIFS(Grid!$BD$3:$BD$152,"Travel in",'Roster Summary'!$U$31:$U$180,1)</f>
        <v/>
      </c>
      <c r="J23" s="244">
        <f>COUNTIFS(Grid!$BD$3:$BD$152,"Travel out",'Roster Summary'!$U$31:$U$180,1)</f>
        <v/>
      </c>
      <c r="T23" s="244">
        <f>TEXT(INDEX('Camp Summary'!$C$4:$SF$4,148),"dd-mmm-yy")</f>
        <v/>
      </c>
      <c r="U23" s="244">
        <f>MAX(INDEX('Camp Summary'!$C$19:$SF$19,148):INDEX('Camp Summary'!$C$19:$SF$19,154))</f>
        <v/>
      </c>
      <c r="W23" s="244">
        <f>IF(AND(INDEX('Roster Summary'!$U$31:$U$180,22)=1,LEFT(Grid!AI24,6)="Travel"),0*1000+22,"")</f>
        <v/>
      </c>
      <c r="X23" s="244">
        <f>IF(AND(INDEX('Roster Summary'!$U$31:$U$180,22)=1,LEFT(Grid!AJ24,6)="Travel"),1*1000+22,"")</f>
        <v/>
      </c>
      <c r="Y23" s="244">
        <f>IF(AND(INDEX('Roster Summary'!$U$31:$U$180,22)=1,LEFT(Grid!AK24,6)="Travel"),2*1000+22,"")</f>
        <v/>
      </c>
      <c r="Z23" s="244">
        <f>IF(AND(INDEX('Roster Summary'!$U$31:$U$180,22)=1,LEFT(Grid!AL24,6)="Travel"),3*1000+22,"")</f>
        <v/>
      </c>
      <c r="AA23" s="244">
        <f>IF(AND(INDEX('Roster Summary'!$U$31:$U$180,22)=1,LEFT(Grid!AM24,6)="Travel"),4*1000+22,"")</f>
        <v/>
      </c>
      <c r="AB23" s="244">
        <f>IF(AND(INDEX('Roster Summary'!$U$31:$U$180,22)=1,LEFT(Grid!AN24,6)="Travel"),5*1000+22,"")</f>
        <v/>
      </c>
      <c r="AC23" s="244">
        <f>IF(AND(INDEX('Roster Summary'!$U$31:$U$180,22)=1,LEFT(Grid!AO24,6)="Travel"),6*1000+22,"")</f>
        <v/>
      </c>
      <c r="AD23" s="244">
        <f>IF(AND(INDEX('Roster Summary'!$U$31:$U$180,22)=1,LEFT(Grid!AP24,6)="Travel"),7*1000+22,"")</f>
        <v/>
      </c>
      <c r="AE23" s="244">
        <f>IF(AND(INDEX('Roster Summary'!$U$31:$U$180,22)=1,LEFT(Grid!AQ24,6)="Travel"),8*1000+22,"")</f>
        <v/>
      </c>
      <c r="AF23" s="244">
        <f>IF(AND(INDEX('Roster Summary'!$U$31:$U$180,22)=1,LEFT(Grid!AR24,6)="Travel"),9*1000+22,"")</f>
        <v/>
      </c>
      <c r="AG23" s="244">
        <f>IF(AND(INDEX('Roster Summary'!$U$31:$U$180,22)=1,LEFT(Grid!AS24,6)="Travel"),10*1000+22,"")</f>
        <v/>
      </c>
      <c r="AH23" s="244">
        <f>IF(AND(INDEX('Roster Summary'!$U$31:$U$180,22)=1,LEFT(Grid!AT24,6)="Travel"),11*1000+22,"")</f>
        <v/>
      </c>
      <c r="AI23" s="244">
        <f>IF(AND(INDEX('Roster Summary'!$U$31:$U$180,22)=1,LEFT(Grid!AU24,6)="Travel"),12*1000+22,"")</f>
        <v/>
      </c>
      <c r="AJ23" s="244">
        <f>IF(AND(INDEX('Roster Summary'!$U$31:$U$180,22)=1,LEFT(Grid!AV24,6)="Travel"),13*1000+22,"")</f>
        <v/>
      </c>
      <c r="AX23" s="244">
        <f>LOWER(TRIM('BHP Site Access'!B23&amp;"")&amp;"|"&amp;TRIM('BHP Site Access'!C23&amp;""))</f>
        <v/>
      </c>
      <c r="BB23" s="244">
        <f>IF('INPUT - Bookings'!$B23="",0,IF(AND(OR(Dashboard!$D$9="All",TRIM('INPUT - Bookings'!$C23)=Dashboard!$D$9),OR(Dashboard!$J$9="All",TRIM('INPUT - Bookings'!$D23)=Dashboard!$J$9)),1,0))</f>
        <v/>
      </c>
      <c r="BC23" s="244">
        <f>IF(AND(BB23=1,ISNUMBER('INPUT - Bookings'!$E23),'INPUT - Bookings'!$E23&gt;=Settings!$C$8,'INPUT - Bookings'!$E23&lt;=Settings!$C$8+14,IFERROR(INDEX(Settings!$Q$14:$Q$24,MATCH('INPUT - Bookings'!$G23,Settings!$P$14:$P$24,0)),"Yes")="Yes"),'INPUT - Bookings'!$E23+ROW()/100000,"")</f>
        <v/>
      </c>
    </row>
    <row r="24">
      <c r="G24" s="244">
        <f>TEXT(Grid!AB$2,"dd-mmm")</f>
        <v/>
      </c>
      <c r="H24" s="244">
        <f>COUNTIFS(Grid!$BE$3:$BE$152,"On site",'Roster Summary'!$U$31:$U$180,1)</f>
        <v/>
      </c>
      <c r="I24" s="244">
        <f>COUNTIFS(Grid!$BE$3:$BE$152,"Travel in",'Roster Summary'!$U$31:$U$180,1)</f>
        <v/>
      </c>
      <c r="J24" s="244">
        <f>COUNTIFS(Grid!$BE$3:$BE$152,"Travel out",'Roster Summary'!$U$31:$U$180,1)</f>
        <v/>
      </c>
      <c r="T24" s="244">
        <f>TEXT(INDEX('Camp Summary'!$C$4:$SF$4,155),"dd-mmm-yy")</f>
        <v/>
      </c>
      <c r="U24" s="244">
        <f>MAX(INDEX('Camp Summary'!$C$19:$SF$19,155):INDEX('Camp Summary'!$C$19:$SF$19,161))</f>
        <v/>
      </c>
      <c r="W24" s="244">
        <f>IF(AND(INDEX('Roster Summary'!$U$31:$U$180,23)=1,LEFT(Grid!AI25,6)="Travel"),0*1000+23,"")</f>
        <v/>
      </c>
      <c r="X24" s="244">
        <f>IF(AND(INDEX('Roster Summary'!$U$31:$U$180,23)=1,LEFT(Grid!AJ25,6)="Travel"),1*1000+23,"")</f>
        <v/>
      </c>
      <c r="Y24" s="244">
        <f>IF(AND(INDEX('Roster Summary'!$U$31:$U$180,23)=1,LEFT(Grid!AK25,6)="Travel"),2*1000+23,"")</f>
        <v/>
      </c>
      <c r="Z24" s="244">
        <f>IF(AND(INDEX('Roster Summary'!$U$31:$U$180,23)=1,LEFT(Grid!AL25,6)="Travel"),3*1000+23,"")</f>
        <v/>
      </c>
      <c r="AA24" s="244">
        <f>IF(AND(INDEX('Roster Summary'!$U$31:$U$180,23)=1,LEFT(Grid!AM25,6)="Travel"),4*1000+23,"")</f>
        <v/>
      </c>
      <c r="AB24" s="244">
        <f>IF(AND(INDEX('Roster Summary'!$U$31:$U$180,23)=1,LEFT(Grid!AN25,6)="Travel"),5*1000+23,"")</f>
        <v/>
      </c>
      <c r="AC24" s="244">
        <f>IF(AND(INDEX('Roster Summary'!$U$31:$U$180,23)=1,LEFT(Grid!AO25,6)="Travel"),6*1000+23,"")</f>
        <v/>
      </c>
      <c r="AD24" s="244">
        <f>IF(AND(INDEX('Roster Summary'!$U$31:$U$180,23)=1,LEFT(Grid!AP25,6)="Travel"),7*1000+23,"")</f>
        <v/>
      </c>
      <c r="AE24" s="244">
        <f>IF(AND(INDEX('Roster Summary'!$U$31:$U$180,23)=1,LEFT(Grid!AQ25,6)="Travel"),8*1000+23,"")</f>
        <v/>
      </c>
      <c r="AF24" s="244">
        <f>IF(AND(INDEX('Roster Summary'!$U$31:$U$180,23)=1,LEFT(Grid!AR25,6)="Travel"),9*1000+23,"")</f>
        <v/>
      </c>
      <c r="AG24" s="244">
        <f>IF(AND(INDEX('Roster Summary'!$U$31:$U$180,23)=1,LEFT(Grid!AS25,6)="Travel"),10*1000+23,"")</f>
        <v/>
      </c>
      <c r="AH24" s="244">
        <f>IF(AND(INDEX('Roster Summary'!$U$31:$U$180,23)=1,LEFT(Grid!AT25,6)="Travel"),11*1000+23,"")</f>
        <v/>
      </c>
      <c r="AI24" s="244">
        <f>IF(AND(INDEX('Roster Summary'!$U$31:$U$180,23)=1,LEFT(Grid!AU25,6)="Travel"),12*1000+23,"")</f>
        <v/>
      </c>
      <c r="AJ24" s="244">
        <f>IF(AND(INDEX('Roster Summary'!$U$31:$U$180,23)=1,LEFT(Grid!AV25,6)="Travel"),13*1000+23,"")</f>
        <v/>
      </c>
      <c r="AX24" s="244">
        <f>LOWER(TRIM('BHP Site Access'!B24&amp;"")&amp;"|"&amp;TRIM('BHP Site Access'!C24&amp;""))</f>
        <v/>
      </c>
      <c r="BB24" s="244">
        <f>IF('INPUT - Bookings'!$B24="",0,IF(AND(OR(Dashboard!$D$9="All",TRIM('INPUT - Bookings'!$C24)=Dashboard!$D$9),OR(Dashboard!$J$9="All",TRIM('INPUT - Bookings'!$D24)=Dashboard!$J$9)),1,0))</f>
        <v/>
      </c>
      <c r="BC24" s="244">
        <f>IF(AND(BB24=1,ISNUMBER('INPUT - Bookings'!$E24),'INPUT - Bookings'!$E24&gt;=Settings!$C$8,'INPUT - Bookings'!$E24&lt;=Settings!$C$8+14,IFERROR(INDEX(Settings!$Q$14:$Q$24,MATCH('INPUT - Bookings'!$G24,Settings!$P$14:$P$24,0)),"Yes")="Yes"),'INPUT - Bookings'!$E24+ROW()/100000,"")</f>
        <v/>
      </c>
    </row>
    <row r="25">
      <c r="G25" s="244">
        <f>TEXT(Grid!AC$2,"dd-mmm")</f>
        <v/>
      </c>
      <c r="H25" s="244">
        <f>COUNTIFS(Grid!$BF$3:$BF$152,"On site",'Roster Summary'!$U$31:$U$180,1)</f>
        <v/>
      </c>
      <c r="I25" s="244">
        <f>COUNTIFS(Grid!$BF$3:$BF$152,"Travel in",'Roster Summary'!$U$31:$U$180,1)</f>
        <v/>
      </c>
      <c r="J25" s="244">
        <f>COUNTIFS(Grid!$BF$3:$BF$152,"Travel out",'Roster Summary'!$U$31:$U$180,1)</f>
        <v/>
      </c>
      <c r="T25" s="244">
        <f>TEXT(INDEX('Camp Summary'!$C$4:$SF$4,162),"dd-mmm-yy")</f>
        <v/>
      </c>
      <c r="U25" s="244">
        <f>MAX(INDEX('Camp Summary'!$C$19:$SF$19,162):INDEX('Camp Summary'!$C$19:$SF$19,168))</f>
        <v/>
      </c>
      <c r="W25" s="244">
        <f>IF(AND(INDEX('Roster Summary'!$U$31:$U$180,24)=1,LEFT(Grid!AI26,6)="Travel"),0*1000+24,"")</f>
        <v/>
      </c>
      <c r="X25" s="244">
        <f>IF(AND(INDEX('Roster Summary'!$U$31:$U$180,24)=1,LEFT(Grid!AJ26,6)="Travel"),1*1000+24,"")</f>
        <v/>
      </c>
      <c r="Y25" s="244">
        <f>IF(AND(INDEX('Roster Summary'!$U$31:$U$180,24)=1,LEFT(Grid!AK26,6)="Travel"),2*1000+24,"")</f>
        <v/>
      </c>
      <c r="Z25" s="244">
        <f>IF(AND(INDEX('Roster Summary'!$U$31:$U$180,24)=1,LEFT(Grid!AL26,6)="Travel"),3*1000+24,"")</f>
        <v/>
      </c>
      <c r="AA25" s="244">
        <f>IF(AND(INDEX('Roster Summary'!$U$31:$U$180,24)=1,LEFT(Grid!AM26,6)="Travel"),4*1000+24,"")</f>
        <v/>
      </c>
      <c r="AB25" s="244">
        <f>IF(AND(INDEX('Roster Summary'!$U$31:$U$180,24)=1,LEFT(Grid!AN26,6)="Travel"),5*1000+24,"")</f>
        <v/>
      </c>
      <c r="AC25" s="244">
        <f>IF(AND(INDEX('Roster Summary'!$U$31:$U$180,24)=1,LEFT(Grid!AO26,6)="Travel"),6*1000+24,"")</f>
        <v/>
      </c>
      <c r="AD25" s="244">
        <f>IF(AND(INDEX('Roster Summary'!$U$31:$U$180,24)=1,LEFT(Grid!AP26,6)="Travel"),7*1000+24,"")</f>
        <v/>
      </c>
      <c r="AE25" s="244">
        <f>IF(AND(INDEX('Roster Summary'!$U$31:$U$180,24)=1,LEFT(Grid!AQ26,6)="Travel"),8*1000+24,"")</f>
        <v/>
      </c>
      <c r="AF25" s="244">
        <f>IF(AND(INDEX('Roster Summary'!$U$31:$U$180,24)=1,LEFT(Grid!AR26,6)="Travel"),9*1000+24,"")</f>
        <v/>
      </c>
      <c r="AG25" s="244">
        <f>IF(AND(INDEX('Roster Summary'!$U$31:$U$180,24)=1,LEFT(Grid!AS26,6)="Travel"),10*1000+24,"")</f>
        <v/>
      </c>
      <c r="AH25" s="244">
        <f>IF(AND(INDEX('Roster Summary'!$U$31:$U$180,24)=1,LEFT(Grid!AT26,6)="Travel"),11*1000+24,"")</f>
        <v/>
      </c>
      <c r="AI25" s="244">
        <f>IF(AND(INDEX('Roster Summary'!$U$31:$U$180,24)=1,LEFT(Grid!AU26,6)="Travel"),12*1000+24,"")</f>
        <v/>
      </c>
      <c r="AJ25" s="244">
        <f>IF(AND(INDEX('Roster Summary'!$U$31:$U$180,24)=1,LEFT(Grid!AV26,6)="Travel"),13*1000+24,"")</f>
        <v/>
      </c>
      <c r="AX25" s="244">
        <f>LOWER(TRIM('BHP Site Access'!B25&amp;"")&amp;"|"&amp;TRIM('BHP Site Access'!C25&amp;""))</f>
        <v/>
      </c>
      <c r="BB25" s="244">
        <f>IF('INPUT - Bookings'!$B25="",0,IF(AND(OR(Dashboard!$D$9="All",TRIM('INPUT - Bookings'!$C25)=Dashboard!$D$9),OR(Dashboard!$J$9="All",TRIM('INPUT - Bookings'!$D25)=Dashboard!$J$9)),1,0))</f>
        <v/>
      </c>
      <c r="BC25" s="244">
        <f>IF(AND(BB25=1,ISNUMBER('INPUT - Bookings'!$E25),'INPUT - Bookings'!$E25&gt;=Settings!$C$8,'INPUT - Bookings'!$E25&lt;=Settings!$C$8+14,IFERROR(INDEX(Settings!$Q$14:$Q$24,MATCH('INPUT - Bookings'!$G25,Settings!$P$14:$P$24,0)),"Yes")="Yes"),'INPUT - Bookings'!$E25+ROW()/100000,"")</f>
        <v/>
      </c>
    </row>
    <row r="26">
      <c r="G26" s="244">
        <f>TEXT(Grid!AD$2,"dd-mmm")</f>
        <v/>
      </c>
      <c r="H26" s="244">
        <f>COUNTIFS(Grid!$BG$3:$BG$152,"On site",'Roster Summary'!$U$31:$U$180,1)</f>
        <v/>
      </c>
      <c r="I26" s="244">
        <f>COUNTIFS(Grid!$BG$3:$BG$152,"Travel in",'Roster Summary'!$U$31:$U$180,1)</f>
        <v/>
      </c>
      <c r="J26" s="244">
        <f>COUNTIFS(Grid!$BG$3:$BG$152,"Travel out",'Roster Summary'!$U$31:$U$180,1)</f>
        <v/>
      </c>
      <c r="T26" s="244">
        <f>TEXT(INDEX('Camp Summary'!$C$4:$SF$4,169),"dd-mmm-yy")</f>
        <v/>
      </c>
      <c r="U26" s="244">
        <f>MAX(INDEX('Camp Summary'!$C$19:$SF$19,169):INDEX('Camp Summary'!$C$19:$SF$19,175))</f>
        <v/>
      </c>
      <c r="W26" s="244">
        <f>IF(AND(INDEX('Roster Summary'!$U$31:$U$180,25)=1,LEFT(Grid!AI27,6)="Travel"),0*1000+25,"")</f>
        <v/>
      </c>
      <c r="X26" s="244">
        <f>IF(AND(INDEX('Roster Summary'!$U$31:$U$180,25)=1,LEFT(Grid!AJ27,6)="Travel"),1*1000+25,"")</f>
        <v/>
      </c>
      <c r="Y26" s="244">
        <f>IF(AND(INDEX('Roster Summary'!$U$31:$U$180,25)=1,LEFT(Grid!AK27,6)="Travel"),2*1000+25,"")</f>
        <v/>
      </c>
      <c r="Z26" s="244">
        <f>IF(AND(INDEX('Roster Summary'!$U$31:$U$180,25)=1,LEFT(Grid!AL27,6)="Travel"),3*1000+25,"")</f>
        <v/>
      </c>
      <c r="AA26" s="244">
        <f>IF(AND(INDEX('Roster Summary'!$U$31:$U$180,25)=1,LEFT(Grid!AM27,6)="Travel"),4*1000+25,"")</f>
        <v/>
      </c>
      <c r="AB26" s="244">
        <f>IF(AND(INDEX('Roster Summary'!$U$31:$U$180,25)=1,LEFT(Grid!AN27,6)="Travel"),5*1000+25,"")</f>
        <v/>
      </c>
      <c r="AC26" s="244">
        <f>IF(AND(INDEX('Roster Summary'!$U$31:$U$180,25)=1,LEFT(Grid!AO27,6)="Travel"),6*1000+25,"")</f>
        <v/>
      </c>
      <c r="AD26" s="244">
        <f>IF(AND(INDEX('Roster Summary'!$U$31:$U$180,25)=1,LEFT(Grid!AP27,6)="Travel"),7*1000+25,"")</f>
        <v/>
      </c>
      <c r="AE26" s="244">
        <f>IF(AND(INDEX('Roster Summary'!$U$31:$U$180,25)=1,LEFT(Grid!AQ27,6)="Travel"),8*1000+25,"")</f>
        <v/>
      </c>
      <c r="AF26" s="244">
        <f>IF(AND(INDEX('Roster Summary'!$U$31:$U$180,25)=1,LEFT(Grid!AR27,6)="Travel"),9*1000+25,"")</f>
        <v/>
      </c>
      <c r="AG26" s="244">
        <f>IF(AND(INDEX('Roster Summary'!$U$31:$U$180,25)=1,LEFT(Grid!AS27,6)="Travel"),10*1000+25,"")</f>
        <v/>
      </c>
      <c r="AH26" s="244">
        <f>IF(AND(INDEX('Roster Summary'!$U$31:$U$180,25)=1,LEFT(Grid!AT27,6)="Travel"),11*1000+25,"")</f>
        <v/>
      </c>
      <c r="AI26" s="244">
        <f>IF(AND(INDEX('Roster Summary'!$U$31:$U$180,25)=1,LEFT(Grid!AU27,6)="Travel"),12*1000+25,"")</f>
        <v/>
      </c>
      <c r="AJ26" s="244">
        <f>IF(AND(INDEX('Roster Summary'!$U$31:$U$180,25)=1,LEFT(Grid!AV27,6)="Travel"),13*1000+25,"")</f>
        <v/>
      </c>
      <c r="AX26" s="244">
        <f>LOWER(TRIM('BHP Site Access'!B26&amp;"")&amp;"|"&amp;TRIM('BHP Site Access'!C26&amp;""))</f>
        <v/>
      </c>
      <c r="BB26" s="244">
        <f>IF('INPUT - Bookings'!$B26="",0,IF(AND(OR(Dashboard!$D$9="All",TRIM('INPUT - Bookings'!$C26)=Dashboard!$D$9),OR(Dashboard!$J$9="All",TRIM('INPUT - Bookings'!$D26)=Dashboard!$J$9)),1,0))</f>
        <v/>
      </c>
      <c r="BC26" s="244">
        <f>IF(AND(BB26=1,ISNUMBER('INPUT - Bookings'!$E26),'INPUT - Bookings'!$E26&gt;=Settings!$C$8,'INPUT - Bookings'!$E26&lt;=Settings!$C$8+14,IFERROR(INDEX(Settings!$Q$14:$Q$24,MATCH('INPUT - Bookings'!$G26,Settings!$P$14:$P$24,0)),"Yes")="Yes"),'INPUT - Bookings'!$E26+ROW()/100000,"")</f>
        <v/>
      </c>
    </row>
    <row r="27">
      <c r="G27" s="244">
        <f>TEXT(Grid!AE$2,"dd-mmm")</f>
        <v/>
      </c>
      <c r="H27" s="244">
        <f>COUNTIFS(Grid!$BH$3:$BH$152,"On site",'Roster Summary'!$U$31:$U$180,1)</f>
        <v/>
      </c>
      <c r="I27" s="244">
        <f>COUNTIFS(Grid!$BH$3:$BH$152,"Travel in",'Roster Summary'!$U$31:$U$180,1)</f>
        <v/>
      </c>
      <c r="J27" s="244">
        <f>COUNTIFS(Grid!$BH$3:$BH$152,"Travel out",'Roster Summary'!$U$31:$U$180,1)</f>
        <v/>
      </c>
      <c r="T27" s="244">
        <f>TEXT(INDEX('Camp Summary'!$C$4:$SF$4,176),"dd-mmm-yy")</f>
        <v/>
      </c>
      <c r="U27" s="244">
        <f>MAX(INDEX('Camp Summary'!$C$19:$SF$19,176):INDEX('Camp Summary'!$C$19:$SF$19,182))</f>
        <v/>
      </c>
      <c r="W27" s="244">
        <f>IF(AND(INDEX('Roster Summary'!$U$31:$U$180,26)=1,LEFT(Grid!AI28,6)="Travel"),0*1000+26,"")</f>
        <v/>
      </c>
      <c r="X27" s="244">
        <f>IF(AND(INDEX('Roster Summary'!$U$31:$U$180,26)=1,LEFT(Grid!AJ28,6)="Travel"),1*1000+26,"")</f>
        <v/>
      </c>
      <c r="Y27" s="244">
        <f>IF(AND(INDEX('Roster Summary'!$U$31:$U$180,26)=1,LEFT(Grid!AK28,6)="Travel"),2*1000+26,"")</f>
        <v/>
      </c>
      <c r="Z27" s="244">
        <f>IF(AND(INDEX('Roster Summary'!$U$31:$U$180,26)=1,LEFT(Grid!AL28,6)="Travel"),3*1000+26,"")</f>
        <v/>
      </c>
      <c r="AA27" s="244">
        <f>IF(AND(INDEX('Roster Summary'!$U$31:$U$180,26)=1,LEFT(Grid!AM28,6)="Travel"),4*1000+26,"")</f>
        <v/>
      </c>
      <c r="AB27" s="244">
        <f>IF(AND(INDEX('Roster Summary'!$U$31:$U$180,26)=1,LEFT(Grid!AN28,6)="Travel"),5*1000+26,"")</f>
        <v/>
      </c>
      <c r="AC27" s="244">
        <f>IF(AND(INDEX('Roster Summary'!$U$31:$U$180,26)=1,LEFT(Grid!AO28,6)="Travel"),6*1000+26,"")</f>
        <v/>
      </c>
      <c r="AD27" s="244">
        <f>IF(AND(INDEX('Roster Summary'!$U$31:$U$180,26)=1,LEFT(Grid!AP28,6)="Travel"),7*1000+26,"")</f>
        <v/>
      </c>
      <c r="AE27" s="244">
        <f>IF(AND(INDEX('Roster Summary'!$U$31:$U$180,26)=1,LEFT(Grid!AQ28,6)="Travel"),8*1000+26,"")</f>
        <v/>
      </c>
      <c r="AF27" s="244">
        <f>IF(AND(INDEX('Roster Summary'!$U$31:$U$180,26)=1,LEFT(Grid!AR28,6)="Travel"),9*1000+26,"")</f>
        <v/>
      </c>
      <c r="AG27" s="244">
        <f>IF(AND(INDEX('Roster Summary'!$U$31:$U$180,26)=1,LEFT(Grid!AS28,6)="Travel"),10*1000+26,"")</f>
        <v/>
      </c>
      <c r="AH27" s="244">
        <f>IF(AND(INDEX('Roster Summary'!$U$31:$U$180,26)=1,LEFT(Grid!AT28,6)="Travel"),11*1000+26,"")</f>
        <v/>
      </c>
      <c r="AI27" s="244">
        <f>IF(AND(INDEX('Roster Summary'!$U$31:$U$180,26)=1,LEFT(Grid!AU28,6)="Travel"),12*1000+26,"")</f>
        <v/>
      </c>
      <c r="AJ27" s="244">
        <f>IF(AND(INDEX('Roster Summary'!$U$31:$U$180,26)=1,LEFT(Grid!AV28,6)="Travel"),13*1000+26,"")</f>
        <v/>
      </c>
      <c r="AX27" s="244">
        <f>LOWER(TRIM('BHP Site Access'!B27&amp;"")&amp;"|"&amp;TRIM('BHP Site Access'!C27&amp;""))</f>
        <v/>
      </c>
      <c r="BB27" s="244">
        <f>IF('INPUT - Bookings'!$B27="",0,IF(AND(OR(Dashboard!$D$9="All",TRIM('INPUT - Bookings'!$C27)=Dashboard!$D$9),OR(Dashboard!$J$9="All",TRIM('INPUT - Bookings'!$D27)=Dashboard!$J$9)),1,0))</f>
        <v/>
      </c>
      <c r="BC27" s="244">
        <f>IF(AND(BB27=1,ISNUMBER('INPUT - Bookings'!$E27),'INPUT - Bookings'!$E27&gt;=Settings!$C$8,'INPUT - Bookings'!$E27&lt;=Settings!$C$8+14,IFERROR(INDEX(Settings!$Q$14:$Q$24,MATCH('INPUT - Bookings'!$G27,Settings!$P$14:$P$24,0)),"Yes")="Yes"),'INPUT - Bookings'!$E27+ROW()/100000,"")</f>
        <v/>
      </c>
    </row>
    <row r="28">
      <c r="G28" s="244">
        <f>TEXT(Grid!AF$2,"dd-mmm")</f>
        <v/>
      </c>
      <c r="H28" s="244">
        <f>COUNTIFS(Grid!$BI$3:$BI$152,"On site",'Roster Summary'!$U$31:$U$180,1)</f>
        <v/>
      </c>
      <c r="I28" s="244">
        <f>COUNTIFS(Grid!$BI$3:$BI$152,"Travel in",'Roster Summary'!$U$31:$U$180,1)</f>
        <v/>
      </c>
      <c r="J28" s="244">
        <f>COUNTIFS(Grid!$BI$3:$BI$152,"Travel out",'Roster Summary'!$U$31:$U$180,1)</f>
        <v/>
      </c>
      <c r="T28" s="244">
        <f>TEXT(INDEX('Camp Summary'!$C$4:$SF$4,183),"dd-mmm-yy")</f>
        <v/>
      </c>
      <c r="U28" s="244">
        <f>MAX(INDEX('Camp Summary'!$C$19:$SF$19,183):INDEX('Camp Summary'!$C$19:$SF$19,189))</f>
        <v/>
      </c>
      <c r="W28" s="244">
        <f>IF(AND(INDEX('Roster Summary'!$U$31:$U$180,27)=1,LEFT(Grid!AI29,6)="Travel"),0*1000+27,"")</f>
        <v/>
      </c>
      <c r="X28" s="244">
        <f>IF(AND(INDEX('Roster Summary'!$U$31:$U$180,27)=1,LEFT(Grid!AJ29,6)="Travel"),1*1000+27,"")</f>
        <v/>
      </c>
      <c r="Y28" s="244">
        <f>IF(AND(INDEX('Roster Summary'!$U$31:$U$180,27)=1,LEFT(Grid!AK29,6)="Travel"),2*1000+27,"")</f>
        <v/>
      </c>
      <c r="Z28" s="244">
        <f>IF(AND(INDEX('Roster Summary'!$U$31:$U$180,27)=1,LEFT(Grid!AL29,6)="Travel"),3*1000+27,"")</f>
        <v/>
      </c>
      <c r="AA28" s="244">
        <f>IF(AND(INDEX('Roster Summary'!$U$31:$U$180,27)=1,LEFT(Grid!AM29,6)="Travel"),4*1000+27,"")</f>
        <v/>
      </c>
      <c r="AB28" s="244">
        <f>IF(AND(INDEX('Roster Summary'!$U$31:$U$180,27)=1,LEFT(Grid!AN29,6)="Travel"),5*1000+27,"")</f>
        <v/>
      </c>
      <c r="AC28" s="244">
        <f>IF(AND(INDEX('Roster Summary'!$U$31:$U$180,27)=1,LEFT(Grid!AO29,6)="Travel"),6*1000+27,"")</f>
        <v/>
      </c>
      <c r="AD28" s="244">
        <f>IF(AND(INDEX('Roster Summary'!$U$31:$U$180,27)=1,LEFT(Grid!AP29,6)="Travel"),7*1000+27,"")</f>
        <v/>
      </c>
      <c r="AE28" s="244">
        <f>IF(AND(INDEX('Roster Summary'!$U$31:$U$180,27)=1,LEFT(Grid!AQ29,6)="Travel"),8*1000+27,"")</f>
        <v/>
      </c>
      <c r="AF28" s="244">
        <f>IF(AND(INDEX('Roster Summary'!$U$31:$U$180,27)=1,LEFT(Grid!AR29,6)="Travel"),9*1000+27,"")</f>
        <v/>
      </c>
      <c r="AG28" s="244">
        <f>IF(AND(INDEX('Roster Summary'!$U$31:$U$180,27)=1,LEFT(Grid!AS29,6)="Travel"),10*1000+27,"")</f>
        <v/>
      </c>
      <c r="AH28" s="244">
        <f>IF(AND(INDEX('Roster Summary'!$U$31:$U$180,27)=1,LEFT(Grid!AT29,6)="Travel"),11*1000+27,"")</f>
        <v/>
      </c>
      <c r="AI28" s="244">
        <f>IF(AND(INDEX('Roster Summary'!$U$31:$U$180,27)=1,LEFT(Grid!AU29,6)="Travel"),12*1000+27,"")</f>
        <v/>
      </c>
      <c r="AJ28" s="244">
        <f>IF(AND(INDEX('Roster Summary'!$U$31:$U$180,27)=1,LEFT(Grid!AV29,6)="Travel"),13*1000+27,"")</f>
        <v/>
      </c>
      <c r="AX28" s="244">
        <f>LOWER(TRIM('BHP Site Access'!B28&amp;"")&amp;"|"&amp;TRIM('BHP Site Access'!C28&amp;""))</f>
        <v/>
      </c>
      <c r="BB28" s="244">
        <f>IF('INPUT - Bookings'!$B28="",0,IF(AND(OR(Dashboard!$D$9="All",TRIM('INPUT - Bookings'!$C28)=Dashboard!$D$9),OR(Dashboard!$J$9="All",TRIM('INPUT - Bookings'!$D28)=Dashboard!$J$9)),1,0))</f>
        <v/>
      </c>
      <c r="BC28" s="244">
        <f>IF(AND(BB28=1,ISNUMBER('INPUT - Bookings'!$E28),'INPUT - Bookings'!$E28&gt;=Settings!$C$8,'INPUT - Bookings'!$E28&lt;=Settings!$C$8+14,IFERROR(INDEX(Settings!$Q$14:$Q$24,MATCH('INPUT - Bookings'!$G28,Settings!$P$14:$P$24,0)),"Yes")="Yes"),'INPUT - Bookings'!$E28+ROW()/100000,"")</f>
        <v/>
      </c>
    </row>
    <row r="29">
      <c r="G29" s="244">
        <f>TEXT(Grid!AG$2,"dd-mmm")</f>
        <v/>
      </c>
      <c r="H29" s="244">
        <f>COUNTIFS(Grid!$BJ$3:$BJ$152,"On site",'Roster Summary'!$U$31:$U$180,1)</f>
        <v/>
      </c>
      <c r="I29" s="244">
        <f>COUNTIFS(Grid!$BJ$3:$BJ$152,"Travel in",'Roster Summary'!$U$31:$U$180,1)</f>
        <v/>
      </c>
      <c r="J29" s="244">
        <f>COUNTIFS(Grid!$BJ$3:$BJ$152,"Travel out",'Roster Summary'!$U$31:$U$180,1)</f>
        <v/>
      </c>
      <c r="T29" s="244">
        <f>TEXT(INDEX('Camp Summary'!$C$4:$SF$4,190),"dd-mmm-yy")</f>
        <v/>
      </c>
      <c r="U29" s="244">
        <f>MAX(INDEX('Camp Summary'!$C$19:$SF$19,190):INDEX('Camp Summary'!$C$19:$SF$19,196))</f>
        <v/>
      </c>
      <c r="W29" s="244">
        <f>IF(AND(INDEX('Roster Summary'!$U$31:$U$180,28)=1,LEFT(Grid!AI30,6)="Travel"),0*1000+28,"")</f>
        <v/>
      </c>
      <c r="X29" s="244">
        <f>IF(AND(INDEX('Roster Summary'!$U$31:$U$180,28)=1,LEFT(Grid!AJ30,6)="Travel"),1*1000+28,"")</f>
        <v/>
      </c>
      <c r="Y29" s="244">
        <f>IF(AND(INDEX('Roster Summary'!$U$31:$U$180,28)=1,LEFT(Grid!AK30,6)="Travel"),2*1000+28,"")</f>
        <v/>
      </c>
      <c r="Z29" s="244">
        <f>IF(AND(INDEX('Roster Summary'!$U$31:$U$180,28)=1,LEFT(Grid!AL30,6)="Travel"),3*1000+28,"")</f>
        <v/>
      </c>
      <c r="AA29" s="244">
        <f>IF(AND(INDEX('Roster Summary'!$U$31:$U$180,28)=1,LEFT(Grid!AM30,6)="Travel"),4*1000+28,"")</f>
        <v/>
      </c>
      <c r="AB29" s="244">
        <f>IF(AND(INDEX('Roster Summary'!$U$31:$U$180,28)=1,LEFT(Grid!AN30,6)="Travel"),5*1000+28,"")</f>
        <v/>
      </c>
      <c r="AC29" s="244">
        <f>IF(AND(INDEX('Roster Summary'!$U$31:$U$180,28)=1,LEFT(Grid!AO30,6)="Travel"),6*1000+28,"")</f>
        <v/>
      </c>
      <c r="AD29" s="244">
        <f>IF(AND(INDEX('Roster Summary'!$U$31:$U$180,28)=1,LEFT(Grid!AP30,6)="Travel"),7*1000+28,"")</f>
        <v/>
      </c>
      <c r="AE29" s="244">
        <f>IF(AND(INDEX('Roster Summary'!$U$31:$U$180,28)=1,LEFT(Grid!AQ30,6)="Travel"),8*1000+28,"")</f>
        <v/>
      </c>
      <c r="AF29" s="244">
        <f>IF(AND(INDEX('Roster Summary'!$U$31:$U$180,28)=1,LEFT(Grid!AR30,6)="Travel"),9*1000+28,"")</f>
        <v/>
      </c>
      <c r="AG29" s="244">
        <f>IF(AND(INDEX('Roster Summary'!$U$31:$U$180,28)=1,LEFT(Grid!AS30,6)="Travel"),10*1000+28,"")</f>
        <v/>
      </c>
      <c r="AH29" s="244">
        <f>IF(AND(INDEX('Roster Summary'!$U$31:$U$180,28)=1,LEFT(Grid!AT30,6)="Travel"),11*1000+28,"")</f>
        <v/>
      </c>
      <c r="AI29" s="244">
        <f>IF(AND(INDEX('Roster Summary'!$U$31:$U$180,28)=1,LEFT(Grid!AU30,6)="Travel"),12*1000+28,"")</f>
        <v/>
      </c>
      <c r="AJ29" s="244">
        <f>IF(AND(INDEX('Roster Summary'!$U$31:$U$180,28)=1,LEFT(Grid!AV30,6)="Travel"),13*1000+28,"")</f>
        <v/>
      </c>
      <c r="AX29" s="244">
        <f>LOWER(TRIM('BHP Site Access'!B29&amp;"")&amp;"|"&amp;TRIM('BHP Site Access'!C29&amp;""))</f>
        <v/>
      </c>
      <c r="BB29" s="244">
        <f>IF('INPUT - Bookings'!$B29="",0,IF(AND(OR(Dashboard!$D$9="All",TRIM('INPUT - Bookings'!$C29)=Dashboard!$D$9),OR(Dashboard!$J$9="All",TRIM('INPUT - Bookings'!$D29)=Dashboard!$J$9)),1,0))</f>
        <v/>
      </c>
      <c r="BC29" s="244">
        <f>IF(AND(BB29=1,ISNUMBER('INPUT - Bookings'!$E29),'INPUT - Bookings'!$E29&gt;=Settings!$C$8,'INPUT - Bookings'!$E29&lt;=Settings!$C$8+14,IFERROR(INDEX(Settings!$Q$14:$Q$24,MATCH('INPUT - Bookings'!$G29,Settings!$P$14:$P$24,0)),"Yes")="Yes"),'INPUT - Bookings'!$E29+ROW()/100000,"")</f>
        <v/>
      </c>
    </row>
    <row r="30">
      <c r="T30" s="244">
        <f>TEXT(INDEX('Camp Summary'!$C$4:$SF$4,197),"dd-mmm-yy")</f>
        <v/>
      </c>
      <c r="U30" s="244">
        <f>MAX(INDEX('Camp Summary'!$C$19:$SF$19,197):INDEX('Camp Summary'!$C$19:$SF$19,203))</f>
        <v/>
      </c>
      <c r="W30" s="244">
        <f>IF(AND(INDEX('Roster Summary'!$U$31:$U$180,29)=1,LEFT(Grid!AI31,6)="Travel"),0*1000+29,"")</f>
        <v/>
      </c>
      <c r="X30" s="244">
        <f>IF(AND(INDEX('Roster Summary'!$U$31:$U$180,29)=1,LEFT(Grid!AJ31,6)="Travel"),1*1000+29,"")</f>
        <v/>
      </c>
      <c r="Y30" s="244">
        <f>IF(AND(INDEX('Roster Summary'!$U$31:$U$180,29)=1,LEFT(Grid!AK31,6)="Travel"),2*1000+29,"")</f>
        <v/>
      </c>
      <c r="Z30" s="244">
        <f>IF(AND(INDEX('Roster Summary'!$U$31:$U$180,29)=1,LEFT(Grid!AL31,6)="Travel"),3*1000+29,"")</f>
        <v/>
      </c>
      <c r="AA30" s="244">
        <f>IF(AND(INDEX('Roster Summary'!$U$31:$U$180,29)=1,LEFT(Grid!AM31,6)="Travel"),4*1000+29,"")</f>
        <v/>
      </c>
      <c r="AB30" s="244">
        <f>IF(AND(INDEX('Roster Summary'!$U$31:$U$180,29)=1,LEFT(Grid!AN31,6)="Travel"),5*1000+29,"")</f>
        <v/>
      </c>
      <c r="AC30" s="244">
        <f>IF(AND(INDEX('Roster Summary'!$U$31:$U$180,29)=1,LEFT(Grid!AO31,6)="Travel"),6*1000+29,"")</f>
        <v/>
      </c>
      <c r="AD30" s="244">
        <f>IF(AND(INDEX('Roster Summary'!$U$31:$U$180,29)=1,LEFT(Grid!AP31,6)="Travel"),7*1000+29,"")</f>
        <v/>
      </c>
      <c r="AE30" s="244">
        <f>IF(AND(INDEX('Roster Summary'!$U$31:$U$180,29)=1,LEFT(Grid!AQ31,6)="Travel"),8*1000+29,"")</f>
        <v/>
      </c>
      <c r="AF30" s="244">
        <f>IF(AND(INDEX('Roster Summary'!$U$31:$U$180,29)=1,LEFT(Grid!AR31,6)="Travel"),9*1000+29,"")</f>
        <v/>
      </c>
      <c r="AG30" s="244">
        <f>IF(AND(INDEX('Roster Summary'!$U$31:$U$180,29)=1,LEFT(Grid!AS31,6)="Travel"),10*1000+29,"")</f>
        <v/>
      </c>
      <c r="AH30" s="244">
        <f>IF(AND(INDEX('Roster Summary'!$U$31:$U$180,29)=1,LEFT(Grid!AT31,6)="Travel"),11*1000+29,"")</f>
        <v/>
      </c>
      <c r="AI30" s="244">
        <f>IF(AND(INDEX('Roster Summary'!$U$31:$U$180,29)=1,LEFT(Grid!AU31,6)="Travel"),12*1000+29,"")</f>
        <v/>
      </c>
      <c r="AJ30" s="244">
        <f>IF(AND(INDEX('Roster Summary'!$U$31:$U$180,29)=1,LEFT(Grid!AV31,6)="Travel"),13*1000+29,"")</f>
        <v/>
      </c>
      <c r="AX30" s="244">
        <f>LOWER(TRIM('BHP Site Access'!B30&amp;"")&amp;"|"&amp;TRIM('BHP Site Access'!C30&amp;""))</f>
        <v/>
      </c>
      <c r="BB30" s="244">
        <f>IF('INPUT - Bookings'!$B30="",0,IF(AND(OR(Dashboard!$D$9="All",TRIM('INPUT - Bookings'!$C30)=Dashboard!$D$9),OR(Dashboard!$J$9="All",TRIM('INPUT - Bookings'!$D30)=Dashboard!$J$9)),1,0))</f>
        <v/>
      </c>
      <c r="BC30" s="244">
        <f>IF(AND(BB30=1,ISNUMBER('INPUT - Bookings'!$E30),'INPUT - Bookings'!$E30&gt;=Settings!$C$8,'INPUT - Bookings'!$E30&lt;=Settings!$C$8+14,IFERROR(INDEX(Settings!$Q$14:$Q$24,MATCH('INPUT - Bookings'!$G30,Settings!$P$14:$P$24,0)),"Yes")="Yes"),'INPUT - Bookings'!$E30+ROW()/100000,"")</f>
        <v/>
      </c>
    </row>
    <row r="31">
      <c r="T31" s="244">
        <f>TEXT(INDEX('Camp Summary'!$C$4:$SF$4,204),"dd-mmm-yy")</f>
        <v/>
      </c>
      <c r="U31" s="244">
        <f>MAX(INDEX('Camp Summary'!$C$19:$SF$19,204):INDEX('Camp Summary'!$C$19:$SF$19,210))</f>
        <v/>
      </c>
      <c r="W31" s="244">
        <f>IF(AND(INDEX('Roster Summary'!$U$31:$U$180,30)=1,LEFT(Grid!AI32,6)="Travel"),0*1000+30,"")</f>
        <v/>
      </c>
      <c r="X31" s="244">
        <f>IF(AND(INDEX('Roster Summary'!$U$31:$U$180,30)=1,LEFT(Grid!AJ32,6)="Travel"),1*1000+30,"")</f>
        <v/>
      </c>
      <c r="Y31" s="244">
        <f>IF(AND(INDEX('Roster Summary'!$U$31:$U$180,30)=1,LEFT(Grid!AK32,6)="Travel"),2*1000+30,"")</f>
        <v/>
      </c>
      <c r="Z31" s="244">
        <f>IF(AND(INDEX('Roster Summary'!$U$31:$U$180,30)=1,LEFT(Grid!AL32,6)="Travel"),3*1000+30,"")</f>
        <v/>
      </c>
      <c r="AA31" s="244">
        <f>IF(AND(INDEX('Roster Summary'!$U$31:$U$180,30)=1,LEFT(Grid!AM32,6)="Travel"),4*1000+30,"")</f>
        <v/>
      </c>
      <c r="AB31" s="244">
        <f>IF(AND(INDEX('Roster Summary'!$U$31:$U$180,30)=1,LEFT(Grid!AN32,6)="Travel"),5*1000+30,"")</f>
        <v/>
      </c>
      <c r="AC31" s="244">
        <f>IF(AND(INDEX('Roster Summary'!$U$31:$U$180,30)=1,LEFT(Grid!AO32,6)="Travel"),6*1000+30,"")</f>
        <v/>
      </c>
      <c r="AD31" s="244">
        <f>IF(AND(INDEX('Roster Summary'!$U$31:$U$180,30)=1,LEFT(Grid!AP32,6)="Travel"),7*1000+30,"")</f>
        <v/>
      </c>
      <c r="AE31" s="244">
        <f>IF(AND(INDEX('Roster Summary'!$U$31:$U$180,30)=1,LEFT(Grid!AQ32,6)="Travel"),8*1000+30,"")</f>
        <v/>
      </c>
      <c r="AF31" s="244">
        <f>IF(AND(INDEX('Roster Summary'!$U$31:$U$180,30)=1,LEFT(Grid!AR32,6)="Travel"),9*1000+30,"")</f>
        <v/>
      </c>
      <c r="AG31" s="244">
        <f>IF(AND(INDEX('Roster Summary'!$U$31:$U$180,30)=1,LEFT(Grid!AS32,6)="Travel"),10*1000+30,"")</f>
        <v/>
      </c>
      <c r="AH31" s="244">
        <f>IF(AND(INDEX('Roster Summary'!$U$31:$U$180,30)=1,LEFT(Grid!AT32,6)="Travel"),11*1000+30,"")</f>
        <v/>
      </c>
      <c r="AI31" s="244">
        <f>IF(AND(INDEX('Roster Summary'!$U$31:$U$180,30)=1,LEFT(Grid!AU32,6)="Travel"),12*1000+30,"")</f>
        <v/>
      </c>
      <c r="AJ31" s="244">
        <f>IF(AND(INDEX('Roster Summary'!$U$31:$U$180,30)=1,LEFT(Grid!AV32,6)="Travel"),13*1000+30,"")</f>
        <v/>
      </c>
      <c r="AX31" s="244">
        <f>LOWER(TRIM('BHP Site Access'!B31&amp;"")&amp;"|"&amp;TRIM('BHP Site Access'!C31&amp;""))</f>
        <v/>
      </c>
      <c r="BB31" s="244">
        <f>IF('INPUT - Bookings'!$B31="",0,IF(AND(OR(Dashboard!$D$9="All",TRIM('INPUT - Bookings'!$C31)=Dashboard!$D$9),OR(Dashboard!$J$9="All",TRIM('INPUT - Bookings'!$D31)=Dashboard!$J$9)),1,0))</f>
        <v/>
      </c>
      <c r="BC31" s="244">
        <f>IF(AND(BB31=1,ISNUMBER('INPUT - Bookings'!$E31),'INPUT - Bookings'!$E31&gt;=Settings!$C$8,'INPUT - Bookings'!$E31&lt;=Settings!$C$8+14,IFERROR(INDEX(Settings!$Q$14:$Q$24,MATCH('INPUT - Bookings'!$G31,Settings!$P$14:$P$24,0)),"Yes")="Yes"),'INPUT - Bookings'!$E31+ROW()/100000,"")</f>
        <v/>
      </c>
    </row>
    <row r="32">
      <c r="T32" s="244">
        <f>TEXT(INDEX('Camp Summary'!$C$4:$SF$4,211),"dd-mmm-yy")</f>
        <v/>
      </c>
      <c r="U32" s="244">
        <f>MAX(INDEX('Camp Summary'!$C$19:$SF$19,211):INDEX('Camp Summary'!$C$19:$SF$19,217))</f>
        <v/>
      </c>
      <c r="W32" s="244">
        <f>IF(AND(INDEX('Roster Summary'!$U$31:$U$180,31)=1,LEFT(Grid!AI33,6)="Travel"),0*1000+31,"")</f>
        <v/>
      </c>
      <c r="X32" s="244">
        <f>IF(AND(INDEX('Roster Summary'!$U$31:$U$180,31)=1,LEFT(Grid!AJ33,6)="Travel"),1*1000+31,"")</f>
        <v/>
      </c>
      <c r="Y32" s="244">
        <f>IF(AND(INDEX('Roster Summary'!$U$31:$U$180,31)=1,LEFT(Grid!AK33,6)="Travel"),2*1000+31,"")</f>
        <v/>
      </c>
      <c r="Z32" s="244">
        <f>IF(AND(INDEX('Roster Summary'!$U$31:$U$180,31)=1,LEFT(Grid!AL33,6)="Travel"),3*1000+31,"")</f>
        <v/>
      </c>
      <c r="AA32" s="244">
        <f>IF(AND(INDEX('Roster Summary'!$U$31:$U$180,31)=1,LEFT(Grid!AM33,6)="Travel"),4*1000+31,"")</f>
        <v/>
      </c>
      <c r="AB32" s="244">
        <f>IF(AND(INDEX('Roster Summary'!$U$31:$U$180,31)=1,LEFT(Grid!AN33,6)="Travel"),5*1000+31,"")</f>
        <v/>
      </c>
      <c r="AC32" s="244">
        <f>IF(AND(INDEX('Roster Summary'!$U$31:$U$180,31)=1,LEFT(Grid!AO33,6)="Travel"),6*1000+31,"")</f>
        <v/>
      </c>
      <c r="AD32" s="244">
        <f>IF(AND(INDEX('Roster Summary'!$U$31:$U$180,31)=1,LEFT(Grid!AP33,6)="Travel"),7*1000+31,"")</f>
        <v/>
      </c>
      <c r="AE32" s="244">
        <f>IF(AND(INDEX('Roster Summary'!$U$31:$U$180,31)=1,LEFT(Grid!AQ33,6)="Travel"),8*1000+31,"")</f>
        <v/>
      </c>
      <c r="AF32" s="244">
        <f>IF(AND(INDEX('Roster Summary'!$U$31:$U$180,31)=1,LEFT(Grid!AR33,6)="Travel"),9*1000+31,"")</f>
        <v/>
      </c>
      <c r="AG32" s="244">
        <f>IF(AND(INDEX('Roster Summary'!$U$31:$U$180,31)=1,LEFT(Grid!AS33,6)="Travel"),10*1000+31,"")</f>
        <v/>
      </c>
      <c r="AH32" s="244">
        <f>IF(AND(INDEX('Roster Summary'!$U$31:$U$180,31)=1,LEFT(Grid!AT33,6)="Travel"),11*1000+31,"")</f>
        <v/>
      </c>
      <c r="AI32" s="244">
        <f>IF(AND(INDEX('Roster Summary'!$U$31:$U$180,31)=1,LEFT(Grid!AU33,6)="Travel"),12*1000+31,"")</f>
        <v/>
      </c>
      <c r="AJ32" s="244">
        <f>IF(AND(INDEX('Roster Summary'!$U$31:$U$180,31)=1,LEFT(Grid!AV33,6)="Travel"),13*1000+31,"")</f>
        <v/>
      </c>
      <c r="AX32" s="244">
        <f>LOWER(TRIM('BHP Site Access'!B32&amp;"")&amp;"|"&amp;TRIM('BHP Site Access'!C32&amp;""))</f>
        <v/>
      </c>
      <c r="BB32" s="244">
        <f>IF('INPUT - Bookings'!$B32="",0,IF(AND(OR(Dashboard!$D$9="All",TRIM('INPUT - Bookings'!$C32)=Dashboard!$D$9),OR(Dashboard!$J$9="All",TRIM('INPUT - Bookings'!$D32)=Dashboard!$J$9)),1,0))</f>
        <v/>
      </c>
      <c r="BC32" s="244">
        <f>IF(AND(BB32=1,ISNUMBER('INPUT - Bookings'!$E32),'INPUT - Bookings'!$E32&gt;=Settings!$C$8,'INPUT - Bookings'!$E32&lt;=Settings!$C$8+14,IFERROR(INDEX(Settings!$Q$14:$Q$24,MATCH('INPUT - Bookings'!$G32,Settings!$P$14:$P$24,0)),"Yes")="Yes"),'INPUT - Bookings'!$E32+ROW()/100000,"")</f>
        <v/>
      </c>
    </row>
    <row r="33">
      <c r="T33" s="244">
        <f>TEXT(INDEX('Camp Summary'!$C$4:$SF$4,218),"dd-mmm-yy")</f>
        <v/>
      </c>
      <c r="U33" s="244">
        <f>MAX(INDEX('Camp Summary'!$C$19:$SF$19,218):INDEX('Camp Summary'!$C$19:$SF$19,224))</f>
        <v/>
      </c>
      <c r="W33" s="244">
        <f>IF(AND(INDEX('Roster Summary'!$U$31:$U$180,32)=1,LEFT(Grid!AI34,6)="Travel"),0*1000+32,"")</f>
        <v/>
      </c>
      <c r="X33" s="244">
        <f>IF(AND(INDEX('Roster Summary'!$U$31:$U$180,32)=1,LEFT(Grid!AJ34,6)="Travel"),1*1000+32,"")</f>
        <v/>
      </c>
      <c r="Y33" s="244">
        <f>IF(AND(INDEX('Roster Summary'!$U$31:$U$180,32)=1,LEFT(Grid!AK34,6)="Travel"),2*1000+32,"")</f>
        <v/>
      </c>
      <c r="Z33" s="244">
        <f>IF(AND(INDEX('Roster Summary'!$U$31:$U$180,32)=1,LEFT(Grid!AL34,6)="Travel"),3*1000+32,"")</f>
        <v/>
      </c>
      <c r="AA33" s="244">
        <f>IF(AND(INDEX('Roster Summary'!$U$31:$U$180,32)=1,LEFT(Grid!AM34,6)="Travel"),4*1000+32,"")</f>
        <v/>
      </c>
      <c r="AB33" s="244">
        <f>IF(AND(INDEX('Roster Summary'!$U$31:$U$180,32)=1,LEFT(Grid!AN34,6)="Travel"),5*1000+32,"")</f>
        <v/>
      </c>
      <c r="AC33" s="244">
        <f>IF(AND(INDEX('Roster Summary'!$U$31:$U$180,32)=1,LEFT(Grid!AO34,6)="Travel"),6*1000+32,"")</f>
        <v/>
      </c>
      <c r="AD33" s="244">
        <f>IF(AND(INDEX('Roster Summary'!$U$31:$U$180,32)=1,LEFT(Grid!AP34,6)="Travel"),7*1000+32,"")</f>
        <v/>
      </c>
      <c r="AE33" s="244">
        <f>IF(AND(INDEX('Roster Summary'!$U$31:$U$180,32)=1,LEFT(Grid!AQ34,6)="Travel"),8*1000+32,"")</f>
        <v/>
      </c>
      <c r="AF33" s="244">
        <f>IF(AND(INDEX('Roster Summary'!$U$31:$U$180,32)=1,LEFT(Grid!AR34,6)="Travel"),9*1000+32,"")</f>
        <v/>
      </c>
      <c r="AG33" s="244">
        <f>IF(AND(INDEX('Roster Summary'!$U$31:$U$180,32)=1,LEFT(Grid!AS34,6)="Travel"),10*1000+32,"")</f>
        <v/>
      </c>
      <c r="AH33" s="244">
        <f>IF(AND(INDEX('Roster Summary'!$U$31:$U$180,32)=1,LEFT(Grid!AT34,6)="Travel"),11*1000+32,"")</f>
        <v/>
      </c>
      <c r="AI33" s="244">
        <f>IF(AND(INDEX('Roster Summary'!$U$31:$U$180,32)=1,LEFT(Grid!AU34,6)="Travel"),12*1000+32,"")</f>
        <v/>
      </c>
      <c r="AJ33" s="244">
        <f>IF(AND(INDEX('Roster Summary'!$U$31:$U$180,32)=1,LEFT(Grid!AV34,6)="Travel"),13*1000+32,"")</f>
        <v/>
      </c>
      <c r="AX33" s="244">
        <f>LOWER(TRIM('BHP Site Access'!B33&amp;"")&amp;"|"&amp;TRIM('BHP Site Access'!C33&amp;""))</f>
        <v/>
      </c>
      <c r="BB33" s="244">
        <f>IF('INPUT - Bookings'!$B33="",0,IF(AND(OR(Dashboard!$D$9="All",TRIM('INPUT - Bookings'!$C33)=Dashboard!$D$9),OR(Dashboard!$J$9="All",TRIM('INPUT - Bookings'!$D33)=Dashboard!$J$9)),1,0))</f>
        <v/>
      </c>
      <c r="BC33" s="244">
        <f>IF(AND(BB33=1,ISNUMBER('INPUT - Bookings'!$E33),'INPUT - Bookings'!$E33&gt;=Settings!$C$8,'INPUT - Bookings'!$E33&lt;=Settings!$C$8+14,IFERROR(INDEX(Settings!$Q$14:$Q$24,MATCH('INPUT - Bookings'!$G33,Settings!$P$14:$P$24,0)),"Yes")="Yes"),'INPUT - Bookings'!$E33+ROW()/100000,"")</f>
        <v/>
      </c>
    </row>
    <row r="34">
      <c r="T34" s="244">
        <f>TEXT(INDEX('Camp Summary'!$C$4:$SF$4,225),"dd-mmm-yy")</f>
        <v/>
      </c>
      <c r="U34" s="244">
        <f>MAX(INDEX('Camp Summary'!$C$19:$SF$19,225):INDEX('Camp Summary'!$C$19:$SF$19,231))</f>
        <v/>
      </c>
      <c r="W34" s="244">
        <f>IF(AND(INDEX('Roster Summary'!$U$31:$U$180,33)=1,LEFT(Grid!AI35,6)="Travel"),0*1000+33,"")</f>
        <v/>
      </c>
      <c r="X34" s="244">
        <f>IF(AND(INDEX('Roster Summary'!$U$31:$U$180,33)=1,LEFT(Grid!AJ35,6)="Travel"),1*1000+33,"")</f>
        <v/>
      </c>
      <c r="Y34" s="244">
        <f>IF(AND(INDEX('Roster Summary'!$U$31:$U$180,33)=1,LEFT(Grid!AK35,6)="Travel"),2*1000+33,"")</f>
        <v/>
      </c>
      <c r="Z34" s="244">
        <f>IF(AND(INDEX('Roster Summary'!$U$31:$U$180,33)=1,LEFT(Grid!AL35,6)="Travel"),3*1000+33,"")</f>
        <v/>
      </c>
      <c r="AA34" s="244">
        <f>IF(AND(INDEX('Roster Summary'!$U$31:$U$180,33)=1,LEFT(Grid!AM35,6)="Travel"),4*1000+33,"")</f>
        <v/>
      </c>
      <c r="AB34" s="244">
        <f>IF(AND(INDEX('Roster Summary'!$U$31:$U$180,33)=1,LEFT(Grid!AN35,6)="Travel"),5*1000+33,"")</f>
        <v/>
      </c>
      <c r="AC34" s="244">
        <f>IF(AND(INDEX('Roster Summary'!$U$31:$U$180,33)=1,LEFT(Grid!AO35,6)="Travel"),6*1000+33,"")</f>
        <v/>
      </c>
      <c r="AD34" s="244">
        <f>IF(AND(INDEX('Roster Summary'!$U$31:$U$180,33)=1,LEFT(Grid!AP35,6)="Travel"),7*1000+33,"")</f>
        <v/>
      </c>
      <c r="AE34" s="244">
        <f>IF(AND(INDEX('Roster Summary'!$U$31:$U$180,33)=1,LEFT(Grid!AQ35,6)="Travel"),8*1000+33,"")</f>
        <v/>
      </c>
      <c r="AF34" s="244">
        <f>IF(AND(INDEX('Roster Summary'!$U$31:$U$180,33)=1,LEFT(Grid!AR35,6)="Travel"),9*1000+33,"")</f>
        <v/>
      </c>
      <c r="AG34" s="244">
        <f>IF(AND(INDEX('Roster Summary'!$U$31:$U$180,33)=1,LEFT(Grid!AS35,6)="Travel"),10*1000+33,"")</f>
        <v/>
      </c>
      <c r="AH34" s="244">
        <f>IF(AND(INDEX('Roster Summary'!$U$31:$U$180,33)=1,LEFT(Grid!AT35,6)="Travel"),11*1000+33,"")</f>
        <v/>
      </c>
      <c r="AI34" s="244">
        <f>IF(AND(INDEX('Roster Summary'!$U$31:$U$180,33)=1,LEFT(Grid!AU35,6)="Travel"),12*1000+33,"")</f>
        <v/>
      </c>
      <c r="AJ34" s="244">
        <f>IF(AND(INDEX('Roster Summary'!$U$31:$U$180,33)=1,LEFT(Grid!AV35,6)="Travel"),13*1000+33,"")</f>
        <v/>
      </c>
      <c r="AX34" s="244">
        <f>LOWER(TRIM('BHP Site Access'!B34&amp;"")&amp;"|"&amp;TRIM('BHP Site Access'!C34&amp;""))</f>
        <v/>
      </c>
      <c r="BB34" s="244">
        <f>IF('INPUT - Bookings'!$B34="",0,IF(AND(OR(Dashboard!$D$9="All",TRIM('INPUT - Bookings'!$C34)=Dashboard!$D$9),OR(Dashboard!$J$9="All",TRIM('INPUT - Bookings'!$D34)=Dashboard!$J$9)),1,0))</f>
        <v/>
      </c>
      <c r="BC34" s="244">
        <f>IF(AND(BB34=1,ISNUMBER('INPUT - Bookings'!$E34),'INPUT - Bookings'!$E34&gt;=Settings!$C$8,'INPUT - Bookings'!$E34&lt;=Settings!$C$8+14,IFERROR(INDEX(Settings!$Q$14:$Q$24,MATCH('INPUT - Bookings'!$G34,Settings!$P$14:$P$24,0)),"Yes")="Yes"),'INPUT - Bookings'!$E34+ROW()/100000,"")</f>
        <v/>
      </c>
    </row>
    <row r="35">
      <c r="T35" s="244">
        <f>TEXT(INDEX('Camp Summary'!$C$4:$SF$4,232),"dd-mmm-yy")</f>
        <v/>
      </c>
      <c r="U35" s="244">
        <f>MAX(INDEX('Camp Summary'!$C$19:$SF$19,232):INDEX('Camp Summary'!$C$19:$SF$19,238))</f>
        <v/>
      </c>
      <c r="W35" s="244">
        <f>IF(AND(INDEX('Roster Summary'!$U$31:$U$180,34)=1,LEFT(Grid!AI36,6)="Travel"),0*1000+34,"")</f>
        <v/>
      </c>
      <c r="X35" s="244">
        <f>IF(AND(INDEX('Roster Summary'!$U$31:$U$180,34)=1,LEFT(Grid!AJ36,6)="Travel"),1*1000+34,"")</f>
        <v/>
      </c>
      <c r="Y35" s="244">
        <f>IF(AND(INDEX('Roster Summary'!$U$31:$U$180,34)=1,LEFT(Grid!AK36,6)="Travel"),2*1000+34,"")</f>
        <v/>
      </c>
      <c r="Z35" s="244">
        <f>IF(AND(INDEX('Roster Summary'!$U$31:$U$180,34)=1,LEFT(Grid!AL36,6)="Travel"),3*1000+34,"")</f>
        <v/>
      </c>
      <c r="AA35" s="244">
        <f>IF(AND(INDEX('Roster Summary'!$U$31:$U$180,34)=1,LEFT(Grid!AM36,6)="Travel"),4*1000+34,"")</f>
        <v/>
      </c>
      <c r="AB35" s="244">
        <f>IF(AND(INDEX('Roster Summary'!$U$31:$U$180,34)=1,LEFT(Grid!AN36,6)="Travel"),5*1000+34,"")</f>
        <v/>
      </c>
      <c r="AC35" s="244">
        <f>IF(AND(INDEX('Roster Summary'!$U$31:$U$180,34)=1,LEFT(Grid!AO36,6)="Travel"),6*1000+34,"")</f>
        <v/>
      </c>
      <c r="AD35" s="244">
        <f>IF(AND(INDEX('Roster Summary'!$U$31:$U$180,34)=1,LEFT(Grid!AP36,6)="Travel"),7*1000+34,"")</f>
        <v/>
      </c>
      <c r="AE35" s="244">
        <f>IF(AND(INDEX('Roster Summary'!$U$31:$U$180,34)=1,LEFT(Grid!AQ36,6)="Travel"),8*1000+34,"")</f>
        <v/>
      </c>
      <c r="AF35" s="244">
        <f>IF(AND(INDEX('Roster Summary'!$U$31:$U$180,34)=1,LEFT(Grid!AR36,6)="Travel"),9*1000+34,"")</f>
        <v/>
      </c>
      <c r="AG35" s="244">
        <f>IF(AND(INDEX('Roster Summary'!$U$31:$U$180,34)=1,LEFT(Grid!AS36,6)="Travel"),10*1000+34,"")</f>
        <v/>
      </c>
      <c r="AH35" s="244">
        <f>IF(AND(INDEX('Roster Summary'!$U$31:$U$180,34)=1,LEFT(Grid!AT36,6)="Travel"),11*1000+34,"")</f>
        <v/>
      </c>
      <c r="AI35" s="244">
        <f>IF(AND(INDEX('Roster Summary'!$U$31:$U$180,34)=1,LEFT(Grid!AU36,6)="Travel"),12*1000+34,"")</f>
        <v/>
      </c>
      <c r="AJ35" s="244">
        <f>IF(AND(INDEX('Roster Summary'!$U$31:$U$180,34)=1,LEFT(Grid!AV36,6)="Travel"),13*1000+34,"")</f>
        <v/>
      </c>
      <c r="AX35" s="244">
        <f>LOWER(TRIM('BHP Site Access'!B35&amp;"")&amp;"|"&amp;TRIM('BHP Site Access'!C35&amp;""))</f>
        <v/>
      </c>
      <c r="BB35" s="244">
        <f>IF('INPUT - Bookings'!$B35="",0,IF(AND(OR(Dashboard!$D$9="All",TRIM('INPUT - Bookings'!$C35)=Dashboard!$D$9),OR(Dashboard!$J$9="All",TRIM('INPUT - Bookings'!$D35)=Dashboard!$J$9)),1,0))</f>
        <v/>
      </c>
      <c r="BC35" s="244">
        <f>IF(AND(BB35=1,ISNUMBER('INPUT - Bookings'!$E35),'INPUT - Bookings'!$E35&gt;=Settings!$C$8,'INPUT - Bookings'!$E35&lt;=Settings!$C$8+14,IFERROR(INDEX(Settings!$Q$14:$Q$24,MATCH('INPUT - Bookings'!$G35,Settings!$P$14:$P$24,0)),"Yes")="Yes"),'INPUT - Bookings'!$E35+ROW()/100000,"")</f>
        <v/>
      </c>
    </row>
    <row r="36">
      <c r="T36" s="244">
        <f>TEXT(INDEX('Camp Summary'!$C$4:$SF$4,239),"dd-mmm-yy")</f>
        <v/>
      </c>
      <c r="U36" s="244">
        <f>MAX(INDEX('Camp Summary'!$C$19:$SF$19,239):INDEX('Camp Summary'!$C$19:$SF$19,245))</f>
        <v/>
      </c>
      <c r="W36" s="244">
        <f>IF(AND(INDEX('Roster Summary'!$U$31:$U$180,35)=1,LEFT(Grid!AI37,6)="Travel"),0*1000+35,"")</f>
        <v/>
      </c>
      <c r="X36" s="244">
        <f>IF(AND(INDEX('Roster Summary'!$U$31:$U$180,35)=1,LEFT(Grid!AJ37,6)="Travel"),1*1000+35,"")</f>
        <v/>
      </c>
      <c r="Y36" s="244">
        <f>IF(AND(INDEX('Roster Summary'!$U$31:$U$180,35)=1,LEFT(Grid!AK37,6)="Travel"),2*1000+35,"")</f>
        <v/>
      </c>
      <c r="Z36" s="244">
        <f>IF(AND(INDEX('Roster Summary'!$U$31:$U$180,35)=1,LEFT(Grid!AL37,6)="Travel"),3*1000+35,"")</f>
        <v/>
      </c>
      <c r="AA36" s="244">
        <f>IF(AND(INDEX('Roster Summary'!$U$31:$U$180,35)=1,LEFT(Grid!AM37,6)="Travel"),4*1000+35,"")</f>
        <v/>
      </c>
      <c r="AB36" s="244">
        <f>IF(AND(INDEX('Roster Summary'!$U$31:$U$180,35)=1,LEFT(Grid!AN37,6)="Travel"),5*1000+35,"")</f>
        <v/>
      </c>
      <c r="AC36" s="244">
        <f>IF(AND(INDEX('Roster Summary'!$U$31:$U$180,35)=1,LEFT(Grid!AO37,6)="Travel"),6*1000+35,"")</f>
        <v/>
      </c>
      <c r="AD36" s="244">
        <f>IF(AND(INDEX('Roster Summary'!$U$31:$U$180,35)=1,LEFT(Grid!AP37,6)="Travel"),7*1000+35,"")</f>
        <v/>
      </c>
      <c r="AE36" s="244">
        <f>IF(AND(INDEX('Roster Summary'!$U$31:$U$180,35)=1,LEFT(Grid!AQ37,6)="Travel"),8*1000+35,"")</f>
        <v/>
      </c>
      <c r="AF36" s="244">
        <f>IF(AND(INDEX('Roster Summary'!$U$31:$U$180,35)=1,LEFT(Grid!AR37,6)="Travel"),9*1000+35,"")</f>
        <v/>
      </c>
      <c r="AG36" s="244">
        <f>IF(AND(INDEX('Roster Summary'!$U$31:$U$180,35)=1,LEFT(Grid!AS37,6)="Travel"),10*1000+35,"")</f>
        <v/>
      </c>
      <c r="AH36" s="244">
        <f>IF(AND(INDEX('Roster Summary'!$U$31:$U$180,35)=1,LEFT(Grid!AT37,6)="Travel"),11*1000+35,"")</f>
        <v/>
      </c>
      <c r="AI36" s="244">
        <f>IF(AND(INDEX('Roster Summary'!$U$31:$U$180,35)=1,LEFT(Grid!AU37,6)="Travel"),12*1000+35,"")</f>
        <v/>
      </c>
      <c r="AJ36" s="244">
        <f>IF(AND(INDEX('Roster Summary'!$U$31:$U$180,35)=1,LEFT(Grid!AV37,6)="Travel"),13*1000+35,"")</f>
        <v/>
      </c>
      <c r="AX36" s="244">
        <f>LOWER(TRIM('BHP Site Access'!B36&amp;"")&amp;"|"&amp;TRIM('BHP Site Access'!C36&amp;""))</f>
        <v/>
      </c>
      <c r="BB36" s="244">
        <f>IF('INPUT - Bookings'!$B36="",0,IF(AND(OR(Dashboard!$D$9="All",TRIM('INPUT - Bookings'!$C36)=Dashboard!$D$9),OR(Dashboard!$J$9="All",TRIM('INPUT - Bookings'!$D36)=Dashboard!$J$9)),1,0))</f>
        <v/>
      </c>
      <c r="BC36" s="244">
        <f>IF(AND(BB36=1,ISNUMBER('INPUT - Bookings'!$E36),'INPUT - Bookings'!$E36&gt;=Settings!$C$8,'INPUT - Bookings'!$E36&lt;=Settings!$C$8+14,IFERROR(INDEX(Settings!$Q$14:$Q$24,MATCH('INPUT - Bookings'!$G36,Settings!$P$14:$P$24,0)),"Yes")="Yes"),'INPUT - Bookings'!$E36+ROW()/100000,"")</f>
        <v/>
      </c>
    </row>
    <row r="37">
      <c r="T37" s="244">
        <f>TEXT(INDEX('Camp Summary'!$C$4:$SF$4,246),"dd-mmm-yy")</f>
        <v/>
      </c>
      <c r="U37" s="244">
        <f>MAX(INDEX('Camp Summary'!$C$19:$SF$19,246):INDEX('Camp Summary'!$C$19:$SF$19,252))</f>
        <v/>
      </c>
      <c r="W37" s="244">
        <f>IF(AND(INDEX('Roster Summary'!$U$31:$U$180,36)=1,LEFT(Grid!AI38,6)="Travel"),0*1000+36,"")</f>
        <v/>
      </c>
      <c r="X37" s="244">
        <f>IF(AND(INDEX('Roster Summary'!$U$31:$U$180,36)=1,LEFT(Grid!AJ38,6)="Travel"),1*1000+36,"")</f>
        <v/>
      </c>
      <c r="Y37" s="244">
        <f>IF(AND(INDEX('Roster Summary'!$U$31:$U$180,36)=1,LEFT(Grid!AK38,6)="Travel"),2*1000+36,"")</f>
        <v/>
      </c>
      <c r="Z37" s="244">
        <f>IF(AND(INDEX('Roster Summary'!$U$31:$U$180,36)=1,LEFT(Grid!AL38,6)="Travel"),3*1000+36,"")</f>
        <v/>
      </c>
      <c r="AA37" s="244">
        <f>IF(AND(INDEX('Roster Summary'!$U$31:$U$180,36)=1,LEFT(Grid!AM38,6)="Travel"),4*1000+36,"")</f>
        <v/>
      </c>
      <c r="AB37" s="244">
        <f>IF(AND(INDEX('Roster Summary'!$U$31:$U$180,36)=1,LEFT(Grid!AN38,6)="Travel"),5*1000+36,"")</f>
        <v/>
      </c>
      <c r="AC37" s="244">
        <f>IF(AND(INDEX('Roster Summary'!$U$31:$U$180,36)=1,LEFT(Grid!AO38,6)="Travel"),6*1000+36,"")</f>
        <v/>
      </c>
      <c r="AD37" s="244">
        <f>IF(AND(INDEX('Roster Summary'!$U$31:$U$180,36)=1,LEFT(Grid!AP38,6)="Travel"),7*1000+36,"")</f>
        <v/>
      </c>
      <c r="AE37" s="244">
        <f>IF(AND(INDEX('Roster Summary'!$U$31:$U$180,36)=1,LEFT(Grid!AQ38,6)="Travel"),8*1000+36,"")</f>
        <v/>
      </c>
      <c r="AF37" s="244">
        <f>IF(AND(INDEX('Roster Summary'!$U$31:$U$180,36)=1,LEFT(Grid!AR38,6)="Travel"),9*1000+36,"")</f>
        <v/>
      </c>
      <c r="AG37" s="244">
        <f>IF(AND(INDEX('Roster Summary'!$U$31:$U$180,36)=1,LEFT(Grid!AS38,6)="Travel"),10*1000+36,"")</f>
        <v/>
      </c>
      <c r="AH37" s="244">
        <f>IF(AND(INDEX('Roster Summary'!$U$31:$U$180,36)=1,LEFT(Grid!AT38,6)="Travel"),11*1000+36,"")</f>
        <v/>
      </c>
      <c r="AI37" s="244">
        <f>IF(AND(INDEX('Roster Summary'!$U$31:$U$180,36)=1,LEFT(Grid!AU38,6)="Travel"),12*1000+36,"")</f>
        <v/>
      </c>
      <c r="AJ37" s="244">
        <f>IF(AND(INDEX('Roster Summary'!$U$31:$U$180,36)=1,LEFT(Grid!AV38,6)="Travel"),13*1000+36,"")</f>
        <v/>
      </c>
      <c r="AX37" s="244">
        <f>LOWER(TRIM('BHP Site Access'!B37&amp;"")&amp;"|"&amp;TRIM('BHP Site Access'!C37&amp;""))</f>
        <v/>
      </c>
      <c r="BB37" s="244">
        <f>IF('INPUT - Bookings'!$B37="",0,IF(AND(OR(Dashboard!$D$9="All",TRIM('INPUT - Bookings'!$C37)=Dashboard!$D$9),OR(Dashboard!$J$9="All",TRIM('INPUT - Bookings'!$D37)=Dashboard!$J$9)),1,0))</f>
        <v/>
      </c>
      <c r="BC37" s="244">
        <f>IF(AND(BB37=1,ISNUMBER('INPUT - Bookings'!$E37),'INPUT - Bookings'!$E37&gt;=Settings!$C$8,'INPUT - Bookings'!$E37&lt;=Settings!$C$8+14,IFERROR(INDEX(Settings!$Q$14:$Q$24,MATCH('INPUT - Bookings'!$G37,Settings!$P$14:$P$24,0)),"Yes")="Yes"),'INPUT - Bookings'!$E37+ROW()/100000,"")</f>
        <v/>
      </c>
    </row>
    <row r="38">
      <c r="T38" s="244">
        <f>TEXT(INDEX('Camp Summary'!$C$4:$SF$4,253),"dd-mmm-yy")</f>
        <v/>
      </c>
      <c r="U38" s="244">
        <f>MAX(INDEX('Camp Summary'!$C$19:$SF$19,253):INDEX('Camp Summary'!$C$19:$SF$19,259))</f>
        <v/>
      </c>
      <c r="W38" s="244">
        <f>IF(AND(INDEX('Roster Summary'!$U$31:$U$180,37)=1,LEFT(Grid!AI39,6)="Travel"),0*1000+37,"")</f>
        <v/>
      </c>
      <c r="X38" s="244">
        <f>IF(AND(INDEX('Roster Summary'!$U$31:$U$180,37)=1,LEFT(Grid!AJ39,6)="Travel"),1*1000+37,"")</f>
        <v/>
      </c>
      <c r="Y38" s="244">
        <f>IF(AND(INDEX('Roster Summary'!$U$31:$U$180,37)=1,LEFT(Grid!AK39,6)="Travel"),2*1000+37,"")</f>
        <v/>
      </c>
      <c r="Z38" s="244">
        <f>IF(AND(INDEX('Roster Summary'!$U$31:$U$180,37)=1,LEFT(Grid!AL39,6)="Travel"),3*1000+37,"")</f>
        <v/>
      </c>
      <c r="AA38" s="244">
        <f>IF(AND(INDEX('Roster Summary'!$U$31:$U$180,37)=1,LEFT(Grid!AM39,6)="Travel"),4*1000+37,"")</f>
        <v/>
      </c>
      <c r="AB38" s="244">
        <f>IF(AND(INDEX('Roster Summary'!$U$31:$U$180,37)=1,LEFT(Grid!AN39,6)="Travel"),5*1000+37,"")</f>
        <v/>
      </c>
      <c r="AC38" s="244">
        <f>IF(AND(INDEX('Roster Summary'!$U$31:$U$180,37)=1,LEFT(Grid!AO39,6)="Travel"),6*1000+37,"")</f>
        <v/>
      </c>
      <c r="AD38" s="244">
        <f>IF(AND(INDEX('Roster Summary'!$U$31:$U$180,37)=1,LEFT(Grid!AP39,6)="Travel"),7*1000+37,"")</f>
        <v/>
      </c>
      <c r="AE38" s="244">
        <f>IF(AND(INDEX('Roster Summary'!$U$31:$U$180,37)=1,LEFT(Grid!AQ39,6)="Travel"),8*1000+37,"")</f>
        <v/>
      </c>
      <c r="AF38" s="244">
        <f>IF(AND(INDEX('Roster Summary'!$U$31:$U$180,37)=1,LEFT(Grid!AR39,6)="Travel"),9*1000+37,"")</f>
        <v/>
      </c>
      <c r="AG38" s="244">
        <f>IF(AND(INDEX('Roster Summary'!$U$31:$U$180,37)=1,LEFT(Grid!AS39,6)="Travel"),10*1000+37,"")</f>
        <v/>
      </c>
      <c r="AH38" s="244">
        <f>IF(AND(INDEX('Roster Summary'!$U$31:$U$180,37)=1,LEFT(Grid!AT39,6)="Travel"),11*1000+37,"")</f>
        <v/>
      </c>
      <c r="AI38" s="244">
        <f>IF(AND(INDEX('Roster Summary'!$U$31:$U$180,37)=1,LEFT(Grid!AU39,6)="Travel"),12*1000+37,"")</f>
        <v/>
      </c>
      <c r="AJ38" s="244">
        <f>IF(AND(INDEX('Roster Summary'!$U$31:$U$180,37)=1,LEFT(Grid!AV39,6)="Travel"),13*1000+37,"")</f>
        <v/>
      </c>
      <c r="AX38" s="244">
        <f>LOWER(TRIM('BHP Site Access'!B38&amp;"")&amp;"|"&amp;TRIM('BHP Site Access'!C38&amp;""))</f>
        <v/>
      </c>
      <c r="BB38" s="244">
        <f>IF('INPUT - Bookings'!$B38="",0,IF(AND(OR(Dashboard!$D$9="All",TRIM('INPUT - Bookings'!$C38)=Dashboard!$D$9),OR(Dashboard!$J$9="All",TRIM('INPUT - Bookings'!$D38)=Dashboard!$J$9)),1,0))</f>
        <v/>
      </c>
      <c r="BC38" s="244">
        <f>IF(AND(BB38=1,ISNUMBER('INPUT - Bookings'!$E38),'INPUT - Bookings'!$E38&gt;=Settings!$C$8,'INPUT - Bookings'!$E38&lt;=Settings!$C$8+14,IFERROR(INDEX(Settings!$Q$14:$Q$24,MATCH('INPUT - Bookings'!$G38,Settings!$P$14:$P$24,0)),"Yes")="Yes"),'INPUT - Bookings'!$E38+ROW()/100000,"")</f>
        <v/>
      </c>
    </row>
    <row r="39">
      <c r="T39" s="244">
        <f>TEXT(INDEX('Camp Summary'!$C$4:$SF$4,260),"dd-mmm-yy")</f>
        <v/>
      </c>
      <c r="U39" s="244">
        <f>MAX(INDEX('Camp Summary'!$C$19:$SF$19,260):INDEX('Camp Summary'!$C$19:$SF$19,266))</f>
        <v/>
      </c>
      <c r="W39" s="244">
        <f>IF(AND(INDEX('Roster Summary'!$U$31:$U$180,38)=1,LEFT(Grid!AI40,6)="Travel"),0*1000+38,"")</f>
        <v/>
      </c>
      <c r="X39" s="244">
        <f>IF(AND(INDEX('Roster Summary'!$U$31:$U$180,38)=1,LEFT(Grid!AJ40,6)="Travel"),1*1000+38,"")</f>
        <v/>
      </c>
      <c r="Y39" s="244">
        <f>IF(AND(INDEX('Roster Summary'!$U$31:$U$180,38)=1,LEFT(Grid!AK40,6)="Travel"),2*1000+38,"")</f>
        <v/>
      </c>
      <c r="Z39" s="244">
        <f>IF(AND(INDEX('Roster Summary'!$U$31:$U$180,38)=1,LEFT(Grid!AL40,6)="Travel"),3*1000+38,"")</f>
        <v/>
      </c>
      <c r="AA39" s="244">
        <f>IF(AND(INDEX('Roster Summary'!$U$31:$U$180,38)=1,LEFT(Grid!AM40,6)="Travel"),4*1000+38,"")</f>
        <v/>
      </c>
      <c r="AB39" s="244">
        <f>IF(AND(INDEX('Roster Summary'!$U$31:$U$180,38)=1,LEFT(Grid!AN40,6)="Travel"),5*1000+38,"")</f>
        <v/>
      </c>
      <c r="AC39" s="244">
        <f>IF(AND(INDEX('Roster Summary'!$U$31:$U$180,38)=1,LEFT(Grid!AO40,6)="Travel"),6*1000+38,"")</f>
        <v/>
      </c>
      <c r="AD39" s="244">
        <f>IF(AND(INDEX('Roster Summary'!$U$31:$U$180,38)=1,LEFT(Grid!AP40,6)="Travel"),7*1000+38,"")</f>
        <v/>
      </c>
      <c r="AE39" s="244">
        <f>IF(AND(INDEX('Roster Summary'!$U$31:$U$180,38)=1,LEFT(Grid!AQ40,6)="Travel"),8*1000+38,"")</f>
        <v/>
      </c>
      <c r="AF39" s="244">
        <f>IF(AND(INDEX('Roster Summary'!$U$31:$U$180,38)=1,LEFT(Grid!AR40,6)="Travel"),9*1000+38,"")</f>
        <v/>
      </c>
      <c r="AG39" s="244">
        <f>IF(AND(INDEX('Roster Summary'!$U$31:$U$180,38)=1,LEFT(Grid!AS40,6)="Travel"),10*1000+38,"")</f>
        <v/>
      </c>
      <c r="AH39" s="244">
        <f>IF(AND(INDEX('Roster Summary'!$U$31:$U$180,38)=1,LEFT(Grid!AT40,6)="Travel"),11*1000+38,"")</f>
        <v/>
      </c>
      <c r="AI39" s="244">
        <f>IF(AND(INDEX('Roster Summary'!$U$31:$U$180,38)=1,LEFT(Grid!AU40,6)="Travel"),12*1000+38,"")</f>
        <v/>
      </c>
      <c r="AJ39" s="244">
        <f>IF(AND(INDEX('Roster Summary'!$U$31:$U$180,38)=1,LEFT(Grid!AV40,6)="Travel"),13*1000+38,"")</f>
        <v/>
      </c>
      <c r="AX39" s="244">
        <f>LOWER(TRIM('BHP Site Access'!B39&amp;"")&amp;"|"&amp;TRIM('BHP Site Access'!C39&amp;""))</f>
        <v/>
      </c>
      <c r="BB39" s="244">
        <f>IF('INPUT - Bookings'!$B39="",0,IF(AND(OR(Dashboard!$D$9="All",TRIM('INPUT - Bookings'!$C39)=Dashboard!$D$9),OR(Dashboard!$J$9="All",TRIM('INPUT - Bookings'!$D39)=Dashboard!$J$9)),1,0))</f>
        <v/>
      </c>
      <c r="BC39" s="244">
        <f>IF(AND(BB39=1,ISNUMBER('INPUT - Bookings'!$E39),'INPUT - Bookings'!$E39&gt;=Settings!$C$8,'INPUT - Bookings'!$E39&lt;=Settings!$C$8+14,IFERROR(INDEX(Settings!$Q$14:$Q$24,MATCH('INPUT - Bookings'!$G39,Settings!$P$14:$P$24,0)),"Yes")="Yes"),'INPUT - Bookings'!$E39+ROW()/100000,"")</f>
        <v/>
      </c>
    </row>
    <row r="40">
      <c r="T40" s="244">
        <f>TEXT(INDEX('Camp Summary'!$C$4:$SF$4,267),"dd-mmm-yy")</f>
        <v/>
      </c>
      <c r="U40" s="244">
        <f>MAX(INDEX('Camp Summary'!$C$19:$SF$19,267):INDEX('Camp Summary'!$C$19:$SF$19,273))</f>
        <v/>
      </c>
      <c r="W40" s="244">
        <f>IF(AND(INDEX('Roster Summary'!$U$31:$U$180,39)=1,LEFT(Grid!AI41,6)="Travel"),0*1000+39,"")</f>
        <v/>
      </c>
      <c r="X40" s="244">
        <f>IF(AND(INDEX('Roster Summary'!$U$31:$U$180,39)=1,LEFT(Grid!AJ41,6)="Travel"),1*1000+39,"")</f>
        <v/>
      </c>
      <c r="Y40" s="244">
        <f>IF(AND(INDEX('Roster Summary'!$U$31:$U$180,39)=1,LEFT(Grid!AK41,6)="Travel"),2*1000+39,"")</f>
        <v/>
      </c>
      <c r="Z40" s="244">
        <f>IF(AND(INDEX('Roster Summary'!$U$31:$U$180,39)=1,LEFT(Grid!AL41,6)="Travel"),3*1000+39,"")</f>
        <v/>
      </c>
      <c r="AA40" s="244">
        <f>IF(AND(INDEX('Roster Summary'!$U$31:$U$180,39)=1,LEFT(Grid!AM41,6)="Travel"),4*1000+39,"")</f>
        <v/>
      </c>
      <c r="AB40" s="244">
        <f>IF(AND(INDEX('Roster Summary'!$U$31:$U$180,39)=1,LEFT(Grid!AN41,6)="Travel"),5*1000+39,"")</f>
        <v/>
      </c>
      <c r="AC40" s="244">
        <f>IF(AND(INDEX('Roster Summary'!$U$31:$U$180,39)=1,LEFT(Grid!AO41,6)="Travel"),6*1000+39,"")</f>
        <v/>
      </c>
      <c r="AD40" s="244">
        <f>IF(AND(INDEX('Roster Summary'!$U$31:$U$180,39)=1,LEFT(Grid!AP41,6)="Travel"),7*1000+39,"")</f>
        <v/>
      </c>
      <c r="AE40" s="244">
        <f>IF(AND(INDEX('Roster Summary'!$U$31:$U$180,39)=1,LEFT(Grid!AQ41,6)="Travel"),8*1000+39,"")</f>
        <v/>
      </c>
      <c r="AF40" s="244">
        <f>IF(AND(INDEX('Roster Summary'!$U$31:$U$180,39)=1,LEFT(Grid!AR41,6)="Travel"),9*1000+39,"")</f>
        <v/>
      </c>
      <c r="AG40" s="244">
        <f>IF(AND(INDEX('Roster Summary'!$U$31:$U$180,39)=1,LEFT(Grid!AS41,6)="Travel"),10*1000+39,"")</f>
        <v/>
      </c>
      <c r="AH40" s="244">
        <f>IF(AND(INDEX('Roster Summary'!$U$31:$U$180,39)=1,LEFT(Grid!AT41,6)="Travel"),11*1000+39,"")</f>
        <v/>
      </c>
      <c r="AI40" s="244">
        <f>IF(AND(INDEX('Roster Summary'!$U$31:$U$180,39)=1,LEFT(Grid!AU41,6)="Travel"),12*1000+39,"")</f>
        <v/>
      </c>
      <c r="AJ40" s="244">
        <f>IF(AND(INDEX('Roster Summary'!$U$31:$U$180,39)=1,LEFT(Grid!AV41,6)="Travel"),13*1000+39,"")</f>
        <v/>
      </c>
      <c r="AX40" s="244">
        <f>LOWER(TRIM('BHP Site Access'!B40&amp;"")&amp;"|"&amp;TRIM('BHP Site Access'!C40&amp;""))</f>
        <v/>
      </c>
      <c r="BB40" s="244">
        <f>IF('INPUT - Bookings'!$B40="",0,IF(AND(OR(Dashboard!$D$9="All",TRIM('INPUT - Bookings'!$C40)=Dashboard!$D$9),OR(Dashboard!$J$9="All",TRIM('INPUT - Bookings'!$D40)=Dashboard!$J$9)),1,0))</f>
        <v/>
      </c>
      <c r="BC40" s="244">
        <f>IF(AND(BB40=1,ISNUMBER('INPUT - Bookings'!$E40),'INPUT - Bookings'!$E40&gt;=Settings!$C$8,'INPUT - Bookings'!$E40&lt;=Settings!$C$8+14,IFERROR(INDEX(Settings!$Q$14:$Q$24,MATCH('INPUT - Bookings'!$G40,Settings!$P$14:$P$24,0)),"Yes")="Yes"),'INPUT - Bookings'!$E40+ROW()/100000,"")</f>
        <v/>
      </c>
    </row>
    <row r="41">
      <c r="T41" s="244">
        <f>TEXT(INDEX('Camp Summary'!$C$4:$SF$4,274),"dd-mmm-yy")</f>
        <v/>
      </c>
      <c r="U41" s="244">
        <f>MAX(INDEX('Camp Summary'!$C$19:$SF$19,274):INDEX('Camp Summary'!$C$19:$SF$19,280))</f>
        <v/>
      </c>
      <c r="W41" s="244">
        <f>IF(AND(INDEX('Roster Summary'!$U$31:$U$180,40)=1,LEFT(Grid!AI42,6)="Travel"),0*1000+40,"")</f>
        <v/>
      </c>
      <c r="X41" s="244">
        <f>IF(AND(INDEX('Roster Summary'!$U$31:$U$180,40)=1,LEFT(Grid!AJ42,6)="Travel"),1*1000+40,"")</f>
        <v/>
      </c>
      <c r="Y41" s="244">
        <f>IF(AND(INDEX('Roster Summary'!$U$31:$U$180,40)=1,LEFT(Grid!AK42,6)="Travel"),2*1000+40,"")</f>
        <v/>
      </c>
      <c r="Z41" s="244">
        <f>IF(AND(INDEX('Roster Summary'!$U$31:$U$180,40)=1,LEFT(Grid!AL42,6)="Travel"),3*1000+40,"")</f>
        <v/>
      </c>
      <c r="AA41" s="244">
        <f>IF(AND(INDEX('Roster Summary'!$U$31:$U$180,40)=1,LEFT(Grid!AM42,6)="Travel"),4*1000+40,"")</f>
        <v/>
      </c>
      <c r="AB41" s="244">
        <f>IF(AND(INDEX('Roster Summary'!$U$31:$U$180,40)=1,LEFT(Grid!AN42,6)="Travel"),5*1000+40,"")</f>
        <v/>
      </c>
      <c r="AC41" s="244">
        <f>IF(AND(INDEX('Roster Summary'!$U$31:$U$180,40)=1,LEFT(Grid!AO42,6)="Travel"),6*1000+40,"")</f>
        <v/>
      </c>
      <c r="AD41" s="244">
        <f>IF(AND(INDEX('Roster Summary'!$U$31:$U$180,40)=1,LEFT(Grid!AP42,6)="Travel"),7*1000+40,"")</f>
        <v/>
      </c>
      <c r="AE41" s="244">
        <f>IF(AND(INDEX('Roster Summary'!$U$31:$U$180,40)=1,LEFT(Grid!AQ42,6)="Travel"),8*1000+40,"")</f>
        <v/>
      </c>
      <c r="AF41" s="244">
        <f>IF(AND(INDEX('Roster Summary'!$U$31:$U$180,40)=1,LEFT(Grid!AR42,6)="Travel"),9*1000+40,"")</f>
        <v/>
      </c>
      <c r="AG41" s="244">
        <f>IF(AND(INDEX('Roster Summary'!$U$31:$U$180,40)=1,LEFT(Grid!AS42,6)="Travel"),10*1000+40,"")</f>
        <v/>
      </c>
      <c r="AH41" s="244">
        <f>IF(AND(INDEX('Roster Summary'!$U$31:$U$180,40)=1,LEFT(Grid!AT42,6)="Travel"),11*1000+40,"")</f>
        <v/>
      </c>
      <c r="AI41" s="244">
        <f>IF(AND(INDEX('Roster Summary'!$U$31:$U$180,40)=1,LEFT(Grid!AU42,6)="Travel"),12*1000+40,"")</f>
        <v/>
      </c>
      <c r="AJ41" s="244">
        <f>IF(AND(INDEX('Roster Summary'!$U$31:$U$180,40)=1,LEFT(Grid!AV42,6)="Travel"),13*1000+40,"")</f>
        <v/>
      </c>
      <c r="AX41" s="244">
        <f>LOWER(TRIM('BHP Site Access'!B41&amp;"")&amp;"|"&amp;TRIM('BHP Site Access'!C41&amp;""))</f>
        <v/>
      </c>
      <c r="BB41" s="244">
        <f>IF('INPUT - Bookings'!$B41="",0,IF(AND(OR(Dashboard!$D$9="All",TRIM('INPUT - Bookings'!$C41)=Dashboard!$D$9),OR(Dashboard!$J$9="All",TRIM('INPUT - Bookings'!$D41)=Dashboard!$J$9)),1,0))</f>
        <v/>
      </c>
      <c r="BC41" s="244">
        <f>IF(AND(BB41=1,ISNUMBER('INPUT - Bookings'!$E41),'INPUT - Bookings'!$E41&gt;=Settings!$C$8,'INPUT - Bookings'!$E41&lt;=Settings!$C$8+14,IFERROR(INDEX(Settings!$Q$14:$Q$24,MATCH('INPUT - Bookings'!$G41,Settings!$P$14:$P$24,0)),"Yes")="Yes"),'INPUT - Bookings'!$E41+ROW()/100000,"")</f>
        <v/>
      </c>
    </row>
    <row r="42">
      <c r="T42" s="244">
        <f>TEXT(INDEX('Camp Summary'!$C$4:$SF$4,281),"dd-mmm-yy")</f>
        <v/>
      </c>
      <c r="U42" s="244">
        <f>MAX(INDEX('Camp Summary'!$C$19:$SF$19,281):INDEX('Camp Summary'!$C$19:$SF$19,287))</f>
        <v/>
      </c>
      <c r="W42" s="244">
        <f>IF(AND(INDEX('Roster Summary'!$U$31:$U$180,41)=1,LEFT(Grid!AI43,6)="Travel"),0*1000+41,"")</f>
        <v/>
      </c>
      <c r="X42" s="244">
        <f>IF(AND(INDEX('Roster Summary'!$U$31:$U$180,41)=1,LEFT(Grid!AJ43,6)="Travel"),1*1000+41,"")</f>
        <v/>
      </c>
      <c r="Y42" s="244">
        <f>IF(AND(INDEX('Roster Summary'!$U$31:$U$180,41)=1,LEFT(Grid!AK43,6)="Travel"),2*1000+41,"")</f>
        <v/>
      </c>
      <c r="Z42" s="244">
        <f>IF(AND(INDEX('Roster Summary'!$U$31:$U$180,41)=1,LEFT(Grid!AL43,6)="Travel"),3*1000+41,"")</f>
        <v/>
      </c>
      <c r="AA42" s="244">
        <f>IF(AND(INDEX('Roster Summary'!$U$31:$U$180,41)=1,LEFT(Grid!AM43,6)="Travel"),4*1000+41,"")</f>
        <v/>
      </c>
      <c r="AB42" s="244">
        <f>IF(AND(INDEX('Roster Summary'!$U$31:$U$180,41)=1,LEFT(Grid!AN43,6)="Travel"),5*1000+41,"")</f>
        <v/>
      </c>
      <c r="AC42" s="244">
        <f>IF(AND(INDEX('Roster Summary'!$U$31:$U$180,41)=1,LEFT(Grid!AO43,6)="Travel"),6*1000+41,"")</f>
        <v/>
      </c>
      <c r="AD42" s="244">
        <f>IF(AND(INDEX('Roster Summary'!$U$31:$U$180,41)=1,LEFT(Grid!AP43,6)="Travel"),7*1000+41,"")</f>
        <v/>
      </c>
      <c r="AE42" s="244">
        <f>IF(AND(INDEX('Roster Summary'!$U$31:$U$180,41)=1,LEFT(Grid!AQ43,6)="Travel"),8*1000+41,"")</f>
        <v/>
      </c>
      <c r="AF42" s="244">
        <f>IF(AND(INDEX('Roster Summary'!$U$31:$U$180,41)=1,LEFT(Grid!AR43,6)="Travel"),9*1000+41,"")</f>
        <v/>
      </c>
      <c r="AG42" s="244">
        <f>IF(AND(INDEX('Roster Summary'!$U$31:$U$180,41)=1,LEFT(Grid!AS43,6)="Travel"),10*1000+41,"")</f>
        <v/>
      </c>
      <c r="AH42" s="244">
        <f>IF(AND(INDEX('Roster Summary'!$U$31:$U$180,41)=1,LEFT(Grid!AT43,6)="Travel"),11*1000+41,"")</f>
        <v/>
      </c>
      <c r="AI42" s="244">
        <f>IF(AND(INDEX('Roster Summary'!$U$31:$U$180,41)=1,LEFT(Grid!AU43,6)="Travel"),12*1000+41,"")</f>
        <v/>
      </c>
      <c r="AJ42" s="244">
        <f>IF(AND(INDEX('Roster Summary'!$U$31:$U$180,41)=1,LEFT(Grid!AV43,6)="Travel"),13*1000+41,"")</f>
        <v/>
      </c>
      <c r="AX42" s="244">
        <f>LOWER(TRIM('BHP Site Access'!B42&amp;"")&amp;"|"&amp;TRIM('BHP Site Access'!C42&amp;""))</f>
        <v/>
      </c>
      <c r="BB42" s="244">
        <f>IF('INPUT - Bookings'!$B42="",0,IF(AND(OR(Dashboard!$D$9="All",TRIM('INPUT - Bookings'!$C42)=Dashboard!$D$9),OR(Dashboard!$J$9="All",TRIM('INPUT - Bookings'!$D42)=Dashboard!$J$9)),1,0))</f>
        <v/>
      </c>
      <c r="BC42" s="244">
        <f>IF(AND(BB42=1,ISNUMBER('INPUT - Bookings'!$E42),'INPUT - Bookings'!$E42&gt;=Settings!$C$8,'INPUT - Bookings'!$E42&lt;=Settings!$C$8+14,IFERROR(INDEX(Settings!$Q$14:$Q$24,MATCH('INPUT - Bookings'!$G42,Settings!$P$14:$P$24,0)),"Yes")="Yes"),'INPUT - Bookings'!$E42+ROW()/100000,"")</f>
        <v/>
      </c>
    </row>
    <row r="43">
      <c r="T43" s="244">
        <f>TEXT(INDEX('Camp Summary'!$C$4:$SF$4,288),"dd-mmm-yy")</f>
        <v/>
      </c>
      <c r="U43" s="244">
        <f>MAX(INDEX('Camp Summary'!$C$19:$SF$19,288):INDEX('Camp Summary'!$C$19:$SF$19,294))</f>
        <v/>
      </c>
      <c r="W43" s="244">
        <f>IF(AND(INDEX('Roster Summary'!$U$31:$U$180,42)=1,LEFT(Grid!AI44,6)="Travel"),0*1000+42,"")</f>
        <v/>
      </c>
      <c r="X43" s="244">
        <f>IF(AND(INDEX('Roster Summary'!$U$31:$U$180,42)=1,LEFT(Grid!AJ44,6)="Travel"),1*1000+42,"")</f>
        <v/>
      </c>
      <c r="Y43" s="244">
        <f>IF(AND(INDEX('Roster Summary'!$U$31:$U$180,42)=1,LEFT(Grid!AK44,6)="Travel"),2*1000+42,"")</f>
        <v/>
      </c>
      <c r="Z43" s="244">
        <f>IF(AND(INDEX('Roster Summary'!$U$31:$U$180,42)=1,LEFT(Grid!AL44,6)="Travel"),3*1000+42,"")</f>
        <v/>
      </c>
      <c r="AA43" s="244">
        <f>IF(AND(INDEX('Roster Summary'!$U$31:$U$180,42)=1,LEFT(Grid!AM44,6)="Travel"),4*1000+42,"")</f>
        <v/>
      </c>
      <c r="AB43" s="244">
        <f>IF(AND(INDEX('Roster Summary'!$U$31:$U$180,42)=1,LEFT(Grid!AN44,6)="Travel"),5*1000+42,"")</f>
        <v/>
      </c>
      <c r="AC43" s="244">
        <f>IF(AND(INDEX('Roster Summary'!$U$31:$U$180,42)=1,LEFT(Grid!AO44,6)="Travel"),6*1000+42,"")</f>
        <v/>
      </c>
      <c r="AD43" s="244">
        <f>IF(AND(INDEX('Roster Summary'!$U$31:$U$180,42)=1,LEFT(Grid!AP44,6)="Travel"),7*1000+42,"")</f>
        <v/>
      </c>
      <c r="AE43" s="244">
        <f>IF(AND(INDEX('Roster Summary'!$U$31:$U$180,42)=1,LEFT(Grid!AQ44,6)="Travel"),8*1000+42,"")</f>
        <v/>
      </c>
      <c r="AF43" s="244">
        <f>IF(AND(INDEX('Roster Summary'!$U$31:$U$180,42)=1,LEFT(Grid!AR44,6)="Travel"),9*1000+42,"")</f>
        <v/>
      </c>
      <c r="AG43" s="244">
        <f>IF(AND(INDEX('Roster Summary'!$U$31:$U$180,42)=1,LEFT(Grid!AS44,6)="Travel"),10*1000+42,"")</f>
        <v/>
      </c>
      <c r="AH43" s="244">
        <f>IF(AND(INDEX('Roster Summary'!$U$31:$U$180,42)=1,LEFT(Grid!AT44,6)="Travel"),11*1000+42,"")</f>
        <v/>
      </c>
      <c r="AI43" s="244">
        <f>IF(AND(INDEX('Roster Summary'!$U$31:$U$180,42)=1,LEFT(Grid!AU44,6)="Travel"),12*1000+42,"")</f>
        <v/>
      </c>
      <c r="AJ43" s="244">
        <f>IF(AND(INDEX('Roster Summary'!$U$31:$U$180,42)=1,LEFT(Grid!AV44,6)="Travel"),13*1000+42,"")</f>
        <v/>
      </c>
      <c r="AX43" s="244">
        <f>LOWER(TRIM('BHP Site Access'!B43&amp;"")&amp;"|"&amp;TRIM('BHP Site Access'!C43&amp;""))</f>
        <v/>
      </c>
      <c r="BB43" s="244">
        <f>IF('INPUT - Bookings'!$B43="",0,IF(AND(OR(Dashboard!$D$9="All",TRIM('INPUT - Bookings'!$C43)=Dashboard!$D$9),OR(Dashboard!$J$9="All",TRIM('INPUT - Bookings'!$D43)=Dashboard!$J$9)),1,0))</f>
        <v/>
      </c>
      <c r="BC43" s="244">
        <f>IF(AND(BB43=1,ISNUMBER('INPUT - Bookings'!$E43),'INPUT - Bookings'!$E43&gt;=Settings!$C$8,'INPUT - Bookings'!$E43&lt;=Settings!$C$8+14,IFERROR(INDEX(Settings!$Q$14:$Q$24,MATCH('INPUT - Bookings'!$G43,Settings!$P$14:$P$24,0)),"Yes")="Yes"),'INPUT - Bookings'!$E43+ROW()/100000,"")</f>
        <v/>
      </c>
    </row>
    <row r="44">
      <c r="T44" s="244">
        <f>TEXT(INDEX('Camp Summary'!$C$4:$SF$4,295),"dd-mmm-yy")</f>
        <v/>
      </c>
      <c r="U44" s="244">
        <f>MAX(INDEX('Camp Summary'!$C$19:$SF$19,295):INDEX('Camp Summary'!$C$19:$SF$19,301))</f>
        <v/>
      </c>
      <c r="W44" s="244">
        <f>IF(AND(INDEX('Roster Summary'!$U$31:$U$180,43)=1,LEFT(Grid!AI45,6)="Travel"),0*1000+43,"")</f>
        <v/>
      </c>
      <c r="X44" s="244">
        <f>IF(AND(INDEX('Roster Summary'!$U$31:$U$180,43)=1,LEFT(Grid!AJ45,6)="Travel"),1*1000+43,"")</f>
        <v/>
      </c>
      <c r="Y44" s="244">
        <f>IF(AND(INDEX('Roster Summary'!$U$31:$U$180,43)=1,LEFT(Grid!AK45,6)="Travel"),2*1000+43,"")</f>
        <v/>
      </c>
      <c r="Z44" s="244">
        <f>IF(AND(INDEX('Roster Summary'!$U$31:$U$180,43)=1,LEFT(Grid!AL45,6)="Travel"),3*1000+43,"")</f>
        <v/>
      </c>
      <c r="AA44" s="244">
        <f>IF(AND(INDEX('Roster Summary'!$U$31:$U$180,43)=1,LEFT(Grid!AM45,6)="Travel"),4*1000+43,"")</f>
        <v/>
      </c>
      <c r="AB44" s="244">
        <f>IF(AND(INDEX('Roster Summary'!$U$31:$U$180,43)=1,LEFT(Grid!AN45,6)="Travel"),5*1000+43,"")</f>
        <v/>
      </c>
      <c r="AC44" s="244">
        <f>IF(AND(INDEX('Roster Summary'!$U$31:$U$180,43)=1,LEFT(Grid!AO45,6)="Travel"),6*1000+43,"")</f>
        <v/>
      </c>
      <c r="AD44" s="244">
        <f>IF(AND(INDEX('Roster Summary'!$U$31:$U$180,43)=1,LEFT(Grid!AP45,6)="Travel"),7*1000+43,"")</f>
        <v/>
      </c>
      <c r="AE44" s="244">
        <f>IF(AND(INDEX('Roster Summary'!$U$31:$U$180,43)=1,LEFT(Grid!AQ45,6)="Travel"),8*1000+43,"")</f>
        <v/>
      </c>
      <c r="AF44" s="244">
        <f>IF(AND(INDEX('Roster Summary'!$U$31:$U$180,43)=1,LEFT(Grid!AR45,6)="Travel"),9*1000+43,"")</f>
        <v/>
      </c>
      <c r="AG44" s="244">
        <f>IF(AND(INDEX('Roster Summary'!$U$31:$U$180,43)=1,LEFT(Grid!AS45,6)="Travel"),10*1000+43,"")</f>
        <v/>
      </c>
      <c r="AH44" s="244">
        <f>IF(AND(INDEX('Roster Summary'!$U$31:$U$180,43)=1,LEFT(Grid!AT45,6)="Travel"),11*1000+43,"")</f>
        <v/>
      </c>
      <c r="AI44" s="244">
        <f>IF(AND(INDEX('Roster Summary'!$U$31:$U$180,43)=1,LEFT(Grid!AU45,6)="Travel"),12*1000+43,"")</f>
        <v/>
      </c>
      <c r="AJ44" s="244">
        <f>IF(AND(INDEX('Roster Summary'!$U$31:$U$180,43)=1,LEFT(Grid!AV45,6)="Travel"),13*1000+43,"")</f>
        <v/>
      </c>
      <c r="AX44" s="244">
        <f>LOWER(TRIM('BHP Site Access'!B44&amp;"")&amp;"|"&amp;TRIM('BHP Site Access'!C44&amp;""))</f>
        <v/>
      </c>
      <c r="BB44" s="244">
        <f>IF('INPUT - Bookings'!$B44="",0,IF(AND(OR(Dashboard!$D$9="All",TRIM('INPUT - Bookings'!$C44)=Dashboard!$D$9),OR(Dashboard!$J$9="All",TRIM('INPUT - Bookings'!$D44)=Dashboard!$J$9)),1,0))</f>
        <v/>
      </c>
      <c r="BC44" s="244">
        <f>IF(AND(BB44=1,ISNUMBER('INPUT - Bookings'!$E44),'INPUT - Bookings'!$E44&gt;=Settings!$C$8,'INPUT - Bookings'!$E44&lt;=Settings!$C$8+14,IFERROR(INDEX(Settings!$Q$14:$Q$24,MATCH('INPUT - Bookings'!$G44,Settings!$P$14:$P$24,0)),"Yes")="Yes"),'INPUT - Bookings'!$E44+ROW()/100000,"")</f>
        <v/>
      </c>
    </row>
    <row r="45">
      <c r="T45" s="244">
        <f>TEXT(INDEX('Camp Summary'!$C$4:$SF$4,302),"dd-mmm-yy")</f>
        <v/>
      </c>
      <c r="U45" s="244">
        <f>MAX(INDEX('Camp Summary'!$C$19:$SF$19,302):INDEX('Camp Summary'!$C$19:$SF$19,308))</f>
        <v/>
      </c>
      <c r="W45" s="244">
        <f>IF(AND(INDEX('Roster Summary'!$U$31:$U$180,44)=1,LEFT(Grid!AI46,6)="Travel"),0*1000+44,"")</f>
        <v/>
      </c>
      <c r="X45" s="244">
        <f>IF(AND(INDEX('Roster Summary'!$U$31:$U$180,44)=1,LEFT(Grid!AJ46,6)="Travel"),1*1000+44,"")</f>
        <v/>
      </c>
      <c r="Y45" s="244">
        <f>IF(AND(INDEX('Roster Summary'!$U$31:$U$180,44)=1,LEFT(Grid!AK46,6)="Travel"),2*1000+44,"")</f>
        <v/>
      </c>
      <c r="Z45" s="244">
        <f>IF(AND(INDEX('Roster Summary'!$U$31:$U$180,44)=1,LEFT(Grid!AL46,6)="Travel"),3*1000+44,"")</f>
        <v/>
      </c>
      <c r="AA45" s="244">
        <f>IF(AND(INDEX('Roster Summary'!$U$31:$U$180,44)=1,LEFT(Grid!AM46,6)="Travel"),4*1000+44,"")</f>
        <v/>
      </c>
      <c r="AB45" s="244">
        <f>IF(AND(INDEX('Roster Summary'!$U$31:$U$180,44)=1,LEFT(Grid!AN46,6)="Travel"),5*1000+44,"")</f>
        <v/>
      </c>
      <c r="AC45" s="244">
        <f>IF(AND(INDEX('Roster Summary'!$U$31:$U$180,44)=1,LEFT(Grid!AO46,6)="Travel"),6*1000+44,"")</f>
        <v/>
      </c>
      <c r="AD45" s="244">
        <f>IF(AND(INDEX('Roster Summary'!$U$31:$U$180,44)=1,LEFT(Grid!AP46,6)="Travel"),7*1000+44,"")</f>
        <v/>
      </c>
      <c r="AE45" s="244">
        <f>IF(AND(INDEX('Roster Summary'!$U$31:$U$180,44)=1,LEFT(Grid!AQ46,6)="Travel"),8*1000+44,"")</f>
        <v/>
      </c>
      <c r="AF45" s="244">
        <f>IF(AND(INDEX('Roster Summary'!$U$31:$U$180,44)=1,LEFT(Grid!AR46,6)="Travel"),9*1000+44,"")</f>
        <v/>
      </c>
      <c r="AG45" s="244">
        <f>IF(AND(INDEX('Roster Summary'!$U$31:$U$180,44)=1,LEFT(Grid!AS46,6)="Travel"),10*1000+44,"")</f>
        <v/>
      </c>
      <c r="AH45" s="244">
        <f>IF(AND(INDEX('Roster Summary'!$U$31:$U$180,44)=1,LEFT(Grid!AT46,6)="Travel"),11*1000+44,"")</f>
        <v/>
      </c>
      <c r="AI45" s="244">
        <f>IF(AND(INDEX('Roster Summary'!$U$31:$U$180,44)=1,LEFT(Grid!AU46,6)="Travel"),12*1000+44,"")</f>
        <v/>
      </c>
      <c r="AJ45" s="244">
        <f>IF(AND(INDEX('Roster Summary'!$U$31:$U$180,44)=1,LEFT(Grid!AV46,6)="Travel"),13*1000+44,"")</f>
        <v/>
      </c>
      <c r="AX45" s="244">
        <f>LOWER(TRIM('BHP Site Access'!B45&amp;"")&amp;"|"&amp;TRIM('BHP Site Access'!C45&amp;""))</f>
        <v/>
      </c>
      <c r="BB45" s="244">
        <f>IF('INPUT - Bookings'!$B45="",0,IF(AND(OR(Dashboard!$D$9="All",TRIM('INPUT - Bookings'!$C45)=Dashboard!$D$9),OR(Dashboard!$J$9="All",TRIM('INPUT - Bookings'!$D45)=Dashboard!$J$9)),1,0))</f>
        <v/>
      </c>
      <c r="BC45" s="244">
        <f>IF(AND(BB45=1,ISNUMBER('INPUT - Bookings'!$E45),'INPUT - Bookings'!$E45&gt;=Settings!$C$8,'INPUT - Bookings'!$E45&lt;=Settings!$C$8+14,IFERROR(INDEX(Settings!$Q$14:$Q$24,MATCH('INPUT - Bookings'!$G45,Settings!$P$14:$P$24,0)),"Yes")="Yes"),'INPUT - Bookings'!$E45+ROW()/100000,"")</f>
        <v/>
      </c>
    </row>
    <row r="46">
      <c r="T46" s="244">
        <f>TEXT(INDEX('Camp Summary'!$C$4:$SF$4,309),"dd-mmm-yy")</f>
        <v/>
      </c>
      <c r="U46" s="244">
        <f>MAX(INDEX('Camp Summary'!$C$19:$SF$19,309):INDEX('Camp Summary'!$C$19:$SF$19,315))</f>
        <v/>
      </c>
      <c r="W46" s="244">
        <f>IF(AND(INDEX('Roster Summary'!$U$31:$U$180,45)=1,LEFT(Grid!AI47,6)="Travel"),0*1000+45,"")</f>
        <v/>
      </c>
      <c r="X46" s="244">
        <f>IF(AND(INDEX('Roster Summary'!$U$31:$U$180,45)=1,LEFT(Grid!AJ47,6)="Travel"),1*1000+45,"")</f>
        <v/>
      </c>
      <c r="Y46" s="244">
        <f>IF(AND(INDEX('Roster Summary'!$U$31:$U$180,45)=1,LEFT(Grid!AK47,6)="Travel"),2*1000+45,"")</f>
        <v/>
      </c>
      <c r="Z46" s="244">
        <f>IF(AND(INDEX('Roster Summary'!$U$31:$U$180,45)=1,LEFT(Grid!AL47,6)="Travel"),3*1000+45,"")</f>
        <v/>
      </c>
      <c r="AA46" s="244">
        <f>IF(AND(INDEX('Roster Summary'!$U$31:$U$180,45)=1,LEFT(Grid!AM47,6)="Travel"),4*1000+45,"")</f>
        <v/>
      </c>
      <c r="AB46" s="244">
        <f>IF(AND(INDEX('Roster Summary'!$U$31:$U$180,45)=1,LEFT(Grid!AN47,6)="Travel"),5*1000+45,"")</f>
        <v/>
      </c>
      <c r="AC46" s="244">
        <f>IF(AND(INDEX('Roster Summary'!$U$31:$U$180,45)=1,LEFT(Grid!AO47,6)="Travel"),6*1000+45,"")</f>
        <v/>
      </c>
      <c r="AD46" s="244">
        <f>IF(AND(INDEX('Roster Summary'!$U$31:$U$180,45)=1,LEFT(Grid!AP47,6)="Travel"),7*1000+45,"")</f>
        <v/>
      </c>
      <c r="AE46" s="244">
        <f>IF(AND(INDEX('Roster Summary'!$U$31:$U$180,45)=1,LEFT(Grid!AQ47,6)="Travel"),8*1000+45,"")</f>
        <v/>
      </c>
      <c r="AF46" s="244">
        <f>IF(AND(INDEX('Roster Summary'!$U$31:$U$180,45)=1,LEFT(Grid!AR47,6)="Travel"),9*1000+45,"")</f>
        <v/>
      </c>
      <c r="AG46" s="244">
        <f>IF(AND(INDEX('Roster Summary'!$U$31:$U$180,45)=1,LEFT(Grid!AS47,6)="Travel"),10*1000+45,"")</f>
        <v/>
      </c>
      <c r="AH46" s="244">
        <f>IF(AND(INDEX('Roster Summary'!$U$31:$U$180,45)=1,LEFT(Grid!AT47,6)="Travel"),11*1000+45,"")</f>
        <v/>
      </c>
      <c r="AI46" s="244">
        <f>IF(AND(INDEX('Roster Summary'!$U$31:$U$180,45)=1,LEFT(Grid!AU47,6)="Travel"),12*1000+45,"")</f>
        <v/>
      </c>
      <c r="AJ46" s="244">
        <f>IF(AND(INDEX('Roster Summary'!$U$31:$U$180,45)=1,LEFT(Grid!AV47,6)="Travel"),13*1000+45,"")</f>
        <v/>
      </c>
      <c r="AX46" s="244">
        <f>LOWER(TRIM('BHP Site Access'!B46&amp;"")&amp;"|"&amp;TRIM('BHP Site Access'!C46&amp;""))</f>
        <v/>
      </c>
      <c r="BB46" s="244">
        <f>IF('INPUT - Bookings'!$B46="",0,IF(AND(OR(Dashboard!$D$9="All",TRIM('INPUT - Bookings'!$C46)=Dashboard!$D$9),OR(Dashboard!$J$9="All",TRIM('INPUT - Bookings'!$D46)=Dashboard!$J$9)),1,0))</f>
        <v/>
      </c>
      <c r="BC46" s="244">
        <f>IF(AND(BB46=1,ISNUMBER('INPUT - Bookings'!$E46),'INPUT - Bookings'!$E46&gt;=Settings!$C$8,'INPUT - Bookings'!$E46&lt;=Settings!$C$8+14,IFERROR(INDEX(Settings!$Q$14:$Q$24,MATCH('INPUT - Bookings'!$G46,Settings!$P$14:$P$24,0)),"Yes")="Yes"),'INPUT - Bookings'!$E46+ROW()/100000,"")</f>
        <v/>
      </c>
    </row>
    <row r="47">
      <c r="T47" s="244">
        <f>TEXT(INDEX('Camp Summary'!$C$4:$SF$4,316),"dd-mmm-yy")</f>
        <v/>
      </c>
      <c r="U47" s="244">
        <f>MAX(INDEX('Camp Summary'!$C$19:$SF$19,316):INDEX('Camp Summary'!$C$19:$SF$19,322))</f>
        <v/>
      </c>
      <c r="W47" s="244">
        <f>IF(AND(INDEX('Roster Summary'!$U$31:$U$180,46)=1,LEFT(Grid!AI48,6)="Travel"),0*1000+46,"")</f>
        <v/>
      </c>
      <c r="X47" s="244">
        <f>IF(AND(INDEX('Roster Summary'!$U$31:$U$180,46)=1,LEFT(Grid!AJ48,6)="Travel"),1*1000+46,"")</f>
        <v/>
      </c>
      <c r="Y47" s="244">
        <f>IF(AND(INDEX('Roster Summary'!$U$31:$U$180,46)=1,LEFT(Grid!AK48,6)="Travel"),2*1000+46,"")</f>
        <v/>
      </c>
      <c r="Z47" s="244">
        <f>IF(AND(INDEX('Roster Summary'!$U$31:$U$180,46)=1,LEFT(Grid!AL48,6)="Travel"),3*1000+46,"")</f>
        <v/>
      </c>
      <c r="AA47" s="244">
        <f>IF(AND(INDEX('Roster Summary'!$U$31:$U$180,46)=1,LEFT(Grid!AM48,6)="Travel"),4*1000+46,"")</f>
        <v/>
      </c>
      <c r="AB47" s="244">
        <f>IF(AND(INDEX('Roster Summary'!$U$31:$U$180,46)=1,LEFT(Grid!AN48,6)="Travel"),5*1000+46,"")</f>
        <v/>
      </c>
      <c r="AC47" s="244">
        <f>IF(AND(INDEX('Roster Summary'!$U$31:$U$180,46)=1,LEFT(Grid!AO48,6)="Travel"),6*1000+46,"")</f>
        <v/>
      </c>
      <c r="AD47" s="244">
        <f>IF(AND(INDEX('Roster Summary'!$U$31:$U$180,46)=1,LEFT(Grid!AP48,6)="Travel"),7*1000+46,"")</f>
        <v/>
      </c>
      <c r="AE47" s="244">
        <f>IF(AND(INDEX('Roster Summary'!$U$31:$U$180,46)=1,LEFT(Grid!AQ48,6)="Travel"),8*1000+46,"")</f>
        <v/>
      </c>
      <c r="AF47" s="244">
        <f>IF(AND(INDEX('Roster Summary'!$U$31:$U$180,46)=1,LEFT(Grid!AR48,6)="Travel"),9*1000+46,"")</f>
        <v/>
      </c>
      <c r="AG47" s="244">
        <f>IF(AND(INDEX('Roster Summary'!$U$31:$U$180,46)=1,LEFT(Grid!AS48,6)="Travel"),10*1000+46,"")</f>
        <v/>
      </c>
      <c r="AH47" s="244">
        <f>IF(AND(INDEX('Roster Summary'!$U$31:$U$180,46)=1,LEFT(Grid!AT48,6)="Travel"),11*1000+46,"")</f>
        <v/>
      </c>
      <c r="AI47" s="244">
        <f>IF(AND(INDEX('Roster Summary'!$U$31:$U$180,46)=1,LEFT(Grid!AU48,6)="Travel"),12*1000+46,"")</f>
        <v/>
      </c>
      <c r="AJ47" s="244">
        <f>IF(AND(INDEX('Roster Summary'!$U$31:$U$180,46)=1,LEFT(Grid!AV48,6)="Travel"),13*1000+46,"")</f>
        <v/>
      </c>
      <c r="AX47" s="244">
        <f>LOWER(TRIM('BHP Site Access'!B47&amp;"")&amp;"|"&amp;TRIM('BHP Site Access'!C47&amp;""))</f>
        <v/>
      </c>
      <c r="BB47" s="244">
        <f>IF('INPUT - Bookings'!$B47="",0,IF(AND(OR(Dashboard!$D$9="All",TRIM('INPUT - Bookings'!$C47)=Dashboard!$D$9),OR(Dashboard!$J$9="All",TRIM('INPUT - Bookings'!$D47)=Dashboard!$J$9)),1,0))</f>
        <v/>
      </c>
      <c r="BC47" s="244">
        <f>IF(AND(BB47=1,ISNUMBER('INPUT - Bookings'!$E47),'INPUT - Bookings'!$E47&gt;=Settings!$C$8,'INPUT - Bookings'!$E47&lt;=Settings!$C$8+14,IFERROR(INDEX(Settings!$Q$14:$Q$24,MATCH('INPUT - Bookings'!$G47,Settings!$P$14:$P$24,0)),"Yes")="Yes"),'INPUT - Bookings'!$E47+ROW()/100000,"")</f>
        <v/>
      </c>
    </row>
    <row r="48">
      <c r="T48" s="244">
        <f>TEXT(INDEX('Camp Summary'!$C$4:$SF$4,323),"dd-mmm-yy")</f>
        <v/>
      </c>
      <c r="U48" s="244">
        <f>MAX(INDEX('Camp Summary'!$C$19:$SF$19,323):INDEX('Camp Summary'!$C$19:$SF$19,329))</f>
        <v/>
      </c>
      <c r="W48" s="244">
        <f>IF(AND(INDEX('Roster Summary'!$U$31:$U$180,47)=1,LEFT(Grid!AI49,6)="Travel"),0*1000+47,"")</f>
        <v/>
      </c>
      <c r="X48" s="244">
        <f>IF(AND(INDEX('Roster Summary'!$U$31:$U$180,47)=1,LEFT(Grid!AJ49,6)="Travel"),1*1000+47,"")</f>
        <v/>
      </c>
      <c r="Y48" s="244">
        <f>IF(AND(INDEX('Roster Summary'!$U$31:$U$180,47)=1,LEFT(Grid!AK49,6)="Travel"),2*1000+47,"")</f>
        <v/>
      </c>
      <c r="Z48" s="244">
        <f>IF(AND(INDEX('Roster Summary'!$U$31:$U$180,47)=1,LEFT(Grid!AL49,6)="Travel"),3*1000+47,"")</f>
        <v/>
      </c>
      <c r="AA48" s="244">
        <f>IF(AND(INDEX('Roster Summary'!$U$31:$U$180,47)=1,LEFT(Grid!AM49,6)="Travel"),4*1000+47,"")</f>
        <v/>
      </c>
      <c r="AB48" s="244">
        <f>IF(AND(INDEX('Roster Summary'!$U$31:$U$180,47)=1,LEFT(Grid!AN49,6)="Travel"),5*1000+47,"")</f>
        <v/>
      </c>
      <c r="AC48" s="244">
        <f>IF(AND(INDEX('Roster Summary'!$U$31:$U$180,47)=1,LEFT(Grid!AO49,6)="Travel"),6*1000+47,"")</f>
        <v/>
      </c>
      <c r="AD48" s="244">
        <f>IF(AND(INDEX('Roster Summary'!$U$31:$U$180,47)=1,LEFT(Grid!AP49,6)="Travel"),7*1000+47,"")</f>
        <v/>
      </c>
      <c r="AE48" s="244">
        <f>IF(AND(INDEX('Roster Summary'!$U$31:$U$180,47)=1,LEFT(Grid!AQ49,6)="Travel"),8*1000+47,"")</f>
        <v/>
      </c>
      <c r="AF48" s="244">
        <f>IF(AND(INDEX('Roster Summary'!$U$31:$U$180,47)=1,LEFT(Grid!AR49,6)="Travel"),9*1000+47,"")</f>
        <v/>
      </c>
      <c r="AG48" s="244">
        <f>IF(AND(INDEX('Roster Summary'!$U$31:$U$180,47)=1,LEFT(Grid!AS49,6)="Travel"),10*1000+47,"")</f>
        <v/>
      </c>
      <c r="AH48" s="244">
        <f>IF(AND(INDEX('Roster Summary'!$U$31:$U$180,47)=1,LEFT(Grid!AT49,6)="Travel"),11*1000+47,"")</f>
        <v/>
      </c>
      <c r="AI48" s="244">
        <f>IF(AND(INDEX('Roster Summary'!$U$31:$U$180,47)=1,LEFT(Grid!AU49,6)="Travel"),12*1000+47,"")</f>
        <v/>
      </c>
      <c r="AJ48" s="244">
        <f>IF(AND(INDEX('Roster Summary'!$U$31:$U$180,47)=1,LEFT(Grid!AV49,6)="Travel"),13*1000+47,"")</f>
        <v/>
      </c>
      <c r="AX48" s="244">
        <f>LOWER(TRIM('BHP Site Access'!B48&amp;"")&amp;"|"&amp;TRIM('BHP Site Access'!C48&amp;""))</f>
        <v/>
      </c>
      <c r="BB48" s="244">
        <f>IF('INPUT - Bookings'!$B48="",0,IF(AND(OR(Dashboard!$D$9="All",TRIM('INPUT - Bookings'!$C48)=Dashboard!$D$9),OR(Dashboard!$J$9="All",TRIM('INPUT - Bookings'!$D48)=Dashboard!$J$9)),1,0))</f>
        <v/>
      </c>
      <c r="BC48" s="244">
        <f>IF(AND(BB48=1,ISNUMBER('INPUT - Bookings'!$E48),'INPUT - Bookings'!$E48&gt;=Settings!$C$8,'INPUT - Bookings'!$E48&lt;=Settings!$C$8+14,IFERROR(INDEX(Settings!$Q$14:$Q$24,MATCH('INPUT - Bookings'!$G48,Settings!$P$14:$P$24,0)),"Yes")="Yes"),'INPUT - Bookings'!$E48+ROW()/100000,"")</f>
        <v/>
      </c>
    </row>
    <row r="49">
      <c r="T49" s="244">
        <f>TEXT(INDEX('Camp Summary'!$C$4:$SF$4,330),"dd-mmm-yy")</f>
        <v/>
      </c>
      <c r="U49" s="244">
        <f>MAX(INDEX('Camp Summary'!$C$19:$SF$19,330):INDEX('Camp Summary'!$C$19:$SF$19,336))</f>
        <v/>
      </c>
      <c r="W49" s="244">
        <f>IF(AND(INDEX('Roster Summary'!$U$31:$U$180,48)=1,LEFT(Grid!AI50,6)="Travel"),0*1000+48,"")</f>
        <v/>
      </c>
      <c r="X49" s="244">
        <f>IF(AND(INDEX('Roster Summary'!$U$31:$U$180,48)=1,LEFT(Grid!AJ50,6)="Travel"),1*1000+48,"")</f>
        <v/>
      </c>
      <c r="Y49" s="244">
        <f>IF(AND(INDEX('Roster Summary'!$U$31:$U$180,48)=1,LEFT(Grid!AK50,6)="Travel"),2*1000+48,"")</f>
        <v/>
      </c>
      <c r="Z49" s="244">
        <f>IF(AND(INDEX('Roster Summary'!$U$31:$U$180,48)=1,LEFT(Grid!AL50,6)="Travel"),3*1000+48,"")</f>
        <v/>
      </c>
      <c r="AA49" s="244">
        <f>IF(AND(INDEX('Roster Summary'!$U$31:$U$180,48)=1,LEFT(Grid!AM50,6)="Travel"),4*1000+48,"")</f>
        <v/>
      </c>
      <c r="AB49" s="244">
        <f>IF(AND(INDEX('Roster Summary'!$U$31:$U$180,48)=1,LEFT(Grid!AN50,6)="Travel"),5*1000+48,"")</f>
        <v/>
      </c>
      <c r="AC49" s="244">
        <f>IF(AND(INDEX('Roster Summary'!$U$31:$U$180,48)=1,LEFT(Grid!AO50,6)="Travel"),6*1000+48,"")</f>
        <v/>
      </c>
      <c r="AD49" s="244">
        <f>IF(AND(INDEX('Roster Summary'!$U$31:$U$180,48)=1,LEFT(Grid!AP50,6)="Travel"),7*1000+48,"")</f>
        <v/>
      </c>
      <c r="AE49" s="244">
        <f>IF(AND(INDEX('Roster Summary'!$U$31:$U$180,48)=1,LEFT(Grid!AQ50,6)="Travel"),8*1000+48,"")</f>
        <v/>
      </c>
      <c r="AF49" s="244">
        <f>IF(AND(INDEX('Roster Summary'!$U$31:$U$180,48)=1,LEFT(Grid!AR50,6)="Travel"),9*1000+48,"")</f>
        <v/>
      </c>
      <c r="AG49" s="244">
        <f>IF(AND(INDEX('Roster Summary'!$U$31:$U$180,48)=1,LEFT(Grid!AS50,6)="Travel"),10*1000+48,"")</f>
        <v/>
      </c>
      <c r="AH49" s="244">
        <f>IF(AND(INDEX('Roster Summary'!$U$31:$U$180,48)=1,LEFT(Grid!AT50,6)="Travel"),11*1000+48,"")</f>
        <v/>
      </c>
      <c r="AI49" s="244">
        <f>IF(AND(INDEX('Roster Summary'!$U$31:$U$180,48)=1,LEFT(Grid!AU50,6)="Travel"),12*1000+48,"")</f>
        <v/>
      </c>
      <c r="AJ49" s="244">
        <f>IF(AND(INDEX('Roster Summary'!$U$31:$U$180,48)=1,LEFT(Grid!AV50,6)="Travel"),13*1000+48,"")</f>
        <v/>
      </c>
      <c r="AX49" s="244">
        <f>LOWER(TRIM('BHP Site Access'!B49&amp;"")&amp;"|"&amp;TRIM('BHP Site Access'!C49&amp;""))</f>
        <v/>
      </c>
      <c r="BB49" s="244">
        <f>IF('INPUT - Bookings'!$B49="",0,IF(AND(OR(Dashboard!$D$9="All",TRIM('INPUT - Bookings'!$C49)=Dashboard!$D$9),OR(Dashboard!$J$9="All",TRIM('INPUT - Bookings'!$D49)=Dashboard!$J$9)),1,0))</f>
        <v/>
      </c>
      <c r="BC49" s="244">
        <f>IF(AND(BB49=1,ISNUMBER('INPUT - Bookings'!$E49),'INPUT - Bookings'!$E49&gt;=Settings!$C$8,'INPUT - Bookings'!$E49&lt;=Settings!$C$8+14,IFERROR(INDEX(Settings!$Q$14:$Q$24,MATCH('INPUT - Bookings'!$G49,Settings!$P$14:$P$24,0)),"Yes")="Yes"),'INPUT - Bookings'!$E49+ROW()/100000,"")</f>
        <v/>
      </c>
    </row>
    <row r="50">
      <c r="T50" s="244">
        <f>TEXT(INDEX('Camp Summary'!$C$4:$SF$4,337),"dd-mmm-yy")</f>
        <v/>
      </c>
      <c r="U50" s="244">
        <f>MAX(INDEX('Camp Summary'!$C$19:$SF$19,337):INDEX('Camp Summary'!$C$19:$SF$19,343))</f>
        <v/>
      </c>
      <c r="W50" s="244">
        <f>IF(AND(INDEX('Roster Summary'!$U$31:$U$180,49)=1,LEFT(Grid!AI51,6)="Travel"),0*1000+49,"")</f>
        <v/>
      </c>
      <c r="X50" s="244">
        <f>IF(AND(INDEX('Roster Summary'!$U$31:$U$180,49)=1,LEFT(Grid!AJ51,6)="Travel"),1*1000+49,"")</f>
        <v/>
      </c>
      <c r="Y50" s="244">
        <f>IF(AND(INDEX('Roster Summary'!$U$31:$U$180,49)=1,LEFT(Grid!AK51,6)="Travel"),2*1000+49,"")</f>
        <v/>
      </c>
      <c r="Z50" s="244">
        <f>IF(AND(INDEX('Roster Summary'!$U$31:$U$180,49)=1,LEFT(Grid!AL51,6)="Travel"),3*1000+49,"")</f>
        <v/>
      </c>
      <c r="AA50" s="244">
        <f>IF(AND(INDEX('Roster Summary'!$U$31:$U$180,49)=1,LEFT(Grid!AM51,6)="Travel"),4*1000+49,"")</f>
        <v/>
      </c>
      <c r="AB50" s="244">
        <f>IF(AND(INDEX('Roster Summary'!$U$31:$U$180,49)=1,LEFT(Grid!AN51,6)="Travel"),5*1000+49,"")</f>
        <v/>
      </c>
      <c r="AC50" s="244">
        <f>IF(AND(INDEX('Roster Summary'!$U$31:$U$180,49)=1,LEFT(Grid!AO51,6)="Travel"),6*1000+49,"")</f>
        <v/>
      </c>
      <c r="AD50" s="244">
        <f>IF(AND(INDEX('Roster Summary'!$U$31:$U$180,49)=1,LEFT(Grid!AP51,6)="Travel"),7*1000+49,"")</f>
        <v/>
      </c>
      <c r="AE50" s="244">
        <f>IF(AND(INDEX('Roster Summary'!$U$31:$U$180,49)=1,LEFT(Grid!AQ51,6)="Travel"),8*1000+49,"")</f>
        <v/>
      </c>
      <c r="AF50" s="244">
        <f>IF(AND(INDEX('Roster Summary'!$U$31:$U$180,49)=1,LEFT(Grid!AR51,6)="Travel"),9*1000+49,"")</f>
        <v/>
      </c>
      <c r="AG50" s="244">
        <f>IF(AND(INDEX('Roster Summary'!$U$31:$U$180,49)=1,LEFT(Grid!AS51,6)="Travel"),10*1000+49,"")</f>
        <v/>
      </c>
      <c r="AH50" s="244">
        <f>IF(AND(INDEX('Roster Summary'!$U$31:$U$180,49)=1,LEFT(Grid!AT51,6)="Travel"),11*1000+49,"")</f>
        <v/>
      </c>
      <c r="AI50" s="244">
        <f>IF(AND(INDEX('Roster Summary'!$U$31:$U$180,49)=1,LEFT(Grid!AU51,6)="Travel"),12*1000+49,"")</f>
        <v/>
      </c>
      <c r="AJ50" s="244">
        <f>IF(AND(INDEX('Roster Summary'!$U$31:$U$180,49)=1,LEFT(Grid!AV51,6)="Travel"),13*1000+49,"")</f>
        <v/>
      </c>
      <c r="AX50" s="244">
        <f>LOWER(TRIM('BHP Site Access'!B50&amp;"")&amp;"|"&amp;TRIM('BHP Site Access'!C50&amp;""))</f>
        <v/>
      </c>
      <c r="BB50" s="244">
        <f>IF('INPUT - Bookings'!$B50="",0,IF(AND(OR(Dashboard!$D$9="All",TRIM('INPUT - Bookings'!$C50)=Dashboard!$D$9),OR(Dashboard!$J$9="All",TRIM('INPUT - Bookings'!$D50)=Dashboard!$J$9)),1,0))</f>
        <v/>
      </c>
      <c r="BC50" s="244">
        <f>IF(AND(BB50=1,ISNUMBER('INPUT - Bookings'!$E50),'INPUT - Bookings'!$E50&gt;=Settings!$C$8,'INPUT - Bookings'!$E50&lt;=Settings!$C$8+14,IFERROR(INDEX(Settings!$Q$14:$Q$24,MATCH('INPUT - Bookings'!$G50,Settings!$P$14:$P$24,0)),"Yes")="Yes"),'INPUT - Bookings'!$E50+ROW()/100000,"")</f>
        <v/>
      </c>
    </row>
    <row r="51">
      <c r="T51" s="244">
        <f>TEXT(INDEX('Camp Summary'!$C$4:$SF$4,344),"dd-mmm-yy")</f>
        <v/>
      </c>
      <c r="U51" s="244">
        <f>MAX(INDEX('Camp Summary'!$C$19:$SF$19,344):INDEX('Camp Summary'!$C$19:$SF$19,350))</f>
        <v/>
      </c>
      <c r="W51" s="244">
        <f>IF(AND(INDEX('Roster Summary'!$U$31:$U$180,50)=1,LEFT(Grid!AI52,6)="Travel"),0*1000+50,"")</f>
        <v/>
      </c>
      <c r="X51" s="244">
        <f>IF(AND(INDEX('Roster Summary'!$U$31:$U$180,50)=1,LEFT(Grid!AJ52,6)="Travel"),1*1000+50,"")</f>
        <v/>
      </c>
      <c r="Y51" s="244">
        <f>IF(AND(INDEX('Roster Summary'!$U$31:$U$180,50)=1,LEFT(Grid!AK52,6)="Travel"),2*1000+50,"")</f>
        <v/>
      </c>
      <c r="Z51" s="244">
        <f>IF(AND(INDEX('Roster Summary'!$U$31:$U$180,50)=1,LEFT(Grid!AL52,6)="Travel"),3*1000+50,"")</f>
        <v/>
      </c>
      <c r="AA51" s="244">
        <f>IF(AND(INDEX('Roster Summary'!$U$31:$U$180,50)=1,LEFT(Grid!AM52,6)="Travel"),4*1000+50,"")</f>
        <v/>
      </c>
      <c r="AB51" s="244">
        <f>IF(AND(INDEX('Roster Summary'!$U$31:$U$180,50)=1,LEFT(Grid!AN52,6)="Travel"),5*1000+50,"")</f>
        <v/>
      </c>
      <c r="AC51" s="244">
        <f>IF(AND(INDEX('Roster Summary'!$U$31:$U$180,50)=1,LEFT(Grid!AO52,6)="Travel"),6*1000+50,"")</f>
        <v/>
      </c>
      <c r="AD51" s="244">
        <f>IF(AND(INDEX('Roster Summary'!$U$31:$U$180,50)=1,LEFT(Grid!AP52,6)="Travel"),7*1000+50,"")</f>
        <v/>
      </c>
      <c r="AE51" s="244">
        <f>IF(AND(INDEX('Roster Summary'!$U$31:$U$180,50)=1,LEFT(Grid!AQ52,6)="Travel"),8*1000+50,"")</f>
        <v/>
      </c>
      <c r="AF51" s="244">
        <f>IF(AND(INDEX('Roster Summary'!$U$31:$U$180,50)=1,LEFT(Grid!AR52,6)="Travel"),9*1000+50,"")</f>
        <v/>
      </c>
      <c r="AG51" s="244">
        <f>IF(AND(INDEX('Roster Summary'!$U$31:$U$180,50)=1,LEFT(Grid!AS52,6)="Travel"),10*1000+50,"")</f>
        <v/>
      </c>
      <c r="AH51" s="244">
        <f>IF(AND(INDEX('Roster Summary'!$U$31:$U$180,50)=1,LEFT(Grid!AT52,6)="Travel"),11*1000+50,"")</f>
        <v/>
      </c>
      <c r="AI51" s="244">
        <f>IF(AND(INDEX('Roster Summary'!$U$31:$U$180,50)=1,LEFT(Grid!AU52,6)="Travel"),12*1000+50,"")</f>
        <v/>
      </c>
      <c r="AJ51" s="244">
        <f>IF(AND(INDEX('Roster Summary'!$U$31:$U$180,50)=1,LEFT(Grid!AV52,6)="Travel"),13*1000+50,"")</f>
        <v/>
      </c>
      <c r="AX51" s="244">
        <f>LOWER(TRIM('BHP Site Access'!B51&amp;"")&amp;"|"&amp;TRIM('BHP Site Access'!C51&amp;""))</f>
        <v/>
      </c>
      <c r="BB51" s="244">
        <f>IF('INPUT - Bookings'!$B51="",0,IF(AND(OR(Dashboard!$D$9="All",TRIM('INPUT - Bookings'!$C51)=Dashboard!$D$9),OR(Dashboard!$J$9="All",TRIM('INPUT - Bookings'!$D51)=Dashboard!$J$9)),1,0))</f>
        <v/>
      </c>
      <c r="BC51" s="244">
        <f>IF(AND(BB51=1,ISNUMBER('INPUT - Bookings'!$E51),'INPUT - Bookings'!$E51&gt;=Settings!$C$8,'INPUT - Bookings'!$E51&lt;=Settings!$C$8+14,IFERROR(INDEX(Settings!$Q$14:$Q$24,MATCH('INPUT - Bookings'!$G51,Settings!$P$14:$P$24,0)),"Yes")="Yes"),'INPUT - Bookings'!$E51+ROW()/100000,"")</f>
        <v/>
      </c>
    </row>
    <row r="52">
      <c r="T52" s="244">
        <f>TEXT(INDEX('Camp Summary'!$C$4:$SF$4,351),"dd-mmm-yy")</f>
        <v/>
      </c>
      <c r="U52" s="244">
        <f>MAX(INDEX('Camp Summary'!$C$19:$SF$19,351):INDEX('Camp Summary'!$C$19:$SF$19,357))</f>
        <v/>
      </c>
      <c r="W52" s="244">
        <f>IF(AND(INDEX('Roster Summary'!$U$31:$U$180,51)=1,LEFT(Grid!AI53,6)="Travel"),0*1000+51,"")</f>
        <v/>
      </c>
      <c r="X52" s="244">
        <f>IF(AND(INDEX('Roster Summary'!$U$31:$U$180,51)=1,LEFT(Grid!AJ53,6)="Travel"),1*1000+51,"")</f>
        <v/>
      </c>
      <c r="Y52" s="244">
        <f>IF(AND(INDEX('Roster Summary'!$U$31:$U$180,51)=1,LEFT(Grid!AK53,6)="Travel"),2*1000+51,"")</f>
        <v/>
      </c>
      <c r="Z52" s="244">
        <f>IF(AND(INDEX('Roster Summary'!$U$31:$U$180,51)=1,LEFT(Grid!AL53,6)="Travel"),3*1000+51,"")</f>
        <v/>
      </c>
      <c r="AA52" s="244">
        <f>IF(AND(INDEX('Roster Summary'!$U$31:$U$180,51)=1,LEFT(Grid!AM53,6)="Travel"),4*1000+51,"")</f>
        <v/>
      </c>
      <c r="AB52" s="244">
        <f>IF(AND(INDEX('Roster Summary'!$U$31:$U$180,51)=1,LEFT(Grid!AN53,6)="Travel"),5*1000+51,"")</f>
        <v/>
      </c>
      <c r="AC52" s="244">
        <f>IF(AND(INDEX('Roster Summary'!$U$31:$U$180,51)=1,LEFT(Grid!AO53,6)="Travel"),6*1000+51,"")</f>
        <v/>
      </c>
      <c r="AD52" s="244">
        <f>IF(AND(INDEX('Roster Summary'!$U$31:$U$180,51)=1,LEFT(Grid!AP53,6)="Travel"),7*1000+51,"")</f>
        <v/>
      </c>
      <c r="AE52" s="244">
        <f>IF(AND(INDEX('Roster Summary'!$U$31:$U$180,51)=1,LEFT(Grid!AQ53,6)="Travel"),8*1000+51,"")</f>
        <v/>
      </c>
      <c r="AF52" s="244">
        <f>IF(AND(INDEX('Roster Summary'!$U$31:$U$180,51)=1,LEFT(Grid!AR53,6)="Travel"),9*1000+51,"")</f>
        <v/>
      </c>
      <c r="AG52" s="244">
        <f>IF(AND(INDEX('Roster Summary'!$U$31:$U$180,51)=1,LEFT(Grid!AS53,6)="Travel"),10*1000+51,"")</f>
        <v/>
      </c>
      <c r="AH52" s="244">
        <f>IF(AND(INDEX('Roster Summary'!$U$31:$U$180,51)=1,LEFT(Grid!AT53,6)="Travel"),11*1000+51,"")</f>
        <v/>
      </c>
      <c r="AI52" s="244">
        <f>IF(AND(INDEX('Roster Summary'!$U$31:$U$180,51)=1,LEFT(Grid!AU53,6)="Travel"),12*1000+51,"")</f>
        <v/>
      </c>
      <c r="AJ52" s="244">
        <f>IF(AND(INDEX('Roster Summary'!$U$31:$U$180,51)=1,LEFT(Grid!AV53,6)="Travel"),13*1000+51,"")</f>
        <v/>
      </c>
      <c r="AX52" s="244">
        <f>LOWER(TRIM('BHP Site Access'!B52&amp;"")&amp;"|"&amp;TRIM('BHP Site Access'!C52&amp;""))</f>
        <v/>
      </c>
      <c r="BB52" s="244">
        <f>IF('INPUT - Bookings'!$B52="",0,IF(AND(OR(Dashboard!$D$9="All",TRIM('INPUT - Bookings'!$C52)=Dashboard!$D$9),OR(Dashboard!$J$9="All",TRIM('INPUT - Bookings'!$D52)=Dashboard!$J$9)),1,0))</f>
        <v/>
      </c>
      <c r="BC52" s="244">
        <f>IF(AND(BB52=1,ISNUMBER('INPUT - Bookings'!$E52),'INPUT - Bookings'!$E52&gt;=Settings!$C$8,'INPUT - Bookings'!$E52&lt;=Settings!$C$8+14,IFERROR(INDEX(Settings!$Q$14:$Q$24,MATCH('INPUT - Bookings'!$G52,Settings!$P$14:$P$24,0)),"Yes")="Yes"),'INPUT - Bookings'!$E52+ROW()/100000,"")</f>
        <v/>
      </c>
    </row>
    <row r="53">
      <c r="T53" s="244">
        <f>TEXT(INDEX('Camp Summary'!$C$4:$SF$4,358),"dd-mmm-yy")</f>
        <v/>
      </c>
      <c r="U53" s="244">
        <f>MAX(INDEX('Camp Summary'!$C$19:$SF$19,358):INDEX('Camp Summary'!$C$19:$SF$19,364))</f>
        <v/>
      </c>
      <c r="W53" s="244">
        <f>IF(AND(INDEX('Roster Summary'!$U$31:$U$180,52)=1,LEFT(Grid!AI54,6)="Travel"),0*1000+52,"")</f>
        <v/>
      </c>
      <c r="X53" s="244">
        <f>IF(AND(INDEX('Roster Summary'!$U$31:$U$180,52)=1,LEFT(Grid!AJ54,6)="Travel"),1*1000+52,"")</f>
        <v/>
      </c>
      <c r="Y53" s="244">
        <f>IF(AND(INDEX('Roster Summary'!$U$31:$U$180,52)=1,LEFT(Grid!AK54,6)="Travel"),2*1000+52,"")</f>
        <v/>
      </c>
      <c r="Z53" s="244">
        <f>IF(AND(INDEX('Roster Summary'!$U$31:$U$180,52)=1,LEFT(Grid!AL54,6)="Travel"),3*1000+52,"")</f>
        <v/>
      </c>
      <c r="AA53" s="244">
        <f>IF(AND(INDEX('Roster Summary'!$U$31:$U$180,52)=1,LEFT(Grid!AM54,6)="Travel"),4*1000+52,"")</f>
        <v/>
      </c>
      <c r="AB53" s="244">
        <f>IF(AND(INDEX('Roster Summary'!$U$31:$U$180,52)=1,LEFT(Grid!AN54,6)="Travel"),5*1000+52,"")</f>
        <v/>
      </c>
      <c r="AC53" s="244">
        <f>IF(AND(INDEX('Roster Summary'!$U$31:$U$180,52)=1,LEFT(Grid!AO54,6)="Travel"),6*1000+52,"")</f>
        <v/>
      </c>
      <c r="AD53" s="244">
        <f>IF(AND(INDEX('Roster Summary'!$U$31:$U$180,52)=1,LEFT(Grid!AP54,6)="Travel"),7*1000+52,"")</f>
        <v/>
      </c>
      <c r="AE53" s="244">
        <f>IF(AND(INDEX('Roster Summary'!$U$31:$U$180,52)=1,LEFT(Grid!AQ54,6)="Travel"),8*1000+52,"")</f>
        <v/>
      </c>
      <c r="AF53" s="244">
        <f>IF(AND(INDEX('Roster Summary'!$U$31:$U$180,52)=1,LEFT(Grid!AR54,6)="Travel"),9*1000+52,"")</f>
        <v/>
      </c>
      <c r="AG53" s="244">
        <f>IF(AND(INDEX('Roster Summary'!$U$31:$U$180,52)=1,LEFT(Grid!AS54,6)="Travel"),10*1000+52,"")</f>
        <v/>
      </c>
      <c r="AH53" s="244">
        <f>IF(AND(INDEX('Roster Summary'!$U$31:$U$180,52)=1,LEFT(Grid!AT54,6)="Travel"),11*1000+52,"")</f>
        <v/>
      </c>
      <c r="AI53" s="244">
        <f>IF(AND(INDEX('Roster Summary'!$U$31:$U$180,52)=1,LEFT(Grid!AU54,6)="Travel"),12*1000+52,"")</f>
        <v/>
      </c>
      <c r="AJ53" s="244">
        <f>IF(AND(INDEX('Roster Summary'!$U$31:$U$180,52)=1,LEFT(Grid!AV54,6)="Travel"),13*1000+52,"")</f>
        <v/>
      </c>
      <c r="AX53" s="244">
        <f>LOWER(TRIM('BHP Site Access'!B53&amp;"")&amp;"|"&amp;TRIM('BHP Site Access'!C53&amp;""))</f>
        <v/>
      </c>
      <c r="BB53" s="244">
        <f>IF('INPUT - Bookings'!$B53="",0,IF(AND(OR(Dashboard!$D$9="All",TRIM('INPUT - Bookings'!$C53)=Dashboard!$D$9),OR(Dashboard!$J$9="All",TRIM('INPUT - Bookings'!$D53)=Dashboard!$J$9)),1,0))</f>
        <v/>
      </c>
      <c r="BC53" s="244">
        <f>IF(AND(BB53=1,ISNUMBER('INPUT - Bookings'!$E53),'INPUT - Bookings'!$E53&gt;=Settings!$C$8,'INPUT - Bookings'!$E53&lt;=Settings!$C$8+14,IFERROR(INDEX(Settings!$Q$14:$Q$24,MATCH('INPUT - Bookings'!$G53,Settings!$P$14:$P$24,0)),"Yes")="Yes"),'INPUT - Bookings'!$E53+ROW()/100000,"")</f>
        <v/>
      </c>
    </row>
    <row r="54">
      <c r="T54" s="244">
        <f>TEXT(INDEX('Camp Summary'!$C$4:$SF$4,365),"dd-mmm-yy")</f>
        <v/>
      </c>
      <c r="U54" s="244">
        <f>MAX(INDEX('Camp Summary'!$C$19:$SF$19,365):INDEX('Camp Summary'!$C$19:$SF$19,371))</f>
        <v/>
      </c>
      <c r="W54" s="244">
        <f>IF(AND(INDEX('Roster Summary'!$U$31:$U$180,53)=1,LEFT(Grid!AI55,6)="Travel"),0*1000+53,"")</f>
        <v/>
      </c>
      <c r="X54" s="244">
        <f>IF(AND(INDEX('Roster Summary'!$U$31:$U$180,53)=1,LEFT(Grid!AJ55,6)="Travel"),1*1000+53,"")</f>
        <v/>
      </c>
      <c r="Y54" s="244">
        <f>IF(AND(INDEX('Roster Summary'!$U$31:$U$180,53)=1,LEFT(Grid!AK55,6)="Travel"),2*1000+53,"")</f>
        <v/>
      </c>
      <c r="Z54" s="244">
        <f>IF(AND(INDEX('Roster Summary'!$U$31:$U$180,53)=1,LEFT(Grid!AL55,6)="Travel"),3*1000+53,"")</f>
        <v/>
      </c>
      <c r="AA54" s="244">
        <f>IF(AND(INDEX('Roster Summary'!$U$31:$U$180,53)=1,LEFT(Grid!AM55,6)="Travel"),4*1000+53,"")</f>
        <v/>
      </c>
      <c r="AB54" s="244">
        <f>IF(AND(INDEX('Roster Summary'!$U$31:$U$180,53)=1,LEFT(Grid!AN55,6)="Travel"),5*1000+53,"")</f>
        <v/>
      </c>
      <c r="AC54" s="244">
        <f>IF(AND(INDEX('Roster Summary'!$U$31:$U$180,53)=1,LEFT(Grid!AO55,6)="Travel"),6*1000+53,"")</f>
        <v/>
      </c>
      <c r="AD54" s="244">
        <f>IF(AND(INDEX('Roster Summary'!$U$31:$U$180,53)=1,LEFT(Grid!AP55,6)="Travel"),7*1000+53,"")</f>
        <v/>
      </c>
      <c r="AE54" s="244">
        <f>IF(AND(INDEX('Roster Summary'!$U$31:$U$180,53)=1,LEFT(Grid!AQ55,6)="Travel"),8*1000+53,"")</f>
        <v/>
      </c>
      <c r="AF54" s="244">
        <f>IF(AND(INDEX('Roster Summary'!$U$31:$U$180,53)=1,LEFT(Grid!AR55,6)="Travel"),9*1000+53,"")</f>
        <v/>
      </c>
      <c r="AG54" s="244">
        <f>IF(AND(INDEX('Roster Summary'!$U$31:$U$180,53)=1,LEFT(Grid!AS55,6)="Travel"),10*1000+53,"")</f>
        <v/>
      </c>
      <c r="AH54" s="244">
        <f>IF(AND(INDEX('Roster Summary'!$U$31:$U$180,53)=1,LEFT(Grid!AT55,6)="Travel"),11*1000+53,"")</f>
        <v/>
      </c>
      <c r="AI54" s="244">
        <f>IF(AND(INDEX('Roster Summary'!$U$31:$U$180,53)=1,LEFT(Grid!AU55,6)="Travel"),12*1000+53,"")</f>
        <v/>
      </c>
      <c r="AJ54" s="244">
        <f>IF(AND(INDEX('Roster Summary'!$U$31:$U$180,53)=1,LEFT(Grid!AV55,6)="Travel"),13*1000+53,"")</f>
        <v/>
      </c>
      <c r="AX54" s="244">
        <f>LOWER(TRIM('BHP Site Access'!B54&amp;"")&amp;"|"&amp;TRIM('BHP Site Access'!C54&amp;""))</f>
        <v/>
      </c>
      <c r="BB54" s="244">
        <f>IF('INPUT - Bookings'!$B54="",0,IF(AND(OR(Dashboard!$D$9="All",TRIM('INPUT - Bookings'!$C54)=Dashboard!$D$9),OR(Dashboard!$J$9="All",TRIM('INPUT - Bookings'!$D54)=Dashboard!$J$9)),1,0))</f>
        <v/>
      </c>
      <c r="BC54" s="244">
        <f>IF(AND(BB54=1,ISNUMBER('INPUT - Bookings'!$E54),'INPUT - Bookings'!$E54&gt;=Settings!$C$8,'INPUT - Bookings'!$E54&lt;=Settings!$C$8+14,IFERROR(INDEX(Settings!$Q$14:$Q$24,MATCH('INPUT - Bookings'!$G54,Settings!$P$14:$P$24,0)),"Yes")="Yes"),'INPUT - Bookings'!$E54+ROW()/100000,"")</f>
        <v/>
      </c>
    </row>
    <row r="55">
      <c r="T55" s="244">
        <f>TEXT(INDEX('Camp Summary'!$C$4:$SF$4,372),"dd-mmm-yy")</f>
        <v/>
      </c>
      <c r="U55" s="244">
        <f>MAX(INDEX('Camp Summary'!$C$19:$SF$19,372):INDEX('Camp Summary'!$C$19:$SF$19,378))</f>
        <v/>
      </c>
      <c r="W55" s="244">
        <f>IF(AND(INDEX('Roster Summary'!$U$31:$U$180,54)=1,LEFT(Grid!AI56,6)="Travel"),0*1000+54,"")</f>
        <v/>
      </c>
      <c r="X55" s="244">
        <f>IF(AND(INDEX('Roster Summary'!$U$31:$U$180,54)=1,LEFT(Grid!AJ56,6)="Travel"),1*1000+54,"")</f>
        <v/>
      </c>
      <c r="Y55" s="244">
        <f>IF(AND(INDEX('Roster Summary'!$U$31:$U$180,54)=1,LEFT(Grid!AK56,6)="Travel"),2*1000+54,"")</f>
        <v/>
      </c>
      <c r="Z55" s="244">
        <f>IF(AND(INDEX('Roster Summary'!$U$31:$U$180,54)=1,LEFT(Grid!AL56,6)="Travel"),3*1000+54,"")</f>
        <v/>
      </c>
      <c r="AA55" s="244">
        <f>IF(AND(INDEX('Roster Summary'!$U$31:$U$180,54)=1,LEFT(Grid!AM56,6)="Travel"),4*1000+54,"")</f>
        <v/>
      </c>
      <c r="AB55" s="244">
        <f>IF(AND(INDEX('Roster Summary'!$U$31:$U$180,54)=1,LEFT(Grid!AN56,6)="Travel"),5*1000+54,"")</f>
        <v/>
      </c>
      <c r="AC55" s="244">
        <f>IF(AND(INDEX('Roster Summary'!$U$31:$U$180,54)=1,LEFT(Grid!AO56,6)="Travel"),6*1000+54,"")</f>
        <v/>
      </c>
      <c r="AD55" s="244">
        <f>IF(AND(INDEX('Roster Summary'!$U$31:$U$180,54)=1,LEFT(Grid!AP56,6)="Travel"),7*1000+54,"")</f>
        <v/>
      </c>
      <c r="AE55" s="244">
        <f>IF(AND(INDEX('Roster Summary'!$U$31:$U$180,54)=1,LEFT(Grid!AQ56,6)="Travel"),8*1000+54,"")</f>
        <v/>
      </c>
      <c r="AF55" s="244">
        <f>IF(AND(INDEX('Roster Summary'!$U$31:$U$180,54)=1,LEFT(Grid!AR56,6)="Travel"),9*1000+54,"")</f>
        <v/>
      </c>
      <c r="AG55" s="244">
        <f>IF(AND(INDEX('Roster Summary'!$U$31:$U$180,54)=1,LEFT(Grid!AS56,6)="Travel"),10*1000+54,"")</f>
        <v/>
      </c>
      <c r="AH55" s="244">
        <f>IF(AND(INDEX('Roster Summary'!$U$31:$U$180,54)=1,LEFT(Grid!AT56,6)="Travel"),11*1000+54,"")</f>
        <v/>
      </c>
      <c r="AI55" s="244">
        <f>IF(AND(INDEX('Roster Summary'!$U$31:$U$180,54)=1,LEFT(Grid!AU56,6)="Travel"),12*1000+54,"")</f>
        <v/>
      </c>
      <c r="AJ55" s="244">
        <f>IF(AND(INDEX('Roster Summary'!$U$31:$U$180,54)=1,LEFT(Grid!AV56,6)="Travel"),13*1000+54,"")</f>
        <v/>
      </c>
      <c r="AX55" s="244">
        <f>LOWER(TRIM('BHP Site Access'!B55&amp;"")&amp;"|"&amp;TRIM('BHP Site Access'!C55&amp;""))</f>
        <v/>
      </c>
      <c r="BB55" s="244">
        <f>IF('INPUT - Bookings'!$B55="",0,IF(AND(OR(Dashboard!$D$9="All",TRIM('INPUT - Bookings'!$C55)=Dashboard!$D$9),OR(Dashboard!$J$9="All",TRIM('INPUT - Bookings'!$D55)=Dashboard!$J$9)),1,0))</f>
        <v/>
      </c>
      <c r="BC55" s="244">
        <f>IF(AND(BB55=1,ISNUMBER('INPUT - Bookings'!$E55),'INPUT - Bookings'!$E55&gt;=Settings!$C$8,'INPUT - Bookings'!$E55&lt;=Settings!$C$8+14,IFERROR(INDEX(Settings!$Q$14:$Q$24,MATCH('INPUT - Bookings'!$G55,Settings!$P$14:$P$24,0)),"Yes")="Yes"),'INPUT - Bookings'!$E55+ROW()/100000,"")</f>
        <v/>
      </c>
    </row>
    <row r="56">
      <c r="T56" s="244">
        <f>TEXT(INDEX('Camp Summary'!$C$4:$SF$4,379),"dd-mmm-yy")</f>
        <v/>
      </c>
      <c r="U56" s="244">
        <f>MAX(INDEX('Camp Summary'!$C$19:$SF$19,379):INDEX('Camp Summary'!$C$19:$SF$19,385))</f>
        <v/>
      </c>
      <c r="W56" s="244">
        <f>IF(AND(INDEX('Roster Summary'!$U$31:$U$180,55)=1,LEFT(Grid!AI57,6)="Travel"),0*1000+55,"")</f>
        <v/>
      </c>
      <c r="X56" s="244">
        <f>IF(AND(INDEX('Roster Summary'!$U$31:$U$180,55)=1,LEFT(Grid!AJ57,6)="Travel"),1*1000+55,"")</f>
        <v/>
      </c>
      <c r="Y56" s="244">
        <f>IF(AND(INDEX('Roster Summary'!$U$31:$U$180,55)=1,LEFT(Grid!AK57,6)="Travel"),2*1000+55,"")</f>
        <v/>
      </c>
      <c r="Z56" s="244">
        <f>IF(AND(INDEX('Roster Summary'!$U$31:$U$180,55)=1,LEFT(Grid!AL57,6)="Travel"),3*1000+55,"")</f>
        <v/>
      </c>
      <c r="AA56" s="244">
        <f>IF(AND(INDEX('Roster Summary'!$U$31:$U$180,55)=1,LEFT(Grid!AM57,6)="Travel"),4*1000+55,"")</f>
        <v/>
      </c>
      <c r="AB56" s="244">
        <f>IF(AND(INDEX('Roster Summary'!$U$31:$U$180,55)=1,LEFT(Grid!AN57,6)="Travel"),5*1000+55,"")</f>
        <v/>
      </c>
      <c r="AC56" s="244">
        <f>IF(AND(INDEX('Roster Summary'!$U$31:$U$180,55)=1,LEFT(Grid!AO57,6)="Travel"),6*1000+55,"")</f>
        <v/>
      </c>
      <c r="AD56" s="244">
        <f>IF(AND(INDEX('Roster Summary'!$U$31:$U$180,55)=1,LEFT(Grid!AP57,6)="Travel"),7*1000+55,"")</f>
        <v/>
      </c>
      <c r="AE56" s="244">
        <f>IF(AND(INDEX('Roster Summary'!$U$31:$U$180,55)=1,LEFT(Grid!AQ57,6)="Travel"),8*1000+55,"")</f>
        <v/>
      </c>
      <c r="AF56" s="244">
        <f>IF(AND(INDEX('Roster Summary'!$U$31:$U$180,55)=1,LEFT(Grid!AR57,6)="Travel"),9*1000+55,"")</f>
        <v/>
      </c>
      <c r="AG56" s="244">
        <f>IF(AND(INDEX('Roster Summary'!$U$31:$U$180,55)=1,LEFT(Grid!AS57,6)="Travel"),10*1000+55,"")</f>
        <v/>
      </c>
      <c r="AH56" s="244">
        <f>IF(AND(INDEX('Roster Summary'!$U$31:$U$180,55)=1,LEFT(Grid!AT57,6)="Travel"),11*1000+55,"")</f>
        <v/>
      </c>
      <c r="AI56" s="244">
        <f>IF(AND(INDEX('Roster Summary'!$U$31:$U$180,55)=1,LEFT(Grid!AU57,6)="Travel"),12*1000+55,"")</f>
        <v/>
      </c>
      <c r="AJ56" s="244">
        <f>IF(AND(INDEX('Roster Summary'!$U$31:$U$180,55)=1,LEFT(Grid!AV57,6)="Travel"),13*1000+55,"")</f>
        <v/>
      </c>
      <c r="AX56" s="244">
        <f>LOWER(TRIM('BHP Site Access'!B56&amp;"")&amp;"|"&amp;TRIM('BHP Site Access'!C56&amp;""))</f>
        <v/>
      </c>
      <c r="BB56" s="244">
        <f>IF('INPUT - Bookings'!$B56="",0,IF(AND(OR(Dashboard!$D$9="All",TRIM('INPUT - Bookings'!$C56)=Dashboard!$D$9),OR(Dashboard!$J$9="All",TRIM('INPUT - Bookings'!$D56)=Dashboard!$J$9)),1,0))</f>
        <v/>
      </c>
      <c r="BC56" s="244">
        <f>IF(AND(BB56=1,ISNUMBER('INPUT - Bookings'!$E56),'INPUT - Bookings'!$E56&gt;=Settings!$C$8,'INPUT - Bookings'!$E56&lt;=Settings!$C$8+14,IFERROR(INDEX(Settings!$Q$14:$Q$24,MATCH('INPUT - Bookings'!$G56,Settings!$P$14:$P$24,0)),"Yes")="Yes"),'INPUT - Bookings'!$E56+ROW()/100000,"")</f>
        <v/>
      </c>
    </row>
    <row r="57">
      <c r="T57" s="244">
        <f>TEXT(INDEX('Camp Summary'!$C$4:$SF$4,386),"dd-mmm-yy")</f>
        <v/>
      </c>
      <c r="U57" s="244">
        <f>MAX(INDEX('Camp Summary'!$C$19:$SF$19,386):INDEX('Camp Summary'!$C$19:$SF$19,392))</f>
        <v/>
      </c>
      <c r="W57" s="244">
        <f>IF(AND(INDEX('Roster Summary'!$U$31:$U$180,56)=1,LEFT(Grid!AI58,6)="Travel"),0*1000+56,"")</f>
        <v/>
      </c>
      <c r="X57" s="244">
        <f>IF(AND(INDEX('Roster Summary'!$U$31:$U$180,56)=1,LEFT(Grid!AJ58,6)="Travel"),1*1000+56,"")</f>
        <v/>
      </c>
      <c r="Y57" s="244">
        <f>IF(AND(INDEX('Roster Summary'!$U$31:$U$180,56)=1,LEFT(Grid!AK58,6)="Travel"),2*1000+56,"")</f>
        <v/>
      </c>
      <c r="Z57" s="244">
        <f>IF(AND(INDEX('Roster Summary'!$U$31:$U$180,56)=1,LEFT(Grid!AL58,6)="Travel"),3*1000+56,"")</f>
        <v/>
      </c>
      <c r="AA57" s="244">
        <f>IF(AND(INDEX('Roster Summary'!$U$31:$U$180,56)=1,LEFT(Grid!AM58,6)="Travel"),4*1000+56,"")</f>
        <v/>
      </c>
      <c r="AB57" s="244">
        <f>IF(AND(INDEX('Roster Summary'!$U$31:$U$180,56)=1,LEFT(Grid!AN58,6)="Travel"),5*1000+56,"")</f>
        <v/>
      </c>
      <c r="AC57" s="244">
        <f>IF(AND(INDEX('Roster Summary'!$U$31:$U$180,56)=1,LEFT(Grid!AO58,6)="Travel"),6*1000+56,"")</f>
        <v/>
      </c>
      <c r="AD57" s="244">
        <f>IF(AND(INDEX('Roster Summary'!$U$31:$U$180,56)=1,LEFT(Grid!AP58,6)="Travel"),7*1000+56,"")</f>
        <v/>
      </c>
      <c r="AE57" s="244">
        <f>IF(AND(INDEX('Roster Summary'!$U$31:$U$180,56)=1,LEFT(Grid!AQ58,6)="Travel"),8*1000+56,"")</f>
        <v/>
      </c>
      <c r="AF57" s="244">
        <f>IF(AND(INDEX('Roster Summary'!$U$31:$U$180,56)=1,LEFT(Grid!AR58,6)="Travel"),9*1000+56,"")</f>
        <v/>
      </c>
      <c r="AG57" s="244">
        <f>IF(AND(INDEX('Roster Summary'!$U$31:$U$180,56)=1,LEFT(Grid!AS58,6)="Travel"),10*1000+56,"")</f>
        <v/>
      </c>
      <c r="AH57" s="244">
        <f>IF(AND(INDEX('Roster Summary'!$U$31:$U$180,56)=1,LEFT(Grid!AT58,6)="Travel"),11*1000+56,"")</f>
        <v/>
      </c>
      <c r="AI57" s="244">
        <f>IF(AND(INDEX('Roster Summary'!$U$31:$U$180,56)=1,LEFT(Grid!AU58,6)="Travel"),12*1000+56,"")</f>
        <v/>
      </c>
      <c r="AJ57" s="244">
        <f>IF(AND(INDEX('Roster Summary'!$U$31:$U$180,56)=1,LEFT(Grid!AV58,6)="Travel"),13*1000+56,"")</f>
        <v/>
      </c>
      <c r="AX57" s="244">
        <f>LOWER(TRIM('BHP Site Access'!B57&amp;"")&amp;"|"&amp;TRIM('BHP Site Access'!C57&amp;""))</f>
        <v/>
      </c>
      <c r="BB57" s="244">
        <f>IF('INPUT - Bookings'!$B57="",0,IF(AND(OR(Dashboard!$D$9="All",TRIM('INPUT - Bookings'!$C57)=Dashboard!$D$9),OR(Dashboard!$J$9="All",TRIM('INPUT - Bookings'!$D57)=Dashboard!$J$9)),1,0))</f>
        <v/>
      </c>
      <c r="BC57" s="244">
        <f>IF(AND(BB57=1,ISNUMBER('INPUT - Bookings'!$E57),'INPUT - Bookings'!$E57&gt;=Settings!$C$8,'INPUT - Bookings'!$E57&lt;=Settings!$C$8+14,IFERROR(INDEX(Settings!$Q$14:$Q$24,MATCH('INPUT - Bookings'!$G57,Settings!$P$14:$P$24,0)),"Yes")="Yes"),'INPUT - Bookings'!$E57+ROW()/100000,"")</f>
        <v/>
      </c>
    </row>
    <row r="58">
      <c r="T58" s="244">
        <f>TEXT(INDEX('Camp Summary'!$C$4:$SF$4,393),"dd-mmm-yy")</f>
        <v/>
      </c>
      <c r="U58" s="244">
        <f>MAX(INDEX('Camp Summary'!$C$19:$SF$19,393):INDEX('Camp Summary'!$C$19:$SF$19,399))</f>
        <v/>
      </c>
      <c r="W58" s="244">
        <f>IF(AND(INDEX('Roster Summary'!$U$31:$U$180,57)=1,LEFT(Grid!AI59,6)="Travel"),0*1000+57,"")</f>
        <v/>
      </c>
      <c r="X58" s="244">
        <f>IF(AND(INDEX('Roster Summary'!$U$31:$U$180,57)=1,LEFT(Grid!AJ59,6)="Travel"),1*1000+57,"")</f>
        <v/>
      </c>
      <c r="Y58" s="244">
        <f>IF(AND(INDEX('Roster Summary'!$U$31:$U$180,57)=1,LEFT(Grid!AK59,6)="Travel"),2*1000+57,"")</f>
        <v/>
      </c>
      <c r="Z58" s="244">
        <f>IF(AND(INDEX('Roster Summary'!$U$31:$U$180,57)=1,LEFT(Grid!AL59,6)="Travel"),3*1000+57,"")</f>
        <v/>
      </c>
      <c r="AA58" s="244">
        <f>IF(AND(INDEX('Roster Summary'!$U$31:$U$180,57)=1,LEFT(Grid!AM59,6)="Travel"),4*1000+57,"")</f>
        <v/>
      </c>
      <c r="AB58" s="244">
        <f>IF(AND(INDEX('Roster Summary'!$U$31:$U$180,57)=1,LEFT(Grid!AN59,6)="Travel"),5*1000+57,"")</f>
        <v/>
      </c>
      <c r="AC58" s="244">
        <f>IF(AND(INDEX('Roster Summary'!$U$31:$U$180,57)=1,LEFT(Grid!AO59,6)="Travel"),6*1000+57,"")</f>
        <v/>
      </c>
      <c r="AD58" s="244">
        <f>IF(AND(INDEX('Roster Summary'!$U$31:$U$180,57)=1,LEFT(Grid!AP59,6)="Travel"),7*1000+57,"")</f>
        <v/>
      </c>
      <c r="AE58" s="244">
        <f>IF(AND(INDEX('Roster Summary'!$U$31:$U$180,57)=1,LEFT(Grid!AQ59,6)="Travel"),8*1000+57,"")</f>
        <v/>
      </c>
      <c r="AF58" s="244">
        <f>IF(AND(INDEX('Roster Summary'!$U$31:$U$180,57)=1,LEFT(Grid!AR59,6)="Travel"),9*1000+57,"")</f>
        <v/>
      </c>
      <c r="AG58" s="244">
        <f>IF(AND(INDEX('Roster Summary'!$U$31:$U$180,57)=1,LEFT(Grid!AS59,6)="Travel"),10*1000+57,"")</f>
        <v/>
      </c>
      <c r="AH58" s="244">
        <f>IF(AND(INDEX('Roster Summary'!$U$31:$U$180,57)=1,LEFT(Grid!AT59,6)="Travel"),11*1000+57,"")</f>
        <v/>
      </c>
      <c r="AI58" s="244">
        <f>IF(AND(INDEX('Roster Summary'!$U$31:$U$180,57)=1,LEFT(Grid!AU59,6)="Travel"),12*1000+57,"")</f>
        <v/>
      </c>
      <c r="AJ58" s="244">
        <f>IF(AND(INDEX('Roster Summary'!$U$31:$U$180,57)=1,LEFT(Grid!AV59,6)="Travel"),13*1000+57,"")</f>
        <v/>
      </c>
      <c r="AX58" s="244">
        <f>LOWER(TRIM('BHP Site Access'!B58&amp;"")&amp;"|"&amp;TRIM('BHP Site Access'!C58&amp;""))</f>
        <v/>
      </c>
      <c r="BB58" s="244">
        <f>IF('INPUT - Bookings'!$B58="",0,IF(AND(OR(Dashboard!$D$9="All",TRIM('INPUT - Bookings'!$C58)=Dashboard!$D$9),OR(Dashboard!$J$9="All",TRIM('INPUT - Bookings'!$D58)=Dashboard!$J$9)),1,0))</f>
        <v/>
      </c>
      <c r="BC58" s="244">
        <f>IF(AND(BB58=1,ISNUMBER('INPUT - Bookings'!$E58),'INPUT - Bookings'!$E58&gt;=Settings!$C$8,'INPUT - Bookings'!$E58&lt;=Settings!$C$8+14,IFERROR(INDEX(Settings!$Q$14:$Q$24,MATCH('INPUT - Bookings'!$G58,Settings!$P$14:$P$24,0)),"Yes")="Yes"),'INPUT - Bookings'!$E58+ROW()/100000,"")</f>
        <v/>
      </c>
    </row>
    <row r="59">
      <c r="T59" s="244">
        <f>TEXT(INDEX('Camp Summary'!$C$4:$SF$4,400),"dd-mmm-yy")</f>
        <v/>
      </c>
      <c r="U59" s="244">
        <f>MAX(INDEX('Camp Summary'!$C$19:$SF$19,400):INDEX('Camp Summary'!$C$19:$SF$19,406))</f>
        <v/>
      </c>
      <c r="W59" s="244">
        <f>IF(AND(INDEX('Roster Summary'!$U$31:$U$180,58)=1,LEFT(Grid!AI60,6)="Travel"),0*1000+58,"")</f>
        <v/>
      </c>
      <c r="X59" s="244">
        <f>IF(AND(INDEX('Roster Summary'!$U$31:$U$180,58)=1,LEFT(Grid!AJ60,6)="Travel"),1*1000+58,"")</f>
        <v/>
      </c>
      <c r="Y59" s="244">
        <f>IF(AND(INDEX('Roster Summary'!$U$31:$U$180,58)=1,LEFT(Grid!AK60,6)="Travel"),2*1000+58,"")</f>
        <v/>
      </c>
      <c r="Z59" s="244">
        <f>IF(AND(INDEX('Roster Summary'!$U$31:$U$180,58)=1,LEFT(Grid!AL60,6)="Travel"),3*1000+58,"")</f>
        <v/>
      </c>
      <c r="AA59" s="244">
        <f>IF(AND(INDEX('Roster Summary'!$U$31:$U$180,58)=1,LEFT(Grid!AM60,6)="Travel"),4*1000+58,"")</f>
        <v/>
      </c>
      <c r="AB59" s="244">
        <f>IF(AND(INDEX('Roster Summary'!$U$31:$U$180,58)=1,LEFT(Grid!AN60,6)="Travel"),5*1000+58,"")</f>
        <v/>
      </c>
      <c r="AC59" s="244">
        <f>IF(AND(INDEX('Roster Summary'!$U$31:$U$180,58)=1,LEFT(Grid!AO60,6)="Travel"),6*1000+58,"")</f>
        <v/>
      </c>
      <c r="AD59" s="244">
        <f>IF(AND(INDEX('Roster Summary'!$U$31:$U$180,58)=1,LEFT(Grid!AP60,6)="Travel"),7*1000+58,"")</f>
        <v/>
      </c>
      <c r="AE59" s="244">
        <f>IF(AND(INDEX('Roster Summary'!$U$31:$U$180,58)=1,LEFT(Grid!AQ60,6)="Travel"),8*1000+58,"")</f>
        <v/>
      </c>
      <c r="AF59" s="244">
        <f>IF(AND(INDEX('Roster Summary'!$U$31:$U$180,58)=1,LEFT(Grid!AR60,6)="Travel"),9*1000+58,"")</f>
        <v/>
      </c>
      <c r="AG59" s="244">
        <f>IF(AND(INDEX('Roster Summary'!$U$31:$U$180,58)=1,LEFT(Grid!AS60,6)="Travel"),10*1000+58,"")</f>
        <v/>
      </c>
      <c r="AH59" s="244">
        <f>IF(AND(INDEX('Roster Summary'!$U$31:$U$180,58)=1,LEFT(Grid!AT60,6)="Travel"),11*1000+58,"")</f>
        <v/>
      </c>
      <c r="AI59" s="244">
        <f>IF(AND(INDEX('Roster Summary'!$U$31:$U$180,58)=1,LEFT(Grid!AU60,6)="Travel"),12*1000+58,"")</f>
        <v/>
      </c>
      <c r="AJ59" s="244">
        <f>IF(AND(INDEX('Roster Summary'!$U$31:$U$180,58)=1,LEFT(Grid!AV60,6)="Travel"),13*1000+58,"")</f>
        <v/>
      </c>
      <c r="AX59" s="244">
        <f>LOWER(TRIM('BHP Site Access'!B59&amp;"")&amp;"|"&amp;TRIM('BHP Site Access'!C59&amp;""))</f>
        <v/>
      </c>
      <c r="BB59" s="244">
        <f>IF('INPUT - Bookings'!$B59="",0,IF(AND(OR(Dashboard!$D$9="All",TRIM('INPUT - Bookings'!$C59)=Dashboard!$D$9),OR(Dashboard!$J$9="All",TRIM('INPUT - Bookings'!$D59)=Dashboard!$J$9)),1,0))</f>
        <v/>
      </c>
      <c r="BC59" s="244">
        <f>IF(AND(BB59=1,ISNUMBER('INPUT - Bookings'!$E59),'INPUT - Bookings'!$E59&gt;=Settings!$C$8,'INPUT - Bookings'!$E59&lt;=Settings!$C$8+14,IFERROR(INDEX(Settings!$Q$14:$Q$24,MATCH('INPUT - Bookings'!$G59,Settings!$P$14:$P$24,0)),"Yes")="Yes"),'INPUT - Bookings'!$E59+ROW()/100000,"")</f>
        <v/>
      </c>
    </row>
    <row r="60">
      <c r="T60" s="244">
        <f>TEXT(INDEX('Camp Summary'!$C$4:$SF$4,407),"dd-mmm-yy")</f>
        <v/>
      </c>
      <c r="U60" s="244">
        <f>MAX(INDEX('Camp Summary'!$C$19:$SF$19,407):INDEX('Camp Summary'!$C$19:$SF$19,413))</f>
        <v/>
      </c>
      <c r="W60" s="244">
        <f>IF(AND(INDEX('Roster Summary'!$U$31:$U$180,59)=1,LEFT(Grid!AI61,6)="Travel"),0*1000+59,"")</f>
        <v/>
      </c>
      <c r="X60" s="244">
        <f>IF(AND(INDEX('Roster Summary'!$U$31:$U$180,59)=1,LEFT(Grid!AJ61,6)="Travel"),1*1000+59,"")</f>
        <v/>
      </c>
      <c r="Y60" s="244">
        <f>IF(AND(INDEX('Roster Summary'!$U$31:$U$180,59)=1,LEFT(Grid!AK61,6)="Travel"),2*1000+59,"")</f>
        <v/>
      </c>
      <c r="Z60" s="244">
        <f>IF(AND(INDEX('Roster Summary'!$U$31:$U$180,59)=1,LEFT(Grid!AL61,6)="Travel"),3*1000+59,"")</f>
        <v/>
      </c>
      <c r="AA60" s="244">
        <f>IF(AND(INDEX('Roster Summary'!$U$31:$U$180,59)=1,LEFT(Grid!AM61,6)="Travel"),4*1000+59,"")</f>
        <v/>
      </c>
      <c r="AB60" s="244">
        <f>IF(AND(INDEX('Roster Summary'!$U$31:$U$180,59)=1,LEFT(Grid!AN61,6)="Travel"),5*1000+59,"")</f>
        <v/>
      </c>
      <c r="AC60" s="244">
        <f>IF(AND(INDEX('Roster Summary'!$U$31:$U$180,59)=1,LEFT(Grid!AO61,6)="Travel"),6*1000+59,"")</f>
        <v/>
      </c>
      <c r="AD60" s="244">
        <f>IF(AND(INDEX('Roster Summary'!$U$31:$U$180,59)=1,LEFT(Grid!AP61,6)="Travel"),7*1000+59,"")</f>
        <v/>
      </c>
      <c r="AE60" s="244">
        <f>IF(AND(INDEX('Roster Summary'!$U$31:$U$180,59)=1,LEFT(Grid!AQ61,6)="Travel"),8*1000+59,"")</f>
        <v/>
      </c>
      <c r="AF60" s="244">
        <f>IF(AND(INDEX('Roster Summary'!$U$31:$U$180,59)=1,LEFT(Grid!AR61,6)="Travel"),9*1000+59,"")</f>
        <v/>
      </c>
      <c r="AG60" s="244">
        <f>IF(AND(INDEX('Roster Summary'!$U$31:$U$180,59)=1,LEFT(Grid!AS61,6)="Travel"),10*1000+59,"")</f>
        <v/>
      </c>
      <c r="AH60" s="244">
        <f>IF(AND(INDEX('Roster Summary'!$U$31:$U$180,59)=1,LEFT(Grid!AT61,6)="Travel"),11*1000+59,"")</f>
        <v/>
      </c>
      <c r="AI60" s="244">
        <f>IF(AND(INDEX('Roster Summary'!$U$31:$U$180,59)=1,LEFT(Grid!AU61,6)="Travel"),12*1000+59,"")</f>
        <v/>
      </c>
      <c r="AJ60" s="244">
        <f>IF(AND(INDEX('Roster Summary'!$U$31:$U$180,59)=1,LEFT(Grid!AV61,6)="Travel"),13*1000+59,"")</f>
        <v/>
      </c>
      <c r="AX60" s="244">
        <f>LOWER(TRIM('BHP Site Access'!B60&amp;"")&amp;"|"&amp;TRIM('BHP Site Access'!C60&amp;""))</f>
        <v/>
      </c>
      <c r="BB60" s="244">
        <f>IF('INPUT - Bookings'!$B60="",0,IF(AND(OR(Dashboard!$D$9="All",TRIM('INPUT - Bookings'!$C60)=Dashboard!$D$9),OR(Dashboard!$J$9="All",TRIM('INPUT - Bookings'!$D60)=Dashboard!$J$9)),1,0))</f>
        <v/>
      </c>
      <c r="BC60" s="244">
        <f>IF(AND(BB60=1,ISNUMBER('INPUT - Bookings'!$E60),'INPUT - Bookings'!$E60&gt;=Settings!$C$8,'INPUT - Bookings'!$E60&lt;=Settings!$C$8+14,IFERROR(INDEX(Settings!$Q$14:$Q$24,MATCH('INPUT - Bookings'!$G60,Settings!$P$14:$P$24,0)),"Yes")="Yes"),'INPUT - Bookings'!$E60+ROW()/100000,"")</f>
        <v/>
      </c>
    </row>
    <row r="61">
      <c r="T61" s="244">
        <f>TEXT(INDEX('Camp Summary'!$C$4:$SF$4,414),"dd-mmm-yy")</f>
        <v/>
      </c>
      <c r="U61" s="244">
        <f>MAX(INDEX('Camp Summary'!$C$19:$SF$19,414):INDEX('Camp Summary'!$C$19:$SF$19,420))</f>
        <v/>
      </c>
      <c r="W61" s="244">
        <f>IF(AND(INDEX('Roster Summary'!$U$31:$U$180,60)=1,LEFT(Grid!AI62,6)="Travel"),0*1000+60,"")</f>
        <v/>
      </c>
      <c r="X61" s="244">
        <f>IF(AND(INDEX('Roster Summary'!$U$31:$U$180,60)=1,LEFT(Grid!AJ62,6)="Travel"),1*1000+60,"")</f>
        <v/>
      </c>
      <c r="Y61" s="244">
        <f>IF(AND(INDEX('Roster Summary'!$U$31:$U$180,60)=1,LEFT(Grid!AK62,6)="Travel"),2*1000+60,"")</f>
        <v/>
      </c>
      <c r="Z61" s="244">
        <f>IF(AND(INDEX('Roster Summary'!$U$31:$U$180,60)=1,LEFT(Grid!AL62,6)="Travel"),3*1000+60,"")</f>
        <v/>
      </c>
      <c r="AA61" s="244">
        <f>IF(AND(INDEX('Roster Summary'!$U$31:$U$180,60)=1,LEFT(Grid!AM62,6)="Travel"),4*1000+60,"")</f>
        <v/>
      </c>
      <c r="AB61" s="244">
        <f>IF(AND(INDEX('Roster Summary'!$U$31:$U$180,60)=1,LEFT(Grid!AN62,6)="Travel"),5*1000+60,"")</f>
        <v/>
      </c>
      <c r="AC61" s="244">
        <f>IF(AND(INDEX('Roster Summary'!$U$31:$U$180,60)=1,LEFT(Grid!AO62,6)="Travel"),6*1000+60,"")</f>
        <v/>
      </c>
      <c r="AD61" s="244">
        <f>IF(AND(INDEX('Roster Summary'!$U$31:$U$180,60)=1,LEFT(Grid!AP62,6)="Travel"),7*1000+60,"")</f>
        <v/>
      </c>
      <c r="AE61" s="244">
        <f>IF(AND(INDEX('Roster Summary'!$U$31:$U$180,60)=1,LEFT(Grid!AQ62,6)="Travel"),8*1000+60,"")</f>
        <v/>
      </c>
      <c r="AF61" s="244">
        <f>IF(AND(INDEX('Roster Summary'!$U$31:$U$180,60)=1,LEFT(Grid!AR62,6)="Travel"),9*1000+60,"")</f>
        <v/>
      </c>
      <c r="AG61" s="244">
        <f>IF(AND(INDEX('Roster Summary'!$U$31:$U$180,60)=1,LEFT(Grid!AS62,6)="Travel"),10*1000+60,"")</f>
        <v/>
      </c>
      <c r="AH61" s="244">
        <f>IF(AND(INDEX('Roster Summary'!$U$31:$U$180,60)=1,LEFT(Grid!AT62,6)="Travel"),11*1000+60,"")</f>
        <v/>
      </c>
      <c r="AI61" s="244">
        <f>IF(AND(INDEX('Roster Summary'!$U$31:$U$180,60)=1,LEFT(Grid!AU62,6)="Travel"),12*1000+60,"")</f>
        <v/>
      </c>
      <c r="AJ61" s="244">
        <f>IF(AND(INDEX('Roster Summary'!$U$31:$U$180,60)=1,LEFT(Grid!AV62,6)="Travel"),13*1000+60,"")</f>
        <v/>
      </c>
      <c r="AX61" s="244">
        <f>LOWER(TRIM('BHP Site Access'!B61&amp;"")&amp;"|"&amp;TRIM('BHP Site Access'!C61&amp;""))</f>
        <v/>
      </c>
      <c r="BB61" s="244">
        <f>IF('INPUT - Bookings'!$B61="",0,IF(AND(OR(Dashboard!$D$9="All",TRIM('INPUT - Bookings'!$C61)=Dashboard!$D$9),OR(Dashboard!$J$9="All",TRIM('INPUT - Bookings'!$D61)=Dashboard!$J$9)),1,0))</f>
        <v/>
      </c>
      <c r="BC61" s="244">
        <f>IF(AND(BB61=1,ISNUMBER('INPUT - Bookings'!$E61),'INPUT - Bookings'!$E61&gt;=Settings!$C$8,'INPUT - Bookings'!$E61&lt;=Settings!$C$8+14,IFERROR(INDEX(Settings!$Q$14:$Q$24,MATCH('INPUT - Bookings'!$G61,Settings!$P$14:$P$24,0)),"Yes")="Yes"),'INPUT - Bookings'!$E61+ROW()/100000,"")</f>
        <v/>
      </c>
    </row>
    <row r="62">
      <c r="T62" s="244">
        <f>TEXT(INDEX('Camp Summary'!$C$4:$SF$4,421),"dd-mmm-yy")</f>
        <v/>
      </c>
      <c r="U62" s="244">
        <f>MAX(INDEX('Camp Summary'!$C$19:$SF$19,421):INDEX('Camp Summary'!$C$19:$SF$19,427))</f>
        <v/>
      </c>
      <c r="W62" s="244">
        <f>IF(AND(INDEX('Roster Summary'!$U$31:$U$180,61)=1,LEFT(Grid!AI63,6)="Travel"),0*1000+61,"")</f>
        <v/>
      </c>
      <c r="X62" s="244">
        <f>IF(AND(INDEX('Roster Summary'!$U$31:$U$180,61)=1,LEFT(Grid!AJ63,6)="Travel"),1*1000+61,"")</f>
        <v/>
      </c>
      <c r="Y62" s="244">
        <f>IF(AND(INDEX('Roster Summary'!$U$31:$U$180,61)=1,LEFT(Grid!AK63,6)="Travel"),2*1000+61,"")</f>
        <v/>
      </c>
      <c r="Z62" s="244">
        <f>IF(AND(INDEX('Roster Summary'!$U$31:$U$180,61)=1,LEFT(Grid!AL63,6)="Travel"),3*1000+61,"")</f>
        <v/>
      </c>
      <c r="AA62" s="244">
        <f>IF(AND(INDEX('Roster Summary'!$U$31:$U$180,61)=1,LEFT(Grid!AM63,6)="Travel"),4*1000+61,"")</f>
        <v/>
      </c>
      <c r="AB62" s="244">
        <f>IF(AND(INDEX('Roster Summary'!$U$31:$U$180,61)=1,LEFT(Grid!AN63,6)="Travel"),5*1000+61,"")</f>
        <v/>
      </c>
      <c r="AC62" s="244">
        <f>IF(AND(INDEX('Roster Summary'!$U$31:$U$180,61)=1,LEFT(Grid!AO63,6)="Travel"),6*1000+61,"")</f>
        <v/>
      </c>
      <c r="AD62" s="244">
        <f>IF(AND(INDEX('Roster Summary'!$U$31:$U$180,61)=1,LEFT(Grid!AP63,6)="Travel"),7*1000+61,"")</f>
        <v/>
      </c>
      <c r="AE62" s="244">
        <f>IF(AND(INDEX('Roster Summary'!$U$31:$U$180,61)=1,LEFT(Grid!AQ63,6)="Travel"),8*1000+61,"")</f>
        <v/>
      </c>
      <c r="AF62" s="244">
        <f>IF(AND(INDEX('Roster Summary'!$U$31:$U$180,61)=1,LEFT(Grid!AR63,6)="Travel"),9*1000+61,"")</f>
        <v/>
      </c>
      <c r="AG62" s="244">
        <f>IF(AND(INDEX('Roster Summary'!$U$31:$U$180,61)=1,LEFT(Grid!AS63,6)="Travel"),10*1000+61,"")</f>
        <v/>
      </c>
      <c r="AH62" s="244">
        <f>IF(AND(INDEX('Roster Summary'!$U$31:$U$180,61)=1,LEFT(Grid!AT63,6)="Travel"),11*1000+61,"")</f>
        <v/>
      </c>
      <c r="AI62" s="244">
        <f>IF(AND(INDEX('Roster Summary'!$U$31:$U$180,61)=1,LEFT(Grid!AU63,6)="Travel"),12*1000+61,"")</f>
        <v/>
      </c>
      <c r="AJ62" s="244">
        <f>IF(AND(INDEX('Roster Summary'!$U$31:$U$180,61)=1,LEFT(Grid!AV63,6)="Travel"),13*1000+61,"")</f>
        <v/>
      </c>
      <c r="AX62" s="244">
        <f>LOWER(TRIM('BHP Site Access'!B62&amp;"")&amp;"|"&amp;TRIM('BHP Site Access'!C62&amp;""))</f>
        <v/>
      </c>
      <c r="BB62" s="244">
        <f>IF('INPUT - Bookings'!$B62="",0,IF(AND(OR(Dashboard!$D$9="All",TRIM('INPUT - Bookings'!$C62)=Dashboard!$D$9),OR(Dashboard!$J$9="All",TRIM('INPUT - Bookings'!$D62)=Dashboard!$J$9)),1,0))</f>
        <v/>
      </c>
      <c r="BC62" s="244">
        <f>IF(AND(BB62=1,ISNUMBER('INPUT - Bookings'!$E62),'INPUT - Bookings'!$E62&gt;=Settings!$C$8,'INPUT - Bookings'!$E62&lt;=Settings!$C$8+14,IFERROR(INDEX(Settings!$Q$14:$Q$24,MATCH('INPUT - Bookings'!$G62,Settings!$P$14:$P$24,0)),"Yes")="Yes"),'INPUT - Bookings'!$E62+ROW()/100000,"")</f>
        <v/>
      </c>
    </row>
    <row r="63">
      <c r="T63" s="244">
        <f>TEXT(INDEX('Camp Summary'!$C$4:$SF$4,428),"dd-mmm-yy")</f>
        <v/>
      </c>
      <c r="U63" s="244">
        <f>MAX(INDEX('Camp Summary'!$C$19:$SF$19,428):INDEX('Camp Summary'!$C$19:$SF$19,434))</f>
        <v/>
      </c>
      <c r="W63" s="244">
        <f>IF(AND(INDEX('Roster Summary'!$U$31:$U$180,62)=1,LEFT(Grid!AI64,6)="Travel"),0*1000+62,"")</f>
        <v/>
      </c>
      <c r="X63" s="244">
        <f>IF(AND(INDEX('Roster Summary'!$U$31:$U$180,62)=1,LEFT(Grid!AJ64,6)="Travel"),1*1000+62,"")</f>
        <v/>
      </c>
      <c r="Y63" s="244">
        <f>IF(AND(INDEX('Roster Summary'!$U$31:$U$180,62)=1,LEFT(Grid!AK64,6)="Travel"),2*1000+62,"")</f>
        <v/>
      </c>
      <c r="Z63" s="244">
        <f>IF(AND(INDEX('Roster Summary'!$U$31:$U$180,62)=1,LEFT(Grid!AL64,6)="Travel"),3*1000+62,"")</f>
        <v/>
      </c>
      <c r="AA63" s="244">
        <f>IF(AND(INDEX('Roster Summary'!$U$31:$U$180,62)=1,LEFT(Grid!AM64,6)="Travel"),4*1000+62,"")</f>
        <v/>
      </c>
      <c r="AB63" s="244">
        <f>IF(AND(INDEX('Roster Summary'!$U$31:$U$180,62)=1,LEFT(Grid!AN64,6)="Travel"),5*1000+62,"")</f>
        <v/>
      </c>
      <c r="AC63" s="244">
        <f>IF(AND(INDEX('Roster Summary'!$U$31:$U$180,62)=1,LEFT(Grid!AO64,6)="Travel"),6*1000+62,"")</f>
        <v/>
      </c>
      <c r="AD63" s="244">
        <f>IF(AND(INDEX('Roster Summary'!$U$31:$U$180,62)=1,LEFT(Grid!AP64,6)="Travel"),7*1000+62,"")</f>
        <v/>
      </c>
      <c r="AE63" s="244">
        <f>IF(AND(INDEX('Roster Summary'!$U$31:$U$180,62)=1,LEFT(Grid!AQ64,6)="Travel"),8*1000+62,"")</f>
        <v/>
      </c>
      <c r="AF63" s="244">
        <f>IF(AND(INDEX('Roster Summary'!$U$31:$U$180,62)=1,LEFT(Grid!AR64,6)="Travel"),9*1000+62,"")</f>
        <v/>
      </c>
      <c r="AG63" s="244">
        <f>IF(AND(INDEX('Roster Summary'!$U$31:$U$180,62)=1,LEFT(Grid!AS64,6)="Travel"),10*1000+62,"")</f>
        <v/>
      </c>
      <c r="AH63" s="244">
        <f>IF(AND(INDEX('Roster Summary'!$U$31:$U$180,62)=1,LEFT(Grid!AT64,6)="Travel"),11*1000+62,"")</f>
        <v/>
      </c>
      <c r="AI63" s="244">
        <f>IF(AND(INDEX('Roster Summary'!$U$31:$U$180,62)=1,LEFT(Grid!AU64,6)="Travel"),12*1000+62,"")</f>
        <v/>
      </c>
      <c r="AJ63" s="244">
        <f>IF(AND(INDEX('Roster Summary'!$U$31:$U$180,62)=1,LEFT(Grid!AV64,6)="Travel"),13*1000+62,"")</f>
        <v/>
      </c>
      <c r="AX63" s="244">
        <f>LOWER(TRIM('BHP Site Access'!B63&amp;"")&amp;"|"&amp;TRIM('BHP Site Access'!C63&amp;""))</f>
        <v/>
      </c>
      <c r="BB63" s="244">
        <f>IF('INPUT - Bookings'!$B63="",0,IF(AND(OR(Dashboard!$D$9="All",TRIM('INPUT - Bookings'!$C63)=Dashboard!$D$9),OR(Dashboard!$J$9="All",TRIM('INPUT - Bookings'!$D63)=Dashboard!$J$9)),1,0))</f>
        <v/>
      </c>
      <c r="BC63" s="244">
        <f>IF(AND(BB63=1,ISNUMBER('INPUT - Bookings'!$E63),'INPUT - Bookings'!$E63&gt;=Settings!$C$8,'INPUT - Bookings'!$E63&lt;=Settings!$C$8+14,IFERROR(INDEX(Settings!$Q$14:$Q$24,MATCH('INPUT - Bookings'!$G63,Settings!$P$14:$P$24,0)),"Yes")="Yes"),'INPUT - Bookings'!$E63+ROW()/100000,"")</f>
        <v/>
      </c>
    </row>
    <row r="64">
      <c r="T64" s="244">
        <f>TEXT(INDEX('Camp Summary'!$C$4:$SF$4,435),"dd-mmm-yy")</f>
        <v/>
      </c>
      <c r="U64" s="244">
        <f>MAX(INDEX('Camp Summary'!$C$19:$SF$19,435):INDEX('Camp Summary'!$C$19:$SF$19,441))</f>
        <v/>
      </c>
      <c r="W64" s="244">
        <f>IF(AND(INDEX('Roster Summary'!$U$31:$U$180,63)=1,LEFT(Grid!AI65,6)="Travel"),0*1000+63,"")</f>
        <v/>
      </c>
      <c r="X64" s="244">
        <f>IF(AND(INDEX('Roster Summary'!$U$31:$U$180,63)=1,LEFT(Grid!AJ65,6)="Travel"),1*1000+63,"")</f>
        <v/>
      </c>
      <c r="Y64" s="244">
        <f>IF(AND(INDEX('Roster Summary'!$U$31:$U$180,63)=1,LEFT(Grid!AK65,6)="Travel"),2*1000+63,"")</f>
        <v/>
      </c>
      <c r="Z64" s="244">
        <f>IF(AND(INDEX('Roster Summary'!$U$31:$U$180,63)=1,LEFT(Grid!AL65,6)="Travel"),3*1000+63,"")</f>
        <v/>
      </c>
      <c r="AA64" s="244">
        <f>IF(AND(INDEX('Roster Summary'!$U$31:$U$180,63)=1,LEFT(Grid!AM65,6)="Travel"),4*1000+63,"")</f>
        <v/>
      </c>
      <c r="AB64" s="244">
        <f>IF(AND(INDEX('Roster Summary'!$U$31:$U$180,63)=1,LEFT(Grid!AN65,6)="Travel"),5*1000+63,"")</f>
        <v/>
      </c>
      <c r="AC64" s="244">
        <f>IF(AND(INDEX('Roster Summary'!$U$31:$U$180,63)=1,LEFT(Grid!AO65,6)="Travel"),6*1000+63,"")</f>
        <v/>
      </c>
      <c r="AD64" s="244">
        <f>IF(AND(INDEX('Roster Summary'!$U$31:$U$180,63)=1,LEFT(Grid!AP65,6)="Travel"),7*1000+63,"")</f>
        <v/>
      </c>
      <c r="AE64" s="244">
        <f>IF(AND(INDEX('Roster Summary'!$U$31:$U$180,63)=1,LEFT(Grid!AQ65,6)="Travel"),8*1000+63,"")</f>
        <v/>
      </c>
      <c r="AF64" s="244">
        <f>IF(AND(INDEX('Roster Summary'!$U$31:$U$180,63)=1,LEFT(Grid!AR65,6)="Travel"),9*1000+63,"")</f>
        <v/>
      </c>
      <c r="AG64" s="244">
        <f>IF(AND(INDEX('Roster Summary'!$U$31:$U$180,63)=1,LEFT(Grid!AS65,6)="Travel"),10*1000+63,"")</f>
        <v/>
      </c>
      <c r="AH64" s="244">
        <f>IF(AND(INDEX('Roster Summary'!$U$31:$U$180,63)=1,LEFT(Grid!AT65,6)="Travel"),11*1000+63,"")</f>
        <v/>
      </c>
      <c r="AI64" s="244">
        <f>IF(AND(INDEX('Roster Summary'!$U$31:$U$180,63)=1,LEFT(Grid!AU65,6)="Travel"),12*1000+63,"")</f>
        <v/>
      </c>
      <c r="AJ64" s="244">
        <f>IF(AND(INDEX('Roster Summary'!$U$31:$U$180,63)=1,LEFT(Grid!AV65,6)="Travel"),13*1000+63,"")</f>
        <v/>
      </c>
      <c r="AX64" s="244">
        <f>LOWER(TRIM('BHP Site Access'!B64&amp;"")&amp;"|"&amp;TRIM('BHP Site Access'!C64&amp;""))</f>
        <v/>
      </c>
      <c r="BB64" s="244">
        <f>IF('INPUT - Bookings'!$B64="",0,IF(AND(OR(Dashboard!$D$9="All",TRIM('INPUT - Bookings'!$C64)=Dashboard!$D$9),OR(Dashboard!$J$9="All",TRIM('INPUT - Bookings'!$D64)=Dashboard!$J$9)),1,0))</f>
        <v/>
      </c>
      <c r="BC64" s="244">
        <f>IF(AND(BB64=1,ISNUMBER('INPUT - Bookings'!$E64),'INPUT - Bookings'!$E64&gt;=Settings!$C$8,'INPUT - Bookings'!$E64&lt;=Settings!$C$8+14,IFERROR(INDEX(Settings!$Q$14:$Q$24,MATCH('INPUT - Bookings'!$G64,Settings!$P$14:$P$24,0)),"Yes")="Yes"),'INPUT - Bookings'!$E64+ROW()/100000,"")</f>
        <v/>
      </c>
    </row>
    <row r="65">
      <c r="T65" s="244">
        <f>TEXT(INDEX('Camp Summary'!$C$4:$SF$4,442),"dd-mmm-yy")</f>
        <v/>
      </c>
      <c r="U65" s="244">
        <f>MAX(INDEX('Camp Summary'!$C$19:$SF$19,442):INDEX('Camp Summary'!$C$19:$SF$19,448))</f>
        <v/>
      </c>
      <c r="W65" s="244">
        <f>IF(AND(INDEX('Roster Summary'!$U$31:$U$180,64)=1,LEFT(Grid!AI66,6)="Travel"),0*1000+64,"")</f>
        <v/>
      </c>
      <c r="X65" s="244">
        <f>IF(AND(INDEX('Roster Summary'!$U$31:$U$180,64)=1,LEFT(Grid!AJ66,6)="Travel"),1*1000+64,"")</f>
        <v/>
      </c>
      <c r="Y65" s="244">
        <f>IF(AND(INDEX('Roster Summary'!$U$31:$U$180,64)=1,LEFT(Grid!AK66,6)="Travel"),2*1000+64,"")</f>
        <v/>
      </c>
      <c r="Z65" s="244">
        <f>IF(AND(INDEX('Roster Summary'!$U$31:$U$180,64)=1,LEFT(Grid!AL66,6)="Travel"),3*1000+64,"")</f>
        <v/>
      </c>
      <c r="AA65" s="244">
        <f>IF(AND(INDEX('Roster Summary'!$U$31:$U$180,64)=1,LEFT(Grid!AM66,6)="Travel"),4*1000+64,"")</f>
        <v/>
      </c>
      <c r="AB65" s="244">
        <f>IF(AND(INDEX('Roster Summary'!$U$31:$U$180,64)=1,LEFT(Grid!AN66,6)="Travel"),5*1000+64,"")</f>
        <v/>
      </c>
      <c r="AC65" s="244">
        <f>IF(AND(INDEX('Roster Summary'!$U$31:$U$180,64)=1,LEFT(Grid!AO66,6)="Travel"),6*1000+64,"")</f>
        <v/>
      </c>
      <c r="AD65" s="244">
        <f>IF(AND(INDEX('Roster Summary'!$U$31:$U$180,64)=1,LEFT(Grid!AP66,6)="Travel"),7*1000+64,"")</f>
        <v/>
      </c>
      <c r="AE65" s="244">
        <f>IF(AND(INDEX('Roster Summary'!$U$31:$U$180,64)=1,LEFT(Grid!AQ66,6)="Travel"),8*1000+64,"")</f>
        <v/>
      </c>
      <c r="AF65" s="244">
        <f>IF(AND(INDEX('Roster Summary'!$U$31:$U$180,64)=1,LEFT(Grid!AR66,6)="Travel"),9*1000+64,"")</f>
        <v/>
      </c>
      <c r="AG65" s="244">
        <f>IF(AND(INDEX('Roster Summary'!$U$31:$U$180,64)=1,LEFT(Grid!AS66,6)="Travel"),10*1000+64,"")</f>
        <v/>
      </c>
      <c r="AH65" s="244">
        <f>IF(AND(INDEX('Roster Summary'!$U$31:$U$180,64)=1,LEFT(Grid!AT66,6)="Travel"),11*1000+64,"")</f>
        <v/>
      </c>
      <c r="AI65" s="244">
        <f>IF(AND(INDEX('Roster Summary'!$U$31:$U$180,64)=1,LEFT(Grid!AU66,6)="Travel"),12*1000+64,"")</f>
        <v/>
      </c>
      <c r="AJ65" s="244">
        <f>IF(AND(INDEX('Roster Summary'!$U$31:$U$180,64)=1,LEFT(Grid!AV66,6)="Travel"),13*1000+64,"")</f>
        <v/>
      </c>
      <c r="AX65" s="244">
        <f>LOWER(TRIM('BHP Site Access'!B65&amp;"")&amp;"|"&amp;TRIM('BHP Site Access'!C65&amp;""))</f>
        <v/>
      </c>
      <c r="BB65" s="244">
        <f>IF('INPUT - Bookings'!$B65="",0,IF(AND(OR(Dashboard!$D$9="All",TRIM('INPUT - Bookings'!$C65)=Dashboard!$D$9),OR(Dashboard!$J$9="All",TRIM('INPUT - Bookings'!$D65)=Dashboard!$J$9)),1,0))</f>
        <v/>
      </c>
      <c r="BC65" s="244">
        <f>IF(AND(BB65=1,ISNUMBER('INPUT - Bookings'!$E65),'INPUT - Bookings'!$E65&gt;=Settings!$C$8,'INPUT - Bookings'!$E65&lt;=Settings!$C$8+14,IFERROR(INDEX(Settings!$Q$14:$Q$24,MATCH('INPUT - Bookings'!$G65,Settings!$P$14:$P$24,0)),"Yes")="Yes"),'INPUT - Bookings'!$E65+ROW()/100000,"")</f>
        <v/>
      </c>
    </row>
    <row r="66">
      <c r="T66" s="244">
        <f>TEXT(INDEX('Camp Summary'!$C$4:$SF$4,449),"dd-mmm-yy")</f>
        <v/>
      </c>
      <c r="U66" s="244">
        <f>MAX(INDEX('Camp Summary'!$C$19:$SF$19,449):INDEX('Camp Summary'!$C$19:$SF$19,455))</f>
        <v/>
      </c>
      <c r="W66" s="244">
        <f>IF(AND(INDEX('Roster Summary'!$U$31:$U$180,65)=1,LEFT(Grid!AI67,6)="Travel"),0*1000+65,"")</f>
        <v/>
      </c>
      <c r="X66" s="244">
        <f>IF(AND(INDEX('Roster Summary'!$U$31:$U$180,65)=1,LEFT(Grid!AJ67,6)="Travel"),1*1000+65,"")</f>
        <v/>
      </c>
      <c r="Y66" s="244">
        <f>IF(AND(INDEX('Roster Summary'!$U$31:$U$180,65)=1,LEFT(Grid!AK67,6)="Travel"),2*1000+65,"")</f>
        <v/>
      </c>
      <c r="Z66" s="244">
        <f>IF(AND(INDEX('Roster Summary'!$U$31:$U$180,65)=1,LEFT(Grid!AL67,6)="Travel"),3*1000+65,"")</f>
        <v/>
      </c>
      <c r="AA66" s="244">
        <f>IF(AND(INDEX('Roster Summary'!$U$31:$U$180,65)=1,LEFT(Grid!AM67,6)="Travel"),4*1000+65,"")</f>
        <v/>
      </c>
      <c r="AB66" s="244">
        <f>IF(AND(INDEX('Roster Summary'!$U$31:$U$180,65)=1,LEFT(Grid!AN67,6)="Travel"),5*1000+65,"")</f>
        <v/>
      </c>
      <c r="AC66" s="244">
        <f>IF(AND(INDEX('Roster Summary'!$U$31:$U$180,65)=1,LEFT(Grid!AO67,6)="Travel"),6*1000+65,"")</f>
        <v/>
      </c>
      <c r="AD66" s="244">
        <f>IF(AND(INDEX('Roster Summary'!$U$31:$U$180,65)=1,LEFT(Grid!AP67,6)="Travel"),7*1000+65,"")</f>
        <v/>
      </c>
      <c r="AE66" s="244">
        <f>IF(AND(INDEX('Roster Summary'!$U$31:$U$180,65)=1,LEFT(Grid!AQ67,6)="Travel"),8*1000+65,"")</f>
        <v/>
      </c>
      <c r="AF66" s="244">
        <f>IF(AND(INDEX('Roster Summary'!$U$31:$U$180,65)=1,LEFT(Grid!AR67,6)="Travel"),9*1000+65,"")</f>
        <v/>
      </c>
      <c r="AG66" s="244">
        <f>IF(AND(INDEX('Roster Summary'!$U$31:$U$180,65)=1,LEFT(Grid!AS67,6)="Travel"),10*1000+65,"")</f>
        <v/>
      </c>
      <c r="AH66" s="244">
        <f>IF(AND(INDEX('Roster Summary'!$U$31:$U$180,65)=1,LEFT(Grid!AT67,6)="Travel"),11*1000+65,"")</f>
        <v/>
      </c>
      <c r="AI66" s="244">
        <f>IF(AND(INDEX('Roster Summary'!$U$31:$U$180,65)=1,LEFT(Grid!AU67,6)="Travel"),12*1000+65,"")</f>
        <v/>
      </c>
      <c r="AJ66" s="244">
        <f>IF(AND(INDEX('Roster Summary'!$U$31:$U$180,65)=1,LEFT(Grid!AV67,6)="Travel"),13*1000+65,"")</f>
        <v/>
      </c>
      <c r="AX66" s="244">
        <f>LOWER(TRIM('BHP Site Access'!B66&amp;"")&amp;"|"&amp;TRIM('BHP Site Access'!C66&amp;""))</f>
        <v/>
      </c>
      <c r="BB66" s="244">
        <f>IF('INPUT - Bookings'!$B66="",0,IF(AND(OR(Dashboard!$D$9="All",TRIM('INPUT - Bookings'!$C66)=Dashboard!$D$9),OR(Dashboard!$J$9="All",TRIM('INPUT - Bookings'!$D66)=Dashboard!$J$9)),1,0))</f>
        <v/>
      </c>
      <c r="BC66" s="244">
        <f>IF(AND(BB66=1,ISNUMBER('INPUT - Bookings'!$E66),'INPUT - Bookings'!$E66&gt;=Settings!$C$8,'INPUT - Bookings'!$E66&lt;=Settings!$C$8+14,IFERROR(INDEX(Settings!$Q$14:$Q$24,MATCH('INPUT - Bookings'!$G66,Settings!$P$14:$P$24,0)),"Yes")="Yes"),'INPUT - Bookings'!$E66+ROW()/100000,"")</f>
        <v/>
      </c>
    </row>
    <row r="67">
      <c r="T67" s="244">
        <f>TEXT(INDEX('Camp Summary'!$C$4:$SF$4,456),"dd-mmm-yy")</f>
        <v/>
      </c>
      <c r="U67" s="244">
        <f>MAX(INDEX('Camp Summary'!$C$19:$SF$19,456):INDEX('Camp Summary'!$C$19:$SF$19,462))</f>
        <v/>
      </c>
      <c r="W67" s="244">
        <f>IF(AND(INDEX('Roster Summary'!$U$31:$U$180,66)=1,LEFT(Grid!AI68,6)="Travel"),0*1000+66,"")</f>
        <v/>
      </c>
      <c r="X67" s="244">
        <f>IF(AND(INDEX('Roster Summary'!$U$31:$U$180,66)=1,LEFT(Grid!AJ68,6)="Travel"),1*1000+66,"")</f>
        <v/>
      </c>
      <c r="Y67" s="244">
        <f>IF(AND(INDEX('Roster Summary'!$U$31:$U$180,66)=1,LEFT(Grid!AK68,6)="Travel"),2*1000+66,"")</f>
        <v/>
      </c>
      <c r="Z67" s="244">
        <f>IF(AND(INDEX('Roster Summary'!$U$31:$U$180,66)=1,LEFT(Grid!AL68,6)="Travel"),3*1000+66,"")</f>
        <v/>
      </c>
      <c r="AA67" s="244">
        <f>IF(AND(INDEX('Roster Summary'!$U$31:$U$180,66)=1,LEFT(Grid!AM68,6)="Travel"),4*1000+66,"")</f>
        <v/>
      </c>
      <c r="AB67" s="244">
        <f>IF(AND(INDEX('Roster Summary'!$U$31:$U$180,66)=1,LEFT(Grid!AN68,6)="Travel"),5*1000+66,"")</f>
        <v/>
      </c>
      <c r="AC67" s="244">
        <f>IF(AND(INDEX('Roster Summary'!$U$31:$U$180,66)=1,LEFT(Grid!AO68,6)="Travel"),6*1000+66,"")</f>
        <v/>
      </c>
      <c r="AD67" s="244">
        <f>IF(AND(INDEX('Roster Summary'!$U$31:$U$180,66)=1,LEFT(Grid!AP68,6)="Travel"),7*1000+66,"")</f>
        <v/>
      </c>
      <c r="AE67" s="244">
        <f>IF(AND(INDEX('Roster Summary'!$U$31:$U$180,66)=1,LEFT(Grid!AQ68,6)="Travel"),8*1000+66,"")</f>
        <v/>
      </c>
      <c r="AF67" s="244">
        <f>IF(AND(INDEX('Roster Summary'!$U$31:$U$180,66)=1,LEFT(Grid!AR68,6)="Travel"),9*1000+66,"")</f>
        <v/>
      </c>
      <c r="AG67" s="244">
        <f>IF(AND(INDEX('Roster Summary'!$U$31:$U$180,66)=1,LEFT(Grid!AS68,6)="Travel"),10*1000+66,"")</f>
        <v/>
      </c>
      <c r="AH67" s="244">
        <f>IF(AND(INDEX('Roster Summary'!$U$31:$U$180,66)=1,LEFT(Grid!AT68,6)="Travel"),11*1000+66,"")</f>
        <v/>
      </c>
      <c r="AI67" s="244">
        <f>IF(AND(INDEX('Roster Summary'!$U$31:$U$180,66)=1,LEFT(Grid!AU68,6)="Travel"),12*1000+66,"")</f>
        <v/>
      </c>
      <c r="AJ67" s="244">
        <f>IF(AND(INDEX('Roster Summary'!$U$31:$U$180,66)=1,LEFT(Grid!AV68,6)="Travel"),13*1000+66,"")</f>
        <v/>
      </c>
      <c r="AX67" s="244">
        <f>LOWER(TRIM('BHP Site Access'!B67&amp;"")&amp;"|"&amp;TRIM('BHP Site Access'!C67&amp;""))</f>
        <v/>
      </c>
      <c r="BB67" s="244">
        <f>IF('INPUT - Bookings'!$B67="",0,IF(AND(OR(Dashboard!$D$9="All",TRIM('INPUT - Bookings'!$C67)=Dashboard!$D$9),OR(Dashboard!$J$9="All",TRIM('INPUT - Bookings'!$D67)=Dashboard!$J$9)),1,0))</f>
        <v/>
      </c>
      <c r="BC67" s="244">
        <f>IF(AND(BB67=1,ISNUMBER('INPUT - Bookings'!$E67),'INPUT - Bookings'!$E67&gt;=Settings!$C$8,'INPUT - Bookings'!$E67&lt;=Settings!$C$8+14,IFERROR(INDEX(Settings!$Q$14:$Q$24,MATCH('INPUT - Bookings'!$G67,Settings!$P$14:$P$24,0)),"Yes")="Yes"),'INPUT - Bookings'!$E67+ROW()/100000,"")</f>
        <v/>
      </c>
    </row>
    <row r="68">
      <c r="T68" s="244">
        <f>TEXT(INDEX('Camp Summary'!$C$4:$SF$4,463),"dd-mmm-yy")</f>
        <v/>
      </c>
      <c r="U68" s="244">
        <f>MAX(INDEX('Camp Summary'!$C$19:$SF$19,463):INDEX('Camp Summary'!$C$19:$SF$19,469))</f>
        <v/>
      </c>
      <c r="W68" s="244">
        <f>IF(AND(INDEX('Roster Summary'!$U$31:$U$180,67)=1,LEFT(Grid!AI69,6)="Travel"),0*1000+67,"")</f>
        <v/>
      </c>
      <c r="X68" s="244">
        <f>IF(AND(INDEX('Roster Summary'!$U$31:$U$180,67)=1,LEFT(Grid!AJ69,6)="Travel"),1*1000+67,"")</f>
        <v/>
      </c>
      <c r="Y68" s="244">
        <f>IF(AND(INDEX('Roster Summary'!$U$31:$U$180,67)=1,LEFT(Grid!AK69,6)="Travel"),2*1000+67,"")</f>
        <v/>
      </c>
      <c r="Z68" s="244">
        <f>IF(AND(INDEX('Roster Summary'!$U$31:$U$180,67)=1,LEFT(Grid!AL69,6)="Travel"),3*1000+67,"")</f>
        <v/>
      </c>
      <c r="AA68" s="244">
        <f>IF(AND(INDEX('Roster Summary'!$U$31:$U$180,67)=1,LEFT(Grid!AM69,6)="Travel"),4*1000+67,"")</f>
        <v/>
      </c>
      <c r="AB68" s="244">
        <f>IF(AND(INDEX('Roster Summary'!$U$31:$U$180,67)=1,LEFT(Grid!AN69,6)="Travel"),5*1000+67,"")</f>
        <v/>
      </c>
      <c r="AC68" s="244">
        <f>IF(AND(INDEX('Roster Summary'!$U$31:$U$180,67)=1,LEFT(Grid!AO69,6)="Travel"),6*1000+67,"")</f>
        <v/>
      </c>
      <c r="AD68" s="244">
        <f>IF(AND(INDEX('Roster Summary'!$U$31:$U$180,67)=1,LEFT(Grid!AP69,6)="Travel"),7*1000+67,"")</f>
        <v/>
      </c>
      <c r="AE68" s="244">
        <f>IF(AND(INDEX('Roster Summary'!$U$31:$U$180,67)=1,LEFT(Grid!AQ69,6)="Travel"),8*1000+67,"")</f>
        <v/>
      </c>
      <c r="AF68" s="244">
        <f>IF(AND(INDEX('Roster Summary'!$U$31:$U$180,67)=1,LEFT(Grid!AR69,6)="Travel"),9*1000+67,"")</f>
        <v/>
      </c>
      <c r="AG68" s="244">
        <f>IF(AND(INDEX('Roster Summary'!$U$31:$U$180,67)=1,LEFT(Grid!AS69,6)="Travel"),10*1000+67,"")</f>
        <v/>
      </c>
      <c r="AH68" s="244">
        <f>IF(AND(INDEX('Roster Summary'!$U$31:$U$180,67)=1,LEFT(Grid!AT69,6)="Travel"),11*1000+67,"")</f>
        <v/>
      </c>
      <c r="AI68" s="244">
        <f>IF(AND(INDEX('Roster Summary'!$U$31:$U$180,67)=1,LEFT(Grid!AU69,6)="Travel"),12*1000+67,"")</f>
        <v/>
      </c>
      <c r="AJ68" s="244">
        <f>IF(AND(INDEX('Roster Summary'!$U$31:$U$180,67)=1,LEFT(Grid!AV69,6)="Travel"),13*1000+67,"")</f>
        <v/>
      </c>
      <c r="AX68" s="244">
        <f>LOWER(TRIM('BHP Site Access'!B68&amp;"")&amp;"|"&amp;TRIM('BHP Site Access'!C68&amp;""))</f>
        <v/>
      </c>
      <c r="BB68" s="244">
        <f>IF('INPUT - Bookings'!$B68="",0,IF(AND(OR(Dashboard!$D$9="All",TRIM('INPUT - Bookings'!$C68)=Dashboard!$D$9),OR(Dashboard!$J$9="All",TRIM('INPUT - Bookings'!$D68)=Dashboard!$J$9)),1,0))</f>
        <v/>
      </c>
      <c r="BC68" s="244">
        <f>IF(AND(BB68=1,ISNUMBER('INPUT - Bookings'!$E68),'INPUT - Bookings'!$E68&gt;=Settings!$C$8,'INPUT - Bookings'!$E68&lt;=Settings!$C$8+14,IFERROR(INDEX(Settings!$Q$14:$Q$24,MATCH('INPUT - Bookings'!$G68,Settings!$P$14:$P$24,0)),"Yes")="Yes"),'INPUT - Bookings'!$E68+ROW()/100000,"")</f>
        <v/>
      </c>
    </row>
    <row r="69">
      <c r="T69" s="244">
        <f>TEXT(INDEX('Camp Summary'!$C$4:$SF$4,470),"dd-mmm-yy")</f>
        <v/>
      </c>
      <c r="U69" s="244">
        <f>MAX(INDEX('Camp Summary'!$C$19:$SF$19,470):INDEX('Camp Summary'!$C$19:$SF$19,476))</f>
        <v/>
      </c>
      <c r="W69" s="244">
        <f>IF(AND(INDEX('Roster Summary'!$U$31:$U$180,68)=1,LEFT(Grid!AI70,6)="Travel"),0*1000+68,"")</f>
        <v/>
      </c>
      <c r="X69" s="244">
        <f>IF(AND(INDEX('Roster Summary'!$U$31:$U$180,68)=1,LEFT(Grid!AJ70,6)="Travel"),1*1000+68,"")</f>
        <v/>
      </c>
      <c r="Y69" s="244">
        <f>IF(AND(INDEX('Roster Summary'!$U$31:$U$180,68)=1,LEFT(Grid!AK70,6)="Travel"),2*1000+68,"")</f>
        <v/>
      </c>
      <c r="Z69" s="244">
        <f>IF(AND(INDEX('Roster Summary'!$U$31:$U$180,68)=1,LEFT(Grid!AL70,6)="Travel"),3*1000+68,"")</f>
        <v/>
      </c>
      <c r="AA69" s="244">
        <f>IF(AND(INDEX('Roster Summary'!$U$31:$U$180,68)=1,LEFT(Grid!AM70,6)="Travel"),4*1000+68,"")</f>
        <v/>
      </c>
      <c r="AB69" s="244">
        <f>IF(AND(INDEX('Roster Summary'!$U$31:$U$180,68)=1,LEFT(Grid!AN70,6)="Travel"),5*1000+68,"")</f>
        <v/>
      </c>
      <c r="AC69" s="244">
        <f>IF(AND(INDEX('Roster Summary'!$U$31:$U$180,68)=1,LEFT(Grid!AO70,6)="Travel"),6*1000+68,"")</f>
        <v/>
      </c>
      <c r="AD69" s="244">
        <f>IF(AND(INDEX('Roster Summary'!$U$31:$U$180,68)=1,LEFT(Grid!AP70,6)="Travel"),7*1000+68,"")</f>
        <v/>
      </c>
      <c r="AE69" s="244">
        <f>IF(AND(INDEX('Roster Summary'!$U$31:$U$180,68)=1,LEFT(Grid!AQ70,6)="Travel"),8*1000+68,"")</f>
        <v/>
      </c>
      <c r="AF69" s="244">
        <f>IF(AND(INDEX('Roster Summary'!$U$31:$U$180,68)=1,LEFT(Grid!AR70,6)="Travel"),9*1000+68,"")</f>
        <v/>
      </c>
      <c r="AG69" s="244">
        <f>IF(AND(INDEX('Roster Summary'!$U$31:$U$180,68)=1,LEFT(Grid!AS70,6)="Travel"),10*1000+68,"")</f>
        <v/>
      </c>
      <c r="AH69" s="244">
        <f>IF(AND(INDEX('Roster Summary'!$U$31:$U$180,68)=1,LEFT(Grid!AT70,6)="Travel"),11*1000+68,"")</f>
        <v/>
      </c>
      <c r="AI69" s="244">
        <f>IF(AND(INDEX('Roster Summary'!$U$31:$U$180,68)=1,LEFT(Grid!AU70,6)="Travel"),12*1000+68,"")</f>
        <v/>
      </c>
      <c r="AJ69" s="244">
        <f>IF(AND(INDEX('Roster Summary'!$U$31:$U$180,68)=1,LEFT(Grid!AV70,6)="Travel"),13*1000+68,"")</f>
        <v/>
      </c>
      <c r="AX69" s="244">
        <f>LOWER(TRIM('BHP Site Access'!B69&amp;"")&amp;"|"&amp;TRIM('BHP Site Access'!C69&amp;""))</f>
        <v/>
      </c>
      <c r="BB69" s="244">
        <f>IF('INPUT - Bookings'!$B69="",0,IF(AND(OR(Dashboard!$D$9="All",TRIM('INPUT - Bookings'!$C69)=Dashboard!$D$9),OR(Dashboard!$J$9="All",TRIM('INPUT - Bookings'!$D69)=Dashboard!$J$9)),1,0))</f>
        <v/>
      </c>
      <c r="BC69" s="244">
        <f>IF(AND(BB69=1,ISNUMBER('INPUT - Bookings'!$E69),'INPUT - Bookings'!$E69&gt;=Settings!$C$8,'INPUT - Bookings'!$E69&lt;=Settings!$C$8+14,IFERROR(INDEX(Settings!$Q$14:$Q$24,MATCH('INPUT - Bookings'!$G69,Settings!$P$14:$P$24,0)),"Yes")="Yes"),'INPUT - Bookings'!$E69+ROW()/100000,"")</f>
        <v/>
      </c>
    </row>
    <row r="70">
      <c r="T70" s="244">
        <f>TEXT(INDEX('Camp Summary'!$C$4:$SF$4,477),"dd-mmm-yy")</f>
        <v/>
      </c>
      <c r="U70" s="244">
        <f>MAX(INDEX('Camp Summary'!$C$19:$SF$19,477):INDEX('Camp Summary'!$C$19:$SF$19,483))</f>
        <v/>
      </c>
      <c r="W70" s="244">
        <f>IF(AND(INDEX('Roster Summary'!$U$31:$U$180,69)=1,LEFT(Grid!AI71,6)="Travel"),0*1000+69,"")</f>
        <v/>
      </c>
      <c r="X70" s="244">
        <f>IF(AND(INDEX('Roster Summary'!$U$31:$U$180,69)=1,LEFT(Grid!AJ71,6)="Travel"),1*1000+69,"")</f>
        <v/>
      </c>
      <c r="Y70" s="244">
        <f>IF(AND(INDEX('Roster Summary'!$U$31:$U$180,69)=1,LEFT(Grid!AK71,6)="Travel"),2*1000+69,"")</f>
        <v/>
      </c>
      <c r="Z70" s="244">
        <f>IF(AND(INDEX('Roster Summary'!$U$31:$U$180,69)=1,LEFT(Grid!AL71,6)="Travel"),3*1000+69,"")</f>
        <v/>
      </c>
      <c r="AA70" s="244">
        <f>IF(AND(INDEX('Roster Summary'!$U$31:$U$180,69)=1,LEFT(Grid!AM71,6)="Travel"),4*1000+69,"")</f>
        <v/>
      </c>
      <c r="AB70" s="244">
        <f>IF(AND(INDEX('Roster Summary'!$U$31:$U$180,69)=1,LEFT(Grid!AN71,6)="Travel"),5*1000+69,"")</f>
        <v/>
      </c>
      <c r="AC70" s="244">
        <f>IF(AND(INDEX('Roster Summary'!$U$31:$U$180,69)=1,LEFT(Grid!AO71,6)="Travel"),6*1000+69,"")</f>
        <v/>
      </c>
      <c r="AD70" s="244">
        <f>IF(AND(INDEX('Roster Summary'!$U$31:$U$180,69)=1,LEFT(Grid!AP71,6)="Travel"),7*1000+69,"")</f>
        <v/>
      </c>
      <c r="AE70" s="244">
        <f>IF(AND(INDEX('Roster Summary'!$U$31:$U$180,69)=1,LEFT(Grid!AQ71,6)="Travel"),8*1000+69,"")</f>
        <v/>
      </c>
      <c r="AF70" s="244">
        <f>IF(AND(INDEX('Roster Summary'!$U$31:$U$180,69)=1,LEFT(Grid!AR71,6)="Travel"),9*1000+69,"")</f>
        <v/>
      </c>
      <c r="AG70" s="244">
        <f>IF(AND(INDEX('Roster Summary'!$U$31:$U$180,69)=1,LEFT(Grid!AS71,6)="Travel"),10*1000+69,"")</f>
        <v/>
      </c>
      <c r="AH70" s="244">
        <f>IF(AND(INDEX('Roster Summary'!$U$31:$U$180,69)=1,LEFT(Grid!AT71,6)="Travel"),11*1000+69,"")</f>
        <v/>
      </c>
      <c r="AI70" s="244">
        <f>IF(AND(INDEX('Roster Summary'!$U$31:$U$180,69)=1,LEFT(Grid!AU71,6)="Travel"),12*1000+69,"")</f>
        <v/>
      </c>
      <c r="AJ70" s="244">
        <f>IF(AND(INDEX('Roster Summary'!$U$31:$U$180,69)=1,LEFT(Grid!AV71,6)="Travel"),13*1000+69,"")</f>
        <v/>
      </c>
      <c r="AX70" s="244">
        <f>LOWER(TRIM('BHP Site Access'!B70&amp;"")&amp;"|"&amp;TRIM('BHP Site Access'!C70&amp;""))</f>
        <v/>
      </c>
      <c r="BB70" s="244">
        <f>IF('INPUT - Bookings'!$B70="",0,IF(AND(OR(Dashboard!$D$9="All",TRIM('INPUT - Bookings'!$C70)=Dashboard!$D$9),OR(Dashboard!$J$9="All",TRIM('INPUT - Bookings'!$D70)=Dashboard!$J$9)),1,0))</f>
        <v/>
      </c>
      <c r="BC70" s="244">
        <f>IF(AND(BB70=1,ISNUMBER('INPUT - Bookings'!$E70),'INPUT - Bookings'!$E70&gt;=Settings!$C$8,'INPUT - Bookings'!$E70&lt;=Settings!$C$8+14,IFERROR(INDEX(Settings!$Q$14:$Q$24,MATCH('INPUT - Bookings'!$G70,Settings!$P$14:$P$24,0)),"Yes")="Yes"),'INPUT - Bookings'!$E70+ROW()/100000,"")</f>
        <v/>
      </c>
    </row>
    <row r="71">
      <c r="T71" s="244">
        <f>TEXT(INDEX('Camp Summary'!$C$4:$SF$4,484),"dd-mmm-yy")</f>
        <v/>
      </c>
      <c r="U71" s="244">
        <f>MAX(INDEX('Camp Summary'!$C$19:$SF$19,484):INDEX('Camp Summary'!$C$19:$SF$19,490))</f>
        <v/>
      </c>
      <c r="W71" s="244">
        <f>IF(AND(INDEX('Roster Summary'!$U$31:$U$180,70)=1,LEFT(Grid!AI72,6)="Travel"),0*1000+70,"")</f>
        <v/>
      </c>
      <c r="X71" s="244">
        <f>IF(AND(INDEX('Roster Summary'!$U$31:$U$180,70)=1,LEFT(Grid!AJ72,6)="Travel"),1*1000+70,"")</f>
        <v/>
      </c>
      <c r="Y71" s="244">
        <f>IF(AND(INDEX('Roster Summary'!$U$31:$U$180,70)=1,LEFT(Grid!AK72,6)="Travel"),2*1000+70,"")</f>
        <v/>
      </c>
      <c r="Z71" s="244">
        <f>IF(AND(INDEX('Roster Summary'!$U$31:$U$180,70)=1,LEFT(Grid!AL72,6)="Travel"),3*1000+70,"")</f>
        <v/>
      </c>
      <c r="AA71" s="244">
        <f>IF(AND(INDEX('Roster Summary'!$U$31:$U$180,70)=1,LEFT(Grid!AM72,6)="Travel"),4*1000+70,"")</f>
        <v/>
      </c>
      <c r="AB71" s="244">
        <f>IF(AND(INDEX('Roster Summary'!$U$31:$U$180,70)=1,LEFT(Grid!AN72,6)="Travel"),5*1000+70,"")</f>
        <v/>
      </c>
      <c r="AC71" s="244">
        <f>IF(AND(INDEX('Roster Summary'!$U$31:$U$180,70)=1,LEFT(Grid!AO72,6)="Travel"),6*1000+70,"")</f>
        <v/>
      </c>
      <c r="AD71" s="244">
        <f>IF(AND(INDEX('Roster Summary'!$U$31:$U$180,70)=1,LEFT(Grid!AP72,6)="Travel"),7*1000+70,"")</f>
        <v/>
      </c>
      <c r="AE71" s="244">
        <f>IF(AND(INDEX('Roster Summary'!$U$31:$U$180,70)=1,LEFT(Grid!AQ72,6)="Travel"),8*1000+70,"")</f>
        <v/>
      </c>
      <c r="AF71" s="244">
        <f>IF(AND(INDEX('Roster Summary'!$U$31:$U$180,70)=1,LEFT(Grid!AR72,6)="Travel"),9*1000+70,"")</f>
        <v/>
      </c>
      <c r="AG71" s="244">
        <f>IF(AND(INDEX('Roster Summary'!$U$31:$U$180,70)=1,LEFT(Grid!AS72,6)="Travel"),10*1000+70,"")</f>
        <v/>
      </c>
      <c r="AH71" s="244">
        <f>IF(AND(INDEX('Roster Summary'!$U$31:$U$180,70)=1,LEFT(Grid!AT72,6)="Travel"),11*1000+70,"")</f>
        <v/>
      </c>
      <c r="AI71" s="244">
        <f>IF(AND(INDEX('Roster Summary'!$U$31:$U$180,70)=1,LEFT(Grid!AU72,6)="Travel"),12*1000+70,"")</f>
        <v/>
      </c>
      <c r="AJ71" s="244">
        <f>IF(AND(INDEX('Roster Summary'!$U$31:$U$180,70)=1,LEFT(Grid!AV72,6)="Travel"),13*1000+70,"")</f>
        <v/>
      </c>
      <c r="AX71" s="244">
        <f>LOWER(TRIM('BHP Site Access'!B71&amp;"")&amp;"|"&amp;TRIM('BHP Site Access'!C71&amp;""))</f>
        <v/>
      </c>
      <c r="BB71" s="244">
        <f>IF('INPUT - Bookings'!$B71="",0,IF(AND(OR(Dashboard!$D$9="All",TRIM('INPUT - Bookings'!$C71)=Dashboard!$D$9),OR(Dashboard!$J$9="All",TRIM('INPUT - Bookings'!$D71)=Dashboard!$J$9)),1,0))</f>
        <v/>
      </c>
      <c r="BC71" s="244">
        <f>IF(AND(BB71=1,ISNUMBER('INPUT - Bookings'!$E71),'INPUT - Bookings'!$E71&gt;=Settings!$C$8,'INPUT - Bookings'!$E71&lt;=Settings!$C$8+14,IFERROR(INDEX(Settings!$Q$14:$Q$24,MATCH('INPUT - Bookings'!$G71,Settings!$P$14:$P$24,0)),"Yes")="Yes"),'INPUT - Bookings'!$E71+ROW()/100000,"")</f>
        <v/>
      </c>
    </row>
    <row r="72">
      <c r="T72" s="244">
        <f>TEXT(INDEX('Camp Summary'!$C$4:$SF$4,491),"dd-mmm-yy")</f>
        <v/>
      </c>
      <c r="U72" s="244">
        <f>MAX(INDEX('Camp Summary'!$C$19:$SF$19,491):INDEX('Camp Summary'!$C$19:$SF$19,497))</f>
        <v/>
      </c>
      <c r="W72" s="244">
        <f>IF(AND(INDEX('Roster Summary'!$U$31:$U$180,71)=1,LEFT(Grid!AI73,6)="Travel"),0*1000+71,"")</f>
        <v/>
      </c>
      <c r="X72" s="244">
        <f>IF(AND(INDEX('Roster Summary'!$U$31:$U$180,71)=1,LEFT(Grid!AJ73,6)="Travel"),1*1000+71,"")</f>
        <v/>
      </c>
      <c r="Y72" s="244">
        <f>IF(AND(INDEX('Roster Summary'!$U$31:$U$180,71)=1,LEFT(Grid!AK73,6)="Travel"),2*1000+71,"")</f>
        <v/>
      </c>
      <c r="Z72" s="244">
        <f>IF(AND(INDEX('Roster Summary'!$U$31:$U$180,71)=1,LEFT(Grid!AL73,6)="Travel"),3*1000+71,"")</f>
        <v/>
      </c>
      <c r="AA72" s="244">
        <f>IF(AND(INDEX('Roster Summary'!$U$31:$U$180,71)=1,LEFT(Grid!AM73,6)="Travel"),4*1000+71,"")</f>
        <v/>
      </c>
      <c r="AB72" s="244">
        <f>IF(AND(INDEX('Roster Summary'!$U$31:$U$180,71)=1,LEFT(Grid!AN73,6)="Travel"),5*1000+71,"")</f>
        <v/>
      </c>
      <c r="AC72" s="244">
        <f>IF(AND(INDEX('Roster Summary'!$U$31:$U$180,71)=1,LEFT(Grid!AO73,6)="Travel"),6*1000+71,"")</f>
        <v/>
      </c>
      <c r="AD72" s="244">
        <f>IF(AND(INDEX('Roster Summary'!$U$31:$U$180,71)=1,LEFT(Grid!AP73,6)="Travel"),7*1000+71,"")</f>
        <v/>
      </c>
      <c r="AE72" s="244">
        <f>IF(AND(INDEX('Roster Summary'!$U$31:$U$180,71)=1,LEFT(Grid!AQ73,6)="Travel"),8*1000+71,"")</f>
        <v/>
      </c>
      <c r="AF72" s="244">
        <f>IF(AND(INDEX('Roster Summary'!$U$31:$U$180,71)=1,LEFT(Grid!AR73,6)="Travel"),9*1000+71,"")</f>
        <v/>
      </c>
      <c r="AG72" s="244">
        <f>IF(AND(INDEX('Roster Summary'!$U$31:$U$180,71)=1,LEFT(Grid!AS73,6)="Travel"),10*1000+71,"")</f>
        <v/>
      </c>
      <c r="AH72" s="244">
        <f>IF(AND(INDEX('Roster Summary'!$U$31:$U$180,71)=1,LEFT(Grid!AT73,6)="Travel"),11*1000+71,"")</f>
        <v/>
      </c>
      <c r="AI72" s="244">
        <f>IF(AND(INDEX('Roster Summary'!$U$31:$U$180,71)=1,LEFT(Grid!AU73,6)="Travel"),12*1000+71,"")</f>
        <v/>
      </c>
      <c r="AJ72" s="244">
        <f>IF(AND(INDEX('Roster Summary'!$U$31:$U$180,71)=1,LEFT(Grid!AV73,6)="Travel"),13*1000+71,"")</f>
        <v/>
      </c>
      <c r="AX72" s="244">
        <f>LOWER(TRIM('BHP Site Access'!B72&amp;"")&amp;"|"&amp;TRIM('BHP Site Access'!C72&amp;""))</f>
        <v/>
      </c>
      <c r="BB72" s="244">
        <f>IF('INPUT - Bookings'!$B72="",0,IF(AND(OR(Dashboard!$D$9="All",TRIM('INPUT - Bookings'!$C72)=Dashboard!$D$9),OR(Dashboard!$J$9="All",TRIM('INPUT - Bookings'!$D72)=Dashboard!$J$9)),1,0))</f>
        <v/>
      </c>
      <c r="BC72" s="244">
        <f>IF(AND(BB72=1,ISNUMBER('INPUT - Bookings'!$E72),'INPUT - Bookings'!$E72&gt;=Settings!$C$8,'INPUT - Bookings'!$E72&lt;=Settings!$C$8+14,IFERROR(INDEX(Settings!$Q$14:$Q$24,MATCH('INPUT - Bookings'!$G72,Settings!$P$14:$P$24,0)),"Yes")="Yes"),'INPUT - Bookings'!$E72+ROW()/100000,"")</f>
        <v/>
      </c>
    </row>
    <row r="73">
      <c r="T73" s="244">
        <f>TEXT(INDEX('Camp Summary'!$C$4:$SF$4,498),"dd-mmm-yy")</f>
        <v/>
      </c>
      <c r="U73" s="244">
        <f>MAX(INDEX('Camp Summary'!$C$19:$SF$19,498):INDEX('Camp Summary'!$C$19:$SF$19,498))</f>
        <v/>
      </c>
      <c r="W73" s="244">
        <f>IF(AND(INDEX('Roster Summary'!$U$31:$U$180,72)=1,LEFT(Grid!AI74,6)="Travel"),0*1000+72,"")</f>
        <v/>
      </c>
      <c r="X73" s="244">
        <f>IF(AND(INDEX('Roster Summary'!$U$31:$U$180,72)=1,LEFT(Grid!AJ74,6)="Travel"),1*1000+72,"")</f>
        <v/>
      </c>
      <c r="Y73" s="244">
        <f>IF(AND(INDEX('Roster Summary'!$U$31:$U$180,72)=1,LEFT(Grid!AK74,6)="Travel"),2*1000+72,"")</f>
        <v/>
      </c>
      <c r="Z73" s="244">
        <f>IF(AND(INDEX('Roster Summary'!$U$31:$U$180,72)=1,LEFT(Grid!AL74,6)="Travel"),3*1000+72,"")</f>
        <v/>
      </c>
      <c r="AA73" s="244">
        <f>IF(AND(INDEX('Roster Summary'!$U$31:$U$180,72)=1,LEFT(Grid!AM74,6)="Travel"),4*1000+72,"")</f>
        <v/>
      </c>
      <c r="AB73" s="244">
        <f>IF(AND(INDEX('Roster Summary'!$U$31:$U$180,72)=1,LEFT(Grid!AN74,6)="Travel"),5*1000+72,"")</f>
        <v/>
      </c>
      <c r="AC73" s="244">
        <f>IF(AND(INDEX('Roster Summary'!$U$31:$U$180,72)=1,LEFT(Grid!AO74,6)="Travel"),6*1000+72,"")</f>
        <v/>
      </c>
      <c r="AD73" s="244">
        <f>IF(AND(INDEX('Roster Summary'!$U$31:$U$180,72)=1,LEFT(Grid!AP74,6)="Travel"),7*1000+72,"")</f>
        <v/>
      </c>
      <c r="AE73" s="244">
        <f>IF(AND(INDEX('Roster Summary'!$U$31:$U$180,72)=1,LEFT(Grid!AQ74,6)="Travel"),8*1000+72,"")</f>
        <v/>
      </c>
      <c r="AF73" s="244">
        <f>IF(AND(INDEX('Roster Summary'!$U$31:$U$180,72)=1,LEFT(Grid!AR74,6)="Travel"),9*1000+72,"")</f>
        <v/>
      </c>
      <c r="AG73" s="244">
        <f>IF(AND(INDEX('Roster Summary'!$U$31:$U$180,72)=1,LEFT(Grid!AS74,6)="Travel"),10*1000+72,"")</f>
        <v/>
      </c>
      <c r="AH73" s="244">
        <f>IF(AND(INDEX('Roster Summary'!$U$31:$U$180,72)=1,LEFT(Grid!AT74,6)="Travel"),11*1000+72,"")</f>
        <v/>
      </c>
      <c r="AI73" s="244">
        <f>IF(AND(INDEX('Roster Summary'!$U$31:$U$180,72)=1,LEFT(Grid!AU74,6)="Travel"),12*1000+72,"")</f>
        <v/>
      </c>
      <c r="AJ73" s="244">
        <f>IF(AND(INDEX('Roster Summary'!$U$31:$U$180,72)=1,LEFT(Grid!AV74,6)="Travel"),13*1000+72,"")</f>
        <v/>
      </c>
      <c r="AX73" s="244">
        <f>LOWER(TRIM('BHP Site Access'!B73&amp;"")&amp;"|"&amp;TRIM('BHP Site Access'!C73&amp;""))</f>
        <v/>
      </c>
      <c r="BB73" s="244">
        <f>IF('INPUT - Bookings'!$B73="",0,IF(AND(OR(Dashboard!$D$9="All",TRIM('INPUT - Bookings'!$C73)=Dashboard!$D$9),OR(Dashboard!$J$9="All",TRIM('INPUT - Bookings'!$D73)=Dashboard!$J$9)),1,0))</f>
        <v/>
      </c>
      <c r="BC73" s="244">
        <f>IF(AND(BB73=1,ISNUMBER('INPUT - Bookings'!$E73),'INPUT - Bookings'!$E73&gt;=Settings!$C$8,'INPUT - Bookings'!$E73&lt;=Settings!$C$8+14,IFERROR(INDEX(Settings!$Q$14:$Q$24,MATCH('INPUT - Bookings'!$G73,Settings!$P$14:$P$24,0)),"Yes")="Yes"),'INPUT - Bookings'!$E73+ROW()/100000,"")</f>
        <v/>
      </c>
    </row>
    <row r="74">
      <c r="W74" s="244">
        <f>IF(AND(INDEX('Roster Summary'!$U$31:$U$180,73)=1,LEFT(Grid!AI75,6)="Travel"),0*1000+73,"")</f>
        <v/>
      </c>
      <c r="X74" s="244">
        <f>IF(AND(INDEX('Roster Summary'!$U$31:$U$180,73)=1,LEFT(Grid!AJ75,6)="Travel"),1*1000+73,"")</f>
        <v/>
      </c>
      <c r="Y74" s="244">
        <f>IF(AND(INDEX('Roster Summary'!$U$31:$U$180,73)=1,LEFT(Grid!AK75,6)="Travel"),2*1000+73,"")</f>
        <v/>
      </c>
      <c r="Z74" s="244">
        <f>IF(AND(INDEX('Roster Summary'!$U$31:$U$180,73)=1,LEFT(Grid!AL75,6)="Travel"),3*1000+73,"")</f>
        <v/>
      </c>
      <c r="AA74" s="244">
        <f>IF(AND(INDEX('Roster Summary'!$U$31:$U$180,73)=1,LEFT(Grid!AM75,6)="Travel"),4*1000+73,"")</f>
        <v/>
      </c>
      <c r="AB74" s="244">
        <f>IF(AND(INDEX('Roster Summary'!$U$31:$U$180,73)=1,LEFT(Grid!AN75,6)="Travel"),5*1000+73,"")</f>
        <v/>
      </c>
      <c r="AC74" s="244">
        <f>IF(AND(INDEX('Roster Summary'!$U$31:$U$180,73)=1,LEFT(Grid!AO75,6)="Travel"),6*1000+73,"")</f>
        <v/>
      </c>
      <c r="AD74" s="244">
        <f>IF(AND(INDEX('Roster Summary'!$U$31:$U$180,73)=1,LEFT(Grid!AP75,6)="Travel"),7*1000+73,"")</f>
        <v/>
      </c>
      <c r="AE74" s="244">
        <f>IF(AND(INDEX('Roster Summary'!$U$31:$U$180,73)=1,LEFT(Grid!AQ75,6)="Travel"),8*1000+73,"")</f>
        <v/>
      </c>
      <c r="AF74" s="244">
        <f>IF(AND(INDEX('Roster Summary'!$U$31:$U$180,73)=1,LEFT(Grid!AR75,6)="Travel"),9*1000+73,"")</f>
        <v/>
      </c>
      <c r="AG74" s="244">
        <f>IF(AND(INDEX('Roster Summary'!$U$31:$U$180,73)=1,LEFT(Grid!AS75,6)="Travel"),10*1000+73,"")</f>
        <v/>
      </c>
      <c r="AH74" s="244">
        <f>IF(AND(INDEX('Roster Summary'!$U$31:$U$180,73)=1,LEFT(Grid!AT75,6)="Travel"),11*1000+73,"")</f>
        <v/>
      </c>
      <c r="AI74" s="244">
        <f>IF(AND(INDEX('Roster Summary'!$U$31:$U$180,73)=1,LEFT(Grid!AU75,6)="Travel"),12*1000+73,"")</f>
        <v/>
      </c>
      <c r="AJ74" s="244">
        <f>IF(AND(INDEX('Roster Summary'!$U$31:$U$180,73)=1,LEFT(Grid!AV75,6)="Travel"),13*1000+73,"")</f>
        <v/>
      </c>
      <c r="AX74" s="244">
        <f>LOWER(TRIM('BHP Site Access'!B74&amp;"")&amp;"|"&amp;TRIM('BHP Site Access'!C74&amp;""))</f>
        <v/>
      </c>
      <c r="BB74" s="244">
        <f>IF('INPUT - Bookings'!$B74="",0,IF(AND(OR(Dashboard!$D$9="All",TRIM('INPUT - Bookings'!$C74)=Dashboard!$D$9),OR(Dashboard!$J$9="All",TRIM('INPUT - Bookings'!$D74)=Dashboard!$J$9)),1,0))</f>
        <v/>
      </c>
      <c r="BC74" s="244">
        <f>IF(AND(BB74=1,ISNUMBER('INPUT - Bookings'!$E74),'INPUT - Bookings'!$E74&gt;=Settings!$C$8,'INPUT - Bookings'!$E74&lt;=Settings!$C$8+14,IFERROR(INDEX(Settings!$Q$14:$Q$24,MATCH('INPUT - Bookings'!$G74,Settings!$P$14:$P$24,0)),"Yes")="Yes"),'INPUT - Bookings'!$E74+ROW()/100000,"")</f>
        <v/>
      </c>
    </row>
    <row r="75">
      <c r="W75" s="244">
        <f>IF(AND(INDEX('Roster Summary'!$U$31:$U$180,74)=1,LEFT(Grid!AI76,6)="Travel"),0*1000+74,"")</f>
        <v/>
      </c>
      <c r="X75" s="244">
        <f>IF(AND(INDEX('Roster Summary'!$U$31:$U$180,74)=1,LEFT(Grid!AJ76,6)="Travel"),1*1000+74,"")</f>
        <v/>
      </c>
      <c r="Y75" s="244">
        <f>IF(AND(INDEX('Roster Summary'!$U$31:$U$180,74)=1,LEFT(Grid!AK76,6)="Travel"),2*1000+74,"")</f>
        <v/>
      </c>
      <c r="Z75" s="244">
        <f>IF(AND(INDEX('Roster Summary'!$U$31:$U$180,74)=1,LEFT(Grid!AL76,6)="Travel"),3*1000+74,"")</f>
        <v/>
      </c>
      <c r="AA75" s="244">
        <f>IF(AND(INDEX('Roster Summary'!$U$31:$U$180,74)=1,LEFT(Grid!AM76,6)="Travel"),4*1000+74,"")</f>
        <v/>
      </c>
      <c r="AB75" s="244">
        <f>IF(AND(INDEX('Roster Summary'!$U$31:$U$180,74)=1,LEFT(Grid!AN76,6)="Travel"),5*1000+74,"")</f>
        <v/>
      </c>
      <c r="AC75" s="244">
        <f>IF(AND(INDEX('Roster Summary'!$U$31:$U$180,74)=1,LEFT(Grid!AO76,6)="Travel"),6*1000+74,"")</f>
        <v/>
      </c>
      <c r="AD75" s="244">
        <f>IF(AND(INDEX('Roster Summary'!$U$31:$U$180,74)=1,LEFT(Grid!AP76,6)="Travel"),7*1000+74,"")</f>
        <v/>
      </c>
      <c r="AE75" s="244">
        <f>IF(AND(INDEX('Roster Summary'!$U$31:$U$180,74)=1,LEFT(Grid!AQ76,6)="Travel"),8*1000+74,"")</f>
        <v/>
      </c>
      <c r="AF75" s="244">
        <f>IF(AND(INDEX('Roster Summary'!$U$31:$U$180,74)=1,LEFT(Grid!AR76,6)="Travel"),9*1000+74,"")</f>
        <v/>
      </c>
      <c r="AG75" s="244">
        <f>IF(AND(INDEX('Roster Summary'!$U$31:$U$180,74)=1,LEFT(Grid!AS76,6)="Travel"),10*1000+74,"")</f>
        <v/>
      </c>
      <c r="AH75" s="244">
        <f>IF(AND(INDEX('Roster Summary'!$U$31:$U$180,74)=1,LEFT(Grid!AT76,6)="Travel"),11*1000+74,"")</f>
        <v/>
      </c>
      <c r="AI75" s="244">
        <f>IF(AND(INDEX('Roster Summary'!$U$31:$U$180,74)=1,LEFT(Grid!AU76,6)="Travel"),12*1000+74,"")</f>
        <v/>
      </c>
      <c r="AJ75" s="244">
        <f>IF(AND(INDEX('Roster Summary'!$U$31:$U$180,74)=1,LEFT(Grid!AV76,6)="Travel"),13*1000+74,"")</f>
        <v/>
      </c>
      <c r="AX75" s="244">
        <f>LOWER(TRIM('BHP Site Access'!B75&amp;"")&amp;"|"&amp;TRIM('BHP Site Access'!C75&amp;""))</f>
        <v/>
      </c>
      <c r="BB75" s="244">
        <f>IF('INPUT - Bookings'!$B75="",0,IF(AND(OR(Dashboard!$D$9="All",TRIM('INPUT - Bookings'!$C75)=Dashboard!$D$9),OR(Dashboard!$J$9="All",TRIM('INPUT - Bookings'!$D75)=Dashboard!$J$9)),1,0))</f>
        <v/>
      </c>
      <c r="BC75" s="244">
        <f>IF(AND(BB75=1,ISNUMBER('INPUT - Bookings'!$E75),'INPUT - Bookings'!$E75&gt;=Settings!$C$8,'INPUT - Bookings'!$E75&lt;=Settings!$C$8+14,IFERROR(INDEX(Settings!$Q$14:$Q$24,MATCH('INPUT - Bookings'!$G75,Settings!$P$14:$P$24,0)),"Yes")="Yes"),'INPUT - Bookings'!$E75+ROW()/100000,"")</f>
        <v/>
      </c>
    </row>
    <row r="76">
      <c r="W76" s="244">
        <f>IF(AND(INDEX('Roster Summary'!$U$31:$U$180,75)=1,LEFT(Grid!AI77,6)="Travel"),0*1000+75,"")</f>
        <v/>
      </c>
      <c r="X76" s="244">
        <f>IF(AND(INDEX('Roster Summary'!$U$31:$U$180,75)=1,LEFT(Grid!AJ77,6)="Travel"),1*1000+75,"")</f>
        <v/>
      </c>
      <c r="Y76" s="244">
        <f>IF(AND(INDEX('Roster Summary'!$U$31:$U$180,75)=1,LEFT(Grid!AK77,6)="Travel"),2*1000+75,"")</f>
        <v/>
      </c>
      <c r="Z76" s="244">
        <f>IF(AND(INDEX('Roster Summary'!$U$31:$U$180,75)=1,LEFT(Grid!AL77,6)="Travel"),3*1000+75,"")</f>
        <v/>
      </c>
      <c r="AA76" s="244">
        <f>IF(AND(INDEX('Roster Summary'!$U$31:$U$180,75)=1,LEFT(Grid!AM77,6)="Travel"),4*1000+75,"")</f>
        <v/>
      </c>
      <c r="AB76" s="244">
        <f>IF(AND(INDEX('Roster Summary'!$U$31:$U$180,75)=1,LEFT(Grid!AN77,6)="Travel"),5*1000+75,"")</f>
        <v/>
      </c>
      <c r="AC76" s="244">
        <f>IF(AND(INDEX('Roster Summary'!$U$31:$U$180,75)=1,LEFT(Grid!AO77,6)="Travel"),6*1000+75,"")</f>
        <v/>
      </c>
      <c r="AD76" s="244">
        <f>IF(AND(INDEX('Roster Summary'!$U$31:$U$180,75)=1,LEFT(Grid!AP77,6)="Travel"),7*1000+75,"")</f>
        <v/>
      </c>
      <c r="AE76" s="244">
        <f>IF(AND(INDEX('Roster Summary'!$U$31:$U$180,75)=1,LEFT(Grid!AQ77,6)="Travel"),8*1000+75,"")</f>
        <v/>
      </c>
      <c r="AF76" s="244">
        <f>IF(AND(INDEX('Roster Summary'!$U$31:$U$180,75)=1,LEFT(Grid!AR77,6)="Travel"),9*1000+75,"")</f>
        <v/>
      </c>
      <c r="AG76" s="244">
        <f>IF(AND(INDEX('Roster Summary'!$U$31:$U$180,75)=1,LEFT(Grid!AS77,6)="Travel"),10*1000+75,"")</f>
        <v/>
      </c>
      <c r="AH76" s="244">
        <f>IF(AND(INDEX('Roster Summary'!$U$31:$U$180,75)=1,LEFT(Grid!AT77,6)="Travel"),11*1000+75,"")</f>
        <v/>
      </c>
      <c r="AI76" s="244">
        <f>IF(AND(INDEX('Roster Summary'!$U$31:$U$180,75)=1,LEFT(Grid!AU77,6)="Travel"),12*1000+75,"")</f>
        <v/>
      </c>
      <c r="AJ76" s="244">
        <f>IF(AND(INDEX('Roster Summary'!$U$31:$U$180,75)=1,LEFT(Grid!AV77,6)="Travel"),13*1000+75,"")</f>
        <v/>
      </c>
      <c r="AX76" s="244">
        <f>LOWER(TRIM('BHP Site Access'!B76&amp;"")&amp;"|"&amp;TRIM('BHP Site Access'!C76&amp;""))</f>
        <v/>
      </c>
      <c r="BB76" s="244">
        <f>IF('INPUT - Bookings'!$B76="",0,IF(AND(OR(Dashboard!$D$9="All",TRIM('INPUT - Bookings'!$C76)=Dashboard!$D$9),OR(Dashboard!$J$9="All",TRIM('INPUT - Bookings'!$D76)=Dashboard!$J$9)),1,0))</f>
        <v/>
      </c>
      <c r="BC76" s="244">
        <f>IF(AND(BB76=1,ISNUMBER('INPUT - Bookings'!$E76),'INPUT - Bookings'!$E76&gt;=Settings!$C$8,'INPUT - Bookings'!$E76&lt;=Settings!$C$8+14,IFERROR(INDEX(Settings!$Q$14:$Q$24,MATCH('INPUT - Bookings'!$G76,Settings!$P$14:$P$24,0)),"Yes")="Yes"),'INPUT - Bookings'!$E76+ROW()/100000,"")</f>
        <v/>
      </c>
    </row>
    <row r="77">
      <c r="W77" s="244">
        <f>IF(AND(INDEX('Roster Summary'!$U$31:$U$180,76)=1,LEFT(Grid!AI78,6)="Travel"),0*1000+76,"")</f>
        <v/>
      </c>
      <c r="X77" s="244">
        <f>IF(AND(INDEX('Roster Summary'!$U$31:$U$180,76)=1,LEFT(Grid!AJ78,6)="Travel"),1*1000+76,"")</f>
        <v/>
      </c>
      <c r="Y77" s="244">
        <f>IF(AND(INDEX('Roster Summary'!$U$31:$U$180,76)=1,LEFT(Grid!AK78,6)="Travel"),2*1000+76,"")</f>
        <v/>
      </c>
      <c r="Z77" s="244">
        <f>IF(AND(INDEX('Roster Summary'!$U$31:$U$180,76)=1,LEFT(Grid!AL78,6)="Travel"),3*1000+76,"")</f>
        <v/>
      </c>
      <c r="AA77" s="244">
        <f>IF(AND(INDEX('Roster Summary'!$U$31:$U$180,76)=1,LEFT(Grid!AM78,6)="Travel"),4*1000+76,"")</f>
        <v/>
      </c>
      <c r="AB77" s="244">
        <f>IF(AND(INDEX('Roster Summary'!$U$31:$U$180,76)=1,LEFT(Grid!AN78,6)="Travel"),5*1000+76,"")</f>
        <v/>
      </c>
      <c r="AC77" s="244">
        <f>IF(AND(INDEX('Roster Summary'!$U$31:$U$180,76)=1,LEFT(Grid!AO78,6)="Travel"),6*1000+76,"")</f>
        <v/>
      </c>
      <c r="AD77" s="244">
        <f>IF(AND(INDEX('Roster Summary'!$U$31:$U$180,76)=1,LEFT(Grid!AP78,6)="Travel"),7*1000+76,"")</f>
        <v/>
      </c>
      <c r="AE77" s="244">
        <f>IF(AND(INDEX('Roster Summary'!$U$31:$U$180,76)=1,LEFT(Grid!AQ78,6)="Travel"),8*1000+76,"")</f>
        <v/>
      </c>
      <c r="AF77" s="244">
        <f>IF(AND(INDEX('Roster Summary'!$U$31:$U$180,76)=1,LEFT(Grid!AR78,6)="Travel"),9*1000+76,"")</f>
        <v/>
      </c>
      <c r="AG77" s="244">
        <f>IF(AND(INDEX('Roster Summary'!$U$31:$U$180,76)=1,LEFT(Grid!AS78,6)="Travel"),10*1000+76,"")</f>
        <v/>
      </c>
      <c r="AH77" s="244">
        <f>IF(AND(INDEX('Roster Summary'!$U$31:$U$180,76)=1,LEFT(Grid!AT78,6)="Travel"),11*1000+76,"")</f>
        <v/>
      </c>
      <c r="AI77" s="244">
        <f>IF(AND(INDEX('Roster Summary'!$U$31:$U$180,76)=1,LEFT(Grid!AU78,6)="Travel"),12*1000+76,"")</f>
        <v/>
      </c>
      <c r="AJ77" s="244">
        <f>IF(AND(INDEX('Roster Summary'!$U$31:$U$180,76)=1,LEFT(Grid!AV78,6)="Travel"),13*1000+76,"")</f>
        <v/>
      </c>
      <c r="AX77" s="244">
        <f>LOWER(TRIM('BHP Site Access'!B77&amp;"")&amp;"|"&amp;TRIM('BHP Site Access'!C77&amp;""))</f>
        <v/>
      </c>
      <c r="BB77" s="244">
        <f>IF('INPUT - Bookings'!$B77="",0,IF(AND(OR(Dashboard!$D$9="All",TRIM('INPUT - Bookings'!$C77)=Dashboard!$D$9),OR(Dashboard!$J$9="All",TRIM('INPUT - Bookings'!$D77)=Dashboard!$J$9)),1,0))</f>
        <v/>
      </c>
      <c r="BC77" s="244">
        <f>IF(AND(BB77=1,ISNUMBER('INPUT - Bookings'!$E77),'INPUT - Bookings'!$E77&gt;=Settings!$C$8,'INPUT - Bookings'!$E77&lt;=Settings!$C$8+14,IFERROR(INDEX(Settings!$Q$14:$Q$24,MATCH('INPUT - Bookings'!$G77,Settings!$P$14:$P$24,0)),"Yes")="Yes"),'INPUT - Bookings'!$E77+ROW()/100000,"")</f>
        <v/>
      </c>
    </row>
    <row r="78">
      <c r="W78" s="244">
        <f>IF(AND(INDEX('Roster Summary'!$U$31:$U$180,77)=1,LEFT(Grid!AI79,6)="Travel"),0*1000+77,"")</f>
        <v/>
      </c>
      <c r="X78" s="244">
        <f>IF(AND(INDEX('Roster Summary'!$U$31:$U$180,77)=1,LEFT(Grid!AJ79,6)="Travel"),1*1000+77,"")</f>
        <v/>
      </c>
      <c r="Y78" s="244">
        <f>IF(AND(INDEX('Roster Summary'!$U$31:$U$180,77)=1,LEFT(Grid!AK79,6)="Travel"),2*1000+77,"")</f>
        <v/>
      </c>
      <c r="Z78" s="244">
        <f>IF(AND(INDEX('Roster Summary'!$U$31:$U$180,77)=1,LEFT(Grid!AL79,6)="Travel"),3*1000+77,"")</f>
        <v/>
      </c>
      <c r="AA78" s="244">
        <f>IF(AND(INDEX('Roster Summary'!$U$31:$U$180,77)=1,LEFT(Grid!AM79,6)="Travel"),4*1000+77,"")</f>
        <v/>
      </c>
      <c r="AB78" s="244">
        <f>IF(AND(INDEX('Roster Summary'!$U$31:$U$180,77)=1,LEFT(Grid!AN79,6)="Travel"),5*1000+77,"")</f>
        <v/>
      </c>
      <c r="AC78" s="244">
        <f>IF(AND(INDEX('Roster Summary'!$U$31:$U$180,77)=1,LEFT(Grid!AO79,6)="Travel"),6*1000+77,"")</f>
        <v/>
      </c>
      <c r="AD78" s="244">
        <f>IF(AND(INDEX('Roster Summary'!$U$31:$U$180,77)=1,LEFT(Grid!AP79,6)="Travel"),7*1000+77,"")</f>
        <v/>
      </c>
      <c r="AE78" s="244">
        <f>IF(AND(INDEX('Roster Summary'!$U$31:$U$180,77)=1,LEFT(Grid!AQ79,6)="Travel"),8*1000+77,"")</f>
        <v/>
      </c>
      <c r="AF78" s="244">
        <f>IF(AND(INDEX('Roster Summary'!$U$31:$U$180,77)=1,LEFT(Grid!AR79,6)="Travel"),9*1000+77,"")</f>
        <v/>
      </c>
      <c r="AG78" s="244">
        <f>IF(AND(INDEX('Roster Summary'!$U$31:$U$180,77)=1,LEFT(Grid!AS79,6)="Travel"),10*1000+77,"")</f>
        <v/>
      </c>
      <c r="AH78" s="244">
        <f>IF(AND(INDEX('Roster Summary'!$U$31:$U$180,77)=1,LEFT(Grid!AT79,6)="Travel"),11*1000+77,"")</f>
        <v/>
      </c>
      <c r="AI78" s="244">
        <f>IF(AND(INDEX('Roster Summary'!$U$31:$U$180,77)=1,LEFT(Grid!AU79,6)="Travel"),12*1000+77,"")</f>
        <v/>
      </c>
      <c r="AJ78" s="244">
        <f>IF(AND(INDEX('Roster Summary'!$U$31:$U$180,77)=1,LEFT(Grid!AV79,6)="Travel"),13*1000+77,"")</f>
        <v/>
      </c>
      <c r="AX78" s="244">
        <f>LOWER(TRIM('BHP Site Access'!B78&amp;"")&amp;"|"&amp;TRIM('BHP Site Access'!C78&amp;""))</f>
        <v/>
      </c>
      <c r="BB78" s="244">
        <f>IF('INPUT - Bookings'!$B78="",0,IF(AND(OR(Dashboard!$D$9="All",TRIM('INPUT - Bookings'!$C78)=Dashboard!$D$9),OR(Dashboard!$J$9="All",TRIM('INPUT - Bookings'!$D78)=Dashboard!$J$9)),1,0))</f>
        <v/>
      </c>
      <c r="BC78" s="244">
        <f>IF(AND(BB78=1,ISNUMBER('INPUT - Bookings'!$E78),'INPUT - Bookings'!$E78&gt;=Settings!$C$8,'INPUT - Bookings'!$E78&lt;=Settings!$C$8+14,IFERROR(INDEX(Settings!$Q$14:$Q$24,MATCH('INPUT - Bookings'!$G78,Settings!$P$14:$P$24,0)),"Yes")="Yes"),'INPUT - Bookings'!$E78+ROW()/100000,"")</f>
        <v/>
      </c>
    </row>
    <row r="79">
      <c r="W79" s="244">
        <f>IF(AND(INDEX('Roster Summary'!$U$31:$U$180,78)=1,LEFT(Grid!AI80,6)="Travel"),0*1000+78,"")</f>
        <v/>
      </c>
      <c r="X79" s="244">
        <f>IF(AND(INDEX('Roster Summary'!$U$31:$U$180,78)=1,LEFT(Grid!AJ80,6)="Travel"),1*1000+78,"")</f>
        <v/>
      </c>
      <c r="Y79" s="244">
        <f>IF(AND(INDEX('Roster Summary'!$U$31:$U$180,78)=1,LEFT(Grid!AK80,6)="Travel"),2*1000+78,"")</f>
        <v/>
      </c>
      <c r="Z79" s="244">
        <f>IF(AND(INDEX('Roster Summary'!$U$31:$U$180,78)=1,LEFT(Grid!AL80,6)="Travel"),3*1000+78,"")</f>
        <v/>
      </c>
      <c r="AA79" s="244">
        <f>IF(AND(INDEX('Roster Summary'!$U$31:$U$180,78)=1,LEFT(Grid!AM80,6)="Travel"),4*1000+78,"")</f>
        <v/>
      </c>
      <c r="AB79" s="244">
        <f>IF(AND(INDEX('Roster Summary'!$U$31:$U$180,78)=1,LEFT(Grid!AN80,6)="Travel"),5*1000+78,"")</f>
        <v/>
      </c>
      <c r="AC79" s="244">
        <f>IF(AND(INDEX('Roster Summary'!$U$31:$U$180,78)=1,LEFT(Grid!AO80,6)="Travel"),6*1000+78,"")</f>
        <v/>
      </c>
      <c r="AD79" s="244">
        <f>IF(AND(INDEX('Roster Summary'!$U$31:$U$180,78)=1,LEFT(Grid!AP80,6)="Travel"),7*1000+78,"")</f>
        <v/>
      </c>
      <c r="AE79" s="244">
        <f>IF(AND(INDEX('Roster Summary'!$U$31:$U$180,78)=1,LEFT(Grid!AQ80,6)="Travel"),8*1000+78,"")</f>
        <v/>
      </c>
      <c r="AF79" s="244">
        <f>IF(AND(INDEX('Roster Summary'!$U$31:$U$180,78)=1,LEFT(Grid!AR80,6)="Travel"),9*1000+78,"")</f>
        <v/>
      </c>
      <c r="AG79" s="244">
        <f>IF(AND(INDEX('Roster Summary'!$U$31:$U$180,78)=1,LEFT(Grid!AS80,6)="Travel"),10*1000+78,"")</f>
        <v/>
      </c>
      <c r="AH79" s="244">
        <f>IF(AND(INDEX('Roster Summary'!$U$31:$U$180,78)=1,LEFT(Grid!AT80,6)="Travel"),11*1000+78,"")</f>
        <v/>
      </c>
      <c r="AI79" s="244">
        <f>IF(AND(INDEX('Roster Summary'!$U$31:$U$180,78)=1,LEFT(Grid!AU80,6)="Travel"),12*1000+78,"")</f>
        <v/>
      </c>
      <c r="AJ79" s="244">
        <f>IF(AND(INDEX('Roster Summary'!$U$31:$U$180,78)=1,LEFT(Grid!AV80,6)="Travel"),13*1000+78,"")</f>
        <v/>
      </c>
      <c r="AX79" s="244">
        <f>LOWER(TRIM('BHP Site Access'!B79&amp;"")&amp;"|"&amp;TRIM('BHP Site Access'!C79&amp;""))</f>
        <v/>
      </c>
      <c r="BB79" s="244">
        <f>IF('INPUT - Bookings'!$B79="",0,IF(AND(OR(Dashboard!$D$9="All",TRIM('INPUT - Bookings'!$C79)=Dashboard!$D$9),OR(Dashboard!$J$9="All",TRIM('INPUT - Bookings'!$D79)=Dashboard!$J$9)),1,0))</f>
        <v/>
      </c>
      <c r="BC79" s="244">
        <f>IF(AND(BB79=1,ISNUMBER('INPUT - Bookings'!$E79),'INPUT - Bookings'!$E79&gt;=Settings!$C$8,'INPUT - Bookings'!$E79&lt;=Settings!$C$8+14,IFERROR(INDEX(Settings!$Q$14:$Q$24,MATCH('INPUT - Bookings'!$G79,Settings!$P$14:$P$24,0)),"Yes")="Yes"),'INPUT - Bookings'!$E79+ROW()/100000,"")</f>
        <v/>
      </c>
    </row>
    <row r="80">
      <c r="W80" s="244">
        <f>IF(AND(INDEX('Roster Summary'!$U$31:$U$180,79)=1,LEFT(Grid!AI81,6)="Travel"),0*1000+79,"")</f>
        <v/>
      </c>
      <c r="X80" s="244">
        <f>IF(AND(INDEX('Roster Summary'!$U$31:$U$180,79)=1,LEFT(Grid!AJ81,6)="Travel"),1*1000+79,"")</f>
        <v/>
      </c>
      <c r="Y80" s="244">
        <f>IF(AND(INDEX('Roster Summary'!$U$31:$U$180,79)=1,LEFT(Grid!AK81,6)="Travel"),2*1000+79,"")</f>
        <v/>
      </c>
      <c r="Z80" s="244">
        <f>IF(AND(INDEX('Roster Summary'!$U$31:$U$180,79)=1,LEFT(Grid!AL81,6)="Travel"),3*1000+79,"")</f>
        <v/>
      </c>
      <c r="AA80" s="244">
        <f>IF(AND(INDEX('Roster Summary'!$U$31:$U$180,79)=1,LEFT(Grid!AM81,6)="Travel"),4*1000+79,"")</f>
        <v/>
      </c>
      <c r="AB80" s="244">
        <f>IF(AND(INDEX('Roster Summary'!$U$31:$U$180,79)=1,LEFT(Grid!AN81,6)="Travel"),5*1000+79,"")</f>
        <v/>
      </c>
      <c r="AC80" s="244">
        <f>IF(AND(INDEX('Roster Summary'!$U$31:$U$180,79)=1,LEFT(Grid!AO81,6)="Travel"),6*1000+79,"")</f>
        <v/>
      </c>
      <c r="AD80" s="244">
        <f>IF(AND(INDEX('Roster Summary'!$U$31:$U$180,79)=1,LEFT(Grid!AP81,6)="Travel"),7*1000+79,"")</f>
        <v/>
      </c>
      <c r="AE80" s="244">
        <f>IF(AND(INDEX('Roster Summary'!$U$31:$U$180,79)=1,LEFT(Grid!AQ81,6)="Travel"),8*1000+79,"")</f>
        <v/>
      </c>
      <c r="AF80" s="244">
        <f>IF(AND(INDEX('Roster Summary'!$U$31:$U$180,79)=1,LEFT(Grid!AR81,6)="Travel"),9*1000+79,"")</f>
        <v/>
      </c>
      <c r="AG80" s="244">
        <f>IF(AND(INDEX('Roster Summary'!$U$31:$U$180,79)=1,LEFT(Grid!AS81,6)="Travel"),10*1000+79,"")</f>
        <v/>
      </c>
      <c r="AH80" s="244">
        <f>IF(AND(INDEX('Roster Summary'!$U$31:$U$180,79)=1,LEFT(Grid!AT81,6)="Travel"),11*1000+79,"")</f>
        <v/>
      </c>
      <c r="AI80" s="244">
        <f>IF(AND(INDEX('Roster Summary'!$U$31:$U$180,79)=1,LEFT(Grid!AU81,6)="Travel"),12*1000+79,"")</f>
        <v/>
      </c>
      <c r="AJ80" s="244">
        <f>IF(AND(INDEX('Roster Summary'!$U$31:$U$180,79)=1,LEFT(Grid!AV81,6)="Travel"),13*1000+79,"")</f>
        <v/>
      </c>
      <c r="AX80" s="244">
        <f>LOWER(TRIM('BHP Site Access'!B80&amp;"")&amp;"|"&amp;TRIM('BHP Site Access'!C80&amp;""))</f>
        <v/>
      </c>
      <c r="BB80" s="244">
        <f>IF('INPUT - Bookings'!$B80="",0,IF(AND(OR(Dashboard!$D$9="All",TRIM('INPUT - Bookings'!$C80)=Dashboard!$D$9),OR(Dashboard!$J$9="All",TRIM('INPUT - Bookings'!$D80)=Dashboard!$J$9)),1,0))</f>
        <v/>
      </c>
      <c r="BC80" s="244">
        <f>IF(AND(BB80=1,ISNUMBER('INPUT - Bookings'!$E80),'INPUT - Bookings'!$E80&gt;=Settings!$C$8,'INPUT - Bookings'!$E80&lt;=Settings!$C$8+14,IFERROR(INDEX(Settings!$Q$14:$Q$24,MATCH('INPUT - Bookings'!$G80,Settings!$P$14:$P$24,0)),"Yes")="Yes"),'INPUT - Bookings'!$E80+ROW()/100000,"")</f>
        <v/>
      </c>
    </row>
    <row r="81">
      <c r="W81" s="244">
        <f>IF(AND(INDEX('Roster Summary'!$U$31:$U$180,80)=1,LEFT(Grid!AI82,6)="Travel"),0*1000+80,"")</f>
        <v/>
      </c>
      <c r="X81" s="244">
        <f>IF(AND(INDEX('Roster Summary'!$U$31:$U$180,80)=1,LEFT(Grid!AJ82,6)="Travel"),1*1000+80,"")</f>
        <v/>
      </c>
      <c r="Y81" s="244">
        <f>IF(AND(INDEX('Roster Summary'!$U$31:$U$180,80)=1,LEFT(Grid!AK82,6)="Travel"),2*1000+80,"")</f>
        <v/>
      </c>
      <c r="Z81" s="244">
        <f>IF(AND(INDEX('Roster Summary'!$U$31:$U$180,80)=1,LEFT(Grid!AL82,6)="Travel"),3*1000+80,"")</f>
        <v/>
      </c>
      <c r="AA81" s="244">
        <f>IF(AND(INDEX('Roster Summary'!$U$31:$U$180,80)=1,LEFT(Grid!AM82,6)="Travel"),4*1000+80,"")</f>
        <v/>
      </c>
      <c r="AB81" s="244">
        <f>IF(AND(INDEX('Roster Summary'!$U$31:$U$180,80)=1,LEFT(Grid!AN82,6)="Travel"),5*1000+80,"")</f>
        <v/>
      </c>
      <c r="AC81" s="244">
        <f>IF(AND(INDEX('Roster Summary'!$U$31:$U$180,80)=1,LEFT(Grid!AO82,6)="Travel"),6*1000+80,"")</f>
        <v/>
      </c>
      <c r="AD81" s="244">
        <f>IF(AND(INDEX('Roster Summary'!$U$31:$U$180,80)=1,LEFT(Grid!AP82,6)="Travel"),7*1000+80,"")</f>
        <v/>
      </c>
      <c r="AE81" s="244">
        <f>IF(AND(INDEX('Roster Summary'!$U$31:$U$180,80)=1,LEFT(Grid!AQ82,6)="Travel"),8*1000+80,"")</f>
        <v/>
      </c>
      <c r="AF81" s="244">
        <f>IF(AND(INDEX('Roster Summary'!$U$31:$U$180,80)=1,LEFT(Grid!AR82,6)="Travel"),9*1000+80,"")</f>
        <v/>
      </c>
      <c r="AG81" s="244">
        <f>IF(AND(INDEX('Roster Summary'!$U$31:$U$180,80)=1,LEFT(Grid!AS82,6)="Travel"),10*1000+80,"")</f>
        <v/>
      </c>
      <c r="AH81" s="244">
        <f>IF(AND(INDEX('Roster Summary'!$U$31:$U$180,80)=1,LEFT(Grid!AT82,6)="Travel"),11*1000+80,"")</f>
        <v/>
      </c>
      <c r="AI81" s="244">
        <f>IF(AND(INDEX('Roster Summary'!$U$31:$U$180,80)=1,LEFT(Grid!AU82,6)="Travel"),12*1000+80,"")</f>
        <v/>
      </c>
      <c r="AJ81" s="244">
        <f>IF(AND(INDEX('Roster Summary'!$U$31:$U$180,80)=1,LEFT(Grid!AV82,6)="Travel"),13*1000+80,"")</f>
        <v/>
      </c>
      <c r="AX81" s="244">
        <f>LOWER(TRIM('BHP Site Access'!B81&amp;"")&amp;"|"&amp;TRIM('BHP Site Access'!C81&amp;""))</f>
        <v/>
      </c>
      <c r="BB81" s="244">
        <f>IF('INPUT - Bookings'!$B81="",0,IF(AND(OR(Dashboard!$D$9="All",TRIM('INPUT - Bookings'!$C81)=Dashboard!$D$9),OR(Dashboard!$J$9="All",TRIM('INPUT - Bookings'!$D81)=Dashboard!$J$9)),1,0))</f>
        <v/>
      </c>
      <c r="BC81" s="244">
        <f>IF(AND(BB81=1,ISNUMBER('INPUT - Bookings'!$E81),'INPUT - Bookings'!$E81&gt;=Settings!$C$8,'INPUT - Bookings'!$E81&lt;=Settings!$C$8+14,IFERROR(INDEX(Settings!$Q$14:$Q$24,MATCH('INPUT - Bookings'!$G81,Settings!$P$14:$P$24,0)),"Yes")="Yes"),'INPUT - Bookings'!$E81+ROW()/100000,"")</f>
        <v/>
      </c>
    </row>
    <row r="82">
      <c r="W82" s="244">
        <f>IF(AND(INDEX('Roster Summary'!$U$31:$U$180,81)=1,LEFT(Grid!AI83,6)="Travel"),0*1000+81,"")</f>
        <v/>
      </c>
      <c r="X82" s="244">
        <f>IF(AND(INDEX('Roster Summary'!$U$31:$U$180,81)=1,LEFT(Grid!AJ83,6)="Travel"),1*1000+81,"")</f>
        <v/>
      </c>
      <c r="Y82" s="244">
        <f>IF(AND(INDEX('Roster Summary'!$U$31:$U$180,81)=1,LEFT(Grid!AK83,6)="Travel"),2*1000+81,"")</f>
        <v/>
      </c>
      <c r="Z82" s="244">
        <f>IF(AND(INDEX('Roster Summary'!$U$31:$U$180,81)=1,LEFT(Grid!AL83,6)="Travel"),3*1000+81,"")</f>
        <v/>
      </c>
      <c r="AA82" s="244">
        <f>IF(AND(INDEX('Roster Summary'!$U$31:$U$180,81)=1,LEFT(Grid!AM83,6)="Travel"),4*1000+81,"")</f>
        <v/>
      </c>
      <c r="AB82" s="244">
        <f>IF(AND(INDEX('Roster Summary'!$U$31:$U$180,81)=1,LEFT(Grid!AN83,6)="Travel"),5*1000+81,"")</f>
        <v/>
      </c>
      <c r="AC82" s="244">
        <f>IF(AND(INDEX('Roster Summary'!$U$31:$U$180,81)=1,LEFT(Grid!AO83,6)="Travel"),6*1000+81,"")</f>
        <v/>
      </c>
      <c r="AD82" s="244">
        <f>IF(AND(INDEX('Roster Summary'!$U$31:$U$180,81)=1,LEFT(Grid!AP83,6)="Travel"),7*1000+81,"")</f>
        <v/>
      </c>
      <c r="AE82" s="244">
        <f>IF(AND(INDEX('Roster Summary'!$U$31:$U$180,81)=1,LEFT(Grid!AQ83,6)="Travel"),8*1000+81,"")</f>
        <v/>
      </c>
      <c r="AF82" s="244">
        <f>IF(AND(INDEX('Roster Summary'!$U$31:$U$180,81)=1,LEFT(Grid!AR83,6)="Travel"),9*1000+81,"")</f>
        <v/>
      </c>
      <c r="AG82" s="244">
        <f>IF(AND(INDEX('Roster Summary'!$U$31:$U$180,81)=1,LEFT(Grid!AS83,6)="Travel"),10*1000+81,"")</f>
        <v/>
      </c>
      <c r="AH82" s="244">
        <f>IF(AND(INDEX('Roster Summary'!$U$31:$U$180,81)=1,LEFT(Grid!AT83,6)="Travel"),11*1000+81,"")</f>
        <v/>
      </c>
      <c r="AI82" s="244">
        <f>IF(AND(INDEX('Roster Summary'!$U$31:$U$180,81)=1,LEFT(Grid!AU83,6)="Travel"),12*1000+81,"")</f>
        <v/>
      </c>
      <c r="AJ82" s="244">
        <f>IF(AND(INDEX('Roster Summary'!$U$31:$U$180,81)=1,LEFT(Grid!AV83,6)="Travel"),13*1000+81,"")</f>
        <v/>
      </c>
      <c r="AX82" s="244">
        <f>LOWER(TRIM('BHP Site Access'!B82&amp;"")&amp;"|"&amp;TRIM('BHP Site Access'!C82&amp;""))</f>
        <v/>
      </c>
      <c r="BB82" s="244">
        <f>IF('INPUT - Bookings'!$B82="",0,IF(AND(OR(Dashboard!$D$9="All",TRIM('INPUT - Bookings'!$C82)=Dashboard!$D$9),OR(Dashboard!$J$9="All",TRIM('INPUT - Bookings'!$D82)=Dashboard!$J$9)),1,0))</f>
        <v/>
      </c>
      <c r="BC82" s="244">
        <f>IF(AND(BB82=1,ISNUMBER('INPUT - Bookings'!$E82),'INPUT - Bookings'!$E82&gt;=Settings!$C$8,'INPUT - Bookings'!$E82&lt;=Settings!$C$8+14,IFERROR(INDEX(Settings!$Q$14:$Q$24,MATCH('INPUT - Bookings'!$G82,Settings!$P$14:$P$24,0)),"Yes")="Yes"),'INPUT - Bookings'!$E82+ROW()/100000,"")</f>
        <v/>
      </c>
    </row>
    <row r="83">
      <c r="W83" s="244">
        <f>IF(AND(INDEX('Roster Summary'!$U$31:$U$180,82)=1,LEFT(Grid!AI84,6)="Travel"),0*1000+82,"")</f>
        <v/>
      </c>
      <c r="X83" s="244">
        <f>IF(AND(INDEX('Roster Summary'!$U$31:$U$180,82)=1,LEFT(Grid!AJ84,6)="Travel"),1*1000+82,"")</f>
        <v/>
      </c>
      <c r="Y83" s="244">
        <f>IF(AND(INDEX('Roster Summary'!$U$31:$U$180,82)=1,LEFT(Grid!AK84,6)="Travel"),2*1000+82,"")</f>
        <v/>
      </c>
      <c r="Z83" s="244">
        <f>IF(AND(INDEX('Roster Summary'!$U$31:$U$180,82)=1,LEFT(Grid!AL84,6)="Travel"),3*1000+82,"")</f>
        <v/>
      </c>
      <c r="AA83" s="244">
        <f>IF(AND(INDEX('Roster Summary'!$U$31:$U$180,82)=1,LEFT(Grid!AM84,6)="Travel"),4*1000+82,"")</f>
        <v/>
      </c>
      <c r="AB83" s="244">
        <f>IF(AND(INDEX('Roster Summary'!$U$31:$U$180,82)=1,LEFT(Grid!AN84,6)="Travel"),5*1000+82,"")</f>
        <v/>
      </c>
      <c r="AC83" s="244">
        <f>IF(AND(INDEX('Roster Summary'!$U$31:$U$180,82)=1,LEFT(Grid!AO84,6)="Travel"),6*1000+82,"")</f>
        <v/>
      </c>
      <c r="AD83" s="244">
        <f>IF(AND(INDEX('Roster Summary'!$U$31:$U$180,82)=1,LEFT(Grid!AP84,6)="Travel"),7*1000+82,"")</f>
        <v/>
      </c>
      <c r="AE83" s="244">
        <f>IF(AND(INDEX('Roster Summary'!$U$31:$U$180,82)=1,LEFT(Grid!AQ84,6)="Travel"),8*1000+82,"")</f>
        <v/>
      </c>
      <c r="AF83" s="244">
        <f>IF(AND(INDEX('Roster Summary'!$U$31:$U$180,82)=1,LEFT(Grid!AR84,6)="Travel"),9*1000+82,"")</f>
        <v/>
      </c>
      <c r="AG83" s="244">
        <f>IF(AND(INDEX('Roster Summary'!$U$31:$U$180,82)=1,LEFT(Grid!AS84,6)="Travel"),10*1000+82,"")</f>
        <v/>
      </c>
      <c r="AH83" s="244">
        <f>IF(AND(INDEX('Roster Summary'!$U$31:$U$180,82)=1,LEFT(Grid!AT84,6)="Travel"),11*1000+82,"")</f>
        <v/>
      </c>
      <c r="AI83" s="244">
        <f>IF(AND(INDEX('Roster Summary'!$U$31:$U$180,82)=1,LEFT(Grid!AU84,6)="Travel"),12*1000+82,"")</f>
        <v/>
      </c>
      <c r="AJ83" s="244">
        <f>IF(AND(INDEX('Roster Summary'!$U$31:$U$180,82)=1,LEFT(Grid!AV84,6)="Travel"),13*1000+82,"")</f>
        <v/>
      </c>
      <c r="AX83" s="244">
        <f>LOWER(TRIM('BHP Site Access'!B83&amp;"")&amp;"|"&amp;TRIM('BHP Site Access'!C83&amp;""))</f>
        <v/>
      </c>
      <c r="BB83" s="244">
        <f>IF('INPUT - Bookings'!$B83="",0,IF(AND(OR(Dashboard!$D$9="All",TRIM('INPUT - Bookings'!$C83)=Dashboard!$D$9),OR(Dashboard!$J$9="All",TRIM('INPUT - Bookings'!$D83)=Dashboard!$J$9)),1,0))</f>
        <v/>
      </c>
      <c r="BC83" s="244">
        <f>IF(AND(BB83=1,ISNUMBER('INPUT - Bookings'!$E83),'INPUT - Bookings'!$E83&gt;=Settings!$C$8,'INPUT - Bookings'!$E83&lt;=Settings!$C$8+14,IFERROR(INDEX(Settings!$Q$14:$Q$24,MATCH('INPUT - Bookings'!$G83,Settings!$P$14:$P$24,0)),"Yes")="Yes"),'INPUT - Bookings'!$E83+ROW()/100000,"")</f>
        <v/>
      </c>
    </row>
    <row r="84">
      <c r="W84" s="244">
        <f>IF(AND(INDEX('Roster Summary'!$U$31:$U$180,83)=1,LEFT(Grid!AI85,6)="Travel"),0*1000+83,"")</f>
        <v/>
      </c>
      <c r="X84" s="244">
        <f>IF(AND(INDEX('Roster Summary'!$U$31:$U$180,83)=1,LEFT(Grid!AJ85,6)="Travel"),1*1000+83,"")</f>
        <v/>
      </c>
      <c r="Y84" s="244">
        <f>IF(AND(INDEX('Roster Summary'!$U$31:$U$180,83)=1,LEFT(Grid!AK85,6)="Travel"),2*1000+83,"")</f>
        <v/>
      </c>
      <c r="Z84" s="244">
        <f>IF(AND(INDEX('Roster Summary'!$U$31:$U$180,83)=1,LEFT(Grid!AL85,6)="Travel"),3*1000+83,"")</f>
        <v/>
      </c>
      <c r="AA84" s="244">
        <f>IF(AND(INDEX('Roster Summary'!$U$31:$U$180,83)=1,LEFT(Grid!AM85,6)="Travel"),4*1000+83,"")</f>
        <v/>
      </c>
      <c r="AB84" s="244">
        <f>IF(AND(INDEX('Roster Summary'!$U$31:$U$180,83)=1,LEFT(Grid!AN85,6)="Travel"),5*1000+83,"")</f>
        <v/>
      </c>
      <c r="AC84" s="244">
        <f>IF(AND(INDEX('Roster Summary'!$U$31:$U$180,83)=1,LEFT(Grid!AO85,6)="Travel"),6*1000+83,"")</f>
        <v/>
      </c>
      <c r="AD84" s="244">
        <f>IF(AND(INDEX('Roster Summary'!$U$31:$U$180,83)=1,LEFT(Grid!AP85,6)="Travel"),7*1000+83,"")</f>
        <v/>
      </c>
      <c r="AE84" s="244">
        <f>IF(AND(INDEX('Roster Summary'!$U$31:$U$180,83)=1,LEFT(Grid!AQ85,6)="Travel"),8*1000+83,"")</f>
        <v/>
      </c>
      <c r="AF84" s="244">
        <f>IF(AND(INDEX('Roster Summary'!$U$31:$U$180,83)=1,LEFT(Grid!AR85,6)="Travel"),9*1000+83,"")</f>
        <v/>
      </c>
      <c r="AG84" s="244">
        <f>IF(AND(INDEX('Roster Summary'!$U$31:$U$180,83)=1,LEFT(Grid!AS85,6)="Travel"),10*1000+83,"")</f>
        <v/>
      </c>
      <c r="AH84" s="244">
        <f>IF(AND(INDEX('Roster Summary'!$U$31:$U$180,83)=1,LEFT(Grid!AT85,6)="Travel"),11*1000+83,"")</f>
        <v/>
      </c>
      <c r="AI84" s="244">
        <f>IF(AND(INDEX('Roster Summary'!$U$31:$U$180,83)=1,LEFT(Grid!AU85,6)="Travel"),12*1000+83,"")</f>
        <v/>
      </c>
      <c r="AJ84" s="244">
        <f>IF(AND(INDEX('Roster Summary'!$U$31:$U$180,83)=1,LEFT(Grid!AV85,6)="Travel"),13*1000+83,"")</f>
        <v/>
      </c>
      <c r="AX84" s="244">
        <f>LOWER(TRIM('BHP Site Access'!B84&amp;"")&amp;"|"&amp;TRIM('BHP Site Access'!C84&amp;""))</f>
        <v/>
      </c>
      <c r="BB84" s="244">
        <f>IF('INPUT - Bookings'!$B84="",0,IF(AND(OR(Dashboard!$D$9="All",TRIM('INPUT - Bookings'!$C84)=Dashboard!$D$9),OR(Dashboard!$J$9="All",TRIM('INPUT - Bookings'!$D84)=Dashboard!$J$9)),1,0))</f>
        <v/>
      </c>
      <c r="BC84" s="244">
        <f>IF(AND(BB84=1,ISNUMBER('INPUT - Bookings'!$E84),'INPUT - Bookings'!$E84&gt;=Settings!$C$8,'INPUT - Bookings'!$E84&lt;=Settings!$C$8+14,IFERROR(INDEX(Settings!$Q$14:$Q$24,MATCH('INPUT - Bookings'!$G84,Settings!$P$14:$P$24,0)),"Yes")="Yes"),'INPUT - Bookings'!$E84+ROW()/100000,"")</f>
        <v/>
      </c>
    </row>
    <row r="85">
      <c r="W85" s="244">
        <f>IF(AND(INDEX('Roster Summary'!$U$31:$U$180,84)=1,LEFT(Grid!AI86,6)="Travel"),0*1000+84,"")</f>
        <v/>
      </c>
      <c r="X85" s="244">
        <f>IF(AND(INDEX('Roster Summary'!$U$31:$U$180,84)=1,LEFT(Grid!AJ86,6)="Travel"),1*1000+84,"")</f>
        <v/>
      </c>
      <c r="Y85" s="244">
        <f>IF(AND(INDEX('Roster Summary'!$U$31:$U$180,84)=1,LEFT(Grid!AK86,6)="Travel"),2*1000+84,"")</f>
        <v/>
      </c>
      <c r="Z85" s="244">
        <f>IF(AND(INDEX('Roster Summary'!$U$31:$U$180,84)=1,LEFT(Grid!AL86,6)="Travel"),3*1000+84,"")</f>
        <v/>
      </c>
      <c r="AA85" s="244">
        <f>IF(AND(INDEX('Roster Summary'!$U$31:$U$180,84)=1,LEFT(Grid!AM86,6)="Travel"),4*1000+84,"")</f>
        <v/>
      </c>
      <c r="AB85" s="244">
        <f>IF(AND(INDEX('Roster Summary'!$U$31:$U$180,84)=1,LEFT(Grid!AN86,6)="Travel"),5*1000+84,"")</f>
        <v/>
      </c>
      <c r="AC85" s="244">
        <f>IF(AND(INDEX('Roster Summary'!$U$31:$U$180,84)=1,LEFT(Grid!AO86,6)="Travel"),6*1000+84,"")</f>
        <v/>
      </c>
      <c r="AD85" s="244">
        <f>IF(AND(INDEX('Roster Summary'!$U$31:$U$180,84)=1,LEFT(Grid!AP86,6)="Travel"),7*1000+84,"")</f>
        <v/>
      </c>
      <c r="AE85" s="244">
        <f>IF(AND(INDEX('Roster Summary'!$U$31:$U$180,84)=1,LEFT(Grid!AQ86,6)="Travel"),8*1000+84,"")</f>
        <v/>
      </c>
      <c r="AF85" s="244">
        <f>IF(AND(INDEX('Roster Summary'!$U$31:$U$180,84)=1,LEFT(Grid!AR86,6)="Travel"),9*1000+84,"")</f>
        <v/>
      </c>
      <c r="AG85" s="244">
        <f>IF(AND(INDEX('Roster Summary'!$U$31:$U$180,84)=1,LEFT(Grid!AS86,6)="Travel"),10*1000+84,"")</f>
        <v/>
      </c>
      <c r="AH85" s="244">
        <f>IF(AND(INDEX('Roster Summary'!$U$31:$U$180,84)=1,LEFT(Grid!AT86,6)="Travel"),11*1000+84,"")</f>
        <v/>
      </c>
      <c r="AI85" s="244">
        <f>IF(AND(INDEX('Roster Summary'!$U$31:$U$180,84)=1,LEFT(Grid!AU86,6)="Travel"),12*1000+84,"")</f>
        <v/>
      </c>
      <c r="AJ85" s="244">
        <f>IF(AND(INDEX('Roster Summary'!$U$31:$U$180,84)=1,LEFT(Grid!AV86,6)="Travel"),13*1000+84,"")</f>
        <v/>
      </c>
      <c r="AX85" s="244">
        <f>LOWER(TRIM('BHP Site Access'!B85&amp;"")&amp;"|"&amp;TRIM('BHP Site Access'!C85&amp;""))</f>
        <v/>
      </c>
      <c r="BB85" s="244">
        <f>IF('INPUT - Bookings'!$B85="",0,IF(AND(OR(Dashboard!$D$9="All",TRIM('INPUT - Bookings'!$C85)=Dashboard!$D$9),OR(Dashboard!$J$9="All",TRIM('INPUT - Bookings'!$D85)=Dashboard!$J$9)),1,0))</f>
        <v/>
      </c>
      <c r="BC85" s="244">
        <f>IF(AND(BB85=1,ISNUMBER('INPUT - Bookings'!$E85),'INPUT - Bookings'!$E85&gt;=Settings!$C$8,'INPUT - Bookings'!$E85&lt;=Settings!$C$8+14,IFERROR(INDEX(Settings!$Q$14:$Q$24,MATCH('INPUT - Bookings'!$G85,Settings!$P$14:$P$24,0)),"Yes")="Yes"),'INPUT - Bookings'!$E85+ROW()/100000,"")</f>
        <v/>
      </c>
    </row>
    <row r="86">
      <c r="W86" s="244">
        <f>IF(AND(INDEX('Roster Summary'!$U$31:$U$180,85)=1,LEFT(Grid!AI87,6)="Travel"),0*1000+85,"")</f>
        <v/>
      </c>
      <c r="X86" s="244">
        <f>IF(AND(INDEX('Roster Summary'!$U$31:$U$180,85)=1,LEFT(Grid!AJ87,6)="Travel"),1*1000+85,"")</f>
        <v/>
      </c>
      <c r="Y86" s="244">
        <f>IF(AND(INDEX('Roster Summary'!$U$31:$U$180,85)=1,LEFT(Grid!AK87,6)="Travel"),2*1000+85,"")</f>
        <v/>
      </c>
      <c r="Z86" s="244">
        <f>IF(AND(INDEX('Roster Summary'!$U$31:$U$180,85)=1,LEFT(Grid!AL87,6)="Travel"),3*1000+85,"")</f>
        <v/>
      </c>
      <c r="AA86" s="244">
        <f>IF(AND(INDEX('Roster Summary'!$U$31:$U$180,85)=1,LEFT(Grid!AM87,6)="Travel"),4*1000+85,"")</f>
        <v/>
      </c>
      <c r="AB86" s="244">
        <f>IF(AND(INDEX('Roster Summary'!$U$31:$U$180,85)=1,LEFT(Grid!AN87,6)="Travel"),5*1000+85,"")</f>
        <v/>
      </c>
      <c r="AC86" s="244">
        <f>IF(AND(INDEX('Roster Summary'!$U$31:$U$180,85)=1,LEFT(Grid!AO87,6)="Travel"),6*1000+85,"")</f>
        <v/>
      </c>
      <c r="AD86" s="244">
        <f>IF(AND(INDEX('Roster Summary'!$U$31:$U$180,85)=1,LEFT(Grid!AP87,6)="Travel"),7*1000+85,"")</f>
        <v/>
      </c>
      <c r="AE86" s="244">
        <f>IF(AND(INDEX('Roster Summary'!$U$31:$U$180,85)=1,LEFT(Grid!AQ87,6)="Travel"),8*1000+85,"")</f>
        <v/>
      </c>
      <c r="AF86" s="244">
        <f>IF(AND(INDEX('Roster Summary'!$U$31:$U$180,85)=1,LEFT(Grid!AR87,6)="Travel"),9*1000+85,"")</f>
        <v/>
      </c>
      <c r="AG86" s="244">
        <f>IF(AND(INDEX('Roster Summary'!$U$31:$U$180,85)=1,LEFT(Grid!AS87,6)="Travel"),10*1000+85,"")</f>
        <v/>
      </c>
      <c r="AH86" s="244">
        <f>IF(AND(INDEX('Roster Summary'!$U$31:$U$180,85)=1,LEFT(Grid!AT87,6)="Travel"),11*1000+85,"")</f>
        <v/>
      </c>
      <c r="AI86" s="244">
        <f>IF(AND(INDEX('Roster Summary'!$U$31:$U$180,85)=1,LEFT(Grid!AU87,6)="Travel"),12*1000+85,"")</f>
        <v/>
      </c>
      <c r="AJ86" s="244">
        <f>IF(AND(INDEX('Roster Summary'!$U$31:$U$180,85)=1,LEFT(Grid!AV87,6)="Travel"),13*1000+85,"")</f>
        <v/>
      </c>
      <c r="AX86" s="244">
        <f>LOWER(TRIM('BHP Site Access'!B86&amp;"")&amp;"|"&amp;TRIM('BHP Site Access'!C86&amp;""))</f>
        <v/>
      </c>
      <c r="BB86" s="244">
        <f>IF('INPUT - Bookings'!$B86="",0,IF(AND(OR(Dashboard!$D$9="All",TRIM('INPUT - Bookings'!$C86)=Dashboard!$D$9),OR(Dashboard!$J$9="All",TRIM('INPUT - Bookings'!$D86)=Dashboard!$J$9)),1,0))</f>
        <v/>
      </c>
      <c r="BC86" s="244">
        <f>IF(AND(BB86=1,ISNUMBER('INPUT - Bookings'!$E86),'INPUT - Bookings'!$E86&gt;=Settings!$C$8,'INPUT - Bookings'!$E86&lt;=Settings!$C$8+14,IFERROR(INDEX(Settings!$Q$14:$Q$24,MATCH('INPUT - Bookings'!$G86,Settings!$P$14:$P$24,0)),"Yes")="Yes"),'INPUT - Bookings'!$E86+ROW()/100000,"")</f>
        <v/>
      </c>
    </row>
    <row r="87">
      <c r="W87" s="244">
        <f>IF(AND(INDEX('Roster Summary'!$U$31:$U$180,86)=1,LEFT(Grid!AI88,6)="Travel"),0*1000+86,"")</f>
        <v/>
      </c>
      <c r="X87" s="244">
        <f>IF(AND(INDEX('Roster Summary'!$U$31:$U$180,86)=1,LEFT(Grid!AJ88,6)="Travel"),1*1000+86,"")</f>
        <v/>
      </c>
      <c r="Y87" s="244">
        <f>IF(AND(INDEX('Roster Summary'!$U$31:$U$180,86)=1,LEFT(Grid!AK88,6)="Travel"),2*1000+86,"")</f>
        <v/>
      </c>
      <c r="Z87" s="244">
        <f>IF(AND(INDEX('Roster Summary'!$U$31:$U$180,86)=1,LEFT(Grid!AL88,6)="Travel"),3*1000+86,"")</f>
        <v/>
      </c>
      <c r="AA87" s="244">
        <f>IF(AND(INDEX('Roster Summary'!$U$31:$U$180,86)=1,LEFT(Grid!AM88,6)="Travel"),4*1000+86,"")</f>
        <v/>
      </c>
      <c r="AB87" s="244">
        <f>IF(AND(INDEX('Roster Summary'!$U$31:$U$180,86)=1,LEFT(Grid!AN88,6)="Travel"),5*1000+86,"")</f>
        <v/>
      </c>
      <c r="AC87" s="244">
        <f>IF(AND(INDEX('Roster Summary'!$U$31:$U$180,86)=1,LEFT(Grid!AO88,6)="Travel"),6*1000+86,"")</f>
        <v/>
      </c>
      <c r="AD87" s="244">
        <f>IF(AND(INDEX('Roster Summary'!$U$31:$U$180,86)=1,LEFT(Grid!AP88,6)="Travel"),7*1000+86,"")</f>
        <v/>
      </c>
      <c r="AE87" s="244">
        <f>IF(AND(INDEX('Roster Summary'!$U$31:$U$180,86)=1,LEFT(Grid!AQ88,6)="Travel"),8*1000+86,"")</f>
        <v/>
      </c>
      <c r="AF87" s="244">
        <f>IF(AND(INDEX('Roster Summary'!$U$31:$U$180,86)=1,LEFT(Grid!AR88,6)="Travel"),9*1000+86,"")</f>
        <v/>
      </c>
      <c r="AG87" s="244">
        <f>IF(AND(INDEX('Roster Summary'!$U$31:$U$180,86)=1,LEFT(Grid!AS88,6)="Travel"),10*1000+86,"")</f>
        <v/>
      </c>
      <c r="AH87" s="244">
        <f>IF(AND(INDEX('Roster Summary'!$U$31:$U$180,86)=1,LEFT(Grid!AT88,6)="Travel"),11*1000+86,"")</f>
        <v/>
      </c>
      <c r="AI87" s="244">
        <f>IF(AND(INDEX('Roster Summary'!$U$31:$U$180,86)=1,LEFT(Grid!AU88,6)="Travel"),12*1000+86,"")</f>
        <v/>
      </c>
      <c r="AJ87" s="244">
        <f>IF(AND(INDEX('Roster Summary'!$U$31:$U$180,86)=1,LEFT(Grid!AV88,6)="Travel"),13*1000+86,"")</f>
        <v/>
      </c>
      <c r="AX87" s="244">
        <f>LOWER(TRIM('BHP Site Access'!B87&amp;"")&amp;"|"&amp;TRIM('BHP Site Access'!C87&amp;""))</f>
        <v/>
      </c>
      <c r="BB87" s="244">
        <f>IF('INPUT - Bookings'!$B87="",0,IF(AND(OR(Dashboard!$D$9="All",TRIM('INPUT - Bookings'!$C87)=Dashboard!$D$9),OR(Dashboard!$J$9="All",TRIM('INPUT - Bookings'!$D87)=Dashboard!$J$9)),1,0))</f>
        <v/>
      </c>
      <c r="BC87" s="244">
        <f>IF(AND(BB87=1,ISNUMBER('INPUT - Bookings'!$E87),'INPUT - Bookings'!$E87&gt;=Settings!$C$8,'INPUT - Bookings'!$E87&lt;=Settings!$C$8+14,IFERROR(INDEX(Settings!$Q$14:$Q$24,MATCH('INPUT - Bookings'!$G87,Settings!$P$14:$P$24,0)),"Yes")="Yes"),'INPUT - Bookings'!$E87+ROW()/100000,"")</f>
        <v/>
      </c>
    </row>
    <row r="88">
      <c r="W88" s="244">
        <f>IF(AND(INDEX('Roster Summary'!$U$31:$U$180,87)=1,LEFT(Grid!AI89,6)="Travel"),0*1000+87,"")</f>
        <v/>
      </c>
      <c r="X88" s="244">
        <f>IF(AND(INDEX('Roster Summary'!$U$31:$U$180,87)=1,LEFT(Grid!AJ89,6)="Travel"),1*1000+87,"")</f>
        <v/>
      </c>
      <c r="Y88" s="244">
        <f>IF(AND(INDEX('Roster Summary'!$U$31:$U$180,87)=1,LEFT(Grid!AK89,6)="Travel"),2*1000+87,"")</f>
        <v/>
      </c>
      <c r="Z88" s="244">
        <f>IF(AND(INDEX('Roster Summary'!$U$31:$U$180,87)=1,LEFT(Grid!AL89,6)="Travel"),3*1000+87,"")</f>
        <v/>
      </c>
      <c r="AA88" s="244">
        <f>IF(AND(INDEX('Roster Summary'!$U$31:$U$180,87)=1,LEFT(Grid!AM89,6)="Travel"),4*1000+87,"")</f>
        <v/>
      </c>
      <c r="AB88" s="244">
        <f>IF(AND(INDEX('Roster Summary'!$U$31:$U$180,87)=1,LEFT(Grid!AN89,6)="Travel"),5*1000+87,"")</f>
        <v/>
      </c>
      <c r="AC88" s="244">
        <f>IF(AND(INDEX('Roster Summary'!$U$31:$U$180,87)=1,LEFT(Grid!AO89,6)="Travel"),6*1000+87,"")</f>
        <v/>
      </c>
      <c r="AD88" s="244">
        <f>IF(AND(INDEX('Roster Summary'!$U$31:$U$180,87)=1,LEFT(Grid!AP89,6)="Travel"),7*1000+87,"")</f>
        <v/>
      </c>
      <c r="AE88" s="244">
        <f>IF(AND(INDEX('Roster Summary'!$U$31:$U$180,87)=1,LEFT(Grid!AQ89,6)="Travel"),8*1000+87,"")</f>
        <v/>
      </c>
      <c r="AF88" s="244">
        <f>IF(AND(INDEX('Roster Summary'!$U$31:$U$180,87)=1,LEFT(Grid!AR89,6)="Travel"),9*1000+87,"")</f>
        <v/>
      </c>
      <c r="AG88" s="244">
        <f>IF(AND(INDEX('Roster Summary'!$U$31:$U$180,87)=1,LEFT(Grid!AS89,6)="Travel"),10*1000+87,"")</f>
        <v/>
      </c>
      <c r="AH88" s="244">
        <f>IF(AND(INDEX('Roster Summary'!$U$31:$U$180,87)=1,LEFT(Grid!AT89,6)="Travel"),11*1000+87,"")</f>
        <v/>
      </c>
      <c r="AI88" s="244">
        <f>IF(AND(INDEX('Roster Summary'!$U$31:$U$180,87)=1,LEFT(Grid!AU89,6)="Travel"),12*1000+87,"")</f>
        <v/>
      </c>
      <c r="AJ88" s="244">
        <f>IF(AND(INDEX('Roster Summary'!$U$31:$U$180,87)=1,LEFT(Grid!AV89,6)="Travel"),13*1000+87,"")</f>
        <v/>
      </c>
      <c r="AX88" s="244">
        <f>LOWER(TRIM('BHP Site Access'!B88&amp;"")&amp;"|"&amp;TRIM('BHP Site Access'!C88&amp;""))</f>
        <v/>
      </c>
      <c r="BB88" s="244">
        <f>IF('INPUT - Bookings'!$B88="",0,IF(AND(OR(Dashboard!$D$9="All",TRIM('INPUT - Bookings'!$C88)=Dashboard!$D$9),OR(Dashboard!$J$9="All",TRIM('INPUT - Bookings'!$D88)=Dashboard!$J$9)),1,0))</f>
        <v/>
      </c>
      <c r="BC88" s="244">
        <f>IF(AND(BB88=1,ISNUMBER('INPUT - Bookings'!$E88),'INPUT - Bookings'!$E88&gt;=Settings!$C$8,'INPUT - Bookings'!$E88&lt;=Settings!$C$8+14,IFERROR(INDEX(Settings!$Q$14:$Q$24,MATCH('INPUT - Bookings'!$G88,Settings!$P$14:$P$24,0)),"Yes")="Yes"),'INPUT - Bookings'!$E88+ROW()/100000,"")</f>
        <v/>
      </c>
    </row>
    <row r="89">
      <c r="W89" s="244">
        <f>IF(AND(INDEX('Roster Summary'!$U$31:$U$180,88)=1,LEFT(Grid!AI90,6)="Travel"),0*1000+88,"")</f>
        <v/>
      </c>
      <c r="X89" s="244">
        <f>IF(AND(INDEX('Roster Summary'!$U$31:$U$180,88)=1,LEFT(Grid!AJ90,6)="Travel"),1*1000+88,"")</f>
        <v/>
      </c>
      <c r="Y89" s="244">
        <f>IF(AND(INDEX('Roster Summary'!$U$31:$U$180,88)=1,LEFT(Grid!AK90,6)="Travel"),2*1000+88,"")</f>
        <v/>
      </c>
      <c r="Z89" s="244">
        <f>IF(AND(INDEX('Roster Summary'!$U$31:$U$180,88)=1,LEFT(Grid!AL90,6)="Travel"),3*1000+88,"")</f>
        <v/>
      </c>
      <c r="AA89" s="244">
        <f>IF(AND(INDEX('Roster Summary'!$U$31:$U$180,88)=1,LEFT(Grid!AM90,6)="Travel"),4*1000+88,"")</f>
        <v/>
      </c>
      <c r="AB89" s="244">
        <f>IF(AND(INDEX('Roster Summary'!$U$31:$U$180,88)=1,LEFT(Grid!AN90,6)="Travel"),5*1000+88,"")</f>
        <v/>
      </c>
      <c r="AC89" s="244">
        <f>IF(AND(INDEX('Roster Summary'!$U$31:$U$180,88)=1,LEFT(Grid!AO90,6)="Travel"),6*1000+88,"")</f>
        <v/>
      </c>
      <c r="AD89" s="244">
        <f>IF(AND(INDEX('Roster Summary'!$U$31:$U$180,88)=1,LEFT(Grid!AP90,6)="Travel"),7*1000+88,"")</f>
        <v/>
      </c>
      <c r="AE89" s="244">
        <f>IF(AND(INDEX('Roster Summary'!$U$31:$U$180,88)=1,LEFT(Grid!AQ90,6)="Travel"),8*1000+88,"")</f>
        <v/>
      </c>
      <c r="AF89" s="244">
        <f>IF(AND(INDEX('Roster Summary'!$U$31:$U$180,88)=1,LEFT(Grid!AR90,6)="Travel"),9*1000+88,"")</f>
        <v/>
      </c>
      <c r="AG89" s="244">
        <f>IF(AND(INDEX('Roster Summary'!$U$31:$U$180,88)=1,LEFT(Grid!AS90,6)="Travel"),10*1000+88,"")</f>
        <v/>
      </c>
      <c r="AH89" s="244">
        <f>IF(AND(INDEX('Roster Summary'!$U$31:$U$180,88)=1,LEFT(Grid!AT90,6)="Travel"),11*1000+88,"")</f>
        <v/>
      </c>
      <c r="AI89" s="244">
        <f>IF(AND(INDEX('Roster Summary'!$U$31:$U$180,88)=1,LEFT(Grid!AU90,6)="Travel"),12*1000+88,"")</f>
        <v/>
      </c>
      <c r="AJ89" s="244">
        <f>IF(AND(INDEX('Roster Summary'!$U$31:$U$180,88)=1,LEFT(Grid!AV90,6)="Travel"),13*1000+88,"")</f>
        <v/>
      </c>
      <c r="AX89" s="244">
        <f>LOWER(TRIM('BHP Site Access'!B89&amp;"")&amp;"|"&amp;TRIM('BHP Site Access'!C89&amp;""))</f>
        <v/>
      </c>
      <c r="BB89" s="244">
        <f>IF('INPUT - Bookings'!$B89="",0,IF(AND(OR(Dashboard!$D$9="All",TRIM('INPUT - Bookings'!$C89)=Dashboard!$D$9),OR(Dashboard!$J$9="All",TRIM('INPUT - Bookings'!$D89)=Dashboard!$J$9)),1,0))</f>
        <v/>
      </c>
      <c r="BC89" s="244">
        <f>IF(AND(BB89=1,ISNUMBER('INPUT - Bookings'!$E89),'INPUT - Bookings'!$E89&gt;=Settings!$C$8,'INPUT - Bookings'!$E89&lt;=Settings!$C$8+14,IFERROR(INDEX(Settings!$Q$14:$Q$24,MATCH('INPUT - Bookings'!$G89,Settings!$P$14:$P$24,0)),"Yes")="Yes"),'INPUT - Bookings'!$E89+ROW()/100000,"")</f>
        <v/>
      </c>
    </row>
    <row r="90">
      <c r="W90" s="244">
        <f>IF(AND(INDEX('Roster Summary'!$U$31:$U$180,89)=1,LEFT(Grid!AI91,6)="Travel"),0*1000+89,"")</f>
        <v/>
      </c>
      <c r="X90" s="244">
        <f>IF(AND(INDEX('Roster Summary'!$U$31:$U$180,89)=1,LEFT(Grid!AJ91,6)="Travel"),1*1000+89,"")</f>
        <v/>
      </c>
      <c r="Y90" s="244">
        <f>IF(AND(INDEX('Roster Summary'!$U$31:$U$180,89)=1,LEFT(Grid!AK91,6)="Travel"),2*1000+89,"")</f>
        <v/>
      </c>
      <c r="Z90" s="244">
        <f>IF(AND(INDEX('Roster Summary'!$U$31:$U$180,89)=1,LEFT(Grid!AL91,6)="Travel"),3*1000+89,"")</f>
        <v/>
      </c>
      <c r="AA90" s="244">
        <f>IF(AND(INDEX('Roster Summary'!$U$31:$U$180,89)=1,LEFT(Grid!AM91,6)="Travel"),4*1000+89,"")</f>
        <v/>
      </c>
      <c r="AB90" s="244">
        <f>IF(AND(INDEX('Roster Summary'!$U$31:$U$180,89)=1,LEFT(Grid!AN91,6)="Travel"),5*1000+89,"")</f>
        <v/>
      </c>
      <c r="AC90" s="244">
        <f>IF(AND(INDEX('Roster Summary'!$U$31:$U$180,89)=1,LEFT(Grid!AO91,6)="Travel"),6*1000+89,"")</f>
        <v/>
      </c>
      <c r="AD90" s="244">
        <f>IF(AND(INDEX('Roster Summary'!$U$31:$U$180,89)=1,LEFT(Grid!AP91,6)="Travel"),7*1000+89,"")</f>
        <v/>
      </c>
      <c r="AE90" s="244">
        <f>IF(AND(INDEX('Roster Summary'!$U$31:$U$180,89)=1,LEFT(Grid!AQ91,6)="Travel"),8*1000+89,"")</f>
        <v/>
      </c>
      <c r="AF90" s="244">
        <f>IF(AND(INDEX('Roster Summary'!$U$31:$U$180,89)=1,LEFT(Grid!AR91,6)="Travel"),9*1000+89,"")</f>
        <v/>
      </c>
      <c r="AG90" s="244">
        <f>IF(AND(INDEX('Roster Summary'!$U$31:$U$180,89)=1,LEFT(Grid!AS91,6)="Travel"),10*1000+89,"")</f>
        <v/>
      </c>
      <c r="AH90" s="244">
        <f>IF(AND(INDEX('Roster Summary'!$U$31:$U$180,89)=1,LEFT(Grid!AT91,6)="Travel"),11*1000+89,"")</f>
        <v/>
      </c>
      <c r="AI90" s="244">
        <f>IF(AND(INDEX('Roster Summary'!$U$31:$U$180,89)=1,LEFT(Grid!AU91,6)="Travel"),12*1000+89,"")</f>
        <v/>
      </c>
      <c r="AJ90" s="244">
        <f>IF(AND(INDEX('Roster Summary'!$U$31:$U$180,89)=1,LEFT(Grid!AV91,6)="Travel"),13*1000+89,"")</f>
        <v/>
      </c>
      <c r="AX90" s="244">
        <f>LOWER(TRIM('BHP Site Access'!B90&amp;"")&amp;"|"&amp;TRIM('BHP Site Access'!C90&amp;""))</f>
        <v/>
      </c>
      <c r="BB90" s="244">
        <f>IF('INPUT - Bookings'!$B90="",0,IF(AND(OR(Dashboard!$D$9="All",TRIM('INPUT - Bookings'!$C90)=Dashboard!$D$9),OR(Dashboard!$J$9="All",TRIM('INPUT - Bookings'!$D90)=Dashboard!$J$9)),1,0))</f>
        <v/>
      </c>
      <c r="BC90" s="244">
        <f>IF(AND(BB90=1,ISNUMBER('INPUT - Bookings'!$E90),'INPUT - Bookings'!$E90&gt;=Settings!$C$8,'INPUT - Bookings'!$E90&lt;=Settings!$C$8+14,IFERROR(INDEX(Settings!$Q$14:$Q$24,MATCH('INPUT - Bookings'!$G90,Settings!$P$14:$P$24,0)),"Yes")="Yes"),'INPUT - Bookings'!$E90+ROW()/100000,"")</f>
        <v/>
      </c>
    </row>
    <row r="91">
      <c r="W91" s="244">
        <f>IF(AND(INDEX('Roster Summary'!$U$31:$U$180,90)=1,LEFT(Grid!AI92,6)="Travel"),0*1000+90,"")</f>
        <v/>
      </c>
      <c r="X91" s="244">
        <f>IF(AND(INDEX('Roster Summary'!$U$31:$U$180,90)=1,LEFT(Grid!AJ92,6)="Travel"),1*1000+90,"")</f>
        <v/>
      </c>
      <c r="Y91" s="244">
        <f>IF(AND(INDEX('Roster Summary'!$U$31:$U$180,90)=1,LEFT(Grid!AK92,6)="Travel"),2*1000+90,"")</f>
        <v/>
      </c>
      <c r="Z91" s="244">
        <f>IF(AND(INDEX('Roster Summary'!$U$31:$U$180,90)=1,LEFT(Grid!AL92,6)="Travel"),3*1000+90,"")</f>
        <v/>
      </c>
      <c r="AA91" s="244">
        <f>IF(AND(INDEX('Roster Summary'!$U$31:$U$180,90)=1,LEFT(Grid!AM92,6)="Travel"),4*1000+90,"")</f>
        <v/>
      </c>
      <c r="AB91" s="244">
        <f>IF(AND(INDEX('Roster Summary'!$U$31:$U$180,90)=1,LEFT(Grid!AN92,6)="Travel"),5*1000+90,"")</f>
        <v/>
      </c>
      <c r="AC91" s="244">
        <f>IF(AND(INDEX('Roster Summary'!$U$31:$U$180,90)=1,LEFT(Grid!AO92,6)="Travel"),6*1000+90,"")</f>
        <v/>
      </c>
      <c r="AD91" s="244">
        <f>IF(AND(INDEX('Roster Summary'!$U$31:$U$180,90)=1,LEFT(Grid!AP92,6)="Travel"),7*1000+90,"")</f>
        <v/>
      </c>
      <c r="AE91" s="244">
        <f>IF(AND(INDEX('Roster Summary'!$U$31:$U$180,90)=1,LEFT(Grid!AQ92,6)="Travel"),8*1000+90,"")</f>
        <v/>
      </c>
      <c r="AF91" s="244">
        <f>IF(AND(INDEX('Roster Summary'!$U$31:$U$180,90)=1,LEFT(Grid!AR92,6)="Travel"),9*1000+90,"")</f>
        <v/>
      </c>
      <c r="AG91" s="244">
        <f>IF(AND(INDEX('Roster Summary'!$U$31:$U$180,90)=1,LEFT(Grid!AS92,6)="Travel"),10*1000+90,"")</f>
        <v/>
      </c>
      <c r="AH91" s="244">
        <f>IF(AND(INDEX('Roster Summary'!$U$31:$U$180,90)=1,LEFT(Grid!AT92,6)="Travel"),11*1000+90,"")</f>
        <v/>
      </c>
      <c r="AI91" s="244">
        <f>IF(AND(INDEX('Roster Summary'!$U$31:$U$180,90)=1,LEFT(Grid!AU92,6)="Travel"),12*1000+90,"")</f>
        <v/>
      </c>
      <c r="AJ91" s="244">
        <f>IF(AND(INDEX('Roster Summary'!$U$31:$U$180,90)=1,LEFT(Grid!AV92,6)="Travel"),13*1000+90,"")</f>
        <v/>
      </c>
      <c r="AX91" s="244">
        <f>LOWER(TRIM('BHP Site Access'!B91&amp;"")&amp;"|"&amp;TRIM('BHP Site Access'!C91&amp;""))</f>
        <v/>
      </c>
      <c r="BB91" s="244">
        <f>IF('INPUT - Bookings'!$B91="",0,IF(AND(OR(Dashboard!$D$9="All",TRIM('INPUT - Bookings'!$C91)=Dashboard!$D$9),OR(Dashboard!$J$9="All",TRIM('INPUT - Bookings'!$D91)=Dashboard!$J$9)),1,0))</f>
        <v/>
      </c>
      <c r="BC91" s="244">
        <f>IF(AND(BB91=1,ISNUMBER('INPUT - Bookings'!$E91),'INPUT - Bookings'!$E91&gt;=Settings!$C$8,'INPUT - Bookings'!$E91&lt;=Settings!$C$8+14,IFERROR(INDEX(Settings!$Q$14:$Q$24,MATCH('INPUT - Bookings'!$G91,Settings!$P$14:$P$24,0)),"Yes")="Yes"),'INPUT - Bookings'!$E91+ROW()/100000,"")</f>
        <v/>
      </c>
    </row>
    <row r="92">
      <c r="W92" s="244">
        <f>IF(AND(INDEX('Roster Summary'!$U$31:$U$180,91)=1,LEFT(Grid!AI93,6)="Travel"),0*1000+91,"")</f>
        <v/>
      </c>
      <c r="X92" s="244">
        <f>IF(AND(INDEX('Roster Summary'!$U$31:$U$180,91)=1,LEFT(Grid!AJ93,6)="Travel"),1*1000+91,"")</f>
        <v/>
      </c>
      <c r="Y92" s="244">
        <f>IF(AND(INDEX('Roster Summary'!$U$31:$U$180,91)=1,LEFT(Grid!AK93,6)="Travel"),2*1000+91,"")</f>
        <v/>
      </c>
      <c r="Z92" s="244">
        <f>IF(AND(INDEX('Roster Summary'!$U$31:$U$180,91)=1,LEFT(Grid!AL93,6)="Travel"),3*1000+91,"")</f>
        <v/>
      </c>
      <c r="AA92" s="244">
        <f>IF(AND(INDEX('Roster Summary'!$U$31:$U$180,91)=1,LEFT(Grid!AM93,6)="Travel"),4*1000+91,"")</f>
        <v/>
      </c>
      <c r="AB92" s="244">
        <f>IF(AND(INDEX('Roster Summary'!$U$31:$U$180,91)=1,LEFT(Grid!AN93,6)="Travel"),5*1000+91,"")</f>
        <v/>
      </c>
      <c r="AC92" s="244">
        <f>IF(AND(INDEX('Roster Summary'!$U$31:$U$180,91)=1,LEFT(Grid!AO93,6)="Travel"),6*1000+91,"")</f>
        <v/>
      </c>
      <c r="AD92" s="244">
        <f>IF(AND(INDEX('Roster Summary'!$U$31:$U$180,91)=1,LEFT(Grid!AP93,6)="Travel"),7*1000+91,"")</f>
        <v/>
      </c>
      <c r="AE92" s="244">
        <f>IF(AND(INDEX('Roster Summary'!$U$31:$U$180,91)=1,LEFT(Grid!AQ93,6)="Travel"),8*1000+91,"")</f>
        <v/>
      </c>
      <c r="AF92" s="244">
        <f>IF(AND(INDEX('Roster Summary'!$U$31:$U$180,91)=1,LEFT(Grid!AR93,6)="Travel"),9*1000+91,"")</f>
        <v/>
      </c>
      <c r="AG92" s="244">
        <f>IF(AND(INDEX('Roster Summary'!$U$31:$U$180,91)=1,LEFT(Grid!AS93,6)="Travel"),10*1000+91,"")</f>
        <v/>
      </c>
      <c r="AH92" s="244">
        <f>IF(AND(INDEX('Roster Summary'!$U$31:$U$180,91)=1,LEFT(Grid!AT93,6)="Travel"),11*1000+91,"")</f>
        <v/>
      </c>
      <c r="AI92" s="244">
        <f>IF(AND(INDEX('Roster Summary'!$U$31:$U$180,91)=1,LEFT(Grid!AU93,6)="Travel"),12*1000+91,"")</f>
        <v/>
      </c>
      <c r="AJ92" s="244">
        <f>IF(AND(INDEX('Roster Summary'!$U$31:$U$180,91)=1,LEFT(Grid!AV93,6)="Travel"),13*1000+91,"")</f>
        <v/>
      </c>
      <c r="AX92" s="244">
        <f>LOWER(TRIM('BHP Site Access'!B92&amp;"")&amp;"|"&amp;TRIM('BHP Site Access'!C92&amp;""))</f>
        <v/>
      </c>
      <c r="BB92" s="244">
        <f>IF('INPUT - Bookings'!$B92="",0,IF(AND(OR(Dashboard!$D$9="All",TRIM('INPUT - Bookings'!$C92)=Dashboard!$D$9),OR(Dashboard!$J$9="All",TRIM('INPUT - Bookings'!$D92)=Dashboard!$J$9)),1,0))</f>
        <v/>
      </c>
      <c r="BC92" s="244">
        <f>IF(AND(BB92=1,ISNUMBER('INPUT - Bookings'!$E92),'INPUT - Bookings'!$E92&gt;=Settings!$C$8,'INPUT - Bookings'!$E92&lt;=Settings!$C$8+14,IFERROR(INDEX(Settings!$Q$14:$Q$24,MATCH('INPUT - Bookings'!$G92,Settings!$P$14:$P$24,0)),"Yes")="Yes"),'INPUT - Bookings'!$E92+ROW()/100000,"")</f>
        <v/>
      </c>
    </row>
    <row r="93">
      <c r="W93" s="244">
        <f>IF(AND(INDEX('Roster Summary'!$U$31:$U$180,92)=1,LEFT(Grid!AI94,6)="Travel"),0*1000+92,"")</f>
        <v/>
      </c>
      <c r="X93" s="244">
        <f>IF(AND(INDEX('Roster Summary'!$U$31:$U$180,92)=1,LEFT(Grid!AJ94,6)="Travel"),1*1000+92,"")</f>
        <v/>
      </c>
      <c r="Y93" s="244">
        <f>IF(AND(INDEX('Roster Summary'!$U$31:$U$180,92)=1,LEFT(Grid!AK94,6)="Travel"),2*1000+92,"")</f>
        <v/>
      </c>
      <c r="Z93" s="244">
        <f>IF(AND(INDEX('Roster Summary'!$U$31:$U$180,92)=1,LEFT(Grid!AL94,6)="Travel"),3*1000+92,"")</f>
        <v/>
      </c>
      <c r="AA93" s="244">
        <f>IF(AND(INDEX('Roster Summary'!$U$31:$U$180,92)=1,LEFT(Grid!AM94,6)="Travel"),4*1000+92,"")</f>
        <v/>
      </c>
      <c r="AB93" s="244">
        <f>IF(AND(INDEX('Roster Summary'!$U$31:$U$180,92)=1,LEFT(Grid!AN94,6)="Travel"),5*1000+92,"")</f>
        <v/>
      </c>
      <c r="AC93" s="244">
        <f>IF(AND(INDEX('Roster Summary'!$U$31:$U$180,92)=1,LEFT(Grid!AO94,6)="Travel"),6*1000+92,"")</f>
        <v/>
      </c>
      <c r="AD93" s="244">
        <f>IF(AND(INDEX('Roster Summary'!$U$31:$U$180,92)=1,LEFT(Grid!AP94,6)="Travel"),7*1000+92,"")</f>
        <v/>
      </c>
      <c r="AE93" s="244">
        <f>IF(AND(INDEX('Roster Summary'!$U$31:$U$180,92)=1,LEFT(Grid!AQ94,6)="Travel"),8*1000+92,"")</f>
        <v/>
      </c>
      <c r="AF93" s="244">
        <f>IF(AND(INDEX('Roster Summary'!$U$31:$U$180,92)=1,LEFT(Grid!AR94,6)="Travel"),9*1000+92,"")</f>
        <v/>
      </c>
      <c r="AG93" s="244">
        <f>IF(AND(INDEX('Roster Summary'!$U$31:$U$180,92)=1,LEFT(Grid!AS94,6)="Travel"),10*1000+92,"")</f>
        <v/>
      </c>
      <c r="AH93" s="244">
        <f>IF(AND(INDEX('Roster Summary'!$U$31:$U$180,92)=1,LEFT(Grid!AT94,6)="Travel"),11*1000+92,"")</f>
        <v/>
      </c>
      <c r="AI93" s="244">
        <f>IF(AND(INDEX('Roster Summary'!$U$31:$U$180,92)=1,LEFT(Grid!AU94,6)="Travel"),12*1000+92,"")</f>
        <v/>
      </c>
      <c r="AJ93" s="244">
        <f>IF(AND(INDEX('Roster Summary'!$U$31:$U$180,92)=1,LEFT(Grid!AV94,6)="Travel"),13*1000+92,"")</f>
        <v/>
      </c>
      <c r="AX93" s="244">
        <f>LOWER(TRIM('BHP Site Access'!B93&amp;"")&amp;"|"&amp;TRIM('BHP Site Access'!C93&amp;""))</f>
        <v/>
      </c>
      <c r="BB93" s="244">
        <f>IF('INPUT - Bookings'!$B93="",0,IF(AND(OR(Dashboard!$D$9="All",TRIM('INPUT - Bookings'!$C93)=Dashboard!$D$9),OR(Dashboard!$J$9="All",TRIM('INPUT - Bookings'!$D93)=Dashboard!$J$9)),1,0))</f>
        <v/>
      </c>
      <c r="BC93" s="244">
        <f>IF(AND(BB93=1,ISNUMBER('INPUT - Bookings'!$E93),'INPUT - Bookings'!$E93&gt;=Settings!$C$8,'INPUT - Bookings'!$E93&lt;=Settings!$C$8+14,IFERROR(INDEX(Settings!$Q$14:$Q$24,MATCH('INPUT - Bookings'!$G93,Settings!$P$14:$P$24,0)),"Yes")="Yes"),'INPUT - Bookings'!$E93+ROW()/100000,"")</f>
        <v/>
      </c>
    </row>
    <row r="94">
      <c r="W94" s="244">
        <f>IF(AND(INDEX('Roster Summary'!$U$31:$U$180,93)=1,LEFT(Grid!AI95,6)="Travel"),0*1000+93,"")</f>
        <v/>
      </c>
      <c r="X94" s="244">
        <f>IF(AND(INDEX('Roster Summary'!$U$31:$U$180,93)=1,LEFT(Grid!AJ95,6)="Travel"),1*1000+93,"")</f>
        <v/>
      </c>
      <c r="Y94" s="244">
        <f>IF(AND(INDEX('Roster Summary'!$U$31:$U$180,93)=1,LEFT(Grid!AK95,6)="Travel"),2*1000+93,"")</f>
        <v/>
      </c>
      <c r="Z94" s="244">
        <f>IF(AND(INDEX('Roster Summary'!$U$31:$U$180,93)=1,LEFT(Grid!AL95,6)="Travel"),3*1000+93,"")</f>
        <v/>
      </c>
      <c r="AA94" s="244">
        <f>IF(AND(INDEX('Roster Summary'!$U$31:$U$180,93)=1,LEFT(Grid!AM95,6)="Travel"),4*1000+93,"")</f>
        <v/>
      </c>
      <c r="AB94" s="244">
        <f>IF(AND(INDEX('Roster Summary'!$U$31:$U$180,93)=1,LEFT(Grid!AN95,6)="Travel"),5*1000+93,"")</f>
        <v/>
      </c>
      <c r="AC94" s="244">
        <f>IF(AND(INDEX('Roster Summary'!$U$31:$U$180,93)=1,LEFT(Grid!AO95,6)="Travel"),6*1000+93,"")</f>
        <v/>
      </c>
      <c r="AD94" s="244">
        <f>IF(AND(INDEX('Roster Summary'!$U$31:$U$180,93)=1,LEFT(Grid!AP95,6)="Travel"),7*1000+93,"")</f>
        <v/>
      </c>
      <c r="AE94" s="244">
        <f>IF(AND(INDEX('Roster Summary'!$U$31:$U$180,93)=1,LEFT(Grid!AQ95,6)="Travel"),8*1000+93,"")</f>
        <v/>
      </c>
      <c r="AF94" s="244">
        <f>IF(AND(INDEX('Roster Summary'!$U$31:$U$180,93)=1,LEFT(Grid!AR95,6)="Travel"),9*1000+93,"")</f>
        <v/>
      </c>
      <c r="AG94" s="244">
        <f>IF(AND(INDEX('Roster Summary'!$U$31:$U$180,93)=1,LEFT(Grid!AS95,6)="Travel"),10*1000+93,"")</f>
        <v/>
      </c>
      <c r="AH94" s="244">
        <f>IF(AND(INDEX('Roster Summary'!$U$31:$U$180,93)=1,LEFT(Grid!AT95,6)="Travel"),11*1000+93,"")</f>
        <v/>
      </c>
      <c r="AI94" s="244">
        <f>IF(AND(INDEX('Roster Summary'!$U$31:$U$180,93)=1,LEFT(Grid!AU95,6)="Travel"),12*1000+93,"")</f>
        <v/>
      </c>
      <c r="AJ94" s="244">
        <f>IF(AND(INDEX('Roster Summary'!$U$31:$U$180,93)=1,LEFT(Grid!AV95,6)="Travel"),13*1000+93,"")</f>
        <v/>
      </c>
      <c r="AX94" s="244">
        <f>LOWER(TRIM('BHP Site Access'!B94&amp;"")&amp;"|"&amp;TRIM('BHP Site Access'!C94&amp;""))</f>
        <v/>
      </c>
      <c r="BB94" s="244">
        <f>IF('INPUT - Bookings'!$B94="",0,IF(AND(OR(Dashboard!$D$9="All",TRIM('INPUT - Bookings'!$C94)=Dashboard!$D$9),OR(Dashboard!$J$9="All",TRIM('INPUT - Bookings'!$D94)=Dashboard!$J$9)),1,0))</f>
        <v/>
      </c>
      <c r="BC94" s="244">
        <f>IF(AND(BB94=1,ISNUMBER('INPUT - Bookings'!$E94),'INPUT - Bookings'!$E94&gt;=Settings!$C$8,'INPUT - Bookings'!$E94&lt;=Settings!$C$8+14,IFERROR(INDEX(Settings!$Q$14:$Q$24,MATCH('INPUT - Bookings'!$G94,Settings!$P$14:$P$24,0)),"Yes")="Yes"),'INPUT - Bookings'!$E94+ROW()/100000,"")</f>
        <v/>
      </c>
    </row>
    <row r="95">
      <c r="W95" s="244">
        <f>IF(AND(INDEX('Roster Summary'!$U$31:$U$180,94)=1,LEFT(Grid!AI96,6)="Travel"),0*1000+94,"")</f>
        <v/>
      </c>
      <c r="X95" s="244">
        <f>IF(AND(INDEX('Roster Summary'!$U$31:$U$180,94)=1,LEFT(Grid!AJ96,6)="Travel"),1*1000+94,"")</f>
        <v/>
      </c>
      <c r="Y95" s="244">
        <f>IF(AND(INDEX('Roster Summary'!$U$31:$U$180,94)=1,LEFT(Grid!AK96,6)="Travel"),2*1000+94,"")</f>
        <v/>
      </c>
      <c r="Z95" s="244">
        <f>IF(AND(INDEX('Roster Summary'!$U$31:$U$180,94)=1,LEFT(Grid!AL96,6)="Travel"),3*1000+94,"")</f>
        <v/>
      </c>
      <c r="AA95" s="244">
        <f>IF(AND(INDEX('Roster Summary'!$U$31:$U$180,94)=1,LEFT(Grid!AM96,6)="Travel"),4*1000+94,"")</f>
        <v/>
      </c>
      <c r="AB95" s="244">
        <f>IF(AND(INDEX('Roster Summary'!$U$31:$U$180,94)=1,LEFT(Grid!AN96,6)="Travel"),5*1000+94,"")</f>
        <v/>
      </c>
      <c r="AC95" s="244">
        <f>IF(AND(INDEX('Roster Summary'!$U$31:$U$180,94)=1,LEFT(Grid!AO96,6)="Travel"),6*1000+94,"")</f>
        <v/>
      </c>
      <c r="AD95" s="244">
        <f>IF(AND(INDEX('Roster Summary'!$U$31:$U$180,94)=1,LEFT(Grid!AP96,6)="Travel"),7*1000+94,"")</f>
        <v/>
      </c>
      <c r="AE95" s="244">
        <f>IF(AND(INDEX('Roster Summary'!$U$31:$U$180,94)=1,LEFT(Grid!AQ96,6)="Travel"),8*1000+94,"")</f>
        <v/>
      </c>
      <c r="AF95" s="244">
        <f>IF(AND(INDEX('Roster Summary'!$U$31:$U$180,94)=1,LEFT(Grid!AR96,6)="Travel"),9*1000+94,"")</f>
        <v/>
      </c>
      <c r="AG95" s="244">
        <f>IF(AND(INDEX('Roster Summary'!$U$31:$U$180,94)=1,LEFT(Grid!AS96,6)="Travel"),10*1000+94,"")</f>
        <v/>
      </c>
      <c r="AH95" s="244">
        <f>IF(AND(INDEX('Roster Summary'!$U$31:$U$180,94)=1,LEFT(Grid!AT96,6)="Travel"),11*1000+94,"")</f>
        <v/>
      </c>
      <c r="AI95" s="244">
        <f>IF(AND(INDEX('Roster Summary'!$U$31:$U$180,94)=1,LEFT(Grid!AU96,6)="Travel"),12*1000+94,"")</f>
        <v/>
      </c>
      <c r="AJ95" s="244">
        <f>IF(AND(INDEX('Roster Summary'!$U$31:$U$180,94)=1,LEFT(Grid!AV96,6)="Travel"),13*1000+94,"")</f>
        <v/>
      </c>
      <c r="AX95" s="244">
        <f>LOWER(TRIM('BHP Site Access'!B95&amp;"")&amp;"|"&amp;TRIM('BHP Site Access'!C95&amp;""))</f>
        <v/>
      </c>
      <c r="BB95" s="244">
        <f>IF('INPUT - Bookings'!$B95="",0,IF(AND(OR(Dashboard!$D$9="All",TRIM('INPUT - Bookings'!$C95)=Dashboard!$D$9),OR(Dashboard!$J$9="All",TRIM('INPUT - Bookings'!$D95)=Dashboard!$J$9)),1,0))</f>
        <v/>
      </c>
      <c r="BC95" s="244">
        <f>IF(AND(BB95=1,ISNUMBER('INPUT - Bookings'!$E95),'INPUT - Bookings'!$E95&gt;=Settings!$C$8,'INPUT - Bookings'!$E95&lt;=Settings!$C$8+14,IFERROR(INDEX(Settings!$Q$14:$Q$24,MATCH('INPUT - Bookings'!$G95,Settings!$P$14:$P$24,0)),"Yes")="Yes"),'INPUT - Bookings'!$E95+ROW()/100000,"")</f>
        <v/>
      </c>
    </row>
    <row r="96">
      <c r="W96" s="244">
        <f>IF(AND(INDEX('Roster Summary'!$U$31:$U$180,95)=1,LEFT(Grid!AI97,6)="Travel"),0*1000+95,"")</f>
        <v/>
      </c>
      <c r="X96" s="244">
        <f>IF(AND(INDEX('Roster Summary'!$U$31:$U$180,95)=1,LEFT(Grid!AJ97,6)="Travel"),1*1000+95,"")</f>
        <v/>
      </c>
      <c r="Y96" s="244">
        <f>IF(AND(INDEX('Roster Summary'!$U$31:$U$180,95)=1,LEFT(Grid!AK97,6)="Travel"),2*1000+95,"")</f>
        <v/>
      </c>
      <c r="Z96" s="244">
        <f>IF(AND(INDEX('Roster Summary'!$U$31:$U$180,95)=1,LEFT(Grid!AL97,6)="Travel"),3*1000+95,"")</f>
        <v/>
      </c>
      <c r="AA96" s="244">
        <f>IF(AND(INDEX('Roster Summary'!$U$31:$U$180,95)=1,LEFT(Grid!AM97,6)="Travel"),4*1000+95,"")</f>
        <v/>
      </c>
      <c r="AB96" s="244">
        <f>IF(AND(INDEX('Roster Summary'!$U$31:$U$180,95)=1,LEFT(Grid!AN97,6)="Travel"),5*1000+95,"")</f>
        <v/>
      </c>
      <c r="AC96" s="244">
        <f>IF(AND(INDEX('Roster Summary'!$U$31:$U$180,95)=1,LEFT(Grid!AO97,6)="Travel"),6*1000+95,"")</f>
        <v/>
      </c>
      <c r="AD96" s="244">
        <f>IF(AND(INDEX('Roster Summary'!$U$31:$U$180,95)=1,LEFT(Grid!AP97,6)="Travel"),7*1000+95,"")</f>
        <v/>
      </c>
      <c r="AE96" s="244">
        <f>IF(AND(INDEX('Roster Summary'!$U$31:$U$180,95)=1,LEFT(Grid!AQ97,6)="Travel"),8*1000+95,"")</f>
        <v/>
      </c>
      <c r="AF96" s="244">
        <f>IF(AND(INDEX('Roster Summary'!$U$31:$U$180,95)=1,LEFT(Grid!AR97,6)="Travel"),9*1000+95,"")</f>
        <v/>
      </c>
      <c r="AG96" s="244">
        <f>IF(AND(INDEX('Roster Summary'!$U$31:$U$180,95)=1,LEFT(Grid!AS97,6)="Travel"),10*1000+95,"")</f>
        <v/>
      </c>
      <c r="AH96" s="244">
        <f>IF(AND(INDEX('Roster Summary'!$U$31:$U$180,95)=1,LEFT(Grid!AT97,6)="Travel"),11*1000+95,"")</f>
        <v/>
      </c>
      <c r="AI96" s="244">
        <f>IF(AND(INDEX('Roster Summary'!$U$31:$U$180,95)=1,LEFT(Grid!AU97,6)="Travel"),12*1000+95,"")</f>
        <v/>
      </c>
      <c r="AJ96" s="244">
        <f>IF(AND(INDEX('Roster Summary'!$U$31:$U$180,95)=1,LEFT(Grid!AV97,6)="Travel"),13*1000+95,"")</f>
        <v/>
      </c>
      <c r="AX96" s="244">
        <f>LOWER(TRIM('BHP Site Access'!B96&amp;"")&amp;"|"&amp;TRIM('BHP Site Access'!C96&amp;""))</f>
        <v/>
      </c>
      <c r="BB96" s="244">
        <f>IF('INPUT - Bookings'!$B96="",0,IF(AND(OR(Dashboard!$D$9="All",TRIM('INPUT - Bookings'!$C96)=Dashboard!$D$9),OR(Dashboard!$J$9="All",TRIM('INPUT - Bookings'!$D96)=Dashboard!$J$9)),1,0))</f>
        <v/>
      </c>
      <c r="BC96" s="244">
        <f>IF(AND(BB96=1,ISNUMBER('INPUT - Bookings'!$E96),'INPUT - Bookings'!$E96&gt;=Settings!$C$8,'INPUT - Bookings'!$E96&lt;=Settings!$C$8+14,IFERROR(INDEX(Settings!$Q$14:$Q$24,MATCH('INPUT - Bookings'!$G96,Settings!$P$14:$P$24,0)),"Yes")="Yes"),'INPUT - Bookings'!$E96+ROW()/100000,"")</f>
        <v/>
      </c>
    </row>
    <row r="97">
      <c r="W97" s="244">
        <f>IF(AND(INDEX('Roster Summary'!$U$31:$U$180,96)=1,LEFT(Grid!AI98,6)="Travel"),0*1000+96,"")</f>
        <v/>
      </c>
      <c r="X97" s="244">
        <f>IF(AND(INDEX('Roster Summary'!$U$31:$U$180,96)=1,LEFT(Grid!AJ98,6)="Travel"),1*1000+96,"")</f>
        <v/>
      </c>
      <c r="Y97" s="244">
        <f>IF(AND(INDEX('Roster Summary'!$U$31:$U$180,96)=1,LEFT(Grid!AK98,6)="Travel"),2*1000+96,"")</f>
        <v/>
      </c>
      <c r="Z97" s="244">
        <f>IF(AND(INDEX('Roster Summary'!$U$31:$U$180,96)=1,LEFT(Grid!AL98,6)="Travel"),3*1000+96,"")</f>
        <v/>
      </c>
      <c r="AA97" s="244">
        <f>IF(AND(INDEX('Roster Summary'!$U$31:$U$180,96)=1,LEFT(Grid!AM98,6)="Travel"),4*1000+96,"")</f>
        <v/>
      </c>
      <c r="AB97" s="244">
        <f>IF(AND(INDEX('Roster Summary'!$U$31:$U$180,96)=1,LEFT(Grid!AN98,6)="Travel"),5*1000+96,"")</f>
        <v/>
      </c>
      <c r="AC97" s="244">
        <f>IF(AND(INDEX('Roster Summary'!$U$31:$U$180,96)=1,LEFT(Grid!AO98,6)="Travel"),6*1000+96,"")</f>
        <v/>
      </c>
      <c r="AD97" s="244">
        <f>IF(AND(INDEX('Roster Summary'!$U$31:$U$180,96)=1,LEFT(Grid!AP98,6)="Travel"),7*1000+96,"")</f>
        <v/>
      </c>
      <c r="AE97" s="244">
        <f>IF(AND(INDEX('Roster Summary'!$U$31:$U$180,96)=1,LEFT(Grid!AQ98,6)="Travel"),8*1000+96,"")</f>
        <v/>
      </c>
      <c r="AF97" s="244">
        <f>IF(AND(INDEX('Roster Summary'!$U$31:$U$180,96)=1,LEFT(Grid!AR98,6)="Travel"),9*1000+96,"")</f>
        <v/>
      </c>
      <c r="AG97" s="244">
        <f>IF(AND(INDEX('Roster Summary'!$U$31:$U$180,96)=1,LEFT(Grid!AS98,6)="Travel"),10*1000+96,"")</f>
        <v/>
      </c>
      <c r="AH97" s="244">
        <f>IF(AND(INDEX('Roster Summary'!$U$31:$U$180,96)=1,LEFT(Grid!AT98,6)="Travel"),11*1000+96,"")</f>
        <v/>
      </c>
      <c r="AI97" s="244">
        <f>IF(AND(INDEX('Roster Summary'!$U$31:$U$180,96)=1,LEFT(Grid!AU98,6)="Travel"),12*1000+96,"")</f>
        <v/>
      </c>
      <c r="AJ97" s="244">
        <f>IF(AND(INDEX('Roster Summary'!$U$31:$U$180,96)=1,LEFT(Grid!AV98,6)="Travel"),13*1000+96,"")</f>
        <v/>
      </c>
      <c r="AX97" s="244">
        <f>LOWER(TRIM('BHP Site Access'!B97&amp;"")&amp;"|"&amp;TRIM('BHP Site Access'!C97&amp;""))</f>
        <v/>
      </c>
      <c r="BB97" s="244">
        <f>IF('INPUT - Bookings'!$B97="",0,IF(AND(OR(Dashboard!$D$9="All",TRIM('INPUT - Bookings'!$C97)=Dashboard!$D$9),OR(Dashboard!$J$9="All",TRIM('INPUT - Bookings'!$D97)=Dashboard!$J$9)),1,0))</f>
        <v/>
      </c>
      <c r="BC97" s="244">
        <f>IF(AND(BB97=1,ISNUMBER('INPUT - Bookings'!$E97),'INPUT - Bookings'!$E97&gt;=Settings!$C$8,'INPUT - Bookings'!$E97&lt;=Settings!$C$8+14,IFERROR(INDEX(Settings!$Q$14:$Q$24,MATCH('INPUT - Bookings'!$G97,Settings!$P$14:$P$24,0)),"Yes")="Yes"),'INPUT - Bookings'!$E97+ROW()/100000,"")</f>
        <v/>
      </c>
    </row>
    <row r="98">
      <c r="W98" s="244">
        <f>IF(AND(INDEX('Roster Summary'!$U$31:$U$180,97)=1,LEFT(Grid!AI99,6)="Travel"),0*1000+97,"")</f>
        <v/>
      </c>
      <c r="X98" s="244">
        <f>IF(AND(INDEX('Roster Summary'!$U$31:$U$180,97)=1,LEFT(Grid!AJ99,6)="Travel"),1*1000+97,"")</f>
        <v/>
      </c>
      <c r="Y98" s="244">
        <f>IF(AND(INDEX('Roster Summary'!$U$31:$U$180,97)=1,LEFT(Grid!AK99,6)="Travel"),2*1000+97,"")</f>
        <v/>
      </c>
      <c r="Z98" s="244">
        <f>IF(AND(INDEX('Roster Summary'!$U$31:$U$180,97)=1,LEFT(Grid!AL99,6)="Travel"),3*1000+97,"")</f>
        <v/>
      </c>
      <c r="AA98" s="244">
        <f>IF(AND(INDEX('Roster Summary'!$U$31:$U$180,97)=1,LEFT(Grid!AM99,6)="Travel"),4*1000+97,"")</f>
        <v/>
      </c>
      <c r="AB98" s="244">
        <f>IF(AND(INDEX('Roster Summary'!$U$31:$U$180,97)=1,LEFT(Grid!AN99,6)="Travel"),5*1000+97,"")</f>
        <v/>
      </c>
      <c r="AC98" s="244">
        <f>IF(AND(INDEX('Roster Summary'!$U$31:$U$180,97)=1,LEFT(Grid!AO99,6)="Travel"),6*1000+97,"")</f>
        <v/>
      </c>
      <c r="AD98" s="244">
        <f>IF(AND(INDEX('Roster Summary'!$U$31:$U$180,97)=1,LEFT(Grid!AP99,6)="Travel"),7*1000+97,"")</f>
        <v/>
      </c>
      <c r="AE98" s="244">
        <f>IF(AND(INDEX('Roster Summary'!$U$31:$U$180,97)=1,LEFT(Grid!AQ99,6)="Travel"),8*1000+97,"")</f>
        <v/>
      </c>
      <c r="AF98" s="244">
        <f>IF(AND(INDEX('Roster Summary'!$U$31:$U$180,97)=1,LEFT(Grid!AR99,6)="Travel"),9*1000+97,"")</f>
        <v/>
      </c>
      <c r="AG98" s="244">
        <f>IF(AND(INDEX('Roster Summary'!$U$31:$U$180,97)=1,LEFT(Grid!AS99,6)="Travel"),10*1000+97,"")</f>
        <v/>
      </c>
      <c r="AH98" s="244">
        <f>IF(AND(INDEX('Roster Summary'!$U$31:$U$180,97)=1,LEFT(Grid!AT99,6)="Travel"),11*1000+97,"")</f>
        <v/>
      </c>
      <c r="AI98" s="244">
        <f>IF(AND(INDEX('Roster Summary'!$U$31:$U$180,97)=1,LEFT(Grid!AU99,6)="Travel"),12*1000+97,"")</f>
        <v/>
      </c>
      <c r="AJ98" s="244">
        <f>IF(AND(INDEX('Roster Summary'!$U$31:$U$180,97)=1,LEFT(Grid!AV99,6)="Travel"),13*1000+97,"")</f>
        <v/>
      </c>
      <c r="AX98" s="244">
        <f>LOWER(TRIM('BHP Site Access'!B98&amp;"")&amp;"|"&amp;TRIM('BHP Site Access'!C98&amp;""))</f>
        <v/>
      </c>
      <c r="BB98" s="244">
        <f>IF('INPUT - Bookings'!$B98="",0,IF(AND(OR(Dashboard!$D$9="All",TRIM('INPUT - Bookings'!$C98)=Dashboard!$D$9),OR(Dashboard!$J$9="All",TRIM('INPUT - Bookings'!$D98)=Dashboard!$J$9)),1,0))</f>
        <v/>
      </c>
      <c r="BC98" s="244">
        <f>IF(AND(BB98=1,ISNUMBER('INPUT - Bookings'!$E98),'INPUT - Bookings'!$E98&gt;=Settings!$C$8,'INPUT - Bookings'!$E98&lt;=Settings!$C$8+14,IFERROR(INDEX(Settings!$Q$14:$Q$24,MATCH('INPUT - Bookings'!$G98,Settings!$P$14:$P$24,0)),"Yes")="Yes"),'INPUT - Bookings'!$E98+ROW()/100000,"")</f>
        <v/>
      </c>
    </row>
    <row r="99">
      <c r="W99" s="244">
        <f>IF(AND(INDEX('Roster Summary'!$U$31:$U$180,98)=1,LEFT(Grid!AI100,6)="Travel"),0*1000+98,"")</f>
        <v/>
      </c>
      <c r="X99" s="244">
        <f>IF(AND(INDEX('Roster Summary'!$U$31:$U$180,98)=1,LEFT(Grid!AJ100,6)="Travel"),1*1000+98,"")</f>
        <v/>
      </c>
      <c r="Y99" s="244">
        <f>IF(AND(INDEX('Roster Summary'!$U$31:$U$180,98)=1,LEFT(Grid!AK100,6)="Travel"),2*1000+98,"")</f>
        <v/>
      </c>
      <c r="Z99" s="244">
        <f>IF(AND(INDEX('Roster Summary'!$U$31:$U$180,98)=1,LEFT(Grid!AL100,6)="Travel"),3*1000+98,"")</f>
        <v/>
      </c>
      <c r="AA99" s="244">
        <f>IF(AND(INDEX('Roster Summary'!$U$31:$U$180,98)=1,LEFT(Grid!AM100,6)="Travel"),4*1000+98,"")</f>
        <v/>
      </c>
      <c r="AB99" s="244">
        <f>IF(AND(INDEX('Roster Summary'!$U$31:$U$180,98)=1,LEFT(Grid!AN100,6)="Travel"),5*1000+98,"")</f>
        <v/>
      </c>
      <c r="AC99" s="244">
        <f>IF(AND(INDEX('Roster Summary'!$U$31:$U$180,98)=1,LEFT(Grid!AO100,6)="Travel"),6*1000+98,"")</f>
        <v/>
      </c>
      <c r="AD99" s="244">
        <f>IF(AND(INDEX('Roster Summary'!$U$31:$U$180,98)=1,LEFT(Grid!AP100,6)="Travel"),7*1000+98,"")</f>
        <v/>
      </c>
      <c r="AE99" s="244">
        <f>IF(AND(INDEX('Roster Summary'!$U$31:$U$180,98)=1,LEFT(Grid!AQ100,6)="Travel"),8*1000+98,"")</f>
        <v/>
      </c>
      <c r="AF99" s="244">
        <f>IF(AND(INDEX('Roster Summary'!$U$31:$U$180,98)=1,LEFT(Grid!AR100,6)="Travel"),9*1000+98,"")</f>
        <v/>
      </c>
      <c r="AG99" s="244">
        <f>IF(AND(INDEX('Roster Summary'!$U$31:$U$180,98)=1,LEFT(Grid!AS100,6)="Travel"),10*1000+98,"")</f>
        <v/>
      </c>
      <c r="AH99" s="244">
        <f>IF(AND(INDEX('Roster Summary'!$U$31:$U$180,98)=1,LEFT(Grid!AT100,6)="Travel"),11*1000+98,"")</f>
        <v/>
      </c>
      <c r="AI99" s="244">
        <f>IF(AND(INDEX('Roster Summary'!$U$31:$U$180,98)=1,LEFT(Grid!AU100,6)="Travel"),12*1000+98,"")</f>
        <v/>
      </c>
      <c r="AJ99" s="244">
        <f>IF(AND(INDEX('Roster Summary'!$U$31:$U$180,98)=1,LEFT(Grid!AV100,6)="Travel"),13*1000+98,"")</f>
        <v/>
      </c>
      <c r="AX99" s="244">
        <f>LOWER(TRIM('BHP Site Access'!B99&amp;"")&amp;"|"&amp;TRIM('BHP Site Access'!C99&amp;""))</f>
        <v/>
      </c>
      <c r="BB99" s="244">
        <f>IF('INPUT - Bookings'!$B99="",0,IF(AND(OR(Dashboard!$D$9="All",TRIM('INPUT - Bookings'!$C99)=Dashboard!$D$9),OR(Dashboard!$J$9="All",TRIM('INPUT - Bookings'!$D99)=Dashboard!$J$9)),1,0))</f>
        <v/>
      </c>
      <c r="BC99" s="244">
        <f>IF(AND(BB99=1,ISNUMBER('INPUT - Bookings'!$E99),'INPUT - Bookings'!$E99&gt;=Settings!$C$8,'INPUT - Bookings'!$E99&lt;=Settings!$C$8+14,IFERROR(INDEX(Settings!$Q$14:$Q$24,MATCH('INPUT - Bookings'!$G99,Settings!$P$14:$P$24,0)),"Yes")="Yes"),'INPUT - Bookings'!$E99+ROW()/100000,"")</f>
        <v/>
      </c>
    </row>
    <row r="100">
      <c r="W100" s="244">
        <f>IF(AND(INDEX('Roster Summary'!$U$31:$U$180,99)=1,LEFT(Grid!AI101,6)="Travel"),0*1000+99,"")</f>
        <v/>
      </c>
      <c r="X100" s="244">
        <f>IF(AND(INDEX('Roster Summary'!$U$31:$U$180,99)=1,LEFT(Grid!AJ101,6)="Travel"),1*1000+99,"")</f>
        <v/>
      </c>
      <c r="Y100" s="244">
        <f>IF(AND(INDEX('Roster Summary'!$U$31:$U$180,99)=1,LEFT(Grid!AK101,6)="Travel"),2*1000+99,"")</f>
        <v/>
      </c>
      <c r="Z100" s="244">
        <f>IF(AND(INDEX('Roster Summary'!$U$31:$U$180,99)=1,LEFT(Grid!AL101,6)="Travel"),3*1000+99,"")</f>
        <v/>
      </c>
      <c r="AA100" s="244">
        <f>IF(AND(INDEX('Roster Summary'!$U$31:$U$180,99)=1,LEFT(Grid!AM101,6)="Travel"),4*1000+99,"")</f>
        <v/>
      </c>
      <c r="AB100" s="244">
        <f>IF(AND(INDEX('Roster Summary'!$U$31:$U$180,99)=1,LEFT(Grid!AN101,6)="Travel"),5*1000+99,"")</f>
        <v/>
      </c>
      <c r="AC100" s="244">
        <f>IF(AND(INDEX('Roster Summary'!$U$31:$U$180,99)=1,LEFT(Grid!AO101,6)="Travel"),6*1000+99,"")</f>
        <v/>
      </c>
      <c r="AD100" s="244">
        <f>IF(AND(INDEX('Roster Summary'!$U$31:$U$180,99)=1,LEFT(Grid!AP101,6)="Travel"),7*1000+99,"")</f>
        <v/>
      </c>
      <c r="AE100" s="244">
        <f>IF(AND(INDEX('Roster Summary'!$U$31:$U$180,99)=1,LEFT(Grid!AQ101,6)="Travel"),8*1000+99,"")</f>
        <v/>
      </c>
      <c r="AF100" s="244">
        <f>IF(AND(INDEX('Roster Summary'!$U$31:$U$180,99)=1,LEFT(Grid!AR101,6)="Travel"),9*1000+99,"")</f>
        <v/>
      </c>
      <c r="AG100" s="244">
        <f>IF(AND(INDEX('Roster Summary'!$U$31:$U$180,99)=1,LEFT(Grid!AS101,6)="Travel"),10*1000+99,"")</f>
        <v/>
      </c>
      <c r="AH100" s="244">
        <f>IF(AND(INDEX('Roster Summary'!$U$31:$U$180,99)=1,LEFT(Grid!AT101,6)="Travel"),11*1000+99,"")</f>
        <v/>
      </c>
      <c r="AI100" s="244">
        <f>IF(AND(INDEX('Roster Summary'!$U$31:$U$180,99)=1,LEFT(Grid!AU101,6)="Travel"),12*1000+99,"")</f>
        <v/>
      </c>
      <c r="AJ100" s="244">
        <f>IF(AND(INDEX('Roster Summary'!$U$31:$U$180,99)=1,LEFT(Grid!AV101,6)="Travel"),13*1000+99,"")</f>
        <v/>
      </c>
      <c r="AX100" s="244">
        <f>LOWER(TRIM('BHP Site Access'!B100&amp;"")&amp;"|"&amp;TRIM('BHP Site Access'!C100&amp;""))</f>
        <v/>
      </c>
      <c r="BB100" s="244">
        <f>IF('INPUT - Bookings'!$B100="",0,IF(AND(OR(Dashboard!$D$9="All",TRIM('INPUT - Bookings'!$C100)=Dashboard!$D$9),OR(Dashboard!$J$9="All",TRIM('INPUT - Bookings'!$D100)=Dashboard!$J$9)),1,0))</f>
        <v/>
      </c>
      <c r="BC100" s="244">
        <f>IF(AND(BB100=1,ISNUMBER('INPUT - Bookings'!$E100),'INPUT - Bookings'!$E100&gt;=Settings!$C$8,'INPUT - Bookings'!$E100&lt;=Settings!$C$8+14,IFERROR(INDEX(Settings!$Q$14:$Q$24,MATCH('INPUT - Bookings'!$G100,Settings!$P$14:$P$24,0)),"Yes")="Yes"),'INPUT - Bookings'!$E100+ROW()/100000,"")</f>
        <v/>
      </c>
    </row>
    <row r="101">
      <c r="W101" s="244">
        <f>IF(AND(INDEX('Roster Summary'!$U$31:$U$180,100)=1,LEFT(Grid!AI102,6)="Travel"),0*1000+100,"")</f>
        <v/>
      </c>
      <c r="X101" s="244">
        <f>IF(AND(INDEX('Roster Summary'!$U$31:$U$180,100)=1,LEFT(Grid!AJ102,6)="Travel"),1*1000+100,"")</f>
        <v/>
      </c>
      <c r="Y101" s="244">
        <f>IF(AND(INDEX('Roster Summary'!$U$31:$U$180,100)=1,LEFT(Grid!AK102,6)="Travel"),2*1000+100,"")</f>
        <v/>
      </c>
      <c r="Z101" s="244">
        <f>IF(AND(INDEX('Roster Summary'!$U$31:$U$180,100)=1,LEFT(Grid!AL102,6)="Travel"),3*1000+100,"")</f>
        <v/>
      </c>
      <c r="AA101" s="244">
        <f>IF(AND(INDEX('Roster Summary'!$U$31:$U$180,100)=1,LEFT(Grid!AM102,6)="Travel"),4*1000+100,"")</f>
        <v/>
      </c>
      <c r="AB101" s="244">
        <f>IF(AND(INDEX('Roster Summary'!$U$31:$U$180,100)=1,LEFT(Grid!AN102,6)="Travel"),5*1000+100,"")</f>
        <v/>
      </c>
      <c r="AC101" s="244">
        <f>IF(AND(INDEX('Roster Summary'!$U$31:$U$180,100)=1,LEFT(Grid!AO102,6)="Travel"),6*1000+100,"")</f>
        <v/>
      </c>
      <c r="AD101" s="244">
        <f>IF(AND(INDEX('Roster Summary'!$U$31:$U$180,100)=1,LEFT(Grid!AP102,6)="Travel"),7*1000+100,"")</f>
        <v/>
      </c>
      <c r="AE101" s="244">
        <f>IF(AND(INDEX('Roster Summary'!$U$31:$U$180,100)=1,LEFT(Grid!AQ102,6)="Travel"),8*1000+100,"")</f>
        <v/>
      </c>
      <c r="AF101" s="244">
        <f>IF(AND(INDEX('Roster Summary'!$U$31:$U$180,100)=1,LEFT(Grid!AR102,6)="Travel"),9*1000+100,"")</f>
        <v/>
      </c>
      <c r="AG101" s="244">
        <f>IF(AND(INDEX('Roster Summary'!$U$31:$U$180,100)=1,LEFT(Grid!AS102,6)="Travel"),10*1000+100,"")</f>
        <v/>
      </c>
      <c r="AH101" s="244">
        <f>IF(AND(INDEX('Roster Summary'!$U$31:$U$180,100)=1,LEFT(Grid!AT102,6)="Travel"),11*1000+100,"")</f>
        <v/>
      </c>
      <c r="AI101" s="244">
        <f>IF(AND(INDEX('Roster Summary'!$U$31:$U$180,100)=1,LEFT(Grid!AU102,6)="Travel"),12*1000+100,"")</f>
        <v/>
      </c>
      <c r="AJ101" s="244">
        <f>IF(AND(INDEX('Roster Summary'!$U$31:$U$180,100)=1,LEFT(Grid!AV102,6)="Travel"),13*1000+100,"")</f>
        <v/>
      </c>
      <c r="AX101" s="244">
        <f>LOWER(TRIM('BHP Site Access'!B101&amp;"")&amp;"|"&amp;TRIM('BHP Site Access'!C101&amp;""))</f>
        <v/>
      </c>
      <c r="BB101" s="244">
        <f>IF('INPUT - Bookings'!$B101="",0,IF(AND(OR(Dashboard!$D$9="All",TRIM('INPUT - Bookings'!$C101)=Dashboard!$D$9),OR(Dashboard!$J$9="All",TRIM('INPUT - Bookings'!$D101)=Dashboard!$J$9)),1,0))</f>
        <v/>
      </c>
      <c r="BC101" s="244">
        <f>IF(AND(BB101=1,ISNUMBER('INPUT - Bookings'!$E101),'INPUT - Bookings'!$E101&gt;=Settings!$C$8,'INPUT - Bookings'!$E101&lt;=Settings!$C$8+14,IFERROR(INDEX(Settings!$Q$14:$Q$24,MATCH('INPUT - Bookings'!$G101,Settings!$P$14:$P$24,0)),"Yes")="Yes"),'INPUT - Bookings'!$E101+ROW()/100000,"")</f>
        <v/>
      </c>
    </row>
    <row r="102">
      <c r="W102" s="244">
        <f>IF(AND(INDEX('Roster Summary'!$U$31:$U$180,101)=1,LEFT(Grid!AI103,6)="Travel"),0*1000+101,"")</f>
        <v/>
      </c>
      <c r="X102" s="244">
        <f>IF(AND(INDEX('Roster Summary'!$U$31:$U$180,101)=1,LEFT(Grid!AJ103,6)="Travel"),1*1000+101,"")</f>
        <v/>
      </c>
      <c r="Y102" s="244">
        <f>IF(AND(INDEX('Roster Summary'!$U$31:$U$180,101)=1,LEFT(Grid!AK103,6)="Travel"),2*1000+101,"")</f>
        <v/>
      </c>
      <c r="Z102" s="244">
        <f>IF(AND(INDEX('Roster Summary'!$U$31:$U$180,101)=1,LEFT(Grid!AL103,6)="Travel"),3*1000+101,"")</f>
        <v/>
      </c>
      <c r="AA102" s="244">
        <f>IF(AND(INDEX('Roster Summary'!$U$31:$U$180,101)=1,LEFT(Grid!AM103,6)="Travel"),4*1000+101,"")</f>
        <v/>
      </c>
      <c r="AB102" s="244">
        <f>IF(AND(INDEX('Roster Summary'!$U$31:$U$180,101)=1,LEFT(Grid!AN103,6)="Travel"),5*1000+101,"")</f>
        <v/>
      </c>
      <c r="AC102" s="244">
        <f>IF(AND(INDEX('Roster Summary'!$U$31:$U$180,101)=1,LEFT(Grid!AO103,6)="Travel"),6*1000+101,"")</f>
        <v/>
      </c>
      <c r="AD102" s="244">
        <f>IF(AND(INDEX('Roster Summary'!$U$31:$U$180,101)=1,LEFT(Grid!AP103,6)="Travel"),7*1000+101,"")</f>
        <v/>
      </c>
      <c r="AE102" s="244">
        <f>IF(AND(INDEX('Roster Summary'!$U$31:$U$180,101)=1,LEFT(Grid!AQ103,6)="Travel"),8*1000+101,"")</f>
        <v/>
      </c>
      <c r="AF102" s="244">
        <f>IF(AND(INDEX('Roster Summary'!$U$31:$U$180,101)=1,LEFT(Grid!AR103,6)="Travel"),9*1000+101,"")</f>
        <v/>
      </c>
      <c r="AG102" s="244">
        <f>IF(AND(INDEX('Roster Summary'!$U$31:$U$180,101)=1,LEFT(Grid!AS103,6)="Travel"),10*1000+101,"")</f>
        <v/>
      </c>
      <c r="AH102" s="244">
        <f>IF(AND(INDEX('Roster Summary'!$U$31:$U$180,101)=1,LEFT(Grid!AT103,6)="Travel"),11*1000+101,"")</f>
        <v/>
      </c>
      <c r="AI102" s="244">
        <f>IF(AND(INDEX('Roster Summary'!$U$31:$U$180,101)=1,LEFT(Grid!AU103,6)="Travel"),12*1000+101,"")</f>
        <v/>
      </c>
      <c r="AJ102" s="244">
        <f>IF(AND(INDEX('Roster Summary'!$U$31:$U$180,101)=1,LEFT(Grid!AV103,6)="Travel"),13*1000+101,"")</f>
        <v/>
      </c>
      <c r="AX102" s="244">
        <f>LOWER(TRIM('BHP Site Access'!B102&amp;"")&amp;"|"&amp;TRIM('BHP Site Access'!C102&amp;""))</f>
        <v/>
      </c>
      <c r="BB102" s="244">
        <f>IF('INPUT - Bookings'!$B102="",0,IF(AND(OR(Dashboard!$D$9="All",TRIM('INPUT - Bookings'!$C102)=Dashboard!$D$9),OR(Dashboard!$J$9="All",TRIM('INPUT - Bookings'!$D102)=Dashboard!$J$9)),1,0))</f>
        <v/>
      </c>
      <c r="BC102" s="244">
        <f>IF(AND(BB102=1,ISNUMBER('INPUT - Bookings'!$E102),'INPUT - Bookings'!$E102&gt;=Settings!$C$8,'INPUT - Bookings'!$E102&lt;=Settings!$C$8+14,IFERROR(INDEX(Settings!$Q$14:$Q$24,MATCH('INPUT - Bookings'!$G102,Settings!$P$14:$P$24,0)),"Yes")="Yes"),'INPUT - Bookings'!$E102+ROW()/100000,"")</f>
        <v/>
      </c>
    </row>
    <row r="103">
      <c r="W103" s="244">
        <f>IF(AND(INDEX('Roster Summary'!$U$31:$U$180,102)=1,LEFT(Grid!AI104,6)="Travel"),0*1000+102,"")</f>
        <v/>
      </c>
      <c r="X103" s="244">
        <f>IF(AND(INDEX('Roster Summary'!$U$31:$U$180,102)=1,LEFT(Grid!AJ104,6)="Travel"),1*1000+102,"")</f>
        <v/>
      </c>
      <c r="Y103" s="244">
        <f>IF(AND(INDEX('Roster Summary'!$U$31:$U$180,102)=1,LEFT(Grid!AK104,6)="Travel"),2*1000+102,"")</f>
        <v/>
      </c>
      <c r="Z103" s="244">
        <f>IF(AND(INDEX('Roster Summary'!$U$31:$U$180,102)=1,LEFT(Grid!AL104,6)="Travel"),3*1000+102,"")</f>
        <v/>
      </c>
      <c r="AA103" s="244">
        <f>IF(AND(INDEX('Roster Summary'!$U$31:$U$180,102)=1,LEFT(Grid!AM104,6)="Travel"),4*1000+102,"")</f>
        <v/>
      </c>
      <c r="AB103" s="244">
        <f>IF(AND(INDEX('Roster Summary'!$U$31:$U$180,102)=1,LEFT(Grid!AN104,6)="Travel"),5*1000+102,"")</f>
        <v/>
      </c>
      <c r="AC103" s="244">
        <f>IF(AND(INDEX('Roster Summary'!$U$31:$U$180,102)=1,LEFT(Grid!AO104,6)="Travel"),6*1000+102,"")</f>
        <v/>
      </c>
      <c r="AD103" s="244">
        <f>IF(AND(INDEX('Roster Summary'!$U$31:$U$180,102)=1,LEFT(Grid!AP104,6)="Travel"),7*1000+102,"")</f>
        <v/>
      </c>
      <c r="AE103" s="244">
        <f>IF(AND(INDEX('Roster Summary'!$U$31:$U$180,102)=1,LEFT(Grid!AQ104,6)="Travel"),8*1000+102,"")</f>
        <v/>
      </c>
      <c r="AF103" s="244">
        <f>IF(AND(INDEX('Roster Summary'!$U$31:$U$180,102)=1,LEFT(Grid!AR104,6)="Travel"),9*1000+102,"")</f>
        <v/>
      </c>
      <c r="AG103" s="244">
        <f>IF(AND(INDEX('Roster Summary'!$U$31:$U$180,102)=1,LEFT(Grid!AS104,6)="Travel"),10*1000+102,"")</f>
        <v/>
      </c>
      <c r="AH103" s="244">
        <f>IF(AND(INDEX('Roster Summary'!$U$31:$U$180,102)=1,LEFT(Grid!AT104,6)="Travel"),11*1000+102,"")</f>
        <v/>
      </c>
      <c r="AI103" s="244">
        <f>IF(AND(INDEX('Roster Summary'!$U$31:$U$180,102)=1,LEFT(Grid!AU104,6)="Travel"),12*1000+102,"")</f>
        <v/>
      </c>
      <c r="AJ103" s="244">
        <f>IF(AND(INDEX('Roster Summary'!$U$31:$U$180,102)=1,LEFT(Grid!AV104,6)="Travel"),13*1000+102,"")</f>
        <v/>
      </c>
      <c r="AX103" s="244">
        <f>LOWER(TRIM('BHP Site Access'!B103&amp;"")&amp;"|"&amp;TRIM('BHP Site Access'!C103&amp;""))</f>
        <v/>
      </c>
      <c r="BB103" s="244">
        <f>IF('INPUT - Bookings'!$B103="",0,IF(AND(OR(Dashboard!$D$9="All",TRIM('INPUT - Bookings'!$C103)=Dashboard!$D$9),OR(Dashboard!$J$9="All",TRIM('INPUT - Bookings'!$D103)=Dashboard!$J$9)),1,0))</f>
        <v/>
      </c>
      <c r="BC103" s="244">
        <f>IF(AND(BB103=1,ISNUMBER('INPUT - Bookings'!$E103),'INPUT - Bookings'!$E103&gt;=Settings!$C$8,'INPUT - Bookings'!$E103&lt;=Settings!$C$8+14,IFERROR(INDEX(Settings!$Q$14:$Q$24,MATCH('INPUT - Bookings'!$G103,Settings!$P$14:$P$24,0)),"Yes")="Yes"),'INPUT - Bookings'!$E103+ROW()/100000,"")</f>
        <v/>
      </c>
    </row>
    <row r="104">
      <c r="W104" s="244">
        <f>IF(AND(INDEX('Roster Summary'!$U$31:$U$180,103)=1,LEFT(Grid!AI105,6)="Travel"),0*1000+103,"")</f>
        <v/>
      </c>
      <c r="X104" s="244">
        <f>IF(AND(INDEX('Roster Summary'!$U$31:$U$180,103)=1,LEFT(Grid!AJ105,6)="Travel"),1*1000+103,"")</f>
        <v/>
      </c>
      <c r="Y104" s="244">
        <f>IF(AND(INDEX('Roster Summary'!$U$31:$U$180,103)=1,LEFT(Grid!AK105,6)="Travel"),2*1000+103,"")</f>
        <v/>
      </c>
      <c r="Z104" s="244">
        <f>IF(AND(INDEX('Roster Summary'!$U$31:$U$180,103)=1,LEFT(Grid!AL105,6)="Travel"),3*1000+103,"")</f>
        <v/>
      </c>
      <c r="AA104" s="244">
        <f>IF(AND(INDEX('Roster Summary'!$U$31:$U$180,103)=1,LEFT(Grid!AM105,6)="Travel"),4*1000+103,"")</f>
        <v/>
      </c>
      <c r="AB104" s="244">
        <f>IF(AND(INDEX('Roster Summary'!$U$31:$U$180,103)=1,LEFT(Grid!AN105,6)="Travel"),5*1000+103,"")</f>
        <v/>
      </c>
      <c r="AC104" s="244">
        <f>IF(AND(INDEX('Roster Summary'!$U$31:$U$180,103)=1,LEFT(Grid!AO105,6)="Travel"),6*1000+103,"")</f>
        <v/>
      </c>
      <c r="AD104" s="244">
        <f>IF(AND(INDEX('Roster Summary'!$U$31:$U$180,103)=1,LEFT(Grid!AP105,6)="Travel"),7*1000+103,"")</f>
        <v/>
      </c>
      <c r="AE104" s="244">
        <f>IF(AND(INDEX('Roster Summary'!$U$31:$U$180,103)=1,LEFT(Grid!AQ105,6)="Travel"),8*1000+103,"")</f>
        <v/>
      </c>
      <c r="AF104" s="244">
        <f>IF(AND(INDEX('Roster Summary'!$U$31:$U$180,103)=1,LEFT(Grid!AR105,6)="Travel"),9*1000+103,"")</f>
        <v/>
      </c>
      <c r="AG104" s="244">
        <f>IF(AND(INDEX('Roster Summary'!$U$31:$U$180,103)=1,LEFT(Grid!AS105,6)="Travel"),10*1000+103,"")</f>
        <v/>
      </c>
      <c r="AH104" s="244">
        <f>IF(AND(INDEX('Roster Summary'!$U$31:$U$180,103)=1,LEFT(Grid!AT105,6)="Travel"),11*1000+103,"")</f>
        <v/>
      </c>
      <c r="AI104" s="244">
        <f>IF(AND(INDEX('Roster Summary'!$U$31:$U$180,103)=1,LEFT(Grid!AU105,6)="Travel"),12*1000+103,"")</f>
        <v/>
      </c>
      <c r="AJ104" s="244">
        <f>IF(AND(INDEX('Roster Summary'!$U$31:$U$180,103)=1,LEFT(Grid!AV105,6)="Travel"),13*1000+103,"")</f>
        <v/>
      </c>
      <c r="AX104" s="244">
        <f>LOWER(TRIM('BHP Site Access'!B104&amp;"")&amp;"|"&amp;TRIM('BHP Site Access'!C104&amp;""))</f>
        <v/>
      </c>
      <c r="BB104" s="244">
        <f>IF('INPUT - Bookings'!$B104="",0,IF(AND(OR(Dashboard!$D$9="All",TRIM('INPUT - Bookings'!$C104)=Dashboard!$D$9),OR(Dashboard!$J$9="All",TRIM('INPUT - Bookings'!$D104)=Dashboard!$J$9)),1,0))</f>
        <v/>
      </c>
      <c r="BC104" s="244">
        <f>IF(AND(BB104=1,ISNUMBER('INPUT - Bookings'!$E104),'INPUT - Bookings'!$E104&gt;=Settings!$C$8,'INPUT - Bookings'!$E104&lt;=Settings!$C$8+14,IFERROR(INDEX(Settings!$Q$14:$Q$24,MATCH('INPUT - Bookings'!$G104,Settings!$P$14:$P$24,0)),"Yes")="Yes"),'INPUT - Bookings'!$E104+ROW()/100000,"")</f>
        <v/>
      </c>
    </row>
    <row r="105">
      <c r="W105" s="244">
        <f>IF(AND(INDEX('Roster Summary'!$U$31:$U$180,104)=1,LEFT(Grid!AI106,6)="Travel"),0*1000+104,"")</f>
        <v/>
      </c>
      <c r="X105" s="244">
        <f>IF(AND(INDEX('Roster Summary'!$U$31:$U$180,104)=1,LEFT(Grid!AJ106,6)="Travel"),1*1000+104,"")</f>
        <v/>
      </c>
      <c r="Y105" s="244">
        <f>IF(AND(INDEX('Roster Summary'!$U$31:$U$180,104)=1,LEFT(Grid!AK106,6)="Travel"),2*1000+104,"")</f>
        <v/>
      </c>
      <c r="Z105" s="244">
        <f>IF(AND(INDEX('Roster Summary'!$U$31:$U$180,104)=1,LEFT(Grid!AL106,6)="Travel"),3*1000+104,"")</f>
        <v/>
      </c>
      <c r="AA105" s="244">
        <f>IF(AND(INDEX('Roster Summary'!$U$31:$U$180,104)=1,LEFT(Grid!AM106,6)="Travel"),4*1000+104,"")</f>
        <v/>
      </c>
      <c r="AB105" s="244">
        <f>IF(AND(INDEX('Roster Summary'!$U$31:$U$180,104)=1,LEFT(Grid!AN106,6)="Travel"),5*1000+104,"")</f>
        <v/>
      </c>
      <c r="AC105" s="244">
        <f>IF(AND(INDEX('Roster Summary'!$U$31:$U$180,104)=1,LEFT(Grid!AO106,6)="Travel"),6*1000+104,"")</f>
        <v/>
      </c>
      <c r="AD105" s="244">
        <f>IF(AND(INDEX('Roster Summary'!$U$31:$U$180,104)=1,LEFT(Grid!AP106,6)="Travel"),7*1000+104,"")</f>
        <v/>
      </c>
      <c r="AE105" s="244">
        <f>IF(AND(INDEX('Roster Summary'!$U$31:$U$180,104)=1,LEFT(Grid!AQ106,6)="Travel"),8*1000+104,"")</f>
        <v/>
      </c>
      <c r="AF105" s="244">
        <f>IF(AND(INDEX('Roster Summary'!$U$31:$U$180,104)=1,LEFT(Grid!AR106,6)="Travel"),9*1000+104,"")</f>
        <v/>
      </c>
      <c r="AG105" s="244">
        <f>IF(AND(INDEX('Roster Summary'!$U$31:$U$180,104)=1,LEFT(Grid!AS106,6)="Travel"),10*1000+104,"")</f>
        <v/>
      </c>
      <c r="AH105" s="244">
        <f>IF(AND(INDEX('Roster Summary'!$U$31:$U$180,104)=1,LEFT(Grid!AT106,6)="Travel"),11*1000+104,"")</f>
        <v/>
      </c>
      <c r="AI105" s="244">
        <f>IF(AND(INDEX('Roster Summary'!$U$31:$U$180,104)=1,LEFT(Grid!AU106,6)="Travel"),12*1000+104,"")</f>
        <v/>
      </c>
      <c r="AJ105" s="244">
        <f>IF(AND(INDEX('Roster Summary'!$U$31:$U$180,104)=1,LEFT(Grid!AV106,6)="Travel"),13*1000+104,"")</f>
        <v/>
      </c>
      <c r="BB105" s="244">
        <f>IF('INPUT - Bookings'!$B105="",0,IF(AND(OR(Dashboard!$D$9="All",TRIM('INPUT - Bookings'!$C105)=Dashboard!$D$9),OR(Dashboard!$J$9="All",TRIM('INPUT - Bookings'!$D105)=Dashboard!$J$9)),1,0))</f>
        <v/>
      </c>
      <c r="BC105" s="244">
        <f>IF(AND(BB105=1,ISNUMBER('INPUT - Bookings'!$E105),'INPUT - Bookings'!$E105&gt;=Settings!$C$8,'INPUT - Bookings'!$E105&lt;=Settings!$C$8+14,IFERROR(INDEX(Settings!$Q$14:$Q$24,MATCH('INPUT - Bookings'!$G105,Settings!$P$14:$P$24,0)),"Yes")="Yes"),'INPUT - Bookings'!$E105+ROW()/100000,"")</f>
        <v/>
      </c>
    </row>
    <row r="106">
      <c r="W106" s="244">
        <f>IF(AND(INDEX('Roster Summary'!$U$31:$U$180,105)=1,LEFT(Grid!AI107,6)="Travel"),0*1000+105,"")</f>
        <v/>
      </c>
      <c r="X106" s="244">
        <f>IF(AND(INDEX('Roster Summary'!$U$31:$U$180,105)=1,LEFT(Grid!AJ107,6)="Travel"),1*1000+105,"")</f>
        <v/>
      </c>
      <c r="Y106" s="244">
        <f>IF(AND(INDEX('Roster Summary'!$U$31:$U$180,105)=1,LEFT(Grid!AK107,6)="Travel"),2*1000+105,"")</f>
        <v/>
      </c>
      <c r="Z106" s="244">
        <f>IF(AND(INDEX('Roster Summary'!$U$31:$U$180,105)=1,LEFT(Grid!AL107,6)="Travel"),3*1000+105,"")</f>
        <v/>
      </c>
      <c r="AA106" s="244">
        <f>IF(AND(INDEX('Roster Summary'!$U$31:$U$180,105)=1,LEFT(Grid!AM107,6)="Travel"),4*1000+105,"")</f>
        <v/>
      </c>
      <c r="AB106" s="244">
        <f>IF(AND(INDEX('Roster Summary'!$U$31:$U$180,105)=1,LEFT(Grid!AN107,6)="Travel"),5*1000+105,"")</f>
        <v/>
      </c>
      <c r="AC106" s="244">
        <f>IF(AND(INDEX('Roster Summary'!$U$31:$U$180,105)=1,LEFT(Grid!AO107,6)="Travel"),6*1000+105,"")</f>
        <v/>
      </c>
      <c r="AD106" s="244">
        <f>IF(AND(INDEX('Roster Summary'!$U$31:$U$180,105)=1,LEFT(Grid!AP107,6)="Travel"),7*1000+105,"")</f>
        <v/>
      </c>
      <c r="AE106" s="244">
        <f>IF(AND(INDEX('Roster Summary'!$U$31:$U$180,105)=1,LEFT(Grid!AQ107,6)="Travel"),8*1000+105,"")</f>
        <v/>
      </c>
      <c r="AF106" s="244">
        <f>IF(AND(INDEX('Roster Summary'!$U$31:$U$180,105)=1,LEFT(Grid!AR107,6)="Travel"),9*1000+105,"")</f>
        <v/>
      </c>
      <c r="AG106" s="244">
        <f>IF(AND(INDEX('Roster Summary'!$U$31:$U$180,105)=1,LEFT(Grid!AS107,6)="Travel"),10*1000+105,"")</f>
        <v/>
      </c>
      <c r="AH106" s="244">
        <f>IF(AND(INDEX('Roster Summary'!$U$31:$U$180,105)=1,LEFT(Grid!AT107,6)="Travel"),11*1000+105,"")</f>
        <v/>
      </c>
      <c r="AI106" s="244">
        <f>IF(AND(INDEX('Roster Summary'!$U$31:$U$180,105)=1,LEFT(Grid!AU107,6)="Travel"),12*1000+105,"")</f>
        <v/>
      </c>
      <c r="AJ106" s="244">
        <f>IF(AND(INDEX('Roster Summary'!$U$31:$U$180,105)=1,LEFT(Grid!AV107,6)="Travel"),13*1000+105,"")</f>
        <v/>
      </c>
      <c r="BB106" s="244">
        <f>IF('INPUT - Bookings'!$B106="",0,IF(AND(OR(Dashboard!$D$9="All",TRIM('INPUT - Bookings'!$C106)=Dashboard!$D$9),OR(Dashboard!$J$9="All",TRIM('INPUT - Bookings'!$D106)=Dashboard!$J$9)),1,0))</f>
        <v/>
      </c>
      <c r="BC106" s="244">
        <f>IF(AND(BB106=1,ISNUMBER('INPUT - Bookings'!$E106),'INPUT - Bookings'!$E106&gt;=Settings!$C$8,'INPUT - Bookings'!$E106&lt;=Settings!$C$8+14,IFERROR(INDEX(Settings!$Q$14:$Q$24,MATCH('INPUT - Bookings'!$G106,Settings!$P$14:$P$24,0)),"Yes")="Yes"),'INPUT - Bookings'!$E106+ROW()/100000,"")</f>
        <v/>
      </c>
    </row>
    <row r="107">
      <c r="W107" s="244">
        <f>IF(AND(INDEX('Roster Summary'!$U$31:$U$180,106)=1,LEFT(Grid!AI108,6)="Travel"),0*1000+106,"")</f>
        <v/>
      </c>
      <c r="X107" s="244">
        <f>IF(AND(INDEX('Roster Summary'!$U$31:$U$180,106)=1,LEFT(Grid!AJ108,6)="Travel"),1*1000+106,"")</f>
        <v/>
      </c>
      <c r="Y107" s="244">
        <f>IF(AND(INDEX('Roster Summary'!$U$31:$U$180,106)=1,LEFT(Grid!AK108,6)="Travel"),2*1000+106,"")</f>
        <v/>
      </c>
      <c r="Z107" s="244">
        <f>IF(AND(INDEX('Roster Summary'!$U$31:$U$180,106)=1,LEFT(Grid!AL108,6)="Travel"),3*1000+106,"")</f>
        <v/>
      </c>
      <c r="AA107" s="244">
        <f>IF(AND(INDEX('Roster Summary'!$U$31:$U$180,106)=1,LEFT(Grid!AM108,6)="Travel"),4*1000+106,"")</f>
        <v/>
      </c>
      <c r="AB107" s="244">
        <f>IF(AND(INDEX('Roster Summary'!$U$31:$U$180,106)=1,LEFT(Grid!AN108,6)="Travel"),5*1000+106,"")</f>
        <v/>
      </c>
      <c r="AC107" s="244">
        <f>IF(AND(INDEX('Roster Summary'!$U$31:$U$180,106)=1,LEFT(Grid!AO108,6)="Travel"),6*1000+106,"")</f>
        <v/>
      </c>
      <c r="AD107" s="244">
        <f>IF(AND(INDEX('Roster Summary'!$U$31:$U$180,106)=1,LEFT(Grid!AP108,6)="Travel"),7*1000+106,"")</f>
        <v/>
      </c>
      <c r="AE107" s="244">
        <f>IF(AND(INDEX('Roster Summary'!$U$31:$U$180,106)=1,LEFT(Grid!AQ108,6)="Travel"),8*1000+106,"")</f>
        <v/>
      </c>
      <c r="AF107" s="244">
        <f>IF(AND(INDEX('Roster Summary'!$U$31:$U$180,106)=1,LEFT(Grid!AR108,6)="Travel"),9*1000+106,"")</f>
        <v/>
      </c>
      <c r="AG107" s="244">
        <f>IF(AND(INDEX('Roster Summary'!$U$31:$U$180,106)=1,LEFT(Grid!AS108,6)="Travel"),10*1000+106,"")</f>
        <v/>
      </c>
      <c r="AH107" s="244">
        <f>IF(AND(INDEX('Roster Summary'!$U$31:$U$180,106)=1,LEFT(Grid!AT108,6)="Travel"),11*1000+106,"")</f>
        <v/>
      </c>
      <c r="AI107" s="244">
        <f>IF(AND(INDEX('Roster Summary'!$U$31:$U$180,106)=1,LEFT(Grid!AU108,6)="Travel"),12*1000+106,"")</f>
        <v/>
      </c>
      <c r="AJ107" s="244">
        <f>IF(AND(INDEX('Roster Summary'!$U$31:$U$180,106)=1,LEFT(Grid!AV108,6)="Travel"),13*1000+106,"")</f>
        <v/>
      </c>
      <c r="BB107" s="244">
        <f>IF('INPUT - Bookings'!$B107="",0,IF(AND(OR(Dashboard!$D$9="All",TRIM('INPUT - Bookings'!$C107)=Dashboard!$D$9),OR(Dashboard!$J$9="All",TRIM('INPUT - Bookings'!$D107)=Dashboard!$J$9)),1,0))</f>
        <v/>
      </c>
      <c r="BC107" s="244">
        <f>IF(AND(BB107=1,ISNUMBER('INPUT - Bookings'!$E107),'INPUT - Bookings'!$E107&gt;=Settings!$C$8,'INPUT - Bookings'!$E107&lt;=Settings!$C$8+14,IFERROR(INDEX(Settings!$Q$14:$Q$24,MATCH('INPUT - Bookings'!$G107,Settings!$P$14:$P$24,0)),"Yes")="Yes"),'INPUT - Bookings'!$E107+ROW()/100000,"")</f>
        <v/>
      </c>
    </row>
    <row r="108">
      <c r="W108" s="244">
        <f>IF(AND(INDEX('Roster Summary'!$U$31:$U$180,107)=1,LEFT(Grid!AI109,6)="Travel"),0*1000+107,"")</f>
        <v/>
      </c>
      <c r="X108" s="244">
        <f>IF(AND(INDEX('Roster Summary'!$U$31:$U$180,107)=1,LEFT(Grid!AJ109,6)="Travel"),1*1000+107,"")</f>
        <v/>
      </c>
      <c r="Y108" s="244">
        <f>IF(AND(INDEX('Roster Summary'!$U$31:$U$180,107)=1,LEFT(Grid!AK109,6)="Travel"),2*1000+107,"")</f>
        <v/>
      </c>
      <c r="Z108" s="244">
        <f>IF(AND(INDEX('Roster Summary'!$U$31:$U$180,107)=1,LEFT(Grid!AL109,6)="Travel"),3*1000+107,"")</f>
        <v/>
      </c>
      <c r="AA108" s="244">
        <f>IF(AND(INDEX('Roster Summary'!$U$31:$U$180,107)=1,LEFT(Grid!AM109,6)="Travel"),4*1000+107,"")</f>
        <v/>
      </c>
      <c r="AB108" s="244">
        <f>IF(AND(INDEX('Roster Summary'!$U$31:$U$180,107)=1,LEFT(Grid!AN109,6)="Travel"),5*1000+107,"")</f>
        <v/>
      </c>
      <c r="AC108" s="244">
        <f>IF(AND(INDEX('Roster Summary'!$U$31:$U$180,107)=1,LEFT(Grid!AO109,6)="Travel"),6*1000+107,"")</f>
        <v/>
      </c>
      <c r="AD108" s="244">
        <f>IF(AND(INDEX('Roster Summary'!$U$31:$U$180,107)=1,LEFT(Grid!AP109,6)="Travel"),7*1000+107,"")</f>
        <v/>
      </c>
      <c r="AE108" s="244">
        <f>IF(AND(INDEX('Roster Summary'!$U$31:$U$180,107)=1,LEFT(Grid!AQ109,6)="Travel"),8*1000+107,"")</f>
        <v/>
      </c>
      <c r="AF108" s="244">
        <f>IF(AND(INDEX('Roster Summary'!$U$31:$U$180,107)=1,LEFT(Grid!AR109,6)="Travel"),9*1000+107,"")</f>
        <v/>
      </c>
      <c r="AG108" s="244">
        <f>IF(AND(INDEX('Roster Summary'!$U$31:$U$180,107)=1,LEFT(Grid!AS109,6)="Travel"),10*1000+107,"")</f>
        <v/>
      </c>
      <c r="AH108" s="244">
        <f>IF(AND(INDEX('Roster Summary'!$U$31:$U$180,107)=1,LEFT(Grid!AT109,6)="Travel"),11*1000+107,"")</f>
        <v/>
      </c>
      <c r="AI108" s="244">
        <f>IF(AND(INDEX('Roster Summary'!$U$31:$U$180,107)=1,LEFT(Grid!AU109,6)="Travel"),12*1000+107,"")</f>
        <v/>
      </c>
      <c r="AJ108" s="244">
        <f>IF(AND(INDEX('Roster Summary'!$U$31:$U$180,107)=1,LEFT(Grid!AV109,6)="Travel"),13*1000+107,"")</f>
        <v/>
      </c>
      <c r="BB108" s="244">
        <f>IF('INPUT - Bookings'!$B108="",0,IF(AND(OR(Dashboard!$D$9="All",TRIM('INPUT - Bookings'!$C108)=Dashboard!$D$9),OR(Dashboard!$J$9="All",TRIM('INPUT - Bookings'!$D108)=Dashboard!$J$9)),1,0))</f>
        <v/>
      </c>
      <c r="BC108" s="244">
        <f>IF(AND(BB108=1,ISNUMBER('INPUT - Bookings'!$E108),'INPUT - Bookings'!$E108&gt;=Settings!$C$8,'INPUT - Bookings'!$E108&lt;=Settings!$C$8+14,IFERROR(INDEX(Settings!$Q$14:$Q$24,MATCH('INPUT - Bookings'!$G108,Settings!$P$14:$P$24,0)),"Yes")="Yes"),'INPUT - Bookings'!$E108+ROW()/100000,"")</f>
        <v/>
      </c>
    </row>
    <row r="109">
      <c r="W109" s="244">
        <f>IF(AND(INDEX('Roster Summary'!$U$31:$U$180,108)=1,LEFT(Grid!AI110,6)="Travel"),0*1000+108,"")</f>
        <v/>
      </c>
      <c r="X109" s="244">
        <f>IF(AND(INDEX('Roster Summary'!$U$31:$U$180,108)=1,LEFT(Grid!AJ110,6)="Travel"),1*1000+108,"")</f>
        <v/>
      </c>
      <c r="Y109" s="244">
        <f>IF(AND(INDEX('Roster Summary'!$U$31:$U$180,108)=1,LEFT(Grid!AK110,6)="Travel"),2*1000+108,"")</f>
        <v/>
      </c>
      <c r="Z109" s="244">
        <f>IF(AND(INDEX('Roster Summary'!$U$31:$U$180,108)=1,LEFT(Grid!AL110,6)="Travel"),3*1000+108,"")</f>
        <v/>
      </c>
      <c r="AA109" s="244">
        <f>IF(AND(INDEX('Roster Summary'!$U$31:$U$180,108)=1,LEFT(Grid!AM110,6)="Travel"),4*1000+108,"")</f>
        <v/>
      </c>
      <c r="AB109" s="244">
        <f>IF(AND(INDEX('Roster Summary'!$U$31:$U$180,108)=1,LEFT(Grid!AN110,6)="Travel"),5*1000+108,"")</f>
        <v/>
      </c>
      <c r="AC109" s="244">
        <f>IF(AND(INDEX('Roster Summary'!$U$31:$U$180,108)=1,LEFT(Grid!AO110,6)="Travel"),6*1000+108,"")</f>
        <v/>
      </c>
      <c r="AD109" s="244">
        <f>IF(AND(INDEX('Roster Summary'!$U$31:$U$180,108)=1,LEFT(Grid!AP110,6)="Travel"),7*1000+108,"")</f>
        <v/>
      </c>
      <c r="AE109" s="244">
        <f>IF(AND(INDEX('Roster Summary'!$U$31:$U$180,108)=1,LEFT(Grid!AQ110,6)="Travel"),8*1000+108,"")</f>
        <v/>
      </c>
      <c r="AF109" s="244">
        <f>IF(AND(INDEX('Roster Summary'!$U$31:$U$180,108)=1,LEFT(Grid!AR110,6)="Travel"),9*1000+108,"")</f>
        <v/>
      </c>
      <c r="AG109" s="244">
        <f>IF(AND(INDEX('Roster Summary'!$U$31:$U$180,108)=1,LEFT(Grid!AS110,6)="Travel"),10*1000+108,"")</f>
        <v/>
      </c>
      <c r="AH109" s="244">
        <f>IF(AND(INDEX('Roster Summary'!$U$31:$U$180,108)=1,LEFT(Grid!AT110,6)="Travel"),11*1000+108,"")</f>
        <v/>
      </c>
      <c r="AI109" s="244">
        <f>IF(AND(INDEX('Roster Summary'!$U$31:$U$180,108)=1,LEFT(Grid!AU110,6)="Travel"),12*1000+108,"")</f>
        <v/>
      </c>
      <c r="AJ109" s="244">
        <f>IF(AND(INDEX('Roster Summary'!$U$31:$U$180,108)=1,LEFT(Grid!AV110,6)="Travel"),13*1000+108,"")</f>
        <v/>
      </c>
      <c r="BB109" s="244">
        <f>IF('INPUT - Bookings'!$B109="",0,IF(AND(OR(Dashboard!$D$9="All",TRIM('INPUT - Bookings'!$C109)=Dashboard!$D$9),OR(Dashboard!$J$9="All",TRIM('INPUT - Bookings'!$D109)=Dashboard!$J$9)),1,0))</f>
        <v/>
      </c>
      <c r="BC109" s="244">
        <f>IF(AND(BB109=1,ISNUMBER('INPUT - Bookings'!$E109),'INPUT - Bookings'!$E109&gt;=Settings!$C$8,'INPUT - Bookings'!$E109&lt;=Settings!$C$8+14,IFERROR(INDEX(Settings!$Q$14:$Q$24,MATCH('INPUT - Bookings'!$G109,Settings!$P$14:$P$24,0)),"Yes")="Yes"),'INPUT - Bookings'!$E109+ROW()/100000,"")</f>
        <v/>
      </c>
    </row>
    <row r="110">
      <c r="W110" s="244">
        <f>IF(AND(INDEX('Roster Summary'!$U$31:$U$180,109)=1,LEFT(Grid!AI111,6)="Travel"),0*1000+109,"")</f>
        <v/>
      </c>
      <c r="X110" s="244">
        <f>IF(AND(INDEX('Roster Summary'!$U$31:$U$180,109)=1,LEFT(Grid!AJ111,6)="Travel"),1*1000+109,"")</f>
        <v/>
      </c>
      <c r="Y110" s="244">
        <f>IF(AND(INDEX('Roster Summary'!$U$31:$U$180,109)=1,LEFT(Grid!AK111,6)="Travel"),2*1000+109,"")</f>
        <v/>
      </c>
      <c r="Z110" s="244">
        <f>IF(AND(INDEX('Roster Summary'!$U$31:$U$180,109)=1,LEFT(Grid!AL111,6)="Travel"),3*1000+109,"")</f>
        <v/>
      </c>
      <c r="AA110" s="244">
        <f>IF(AND(INDEX('Roster Summary'!$U$31:$U$180,109)=1,LEFT(Grid!AM111,6)="Travel"),4*1000+109,"")</f>
        <v/>
      </c>
      <c r="AB110" s="244">
        <f>IF(AND(INDEX('Roster Summary'!$U$31:$U$180,109)=1,LEFT(Grid!AN111,6)="Travel"),5*1000+109,"")</f>
        <v/>
      </c>
      <c r="AC110" s="244">
        <f>IF(AND(INDEX('Roster Summary'!$U$31:$U$180,109)=1,LEFT(Grid!AO111,6)="Travel"),6*1000+109,"")</f>
        <v/>
      </c>
      <c r="AD110" s="244">
        <f>IF(AND(INDEX('Roster Summary'!$U$31:$U$180,109)=1,LEFT(Grid!AP111,6)="Travel"),7*1000+109,"")</f>
        <v/>
      </c>
      <c r="AE110" s="244">
        <f>IF(AND(INDEX('Roster Summary'!$U$31:$U$180,109)=1,LEFT(Grid!AQ111,6)="Travel"),8*1000+109,"")</f>
        <v/>
      </c>
      <c r="AF110" s="244">
        <f>IF(AND(INDEX('Roster Summary'!$U$31:$U$180,109)=1,LEFT(Grid!AR111,6)="Travel"),9*1000+109,"")</f>
        <v/>
      </c>
      <c r="AG110" s="244">
        <f>IF(AND(INDEX('Roster Summary'!$U$31:$U$180,109)=1,LEFT(Grid!AS111,6)="Travel"),10*1000+109,"")</f>
        <v/>
      </c>
      <c r="AH110" s="244">
        <f>IF(AND(INDEX('Roster Summary'!$U$31:$U$180,109)=1,LEFT(Grid!AT111,6)="Travel"),11*1000+109,"")</f>
        <v/>
      </c>
      <c r="AI110" s="244">
        <f>IF(AND(INDEX('Roster Summary'!$U$31:$U$180,109)=1,LEFT(Grid!AU111,6)="Travel"),12*1000+109,"")</f>
        <v/>
      </c>
      <c r="AJ110" s="244">
        <f>IF(AND(INDEX('Roster Summary'!$U$31:$U$180,109)=1,LEFT(Grid!AV111,6)="Travel"),13*1000+109,"")</f>
        <v/>
      </c>
      <c r="BB110" s="244">
        <f>IF('INPUT - Bookings'!$B110="",0,IF(AND(OR(Dashboard!$D$9="All",TRIM('INPUT - Bookings'!$C110)=Dashboard!$D$9),OR(Dashboard!$J$9="All",TRIM('INPUT - Bookings'!$D110)=Dashboard!$J$9)),1,0))</f>
        <v/>
      </c>
      <c r="BC110" s="244">
        <f>IF(AND(BB110=1,ISNUMBER('INPUT - Bookings'!$E110),'INPUT - Bookings'!$E110&gt;=Settings!$C$8,'INPUT - Bookings'!$E110&lt;=Settings!$C$8+14,IFERROR(INDEX(Settings!$Q$14:$Q$24,MATCH('INPUT - Bookings'!$G110,Settings!$P$14:$P$24,0)),"Yes")="Yes"),'INPUT - Bookings'!$E110+ROW()/100000,"")</f>
        <v/>
      </c>
    </row>
    <row r="111">
      <c r="W111" s="244">
        <f>IF(AND(INDEX('Roster Summary'!$U$31:$U$180,110)=1,LEFT(Grid!AI112,6)="Travel"),0*1000+110,"")</f>
        <v/>
      </c>
      <c r="X111" s="244">
        <f>IF(AND(INDEX('Roster Summary'!$U$31:$U$180,110)=1,LEFT(Grid!AJ112,6)="Travel"),1*1000+110,"")</f>
        <v/>
      </c>
      <c r="Y111" s="244">
        <f>IF(AND(INDEX('Roster Summary'!$U$31:$U$180,110)=1,LEFT(Grid!AK112,6)="Travel"),2*1000+110,"")</f>
        <v/>
      </c>
      <c r="Z111" s="244">
        <f>IF(AND(INDEX('Roster Summary'!$U$31:$U$180,110)=1,LEFT(Grid!AL112,6)="Travel"),3*1000+110,"")</f>
        <v/>
      </c>
      <c r="AA111" s="244">
        <f>IF(AND(INDEX('Roster Summary'!$U$31:$U$180,110)=1,LEFT(Grid!AM112,6)="Travel"),4*1000+110,"")</f>
        <v/>
      </c>
      <c r="AB111" s="244">
        <f>IF(AND(INDEX('Roster Summary'!$U$31:$U$180,110)=1,LEFT(Grid!AN112,6)="Travel"),5*1000+110,"")</f>
        <v/>
      </c>
      <c r="AC111" s="244">
        <f>IF(AND(INDEX('Roster Summary'!$U$31:$U$180,110)=1,LEFT(Grid!AO112,6)="Travel"),6*1000+110,"")</f>
        <v/>
      </c>
      <c r="AD111" s="244">
        <f>IF(AND(INDEX('Roster Summary'!$U$31:$U$180,110)=1,LEFT(Grid!AP112,6)="Travel"),7*1000+110,"")</f>
        <v/>
      </c>
      <c r="AE111" s="244">
        <f>IF(AND(INDEX('Roster Summary'!$U$31:$U$180,110)=1,LEFT(Grid!AQ112,6)="Travel"),8*1000+110,"")</f>
        <v/>
      </c>
      <c r="AF111" s="244">
        <f>IF(AND(INDEX('Roster Summary'!$U$31:$U$180,110)=1,LEFT(Grid!AR112,6)="Travel"),9*1000+110,"")</f>
        <v/>
      </c>
      <c r="AG111" s="244">
        <f>IF(AND(INDEX('Roster Summary'!$U$31:$U$180,110)=1,LEFT(Grid!AS112,6)="Travel"),10*1000+110,"")</f>
        <v/>
      </c>
      <c r="AH111" s="244">
        <f>IF(AND(INDEX('Roster Summary'!$U$31:$U$180,110)=1,LEFT(Grid!AT112,6)="Travel"),11*1000+110,"")</f>
        <v/>
      </c>
      <c r="AI111" s="244">
        <f>IF(AND(INDEX('Roster Summary'!$U$31:$U$180,110)=1,LEFT(Grid!AU112,6)="Travel"),12*1000+110,"")</f>
        <v/>
      </c>
      <c r="AJ111" s="244">
        <f>IF(AND(INDEX('Roster Summary'!$U$31:$U$180,110)=1,LEFT(Grid!AV112,6)="Travel"),13*1000+110,"")</f>
        <v/>
      </c>
      <c r="BB111" s="244">
        <f>IF('INPUT - Bookings'!$B111="",0,IF(AND(OR(Dashboard!$D$9="All",TRIM('INPUT - Bookings'!$C111)=Dashboard!$D$9),OR(Dashboard!$J$9="All",TRIM('INPUT - Bookings'!$D111)=Dashboard!$J$9)),1,0))</f>
        <v/>
      </c>
      <c r="BC111" s="244">
        <f>IF(AND(BB111=1,ISNUMBER('INPUT - Bookings'!$E111),'INPUT - Bookings'!$E111&gt;=Settings!$C$8,'INPUT - Bookings'!$E111&lt;=Settings!$C$8+14,IFERROR(INDEX(Settings!$Q$14:$Q$24,MATCH('INPUT - Bookings'!$G111,Settings!$P$14:$P$24,0)),"Yes")="Yes"),'INPUT - Bookings'!$E111+ROW()/100000,"")</f>
        <v/>
      </c>
    </row>
    <row r="112">
      <c r="W112" s="244">
        <f>IF(AND(INDEX('Roster Summary'!$U$31:$U$180,111)=1,LEFT(Grid!AI113,6)="Travel"),0*1000+111,"")</f>
        <v/>
      </c>
      <c r="X112" s="244">
        <f>IF(AND(INDEX('Roster Summary'!$U$31:$U$180,111)=1,LEFT(Grid!AJ113,6)="Travel"),1*1000+111,"")</f>
        <v/>
      </c>
      <c r="Y112" s="244">
        <f>IF(AND(INDEX('Roster Summary'!$U$31:$U$180,111)=1,LEFT(Grid!AK113,6)="Travel"),2*1000+111,"")</f>
        <v/>
      </c>
      <c r="Z112" s="244">
        <f>IF(AND(INDEX('Roster Summary'!$U$31:$U$180,111)=1,LEFT(Grid!AL113,6)="Travel"),3*1000+111,"")</f>
        <v/>
      </c>
      <c r="AA112" s="244">
        <f>IF(AND(INDEX('Roster Summary'!$U$31:$U$180,111)=1,LEFT(Grid!AM113,6)="Travel"),4*1000+111,"")</f>
        <v/>
      </c>
      <c r="AB112" s="244">
        <f>IF(AND(INDEX('Roster Summary'!$U$31:$U$180,111)=1,LEFT(Grid!AN113,6)="Travel"),5*1000+111,"")</f>
        <v/>
      </c>
      <c r="AC112" s="244">
        <f>IF(AND(INDEX('Roster Summary'!$U$31:$U$180,111)=1,LEFT(Grid!AO113,6)="Travel"),6*1000+111,"")</f>
        <v/>
      </c>
      <c r="AD112" s="244">
        <f>IF(AND(INDEX('Roster Summary'!$U$31:$U$180,111)=1,LEFT(Grid!AP113,6)="Travel"),7*1000+111,"")</f>
        <v/>
      </c>
      <c r="AE112" s="244">
        <f>IF(AND(INDEX('Roster Summary'!$U$31:$U$180,111)=1,LEFT(Grid!AQ113,6)="Travel"),8*1000+111,"")</f>
        <v/>
      </c>
      <c r="AF112" s="244">
        <f>IF(AND(INDEX('Roster Summary'!$U$31:$U$180,111)=1,LEFT(Grid!AR113,6)="Travel"),9*1000+111,"")</f>
        <v/>
      </c>
      <c r="AG112" s="244">
        <f>IF(AND(INDEX('Roster Summary'!$U$31:$U$180,111)=1,LEFT(Grid!AS113,6)="Travel"),10*1000+111,"")</f>
        <v/>
      </c>
      <c r="AH112" s="244">
        <f>IF(AND(INDEX('Roster Summary'!$U$31:$U$180,111)=1,LEFT(Grid!AT113,6)="Travel"),11*1000+111,"")</f>
        <v/>
      </c>
      <c r="AI112" s="244">
        <f>IF(AND(INDEX('Roster Summary'!$U$31:$U$180,111)=1,LEFT(Grid!AU113,6)="Travel"),12*1000+111,"")</f>
        <v/>
      </c>
      <c r="AJ112" s="244">
        <f>IF(AND(INDEX('Roster Summary'!$U$31:$U$180,111)=1,LEFT(Grid!AV113,6)="Travel"),13*1000+111,"")</f>
        <v/>
      </c>
      <c r="BB112" s="244">
        <f>IF('INPUT - Bookings'!$B112="",0,IF(AND(OR(Dashboard!$D$9="All",TRIM('INPUT - Bookings'!$C112)=Dashboard!$D$9),OR(Dashboard!$J$9="All",TRIM('INPUT - Bookings'!$D112)=Dashboard!$J$9)),1,0))</f>
        <v/>
      </c>
      <c r="BC112" s="244">
        <f>IF(AND(BB112=1,ISNUMBER('INPUT - Bookings'!$E112),'INPUT - Bookings'!$E112&gt;=Settings!$C$8,'INPUT - Bookings'!$E112&lt;=Settings!$C$8+14,IFERROR(INDEX(Settings!$Q$14:$Q$24,MATCH('INPUT - Bookings'!$G112,Settings!$P$14:$P$24,0)),"Yes")="Yes"),'INPUT - Bookings'!$E112+ROW()/100000,"")</f>
        <v/>
      </c>
    </row>
    <row r="113">
      <c r="W113" s="244">
        <f>IF(AND(INDEX('Roster Summary'!$U$31:$U$180,112)=1,LEFT(Grid!AI114,6)="Travel"),0*1000+112,"")</f>
        <v/>
      </c>
      <c r="X113" s="244">
        <f>IF(AND(INDEX('Roster Summary'!$U$31:$U$180,112)=1,LEFT(Grid!AJ114,6)="Travel"),1*1000+112,"")</f>
        <v/>
      </c>
      <c r="Y113" s="244">
        <f>IF(AND(INDEX('Roster Summary'!$U$31:$U$180,112)=1,LEFT(Grid!AK114,6)="Travel"),2*1000+112,"")</f>
        <v/>
      </c>
      <c r="Z113" s="244">
        <f>IF(AND(INDEX('Roster Summary'!$U$31:$U$180,112)=1,LEFT(Grid!AL114,6)="Travel"),3*1000+112,"")</f>
        <v/>
      </c>
      <c r="AA113" s="244">
        <f>IF(AND(INDEX('Roster Summary'!$U$31:$U$180,112)=1,LEFT(Grid!AM114,6)="Travel"),4*1000+112,"")</f>
        <v/>
      </c>
      <c r="AB113" s="244">
        <f>IF(AND(INDEX('Roster Summary'!$U$31:$U$180,112)=1,LEFT(Grid!AN114,6)="Travel"),5*1000+112,"")</f>
        <v/>
      </c>
      <c r="AC113" s="244">
        <f>IF(AND(INDEX('Roster Summary'!$U$31:$U$180,112)=1,LEFT(Grid!AO114,6)="Travel"),6*1000+112,"")</f>
        <v/>
      </c>
      <c r="AD113" s="244">
        <f>IF(AND(INDEX('Roster Summary'!$U$31:$U$180,112)=1,LEFT(Grid!AP114,6)="Travel"),7*1000+112,"")</f>
        <v/>
      </c>
      <c r="AE113" s="244">
        <f>IF(AND(INDEX('Roster Summary'!$U$31:$U$180,112)=1,LEFT(Grid!AQ114,6)="Travel"),8*1000+112,"")</f>
        <v/>
      </c>
      <c r="AF113" s="244">
        <f>IF(AND(INDEX('Roster Summary'!$U$31:$U$180,112)=1,LEFT(Grid!AR114,6)="Travel"),9*1000+112,"")</f>
        <v/>
      </c>
      <c r="AG113" s="244">
        <f>IF(AND(INDEX('Roster Summary'!$U$31:$U$180,112)=1,LEFT(Grid!AS114,6)="Travel"),10*1000+112,"")</f>
        <v/>
      </c>
      <c r="AH113" s="244">
        <f>IF(AND(INDEX('Roster Summary'!$U$31:$U$180,112)=1,LEFT(Grid!AT114,6)="Travel"),11*1000+112,"")</f>
        <v/>
      </c>
      <c r="AI113" s="244">
        <f>IF(AND(INDEX('Roster Summary'!$U$31:$U$180,112)=1,LEFT(Grid!AU114,6)="Travel"),12*1000+112,"")</f>
        <v/>
      </c>
      <c r="AJ113" s="244">
        <f>IF(AND(INDEX('Roster Summary'!$U$31:$U$180,112)=1,LEFT(Grid!AV114,6)="Travel"),13*1000+112,"")</f>
        <v/>
      </c>
      <c r="BB113" s="244">
        <f>IF('INPUT - Bookings'!$B113="",0,IF(AND(OR(Dashboard!$D$9="All",TRIM('INPUT - Bookings'!$C113)=Dashboard!$D$9),OR(Dashboard!$J$9="All",TRIM('INPUT - Bookings'!$D113)=Dashboard!$J$9)),1,0))</f>
        <v/>
      </c>
      <c r="BC113" s="244">
        <f>IF(AND(BB113=1,ISNUMBER('INPUT - Bookings'!$E113),'INPUT - Bookings'!$E113&gt;=Settings!$C$8,'INPUT - Bookings'!$E113&lt;=Settings!$C$8+14,IFERROR(INDEX(Settings!$Q$14:$Q$24,MATCH('INPUT - Bookings'!$G113,Settings!$P$14:$P$24,0)),"Yes")="Yes"),'INPUT - Bookings'!$E113+ROW()/100000,"")</f>
        <v/>
      </c>
    </row>
    <row r="114">
      <c r="W114" s="244">
        <f>IF(AND(INDEX('Roster Summary'!$U$31:$U$180,113)=1,LEFT(Grid!AI115,6)="Travel"),0*1000+113,"")</f>
        <v/>
      </c>
      <c r="X114" s="244">
        <f>IF(AND(INDEX('Roster Summary'!$U$31:$U$180,113)=1,LEFT(Grid!AJ115,6)="Travel"),1*1000+113,"")</f>
        <v/>
      </c>
      <c r="Y114" s="244">
        <f>IF(AND(INDEX('Roster Summary'!$U$31:$U$180,113)=1,LEFT(Grid!AK115,6)="Travel"),2*1000+113,"")</f>
        <v/>
      </c>
      <c r="Z114" s="244">
        <f>IF(AND(INDEX('Roster Summary'!$U$31:$U$180,113)=1,LEFT(Grid!AL115,6)="Travel"),3*1000+113,"")</f>
        <v/>
      </c>
      <c r="AA114" s="244">
        <f>IF(AND(INDEX('Roster Summary'!$U$31:$U$180,113)=1,LEFT(Grid!AM115,6)="Travel"),4*1000+113,"")</f>
        <v/>
      </c>
      <c r="AB114" s="244">
        <f>IF(AND(INDEX('Roster Summary'!$U$31:$U$180,113)=1,LEFT(Grid!AN115,6)="Travel"),5*1000+113,"")</f>
        <v/>
      </c>
      <c r="AC114" s="244">
        <f>IF(AND(INDEX('Roster Summary'!$U$31:$U$180,113)=1,LEFT(Grid!AO115,6)="Travel"),6*1000+113,"")</f>
        <v/>
      </c>
      <c r="AD114" s="244">
        <f>IF(AND(INDEX('Roster Summary'!$U$31:$U$180,113)=1,LEFT(Grid!AP115,6)="Travel"),7*1000+113,"")</f>
        <v/>
      </c>
      <c r="AE114" s="244">
        <f>IF(AND(INDEX('Roster Summary'!$U$31:$U$180,113)=1,LEFT(Grid!AQ115,6)="Travel"),8*1000+113,"")</f>
        <v/>
      </c>
      <c r="AF114" s="244">
        <f>IF(AND(INDEX('Roster Summary'!$U$31:$U$180,113)=1,LEFT(Grid!AR115,6)="Travel"),9*1000+113,"")</f>
        <v/>
      </c>
      <c r="AG114" s="244">
        <f>IF(AND(INDEX('Roster Summary'!$U$31:$U$180,113)=1,LEFT(Grid!AS115,6)="Travel"),10*1000+113,"")</f>
        <v/>
      </c>
      <c r="AH114" s="244">
        <f>IF(AND(INDEX('Roster Summary'!$U$31:$U$180,113)=1,LEFT(Grid!AT115,6)="Travel"),11*1000+113,"")</f>
        <v/>
      </c>
      <c r="AI114" s="244">
        <f>IF(AND(INDEX('Roster Summary'!$U$31:$U$180,113)=1,LEFT(Grid!AU115,6)="Travel"),12*1000+113,"")</f>
        <v/>
      </c>
      <c r="AJ114" s="244">
        <f>IF(AND(INDEX('Roster Summary'!$U$31:$U$180,113)=1,LEFT(Grid!AV115,6)="Travel"),13*1000+113,"")</f>
        <v/>
      </c>
      <c r="BB114" s="244">
        <f>IF('INPUT - Bookings'!$B114="",0,IF(AND(OR(Dashboard!$D$9="All",TRIM('INPUT - Bookings'!$C114)=Dashboard!$D$9),OR(Dashboard!$J$9="All",TRIM('INPUT - Bookings'!$D114)=Dashboard!$J$9)),1,0))</f>
        <v/>
      </c>
      <c r="BC114" s="244">
        <f>IF(AND(BB114=1,ISNUMBER('INPUT - Bookings'!$E114),'INPUT - Bookings'!$E114&gt;=Settings!$C$8,'INPUT - Bookings'!$E114&lt;=Settings!$C$8+14,IFERROR(INDEX(Settings!$Q$14:$Q$24,MATCH('INPUT - Bookings'!$G114,Settings!$P$14:$P$24,0)),"Yes")="Yes"),'INPUT - Bookings'!$E114+ROW()/100000,"")</f>
        <v/>
      </c>
    </row>
    <row r="115">
      <c r="W115" s="244">
        <f>IF(AND(INDEX('Roster Summary'!$U$31:$U$180,114)=1,LEFT(Grid!AI116,6)="Travel"),0*1000+114,"")</f>
        <v/>
      </c>
      <c r="X115" s="244">
        <f>IF(AND(INDEX('Roster Summary'!$U$31:$U$180,114)=1,LEFT(Grid!AJ116,6)="Travel"),1*1000+114,"")</f>
        <v/>
      </c>
      <c r="Y115" s="244">
        <f>IF(AND(INDEX('Roster Summary'!$U$31:$U$180,114)=1,LEFT(Grid!AK116,6)="Travel"),2*1000+114,"")</f>
        <v/>
      </c>
      <c r="Z115" s="244">
        <f>IF(AND(INDEX('Roster Summary'!$U$31:$U$180,114)=1,LEFT(Grid!AL116,6)="Travel"),3*1000+114,"")</f>
        <v/>
      </c>
      <c r="AA115" s="244">
        <f>IF(AND(INDEX('Roster Summary'!$U$31:$U$180,114)=1,LEFT(Grid!AM116,6)="Travel"),4*1000+114,"")</f>
        <v/>
      </c>
      <c r="AB115" s="244">
        <f>IF(AND(INDEX('Roster Summary'!$U$31:$U$180,114)=1,LEFT(Grid!AN116,6)="Travel"),5*1000+114,"")</f>
        <v/>
      </c>
      <c r="AC115" s="244">
        <f>IF(AND(INDEX('Roster Summary'!$U$31:$U$180,114)=1,LEFT(Grid!AO116,6)="Travel"),6*1000+114,"")</f>
        <v/>
      </c>
      <c r="AD115" s="244">
        <f>IF(AND(INDEX('Roster Summary'!$U$31:$U$180,114)=1,LEFT(Grid!AP116,6)="Travel"),7*1000+114,"")</f>
        <v/>
      </c>
      <c r="AE115" s="244">
        <f>IF(AND(INDEX('Roster Summary'!$U$31:$U$180,114)=1,LEFT(Grid!AQ116,6)="Travel"),8*1000+114,"")</f>
        <v/>
      </c>
      <c r="AF115" s="244">
        <f>IF(AND(INDEX('Roster Summary'!$U$31:$U$180,114)=1,LEFT(Grid!AR116,6)="Travel"),9*1000+114,"")</f>
        <v/>
      </c>
      <c r="AG115" s="244">
        <f>IF(AND(INDEX('Roster Summary'!$U$31:$U$180,114)=1,LEFT(Grid!AS116,6)="Travel"),10*1000+114,"")</f>
        <v/>
      </c>
      <c r="AH115" s="244">
        <f>IF(AND(INDEX('Roster Summary'!$U$31:$U$180,114)=1,LEFT(Grid!AT116,6)="Travel"),11*1000+114,"")</f>
        <v/>
      </c>
      <c r="AI115" s="244">
        <f>IF(AND(INDEX('Roster Summary'!$U$31:$U$180,114)=1,LEFT(Grid!AU116,6)="Travel"),12*1000+114,"")</f>
        <v/>
      </c>
      <c r="AJ115" s="244">
        <f>IF(AND(INDEX('Roster Summary'!$U$31:$U$180,114)=1,LEFT(Grid!AV116,6)="Travel"),13*1000+114,"")</f>
        <v/>
      </c>
      <c r="BB115" s="244">
        <f>IF('INPUT - Bookings'!$B115="",0,IF(AND(OR(Dashboard!$D$9="All",TRIM('INPUT - Bookings'!$C115)=Dashboard!$D$9),OR(Dashboard!$J$9="All",TRIM('INPUT - Bookings'!$D115)=Dashboard!$J$9)),1,0))</f>
        <v/>
      </c>
      <c r="BC115" s="244">
        <f>IF(AND(BB115=1,ISNUMBER('INPUT - Bookings'!$E115),'INPUT - Bookings'!$E115&gt;=Settings!$C$8,'INPUT - Bookings'!$E115&lt;=Settings!$C$8+14,IFERROR(INDEX(Settings!$Q$14:$Q$24,MATCH('INPUT - Bookings'!$G115,Settings!$P$14:$P$24,0)),"Yes")="Yes"),'INPUT - Bookings'!$E115+ROW()/100000,"")</f>
        <v/>
      </c>
    </row>
    <row r="116">
      <c r="W116" s="244">
        <f>IF(AND(INDEX('Roster Summary'!$U$31:$U$180,115)=1,LEFT(Grid!AI117,6)="Travel"),0*1000+115,"")</f>
        <v/>
      </c>
      <c r="X116" s="244">
        <f>IF(AND(INDEX('Roster Summary'!$U$31:$U$180,115)=1,LEFT(Grid!AJ117,6)="Travel"),1*1000+115,"")</f>
        <v/>
      </c>
      <c r="Y116" s="244">
        <f>IF(AND(INDEX('Roster Summary'!$U$31:$U$180,115)=1,LEFT(Grid!AK117,6)="Travel"),2*1000+115,"")</f>
        <v/>
      </c>
      <c r="Z116" s="244">
        <f>IF(AND(INDEX('Roster Summary'!$U$31:$U$180,115)=1,LEFT(Grid!AL117,6)="Travel"),3*1000+115,"")</f>
        <v/>
      </c>
      <c r="AA116" s="244">
        <f>IF(AND(INDEX('Roster Summary'!$U$31:$U$180,115)=1,LEFT(Grid!AM117,6)="Travel"),4*1000+115,"")</f>
        <v/>
      </c>
      <c r="AB116" s="244">
        <f>IF(AND(INDEX('Roster Summary'!$U$31:$U$180,115)=1,LEFT(Grid!AN117,6)="Travel"),5*1000+115,"")</f>
        <v/>
      </c>
      <c r="AC116" s="244">
        <f>IF(AND(INDEX('Roster Summary'!$U$31:$U$180,115)=1,LEFT(Grid!AO117,6)="Travel"),6*1000+115,"")</f>
        <v/>
      </c>
      <c r="AD116" s="244">
        <f>IF(AND(INDEX('Roster Summary'!$U$31:$U$180,115)=1,LEFT(Grid!AP117,6)="Travel"),7*1000+115,"")</f>
        <v/>
      </c>
      <c r="AE116" s="244">
        <f>IF(AND(INDEX('Roster Summary'!$U$31:$U$180,115)=1,LEFT(Grid!AQ117,6)="Travel"),8*1000+115,"")</f>
        <v/>
      </c>
      <c r="AF116" s="244">
        <f>IF(AND(INDEX('Roster Summary'!$U$31:$U$180,115)=1,LEFT(Grid!AR117,6)="Travel"),9*1000+115,"")</f>
        <v/>
      </c>
      <c r="AG116" s="244">
        <f>IF(AND(INDEX('Roster Summary'!$U$31:$U$180,115)=1,LEFT(Grid!AS117,6)="Travel"),10*1000+115,"")</f>
        <v/>
      </c>
      <c r="AH116" s="244">
        <f>IF(AND(INDEX('Roster Summary'!$U$31:$U$180,115)=1,LEFT(Grid!AT117,6)="Travel"),11*1000+115,"")</f>
        <v/>
      </c>
      <c r="AI116" s="244">
        <f>IF(AND(INDEX('Roster Summary'!$U$31:$U$180,115)=1,LEFT(Grid!AU117,6)="Travel"),12*1000+115,"")</f>
        <v/>
      </c>
      <c r="AJ116" s="244">
        <f>IF(AND(INDEX('Roster Summary'!$U$31:$U$180,115)=1,LEFT(Grid!AV117,6)="Travel"),13*1000+115,"")</f>
        <v/>
      </c>
      <c r="BB116" s="244">
        <f>IF('INPUT - Bookings'!$B116="",0,IF(AND(OR(Dashboard!$D$9="All",TRIM('INPUT - Bookings'!$C116)=Dashboard!$D$9),OR(Dashboard!$J$9="All",TRIM('INPUT - Bookings'!$D116)=Dashboard!$J$9)),1,0))</f>
        <v/>
      </c>
      <c r="BC116" s="244">
        <f>IF(AND(BB116=1,ISNUMBER('INPUT - Bookings'!$E116),'INPUT - Bookings'!$E116&gt;=Settings!$C$8,'INPUT - Bookings'!$E116&lt;=Settings!$C$8+14,IFERROR(INDEX(Settings!$Q$14:$Q$24,MATCH('INPUT - Bookings'!$G116,Settings!$P$14:$P$24,0)),"Yes")="Yes"),'INPUT - Bookings'!$E116+ROW()/100000,"")</f>
        <v/>
      </c>
    </row>
    <row r="117">
      <c r="W117" s="244">
        <f>IF(AND(INDEX('Roster Summary'!$U$31:$U$180,116)=1,LEFT(Grid!AI118,6)="Travel"),0*1000+116,"")</f>
        <v/>
      </c>
      <c r="X117" s="244">
        <f>IF(AND(INDEX('Roster Summary'!$U$31:$U$180,116)=1,LEFT(Grid!AJ118,6)="Travel"),1*1000+116,"")</f>
        <v/>
      </c>
      <c r="Y117" s="244">
        <f>IF(AND(INDEX('Roster Summary'!$U$31:$U$180,116)=1,LEFT(Grid!AK118,6)="Travel"),2*1000+116,"")</f>
        <v/>
      </c>
      <c r="Z117" s="244">
        <f>IF(AND(INDEX('Roster Summary'!$U$31:$U$180,116)=1,LEFT(Grid!AL118,6)="Travel"),3*1000+116,"")</f>
        <v/>
      </c>
      <c r="AA117" s="244">
        <f>IF(AND(INDEX('Roster Summary'!$U$31:$U$180,116)=1,LEFT(Grid!AM118,6)="Travel"),4*1000+116,"")</f>
        <v/>
      </c>
      <c r="AB117" s="244">
        <f>IF(AND(INDEX('Roster Summary'!$U$31:$U$180,116)=1,LEFT(Grid!AN118,6)="Travel"),5*1000+116,"")</f>
        <v/>
      </c>
      <c r="AC117" s="244">
        <f>IF(AND(INDEX('Roster Summary'!$U$31:$U$180,116)=1,LEFT(Grid!AO118,6)="Travel"),6*1000+116,"")</f>
        <v/>
      </c>
      <c r="AD117" s="244">
        <f>IF(AND(INDEX('Roster Summary'!$U$31:$U$180,116)=1,LEFT(Grid!AP118,6)="Travel"),7*1000+116,"")</f>
        <v/>
      </c>
      <c r="AE117" s="244">
        <f>IF(AND(INDEX('Roster Summary'!$U$31:$U$180,116)=1,LEFT(Grid!AQ118,6)="Travel"),8*1000+116,"")</f>
        <v/>
      </c>
      <c r="AF117" s="244">
        <f>IF(AND(INDEX('Roster Summary'!$U$31:$U$180,116)=1,LEFT(Grid!AR118,6)="Travel"),9*1000+116,"")</f>
        <v/>
      </c>
      <c r="AG117" s="244">
        <f>IF(AND(INDEX('Roster Summary'!$U$31:$U$180,116)=1,LEFT(Grid!AS118,6)="Travel"),10*1000+116,"")</f>
        <v/>
      </c>
      <c r="AH117" s="244">
        <f>IF(AND(INDEX('Roster Summary'!$U$31:$U$180,116)=1,LEFT(Grid!AT118,6)="Travel"),11*1000+116,"")</f>
        <v/>
      </c>
      <c r="AI117" s="244">
        <f>IF(AND(INDEX('Roster Summary'!$U$31:$U$180,116)=1,LEFT(Grid!AU118,6)="Travel"),12*1000+116,"")</f>
        <v/>
      </c>
      <c r="AJ117" s="244">
        <f>IF(AND(INDEX('Roster Summary'!$U$31:$U$180,116)=1,LEFT(Grid!AV118,6)="Travel"),13*1000+116,"")</f>
        <v/>
      </c>
      <c r="BB117" s="244">
        <f>IF('INPUT - Bookings'!$B117="",0,IF(AND(OR(Dashboard!$D$9="All",TRIM('INPUT - Bookings'!$C117)=Dashboard!$D$9),OR(Dashboard!$J$9="All",TRIM('INPUT - Bookings'!$D117)=Dashboard!$J$9)),1,0))</f>
        <v/>
      </c>
      <c r="BC117" s="244">
        <f>IF(AND(BB117=1,ISNUMBER('INPUT - Bookings'!$E117),'INPUT - Bookings'!$E117&gt;=Settings!$C$8,'INPUT - Bookings'!$E117&lt;=Settings!$C$8+14,IFERROR(INDEX(Settings!$Q$14:$Q$24,MATCH('INPUT - Bookings'!$G117,Settings!$P$14:$P$24,0)),"Yes")="Yes"),'INPUT - Bookings'!$E117+ROW()/100000,"")</f>
        <v/>
      </c>
    </row>
    <row r="118">
      <c r="W118" s="244">
        <f>IF(AND(INDEX('Roster Summary'!$U$31:$U$180,117)=1,LEFT(Grid!AI119,6)="Travel"),0*1000+117,"")</f>
        <v/>
      </c>
      <c r="X118" s="244">
        <f>IF(AND(INDEX('Roster Summary'!$U$31:$U$180,117)=1,LEFT(Grid!AJ119,6)="Travel"),1*1000+117,"")</f>
        <v/>
      </c>
      <c r="Y118" s="244">
        <f>IF(AND(INDEX('Roster Summary'!$U$31:$U$180,117)=1,LEFT(Grid!AK119,6)="Travel"),2*1000+117,"")</f>
        <v/>
      </c>
      <c r="Z118" s="244">
        <f>IF(AND(INDEX('Roster Summary'!$U$31:$U$180,117)=1,LEFT(Grid!AL119,6)="Travel"),3*1000+117,"")</f>
        <v/>
      </c>
      <c r="AA118" s="244">
        <f>IF(AND(INDEX('Roster Summary'!$U$31:$U$180,117)=1,LEFT(Grid!AM119,6)="Travel"),4*1000+117,"")</f>
        <v/>
      </c>
      <c r="AB118" s="244">
        <f>IF(AND(INDEX('Roster Summary'!$U$31:$U$180,117)=1,LEFT(Grid!AN119,6)="Travel"),5*1000+117,"")</f>
        <v/>
      </c>
      <c r="AC118" s="244">
        <f>IF(AND(INDEX('Roster Summary'!$U$31:$U$180,117)=1,LEFT(Grid!AO119,6)="Travel"),6*1000+117,"")</f>
        <v/>
      </c>
      <c r="AD118" s="244">
        <f>IF(AND(INDEX('Roster Summary'!$U$31:$U$180,117)=1,LEFT(Grid!AP119,6)="Travel"),7*1000+117,"")</f>
        <v/>
      </c>
      <c r="AE118" s="244">
        <f>IF(AND(INDEX('Roster Summary'!$U$31:$U$180,117)=1,LEFT(Grid!AQ119,6)="Travel"),8*1000+117,"")</f>
        <v/>
      </c>
      <c r="AF118" s="244">
        <f>IF(AND(INDEX('Roster Summary'!$U$31:$U$180,117)=1,LEFT(Grid!AR119,6)="Travel"),9*1000+117,"")</f>
        <v/>
      </c>
      <c r="AG118" s="244">
        <f>IF(AND(INDEX('Roster Summary'!$U$31:$U$180,117)=1,LEFT(Grid!AS119,6)="Travel"),10*1000+117,"")</f>
        <v/>
      </c>
      <c r="AH118" s="244">
        <f>IF(AND(INDEX('Roster Summary'!$U$31:$U$180,117)=1,LEFT(Grid!AT119,6)="Travel"),11*1000+117,"")</f>
        <v/>
      </c>
      <c r="AI118" s="244">
        <f>IF(AND(INDEX('Roster Summary'!$U$31:$U$180,117)=1,LEFT(Grid!AU119,6)="Travel"),12*1000+117,"")</f>
        <v/>
      </c>
      <c r="AJ118" s="244">
        <f>IF(AND(INDEX('Roster Summary'!$U$31:$U$180,117)=1,LEFT(Grid!AV119,6)="Travel"),13*1000+117,"")</f>
        <v/>
      </c>
      <c r="BB118" s="244">
        <f>IF('INPUT - Bookings'!$B118="",0,IF(AND(OR(Dashboard!$D$9="All",TRIM('INPUT - Bookings'!$C118)=Dashboard!$D$9),OR(Dashboard!$J$9="All",TRIM('INPUT - Bookings'!$D118)=Dashboard!$J$9)),1,0))</f>
        <v/>
      </c>
      <c r="BC118" s="244">
        <f>IF(AND(BB118=1,ISNUMBER('INPUT - Bookings'!$E118),'INPUT - Bookings'!$E118&gt;=Settings!$C$8,'INPUT - Bookings'!$E118&lt;=Settings!$C$8+14,IFERROR(INDEX(Settings!$Q$14:$Q$24,MATCH('INPUT - Bookings'!$G118,Settings!$P$14:$P$24,0)),"Yes")="Yes"),'INPUT - Bookings'!$E118+ROW()/100000,"")</f>
        <v/>
      </c>
    </row>
    <row r="119">
      <c r="W119" s="244">
        <f>IF(AND(INDEX('Roster Summary'!$U$31:$U$180,118)=1,LEFT(Grid!AI120,6)="Travel"),0*1000+118,"")</f>
        <v/>
      </c>
      <c r="X119" s="244">
        <f>IF(AND(INDEX('Roster Summary'!$U$31:$U$180,118)=1,LEFT(Grid!AJ120,6)="Travel"),1*1000+118,"")</f>
        <v/>
      </c>
      <c r="Y119" s="244">
        <f>IF(AND(INDEX('Roster Summary'!$U$31:$U$180,118)=1,LEFT(Grid!AK120,6)="Travel"),2*1000+118,"")</f>
        <v/>
      </c>
      <c r="Z119" s="244">
        <f>IF(AND(INDEX('Roster Summary'!$U$31:$U$180,118)=1,LEFT(Grid!AL120,6)="Travel"),3*1000+118,"")</f>
        <v/>
      </c>
      <c r="AA119" s="244">
        <f>IF(AND(INDEX('Roster Summary'!$U$31:$U$180,118)=1,LEFT(Grid!AM120,6)="Travel"),4*1000+118,"")</f>
        <v/>
      </c>
      <c r="AB119" s="244">
        <f>IF(AND(INDEX('Roster Summary'!$U$31:$U$180,118)=1,LEFT(Grid!AN120,6)="Travel"),5*1000+118,"")</f>
        <v/>
      </c>
      <c r="AC119" s="244">
        <f>IF(AND(INDEX('Roster Summary'!$U$31:$U$180,118)=1,LEFT(Grid!AO120,6)="Travel"),6*1000+118,"")</f>
        <v/>
      </c>
      <c r="AD119" s="244">
        <f>IF(AND(INDEX('Roster Summary'!$U$31:$U$180,118)=1,LEFT(Grid!AP120,6)="Travel"),7*1000+118,"")</f>
        <v/>
      </c>
      <c r="AE119" s="244">
        <f>IF(AND(INDEX('Roster Summary'!$U$31:$U$180,118)=1,LEFT(Grid!AQ120,6)="Travel"),8*1000+118,"")</f>
        <v/>
      </c>
      <c r="AF119" s="244">
        <f>IF(AND(INDEX('Roster Summary'!$U$31:$U$180,118)=1,LEFT(Grid!AR120,6)="Travel"),9*1000+118,"")</f>
        <v/>
      </c>
      <c r="AG119" s="244">
        <f>IF(AND(INDEX('Roster Summary'!$U$31:$U$180,118)=1,LEFT(Grid!AS120,6)="Travel"),10*1000+118,"")</f>
        <v/>
      </c>
      <c r="AH119" s="244">
        <f>IF(AND(INDEX('Roster Summary'!$U$31:$U$180,118)=1,LEFT(Grid!AT120,6)="Travel"),11*1000+118,"")</f>
        <v/>
      </c>
      <c r="AI119" s="244">
        <f>IF(AND(INDEX('Roster Summary'!$U$31:$U$180,118)=1,LEFT(Grid!AU120,6)="Travel"),12*1000+118,"")</f>
        <v/>
      </c>
      <c r="AJ119" s="244">
        <f>IF(AND(INDEX('Roster Summary'!$U$31:$U$180,118)=1,LEFT(Grid!AV120,6)="Travel"),13*1000+118,"")</f>
        <v/>
      </c>
      <c r="BB119" s="244">
        <f>IF('INPUT - Bookings'!$B119="",0,IF(AND(OR(Dashboard!$D$9="All",TRIM('INPUT - Bookings'!$C119)=Dashboard!$D$9),OR(Dashboard!$J$9="All",TRIM('INPUT - Bookings'!$D119)=Dashboard!$J$9)),1,0))</f>
        <v/>
      </c>
      <c r="BC119" s="244">
        <f>IF(AND(BB119=1,ISNUMBER('INPUT - Bookings'!$E119),'INPUT - Bookings'!$E119&gt;=Settings!$C$8,'INPUT - Bookings'!$E119&lt;=Settings!$C$8+14,IFERROR(INDEX(Settings!$Q$14:$Q$24,MATCH('INPUT - Bookings'!$G119,Settings!$P$14:$P$24,0)),"Yes")="Yes"),'INPUT - Bookings'!$E119+ROW()/100000,"")</f>
        <v/>
      </c>
    </row>
    <row r="120">
      <c r="W120" s="244">
        <f>IF(AND(INDEX('Roster Summary'!$U$31:$U$180,119)=1,LEFT(Grid!AI121,6)="Travel"),0*1000+119,"")</f>
        <v/>
      </c>
      <c r="X120" s="244">
        <f>IF(AND(INDEX('Roster Summary'!$U$31:$U$180,119)=1,LEFT(Grid!AJ121,6)="Travel"),1*1000+119,"")</f>
        <v/>
      </c>
      <c r="Y120" s="244">
        <f>IF(AND(INDEX('Roster Summary'!$U$31:$U$180,119)=1,LEFT(Grid!AK121,6)="Travel"),2*1000+119,"")</f>
        <v/>
      </c>
      <c r="Z120" s="244">
        <f>IF(AND(INDEX('Roster Summary'!$U$31:$U$180,119)=1,LEFT(Grid!AL121,6)="Travel"),3*1000+119,"")</f>
        <v/>
      </c>
      <c r="AA120" s="244">
        <f>IF(AND(INDEX('Roster Summary'!$U$31:$U$180,119)=1,LEFT(Grid!AM121,6)="Travel"),4*1000+119,"")</f>
        <v/>
      </c>
      <c r="AB120" s="244">
        <f>IF(AND(INDEX('Roster Summary'!$U$31:$U$180,119)=1,LEFT(Grid!AN121,6)="Travel"),5*1000+119,"")</f>
        <v/>
      </c>
      <c r="AC120" s="244">
        <f>IF(AND(INDEX('Roster Summary'!$U$31:$U$180,119)=1,LEFT(Grid!AO121,6)="Travel"),6*1000+119,"")</f>
        <v/>
      </c>
      <c r="AD120" s="244">
        <f>IF(AND(INDEX('Roster Summary'!$U$31:$U$180,119)=1,LEFT(Grid!AP121,6)="Travel"),7*1000+119,"")</f>
        <v/>
      </c>
      <c r="AE120" s="244">
        <f>IF(AND(INDEX('Roster Summary'!$U$31:$U$180,119)=1,LEFT(Grid!AQ121,6)="Travel"),8*1000+119,"")</f>
        <v/>
      </c>
      <c r="AF120" s="244">
        <f>IF(AND(INDEX('Roster Summary'!$U$31:$U$180,119)=1,LEFT(Grid!AR121,6)="Travel"),9*1000+119,"")</f>
        <v/>
      </c>
      <c r="AG120" s="244">
        <f>IF(AND(INDEX('Roster Summary'!$U$31:$U$180,119)=1,LEFT(Grid!AS121,6)="Travel"),10*1000+119,"")</f>
        <v/>
      </c>
      <c r="AH120" s="244">
        <f>IF(AND(INDEX('Roster Summary'!$U$31:$U$180,119)=1,LEFT(Grid!AT121,6)="Travel"),11*1000+119,"")</f>
        <v/>
      </c>
      <c r="AI120" s="244">
        <f>IF(AND(INDEX('Roster Summary'!$U$31:$U$180,119)=1,LEFT(Grid!AU121,6)="Travel"),12*1000+119,"")</f>
        <v/>
      </c>
      <c r="AJ120" s="244">
        <f>IF(AND(INDEX('Roster Summary'!$U$31:$U$180,119)=1,LEFT(Grid!AV121,6)="Travel"),13*1000+119,"")</f>
        <v/>
      </c>
      <c r="BB120" s="244">
        <f>IF('INPUT - Bookings'!$B120="",0,IF(AND(OR(Dashboard!$D$9="All",TRIM('INPUT - Bookings'!$C120)=Dashboard!$D$9),OR(Dashboard!$J$9="All",TRIM('INPUT - Bookings'!$D120)=Dashboard!$J$9)),1,0))</f>
        <v/>
      </c>
      <c r="BC120" s="244">
        <f>IF(AND(BB120=1,ISNUMBER('INPUT - Bookings'!$E120),'INPUT - Bookings'!$E120&gt;=Settings!$C$8,'INPUT - Bookings'!$E120&lt;=Settings!$C$8+14,IFERROR(INDEX(Settings!$Q$14:$Q$24,MATCH('INPUT - Bookings'!$G120,Settings!$P$14:$P$24,0)),"Yes")="Yes"),'INPUT - Bookings'!$E120+ROW()/100000,"")</f>
        <v/>
      </c>
    </row>
    <row r="121">
      <c r="W121" s="244">
        <f>IF(AND(INDEX('Roster Summary'!$U$31:$U$180,120)=1,LEFT(Grid!AI122,6)="Travel"),0*1000+120,"")</f>
        <v/>
      </c>
      <c r="X121" s="244">
        <f>IF(AND(INDEX('Roster Summary'!$U$31:$U$180,120)=1,LEFT(Grid!AJ122,6)="Travel"),1*1000+120,"")</f>
        <v/>
      </c>
      <c r="Y121" s="244">
        <f>IF(AND(INDEX('Roster Summary'!$U$31:$U$180,120)=1,LEFT(Grid!AK122,6)="Travel"),2*1000+120,"")</f>
        <v/>
      </c>
      <c r="Z121" s="244">
        <f>IF(AND(INDEX('Roster Summary'!$U$31:$U$180,120)=1,LEFT(Grid!AL122,6)="Travel"),3*1000+120,"")</f>
        <v/>
      </c>
      <c r="AA121" s="244">
        <f>IF(AND(INDEX('Roster Summary'!$U$31:$U$180,120)=1,LEFT(Grid!AM122,6)="Travel"),4*1000+120,"")</f>
        <v/>
      </c>
      <c r="AB121" s="244">
        <f>IF(AND(INDEX('Roster Summary'!$U$31:$U$180,120)=1,LEFT(Grid!AN122,6)="Travel"),5*1000+120,"")</f>
        <v/>
      </c>
      <c r="AC121" s="244">
        <f>IF(AND(INDEX('Roster Summary'!$U$31:$U$180,120)=1,LEFT(Grid!AO122,6)="Travel"),6*1000+120,"")</f>
        <v/>
      </c>
      <c r="AD121" s="244">
        <f>IF(AND(INDEX('Roster Summary'!$U$31:$U$180,120)=1,LEFT(Grid!AP122,6)="Travel"),7*1000+120,"")</f>
        <v/>
      </c>
      <c r="AE121" s="244">
        <f>IF(AND(INDEX('Roster Summary'!$U$31:$U$180,120)=1,LEFT(Grid!AQ122,6)="Travel"),8*1000+120,"")</f>
        <v/>
      </c>
      <c r="AF121" s="244">
        <f>IF(AND(INDEX('Roster Summary'!$U$31:$U$180,120)=1,LEFT(Grid!AR122,6)="Travel"),9*1000+120,"")</f>
        <v/>
      </c>
      <c r="AG121" s="244">
        <f>IF(AND(INDEX('Roster Summary'!$U$31:$U$180,120)=1,LEFT(Grid!AS122,6)="Travel"),10*1000+120,"")</f>
        <v/>
      </c>
      <c r="AH121" s="244">
        <f>IF(AND(INDEX('Roster Summary'!$U$31:$U$180,120)=1,LEFT(Grid!AT122,6)="Travel"),11*1000+120,"")</f>
        <v/>
      </c>
      <c r="AI121" s="244">
        <f>IF(AND(INDEX('Roster Summary'!$U$31:$U$180,120)=1,LEFT(Grid!AU122,6)="Travel"),12*1000+120,"")</f>
        <v/>
      </c>
      <c r="AJ121" s="244">
        <f>IF(AND(INDEX('Roster Summary'!$U$31:$U$180,120)=1,LEFT(Grid!AV122,6)="Travel"),13*1000+120,"")</f>
        <v/>
      </c>
      <c r="BB121" s="244">
        <f>IF('INPUT - Bookings'!$B121="",0,IF(AND(OR(Dashboard!$D$9="All",TRIM('INPUT - Bookings'!$C121)=Dashboard!$D$9),OR(Dashboard!$J$9="All",TRIM('INPUT - Bookings'!$D121)=Dashboard!$J$9)),1,0))</f>
        <v/>
      </c>
      <c r="BC121" s="244">
        <f>IF(AND(BB121=1,ISNUMBER('INPUT - Bookings'!$E121),'INPUT - Bookings'!$E121&gt;=Settings!$C$8,'INPUT - Bookings'!$E121&lt;=Settings!$C$8+14,IFERROR(INDEX(Settings!$Q$14:$Q$24,MATCH('INPUT - Bookings'!$G121,Settings!$P$14:$P$24,0)),"Yes")="Yes"),'INPUT - Bookings'!$E121+ROW()/100000,"")</f>
        <v/>
      </c>
    </row>
    <row r="122">
      <c r="W122" s="244">
        <f>IF(AND(INDEX('Roster Summary'!$U$31:$U$180,121)=1,LEFT(Grid!AI123,6)="Travel"),0*1000+121,"")</f>
        <v/>
      </c>
      <c r="X122" s="244">
        <f>IF(AND(INDEX('Roster Summary'!$U$31:$U$180,121)=1,LEFT(Grid!AJ123,6)="Travel"),1*1000+121,"")</f>
        <v/>
      </c>
      <c r="Y122" s="244">
        <f>IF(AND(INDEX('Roster Summary'!$U$31:$U$180,121)=1,LEFT(Grid!AK123,6)="Travel"),2*1000+121,"")</f>
        <v/>
      </c>
      <c r="Z122" s="244">
        <f>IF(AND(INDEX('Roster Summary'!$U$31:$U$180,121)=1,LEFT(Grid!AL123,6)="Travel"),3*1000+121,"")</f>
        <v/>
      </c>
      <c r="AA122" s="244">
        <f>IF(AND(INDEX('Roster Summary'!$U$31:$U$180,121)=1,LEFT(Grid!AM123,6)="Travel"),4*1000+121,"")</f>
        <v/>
      </c>
      <c r="AB122" s="244">
        <f>IF(AND(INDEX('Roster Summary'!$U$31:$U$180,121)=1,LEFT(Grid!AN123,6)="Travel"),5*1000+121,"")</f>
        <v/>
      </c>
      <c r="AC122" s="244">
        <f>IF(AND(INDEX('Roster Summary'!$U$31:$U$180,121)=1,LEFT(Grid!AO123,6)="Travel"),6*1000+121,"")</f>
        <v/>
      </c>
      <c r="AD122" s="244">
        <f>IF(AND(INDEX('Roster Summary'!$U$31:$U$180,121)=1,LEFT(Grid!AP123,6)="Travel"),7*1000+121,"")</f>
        <v/>
      </c>
      <c r="AE122" s="244">
        <f>IF(AND(INDEX('Roster Summary'!$U$31:$U$180,121)=1,LEFT(Grid!AQ123,6)="Travel"),8*1000+121,"")</f>
        <v/>
      </c>
      <c r="AF122" s="244">
        <f>IF(AND(INDEX('Roster Summary'!$U$31:$U$180,121)=1,LEFT(Grid!AR123,6)="Travel"),9*1000+121,"")</f>
        <v/>
      </c>
      <c r="AG122" s="244">
        <f>IF(AND(INDEX('Roster Summary'!$U$31:$U$180,121)=1,LEFT(Grid!AS123,6)="Travel"),10*1000+121,"")</f>
        <v/>
      </c>
      <c r="AH122" s="244">
        <f>IF(AND(INDEX('Roster Summary'!$U$31:$U$180,121)=1,LEFT(Grid!AT123,6)="Travel"),11*1000+121,"")</f>
        <v/>
      </c>
      <c r="AI122" s="244">
        <f>IF(AND(INDEX('Roster Summary'!$U$31:$U$180,121)=1,LEFT(Grid!AU123,6)="Travel"),12*1000+121,"")</f>
        <v/>
      </c>
      <c r="AJ122" s="244">
        <f>IF(AND(INDEX('Roster Summary'!$U$31:$U$180,121)=1,LEFT(Grid!AV123,6)="Travel"),13*1000+121,"")</f>
        <v/>
      </c>
      <c r="BB122" s="244">
        <f>IF('INPUT - Bookings'!$B122="",0,IF(AND(OR(Dashboard!$D$9="All",TRIM('INPUT - Bookings'!$C122)=Dashboard!$D$9),OR(Dashboard!$J$9="All",TRIM('INPUT - Bookings'!$D122)=Dashboard!$J$9)),1,0))</f>
        <v/>
      </c>
      <c r="BC122" s="244">
        <f>IF(AND(BB122=1,ISNUMBER('INPUT - Bookings'!$E122),'INPUT - Bookings'!$E122&gt;=Settings!$C$8,'INPUT - Bookings'!$E122&lt;=Settings!$C$8+14,IFERROR(INDEX(Settings!$Q$14:$Q$24,MATCH('INPUT - Bookings'!$G122,Settings!$P$14:$P$24,0)),"Yes")="Yes"),'INPUT - Bookings'!$E122+ROW()/100000,"")</f>
        <v/>
      </c>
    </row>
    <row r="123">
      <c r="W123" s="244">
        <f>IF(AND(INDEX('Roster Summary'!$U$31:$U$180,122)=1,LEFT(Grid!AI124,6)="Travel"),0*1000+122,"")</f>
        <v/>
      </c>
      <c r="X123" s="244">
        <f>IF(AND(INDEX('Roster Summary'!$U$31:$U$180,122)=1,LEFT(Grid!AJ124,6)="Travel"),1*1000+122,"")</f>
        <v/>
      </c>
      <c r="Y123" s="244">
        <f>IF(AND(INDEX('Roster Summary'!$U$31:$U$180,122)=1,LEFT(Grid!AK124,6)="Travel"),2*1000+122,"")</f>
        <v/>
      </c>
      <c r="Z123" s="244">
        <f>IF(AND(INDEX('Roster Summary'!$U$31:$U$180,122)=1,LEFT(Grid!AL124,6)="Travel"),3*1000+122,"")</f>
        <v/>
      </c>
      <c r="AA123" s="244">
        <f>IF(AND(INDEX('Roster Summary'!$U$31:$U$180,122)=1,LEFT(Grid!AM124,6)="Travel"),4*1000+122,"")</f>
        <v/>
      </c>
      <c r="AB123" s="244">
        <f>IF(AND(INDEX('Roster Summary'!$U$31:$U$180,122)=1,LEFT(Grid!AN124,6)="Travel"),5*1000+122,"")</f>
        <v/>
      </c>
      <c r="AC123" s="244">
        <f>IF(AND(INDEX('Roster Summary'!$U$31:$U$180,122)=1,LEFT(Grid!AO124,6)="Travel"),6*1000+122,"")</f>
        <v/>
      </c>
      <c r="AD123" s="244">
        <f>IF(AND(INDEX('Roster Summary'!$U$31:$U$180,122)=1,LEFT(Grid!AP124,6)="Travel"),7*1000+122,"")</f>
        <v/>
      </c>
      <c r="AE123" s="244">
        <f>IF(AND(INDEX('Roster Summary'!$U$31:$U$180,122)=1,LEFT(Grid!AQ124,6)="Travel"),8*1000+122,"")</f>
        <v/>
      </c>
      <c r="AF123" s="244">
        <f>IF(AND(INDEX('Roster Summary'!$U$31:$U$180,122)=1,LEFT(Grid!AR124,6)="Travel"),9*1000+122,"")</f>
        <v/>
      </c>
      <c r="AG123" s="244">
        <f>IF(AND(INDEX('Roster Summary'!$U$31:$U$180,122)=1,LEFT(Grid!AS124,6)="Travel"),10*1000+122,"")</f>
        <v/>
      </c>
      <c r="AH123" s="244">
        <f>IF(AND(INDEX('Roster Summary'!$U$31:$U$180,122)=1,LEFT(Grid!AT124,6)="Travel"),11*1000+122,"")</f>
        <v/>
      </c>
      <c r="AI123" s="244">
        <f>IF(AND(INDEX('Roster Summary'!$U$31:$U$180,122)=1,LEFT(Grid!AU124,6)="Travel"),12*1000+122,"")</f>
        <v/>
      </c>
      <c r="AJ123" s="244">
        <f>IF(AND(INDEX('Roster Summary'!$U$31:$U$180,122)=1,LEFT(Grid!AV124,6)="Travel"),13*1000+122,"")</f>
        <v/>
      </c>
      <c r="BB123" s="244">
        <f>IF('INPUT - Bookings'!$B123="",0,IF(AND(OR(Dashboard!$D$9="All",TRIM('INPUT - Bookings'!$C123)=Dashboard!$D$9),OR(Dashboard!$J$9="All",TRIM('INPUT - Bookings'!$D123)=Dashboard!$J$9)),1,0))</f>
        <v/>
      </c>
      <c r="BC123" s="244">
        <f>IF(AND(BB123=1,ISNUMBER('INPUT - Bookings'!$E123),'INPUT - Bookings'!$E123&gt;=Settings!$C$8,'INPUT - Bookings'!$E123&lt;=Settings!$C$8+14,IFERROR(INDEX(Settings!$Q$14:$Q$24,MATCH('INPUT - Bookings'!$G123,Settings!$P$14:$P$24,0)),"Yes")="Yes"),'INPUT - Bookings'!$E123+ROW()/100000,"")</f>
        <v/>
      </c>
    </row>
    <row r="124">
      <c r="W124" s="244">
        <f>IF(AND(INDEX('Roster Summary'!$U$31:$U$180,123)=1,LEFT(Grid!AI125,6)="Travel"),0*1000+123,"")</f>
        <v/>
      </c>
      <c r="X124" s="244">
        <f>IF(AND(INDEX('Roster Summary'!$U$31:$U$180,123)=1,LEFT(Grid!AJ125,6)="Travel"),1*1000+123,"")</f>
        <v/>
      </c>
      <c r="Y124" s="244">
        <f>IF(AND(INDEX('Roster Summary'!$U$31:$U$180,123)=1,LEFT(Grid!AK125,6)="Travel"),2*1000+123,"")</f>
        <v/>
      </c>
      <c r="Z124" s="244">
        <f>IF(AND(INDEX('Roster Summary'!$U$31:$U$180,123)=1,LEFT(Grid!AL125,6)="Travel"),3*1000+123,"")</f>
        <v/>
      </c>
      <c r="AA124" s="244">
        <f>IF(AND(INDEX('Roster Summary'!$U$31:$U$180,123)=1,LEFT(Grid!AM125,6)="Travel"),4*1000+123,"")</f>
        <v/>
      </c>
      <c r="AB124" s="244">
        <f>IF(AND(INDEX('Roster Summary'!$U$31:$U$180,123)=1,LEFT(Grid!AN125,6)="Travel"),5*1000+123,"")</f>
        <v/>
      </c>
      <c r="AC124" s="244">
        <f>IF(AND(INDEX('Roster Summary'!$U$31:$U$180,123)=1,LEFT(Grid!AO125,6)="Travel"),6*1000+123,"")</f>
        <v/>
      </c>
      <c r="AD124" s="244">
        <f>IF(AND(INDEX('Roster Summary'!$U$31:$U$180,123)=1,LEFT(Grid!AP125,6)="Travel"),7*1000+123,"")</f>
        <v/>
      </c>
      <c r="AE124" s="244">
        <f>IF(AND(INDEX('Roster Summary'!$U$31:$U$180,123)=1,LEFT(Grid!AQ125,6)="Travel"),8*1000+123,"")</f>
        <v/>
      </c>
      <c r="AF124" s="244">
        <f>IF(AND(INDEX('Roster Summary'!$U$31:$U$180,123)=1,LEFT(Grid!AR125,6)="Travel"),9*1000+123,"")</f>
        <v/>
      </c>
      <c r="AG124" s="244">
        <f>IF(AND(INDEX('Roster Summary'!$U$31:$U$180,123)=1,LEFT(Grid!AS125,6)="Travel"),10*1000+123,"")</f>
        <v/>
      </c>
      <c r="AH124" s="244">
        <f>IF(AND(INDEX('Roster Summary'!$U$31:$U$180,123)=1,LEFT(Grid!AT125,6)="Travel"),11*1000+123,"")</f>
        <v/>
      </c>
      <c r="AI124" s="244">
        <f>IF(AND(INDEX('Roster Summary'!$U$31:$U$180,123)=1,LEFT(Grid!AU125,6)="Travel"),12*1000+123,"")</f>
        <v/>
      </c>
      <c r="AJ124" s="244">
        <f>IF(AND(INDEX('Roster Summary'!$U$31:$U$180,123)=1,LEFT(Grid!AV125,6)="Travel"),13*1000+123,"")</f>
        <v/>
      </c>
      <c r="BB124" s="244">
        <f>IF('INPUT - Bookings'!$B124="",0,IF(AND(OR(Dashboard!$D$9="All",TRIM('INPUT - Bookings'!$C124)=Dashboard!$D$9),OR(Dashboard!$J$9="All",TRIM('INPUT - Bookings'!$D124)=Dashboard!$J$9)),1,0))</f>
        <v/>
      </c>
      <c r="BC124" s="244">
        <f>IF(AND(BB124=1,ISNUMBER('INPUT - Bookings'!$E124),'INPUT - Bookings'!$E124&gt;=Settings!$C$8,'INPUT - Bookings'!$E124&lt;=Settings!$C$8+14,IFERROR(INDEX(Settings!$Q$14:$Q$24,MATCH('INPUT - Bookings'!$G124,Settings!$P$14:$P$24,0)),"Yes")="Yes"),'INPUT - Bookings'!$E124+ROW()/100000,"")</f>
        <v/>
      </c>
    </row>
    <row r="125">
      <c r="W125" s="244">
        <f>IF(AND(INDEX('Roster Summary'!$U$31:$U$180,124)=1,LEFT(Grid!AI126,6)="Travel"),0*1000+124,"")</f>
        <v/>
      </c>
      <c r="X125" s="244">
        <f>IF(AND(INDEX('Roster Summary'!$U$31:$U$180,124)=1,LEFT(Grid!AJ126,6)="Travel"),1*1000+124,"")</f>
        <v/>
      </c>
      <c r="Y125" s="244">
        <f>IF(AND(INDEX('Roster Summary'!$U$31:$U$180,124)=1,LEFT(Grid!AK126,6)="Travel"),2*1000+124,"")</f>
        <v/>
      </c>
      <c r="Z125" s="244">
        <f>IF(AND(INDEX('Roster Summary'!$U$31:$U$180,124)=1,LEFT(Grid!AL126,6)="Travel"),3*1000+124,"")</f>
        <v/>
      </c>
      <c r="AA125" s="244">
        <f>IF(AND(INDEX('Roster Summary'!$U$31:$U$180,124)=1,LEFT(Grid!AM126,6)="Travel"),4*1000+124,"")</f>
        <v/>
      </c>
      <c r="AB125" s="244">
        <f>IF(AND(INDEX('Roster Summary'!$U$31:$U$180,124)=1,LEFT(Grid!AN126,6)="Travel"),5*1000+124,"")</f>
        <v/>
      </c>
      <c r="AC125" s="244">
        <f>IF(AND(INDEX('Roster Summary'!$U$31:$U$180,124)=1,LEFT(Grid!AO126,6)="Travel"),6*1000+124,"")</f>
        <v/>
      </c>
      <c r="AD125" s="244">
        <f>IF(AND(INDEX('Roster Summary'!$U$31:$U$180,124)=1,LEFT(Grid!AP126,6)="Travel"),7*1000+124,"")</f>
        <v/>
      </c>
      <c r="AE125" s="244">
        <f>IF(AND(INDEX('Roster Summary'!$U$31:$U$180,124)=1,LEFT(Grid!AQ126,6)="Travel"),8*1000+124,"")</f>
        <v/>
      </c>
      <c r="AF125" s="244">
        <f>IF(AND(INDEX('Roster Summary'!$U$31:$U$180,124)=1,LEFT(Grid!AR126,6)="Travel"),9*1000+124,"")</f>
        <v/>
      </c>
      <c r="AG125" s="244">
        <f>IF(AND(INDEX('Roster Summary'!$U$31:$U$180,124)=1,LEFT(Grid!AS126,6)="Travel"),10*1000+124,"")</f>
        <v/>
      </c>
      <c r="AH125" s="244">
        <f>IF(AND(INDEX('Roster Summary'!$U$31:$U$180,124)=1,LEFT(Grid!AT126,6)="Travel"),11*1000+124,"")</f>
        <v/>
      </c>
      <c r="AI125" s="244">
        <f>IF(AND(INDEX('Roster Summary'!$U$31:$U$180,124)=1,LEFT(Grid!AU126,6)="Travel"),12*1000+124,"")</f>
        <v/>
      </c>
      <c r="AJ125" s="244">
        <f>IF(AND(INDEX('Roster Summary'!$U$31:$U$180,124)=1,LEFT(Grid!AV126,6)="Travel"),13*1000+124,"")</f>
        <v/>
      </c>
      <c r="BB125" s="244">
        <f>IF('INPUT - Bookings'!$B125="",0,IF(AND(OR(Dashboard!$D$9="All",TRIM('INPUT - Bookings'!$C125)=Dashboard!$D$9),OR(Dashboard!$J$9="All",TRIM('INPUT - Bookings'!$D125)=Dashboard!$J$9)),1,0))</f>
        <v/>
      </c>
      <c r="BC125" s="244">
        <f>IF(AND(BB125=1,ISNUMBER('INPUT - Bookings'!$E125),'INPUT - Bookings'!$E125&gt;=Settings!$C$8,'INPUT - Bookings'!$E125&lt;=Settings!$C$8+14,IFERROR(INDEX(Settings!$Q$14:$Q$24,MATCH('INPUT - Bookings'!$G125,Settings!$P$14:$P$24,0)),"Yes")="Yes"),'INPUT - Bookings'!$E125+ROW()/100000,"")</f>
        <v/>
      </c>
    </row>
    <row r="126">
      <c r="W126" s="244">
        <f>IF(AND(INDEX('Roster Summary'!$U$31:$U$180,125)=1,LEFT(Grid!AI127,6)="Travel"),0*1000+125,"")</f>
        <v/>
      </c>
      <c r="X126" s="244">
        <f>IF(AND(INDEX('Roster Summary'!$U$31:$U$180,125)=1,LEFT(Grid!AJ127,6)="Travel"),1*1000+125,"")</f>
        <v/>
      </c>
      <c r="Y126" s="244">
        <f>IF(AND(INDEX('Roster Summary'!$U$31:$U$180,125)=1,LEFT(Grid!AK127,6)="Travel"),2*1000+125,"")</f>
        <v/>
      </c>
      <c r="Z126" s="244">
        <f>IF(AND(INDEX('Roster Summary'!$U$31:$U$180,125)=1,LEFT(Grid!AL127,6)="Travel"),3*1000+125,"")</f>
        <v/>
      </c>
      <c r="AA126" s="244">
        <f>IF(AND(INDEX('Roster Summary'!$U$31:$U$180,125)=1,LEFT(Grid!AM127,6)="Travel"),4*1000+125,"")</f>
        <v/>
      </c>
      <c r="AB126" s="244">
        <f>IF(AND(INDEX('Roster Summary'!$U$31:$U$180,125)=1,LEFT(Grid!AN127,6)="Travel"),5*1000+125,"")</f>
        <v/>
      </c>
      <c r="AC126" s="244">
        <f>IF(AND(INDEX('Roster Summary'!$U$31:$U$180,125)=1,LEFT(Grid!AO127,6)="Travel"),6*1000+125,"")</f>
        <v/>
      </c>
      <c r="AD126" s="244">
        <f>IF(AND(INDEX('Roster Summary'!$U$31:$U$180,125)=1,LEFT(Grid!AP127,6)="Travel"),7*1000+125,"")</f>
        <v/>
      </c>
      <c r="AE126" s="244">
        <f>IF(AND(INDEX('Roster Summary'!$U$31:$U$180,125)=1,LEFT(Grid!AQ127,6)="Travel"),8*1000+125,"")</f>
        <v/>
      </c>
      <c r="AF126" s="244">
        <f>IF(AND(INDEX('Roster Summary'!$U$31:$U$180,125)=1,LEFT(Grid!AR127,6)="Travel"),9*1000+125,"")</f>
        <v/>
      </c>
      <c r="AG126" s="244">
        <f>IF(AND(INDEX('Roster Summary'!$U$31:$U$180,125)=1,LEFT(Grid!AS127,6)="Travel"),10*1000+125,"")</f>
        <v/>
      </c>
      <c r="AH126" s="244">
        <f>IF(AND(INDEX('Roster Summary'!$U$31:$U$180,125)=1,LEFT(Grid!AT127,6)="Travel"),11*1000+125,"")</f>
        <v/>
      </c>
      <c r="AI126" s="244">
        <f>IF(AND(INDEX('Roster Summary'!$U$31:$U$180,125)=1,LEFT(Grid!AU127,6)="Travel"),12*1000+125,"")</f>
        <v/>
      </c>
      <c r="AJ126" s="244">
        <f>IF(AND(INDEX('Roster Summary'!$U$31:$U$180,125)=1,LEFT(Grid!AV127,6)="Travel"),13*1000+125,"")</f>
        <v/>
      </c>
      <c r="BB126" s="244">
        <f>IF('INPUT - Bookings'!$B126="",0,IF(AND(OR(Dashboard!$D$9="All",TRIM('INPUT - Bookings'!$C126)=Dashboard!$D$9),OR(Dashboard!$J$9="All",TRIM('INPUT - Bookings'!$D126)=Dashboard!$J$9)),1,0))</f>
        <v/>
      </c>
      <c r="BC126" s="244">
        <f>IF(AND(BB126=1,ISNUMBER('INPUT - Bookings'!$E126),'INPUT - Bookings'!$E126&gt;=Settings!$C$8,'INPUT - Bookings'!$E126&lt;=Settings!$C$8+14,IFERROR(INDEX(Settings!$Q$14:$Q$24,MATCH('INPUT - Bookings'!$G126,Settings!$P$14:$P$24,0)),"Yes")="Yes"),'INPUT - Bookings'!$E126+ROW()/100000,"")</f>
        <v/>
      </c>
    </row>
    <row r="127">
      <c r="W127" s="244">
        <f>IF(AND(INDEX('Roster Summary'!$U$31:$U$180,126)=1,LEFT(Grid!AI128,6)="Travel"),0*1000+126,"")</f>
        <v/>
      </c>
      <c r="X127" s="244">
        <f>IF(AND(INDEX('Roster Summary'!$U$31:$U$180,126)=1,LEFT(Grid!AJ128,6)="Travel"),1*1000+126,"")</f>
        <v/>
      </c>
      <c r="Y127" s="244">
        <f>IF(AND(INDEX('Roster Summary'!$U$31:$U$180,126)=1,LEFT(Grid!AK128,6)="Travel"),2*1000+126,"")</f>
        <v/>
      </c>
      <c r="Z127" s="244">
        <f>IF(AND(INDEX('Roster Summary'!$U$31:$U$180,126)=1,LEFT(Grid!AL128,6)="Travel"),3*1000+126,"")</f>
        <v/>
      </c>
      <c r="AA127" s="244">
        <f>IF(AND(INDEX('Roster Summary'!$U$31:$U$180,126)=1,LEFT(Grid!AM128,6)="Travel"),4*1000+126,"")</f>
        <v/>
      </c>
      <c r="AB127" s="244">
        <f>IF(AND(INDEX('Roster Summary'!$U$31:$U$180,126)=1,LEFT(Grid!AN128,6)="Travel"),5*1000+126,"")</f>
        <v/>
      </c>
      <c r="AC127" s="244">
        <f>IF(AND(INDEX('Roster Summary'!$U$31:$U$180,126)=1,LEFT(Grid!AO128,6)="Travel"),6*1000+126,"")</f>
        <v/>
      </c>
      <c r="AD127" s="244">
        <f>IF(AND(INDEX('Roster Summary'!$U$31:$U$180,126)=1,LEFT(Grid!AP128,6)="Travel"),7*1000+126,"")</f>
        <v/>
      </c>
      <c r="AE127" s="244">
        <f>IF(AND(INDEX('Roster Summary'!$U$31:$U$180,126)=1,LEFT(Grid!AQ128,6)="Travel"),8*1000+126,"")</f>
        <v/>
      </c>
      <c r="AF127" s="244">
        <f>IF(AND(INDEX('Roster Summary'!$U$31:$U$180,126)=1,LEFT(Grid!AR128,6)="Travel"),9*1000+126,"")</f>
        <v/>
      </c>
      <c r="AG127" s="244">
        <f>IF(AND(INDEX('Roster Summary'!$U$31:$U$180,126)=1,LEFT(Grid!AS128,6)="Travel"),10*1000+126,"")</f>
        <v/>
      </c>
      <c r="AH127" s="244">
        <f>IF(AND(INDEX('Roster Summary'!$U$31:$U$180,126)=1,LEFT(Grid!AT128,6)="Travel"),11*1000+126,"")</f>
        <v/>
      </c>
      <c r="AI127" s="244">
        <f>IF(AND(INDEX('Roster Summary'!$U$31:$U$180,126)=1,LEFT(Grid!AU128,6)="Travel"),12*1000+126,"")</f>
        <v/>
      </c>
      <c r="AJ127" s="244">
        <f>IF(AND(INDEX('Roster Summary'!$U$31:$U$180,126)=1,LEFT(Grid!AV128,6)="Travel"),13*1000+126,"")</f>
        <v/>
      </c>
      <c r="BB127" s="244">
        <f>IF('INPUT - Bookings'!$B127="",0,IF(AND(OR(Dashboard!$D$9="All",TRIM('INPUT - Bookings'!$C127)=Dashboard!$D$9),OR(Dashboard!$J$9="All",TRIM('INPUT - Bookings'!$D127)=Dashboard!$J$9)),1,0))</f>
        <v/>
      </c>
      <c r="BC127" s="244">
        <f>IF(AND(BB127=1,ISNUMBER('INPUT - Bookings'!$E127),'INPUT - Bookings'!$E127&gt;=Settings!$C$8,'INPUT - Bookings'!$E127&lt;=Settings!$C$8+14,IFERROR(INDEX(Settings!$Q$14:$Q$24,MATCH('INPUT - Bookings'!$G127,Settings!$P$14:$P$24,0)),"Yes")="Yes"),'INPUT - Bookings'!$E127+ROW()/100000,"")</f>
        <v/>
      </c>
    </row>
    <row r="128">
      <c r="W128" s="244">
        <f>IF(AND(INDEX('Roster Summary'!$U$31:$U$180,127)=1,LEFT(Grid!AI129,6)="Travel"),0*1000+127,"")</f>
        <v/>
      </c>
      <c r="X128" s="244">
        <f>IF(AND(INDEX('Roster Summary'!$U$31:$U$180,127)=1,LEFT(Grid!AJ129,6)="Travel"),1*1000+127,"")</f>
        <v/>
      </c>
      <c r="Y128" s="244">
        <f>IF(AND(INDEX('Roster Summary'!$U$31:$U$180,127)=1,LEFT(Grid!AK129,6)="Travel"),2*1000+127,"")</f>
        <v/>
      </c>
      <c r="Z128" s="244">
        <f>IF(AND(INDEX('Roster Summary'!$U$31:$U$180,127)=1,LEFT(Grid!AL129,6)="Travel"),3*1000+127,"")</f>
        <v/>
      </c>
      <c r="AA128" s="244">
        <f>IF(AND(INDEX('Roster Summary'!$U$31:$U$180,127)=1,LEFT(Grid!AM129,6)="Travel"),4*1000+127,"")</f>
        <v/>
      </c>
      <c r="AB128" s="244">
        <f>IF(AND(INDEX('Roster Summary'!$U$31:$U$180,127)=1,LEFT(Grid!AN129,6)="Travel"),5*1000+127,"")</f>
        <v/>
      </c>
      <c r="AC128" s="244">
        <f>IF(AND(INDEX('Roster Summary'!$U$31:$U$180,127)=1,LEFT(Grid!AO129,6)="Travel"),6*1000+127,"")</f>
        <v/>
      </c>
      <c r="AD128" s="244">
        <f>IF(AND(INDEX('Roster Summary'!$U$31:$U$180,127)=1,LEFT(Grid!AP129,6)="Travel"),7*1000+127,"")</f>
        <v/>
      </c>
      <c r="AE128" s="244">
        <f>IF(AND(INDEX('Roster Summary'!$U$31:$U$180,127)=1,LEFT(Grid!AQ129,6)="Travel"),8*1000+127,"")</f>
        <v/>
      </c>
      <c r="AF128" s="244">
        <f>IF(AND(INDEX('Roster Summary'!$U$31:$U$180,127)=1,LEFT(Grid!AR129,6)="Travel"),9*1000+127,"")</f>
        <v/>
      </c>
      <c r="AG128" s="244">
        <f>IF(AND(INDEX('Roster Summary'!$U$31:$U$180,127)=1,LEFT(Grid!AS129,6)="Travel"),10*1000+127,"")</f>
        <v/>
      </c>
      <c r="AH128" s="244">
        <f>IF(AND(INDEX('Roster Summary'!$U$31:$U$180,127)=1,LEFT(Grid!AT129,6)="Travel"),11*1000+127,"")</f>
        <v/>
      </c>
      <c r="AI128" s="244">
        <f>IF(AND(INDEX('Roster Summary'!$U$31:$U$180,127)=1,LEFT(Grid!AU129,6)="Travel"),12*1000+127,"")</f>
        <v/>
      </c>
      <c r="AJ128" s="244">
        <f>IF(AND(INDEX('Roster Summary'!$U$31:$U$180,127)=1,LEFT(Grid!AV129,6)="Travel"),13*1000+127,"")</f>
        <v/>
      </c>
      <c r="BB128" s="244">
        <f>IF('INPUT - Bookings'!$B128="",0,IF(AND(OR(Dashboard!$D$9="All",TRIM('INPUT - Bookings'!$C128)=Dashboard!$D$9),OR(Dashboard!$J$9="All",TRIM('INPUT - Bookings'!$D128)=Dashboard!$J$9)),1,0))</f>
        <v/>
      </c>
      <c r="BC128" s="244">
        <f>IF(AND(BB128=1,ISNUMBER('INPUT - Bookings'!$E128),'INPUT - Bookings'!$E128&gt;=Settings!$C$8,'INPUT - Bookings'!$E128&lt;=Settings!$C$8+14,IFERROR(INDEX(Settings!$Q$14:$Q$24,MATCH('INPUT - Bookings'!$G128,Settings!$P$14:$P$24,0)),"Yes")="Yes"),'INPUT - Bookings'!$E128+ROW()/100000,"")</f>
        <v/>
      </c>
    </row>
    <row r="129">
      <c r="W129" s="244">
        <f>IF(AND(INDEX('Roster Summary'!$U$31:$U$180,128)=1,LEFT(Grid!AI130,6)="Travel"),0*1000+128,"")</f>
        <v/>
      </c>
      <c r="X129" s="244">
        <f>IF(AND(INDEX('Roster Summary'!$U$31:$U$180,128)=1,LEFT(Grid!AJ130,6)="Travel"),1*1000+128,"")</f>
        <v/>
      </c>
      <c r="Y129" s="244">
        <f>IF(AND(INDEX('Roster Summary'!$U$31:$U$180,128)=1,LEFT(Grid!AK130,6)="Travel"),2*1000+128,"")</f>
        <v/>
      </c>
      <c r="Z129" s="244">
        <f>IF(AND(INDEX('Roster Summary'!$U$31:$U$180,128)=1,LEFT(Grid!AL130,6)="Travel"),3*1000+128,"")</f>
        <v/>
      </c>
      <c r="AA129" s="244">
        <f>IF(AND(INDEX('Roster Summary'!$U$31:$U$180,128)=1,LEFT(Grid!AM130,6)="Travel"),4*1000+128,"")</f>
        <v/>
      </c>
      <c r="AB129" s="244">
        <f>IF(AND(INDEX('Roster Summary'!$U$31:$U$180,128)=1,LEFT(Grid!AN130,6)="Travel"),5*1000+128,"")</f>
        <v/>
      </c>
      <c r="AC129" s="244">
        <f>IF(AND(INDEX('Roster Summary'!$U$31:$U$180,128)=1,LEFT(Grid!AO130,6)="Travel"),6*1000+128,"")</f>
        <v/>
      </c>
      <c r="AD129" s="244">
        <f>IF(AND(INDEX('Roster Summary'!$U$31:$U$180,128)=1,LEFT(Grid!AP130,6)="Travel"),7*1000+128,"")</f>
        <v/>
      </c>
      <c r="AE129" s="244">
        <f>IF(AND(INDEX('Roster Summary'!$U$31:$U$180,128)=1,LEFT(Grid!AQ130,6)="Travel"),8*1000+128,"")</f>
        <v/>
      </c>
      <c r="AF129" s="244">
        <f>IF(AND(INDEX('Roster Summary'!$U$31:$U$180,128)=1,LEFT(Grid!AR130,6)="Travel"),9*1000+128,"")</f>
        <v/>
      </c>
      <c r="AG129" s="244">
        <f>IF(AND(INDEX('Roster Summary'!$U$31:$U$180,128)=1,LEFT(Grid!AS130,6)="Travel"),10*1000+128,"")</f>
        <v/>
      </c>
      <c r="AH129" s="244">
        <f>IF(AND(INDEX('Roster Summary'!$U$31:$U$180,128)=1,LEFT(Grid!AT130,6)="Travel"),11*1000+128,"")</f>
        <v/>
      </c>
      <c r="AI129" s="244">
        <f>IF(AND(INDEX('Roster Summary'!$U$31:$U$180,128)=1,LEFT(Grid!AU130,6)="Travel"),12*1000+128,"")</f>
        <v/>
      </c>
      <c r="AJ129" s="244">
        <f>IF(AND(INDEX('Roster Summary'!$U$31:$U$180,128)=1,LEFT(Grid!AV130,6)="Travel"),13*1000+128,"")</f>
        <v/>
      </c>
      <c r="BB129" s="244">
        <f>IF('INPUT - Bookings'!$B129="",0,IF(AND(OR(Dashboard!$D$9="All",TRIM('INPUT - Bookings'!$C129)=Dashboard!$D$9),OR(Dashboard!$J$9="All",TRIM('INPUT - Bookings'!$D129)=Dashboard!$J$9)),1,0))</f>
        <v/>
      </c>
      <c r="BC129" s="244">
        <f>IF(AND(BB129=1,ISNUMBER('INPUT - Bookings'!$E129),'INPUT - Bookings'!$E129&gt;=Settings!$C$8,'INPUT - Bookings'!$E129&lt;=Settings!$C$8+14,IFERROR(INDEX(Settings!$Q$14:$Q$24,MATCH('INPUT - Bookings'!$G129,Settings!$P$14:$P$24,0)),"Yes")="Yes"),'INPUT - Bookings'!$E129+ROW()/100000,"")</f>
        <v/>
      </c>
    </row>
    <row r="130">
      <c r="W130" s="244">
        <f>IF(AND(INDEX('Roster Summary'!$U$31:$U$180,129)=1,LEFT(Grid!AI131,6)="Travel"),0*1000+129,"")</f>
        <v/>
      </c>
      <c r="X130" s="244">
        <f>IF(AND(INDEX('Roster Summary'!$U$31:$U$180,129)=1,LEFT(Grid!AJ131,6)="Travel"),1*1000+129,"")</f>
        <v/>
      </c>
      <c r="Y130" s="244">
        <f>IF(AND(INDEX('Roster Summary'!$U$31:$U$180,129)=1,LEFT(Grid!AK131,6)="Travel"),2*1000+129,"")</f>
        <v/>
      </c>
      <c r="Z130" s="244">
        <f>IF(AND(INDEX('Roster Summary'!$U$31:$U$180,129)=1,LEFT(Grid!AL131,6)="Travel"),3*1000+129,"")</f>
        <v/>
      </c>
      <c r="AA130" s="244">
        <f>IF(AND(INDEX('Roster Summary'!$U$31:$U$180,129)=1,LEFT(Grid!AM131,6)="Travel"),4*1000+129,"")</f>
        <v/>
      </c>
      <c r="AB130" s="244">
        <f>IF(AND(INDEX('Roster Summary'!$U$31:$U$180,129)=1,LEFT(Grid!AN131,6)="Travel"),5*1000+129,"")</f>
        <v/>
      </c>
      <c r="AC130" s="244">
        <f>IF(AND(INDEX('Roster Summary'!$U$31:$U$180,129)=1,LEFT(Grid!AO131,6)="Travel"),6*1000+129,"")</f>
        <v/>
      </c>
      <c r="AD130" s="244">
        <f>IF(AND(INDEX('Roster Summary'!$U$31:$U$180,129)=1,LEFT(Grid!AP131,6)="Travel"),7*1000+129,"")</f>
        <v/>
      </c>
      <c r="AE130" s="244">
        <f>IF(AND(INDEX('Roster Summary'!$U$31:$U$180,129)=1,LEFT(Grid!AQ131,6)="Travel"),8*1000+129,"")</f>
        <v/>
      </c>
      <c r="AF130" s="244">
        <f>IF(AND(INDEX('Roster Summary'!$U$31:$U$180,129)=1,LEFT(Grid!AR131,6)="Travel"),9*1000+129,"")</f>
        <v/>
      </c>
      <c r="AG130" s="244">
        <f>IF(AND(INDEX('Roster Summary'!$U$31:$U$180,129)=1,LEFT(Grid!AS131,6)="Travel"),10*1000+129,"")</f>
        <v/>
      </c>
      <c r="AH130" s="244">
        <f>IF(AND(INDEX('Roster Summary'!$U$31:$U$180,129)=1,LEFT(Grid!AT131,6)="Travel"),11*1000+129,"")</f>
        <v/>
      </c>
      <c r="AI130" s="244">
        <f>IF(AND(INDEX('Roster Summary'!$U$31:$U$180,129)=1,LEFT(Grid!AU131,6)="Travel"),12*1000+129,"")</f>
        <v/>
      </c>
      <c r="AJ130" s="244">
        <f>IF(AND(INDEX('Roster Summary'!$U$31:$U$180,129)=1,LEFT(Grid!AV131,6)="Travel"),13*1000+129,"")</f>
        <v/>
      </c>
      <c r="BB130" s="244">
        <f>IF('INPUT - Bookings'!$B130="",0,IF(AND(OR(Dashboard!$D$9="All",TRIM('INPUT - Bookings'!$C130)=Dashboard!$D$9),OR(Dashboard!$J$9="All",TRIM('INPUT - Bookings'!$D130)=Dashboard!$J$9)),1,0))</f>
        <v/>
      </c>
      <c r="BC130" s="244">
        <f>IF(AND(BB130=1,ISNUMBER('INPUT - Bookings'!$E130),'INPUT - Bookings'!$E130&gt;=Settings!$C$8,'INPUT - Bookings'!$E130&lt;=Settings!$C$8+14,IFERROR(INDEX(Settings!$Q$14:$Q$24,MATCH('INPUT - Bookings'!$G130,Settings!$P$14:$P$24,0)),"Yes")="Yes"),'INPUT - Bookings'!$E130+ROW()/100000,"")</f>
        <v/>
      </c>
    </row>
    <row r="131">
      <c r="W131" s="244">
        <f>IF(AND(INDEX('Roster Summary'!$U$31:$U$180,130)=1,LEFT(Grid!AI132,6)="Travel"),0*1000+130,"")</f>
        <v/>
      </c>
      <c r="X131" s="244">
        <f>IF(AND(INDEX('Roster Summary'!$U$31:$U$180,130)=1,LEFT(Grid!AJ132,6)="Travel"),1*1000+130,"")</f>
        <v/>
      </c>
      <c r="Y131" s="244">
        <f>IF(AND(INDEX('Roster Summary'!$U$31:$U$180,130)=1,LEFT(Grid!AK132,6)="Travel"),2*1000+130,"")</f>
        <v/>
      </c>
      <c r="Z131" s="244">
        <f>IF(AND(INDEX('Roster Summary'!$U$31:$U$180,130)=1,LEFT(Grid!AL132,6)="Travel"),3*1000+130,"")</f>
        <v/>
      </c>
      <c r="AA131" s="244">
        <f>IF(AND(INDEX('Roster Summary'!$U$31:$U$180,130)=1,LEFT(Grid!AM132,6)="Travel"),4*1000+130,"")</f>
        <v/>
      </c>
      <c r="AB131" s="244">
        <f>IF(AND(INDEX('Roster Summary'!$U$31:$U$180,130)=1,LEFT(Grid!AN132,6)="Travel"),5*1000+130,"")</f>
        <v/>
      </c>
      <c r="AC131" s="244">
        <f>IF(AND(INDEX('Roster Summary'!$U$31:$U$180,130)=1,LEFT(Grid!AO132,6)="Travel"),6*1000+130,"")</f>
        <v/>
      </c>
      <c r="AD131" s="244">
        <f>IF(AND(INDEX('Roster Summary'!$U$31:$U$180,130)=1,LEFT(Grid!AP132,6)="Travel"),7*1000+130,"")</f>
        <v/>
      </c>
      <c r="AE131" s="244">
        <f>IF(AND(INDEX('Roster Summary'!$U$31:$U$180,130)=1,LEFT(Grid!AQ132,6)="Travel"),8*1000+130,"")</f>
        <v/>
      </c>
      <c r="AF131" s="244">
        <f>IF(AND(INDEX('Roster Summary'!$U$31:$U$180,130)=1,LEFT(Grid!AR132,6)="Travel"),9*1000+130,"")</f>
        <v/>
      </c>
      <c r="AG131" s="244">
        <f>IF(AND(INDEX('Roster Summary'!$U$31:$U$180,130)=1,LEFT(Grid!AS132,6)="Travel"),10*1000+130,"")</f>
        <v/>
      </c>
      <c r="AH131" s="244">
        <f>IF(AND(INDEX('Roster Summary'!$U$31:$U$180,130)=1,LEFT(Grid!AT132,6)="Travel"),11*1000+130,"")</f>
        <v/>
      </c>
      <c r="AI131" s="244">
        <f>IF(AND(INDEX('Roster Summary'!$U$31:$U$180,130)=1,LEFT(Grid!AU132,6)="Travel"),12*1000+130,"")</f>
        <v/>
      </c>
      <c r="AJ131" s="244">
        <f>IF(AND(INDEX('Roster Summary'!$U$31:$U$180,130)=1,LEFT(Grid!AV132,6)="Travel"),13*1000+130,"")</f>
        <v/>
      </c>
      <c r="BB131" s="244">
        <f>IF('INPUT - Bookings'!$B131="",0,IF(AND(OR(Dashboard!$D$9="All",TRIM('INPUT - Bookings'!$C131)=Dashboard!$D$9),OR(Dashboard!$J$9="All",TRIM('INPUT - Bookings'!$D131)=Dashboard!$J$9)),1,0))</f>
        <v/>
      </c>
      <c r="BC131" s="244">
        <f>IF(AND(BB131=1,ISNUMBER('INPUT - Bookings'!$E131),'INPUT - Bookings'!$E131&gt;=Settings!$C$8,'INPUT - Bookings'!$E131&lt;=Settings!$C$8+14,IFERROR(INDEX(Settings!$Q$14:$Q$24,MATCH('INPUT - Bookings'!$G131,Settings!$P$14:$P$24,0)),"Yes")="Yes"),'INPUT - Bookings'!$E131+ROW()/100000,"")</f>
        <v/>
      </c>
    </row>
    <row r="132">
      <c r="W132" s="244">
        <f>IF(AND(INDEX('Roster Summary'!$U$31:$U$180,131)=1,LEFT(Grid!AI133,6)="Travel"),0*1000+131,"")</f>
        <v/>
      </c>
      <c r="X132" s="244">
        <f>IF(AND(INDEX('Roster Summary'!$U$31:$U$180,131)=1,LEFT(Grid!AJ133,6)="Travel"),1*1000+131,"")</f>
        <v/>
      </c>
      <c r="Y132" s="244">
        <f>IF(AND(INDEX('Roster Summary'!$U$31:$U$180,131)=1,LEFT(Grid!AK133,6)="Travel"),2*1000+131,"")</f>
        <v/>
      </c>
      <c r="Z132" s="244">
        <f>IF(AND(INDEX('Roster Summary'!$U$31:$U$180,131)=1,LEFT(Grid!AL133,6)="Travel"),3*1000+131,"")</f>
        <v/>
      </c>
      <c r="AA132" s="244">
        <f>IF(AND(INDEX('Roster Summary'!$U$31:$U$180,131)=1,LEFT(Grid!AM133,6)="Travel"),4*1000+131,"")</f>
        <v/>
      </c>
      <c r="AB132" s="244">
        <f>IF(AND(INDEX('Roster Summary'!$U$31:$U$180,131)=1,LEFT(Grid!AN133,6)="Travel"),5*1000+131,"")</f>
        <v/>
      </c>
      <c r="AC132" s="244">
        <f>IF(AND(INDEX('Roster Summary'!$U$31:$U$180,131)=1,LEFT(Grid!AO133,6)="Travel"),6*1000+131,"")</f>
        <v/>
      </c>
      <c r="AD132" s="244">
        <f>IF(AND(INDEX('Roster Summary'!$U$31:$U$180,131)=1,LEFT(Grid!AP133,6)="Travel"),7*1000+131,"")</f>
        <v/>
      </c>
      <c r="AE132" s="244">
        <f>IF(AND(INDEX('Roster Summary'!$U$31:$U$180,131)=1,LEFT(Grid!AQ133,6)="Travel"),8*1000+131,"")</f>
        <v/>
      </c>
      <c r="AF132" s="244">
        <f>IF(AND(INDEX('Roster Summary'!$U$31:$U$180,131)=1,LEFT(Grid!AR133,6)="Travel"),9*1000+131,"")</f>
        <v/>
      </c>
      <c r="AG132" s="244">
        <f>IF(AND(INDEX('Roster Summary'!$U$31:$U$180,131)=1,LEFT(Grid!AS133,6)="Travel"),10*1000+131,"")</f>
        <v/>
      </c>
      <c r="AH132" s="244">
        <f>IF(AND(INDEX('Roster Summary'!$U$31:$U$180,131)=1,LEFT(Grid!AT133,6)="Travel"),11*1000+131,"")</f>
        <v/>
      </c>
      <c r="AI132" s="244">
        <f>IF(AND(INDEX('Roster Summary'!$U$31:$U$180,131)=1,LEFT(Grid!AU133,6)="Travel"),12*1000+131,"")</f>
        <v/>
      </c>
      <c r="AJ132" s="244">
        <f>IF(AND(INDEX('Roster Summary'!$U$31:$U$180,131)=1,LEFT(Grid!AV133,6)="Travel"),13*1000+131,"")</f>
        <v/>
      </c>
      <c r="BB132" s="244">
        <f>IF('INPUT - Bookings'!$B132="",0,IF(AND(OR(Dashboard!$D$9="All",TRIM('INPUT - Bookings'!$C132)=Dashboard!$D$9),OR(Dashboard!$J$9="All",TRIM('INPUT - Bookings'!$D132)=Dashboard!$J$9)),1,0))</f>
        <v/>
      </c>
      <c r="BC132" s="244">
        <f>IF(AND(BB132=1,ISNUMBER('INPUT - Bookings'!$E132),'INPUT - Bookings'!$E132&gt;=Settings!$C$8,'INPUT - Bookings'!$E132&lt;=Settings!$C$8+14,IFERROR(INDEX(Settings!$Q$14:$Q$24,MATCH('INPUT - Bookings'!$G132,Settings!$P$14:$P$24,0)),"Yes")="Yes"),'INPUT - Bookings'!$E132+ROW()/100000,"")</f>
        <v/>
      </c>
    </row>
    <row r="133">
      <c r="W133" s="244">
        <f>IF(AND(INDEX('Roster Summary'!$U$31:$U$180,132)=1,LEFT(Grid!AI134,6)="Travel"),0*1000+132,"")</f>
        <v/>
      </c>
      <c r="X133" s="244">
        <f>IF(AND(INDEX('Roster Summary'!$U$31:$U$180,132)=1,LEFT(Grid!AJ134,6)="Travel"),1*1000+132,"")</f>
        <v/>
      </c>
      <c r="Y133" s="244">
        <f>IF(AND(INDEX('Roster Summary'!$U$31:$U$180,132)=1,LEFT(Grid!AK134,6)="Travel"),2*1000+132,"")</f>
        <v/>
      </c>
      <c r="Z133" s="244">
        <f>IF(AND(INDEX('Roster Summary'!$U$31:$U$180,132)=1,LEFT(Grid!AL134,6)="Travel"),3*1000+132,"")</f>
        <v/>
      </c>
      <c r="AA133" s="244">
        <f>IF(AND(INDEX('Roster Summary'!$U$31:$U$180,132)=1,LEFT(Grid!AM134,6)="Travel"),4*1000+132,"")</f>
        <v/>
      </c>
      <c r="AB133" s="244">
        <f>IF(AND(INDEX('Roster Summary'!$U$31:$U$180,132)=1,LEFT(Grid!AN134,6)="Travel"),5*1000+132,"")</f>
        <v/>
      </c>
      <c r="AC133" s="244">
        <f>IF(AND(INDEX('Roster Summary'!$U$31:$U$180,132)=1,LEFT(Grid!AO134,6)="Travel"),6*1000+132,"")</f>
        <v/>
      </c>
      <c r="AD133" s="244">
        <f>IF(AND(INDEX('Roster Summary'!$U$31:$U$180,132)=1,LEFT(Grid!AP134,6)="Travel"),7*1000+132,"")</f>
        <v/>
      </c>
      <c r="AE133" s="244">
        <f>IF(AND(INDEX('Roster Summary'!$U$31:$U$180,132)=1,LEFT(Grid!AQ134,6)="Travel"),8*1000+132,"")</f>
        <v/>
      </c>
      <c r="AF133" s="244">
        <f>IF(AND(INDEX('Roster Summary'!$U$31:$U$180,132)=1,LEFT(Grid!AR134,6)="Travel"),9*1000+132,"")</f>
        <v/>
      </c>
      <c r="AG133" s="244">
        <f>IF(AND(INDEX('Roster Summary'!$U$31:$U$180,132)=1,LEFT(Grid!AS134,6)="Travel"),10*1000+132,"")</f>
        <v/>
      </c>
      <c r="AH133" s="244">
        <f>IF(AND(INDEX('Roster Summary'!$U$31:$U$180,132)=1,LEFT(Grid!AT134,6)="Travel"),11*1000+132,"")</f>
        <v/>
      </c>
      <c r="AI133" s="244">
        <f>IF(AND(INDEX('Roster Summary'!$U$31:$U$180,132)=1,LEFT(Grid!AU134,6)="Travel"),12*1000+132,"")</f>
        <v/>
      </c>
      <c r="AJ133" s="244">
        <f>IF(AND(INDEX('Roster Summary'!$U$31:$U$180,132)=1,LEFT(Grid!AV134,6)="Travel"),13*1000+132,"")</f>
        <v/>
      </c>
      <c r="BB133" s="244">
        <f>IF('INPUT - Bookings'!$B133="",0,IF(AND(OR(Dashboard!$D$9="All",TRIM('INPUT - Bookings'!$C133)=Dashboard!$D$9),OR(Dashboard!$J$9="All",TRIM('INPUT - Bookings'!$D133)=Dashboard!$J$9)),1,0))</f>
        <v/>
      </c>
      <c r="BC133" s="244">
        <f>IF(AND(BB133=1,ISNUMBER('INPUT - Bookings'!$E133),'INPUT - Bookings'!$E133&gt;=Settings!$C$8,'INPUT - Bookings'!$E133&lt;=Settings!$C$8+14,IFERROR(INDEX(Settings!$Q$14:$Q$24,MATCH('INPUT - Bookings'!$G133,Settings!$P$14:$P$24,0)),"Yes")="Yes"),'INPUT - Bookings'!$E133+ROW()/100000,"")</f>
        <v/>
      </c>
    </row>
    <row r="134">
      <c r="W134" s="244">
        <f>IF(AND(INDEX('Roster Summary'!$U$31:$U$180,133)=1,LEFT(Grid!AI135,6)="Travel"),0*1000+133,"")</f>
        <v/>
      </c>
      <c r="X134" s="244">
        <f>IF(AND(INDEX('Roster Summary'!$U$31:$U$180,133)=1,LEFT(Grid!AJ135,6)="Travel"),1*1000+133,"")</f>
        <v/>
      </c>
      <c r="Y134" s="244">
        <f>IF(AND(INDEX('Roster Summary'!$U$31:$U$180,133)=1,LEFT(Grid!AK135,6)="Travel"),2*1000+133,"")</f>
        <v/>
      </c>
      <c r="Z134" s="244">
        <f>IF(AND(INDEX('Roster Summary'!$U$31:$U$180,133)=1,LEFT(Grid!AL135,6)="Travel"),3*1000+133,"")</f>
        <v/>
      </c>
      <c r="AA134" s="244">
        <f>IF(AND(INDEX('Roster Summary'!$U$31:$U$180,133)=1,LEFT(Grid!AM135,6)="Travel"),4*1000+133,"")</f>
        <v/>
      </c>
      <c r="AB134" s="244">
        <f>IF(AND(INDEX('Roster Summary'!$U$31:$U$180,133)=1,LEFT(Grid!AN135,6)="Travel"),5*1000+133,"")</f>
        <v/>
      </c>
      <c r="AC134" s="244">
        <f>IF(AND(INDEX('Roster Summary'!$U$31:$U$180,133)=1,LEFT(Grid!AO135,6)="Travel"),6*1000+133,"")</f>
        <v/>
      </c>
      <c r="AD134" s="244">
        <f>IF(AND(INDEX('Roster Summary'!$U$31:$U$180,133)=1,LEFT(Grid!AP135,6)="Travel"),7*1000+133,"")</f>
        <v/>
      </c>
      <c r="AE134" s="244">
        <f>IF(AND(INDEX('Roster Summary'!$U$31:$U$180,133)=1,LEFT(Grid!AQ135,6)="Travel"),8*1000+133,"")</f>
        <v/>
      </c>
      <c r="AF134" s="244">
        <f>IF(AND(INDEX('Roster Summary'!$U$31:$U$180,133)=1,LEFT(Grid!AR135,6)="Travel"),9*1000+133,"")</f>
        <v/>
      </c>
      <c r="AG134" s="244">
        <f>IF(AND(INDEX('Roster Summary'!$U$31:$U$180,133)=1,LEFT(Grid!AS135,6)="Travel"),10*1000+133,"")</f>
        <v/>
      </c>
      <c r="AH134" s="244">
        <f>IF(AND(INDEX('Roster Summary'!$U$31:$U$180,133)=1,LEFT(Grid!AT135,6)="Travel"),11*1000+133,"")</f>
        <v/>
      </c>
      <c r="AI134" s="244">
        <f>IF(AND(INDEX('Roster Summary'!$U$31:$U$180,133)=1,LEFT(Grid!AU135,6)="Travel"),12*1000+133,"")</f>
        <v/>
      </c>
      <c r="AJ134" s="244">
        <f>IF(AND(INDEX('Roster Summary'!$U$31:$U$180,133)=1,LEFT(Grid!AV135,6)="Travel"),13*1000+133,"")</f>
        <v/>
      </c>
      <c r="BB134" s="244">
        <f>IF('INPUT - Bookings'!$B134="",0,IF(AND(OR(Dashboard!$D$9="All",TRIM('INPUT - Bookings'!$C134)=Dashboard!$D$9),OR(Dashboard!$J$9="All",TRIM('INPUT - Bookings'!$D134)=Dashboard!$J$9)),1,0))</f>
        <v/>
      </c>
      <c r="BC134" s="244">
        <f>IF(AND(BB134=1,ISNUMBER('INPUT - Bookings'!$E134),'INPUT - Bookings'!$E134&gt;=Settings!$C$8,'INPUT - Bookings'!$E134&lt;=Settings!$C$8+14,IFERROR(INDEX(Settings!$Q$14:$Q$24,MATCH('INPUT - Bookings'!$G134,Settings!$P$14:$P$24,0)),"Yes")="Yes"),'INPUT - Bookings'!$E134+ROW()/100000,"")</f>
        <v/>
      </c>
    </row>
    <row r="135">
      <c r="W135" s="244">
        <f>IF(AND(INDEX('Roster Summary'!$U$31:$U$180,134)=1,LEFT(Grid!AI136,6)="Travel"),0*1000+134,"")</f>
        <v/>
      </c>
      <c r="X135" s="244">
        <f>IF(AND(INDEX('Roster Summary'!$U$31:$U$180,134)=1,LEFT(Grid!AJ136,6)="Travel"),1*1000+134,"")</f>
        <v/>
      </c>
      <c r="Y135" s="244">
        <f>IF(AND(INDEX('Roster Summary'!$U$31:$U$180,134)=1,LEFT(Grid!AK136,6)="Travel"),2*1000+134,"")</f>
        <v/>
      </c>
      <c r="Z135" s="244">
        <f>IF(AND(INDEX('Roster Summary'!$U$31:$U$180,134)=1,LEFT(Grid!AL136,6)="Travel"),3*1000+134,"")</f>
        <v/>
      </c>
      <c r="AA135" s="244">
        <f>IF(AND(INDEX('Roster Summary'!$U$31:$U$180,134)=1,LEFT(Grid!AM136,6)="Travel"),4*1000+134,"")</f>
        <v/>
      </c>
      <c r="AB135" s="244">
        <f>IF(AND(INDEX('Roster Summary'!$U$31:$U$180,134)=1,LEFT(Grid!AN136,6)="Travel"),5*1000+134,"")</f>
        <v/>
      </c>
      <c r="AC135" s="244">
        <f>IF(AND(INDEX('Roster Summary'!$U$31:$U$180,134)=1,LEFT(Grid!AO136,6)="Travel"),6*1000+134,"")</f>
        <v/>
      </c>
      <c r="AD135" s="244">
        <f>IF(AND(INDEX('Roster Summary'!$U$31:$U$180,134)=1,LEFT(Grid!AP136,6)="Travel"),7*1000+134,"")</f>
        <v/>
      </c>
      <c r="AE135" s="244">
        <f>IF(AND(INDEX('Roster Summary'!$U$31:$U$180,134)=1,LEFT(Grid!AQ136,6)="Travel"),8*1000+134,"")</f>
        <v/>
      </c>
      <c r="AF135" s="244">
        <f>IF(AND(INDEX('Roster Summary'!$U$31:$U$180,134)=1,LEFT(Grid!AR136,6)="Travel"),9*1000+134,"")</f>
        <v/>
      </c>
      <c r="AG135" s="244">
        <f>IF(AND(INDEX('Roster Summary'!$U$31:$U$180,134)=1,LEFT(Grid!AS136,6)="Travel"),10*1000+134,"")</f>
        <v/>
      </c>
      <c r="AH135" s="244">
        <f>IF(AND(INDEX('Roster Summary'!$U$31:$U$180,134)=1,LEFT(Grid!AT136,6)="Travel"),11*1000+134,"")</f>
        <v/>
      </c>
      <c r="AI135" s="244">
        <f>IF(AND(INDEX('Roster Summary'!$U$31:$U$180,134)=1,LEFT(Grid!AU136,6)="Travel"),12*1000+134,"")</f>
        <v/>
      </c>
      <c r="AJ135" s="244">
        <f>IF(AND(INDEX('Roster Summary'!$U$31:$U$180,134)=1,LEFT(Grid!AV136,6)="Travel"),13*1000+134,"")</f>
        <v/>
      </c>
      <c r="BB135" s="244">
        <f>IF('INPUT - Bookings'!$B135="",0,IF(AND(OR(Dashboard!$D$9="All",TRIM('INPUT - Bookings'!$C135)=Dashboard!$D$9),OR(Dashboard!$J$9="All",TRIM('INPUT - Bookings'!$D135)=Dashboard!$J$9)),1,0))</f>
        <v/>
      </c>
      <c r="BC135" s="244">
        <f>IF(AND(BB135=1,ISNUMBER('INPUT - Bookings'!$E135),'INPUT - Bookings'!$E135&gt;=Settings!$C$8,'INPUT - Bookings'!$E135&lt;=Settings!$C$8+14,IFERROR(INDEX(Settings!$Q$14:$Q$24,MATCH('INPUT - Bookings'!$G135,Settings!$P$14:$P$24,0)),"Yes")="Yes"),'INPUT - Bookings'!$E135+ROW()/100000,"")</f>
        <v/>
      </c>
    </row>
    <row r="136">
      <c r="W136" s="244">
        <f>IF(AND(INDEX('Roster Summary'!$U$31:$U$180,135)=1,LEFT(Grid!AI137,6)="Travel"),0*1000+135,"")</f>
        <v/>
      </c>
      <c r="X136" s="244">
        <f>IF(AND(INDEX('Roster Summary'!$U$31:$U$180,135)=1,LEFT(Grid!AJ137,6)="Travel"),1*1000+135,"")</f>
        <v/>
      </c>
      <c r="Y136" s="244">
        <f>IF(AND(INDEX('Roster Summary'!$U$31:$U$180,135)=1,LEFT(Grid!AK137,6)="Travel"),2*1000+135,"")</f>
        <v/>
      </c>
      <c r="Z136" s="244">
        <f>IF(AND(INDEX('Roster Summary'!$U$31:$U$180,135)=1,LEFT(Grid!AL137,6)="Travel"),3*1000+135,"")</f>
        <v/>
      </c>
      <c r="AA136" s="244">
        <f>IF(AND(INDEX('Roster Summary'!$U$31:$U$180,135)=1,LEFT(Grid!AM137,6)="Travel"),4*1000+135,"")</f>
        <v/>
      </c>
      <c r="AB136" s="244">
        <f>IF(AND(INDEX('Roster Summary'!$U$31:$U$180,135)=1,LEFT(Grid!AN137,6)="Travel"),5*1000+135,"")</f>
        <v/>
      </c>
      <c r="AC136" s="244">
        <f>IF(AND(INDEX('Roster Summary'!$U$31:$U$180,135)=1,LEFT(Grid!AO137,6)="Travel"),6*1000+135,"")</f>
        <v/>
      </c>
      <c r="AD136" s="244">
        <f>IF(AND(INDEX('Roster Summary'!$U$31:$U$180,135)=1,LEFT(Grid!AP137,6)="Travel"),7*1000+135,"")</f>
        <v/>
      </c>
      <c r="AE136" s="244">
        <f>IF(AND(INDEX('Roster Summary'!$U$31:$U$180,135)=1,LEFT(Grid!AQ137,6)="Travel"),8*1000+135,"")</f>
        <v/>
      </c>
      <c r="AF136" s="244">
        <f>IF(AND(INDEX('Roster Summary'!$U$31:$U$180,135)=1,LEFT(Grid!AR137,6)="Travel"),9*1000+135,"")</f>
        <v/>
      </c>
      <c r="AG136" s="244">
        <f>IF(AND(INDEX('Roster Summary'!$U$31:$U$180,135)=1,LEFT(Grid!AS137,6)="Travel"),10*1000+135,"")</f>
        <v/>
      </c>
      <c r="AH136" s="244">
        <f>IF(AND(INDEX('Roster Summary'!$U$31:$U$180,135)=1,LEFT(Grid!AT137,6)="Travel"),11*1000+135,"")</f>
        <v/>
      </c>
      <c r="AI136" s="244">
        <f>IF(AND(INDEX('Roster Summary'!$U$31:$U$180,135)=1,LEFT(Grid!AU137,6)="Travel"),12*1000+135,"")</f>
        <v/>
      </c>
      <c r="AJ136" s="244">
        <f>IF(AND(INDEX('Roster Summary'!$U$31:$U$180,135)=1,LEFT(Grid!AV137,6)="Travel"),13*1000+135,"")</f>
        <v/>
      </c>
      <c r="BB136" s="244">
        <f>IF('INPUT - Bookings'!$B136="",0,IF(AND(OR(Dashboard!$D$9="All",TRIM('INPUT - Bookings'!$C136)=Dashboard!$D$9),OR(Dashboard!$J$9="All",TRIM('INPUT - Bookings'!$D136)=Dashboard!$J$9)),1,0))</f>
        <v/>
      </c>
      <c r="BC136" s="244">
        <f>IF(AND(BB136=1,ISNUMBER('INPUT - Bookings'!$E136),'INPUT - Bookings'!$E136&gt;=Settings!$C$8,'INPUT - Bookings'!$E136&lt;=Settings!$C$8+14,IFERROR(INDEX(Settings!$Q$14:$Q$24,MATCH('INPUT - Bookings'!$G136,Settings!$P$14:$P$24,0)),"Yes")="Yes"),'INPUT - Bookings'!$E136+ROW()/100000,"")</f>
        <v/>
      </c>
    </row>
    <row r="137">
      <c r="W137" s="244">
        <f>IF(AND(INDEX('Roster Summary'!$U$31:$U$180,136)=1,LEFT(Grid!AI138,6)="Travel"),0*1000+136,"")</f>
        <v/>
      </c>
      <c r="X137" s="244">
        <f>IF(AND(INDEX('Roster Summary'!$U$31:$U$180,136)=1,LEFT(Grid!AJ138,6)="Travel"),1*1000+136,"")</f>
        <v/>
      </c>
      <c r="Y137" s="244">
        <f>IF(AND(INDEX('Roster Summary'!$U$31:$U$180,136)=1,LEFT(Grid!AK138,6)="Travel"),2*1000+136,"")</f>
        <v/>
      </c>
      <c r="Z137" s="244">
        <f>IF(AND(INDEX('Roster Summary'!$U$31:$U$180,136)=1,LEFT(Grid!AL138,6)="Travel"),3*1000+136,"")</f>
        <v/>
      </c>
      <c r="AA137" s="244">
        <f>IF(AND(INDEX('Roster Summary'!$U$31:$U$180,136)=1,LEFT(Grid!AM138,6)="Travel"),4*1000+136,"")</f>
        <v/>
      </c>
      <c r="AB137" s="244">
        <f>IF(AND(INDEX('Roster Summary'!$U$31:$U$180,136)=1,LEFT(Grid!AN138,6)="Travel"),5*1000+136,"")</f>
        <v/>
      </c>
      <c r="AC137" s="244">
        <f>IF(AND(INDEX('Roster Summary'!$U$31:$U$180,136)=1,LEFT(Grid!AO138,6)="Travel"),6*1000+136,"")</f>
        <v/>
      </c>
      <c r="AD137" s="244">
        <f>IF(AND(INDEX('Roster Summary'!$U$31:$U$180,136)=1,LEFT(Grid!AP138,6)="Travel"),7*1000+136,"")</f>
        <v/>
      </c>
      <c r="AE137" s="244">
        <f>IF(AND(INDEX('Roster Summary'!$U$31:$U$180,136)=1,LEFT(Grid!AQ138,6)="Travel"),8*1000+136,"")</f>
        <v/>
      </c>
      <c r="AF137" s="244">
        <f>IF(AND(INDEX('Roster Summary'!$U$31:$U$180,136)=1,LEFT(Grid!AR138,6)="Travel"),9*1000+136,"")</f>
        <v/>
      </c>
      <c r="AG137" s="244">
        <f>IF(AND(INDEX('Roster Summary'!$U$31:$U$180,136)=1,LEFT(Grid!AS138,6)="Travel"),10*1000+136,"")</f>
        <v/>
      </c>
      <c r="AH137" s="244">
        <f>IF(AND(INDEX('Roster Summary'!$U$31:$U$180,136)=1,LEFT(Grid!AT138,6)="Travel"),11*1000+136,"")</f>
        <v/>
      </c>
      <c r="AI137" s="244">
        <f>IF(AND(INDEX('Roster Summary'!$U$31:$U$180,136)=1,LEFT(Grid!AU138,6)="Travel"),12*1000+136,"")</f>
        <v/>
      </c>
      <c r="AJ137" s="244">
        <f>IF(AND(INDEX('Roster Summary'!$U$31:$U$180,136)=1,LEFT(Grid!AV138,6)="Travel"),13*1000+136,"")</f>
        <v/>
      </c>
      <c r="BB137" s="244">
        <f>IF('INPUT - Bookings'!$B137="",0,IF(AND(OR(Dashboard!$D$9="All",TRIM('INPUT - Bookings'!$C137)=Dashboard!$D$9),OR(Dashboard!$J$9="All",TRIM('INPUT - Bookings'!$D137)=Dashboard!$J$9)),1,0))</f>
        <v/>
      </c>
      <c r="BC137" s="244">
        <f>IF(AND(BB137=1,ISNUMBER('INPUT - Bookings'!$E137),'INPUT - Bookings'!$E137&gt;=Settings!$C$8,'INPUT - Bookings'!$E137&lt;=Settings!$C$8+14,IFERROR(INDEX(Settings!$Q$14:$Q$24,MATCH('INPUT - Bookings'!$G137,Settings!$P$14:$P$24,0)),"Yes")="Yes"),'INPUT - Bookings'!$E137+ROW()/100000,"")</f>
        <v/>
      </c>
    </row>
    <row r="138">
      <c r="W138" s="244">
        <f>IF(AND(INDEX('Roster Summary'!$U$31:$U$180,137)=1,LEFT(Grid!AI139,6)="Travel"),0*1000+137,"")</f>
        <v/>
      </c>
      <c r="X138" s="244">
        <f>IF(AND(INDEX('Roster Summary'!$U$31:$U$180,137)=1,LEFT(Grid!AJ139,6)="Travel"),1*1000+137,"")</f>
        <v/>
      </c>
      <c r="Y138" s="244">
        <f>IF(AND(INDEX('Roster Summary'!$U$31:$U$180,137)=1,LEFT(Grid!AK139,6)="Travel"),2*1000+137,"")</f>
        <v/>
      </c>
      <c r="Z138" s="244">
        <f>IF(AND(INDEX('Roster Summary'!$U$31:$U$180,137)=1,LEFT(Grid!AL139,6)="Travel"),3*1000+137,"")</f>
        <v/>
      </c>
      <c r="AA138" s="244">
        <f>IF(AND(INDEX('Roster Summary'!$U$31:$U$180,137)=1,LEFT(Grid!AM139,6)="Travel"),4*1000+137,"")</f>
        <v/>
      </c>
      <c r="AB138" s="244">
        <f>IF(AND(INDEX('Roster Summary'!$U$31:$U$180,137)=1,LEFT(Grid!AN139,6)="Travel"),5*1000+137,"")</f>
        <v/>
      </c>
      <c r="AC138" s="244">
        <f>IF(AND(INDEX('Roster Summary'!$U$31:$U$180,137)=1,LEFT(Grid!AO139,6)="Travel"),6*1000+137,"")</f>
        <v/>
      </c>
      <c r="AD138" s="244">
        <f>IF(AND(INDEX('Roster Summary'!$U$31:$U$180,137)=1,LEFT(Grid!AP139,6)="Travel"),7*1000+137,"")</f>
        <v/>
      </c>
      <c r="AE138" s="244">
        <f>IF(AND(INDEX('Roster Summary'!$U$31:$U$180,137)=1,LEFT(Grid!AQ139,6)="Travel"),8*1000+137,"")</f>
        <v/>
      </c>
      <c r="AF138" s="244">
        <f>IF(AND(INDEX('Roster Summary'!$U$31:$U$180,137)=1,LEFT(Grid!AR139,6)="Travel"),9*1000+137,"")</f>
        <v/>
      </c>
      <c r="AG138" s="244">
        <f>IF(AND(INDEX('Roster Summary'!$U$31:$U$180,137)=1,LEFT(Grid!AS139,6)="Travel"),10*1000+137,"")</f>
        <v/>
      </c>
      <c r="AH138" s="244">
        <f>IF(AND(INDEX('Roster Summary'!$U$31:$U$180,137)=1,LEFT(Grid!AT139,6)="Travel"),11*1000+137,"")</f>
        <v/>
      </c>
      <c r="AI138" s="244">
        <f>IF(AND(INDEX('Roster Summary'!$U$31:$U$180,137)=1,LEFT(Grid!AU139,6)="Travel"),12*1000+137,"")</f>
        <v/>
      </c>
      <c r="AJ138" s="244">
        <f>IF(AND(INDEX('Roster Summary'!$U$31:$U$180,137)=1,LEFT(Grid!AV139,6)="Travel"),13*1000+137,"")</f>
        <v/>
      </c>
      <c r="BB138" s="244">
        <f>IF('INPUT - Bookings'!$B138="",0,IF(AND(OR(Dashboard!$D$9="All",TRIM('INPUT - Bookings'!$C138)=Dashboard!$D$9),OR(Dashboard!$J$9="All",TRIM('INPUT - Bookings'!$D138)=Dashboard!$J$9)),1,0))</f>
        <v/>
      </c>
      <c r="BC138" s="244">
        <f>IF(AND(BB138=1,ISNUMBER('INPUT - Bookings'!$E138),'INPUT - Bookings'!$E138&gt;=Settings!$C$8,'INPUT - Bookings'!$E138&lt;=Settings!$C$8+14,IFERROR(INDEX(Settings!$Q$14:$Q$24,MATCH('INPUT - Bookings'!$G138,Settings!$P$14:$P$24,0)),"Yes")="Yes"),'INPUT - Bookings'!$E138+ROW()/100000,"")</f>
        <v/>
      </c>
    </row>
    <row r="139">
      <c r="W139" s="244">
        <f>IF(AND(INDEX('Roster Summary'!$U$31:$U$180,138)=1,LEFT(Grid!AI140,6)="Travel"),0*1000+138,"")</f>
        <v/>
      </c>
      <c r="X139" s="244">
        <f>IF(AND(INDEX('Roster Summary'!$U$31:$U$180,138)=1,LEFT(Grid!AJ140,6)="Travel"),1*1000+138,"")</f>
        <v/>
      </c>
      <c r="Y139" s="244">
        <f>IF(AND(INDEX('Roster Summary'!$U$31:$U$180,138)=1,LEFT(Grid!AK140,6)="Travel"),2*1000+138,"")</f>
        <v/>
      </c>
      <c r="Z139" s="244">
        <f>IF(AND(INDEX('Roster Summary'!$U$31:$U$180,138)=1,LEFT(Grid!AL140,6)="Travel"),3*1000+138,"")</f>
        <v/>
      </c>
      <c r="AA139" s="244">
        <f>IF(AND(INDEX('Roster Summary'!$U$31:$U$180,138)=1,LEFT(Grid!AM140,6)="Travel"),4*1000+138,"")</f>
        <v/>
      </c>
      <c r="AB139" s="244">
        <f>IF(AND(INDEX('Roster Summary'!$U$31:$U$180,138)=1,LEFT(Grid!AN140,6)="Travel"),5*1000+138,"")</f>
        <v/>
      </c>
      <c r="AC139" s="244">
        <f>IF(AND(INDEX('Roster Summary'!$U$31:$U$180,138)=1,LEFT(Grid!AO140,6)="Travel"),6*1000+138,"")</f>
        <v/>
      </c>
      <c r="AD139" s="244">
        <f>IF(AND(INDEX('Roster Summary'!$U$31:$U$180,138)=1,LEFT(Grid!AP140,6)="Travel"),7*1000+138,"")</f>
        <v/>
      </c>
      <c r="AE139" s="244">
        <f>IF(AND(INDEX('Roster Summary'!$U$31:$U$180,138)=1,LEFT(Grid!AQ140,6)="Travel"),8*1000+138,"")</f>
        <v/>
      </c>
      <c r="AF139" s="244">
        <f>IF(AND(INDEX('Roster Summary'!$U$31:$U$180,138)=1,LEFT(Grid!AR140,6)="Travel"),9*1000+138,"")</f>
        <v/>
      </c>
      <c r="AG139" s="244">
        <f>IF(AND(INDEX('Roster Summary'!$U$31:$U$180,138)=1,LEFT(Grid!AS140,6)="Travel"),10*1000+138,"")</f>
        <v/>
      </c>
      <c r="AH139" s="244">
        <f>IF(AND(INDEX('Roster Summary'!$U$31:$U$180,138)=1,LEFT(Grid!AT140,6)="Travel"),11*1000+138,"")</f>
        <v/>
      </c>
      <c r="AI139" s="244">
        <f>IF(AND(INDEX('Roster Summary'!$U$31:$U$180,138)=1,LEFT(Grid!AU140,6)="Travel"),12*1000+138,"")</f>
        <v/>
      </c>
      <c r="AJ139" s="244">
        <f>IF(AND(INDEX('Roster Summary'!$U$31:$U$180,138)=1,LEFT(Grid!AV140,6)="Travel"),13*1000+138,"")</f>
        <v/>
      </c>
      <c r="BB139" s="244">
        <f>IF('INPUT - Bookings'!$B139="",0,IF(AND(OR(Dashboard!$D$9="All",TRIM('INPUT - Bookings'!$C139)=Dashboard!$D$9),OR(Dashboard!$J$9="All",TRIM('INPUT - Bookings'!$D139)=Dashboard!$J$9)),1,0))</f>
        <v/>
      </c>
      <c r="BC139" s="244">
        <f>IF(AND(BB139=1,ISNUMBER('INPUT - Bookings'!$E139),'INPUT - Bookings'!$E139&gt;=Settings!$C$8,'INPUT - Bookings'!$E139&lt;=Settings!$C$8+14,IFERROR(INDEX(Settings!$Q$14:$Q$24,MATCH('INPUT - Bookings'!$G139,Settings!$P$14:$P$24,0)),"Yes")="Yes"),'INPUT - Bookings'!$E139+ROW()/100000,"")</f>
        <v/>
      </c>
    </row>
    <row r="140">
      <c r="W140" s="244">
        <f>IF(AND(INDEX('Roster Summary'!$U$31:$U$180,139)=1,LEFT(Grid!AI141,6)="Travel"),0*1000+139,"")</f>
        <v/>
      </c>
      <c r="X140" s="244">
        <f>IF(AND(INDEX('Roster Summary'!$U$31:$U$180,139)=1,LEFT(Grid!AJ141,6)="Travel"),1*1000+139,"")</f>
        <v/>
      </c>
      <c r="Y140" s="244">
        <f>IF(AND(INDEX('Roster Summary'!$U$31:$U$180,139)=1,LEFT(Grid!AK141,6)="Travel"),2*1000+139,"")</f>
        <v/>
      </c>
      <c r="Z140" s="244">
        <f>IF(AND(INDEX('Roster Summary'!$U$31:$U$180,139)=1,LEFT(Grid!AL141,6)="Travel"),3*1000+139,"")</f>
        <v/>
      </c>
      <c r="AA140" s="244">
        <f>IF(AND(INDEX('Roster Summary'!$U$31:$U$180,139)=1,LEFT(Grid!AM141,6)="Travel"),4*1000+139,"")</f>
        <v/>
      </c>
      <c r="AB140" s="244">
        <f>IF(AND(INDEX('Roster Summary'!$U$31:$U$180,139)=1,LEFT(Grid!AN141,6)="Travel"),5*1000+139,"")</f>
        <v/>
      </c>
      <c r="AC140" s="244">
        <f>IF(AND(INDEX('Roster Summary'!$U$31:$U$180,139)=1,LEFT(Grid!AO141,6)="Travel"),6*1000+139,"")</f>
        <v/>
      </c>
      <c r="AD140" s="244">
        <f>IF(AND(INDEX('Roster Summary'!$U$31:$U$180,139)=1,LEFT(Grid!AP141,6)="Travel"),7*1000+139,"")</f>
        <v/>
      </c>
      <c r="AE140" s="244">
        <f>IF(AND(INDEX('Roster Summary'!$U$31:$U$180,139)=1,LEFT(Grid!AQ141,6)="Travel"),8*1000+139,"")</f>
        <v/>
      </c>
      <c r="AF140" s="244">
        <f>IF(AND(INDEX('Roster Summary'!$U$31:$U$180,139)=1,LEFT(Grid!AR141,6)="Travel"),9*1000+139,"")</f>
        <v/>
      </c>
      <c r="AG140" s="244">
        <f>IF(AND(INDEX('Roster Summary'!$U$31:$U$180,139)=1,LEFT(Grid!AS141,6)="Travel"),10*1000+139,"")</f>
        <v/>
      </c>
      <c r="AH140" s="244">
        <f>IF(AND(INDEX('Roster Summary'!$U$31:$U$180,139)=1,LEFT(Grid!AT141,6)="Travel"),11*1000+139,"")</f>
        <v/>
      </c>
      <c r="AI140" s="244">
        <f>IF(AND(INDEX('Roster Summary'!$U$31:$U$180,139)=1,LEFT(Grid!AU141,6)="Travel"),12*1000+139,"")</f>
        <v/>
      </c>
      <c r="AJ140" s="244">
        <f>IF(AND(INDEX('Roster Summary'!$U$31:$U$180,139)=1,LEFT(Grid!AV141,6)="Travel"),13*1000+139,"")</f>
        <v/>
      </c>
      <c r="BB140" s="244">
        <f>IF('INPUT - Bookings'!$B140="",0,IF(AND(OR(Dashboard!$D$9="All",TRIM('INPUT - Bookings'!$C140)=Dashboard!$D$9),OR(Dashboard!$J$9="All",TRIM('INPUT - Bookings'!$D140)=Dashboard!$J$9)),1,0))</f>
        <v/>
      </c>
      <c r="BC140" s="244">
        <f>IF(AND(BB140=1,ISNUMBER('INPUT - Bookings'!$E140),'INPUT - Bookings'!$E140&gt;=Settings!$C$8,'INPUT - Bookings'!$E140&lt;=Settings!$C$8+14,IFERROR(INDEX(Settings!$Q$14:$Q$24,MATCH('INPUT - Bookings'!$G140,Settings!$P$14:$P$24,0)),"Yes")="Yes"),'INPUT - Bookings'!$E140+ROW()/100000,"")</f>
        <v/>
      </c>
    </row>
    <row r="141">
      <c r="W141" s="244">
        <f>IF(AND(INDEX('Roster Summary'!$U$31:$U$180,140)=1,LEFT(Grid!AI142,6)="Travel"),0*1000+140,"")</f>
        <v/>
      </c>
      <c r="X141" s="244">
        <f>IF(AND(INDEX('Roster Summary'!$U$31:$U$180,140)=1,LEFT(Grid!AJ142,6)="Travel"),1*1000+140,"")</f>
        <v/>
      </c>
      <c r="Y141" s="244">
        <f>IF(AND(INDEX('Roster Summary'!$U$31:$U$180,140)=1,LEFT(Grid!AK142,6)="Travel"),2*1000+140,"")</f>
        <v/>
      </c>
      <c r="Z141" s="244">
        <f>IF(AND(INDEX('Roster Summary'!$U$31:$U$180,140)=1,LEFT(Grid!AL142,6)="Travel"),3*1000+140,"")</f>
        <v/>
      </c>
      <c r="AA141" s="244">
        <f>IF(AND(INDEX('Roster Summary'!$U$31:$U$180,140)=1,LEFT(Grid!AM142,6)="Travel"),4*1000+140,"")</f>
        <v/>
      </c>
      <c r="AB141" s="244">
        <f>IF(AND(INDEX('Roster Summary'!$U$31:$U$180,140)=1,LEFT(Grid!AN142,6)="Travel"),5*1000+140,"")</f>
        <v/>
      </c>
      <c r="AC141" s="244">
        <f>IF(AND(INDEX('Roster Summary'!$U$31:$U$180,140)=1,LEFT(Grid!AO142,6)="Travel"),6*1000+140,"")</f>
        <v/>
      </c>
      <c r="AD141" s="244">
        <f>IF(AND(INDEX('Roster Summary'!$U$31:$U$180,140)=1,LEFT(Grid!AP142,6)="Travel"),7*1000+140,"")</f>
        <v/>
      </c>
      <c r="AE141" s="244">
        <f>IF(AND(INDEX('Roster Summary'!$U$31:$U$180,140)=1,LEFT(Grid!AQ142,6)="Travel"),8*1000+140,"")</f>
        <v/>
      </c>
      <c r="AF141" s="244">
        <f>IF(AND(INDEX('Roster Summary'!$U$31:$U$180,140)=1,LEFT(Grid!AR142,6)="Travel"),9*1000+140,"")</f>
        <v/>
      </c>
      <c r="AG141" s="244">
        <f>IF(AND(INDEX('Roster Summary'!$U$31:$U$180,140)=1,LEFT(Grid!AS142,6)="Travel"),10*1000+140,"")</f>
        <v/>
      </c>
      <c r="AH141" s="244">
        <f>IF(AND(INDEX('Roster Summary'!$U$31:$U$180,140)=1,LEFT(Grid!AT142,6)="Travel"),11*1000+140,"")</f>
        <v/>
      </c>
      <c r="AI141" s="244">
        <f>IF(AND(INDEX('Roster Summary'!$U$31:$U$180,140)=1,LEFT(Grid!AU142,6)="Travel"),12*1000+140,"")</f>
        <v/>
      </c>
      <c r="AJ141" s="244">
        <f>IF(AND(INDEX('Roster Summary'!$U$31:$U$180,140)=1,LEFT(Grid!AV142,6)="Travel"),13*1000+140,"")</f>
        <v/>
      </c>
      <c r="BB141" s="244">
        <f>IF('INPUT - Bookings'!$B141="",0,IF(AND(OR(Dashboard!$D$9="All",TRIM('INPUT - Bookings'!$C141)=Dashboard!$D$9),OR(Dashboard!$J$9="All",TRIM('INPUT - Bookings'!$D141)=Dashboard!$J$9)),1,0))</f>
        <v/>
      </c>
      <c r="BC141" s="244">
        <f>IF(AND(BB141=1,ISNUMBER('INPUT - Bookings'!$E141),'INPUT - Bookings'!$E141&gt;=Settings!$C$8,'INPUT - Bookings'!$E141&lt;=Settings!$C$8+14,IFERROR(INDEX(Settings!$Q$14:$Q$24,MATCH('INPUT - Bookings'!$G141,Settings!$P$14:$P$24,0)),"Yes")="Yes"),'INPUT - Bookings'!$E141+ROW()/100000,"")</f>
        <v/>
      </c>
    </row>
    <row r="142">
      <c r="W142" s="244">
        <f>IF(AND(INDEX('Roster Summary'!$U$31:$U$180,141)=1,LEFT(Grid!AI143,6)="Travel"),0*1000+141,"")</f>
        <v/>
      </c>
      <c r="X142" s="244">
        <f>IF(AND(INDEX('Roster Summary'!$U$31:$U$180,141)=1,LEFT(Grid!AJ143,6)="Travel"),1*1000+141,"")</f>
        <v/>
      </c>
      <c r="Y142" s="244">
        <f>IF(AND(INDEX('Roster Summary'!$U$31:$U$180,141)=1,LEFT(Grid!AK143,6)="Travel"),2*1000+141,"")</f>
        <v/>
      </c>
      <c r="Z142" s="244">
        <f>IF(AND(INDEX('Roster Summary'!$U$31:$U$180,141)=1,LEFT(Grid!AL143,6)="Travel"),3*1000+141,"")</f>
        <v/>
      </c>
      <c r="AA142" s="244">
        <f>IF(AND(INDEX('Roster Summary'!$U$31:$U$180,141)=1,LEFT(Grid!AM143,6)="Travel"),4*1000+141,"")</f>
        <v/>
      </c>
      <c r="AB142" s="244">
        <f>IF(AND(INDEX('Roster Summary'!$U$31:$U$180,141)=1,LEFT(Grid!AN143,6)="Travel"),5*1000+141,"")</f>
        <v/>
      </c>
      <c r="AC142" s="244">
        <f>IF(AND(INDEX('Roster Summary'!$U$31:$U$180,141)=1,LEFT(Grid!AO143,6)="Travel"),6*1000+141,"")</f>
        <v/>
      </c>
      <c r="AD142" s="244">
        <f>IF(AND(INDEX('Roster Summary'!$U$31:$U$180,141)=1,LEFT(Grid!AP143,6)="Travel"),7*1000+141,"")</f>
        <v/>
      </c>
      <c r="AE142" s="244">
        <f>IF(AND(INDEX('Roster Summary'!$U$31:$U$180,141)=1,LEFT(Grid!AQ143,6)="Travel"),8*1000+141,"")</f>
        <v/>
      </c>
      <c r="AF142" s="244">
        <f>IF(AND(INDEX('Roster Summary'!$U$31:$U$180,141)=1,LEFT(Grid!AR143,6)="Travel"),9*1000+141,"")</f>
        <v/>
      </c>
      <c r="AG142" s="244">
        <f>IF(AND(INDEX('Roster Summary'!$U$31:$U$180,141)=1,LEFT(Grid!AS143,6)="Travel"),10*1000+141,"")</f>
        <v/>
      </c>
      <c r="AH142" s="244">
        <f>IF(AND(INDEX('Roster Summary'!$U$31:$U$180,141)=1,LEFT(Grid!AT143,6)="Travel"),11*1000+141,"")</f>
        <v/>
      </c>
      <c r="AI142" s="244">
        <f>IF(AND(INDEX('Roster Summary'!$U$31:$U$180,141)=1,LEFT(Grid!AU143,6)="Travel"),12*1000+141,"")</f>
        <v/>
      </c>
      <c r="AJ142" s="244">
        <f>IF(AND(INDEX('Roster Summary'!$U$31:$U$180,141)=1,LEFT(Grid!AV143,6)="Travel"),13*1000+141,"")</f>
        <v/>
      </c>
      <c r="BB142" s="244">
        <f>IF('INPUT - Bookings'!$B142="",0,IF(AND(OR(Dashboard!$D$9="All",TRIM('INPUT - Bookings'!$C142)=Dashboard!$D$9),OR(Dashboard!$J$9="All",TRIM('INPUT - Bookings'!$D142)=Dashboard!$J$9)),1,0))</f>
        <v/>
      </c>
      <c r="BC142" s="244">
        <f>IF(AND(BB142=1,ISNUMBER('INPUT - Bookings'!$E142),'INPUT - Bookings'!$E142&gt;=Settings!$C$8,'INPUT - Bookings'!$E142&lt;=Settings!$C$8+14,IFERROR(INDEX(Settings!$Q$14:$Q$24,MATCH('INPUT - Bookings'!$G142,Settings!$P$14:$P$24,0)),"Yes")="Yes"),'INPUT - Bookings'!$E142+ROW()/100000,"")</f>
        <v/>
      </c>
    </row>
    <row r="143">
      <c r="W143" s="244">
        <f>IF(AND(INDEX('Roster Summary'!$U$31:$U$180,142)=1,LEFT(Grid!AI144,6)="Travel"),0*1000+142,"")</f>
        <v/>
      </c>
      <c r="X143" s="244">
        <f>IF(AND(INDEX('Roster Summary'!$U$31:$U$180,142)=1,LEFT(Grid!AJ144,6)="Travel"),1*1000+142,"")</f>
        <v/>
      </c>
      <c r="Y143" s="244">
        <f>IF(AND(INDEX('Roster Summary'!$U$31:$U$180,142)=1,LEFT(Grid!AK144,6)="Travel"),2*1000+142,"")</f>
        <v/>
      </c>
      <c r="Z143" s="244">
        <f>IF(AND(INDEX('Roster Summary'!$U$31:$U$180,142)=1,LEFT(Grid!AL144,6)="Travel"),3*1000+142,"")</f>
        <v/>
      </c>
      <c r="AA143" s="244">
        <f>IF(AND(INDEX('Roster Summary'!$U$31:$U$180,142)=1,LEFT(Grid!AM144,6)="Travel"),4*1000+142,"")</f>
        <v/>
      </c>
      <c r="AB143" s="244">
        <f>IF(AND(INDEX('Roster Summary'!$U$31:$U$180,142)=1,LEFT(Grid!AN144,6)="Travel"),5*1000+142,"")</f>
        <v/>
      </c>
      <c r="AC143" s="244">
        <f>IF(AND(INDEX('Roster Summary'!$U$31:$U$180,142)=1,LEFT(Grid!AO144,6)="Travel"),6*1000+142,"")</f>
        <v/>
      </c>
      <c r="AD143" s="244">
        <f>IF(AND(INDEX('Roster Summary'!$U$31:$U$180,142)=1,LEFT(Grid!AP144,6)="Travel"),7*1000+142,"")</f>
        <v/>
      </c>
      <c r="AE143" s="244">
        <f>IF(AND(INDEX('Roster Summary'!$U$31:$U$180,142)=1,LEFT(Grid!AQ144,6)="Travel"),8*1000+142,"")</f>
        <v/>
      </c>
      <c r="AF143" s="244">
        <f>IF(AND(INDEX('Roster Summary'!$U$31:$U$180,142)=1,LEFT(Grid!AR144,6)="Travel"),9*1000+142,"")</f>
        <v/>
      </c>
      <c r="AG143" s="244">
        <f>IF(AND(INDEX('Roster Summary'!$U$31:$U$180,142)=1,LEFT(Grid!AS144,6)="Travel"),10*1000+142,"")</f>
        <v/>
      </c>
      <c r="AH143" s="244">
        <f>IF(AND(INDEX('Roster Summary'!$U$31:$U$180,142)=1,LEFT(Grid!AT144,6)="Travel"),11*1000+142,"")</f>
        <v/>
      </c>
      <c r="AI143" s="244">
        <f>IF(AND(INDEX('Roster Summary'!$U$31:$U$180,142)=1,LEFT(Grid!AU144,6)="Travel"),12*1000+142,"")</f>
        <v/>
      </c>
      <c r="AJ143" s="244">
        <f>IF(AND(INDEX('Roster Summary'!$U$31:$U$180,142)=1,LEFT(Grid!AV144,6)="Travel"),13*1000+142,"")</f>
        <v/>
      </c>
      <c r="BB143" s="244">
        <f>IF('INPUT - Bookings'!$B143="",0,IF(AND(OR(Dashboard!$D$9="All",TRIM('INPUT - Bookings'!$C143)=Dashboard!$D$9),OR(Dashboard!$J$9="All",TRIM('INPUT - Bookings'!$D143)=Dashboard!$J$9)),1,0))</f>
        <v/>
      </c>
      <c r="BC143" s="244">
        <f>IF(AND(BB143=1,ISNUMBER('INPUT - Bookings'!$E143),'INPUT - Bookings'!$E143&gt;=Settings!$C$8,'INPUT - Bookings'!$E143&lt;=Settings!$C$8+14,IFERROR(INDEX(Settings!$Q$14:$Q$24,MATCH('INPUT - Bookings'!$G143,Settings!$P$14:$P$24,0)),"Yes")="Yes"),'INPUT - Bookings'!$E143+ROW()/100000,"")</f>
        <v/>
      </c>
    </row>
    <row r="144">
      <c r="W144" s="244">
        <f>IF(AND(INDEX('Roster Summary'!$U$31:$U$180,143)=1,LEFT(Grid!AI145,6)="Travel"),0*1000+143,"")</f>
        <v/>
      </c>
      <c r="X144" s="244">
        <f>IF(AND(INDEX('Roster Summary'!$U$31:$U$180,143)=1,LEFT(Grid!AJ145,6)="Travel"),1*1000+143,"")</f>
        <v/>
      </c>
      <c r="Y144" s="244">
        <f>IF(AND(INDEX('Roster Summary'!$U$31:$U$180,143)=1,LEFT(Grid!AK145,6)="Travel"),2*1000+143,"")</f>
        <v/>
      </c>
      <c r="Z144" s="244">
        <f>IF(AND(INDEX('Roster Summary'!$U$31:$U$180,143)=1,LEFT(Grid!AL145,6)="Travel"),3*1000+143,"")</f>
        <v/>
      </c>
      <c r="AA144" s="244">
        <f>IF(AND(INDEX('Roster Summary'!$U$31:$U$180,143)=1,LEFT(Grid!AM145,6)="Travel"),4*1000+143,"")</f>
        <v/>
      </c>
      <c r="AB144" s="244">
        <f>IF(AND(INDEX('Roster Summary'!$U$31:$U$180,143)=1,LEFT(Grid!AN145,6)="Travel"),5*1000+143,"")</f>
        <v/>
      </c>
      <c r="AC144" s="244">
        <f>IF(AND(INDEX('Roster Summary'!$U$31:$U$180,143)=1,LEFT(Grid!AO145,6)="Travel"),6*1000+143,"")</f>
        <v/>
      </c>
      <c r="AD144" s="244">
        <f>IF(AND(INDEX('Roster Summary'!$U$31:$U$180,143)=1,LEFT(Grid!AP145,6)="Travel"),7*1000+143,"")</f>
        <v/>
      </c>
      <c r="AE144" s="244">
        <f>IF(AND(INDEX('Roster Summary'!$U$31:$U$180,143)=1,LEFT(Grid!AQ145,6)="Travel"),8*1000+143,"")</f>
        <v/>
      </c>
      <c r="AF144" s="244">
        <f>IF(AND(INDEX('Roster Summary'!$U$31:$U$180,143)=1,LEFT(Grid!AR145,6)="Travel"),9*1000+143,"")</f>
        <v/>
      </c>
      <c r="AG144" s="244">
        <f>IF(AND(INDEX('Roster Summary'!$U$31:$U$180,143)=1,LEFT(Grid!AS145,6)="Travel"),10*1000+143,"")</f>
        <v/>
      </c>
      <c r="AH144" s="244">
        <f>IF(AND(INDEX('Roster Summary'!$U$31:$U$180,143)=1,LEFT(Grid!AT145,6)="Travel"),11*1000+143,"")</f>
        <v/>
      </c>
      <c r="AI144" s="244">
        <f>IF(AND(INDEX('Roster Summary'!$U$31:$U$180,143)=1,LEFT(Grid!AU145,6)="Travel"),12*1000+143,"")</f>
        <v/>
      </c>
      <c r="AJ144" s="244">
        <f>IF(AND(INDEX('Roster Summary'!$U$31:$U$180,143)=1,LEFT(Grid!AV145,6)="Travel"),13*1000+143,"")</f>
        <v/>
      </c>
      <c r="BB144" s="244">
        <f>IF('INPUT - Bookings'!$B144="",0,IF(AND(OR(Dashboard!$D$9="All",TRIM('INPUT - Bookings'!$C144)=Dashboard!$D$9),OR(Dashboard!$J$9="All",TRIM('INPUT - Bookings'!$D144)=Dashboard!$J$9)),1,0))</f>
        <v/>
      </c>
      <c r="BC144" s="244">
        <f>IF(AND(BB144=1,ISNUMBER('INPUT - Bookings'!$E144),'INPUT - Bookings'!$E144&gt;=Settings!$C$8,'INPUT - Bookings'!$E144&lt;=Settings!$C$8+14,IFERROR(INDEX(Settings!$Q$14:$Q$24,MATCH('INPUT - Bookings'!$G144,Settings!$P$14:$P$24,0)),"Yes")="Yes"),'INPUT - Bookings'!$E144+ROW()/100000,"")</f>
        <v/>
      </c>
    </row>
    <row r="145">
      <c r="W145" s="244">
        <f>IF(AND(INDEX('Roster Summary'!$U$31:$U$180,144)=1,LEFT(Grid!AI146,6)="Travel"),0*1000+144,"")</f>
        <v/>
      </c>
      <c r="X145" s="244">
        <f>IF(AND(INDEX('Roster Summary'!$U$31:$U$180,144)=1,LEFT(Grid!AJ146,6)="Travel"),1*1000+144,"")</f>
        <v/>
      </c>
      <c r="Y145" s="244">
        <f>IF(AND(INDEX('Roster Summary'!$U$31:$U$180,144)=1,LEFT(Grid!AK146,6)="Travel"),2*1000+144,"")</f>
        <v/>
      </c>
      <c r="Z145" s="244">
        <f>IF(AND(INDEX('Roster Summary'!$U$31:$U$180,144)=1,LEFT(Grid!AL146,6)="Travel"),3*1000+144,"")</f>
        <v/>
      </c>
      <c r="AA145" s="244">
        <f>IF(AND(INDEX('Roster Summary'!$U$31:$U$180,144)=1,LEFT(Grid!AM146,6)="Travel"),4*1000+144,"")</f>
        <v/>
      </c>
      <c r="AB145" s="244">
        <f>IF(AND(INDEX('Roster Summary'!$U$31:$U$180,144)=1,LEFT(Grid!AN146,6)="Travel"),5*1000+144,"")</f>
        <v/>
      </c>
      <c r="AC145" s="244">
        <f>IF(AND(INDEX('Roster Summary'!$U$31:$U$180,144)=1,LEFT(Grid!AO146,6)="Travel"),6*1000+144,"")</f>
        <v/>
      </c>
      <c r="AD145" s="244">
        <f>IF(AND(INDEX('Roster Summary'!$U$31:$U$180,144)=1,LEFT(Grid!AP146,6)="Travel"),7*1000+144,"")</f>
        <v/>
      </c>
      <c r="AE145" s="244">
        <f>IF(AND(INDEX('Roster Summary'!$U$31:$U$180,144)=1,LEFT(Grid!AQ146,6)="Travel"),8*1000+144,"")</f>
        <v/>
      </c>
      <c r="AF145" s="244">
        <f>IF(AND(INDEX('Roster Summary'!$U$31:$U$180,144)=1,LEFT(Grid!AR146,6)="Travel"),9*1000+144,"")</f>
        <v/>
      </c>
      <c r="AG145" s="244">
        <f>IF(AND(INDEX('Roster Summary'!$U$31:$U$180,144)=1,LEFT(Grid!AS146,6)="Travel"),10*1000+144,"")</f>
        <v/>
      </c>
      <c r="AH145" s="244">
        <f>IF(AND(INDEX('Roster Summary'!$U$31:$U$180,144)=1,LEFT(Grid!AT146,6)="Travel"),11*1000+144,"")</f>
        <v/>
      </c>
      <c r="AI145" s="244">
        <f>IF(AND(INDEX('Roster Summary'!$U$31:$U$180,144)=1,LEFT(Grid!AU146,6)="Travel"),12*1000+144,"")</f>
        <v/>
      </c>
      <c r="AJ145" s="244">
        <f>IF(AND(INDEX('Roster Summary'!$U$31:$U$180,144)=1,LEFT(Grid!AV146,6)="Travel"),13*1000+144,"")</f>
        <v/>
      </c>
      <c r="BB145" s="244">
        <f>IF('INPUT - Bookings'!$B145="",0,IF(AND(OR(Dashboard!$D$9="All",TRIM('INPUT - Bookings'!$C145)=Dashboard!$D$9),OR(Dashboard!$J$9="All",TRIM('INPUT - Bookings'!$D145)=Dashboard!$J$9)),1,0))</f>
        <v/>
      </c>
      <c r="BC145" s="244">
        <f>IF(AND(BB145=1,ISNUMBER('INPUT - Bookings'!$E145),'INPUT - Bookings'!$E145&gt;=Settings!$C$8,'INPUT - Bookings'!$E145&lt;=Settings!$C$8+14,IFERROR(INDEX(Settings!$Q$14:$Q$24,MATCH('INPUT - Bookings'!$G145,Settings!$P$14:$P$24,0)),"Yes")="Yes"),'INPUT - Bookings'!$E145+ROW()/100000,"")</f>
        <v/>
      </c>
    </row>
    <row r="146">
      <c r="W146" s="244">
        <f>IF(AND(INDEX('Roster Summary'!$U$31:$U$180,145)=1,LEFT(Grid!AI147,6)="Travel"),0*1000+145,"")</f>
        <v/>
      </c>
      <c r="X146" s="244">
        <f>IF(AND(INDEX('Roster Summary'!$U$31:$U$180,145)=1,LEFT(Grid!AJ147,6)="Travel"),1*1000+145,"")</f>
        <v/>
      </c>
      <c r="Y146" s="244">
        <f>IF(AND(INDEX('Roster Summary'!$U$31:$U$180,145)=1,LEFT(Grid!AK147,6)="Travel"),2*1000+145,"")</f>
        <v/>
      </c>
      <c r="Z146" s="244">
        <f>IF(AND(INDEX('Roster Summary'!$U$31:$U$180,145)=1,LEFT(Grid!AL147,6)="Travel"),3*1000+145,"")</f>
        <v/>
      </c>
      <c r="AA146" s="244">
        <f>IF(AND(INDEX('Roster Summary'!$U$31:$U$180,145)=1,LEFT(Grid!AM147,6)="Travel"),4*1000+145,"")</f>
        <v/>
      </c>
      <c r="AB146" s="244">
        <f>IF(AND(INDEX('Roster Summary'!$U$31:$U$180,145)=1,LEFT(Grid!AN147,6)="Travel"),5*1000+145,"")</f>
        <v/>
      </c>
      <c r="AC146" s="244">
        <f>IF(AND(INDEX('Roster Summary'!$U$31:$U$180,145)=1,LEFT(Grid!AO147,6)="Travel"),6*1000+145,"")</f>
        <v/>
      </c>
      <c r="AD146" s="244">
        <f>IF(AND(INDEX('Roster Summary'!$U$31:$U$180,145)=1,LEFT(Grid!AP147,6)="Travel"),7*1000+145,"")</f>
        <v/>
      </c>
      <c r="AE146" s="244">
        <f>IF(AND(INDEX('Roster Summary'!$U$31:$U$180,145)=1,LEFT(Grid!AQ147,6)="Travel"),8*1000+145,"")</f>
        <v/>
      </c>
      <c r="AF146" s="244">
        <f>IF(AND(INDEX('Roster Summary'!$U$31:$U$180,145)=1,LEFT(Grid!AR147,6)="Travel"),9*1000+145,"")</f>
        <v/>
      </c>
      <c r="AG146" s="244">
        <f>IF(AND(INDEX('Roster Summary'!$U$31:$U$180,145)=1,LEFT(Grid!AS147,6)="Travel"),10*1000+145,"")</f>
        <v/>
      </c>
      <c r="AH146" s="244">
        <f>IF(AND(INDEX('Roster Summary'!$U$31:$U$180,145)=1,LEFT(Grid!AT147,6)="Travel"),11*1000+145,"")</f>
        <v/>
      </c>
      <c r="AI146" s="244">
        <f>IF(AND(INDEX('Roster Summary'!$U$31:$U$180,145)=1,LEFT(Grid!AU147,6)="Travel"),12*1000+145,"")</f>
        <v/>
      </c>
      <c r="AJ146" s="244">
        <f>IF(AND(INDEX('Roster Summary'!$U$31:$U$180,145)=1,LEFT(Grid!AV147,6)="Travel"),13*1000+145,"")</f>
        <v/>
      </c>
      <c r="BB146" s="244">
        <f>IF('INPUT - Bookings'!$B146="",0,IF(AND(OR(Dashboard!$D$9="All",TRIM('INPUT - Bookings'!$C146)=Dashboard!$D$9),OR(Dashboard!$J$9="All",TRIM('INPUT - Bookings'!$D146)=Dashboard!$J$9)),1,0))</f>
        <v/>
      </c>
      <c r="BC146" s="244">
        <f>IF(AND(BB146=1,ISNUMBER('INPUT - Bookings'!$E146),'INPUT - Bookings'!$E146&gt;=Settings!$C$8,'INPUT - Bookings'!$E146&lt;=Settings!$C$8+14,IFERROR(INDEX(Settings!$Q$14:$Q$24,MATCH('INPUT - Bookings'!$G146,Settings!$P$14:$P$24,0)),"Yes")="Yes"),'INPUT - Bookings'!$E146+ROW()/100000,"")</f>
        <v/>
      </c>
    </row>
    <row r="147">
      <c r="W147" s="244">
        <f>IF(AND(INDEX('Roster Summary'!$U$31:$U$180,146)=1,LEFT(Grid!AI148,6)="Travel"),0*1000+146,"")</f>
        <v/>
      </c>
      <c r="X147" s="244">
        <f>IF(AND(INDEX('Roster Summary'!$U$31:$U$180,146)=1,LEFT(Grid!AJ148,6)="Travel"),1*1000+146,"")</f>
        <v/>
      </c>
      <c r="Y147" s="244">
        <f>IF(AND(INDEX('Roster Summary'!$U$31:$U$180,146)=1,LEFT(Grid!AK148,6)="Travel"),2*1000+146,"")</f>
        <v/>
      </c>
      <c r="Z147" s="244">
        <f>IF(AND(INDEX('Roster Summary'!$U$31:$U$180,146)=1,LEFT(Grid!AL148,6)="Travel"),3*1000+146,"")</f>
        <v/>
      </c>
      <c r="AA147" s="244">
        <f>IF(AND(INDEX('Roster Summary'!$U$31:$U$180,146)=1,LEFT(Grid!AM148,6)="Travel"),4*1000+146,"")</f>
        <v/>
      </c>
      <c r="AB147" s="244">
        <f>IF(AND(INDEX('Roster Summary'!$U$31:$U$180,146)=1,LEFT(Grid!AN148,6)="Travel"),5*1000+146,"")</f>
        <v/>
      </c>
      <c r="AC147" s="244">
        <f>IF(AND(INDEX('Roster Summary'!$U$31:$U$180,146)=1,LEFT(Grid!AO148,6)="Travel"),6*1000+146,"")</f>
        <v/>
      </c>
      <c r="AD147" s="244">
        <f>IF(AND(INDEX('Roster Summary'!$U$31:$U$180,146)=1,LEFT(Grid!AP148,6)="Travel"),7*1000+146,"")</f>
        <v/>
      </c>
      <c r="AE147" s="244">
        <f>IF(AND(INDEX('Roster Summary'!$U$31:$U$180,146)=1,LEFT(Grid!AQ148,6)="Travel"),8*1000+146,"")</f>
        <v/>
      </c>
      <c r="AF147" s="244">
        <f>IF(AND(INDEX('Roster Summary'!$U$31:$U$180,146)=1,LEFT(Grid!AR148,6)="Travel"),9*1000+146,"")</f>
        <v/>
      </c>
      <c r="AG147" s="244">
        <f>IF(AND(INDEX('Roster Summary'!$U$31:$U$180,146)=1,LEFT(Grid!AS148,6)="Travel"),10*1000+146,"")</f>
        <v/>
      </c>
      <c r="AH147" s="244">
        <f>IF(AND(INDEX('Roster Summary'!$U$31:$U$180,146)=1,LEFT(Grid!AT148,6)="Travel"),11*1000+146,"")</f>
        <v/>
      </c>
      <c r="AI147" s="244">
        <f>IF(AND(INDEX('Roster Summary'!$U$31:$U$180,146)=1,LEFT(Grid!AU148,6)="Travel"),12*1000+146,"")</f>
        <v/>
      </c>
      <c r="AJ147" s="244">
        <f>IF(AND(INDEX('Roster Summary'!$U$31:$U$180,146)=1,LEFT(Grid!AV148,6)="Travel"),13*1000+146,"")</f>
        <v/>
      </c>
      <c r="BB147" s="244">
        <f>IF('INPUT - Bookings'!$B147="",0,IF(AND(OR(Dashboard!$D$9="All",TRIM('INPUT - Bookings'!$C147)=Dashboard!$D$9),OR(Dashboard!$J$9="All",TRIM('INPUT - Bookings'!$D147)=Dashboard!$J$9)),1,0))</f>
        <v/>
      </c>
      <c r="BC147" s="244">
        <f>IF(AND(BB147=1,ISNUMBER('INPUT - Bookings'!$E147),'INPUT - Bookings'!$E147&gt;=Settings!$C$8,'INPUT - Bookings'!$E147&lt;=Settings!$C$8+14,IFERROR(INDEX(Settings!$Q$14:$Q$24,MATCH('INPUT - Bookings'!$G147,Settings!$P$14:$P$24,0)),"Yes")="Yes"),'INPUT - Bookings'!$E147+ROW()/100000,"")</f>
        <v/>
      </c>
    </row>
    <row r="148">
      <c r="W148" s="244">
        <f>IF(AND(INDEX('Roster Summary'!$U$31:$U$180,147)=1,LEFT(Grid!AI149,6)="Travel"),0*1000+147,"")</f>
        <v/>
      </c>
      <c r="X148" s="244">
        <f>IF(AND(INDEX('Roster Summary'!$U$31:$U$180,147)=1,LEFT(Grid!AJ149,6)="Travel"),1*1000+147,"")</f>
        <v/>
      </c>
      <c r="Y148" s="244">
        <f>IF(AND(INDEX('Roster Summary'!$U$31:$U$180,147)=1,LEFT(Grid!AK149,6)="Travel"),2*1000+147,"")</f>
        <v/>
      </c>
      <c r="Z148" s="244">
        <f>IF(AND(INDEX('Roster Summary'!$U$31:$U$180,147)=1,LEFT(Grid!AL149,6)="Travel"),3*1000+147,"")</f>
        <v/>
      </c>
      <c r="AA148" s="244">
        <f>IF(AND(INDEX('Roster Summary'!$U$31:$U$180,147)=1,LEFT(Grid!AM149,6)="Travel"),4*1000+147,"")</f>
        <v/>
      </c>
      <c r="AB148" s="244">
        <f>IF(AND(INDEX('Roster Summary'!$U$31:$U$180,147)=1,LEFT(Grid!AN149,6)="Travel"),5*1000+147,"")</f>
        <v/>
      </c>
      <c r="AC148" s="244">
        <f>IF(AND(INDEX('Roster Summary'!$U$31:$U$180,147)=1,LEFT(Grid!AO149,6)="Travel"),6*1000+147,"")</f>
        <v/>
      </c>
      <c r="AD148" s="244">
        <f>IF(AND(INDEX('Roster Summary'!$U$31:$U$180,147)=1,LEFT(Grid!AP149,6)="Travel"),7*1000+147,"")</f>
        <v/>
      </c>
      <c r="AE148" s="244">
        <f>IF(AND(INDEX('Roster Summary'!$U$31:$U$180,147)=1,LEFT(Grid!AQ149,6)="Travel"),8*1000+147,"")</f>
        <v/>
      </c>
      <c r="AF148" s="244">
        <f>IF(AND(INDEX('Roster Summary'!$U$31:$U$180,147)=1,LEFT(Grid!AR149,6)="Travel"),9*1000+147,"")</f>
        <v/>
      </c>
      <c r="AG148" s="244">
        <f>IF(AND(INDEX('Roster Summary'!$U$31:$U$180,147)=1,LEFT(Grid!AS149,6)="Travel"),10*1000+147,"")</f>
        <v/>
      </c>
      <c r="AH148" s="244">
        <f>IF(AND(INDEX('Roster Summary'!$U$31:$U$180,147)=1,LEFT(Grid!AT149,6)="Travel"),11*1000+147,"")</f>
        <v/>
      </c>
      <c r="AI148" s="244">
        <f>IF(AND(INDEX('Roster Summary'!$U$31:$U$180,147)=1,LEFT(Grid!AU149,6)="Travel"),12*1000+147,"")</f>
        <v/>
      </c>
      <c r="AJ148" s="244">
        <f>IF(AND(INDEX('Roster Summary'!$U$31:$U$180,147)=1,LEFT(Grid!AV149,6)="Travel"),13*1000+147,"")</f>
        <v/>
      </c>
      <c r="BB148" s="244">
        <f>IF('INPUT - Bookings'!$B148="",0,IF(AND(OR(Dashboard!$D$9="All",TRIM('INPUT - Bookings'!$C148)=Dashboard!$D$9),OR(Dashboard!$J$9="All",TRIM('INPUT - Bookings'!$D148)=Dashboard!$J$9)),1,0))</f>
        <v/>
      </c>
      <c r="BC148" s="244">
        <f>IF(AND(BB148=1,ISNUMBER('INPUT - Bookings'!$E148),'INPUT - Bookings'!$E148&gt;=Settings!$C$8,'INPUT - Bookings'!$E148&lt;=Settings!$C$8+14,IFERROR(INDEX(Settings!$Q$14:$Q$24,MATCH('INPUT - Bookings'!$G148,Settings!$P$14:$P$24,0)),"Yes")="Yes"),'INPUT - Bookings'!$E148+ROW()/100000,"")</f>
        <v/>
      </c>
    </row>
    <row r="149">
      <c r="W149" s="244">
        <f>IF(AND(INDEX('Roster Summary'!$U$31:$U$180,148)=1,LEFT(Grid!AI150,6)="Travel"),0*1000+148,"")</f>
        <v/>
      </c>
      <c r="X149" s="244">
        <f>IF(AND(INDEX('Roster Summary'!$U$31:$U$180,148)=1,LEFT(Grid!AJ150,6)="Travel"),1*1000+148,"")</f>
        <v/>
      </c>
      <c r="Y149" s="244">
        <f>IF(AND(INDEX('Roster Summary'!$U$31:$U$180,148)=1,LEFT(Grid!AK150,6)="Travel"),2*1000+148,"")</f>
        <v/>
      </c>
      <c r="Z149" s="244">
        <f>IF(AND(INDEX('Roster Summary'!$U$31:$U$180,148)=1,LEFT(Grid!AL150,6)="Travel"),3*1000+148,"")</f>
        <v/>
      </c>
      <c r="AA149" s="244">
        <f>IF(AND(INDEX('Roster Summary'!$U$31:$U$180,148)=1,LEFT(Grid!AM150,6)="Travel"),4*1000+148,"")</f>
        <v/>
      </c>
      <c r="AB149" s="244">
        <f>IF(AND(INDEX('Roster Summary'!$U$31:$U$180,148)=1,LEFT(Grid!AN150,6)="Travel"),5*1000+148,"")</f>
        <v/>
      </c>
      <c r="AC149" s="244">
        <f>IF(AND(INDEX('Roster Summary'!$U$31:$U$180,148)=1,LEFT(Grid!AO150,6)="Travel"),6*1000+148,"")</f>
        <v/>
      </c>
      <c r="AD149" s="244">
        <f>IF(AND(INDEX('Roster Summary'!$U$31:$U$180,148)=1,LEFT(Grid!AP150,6)="Travel"),7*1000+148,"")</f>
        <v/>
      </c>
      <c r="AE149" s="244">
        <f>IF(AND(INDEX('Roster Summary'!$U$31:$U$180,148)=1,LEFT(Grid!AQ150,6)="Travel"),8*1000+148,"")</f>
        <v/>
      </c>
      <c r="AF149" s="244">
        <f>IF(AND(INDEX('Roster Summary'!$U$31:$U$180,148)=1,LEFT(Grid!AR150,6)="Travel"),9*1000+148,"")</f>
        <v/>
      </c>
      <c r="AG149" s="244">
        <f>IF(AND(INDEX('Roster Summary'!$U$31:$U$180,148)=1,LEFT(Grid!AS150,6)="Travel"),10*1000+148,"")</f>
        <v/>
      </c>
      <c r="AH149" s="244">
        <f>IF(AND(INDEX('Roster Summary'!$U$31:$U$180,148)=1,LEFT(Grid!AT150,6)="Travel"),11*1000+148,"")</f>
        <v/>
      </c>
      <c r="AI149" s="244">
        <f>IF(AND(INDEX('Roster Summary'!$U$31:$U$180,148)=1,LEFT(Grid!AU150,6)="Travel"),12*1000+148,"")</f>
        <v/>
      </c>
      <c r="AJ149" s="244">
        <f>IF(AND(INDEX('Roster Summary'!$U$31:$U$180,148)=1,LEFT(Grid!AV150,6)="Travel"),13*1000+148,"")</f>
        <v/>
      </c>
      <c r="BB149" s="244">
        <f>IF('INPUT - Bookings'!$B149="",0,IF(AND(OR(Dashboard!$D$9="All",TRIM('INPUT - Bookings'!$C149)=Dashboard!$D$9),OR(Dashboard!$J$9="All",TRIM('INPUT - Bookings'!$D149)=Dashboard!$J$9)),1,0))</f>
        <v/>
      </c>
      <c r="BC149" s="244">
        <f>IF(AND(BB149=1,ISNUMBER('INPUT - Bookings'!$E149),'INPUT - Bookings'!$E149&gt;=Settings!$C$8,'INPUT - Bookings'!$E149&lt;=Settings!$C$8+14,IFERROR(INDEX(Settings!$Q$14:$Q$24,MATCH('INPUT - Bookings'!$G149,Settings!$P$14:$P$24,0)),"Yes")="Yes"),'INPUT - Bookings'!$E149+ROW()/100000,"")</f>
        <v/>
      </c>
    </row>
    <row r="150">
      <c r="W150" s="244">
        <f>IF(AND(INDEX('Roster Summary'!$U$31:$U$180,149)=1,LEFT(Grid!AI151,6)="Travel"),0*1000+149,"")</f>
        <v/>
      </c>
      <c r="X150" s="244">
        <f>IF(AND(INDEX('Roster Summary'!$U$31:$U$180,149)=1,LEFT(Grid!AJ151,6)="Travel"),1*1000+149,"")</f>
        <v/>
      </c>
      <c r="Y150" s="244">
        <f>IF(AND(INDEX('Roster Summary'!$U$31:$U$180,149)=1,LEFT(Grid!AK151,6)="Travel"),2*1000+149,"")</f>
        <v/>
      </c>
      <c r="Z150" s="244">
        <f>IF(AND(INDEX('Roster Summary'!$U$31:$U$180,149)=1,LEFT(Grid!AL151,6)="Travel"),3*1000+149,"")</f>
        <v/>
      </c>
      <c r="AA150" s="244">
        <f>IF(AND(INDEX('Roster Summary'!$U$31:$U$180,149)=1,LEFT(Grid!AM151,6)="Travel"),4*1000+149,"")</f>
        <v/>
      </c>
      <c r="AB150" s="244">
        <f>IF(AND(INDEX('Roster Summary'!$U$31:$U$180,149)=1,LEFT(Grid!AN151,6)="Travel"),5*1000+149,"")</f>
        <v/>
      </c>
      <c r="AC150" s="244">
        <f>IF(AND(INDEX('Roster Summary'!$U$31:$U$180,149)=1,LEFT(Grid!AO151,6)="Travel"),6*1000+149,"")</f>
        <v/>
      </c>
      <c r="AD150" s="244">
        <f>IF(AND(INDEX('Roster Summary'!$U$31:$U$180,149)=1,LEFT(Grid!AP151,6)="Travel"),7*1000+149,"")</f>
        <v/>
      </c>
      <c r="AE150" s="244">
        <f>IF(AND(INDEX('Roster Summary'!$U$31:$U$180,149)=1,LEFT(Grid!AQ151,6)="Travel"),8*1000+149,"")</f>
        <v/>
      </c>
      <c r="AF150" s="244">
        <f>IF(AND(INDEX('Roster Summary'!$U$31:$U$180,149)=1,LEFT(Grid!AR151,6)="Travel"),9*1000+149,"")</f>
        <v/>
      </c>
      <c r="AG150" s="244">
        <f>IF(AND(INDEX('Roster Summary'!$U$31:$U$180,149)=1,LEFT(Grid!AS151,6)="Travel"),10*1000+149,"")</f>
        <v/>
      </c>
      <c r="AH150" s="244">
        <f>IF(AND(INDEX('Roster Summary'!$U$31:$U$180,149)=1,LEFT(Grid!AT151,6)="Travel"),11*1000+149,"")</f>
        <v/>
      </c>
      <c r="AI150" s="244">
        <f>IF(AND(INDEX('Roster Summary'!$U$31:$U$180,149)=1,LEFT(Grid!AU151,6)="Travel"),12*1000+149,"")</f>
        <v/>
      </c>
      <c r="AJ150" s="244">
        <f>IF(AND(INDEX('Roster Summary'!$U$31:$U$180,149)=1,LEFT(Grid!AV151,6)="Travel"),13*1000+149,"")</f>
        <v/>
      </c>
      <c r="BB150" s="244">
        <f>IF('INPUT - Bookings'!$B150="",0,IF(AND(OR(Dashboard!$D$9="All",TRIM('INPUT - Bookings'!$C150)=Dashboard!$D$9),OR(Dashboard!$J$9="All",TRIM('INPUT - Bookings'!$D150)=Dashboard!$J$9)),1,0))</f>
        <v/>
      </c>
      <c r="BC150" s="244">
        <f>IF(AND(BB150=1,ISNUMBER('INPUT - Bookings'!$E150),'INPUT - Bookings'!$E150&gt;=Settings!$C$8,'INPUT - Bookings'!$E150&lt;=Settings!$C$8+14,IFERROR(INDEX(Settings!$Q$14:$Q$24,MATCH('INPUT - Bookings'!$G150,Settings!$P$14:$P$24,0)),"Yes")="Yes"),'INPUT - Bookings'!$E150+ROW()/100000,"")</f>
        <v/>
      </c>
    </row>
    <row r="151">
      <c r="W151" s="244">
        <f>IF(AND(INDEX('Roster Summary'!$U$31:$U$180,150)=1,LEFT(Grid!AI152,6)="Travel"),0*1000+150,"")</f>
        <v/>
      </c>
      <c r="X151" s="244">
        <f>IF(AND(INDEX('Roster Summary'!$U$31:$U$180,150)=1,LEFT(Grid!AJ152,6)="Travel"),1*1000+150,"")</f>
        <v/>
      </c>
      <c r="Y151" s="244">
        <f>IF(AND(INDEX('Roster Summary'!$U$31:$U$180,150)=1,LEFT(Grid!AK152,6)="Travel"),2*1000+150,"")</f>
        <v/>
      </c>
      <c r="Z151" s="244">
        <f>IF(AND(INDEX('Roster Summary'!$U$31:$U$180,150)=1,LEFT(Grid!AL152,6)="Travel"),3*1000+150,"")</f>
        <v/>
      </c>
      <c r="AA151" s="244">
        <f>IF(AND(INDEX('Roster Summary'!$U$31:$U$180,150)=1,LEFT(Grid!AM152,6)="Travel"),4*1000+150,"")</f>
        <v/>
      </c>
      <c r="AB151" s="244">
        <f>IF(AND(INDEX('Roster Summary'!$U$31:$U$180,150)=1,LEFT(Grid!AN152,6)="Travel"),5*1000+150,"")</f>
        <v/>
      </c>
      <c r="AC151" s="244">
        <f>IF(AND(INDEX('Roster Summary'!$U$31:$U$180,150)=1,LEFT(Grid!AO152,6)="Travel"),6*1000+150,"")</f>
        <v/>
      </c>
      <c r="AD151" s="244">
        <f>IF(AND(INDEX('Roster Summary'!$U$31:$U$180,150)=1,LEFT(Grid!AP152,6)="Travel"),7*1000+150,"")</f>
        <v/>
      </c>
      <c r="AE151" s="244">
        <f>IF(AND(INDEX('Roster Summary'!$U$31:$U$180,150)=1,LEFT(Grid!AQ152,6)="Travel"),8*1000+150,"")</f>
        <v/>
      </c>
      <c r="AF151" s="244">
        <f>IF(AND(INDEX('Roster Summary'!$U$31:$U$180,150)=1,LEFT(Grid!AR152,6)="Travel"),9*1000+150,"")</f>
        <v/>
      </c>
      <c r="AG151" s="244">
        <f>IF(AND(INDEX('Roster Summary'!$U$31:$U$180,150)=1,LEFT(Grid!AS152,6)="Travel"),10*1000+150,"")</f>
        <v/>
      </c>
      <c r="AH151" s="244">
        <f>IF(AND(INDEX('Roster Summary'!$U$31:$U$180,150)=1,LEFT(Grid!AT152,6)="Travel"),11*1000+150,"")</f>
        <v/>
      </c>
      <c r="AI151" s="244">
        <f>IF(AND(INDEX('Roster Summary'!$U$31:$U$180,150)=1,LEFT(Grid!AU152,6)="Travel"),12*1000+150,"")</f>
        <v/>
      </c>
      <c r="AJ151" s="244">
        <f>IF(AND(INDEX('Roster Summary'!$U$31:$U$180,150)=1,LEFT(Grid!AV152,6)="Travel"),13*1000+150,"")</f>
        <v/>
      </c>
      <c r="BB151" s="244">
        <f>IF('INPUT - Bookings'!$B151="",0,IF(AND(OR(Dashboard!$D$9="All",TRIM('INPUT - Bookings'!$C151)=Dashboard!$D$9),OR(Dashboard!$J$9="All",TRIM('INPUT - Bookings'!$D151)=Dashboard!$J$9)),1,0))</f>
        <v/>
      </c>
      <c r="BC151" s="244">
        <f>IF(AND(BB151=1,ISNUMBER('INPUT - Bookings'!$E151),'INPUT - Bookings'!$E151&gt;=Settings!$C$8,'INPUT - Bookings'!$E151&lt;=Settings!$C$8+14,IFERROR(INDEX(Settings!$Q$14:$Q$24,MATCH('INPUT - Bookings'!$G151,Settings!$P$14:$P$24,0)),"Yes")="Yes"),'INPUT - Bookings'!$E151+ROW()/100000,"")</f>
        <v/>
      </c>
    </row>
    <row r="152">
      <c r="BB152" s="244">
        <f>IF('INPUT - Bookings'!$B152="",0,IF(AND(OR(Dashboard!$D$9="All",TRIM('INPUT - Bookings'!$C152)=Dashboard!$D$9),OR(Dashboard!$J$9="All",TRIM('INPUT - Bookings'!$D152)=Dashboard!$J$9)),1,0))</f>
        <v/>
      </c>
      <c r="BC152" s="244">
        <f>IF(AND(BB152=1,ISNUMBER('INPUT - Bookings'!$E152),'INPUT - Bookings'!$E152&gt;=Settings!$C$8,'INPUT - Bookings'!$E152&lt;=Settings!$C$8+14,IFERROR(INDEX(Settings!$Q$14:$Q$24,MATCH('INPUT - Bookings'!$G152,Settings!$P$14:$P$24,0)),"Yes")="Yes"),'INPUT - Bookings'!$E152+ROW()/100000,"")</f>
        <v/>
      </c>
    </row>
    <row r="153">
      <c r="BB153" s="244">
        <f>IF('INPUT - Bookings'!$B153="",0,IF(AND(OR(Dashboard!$D$9="All",TRIM('INPUT - Bookings'!$C153)=Dashboard!$D$9),OR(Dashboard!$J$9="All",TRIM('INPUT - Bookings'!$D153)=Dashboard!$J$9)),1,0))</f>
        <v/>
      </c>
      <c r="BC153" s="244">
        <f>IF(AND(BB153=1,ISNUMBER('INPUT - Bookings'!$E153),'INPUT - Bookings'!$E153&gt;=Settings!$C$8,'INPUT - Bookings'!$E153&lt;=Settings!$C$8+14,IFERROR(INDEX(Settings!$Q$14:$Q$24,MATCH('INPUT - Bookings'!$G153,Settings!$P$14:$P$24,0)),"Yes")="Yes"),'INPUT - Bookings'!$E153+ROW()/100000,"")</f>
        <v/>
      </c>
    </row>
    <row r="154">
      <c r="BB154" s="244">
        <f>IF('INPUT - Bookings'!$B154="",0,IF(AND(OR(Dashboard!$D$9="All",TRIM('INPUT - Bookings'!$C154)=Dashboard!$D$9),OR(Dashboard!$J$9="All",TRIM('INPUT - Bookings'!$D154)=Dashboard!$J$9)),1,0))</f>
        <v/>
      </c>
      <c r="BC154" s="244">
        <f>IF(AND(BB154=1,ISNUMBER('INPUT - Bookings'!$E154),'INPUT - Bookings'!$E154&gt;=Settings!$C$8,'INPUT - Bookings'!$E154&lt;=Settings!$C$8+14,IFERROR(INDEX(Settings!$Q$14:$Q$24,MATCH('INPUT - Bookings'!$G154,Settings!$P$14:$P$24,0)),"Yes")="Yes"),'INPUT - Bookings'!$E154+ROW()/100000,"")</f>
        <v/>
      </c>
    </row>
    <row r="155">
      <c r="BB155" s="244">
        <f>IF('INPUT - Bookings'!$B155="",0,IF(AND(OR(Dashboard!$D$9="All",TRIM('INPUT - Bookings'!$C155)=Dashboard!$D$9),OR(Dashboard!$J$9="All",TRIM('INPUT - Bookings'!$D155)=Dashboard!$J$9)),1,0))</f>
        <v/>
      </c>
      <c r="BC155" s="244">
        <f>IF(AND(BB155=1,ISNUMBER('INPUT - Bookings'!$E155),'INPUT - Bookings'!$E155&gt;=Settings!$C$8,'INPUT - Bookings'!$E155&lt;=Settings!$C$8+14,IFERROR(INDEX(Settings!$Q$14:$Q$24,MATCH('INPUT - Bookings'!$G155,Settings!$P$14:$P$24,0)),"Yes")="Yes"),'INPUT - Bookings'!$E155+ROW()/100000,"")</f>
        <v/>
      </c>
    </row>
    <row r="156">
      <c r="BB156" s="244">
        <f>IF('INPUT - Bookings'!$B156="",0,IF(AND(OR(Dashboard!$D$9="All",TRIM('INPUT - Bookings'!$C156)=Dashboard!$D$9),OR(Dashboard!$J$9="All",TRIM('INPUT - Bookings'!$D156)=Dashboard!$J$9)),1,0))</f>
        <v/>
      </c>
      <c r="BC156" s="244">
        <f>IF(AND(BB156=1,ISNUMBER('INPUT - Bookings'!$E156),'INPUT - Bookings'!$E156&gt;=Settings!$C$8,'INPUT - Bookings'!$E156&lt;=Settings!$C$8+14,IFERROR(INDEX(Settings!$Q$14:$Q$24,MATCH('INPUT - Bookings'!$G156,Settings!$P$14:$P$24,0)),"Yes")="Yes"),'INPUT - Bookings'!$E156+ROW()/100000,"")</f>
        <v/>
      </c>
    </row>
    <row r="157">
      <c r="BB157" s="244">
        <f>IF('INPUT - Bookings'!$B157="",0,IF(AND(OR(Dashboard!$D$9="All",TRIM('INPUT - Bookings'!$C157)=Dashboard!$D$9),OR(Dashboard!$J$9="All",TRIM('INPUT - Bookings'!$D157)=Dashboard!$J$9)),1,0))</f>
        <v/>
      </c>
      <c r="BC157" s="244">
        <f>IF(AND(BB157=1,ISNUMBER('INPUT - Bookings'!$E157),'INPUT - Bookings'!$E157&gt;=Settings!$C$8,'INPUT - Bookings'!$E157&lt;=Settings!$C$8+14,IFERROR(INDEX(Settings!$Q$14:$Q$24,MATCH('INPUT - Bookings'!$G157,Settings!$P$14:$P$24,0)),"Yes")="Yes"),'INPUT - Bookings'!$E157+ROW()/100000,"")</f>
        <v/>
      </c>
    </row>
    <row r="158">
      <c r="BB158" s="244">
        <f>IF('INPUT - Bookings'!$B158="",0,IF(AND(OR(Dashboard!$D$9="All",TRIM('INPUT - Bookings'!$C158)=Dashboard!$D$9),OR(Dashboard!$J$9="All",TRIM('INPUT - Bookings'!$D158)=Dashboard!$J$9)),1,0))</f>
        <v/>
      </c>
      <c r="BC158" s="244">
        <f>IF(AND(BB158=1,ISNUMBER('INPUT - Bookings'!$E158),'INPUT - Bookings'!$E158&gt;=Settings!$C$8,'INPUT - Bookings'!$E158&lt;=Settings!$C$8+14,IFERROR(INDEX(Settings!$Q$14:$Q$24,MATCH('INPUT - Bookings'!$G158,Settings!$P$14:$P$24,0)),"Yes")="Yes"),'INPUT - Bookings'!$E158+ROW()/100000,"")</f>
        <v/>
      </c>
    </row>
    <row r="159">
      <c r="BB159" s="244">
        <f>IF('INPUT - Bookings'!$B159="",0,IF(AND(OR(Dashboard!$D$9="All",TRIM('INPUT - Bookings'!$C159)=Dashboard!$D$9),OR(Dashboard!$J$9="All",TRIM('INPUT - Bookings'!$D159)=Dashboard!$J$9)),1,0))</f>
        <v/>
      </c>
      <c r="BC159" s="244">
        <f>IF(AND(BB159=1,ISNUMBER('INPUT - Bookings'!$E159),'INPUT - Bookings'!$E159&gt;=Settings!$C$8,'INPUT - Bookings'!$E159&lt;=Settings!$C$8+14,IFERROR(INDEX(Settings!$Q$14:$Q$24,MATCH('INPUT - Bookings'!$G159,Settings!$P$14:$P$24,0)),"Yes")="Yes"),'INPUT - Bookings'!$E159+ROW()/100000,"")</f>
        <v/>
      </c>
    </row>
    <row r="160">
      <c r="BB160" s="244">
        <f>IF('INPUT - Bookings'!$B160="",0,IF(AND(OR(Dashboard!$D$9="All",TRIM('INPUT - Bookings'!$C160)=Dashboard!$D$9),OR(Dashboard!$J$9="All",TRIM('INPUT - Bookings'!$D160)=Dashboard!$J$9)),1,0))</f>
        <v/>
      </c>
      <c r="BC160" s="244">
        <f>IF(AND(BB160=1,ISNUMBER('INPUT - Bookings'!$E160),'INPUT - Bookings'!$E160&gt;=Settings!$C$8,'INPUT - Bookings'!$E160&lt;=Settings!$C$8+14,IFERROR(INDEX(Settings!$Q$14:$Q$24,MATCH('INPUT - Bookings'!$G160,Settings!$P$14:$P$24,0)),"Yes")="Yes"),'INPUT - Bookings'!$E160+ROW()/100000,"")</f>
        <v/>
      </c>
    </row>
    <row r="161">
      <c r="BB161" s="244">
        <f>IF('INPUT - Bookings'!$B161="",0,IF(AND(OR(Dashboard!$D$9="All",TRIM('INPUT - Bookings'!$C161)=Dashboard!$D$9),OR(Dashboard!$J$9="All",TRIM('INPUT - Bookings'!$D161)=Dashboard!$J$9)),1,0))</f>
        <v/>
      </c>
      <c r="BC161" s="244">
        <f>IF(AND(BB161=1,ISNUMBER('INPUT - Bookings'!$E161),'INPUT - Bookings'!$E161&gt;=Settings!$C$8,'INPUT - Bookings'!$E161&lt;=Settings!$C$8+14,IFERROR(INDEX(Settings!$Q$14:$Q$24,MATCH('INPUT - Bookings'!$G161,Settings!$P$14:$P$24,0)),"Yes")="Yes"),'INPUT - Bookings'!$E161+ROW()/100000,"")</f>
        <v/>
      </c>
    </row>
    <row r="162">
      <c r="BB162" s="244">
        <f>IF('INPUT - Bookings'!$B162="",0,IF(AND(OR(Dashboard!$D$9="All",TRIM('INPUT - Bookings'!$C162)=Dashboard!$D$9),OR(Dashboard!$J$9="All",TRIM('INPUT - Bookings'!$D162)=Dashboard!$J$9)),1,0))</f>
        <v/>
      </c>
      <c r="BC162" s="244">
        <f>IF(AND(BB162=1,ISNUMBER('INPUT - Bookings'!$E162),'INPUT - Bookings'!$E162&gt;=Settings!$C$8,'INPUT - Bookings'!$E162&lt;=Settings!$C$8+14,IFERROR(INDEX(Settings!$Q$14:$Q$24,MATCH('INPUT - Bookings'!$G162,Settings!$P$14:$P$24,0)),"Yes")="Yes"),'INPUT - Bookings'!$E162+ROW()/100000,"")</f>
        <v/>
      </c>
    </row>
    <row r="163">
      <c r="BB163" s="244">
        <f>IF('INPUT - Bookings'!$B163="",0,IF(AND(OR(Dashboard!$D$9="All",TRIM('INPUT - Bookings'!$C163)=Dashboard!$D$9),OR(Dashboard!$J$9="All",TRIM('INPUT - Bookings'!$D163)=Dashboard!$J$9)),1,0))</f>
        <v/>
      </c>
      <c r="BC163" s="244">
        <f>IF(AND(BB163=1,ISNUMBER('INPUT - Bookings'!$E163),'INPUT - Bookings'!$E163&gt;=Settings!$C$8,'INPUT - Bookings'!$E163&lt;=Settings!$C$8+14,IFERROR(INDEX(Settings!$Q$14:$Q$24,MATCH('INPUT - Bookings'!$G163,Settings!$P$14:$P$24,0)),"Yes")="Yes"),'INPUT - Bookings'!$E163+ROW()/100000,"")</f>
        <v/>
      </c>
    </row>
    <row r="164">
      <c r="BB164" s="244">
        <f>IF('INPUT - Bookings'!$B164="",0,IF(AND(OR(Dashboard!$D$9="All",TRIM('INPUT - Bookings'!$C164)=Dashboard!$D$9),OR(Dashboard!$J$9="All",TRIM('INPUT - Bookings'!$D164)=Dashboard!$J$9)),1,0))</f>
        <v/>
      </c>
      <c r="BC164" s="244">
        <f>IF(AND(BB164=1,ISNUMBER('INPUT - Bookings'!$E164),'INPUT - Bookings'!$E164&gt;=Settings!$C$8,'INPUT - Bookings'!$E164&lt;=Settings!$C$8+14,IFERROR(INDEX(Settings!$Q$14:$Q$24,MATCH('INPUT - Bookings'!$G164,Settings!$P$14:$P$24,0)),"Yes")="Yes"),'INPUT - Bookings'!$E164+ROW()/100000,"")</f>
        <v/>
      </c>
    </row>
    <row r="165">
      <c r="BB165" s="244">
        <f>IF('INPUT - Bookings'!$B165="",0,IF(AND(OR(Dashboard!$D$9="All",TRIM('INPUT - Bookings'!$C165)=Dashboard!$D$9),OR(Dashboard!$J$9="All",TRIM('INPUT - Bookings'!$D165)=Dashboard!$J$9)),1,0))</f>
        <v/>
      </c>
      <c r="BC165" s="244">
        <f>IF(AND(BB165=1,ISNUMBER('INPUT - Bookings'!$E165),'INPUT - Bookings'!$E165&gt;=Settings!$C$8,'INPUT - Bookings'!$E165&lt;=Settings!$C$8+14,IFERROR(INDEX(Settings!$Q$14:$Q$24,MATCH('INPUT - Bookings'!$G165,Settings!$P$14:$P$24,0)),"Yes")="Yes"),'INPUT - Bookings'!$E165+ROW()/100000,"")</f>
        <v/>
      </c>
    </row>
    <row r="166">
      <c r="BB166" s="244">
        <f>IF('INPUT - Bookings'!$B166="",0,IF(AND(OR(Dashboard!$D$9="All",TRIM('INPUT - Bookings'!$C166)=Dashboard!$D$9),OR(Dashboard!$J$9="All",TRIM('INPUT - Bookings'!$D166)=Dashboard!$J$9)),1,0))</f>
        <v/>
      </c>
      <c r="BC166" s="244">
        <f>IF(AND(BB166=1,ISNUMBER('INPUT - Bookings'!$E166),'INPUT - Bookings'!$E166&gt;=Settings!$C$8,'INPUT - Bookings'!$E166&lt;=Settings!$C$8+14,IFERROR(INDEX(Settings!$Q$14:$Q$24,MATCH('INPUT - Bookings'!$G166,Settings!$P$14:$P$24,0)),"Yes")="Yes"),'INPUT - Bookings'!$E166+ROW()/100000,"")</f>
        <v/>
      </c>
    </row>
    <row r="167">
      <c r="BB167" s="244">
        <f>IF('INPUT - Bookings'!$B167="",0,IF(AND(OR(Dashboard!$D$9="All",TRIM('INPUT - Bookings'!$C167)=Dashboard!$D$9),OR(Dashboard!$J$9="All",TRIM('INPUT - Bookings'!$D167)=Dashboard!$J$9)),1,0))</f>
        <v/>
      </c>
      <c r="BC167" s="244">
        <f>IF(AND(BB167=1,ISNUMBER('INPUT - Bookings'!$E167),'INPUT - Bookings'!$E167&gt;=Settings!$C$8,'INPUT - Bookings'!$E167&lt;=Settings!$C$8+14,IFERROR(INDEX(Settings!$Q$14:$Q$24,MATCH('INPUT - Bookings'!$G167,Settings!$P$14:$P$24,0)),"Yes")="Yes"),'INPUT - Bookings'!$E167+ROW()/100000,"")</f>
        <v/>
      </c>
    </row>
    <row r="168">
      <c r="BB168" s="244">
        <f>IF('INPUT - Bookings'!$B168="",0,IF(AND(OR(Dashboard!$D$9="All",TRIM('INPUT - Bookings'!$C168)=Dashboard!$D$9),OR(Dashboard!$J$9="All",TRIM('INPUT - Bookings'!$D168)=Dashboard!$J$9)),1,0))</f>
        <v/>
      </c>
      <c r="BC168" s="244">
        <f>IF(AND(BB168=1,ISNUMBER('INPUT - Bookings'!$E168),'INPUT - Bookings'!$E168&gt;=Settings!$C$8,'INPUT - Bookings'!$E168&lt;=Settings!$C$8+14,IFERROR(INDEX(Settings!$Q$14:$Q$24,MATCH('INPUT - Bookings'!$G168,Settings!$P$14:$P$24,0)),"Yes")="Yes"),'INPUT - Bookings'!$E168+ROW()/100000,"")</f>
        <v/>
      </c>
    </row>
    <row r="169">
      <c r="BB169" s="244">
        <f>IF('INPUT - Bookings'!$B169="",0,IF(AND(OR(Dashboard!$D$9="All",TRIM('INPUT - Bookings'!$C169)=Dashboard!$D$9),OR(Dashboard!$J$9="All",TRIM('INPUT - Bookings'!$D169)=Dashboard!$J$9)),1,0))</f>
        <v/>
      </c>
      <c r="BC169" s="244">
        <f>IF(AND(BB169=1,ISNUMBER('INPUT - Bookings'!$E169),'INPUT - Bookings'!$E169&gt;=Settings!$C$8,'INPUT - Bookings'!$E169&lt;=Settings!$C$8+14,IFERROR(INDEX(Settings!$Q$14:$Q$24,MATCH('INPUT - Bookings'!$G169,Settings!$P$14:$P$24,0)),"Yes")="Yes"),'INPUT - Bookings'!$E169+ROW()/100000,"")</f>
        <v/>
      </c>
    </row>
    <row r="170">
      <c r="BB170" s="244">
        <f>IF('INPUT - Bookings'!$B170="",0,IF(AND(OR(Dashboard!$D$9="All",TRIM('INPUT - Bookings'!$C170)=Dashboard!$D$9),OR(Dashboard!$J$9="All",TRIM('INPUT - Bookings'!$D170)=Dashboard!$J$9)),1,0))</f>
        <v/>
      </c>
      <c r="BC170" s="244">
        <f>IF(AND(BB170=1,ISNUMBER('INPUT - Bookings'!$E170),'INPUT - Bookings'!$E170&gt;=Settings!$C$8,'INPUT - Bookings'!$E170&lt;=Settings!$C$8+14,IFERROR(INDEX(Settings!$Q$14:$Q$24,MATCH('INPUT - Bookings'!$G170,Settings!$P$14:$P$24,0)),"Yes")="Yes"),'INPUT - Bookings'!$E170+ROW()/100000,"")</f>
        <v/>
      </c>
    </row>
    <row r="171">
      <c r="BB171" s="244">
        <f>IF('INPUT - Bookings'!$B171="",0,IF(AND(OR(Dashboard!$D$9="All",TRIM('INPUT - Bookings'!$C171)=Dashboard!$D$9),OR(Dashboard!$J$9="All",TRIM('INPUT - Bookings'!$D171)=Dashboard!$J$9)),1,0))</f>
        <v/>
      </c>
      <c r="BC171" s="244">
        <f>IF(AND(BB171=1,ISNUMBER('INPUT - Bookings'!$E171),'INPUT - Bookings'!$E171&gt;=Settings!$C$8,'INPUT - Bookings'!$E171&lt;=Settings!$C$8+14,IFERROR(INDEX(Settings!$Q$14:$Q$24,MATCH('INPUT - Bookings'!$G171,Settings!$P$14:$P$24,0)),"Yes")="Yes"),'INPUT - Bookings'!$E171+ROW()/100000,"")</f>
        <v/>
      </c>
    </row>
    <row r="172">
      <c r="BB172" s="244">
        <f>IF('INPUT - Bookings'!$B172="",0,IF(AND(OR(Dashboard!$D$9="All",TRIM('INPUT - Bookings'!$C172)=Dashboard!$D$9),OR(Dashboard!$J$9="All",TRIM('INPUT - Bookings'!$D172)=Dashboard!$J$9)),1,0))</f>
        <v/>
      </c>
      <c r="BC172" s="244">
        <f>IF(AND(BB172=1,ISNUMBER('INPUT - Bookings'!$E172),'INPUT - Bookings'!$E172&gt;=Settings!$C$8,'INPUT - Bookings'!$E172&lt;=Settings!$C$8+14,IFERROR(INDEX(Settings!$Q$14:$Q$24,MATCH('INPUT - Bookings'!$G172,Settings!$P$14:$P$24,0)),"Yes")="Yes"),'INPUT - Bookings'!$E172+ROW()/100000,"")</f>
        <v/>
      </c>
    </row>
    <row r="173">
      <c r="BB173" s="244">
        <f>IF('INPUT - Bookings'!$B173="",0,IF(AND(OR(Dashboard!$D$9="All",TRIM('INPUT - Bookings'!$C173)=Dashboard!$D$9),OR(Dashboard!$J$9="All",TRIM('INPUT - Bookings'!$D173)=Dashboard!$J$9)),1,0))</f>
        <v/>
      </c>
      <c r="BC173" s="244">
        <f>IF(AND(BB173=1,ISNUMBER('INPUT - Bookings'!$E173),'INPUT - Bookings'!$E173&gt;=Settings!$C$8,'INPUT - Bookings'!$E173&lt;=Settings!$C$8+14,IFERROR(INDEX(Settings!$Q$14:$Q$24,MATCH('INPUT - Bookings'!$G173,Settings!$P$14:$P$24,0)),"Yes")="Yes"),'INPUT - Bookings'!$E173+ROW()/100000,"")</f>
        <v/>
      </c>
    </row>
    <row r="174">
      <c r="BB174" s="244">
        <f>IF('INPUT - Bookings'!$B174="",0,IF(AND(OR(Dashboard!$D$9="All",TRIM('INPUT - Bookings'!$C174)=Dashboard!$D$9),OR(Dashboard!$J$9="All",TRIM('INPUT - Bookings'!$D174)=Dashboard!$J$9)),1,0))</f>
        <v/>
      </c>
      <c r="BC174" s="244">
        <f>IF(AND(BB174=1,ISNUMBER('INPUT - Bookings'!$E174),'INPUT - Bookings'!$E174&gt;=Settings!$C$8,'INPUT - Bookings'!$E174&lt;=Settings!$C$8+14,IFERROR(INDEX(Settings!$Q$14:$Q$24,MATCH('INPUT - Bookings'!$G174,Settings!$P$14:$P$24,0)),"Yes")="Yes"),'INPUT - Bookings'!$E174+ROW()/100000,"")</f>
        <v/>
      </c>
    </row>
    <row r="175">
      <c r="BB175" s="244">
        <f>IF('INPUT - Bookings'!$B175="",0,IF(AND(OR(Dashboard!$D$9="All",TRIM('INPUT - Bookings'!$C175)=Dashboard!$D$9),OR(Dashboard!$J$9="All",TRIM('INPUT - Bookings'!$D175)=Dashboard!$J$9)),1,0))</f>
        <v/>
      </c>
      <c r="BC175" s="244">
        <f>IF(AND(BB175=1,ISNUMBER('INPUT - Bookings'!$E175),'INPUT - Bookings'!$E175&gt;=Settings!$C$8,'INPUT - Bookings'!$E175&lt;=Settings!$C$8+14,IFERROR(INDEX(Settings!$Q$14:$Q$24,MATCH('INPUT - Bookings'!$G175,Settings!$P$14:$P$24,0)),"Yes")="Yes"),'INPUT - Bookings'!$E175+ROW()/100000,"")</f>
        <v/>
      </c>
    </row>
    <row r="176">
      <c r="BB176" s="244">
        <f>IF('INPUT - Bookings'!$B176="",0,IF(AND(OR(Dashboard!$D$9="All",TRIM('INPUT - Bookings'!$C176)=Dashboard!$D$9),OR(Dashboard!$J$9="All",TRIM('INPUT - Bookings'!$D176)=Dashboard!$J$9)),1,0))</f>
        <v/>
      </c>
      <c r="BC176" s="244">
        <f>IF(AND(BB176=1,ISNUMBER('INPUT - Bookings'!$E176),'INPUT - Bookings'!$E176&gt;=Settings!$C$8,'INPUT - Bookings'!$E176&lt;=Settings!$C$8+14,IFERROR(INDEX(Settings!$Q$14:$Q$24,MATCH('INPUT - Bookings'!$G176,Settings!$P$14:$P$24,0)),"Yes")="Yes"),'INPUT - Bookings'!$E176+ROW()/100000,"")</f>
        <v/>
      </c>
    </row>
    <row r="177">
      <c r="BB177" s="244">
        <f>IF('INPUT - Bookings'!$B177="",0,IF(AND(OR(Dashboard!$D$9="All",TRIM('INPUT - Bookings'!$C177)=Dashboard!$D$9),OR(Dashboard!$J$9="All",TRIM('INPUT - Bookings'!$D177)=Dashboard!$J$9)),1,0))</f>
        <v/>
      </c>
      <c r="BC177" s="244">
        <f>IF(AND(BB177=1,ISNUMBER('INPUT - Bookings'!$E177),'INPUT - Bookings'!$E177&gt;=Settings!$C$8,'INPUT - Bookings'!$E177&lt;=Settings!$C$8+14,IFERROR(INDEX(Settings!$Q$14:$Q$24,MATCH('INPUT - Bookings'!$G177,Settings!$P$14:$P$24,0)),"Yes")="Yes"),'INPUT - Bookings'!$E177+ROW()/100000,"")</f>
        <v/>
      </c>
    </row>
    <row r="178">
      <c r="BB178" s="244">
        <f>IF('INPUT - Bookings'!$B178="",0,IF(AND(OR(Dashboard!$D$9="All",TRIM('INPUT - Bookings'!$C178)=Dashboard!$D$9),OR(Dashboard!$J$9="All",TRIM('INPUT - Bookings'!$D178)=Dashboard!$J$9)),1,0))</f>
        <v/>
      </c>
      <c r="BC178" s="244">
        <f>IF(AND(BB178=1,ISNUMBER('INPUT - Bookings'!$E178),'INPUT - Bookings'!$E178&gt;=Settings!$C$8,'INPUT - Bookings'!$E178&lt;=Settings!$C$8+14,IFERROR(INDEX(Settings!$Q$14:$Q$24,MATCH('INPUT - Bookings'!$G178,Settings!$P$14:$P$24,0)),"Yes")="Yes"),'INPUT - Bookings'!$E178+ROW()/100000,"")</f>
        <v/>
      </c>
    </row>
    <row r="179">
      <c r="BB179" s="244">
        <f>IF('INPUT - Bookings'!$B179="",0,IF(AND(OR(Dashboard!$D$9="All",TRIM('INPUT - Bookings'!$C179)=Dashboard!$D$9),OR(Dashboard!$J$9="All",TRIM('INPUT - Bookings'!$D179)=Dashboard!$J$9)),1,0))</f>
        <v/>
      </c>
      <c r="BC179" s="244">
        <f>IF(AND(BB179=1,ISNUMBER('INPUT - Bookings'!$E179),'INPUT - Bookings'!$E179&gt;=Settings!$C$8,'INPUT - Bookings'!$E179&lt;=Settings!$C$8+14,IFERROR(INDEX(Settings!$Q$14:$Q$24,MATCH('INPUT - Bookings'!$G179,Settings!$P$14:$P$24,0)),"Yes")="Yes"),'INPUT - Bookings'!$E179+ROW()/100000,"")</f>
        <v/>
      </c>
    </row>
    <row r="180">
      <c r="BB180" s="244">
        <f>IF('INPUT - Bookings'!$B180="",0,IF(AND(OR(Dashboard!$D$9="All",TRIM('INPUT - Bookings'!$C180)=Dashboard!$D$9),OR(Dashboard!$J$9="All",TRIM('INPUT - Bookings'!$D180)=Dashboard!$J$9)),1,0))</f>
        <v/>
      </c>
      <c r="BC180" s="244">
        <f>IF(AND(BB180=1,ISNUMBER('INPUT - Bookings'!$E180),'INPUT - Bookings'!$E180&gt;=Settings!$C$8,'INPUT - Bookings'!$E180&lt;=Settings!$C$8+14,IFERROR(INDEX(Settings!$Q$14:$Q$24,MATCH('INPUT - Bookings'!$G180,Settings!$P$14:$P$24,0)),"Yes")="Yes"),'INPUT - Bookings'!$E180+ROW()/100000,"")</f>
        <v/>
      </c>
    </row>
    <row r="181">
      <c r="BB181" s="244">
        <f>IF('INPUT - Bookings'!$B181="",0,IF(AND(OR(Dashboard!$D$9="All",TRIM('INPUT - Bookings'!$C181)=Dashboard!$D$9),OR(Dashboard!$J$9="All",TRIM('INPUT - Bookings'!$D181)=Dashboard!$J$9)),1,0))</f>
        <v/>
      </c>
      <c r="BC181" s="244">
        <f>IF(AND(BB181=1,ISNUMBER('INPUT - Bookings'!$E181),'INPUT - Bookings'!$E181&gt;=Settings!$C$8,'INPUT - Bookings'!$E181&lt;=Settings!$C$8+14,IFERROR(INDEX(Settings!$Q$14:$Q$24,MATCH('INPUT - Bookings'!$G181,Settings!$P$14:$P$24,0)),"Yes")="Yes"),'INPUT - Bookings'!$E181+ROW()/100000,"")</f>
        <v/>
      </c>
    </row>
    <row r="182">
      <c r="BB182" s="244">
        <f>IF('INPUT - Bookings'!$B182="",0,IF(AND(OR(Dashboard!$D$9="All",TRIM('INPUT - Bookings'!$C182)=Dashboard!$D$9),OR(Dashboard!$J$9="All",TRIM('INPUT - Bookings'!$D182)=Dashboard!$J$9)),1,0))</f>
        <v/>
      </c>
      <c r="BC182" s="244">
        <f>IF(AND(BB182=1,ISNUMBER('INPUT - Bookings'!$E182),'INPUT - Bookings'!$E182&gt;=Settings!$C$8,'INPUT - Bookings'!$E182&lt;=Settings!$C$8+14,IFERROR(INDEX(Settings!$Q$14:$Q$24,MATCH('INPUT - Bookings'!$G182,Settings!$P$14:$P$24,0)),"Yes")="Yes"),'INPUT - Bookings'!$E182+ROW()/100000,"")</f>
        <v/>
      </c>
    </row>
    <row r="183">
      <c r="BB183" s="244">
        <f>IF('INPUT - Bookings'!$B183="",0,IF(AND(OR(Dashboard!$D$9="All",TRIM('INPUT - Bookings'!$C183)=Dashboard!$D$9),OR(Dashboard!$J$9="All",TRIM('INPUT - Bookings'!$D183)=Dashboard!$J$9)),1,0))</f>
        <v/>
      </c>
      <c r="BC183" s="244">
        <f>IF(AND(BB183=1,ISNUMBER('INPUT - Bookings'!$E183),'INPUT - Bookings'!$E183&gt;=Settings!$C$8,'INPUT - Bookings'!$E183&lt;=Settings!$C$8+14,IFERROR(INDEX(Settings!$Q$14:$Q$24,MATCH('INPUT - Bookings'!$G183,Settings!$P$14:$P$24,0)),"Yes")="Yes"),'INPUT - Bookings'!$E183+ROW()/100000,"")</f>
        <v/>
      </c>
    </row>
    <row r="184">
      <c r="BB184" s="244">
        <f>IF('INPUT - Bookings'!$B184="",0,IF(AND(OR(Dashboard!$D$9="All",TRIM('INPUT - Bookings'!$C184)=Dashboard!$D$9),OR(Dashboard!$J$9="All",TRIM('INPUT - Bookings'!$D184)=Dashboard!$J$9)),1,0))</f>
        <v/>
      </c>
      <c r="BC184" s="244">
        <f>IF(AND(BB184=1,ISNUMBER('INPUT - Bookings'!$E184),'INPUT - Bookings'!$E184&gt;=Settings!$C$8,'INPUT - Bookings'!$E184&lt;=Settings!$C$8+14,IFERROR(INDEX(Settings!$Q$14:$Q$24,MATCH('INPUT - Bookings'!$G184,Settings!$P$14:$P$24,0)),"Yes")="Yes"),'INPUT - Bookings'!$E184+ROW()/100000,"")</f>
        <v/>
      </c>
    </row>
    <row r="185">
      <c r="BB185" s="244">
        <f>IF('INPUT - Bookings'!$B185="",0,IF(AND(OR(Dashboard!$D$9="All",TRIM('INPUT - Bookings'!$C185)=Dashboard!$D$9),OR(Dashboard!$J$9="All",TRIM('INPUT - Bookings'!$D185)=Dashboard!$J$9)),1,0))</f>
        <v/>
      </c>
      <c r="BC185" s="244">
        <f>IF(AND(BB185=1,ISNUMBER('INPUT - Bookings'!$E185),'INPUT - Bookings'!$E185&gt;=Settings!$C$8,'INPUT - Bookings'!$E185&lt;=Settings!$C$8+14,IFERROR(INDEX(Settings!$Q$14:$Q$24,MATCH('INPUT - Bookings'!$G185,Settings!$P$14:$P$24,0)),"Yes")="Yes"),'INPUT - Bookings'!$E185+ROW()/100000,"")</f>
        <v/>
      </c>
    </row>
    <row r="186">
      <c r="BB186" s="244">
        <f>IF('INPUT - Bookings'!$B186="",0,IF(AND(OR(Dashboard!$D$9="All",TRIM('INPUT - Bookings'!$C186)=Dashboard!$D$9),OR(Dashboard!$J$9="All",TRIM('INPUT - Bookings'!$D186)=Dashboard!$J$9)),1,0))</f>
        <v/>
      </c>
      <c r="BC186" s="244">
        <f>IF(AND(BB186=1,ISNUMBER('INPUT - Bookings'!$E186),'INPUT - Bookings'!$E186&gt;=Settings!$C$8,'INPUT - Bookings'!$E186&lt;=Settings!$C$8+14,IFERROR(INDEX(Settings!$Q$14:$Q$24,MATCH('INPUT - Bookings'!$G186,Settings!$P$14:$P$24,0)),"Yes")="Yes"),'INPUT - Bookings'!$E186+ROW()/100000,"")</f>
        <v/>
      </c>
    </row>
    <row r="187">
      <c r="BB187" s="244">
        <f>IF('INPUT - Bookings'!$B187="",0,IF(AND(OR(Dashboard!$D$9="All",TRIM('INPUT - Bookings'!$C187)=Dashboard!$D$9),OR(Dashboard!$J$9="All",TRIM('INPUT - Bookings'!$D187)=Dashboard!$J$9)),1,0))</f>
        <v/>
      </c>
      <c r="BC187" s="244">
        <f>IF(AND(BB187=1,ISNUMBER('INPUT - Bookings'!$E187),'INPUT - Bookings'!$E187&gt;=Settings!$C$8,'INPUT - Bookings'!$E187&lt;=Settings!$C$8+14,IFERROR(INDEX(Settings!$Q$14:$Q$24,MATCH('INPUT - Bookings'!$G187,Settings!$P$14:$P$24,0)),"Yes")="Yes"),'INPUT - Bookings'!$E187+ROW()/100000,"")</f>
        <v/>
      </c>
    </row>
    <row r="188">
      <c r="BB188" s="244">
        <f>IF('INPUT - Bookings'!$B188="",0,IF(AND(OR(Dashboard!$D$9="All",TRIM('INPUT - Bookings'!$C188)=Dashboard!$D$9),OR(Dashboard!$J$9="All",TRIM('INPUT - Bookings'!$D188)=Dashboard!$J$9)),1,0))</f>
        <v/>
      </c>
      <c r="BC188" s="244">
        <f>IF(AND(BB188=1,ISNUMBER('INPUT - Bookings'!$E188),'INPUT - Bookings'!$E188&gt;=Settings!$C$8,'INPUT - Bookings'!$E188&lt;=Settings!$C$8+14,IFERROR(INDEX(Settings!$Q$14:$Q$24,MATCH('INPUT - Bookings'!$G188,Settings!$P$14:$P$24,0)),"Yes")="Yes"),'INPUT - Bookings'!$E188+ROW()/100000,"")</f>
        <v/>
      </c>
    </row>
    <row r="189">
      <c r="BB189" s="244">
        <f>IF('INPUT - Bookings'!$B189="",0,IF(AND(OR(Dashboard!$D$9="All",TRIM('INPUT - Bookings'!$C189)=Dashboard!$D$9),OR(Dashboard!$J$9="All",TRIM('INPUT - Bookings'!$D189)=Dashboard!$J$9)),1,0))</f>
        <v/>
      </c>
      <c r="BC189" s="244">
        <f>IF(AND(BB189=1,ISNUMBER('INPUT - Bookings'!$E189),'INPUT - Bookings'!$E189&gt;=Settings!$C$8,'INPUT - Bookings'!$E189&lt;=Settings!$C$8+14,IFERROR(INDEX(Settings!$Q$14:$Q$24,MATCH('INPUT - Bookings'!$G189,Settings!$P$14:$P$24,0)),"Yes")="Yes"),'INPUT - Bookings'!$E189+ROW()/100000,"")</f>
        <v/>
      </c>
    </row>
    <row r="190">
      <c r="BB190" s="244">
        <f>IF('INPUT - Bookings'!$B190="",0,IF(AND(OR(Dashboard!$D$9="All",TRIM('INPUT - Bookings'!$C190)=Dashboard!$D$9),OR(Dashboard!$J$9="All",TRIM('INPUT - Bookings'!$D190)=Dashboard!$J$9)),1,0))</f>
        <v/>
      </c>
      <c r="BC190" s="244">
        <f>IF(AND(BB190=1,ISNUMBER('INPUT - Bookings'!$E190),'INPUT - Bookings'!$E190&gt;=Settings!$C$8,'INPUT - Bookings'!$E190&lt;=Settings!$C$8+14,IFERROR(INDEX(Settings!$Q$14:$Q$24,MATCH('INPUT - Bookings'!$G190,Settings!$P$14:$P$24,0)),"Yes")="Yes"),'INPUT - Bookings'!$E190+ROW()/100000,"")</f>
        <v/>
      </c>
    </row>
    <row r="191">
      <c r="BB191" s="244">
        <f>IF('INPUT - Bookings'!$B191="",0,IF(AND(OR(Dashboard!$D$9="All",TRIM('INPUT - Bookings'!$C191)=Dashboard!$D$9),OR(Dashboard!$J$9="All",TRIM('INPUT - Bookings'!$D191)=Dashboard!$J$9)),1,0))</f>
        <v/>
      </c>
      <c r="BC191" s="244">
        <f>IF(AND(BB191=1,ISNUMBER('INPUT - Bookings'!$E191),'INPUT - Bookings'!$E191&gt;=Settings!$C$8,'INPUT - Bookings'!$E191&lt;=Settings!$C$8+14,IFERROR(INDEX(Settings!$Q$14:$Q$24,MATCH('INPUT - Bookings'!$G191,Settings!$P$14:$P$24,0)),"Yes")="Yes"),'INPUT - Bookings'!$E191+ROW()/100000,"")</f>
        <v/>
      </c>
    </row>
    <row r="192">
      <c r="BB192" s="244">
        <f>IF('INPUT - Bookings'!$B192="",0,IF(AND(OR(Dashboard!$D$9="All",TRIM('INPUT - Bookings'!$C192)=Dashboard!$D$9),OR(Dashboard!$J$9="All",TRIM('INPUT - Bookings'!$D192)=Dashboard!$J$9)),1,0))</f>
        <v/>
      </c>
      <c r="BC192" s="244">
        <f>IF(AND(BB192=1,ISNUMBER('INPUT - Bookings'!$E192),'INPUT - Bookings'!$E192&gt;=Settings!$C$8,'INPUT - Bookings'!$E192&lt;=Settings!$C$8+14,IFERROR(INDEX(Settings!$Q$14:$Q$24,MATCH('INPUT - Bookings'!$G192,Settings!$P$14:$P$24,0)),"Yes")="Yes"),'INPUT - Bookings'!$E192+ROW()/100000,"")</f>
        <v/>
      </c>
    </row>
    <row r="193">
      <c r="BB193" s="244">
        <f>IF('INPUT - Bookings'!$B193="",0,IF(AND(OR(Dashboard!$D$9="All",TRIM('INPUT - Bookings'!$C193)=Dashboard!$D$9),OR(Dashboard!$J$9="All",TRIM('INPUT - Bookings'!$D193)=Dashboard!$J$9)),1,0))</f>
        <v/>
      </c>
      <c r="BC193" s="244">
        <f>IF(AND(BB193=1,ISNUMBER('INPUT - Bookings'!$E193),'INPUT - Bookings'!$E193&gt;=Settings!$C$8,'INPUT - Bookings'!$E193&lt;=Settings!$C$8+14,IFERROR(INDEX(Settings!$Q$14:$Q$24,MATCH('INPUT - Bookings'!$G193,Settings!$P$14:$P$24,0)),"Yes")="Yes"),'INPUT - Bookings'!$E193+ROW()/100000,"")</f>
        <v/>
      </c>
    </row>
    <row r="194">
      <c r="BB194" s="244">
        <f>IF('INPUT - Bookings'!$B194="",0,IF(AND(OR(Dashboard!$D$9="All",TRIM('INPUT - Bookings'!$C194)=Dashboard!$D$9),OR(Dashboard!$J$9="All",TRIM('INPUT - Bookings'!$D194)=Dashboard!$J$9)),1,0))</f>
        <v/>
      </c>
      <c r="BC194" s="244">
        <f>IF(AND(BB194=1,ISNUMBER('INPUT - Bookings'!$E194),'INPUT - Bookings'!$E194&gt;=Settings!$C$8,'INPUT - Bookings'!$E194&lt;=Settings!$C$8+14,IFERROR(INDEX(Settings!$Q$14:$Q$24,MATCH('INPUT - Bookings'!$G194,Settings!$P$14:$P$24,0)),"Yes")="Yes"),'INPUT - Bookings'!$E194+ROW()/100000,"")</f>
        <v/>
      </c>
    </row>
    <row r="195">
      <c r="BB195" s="244">
        <f>IF('INPUT - Bookings'!$B195="",0,IF(AND(OR(Dashboard!$D$9="All",TRIM('INPUT - Bookings'!$C195)=Dashboard!$D$9),OR(Dashboard!$J$9="All",TRIM('INPUT - Bookings'!$D195)=Dashboard!$J$9)),1,0))</f>
        <v/>
      </c>
      <c r="BC195" s="244">
        <f>IF(AND(BB195=1,ISNUMBER('INPUT - Bookings'!$E195),'INPUT - Bookings'!$E195&gt;=Settings!$C$8,'INPUT - Bookings'!$E195&lt;=Settings!$C$8+14,IFERROR(INDEX(Settings!$Q$14:$Q$24,MATCH('INPUT - Bookings'!$G195,Settings!$P$14:$P$24,0)),"Yes")="Yes"),'INPUT - Bookings'!$E195+ROW()/100000,"")</f>
        <v/>
      </c>
    </row>
    <row r="196">
      <c r="BB196" s="244">
        <f>IF('INPUT - Bookings'!$B196="",0,IF(AND(OR(Dashboard!$D$9="All",TRIM('INPUT - Bookings'!$C196)=Dashboard!$D$9),OR(Dashboard!$J$9="All",TRIM('INPUT - Bookings'!$D196)=Dashboard!$J$9)),1,0))</f>
        <v/>
      </c>
      <c r="BC196" s="244">
        <f>IF(AND(BB196=1,ISNUMBER('INPUT - Bookings'!$E196),'INPUT - Bookings'!$E196&gt;=Settings!$C$8,'INPUT - Bookings'!$E196&lt;=Settings!$C$8+14,IFERROR(INDEX(Settings!$Q$14:$Q$24,MATCH('INPUT - Bookings'!$G196,Settings!$P$14:$P$24,0)),"Yes")="Yes"),'INPUT - Bookings'!$E196+ROW()/100000,"")</f>
        <v/>
      </c>
    </row>
    <row r="197">
      <c r="BB197" s="244">
        <f>IF('INPUT - Bookings'!$B197="",0,IF(AND(OR(Dashboard!$D$9="All",TRIM('INPUT - Bookings'!$C197)=Dashboard!$D$9),OR(Dashboard!$J$9="All",TRIM('INPUT - Bookings'!$D197)=Dashboard!$J$9)),1,0))</f>
        <v/>
      </c>
      <c r="BC197" s="244">
        <f>IF(AND(BB197=1,ISNUMBER('INPUT - Bookings'!$E197),'INPUT - Bookings'!$E197&gt;=Settings!$C$8,'INPUT - Bookings'!$E197&lt;=Settings!$C$8+14,IFERROR(INDEX(Settings!$Q$14:$Q$24,MATCH('INPUT - Bookings'!$G197,Settings!$P$14:$P$24,0)),"Yes")="Yes"),'INPUT - Bookings'!$E197+ROW()/100000,"")</f>
        <v/>
      </c>
    </row>
    <row r="198">
      <c r="BB198" s="244">
        <f>IF('INPUT - Bookings'!$B198="",0,IF(AND(OR(Dashboard!$D$9="All",TRIM('INPUT - Bookings'!$C198)=Dashboard!$D$9),OR(Dashboard!$J$9="All",TRIM('INPUT - Bookings'!$D198)=Dashboard!$J$9)),1,0))</f>
        <v/>
      </c>
      <c r="BC198" s="244">
        <f>IF(AND(BB198=1,ISNUMBER('INPUT - Bookings'!$E198),'INPUT - Bookings'!$E198&gt;=Settings!$C$8,'INPUT - Bookings'!$E198&lt;=Settings!$C$8+14,IFERROR(INDEX(Settings!$Q$14:$Q$24,MATCH('INPUT - Bookings'!$G198,Settings!$P$14:$P$24,0)),"Yes")="Yes"),'INPUT - Bookings'!$E198+ROW()/100000,"")</f>
        <v/>
      </c>
    </row>
    <row r="199">
      <c r="BB199" s="244">
        <f>IF('INPUT - Bookings'!$B199="",0,IF(AND(OR(Dashboard!$D$9="All",TRIM('INPUT - Bookings'!$C199)=Dashboard!$D$9),OR(Dashboard!$J$9="All",TRIM('INPUT - Bookings'!$D199)=Dashboard!$J$9)),1,0))</f>
        <v/>
      </c>
      <c r="BC199" s="244">
        <f>IF(AND(BB199=1,ISNUMBER('INPUT - Bookings'!$E199),'INPUT - Bookings'!$E199&gt;=Settings!$C$8,'INPUT - Bookings'!$E199&lt;=Settings!$C$8+14,IFERROR(INDEX(Settings!$Q$14:$Q$24,MATCH('INPUT - Bookings'!$G199,Settings!$P$14:$P$24,0)),"Yes")="Yes"),'INPUT - Bookings'!$E199+ROW()/100000,"")</f>
        <v/>
      </c>
    </row>
    <row r="200">
      <c r="BB200" s="244">
        <f>IF('INPUT - Bookings'!$B200="",0,IF(AND(OR(Dashboard!$D$9="All",TRIM('INPUT - Bookings'!$C200)=Dashboard!$D$9),OR(Dashboard!$J$9="All",TRIM('INPUT - Bookings'!$D200)=Dashboard!$J$9)),1,0))</f>
        <v/>
      </c>
      <c r="BC200" s="244">
        <f>IF(AND(BB200=1,ISNUMBER('INPUT - Bookings'!$E200),'INPUT - Bookings'!$E200&gt;=Settings!$C$8,'INPUT - Bookings'!$E200&lt;=Settings!$C$8+14,IFERROR(INDEX(Settings!$Q$14:$Q$24,MATCH('INPUT - Bookings'!$G200,Settings!$P$14:$P$24,0)),"Yes")="Yes"),'INPUT - Bookings'!$E200+ROW()/100000,"")</f>
        <v/>
      </c>
    </row>
    <row r="201">
      <c r="BB201" s="244">
        <f>IF('INPUT - Bookings'!$B201="",0,IF(AND(OR(Dashboard!$D$9="All",TRIM('INPUT - Bookings'!$C201)=Dashboard!$D$9),OR(Dashboard!$J$9="All",TRIM('INPUT - Bookings'!$D201)=Dashboard!$J$9)),1,0))</f>
        <v/>
      </c>
      <c r="BC201" s="244">
        <f>IF(AND(BB201=1,ISNUMBER('INPUT - Bookings'!$E201),'INPUT - Bookings'!$E201&gt;=Settings!$C$8,'INPUT - Bookings'!$E201&lt;=Settings!$C$8+14,IFERROR(INDEX(Settings!$Q$14:$Q$24,MATCH('INPUT - Bookings'!$G201,Settings!$P$14:$P$24,0)),"Yes")="Yes"),'INPUT - Bookings'!$E201+ROW()/100000,"")</f>
        <v/>
      </c>
    </row>
    <row r="202">
      <c r="BB202" s="244">
        <f>IF('INPUT - Bookings'!$B202="",0,IF(AND(OR(Dashboard!$D$9="All",TRIM('INPUT - Bookings'!$C202)=Dashboard!$D$9),OR(Dashboard!$J$9="All",TRIM('INPUT - Bookings'!$D202)=Dashboard!$J$9)),1,0))</f>
        <v/>
      </c>
      <c r="BC202" s="244">
        <f>IF(AND(BB202=1,ISNUMBER('INPUT - Bookings'!$E202),'INPUT - Bookings'!$E202&gt;=Settings!$C$8,'INPUT - Bookings'!$E202&lt;=Settings!$C$8+14,IFERROR(INDEX(Settings!$Q$14:$Q$24,MATCH('INPUT - Bookings'!$G202,Settings!$P$14:$P$24,0)),"Yes")="Yes"),'INPUT - Bookings'!$E202+ROW()/100000,"")</f>
        <v/>
      </c>
    </row>
    <row r="203">
      <c r="BB203" s="244">
        <f>IF('INPUT - Bookings'!$B203="",0,IF(AND(OR(Dashboard!$D$9="All",TRIM('INPUT - Bookings'!$C203)=Dashboard!$D$9),OR(Dashboard!$J$9="All",TRIM('INPUT - Bookings'!$D203)=Dashboard!$J$9)),1,0))</f>
        <v/>
      </c>
      <c r="BC203" s="244">
        <f>IF(AND(BB203=1,ISNUMBER('INPUT - Bookings'!$E203),'INPUT - Bookings'!$E203&gt;=Settings!$C$8,'INPUT - Bookings'!$E203&lt;=Settings!$C$8+14,IFERROR(INDEX(Settings!$Q$14:$Q$24,MATCH('INPUT - Bookings'!$G203,Settings!$P$14:$P$24,0)),"Yes")="Yes"),'INPUT - Bookings'!$E203+ROW()/100000,"")</f>
        <v/>
      </c>
    </row>
    <row r="204">
      <c r="BB204" s="244">
        <f>IF('INPUT - Bookings'!$B204="",0,IF(AND(OR(Dashboard!$D$9="All",TRIM('INPUT - Bookings'!$C204)=Dashboard!$D$9),OR(Dashboard!$J$9="All",TRIM('INPUT - Bookings'!$D204)=Dashboard!$J$9)),1,0))</f>
        <v/>
      </c>
      <c r="BC204" s="244">
        <f>IF(AND(BB204=1,ISNUMBER('INPUT - Bookings'!$E204),'INPUT - Bookings'!$E204&gt;=Settings!$C$8,'INPUT - Bookings'!$E204&lt;=Settings!$C$8+14,IFERROR(INDEX(Settings!$Q$14:$Q$24,MATCH('INPUT - Bookings'!$G204,Settings!$P$14:$P$24,0)),"Yes")="Yes"),'INPUT - Bookings'!$E204+ROW()/100000,"")</f>
        <v/>
      </c>
    </row>
    <row r="205">
      <c r="BB205" s="244">
        <f>IF('INPUT - Bookings'!$B205="",0,IF(AND(OR(Dashboard!$D$9="All",TRIM('INPUT - Bookings'!$C205)=Dashboard!$D$9),OR(Dashboard!$J$9="All",TRIM('INPUT - Bookings'!$D205)=Dashboard!$J$9)),1,0))</f>
        <v/>
      </c>
      <c r="BC205" s="244">
        <f>IF(AND(BB205=1,ISNUMBER('INPUT - Bookings'!$E205),'INPUT - Bookings'!$E205&gt;=Settings!$C$8,'INPUT - Bookings'!$E205&lt;=Settings!$C$8+14,IFERROR(INDEX(Settings!$Q$14:$Q$24,MATCH('INPUT - Bookings'!$G205,Settings!$P$14:$P$24,0)),"Yes")="Yes"),'INPUT - Bookings'!$E205+ROW()/100000,"")</f>
        <v/>
      </c>
    </row>
    <row r="206">
      <c r="BB206" s="244">
        <f>IF('INPUT - Bookings'!$B206="",0,IF(AND(OR(Dashboard!$D$9="All",TRIM('INPUT - Bookings'!$C206)=Dashboard!$D$9),OR(Dashboard!$J$9="All",TRIM('INPUT - Bookings'!$D206)=Dashboard!$J$9)),1,0))</f>
        <v/>
      </c>
      <c r="BC206" s="244">
        <f>IF(AND(BB206=1,ISNUMBER('INPUT - Bookings'!$E206),'INPUT - Bookings'!$E206&gt;=Settings!$C$8,'INPUT - Bookings'!$E206&lt;=Settings!$C$8+14,IFERROR(INDEX(Settings!$Q$14:$Q$24,MATCH('INPUT - Bookings'!$G206,Settings!$P$14:$P$24,0)),"Yes")="Yes"),'INPUT - Bookings'!$E206+ROW()/100000,"")</f>
        <v/>
      </c>
    </row>
    <row r="207">
      <c r="BB207" s="244">
        <f>IF('INPUT - Bookings'!$B207="",0,IF(AND(OR(Dashboard!$D$9="All",TRIM('INPUT - Bookings'!$C207)=Dashboard!$D$9),OR(Dashboard!$J$9="All",TRIM('INPUT - Bookings'!$D207)=Dashboard!$J$9)),1,0))</f>
        <v/>
      </c>
      <c r="BC207" s="244">
        <f>IF(AND(BB207=1,ISNUMBER('INPUT - Bookings'!$E207),'INPUT - Bookings'!$E207&gt;=Settings!$C$8,'INPUT - Bookings'!$E207&lt;=Settings!$C$8+14,IFERROR(INDEX(Settings!$Q$14:$Q$24,MATCH('INPUT - Bookings'!$G207,Settings!$P$14:$P$24,0)),"Yes")="Yes"),'INPUT - Bookings'!$E207+ROW()/100000,"")</f>
        <v/>
      </c>
    </row>
    <row r="208">
      <c r="BB208" s="244">
        <f>IF('INPUT - Bookings'!$B208="",0,IF(AND(OR(Dashboard!$D$9="All",TRIM('INPUT - Bookings'!$C208)=Dashboard!$D$9),OR(Dashboard!$J$9="All",TRIM('INPUT - Bookings'!$D208)=Dashboard!$J$9)),1,0))</f>
        <v/>
      </c>
      <c r="BC208" s="244">
        <f>IF(AND(BB208=1,ISNUMBER('INPUT - Bookings'!$E208),'INPUT - Bookings'!$E208&gt;=Settings!$C$8,'INPUT - Bookings'!$E208&lt;=Settings!$C$8+14,IFERROR(INDEX(Settings!$Q$14:$Q$24,MATCH('INPUT - Bookings'!$G208,Settings!$P$14:$P$24,0)),"Yes")="Yes"),'INPUT - Bookings'!$E208+ROW()/100000,"")</f>
        <v/>
      </c>
    </row>
    <row r="209">
      <c r="BB209" s="244">
        <f>IF('INPUT - Bookings'!$B209="",0,IF(AND(OR(Dashboard!$D$9="All",TRIM('INPUT - Bookings'!$C209)=Dashboard!$D$9),OR(Dashboard!$J$9="All",TRIM('INPUT - Bookings'!$D209)=Dashboard!$J$9)),1,0))</f>
        <v/>
      </c>
      <c r="BC209" s="244">
        <f>IF(AND(BB209=1,ISNUMBER('INPUT - Bookings'!$E209),'INPUT - Bookings'!$E209&gt;=Settings!$C$8,'INPUT - Bookings'!$E209&lt;=Settings!$C$8+14,IFERROR(INDEX(Settings!$Q$14:$Q$24,MATCH('INPUT - Bookings'!$G209,Settings!$P$14:$P$24,0)),"Yes")="Yes"),'INPUT - Bookings'!$E209+ROW()/100000,"")</f>
        <v/>
      </c>
    </row>
    <row r="210">
      <c r="BB210" s="244">
        <f>IF('INPUT - Bookings'!$B210="",0,IF(AND(OR(Dashboard!$D$9="All",TRIM('INPUT - Bookings'!$C210)=Dashboard!$D$9),OR(Dashboard!$J$9="All",TRIM('INPUT - Bookings'!$D210)=Dashboard!$J$9)),1,0))</f>
        <v/>
      </c>
      <c r="BC210" s="244">
        <f>IF(AND(BB210=1,ISNUMBER('INPUT - Bookings'!$E210),'INPUT - Bookings'!$E210&gt;=Settings!$C$8,'INPUT - Bookings'!$E210&lt;=Settings!$C$8+14,IFERROR(INDEX(Settings!$Q$14:$Q$24,MATCH('INPUT - Bookings'!$G210,Settings!$P$14:$P$24,0)),"Yes")="Yes"),'INPUT - Bookings'!$E210+ROW()/100000,"")</f>
        <v/>
      </c>
    </row>
    <row r="211">
      <c r="BB211" s="244">
        <f>IF('INPUT - Bookings'!$B211="",0,IF(AND(OR(Dashboard!$D$9="All",TRIM('INPUT - Bookings'!$C211)=Dashboard!$D$9),OR(Dashboard!$J$9="All",TRIM('INPUT - Bookings'!$D211)=Dashboard!$J$9)),1,0))</f>
        <v/>
      </c>
      <c r="BC211" s="244">
        <f>IF(AND(BB211=1,ISNUMBER('INPUT - Bookings'!$E211),'INPUT - Bookings'!$E211&gt;=Settings!$C$8,'INPUT - Bookings'!$E211&lt;=Settings!$C$8+14,IFERROR(INDEX(Settings!$Q$14:$Q$24,MATCH('INPUT - Bookings'!$G211,Settings!$P$14:$P$24,0)),"Yes")="Yes"),'INPUT - Bookings'!$E211+ROW()/100000,"")</f>
        <v/>
      </c>
    </row>
    <row r="212">
      <c r="BB212" s="244">
        <f>IF('INPUT - Bookings'!$B212="",0,IF(AND(OR(Dashboard!$D$9="All",TRIM('INPUT - Bookings'!$C212)=Dashboard!$D$9),OR(Dashboard!$J$9="All",TRIM('INPUT - Bookings'!$D212)=Dashboard!$J$9)),1,0))</f>
        <v/>
      </c>
      <c r="BC212" s="244">
        <f>IF(AND(BB212=1,ISNUMBER('INPUT - Bookings'!$E212),'INPUT - Bookings'!$E212&gt;=Settings!$C$8,'INPUT - Bookings'!$E212&lt;=Settings!$C$8+14,IFERROR(INDEX(Settings!$Q$14:$Q$24,MATCH('INPUT - Bookings'!$G212,Settings!$P$14:$P$24,0)),"Yes")="Yes"),'INPUT - Bookings'!$E212+ROW()/100000,"")</f>
        <v/>
      </c>
    </row>
    <row r="213">
      <c r="BB213" s="244">
        <f>IF('INPUT - Bookings'!$B213="",0,IF(AND(OR(Dashboard!$D$9="All",TRIM('INPUT - Bookings'!$C213)=Dashboard!$D$9),OR(Dashboard!$J$9="All",TRIM('INPUT - Bookings'!$D213)=Dashboard!$J$9)),1,0))</f>
        <v/>
      </c>
      <c r="BC213" s="244">
        <f>IF(AND(BB213=1,ISNUMBER('INPUT - Bookings'!$E213),'INPUT - Bookings'!$E213&gt;=Settings!$C$8,'INPUT - Bookings'!$E213&lt;=Settings!$C$8+14,IFERROR(INDEX(Settings!$Q$14:$Q$24,MATCH('INPUT - Bookings'!$G213,Settings!$P$14:$P$24,0)),"Yes")="Yes"),'INPUT - Bookings'!$E213+ROW()/100000,"")</f>
        <v/>
      </c>
    </row>
    <row r="214">
      <c r="BB214" s="244">
        <f>IF('INPUT - Bookings'!$B214="",0,IF(AND(OR(Dashboard!$D$9="All",TRIM('INPUT - Bookings'!$C214)=Dashboard!$D$9),OR(Dashboard!$J$9="All",TRIM('INPUT - Bookings'!$D214)=Dashboard!$J$9)),1,0))</f>
        <v/>
      </c>
      <c r="BC214" s="244">
        <f>IF(AND(BB214=1,ISNUMBER('INPUT - Bookings'!$E214),'INPUT - Bookings'!$E214&gt;=Settings!$C$8,'INPUT - Bookings'!$E214&lt;=Settings!$C$8+14,IFERROR(INDEX(Settings!$Q$14:$Q$24,MATCH('INPUT - Bookings'!$G214,Settings!$P$14:$P$24,0)),"Yes")="Yes"),'INPUT - Bookings'!$E214+ROW()/100000,"")</f>
        <v/>
      </c>
    </row>
    <row r="215">
      <c r="BB215" s="244">
        <f>IF('INPUT - Bookings'!$B215="",0,IF(AND(OR(Dashboard!$D$9="All",TRIM('INPUT - Bookings'!$C215)=Dashboard!$D$9),OR(Dashboard!$J$9="All",TRIM('INPUT - Bookings'!$D215)=Dashboard!$J$9)),1,0))</f>
        <v/>
      </c>
      <c r="BC215" s="244">
        <f>IF(AND(BB215=1,ISNUMBER('INPUT - Bookings'!$E215),'INPUT - Bookings'!$E215&gt;=Settings!$C$8,'INPUT - Bookings'!$E215&lt;=Settings!$C$8+14,IFERROR(INDEX(Settings!$Q$14:$Q$24,MATCH('INPUT - Bookings'!$G215,Settings!$P$14:$P$24,0)),"Yes")="Yes"),'INPUT - Bookings'!$E215+ROW()/100000,"")</f>
        <v/>
      </c>
    </row>
    <row r="216">
      <c r="BB216" s="244">
        <f>IF('INPUT - Bookings'!$B216="",0,IF(AND(OR(Dashboard!$D$9="All",TRIM('INPUT - Bookings'!$C216)=Dashboard!$D$9),OR(Dashboard!$J$9="All",TRIM('INPUT - Bookings'!$D216)=Dashboard!$J$9)),1,0))</f>
        <v/>
      </c>
      <c r="BC216" s="244">
        <f>IF(AND(BB216=1,ISNUMBER('INPUT - Bookings'!$E216),'INPUT - Bookings'!$E216&gt;=Settings!$C$8,'INPUT - Bookings'!$E216&lt;=Settings!$C$8+14,IFERROR(INDEX(Settings!$Q$14:$Q$24,MATCH('INPUT - Bookings'!$G216,Settings!$P$14:$P$24,0)),"Yes")="Yes"),'INPUT - Bookings'!$E216+ROW()/100000,"")</f>
        <v/>
      </c>
    </row>
    <row r="217">
      <c r="BB217" s="244">
        <f>IF('INPUT - Bookings'!$B217="",0,IF(AND(OR(Dashboard!$D$9="All",TRIM('INPUT - Bookings'!$C217)=Dashboard!$D$9),OR(Dashboard!$J$9="All",TRIM('INPUT - Bookings'!$D217)=Dashboard!$J$9)),1,0))</f>
        <v/>
      </c>
      <c r="BC217" s="244">
        <f>IF(AND(BB217=1,ISNUMBER('INPUT - Bookings'!$E217),'INPUT - Bookings'!$E217&gt;=Settings!$C$8,'INPUT - Bookings'!$E217&lt;=Settings!$C$8+14,IFERROR(INDEX(Settings!$Q$14:$Q$24,MATCH('INPUT - Bookings'!$G217,Settings!$P$14:$P$24,0)),"Yes")="Yes"),'INPUT - Bookings'!$E217+ROW()/100000,"")</f>
        <v/>
      </c>
    </row>
    <row r="218">
      <c r="BB218" s="244">
        <f>IF('INPUT - Bookings'!$B218="",0,IF(AND(OR(Dashboard!$D$9="All",TRIM('INPUT - Bookings'!$C218)=Dashboard!$D$9),OR(Dashboard!$J$9="All",TRIM('INPUT - Bookings'!$D218)=Dashboard!$J$9)),1,0))</f>
        <v/>
      </c>
      <c r="BC218" s="244">
        <f>IF(AND(BB218=1,ISNUMBER('INPUT - Bookings'!$E218),'INPUT - Bookings'!$E218&gt;=Settings!$C$8,'INPUT - Bookings'!$E218&lt;=Settings!$C$8+14,IFERROR(INDEX(Settings!$Q$14:$Q$24,MATCH('INPUT - Bookings'!$G218,Settings!$P$14:$P$24,0)),"Yes")="Yes"),'INPUT - Bookings'!$E218+ROW()/100000,"")</f>
        <v/>
      </c>
    </row>
    <row r="219">
      <c r="BB219" s="244">
        <f>IF('INPUT - Bookings'!$B219="",0,IF(AND(OR(Dashboard!$D$9="All",TRIM('INPUT - Bookings'!$C219)=Dashboard!$D$9),OR(Dashboard!$J$9="All",TRIM('INPUT - Bookings'!$D219)=Dashboard!$J$9)),1,0))</f>
        <v/>
      </c>
      <c r="BC219" s="244">
        <f>IF(AND(BB219=1,ISNUMBER('INPUT - Bookings'!$E219),'INPUT - Bookings'!$E219&gt;=Settings!$C$8,'INPUT - Bookings'!$E219&lt;=Settings!$C$8+14,IFERROR(INDEX(Settings!$Q$14:$Q$24,MATCH('INPUT - Bookings'!$G219,Settings!$P$14:$P$24,0)),"Yes")="Yes"),'INPUT - Bookings'!$E219+ROW()/100000,"")</f>
        <v/>
      </c>
    </row>
    <row r="220">
      <c r="BB220" s="244">
        <f>IF('INPUT - Bookings'!$B220="",0,IF(AND(OR(Dashboard!$D$9="All",TRIM('INPUT - Bookings'!$C220)=Dashboard!$D$9),OR(Dashboard!$J$9="All",TRIM('INPUT - Bookings'!$D220)=Dashboard!$J$9)),1,0))</f>
        <v/>
      </c>
      <c r="BC220" s="244">
        <f>IF(AND(BB220=1,ISNUMBER('INPUT - Bookings'!$E220),'INPUT - Bookings'!$E220&gt;=Settings!$C$8,'INPUT - Bookings'!$E220&lt;=Settings!$C$8+14,IFERROR(INDEX(Settings!$Q$14:$Q$24,MATCH('INPUT - Bookings'!$G220,Settings!$P$14:$P$24,0)),"Yes")="Yes"),'INPUT - Bookings'!$E220+ROW()/100000,"")</f>
        <v/>
      </c>
    </row>
    <row r="221">
      <c r="BB221" s="244">
        <f>IF('INPUT - Bookings'!$B221="",0,IF(AND(OR(Dashboard!$D$9="All",TRIM('INPUT - Bookings'!$C221)=Dashboard!$D$9),OR(Dashboard!$J$9="All",TRIM('INPUT - Bookings'!$D221)=Dashboard!$J$9)),1,0))</f>
        <v/>
      </c>
      <c r="BC221" s="244">
        <f>IF(AND(BB221=1,ISNUMBER('INPUT - Bookings'!$E221),'INPUT - Bookings'!$E221&gt;=Settings!$C$8,'INPUT - Bookings'!$E221&lt;=Settings!$C$8+14,IFERROR(INDEX(Settings!$Q$14:$Q$24,MATCH('INPUT - Bookings'!$G221,Settings!$P$14:$P$24,0)),"Yes")="Yes"),'INPUT - Bookings'!$E221+ROW()/100000,"")</f>
        <v/>
      </c>
    </row>
    <row r="222">
      <c r="BB222" s="244">
        <f>IF('INPUT - Bookings'!$B222="",0,IF(AND(OR(Dashboard!$D$9="All",TRIM('INPUT - Bookings'!$C222)=Dashboard!$D$9),OR(Dashboard!$J$9="All",TRIM('INPUT - Bookings'!$D222)=Dashboard!$J$9)),1,0))</f>
        <v/>
      </c>
      <c r="BC222" s="244">
        <f>IF(AND(BB222=1,ISNUMBER('INPUT - Bookings'!$E222),'INPUT - Bookings'!$E222&gt;=Settings!$C$8,'INPUT - Bookings'!$E222&lt;=Settings!$C$8+14,IFERROR(INDEX(Settings!$Q$14:$Q$24,MATCH('INPUT - Bookings'!$G222,Settings!$P$14:$P$24,0)),"Yes")="Yes"),'INPUT - Bookings'!$E222+ROW()/100000,"")</f>
        <v/>
      </c>
    </row>
    <row r="223">
      <c r="BB223" s="244">
        <f>IF('INPUT - Bookings'!$B223="",0,IF(AND(OR(Dashboard!$D$9="All",TRIM('INPUT - Bookings'!$C223)=Dashboard!$D$9),OR(Dashboard!$J$9="All",TRIM('INPUT - Bookings'!$D223)=Dashboard!$J$9)),1,0))</f>
        <v/>
      </c>
      <c r="BC223" s="244">
        <f>IF(AND(BB223=1,ISNUMBER('INPUT - Bookings'!$E223),'INPUT - Bookings'!$E223&gt;=Settings!$C$8,'INPUT - Bookings'!$E223&lt;=Settings!$C$8+14,IFERROR(INDEX(Settings!$Q$14:$Q$24,MATCH('INPUT - Bookings'!$G223,Settings!$P$14:$P$24,0)),"Yes")="Yes"),'INPUT - Bookings'!$E223+ROW()/100000,"")</f>
        <v/>
      </c>
    </row>
    <row r="224">
      <c r="BB224" s="244">
        <f>IF('INPUT - Bookings'!$B224="",0,IF(AND(OR(Dashboard!$D$9="All",TRIM('INPUT - Bookings'!$C224)=Dashboard!$D$9),OR(Dashboard!$J$9="All",TRIM('INPUT - Bookings'!$D224)=Dashboard!$J$9)),1,0))</f>
        <v/>
      </c>
      <c r="BC224" s="244">
        <f>IF(AND(BB224=1,ISNUMBER('INPUT - Bookings'!$E224),'INPUT - Bookings'!$E224&gt;=Settings!$C$8,'INPUT - Bookings'!$E224&lt;=Settings!$C$8+14,IFERROR(INDEX(Settings!$Q$14:$Q$24,MATCH('INPUT - Bookings'!$G224,Settings!$P$14:$P$24,0)),"Yes")="Yes"),'INPUT - Bookings'!$E224+ROW()/100000,"")</f>
        <v/>
      </c>
    </row>
    <row r="225">
      <c r="BB225" s="244">
        <f>IF('INPUT - Bookings'!$B225="",0,IF(AND(OR(Dashboard!$D$9="All",TRIM('INPUT - Bookings'!$C225)=Dashboard!$D$9),OR(Dashboard!$J$9="All",TRIM('INPUT - Bookings'!$D225)=Dashboard!$J$9)),1,0))</f>
        <v/>
      </c>
      <c r="BC225" s="244">
        <f>IF(AND(BB225=1,ISNUMBER('INPUT - Bookings'!$E225),'INPUT - Bookings'!$E225&gt;=Settings!$C$8,'INPUT - Bookings'!$E225&lt;=Settings!$C$8+14,IFERROR(INDEX(Settings!$Q$14:$Q$24,MATCH('INPUT - Bookings'!$G225,Settings!$P$14:$P$24,0)),"Yes")="Yes"),'INPUT - Bookings'!$E225+ROW()/100000,"")</f>
        <v/>
      </c>
    </row>
    <row r="226">
      <c r="BB226" s="244">
        <f>IF('INPUT - Bookings'!$B226="",0,IF(AND(OR(Dashboard!$D$9="All",TRIM('INPUT - Bookings'!$C226)=Dashboard!$D$9),OR(Dashboard!$J$9="All",TRIM('INPUT - Bookings'!$D226)=Dashboard!$J$9)),1,0))</f>
        <v/>
      </c>
      <c r="BC226" s="244">
        <f>IF(AND(BB226=1,ISNUMBER('INPUT - Bookings'!$E226),'INPUT - Bookings'!$E226&gt;=Settings!$C$8,'INPUT - Bookings'!$E226&lt;=Settings!$C$8+14,IFERROR(INDEX(Settings!$Q$14:$Q$24,MATCH('INPUT - Bookings'!$G226,Settings!$P$14:$P$24,0)),"Yes")="Yes"),'INPUT - Bookings'!$E226+ROW()/100000,"")</f>
        <v/>
      </c>
    </row>
    <row r="227">
      <c r="BB227" s="244">
        <f>IF('INPUT - Bookings'!$B227="",0,IF(AND(OR(Dashboard!$D$9="All",TRIM('INPUT - Bookings'!$C227)=Dashboard!$D$9),OR(Dashboard!$J$9="All",TRIM('INPUT - Bookings'!$D227)=Dashboard!$J$9)),1,0))</f>
        <v/>
      </c>
      <c r="BC227" s="244">
        <f>IF(AND(BB227=1,ISNUMBER('INPUT - Bookings'!$E227),'INPUT - Bookings'!$E227&gt;=Settings!$C$8,'INPUT - Bookings'!$E227&lt;=Settings!$C$8+14,IFERROR(INDEX(Settings!$Q$14:$Q$24,MATCH('INPUT - Bookings'!$G227,Settings!$P$14:$P$24,0)),"Yes")="Yes"),'INPUT - Bookings'!$E227+ROW()/100000,"")</f>
        <v/>
      </c>
    </row>
    <row r="228">
      <c r="BB228" s="244">
        <f>IF('INPUT - Bookings'!$B228="",0,IF(AND(OR(Dashboard!$D$9="All",TRIM('INPUT - Bookings'!$C228)=Dashboard!$D$9),OR(Dashboard!$J$9="All",TRIM('INPUT - Bookings'!$D228)=Dashboard!$J$9)),1,0))</f>
        <v/>
      </c>
      <c r="BC228" s="244">
        <f>IF(AND(BB228=1,ISNUMBER('INPUT - Bookings'!$E228),'INPUT - Bookings'!$E228&gt;=Settings!$C$8,'INPUT - Bookings'!$E228&lt;=Settings!$C$8+14,IFERROR(INDEX(Settings!$Q$14:$Q$24,MATCH('INPUT - Bookings'!$G228,Settings!$P$14:$P$24,0)),"Yes")="Yes"),'INPUT - Bookings'!$E228+ROW()/100000,"")</f>
        <v/>
      </c>
    </row>
    <row r="229">
      <c r="BB229" s="244">
        <f>IF('INPUT - Bookings'!$B229="",0,IF(AND(OR(Dashboard!$D$9="All",TRIM('INPUT - Bookings'!$C229)=Dashboard!$D$9),OR(Dashboard!$J$9="All",TRIM('INPUT - Bookings'!$D229)=Dashboard!$J$9)),1,0))</f>
        <v/>
      </c>
      <c r="BC229" s="244">
        <f>IF(AND(BB229=1,ISNUMBER('INPUT - Bookings'!$E229),'INPUT - Bookings'!$E229&gt;=Settings!$C$8,'INPUT - Bookings'!$E229&lt;=Settings!$C$8+14,IFERROR(INDEX(Settings!$Q$14:$Q$24,MATCH('INPUT - Bookings'!$G229,Settings!$P$14:$P$24,0)),"Yes")="Yes"),'INPUT - Bookings'!$E229+ROW()/100000,"")</f>
        <v/>
      </c>
    </row>
    <row r="230">
      <c r="BB230" s="244">
        <f>IF('INPUT - Bookings'!$B230="",0,IF(AND(OR(Dashboard!$D$9="All",TRIM('INPUT - Bookings'!$C230)=Dashboard!$D$9),OR(Dashboard!$J$9="All",TRIM('INPUT - Bookings'!$D230)=Dashboard!$J$9)),1,0))</f>
        <v/>
      </c>
      <c r="BC230" s="244">
        <f>IF(AND(BB230=1,ISNUMBER('INPUT - Bookings'!$E230),'INPUT - Bookings'!$E230&gt;=Settings!$C$8,'INPUT - Bookings'!$E230&lt;=Settings!$C$8+14,IFERROR(INDEX(Settings!$Q$14:$Q$24,MATCH('INPUT - Bookings'!$G230,Settings!$P$14:$P$24,0)),"Yes")="Yes"),'INPUT - Bookings'!$E230+ROW()/100000,"")</f>
        <v/>
      </c>
    </row>
    <row r="231">
      <c r="BB231" s="244">
        <f>IF('INPUT - Bookings'!$B231="",0,IF(AND(OR(Dashboard!$D$9="All",TRIM('INPUT - Bookings'!$C231)=Dashboard!$D$9),OR(Dashboard!$J$9="All",TRIM('INPUT - Bookings'!$D231)=Dashboard!$J$9)),1,0))</f>
        <v/>
      </c>
      <c r="BC231" s="244">
        <f>IF(AND(BB231=1,ISNUMBER('INPUT - Bookings'!$E231),'INPUT - Bookings'!$E231&gt;=Settings!$C$8,'INPUT - Bookings'!$E231&lt;=Settings!$C$8+14,IFERROR(INDEX(Settings!$Q$14:$Q$24,MATCH('INPUT - Bookings'!$G231,Settings!$P$14:$P$24,0)),"Yes")="Yes"),'INPUT - Bookings'!$E231+ROW()/100000,"")</f>
        <v/>
      </c>
    </row>
    <row r="232">
      <c r="BB232" s="244">
        <f>IF('INPUT - Bookings'!$B232="",0,IF(AND(OR(Dashboard!$D$9="All",TRIM('INPUT - Bookings'!$C232)=Dashboard!$D$9),OR(Dashboard!$J$9="All",TRIM('INPUT - Bookings'!$D232)=Dashboard!$J$9)),1,0))</f>
        <v/>
      </c>
      <c r="BC232" s="244">
        <f>IF(AND(BB232=1,ISNUMBER('INPUT - Bookings'!$E232),'INPUT - Bookings'!$E232&gt;=Settings!$C$8,'INPUT - Bookings'!$E232&lt;=Settings!$C$8+14,IFERROR(INDEX(Settings!$Q$14:$Q$24,MATCH('INPUT - Bookings'!$G232,Settings!$P$14:$P$24,0)),"Yes")="Yes"),'INPUT - Bookings'!$E232+ROW()/100000,"")</f>
        <v/>
      </c>
    </row>
    <row r="233">
      <c r="BB233" s="244">
        <f>IF('INPUT - Bookings'!$B233="",0,IF(AND(OR(Dashboard!$D$9="All",TRIM('INPUT - Bookings'!$C233)=Dashboard!$D$9),OR(Dashboard!$J$9="All",TRIM('INPUT - Bookings'!$D233)=Dashboard!$J$9)),1,0))</f>
        <v/>
      </c>
      <c r="BC233" s="244">
        <f>IF(AND(BB233=1,ISNUMBER('INPUT - Bookings'!$E233),'INPUT - Bookings'!$E233&gt;=Settings!$C$8,'INPUT - Bookings'!$E233&lt;=Settings!$C$8+14,IFERROR(INDEX(Settings!$Q$14:$Q$24,MATCH('INPUT - Bookings'!$G233,Settings!$P$14:$P$24,0)),"Yes")="Yes"),'INPUT - Bookings'!$E233+ROW()/100000,"")</f>
        <v/>
      </c>
    </row>
    <row r="234">
      <c r="BB234" s="244">
        <f>IF('INPUT - Bookings'!$B234="",0,IF(AND(OR(Dashboard!$D$9="All",TRIM('INPUT - Bookings'!$C234)=Dashboard!$D$9),OR(Dashboard!$J$9="All",TRIM('INPUT - Bookings'!$D234)=Dashboard!$J$9)),1,0))</f>
        <v/>
      </c>
      <c r="BC234" s="244">
        <f>IF(AND(BB234=1,ISNUMBER('INPUT - Bookings'!$E234),'INPUT - Bookings'!$E234&gt;=Settings!$C$8,'INPUT - Bookings'!$E234&lt;=Settings!$C$8+14,IFERROR(INDEX(Settings!$Q$14:$Q$24,MATCH('INPUT - Bookings'!$G234,Settings!$P$14:$P$24,0)),"Yes")="Yes"),'INPUT - Bookings'!$E234+ROW()/100000,"")</f>
        <v/>
      </c>
    </row>
    <row r="235">
      <c r="BB235" s="244">
        <f>IF('INPUT - Bookings'!$B235="",0,IF(AND(OR(Dashboard!$D$9="All",TRIM('INPUT - Bookings'!$C235)=Dashboard!$D$9),OR(Dashboard!$J$9="All",TRIM('INPUT - Bookings'!$D235)=Dashboard!$J$9)),1,0))</f>
        <v/>
      </c>
      <c r="BC235" s="244">
        <f>IF(AND(BB235=1,ISNUMBER('INPUT - Bookings'!$E235),'INPUT - Bookings'!$E235&gt;=Settings!$C$8,'INPUT - Bookings'!$E235&lt;=Settings!$C$8+14,IFERROR(INDEX(Settings!$Q$14:$Q$24,MATCH('INPUT - Bookings'!$G235,Settings!$P$14:$P$24,0)),"Yes")="Yes"),'INPUT - Bookings'!$E235+ROW()/100000,"")</f>
        <v/>
      </c>
    </row>
    <row r="236">
      <c r="BB236" s="244">
        <f>IF('INPUT - Bookings'!$B236="",0,IF(AND(OR(Dashboard!$D$9="All",TRIM('INPUT - Bookings'!$C236)=Dashboard!$D$9),OR(Dashboard!$J$9="All",TRIM('INPUT - Bookings'!$D236)=Dashboard!$J$9)),1,0))</f>
        <v/>
      </c>
      <c r="BC236" s="244">
        <f>IF(AND(BB236=1,ISNUMBER('INPUT - Bookings'!$E236),'INPUT - Bookings'!$E236&gt;=Settings!$C$8,'INPUT - Bookings'!$E236&lt;=Settings!$C$8+14,IFERROR(INDEX(Settings!$Q$14:$Q$24,MATCH('INPUT - Bookings'!$G236,Settings!$P$14:$P$24,0)),"Yes")="Yes"),'INPUT - Bookings'!$E236+ROW()/100000,"")</f>
        <v/>
      </c>
    </row>
    <row r="237">
      <c r="BB237" s="244">
        <f>IF('INPUT - Bookings'!$B237="",0,IF(AND(OR(Dashboard!$D$9="All",TRIM('INPUT - Bookings'!$C237)=Dashboard!$D$9),OR(Dashboard!$J$9="All",TRIM('INPUT - Bookings'!$D237)=Dashboard!$J$9)),1,0))</f>
        <v/>
      </c>
      <c r="BC237" s="244">
        <f>IF(AND(BB237=1,ISNUMBER('INPUT - Bookings'!$E237),'INPUT - Bookings'!$E237&gt;=Settings!$C$8,'INPUT - Bookings'!$E237&lt;=Settings!$C$8+14,IFERROR(INDEX(Settings!$Q$14:$Q$24,MATCH('INPUT - Bookings'!$G237,Settings!$P$14:$P$24,0)),"Yes")="Yes"),'INPUT - Bookings'!$E237+ROW()/100000,"")</f>
        <v/>
      </c>
    </row>
    <row r="238">
      <c r="BB238" s="244">
        <f>IF('INPUT - Bookings'!$B238="",0,IF(AND(OR(Dashboard!$D$9="All",TRIM('INPUT - Bookings'!$C238)=Dashboard!$D$9),OR(Dashboard!$J$9="All",TRIM('INPUT - Bookings'!$D238)=Dashboard!$J$9)),1,0))</f>
        <v/>
      </c>
      <c r="BC238" s="244">
        <f>IF(AND(BB238=1,ISNUMBER('INPUT - Bookings'!$E238),'INPUT - Bookings'!$E238&gt;=Settings!$C$8,'INPUT - Bookings'!$E238&lt;=Settings!$C$8+14,IFERROR(INDEX(Settings!$Q$14:$Q$24,MATCH('INPUT - Bookings'!$G238,Settings!$P$14:$P$24,0)),"Yes")="Yes"),'INPUT - Bookings'!$E238+ROW()/100000,"")</f>
        <v/>
      </c>
    </row>
    <row r="239">
      <c r="BB239" s="244">
        <f>IF('INPUT - Bookings'!$B239="",0,IF(AND(OR(Dashboard!$D$9="All",TRIM('INPUT - Bookings'!$C239)=Dashboard!$D$9),OR(Dashboard!$J$9="All",TRIM('INPUT - Bookings'!$D239)=Dashboard!$J$9)),1,0))</f>
        <v/>
      </c>
      <c r="BC239" s="244">
        <f>IF(AND(BB239=1,ISNUMBER('INPUT - Bookings'!$E239),'INPUT - Bookings'!$E239&gt;=Settings!$C$8,'INPUT - Bookings'!$E239&lt;=Settings!$C$8+14,IFERROR(INDEX(Settings!$Q$14:$Q$24,MATCH('INPUT - Bookings'!$G239,Settings!$P$14:$P$24,0)),"Yes")="Yes"),'INPUT - Bookings'!$E239+ROW()/100000,"")</f>
        <v/>
      </c>
    </row>
    <row r="240">
      <c r="BB240" s="244">
        <f>IF('INPUT - Bookings'!$B240="",0,IF(AND(OR(Dashboard!$D$9="All",TRIM('INPUT - Bookings'!$C240)=Dashboard!$D$9),OR(Dashboard!$J$9="All",TRIM('INPUT - Bookings'!$D240)=Dashboard!$J$9)),1,0))</f>
        <v/>
      </c>
      <c r="BC240" s="244">
        <f>IF(AND(BB240=1,ISNUMBER('INPUT - Bookings'!$E240),'INPUT - Bookings'!$E240&gt;=Settings!$C$8,'INPUT - Bookings'!$E240&lt;=Settings!$C$8+14,IFERROR(INDEX(Settings!$Q$14:$Q$24,MATCH('INPUT - Bookings'!$G240,Settings!$P$14:$P$24,0)),"Yes")="Yes"),'INPUT - Bookings'!$E240+ROW()/100000,"")</f>
        <v/>
      </c>
    </row>
    <row r="241">
      <c r="BB241" s="244">
        <f>IF('INPUT - Bookings'!$B241="",0,IF(AND(OR(Dashboard!$D$9="All",TRIM('INPUT - Bookings'!$C241)=Dashboard!$D$9),OR(Dashboard!$J$9="All",TRIM('INPUT - Bookings'!$D241)=Dashboard!$J$9)),1,0))</f>
        <v/>
      </c>
      <c r="BC241" s="244">
        <f>IF(AND(BB241=1,ISNUMBER('INPUT - Bookings'!$E241),'INPUT - Bookings'!$E241&gt;=Settings!$C$8,'INPUT - Bookings'!$E241&lt;=Settings!$C$8+14,IFERROR(INDEX(Settings!$Q$14:$Q$24,MATCH('INPUT - Bookings'!$G241,Settings!$P$14:$P$24,0)),"Yes")="Yes"),'INPUT - Bookings'!$E241+ROW()/100000,"")</f>
        <v/>
      </c>
    </row>
    <row r="242">
      <c r="BB242" s="244">
        <f>IF('INPUT - Bookings'!$B242="",0,IF(AND(OR(Dashboard!$D$9="All",TRIM('INPUT - Bookings'!$C242)=Dashboard!$D$9),OR(Dashboard!$J$9="All",TRIM('INPUT - Bookings'!$D242)=Dashboard!$J$9)),1,0))</f>
        <v/>
      </c>
      <c r="BC242" s="244">
        <f>IF(AND(BB242=1,ISNUMBER('INPUT - Bookings'!$E242),'INPUT - Bookings'!$E242&gt;=Settings!$C$8,'INPUT - Bookings'!$E242&lt;=Settings!$C$8+14,IFERROR(INDEX(Settings!$Q$14:$Q$24,MATCH('INPUT - Bookings'!$G242,Settings!$P$14:$P$24,0)),"Yes")="Yes"),'INPUT - Bookings'!$E242+ROW()/100000,"")</f>
        <v/>
      </c>
    </row>
    <row r="243">
      <c r="BB243" s="244">
        <f>IF('INPUT - Bookings'!$B243="",0,IF(AND(OR(Dashboard!$D$9="All",TRIM('INPUT - Bookings'!$C243)=Dashboard!$D$9),OR(Dashboard!$J$9="All",TRIM('INPUT - Bookings'!$D243)=Dashboard!$J$9)),1,0))</f>
        <v/>
      </c>
      <c r="BC243" s="244">
        <f>IF(AND(BB243=1,ISNUMBER('INPUT - Bookings'!$E243),'INPUT - Bookings'!$E243&gt;=Settings!$C$8,'INPUT - Bookings'!$E243&lt;=Settings!$C$8+14,IFERROR(INDEX(Settings!$Q$14:$Q$24,MATCH('INPUT - Bookings'!$G243,Settings!$P$14:$P$24,0)),"Yes")="Yes"),'INPUT - Bookings'!$E243+ROW()/100000,"")</f>
        <v/>
      </c>
    </row>
    <row r="244">
      <c r="BB244" s="244">
        <f>IF('INPUT - Bookings'!$B244="",0,IF(AND(OR(Dashboard!$D$9="All",TRIM('INPUT - Bookings'!$C244)=Dashboard!$D$9),OR(Dashboard!$J$9="All",TRIM('INPUT - Bookings'!$D244)=Dashboard!$J$9)),1,0))</f>
        <v/>
      </c>
      <c r="BC244" s="244">
        <f>IF(AND(BB244=1,ISNUMBER('INPUT - Bookings'!$E244),'INPUT - Bookings'!$E244&gt;=Settings!$C$8,'INPUT - Bookings'!$E244&lt;=Settings!$C$8+14,IFERROR(INDEX(Settings!$Q$14:$Q$24,MATCH('INPUT - Bookings'!$G244,Settings!$P$14:$P$24,0)),"Yes")="Yes"),'INPUT - Bookings'!$E244+ROW()/100000,"")</f>
        <v/>
      </c>
    </row>
    <row r="245">
      <c r="BB245" s="244">
        <f>IF('INPUT - Bookings'!$B245="",0,IF(AND(OR(Dashboard!$D$9="All",TRIM('INPUT - Bookings'!$C245)=Dashboard!$D$9),OR(Dashboard!$J$9="All",TRIM('INPUT - Bookings'!$D245)=Dashboard!$J$9)),1,0))</f>
        <v/>
      </c>
      <c r="BC245" s="244">
        <f>IF(AND(BB245=1,ISNUMBER('INPUT - Bookings'!$E245),'INPUT - Bookings'!$E245&gt;=Settings!$C$8,'INPUT - Bookings'!$E245&lt;=Settings!$C$8+14,IFERROR(INDEX(Settings!$Q$14:$Q$24,MATCH('INPUT - Bookings'!$G245,Settings!$P$14:$P$24,0)),"Yes")="Yes"),'INPUT - Bookings'!$E245+ROW()/100000,"")</f>
        <v/>
      </c>
    </row>
    <row r="246">
      <c r="BB246" s="244">
        <f>IF('INPUT - Bookings'!$B246="",0,IF(AND(OR(Dashboard!$D$9="All",TRIM('INPUT - Bookings'!$C246)=Dashboard!$D$9),OR(Dashboard!$J$9="All",TRIM('INPUT - Bookings'!$D246)=Dashboard!$J$9)),1,0))</f>
        <v/>
      </c>
      <c r="BC246" s="244">
        <f>IF(AND(BB246=1,ISNUMBER('INPUT - Bookings'!$E246),'INPUT - Bookings'!$E246&gt;=Settings!$C$8,'INPUT - Bookings'!$E246&lt;=Settings!$C$8+14,IFERROR(INDEX(Settings!$Q$14:$Q$24,MATCH('INPUT - Bookings'!$G246,Settings!$P$14:$P$24,0)),"Yes")="Yes"),'INPUT - Bookings'!$E246+ROW()/100000,"")</f>
        <v/>
      </c>
    </row>
    <row r="247">
      <c r="BB247" s="244">
        <f>IF('INPUT - Bookings'!$B247="",0,IF(AND(OR(Dashboard!$D$9="All",TRIM('INPUT - Bookings'!$C247)=Dashboard!$D$9),OR(Dashboard!$J$9="All",TRIM('INPUT - Bookings'!$D247)=Dashboard!$J$9)),1,0))</f>
        <v/>
      </c>
      <c r="BC247" s="244">
        <f>IF(AND(BB247=1,ISNUMBER('INPUT - Bookings'!$E247),'INPUT - Bookings'!$E247&gt;=Settings!$C$8,'INPUT - Bookings'!$E247&lt;=Settings!$C$8+14,IFERROR(INDEX(Settings!$Q$14:$Q$24,MATCH('INPUT - Bookings'!$G247,Settings!$P$14:$P$24,0)),"Yes")="Yes"),'INPUT - Bookings'!$E247+ROW()/100000,"")</f>
        <v/>
      </c>
    </row>
    <row r="248">
      <c r="BB248" s="244">
        <f>IF('INPUT - Bookings'!$B248="",0,IF(AND(OR(Dashboard!$D$9="All",TRIM('INPUT - Bookings'!$C248)=Dashboard!$D$9),OR(Dashboard!$J$9="All",TRIM('INPUT - Bookings'!$D248)=Dashboard!$J$9)),1,0))</f>
        <v/>
      </c>
      <c r="BC248" s="244">
        <f>IF(AND(BB248=1,ISNUMBER('INPUT - Bookings'!$E248),'INPUT - Bookings'!$E248&gt;=Settings!$C$8,'INPUT - Bookings'!$E248&lt;=Settings!$C$8+14,IFERROR(INDEX(Settings!$Q$14:$Q$24,MATCH('INPUT - Bookings'!$G248,Settings!$P$14:$P$24,0)),"Yes")="Yes"),'INPUT - Bookings'!$E248+ROW()/100000,"")</f>
        <v/>
      </c>
    </row>
    <row r="249">
      <c r="BB249" s="244">
        <f>IF('INPUT - Bookings'!$B249="",0,IF(AND(OR(Dashboard!$D$9="All",TRIM('INPUT - Bookings'!$C249)=Dashboard!$D$9),OR(Dashboard!$J$9="All",TRIM('INPUT - Bookings'!$D249)=Dashboard!$J$9)),1,0))</f>
        <v/>
      </c>
      <c r="BC249" s="244">
        <f>IF(AND(BB249=1,ISNUMBER('INPUT - Bookings'!$E249),'INPUT - Bookings'!$E249&gt;=Settings!$C$8,'INPUT - Bookings'!$E249&lt;=Settings!$C$8+14,IFERROR(INDEX(Settings!$Q$14:$Q$24,MATCH('INPUT - Bookings'!$G249,Settings!$P$14:$P$24,0)),"Yes")="Yes"),'INPUT - Bookings'!$E249+ROW()/100000,"")</f>
        <v/>
      </c>
    </row>
    <row r="250">
      <c r="BB250" s="244">
        <f>IF('INPUT - Bookings'!$B250="",0,IF(AND(OR(Dashboard!$D$9="All",TRIM('INPUT - Bookings'!$C250)=Dashboard!$D$9),OR(Dashboard!$J$9="All",TRIM('INPUT - Bookings'!$D250)=Dashboard!$J$9)),1,0))</f>
        <v/>
      </c>
      <c r="BC250" s="244">
        <f>IF(AND(BB250=1,ISNUMBER('INPUT - Bookings'!$E250),'INPUT - Bookings'!$E250&gt;=Settings!$C$8,'INPUT - Bookings'!$E250&lt;=Settings!$C$8+14,IFERROR(INDEX(Settings!$Q$14:$Q$24,MATCH('INPUT - Bookings'!$G250,Settings!$P$14:$P$24,0)),"Yes")="Yes"),'INPUT - Bookings'!$E250+ROW()/100000,"")</f>
        <v/>
      </c>
    </row>
    <row r="251">
      <c r="BB251" s="244">
        <f>IF('INPUT - Bookings'!$B251="",0,IF(AND(OR(Dashboard!$D$9="All",TRIM('INPUT - Bookings'!$C251)=Dashboard!$D$9),OR(Dashboard!$J$9="All",TRIM('INPUT - Bookings'!$D251)=Dashboard!$J$9)),1,0))</f>
        <v/>
      </c>
      <c r="BC251" s="244">
        <f>IF(AND(BB251=1,ISNUMBER('INPUT - Bookings'!$E251),'INPUT - Bookings'!$E251&gt;=Settings!$C$8,'INPUT - Bookings'!$E251&lt;=Settings!$C$8+14,IFERROR(INDEX(Settings!$Q$14:$Q$24,MATCH('INPUT - Bookings'!$G251,Settings!$P$14:$P$24,0)),"Yes")="Yes"),'INPUT - Bookings'!$E251+ROW()/100000,"")</f>
        <v/>
      </c>
    </row>
    <row r="252">
      <c r="BB252" s="244">
        <f>IF('INPUT - Bookings'!$B252="",0,IF(AND(OR(Dashboard!$D$9="All",TRIM('INPUT - Bookings'!$C252)=Dashboard!$D$9),OR(Dashboard!$J$9="All",TRIM('INPUT - Bookings'!$D252)=Dashboard!$J$9)),1,0))</f>
        <v/>
      </c>
      <c r="BC252" s="244">
        <f>IF(AND(BB252=1,ISNUMBER('INPUT - Bookings'!$E252),'INPUT - Bookings'!$E252&gt;=Settings!$C$8,'INPUT - Bookings'!$E252&lt;=Settings!$C$8+14,IFERROR(INDEX(Settings!$Q$14:$Q$24,MATCH('INPUT - Bookings'!$G252,Settings!$P$14:$P$24,0)),"Yes")="Yes"),'INPUT - Bookings'!$E252+ROW()/100000,"")</f>
        <v/>
      </c>
    </row>
    <row r="253">
      <c r="BB253" s="244">
        <f>IF('INPUT - Bookings'!$B253="",0,IF(AND(OR(Dashboard!$D$9="All",TRIM('INPUT - Bookings'!$C253)=Dashboard!$D$9),OR(Dashboard!$J$9="All",TRIM('INPUT - Bookings'!$D253)=Dashboard!$J$9)),1,0))</f>
        <v/>
      </c>
      <c r="BC253" s="244">
        <f>IF(AND(BB253=1,ISNUMBER('INPUT - Bookings'!$E253),'INPUT - Bookings'!$E253&gt;=Settings!$C$8,'INPUT - Bookings'!$E253&lt;=Settings!$C$8+14,IFERROR(INDEX(Settings!$Q$14:$Q$24,MATCH('INPUT - Bookings'!$G253,Settings!$P$14:$P$24,0)),"Yes")="Yes"),'INPUT - Bookings'!$E253+ROW()/100000,"")</f>
        <v/>
      </c>
    </row>
    <row r="254">
      <c r="BB254" s="244">
        <f>IF('INPUT - Bookings'!$B254="",0,IF(AND(OR(Dashboard!$D$9="All",TRIM('INPUT - Bookings'!$C254)=Dashboard!$D$9),OR(Dashboard!$J$9="All",TRIM('INPUT - Bookings'!$D254)=Dashboard!$J$9)),1,0))</f>
        <v/>
      </c>
      <c r="BC254" s="244">
        <f>IF(AND(BB254=1,ISNUMBER('INPUT - Bookings'!$E254),'INPUT - Bookings'!$E254&gt;=Settings!$C$8,'INPUT - Bookings'!$E254&lt;=Settings!$C$8+14,IFERROR(INDEX(Settings!$Q$14:$Q$24,MATCH('INPUT - Bookings'!$G254,Settings!$P$14:$P$24,0)),"Yes")="Yes"),'INPUT - Bookings'!$E254+ROW()/100000,"")</f>
        <v/>
      </c>
    </row>
    <row r="255">
      <c r="BB255" s="244">
        <f>IF('INPUT - Bookings'!$B255="",0,IF(AND(OR(Dashboard!$D$9="All",TRIM('INPUT - Bookings'!$C255)=Dashboard!$D$9),OR(Dashboard!$J$9="All",TRIM('INPUT - Bookings'!$D255)=Dashboard!$J$9)),1,0))</f>
        <v/>
      </c>
      <c r="BC255" s="244">
        <f>IF(AND(BB255=1,ISNUMBER('INPUT - Bookings'!$E255),'INPUT - Bookings'!$E255&gt;=Settings!$C$8,'INPUT - Bookings'!$E255&lt;=Settings!$C$8+14,IFERROR(INDEX(Settings!$Q$14:$Q$24,MATCH('INPUT - Bookings'!$G255,Settings!$P$14:$P$24,0)),"Yes")="Yes"),'INPUT - Bookings'!$E255+ROW()/100000,"")</f>
        <v/>
      </c>
    </row>
    <row r="256">
      <c r="BB256" s="244">
        <f>IF('INPUT - Bookings'!$B256="",0,IF(AND(OR(Dashboard!$D$9="All",TRIM('INPUT - Bookings'!$C256)=Dashboard!$D$9),OR(Dashboard!$J$9="All",TRIM('INPUT - Bookings'!$D256)=Dashboard!$J$9)),1,0))</f>
        <v/>
      </c>
      <c r="BC256" s="244">
        <f>IF(AND(BB256=1,ISNUMBER('INPUT - Bookings'!$E256),'INPUT - Bookings'!$E256&gt;=Settings!$C$8,'INPUT - Bookings'!$E256&lt;=Settings!$C$8+14,IFERROR(INDEX(Settings!$Q$14:$Q$24,MATCH('INPUT - Bookings'!$G256,Settings!$P$14:$P$24,0)),"Yes")="Yes"),'INPUT - Bookings'!$E256+ROW()/100000,"")</f>
        <v/>
      </c>
    </row>
    <row r="257">
      <c r="BB257" s="244">
        <f>IF('INPUT - Bookings'!$B257="",0,IF(AND(OR(Dashboard!$D$9="All",TRIM('INPUT - Bookings'!$C257)=Dashboard!$D$9),OR(Dashboard!$J$9="All",TRIM('INPUT - Bookings'!$D257)=Dashboard!$J$9)),1,0))</f>
        <v/>
      </c>
      <c r="BC257" s="244">
        <f>IF(AND(BB257=1,ISNUMBER('INPUT - Bookings'!$E257),'INPUT - Bookings'!$E257&gt;=Settings!$C$8,'INPUT - Bookings'!$E257&lt;=Settings!$C$8+14,IFERROR(INDEX(Settings!$Q$14:$Q$24,MATCH('INPUT - Bookings'!$G257,Settings!$P$14:$P$24,0)),"Yes")="Yes"),'INPUT - Bookings'!$E257+ROW()/100000,"")</f>
        <v/>
      </c>
    </row>
    <row r="258">
      <c r="BB258" s="244">
        <f>IF('INPUT - Bookings'!$B258="",0,IF(AND(OR(Dashboard!$D$9="All",TRIM('INPUT - Bookings'!$C258)=Dashboard!$D$9),OR(Dashboard!$J$9="All",TRIM('INPUT - Bookings'!$D258)=Dashboard!$J$9)),1,0))</f>
        <v/>
      </c>
      <c r="BC258" s="244">
        <f>IF(AND(BB258=1,ISNUMBER('INPUT - Bookings'!$E258),'INPUT - Bookings'!$E258&gt;=Settings!$C$8,'INPUT - Bookings'!$E258&lt;=Settings!$C$8+14,IFERROR(INDEX(Settings!$Q$14:$Q$24,MATCH('INPUT - Bookings'!$G258,Settings!$P$14:$P$24,0)),"Yes")="Yes"),'INPUT - Bookings'!$E258+ROW()/100000,"")</f>
        <v/>
      </c>
    </row>
    <row r="259">
      <c r="BB259" s="244">
        <f>IF('INPUT - Bookings'!$B259="",0,IF(AND(OR(Dashboard!$D$9="All",TRIM('INPUT - Bookings'!$C259)=Dashboard!$D$9),OR(Dashboard!$J$9="All",TRIM('INPUT - Bookings'!$D259)=Dashboard!$J$9)),1,0))</f>
        <v/>
      </c>
      <c r="BC259" s="244">
        <f>IF(AND(BB259=1,ISNUMBER('INPUT - Bookings'!$E259),'INPUT - Bookings'!$E259&gt;=Settings!$C$8,'INPUT - Bookings'!$E259&lt;=Settings!$C$8+14,IFERROR(INDEX(Settings!$Q$14:$Q$24,MATCH('INPUT - Bookings'!$G259,Settings!$P$14:$P$24,0)),"Yes")="Yes"),'INPUT - Bookings'!$E259+ROW()/100000,"")</f>
        <v/>
      </c>
    </row>
    <row r="260">
      <c r="BB260" s="244">
        <f>IF('INPUT - Bookings'!$B260="",0,IF(AND(OR(Dashboard!$D$9="All",TRIM('INPUT - Bookings'!$C260)=Dashboard!$D$9),OR(Dashboard!$J$9="All",TRIM('INPUT - Bookings'!$D260)=Dashboard!$J$9)),1,0))</f>
        <v/>
      </c>
      <c r="BC260" s="244">
        <f>IF(AND(BB260=1,ISNUMBER('INPUT - Bookings'!$E260),'INPUT - Bookings'!$E260&gt;=Settings!$C$8,'INPUT - Bookings'!$E260&lt;=Settings!$C$8+14,IFERROR(INDEX(Settings!$Q$14:$Q$24,MATCH('INPUT - Bookings'!$G260,Settings!$P$14:$P$24,0)),"Yes")="Yes"),'INPUT - Bookings'!$E260+ROW()/100000,"")</f>
        <v/>
      </c>
    </row>
    <row r="261">
      <c r="BB261" s="244">
        <f>IF('INPUT - Bookings'!$B261="",0,IF(AND(OR(Dashboard!$D$9="All",TRIM('INPUT - Bookings'!$C261)=Dashboard!$D$9),OR(Dashboard!$J$9="All",TRIM('INPUT - Bookings'!$D261)=Dashboard!$J$9)),1,0))</f>
        <v/>
      </c>
      <c r="BC261" s="244">
        <f>IF(AND(BB261=1,ISNUMBER('INPUT - Bookings'!$E261),'INPUT - Bookings'!$E261&gt;=Settings!$C$8,'INPUT - Bookings'!$E261&lt;=Settings!$C$8+14,IFERROR(INDEX(Settings!$Q$14:$Q$24,MATCH('INPUT - Bookings'!$G261,Settings!$P$14:$P$24,0)),"Yes")="Yes"),'INPUT - Bookings'!$E261+ROW()/100000,"")</f>
        <v/>
      </c>
    </row>
    <row r="262">
      <c r="BB262" s="244">
        <f>IF('INPUT - Bookings'!$B262="",0,IF(AND(OR(Dashboard!$D$9="All",TRIM('INPUT - Bookings'!$C262)=Dashboard!$D$9),OR(Dashboard!$J$9="All",TRIM('INPUT - Bookings'!$D262)=Dashboard!$J$9)),1,0))</f>
        <v/>
      </c>
      <c r="BC262" s="244">
        <f>IF(AND(BB262=1,ISNUMBER('INPUT - Bookings'!$E262),'INPUT - Bookings'!$E262&gt;=Settings!$C$8,'INPUT - Bookings'!$E262&lt;=Settings!$C$8+14,IFERROR(INDEX(Settings!$Q$14:$Q$24,MATCH('INPUT - Bookings'!$G262,Settings!$P$14:$P$24,0)),"Yes")="Yes"),'INPUT - Bookings'!$E262+ROW()/100000,"")</f>
        <v/>
      </c>
    </row>
    <row r="263">
      <c r="BB263" s="244">
        <f>IF('INPUT - Bookings'!$B263="",0,IF(AND(OR(Dashboard!$D$9="All",TRIM('INPUT - Bookings'!$C263)=Dashboard!$D$9),OR(Dashboard!$J$9="All",TRIM('INPUT - Bookings'!$D263)=Dashboard!$J$9)),1,0))</f>
        <v/>
      </c>
      <c r="BC263" s="244">
        <f>IF(AND(BB263=1,ISNUMBER('INPUT - Bookings'!$E263),'INPUT - Bookings'!$E263&gt;=Settings!$C$8,'INPUT - Bookings'!$E263&lt;=Settings!$C$8+14,IFERROR(INDEX(Settings!$Q$14:$Q$24,MATCH('INPUT - Bookings'!$G263,Settings!$P$14:$P$24,0)),"Yes")="Yes"),'INPUT - Bookings'!$E263+ROW()/100000,"")</f>
        <v/>
      </c>
    </row>
    <row r="264">
      <c r="BB264" s="244">
        <f>IF('INPUT - Bookings'!$B264="",0,IF(AND(OR(Dashboard!$D$9="All",TRIM('INPUT - Bookings'!$C264)=Dashboard!$D$9),OR(Dashboard!$J$9="All",TRIM('INPUT - Bookings'!$D264)=Dashboard!$J$9)),1,0))</f>
        <v/>
      </c>
      <c r="BC264" s="244">
        <f>IF(AND(BB264=1,ISNUMBER('INPUT - Bookings'!$E264),'INPUT - Bookings'!$E264&gt;=Settings!$C$8,'INPUT - Bookings'!$E264&lt;=Settings!$C$8+14,IFERROR(INDEX(Settings!$Q$14:$Q$24,MATCH('INPUT - Bookings'!$G264,Settings!$P$14:$P$24,0)),"Yes")="Yes"),'INPUT - Bookings'!$E264+ROW()/100000,"")</f>
        <v/>
      </c>
    </row>
    <row r="265">
      <c r="BB265" s="244">
        <f>IF('INPUT - Bookings'!$B265="",0,IF(AND(OR(Dashboard!$D$9="All",TRIM('INPUT - Bookings'!$C265)=Dashboard!$D$9),OR(Dashboard!$J$9="All",TRIM('INPUT - Bookings'!$D265)=Dashboard!$J$9)),1,0))</f>
        <v/>
      </c>
      <c r="BC265" s="244">
        <f>IF(AND(BB265=1,ISNUMBER('INPUT - Bookings'!$E265),'INPUT - Bookings'!$E265&gt;=Settings!$C$8,'INPUT - Bookings'!$E265&lt;=Settings!$C$8+14,IFERROR(INDEX(Settings!$Q$14:$Q$24,MATCH('INPUT - Bookings'!$G265,Settings!$P$14:$P$24,0)),"Yes")="Yes"),'INPUT - Bookings'!$E265+ROW()/100000,"")</f>
        <v/>
      </c>
    </row>
    <row r="266">
      <c r="BB266" s="244">
        <f>IF('INPUT - Bookings'!$B266="",0,IF(AND(OR(Dashboard!$D$9="All",TRIM('INPUT - Bookings'!$C266)=Dashboard!$D$9),OR(Dashboard!$J$9="All",TRIM('INPUT - Bookings'!$D266)=Dashboard!$J$9)),1,0))</f>
        <v/>
      </c>
      <c r="BC266" s="244">
        <f>IF(AND(BB266=1,ISNUMBER('INPUT - Bookings'!$E266),'INPUT - Bookings'!$E266&gt;=Settings!$C$8,'INPUT - Bookings'!$E266&lt;=Settings!$C$8+14,IFERROR(INDEX(Settings!$Q$14:$Q$24,MATCH('INPUT - Bookings'!$G266,Settings!$P$14:$P$24,0)),"Yes")="Yes"),'INPUT - Bookings'!$E266+ROW()/100000,"")</f>
        <v/>
      </c>
    </row>
    <row r="267">
      <c r="BB267" s="244">
        <f>IF('INPUT - Bookings'!$B267="",0,IF(AND(OR(Dashboard!$D$9="All",TRIM('INPUT - Bookings'!$C267)=Dashboard!$D$9),OR(Dashboard!$J$9="All",TRIM('INPUT - Bookings'!$D267)=Dashboard!$J$9)),1,0))</f>
        <v/>
      </c>
      <c r="BC267" s="244">
        <f>IF(AND(BB267=1,ISNUMBER('INPUT - Bookings'!$E267),'INPUT - Bookings'!$E267&gt;=Settings!$C$8,'INPUT - Bookings'!$E267&lt;=Settings!$C$8+14,IFERROR(INDEX(Settings!$Q$14:$Q$24,MATCH('INPUT - Bookings'!$G267,Settings!$P$14:$P$24,0)),"Yes")="Yes"),'INPUT - Bookings'!$E267+ROW()/100000,"")</f>
        <v/>
      </c>
    </row>
    <row r="268">
      <c r="BB268" s="244">
        <f>IF('INPUT - Bookings'!$B268="",0,IF(AND(OR(Dashboard!$D$9="All",TRIM('INPUT - Bookings'!$C268)=Dashboard!$D$9),OR(Dashboard!$J$9="All",TRIM('INPUT - Bookings'!$D268)=Dashboard!$J$9)),1,0))</f>
        <v/>
      </c>
      <c r="BC268" s="244">
        <f>IF(AND(BB268=1,ISNUMBER('INPUT - Bookings'!$E268),'INPUT - Bookings'!$E268&gt;=Settings!$C$8,'INPUT - Bookings'!$E268&lt;=Settings!$C$8+14,IFERROR(INDEX(Settings!$Q$14:$Q$24,MATCH('INPUT - Bookings'!$G268,Settings!$P$14:$P$24,0)),"Yes")="Yes"),'INPUT - Bookings'!$E268+ROW()/100000,"")</f>
        <v/>
      </c>
    </row>
    <row r="269">
      <c r="BB269" s="244">
        <f>IF('INPUT - Bookings'!$B269="",0,IF(AND(OR(Dashboard!$D$9="All",TRIM('INPUT - Bookings'!$C269)=Dashboard!$D$9),OR(Dashboard!$J$9="All",TRIM('INPUT - Bookings'!$D269)=Dashboard!$J$9)),1,0))</f>
        <v/>
      </c>
      <c r="BC269" s="244">
        <f>IF(AND(BB269=1,ISNUMBER('INPUT - Bookings'!$E269),'INPUT - Bookings'!$E269&gt;=Settings!$C$8,'INPUT - Bookings'!$E269&lt;=Settings!$C$8+14,IFERROR(INDEX(Settings!$Q$14:$Q$24,MATCH('INPUT - Bookings'!$G269,Settings!$P$14:$P$24,0)),"Yes")="Yes"),'INPUT - Bookings'!$E269+ROW()/100000,"")</f>
        <v/>
      </c>
    </row>
    <row r="270">
      <c r="BB270" s="244">
        <f>IF('INPUT - Bookings'!$B270="",0,IF(AND(OR(Dashboard!$D$9="All",TRIM('INPUT - Bookings'!$C270)=Dashboard!$D$9),OR(Dashboard!$J$9="All",TRIM('INPUT - Bookings'!$D270)=Dashboard!$J$9)),1,0))</f>
        <v/>
      </c>
      <c r="BC270" s="244">
        <f>IF(AND(BB270=1,ISNUMBER('INPUT - Bookings'!$E270),'INPUT - Bookings'!$E270&gt;=Settings!$C$8,'INPUT - Bookings'!$E270&lt;=Settings!$C$8+14,IFERROR(INDEX(Settings!$Q$14:$Q$24,MATCH('INPUT - Bookings'!$G270,Settings!$P$14:$P$24,0)),"Yes")="Yes"),'INPUT - Bookings'!$E270+ROW()/100000,"")</f>
        <v/>
      </c>
    </row>
    <row r="271">
      <c r="BB271" s="244">
        <f>IF('INPUT - Bookings'!$B271="",0,IF(AND(OR(Dashboard!$D$9="All",TRIM('INPUT - Bookings'!$C271)=Dashboard!$D$9),OR(Dashboard!$J$9="All",TRIM('INPUT - Bookings'!$D271)=Dashboard!$J$9)),1,0))</f>
        <v/>
      </c>
      <c r="BC271" s="244">
        <f>IF(AND(BB271=1,ISNUMBER('INPUT - Bookings'!$E271),'INPUT - Bookings'!$E271&gt;=Settings!$C$8,'INPUT - Bookings'!$E271&lt;=Settings!$C$8+14,IFERROR(INDEX(Settings!$Q$14:$Q$24,MATCH('INPUT - Bookings'!$G271,Settings!$P$14:$P$24,0)),"Yes")="Yes"),'INPUT - Bookings'!$E271+ROW()/100000,"")</f>
        <v/>
      </c>
    </row>
    <row r="272">
      <c r="BB272" s="244">
        <f>IF('INPUT - Bookings'!$B272="",0,IF(AND(OR(Dashboard!$D$9="All",TRIM('INPUT - Bookings'!$C272)=Dashboard!$D$9),OR(Dashboard!$J$9="All",TRIM('INPUT - Bookings'!$D272)=Dashboard!$J$9)),1,0))</f>
        <v/>
      </c>
      <c r="BC272" s="244">
        <f>IF(AND(BB272=1,ISNUMBER('INPUT - Bookings'!$E272),'INPUT - Bookings'!$E272&gt;=Settings!$C$8,'INPUT - Bookings'!$E272&lt;=Settings!$C$8+14,IFERROR(INDEX(Settings!$Q$14:$Q$24,MATCH('INPUT - Bookings'!$G272,Settings!$P$14:$P$24,0)),"Yes")="Yes"),'INPUT - Bookings'!$E272+ROW()/100000,"")</f>
        <v/>
      </c>
    </row>
    <row r="273">
      <c r="BB273" s="244">
        <f>IF('INPUT - Bookings'!$B273="",0,IF(AND(OR(Dashboard!$D$9="All",TRIM('INPUT - Bookings'!$C273)=Dashboard!$D$9),OR(Dashboard!$J$9="All",TRIM('INPUT - Bookings'!$D273)=Dashboard!$J$9)),1,0))</f>
        <v/>
      </c>
      <c r="BC273" s="244">
        <f>IF(AND(BB273=1,ISNUMBER('INPUT - Bookings'!$E273),'INPUT - Bookings'!$E273&gt;=Settings!$C$8,'INPUT - Bookings'!$E273&lt;=Settings!$C$8+14,IFERROR(INDEX(Settings!$Q$14:$Q$24,MATCH('INPUT - Bookings'!$G273,Settings!$P$14:$P$24,0)),"Yes")="Yes"),'INPUT - Bookings'!$E273+ROW()/100000,"")</f>
        <v/>
      </c>
    </row>
    <row r="274">
      <c r="BB274" s="244">
        <f>IF('INPUT - Bookings'!$B274="",0,IF(AND(OR(Dashboard!$D$9="All",TRIM('INPUT - Bookings'!$C274)=Dashboard!$D$9),OR(Dashboard!$J$9="All",TRIM('INPUT - Bookings'!$D274)=Dashboard!$J$9)),1,0))</f>
        <v/>
      </c>
      <c r="BC274" s="244">
        <f>IF(AND(BB274=1,ISNUMBER('INPUT - Bookings'!$E274),'INPUT - Bookings'!$E274&gt;=Settings!$C$8,'INPUT - Bookings'!$E274&lt;=Settings!$C$8+14,IFERROR(INDEX(Settings!$Q$14:$Q$24,MATCH('INPUT - Bookings'!$G274,Settings!$P$14:$P$24,0)),"Yes")="Yes"),'INPUT - Bookings'!$E274+ROW()/100000,"")</f>
        <v/>
      </c>
    </row>
    <row r="275">
      <c r="BB275" s="244">
        <f>IF('INPUT - Bookings'!$B275="",0,IF(AND(OR(Dashboard!$D$9="All",TRIM('INPUT - Bookings'!$C275)=Dashboard!$D$9),OR(Dashboard!$J$9="All",TRIM('INPUT - Bookings'!$D275)=Dashboard!$J$9)),1,0))</f>
        <v/>
      </c>
      <c r="BC275" s="244">
        <f>IF(AND(BB275=1,ISNUMBER('INPUT - Bookings'!$E275),'INPUT - Bookings'!$E275&gt;=Settings!$C$8,'INPUT - Bookings'!$E275&lt;=Settings!$C$8+14,IFERROR(INDEX(Settings!$Q$14:$Q$24,MATCH('INPUT - Bookings'!$G275,Settings!$P$14:$P$24,0)),"Yes")="Yes"),'INPUT - Bookings'!$E275+ROW()/100000,"")</f>
        <v/>
      </c>
    </row>
    <row r="276">
      <c r="BB276" s="244">
        <f>IF('INPUT - Bookings'!$B276="",0,IF(AND(OR(Dashboard!$D$9="All",TRIM('INPUT - Bookings'!$C276)=Dashboard!$D$9),OR(Dashboard!$J$9="All",TRIM('INPUT - Bookings'!$D276)=Dashboard!$J$9)),1,0))</f>
        <v/>
      </c>
      <c r="BC276" s="244">
        <f>IF(AND(BB276=1,ISNUMBER('INPUT - Bookings'!$E276),'INPUT - Bookings'!$E276&gt;=Settings!$C$8,'INPUT - Bookings'!$E276&lt;=Settings!$C$8+14,IFERROR(INDEX(Settings!$Q$14:$Q$24,MATCH('INPUT - Bookings'!$G276,Settings!$P$14:$P$24,0)),"Yes")="Yes"),'INPUT - Bookings'!$E276+ROW()/100000,"")</f>
        <v/>
      </c>
    </row>
    <row r="277">
      <c r="BB277" s="244">
        <f>IF('INPUT - Bookings'!$B277="",0,IF(AND(OR(Dashboard!$D$9="All",TRIM('INPUT - Bookings'!$C277)=Dashboard!$D$9),OR(Dashboard!$J$9="All",TRIM('INPUT - Bookings'!$D277)=Dashboard!$J$9)),1,0))</f>
        <v/>
      </c>
      <c r="BC277" s="244">
        <f>IF(AND(BB277=1,ISNUMBER('INPUT - Bookings'!$E277),'INPUT - Bookings'!$E277&gt;=Settings!$C$8,'INPUT - Bookings'!$E277&lt;=Settings!$C$8+14,IFERROR(INDEX(Settings!$Q$14:$Q$24,MATCH('INPUT - Bookings'!$G277,Settings!$P$14:$P$24,0)),"Yes")="Yes"),'INPUT - Bookings'!$E277+ROW()/100000,"")</f>
        <v/>
      </c>
    </row>
    <row r="278">
      <c r="BB278" s="244">
        <f>IF('INPUT - Bookings'!$B278="",0,IF(AND(OR(Dashboard!$D$9="All",TRIM('INPUT - Bookings'!$C278)=Dashboard!$D$9),OR(Dashboard!$J$9="All",TRIM('INPUT - Bookings'!$D278)=Dashboard!$J$9)),1,0))</f>
        <v/>
      </c>
      <c r="BC278" s="244">
        <f>IF(AND(BB278=1,ISNUMBER('INPUT - Bookings'!$E278),'INPUT - Bookings'!$E278&gt;=Settings!$C$8,'INPUT - Bookings'!$E278&lt;=Settings!$C$8+14,IFERROR(INDEX(Settings!$Q$14:$Q$24,MATCH('INPUT - Bookings'!$G278,Settings!$P$14:$P$24,0)),"Yes")="Yes"),'INPUT - Bookings'!$E278+ROW()/100000,"")</f>
        <v/>
      </c>
    </row>
    <row r="279">
      <c r="BB279" s="244">
        <f>IF('INPUT - Bookings'!$B279="",0,IF(AND(OR(Dashboard!$D$9="All",TRIM('INPUT - Bookings'!$C279)=Dashboard!$D$9),OR(Dashboard!$J$9="All",TRIM('INPUT - Bookings'!$D279)=Dashboard!$J$9)),1,0))</f>
        <v/>
      </c>
      <c r="BC279" s="244">
        <f>IF(AND(BB279=1,ISNUMBER('INPUT - Bookings'!$E279),'INPUT - Bookings'!$E279&gt;=Settings!$C$8,'INPUT - Bookings'!$E279&lt;=Settings!$C$8+14,IFERROR(INDEX(Settings!$Q$14:$Q$24,MATCH('INPUT - Bookings'!$G279,Settings!$P$14:$P$24,0)),"Yes")="Yes"),'INPUT - Bookings'!$E279+ROW()/100000,"")</f>
        <v/>
      </c>
    </row>
    <row r="280">
      <c r="BB280" s="244">
        <f>IF('INPUT - Bookings'!$B280="",0,IF(AND(OR(Dashboard!$D$9="All",TRIM('INPUT - Bookings'!$C280)=Dashboard!$D$9),OR(Dashboard!$J$9="All",TRIM('INPUT - Bookings'!$D280)=Dashboard!$J$9)),1,0))</f>
        <v/>
      </c>
      <c r="BC280" s="244">
        <f>IF(AND(BB280=1,ISNUMBER('INPUT - Bookings'!$E280),'INPUT - Bookings'!$E280&gt;=Settings!$C$8,'INPUT - Bookings'!$E280&lt;=Settings!$C$8+14,IFERROR(INDEX(Settings!$Q$14:$Q$24,MATCH('INPUT - Bookings'!$G280,Settings!$P$14:$P$24,0)),"Yes")="Yes"),'INPUT - Bookings'!$E280+ROW()/100000,"")</f>
        <v/>
      </c>
    </row>
    <row r="281">
      <c r="BB281" s="244">
        <f>IF('INPUT - Bookings'!$B281="",0,IF(AND(OR(Dashboard!$D$9="All",TRIM('INPUT - Bookings'!$C281)=Dashboard!$D$9),OR(Dashboard!$J$9="All",TRIM('INPUT - Bookings'!$D281)=Dashboard!$J$9)),1,0))</f>
        <v/>
      </c>
      <c r="BC281" s="244">
        <f>IF(AND(BB281=1,ISNUMBER('INPUT - Bookings'!$E281),'INPUT - Bookings'!$E281&gt;=Settings!$C$8,'INPUT - Bookings'!$E281&lt;=Settings!$C$8+14,IFERROR(INDEX(Settings!$Q$14:$Q$24,MATCH('INPUT - Bookings'!$G281,Settings!$P$14:$P$24,0)),"Yes")="Yes"),'INPUT - Bookings'!$E281+ROW()/100000,"")</f>
        <v/>
      </c>
    </row>
    <row r="282">
      <c r="BB282" s="244">
        <f>IF('INPUT - Bookings'!$B282="",0,IF(AND(OR(Dashboard!$D$9="All",TRIM('INPUT - Bookings'!$C282)=Dashboard!$D$9),OR(Dashboard!$J$9="All",TRIM('INPUT - Bookings'!$D282)=Dashboard!$J$9)),1,0))</f>
        <v/>
      </c>
      <c r="BC282" s="244">
        <f>IF(AND(BB282=1,ISNUMBER('INPUT - Bookings'!$E282),'INPUT - Bookings'!$E282&gt;=Settings!$C$8,'INPUT - Bookings'!$E282&lt;=Settings!$C$8+14,IFERROR(INDEX(Settings!$Q$14:$Q$24,MATCH('INPUT - Bookings'!$G282,Settings!$P$14:$P$24,0)),"Yes")="Yes"),'INPUT - Bookings'!$E282+ROW()/100000,"")</f>
        <v/>
      </c>
    </row>
    <row r="283">
      <c r="BB283" s="244">
        <f>IF('INPUT - Bookings'!$B283="",0,IF(AND(OR(Dashboard!$D$9="All",TRIM('INPUT - Bookings'!$C283)=Dashboard!$D$9),OR(Dashboard!$J$9="All",TRIM('INPUT - Bookings'!$D283)=Dashboard!$J$9)),1,0))</f>
        <v/>
      </c>
      <c r="BC283" s="244">
        <f>IF(AND(BB283=1,ISNUMBER('INPUT - Bookings'!$E283),'INPUT - Bookings'!$E283&gt;=Settings!$C$8,'INPUT - Bookings'!$E283&lt;=Settings!$C$8+14,IFERROR(INDEX(Settings!$Q$14:$Q$24,MATCH('INPUT - Bookings'!$G283,Settings!$P$14:$P$24,0)),"Yes")="Yes"),'INPUT - Bookings'!$E283+ROW()/100000,"")</f>
        <v/>
      </c>
    </row>
    <row r="284">
      <c r="BB284" s="244">
        <f>IF('INPUT - Bookings'!$B284="",0,IF(AND(OR(Dashboard!$D$9="All",TRIM('INPUT - Bookings'!$C284)=Dashboard!$D$9),OR(Dashboard!$J$9="All",TRIM('INPUT - Bookings'!$D284)=Dashboard!$J$9)),1,0))</f>
        <v/>
      </c>
      <c r="BC284" s="244">
        <f>IF(AND(BB284=1,ISNUMBER('INPUT - Bookings'!$E284),'INPUT - Bookings'!$E284&gt;=Settings!$C$8,'INPUT - Bookings'!$E284&lt;=Settings!$C$8+14,IFERROR(INDEX(Settings!$Q$14:$Q$24,MATCH('INPUT - Bookings'!$G284,Settings!$P$14:$P$24,0)),"Yes")="Yes"),'INPUT - Bookings'!$E284+ROW()/100000,"")</f>
        <v/>
      </c>
    </row>
    <row r="285">
      <c r="BB285" s="244">
        <f>IF('INPUT - Bookings'!$B285="",0,IF(AND(OR(Dashboard!$D$9="All",TRIM('INPUT - Bookings'!$C285)=Dashboard!$D$9),OR(Dashboard!$J$9="All",TRIM('INPUT - Bookings'!$D285)=Dashboard!$J$9)),1,0))</f>
        <v/>
      </c>
      <c r="BC285" s="244">
        <f>IF(AND(BB285=1,ISNUMBER('INPUT - Bookings'!$E285),'INPUT - Bookings'!$E285&gt;=Settings!$C$8,'INPUT - Bookings'!$E285&lt;=Settings!$C$8+14,IFERROR(INDEX(Settings!$Q$14:$Q$24,MATCH('INPUT - Bookings'!$G285,Settings!$P$14:$P$24,0)),"Yes")="Yes"),'INPUT - Bookings'!$E285+ROW()/100000,"")</f>
        <v/>
      </c>
    </row>
    <row r="286">
      <c r="BB286" s="244">
        <f>IF('INPUT - Bookings'!$B286="",0,IF(AND(OR(Dashboard!$D$9="All",TRIM('INPUT - Bookings'!$C286)=Dashboard!$D$9),OR(Dashboard!$J$9="All",TRIM('INPUT - Bookings'!$D286)=Dashboard!$J$9)),1,0))</f>
        <v/>
      </c>
      <c r="BC286" s="244">
        <f>IF(AND(BB286=1,ISNUMBER('INPUT - Bookings'!$E286),'INPUT - Bookings'!$E286&gt;=Settings!$C$8,'INPUT - Bookings'!$E286&lt;=Settings!$C$8+14,IFERROR(INDEX(Settings!$Q$14:$Q$24,MATCH('INPUT - Bookings'!$G286,Settings!$P$14:$P$24,0)),"Yes")="Yes"),'INPUT - Bookings'!$E286+ROW()/100000,"")</f>
        <v/>
      </c>
    </row>
    <row r="287">
      <c r="BB287" s="244">
        <f>IF('INPUT - Bookings'!$B287="",0,IF(AND(OR(Dashboard!$D$9="All",TRIM('INPUT - Bookings'!$C287)=Dashboard!$D$9),OR(Dashboard!$J$9="All",TRIM('INPUT - Bookings'!$D287)=Dashboard!$J$9)),1,0))</f>
        <v/>
      </c>
      <c r="BC287" s="244">
        <f>IF(AND(BB287=1,ISNUMBER('INPUT - Bookings'!$E287),'INPUT - Bookings'!$E287&gt;=Settings!$C$8,'INPUT - Bookings'!$E287&lt;=Settings!$C$8+14,IFERROR(INDEX(Settings!$Q$14:$Q$24,MATCH('INPUT - Bookings'!$G287,Settings!$P$14:$P$24,0)),"Yes")="Yes"),'INPUT - Bookings'!$E287+ROW()/100000,"")</f>
        <v/>
      </c>
    </row>
    <row r="288">
      <c r="BB288" s="244">
        <f>IF('INPUT - Bookings'!$B288="",0,IF(AND(OR(Dashboard!$D$9="All",TRIM('INPUT - Bookings'!$C288)=Dashboard!$D$9),OR(Dashboard!$J$9="All",TRIM('INPUT - Bookings'!$D288)=Dashboard!$J$9)),1,0))</f>
        <v/>
      </c>
      <c r="BC288" s="244">
        <f>IF(AND(BB288=1,ISNUMBER('INPUT - Bookings'!$E288),'INPUT - Bookings'!$E288&gt;=Settings!$C$8,'INPUT - Bookings'!$E288&lt;=Settings!$C$8+14,IFERROR(INDEX(Settings!$Q$14:$Q$24,MATCH('INPUT - Bookings'!$G288,Settings!$P$14:$P$24,0)),"Yes")="Yes"),'INPUT - Bookings'!$E288+ROW()/100000,"")</f>
        <v/>
      </c>
    </row>
    <row r="289">
      <c r="BB289" s="244">
        <f>IF('INPUT - Bookings'!$B289="",0,IF(AND(OR(Dashboard!$D$9="All",TRIM('INPUT - Bookings'!$C289)=Dashboard!$D$9),OR(Dashboard!$J$9="All",TRIM('INPUT - Bookings'!$D289)=Dashboard!$J$9)),1,0))</f>
        <v/>
      </c>
      <c r="BC289" s="244">
        <f>IF(AND(BB289=1,ISNUMBER('INPUT - Bookings'!$E289),'INPUT - Bookings'!$E289&gt;=Settings!$C$8,'INPUT - Bookings'!$E289&lt;=Settings!$C$8+14,IFERROR(INDEX(Settings!$Q$14:$Q$24,MATCH('INPUT - Bookings'!$G289,Settings!$P$14:$P$24,0)),"Yes")="Yes"),'INPUT - Bookings'!$E289+ROW()/100000,"")</f>
        <v/>
      </c>
    </row>
    <row r="290">
      <c r="BB290" s="244">
        <f>IF('INPUT - Bookings'!$B290="",0,IF(AND(OR(Dashboard!$D$9="All",TRIM('INPUT - Bookings'!$C290)=Dashboard!$D$9),OR(Dashboard!$J$9="All",TRIM('INPUT - Bookings'!$D290)=Dashboard!$J$9)),1,0))</f>
        <v/>
      </c>
      <c r="BC290" s="244">
        <f>IF(AND(BB290=1,ISNUMBER('INPUT - Bookings'!$E290),'INPUT - Bookings'!$E290&gt;=Settings!$C$8,'INPUT - Bookings'!$E290&lt;=Settings!$C$8+14,IFERROR(INDEX(Settings!$Q$14:$Q$24,MATCH('INPUT - Bookings'!$G290,Settings!$P$14:$P$24,0)),"Yes")="Yes"),'INPUT - Bookings'!$E290+ROW()/100000,"")</f>
        <v/>
      </c>
    </row>
    <row r="291">
      <c r="BB291" s="244">
        <f>IF('INPUT - Bookings'!$B291="",0,IF(AND(OR(Dashboard!$D$9="All",TRIM('INPUT - Bookings'!$C291)=Dashboard!$D$9),OR(Dashboard!$J$9="All",TRIM('INPUT - Bookings'!$D291)=Dashboard!$J$9)),1,0))</f>
        <v/>
      </c>
      <c r="BC291" s="244">
        <f>IF(AND(BB291=1,ISNUMBER('INPUT - Bookings'!$E291),'INPUT - Bookings'!$E291&gt;=Settings!$C$8,'INPUT - Bookings'!$E291&lt;=Settings!$C$8+14,IFERROR(INDEX(Settings!$Q$14:$Q$24,MATCH('INPUT - Bookings'!$G291,Settings!$P$14:$P$24,0)),"Yes")="Yes"),'INPUT - Bookings'!$E291+ROW()/100000,"")</f>
        <v/>
      </c>
    </row>
    <row r="292">
      <c r="BB292" s="244">
        <f>IF('INPUT - Bookings'!$B292="",0,IF(AND(OR(Dashboard!$D$9="All",TRIM('INPUT - Bookings'!$C292)=Dashboard!$D$9),OR(Dashboard!$J$9="All",TRIM('INPUT - Bookings'!$D292)=Dashboard!$J$9)),1,0))</f>
        <v/>
      </c>
      <c r="BC292" s="244">
        <f>IF(AND(BB292=1,ISNUMBER('INPUT - Bookings'!$E292),'INPUT - Bookings'!$E292&gt;=Settings!$C$8,'INPUT - Bookings'!$E292&lt;=Settings!$C$8+14,IFERROR(INDEX(Settings!$Q$14:$Q$24,MATCH('INPUT - Bookings'!$G292,Settings!$P$14:$P$24,0)),"Yes")="Yes"),'INPUT - Bookings'!$E292+ROW()/100000,"")</f>
        <v/>
      </c>
    </row>
    <row r="293">
      <c r="BB293" s="244">
        <f>IF('INPUT - Bookings'!$B293="",0,IF(AND(OR(Dashboard!$D$9="All",TRIM('INPUT - Bookings'!$C293)=Dashboard!$D$9),OR(Dashboard!$J$9="All",TRIM('INPUT - Bookings'!$D293)=Dashboard!$J$9)),1,0))</f>
        <v/>
      </c>
      <c r="BC293" s="244">
        <f>IF(AND(BB293=1,ISNUMBER('INPUT - Bookings'!$E293),'INPUT - Bookings'!$E293&gt;=Settings!$C$8,'INPUT - Bookings'!$E293&lt;=Settings!$C$8+14,IFERROR(INDEX(Settings!$Q$14:$Q$24,MATCH('INPUT - Bookings'!$G293,Settings!$P$14:$P$24,0)),"Yes")="Yes"),'INPUT - Bookings'!$E293+ROW()/100000,"")</f>
        <v/>
      </c>
    </row>
    <row r="294">
      <c r="BB294" s="244">
        <f>IF('INPUT - Bookings'!$B294="",0,IF(AND(OR(Dashboard!$D$9="All",TRIM('INPUT - Bookings'!$C294)=Dashboard!$D$9),OR(Dashboard!$J$9="All",TRIM('INPUT - Bookings'!$D294)=Dashboard!$J$9)),1,0))</f>
        <v/>
      </c>
      <c r="BC294" s="244">
        <f>IF(AND(BB294=1,ISNUMBER('INPUT - Bookings'!$E294),'INPUT - Bookings'!$E294&gt;=Settings!$C$8,'INPUT - Bookings'!$E294&lt;=Settings!$C$8+14,IFERROR(INDEX(Settings!$Q$14:$Q$24,MATCH('INPUT - Bookings'!$G294,Settings!$P$14:$P$24,0)),"Yes")="Yes"),'INPUT - Bookings'!$E294+ROW()/100000,"")</f>
        <v/>
      </c>
    </row>
    <row r="295">
      <c r="BB295" s="244">
        <f>IF('INPUT - Bookings'!$B295="",0,IF(AND(OR(Dashboard!$D$9="All",TRIM('INPUT - Bookings'!$C295)=Dashboard!$D$9),OR(Dashboard!$J$9="All",TRIM('INPUT - Bookings'!$D295)=Dashboard!$J$9)),1,0))</f>
        <v/>
      </c>
      <c r="BC295" s="244">
        <f>IF(AND(BB295=1,ISNUMBER('INPUT - Bookings'!$E295),'INPUT - Bookings'!$E295&gt;=Settings!$C$8,'INPUT - Bookings'!$E295&lt;=Settings!$C$8+14,IFERROR(INDEX(Settings!$Q$14:$Q$24,MATCH('INPUT - Bookings'!$G295,Settings!$P$14:$P$24,0)),"Yes")="Yes"),'INPUT - Bookings'!$E295+ROW()/100000,"")</f>
        <v/>
      </c>
    </row>
    <row r="296">
      <c r="BB296" s="244">
        <f>IF('INPUT - Bookings'!$B296="",0,IF(AND(OR(Dashboard!$D$9="All",TRIM('INPUT - Bookings'!$C296)=Dashboard!$D$9),OR(Dashboard!$J$9="All",TRIM('INPUT - Bookings'!$D296)=Dashboard!$J$9)),1,0))</f>
        <v/>
      </c>
      <c r="BC296" s="244">
        <f>IF(AND(BB296=1,ISNUMBER('INPUT - Bookings'!$E296),'INPUT - Bookings'!$E296&gt;=Settings!$C$8,'INPUT - Bookings'!$E296&lt;=Settings!$C$8+14,IFERROR(INDEX(Settings!$Q$14:$Q$24,MATCH('INPUT - Bookings'!$G296,Settings!$P$14:$P$24,0)),"Yes")="Yes"),'INPUT - Bookings'!$E296+ROW()/100000,"")</f>
        <v/>
      </c>
    </row>
    <row r="297">
      <c r="BB297" s="244">
        <f>IF('INPUT - Bookings'!$B297="",0,IF(AND(OR(Dashboard!$D$9="All",TRIM('INPUT - Bookings'!$C297)=Dashboard!$D$9),OR(Dashboard!$J$9="All",TRIM('INPUT - Bookings'!$D297)=Dashboard!$J$9)),1,0))</f>
        <v/>
      </c>
      <c r="BC297" s="244">
        <f>IF(AND(BB297=1,ISNUMBER('INPUT - Bookings'!$E297),'INPUT - Bookings'!$E297&gt;=Settings!$C$8,'INPUT - Bookings'!$E297&lt;=Settings!$C$8+14,IFERROR(INDEX(Settings!$Q$14:$Q$24,MATCH('INPUT - Bookings'!$G297,Settings!$P$14:$P$24,0)),"Yes")="Yes"),'INPUT - Bookings'!$E297+ROW()/100000,"")</f>
        <v/>
      </c>
    </row>
    <row r="298">
      <c r="BB298" s="244">
        <f>IF('INPUT - Bookings'!$B298="",0,IF(AND(OR(Dashboard!$D$9="All",TRIM('INPUT - Bookings'!$C298)=Dashboard!$D$9),OR(Dashboard!$J$9="All",TRIM('INPUT - Bookings'!$D298)=Dashboard!$J$9)),1,0))</f>
        <v/>
      </c>
      <c r="BC298" s="244">
        <f>IF(AND(BB298=1,ISNUMBER('INPUT - Bookings'!$E298),'INPUT - Bookings'!$E298&gt;=Settings!$C$8,'INPUT - Bookings'!$E298&lt;=Settings!$C$8+14,IFERROR(INDEX(Settings!$Q$14:$Q$24,MATCH('INPUT - Bookings'!$G298,Settings!$P$14:$P$24,0)),"Yes")="Yes"),'INPUT - Bookings'!$E298+ROW()/100000,"")</f>
        <v/>
      </c>
    </row>
    <row r="299">
      <c r="BB299" s="244">
        <f>IF('INPUT - Bookings'!$B299="",0,IF(AND(OR(Dashboard!$D$9="All",TRIM('INPUT - Bookings'!$C299)=Dashboard!$D$9),OR(Dashboard!$J$9="All",TRIM('INPUT - Bookings'!$D299)=Dashboard!$J$9)),1,0))</f>
        <v/>
      </c>
      <c r="BC299" s="244">
        <f>IF(AND(BB299=1,ISNUMBER('INPUT - Bookings'!$E299),'INPUT - Bookings'!$E299&gt;=Settings!$C$8,'INPUT - Bookings'!$E299&lt;=Settings!$C$8+14,IFERROR(INDEX(Settings!$Q$14:$Q$24,MATCH('INPUT - Bookings'!$G299,Settings!$P$14:$P$24,0)),"Yes")="Yes"),'INPUT - Bookings'!$E299+ROW()/100000,"")</f>
        <v/>
      </c>
    </row>
    <row r="300">
      <c r="BB300" s="244">
        <f>IF('INPUT - Bookings'!$B300="",0,IF(AND(OR(Dashboard!$D$9="All",TRIM('INPUT - Bookings'!$C300)=Dashboard!$D$9),OR(Dashboard!$J$9="All",TRIM('INPUT - Bookings'!$D300)=Dashboard!$J$9)),1,0))</f>
        <v/>
      </c>
      <c r="BC300" s="244">
        <f>IF(AND(BB300=1,ISNUMBER('INPUT - Bookings'!$E300),'INPUT - Bookings'!$E300&gt;=Settings!$C$8,'INPUT - Bookings'!$E300&lt;=Settings!$C$8+14,IFERROR(INDEX(Settings!$Q$14:$Q$24,MATCH('INPUT - Bookings'!$G300,Settings!$P$14:$P$24,0)),"Yes")="Yes"),'INPUT - Bookings'!$E300+ROW()/100000,"")</f>
        <v/>
      </c>
    </row>
    <row r="301">
      <c r="BB301" s="244">
        <f>IF('INPUT - Bookings'!$B301="",0,IF(AND(OR(Dashboard!$D$9="All",TRIM('INPUT - Bookings'!$C301)=Dashboard!$D$9),OR(Dashboard!$J$9="All",TRIM('INPUT - Bookings'!$D301)=Dashboard!$J$9)),1,0))</f>
        <v/>
      </c>
      <c r="BC301" s="244">
        <f>IF(AND(BB301=1,ISNUMBER('INPUT - Bookings'!$E301),'INPUT - Bookings'!$E301&gt;=Settings!$C$8,'INPUT - Bookings'!$E301&lt;=Settings!$C$8+14,IFERROR(INDEX(Settings!$Q$14:$Q$24,MATCH('INPUT - Bookings'!$G301,Settings!$P$14:$P$24,0)),"Yes")="Yes"),'INPUT - Bookings'!$E301+ROW()/100000,"")</f>
        <v/>
      </c>
    </row>
    <row r="302">
      <c r="BB302" s="244">
        <f>IF('INPUT - Bookings'!$B302="",0,IF(AND(OR(Dashboard!$D$9="All",TRIM('INPUT - Bookings'!$C302)=Dashboard!$D$9),OR(Dashboard!$J$9="All",TRIM('INPUT - Bookings'!$D302)=Dashboard!$J$9)),1,0))</f>
        <v/>
      </c>
      <c r="BC302" s="244">
        <f>IF(AND(BB302=1,ISNUMBER('INPUT - Bookings'!$E302),'INPUT - Bookings'!$E302&gt;=Settings!$C$8,'INPUT - Bookings'!$E302&lt;=Settings!$C$8+14,IFERROR(INDEX(Settings!$Q$14:$Q$24,MATCH('INPUT - Bookings'!$G302,Settings!$P$14:$P$24,0)),"Yes")="Yes"),'INPUT - Bookings'!$E302+ROW()/100000,"")</f>
        <v/>
      </c>
    </row>
    <row r="303">
      <c r="BB303" s="244">
        <f>IF('INPUT - Bookings'!$B303="",0,IF(AND(OR(Dashboard!$D$9="All",TRIM('INPUT - Bookings'!$C303)=Dashboard!$D$9),OR(Dashboard!$J$9="All",TRIM('INPUT - Bookings'!$D303)=Dashboard!$J$9)),1,0))</f>
        <v/>
      </c>
      <c r="BC303" s="244">
        <f>IF(AND(BB303=1,ISNUMBER('INPUT - Bookings'!$E303),'INPUT - Bookings'!$E303&gt;=Settings!$C$8,'INPUT - Bookings'!$E303&lt;=Settings!$C$8+14,IFERROR(INDEX(Settings!$Q$14:$Q$24,MATCH('INPUT - Bookings'!$G303,Settings!$P$14:$P$24,0)),"Yes")="Yes"),'INPUT - Bookings'!$E303+ROW()/100000,"")</f>
        <v/>
      </c>
    </row>
    <row r="304">
      <c r="BB304" s="244">
        <f>IF('INPUT - Bookings'!$B304="",0,IF(AND(OR(Dashboard!$D$9="All",TRIM('INPUT - Bookings'!$C304)=Dashboard!$D$9),OR(Dashboard!$J$9="All",TRIM('INPUT - Bookings'!$D304)=Dashboard!$J$9)),1,0))</f>
        <v/>
      </c>
      <c r="BC304" s="244">
        <f>IF(AND(BB304=1,ISNUMBER('INPUT - Bookings'!$E304),'INPUT - Bookings'!$E304&gt;=Settings!$C$8,'INPUT - Bookings'!$E304&lt;=Settings!$C$8+14,IFERROR(INDEX(Settings!$Q$14:$Q$24,MATCH('INPUT - Bookings'!$G304,Settings!$P$14:$P$24,0)),"Yes")="Yes"),'INPUT - Bookings'!$E304+ROW()/100000,"")</f>
        <v/>
      </c>
    </row>
    <row r="305">
      <c r="BB305" s="244">
        <f>IF('INPUT - Bookings'!$B305="",0,IF(AND(OR(Dashboard!$D$9="All",TRIM('INPUT - Bookings'!$C305)=Dashboard!$D$9),OR(Dashboard!$J$9="All",TRIM('INPUT - Bookings'!$D305)=Dashboard!$J$9)),1,0))</f>
        <v/>
      </c>
      <c r="BC305" s="244">
        <f>IF(AND(BB305=1,ISNUMBER('INPUT - Bookings'!$E305),'INPUT - Bookings'!$E305&gt;=Settings!$C$8,'INPUT - Bookings'!$E305&lt;=Settings!$C$8+14,IFERROR(INDEX(Settings!$Q$14:$Q$24,MATCH('INPUT - Bookings'!$G305,Settings!$P$14:$P$24,0)),"Yes")="Yes"),'INPUT - Bookings'!$E305+ROW()/100000,"")</f>
        <v/>
      </c>
    </row>
    <row r="306">
      <c r="BB306" s="244">
        <f>IF('INPUT - Bookings'!$B306="",0,IF(AND(OR(Dashboard!$D$9="All",TRIM('INPUT - Bookings'!$C306)=Dashboard!$D$9),OR(Dashboard!$J$9="All",TRIM('INPUT - Bookings'!$D306)=Dashboard!$J$9)),1,0))</f>
        <v/>
      </c>
      <c r="BC306" s="244">
        <f>IF(AND(BB306=1,ISNUMBER('INPUT - Bookings'!$E306),'INPUT - Bookings'!$E306&gt;=Settings!$C$8,'INPUT - Bookings'!$E306&lt;=Settings!$C$8+14,IFERROR(INDEX(Settings!$Q$14:$Q$24,MATCH('INPUT - Bookings'!$G306,Settings!$P$14:$P$24,0)),"Yes")="Yes"),'INPUT - Bookings'!$E306+ROW()/100000,"")</f>
        <v/>
      </c>
    </row>
    <row r="307">
      <c r="BB307" s="244">
        <f>IF('INPUT - Bookings'!$B307="",0,IF(AND(OR(Dashboard!$D$9="All",TRIM('INPUT - Bookings'!$C307)=Dashboard!$D$9),OR(Dashboard!$J$9="All",TRIM('INPUT - Bookings'!$D307)=Dashboard!$J$9)),1,0))</f>
        <v/>
      </c>
      <c r="BC307" s="244">
        <f>IF(AND(BB307=1,ISNUMBER('INPUT - Bookings'!$E307),'INPUT - Bookings'!$E307&gt;=Settings!$C$8,'INPUT - Bookings'!$E307&lt;=Settings!$C$8+14,IFERROR(INDEX(Settings!$Q$14:$Q$24,MATCH('INPUT - Bookings'!$G307,Settings!$P$14:$P$24,0)),"Yes")="Yes"),'INPUT - Bookings'!$E307+ROW()/100000,"")</f>
        <v/>
      </c>
    </row>
    <row r="308">
      <c r="BB308" s="244">
        <f>IF('INPUT - Bookings'!$B308="",0,IF(AND(OR(Dashboard!$D$9="All",TRIM('INPUT - Bookings'!$C308)=Dashboard!$D$9),OR(Dashboard!$J$9="All",TRIM('INPUT - Bookings'!$D308)=Dashboard!$J$9)),1,0))</f>
        <v/>
      </c>
      <c r="BC308" s="244">
        <f>IF(AND(BB308=1,ISNUMBER('INPUT - Bookings'!$E308),'INPUT - Bookings'!$E308&gt;=Settings!$C$8,'INPUT - Bookings'!$E308&lt;=Settings!$C$8+14,IFERROR(INDEX(Settings!$Q$14:$Q$24,MATCH('INPUT - Bookings'!$G308,Settings!$P$14:$P$24,0)),"Yes")="Yes"),'INPUT - Bookings'!$E308+ROW()/100000,"")</f>
        <v/>
      </c>
    </row>
    <row r="309">
      <c r="BB309" s="244">
        <f>IF('INPUT - Bookings'!$B309="",0,IF(AND(OR(Dashboard!$D$9="All",TRIM('INPUT - Bookings'!$C309)=Dashboard!$D$9),OR(Dashboard!$J$9="All",TRIM('INPUT - Bookings'!$D309)=Dashboard!$J$9)),1,0))</f>
        <v/>
      </c>
      <c r="BC309" s="244">
        <f>IF(AND(BB309=1,ISNUMBER('INPUT - Bookings'!$E309),'INPUT - Bookings'!$E309&gt;=Settings!$C$8,'INPUT - Bookings'!$E309&lt;=Settings!$C$8+14,IFERROR(INDEX(Settings!$Q$14:$Q$24,MATCH('INPUT - Bookings'!$G309,Settings!$P$14:$P$24,0)),"Yes")="Yes"),'INPUT - Bookings'!$E309+ROW()/100000,"")</f>
        <v/>
      </c>
    </row>
    <row r="310">
      <c r="BB310" s="244">
        <f>IF('INPUT - Bookings'!$B310="",0,IF(AND(OR(Dashboard!$D$9="All",TRIM('INPUT - Bookings'!$C310)=Dashboard!$D$9),OR(Dashboard!$J$9="All",TRIM('INPUT - Bookings'!$D310)=Dashboard!$J$9)),1,0))</f>
        <v/>
      </c>
      <c r="BC310" s="244">
        <f>IF(AND(BB310=1,ISNUMBER('INPUT - Bookings'!$E310),'INPUT - Bookings'!$E310&gt;=Settings!$C$8,'INPUT - Bookings'!$E310&lt;=Settings!$C$8+14,IFERROR(INDEX(Settings!$Q$14:$Q$24,MATCH('INPUT - Bookings'!$G310,Settings!$P$14:$P$24,0)),"Yes")="Yes"),'INPUT - Bookings'!$E310+ROW()/100000,"")</f>
        <v/>
      </c>
    </row>
    <row r="311">
      <c r="BB311" s="244">
        <f>IF('INPUT - Bookings'!$B311="",0,IF(AND(OR(Dashboard!$D$9="All",TRIM('INPUT - Bookings'!$C311)=Dashboard!$D$9),OR(Dashboard!$J$9="All",TRIM('INPUT - Bookings'!$D311)=Dashboard!$J$9)),1,0))</f>
        <v/>
      </c>
      <c r="BC311" s="244">
        <f>IF(AND(BB311=1,ISNUMBER('INPUT - Bookings'!$E311),'INPUT - Bookings'!$E311&gt;=Settings!$C$8,'INPUT - Bookings'!$E311&lt;=Settings!$C$8+14,IFERROR(INDEX(Settings!$Q$14:$Q$24,MATCH('INPUT - Bookings'!$G311,Settings!$P$14:$P$24,0)),"Yes")="Yes"),'INPUT - Bookings'!$E311+ROW()/100000,"")</f>
        <v/>
      </c>
    </row>
    <row r="312">
      <c r="BB312" s="244">
        <f>IF('INPUT - Bookings'!$B312="",0,IF(AND(OR(Dashboard!$D$9="All",TRIM('INPUT - Bookings'!$C312)=Dashboard!$D$9),OR(Dashboard!$J$9="All",TRIM('INPUT - Bookings'!$D312)=Dashboard!$J$9)),1,0))</f>
        <v/>
      </c>
      <c r="BC312" s="244">
        <f>IF(AND(BB312=1,ISNUMBER('INPUT - Bookings'!$E312),'INPUT - Bookings'!$E312&gt;=Settings!$C$8,'INPUT - Bookings'!$E312&lt;=Settings!$C$8+14,IFERROR(INDEX(Settings!$Q$14:$Q$24,MATCH('INPUT - Bookings'!$G312,Settings!$P$14:$P$24,0)),"Yes")="Yes"),'INPUT - Bookings'!$E312+ROW()/100000,"")</f>
        <v/>
      </c>
    </row>
    <row r="313">
      <c r="BB313" s="244">
        <f>IF('INPUT - Bookings'!$B313="",0,IF(AND(OR(Dashboard!$D$9="All",TRIM('INPUT - Bookings'!$C313)=Dashboard!$D$9),OR(Dashboard!$J$9="All",TRIM('INPUT - Bookings'!$D313)=Dashboard!$J$9)),1,0))</f>
        <v/>
      </c>
      <c r="BC313" s="244">
        <f>IF(AND(BB313=1,ISNUMBER('INPUT - Bookings'!$E313),'INPUT - Bookings'!$E313&gt;=Settings!$C$8,'INPUT - Bookings'!$E313&lt;=Settings!$C$8+14,IFERROR(INDEX(Settings!$Q$14:$Q$24,MATCH('INPUT - Bookings'!$G313,Settings!$P$14:$P$24,0)),"Yes")="Yes"),'INPUT - Bookings'!$E313+ROW()/100000,"")</f>
        <v/>
      </c>
    </row>
    <row r="314">
      <c r="BB314" s="244">
        <f>IF('INPUT - Bookings'!$B314="",0,IF(AND(OR(Dashboard!$D$9="All",TRIM('INPUT - Bookings'!$C314)=Dashboard!$D$9),OR(Dashboard!$J$9="All",TRIM('INPUT - Bookings'!$D314)=Dashboard!$J$9)),1,0))</f>
        <v/>
      </c>
      <c r="BC314" s="244">
        <f>IF(AND(BB314=1,ISNUMBER('INPUT - Bookings'!$E314),'INPUT - Bookings'!$E314&gt;=Settings!$C$8,'INPUT - Bookings'!$E314&lt;=Settings!$C$8+14,IFERROR(INDEX(Settings!$Q$14:$Q$24,MATCH('INPUT - Bookings'!$G314,Settings!$P$14:$P$24,0)),"Yes")="Yes"),'INPUT - Bookings'!$E314+ROW()/100000,"")</f>
        <v/>
      </c>
    </row>
    <row r="315">
      <c r="BB315" s="244">
        <f>IF('INPUT - Bookings'!$B315="",0,IF(AND(OR(Dashboard!$D$9="All",TRIM('INPUT - Bookings'!$C315)=Dashboard!$D$9),OR(Dashboard!$J$9="All",TRIM('INPUT - Bookings'!$D315)=Dashboard!$J$9)),1,0))</f>
        <v/>
      </c>
      <c r="BC315" s="244">
        <f>IF(AND(BB315=1,ISNUMBER('INPUT - Bookings'!$E315),'INPUT - Bookings'!$E315&gt;=Settings!$C$8,'INPUT - Bookings'!$E315&lt;=Settings!$C$8+14,IFERROR(INDEX(Settings!$Q$14:$Q$24,MATCH('INPUT - Bookings'!$G315,Settings!$P$14:$P$24,0)),"Yes")="Yes"),'INPUT - Bookings'!$E315+ROW()/100000,"")</f>
        <v/>
      </c>
    </row>
    <row r="316">
      <c r="BB316" s="244">
        <f>IF('INPUT - Bookings'!$B316="",0,IF(AND(OR(Dashboard!$D$9="All",TRIM('INPUT - Bookings'!$C316)=Dashboard!$D$9),OR(Dashboard!$J$9="All",TRIM('INPUT - Bookings'!$D316)=Dashboard!$J$9)),1,0))</f>
        <v/>
      </c>
      <c r="BC316" s="244">
        <f>IF(AND(BB316=1,ISNUMBER('INPUT - Bookings'!$E316),'INPUT - Bookings'!$E316&gt;=Settings!$C$8,'INPUT - Bookings'!$E316&lt;=Settings!$C$8+14,IFERROR(INDEX(Settings!$Q$14:$Q$24,MATCH('INPUT - Bookings'!$G316,Settings!$P$14:$P$24,0)),"Yes")="Yes"),'INPUT - Bookings'!$E316+ROW()/100000,"")</f>
        <v/>
      </c>
    </row>
    <row r="317">
      <c r="BB317" s="244">
        <f>IF('INPUT - Bookings'!$B317="",0,IF(AND(OR(Dashboard!$D$9="All",TRIM('INPUT - Bookings'!$C317)=Dashboard!$D$9),OR(Dashboard!$J$9="All",TRIM('INPUT - Bookings'!$D317)=Dashboard!$J$9)),1,0))</f>
        <v/>
      </c>
      <c r="BC317" s="244">
        <f>IF(AND(BB317=1,ISNUMBER('INPUT - Bookings'!$E317),'INPUT - Bookings'!$E317&gt;=Settings!$C$8,'INPUT - Bookings'!$E317&lt;=Settings!$C$8+14,IFERROR(INDEX(Settings!$Q$14:$Q$24,MATCH('INPUT - Bookings'!$G317,Settings!$P$14:$P$24,0)),"Yes")="Yes"),'INPUT - Bookings'!$E317+ROW()/100000,"")</f>
        <v/>
      </c>
    </row>
    <row r="318">
      <c r="BB318" s="244">
        <f>IF('INPUT - Bookings'!$B318="",0,IF(AND(OR(Dashboard!$D$9="All",TRIM('INPUT - Bookings'!$C318)=Dashboard!$D$9),OR(Dashboard!$J$9="All",TRIM('INPUT - Bookings'!$D318)=Dashboard!$J$9)),1,0))</f>
        <v/>
      </c>
      <c r="BC318" s="244">
        <f>IF(AND(BB318=1,ISNUMBER('INPUT - Bookings'!$E318),'INPUT - Bookings'!$E318&gt;=Settings!$C$8,'INPUT - Bookings'!$E318&lt;=Settings!$C$8+14,IFERROR(INDEX(Settings!$Q$14:$Q$24,MATCH('INPUT - Bookings'!$G318,Settings!$P$14:$P$24,0)),"Yes")="Yes"),'INPUT - Bookings'!$E318+ROW()/100000,"")</f>
        <v/>
      </c>
    </row>
    <row r="319">
      <c r="BB319" s="244">
        <f>IF('INPUT - Bookings'!$B319="",0,IF(AND(OR(Dashboard!$D$9="All",TRIM('INPUT - Bookings'!$C319)=Dashboard!$D$9),OR(Dashboard!$J$9="All",TRIM('INPUT - Bookings'!$D319)=Dashboard!$J$9)),1,0))</f>
        <v/>
      </c>
      <c r="BC319" s="244">
        <f>IF(AND(BB319=1,ISNUMBER('INPUT - Bookings'!$E319),'INPUT - Bookings'!$E319&gt;=Settings!$C$8,'INPUT - Bookings'!$E319&lt;=Settings!$C$8+14,IFERROR(INDEX(Settings!$Q$14:$Q$24,MATCH('INPUT - Bookings'!$G319,Settings!$P$14:$P$24,0)),"Yes")="Yes"),'INPUT - Bookings'!$E319+ROW()/100000,"")</f>
        <v/>
      </c>
    </row>
    <row r="320">
      <c r="BB320" s="244">
        <f>IF('INPUT - Bookings'!$B320="",0,IF(AND(OR(Dashboard!$D$9="All",TRIM('INPUT - Bookings'!$C320)=Dashboard!$D$9),OR(Dashboard!$J$9="All",TRIM('INPUT - Bookings'!$D320)=Dashboard!$J$9)),1,0))</f>
        <v/>
      </c>
      <c r="BC320" s="244">
        <f>IF(AND(BB320=1,ISNUMBER('INPUT - Bookings'!$E320),'INPUT - Bookings'!$E320&gt;=Settings!$C$8,'INPUT - Bookings'!$E320&lt;=Settings!$C$8+14,IFERROR(INDEX(Settings!$Q$14:$Q$24,MATCH('INPUT - Bookings'!$G320,Settings!$P$14:$P$24,0)),"Yes")="Yes"),'INPUT - Bookings'!$E320+ROW()/100000,"")</f>
        <v/>
      </c>
    </row>
    <row r="321">
      <c r="BB321" s="244">
        <f>IF('INPUT - Bookings'!$B321="",0,IF(AND(OR(Dashboard!$D$9="All",TRIM('INPUT - Bookings'!$C321)=Dashboard!$D$9),OR(Dashboard!$J$9="All",TRIM('INPUT - Bookings'!$D321)=Dashboard!$J$9)),1,0))</f>
        <v/>
      </c>
      <c r="BC321" s="244">
        <f>IF(AND(BB321=1,ISNUMBER('INPUT - Bookings'!$E321),'INPUT - Bookings'!$E321&gt;=Settings!$C$8,'INPUT - Bookings'!$E321&lt;=Settings!$C$8+14,IFERROR(INDEX(Settings!$Q$14:$Q$24,MATCH('INPUT - Bookings'!$G321,Settings!$P$14:$P$24,0)),"Yes")="Yes"),'INPUT - Bookings'!$E321+ROW()/100000,"")</f>
        <v/>
      </c>
    </row>
    <row r="322">
      <c r="BB322" s="244">
        <f>IF('INPUT - Bookings'!$B322="",0,IF(AND(OR(Dashboard!$D$9="All",TRIM('INPUT - Bookings'!$C322)=Dashboard!$D$9),OR(Dashboard!$J$9="All",TRIM('INPUT - Bookings'!$D322)=Dashboard!$J$9)),1,0))</f>
        <v/>
      </c>
      <c r="BC322" s="244">
        <f>IF(AND(BB322=1,ISNUMBER('INPUT - Bookings'!$E322),'INPUT - Bookings'!$E322&gt;=Settings!$C$8,'INPUT - Bookings'!$E322&lt;=Settings!$C$8+14,IFERROR(INDEX(Settings!$Q$14:$Q$24,MATCH('INPUT - Bookings'!$G322,Settings!$P$14:$P$24,0)),"Yes")="Yes"),'INPUT - Bookings'!$E322+ROW()/100000,"")</f>
        <v/>
      </c>
    </row>
    <row r="323">
      <c r="BB323" s="244">
        <f>IF('INPUT - Bookings'!$B323="",0,IF(AND(OR(Dashboard!$D$9="All",TRIM('INPUT - Bookings'!$C323)=Dashboard!$D$9),OR(Dashboard!$J$9="All",TRIM('INPUT - Bookings'!$D323)=Dashboard!$J$9)),1,0))</f>
        <v/>
      </c>
      <c r="BC323" s="244">
        <f>IF(AND(BB323=1,ISNUMBER('INPUT - Bookings'!$E323),'INPUT - Bookings'!$E323&gt;=Settings!$C$8,'INPUT - Bookings'!$E323&lt;=Settings!$C$8+14,IFERROR(INDEX(Settings!$Q$14:$Q$24,MATCH('INPUT - Bookings'!$G323,Settings!$P$14:$P$24,0)),"Yes")="Yes"),'INPUT - Bookings'!$E323+ROW()/100000,"")</f>
        <v/>
      </c>
    </row>
    <row r="324">
      <c r="BB324" s="244">
        <f>IF('INPUT - Bookings'!$B324="",0,IF(AND(OR(Dashboard!$D$9="All",TRIM('INPUT - Bookings'!$C324)=Dashboard!$D$9),OR(Dashboard!$J$9="All",TRIM('INPUT - Bookings'!$D324)=Dashboard!$J$9)),1,0))</f>
        <v/>
      </c>
      <c r="BC324" s="244">
        <f>IF(AND(BB324=1,ISNUMBER('INPUT - Bookings'!$E324),'INPUT - Bookings'!$E324&gt;=Settings!$C$8,'INPUT - Bookings'!$E324&lt;=Settings!$C$8+14,IFERROR(INDEX(Settings!$Q$14:$Q$24,MATCH('INPUT - Bookings'!$G324,Settings!$P$14:$P$24,0)),"Yes")="Yes"),'INPUT - Bookings'!$E324+ROW()/100000,"")</f>
        <v/>
      </c>
    </row>
    <row r="325">
      <c r="BB325" s="244">
        <f>IF('INPUT - Bookings'!$B325="",0,IF(AND(OR(Dashboard!$D$9="All",TRIM('INPUT - Bookings'!$C325)=Dashboard!$D$9),OR(Dashboard!$J$9="All",TRIM('INPUT - Bookings'!$D325)=Dashboard!$J$9)),1,0))</f>
        <v/>
      </c>
      <c r="BC325" s="244">
        <f>IF(AND(BB325=1,ISNUMBER('INPUT - Bookings'!$E325),'INPUT - Bookings'!$E325&gt;=Settings!$C$8,'INPUT - Bookings'!$E325&lt;=Settings!$C$8+14,IFERROR(INDEX(Settings!$Q$14:$Q$24,MATCH('INPUT - Bookings'!$G325,Settings!$P$14:$P$24,0)),"Yes")="Yes"),'INPUT - Bookings'!$E325+ROW()/100000,"")</f>
        <v/>
      </c>
    </row>
    <row r="326">
      <c r="BB326" s="244">
        <f>IF('INPUT - Bookings'!$B326="",0,IF(AND(OR(Dashboard!$D$9="All",TRIM('INPUT - Bookings'!$C326)=Dashboard!$D$9),OR(Dashboard!$J$9="All",TRIM('INPUT - Bookings'!$D326)=Dashboard!$J$9)),1,0))</f>
        <v/>
      </c>
      <c r="BC326" s="244">
        <f>IF(AND(BB326=1,ISNUMBER('INPUT - Bookings'!$E326),'INPUT - Bookings'!$E326&gt;=Settings!$C$8,'INPUT - Bookings'!$E326&lt;=Settings!$C$8+14,IFERROR(INDEX(Settings!$Q$14:$Q$24,MATCH('INPUT - Bookings'!$G326,Settings!$P$14:$P$24,0)),"Yes")="Yes"),'INPUT - Bookings'!$E326+ROW()/100000,"")</f>
        <v/>
      </c>
    </row>
    <row r="327">
      <c r="BB327" s="244">
        <f>IF('INPUT - Bookings'!$B327="",0,IF(AND(OR(Dashboard!$D$9="All",TRIM('INPUT - Bookings'!$C327)=Dashboard!$D$9),OR(Dashboard!$J$9="All",TRIM('INPUT - Bookings'!$D327)=Dashboard!$J$9)),1,0))</f>
        <v/>
      </c>
      <c r="BC327" s="244">
        <f>IF(AND(BB327=1,ISNUMBER('INPUT - Bookings'!$E327),'INPUT - Bookings'!$E327&gt;=Settings!$C$8,'INPUT - Bookings'!$E327&lt;=Settings!$C$8+14,IFERROR(INDEX(Settings!$Q$14:$Q$24,MATCH('INPUT - Bookings'!$G327,Settings!$P$14:$P$24,0)),"Yes")="Yes"),'INPUT - Bookings'!$E327+ROW()/100000,"")</f>
        <v/>
      </c>
    </row>
    <row r="328">
      <c r="BB328" s="244">
        <f>IF('INPUT - Bookings'!$B328="",0,IF(AND(OR(Dashboard!$D$9="All",TRIM('INPUT - Bookings'!$C328)=Dashboard!$D$9),OR(Dashboard!$J$9="All",TRIM('INPUT - Bookings'!$D328)=Dashboard!$J$9)),1,0))</f>
        <v/>
      </c>
      <c r="BC328" s="244">
        <f>IF(AND(BB328=1,ISNUMBER('INPUT - Bookings'!$E328),'INPUT - Bookings'!$E328&gt;=Settings!$C$8,'INPUT - Bookings'!$E328&lt;=Settings!$C$8+14,IFERROR(INDEX(Settings!$Q$14:$Q$24,MATCH('INPUT - Bookings'!$G328,Settings!$P$14:$P$24,0)),"Yes")="Yes"),'INPUT - Bookings'!$E328+ROW()/100000,"")</f>
        <v/>
      </c>
    </row>
    <row r="329">
      <c r="BB329" s="244">
        <f>IF('INPUT - Bookings'!$B329="",0,IF(AND(OR(Dashboard!$D$9="All",TRIM('INPUT - Bookings'!$C329)=Dashboard!$D$9),OR(Dashboard!$J$9="All",TRIM('INPUT - Bookings'!$D329)=Dashboard!$J$9)),1,0))</f>
        <v/>
      </c>
      <c r="BC329" s="244">
        <f>IF(AND(BB329=1,ISNUMBER('INPUT - Bookings'!$E329),'INPUT - Bookings'!$E329&gt;=Settings!$C$8,'INPUT - Bookings'!$E329&lt;=Settings!$C$8+14,IFERROR(INDEX(Settings!$Q$14:$Q$24,MATCH('INPUT - Bookings'!$G329,Settings!$P$14:$P$24,0)),"Yes")="Yes"),'INPUT - Bookings'!$E329+ROW()/100000,"")</f>
        <v/>
      </c>
    </row>
    <row r="330">
      <c r="BB330" s="244">
        <f>IF('INPUT - Bookings'!$B330="",0,IF(AND(OR(Dashboard!$D$9="All",TRIM('INPUT - Bookings'!$C330)=Dashboard!$D$9),OR(Dashboard!$J$9="All",TRIM('INPUT - Bookings'!$D330)=Dashboard!$J$9)),1,0))</f>
        <v/>
      </c>
      <c r="BC330" s="244">
        <f>IF(AND(BB330=1,ISNUMBER('INPUT - Bookings'!$E330),'INPUT - Bookings'!$E330&gt;=Settings!$C$8,'INPUT - Bookings'!$E330&lt;=Settings!$C$8+14,IFERROR(INDEX(Settings!$Q$14:$Q$24,MATCH('INPUT - Bookings'!$G330,Settings!$P$14:$P$24,0)),"Yes")="Yes"),'INPUT - Bookings'!$E330+ROW()/100000,"")</f>
        <v/>
      </c>
    </row>
    <row r="331">
      <c r="BB331" s="244">
        <f>IF('INPUT - Bookings'!$B331="",0,IF(AND(OR(Dashboard!$D$9="All",TRIM('INPUT - Bookings'!$C331)=Dashboard!$D$9),OR(Dashboard!$J$9="All",TRIM('INPUT - Bookings'!$D331)=Dashboard!$J$9)),1,0))</f>
        <v/>
      </c>
      <c r="BC331" s="244">
        <f>IF(AND(BB331=1,ISNUMBER('INPUT - Bookings'!$E331),'INPUT - Bookings'!$E331&gt;=Settings!$C$8,'INPUT - Bookings'!$E331&lt;=Settings!$C$8+14,IFERROR(INDEX(Settings!$Q$14:$Q$24,MATCH('INPUT - Bookings'!$G331,Settings!$P$14:$P$24,0)),"Yes")="Yes"),'INPUT - Bookings'!$E331+ROW()/100000,"")</f>
        <v/>
      </c>
    </row>
    <row r="332">
      <c r="BB332" s="244">
        <f>IF('INPUT - Bookings'!$B332="",0,IF(AND(OR(Dashboard!$D$9="All",TRIM('INPUT - Bookings'!$C332)=Dashboard!$D$9),OR(Dashboard!$J$9="All",TRIM('INPUT - Bookings'!$D332)=Dashboard!$J$9)),1,0))</f>
        <v/>
      </c>
      <c r="BC332" s="244">
        <f>IF(AND(BB332=1,ISNUMBER('INPUT - Bookings'!$E332),'INPUT - Bookings'!$E332&gt;=Settings!$C$8,'INPUT - Bookings'!$E332&lt;=Settings!$C$8+14,IFERROR(INDEX(Settings!$Q$14:$Q$24,MATCH('INPUT - Bookings'!$G332,Settings!$P$14:$P$24,0)),"Yes")="Yes"),'INPUT - Bookings'!$E332+ROW()/100000,"")</f>
        <v/>
      </c>
    </row>
    <row r="333">
      <c r="BB333" s="244">
        <f>IF('INPUT - Bookings'!$B333="",0,IF(AND(OR(Dashboard!$D$9="All",TRIM('INPUT - Bookings'!$C333)=Dashboard!$D$9),OR(Dashboard!$J$9="All",TRIM('INPUT - Bookings'!$D333)=Dashboard!$J$9)),1,0))</f>
        <v/>
      </c>
      <c r="BC333" s="244">
        <f>IF(AND(BB333=1,ISNUMBER('INPUT - Bookings'!$E333),'INPUT - Bookings'!$E333&gt;=Settings!$C$8,'INPUT - Bookings'!$E333&lt;=Settings!$C$8+14,IFERROR(INDEX(Settings!$Q$14:$Q$24,MATCH('INPUT - Bookings'!$G333,Settings!$P$14:$P$24,0)),"Yes")="Yes"),'INPUT - Bookings'!$E333+ROW()/100000,"")</f>
        <v/>
      </c>
    </row>
    <row r="334">
      <c r="BB334" s="244">
        <f>IF('INPUT - Bookings'!$B334="",0,IF(AND(OR(Dashboard!$D$9="All",TRIM('INPUT - Bookings'!$C334)=Dashboard!$D$9),OR(Dashboard!$J$9="All",TRIM('INPUT - Bookings'!$D334)=Dashboard!$J$9)),1,0))</f>
        <v/>
      </c>
      <c r="BC334" s="244">
        <f>IF(AND(BB334=1,ISNUMBER('INPUT - Bookings'!$E334),'INPUT - Bookings'!$E334&gt;=Settings!$C$8,'INPUT - Bookings'!$E334&lt;=Settings!$C$8+14,IFERROR(INDEX(Settings!$Q$14:$Q$24,MATCH('INPUT - Bookings'!$G334,Settings!$P$14:$P$24,0)),"Yes")="Yes"),'INPUT - Bookings'!$E334+ROW()/100000,"")</f>
        <v/>
      </c>
    </row>
    <row r="335">
      <c r="BB335" s="244">
        <f>IF('INPUT - Bookings'!$B335="",0,IF(AND(OR(Dashboard!$D$9="All",TRIM('INPUT - Bookings'!$C335)=Dashboard!$D$9),OR(Dashboard!$J$9="All",TRIM('INPUT - Bookings'!$D335)=Dashboard!$J$9)),1,0))</f>
        <v/>
      </c>
      <c r="BC335" s="244">
        <f>IF(AND(BB335=1,ISNUMBER('INPUT - Bookings'!$E335),'INPUT - Bookings'!$E335&gt;=Settings!$C$8,'INPUT - Bookings'!$E335&lt;=Settings!$C$8+14,IFERROR(INDEX(Settings!$Q$14:$Q$24,MATCH('INPUT - Bookings'!$G335,Settings!$P$14:$P$24,0)),"Yes")="Yes"),'INPUT - Bookings'!$E335+ROW()/100000,"")</f>
        <v/>
      </c>
    </row>
    <row r="336">
      <c r="BB336" s="244">
        <f>IF('INPUT - Bookings'!$B336="",0,IF(AND(OR(Dashboard!$D$9="All",TRIM('INPUT - Bookings'!$C336)=Dashboard!$D$9),OR(Dashboard!$J$9="All",TRIM('INPUT - Bookings'!$D336)=Dashboard!$J$9)),1,0))</f>
        <v/>
      </c>
      <c r="BC336" s="244">
        <f>IF(AND(BB336=1,ISNUMBER('INPUT - Bookings'!$E336),'INPUT - Bookings'!$E336&gt;=Settings!$C$8,'INPUT - Bookings'!$E336&lt;=Settings!$C$8+14,IFERROR(INDEX(Settings!$Q$14:$Q$24,MATCH('INPUT - Bookings'!$G336,Settings!$P$14:$P$24,0)),"Yes")="Yes"),'INPUT - Bookings'!$E336+ROW()/100000,"")</f>
        <v/>
      </c>
    </row>
    <row r="337">
      <c r="BB337" s="244">
        <f>IF('INPUT - Bookings'!$B337="",0,IF(AND(OR(Dashboard!$D$9="All",TRIM('INPUT - Bookings'!$C337)=Dashboard!$D$9),OR(Dashboard!$J$9="All",TRIM('INPUT - Bookings'!$D337)=Dashboard!$J$9)),1,0))</f>
        <v/>
      </c>
      <c r="BC337" s="244">
        <f>IF(AND(BB337=1,ISNUMBER('INPUT - Bookings'!$E337),'INPUT - Bookings'!$E337&gt;=Settings!$C$8,'INPUT - Bookings'!$E337&lt;=Settings!$C$8+14,IFERROR(INDEX(Settings!$Q$14:$Q$24,MATCH('INPUT - Bookings'!$G337,Settings!$P$14:$P$24,0)),"Yes")="Yes"),'INPUT - Bookings'!$E337+ROW()/100000,"")</f>
        <v/>
      </c>
    </row>
    <row r="338">
      <c r="BB338" s="244">
        <f>IF('INPUT - Bookings'!$B338="",0,IF(AND(OR(Dashboard!$D$9="All",TRIM('INPUT - Bookings'!$C338)=Dashboard!$D$9),OR(Dashboard!$J$9="All",TRIM('INPUT - Bookings'!$D338)=Dashboard!$J$9)),1,0))</f>
        <v/>
      </c>
      <c r="BC338" s="244">
        <f>IF(AND(BB338=1,ISNUMBER('INPUT - Bookings'!$E338),'INPUT - Bookings'!$E338&gt;=Settings!$C$8,'INPUT - Bookings'!$E338&lt;=Settings!$C$8+14,IFERROR(INDEX(Settings!$Q$14:$Q$24,MATCH('INPUT - Bookings'!$G338,Settings!$P$14:$P$24,0)),"Yes")="Yes"),'INPUT - Bookings'!$E338+ROW()/100000,"")</f>
        <v/>
      </c>
    </row>
    <row r="339">
      <c r="BB339" s="244">
        <f>IF('INPUT - Bookings'!$B339="",0,IF(AND(OR(Dashboard!$D$9="All",TRIM('INPUT - Bookings'!$C339)=Dashboard!$D$9),OR(Dashboard!$J$9="All",TRIM('INPUT - Bookings'!$D339)=Dashboard!$J$9)),1,0))</f>
        <v/>
      </c>
      <c r="BC339" s="244">
        <f>IF(AND(BB339=1,ISNUMBER('INPUT - Bookings'!$E339),'INPUT - Bookings'!$E339&gt;=Settings!$C$8,'INPUT - Bookings'!$E339&lt;=Settings!$C$8+14,IFERROR(INDEX(Settings!$Q$14:$Q$24,MATCH('INPUT - Bookings'!$G339,Settings!$P$14:$P$24,0)),"Yes")="Yes"),'INPUT - Bookings'!$E339+ROW()/100000,"")</f>
        <v/>
      </c>
    </row>
    <row r="340">
      <c r="BB340" s="244">
        <f>IF('INPUT - Bookings'!$B340="",0,IF(AND(OR(Dashboard!$D$9="All",TRIM('INPUT - Bookings'!$C340)=Dashboard!$D$9),OR(Dashboard!$J$9="All",TRIM('INPUT - Bookings'!$D340)=Dashboard!$J$9)),1,0))</f>
        <v/>
      </c>
      <c r="BC340" s="244">
        <f>IF(AND(BB340=1,ISNUMBER('INPUT - Bookings'!$E340),'INPUT - Bookings'!$E340&gt;=Settings!$C$8,'INPUT - Bookings'!$E340&lt;=Settings!$C$8+14,IFERROR(INDEX(Settings!$Q$14:$Q$24,MATCH('INPUT - Bookings'!$G340,Settings!$P$14:$P$24,0)),"Yes")="Yes"),'INPUT - Bookings'!$E340+ROW()/100000,"")</f>
        <v/>
      </c>
    </row>
    <row r="341">
      <c r="BB341" s="244">
        <f>IF('INPUT - Bookings'!$B341="",0,IF(AND(OR(Dashboard!$D$9="All",TRIM('INPUT - Bookings'!$C341)=Dashboard!$D$9),OR(Dashboard!$J$9="All",TRIM('INPUT - Bookings'!$D341)=Dashboard!$J$9)),1,0))</f>
        <v/>
      </c>
      <c r="BC341" s="244">
        <f>IF(AND(BB341=1,ISNUMBER('INPUT - Bookings'!$E341),'INPUT - Bookings'!$E341&gt;=Settings!$C$8,'INPUT - Bookings'!$E341&lt;=Settings!$C$8+14,IFERROR(INDEX(Settings!$Q$14:$Q$24,MATCH('INPUT - Bookings'!$G341,Settings!$P$14:$P$24,0)),"Yes")="Yes"),'INPUT - Bookings'!$E341+ROW()/100000,"")</f>
        <v/>
      </c>
    </row>
    <row r="342">
      <c r="BB342" s="244">
        <f>IF('INPUT - Bookings'!$B342="",0,IF(AND(OR(Dashboard!$D$9="All",TRIM('INPUT - Bookings'!$C342)=Dashboard!$D$9),OR(Dashboard!$J$9="All",TRIM('INPUT - Bookings'!$D342)=Dashboard!$J$9)),1,0))</f>
        <v/>
      </c>
      <c r="BC342" s="244">
        <f>IF(AND(BB342=1,ISNUMBER('INPUT - Bookings'!$E342),'INPUT - Bookings'!$E342&gt;=Settings!$C$8,'INPUT - Bookings'!$E342&lt;=Settings!$C$8+14,IFERROR(INDEX(Settings!$Q$14:$Q$24,MATCH('INPUT - Bookings'!$G342,Settings!$P$14:$P$24,0)),"Yes")="Yes"),'INPUT - Bookings'!$E342+ROW()/100000,"")</f>
        <v/>
      </c>
    </row>
    <row r="343">
      <c r="BB343" s="244">
        <f>IF('INPUT - Bookings'!$B343="",0,IF(AND(OR(Dashboard!$D$9="All",TRIM('INPUT - Bookings'!$C343)=Dashboard!$D$9),OR(Dashboard!$J$9="All",TRIM('INPUT - Bookings'!$D343)=Dashboard!$J$9)),1,0))</f>
        <v/>
      </c>
      <c r="BC343" s="244">
        <f>IF(AND(BB343=1,ISNUMBER('INPUT - Bookings'!$E343),'INPUT - Bookings'!$E343&gt;=Settings!$C$8,'INPUT - Bookings'!$E343&lt;=Settings!$C$8+14,IFERROR(INDEX(Settings!$Q$14:$Q$24,MATCH('INPUT - Bookings'!$G343,Settings!$P$14:$P$24,0)),"Yes")="Yes"),'INPUT - Bookings'!$E343+ROW()/100000,"")</f>
        <v/>
      </c>
    </row>
    <row r="344">
      <c r="BB344" s="244">
        <f>IF('INPUT - Bookings'!$B344="",0,IF(AND(OR(Dashboard!$D$9="All",TRIM('INPUT - Bookings'!$C344)=Dashboard!$D$9),OR(Dashboard!$J$9="All",TRIM('INPUT - Bookings'!$D344)=Dashboard!$J$9)),1,0))</f>
        <v/>
      </c>
      <c r="BC344" s="244">
        <f>IF(AND(BB344=1,ISNUMBER('INPUT - Bookings'!$E344),'INPUT - Bookings'!$E344&gt;=Settings!$C$8,'INPUT - Bookings'!$E344&lt;=Settings!$C$8+14,IFERROR(INDEX(Settings!$Q$14:$Q$24,MATCH('INPUT - Bookings'!$G344,Settings!$P$14:$P$24,0)),"Yes")="Yes"),'INPUT - Bookings'!$E344+ROW()/100000,"")</f>
        <v/>
      </c>
    </row>
    <row r="345">
      <c r="BB345" s="244">
        <f>IF('INPUT - Bookings'!$B345="",0,IF(AND(OR(Dashboard!$D$9="All",TRIM('INPUT - Bookings'!$C345)=Dashboard!$D$9),OR(Dashboard!$J$9="All",TRIM('INPUT - Bookings'!$D345)=Dashboard!$J$9)),1,0))</f>
        <v/>
      </c>
      <c r="BC345" s="244">
        <f>IF(AND(BB345=1,ISNUMBER('INPUT - Bookings'!$E345),'INPUT - Bookings'!$E345&gt;=Settings!$C$8,'INPUT - Bookings'!$E345&lt;=Settings!$C$8+14,IFERROR(INDEX(Settings!$Q$14:$Q$24,MATCH('INPUT - Bookings'!$G345,Settings!$P$14:$P$24,0)),"Yes")="Yes"),'INPUT - Bookings'!$E345+ROW()/100000,"")</f>
        <v/>
      </c>
    </row>
    <row r="346">
      <c r="BB346" s="244">
        <f>IF('INPUT - Bookings'!$B346="",0,IF(AND(OR(Dashboard!$D$9="All",TRIM('INPUT - Bookings'!$C346)=Dashboard!$D$9),OR(Dashboard!$J$9="All",TRIM('INPUT - Bookings'!$D346)=Dashboard!$J$9)),1,0))</f>
        <v/>
      </c>
      <c r="BC346" s="244">
        <f>IF(AND(BB346=1,ISNUMBER('INPUT - Bookings'!$E346),'INPUT - Bookings'!$E346&gt;=Settings!$C$8,'INPUT - Bookings'!$E346&lt;=Settings!$C$8+14,IFERROR(INDEX(Settings!$Q$14:$Q$24,MATCH('INPUT - Bookings'!$G346,Settings!$P$14:$P$24,0)),"Yes")="Yes"),'INPUT - Bookings'!$E346+ROW()/100000,"")</f>
        <v/>
      </c>
    </row>
    <row r="347">
      <c r="BB347" s="244">
        <f>IF('INPUT - Bookings'!$B347="",0,IF(AND(OR(Dashboard!$D$9="All",TRIM('INPUT - Bookings'!$C347)=Dashboard!$D$9),OR(Dashboard!$J$9="All",TRIM('INPUT - Bookings'!$D347)=Dashboard!$J$9)),1,0))</f>
        <v/>
      </c>
      <c r="BC347" s="244">
        <f>IF(AND(BB347=1,ISNUMBER('INPUT - Bookings'!$E347),'INPUT - Bookings'!$E347&gt;=Settings!$C$8,'INPUT - Bookings'!$E347&lt;=Settings!$C$8+14,IFERROR(INDEX(Settings!$Q$14:$Q$24,MATCH('INPUT - Bookings'!$G347,Settings!$P$14:$P$24,0)),"Yes")="Yes"),'INPUT - Bookings'!$E347+ROW()/100000,"")</f>
        <v/>
      </c>
    </row>
    <row r="348">
      <c r="BB348" s="244">
        <f>IF('INPUT - Bookings'!$B348="",0,IF(AND(OR(Dashboard!$D$9="All",TRIM('INPUT - Bookings'!$C348)=Dashboard!$D$9),OR(Dashboard!$J$9="All",TRIM('INPUT - Bookings'!$D348)=Dashboard!$J$9)),1,0))</f>
        <v/>
      </c>
      <c r="BC348" s="244">
        <f>IF(AND(BB348=1,ISNUMBER('INPUT - Bookings'!$E348),'INPUT - Bookings'!$E348&gt;=Settings!$C$8,'INPUT - Bookings'!$E348&lt;=Settings!$C$8+14,IFERROR(INDEX(Settings!$Q$14:$Q$24,MATCH('INPUT - Bookings'!$G348,Settings!$P$14:$P$24,0)),"Yes")="Yes"),'INPUT - Bookings'!$E348+ROW()/100000,"")</f>
        <v/>
      </c>
    </row>
    <row r="349">
      <c r="BB349" s="244">
        <f>IF('INPUT - Bookings'!$B349="",0,IF(AND(OR(Dashboard!$D$9="All",TRIM('INPUT - Bookings'!$C349)=Dashboard!$D$9),OR(Dashboard!$J$9="All",TRIM('INPUT - Bookings'!$D349)=Dashboard!$J$9)),1,0))</f>
        <v/>
      </c>
      <c r="BC349" s="244">
        <f>IF(AND(BB349=1,ISNUMBER('INPUT - Bookings'!$E349),'INPUT - Bookings'!$E349&gt;=Settings!$C$8,'INPUT - Bookings'!$E349&lt;=Settings!$C$8+14,IFERROR(INDEX(Settings!$Q$14:$Q$24,MATCH('INPUT - Bookings'!$G349,Settings!$P$14:$P$24,0)),"Yes")="Yes"),'INPUT - Bookings'!$E349+ROW()/100000,"")</f>
        <v/>
      </c>
    </row>
    <row r="350">
      <c r="BB350" s="244">
        <f>IF('INPUT - Bookings'!$B350="",0,IF(AND(OR(Dashboard!$D$9="All",TRIM('INPUT - Bookings'!$C350)=Dashboard!$D$9),OR(Dashboard!$J$9="All",TRIM('INPUT - Bookings'!$D350)=Dashboard!$J$9)),1,0))</f>
        <v/>
      </c>
      <c r="BC350" s="244">
        <f>IF(AND(BB350=1,ISNUMBER('INPUT - Bookings'!$E350),'INPUT - Bookings'!$E350&gt;=Settings!$C$8,'INPUT - Bookings'!$E350&lt;=Settings!$C$8+14,IFERROR(INDEX(Settings!$Q$14:$Q$24,MATCH('INPUT - Bookings'!$G350,Settings!$P$14:$P$24,0)),"Yes")="Yes"),'INPUT - Bookings'!$E350+ROW()/100000,"")</f>
        <v/>
      </c>
    </row>
    <row r="351">
      <c r="BB351" s="244">
        <f>IF('INPUT - Bookings'!$B351="",0,IF(AND(OR(Dashboard!$D$9="All",TRIM('INPUT - Bookings'!$C351)=Dashboard!$D$9),OR(Dashboard!$J$9="All",TRIM('INPUT - Bookings'!$D351)=Dashboard!$J$9)),1,0))</f>
        <v/>
      </c>
      <c r="BC351" s="244">
        <f>IF(AND(BB351=1,ISNUMBER('INPUT - Bookings'!$E351),'INPUT - Bookings'!$E351&gt;=Settings!$C$8,'INPUT - Bookings'!$E351&lt;=Settings!$C$8+14,IFERROR(INDEX(Settings!$Q$14:$Q$24,MATCH('INPUT - Bookings'!$G351,Settings!$P$14:$P$24,0)),"Yes")="Yes"),'INPUT - Bookings'!$E351+ROW()/100000,"")</f>
        <v/>
      </c>
    </row>
    <row r="352">
      <c r="BB352" s="244">
        <f>IF('INPUT - Bookings'!$B352="",0,IF(AND(OR(Dashboard!$D$9="All",TRIM('INPUT - Bookings'!$C352)=Dashboard!$D$9),OR(Dashboard!$J$9="All",TRIM('INPUT - Bookings'!$D352)=Dashboard!$J$9)),1,0))</f>
        <v/>
      </c>
      <c r="BC352" s="244">
        <f>IF(AND(BB352=1,ISNUMBER('INPUT - Bookings'!$E352),'INPUT - Bookings'!$E352&gt;=Settings!$C$8,'INPUT - Bookings'!$E352&lt;=Settings!$C$8+14,IFERROR(INDEX(Settings!$Q$14:$Q$24,MATCH('INPUT - Bookings'!$G352,Settings!$P$14:$P$24,0)),"Yes")="Yes"),'INPUT - Bookings'!$E352+ROW()/100000,"")</f>
        <v/>
      </c>
    </row>
    <row r="353">
      <c r="BB353" s="244">
        <f>IF('INPUT - Bookings'!$B353="",0,IF(AND(OR(Dashboard!$D$9="All",TRIM('INPUT - Bookings'!$C353)=Dashboard!$D$9),OR(Dashboard!$J$9="All",TRIM('INPUT - Bookings'!$D353)=Dashboard!$J$9)),1,0))</f>
        <v/>
      </c>
      <c r="BC353" s="244">
        <f>IF(AND(BB353=1,ISNUMBER('INPUT - Bookings'!$E353),'INPUT - Bookings'!$E353&gt;=Settings!$C$8,'INPUT - Bookings'!$E353&lt;=Settings!$C$8+14,IFERROR(INDEX(Settings!$Q$14:$Q$24,MATCH('INPUT - Bookings'!$G353,Settings!$P$14:$P$24,0)),"Yes")="Yes"),'INPUT - Bookings'!$E353+ROW()/100000,"")</f>
        <v/>
      </c>
    </row>
    <row r="354">
      <c r="BB354" s="244">
        <f>IF('INPUT - Bookings'!$B354="",0,IF(AND(OR(Dashboard!$D$9="All",TRIM('INPUT - Bookings'!$C354)=Dashboard!$D$9),OR(Dashboard!$J$9="All",TRIM('INPUT - Bookings'!$D354)=Dashboard!$J$9)),1,0))</f>
        <v/>
      </c>
      <c r="BC354" s="244">
        <f>IF(AND(BB354=1,ISNUMBER('INPUT - Bookings'!$E354),'INPUT - Bookings'!$E354&gt;=Settings!$C$8,'INPUT - Bookings'!$E354&lt;=Settings!$C$8+14,IFERROR(INDEX(Settings!$Q$14:$Q$24,MATCH('INPUT - Bookings'!$G354,Settings!$P$14:$P$24,0)),"Yes")="Yes"),'INPUT - Bookings'!$E354+ROW()/100000,"")</f>
        <v/>
      </c>
    </row>
    <row r="355">
      <c r="BB355" s="244">
        <f>IF('INPUT - Bookings'!$B355="",0,IF(AND(OR(Dashboard!$D$9="All",TRIM('INPUT - Bookings'!$C355)=Dashboard!$D$9),OR(Dashboard!$J$9="All",TRIM('INPUT - Bookings'!$D355)=Dashboard!$J$9)),1,0))</f>
        <v/>
      </c>
      <c r="BC355" s="244">
        <f>IF(AND(BB355=1,ISNUMBER('INPUT - Bookings'!$E355),'INPUT - Bookings'!$E355&gt;=Settings!$C$8,'INPUT - Bookings'!$E355&lt;=Settings!$C$8+14,IFERROR(INDEX(Settings!$Q$14:$Q$24,MATCH('INPUT - Bookings'!$G355,Settings!$P$14:$P$24,0)),"Yes")="Yes"),'INPUT - Bookings'!$E355+ROW()/100000,"")</f>
        <v/>
      </c>
    </row>
    <row r="356">
      <c r="BB356" s="244">
        <f>IF('INPUT - Bookings'!$B356="",0,IF(AND(OR(Dashboard!$D$9="All",TRIM('INPUT - Bookings'!$C356)=Dashboard!$D$9),OR(Dashboard!$J$9="All",TRIM('INPUT - Bookings'!$D356)=Dashboard!$J$9)),1,0))</f>
        <v/>
      </c>
      <c r="BC356" s="244">
        <f>IF(AND(BB356=1,ISNUMBER('INPUT - Bookings'!$E356),'INPUT - Bookings'!$E356&gt;=Settings!$C$8,'INPUT - Bookings'!$E356&lt;=Settings!$C$8+14,IFERROR(INDEX(Settings!$Q$14:$Q$24,MATCH('INPUT - Bookings'!$G356,Settings!$P$14:$P$24,0)),"Yes")="Yes"),'INPUT - Bookings'!$E356+ROW()/100000,"")</f>
        <v/>
      </c>
    </row>
    <row r="357">
      <c r="BB357" s="244">
        <f>IF('INPUT - Bookings'!$B357="",0,IF(AND(OR(Dashboard!$D$9="All",TRIM('INPUT - Bookings'!$C357)=Dashboard!$D$9),OR(Dashboard!$J$9="All",TRIM('INPUT - Bookings'!$D357)=Dashboard!$J$9)),1,0))</f>
        <v/>
      </c>
      <c r="BC357" s="244">
        <f>IF(AND(BB357=1,ISNUMBER('INPUT - Bookings'!$E357),'INPUT - Bookings'!$E357&gt;=Settings!$C$8,'INPUT - Bookings'!$E357&lt;=Settings!$C$8+14,IFERROR(INDEX(Settings!$Q$14:$Q$24,MATCH('INPUT - Bookings'!$G357,Settings!$P$14:$P$24,0)),"Yes")="Yes"),'INPUT - Bookings'!$E357+ROW()/100000,"")</f>
        <v/>
      </c>
    </row>
    <row r="358">
      <c r="BB358" s="244">
        <f>IF('INPUT - Bookings'!$B358="",0,IF(AND(OR(Dashboard!$D$9="All",TRIM('INPUT - Bookings'!$C358)=Dashboard!$D$9),OR(Dashboard!$J$9="All",TRIM('INPUT - Bookings'!$D358)=Dashboard!$J$9)),1,0))</f>
        <v/>
      </c>
      <c r="BC358" s="244">
        <f>IF(AND(BB358=1,ISNUMBER('INPUT - Bookings'!$E358),'INPUT - Bookings'!$E358&gt;=Settings!$C$8,'INPUT - Bookings'!$E358&lt;=Settings!$C$8+14,IFERROR(INDEX(Settings!$Q$14:$Q$24,MATCH('INPUT - Bookings'!$G358,Settings!$P$14:$P$24,0)),"Yes")="Yes"),'INPUT - Bookings'!$E358+ROW()/100000,"")</f>
        <v/>
      </c>
    </row>
    <row r="359">
      <c r="BB359" s="244">
        <f>IF('INPUT - Bookings'!$B359="",0,IF(AND(OR(Dashboard!$D$9="All",TRIM('INPUT - Bookings'!$C359)=Dashboard!$D$9),OR(Dashboard!$J$9="All",TRIM('INPUT - Bookings'!$D359)=Dashboard!$J$9)),1,0))</f>
        <v/>
      </c>
      <c r="BC359" s="244">
        <f>IF(AND(BB359=1,ISNUMBER('INPUT - Bookings'!$E359),'INPUT - Bookings'!$E359&gt;=Settings!$C$8,'INPUT - Bookings'!$E359&lt;=Settings!$C$8+14,IFERROR(INDEX(Settings!$Q$14:$Q$24,MATCH('INPUT - Bookings'!$G359,Settings!$P$14:$P$24,0)),"Yes")="Yes"),'INPUT - Bookings'!$E359+ROW()/100000,"")</f>
        <v/>
      </c>
    </row>
    <row r="360">
      <c r="BB360" s="244">
        <f>IF('INPUT - Bookings'!$B360="",0,IF(AND(OR(Dashboard!$D$9="All",TRIM('INPUT - Bookings'!$C360)=Dashboard!$D$9),OR(Dashboard!$J$9="All",TRIM('INPUT - Bookings'!$D360)=Dashboard!$J$9)),1,0))</f>
        <v/>
      </c>
      <c r="BC360" s="244">
        <f>IF(AND(BB360=1,ISNUMBER('INPUT - Bookings'!$E360),'INPUT - Bookings'!$E360&gt;=Settings!$C$8,'INPUT - Bookings'!$E360&lt;=Settings!$C$8+14,IFERROR(INDEX(Settings!$Q$14:$Q$24,MATCH('INPUT - Bookings'!$G360,Settings!$P$14:$P$24,0)),"Yes")="Yes"),'INPUT - Bookings'!$E360+ROW()/100000,"")</f>
        <v/>
      </c>
    </row>
    <row r="361">
      <c r="BB361" s="244">
        <f>IF('INPUT - Bookings'!$B361="",0,IF(AND(OR(Dashboard!$D$9="All",TRIM('INPUT - Bookings'!$C361)=Dashboard!$D$9),OR(Dashboard!$J$9="All",TRIM('INPUT - Bookings'!$D361)=Dashboard!$J$9)),1,0))</f>
        <v/>
      </c>
      <c r="BC361" s="244">
        <f>IF(AND(BB361=1,ISNUMBER('INPUT - Bookings'!$E361),'INPUT - Bookings'!$E361&gt;=Settings!$C$8,'INPUT - Bookings'!$E361&lt;=Settings!$C$8+14,IFERROR(INDEX(Settings!$Q$14:$Q$24,MATCH('INPUT - Bookings'!$G361,Settings!$P$14:$P$24,0)),"Yes")="Yes"),'INPUT - Bookings'!$E361+ROW()/100000,"")</f>
        <v/>
      </c>
    </row>
    <row r="362">
      <c r="BB362" s="244">
        <f>IF('INPUT - Bookings'!$B362="",0,IF(AND(OR(Dashboard!$D$9="All",TRIM('INPUT - Bookings'!$C362)=Dashboard!$D$9),OR(Dashboard!$J$9="All",TRIM('INPUT - Bookings'!$D362)=Dashboard!$J$9)),1,0))</f>
        <v/>
      </c>
      <c r="BC362" s="244">
        <f>IF(AND(BB362=1,ISNUMBER('INPUT - Bookings'!$E362),'INPUT - Bookings'!$E362&gt;=Settings!$C$8,'INPUT - Bookings'!$E362&lt;=Settings!$C$8+14,IFERROR(INDEX(Settings!$Q$14:$Q$24,MATCH('INPUT - Bookings'!$G362,Settings!$P$14:$P$24,0)),"Yes")="Yes"),'INPUT - Bookings'!$E362+ROW()/100000,"")</f>
        <v/>
      </c>
    </row>
    <row r="363">
      <c r="BB363" s="244">
        <f>IF('INPUT - Bookings'!$B363="",0,IF(AND(OR(Dashboard!$D$9="All",TRIM('INPUT - Bookings'!$C363)=Dashboard!$D$9),OR(Dashboard!$J$9="All",TRIM('INPUT - Bookings'!$D363)=Dashboard!$J$9)),1,0))</f>
        <v/>
      </c>
      <c r="BC363" s="244">
        <f>IF(AND(BB363=1,ISNUMBER('INPUT - Bookings'!$E363),'INPUT - Bookings'!$E363&gt;=Settings!$C$8,'INPUT - Bookings'!$E363&lt;=Settings!$C$8+14,IFERROR(INDEX(Settings!$Q$14:$Q$24,MATCH('INPUT - Bookings'!$G363,Settings!$P$14:$P$24,0)),"Yes")="Yes"),'INPUT - Bookings'!$E363+ROW()/100000,"")</f>
        <v/>
      </c>
    </row>
    <row r="364">
      <c r="BB364" s="244">
        <f>IF('INPUT - Bookings'!$B364="",0,IF(AND(OR(Dashboard!$D$9="All",TRIM('INPUT - Bookings'!$C364)=Dashboard!$D$9),OR(Dashboard!$J$9="All",TRIM('INPUT - Bookings'!$D364)=Dashboard!$J$9)),1,0))</f>
        <v/>
      </c>
      <c r="BC364" s="244">
        <f>IF(AND(BB364=1,ISNUMBER('INPUT - Bookings'!$E364),'INPUT - Bookings'!$E364&gt;=Settings!$C$8,'INPUT - Bookings'!$E364&lt;=Settings!$C$8+14,IFERROR(INDEX(Settings!$Q$14:$Q$24,MATCH('INPUT - Bookings'!$G364,Settings!$P$14:$P$24,0)),"Yes")="Yes"),'INPUT - Bookings'!$E364+ROW()/100000,"")</f>
        <v/>
      </c>
    </row>
    <row r="365">
      <c r="BB365" s="244">
        <f>IF('INPUT - Bookings'!$B365="",0,IF(AND(OR(Dashboard!$D$9="All",TRIM('INPUT - Bookings'!$C365)=Dashboard!$D$9),OR(Dashboard!$J$9="All",TRIM('INPUT - Bookings'!$D365)=Dashboard!$J$9)),1,0))</f>
        <v/>
      </c>
      <c r="BC365" s="244">
        <f>IF(AND(BB365=1,ISNUMBER('INPUT - Bookings'!$E365),'INPUT - Bookings'!$E365&gt;=Settings!$C$8,'INPUT - Bookings'!$E365&lt;=Settings!$C$8+14,IFERROR(INDEX(Settings!$Q$14:$Q$24,MATCH('INPUT - Bookings'!$G365,Settings!$P$14:$P$24,0)),"Yes")="Yes"),'INPUT - Bookings'!$E365+ROW()/100000,"")</f>
        <v/>
      </c>
    </row>
    <row r="366">
      <c r="BB366" s="244">
        <f>IF('INPUT - Bookings'!$B366="",0,IF(AND(OR(Dashboard!$D$9="All",TRIM('INPUT - Bookings'!$C366)=Dashboard!$D$9),OR(Dashboard!$J$9="All",TRIM('INPUT - Bookings'!$D366)=Dashboard!$J$9)),1,0))</f>
        <v/>
      </c>
      <c r="BC366" s="244">
        <f>IF(AND(BB366=1,ISNUMBER('INPUT - Bookings'!$E366),'INPUT - Bookings'!$E366&gt;=Settings!$C$8,'INPUT - Bookings'!$E366&lt;=Settings!$C$8+14,IFERROR(INDEX(Settings!$Q$14:$Q$24,MATCH('INPUT - Bookings'!$G366,Settings!$P$14:$P$24,0)),"Yes")="Yes"),'INPUT - Bookings'!$E366+ROW()/100000,"")</f>
        <v/>
      </c>
    </row>
    <row r="367">
      <c r="BB367" s="244">
        <f>IF('INPUT - Bookings'!$B367="",0,IF(AND(OR(Dashboard!$D$9="All",TRIM('INPUT - Bookings'!$C367)=Dashboard!$D$9),OR(Dashboard!$J$9="All",TRIM('INPUT - Bookings'!$D367)=Dashboard!$J$9)),1,0))</f>
        <v/>
      </c>
      <c r="BC367" s="244">
        <f>IF(AND(BB367=1,ISNUMBER('INPUT - Bookings'!$E367),'INPUT - Bookings'!$E367&gt;=Settings!$C$8,'INPUT - Bookings'!$E367&lt;=Settings!$C$8+14,IFERROR(INDEX(Settings!$Q$14:$Q$24,MATCH('INPUT - Bookings'!$G367,Settings!$P$14:$P$24,0)),"Yes")="Yes"),'INPUT - Bookings'!$E367+ROW()/100000,"")</f>
        <v/>
      </c>
    </row>
    <row r="368">
      <c r="BB368" s="244">
        <f>IF('INPUT - Bookings'!$B368="",0,IF(AND(OR(Dashboard!$D$9="All",TRIM('INPUT - Bookings'!$C368)=Dashboard!$D$9),OR(Dashboard!$J$9="All",TRIM('INPUT - Bookings'!$D368)=Dashboard!$J$9)),1,0))</f>
        <v/>
      </c>
      <c r="BC368" s="244">
        <f>IF(AND(BB368=1,ISNUMBER('INPUT - Bookings'!$E368),'INPUT - Bookings'!$E368&gt;=Settings!$C$8,'INPUT - Bookings'!$E368&lt;=Settings!$C$8+14,IFERROR(INDEX(Settings!$Q$14:$Q$24,MATCH('INPUT - Bookings'!$G368,Settings!$P$14:$P$24,0)),"Yes")="Yes"),'INPUT - Bookings'!$E368+ROW()/100000,"")</f>
        <v/>
      </c>
    </row>
    <row r="369">
      <c r="BB369" s="244">
        <f>IF('INPUT - Bookings'!$B369="",0,IF(AND(OR(Dashboard!$D$9="All",TRIM('INPUT - Bookings'!$C369)=Dashboard!$D$9),OR(Dashboard!$J$9="All",TRIM('INPUT - Bookings'!$D369)=Dashboard!$J$9)),1,0))</f>
        <v/>
      </c>
      <c r="BC369" s="244">
        <f>IF(AND(BB369=1,ISNUMBER('INPUT - Bookings'!$E369),'INPUT - Bookings'!$E369&gt;=Settings!$C$8,'INPUT - Bookings'!$E369&lt;=Settings!$C$8+14,IFERROR(INDEX(Settings!$Q$14:$Q$24,MATCH('INPUT - Bookings'!$G369,Settings!$P$14:$P$24,0)),"Yes")="Yes"),'INPUT - Bookings'!$E369+ROW()/100000,"")</f>
        <v/>
      </c>
    </row>
    <row r="370">
      <c r="BB370" s="244">
        <f>IF('INPUT - Bookings'!$B370="",0,IF(AND(OR(Dashboard!$D$9="All",TRIM('INPUT - Bookings'!$C370)=Dashboard!$D$9),OR(Dashboard!$J$9="All",TRIM('INPUT - Bookings'!$D370)=Dashboard!$J$9)),1,0))</f>
        <v/>
      </c>
      <c r="BC370" s="244">
        <f>IF(AND(BB370=1,ISNUMBER('INPUT - Bookings'!$E370),'INPUT - Bookings'!$E370&gt;=Settings!$C$8,'INPUT - Bookings'!$E370&lt;=Settings!$C$8+14,IFERROR(INDEX(Settings!$Q$14:$Q$24,MATCH('INPUT - Bookings'!$G370,Settings!$P$14:$P$24,0)),"Yes")="Yes"),'INPUT - Bookings'!$E370+ROW()/100000,"")</f>
        <v/>
      </c>
    </row>
    <row r="371">
      <c r="BB371" s="244">
        <f>IF('INPUT - Bookings'!$B371="",0,IF(AND(OR(Dashboard!$D$9="All",TRIM('INPUT - Bookings'!$C371)=Dashboard!$D$9),OR(Dashboard!$J$9="All",TRIM('INPUT - Bookings'!$D371)=Dashboard!$J$9)),1,0))</f>
        <v/>
      </c>
      <c r="BC371" s="244">
        <f>IF(AND(BB371=1,ISNUMBER('INPUT - Bookings'!$E371),'INPUT - Bookings'!$E371&gt;=Settings!$C$8,'INPUT - Bookings'!$E371&lt;=Settings!$C$8+14,IFERROR(INDEX(Settings!$Q$14:$Q$24,MATCH('INPUT - Bookings'!$G371,Settings!$P$14:$P$24,0)),"Yes")="Yes"),'INPUT - Bookings'!$E371+ROW()/100000,"")</f>
        <v/>
      </c>
    </row>
    <row r="372">
      <c r="BB372" s="244">
        <f>IF('INPUT - Bookings'!$B372="",0,IF(AND(OR(Dashboard!$D$9="All",TRIM('INPUT - Bookings'!$C372)=Dashboard!$D$9),OR(Dashboard!$J$9="All",TRIM('INPUT - Bookings'!$D372)=Dashboard!$J$9)),1,0))</f>
        <v/>
      </c>
      <c r="BC372" s="244">
        <f>IF(AND(BB372=1,ISNUMBER('INPUT - Bookings'!$E372),'INPUT - Bookings'!$E372&gt;=Settings!$C$8,'INPUT - Bookings'!$E372&lt;=Settings!$C$8+14,IFERROR(INDEX(Settings!$Q$14:$Q$24,MATCH('INPUT - Bookings'!$G372,Settings!$P$14:$P$24,0)),"Yes")="Yes"),'INPUT - Bookings'!$E372+ROW()/100000,"")</f>
        <v/>
      </c>
    </row>
    <row r="373">
      <c r="BB373" s="244">
        <f>IF('INPUT - Bookings'!$B373="",0,IF(AND(OR(Dashboard!$D$9="All",TRIM('INPUT - Bookings'!$C373)=Dashboard!$D$9),OR(Dashboard!$J$9="All",TRIM('INPUT - Bookings'!$D373)=Dashboard!$J$9)),1,0))</f>
        <v/>
      </c>
      <c r="BC373" s="244">
        <f>IF(AND(BB373=1,ISNUMBER('INPUT - Bookings'!$E373),'INPUT - Bookings'!$E373&gt;=Settings!$C$8,'INPUT - Bookings'!$E373&lt;=Settings!$C$8+14,IFERROR(INDEX(Settings!$Q$14:$Q$24,MATCH('INPUT - Bookings'!$G373,Settings!$P$14:$P$24,0)),"Yes")="Yes"),'INPUT - Bookings'!$E373+ROW()/100000,"")</f>
        <v/>
      </c>
    </row>
    <row r="374">
      <c r="BB374" s="244">
        <f>IF('INPUT - Bookings'!$B374="",0,IF(AND(OR(Dashboard!$D$9="All",TRIM('INPUT - Bookings'!$C374)=Dashboard!$D$9),OR(Dashboard!$J$9="All",TRIM('INPUT - Bookings'!$D374)=Dashboard!$J$9)),1,0))</f>
        <v/>
      </c>
      <c r="BC374" s="244">
        <f>IF(AND(BB374=1,ISNUMBER('INPUT - Bookings'!$E374),'INPUT - Bookings'!$E374&gt;=Settings!$C$8,'INPUT - Bookings'!$E374&lt;=Settings!$C$8+14,IFERROR(INDEX(Settings!$Q$14:$Q$24,MATCH('INPUT - Bookings'!$G374,Settings!$P$14:$P$24,0)),"Yes")="Yes"),'INPUT - Bookings'!$E374+ROW()/100000,"")</f>
        <v/>
      </c>
    </row>
    <row r="375">
      <c r="BB375" s="244">
        <f>IF('INPUT - Bookings'!$B375="",0,IF(AND(OR(Dashboard!$D$9="All",TRIM('INPUT - Bookings'!$C375)=Dashboard!$D$9),OR(Dashboard!$J$9="All",TRIM('INPUT - Bookings'!$D375)=Dashboard!$J$9)),1,0))</f>
        <v/>
      </c>
      <c r="BC375" s="244">
        <f>IF(AND(BB375=1,ISNUMBER('INPUT - Bookings'!$E375),'INPUT - Bookings'!$E375&gt;=Settings!$C$8,'INPUT - Bookings'!$E375&lt;=Settings!$C$8+14,IFERROR(INDEX(Settings!$Q$14:$Q$24,MATCH('INPUT - Bookings'!$G375,Settings!$P$14:$P$24,0)),"Yes")="Yes"),'INPUT - Bookings'!$E375+ROW()/100000,"")</f>
        <v/>
      </c>
    </row>
    <row r="376">
      <c r="BB376" s="244">
        <f>IF('INPUT - Bookings'!$B376="",0,IF(AND(OR(Dashboard!$D$9="All",TRIM('INPUT - Bookings'!$C376)=Dashboard!$D$9),OR(Dashboard!$J$9="All",TRIM('INPUT - Bookings'!$D376)=Dashboard!$J$9)),1,0))</f>
        <v/>
      </c>
      <c r="BC376" s="244">
        <f>IF(AND(BB376=1,ISNUMBER('INPUT - Bookings'!$E376),'INPUT - Bookings'!$E376&gt;=Settings!$C$8,'INPUT - Bookings'!$E376&lt;=Settings!$C$8+14,IFERROR(INDEX(Settings!$Q$14:$Q$24,MATCH('INPUT - Bookings'!$G376,Settings!$P$14:$P$24,0)),"Yes")="Yes"),'INPUT - Bookings'!$E376+ROW()/100000,"")</f>
        <v/>
      </c>
    </row>
    <row r="377">
      <c r="BB377" s="244">
        <f>IF('INPUT - Bookings'!$B377="",0,IF(AND(OR(Dashboard!$D$9="All",TRIM('INPUT - Bookings'!$C377)=Dashboard!$D$9),OR(Dashboard!$J$9="All",TRIM('INPUT - Bookings'!$D377)=Dashboard!$J$9)),1,0))</f>
        <v/>
      </c>
      <c r="BC377" s="244">
        <f>IF(AND(BB377=1,ISNUMBER('INPUT - Bookings'!$E377),'INPUT - Bookings'!$E377&gt;=Settings!$C$8,'INPUT - Bookings'!$E377&lt;=Settings!$C$8+14,IFERROR(INDEX(Settings!$Q$14:$Q$24,MATCH('INPUT - Bookings'!$G377,Settings!$P$14:$P$24,0)),"Yes")="Yes"),'INPUT - Bookings'!$E377+ROW()/100000,"")</f>
        <v/>
      </c>
    </row>
    <row r="378">
      <c r="BB378" s="244">
        <f>IF('INPUT - Bookings'!$B378="",0,IF(AND(OR(Dashboard!$D$9="All",TRIM('INPUT - Bookings'!$C378)=Dashboard!$D$9),OR(Dashboard!$J$9="All",TRIM('INPUT - Bookings'!$D378)=Dashboard!$J$9)),1,0))</f>
        <v/>
      </c>
      <c r="BC378" s="244">
        <f>IF(AND(BB378=1,ISNUMBER('INPUT - Bookings'!$E378),'INPUT - Bookings'!$E378&gt;=Settings!$C$8,'INPUT - Bookings'!$E378&lt;=Settings!$C$8+14,IFERROR(INDEX(Settings!$Q$14:$Q$24,MATCH('INPUT - Bookings'!$G378,Settings!$P$14:$P$24,0)),"Yes")="Yes"),'INPUT - Bookings'!$E378+ROW()/100000,"")</f>
        <v/>
      </c>
    </row>
    <row r="379">
      <c r="BB379" s="244">
        <f>IF('INPUT - Bookings'!$B379="",0,IF(AND(OR(Dashboard!$D$9="All",TRIM('INPUT - Bookings'!$C379)=Dashboard!$D$9),OR(Dashboard!$J$9="All",TRIM('INPUT - Bookings'!$D379)=Dashboard!$J$9)),1,0))</f>
        <v/>
      </c>
      <c r="BC379" s="244">
        <f>IF(AND(BB379=1,ISNUMBER('INPUT - Bookings'!$E379),'INPUT - Bookings'!$E379&gt;=Settings!$C$8,'INPUT - Bookings'!$E379&lt;=Settings!$C$8+14,IFERROR(INDEX(Settings!$Q$14:$Q$24,MATCH('INPUT - Bookings'!$G379,Settings!$P$14:$P$24,0)),"Yes")="Yes"),'INPUT - Bookings'!$E379+ROW()/100000,"")</f>
        <v/>
      </c>
    </row>
    <row r="380">
      <c r="BB380" s="244">
        <f>IF('INPUT - Bookings'!$B380="",0,IF(AND(OR(Dashboard!$D$9="All",TRIM('INPUT - Bookings'!$C380)=Dashboard!$D$9),OR(Dashboard!$J$9="All",TRIM('INPUT - Bookings'!$D380)=Dashboard!$J$9)),1,0))</f>
        <v/>
      </c>
      <c r="BC380" s="244">
        <f>IF(AND(BB380=1,ISNUMBER('INPUT - Bookings'!$E380),'INPUT - Bookings'!$E380&gt;=Settings!$C$8,'INPUT - Bookings'!$E380&lt;=Settings!$C$8+14,IFERROR(INDEX(Settings!$Q$14:$Q$24,MATCH('INPUT - Bookings'!$G380,Settings!$P$14:$P$24,0)),"Yes")="Yes"),'INPUT - Bookings'!$E380+ROW()/100000,"")</f>
        <v/>
      </c>
    </row>
    <row r="381">
      <c r="BB381" s="244">
        <f>IF('INPUT - Bookings'!$B381="",0,IF(AND(OR(Dashboard!$D$9="All",TRIM('INPUT - Bookings'!$C381)=Dashboard!$D$9),OR(Dashboard!$J$9="All",TRIM('INPUT - Bookings'!$D381)=Dashboard!$J$9)),1,0))</f>
        <v/>
      </c>
      <c r="BC381" s="244">
        <f>IF(AND(BB381=1,ISNUMBER('INPUT - Bookings'!$E381),'INPUT - Bookings'!$E381&gt;=Settings!$C$8,'INPUT - Bookings'!$E381&lt;=Settings!$C$8+14,IFERROR(INDEX(Settings!$Q$14:$Q$24,MATCH('INPUT - Bookings'!$G381,Settings!$P$14:$P$24,0)),"Yes")="Yes"),'INPUT - Bookings'!$E381+ROW()/100000,"")</f>
        <v/>
      </c>
    </row>
    <row r="382">
      <c r="BB382" s="244">
        <f>IF('INPUT - Bookings'!$B382="",0,IF(AND(OR(Dashboard!$D$9="All",TRIM('INPUT - Bookings'!$C382)=Dashboard!$D$9),OR(Dashboard!$J$9="All",TRIM('INPUT - Bookings'!$D382)=Dashboard!$J$9)),1,0))</f>
        <v/>
      </c>
      <c r="BC382" s="244">
        <f>IF(AND(BB382=1,ISNUMBER('INPUT - Bookings'!$E382),'INPUT - Bookings'!$E382&gt;=Settings!$C$8,'INPUT - Bookings'!$E382&lt;=Settings!$C$8+14,IFERROR(INDEX(Settings!$Q$14:$Q$24,MATCH('INPUT - Bookings'!$G382,Settings!$P$14:$P$24,0)),"Yes")="Yes"),'INPUT - Bookings'!$E382+ROW()/100000,"")</f>
        <v/>
      </c>
    </row>
    <row r="383">
      <c r="BB383" s="244">
        <f>IF('INPUT - Bookings'!$B383="",0,IF(AND(OR(Dashboard!$D$9="All",TRIM('INPUT - Bookings'!$C383)=Dashboard!$D$9),OR(Dashboard!$J$9="All",TRIM('INPUT - Bookings'!$D383)=Dashboard!$J$9)),1,0))</f>
        <v/>
      </c>
      <c r="BC383" s="244">
        <f>IF(AND(BB383=1,ISNUMBER('INPUT - Bookings'!$E383),'INPUT - Bookings'!$E383&gt;=Settings!$C$8,'INPUT - Bookings'!$E383&lt;=Settings!$C$8+14,IFERROR(INDEX(Settings!$Q$14:$Q$24,MATCH('INPUT - Bookings'!$G383,Settings!$P$14:$P$24,0)),"Yes")="Yes"),'INPUT - Bookings'!$E383+ROW()/100000,"")</f>
        <v/>
      </c>
    </row>
    <row r="384">
      <c r="BB384" s="244">
        <f>IF('INPUT - Bookings'!$B384="",0,IF(AND(OR(Dashboard!$D$9="All",TRIM('INPUT - Bookings'!$C384)=Dashboard!$D$9),OR(Dashboard!$J$9="All",TRIM('INPUT - Bookings'!$D384)=Dashboard!$J$9)),1,0))</f>
        <v/>
      </c>
      <c r="BC384" s="244">
        <f>IF(AND(BB384=1,ISNUMBER('INPUT - Bookings'!$E384),'INPUT - Bookings'!$E384&gt;=Settings!$C$8,'INPUT - Bookings'!$E384&lt;=Settings!$C$8+14,IFERROR(INDEX(Settings!$Q$14:$Q$24,MATCH('INPUT - Bookings'!$G384,Settings!$P$14:$P$24,0)),"Yes")="Yes"),'INPUT - Bookings'!$E384+ROW()/100000,"")</f>
        <v/>
      </c>
    </row>
    <row r="385">
      <c r="BB385" s="244">
        <f>IF('INPUT - Bookings'!$B385="",0,IF(AND(OR(Dashboard!$D$9="All",TRIM('INPUT - Bookings'!$C385)=Dashboard!$D$9),OR(Dashboard!$J$9="All",TRIM('INPUT - Bookings'!$D385)=Dashboard!$J$9)),1,0))</f>
        <v/>
      </c>
      <c r="BC385" s="244">
        <f>IF(AND(BB385=1,ISNUMBER('INPUT - Bookings'!$E385),'INPUT - Bookings'!$E385&gt;=Settings!$C$8,'INPUT - Bookings'!$E385&lt;=Settings!$C$8+14,IFERROR(INDEX(Settings!$Q$14:$Q$24,MATCH('INPUT - Bookings'!$G385,Settings!$P$14:$P$24,0)),"Yes")="Yes"),'INPUT - Bookings'!$E385+ROW()/100000,"")</f>
        <v/>
      </c>
    </row>
    <row r="386">
      <c r="BB386" s="244">
        <f>IF('INPUT - Bookings'!$B386="",0,IF(AND(OR(Dashboard!$D$9="All",TRIM('INPUT - Bookings'!$C386)=Dashboard!$D$9),OR(Dashboard!$J$9="All",TRIM('INPUT - Bookings'!$D386)=Dashboard!$J$9)),1,0))</f>
        <v/>
      </c>
      <c r="BC386" s="244">
        <f>IF(AND(BB386=1,ISNUMBER('INPUT - Bookings'!$E386),'INPUT - Bookings'!$E386&gt;=Settings!$C$8,'INPUT - Bookings'!$E386&lt;=Settings!$C$8+14,IFERROR(INDEX(Settings!$Q$14:$Q$24,MATCH('INPUT - Bookings'!$G386,Settings!$P$14:$P$24,0)),"Yes")="Yes"),'INPUT - Bookings'!$E386+ROW()/100000,"")</f>
        <v/>
      </c>
    </row>
    <row r="387">
      <c r="BB387" s="244">
        <f>IF('INPUT - Bookings'!$B387="",0,IF(AND(OR(Dashboard!$D$9="All",TRIM('INPUT - Bookings'!$C387)=Dashboard!$D$9),OR(Dashboard!$J$9="All",TRIM('INPUT - Bookings'!$D387)=Dashboard!$J$9)),1,0))</f>
        <v/>
      </c>
      <c r="BC387" s="244">
        <f>IF(AND(BB387=1,ISNUMBER('INPUT - Bookings'!$E387),'INPUT - Bookings'!$E387&gt;=Settings!$C$8,'INPUT - Bookings'!$E387&lt;=Settings!$C$8+14,IFERROR(INDEX(Settings!$Q$14:$Q$24,MATCH('INPUT - Bookings'!$G387,Settings!$P$14:$P$24,0)),"Yes")="Yes"),'INPUT - Bookings'!$E387+ROW()/100000,"")</f>
        <v/>
      </c>
    </row>
    <row r="388">
      <c r="BB388" s="244">
        <f>IF('INPUT - Bookings'!$B388="",0,IF(AND(OR(Dashboard!$D$9="All",TRIM('INPUT - Bookings'!$C388)=Dashboard!$D$9),OR(Dashboard!$J$9="All",TRIM('INPUT - Bookings'!$D388)=Dashboard!$J$9)),1,0))</f>
        <v/>
      </c>
      <c r="BC388" s="244">
        <f>IF(AND(BB388=1,ISNUMBER('INPUT - Bookings'!$E388),'INPUT - Bookings'!$E388&gt;=Settings!$C$8,'INPUT - Bookings'!$E388&lt;=Settings!$C$8+14,IFERROR(INDEX(Settings!$Q$14:$Q$24,MATCH('INPUT - Bookings'!$G388,Settings!$P$14:$P$24,0)),"Yes")="Yes"),'INPUT - Bookings'!$E388+ROW()/100000,"")</f>
        <v/>
      </c>
    </row>
    <row r="389">
      <c r="BB389" s="244">
        <f>IF('INPUT - Bookings'!$B389="",0,IF(AND(OR(Dashboard!$D$9="All",TRIM('INPUT - Bookings'!$C389)=Dashboard!$D$9),OR(Dashboard!$J$9="All",TRIM('INPUT - Bookings'!$D389)=Dashboard!$J$9)),1,0))</f>
        <v/>
      </c>
      <c r="BC389" s="244">
        <f>IF(AND(BB389=1,ISNUMBER('INPUT - Bookings'!$E389),'INPUT - Bookings'!$E389&gt;=Settings!$C$8,'INPUT - Bookings'!$E389&lt;=Settings!$C$8+14,IFERROR(INDEX(Settings!$Q$14:$Q$24,MATCH('INPUT - Bookings'!$G389,Settings!$P$14:$P$24,0)),"Yes")="Yes"),'INPUT - Bookings'!$E389+ROW()/100000,"")</f>
        <v/>
      </c>
    </row>
    <row r="390">
      <c r="BB390" s="244">
        <f>IF('INPUT - Bookings'!$B390="",0,IF(AND(OR(Dashboard!$D$9="All",TRIM('INPUT - Bookings'!$C390)=Dashboard!$D$9),OR(Dashboard!$J$9="All",TRIM('INPUT - Bookings'!$D390)=Dashboard!$J$9)),1,0))</f>
        <v/>
      </c>
      <c r="BC390" s="244">
        <f>IF(AND(BB390=1,ISNUMBER('INPUT - Bookings'!$E390),'INPUT - Bookings'!$E390&gt;=Settings!$C$8,'INPUT - Bookings'!$E390&lt;=Settings!$C$8+14,IFERROR(INDEX(Settings!$Q$14:$Q$24,MATCH('INPUT - Bookings'!$G390,Settings!$P$14:$P$24,0)),"Yes")="Yes"),'INPUT - Bookings'!$E390+ROW()/100000,"")</f>
        <v/>
      </c>
    </row>
    <row r="391">
      <c r="BB391" s="244">
        <f>IF('INPUT - Bookings'!$B391="",0,IF(AND(OR(Dashboard!$D$9="All",TRIM('INPUT - Bookings'!$C391)=Dashboard!$D$9),OR(Dashboard!$J$9="All",TRIM('INPUT - Bookings'!$D391)=Dashboard!$J$9)),1,0))</f>
        <v/>
      </c>
      <c r="BC391" s="244">
        <f>IF(AND(BB391=1,ISNUMBER('INPUT - Bookings'!$E391),'INPUT - Bookings'!$E391&gt;=Settings!$C$8,'INPUT - Bookings'!$E391&lt;=Settings!$C$8+14,IFERROR(INDEX(Settings!$Q$14:$Q$24,MATCH('INPUT - Bookings'!$G391,Settings!$P$14:$P$24,0)),"Yes")="Yes"),'INPUT - Bookings'!$E391+ROW()/100000,"")</f>
        <v/>
      </c>
    </row>
    <row r="392">
      <c r="BB392" s="244">
        <f>IF('INPUT - Bookings'!$B392="",0,IF(AND(OR(Dashboard!$D$9="All",TRIM('INPUT - Bookings'!$C392)=Dashboard!$D$9),OR(Dashboard!$J$9="All",TRIM('INPUT - Bookings'!$D392)=Dashboard!$J$9)),1,0))</f>
        <v/>
      </c>
      <c r="BC392" s="244">
        <f>IF(AND(BB392=1,ISNUMBER('INPUT - Bookings'!$E392),'INPUT - Bookings'!$E392&gt;=Settings!$C$8,'INPUT - Bookings'!$E392&lt;=Settings!$C$8+14,IFERROR(INDEX(Settings!$Q$14:$Q$24,MATCH('INPUT - Bookings'!$G392,Settings!$P$14:$P$24,0)),"Yes")="Yes"),'INPUT - Bookings'!$E392+ROW()/100000,"")</f>
        <v/>
      </c>
    </row>
    <row r="393">
      <c r="BB393" s="244">
        <f>IF('INPUT - Bookings'!$B393="",0,IF(AND(OR(Dashboard!$D$9="All",TRIM('INPUT - Bookings'!$C393)=Dashboard!$D$9),OR(Dashboard!$J$9="All",TRIM('INPUT - Bookings'!$D393)=Dashboard!$J$9)),1,0))</f>
        <v/>
      </c>
      <c r="BC393" s="244">
        <f>IF(AND(BB393=1,ISNUMBER('INPUT - Bookings'!$E393),'INPUT - Bookings'!$E393&gt;=Settings!$C$8,'INPUT - Bookings'!$E393&lt;=Settings!$C$8+14,IFERROR(INDEX(Settings!$Q$14:$Q$24,MATCH('INPUT - Bookings'!$G393,Settings!$P$14:$P$24,0)),"Yes")="Yes"),'INPUT - Bookings'!$E393+ROW()/100000,"")</f>
        <v/>
      </c>
    </row>
    <row r="394">
      <c r="BB394" s="244">
        <f>IF('INPUT - Bookings'!$B394="",0,IF(AND(OR(Dashboard!$D$9="All",TRIM('INPUT - Bookings'!$C394)=Dashboard!$D$9),OR(Dashboard!$J$9="All",TRIM('INPUT - Bookings'!$D394)=Dashboard!$J$9)),1,0))</f>
        <v/>
      </c>
      <c r="BC394" s="244">
        <f>IF(AND(BB394=1,ISNUMBER('INPUT - Bookings'!$E394),'INPUT - Bookings'!$E394&gt;=Settings!$C$8,'INPUT - Bookings'!$E394&lt;=Settings!$C$8+14,IFERROR(INDEX(Settings!$Q$14:$Q$24,MATCH('INPUT - Bookings'!$G394,Settings!$P$14:$P$24,0)),"Yes")="Yes"),'INPUT - Bookings'!$E394+ROW()/100000,"")</f>
        <v/>
      </c>
    </row>
    <row r="395">
      <c r="BB395" s="244">
        <f>IF('INPUT - Bookings'!$B395="",0,IF(AND(OR(Dashboard!$D$9="All",TRIM('INPUT - Bookings'!$C395)=Dashboard!$D$9),OR(Dashboard!$J$9="All",TRIM('INPUT - Bookings'!$D395)=Dashboard!$J$9)),1,0))</f>
        <v/>
      </c>
      <c r="BC395" s="244">
        <f>IF(AND(BB395=1,ISNUMBER('INPUT - Bookings'!$E395),'INPUT - Bookings'!$E395&gt;=Settings!$C$8,'INPUT - Bookings'!$E395&lt;=Settings!$C$8+14,IFERROR(INDEX(Settings!$Q$14:$Q$24,MATCH('INPUT - Bookings'!$G395,Settings!$P$14:$P$24,0)),"Yes")="Yes"),'INPUT - Bookings'!$E395+ROW()/100000,"")</f>
        <v/>
      </c>
    </row>
    <row r="396">
      <c r="BB396" s="244">
        <f>IF('INPUT - Bookings'!$B396="",0,IF(AND(OR(Dashboard!$D$9="All",TRIM('INPUT - Bookings'!$C396)=Dashboard!$D$9),OR(Dashboard!$J$9="All",TRIM('INPUT - Bookings'!$D396)=Dashboard!$J$9)),1,0))</f>
        <v/>
      </c>
      <c r="BC396" s="244">
        <f>IF(AND(BB396=1,ISNUMBER('INPUT - Bookings'!$E396),'INPUT - Bookings'!$E396&gt;=Settings!$C$8,'INPUT - Bookings'!$E396&lt;=Settings!$C$8+14,IFERROR(INDEX(Settings!$Q$14:$Q$24,MATCH('INPUT - Bookings'!$G396,Settings!$P$14:$P$24,0)),"Yes")="Yes"),'INPUT - Bookings'!$E396+ROW()/100000,"")</f>
        <v/>
      </c>
    </row>
    <row r="397">
      <c r="BB397" s="244">
        <f>IF('INPUT - Bookings'!$B397="",0,IF(AND(OR(Dashboard!$D$9="All",TRIM('INPUT - Bookings'!$C397)=Dashboard!$D$9),OR(Dashboard!$J$9="All",TRIM('INPUT - Bookings'!$D397)=Dashboard!$J$9)),1,0))</f>
        <v/>
      </c>
      <c r="BC397" s="244">
        <f>IF(AND(BB397=1,ISNUMBER('INPUT - Bookings'!$E397),'INPUT - Bookings'!$E397&gt;=Settings!$C$8,'INPUT - Bookings'!$E397&lt;=Settings!$C$8+14,IFERROR(INDEX(Settings!$Q$14:$Q$24,MATCH('INPUT - Bookings'!$G397,Settings!$P$14:$P$24,0)),"Yes")="Yes"),'INPUT - Bookings'!$E397+ROW()/100000,"")</f>
        <v/>
      </c>
    </row>
    <row r="398">
      <c r="BB398" s="244">
        <f>IF('INPUT - Bookings'!$B398="",0,IF(AND(OR(Dashboard!$D$9="All",TRIM('INPUT - Bookings'!$C398)=Dashboard!$D$9),OR(Dashboard!$J$9="All",TRIM('INPUT - Bookings'!$D398)=Dashboard!$J$9)),1,0))</f>
        <v/>
      </c>
      <c r="BC398" s="244">
        <f>IF(AND(BB398=1,ISNUMBER('INPUT - Bookings'!$E398),'INPUT - Bookings'!$E398&gt;=Settings!$C$8,'INPUT - Bookings'!$E398&lt;=Settings!$C$8+14,IFERROR(INDEX(Settings!$Q$14:$Q$24,MATCH('INPUT - Bookings'!$G398,Settings!$P$14:$P$24,0)),"Yes")="Yes"),'INPUT - Bookings'!$E398+ROW()/100000,"")</f>
        <v/>
      </c>
    </row>
    <row r="399">
      <c r="BB399" s="244">
        <f>IF('INPUT - Bookings'!$B399="",0,IF(AND(OR(Dashboard!$D$9="All",TRIM('INPUT - Bookings'!$C399)=Dashboard!$D$9),OR(Dashboard!$J$9="All",TRIM('INPUT - Bookings'!$D399)=Dashboard!$J$9)),1,0))</f>
        <v/>
      </c>
      <c r="BC399" s="244">
        <f>IF(AND(BB399=1,ISNUMBER('INPUT - Bookings'!$E399),'INPUT - Bookings'!$E399&gt;=Settings!$C$8,'INPUT - Bookings'!$E399&lt;=Settings!$C$8+14,IFERROR(INDEX(Settings!$Q$14:$Q$24,MATCH('INPUT - Bookings'!$G399,Settings!$P$14:$P$24,0)),"Yes")="Yes"),'INPUT - Bookings'!$E399+ROW()/100000,"")</f>
        <v/>
      </c>
    </row>
    <row r="400">
      <c r="BB400" s="244">
        <f>IF('INPUT - Bookings'!$B400="",0,IF(AND(OR(Dashboard!$D$9="All",TRIM('INPUT - Bookings'!$C400)=Dashboard!$D$9),OR(Dashboard!$J$9="All",TRIM('INPUT - Bookings'!$D400)=Dashboard!$J$9)),1,0))</f>
        <v/>
      </c>
      <c r="BC400" s="244">
        <f>IF(AND(BB400=1,ISNUMBER('INPUT - Bookings'!$E400),'INPUT - Bookings'!$E400&gt;=Settings!$C$8,'INPUT - Bookings'!$E400&lt;=Settings!$C$8+14,IFERROR(INDEX(Settings!$Q$14:$Q$24,MATCH('INPUT - Bookings'!$G400,Settings!$P$14:$P$24,0)),"Yes")="Yes"),'INPUT - Bookings'!$E400+ROW()/100000,"")</f>
        <v/>
      </c>
    </row>
    <row r="401">
      <c r="BB401" s="244">
        <f>IF('INPUT - Bookings'!$B401="",0,IF(AND(OR(Dashboard!$D$9="All",TRIM('INPUT - Bookings'!$C401)=Dashboard!$D$9),OR(Dashboard!$J$9="All",TRIM('INPUT - Bookings'!$D401)=Dashboard!$J$9)),1,0))</f>
        <v/>
      </c>
      <c r="BC401" s="244">
        <f>IF(AND(BB401=1,ISNUMBER('INPUT - Bookings'!$E401),'INPUT - Bookings'!$E401&gt;=Settings!$C$8,'INPUT - Bookings'!$E401&lt;=Settings!$C$8+14,IFERROR(INDEX(Settings!$Q$14:$Q$24,MATCH('INPUT - Bookings'!$G401,Settings!$P$14:$P$24,0)),"Yes")="Yes"),'INPUT - Bookings'!$E401+ROW()/100000,"")</f>
        <v/>
      </c>
    </row>
    <row r="402">
      <c r="BB402" s="244">
        <f>IF('INPUT - Bookings'!$B402="",0,IF(AND(OR(Dashboard!$D$9="All",TRIM('INPUT - Bookings'!$C402)=Dashboard!$D$9),OR(Dashboard!$J$9="All",TRIM('INPUT - Bookings'!$D402)=Dashboard!$J$9)),1,0))</f>
        <v/>
      </c>
      <c r="BC402" s="244">
        <f>IF(AND(BB402=1,ISNUMBER('INPUT - Bookings'!$E402),'INPUT - Bookings'!$E402&gt;=Settings!$C$8,'INPUT - Bookings'!$E402&lt;=Settings!$C$8+14,IFERROR(INDEX(Settings!$Q$14:$Q$24,MATCH('INPUT - Bookings'!$G402,Settings!$P$14:$P$24,0)),"Yes")="Yes"),'INPUT - Bookings'!$E402+ROW()/100000,"")</f>
        <v/>
      </c>
    </row>
    <row r="403">
      <c r="BB403" s="244">
        <f>IF('INPUT - Bookings'!$B403="",0,IF(AND(OR(Dashboard!$D$9="All",TRIM('INPUT - Bookings'!$C403)=Dashboard!$D$9),OR(Dashboard!$J$9="All",TRIM('INPUT - Bookings'!$D403)=Dashboard!$J$9)),1,0))</f>
        <v/>
      </c>
      <c r="BC403" s="244">
        <f>IF(AND(BB403=1,ISNUMBER('INPUT - Bookings'!$E403),'INPUT - Bookings'!$E403&gt;=Settings!$C$8,'INPUT - Bookings'!$E403&lt;=Settings!$C$8+14,IFERROR(INDEX(Settings!$Q$14:$Q$24,MATCH('INPUT - Bookings'!$G403,Settings!$P$14:$P$24,0)),"Yes")="Yes"),'INPUT - Bookings'!$E403+ROW()/100000,"")</f>
        <v/>
      </c>
    </row>
    <row r="404">
      <c r="BB404" s="244">
        <f>IF('INPUT - Bookings'!$B404="",0,IF(AND(OR(Dashboard!$D$9="All",TRIM('INPUT - Bookings'!$C404)=Dashboard!$D$9),OR(Dashboard!$J$9="All",TRIM('INPUT - Bookings'!$D404)=Dashboard!$J$9)),1,0))</f>
        <v/>
      </c>
      <c r="BC404" s="244">
        <f>IF(AND(BB404=1,ISNUMBER('INPUT - Bookings'!$E404),'INPUT - Bookings'!$E404&gt;=Settings!$C$8,'INPUT - Bookings'!$E404&lt;=Settings!$C$8+14,IFERROR(INDEX(Settings!$Q$14:$Q$24,MATCH('INPUT - Bookings'!$G404,Settings!$P$14:$P$24,0)),"Yes")="Yes"),'INPUT - Bookings'!$E404+ROW()/100000,"")</f>
        <v/>
      </c>
    </row>
    <row r="405">
      <c r="BB405" s="244">
        <f>IF('INPUT - Bookings'!$B405="",0,IF(AND(OR(Dashboard!$D$9="All",TRIM('INPUT - Bookings'!$C405)=Dashboard!$D$9),OR(Dashboard!$J$9="All",TRIM('INPUT - Bookings'!$D405)=Dashboard!$J$9)),1,0))</f>
        <v/>
      </c>
      <c r="BC405" s="244">
        <f>IF(AND(BB405=1,ISNUMBER('INPUT - Bookings'!$E405),'INPUT - Bookings'!$E405&gt;=Settings!$C$8,'INPUT - Bookings'!$E405&lt;=Settings!$C$8+14,IFERROR(INDEX(Settings!$Q$14:$Q$24,MATCH('INPUT - Bookings'!$G405,Settings!$P$14:$P$24,0)),"Yes")="Yes"),'INPUT - Bookings'!$E405+ROW()/100000,"")</f>
        <v/>
      </c>
    </row>
    <row r="406">
      <c r="BB406" s="244">
        <f>IF('INPUT - Bookings'!$B406="",0,IF(AND(OR(Dashboard!$D$9="All",TRIM('INPUT - Bookings'!$C406)=Dashboard!$D$9),OR(Dashboard!$J$9="All",TRIM('INPUT - Bookings'!$D406)=Dashboard!$J$9)),1,0))</f>
        <v/>
      </c>
      <c r="BC406" s="244">
        <f>IF(AND(BB406=1,ISNUMBER('INPUT - Bookings'!$E406),'INPUT - Bookings'!$E406&gt;=Settings!$C$8,'INPUT - Bookings'!$E406&lt;=Settings!$C$8+14,IFERROR(INDEX(Settings!$Q$14:$Q$24,MATCH('INPUT - Bookings'!$G406,Settings!$P$14:$P$24,0)),"Yes")="Yes"),'INPUT - Bookings'!$E406+ROW()/100000,"")</f>
        <v/>
      </c>
    </row>
    <row r="407">
      <c r="BB407" s="244">
        <f>IF('INPUT - Bookings'!$B407="",0,IF(AND(OR(Dashboard!$D$9="All",TRIM('INPUT - Bookings'!$C407)=Dashboard!$D$9),OR(Dashboard!$J$9="All",TRIM('INPUT - Bookings'!$D407)=Dashboard!$J$9)),1,0))</f>
        <v/>
      </c>
      <c r="BC407" s="244">
        <f>IF(AND(BB407=1,ISNUMBER('INPUT - Bookings'!$E407),'INPUT - Bookings'!$E407&gt;=Settings!$C$8,'INPUT - Bookings'!$E407&lt;=Settings!$C$8+14,IFERROR(INDEX(Settings!$Q$14:$Q$24,MATCH('INPUT - Bookings'!$G407,Settings!$P$14:$P$24,0)),"Yes")="Yes"),'INPUT - Bookings'!$E407+ROW()/100000,"")</f>
        <v/>
      </c>
    </row>
    <row r="408">
      <c r="BB408" s="244">
        <f>IF('INPUT - Bookings'!$B408="",0,IF(AND(OR(Dashboard!$D$9="All",TRIM('INPUT - Bookings'!$C408)=Dashboard!$D$9),OR(Dashboard!$J$9="All",TRIM('INPUT - Bookings'!$D408)=Dashboard!$J$9)),1,0))</f>
        <v/>
      </c>
      <c r="BC408" s="244">
        <f>IF(AND(BB408=1,ISNUMBER('INPUT - Bookings'!$E408),'INPUT - Bookings'!$E408&gt;=Settings!$C$8,'INPUT - Bookings'!$E408&lt;=Settings!$C$8+14,IFERROR(INDEX(Settings!$Q$14:$Q$24,MATCH('INPUT - Bookings'!$G408,Settings!$P$14:$P$24,0)),"Yes")="Yes"),'INPUT - Bookings'!$E408+ROW()/100000,"")</f>
        <v/>
      </c>
    </row>
    <row r="409">
      <c r="BB409" s="244">
        <f>IF('INPUT - Bookings'!$B409="",0,IF(AND(OR(Dashboard!$D$9="All",TRIM('INPUT - Bookings'!$C409)=Dashboard!$D$9),OR(Dashboard!$J$9="All",TRIM('INPUT - Bookings'!$D409)=Dashboard!$J$9)),1,0))</f>
        <v/>
      </c>
      <c r="BC409" s="244">
        <f>IF(AND(BB409=1,ISNUMBER('INPUT - Bookings'!$E409),'INPUT - Bookings'!$E409&gt;=Settings!$C$8,'INPUT - Bookings'!$E409&lt;=Settings!$C$8+14,IFERROR(INDEX(Settings!$Q$14:$Q$24,MATCH('INPUT - Bookings'!$G409,Settings!$P$14:$P$24,0)),"Yes")="Yes"),'INPUT - Bookings'!$E409+ROW()/100000,"")</f>
        <v/>
      </c>
    </row>
    <row r="410">
      <c r="BB410" s="244">
        <f>IF('INPUT - Bookings'!$B410="",0,IF(AND(OR(Dashboard!$D$9="All",TRIM('INPUT - Bookings'!$C410)=Dashboard!$D$9),OR(Dashboard!$J$9="All",TRIM('INPUT - Bookings'!$D410)=Dashboard!$J$9)),1,0))</f>
        <v/>
      </c>
      <c r="BC410" s="244">
        <f>IF(AND(BB410=1,ISNUMBER('INPUT - Bookings'!$E410),'INPUT - Bookings'!$E410&gt;=Settings!$C$8,'INPUT - Bookings'!$E410&lt;=Settings!$C$8+14,IFERROR(INDEX(Settings!$Q$14:$Q$24,MATCH('INPUT - Bookings'!$G410,Settings!$P$14:$P$24,0)),"Yes")="Yes"),'INPUT - Bookings'!$E410+ROW()/100000,"")</f>
        <v/>
      </c>
    </row>
    <row r="411">
      <c r="BB411" s="244">
        <f>IF('INPUT - Bookings'!$B411="",0,IF(AND(OR(Dashboard!$D$9="All",TRIM('INPUT - Bookings'!$C411)=Dashboard!$D$9),OR(Dashboard!$J$9="All",TRIM('INPUT - Bookings'!$D411)=Dashboard!$J$9)),1,0))</f>
        <v/>
      </c>
      <c r="BC411" s="244">
        <f>IF(AND(BB411=1,ISNUMBER('INPUT - Bookings'!$E411),'INPUT - Bookings'!$E411&gt;=Settings!$C$8,'INPUT - Bookings'!$E411&lt;=Settings!$C$8+14,IFERROR(INDEX(Settings!$Q$14:$Q$24,MATCH('INPUT - Bookings'!$G411,Settings!$P$14:$P$24,0)),"Yes")="Yes"),'INPUT - Bookings'!$E411+ROW()/100000,"")</f>
        <v/>
      </c>
    </row>
    <row r="412">
      <c r="BB412" s="244">
        <f>IF('INPUT - Bookings'!$B412="",0,IF(AND(OR(Dashboard!$D$9="All",TRIM('INPUT - Bookings'!$C412)=Dashboard!$D$9),OR(Dashboard!$J$9="All",TRIM('INPUT - Bookings'!$D412)=Dashboard!$J$9)),1,0))</f>
        <v/>
      </c>
      <c r="BC412" s="244">
        <f>IF(AND(BB412=1,ISNUMBER('INPUT - Bookings'!$E412),'INPUT - Bookings'!$E412&gt;=Settings!$C$8,'INPUT - Bookings'!$E412&lt;=Settings!$C$8+14,IFERROR(INDEX(Settings!$Q$14:$Q$24,MATCH('INPUT - Bookings'!$G412,Settings!$P$14:$P$24,0)),"Yes")="Yes"),'INPUT - Bookings'!$E412+ROW()/100000,"")</f>
        <v/>
      </c>
    </row>
    <row r="413">
      <c r="BB413" s="244">
        <f>IF('INPUT - Bookings'!$B413="",0,IF(AND(OR(Dashboard!$D$9="All",TRIM('INPUT - Bookings'!$C413)=Dashboard!$D$9),OR(Dashboard!$J$9="All",TRIM('INPUT - Bookings'!$D413)=Dashboard!$J$9)),1,0))</f>
        <v/>
      </c>
      <c r="BC413" s="244">
        <f>IF(AND(BB413=1,ISNUMBER('INPUT - Bookings'!$E413),'INPUT - Bookings'!$E413&gt;=Settings!$C$8,'INPUT - Bookings'!$E413&lt;=Settings!$C$8+14,IFERROR(INDEX(Settings!$Q$14:$Q$24,MATCH('INPUT - Bookings'!$G413,Settings!$P$14:$P$24,0)),"Yes")="Yes"),'INPUT - Bookings'!$E413+ROW()/100000,"")</f>
        <v/>
      </c>
    </row>
    <row r="414">
      <c r="BB414" s="244">
        <f>IF('INPUT - Bookings'!$B414="",0,IF(AND(OR(Dashboard!$D$9="All",TRIM('INPUT - Bookings'!$C414)=Dashboard!$D$9),OR(Dashboard!$J$9="All",TRIM('INPUT - Bookings'!$D414)=Dashboard!$J$9)),1,0))</f>
        <v/>
      </c>
      <c r="BC414" s="244">
        <f>IF(AND(BB414=1,ISNUMBER('INPUT - Bookings'!$E414),'INPUT - Bookings'!$E414&gt;=Settings!$C$8,'INPUT - Bookings'!$E414&lt;=Settings!$C$8+14,IFERROR(INDEX(Settings!$Q$14:$Q$24,MATCH('INPUT - Bookings'!$G414,Settings!$P$14:$P$24,0)),"Yes")="Yes"),'INPUT - Bookings'!$E414+ROW()/100000,"")</f>
        <v/>
      </c>
    </row>
    <row r="415">
      <c r="BB415" s="244">
        <f>IF('INPUT - Bookings'!$B415="",0,IF(AND(OR(Dashboard!$D$9="All",TRIM('INPUT - Bookings'!$C415)=Dashboard!$D$9),OR(Dashboard!$J$9="All",TRIM('INPUT - Bookings'!$D415)=Dashboard!$J$9)),1,0))</f>
        <v/>
      </c>
      <c r="BC415" s="244">
        <f>IF(AND(BB415=1,ISNUMBER('INPUT - Bookings'!$E415),'INPUT - Bookings'!$E415&gt;=Settings!$C$8,'INPUT - Bookings'!$E415&lt;=Settings!$C$8+14,IFERROR(INDEX(Settings!$Q$14:$Q$24,MATCH('INPUT - Bookings'!$G415,Settings!$P$14:$P$24,0)),"Yes")="Yes"),'INPUT - Bookings'!$E415+ROW()/100000,"")</f>
        <v/>
      </c>
    </row>
    <row r="416">
      <c r="BB416" s="244">
        <f>IF('INPUT - Bookings'!$B416="",0,IF(AND(OR(Dashboard!$D$9="All",TRIM('INPUT - Bookings'!$C416)=Dashboard!$D$9),OR(Dashboard!$J$9="All",TRIM('INPUT - Bookings'!$D416)=Dashboard!$J$9)),1,0))</f>
        <v/>
      </c>
      <c r="BC416" s="244">
        <f>IF(AND(BB416=1,ISNUMBER('INPUT - Bookings'!$E416),'INPUT - Bookings'!$E416&gt;=Settings!$C$8,'INPUT - Bookings'!$E416&lt;=Settings!$C$8+14,IFERROR(INDEX(Settings!$Q$14:$Q$24,MATCH('INPUT - Bookings'!$G416,Settings!$P$14:$P$24,0)),"Yes")="Yes"),'INPUT - Bookings'!$E416+ROW()/100000,"")</f>
        <v/>
      </c>
    </row>
    <row r="417">
      <c r="BB417" s="244">
        <f>IF('INPUT - Bookings'!$B417="",0,IF(AND(OR(Dashboard!$D$9="All",TRIM('INPUT - Bookings'!$C417)=Dashboard!$D$9),OR(Dashboard!$J$9="All",TRIM('INPUT - Bookings'!$D417)=Dashboard!$J$9)),1,0))</f>
        <v/>
      </c>
      <c r="BC417" s="244">
        <f>IF(AND(BB417=1,ISNUMBER('INPUT - Bookings'!$E417),'INPUT - Bookings'!$E417&gt;=Settings!$C$8,'INPUT - Bookings'!$E417&lt;=Settings!$C$8+14,IFERROR(INDEX(Settings!$Q$14:$Q$24,MATCH('INPUT - Bookings'!$G417,Settings!$P$14:$P$24,0)),"Yes")="Yes"),'INPUT - Bookings'!$E417+ROW()/100000,"")</f>
        <v/>
      </c>
    </row>
    <row r="418">
      <c r="BB418" s="244">
        <f>IF('INPUT - Bookings'!$B418="",0,IF(AND(OR(Dashboard!$D$9="All",TRIM('INPUT - Bookings'!$C418)=Dashboard!$D$9),OR(Dashboard!$J$9="All",TRIM('INPUT - Bookings'!$D418)=Dashboard!$J$9)),1,0))</f>
        <v/>
      </c>
      <c r="BC418" s="244">
        <f>IF(AND(BB418=1,ISNUMBER('INPUT - Bookings'!$E418),'INPUT - Bookings'!$E418&gt;=Settings!$C$8,'INPUT - Bookings'!$E418&lt;=Settings!$C$8+14,IFERROR(INDEX(Settings!$Q$14:$Q$24,MATCH('INPUT - Bookings'!$G418,Settings!$P$14:$P$24,0)),"Yes")="Yes"),'INPUT - Bookings'!$E418+ROW()/100000,"")</f>
        <v/>
      </c>
    </row>
    <row r="419">
      <c r="BB419" s="244">
        <f>IF('INPUT - Bookings'!$B419="",0,IF(AND(OR(Dashboard!$D$9="All",TRIM('INPUT - Bookings'!$C419)=Dashboard!$D$9),OR(Dashboard!$J$9="All",TRIM('INPUT - Bookings'!$D419)=Dashboard!$J$9)),1,0))</f>
        <v/>
      </c>
      <c r="BC419" s="244">
        <f>IF(AND(BB419=1,ISNUMBER('INPUT - Bookings'!$E419),'INPUT - Bookings'!$E419&gt;=Settings!$C$8,'INPUT - Bookings'!$E419&lt;=Settings!$C$8+14,IFERROR(INDEX(Settings!$Q$14:$Q$24,MATCH('INPUT - Bookings'!$G419,Settings!$P$14:$P$24,0)),"Yes")="Yes"),'INPUT - Bookings'!$E419+ROW()/100000,"")</f>
        <v/>
      </c>
    </row>
    <row r="420">
      <c r="BB420" s="244">
        <f>IF('INPUT - Bookings'!$B420="",0,IF(AND(OR(Dashboard!$D$9="All",TRIM('INPUT - Bookings'!$C420)=Dashboard!$D$9),OR(Dashboard!$J$9="All",TRIM('INPUT - Bookings'!$D420)=Dashboard!$J$9)),1,0))</f>
        <v/>
      </c>
      <c r="BC420" s="244">
        <f>IF(AND(BB420=1,ISNUMBER('INPUT - Bookings'!$E420),'INPUT - Bookings'!$E420&gt;=Settings!$C$8,'INPUT - Bookings'!$E420&lt;=Settings!$C$8+14,IFERROR(INDEX(Settings!$Q$14:$Q$24,MATCH('INPUT - Bookings'!$G420,Settings!$P$14:$P$24,0)),"Yes")="Yes"),'INPUT - Bookings'!$E420+ROW()/100000,"")</f>
        <v/>
      </c>
    </row>
    <row r="421">
      <c r="BB421" s="244">
        <f>IF('INPUT - Bookings'!$B421="",0,IF(AND(OR(Dashboard!$D$9="All",TRIM('INPUT - Bookings'!$C421)=Dashboard!$D$9),OR(Dashboard!$J$9="All",TRIM('INPUT - Bookings'!$D421)=Dashboard!$J$9)),1,0))</f>
        <v/>
      </c>
      <c r="BC421" s="244">
        <f>IF(AND(BB421=1,ISNUMBER('INPUT - Bookings'!$E421),'INPUT - Bookings'!$E421&gt;=Settings!$C$8,'INPUT - Bookings'!$E421&lt;=Settings!$C$8+14,IFERROR(INDEX(Settings!$Q$14:$Q$24,MATCH('INPUT - Bookings'!$G421,Settings!$P$14:$P$24,0)),"Yes")="Yes"),'INPUT - Bookings'!$E421+ROW()/100000,"")</f>
        <v/>
      </c>
    </row>
    <row r="422">
      <c r="BB422" s="244">
        <f>IF('INPUT - Bookings'!$B422="",0,IF(AND(OR(Dashboard!$D$9="All",TRIM('INPUT - Bookings'!$C422)=Dashboard!$D$9),OR(Dashboard!$J$9="All",TRIM('INPUT - Bookings'!$D422)=Dashboard!$J$9)),1,0))</f>
        <v/>
      </c>
      <c r="BC422" s="244">
        <f>IF(AND(BB422=1,ISNUMBER('INPUT - Bookings'!$E422),'INPUT - Bookings'!$E422&gt;=Settings!$C$8,'INPUT - Bookings'!$E422&lt;=Settings!$C$8+14,IFERROR(INDEX(Settings!$Q$14:$Q$24,MATCH('INPUT - Bookings'!$G422,Settings!$P$14:$P$24,0)),"Yes")="Yes"),'INPUT - Bookings'!$E422+ROW()/100000,"")</f>
        <v/>
      </c>
    </row>
    <row r="423">
      <c r="BB423" s="244">
        <f>IF('INPUT - Bookings'!$B423="",0,IF(AND(OR(Dashboard!$D$9="All",TRIM('INPUT - Bookings'!$C423)=Dashboard!$D$9),OR(Dashboard!$J$9="All",TRIM('INPUT - Bookings'!$D423)=Dashboard!$J$9)),1,0))</f>
        <v/>
      </c>
      <c r="BC423" s="244">
        <f>IF(AND(BB423=1,ISNUMBER('INPUT - Bookings'!$E423),'INPUT - Bookings'!$E423&gt;=Settings!$C$8,'INPUT - Bookings'!$E423&lt;=Settings!$C$8+14,IFERROR(INDEX(Settings!$Q$14:$Q$24,MATCH('INPUT - Bookings'!$G423,Settings!$P$14:$P$24,0)),"Yes")="Yes"),'INPUT - Bookings'!$E423+ROW()/100000,"")</f>
        <v/>
      </c>
    </row>
    <row r="424">
      <c r="BB424" s="244">
        <f>IF('INPUT - Bookings'!$B424="",0,IF(AND(OR(Dashboard!$D$9="All",TRIM('INPUT - Bookings'!$C424)=Dashboard!$D$9),OR(Dashboard!$J$9="All",TRIM('INPUT - Bookings'!$D424)=Dashboard!$J$9)),1,0))</f>
        <v/>
      </c>
      <c r="BC424" s="244">
        <f>IF(AND(BB424=1,ISNUMBER('INPUT - Bookings'!$E424),'INPUT - Bookings'!$E424&gt;=Settings!$C$8,'INPUT - Bookings'!$E424&lt;=Settings!$C$8+14,IFERROR(INDEX(Settings!$Q$14:$Q$24,MATCH('INPUT - Bookings'!$G424,Settings!$P$14:$P$24,0)),"Yes")="Yes"),'INPUT - Bookings'!$E424+ROW()/100000,"")</f>
        <v/>
      </c>
    </row>
    <row r="425">
      <c r="BB425" s="244">
        <f>IF('INPUT - Bookings'!$B425="",0,IF(AND(OR(Dashboard!$D$9="All",TRIM('INPUT - Bookings'!$C425)=Dashboard!$D$9),OR(Dashboard!$J$9="All",TRIM('INPUT - Bookings'!$D425)=Dashboard!$J$9)),1,0))</f>
        <v/>
      </c>
      <c r="BC425" s="244">
        <f>IF(AND(BB425=1,ISNUMBER('INPUT - Bookings'!$E425),'INPUT - Bookings'!$E425&gt;=Settings!$C$8,'INPUT - Bookings'!$E425&lt;=Settings!$C$8+14,IFERROR(INDEX(Settings!$Q$14:$Q$24,MATCH('INPUT - Bookings'!$G425,Settings!$P$14:$P$24,0)),"Yes")="Yes"),'INPUT - Bookings'!$E425+ROW()/100000,"")</f>
        <v/>
      </c>
    </row>
    <row r="426">
      <c r="BB426" s="244">
        <f>IF('INPUT - Bookings'!$B426="",0,IF(AND(OR(Dashboard!$D$9="All",TRIM('INPUT - Bookings'!$C426)=Dashboard!$D$9),OR(Dashboard!$J$9="All",TRIM('INPUT - Bookings'!$D426)=Dashboard!$J$9)),1,0))</f>
        <v/>
      </c>
      <c r="BC426" s="244">
        <f>IF(AND(BB426=1,ISNUMBER('INPUT - Bookings'!$E426),'INPUT - Bookings'!$E426&gt;=Settings!$C$8,'INPUT - Bookings'!$E426&lt;=Settings!$C$8+14,IFERROR(INDEX(Settings!$Q$14:$Q$24,MATCH('INPUT - Bookings'!$G426,Settings!$P$14:$P$24,0)),"Yes")="Yes"),'INPUT - Bookings'!$E426+ROW()/100000,"")</f>
        <v/>
      </c>
    </row>
    <row r="427">
      <c r="BB427" s="244">
        <f>IF('INPUT - Bookings'!$B427="",0,IF(AND(OR(Dashboard!$D$9="All",TRIM('INPUT - Bookings'!$C427)=Dashboard!$D$9),OR(Dashboard!$J$9="All",TRIM('INPUT - Bookings'!$D427)=Dashboard!$J$9)),1,0))</f>
        <v/>
      </c>
      <c r="BC427" s="244">
        <f>IF(AND(BB427=1,ISNUMBER('INPUT - Bookings'!$E427),'INPUT - Bookings'!$E427&gt;=Settings!$C$8,'INPUT - Bookings'!$E427&lt;=Settings!$C$8+14,IFERROR(INDEX(Settings!$Q$14:$Q$24,MATCH('INPUT - Bookings'!$G427,Settings!$P$14:$P$24,0)),"Yes")="Yes"),'INPUT - Bookings'!$E427+ROW()/100000,"")</f>
        <v/>
      </c>
    </row>
    <row r="428">
      <c r="BB428" s="244">
        <f>IF('INPUT - Bookings'!$B428="",0,IF(AND(OR(Dashboard!$D$9="All",TRIM('INPUT - Bookings'!$C428)=Dashboard!$D$9),OR(Dashboard!$J$9="All",TRIM('INPUT - Bookings'!$D428)=Dashboard!$J$9)),1,0))</f>
        <v/>
      </c>
      <c r="BC428" s="244">
        <f>IF(AND(BB428=1,ISNUMBER('INPUT - Bookings'!$E428),'INPUT - Bookings'!$E428&gt;=Settings!$C$8,'INPUT - Bookings'!$E428&lt;=Settings!$C$8+14,IFERROR(INDEX(Settings!$Q$14:$Q$24,MATCH('INPUT - Bookings'!$G428,Settings!$P$14:$P$24,0)),"Yes")="Yes"),'INPUT - Bookings'!$E428+ROW()/100000,"")</f>
        <v/>
      </c>
    </row>
    <row r="429">
      <c r="BB429" s="244">
        <f>IF('INPUT - Bookings'!$B429="",0,IF(AND(OR(Dashboard!$D$9="All",TRIM('INPUT - Bookings'!$C429)=Dashboard!$D$9),OR(Dashboard!$J$9="All",TRIM('INPUT - Bookings'!$D429)=Dashboard!$J$9)),1,0))</f>
        <v/>
      </c>
      <c r="BC429" s="244">
        <f>IF(AND(BB429=1,ISNUMBER('INPUT - Bookings'!$E429),'INPUT - Bookings'!$E429&gt;=Settings!$C$8,'INPUT - Bookings'!$E429&lt;=Settings!$C$8+14,IFERROR(INDEX(Settings!$Q$14:$Q$24,MATCH('INPUT - Bookings'!$G429,Settings!$P$14:$P$24,0)),"Yes")="Yes"),'INPUT - Bookings'!$E429+ROW()/100000,"")</f>
        <v/>
      </c>
    </row>
    <row r="430">
      <c r="BB430" s="244">
        <f>IF('INPUT - Bookings'!$B430="",0,IF(AND(OR(Dashboard!$D$9="All",TRIM('INPUT - Bookings'!$C430)=Dashboard!$D$9),OR(Dashboard!$J$9="All",TRIM('INPUT - Bookings'!$D430)=Dashboard!$J$9)),1,0))</f>
        <v/>
      </c>
      <c r="BC430" s="244">
        <f>IF(AND(BB430=1,ISNUMBER('INPUT - Bookings'!$E430),'INPUT - Bookings'!$E430&gt;=Settings!$C$8,'INPUT - Bookings'!$E430&lt;=Settings!$C$8+14,IFERROR(INDEX(Settings!$Q$14:$Q$24,MATCH('INPUT - Bookings'!$G430,Settings!$P$14:$P$24,0)),"Yes")="Yes"),'INPUT - Bookings'!$E430+ROW()/100000,"")</f>
        <v/>
      </c>
    </row>
    <row r="431">
      <c r="BB431" s="244">
        <f>IF('INPUT - Bookings'!$B431="",0,IF(AND(OR(Dashboard!$D$9="All",TRIM('INPUT - Bookings'!$C431)=Dashboard!$D$9),OR(Dashboard!$J$9="All",TRIM('INPUT - Bookings'!$D431)=Dashboard!$J$9)),1,0))</f>
        <v/>
      </c>
      <c r="BC431" s="244">
        <f>IF(AND(BB431=1,ISNUMBER('INPUT - Bookings'!$E431),'INPUT - Bookings'!$E431&gt;=Settings!$C$8,'INPUT - Bookings'!$E431&lt;=Settings!$C$8+14,IFERROR(INDEX(Settings!$Q$14:$Q$24,MATCH('INPUT - Bookings'!$G431,Settings!$P$14:$P$24,0)),"Yes")="Yes"),'INPUT - Bookings'!$E431+ROW()/100000,"")</f>
        <v/>
      </c>
    </row>
    <row r="432">
      <c r="BB432" s="244">
        <f>IF('INPUT - Bookings'!$B432="",0,IF(AND(OR(Dashboard!$D$9="All",TRIM('INPUT - Bookings'!$C432)=Dashboard!$D$9),OR(Dashboard!$J$9="All",TRIM('INPUT - Bookings'!$D432)=Dashboard!$J$9)),1,0))</f>
        <v/>
      </c>
      <c r="BC432" s="244">
        <f>IF(AND(BB432=1,ISNUMBER('INPUT - Bookings'!$E432),'INPUT - Bookings'!$E432&gt;=Settings!$C$8,'INPUT - Bookings'!$E432&lt;=Settings!$C$8+14,IFERROR(INDEX(Settings!$Q$14:$Q$24,MATCH('INPUT - Bookings'!$G432,Settings!$P$14:$P$24,0)),"Yes")="Yes"),'INPUT - Bookings'!$E432+ROW()/100000,"")</f>
        <v/>
      </c>
    </row>
    <row r="433">
      <c r="BB433" s="244">
        <f>IF('INPUT - Bookings'!$B433="",0,IF(AND(OR(Dashboard!$D$9="All",TRIM('INPUT - Bookings'!$C433)=Dashboard!$D$9),OR(Dashboard!$J$9="All",TRIM('INPUT - Bookings'!$D433)=Dashboard!$J$9)),1,0))</f>
        <v/>
      </c>
      <c r="BC433" s="244">
        <f>IF(AND(BB433=1,ISNUMBER('INPUT - Bookings'!$E433),'INPUT - Bookings'!$E433&gt;=Settings!$C$8,'INPUT - Bookings'!$E433&lt;=Settings!$C$8+14,IFERROR(INDEX(Settings!$Q$14:$Q$24,MATCH('INPUT - Bookings'!$G433,Settings!$P$14:$P$24,0)),"Yes")="Yes"),'INPUT - Bookings'!$E433+ROW()/100000,"")</f>
        <v/>
      </c>
    </row>
    <row r="434">
      <c r="BB434" s="244">
        <f>IF('INPUT - Bookings'!$B434="",0,IF(AND(OR(Dashboard!$D$9="All",TRIM('INPUT - Bookings'!$C434)=Dashboard!$D$9),OR(Dashboard!$J$9="All",TRIM('INPUT - Bookings'!$D434)=Dashboard!$J$9)),1,0))</f>
        <v/>
      </c>
      <c r="BC434" s="244">
        <f>IF(AND(BB434=1,ISNUMBER('INPUT - Bookings'!$E434),'INPUT - Bookings'!$E434&gt;=Settings!$C$8,'INPUT - Bookings'!$E434&lt;=Settings!$C$8+14,IFERROR(INDEX(Settings!$Q$14:$Q$24,MATCH('INPUT - Bookings'!$G434,Settings!$P$14:$P$24,0)),"Yes")="Yes"),'INPUT - Bookings'!$E434+ROW()/100000,"")</f>
        <v/>
      </c>
    </row>
    <row r="435">
      <c r="BB435" s="244">
        <f>IF('INPUT - Bookings'!$B435="",0,IF(AND(OR(Dashboard!$D$9="All",TRIM('INPUT - Bookings'!$C435)=Dashboard!$D$9),OR(Dashboard!$J$9="All",TRIM('INPUT - Bookings'!$D435)=Dashboard!$J$9)),1,0))</f>
        <v/>
      </c>
      <c r="BC435" s="244">
        <f>IF(AND(BB435=1,ISNUMBER('INPUT - Bookings'!$E435),'INPUT - Bookings'!$E435&gt;=Settings!$C$8,'INPUT - Bookings'!$E435&lt;=Settings!$C$8+14,IFERROR(INDEX(Settings!$Q$14:$Q$24,MATCH('INPUT - Bookings'!$G435,Settings!$P$14:$P$24,0)),"Yes")="Yes"),'INPUT - Bookings'!$E435+ROW()/100000,"")</f>
        <v/>
      </c>
    </row>
    <row r="436">
      <c r="BB436" s="244">
        <f>IF('INPUT - Bookings'!$B436="",0,IF(AND(OR(Dashboard!$D$9="All",TRIM('INPUT - Bookings'!$C436)=Dashboard!$D$9),OR(Dashboard!$J$9="All",TRIM('INPUT - Bookings'!$D436)=Dashboard!$J$9)),1,0))</f>
        <v/>
      </c>
      <c r="BC436" s="244">
        <f>IF(AND(BB436=1,ISNUMBER('INPUT - Bookings'!$E436),'INPUT - Bookings'!$E436&gt;=Settings!$C$8,'INPUT - Bookings'!$E436&lt;=Settings!$C$8+14,IFERROR(INDEX(Settings!$Q$14:$Q$24,MATCH('INPUT - Bookings'!$G436,Settings!$P$14:$P$24,0)),"Yes")="Yes"),'INPUT - Bookings'!$E436+ROW()/100000,"")</f>
        <v/>
      </c>
    </row>
    <row r="437">
      <c r="BB437" s="244">
        <f>IF('INPUT - Bookings'!$B437="",0,IF(AND(OR(Dashboard!$D$9="All",TRIM('INPUT - Bookings'!$C437)=Dashboard!$D$9),OR(Dashboard!$J$9="All",TRIM('INPUT - Bookings'!$D437)=Dashboard!$J$9)),1,0))</f>
        <v/>
      </c>
      <c r="BC437" s="244">
        <f>IF(AND(BB437=1,ISNUMBER('INPUT - Bookings'!$E437),'INPUT - Bookings'!$E437&gt;=Settings!$C$8,'INPUT - Bookings'!$E437&lt;=Settings!$C$8+14,IFERROR(INDEX(Settings!$Q$14:$Q$24,MATCH('INPUT - Bookings'!$G437,Settings!$P$14:$P$24,0)),"Yes")="Yes"),'INPUT - Bookings'!$E437+ROW()/100000,"")</f>
        <v/>
      </c>
    </row>
    <row r="438">
      <c r="BB438" s="244">
        <f>IF('INPUT - Bookings'!$B438="",0,IF(AND(OR(Dashboard!$D$9="All",TRIM('INPUT - Bookings'!$C438)=Dashboard!$D$9),OR(Dashboard!$J$9="All",TRIM('INPUT - Bookings'!$D438)=Dashboard!$J$9)),1,0))</f>
        <v/>
      </c>
      <c r="BC438" s="244">
        <f>IF(AND(BB438=1,ISNUMBER('INPUT - Bookings'!$E438),'INPUT - Bookings'!$E438&gt;=Settings!$C$8,'INPUT - Bookings'!$E438&lt;=Settings!$C$8+14,IFERROR(INDEX(Settings!$Q$14:$Q$24,MATCH('INPUT - Bookings'!$G438,Settings!$P$14:$P$24,0)),"Yes")="Yes"),'INPUT - Bookings'!$E438+ROW()/100000,"")</f>
        <v/>
      </c>
    </row>
    <row r="439">
      <c r="BB439" s="244">
        <f>IF('INPUT - Bookings'!$B439="",0,IF(AND(OR(Dashboard!$D$9="All",TRIM('INPUT - Bookings'!$C439)=Dashboard!$D$9),OR(Dashboard!$J$9="All",TRIM('INPUT - Bookings'!$D439)=Dashboard!$J$9)),1,0))</f>
        <v/>
      </c>
      <c r="BC439" s="244">
        <f>IF(AND(BB439=1,ISNUMBER('INPUT - Bookings'!$E439),'INPUT - Bookings'!$E439&gt;=Settings!$C$8,'INPUT - Bookings'!$E439&lt;=Settings!$C$8+14,IFERROR(INDEX(Settings!$Q$14:$Q$24,MATCH('INPUT - Bookings'!$G439,Settings!$P$14:$P$24,0)),"Yes")="Yes"),'INPUT - Bookings'!$E439+ROW()/100000,"")</f>
        <v/>
      </c>
    </row>
    <row r="440">
      <c r="BB440" s="244">
        <f>IF('INPUT - Bookings'!$B440="",0,IF(AND(OR(Dashboard!$D$9="All",TRIM('INPUT - Bookings'!$C440)=Dashboard!$D$9),OR(Dashboard!$J$9="All",TRIM('INPUT - Bookings'!$D440)=Dashboard!$J$9)),1,0))</f>
        <v/>
      </c>
      <c r="BC440" s="244">
        <f>IF(AND(BB440=1,ISNUMBER('INPUT - Bookings'!$E440),'INPUT - Bookings'!$E440&gt;=Settings!$C$8,'INPUT - Bookings'!$E440&lt;=Settings!$C$8+14,IFERROR(INDEX(Settings!$Q$14:$Q$24,MATCH('INPUT - Bookings'!$G440,Settings!$P$14:$P$24,0)),"Yes")="Yes"),'INPUT - Bookings'!$E440+ROW()/100000,"")</f>
        <v/>
      </c>
    </row>
    <row r="441">
      <c r="BB441" s="244">
        <f>IF('INPUT - Bookings'!$B441="",0,IF(AND(OR(Dashboard!$D$9="All",TRIM('INPUT - Bookings'!$C441)=Dashboard!$D$9),OR(Dashboard!$J$9="All",TRIM('INPUT - Bookings'!$D441)=Dashboard!$J$9)),1,0))</f>
        <v/>
      </c>
      <c r="BC441" s="244">
        <f>IF(AND(BB441=1,ISNUMBER('INPUT - Bookings'!$E441),'INPUT - Bookings'!$E441&gt;=Settings!$C$8,'INPUT - Bookings'!$E441&lt;=Settings!$C$8+14,IFERROR(INDEX(Settings!$Q$14:$Q$24,MATCH('INPUT - Bookings'!$G441,Settings!$P$14:$P$24,0)),"Yes")="Yes"),'INPUT - Bookings'!$E441+ROW()/100000,"")</f>
        <v/>
      </c>
    </row>
    <row r="442">
      <c r="BB442" s="244">
        <f>IF('INPUT - Bookings'!$B442="",0,IF(AND(OR(Dashboard!$D$9="All",TRIM('INPUT - Bookings'!$C442)=Dashboard!$D$9),OR(Dashboard!$J$9="All",TRIM('INPUT - Bookings'!$D442)=Dashboard!$J$9)),1,0))</f>
        <v/>
      </c>
      <c r="BC442" s="244">
        <f>IF(AND(BB442=1,ISNUMBER('INPUT - Bookings'!$E442),'INPUT - Bookings'!$E442&gt;=Settings!$C$8,'INPUT - Bookings'!$E442&lt;=Settings!$C$8+14,IFERROR(INDEX(Settings!$Q$14:$Q$24,MATCH('INPUT - Bookings'!$G442,Settings!$P$14:$P$24,0)),"Yes")="Yes"),'INPUT - Bookings'!$E442+ROW()/100000,"")</f>
        <v/>
      </c>
    </row>
    <row r="443">
      <c r="BB443" s="244">
        <f>IF('INPUT - Bookings'!$B443="",0,IF(AND(OR(Dashboard!$D$9="All",TRIM('INPUT - Bookings'!$C443)=Dashboard!$D$9),OR(Dashboard!$J$9="All",TRIM('INPUT - Bookings'!$D443)=Dashboard!$J$9)),1,0))</f>
        <v/>
      </c>
      <c r="BC443" s="244">
        <f>IF(AND(BB443=1,ISNUMBER('INPUT - Bookings'!$E443),'INPUT - Bookings'!$E443&gt;=Settings!$C$8,'INPUT - Bookings'!$E443&lt;=Settings!$C$8+14,IFERROR(INDEX(Settings!$Q$14:$Q$24,MATCH('INPUT - Bookings'!$G443,Settings!$P$14:$P$24,0)),"Yes")="Yes"),'INPUT - Bookings'!$E443+ROW()/100000,"")</f>
        <v/>
      </c>
    </row>
    <row r="444">
      <c r="BB444" s="244">
        <f>IF('INPUT - Bookings'!$B444="",0,IF(AND(OR(Dashboard!$D$9="All",TRIM('INPUT - Bookings'!$C444)=Dashboard!$D$9),OR(Dashboard!$J$9="All",TRIM('INPUT - Bookings'!$D444)=Dashboard!$J$9)),1,0))</f>
        <v/>
      </c>
      <c r="BC444" s="244">
        <f>IF(AND(BB444=1,ISNUMBER('INPUT - Bookings'!$E444),'INPUT - Bookings'!$E444&gt;=Settings!$C$8,'INPUT - Bookings'!$E444&lt;=Settings!$C$8+14,IFERROR(INDEX(Settings!$Q$14:$Q$24,MATCH('INPUT - Bookings'!$G444,Settings!$P$14:$P$24,0)),"Yes")="Yes"),'INPUT - Bookings'!$E444+ROW()/100000,"")</f>
        <v/>
      </c>
    </row>
    <row r="445">
      <c r="BB445" s="244">
        <f>IF('INPUT - Bookings'!$B445="",0,IF(AND(OR(Dashboard!$D$9="All",TRIM('INPUT - Bookings'!$C445)=Dashboard!$D$9),OR(Dashboard!$J$9="All",TRIM('INPUT - Bookings'!$D445)=Dashboard!$J$9)),1,0))</f>
        <v/>
      </c>
      <c r="BC445" s="244">
        <f>IF(AND(BB445=1,ISNUMBER('INPUT - Bookings'!$E445),'INPUT - Bookings'!$E445&gt;=Settings!$C$8,'INPUT - Bookings'!$E445&lt;=Settings!$C$8+14,IFERROR(INDEX(Settings!$Q$14:$Q$24,MATCH('INPUT - Bookings'!$G445,Settings!$P$14:$P$24,0)),"Yes")="Yes"),'INPUT - Bookings'!$E445+ROW()/100000,"")</f>
        <v/>
      </c>
    </row>
    <row r="446">
      <c r="BB446" s="244">
        <f>IF('INPUT - Bookings'!$B446="",0,IF(AND(OR(Dashboard!$D$9="All",TRIM('INPUT - Bookings'!$C446)=Dashboard!$D$9),OR(Dashboard!$J$9="All",TRIM('INPUT - Bookings'!$D446)=Dashboard!$J$9)),1,0))</f>
        <v/>
      </c>
      <c r="BC446" s="244">
        <f>IF(AND(BB446=1,ISNUMBER('INPUT - Bookings'!$E446),'INPUT - Bookings'!$E446&gt;=Settings!$C$8,'INPUT - Bookings'!$E446&lt;=Settings!$C$8+14,IFERROR(INDEX(Settings!$Q$14:$Q$24,MATCH('INPUT - Bookings'!$G446,Settings!$P$14:$P$24,0)),"Yes")="Yes"),'INPUT - Bookings'!$E446+ROW()/100000,"")</f>
        <v/>
      </c>
    </row>
    <row r="447">
      <c r="BB447" s="244">
        <f>IF('INPUT - Bookings'!$B447="",0,IF(AND(OR(Dashboard!$D$9="All",TRIM('INPUT - Bookings'!$C447)=Dashboard!$D$9),OR(Dashboard!$J$9="All",TRIM('INPUT - Bookings'!$D447)=Dashboard!$J$9)),1,0))</f>
        <v/>
      </c>
      <c r="BC447" s="244">
        <f>IF(AND(BB447=1,ISNUMBER('INPUT - Bookings'!$E447),'INPUT - Bookings'!$E447&gt;=Settings!$C$8,'INPUT - Bookings'!$E447&lt;=Settings!$C$8+14,IFERROR(INDEX(Settings!$Q$14:$Q$24,MATCH('INPUT - Bookings'!$G447,Settings!$P$14:$P$24,0)),"Yes")="Yes"),'INPUT - Bookings'!$E447+ROW()/100000,"")</f>
        <v/>
      </c>
    </row>
    <row r="448">
      <c r="BB448" s="244">
        <f>IF('INPUT - Bookings'!$B448="",0,IF(AND(OR(Dashboard!$D$9="All",TRIM('INPUT - Bookings'!$C448)=Dashboard!$D$9),OR(Dashboard!$J$9="All",TRIM('INPUT - Bookings'!$D448)=Dashboard!$J$9)),1,0))</f>
        <v/>
      </c>
      <c r="BC448" s="244">
        <f>IF(AND(BB448=1,ISNUMBER('INPUT - Bookings'!$E448),'INPUT - Bookings'!$E448&gt;=Settings!$C$8,'INPUT - Bookings'!$E448&lt;=Settings!$C$8+14,IFERROR(INDEX(Settings!$Q$14:$Q$24,MATCH('INPUT - Bookings'!$G448,Settings!$P$14:$P$24,0)),"Yes")="Yes"),'INPUT - Bookings'!$E448+ROW()/100000,"")</f>
        <v/>
      </c>
    </row>
    <row r="449">
      <c r="BB449" s="244">
        <f>IF('INPUT - Bookings'!$B449="",0,IF(AND(OR(Dashboard!$D$9="All",TRIM('INPUT - Bookings'!$C449)=Dashboard!$D$9),OR(Dashboard!$J$9="All",TRIM('INPUT - Bookings'!$D449)=Dashboard!$J$9)),1,0))</f>
        <v/>
      </c>
      <c r="BC449" s="244">
        <f>IF(AND(BB449=1,ISNUMBER('INPUT - Bookings'!$E449),'INPUT - Bookings'!$E449&gt;=Settings!$C$8,'INPUT - Bookings'!$E449&lt;=Settings!$C$8+14,IFERROR(INDEX(Settings!$Q$14:$Q$24,MATCH('INPUT - Bookings'!$G449,Settings!$P$14:$P$24,0)),"Yes")="Yes"),'INPUT - Bookings'!$E449+ROW()/100000,"")</f>
        <v/>
      </c>
    </row>
    <row r="450">
      <c r="BB450" s="244">
        <f>IF('INPUT - Bookings'!$B450="",0,IF(AND(OR(Dashboard!$D$9="All",TRIM('INPUT - Bookings'!$C450)=Dashboard!$D$9),OR(Dashboard!$J$9="All",TRIM('INPUT - Bookings'!$D450)=Dashboard!$J$9)),1,0))</f>
        <v/>
      </c>
      <c r="BC450" s="244">
        <f>IF(AND(BB450=1,ISNUMBER('INPUT - Bookings'!$E450),'INPUT - Bookings'!$E450&gt;=Settings!$C$8,'INPUT - Bookings'!$E450&lt;=Settings!$C$8+14,IFERROR(INDEX(Settings!$Q$14:$Q$24,MATCH('INPUT - Bookings'!$G450,Settings!$P$14:$P$24,0)),"Yes")="Yes"),'INPUT - Bookings'!$E450+ROW()/100000,"")</f>
        <v/>
      </c>
    </row>
    <row r="451">
      <c r="BB451" s="244">
        <f>IF('INPUT - Bookings'!$B451="",0,IF(AND(OR(Dashboard!$D$9="All",TRIM('INPUT - Bookings'!$C451)=Dashboard!$D$9),OR(Dashboard!$J$9="All",TRIM('INPUT - Bookings'!$D451)=Dashboard!$J$9)),1,0))</f>
        <v/>
      </c>
      <c r="BC451" s="244">
        <f>IF(AND(BB451=1,ISNUMBER('INPUT - Bookings'!$E451),'INPUT - Bookings'!$E451&gt;=Settings!$C$8,'INPUT - Bookings'!$E451&lt;=Settings!$C$8+14,IFERROR(INDEX(Settings!$Q$14:$Q$24,MATCH('INPUT - Bookings'!$G451,Settings!$P$14:$P$24,0)),"Yes")="Yes"),'INPUT - Bookings'!$E451+ROW()/100000,"")</f>
        <v/>
      </c>
    </row>
    <row r="452">
      <c r="BB452" s="244">
        <f>IF('INPUT - Bookings'!$B452="",0,IF(AND(OR(Dashboard!$D$9="All",TRIM('INPUT - Bookings'!$C452)=Dashboard!$D$9),OR(Dashboard!$J$9="All",TRIM('INPUT - Bookings'!$D452)=Dashboard!$J$9)),1,0))</f>
        <v/>
      </c>
      <c r="BC452" s="244">
        <f>IF(AND(BB452=1,ISNUMBER('INPUT - Bookings'!$E452),'INPUT - Bookings'!$E452&gt;=Settings!$C$8,'INPUT - Bookings'!$E452&lt;=Settings!$C$8+14,IFERROR(INDEX(Settings!$Q$14:$Q$24,MATCH('INPUT - Bookings'!$G452,Settings!$P$14:$P$24,0)),"Yes")="Yes"),'INPUT - Bookings'!$E452+ROW()/100000,"")</f>
        <v/>
      </c>
    </row>
    <row r="453">
      <c r="BB453" s="244">
        <f>IF('INPUT - Bookings'!$B453="",0,IF(AND(OR(Dashboard!$D$9="All",TRIM('INPUT - Bookings'!$C453)=Dashboard!$D$9),OR(Dashboard!$J$9="All",TRIM('INPUT - Bookings'!$D453)=Dashboard!$J$9)),1,0))</f>
        <v/>
      </c>
      <c r="BC453" s="244">
        <f>IF(AND(BB453=1,ISNUMBER('INPUT - Bookings'!$E453),'INPUT - Bookings'!$E453&gt;=Settings!$C$8,'INPUT - Bookings'!$E453&lt;=Settings!$C$8+14,IFERROR(INDEX(Settings!$Q$14:$Q$24,MATCH('INPUT - Bookings'!$G453,Settings!$P$14:$P$24,0)),"Yes")="Yes"),'INPUT - Bookings'!$E453+ROW()/100000,"")</f>
        <v/>
      </c>
    </row>
    <row r="454">
      <c r="BB454" s="244">
        <f>IF('INPUT - Bookings'!$B454="",0,IF(AND(OR(Dashboard!$D$9="All",TRIM('INPUT - Bookings'!$C454)=Dashboard!$D$9),OR(Dashboard!$J$9="All",TRIM('INPUT - Bookings'!$D454)=Dashboard!$J$9)),1,0))</f>
        <v/>
      </c>
      <c r="BC454" s="244">
        <f>IF(AND(BB454=1,ISNUMBER('INPUT - Bookings'!$E454),'INPUT - Bookings'!$E454&gt;=Settings!$C$8,'INPUT - Bookings'!$E454&lt;=Settings!$C$8+14,IFERROR(INDEX(Settings!$Q$14:$Q$24,MATCH('INPUT - Bookings'!$G454,Settings!$P$14:$P$24,0)),"Yes")="Yes"),'INPUT - Bookings'!$E454+ROW()/100000,"")</f>
        <v/>
      </c>
    </row>
    <row r="455">
      <c r="BB455" s="244">
        <f>IF('INPUT - Bookings'!$B455="",0,IF(AND(OR(Dashboard!$D$9="All",TRIM('INPUT - Bookings'!$C455)=Dashboard!$D$9),OR(Dashboard!$J$9="All",TRIM('INPUT - Bookings'!$D455)=Dashboard!$J$9)),1,0))</f>
        <v/>
      </c>
      <c r="BC455" s="244">
        <f>IF(AND(BB455=1,ISNUMBER('INPUT - Bookings'!$E455),'INPUT - Bookings'!$E455&gt;=Settings!$C$8,'INPUT - Bookings'!$E455&lt;=Settings!$C$8+14,IFERROR(INDEX(Settings!$Q$14:$Q$24,MATCH('INPUT - Bookings'!$G455,Settings!$P$14:$P$24,0)),"Yes")="Yes"),'INPUT - Bookings'!$E455+ROW()/100000,"")</f>
        <v/>
      </c>
    </row>
    <row r="456">
      <c r="BB456" s="244">
        <f>IF('INPUT - Bookings'!$B456="",0,IF(AND(OR(Dashboard!$D$9="All",TRIM('INPUT - Bookings'!$C456)=Dashboard!$D$9),OR(Dashboard!$J$9="All",TRIM('INPUT - Bookings'!$D456)=Dashboard!$J$9)),1,0))</f>
        <v/>
      </c>
      <c r="BC456" s="244">
        <f>IF(AND(BB456=1,ISNUMBER('INPUT - Bookings'!$E456),'INPUT - Bookings'!$E456&gt;=Settings!$C$8,'INPUT - Bookings'!$E456&lt;=Settings!$C$8+14,IFERROR(INDEX(Settings!$Q$14:$Q$24,MATCH('INPUT - Bookings'!$G456,Settings!$P$14:$P$24,0)),"Yes")="Yes"),'INPUT - Bookings'!$E456+ROW()/100000,"")</f>
        <v/>
      </c>
    </row>
    <row r="457">
      <c r="BB457" s="244">
        <f>IF('INPUT - Bookings'!$B457="",0,IF(AND(OR(Dashboard!$D$9="All",TRIM('INPUT - Bookings'!$C457)=Dashboard!$D$9),OR(Dashboard!$J$9="All",TRIM('INPUT - Bookings'!$D457)=Dashboard!$J$9)),1,0))</f>
        <v/>
      </c>
      <c r="BC457" s="244">
        <f>IF(AND(BB457=1,ISNUMBER('INPUT - Bookings'!$E457),'INPUT - Bookings'!$E457&gt;=Settings!$C$8,'INPUT - Bookings'!$E457&lt;=Settings!$C$8+14,IFERROR(INDEX(Settings!$Q$14:$Q$24,MATCH('INPUT - Bookings'!$G457,Settings!$P$14:$P$24,0)),"Yes")="Yes"),'INPUT - Bookings'!$E457+ROW()/100000,"")</f>
        <v/>
      </c>
    </row>
    <row r="458">
      <c r="BB458" s="244">
        <f>IF('INPUT - Bookings'!$B458="",0,IF(AND(OR(Dashboard!$D$9="All",TRIM('INPUT - Bookings'!$C458)=Dashboard!$D$9),OR(Dashboard!$J$9="All",TRIM('INPUT - Bookings'!$D458)=Dashboard!$J$9)),1,0))</f>
        <v/>
      </c>
      <c r="BC458" s="244">
        <f>IF(AND(BB458=1,ISNUMBER('INPUT - Bookings'!$E458),'INPUT - Bookings'!$E458&gt;=Settings!$C$8,'INPUT - Bookings'!$E458&lt;=Settings!$C$8+14,IFERROR(INDEX(Settings!$Q$14:$Q$24,MATCH('INPUT - Bookings'!$G458,Settings!$P$14:$P$24,0)),"Yes")="Yes"),'INPUT - Bookings'!$E458+ROW()/100000,"")</f>
        <v/>
      </c>
    </row>
    <row r="459">
      <c r="BB459" s="244">
        <f>IF('INPUT - Bookings'!$B459="",0,IF(AND(OR(Dashboard!$D$9="All",TRIM('INPUT - Bookings'!$C459)=Dashboard!$D$9),OR(Dashboard!$J$9="All",TRIM('INPUT - Bookings'!$D459)=Dashboard!$J$9)),1,0))</f>
        <v/>
      </c>
      <c r="BC459" s="244">
        <f>IF(AND(BB459=1,ISNUMBER('INPUT - Bookings'!$E459),'INPUT - Bookings'!$E459&gt;=Settings!$C$8,'INPUT - Bookings'!$E459&lt;=Settings!$C$8+14,IFERROR(INDEX(Settings!$Q$14:$Q$24,MATCH('INPUT - Bookings'!$G459,Settings!$P$14:$P$24,0)),"Yes")="Yes"),'INPUT - Bookings'!$E459+ROW()/100000,"")</f>
        <v/>
      </c>
    </row>
    <row r="460">
      <c r="BB460" s="244">
        <f>IF('INPUT - Bookings'!$B460="",0,IF(AND(OR(Dashboard!$D$9="All",TRIM('INPUT - Bookings'!$C460)=Dashboard!$D$9),OR(Dashboard!$J$9="All",TRIM('INPUT - Bookings'!$D460)=Dashboard!$J$9)),1,0))</f>
        <v/>
      </c>
      <c r="BC460" s="244">
        <f>IF(AND(BB460=1,ISNUMBER('INPUT - Bookings'!$E460),'INPUT - Bookings'!$E460&gt;=Settings!$C$8,'INPUT - Bookings'!$E460&lt;=Settings!$C$8+14,IFERROR(INDEX(Settings!$Q$14:$Q$24,MATCH('INPUT - Bookings'!$G460,Settings!$P$14:$P$24,0)),"Yes")="Yes"),'INPUT - Bookings'!$E460+ROW()/100000,"")</f>
        <v/>
      </c>
    </row>
    <row r="461">
      <c r="BB461" s="244">
        <f>IF('INPUT - Bookings'!$B461="",0,IF(AND(OR(Dashboard!$D$9="All",TRIM('INPUT - Bookings'!$C461)=Dashboard!$D$9),OR(Dashboard!$J$9="All",TRIM('INPUT - Bookings'!$D461)=Dashboard!$J$9)),1,0))</f>
        <v/>
      </c>
      <c r="BC461" s="244">
        <f>IF(AND(BB461=1,ISNUMBER('INPUT - Bookings'!$E461),'INPUT - Bookings'!$E461&gt;=Settings!$C$8,'INPUT - Bookings'!$E461&lt;=Settings!$C$8+14,IFERROR(INDEX(Settings!$Q$14:$Q$24,MATCH('INPUT - Bookings'!$G461,Settings!$P$14:$P$24,0)),"Yes")="Yes"),'INPUT - Bookings'!$E461+ROW()/100000,"")</f>
        <v/>
      </c>
    </row>
    <row r="462">
      <c r="BB462" s="244">
        <f>IF('INPUT - Bookings'!$B462="",0,IF(AND(OR(Dashboard!$D$9="All",TRIM('INPUT - Bookings'!$C462)=Dashboard!$D$9),OR(Dashboard!$J$9="All",TRIM('INPUT - Bookings'!$D462)=Dashboard!$J$9)),1,0))</f>
        <v/>
      </c>
      <c r="BC462" s="244">
        <f>IF(AND(BB462=1,ISNUMBER('INPUT - Bookings'!$E462),'INPUT - Bookings'!$E462&gt;=Settings!$C$8,'INPUT - Bookings'!$E462&lt;=Settings!$C$8+14,IFERROR(INDEX(Settings!$Q$14:$Q$24,MATCH('INPUT - Bookings'!$G462,Settings!$P$14:$P$24,0)),"Yes")="Yes"),'INPUT - Bookings'!$E462+ROW()/100000,"")</f>
        <v/>
      </c>
    </row>
    <row r="463">
      <c r="BB463" s="244">
        <f>IF('INPUT - Bookings'!$B463="",0,IF(AND(OR(Dashboard!$D$9="All",TRIM('INPUT - Bookings'!$C463)=Dashboard!$D$9),OR(Dashboard!$J$9="All",TRIM('INPUT - Bookings'!$D463)=Dashboard!$J$9)),1,0))</f>
        <v/>
      </c>
      <c r="BC463" s="244">
        <f>IF(AND(BB463=1,ISNUMBER('INPUT - Bookings'!$E463),'INPUT - Bookings'!$E463&gt;=Settings!$C$8,'INPUT - Bookings'!$E463&lt;=Settings!$C$8+14,IFERROR(INDEX(Settings!$Q$14:$Q$24,MATCH('INPUT - Bookings'!$G463,Settings!$P$14:$P$24,0)),"Yes")="Yes"),'INPUT - Bookings'!$E463+ROW()/100000,"")</f>
        <v/>
      </c>
    </row>
    <row r="464">
      <c r="BB464" s="244">
        <f>IF('INPUT - Bookings'!$B464="",0,IF(AND(OR(Dashboard!$D$9="All",TRIM('INPUT - Bookings'!$C464)=Dashboard!$D$9),OR(Dashboard!$J$9="All",TRIM('INPUT - Bookings'!$D464)=Dashboard!$J$9)),1,0))</f>
        <v/>
      </c>
      <c r="BC464" s="244">
        <f>IF(AND(BB464=1,ISNUMBER('INPUT - Bookings'!$E464),'INPUT - Bookings'!$E464&gt;=Settings!$C$8,'INPUT - Bookings'!$E464&lt;=Settings!$C$8+14,IFERROR(INDEX(Settings!$Q$14:$Q$24,MATCH('INPUT - Bookings'!$G464,Settings!$P$14:$P$24,0)),"Yes")="Yes"),'INPUT - Bookings'!$E464+ROW()/100000,"")</f>
        <v/>
      </c>
    </row>
    <row r="465">
      <c r="BB465" s="244">
        <f>IF('INPUT - Bookings'!$B465="",0,IF(AND(OR(Dashboard!$D$9="All",TRIM('INPUT - Bookings'!$C465)=Dashboard!$D$9),OR(Dashboard!$J$9="All",TRIM('INPUT - Bookings'!$D465)=Dashboard!$J$9)),1,0))</f>
        <v/>
      </c>
      <c r="BC465" s="244">
        <f>IF(AND(BB465=1,ISNUMBER('INPUT - Bookings'!$E465),'INPUT - Bookings'!$E465&gt;=Settings!$C$8,'INPUT - Bookings'!$E465&lt;=Settings!$C$8+14,IFERROR(INDEX(Settings!$Q$14:$Q$24,MATCH('INPUT - Bookings'!$G465,Settings!$P$14:$P$24,0)),"Yes")="Yes"),'INPUT - Bookings'!$E465+ROW()/100000,"")</f>
        <v/>
      </c>
    </row>
    <row r="466">
      <c r="BB466" s="244">
        <f>IF('INPUT - Bookings'!$B466="",0,IF(AND(OR(Dashboard!$D$9="All",TRIM('INPUT - Bookings'!$C466)=Dashboard!$D$9),OR(Dashboard!$J$9="All",TRIM('INPUT - Bookings'!$D466)=Dashboard!$J$9)),1,0))</f>
        <v/>
      </c>
      <c r="BC466" s="244">
        <f>IF(AND(BB466=1,ISNUMBER('INPUT - Bookings'!$E466),'INPUT - Bookings'!$E466&gt;=Settings!$C$8,'INPUT - Bookings'!$E466&lt;=Settings!$C$8+14,IFERROR(INDEX(Settings!$Q$14:$Q$24,MATCH('INPUT - Bookings'!$G466,Settings!$P$14:$P$24,0)),"Yes")="Yes"),'INPUT - Bookings'!$E466+ROW()/100000,"")</f>
        <v/>
      </c>
    </row>
    <row r="467">
      <c r="BB467" s="244">
        <f>IF('INPUT - Bookings'!$B467="",0,IF(AND(OR(Dashboard!$D$9="All",TRIM('INPUT - Bookings'!$C467)=Dashboard!$D$9),OR(Dashboard!$J$9="All",TRIM('INPUT - Bookings'!$D467)=Dashboard!$J$9)),1,0))</f>
        <v/>
      </c>
      <c r="BC467" s="244">
        <f>IF(AND(BB467=1,ISNUMBER('INPUT - Bookings'!$E467),'INPUT - Bookings'!$E467&gt;=Settings!$C$8,'INPUT - Bookings'!$E467&lt;=Settings!$C$8+14,IFERROR(INDEX(Settings!$Q$14:$Q$24,MATCH('INPUT - Bookings'!$G467,Settings!$P$14:$P$24,0)),"Yes")="Yes"),'INPUT - Bookings'!$E467+ROW()/100000,"")</f>
        <v/>
      </c>
    </row>
    <row r="468">
      <c r="BB468" s="244">
        <f>IF('INPUT - Bookings'!$B468="",0,IF(AND(OR(Dashboard!$D$9="All",TRIM('INPUT - Bookings'!$C468)=Dashboard!$D$9),OR(Dashboard!$J$9="All",TRIM('INPUT - Bookings'!$D468)=Dashboard!$J$9)),1,0))</f>
        <v/>
      </c>
      <c r="BC468" s="244">
        <f>IF(AND(BB468=1,ISNUMBER('INPUT - Bookings'!$E468),'INPUT - Bookings'!$E468&gt;=Settings!$C$8,'INPUT - Bookings'!$E468&lt;=Settings!$C$8+14,IFERROR(INDEX(Settings!$Q$14:$Q$24,MATCH('INPUT - Bookings'!$G468,Settings!$P$14:$P$24,0)),"Yes")="Yes"),'INPUT - Bookings'!$E468+ROW()/100000,"")</f>
        <v/>
      </c>
    </row>
    <row r="469">
      <c r="BB469" s="244">
        <f>IF('INPUT - Bookings'!$B469="",0,IF(AND(OR(Dashboard!$D$9="All",TRIM('INPUT - Bookings'!$C469)=Dashboard!$D$9),OR(Dashboard!$J$9="All",TRIM('INPUT - Bookings'!$D469)=Dashboard!$J$9)),1,0))</f>
        <v/>
      </c>
      <c r="BC469" s="244">
        <f>IF(AND(BB469=1,ISNUMBER('INPUT - Bookings'!$E469),'INPUT - Bookings'!$E469&gt;=Settings!$C$8,'INPUT - Bookings'!$E469&lt;=Settings!$C$8+14,IFERROR(INDEX(Settings!$Q$14:$Q$24,MATCH('INPUT - Bookings'!$G469,Settings!$P$14:$P$24,0)),"Yes")="Yes"),'INPUT - Bookings'!$E469+ROW()/100000,"")</f>
        <v/>
      </c>
    </row>
    <row r="470">
      <c r="BB470" s="244">
        <f>IF('INPUT - Bookings'!$B470="",0,IF(AND(OR(Dashboard!$D$9="All",TRIM('INPUT - Bookings'!$C470)=Dashboard!$D$9),OR(Dashboard!$J$9="All",TRIM('INPUT - Bookings'!$D470)=Dashboard!$J$9)),1,0))</f>
        <v/>
      </c>
      <c r="BC470" s="244">
        <f>IF(AND(BB470=1,ISNUMBER('INPUT - Bookings'!$E470),'INPUT - Bookings'!$E470&gt;=Settings!$C$8,'INPUT - Bookings'!$E470&lt;=Settings!$C$8+14,IFERROR(INDEX(Settings!$Q$14:$Q$24,MATCH('INPUT - Bookings'!$G470,Settings!$P$14:$P$24,0)),"Yes")="Yes"),'INPUT - Bookings'!$E470+ROW()/100000,"")</f>
        <v/>
      </c>
    </row>
    <row r="471">
      <c r="BB471" s="244">
        <f>IF('INPUT - Bookings'!$B471="",0,IF(AND(OR(Dashboard!$D$9="All",TRIM('INPUT - Bookings'!$C471)=Dashboard!$D$9),OR(Dashboard!$J$9="All",TRIM('INPUT - Bookings'!$D471)=Dashboard!$J$9)),1,0))</f>
        <v/>
      </c>
      <c r="BC471" s="244">
        <f>IF(AND(BB471=1,ISNUMBER('INPUT - Bookings'!$E471),'INPUT - Bookings'!$E471&gt;=Settings!$C$8,'INPUT - Bookings'!$E471&lt;=Settings!$C$8+14,IFERROR(INDEX(Settings!$Q$14:$Q$24,MATCH('INPUT - Bookings'!$G471,Settings!$P$14:$P$24,0)),"Yes")="Yes"),'INPUT - Bookings'!$E471+ROW()/100000,"")</f>
        <v/>
      </c>
    </row>
    <row r="472">
      <c r="BB472" s="244">
        <f>IF('INPUT - Bookings'!$B472="",0,IF(AND(OR(Dashboard!$D$9="All",TRIM('INPUT - Bookings'!$C472)=Dashboard!$D$9),OR(Dashboard!$J$9="All",TRIM('INPUT - Bookings'!$D472)=Dashboard!$J$9)),1,0))</f>
        <v/>
      </c>
      <c r="BC472" s="244">
        <f>IF(AND(BB472=1,ISNUMBER('INPUT - Bookings'!$E472),'INPUT - Bookings'!$E472&gt;=Settings!$C$8,'INPUT - Bookings'!$E472&lt;=Settings!$C$8+14,IFERROR(INDEX(Settings!$Q$14:$Q$24,MATCH('INPUT - Bookings'!$G472,Settings!$P$14:$P$24,0)),"Yes")="Yes"),'INPUT - Bookings'!$E472+ROW()/100000,"")</f>
        <v/>
      </c>
    </row>
    <row r="473">
      <c r="BB473" s="244">
        <f>IF('INPUT - Bookings'!$B473="",0,IF(AND(OR(Dashboard!$D$9="All",TRIM('INPUT - Bookings'!$C473)=Dashboard!$D$9),OR(Dashboard!$J$9="All",TRIM('INPUT - Bookings'!$D473)=Dashboard!$J$9)),1,0))</f>
        <v/>
      </c>
      <c r="BC473" s="244">
        <f>IF(AND(BB473=1,ISNUMBER('INPUT - Bookings'!$E473),'INPUT - Bookings'!$E473&gt;=Settings!$C$8,'INPUT - Bookings'!$E473&lt;=Settings!$C$8+14,IFERROR(INDEX(Settings!$Q$14:$Q$24,MATCH('INPUT - Bookings'!$G473,Settings!$P$14:$P$24,0)),"Yes")="Yes"),'INPUT - Bookings'!$E473+ROW()/100000,"")</f>
        <v/>
      </c>
    </row>
    <row r="474">
      <c r="BB474" s="244">
        <f>IF('INPUT - Bookings'!$B474="",0,IF(AND(OR(Dashboard!$D$9="All",TRIM('INPUT - Bookings'!$C474)=Dashboard!$D$9),OR(Dashboard!$J$9="All",TRIM('INPUT - Bookings'!$D474)=Dashboard!$J$9)),1,0))</f>
        <v/>
      </c>
      <c r="BC474" s="244">
        <f>IF(AND(BB474=1,ISNUMBER('INPUT - Bookings'!$E474),'INPUT - Bookings'!$E474&gt;=Settings!$C$8,'INPUT - Bookings'!$E474&lt;=Settings!$C$8+14,IFERROR(INDEX(Settings!$Q$14:$Q$24,MATCH('INPUT - Bookings'!$G474,Settings!$P$14:$P$24,0)),"Yes")="Yes"),'INPUT - Bookings'!$E474+ROW()/100000,"")</f>
        <v/>
      </c>
    </row>
    <row r="475">
      <c r="BB475" s="244">
        <f>IF('INPUT - Bookings'!$B475="",0,IF(AND(OR(Dashboard!$D$9="All",TRIM('INPUT - Bookings'!$C475)=Dashboard!$D$9),OR(Dashboard!$J$9="All",TRIM('INPUT - Bookings'!$D475)=Dashboard!$J$9)),1,0))</f>
        <v/>
      </c>
      <c r="BC475" s="244">
        <f>IF(AND(BB475=1,ISNUMBER('INPUT - Bookings'!$E475),'INPUT - Bookings'!$E475&gt;=Settings!$C$8,'INPUT - Bookings'!$E475&lt;=Settings!$C$8+14,IFERROR(INDEX(Settings!$Q$14:$Q$24,MATCH('INPUT - Bookings'!$G475,Settings!$P$14:$P$24,0)),"Yes")="Yes"),'INPUT - Bookings'!$E475+ROW()/100000,"")</f>
        <v/>
      </c>
    </row>
    <row r="476">
      <c r="BB476" s="244">
        <f>IF('INPUT - Bookings'!$B476="",0,IF(AND(OR(Dashboard!$D$9="All",TRIM('INPUT - Bookings'!$C476)=Dashboard!$D$9),OR(Dashboard!$J$9="All",TRIM('INPUT - Bookings'!$D476)=Dashboard!$J$9)),1,0))</f>
        <v/>
      </c>
      <c r="BC476" s="244">
        <f>IF(AND(BB476=1,ISNUMBER('INPUT - Bookings'!$E476),'INPUT - Bookings'!$E476&gt;=Settings!$C$8,'INPUT - Bookings'!$E476&lt;=Settings!$C$8+14,IFERROR(INDEX(Settings!$Q$14:$Q$24,MATCH('INPUT - Bookings'!$G476,Settings!$P$14:$P$24,0)),"Yes")="Yes"),'INPUT - Bookings'!$E476+ROW()/100000,"")</f>
        <v/>
      </c>
    </row>
    <row r="477">
      <c r="BB477" s="244">
        <f>IF('INPUT - Bookings'!$B477="",0,IF(AND(OR(Dashboard!$D$9="All",TRIM('INPUT - Bookings'!$C477)=Dashboard!$D$9),OR(Dashboard!$J$9="All",TRIM('INPUT - Bookings'!$D477)=Dashboard!$J$9)),1,0))</f>
        <v/>
      </c>
      <c r="BC477" s="244">
        <f>IF(AND(BB477=1,ISNUMBER('INPUT - Bookings'!$E477),'INPUT - Bookings'!$E477&gt;=Settings!$C$8,'INPUT - Bookings'!$E477&lt;=Settings!$C$8+14,IFERROR(INDEX(Settings!$Q$14:$Q$24,MATCH('INPUT - Bookings'!$G477,Settings!$P$14:$P$24,0)),"Yes")="Yes"),'INPUT - Bookings'!$E477+ROW()/100000,"")</f>
        <v/>
      </c>
    </row>
    <row r="478">
      <c r="BB478" s="244">
        <f>IF('INPUT - Bookings'!$B478="",0,IF(AND(OR(Dashboard!$D$9="All",TRIM('INPUT - Bookings'!$C478)=Dashboard!$D$9),OR(Dashboard!$J$9="All",TRIM('INPUT - Bookings'!$D478)=Dashboard!$J$9)),1,0))</f>
        <v/>
      </c>
      <c r="BC478" s="244">
        <f>IF(AND(BB478=1,ISNUMBER('INPUT - Bookings'!$E478),'INPUT - Bookings'!$E478&gt;=Settings!$C$8,'INPUT - Bookings'!$E478&lt;=Settings!$C$8+14,IFERROR(INDEX(Settings!$Q$14:$Q$24,MATCH('INPUT - Bookings'!$G478,Settings!$P$14:$P$24,0)),"Yes")="Yes"),'INPUT - Bookings'!$E478+ROW()/100000,"")</f>
        <v/>
      </c>
    </row>
    <row r="479">
      <c r="BB479" s="244">
        <f>IF('INPUT - Bookings'!$B479="",0,IF(AND(OR(Dashboard!$D$9="All",TRIM('INPUT - Bookings'!$C479)=Dashboard!$D$9),OR(Dashboard!$J$9="All",TRIM('INPUT - Bookings'!$D479)=Dashboard!$J$9)),1,0))</f>
        <v/>
      </c>
      <c r="BC479" s="244">
        <f>IF(AND(BB479=1,ISNUMBER('INPUT - Bookings'!$E479),'INPUT - Bookings'!$E479&gt;=Settings!$C$8,'INPUT - Bookings'!$E479&lt;=Settings!$C$8+14,IFERROR(INDEX(Settings!$Q$14:$Q$24,MATCH('INPUT - Bookings'!$G479,Settings!$P$14:$P$24,0)),"Yes")="Yes"),'INPUT - Bookings'!$E479+ROW()/100000,"")</f>
        <v/>
      </c>
    </row>
    <row r="480">
      <c r="BB480" s="244">
        <f>IF('INPUT - Bookings'!$B480="",0,IF(AND(OR(Dashboard!$D$9="All",TRIM('INPUT - Bookings'!$C480)=Dashboard!$D$9),OR(Dashboard!$J$9="All",TRIM('INPUT - Bookings'!$D480)=Dashboard!$J$9)),1,0))</f>
        <v/>
      </c>
      <c r="BC480" s="244">
        <f>IF(AND(BB480=1,ISNUMBER('INPUT - Bookings'!$E480),'INPUT - Bookings'!$E480&gt;=Settings!$C$8,'INPUT - Bookings'!$E480&lt;=Settings!$C$8+14,IFERROR(INDEX(Settings!$Q$14:$Q$24,MATCH('INPUT - Bookings'!$G480,Settings!$P$14:$P$24,0)),"Yes")="Yes"),'INPUT - Bookings'!$E480+ROW()/100000,"")</f>
        <v/>
      </c>
    </row>
    <row r="481">
      <c r="BB481" s="244">
        <f>IF('INPUT - Bookings'!$B481="",0,IF(AND(OR(Dashboard!$D$9="All",TRIM('INPUT - Bookings'!$C481)=Dashboard!$D$9),OR(Dashboard!$J$9="All",TRIM('INPUT - Bookings'!$D481)=Dashboard!$J$9)),1,0))</f>
        <v/>
      </c>
      <c r="BC481" s="244">
        <f>IF(AND(BB481=1,ISNUMBER('INPUT - Bookings'!$E481),'INPUT - Bookings'!$E481&gt;=Settings!$C$8,'INPUT - Bookings'!$E481&lt;=Settings!$C$8+14,IFERROR(INDEX(Settings!$Q$14:$Q$24,MATCH('INPUT - Bookings'!$G481,Settings!$P$14:$P$24,0)),"Yes")="Yes"),'INPUT - Bookings'!$E481+ROW()/100000,"")</f>
        <v/>
      </c>
    </row>
    <row r="482">
      <c r="BB482" s="244">
        <f>IF('INPUT - Bookings'!$B482="",0,IF(AND(OR(Dashboard!$D$9="All",TRIM('INPUT - Bookings'!$C482)=Dashboard!$D$9),OR(Dashboard!$J$9="All",TRIM('INPUT - Bookings'!$D482)=Dashboard!$J$9)),1,0))</f>
        <v/>
      </c>
      <c r="BC482" s="244">
        <f>IF(AND(BB482=1,ISNUMBER('INPUT - Bookings'!$E482),'INPUT - Bookings'!$E482&gt;=Settings!$C$8,'INPUT - Bookings'!$E482&lt;=Settings!$C$8+14,IFERROR(INDEX(Settings!$Q$14:$Q$24,MATCH('INPUT - Bookings'!$G482,Settings!$P$14:$P$24,0)),"Yes")="Yes"),'INPUT - Bookings'!$E482+ROW()/100000,"")</f>
        <v/>
      </c>
    </row>
    <row r="483">
      <c r="BB483" s="244">
        <f>IF('INPUT - Bookings'!$B483="",0,IF(AND(OR(Dashboard!$D$9="All",TRIM('INPUT - Bookings'!$C483)=Dashboard!$D$9),OR(Dashboard!$J$9="All",TRIM('INPUT - Bookings'!$D483)=Dashboard!$J$9)),1,0))</f>
        <v/>
      </c>
      <c r="BC483" s="244">
        <f>IF(AND(BB483=1,ISNUMBER('INPUT - Bookings'!$E483),'INPUT - Bookings'!$E483&gt;=Settings!$C$8,'INPUT - Bookings'!$E483&lt;=Settings!$C$8+14,IFERROR(INDEX(Settings!$Q$14:$Q$24,MATCH('INPUT - Bookings'!$G483,Settings!$P$14:$P$24,0)),"Yes")="Yes"),'INPUT - Bookings'!$E483+ROW()/100000,"")</f>
        <v/>
      </c>
    </row>
    <row r="484">
      <c r="BB484" s="244">
        <f>IF('INPUT - Bookings'!$B484="",0,IF(AND(OR(Dashboard!$D$9="All",TRIM('INPUT - Bookings'!$C484)=Dashboard!$D$9),OR(Dashboard!$J$9="All",TRIM('INPUT - Bookings'!$D484)=Dashboard!$J$9)),1,0))</f>
        <v/>
      </c>
      <c r="BC484" s="244">
        <f>IF(AND(BB484=1,ISNUMBER('INPUT - Bookings'!$E484),'INPUT - Bookings'!$E484&gt;=Settings!$C$8,'INPUT - Bookings'!$E484&lt;=Settings!$C$8+14,IFERROR(INDEX(Settings!$Q$14:$Q$24,MATCH('INPUT - Bookings'!$G484,Settings!$P$14:$P$24,0)),"Yes")="Yes"),'INPUT - Bookings'!$E484+ROW()/100000,"")</f>
        <v/>
      </c>
    </row>
    <row r="485">
      <c r="BB485" s="244">
        <f>IF('INPUT - Bookings'!$B485="",0,IF(AND(OR(Dashboard!$D$9="All",TRIM('INPUT - Bookings'!$C485)=Dashboard!$D$9),OR(Dashboard!$J$9="All",TRIM('INPUT - Bookings'!$D485)=Dashboard!$J$9)),1,0))</f>
        <v/>
      </c>
      <c r="BC485" s="244">
        <f>IF(AND(BB485=1,ISNUMBER('INPUT - Bookings'!$E485),'INPUT - Bookings'!$E485&gt;=Settings!$C$8,'INPUT - Bookings'!$E485&lt;=Settings!$C$8+14,IFERROR(INDEX(Settings!$Q$14:$Q$24,MATCH('INPUT - Bookings'!$G485,Settings!$P$14:$P$24,0)),"Yes")="Yes"),'INPUT - Bookings'!$E485+ROW()/100000,"")</f>
        <v/>
      </c>
    </row>
    <row r="486">
      <c r="BB486" s="244">
        <f>IF('INPUT - Bookings'!$B486="",0,IF(AND(OR(Dashboard!$D$9="All",TRIM('INPUT - Bookings'!$C486)=Dashboard!$D$9),OR(Dashboard!$J$9="All",TRIM('INPUT - Bookings'!$D486)=Dashboard!$J$9)),1,0))</f>
        <v/>
      </c>
      <c r="BC486" s="244">
        <f>IF(AND(BB486=1,ISNUMBER('INPUT - Bookings'!$E486),'INPUT - Bookings'!$E486&gt;=Settings!$C$8,'INPUT - Bookings'!$E486&lt;=Settings!$C$8+14,IFERROR(INDEX(Settings!$Q$14:$Q$24,MATCH('INPUT - Bookings'!$G486,Settings!$P$14:$P$24,0)),"Yes")="Yes"),'INPUT - Bookings'!$E486+ROW()/100000,"")</f>
        <v/>
      </c>
    </row>
    <row r="487">
      <c r="BB487" s="244">
        <f>IF('INPUT - Bookings'!$B487="",0,IF(AND(OR(Dashboard!$D$9="All",TRIM('INPUT - Bookings'!$C487)=Dashboard!$D$9),OR(Dashboard!$J$9="All",TRIM('INPUT - Bookings'!$D487)=Dashboard!$J$9)),1,0))</f>
        <v/>
      </c>
      <c r="BC487" s="244">
        <f>IF(AND(BB487=1,ISNUMBER('INPUT - Bookings'!$E487),'INPUT - Bookings'!$E487&gt;=Settings!$C$8,'INPUT - Bookings'!$E487&lt;=Settings!$C$8+14,IFERROR(INDEX(Settings!$Q$14:$Q$24,MATCH('INPUT - Bookings'!$G487,Settings!$P$14:$P$24,0)),"Yes")="Yes"),'INPUT - Bookings'!$E487+ROW()/100000,"")</f>
        <v/>
      </c>
    </row>
    <row r="488">
      <c r="BB488" s="244">
        <f>IF('INPUT - Bookings'!$B488="",0,IF(AND(OR(Dashboard!$D$9="All",TRIM('INPUT - Bookings'!$C488)=Dashboard!$D$9),OR(Dashboard!$J$9="All",TRIM('INPUT - Bookings'!$D488)=Dashboard!$J$9)),1,0))</f>
        <v/>
      </c>
      <c r="BC488" s="244">
        <f>IF(AND(BB488=1,ISNUMBER('INPUT - Bookings'!$E488),'INPUT - Bookings'!$E488&gt;=Settings!$C$8,'INPUT - Bookings'!$E488&lt;=Settings!$C$8+14,IFERROR(INDEX(Settings!$Q$14:$Q$24,MATCH('INPUT - Bookings'!$G488,Settings!$P$14:$P$24,0)),"Yes")="Yes"),'INPUT - Bookings'!$E488+ROW()/100000,"")</f>
        <v/>
      </c>
    </row>
    <row r="489">
      <c r="BB489" s="244">
        <f>IF('INPUT - Bookings'!$B489="",0,IF(AND(OR(Dashboard!$D$9="All",TRIM('INPUT - Bookings'!$C489)=Dashboard!$D$9),OR(Dashboard!$J$9="All",TRIM('INPUT - Bookings'!$D489)=Dashboard!$J$9)),1,0))</f>
        <v/>
      </c>
      <c r="BC489" s="244">
        <f>IF(AND(BB489=1,ISNUMBER('INPUT - Bookings'!$E489),'INPUT - Bookings'!$E489&gt;=Settings!$C$8,'INPUT - Bookings'!$E489&lt;=Settings!$C$8+14,IFERROR(INDEX(Settings!$Q$14:$Q$24,MATCH('INPUT - Bookings'!$G489,Settings!$P$14:$P$24,0)),"Yes")="Yes"),'INPUT - Bookings'!$E489+ROW()/100000,"")</f>
        <v/>
      </c>
    </row>
    <row r="490">
      <c r="BB490" s="244">
        <f>IF('INPUT - Bookings'!$B490="",0,IF(AND(OR(Dashboard!$D$9="All",TRIM('INPUT - Bookings'!$C490)=Dashboard!$D$9),OR(Dashboard!$J$9="All",TRIM('INPUT - Bookings'!$D490)=Dashboard!$J$9)),1,0))</f>
        <v/>
      </c>
      <c r="BC490" s="244">
        <f>IF(AND(BB490=1,ISNUMBER('INPUT - Bookings'!$E490),'INPUT - Bookings'!$E490&gt;=Settings!$C$8,'INPUT - Bookings'!$E490&lt;=Settings!$C$8+14,IFERROR(INDEX(Settings!$Q$14:$Q$24,MATCH('INPUT - Bookings'!$G490,Settings!$P$14:$P$24,0)),"Yes")="Yes"),'INPUT - Bookings'!$E490+ROW()/100000,"")</f>
        <v/>
      </c>
    </row>
    <row r="491">
      <c r="BB491" s="244">
        <f>IF('INPUT - Bookings'!$B491="",0,IF(AND(OR(Dashboard!$D$9="All",TRIM('INPUT - Bookings'!$C491)=Dashboard!$D$9),OR(Dashboard!$J$9="All",TRIM('INPUT - Bookings'!$D491)=Dashboard!$J$9)),1,0))</f>
        <v/>
      </c>
      <c r="BC491" s="244">
        <f>IF(AND(BB491=1,ISNUMBER('INPUT - Bookings'!$E491),'INPUT - Bookings'!$E491&gt;=Settings!$C$8,'INPUT - Bookings'!$E491&lt;=Settings!$C$8+14,IFERROR(INDEX(Settings!$Q$14:$Q$24,MATCH('INPUT - Bookings'!$G491,Settings!$P$14:$P$24,0)),"Yes")="Yes"),'INPUT - Bookings'!$E491+ROW()/100000,"")</f>
        <v/>
      </c>
    </row>
    <row r="492">
      <c r="BB492" s="244">
        <f>IF('INPUT - Bookings'!$B492="",0,IF(AND(OR(Dashboard!$D$9="All",TRIM('INPUT - Bookings'!$C492)=Dashboard!$D$9),OR(Dashboard!$J$9="All",TRIM('INPUT - Bookings'!$D492)=Dashboard!$J$9)),1,0))</f>
        <v/>
      </c>
      <c r="BC492" s="244">
        <f>IF(AND(BB492=1,ISNUMBER('INPUT - Bookings'!$E492),'INPUT - Bookings'!$E492&gt;=Settings!$C$8,'INPUT - Bookings'!$E492&lt;=Settings!$C$8+14,IFERROR(INDEX(Settings!$Q$14:$Q$24,MATCH('INPUT - Bookings'!$G492,Settings!$P$14:$P$24,0)),"Yes")="Yes"),'INPUT - Bookings'!$E492+ROW()/100000,"")</f>
        <v/>
      </c>
    </row>
    <row r="493">
      <c r="BB493" s="244">
        <f>IF('INPUT - Bookings'!$B493="",0,IF(AND(OR(Dashboard!$D$9="All",TRIM('INPUT - Bookings'!$C493)=Dashboard!$D$9),OR(Dashboard!$J$9="All",TRIM('INPUT - Bookings'!$D493)=Dashboard!$J$9)),1,0))</f>
        <v/>
      </c>
      <c r="BC493" s="244">
        <f>IF(AND(BB493=1,ISNUMBER('INPUT - Bookings'!$E493),'INPUT - Bookings'!$E493&gt;=Settings!$C$8,'INPUT - Bookings'!$E493&lt;=Settings!$C$8+14,IFERROR(INDEX(Settings!$Q$14:$Q$24,MATCH('INPUT - Bookings'!$G493,Settings!$P$14:$P$24,0)),"Yes")="Yes"),'INPUT - Bookings'!$E493+ROW()/100000,"")</f>
        <v/>
      </c>
    </row>
    <row r="494">
      <c r="BB494" s="244">
        <f>IF('INPUT - Bookings'!$B494="",0,IF(AND(OR(Dashboard!$D$9="All",TRIM('INPUT - Bookings'!$C494)=Dashboard!$D$9),OR(Dashboard!$J$9="All",TRIM('INPUT - Bookings'!$D494)=Dashboard!$J$9)),1,0))</f>
        <v/>
      </c>
      <c r="BC494" s="244">
        <f>IF(AND(BB494=1,ISNUMBER('INPUT - Bookings'!$E494),'INPUT - Bookings'!$E494&gt;=Settings!$C$8,'INPUT - Bookings'!$E494&lt;=Settings!$C$8+14,IFERROR(INDEX(Settings!$Q$14:$Q$24,MATCH('INPUT - Bookings'!$G494,Settings!$P$14:$P$24,0)),"Yes")="Yes"),'INPUT - Bookings'!$E494+ROW()/100000,"")</f>
        <v/>
      </c>
    </row>
    <row r="495">
      <c r="BB495" s="244">
        <f>IF('INPUT - Bookings'!$B495="",0,IF(AND(OR(Dashboard!$D$9="All",TRIM('INPUT - Bookings'!$C495)=Dashboard!$D$9),OR(Dashboard!$J$9="All",TRIM('INPUT - Bookings'!$D495)=Dashboard!$J$9)),1,0))</f>
        <v/>
      </c>
      <c r="BC495" s="244">
        <f>IF(AND(BB495=1,ISNUMBER('INPUT - Bookings'!$E495),'INPUT - Bookings'!$E495&gt;=Settings!$C$8,'INPUT - Bookings'!$E495&lt;=Settings!$C$8+14,IFERROR(INDEX(Settings!$Q$14:$Q$24,MATCH('INPUT - Bookings'!$G495,Settings!$P$14:$P$24,0)),"Yes")="Yes"),'INPUT - Bookings'!$E495+ROW()/100000,"")</f>
        <v/>
      </c>
    </row>
    <row r="496">
      <c r="BB496" s="244">
        <f>IF('INPUT - Bookings'!$B496="",0,IF(AND(OR(Dashboard!$D$9="All",TRIM('INPUT - Bookings'!$C496)=Dashboard!$D$9),OR(Dashboard!$J$9="All",TRIM('INPUT - Bookings'!$D496)=Dashboard!$J$9)),1,0))</f>
        <v/>
      </c>
      <c r="BC496" s="244">
        <f>IF(AND(BB496=1,ISNUMBER('INPUT - Bookings'!$E496),'INPUT - Bookings'!$E496&gt;=Settings!$C$8,'INPUT - Bookings'!$E496&lt;=Settings!$C$8+14,IFERROR(INDEX(Settings!$Q$14:$Q$24,MATCH('INPUT - Bookings'!$G496,Settings!$P$14:$P$24,0)),"Yes")="Yes"),'INPUT - Bookings'!$E496+ROW()/100000,"")</f>
        <v/>
      </c>
    </row>
    <row r="497">
      <c r="BB497" s="244">
        <f>IF('INPUT - Bookings'!$B497="",0,IF(AND(OR(Dashboard!$D$9="All",TRIM('INPUT - Bookings'!$C497)=Dashboard!$D$9),OR(Dashboard!$J$9="All",TRIM('INPUT - Bookings'!$D497)=Dashboard!$J$9)),1,0))</f>
        <v/>
      </c>
      <c r="BC497" s="244">
        <f>IF(AND(BB497=1,ISNUMBER('INPUT - Bookings'!$E497),'INPUT - Bookings'!$E497&gt;=Settings!$C$8,'INPUT - Bookings'!$E497&lt;=Settings!$C$8+14,IFERROR(INDEX(Settings!$Q$14:$Q$24,MATCH('INPUT - Bookings'!$G497,Settings!$P$14:$P$24,0)),"Yes")="Yes"),'INPUT - Bookings'!$E497+ROW()/100000,"")</f>
        <v/>
      </c>
    </row>
    <row r="498">
      <c r="BB498" s="244">
        <f>IF('INPUT - Bookings'!$B498="",0,IF(AND(OR(Dashboard!$D$9="All",TRIM('INPUT - Bookings'!$C498)=Dashboard!$D$9),OR(Dashboard!$J$9="All",TRIM('INPUT - Bookings'!$D498)=Dashboard!$J$9)),1,0))</f>
        <v/>
      </c>
      <c r="BC498" s="244">
        <f>IF(AND(BB498=1,ISNUMBER('INPUT - Bookings'!$E498),'INPUT - Bookings'!$E498&gt;=Settings!$C$8,'INPUT - Bookings'!$E498&lt;=Settings!$C$8+14,IFERROR(INDEX(Settings!$Q$14:$Q$24,MATCH('INPUT - Bookings'!$G498,Settings!$P$14:$P$24,0)),"Yes")="Yes"),'INPUT - Bookings'!$E498+ROW()/100000,"")</f>
        <v/>
      </c>
    </row>
    <row r="499">
      <c r="BB499" s="244">
        <f>IF('INPUT - Bookings'!$B499="",0,IF(AND(OR(Dashboard!$D$9="All",TRIM('INPUT - Bookings'!$C499)=Dashboard!$D$9),OR(Dashboard!$J$9="All",TRIM('INPUT - Bookings'!$D499)=Dashboard!$J$9)),1,0))</f>
        <v/>
      </c>
      <c r="BC499" s="244">
        <f>IF(AND(BB499=1,ISNUMBER('INPUT - Bookings'!$E499),'INPUT - Bookings'!$E499&gt;=Settings!$C$8,'INPUT - Bookings'!$E499&lt;=Settings!$C$8+14,IFERROR(INDEX(Settings!$Q$14:$Q$24,MATCH('INPUT - Bookings'!$G499,Settings!$P$14:$P$24,0)),"Yes")="Yes"),'INPUT - Bookings'!$E499+ROW()/100000,"")</f>
        <v/>
      </c>
    </row>
    <row r="500">
      <c r="BB500" s="244">
        <f>IF('INPUT - Bookings'!$B500="",0,IF(AND(OR(Dashboard!$D$9="All",TRIM('INPUT - Bookings'!$C500)=Dashboard!$D$9),OR(Dashboard!$J$9="All",TRIM('INPUT - Bookings'!$D500)=Dashboard!$J$9)),1,0))</f>
        <v/>
      </c>
      <c r="BC500" s="244">
        <f>IF(AND(BB500=1,ISNUMBER('INPUT - Bookings'!$E500),'INPUT - Bookings'!$E500&gt;=Settings!$C$8,'INPUT - Bookings'!$E500&lt;=Settings!$C$8+14,IFERROR(INDEX(Settings!$Q$14:$Q$24,MATCH('INPUT - Bookings'!$G500,Settings!$P$14:$P$24,0)),"Yes")="Yes"),'INPUT - Bookings'!$E500+ROW()/100000,"")</f>
        <v/>
      </c>
    </row>
    <row r="501">
      <c r="BB501" s="244">
        <f>IF('INPUT - Bookings'!$B501="",0,IF(AND(OR(Dashboard!$D$9="All",TRIM('INPUT - Bookings'!$C501)=Dashboard!$D$9),OR(Dashboard!$J$9="All",TRIM('INPUT - Bookings'!$D501)=Dashboard!$J$9)),1,0))</f>
        <v/>
      </c>
      <c r="BC501" s="244">
        <f>IF(AND(BB501=1,ISNUMBER('INPUT - Bookings'!$E501),'INPUT - Bookings'!$E501&gt;=Settings!$C$8,'INPUT - Bookings'!$E501&lt;=Settings!$C$8+14,IFERROR(INDEX(Settings!$Q$14:$Q$24,MATCH('INPUT - Bookings'!$G501,Settings!$P$14:$P$24,0)),"Yes")="Yes"),'INPUT - Bookings'!$E501+ROW()/100000,"")</f>
        <v/>
      </c>
    </row>
    <row r="502">
      <c r="BB502" s="244">
        <f>IF('INPUT - Bookings'!$B502="",0,IF(AND(OR(Dashboard!$D$9="All",TRIM('INPUT - Bookings'!$C502)=Dashboard!$D$9),OR(Dashboard!$J$9="All",TRIM('INPUT - Bookings'!$D502)=Dashboard!$J$9)),1,0))</f>
        <v/>
      </c>
      <c r="BC502" s="244">
        <f>IF(AND(BB502=1,ISNUMBER('INPUT - Bookings'!$E502),'INPUT - Bookings'!$E502&gt;=Settings!$C$8,'INPUT - Bookings'!$E502&lt;=Settings!$C$8+14,IFERROR(INDEX(Settings!$Q$14:$Q$24,MATCH('INPUT - Bookings'!$G502,Settings!$P$14:$P$24,0)),"Yes")="Yes"),'INPUT - Bookings'!$E502+ROW()/100000,"")</f>
        <v/>
      </c>
    </row>
    <row r="503">
      <c r="BB503" s="244">
        <f>IF('INPUT - Bookings'!$B503="",0,IF(AND(OR(Dashboard!$D$9="All",TRIM('INPUT - Bookings'!$C503)=Dashboard!$D$9),OR(Dashboard!$J$9="All",TRIM('INPUT - Bookings'!$D503)=Dashboard!$J$9)),1,0))</f>
        <v/>
      </c>
      <c r="BC503" s="244">
        <f>IF(AND(BB503=1,ISNUMBER('INPUT - Bookings'!$E503),'INPUT - Bookings'!$E503&gt;=Settings!$C$8,'INPUT - Bookings'!$E503&lt;=Settings!$C$8+14,IFERROR(INDEX(Settings!$Q$14:$Q$24,MATCH('INPUT - Bookings'!$G503,Settings!$P$14:$P$24,0)),"Yes")="Yes"),'INPUT - Bookings'!$E503+ROW()/100000,"")</f>
        <v/>
      </c>
    </row>
    <row r="504">
      <c r="BB504" s="244">
        <f>IF('INPUT - Bookings'!$B504="",0,IF(AND(OR(Dashboard!$D$9="All",TRIM('INPUT - Bookings'!$C504)=Dashboard!$D$9),OR(Dashboard!$J$9="All",TRIM('INPUT - Bookings'!$D504)=Dashboard!$J$9)),1,0))</f>
        <v/>
      </c>
      <c r="BC504" s="244">
        <f>IF(AND(BB504=1,ISNUMBER('INPUT - Bookings'!$E504),'INPUT - Bookings'!$E504&gt;=Settings!$C$8,'INPUT - Bookings'!$E504&lt;=Settings!$C$8+14,IFERROR(INDEX(Settings!$Q$14:$Q$24,MATCH('INPUT - Bookings'!$G504,Settings!$P$14:$P$24,0)),"Yes")="Yes"),'INPUT - Bookings'!$E504+ROW()/100000,"")</f>
        <v/>
      </c>
    </row>
    <row r="505">
      <c r="BB505" s="244">
        <f>IF('INPUT - Bookings'!$B505="",0,IF(AND(OR(Dashboard!$D$9="All",TRIM('INPUT - Bookings'!$C505)=Dashboard!$D$9),OR(Dashboard!$J$9="All",TRIM('INPUT - Bookings'!$D505)=Dashboard!$J$9)),1,0))</f>
        <v/>
      </c>
      <c r="BC505" s="244">
        <f>IF(AND(BB505=1,ISNUMBER('INPUT - Bookings'!$E505),'INPUT - Bookings'!$E505&gt;=Settings!$C$8,'INPUT - Bookings'!$E505&lt;=Settings!$C$8+14,IFERROR(INDEX(Settings!$Q$14:$Q$24,MATCH('INPUT - Bookings'!$G505,Settings!$P$14:$P$24,0)),"Yes")="Yes"),'INPUT - Bookings'!$E505+ROW()/100000,"")</f>
        <v/>
      </c>
    </row>
    <row r="506">
      <c r="BB506" s="244">
        <f>IF('INPUT - Bookings'!$B506="",0,IF(AND(OR(Dashboard!$D$9="All",TRIM('INPUT - Bookings'!$C506)=Dashboard!$D$9),OR(Dashboard!$J$9="All",TRIM('INPUT - Bookings'!$D506)=Dashboard!$J$9)),1,0))</f>
        <v/>
      </c>
      <c r="BC506" s="244">
        <f>IF(AND(BB506=1,ISNUMBER('INPUT - Bookings'!$E506),'INPUT - Bookings'!$E506&gt;=Settings!$C$8,'INPUT - Bookings'!$E506&lt;=Settings!$C$8+14,IFERROR(INDEX(Settings!$Q$14:$Q$24,MATCH('INPUT - Bookings'!$G506,Settings!$P$14:$P$24,0)),"Yes")="Yes"),'INPUT - Bookings'!$E506+ROW()/100000,"")</f>
        <v/>
      </c>
    </row>
    <row r="507">
      <c r="BB507" s="244">
        <f>IF('INPUT - Bookings'!$B507="",0,IF(AND(OR(Dashboard!$D$9="All",TRIM('INPUT - Bookings'!$C507)=Dashboard!$D$9),OR(Dashboard!$J$9="All",TRIM('INPUT - Bookings'!$D507)=Dashboard!$J$9)),1,0))</f>
        <v/>
      </c>
      <c r="BC507" s="244">
        <f>IF(AND(BB507=1,ISNUMBER('INPUT - Bookings'!$E507),'INPUT - Bookings'!$E507&gt;=Settings!$C$8,'INPUT - Bookings'!$E507&lt;=Settings!$C$8+14,IFERROR(INDEX(Settings!$Q$14:$Q$24,MATCH('INPUT - Bookings'!$G507,Settings!$P$14:$P$24,0)),"Yes")="Yes"),'INPUT - Bookings'!$E507+ROW()/100000,"")</f>
        <v/>
      </c>
    </row>
    <row r="508">
      <c r="BB508" s="244">
        <f>IF('INPUT - Bookings'!$B508="",0,IF(AND(OR(Dashboard!$D$9="All",TRIM('INPUT - Bookings'!$C508)=Dashboard!$D$9),OR(Dashboard!$J$9="All",TRIM('INPUT - Bookings'!$D508)=Dashboard!$J$9)),1,0))</f>
        <v/>
      </c>
      <c r="BC508" s="244">
        <f>IF(AND(BB508=1,ISNUMBER('INPUT - Bookings'!$E508),'INPUT - Bookings'!$E508&gt;=Settings!$C$8,'INPUT - Bookings'!$E508&lt;=Settings!$C$8+14,IFERROR(INDEX(Settings!$Q$14:$Q$24,MATCH('INPUT - Bookings'!$G508,Settings!$P$14:$P$24,0)),"Yes")="Yes"),'INPUT - Bookings'!$E508+ROW()/100000,"")</f>
        <v/>
      </c>
    </row>
    <row r="509">
      <c r="BB509" s="244">
        <f>IF('INPUT - Bookings'!$B509="",0,IF(AND(OR(Dashboard!$D$9="All",TRIM('INPUT - Bookings'!$C509)=Dashboard!$D$9),OR(Dashboard!$J$9="All",TRIM('INPUT - Bookings'!$D509)=Dashboard!$J$9)),1,0))</f>
        <v/>
      </c>
      <c r="BC509" s="244">
        <f>IF(AND(BB509=1,ISNUMBER('INPUT - Bookings'!$E509),'INPUT - Bookings'!$E509&gt;=Settings!$C$8,'INPUT - Bookings'!$E509&lt;=Settings!$C$8+14,IFERROR(INDEX(Settings!$Q$14:$Q$24,MATCH('INPUT - Bookings'!$G509,Settings!$P$14:$P$24,0)),"Yes")="Yes"),'INPUT - Bookings'!$E509+ROW()/100000,"")</f>
        <v/>
      </c>
    </row>
    <row r="510">
      <c r="BB510" s="244">
        <f>IF('INPUT - Bookings'!$B510="",0,IF(AND(OR(Dashboard!$D$9="All",TRIM('INPUT - Bookings'!$C510)=Dashboard!$D$9),OR(Dashboard!$J$9="All",TRIM('INPUT - Bookings'!$D510)=Dashboard!$J$9)),1,0))</f>
        <v/>
      </c>
      <c r="BC510" s="244">
        <f>IF(AND(BB510=1,ISNUMBER('INPUT - Bookings'!$E510),'INPUT - Bookings'!$E510&gt;=Settings!$C$8,'INPUT - Bookings'!$E510&lt;=Settings!$C$8+14,IFERROR(INDEX(Settings!$Q$14:$Q$24,MATCH('INPUT - Bookings'!$G510,Settings!$P$14:$P$24,0)),"Yes")="Yes"),'INPUT - Bookings'!$E510+ROW()/100000,"")</f>
        <v/>
      </c>
    </row>
    <row r="511">
      <c r="BB511" s="244">
        <f>IF('INPUT - Bookings'!$B511="",0,IF(AND(OR(Dashboard!$D$9="All",TRIM('INPUT - Bookings'!$C511)=Dashboard!$D$9),OR(Dashboard!$J$9="All",TRIM('INPUT - Bookings'!$D511)=Dashboard!$J$9)),1,0))</f>
        <v/>
      </c>
      <c r="BC511" s="244">
        <f>IF(AND(BB511=1,ISNUMBER('INPUT - Bookings'!$E511),'INPUT - Bookings'!$E511&gt;=Settings!$C$8,'INPUT - Bookings'!$E511&lt;=Settings!$C$8+14,IFERROR(INDEX(Settings!$Q$14:$Q$24,MATCH('INPUT - Bookings'!$G511,Settings!$P$14:$P$24,0)),"Yes")="Yes"),'INPUT - Bookings'!$E511+ROW()/100000,"")</f>
        <v/>
      </c>
    </row>
    <row r="512">
      <c r="BB512" s="244">
        <f>IF('INPUT - Bookings'!$B512="",0,IF(AND(OR(Dashboard!$D$9="All",TRIM('INPUT - Bookings'!$C512)=Dashboard!$D$9),OR(Dashboard!$J$9="All",TRIM('INPUT - Bookings'!$D512)=Dashboard!$J$9)),1,0))</f>
        <v/>
      </c>
      <c r="BC512" s="244">
        <f>IF(AND(BB512=1,ISNUMBER('INPUT - Bookings'!$E512),'INPUT - Bookings'!$E512&gt;=Settings!$C$8,'INPUT - Bookings'!$E512&lt;=Settings!$C$8+14,IFERROR(INDEX(Settings!$Q$14:$Q$24,MATCH('INPUT - Bookings'!$G512,Settings!$P$14:$P$24,0)),"Yes")="Yes"),'INPUT - Bookings'!$E512+ROW()/100000,"")</f>
        <v/>
      </c>
    </row>
    <row r="513">
      <c r="BB513" s="244">
        <f>IF('INPUT - Bookings'!$B513="",0,IF(AND(OR(Dashboard!$D$9="All",TRIM('INPUT - Bookings'!$C513)=Dashboard!$D$9),OR(Dashboard!$J$9="All",TRIM('INPUT - Bookings'!$D513)=Dashboard!$J$9)),1,0))</f>
        <v/>
      </c>
      <c r="BC513" s="244">
        <f>IF(AND(BB513=1,ISNUMBER('INPUT - Bookings'!$E513),'INPUT - Bookings'!$E513&gt;=Settings!$C$8,'INPUT - Bookings'!$E513&lt;=Settings!$C$8+14,IFERROR(INDEX(Settings!$Q$14:$Q$24,MATCH('INPUT - Bookings'!$G513,Settings!$P$14:$P$24,0)),"Yes")="Yes"),'INPUT - Bookings'!$E513+ROW()/100000,"")</f>
        <v/>
      </c>
    </row>
    <row r="514">
      <c r="BB514" s="244">
        <f>IF('INPUT - Bookings'!$B514="",0,IF(AND(OR(Dashboard!$D$9="All",TRIM('INPUT - Bookings'!$C514)=Dashboard!$D$9),OR(Dashboard!$J$9="All",TRIM('INPUT - Bookings'!$D514)=Dashboard!$J$9)),1,0))</f>
        <v/>
      </c>
      <c r="BC514" s="244">
        <f>IF(AND(BB514=1,ISNUMBER('INPUT - Bookings'!$E514),'INPUT - Bookings'!$E514&gt;=Settings!$C$8,'INPUT - Bookings'!$E514&lt;=Settings!$C$8+14,IFERROR(INDEX(Settings!$Q$14:$Q$24,MATCH('INPUT - Bookings'!$G514,Settings!$P$14:$P$24,0)),"Yes")="Yes"),'INPUT - Bookings'!$E514+ROW()/100000,"")</f>
        <v/>
      </c>
    </row>
    <row r="515">
      <c r="BB515" s="244">
        <f>IF('INPUT - Bookings'!$B515="",0,IF(AND(OR(Dashboard!$D$9="All",TRIM('INPUT - Bookings'!$C515)=Dashboard!$D$9),OR(Dashboard!$J$9="All",TRIM('INPUT - Bookings'!$D515)=Dashboard!$J$9)),1,0))</f>
        <v/>
      </c>
      <c r="BC515" s="244">
        <f>IF(AND(BB515=1,ISNUMBER('INPUT - Bookings'!$E515),'INPUT - Bookings'!$E515&gt;=Settings!$C$8,'INPUT - Bookings'!$E515&lt;=Settings!$C$8+14,IFERROR(INDEX(Settings!$Q$14:$Q$24,MATCH('INPUT - Bookings'!$G515,Settings!$P$14:$P$24,0)),"Yes")="Yes"),'INPUT - Bookings'!$E515+ROW()/100000,"")</f>
        <v/>
      </c>
    </row>
    <row r="516">
      <c r="BB516" s="244">
        <f>IF('INPUT - Bookings'!$B516="",0,IF(AND(OR(Dashboard!$D$9="All",TRIM('INPUT - Bookings'!$C516)=Dashboard!$D$9),OR(Dashboard!$J$9="All",TRIM('INPUT - Bookings'!$D516)=Dashboard!$J$9)),1,0))</f>
        <v/>
      </c>
      <c r="BC516" s="244">
        <f>IF(AND(BB516=1,ISNUMBER('INPUT - Bookings'!$E516),'INPUT - Bookings'!$E516&gt;=Settings!$C$8,'INPUT - Bookings'!$E516&lt;=Settings!$C$8+14,IFERROR(INDEX(Settings!$Q$14:$Q$24,MATCH('INPUT - Bookings'!$G516,Settings!$P$14:$P$24,0)),"Yes")="Yes"),'INPUT - Bookings'!$E516+ROW()/100000,"")</f>
        <v/>
      </c>
    </row>
    <row r="517">
      <c r="BB517" s="244">
        <f>IF('INPUT - Bookings'!$B517="",0,IF(AND(OR(Dashboard!$D$9="All",TRIM('INPUT - Bookings'!$C517)=Dashboard!$D$9),OR(Dashboard!$J$9="All",TRIM('INPUT - Bookings'!$D517)=Dashboard!$J$9)),1,0))</f>
        <v/>
      </c>
      <c r="BC517" s="244">
        <f>IF(AND(BB517=1,ISNUMBER('INPUT - Bookings'!$E517),'INPUT - Bookings'!$E517&gt;=Settings!$C$8,'INPUT - Bookings'!$E517&lt;=Settings!$C$8+14,IFERROR(INDEX(Settings!$Q$14:$Q$24,MATCH('INPUT - Bookings'!$G517,Settings!$P$14:$P$24,0)),"Yes")="Yes"),'INPUT - Bookings'!$E517+ROW()/100000,"")</f>
        <v/>
      </c>
    </row>
    <row r="518">
      <c r="BB518" s="244">
        <f>IF('INPUT - Bookings'!$B518="",0,IF(AND(OR(Dashboard!$D$9="All",TRIM('INPUT - Bookings'!$C518)=Dashboard!$D$9),OR(Dashboard!$J$9="All",TRIM('INPUT - Bookings'!$D518)=Dashboard!$J$9)),1,0))</f>
        <v/>
      </c>
      <c r="BC518" s="244">
        <f>IF(AND(BB518=1,ISNUMBER('INPUT - Bookings'!$E518),'INPUT - Bookings'!$E518&gt;=Settings!$C$8,'INPUT - Bookings'!$E518&lt;=Settings!$C$8+14,IFERROR(INDEX(Settings!$Q$14:$Q$24,MATCH('INPUT - Bookings'!$G518,Settings!$P$14:$P$24,0)),"Yes")="Yes"),'INPUT - Bookings'!$E518+ROW()/100000,"")</f>
        <v/>
      </c>
    </row>
    <row r="519">
      <c r="BB519" s="244">
        <f>IF('INPUT - Bookings'!$B519="",0,IF(AND(OR(Dashboard!$D$9="All",TRIM('INPUT - Bookings'!$C519)=Dashboard!$D$9),OR(Dashboard!$J$9="All",TRIM('INPUT - Bookings'!$D519)=Dashboard!$J$9)),1,0))</f>
        <v/>
      </c>
      <c r="BC519" s="244">
        <f>IF(AND(BB519=1,ISNUMBER('INPUT - Bookings'!$E519),'INPUT - Bookings'!$E519&gt;=Settings!$C$8,'INPUT - Bookings'!$E519&lt;=Settings!$C$8+14,IFERROR(INDEX(Settings!$Q$14:$Q$24,MATCH('INPUT - Bookings'!$G519,Settings!$P$14:$P$24,0)),"Yes")="Yes"),'INPUT - Bookings'!$E519+ROW()/100000,"")</f>
        <v/>
      </c>
    </row>
    <row r="520">
      <c r="BB520" s="244">
        <f>IF('INPUT - Bookings'!$B520="",0,IF(AND(OR(Dashboard!$D$9="All",TRIM('INPUT - Bookings'!$C520)=Dashboard!$D$9),OR(Dashboard!$J$9="All",TRIM('INPUT - Bookings'!$D520)=Dashboard!$J$9)),1,0))</f>
        <v/>
      </c>
      <c r="BC520" s="244">
        <f>IF(AND(BB520=1,ISNUMBER('INPUT - Bookings'!$E520),'INPUT - Bookings'!$E520&gt;=Settings!$C$8,'INPUT - Bookings'!$E520&lt;=Settings!$C$8+14,IFERROR(INDEX(Settings!$Q$14:$Q$24,MATCH('INPUT - Bookings'!$G520,Settings!$P$14:$P$24,0)),"Yes")="Yes"),'INPUT - Bookings'!$E520+ROW()/100000,"")</f>
        <v/>
      </c>
    </row>
    <row r="521">
      <c r="BB521" s="244">
        <f>IF('INPUT - Bookings'!$B521="",0,IF(AND(OR(Dashboard!$D$9="All",TRIM('INPUT - Bookings'!$C521)=Dashboard!$D$9),OR(Dashboard!$J$9="All",TRIM('INPUT - Bookings'!$D521)=Dashboard!$J$9)),1,0))</f>
        <v/>
      </c>
      <c r="BC521" s="244">
        <f>IF(AND(BB521=1,ISNUMBER('INPUT - Bookings'!$E521),'INPUT - Bookings'!$E521&gt;=Settings!$C$8,'INPUT - Bookings'!$E521&lt;=Settings!$C$8+14,IFERROR(INDEX(Settings!$Q$14:$Q$24,MATCH('INPUT - Bookings'!$G521,Settings!$P$14:$P$24,0)),"Yes")="Yes"),'INPUT - Bookings'!$E521+ROW()/100000,"")</f>
        <v/>
      </c>
    </row>
    <row r="522">
      <c r="BB522" s="244">
        <f>IF('INPUT - Bookings'!$B522="",0,IF(AND(OR(Dashboard!$D$9="All",TRIM('INPUT - Bookings'!$C522)=Dashboard!$D$9),OR(Dashboard!$J$9="All",TRIM('INPUT - Bookings'!$D522)=Dashboard!$J$9)),1,0))</f>
        <v/>
      </c>
      <c r="BC522" s="244">
        <f>IF(AND(BB522=1,ISNUMBER('INPUT - Bookings'!$E522),'INPUT - Bookings'!$E522&gt;=Settings!$C$8,'INPUT - Bookings'!$E522&lt;=Settings!$C$8+14,IFERROR(INDEX(Settings!$Q$14:$Q$24,MATCH('INPUT - Bookings'!$G522,Settings!$P$14:$P$24,0)),"Yes")="Yes"),'INPUT - Bookings'!$E522+ROW()/100000,"")</f>
        <v/>
      </c>
    </row>
    <row r="523">
      <c r="BB523" s="244">
        <f>IF('INPUT - Bookings'!$B523="",0,IF(AND(OR(Dashboard!$D$9="All",TRIM('INPUT - Bookings'!$C523)=Dashboard!$D$9),OR(Dashboard!$J$9="All",TRIM('INPUT - Bookings'!$D523)=Dashboard!$J$9)),1,0))</f>
        <v/>
      </c>
      <c r="BC523" s="244">
        <f>IF(AND(BB523=1,ISNUMBER('INPUT - Bookings'!$E523),'INPUT - Bookings'!$E523&gt;=Settings!$C$8,'INPUT - Bookings'!$E523&lt;=Settings!$C$8+14,IFERROR(INDEX(Settings!$Q$14:$Q$24,MATCH('INPUT - Bookings'!$G523,Settings!$P$14:$P$24,0)),"Yes")="Yes"),'INPUT - Bookings'!$E523+ROW()/100000,"")</f>
        <v/>
      </c>
    </row>
    <row r="524">
      <c r="BB524" s="244">
        <f>IF('INPUT - Bookings'!$B524="",0,IF(AND(OR(Dashboard!$D$9="All",TRIM('INPUT - Bookings'!$C524)=Dashboard!$D$9),OR(Dashboard!$J$9="All",TRIM('INPUT - Bookings'!$D524)=Dashboard!$J$9)),1,0))</f>
        <v/>
      </c>
      <c r="BC524" s="244">
        <f>IF(AND(BB524=1,ISNUMBER('INPUT - Bookings'!$E524),'INPUT - Bookings'!$E524&gt;=Settings!$C$8,'INPUT - Bookings'!$E524&lt;=Settings!$C$8+14,IFERROR(INDEX(Settings!$Q$14:$Q$24,MATCH('INPUT - Bookings'!$G524,Settings!$P$14:$P$24,0)),"Yes")="Yes"),'INPUT - Bookings'!$E524+ROW()/100000,"")</f>
        <v/>
      </c>
    </row>
    <row r="525">
      <c r="BB525" s="244">
        <f>IF('INPUT - Bookings'!$B525="",0,IF(AND(OR(Dashboard!$D$9="All",TRIM('INPUT - Bookings'!$C525)=Dashboard!$D$9),OR(Dashboard!$J$9="All",TRIM('INPUT - Bookings'!$D525)=Dashboard!$J$9)),1,0))</f>
        <v/>
      </c>
      <c r="BC525" s="244">
        <f>IF(AND(BB525=1,ISNUMBER('INPUT - Bookings'!$E525),'INPUT - Bookings'!$E525&gt;=Settings!$C$8,'INPUT - Bookings'!$E525&lt;=Settings!$C$8+14,IFERROR(INDEX(Settings!$Q$14:$Q$24,MATCH('INPUT - Bookings'!$G525,Settings!$P$14:$P$24,0)),"Yes")="Yes"),'INPUT - Bookings'!$E525+ROW()/100000,"")</f>
        <v/>
      </c>
    </row>
    <row r="526">
      <c r="BB526" s="244">
        <f>IF('INPUT - Bookings'!$B526="",0,IF(AND(OR(Dashboard!$D$9="All",TRIM('INPUT - Bookings'!$C526)=Dashboard!$D$9),OR(Dashboard!$J$9="All",TRIM('INPUT - Bookings'!$D526)=Dashboard!$J$9)),1,0))</f>
        <v/>
      </c>
      <c r="BC526" s="244">
        <f>IF(AND(BB526=1,ISNUMBER('INPUT - Bookings'!$E526),'INPUT - Bookings'!$E526&gt;=Settings!$C$8,'INPUT - Bookings'!$E526&lt;=Settings!$C$8+14,IFERROR(INDEX(Settings!$Q$14:$Q$24,MATCH('INPUT - Bookings'!$G526,Settings!$P$14:$P$24,0)),"Yes")="Yes"),'INPUT - Bookings'!$E526+ROW()/100000,"")</f>
        <v/>
      </c>
    </row>
    <row r="527">
      <c r="BB527" s="244">
        <f>IF('INPUT - Bookings'!$B527="",0,IF(AND(OR(Dashboard!$D$9="All",TRIM('INPUT - Bookings'!$C527)=Dashboard!$D$9),OR(Dashboard!$J$9="All",TRIM('INPUT - Bookings'!$D527)=Dashboard!$J$9)),1,0))</f>
        <v/>
      </c>
      <c r="BC527" s="244">
        <f>IF(AND(BB527=1,ISNUMBER('INPUT - Bookings'!$E527),'INPUT - Bookings'!$E527&gt;=Settings!$C$8,'INPUT - Bookings'!$E527&lt;=Settings!$C$8+14,IFERROR(INDEX(Settings!$Q$14:$Q$24,MATCH('INPUT - Bookings'!$G527,Settings!$P$14:$P$24,0)),"Yes")="Yes"),'INPUT - Bookings'!$E527+ROW()/100000,"")</f>
        <v/>
      </c>
    </row>
    <row r="528">
      <c r="BB528" s="244">
        <f>IF('INPUT - Bookings'!$B528="",0,IF(AND(OR(Dashboard!$D$9="All",TRIM('INPUT - Bookings'!$C528)=Dashboard!$D$9),OR(Dashboard!$J$9="All",TRIM('INPUT - Bookings'!$D528)=Dashboard!$J$9)),1,0))</f>
        <v/>
      </c>
      <c r="BC528" s="244">
        <f>IF(AND(BB528=1,ISNUMBER('INPUT - Bookings'!$E528),'INPUT - Bookings'!$E528&gt;=Settings!$C$8,'INPUT - Bookings'!$E528&lt;=Settings!$C$8+14,IFERROR(INDEX(Settings!$Q$14:$Q$24,MATCH('INPUT - Bookings'!$G528,Settings!$P$14:$P$24,0)),"Yes")="Yes"),'INPUT - Bookings'!$E528+ROW()/100000,"")</f>
        <v/>
      </c>
    </row>
    <row r="529">
      <c r="BB529" s="244">
        <f>IF('INPUT - Bookings'!$B529="",0,IF(AND(OR(Dashboard!$D$9="All",TRIM('INPUT - Bookings'!$C529)=Dashboard!$D$9),OR(Dashboard!$J$9="All",TRIM('INPUT - Bookings'!$D529)=Dashboard!$J$9)),1,0))</f>
        <v/>
      </c>
      <c r="BC529" s="244">
        <f>IF(AND(BB529=1,ISNUMBER('INPUT - Bookings'!$E529),'INPUT - Bookings'!$E529&gt;=Settings!$C$8,'INPUT - Bookings'!$E529&lt;=Settings!$C$8+14,IFERROR(INDEX(Settings!$Q$14:$Q$24,MATCH('INPUT - Bookings'!$G529,Settings!$P$14:$P$24,0)),"Yes")="Yes"),'INPUT - Bookings'!$E529+ROW()/100000,"")</f>
        <v/>
      </c>
    </row>
    <row r="530">
      <c r="BB530" s="244">
        <f>IF('INPUT - Bookings'!$B530="",0,IF(AND(OR(Dashboard!$D$9="All",TRIM('INPUT - Bookings'!$C530)=Dashboard!$D$9),OR(Dashboard!$J$9="All",TRIM('INPUT - Bookings'!$D530)=Dashboard!$J$9)),1,0))</f>
        <v/>
      </c>
      <c r="BC530" s="244">
        <f>IF(AND(BB530=1,ISNUMBER('INPUT - Bookings'!$E530),'INPUT - Bookings'!$E530&gt;=Settings!$C$8,'INPUT - Bookings'!$E530&lt;=Settings!$C$8+14,IFERROR(INDEX(Settings!$Q$14:$Q$24,MATCH('INPUT - Bookings'!$G530,Settings!$P$14:$P$24,0)),"Yes")="Yes"),'INPUT - Bookings'!$E530+ROW()/100000,"")</f>
        <v/>
      </c>
    </row>
    <row r="531">
      <c r="BB531" s="244">
        <f>IF('INPUT - Bookings'!$B531="",0,IF(AND(OR(Dashboard!$D$9="All",TRIM('INPUT - Bookings'!$C531)=Dashboard!$D$9),OR(Dashboard!$J$9="All",TRIM('INPUT - Bookings'!$D531)=Dashboard!$J$9)),1,0))</f>
        <v/>
      </c>
      <c r="BC531" s="244">
        <f>IF(AND(BB531=1,ISNUMBER('INPUT - Bookings'!$E531),'INPUT - Bookings'!$E531&gt;=Settings!$C$8,'INPUT - Bookings'!$E531&lt;=Settings!$C$8+14,IFERROR(INDEX(Settings!$Q$14:$Q$24,MATCH('INPUT - Bookings'!$G531,Settings!$P$14:$P$24,0)),"Yes")="Yes"),'INPUT - Bookings'!$E531+ROW()/100000,"")</f>
        <v/>
      </c>
    </row>
    <row r="532">
      <c r="BB532" s="244">
        <f>IF('INPUT - Bookings'!$B532="",0,IF(AND(OR(Dashboard!$D$9="All",TRIM('INPUT - Bookings'!$C532)=Dashboard!$D$9),OR(Dashboard!$J$9="All",TRIM('INPUT - Bookings'!$D532)=Dashboard!$J$9)),1,0))</f>
        <v/>
      </c>
      <c r="BC532" s="244">
        <f>IF(AND(BB532=1,ISNUMBER('INPUT - Bookings'!$E532),'INPUT - Bookings'!$E532&gt;=Settings!$C$8,'INPUT - Bookings'!$E532&lt;=Settings!$C$8+14,IFERROR(INDEX(Settings!$Q$14:$Q$24,MATCH('INPUT - Bookings'!$G532,Settings!$P$14:$P$24,0)),"Yes")="Yes"),'INPUT - Bookings'!$E532+ROW()/100000,"")</f>
        <v/>
      </c>
    </row>
    <row r="533">
      <c r="BB533" s="244">
        <f>IF('INPUT - Bookings'!$B533="",0,IF(AND(OR(Dashboard!$D$9="All",TRIM('INPUT - Bookings'!$C533)=Dashboard!$D$9),OR(Dashboard!$J$9="All",TRIM('INPUT - Bookings'!$D533)=Dashboard!$J$9)),1,0))</f>
        <v/>
      </c>
      <c r="BC533" s="244">
        <f>IF(AND(BB533=1,ISNUMBER('INPUT - Bookings'!$E533),'INPUT - Bookings'!$E533&gt;=Settings!$C$8,'INPUT - Bookings'!$E533&lt;=Settings!$C$8+14,IFERROR(INDEX(Settings!$Q$14:$Q$24,MATCH('INPUT - Bookings'!$G533,Settings!$P$14:$P$24,0)),"Yes")="Yes"),'INPUT - Bookings'!$E533+ROW()/100000,"")</f>
        <v/>
      </c>
    </row>
    <row r="534">
      <c r="BB534" s="244">
        <f>IF('INPUT - Bookings'!$B534="",0,IF(AND(OR(Dashboard!$D$9="All",TRIM('INPUT - Bookings'!$C534)=Dashboard!$D$9),OR(Dashboard!$J$9="All",TRIM('INPUT - Bookings'!$D534)=Dashboard!$J$9)),1,0))</f>
        <v/>
      </c>
      <c r="BC534" s="244">
        <f>IF(AND(BB534=1,ISNUMBER('INPUT - Bookings'!$E534),'INPUT - Bookings'!$E534&gt;=Settings!$C$8,'INPUT - Bookings'!$E534&lt;=Settings!$C$8+14,IFERROR(INDEX(Settings!$Q$14:$Q$24,MATCH('INPUT - Bookings'!$G534,Settings!$P$14:$P$24,0)),"Yes")="Yes"),'INPUT - Bookings'!$E534+ROW()/100000,"")</f>
        <v/>
      </c>
    </row>
    <row r="535">
      <c r="BB535" s="244">
        <f>IF('INPUT - Bookings'!$B535="",0,IF(AND(OR(Dashboard!$D$9="All",TRIM('INPUT - Bookings'!$C535)=Dashboard!$D$9),OR(Dashboard!$J$9="All",TRIM('INPUT - Bookings'!$D535)=Dashboard!$J$9)),1,0))</f>
        <v/>
      </c>
      <c r="BC535" s="244">
        <f>IF(AND(BB535=1,ISNUMBER('INPUT - Bookings'!$E535),'INPUT - Bookings'!$E535&gt;=Settings!$C$8,'INPUT - Bookings'!$E535&lt;=Settings!$C$8+14,IFERROR(INDEX(Settings!$Q$14:$Q$24,MATCH('INPUT - Bookings'!$G535,Settings!$P$14:$P$24,0)),"Yes")="Yes"),'INPUT - Bookings'!$E535+ROW()/100000,"")</f>
        <v/>
      </c>
    </row>
    <row r="536">
      <c r="BB536" s="244">
        <f>IF('INPUT - Bookings'!$B536="",0,IF(AND(OR(Dashboard!$D$9="All",TRIM('INPUT - Bookings'!$C536)=Dashboard!$D$9),OR(Dashboard!$J$9="All",TRIM('INPUT - Bookings'!$D536)=Dashboard!$J$9)),1,0))</f>
        <v/>
      </c>
      <c r="BC536" s="244">
        <f>IF(AND(BB536=1,ISNUMBER('INPUT - Bookings'!$E536),'INPUT - Bookings'!$E536&gt;=Settings!$C$8,'INPUT - Bookings'!$E536&lt;=Settings!$C$8+14,IFERROR(INDEX(Settings!$Q$14:$Q$24,MATCH('INPUT - Bookings'!$G536,Settings!$P$14:$P$24,0)),"Yes")="Yes"),'INPUT - Bookings'!$E536+ROW()/100000,"")</f>
        <v/>
      </c>
    </row>
    <row r="537">
      <c r="BB537" s="244">
        <f>IF('INPUT - Bookings'!$B537="",0,IF(AND(OR(Dashboard!$D$9="All",TRIM('INPUT - Bookings'!$C537)=Dashboard!$D$9),OR(Dashboard!$J$9="All",TRIM('INPUT - Bookings'!$D537)=Dashboard!$J$9)),1,0))</f>
        <v/>
      </c>
      <c r="BC537" s="244">
        <f>IF(AND(BB537=1,ISNUMBER('INPUT - Bookings'!$E537),'INPUT - Bookings'!$E537&gt;=Settings!$C$8,'INPUT - Bookings'!$E537&lt;=Settings!$C$8+14,IFERROR(INDEX(Settings!$Q$14:$Q$24,MATCH('INPUT - Bookings'!$G537,Settings!$P$14:$P$24,0)),"Yes")="Yes"),'INPUT - Bookings'!$E537+ROW()/100000,"")</f>
        <v/>
      </c>
    </row>
    <row r="538">
      <c r="BB538" s="244">
        <f>IF('INPUT - Bookings'!$B538="",0,IF(AND(OR(Dashboard!$D$9="All",TRIM('INPUT - Bookings'!$C538)=Dashboard!$D$9),OR(Dashboard!$J$9="All",TRIM('INPUT - Bookings'!$D538)=Dashboard!$J$9)),1,0))</f>
        <v/>
      </c>
      <c r="BC538" s="244">
        <f>IF(AND(BB538=1,ISNUMBER('INPUT - Bookings'!$E538),'INPUT - Bookings'!$E538&gt;=Settings!$C$8,'INPUT - Bookings'!$E538&lt;=Settings!$C$8+14,IFERROR(INDEX(Settings!$Q$14:$Q$24,MATCH('INPUT - Bookings'!$G538,Settings!$P$14:$P$24,0)),"Yes")="Yes"),'INPUT - Bookings'!$E538+ROW()/100000,"")</f>
        <v/>
      </c>
    </row>
    <row r="539">
      <c r="BB539" s="244">
        <f>IF('INPUT - Bookings'!$B539="",0,IF(AND(OR(Dashboard!$D$9="All",TRIM('INPUT - Bookings'!$C539)=Dashboard!$D$9),OR(Dashboard!$J$9="All",TRIM('INPUT - Bookings'!$D539)=Dashboard!$J$9)),1,0))</f>
        <v/>
      </c>
      <c r="BC539" s="244">
        <f>IF(AND(BB539=1,ISNUMBER('INPUT - Bookings'!$E539),'INPUT - Bookings'!$E539&gt;=Settings!$C$8,'INPUT - Bookings'!$E539&lt;=Settings!$C$8+14,IFERROR(INDEX(Settings!$Q$14:$Q$24,MATCH('INPUT - Bookings'!$G539,Settings!$P$14:$P$24,0)),"Yes")="Yes"),'INPUT - Bookings'!$E539+ROW()/100000,"")</f>
        <v/>
      </c>
    </row>
    <row r="540">
      <c r="BB540" s="244">
        <f>IF('INPUT - Bookings'!$B540="",0,IF(AND(OR(Dashboard!$D$9="All",TRIM('INPUT - Bookings'!$C540)=Dashboard!$D$9),OR(Dashboard!$J$9="All",TRIM('INPUT - Bookings'!$D540)=Dashboard!$J$9)),1,0))</f>
        <v/>
      </c>
      <c r="BC540" s="244">
        <f>IF(AND(BB540=1,ISNUMBER('INPUT - Bookings'!$E540),'INPUT - Bookings'!$E540&gt;=Settings!$C$8,'INPUT - Bookings'!$E540&lt;=Settings!$C$8+14,IFERROR(INDEX(Settings!$Q$14:$Q$24,MATCH('INPUT - Bookings'!$G540,Settings!$P$14:$P$24,0)),"Yes")="Yes"),'INPUT - Bookings'!$E540+ROW()/100000,"")</f>
        <v/>
      </c>
    </row>
    <row r="541">
      <c r="BB541" s="244">
        <f>IF('INPUT - Bookings'!$B541="",0,IF(AND(OR(Dashboard!$D$9="All",TRIM('INPUT - Bookings'!$C541)=Dashboard!$D$9),OR(Dashboard!$J$9="All",TRIM('INPUT - Bookings'!$D541)=Dashboard!$J$9)),1,0))</f>
        <v/>
      </c>
      <c r="BC541" s="244">
        <f>IF(AND(BB541=1,ISNUMBER('INPUT - Bookings'!$E541),'INPUT - Bookings'!$E541&gt;=Settings!$C$8,'INPUT - Bookings'!$E541&lt;=Settings!$C$8+14,IFERROR(INDEX(Settings!$Q$14:$Q$24,MATCH('INPUT - Bookings'!$G541,Settings!$P$14:$P$24,0)),"Yes")="Yes"),'INPUT - Bookings'!$E541+ROW()/100000,"")</f>
        <v/>
      </c>
    </row>
    <row r="542">
      <c r="BB542" s="244">
        <f>IF('INPUT - Bookings'!$B542="",0,IF(AND(OR(Dashboard!$D$9="All",TRIM('INPUT - Bookings'!$C542)=Dashboard!$D$9),OR(Dashboard!$J$9="All",TRIM('INPUT - Bookings'!$D542)=Dashboard!$J$9)),1,0))</f>
        <v/>
      </c>
      <c r="BC542" s="244">
        <f>IF(AND(BB542=1,ISNUMBER('INPUT - Bookings'!$E542),'INPUT - Bookings'!$E542&gt;=Settings!$C$8,'INPUT - Bookings'!$E542&lt;=Settings!$C$8+14,IFERROR(INDEX(Settings!$Q$14:$Q$24,MATCH('INPUT - Bookings'!$G542,Settings!$P$14:$P$24,0)),"Yes")="Yes"),'INPUT - Bookings'!$E542+ROW()/100000,"")</f>
        <v/>
      </c>
    </row>
    <row r="543">
      <c r="BB543" s="244">
        <f>IF('INPUT - Bookings'!$B543="",0,IF(AND(OR(Dashboard!$D$9="All",TRIM('INPUT - Bookings'!$C543)=Dashboard!$D$9),OR(Dashboard!$J$9="All",TRIM('INPUT - Bookings'!$D543)=Dashboard!$J$9)),1,0))</f>
        <v/>
      </c>
      <c r="BC543" s="244">
        <f>IF(AND(BB543=1,ISNUMBER('INPUT - Bookings'!$E543),'INPUT - Bookings'!$E543&gt;=Settings!$C$8,'INPUT - Bookings'!$E543&lt;=Settings!$C$8+14,IFERROR(INDEX(Settings!$Q$14:$Q$24,MATCH('INPUT - Bookings'!$G543,Settings!$P$14:$P$24,0)),"Yes")="Yes"),'INPUT - Bookings'!$E543+ROW()/100000,"")</f>
        <v/>
      </c>
    </row>
    <row r="544">
      <c r="BB544" s="244">
        <f>IF('INPUT - Bookings'!$B544="",0,IF(AND(OR(Dashboard!$D$9="All",TRIM('INPUT - Bookings'!$C544)=Dashboard!$D$9),OR(Dashboard!$J$9="All",TRIM('INPUT - Bookings'!$D544)=Dashboard!$J$9)),1,0))</f>
        <v/>
      </c>
      <c r="BC544" s="244">
        <f>IF(AND(BB544=1,ISNUMBER('INPUT - Bookings'!$E544),'INPUT - Bookings'!$E544&gt;=Settings!$C$8,'INPUT - Bookings'!$E544&lt;=Settings!$C$8+14,IFERROR(INDEX(Settings!$Q$14:$Q$24,MATCH('INPUT - Bookings'!$G544,Settings!$P$14:$P$24,0)),"Yes")="Yes"),'INPUT - Bookings'!$E544+ROW()/100000,"")</f>
        <v/>
      </c>
    </row>
    <row r="545">
      <c r="BB545" s="244">
        <f>IF('INPUT - Bookings'!$B545="",0,IF(AND(OR(Dashboard!$D$9="All",TRIM('INPUT - Bookings'!$C545)=Dashboard!$D$9),OR(Dashboard!$J$9="All",TRIM('INPUT - Bookings'!$D545)=Dashboard!$J$9)),1,0))</f>
        <v/>
      </c>
      <c r="BC545" s="244">
        <f>IF(AND(BB545=1,ISNUMBER('INPUT - Bookings'!$E545),'INPUT - Bookings'!$E545&gt;=Settings!$C$8,'INPUT - Bookings'!$E545&lt;=Settings!$C$8+14,IFERROR(INDEX(Settings!$Q$14:$Q$24,MATCH('INPUT - Bookings'!$G545,Settings!$P$14:$P$24,0)),"Yes")="Yes"),'INPUT - Bookings'!$E545+ROW()/100000,"")</f>
        <v/>
      </c>
    </row>
    <row r="546">
      <c r="BB546" s="244">
        <f>IF('INPUT - Bookings'!$B546="",0,IF(AND(OR(Dashboard!$D$9="All",TRIM('INPUT - Bookings'!$C546)=Dashboard!$D$9),OR(Dashboard!$J$9="All",TRIM('INPUT - Bookings'!$D546)=Dashboard!$J$9)),1,0))</f>
        <v/>
      </c>
      <c r="BC546" s="244">
        <f>IF(AND(BB546=1,ISNUMBER('INPUT - Bookings'!$E546),'INPUT - Bookings'!$E546&gt;=Settings!$C$8,'INPUT - Bookings'!$E546&lt;=Settings!$C$8+14,IFERROR(INDEX(Settings!$Q$14:$Q$24,MATCH('INPUT - Bookings'!$G546,Settings!$P$14:$P$24,0)),"Yes")="Yes"),'INPUT - Bookings'!$E546+ROW()/100000,"")</f>
        <v/>
      </c>
    </row>
    <row r="547">
      <c r="BB547" s="244">
        <f>IF('INPUT - Bookings'!$B547="",0,IF(AND(OR(Dashboard!$D$9="All",TRIM('INPUT - Bookings'!$C547)=Dashboard!$D$9),OR(Dashboard!$J$9="All",TRIM('INPUT - Bookings'!$D547)=Dashboard!$J$9)),1,0))</f>
        <v/>
      </c>
      <c r="BC547" s="244">
        <f>IF(AND(BB547=1,ISNUMBER('INPUT - Bookings'!$E547),'INPUT - Bookings'!$E547&gt;=Settings!$C$8,'INPUT - Bookings'!$E547&lt;=Settings!$C$8+14,IFERROR(INDEX(Settings!$Q$14:$Q$24,MATCH('INPUT - Bookings'!$G547,Settings!$P$14:$P$24,0)),"Yes")="Yes"),'INPUT - Bookings'!$E547+ROW()/100000,"")</f>
        <v/>
      </c>
    </row>
    <row r="548">
      <c r="BB548" s="244">
        <f>IF('INPUT - Bookings'!$B548="",0,IF(AND(OR(Dashboard!$D$9="All",TRIM('INPUT - Bookings'!$C548)=Dashboard!$D$9),OR(Dashboard!$J$9="All",TRIM('INPUT - Bookings'!$D548)=Dashboard!$J$9)),1,0))</f>
        <v/>
      </c>
      <c r="BC548" s="244">
        <f>IF(AND(BB548=1,ISNUMBER('INPUT - Bookings'!$E548),'INPUT - Bookings'!$E548&gt;=Settings!$C$8,'INPUT - Bookings'!$E548&lt;=Settings!$C$8+14,IFERROR(INDEX(Settings!$Q$14:$Q$24,MATCH('INPUT - Bookings'!$G548,Settings!$P$14:$P$24,0)),"Yes")="Yes"),'INPUT - Bookings'!$E548+ROW()/100000,"")</f>
        <v/>
      </c>
    </row>
    <row r="549">
      <c r="BB549" s="244">
        <f>IF('INPUT - Bookings'!$B549="",0,IF(AND(OR(Dashboard!$D$9="All",TRIM('INPUT - Bookings'!$C549)=Dashboard!$D$9),OR(Dashboard!$J$9="All",TRIM('INPUT - Bookings'!$D549)=Dashboard!$J$9)),1,0))</f>
        <v/>
      </c>
      <c r="BC549" s="244">
        <f>IF(AND(BB549=1,ISNUMBER('INPUT - Bookings'!$E549),'INPUT - Bookings'!$E549&gt;=Settings!$C$8,'INPUT - Bookings'!$E549&lt;=Settings!$C$8+14,IFERROR(INDEX(Settings!$Q$14:$Q$24,MATCH('INPUT - Bookings'!$G549,Settings!$P$14:$P$24,0)),"Yes")="Yes"),'INPUT - Bookings'!$E549+ROW()/100000,"")</f>
        <v/>
      </c>
    </row>
    <row r="550">
      <c r="BB550" s="244">
        <f>IF('INPUT - Bookings'!$B550="",0,IF(AND(OR(Dashboard!$D$9="All",TRIM('INPUT - Bookings'!$C550)=Dashboard!$D$9),OR(Dashboard!$J$9="All",TRIM('INPUT - Bookings'!$D550)=Dashboard!$J$9)),1,0))</f>
        <v/>
      </c>
      <c r="BC550" s="244">
        <f>IF(AND(BB550=1,ISNUMBER('INPUT - Bookings'!$E550),'INPUT - Bookings'!$E550&gt;=Settings!$C$8,'INPUT - Bookings'!$E550&lt;=Settings!$C$8+14,IFERROR(INDEX(Settings!$Q$14:$Q$24,MATCH('INPUT - Bookings'!$G550,Settings!$P$14:$P$24,0)),"Yes")="Yes"),'INPUT - Bookings'!$E550+ROW()/100000,"")</f>
        <v/>
      </c>
    </row>
    <row r="551">
      <c r="BB551" s="244">
        <f>IF('INPUT - Bookings'!$B551="",0,IF(AND(OR(Dashboard!$D$9="All",TRIM('INPUT - Bookings'!$C551)=Dashboard!$D$9),OR(Dashboard!$J$9="All",TRIM('INPUT - Bookings'!$D551)=Dashboard!$J$9)),1,0))</f>
        <v/>
      </c>
      <c r="BC551" s="244">
        <f>IF(AND(BB551=1,ISNUMBER('INPUT - Bookings'!$E551),'INPUT - Bookings'!$E551&gt;=Settings!$C$8,'INPUT - Bookings'!$E551&lt;=Settings!$C$8+14,IFERROR(INDEX(Settings!$Q$14:$Q$24,MATCH('INPUT - Bookings'!$G551,Settings!$P$14:$P$24,0)),"Yes")="Yes"),'INPUT - Bookings'!$E551+ROW()/100000,"")</f>
        <v/>
      </c>
    </row>
    <row r="552">
      <c r="BB552" s="244">
        <f>IF('INPUT - Bookings'!$B552="",0,IF(AND(OR(Dashboard!$D$9="All",TRIM('INPUT - Bookings'!$C552)=Dashboard!$D$9),OR(Dashboard!$J$9="All",TRIM('INPUT - Bookings'!$D552)=Dashboard!$J$9)),1,0))</f>
        <v/>
      </c>
      <c r="BC552" s="244">
        <f>IF(AND(BB552=1,ISNUMBER('INPUT - Bookings'!$E552),'INPUT - Bookings'!$E552&gt;=Settings!$C$8,'INPUT - Bookings'!$E552&lt;=Settings!$C$8+14,IFERROR(INDEX(Settings!$Q$14:$Q$24,MATCH('INPUT - Bookings'!$G552,Settings!$P$14:$P$24,0)),"Yes")="Yes"),'INPUT - Bookings'!$E552+ROW()/100000,"")</f>
        <v/>
      </c>
    </row>
    <row r="553">
      <c r="BB553" s="244">
        <f>IF('INPUT - Bookings'!$B553="",0,IF(AND(OR(Dashboard!$D$9="All",TRIM('INPUT - Bookings'!$C553)=Dashboard!$D$9),OR(Dashboard!$J$9="All",TRIM('INPUT - Bookings'!$D553)=Dashboard!$J$9)),1,0))</f>
        <v/>
      </c>
      <c r="BC553" s="244">
        <f>IF(AND(BB553=1,ISNUMBER('INPUT - Bookings'!$E553),'INPUT - Bookings'!$E553&gt;=Settings!$C$8,'INPUT - Bookings'!$E553&lt;=Settings!$C$8+14,IFERROR(INDEX(Settings!$Q$14:$Q$24,MATCH('INPUT - Bookings'!$G553,Settings!$P$14:$P$24,0)),"Yes")="Yes"),'INPUT - Bookings'!$E553+ROW()/100000,"")</f>
        <v/>
      </c>
    </row>
    <row r="554">
      <c r="BB554" s="244">
        <f>IF('INPUT - Bookings'!$B554="",0,IF(AND(OR(Dashboard!$D$9="All",TRIM('INPUT - Bookings'!$C554)=Dashboard!$D$9),OR(Dashboard!$J$9="All",TRIM('INPUT - Bookings'!$D554)=Dashboard!$J$9)),1,0))</f>
        <v/>
      </c>
      <c r="BC554" s="244">
        <f>IF(AND(BB554=1,ISNUMBER('INPUT - Bookings'!$E554),'INPUT - Bookings'!$E554&gt;=Settings!$C$8,'INPUT - Bookings'!$E554&lt;=Settings!$C$8+14,IFERROR(INDEX(Settings!$Q$14:$Q$24,MATCH('INPUT - Bookings'!$G554,Settings!$P$14:$P$24,0)),"Yes")="Yes"),'INPUT - Bookings'!$E554+ROW()/100000,"")</f>
        <v/>
      </c>
    </row>
    <row r="555">
      <c r="BB555" s="244">
        <f>IF('INPUT - Bookings'!$B555="",0,IF(AND(OR(Dashboard!$D$9="All",TRIM('INPUT - Bookings'!$C555)=Dashboard!$D$9),OR(Dashboard!$J$9="All",TRIM('INPUT - Bookings'!$D555)=Dashboard!$J$9)),1,0))</f>
        <v/>
      </c>
      <c r="BC555" s="244">
        <f>IF(AND(BB555=1,ISNUMBER('INPUT - Bookings'!$E555),'INPUT - Bookings'!$E555&gt;=Settings!$C$8,'INPUT - Bookings'!$E555&lt;=Settings!$C$8+14,IFERROR(INDEX(Settings!$Q$14:$Q$24,MATCH('INPUT - Bookings'!$G555,Settings!$P$14:$P$24,0)),"Yes")="Yes"),'INPUT - Bookings'!$E555+ROW()/100000,"")</f>
        <v/>
      </c>
    </row>
    <row r="556">
      <c r="BB556" s="244">
        <f>IF('INPUT - Bookings'!$B556="",0,IF(AND(OR(Dashboard!$D$9="All",TRIM('INPUT - Bookings'!$C556)=Dashboard!$D$9),OR(Dashboard!$J$9="All",TRIM('INPUT - Bookings'!$D556)=Dashboard!$J$9)),1,0))</f>
        <v/>
      </c>
      <c r="BC556" s="244">
        <f>IF(AND(BB556=1,ISNUMBER('INPUT - Bookings'!$E556),'INPUT - Bookings'!$E556&gt;=Settings!$C$8,'INPUT - Bookings'!$E556&lt;=Settings!$C$8+14,IFERROR(INDEX(Settings!$Q$14:$Q$24,MATCH('INPUT - Bookings'!$G556,Settings!$P$14:$P$24,0)),"Yes")="Yes"),'INPUT - Bookings'!$E556+ROW()/100000,"")</f>
        <v/>
      </c>
    </row>
    <row r="557">
      <c r="BB557" s="244">
        <f>IF('INPUT - Bookings'!$B557="",0,IF(AND(OR(Dashboard!$D$9="All",TRIM('INPUT - Bookings'!$C557)=Dashboard!$D$9),OR(Dashboard!$J$9="All",TRIM('INPUT - Bookings'!$D557)=Dashboard!$J$9)),1,0))</f>
        <v/>
      </c>
      <c r="BC557" s="244">
        <f>IF(AND(BB557=1,ISNUMBER('INPUT - Bookings'!$E557),'INPUT - Bookings'!$E557&gt;=Settings!$C$8,'INPUT - Bookings'!$E557&lt;=Settings!$C$8+14,IFERROR(INDEX(Settings!$Q$14:$Q$24,MATCH('INPUT - Bookings'!$G557,Settings!$P$14:$P$24,0)),"Yes")="Yes"),'INPUT - Bookings'!$E557+ROW()/100000,"")</f>
        <v/>
      </c>
    </row>
    <row r="558">
      <c r="BB558" s="244">
        <f>IF('INPUT - Bookings'!$B558="",0,IF(AND(OR(Dashboard!$D$9="All",TRIM('INPUT - Bookings'!$C558)=Dashboard!$D$9),OR(Dashboard!$J$9="All",TRIM('INPUT - Bookings'!$D558)=Dashboard!$J$9)),1,0))</f>
        <v/>
      </c>
      <c r="BC558" s="244">
        <f>IF(AND(BB558=1,ISNUMBER('INPUT - Bookings'!$E558),'INPUT - Bookings'!$E558&gt;=Settings!$C$8,'INPUT - Bookings'!$E558&lt;=Settings!$C$8+14,IFERROR(INDEX(Settings!$Q$14:$Q$24,MATCH('INPUT - Bookings'!$G558,Settings!$P$14:$P$24,0)),"Yes")="Yes"),'INPUT - Bookings'!$E558+ROW()/100000,"")</f>
        <v/>
      </c>
    </row>
    <row r="559">
      <c r="BB559" s="244">
        <f>IF('INPUT - Bookings'!$B559="",0,IF(AND(OR(Dashboard!$D$9="All",TRIM('INPUT - Bookings'!$C559)=Dashboard!$D$9),OR(Dashboard!$J$9="All",TRIM('INPUT - Bookings'!$D559)=Dashboard!$J$9)),1,0))</f>
        <v/>
      </c>
      <c r="BC559" s="244">
        <f>IF(AND(BB559=1,ISNUMBER('INPUT - Bookings'!$E559),'INPUT - Bookings'!$E559&gt;=Settings!$C$8,'INPUT - Bookings'!$E559&lt;=Settings!$C$8+14,IFERROR(INDEX(Settings!$Q$14:$Q$24,MATCH('INPUT - Bookings'!$G559,Settings!$P$14:$P$24,0)),"Yes")="Yes"),'INPUT - Bookings'!$E559+ROW()/100000,"")</f>
        <v/>
      </c>
    </row>
    <row r="560">
      <c r="BB560" s="244">
        <f>IF('INPUT - Bookings'!$B560="",0,IF(AND(OR(Dashboard!$D$9="All",TRIM('INPUT - Bookings'!$C560)=Dashboard!$D$9),OR(Dashboard!$J$9="All",TRIM('INPUT - Bookings'!$D560)=Dashboard!$J$9)),1,0))</f>
        <v/>
      </c>
      <c r="BC560" s="244">
        <f>IF(AND(BB560=1,ISNUMBER('INPUT - Bookings'!$E560),'INPUT - Bookings'!$E560&gt;=Settings!$C$8,'INPUT - Bookings'!$E560&lt;=Settings!$C$8+14,IFERROR(INDEX(Settings!$Q$14:$Q$24,MATCH('INPUT - Bookings'!$G560,Settings!$P$14:$P$24,0)),"Yes")="Yes"),'INPUT - Bookings'!$E560+ROW()/100000,"")</f>
        <v/>
      </c>
    </row>
    <row r="561">
      <c r="BB561" s="244">
        <f>IF('INPUT - Bookings'!$B561="",0,IF(AND(OR(Dashboard!$D$9="All",TRIM('INPUT - Bookings'!$C561)=Dashboard!$D$9),OR(Dashboard!$J$9="All",TRIM('INPUT - Bookings'!$D561)=Dashboard!$J$9)),1,0))</f>
        <v/>
      </c>
      <c r="BC561" s="244">
        <f>IF(AND(BB561=1,ISNUMBER('INPUT - Bookings'!$E561),'INPUT - Bookings'!$E561&gt;=Settings!$C$8,'INPUT - Bookings'!$E561&lt;=Settings!$C$8+14,IFERROR(INDEX(Settings!$Q$14:$Q$24,MATCH('INPUT - Bookings'!$G561,Settings!$P$14:$P$24,0)),"Yes")="Yes"),'INPUT - Bookings'!$E561+ROW()/100000,"")</f>
        <v/>
      </c>
    </row>
    <row r="562">
      <c r="BB562" s="244">
        <f>IF('INPUT - Bookings'!$B562="",0,IF(AND(OR(Dashboard!$D$9="All",TRIM('INPUT - Bookings'!$C562)=Dashboard!$D$9),OR(Dashboard!$J$9="All",TRIM('INPUT - Bookings'!$D562)=Dashboard!$J$9)),1,0))</f>
        <v/>
      </c>
      <c r="BC562" s="244">
        <f>IF(AND(BB562=1,ISNUMBER('INPUT - Bookings'!$E562),'INPUT - Bookings'!$E562&gt;=Settings!$C$8,'INPUT - Bookings'!$E562&lt;=Settings!$C$8+14,IFERROR(INDEX(Settings!$Q$14:$Q$24,MATCH('INPUT - Bookings'!$G562,Settings!$P$14:$P$24,0)),"Yes")="Yes"),'INPUT - Bookings'!$E562+ROW()/100000,"")</f>
        <v/>
      </c>
    </row>
    <row r="563">
      <c r="BB563" s="244">
        <f>IF('INPUT - Bookings'!$B563="",0,IF(AND(OR(Dashboard!$D$9="All",TRIM('INPUT - Bookings'!$C563)=Dashboard!$D$9),OR(Dashboard!$J$9="All",TRIM('INPUT - Bookings'!$D563)=Dashboard!$J$9)),1,0))</f>
        <v/>
      </c>
      <c r="BC563" s="244">
        <f>IF(AND(BB563=1,ISNUMBER('INPUT - Bookings'!$E563),'INPUT - Bookings'!$E563&gt;=Settings!$C$8,'INPUT - Bookings'!$E563&lt;=Settings!$C$8+14,IFERROR(INDEX(Settings!$Q$14:$Q$24,MATCH('INPUT - Bookings'!$G563,Settings!$P$14:$P$24,0)),"Yes")="Yes"),'INPUT - Bookings'!$E563+ROW()/100000,"")</f>
        <v/>
      </c>
    </row>
    <row r="564">
      <c r="BB564" s="244">
        <f>IF('INPUT - Bookings'!$B564="",0,IF(AND(OR(Dashboard!$D$9="All",TRIM('INPUT - Bookings'!$C564)=Dashboard!$D$9),OR(Dashboard!$J$9="All",TRIM('INPUT - Bookings'!$D564)=Dashboard!$J$9)),1,0))</f>
        <v/>
      </c>
      <c r="BC564" s="244">
        <f>IF(AND(BB564=1,ISNUMBER('INPUT - Bookings'!$E564),'INPUT - Bookings'!$E564&gt;=Settings!$C$8,'INPUT - Bookings'!$E564&lt;=Settings!$C$8+14,IFERROR(INDEX(Settings!$Q$14:$Q$24,MATCH('INPUT - Bookings'!$G564,Settings!$P$14:$P$24,0)),"Yes")="Yes"),'INPUT - Bookings'!$E564+ROW()/100000,"")</f>
        <v/>
      </c>
    </row>
    <row r="565">
      <c r="BB565" s="244">
        <f>IF('INPUT - Bookings'!$B565="",0,IF(AND(OR(Dashboard!$D$9="All",TRIM('INPUT - Bookings'!$C565)=Dashboard!$D$9),OR(Dashboard!$J$9="All",TRIM('INPUT - Bookings'!$D565)=Dashboard!$J$9)),1,0))</f>
        <v/>
      </c>
      <c r="BC565" s="244">
        <f>IF(AND(BB565=1,ISNUMBER('INPUT - Bookings'!$E565),'INPUT - Bookings'!$E565&gt;=Settings!$C$8,'INPUT - Bookings'!$E565&lt;=Settings!$C$8+14,IFERROR(INDEX(Settings!$Q$14:$Q$24,MATCH('INPUT - Bookings'!$G565,Settings!$P$14:$P$24,0)),"Yes")="Yes"),'INPUT - Bookings'!$E565+ROW()/100000,"")</f>
        <v/>
      </c>
    </row>
    <row r="566">
      <c r="BB566" s="244">
        <f>IF('INPUT - Bookings'!$B566="",0,IF(AND(OR(Dashboard!$D$9="All",TRIM('INPUT - Bookings'!$C566)=Dashboard!$D$9),OR(Dashboard!$J$9="All",TRIM('INPUT - Bookings'!$D566)=Dashboard!$J$9)),1,0))</f>
        <v/>
      </c>
      <c r="BC566" s="244">
        <f>IF(AND(BB566=1,ISNUMBER('INPUT - Bookings'!$E566),'INPUT - Bookings'!$E566&gt;=Settings!$C$8,'INPUT - Bookings'!$E566&lt;=Settings!$C$8+14,IFERROR(INDEX(Settings!$Q$14:$Q$24,MATCH('INPUT - Bookings'!$G566,Settings!$P$14:$P$24,0)),"Yes")="Yes"),'INPUT - Bookings'!$E566+ROW()/100000,"")</f>
        <v/>
      </c>
    </row>
    <row r="567">
      <c r="BB567" s="244">
        <f>IF('INPUT - Bookings'!$B567="",0,IF(AND(OR(Dashboard!$D$9="All",TRIM('INPUT - Bookings'!$C567)=Dashboard!$D$9),OR(Dashboard!$J$9="All",TRIM('INPUT - Bookings'!$D567)=Dashboard!$J$9)),1,0))</f>
        <v/>
      </c>
      <c r="BC567" s="244">
        <f>IF(AND(BB567=1,ISNUMBER('INPUT - Bookings'!$E567),'INPUT - Bookings'!$E567&gt;=Settings!$C$8,'INPUT - Bookings'!$E567&lt;=Settings!$C$8+14,IFERROR(INDEX(Settings!$Q$14:$Q$24,MATCH('INPUT - Bookings'!$G567,Settings!$P$14:$P$24,0)),"Yes")="Yes"),'INPUT - Bookings'!$E567+ROW()/100000,"")</f>
        <v/>
      </c>
    </row>
    <row r="568">
      <c r="BB568" s="244">
        <f>IF('INPUT - Bookings'!$B568="",0,IF(AND(OR(Dashboard!$D$9="All",TRIM('INPUT - Bookings'!$C568)=Dashboard!$D$9),OR(Dashboard!$J$9="All",TRIM('INPUT - Bookings'!$D568)=Dashboard!$J$9)),1,0))</f>
        <v/>
      </c>
      <c r="BC568" s="244">
        <f>IF(AND(BB568=1,ISNUMBER('INPUT - Bookings'!$E568),'INPUT - Bookings'!$E568&gt;=Settings!$C$8,'INPUT - Bookings'!$E568&lt;=Settings!$C$8+14,IFERROR(INDEX(Settings!$Q$14:$Q$24,MATCH('INPUT - Bookings'!$G568,Settings!$P$14:$P$24,0)),"Yes")="Yes"),'INPUT - Bookings'!$E568+ROW()/100000,"")</f>
        <v/>
      </c>
    </row>
    <row r="569">
      <c r="BB569" s="244">
        <f>IF('INPUT - Bookings'!$B569="",0,IF(AND(OR(Dashboard!$D$9="All",TRIM('INPUT - Bookings'!$C569)=Dashboard!$D$9),OR(Dashboard!$J$9="All",TRIM('INPUT - Bookings'!$D569)=Dashboard!$J$9)),1,0))</f>
        <v/>
      </c>
      <c r="BC569" s="244">
        <f>IF(AND(BB569=1,ISNUMBER('INPUT - Bookings'!$E569),'INPUT - Bookings'!$E569&gt;=Settings!$C$8,'INPUT - Bookings'!$E569&lt;=Settings!$C$8+14,IFERROR(INDEX(Settings!$Q$14:$Q$24,MATCH('INPUT - Bookings'!$G569,Settings!$P$14:$P$24,0)),"Yes")="Yes"),'INPUT - Bookings'!$E569+ROW()/100000,"")</f>
        <v/>
      </c>
    </row>
    <row r="570">
      <c r="BB570" s="244">
        <f>IF('INPUT - Bookings'!$B570="",0,IF(AND(OR(Dashboard!$D$9="All",TRIM('INPUT - Bookings'!$C570)=Dashboard!$D$9),OR(Dashboard!$J$9="All",TRIM('INPUT - Bookings'!$D570)=Dashboard!$J$9)),1,0))</f>
        <v/>
      </c>
      <c r="BC570" s="244">
        <f>IF(AND(BB570=1,ISNUMBER('INPUT - Bookings'!$E570),'INPUT - Bookings'!$E570&gt;=Settings!$C$8,'INPUT - Bookings'!$E570&lt;=Settings!$C$8+14,IFERROR(INDEX(Settings!$Q$14:$Q$24,MATCH('INPUT - Bookings'!$G570,Settings!$P$14:$P$24,0)),"Yes")="Yes"),'INPUT - Bookings'!$E570+ROW()/100000,"")</f>
        <v/>
      </c>
    </row>
    <row r="571">
      <c r="BB571" s="244">
        <f>IF('INPUT - Bookings'!$B571="",0,IF(AND(OR(Dashboard!$D$9="All",TRIM('INPUT - Bookings'!$C571)=Dashboard!$D$9),OR(Dashboard!$J$9="All",TRIM('INPUT - Bookings'!$D571)=Dashboard!$J$9)),1,0))</f>
        <v/>
      </c>
      <c r="BC571" s="244">
        <f>IF(AND(BB571=1,ISNUMBER('INPUT - Bookings'!$E571),'INPUT - Bookings'!$E571&gt;=Settings!$C$8,'INPUT - Bookings'!$E571&lt;=Settings!$C$8+14,IFERROR(INDEX(Settings!$Q$14:$Q$24,MATCH('INPUT - Bookings'!$G571,Settings!$P$14:$P$24,0)),"Yes")="Yes"),'INPUT - Bookings'!$E571+ROW()/100000,"")</f>
        <v/>
      </c>
    </row>
    <row r="572">
      <c r="BB572" s="244">
        <f>IF('INPUT - Bookings'!$B572="",0,IF(AND(OR(Dashboard!$D$9="All",TRIM('INPUT - Bookings'!$C572)=Dashboard!$D$9),OR(Dashboard!$J$9="All",TRIM('INPUT - Bookings'!$D572)=Dashboard!$J$9)),1,0))</f>
        <v/>
      </c>
      <c r="BC572" s="244">
        <f>IF(AND(BB572=1,ISNUMBER('INPUT - Bookings'!$E572),'INPUT - Bookings'!$E572&gt;=Settings!$C$8,'INPUT - Bookings'!$E572&lt;=Settings!$C$8+14,IFERROR(INDEX(Settings!$Q$14:$Q$24,MATCH('INPUT - Bookings'!$G572,Settings!$P$14:$P$24,0)),"Yes")="Yes"),'INPUT - Bookings'!$E572+ROW()/100000,"")</f>
        <v/>
      </c>
    </row>
    <row r="573">
      <c r="BB573" s="244">
        <f>IF('INPUT - Bookings'!$B573="",0,IF(AND(OR(Dashboard!$D$9="All",TRIM('INPUT - Bookings'!$C573)=Dashboard!$D$9),OR(Dashboard!$J$9="All",TRIM('INPUT - Bookings'!$D573)=Dashboard!$J$9)),1,0))</f>
        <v/>
      </c>
      <c r="BC573" s="244">
        <f>IF(AND(BB573=1,ISNUMBER('INPUT - Bookings'!$E573),'INPUT - Bookings'!$E573&gt;=Settings!$C$8,'INPUT - Bookings'!$E573&lt;=Settings!$C$8+14,IFERROR(INDEX(Settings!$Q$14:$Q$24,MATCH('INPUT - Bookings'!$G573,Settings!$P$14:$P$24,0)),"Yes")="Yes"),'INPUT - Bookings'!$E573+ROW()/100000,"")</f>
        <v/>
      </c>
    </row>
    <row r="574">
      <c r="BB574" s="244">
        <f>IF('INPUT - Bookings'!$B574="",0,IF(AND(OR(Dashboard!$D$9="All",TRIM('INPUT - Bookings'!$C574)=Dashboard!$D$9),OR(Dashboard!$J$9="All",TRIM('INPUT - Bookings'!$D574)=Dashboard!$J$9)),1,0))</f>
        <v/>
      </c>
      <c r="BC574" s="244">
        <f>IF(AND(BB574=1,ISNUMBER('INPUT - Bookings'!$E574),'INPUT - Bookings'!$E574&gt;=Settings!$C$8,'INPUT - Bookings'!$E574&lt;=Settings!$C$8+14,IFERROR(INDEX(Settings!$Q$14:$Q$24,MATCH('INPUT - Bookings'!$G574,Settings!$P$14:$P$24,0)),"Yes")="Yes"),'INPUT - Bookings'!$E574+ROW()/100000,"")</f>
        <v/>
      </c>
    </row>
    <row r="575">
      <c r="BB575" s="244">
        <f>IF('INPUT - Bookings'!$B575="",0,IF(AND(OR(Dashboard!$D$9="All",TRIM('INPUT - Bookings'!$C575)=Dashboard!$D$9),OR(Dashboard!$J$9="All",TRIM('INPUT - Bookings'!$D575)=Dashboard!$J$9)),1,0))</f>
        <v/>
      </c>
      <c r="BC575" s="244">
        <f>IF(AND(BB575=1,ISNUMBER('INPUT - Bookings'!$E575),'INPUT - Bookings'!$E575&gt;=Settings!$C$8,'INPUT - Bookings'!$E575&lt;=Settings!$C$8+14,IFERROR(INDEX(Settings!$Q$14:$Q$24,MATCH('INPUT - Bookings'!$G575,Settings!$P$14:$P$24,0)),"Yes")="Yes"),'INPUT - Bookings'!$E575+ROW()/100000,"")</f>
        <v/>
      </c>
    </row>
    <row r="576">
      <c r="BB576" s="244">
        <f>IF('INPUT - Bookings'!$B576="",0,IF(AND(OR(Dashboard!$D$9="All",TRIM('INPUT - Bookings'!$C576)=Dashboard!$D$9),OR(Dashboard!$J$9="All",TRIM('INPUT - Bookings'!$D576)=Dashboard!$J$9)),1,0))</f>
        <v/>
      </c>
      <c r="BC576" s="244">
        <f>IF(AND(BB576=1,ISNUMBER('INPUT - Bookings'!$E576),'INPUT - Bookings'!$E576&gt;=Settings!$C$8,'INPUT - Bookings'!$E576&lt;=Settings!$C$8+14,IFERROR(INDEX(Settings!$Q$14:$Q$24,MATCH('INPUT - Bookings'!$G576,Settings!$P$14:$P$24,0)),"Yes")="Yes"),'INPUT - Bookings'!$E576+ROW()/100000,"")</f>
        <v/>
      </c>
    </row>
    <row r="577">
      <c r="BB577" s="244">
        <f>IF('INPUT - Bookings'!$B577="",0,IF(AND(OR(Dashboard!$D$9="All",TRIM('INPUT - Bookings'!$C577)=Dashboard!$D$9),OR(Dashboard!$J$9="All",TRIM('INPUT - Bookings'!$D577)=Dashboard!$J$9)),1,0))</f>
        <v/>
      </c>
      <c r="BC577" s="244">
        <f>IF(AND(BB577=1,ISNUMBER('INPUT - Bookings'!$E577),'INPUT - Bookings'!$E577&gt;=Settings!$C$8,'INPUT - Bookings'!$E577&lt;=Settings!$C$8+14,IFERROR(INDEX(Settings!$Q$14:$Q$24,MATCH('INPUT - Bookings'!$G577,Settings!$P$14:$P$24,0)),"Yes")="Yes"),'INPUT - Bookings'!$E577+ROW()/100000,"")</f>
        <v/>
      </c>
    </row>
    <row r="578">
      <c r="BB578" s="244">
        <f>IF('INPUT - Bookings'!$B578="",0,IF(AND(OR(Dashboard!$D$9="All",TRIM('INPUT - Bookings'!$C578)=Dashboard!$D$9),OR(Dashboard!$J$9="All",TRIM('INPUT - Bookings'!$D578)=Dashboard!$J$9)),1,0))</f>
        <v/>
      </c>
      <c r="BC578" s="244">
        <f>IF(AND(BB578=1,ISNUMBER('INPUT - Bookings'!$E578),'INPUT - Bookings'!$E578&gt;=Settings!$C$8,'INPUT - Bookings'!$E578&lt;=Settings!$C$8+14,IFERROR(INDEX(Settings!$Q$14:$Q$24,MATCH('INPUT - Bookings'!$G578,Settings!$P$14:$P$24,0)),"Yes")="Yes"),'INPUT - Bookings'!$E578+ROW()/100000,"")</f>
        <v/>
      </c>
    </row>
    <row r="579">
      <c r="BB579" s="244">
        <f>IF('INPUT - Bookings'!$B579="",0,IF(AND(OR(Dashboard!$D$9="All",TRIM('INPUT - Bookings'!$C579)=Dashboard!$D$9),OR(Dashboard!$J$9="All",TRIM('INPUT - Bookings'!$D579)=Dashboard!$J$9)),1,0))</f>
        <v/>
      </c>
      <c r="BC579" s="244">
        <f>IF(AND(BB579=1,ISNUMBER('INPUT - Bookings'!$E579),'INPUT - Bookings'!$E579&gt;=Settings!$C$8,'INPUT - Bookings'!$E579&lt;=Settings!$C$8+14,IFERROR(INDEX(Settings!$Q$14:$Q$24,MATCH('INPUT - Bookings'!$G579,Settings!$P$14:$P$24,0)),"Yes")="Yes"),'INPUT - Bookings'!$E579+ROW()/100000,"")</f>
        <v/>
      </c>
    </row>
    <row r="580">
      <c r="BB580" s="244">
        <f>IF('INPUT - Bookings'!$B580="",0,IF(AND(OR(Dashboard!$D$9="All",TRIM('INPUT - Bookings'!$C580)=Dashboard!$D$9),OR(Dashboard!$J$9="All",TRIM('INPUT - Bookings'!$D580)=Dashboard!$J$9)),1,0))</f>
        <v/>
      </c>
      <c r="BC580" s="244">
        <f>IF(AND(BB580=1,ISNUMBER('INPUT - Bookings'!$E580),'INPUT - Bookings'!$E580&gt;=Settings!$C$8,'INPUT - Bookings'!$E580&lt;=Settings!$C$8+14,IFERROR(INDEX(Settings!$Q$14:$Q$24,MATCH('INPUT - Bookings'!$G580,Settings!$P$14:$P$24,0)),"Yes")="Yes"),'INPUT - Bookings'!$E580+ROW()/100000,"")</f>
        <v/>
      </c>
    </row>
    <row r="581">
      <c r="BB581" s="244">
        <f>IF('INPUT - Bookings'!$B581="",0,IF(AND(OR(Dashboard!$D$9="All",TRIM('INPUT - Bookings'!$C581)=Dashboard!$D$9),OR(Dashboard!$J$9="All",TRIM('INPUT - Bookings'!$D581)=Dashboard!$J$9)),1,0))</f>
        <v/>
      </c>
      <c r="BC581" s="244">
        <f>IF(AND(BB581=1,ISNUMBER('INPUT - Bookings'!$E581),'INPUT - Bookings'!$E581&gt;=Settings!$C$8,'INPUT - Bookings'!$E581&lt;=Settings!$C$8+14,IFERROR(INDEX(Settings!$Q$14:$Q$24,MATCH('INPUT - Bookings'!$G581,Settings!$P$14:$P$24,0)),"Yes")="Yes"),'INPUT - Bookings'!$E581+ROW()/100000,"")</f>
        <v/>
      </c>
    </row>
    <row r="582">
      <c r="BB582" s="244">
        <f>IF('INPUT - Bookings'!$B582="",0,IF(AND(OR(Dashboard!$D$9="All",TRIM('INPUT - Bookings'!$C582)=Dashboard!$D$9),OR(Dashboard!$J$9="All",TRIM('INPUT - Bookings'!$D582)=Dashboard!$J$9)),1,0))</f>
        <v/>
      </c>
      <c r="BC582" s="244">
        <f>IF(AND(BB582=1,ISNUMBER('INPUT - Bookings'!$E582),'INPUT - Bookings'!$E582&gt;=Settings!$C$8,'INPUT - Bookings'!$E582&lt;=Settings!$C$8+14,IFERROR(INDEX(Settings!$Q$14:$Q$24,MATCH('INPUT - Bookings'!$G582,Settings!$P$14:$P$24,0)),"Yes")="Yes"),'INPUT - Bookings'!$E582+ROW()/100000,"")</f>
        <v/>
      </c>
    </row>
    <row r="583">
      <c r="BB583" s="244">
        <f>IF('INPUT - Bookings'!$B583="",0,IF(AND(OR(Dashboard!$D$9="All",TRIM('INPUT - Bookings'!$C583)=Dashboard!$D$9),OR(Dashboard!$J$9="All",TRIM('INPUT - Bookings'!$D583)=Dashboard!$J$9)),1,0))</f>
        <v/>
      </c>
      <c r="BC583" s="244">
        <f>IF(AND(BB583=1,ISNUMBER('INPUT - Bookings'!$E583),'INPUT - Bookings'!$E583&gt;=Settings!$C$8,'INPUT - Bookings'!$E583&lt;=Settings!$C$8+14,IFERROR(INDEX(Settings!$Q$14:$Q$24,MATCH('INPUT - Bookings'!$G583,Settings!$P$14:$P$24,0)),"Yes")="Yes"),'INPUT - Bookings'!$E583+ROW()/100000,"")</f>
        <v/>
      </c>
    </row>
    <row r="584">
      <c r="BB584" s="244">
        <f>IF('INPUT - Bookings'!$B584="",0,IF(AND(OR(Dashboard!$D$9="All",TRIM('INPUT - Bookings'!$C584)=Dashboard!$D$9),OR(Dashboard!$J$9="All",TRIM('INPUT - Bookings'!$D584)=Dashboard!$J$9)),1,0))</f>
        <v/>
      </c>
      <c r="BC584" s="244">
        <f>IF(AND(BB584=1,ISNUMBER('INPUT - Bookings'!$E584),'INPUT - Bookings'!$E584&gt;=Settings!$C$8,'INPUT - Bookings'!$E584&lt;=Settings!$C$8+14,IFERROR(INDEX(Settings!$Q$14:$Q$24,MATCH('INPUT - Bookings'!$G584,Settings!$P$14:$P$24,0)),"Yes")="Yes"),'INPUT - Bookings'!$E584+ROW()/100000,"")</f>
        <v/>
      </c>
    </row>
    <row r="585">
      <c r="BB585" s="244">
        <f>IF('INPUT - Bookings'!$B585="",0,IF(AND(OR(Dashboard!$D$9="All",TRIM('INPUT - Bookings'!$C585)=Dashboard!$D$9),OR(Dashboard!$J$9="All",TRIM('INPUT - Bookings'!$D585)=Dashboard!$J$9)),1,0))</f>
        <v/>
      </c>
      <c r="BC585" s="244">
        <f>IF(AND(BB585=1,ISNUMBER('INPUT - Bookings'!$E585),'INPUT - Bookings'!$E585&gt;=Settings!$C$8,'INPUT - Bookings'!$E585&lt;=Settings!$C$8+14,IFERROR(INDEX(Settings!$Q$14:$Q$24,MATCH('INPUT - Bookings'!$G585,Settings!$P$14:$P$24,0)),"Yes")="Yes"),'INPUT - Bookings'!$E585+ROW()/100000,"")</f>
        <v/>
      </c>
    </row>
    <row r="586">
      <c r="BB586" s="244">
        <f>IF('INPUT - Bookings'!$B586="",0,IF(AND(OR(Dashboard!$D$9="All",TRIM('INPUT - Bookings'!$C586)=Dashboard!$D$9),OR(Dashboard!$J$9="All",TRIM('INPUT - Bookings'!$D586)=Dashboard!$J$9)),1,0))</f>
        <v/>
      </c>
      <c r="BC586" s="244">
        <f>IF(AND(BB586=1,ISNUMBER('INPUT - Bookings'!$E586),'INPUT - Bookings'!$E586&gt;=Settings!$C$8,'INPUT - Bookings'!$E586&lt;=Settings!$C$8+14,IFERROR(INDEX(Settings!$Q$14:$Q$24,MATCH('INPUT - Bookings'!$G586,Settings!$P$14:$P$24,0)),"Yes")="Yes"),'INPUT - Bookings'!$E586+ROW()/100000,"")</f>
        <v/>
      </c>
    </row>
    <row r="587">
      <c r="BB587" s="244">
        <f>IF('INPUT - Bookings'!$B587="",0,IF(AND(OR(Dashboard!$D$9="All",TRIM('INPUT - Bookings'!$C587)=Dashboard!$D$9),OR(Dashboard!$J$9="All",TRIM('INPUT - Bookings'!$D587)=Dashboard!$J$9)),1,0))</f>
        <v/>
      </c>
      <c r="BC587" s="244">
        <f>IF(AND(BB587=1,ISNUMBER('INPUT - Bookings'!$E587),'INPUT - Bookings'!$E587&gt;=Settings!$C$8,'INPUT - Bookings'!$E587&lt;=Settings!$C$8+14,IFERROR(INDEX(Settings!$Q$14:$Q$24,MATCH('INPUT - Bookings'!$G587,Settings!$P$14:$P$24,0)),"Yes")="Yes"),'INPUT - Bookings'!$E587+ROW()/100000,"")</f>
        <v/>
      </c>
    </row>
    <row r="588">
      <c r="BB588" s="244">
        <f>IF('INPUT - Bookings'!$B588="",0,IF(AND(OR(Dashboard!$D$9="All",TRIM('INPUT - Bookings'!$C588)=Dashboard!$D$9),OR(Dashboard!$J$9="All",TRIM('INPUT - Bookings'!$D588)=Dashboard!$J$9)),1,0))</f>
        <v/>
      </c>
      <c r="BC588" s="244">
        <f>IF(AND(BB588=1,ISNUMBER('INPUT - Bookings'!$E588),'INPUT - Bookings'!$E588&gt;=Settings!$C$8,'INPUT - Bookings'!$E588&lt;=Settings!$C$8+14,IFERROR(INDEX(Settings!$Q$14:$Q$24,MATCH('INPUT - Bookings'!$G588,Settings!$P$14:$P$24,0)),"Yes")="Yes"),'INPUT - Bookings'!$E588+ROW()/100000,"")</f>
        <v/>
      </c>
    </row>
    <row r="589">
      <c r="BB589" s="244">
        <f>IF('INPUT - Bookings'!$B589="",0,IF(AND(OR(Dashboard!$D$9="All",TRIM('INPUT - Bookings'!$C589)=Dashboard!$D$9),OR(Dashboard!$J$9="All",TRIM('INPUT - Bookings'!$D589)=Dashboard!$J$9)),1,0))</f>
        <v/>
      </c>
      <c r="BC589" s="244">
        <f>IF(AND(BB589=1,ISNUMBER('INPUT - Bookings'!$E589),'INPUT - Bookings'!$E589&gt;=Settings!$C$8,'INPUT - Bookings'!$E589&lt;=Settings!$C$8+14,IFERROR(INDEX(Settings!$Q$14:$Q$24,MATCH('INPUT - Bookings'!$G589,Settings!$P$14:$P$24,0)),"Yes")="Yes"),'INPUT - Bookings'!$E589+ROW()/100000,"")</f>
        <v/>
      </c>
    </row>
    <row r="590">
      <c r="BB590" s="244">
        <f>IF('INPUT - Bookings'!$B590="",0,IF(AND(OR(Dashboard!$D$9="All",TRIM('INPUT - Bookings'!$C590)=Dashboard!$D$9),OR(Dashboard!$J$9="All",TRIM('INPUT - Bookings'!$D590)=Dashboard!$J$9)),1,0))</f>
        <v/>
      </c>
      <c r="BC590" s="244">
        <f>IF(AND(BB590=1,ISNUMBER('INPUT - Bookings'!$E590),'INPUT - Bookings'!$E590&gt;=Settings!$C$8,'INPUT - Bookings'!$E590&lt;=Settings!$C$8+14,IFERROR(INDEX(Settings!$Q$14:$Q$24,MATCH('INPUT - Bookings'!$G590,Settings!$P$14:$P$24,0)),"Yes")="Yes"),'INPUT - Bookings'!$E590+ROW()/100000,"")</f>
        <v/>
      </c>
    </row>
    <row r="591">
      <c r="BB591" s="244">
        <f>IF('INPUT - Bookings'!$B591="",0,IF(AND(OR(Dashboard!$D$9="All",TRIM('INPUT - Bookings'!$C591)=Dashboard!$D$9),OR(Dashboard!$J$9="All",TRIM('INPUT - Bookings'!$D591)=Dashboard!$J$9)),1,0))</f>
        <v/>
      </c>
      <c r="BC591" s="244">
        <f>IF(AND(BB591=1,ISNUMBER('INPUT - Bookings'!$E591),'INPUT - Bookings'!$E591&gt;=Settings!$C$8,'INPUT - Bookings'!$E591&lt;=Settings!$C$8+14,IFERROR(INDEX(Settings!$Q$14:$Q$24,MATCH('INPUT - Bookings'!$G591,Settings!$P$14:$P$24,0)),"Yes")="Yes"),'INPUT - Bookings'!$E591+ROW()/100000,"")</f>
        <v/>
      </c>
    </row>
    <row r="592">
      <c r="BB592" s="244">
        <f>IF('INPUT - Bookings'!$B592="",0,IF(AND(OR(Dashboard!$D$9="All",TRIM('INPUT - Bookings'!$C592)=Dashboard!$D$9),OR(Dashboard!$J$9="All",TRIM('INPUT - Bookings'!$D592)=Dashboard!$J$9)),1,0))</f>
        <v/>
      </c>
      <c r="BC592" s="244">
        <f>IF(AND(BB592=1,ISNUMBER('INPUT - Bookings'!$E592),'INPUT - Bookings'!$E592&gt;=Settings!$C$8,'INPUT - Bookings'!$E592&lt;=Settings!$C$8+14,IFERROR(INDEX(Settings!$Q$14:$Q$24,MATCH('INPUT - Bookings'!$G592,Settings!$P$14:$P$24,0)),"Yes")="Yes"),'INPUT - Bookings'!$E592+ROW()/100000,"")</f>
        <v/>
      </c>
    </row>
    <row r="593">
      <c r="BB593" s="244">
        <f>IF('INPUT - Bookings'!$B593="",0,IF(AND(OR(Dashboard!$D$9="All",TRIM('INPUT - Bookings'!$C593)=Dashboard!$D$9),OR(Dashboard!$J$9="All",TRIM('INPUT - Bookings'!$D593)=Dashboard!$J$9)),1,0))</f>
        <v/>
      </c>
      <c r="BC593" s="244">
        <f>IF(AND(BB593=1,ISNUMBER('INPUT - Bookings'!$E593),'INPUT - Bookings'!$E593&gt;=Settings!$C$8,'INPUT - Bookings'!$E593&lt;=Settings!$C$8+14,IFERROR(INDEX(Settings!$Q$14:$Q$24,MATCH('INPUT - Bookings'!$G593,Settings!$P$14:$P$24,0)),"Yes")="Yes"),'INPUT - Bookings'!$E593+ROW()/100000,"")</f>
        <v/>
      </c>
    </row>
    <row r="594">
      <c r="BB594" s="244">
        <f>IF('INPUT - Bookings'!$B594="",0,IF(AND(OR(Dashboard!$D$9="All",TRIM('INPUT - Bookings'!$C594)=Dashboard!$D$9),OR(Dashboard!$J$9="All",TRIM('INPUT - Bookings'!$D594)=Dashboard!$J$9)),1,0))</f>
        <v/>
      </c>
      <c r="BC594" s="244">
        <f>IF(AND(BB594=1,ISNUMBER('INPUT - Bookings'!$E594),'INPUT - Bookings'!$E594&gt;=Settings!$C$8,'INPUT - Bookings'!$E594&lt;=Settings!$C$8+14,IFERROR(INDEX(Settings!$Q$14:$Q$24,MATCH('INPUT - Bookings'!$G594,Settings!$P$14:$P$24,0)),"Yes")="Yes"),'INPUT - Bookings'!$E594+ROW()/100000,"")</f>
        <v/>
      </c>
    </row>
    <row r="595">
      <c r="BB595" s="244">
        <f>IF('INPUT - Bookings'!$B595="",0,IF(AND(OR(Dashboard!$D$9="All",TRIM('INPUT - Bookings'!$C595)=Dashboard!$D$9),OR(Dashboard!$J$9="All",TRIM('INPUT - Bookings'!$D595)=Dashboard!$J$9)),1,0))</f>
        <v/>
      </c>
      <c r="BC595" s="244">
        <f>IF(AND(BB595=1,ISNUMBER('INPUT - Bookings'!$E595),'INPUT - Bookings'!$E595&gt;=Settings!$C$8,'INPUT - Bookings'!$E595&lt;=Settings!$C$8+14,IFERROR(INDEX(Settings!$Q$14:$Q$24,MATCH('INPUT - Bookings'!$G595,Settings!$P$14:$P$24,0)),"Yes")="Yes"),'INPUT - Bookings'!$E595+ROW()/100000,"")</f>
        <v/>
      </c>
    </row>
    <row r="596">
      <c r="BB596" s="244">
        <f>IF('INPUT - Bookings'!$B596="",0,IF(AND(OR(Dashboard!$D$9="All",TRIM('INPUT - Bookings'!$C596)=Dashboard!$D$9),OR(Dashboard!$J$9="All",TRIM('INPUT - Bookings'!$D596)=Dashboard!$J$9)),1,0))</f>
        <v/>
      </c>
      <c r="BC596" s="244">
        <f>IF(AND(BB596=1,ISNUMBER('INPUT - Bookings'!$E596),'INPUT - Bookings'!$E596&gt;=Settings!$C$8,'INPUT - Bookings'!$E596&lt;=Settings!$C$8+14,IFERROR(INDEX(Settings!$Q$14:$Q$24,MATCH('INPUT - Bookings'!$G596,Settings!$P$14:$P$24,0)),"Yes")="Yes"),'INPUT - Bookings'!$E596+ROW()/100000,"")</f>
        <v/>
      </c>
    </row>
    <row r="597">
      <c r="BB597" s="244">
        <f>IF('INPUT - Bookings'!$B597="",0,IF(AND(OR(Dashboard!$D$9="All",TRIM('INPUT - Bookings'!$C597)=Dashboard!$D$9),OR(Dashboard!$J$9="All",TRIM('INPUT - Bookings'!$D597)=Dashboard!$J$9)),1,0))</f>
        <v/>
      </c>
      <c r="BC597" s="244">
        <f>IF(AND(BB597=1,ISNUMBER('INPUT - Bookings'!$E597),'INPUT - Bookings'!$E597&gt;=Settings!$C$8,'INPUT - Bookings'!$E597&lt;=Settings!$C$8+14,IFERROR(INDEX(Settings!$Q$14:$Q$24,MATCH('INPUT - Bookings'!$G597,Settings!$P$14:$P$24,0)),"Yes")="Yes"),'INPUT - Bookings'!$E597+ROW()/100000,"")</f>
        <v/>
      </c>
    </row>
    <row r="598">
      <c r="BB598" s="244">
        <f>IF('INPUT - Bookings'!$B598="",0,IF(AND(OR(Dashboard!$D$9="All",TRIM('INPUT - Bookings'!$C598)=Dashboard!$D$9),OR(Dashboard!$J$9="All",TRIM('INPUT - Bookings'!$D598)=Dashboard!$J$9)),1,0))</f>
        <v/>
      </c>
      <c r="BC598" s="244">
        <f>IF(AND(BB598=1,ISNUMBER('INPUT - Bookings'!$E598),'INPUT - Bookings'!$E598&gt;=Settings!$C$8,'INPUT - Bookings'!$E598&lt;=Settings!$C$8+14,IFERROR(INDEX(Settings!$Q$14:$Q$24,MATCH('INPUT - Bookings'!$G598,Settings!$P$14:$P$24,0)),"Yes")="Yes"),'INPUT - Bookings'!$E598+ROW()/100000,"")</f>
        <v/>
      </c>
    </row>
    <row r="599">
      <c r="BB599" s="244">
        <f>IF('INPUT - Bookings'!$B599="",0,IF(AND(OR(Dashboard!$D$9="All",TRIM('INPUT - Bookings'!$C599)=Dashboard!$D$9),OR(Dashboard!$J$9="All",TRIM('INPUT - Bookings'!$D599)=Dashboard!$J$9)),1,0))</f>
        <v/>
      </c>
      <c r="BC599" s="244">
        <f>IF(AND(BB599=1,ISNUMBER('INPUT - Bookings'!$E599),'INPUT - Bookings'!$E599&gt;=Settings!$C$8,'INPUT - Bookings'!$E599&lt;=Settings!$C$8+14,IFERROR(INDEX(Settings!$Q$14:$Q$24,MATCH('INPUT - Bookings'!$G599,Settings!$P$14:$P$24,0)),"Yes")="Yes"),'INPUT - Bookings'!$E599+ROW()/100000,"")</f>
        <v/>
      </c>
    </row>
    <row r="600">
      <c r="BB600" s="244">
        <f>IF('INPUT - Bookings'!$B600="",0,IF(AND(OR(Dashboard!$D$9="All",TRIM('INPUT - Bookings'!$C600)=Dashboard!$D$9),OR(Dashboard!$J$9="All",TRIM('INPUT - Bookings'!$D600)=Dashboard!$J$9)),1,0))</f>
        <v/>
      </c>
      <c r="BC600" s="244">
        <f>IF(AND(BB600=1,ISNUMBER('INPUT - Bookings'!$E600),'INPUT - Bookings'!$E600&gt;=Settings!$C$8,'INPUT - Bookings'!$E600&lt;=Settings!$C$8+14,IFERROR(INDEX(Settings!$Q$14:$Q$24,MATCH('INPUT - Bookings'!$G600,Settings!$P$14:$P$24,0)),"Yes")="Yes"),'INPUT - Bookings'!$E600+ROW()/100000,"")</f>
        <v/>
      </c>
    </row>
    <row r="601">
      <c r="BB601" s="244">
        <f>IF('INPUT - Bookings'!$B601="",0,IF(AND(OR(Dashboard!$D$9="All",TRIM('INPUT - Bookings'!$C601)=Dashboard!$D$9),OR(Dashboard!$J$9="All",TRIM('INPUT - Bookings'!$D601)=Dashboard!$J$9)),1,0))</f>
        <v/>
      </c>
      <c r="BC601" s="244">
        <f>IF(AND(BB601=1,ISNUMBER('INPUT - Bookings'!$E601),'INPUT - Bookings'!$E601&gt;=Settings!$C$8,'INPUT - Bookings'!$E601&lt;=Settings!$C$8+14,IFERROR(INDEX(Settings!$Q$14:$Q$24,MATCH('INPUT - Bookings'!$G601,Settings!$P$14:$P$24,0)),"Yes")="Yes"),'INPUT - Bookings'!$E601+ROW()/100000,"")</f>
        <v/>
      </c>
    </row>
    <row r="602">
      <c r="BB602" s="244">
        <f>IF('INPUT - Bookings'!$B602="",0,IF(AND(OR(Dashboard!$D$9="All",TRIM('INPUT - Bookings'!$C602)=Dashboard!$D$9),OR(Dashboard!$J$9="All",TRIM('INPUT - Bookings'!$D602)=Dashboard!$J$9)),1,0))</f>
        <v/>
      </c>
      <c r="BC602" s="244">
        <f>IF(AND(BB602=1,ISNUMBER('INPUT - Bookings'!$E602),'INPUT - Bookings'!$E602&gt;=Settings!$C$8,'INPUT - Bookings'!$E602&lt;=Settings!$C$8+14,IFERROR(INDEX(Settings!$Q$14:$Q$24,MATCH('INPUT - Bookings'!$G602,Settings!$P$14:$P$24,0)),"Yes")="Yes"),'INPUT - Bookings'!$E602+ROW()/100000,"")</f>
        <v/>
      </c>
    </row>
    <row r="603">
      <c r="BB603" s="244">
        <f>IF('INPUT - Bookings'!$B603="",0,IF(AND(OR(Dashboard!$D$9="All",TRIM('INPUT - Bookings'!$C603)=Dashboard!$D$9),OR(Dashboard!$J$9="All",TRIM('INPUT - Bookings'!$D603)=Dashboard!$J$9)),1,0))</f>
        <v/>
      </c>
      <c r="BC603" s="244">
        <f>IF(AND(BB603=1,ISNUMBER('INPUT - Bookings'!$E603),'INPUT - Bookings'!$E603&gt;=Settings!$C$8,'INPUT - Bookings'!$E603&lt;=Settings!$C$8+14,IFERROR(INDEX(Settings!$Q$14:$Q$24,MATCH('INPUT - Bookings'!$G603,Settings!$P$14:$P$24,0)),"Yes")="Yes"),'INPUT - Bookings'!$E603+ROW()/100000,"")</f>
        <v/>
      </c>
    </row>
    <row r="604">
      <c r="BB604" s="244">
        <f>IF('INPUT - Bookings'!$B604="",0,IF(AND(OR(Dashboard!$D$9="All",TRIM('INPUT - Bookings'!$C604)=Dashboard!$D$9),OR(Dashboard!$J$9="All",TRIM('INPUT - Bookings'!$D604)=Dashboard!$J$9)),1,0))</f>
        <v/>
      </c>
      <c r="BC604" s="244">
        <f>IF(AND(BB604=1,ISNUMBER('INPUT - Bookings'!$E604),'INPUT - Bookings'!$E604&gt;=Settings!$C$8,'INPUT - Bookings'!$E604&lt;=Settings!$C$8+14,IFERROR(INDEX(Settings!$Q$14:$Q$24,MATCH('INPUT - Bookings'!$G604,Settings!$P$14:$P$24,0)),"Yes")="Yes"),'INPUT - Bookings'!$E604+ROW()/100000,"")</f>
        <v/>
      </c>
    </row>
    <row r="605">
      <c r="BB605" s="244">
        <f>IF('INPUT - Bookings'!$B605="",0,IF(AND(OR(Dashboard!$D$9="All",TRIM('INPUT - Bookings'!$C605)=Dashboard!$D$9),OR(Dashboard!$J$9="All",TRIM('INPUT - Bookings'!$D605)=Dashboard!$J$9)),1,0))</f>
        <v/>
      </c>
      <c r="BC605" s="244">
        <f>IF(AND(BB605=1,ISNUMBER('INPUT - Bookings'!$E605),'INPUT - Bookings'!$E605&gt;=Settings!$C$8,'INPUT - Bookings'!$E605&lt;=Settings!$C$8+14,IFERROR(INDEX(Settings!$Q$14:$Q$24,MATCH('INPUT - Bookings'!$G605,Settings!$P$14:$P$24,0)),"Yes")="Yes"),'INPUT - Bookings'!$E605+ROW()/100000,"")</f>
        <v/>
      </c>
    </row>
    <row r="606">
      <c r="BB606" s="244">
        <f>IF('INPUT - Bookings'!$B606="",0,IF(AND(OR(Dashboard!$D$9="All",TRIM('INPUT - Bookings'!$C606)=Dashboard!$D$9),OR(Dashboard!$J$9="All",TRIM('INPUT - Bookings'!$D606)=Dashboard!$J$9)),1,0))</f>
        <v/>
      </c>
      <c r="BC606" s="244">
        <f>IF(AND(BB606=1,ISNUMBER('INPUT - Bookings'!$E606),'INPUT - Bookings'!$E606&gt;=Settings!$C$8,'INPUT - Bookings'!$E606&lt;=Settings!$C$8+14,IFERROR(INDEX(Settings!$Q$14:$Q$24,MATCH('INPUT - Bookings'!$G606,Settings!$P$14:$P$24,0)),"Yes")="Yes"),'INPUT - Bookings'!$E606+ROW()/100000,"")</f>
        <v/>
      </c>
    </row>
    <row r="607">
      <c r="BB607" s="244">
        <f>IF('INPUT - Bookings'!$B607="",0,IF(AND(OR(Dashboard!$D$9="All",TRIM('INPUT - Bookings'!$C607)=Dashboard!$D$9),OR(Dashboard!$J$9="All",TRIM('INPUT - Bookings'!$D607)=Dashboard!$J$9)),1,0))</f>
        <v/>
      </c>
      <c r="BC607" s="244">
        <f>IF(AND(BB607=1,ISNUMBER('INPUT - Bookings'!$E607),'INPUT - Bookings'!$E607&gt;=Settings!$C$8,'INPUT - Bookings'!$E607&lt;=Settings!$C$8+14,IFERROR(INDEX(Settings!$Q$14:$Q$24,MATCH('INPUT - Bookings'!$G607,Settings!$P$14:$P$24,0)),"Yes")="Yes"),'INPUT - Bookings'!$E607+ROW()/100000,"")</f>
        <v/>
      </c>
    </row>
    <row r="608">
      <c r="BB608" s="244">
        <f>IF('INPUT - Bookings'!$B608="",0,IF(AND(OR(Dashboard!$D$9="All",TRIM('INPUT - Bookings'!$C608)=Dashboard!$D$9),OR(Dashboard!$J$9="All",TRIM('INPUT - Bookings'!$D608)=Dashboard!$J$9)),1,0))</f>
        <v/>
      </c>
      <c r="BC608" s="244">
        <f>IF(AND(BB608=1,ISNUMBER('INPUT - Bookings'!$E608),'INPUT - Bookings'!$E608&gt;=Settings!$C$8,'INPUT - Bookings'!$E608&lt;=Settings!$C$8+14,IFERROR(INDEX(Settings!$Q$14:$Q$24,MATCH('INPUT - Bookings'!$G608,Settings!$P$14:$P$24,0)),"Yes")="Yes"),'INPUT - Bookings'!$E608+ROW()/100000,"")</f>
        <v/>
      </c>
    </row>
    <row r="609">
      <c r="BB609" s="244">
        <f>IF('INPUT - Bookings'!$B609="",0,IF(AND(OR(Dashboard!$D$9="All",TRIM('INPUT - Bookings'!$C609)=Dashboard!$D$9),OR(Dashboard!$J$9="All",TRIM('INPUT - Bookings'!$D609)=Dashboard!$J$9)),1,0))</f>
        <v/>
      </c>
      <c r="BC609" s="244">
        <f>IF(AND(BB609=1,ISNUMBER('INPUT - Bookings'!$E609),'INPUT - Bookings'!$E609&gt;=Settings!$C$8,'INPUT - Bookings'!$E609&lt;=Settings!$C$8+14,IFERROR(INDEX(Settings!$Q$14:$Q$24,MATCH('INPUT - Bookings'!$G609,Settings!$P$14:$P$24,0)),"Yes")="Yes"),'INPUT - Bookings'!$E609+ROW()/100000,"")</f>
        <v/>
      </c>
    </row>
    <row r="610">
      <c r="BB610" s="244">
        <f>IF('INPUT - Bookings'!$B610="",0,IF(AND(OR(Dashboard!$D$9="All",TRIM('INPUT - Bookings'!$C610)=Dashboard!$D$9),OR(Dashboard!$J$9="All",TRIM('INPUT - Bookings'!$D610)=Dashboard!$J$9)),1,0))</f>
        <v/>
      </c>
      <c r="BC610" s="244">
        <f>IF(AND(BB610=1,ISNUMBER('INPUT - Bookings'!$E610),'INPUT - Bookings'!$E610&gt;=Settings!$C$8,'INPUT - Bookings'!$E610&lt;=Settings!$C$8+14,IFERROR(INDEX(Settings!$Q$14:$Q$24,MATCH('INPUT - Bookings'!$G610,Settings!$P$14:$P$24,0)),"Yes")="Yes"),'INPUT - Bookings'!$E610+ROW()/100000,"")</f>
        <v/>
      </c>
    </row>
    <row r="611">
      <c r="BB611" s="244">
        <f>IF('INPUT - Bookings'!$B611="",0,IF(AND(OR(Dashboard!$D$9="All",TRIM('INPUT - Bookings'!$C611)=Dashboard!$D$9),OR(Dashboard!$J$9="All",TRIM('INPUT - Bookings'!$D611)=Dashboard!$J$9)),1,0))</f>
        <v/>
      </c>
      <c r="BC611" s="244">
        <f>IF(AND(BB611=1,ISNUMBER('INPUT - Bookings'!$E611),'INPUT - Bookings'!$E611&gt;=Settings!$C$8,'INPUT - Bookings'!$E611&lt;=Settings!$C$8+14,IFERROR(INDEX(Settings!$Q$14:$Q$24,MATCH('INPUT - Bookings'!$G611,Settings!$P$14:$P$24,0)),"Yes")="Yes"),'INPUT - Bookings'!$E611+ROW()/100000,"")</f>
        <v/>
      </c>
    </row>
    <row r="612">
      <c r="BB612" s="244">
        <f>IF('INPUT - Bookings'!$B612="",0,IF(AND(OR(Dashboard!$D$9="All",TRIM('INPUT - Bookings'!$C612)=Dashboard!$D$9),OR(Dashboard!$J$9="All",TRIM('INPUT - Bookings'!$D612)=Dashboard!$J$9)),1,0))</f>
        <v/>
      </c>
      <c r="BC612" s="244">
        <f>IF(AND(BB612=1,ISNUMBER('INPUT - Bookings'!$E612),'INPUT - Bookings'!$E612&gt;=Settings!$C$8,'INPUT - Bookings'!$E612&lt;=Settings!$C$8+14,IFERROR(INDEX(Settings!$Q$14:$Q$24,MATCH('INPUT - Bookings'!$G612,Settings!$P$14:$P$24,0)),"Yes")="Yes"),'INPUT - Bookings'!$E612+ROW()/100000,"")</f>
        <v/>
      </c>
    </row>
    <row r="613">
      <c r="BB613" s="244">
        <f>IF('INPUT - Bookings'!$B613="",0,IF(AND(OR(Dashboard!$D$9="All",TRIM('INPUT - Bookings'!$C613)=Dashboard!$D$9),OR(Dashboard!$J$9="All",TRIM('INPUT - Bookings'!$D613)=Dashboard!$J$9)),1,0))</f>
        <v/>
      </c>
      <c r="BC613" s="244">
        <f>IF(AND(BB613=1,ISNUMBER('INPUT - Bookings'!$E613),'INPUT - Bookings'!$E613&gt;=Settings!$C$8,'INPUT - Bookings'!$E613&lt;=Settings!$C$8+14,IFERROR(INDEX(Settings!$Q$14:$Q$24,MATCH('INPUT - Bookings'!$G613,Settings!$P$14:$P$24,0)),"Yes")="Yes"),'INPUT - Bookings'!$E613+ROW()/100000,"")</f>
        <v/>
      </c>
    </row>
    <row r="614">
      <c r="BB614" s="244">
        <f>IF('INPUT - Bookings'!$B614="",0,IF(AND(OR(Dashboard!$D$9="All",TRIM('INPUT - Bookings'!$C614)=Dashboard!$D$9),OR(Dashboard!$J$9="All",TRIM('INPUT - Bookings'!$D614)=Dashboard!$J$9)),1,0))</f>
        <v/>
      </c>
      <c r="BC614" s="244">
        <f>IF(AND(BB614=1,ISNUMBER('INPUT - Bookings'!$E614),'INPUT - Bookings'!$E614&gt;=Settings!$C$8,'INPUT - Bookings'!$E614&lt;=Settings!$C$8+14,IFERROR(INDEX(Settings!$Q$14:$Q$24,MATCH('INPUT - Bookings'!$G614,Settings!$P$14:$P$24,0)),"Yes")="Yes"),'INPUT - Bookings'!$E614+ROW()/100000,"")</f>
        <v/>
      </c>
    </row>
    <row r="615">
      <c r="BB615" s="244">
        <f>IF('INPUT - Bookings'!$B615="",0,IF(AND(OR(Dashboard!$D$9="All",TRIM('INPUT - Bookings'!$C615)=Dashboard!$D$9),OR(Dashboard!$J$9="All",TRIM('INPUT - Bookings'!$D615)=Dashboard!$J$9)),1,0))</f>
        <v/>
      </c>
      <c r="BC615" s="244">
        <f>IF(AND(BB615=1,ISNUMBER('INPUT - Bookings'!$E615),'INPUT - Bookings'!$E615&gt;=Settings!$C$8,'INPUT - Bookings'!$E615&lt;=Settings!$C$8+14,IFERROR(INDEX(Settings!$Q$14:$Q$24,MATCH('INPUT - Bookings'!$G615,Settings!$P$14:$P$24,0)),"Yes")="Yes"),'INPUT - Bookings'!$E615+ROW()/100000,"")</f>
        <v/>
      </c>
    </row>
    <row r="616">
      <c r="BB616" s="244">
        <f>IF('INPUT - Bookings'!$B616="",0,IF(AND(OR(Dashboard!$D$9="All",TRIM('INPUT - Bookings'!$C616)=Dashboard!$D$9),OR(Dashboard!$J$9="All",TRIM('INPUT - Bookings'!$D616)=Dashboard!$J$9)),1,0))</f>
        <v/>
      </c>
      <c r="BC616" s="244">
        <f>IF(AND(BB616=1,ISNUMBER('INPUT - Bookings'!$E616),'INPUT - Bookings'!$E616&gt;=Settings!$C$8,'INPUT - Bookings'!$E616&lt;=Settings!$C$8+14,IFERROR(INDEX(Settings!$Q$14:$Q$24,MATCH('INPUT - Bookings'!$G616,Settings!$P$14:$P$24,0)),"Yes")="Yes"),'INPUT - Bookings'!$E616+ROW()/100000,"")</f>
        <v/>
      </c>
    </row>
    <row r="617">
      <c r="BB617" s="244">
        <f>IF('INPUT - Bookings'!$B617="",0,IF(AND(OR(Dashboard!$D$9="All",TRIM('INPUT - Bookings'!$C617)=Dashboard!$D$9),OR(Dashboard!$J$9="All",TRIM('INPUT - Bookings'!$D617)=Dashboard!$J$9)),1,0))</f>
        <v/>
      </c>
      <c r="BC617" s="244">
        <f>IF(AND(BB617=1,ISNUMBER('INPUT - Bookings'!$E617),'INPUT - Bookings'!$E617&gt;=Settings!$C$8,'INPUT - Bookings'!$E617&lt;=Settings!$C$8+14,IFERROR(INDEX(Settings!$Q$14:$Q$24,MATCH('INPUT - Bookings'!$G617,Settings!$P$14:$P$24,0)),"Yes")="Yes"),'INPUT - Bookings'!$E617+ROW()/100000,"")</f>
        <v/>
      </c>
    </row>
    <row r="618">
      <c r="BB618" s="244">
        <f>IF('INPUT - Bookings'!$B618="",0,IF(AND(OR(Dashboard!$D$9="All",TRIM('INPUT - Bookings'!$C618)=Dashboard!$D$9),OR(Dashboard!$J$9="All",TRIM('INPUT - Bookings'!$D618)=Dashboard!$J$9)),1,0))</f>
        <v/>
      </c>
      <c r="BC618" s="244">
        <f>IF(AND(BB618=1,ISNUMBER('INPUT - Bookings'!$E618),'INPUT - Bookings'!$E618&gt;=Settings!$C$8,'INPUT - Bookings'!$E618&lt;=Settings!$C$8+14,IFERROR(INDEX(Settings!$Q$14:$Q$24,MATCH('INPUT - Bookings'!$G618,Settings!$P$14:$P$24,0)),"Yes")="Yes"),'INPUT - Bookings'!$E618+ROW()/100000,"")</f>
        <v/>
      </c>
    </row>
    <row r="619">
      <c r="BB619" s="244">
        <f>IF('INPUT - Bookings'!$B619="",0,IF(AND(OR(Dashboard!$D$9="All",TRIM('INPUT - Bookings'!$C619)=Dashboard!$D$9),OR(Dashboard!$J$9="All",TRIM('INPUT - Bookings'!$D619)=Dashboard!$J$9)),1,0))</f>
        <v/>
      </c>
      <c r="BC619" s="244">
        <f>IF(AND(BB619=1,ISNUMBER('INPUT - Bookings'!$E619),'INPUT - Bookings'!$E619&gt;=Settings!$C$8,'INPUT - Bookings'!$E619&lt;=Settings!$C$8+14,IFERROR(INDEX(Settings!$Q$14:$Q$24,MATCH('INPUT - Bookings'!$G619,Settings!$P$14:$P$24,0)),"Yes")="Yes"),'INPUT - Bookings'!$E619+ROW()/100000,"")</f>
        <v/>
      </c>
    </row>
    <row r="620">
      <c r="BB620" s="244">
        <f>IF('INPUT - Bookings'!$B620="",0,IF(AND(OR(Dashboard!$D$9="All",TRIM('INPUT - Bookings'!$C620)=Dashboard!$D$9),OR(Dashboard!$J$9="All",TRIM('INPUT - Bookings'!$D620)=Dashboard!$J$9)),1,0))</f>
        <v/>
      </c>
      <c r="BC620" s="244">
        <f>IF(AND(BB620=1,ISNUMBER('INPUT - Bookings'!$E620),'INPUT - Bookings'!$E620&gt;=Settings!$C$8,'INPUT - Bookings'!$E620&lt;=Settings!$C$8+14,IFERROR(INDEX(Settings!$Q$14:$Q$24,MATCH('INPUT - Bookings'!$G620,Settings!$P$14:$P$24,0)),"Yes")="Yes"),'INPUT - Bookings'!$E620+ROW()/100000,"")</f>
        <v/>
      </c>
    </row>
    <row r="621">
      <c r="BB621" s="244">
        <f>IF('INPUT - Bookings'!$B621="",0,IF(AND(OR(Dashboard!$D$9="All",TRIM('INPUT - Bookings'!$C621)=Dashboard!$D$9),OR(Dashboard!$J$9="All",TRIM('INPUT - Bookings'!$D621)=Dashboard!$J$9)),1,0))</f>
        <v/>
      </c>
      <c r="BC621" s="244">
        <f>IF(AND(BB621=1,ISNUMBER('INPUT - Bookings'!$E621),'INPUT - Bookings'!$E621&gt;=Settings!$C$8,'INPUT - Bookings'!$E621&lt;=Settings!$C$8+14,IFERROR(INDEX(Settings!$Q$14:$Q$24,MATCH('INPUT - Bookings'!$G621,Settings!$P$14:$P$24,0)),"Yes")="Yes"),'INPUT - Bookings'!$E621+ROW()/100000,"")</f>
        <v/>
      </c>
    </row>
    <row r="622">
      <c r="BB622" s="244">
        <f>IF('INPUT - Bookings'!$B622="",0,IF(AND(OR(Dashboard!$D$9="All",TRIM('INPUT - Bookings'!$C622)=Dashboard!$D$9),OR(Dashboard!$J$9="All",TRIM('INPUT - Bookings'!$D622)=Dashboard!$J$9)),1,0))</f>
        <v/>
      </c>
      <c r="BC622" s="244">
        <f>IF(AND(BB622=1,ISNUMBER('INPUT - Bookings'!$E622),'INPUT - Bookings'!$E622&gt;=Settings!$C$8,'INPUT - Bookings'!$E622&lt;=Settings!$C$8+14,IFERROR(INDEX(Settings!$Q$14:$Q$24,MATCH('INPUT - Bookings'!$G622,Settings!$P$14:$P$24,0)),"Yes")="Yes"),'INPUT - Bookings'!$E622+ROW()/100000,"")</f>
        <v/>
      </c>
    </row>
    <row r="623">
      <c r="BB623" s="244">
        <f>IF('INPUT - Bookings'!$B623="",0,IF(AND(OR(Dashboard!$D$9="All",TRIM('INPUT - Bookings'!$C623)=Dashboard!$D$9),OR(Dashboard!$J$9="All",TRIM('INPUT - Bookings'!$D623)=Dashboard!$J$9)),1,0))</f>
        <v/>
      </c>
      <c r="BC623" s="244">
        <f>IF(AND(BB623=1,ISNUMBER('INPUT - Bookings'!$E623),'INPUT - Bookings'!$E623&gt;=Settings!$C$8,'INPUT - Bookings'!$E623&lt;=Settings!$C$8+14,IFERROR(INDEX(Settings!$Q$14:$Q$24,MATCH('INPUT - Bookings'!$G623,Settings!$P$14:$P$24,0)),"Yes")="Yes"),'INPUT - Bookings'!$E623+ROW()/100000,"")</f>
        <v/>
      </c>
    </row>
    <row r="624">
      <c r="BB624" s="244">
        <f>IF('INPUT - Bookings'!$B624="",0,IF(AND(OR(Dashboard!$D$9="All",TRIM('INPUT - Bookings'!$C624)=Dashboard!$D$9),OR(Dashboard!$J$9="All",TRIM('INPUT - Bookings'!$D624)=Dashboard!$J$9)),1,0))</f>
        <v/>
      </c>
      <c r="BC624" s="244">
        <f>IF(AND(BB624=1,ISNUMBER('INPUT - Bookings'!$E624),'INPUT - Bookings'!$E624&gt;=Settings!$C$8,'INPUT - Bookings'!$E624&lt;=Settings!$C$8+14,IFERROR(INDEX(Settings!$Q$14:$Q$24,MATCH('INPUT - Bookings'!$G624,Settings!$P$14:$P$24,0)),"Yes")="Yes"),'INPUT - Bookings'!$E624+ROW()/100000,"")</f>
        <v/>
      </c>
    </row>
    <row r="625">
      <c r="BB625" s="244">
        <f>IF('INPUT - Bookings'!$B625="",0,IF(AND(OR(Dashboard!$D$9="All",TRIM('INPUT - Bookings'!$C625)=Dashboard!$D$9),OR(Dashboard!$J$9="All",TRIM('INPUT - Bookings'!$D625)=Dashboard!$J$9)),1,0))</f>
        <v/>
      </c>
      <c r="BC625" s="244">
        <f>IF(AND(BB625=1,ISNUMBER('INPUT - Bookings'!$E625),'INPUT - Bookings'!$E625&gt;=Settings!$C$8,'INPUT - Bookings'!$E625&lt;=Settings!$C$8+14,IFERROR(INDEX(Settings!$Q$14:$Q$24,MATCH('INPUT - Bookings'!$G625,Settings!$P$14:$P$24,0)),"Yes")="Yes"),'INPUT - Bookings'!$E625+ROW()/100000,"")</f>
        <v/>
      </c>
    </row>
    <row r="626">
      <c r="BB626" s="244">
        <f>IF('INPUT - Bookings'!$B626="",0,IF(AND(OR(Dashboard!$D$9="All",TRIM('INPUT - Bookings'!$C626)=Dashboard!$D$9),OR(Dashboard!$J$9="All",TRIM('INPUT - Bookings'!$D626)=Dashboard!$J$9)),1,0))</f>
        <v/>
      </c>
      <c r="BC626" s="244">
        <f>IF(AND(BB626=1,ISNUMBER('INPUT - Bookings'!$E626),'INPUT - Bookings'!$E626&gt;=Settings!$C$8,'INPUT - Bookings'!$E626&lt;=Settings!$C$8+14,IFERROR(INDEX(Settings!$Q$14:$Q$24,MATCH('INPUT - Bookings'!$G626,Settings!$P$14:$P$24,0)),"Yes")="Yes"),'INPUT - Bookings'!$E626+ROW()/100000,"")</f>
        <v/>
      </c>
    </row>
    <row r="627">
      <c r="BB627" s="244">
        <f>IF('INPUT - Bookings'!$B627="",0,IF(AND(OR(Dashboard!$D$9="All",TRIM('INPUT - Bookings'!$C627)=Dashboard!$D$9),OR(Dashboard!$J$9="All",TRIM('INPUT - Bookings'!$D627)=Dashboard!$J$9)),1,0))</f>
        <v/>
      </c>
      <c r="BC627" s="244">
        <f>IF(AND(BB627=1,ISNUMBER('INPUT - Bookings'!$E627),'INPUT - Bookings'!$E627&gt;=Settings!$C$8,'INPUT - Bookings'!$E627&lt;=Settings!$C$8+14,IFERROR(INDEX(Settings!$Q$14:$Q$24,MATCH('INPUT - Bookings'!$G627,Settings!$P$14:$P$24,0)),"Yes")="Yes"),'INPUT - Bookings'!$E627+ROW()/100000,"")</f>
        <v/>
      </c>
    </row>
    <row r="628">
      <c r="BB628" s="244">
        <f>IF('INPUT - Bookings'!$B628="",0,IF(AND(OR(Dashboard!$D$9="All",TRIM('INPUT - Bookings'!$C628)=Dashboard!$D$9),OR(Dashboard!$J$9="All",TRIM('INPUT - Bookings'!$D628)=Dashboard!$J$9)),1,0))</f>
        <v/>
      </c>
      <c r="BC628" s="244">
        <f>IF(AND(BB628=1,ISNUMBER('INPUT - Bookings'!$E628),'INPUT - Bookings'!$E628&gt;=Settings!$C$8,'INPUT - Bookings'!$E628&lt;=Settings!$C$8+14,IFERROR(INDEX(Settings!$Q$14:$Q$24,MATCH('INPUT - Bookings'!$G628,Settings!$P$14:$P$24,0)),"Yes")="Yes"),'INPUT - Bookings'!$E628+ROW()/100000,"")</f>
        <v/>
      </c>
    </row>
    <row r="629">
      <c r="BB629" s="244">
        <f>IF('INPUT - Bookings'!$B629="",0,IF(AND(OR(Dashboard!$D$9="All",TRIM('INPUT - Bookings'!$C629)=Dashboard!$D$9),OR(Dashboard!$J$9="All",TRIM('INPUT - Bookings'!$D629)=Dashboard!$J$9)),1,0))</f>
        <v/>
      </c>
      <c r="BC629" s="244">
        <f>IF(AND(BB629=1,ISNUMBER('INPUT - Bookings'!$E629),'INPUT - Bookings'!$E629&gt;=Settings!$C$8,'INPUT - Bookings'!$E629&lt;=Settings!$C$8+14,IFERROR(INDEX(Settings!$Q$14:$Q$24,MATCH('INPUT - Bookings'!$G629,Settings!$P$14:$P$24,0)),"Yes")="Yes"),'INPUT - Bookings'!$E629+ROW()/100000,"")</f>
        <v/>
      </c>
    </row>
    <row r="630">
      <c r="BB630" s="244">
        <f>IF('INPUT - Bookings'!$B630="",0,IF(AND(OR(Dashboard!$D$9="All",TRIM('INPUT - Bookings'!$C630)=Dashboard!$D$9),OR(Dashboard!$J$9="All",TRIM('INPUT - Bookings'!$D630)=Dashboard!$J$9)),1,0))</f>
        <v/>
      </c>
      <c r="BC630" s="244">
        <f>IF(AND(BB630=1,ISNUMBER('INPUT - Bookings'!$E630),'INPUT - Bookings'!$E630&gt;=Settings!$C$8,'INPUT - Bookings'!$E630&lt;=Settings!$C$8+14,IFERROR(INDEX(Settings!$Q$14:$Q$24,MATCH('INPUT - Bookings'!$G630,Settings!$P$14:$P$24,0)),"Yes")="Yes"),'INPUT - Bookings'!$E630+ROW()/100000,"")</f>
        <v/>
      </c>
    </row>
    <row r="631">
      <c r="BB631" s="244">
        <f>IF('INPUT - Bookings'!$B631="",0,IF(AND(OR(Dashboard!$D$9="All",TRIM('INPUT - Bookings'!$C631)=Dashboard!$D$9),OR(Dashboard!$J$9="All",TRIM('INPUT - Bookings'!$D631)=Dashboard!$J$9)),1,0))</f>
        <v/>
      </c>
      <c r="BC631" s="244">
        <f>IF(AND(BB631=1,ISNUMBER('INPUT - Bookings'!$E631),'INPUT - Bookings'!$E631&gt;=Settings!$C$8,'INPUT - Bookings'!$E631&lt;=Settings!$C$8+14,IFERROR(INDEX(Settings!$Q$14:$Q$24,MATCH('INPUT - Bookings'!$G631,Settings!$P$14:$P$24,0)),"Yes")="Yes"),'INPUT - Bookings'!$E631+ROW()/100000,"")</f>
        <v/>
      </c>
    </row>
    <row r="632">
      <c r="BB632" s="244">
        <f>IF('INPUT - Bookings'!$B632="",0,IF(AND(OR(Dashboard!$D$9="All",TRIM('INPUT - Bookings'!$C632)=Dashboard!$D$9),OR(Dashboard!$J$9="All",TRIM('INPUT - Bookings'!$D632)=Dashboard!$J$9)),1,0))</f>
        <v/>
      </c>
      <c r="BC632" s="244">
        <f>IF(AND(BB632=1,ISNUMBER('INPUT - Bookings'!$E632),'INPUT - Bookings'!$E632&gt;=Settings!$C$8,'INPUT - Bookings'!$E632&lt;=Settings!$C$8+14,IFERROR(INDEX(Settings!$Q$14:$Q$24,MATCH('INPUT - Bookings'!$G632,Settings!$P$14:$P$24,0)),"Yes")="Yes"),'INPUT - Bookings'!$E632+ROW()/100000,"")</f>
        <v/>
      </c>
    </row>
    <row r="633">
      <c r="BB633" s="244">
        <f>IF('INPUT - Bookings'!$B633="",0,IF(AND(OR(Dashboard!$D$9="All",TRIM('INPUT - Bookings'!$C633)=Dashboard!$D$9),OR(Dashboard!$J$9="All",TRIM('INPUT - Bookings'!$D633)=Dashboard!$J$9)),1,0))</f>
        <v/>
      </c>
      <c r="BC633" s="244">
        <f>IF(AND(BB633=1,ISNUMBER('INPUT - Bookings'!$E633),'INPUT - Bookings'!$E633&gt;=Settings!$C$8,'INPUT - Bookings'!$E633&lt;=Settings!$C$8+14,IFERROR(INDEX(Settings!$Q$14:$Q$24,MATCH('INPUT - Bookings'!$G633,Settings!$P$14:$P$24,0)),"Yes")="Yes"),'INPUT - Bookings'!$E633+ROW()/100000,"")</f>
        <v/>
      </c>
    </row>
    <row r="634">
      <c r="BB634" s="244">
        <f>IF('INPUT - Bookings'!$B634="",0,IF(AND(OR(Dashboard!$D$9="All",TRIM('INPUT - Bookings'!$C634)=Dashboard!$D$9),OR(Dashboard!$J$9="All",TRIM('INPUT - Bookings'!$D634)=Dashboard!$J$9)),1,0))</f>
        <v/>
      </c>
      <c r="BC634" s="244">
        <f>IF(AND(BB634=1,ISNUMBER('INPUT - Bookings'!$E634),'INPUT - Bookings'!$E634&gt;=Settings!$C$8,'INPUT - Bookings'!$E634&lt;=Settings!$C$8+14,IFERROR(INDEX(Settings!$Q$14:$Q$24,MATCH('INPUT - Bookings'!$G634,Settings!$P$14:$P$24,0)),"Yes")="Yes"),'INPUT - Bookings'!$E634+ROW()/100000,"")</f>
        <v/>
      </c>
    </row>
    <row r="635">
      <c r="BB635" s="244">
        <f>IF('INPUT - Bookings'!$B635="",0,IF(AND(OR(Dashboard!$D$9="All",TRIM('INPUT - Bookings'!$C635)=Dashboard!$D$9),OR(Dashboard!$J$9="All",TRIM('INPUT - Bookings'!$D635)=Dashboard!$J$9)),1,0))</f>
        <v/>
      </c>
      <c r="BC635" s="244">
        <f>IF(AND(BB635=1,ISNUMBER('INPUT - Bookings'!$E635),'INPUT - Bookings'!$E635&gt;=Settings!$C$8,'INPUT - Bookings'!$E635&lt;=Settings!$C$8+14,IFERROR(INDEX(Settings!$Q$14:$Q$24,MATCH('INPUT - Bookings'!$G635,Settings!$P$14:$P$24,0)),"Yes")="Yes"),'INPUT - Bookings'!$E635+ROW()/100000,"")</f>
        <v/>
      </c>
    </row>
    <row r="636">
      <c r="BB636" s="244">
        <f>IF('INPUT - Bookings'!$B636="",0,IF(AND(OR(Dashboard!$D$9="All",TRIM('INPUT - Bookings'!$C636)=Dashboard!$D$9),OR(Dashboard!$J$9="All",TRIM('INPUT - Bookings'!$D636)=Dashboard!$J$9)),1,0))</f>
        <v/>
      </c>
      <c r="BC636" s="244">
        <f>IF(AND(BB636=1,ISNUMBER('INPUT - Bookings'!$E636),'INPUT - Bookings'!$E636&gt;=Settings!$C$8,'INPUT - Bookings'!$E636&lt;=Settings!$C$8+14,IFERROR(INDEX(Settings!$Q$14:$Q$24,MATCH('INPUT - Bookings'!$G636,Settings!$P$14:$P$24,0)),"Yes")="Yes"),'INPUT - Bookings'!$E636+ROW()/100000,"")</f>
        <v/>
      </c>
    </row>
    <row r="637">
      <c r="BB637" s="244">
        <f>IF('INPUT - Bookings'!$B637="",0,IF(AND(OR(Dashboard!$D$9="All",TRIM('INPUT - Bookings'!$C637)=Dashboard!$D$9),OR(Dashboard!$J$9="All",TRIM('INPUT - Bookings'!$D637)=Dashboard!$J$9)),1,0))</f>
        <v/>
      </c>
      <c r="BC637" s="244">
        <f>IF(AND(BB637=1,ISNUMBER('INPUT - Bookings'!$E637),'INPUT - Bookings'!$E637&gt;=Settings!$C$8,'INPUT - Bookings'!$E637&lt;=Settings!$C$8+14,IFERROR(INDEX(Settings!$Q$14:$Q$24,MATCH('INPUT - Bookings'!$G637,Settings!$P$14:$P$24,0)),"Yes")="Yes"),'INPUT - Bookings'!$E637+ROW()/100000,"")</f>
        <v/>
      </c>
    </row>
    <row r="638">
      <c r="BB638" s="244">
        <f>IF('INPUT - Bookings'!$B638="",0,IF(AND(OR(Dashboard!$D$9="All",TRIM('INPUT - Bookings'!$C638)=Dashboard!$D$9),OR(Dashboard!$J$9="All",TRIM('INPUT - Bookings'!$D638)=Dashboard!$J$9)),1,0))</f>
        <v/>
      </c>
      <c r="BC638" s="244">
        <f>IF(AND(BB638=1,ISNUMBER('INPUT - Bookings'!$E638),'INPUT - Bookings'!$E638&gt;=Settings!$C$8,'INPUT - Bookings'!$E638&lt;=Settings!$C$8+14,IFERROR(INDEX(Settings!$Q$14:$Q$24,MATCH('INPUT - Bookings'!$G638,Settings!$P$14:$P$24,0)),"Yes")="Yes"),'INPUT - Bookings'!$E638+ROW()/100000,"")</f>
        <v/>
      </c>
    </row>
    <row r="639">
      <c r="BB639" s="244">
        <f>IF('INPUT - Bookings'!$B639="",0,IF(AND(OR(Dashboard!$D$9="All",TRIM('INPUT - Bookings'!$C639)=Dashboard!$D$9),OR(Dashboard!$J$9="All",TRIM('INPUT - Bookings'!$D639)=Dashboard!$J$9)),1,0))</f>
        <v/>
      </c>
      <c r="BC639" s="244">
        <f>IF(AND(BB639=1,ISNUMBER('INPUT - Bookings'!$E639),'INPUT - Bookings'!$E639&gt;=Settings!$C$8,'INPUT - Bookings'!$E639&lt;=Settings!$C$8+14,IFERROR(INDEX(Settings!$Q$14:$Q$24,MATCH('INPUT - Bookings'!$G639,Settings!$P$14:$P$24,0)),"Yes")="Yes"),'INPUT - Bookings'!$E639+ROW()/100000,"")</f>
        <v/>
      </c>
    </row>
    <row r="640">
      <c r="BB640" s="244">
        <f>IF('INPUT - Bookings'!$B640="",0,IF(AND(OR(Dashboard!$D$9="All",TRIM('INPUT - Bookings'!$C640)=Dashboard!$D$9),OR(Dashboard!$J$9="All",TRIM('INPUT - Bookings'!$D640)=Dashboard!$J$9)),1,0))</f>
        <v/>
      </c>
      <c r="BC640" s="244">
        <f>IF(AND(BB640=1,ISNUMBER('INPUT - Bookings'!$E640),'INPUT - Bookings'!$E640&gt;=Settings!$C$8,'INPUT - Bookings'!$E640&lt;=Settings!$C$8+14,IFERROR(INDEX(Settings!$Q$14:$Q$24,MATCH('INPUT - Bookings'!$G640,Settings!$P$14:$P$24,0)),"Yes")="Yes"),'INPUT - Bookings'!$E640+ROW()/100000,"")</f>
        <v/>
      </c>
    </row>
    <row r="641">
      <c r="BB641" s="244">
        <f>IF('INPUT - Bookings'!$B641="",0,IF(AND(OR(Dashboard!$D$9="All",TRIM('INPUT - Bookings'!$C641)=Dashboard!$D$9),OR(Dashboard!$J$9="All",TRIM('INPUT - Bookings'!$D641)=Dashboard!$J$9)),1,0))</f>
        <v/>
      </c>
      <c r="BC641" s="244">
        <f>IF(AND(BB641=1,ISNUMBER('INPUT - Bookings'!$E641),'INPUT - Bookings'!$E641&gt;=Settings!$C$8,'INPUT - Bookings'!$E641&lt;=Settings!$C$8+14,IFERROR(INDEX(Settings!$Q$14:$Q$24,MATCH('INPUT - Bookings'!$G641,Settings!$P$14:$P$24,0)),"Yes")="Yes"),'INPUT - Bookings'!$E641+ROW()/100000,"")</f>
        <v/>
      </c>
    </row>
    <row r="642">
      <c r="BB642" s="244">
        <f>IF('INPUT - Bookings'!$B642="",0,IF(AND(OR(Dashboard!$D$9="All",TRIM('INPUT - Bookings'!$C642)=Dashboard!$D$9),OR(Dashboard!$J$9="All",TRIM('INPUT - Bookings'!$D642)=Dashboard!$J$9)),1,0))</f>
        <v/>
      </c>
      <c r="BC642" s="244">
        <f>IF(AND(BB642=1,ISNUMBER('INPUT - Bookings'!$E642),'INPUT - Bookings'!$E642&gt;=Settings!$C$8,'INPUT - Bookings'!$E642&lt;=Settings!$C$8+14,IFERROR(INDEX(Settings!$Q$14:$Q$24,MATCH('INPUT - Bookings'!$G642,Settings!$P$14:$P$24,0)),"Yes")="Yes"),'INPUT - Bookings'!$E642+ROW()/100000,"")</f>
        <v/>
      </c>
    </row>
    <row r="643">
      <c r="BB643" s="244">
        <f>IF('INPUT - Bookings'!$B643="",0,IF(AND(OR(Dashboard!$D$9="All",TRIM('INPUT - Bookings'!$C643)=Dashboard!$D$9),OR(Dashboard!$J$9="All",TRIM('INPUT - Bookings'!$D643)=Dashboard!$J$9)),1,0))</f>
        <v/>
      </c>
      <c r="BC643" s="244">
        <f>IF(AND(BB643=1,ISNUMBER('INPUT - Bookings'!$E643),'INPUT - Bookings'!$E643&gt;=Settings!$C$8,'INPUT - Bookings'!$E643&lt;=Settings!$C$8+14,IFERROR(INDEX(Settings!$Q$14:$Q$24,MATCH('INPUT - Bookings'!$G643,Settings!$P$14:$P$24,0)),"Yes")="Yes"),'INPUT - Bookings'!$E643+ROW()/100000,"")</f>
        <v/>
      </c>
    </row>
    <row r="644">
      <c r="BB644" s="244">
        <f>IF('INPUT - Bookings'!$B644="",0,IF(AND(OR(Dashboard!$D$9="All",TRIM('INPUT - Bookings'!$C644)=Dashboard!$D$9),OR(Dashboard!$J$9="All",TRIM('INPUT - Bookings'!$D644)=Dashboard!$J$9)),1,0))</f>
        <v/>
      </c>
      <c r="BC644" s="244">
        <f>IF(AND(BB644=1,ISNUMBER('INPUT - Bookings'!$E644),'INPUT - Bookings'!$E644&gt;=Settings!$C$8,'INPUT - Bookings'!$E644&lt;=Settings!$C$8+14,IFERROR(INDEX(Settings!$Q$14:$Q$24,MATCH('INPUT - Bookings'!$G644,Settings!$P$14:$P$24,0)),"Yes")="Yes"),'INPUT - Bookings'!$E644+ROW()/100000,"")</f>
        <v/>
      </c>
    </row>
    <row r="645">
      <c r="BB645" s="244">
        <f>IF('INPUT - Bookings'!$B645="",0,IF(AND(OR(Dashboard!$D$9="All",TRIM('INPUT - Bookings'!$C645)=Dashboard!$D$9),OR(Dashboard!$J$9="All",TRIM('INPUT - Bookings'!$D645)=Dashboard!$J$9)),1,0))</f>
        <v/>
      </c>
      <c r="BC645" s="244">
        <f>IF(AND(BB645=1,ISNUMBER('INPUT - Bookings'!$E645),'INPUT - Bookings'!$E645&gt;=Settings!$C$8,'INPUT - Bookings'!$E645&lt;=Settings!$C$8+14,IFERROR(INDEX(Settings!$Q$14:$Q$24,MATCH('INPUT - Bookings'!$G645,Settings!$P$14:$P$24,0)),"Yes")="Yes"),'INPUT - Bookings'!$E645+ROW()/100000,"")</f>
        <v/>
      </c>
    </row>
    <row r="646">
      <c r="BB646" s="244">
        <f>IF('INPUT - Bookings'!$B646="",0,IF(AND(OR(Dashboard!$D$9="All",TRIM('INPUT - Bookings'!$C646)=Dashboard!$D$9),OR(Dashboard!$J$9="All",TRIM('INPUT - Bookings'!$D646)=Dashboard!$J$9)),1,0))</f>
        <v/>
      </c>
      <c r="BC646" s="244">
        <f>IF(AND(BB646=1,ISNUMBER('INPUT - Bookings'!$E646),'INPUT - Bookings'!$E646&gt;=Settings!$C$8,'INPUT - Bookings'!$E646&lt;=Settings!$C$8+14,IFERROR(INDEX(Settings!$Q$14:$Q$24,MATCH('INPUT - Bookings'!$G646,Settings!$P$14:$P$24,0)),"Yes")="Yes"),'INPUT - Bookings'!$E646+ROW()/100000,"")</f>
        <v/>
      </c>
    </row>
    <row r="647">
      <c r="BB647" s="244">
        <f>IF('INPUT - Bookings'!$B647="",0,IF(AND(OR(Dashboard!$D$9="All",TRIM('INPUT - Bookings'!$C647)=Dashboard!$D$9),OR(Dashboard!$J$9="All",TRIM('INPUT - Bookings'!$D647)=Dashboard!$J$9)),1,0))</f>
        <v/>
      </c>
      <c r="BC647" s="244">
        <f>IF(AND(BB647=1,ISNUMBER('INPUT - Bookings'!$E647),'INPUT - Bookings'!$E647&gt;=Settings!$C$8,'INPUT - Bookings'!$E647&lt;=Settings!$C$8+14,IFERROR(INDEX(Settings!$Q$14:$Q$24,MATCH('INPUT - Bookings'!$G647,Settings!$P$14:$P$24,0)),"Yes")="Yes"),'INPUT - Bookings'!$E647+ROW()/100000,"")</f>
        <v/>
      </c>
    </row>
    <row r="648">
      <c r="BB648" s="244">
        <f>IF('INPUT - Bookings'!$B648="",0,IF(AND(OR(Dashboard!$D$9="All",TRIM('INPUT - Bookings'!$C648)=Dashboard!$D$9),OR(Dashboard!$J$9="All",TRIM('INPUT - Bookings'!$D648)=Dashboard!$J$9)),1,0))</f>
        <v/>
      </c>
      <c r="BC648" s="244">
        <f>IF(AND(BB648=1,ISNUMBER('INPUT - Bookings'!$E648),'INPUT - Bookings'!$E648&gt;=Settings!$C$8,'INPUT - Bookings'!$E648&lt;=Settings!$C$8+14,IFERROR(INDEX(Settings!$Q$14:$Q$24,MATCH('INPUT - Bookings'!$G648,Settings!$P$14:$P$24,0)),"Yes")="Yes"),'INPUT - Bookings'!$E648+ROW()/100000,"")</f>
        <v/>
      </c>
    </row>
    <row r="649">
      <c r="BB649" s="244">
        <f>IF('INPUT - Bookings'!$B649="",0,IF(AND(OR(Dashboard!$D$9="All",TRIM('INPUT - Bookings'!$C649)=Dashboard!$D$9),OR(Dashboard!$J$9="All",TRIM('INPUT - Bookings'!$D649)=Dashboard!$J$9)),1,0))</f>
        <v/>
      </c>
      <c r="BC649" s="244">
        <f>IF(AND(BB649=1,ISNUMBER('INPUT - Bookings'!$E649),'INPUT - Bookings'!$E649&gt;=Settings!$C$8,'INPUT - Bookings'!$E649&lt;=Settings!$C$8+14,IFERROR(INDEX(Settings!$Q$14:$Q$24,MATCH('INPUT - Bookings'!$G649,Settings!$P$14:$P$24,0)),"Yes")="Yes"),'INPUT - Bookings'!$E649+ROW()/100000,"")</f>
        <v/>
      </c>
    </row>
    <row r="650">
      <c r="BB650" s="244">
        <f>IF('INPUT - Bookings'!$B650="",0,IF(AND(OR(Dashboard!$D$9="All",TRIM('INPUT - Bookings'!$C650)=Dashboard!$D$9),OR(Dashboard!$J$9="All",TRIM('INPUT - Bookings'!$D650)=Dashboard!$J$9)),1,0))</f>
        <v/>
      </c>
      <c r="BC650" s="244">
        <f>IF(AND(BB650=1,ISNUMBER('INPUT - Bookings'!$E650),'INPUT - Bookings'!$E650&gt;=Settings!$C$8,'INPUT - Bookings'!$E650&lt;=Settings!$C$8+14,IFERROR(INDEX(Settings!$Q$14:$Q$24,MATCH('INPUT - Bookings'!$G650,Settings!$P$14:$P$24,0)),"Yes")="Yes"),'INPUT - Bookings'!$E650+ROW()/100000,"")</f>
        <v/>
      </c>
    </row>
    <row r="651">
      <c r="BB651" s="244">
        <f>IF('INPUT - Bookings'!$B651="",0,IF(AND(OR(Dashboard!$D$9="All",TRIM('INPUT - Bookings'!$C651)=Dashboard!$D$9),OR(Dashboard!$J$9="All",TRIM('INPUT - Bookings'!$D651)=Dashboard!$J$9)),1,0))</f>
        <v/>
      </c>
      <c r="BC651" s="244">
        <f>IF(AND(BB651=1,ISNUMBER('INPUT - Bookings'!$E651),'INPUT - Bookings'!$E651&gt;=Settings!$C$8,'INPUT - Bookings'!$E651&lt;=Settings!$C$8+14,IFERROR(INDEX(Settings!$Q$14:$Q$24,MATCH('INPUT - Bookings'!$G651,Settings!$P$14:$P$24,0)),"Yes")="Yes"),'INPUT - Bookings'!$E651+ROW()/100000,"")</f>
        <v/>
      </c>
    </row>
    <row r="652">
      <c r="BB652" s="244">
        <f>IF('INPUT - Bookings'!$B652="",0,IF(AND(OR(Dashboard!$D$9="All",TRIM('INPUT - Bookings'!$C652)=Dashboard!$D$9),OR(Dashboard!$J$9="All",TRIM('INPUT - Bookings'!$D652)=Dashboard!$J$9)),1,0))</f>
        <v/>
      </c>
      <c r="BC652" s="244">
        <f>IF(AND(BB652=1,ISNUMBER('INPUT - Bookings'!$E652),'INPUT - Bookings'!$E652&gt;=Settings!$C$8,'INPUT - Bookings'!$E652&lt;=Settings!$C$8+14,IFERROR(INDEX(Settings!$Q$14:$Q$24,MATCH('INPUT - Bookings'!$G652,Settings!$P$14:$P$24,0)),"Yes")="Yes"),'INPUT - Bookings'!$E652+ROW()/100000,"")</f>
        <v/>
      </c>
    </row>
    <row r="653">
      <c r="BB653" s="244">
        <f>IF('INPUT - Bookings'!$B653="",0,IF(AND(OR(Dashboard!$D$9="All",TRIM('INPUT - Bookings'!$C653)=Dashboard!$D$9),OR(Dashboard!$J$9="All",TRIM('INPUT - Bookings'!$D653)=Dashboard!$J$9)),1,0))</f>
        <v/>
      </c>
      <c r="BC653" s="244">
        <f>IF(AND(BB653=1,ISNUMBER('INPUT - Bookings'!$E653),'INPUT - Bookings'!$E653&gt;=Settings!$C$8,'INPUT - Bookings'!$E653&lt;=Settings!$C$8+14,IFERROR(INDEX(Settings!$Q$14:$Q$24,MATCH('INPUT - Bookings'!$G653,Settings!$P$14:$P$24,0)),"Yes")="Yes"),'INPUT - Bookings'!$E653+ROW()/100000,"")</f>
        <v/>
      </c>
    </row>
    <row r="654">
      <c r="BB654" s="244">
        <f>IF('INPUT - Bookings'!$B654="",0,IF(AND(OR(Dashboard!$D$9="All",TRIM('INPUT - Bookings'!$C654)=Dashboard!$D$9),OR(Dashboard!$J$9="All",TRIM('INPUT - Bookings'!$D654)=Dashboard!$J$9)),1,0))</f>
        <v/>
      </c>
      <c r="BC654" s="244">
        <f>IF(AND(BB654=1,ISNUMBER('INPUT - Bookings'!$E654),'INPUT - Bookings'!$E654&gt;=Settings!$C$8,'INPUT - Bookings'!$E654&lt;=Settings!$C$8+14,IFERROR(INDEX(Settings!$Q$14:$Q$24,MATCH('INPUT - Bookings'!$G654,Settings!$P$14:$P$24,0)),"Yes")="Yes"),'INPUT - Bookings'!$E654+ROW()/100000,"")</f>
        <v/>
      </c>
    </row>
    <row r="655">
      <c r="BB655" s="244">
        <f>IF('INPUT - Bookings'!$B655="",0,IF(AND(OR(Dashboard!$D$9="All",TRIM('INPUT - Bookings'!$C655)=Dashboard!$D$9),OR(Dashboard!$J$9="All",TRIM('INPUT - Bookings'!$D655)=Dashboard!$J$9)),1,0))</f>
        <v/>
      </c>
      <c r="BC655" s="244">
        <f>IF(AND(BB655=1,ISNUMBER('INPUT - Bookings'!$E655),'INPUT - Bookings'!$E655&gt;=Settings!$C$8,'INPUT - Bookings'!$E655&lt;=Settings!$C$8+14,IFERROR(INDEX(Settings!$Q$14:$Q$24,MATCH('INPUT - Bookings'!$G655,Settings!$P$14:$P$24,0)),"Yes")="Yes"),'INPUT - Bookings'!$E655+ROW()/100000,"")</f>
        <v/>
      </c>
    </row>
    <row r="656">
      <c r="BB656" s="244">
        <f>IF('INPUT - Bookings'!$B656="",0,IF(AND(OR(Dashboard!$D$9="All",TRIM('INPUT - Bookings'!$C656)=Dashboard!$D$9),OR(Dashboard!$J$9="All",TRIM('INPUT - Bookings'!$D656)=Dashboard!$J$9)),1,0))</f>
        <v/>
      </c>
      <c r="BC656" s="244">
        <f>IF(AND(BB656=1,ISNUMBER('INPUT - Bookings'!$E656),'INPUT - Bookings'!$E656&gt;=Settings!$C$8,'INPUT - Bookings'!$E656&lt;=Settings!$C$8+14,IFERROR(INDEX(Settings!$Q$14:$Q$24,MATCH('INPUT - Bookings'!$G656,Settings!$P$14:$P$24,0)),"Yes")="Yes"),'INPUT - Bookings'!$E656+ROW()/100000,"")</f>
        <v/>
      </c>
    </row>
    <row r="657">
      <c r="BB657" s="244">
        <f>IF('INPUT - Bookings'!$B657="",0,IF(AND(OR(Dashboard!$D$9="All",TRIM('INPUT - Bookings'!$C657)=Dashboard!$D$9),OR(Dashboard!$J$9="All",TRIM('INPUT - Bookings'!$D657)=Dashboard!$J$9)),1,0))</f>
        <v/>
      </c>
      <c r="BC657" s="244">
        <f>IF(AND(BB657=1,ISNUMBER('INPUT - Bookings'!$E657),'INPUT - Bookings'!$E657&gt;=Settings!$C$8,'INPUT - Bookings'!$E657&lt;=Settings!$C$8+14,IFERROR(INDEX(Settings!$Q$14:$Q$24,MATCH('INPUT - Bookings'!$G657,Settings!$P$14:$P$24,0)),"Yes")="Yes"),'INPUT - Bookings'!$E657+ROW()/100000,"")</f>
        <v/>
      </c>
    </row>
    <row r="658">
      <c r="BB658" s="244">
        <f>IF('INPUT - Bookings'!$B658="",0,IF(AND(OR(Dashboard!$D$9="All",TRIM('INPUT - Bookings'!$C658)=Dashboard!$D$9),OR(Dashboard!$J$9="All",TRIM('INPUT - Bookings'!$D658)=Dashboard!$J$9)),1,0))</f>
        <v/>
      </c>
      <c r="BC658" s="244">
        <f>IF(AND(BB658=1,ISNUMBER('INPUT - Bookings'!$E658),'INPUT - Bookings'!$E658&gt;=Settings!$C$8,'INPUT - Bookings'!$E658&lt;=Settings!$C$8+14,IFERROR(INDEX(Settings!$Q$14:$Q$24,MATCH('INPUT - Bookings'!$G658,Settings!$P$14:$P$24,0)),"Yes")="Yes"),'INPUT - Bookings'!$E658+ROW()/100000,"")</f>
        <v/>
      </c>
    </row>
    <row r="659">
      <c r="BB659" s="244">
        <f>IF('INPUT - Bookings'!$B659="",0,IF(AND(OR(Dashboard!$D$9="All",TRIM('INPUT - Bookings'!$C659)=Dashboard!$D$9),OR(Dashboard!$J$9="All",TRIM('INPUT - Bookings'!$D659)=Dashboard!$J$9)),1,0))</f>
        <v/>
      </c>
      <c r="BC659" s="244">
        <f>IF(AND(BB659=1,ISNUMBER('INPUT - Bookings'!$E659),'INPUT - Bookings'!$E659&gt;=Settings!$C$8,'INPUT - Bookings'!$E659&lt;=Settings!$C$8+14,IFERROR(INDEX(Settings!$Q$14:$Q$24,MATCH('INPUT - Bookings'!$G659,Settings!$P$14:$P$24,0)),"Yes")="Yes"),'INPUT - Bookings'!$E659+ROW()/100000,"")</f>
        <v/>
      </c>
    </row>
    <row r="660">
      <c r="BB660" s="244">
        <f>IF('INPUT - Bookings'!$B660="",0,IF(AND(OR(Dashboard!$D$9="All",TRIM('INPUT - Bookings'!$C660)=Dashboard!$D$9),OR(Dashboard!$J$9="All",TRIM('INPUT - Bookings'!$D660)=Dashboard!$J$9)),1,0))</f>
        <v/>
      </c>
      <c r="BC660" s="244">
        <f>IF(AND(BB660=1,ISNUMBER('INPUT - Bookings'!$E660),'INPUT - Bookings'!$E660&gt;=Settings!$C$8,'INPUT - Bookings'!$E660&lt;=Settings!$C$8+14,IFERROR(INDEX(Settings!$Q$14:$Q$24,MATCH('INPUT - Bookings'!$G660,Settings!$P$14:$P$24,0)),"Yes")="Yes"),'INPUT - Bookings'!$E660+ROW()/100000,"")</f>
        <v/>
      </c>
    </row>
    <row r="661">
      <c r="BB661" s="244">
        <f>IF('INPUT - Bookings'!$B661="",0,IF(AND(OR(Dashboard!$D$9="All",TRIM('INPUT - Bookings'!$C661)=Dashboard!$D$9),OR(Dashboard!$J$9="All",TRIM('INPUT - Bookings'!$D661)=Dashboard!$J$9)),1,0))</f>
        <v/>
      </c>
      <c r="BC661" s="244">
        <f>IF(AND(BB661=1,ISNUMBER('INPUT - Bookings'!$E661),'INPUT - Bookings'!$E661&gt;=Settings!$C$8,'INPUT - Bookings'!$E661&lt;=Settings!$C$8+14,IFERROR(INDEX(Settings!$Q$14:$Q$24,MATCH('INPUT - Bookings'!$G661,Settings!$P$14:$P$24,0)),"Yes")="Yes"),'INPUT - Bookings'!$E661+ROW()/100000,"")</f>
        <v/>
      </c>
    </row>
    <row r="662">
      <c r="BB662" s="244">
        <f>IF('INPUT - Bookings'!$B662="",0,IF(AND(OR(Dashboard!$D$9="All",TRIM('INPUT - Bookings'!$C662)=Dashboard!$D$9),OR(Dashboard!$J$9="All",TRIM('INPUT - Bookings'!$D662)=Dashboard!$J$9)),1,0))</f>
        <v/>
      </c>
      <c r="BC662" s="244">
        <f>IF(AND(BB662=1,ISNUMBER('INPUT - Bookings'!$E662),'INPUT - Bookings'!$E662&gt;=Settings!$C$8,'INPUT - Bookings'!$E662&lt;=Settings!$C$8+14,IFERROR(INDEX(Settings!$Q$14:$Q$24,MATCH('INPUT - Bookings'!$G662,Settings!$P$14:$P$24,0)),"Yes")="Yes"),'INPUT - Bookings'!$E662+ROW()/100000,"")</f>
        <v/>
      </c>
    </row>
    <row r="663">
      <c r="BB663" s="244">
        <f>IF('INPUT - Bookings'!$B663="",0,IF(AND(OR(Dashboard!$D$9="All",TRIM('INPUT - Bookings'!$C663)=Dashboard!$D$9),OR(Dashboard!$J$9="All",TRIM('INPUT - Bookings'!$D663)=Dashboard!$J$9)),1,0))</f>
        <v/>
      </c>
      <c r="BC663" s="244">
        <f>IF(AND(BB663=1,ISNUMBER('INPUT - Bookings'!$E663),'INPUT - Bookings'!$E663&gt;=Settings!$C$8,'INPUT - Bookings'!$E663&lt;=Settings!$C$8+14,IFERROR(INDEX(Settings!$Q$14:$Q$24,MATCH('INPUT - Bookings'!$G663,Settings!$P$14:$P$24,0)),"Yes")="Yes"),'INPUT - Bookings'!$E663+ROW()/100000,"")</f>
        <v/>
      </c>
    </row>
    <row r="664">
      <c r="BB664" s="244">
        <f>IF('INPUT - Bookings'!$B664="",0,IF(AND(OR(Dashboard!$D$9="All",TRIM('INPUT - Bookings'!$C664)=Dashboard!$D$9),OR(Dashboard!$J$9="All",TRIM('INPUT - Bookings'!$D664)=Dashboard!$J$9)),1,0))</f>
        <v/>
      </c>
      <c r="BC664" s="244">
        <f>IF(AND(BB664=1,ISNUMBER('INPUT - Bookings'!$E664),'INPUT - Bookings'!$E664&gt;=Settings!$C$8,'INPUT - Bookings'!$E664&lt;=Settings!$C$8+14,IFERROR(INDEX(Settings!$Q$14:$Q$24,MATCH('INPUT - Bookings'!$G664,Settings!$P$14:$P$24,0)),"Yes")="Yes"),'INPUT - Bookings'!$E664+ROW()/100000,"")</f>
        <v/>
      </c>
    </row>
    <row r="665">
      <c r="BB665" s="244">
        <f>IF('INPUT - Bookings'!$B665="",0,IF(AND(OR(Dashboard!$D$9="All",TRIM('INPUT - Bookings'!$C665)=Dashboard!$D$9),OR(Dashboard!$J$9="All",TRIM('INPUT - Bookings'!$D665)=Dashboard!$J$9)),1,0))</f>
        <v/>
      </c>
      <c r="BC665" s="244">
        <f>IF(AND(BB665=1,ISNUMBER('INPUT - Bookings'!$E665),'INPUT - Bookings'!$E665&gt;=Settings!$C$8,'INPUT - Bookings'!$E665&lt;=Settings!$C$8+14,IFERROR(INDEX(Settings!$Q$14:$Q$24,MATCH('INPUT - Bookings'!$G665,Settings!$P$14:$P$24,0)),"Yes")="Yes"),'INPUT - Bookings'!$E665+ROW()/100000,"")</f>
        <v/>
      </c>
    </row>
    <row r="666">
      <c r="BB666" s="244">
        <f>IF('INPUT - Bookings'!$B666="",0,IF(AND(OR(Dashboard!$D$9="All",TRIM('INPUT - Bookings'!$C666)=Dashboard!$D$9),OR(Dashboard!$J$9="All",TRIM('INPUT - Bookings'!$D666)=Dashboard!$J$9)),1,0))</f>
        <v/>
      </c>
      <c r="BC666" s="244">
        <f>IF(AND(BB666=1,ISNUMBER('INPUT - Bookings'!$E666),'INPUT - Bookings'!$E666&gt;=Settings!$C$8,'INPUT - Bookings'!$E666&lt;=Settings!$C$8+14,IFERROR(INDEX(Settings!$Q$14:$Q$24,MATCH('INPUT - Bookings'!$G666,Settings!$P$14:$P$24,0)),"Yes")="Yes"),'INPUT - Bookings'!$E666+ROW()/100000,"")</f>
        <v/>
      </c>
    </row>
    <row r="667">
      <c r="BB667" s="244">
        <f>IF('INPUT - Bookings'!$B667="",0,IF(AND(OR(Dashboard!$D$9="All",TRIM('INPUT - Bookings'!$C667)=Dashboard!$D$9),OR(Dashboard!$J$9="All",TRIM('INPUT - Bookings'!$D667)=Dashboard!$J$9)),1,0))</f>
        <v/>
      </c>
      <c r="BC667" s="244">
        <f>IF(AND(BB667=1,ISNUMBER('INPUT - Bookings'!$E667),'INPUT - Bookings'!$E667&gt;=Settings!$C$8,'INPUT - Bookings'!$E667&lt;=Settings!$C$8+14,IFERROR(INDEX(Settings!$Q$14:$Q$24,MATCH('INPUT - Bookings'!$G667,Settings!$P$14:$P$24,0)),"Yes")="Yes"),'INPUT - Bookings'!$E667+ROW()/100000,"")</f>
        <v/>
      </c>
    </row>
    <row r="668">
      <c r="BB668" s="244">
        <f>IF('INPUT - Bookings'!$B668="",0,IF(AND(OR(Dashboard!$D$9="All",TRIM('INPUT - Bookings'!$C668)=Dashboard!$D$9),OR(Dashboard!$J$9="All",TRIM('INPUT - Bookings'!$D668)=Dashboard!$J$9)),1,0))</f>
        <v/>
      </c>
      <c r="BC668" s="244">
        <f>IF(AND(BB668=1,ISNUMBER('INPUT - Bookings'!$E668),'INPUT - Bookings'!$E668&gt;=Settings!$C$8,'INPUT - Bookings'!$E668&lt;=Settings!$C$8+14,IFERROR(INDEX(Settings!$Q$14:$Q$24,MATCH('INPUT - Bookings'!$G668,Settings!$P$14:$P$24,0)),"Yes")="Yes"),'INPUT - Bookings'!$E668+ROW()/100000,"")</f>
        <v/>
      </c>
    </row>
    <row r="669">
      <c r="BB669" s="244">
        <f>IF('INPUT - Bookings'!$B669="",0,IF(AND(OR(Dashboard!$D$9="All",TRIM('INPUT - Bookings'!$C669)=Dashboard!$D$9),OR(Dashboard!$J$9="All",TRIM('INPUT - Bookings'!$D669)=Dashboard!$J$9)),1,0))</f>
        <v/>
      </c>
      <c r="BC669" s="244">
        <f>IF(AND(BB669=1,ISNUMBER('INPUT - Bookings'!$E669),'INPUT - Bookings'!$E669&gt;=Settings!$C$8,'INPUT - Bookings'!$E669&lt;=Settings!$C$8+14,IFERROR(INDEX(Settings!$Q$14:$Q$24,MATCH('INPUT - Bookings'!$G669,Settings!$P$14:$P$24,0)),"Yes")="Yes"),'INPUT - Bookings'!$E669+ROW()/100000,"")</f>
        <v/>
      </c>
    </row>
    <row r="670">
      <c r="BB670" s="244">
        <f>IF('INPUT - Bookings'!$B670="",0,IF(AND(OR(Dashboard!$D$9="All",TRIM('INPUT - Bookings'!$C670)=Dashboard!$D$9),OR(Dashboard!$J$9="All",TRIM('INPUT - Bookings'!$D670)=Dashboard!$J$9)),1,0))</f>
        <v/>
      </c>
      <c r="BC670" s="244">
        <f>IF(AND(BB670=1,ISNUMBER('INPUT - Bookings'!$E670),'INPUT - Bookings'!$E670&gt;=Settings!$C$8,'INPUT - Bookings'!$E670&lt;=Settings!$C$8+14,IFERROR(INDEX(Settings!$Q$14:$Q$24,MATCH('INPUT - Bookings'!$G670,Settings!$P$14:$P$24,0)),"Yes")="Yes"),'INPUT - Bookings'!$E670+ROW()/100000,"")</f>
        <v/>
      </c>
    </row>
    <row r="671">
      <c r="BB671" s="244">
        <f>IF('INPUT - Bookings'!$B671="",0,IF(AND(OR(Dashboard!$D$9="All",TRIM('INPUT - Bookings'!$C671)=Dashboard!$D$9),OR(Dashboard!$J$9="All",TRIM('INPUT - Bookings'!$D671)=Dashboard!$J$9)),1,0))</f>
        <v/>
      </c>
      <c r="BC671" s="244">
        <f>IF(AND(BB671=1,ISNUMBER('INPUT - Bookings'!$E671),'INPUT - Bookings'!$E671&gt;=Settings!$C$8,'INPUT - Bookings'!$E671&lt;=Settings!$C$8+14,IFERROR(INDEX(Settings!$Q$14:$Q$24,MATCH('INPUT - Bookings'!$G671,Settings!$P$14:$P$24,0)),"Yes")="Yes"),'INPUT - Bookings'!$E671+ROW()/100000,"")</f>
        <v/>
      </c>
    </row>
    <row r="672">
      <c r="BB672" s="244">
        <f>IF('INPUT - Bookings'!$B672="",0,IF(AND(OR(Dashboard!$D$9="All",TRIM('INPUT - Bookings'!$C672)=Dashboard!$D$9),OR(Dashboard!$J$9="All",TRIM('INPUT - Bookings'!$D672)=Dashboard!$J$9)),1,0))</f>
        <v/>
      </c>
      <c r="BC672" s="244">
        <f>IF(AND(BB672=1,ISNUMBER('INPUT - Bookings'!$E672),'INPUT - Bookings'!$E672&gt;=Settings!$C$8,'INPUT - Bookings'!$E672&lt;=Settings!$C$8+14,IFERROR(INDEX(Settings!$Q$14:$Q$24,MATCH('INPUT - Bookings'!$G672,Settings!$P$14:$P$24,0)),"Yes")="Yes"),'INPUT - Bookings'!$E672+ROW()/100000,"")</f>
        <v/>
      </c>
    </row>
    <row r="673">
      <c r="BB673" s="244">
        <f>IF('INPUT - Bookings'!$B673="",0,IF(AND(OR(Dashboard!$D$9="All",TRIM('INPUT - Bookings'!$C673)=Dashboard!$D$9),OR(Dashboard!$J$9="All",TRIM('INPUT - Bookings'!$D673)=Dashboard!$J$9)),1,0))</f>
        <v/>
      </c>
      <c r="BC673" s="244">
        <f>IF(AND(BB673=1,ISNUMBER('INPUT - Bookings'!$E673),'INPUT - Bookings'!$E673&gt;=Settings!$C$8,'INPUT - Bookings'!$E673&lt;=Settings!$C$8+14,IFERROR(INDEX(Settings!$Q$14:$Q$24,MATCH('INPUT - Bookings'!$G673,Settings!$P$14:$P$24,0)),"Yes")="Yes"),'INPUT - Bookings'!$E673+ROW()/100000,"")</f>
        <v/>
      </c>
    </row>
    <row r="674">
      <c r="BB674" s="244">
        <f>IF('INPUT - Bookings'!$B674="",0,IF(AND(OR(Dashboard!$D$9="All",TRIM('INPUT - Bookings'!$C674)=Dashboard!$D$9),OR(Dashboard!$J$9="All",TRIM('INPUT - Bookings'!$D674)=Dashboard!$J$9)),1,0))</f>
        <v/>
      </c>
      <c r="BC674" s="244">
        <f>IF(AND(BB674=1,ISNUMBER('INPUT - Bookings'!$E674),'INPUT - Bookings'!$E674&gt;=Settings!$C$8,'INPUT - Bookings'!$E674&lt;=Settings!$C$8+14,IFERROR(INDEX(Settings!$Q$14:$Q$24,MATCH('INPUT - Bookings'!$G674,Settings!$P$14:$P$24,0)),"Yes")="Yes"),'INPUT - Bookings'!$E674+ROW()/100000,"")</f>
        <v/>
      </c>
    </row>
    <row r="675">
      <c r="BB675" s="244">
        <f>IF('INPUT - Bookings'!$B675="",0,IF(AND(OR(Dashboard!$D$9="All",TRIM('INPUT - Bookings'!$C675)=Dashboard!$D$9),OR(Dashboard!$J$9="All",TRIM('INPUT - Bookings'!$D675)=Dashboard!$J$9)),1,0))</f>
        <v/>
      </c>
      <c r="BC675" s="244">
        <f>IF(AND(BB675=1,ISNUMBER('INPUT - Bookings'!$E675),'INPUT - Bookings'!$E675&gt;=Settings!$C$8,'INPUT - Bookings'!$E675&lt;=Settings!$C$8+14,IFERROR(INDEX(Settings!$Q$14:$Q$24,MATCH('INPUT - Bookings'!$G675,Settings!$P$14:$P$24,0)),"Yes")="Yes"),'INPUT - Bookings'!$E675+ROW()/100000,"")</f>
        <v/>
      </c>
    </row>
    <row r="676">
      <c r="BB676" s="244">
        <f>IF('INPUT - Bookings'!$B676="",0,IF(AND(OR(Dashboard!$D$9="All",TRIM('INPUT - Bookings'!$C676)=Dashboard!$D$9),OR(Dashboard!$J$9="All",TRIM('INPUT - Bookings'!$D676)=Dashboard!$J$9)),1,0))</f>
        <v/>
      </c>
      <c r="BC676" s="244">
        <f>IF(AND(BB676=1,ISNUMBER('INPUT - Bookings'!$E676),'INPUT - Bookings'!$E676&gt;=Settings!$C$8,'INPUT - Bookings'!$E676&lt;=Settings!$C$8+14,IFERROR(INDEX(Settings!$Q$14:$Q$24,MATCH('INPUT - Bookings'!$G676,Settings!$P$14:$P$24,0)),"Yes")="Yes"),'INPUT - Bookings'!$E676+ROW()/100000,"")</f>
        <v/>
      </c>
    </row>
    <row r="677">
      <c r="BB677" s="244">
        <f>IF('INPUT - Bookings'!$B677="",0,IF(AND(OR(Dashboard!$D$9="All",TRIM('INPUT - Bookings'!$C677)=Dashboard!$D$9),OR(Dashboard!$J$9="All",TRIM('INPUT - Bookings'!$D677)=Dashboard!$J$9)),1,0))</f>
        <v/>
      </c>
      <c r="BC677" s="244">
        <f>IF(AND(BB677=1,ISNUMBER('INPUT - Bookings'!$E677),'INPUT - Bookings'!$E677&gt;=Settings!$C$8,'INPUT - Bookings'!$E677&lt;=Settings!$C$8+14,IFERROR(INDEX(Settings!$Q$14:$Q$24,MATCH('INPUT - Bookings'!$G677,Settings!$P$14:$P$24,0)),"Yes")="Yes"),'INPUT - Bookings'!$E677+ROW()/100000,"")</f>
        <v/>
      </c>
    </row>
    <row r="678">
      <c r="BB678" s="244">
        <f>IF('INPUT - Bookings'!$B678="",0,IF(AND(OR(Dashboard!$D$9="All",TRIM('INPUT - Bookings'!$C678)=Dashboard!$D$9),OR(Dashboard!$J$9="All",TRIM('INPUT - Bookings'!$D678)=Dashboard!$J$9)),1,0))</f>
        <v/>
      </c>
      <c r="BC678" s="244">
        <f>IF(AND(BB678=1,ISNUMBER('INPUT - Bookings'!$E678),'INPUT - Bookings'!$E678&gt;=Settings!$C$8,'INPUT - Bookings'!$E678&lt;=Settings!$C$8+14,IFERROR(INDEX(Settings!$Q$14:$Q$24,MATCH('INPUT - Bookings'!$G678,Settings!$P$14:$P$24,0)),"Yes")="Yes"),'INPUT - Bookings'!$E678+ROW()/100000,"")</f>
        <v/>
      </c>
    </row>
    <row r="679">
      <c r="BB679" s="244">
        <f>IF('INPUT - Bookings'!$B679="",0,IF(AND(OR(Dashboard!$D$9="All",TRIM('INPUT - Bookings'!$C679)=Dashboard!$D$9),OR(Dashboard!$J$9="All",TRIM('INPUT - Bookings'!$D679)=Dashboard!$J$9)),1,0))</f>
        <v/>
      </c>
      <c r="BC679" s="244">
        <f>IF(AND(BB679=1,ISNUMBER('INPUT - Bookings'!$E679),'INPUT - Bookings'!$E679&gt;=Settings!$C$8,'INPUT - Bookings'!$E679&lt;=Settings!$C$8+14,IFERROR(INDEX(Settings!$Q$14:$Q$24,MATCH('INPUT - Bookings'!$G679,Settings!$P$14:$P$24,0)),"Yes")="Yes"),'INPUT - Bookings'!$E679+ROW()/100000,"")</f>
        <v/>
      </c>
    </row>
    <row r="680">
      <c r="BB680" s="244">
        <f>IF('INPUT - Bookings'!$B680="",0,IF(AND(OR(Dashboard!$D$9="All",TRIM('INPUT - Bookings'!$C680)=Dashboard!$D$9),OR(Dashboard!$J$9="All",TRIM('INPUT - Bookings'!$D680)=Dashboard!$J$9)),1,0))</f>
        <v/>
      </c>
      <c r="BC680" s="244">
        <f>IF(AND(BB680=1,ISNUMBER('INPUT - Bookings'!$E680),'INPUT - Bookings'!$E680&gt;=Settings!$C$8,'INPUT - Bookings'!$E680&lt;=Settings!$C$8+14,IFERROR(INDEX(Settings!$Q$14:$Q$24,MATCH('INPUT - Bookings'!$G680,Settings!$P$14:$P$24,0)),"Yes")="Yes"),'INPUT - Bookings'!$E680+ROW()/100000,"")</f>
        <v/>
      </c>
    </row>
    <row r="681">
      <c r="BB681" s="244">
        <f>IF('INPUT - Bookings'!$B681="",0,IF(AND(OR(Dashboard!$D$9="All",TRIM('INPUT - Bookings'!$C681)=Dashboard!$D$9),OR(Dashboard!$J$9="All",TRIM('INPUT - Bookings'!$D681)=Dashboard!$J$9)),1,0))</f>
        <v/>
      </c>
      <c r="BC681" s="244">
        <f>IF(AND(BB681=1,ISNUMBER('INPUT - Bookings'!$E681),'INPUT - Bookings'!$E681&gt;=Settings!$C$8,'INPUT - Bookings'!$E681&lt;=Settings!$C$8+14,IFERROR(INDEX(Settings!$Q$14:$Q$24,MATCH('INPUT - Bookings'!$G681,Settings!$P$14:$P$24,0)),"Yes")="Yes"),'INPUT - Bookings'!$E681+ROW()/100000,"")</f>
        <v/>
      </c>
    </row>
    <row r="682">
      <c r="BB682" s="244">
        <f>IF('INPUT - Bookings'!$B682="",0,IF(AND(OR(Dashboard!$D$9="All",TRIM('INPUT - Bookings'!$C682)=Dashboard!$D$9),OR(Dashboard!$J$9="All",TRIM('INPUT - Bookings'!$D682)=Dashboard!$J$9)),1,0))</f>
        <v/>
      </c>
      <c r="BC682" s="244">
        <f>IF(AND(BB682=1,ISNUMBER('INPUT - Bookings'!$E682),'INPUT - Bookings'!$E682&gt;=Settings!$C$8,'INPUT - Bookings'!$E682&lt;=Settings!$C$8+14,IFERROR(INDEX(Settings!$Q$14:$Q$24,MATCH('INPUT - Bookings'!$G682,Settings!$P$14:$P$24,0)),"Yes")="Yes"),'INPUT - Bookings'!$E682+ROW()/100000,"")</f>
        <v/>
      </c>
    </row>
    <row r="683">
      <c r="BB683" s="244">
        <f>IF('INPUT - Bookings'!$B683="",0,IF(AND(OR(Dashboard!$D$9="All",TRIM('INPUT - Bookings'!$C683)=Dashboard!$D$9),OR(Dashboard!$J$9="All",TRIM('INPUT - Bookings'!$D683)=Dashboard!$J$9)),1,0))</f>
        <v/>
      </c>
      <c r="BC683" s="244">
        <f>IF(AND(BB683=1,ISNUMBER('INPUT - Bookings'!$E683),'INPUT - Bookings'!$E683&gt;=Settings!$C$8,'INPUT - Bookings'!$E683&lt;=Settings!$C$8+14,IFERROR(INDEX(Settings!$Q$14:$Q$24,MATCH('INPUT - Bookings'!$G683,Settings!$P$14:$P$24,0)),"Yes")="Yes"),'INPUT - Bookings'!$E683+ROW()/100000,"")</f>
        <v/>
      </c>
    </row>
    <row r="684">
      <c r="BB684" s="244">
        <f>IF('INPUT - Bookings'!$B684="",0,IF(AND(OR(Dashboard!$D$9="All",TRIM('INPUT - Bookings'!$C684)=Dashboard!$D$9),OR(Dashboard!$J$9="All",TRIM('INPUT - Bookings'!$D684)=Dashboard!$J$9)),1,0))</f>
        <v/>
      </c>
      <c r="BC684" s="244">
        <f>IF(AND(BB684=1,ISNUMBER('INPUT - Bookings'!$E684),'INPUT - Bookings'!$E684&gt;=Settings!$C$8,'INPUT - Bookings'!$E684&lt;=Settings!$C$8+14,IFERROR(INDEX(Settings!$Q$14:$Q$24,MATCH('INPUT - Bookings'!$G684,Settings!$P$14:$P$24,0)),"Yes")="Yes"),'INPUT - Bookings'!$E684+ROW()/100000,"")</f>
        <v/>
      </c>
    </row>
    <row r="685">
      <c r="BB685" s="244">
        <f>IF('INPUT - Bookings'!$B685="",0,IF(AND(OR(Dashboard!$D$9="All",TRIM('INPUT - Bookings'!$C685)=Dashboard!$D$9),OR(Dashboard!$J$9="All",TRIM('INPUT - Bookings'!$D685)=Dashboard!$J$9)),1,0))</f>
        <v/>
      </c>
      <c r="BC685" s="244">
        <f>IF(AND(BB685=1,ISNUMBER('INPUT - Bookings'!$E685),'INPUT - Bookings'!$E685&gt;=Settings!$C$8,'INPUT - Bookings'!$E685&lt;=Settings!$C$8+14,IFERROR(INDEX(Settings!$Q$14:$Q$24,MATCH('INPUT - Bookings'!$G685,Settings!$P$14:$P$24,0)),"Yes")="Yes"),'INPUT - Bookings'!$E685+ROW()/100000,"")</f>
        <v/>
      </c>
    </row>
    <row r="686">
      <c r="BB686" s="244">
        <f>IF('INPUT - Bookings'!$B686="",0,IF(AND(OR(Dashboard!$D$9="All",TRIM('INPUT - Bookings'!$C686)=Dashboard!$D$9),OR(Dashboard!$J$9="All",TRIM('INPUT - Bookings'!$D686)=Dashboard!$J$9)),1,0))</f>
        <v/>
      </c>
      <c r="BC686" s="244">
        <f>IF(AND(BB686=1,ISNUMBER('INPUT - Bookings'!$E686),'INPUT - Bookings'!$E686&gt;=Settings!$C$8,'INPUT - Bookings'!$E686&lt;=Settings!$C$8+14,IFERROR(INDEX(Settings!$Q$14:$Q$24,MATCH('INPUT - Bookings'!$G686,Settings!$P$14:$P$24,0)),"Yes")="Yes"),'INPUT - Bookings'!$E686+ROW()/100000,"")</f>
        <v/>
      </c>
    </row>
    <row r="687">
      <c r="BB687" s="244">
        <f>IF('INPUT - Bookings'!$B687="",0,IF(AND(OR(Dashboard!$D$9="All",TRIM('INPUT - Bookings'!$C687)=Dashboard!$D$9),OR(Dashboard!$J$9="All",TRIM('INPUT - Bookings'!$D687)=Dashboard!$J$9)),1,0))</f>
        <v/>
      </c>
      <c r="BC687" s="244">
        <f>IF(AND(BB687=1,ISNUMBER('INPUT - Bookings'!$E687),'INPUT - Bookings'!$E687&gt;=Settings!$C$8,'INPUT - Bookings'!$E687&lt;=Settings!$C$8+14,IFERROR(INDEX(Settings!$Q$14:$Q$24,MATCH('INPUT - Bookings'!$G687,Settings!$P$14:$P$24,0)),"Yes")="Yes"),'INPUT - Bookings'!$E687+ROW()/100000,"")</f>
        <v/>
      </c>
    </row>
    <row r="688">
      <c r="BB688" s="244">
        <f>IF('INPUT - Bookings'!$B688="",0,IF(AND(OR(Dashboard!$D$9="All",TRIM('INPUT - Bookings'!$C688)=Dashboard!$D$9),OR(Dashboard!$J$9="All",TRIM('INPUT - Bookings'!$D688)=Dashboard!$J$9)),1,0))</f>
        <v/>
      </c>
      <c r="BC688" s="244">
        <f>IF(AND(BB688=1,ISNUMBER('INPUT - Bookings'!$E688),'INPUT - Bookings'!$E688&gt;=Settings!$C$8,'INPUT - Bookings'!$E688&lt;=Settings!$C$8+14,IFERROR(INDEX(Settings!$Q$14:$Q$24,MATCH('INPUT - Bookings'!$G688,Settings!$P$14:$P$24,0)),"Yes")="Yes"),'INPUT - Bookings'!$E688+ROW()/100000,"")</f>
        <v/>
      </c>
    </row>
    <row r="689">
      <c r="BB689" s="244">
        <f>IF('INPUT - Bookings'!$B689="",0,IF(AND(OR(Dashboard!$D$9="All",TRIM('INPUT - Bookings'!$C689)=Dashboard!$D$9),OR(Dashboard!$J$9="All",TRIM('INPUT - Bookings'!$D689)=Dashboard!$J$9)),1,0))</f>
        <v/>
      </c>
      <c r="BC689" s="244">
        <f>IF(AND(BB689=1,ISNUMBER('INPUT - Bookings'!$E689),'INPUT - Bookings'!$E689&gt;=Settings!$C$8,'INPUT - Bookings'!$E689&lt;=Settings!$C$8+14,IFERROR(INDEX(Settings!$Q$14:$Q$24,MATCH('INPUT - Bookings'!$G689,Settings!$P$14:$P$24,0)),"Yes")="Yes"),'INPUT - Bookings'!$E689+ROW()/100000,"")</f>
        <v/>
      </c>
    </row>
    <row r="690">
      <c r="BB690" s="244">
        <f>IF('INPUT - Bookings'!$B690="",0,IF(AND(OR(Dashboard!$D$9="All",TRIM('INPUT - Bookings'!$C690)=Dashboard!$D$9),OR(Dashboard!$J$9="All",TRIM('INPUT - Bookings'!$D690)=Dashboard!$J$9)),1,0))</f>
        <v/>
      </c>
      <c r="BC690" s="244">
        <f>IF(AND(BB690=1,ISNUMBER('INPUT - Bookings'!$E690),'INPUT - Bookings'!$E690&gt;=Settings!$C$8,'INPUT - Bookings'!$E690&lt;=Settings!$C$8+14,IFERROR(INDEX(Settings!$Q$14:$Q$24,MATCH('INPUT - Bookings'!$G690,Settings!$P$14:$P$24,0)),"Yes")="Yes"),'INPUT - Bookings'!$E690+ROW()/100000,"")</f>
        <v/>
      </c>
    </row>
    <row r="691">
      <c r="BB691" s="244">
        <f>IF('INPUT - Bookings'!$B691="",0,IF(AND(OR(Dashboard!$D$9="All",TRIM('INPUT - Bookings'!$C691)=Dashboard!$D$9),OR(Dashboard!$J$9="All",TRIM('INPUT - Bookings'!$D691)=Dashboard!$J$9)),1,0))</f>
        <v/>
      </c>
      <c r="BC691" s="244">
        <f>IF(AND(BB691=1,ISNUMBER('INPUT - Bookings'!$E691),'INPUT - Bookings'!$E691&gt;=Settings!$C$8,'INPUT - Bookings'!$E691&lt;=Settings!$C$8+14,IFERROR(INDEX(Settings!$Q$14:$Q$24,MATCH('INPUT - Bookings'!$G691,Settings!$P$14:$P$24,0)),"Yes")="Yes"),'INPUT - Bookings'!$E691+ROW()/100000,"")</f>
        <v/>
      </c>
    </row>
    <row r="692">
      <c r="BB692" s="244">
        <f>IF('INPUT - Bookings'!$B692="",0,IF(AND(OR(Dashboard!$D$9="All",TRIM('INPUT - Bookings'!$C692)=Dashboard!$D$9),OR(Dashboard!$J$9="All",TRIM('INPUT - Bookings'!$D692)=Dashboard!$J$9)),1,0))</f>
        <v/>
      </c>
      <c r="BC692" s="244">
        <f>IF(AND(BB692=1,ISNUMBER('INPUT - Bookings'!$E692),'INPUT - Bookings'!$E692&gt;=Settings!$C$8,'INPUT - Bookings'!$E692&lt;=Settings!$C$8+14,IFERROR(INDEX(Settings!$Q$14:$Q$24,MATCH('INPUT - Bookings'!$G692,Settings!$P$14:$P$24,0)),"Yes")="Yes"),'INPUT - Bookings'!$E692+ROW()/100000,"")</f>
        <v/>
      </c>
    </row>
    <row r="693">
      <c r="BB693" s="244">
        <f>IF('INPUT - Bookings'!$B693="",0,IF(AND(OR(Dashboard!$D$9="All",TRIM('INPUT - Bookings'!$C693)=Dashboard!$D$9),OR(Dashboard!$J$9="All",TRIM('INPUT - Bookings'!$D693)=Dashboard!$J$9)),1,0))</f>
        <v/>
      </c>
      <c r="BC693" s="244">
        <f>IF(AND(BB693=1,ISNUMBER('INPUT - Bookings'!$E693),'INPUT - Bookings'!$E693&gt;=Settings!$C$8,'INPUT - Bookings'!$E693&lt;=Settings!$C$8+14,IFERROR(INDEX(Settings!$Q$14:$Q$24,MATCH('INPUT - Bookings'!$G693,Settings!$P$14:$P$24,0)),"Yes")="Yes"),'INPUT - Bookings'!$E693+ROW()/100000,"")</f>
        <v/>
      </c>
    </row>
    <row r="694">
      <c r="BB694" s="244">
        <f>IF('INPUT - Bookings'!$B694="",0,IF(AND(OR(Dashboard!$D$9="All",TRIM('INPUT - Bookings'!$C694)=Dashboard!$D$9),OR(Dashboard!$J$9="All",TRIM('INPUT - Bookings'!$D694)=Dashboard!$J$9)),1,0))</f>
        <v/>
      </c>
      <c r="BC694" s="244">
        <f>IF(AND(BB694=1,ISNUMBER('INPUT - Bookings'!$E694),'INPUT - Bookings'!$E694&gt;=Settings!$C$8,'INPUT - Bookings'!$E694&lt;=Settings!$C$8+14,IFERROR(INDEX(Settings!$Q$14:$Q$24,MATCH('INPUT - Bookings'!$G694,Settings!$P$14:$P$24,0)),"Yes")="Yes"),'INPUT - Bookings'!$E694+ROW()/100000,"")</f>
        <v/>
      </c>
    </row>
    <row r="695">
      <c r="BB695" s="244">
        <f>IF('INPUT - Bookings'!$B695="",0,IF(AND(OR(Dashboard!$D$9="All",TRIM('INPUT - Bookings'!$C695)=Dashboard!$D$9),OR(Dashboard!$J$9="All",TRIM('INPUT - Bookings'!$D695)=Dashboard!$J$9)),1,0))</f>
        <v/>
      </c>
      <c r="BC695" s="244">
        <f>IF(AND(BB695=1,ISNUMBER('INPUT - Bookings'!$E695),'INPUT - Bookings'!$E695&gt;=Settings!$C$8,'INPUT - Bookings'!$E695&lt;=Settings!$C$8+14,IFERROR(INDEX(Settings!$Q$14:$Q$24,MATCH('INPUT - Bookings'!$G695,Settings!$P$14:$P$24,0)),"Yes")="Yes"),'INPUT - Bookings'!$E695+ROW()/100000,"")</f>
        <v/>
      </c>
    </row>
    <row r="696">
      <c r="BB696" s="244">
        <f>IF('INPUT - Bookings'!$B696="",0,IF(AND(OR(Dashboard!$D$9="All",TRIM('INPUT - Bookings'!$C696)=Dashboard!$D$9),OR(Dashboard!$J$9="All",TRIM('INPUT - Bookings'!$D696)=Dashboard!$J$9)),1,0))</f>
        <v/>
      </c>
      <c r="BC696" s="244">
        <f>IF(AND(BB696=1,ISNUMBER('INPUT - Bookings'!$E696),'INPUT - Bookings'!$E696&gt;=Settings!$C$8,'INPUT - Bookings'!$E696&lt;=Settings!$C$8+14,IFERROR(INDEX(Settings!$Q$14:$Q$24,MATCH('INPUT - Bookings'!$G696,Settings!$P$14:$P$24,0)),"Yes")="Yes"),'INPUT - Bookings'!$E696+ROW()/100000,"")</f>
        <v/>
      </c>
    </row>
    <row r="697">
      <c r="BB697" s="244">
        <f>IF('INPUT - Bookings'!$B697="",0,IF(AND(OR(Dashboard!$D$9="All",TRIM('INPUT - Bookings'!$C697)=Dashboard!$D$9),OR(Dashboard!$J$9="All",TRIM('INPUT - Bookings'!$D697)=Dashboard!$J$9)),1,0))</f>
        <v/>
      </c>
      <c r="BC697" s="244">
        <f>IF(AND(BB697=1,ISNUMBER('INPUT - Bookings'!$E697),'INPUT - Bookings'!$E697&gt;=Settings!$C$8,'INPUT - Bookings'!$E697&lt;=Settings!$C$8+14,IFERROR(INDEX(Settings!$Q$14:$Q$24,MATCH('INPUT - Bookings'!$G697,Settings!$P$14:$P$24,0)),"Yes")="Yes"),'INPUT - Bookings'!$E697+ROW()/100000,"")</f>
        <v/>
      </c>
    </row>
    <row r="698">
      <c r="BB698" s="244">
        <f>IF('INPUT - Bookings'!$B698="",0,IF(AND(OR(Dashboard!$D$9="All",TRIM('INPUT - Bookings'!$C698)=Dashboard!$D$9),OR(Dashboard!$J$9="All",TRIM('INPUT - Bookings'!$D698)=Dashboard!$J$9)),1,0))</f>
        <v/>
      </c>
      <c r="BC698" s="244">
        <f>IF(AND(BB698=1,ISNUMBER('INPUT - Bookings'!$E698),'INPUT - Bookings'!$E698&gt;=Settings!$C$8,'INPUT - Bookings'!$E698&lt;=Settings!$C$8+14,IFERROR(INDEX(Settings!$Q$14:$Q$24,MATCH('INPUT - Bookings'!$G698,Settings!$P$14:$P$24,0)),"Yes")="Yes"),'INPUT - Bookings'!$E698+ROW()/100000,"")</f>
        <v/>
      </c>
    </row>
    <row r="699">
      <c r="BB699" s="244">
        <f>IF('INPUT - Bookings'!$B699="",0,IF(AND(OR(Dashboard!$D$9="All",TRIM('INPUT - Bookings'!$C699)=Dashboard!$D$9),OR(Dashboard!$J$9="All",TRIM('INPUT - Bookings'!$D699)=Dashboard!$J$9)),1,0))</f>
        <v/>
      </c>
      <c r="BC699" s="244">
        <f>IF(AND(BB699=1,ISNUMBER('INPUT - Bookings'!$E699),'INPUT - Bookings'!$E699&gt;=Settings!$C$8,'INPUT - Bookings'!$E699&lt;=Settings!$C$8+14,IFERROR(INDEX(Settings!$Q$14:$Q$24,MATCH('INPUT - Bookings'!$G699,Settings!$P$14:$P$24,0)),"Yes")="Yes"),'INPUT - Bookings'!$E699+ROW()/100000,"")</f>
        <v/>
      </c>
    </row>
    <row r="700">
      <c r="BB700" s="244">
        <f>IF('INPUT - Bookings'!$B700="",0,IF(AND(OR(Dashboard!$D$9="All",TRIM('INPUT - Bookings'!$C700)=Dashboard!$D$9),OR(Dashboard!$J$9="All",TRIM('INPUT - Bookings'!$D700)=Dashboard!$J$9)),1,0))</f>
        <v/>
      </c>
      <c r="BC700" s="244">
        <f>IF(AND(BB700=1,ISNUMBER('INPUT - Bookings'!$E700),'INPUT - Bookings'!$E700&gt;=Settings!$C$8,'INPUT - Bookings'!$E700&lt;=Settings!$C$8+14,IFERROR(INDEX(Settings!$Q$14:$Q$24,MATCH('INPUT - Bookings'!$G700,Settings!$P$14:$P$24,0)),"Yes")="Yes"),'INPUT - Bookings'!$E700+ROW()/100000,"")</f>
        <v/>
      </c>
    </row>
    <row r="701">
      <c r="BB701" s="244">
        <f>IF('INPUT - Bookings'!$B701="",0,IF(AND(OR(Dashboard!$D$9="All",TRIM('INPUT - Bookings'!$C701)=Dashboard!$D$9),OR(Dashboard!$J$9="All",TRIM('INPUT - Bookings'!$D701)=Dashboard!$J$9)),1,0))</f>
        <v/>
      </c>
      <c r="BC701" s="244">
        <f>IF(AND(BB701=1,ISNUMBER('INPUT - Bookings'!$E701),'INPUT - Bookings'!$E701&gt;=Settings!$C$8,'INPUT - Bookings'!$E701&lt;=Settings!$C$8+14,IFERROR(INDEX(Settings!$Q$14:$Q$24,MATCH('INPUT - Bookings'!$G701,Settings!$P$14:$P$24,0)),"Yes")="Yes"),'INPUT - Bookings'!$E701+ROW()/100000,"")</f>
        <v/>
      </c>
    </row>
    <row r="702">
      <c r="BB702" s="244">
        <f>IF('INPUT - Bookings'!$B702="",0,IF(AND(OR(Dashboard!$D$9="All",TRIM('INPUT - Bookings'!$C702)=Dashboard!$D$9),OR(Dashboard!$J$9="All",TRIM('INPUT - Bookings'!$D702)=Dashboard!$J$9)),1,0))</f>
        <v/>
      </c>
      <c r="BC702" s="244">
        <f>IF(AND(BB702=1,ISNUMBER('INPUT - Bookings'!$E702),'INPUT - Bookings'!$E702&gt;=Settings!$C$8,'INPUT - Bookings'!$E702&lt;=Settings!$C$8+14,IFERROR(INDEX(Settings!$Q$14:$Q$24,MATCH('INPUT - Bookings'!$G702,Settings!$P$14:$P$24,0)),"Yes")="Yes"),'INPUT - Bookings'!$E702+ROW()/100000,"")</f>
        <v/>
      </c>
    </row>
    <row r="703">
      <c r="BB703" s="244">
        <f>IF('INPUT - Bookings'!$B703="",0,IF(AND(OR(Dashboard!$D$9="All",TRIM('INPUT - Bookings'!$C703)=Dashboard!$D$9),OR(Dashboard!$J$9="All",TRIM('INPUT - Bookings'!$D703)=Dashboard!$J$9)),1,0))</f>
        <v/>
      </c>
      <c r="BC703" s="244">
        <f>IF(AND(BB703=1,ISNUMBER('INPUT - Bookings'!$E703),'INPUT - Bookings'!$E703&gt;=Settings!$C$8,'INPUT - Bookings'!$E703&lt;=Settings!$C$8+14,IFERROR(INDEX(Settings!$Q$14:$Q$24,MATCH('INPUT - Bookings'!$G703,Settings!$P$14:$P$24,0)),"Yes")="Yes"),'INPUT - Bookings'!$E703+ROW()/100000,"")</f>
        <v/>
      </c>
    </row>
    <row r="704">
      <c r="BB704" s="244">
        <f>IF('INPUT - Bookings'!$B704="",0,IF(AND(OR(Dashboard!$D$9="All",TRIM('INPUT - Bookings'!$C704)=Dashboard!$D$9),OR(Dashboard!$J$9="All",TRIM('INPUT - Bookings'!$D704)=Dashboard!$J$9)),1,0))</f>
        <v/>
      </c>
      <c r="BC704" s="244">
        <f>IF(AND(BB704=1,ISNUMBER('INPUT - Bookings'!$E704),'INPUT - Bookings'!$E704&gt;=Settings!$C$8,'INPUT - Bookings'!$E704&lt;=Settings!$C$8+14,IFERROR(INDEX(Settings!$Q$14:$Q$24,MATCH('INPUT - Bookings'!$G704,Settings!$P$14:$P$24,0)),"Yes")="Yes"),'INPUT - Bookings'!$E704+ROW()/100000,"")</f>
        <v/>
      </c>
    </row>
    <row r="705">
      <c r="BB705" s="244">
        <f>IF('INPUT - Bookings'!$B705="",0,IF(AND(OR(Dashboard!$D$9="All",TRIM('INPUT - Bookings'!$C705)=Dashboard!$D$9),OR(Dashboard!$J$9="All",TRIM('INPUT - Bookings'!$D705)=Dashboard!$J$9)),1,0))</f>
        <v/>
      </c>
      <c r="BC705" s="244">
        <f>IF(AND(BB705=1,ISNUMBER('INPUT - Bookings'!$E705),'INPUT - Bookings'!$E705&gt;=Settings!$C$8,'INPUT - Bookings'!$E705&lt;=Settings!$C$8+14,IFERROR(INDEX(Settings!$Q$14:$Q$24,MATCH('INPUT - Bookings'!$G705,Settings!$P$14:$P$24,0)),"Yes")="Yes"),'INPUT - Bookings'!$E705+ROW()/100000,"")</f>
        <v/>
      </c>
    </row>
    <row r="706">
      <c r="BB706" s="244">
        <f>IF('INPUT - Bookings'!$B706="",0,IF(AND(OR(Dashboard!$D$9="All",TRIM('INPUT - Bookings'!$C706)=Dashboard!$D$9),OR(Dashboard!$J$9="All",TRIM('INPUT - Bookings'!$D706)=Dashboard!$J$9)),1,0))</f>
        <v/>
      </c>
      <c r="BC706" s="244">
        <f>IF(AND(BB706=1,ISNUMBER('INPUT - Bookings'!$E706),'INPUT - Bookings'!$E706&gt;=Settings!$C$8,'INPUT - Bookings'!$E706&lt;=Settings!$C$8+14,IFERROR(INDEX(Settings!$Q$14:$Q$24,MATCH('INPUT - Bookings'!$G706,Settings!$P$14:$P$24,0)),"Yes")="Yes"),'INPUT - Bookings'!$E706+ROW()/100000,"")</f>
        <v/>
      </c>
    </row>
    <row r="707">
      <c r="BB707" s="244">
        <f>IF('INPUT - Bookings'!$B707="",0,IF(AND(OR(Dashboard!$D$9="All",TRIM('INPUT - Bookings'!$C707)=Dashboard!$D$9),OR(Dashboard!$J$9="All",TRIM('INPUT - Bookings'!$D707)=Dashboard!$J$9)),1,0))</f>
        <v/>
      </c>
      <c r="BC707" s="244">
        <f>IF(AND(BB707=1,ISNUMBER('INPUT - Bookings'!$E707),'INPUT - Bookings'!$E707&gt;=Settings!$C$8,'INPUT - Bookings'!$E707&lt;=Settings!$C$8+14,IFERROR(INDEX(Settings!$Q$14:$Q$24,MATCH('INPUT - Bookings'!$G707,Settings!$P$14:$P$24,0)),"Yes")="Yes"),'INPUT - Bookings'!$E707+ROW()/100000,"")</f>
        <v/>
      </c>
    </row>
    <row r="708">
      <c r="BB708" s="244">
        <f>IF('INPUT - Bookings'!$B708="",0,IF(AND(OR(Dashboard!$D$9="All",TRIM('INPUT - Bookings'!$C708)=Dashboard!$D$9),OR(Dashboard!$J$9="All",TRIM('INPUT - Bookings'!$D708)=Dashboard!$J$9)),1,0))</f>
        <v/>
      </c>
      <c r="BC708" s="244">
        <f>IF(AND(BB708=1,ISNUMBER('INPUT - Bookings'!$E708),'INPUT - Bookings'!$E708&gt;=Settings!$C$8,'INPUT - Bookings'!$E708&lt;=Settings!$C$8+14,IFERROR(INDEX(Settings!$Q$14:$Q$24,MATCH('INPUT - Bookings'!$G708,Settings!$P$14:$P$24,0)),"Yes")="Yes"),'INPUT - Bookings'!$E708+ROW()/100000,"")</f>
        <v/>
      </c>
    </row>
    <row r="709">
      <c r="BB709" s="244">
        <f>IF('INPUT - Bookings'!$B709="",0,IF(AND(OR(Dashboard!$D$9="All",TRIM('INPUT - Bookings'!$C709)=Dashboard!$D$9),OR(Dashboard!$J$9="All",TRIM('INPUT - Bookings'!$D709)=Dashboard!$J$9)),1,0))</f>
        <v/>
      </c>
      <c r="BC709" s="244">
        <f>IF(AND(BB709=1,ISNUMBER('INPUT - Bookings'!$E709),'INPUT - Bookings'!$E709&gt;=Settings!$C$8,'INPUT - Bookings'!$E709&lt;=Settings!$C$8+14,IFERROR(INDEX(Settings!$Q$14:$Q$24,MATCH('INPUT - Bookings'!$G709,Settings!$P$14:$P$24,0)),"Yes")="Yes"),'INPUT - Bookings'!$E709+ROW()/100000,"")</f>
        <v/>
      </c>
    </row>
    <row r="710">
      <c r="BB710" s="244">
        <f>IF('INPUT - Bookings'!$B710="",0,IF(AND(OR(Dashboard!$D$9="All",TRIM('INPUT - Bookings'!$C710)=Dashboard!$D$9),OR(Dashboard!$J$9="All",TRIM('INPUT - Bookings'!$D710)=Dashboard!$J$9)),1,0))</f>
        <v/>
      </c>
      <c r="BC710" s="244">
        <f>IF(AND(BB710=1,ISNUMBER('INPUT - Bookings'!$E710),'INPUT - Bookings'!$E710&gt;=Settings!$C$8,'INPUT - Bookings'!$E710&lt;=Settings!$C$8+14,IFERROR(INDEX(Settings!$Q$14:$Q$24,MATCH('INPUT - Bookings'!$G710,Settings!$P$14:$P$24,0)),"Yes")="Yes"),'INPUT - Bookings'!$E710+ROW()/100000,"")</f>
        <v/>
      </c>
    </row>
    <row r="711">
      <c r="BB711" s="244">
        <f>IF('INPUT - Bookings'!$B711="",0,IF(AND(OR(Dashboard!$D$9="All",TRIM('INPUT - Bookings'!$C711)=Dashboard!$D$9),OR(Dashboard!$J$9="All",TRIM('INPUT - Bookings'!$D711)=Dashboard!$J$9)),1,0))</f>
        <v/>
      </c>
      <c r="BC711" s="244">
        <f>IF(AND(BB711=1,ISNUMBER('INPUT - Bookings'!$E711),'INPUT - Bookings'!$E711&gt;=Settings!$C$8,'INPUT - Bookings'!$E711&lt;=Settings!$C$8+14,IFERROR(INDEX(Settings!$Q$14:$Q$24,MATCH('INPUT - Bookings'!$G711,Settings!$P$14:$P$24,0)),"Yes")="Yes"),'INPUT - Bookings'!$E711+ROW()/100000,"")</f>
        <v/>
      </c>
    </row>
    <row r="712">
      <c r="BB712" s="244">
        <f>IF('INPUT - Bookings'!$B712="",0,IF(AND(OR(Dashboard!$D$9="All",TRIM('INPUT - Bookings'!$C712)=Dashboard!$D$9),OR(Dashboard!$J$9="All",TRIM('INPUT - Bookings'!$D712)=Dashboard!$J$9)),1,0))</f>
        <v/>
      </c>
      <c r="BC712" s="244">
        <f>IF(AND(BB712=1,ISNUMBER('INPUT - Bookings'!$E712),'INPUT - Bookings'!$E712&gt;=Settings!$C$8,'INPUT - Bookings'!$E712&lt;=Settings!$C$8+14,IFERROR(INDEX(Settings!$Q$14:$Q$24,MATCH('INPUT - Bookings'!$G712,Settings!$P$14:$P$24,0)),"Yes")="Yes"),'INPUT - Bookings'!$E712+ROW()/100000,"")</f>
        <v/>
      </c>
    </row>
    <row r="713">
      <c r="BB713" s="244">
        <f>IF('INPUT - Bookings'!$B713="",0,IF(AND(OR(Dashboard!$D$9="All",TRIM('INPUT - Bookings'!$C713)=Dashboard!$D$9),OR(Dashboard!$J$9="All",TRIM('INPUT - Bookings'!$D713)=Dashboard!$J$9)),1,0))</f>
        <v/>
      </c>
      <c r="BC713" s="244">
        <f>IF(AND(BB713=1,ISNUMBER('INPUT - Bookings'!$E713),'INPUT - Bookings'!$E713&gt;=Settings!$C$8,'INPUT - Bookings'!$E713&lt;=Settings!$C$8+14,IFERROR(INDEX(Settings!$Q$14:$Q$24,MATCH('INPUT - Bookings'!$G713,Settings!$P$14:$P$24,0)),"Yes")="Yes"),'INPUT - Bookings'!$E713+ROW()/100000,"")</f>
        <v/>
      </c>
    </row>
    <row r="714">
      <c r="BB714" s="244">
        <f>IF('INPUT - Bookings'!$B714="",0,IF(AND(OR(Dashboard!$D$9="All",TRIM('INPUT - Bookings'!$C714)=Dashboard!$D$9),OR(Dashboard!$J$9="All",TRIM('INPUT - Bookings'!$D714)=Dashboard!$J$9)),1,0))</f>
        <v/>
      </c>
      <c r="BC714" s="244">
        <f>IF(AND(BB714=1,ISNUMBER('INPUT - Bookings'!$E714),'INPUT - Bookings'!$E714&gt;=Settings!$C$8,'INPUT - Bookings'!$E714&lt;=Settings!$C$8+14,IFERROR(INDEX(Settings!$Q$14:$Q$24,MATCH('INPUT - Bookings'!$G714,Settings!$P$14:$P$24,0)),"Yes")="Yes"),'INPUT - Bookings'!$E714+ROW()/100000,"")</f>
        <v/>
      </c>
    </row>
    <row r="715">
      <c r="BB715" s="244">
        <f>IF('INPUT - Bookings'!$B715="",0,IF(AND(OR(Dashboard!$D$9="All",TRIM('INPUT - Bookings'!$C715)=Dashboard!$D$9),OR(Dashboard!$J$9="All",TRIM('INPUT - Bookings'!$D715)=Dashboard!$J$9)),1,0))</f>
        <v/>
      </c>
      <c r="BC715" s="244">
        <f>IF(AND(BB715=1,ISNUMBER('INPUT - Bookings'!$E715),'INPUT - Bookings'!$E715&gt;=Settings!$C$8,'INPUT - Bookings'!$E715&lt;=Settings!$C$8+14,IFERROR(INDEX(Settings!$Q$14:$Q$24,MATCH('INPUT - Bookings'!$G715,Settings!$P$14:$P$24,0)),"Yes")="Yes"),'INPUT - Bookings'!$E715+ROW()/100000,"")</f>
        <v/>
      </c>
    </row>
    <row r="716">
      <c r="BB716" s="244">
        <f>IF('INPUT - Bookings'!$B716="",0,IF(AND(OR(Dashboard!$D$9="All",TRIM('INPUT - Bookings'!$C716)=Dashboard!$D$9),OR(Dashboard!$J$9="All",TRIM('INPUT - Bookings'!$D716)=Dashboard!$J$9)),1,0))</f>
        <v/>
      </c>
      <c r="BC716" s="244">
        <f>IF(AND(BB716=1,ISNUMBER('INPUT - Bookings'!$E716),'INPUT - Bookings'!$E716&gt;=Settings!$C$8,'INPUT - Bookings'!$E716&lt;=Settings!$C$8+14,IFERROR(INDEX(Settings!$Q$14:$Q$24,MATCH('INPUT - Bookings'!$G716,Settings!$P$14:$P$24,0)),"Yes")="Yes"),'INPUT - Bookings'!$E716+ROW()/100000,"")</f>
        <v/>
      </c>
    </row>
    <row r="717">
      <c r="BB717" s="244">
        <f>IF('INPUT - Bookings'!$B717="",0,IF(AND(OR(Dashboard!$D$9="All",TRIM('INPUT - Bookings'!$C717)=Dashboard!$D$9),OR(Dashboard!$J$9="All",TRIM('INPUT - Bookings'!$D717)=Dashboard!$J$9)),1,0))</f>
        <v/>
      </c>
      <c r="BC717" s="244">
        <f>IF(AND(BB717=1,ISNUMBER('INPUT - Bookings'!$E717),'INPUT - Bookings'!$E717&gt;=Settings!$C$8,'INPUT - Bookings'!$E717&lt;=Settings!$C$8+14,IFERROR(INDEX(Settings!$Q$14:$Q$24,MATCH('INPUT - Bookings'!$G717,Settings!$P$14:$P$24,0)),"Yes")="Yes"),'INPUT - Bookings'!$E717+ROW()/100000,"")</f>
        <v/>
      </c>
    </row>
    <row r="718">
      <c r="BB718" s="244">
        <f>IF('INPUT - Bookings'!$B718="",0,IF(AND(OR(Dashboard!$D$9="All",TRIM('INPUT - Bookings'!$C718)=Dashboard!$D$9),OR(Dashboard!$J$9="All",TRIM('INPUT - Bookings'!$D718)=Dashboard!$J$9)),1,0))</f>
        <v/>
      </c>
      <c r="BC718" s="244">
        <f>IF(AND(BB718=1,ISNUMBER('INPUT - Bookings'!$E718),'INPUT - Bookings'!$E718&gt;=Settings!$C$8,'INPUT - Bookings'!$E718&lt;=Settings!$C$8+14,IFERROR(INDEX(Settings!$Q$14:$Q$24,MATCH('INPUT - Bookings'!$G718,Settings!$P$14:$P$24,0)),"Yes")="Yes"),'INPUT - Bookings'!$E718+ROW()/100000,"")</f>
        <v/>
      </c>
    </row>
    <row r="719">
      <c r="BB719" s="244">
        <f>IF('INPUT - Bookings'!$B719="",0,IF(AND(OR(Dashboard!$D$9="All",TRIM('INPUT - Bookings'!$C719)=Dashboard!$D$9),OR(Dashboard!$J$9="All",TRIM('INPUT - Bookings'!$D719)=Dashboard!$J$9)),1,0))</f>
        <v/>
      </c>
      <c r="BC719" s="244">
        <f>IF(AND(BB719=1,ISNUMBER('INPUT - Bookings'!$E719),'INPUT - Bookings'!$E719&gt;=Settings!$C$8,'INPUT - Bookings'!$E719&lt;=Settings!$C$8+14,IFERROR(INDEX(Settings!$Q$14:$Q$24,MATCH('INPUT - Bookings'!$G719,Settings!$P$14:$P$24,0)),"Yes")="Yes"),'INPUT - Bookings'!$E719+ROW()/100000,"")</f>
        <v/>
      </c>
    </row>
    <row r="720">
      <c r="BB720" s="244">
        <f>IF('INPUT - Bookings'!$B720="",0,IF(AND(OR(Dashboard!$D$9="All",TRIM('INPUT - Bookings'!$C720)=Dashboard!$D$9),OR(Dashboard!$J$9="All",TRIM('INPUT - Bookings'!$D720)=Dashboard!$J$9)),1,0))</f>
        <v/>
      </c>
      <c r="BC720" s="244">
        <f>IF(AND(BB720=1,ISNUMBER('INPUT - Bookings'!$E720),'INPUT - Bookings'!$E720&gt;=Settings!$C$8,'INPUT - Bookings'!$E720&lt;=Settings!$C$8+14,IFERROR(INDEX(Settings!$Q$14:$Q$24,MATCH('INPUT - Bookings'!$G720,Settings!$P$14:$P$24,0)),"Yes")="Yes"),'INPUT - Bookings'!$E720+ROW()/100000,"")</f>
        <v/>
      </c>
    </row>
    <row r="721">
      <c r="BB721" s="244">
        <f>IF('INPUT - Bookings'!$B721="",0,IF(AND(OR(Dashboard!$D$9="All",TRIM('INPUT - Bookings'!$C721)=Dashboard!$D$9),OR(Dashboard!$J$9="All",TRIM('INPUT - Bookings'!$D721)=Dashboard!$J$9)),1,0))</f>
        <v/>
      </c>
      <c r="BC721" s="244">
        <f>IF(AND(BB721=1,ISNUMBER('INPUT - Bookings'!$E721),'INPUT - Bookings'!$E721&gt;=Settings!$C$8,'INPUT - Bookings'!$E721&lt;=Settings!$C$8+14,IFERROR(INDEX(Settings!$Q$14:$Q$24,MATCH('INPUT - Bookings'!$G721,Settings!$P$14:$P$24,0)),"Yes")="Yes"),'INPUT - Bookings'!$E721+ROW()/100000,"")</f>
        <v/>
      </c>
    </row>
    <row r="722">
      <c r="BB722" s="244">
        <f>IF('INPUT - Bookings'!$B722="",0,IF(AND(OR(Dashboard!$D$9="All",TRIM('INPUT - Bookings'!$C722)=Dashboard!$D$9),OR(Dashboard!$J$9="All",TRIM('INPUT - Bookings'!$D722)=Dashboard!$J$9)),1,0))</f>
        <v/>
      </c>
      <c r="BC722" s="244">
        <f>IF(AND(BB722=1,ISNUMBER('INPUT - Bookings'!$E722),'INPUT - Bookings'!$E722&gt;=Settings!$C$8,'INPUT - Bookings'!$E722&lt;=Settings!$C$8+14,IFERROR(INDEX(Settings!$Q$14:$Q$24,MATCH('INPUT - Bookings'!$G722,Settings!$P$14:$P$24,0)),"Yes")="Yes"),'INPUT - Bookings'!$E722+ROW()/100000,"")</f>
        <v/>
      </c>
    </row>
    <row r="723">
      <c r="BB723" s="244">
        <f>IF('INPUT - Bookings'!$B723="",0,IF(AND(OR(Dashboard!$D$9="All",TRIM('INPUT - Bookings'!$C723)=Dashboard!$D$9),OR(Dashboard!$J$9="All",TRIM('INPUT - Bookings'!$D723)=Dashboard!$J$9)),1,0))</f>
        <v/>
      </c>
      <c r="BC723" s="244">
        <f>IF(AND(BB723=1,ISNUMBER('INPUT - Bookings'!$E723),'INPUT - Bookings'!$E723&gt;=Settings!$C$8,'INPUT - Bookings'!$E723&lt;=Settings!$C$8+14,IFERROR(INDEX(Settings!$Q$14:$Q$24,MATCH('INPUT - Bookings'!$G723,Settings!$P$14:$P$24,0)),"Yes")="Yes"),'INPUT - Bookings'!$E723+ROW()/100000,"")</f>
        <v/>
      </c>
    </row>
    <row r="724">
      <c r="BB724" s="244">
        <f>IF('INPUT - Bookings'!$B724="",0,IF(AND(OR(Dashboard!$D$9="All",TRIM('INPUT - Bookings'!$C724)=Dashboard!$D$9),OR(Dashboard!$J$9="All",TRIM('INPUT - Bookings'!$D724)=Dashboard!$J$9)),1,0))</f>
        <v/>
      </c>
      <c r="BC724" s="244">
        <f>IF(AND(BB724=1,ISNUMBER('INPUT - Bookings'!$E724),'INPUT - Bookings'!$E724&gt;=Settings!$C$8,'INPUT - Bookings'!$E724&lt;=Settings!$C$8+14,IFERROR(INDEX(Settings!$Q$14:$Q$24,MATCH('INPUT - Bookings'!$G724,Settings!$P$14:$P$24,0)),"Yes")="Yes"),'INPUT - Bookings'!$E724+ROW()/100000,"")</f>
        <v/>
      </c>
    </row>
    <row r="725">
      <c r="BB725" s="244">
        <f>IF('INPUT - Bookings'!$B725="",0,IF(AND(OR(Dashboard!$D$9="All",TRIM('INPUT - Bookings'!$C725)=Dashboard!$D$9),OR(Dashboard!$J$9="All",TRIM('INPUT - Bookings'!$D725)=Dashboard!$J$9)),1,0))</f>
        <v/>
      </c>
      <c r="BC725" s="244">
        <f>IF(AND(BB725=1,ISNUMBER('INPUT - Bookings'!$E725),'INPUT - Bookings'!$E725&gt;=Settings!$C$8,'INPUT - Bookings'!$E725&lt;=Settings!$C$8+14,IFERROR(INDEX(Settings!$Q$14:$Q$24,MATCH('INPUT - Bookings'!$G725,Settings!$P$14:$P$24,0)),"Yes")="Yes"),'INPUT - Bookings'!$E725+ROW()/100000,"")</f>
        <v/>
      </c>
    </row>
    <row r="726">
      <c r="BB726" s="244">
        <f>IF('INPUT - Bookings'!$B726="",0,IF(AND(OR(Dashboard!$D$9="All",TRIM('INPUT - Bookings'!$C726)=Dashboard!$D$9),OR(Dashboard!$J$9="All",TRIM('INPUT - Bookings'!$D726)=Dashboard!$J$9)),1,0))</f>
        <v/>
      </c>
      <c r="BC726" s="244">
        <f>IF(AND(BB726=1,ISNUMBER('INPUT - Bookings'!$E726),'INPUT - Bookings'!$E726&gt;=Settings!$C$8,'INPUT - Bookings'!$E726&lt;=Settings!$C$8+14,IFERROR(INDEX(Settings!$Q$14:$Q$24,MATCH('INPUT - Bookings'!$G726,Settings!$P$14:$P$24,0)),"Yes")="Yes"),'INPUT - Bookings'!$E726+ROW()/100000,"")</f>
        <v/>
      </c>
    </row>
    <row r="727">
      <c r="BB727" s="244">
        <f>IF('INPUT - Bookings'!$B727="",0,IF(AND(OR(Dashboard!$D$9="All",TRIM('INPUT - Bookings'!$C727)=Dashboard!$D$9),OR(Dashboard!$J$9="All",TRIM('INPUT - Bookings'!$D727)=Dashboard!$J$9)),1,0))</f>
        <v/>
      </c>
      <c r="BC727" s="244">
        <f>IF(AND(BB727=1,ISNUMBER('INPUT - Bookings'!$E727),'INPUT - Bookings'!$E727&gt;=Settings!$C$8,'INPUT - Bookings'!$E727&lt;=Settings!$C$8+14,IFERROR(INDEX(Settings!$Q$14:$Q$24,MATCH('INPUT - Bookings'!$G727,Settings!$P$14:$P$24,0)),"Yes")="Yes"),'INPUT - Bookings'!$E727+ROW()/100000,"")</f>
        <v/>
      </c>
    </row>
    <row r="728">
      <c r="BB728" s="244">
        <f>IF('INPUT - Bookings'!$B728="",0,IF(AND(OR(Dashboard!$D$9="All",TRIM('INPUT - Bookings'!$C728)=Dashboard!$D$9),OR(Dashboard!$J$9="All",TRIM('INPUT - Bookings'!$D728)=Dashboard!$J$9)),1,0))</f>
        <v/>
      </c>
      <c r="BC728" s="244">
        <f>IF(AND(BB728=1,ISNUMBER('INPUT - Bookings'!$E728),'INPUT - Bookings'!$E728&gt;=Settings!$C$8,'INPUT - Bookings'!$E728&lt;=Settings!$C$8+14,IFERROR(INDEX(Settings!$Q$14:$Q$24,MATCH('INPUT - Bookings'!$G728,Settings!$P$14:$P$24,0)),"Yes")="Yes"),'INPUT - Bookings'!$E728+ROW()/100000,"")</f>
        <v/>
      </c>
    </row>
    <row r="729">
      <c r="BB729" s="244">
        <f>IF('INPUT - Bookings'!$B729="",0,IF(AND(OR(Dashboard!$D$9="All",TRIM('INPUT - Bookings'!$C729)=Dashboard!$D$9),OR(Dashboard!$J$9="All",TRIM('INPUT - Bookings'!$D729)=Dashboard!$J$9)),1,0))</f>
        <v/>
      </c>
      <c r="BC729" s="244">
        <f>IF(AND(BB729=1,ISNUMBER('INPUT - Bookings'!$E729),'INPUT - Bookings'!$E729&gt;=Settings!$C$8,'INPUT - Bookings'!$E729&lt;=Settings!$C$8+14,IFERROR(INDEX(Settings!$Q$14:$Q$24,MATCH('INPUT - Bookings'!$G729,Settings!$P$14:$P$24,0)),"Yes")="Yes"),'INPUT - Bookings'!$E729+ROW()/100000,"")</f>
        <v/>
      </c>
    </row>
    <row r="730">
      <c r="BB730" s="244">
        <f>IF('INPUT - Bookings'!$B730="",0,IF(AND(OR(Dashboard!$D$9="All",TRIM('INPUT - Bookings'!$C730)=Dashboard!$D$9),OR(Dashboard!$J$9="All",TRIM('INPUT - Bookings'!$D730)=Dashboard!$J$9)),1,0))</f>
        <v/>
      </c>
      <c r="BC730" s="244">
        <f>IF(AND(BB730=1,ISNUMBER('INPUT - Bookings'!$E730),'INPUT - Bookings'!$E730&gt;=Settings!$C$8,'INPUT - Bookings'!$E730&lt;=Settings!$C$8+14,IFERROR(INDEX(Settings!$Q$14:$Q$24,MATCH('INPUT - Bookings'!$G730,Settings!$P$14:$P$24,0)),"Yes")="Yes"),'INPUT - Bookings'!$E730+ROW()/100000,"")</f>
        <v/>
      </c>
    </row>
    <row r="731">
      <c r="BB731" s="244">
        <f>IF('INPUT - Bookings'!$B731="",0,IF(AND(OR(Dashboard!$D$9="All",TRIM('INPUT - Bookings'!$C731)=Dashboard!$D$9),OR(Dashboard!$J$9="All",TRIM('INPUT - Bookings'!$D731)=Dashboard!$J$9)),1,0))</f>
        <v/>
      </c>
      <c r="BC731" s="244">
        <f>IF(AND(BB731=1,ISNUMBER('INPUT - Bookings'!$E731),'INPUT - Bookings'!$E731&gt;=Settings!$C$8,'INPUT - Bookings'!$E731&lt;=Settings!$C$8+14,IFERROR(INDEX(Settings!$Q$14:$Q$24,MATCH('INPUT - Bookings'!$G731,Settings!$P$14:$P$24,0)),"Yes")="Yes"),'INPUT - Bookings'!$E731+ROW()/100000,"")</f>
        <v/>
      </c>
    </row>
    <row r="732">
      <c r="BB732" s="244">
        <f>IF('INPUT - Bookings'!$B732="",0,IF(AND(OR(Dashboard!$D$9="All",TRIM('INPUT - Bookings'!$C732)=Dashboard!$D$9),OR(Dashboard!$J$9="All",TRIM('INPUT - Bookings'!$D732)=Dashboard!$J$9)),1,0))</f>
        <v/>
      </c>
      <c r="BC732" s="244">
        <f>IF(AND(BB732=1,ISNUMBER('INPUT - Bookings'!$E732),'INPUT - Bookings'!$E732&gt;=Settings!$C$8,'INPUT - Bookings'!$E732&lt;=Settings!$C$8+14,IFERROR(INDEX(Settings!$Q$14:$Q$24,MATCH('INPUT - Bookings'!$G732,Settings!$P$14:$P$24,0)),"Yes")="Yes"),'INPUT - Bookings'!$E732+ROW()/100000,"")</f>
        <v/>
      </c>
    </row>
    <row r="733">
      <c r="BB733" s="244">
        <f>IF('INPUT - Bookings'!$B733="",0,IF(AND(OR(Dashboard!$D$9="All",TRIM('INPUT - Bookings'!$C733)=Dashboard!$D$9),OR(Dashboard!$J$9="All",TRIM('INPUT - Bookings'!$D733)=Dashboard!$J$9)),1,0))</f>
        <v/>
      </c>
      <c r="BC733" s="244">
        <f>IF(AND(BB733=1,ISNUMBER('INPUT - Bookings'!$E733),'INPUT - Bookings'!$E733&gt;=Settings!$C$8,'INPUT - Bookings'!$E733&lt;=Settings!$C$8+14,IFERROR(INDEX(Settings!$Q$14:$Q$24,MATCH('INPUT - Bookings'!$G733,Settings!$P$14:$P$24,0)),"Yes")="Yes"),'INPUT - Bookings'!$E733+ROW()/100000,"")</f>
        <v/>
      </c>
    </row>
    <row r="734">
      <c r="BB734" s="244">
        <f>IF('INPUT - Bookings'!$B734="",0,IF(AND(OR(Dashboard!$D$9="All",TRIM('INPUT - Bookings'!$C734)=Dashboard!$D$9),OR(Dashboard!$J$9="All",TRIM('INPUT - Bookings'!$D734)=Dashboard!$J$9)),1,0))</f>
        <v/>
      </c>
      <c r="BC734" s="244">
        <f>IF(AND(BB734=1,ISNUMBER('INPUT - Bookings'!$E734),'INPUT - Bookings'!$E734&gt;=Settings!$C$8,'INPUT - Bookings'!$E734&lt;=Settings!$C$8+14,IFERROR(INDEX(Settings!$Q$14:$Q$24,MATCH('INPUT - Bookings'!$G734,Settings!$P$14:$P$24,0)),"Yes")="Yes"),'INPUT - Bookings'!$E734+ROW()/100000,"")</f>
        <v/>
      </c>
    </row>
    <row r="735">
      <c r="BB735" s="244">
        <f>IF('INPUT - Bookings'!$B735="",0,IF(AND(OR(Dashboard!$D$9="All",TRIM('INPUT - Bookings'!$C735)=Dashboard!$D$9),OR(Dashboard!$J$9="All",TRIM('INPUT - Bookings'!$D735)=Dashboard!$J$9)),1,0))</f>
        <v/>
      </c>
      <c r="BC735" s="244">
        <f>IF(AND(BB735=1,ISNUMBER('INPUT - Bookings'!$E735),'INPUT - Bookings'!$E735&gt;=Settings!$C$8,'INPUT - Bookings'!$E735&lt;=Settings!$C$8+14,IFERROR(INDEX(Settings!$Q$14:$Q$24,MATCH('INPUT - Bookings'!$G735,Settings!$P$14:$P$24,0)),"Yes")="Yes"),'INPUT - Bookings'!$E735+ROW()/100000,"")</f>
        <v/>
      </c>
    </row>
    <row r="736">
      <c r="BB736" s="244">
        <f>IF('INPUT - Bookings'!$B736="",0,IF(AND(OR(Dashboard!$D$9="All",TRIM('INPUT - Bookings'!$C736)=Dashboard!$D$9),OR(Dashboard!$J$9="All",TRIM('INPUT - Bookings'!$D736)=Dashboard!$J$9)),1,0))</f>
        <v/>
      </c>
      <c r="BC736" s="244">
        <f>IF(AND(BB736=1,ISNUMBER('INPUT - Bookings'!$E736),'INPUT - Bookings'!$E736&gt;=Settings!$C$8,'INPUT - Bookings'!$E736&lt;=Settings!$C$8+14,IFERROR(INDEX(Settings!$Q$14:$Q$24,MATCH('INPUT - Bookings'!$G736,Settings!$P$14:$P$24,0)),"Yes")="Yes"),'INPUT - Bookings'!$E736+ROW()/100000,"")</f>
        <v/>
      </c>
    </row>
    <row r="737">
      <c r="BB737" s="244">
        <f>IF('INPUT - Bookings'!$B737="",0,IF(AND(OR(Dashboard!$D$9="All",TRIM('INPUT - Bookings'!$C737)=Dashboard!$D$9),OR(Dashboard!$J$9="All",TRIM('INPUT - Bookings'!$D737)=Dashboard!$J$9)),1,0))</f>
        <v/>
      </c>
      <c r="BC737" s="244">
        <f>IF(AND(BB737=1,ISNUMBER('INPUT - Bookings'!$E737),'INPUT - Bookings'!$E737&gt;=Settings!$C$8,'INPUT - Bookings'!$E737&lt;=Settings!$C$8+14,IFERROR(INDEX(Settings!$Q$14:$Q$24,MATCH('INPUT - Bookings'!$G737,Settings!$P$14:$P$24,0)),"Yes")="Yes"),'INPUT - Bookings'!$E737+ROW()/100000,"")</f>
        <v/>
      </c>
    </row>
    <row r="738">
      <c r="BB738" s="244">
        <f>IF('INPUT - Bookings'!$B738="",0,IF(AND(OR(Dashboard!$D$9="All",TRIM('INPUT - Bookings'!$C738)=Dashboard!$D$9),OR(Dashboard!$J$9="All",TRIM('INPUT - Bookings'!$D738)=Dashboard!$J$9)),1,0))</f>
        <v/>
      </c>
      <c r="BC738" s="244">
        <f>IF(AND(BB738=1,ISNUMBER('INPUT - Bookings'!$E738),'INPUT - Bookings'!$E738&gt;=Settings!$C$8,'INPUT - Bookings'!$E738&lt;=Settings!$C$8+14,IFERROR(INDEX(Settings!$Q$14:$Q$24,MATCH('INPUT - Bookings'!$G738,Settings!$P$14:$P$24,0)),"Yes")="Yes"),'INPUT - Bookings'!$E738+ROW()/100000,"")</f>
        <v/>
      </c>
    </row>
    <row r="739">
      <c r="BB739" s="244">
        <f>IF('INPUT - Bookings'!$B739="",0,IF(AND(OR(Dashboard!$D$9="All",TRIM('INPUT - Bookings'!$C739)=Dashboard!$D$9),OR(Dashboard!$J$9="All",TRIM('INPUT - Bookings'!$D739)=Dashboard!$J$9)),1,0))</f>
        <v/>
      </c>
      <c r="BC739" s="244">
        <f>IF(AND(BB739=1,ISNUMBER('INPUT - Bookings'!$E739),'INPUT - Bookings'!$E739&gt;=Settings!$C$8,'INPUT - Bookings'!$E739&lt;=Settings!$C$8+14,IFERROR(INDEX(Settings!$Q$14:$Q$24,MATCH('INPUT - Bookings'!$G739,Settings!$P$14:$P$24,0)),"Yes")="Yes"),'INPUT - Bookings'!$E739+ROW()/100000,"")</f>
        <v/>
      </c>
    </row>
    <row r="740">
      <c r="BB740" s="244">
        <f>IF('INPUT - Bookings'!$B740="",0,IF(AND(OR(Dashboard!$D$9="All",TRIM('INPUT - Bookings'!$C740)=Dashboard!$D$9),OR(Dashboard!$J$9="All",TRIM('INPUT - Bookings'!$D740)=Dashboard!$J$9)),1,0))</f>
        <v/>
      </c>
      <c r="BC740" s="244">
        <f>IF(AND(BB740=1,ISNUMBER('INPUT - Bookings'!$E740),'INPUT - Bookings'!$E740&gt;=Settings!$C$8,'INPUT - Bookings'!$E740&lt;=Settings!$C$8+14,IFERROR(INDEX(Settings!$Q$14:$Q$24,MATCH('INPUT - Bookings'!$G740,Settings!$P$14:$P$24,0)),"Yes")="Yes"),'INPUT - Bookings'!$E740+ROW()/100000,"")</f>
        <v/>
      </c>
    </row>
    <row r="741">
      <c r="BB741" s="244">
        <f>IF('INPUT - Bookings'!$B741="",0,IF(AND(OR(Dashboard!$D$9="All",TRIM('INPUT - Bookings'!$C741)=Dashboard!$D$9),OR(Dashboard!$J$9="All",TRIM('INPUT - Bookings'!$D741)=Dashboard!$J$9)),1,0))</f>
        <v/>
      </c>
      <c r="BC741" s="244">
        <f>IF(AND(BB741=1,ISNUMBER('INPUT - Bookings'!$E741),'INPUT - Bookings'!$E741&gt;=Settings!$C$8,'INPUT - Bookings'!$E741&lt;=Settings!$C$8+14,IFERROR(INDEX(Settings!$Q$14:$Q$24,MATCH('INPUT - Bookings'!$G741,Settings!$P$14:$P$24,0)),"Yes")="Yes"),'INPUT - Bookings'!$E741+ROW()/100000,"")</f>
        <v/>
      </c>
    </row>
    <row r="742">
      <c r="BB742" s="244">
        <f>IF('INPUT - Bookings'!$B742="",0,IF(AND(OR(Dashboard!$D$9="All",TRIM('INPUT - Bookings'!$C742)=Dashboard!$D$9),OR(Dashboard!$J$9="All",TRIM('INPUT - Bookings'!$D742)=Dashboard!$J$9)),1,0))</f>
        <v/>
      </c>
      <c r="BC742" s="244">
        <f>IF(AND(BB742=1,ISNUMBER('INPUT - Bookings'!$E742),'INPUT - Bookings'!$E742&gt;=Settings!$C$8,'INPUT - Bookings'!$E742&lt;=Settings!$C$8+14,IFERROR(INDEX(Settings!$Q$14:$Q$24,MATCH('INPUT - Bookings'!$G742,Settings!$P$14:$P$24,0)),"Yes")="Yes"),'INPUT - Bookings'!$E742+ROW()/100000,"")</f>
        <v/>
      </c>
    </row>
    <row r="743">
      <c r="BB743" s="244">
        <f>IF('INPUT - Bookings'!$B743="",0,IF(AND(OR(Dashboard!$D$9="All",TRIM('INPUT - Bookings'!$C743)=Dashboard!$D$9),OR(Dashboard!$J$9="All",TRIM('INPUT - Bookings'!$D743)=Dashboard!$J$9)),1,0))</f>
        <v/>
      </c>
      <c r="BC743" s="244">
        <f>IF(AND(BB743=1,ISNUMBER('INPUT - Bookings'!$E743),'INPUT - Bookings'!$E743&gt;=Settings!$C$8,'INPUT - Bookings'!$E743&lt;=Settings!$C$8+14,IFERROR(INDEX(Settings!$Q$14:$Q$24,MATCH('INPUT - Bookings'!$G743,Settings!$P$14:$P$24,0)),"Yes")="Yes"),'INPUT - Bookings'!$E743+ROW()/100000,"")</f>
        <v/>
      </c>
    </row>
    <row r="744">
      <c r="BB744" s="244">
        <f>IF('INPUT - Bookings'!$B744="",0,IF(AND(OR(Dashboard!$D$9="All",TRIM('INPUT - Bookings'!$C744)=Dashboard!$D$9),OR(Dashboard!$J$9="All",TRIM('INPUT - Bookings'!$D744)=Dashboard!$J$9)),1,0))</f>
        <v/>
      </c>
      <c r="BC744" s="244">
        <f>IF(AND(BB744=1,ISNUMBER('INPUT - Bookings'!$E744),'INPUT - Bookings'!$E744&gt;=Settings!$C$8,'INPUT - Bookings'!$E744&lt;=Settings!$C$8+14,IFERROR(INDEX(Settings!$Q$14:$Q$24,MATCH('INPUT - Bookings'!$G744,Settings!$P$14:$P$24,0)),"Yes")="Yes"),'INPUT - Bookings'!$E744+ROW()/100000,"")</f>
        <v/>
      </c>
    </row>
    <row r="745">
      <c r="BB745" s="244">
        <f>IF('INPUT - Bookings'!$B745="",0,IF(AND(OR(Dashboard!$D$9="All",TRIM('INPUT - Bookings'!$C745)=Dashboard!$D$9),OR(Dashboard!$J$9="All",TRIM('INPUT - Bookings'!$D745)=Dashboard!$J$9)),1,0))</f>
        <v/>
      </c>
      <c r="BC745" s="244">
        <f>IF(AND(BB745=1,ISNUMBER('INPUT - Bookings'!$E745),'INPUT - Bookings'!$E745&gt;=Settings!$C$8,'INPUT - Bookings'!$E745&lt;=Settings!$C$8+14,IFERROR(INDEX(Settings!$Q$14:$Q$24,MATCH('INPUT - Bookings'!$G745,Settings!$P$14:$P$24,0)),"Yes")="Yes"),'INPUT - Bookings'!$E745+ROW()/100000,"")</f>
        <v/>
      </c>
    </row>
    <row r="746">
      <c r="BB746" s="244">
        <f>IF('INPUT - Bookings'!$B746="",0,IF(AND(OR(Dashboard!$D$9="All",TRIM('INPUT - Bookings'!$C746)=Dashboard!$D$9),OR(Dashboard!$J$9="All",TRIM('INPUT - Bookings'!$D746)=Dashboard!$J$9)),1,0))</f>
        <v/>
      </c>
      <c r="BC746" s="244">
        <f>IF(AND(BB746=1,ISNUMBER('INPUT - Bookings'!$E746),'INPUT - Bookings'!$E746&gt;=Settings!$C$8,'INPUT - Bookings'!$E746&lt;=Settings!$C$8+14,IFERROR(INDEX(Settings!$Q$14:$Q$24,MATCH('INPUT - Bookings'!$G746,Settings!$P$14:$P$24,0)),"Yes")="Yes"),'INPUT - Bookings'!$E746+ROW()/100000,"")</f>
        <v/>
      </c>
    </row>
    <row r="747">
      <c r="BB747" s="244">
        <f>IF('INPUT - Bookings'!$B747="",0,IF(AND(OR(Dashboard!$D$9="All",TRIM('INPUT - Bookings'!$C747)=Dashboard!$D$9),OR(Dashboard!$J$9="All",TRIM('INPUT - Bookings'!$D747)=Dashboard!$J$9)),1,0))</f>
        <v/>
      </c>
      <c r="BC747" s="244">
        <f>IF(AND(BB747=1,ISNUMBER('INPUT - Bookings'!$E747),'INPUT - Bookings'!$E747&gt;=Settings!$C$8,'INPUT - Bookings'!$E747&lt;=Settings!$C$8+14,IFERROR(INDEX(Settings!$Q$14:$Q$24,MATCH('INPUT - Bookings'!$G747,Settings!$P$14:$P$24,0)),"Yes")="Yes"),'INPUT - Bookings'!$E747+ROW()/100000,"")</f>
        <v/>
      </c>
    </row>
    <row r="748">
      <c r="BB748" s="244">
        <f>IF('INPUT - Bookings'!$B748="",0,IF(AND(OR(Dashboard!$D$9="All",TRIM('INPUT - Bookings'!$C748)=Dashboard!$D$9),OR(Dashboard!$J$9="All",TRIM('INPUT - Bookings'!$D748)=Dashboard!$J$9)),1,0))</f>
        <v/>
      </c>
      <c r="BC748" s="244">
        <f>IF(AND(BB748=1,ISNUMBER('INPUT - Bookings'!$E748),'INPUT - Bookings'!$E748&gt;=Settings!$C$8,'INPUT - Bookings'!$E748&lt;=Settings!$C$8+14,IFERROR(INDEX(Settings!$Q$14:$Q$24,MATCH('INPUT - Bookings'!$G748,Settings!$P$14:$P$24,0)),"Yes")="Yes"),'INPUT - Bookings'!$E748+ROW()/100000,"")</f>
        <v/>
      </c>
    </row>
    <row r="749">
      <c r="BB749" s="244">
        <f>IF('INPUT - Bookings'!$B749="",0,IF(AND(OR(Dashboard!$D$9="All",TRIM('INPUT - Bookings'!$C749)=Dashboard!$D$9),OR(Dashboard!$J$9="All",TRIM('INPUT - Bookings'!$D749)=Dashboard!$J$9)),1,0))</f>
        <v/>
      </c>
      <c r="BC749" s="244">
        <f>IF(AND(BB749=1,ISNUMBER('INPUT - Bookings'!$E749),'INPUT - Bookings'!$E749&gt;=Settings!$C$8,'INPUT - Bookings'!$E749&lt;=Settings!$C$8+14,IFERROR(INDEX(Settings!$Q$14:$Q$24,MATCH('INPUT - Bookings'!$G749,Settings!$P$14:$P$24,0)),"Yes")="Yes"),'INPUT - Bookings'!$E749+ROW()/100000,"")</f>
        <v/>
      </c>
    </row>
    <row r="750">
      <c r="BB750" s="244">
        <f>IF('INPUT - Bookings'!$B750="",0,IF(AND(OR(Dashboard!$D$9="All",TRIM('INPUT - Bookings'!$C750)=Dashboard!$D$9),OR(Dashboard!$J$9="All",TRIM('INPUT - Bookings'!$D750)=Dashboard!$J$9)),1,0))</f>
        <v/>
      </c>
      <c r="BC750" s="244">
        <f>IF(AND(BB750=1,ISNUMBER('INPUT - Bookings'!$E750),'INPUT - Bookings'!$E750&gt;=Settings!$C$8,'INPUT - Bookings'!$E750&lt;=Settings!$C$8+14,IFERROR(INDEX(Settings!$Q$14:$Q$24,MATCH('INPUT - Bookings'!$G750,Settings!$P$14:$P$24,0)),"Yes")="Yes"),'INPUT - Bookings'!$E750+ROW()/100000,"")</f>
        <v/>
      </c>
    </row>
    <row r="751">
      <c r="BB751" s="244">
        <f>IF('INPUT - Bookings'!$B751="",0,IF(AND(OR(Dashboard!$D$9="All",TRIM('INPUT - Bookings'!$C751)=Dashboard!$D$9),OR(Dashboard!$J$9="All",TRIM('INPUT - Bookings'!$D751)=Dashboard!$J$9)),1,0))</f>
        <v/>
      </c>
      <c r="BC751" s="244">
        <f>IF(AND(BB751=1,ISNUMBER('INPUT - Bookings'!$E751),'INPUT - Bookings'!$E751&gt;=Settings!$C$8,'INPUT - Bookings'!$E751&lt;=Settings!$C$8+14,IFERROR(INDEX(Settings!$Q$14:$Q$24,MATCH('INPUT - Bookings'!$G751,Settings!$P$14:$P$24,0)),"Yes")="Yes"),'INPUT - Bookings'!$E751+ROW()/100000,"")</f>
        <v/>
      </c>
    </row>
    <row r="752">
      <c r="BB752" s="244">
        <f>IF('INPUT - Bookings'!$B752="",0,IF(AND(OR(Dashboard!$D$9="All",TRIM('INPUT - Bookings'!$C752)=Dashboard!$D$9),OR(Dashboard!$J$9="All",TRIM('INPUT - Bookings'!$D752)=Dashboard!$J$9)),1,0))</f>
        <v/>
      </c>
      <c r="BC752" s="244">
        <f>IF(AND(BB752=1,ISNUMBER('INPUT - Bookings'!$E752),'INPUT - Bookings'!$E752&gt;=Settings!$C$8,'INPUT - Bookings'!$E752&lt;=Settings!$C$8+14,IFERROR(INDEX(Settings!$Q$14:$Q$24,MATCH('INPUT - Bookings'!$G752,Settings!$P$14:$P$24,0)),"Yes")="Yes"),'INPUT - Bookings'!$E752+ROW()/100000,"")</f>
        <v/>
      </c>
    </row>
    <row r="753">
      <c r="BB753" s="244">
        <f>IF('INPUT - Bookings'!$B753="",0,IF(AND(OR(Dashboard!$D$9="All",TRIM('INPUT - Bookings'!$C753)=Dashboard!$D$9),OR(Dashboard!$J$9="All",TRIM('INPUT - Bookings'!$D753)=Dashboard!$J$9)),1,0))</f>
        <v/>
      </c>
      <c r="BC753" s="244">
        <f>IF(AND(BB753=1,ISNUMBER('INPUT - Bookings'!$E753),'INPUT - Bookings'!$E753&gt;=Settings!$C$8,'INPUT - Bookings'!$E753&lt;=Settings!$C$8+14,IFERROR(INDEX(Settings!$Q$14:$Q$24,MATCH('INPUT - Bookings'!$G753,Settings!$P$14:$P$24,0)),"Yes")="Yes"),'INPUT - Bookings'!$E753+ROW()/100000,"")</f>
        <v/>
      </c>
    </row>
    <row r="754">
      <c r="BB754" s="244">
        <f>IF('INPUT - Bookings'!$B754="",0,IF(AND(OR(Dashboard!$D$9="All",TRIM('INPUT - Bookings'!$C754)=Dashboard!$D$9),OR(Dashboard!$J$9="All",TRIM('INPUT - Bookings'!$D754)=Dashboard!$J$9)),1,0))</f>
        <v/>
      </c>
      <c r="BC754" s="244">
        <f>IF(AND(BB754=1,ISNUMBER('INPUT - Bookings'!$E754),'INPUT - Bookings'!$E754&gt;=Settings!$C$8,'INPUT - Bookings'!$E754&lt;=Settings!$C$8+14,IFERROR(INDEX(Settings!$Q$14:$Q$24,MATCH('INPUT - Bookings'!$G754,Settings!$P$14:$P$24,0)),"Yes")="Yes"),'INPUT - Bookings'!$E754+ROW()/100000,"")</f>
        <v/>
      </c>
    </row>
    <row r="755">
      <c r="BB755" s="244">
        <f>IF('INPUT - Bookings'!$B755="",0,IF(AND(OR(Dashboard!$D$9="All",TRIM('INPUT - Bookings'!$C755)=Dashboard!$D$9),OR(Dashboard!$J$9="All",TRIM('INPUT - Bookings'!$D755)=Dashboard!$J$9)),1,0))</f>
        <v/>
      </c>
      <c r="BC755" s="244">
        <f>IF(AND(BB755=1,ISNUMBER('INPUT - Bookings'!$E755),'INPUT - Bookings'!$E755&gt;=Settings!$C$8,'INPUT - Bookings'!$E755&lt;=Settings!$C$8+14,IFERROR(INDEX(Settings!$Q$14:$Q$24,MATCH('INPUT - Bookings'!$G755,Settings!$P$14:$P$24,0)),"Yes")="Yes"),'INPUT - Bookings'!$E755+ROW()/100000,"")</f>
        <v/>
      </c>
    </row>
    <row r="756">
      <c r="BB756" s="244">
        <f>IF('INPUT - Bookings'!$B756="",0,IF(AND(OR(Dashboard!$D$9="All",TRIM('INPUT - Bookings'!$C756)=Dashboard!$D$9),OR(Dashboard!$J$9="All",TRIM('INPUT - Bookings'!$D756)=Dashboard!$J$9)),1,0))</f>
        <v/>
      </c>
      <c r="BC756" s="244">
        <f>IF(AND(BB756=1,ISNUMBER('INPUT - Bookings'!$E756),'INPUT - Bookings'!$E756&gt;=Settings!$C$8,'INPUT - Bookings'!$E756&lt;=Settings!$C$8+14,IFERROR(INDEX(Settings!$Q$14:$Q$24,MATCH('INPUT - Bookings'!$G756,Settings!$P$14:$P$24,0)),"Yes")="Yes"),'INPUT - Bookings'!$E756+ROW()/100000,"")</f>
        <v/>
      </c>
    </row>
    <row r="757">
      <c r="BB757" s="244">
        <f>IF('INPUT - Bookings'!$B757="",0,IF(AND(OR(Dashboard!$D$9="All",TRIM('INPUT - Bookings'!$C757)=Dashboard!$D$9),OR(Dashboard!$J$9="All",TRIM('INPUT - Bookings'!$D757)=Dashboard!$J$9)),1,0))</f>
        <v/>
      </c>
      <c r="BC757" s="244">
        <f>IF(AND(BB757=1,ISNUMBER('INPUT - Bookings'!$E757),'INPUT - Bookings'!$E757&gt;=Settings!$C$8,'INPUT - Bookings'!$E757&lt;=Settings!$C$8+14,IFERROR(INDEX(Settings!$Q$14:$Q$24,MATCH('INPUT - Bookings'!$G757,Settings!$P$14:$P$24,0)),"Yes")="Yes"),'INPUT - Bookings'!$E757+ROW()/100000,"")</f>
        <v/>
      </c>
    </row>
    <row r="758">
      <c r="BB758" s="244">
        <f>IF('INPUT - Bookings'!$B758="",0,IF(AND(OR(Dashboard!$D$9="All",TRIM('INPUT - Bookings'!$C758)=Dashboard!$D$9),OR(Dashboard!$J$9="All",TRIM('INPUT - Bookings'!$D758)=Dashboard!$J$9)),1,0))</f>
        <v/>
      </c>
      <c r="BC758" s="244">
        <f>IF(AND(BB758=1,ISNUMBER('INPUT - Bookings'!$E758),'INPUT - Bookings'!$E758&gt;=Settings!$C$8,'INPUT - Bookings'!$E758&lt;=Settings!$C$8+14,IFERROR(INDEX(Settings!$Q$14:$Q$24,MATCH('INPUT - Bookings'!$G758,Settings!$P$14:$P$24,0)),"Yes")="Yes"),'INPUT - Bookings'!$E758+ROW()/100000,"")</f>
        <v/>
      </c>
    </row>
    <row r="759">
      <c r="BB759" s="244">
        <f>IF('INPUT - Bookings'!$B759="",0,IF(AND(OR(Dashboard!$D$9="All",TRIM('INPUT - Bookings'!$C759)=Dashboard!$D$9),OR(Dashboard!$J$9="All",TRIM('INPUT - Bookings'!$D759)=Dashboard!$J$9)),1,0))</f>
        <v/>
      </c>
      <c r="BC759" s="244">
        <f>IF(AND(BB759=1,ISNUMBER('INPUT - Bookings'!$E759),'INPUT - Bookings'!$E759&gt;=Settings!$C$8,'INPUT - Bookings'!$E759&lt;=Settings!$C$8+14,IFERROR(INDEX(Settings!$Q$14:$Q$24,MATCH('INPUT - Bookings'!$G759,Settings!$P$14:$P$24,0)),"Yes")="Yes"),'INPUT - Bookings'!$E759+ROW()/100000,"")</f>
        <v/>
      </c>
    </row>
    <row r="760">
      <c r="BB760" s="244">
        <f>IF('INPUT - Bookings'!$B760="",0,IF(AND(OR(Dashboard!$D$9="All",TRIM('INPUT - Bookings'!$C760)=Dashboard!$D$9),OR(Dashboard!$J$9="All",TRIM('INPUT - Bookings'!$D760)=Dashboard!$J$9)),1,0))</f>
        <v/>
      </c>
      <c r="BC760" s="244">
        <f>IF(AND(BB760=1,ISNUMBER('INPUT - Bookings'!$E760),'INPUT - Bookings'!$E760&gt;=Settings!$C$8,'INPUT - Bookings'!$E760&lt;=Settings!$C$8+14,IFERROR(INDEX(Settings!$Q$14:$Q$24,MATCH('INPUT - Bookings'!$G760,Settings!$P$14:$P$24,0)),"Yes")="Yes"),'INPUT - Bookings'!$E760+ROW()/100000,"")</f>
        <v/>
      </c>
    </row>
    <row r="761">
      <c r="BB761" s="244">
        <f>IF('INPUT - Bookings'!$B761="",0,IF(AND(OR(Dashboard!$D$9="All",TRIM('INPUT - Bookings'!$C761)=Dashboard!$D$9),OR(Dashboard!$J$9="All",TRIM('INPUT - Bookings'!$D761)=Dashboard!$J$9)),1,0))</f>
        <v/>
      </c>
      <c r="BC761" s="244">
        <f>IF(AND(BB761=1,ISNUMBER('INPUT - Bookings'!$E761),'INPUT - Bookings'!$E761&gt;=Settings!$C$8,'INPUT - Bookings'!$E761&lt;=Settings!$C$8+14,IFERROR(INDEX(Settings!$Q$14:$Q$24,MATCH('INPUT - Bookings'!$G761,Settings!$P$14:$P$24,0)),"Yes")="Yes"),'INPUT - Bookings'!$E761+ROW()/100000,"")</f>
        <v/>
      </c>
    </row>
    <row r="762">
      <c r="BB762" s="244">
        <f>IF('INPUT - Bookings'!$B762="",0,IF(AND(OR(Dashboard!$D$9="All",TRIM('INPUT - Bookings'!$C762)=Dashboard!$D$9),OR(Dashboard!$J$9="All",TRIM('INPUT - Bookings'!$D762)=Dashboard!$J$9)),1,0))</f>
        <v/>
      </c>
      <c r="BC762" s="244">
        <f>IF(AND(BB762=1,ISNUMBER('INPUT - Bookings'!$E762),'INPUT - Bookings'!$E762&gt;=Settings!$C$8,'INPUT - Bookings'!$E762&lt;=Settings!$C$8+14,IFERROR(INDEX(Settings!$Q$14:$Q$24,MATCH('INPUT - Bookings'!$G762,Settings!$P$14:$P$24,0)),"Yes")="Yes"),'INPUT - Bookings'!$E762+ROW()/100000,"")</f>
        <v/>
      </c>
    </row>
    <row r="763">
      <c r="BB763" s="244">
        <f>IF('INPUT - Bookings'!$B763="",0,IF(AND(OR(Dashboard!$D$9="All",TRIM('INPUT - Bookings'!$C763)=Dashboard!$D$9),OR(Dashboard!$J$9="All",TRIM('INPUT - Bookings'!$D763)=Dashboard!$J$9)),1,0))</f>
        <v/>
      </c>
      <c r="BC763" s="244">
        <f>IF(AND(BB763=1,ISNUMBER('INPUT - Bookings'!$E763),'INPUT - Bookings'!$E763&gt;=Settings!$C$8,'INPUT - Bookings'!$E763&lt;=Settings!$C$8+14,IFERROR(INDEX(Settings!$Q$14:$Q$24,MATCH('INPUT - Bookings'!$G763,Settings!$P$14:$P$24,0)),"Yes")="Yes"),'INPUT - Bookings'!$E763+ROW()/100000,"")</f>
        <v/>
      </c>
    </row>
    <row r="764">
      <c r="BB764" s="244">
        <f>IF('INPUT - Bookings'!$B764="",0,IF(AND(OR(Dashboard!$D$9="All",TRIM('INPUT - Bookings'!$C764)=Dashboard!$D$9),OR(Dashboard!$J$9="All",TRIM('INPUT - Bookings'!$D764)=Dashboard!$J$9)),1,0))</f>
        <v/>
      </c>
      <c r="BC764" s="244">
        <f>IF(AND(BB764=1,ISNUMBER('INPUT - Bookings'!$E764),'INPUT - Bookings'!$E764&gt;=Settings!$C$8,'INPUT - Bookings'!$E764&lt;=Settings!$C$8+14,IFERROR(INDEX(Settings!$Q$14:$Q$24,MATCH('INPUT - Bookings'!$G764,Settings!$P$14:$P$24,0)),"Yes")="Yes"),'INPUT - Bookings'!$E764+ROW()/100000,"")</f>
        <v/>
      </c>
    </row>
    <row r="765">
      <c r="BB765" s="244">
        <f>IF('INPUT - Bookings'!$B765="",0,IF(AND(OR(Dashboard!$D$9="All",TRIM('INPUT - Bookings'!$C765)=Dashboard!$D$9),OR(Dashboard!$J$9="All",TRIM('INPUT - Bookings'!$D765)=Dashboard!$J$9)),1,0))</f>
        <v/>
      </c>
      <c r="BC765" s="244">
        <f>IF(AND(BB765=1,ISNUMBER('INPUT - Bookings'!$E765),'INPUT - Bookings'!$E765&gt;=Settings!$C$8,'INPUT - Bookings'!$E765&lt;=Settings!$C$8+14,IFERROR(INDEX(Settings!$Q$14:$Q$24,MATCH('INPUT - Bookings'!$G765,Settings!$P$14:$P$24,0)),"Yes")="Yes"),'INPUT - Bookings'!$E765+ROW()/100000,"")</f>
        <v/>
      </c>
    </row>
    <row r="766">
      <c r="BB766" s="244">
        <f>IF('INPUT - Bookings'!$B766="",0,IF(AND(OR(Dashboard!$D$9="All",TRIM('INPUT - Bookings'!$C766)=Dashboard!$D$9),OR(Dashboard!$J$9="All",TRIM('INPUT - Bookings'!$D766)=Dashboard!$J$9)),1,0))</f>
        <v/>
      </c>
      <c r="BC766" s="244">
        <f>IF(AND(BB766=1,ISNUMBER('INPUT - Bookings'!$E766),'INPUT - Bookings'!$E766&gt;=Settings!$C$8,'INPUT - Bookings'!$E766&lt;=Settings!$C$8+14,IFERROR(INDEX(Settings!$Q$14:$Q$24,MATCH('INPUT - Bookings'!$G766,Settings!$P$14:$P$24,0)),"Yes")="Yes"),'INPUT - Bookings'!$E766+ROW()/100000,"")</f>
        <v/>
      </c>
    </row>
    <row r="767">
      <c r="BB767" s="244">
        <f>IF('INPUT - Bookings'!$B767="",0,IF(AND(OR(Dashboard!$D$9="All",TRIM('INPUT - Bookings'!$C767)=Dashboard!$D$9),OR(Dashboard!$J$9="All",TRIM('INPUT - Bookings'!$D767)=Dashboard!$J$9)),1,0))</f>
        <v/>
      </c>
      <c r="BC767" s="244">
        <f>IF(AND(BB767=1,ISNUMBER('INPUT - Bookings'!$E767),'INPUT - Bookings'!$E767&gt;=Settings!$C$8,'INPUT - Bookings'!$E767&lt;=Settings!$C$8+14,IFERROR(INDEX(Settings!$Q$14:$Q$24,MATCH('INPUT - Bookings'!$G767,Settings!$P$14:$P$24,0)),"Yes")="Yes"),'INPUT - Bookings'!$E767+ROW()/100000,"")</f>
        <v/>
      </c>
    </row>
    <row r="768">
      <c r="BB768" s="244">
        <f>IF('INPUT - Bookings'!$B768="",0,IF(AND(OR(Dashboard!$D$9="All",TRIM('INPUT - Bookings'!$C768)=Dashboard!$D$9),OR(Dashboard!$J$9="All",TRIM('INPUT - Bookings'!$D768)=Dashboard!$J$9)),1,0))</f>
        <v/>
      </c>
      <c r="BC768" s="244">
        <f>IF(AND(BB768=1,ISNUMBER('INPUT - Bookings'!$E768),'INPUT - Bookings'!$E768&gt;=Settings!$C$8,'INPUT - Bookings'!$E768&lt;=Settings!$C$8+14,IFERROR(INDEX(Settings!$Q$14:$Q$24,MATCH('INPUT - Bookings'!$G768,Settings!$P$14:$P$24,0)),"Yes")="Yes"),'INPUT - Bookings'!$E768+ROW()/100000,"")</f>
        <v/>
      </c>
    </row>
    <row r="769">
      <c r="BB769" s="244">
        <f>IF('INPUT - Bookings'!$B769="",0,IF(AND(OR(Dashboard!$D$9="All",TRIM('INPUT - Bookings'!$C769)=Dashboard!$D$9),OR(Dashboard!$J$9="All",TRIM('INPUT - Bookings'!$D769)=Dashboard!$J$9)),1,0))</f>
        <v/>
      </c>
      <c r="BC769" s="244">
        <f>IF(AND(BB769=1,ISNUMBER('INPUT - Bookings'!$E769),'INPUT - Bookings'!$E769&gt;=Settings!$C$8,'INPUT - Bookings'!$E769&lt;=Settings!$C$8+14,IFERROR(INDEX(Settings!$Q$14:$Q$24,MATCH('INPUT - Bookings'!$G769,Settings!$P$14:$P$24,0)),"Yes")="Yes"),'INPUT - Bookings'!$E769+ROW()/100000,"")</f>
        <v/>
      </c>
    </row>
    <row r="770">
      <c r="BB770" s="244">
        <f>IF('INPUT - Bookings'!$B770="",0,IF(AND(OR(Dashboard!$D$9="All",TRIM('INPUT - Bookings'!$C770)=Dashboard!$D$9),OR(Dashboard!$J$9="All",TRIM('INPUT - Bookings'!$D770)=Dashboard!$J$9)),1,0))</f>
        <v/>
      </c>
      <c r="BC770" s="244">
        <f>IF(AND(BB770=1,ISNUMBER('INPUT - Bookings'!$E770),'INPUT - Bookings'!$E770&gt;=Settings!$C$8,'INPUT - Bookings'!$E770&lt;=Settings!$C$8+14,IFERROR(INDEX(Settings!$Q$14:$Q$24,MATCH('INPUT - Bookings'!$G770,Settings!$P$14:$P$24,0)),"Yes")="Yes"),'INPUT - Bookings'!$E770+ROW()/100000,"")</f>
        <v/>
      </c>
    </row>
    <row r="771">
      <c r="BB771" s="244">
        <f>IF('INPUT - Bookings'!$B771="",0,IF(AND(OR(Dashboard!$D$9="All",TRIM('INPUT - Bookings'!$C771)=Dashboard!$D$9),OR(Dashboard!$J$9="All",TRIM('INPUT - Bookings'!$D771)=Dashboard!$J$9)),1,0))</f>
        <v/>
      </c>
      <c r="BC771" s="244">
        <f>IF(AND(BB771=1,ISNUMBER('INPUT - Bookings'!$E771),'INPUT - Bookings'!$E771&gt;=Settings!$C$8,'INPUT - Bookings'!$E771&lt;=Settings!$C$8+14,IFERROR(INDEX(Settings!$Q$14:$Q$24,MATCH('INPUT - Bookings'!$G771,Settings!$P$14:$P$24,0)),"Yes")="Yes"),'INPUT - Bookings'!$E771+ROW()/100000,"")</f>
        <v/>
      </c>
    </row>
    <row r="772">
      <c r="BB772" s="244">
        <f>IF('INPUT - Bookings'!$B772="",0,IF(AND(OR(Dashboard!$D$9="All",TRIM('INPUT - Bookings'!$C772)=Dashboard!$D$9),OR(Dashboard!$J$9="All",TRIM('INPUT - Bookings'!$D772)=Dashboard!$J$9)),1,0))</f>
        <v/>
      </c>
      <c r="BC772" s="244">
        <f>IF(AND(BB772=1,ISNUMBER('INPUT - Bookings'!$E772),'INPUT - Bookings'!$E772&gt;=Settings!$C$8,'INPUT - Bookings'!$E772&lt;=Settings!$C$8+14,IFERROR(INDEX(Settings!$Q$14:$Q$24,MATCH('INPUT - Bookings'!$G772,Settings!$P$14:$P$24,0)),"Yes")="Yes"),'INPUT - Bookings'!$E772+ROW()/100000,"")</f>
        <v/>
      </c>
    </row>
    <row r="773">
      <c r="BB773" s="244">
        <f>IF('INPUT - Bookings'!$B773="",0,IF(AND(OR(Dashboard!$D$9="All",TRIM('INPUT - Bookings'!$C773)=Dashboard!$D$9),OR(Dashboard!$J$9="All",TRIM('INPUT - Bookings'!$D773)=Dashboard!$J$9)),1,0))</f>
        <v/>
      </c>
      <c r="BC773" s="244">
        <f>IF(AND(BB773=1,ISNUMBER('INPUT - Bookings'!$E773),'INPUT - Bookings'!$E773&gt;=Settings!$C$8,'INPUT - Bookings'!$E773&lt;=Settings!$C$8+14,IFERROR(INDEX(Settings!$Q$14:$Q$24,MATCH('INPUT - Bookings'!$G773,Settings!$P$14:$P$24,0)),"Yes")="Yes"),'INPUT - Bookings'!$E773+ROW()/100000,"")</f>
        <v/>
      </c>
    </row>
    <row r="774">
      <c r="BB774" s="244">
        <f>IF('INPUT - Bookings'!$B774="",0,IF(AND(OR(Dashboard!$D$9="All",TRIM('INPUT - Bookings'!$C774)=Dashboard!$D$9),OR(Dashboard!$J$9="All",TRIM('INPUT - Bookings'!$D774)=Dashboard!$J$9)),1,0))</f>
        <v/>
      </c>
      <c r="BC774" s="244">
        <f>IF(AND(BB774=1,ISNUMBER('INPUT - Bookings'!$E774),'INPUT - Bookings'!$E774&gt;=Settings!$C$8,'INPUT - Bookings'!$E774&lt;=Settings!$C$8+14,IFERROR(INDEX(Settings!$Q$14:$Q$24,MATCH('INPUT - Bookings'!$G774,Settings!$P$14:$P$24,0)),"Yes")="Yes"),'INPUT - Bookings'!$E774+ROW()/100000,"")</f>
        <v/>
      </c>
    </row>
    <row r="775">
      <c r="BB775" s="244">
        <f>IF('INPUT - Bookings'!$B775="",0,IF(AND(OR(Dashboard!$D$9="All",TRIM('INPUT - Bookings'!$C775)=Dashboard!$D$9),OR(Dashboard!$J$9="All",TRIM('INPUT - Bookings'!$D775)=Dashboard!$J$9)),1,0))</f>
        <v/>
      </c>
      <c r="BC775" s="244">
        <f>IF(AND(BB775=1,ISNUMBER('INPUT - Bookings'!$E775),'INPUT - Bookings'!$E775&gt;=Settings!$C$8,'INPUT - Bookings'!$E775&lt;=Settings!$C$8+14,IFERROR(INDEX(Settings!$Q$14:$Q$24,MATCH('INPUT - Bookings'!$G775,Settings!$P$14:$P$24,0)),"Yes")="Yes"),'INPUT - Bookings'!$E775+ROW()/100000,"")</f>
        <v/>
      </c>
    </row>
    <row r="776">
      <c r="BB776" s="244">
        <f>IF('INPUT - Bookings'!$B776="",0,IF(AND(OR(Dashboard!$D$9="All",TRIM('INPUT - Bookings'!$C776)=Dashboard!$D$9),OR(Dashboard!$J$9="All",TRIM('INPUT - Bookings'!$D776)=Dashboard!$J$9)),1,0))</f>
        <v/>
      </c>
      <c r="BC776" s="244">
        <f>IF(AND(BB776=1,ISNUMBER('INPUT - Bookings'!$E776),'INPUT - Bookings'!$E776&gt;=Settings!$C$8,'INPUT - Bookings'!$E776&lt;=Settings!$C$8+14,IFERROR(INDEX(Settings!$Q$14:$Q$24,MATCH('INPUT - Bookings'!$G776,Settings!$P$14:$P$24,0)),"Yes")="Yes"),'INPUT - Bookings'!$E776+ROW()/100000,"")</f>
        <v/>
      </c>
    </row>
    <row r="777">
      <c r="BB777" s="244">
        <f>IF('INPUT - Bookings'!$B777="",0,IF(AND(OR(Dashboard!$D$9="All",TRIM('INPUT - Bookings'!$C777)=Dashboard!$D$9),OR(Dashboard!$J$9="All",TRIM('INPUT - Bookings'!$D777)=Dashboard!$J$9)),1,0))</f>
        <v/>
      </c>
      <c r="BC777" s="244">
        <f>IF(AND(BB777=1,ISNUMBER('INPUT - Bookings'!$E777),'INPUT - Bookings'!$E777&gt;=Settings!$C$8,'INPUT - Bookings'!$E777&lt;=Settings!$C$8+14,IFERROR(INDEX(Settings!$Q$14:$Q$24,MATCH('INPUT - Bookings'!$G777,Settings!$P$14:$P$24,0)),"Yes")="Yes"),'INPUT - Bookings'!$E777+ROW()/100000,"")</f>
        <v/>
      </c>
    </row>
    <row r="778">
      <c r="BB778" s="244">
        <f>IF('INPUT - Bookings'!$B778="",0,IF(AND(OR(Dashboard!$D$9="All",TRIM('INPUT - Bookings'!$C778)=Dashboard!$D$9),OR(Dashboard!$J$9="All",TRIM('INPUT - Bookings'!$D778)=Dashboard!$J$9)),1,0))</f>
        <v/>
      </c>
      <c r="BC778" s="244">
        <f>IF(AND(BB778=1,ISNUMBER('INPUT - Bookings'!$E778),'INPUT - Bookings'!$E778&gt;=Settings!$C$8,'INPUT - Bookings'!$E778&lt;=Settings!$C$8+14,IFERROR(INDEX(Settings!$Q$14:$Q$24,MATCH('INPUT - Bookings'!$G778,Settings!$P$14:$P$24,0)),"Yes")="Yes"),'INPUT - Bookings'!$E778+ROW()/100000,"")</f>
        <v/>
      </c>
    </row>
    <row r="779">
      <c r="BB779" s="244">
        <f>IF('INPUT - Bookings'!$B779="",0,IF(AND(OR(Dashboard!$D$9="All",TRIM('INPUT - Bookings'!$C779)=Dashboard!$D$9),OR(Dashboard!$J$9="All",TRIM('INPUT - Bookings'!$D779)=Dashboard!$J$9)),1,0))</f>
        <v/>
      </c>
      <c r="BC779" s="244">
        <f>IF(AND(BB779=1,ISNUMBER('INPUT - Bookings'!$E779),'INPUT - Bookings'!$E779&gt;=Settings!$C$8,'INPUT - Bookings'!$E779&lt;=Settings!$C$8+14,IFERROR(INDEX(Settings!$Q$14:$Q$24,MATCH('INPUT - Bookings'!$G779,Settings!$P$14:$P$24,0)),"Yes")="Yes"),'INPUT - Bookings'!$E779+ROW()/100000,"")</f>
        <v/>
      </c>
    </row>
    <row r="780">
      <c r="BB780" s="244">
        <f>IF('INPUT - Bookings'!$B780="",0,IF(AND(OR(Dashboard!$D$9="All",TRIM('INPUT - Bookings'!$C780)=Dashboard!$D$9),OR(Dashboard!$J$9="All",TRIM('INPUT - Bookings'!$D780)=Dashboard!$J$9)),1,0))</f>
        <v/>
      </c>
      <c r="BC780" s="244">
        <f>IF(AND(BB780=1,ISNUMBER('INPUT - Bookings'!$E780),'INPUT - Bookings'!$E780&gt;=Settings!$C$8,'INPUT - Bookings'!$E780&lt;=Settings!$C$8+14,IFERROR(INDEX(Settings!$Q$14:$Q$24,MATCH('INPUT - Bookings'!$G780,Settings!$P$14:$P$24,0)),"Yes")="Yes"),'INPUT - Bookings'!$E780+ROW()/100000,"")</f>
        <v/>
      </c>
    </row>
    <row r="781">
      <c r="BB781" s="244">
        <f>IF('INPUT - Bookings'!$B781="",0,IF(AND(OR(Dashboard!$D$9="All",TRIM('INPUT - Bookings'!$C781)=Dashboard!$D$9),OR(Dashboard!$J$9="All",TRIM('INPUT - Bookings'!$D781)=Dashboard!$J$9)),1,0))</f>
        <v/>
      </c>
      <c r="BC781" s="244">
        <f>IF(AND(BB781=1,ISNUMBER('INPUT - Bookings'!$E781),'INPUT - Bookings'!$E781&gt;=Settings!$C$8,'INPUT - Bookings'!$E781&lt;=Settings!$C$8+14,IFERROR(INDEX(Settings!$Q$14:$Q$24,MATCH('INPUT - Bookings'!$G781,Settings!$P$14:$P$24,0)),"Yes")="Yes"),'INPUT - Bookings'!$E781+ROW()/100000,"")</f>
        <v/>
      </c>
    </row>
    <row r="782">
      <c r="BB782" s="244">
        <f>IF('INPUT - Bookings'!$B782="",0,IF(AND(OR(Dashboard!$D$9="All",TRIM('INPUT - Bookings'!$C782)=Dashboard!$D$9),OR(Dashboard!$J$9="All",TRIM('INPUT - Bookings'!$D782)=Dashboard!$J$9)),1,0))</f>
        <v/>
      </c>
      <c r="BC782" s="244">
        <f>IF(AND(BB782=1,ISNUMBER('INPUT - Bookings'!$E782),'INPUT - Bookings'!$E782&gt;=Settings!$C$8,'INPUT - Bookings'!$E782&lt;=Settings!$C$8+14,IFERROR(INDEX(Settings!$Q$14:$Q$24,MATCH('INPUT - Bookings'!$G782,Settings!$P$14:$P$24,0)),"Yes")="Yes"),'INPUT - Bookings'!$E782+ROW()/100000,"")</f>
        <v/>
      </c>
    </row>
    <row r="783">
      <c r="BB783" s="244">
        <f>IF('INPUT - Bookings'!$B783="",0,IF(AND(OR(Dashboard!$D$9="All",TRIM('INPUT - Bookings'!$C783)=Dashboard!$D$9),OR(Dashboard!$J$9="All",TRIM('INPUT - Bookings'!$D783)=Dashboard!$J$9)),1,0))</f>
        <v/>
      </c>
      <c r="BC783" s="244">
        <f>IF(AND(BB783=1,ISNUMBER('INPUT - Bookings'!$E783),'INPUT - Bookings'!$E783&gt;=Settings!$C$8,'INPUT - Bookings'!$E783&lt;=Settings!$C$8+14,IFERROR(INDEX(Settings!$Q$14:$Q$24,MATCH('INPUT - Bookings'!$G783,Settings!$P$14:$P$24,0)),"Yes")="Yes"),'INPUT - Bookings'!$E783+ROW()/100000,"")</f>
        <v/>
      </c>
    </row>
    <row r="784">
      <c r="BB784" s="244">
        <f>IF('INPUT - Bookings'!$B784="",0,IF(AND(OR(Dashboard!$D$9="All",TRIM('INPUT - Bookings'!$C784)=Dashboard!$D$9),OR(Dashboard!$J$9="All",TRIM('INPUT - Bookings'!$D784)=Dashboard!$J$9)),1,0))</f>
        <v/>
      </c>
      <c r="BC784" s="244">
        <f>IF(AND(BB784=1,ISNUMBER('INPUT - Bookings'!$E784),'INPUT - Bookings'!$E784&gt;=Settings!$C$8,'INPUT - Bookings'!$E784&lt;=Settings!$C$8+14,IFERROR(INDEX(Settings!$Q$14:$Q$24,MATCH('INPUT - Bookings'!$G784,Settings!$P$14:$P$24,0)),"Yes")="Yes"),'INPUT - Bookings'!$E784+ROW()/100000,"")</f>
        <v/>
      </c>
    </row>
    <row r="785">
      <c r="BB785" s="244">
        <f>IF('INPUT - Bookings'!$B785="",0,IF(AND(OR(Dashboard!$D$9="All",TRIM('INPUT - Bookings'!$C785)=Dashboard!$D$9),OR(Dashboard!$J$9="All",TRIM('INPUT - Bookings'!$D785)=Dashboard!$J$9)),1,0))</f>
        <v/>
      </c>
      <c r="BC785" s="244">
        <f>IF(AND(BB785=1,ISNUMBER('INPUT - Bookings'!$E785),'INPUT - Bookings'!$E785&gt;=Settings!$C$8,'INPUT - Bookings'!$E785&lt;=Settings!$C$8+14,IFERROR(INDEX(Settings!$Q$14:$Q$24,MATCH('INPUT - Bookings'!$G785,Settings!$P$14:$P$24,0)),"Yes")="Yes"),'INPUT - Bookings'!$E785+ROW()/100000,"")</f>
        <v/>
      </c>
    </row>
    <row r="786">
      <c r="BB786" s="244">
        <f>IF('INPUT - Bookings'!$B786="",0,IF(AND(OR(Dashboard!$D$9="All",TRIM('INPUT - Bookings'!$C786)=Dashboard!$D$9),OR(Dashboard!$J$9="All",TRIM('INPUT - Bookings'!$D786)=Dashboard!$J$9)),1,0))</f>
        <v/>
      </c>
      <c r="BC786" s="244">
        <f>IF(AND(BB786=1,ISNUMBER('INPUT - Bookings'!$E786),'INPUT - Bookings'!$E786&gt;=Settings!$C$8,'INPUT - Bookings'!$E786&lt;=Settings!$C$8+14,IFERROR(INDEX(Settings!$Q$14:$Q$24,MATCH('INPUT - Bookings'!$G786,Settings!$P$14:$P$24,0)),"Yes")="Yes"),'INPUT - Bookings'!$E786+ROW()/100000,"")</f>
        <v/>
      </c>
    </row>
    <row r="787">
      <c r="BB787" s="244">
        <f>IF('INPUT - Bookings'!$B787="",0,IF(AND(OR(Dashboard!$D$9="All",TRIM('INPUT - Bookings'!$C787)=Dashboard!$D$9),OR(Dashboard!$J$9="All",TRIM('INPUT - Bookings'!$D787)=Dashboard!$J$9)),1,0))</f>
        <v/>
      </c>
      <c r="BC787" s="244">
        <f>IF(AND(BB787=1,ISNUMBER('INPUT - Bookings'!$E787),'INPUT - Bookings'!$E787&gt;=Settings!$C$8,'INPUT - Bookings'!$E787&lt;=Settings!$C$8+14,IFERROR(INDEX(Settings!$Q$14:$Q$24,MATCH('INPUT - Bookings'!$G787,Settings!$P$14:$P$24,0)),"Yes")="Yes"),'INPUT - Bookings'!$E787+ROW()/100000,"")</f>
        <v/>
      </c>
    </row>
    <row r="788">
      <c r="BB788" s="244">
        <f>IF('INPUT - Bookings'!$B788="",0,IF(AND(OR(Dashboard!$D$9="All",TRIM('INPUT - Bookings'!$C788)=Dashboard!$D$9),OR(Dashboard!$J$9="All",TRIM('INPUT - Bookings'!$D788)=Dashboard!$J$9)),1,0))</f>
        <v/>
      </c>
      <c r="BC788" s="244">
        <f>IF(AND(BB788=1,ISNUMBER('INPUT - Bookings'!$E788),'INPUT - Bookings'!$E788&gt;=Settings!$C$8,'INPUT - Bookings'!$E788&lt;=Settings!$C$8+14,IFERROR(INDEX(Settings!$Q$14:$Q$24,MATCH('INPUT - Bookings'!$G788,Settings!$P$14:$P$24,0)),"Yes")="Yes"),'INPUT - Bookings'!$E788+ROW()/100000,"")</f>
        <v/>
      </c>
    </row>
    <row r="789">
      <c r="BB789" s="244">
        <f>IF('INPUT - Bookings'!$B789="",0,IF(AND(OR(Dashboard!$D$9="All",TRIM('INPUT - Bookings'!$C789)=Dashboard!$D$9),OR(Dashboard!$J$9="All",TRIM('INPUT - Bookings'!$D789)=Dashboard!$J$9)),1,0))</f>
        <v/>
      </c>
      <c r="BC789" s="244">
        <f>IF(AND(BB789=1,ISNUMBER('INPUT - Bookings'!$E789),'INPUT - Bookings'!$E789&gt;=Settings!$C$8,'INPUT - Bookings'!$E789&lt;=Settings!$C$8+14,IFERROR(INDEX(Settings!$Q$14:$Q$24,MATCH('INPUT - Bookings'!$G789,Settings!$P$14:$P$24,0)),"Yes")="Yes"),'INPUT - Bookings'!$E789+ROW()/100000,"")</f>
        <v/>
      </c>
    </row>
    <row r="790">
      <c r="BB790" s="244">
        <f>IF('INPUT - Bookings'!$B790="",0,IF(AND(OR(Dashboard!$D$9="All",TRIM('INPUT - Bookings'!$C790)=Dashboard!$D$9),OR(Dashboard!$J$9="All",TRIM('INPUT - Bookings'!$D790)=Dashboard!$J$9)),1,0))</f>
        <v/>
      </c>
      <c r="BC790" s="244">
        <f>IF(AND(BB790=1,ISNUMBER('INPUT - Bookings'!$E790),'INPUT - Bookings'!$E790&gt;=Settings!$C$8,'INPUT - Bookings'!$E790&lt;=Settings!$C$8+14,IFERROR(INDEX(Settings!$Q$14:$Q$24,MATCH('INPUT - Bookings'!$G790,Settings!$P$14:$P$24,0)),"Yes")="Yes"),'INPUT - Bookings'!$E790+ROW()/100000,"")</f>
        <v/>
      </c>
    </row>
    <row r="791">
      <c r="BB791" s="244">
        <f>IF('INPUT - Bookings'!$B791="",0,IF(AND(OR(Dashboard!$D$9="All",TRIM('INPUT - Bookings'!$C791)=Dashboard!$D$9),OR(Dashboard!$J$9="All",TRIM('INPUT - Bookings'!$D791)=Dashboard!$J$9)),1,0))</f>
        <v/>
      </c>
      <c r="BC791" s="244">
        <f>IF(AND(BB791=1,ISNUMBER('INPUT - Bookings'!$E791),'INPUT - Bookings'!$E791&gt;=Settings!$C$8,'INPUT - Bookings'!$E791&lt;=Settings!$C$8+14,IFERROR(INDEX(Settings!$Q$14:$Q$24,MATCH('INPUT - Bookings'!$G791,Settings!$P$14:$P$24,0)),"Yes")="Yes"),'INPUT - Bookings'!$E791+ROW()/100000,"")</f>
        <v/>
      </c>
    </row>
    <row r="792">
      <c r="BB792" s="244">
        <f>IF('INPUT - Bookings'!$B792="",0,IF(AND(OR(Dashboard!$D$9="All",TRIM('INPUT - Bookings'!$C792)=Dashboard!$D$9),OR(Dashboard!$J$9="All",TRIM('INPUT - Bookings'!$D792)=Dashboard!$J$9)),1,0))</f>
        <v/>
      </c>
      <c r="BC792" s="244">
        <f>IF(AND(BB792=1,ISNUMBER('INPUT - Bookings'!$E792),'INPUT - Bookings'!$E792&gt;=Settings!$C$8,'INPUT - Bookings'!$E792&lt;=Settings!$C$8+14,IFERROR(INDEX(Settings!$Q$14:$Q$24,MATCH('INPUT - Bookings'!$G792,Settings!$P$14:$P$24,0)),"Yes")="Yes"),'INPUT - Bookings'!$E792+ROW()/100000,"")</f>
        <v/>
      </c>
    </row>
    <row r="793">
      <c r="BB793" s="244">
        <f>IF('INPUT - Bookings'!$B793="",0,IF(AND(OR(Dashboard!$D$9="All",TRIM('INPUT - Bookings'!$C793)=Dashboard!$D$9),OR(Dashboard!$J$9="All",TRIM('INPUT - Bookings'!$D793)=Dashboard!$J$9)),1,0))</f>
        <v/>
      </c>
      <c r="BC793" s="244">
        <f>IF(AND(BB793=1,ISNUMBER('INPUT - Bookings'!$E793),'INPUT - Bookings'!$E793&gt;=Settings!$C$8,'INPUT - Bookings'!$E793&lt;=Settings!$C$8+14,IFERROR(INDEX(Settings!$Q$14:$Q$24,MATCH('INPUT - Bookings'!$G793,Settings!$P$14:$P$24,0)),"Yes")="Yes"),'INPUT - Bookings'!$E793+ROW()/100000,"")</f>
        <v/>
      </c>
    </row>
    <row r="794">
      <c r="BB794" s="244">
        <f>IF('INPUT - Bookings'!$B794="",0,IF(AND(OR(Dashboard!$D$9="All",TRIM('INPUT - Bookings'!$C794)=Dashboard!$D$9),OR(Dashboard!$J$9="All",TRIM('INPUT - Bookings'!$D794)=Dashboard!$J$9)),1,0))</f>
        <v/>
      </c>
      <c r="BC794" s="244">
        <f>IF(AND(BB794=1,ISNUMBER('INPUT - Bookings'!$E794),'INPUT - Bookings'!$E794&gt;=Settings!$C$8,'INPUT - Bookings'!$E794&lt;=Settings!$C$8+14,IFERROR(INDEX(Settings!$Q$14:$Q$24,MATCH('INPUT - Bookings'!$G794,Settings!$P$14:$P$24,0)),"Yes")="Yes"),'INPUT - Bookings'!$E794+ROW()/100000,"")</f>
        <v/>
      </c>
    </row>
    <row r="795">
      <c r="BB795" s="244">
        <f>IF('INPUT - Bookings'!$B795="",0,IF(AND(OR(Dashboard!$D$9="All",TRIM('INPUT - Bookings'!$C795)=Dashboard!$D$9),OR(Dashboard!$J$9="All",TRIM('INPUT - Bookings'!$D795)=Dashboard!$J$9)),1,0))</f>
        <v/>
      </c>
      <c r="BC795" s="244">
        <f>IF(AND(BB795=1,ISNUMBER('INPUT - Bookings'!$E795),'INPUT - Bookings'!$E795&gt;=Settings!$C$8,'INPUT - Bookings'!$E795&lt;=Settings!$C$8+14,IFERROR(INDEX(Settings!$Q$14:$Q$24,MATCH('INPUT - Bookings'!$G795,Settings!$P$14:$P$24,0)),"Yes")="Yes"),'INPUT - Bookings'!$E795+ROW()/100000,"")</f>
        <v/>
      </c>
    </row>
    <row r="796">
      <c r="BB796" s="244">
        <f>IF('INPUT - Bookings'!$B796="",0,IF(AND(OR(Dashboard!$D$9="All",TRIM('INPUT - Bookings'!$C796)=Dashboard!$D$9),OR(Dashboard!$J$9="All",TRIM('INPUT - Bookings'!$D796)=Dashboard!$J$9)),1,0))</f>
        <v/>
      </c>
      <c r="BC796" s="244">
        <f>IF(AND(BB796=1,ISNUMBER('INPUT - Bookings'!$E796),'INPUT - Bookings'!$E796&gt;=Settings!$C$8,'INPUT - Bookings'!$E796&lt;=Settings!$C$8+14,IFERROR(INDEX(Settings!$Q$14:$Q$24,MATCH('INPUT - Bookings'!$G796,Settings!$P$14:$P$24,0)),"Yes")="Yes"),'INPUT - Bookings'!$E796+ROW()/100000,"")</f>
        <v/>
      </c>
    </row>
    <row r="797">
      <c r="BB797" s="244">
        <f>IF('INPUT - Bookings'!$B797="",0,IF(AND(OR(Dashboard!$D$9="All",TRIM('INPUT - Bookings'!$C797)=Dashboard!$D$9),OR(Dashboard!$J$9="All",TRIM('INPUT - Bookings'!$D797)=Dashboard!$J$9)),1,0))</f>
        <v/>
      </c>
      <c r="BC797" s="244">
        <f>IF(AND(BB797=1,ISNUMBER('INPUT - Bookings'!$E797),'INPUT - Bookings'!$E797&gt;=Settings!$C$8,'INPUT - Bookings'!$E797&lt;=Settings!$C$8+14,IFERROR(INDEX(Settings!$Q$14:$Q$24,MATCH('INPUT - Bookings'!$G797,Settings!$P$14:$P$24,0)),"Yes")="Yes"),'INPUT - Bookings'!$E797+ROW()/100000,"")</f>
        <v/>
      </c>
    </row>
    <row r="798">
      <c r="BB798" s="244">
        <f>IF('INPUT - Bookings'!$B798="",0,IF(AND(OR(Dashboard!$D$9="All",TRIM('INPUT - Bookings'!$C798)=Dashboard!$D$9),OR(Dashboard!$J$9="All",TRIM('INPUT - Bookings'!$D798)=Dashboard!$J$9)),1,0))</f>
        <v/>
      </c>
      <c r="BC798" s="244">
        <f>IF(AND(BB798=1,ISNUMBER('INPUT - Bookings'!$E798),'INPUT - Bookings'!$E798&gt;=Settings!$C$8,'INPUT - Bookings'!$E798&lt;=Settings!$C$8+14,IFERROR(INDEX(Settings!$Q$14:$Q$24,MATCH('INPUT - Bookings'!$G798,Settings!$P$14:$P$24,0)),"Yes")="Yes"),'INPUT - Bookings'!$E798+ROW()/100000,"")</f>
        <v/>
      </c>
    </row>
    <row r="799">
      <c r="BB799" s="244">
        <f>IF('INPUT - Bookings'!$B799="",0,IF(AND(OR(Dashboard!$D$9="All",TRIM('INPUT - Bookings'!$C799)=Dashboard!$D$9),OR(Dashboard!$J$9="All",TRIM('INPUT - Bookings'!$D799)=Dashboard!$J$9)),1,0))</f>
        <v/>
      </c>
      <c r="BC799" s="244">
        <f>IF(AND(BB799=1,ISNUMBER('INPUT - Bookings'!$E799),'INPUT - Bookings'!$E799&gt;=Settings!$C$8,'INPUT - Bookings'!$E799&lt;=Settings!$C$8+14,IFERROR(INDEX(Settings!$Q$14:$Q$24,MATCH('INPUT - Bookings'!$G799,Settings!$P$14:$P$24,0)),"Yes")="Yes"),'INPUT - Bookings'!$E799+ROW()/100000,"")</f>
        <v/>
      </c>
    </row>
    <row r="800">
      <c r="BB800" s="244">
        <f>IF('INPUT - Bookings'!$B800="",0,IF(AND(OR(Dashboard!$D$9="All",TRIM('INPUT - Bookings'!$C800)=Dashboard!$D$9),OR(Dashboard!$J$9="All",TRIM('INPUT - Bookings'!$D800)=Dashboard!$J$9)),1,0))</f>
        <v/>
      </c>
      <c r="BC800" s="244">
        <f>IF(AND(BB800=1,ISNUMBER('INPUT - Bookings'!$E800),'INPUT - Bookings'!$E800&gt;=Settings!$C$8,'INPUT - Bookings'!$E800&lt;=Settings!$C$8+14,IFERROR(INDEX(Settings!$Q$14:$Q$24,MATCH('INPUT - Bookings'!$G800,Settings!$P$14:$P$24,0)),"Yes")="Yes"),'INPUT - Bookings'!$E800+ROW()/100000,"")</f>
        <v/>
      </c>
    </row>
    <row r="801">
      <c r="BB801" s="244">
        <f>IF('INPUT - Bookings'!$B801="",0,IF(AND(OR(Dashboard!$D$9="All",TRIM('INPUT - Bookings'!$C801)=Dashboard!$D$9),OR(Dashboard!$J$9="All",TRIM('INPUT - Bookings'!$D801)=Dashboard!$J$9)),1,0))</f>
        <v/>
      </c>
      <c r="BC801" s="244">
        <f>IF(AND(BB801=1,ISNUMBER('INPUT - Bookings'!$E801),'INPUT - Bookings'!$E801&gt;=Settings!$C$8,'INPUT - Bookings'!$E801&lt;=Settings!$C$8+14,IFERROR(INDEX(Settings!$Q$14:$Q$24,MATCH('INPUT - Bookings'!$G801,Settings!$P$14:$P$24,0)),"Yes")="Yes"),'INPUT - Bookings'!$E801+ROW()/100000,"")</f>
        <v/>
      </c>
    </row>
    <row r="802">
      <c r="BB802" s="244">
        <f>IF('INPUT - Bookings'!$B802="",0,IF(AND(OR(Dashboard!$D$9="All",TRIM('INPUT - Bookings'!$C802)=Dashboard!$D$9),OR(Dashboard!$J$9="All",TRIM('INPUT - Bookings'!$D802)=Dashboard!$J$9)),1,0))</f>
        <v/>
      </c>
      <c r="BC802" s="244">
        <f>IF(AND(BB802=1,ISNUMBER('INPUT - Bookings'!$E802),'INPUT - Bookings'!$E802&gt;=Settings!$C$8,'INPUT - Bookings'!$E802&lt;=Settings!$C$8+14,IFERROR(INDEX(Settings!$Q$14:$Q$24,MATCH('INPUT - Bookings'!$G802,Settings!$P$14:$P$24,0)),"Yes")="Yes"),'INPUT - Bookings'!$E802+ROW()/100000,"")</f>
        <v/>
      </c>
    </row>
    <row r="803">
      <c r="BB803" s="244">
        <f>IF('INPUT - Bookings'!$B803="",0,IF(AND(OR(Dashboard!$D$9="All",TRIM('INPUT - Bookings'!$C803)=Dashboard!$D$9),OR(Dashboard!$J$9="All",TRIM('INPUT - Bookings'!$D803)=Dashboard!$J$9)),1,0))</f>
        <v/>
      </c>
      <c r="BC803" s="244">
        <f>IF(AND(BB803=1,ISNUMBER('INPUT - Bookings'!$E803),'INPUT - Bookings'!$E803&gt;=Settings!$C$8,'INPUT - Bookings'!$E803&lt;=Settings!$C$8+14,IFERROR(INDEX(Settings!$Q$14:$Q$24,MATCH('INPUT - Bookings'!$G803,Settings!$P$14:$P$24,0)),"Yes")="Yes"),'INPUT - Bookings'!$E803+ROW()/100000,"")</f>
        <v/>
      </c>
    </row>
    <row r="804">
      <c r="BB804" s="244">
        <f>IF('INPUT - Bookings'!$B804="",0,IF(AND(OR(Dashboard!$D$9="All",TRIM('INPUT - Bookings'!$C804)=Dashboard!$D$9),OR(Dashboard!$J$9="All",TRIM('INPUT - Bookings'!$D804)=Dashboard!$J$9)),1,0))</f>
        <v/>
      </c>
      <c r="BC804" s="244">
        <f>IF(AND(BB804=1,ISNUMBER('INPUT - Bookings'!$E804),'INPUT - Bookings'!$E804&gt;=Settings!$C$8,'INPUT - Bookings'!$E804&lt;=Settings!$C$8+14,IFERROR(INDEX(Settings!$Q$14:$Q$24,MATCH('INPUT - Bookings'!$G804,Settings!$P$14:$P$24,0)),"Yes")="Yes"),'INPUT - Bookings'!$E804+ROW()/100000,"")</f>
        <v/>
      </c>
    </row>
    <row r="805">
      <c r="BB805" s="244">
        <f>IF('INPUT - Bookings'!$B805="",0,IF(AND(OR(Dashboard!$D$9="All",TRIM('INPUT - Bookings'!$C805)=Dashboard!$D$9),OR(Dashboard!$J$9="All",TRIM('INPUT - Bookings'!$D805)=Dashboard!$J$9)),1,0))</f>
        <v/>
      </c>
      <c r="BC805" s="244">
        <f>IF(AND(BB805=1,ISNUMBER('INPUT - Bookings'!$E805),'INPUT - Bookings'!$E805&gt;=Settings!$C$8,'INPUT - Bookings'!$E805&lt;=Settings!$C$8+14,IFERROR(INDEX(Settings!$Q$14:$Q$24,MATCH('INPUT - Bookings'!$G805,Settings!$P$14:$P$24,0)),"Yes")="Yes"),'INPUT - Bookings'!$E805+ROW()/100000,"")</f>
        <v/>
      </c>
    </row>
    <row r="806">
      <c r="BB806" s="244">
        <f>IF('INPUT - Bookings'!$B806="",0,IF(AND(OR(Dashboard!$D$9="All",TRIM('INPUT - Bookings'!$C806)=Dashboard!$D$9),OR(Dashboard!$J$9="All",TRIM('INPUT - Bookings'!$D806)=Dashboard!$J$9)),1,0))</f>
        <v/>
      </c>
      <c r="BC806" s="244">
        <f>IF(AND(BB806=1,ISNUMBER('INPUT - Bookings'!$E806),'INPUT - Bookings'!$E806&gt;=Settings!$C$8,'INPUT - Bookings'!$E806&lt;=Settings!$C$8+14,IFERROR(INDEX(Settings!$Q$14:$Q$24,MATCH('INPUT - Bookings'!$G806,Settings!$P$14:$P$24,0)),"Yes")="Yes"),'INPUT - Bookings'!$E806+ROW()/100000,"")</f>
        <v/>
      </c>
    </row>
    <row r="807">
      <c r="BB807" s="244">
        <f>IF('INPUT - Bookings'!$B807="",0,IF(AND(OR(Dashboard!$D$9="All",TRIM('INPUT - Bookings'!$C807)=Dashboard!$D$9),OR(Dashboard!$J$9="All",TRIM('INPUT - Bookings'!$D807)=Dashboard!$J$9)),1,0))</f>
        <v/>
      </c>
      <c r="BC807" s="244">
        <f>IF(AND(BB807=1,ISNUMBER('INPUT - Bookings'!$E807),'INPUT - Bookings'!$E807&gt;=Settings!$C$8,'INPUT - Bookings'!$E807&lt;=Settings!$C$8+14,IFERROR(INDEX(Settings!$Q$14:$Q$24,MATCH('INPUT - Bookings'!$G807,Settings!$P$14:$P$24,0)),"Yes")="Yes"),'INPUT - Bookings'!$E807+ROW()/100000,"")</f>
        <v/>
      </c>
    </row>
    <row r="808">
      <c r="BB808" s="244">
        <f>IF('INPUT - Bookings'!$B808="",0,IF(AND(OR(Dashboard!$D$9="All",TRIM('INPUT - Bookings'!$C808)=Dashboard!$D$9),OR(Dashboard!$J$9="All",TRIM('INPUT - Bookings'!$D808)=Dashboard!$J$9)),1,0))</f>
        <v/>
      </c>
      <c r="BC808" s="244">
        <f>IF(AND(BB808=1,ISNUMBER('INPUT - Bookings'!$E808),'INPUT - Bookings'!$E808&gt;=Settings!$C$8,'INPUT - Bookings'!$E808&lt;=Settings!$C$8+14,IFERROR(INDEX(Settings!$Q$14:$Q$24,MATCH('INPUT - Bookings'!$G808,Settings!$P$14:$P$24,0)),"Yes")="Yes"),'INPUT - Bookings'!$E808+ROW()/100000,"")</f>
        <v/>
      </c>
    </row>
    <row r="809">
      <c r="BB809" s="244">
        <f>IF('INPUT - Bookings'!$B809="",0,IF(AND(OR(Dashboard!$D$9="All",TRIM('INPUT - Bookings'!$C809)=Dashboard!$D$9),OR(Dashboard!$J$9="All",TRIM('INPUT - Bookings'!$D809)=Dashboard!$J$9)),1,0))</f>
        <v/>
      </c>
      <c r="BC809" s="244">
        <f>IF(AND(BB809=1,ISNUMBER('INPUT - Bookings'!$E809),'INPUT - Bookings'!$E809&gt;=Settings!$C$8,'INPUT - Bookings'!$E809&lt;=Settings!$C$8+14,IFERROR(INDEX(Settings!$Q$14:$Q$24,MATCH('INPUT - Bookings'!$G809,Settings!$P$14:$P$24,0)),"Yes")="Yes"),'INPUT - Bookings'!$E809+ROW()/100000,"")</f>
        <v/>
      </c>
    </row>
    <row r="810">
      <c r="BB810" s="244">
        <f>IF('INPUT - Bookings'!$B810="",0,IF(AND(OR(Dashboard!$D$9="All",TRIM('INPUT - Bookings'!$C810)=Dashboard!$D$9),OR(Dashboard!$J$9="All",TRIM('INPUT - Bookings'!$D810)=Dashboard!$J$9)),1,0))</f>
        <v/>
      </c>
      <c r="BC810" s="244">
        <f>IF(AND(BB810=1,ISNUMBER('INPUT - Bookings'!$E810),'INPUT - Bookings'!$E810&gt;=Settings!$C$8,'INPUT - Bookings'!$E810&lt;=Settings!$C$8+14,IFERROR(INDEX(Settings!$Q$14:$Q$24,MATCH('INPUT - Bookings'!$G810,Settings!$P$14:$P$24,0)),"Yes")="Yes"),'INPUT - Bookings'!$E810+ROW()/100000,"")</f>
        <v/>
      </c>
    </row>
    <row r="811">
      <c r="BB811" s="244">
        <f>IF('INPUT - Bookings'!$B811="",0,IF(AND(OR(Dashboard!$D$9="All",TRIM('INPUT - Bookings'!$C811)=Dashboard!$D$9),OR(Dashboard!$J$9="All",TRIM('INPUT - Bookings'!$D811)=Dashboard!$J$9)),1,0))</f>
        <v/>
      </c>
      <c r="BC811" s="244">
        <f>IF(AND(BB811=1,ISNUMBER('INPUT - Bookings'!$E811),'INPUT - Bookings'!$E811&gt;=Settings!$C$8,'INPUT - Bookings'!$E811&lt;=Settings!$C$8+14,IFERROR(INDEX(Settings!$Q$14:$Q$24,MATCH('INPUT - Bookings'!$G811,Settings!$P$14:$P$24,0)),"Yes")="Yes"),'INPUT - Bookings'!$E811+ROW()/100000,"")</f>
        <v/>
      </c>
    </row>
    <row r="812">
      <c r="BB812" s="244">
        <f>IF('INPUT - Bookings'!$B812="",0,IF(AND(OR(Dashboard!$D$9="All",TRIM('INPUT - Bookings'!$C812)=Dashboard!$D$9),OR(Dashboard!$J$9="All",TRIM('INPUT - Bookings'!$D812)=Dashboard!$J$9)),1,0))</f>
        <v/>
      </c>
      <c r="BC812" s="244">
        <f>IF(AND(BB812=1,ISNUMBER('INPUT - Bookings'!$E812),'INPUT - Bookings'!$E812&gt;=Settings!$C$8,'INPUT - Bookings'!$E812&lt;=Settings!$C$8+14,IFERROR(INDEX(Settings!$Q$14:$Q$24,MATCH('INPUT - Bookings'!$G812,Settings!$P$14:$P$24,0)),"Yes")="Yes"),'INPUT - Bookings'!$E812+ROW()/100000,"")</f>
        <v/>
      </c>
    </row>
    <row r="813">
      <c r="BB813" s="244">
        <f>IF('INPUT - Bookings'!$B813="",0,IF(AND(OR(Dashboard!$D$9="All",TRIM('INPUT - Bookings'!$C813)=Dashboard!$D$9),OR(Dashboard!$J$9="All",TRIM('INPUT - Bookings'!$D813)=Dashboard!$J$9)),1,0))</f>
        <v/>
      </c>
      <c r="BC813" s="244">
        <f>IF(AND(BB813=1,ISNUMBER('INPUT - Bookings'!$E813),'INPUT - Bookings'!$E813&gt;=Settings!$C$8,'INPUT - Bookings'!$E813&lt;=Settings!$C$8+14,IFERROR(INDEX(Settings!$Q$14:$Q$24,MATCH('INPUT - Bookings'!$G813,Settings!$P$14:$P$24,0)),"Yes")="Yes"),'INPUT - Bookings'!$E813+ROW()/100000,"")</f>
        <v/>
      </c>
    </row>
    <row r="814">
      <c r="BB814" s="244">
        <f>IF('INPUT - Bookings'!$B814="",0,IF(AND(OR(Dashboard!$D$9="All",TRIM('INPUT - Bookings'!$C814)=Dashboard!$D$9),OR(Dashboard!$J$9="All",TRIM('INPUT - Bookings'!$D814)=Dashboard!$J$9)),1,0))</f>
        <v/>
      </c>
      <c r="BC814" s="244">
        <f>IF(AND(BB814=1,ISNUMBER('INPUT - Bookings'!$E814),'INPUT - Bookings'!$E814&gt;=Settings!$C$8,'INPUT - Bookings'!$E814&lt;=Settings!$C$8+14,IFERROR(INDEX(Settings!$Q$14:$Q$24,MATCH('INPUT - Bookings'!$G814,Settings!$P$14:$P$24,0)),"Yes")="Yes"),'INPUT - Bookings'!$E814+ROW()/100000,"")</f>
        <v/>
      </c>
    </row>
    <row r="815">
      <c r="BB815" s="244">
        <f>IF('INPUT - Bookings'!$B815="",0,IF(AND(OR(Dashboard!$D$9="All",TRIM('INPUT - Bookings'!$C815)=Dashboard!$D$9),OR(Dashboard!$J$9="All",TRIM('INPUT - Bookings'!$D815)=Dashboard!$J$9)),1,0))</f>
        <v/>
      </c>
      <c r="BC815" s="244">
        <f>IF(AND(BB815=1,ISNUMBER('INPUT - Bookings'!$E815),'INPUT - Bookings'!$E815&gt;=Settings!$C$8,'INPUT - Bookings'!$E815&lt;=Settings!$C$8+14,IFERROR(INDEX(Settings!$Q$14:$Q$24,MATCH('INPUT - Bookings'!$G815,Settings!$P$14:$P$24,0)),"Yes")="Yes"),'INPUT - Bookings'!$E815+ROW()/100000,"")</f>
        <v/>
      </c>
    </row>
    <row r="816">
      <c r="BB816" s="244">
        <f>IF('INPUT - Bookings'!$B816="",0,IF(AND(OR(Dashboard!$D$9="All",TRIM('INPUT - Bookings'!$C816)=Dashboard!$D$9),OR(Dashboard!$J$9="All",TRIM('INPUT - Bookings'!$D816)=Dashboard!$J$9)),1,0))</f>
        <v/>
      </c>
      <c r="BC816" s="244">
        <f>IF(AND(BB816=1,ISNUMBER('INPUT - Bookings'!$E816),'INPUT - Bookings'!$E816&gt;=Settings!$C$8,'INPUT - Bookings'!$E816&lt;=Settings!$C$8+14,IFERROR(INDEX(Settings!$Q$14:$Q$24,MATCH('INPUT - Bookings'!$G816,Settings!$P$14:$P$24,0)),"Yes")="Yes"),'INPUT - Bookings'!$E816+ROW()/100000,"")</f>
        <v/>
      </c>
    </row>
    <row r="817">
      <c r="BB817" s="244">
        <f>IF('INPUT - Bookings'!$B817="",0,IF(AND(OR(Dashboard!$D$9="All",TRIM('INPUT - Bookings'!$C817)=Dashboard!$D$9),OR(Dashboard!$J$9="All",TRIM('INPUT - Bookings'!$D817)=Dashboard!$J$9)),1,0))</f>
        <v/>
      </c>
      <c r="BC817" s="244">
        <f>IF(AND(BB817=1,ISNUMBER('INPUT - Bookings'!$E817),'INPUT - Bookings'!$E817&gt;=Settings!$C$8,'INPUT - Bookings'!$E817&lt;=Settings!$C$8+14,IFERROR(INDEX(Settings!$Q$14:$Q$24,MATCH('INPUT - Bookings'!$G817,Settings!$P$14:$P$24,0)),"Yes")="Yes"),'INPUT - Bookings'!$E817+ROW()/100000,"")</f>
        <v/>
      </c>
    </row>
    <row r="818">
      <c r="BB818" s="244">
        <f>IF('INPUT - Bookings'!$B818="",0,IF(AND(OR(Dashboard!$D$9="All",TRIM('INPUT - Bookings'!$C818)=Dashboard!$D$9),OR(Dashboard!$J$9="All",TRIM('INPUT - Bookings'!$D818)=Dashboard!$J$9)),1,0))</f>
        <v/>
      </c>
      <c r="BC818" s="244">
        <f>IF(AND(BB818=1,ISNUMBER('INPUT - Bookings'!$E818),'INPUT - Bookings'!$E818&gt;=Settings!$C$8,'INPUT - Bookings'!$E818&lt;=Settings!$C$8+14,IFERROR(INDEX(Settings!$Q$14:$Q$24,MATCH('INPUT - Bookings'!$G818,Settings!$P$14:$P$24,0)),"Yes")="Yes"),'INPUT - Bookings'!$E818+ROW()/100000,"")</f>
        <v/>
      </c>
    </row>
    <row r="819">
      <c r="BB819" s="244">
        <f>IF('INPUT - Bookings'!$B819="",0,IF(AND(OR(Dashboard!$D$9="All",TRIM('INPUT - Bookings'!$C819)=Dashboard!$D$9),OR(Dashboard!$J$9="All",TRIM('INPUT - Bookings'!$D819)=Dashboard!$J$9)),1,0))</f>
        <v/>
      </c>
      <c r="BC819" s="244">
        <f>IF(AND(BB819=1,ISNUMBER('INPUT - Bookings'!$E819),'INPUT - Bookings'!$E819&gt;=Settings!$C$8,'INPUT - Bookings'!$E819&lt;=Settings!$C$8+14,IFERROR(INDEX(Settings!$Q$14:$Q$24,MATCH('INPUT - Bookings'!$G819,Settings!$P$14:$P$24,0)),"Yes")="Yes"),'INPUT - Bookings'!$E819+ROW()/100000,"")</f>
        <v/>
      </c>
    </row>
    <row r="820">
      <c r="BB820" s="244">
        <f>IF('INPUT - Bookings'!$B820="",0,IF(AND(OR(Dashboard!$D$9="All",TRIM('INPUT - Bookings'!$C820)=Dashboard!$D$9),OR(Dashboard!$J$9="All",TRIM('INPUT - Bookings'!$D820)=Dashboard!$J$9)),1,0))</f>
        <v/>
      </c>
      <c r="BC820" s="244">
        <f>IF(AND(BB820=1,ISNUMBER('INPUT - Bookings'!$E820),'INPUT - Bookings'!$E820&gt;=Settings!$C$8,'INPUT - Bookings'!$E820&lt;=Settings!$C$8+14,IFERROR(INDEX(Settings!$Q$14:$Q$24,MATCH('INPUT - Bookings'!$G820,Settings!$P$14:$P$24,0)),"Yes")="Yes"),'INPUT - Bookings'!$E820+ROW()/100000,"")</f>
        <v/>
      </c>
    </row>
    <row r="821">
      <c r="BB821" s="244">
        <f>IF('INPUT - Bookings'!$B821="",0,IF(AND(OR(Dashboard!$D$9="All",TRIM('INPUT - Bookings'!$C821)=Dashboard!$D$9),OR(Dashboard!$J$9="All",TRIM('INPUT - Bookings'!$D821)=Dashboard!$J$9)),1,0))</f>
        <v/>
      </c>
      <c r="BC821" s="244">
        <f>IF(AND(BB821=1,ISNUMBER('INPUT - Bookings'!$E821),'INPUT - Bookings'!$E821&gt;=Settings!$C$8,'INPUT - Bookings'!$E821&lt;=Settings!$C$8+14,IFERROR(INDEX(Settings!$Q$14:$Q$24,MATCH('INPUT - Bookings'!$G821,Settings!$P$14:$P$24,0)),"Yes")="Yes"),'INPUT - Bookings'!$E821+ROW()/100000,"")</f>
        <v/>
      </c>
    </row>
    <row r="822">
      <c r="BB822" s="244">
        <f>IF('INPUT - Bookings'!$B822="",0,IF(AND(OR(Dashboard!$D$9="All",TRIM('INPUT - Bookings'!$C822)=Dashboard!$D$9),OR(Dashboard!$J$9="All",TRIM('INPUT - Bookings'!$D822)=Dashboard!$J$9)),1,0))</f>
        <v/>
      </c>
      <c r="BC822" s="244">
        <f>IF(AND(BB822=1,ISNUMBER('INPUT - Bookings'!$E822),'INPUT - Bookings'!$E822&gt;=Settings!$C$8,'INPUT - Bookings'!$E822&lt;=Settings!$C$8+14,IFERROR(INDEX(Settings!$Q$14:$Q$24,MATCH('INPUT - Bookings'!$G822,Settings!$P$14:$P$24,0)),"Yes")="Yes"),'INPUT - Bookings'!$E822+ROW()/100000,"")</f>
        <v/>
      </c>
    </row>
    <row r="823">
      <c r="BB823" s="244">
        <f>IF('INPUT - Bookings'!$B823="",0,IF(AND(OR(Dashboard!$D$9="All",TRIM('INPUT - Bookings'!$C823)=Dashboard!$D$9),OR(Dashboard!$J$9="All",TRIM('INPUT - Bookings'!$D823)=Dashboard!$J$9)),1,0))</f>
        <v/>
      </c>
      <c r="BC823" s="244">
        <f>IF(AND(BB823=1,ISNUMBER('INPUT - Bookings'!$E823),'INPUT - Bookings'!$E823&gt;=Settings!$C$8,'INPUT - Bookings'!$E823&lt;=Settings!$C$8+14,IFERROR(INDEX(Settings!$Q$14:$Q$24,MATCH('INPUT - Bookings'!$G823,Settings!$P$14:$P$24,0)),"Yes")="Yes"),'INPUT - Bookings'!$E823+ROW()/100000,"")</f>
        <v/>
      </c>
    </row>
    <row r="824">
      <c r="BB824" s="244">
        <f>IF('INPUT - Bookings'!$B824="",0,IF(AND(OR(Dashboard!$D$9="All",TRIM('INPUT - Bookings'!$C824)=Dashboard!$D$9),OR(Dashboard!$J$9="All",TRIM('INPUT - Bookings'!$D824)=Dashboard!$J$9)),1,0))</f>
        <v/>
      </c>
      <c r="BC824" s="244">
        <f>IF(AND(BB824=1,ISNUMBER('INPUT - Bookings'!$E824),'INPUT - Bookings'!$E824&gt;=Settings!$C$8,'INPUT - Bookings'!$E824&lt;=Settings!$C$8+14,IFERROR(INDEX(Settings!$Q$14:$Q$24,MATCH('INPUT - Bookings'!$G824,Settings!$P$14:$P$24,0)),"Yes")="Yes"),'INPUT - Bookings'!$E824+ROW()/100000,"")</f>
        <v/>
      </c>
    </row>
    <row r="825">
      <c r="BB825" s="244">
        <f>IF('INPUT - Bookings'!$B825="",0,IF(AND(OR(Dashboard!$D$9="All",TRIM('INPUT - Bookings'!$C825)=Dashboard!$D$9),OR(Dashboard!$J$9="All",TRIM('INPUT - Bookings'!$D825)=Dashboard!$J$9)),1,0))</f>
        <v/>
      </c>
      <c r="BC825" s="244">
        <f>IF(AND(BB825=1,ISNUMBER('INPUT - Bookings'!$E825),'INPUT - Bookings'!$E825&gt;=Settings!$C$8,'INPUT - Bookings'!$E825&lt;=Settings!$C$8+14,IFERROR(INDEX(Settings!$Q$14:$Q$24,MATCH('INPUT - Bookings'!$G825,Settings!$P$14:$P$24,0)),"Yes")="Yes"),'INPUT - Bookings'!$E825+ROW()/100000,"")</f>
        <v/>
      </c>
    </row>
    <row r="826">
      <c r="BB826" s="244">
        <f>IF('INPUT - Bookings'!$B826="",0,IF(AND(OR(Dashboard!$D$9="All",TRIM('INPUT - Bookings'!$C826)=Dashboard!$D$9),OR(Dashboard!$J$9="All",TRIM('INPUT - Bookings'!$D826)=Dashboard!$J$9)),1,0))</f>
        <v/>
      </c>
      <c r="BC826" s="244">
        <f>IF(AND(BB826=1,ISNUMBER('INPUT - Bookings'!$E826),'INPUT - Bookings'!$E826&gt;=Settings!$C$8,'INPUT - Bookings'!$E826&lt;=Settings!$C$8+14,IFERROR(INDEX(Settings!$Q$14:$Q$24,MATCH('INPUT - Bookings'!$G826,Settings!$P$14:$P$24,0)),"Yes")="Yes"),'INPUT - Bookings'!$E826+ROW()/100000,"")</f>
        <v/>
      </c>
    </row>
    <row r="827">
      <c r="BB827" s="244">
        <f>IF('INPUT - Bookings'!$B827="",0,IF(AND(OR(Dashboard!$D$9="All",TRIM('INPUT - Bookings'!$C827)=Dashboard!$D$9),OR(Dashboard!$J$9="All",TRIM('INPUT - Bookings'!$D827)=Dashboard!$J$9)),1,0))</f>
        <v/>
      </c>
      <c r="BC827" s="244">
        <f>IF(AND(BB827=1,ISNUMBER('INPUT - Bookings'!$E827),'INPUT - Bookings'!$E827&gt;=Settings!$C$8,'INPUT - Bookings'!$E827&lt;=Settings!$C$8+14,IFERROR(INDEX(Settings!$Q$14:$Q$24,MATCH('INPUT - Bookings'!$G827,Settings!$P$14:$P$24,0)),"Yes")="Yes"),'INPUT - Bookings'!$E827+ROW()/100000,"")</f>
        <v/>
      </c>
    </row>
    <row r="828">
      <c r="BB828" s="244">
        <f>IF('INPUT - Bookings'!$B828="",0,IF(AND(OR(Dashboard!$D$9="All",TRIM('INPUT - Bookings'!$C828)=Dashboard!$D$9),OR(Dashboard!$J$9="All",TRIM('INPUT - Bookings'!$D828)=Dashboard!$J$9)),1,0))</f>
        <v/>
      </c>
      <c r="BC828" s="244">
        <f>IF(AND(BB828=1,ISNUMBER('INPUT - Bookings'!$E828),'INPUT - Bookings'!$E828&gt;=Settings!$C$8,'INPUT - Bookings'!$E828&lt;=Settings!$C$8+14,IFERROR(INDEX(Settings!$Q$14:$Q$24,MATCH('INPUT - Bookings'!$G828,Settings!$P$14:$P$24,0)),"Yes")="Yes"),'INPUT - Bookings'!$E828+ROW()/100000,"")</f>
        <v/>
      </c>
    </row>
    <row r="829">
      <c r="BB829" s="244">
        <f>IF('INPUT - Bookings'!$B829="",0,IF(AND(OR(Dashboard!$D$9="All",TRIM('INPUT - Bookings'!$C829)=Dashboard!$D$9),OR(Dashboard!$J$9="All",TRIM('INPUT - Bookings'!$D829)=Dashboard!$J$9)),1,0))</f>
        <v/>
      </c>
      <c r="BC829" s="244">
        <f>IF(AND(BB829=1,ISNUMBER('INPUT - Bookings'!$E829),'INPUT - Bookings'!$E829&gt;=Settings!$C$8,'INPUT - Bookings'!$E829&lt;=Settings!$C$8+14,IFERROR(INDEX(Settings!$Q$14:$Q$24,MATCH('INPUT - Bookings'!$G829,Settings!$P$14:$P$24,0)),"Yes")="Yes"),'INPUT - Bookings'!$E829+ROW()/100000,"")</f>
        <v/>
      </c>
    </row>
    <row r="830">
      <c r="BB830" s="244">
        <f>IF('INPUT - Bookings'!$B830="",0,IF(AND(OR(Dashboard!$D$9="All",TRIM('INPUT - Bookings'!$C830)=Dashboard!$D$9),OR(Dashboard!$J$9="All",TRIM('INPUT - Bookings'!$D830)=Dashboard!$J$9)),1,0))</f>
        <v/>
      </c>
      <c r="BC830" s="244">
        <f>IF(AND(BB830=1,ISNUMBER('INPUT - Bookings'!$E830),'INPUT - Bookings'!$E830&gt;=Settings!$C$8,'INPUT - Bookings'!$E830&lt;=Settings!$C$8+14,IFERROR(INDEX(Settings!$Q$14:$Q$24,MATCH('INPUT - Bookings'!$G830,Settings!$P$14:$P$24,0)),"Yes")="Yes"),'INPUT - Bookings'!$E830+ROW()/100000,"")</f>
        <v/>
      </c>
    </row>
    <row r="831">
      <c r="BB831" s="244">
        <f>IF('INPUT - Bookings'!$B831="",0,IF(AND(OR(Dashboard!$D$9="All",TRIM('INPUT - Bookings'!$C831)=Dashboard!$D$9),OR(Dashboard!$J$9="All",TRIM('INPUT - Bookings'!$D831)=Dashboard!$J$9)),1,0))</f>
        <v/>
      </c>
      <c r="BC831" s="244">
        <f>IF(AND(BB831=1,ISNUMBER('INPUT - Bookings'!$E831),'INPUT - Bookings'!$E831&gt;=Settings!$C$8,'INPUT - Bookings'!$E831&lt;=Settings!$C$8+14,IFERROR(INDEX(Settings!$Q$14:$Q$24,MATCH('INPUT - Bookings'!$G831,Settings!$P$14:$P$24,0)),"Yes")="Yes"),'INPUT - Bookings'!$E831+ROW()/100000,"")</f>
        <v/>
      </c>
    </row>
    <row r="832">
      <c r="BB832" s="244">
        <f>IF('INPUT - Bookings'!$B832="",0,IF(AND(OR(Dashboard!$D$9="All",TRIM('INPUT - Bookings'!$C832)=Dashboard!$D$9),OR(Dashboard!$J$9="All",TRIM('INPUT - Bookings'!$D832)=Dashboard!$J$9)),1,0))</f>
        <v/>
      </c>
      <c r="BC832" s="244">
        <f>IF(AND(BB832=1,ISNUMBER('INPUT - Bookings'!$E832),'INPUT - Bookings'!$E832&gt;=Settings!$C$8,'INPUT - Bookings'!$E832&lt;=Settings!$C$8+14,IFERROR(INDEX(Settings!$Q$14:$Q$24,MATCH('INPUT - Bookings'!$G832,Settings!$P$14:$P$24,0)),"Yes")="Yes"),'INPUT - Bookings'!$E832+ROW()/100000,"")</f>
        <v/>
      </c>
    </row>
    <row r="833">
      <c r="BB833" s="244">
        <f>IF('INPUT - Bookings'!$B833="",0,IF(AND(OR(Dashboard!$D$9="All",TRIM('INPUT - Bookings'!$C833)=Dashboard!$D$9),OR(Dashboard!$J$9="All",TRIM('INPUT - Bookings'!$D833)=Dashboard!$J$9)),1,0))</f>
        <v/>
      </c>
      <c r="BC833" s="244">
        <f>IF(AND(BB833=1,ISNUMBER('INPUT - Bookings'!$E833),'INPUT - Bookings'!$E833&gt;=Settings!$C$8,'INPUT - Bookings'!$E833&lt;=Settings!$C$8+14,IFERROR(INDEX(Settings!$Q$14:$Q$24,MATCH('INPUT - Bookings'!$G833,Settings!$P$14:$P$24,0)),"Yes")="Yes"),'INPUT - Bookings'!$E833+ROW()/100000,"")</f>
        <v/>
      </c>
    </row>
    <row r="834">
      <c r="BB834" s="244">
        <f>IF('INPUT - Bookings'!$B834="",0,IF(AND(OR(Dashboard!$D$9="All",TRIM('INPUT - Bookings'!$C834)=Dashboard!$D$9),OR(Dashboard!$J$9="All",TRIM('INPUT - Bookings'!$D834)=Dashboard!$J$9)),1,0))</f>
        <v/>
      </c>
      <c r="BC834" s="244">
        <f>IF(AND(BB834=1,ISNUMBER('INPUT - Bookings'!$E834),'INPUT - Bookings'!$E834&gt;=Settings!$C$8,'INPUT - Bookings'!$E834&lt;=Settings!$C$8+14,IFERROR(INDEX(Settings!$Q$14:$Q$24,MATCH('INPUT - Bookings'!$G834,Settings!$P$14:$P$24,0)),"Yes")="Yes"),'INPUT - Bookings'!$E834+ROW()/100000,"")</f>
        <v/>
      </c>
    </row>
    <row r="835">
      <c r="BB835" s="244">
        <f>IF('INPUT - Bookings'!$B835="",0,IF(AND(OR(Dashboard!$D$9="All",TRIM('INPUT - Bookings'!$C835)=Dashboard!$D$9),OR(Dashboard!$J$9="All",TRIM('INPUT - Bookings'!$D835)=Dashboard!$J$9)),1,0))</f>
        <v/>
      </c>
      <c r="BC835" s="244">
        <f>IF(AND(BB835=1,ISNUMBER('INPUT - Bookings'!$E835),'INPUT - Bookings'!$E835&gt;=Settings!$C$8,'INPUT - Bookings'!$E835&lt;=Settings!$C$8+14,IFERROR(INDEX(Settings!$Q$14:$Q$24,MATCH('INPUT - Bookings'!$G835,Settings!$P$14:$P$24,0)),"Yes")="Yes"),'INPUT - Bookings'!$E835+ROW()/100000,"")</f>
        <v/>
      </c>
    </row>
    <row r="836">
      <c r="BB836" s="244">
        <f>IF('INPUT - Bookings'!$B836="",0,IF(AND(OR(Dashboard!$D$9="All",TRIM('INPUT - Bookings'!$C836)=Dashboard!$D$9),OR(Dashboard!$J$9="All",TRIM('INPUT - Bookings'!$D836)=Dashboard!$J$9)),1,0))</f>
        <v/>
      </c>
      <c r="BC836" s="244">
        <f>IF(AND(BB836=1,ISNUMBER('INPUT - Bookings'!$E836),'INPUT - Bookings'!$E836&gt;=Settings!$C$8,'INPUT - Bookings'!$E836&lt;=Settings!$C$8+14,IFERROR(INDEX(Settings!$Q$14:$Q$24,MATCH('INPUT - Bookings'!$G836,Settings!$P$14:$P$24,0)),"Yes")="Yes"),'INPUT - Bookings'!$E836+ROW()/100000,"")</f>
        <v/>
      </c>
    </row>
    <row r="837">
      <c r="BB837" s="244">
        <f>IF('INPUT - Bookings'!$B837="",0,IF(AND(OR(Dashboard!$D$9="All",TRIM('INPUT - Bookings'!$C837)=Dashboard!$D$9),OR(Dashboard!$J$9="All",TRIM('INPUT - Bookings'!$D837)=Dashboard!$J$9)),1,0))</f>
        <v/>
      </c>
      <c r="BC837" s="244">
        <f>IF(AND(BB837=1,ISNUMBER('INPUT - Bookings'!$E837),'INPUT - Bookings'!$E837&gt;=Settings!$C$8,'INPUT - Bookings'!$E837&lt;=Settings!$C$8+14,IFERROR(INDEX(Settings!$Q$14:$Q$24,MATCH('INPUT - Bookings'!$G837,Settings!$P$14:$P$24,0)),"Yes")="Yes"),'INPUT - Bookings'!$E837+ROW()/100000,"")</f>
        <v/>
      </c>
    </row>
    <row r="838">
      <c r="BB838" s="244">
        <f>IF('INPUT - Bookings'!$B838="",0,IF(AND(OR(Dashboard!$D$9="All",TRIM('INPUT - Bookings'!$C838)=Dashboard!$D$9),OR(Dashboard!$J$9="All",TRIM('INPUT - Bookings'!$D838)=Dashboard!$J$9)),1,0))</f>
        <v/>
      </c>
      <c r="BC838" s="244">
        <f>IF(AND(BB838=1,ISNUMBER('INPUT - Bookings'!$E838),'INPUT - Bookings'!$E838&gt;=Settings!$C$8,'INPUT - Bookings'!$E838&lt;=Settings!$C$8+14,IFERROR(INDEX(Settings!$Q$14:$Q$24,MATCH('INPUT - Bookings'!$G838,Settings!$P$14:$P$24,0)),"Yes")="Yes"),'INPUT - Bookings'!$E838+ROW()/100000,"")</f>
        <v/>
      </c>
    </row>
    <row r="839">
      <c r="BB839" s="244">
        <f>IF('INPUT - Bookings'!$B839="",0,IF(AND(OR(Dashboard!$D$9="All",TRIM('INPUT - Bookings'!$C839)=Dashboard!$D$9),OR(Dashboard!$J$9="All",TRIM('INPUT - Bookings'!$D839)=Dashboard!$J$9)),1,0))</f>
        <v/>
      </c>
      <c r="BC839" s="244">
        <f>IF(AND(BB839=1,ISNUMBER('INPUT - Bookings'!$E839),'INPUT - Bookings'!$E839&gt;=Settings!$C$8,'INPUT - Bookings'!$E839&lt;=Settings!$C$8+14,IFERROR(INDEX(Settings!$Q$14:$Q$24,MATCH('INPUT - Bookings'!$G839,Settings!$P$14:$P$24,0)),"Yes")="Yes"),'INPUT - Bookings'!$E839+ROW()/100000,"")</f>
        <v/>
      </c>
    </row>
    <row r="840">
      <c r="BB840" s="244">
        <f>IF('INPUT - Bookings'!$B840="",0,IF(AND(OR(Dashboard!$D$9="All",TRIM('INPUT - Bookings'!$C840)=Dashboard!$D$9),OR(Dashboard!$J$9="All",TRIM('INPUT - Bookings'!$D840)=Dashboard!$J$9)),1,0))</f>
        <v/>
      </c>
      <c r="BC840" s="244">
        <f>IF(AND(BB840=1,ISNUMBER('INPUT - Bookings'!$E840),'INPUT - Bookings'!$E840&gt;=Settings!$C$8,'INPUT - Bookings'!$E840&lt;=Settings!$C$8+14,IFERROR(INDEX(Settings!$Q$14:$Q$24,MATCH('INPUT - Bookings'!$G840,Settings!$P$14:$P$24,0)),"Yes")="Yes"),'INPUT - Bookings'!$E840+ROW()/100000,"")</f>
        <v/>
      </c>
    </row>
    <row r="841">
      <c r="BB841" s="244">
        <f>IF('INPUT - Bookings'!$B841="",0,IF(AND(OR(Dashboard!$D$9="All",TRIM('INPUT - Bookings'!$C841)=Dashboard!$D$9),OR(Dashboard!$J$9="All",TRIM('INPUT - Bookings'!$D841)=Dashboard!$J$9)),1,0))</f>
        <v/>
      </c>
      <c r="BC841" s="244">
        <f>IF(AND(BB841=1,ISNUMBER('INPUT - Bookings'!$E841),'INPUT - Bookings'!$E841&gt;=Settings!$C$8,'INPUT - Bookings'!$E841&lt;=Settings!$C$8+14,IFERROR(INDEX(Settings!$Q$14:$Q$24,MATCH('INPUT - Bookings'!$G841,Settings!$P$14:$P$24,0)),"Yes")="Yes"),'INPUT - Bookings'!$E841+ROW()/100000,"")</f>
        <v/>
      </c>
    </row>
    <row r="842">
      <c r="BB842" s="244">
        <f>IF('INPUT - Bookings'!$B842="",0,IF(AND(OR(Dashboard!$D$9="All",TRIM('INPUT - Bookings'!$C842)=Dashboard!$D$9),OR(Dashboard!$J$9="All",TRIM('INPUT - Bookings'!$D842)=Dashboard!$J$9)),1,0))</f>
        <v/>
      </c>
      <c r="BC842" s="244">
        <f>IF(AND(BB842=1,ISNUMBER('INPUT - Bookings'!$E842),'INPUT - Bookings'!$E842&gt;=Settings!$C$8,'INPUT - Bookings'!$E842&lt;=Settings!$C$8+14,IFERROR(INDEX(Settings!$Q$14:$Q$24,MATCH('INPUT - Bookings'!$G842,Settings!$P$14:$P$24,0)),"Yes")="Yes"),'INPUT - Bookings'!$E842+ROW()/100000,"")</f>
        <v/>
      </c>
    </row>
    <row r="843">
      <c r="BB843" s="244">
        <f>IF('INPUT - Bookings'!$B843="",0,IF(AND(OR(Dashboard!$D$9="All",TRIM('INPUT - Bookings'!$C843)=Dashboard!$D$9),OR(Dashboard!$J$9="All",TRIM('INPUT - Bookings'!$D843)=Dashboard!$J$9)),1,0))</f>
        <v/>
      </c>
      <c r="BC843" s="244">
        <f>IF(AND(BB843=1,ISNUMBER('INPUT - Bookings'!$E843),'INPUT - Bookings'!$E843&gt;=Settings!$C$8,'INPUT - Bookings'!$E843&lt;=Settings!$C$8+14,IFERROR(INDEX(Settings!$Q$14:$Q$24,MATCH('INPUT - Bookings'!$G843,Settings!$P$14:$P$24,0)),"Yes")="Yes"),'INPUT - Bookings'!$E843+ROW()/100000,"")</f>
        <v/>
      </c>
    </row>
    <row r="844">
      <c r="BB844" s="244">
        <f>IF('INPUT - Bookings'!$B844="",0,IF(AND(OR(Dashboard!$D$9="All",TRIM('INPUT - Bookings'!$C844)=Dashboard!$D$9),OR(Dashboard!$J$9="All",TRIM('INPUT - Bookings'!$D844)=Dashboard!$J$9)),1,0))</f>
        <v/>
      </c>
      <c r="BC844" s="244">
        <f>IF(AND(BB844=1,ISNUMBER('INPUT - Bookings'!$E844),'INPUT - Bookings'!$E844&gt;=Settings!$C$8,'INPUT - Bookings'!$E844&lt;=Settings!$C$8+14,IFERROR(INDEX(Settings!$Q$14:$Q$24,MATCH('INPUT - Bookings'!$G844,Settings!$P$14:$P$24,0)),"Yes")="Yes"),'INPUT - Bookings'!$E844+ROW()/100000,"")</f>
        <v/>
      </c>
    </row>
    <row r="845">
      <c r="BB845" s="244">
        <f>IF('INPUT - Bookings'!$B845="",0,IF(AND(OR(Dashboard!$D$9="All",TRIM('INPUT - Bookings'!$C845)=Dashboard!$D$9),OR(Dashboard!$J$9="All",TRIM('INPUT - Bookings'!$D845)=Dashboard!$J$9)),1,0))</f>
        <v/>
      </c>
      <c r="BC845" s="244">
        <f>IF(AND(BB845=1,ISNUMBER('INPUT - Bookings'!$E845),'INPUT - Bookings'!$E845&gt;=Settings!$C$8,'INPUT - Bookings'!$E845&lt;=Settings!$C$8+14,IFERROR(INDEX(Settings!$Q$14:$Q$24,MATCH('INPUT - Bookings'!$G845,Settings!$P$14:$P$24,0)),"Yes")="Yes"),'INPUT - Bookings'!$E845+ROW()/100000,"")</f>
        <v/>
      </c>
    </row>
    <row r="846">
      <c r="BB846" s="244">
        <f>IF('INPUT - Bookings'!$B846="",0,IF(AND(OR(Dashboard!$D$9="All",TRIM('INPUT - Bookings'!$C846)=Dashboard!$D$9),OR(Dashboard!$J$9="All",TRIM('INPUT - Bookings'!$D846)=Dashboard!$J$9)),1,0))</f>
        <v/>
      </c>
      <c r="BC846" s="244">
        <f>IF(AND(BB846=1,ISNUMBER('INPUT - Bookings'!$E846),'INPUT - Bookings'!$E846&gt;=Settings!$C$8,'INPUT - Bookings'!$E846&lt;=Settings!$C$8+14,IFERROR(INDEX(Settings!$Q$14:$Q$24,MATCH('INPUT - Bookings'!$G846,Settings!$P$14:$P$24,0)),"Yes")="Yes"),'INPUT - Bookings'!$E846+ROW()/100000,"")</f>
        <v/>
      </c>
    </row>
    <row r="847">
      <c r="BB847" s="244">
        <f>IF('INPUT - Bookings'!$B847="",0,IF(AND(OR(Dashboard!$D$9="All",TRIM('INPUT - Bookings'!$C847)=Dashboard!$D$9),OR(Dashboard!$J$9="All",TRIM('INPUT - Bookings'!$D847)=Dashboard!$J$9)),1,0))</f>
        <v/>
      </c>
      <c r="BC847" s="244">
        <f>IF(AND(BB847=1,ISNUMBER('INPUT - Bookings'!$E847),'INPUT - Bookings'!$E847&gt;=Settings!$C$8,'INPUT - Bookings'!$E847&lt;=Settings!$C$8+14,IFERROR(INDEX(Settings!$Q$14:$Q$24,MATCH('INPUT - Bookings'!$G847,Settings!$P$14:$P$24,0)),"Yes")="Yes"),'INPUT - Bookings'!$E847+ROW()/100000,"")</f>
        <v/>
      </c>
    </row>
    <row r="848">
      <c r="BB848" s="244">
        <f>IF('INPUT - Bookings'!$B848="",0,IF(AND(OR(Dashboard!$D$9="All",TRIM('INPUT - Bookings'!$C848)=Dashboard!$D$9),OR(Dashboard!$J$9="All",TRIM('INPUT - Bookings'!$D848)=Dashboard!$J$9)),1,0))</f>
        <v/>
      </c>
      <c r="BC848" s="244">
        <f>IF(AND(BB848=1,ISNUMBER('INPUT - Bookings'!$E848),'INPUT - Bookings'!$E848&gt;=Settings!$C$8,'INPUT - Bookings'!$E848&lt;=Settings!$C$8+14,IFERROR(INDEX(Settings!$Q$14:$Q$24,MATCH('INPUT - Bookings'!$G848,Settings!$P$14:$P$24,0)),"Yes")="Yes"),'INPUT - Bookings'!$E848+ROW()/100000,"")</f>
        <v/>
      </c>
    </row>
    <row r="849">
      <c r="BB849" s="244">
        <f>IF('INPUT - Bookings'!$B849="",0,IF(AND(OR(Dashboard!$D$9="All",TRIM('INPUT - Bookings'!$C849)=Dashboard!$D$9),OR(Dashboard!$J$9="All",TRIM('INPUT - Bookings'!$D849)=Dashboard!$J$9)),1,0))</f>
        <v/>
      </c>
      <c r="BC849" s="244">
        <f>IF(AND(BB849=1,ISNUMBER('INPUT - Bookings'!$E849),'INPUT - Bookings'!$E849&gt;=Settings!$C$8,'INPUT - Bookings'!$E849&lt;=Settings!$C$8+14,IFERROR(INDEX(Settings!$Q$14:$Q$24,MATCH('INPUT - Bookings'!$G849,Settings!$P$14:$P$24,0)),"Yes")="Yes"),'INPUT - Bookings'!$E849+ROW()/100000,"")</f>
        <v/>
      </c>
    </row>
    <row r="850">
      <c r="BB850" s="244">
        <f>IF('INPUT - Bookings'!$B850="",0,IF(AND(OR(Dashboard!$D$9="All",TRIM('INPUT - Bookings'!$C850)=Dashboard!$D$9),OR(Dashboard!$J$9="All",TRIM('INPUT - Bookings'!$D850)=Dashboard!$J$9)),1,0))</f>
        <v/>
      </c>
      <c r="BC850" s="244">
        <f>IF(AND(BB850=1,ISNUMBER('INPUT - Bookings'!$E850),'INPUT - Bookings'!$E850&gt;=Settings!$C$8,'INPUT - Bookings'!$E850&lt;=Settings!$C$8+14,IFERROR(INDEX(Settings!$Q$14:$Q$24,MATCH('INPUT - Bookings'!$G850,Settings!$P$14:$P$24,0)),"Yes")="Yes"),'INPUT - Bookings'!$E850+ROW()/100000,"")</f>
        <v/>
      </c>
    </row>
    <row r="851">
      <c r="BB851" s="244">
        <f>IF('INPUT - Bookings'!$B851="",0,IF(AND(OR(Dashboard!$D$9="All",TRIM('INPUT - Bookings'!$C851)=Dashboard!$D$9),OR(Dashboard!$J$9="All",TRIM('INPUT - Bookings'!$D851)=Dashboard!$J$9)),1,0))</f>
        <v/>
      </c>
      <c r="BC851" s="244">
        <f>IF(AND(BB851=1,ISNUMBER('INPUT - Bookings'!$E851),'INPUT - Bookings'!$E851&gt;=Settings!$C$8,'INPUT - Bookings'!$E851&lt;=Settings!$C$8+14,IFERROR(INDEX(Settings!$Q$14:$Q$24,MATCH('INPUT - Bookings'!$G851,Settings!$P$14:$P$24,0)),"Yes")="Yes"),'INPUT - Bookings'!$E851+ROW()/100000,"")</f>
        <v/>
      </c>
    </row>
    <row r="852">
      <c r="BB852" s="244">
        <f>IF('INPUT - Bookings'!$B852="",0,IF(AND(OR(Dashboard!$D$9="All",TRIM('INPUT - Bookings'!$C852)=Dashboard!$D$9),OR(Dashboard!$J$9="All",TRIM('INPUT - Bookings'!$D852)=Dashboard!$J$9)),1,0))</f>
        <v/>
      </c>
      <c r="BC852" s="244">
        <f>IF(AND(BB852=1,ISNUMBER('INPUT - Bookings'!$E852),'INPUT - Bookings'!$E852&gt;=Settings!$C$8,'INPUT - Bookings'!$E852&lt;=Settings!$C$8+14,IFERROR(INDEX(Settings!$Q$14:$Q$24,MATCH('INPUT - Bookings'!$G852,Settings!$P$14:$P$24,0)),"Yes")="Yes"),'INPUT - Bookings'!$E852+ROW()/100000,"")</f>
        <v/>
      </c>
    </row>
    <row r="853">
      <c r="BB853" s="244">
        <f>IF('INPUT - Bookings'!$B853="",0,IF(AND(OR(Dashboard!$D$9="All",TRIM('INPUT - Bookings'!$C853)=Dashboard!$D$9),OR(Dashboard!$J$9="All",TRIM('INPUT - Bookings'!$D853)=Dashboard!$J$9)),1,0))</f>
        <v/>
      </c>
      <c r="BC853" s="244">
        <f>IF(AND(BB853=1,ISNUMBER('INPUT - Bookings'!$E853),'INPUT - Bookings'!$E853&gt;=Settings!$C$8,'INPUT - Bookings'!$E853&lt;=Settings!$C$8+14,IFERROR(INDEX(Settings!$Q$14:$Q$24,MATCH('INPUT - Bookings'!$G853,Settings!$P$14:$P$24,0)),"Yes")="Yes"),'INPUT - Bookings'!$E853+ROW()/100000,"")</f>
        <v/>
      </c>
    </row>
    <row r="854">
      <c r="BB854" s="244">
        <f>IF('INPUT - Bookings'!$B854="",0,IF(AND(OR(Dashboard!$D$9="All",TRIM('INPUT - Bookings'!$C854)=Dashboard!$D$9),OR(Dashboard!$J$9="All",TRIM('INPUT - Bookings'!$D854)=Dashboard!$J$9)),1,0))</f>
        <v/>
      </c>
      <c r="BC854" s="244">
        <f>IF(AND(BB854=1,ISNUMBER('INPUT - Bookings'!$E854),'INPUT - Bookings'!$E854&gt;=Settings!$C$8,'INPUT - Bookings'!$E854&lt;=Settings!$C$8+14,IFERROR(INDEX(Settings!$Q$14:$Q$24,MATCH('INPUT - Bookings'!$G854,Settings!$P$14:$P$24,0)),"Yes")="Yes"),'INPUT - Bookings'!$E854+ROW()/100000,"")</f>
        <v/>
      </c>
    </row>
    <row r="855">
      <c r="BB855" s="244">
        <f>IF('INPUT - Bookings'!$B855="",0,IF(AND(OR(Dashboard!$D$9="All",TRIM('INPUT - Bookings'!$C855)=Dashboard!$D$9),OR(Dashboard!$J$9="All",TRIM('INPUT - Bookings'!$D855)=Dashboard!$J$9)),1,0))</f>
        <v/>
      </c>
      <c r="BC855" s="244">
        <f>IF(AND(BB855=1,ISNUMBER('INPUT - Bookings'!$E855),'INPUT - Bookings'!$E855&gt;=Settings!$C$8,'INPUT - Bookings'!$E855&lt;=Settings!$C$8+14,IFERROR(INDEX(Settings!$Q$14:$Q$24,MATCH('INPUT - Bookings'!$G855,Settings!$P$14:$P$24,0)),"Yes")="Yes"),'INPUT - Bookings'!$E855+ROW()/100000,"")</f>
        <v/>
      </c>
    </row>
    <row r="856">
      <c r="BB856" s="244">
        <f>IF('INPUT - Bookings'!$B856="",0,IF(AND(OR(Dashboard!$D$9="All",TRIM('INPUT - Bookings'!$C856)=Dashboard!$D$9),OR(Dashboard!$J$9="All",TRIM('INPUT - Bookings'!$D856)=Dashboard!$J$9)),1,0))</f>
        <v/>
      </c>
      <c r="BC856" s="244">
        <f>IF(AND(BB856=1,ISNUMBER('INPUT - Bookings'!$E856),'INPUT - Bookings'!$E856&gt;=Settings!$C$8,'INPUT - Bookings'!$E856&lt;=Settings!$C$8+14,IFERROR(INDEX(Settings!$Q$14:$Q$24,MATCH('INPUT - Bookings'!$G856,Settings!$P$14:$P$24,0)),"Yes")="Yes"),'INPUT - Bookings'!$E856+ROW()/100000,"")</f>
        <v/>
      </c>
    </row>
    <row r="857">
      <c r="BB857" s="244">
        <f>IF('INPUT - Bookings'!$B857="",0,IF(AND(OR(Dashboard!$D$9="All",TRIM('INPUT - Bookings'!$C857)=Dashboard!$D$9),OR(Dashboard!$J$9="All",TRIM('INPUT - Bookings'!$D857)=Dashboard!$J$9)),1,0))</f>
        <v/>
      </c>
      <c r="BC857" s="244">
        <f>IF(AND(BB857=1,ISNUMBER('INPUT - Bookings'!$E857),'INPUT - Bookings'!$E857&gt;=Settings!$C$8,'INPUT - Bookings'!$E857&lt;=Settings!$C$8+14,IFERROR(INDEX(Settings!$Q$14:$Q$24,MATCH('INPUT - Bookings'!$G857,Settings!$P$14:$P$24,0)),"Yes")="Yes"),'INPUT - Bookings'!$E857+ROW()/100000,"")</f>
        <v/>
      </c>
    </row>
    <row r="858">
      <c r="BB858" s="244">
        <f>IF('INPUT - Bookings'!$B858="",0,IF(AND(OR(Dashboard!$D$9="All",TRIM('INPUT - Bookings'!$C858)=Dashboard!$D$9),OR(Dashboard!$J$9="All",TRIM('INPUT - Bookings'!$D858)=Dashboard!$J$9)),1,0))</f>
        <v/>
      </c>
      <c r="BC858" s="244">
        <f>IF(AND(BB858=1,ISNUMBER('INPUT - Bookings'!$E858),'INPUT - Bookings'!$E858&gt;=Settings!$C$8,'INPUT - Bookings'!$E858&lt;=Settings!$C$8+14,IFERROR(INDEX(Settings!$Q$14:$Q$24,MATCH('INPUT - Bookings'!$G858,Settings!$P$14:$P$24,0)),"Yes")="Yes"),'INPUT - Bookings'!$E858+ROW()/100000,"")</f>
        <v/>
      </c>
    </row>
    <row r="859">
      <c r="BB859" s="244">
        <f>IF('INPUT - Bookings'!$B859="",0,IF(AND(OR(Dashboard!$D$9="All",TRIM('INPUT - Bookings'!$C859)=Dashboard!$D$9),OR(Dashboard!$J$9="All",TRIM('INPUT - Bookings'!$D859)=Dashboard!$J$9)),1,0))</f>
        <v/>
      </c>
      <c r="BC859" s="244">
        <f>IF(AND(BB859=1,ISNUMBER('INPUT - Bookings'!$E859),'INPUT - Bookings'!$E859&gt;=Settings!$C$8,'INPUT - Bookings'!$E859&lt;=Settings!$C$8+14,IFERROR(INDEX(Settings!$Q$14:$Q$24,MATCH('INPUT - Bookings'!$G859,Settings!$P$14:$P$24,0)),"Yes")="Yes"),'INPUT - Bookings'!$E859+ROW()/100000,"")</f>
        <v/>
      </c>
    </row>
    <row r="860">
      <c r="BB860" s="244">
        <f>IF('INPUT - Bookings'!$B860="",0,IF(AND(OR(Dashboard!$D$9="All",TRIM('INPUT - Bookings'!$C860)=Dashboard!$D$9),OR(Dashboard!$J$9="All",TRIM('INPUT - Bookings'!$D860)=Dashboard!$J$9)),1,0))</f>
        <v/>
      </c>
      <c r="BC860" s="244">
        <f>IF(AND(BB860=1,ISNUMBER('INPUT - Bookings'!$E860),'INPUT - Bookings'!$E860&gt;=Settings!$C$8,'INPUT - Bookings'!$E860&lt;=Settings!$C$8+14,IFERROR(INDEX(Settings!$Q$14:$Q$24,MATCH('INPUT - Bookings'!$G860,Settings!$P$14:$P$24,0)),"Yes")="Yes"),'INPUT - Bookings'!$E860+ROW()/100000,"")</f>
        <v/>
      </c>
    </row>
    <row r="861">
      <c r="BB861" s="244">
        <f>IF('INPUT - Bookings'!$B861="",0,IF(AND(OR(Dashboard!$D$9="All",TRIM('INPUT - Bookings'!$C861)=Dashboard!$D$9),OR(Dashboard!$J$9="All",TRIM('INPUT - Bookings'!$D861)=Dashboard!$J$9)),1,0))</f>
        <v/>
      </c>
      <c r="BC861" s="244">
        <f>IF(AND(BB861=1,ISNUMBER('INPUT - Bookings'!$E861),'INPUT - Bookings'!$E861&gt;=Settings!$C$8,'INPUT - Bookings'!$E861&lt;=Settings!$C$8+14,IFERROR(INDEX(Settings!$Q$14:$Q$24,MATCH('INPUT - Bookings'!$G861,Settings!$P$14:$P$24,0)),"Yes")="Yes"),'INPUT - Bookings'!$E861+ROW()/100000,"")</f>
        <v/>
      </c>
    </row>
    <row r="862">
      <c r="BB862" s="244">
        <f>IF('INPUT - Bookings'!$B862="",0,IF(AND(OR(Dashboard!$D$9="All",TRIM('INPUT - Bookings'!$C862)=Dashboard!$D$9),OR(Dashboard!$J$9="All",TRIM('INPUT - Bookings'!$D862)=Dashboard!$J$9)),1,0))</f>
        <v/>
      </c>
      <c r="BC862" s="244">
        <f>IF(AND(BB862=1,ISNUMBER('INPUT - Bookings'!$E862),'INPUT - Bookings'!$E862&gt;=Settings!$C$8,'INPUT - Bookings'!$E862&lt;=Settings!$C$8+14,IFERROR(INDEX(Settings!$Q$14:$Q$24,MATCH('INPUT - Bookings'!$G862,Settings!$P$14:$P$24,0)),"Yes")="Yes"),'INPUT - Bookings'!$E862+ROW()/100000,"")</f>
        <v/>
      </c>
    </row>
    <row r="863">
      <c r="BB863" s="244">
        <f>IF('INPUT - Bookings'!$B863="",0,IF(AND(OR(Dashboard!$D$9="All",TRIM('INPUT - Bookings'!$C863)=Dashboard!$D$9),OR(Dashboard!$J$9="All",TRIM('INPUT - Bookings'!$D863)=Dashboard!$J$9)),1,0))</f>
        <v/>
      </c>
      <c r="BC863" s="244">
        <f>IF(AND(BB863=1,ISNUMBER('INPUT - Bookings'!$E863),'INPUT - Bookings'!$E863&gt;=Settings!$C$8,'INPUT - Bookings'!$E863&lt;=Settings!$C$8+14,IFERROR(INDEX(Settings!$Q$14:$Q$24,MATCH('INPUT - Bookings'!$G863,Settings!$P$14:$P$24,0)),"Yes")="Yes"),'INPUT - Bookings'!$E863+ROW()/100000,"")</f>
        <v/>
      </c>
    </row>
    <row r="864">
      <c r="BB864" s="244">
        <f>IF('INPUT - Bookings'!$B864="",0,IF(AND(OR(Dashboard!$D$9="All",TRIM('INPUT - Bookings'!$C864)=Dashboard!$D$9),OR(Dashboard!$J$9="All",TRIM('INPUT - Bookings'!$D864)=Dashboard!$J$9)),1,0))</f>
        <v/>
      </c>
      <c r="BC864" s="244">
        <f>IF(AND(BB864=1,ISNUMBER('INPUT - Bookings'!$E864),'INPUT - Bookings'!$E864&gt;=Settings!$C$8,'INPUT - Bookings'!$E864&lt;=Settings!$C$8+14,IFERROR(INDEX(Settings!$Q$14:$Q$24,MATCH('INPUT - Bookings'!$G864,Settings!$P$14:$P$24,0)),"Yes")="Yes"),'INPUT - Bookings'!$E864+ROW()/100000,"")</f>
        <v/>
      </c>
    </row>
    <row r="865">
      <c r="BB865" s="244">
        <f>IF('INPUT - Bookings'!$B865="",0,IF(AND(OR(Dashboard!$D$9="All",TRIM('INPUT - Bookings'!$C865)=Dashboard!$D$9),OR(Dashboard!$J$9="All",TRIM('INPUT - Bookings'!$D865)=Dashboard!$J$9)),1,0))</f>
        <v/>
      </c>
      <c r="BC865" s="244">
        <f>IF(AND(BB865=1,ISNUMBER('INPUT - Bookings'!$E865),'INPUT - Bookings'!$E865&gt;=Settings!$C$8,'INPUT - Bookings'!$E865&lt;=Settings!$C$8+14,IFERROR(INDEX(Settings!$Q$14:$Q$24,MATCH('INPUT - Bookings'!$G865,Settings!$P$14:$P$24,0)),"Yes")="Yes"),'INPUT - Bookings'!$E865+ROW()/100000,"")</f>
        <v/>
      </c>
    </row>
    <row r="866">
      <c r="BB866" s="244">
        <f>IF('INPUT - Bookings'!$B866="",0,IF(AND(OR(Dashboard!$D$9="All",TRIM('INPUT - Bookings'!$C866)=Dashboard!$D$9),OR(Dashboard!$J$9="All",TRIM('INPUT - Bookings'!$D866)=Dashboard!$J$9)),1,0))</f>
        <v/>
      </c>
      <c r="BC866" s="244">
        <f>IF(AND(BB866=1,ISNUMBER('INPUT - Bookings'!$E866),'INPUT - Bookings'!$E866&gt;=Settings!$C$8,'INPUT - Bookings'!$E866&lt;=Settings!$C$8+14,IFERROR(INDEX(Settings!$Q$14:$Q$24,MATCH('INPUT - Bookings'!$G866,Settings!$P$14:$P$24,0)),"Yes")="Yes"),'INPUT - Bookings'!$E866+ROW()/100000,"")</f>
        <v/>
      </c>
    </row>
    <row r="867">
      <c r="BB867" s="244">
        <f>IF('INPUT - Bookings'!$B867="",0,IF(AND(OR(Dashboard!$D$9="All",TRIM('INPUT - Bookings'!$C867)=Dashboard!$D$9),OR(Dashboard!$J$9="All",TRIM('INPUT - Bookings'!$D867)=Dashboard!$J$9)),1,0))</f>
        <v/>
      </c>
      <c r="BC867" s="244">
        <f>IF(AND(BB867=1,ISNUMBER('INPUT - Bookings'!$E867),'INPUT - Bookings'!$E867&gt;=Settings!$C$8,'INPUT - Bookings'!$E867&lt;=Settings!$C$8+14,IFERROR(INDEX(Settings!$Q$14:$Q$24,MATCH('INPUT - Bookings'!$G867,Settings!$P$14:$P$24,0)),"Yes")="Yes"),'INPUT - Bookings'!$E867+ROW()/100000,"")</f>
        <v/>
      </c>
    </row>
    <row r="868">
      <c r="BB868" s="244">
        <f>IF('INPUT - Bookings'!$B868="",0,IF(AND(OR(Dashboard!$D$9="All",TRIM('INPUT - Bookings'!$C868)=Dashboard!$D$9),OR(Dashboard!$J$9="All",TRIM('INPUT - Bookings'!$D868)=Dashboard!$J$9)),1,0))</f>
        <v/>
      </c>
      <c r="BC868" s="244">
        <f>IF(AND(BB868=1,ISNUMBER('INPUT - Bookings'!$E868),'INPUT - Bookings'!$E868&gt;=Settings!$C$8,'INPUT - Bookings'!$E868&lt;=Settings!$C$8+14,IFERROR(INDEX(Settings!$Q$14:$Q$24,MATCH('INPUT - Bookings'!$G868,Settings!$P$14:$P$24,0)),"Yes")="Yes"),'INPUT - Bookings'!$E868+ROW()/100000,"")</f>
        <v/>
      </c>
    </row>
    <row r="869">
      <c r="BB869" s="244">
        <f>IF('INPUT - Bookings'!$B869="",0,IF(AND(OR(Dashboard!$D$9="All",TRIM('INPUT - Bookings'!$C869)=Dashboard!$D$9),OR(Dashboard!$J$9="All",TRIM('INPUT - Bookings'!$D869)=Dashboard!$J$9)),1,0))</f>
        <v/>
      </c>
      <c r="BC869" s="244">
        <f>IF(AND(BB869=1,ISNUMBER('INPUT - Bookings'!$E869),'INPUT - Bookings'!$E869&gt;=Settings!$C$8,'INPUT - Bookings'!$E869&lt;=Settings!$C$8+14,IFERROR(INDEX(Settings!$Q$14:$Q$24,MATCH('INPUT - Bookings'!$G869,Settings!$P$14:$P$24,0)),"Yes")="Yes"),'INPUT - Bookings'!$E869+ROW()/100000,"")</f>
        <v/>
      </c>
    </row>
    <row r="870">
      <c r="BB870" s="244">
        <f>IF('INPUT - Bookings'!$B870="",0,IF(AND(OR(Dashboard!$D$9="All",TRIM('INPUT - Bookings'!$C870)=Dashboard!$D$9),OR(Dashboard!$J$9="All",TRIM('INPUT - Bookings'!$D870)=Dashboard!$J$9)),1,0))</f>
        <v/>
      </c>
      <c r="BC870" s="244">
        <f>IF(AND(BB870=1,ISNUMBER('INPUT - Bookings'!$E870),'INPUT - Bookings'!$E870&gt;=Settings!$C$8,'INPUT - Bookings'!$E870&lt;=Settings!$C$8+14,IFERROR(INDEX(Settings!$Q$14:$Q$24,MATCH('INPUT - Bookings'!$G870,Settings!$P$14:$P$24,0)),"Yes")="Yes"),'INPUT - Bookings'!$E870+ROW()/100000,"")</f>
        <v/>
      </c>
    </row>
    <row r="871">
      <c r="BB871" s="244">
        <f>IF('INPUT - Bookings'!$B871="",0,IF(AND(OR(Dashboard!$D$9="All",TRIM('INPUT - Bookings'!$C871)=Dashboard!$D$9),OR(Dashboard!$J$9="All",TRIM('INPUT - Bookings'!$D871)=Dashboard!$J$9)),1,0))</f>
        <v/>
      </c>
      <c r="BC871" s="244">
        <f>IF(AND(BB871=1,ISNUMBER('INPUT - Bookings'!$E871),'INPUT - Bookings'!$E871&gt;=Settings!$C$8,'INPUT - Bookings'!$E871&lt;=Settings!$C$8+14,IFERROR(INDEX(Settings!$Q$14:$Q$24,MATCH('INPUT - Bookings'!$G871,Settings!$P$14:$P$24,0)),"Yes")="Yes"),'INPUT - Bookings'!$E871+ROW()/100000,"")</f>
        <v/>
      </c>
    </row>
    <row r="872">
      <c r="BB872" s="244">
        <f>IF('INPUT - Bookings'!$B872="",0,IF(AND(OR(Dashboard!$D$9="All",TRIM('INPUT - Bookings'!$C872)=Dashboard!$D$9),OR(Dashboard!$J$9="All",TRIM('INPUT - Bookings'!$D872)=Dashboard!$J$9)),1,0))</f>
        <v/>
      </c>
      <c r="BC872" s="244">
        <f>IF(AND(BB872=1,ISNUMBER('INPUT - Bookings'!$E872),'INPUT - Bookings'!$E872&gt;=Settings!$C$8,'INPUT - Bookings'!$E872&lt;=Settings!$C$8+14,IFERROR(INDEX(Settings!$Q$14:$Q$24,MATCH('INPUT - Bookings'!$G872,Settings!$P$14:$P$24,0)),"Yes")="Yes"),'INPUT - Bookings'!$E872+ROW()/100000,"")</f>
        <v/>
      </c>
    </row>
    <row r="873">
      <c r="BB873" s="244">
        <f>IF('INPUT - Bookings'!$B873="",0,IF(AND(OR(Dashboard!$D$9="All",TRIM('INPUT - Bookings'!$C873)=Dashboard!$D$9),OR(Dashboard!$J$9="All",TRIM('INPUT - Bookings'!$D873)=Dashboard!$J$9)),1,0))</f>
        <v/>
      </c>
      <c r="BC873" s="244">
        <f>IF(AND(BB873=1,ISNUMBER('INPUT - Bookings'!$E873),'INPUT - Bookings'!$E873&gt;=Settings!$C$8,'INPUT - Bookings'!$E873&lt;=Settings!$C$8+14,IFERROR(INDEX(Settings!$Q$14:$Q$24,MATCH('INPUT - Bookings'!$G873,Settings!$P$14:$P$24,0)),"Yes")="Yes"),'INPUT - Bookings'!$E873+ROW()/100000,"")</f>
        <v/>
      </c>
    </row>
    <row r="874">
      <c r="BB874" s="244">
        <f>IF('INPUT - Bookings'!$B874="",0,IF(AND(OR(Dashboard!$D$9="All",TRIM('INPUT - Bookings'!$C874)=Dashboard!$D$9),OR(Dashboard!$J$9="All",TRIM('INPUT - Bookings'!$D874)=Dashboard!$J$9)),1,0))</f>
        <v/>
      </c>
      <c r="BC874" s="244">
        <f>IF(AND(BB874=1,ISNUMBER('INPUT - Bookings'!$E874),'INPUT - Bookings'!$E874&gt;=Settings!$C$8,'INPUT - Bookings'!$E874&lt;=Settings!$C$8+14,IFERROR(INDEX(Settings!$Q$14:$Q$24,MATCH('INPUT - Bookings'!$G874,Settings!$P$14:$P$24,0)),"Yes")="Yes"),'INPUT - Bookings'!$E874+ROW()/100000,"")</f>
        <v/>
      </c>
    </row>
    <row r="875">
      <c r="BB875" s="244">
        <f>IF('INPUT - Bookings'!$B875="",0,IF(AND(OR(Dashboard!$D$9="All",TRIM('INPUT - Bookings'!$C875)=Dashboard!$D$9),OR(Dashboard!$J$9="All",TRIM('INPUT - Bookings'!$D875)=Dashboard!$J$9)),1,0))</f>
        <v/>
      </c>
      <c r="BC875" s="244">
        <f>IF(AND(BB875=1,ISNUMBER('INPUT - Bookings'!$E875),'INPUT - Bookings'!$E875&gt;=Settings!$C$8,'INPUT - Bookings'!$E875&lt;=Settings!$C$8+14,IFERROR(INDEX(Settings!$Q$14:$Q$24,MATCH('INPUT - Bookings'!$G875,Settings!$P$14:$P$24,0)),"Yes")="Yes"),'INPUT - Bookings'!$E875+ROW()/100000,"")</f>
        <v/>
      </c>
    </row>
    <row r="876">
      <c r="BB876" s="244">
        <f>IF('INPUT - Bookings'!$B876="",0,IF(AND(OR(Dashboard!$D$9="All",TRIM('INPUT - Bookings'!$C876)=Dashboard!$D$9),OR(Dashboard!$J$9="All",TRIM('INPUT - Bookings'!$D876)=Dashboard!$J$9)),1,0))</f>
        <v/>
      </c>
      <c r="BC876" s="244">
        <f>IF(AND(BB876=1,ISNUMBER('INPUT - Bookings'!$E876),'INPUT - Bookings'!$E876&gt;=Settings!$C$8,'INPUT - Bookings'!$E876&lt;=Settings!$C$8+14,IFERROR(INDEX(Settings!$Q$14:$Q$24,MATCH('INPUT - Bookings'!$G876,Settings!$P$14:$P$24,0)),"Yes")="Yes"),'INPUT - Bookings'!$E876+ROW()/100000,"")</f>
        <v/>
      </c>
    </row>
    <row r="877">
      <c r="BB877" s="244">
        <f>IF('INPUT - Bookings'!$B877="",0,IF(AND(OR(Dashboard!$D$9="All",TRIM('INPUT - Bookings'!$C877)=Dashboard!$D$9),OR(Dashboard!$J$9="All",TRIM('INPUT - Bookings'!$D877)=Dashboard!$J$9)),1,0))</f>
        <v/>
      </c>
      <c r="BC877" s="244">
        <f>IF(AND(BB877=1,ISNUMBER('INPUT - Bookings'!$E877),'INPUT - Bookings'!$E877&gt;=Settings!$C$8,'INPUT - Bookings'!$E877&lt;=Settings!$C$8+14,IFERROR(INDEX(Settings!$Q$14:$Q$24,MATCH('INPUT - Bookings'!$G877,Settings!$P$14:$P$24,0)),"Yes")="Yes"),'INPUT - Bookings'!$E877+ROW()/100000,"")</f>
        <v/>
      </c>
    </row>
    <row r="878">
      <c r="BB878" s="244">
        <f>IF('INPUT - Bookings'!$B878="",0,IF(AND(OR(Dashboard!$D$9="All",TRIM('INPUT - Bookings'!$C878)=Dashboard!$D$9),OR(Dashboard!$J$9="All",TRIM('INPUT - Bookings'!$D878)=Dashboard!$J$9)),1,0))</f>
        <v/>
      </c>
      <c r="BC878" s="244">
        <f>IF(AND(BB878=1,ISNUMBER('INPUT - Bookings'!$E878),'INPUT - Bookings'!$E878&gt;=Settings!$C$8,'INPUT - Bookings'!$E878&lt;=Settings!$C$8+14,IFERROR(INDEX(Settings!$Q$14:$Q$24,MATCH('INPUT - Bookings'!$G878,Settings!$P$14:$P$24,0)),"Yes")="Yes"),'INPUT - Bookings'!$E878+ROW()/100000,"")</f>
        <v/>
      </c>
    </row>
    <row r="879">
      <c r="BB879" s="244">
        <f>IF('INPUT - Bookings'!$B879="",0,IF(AND(OR(Dashboard!$D$9="All",TRIM('INPUT - Bookings'!$C879)=Dashboard!$D$9),OR(Dashboard!$J$9="All",TRIM('INPUT - Bookings'!$D879)=Dashboard!$J$9)),1,0))</f>
        <v/>
      </c>
      <c r="BC879" s="244">
        <f>IF(AND(BB879=1,ISNUMBER('INPUT - Bookings'!$E879),'INPUT - Bookings'!$E879&gt;=Settings!$C$8,'INPUT - Bookings'!$E879&lt;=Settings!$C$8+14,IFERROR(INDEX(Settings!$Q$14:$Q$24,MATCH('INPUT - Bookings'!$G879,Settings!$P$14:$P$24,0)),"Yes")="Yes"),'INPUT - Bookings'!$E879+ROW()/100000,"")</f>
        <v/>
      </c>
    </row>
    <row r="880">
      <c r="BB880" s="244">
        <f>IF('INPUT - Bookings'!$B880="",0,IF(AND(OR(Dashboard!$D$9="All",TRIM('INPUT - Bookings'!$C880)=Dashboard!$D$9),OR(Dashboard!$J$9="All",TRIM('INPUT - Bookings'!$D880)=Dashboard!$J$9)),1,0))</f>
        <v/>
      </c>
      <c r="BC880" s="244">
        <f>IF(AND(BB880=1,ISNUMBER('INPUT - Bookings'!$E880),'INPUT - Bookings'!$E880&gt;=Settings!$C$8,'INPUT - Bookings'!$E880&lt;=Settings!$C$8+14,IFERROR(INDEX(Settings!$Q$14:$Q$24,MATCH('INPUT - Bookings'!$G880,Settings!$P$14:$P$24,0)),"Yes")="Yes"),'INPUT - Bookings'!$E880+ROW()/100000,"")</f>
        <v/>
      </c>
    </row>
    <row r="881">
      <c r="BB881" s="244">
        <f>IF('INPUT - Bookings'!$B881="",0,IF(AND(OR(Dashboard!$D$9="All",TRIM('INPUT - Bookings'!$C881)=Dashboard!$D$9),OR(Dashboard!$J$9="All",TRIM('INPUT - Bookings'!$D881)=Dashboard!$J$9)),1,0))</f>
        <v/>
      </c>
      <c r="BC881" s="244">
        <f>IF(AND(BB881=1,ISNUMBER('INPUT - Bookings'!$E881),'INPUT - Bookings'!$E881&gt;=Settings!$C$8,'INPUT - Bookings'!$E881&lt;=Settings!$C$8+14,IFERROR(INDEX(Settings!$Q$14:$Q$24,MATCH('INPUT - Bookings'!$G881,Settings!$P$14:$P$24,0)),"Yes")="Yes"),'INPUT - Bookings'!$E881+ROW()/100000,"")</f>
        <v/>
      </c>
    </row>
    <row r="882">
      <c r="BB882" s="244">
        <f>IF('INPUT - Bookings'!$B882="",0,IF(AND(OR(Dashboard!$D$9="All",TRIM('INPUT - Bookings'!$C882)=Dashboard!$D$9),OR(Dashboard!$J$9="All",TRIM('INPUT - Bookings'!$D882)=Dashboard!$J$9)),1,0))</f>
        <v/>
      </c>
      <c r="BC882" s="244">
        <f>IF(AND(BB882=1,ISNUMBER('INPUT - Bookings'!$E882),'INPUT - Bookings'!$E882&gt;=Settings!$C$8,'INPUT - Bookings'!$E882&lt;=Settings!$C$8+14,IFERROR(INDEX(Settings!$Q$14:$Q$24,MATCH('INPUT - Bookings'!$G882,Settings!$P$14:$P$24,0)),"Yes")="Yes"),'INPUT - Bookings'!$E882+ROW()/100000,"")</f>
        <v/>
      </c>
    </row>
    <row r="883">
      <c r="BB883" s="244">
        <f>IF('INPUT - Bookings'!$B883="",0,IF(AND(OR(Dashboard!$D$9="All",TRIM('INPUT - Bookings'!$C883)=Dashboard!$D$9),OR(Dashboard!$J$9="All",TRIM('INPUT - Bookings'!$D883)=Dashboard!$J$9)),1,0))</f>
        <v/>
      </c>
      <c r="BC883" s="244">
        <f>IF(AND(BB883=1,ISNUMBER('INPUT - Bookings'!$E883),'INPUT - Bookings'!$E883&gt;=Settings!$C$8,'INPUT - Bookings'!$E883&lt;=Settings!$C$8+14,IFERROR(INDEX(Settings!$Q$14:$Q$24,MATCH('INPUT - Bookings'!$G883,Settings!$P$14:$P$24,0)),"Yes")="Yes"),'INPUT - Bookings'!$E883+ROW()/100000,"")</f>
        <v/>
      </c>
    </row>
    <row r="884">
      <c r="BB884" s="244">
        <f>IF('INPUT - Bookings'!$B884="",0,IF(AND(OR(Dashboard!$D$9="All",TRIM('INPUT - Bookings'!$C884)=Dashboard!$D$9),OR(Dashboard!$J$9="All",TRIM('INPUT - Bookings'!$D884)=Dashboard!$J$9)),1,0))</f>
        <v/>
      </c>
      <c r="BC884" s="244">
        <f>IF(AND(BB884=1,ISNUMBER('INPUT - Bookings'!$E884),'INPUT - Bookings'!$E884&gt;=Settings!$C$8,'INPUT - Bookings'!$E884&lt;=Settings!$C$8+14,IFERROR(INDEX(Settings!$Q$14:$Q$24,MATCH('INPUT - Bookings'!$G884,Settings!$P$14:$P$24,0)),"Yes")="Yes"),'INPUT - Bookings'!$E884+ROW()/100000,"")</f>
        <v/>
      </c>
    </row>
    <row r="885">
      <c r="BB885" s="244">
        <f>IF('INPUT - Bookings'!$B885="",0,IF(AND(OR(Dashboard!$D$9="All",TRIM('INPUT - Bookings'!$C885)=Dashboard!$D$9),OR(Dashboard!$J$9="All",TRIM('INPUT - Bookings'!$D885)=Dashboard!$J$9)),1,0))</f>
        <v/>
      </c>
      <c r="BC885" s="244">
        <f>IF(AND(BB885=1,ISNUMBER('INPUT - Bookings'!$E885),'INPUT - Bookings'!$E885&gt;=Settings!$C$8,'INPUT - Bookings'!$E885&lt;=Settings!$C$8+14,IFERROR(INDEX(Settings!$Q$14:$Q$24,MATCH('INPUT - Bookings'!$G885,Settings!$P$14:$P$24,0)),"Yes")="Yes"),'INPUT - Bookings'!$E885+ROW()/100000,"")</f>
        <v/>
      </c>
    </row>
    <row r="886">
      <c r="BB886" s="244">
        <f>IF('INPUT - Bookings'!$B886="",0,IF(AND(OR(Dashboard!$D$9="All",TRIM('INPUT - Bookings'!$C886)=Dashboard!$D$9),OR(Dashboard!$J$9="All",TRIM('INPUT - Bookings'!$D886)=Dashboard!$J$9)),1,0))</f>
        <v/>
      </c>
      <c r="BC886" s="244">
        <f>IF(AND(BB886=1,ISNUMBER('INPUT - Bookings'!$E886),'INPUT - Bookings'!$E886&gt;=Settings!$C$8,'INPUT - Bookings'!$E886&lt;=Settings!$C$8+14,IFERROR(INDEX(Settings!$Q$14:$Q$24,MATCH('INPUT - Bookings'!$G886,Settings!$P$14:$P$24,0)),"Yes")="Yes"),'INPUT - Bookings'!$E886+ROW()/100000,"")</f>
        <v/>
      </c>
    </row>
    <row r="887">
      <c r="BB887" s="244">
        <f>IF('INPUT - Bookings'!$B887="",0,IF(AND(OR(Dashboard!$D$9="All",TRIM('INPUT - Bookings'!$C887)=Dashboard!$D$9),OR(Dashboard!$J$9="All",TRIM('INPUT - Bookings'!$D887)=Dashboard!$J$9)),1,0))</f>
        <v/>
      </c>
      <c r="BC887" s="244">
        <f>IF(AND(BB887=1,ISNUMBER('INPUT - Bookings'!$E887),'INPUT - Bookings'!$E887&gt;=Settings!$C$8,'INPUT - Bookings'!$E887&lt;=Settings!$C$8+14,IFERROR(INDEX(Settings!$Q$14:$Q$24,MATCH('INPUT - Bookings'!$G887,Settings!$P$14:$P$24,0)),"Yes")="Yes"),'INPUT - Bookings'!$E887+ROW()/100000,"")</f>
        <v/>
      </c>
    </row>
    <row r="888">
      <c r="BB888" s="244">
        <f>IF('INPUT - Bookings'!$B888="",0,IF(AND(OR(Dashboard!$D$9="All",TRIM('INPUT - Bookings'!$C888)=Dashboard!$D$9),OR(Dashboard!$J$9="All",TRIM('INPUT - Bookings'!$D888)=Dashboard!$J$9)),1,0))</f>
        <v/>
      </c>
      <c r="BC888" s="244">
        <f>IF(AND(BB888=1,ISNUMBER('INPUT - Bookings'!$E888),'INPUT - Bookings'!$E888&gt;=Settings!$C$8,'INPUT - Bookings'!$E888&lt;=Settings!$C$8+14,IFERROR(INDEX(Settings!$Q$14:$Q$24,MATCH('INPUT - Bookings'!$G888,Settings!$P$14:$P$24,0)),"Yes")="Yes"),'INPUT - Bookings'!$E888+ROW()/100000,"")</f>
        <v/>
      </c>
    </row>
    <row r="889">
      <c r="BB889" s="244">
        <f>IF('INPUT - Bookings'!$B889="",0,IF(AND(OR(Dashboard!$D$9="All",TRIM('INPUT - Bookings'!$C889)=Dashboard!$D$9),OR(Dashboard!$J$9="All",TRIM('INPUT - Bookings'!$D889)=Dashboard!$J$9)),1,0))</f>
        <v/>
      </c>
      <c r="BC889" s="244">
        <f>IF(AND(BB889=1,ISNUMBER('INPUT - Bookings'!$E889),'INPUT - Bookings'!$E889&gt;=Settings!$C$8,'INPUT - Bookings'!$E889&lt;=Settings!$C$8+14,IFERROR(INDEX(Settings!$Q$14:$Q$24,MATCH('INPUT - Bookings'!$G889,Settings!$P$14:$P$24,0)),"Yes")="Yes"),'INPUT - Bookings'!$E889+ROW()/100000,"")</f>
        <v/>
      </c>
    </row>
    <row r="890">
      <c r="BB890" s="244">
        <f>IF('INPUT - Bookings'!$B890="",0,IF(AND(OR(Dashboard!$D$9="All",TRIM('INPUT - Bookings'!$C890)=Dashboard!$D$9),OR(Dashboard!$J$9="All",TRIM('INPUT - Bookings'!$D890)=Dashboard!$J$9)),1,0))</f>
        <v/>
      </c>
      <c r="BC890" s="244">
        <f>IF(AND(BB890=1,ISNUMBER('INPUT - Bookings'!$E890),'INPUT - Bookings'!$E890&gt;=Settings!$C$8,'INPUT - Bookings'!$E890&lt;=Settings!$C$8+14,IFERROR(INDEX(Settings!$Q$14:$Q$24,MATCH('INPUT - Bookings'!$G890,Settings!$P$14:$P$24,0)),"Yes")="Yes"),'INPUT - Bookings'!$E890+ROW()/100000,"")</f>
        <v/>
      </c>
    </row>
    <row r="891">
      <c r="BB891" s="244">
        <f>IF('INPUT - Bookings'!$B891="",0,IF(AND(OR(Dashboard!$D$9="All",TRIM('INPUT - Bookings'!$C891)=Dashboard!$D$9),OR(Dashboard!$J$9="All",TRIM('INPUT - Bookings'!$D891)=Dashboard!$J$9)),1,0))</f>
        <v/>
      </c>
      <c r="BC891" s="244">
        <f>IF(AND(BB891=1,ISNUMBER('INPUT - Bookings'!$E891),'INPUT - Bookings'!$E891&gt;=Settings!$C$8,'INPUT - Bookings'!$E891&lt;=Settings!$C$8+14,IFERROR(INDEX(Settings!$Q$14:$Q$24,MATCH('INPUT - Bookings'!$G891,Settings!$P$14:$P$24,0)),"Yes")="Yes"),'INPUT - Bookings'!$E891+ROW()/100000,"")</f>
        <v/>
      </c>
    </row>
    <row r="892">
      <c r="BB892" s="244">
        <f>IF('INPUT - Bookings'!$B892="",0,IF(AND(OR(Dashboard!$D$9="All",TRIM('INPUT - Bookings'!$C892)=Dashboard!$D$9),OR(Dashboard!$J$9="All",TRIM('INPUT - Bookings'!$D892)=Dashboard!$J$9)),1,0))</f>
        <v/>
      </c>
      <c r="BC892" s="244">
        <f>IF(AND(BB892=1,ISNUMBER('INPUT - Bookings'!$E892),'INPUT - Bookings'!$E892&gt;=Settings!$C$8,'INPUT - Bookings'!$E892&lt;=Settings!$C$8+14,IFERROR(INDEX(Settings!$Q$14:$Q$24,MATCH('INPUT - Bookings'!$G892,Settings!$P$14:$P$24,0)),"Yes")="Yes"),'INPUT - Bookings'!$E892+ROW()/100000,"")</f>
        <v/>
      </c>
    </row>
    <row r="893">
      <c r="BB893" s="244">
        <f>IF('INPUT - Bookings'!$B893="",0,IF(AND(OR(Dashboard!$D$9="All",TRIM('INPUT - Bookings'!$C893)=Dashboard!$D$9),OR(Dashboard!$J$9="All",TRIM('INPUT - Bookings'!$D893)=Dashboard!$J$9)),1,0))</f>
        <v/>
      </c>
      <c r="BC893" s="244">
        <f>IF(AND(BB893=1,ISNUMBER('INPUT - Bookings'!$E893),'INPUT - Bookings'!$E893&gt;=Settings!$C$8,'INPUT - Bookings'!$E893&lt;=Settings!$C$8+14,IFERROR(INDEX(Settings!$Q$14:$Q$24,MATCH('INPUT - Bookings'!$G893,Settings!$P$14:$P$24,0)),"Yes")="Yes"),'INPUT - Bookings'!$E893+ROW()/100000,"")</f>
        <v/>
      </c>
    </row>
    <row r="894">
      <c r="BB894" s="244">
        <f>IF('INPUT - Bookings'!$B894="",0,IF(AND(OR(Dashboard!$D$9="All",TRIM('INPUT - Bookings'!$C894)=Dashboard!$D$9),OR(Dashboard!$J$9="All",TRIM('INPUT - Bookings'!$D894)=Dashboard!$J$9)),1,0))</f>
        <v/>
      </c>
      <c r="BC894" s="244">
        <f>IF(AND(BB894=1,ISNUMBER('INPUT - Bookings'!$E894),'INPUT - Bookings'!$E894&gt;=Settings!$C$8,'INPUT - Bookings'!$E894&lt;=Settings!$C$8+14,IFERROR(INDEX(Settings!$Q$14:$Q$24,MATCH('INPUT - Bookings'!$G894,Settings!$P$14:$P$24,0)),"Yes")="Yes"),'INPUT - Bookings'!$E894+ROW()/100000,"")</f>
        <v/>
      </c>
    </row>
    <row r="895">
      <c r="BB895" s="244">
        <f>IF('INPUT - Bookings'!$B895="",0,IF(AND(OR(Dashboard!$D$9="All",TRIM('INPUT - Bookings'!$C895)=Dashboard!$D$9),OR(Dashboard!$J$9="All",TRIM('INPUT - Bookings'!$D895)=Dashboard!$J$9)),1,0))</f>
        <v/>
      </c>
      <c r="BC895" s="244">
        <f>IF(AND(BB895=1,ISNUMBER('INPUT - Bookings'!$E895),'INPUT - Bookings'!$E895&gt;=Settings!$C$8,'INPUT - Bookings'!$E895&lt;=Settings!$C$8+14,IFERROR(INDEX(Settings!$Q$14:$Q$24,MATCH('INPUT - Bookings'!$G895,Settings!$P$14:$P$24,0)),"Yes")="Yes"),'INPUT - Bookings'!$E895+ROW()/100000,"")</f>
        <v/>
      </c>
    </row>
    <row r="896">
      <c r="BB896" s="244">
        <f>IF('INPUT - Bookings'!$B896="",0,IF(AND(OR(Dashboard!$D$9="All",TRIM('INPUT - Bookings'!$C896)=Dashboard!$D$9),OR(Dashboard!$J$9="All",TRIM('INPUT - Bookings'!$D896)=Dashboard!$J$9)),1,0))</f>
        <v/>
      </c>
      <c r="BC896" s="244">
        <f>IF(AND(BB896=1,ISNUMBER('INPUT - Bookings'!$E896),'INPUT - Bookings'!$E896&gt;=Settings!$C$8,'INPUT - Bookings'!$E896&lt;=Settings!$C$8+14,IFERROR(INDEX(Settings!$Q$14:$Q$24,MATCH('INPUT - Bookings'!$G896,Settings!$P$14:$P$24,0)),"Yes")="Yes"),'INPUT - Bookings'!$E896+ROW()/100000,"")</f>
        <v/>
      </c>
    </row>
    <row r="897">
      <c r="BB897" s="244">
        <f>IF('INPUT - Bookings'!$B897="",0,IF(AND(OR(Dashboard!$D$9="All",TRIM('INPUT - Bookings'!$C897)=Dashboard!$D$9),OR(Dashboard!$J$9="All",TRIM('INPUT - Bookings'!$D897)=Dashboard!$J$9)),1,0))</f>
        <v/>
      </c>
      <c r="BC897" s="244">
        <f>IF(AND(BB897=1,ISNUMBER('INPUT - Bookings'!$E897),'INPUT - Bookings'!$E897&gt;=Settings!$C$8,'INPUT - Bookings'!$E897&lt;=Settings!$C$8+14,IFERROR(INDEX(Settings!$Q$14:$Q$24,MATCH('INPUT - Bookings'!$G897,Settings!$P$14:$P$24,0)),"Yes")="Yes"),'INPUT - Bookings'!$E897+ROW()/100000,"")</f>
        <v/>
      </c>
    </row>
    <row r="898">
      <c r="BB898" s="244">
        <f>IF('INPUT - Bookings'!$B898="",0,IF(AND(OR(Dashboard!$D$9="All",TRIM('INPUT - Bookings'!$C898)=Dashboard!$D$9),OR(Dashboard!$J$9="All",TRIM('INPUT - Bookings'!$D898)=Dashboard!$J$9)),1,0))</f>
        <v/>
      </c>
      <c r="BC898" s="244">
        <f>IF(AND(BB898=1,ISNUMBER('INPUT - Bookings'!$E898),'INPUT - Bookings'!$E898&gt;=Settings!$C$8,'INPUT - Bookings'!$E898&lt;=Settings!$C$8+14,IFERROR(INDEX(Settings!$Q$14:$Q$24,MATCH('INPUT - Bookings'!$G898,Settings!$P$14:$P$24,0)),"Yes")="Yes"),'INPUT - Bookings'!$E898+ROW()/100000,"")</f>
        <v/>
      </c>
    </row>
    <row r="899">
      <c r="BB899" s="244">
        <f>IF('INPUT - Bookings'!$B899="",0,IF(AND(OR(Dashboard!$D$9="All",TRIM('INPUT - Bookings'!$C899)=Dashboard!$D$9),OR(Dashboard!$J$9="All",TRIM('INPUT - Bookings'!$D899)=Dashboard!$J$9)),1,0))</f>
        <v/>
      </c>
      <c r="BC899" s="244">
        <f>IF(AND(BB899=1,ISNUMBER('INPUT - Bookings'!$E899),'INPUT - Bookings'!$E899&gt;=Settings!$C$8,'INPUT - Bookings'!$E899&lt;=Settings!$C$8+14,IFERROR(INDEX(Settings!$Q$14:$Q$24,MATCH('INPUT - Bookings'!$G899,Settings!$P$14:$P$24,0)),"Yes")="Yes"),'INPUT - Bookings'!$E899+ROW()/100000,"")</f>
        <v/>
      </c>
    </row>
    <row r="900">
      <c r="BB900" s="244">
        <f>IF('INPUT - Bookings'!$B900="",0,IF(AND(OR(Dashboard!$D$9="All",TRIM('INPUT - Bookings'!$C900)=Dashboard!$D$9),OR(Dashboard!$J$9="All",TRIM('INPUT - Bookings'!$D900)=Dashboard!$J$9)),1,0))</f>
        <v/>
      </c>
      <c r="BC900" s="244">
        <f>IF(AND(BB900=1,ISNUMBER('INPUT - Bookings'!$E900),'INPUT - Bookings'!$E900&gt;=Settings!$C$8,'INPUT - Bookings'!$E900&lt;=Settings!$C$8+14,IFERROR(INDEX(Settings!$Q$14:$Q$24,MATCH('INPUT - Bookings'!$G900,Settings!$P$14:$P$24,0)),"Yes")="Yes"),'INPUT - Bookings'!$E900+ROW()/100000,"")</f>
        <v/>
      </c>
    </row>
    <row r="901">
      <c r="BB901" s="244">
        <f>IF('INPUT - Bookings'!$B901="",0,IF(AND(OR(Dashboard!$D$9="All",TRIM('INPUT - Bookings'!$C901)=Dashboard!$D$9),OR(Dashboard!$J$9="All",TRIM('INPUT - Bookings'!$D901)=Dashboard!$J$9)),1,0))</f>
        <v/>
      </c>
      <c r="BC901" s="244">
        <f>IF(AND(BB901=1,ISNUMBER('INPUT - Bookings'!$E901),'INPUT - Bookings'!$E901&gt;=Settings!$C$8,'INPUT - Bookings'!$E901&lt;=Settings!$C$8+14,IFERROR(INDEX(Settings!$Q$14:$Q$24,MATCH('INPUT - Bookings'!$G901,Settings!$P$14:$P$24,0)),"Yes")="Yes"),'INPUT - Bookings'!$E901+ROW()/100000,"")</f>
        <v/>
      </c>
    </row>
    <row r="902">
      <c r="BB902" s="244">
        <f>IF('INPUT - Bookings'!$B902="",0,IF(AND(OR(Dashboard!$D$9="All",TRIM('INPUT - Bookings'!$C902)=Dashboard!$D$9),OR(Dashboard!$J$9="All",TRIM('INPUT - Bookings'!$D902)=Dashboard!$J$9)),1,0))</f>
        <v/>
      </c>
      <c r="BC902" s="244">
        <f>IF(AND(BB902=1,ISNUMBER('INPUT - Bookings'!$E902),'INPUT - Bookings'!$E902&gt;=Settings!$C$8,'INPUT - Bookings'!$E902&lt;=Settings!$C$8+14,IFERROR(INDEX(Settings!$Q$14:$Q$24,MATCH('INPUT - Bookings'!$G902,Settings!$P$14:$P$24,0)),"Yes")="Yes"),'INPUT - Bookings'!$E902+ROW()/100000,"")</f>
        <v/>
      </c>
    </row>
    <row r="903">
      <c r="BB903" s="244">
        <f>IF('INPUT - Bookings'!$B903="",0,IF(AND(OR(Dashboard!$D$9="All",TRIM('INPUT - Bookings'!$C903)=Dashboard!$D$9),OR(Dashboard!$J$9="All",TRIM('INPUT - Bookings'!$D903)=Dashboard!$J$9)),1,0))</f>
        <v/>
      </c>
      <c r="BC903" s="244">
        <f>IF(AND(BB903=1,ISNUMBER('INPUT - Bookings'!$E903),'INPUT - Bookings'!$E903&gt;=Settings!$C$8,'INPUT - Bookings'!$E903&lt;=Settings!$C$8+14,IFERROR(INDEX(Settings!$Q$14:$Q$24,MATCH('INPUT - Bookings'!$G903,Settings!$P$14:$P$24,0)),"Yes")="Yes"),'INPUT - Bookings'!$E903+ROW()/100000,"")</f>
        <v/>
      </c>
    </row>
    <row r="904">
      <c r="BB904" s="244">
        <f>IF('INPUT - Bookings'!$B904="",0,IF(AND(OR(Dashboard!$D$9="All",TRIM('INPUT - Bookings'!$C904)=Dashboard!$D$9),OR(Dashboard!$J$9="All",TRIM('INPUT - Bookings'!$D904)=Dashboard!$J$9)),1,0))</f>
        <v/>
      </c>
      <c r="BC904" s="244">
        <f>IF(AND(BB904=1,ISNUMBER('INPUT - Bookings'!$E904),'INPUT - Bookings'!$E904&gt;=Settings!$C$8,'INPUT - Bookings'!$E904&lt;=Settings!$C$8+14,IFERROR(INDEX(Settings!$Q$14:$Q$24,MATCH('INPUT - Bookings'!$G904,Settings!$P$14:$P$24,0)),"Yes")="Yes"),'INPUT - Bookings'!$E904+ROW()/100000,"")</f>
        <v/>
      </c>
    </row>
    <row r="905">
      <c r="BB905" s="244">
        <f>IF('INPUT - Bookings'!$B905="",0,IF(AND(OR(Dashboard!$D$9="All",TRIM('INPUT - Bookings'!$C905)=Dashboard!$D$9),OR(Dashboard!$J$9="All",TRIM('INPUT - Bookings'!$D905)=Dashboard!$J$9)),1,0))</f>
        <v/>
      </c>
      <c r="BC905" s="244">
        <f>IF(AND(BB905=1,ISNUMBER('INPUT - Bookings'!$E905),'INPUT - Bookings'!$E905&gt;=Settings!$C$8,'INPUT - Bookings'!$E905&lt;=Settings!$C$8+14,IFERROR(INDEX(Settings!$Q$14:$Q$24,MATCH('INPUT - Bookings'!$G905,Settings!$P$14:$P$24,0)),"Yes")="Yes"),'INPUT - Bookings'!$E905+ROW()/100000,"")</f>
        <v/>
      </c>
    </row>
    <row r="906">
      <c r="BB906" s="244">
        <f>IF('INPUT - Bookings'!$B906="",0,IF(AND(OR(Dashboard!$D$9="All",TRIM('INPUT - Bookings'!$C906)=Dashboard!$D$9),OR(Dashboard!$J$9="All",TRIM('INPUT - Bookings'!$D906)=Dashboard!$J$9)),1,0))</f>
        <v/>
      </c>
      <c r="BC906" s="244">
        <f>IF(AND(BB906=1,ISNUMBER('INPUT - Bookings'!$E906),'INPUT - Bookings'!$E906&gt;=Settings!$C$8,'INPUT - Bookings'!$E906&lt;=Settings!$C$8+14,IFERROR(INDEX(Settings!$Q$14:$Q$24,MATCH('INPUT - Bookings'!$G906,Settings!$P$14:$P$24,0)),"Yes")="Yes"),'INPUT - Bookings'!$E906+ROW()/100000,"")</f>
        <v/>
      </c>
    </row>
    <row r="907">
      <c r="BB907" s="244">
        <f>IF('INPUT - Bookings'!$B907="",0,IF(AND(OR(Dashboard!$D$9="All",TRIM('INPUT - Bookings'!$C907)=Dashboard!$D$9),OR(Dashboard!$J$9="All",TRIM('INPUT - Bookings'!$D907)=Dashboard!$J$9)),1,0))</f>
        <v/>
      </c>
      <c r="BC907" s="244">
        <f>IF(AND(BB907=1,ISNUMBER('INPUT - Bookings'!$E907),'INPUT - Bookings'!$E907&gt;=Settings!$C$8,'INPUT - Bookings'!$E907&lt;=Settings!$C$8+14,IFERROR(INDEX(Settings!$Q$14:$Q$24,MATCH('INPUT - Bookings'!$G907,Settings!$P$14:$P$24,0)),"Yes")="Yes"),'INPUT - Bookings'!$E907+ROW()/100000,"")</f>
        <v/>
      </c>
    </row>
    <row r="908">
      <c r="BB908" s="244">
        <f>IF('INPUT - Bookings'!$B908="",0,IF(AND(OR(Dashboard!$D$9="All",TRIM('INPUT - Bookings'!$C908)=Dashboard!$D$9),OR(Dashboard!$J$9="All",TRIM('INPUT - Bookings'!$D908)=Dashboard!$J$9)),1,0))</f>
        <v/>
      </c>
      <c r="BC908" s="244">
        <f>IF(AND(BB908=1,ISNUMBER('INPUT - Bookings'!$E908),'INPUT - Bookings'!$E908&gt;=Settings!$C$8,'INPUT - Bookings'!$E908&lt;=Settings!$C$8+14,IFERROR(INDEX(Settings!$Q$14:$Q$24,MATCH('INPUT - Bookings'!$G908,Settings!$P$14:$P$24,0)),"Yes")="Yes"),'INPUT - Bookings'!$E908+ROW()/100000,"")</f>
        <v/>
      </c>
    </row>
    <row r="909">
      <c r="BB909" s="244">
        <f>IF('INPUT - Bookings'!$B909="",0,IF(AND(OR(Dashboard!$D$9="All",TRIM('INPUT - Bookings'!$C909)=Dashboard!$D$9),OR(Dashboard!$J$9="All",TRIM('INPUT - Bookings'!$D909)=Dashboard!$J$9)),1,0))</f>
        <v/>
      </c>
      <c r="BC909" s="244">
        <f>IF(AND(BB909=1,ISNUMBER('INPUT - Bookings'!$E909),'INPUT - Bookings'!$E909&gt;=Settings!$C$8,'INPUT - Bookings'!$E909&lt;=Settings!$C$8+14,IFERROR(INDEX(Settings!$Q$14:$Q$24,MATCH('INPUT - Bookings'!$G909,Settings!$P$14:$P$24,0)),"Yes")="Yes"),'INPUT - Bookings'!$E909+ROW()/100000,"")</f>
        <v/>
      </c>
    </row>
    <row r="910">
      <c r="BB910" s="244">
        <f>IF('INPUT - Bookings'!$B910="",0,IF(AND(OR(Dashboard!$D$9="All",TRIM('INPUT - Bookings'!$C910)=Dashboard!$D$9),OR(Dashboard!$J$9="All",TRIM('INPUT - Bookings'!$D910)=Dashboard!$J$9)),1,0))</f>
        <v/>
      </c>
      <c r="BC910" s="244">
        <f>IF(AND(BB910=1,ISNUMBER('INPUT - Bookings'!$E910),'INPUT - Bookings'!$E910&gt;=Settings!$C$8,'INPUT - Bookings'!$E910&lt;=Settings!$C$8+14,IFERROR(INDEX(Settings!$Q$14:$Q$24,MATCH('INPUT - Bookings'!$G910,Settings!$P$14:$P$24,0)),"Yes")="Yes"),'INPUT - Bookings'!$E910+ROW()/100000,"")</f>
        <v/>
      </c>
    </row>
    <row r="911">
      <c r="BB911" s="244">
        <f>IF('INPUT - Bookings'!$B911="",0,IF(AND(OR(Dashboard!$D$9="All",TRIM('INPUT - Bookings'!$C911)=Dashboard!$D$9),OR(Dashboard!$J$9="All",TRIM('INPUT - Bookings'!$D911)=Dashboard!$J$9)),1,0))</f>
        <v/>
      </c>
      <c r="BC911" s="244">
        <f>IF(AND(BB911=1,ISNUMBER('INPUT - Bookings'!$E911),'INPUT - Bookings'!$E911&gt;=Settings!$C$8,'INPUT - Bookings'!$E911&lt;=Settings!$C$8+14,IFERROR(INDEX(Settings!$Q$14:$Q$24,MATCH('INPUT - Bookings'!$G911,Settings!$P$14:$P$24,0)),"Yes")="Yes"),'INPUT - Bookings'!$E911+ROW()/100000,"")</f>
        <v/>
      </c>
    </row>
    <row r="912">
      <c r="BB912" s="244">
        <f>IF('INPUT - Bookings'!$B912="",0,IF(AND(OR(Dashboard!$D$9="All",TRIM('INPUT - Bookings'!$C912)=Dashboard!$D$9),OR(Dashboard!$J$9="All",TRIM('INPUT - Bookings'!$D912)=Dashboard!$J$9)),1,0))</f>
        <v/>
      </c>
      <c r="BC912" s="244">
        <f>IF(AND(BB912=1,ISNUMBER('INPUT - Bookings'!$E912),'INPUT - Bookings'!$E912&gt;=Settings!$C$8,'INPUT - Bookings'!$E912&lt;=Settings!$C$8+14,IFERROR(INDEX(Settings!$Q$14:$Q$24,MATCH('INPUT - Bookings'!$G912,Settings!$P$14:$P$24,0)),"Yes")="Yes"),'INPUT - Bookings'!$E912+ROW()/100000,"")</f>
        <v/>
      </c>
    </row>
    <row r="913">
      <c r="BB913" s="244">
        <f>IF('INPUT - Bookings'!$B913="",0,IF(AND(OR(Dashboard!$D$9="All",TRIM('INPUT - Bookings'!$C913)=Dashboard!$D$9),OR(Dashboard!$J$9="All",TRIM('INPUT - Bookings'!$D913)=Dashboard!$J$9)),1,0))</f>
        <v/>
      </c>
      <c r="BC913" s="244">
        <f>IF(AND(BB913=1,ISNUMBER('INPUT - Bookings'!$E913),'INPUT - Bookings'!$E913&gt;=Settings!$C$8,'INPUT - Bookings'!$E913&lt;=Settings!$C$8+14,IFERROR(INDEX(Settings!$Q$14:$Q$24,MATCH('INPUT - Bookings'!$G913,Settings!$P$14:$P$24,0)),"Yes")="Yes"),'INPUT - Bookings'!$E913+ROW()/100000,"")</f>
        <v/>
      </c>
    </row>
    <row r="914">
      <c r="BB914" s="244">
        <f>IF('INPUT - Bookings'!$B914="",0,IF(AND(OR(Dashboard!$D$9="All",TRIM('INPUT - Bookings'!$C914)=Dashboard!$D$9),OR(Dashboard!$J$9="All",TRIM('INPUT - Bookings'!$D914)=Dashboard!$J$9)),1,0))</f>
        <v/>
      </c>
      <c r="BC914" s="244">
        <f>IF(AND(BB914=1,ISNUMBER('INPUT - Bookings'!$E914),'INPUT - Bookings'!$E914&gt;=Settings!$C$8,'INPUT - Bookings'!$E914&lt;=Settings!$C$8+14,IFERROR(INDEX(Settings!$Q$14:$Q$24,MATCH('INPUT - Bookings'!$G914,Settings!$P$14:$P$24,0)),"Yes")="Yes"),'INPUT - Bookings'!$E914+ROW()/100000,"")</f>
        <v/>
      </c>
    </row>
    <row r="915">
      <c r="BB915" s="244">
        <f>IF('INPUT - Bookings'!$B915="",0,IF(AND(OR(Dashboard!$D$9="All",TRIM('INPUT - Bookings'!$C915)=Dashboard!$D$9),OR(Dashboard!$J$9="All",TRIM('INPUT - Bookings'!$D915)=Dashboard!$J$9)),1,0))</f>
        <v/>
      </c>
      <c r="BC915" s="244">
        <f>IF(AND(BB915=1,ISNUMBER('INPUT - Bookings'!$E915),'INPUT - Bookings'!$E915&gt;=Settings!$C$8,'INPUT - Bookings'!$E915&lt;=Settings!$C$8+14,IFERROR(INDEX(Settings!$Q$14:$Q$24,MATCH('INPUT - Bookings'!$G915,Settings!$P$14:$P$24,0)),"Yes")="Yes"),'INPUT - Bookings'!$E915+ROW()/100000,"")</f>
        <v/>
      </c>
    </row>
    <row r="916">
      <c r="BB916" s="244">
        <f>IF('INPUT - Bookings'!$B916="",0,IF(AND(OR(Dashboard!$D$9="All",TRIM('INPUT - Bookings'!$C916)=Dashboard!$D$9),OR(Dashboard!$J$9="All",TRIM('INPUT - Bookings'!$D916)=Dashboard!$J$9)),1,0))</f>
        <v/>
      </c>
      <c r="BC916" s="244">
        <f>IF(AND(BB916=1,ISNUMBER('INPUT - Bookings'!$E916),'INPUT - Bookings'!$E916&gt;=Settings!$C$8,'INPUT - Bookings'!$E916&lt;=Settings!$C$8+14,IFERROR(INDEX(Settings!$Q$14:$Q$24,MATCH('INPUT - Bookings'!$G916,Settings!$P$14:$P$24,0)),"Yes")="Yes"),'INPUT - Bookings'!$E916+ROW()/100000,"")</f>
        <v/>
      </c>
    </row>
    <row r="917">
      <c r="BB917" s="244">
        <f>IF('INPUT - Bookings'!$B917="",0,IF(AND(OR(Dashboard!$D$9="All",TRIM('INPUT - Bookings'!$C917)=Dashboard!$D$9),OR(Dashboard!$J$9="All",TRIM('INPUT - Bookings'!$D917)=Dashboard!$J$9)),1,0))</f>
        <v/>
      </c>
      <c r="BC917" s="244">
        <f>IF(AND(BB917=1,ISNUMBER('INPUT - Bookings'!$E917),'INPUT - Bookings'!$E917&gt;=Settings!$C$8,'INPUT - Bookings'!$E917&lt;=Settings!$C$8+14,IFERROR(INDEX(Settings!$Q$14:$Q$24,MATCH('INPUT - Bookings'!$G917,Settings!$P$14:$P$24,0)),"Yes")="Yes"),'INPUT - Bookings'!$E917+ROW()/100000,"")</f>
        <v/>
      </c>
    </row>
    <row r="918">
      <c r="BB918" s="244">
        <f>IF('INPUT - Bookings'!$B918="",0,IF(AND(OR(Dashboard!$D$9="All",TRIM('INPUT - Bookings'!$C918)=Dashboard!$D$9),OR(Dashboard!$J$9="All",TRIM('INPUT - Bookings'!$D918)=Dashboard!$J$9)),1,0))</f>
        <v/>
      </c>
      <c r="BC918" s="244">
        <f>IF(AND(BB918=1,ISNUMBER('INPUT - Bookings'!$E918),'INPUT - Bookings'!$E918&gt;=Settings!$C$8,'INPUT - Bookings'!$E918&lt;=Settings!$C$8+14,IFERROR(INDEX(Settings!$Q$14:$Q$24,MATCH('INPUT - Bookings'!$G918,Settings!$P$14:$P$24,0)),"Yes")="Yes"),'INPUT - Bookings'!$E918+ROW()/100000,"")</f>
        <v/>
      </c>
    </row>
    <row r="919">
      <c r="BB919" s="244">
        <f>IF('INPUT - Bookings'!$B919="",0,IF(AND(OR(Dashboard!$D$9="All",TRIM('INPUT - Bookings'!$C919)=Dashboard!$D$9),OR(Dashboard!$J$9="All",TRIM('INPUT - Bookings'!$D919)=Dashboard!$J$9)),1,0))</f>
        <v/>
      </c>
      <c r="BC919" s="244">
        <f>IF(AND(BB919=1,ISNUMBER('INPUT - Bookings'!$E919),'INPUT - Bookings'!$E919&gt;=Settings!$C$8,'INPUT - Bookings'!$E919&lt;=Settings!$C$8+14,IFERROR(INDEX(Settings!$Q$14:$Q$24,MATCH('INPUT - Bookings'!$G919,Settings!$P$14:$P$24,0)),"Yes")="Yes"),'INPUT - Bookings'!$E919+ROW()/100000,"")</f>
        <v/>
      </c>
    </row>
    <row r="920">
      <c r="BB920" s="244">
        <f>IF('INPUT - Bookings'!$B920="",0,IF(AND(OR(Dashboard!$D$9="All",TRIM('INPUT - Bookings'!$C920)=Dashboard!$D$9),OR(Dashboard!$J$9="All",TRIM('INPUT - Bookings'!$D920)=Dashboard!$J$9)),1,0))</f>
        <v/>
      </c>
      <c r="BC920" s="244">
        <f>IF(AND(BB920=1,ISNUMBER('INPUT - Bookings'!$E920),'INPUT - Bookings'!$E920&gt;=Settings!$C$8,'INPUT - Bookings'!$E920&lt;=Settings!$C$8+14,IFERROR(INDEX(Settings!$Q$14:$Q$24,MATCH('INPUT - Bookings'!$G920,Settings!$P$14:$P$24,0)),"Yes")="Yes"),'INPUT - Bookings'!$E920+ROW()/100000,"")</f>
        <v/>
      </c>
    </row>
    <row r="921">
      <c r="BB921" s="244">
        <f>IF('INPUT - Bookings'!$B921="",0,IF(AND(OR(Dashboard!$D$9="All",TRIM('INPUT - Bookings'!$C921)=Dashboard!$D$9),OR(Dashboard!$J$9="All",TRIM('INPUT - Bookings'!$D921)=Dashboard!$J$9)),1,0))</f>
        <v/>
      </c>
      <c r="BC921" s="244">
        <f>IF(AND(BB921=1,ISNUMBER('INPUT - Bookings'!$E921),'INPUT - Bookings'!$E921&gt;=Settings!$C$8,'INPUT - Bookings'!$E921&lt;=Settings!$C$8+14,IFERROR(INDEX(Settings!$Q$14:$Q$24,MATCH('INPUT - Bookings'!$G921,Settings!$P$14:$P$24,0)),"Yes")="Yes"),'INPUT - Bookings'!$E921+ROW()/100000,"")</f>
        <v/>
      </c>
    </row>
    <row r="922">
      <c r="BB922" s="244">
        <f>IF('INPUT - Bookings'!$B922="",0,IF(AND(OR(Dashboard!$D$9="All",TRIM('INPUT - Bookings'!$C922)=Dashboard!$D$9),OR(Dashboard!$J$9="All",TRIM('INPUT - Bookings'!$D922)=Dashboard!$J$9)),1,0))</f>
        <v/>
      </c>
      <c r="BC922" s="244">
        <f>IF(AND(BB922=1,ISNUMBER('INPUT - Bookings'!$E922),'INPUT - Bookings'!$E922&gt;=Settings!$C$8,'INPUT - Bookings'!$E922&lt;=Settings!$C$8+14,IFERROR(INDEX(Settings!$Q$14:$Q$24,MATCH('INPUT - Bookings'!$G922,Settings!$P$14:$P$24,0)),"Yes")="Yes"),'INPUT - Bookings'!$E922+ROW()/100000,"")</f>
        <v/>
      </c>
    </row>
    <row r="923">
      <c r="BB923" s="244">
        <f>IF('INPUT - Bookings'!$B923="",0,IF(AND(OR(Dashboard!$D$9="All",TRIM('INPUT - Bookings'!$C923)=Dashboard!$D$9),OR(Dashboard!$J$9="All",TRIM('INPUT - Bookings'!$D923)=Dashboard!$J$9)),1,0))</f>
        <v/>
      </c>
      <c r="BC923" s="244">
        <f>IF(AND(BB923=1,ISNUMBER('INPUT - Bookings'!$E923),'INPUT - Bookings'!$E923&gt;=Settings!$C$8,'INPUT - Bookings'!$E923&lt;=Settings!$C$8+14,IFERROR(INDEX(Settings!$Q$14:$Q$24,MATCH('INPUT - Bookings'!$G923,Settings!$P$14:$P$24,0)),"Yes")="Yes"),'INPUT - Bookings'!$E923+ROW()/100000,"")</f>
        <v/>
      </c>
    </row>
    <row r="924">
      <c r="BB924" s="244">
        <f>IF('INPUT - Bookings'!$B924="",0,IF(AND(OR(Dashboard!$D$9="All",TRIM('INPUT - Bookings'!$C924)=Dashboard!$D$9),OR(Dashboard!$J$9="All",TRIM('INPUT - Bookings'!$D924)=Dashboard!$J$9)),1,0))</f>
        <v/>
      </c>
      <c r="BC924" s="244">
        <f>IF(AND(BB924=1,ISNUMBER('INPUT - Bookings'!$E924),'INPUT - Bookings'!$E924&gt;=Settings!$C$8,'INPUT - Bookings'!$E924&lt;=Settings!$C$8+14,IFERROR(INDEX(Settings!$Q$14:$Q$24,MATCH('INPUT - Bookings'!$G924,Settings!$P$14:$P$24,0)),"Yes")="Yes"),'INPUT - Bookings'!$E924+ROW()/100000,"")</f>
        <v/>
      </c>
    </row>
    <row r="925">
      <c r="BB925" s="244">
        <f>IF('INPUT - Bookings'!$B925="",0,IF(AND(OR(Dashboard!$D$9="All",TRIM('INPUT - Bookings'!$C925)=Dashboard!$D$9),OR(Dashboard!$J$9="All",TRIM('INPUT - Bookings'!$D925)=Dashboard!$J$9)),1,0))</f>
        <v/>
      </c>
      <c r="BC925" s="244">
        <f>IF(AND(BB925=1,ISNUMBER('INPUT - Bookings'!$E925),'INPUT - Bookings'!$E925&gt;=Settings!$C$8,'INPUT - Bookings'!$E925&lt;=Settings!$C$8+14,IFERROR(INDEX(Settings!$Q$14:$Q$24,MATCH('INPUT - Bookings'!$G925,Settings!$P$14:$P$24,0)),"Yes")="Yes"),'INPUT - Bookings'!$E925+ROW()/100000,"")</f>
        <v/>
      </c>
    </row>
    <row r="926">
      <c r="BB926" s="244">
        <f>IF('INPUT - Bookings'!$B926="",0,IF(AND(OR(Dashboard!$D$9="All",TRIM('INPUT - Bookings'!$C926)=Dashboard!$D$9),OR(Dashboard!$J$9="All",TRIM('INPUT - Bookings'!$D926)=Dashboard!$J$9)),1,0))</f>
        <v/>
      </c>
      <c r="BC926" s="244">
        <f>IF(AND(BB926=1,ISNUMBER('INPUT - Bookings'!$E926),'INPUT - Bookings'!$E926&gt;=Settings!$C$8,'INPUT - Bookings'!$E926&lt;=Settings!$C$8+14,IFERROR(INDEX(Settings!$Q$14:$Q$24,MATCH('INPUT - Bookings'!$G926,Settings!$P$14:$P$24,0)),"Yes")="Yes"),'INPUT - Bookings'!$E926+ROW()/100000,"")</f>
        <v/>
      </c>
    </row>
    <row r="927">
      <c r="BB927" s="244">
        <f>IF('INPUT - Bookings'!$B927="",0,IF(AND(OR(Dashboard!$D$9="All",TRIM('INPUT - Bookings'!$C927)=Dashboard!$D$9),OR(Dashboard!$J$9="All",TRIM('INPUT - Bookings'!$D927)=Dashboard!$J$9)),1,0))</f>
        <v/>
      </c>
      <c r="BC927" s="244">
        <f>IF(AND(BB927=1,ISNUMBER('INPUT - Bookings'!$E927),'INPUT - Bookings'!$E927&gt;=Settings!$C$8,'INPUT - Bookings'!$E927&lt;=Settings!$C$8+14,IFERROR(INDEX(Settings!$Q$14:$Q$24,MATCH('INPUT - Bookings'!$G927,Settings!$P$14:$P$24,0)),"Yes")="Yes"),'INPUT - Bookings'!$E927+ROW()/100000,"")</f>
        <v/>
      </c>
    </row>
    <row r="928">
      <c r="BB928" s="244">
        <f>IF('INPUT - Bookings'!$B928="",0,IF(AND(OR(Dashboard!$D$9="All",TRIM('INPUT - Bookings'!$C928)=Dashboard!$D$9),OR(Dashboard!$J$9="All",TRIM('INPUT - Bookings'!$D928)=Dashboard!$J$9)),1,0))</f>
        <v/>
      </c>
      <c r="BC928" s="244">
        <f>IF(AND(BB928=1,ISNUMBER('INPUT - Bookings'!$E928),'INPUT - Bookings'!$E928&gt;=Settings!$C$8,'INPUT - Bookings'!$E928&lt;=Settings!$C$8+14,IFERROR(INDEX(Settings!$Q$14:$Q$24,MATCH('INPUT - Bookings'!$G928,Settings!$P$14:$P$24,0)),"Yes")="Yes"),'INPUT - Bookings'!$E928+ROW()/100000,"")</f>
        <v/>
      </c>
    </row>
    <row r="929">
      <c r="BB929" s="244">
        <f>IF('INPUT - Bookings'!$B929="",0,IF(AND(OR(Dashboard!$D$9="All",TRIM('INPUT - Bookings'!$C929)=Dashboard!$D$9),OR(Dashboard!$J$9="All",TRIM('INPUT - Bookings'!$D929)=Dashboard!$J$9)),1,0))</f>
        <v/>
      </c>
      <c r="BC929" s="244">
        <f>IF(AND(BB929=1,ISNUMBER('INPUT - Bookings'!$E929),'INPUT - Bookings'!$E929&gt;=Settings!$C$8,'INPUT - Bookings'!$E929&lt;=Settings!$C$8+14,IFERROR(INDEX(Settings!$Q$14:$Q$24,MATCH('INPUT - Bookings'!$G929,Settings!$P$14:$P$24,0)),"Yes")="Yes"),'INPUT - Bookings'!$E929+ROW()/100000,"")</f>
        <v/>
      </c>
    </row>
    <row r="930">
      <c r="BB930" s="244">
        <f>IF('INPUT - Bookings'!$B930="",0,IF(AND(OR(Dashboard!$D$9="All",TRIM('INPUT - Bookings'!$C930)=Dashboard!$D$9),OR(Dashboard!$J$9="All",TRIM('INPUT - Bookings'!$D930)=Dashboard!$J$9)),1,0))</f>
        <v/>
      </c>
      <c r="BC930" s="244">
        <f>IF(AND(BB930=1,ISNUMBER('INPUT - Bookings'!$E930),'INPUT - Bookings'!$E930&gt;=Settings!$C$8,'INPUT - Bookings'!$E930&lt;=Settings!$C$8+14,IFERROR(INDEX(Settings!$Q$14:$Q$24,MATCH('INPUT - Bookings'!$G930,Settings!$P$14:$P$24,0)),"Yes")="Yes"),'INPUT - Bookings'!$E930+ROW()/100000,"")</f>
        <v/>
      </c>
    </row>
    <row r="931">
      <c r="BB931" s="244">
        <f>IF('INPUT - Bookings'!$B931="",0,IF(AND(OR(Dashboard!$D$9="All",TRIM('INPUT - Bookings'!$C931)=Dashboard!$D$9),OR(Dashboard!$J$9="All",TRIM('INPUT - Bookings'!$D931)=Dashboard!$J$9)),1,0))</f>
        <v/>
      </c>
      <c r="BC931" s="244">
        <f>IF(AND(BB931=1,ISNUMBER('INPUT - Bookings'!$E931),'INPUT - Bookings'!$E931&gt;=Settings!$C$8,'INPUT - Bookings'!$E931&lt;=Settings!$C$8+14,IFERROR(INDEX(Settings!$Q$14:$Q$24,MATCH('INPUT - Bookings'!$G931,Settings!$P$14:$P$24,0)),"Yes")="Yes"),'INPUT - Bookings'!$E931+ROW()/100000,"")</f>
        <v/>
      </c>
    </row>
    <row r="932">
      <c r="BB932" s="244">
        <f>IF('INPUT - Bookings'!$B932="",0,IF(AND(OR(Dashboard!$D$9="All",TRIM('INPUT - Bookings'!$C932)=Dashboard!$D$9),OR(Dashboard!$J$9="All",TRIM('INPUT - Bookings'!$D932)=Dashboard!$J$9)),1,0))</f>
        <v/>
      </c>
      <c r="BC932" s="244">
        <f>IF(AND(BB932=1,ISNUMBER('INPUT - Bookings'!$E932),'INPUT - Bookings'!$E932&gt;=Settings!$C$8,'INPUT - Bookings'!$E932&lt;=Settings!$C$8+14,IFERROR(INDEX(Settings!$Q$14:$Q$24,MATCH('INPUT - Bookings'!$G932,Settings!$P$14:$P$24,0)),"Yes")="Yes"),'INPUT - Bookings'!$E932+ROW()/100000,"")</f>
        <v/>
      </c>
    </row>
    <row r="933">
      <c r="BB933" s="244">
        <f>IF('INPUT - Bookings'!$B933="",0,IF(AND(OR(Dashboard!$D$9="All",TRIM('INPUT - Bookings'!$C933)=Dashboard!$D$9),OR(Dashboard!$J$9="All",TRIM('INPUT - Bookings'!$D933)=Dashboard!$J$9)),1,0))</f>
        <v/>
      </c>
      <c r="BC933" s="244">
        <f>IF(AND(BB933=1,ISNUMBER('INPUT - Bookings'!$E933),'INPUT - Bookings'!$E933&gt;=Settings!$C$8,'INPUT - Bookings'!$E933&lt;=Settings!$C$8+14,IFERROR(INDEX(Settings!$Q$14:$Q$24,MATCH('INPUT - Bookings'!$G933,Settings!$P$14:$P$24,0)),"Yes")="Yes"),'INPUT - Bookings'!$E933+ROW()/100000,"")</f>
        <v/>
      </c>
    </row>
    <row r="934">
      <c r="BB934" s="244">
        <f>IF('INPUT - Bookings'!$B934="",0,IF(AND(OR(Dashboard!$D$9="All",TRIM('INPUT - Bookings'!$C934)=Dashboard!$D$9),OR(Dashboard!$J$9="All",TRIM('INPUT - Bookings'!$D934)=Dashboard!$J$9)),1,0))</f>
        <v/>
      </c>
      <c r="BC934" s="244">
        <f>IF(AND(BB934=1,ISNUMBER('INPUT - Bookings'!$E934),'INPUT - Bookings'!$E934&gt;=Settings!$C$8,'INPUT - Bookings'!$E934&lt;=Settings!$C$8+14,IFERROR(INDEX(Settings!$Q$14:$Q$24,MATCH('INPUT - Bookings'!$G934,Settings!$P$14:$P$24,0)),"Yes")="Yes"),'INPUT - Bookings'!$E934+ROW()/100000,"")</f>
        <v/>
      </c>
    </row>
    <row r="935">
      <c r="BB935" s="244">
        <f>IF('INPUT - Bookings'!$B935="",0,IF(AND(OR(Dashboard!$D$9="All",TRIM('INPUT - Bookings'!$C935)=Dashboard!$D$9),OR(Dashboard!$J$9="All",TRIM('INPUT - Bookings'!$D935)=Dashboard!$J$9)),1,0))</f>
        <v/>
      </c>
      <c r="BC935" s="244">
        <f>IF(AND(BB935=1,ISNUMBER('INPUT - Bookings'!$E935),'INPUT - Bookings'!$E935&gt;=Settings!$C$8,'INPUT - Bookings'!$E935&lt;=Settings!$C$8+14,IFERROR(INDEX(Settings!$Q$14:$Q$24,MATCH('INPUT - Bookings'!$G935,Settings!$P$14:$P$24,0)),"Yes")="Yes"),'INPUT - Bookings'!$E935+ROW()/100000,"")</f>
        <v/>
      </c>
    </row>
    <row r="936">
      <c r="BB936" s="244">
        <f>IF('INPUT - Bookings'!$B936="",0,IF(AND(OR(Dashboard!$D$9="All",TRIM('INPUT - Bookings'!$C936)=Dashboard!$D$9),OR(Dashboard!$J$9="All",TRIM('INPUT - Bookings'!$D936)=Dashboard!$J$9)),1,0))</f>
        <v/>
      </c>
      <c r="BC936" s="244">
        <f>IF(AND(BB936=1,ISNUMBER('INPUT - Bookings'!$E936),'INPUT - Bookings'!$E936&gt;=Settings!$C$8,'INPUT - Bookings'!$E936&lt;=Settings!$C$8+14,IFERROR(INDEX(Settings!$Q$14:$Q$24,MATCH('INPUT - Bookings'!$G936,Settings!$P$14:$P$24,0)),"Yes")="Yes"),'INPUT - Bookings'!$E936+ROW()/100000,"")</f>
        <v/>
      </c>
    </row>
    <row r="937">
      <c r="BB937" s="244">
        <f>IF('INPUT - Bookings'!$B937="",0,IF(AND(OR(Dashboard!$D$9="All",TRIM('INPUT - Bookings'!$C937)=Dashboard!$D$9),OR(Dashboard!$J$9="All",TRIM('INPUT - Bookings'!$D937)=Dashboard!$J$9)),1,0))</f>
        <v/>
      </c>
      <c r="BC937" s="244">
        <f>IF(AND(BB937=1,ISNUMBER('INPUT - Bookings'!$E937),'INPUT - Bookings'!$E937&gt;=Settings!$C$8,'INPUT - Bookings'!$E937&lt;=Settings!$C$8+14,IFERROR(INDEX(Settings!$Q$14:$Q$24,MATCH('INPUT - Bookings'!$G937,Settings!$P$14:$P$24,0)),"Yes")="Yes"),'INPUT - Bookings'!$E937+ROW()/100000,"")</f>
        <v/>
      </c>
    </row>
    <row r="938">
      <c r="BB938" s="244">
        <f>IF('INPUT - Bookings'!$B938="",0,IF(AND(OR(Dashboard!$D$9="All",TRIM('INPUT - Bookings'!$C938)=Dashboard!$D$9),OR(Dashboard!$J$9="All",TRIM('INPUT - Bookings'!$D938)=Dashboard!$J$9)),1,0))</f>
        <v/>
      </c>
      <c r="BC938" s="244">
        <f>IF(AND(BB938=1,ISNUMBER('INPUT - Bookings'!$E938),'INPUT - Bookings'!$E938&gt;=Settings!$C$8,'INPUT - Bookings'!$E938&lt;=Settings!$C$8+14,IFERROR(INDEX(Settings!$Q$14:$Q$24,MATCH('INPUT - Bookings'!$G938,Settings!$P$14:$P$24,0)),"Yes")="Yes"),'INPUT - Bookings'!$E938+ROW()/100000,"")</f>
        <v/>
      </c>
    </row>
    <row r="939">
      <c r="BB939" s="244">
        <f>IF('INPUT - Bookings'!$B939="",0,IF(AND(OR(Dashboard!$D$9="All",TRIM('INPUT - Bookings'!$C939)=Dashboard!$D$9),OR(Dashboard!$J$9="All",TRIM('INPUT - Bookings'!$D939)=Dashboard!$J$9)),1,0))</f>
        <v/>
      </c>
      <c r="BC939" s="244">
        <f>IF(AND(BB939=1,ISNUMBER('INPUT - Bookings'!$E939),'INPUT - Bookings'!$E939&gt;=Settings!$C$8,'INPUT - Bookings'!$E939&lt;=Settings!$C$8+14,IFERROR(INDEX(Settings!$Q$14:$Q$24,MATCH('INPUT - Bookings'!$G939,Settings!$P$14:$P$24,0)),"Yes")="Yes"),'INPUT - Bookings'!$E939+ROW()/100000,"")</f>
        <v/>
      </c>
    </row>
    <row r="940">
      <c r="BB940" s="244">
        <f>IF('INPUT - Bookings'!$B940="",0,IF(AND(OR(Dashboard!$D$9="All",TRIM('INPUT - Bookings'!$C940)=Dashboard!$D$9),OR(Dashboard!$J$9="All",TRIM('INPUT - Bookings'!$D940)=Dashboard!$J$9)),1,0))</f>
        <v/>
      </c>
      <c r="BC940" s="244">
        <f>IF(AND(BB940=1,ISNUMBER('INPUT - Bookings'!$E940),'INPUT - Bookings'!$E940&gt;=Settings!$C$8,'INPUT - Bookings'!$E940&lt;=Settings!$C$8+14,IFERROR(INDEX(Settings!$Q$14:$Q$24,MATCH('INPUT - Bookings'!$G940,Settings!$P$14:$P$24,0)),"Yes")="Yes"),'INPUT - Bookings'!$E940+ROW()/100000,"")</f>
        <v/>
      </c>
    </row>
    <row r="941">
      <c r="BB941" s="244">
        <f>IF('INPUT - Bookings'!$B941="",0,IF(AND(OR(Dashboard!$D$9="All",TRIM('INPUT - Bookings'!$C941)=Dashboard!$D$9),OR(Dashboard!$J$9="All",TRIM('INPUT - Bookings'!$D941)=Dashboard!$J$9)),1,0))</f>
        <v/>
      </c>
      <c r="BC941" s="244">
        <f>IF(AND(BB941=1,ISNUMBER('INPUT - Bookings'!$E941),'INPUT - Bookings'!$E941&gt;=Settings!$C$8,'INPUT - Bookings'!$E941&lt;=Settings!$C$8+14,IFERROR(INDEX(Settings!$Q$14:$Q$24,MATCH('INPUT - Bookings'!$G941,Settings!$P$14:$P$24,0)),"Yes")="Yes"),'INPUT - Bookings'!$E941+ROW()/100000,"")</f>
        <v/>
      </c>
    </row>
    <row r="942">
      <c r="BB942" s="244">
        <f>IF('INPUT - Bookings'!$B942="",0,IF(AND(OR(Dashboard!$D$9="All",TRIM('INPUT - Bookings'!$C942)=Dashboard!$D$9),OR(Dashboard!$J$9="All",TRIM('INPUT - Bookings'!$D942)=Dashboard!$J$9)),1,0))</f>
        <v/>
      </c>
      <c r="BC942" s="244">
        <f>IF(AND(BB942=1,ISNUMBER('INPUT - Bookings'!$E942),'INPUT - Bookings'!$E942&gt;=Settings!$C$8,'INPUT - Bookings'!$E942&lt;=Settings!$C$8+14,IFERROR(INDEX(Settings!$Q$14:$Q$24,MATCH('INPUT - Bookings'!$G942,Settings!$P$14:$P$24,0)),"Yes")="Yes"),'INPUT - Bookings'!$E942+ROW()/100000,"")</f>
        <v/>
      </c>
    </row>
    <row r="943">
      <c r="BB943" s="244">
        <f>IF('INPUT - Bookings'!$B943="",0,IF(AND(OR(Dashboard!$D$9="All",TRIM('INPUT - Bookings'!$C943)=Dashboard!$D$9),OR(Dashboard!$J$9="All",TRIM('INPUT - Bookings'!$D943)=Dashboard!$J$9)),1,0))</f>
        <v/>
      </c>
      <c r="BC943" s="244">
        <f>IF(AND(BB943=1,ISNUMBER('INPUT - Bookings'!$E943),'INPUT - Bookings'!$E943&gt;=Settings!$C$8,'INPUT - Bookings'!$E943&lt;=Settings!$C$8+14,IFERROR(INDEX(Settings!$Q$14:$Q$24,MATCH('INPUT - Bookings'!$G943,Settings!$P$14:$P$24,0)),"Yes")="Yes"),'INPUT - Bookings'!$E943+ROW()/100000,"")</f>
        <v/>
      </c>
    </row>
    <row r="944">
      <c r="BB944" s="244">
        <f>IF('INPUT - Bookings'!$B944="",0,IF(AND(OR(Dashboard!$D$9="All",TRIM('INPUT - Bookings'!$C944)=Dashboard!$D$9),OR(Dashboard!$J$9="All",TRIM('INPUT - Bookings'!$D944)=Dashboard!$J$9)),1,0))</f>
        <v/>
      </c>
      <c r="BC944" s="244">
        <f>IF(AND(BB944=1,ISNUMBER('INPUT - Bookings'!$E944),'INPUT - Bookings'!$E944&gt;=Settings!$C$8,'INPUT - Bookings'!$E944&lt;=Settings!$C$8+14,IFERROR(INDEX(Settings!$Q$14:$Q$24,MATCH('INPUT - Bookings'!$G944,Settings!$P$14:$P$24,0)),"Yes")="Yes"),'INPUT - Bookings'!$E944+ROW()/100000,"")</f>
        <v/>
      </c>
    </row>
    <row r="945">
      <c r="BB945" s="244">
        <f>IF('INPUT - Bookings'!$B945="",0,IF(AND(OR(Dashboard!$D$9="All",TRIM('INPUT - Bookings'!$C945)=Dashboard!$D$9),OR(Dashboard!$J$9="All",TRIM('INPUT - Bookings'!$D945)=Dashboard!$J$9)),1,0))</f>
        <v/>
      </c>
      <c r="BC945" s="244">
        <f>IF(AND(BB945=1,ISNUMBER('INPUT - Bookings'!$E945),'INPUT - Bookings'!$E945&gt;=Settings!$C$8,'INPUT - Bookings'!$E945&lt;=Settings!$C$8+14,IFERROR(INDEX(Settings!$Q$14:$Q$24,MATCH('INPUT - Bookings'!$G945,Settings!$P$14:$P$24,0)),"Yes")="Yes"),'INPUT - Bookings'!$E945+ROW()/100000,"")</f>
        <v/>
      </c>
    </row>
    <row r="946">
      <c r="BB946" s="244">
        <f>IF('INPUT - Bookings'!$B946="",0,IF(AND(OR(Dashboard!$D$9="All",TRIM('INPUT - Bookings'!$C946)=Dashboard!$D$9),OR(Dashboard!$J$9="All",TRIM('INPUT - Bookings'!$D946)=Dashboard!$J$9)),1,0))</f>
        <v/>
      </c>
      <c r="BC946" s="244">
        <f>IF(AND(BB946=1,ISNUMBER('INPUT - Bookings'!$E946),'INPUT - Bookings'!$E946&gt;=Settings!$C$8,'INPUT - Bookings'!$E946&lt;=Settings!$C$8+14,IFERROR(INDEX(Settings!$Q$14:$Q$24,MATCH('INPUT - Bookings'!$G946,Settings!$P$14:$P$24,0)),"Yes")="Yes"),'INPUT - Bookings'!$E946+ROW()/100000,"")</f>
        <v/>
      </c>
    </row>
    <row r="947">
      <c r="BB947" s="244">
        <f>IF('INPUT - Bookings'!$B947="",0,IF(AND(OR(Dashboard!$D$9="All",TRIM('INPUT - Bookings'!$C947)=Dashboard!$D$9),OR(Dashboard!$J$9="All",TRIM('INPUT - Bookings'!$D947)=Dashboard!$J$9)),1,0))</f>
        <v/>
      </c>
      <c r="BC947" s="244">
        <f>IF(AND(BB947=1,ISNUMBER('INPUT - Bookings'!$E947),'INPUT - Bookings'!$E947&gt;=Settings!$C$8,'INPUT - Bookings'!$E947&lt;=Settings!$C$8+14,IFERROR(INDEX(Settings!$Q$14:$Q$24,MATCH('INPUT - Bookings'!$G947,Settings!$P$14:$P$24,0)),"Yes")="Yes"),'INPUT - Bookings'!$E947+ROW()/100000,"")</f>
        <v/>
      </c>
    </row>
    <row r="948">
      <c r="BB948" s="244">
        <f>IF('INPUT - Bookings'!$B948="",0,IF(AND(OR(Dashboard!$D$9="All",TRIM('INPUT - Bookings'!$C948)=Dashboard!$D$9),OR(Dashboard!$J$9="All",TRIM('INPUT - Bookings'!$D948)=Dashboard!$J$9)),1,0))</f>
        <v/>
      </c>
      <c r="BC948" s="244">
        <f>IF(AND(BB948=1,ISNUMBER('INPUT - Bookings'!$E948),'INPUT - Bookings'!$E948&gt;=Settings!$C$8,'INPUT - Bookings'!$E948&lt;=Settings!$C$8+14,IFERROR(INDEX(Settings!$Q$14:$Q$24,MATCH('INPUT - Bookings'!$G948,Settings!$P$14:$P$24,0)),"Yes")="Yes"),'INPUT - Bookings'!$E948+ROW()/100000,"")</f>
        <v/>
      </c>
    </row>
    <row r="949">
      <c r="BB949" s="244">
        <f>IF('INPUT - Bookings'!$B949="",0,IF(AND(OR(Dashboard!$D$9="All",TRIM('INPUT - Bookings'!$C949)=Dashboard!$D$9),OR(Dashboard!$J$9="All",TRIM('INPUT - Bookings'!$D949)=Dashboard!$J$9)),1,0))</f>
        <v/>
      </c>
      <c r="BC949" s="244">
        <f>IF(AND(BB949=1,ISNUMBER('INPUT - Bookings'!$E949),'INPUT - Bookings'!$E949&gt;=Settings!$C$8,'INPUT - Bookings'!$E949&lt;=Settings!$C$8+14,IFERROR(INDEX(Settings!$Q$14:$Q$24,MATCH('INPUT - Bookings'!$G949,Settings!$P$14:$P$24,0)),"Yes")="Yes"),'INPUT - Bookings'!$E949+ROW()/100000,"")</f>
        <v/>
      </c>
    </row>
    <row r="950">
      <c r="BB950" s="244">
        <f>IF('INPUT - Bookings'!$B950="",0,IF(AND(OR(Dashboard!$D$9="All",TRIM('INPUT - Bookings'!$C950)=Dashboard!$D$9),OR(Dashboard!$J$9="All",TRIM('INPUT - Bookings'!$D950)=Dashboard!$J$9)),1,0))</f>
        <v/>
      </c>
      <c r="BC950" s="244">
        <f>IF(AND(BB950=1,ISNUMBER('INPUT - Bookings'!$E950),'INPUT - Bookings'!$E950&gt;=Settings!$C$8,'INPUT - Bookings'!$E950&lt;=Settings!$C$8+14,IFERROR(INDEX(Settings!$Q$14:$Q$24,MATCH('INPUT - Bookings'!$G950,Settings!$P$14:$P$24,0)),"Yes")="Yes"),'INPUT - Bookings'!$E950+ROW()/100000,"")</f>
        <v/>
      </c>
    </row>
    <row r="951">
      <c r="BB951" s="244">
        <f>IF('INPUT - Bookings'!$B951="",0,IF(AND(OR(Dashboard!$D$9="All",TRIM('INPUT - Bookings'!$C951)=Dashboard!$D$9),OR(Dashboard!$J$9="All",TRIM('INPUT - Bookings'!$D951)=Dashboard!$J$9)),1,0))</f>
        <v/>
      </c>
      <c r="BC951" s="244">
        <f>IF(AND(BB951=1,ISNUMBER('INPUT - Bookings'!$E951),'INPUT - Bookings'!$E951&gt;=Settings!$C$8,'INPUT - Bookings'!$E951&lt;=Settings!$C$8+14,IFERROR(INDEX(Settings!$Q$14:$Q$24,MATCH('INPUT - Bookings'!$G951,Settings!$P$14:$P$24,0)),"Yes")="Yes"),'INPUT - Bookings'!$E951+ROW()/100000,"")</f>
        <v/>
      </c>
    </row>
    <row r="952">
      <c r="BB952" s="244">
        <f>IF('INPUT - Bookings'!$B952="",0,IF(AND(OR(Dashboard!$D$9="All",TRIM('INPUT - Bookings'!$C952)=Dashboard!$D$9),OR(Dashboard!$J$9="All",TRIM('INPUT - Bookings'!$D952)=Dashboard!$J$9)),1,0))</f>
        <v/>
      </c>
      <c r="BC952" s="244">
        <f>IF(AND(BB952=1,ISNUMBER('INPUT - Bookings'!$E952),'INPUT - Bookings'!$E952&gt;=Settings!$C$8,'INPUT - Bookings'!$E952&lt;=Settings!$C$8+14,IFERROR(INDEX(Settings!$Q$14:$Q$24,MATCH('INPUT - Bookings'!$G952,Settings!$P$14:$P$24,0)),"Yes")="Yes"),'INPUT - Bookings'!$E952+ROW()/100000,"")</f>
        <v/>
      </c>
    </row>
    <row r="953">
      <c r="BB953" s="244">
        <f>IF('INPUT - Bookings'!$B953="",0,IF(AND(OR(Dashboard!$D$9="All",TRIM('INPUT - Bookings'!$C953)=Dashboard!$D$9),OR(Dashboard!$J$9="All",TRIM('INPUT - Bookings'!$D953)=Dashboard!$J$9)),1,0))</f>
        <v/>
      </c>
      <c r="BC953" s="244">
        <f>IF(AND(BB953=1,ISNUMBER('INPUT - Bookings'!$E953),'INPUT - Bookings'!$E953&gt;=Settings!$C$8,'INPUT - Bookings'!$E953&lt;=Settings!$C$8+14,IFERROR(INDEX(Settings!$Q$14:$Q$24,MATCH('INPUT - Bookings'!$G953,Settings!$P$14:$P$24,0)),"Yes")="Yes"),'INPUT - Bookings'!$E953+ROW()/100000,"")</f>
        <v/>
      </c>
    </row>
    <row r="954">
      <c r="BB954" s="244">
        <f>IF('INPUT - Bookings'!$B954="",0,IF(AND(OR(Dashboard!$D$9="All",TRIM('INPUT - Bookings'!$C954)=Dashboard!$D$9),OR(Dashboard!$J$9="All",TRIM('INPUT - Bookings'!$D954)=Dashboard!$J$9)),1,0))</f>
        <v/>
      </c>
      <c r="BC954" s="244">
        <f>IF(AND(BB954=1,ISNUMBER('INPUT - Bookings'!$E954),'INPUT - Bookings'!$E954&gt;=Settings!$C$8,'INPUT - Bookings'!$E954&lt;=Settings!$C$8+14,IFERROR(INDEX(Settings!$Q$14:$Q$24,MATCH('INPUT - Bookings'!$G954,Settings!$P$14:$P$24,0)),"Yes")="Yes"),'INPUT - Bookings'!$E954+ROW()/100000,"")</f>
        <v/>
      </c>
    </row>
    <row r="955">
      <c r="BB955" s="244">
        <f>IF('INPUT - Bookings'!$B955="",0,IF(AND(OR(Dashboard!$D$9="All",TRIM('INPUT - Bookings'!$C955)=Dashboard!$D$9),OR(Dashboard!$J$9="All",TRIM('INPUT - Bookings'!$D955)=Dashboard!$J$9)),1,0))</f>
        <v/>
      </c>
      <c r="BC955" s="244">
        <f>IF(AND(BB955=1,ISNUMBER('INPUT - Bookings'!$E955),'INPUT - Bookings'!$E955&gt;=Settings!$C$8,'INPUT - Bookings'!$E955&lt;=Settings!$C$8+14,IFERROR(INDEX(Settings!$Q$14:$Q$24,MATCH('INPUT - Bookings'!$G955,Settings!$P$14:$P$24,0)),"Yes")="Yes"),'INPUT - Bookings'!$E955+ROW()/100000,"")</f>
        <v/>
      </c>
    </row>
    <row r="956">
      <c r="BB956" s="244">
        <f>IF('INPUT - Bookings'!$B956="",0,IF(AND(OR(Dashboard!$D$9="All",TRIM('INPUT - Bookings'!$C956)=Dashboard!$D$9),OR(Dashboard!$J$9="All",TRIM('INPUT - Bookings'!$D956)=Dashboard!$J$9)),1,0))</f>
        <v/>
      </c>
      <c r="BC956" s="244">
        <f>IF(AND(BB956=1,ISNUMBER('INPUT - Bookings'!$E956),'INPUT - Bookings'!$E956&gt;=Settings!$C$8,'INPUT - Bookings'!$E956&lt;=Settings!$C$8+14,IFERROR(INDEX(Settings!$Q$14:$Q$24,MATCH('INPUT - Bookings'!$G956,Settings!$P$14:$P$24,0)),"Yes")="Yes"),'INPUT - Bookings'!$E956+ROW()/100000,"")</f>
        <v/>
      </c>
    </row>
    <row r="957">
      <c r="BB957" s="244">
        <f>IF('INPUT - Bookings'!$B957="",0,IF(AND(OR(Dashboard!$D$9="All",TRIM('INPUT - Bookings'!$C957)=Dashboard!$D$9),OR(Dashboard!$J$9="All",TRIM('INPUT - Bookings'!$D957)=Dashboard!$J$9)),1,0))</f>
        <v/>
      </c>
      <c r="BC957" s="244">
        <f>IF(AND(BB957=1,ISNUMBER('INPUT - Bookings'!$E957),'INPUT - Bookings'!$E957&gt;=Settings!$C$8,'INPUT - Bookings'!$E957&lt;=Settings!$C$8+14,IFERROR(INDEX(Settings!$Q$14:$Q$24,MATCH('INPUT - Bookings'!$G957,Settings!$P$14:$P$24,0)),"Yes")="Yes"),'INPUT - Bookings'!$E957+ROW()/100000,"")</f>
        <v/>
      </c>
    </row>
    <row r="958">
      <c r="BB958" s="244">
        <f>IF('INPUT - Bookings'!$B958="",0,IF(AND(OR(Dashboard!$D$9="All",TRIM('INPUT - Bookings'!$C958)=Dashboard!$D$9),OR(Dashboard!$J$9="All",TRIM('INPUT - Bookings'!$D958)=Dashboard!$J$9)),1,0))</f>
        <v/>
      </c>
      <c r="BC958" s="244">
        <f>IF(AND(BB958=1,ISNUMBER('INPUT - Bookings'!$E958),'INPUT - Bookings'!$E958&gt;=Settings!$C$8,'INPUT - Bookings'!$E958&lt;=Settings!$C$8+14,IFERROR(INDEX(Settings!$Q$14:$Q$24,MATCH('INPUT - Bookings'!$G958,Settings!$P$14:$P$24,0)),"Yes")="Yes"),'INPUT - Bookings'!$E958+ROW()/100000,"")</f>
        <v/>
      </c>
    </row>
    <row r="959">
      <c r="BB959" s="244">
        <f>IF('INPUT - Bookings'!$B959="",0,IF(AND(OR(Dashboard!$D$9="All",TRIM('INPUT - Bookings'!$C959)=Dashboard!$D$9),OR(Dashboard!$J$9="All",TRIM('INPUT - Bookings'!$D959)=Dashboard!$J$9)),1,0))</f>
        <v/>
      </c>
      <c r="BC959" s="244">
        <f>IF(AND(BB959=1,ISNUMBER('INPUT - Bookings'!$E959),'INPUT - Bookings'!$E959&gt;=Settings!$C$8,'INPUT - Bookings'!$E959&lt;=Settings!$C$8+14,IFERROR(INDEX(Settings!$Q$14:$Q$24,MATCH('INPUT - Bookings'!$G959,Settings!$P$14:$P$24,0)),"Yes")="Yes"),'INPUT - Bookings'!$E959+ROW()/100000,"")</f>
        <v/>
      </c>
    </row>
    <row r="960">
      <c r="BB960" s="244">
        <f>IF('INPUT - Bookings'!$B960="",0,IF(AND(OR(Dashboard!$D$9="All",TRIM('INPUT - Bookings'!$C960)=Dashboard!$D$9),OR(Dashboard!$J$9="All",TRIM('INPUT - Bookings'!$D960)=Dashboard!$J$9)),1,0))</f>
        <v/>
      </c>
      <c r="BC960" s="244">
        <f>IF(AND(BB960=1,ISNUMBER('INPUT - Bookings'!$E960),'INPUT - Bookings'!$E960&gt;=Settings!$C$8,'INPUT - Bookings'!$E960&lt;=Settings!$C$8+14,IFERROR(INDEX(Settings!$Q$14:$Q$24,MATCH('INPUT - Bookings'!$G960,Settings!$P$14:$P$24,0)),"Yes")="Yes"),'INPUT - Bookings'!$E960+ROW()/100000,"")</f>
        <v/>
      </c>
    </row>
    <row r="961">
      <c r="BB961" s="244">
        <f>IF('INPUT - Bookings'!$B961="",0,IF(AND(OR(Dashboard!$D$9="All",TRIM('INPUT - Bookings'!$C961)=Dashboard!$D$9),OR(Dashboard!$J$9="All",TRIM('INPUT - Bookings'!$D961)=Dashboard!$J$9)),1,0))</f>
        <v/>
      </c>
      <c r="BC961" s="244">
        <f>IF(AND(BB961=1,ISNUMBER('INPUT - Bookings'!$E961),'INPUT - Bookings'!$E961&gt;=Settings!$C$8,'INPUT - Bookings'!$E961&lt;=Settings!$C$8+14,IFERROR(INDEX(Settings!$Q$14:$Q$24,MATCH('INPUT - Bookings'!$G961,Settings!$P$14:$P$24,0)),"Yes")="Yes"),'INPUT - Bookings'!$E961+ROW()/100000,"")</f>
        <v/>
      </c>
    </row>
    <row r="962">
      <c r="BB962" s="244">
        <f>IF('INPUT - Bookings'!$B962="",0,IF(AND(OR(Dashboard!$D$9="All",TRIM('INPUT - Bookings'!$C962)=Dashboard!$D$9),OR(Dashboard!$J$9="All",TRIM('INPUT - Bookings'!$D962)=Dashboard!$J$9)),1,0))</f>
        <v/>
      </c>
      <c r="BC962" s="244">
        <f>IF(AND(BB962=1,ISNUMBER('INPUT - Bookings'!$E962),'INPUT - Bookings'!$E962&gt;=Settings!$C$8,'INPUT - Bookings'!$E962&lt;=Settings!$C$8+14,IFERROR(INDEX(Settings!$Q$14:$Q$24,MATCH('INPUT - Bookings'!$G962,Settings!$P$14:$P$24,0)),"Yes")="Yes"),'INPUT - Bookings'!$E962+ROW()/100000,"")</f>
        <v/>
      </c>
    </row>
    <row r="963">
      <c r="BB963" s="244">
        <f>IF('INPUT - Bookings'!$B963="",0,IF(AND(OR(Dashboard!$D$9="All",TRIM('INPUT - Bookings'!$C963)=Dashboard!$D$9),OR(Dashboard!$J$9="All",TRIM('INPUT - Bookings'!$D963)=Dashboard!$J$9)),1,0))</f>
        <v/>
      </c>
      <c r="BC963" s="244">
        <f>IF(AND(BB963=1,ISNUMBER('INPUT - Bookings'!$E963),'INPUT - Bookings'!$E963&gt;=Settings!$C$8,'INPUT - Bookings'!$E963&lt;=Settings!$C$8+14,IFERROR(INDEX(Settings!$Q$14:$Q$24,MATCH('INPUT - Bookings'!$G963,Settings!$P$14:$P$24,0)),"Yes")="Yes"),'INPUT - Bookings'!$E963+ROW()/100000,"")</f>
        <v/>
      </c>
    </row>
    <row r="964">
      <c r="BB964" s="244">
        <f>IF('INPUT - Bookings'!$B964="",0,IF(AND(OR(Dashboard!$D$9="All",TRIM('INPUT - Bookings'!$C964)=Dashboard!$D$9),OR(Dashboard!$J$9="All",TRIM('INPUT - Bookings'!$D964)=Dashboard!$J$9)),1,0))</f>
        <v/>
      </c>
      <c r="BC964" s="244">
        <f>IF(AND(BB964=1,ISNUMBER('INPUT - Bookings'!$E964),'INPUT - Bookings'!$E964&gt;=Settings!$C$8,'INPUT - Bookings'!$E964&lt;=Settings!$C$8+14,IFERROR(INDEX(Settings!$Q$14:$Q$24,MATCH('INPUT - Bookings'!$G964,Settings!$P$14:$P$24,0)),"Yes")="Yes"),'INPUT - Bookings'!$E964+ROW()/100000,"")</f>
        <v/>
      </c>
    </row>
    <row r="965">
      <c r="BB965" s="244">
        <f>IF('INPUT - Bookings'!$B965="",0,IF(AND(OR(Dashboard!$D$9="All",TRIM('INPUT - Bookings'!$C965)=Dashboard!$D$9),OR(Dashboard!$J$9="All",TRIM('INPUT - Bookings'!$D965)=Dashboard!$J$9)),1,0))</f>
        <v/>
      </c>
      <c r="BC965" s="244">
        <f>IF(AND(BB965=1,ISNUMBER('INPUT - Bookings'!$E965),'INPUT - Bookings'!$E965&gt;=Settings!$C$8,'INPUT - Bookings'!$E965&lt;=Settings!$C$8+14,IFERROR(INDEX(Settings!$Q$14:$Q$24,MATCH('INPUT - Bookings'!$G965,Settings!$P$14:$P$24,0)),"Yes")="Yes"),'INPUT - Bookings'!$E965+ROW()/100000,"")</f>
        <v/>
      </c>
    </row>
    <row r="966">
      <c r="BB966" s="244">
        <f>IF('INPUT - Bookings'!$B966="",0,IF(AND(OR(Dashboard!$D$9="All",TRIM('INPUT - Bookings'!$C966)=Dashboard!$D$9),OR(Dashboard!$J$9="All",TRIM('INPUT - Bookings'!$D966)=Dashboard!$J$9)),1,0))</f>
        <v/>
      </c>
      <c r="BC966" s="244">
        <f>IF(AND(BB966=1,ISNUMBER('INPUT - Bookings'!$E966),'INPUT - Bookings'!$E966&gt;=Settings!$C$8,'INPUT - Bookings'!$E966&lt;=Settings!$C$8+14,IFERROR(INDEX(Settings!$Q$14:$Q$24,MATCH('INPUT - Bookings'!$G966,Settings!$P$14:$P$24,0)),"Yes")="Yes"),'INPUT - Bookings'!$E966+ROW()/100000,"")</f>
        <v/>
      </c>
    </row>
    <row r="967">
      <c r="BB967" s="244">
        <f>IF('INPUT - Bookings'!$B967="",0,IF(AND(OR(Dashboard!$D$9="All",TRIM('INPUT - Bookings'!$C967)=Dashboard!$D$9),OR(Dashboard!$J$9="All",TRIM('INPUT - Bookings'!$D967)=Dashboard!$J$9)),1,0))</f>
        <v/>
      </c>
      <c r="BC967" s="244">
        <f>IF(AND(BB967=1,ISNUMBER('INPUT - Bookings'!$E967),'INPUT - Bookings'!$E967&gt;=Settings!$C$8,'INPUT - Bookings'!$E967&lt;=Settings!$C$8+14,IFERROR(INDEX(Settings!$Q$14:$Q$24,MATCH('INPUT - Bookings'!$G967,Settings!$P$14:$P$24,0)),"Yes")="Yes"),'INPUT - Bookings'!$E967+ROW()/100000,"")</f>
        <v/>
      </c>
    </row>
    <row r="968">
      <c r="BB968" s="244">
        <f>IF('INPUT - Bookings'!$B968="",0,IF(AND(OR(Dashboard!$D$9="All",TRIM('INPUT - Bookings'!$C968)=Dashboard!$D$9),OR(Dashboard!$J$9="All",TRIM('INPUT - Bookings'!$D968)=Dashboard!$J$9)),1,0))</f>
        <v/>
      </c>
      <c r="BC968" s="244">
        <f>IF(AND(BB968=1,ISNUMBER('INPUT - Bookings'!$E968),'INPUT - Bookings'!$E968&gt;=Settings!$C$8,'INPUT - Bookings'!$E968&lt;=Settings!$C$8+14,IFERROR(INDEX(Settings!$Q$14:$Q$24,MATCH('INPUT - Bookings'!$G968,Settings!$P$14:$P$24,0)),"Yes")="Yes"),'INPUT - Bookings'!$E968+ROW()/100000,"")</f>
        <v/>
      </c>
    </row>
    <row r="969">
      <c r="BB969" s="244">
        <f>IF('INPUT - Bookings'!$B969="",0,IF(AND(OR(Dashboard!$D$9="All",TRIM('INPUT - Bookings'!$C969)=Dashboard!$D$9),OR(Dashboard!$J$9="All",TRIM('INPUT - Bookings'!$D969)=Dashboard!$J$9)),1,0))</f>
        <v/>
      </c>
      <c r="BC969" s="244">
        <f>IF(AND(BB969=1,ISNUMBER('INPUT - Bookings'!$E969),'INPUT - Bookings'!$E969&gt;=Settings!$C$8,'INPUT - Bookings'!$E969&lt;=Settings!$C$8+14,IFERROR(INDEX(Settings!$Q$14:$Q$24,MATCH('INPUT - Bookings'!$G969,Settings!$P$14:$P$24,0)),"Yes")="Yes"),'INPUT - Bookings'!$E969+ROW()/100000,"")</f>
        <v/>
      </c>
    </row>
    <row r="970">
      <c r="BB970" s="244">
        <f>IF('INPUT - Bookings'!$B970="",0,IF(AND(OR(Dashboard!$D$9="All",TRIM('INPUT - Bookings'!$C970)=Dashboard!$D$9),OR(Dashboard!$J$9="All",TRIM('INPUT - Bookings'!$D970)=Dashboard!$J$9)),1,0))</f>
        <v/>
      </c>
      <c r="BC970" s="244">
        <f>IF(AND(BB970=1,ISNUMBER('INPUT - Bookings'!$E970),'INPUT - Bookings'!$E970&gt;=Settings!$C$8,'INPUT - Bookings'!$E970&lt;=Settings!$C$8+14,IFERROR(INDEX(Settings!$Q$14:$Q$24,MATCH('INPUT - Bookings'!$G970,Settings!$P$14:$P$24,0)),"Yes")="Yes"),'INPUT - Bookings'!$E970+ROW()/100000,"")</f>
        <v/>
      </c>
    </row>
    <row r="971">
      <c r="BB971" s="244">
        <f>IF('INPUT - Bookings'!$B971="",0,IF(AND(OR(Dashboard!$D$9="All",TRIM('INPUT - Bookings'!$C971)=Dashboard!$D$9),OR(Dashboard!$J$9="All",TRIM('INPUT - Bookings'!$D971)=Dashboard!$J$9)),1,0))</f>
        <v/>
      </c>
      <c r="BC971" s="244">
        <f>IF(AND(BB971=1,ISNUMBER('INPUT - Bookings'!$E971),'INPUT - Bookings'!$E971&gt;=Settings!$C$8,'INPUT - Bookings'!$E971&lt;=Settings!$C$8+14,IFERROR(INDEX(Settings!$Q$14:$Q$24,MATCH('INPUT - Bookings'!$G971,Settings!$P$14:$P$24,0)),"Yes")="Yes"),'INPUT - Bookings'!$E971+ROW()/100000,"")</f>
        <v/>
      </c>
    </row>
    <row r="972">
      <c r="BB972" s="244">
        <f>IF('INPUT - Bookings'!$B972="",0,IF(AND(OR(Dashboard!$D$9="All",TRIM('INPUT - Bookings'!$C972)=Dashboard!$D$9),OR(Dashboard!$J$9="All",TRIM('INPUT - Bookings'!$D972)=Dashboard!$J$9)),1,0))</f>
        <v/>
      </c>
      <c r="BC972" s="244">
        <f>IF(AND(BB972=1,ISNUMBER('INPUT - Bookings'!$E972),'INPUT - Bookings'!$E972&gt;=Settings!$C$8,'INPUT - Bookings'!$E972&lt;=Settings!$C$8+14,IFERROR(INDEX(Settings!$Q$14:$Q$24,MATCH('INPUT - Bookings'!$G972,Settings!$P$14:$P$24,0)),"Yes")="Yes"),'INPUT - Bookings'!$E972+ROW()/100000,"")</f>
        <v/>
      </c>
    </row>
    <row r="973">
      <c r="BB973" s="244">
        <f>IF('INPUT - Bookings'!$B973="",0,IF(AND(OR(Dashboard!$D$9="All",TRIM('INPUT - Bookings'!$C973)=Dashboard!$D$9),OR(Dashboard!$J$9="All",TRIM('INPUT - Bookings'!$D973)=Dashboard!$J$9)),1,0))</f>
        <v/>
      </c>
      <c r="BC973" s="244">
        <f>IF(AND(BB973=1,ISNUMBER('INPUT - Bookings'!$E973),'INPUT - Bookings'!$E973&gt;=Settings!$C$8,'INPUT - Bookings'!$E973&lt;=Settings!$C$8+14,IFERROR(INDEX(Settings!$Q$14:$Q$24,MATCH('INPUT - Bookings'!$G973,Settings!$P$14:$P$24,0)),"Yes")="Yes"),'INPUT - Bookings'!$E973+ROW()/100000,"")</f>
        <v/>
      </c>
    </row>
    <row r="974">
      <c r="BB974" s="244">
        <f>IF('INPUT - Bookings'!$B974="",0,IF(AND(OR(Dashboard!$D$9="All",TRIM('INPUT - Bookings'!$C974)=Dashboard!$D$9),OR(Dashboard!$J$9="All",TRIM('INPUT - Bookings'!$D974)=Dashboard!$J$9)),1,0))</f>
        <v/>
      </c>
      <c r="BC974" s="244">
        <f>IF(AND(BB974=1,ISNUMBER('INPUT - Bookings'!$E974),'INPUT - Bookings'!$E974&gt;=Settings!$C$8,'INPUT - Bookings'!$E974&lt;=Settings!$C$8+14,IFERROR(INDEX(Settings!$Q$14:$Q$24,MATCH('INPUT - Bookings'!$G974,Settings!$P$14:$P$24,0)),"Yes")="Yes"),'INPUT - Bookings'!$E974+ROW()/100000,"")</f>
        <v/>
      </c>
    </row>
    <row r="975">
      <c r="BB975" s="244">
        <f>IF('INPUT - Bookings'!$B975="",0,IF(AND(OR(Dashboard!$D$9="All",TRIM('INPUT - Bookings'!$C975)=Dashboard!$D$9),OR(Dashboard!$J$9="All",TRIM('INPUT - Bookings'!$D975)=Dashboard!$J$9)),1,0))</f>
        <v/>
      </c>
      <c r="BC975" s="244">
        <f>IF(AND(BB975=1,ISNUMBER('INPUT - Bookings'!$E975),'INPUT - Bookings'!$E975&gt;=Settings!$C$8,'INPUT - Bookings'!$E975&lt;=Settings!$C$8+14,IFERROR(INDEX(Settings!$Q$14:$Q$24,MATCH('INPUT - Bookings'!$G975,Settings!$P$14:$P$24,0)),"Yes")="Yes"),'INPUT - Bookings'!$E975+ROW()/100000,"")</f>
        <v/>
      </c>
    </row>
    <row r="976">
      <c r="BB976" s="244">
        <f>IF('INPUT - Bookings'!$B976="",0,IF(AND(OR(Dashboard!$D$9="All",TRIM('INPUT - Bookings'!$C976)=Dashboard!$D$9),OR(Dashboard!$J$9="All",TRIM('INPUT - Bookings'!$D976)=Dashboard!$J$9)),1,0))</f>
        <v/>
      </c>
      <c r="BC976" s="244">
        <f>IF(AND(BB976=1,ISNUMBER('INPUT - Bookings'!$E976),'INPUT - Bookings'!$E976&gt;=Settings!$C$8,'INPUT - Bookings'!$E976&lt;=Settings!$C$8+14,IFERROR(INDEX(Settings!$Q$14:$Q$24,MATCH('INPUT - Bookings'!$G976,Settings!$P$14:$P$24,0)),"Yes")="Yes"),'INPUT - Bookings'!$E976+ROW()/100000,"")</f>
        <v/>
      </c>
    </row>
    <row r="977">
      <c r="BB977" s="244">
        <f>IF('INPUT - Bookings'!$B977="",0,IF(AND(OR(Dashboard!$D$9="All",TRIM('INPUT - Bookings'!$C977)=Dashboard!$D$9),OR(Dashboard!$J$9="All",TRIM('INPUT - Bookings'!$D977)=Dashboard!$J$9)),1,0))</f>
        <v/>
      </c>
      <c r="BC977" s="244">
        <f>IF(AND(BB977=1,ISNUMBER('INPUT - Bookings'!$E977),'INPUT - Bookings'!$E977&gt;=Settings!$C$8,'INPUT - Bookings'!$E977&lt;=Settings!$C$8+14,IFERROR(INDEX(Settings!$Q$14:$Q$24,MATCH('INPUT - Bookings'!$G977,Settings!$P$14:$P$24,0)),"Yes")="Yes"),'INPUT - Bookings'!$E977+ROW()/100000,"")</f>
        <v/>
      </c>
    </row>
    <row r="978">
      <c r="BB978" s="244">
        <f>IF('INPUT - Bookings'!$B978="",0,IF(AND(OR(Dashboard!$D$9="All",TRIM('INPUT - Bookings'!$C978)=Dashboard!$D$9),OR(Dashboard!$J$9="All",TRIM('INPUT - Bookings'!$D978)=Dashboard!$J$9)),1,0))</f>
        <v/>
      </c>
      <c r="BC978" s="244">
        <f>IF(AND(BB978=1,ISNUMBER('INPUT - Bookings'!$E978),'INPUT - Bookings'!$E978&gt;=Settings!$C$8,'INPUT - Bookings'!$E978&lt;=Settings!$C$8+14,IFERROR(INDEX(Settings!$Q$14:$Q$24,MATCH('INPUT - Bookings'!$G978,Settings!$P$14:$P$24,0)),"Yes")="Yes"),'INPUT - Bookings'!$E978+ROW()/100000,"")</f>
        <v/>
      </c>
    </row>
    <row r="979">
      <c r="BB979" s="244">
        <f>IF('INPUT - Bookings'!$B979="",0,IF(AND(OR(Dashboard!$D$9="All",TRIM('INPUT - Bookings'!$C979)=Dashboard!$D$9),OR(Dashboard!$J$9="All",TRIM('INPUT - Bookings'!$D979)=Dashboard!$J$9)),1,0))</f>
        <v/>
      </c>
      <c r="BC979" s="244">
        <f>IF(AND(BB979=1,ISNUMBER('INPUT - Bookings'!$E979),'INPUT - Bookings'!$E979&gt;=Settings!$C$8,'INPUT - Bookings'!$E979&lt;=Settings!$C$8+14,IFERROR(INDEX(Settings!$Q$14:$Q$24,MATCH('INPUT - Bookings'!$G979,Settings!$P$14:$P$24,0)),"Yes")="Yes"),'INPUT - Bookings'!$E979+ROW()/100000,"")</f>
        <v/>
      </c>
    </row>
    <row r="980">
      <c r="BB980" s="244">
        <f>IF('INPUT - Bookings'!$B980="",0,IF(AND(OR(Dashboard!$D$9="All",TRIM('INPUT - Bookings'!$C980)=Dashboard!$D$9),OR(Dashboard!$J$9="All",TRIM('INPUT - Bookings'!$D980)=Dashboard!$J$9)),1,0))</f>
        <v/>
      </c>
      <c r="BC980" s="244">
        <f>IF(AND(BB980=1,ISNUMBER('INPUT - Bookings'!$E980),'INPUT - Bookings'!$E980&gt;=Settings!$C$8,'INPUT - Bookings'!$E980&lt;=Settings!$C$8+14,IFERROR(INDEX(Settings!$Q$14:$Q$24,MATCH('INPUT - Bookings'!$G980,Settings!$P$14:$P$24,0)),"Yes")="Yes"),'INPUT - Bookings'!$E980+ROW()/100000,"")</f>
        <v/>
      </c>
    </row>
    <row r="981">
      <c r="BB981" s="244">
        <f>IF('INPUT - Bookings'!$B981="",0,IF(AND(OR(Dashboard!$D$9="All",TRIM('INPUT - Bookings'!$C981)=Dashboard!$D$9),OR(Dashboard!$J$9="All",TRIM('INPUT - Bookings'!$D981)=Dashboard!$J$9)),1,0))</f>
        <v/>
      </c>
      <c r="BC981" s="244">
        <f>IF(AND(BB981=1,ISNUMBER('INPUT - Bookings'!$E981),'INPUT - Bookings'!$E981&gt;=Settings!$C$8,'INPUT - Bookings'!$E981&lt;=Settings!$C$8+14,IFERROR(INDEX(Settings!$Q$14:$Q$24,MATCH('INPUT - Bookings'!$G981,Settings!$P$14:$P$24,0)),"Yes")="Yes"),'INPUT - Bookings'!$E981+ROW()/100000,"")</f>
        <v/>
      </c>
    </row>
    <row r="982">
      <c r="BB982" s="244">
        <f>IF('INPUT - Bookings'!$B982="",0,IF(AND(OR(Dashboard!$D$9="All",TRIM('INPUT - Bookings'!$C982)=Dashboard!$D$9),OR(Dashboard!$J$9="All",TRIM('INPUT - Bookings'!$D982)=Dashboard!$J$9)),1,0))</f>
        <v/>
      </c>
      <c r="BC982" s="244">
        <f>IF(AND(BB982=1,ISNUMBER('INPUT - Bookings'!$E982),'INPUT - Bookings'!$E982&gt;=Settings!$C$8,'INPUT - Bookings'!$E982&lt;=Settings!$C$8+14,IFERROR(INDEX(Settings!$Q$14:$Q$24,MATCH('INPUT - Bookings'!$G982,Settings!$P$14:$P$24,0)),"Yes")="Yes"),'INPUT - Bookings'!$E982+ROW()/100000,"")</f>
        <v/>
      </c>
    </row>
    <row r="983">
      <c r="BB983" s="244">
        <f>IF('INPUT - Bookings'!$B983="",0,IF(AND(OR(Dashboard!$D$9="All",TRIM('INPUT - Bookings'!$C983)=Dashboard!$D$9),OR(Dashboard!$J$9="All",TRIM('INPUT - Bookings'!$D983)=Dashboard!$J$9)),1,0))</f>
        <v/>
      </c>
      <c r="BC983" s="244">
        <f>IF(AND(BB983=1,ISNUMBER('INPUT - Bookings'!$E983),'INPUT - Bookings'!$E983&gt;=Settings!$C$8,'INPUT - Bookings'!$E983&lt;=Settings!$C$8+14,IFERROR(INDEX(Settings!$Q$14:$Q$24,MATCH('INPUT - Bookings'!$G983,Settings!$P$14:$P$24,0)),"Yes")="Yes"),'INPUT - Bookings'!$E983+ROW()/100000,"")</f>
        <v/>
      </c>
    </row>
    <row r="984">
      <c r="BB984" s="244">
        <f>IF('INPUT - Bookings'!$B984="",0,IF(AND(OR(Dashboard!$D$9="All",TRIM('INPUT - Bookings'!$C984)=Dashboard!$D$9),OR(Dashboard!$J$9="All",TRIM('INPUT - Bookings'!$D984)=Dashboard!$J$9)),1,0))</f>
        <v/>
      </c>
      <c r="BC984" s="244">
        <f>IF(AND(BB984=1,ISNUMBER('INPUT - Bookings'!$E984),'INPUT - Bookings'!$E984&gt;=Settings!$C$8,'INPUT - Bookings'!$E984&lt;=Settings!$C$8+14,IFERROR(INDEX(Settings!$Q$14:$Q$24,MATCH('INPUT - Bookings'!$G984,Settings!$P$14:$P$24,0)),"Yes")="Yes"),'INPUT - Bookings'!$E984+ROW()/100000,"")</f>
        <v/>
      </c>
    </row>
    <row r="985">
      <c r="BB985" s="244">
        <f>IF('INPUT - Bookings'!$B985="",0,IF(AND(OR(Dashboard!$D$9="All",TRIM('INPUT - Bookings'!$C985)=Dashboard!$D$9),OR(Dashboard!$J$9="All",TRIM('INPUT - Bookings'!$D985)=Dashboard!$J$9)),1,0))</f>
        <v/>
      </c>
      <c r="BC985" s="244">
        <f>IF(AND(BB985=1,ISNUMBER('INPUT - Bookings'!$E985),'INPUT - Bookings'!$E985&gt;=Settings!$C$8,'INPUT - Bookings'!$E985&lt;=Settings!$C$8+14,IFERROR(INDEX(Settings!$Q$14:$Q$24,MATCH('INPUT - Bookings'!$G985,Settings!$P$14:$P$24,0)),"Yes")="Yes"),'INPUT - Bookings'!$E985+ROW()/100000,"")</f>
        <v/>
      </c>
    </row>
    <row r="986">
      <c r="BB986" s="244">
        <f>IF('INPUT - Bookings'!$B986="",0,IF(AND(OR(Dashboard!$D$9="All",TRIM('INPUT - Bookings'!$C986)=Dashboard!$D$9),OR(Dashboard!$J$9="All",TRIM('INPUT - Bookings'!$D986)=Dashboard!$J$9)),1,0))</f>
        <v/>
      </c>
      <c r="BC986" s="244">
        <f>IF(AND(BB986=1,ISNUMBER('INPUT - Bookings'!$E986),'INPUT - Bookings'!$E986&gt;=Settings!$C$8,'INPUT - Bookings'!$E986&lt;=Settings!$C$8+14,IFERROR(INDEX(Settings!$Q$14:$Q$24,MATCH('INPUT - Bookings'!$G986,Settings!$P$14:$P$24,0)),"Yes")="Yes"),'INPUT - Bookings'!$E986+ROW()/100000,"")</f>
        <v/>
      </c>
    </row>
    <row r="987">
      <c r="BB987" s="244">
        <f>IF('INPUT - Bookings'!$B987="",0,IF(AND(OR(Dashboard!$D$9="All",TRIM('INPUT - Bookings'!$C987)=Dashboard!$D$9),OR(Dashboard!$J$9="All",TRIM('INPUT - Bookings'!$D987)=Dashboard!$J$9)),1,0))</f>
        <v/>
      </c>
      <c r="BC987" s="244">
        <f>IF(AND(BB987=1,ISNUMBER('INPUT - Bookings'!$E987),'INPUT - Bookings'!$E987&gt;=Settings!$C$8,'INPUT - Bookings'!$E987&lt;=Settings!$C$8+14,IFERROR(INDEX(Settings!$Q$14:$Q$24,MATCH('INPUT - Bookings'!$G987,Settings!$P$14:$P$24,0)),"Yes")="Yes"),'INPUT - Bookings'!$E987+ROW()/100000,"")</f>
        <v/>
      </c>
    </row>
    <row r="988">
      <c r="BB988" s="244">
        <f>IF('INPUT - Bookings'!$B988="",0,IF(AND(OR(Dashboard!$D$9="All",TRIM('INPUT - Bookings'!$C988)=Dashboard!$D$9),OR(Dashboard!$J$9="All",TRIM('INPUT - Bookings'!$D988)=Dashboard!$J$9)),1,0))</f>
        <v/>
      </c>
      <c r="BC988" s="244">
        <f>IF(AND(BB988=1,ISNUMBER('INPUT - Bookings'!$E988),'INPUT - Bookings'!$E988&gt;=Settings!$C$8,'INPUT - Bookings'!$E988&lt;=Settings!$C$8+14,IFERROR(INDEX(Settings!$Q$14:$Q$24,MATCH('INPUT - Bookings'!$G988,Settings!$P$14:$P$24,0)),"Yes")="Yes"),'INPUT - Bookings'!$E988+ROW()/100000,"")</f>
        <v/>
      </c>
    </row>
    <row r="989">
      <c r="BB989" s="244">
        <f>IF('INPUT - Bookings'!$B989="",0,IF(AND(OR(Dashboard!$D$9="All",TRIM('INPUT - Bookings'!$C989)=Dashboard!$D$9),OR(Dashboard!$J$9="All",TRIM('INPUT - Bookings'!$D989)=Dashboard!$J$9)),1,0))</f>
        <v/>
      </c>
      <c r="BC989" s="244">
        <f>IF(AND(BB989=1,ISNUMBER('INPUT - Bookings'!$E989),'INPUT - Bookings'!$E989&gt;=Settings!$C$8,'INPUT - Bookings'!$E989&lt;=Settings!$C$8+14,IFERROR(INDEX(Settings!$Q$14:$Q$24,MATCH('INPUT - Bookings'!$G989,Settings!$P$14:$P$24,0)),"Yes")="Yes"),'INPUT - Bookings'!$E989+ROW()/100000,"")</f>
        <v/>
      </c>
    </row>
    <row r="990">
      <c r="BB990" s="244">
        <f>IF('INPUT - Bookings'!$B990="",0,IF(AND(OR(Dashboard!$D$9="All",TRIM('INPUT - Bookings'!$C990)=Dashboard!$D$9),OR(Dashboard!$J$9="All",TRIM('INPUT - Bookings'!$D990)=Dashboard!$J$9)),1,0))</f>
        <v/>
      </c>
      <c r="BC990" s="244">
        <f>IF(AND(BB990=1,ISNUMBER('INPUT - Bookings'!$E990),'INPUT - Bookings'!$E990&gt;=Settings!$C$8,'INPUT - Bookings'!$E990&lt;=Settings!$C$8+14,IFERROR(INDEX(Settings!$Q$14:$Q$24,MATCH('INPUT - Bookings'!$G990,Settings!$P$14:$P$24,0)),"Yes")="Yes"),'INPUT - Bookings'!$E990+ROW()/100000,"")</f>
        <v/>
      </c>
    </row>
    <row r="991">
      <c r="BB991" s="244">
        <f>IF('INPUT - Bookings'!$B991="",0,IF(AND(OR(Dashboard!$D$9="All",TRIM('INPUT - Bookings'!$C991)=Dashboard!$D$9),OR(Dashboard!$J$9="All",TRIM('INPUT - Bookings'!$D991)=Dashboard!$J$9)),1,0))</f>
        <v/>
      </c>
      <c r="BC991" s="244">
        <f>IF(AND(BB991=1,ISNUMBER('INPUT - Bookings'!$E991),'INPUT - Bookings'!$E991&gt;=Settings!$C$8,'INPUT - Bookings'!$E991&lt;=Settings!$C$8+14,IFERROR(INDEX(Settings!$Q$14:$Q$24,MATCH('INPUT - Bookings'!$G991,Settings!$P$14:$P$24,0)),"Yes")="Yes"),'INPUT - Bookings'!$E991+ROW()/100000,"")</f>
        <v/>
      </c>
    </row>
    <row r="992">
      <c r="BB992" s="244">
        <f>IF('INPUT - Bookings'!$B992="",0,IF(AND(OR(Dashboard!$D$9="All",TRIM('INPUT - Bookings'!$C992)=Dashboard!$D$9),OR(Dashboard!$J$9="All",TRIM('INPUT - Bookings'!$D992)=Dashboard!$J$9)),1,0))</f>
        <v/>
      </c>
      <c r="BC992" s="244">
        <f>IF(AND(BB992=1,ISNUMBER('INPUT - Bookings'!$E992),'INPUT - Bookings'!$E992&gt;=Settings!$C$8,'INPUT - Bookings'!$E992&lt;=Settings!$C$8+14,IFERROR(INDEX(Settings!$Q$14:$Q$24,MATCH('INPUT - Bookings'!$G992,Settings!$P$14:$P$24,0)),"Yes")="Yes"),'INPUT - Bookings'!$E992+ROW()/100000,"")</f>
        <v/>
      </c>
    </row>
    <row r="993">
      <c r="BB993" s="244">
        <f>IF('INPUT - Bookings'!$B993="",0,IF(AND(OR(Dashboard!$D$9="All",TRIM('INPUT - Bookings'!$C993)=Dashboard!$D$9),OR(Dashboard!$J$9="All",TRIM('INPUT - Bookings'!$D993)=Dashboard!$J$9)),1,0))</f>
        <v/>
      </c>
      <c r="BC993" s="244">
        <f>IF(AND(BB993=1,ISNUMBER('INPUT - Bookings'!$E993),'INPUT - Bookings'!$E993&gt;=Settings!$C$8,'INPUT - Bookings'!$E993&lt;=Settings!$C$8+14,IFERROR(INDEX(Settings!$Q$14:$Q$24,MATCH('INPUT - Bookings'!$G993,Settings!$P$14:$P$24,0)),"Yes")="Yes"),'INPUT - Bookings'!$E993+ROW()/100000,"")</f>
        <v/>
      </c>
    </row>
    <row r="994">
      <c r="BB994" s="244">
        <f>IF('INPUT - Bookings'!$B994="",0,IF(AND(OR(Dashboard!$D$9="All",TRIM('INPUT - Bookings'!$C994)=Dashboard!$D$9),OR(Dashboard!$J$9="All",TRIM('INPUT - Bookings'!$D994)=Dashboard!$J$9)),1,0))</f>
        <v/>
      </c>
      <c r="BC994" s="244">
        <f>IF(AND(BB994=1,ISNUMBER('INPUT - Bookings'!$E994),'INPUT - Bookings'!$E994&gt;=Settings!$C$8,'INPUT - Bookings'!$E994&lt;=Settings!$C$8+14,IFERROR(INDEX(Settings!$Q$14:$Q$24,MATCH('INPUT - Bookings'!$G994,Settings!$P$14:$P$24,0)),"Yes")="Yes"),'INPUT - Bookings'!$E994+ROW()/100000,"")</f>
        <v/>
      </c>
    </row>
    <row r="995">
      <c r="BB995" s="244">
        <f>IF('INPUT - Bookings'!$B995="",0,IF(AND(OR(Dashboard!$D$9="All",TRIM('INPUT - Bookings'!$C995)=Dashboard!$D$9),OR(Dashboard!$J$9="All",TRIM('INPUT - Bookings'!$D995)=Dashboard!$J$9)),1,0))</f>
        <v/>
      </c>
      <c r="BC995" s="244">
        <f>IF(AND(BB995=1,ISNUMBER('INPUT - Bookings'!$E995),'INPUT - Bookings'!$E995&gt;=Settings!$C$8,'INPUT - Bookings'!$E995&lt;=Settings!$C$8+14,IFERROR(INDEX(Settings!$Q$14:$Q$24,MATCH('INPUT - Bookings'!$G995,Settings!$P$14:$P$24,0)),"Yes")="Yes"),'INPUT - Bookings'!$E995+ROW()/100000,"")</f>
        <v/>
      </c>
    </row>
    <row r="996">
      <c r="BB996" s="244">
        <f>IF('INPUT - Bookings'!$B996="",0,IF(AND(OR(Dashboard!$D$9="All",TRIM('INPUT - Bookings'!$C996)=Dashboard!$D$9),OR(Dashboard!$J$9="All",TRIM('INPUT - Bookings'!$D996)=Dashboard!$J$9)),1,0))</f>
        <v/>
      </c>
      <c r="BC996" s="244">
        <f>IF(AND(BB996=1,ISNUMBER('INPUT - Bookings'!$E996),'INPUT - Bookings'!$E996&gt;=Settings!$C$8,'INPUT - Bookings'!$E996&lt;=Settings!$C$8+14,IFERROR(INDEX(Settings!$Q$14:$Q$24,MATCH('INPUT - Bookings'!$G996,Settings!$P$14:$P$24,0)),"Yes")="Yes"),'INPUT - Bookings'!$E996+ROW()/100000,"")</f>
        <v/>
      </c>
    </row>
    <row r="997">
      <c r="BB997" s="244">
        <f>IF('INPUT - Bookings'!$B997="",0,IF(AND(OR(Dashboard!$D$9="All",TRIM('INPUT - Bookings'!$C997)=Dashboard!$D$9),OR(Dashboard!$J$9="All",TRIM('INPUT - Bookings'!$D997)=Dashboard!$J$9)),1,0))</f>
        <v/>
      </c>
      <c r="BC997" s="244">
        <f>IF(AND(BB997=1,ISNUMBER('INPUT - Bookings'!$E997),'INPUT - Bookings'!$E997&gt;=Settings!$C$8,'INPUT - Bookings'!$E997&lt;=Settings!$C$8+14,IFERROR(INDEX(Settings!$Q$14:$Q$24,MATCH('INPUT - Bookings'!$G997,Settings!$P$14:$P$24,0)),"Yes")="Yes"),'INPUT - Bookings'!$E997+ROW()/100000,"")</f>
        <v/>
      </c>
    </row>
    <row r="998">
      <c r="BB998" s="244">
        <f>IF('INPUT - Bookings'!$B998="",0,IF(AND(OR(Dashboard!$D$9="All",TRIM('INPUT - Bookings'!$C998)=Dashboard!$D$9),OR(Dashboard!$J$9="All",TRIM('INPUT - Bookings'!$D998)=Dashboard!$J$9)),1,0))</f>
        <v/>
      </c>
      <c r="BC998" s="244">
        <f>IF(AND(BB998=1,ISNUMBER('INPUT - Bookings'!$E998),'INPUT - Bookings'!$E998&gt;=Settings!$C$8,'INPUT - Bookings'!$E998&lt;=Settings!$C$8+14,IFERROR(INDEX(Settings!$Q$14:$Q$24,MATCH('INPUT - Bookings'!$G998,Settings!$P$14:$P$24,0)),"Yes")="Yes"),'INPUT - Bookings'!$E998+ROW()/100000,"")</f>
        <v/>
      </c>
    </row>
    <row r="999">
      <c r="BB999" s="244">
        <f>IF('INPUT - Bookings'!$B999="",0,IF(AND(OR(Dashboard!$D$9="All",TRIM('INPUT - Bookings'!$C999)=Dashboard!$D$9),OR(Dashboard!$J$9="All",TRIM('INPUT - Bookings'!$D999)=Dashboard!$J$9)),1,0))</f>
        <v/>
      </c>
      <c r="BC999" s="244">
        <f>IF(AND(BB999=1,ISNUMBER('INPUT - Bookings'!$E999),'INPUT - Bookings'!$E999&gt;=Settings!$C$8,'INPUT - Bookings'!$E999&lt;=Settings!$C$8+14,IFERROR(INDEX(Settings!$Q$14:$Q$24,MATCH('INPUT - Bookings'!$G999,Settings!$P$14:$P$24,0)),"Yes")="Yes"),'INPUT - Bookings'!$E999+ROW()/100000,"")</f>
        <v/>
      </c>
    </row>
    <row r="1000">
      <c r="BB1000" s="244">
        <f>IF('INPUT - Bookings'!$B1000="",0,IF(AND(OR(Dashboard!$D$9="All",TRIM('INPUT - Bookings'!$C1000)=Dashboard!$D$9),OR(Dashboard!$J$9="All",TRIM('INPUT - Bookings'!$D1000)=Dashboard!$J$9)),1,0))</f>
        <v/>
      </c>
      <c r="BC1000" s="244">
        <f>IF(AND(BB1000=1,ISNUMBER('INPUT - Bookings'!$E1000),'INPUT - Bookings'!$E1000&gt;=Settings!$C$8,'INPUT - Bookings'!$E1000&lt;=Settings!$C$8+14,IFERROR(INDEX(Settings!$Q$14:$Q$24,MATCH('INPUT - Bookings'!$G1000,Settings!$P$14:$P$24,0)),"Yes")="Yes"),'INPUT - Bookings'!$E1000+ROW()/100000,"")</f>
        <v/>
      </c>
    </row>
    <row r="1001">
      <c r="BB1001" s="244">
        <f>IF('INPUT - Bookings'!$B1001="",0,IF(AND(OR(Dashboard!$D$9="All",TRIM('INPUT - Bookings'!$C1001)=Dashboard!$D$9),OR(Dashboard!$J$9="All",TRIM('INPUT - Bookings'!$D1001)=Dashboard!$J$9)),1,0))</f>
        <v/>
      </c>
      <c r="BC1001" s="244">
        <f>IF(AND(BB1001=1,ISNUMBER('INPUT - Bookings'!$E1001),'INPUT - Bookings'!$E1001&gt;=Settings!$C$8,'INPUT - Bookings'!$E1001&lt;=Settings!$C$8+14,IFERROR(INDEX(Settings!$Q$14:$Q$24,MATCH('INPUT - Bookings'!$G1001,Settings!$P$14:$P$24,0)),"Yes")="Yes"),'INPUT - Bookings'!$E1001+ROW()/100000,"")</f>
        <v/>
      </c>
    </row>
    <row r="1002">
      <c r="BB1002" s="244">
        <f>IF('INPUT - Bookings'!$B1002="",0,IF(AND(OR(Dashboard!$D$9="All",TRIM('INPUT - Bookings'!$C1002)=Dashboard!$D$9),OR(Dashboard!$J$9="All",TRIM('INPUT - Bookings'!$D1002)=Dashboard!$J$9)),1,0))</f>
        <v/>
      </c>
      <c r="BC1002" s="244">
        <f>IF(AND(BB1002=1,ISNUMBER('INPUT - Bookings'!$E1002),'INPUT - Bookings'!$E1002&gt;=Settings!$C$8,'INPUT - Bookings'!$E1002&lt;=Settings!$C$8+14,IFERROR(INDEX(Settings!$Q$14:$Q$24,MATCH('INPUT - Bookings'!$G1002,Settings!$P$14:$P$24,0)),"Yes")="Yes"),'INPUT - Bookings'!$E1002+ROW()/100000,"")</f>
        <v/>
      </c>
    </row>
    <row r="1003">
      <c r="BB1003" s="244">
        <f>IF('INPUT - Bookings'!$B1003="",0,IF(AND(OR(Dashboard!$D$9="All",TRIM('INPUT - Bookings'!$C1003)=Dashboard!$D$9),OR(Dashboard!$J$9="All",TRIM('INPUT - Bookings'!$D1003)=Dashboard!$J$9)),1,0))</f>
        <v/>
      </c>
      <c r="BC1003" s="244">
        <f>IF(AND(BB1003=1,ISNUMBER('INPUT - Bookings'!$E1003),'INPUT - Bookings'!$E1003&gt;=Settings!$C$8,'INPUT - Bookings'!$E1003&lt;=Settings!$C$8+14,IFERROR(INDEX(Settings!$Q$14:$Q$24,MATCH('INPUT - Bookings'!$G1003,Settings!$P$14:$P$24,0)),"Yes")="Yes"),'INPUT - Bookings'!$E1003+ROW()/100000,"")</f>
        <v/>
      </c>
    </row>
    <row r="1004">
      <c r="BB1004" s="244">
        <f>IF('INPUT - Bookings'!$B1004="",0,IF(AND(OR(Dashboard!$D$9="All",TRIM('INPUT - Bookings'!$C1004)=Dashboard!$D$9),OR(Dashboard!$J$9="All",TRIM('INPUT - Bookings'!$D1004)=Dashboard!$J$9)),1,0))</f>
        <v/>
      </c>
      <c r="BC1004" s="244">
        <f>IF(AND(BB1004=1,ISNUMBER('INPUT - Bookings'!$E1004),'INPUT - Bookings'!$E1004&gt;=Settings!$C$8,'INPUT - Bookings'!$E1004&lt;=Settings!$C$8+14,IFERROR(INDEX(Settings!$Q$14:$Q$24,MATCH('INPUT - Bookings'!$G1004,Settings!$P$14:$P$24,0)),"Yes")="Yes"),'INPUT - Bookings'!$E1004+ROW()/100000,"")</f>
        <v/>
      </c>
    </row>
    <row r="1005">
      <c r="BB1005" s="244">
        <f>IF('INPUT - Bookings'!$B1005="",0,IF(AND(OR(Dashboard!$D$9="All",TRIM('INPUT - Bookings'!$C1005)=Dashboard!$D$9),OR(Dashboard!$J$9="All",TRIM('INPUT - Bookings'!$D1005)=Dashboard!$J$9)),1,0))</f>
        <v/>
      </c>
      <c r="BC1005" s="244">
        <f>IF(AND(BB1005=1,ISNUMBER('INPUT - Bookings'!$E1005),'INPUT - Bookings'!$E1005&gt;=Settings!$C$8,'INPUT - Bookings'!$E1005&lt;=Settings!$C$8+14,IFERROR(INDEX(Settings!$Q$14:$Q$24,MATCH('INPUT - Bookings'!$G1005,Settings!$P$14:$P$24,0)),"Yes")="Yes"),'INPUT - Bookings'!$E1005+ROW()/100000,"")</f>
        <v/>
      </c>
    </row>
    <row r="1006">
      <c r="BB1006" s="244">
        <f>IF('INPUT - Bookings'!$B1006="",0,IF(AND(OR(Dashboard!$D$9="All",TRIM('INPUT - Bookings'!$C1006)=Dashboard!$D$9),OR(Dashboard!$J$9="All",TRIM('INPUT - Bookings'!$D1006)=Dashboard!$J$9)),1,0))</f>
        <v/>
      </c>
      <c r="BC1006" s="244">
        <f>IF(AND(BB1006=1,ISNUMBER('INPUT - Bookings'!$E1006),'INPUT - Bookings'!$E1006&gt;=Settings!$C$8,'INPUT - Bookings'!$E1006&lt;=Settings!$C$8+14,IFERROR(INDEX(Settings!$Q$14:$Q$24,MATCH('INPUT - Bookings'!$G1006,Settings!$P$14:$P$24,0)),"Yes")="Yes"),'INPUT - Bookings'!$E1006+ROW()/100000,"")</f>
        <v/>
      </c>
    </row>
    <row r="1007">
      <c r="BB1007" s="244">
        <f>IF('INPUT - Bookings'!$B1007="",0,IF(AND(OR(Dashboard!$D$9="All",TRIM('INPUT - Bookings'!$C1007)=Dashboard!$D$9),OR(Dashboard!$J$9="All",TRIM('INPUT - Bookings'!$D1007)=Dashboard!$J$9)),1,0))</f>
        <v/>
      </c>
      <c r="BC1007" s="244">
        <f>IF(AND(BB1007=1,ISNUMBER('INPUT - Bookings'!$E1007),'INPUT - Bookings'!$E1007&gt;=Settings!$C$8,'INPUT - Bookings'!$E1007&lt;=Settings!$C$8+14,IFERROR(INDEX(Settings!$Q$14:$Q$24,MATCH('INPUT - Bookings'!$G1007,Settings!$P$14:$P$24,0)),"Yes")="Yes"),'INPUT - Bookings'!$E1007+ROW()/100000,"")</f>
        <v/>
      </c>
    </row>
    <row r="1008">
      <c r="BB1008" s="244">
        <f>IF('INPUT - Bookings'!$B1008="",0,IF(AND(OR(Dashboard!$D$9="All",TRIM('INPUT - Bookings'!$C1008)=Dashboard!$D$9),OR(Dashboard!$J$9="All",TRIM('INPUT - Bookings'!$D1008)=Dashboard!$J$9)),1,0))</f>
        <v/>
      </c>
      <c r="BC1008" s="244">
        <f>IF(AND(BB1008=1,ISNUMBER('INPUT - Bookings'!$E1008),'INPUT - Bookings'!$E1008&gt;=Settings!$C$8,'INPUT - Bookings'!$E1008&lt;=Settings!$C$8+14,IFERROR(INDEX(Settings!$Q$14:$Q$24,MATCH('INPUT - Bookings'!$G1008,Settings!$P$14:$P$24,0)),"Yes")="Yes"),'INPUT - Bookings'!$E1008+ROW()/100000,"")</f>
        <v/>
      </c>
    </row>
    <row r="1009">
      <c r="BB1009" s="244">
        <f>IF('INPUT - Bookings'!$B1009="",0,IF(AND(OR(Dashboard!$D$9="All",TRIM('INPUT - Bookings'!$C1009)=Dashboard!$D$9),OR(Dashboard!$J$9="All",TRIM('INPUT - Bookings'!$D1009)=Dashboard!$J$9)),1,0))</f>
        <v/>
      </c>
      <c r="BC1009" s="244">
        <f>IF(AND(BB1009=1,ISNUMBER('INPUT - Bookings'!$E1009),'INPUT - Bookings'!$E1009&gt;=Settings!$C$8,'INPUT - Bookings'!$E1009&lt;=Settings!$C$8+14,IFERROR(INDEX(Settings!$Q$14:$Q$24,MATCH('INPUT - Bookings'!$G1009,Settings!$P$14:$P$24,0)),"Yes")="Yes"),'INPUT - Bookings'!$E1009+ROW()/100000,"")</f>
        <v/>
      </c>
    </row>
    <row r="1010">
      <c r="BB1010" s="244">
        <f>IF('INPUT - Bookings'!$B1010="",0,IF(AND(OR(Dashboard!$D$9="All",TRIM('INPUT - Bookings'!$C1010)=Dashboard!$D$9),OR(Dashboard!$J$9="All",TRIM('INPUT - Bookings'!$D1010)=Dashboard!$J$9)),1,0))</f>
        <v/>
      </c>
      <c r="BC1010" s="244">
        <f>IF(AND(BB1010=1,ISNUMBER('INPUT - Bookings'!$E1010),'INPUT - Bookings'!$E1010&gt;=Settings!$C$8,'INPUT - Bookings'!$E1010&lt;=Settings!$C$8+14,IFERROR(INDEX(Settings!$Q$14:$Q$24,MATCH('INPUT - Bookings'!$G1010,Settings!$P$14:$P$24,0)),"Yes")="Yes"),'INPUT - Bookings'!$E1010+ROW()/100000,"")</f>
        <v/>
      </c>
    </row>
    <row r="1011">
      <c r="BB1011" s="244">
        <f>IF('INPUT - Bookings'!$B1011="",0,IF(AND(OR(Dashboard!$D$9="All",TRIM('INPUT - Bookings'!$C1011)=Dashboard!$D$9),OR(Dashboard!$J$9="All",TRIM('INPUT - Bookings'!$D1011)=Dashboard!$J$9)),1,0))</f>
        <v/>
      </c>
      <c r="BC1011" s="244">
        <f>IF(AND(BB1011=1,ISNUMBER('INPUT - Bookings'!$E1011),'INPUT - Bookings'!$E1011&gt;=Settings!$C$8,'INPUT - Bookings'!$E1011&lt;=Settings!$C$8+14,IFERROR(INDEX(Settings!$Q$14:$Q$24,MATCH('INPUT - Bookings'!$G1011,Settings!$P$14:$P$24,0)),"Yes")="Yes"),'INPUT - Bookings'!$E1011+ROW()/100000,"")</f>
        <v/>
      </c>
    </row>
    <row r="1012">
      <c r="BB1012" s="244">
        <f>IF('INPUT - Bookings'!$B1012="",0,IF(AND(OR(Dashboard!$D$9="All",TRIM('INPUT - Bookings'!$C1012)=Dashboard!$D$9),OR(Dashboard!$J$9="All",TRIM('INPUT - Bookings'!$D1012)=Dashboard!$J$9)),1,0))</f>
        <v/>
      </c>
      <c r="BC1012" s="244">
        <f>IF(AND(BB1012=1,ISNUMBER('INPUT - Bookings'!$E1012),'INPUT - Bookings'!$E1012&gt;=Settings!$C$8,'INPUT - Bookings'!$E1012&lt;=Settings!$C$8+14,IFERROR(INDEX(Settings!$Q$14:$Q$24,MATCH('INPUT - Bookings'!$G1012,Settings!$P$14:$P$24,0)),"Yes")="Yes"),'INPUT - Bookings'!$E1012+ROW()/100000,"")</f>
        <v/>
      </c>
    </row>
    <row r="1013">
      <c r="BB1013" s="244">
        <f>IF('INPUT - Bookings'!$B1013="",0,IF(AND(OR(Dashboard!$D$9="All",TRIM('INPUT - Bookings'!$C1013)=Dashboard!$D$9),OR(Dashboard!$J$9="All",TRIM('INPUT - Bookings'!$D1013)=Dashboard!$J$9)),1,0))</f>
        <v/>
      </c>
      <c r="BC1013" s="244">
        <f>IF(AND(BB1013=1,ISNUMBER('INPUT - Bookings'!$E1013),'INPUT - Bookings'!$E1013&gt;=Settings!$C$8,'INPUT - Bookings'!$E1013&lt;=Settings!$C$8+14,IFERROR(INDEX(Settings!$Q$14:$Q$24,MATCH('INPUT - Bookings'!$G1013,Settings!$P$14:$P$24,0)),"Yes")="Yes"),'INPUT - Bookings'!$E1013+ROW()/100000,"")</f>
        <v/>
      </c>
    </row>
    <row r="1014">
      <c r="BB1014" s="244">
        <f>IF('INPUT - Bookings'!$B1014="",0,IF(AND(OR(Dashboard!$D$9="All",TRIM('INPUT - Bookings'!$C1014)=Dashboard!$D$9),OR(Dashboard!$J$9="All",TRIM('INPUT - Bookings'!$D1014)=Dashboard!$J$9)),1,0))</f>
        <v/>
      </c>
      <c r="BC1014" s="244">
        <f>IF(AND(BB1014=1,ISNUMBER('INPUT - Bookings'!$E1014),'INPUT - Bookings'!$E1014&gt;=Settings!$C$8,'INPUT - Bookings'!$E1014&lt;=Settings!$C$8+14,IFERROR(INDEX(Settings!$Q$14:$Q$24,MATCH('INPUT - Bookings'!$G1014,Settings!$P$14:$P$24,0)),"Yes")="Yes"),'INPUT - Bookings'!$E1014+ROW()/100000,"")</f>
        <v/>
      </c>
    </row>
    <row r="1015">
      <c r="BB1015" s="244">
        <f>IF('INPUT - Bookings'!$B1015="",0,IF(AND(OR(Dashboard!$D$9="All",TRIM('INPUT - Bookings'!$C1015)=Dashboard!$D$9),OR(Dashboard!$J$9="All",TRIM('INPUT - Bookings'!$D1015)=Dashboard!$J$9)),1,0))</f>
        <v/>
      </c>
      <c r="BC1015" s="244">
        <f>IF(AND(BB1015=1,ISNUMBER('INPUT - Bookings'!$E1015),'INPUT - Bookings'!$E1015&gt;=Settings!$C$8,'INPUT - Bookings'!$E1015&lt;=Settings!$C$8+14,IFERROR(INDEX(Settings!$Q$14:$Q$24,MATCH('INPUT - Bookings'!$G1015,Settings!$P$14:$P$24,0)),"Yes")="Yes"),'INPUT - Bookings'!$E1015+ROW()/100000,"")</f>
        <v/>
      </c>
    </row>
    <row r="1016">
      <c r="BB1016" s="244">
        <f>IF('INPUT - Bookings'!$B1016="",0,IF(AND(OR(Dashboard!$D$9="All",TRIM('INPUT - Bookings'!$C1016)=Dashboard!$D$9),OR(Dashboard!$J$9="All",TRIM('INPUT - Bookings'!$D1016)=Dashboard!$J$9)),1,0))</f>
        <v/>
      </c>
      <c r="BC1016" s="244">
        <f>IF(AND(BB1016=1,ISNUMBER('INPUT - Bookings'!$E1016),'INPUT - Bookings'!$E1016&gt;=Settings!$C$8,'INPUT - Bookings'!$E1016&lt;=Settings!$C$8+14,IFERROR(INDEX(Settings!$Q$14:$Q$24,MATCH('INPUT - Bookings'!$G1016,Settings!$P$14:$P$24,0)),"Yes")="Yes"),'INPUT - Bookings'!$E1016+ROW()/100000,"")</f>
        <v/>
      </c>
    </row>
    <row r="1017">
      <c r="BB1017" s="244">
        <f>IF('INPUT - Bookings'!$B1017="",0,IF(AND(OR(Dashboard!$D$9="All",TRIM('INPUT - Bookings'!$C1017)=Dashboard!$D$9),OR(Dashboard!$J$9="All",TRIM('INPUT - Bookings'!$D1017)=Dashboard!$J$9)),1,0))</f>
        <v/>
      </c>
      <c r="BC1017" s="244">
        <f>IF(AND(BB1017=1,ISNUMBER('INPUT - Bookings'!$E1017),'INPUT - Bookings'!$E1017&gt;=Settings!$C$8,'INPUT - Bookings'!$E1017&lt;=Settings!$C$8+14,IFERROR(INDEX(Settings!$Q$14:$Q$24,MATCH('INPUT - Bookings'!$G1017,Settings!$P$14:$P$24,0)),"Yes")="Yes"),'INPUT - Bookings'!$E1017+ROW()/100000,"")</f>
        <v/>
      </c>
    </row>
    <row r="1018">
      <c r="BB1018" s="244">
        <f>IF('INPUT - Bookings'!$B1018="",0,IF(AND(OR(Dashboard!$D$9="All",TRIM('INPUT - Bookings'!$C1018)=Dashboard!$D$9),OR(Dashboard!$J$9="All",TRIM('INPUT - Bookings'!$D1018)=Dashboard!$J$9)),1,0))</f>
        <v/>
      </c>
      <c r="BC1018" s="244">
        <f>IF(AND(BB1018=1,ISNUMBER('INPUT - Bookings'!$E1018),'INPUT - Bookings'!$E1018&gt;=Settings!$C$8,'INPUT - Bookings'!$E1018&lt;=Settings!$C$8+14,IFERROR(INDEX(Settings!$Q$14:$Q$24,MATCH('INPUT - Bookings'!$G1018,Settings!$P$14:$P$24,0)),"Yes")="Yes"),'INPUT - Bookings'!$E1018+ROW()/100000,"")</f>
        <v/>
      </c>
    </row>
    <row r="1019">
      <c r="BB1019" s="244">
        <f>IF('INPUT - Bookings'!$B1019="",0,IF(AND(OR(Dashboard!$D$9="All",TRIM('INPUT - Bookings'!$C1019)=Dashboard!$D$9),OR(Dashboard!$J$9="All",TRIM('INPUT - Bookings'!$D1019)=Dashboard!$J$9)),1,0))</f>
        <v/>
      </c>
      <c r="BC1019" s="244">
        <f>IF(AND(BB1019=1,ISNUMBER('INPUT - Bookings'!$E1019),'INPUT - Bookings'!$E1019&gt;=Settings!$C$8,'INPUT - Bookings'!$E1019&lt;=Settings!$C$8+14,IFERROR(INDEX(Settings!$Q$14:$Q$24,MATCH('INPUT - Bookings'!$G1019,Settings!$P$14:$P$24,0)),"Yes")="Yes"),'INPUT - Bookings'!$E1019+ROW()/100000,"")</f>
        <v/>
      </c>
    </row>
    <row r="1020">
      <c r="BB1020" s="244">
        <f>IF('INPUT - Bookings'!$B1020="",0,IF(AND(OR(Dashboard!$D$9="All",TRIM('INPUT - Bookings'!$C1020)=Dashboard!$D$9),OR(Dashboard!$J$9="All",TRIM('INPUT - Bookings'!$D1020)=Dashboard!$J$9)),1,0))</f>
        <v/>
      </c>
      <c r="BC1020" s="244">
        <f>IF(AND(BB1020=1,ISNUMBER('INPUT - Bookings'!$E1020),'INPUT - Bookings'!$E1020&gt;=Settings!$C$8,'INPUT - Bookings'!$E1020&lt;=Settings!$C$8+14,IFERROR(INDEX(Settings!$Q$14:$Q$24,MATCH('INPUT - Bookings'!$G1020,Settings!$P$14:$P$24,0)),"Yes")="Yes"),'INPUT - Bookings'!$E1020+ROW()/100000,"")</f>
        <v/>
      </c>
    </row>
    <row r="1021">
      <c r="BB1021" s="244">
        <f>IF('INPUT - Bookings'!$B1021="",0,IF(AND(OR(Dashboard!$D$9="All",TRIM('INPUT - Bookings'!$C1021)=Dashboard!$D$9),OR(Dashboard!$J$9="All",TRIM('INPUT - Bookings'!$D1021)=Dashboard!$J$9)),1,0))</f>
        <v/>
      </c>
      <c r="BC1021" s="244">
        <f>IF(AND(BB1021=1,ISNUMBER('INPUT - Bookings'!$E1021),'INPUT - Bookings'!$E1021&gt;=Settings!$C$8,'INPUT - Bookings'!$E1021&lt;=Settings!$C$8+14,IFERROR(INDEX(Settings!$Q$14:$Q$24,MATCH('INPUT - Bookings'!$G1021,Settings!$P$14:$P$24,0)),"Yes")="Yes"),'INPUT - Bookings'!$E1021+ROW()/100000,"")</f>
        <v/>
      </c>
    </row>
    <row r="1022">
      <c r="BB1022" s="244">
        <f>IF('INPUT - Bookings'!$B1022="",0,IF(AND(OR(Dashboard!$D$9="All",TRIM('INPUT - Bookings'!$C1022)=Dashboard!$D$9),OR(Dashboard!$J$9="All",TRIM('INPUT - Bookings'!$D1022)=Dashboard!$J$9)),1,0))</f>
        <v/>
      </c>
      <c r="BC1022" s="244">
        <f>IF(AND(BB1022=1,ISNUMBER('INPUT - Bookings'!$E1022),'INPUT - Bookings'!$E1022&gt;=Settings!$C$8,'INPUT - Bookings'!$E1022&lt;=Settings!$C$8+14,IFERROR(INDEX(Settings!$Q$14:$Q$24,MATCH('INPUT - Bookings'!$G1022,Settings!$P$14:$P$24,0)),"Yes")="Yes"),'INPUT - Bookings'!$E1022+ROW()/100000,"")</f>
        <v/>
      </c>
    </row>
    <row r="1023">
      <c r="BB1023" s="244">
        <f>IF('INPUT - Bookings'!$B1023="",0,IF(AND(OR(Dashboard!$D$9="All",TRIM('INPUT - Bookings'!$C1023)=Dashboard!$D$9),OR(Dashboard!$J$9="All",TRIM('INPUT - Bookings'!$D1023)=Dashboard!$J$9)),1,0))</f>
        <v/>
      </c>
      <c r="BC1023" s="244">
        <f>IF(AND(BB1023=1,ISNUMBER('INPUT - Bookings'!$E1023),'INPUT - Bookings'!$E1023&gt;=Settings!$C$8,'INPUT - Bookings'!$E1023&lt;=Settings!$C$8+14,IFERROR(INDEX(Settings!$Q$14:$Q$24,MATCH('INPUT - Bookings'!$G1023,Settings!$P$14:$P$24,0)),"Yes")="Yes"),'INPUT - Bookings'!$E1023+ROW()/100000,"")</f>
        <v/>
      </c>
    </row>
    <row r="1024">
      <c r="BB1024" s="244">
        <f>IF('INPUT - Bookings'!$B1024="",0,IF(AND(OR(Dashboard!$D$9="All",TRIM('INPUT - Bookings'!$C1024)=Dashboard!$D$9),OR(Dashboard!$J$9="All",TRIM('INPUT - Bookings'!$D1024)=Dashboard!$J$9)),1,0))</f>
        <v/>
      </c>
      <c r="BC1024" s="244">
        <f>IF(AND(BB1024=1,ISNUMBER('INPUT - Bookings'!$E1024),'INPUT - Bookings'!$E1024&gt;=Settings!$C$8,'INPUT - Bookings'!$E1024&lt;=Settings!$C$8+14,IFERROR(INDEX(Settings!$Q$14:$Q$24,MATCH('INPUT - Bookings'!$G1024,Settings!$P$14:$P$24,0)),"Yes")="Yes"),'INPUT - Bookings'!$E1024+ROW()/100000,"")</f>
        <v/>
      </c>
    </row>
    <row r="1025">
      <c r="BB1025" s="244">
        <f>IF('INPUT - Bookings'!$B1025="",0,IF(AND(OR(Dashboard!$D$9="All",TRIM('INPUT - Bookings'!$C1025)=Dashboard!$D$9),OR(Dashboard!$J$9="All",TRIM('INPUT - Bookings'!$D1025)=Dashboard!$J$9)),1,0))</f>
        <v/>
      </c>
      <c r="BC1025" s="244">
        <f>IF(AND(BB1025=1,ISNUMBER('INPUT - Bookings'!$E1025),'INPUT - Bookings'!$E1025&gt;=Settings!$C$8,'INPUT - Bookings'!$E1025&lt;=Settings!$C$8+14,IFERROR(INDEX(Settings!$Q$14:$Q$24,MATCH('INPUT - Bookings'!$G1025,Settings!$P$14:$P$24,0)),"Yes")="Yes"),'INPUT - Bookings'!$E1025+ROW()/100000,"")</f>
        <v/>
      </c>
    </row>
    <row r="1026">
      <c r="BB1026" s="244">
        <f>IF('INPUT - Bookings'!$B1026="",0,IF(AND(OR(Dashboard!$D$9="All",TRIM('INPUT - Bookings'!$C1026)=Dashboard!$D$9),OR(Dashboard!$J$9="All",TRIM('INPUT - Bookings'!$D1026)=Dashboard!$J$9)),1,0))</f>
        <v/>
      </c>
      <c r="BC1026" s="244">
        <f>IF(AND(BB1026=1,ISNUMBER('INPUT - Bookings'!$E1026),'INPUT - Bookings'!$E1026&gt;=Settings!$C$8,'INPUT - Bookings'!$E1026&lt;=Settings!$C$8+14,IFERROR(INDEX(Settings!$Q$14:$Q$24,MATCH('INPUT - Bookings'!$G1026,Settings!$P$14:$P$24,0)),"Yes")="Yes"),'INPUT - Bookings'!$E1026+ROW()/100000,"")</f>
        <v/>
      </c>
    </row>
    <row r="1027">
      <c r="BB1027" s="244">
        <f>IF('INPUT - Bookings'!$B1027="",0,IF(AND(OR(Dashboard!$D$9="All",TRIM('INPUT - Bookings'!$C1027)=Dashboard!$D$9),OR(Dashboard!$J$9="All",TRIM('INPUT - Bookings'!$D1027)=Dashboard!$J$9)),1,0))</f>
        <v/>
      </c>
      <c r="BC1027" s="244">
        <f>IF(AND(BB1027=1,ISNUMBER('INPUT - Bookings'!$E1027),'INPUT - Bookings'!$E1027&gt;=Settings!$C$8,'INPUT - Bookings'!$E1027&lt;=Settings!$C$8+14,IFERROR(INDEX(Settings!$Q$14:$Q$24,MATCH('INPUT - Bookings'!$G1027,Settings!$P$14:$P$24,0)),"Yes")="Yes"),'INPUT - Bookings'!$E1027+ROW()/100000,"")</f>
        <v/>
      </c>
    </row>
    <row r="1028">
      <c r="BB1028" s="244">
        <f>IF('INPUT - Bookings'!$B1028="",0,IF(AND(OR(Dashboard!$D$9="All",TRIM('INPUT - Bookings'!$C1028)=Dashboard!$D$9),OR(Dashboard!$J$9="All",TRIM('INPUT - Bookings'!$D1028)=Dashboard!$J$9)),1,0))</f>
        <v/>
      </c>
      <c r="BC1028" s="244">
        <f>IF(AND(BB1028=1,ISNUMBER('INPUT - Bookings'!$E1028),'INPUT - Bookings'!$E1028&gt;=Settings!$C$8,'INPUT - Bookings'!$E1028&lt;=Settings!$C$8+14,IFERROR(INDEX(Settings!$Q$14:$Q$24,MATCH('INPUT - Bookings'!$G1028,Settings!$P$14:$P$24,0)),"Yes")="Yes"),'INPUT - Bookings'!$E1028+ROW()/100000,"")</f>
        <v/>
      </c>
    </row>
    <row r="1029">
      <c r="BB1029" s="244">
        <f>IF('INPUT - Bookings'!$B1029="",0,IF(AND(OR(Dashboard!$D$9="All",TRIM('INPUT - Bookings'!$C1029)=Dashboard!$D$9),OR(Dashboard!$J$9="All",TRIM('INPUT - Bookings'!$D1029)=Dashboard!$J$9)),1,0))</f>
        <v/>
      </c>
      <c r="BC1029" s="244">
        <f>IF(AND(BB1029=1,ISNUMBER('INPUT - Bookings'!$E1029),'INPUT - Bookings'!$E1029&gt;=Settings!$C$8,'INPUT - Bookings'!$E1029&lt;=Settings!$C$8+14,IFERROR(INDEX(Settings!$Q$14:$Q$24,MATCH('INPUT - Bookings'!$G1029,Settings!$P$14:$P$24,0)),"Yes")="Yes"),'INPUT - Bookings'!$E1029+ROW()/100000,"")</f>
        <v/>
      </c>
    </row>
    <row r="1030">
      <c r="BB1030" s="244">
        <f>IF('INPUT - Bookings'!$B1030="",0,IF(AND(OR(Dashboard!$D$9="All",TRIM('INPUT - Bookings'!$C1030)=Dashboard!$D$9),OR(Dashboard!$J$9="All",TRIM('INPUT - Bookings'!$D1030)=Dashboard!$J$9)),1,0))</f>
        <v/>
      </c>
      <c r="BC1030" s="244">
        <f>IF(AND(BB1030=1,ISNUMBER('INPUT - Bookings'!$E1030),'INPUT - Bookings'!$E1030&gt;=Settings!$C$8,'INPUT - Bookings'!$E1030&lt;=Settings!$C$8+14,IFERROR(INDEX(Settings!$Q$14:$Q$24,MATCH('INPUT - Bookings'!$G1030,Settings!$P$14:$P$24,0)),"Yes")="Yes"),'INPUT - Bookings'!$E1030+ROW()/100000,"")</f>
        <v/>
      </c>
    </row>
    <row r="1031">
      <c r="BB1031" s="244">
        <f>IF('INPUT - Bookings'!$B1031="",0,IF(AND(OR(Dashboard!$D$9="All",TRIM('INPUT - Bookings'!$C1031)=Dashboard!$D$9),OR(Dashboard!$J$9="All",TRIM('INPUT - Bookings'!$D1031)=Dashboard!$J$9)),1,0))</f>
        <v/>
      </c>
      <c r="BC1031" s="244">
        <f>IF(AND(BB1031=1,ISNUMBER('INPUT - Bookings'!$E1031),'INPUT - Bookings'!$E1031&gt;=Settings!$C$8,'INPUT - Bookings'!$E1031&lt;=Settings!$C$8+14,IFERROR(INDEX(Settings!$Q$14:$Q$24,MATCH('INPUT - Bookings'!$G1031,Settings!$P$14:$P$24,0)),"Yes")="Yes"),'INPUT - Bookings'!$E1031+ROW()/100000,"")</f>
        <v/>
      </c>
    </row>
    <row r="1032">
      <c r="BB1032" s="244">
        <f>IF('INPUT - Bookings'!$B1032="",0,IF(AND(OR(Dashboard!$D$9="All",TRIM('INPUT - Bookings'!$C1032)=Dashboard!$D$9),OR(Dashboard!$J$9="All",TRIM('INPUT - Bookings'!$D1032)=Dashboard!$J$9)),1,0))</f>
        <v/>
      </c>
      <c r="BC1032" s="244">
        <f>IF(AND(BB1032=1,ISNUMBER('INPUT - Bookings'!$E1032),'INPUT - Bookings'!$E1032&gt;=Settings!$C$8,'INPUT - Bookings'!$E1032&lt;=Settings!$C$8+14,IFERROR(INDEX(Settings!$Q$14:$Q$24,MATCH('INPUT - Bookings'!$G1032,Settings!$P$14:$P$24,0)),"Yes")="Yes"),'INPUT - Bookings'!$E1032+ROW()/100000,"")</f>
        <v/>
      </c>
    </row>
    <row r="1033">
      <c r="BB1033" s="244">
        <f>IF('INPUT - Bookings'!$B1033="",0,IF(AND(OR(Dashboard!$D$9="All",TRIM('INPUT - Bookings'!$C1033)=Dashboard!$D$9),OR(Dashboard!$J$9="All",TRIM('INPUT - Bookings'!$D1033)=Dashboard!$J$9)),1,0))</f>
        <v/>
      </c>
      <c r="BC1033" s="244">
        <f>IF(AND(BB1033=1,ISNUMBER('INPUT - Bookings'!$E1033),'INPUT - Bookings'!$E1033&gt;=Settings!$C$8,'INPUT - Bookings'!$E1033&lt;=Settings!$C$8+14,IFERROR(INDEX(Settings!$Q$14:$Q$24,MATCH('INPUT - Bookings'!$G1033,Settings!$P$14:$P$24,0)),"Yes")="Yes"),'INPUT - Bookings'!$E1033+ROW()/100000,"")</f>
        <v/>
      </c>
    </row>
    <row r="1034">
      <c r="BB1034" s="244">
        <f>IF('INPUT - Bookings'!$B1034="",0,IF(AND(OR(Dashboard!$D$9="All",TRIM('INPUT - Bookings'!$C1034)=Dashboard!$D$9),OR(Dashboard!$J$9="All",TRIM('INPUT - Bookings'!$D1034)=Dashboard!$J$9)),1,0))</f>
        <v/>
      </c>
      <c r="BC1034" s="244">
        <f>IF(AND(BB1034=1,ISNUMBER('INPUT - Bookings'!$E1034),'INPUT - Bookings'!$E1034&gt;=Settings!$C$8,'INPUT - Bookings'!$E1034&lt;=Settings!$C$8+14,IFERROR(INDEX(Settings!$Q$14:$Q$24,MATCH('INPUT - Bookings'!$G1034,Settings!$P$14:$P$24,0)),"Yes")="Yes"),'INPUT - Bookings'!$E1034+ROW()/100000,"")</f>
        <v/>
      </c>
    </row>
    <row r="1035">
      <c r="BB1035" s="244">
        <f>IF('INPUT - Bookings'!$B1035="",0,IF(AND(OR(Dashboard!$D$9="All",TRIM('INPUT - Bookings'!$C1035)=Dashboard!$D$9),OR(Dashboard!$J$9="All",TRIM('INPUT - Bookings'!$D1035)=Dashboard!$J$9)),1,0))</f>
        <v/>
      </c>
      <c r="BC1035" s="244">
        <f>IF(AND(BB1035=1,ISNUMBER('INPUT - Bookings'!$E1035),'INPUT - Bookings'!$E1035&gt;=Settings!$C$8,'INPUT - Bookings'!$E1035&lt;=Settings!$C$8+14,IFERROR(INDEX(Settings!$Q$14:$Q$24,MATCH('INPUT - Bookings'!$G1035,Settings!$P$14:$P$24,0)),"Yes")="Yes"),'INPUT - Bookings'!$E1035+ROW()/100000,"")</f>
        <v/>
      </c>
    </row>
    <row r="1036">
      <c r="BB1036" s="244">
        <f>IF('INPUT - Bookings'!$B1036="",0,IF(AND(OR(Dashboard!$D$9="All",TRIM('INPUT - Bookings'!$C1036)=Dashboard!$D$9),OR(Dashboard!$J$9="All",TRIM('INPUT - Bookings'!$D1036)=Dashboard!$J$9)),1,0))</f>
        <v/>
      </c>
      <c r="BC1036" s="244">
        <f>IF(AND(BB1036=1,ISNUMBER('INPUT - Bookings'!$E1036),'INPUT - Bookings'!$E1036&gt;=Settings!$C$8,'INPUT - Bookings'!$E1036&lt;=Settings!$C$8+14,IFERROR(INDEX(Settings!$Q$14:$Q$24,MATCH('INPUT - Bookings'!$G1036,Settings!$P$14:$P$24,0)),"Yes")="Yes"),'INPUT - Bookings'!$E1036+ROW()/100000,"")</f>
        <v/>
      </c>
    </row>
    <row r="1037">
      <c r="BB1037" s="244">
        <f>IF('INPUT - Bookings'!$B1037="",0,IF(AND(OR(Dashboard!$D$9="All",TRIM('INPUT - Bookings'!$C1037)=Dashboard!$D$9),OR(Dashboard!$J$9="All",TRIM('INPUT - Bookings'!$D1037)=Dashboard!$J$9)),1,0))</f>
        <v/>
      </c>
      <c r="BC1037" s="244">
        <f>IF(AND(BB1037=1,ISNUMBER('INPUT - Bookings'!$E1037),'INPUT - Bookings'!$E1037&gt;=Settings!$C$8,'INPUT - Bookings'!$E1037&lt;=Settings!$C$8+14,IFERROR(INDEX(Settings!$Q$14:$Q$24,MATCH('INPUT - Bookings'!$G1037,Settings!$P$14:$P$24,0)),"Yes")="Yes"),'INPUT - Bookings'!$E1037+ROW()/100000,"")</f>
        <v/>
      </c>
    </row>
    <row r="1038">
      <c r="BB1038" s="244">
        <f>IF('INPUT - Bookings'!$B1038="",0,IF(AND(OR(Dashboard!$D$9="All",TRIM('INPUT - Bookings'!$C1038)=Dashboard!$D$9),OR(Dashboard!$J$9="All",TRIM('INPUT - Bookings'!$D1038)=Dashboard!$J$9)),1,0))</f>
        <v/>
      </c>
      <c r="BC1038" s="244">
        <f>IF(AND(BB1038=1,ISNUMBER('INPUT - Bookings'!$E1038),'INPUT - Bookings'!$E1038&gt;=Settings!$C$8,'INPUT - Bookings'!$E1038&lt;=Settings!$C$8+14,IFERROR(INDEX(Settings!$Q$14:$Q$24,MATCH('INPUT - Bookings'!$G1038,Settings!$P$14:$P$24,0)),"Yes")="Yes"),'INPUT - Bookings'!$E1038+ROW()/100000,"")</f>
        <v/>
      </c>
    </row>
    <row r="1039">
      <c r="BB1039" s="244">
        <f>IF('INPUT - Bookings'!$B1039="",0,IF(AND(OR(Dashboard!$D$9="All",TRIM('INPUT - Bookings'!$C1039)=Dashboard!$D$9),OR(Dashboard!$J$9="All",TRIM('INPUT - Bookings'!$D1039)=Dashboard!$J$9)),1,0))</f>
        <v/>
      </c>
      <c r="BC1039" s="244">
        <f>IF(AND(BB1039=1,ISNUMBER('INPUT - Bookings'!$E1039),'INPUT - Bookings'!$E1039&gt;=Settings!$C$8,'INPUT - Bookings'!$E1039&lt;=Settings!$C$8+14,IFERROR(INDEX(Settings!$Q$14:$Q$24,MATCH('INPUT - Bookings'!$G1039,Settings!$P$14:$P$24,0)),"Yes")="Yes"),'INPUT - Bookings'!$E1039+ROW()/100000,"")</f>
        <v/>
      </c>
    </row>
    <row r="1040">
      <c r="BB1040" s="244">
        <f>IF('INPUT - Bookings'!$B1040="",0,IF(AND(OR(Dashboard!$D$9="All",TRIM('INPUT - Bookings'!$C1040)=Dashboard!$D$9),OR(Dashboard!$J$9="All",TRIM('INPUT - Bookings'!$D1040)=Dashboard!$J$9)),1,0))</f>
        <v/>
      </c>
      <c r="BC1040" s="244">
        <f>IF(AND(BB1040=1,ISNUMBER('INPUT - Bookings'!$E1040),'INPUT - Bookings'!$E1040&gt;=Settings!$C$8,'INPUT - Bookings'!$E1040&lt;=Settings!$C$8+14,IFERROR(INDEX(Settings!$Q$14:$Q$24,MATCH('INPUT - Bookings'!$G1040,Settings!$P$14:$P$24,0)),"Yes")="Yes"),'INPUT - Bookings'!$E1040+ROW()/100000,"")</f>
        <v/>
      </c>
    </row>
    <row r="1041">
      <c r="BB1041" s="244">
        <f>IF('INPUT - Bookings'!$B1041="",0,IF(AND(OR(Dashboard!$D$9="All",TRIM('INPUT - Bookings'!$C1041)=Dashboard!$D$9),OR(Dashboard!$J$9="All",TRIM('INPUT - Bookings'!$D1041)=Dashboard!$J$9)),1,0))</f>
        <v/>
      </c>
      <c r="BC1041" s="244">
        <f>IF(AND(BB1041=1,ISNUMBER('INPUT - Bookings'!$E1041),'INPUT - Bookings'!$E1041&gt;=Settings!$C$8,'INPUT - Bookings'!$E1041&lt;=Settings!$C$8+14,IFERROR(INDEX(Settings!$Q$14:$Q$24,MATCH('INPUT - Bookings'!$G1041,Settings!$P$14:$P$24,0)),"Yes")="Yes"),'INPUT - Bookings'!$E1041+ROW()/100000,"")</f>
        <v/>
      </c>
    </row>
    <row r="1042">
      <c r="BB1042" s="244">
        <f>IF('INPUT - Bookings'!$B1042="",0,IF(AND(OR(Dashboard!$D$9="All",TRIM('INPUT - Bookings'!$C1042)=Dashboard!$D$9),OR(Dashboard!$J$9="All",TRIM('INPUT - Bookings'!$D1042)=Dashboard!$J$9)),1,0))</f>
        <v/>
      </c>
      <c r="BC1042" s="244">
        <f>IF(AND(BB1042=1,ISNUMBER('INPUT - Bookings'!$E1042),'INPUT - Bookings'!$E1042&gt;=Settings!$C$8,'INPUT - Bookings'!$E1042&lt;=Settings!$C$8+14,IFERROR(INDEX(Settings!$Q$14:$Q$24,MATCH('INPUT - Bookings'!$G1042,Settings!$P$14:$P$24,0)),"Yes")="Yes"),'INPUT - Bookings'!$E1042+ROW()/100000,"")</f>
        <v/>
      </c>
    </row>
    <row r="1043">
      <c r="BB1043" s="244">
        <f>IF('INPUT - Bookings'!$B1043="",0,IF(AND(OR(Dashboard!$D$9="All",TRIM('INPUT - Bookings'!$C1043)=Dashboard!$D$9),OR(Dashboard!$J$9="All",TRIM('INPUT - Bookings'!$D1043)=Dashboard!$J$9)),1,0))</f>
        <v/>
      </c>
      <c r="BC1043" s="244">
        <f>IF(AND(BB1043=1,ISNUMBER('INPUT - Bookings'!$E1043),'INPUT - Bookings'!$E1043&gt;=Settings!$C$8,'INPUT - Bookings'!$E1043&lt;=Settings!$C$8+14,IFERROR(INDEX(Settings!$Q$14:$Q$24,MATCH('INPUT - Bookings'!$G1043,Settings!$P$14:$P$24,0)),"Yes")="Yes"),'INPUT - Bookings'!$E1043+ROW()/100000,"")</f>
        <v/>
      </c>
    </row>
    <row r="1044">
      <c r="BB1044" s="244">
        <f>IF('INPUT - Bookings'!$B1044="",0,IF(AND(OR(Dashboard!$D$9="All",TRIM('INPUT - Bookings'!$C1044)=Dashboard!$D$9),OR(Dashboard!$J$9="All",TRIM('INPUT - Bookings'!$D1044)=Dashboard!$J$9)),1,0))</f>
        <v/>
      </c>
      <c r="BC1044" s="244">
        <f>IF(AND(BB1044=1,ISNUMBER('INPUT - Bookings'!$E1044),'INPUT - Bookings'!$E1044&gt;=Settings!$C$8,'INPUT - Bookings'!$E1044&lt;=Settings!$C$8+14,IFERROR(INDEX(Settings!$Q$14:$Q$24,MATCH('INPUT - Bookings'!$G1044,Settings!$P$14:$P$24,0)),"Yes")="Yes"),'INPUT - Bookings'!$E1044+ROW()/100000,"")</f>
        <v/>
      </c>
    </row>
    <row r="1045">
      <c r="BB1045" s="244">
        <f>IF('INPUT - Bookings'!$B1045="",0,IF(AND(OR(Dashboard!$D$9="All",TRIM('INPUT - Bookings'!$C1045)=Dashboard!$D$9),OR(Dashboard!$J$9="All",TRIM('INPUT - Bookings'!$D1045)=Dashboard!$J$9)),1,0))</f>
        <v/>
      </c>
      <c r="BC1045" s="244">
        <f>IF(AND(BB1045=1,ISNUMBER('INPUT - Bookings'!$E1045),'INPUT - Bookings'!$E1045&gt;=Settings!$C$8,'INPUT - Bookings'!$E1045&lt;=Settings!$C$8+14,IFERROR(INDEX(Settings!$Q$14:$Q$24,MATCH('INPUT - Bookings'!$G1045,Settings!$P$14:$P$24,0)),"Yes")="Yes"),'INPUT - Bookings'!$E1045+ROW()/100000,"")</f>
        <v/>
      </c>
    </row>
    <row r="1046">
      <c r="BB1046" s="244">
        <f>IF('INPUT - Bookings'!$B1046="",0,IF(AND(OR(Dashboard!$D$9="All",TRIM('INPUT - Bookings'!$C1046)=Dashboard!$D$9),OR(Dashboard!$J$9="All",TRIM('INPUT - Bookings'!$D1046)=Dashboard!$J$9)),1,0))</f>
        <v/>
      </c>
      <c r="BC1046" s="244">
        <f>IF(AND(BB1046=1,ISNUMBER('INPUT - Bookings'!$E1046),'INPUT - Bookings'!$E1046&gt;=Settings!$C$8,'INPUT - Bookings'!$E1046&lt;=Settings!$C$8+14,IFERROR(INDEX(Settings!$Q$14:$Q$24,MATCH('INPUT - Bookings'!$G1046,Settings!$P$14:$P$24,0)),"Yes")="Yes"),'INPUT - Bookings'!$E1046+ROW()/100000,"")</f>
        <v/>
      </c>
    </row>
    <row r="1047">
      <c r="BB1047" s="244">
        <f>IF('INPUT - Bookings'!$B1047="",0,IF(AND(OR(Dashboard!$D$9="All",TRIM('INPUT - Bookings'!$C1047)=Dashboard!$D$9),OR(Dashboard!$J$9="All",TRIM('INPUT - Bookings'!$D1047)=Dashboard!$J$9)),1,0))</f>
        <v/>
      </c>
      <c r="BC1047" s="244">
        <f>IF(AND(BB1047=1,ISNUMBER('INPUT - Bookings'!$E1047),'INPUT - Bookings'!$E1047&gt;=Settings!$C$8,'INPUT - Bookings'!$E1047&lt;=Settings!$C$8+14,IFERROR(INDEX(Settings!$Q$14:$Q$24,MATCH('INPUT - Bookings'!$G1047,Settings!$P$14:$P$24,0)),"Yes")="Yes"),'INPUT - Bookings'!$E1047+ROW()/100000,"")</f>
        <v/>
      </c>
    </row>
    <row r="1048">
      <c r="BB1048" s="244">
        <f>IF('INPUT - Bookings'!$B1048="",0,IF(AND(OR(Dashboard!$D$9="All",TRIM('INPUT - Bookings'!$C1048)=Dashboard!$D$9),OR(Dashboard!$J$9="All",TRIM('INPUT - Bookings'!$D1048)=Dashboard!$J$9)),1,0))</f>
        <v/>
      </c>
      <c r="BC1048" s="244">
        <f>IF(AND(BB1048=1,ISNUMBER('INPUT - Bookings'!$E1048),'INPUT - Bookings'!$E1048&gt;=Settings!$C$8,'INPUT - Bookings'!$E1048&lt;=Settings!$C$8+14,IFERROR(INDEX(Settings!$Q$14:$Q$24,MATCH('INPUT - Bookings'!$G1048,Settings!$P$14:$P$24,0)),"Yes")="Yes"),'INPUT - Bookings'!$E1048+ROW()/100000,"")</f>
        <v/>
      </c>
    </row>
    <row r="1049">
      <c r="BB1049" s="244">
        <f>IF('INPUT - Bookings'!$B1049="",0,IF(AND(OR(Dashboard!$D$9="All",TRIM('INPUT - Bookings'!$C1049)=Dashboard!$D$9),OR(Dashboard!$J$9="All",TRIM('INPUT - Bookings'!$D1049)=Dashboard!$J$9)),1,0))</f>
        <v/>
      </c>
      <c r="BC1049" s="244">
        <f>IF(AND(BB1049=1,ISNUMBER('INPUT - Bookings'!$E1049),'INPUT - Bookings'!$E1049&gt;=Settings!$C$8,'INPUT - Bookings'!$E1049&lt;=Settings!$C$8+14,IFERROR(INDEX(Settings!$Q$14:$Q$24,MATCH('INPUT - Bookings'!$G1049,Settings!$P$14:$P$24,0)),"Yes")="Yes"),'INPUT - Bookings'!$E1049+ROW()/100000,"")</f>
        <v/>
      </c>
    </row>
    <row r="1050">
      <c r="BB1050" s="244">
        <f>IF('INPUT - Bookings'!$B1050="",0,IF(AND(OR(Dashboard!$D$9="All",TRIM('INPUT - Bookings'!$C1050)=Dashboard!$D$9),OR(Dashboard!$J$9="All",TRIM('INPUT - Bookings'!$D1050)=Dashboard!$J$9)),1,0))</f>
        <v/>
      </c>
      <c r="BC1050" s="244">
        <f>IF(AND(BB1050=1,ISNUMBER('INPUT - Bookings'!$E1050),'INPUT - Bookings'!$E1050&gt;=Settings!$C$8,'INPUT - Bookings'!$E1050&lt;=Settings!$C$8+14,IFERROR(INDEX(Settings!$Q$14:$Q$24,MATCH('INPUT - Bookings'!$G1050,Settings!$P$14:$P$24,0)),"Yes")="Yes"),'INPUT - Bookings'!$E1050+ROW()/100000,"")</f>
        <v/>
      </c>
    </row>
    <row r="1051">
      <c r="BB1051" s="244">
        <f>IF('INPUT - Bookings'!$B1051="",0,IF(AND(OR(Dashboard!$D$9="All",TRIM('INPUT - Bookings'!$C1051)=Dashboard!$D$9),OR(Dashboard!$J$9="All",TRIM('INPUT - Bookings'!$D1051)=Dashboard!$J$9)),1,0))</f>
        <v/>
      </c>
      <c r="BC1051" s="244">
        <f>IF(AND(BB1051=1,ISNUMBER('INPUT - Bookings'!$E1051),'INPUT - Bookings'!$E1051&gt;=Settings!$C$8,'INPUT - Bookings'!$E1051&lt;=Settings!$C$8+14,IFERROR(INDEX(Settings!$Q$14:$Q$24,MATCH('INPUT - Bookings'!$G1051,Settings!$P$14:$P$24,0)),"Yes")="Yes"),'INPUT - Bookings'!$E1051+ROW()/100000,"")</f>
        <v/>
      </c>
    </row>
    <row r="1052">
      <c r="BB1052" s="244">
        <f>IF('INPUT - Bookings'!$B1052="",0,IF(AND(OR(Dashboard!$D$9="All",TRIM('INPUT - Bookings'!$C1052)=Dashboard!$D$9),OR(Dashboard!$J$9="All",TRIM('INPUT - Bookings'!$D1052)=Dashboard!$J$9)),1,0))</f>
        <v/>
      </c>
      <c r="BC1052" s="244">
        <f>IF(AND(BB1052=1,ISNUMBER('INPUT - Bookings'!$E1052),'INPUT - Bookings'!$E1052&gt;=Settings!$C$8,'INPUT - Bookings'!$E1052&lt;=Settings!$C$8+14,IFERROR(INDEX(Settings!$Q$14:$Q$24,MATCH('INPUT - Bookings'!$G1052,Settings!$P$14:$P$24,0)),"Yes")="Yes"),'INPUT - Bookings'!$E1052+ROW()/100000,"")</f>
        <v/>
      </c>
    </row>
    <row r="1053">
      <c r="BB1053" s="244">
        <f>IF('INPUT - Bookings'!$B1053="",0,IF(AND(OR(Dashboard!$D$9="All",TRIM('INPUT - Bookings'!$C1053)=Dashboard!$D$9),OR(Dashboard!$J$9="All",TRIM('INPUT - Bookings'!$D1053)=Dashboard!$J$9)),1,0))</f>
        <v/>
      </c>
      <c r="BC1053" s="244">
        <f>IF(AND(BB1053=1,ISNUMBER('INPUT - Bookings'!$E1053),'INPUT - Bookings'!$E1053&gt;=Settings!$C$8,'INPUT - Bookings'!$E1053&lt;=Settings!$C$8+14,IFERROR(INDEX(Settings!$Q$14:$Q$24,MATCH('INPUT - Bookings'!$G1053,Settings!$P$14:$P$24,0)),"Yes")="Yes"),'INPUT - Bookings'!$E1053+ROW()/100000,"")</f>
        <v/>
      </c>
    </row>
    <row r="1054">
      <c r="BB1054" s="244">
        <f>IF('INPUT - Bookings'!$B1054="",0,IF(AND(OR(Dashboard!$D$9="All",TRIM('INPUT - Bookings'!$C1054)=Dashboard!$D$9),OR(Dashboard!$J$9="All",TRIM('INPUT - Bookings'!$D1054)=Dashboard!$J$9)),1,0))</f>
        <v/>
      </c>
      <c r="BC1054" s="244">
        <f>IF(AND(BB1054=1,ISNUMBER('INPUT - Bookings'!$E1054),'INPUT - Bookings'!$E1054&gt;=Settings!$C$8,'INPUT - Bookings'!$E1054&lt;=Settings!$C$8+14,IFERROR(INDEX(Settings!$Q$14:$Q$24,MATCH('INPUT - Bookings'!$G1054,Settings!$P$14:$P$24,0)),"Yes")="Yes"),'INPUT - Bookings'!$E1054+ROW()/100000,"")</f>
        <v/>
      </c>
    </row>
    <row r="1055">
      <c r="BB1055" s="244">
        <f>IF('INPUT - Bookings'!$B1055="",0,IF(AND(OR(Dashboard!$D$9="All",TRIM('INPUT - Bookings'!$C1055)=Dashboard!$D$9),OR(Dashboard!$J$9="All",TRIM('INPUT - Bookings'!$D1055)=Dashboard!$J$9)),1,0))</f>
        <v/>
      </c>
      <c r="BC1055" s="244">
        <f>IF(AND(BB1055=1,ISNUMBER('INPUT - Bookings'!$E1055),'INPUT - Bookings'!$E1055&gt;=Settings!$C$8,'INPUT - Bookings'!$E1055&lt;=Settings!$C$8+14,IFERROR(INDEX(Settings!$Q$14:$Q$24,MATCH('INPUT - Bookings'!$G1055,Settings!$P$14:$P$24,0)),"Yes")="Yes"),'INPUT - Bookings'!$E1055+ROW()/100000,"")</f>
        <v/>
      </c>
    </row>
    <row r="1056">
      <c r="BB1056" s="244">
        <f>IF('INPUT - Bookings'!$B1056="",0,IF(AND(OR(Dashboard!$D$9="All",TRIM('INPUT - Bookings'!$C1056)=Dashboard!$D$9),OR(Dashboard!$J$9="All",TRIM('INPUT - Bookings'!$D1056)=Dashboard!$J$9)),1,0))</f>
        <v/>
      </c>
      <c r="BC1056" s="244">
        <f>IF(AND(BB1056=1,ISNUMBER('INPUT - Bookings'!$E1056),'INPUT - Bookings'!$E1056&gt;=Settings!$C$8,'INPUT - Bookings'!$E1056&lt;=Settings!$C$8+14,IFERROR(INDEX(Settings!$Q$14:$Q$24,MATCH('INPUT - Bookings'!$G1056,Settings!$P$14:$P$24,0)),"Yes")="Yes"),'INPUT - Bookings'!$E1056+ROW()/100000,"")</f>
        <v/>
      </c>
    </row>
    <row r="1057">
      <c r="BB1057" s="244">
        <f>IF('INPUT - Bookings'!$B1057="",0,IF(AND(OR(Dashboard!$D$9="All",TRIM('INPUT - Bookings'!$C1057)=Dashboard!$D$9),OR(Dashboard!$J$9="All",TRIM('INPUT - Bookings'!$D1057)=Dashboard!$J$9)),1,0))</f>
        <v/>
      </c>
      <c r="BC1057" s="244">
        <f>IF(AND(BB1057=1,ISNUMBER('INPUT - Bookings'!$E1057),'INPUT - Bookings'!$E1057&gt;=Settings!$C$8,'INPUT - Bookings'!$E1057&lt;=Settings!$C$8+14,IFERROR(INDEX(Settings!$Q$14:$Q$24,MATCH('INPUT - Bookings'!$G1057,Settings!$P$14:$P$24,0)),"Yes")="Yes"),'INPUT - Bookings'!$E1057+ROW()/100000,"")</f>
        <v/>
      </c>
    </row>
    <row r="1058">
      <c r="BB1058" s="244">
        <f>IF('INPUT - Bookings'!$B1058="",0,IF(AND(OR(Dashboard!$D$9="All",TRIM('INPUT - Bookings'!$C1058)=Dashboard!$D$9),OR(Dashboard!$J$9="All",TRIM('INPUT - Bookings'!$D1058)=Dashboard!$J$9)),1,0))</f>
        <v/>
      </c>
      <c r="BC1058" s="244">
        <f>IF(AND(BB1058=1,ISNUMBER('INPUT - Bookings'!$E1058),'INPUT - Bookings'!$E1058&gt;=Settings!$C$8,'INPUT - Bookings'!$E1058&lt;=Settings!$C$8+14,IFERROR(INDEX(Settings!$Q$14:$Q$24,MATCH('INPUT - Bookings'!$G1058,Settings!$P$14:$P$24,0)),"Yes")="Yes"),'INPUT - Bookings'!$E1058+ROW()/100000,"")</f>
        <v/>
      </c>
    </row>
    <row r="1059">
      <c r="BB1059" s="244">
        <f>IF('INPUT - Bookings'!$B1059="",0,IF(AND(OR(Dashboard!$D$9="All",TRIM('INPUT - Bookings'!$C1059)=Dashboard!$D$9),OR(Dashboard!$J$9="All",TRIM('INPUT - Bookings'!$D1059)=Dashboard!$J$9)),1,0))</f>
        <v/>
      </c>
      <c r="BC1059" s="244">
        <f>IF(AND(BB1059=1,ISNUMBER('INPUT - Bookings'!$E1059),'INPUT - Bookings'!$E1059&gt;=Settings!$C$8,'INPUT - Bookings'!$E1059&lt;=Settings!$C$8+14,IFERROR(INDEX(Settings!$Q$14:$Q$24,MATCH('INPUT - Bookings'!$G1059,Settings!$P$14:$P$24,0)),"Yes")="Yes"),'INPUT - Bookings'!$E1059+ROW()/100000,"")</f>
        <v/>
      </c>
    </row>
    <row r="1060">
      <c r="BB1060" s="244">
        <f>IF('INPUT - Bookings'!$B1060="",0,IF(AND(OR(Dashboard!$D$9="All",TRIM('INPUT - Bookings'!$C1060)=Dashboard!$D$9),OR(Dashboard!$J$9="All",TRIM('INPUT - Bookings'!$D1060)=Dashboard!$J$9)),1,0))</f>
        <v/>
      </c>
      <c r="BC1060" s="244">
        <f>IF(AND(BB1060=1,ISNUMBER('INPUT - Bookings'!$E1060),'INPUT - Bookings'!$E1060&gt;=Settings!$C$8,'INPUT - Bookings'!$E1060&lt;=Settings!$C$8+14,IFERROR(INDEX(Settings!$Q$14:$Q$24,MATCH('INPUT - Bookings'!$G1060,Settings!$P$14:$P$24,0)),"Yes")="Yes"),'INPUT - Bookings'!$E1060+ROW()/100000,"")</f>
        <v/>
      </c>
    </row>
    <row r="1061">
      <c r="BB1061" s="244">
        <f>IF('INPUT - Bookings'!$B1061="",0,IF(AND(OR(Dashboard!$D$9="All",TRIM('INPUT - Bookings'!$C1061)=Dashboard!$D$9),OR(Dashboard!$J$9="All",TRIM('INPUT - Bookings'!$D1061)=Dashboard!$J$9)),1,0))</f>
        <v/>
      </c>
      <c r="BC1061" s="244">
        <f>IF(AND(BB1061=1,ISNUMBER('INPUT - Bookings'!$E1061),'INPUT - Bookings'!$E1061&gt;=Settings!$C$8,'INPUT - Bookings'!$E1061&lt;=Settings!$C$8+14,IFERROR(INDEX(Settings!$Q$14:$Q$24,MATCH('INPUT - Bookings'!$G1061,Settings!$P$14:$P$24,0)),"Yes")="Yes"),'INPUT - Bookings'!$E1061+ROW()/100000,"")</f>
        <v/>
      </c>
    </row>
    <row r="1062">
      <c r="BB1062" s="244">
        <f>IF('INPUT - Bookings'!$B1062="",0,IF(AND(OR(Dashboard!$D$9="All",TRIM('INPUT - Bookings'!$C1062)=Dashboard!$D$9),OR(Dashboard!$J$9="All",TRIM('INPUT - Bookings'!$D1062)=Dashboard!$J$9)),1,0))</f>
        <v/>
      </c>
      <c r="BC1062" s="244">
        <f>IF(AND(BB1062=1,ISNUMBER('INPUT - Bookings'!$E1062),'INPUT - Bookings'!$E1062&gt;=Settings!$C$8,'INPUT - Bookings'!$E1062&lt;=Settings!$C$8+14,IFERROR(INDEX(Settings!$Q$14:$Q$24,MATCH('INPUT - Bookings'!$G1062,Settings!$P$14:$P$24,0)),"Yes")="Yes"),'INPUT - Bookings'!$E1062+ROW()/100000,"")</f>
        <v/>
      </c>
    </row>
    <row r="1063">
      <c r="BB1063" s="244">
        <f>IF('INPUT - Bookings'!$B1063="",0,IF(AND(OR(Dashboard!$D$9="All",TRIM('INPUT - Bookings'!$C1063)=Dashboard!$D$9),OR(Dashboard!$J$9="All",TRIM('INPUT - Bookings'!$D1063)=Dashboard!$J$9)),1,0))</f>
        <v/>
      </c>
      <c r="BC1063" s="244">
        <f>IF(AND(BB1063=1,ISNUMBER('INPUT - Bookings'!$E1063),'INPUT - Bookings'!$E1063&gt;=Settings!$C$8,'INPUT - Bookings'!$E1063&lt;=Settings!$C$8+14,IFERROR(INDEX(Settings!$Q$14:$Q$24,MATCH('INPUT - Bookings'!$G1063,Settings!$P$14:$P$24,0)),"Yes")="Yes"),'INPUT - Bookings'!$E1063+ROW()/100000,"")</f>
        <v/>
      </c>
    </row>
    <row r="1064">
      <c r="BB1064" s="244">
        <f>IF('INPUT - Bookings'!$B1064="",0,IF(AND(OR(Dashboard!$D$9="All",TRIM('INPUT - Bookings'!$C1064)=Dashboard!$D$9),OR(Dashboard!$J$9="All",TRIM('INPUT - Bookings'!$D1064)=Dashboard!$J$9)),1,0))</f>
        <v/>
      </c>
      <c r="BC1064" s="244">
        <f>IF(AND(BB1064=1,ISNUMBER('INPUT - Bookings'!$E1064),'INPUT - Bookings'!$E1064&gt;=Settings!$C$8,'INPUT - Bookings'!$E1064&lt;=Settings!$C$8+14,IFERROR(INDEX(Settings!$Q$14:$Q$24,MATCH('INPUT - Bookings'!$G1064,Settings!$P$14:$P$24,0)),"Yes")="Yes"),'INPUT - Bookings'!$E1064+ROW()/100000,"")</f>
        <v/>
      </c>
    </row>
    <row r="1065">
      <c r="BB1065" s="244">
        <f>IF('INPUT - Bookings'!$B1065="",0,IF(AND(OR(Dashboard!$D$9="All",TRIM('INPUT - Bookings'!$C1065)=Dashboard!$D$9),OR(Dashboard!$J$9="All",TRIM('INPUT - Bookings'!$D1065)=Dashboard!$J$9)),1,0))</f>
        <v/>
      </c>
      <c r="BC1065" s="244">
        <f>IF(AND(BB1065=1,ISNUMBER('INPUT - Bookings'!$E1065),'INPUT - Bookings'!$E1065&gt;=Settings!$C$8,'INPUT - Bookings'!$E1065&lt;=Settings!$C$8+14,IFERROR(INDEX(Settings!$Q$14:$Q$24,MATCH('INPUT - Bookings'!$G1065,Settings!$P$14:$P$24,0)),"Yes")="Yes"),'INPUT - Bookings'!$E1065+ROW()/100000,"")</f>
        <v/>
      </c>
    </row>
    <row r="1066">
      <c r="BB1066" s="244">
        <f>IF('INPUT - Bookings'!$B1066="",0,IF(AND(OR(Dashboard!$D$9="All",TRIM('INPUT - Bookings'!$C1066)=Dashboard!$D$9),OR(Dashboard!$J$9="All",TRIM('INPUT - Bookings'!$D1066)=Dashboard!$J$9)),1,0))</f>
        <v/>
      </c>
      <c r="BC1066" s="244">
        <f>IF(AND(BB1066=1,ISNUMBER('INPUT - Bookings'!$E1066),'INPUT - Bookings'!$E1066&gt;=Settings!$C$8,'INPUT - Bookings'!$E1066&lt;=Settings!$C$8+14,IFERROR(INDEX(Settings!$Q$14:$Q$24,MATCH('INPUT - Bookings'!$G1066,Settings!$P$14:$P$24,0)),"Yes")="Yes"),'INPUT - Bookings'!$E1066+ROW()/100000,"")</f>
        <v/>
      </c>
    </row>
    <row r="1067">
      <c r="BB1067" s="244">
        <f>IF('INPUT - Bookings'!$B1067="",0,IF(AND(OR(Dashboard!$D$9="All",TRIM('INPUT - Bookings'!$C1067)=Dashboard!$D$9),OR(Dashboard!$J$9="All",TRIM('INPUT - Bookings'!$D1067)=Dashboard!$J$9)),1,0))</f>
        <v/>
      </c>
      <c r="BC1067" s="244">
        <f>IF(AND(BB1067=1,ISNUMBER('INPUT - Bookings'!$E1067),'INPUT - Bookings'!$E1067&gt;=Settings!$C$8,'INPUT - Bookings'!$E1067&lt;=Settings!$C$8+14,IFERROR(INDEX(Settings!$Q$14:$Q$24,MATCH('INPUT - Bookings'!$G1067,Settings!$P$14:$P$24,0)),"Yes")="Yes"),'INPUT - Bookings'!$E1067+ROW()/100000,"")</f>
        <v/>
      </c>
    </row>
    <row r="1068">
      <c r="BB1068" s="244">
        <f>IF('INPUT - Bookings'!$B1068="",0,IF(AND(OR(Dashboard!$D$9="All",TRIM('INPUT - Bookings'!$C1068)=Dashboard!$D$9),OR(Dashboard!$J$9="All",TRIM('INPUT - Bookings'!$D1068)=Dashboard!$J$9)),1,0))</f>
        <v/>
      </c>
      <c r="BC1068" s="244">
        <f>IF(AND(BB1068=1,ISNUMBER('INPUT - Bookings'!$E1068),'INPUT - Bookings'!$E1068&gt;=Settings!$C$8,'INPUT - Bookings'!$E1068&lt;=Settings!$C$8+14,IFERROR(INDEX(Settings!$Q$14:$Q$24,MATCH('INPUT - Bookings'!$G1068,Settings!$P$14:$P$24,0)),"Yes")="Yes"),'INPUT - Bookings'!$E1068+ROW()/100000,"")</f>
        <v/>
      </c>
    </row>
    <row r="1069">
      <c r="BB1069" s="244">
        <f>IF('INPUT - Bookings'!$B1069="",0,IF(AND(OR(Dashboard!$D$9="All",TRIM('INPUT - Bookings'!$C1069)=Dashboard!$D$9),OR(Dashboard!$J$9="All",TRIM('INPUT - Bookings'!$D1069)=Dashboard!$J$9)),1,0))</f>
        <v/>
      </c>
      <c r="BC1069" s="244">
        <f>IF(AND(BB1069=1,ISNUMBER('INPUT - Bookings'!$E1069),'INPUT - Bookings'!$E1069&gt;=Settings!$C$8,'INPUT - Bookings'!$E1069&lt;=Settings!$C$8+14,IFERROR(INDEX(Settings!$Q$14:$Q$24,MATCH('INPUT - Bookings'!$G1069,Settings!$P$14:$P$24,0)),"Yes")="Yes"),'INPUT - Bookings'!$E1069+ROW()/100000,"")</f>
        <v/>
      </c>
    </row>
    <row r="1070">
      <c r="BB1070" s="244">
        <f>IF('INPUT - Bookings'!$B1070="",0,IF(AND(OR(Dashboard!$D$9="All",TRIM('INPUT - Bookings'!$C1070)=Dashboard!$D$9),OR(Dashboard!$J$9="All",TRIM('INPUT - Bookings'!$D1070)=Dashboard!$J$9)),1,0))</f>
        <v/>
      </c>
      <c r="BC1070" s="244">
        <f>IF(AND(BB1070=1,ISNUMBER('INPUT - Bookings'!$E1070),'INPUT - Bookings'!$E1070&gt;=Settings!$C$8,'INPUT - Bookings'!$E1070&lt;=Settings!$C$8+14,IFERROR(INDEX(Settings!$Q$14:$Q$24,MATCH('INPUT - Bookings'!$G1070,Settings!$P$14:$P$24,0)),"Yes")="Yes"),'INPUT - Bookings'!$E1070+ROW()/100000,"")</f>
        <v/>
      </c>
    </row>
    <row r="1071">
      <c r="BB1071" s="244">
        <f>IF('INPUT - Bookings'!$B1071="",0,IF(AND(OR(Dashboard!$D$9="All",TRIM('INPUT - Bookings'!$C1071)=Dashboard!$D$9),OR(Dashboard!$J$9="All",TRIM('INPUT - Bookings'!$D1071)=Dashboard!$J$9)),1,0))</f>
        <v/>
      </c>
      <c r="BC1071" s="244">
        <f>IF(AND(BB1071=1,ISNUMBER('INPUT - Bookings'!$E1071),'INPUT - Bookings'!$E1071&gt;=Settings!$C$8,'INPUT - Bookings'!$E1071&lt;=Settings!$C$8+14,IFERROR(INDEX(Settings!$Q$14:$Q$24,MATCH('INPUT - Bookings'!$G1071,Settings!$P$14:$P$24,0)),"Yes")="Yes"),'INPUT - Bookings'!$E1071+ROW()/100000,"")</f>
        <v/>
      </c>
    </row>
    <row r="1072">
      <c r="BB1072" s="244">
        <f>IF('INPUT - Bookings'!$B1072="",0,IF(AND(OR(Dashboard!$D$9="All",TRIM('INPUT - Bookings'!$C1072)=Dashboard!$D$9),OR(Dashboard!$J$9="All",TRIM('INPUT - Bookings'!$D1072)=Dashboard!$J$9)),1,0))</f>
        <v/>
      </c>
      <c r="BC1072" s="244">
        <f>IF(AND(BB1072=1,ISNUMBER('INPUT - Bookings'!$E1072),'INPUT - Bookings'!$E1072&gt;=Settings!$C$8,'INPUT - Bookings'!$E1072&lt;=Settings!$C$8+14,IFERROR(INDEX(Settings!$Q$14:$Q$24,MATCH('INPUT - Bookings'!$G1072,Settings!$P$14:$P$24,0)),"Yes")="Yes"),'INPUT - Bookings'!$E1072+ROW()/100000,"")</f>
        <v/>
      </c>
    </row>
    <row r="1073">
      <c r="BB1073" s="244">
        <f>IF('INPUT - Bookings'!$B1073="",0,IF(AND(OR(Dashboard!$D$9="All",TRIM('INPUT - Bookings'!$C1073)=Dashboard!$D$9),OR(Dashboard!$J$9="All",TRIM('INPUT - Bookings'!$D1073)=Dashboard!$J$9)),1,0))</f>
        <v/>
      </c>
      <c r="BC1073" s="244">
        <f>IF(AND(BB1073=1,ISNUMBER('INPUT - Bookings'!$E1073),'INPUT - Bookings'!$E1073&gt;=Settings!$C$8,'INPUT - Bookings'!$E1073&lt;=Settings!$C$8+14,IFERROR(INDEX(Settings!$Q$14:$Q$24,MATCH('INPUT - Bookings'!$G1073,Settings!$P$14:$P$24,0)),"Yes")="Yes"),'INPUT - Bookings'!$E1073+ROW()/100000,"")</f>
        <v/>
      </c>
    </row>
    <row r="1074">
      <c r="BB1074" s="244">
        <f>IF('INPUT - Bookings'!$B1074="",0,IF(AND(OR(Dashboard!$D$9="All",TRIM('INPUT - Bookings'!$C1074)=Dashboard!$D$9),OR(Dashboard!$J$9="All",TRIM('INPUT - Bookings'!$D1074)=Dashboard!$J$9)),1,0))</f>
        <v/>
      </c>
      <c r="BC1074" s="244">
        <f>IF(AND(BB1074=1,ISNUMBER('INPUT - Bookings'!$E1074),'INPUT - Bookings'!$E1074&gt;=Settings!$C$8,'INPUT - Bookings'!$E1074&lt;=Settings!$C$8+14,IFERROR(INDEX(Settings!$Q$14:$Q$24,MATCH('INPUT - Bookings'!$G1074,Settings!$P$14:$P$24,0)),"Yes")="Yes"),'INPUT - Bookings'!$E1074+ROW()/100000,"")</f>
        <v/>
      </c>
    </row>
    <row r="1075">
      <c r="BB1075" s="244">
        <f>IF('INPUT - Bookings'!$B1075="",0,IF(AND(OR(Dashboard!$D$9="All",TRIM('INPUT - Bookings'!$C1075)=Dashboard!$D$9),OR(Dashboard!$J$9="All",TRIM('INPUT - Bookings'!$D1075)=Dashboard!$J$9)),1,0))</f>
        <v/>
      </c>
      <c r="BC1075" s="244">
        <f>IF(AND(BB1075=1,ISNUMBER('INPUT - Bookings'!$E1075),'INPUT - Bookings'!$E1075&gt;=Settings!$C$8,'INPUT - Bookings'!$E1075&lt;=Settings!$C$8+14,IFERROR(INDEX(Settings!$Q$14:$Q$24,MATCH('INPUT - Bookings'!$G1075,Settings!$P$14:$P$24,0)),"Yes")="Yes"),'INPUT - Bookings'!$E1075+ROW()/100000,"")</f>
        <v/>
      </c>
    </row>
    <row r="1076">
      <c r="BB1076" s="244">
        <f>IF('INPUT - Bookings'!$B1076="",0,IF(AND(OR(Dashboard!$D$9="All",TRIM('INPUT - Bookings'!$C1076)=Dashboard!$D$9),OR(Dashboard!$J$9="All",TRIM('INPUT - Bookings'!$D1076)=Dashboard!$J$9)),1,0))</f>
        <v/>
      </c>
      <c r="BC1076" s="244">
        <f>IF(AND(BB1076=1,ISNUMBER('INPUT - Bookings'!$E1076),'INPUT - Bookings'!$E1076&gt;=Settings!$C$8,'INPUT - Bookings'!$E1076&lt;=Settings!$C$8+14,IFERROR(INDEX(Settings!$Q$14:$Q$24,MATCH('INPUT - Bookings'!$G1076,Settings!$P$14:$P$24,0)),"Yes")="Yes"),'INPUT - Bookings'!$E1076+ROW()/100000,"")</f>
        <v/>
      </c>
    </row>
    <row r="1077">
      <c r="BB1077" s="244">
        <f>IF('INPUT - Bookings'!$B1077="",0,IF(AND(OR(Dashboard!$D$9="All",TRIM('INPUT - Bookings'!$C1077)=Dashboard!$D$9),OR(Dashboard!$J$9="All",TRIM('INPUT - Bookings'!$D1077)=Dashboard!$J$9)),1,0))</f>
        <v/>
      </c>
      <c r="BC1077" s="244">
        <f>IF(AND(BB1077=1,ISNUMBER('INPUT - Bookings'!$E1077),'INPUT - Bookings'!$E1077&gt;=Settings!$C$8,'INPUT - Bookings'!$E1077&lt;=Settings!$C$8+14,IFERROR(INDEX(Settings!$Q$14:$Q$24,MATCH('INPUT - Bookings'!$G1077,Settings!$P$14:$P$24,0)),"Yes")="Yes"),'INPUT - Bookings'!$E1077+ROW()/100000,"")</f>
        <v/>
      </c>
    </row>
    <row r="1078">
      <c r="BB1078" s="244">
        <f>IF('INPUT - Bookings'!$B1078="",0,IF(AND(OR(Dashboard!$D$9="All",TRIM('INPUT - Bookings'!$C1078)=Dashboard!$D$9),OR(Dashboard!$J$9="All",TRIM('INPUT - Bookings'!$D1078)=Dashboard!$J$9)),1,0))</f>
        <v/>
      </c>
      <c r="BC1078" s="244">
        <f>IF(AND(BB1078=1,ISNUMBER('INPUT - Bookings'!$E1078),'INPUT - Bookings'!$E1078&gt;=Settings!$C$8,'INPUT - Bookings'!$E1078&lt;=Settings!$C$8+14,IFERROR(INDEX(Settings!$Q$14:$Q$24,MATCH('INPUT - Bookings'!$G1078,Settings!$P$14:$P$24,0)),"Yes")="Yes"),'INPUT - Bookings'!$E1078+ROW()/100000,"")</f>
        <v/>
      </c>
    </row>
    <row r="1079">
      <c r="BB1079" s="244">
        <f>IF('INPUT - Bookings'!$B1079="",0,IF(AND(OR(Dashboard!$D$9="All",TRIM('INPUT - Bookings'!$C1079)=Dashboard!$D$9),OR(Dashboard!$J$9="All",TRIM('INPUT - Bookings'!$D1079)=Dashboard!$J$9)),1,0))</f>
        <v/>
      </c>
      <c r="BC1079" s="244">
        <f>IF(AND(BB1079=1,ISNUMBER('INPUT - Bookings'!$E1079),'INPUT - Bookings'!$E1079&gt;=Settings!$C$8,'INPUT - Bookings'!$E1079&lt;=Settings!$C$8+14,IFERROR(INDEX(Settings!$Q$14:$Q$24,MATCH('INPUT - Bookings'!$G1079,Settings!$P$14:$P$24,0)),"Yes")="Yes"),'INPUT - Bookings'!$E1079+ROW()/100000,"")</f>
        <v/>
      </c>
    </row>
    <row r="1080">
      <c r="BB1080" s="244">
        <f>IF('INPUT - Bookings'!$B1080="",0,IF(AND(OR(Dashboard!$D$9="All",TRIM('INPUT - Bookings'!$C1080)=Dashboard!$D$9),OR(Dashboard!$J$9="All",TRIM('INPUT - Bookings'!$D1080)=Dashboard!$J$9)),1,0))</f>
        <v/>
      </c>
      <c r="BC1080" s="244">
        <f>IF(AND(BB1080=1,ISNUMBER('INPUT - Bookings'!$E1080),'INPUT - Bookings'!$E1080&gt;=Settings!$C$8,'INPUT - Bookings'!$E1080&lt;=Settings!$C$8+14,IFERROR(INDEX(Settings!$Q$14:$Q$24,MATCH('INPUT - Bookings'!$G1080,Settings!$P$14:$P$24,0)),"Yes")="Yes"),'INPUT - Bookings'!$E1080+ROW()/100000,"")</f>
        <v/>
      </c>
    </row>
    <row r="1081">
      <c r="BB1081" s="244">
        <f>IF('INPUT - Bookings'!$B1081="",0,IF(AND(OR(Dashboard!$D$9="All",TRIM('INPUT - Bookings'!$C1081)=Dashboard!$D$9),OR(Dashboard!$J$9="All",TRIM('INPUT - Bookings'!$D1081)=Dashboard!$J$9)),1,0))</f>
        <v/>
      </c>
      <c r="BC1081" s="244">
        <f>IF(AND(BB1081=1,ISNUMBER('INPUT - Bookings'!$E1081),'INPUT - Bookings'!$E1081&gt;=Settings!$C$8,'INPUT - Bookings'!$E1081&lt;=Settings!$C$8+14,IFERROR(INDEX(Settings!$Q$14:$Q$24,MATCH('INPUT - Bookings'!$G1081,Settings!$P$14:$P$24,0)),"Yes")="Yes"),'INPUT - Bookings'!$E1081+ROW()/100000,"")</f>
        <v/>
      </c>
    </row>
    <row r="1082">
      <c r="BB1082" s="244">
        <f>IF('INPUT - Bookings'!$B1082="",0,IF(AND(OR(Dashboard!$D$9="All",TRIM('INPUT - Bookings'!$C1082)=Dashboard!$D$9),OR(Dashboard!$J$9="All",TRIM('INPUT - Bookings'!$D1082)=Dashboard!$J$9)),1,0))</f>
        <v/>
      </c>
      <c r="BC1082" s="244">
        <f>IF(AND(BB1082=1,ISNUMBER('INPUT - Bookings'!$E1082),'INPUT - Bookings'!$E1082&gt;=Settings!$C$8,'INPUT - Bookings'!$E1082&lt;=Settings!$C$8+14,IFERROR(INDEX(Settings!$Q$14:$Q$24,MATCH('INPUT - Bookings'!$G1082,Settings!$P$14:$P$24,0)),"Yes")="Yes"),'INPUT - Bookings'!$E1082+ROW()/100000,"")</f>
        <v/>
      </c>
    </row>
    <row r="1083">
      <c r="BB1083" s="244">
        <f>IF('INPUT - Bookings'!$B1083="",0,IF(AND(OR(Dashboard!$D$9="All",TRIM('INPUT - Bookings'!$C1083)=Dashboard!$D$9),OR(Dashboard!$J$9="All",TRIM('INPUT - Bookings'!$D1083)=Dashboard!$J$9)),1,0))</f>
        <v/>
      </c>
      <c r="BC1083" s="244">
        <f>IF(AND(BB1083=1,ISNUMBER('INPUT - Bookings'!$E1083),'INPUT - Bookings'!$E1083&gt;=Settings!$C$8,'INPUT - Bookings'!$E1083&lt;=Settings!$C$8+14,IFERROR(INDEX(Settings!$Q$14:$Q$24,MATCH('INPUT - Bookings'!$G1083,Settings!$P$14:$P$24,0)),"Yes")="Yes"),'INPUT - Bookings'!$E1083+ROW()/100000,"")</f>
        <v/>
      </c>
    </row>
    <row r="1084">
      <c r="BB1084" s="244">
        <f>IF('INPUT - Bookings'!$B1084="",0,IF(AND(OR(Dashboard!$D$9="All",TRIM('INPUT - Bookings'!$C1084)=Dashboard!$D$9),OR(Dashboard!$J$9="All",TRIM('INPUT - Bookings'!$D1084)=Dashboard!$J$9)),1,0))</f>
        <v/>
      </c>
      <c r="BC1084" s="244">
        <f>IF(AND(BB1084=1,ISNUMBER('INPUT - Bookings'!$E1084),'INPUT - Bookings'!$E1084&gt;=Settings!$C$8,'INPUT - Bookings'!$E1084&lt;=Settings!$C$8+14,IFERROR(INDEX(Settings!$Q$14:$Q$24,MATCH('INPUT - Bookings'!$G1084,Settings!$P$14:$P$24,0)),"Yes")="Yes"),'INPUT - Bookings'!$E1084+ROW()/100000,"")</f>
        <v/>
      </c>
    </row>
    <row r="1085">
      <c r="BB1085" s="244">
        <f>IF('INPUT - Bookings'!$B1085="",0,IF(AND(OR(Dashboard!$D$9="All",TRIM('INPUT - Bookings'!$C1085)=Dashboard!$D$9),OR(Dashboard!$J$9="All",TRIM('INPUT - Bookings'!$D1085)=Dashboard!$J$9)),1,0))</f>
        <v/>
      </c>
      <c r="BC1085" s="244">
        <f>IF(AND(BB1085=1,ISNUMBER('INPUT - Bookings'!$E1085),'INPUT - Bookings'!$E1085&gt;=Settings!$C$8,'INPUT - Bookings'!$E1085&lt;=Settings!$C$8+14,IFERROR(INDEX(Settings!$Q$14:$Q$24,MATCH('INPUT - Bookings'!$G1085,Settings!$P$14:$P$24,0)),"Yes")="Yes"),'INPUT - Bookings'!$E1085+ROW()/100000,"")</f>
        <v/>
      </c>
    </row>
    <row r="1086">
      <c r="BB1086" s="244">
        <f>IF('INPUT - Bookings'!$B1086="",0,IF(AND(OR(Dashboard!$D$9="All",TRIM('INPUT - Bookings'!$C1086)=Dashboard!$D$9),OR(Dashboard!$J$9="All",TRIM('INPUT - Bookings'!$D1086)=Dashboard!$J$9)),1,0))</f>
        <v/>
      </c>
      <c r="BC1086" s="244">
        <f>IF(AND(BB1086=1,ISNUMBER('INPUT - Bookings'!$E1086),'INPUT - Bookings'!$E1086&gt;=Settings!$C$8,'INPUT - Bookings'!$E1086&lt;=Settings!$C$8+14,IFERROR(INDEX(Settings!$Q$14:$Q$24,MATCH('INPUT - Bookings'!$G1086,Settings!$P$14:$P$24,0)),"Yes")="Yes"),'INPUT - Bookings'!$E1086+ROW()/100000,"")</f>
        <v/>
      </c>
    </row>
    <row r="1087">
      <c r="BB1087" s="244">
        <f>IF('INPUT - Bookings'!$B1087="",0,IF(AND(OR(Dashboard!$D$9="All",TRIM('INPUT - Bookings'!$C1087)=Dashboard!$D$9),OR(Dashboard!$J$9="All",TRIM('INPUT - Bookings'!$D1087)=Dashboard!$J$9)),1,0))</f>
        <v/>
      </c>
      <c r="BC1087" s="244">
        <f>IF(AND(BB1087=1,ISNUMBER('INPUT - Bookings'!$E1087),'INPUT - Bookings'!$E1087&gt;=Settings!$C$8,'INPUT - Bookings'!$E1087&lt;=Settings!$C$8+14,IFERROR(INDEX(Settings!$Q$14:$Q$24,MATCH('INPUT - Bookings'!$G1087,Settings!$P$14:$P$24,0)),"Yes")="Yes"),'INPUT - Bookings'!$E1087+ROW()/100000,"")</f>
        <v/>
      </c>
    </row>
    <row r="1088">
      <c r="BB1088" s="244">
        <f>IF('INPUT - Bookings'!$B1088="",0,IF(AND(OR(Dashboard!$D$9="All",TRIM('INPUT - Bookings'!$C1088)=Dashboard!$D$9),OR(Dashboard!$J$9="All",TRIM('INPUT - Bookings'!$D1088)=Dashboard!$J$9)),1,0))</f>
        <v/>
      </c>
      <c r="BC1088" s="244">
        <f>IF(AND(BB1088=1,ISNUMBER('INPUT - Bookings'!$E1088),'INPUT - Bookings'!$E1088&gt;=Settings!$C$8,'INPUT - Bookings'!$E1088&lt;=Settings!$C$8+14,IFERROR(INDEX(Settings!$Q$14:$Q$24,MATCH('INPUT - Bookings'!$G1088,Settings!$P$14:$P$24,0)),"Yes")="Yes"),'INPUT - Bookings'!$E1088+ROW()/100000,"")</f>
        <v/>
      </c>
    </row>
    <row r="1089">
      <c r="BB1089" s="244">
        <f>IF('INPUT - Bookings'!$B1089="",0,IF(AND(OR(Dashboard!$D$9="All",TRIM('INPUT - Bookings'!$C1089)=Dashboard!$D$9),OR(Dashboard!$J$9="All",TRIM('INPUT - Bookings'!$D1089)=Dashboard!$J$9)),1,0))</f>
        <v/>
      </c>
      <c r="BC1089" s="244">
        <f>IF(AND(BB1089=1,ISNUMBER('INPUT - Bookings'!$E1089),'INPUT - Bookings'!$E1089&gt;=Settings!$C$8,'INPUT - Bookings'!$E1089&lt;=Settings!$C$8+14,IFERROR(INDEX(Settings!$Q$14:$Q$24,MATCH('INPUT - Bookings'!$G1089,Settings!$P$14:$P$24,0)),"Yes")="Yes"),'INPUT - Bookings'!$E1089+ROW()/100000,"")</f>
        <v/>
      </c>
    </row>
    <row r="1090">
      <c r="BB1090" s="244">
        <f>IF('INPUT - Bookings'!$B1090="",0,IF(AND(OR(Dashboard!$D$9="All",TRIM('INPUT - Bookings'!$C1090)=Dashboard!$D$9),OR(Dashboard!$J$9="All",TRIM('INPUT - Bookings'!$D1090)=Dashboard!$J$9)),1,0))</f>
        <v/>
      </c>
      <c r="BC1090" s="244">
        <f>IF(AND(BB1090=1,ISNUMBER('INPUT - Bookings'!$E1090),'INPUT - Bookings'!$E1090&gt;=Settings!$C$8,'INPUT - Bookings'!$E1090&lt;=Settings!$C$8+14,IFERROR(INDEX(Settings!$Q$14:$Q$24,MATCH('INPUT - Bookings'!$G1090,Settings!$P$14:$P$24,0)),"Yes")="Yes"),'INPUT - Bookings'!$E1090+ROW()/100000,"")</f>
        <v/>
      </c>
    </row>
    <row r="1091">
      <c r="BB1091" s="244">
        <f>IF('INPUT - Bookings'!$B1091="",0,IF(AND(OR(Dashboard!$D$9="All",TRIM('INPUT - Bookings'!$C1091)=Dashboard!$D$9),OR(Dashboard!$J$9="All",TRIM('INPUT - Bookings'!$D1091)=Dashboard!$J$9)),1,0))</f>
        <v/>
      </c>
      <c r="BC1091" s="244">
        <f>IF(AND(BB1091=1,ISNUMBER('INPUT - Bookings'!$E1091),'INPUT - Bookings'!$E1091&gt;=Settings!$C$8,'INPUT - Bookings'!$E1091&lt;=Settings!$C$8+14,IFERROR(INDEX(Settings!$Q$14:$Q$24,MATCH('INPUT - Bookings'!$G1091,Settings!$P$14:$P$24,0)),"Yes")="Yes"),'INPUT - Bookings'!$E1091+ROW()/100000,"")</f>
        <v/>
      </c>
    </row>
    <row r="1092">
      <c r="BB1092" s="244">
        <f>IF('INPUT - Bookings'!$B1092="",0,IF(AND(OR(Dashboard!$D$9="All",TRIM('INPUT - Bookings'!$C1092)=Dashboard!$D$9),OR(Dashboard!$J$9="All",TRIM('INPUT - Bookings'!$D1092)=Dashboard!$J$9)),1,0))</f>
        <v/>
      </c>
      <c r="BC1092" s="244">
        <f>IF(AND(BB1092=1,ISNUMBER('INPUT - Bookings'!$E1092),'INPUT - Bookings'!$E1092&gt;=Settings!$C$8,'INPUT - Bookings'!$E1092&lt;=Settings!$C$8+14,IFERROR(INDEX(Settings!$Q$14:$Q$24,MATCH('INPUT - Bookings'!$G1092,Settings!$P$14:$P$24,0)),"Yes")="Yes"),'INPUT - Bookings'!$E1092+ROW()/100000,"")</f>
        <v/>
      </c>
    </row>
    <row r="1093">
      <c r="BB1093" s="244">
        <f>IF('INPUT - Bookings'!$B1093="",0,IF(AND(OR(Dashboard!$D$9="All",TRIM('INPUT - Bookings'!$C1093)=Dashboard!$D$9),OR(Dashboard!$J$9="All",TRIM('INPUT - Bookings'!$D1093)=Dashboard!$J$9)),1,0))</f>
        <v/>
      </c>
      <c r="BC1093" s="244">
        <f>IF(AND(BB1093=1,ISNUMBER('INPUT - Bookings'!$E1093),'INPUT - Bookings'!$E1093&gt;=Settings!$C$8,'INPUT - Bookings'!$E1093&lt;=Settings!$C$8+14,IFERROR(INDEX(Settings!$Q$14:$Q$24,MATCH('INPUT - Bookings'!$G1093,Settings!$P$14:$P$24,0)),"Yes")="Yes"),'INPUT - Bookings'!$E1093+ROW()/100000,"")</f>
        <v/>
      </c>
    </row>
    <row r="1094">
      <c r="BB1094" s="244">
        <f>IF('INPUT - Bookings'!$B1094="",0,IF(AND(OR(Dashboard!$D$9="All",TRIM('INPUT - Bookings'!$C1094)=Dashboard!$D$9),OR(Dashboard!$J$9="All",TRIM('INPUT - Bookings'!$D1094)=Dashboard!$J$9)),1,0))</f>
        <v/>
      </c>
      <c r="BC1094" s="244">
        <f>IF(AND(BB1094=1,ISNUMBER('INPUT - Bookings'!$E1094),'INPUT - Bookings'!$E1094&gt;=Settings!$C$8,'INPUT - Bookings'!$E1094&lt;=Settings!$C$8+14,IFERROR(INDEX(Settings!$Q$14:$Q$24,MATCH('INPUT - Bookings'!$G1094,Settings!$P$14:$P$24,0)),"Yes")="Yes"),'INPUT - Bookings'!$E1094+ROW()/100000,"")</f>
        <v/>
      </c>
    </row>
    <row r="1095">
      <c r="BB1095" s="244">
        <f>IF('INPUT - Bookings'!$B1095="",0,IF(AND(OR(Dashboard!$D$9="All",TRIM('INPUT - Bookings'!$C1095)=Dashboard!$D$9),OR(Dashboard!$J$9="All",TRIM('INPUT - Bookings'!$D1095)=Dashboard!$J$9)),1,0))</f>
        <v/>
      </c>
      <c r="BC1095" s="244">
        <f>IF(AND(BB1095=1,ISNUMBER('INPUT - Bookings'!$E1095),'INPUT - Bookings'!$E1095&gt;=Settings!$C$8,'INPUT - Bookings'!$E1095&lt;=Settings!$C$8+14,IFERROR(INDEX(Settings!$Q$14:$Q$24,MATCH('INPUT - Bookings'!$G1095,Settings!$P$14:$P$24,0)),"Yes")="Yes"),'INPUT - Bookings'!$E1095+ROW()/100000,"")</f>
        <v/>
      </c>
    </row>
    <row r="1096">
      <c r="BB1096" s="244">
        <f>IF('INPUT - Bookings'!$B1096="",0,IF(AND(OR(Dashboard!$D$9="All",TRIM('INPUT - Bookings'!$C1096)=Dashboard!$D$9),OR(Dashboard!$J$9="All",TRIM('INPUT - Bookings'!$D1096)=Dashboard!$J$9)),1,0))</f>
        <v/>
      </c>
      <c r="BC1096" s="244">
        <f>IF(AND(BB1096=1,ISNUMBER('INPUT - Bookings'!$E1096),'INPUT - Bookings'!$E1096&gt;=Settings!$C$8,'INPUT - Bookings'!$E1096&lt;=Settings!$C$8+14,IFERROR(INDEX(Settings!$Q$14:$Q$24,MATCH('INPUT - Bookings'!$G1096,Settings!$P$14:$P$24,0)),"Yes")="Yes"),'INPUT - Bookings'!$E1096+ROW()/100000,"")</f>
        <v/>
      </c>
    </row>
    <row r="1097">
      <c r="BB1097" s="244">
        <f>IF('INPUT - Bookings'!$B1097="",0,IF(AND(OR(Dashboard!$D$9="All",TRIM('INPUT - Bookings'!$C1097)=Dashboard!$D$9),OR(Dashboard!$J$9="All",TRIM('INPUT - Bookings'!$D1097)=Dashboard!$J$9)),1,0))</f>
        <v/>
      </c>
      <c r="BC1097" s="244">
        <f>IF(AND(BB1097=1,ISNUMBER('INPUT - Bookings'!$E1097),'INPUT - Bookings'!$E1097&gt;=Settings!$C$8,'INPUT - Bookings'!$E1097&lt;=Settings!$C$8+14,IFERROR(INDEX(Settings!$Q$14:$Q$24,MATCH('INPUT - Bookings'!$G1097,Settings!$P$14:$P$24,0)),"Yes")="Yes"),'INPUT - Bookings'!$E1097+ROW()/100000,"")</f>
        <v/>
      </c>
    </row>
    <row r="1098">
      <c r="BB1098" s="244">
        <f>IF('INPUT - Bookings'!$B1098="",0,IF(AND(OR(Dashboard!$D$9="All",TRIM('INPUT - Bookings'!$C1098)=Dashboard!$D$9),OR(Dashboard!$J$9="All",TRIM('INPUT - Bookings'!$D1098)=Dashboard!$J$9)),1,0))</f>
        <v/>
      </c>
      <c r="BC1098" s="244">
        <f>IF(AND(BB1098=1,ISNUMBER('INPUT - Bookings'!$E1098),'INPUT - Bookings'!$E1098&gt;=Settings!$C$8,'INPUT - Bookings'!$E1098&lt;=Settings!$C$8+14,IFERROR(INDEX(Settings!$Q$14:$Q$24,MATCH('INPUT - Bookings'!$G1098,Settings!$P$14:$P$24,0)),"Yes")="Yes"),'INPUT - Bookings'!$E1098+ROW()/100000,"")</f>
        <v/>
      </c>
    </row>
    <row r="1099">
      <c r="BB1099" s="244">
        <f>IF('INPUT - Bookings'!$B1099="",0,IF(AND(OR(Dashboard!$D$9="All",TRIM('INPUT - Bookings'!$C1099)=Dashboard!$D$9),OR(Dashboard!$J$9="All",TRIM('INPUT - Bookings'!$D1099)=Dashboard!$J$9)),1,0))</f>
        <v/>
      </c>
      <c r="BC1099" s="244">
        <f>IF(AND(BB1099=1,ISNUMBER('INPUT - Bookings'!$E1099),'INPUT - Bookings'!$E1099&gt;=Settings!$C$8,'INPUT - Bookings'!$E1099&lt;=Settings!$C$8+14,IFERROR(INDEX(Settings!$Q$14:$Q$24,MATCH('INPUT - Bookings'!$G1099,Settings!$P$14:$P$24,0)),"Yes")="Yes"),'INPUT - Bookings'!$E1099+ROW()/100000,"")</f>
        <v/>
      </c>
    </row>
    <row r="1100">
      <c r="BB1100" s="244">
        <f>IF('INPUT - Bookings'!$B1100="",0,IF(AND(OR(Dashboard!$D$9="All",TRIM('INPUT - Bookings'!$C1100)=Dashboard!$D$9),OR(Dashboard!$J$9="All",TRIM('INPUT - Bookings'!$D1100)=Dashboard!$J$9)),1,0))</f>
        <v/>
      </c>
      <c r="BC1100" s="244">
        <f>IF(AND(BB1100=1,ISNUMBER('INPUT - Bookings'!$E1100),'INPUT - Bookings'!$E1100&gt;=Settings!$C$8,'INPUT - Bookings'!$E1100&lt;=Settings!$C$8+14,IFERROR(INDEX(Settings!$Q$14:$Q$24,MATCH('INPUT - Bookings'!$G1100,Settings!$P$14:$P$24,0)),"Yes")="Yes"),'INPUT - Bookings'!$E1100+ROW()/100000,"")</f>
        <v/>
      </c>
    </row>
    <row r="1101">
      <c r="BB1101" s="244">
        <f>IF('INPUT - Bookings'!$B1101="",0,IF(AND(OR(Dashboard!$D$9="All",TRIM('INPUT - Bookings'!$C1101)=Dashboard!$D$9),OR(Dashboard!$J$9="All",TRIM('INPUT - Bookings'!$D1101)=Dashboard!$J$9)),1,0))</f>
        <v/>
      </c>
      <c r="BC1101" s="244">
        <f>IF(AND(BB1101=1,ISNUMBER('INPUT - Bookings'!$E1101),'INPUT - Bookings'!$E1101&gt;=Settings!$C$8,'INPUT - Bookings'!$E1101&lt;=Settings!$C$8+14,IFERROR(INDEX(Settings!$Q$14:$Q$24,MATCH('INPUT - Bookings'!$G1101,Settings!$P$14:$P$24,0)),"Yes")="Yes"),'INPUT - Bookings'!$E1101+ROW()/100000,"")</f>
        <v/>
      </c>
    </row>
    <row r="1102">
      <c r="BB1102" s="244">
        <f>IF('INPUT - Bookings'!$B1102="",0,IF(AND(OR(Dashboard!$D$9="All",TRIM('INPUT - Bookings'!$C1102)=Dashboard!$D$9),OR(Dashboard!$J$9="All",TRIM('INPUT - Bookings'!$D1102)=Dashboard!$J$9)),1,0))</f>
        <v/>
      </c>
      <c r="BC1102" s="244">
        <f>IF(AND(BB1102=1,ISNUMBER('INPUT - Bookings'!$E1102),'INPUT - Bookings'!$E1102&gt;=Settings!$C$8,'INPUT - Bookings'!$E1102&lt;=Settings!$C$8+14,IFERROR(INDEX(Settings!$Q$14:$Q$24,MATCH('INPUT - Bookings'!$G1102,Settings!$P$14:$P$24,0)),"Yes")="Yes"),'INPUT - Bookings'!$E1102+ROW()/100000,"")</f>
        <v/>
      </c>
    </row>
    <row r="1103">
      <c r="BB1103" s="244">
        <f>IF('INPUT - Bookings'!$B1103="",0,IF(AND(OR(Dashboard!$D$9="All",TRIM('INPUT - Bookings'!$C1103)=Dashboard!$D$9),OR(Dashboard!$J$9="All",TRIM('INPUT - Bookings'!$D1103)=Dashboard!$J$9)),1,0))</f>
        <v/>
      </c>
      <c r="BC1103" s="244">
        <f>IF(AND(BB1103=1,ISNUMBER('INPUT - Bookings'!$E1103),'INPUT - Bookings'!$E1103&gt;=Settings!$C$8,'INPUT - Bookings'!$E1103&lt;=Settings!$C$8+14,IFERROR(INDEX(Settings!$Q$14:$Q$24,MATCH('INPUT - Bookings'!$G1103,Settings!$P$14:$P$24,0)),"Yes")="Yes"),'INPUT - Bookings'!$E1103+ROW()/100000,"")</f>
        <v/>
      </c>
    </row>
    <row r="1104">
      <c r="BB1104" s="244">
        <f>IF('INPUT - Bookings'!$B1104="",0,IF(AND(OR(Dashboard!$D$9="All",TRIM('INPUT - Bookings'!$C1104)=Dashboard!$D$9),OR(Dashboard!$J$9="All",TRIM('INPUT - Bookings'!$D1104)=Dashboard!$J$9)),1,0))</f>
        <v/>
      </c>
      <c r="BC1104" s="244">
        <f>IF(AND(BB1104=1,ISNUMBER('INPUT - Bookings'!$E1104),'INPUT - Bookings'!$E1104&gt;=Settings!$C$8,'INPUT - Bookings'!$E1104&lt;=Settings!$C$8+14,IFERROR(INDEX(Settings!$Q$14:$Q$24,MATCH('INPUT - Bookings'!$G1104,Settings!$P$14:$P$24,0)),"Yes")="Yes"),'INPUT - Bookings'!$E1104+ROW()/100000,"")</f>
        <v/>
      </c>
    </row>
    <row r="1105">
      <c r="BB1105" s="244">
        <f>IF('INPUT - Bookings'!$B1105="",0,IF(AND(OR(Dashboard!$D$9="All",TRIM('INPUT - Bookings'!$C1105)=Dashboard!$D$9),OR(Dashboard!$J$9="All",TRIM('INPUT - Bookings'!$D1105)=Dashboard!$J$9)),1,0))</f>
        <v/>
      </c>
      <c r="BC1105" s="244">
        <f>IF(AND(BB1105=1,ISNUMBER('INPUT - Bookings'!$E1105),'INPUT - Bookings'!$E1105&gt;=Settings!$C$8,'INPUT - Bookings'!$E1105&lt;=Settings!$C$8+14,IFERROR(INDEX(Settings!$Q$14:$Q$24,MATCH('INPUT - Bookings'!$G1105,Settings!$P$14:$P$24,0)),"Yes")="Yes"),'INPUT - Bookings'!$E1105+ROW()/100000,"")</f>
        <v/>
      </c>
    </row>
    <row r="1106">
      <c r="BB1106" s="244">
        <f>IF('INPUT - Bookings'!$B1106="",0,IF(AND(OR(Dashboard!$D$9="All",TRIM('INPUT - Bookings'!$C1106)=Dashboard!$D$9),OR(Dashboard!$J$9="All",TRIM('INPUT - Bookings'!$D1106)=Dashboard!$J$9)),1,0))</f>
        <v/>
      </c>
      <c r="BC1106" s="244">
        <f>IF(AND(BB1106=1,ISNUMBER('INPUT - Bookings'!$E1106),'INPUT - Bookings'!$E1106&gt;=Settings!$C$8,'INPUT - Bookings'!$E1106&lt;=Settings!$C$8+14,IFERROR(INDEX(Settings!$Q$14:$Q$24,MATCH('INPUT - Bookings'!$G1106,Settings!$P$14:$P$24,0)),"Yes")="Yes"),'INPUT - Bookings'!$E1106+ROW()/100000,"")</f>
        <v/>
      </c>
    </row>
    <row r="1107">
      <c r="BB1107" s="244">
        <f>IF('INPUT - Bookings'!$B1107="",0,IF(AND(OR(Dashboard!$D$9="All",TRIM('INPUT - Bookings'!$C1107)=Dashboard!$D$9),OR(Dashboard!$J$9="All",TRIM('INPUT - Bookings'!$D1107)=Dashboard!$J$9)),1,0))</f>
        <v/>
      </c>
      <c r="BC1107" s="244">
        <f>IF(AND(BB1107=1,ISNUMBER('INPUT - Bookings'!$E1107),'INPUT - Bookings'!$E1107&gt;=Settings!$C$8,'INPUT - Bookings'!$E1107&lt;=Settings!$C$8+14,IFERROR(INDEX(Settings!$Q$14:$Q$24,MATCH('INPUT - Bookings'!$G1107,Settings!$P$14:$P$24,0)),"Yes")="Yes"),'INPUT - Bookings'!$E1107+ROW()/100000,"")</f>
        <v/>
      </c>
    </row>
    <row r="1108">
      <c r="BB1108" s="244">
        <f>IF('INPUT - Bookings'!$B1108="",0,IF(AND(OR(Dashboard!$D$9="All",TRIM('INPUT - Bookings'!$C1108)=Dashboard!$D$9),OR(Dashboard!$J$9="All",TRIM('INPUT - Bookings'!$D1108)=Dashboard!$J$9)),1,0))</f>
        <v/>
      </c>
      <c r="BC1108" s="244">
        <f>IF(AND(BB1108=1,ISNUMBER('INPUT - Bookings'!$E1108),'INPUT - Bookings'!$E1108&gt;=Settings!$C$8,'INPUT - Bookings'!$E1108&lt;=Settings!$C$8+14,IFERROR(INDEX(Settings!$Q$14:$Q$24,MATCH('INPUT - Bookings'!$G1108,Settings!$P$14:$P$24,0)),"Yes")="Yes"),'INPUT - Bookings'!$E1108+ROW()/100000,"")</f>
        <v/>
      </c>
    </row>
    <row r="1109">
      <c r="BB1109" s="244">
        <f>IF('INPUT - Bookings'!$B1109="",0,IF(AND(OR(Dashboard!$D$9="All",TRIM('INPUT - Bookings'!$C1109)=Dashboard!$D$9),OR(Dashboard!$J$9="All",TRIM('INPUT - Bookings'!$D1109)=Dashboard!$J$9)),1,0))</f>
        <v/>
      </c>
      <c r="BC1109" s="244">
        <f>IF(AND(BB1109=1,ISNUMBER('INPUT - Bookings'!$E1109),'INPUT - Bookings'!$E1109&gt;=Settings!$C$8,'INPUT - Bookings'!$E1109&lt;=Settings!$C$8+14,IFERROR(INDEX(Settings!$Q$14:$Q$24,MATCH('INPUT - Bookings'!$G1109,Settings!$P$14:$P$24,0)),"Yes")="Yes"),'INPUT - Bookings'!$E1109+ROW()/100000,"")</f>
        <v/>
      </c>
    </row>
    <row r="1110">
      <c r="BB1110" s="244">
        <f>IF('INPUT - Bookings'!$B1110="",0,IF(AND(OR(Dashboard!$D$9="All",TRIM('INPUT - Bookings'!$C1110)=Dashboard!$D$9),OR(Dashboard!$J$9="All",TRIM('INPUT - Bookings'!$D1110)=Dashboard!$J$9)),1,0))</f>
        <v/>
      </c>
      <c r="BC1110" s="244">
        <f>IF(AND(BB1110=1,ISNUMBER('INPUT - Bookings'!$E1110),'INPUT - Bookings'!$E1110&gt;=Settings!$C$8,'INPUT - Bookings'!$E1110&lt;=Settings!$C$8+14,IFERROR(INDEX(Settings!$Q$14:$Q$24,MATCH('INPUT - Bookings'!$G1110,Settings!$P$14:$P$24,0)),"Yes")="Yes"),'INPUT - Bookings'!$E1110+ROW()/100000,"")</f>
        <v/>
      </c>
    </row>
    <row r="1111">
      <c r="BB1111" s="244">
        <f>IF('INPUT - Bookings'!$B1111="",0,IF(AND(OR(Dashboard!$D$9="All",TRIM('INPUT - Bookings'!$C1111)=Dashboard!$D$9),OR(Dashboard!$J$9="All",TRIM('INPUT - Bookings'!$D1111)=Dashboard!$J$9)),1,0))</f>
        <v/>
      </c>
      <c r="BC1111" s="244">
        <f>IF(AND(BB1111=1,ISNUMBER('INPUT - Bookings'!$E1111),'INPUT - Bookings'!$E1111&gt;=Settings!$C$8,'INPUT - Bookings'!$E1111&lt;=Settings!$C$8+14,IFERROR(INDEX(Settings!$Q$14:$Q$24,MATCH('INPUT - Bookings'!$G1111,Settings!$P$14:$P$24,0)),"Yes")="Yes"),'INPUT - Bookings'!$E1111+ROW()/100000,"")</f>
        <v/>
      </c>
    </row>
    <row r="1112">
      <c r="BB1112" s="244">
        <f>IF('INPUT - Bookings'!$B1112="",0,IF(AND(OR(Dashboard!$D$9="All",TRIM('INPUT - Bookings'!$C1112)=Dashboard!$D$9),OR(Dashboard!$J$9="All",TRIM('INPUT - Bookings'!$D1112)=Dashboard!$J$9)),1,0))</f>
        <v/>
      </c>
      <c r="BC1112" s="244">
        <f>IF(AND(BB1112=1,ISNUMBER('INPUT - Bookings'!$E1112),'INPUT - Bookings'!$E1112&gt;=Settings!$C$8,'INPUT - Bookings'!$E1112&lt;=Settings!$C$8+14,IFERROR(INDEX(Settings!$Q$14:$Q$24,MATCH('INPUT - Bookings'!$G1112,Settings!$P$14:$P$24,0)),"Yes")="Yes"),'INPUT - Bookings'!$E1112+ROW()/100000,"")</f>
        <v/>
      </c>
    </row>
    <row r="1113">
      <c r="BB1113" s="244">
        <f>IF('INPUT - Bookings'!$B1113="",0,IF(AND(OR(Dashboard!$D$9="All",TRIM('INPUT - Bookings'!$C1113)=Dashboard!$D$9),OR(Dashboard!$J$9="All",TRIM('INPUT - Bookings'!$D1113)=Dashboard!$J$9)),1,0))</f>
        <v/>
      </c>
      <c r="BC1113" s="244">
        <f>IF(AND(BB1113=1,ISNUMBER('INPUT - Bookings'!$E1113),'INPUT - Bookings'!$E1113&gt;=Settings!$C$8,'INPUT - Bookings'!$E1113&lt;=Settings!$C$8+14,IFERROR(INDEX(Settings!$Q$14:$Q$24,MATCH('INPUT - Bookings'!$G1113,Settings!$P$14:$P$24,0)),"Yes")="Yes"),'INPUT - Bookings'!$E1113+ROW()/100000,"")</f>
        <v/>
      </c>
    </row>
    <row r="1114">
      <c r="BB1114" s="244">
        <f>IF('INPUT - Bookings'!$B1114="",0,IF(AND(OR(Dashboard!$D$9="All",TRIM('INPUT - Bookings'!$C1114)=Dashboard!$D$9),OR(Dashboard!$J$9="All",TRIM('INPUT - Bookings'!$D1114)=Dashboard!$J$9)),1,0))</f>
        <v/>
      </c>
      <c r="BC1114" s="244">
        <f>IF(AND(BB1114=1,ISNUMBER('INPUT - Bookings'!$E1114),'INPUT - Bookings'!$E1114&gt;=Settings!$C$8,'INPUT - Bookings'!$E1114&lt;=Settings!$C$8+14,IFERROR(INDEX(Settings!$Q$14:$Q$24,MATCH('INPUT - Bookings'!$G1114,Settings!$P$14:$P$24,0)),"Yes")="Yes"),'INPUT - Bookings'!$E1114+ROW()/100000,"")</f>
        <v/>
      </c>
    </row>
    <row r="1115">
      <c r="BB1115" s="244">
        <f>IF('INPUT - Bookings'!$B1115="",0,IF(AND(OR(Dashboard!$D$9="All",TRIM('INPUT - Bookings'!$C1115)=Dashboard!$D$9),OR(Dashboard!$J$9="All",TRIM('INPUT - Bookings'!$D1115)=Dashboard!$J$9)),1,0))</f>
        <v/>
      </c>
      <c r="BC1115" s="244">
        <f>IF(AND(BB1115=1,ISNUMBER('INPUT - Bookings'!$E1115),'INPUT - Bookings'!$E1115&gt;=Settings!$C$8,'INPUT - Bookings'!$E1115&lt;=Settings!$C$8+14,IFERROR(INDEX(Settings!$Q$14:$Q$24,MATCH('INPUT - Bookings'!$G1115,Settings!$P$14:$P$24,0)),"Yes")="Yes"),'INPUT - Bookings'!$E1115+ROW()/100000,"")</f>
        <v/>
      </c>
    </row>
    <row r="1116">
      <c r="BB1116" s="244">
        <f>IF('INPUT - Bookings'!$B1116="",0,IF(AND(OR(Dashboard!$D$9="All",TRIM('INPUT - Bookings'!$C1116)=Dashboard!$D$9),OR(Dashboard!$J$9="All",TRIM('INPUT - Bookings'!$D1116)=Dashboard!$J$9)),1,0))</f>
        <v/>
      </c>
      <c r="BC1116" s="244">
        <f>IF(AND(BB1116=1,ISNUMBER('INPUT - Bookings'!$E1116),'INPUT - Bookings'!$E1116&gt;=Settings!$C$8,'INPUT - Bookings'!$E1116&lt;=Settings!$C$8+14,IFERROR(INDEX(Settings!$Q$14:$Q$24,MATCH('INPUT - Bookings'!$G1116,Settings!$P$14:$P$24,0)),"Yes")="Yes"),'INPUT - Bookings'!$E1116+ROW()/100000,"")</f>
        <v/>
      </c>
    </row>
    <row r="1117">
      <c r="BB1117" s="244">
        <f>IF('INPUT - Bookings'!$B1117="",0,IF(AND(OR(Dashboard!$D$9="All",TRIM('INPUT - Bookings'!$C1117)=Dashboard!$D$9),OR(Dashboard!$J$9="All",TRIM('INPUT - Bookings'!$D1117)=Dashboard!$J$9)),1,0))</f>
        <v/>
      </c>
      <c r="BC1117" s="244">
        <f>IF(AND(BB1117=1,ISNUMBER('INPUT - Bookings'!$E1117),'INPUT - Bookings'!$E1117&gt;=Settings!$C$8,'INPUT - Bookings'!$E1117&lt;=Settings!$C$8+14,IFERROR(INDEX(Settings!$Q$14:$Q$24,MATCH('INPUT - Bookings'!$G1117,Settings!$P$14:$P$24,0)),"Yes")="Yes"),'INPUT - Bookings'!$E1117+ROW()/100000,"")</f>
        <v/>
      </c>
    </row>
    <row r="1118">
      <c r="BB1118" s="244">
        <f>IF('INPUT - Bookings'!$B1118="",0,IF(AND(OR(Dashboard!$D$9="All",TRIM('INPUT - Bookings'!$C1118)=Dashboard!$D$9),OR(Dashboard!$J$9="All",TRIM('INPUT - Bookings'!$D1118)=Dashboard!$J$9)),1,0))</f>
        <v/>
      </c>
      <c r="BC1118" s="244">
        <f>IF(AND(BB1118=1,ISNUMBER('INPUT - Bookings'!$E1118),'INPUT - Bookings'!$E1118&gt;=Settings!$C$8,'INPUT - Bookings'!$E1118&lt;=Settings!$C$8+14,IFERROR(INDEX(Settings!$Q$14:$Q$24,MATCH('INPUT - Bookings'!$G1118,Settings!$P$14:$P$24,0)),"Yes")="Yes"),'INPUT - Bookings'!$E1118+ROW()/100000,"")</f>
        <v/>
      </c>
    </row>
    <row r="1119">
      <c r="BB1119" s="244">
        <f>IF('INPUT - Bookings'!$B1119="",0,IF(AND(OR(Dashboard!$D$9="All",TRIM('INPUT - Bookings'!$C1119)=Dashboard!$D$9),OR(Dashboard!$J$9="All",TRIM('INPUT - Bookings'!$D1119)=Dashboard!$J$9)),1,0))</f>
        <v/>
      </c>
      <c r="BC1119" s="244">
        <f>IF(AND(BB1119=1,ISNUMBER('INPUT - Bookings'!$E1119),'INPUT - Bookings'!$E1119&gt;=Settings!$C$8,'INPUT - Bookings'!$E1119&lt;=Settings!$C$8+14,IFERROR(INDEX(Settings!$Q$14:$Q$24,MATCH('INPUT - Bookings'!$G1119,Settings!$P$14:$P$24,0)),"Yes")="Yes"),'INPUT - Bookings'!$E1119+ROW()/100000,"")</f>
        <v/>
      </c>
    </row>
    <row r="1120">
      <c r="BB1120" s="244">
        <f>IF('INPUT - Bookings'!$B1120="",0,IF(AND(OR(Dashboard!$D$9="All",TRIM('INPUT - Bookings'!$C1120)=Dashboard!$D$9),OR(Dashboard!$J$9="All",TRIM('INPUT - Bookings'!$D1120)=Dashboard!$J$9)),1,0))</f>
        <v/>
      </c>
      <c r="BC1120" s="244">
        <f>IF(AND(BB1120=1,ISNUMBER('INPUT - Bookings'!$E1120),'INPUT - Bookings'!$E1120&gt;=Settings!$C$8,'INPUT - Bookings'!$E1120&lt;=Settings!$C$8+14,IFERROR(INDEX(Settings!$Q$14:$Q$24,MATCH('INPUT - Bookings'!$G1120,Settings!$P$14:$P$24,0)),"Yes")="Yes"),'INPUT - Bookings'!$E1120+ROW()/100000,"")</f>
        <v/>
      </c>
    </row>
    <row r="1121">
      <c r="BB1121" s="244">
        <f>IF('INPUT - Bookings'!$B1121="",0,IF(AND(OR(Dashboard!$D$9="All",TRIM('INPUT - Bookings'!$C1121)=Dashboard!$D$9),OR(Dashboard!$J$9="All",TRIM('INPUT - Bookings'!$D1121)=Dashboard!$J$9)),1,0))</f>
        <v/>
      </c>
      <c r="BC1121" s="244">
        <f>IF(AND(BB1121=1,ISNUMBER('INPUT - Bookings'!$E1121),'INPUT - Bookings'!$E1121&gt;=Settings!$C$8,'INPUT - Bookings'!$E1121&lt;=Settings!$C$8+14,IFERROR(INDEX(Settings!$Q$14:$Q$24,MATCH('INPUT - Bookings'!$G1121,Settings!$P$14:$P$24,0)),"Yes")="Yes"),'INPUT - Bookings'!$E1121+ROW()/100000,"")</f>
        <v/>
      </c>
    </row>
    <row r="1122">
      <c r="BB1122" s="244">
        <f>IF('INPUT - Bookings'!$B1122="",0,IF(AND(OR(Dashboard!$D$9="All",TRIM('INPUT - Bookings'!$C1122)=Dashboard!$D$9),OR(Dashboard!$J$9="All",TRIM('INPUT - Bookings'!$D1122)=Dashboard!$J$9)),1,0))</f>
        <v/>
      </c>
      <c r="BC1122" s="244">
        <f>IF(AND(BB1122=1,ISNUMBER('INPUT - Bookings'!$E1122),'INPUT - Bookings'!$E1122&gt;=Settings!$C$8,'INPUT - Bookings'!$E1122&lt;=Settings!$C$8+14,IFERROR(INDEX(Settings!$Q$14:$Q$24,MATCH('INPUT - Bookings'!$G1122,Settings!$P$14:$P$24,0)),"Yes")="Yes"),'INPUT - Bookings'!$E1122+ROW()/100000,"")</f>
        <v/>
      </c>
    </row>
    <row r="1123">
      <c r="BB1123" s="244">
        <f>IF('INPUT - Bookings'!$B1123="",0,IF(AND(OR(Dashboard!$D$9="All",TRIM('INPUT - Bookings'!$C1123)=Dashboard!$D$9),OR(Dashboard!$J$9="All",TRIM('INPUT - Bookings'!$D1123)=Dashboard!$J$9)),1,0))</f>
        <v/>
      </c>
      <c r="BC1123" s="244">
        <f>IF(AND(BB1123=1,ISNUMBER('INPUT - Bookings'!$E1123),'INPUT - Bookings'!$E1123&gt;=Settings!$C$8,'INPUT - Bookings'!$E1123&lt;=Settings!$C$8+14,IFERROR(INDEX(Settings!$Q$14:$Q$24,MATCH('INPUT - Bookings'!$G1123,Settings!$P$14:$P$24,0)),"Yes")="Yes"),'INPUT - Bookings'!$E1123+ROW()/100000,"")</f>
        <v/>
      </c>
    </row>
    <row r="1124">
      <c r="BB1124" s="244">
        <f>IF('INPUT - Bookings'!$B1124="",0,IF(AND(OR(Dashboard!$D$9="All",TRIM('INPUT - Bookings'!$C1124)=Dashboard!$D$9),OR(Dashboard!$J$9="All",TRIM('INPUT - Bookings'!$D1124)=Dashboard!$J$9)),1,0))</f>
        <v/>
      </c>
      <c r="BC1124" s="244">
        <f>IF(AND(BB1124=1,ISNUMBER('INPUT - Bookings'!$E1124),'INPUT - Bookings'!$E1124&gt;=Settings!$C$8,'INPUT - Bookings'!$E1124&lt;=Settings!$C$8+14,IFERROR(INDEX(Settings!$Q$14:$Q$24,MATCH('INPUT - Bookings'!$G1124,Settings!$P$14:$P$24,0)),"Yes")="Yes"),'INPUT - Bookings'!$E1124+ROW()/100000,"")</f>
        <v/>
      </c>
    </row>
    <row r="1125">
      <c r="BB1125" s="244">
        <f>IF('INPUT - Bookings'!$B1125="",0,IF(AND(OR(Dashboard!$D$9="All",TRIM('INPUT - Bookings'!$C1125)=Dashboard!$D$9),OR(Dashboard!$J$9="All",TRIM('INPUT - Bookings'!$D1125)=Dashboard!$J$9)),1,0))</f>
        <v/>
      </c>
      <c r="BC1125" s="244">
        <f>IF(AND(BB1125=1,ISNUMBER('INPUT - Bookings'!$E1125),'INPUT - Bookings'!$E1125&gt;=Settings!$C$8,'INPUT - Bookings'!$E1125&lt;=Settings!$C$8+14,IFERROR(INDEX(Settings!$Q$14:$Q$24,MATCH('INPUT - Bookings'!$G1125,Settings!$P$14:$P$24,0)),"Yes")="Yes"),'INPUT - Bookings'!$E1125+ROW()/100000,"")</f>
        <v/>
      </c>
    </row>
    <row r="1126">
      <c r="BB1126" s="244">
        <f>IF('INPUT - Bookings'!$B1126="",0,IF(AND(OR(Dashboard!$D$9="All",TRIM('INPUT - Bookings'!$C1126)=Dashboard!$D$9),OR(Dashboard!$J$9="All",TRIM('INPUT - Bookings'!$D1126)=Dashboard!$J$9)),1,0))</f>
        <v/>
      </c>
      <c r="BC1126" s="244">
        <f>IF(AND(BB1126=1,ISNUMBER('INPUT - Bookings'!$E1126),'INPUT - Bookings'!$E1126&gt;=Settings!$C$8,'INPUT - Bookings'!$E1126&lt;=Settings!$C$8+14,IFERROR(INDEX(Settings!$Q$14:$Q$24,MATCH('INPUT - Bookings'!$G1126,Settings!$P$14:$P$24,0)),"Yes")="Yes"),'INPUT - Bookings'!$E1126+ROW()/100000,"")</f>
        <v/>
      </c>
    </row>
    <row r="1127">
      <c r="BB1127" s="244">
        <f>IF('INPUT - Bookings'!$B1127="",0,IF(AND(OR(Dashboard!$D$9="All",TRIM('INPUT - Bookings'!$C1127)=Dashboard!$D$9),OR(Dashboard!$J$9="All",TRIM('INPUT - Bookings'!$D1127)=Dashboard!$J$9)),1,0))</f>
        <v/>
      </c>
      <c r="BC1127" s="244">
        <f>IF(AND(BB1127=1,ISNUMBER('INPUT - Bookings'!$E1127),'INPUT - Bookings'!$E1127&gt;=Settings!$C$8,'INPUT - Bookings'!$E1127&lt;=Settings!$C$8+14,IFERROR(INDEX(Settings!$Q$14:$Q$24,MATCH('INPUT - Bookings'!$G1127,Settings!$P$14:$P$24,0)),"Yes")="Yes"),'INPUT - Bookings'!$E1127+ROW()/100000,"")</f>
        <v/>
      </c>
    </row>
    <row r="1128">
      <c r="BB1128" s="244">
        <f>IF('INPUT - Bookings'!$B1128="",0,IF(AND(OR(Dashboard!$D$9="All",TRIM('INPUT - Bookings'!$C1128)=Dashboard!$D$9),OR(Dashboard!$J$9="All",TRIM('INPUT - Bookings'!$D1128)=Dashboard!$J$9)),1,0))</f>
        <v/>
      </c>
      <c r="BC1128" s="244">
        <f>IF(AND(BB1128=1,ISNUMBER('INPUT - Bookings'!$E1128),'INPUT - Bookings'!$E1128&gt;=Settings!$C$8,'INPUT - Bookings'!$E1128&lt;=Settings!$C$8+14,IFERROR(INDEX(Settings!$Q$14:$Q$24,MATCH('INPUT - Bookings'!$G1128,Settings!$P$14:$P$24,0)),"Yes")="Yes"),'INPUT - Bookings'!$E1128+ROW()/100000,"")</f>
        <v/>
      </c>
    </row>
    <row r="1129">
      <c r="BB1129" s="244">
        <f>IF('INPUT - Bookings'!$B1129="",0,IF(AND(OR(Dashboard!$D$9="All",TRIM('INPUT - Bookings'!$C1129)=Dashboard!$D$9),OR(Dashboard!$J$9="All",TRIM('INPUT - Bookings'!$D1129)=Dashboard!$J$9)),1,0))</f>
        <v/>
      </c>
      <c r="BC1129" s="244">
        <f>IF(AND(BB1129=1,ISNUMBER('INPUT - Bookings'!$E1129),'INPUT - Bookings'!$E1129&gt;=Settings!$C$8,'INPUT - Bookings'!$E1129&lt;=Settings!$C$8+14,IFERROR(INDEX(Settings!$Q$14:$Q$24,MATCH('INPUT - Bookings'!$G1129,Settings!$P$14:$P$24,0)),"Yes")="Yes"),'INPUT - Bookings'!$E1129+ROW()/100000,"")</f>
        <v/>
      </c>
    </row>
    <row r="1130">
      <c r="BB1130" s="244">
        <f>IF('INPUT - Bookings'!$B1130="",0,IF(AND(OR(Dashboard!$D$9="All",TRIM('INPUT - Bookings'!$C1130)=Dashboard!$D$9),OR(Dashboard!$J$9="All",TRIM('INPUT - Bookings'!$D1130)=Dashboard!$J$9)),1,0))</f>
        <v/>
      </c>
      <c r="BC1130" s="244">
        <f>IF(AND(BB1130=1,ISNUMBER('INPUT - Bookings'!$E1130),'INPUT - Bookings'!$E1130&gt;=Settings!$C$8,'INPUT - Bookings'!$E1130&lt;=Settings!$C$8+14,IFERROR(INDEX(Settings!$Q$14:$Q$24,MATCH('INPUT - Bookings'!$G1130,Settings!$P$14:$P$24,0)),"Yes")="Yes"),'INPUT - Bookings'!$E1130+ROW()/100000,"")</f>
        <v/>
      </c>
    </row>
    <row r="1131">
      <c r="BB1131" s="244">
        <f>IF('INPUT - Bookings'!$B1131="",0,IF(AND(OR(Dashboard!$D$9="All",TRIM('INPUT - Bookings'!$C1131)=Dashboard!$D$9),OR(Dashboard!$J$9="All",TRIM('INPUT - Bookings'!$D1131)=Dashboard!$J$9)),1,0))</f>
        <v/>
      </c>
      <c r="BC1131" s="244">
        <f>IF(AND(BB1131=1,ISNUMBER('INPUT - Bookings'!$E1131),'INPUT - Bookings'!$E1131&gt;=Settings!$C$8,'INPUT - Bookings'!$E1131&lt;=Settings!$C$8+14,IFERROR(INDEX(Settings!$Q$14:$Q$24,MATCH('INPUT - Bookings'!$G1131,Settings!$P$14:$P$24,0)),"Yes")="Yes"),'INPUT - Bookings'!$E1131+ROW()/100000,"")</f>
        <v/>
      </c>
    </row>
    <row r="1132">
      <c r="BB1132" s="244">
        <f>IF('INPUT - Bookings'!$B1132="",0,IF(AND(OR(Dashboard!$D$9="All",TRIM('INPUT - Bookings'!$C1132)=Dashboard!$D$9),OR(Dashboard!$J$9="All",TRIM('INPUT - Bookings'!$D1132)=Dashboard!$J$9)),1,0))</f>
        <v/>
      </c>
      <c r="BC1132" s="244">
        <f>IF(AND(BB1132=1,ISNUMBER('INPUT - Bookings'!$E1132),'INPUT - Bookings'!$E1132&gt;=Settings!$C$8,'INPUT - Bookings'!$E1132&lt;=Settings!$C$8+14,IFERROR(INDEX(Settings!$Q$14:$Q$24,MATCH('INPUT - Bookings'!$G1132,Settings!$P$14:$P$24,0)),"Yes")="Yes"),'INPUT - Bookings'!$E1132+ROW()/100000,"")</f>
        <v/>
      </c>
    </row>
    <row r="1133">
      <c r="BB1133" s="244">
        <f>IF('INPUT - Bookings'!$B1133="",0,IF(AND(OR(Dashboard!$D$9="All",TRIM('INPUT - Bookings'!$C1133)=Dashboard!$D$9),OR(Dashboard!$J$9="All",TRIM('INPUT - Bookings'!$D1133)=Dashboard!$J$9)),1,0))</f>
        <v/>
      </c>
      <c r="BC1133" s="244">
        <f>IF(AND(BB1133=1,ISNUMBER('INPUT - Bookings'!$E1133),'INPUT - Bookings'!$E1133&gt;=Settings!$C$8,'INPUT - Bookings'!$E1133&lt;=Settings!$C$8+14,IFERROR(INDEX(Settings!$Q$14:$Q$24,MATCH('INPUT - Bookings'!$G1133,Settings!$P$14:$P$24,0)),"Yes")="Yes"),'INPUT - Bookings'!$E1133+ROW()/100000,"")</f>
        <v/>
      </c>
    </row>
    <row r="1134">
      <c r="BB1134" s="244">
        <f>IF('INPUT - Bookings'!$B1134="",0,IF(AND(OR(Dashboard!$D$9="All",TRIM('INPUT - Bookings'!$C1134)=Dashboard!$D$9),OR(Dashboard!$J$9="All",TRIM('INPUT - Bookings'!$D1134)=Dashboard!$J$9)),1,0))</f>
        <v/>
      </c>
      <c r="BC1134" s="244">
        <f>IF(AND(BB1134=1,ISNUMBER('INPUT - Bookings'!$E1134),'INPUT - Bookings'!$E1134&gt;=Settings!$C$8,'INPUT - Bookings'!$E1134&lt;=Settings!$C$8+14,IFERROR(INDEX(Settings!$Q$14:$Q$24,MATCH('INPUT - Bookings'!$G1134,Settings!$P$14:$P$24,0)),"Yes")="Yes"),'INPUT - Bookings'!$E1134+ROW()/100000,"")</f>
        <v/>
      </c>
    </row>
    <row r="1135">
      <c r="BB1135" s="244">
        <f>IF('INPUT - Bookings'!$B1135="",0,IF(AND(OR(Dashboard!$D$9="All",TRIM('INPUT - Bookings'!$C1135)=Dashboard!$D$9),OR(Dashboard!$J$9="All",TRIM('INPUT - Bookings'!$D1135)=Dashboard!$J$9)),1,0))</f>
        <v/>
      </c>
      <c r="BC1135" s="244">
        <f>IF(AND(BB1135=1,ISNUMBER('INPUT - Bookings'!$E1135),'INPUT - Bookings'!$E1135&gt;=Settings!$C$8,'INPUT - Bookings'!$E1135&lt;=Settings!$C$8+14,IFERROR(INDEX(Settings!$Q$14:$Q$24,MATCH('INPUT - Bookings'!$G1135,Settings!$P$14:$P$24,0)),"Yes")="Yes"),'INPUT - Bookings'!$E1135+ROW()/100000,"")</f>
        <v/>
      </c>
    </row>
    <row r="1136">
      <c r="BB1136" s="244">
        <f>IF('INPUT - Bookings'!$B1136="",0,IF(AND(OR(Dashboard!$D$9="All",TRIM('INPUT - Bookings'!$C1136)=Dashboard!$D$9),OR(Dashboard!$J$9="All",TRIM('INPUT - Bookings'!$D1136)=Dashboard!$J$9)),1,0))</f>
        <v/>
      </c>
      <c r="BC1136" s="244">
        <f>IF(AND(BB1136=1,ISNUMBER('INPUT - Bookings'!$E1136),'INPUT - Bookings'!$E1136&gt;=Settings!$C$8,'INPUT - Bookings'!$E1136&lt;=Settings!$C$8+14,IFERROR(INDEX(Settings!$Q$14:$Q$24,MATCH('INPUT - Bookings'!$G1136,Settings!$P$14:$P$24,0)),"Yes")="Yes"),'INPUT - Bookings'!$E1136+ROW()/100000,"")</f>
        <v/>
      </c>
    </row>
    <row r="1137">
      <c r="BB1137" s="244">
        <f>IF('INPUT - Bookings'!$B1137="",0,IF(AND(OR(Dashboard!$D$9="All",TRIM('INPUT - Bookings'!$C1137)=Dashboard!$D$9),OR(Dashboard!$J$9="All",TRIM('INPUT - Bookings'!$D1137)=Dashboard!$J$9)),1,0))</f>
        <v/>
      </c>
      <c r="BC1137" s="244">
        <f>IF(AND(BB1137=1,ISNUMBER('INPUT - Bookings'!$E1137),'INPUT - Bookings'!$E1137&gt;=Settings!$C$8,'INPUT - Bookings'!$E1137&lt;=Settings!$C$8+14,IFERROR(INDEX(Settings!$Q$14:$Q$24,MATCH('INPUT - Bookings'!$G1137,Settings!$P$14:$P$24,0)),"Yes")="Yes"),'INPUT - Bookings'!$E1137+ROW()/100000,"")</f>
        <v/>
      </c>
    </row>
    <row r="1138">
      <c r="BB1138" s="244">
        <f>IF('INPUT - Bookings'!$B1138="",0,IF(AND(OR(Dashboard!$D$9="All",TRIM('INPUT - Bookings'!$C1138)=Dashboard!$D$9),OR(Dashboard!$J$9="All",TRIM('INPUT - Bookings'!$D1138)=Dashboard!$J$9)),1,0))</f>
        <v/>
      </c>
      <c r="BC1138" s="244">
        <f>IF(AND(BB1138=1,ISNUMBER('INPUT - Bookings'!$E1138),'INPUT - Bookings'!$E1138&gt;=Settings!$C$8,'INPUT - Bookings'!$E1138&lt;=Settings!$C$8+14,IFERROR(INDEX(Settings!$Q$14:$Q$24,MATCH('INPUT - Bookings'!$G1138,Settings!$P$14:$P$24,0)),"Yes")="Yes"),'INPUT - Bookings'!$E1138+ROW()/100000,"")</f>
        <v/>
      </c>
    </row>
    <row r="1139">
      <c r="BB1139" s="244">
        <f>IF('INPUT - Bookings'!$B1139="",0,IF(AND(OR(Dashboard!$D$9="All",TRIM('INPUT - Bookings'!$C1139)=Dashboard!$D$9),OR(Dashboard!$J$9="All",TRIM('INPUT - Bookings'!$D1139)=Dashboard!$J$9)),1,0))</f>
        <v/>
      </c>
      <c r="BC1139" s="244">
        <f>IF(AND(BB1139=1,ISNUMBER('INPUT - Bookings'!$E1139),'INPUT - Bookings'!$E1139&gt;=Settings!$C$8,'INPUT - Bookings'!$E1139&lt;=Settings!$C$8+14,IFERROR(INDEX(Settings!$Q$14:$Q$24,MATCH('INPUT - Bookings'!$G1139,Settings!$P$14:$P$24,0)),"Yes")="Yes"),'INPUT - Bookings'!$E1139+ROW()/100000,"")</f>
        <v/>
      </c>
    </row>
    <row r="1140">
      <c r="BB1140" s="244">
        <f>IF('INPUT - Bookings'!$B1140="",0,IF(AND(OR(Dashboard!$D$9="All",TRIM('INPUT - Bookings'!$C1140)=Dashboard!$D$9),OR(Dashboard!$J$9="All",TRIM('INPUT - Bookings'!$D1140)=Dashboard!$J$9)),1,0))</f>
        <v/>
      </c>
      <c r="BC1140" s="244">
        <f>IF(AND(BB1140=1,ISNUMBER('INPUT - Bookings'!$E1140),'INPUT - Bookings'!$E1140&gt;=Settings!$C$8,'INPUT - Bookings'!$E1140&lt;=Settings!$C$8+14,IFERROR(INDEX(Settings!$Q$14:$Q$24,MATCH('INPUT - Bookings'!$G1140,Settings!$P$14:$P$24,0)),"Yes")="Yes"),'INPUT - Bookings'!$E1140+ROW()/100000,"")</f>
        <v/>
      </c>
    </row>
    <row r="1141">
      <c r="BB1141" s="244">
        <f>IF('INPUT - Bookings'!$B1141="",0,IF(AND(OR(Dashboard!$D$9="All",TRIM('INPUT - Bookings'!$C1141)=Dashboard!$D$9),OR(Dashboard!$J$9="All",TRIM('INPUT - Bookings'!$D1141)=Dashboard!$J$9)),1,0))</f>
        <v/>
      </c>
      <c r="BC1141" s="244">
        <f>IF(AND(BB1141=1,ISNUMBER('INPUT - Bookings'!$E1141),'INPUT - Bookings'!$E1141&gt;=Settings!$C$8,'INPUT - Bookings'!$E1141&lt;=Settings!$C$8+14,IFERROR(INDEX(Settings!$Q$14:$Q$24,MATCH('INPUT - Bookings'!$G1141,Settings!$P$14:$P$24,0)),"Yes")="Yes"),'INPUT - Bookings'!$E1141+ROW()/100000,"")</f>
        <v/>
      </c>
    </row>
    <row r="1142">
      <c r="BB1142" s="244">
        <f>IF('INPUT - Bookings'!$B1142="",0,IF(AND(OR(Dashboard!$D$9="All",TRIM('INPUT - Bookings'!$C1142)=Dashboard!$D$9),OR(Dashboard!$J$9="All",TRIM('INPUT - Bookings'!$D1142)=Dashboard!$J$9)),1,0))</f>
        <v/>
      </c>
      <c r="BC1142" s="244">
        <f>IF(AND(BB1142=1,ISNUMBER('INPUT - Bookings'!$E1142),'INPUT - Bookings'!$E1142&gt;=Settings!$C$8,'INPUT - Bookings'!$E1142&lt;=Settings!$C$8+14,IFERROR(INDEX(Settings!$Q$14:$Q$24,MATCH('INPUT - Bookings'!$G1142,Settings!$P$14:$P$24,0)),"Yes")="Yes"),'INPUT - Bookings'!$E1142+ROW()/100000,"")</f>
        <v/>
      </c>
    </row>
    <row r="1143">
      <c r="BB1143" s="244">
        <f>IF('INPUT - Bookings'!$B1143="",0,IF(AND(OR(Dashboard!$D$9="All",TRIM('INPUT - Bookings'!$C1143)=Dashboard!$D$9),OR(Dashboard!$J$9="All",TRIM('INPUT - Bookings'!$D1143)=Dashboard!$J$9)),1,0))</f>
        <v/>
      </c>
      <c r="BC1143" s="244">
        <f>IF(AND(BB1143=1,ISNUMBER('INPUT - Bookings'!$E1143),'INPUT - Bookings'!$E1143&gt;=Settings!$C$8,'INPUT - Bookings'!$E1143&lt;=Settings!$C$8+14,IFERROR(INDEX(Settings!$Q$14:$Q$24,MATCH('INPUT - Bookings'!$G1143,Settings!$P$14:$P$24,0)),"Yes")="Yes"),'INPUT - Bookings'!$E1143+ROW()/100000,"")</f>
        <v/>
      </c>
    </row>
    <row r="1144">
      <c r="BB1144" s="244">
        <f>IF('INPUT - Bookings'!$B1144="",0,IF(AND(OR(Dashboard!$D$9="All",TRIM('INPUT - Bookings'!$C1144)=Dashboard!$D$9),OR(Dashboard!$J$9="All",TRIM('INPUT - Bookings'!$D1144)=Dashboard!$J$9)),1,0))</f>
        <v/>
      </c>
      <c r="BC1144" s="244">
        <f>IF(AND(BB1144=1,ISNUMBER('INPUT - Bookings'!$E1144),'INPUT - Bookings'!$E1144&gt;=Settings!$C$8,'INPUT - Bookings'!$E1144&lt;=Settings!$C$8+14,IFERROR(INDEX(Settings!$Q$14:$Q$24,MATCH('INPUT - Bookings'!$G1144,Settings!$P$14:$P$24,0)),"Yes")="Yes"),'INPUT - Bookings'!$E1144+ROW()/100000,"")</f>
        <v/>
      </c>
    </row>
    <row r="1145">
      <c r="BB1145" s="244">
        <f>IF('INPUT - Bookings'!$B1145="",0,IF(AND(OR(Dashboard!$D$9="All",TRIM('INPUT - Bookings'!$C1145)=Dashboard!$D$9),OR(Dashboard!$J$9="All",TRIM('INPUT - Bookings'!$D1145)=Dashboard!$J$9)),1,0))</f>
        <v/>
      </c>
      <c r="BC1145" s="244">
        <f>IF(AND(BB1145=1,ISNUMBER('INPUT - Bookings'!$E1145),'INPUT - Bookings'!$E1145&gt;=Settings!$C$8,'INPUT - Bookings'!$E1145&lt;=Settings!$C$8+14,IFERROR(INDEX(Settings!$Q$14:$Q$24,MATCH('INPUT - Bookings'!$G1145,Settings!$P$14:$P$24,0)),"Yes")="Yes"),'INPUT - Bookings'!$E1145+ROW()/100000,"")</f>
        <v/>
      </c>
    </row>
    <row r="1146">
      <c r="BB1146" s="244">
        <f>IF('INPUT - Bookings'!$B1146="",0,IF(AND(OR(Dashboard!$D$9="All",TRIM('INPUT - Bookings'!$C1146)=Dashboard!$D$9),OR(Dashboard!$J$9="All",TRIM('INPUT - Bookings'!$D1146)=Dashboard!$J$9)),1,0))</f>
        <v/>
      </c>
      <c r="BC1146" s="244">
        <f>IF(AND(BB1146=1,ISNUMBER('INPUT - Bookings'!$E1146),'INPUT - Bookings'!$E1146&gt;=Settings!$C$8,'INPUT - Bookings'!$E1146&lt;=Settings!$C$8+14,IFERROR(INDEX(Settings!$Q$14:$Q$24,MATCH('INPUT - Bookings'!$G1146,Settings!$P$14:$P$24,0)),"Yes")="Yes"),'INPUT - Bookings'!$E1146+ROW()/100000,"")</f>
        <v/>
      </c>
    </row>
    <row r="1147">
      <c r="BB1147" s="244">
        <f>IF('INPUT - Bookings'!$B1147="",0,IF(AND(OR(Dashboard!$D$9="All",TRIM('INPUT - Bookings'!$C1147)=Dashboard!$D$9),OR(Dashboard!$J$9="All",TRIM('INPUT - Bookings'!$D1147)=Dashboard!$J$9)),1,0))</f>
        <v/>
      </c>
      <c r="BC1147" s="244">
        <f>IF(AND(BB1147=1,ISNUMBER('INPUT - Bookings'!$E1147),'INPUT - Bookings'!$E1147&gt;=Settings!$C$8,'INPUT - Bookings'!$E1147&lt;=Settings!$C$8+14,IFERROR(INDEX(Settings!$Q$14:$Q$24,MATCH('INPUT - Bookings'!$G1147,Settings!$P$14:$P$24,0)),"Yes")="Yes"),'INPUT - Bookings'!$E1147+ROW()/100000,"")</f>
        <v/>
      </c>
    </row>
    <row r="1148">
      <c r="BB1148" s="244">
        <f>IF('INPUT - Bookings'!$B1148="",0,IF(AND(OR(Dashboard!$D$9="All",TRIM('INPUT - Bookings'!$C1148)=Dashboard!$D$9),OR(Dashboard!$J$9="All",TRIM('INPUT - Bookings'!$D1148)=Dashboard!$J$9)),1,0))</f>
        <v/>
      </c>
      <c r="BC1148" s="244">
        <f>IF(AND(BB1148=1,ISNUMBER('INPUT - Bookings'!$E1148),'INPUT - Bookings'!$E1148&gt;=Settings!$C$8,'INPUT - Bookings'!$E1148&lt;=Settings!$C$8+14,IFERROR(INDEX(Settings!$Q$14:$Q$24,MATCH('INPUT - Bookings'!$G1148,Settings!$P$14:$P$24,0)),"Yes")="Yes"),'INPUT - Bookings'!$E1148+ROW()/100000,"")</f>
        <v/>
      </c>
    </row>
    <row r="1149">
      <c r="BB1149" s="244">
        <f>IF('INPUT - Bookings'!$B1149="",0,IF(AND(OR(Dashboard!$D$9="All",TRIM('INPUT - Bookings'!$C1149)=Dashboard!$D$9),OR(Dashboard!$J$9="All",TRIM('INPUT - Bookings'!$D1149)=Dashboard!$J$9)),1,0))</f>
        <v/>
      </c>
      <c r="BC1149" s="244">
        <f>IF(AND(BB1149=1,ISNUMBER('INPUT - Bookings'!$E1149),'INPUT - Bookings'!$E1149&gt;=Settings!$C$8,'INPUT - Bookings'!$E1149&lt;=Settings!$C$8+14,IFERROR(INDEX(Settings!$Q$14:$Q$24,MATCH('INPUT - Bookings'!$G1149,Settings!$P$14:$P$24,0)),"Yes")="Yes"),'INPUT - Bookings'!$E1149+ROW()/100000,"")</f>
        <v/>
      </c>
    </row>
    <row r="1150">
      <c r="BB1150" s="244">
        <f>IF('INPUT - Bookings'!$B1150="",0,IF(AND(OR(Dashboard!$D$9="All",TRIM('INPUT - Bookings'!$C1150)=Dashboard!$D$9),OR(Dashboard!$J$9="All",TRIM('INPUT - Bookings'!$D1150)=Dashboard!$J$9)),1,0))</f>
        <v/>
      </c>
      <c r="BC1150" s="244">
        <f>IF(AND(BB1150=1,ISNUMBER('INPUT - Bookings'!$E1150),'INPUT - Bookings'!$E1150&gt;=Settings!$C$8,'INPUT - Bookings'!$E1150&lt;=Settings!$C$8+14,IFERROR(INDEX(Settings!$Q$14:$Q$24,MATCH('INPUT - Bookings'!$G1150,Settings!$P$14:$P$24,0)),"Yes")="Yes"),'INPUT - Bookings'!$E1150+ROW()/100000,"")</f>
        <v/>
      </c>
    </row>
    <row r="1151">
      <c r="BB1151" s="244">
        <f>IF('INPUT - Bookings'!$B1151="",0,IF(AND(OR(Dashboard!$D$9="All",TRIM('INPUT - Bookings'!$C1151)=Dashboard!$D$9),OR(Dashboard!$J$9="All",TRIM('INPUT - Bookings'!$D1151)=Dashboard!$J$9)),1,0))</f>
        <v/>
      </c>
      <c r="BC1151" s="244">
        <f>IF(AND(BB1151=1,ISNUMBER('INPUT - Bookings'!$E1151),'INPUT - Bookings'!$E1151&gt;=Settings!$C$8,'INPUT - Bookings'!$E1151&lt;=Settings!$C$8+14,IFERROR(INDEX(Settings!$Q$14:$Q$24,MATCH('INPUT - Bookings'!$G1151,Settings!$P$14:$P$24,0)),"Yes")="Yes"),'INPUT - Bookings'!$E1151+ROW()/100000,"")</f>
        <v/>
      </c>
    </row>
    <row r="1152">
      <c r="BB1152" s="244">
        <f>IF('INPUT - Bookings'!$B1152="",0,IF(AND(OR(Dashboard!$D$9="All",TRIM('INPUT - Bookings'!$C1152)=Dashboard!$D$9),OR(Dashboard!$J$9="All",TRIM('INPUT - Bookings'!$D1152)=Dashboard!$J$9)),1,0))</f>
        <v/>
      </c>
      <c r="BC1152" s="244">
        <f>IF(AND(BB1152=1,ISNUMBER('INPUT - Bookings'!$E1152),'INPUT - Bookings'!$E1152&gt;=Settings!$C$8,'INPUT - Bookings'!$E1152&lt;=Settings!$C$8+14,IFERROR(INDEX(Settings!$Q$14:$Q$24,MATCH('INPUT - Bookings'!$G1152,Settings!$P$14:$P$24,0)),"Yes")="Yes"),'INPUT - Bookings'!$E1152+ROW()/100000,"")</f>
        <v/>
      </c>
    </row>
    <row r="1153">
      <c r="BB1153" s="244">
        <f>IF('INPUT - Bookings'!$B1153="",0,IF(AND(OR(Dashboard!$D$9="All",TRIM('INPUT - Bookings'!$C1153)=Dashboard!$D$9),OR(Dashboard!$J$9="All",TRIM('INPUT - Bookings'!$D1153)=Dashboard!$J$9)),1,0))</f>
        <v/>
      </c>
      <c r="BC1153" s="244">
        <f>IF(AND(BB1153=1,ISNUMBER('INPUT - Bookings'!$E1153),'INPUT - Bookings'!$E1153&gt;=Settings!$C$8,'INPUT - Bookings'!$E1153&lt;=Settings!$C$8+14,IFERROR(INDEX(Settings!$Q$14:$Q$24,MATCH('INPUT - Bookings'!$G1153,Settings!$P$14:$P$24,0)),"Yes")="Yes"),'INPUT - Bookings'!$E1153+ROW()/100000,"")</f>
        <v/>
      </c>
    </row>
    <row r="1154">
      <c r="BB1154" s="244">
        <f>IF('INPUT - Bookings'!$B1154="",0,IF(AND(OR(Dashboard!$D$9="All",TRIM('INPUT - Bookings'!$C1154)=Dashboard!$D$9),OR(Dashboard!$J$9="All",TRIM('INPUT - Bookings'!$D1154)=Dashboard!$J$9)),1,0))</f>
        <v/>
      </c>
      <c r="BC1154" s="244">
        <f>IF(AND(BB1154=1,ISNUMBER('INPUT - Bookings'!$E1154),'INPUT - Bookings'!$E1154&gt;=Settings!$C$8,'INPUT - Bookings'!$E1154&lt;=Settings!$C$8+14,IFERROR(INDEX(Settings!$Q$14:$Q$24,MATCH('INPUT - Bookings'!$G1154,Settings!$P$14:$P$24,0)),"Yes")="Yes"),'INPUT - Bookings'!$E1154+ROW()/100000,"")</f>
        <v/>
      </c>
    </row>
    <row r="1155">
      <c r="BB1155" s="244">
        <f>IF('INPUT - Bookings'!$B1155="",0,IF(AND(OR(Dashboard!$D$9="All",TRIM('INPUT - Bookings'!$C1155)=Dashboard!$D$9),OR(Dashboard!$J$9="All",TRIM('INPUT - Bookings'!$D1155)=Dashboard!$J$9)),1,0))</f>
        <v/>
      </c>
      <c r="BC1155" s="244">
        <f>IF(AND(BB1155=1,ISNUMBER('INPUT - Bookings'!$E1155),'INPUT - Bookings'!$E1155&gt;=Settings!$C$8,'INPUT - Bookings'!$E1155&lt;=Settings!$C$8+14,IFERROR(INDEX(Settings!$Q$14:$Q$24,MATCH('INPUT - Bookings'!$G1155,Settings!$P$14:$P$24,0)),"Yes")="Yes"),'INPUT - Bookings'!$E1155+ROW()/100000,"")</f>
        <v/>
      </c>
    </row>
    <row r="1156">
      <c r="BB1156" s="244">
        <f>IF('INPUT - Bookings'!$B1156="",0,IF(AND(OR(Dashboard!$D$9="All",TRIM('INPUT - Bookings'!$C1156)=Dashboard!$D$9),OR(Dashboard!$J$9="All",TRIM('INPUT - Bookings'!$D1156)=Dashboard!$J$9)),1,0))</f>
        <v/>
      </c>
      <c r="BC1156" s="244">
        <f>IF(AND(BB1156=1,ISNUMBER('INPUT - Bookings'!$E1156),'INPUT - Bookings'!$E1156&gt;=Settings!$C$8,'INPUT - Bookings'!$E1156&lt;=Settings!$C$8+14,IFERROR(INDEX(Settings!$Q$14:$Q$24,MATCH('INPUT - Bookings'!$G1156,Settings!$P$14:$P$24,0)),"Yes")="Yes"),'INPUT - Bookings'!$E1156+ROW()/100000,"")</f>
        <v/>
      </c>
    </row>
    <row r="1157">
      <c r="BB1157" s="244">
        <f>IF('INPUT - Bookings'!$B1157="",0,IF(AND(OR(Dashboard!$D$9="All",TRIM('INPUT - Bookings'!$C1157)=Dashboard!$D$9),OR(Dashboard!$J$9="All",TRIM('INPUT - Bookings'!$D1157)=Dashboard!$J$9)),1,0))</f>
        <v/>
      </c>
      <c r="BC1157" s="244">
        <f>IF(AND(BB1157=1,ISNUMBER('INPUT - Bookings'!$E1157),'INPUT - Bookings'!$E1157&gt;=Settings!$C$8,'INPUT - Bookings'!$E1157&lt;=Settings!$C$8+14,IFERROR(INDEX(Settings!$Q$14:$Q$24,MATCH('INPUT - Bookings'!$G1157,Settings!$P$14:$P$24,0)),"Yes")="Yes"),'INPUT - Bookings'!$E1157+ROW()/100000,"")</f>
        <v/>
      </c>
    </row>
    <row r="1158">
      <c r="BB1158" s="244">
        <f>IF('INPUT - Bookings'!$B1158="",0,IF(AND(OR(Dashboard!$D$9="All",TRIM('INPUT - Bookings'!$C1158)=Dashboard!$D$9),OR(Dashboard!$J$9="All",TRIM('INPUT - Bookings'!$D1158)=Dashboard!$J$9)),1,0))</f>
        <v/>
      </c>
      <c r="BC1158" s="244">
        <f>IF(AND(BB1158=1,ISNUMBER('INPUT - Bookings'!$E1158),'INPUT - Bookings'!$E1158&gt;=Settings!$C$8,'INPUT - Bookings'!$E1158&lt;=Settings!$C$8+14,IFERROR(INDEX(Settings!$Q$14:$Q$24,MATCH('INPUT - Bookings'!$G1158,Settings!$P$14:$P$24,0)),"Yes")="Yes"),'INPUT - Bookings'!$E1158+ROW()/100000,"")</f>
        <v/>
      </c>
    </row>
    <row r="1159">
      <c r="BB1159" s="244">
        <f>IF('INPUT - Bookings'!$B1159="",0,IF(AND(OR(Dashboard!$D$9="All",TRIM('INPUT - Bookings'!$C1159)=Dashboard!$D$9),OR(Dashboard!$J$9="All",TRIM('INPUT - Bookings'!$D1159)=Dashboard!$J$9)),1,0))</f>
        <v/>
      </c>
      <c r="BC1159" s="244">
        <f>IF(AND(BB1159=1,ISNUMBER('INPUT - Bookings'!$E1159),'INPUT - Bookings'!$E1159&gt;=Settings!$C$8,'INPUT - Bookings'!$E1159&lt;=Settings!$C$8+14,IFERROR(INDEX(Settings!$Q$14:$Q$24,MATCH('INPUT - Bookings'!$G1159,Settings!$P$14:$P$24,0)),"Yes")="Yes"),'INPUT - Bookings'!$E1159+ROW()/100000,"")</f>
        <v/>
      </c>
    </row>
    <row r="1160">
      <c r="BB1160" s="244">
        <f>IF('INPUT - Bookings'!$B1160="",0,IF(AND(OR(Dashboard!$D$9="All",TRIM('INPUT - Bookings'!$C1160)=Dashboard!$D$9),OR(Dashboard!$J$9="All",TRIM('INPUT - Bookings'!$D1160)=Dashboard!$J$9)),1,0))</f>
        <v/>
      </c>
      <c r="BC1160" s="244">
        <f>IF(AND(BB1160=1,ISNUMBER('INPUT - Bookings'!$E1160),'INPUT - Bookings'!$E1160&gt;=Settings!$C$8,'INPUT - Bookings'!$E1160&lt;=Settings!$C$8+14,IFERROR(INDEX(Settings!$Q$14:$Q$24,MATCH('INPUT - Bookings'!$G1160,Settings!$P$14:$P$24,0)),"Yes")="Yes"),'INPUT - Bookings'!$E1160+ROW()/100000,"")</f>
        <v/>
      </c>
    </row>
    <row r="1161">
      <c r="BB1161" s="244">
        <f>IF('INPUT - Bookings'!$B1161="",0,IF(AND(OR(Dashboard!$D$9="All",TRIM('INPUT - Bookings'!$C1161)=Dashboard!$D$9),OR(Dashboard!$J$9="All",TRIM('INPUT - Bookings'!$D1161)=Dashboard!$J$9)),1,0))</f>
        <v/>
      </c>
      <c r="BC1161" s="244">
        <f>IF(AND(BB1161=1,ISNUMBER('INPUT - Bookings'!$E1161),'INPUT - Bookings'!$E1161&gt;=Settings!$C$8,'INPUT - Bookings'!$E1161&lt;=Settings!$C$8+14,IFERROR(INDEX(Settings!$Q$14:$Q$24,MATCH('INPUT - Bookings'!$G1161,Settings!$P$14:$P$24,0)),"Yes")="Yes"),'INPUT - Bookings'!$E1161+ROW()/100000,"")</f>
        <v/>
      </c>
    </row>
    <row r="1162">
      <c r="BB1162" s="244">
        <f>IF('INPUT - Bookings'!$B1162="",0,IF(AND(OR(Dashboard!$D$9="All",TRIM('INPUT - Bookings'!$C1162)=Dashboard!$D$9),OR(Dashboard!$J$9="All",TRIM('INPUT - Bookings'!$D1162)=Dashboard!$J$9)),1,0))</f>
        <v/>
      </c>
      <c r="BC1162" s="244">
        <f>IF(AND(BB1162=1,ISNUMBER('INPUT - Bookings'!$E1162),'INPUT - Bookings'!$E1162&gt;=Settings!$C$8,'INPUT - Bookings'!$E1162&lt;=Settings!$C$8+14,IFERROR(INDEX(Settings!$Q$14:$Q$24,MATCH('INPUT - Bookings'!$G1162,Settings!$P$14:$P$24,0)),"Yes")="Yes"),'INPUT - Bookings'!$E1162+ROW()/100000,"")</f>
        <v/>
      </c>
    </row>
    <row r="1163">
      <c r="BB1163" s="244">
        <f>IF('INPUT - Bookings'!$B1163="",0,IF(AND(OR(Dashboard!$D$9="All",TRIM('INPUT - Bookings'!$C1163)=Dashboard!$D$9),OR(Dashboard!$J$9="All",TRIM('INPUT - Bookings'!$D1163)=Dashboard!$J$9)),1,0))</f>
        <v/>
      </c>
      <c r="BC1163" s="244">
        <f>IF(AND(BB1163=1,ISNUMBER('INPUT - Bookings'!$E1163),'INPUT - Bookings'!$E1163&gt;=Settings!$C$8,'INPUT - Bookings'!$E1163&lt;=Settings!$C$8+14,IFERROR(INDEX(Settings!$Q$14:$Q$24,MATCH('INPUT - Bookings'!$G1163,Settings!$P$14:$P$24,0)),"Yes")="Yes"),'INPUT - Bookings'!$E1163+ROW()/100000,"")</f>
        <v/>
      </c>
    </row>
    <row r="1164">
      <c r="BB1164" s="244">
        <f>IF('INPUT - Bookings'!$B1164="",0,IF(AND(OR(Dashboard!$D$9="All",TRIM('INPUT - Bookings'!$C1164)=Dashboard!$D$9),OR(Dashboard!$J$9="All",TRIM('INPUT - Bookings'!$D1164)=Dashboard!$J$9)),1,0))</f>
        <v/>
      </c>
      <c r="BC1164" s="244">
        <f>IF(AND(BB1164=1,ISNUMBER('INPUT - Bookings'!$E1164),'INPUT - Bookings'!$E1164&gt;=Settings!$C$8,'INPUT - Bookings'!$E1164&lt;=Settings!$C$8+14,IFERROR(INDEX(Settings!$Q$14:$Q$24,MATCH('INPUT - Bookings'!$G1164,Settings!$P$14:$P$24,0)),"Yes")="Yes"),'INPUT - Bookings'!$E1164+ROW()/100000,"")</f>
        <v/>
      </c>
    </row>
    <row r="1165">
      <c r="BB1165" s="244">
        <f>IF('INPUT - Bookings'!$B1165="",0,IF(AND(OR(Dashboard!$D$9="All",TRIM('INPUT - Bookings'!$C1165)=Dashboard!$D$9),OR(Dashboard!$J$9="All",TRIM('INPUT - Bookings'!$D1165)=Dashboard!$J$9)),1,0))</f>
        <v/>
      </c>
      <c r="BC1165" s="244">
        <f>IF(AND(BB1165=1,ISNUMBER('INPUT - Bookings'!$E1165),'INPUT - Bookings'!$E1165&gt;=Settings!$C$8,'INPUT - Bookings'!$E1165&lt;=Settings!$C$8+14,IFERROR(INDEX(Settings!$Q$14:$Q$24,MATCH('INPUT - Bookings'!$G1165,Settings!$P$14:$P$24,0)),"Yes")="Yes"),'INPUT - Bookings'!$E1165+ROW()/100000,"")</f>
        <v/>
      </c>
    </row>
    <row r="1166">
      <c r="BB1166" s="244">
        <f>IF('INPUT - Bookings'!$B1166="",0,IF(AND(OR(Dashboard!$D$9="All",TRIM('INPUT - Bookings'!$C1166)=Dashboard!$D$9),OR(Dashboard!$J$9="All",TRIM('INPUT - Bookings'!$D1166)=Dashboard!$J$9)),1,0))</f>
        <v/>
      </c>
      <c r="BC1166" s="244">
        <f>IF(AND(BB1166=1,ISNUMBER('INPUT - Bookings'!$E1166),'INPUT - Bookings'!$E1166&gt;=Settings!$C$8,'INPUT - Bookings'!$E1166&lt;=Settings!$C$8+14,IFERROR(INDEX(Settings!$Q$14:$Q$24,MATCH('INPUT - Bookings'!$G1166,Settings!$P$14:$P$24,0)),"Yes")="Yes"),'INPUT - Bookings'!$E1166+ROW()/100000,"")</f>
        <v/>
      </c>
    </row>
    <row r="1167">
      <c r="BB1167" s="244">
        <f>IF('INPUT - Bookings'!$B1167="",0,IF(AND(OR(Dashboard!$D$9="All",TRIM('INPUT - Bookings'!$C1167)=Dashboard!$D$9),OR(Dashboard!$J$9="All",TRIM('INPUT - Bookings'!$D1167)=Dashboard!$J$9)),1,0))</f>
        <v/>
      </c>
      <c r="BC1167" s="244">
        <f>IF(AND(BB1167=1,ISNUMBER('INPUT - Bookings'!$E1167),'INPUT - Bookings'!$E1167&gt;=Settings!$C$8,'INPUT - Bookings'!$E1167&lt;=Settings!$C$8+14,IFERROR(INDEX(Settings!$Q$14:$Q$24,MATCH('INPUT - Bookings'!$G1167,Settings!$P$14:$P$24,0)),"Yes")="Yes"),'INPUT - Bookings'!$E1167+ROW()/100000,"")</f>
        <v/>
      </c>
    </row>
    <row r="1168">
      <c r="BB1168" s="244">
        <f>IF('INPUT - Bookings'!$B1168="",0,IF(AND(OR(Dashboard!$D$9="All",TRIM('INPUT - Bookings'!$C1168)=Dashboard!$D$9),OR(Dashboard!$J$9="All",TRIM('INPUT - Bookings'!$D1168)=Dashboard!$J$9)),1,0))</f>
        <v/>
      </c>
      <c r="BC1168" s="244">
        <f>IF(AND(BB1168=1,ISNUMBER('INPUT - Bookings'!$E1168),'INPUT - Bookings'!$E1168&gt;=Settings!$C$8,'INPUT - Bookings'!$E1168&lt;=Settings!$C$8+14,IFERROR(INDEX(Settings!$Q$14:$Q$24,MATCH('INPUT - Bookings'!$G1168,Settings!$P$14:$P$24,0)),"Yes")="Yes"),'INPUT - Bookings'!$E1168+ROW()/100000,"")</f>
        <v/>
      </c>
    </row>
    <row r="1169">
      <c r="BB1169" s="244">
        <f>IF('INPUT - Bookings'!$B1169="",0,IF(AND(OR(Dashboard!$D$9="All",TRIM('INPUT - Bookings'!$C1169)=Dashboard!$D$9),OR(Dashboard!$J$9="All",TRIM('INPUT - Bookings'!$D1169)=Dashboard!$J$9)),1,0))</f>
        <v/>
      </c>
      <c r="BC1169" s="244">
        <f>IF(AND(BB1169=1,ISNUMBER('INPUT - Bookings'!$E1169),'INPUT - Bookings'!$E1169&gt;=Settings!$C$8,'INPUT - Bookings'!$E1169&lt;=Settings!$C$8+14,IFERROR(INDEX(Settings!$Q$14:$Q$24,MATCH('INPUT - Bookings'!$G1169,Settings!$P$14:$P$24,0)),"Yes")="Yes"),'INPUT - Bookings'!$E1169+ROW()/100000,"")</f>
        <v/>
      </c>
    </row>
    <row r="1170">
      <c r="BB1170" s="244">
        <f>IF('INPUT - Bookings'!$B1170="",0,IF(AND(OR(Dashboard!$D$9="All",TRIM('INPUT - Bookings'!$C1170)=Dashboard!$D$9),OR(Dashboard!$J$9="All",TRIM('INPUT - Bookings'!$D1170)=Dashboard!$J$9)),1,0))</f>
        <v/>
      </c>
      <c r="BC1170" s="244">
        <f>IF(AND(BB1170=1,ISNUMBER('INPUT - Bookings'!$E1170),'INPUT - Bookings'!$E1170&gt;=Settings!$C$8,'INPUT - Bookings'!$E1170&lt;=Settings!$C$8+14,IFERROR(INDEX(Settings!$Q$14:$Q$24,MATCH('INPUT - Bookings'!$G1170,Settings!$P$14:$P$24,0)),"Yes")="Yes"),'INPUT - Bookings'!$E1170+ROW()/100000,"")</f>
        <v/>
      </c>
    </row>
    <row r="1171">
      <c r="BB1171" s="244">
        <f>IF('INPUT - Bookings'!$B1171="",0,IF(AND(OR(Dashboard!$D$9="All",TRIM('INPUT - Bookings'!$C1171)=Dashboard!$D$9),OR(Dashboard!$J$9="All",TRIM('INPUT - Bookings'!$D1171)=Dashboard!$J$9)),1,0))</f>
        <v/>
      </c>
      <c r="BC1171" s="244">
        <f>IF(AND(BB1171=1,ISNUMBER('INPUT - Bookings'!$E1171),'INPUT - Bookings'!$E1171&gt;=Settings!$C$8,'INPUT - Bookings'!$E1171&lt;=Settings!$C$8+14,IFERROR(INDEX(Settings!$Q$14:$Q$24,MATCH('INPUT - Bookings'!$G1171,Settings!$P$14:$P$24,0)),"Yes")="Yes"),'INPUT - Bookings'!$E1171+ROW()/100000,"")</f>
        <v/>
      </c>
    </row>
    <row r="1172">
      <c r="BB1172" s="244">
        <f>IF('INPUT - Bookings'!$B1172="",0,IF(AND(OR(Dashboard!$D$9="All",TRIM('INPUT - Bookings'!$C1172)=Dashboard!$D$9),OR(Dashboard!$J$9="All",TRIM('INPUT - Bookings'!$D1172)=Dashboard!$J$9)),1,0))</f>
        <v/>
      </c>
      <c r="BC1172" s="244">
        <f>IF(AND(BB1172=1,ISNUMBER('INPUT - Bookings'!$E1172),'INPUT - Bookings'!$E1172&gt;=Settings!$C$8,'INPUT - Bookings'!$E1172&lt;=Settings!$C$8+14,IFERROR(INDEX(Settings!$Q$14:$Q$24,MATCH('INPUT - Bookings'!$G1172,Settings!$P$14:$P$24,0)),"Yes")="Yes"),'INPUT - Bookings'!$E1172+ROW()/100000,"")</f>
        <v/>
      </c>
    </row>
    <row r="1173">
      <c r="BB1173" s="244">
        <f>IF('INPUT - Bookings'!$B1173="",0,IF(AND(OR(Dashboard!$D$9="All",TRIM('INPUT - Bookings'!$C1173)=Dashboard!$D$9),OR(Dashboard!$J$9="All",TRIM('INPUT - Bookings'!$D1173)=Dashboard!$J$9)),1,0))</f>
        <v/>
      </c>
      <c r="BC1173" s="244">
        <f>IF(AND(BB1173=1,ISNUMBER('INPUT - Bookings'!$E1173),'INPUT - Bookings'!$E1173&gt;=Settings!$C$8,'INPUT - Bookings'!$E1173&lt;=Settings!$C$8+14,IFERROR(INDEX(Settings!$Q$14:$Q$24,MATCH('INPUT - Bookings'!$G1173,Settings!$P$14:$P$24,0)),"Yes")="Yes"),'INPUT - Bookings'!$E1173+ROW()/100000,"")</f>
        <v/>
      </c>
    </row>
    <row r="1174">
      <c r="BB1174" s="244">
        <f>IF('INPUT - Bookings'!$B1174="",0,IF(AND(OR(Dashboard!$D$9="All",TRIM('INPUT - Bookings'!$C1174)=Dashboard!$D$9),OR(Dashboard!$J$9="All",TRIM('INPUT - Bookings'!$D1174)=Dashboard!$J$9)),1,0))</f>
        <v/>
      </c>
      <c r="BC1174" s="244">
        <f>IF(AND(BB1174=1,ISNUMBER('INPUT - Bookings'!$E1174),'INPUT - Bookings'!$E1174&gt;=Settings!$C$8,'INPUT - Bookings'!$E1174&lt;=Settings!$C$8+14,IFERROR(INDEX(Settings!$Q$14:$Q$24,MATCH('INPUT - Bookings'!$G1174,Settings!$P$14:$P$24,0)),"Yes")="Yes"),'INPUT - Bookings'!$E1174+ROW()/100000,"")</f>
        <v/>
      </c>
    </row>
    <row r="1175">
      <c r="BB1175" s="244">
        <f>IF('INPUT - Bookings'!$B1175="",0,IF(AND(OR(Dashboard!$D$9="All",TRIM('INPUT - Bookings'!$C1175)=Dashboard!$D$9),OR(Dashboard!$J$9="All",TRIM('INPUT - Bookings'!$D1175)=Dashboard!$J$9)),1,0))</f>
        <v/>
      </c>
      <c r="BC1175" s="244">
        <f>IF(AND(BB1175=1,ISNUMBER('INPUT - Bookings'!$E1175),'INPUT - Bookings'!$E1175&gt;=Settings!$C$8,'INPUT - Bookings'!$E1175&lt;=Settings!$C$8+14,IFERROR(INDEX(Settings!$Q$14:$Q$24,MATCH('INPUT - Bookings'!$G1175,Settings!$P$14:$P$24,0)),"Yes")="Yes"),'INPUT - Bookings'!$E1175+ROW()/100000,"")</f>
        <v/>
      </c>
    </row>
    <row r="1176">
      <c r="BB1176" s="244">
        <f>IF('INPUT - Bookings'!$B1176="",0,IF(AND(OR(Dashboard!$D$9="All",TRIM('INPUT - Bookings'!$C1176)=Dashboard!$D$9),OR(Dashboard!$J$9="All",TRIM('INPUT - Bookings'!$D1176)=Dashboard!$J$9)),1,0))</f>
        <v/>
      </c>
      <c r="BC1176" s="244">
        <f>IF(AND(BB1176=1,ISNUMBER('INPUT - Bookings'!$E1176),'INPUT - Bookings'!$E1176&gt;=Settings!$C$8,'INPUT - Bookings'!$E1176&lt;=Settings!$C$8+14,IFERROR(INDEX(Settings!$Q$14:$Q$24,MATCH('INPUT - Bookings'!$G1176,Settings!$P$14:$P$24,0)),"Yes")="Yes"),'INPUT - Bookings'!$E1176+ROW()/100000,"")</f>
        <v/>
      </c>
    </row>
    <row r="1177">
      <c r="BB1177" s="244">
        <f>IF('INPUT - Bookings'!$B1177="",0,IF(AND(OR(Dashboard!$D$9="All",TRIM('INPUT - Bookings'!$C1177)=Dashboard!$D$9),OR(Dashboard!$J$9="All",TRIM('INPUT - Bookings'!$D1177)=Dashboard!$J$9)),1,0))</f>
        <v/>
      </c>
      <c r="BC1177" s="244">
        <f>IF(AND(BB1177=1,ISNUMBER('INPUT - Bookings'!$E1177),'INPUT - Bookings'!$E1177&gt;=Settings!$C$8,'INPUT - Bookings'!$E1177&lt;=Settings!$C$8+14,IFERROR(INDEX(Settings!$Q$14:$Q$24,MATCH('INPUT - Bookings'!$G1177,Settings!$P$14:$P$24,0)),"Yes")="Yes"),'INPUT - Bookings'!$E1177+ROW()/100000,"")</f>
        <v/>
      </c>
    </row>
    <row r="1178">
      <c r="BB1178" s="244">
        <f>IF('INPUT - Bookings'!$B1178="",0,IF(AND(OR(Dashboard!$D$9="All",TRIM('INPUT - Bookings'!$C1178)=Dashboard!$D$9),OR(Dashboard!$J$9="All",TRIM('INPUT - Bookings'!$D1178)=Dashboard!$J$9)),1,0))</f>
        <v/>
      </c>
      <c r="BC1178" s="244">
        <f>IF(AND(BB1178=1,ISNUMBER('INPUT - Bookings'!$E1178),'INPUT - Bookings'!$E1178&gt;=Settings!$C$8,'INPUT - Bookings'!$E1178&lt;=Settings!$C$8+14,IFERROR(INDEX(Settings!$Q$14:$Q$24,MATCH('INPUT - Bookings'!$G1178,Settings!$P$14:$P$24,0)),"Yes")="Yes"),'INPUT - Bookings'!$E1178+ROW()/100000,"")</f>
        <v/>
      </c>
    </row>
    <row r="1179">
      <c r="BB1179" s="244">
        <f>IF('INPUT - Bookings'!$B1179="",0,IF(AND(OR(Dashboard!$D$9="All",TRIM('INPUT - Bookings'!$C1179)=Dashboard!$D$9),OR(Dashboard!$J$9="All",TRIM('INPUT - Bookings'!$D1179)=Dashboard!$J$9)),1,0))</f>
        <v/>
      </c>
      <c r="BC1179" s="244">
        <f>IF(AND(BB1179=1,ISNUMBER('INPUT - Bookings'!$E1179),'INPUT - Bookings'!$E1179&gt;=Settings!$C$8,'INPUT - Bookings'!$E1179&lt;=Settings!$C$8+14,IFERROR(INDEX(Settings!$Q$14:$Q$24,MATCH('INPUT - Bookings'!$G1179,Settings!$P$14:$P$24,0)),"Yes")="Yes"),'INPUT - Bookings'!$E1179+ROW()/100000,"")</f>
        <v/>
      </c>
    </row>
    <row r="1180">
      <c r="BB1180" s="244">
        <f>IF('INPUT - Bookings'!$B1180="",0,IF(AND(OR(Dashboard!$D$9="All",TRIM('INPUT - Bookings'!$C1180)=Dashboard!$D$9),OR(Dashboard!$J$9="All",TRIM('INPUT - Bookings'!$D1180)=Dashboard!$J$9)),1,0))</f>
        <v/>
      </c>
      <c r="BC1180" s="244">
        <f>IF(AND(BB1180=1,ISNUMBER('INPUT - Bookings'!$E1180),'INPUT - Bookings'!$E1180&gt;=Settings!$C$8,'INPUT - Bookings'!$E1180&lt;=Settings!$C$8+14,IFERROR(INDEX(Settings!$Q$14:$Q$24,MATCH('INPUT - Bookings'!$G1180,Settings!$P$14:$P$24,0)),"Yes")="Yes"),'INPUT - Bookings'!$E1180+ROW()/100000,"")</f>
        <v/>
      </c>
    </row>
    <row r="1181">
      <c r="BB1181" s="244">
        <f>IF('INPUT - Bookings'!$B1181="",0,IF(AND(OR(Dashboard!$D$9="All",TRIM('INPUT - Bookings'!$C1181)=Dashboard!$D$9),OR(Dashboard!$J$9="All",TRIM('INPUT - Bookings'!$D1181)=Dashboard!$J$9)),1,0))</f>
        <v/>
      </c>
      <c r="BC1181" s="244">
        <f>IF(AND(BB1181=1,ISNUMBER('INPUT - Bookings'!$E1181),'INPUT - Bookings'!$E1181&gt;=Settings!$C$8,'INPUT - Bookings'!$E1181&lt;=Settings!$C$8+14,IFERROR(INDEX(Settings!$Q$14:$Q$24,MATCH('INPUT - Bookings'!$G1181,Settings!$P$14:$P$24,0)),"Yes")="Yes"),'INPUT - Bookings'!$E1181+ROW()/100000,"")</f>
        <v/>
      </c>
    </row>
    <row r="1182">
      <c r="BB1182" s="244">
        <f>IF('INPUT - Bookings'!$B1182="",0,IF(AND(OR(Dashboard!$D$9="All",TRIM('INPUT - Bookings'!$C1182)=Dashboard!$D$9),OR(Dashboard!$J$9="All",TRIM('INPUT - Bookings'!$D1182)=Dashboard!$J$9)),1,0))</f>
        <v/>
      </c>
      <c r="BC1182" s="244">
        <f>IF(AND(BB1182=1,ISNUMBER('INPUT - Bookings'!$E1182),'INPUT - Bookings'!$E1182&gt;=Settings!$C$8,'INPUT - Bookings'!$E1182&lt;=Settings!$C$8+14,IFERROR(INDEX(Settings!$Q$14:$Q$24,MATCH('INPUT - Bookings'!$G1182,Settings!$P$14:$P$24,0)),"Yes")="Yes"),'INPUT - Bookings'!$E1182+ROW()/100000,"")</f>
        <v/>
      </c>
    </row>
    <row r="1183">
      <c r="BB1183" s="244">
        <f>IF('INPUT - Bookings'!$B1183="",0,IF(AND(OR(Dashboard!$D$9="All",TRIM('INPUT - Bookings'!$C1183)=Dashboard!$D$9),OR(Dashboard!$J$9="All",TRIM('INPUT - Bookings'!$D1183)=Dashboard!$J$9)),1,0))</f>
        <v/>
      </c>
      <c r="BC1183" s="244">
        <f>IF(AND(BB1183=1,ISNUMBER('INPUT - Bookings'!$E1183),'INPUT - Bookings'!$E1183&gt;=Settings!$C$8,'INPUT - Bookings'!$E1183&lt;=Settings!$C$8+14,IFERROR(INDEX(Settings!$Q$14:$Q$24,MATCH('INPUT - Bookings'!$G1183,Settings!$P$14:$P$24,0)),"Yes")="Yes"),'INPUT - Bookings'!$E1183+ROW()/100000,"")</f>
        <v/>
      </c>
    </row>
    <row r="1184">
      <c r="BB1184" s="244">
        <f>IF('INPUT - Bookings'!$B1184="",0,IF(AND(OR(Dashboard!$D$9="All",TRIM('INPUT - Bookings'!$C1184)=Dashboard!$D$9),OR(Dashboard!$J$9="All",TRIM('INPUT - Bookings'!$D1184)=Dashboard!$J$9)),1,0))</f>
        <v/>
      </c>
      <c r="BC1184" s="244">
        <f>IF(AND(BB1184=1,ISNUMBER('INPUT - Bookings'!$E1184),'INPUT - Bookings'!$E1184&gt;=Settings!$C$8,'INPUT - Bookings'!$E1184&lt;=Settings!$C$8+14,IFERROR(INDEX(Settings!$Q$14:$Q$24,MATCH('INPUT - Bookings'!$G1184,Settings!$P$14:$P$24,0)),"Yes")="Yes"),'INPUT - Bookings'!$E1184+ROW()/100000,"")</f>
        <v/>
      </c>
    </row>
    <row r="1185">
      <c r="BB1185" s="244">
        <f>IF('INPUT - Bookings'!$B1185="",0,IF(AND(OR(Dashboard!$D$9="All",TRIM('INPUT - Bookings'!$C1185)=Dashboard!$D$9),OR(Dashboard!$J$9="All",TRIM('INPUT - Bookings'!$D1185)=Dashboard!$J$9)),1,0))</f>
        <v/>
      </c>
      <c r="BC1185" s="244">
        <f>IF(AND(BB1185=1,ISNUMBER('INPUT - Bookings'!$E1185),'INPUT - Bookings'!$E1185&gt;=Settings!$C$8,'INPUT - Bookings'!$E1185&lt;=Settings!$C$8+14,IFERROR(INDEX(Settings!$Q$14:$Q$24,MATCH('INPUT - Bookings'!$G1185,Settings!$P$14:$P$24,0)),"Yes")="Yes"),'INPUT - Bookings'!$E1185+ROW()/100000,"")</f>
        <v/>
      </c>
    </row>
    <row r="1186">
      <c r="BB1186" s="244">
        <f>IF('INPUT - Bookings'!$B1186="",0,IF(AND(OR(Dashboard!$D$9="All",TRIM('INPUT - Bookings'!$C1186)=Dashboard!$D$9),OR(Dashboard!$J$9="All",TRIM('INPUT - Bookings'!$D1186)=Dashboard!$J$9)),1,0))</f>
        <v/>
      </c>
      <c r="BC1186" s="244">
        <f>IF(AND(BB1186=1,ISNUMBER('INPUT - Bookings'!$E1186),'INPUT - Bookings'!$E1186&gt;=Settings!$C$8,'INPUT - Bookings'!$E1186&lt;=Settings!$C$8+14,IFERROR(INDEX(Settings!$Q$14:$Q$24,MATCH('INPUT - Bookings'!$G1186,Settings!$P$14:$P$24,0)),"Yes")="Yes"),'INPUT - Bookings'!$E1186+ROW()/100000,"")</f>
        <v/>
      </c>
    </row>
    <row r="1187">
      <c r="BB1187" s="244">
        <f>IF('INPUT - Bookings'!$B1187="",0,IF(AND(OR(Dashboard!$D$9="All",TRIM('INPUT - Bookings'!$C1187)=Dashboard!$D$9),OR(Dashboard!$J$9="All",TRIM('INPUT - Bookings'!$D1187)=Dashboard!$J$9)),1,0))</f>
        <v/>
      </c>
      <c r="BC1187" s="244">
        <f>IF(AND(BB1187=1,ISNUMBER('INPUT - Bookings'!$E1187),'INPUT - Bookings'!$E1187&gt;=Settings!$C$8,'INPUT - Bookings'!$E1187&lt;=Settings!$C$8+14,IFERROR(INDEX(Settings!$Q$14:$Q$24,MATCH('INPUT - Bookings'!$G1187,Settings!$P$14:$P$24,0)),"Yes")="Yes"),'INPUT - Bookings'!$E1187+ROW()/100000,"")</f>
        <v/>
      </c>
    </row>
    <row r="1188">
      <c r="BB1188" s="244">
        <f>IF('INPUT - Bookings'!$B1188="",0,IF(AND(OR(Dashboard!$D$9="All",TRIM('INPUT - Bookings'!$C1188)=Dashboard!$D$9),OR(Dashboard!$J$9="All",TRIM('INPUT - Bookings'!$D1188)=Dashboard!$J$9)),1,0))</f>
        <v/>
      </c>
      <c r="BC1188" s="244">
        <f>IF(AND(BB1188=1,ISNUMBER('INPUT - Bookings'!$E1188),'INPUT - Bookings'!$E1188&gt;=Settings!$C$8,'INPUT - Bookings'!$E1188&lt;=Settings!$C$8+14,IFERROR(INDEX(Settings!$Q$14:$Q$24,MATCH('INPUT - Bookings'!$G1188,Settings!$P$14:$P$24,0)),"Yes")="Yes"),'INPUT - Bookings'!$E1188+ROW()/100000,"")</f>
        <v/>
      </c>
    </row>
    <row r="1189">
      <c r="BB1189" s="244">
        <f>IF('INPUT - Bookings'!$B1189="",0,IF(AND(OR(Dashboard!$D$9="All",TRIM('INPUT - Bookings'!$C1189)=Dashboard!$D$9),OR(Dashboard!$J$9="All",TRIM('INPUT - Bookings'!$D1189)=Dashboard!$J$9)),1,0))</f>
        <v/>
      </c>
      <c r="BC1189" s="244">
        <f>IF(AND(BB1189=1,ISNUMBER('INPUT - Bookings'!$E1189),'INPUT - Bookings'!$E1189&gt;=Settings!$C$8,'INPUT - Bookings'!$E1189&lt;=Settings!$C$8+14,IFERROR(INDEX(Settings!$Q$14:$Q$24,MATCH('INPUT - Bookings'!$G1189,Settings!$P$14:$P$24,0)),"Yes")="Yes"),'INPUT - Bookings'!$E1189+ROW()/100000,"")</f>
        <v/>
      </c>
    </row>
    <row r="1190">
      <c r="BB1190" s="244">
        <f>IF('INPUT - Bookings'!$B1190="",0,IF(AND(OR(Dashboard!$D$9="All",TRIM('INPUT - Bookings'!$C1190)=Dashboard!$D$9),OR(Dashboard!$J$9="All",TRIM('INPUT - Bookings'!$D1190)=Dashboard!$J$9)),1,0))</f>
        <v/>
      </c>
      <c r="BC1190" s="244">
        <f>IF(AND(BB1190=1,ISNUMBER('INPUT - Bookings'!$E1190),'INPUT - Bookings'!$E1190&gt;=Settings!$C$8,'INPUT - Bookings'!$E1190&lt;=Settings!$C$8+14,IFERROR(INDEX(Settings!$Q$14:$Q$24,MATCH('INPUT - Bookings'!$G1190,Settings!$P$14:$P$24,0)),"Yes")="Yes"),'INPUT - Bookings'!$E1190+ROW()/100000,"")</f>
        <v/>
      </c>
    </row>
    <row r="1191">
      <c r="BB1191" s="244">
        <f>IF('INPUT - Bookings'!$B1191="",0,IF(AND(OR(Dashboard!$D$9="All",TRIM('INPUT - Bookings'!$C1191)=Dashboard!$D$9),OR(Dashboard!$J$9="All",TRIM('INPUT - Bookings'!$D1191)=Dashboard!$J$9)),1,0))</f>
        <v/>
      </c>
      <c r="BC1191" s="244">
        <f>IF(AND(BB1191=1,ISNUMBER('INPUT - Bookings'!$E1191),'INPUT - Bookings'!$E1191&gt;=Settings!$C$8,'INPUT - Bookings'!$E1191&lt;=Settings!$C$8+14,IFERROR(INDEX(Settings!$Q$14:$Q$24,MATCH('INPUT - Bookings'!$G1191,Settings!$P$14:$P$24,0)),"Yes")="Yes"),'INPUT - Bookings'!$E1191+ROW()/100000,"")</f>
        <v/>
      </c>
    </row>
    <row r="1192">
      <c r="BB1192" s="244">
        <f>IF('INPUT - Bookings'!$B1192="",0,IF(AND(OR(Dashboard!$D$9="All",TRIM('INPUT - Bookings'!$C1192)=Dashboard!$D$9),OR(Dashboard!$J$9="All",TRIM('INPUT - Bookings'!$D1192)=Dashboard!$J$9)),1,0))</f>
        <v/>
      </c>
      <c r="BC1192" s="244">
        <f>IF(AND(BB1192=1,ISNUMBER('INPUT - Bookings'!$E1192),'INPUT - Bookings'!$E1192&gt;=Settings!$C$8,'INPUT - Bookings'!$E1192&lt;=Settings!$C$8+14,IFERROR(INDEX(Settings!$Q$14:$Q$24,MATCH('INPUT - Bookings'!$G1192,Settings!$P$14:$P$24,0)),"Yes")="Yes"),'INPUT - Bookings'!$E1192+ROW()/100000,"")</f>
        <v/>
      </c>
    </row>
    <row r="1193">
      <c r="BB1193" s="244">
        <f>IF('INPUT - Bookings'!$B1193="",0,IF(AND(OR(Dashboard!$D$9="All",TRIM('INPUT - Bookings'!$C1193)=Dashboard!$D$9),OR(Dashboard!$J$9="All",TRIM('INPUT - Bookings'!$D1193)=Dashboard!$J$9)),1,0))</f>
        <v/>
      </c>
      <c r="BC1193" s="244">
        <f>IF(AND(BB1193=1,ISNUMBER('INPUT - Bookings'!$E1193),'INPUT - Bookings'!$E1193&gt;=Settings!$C$8,'INPUT - Bookings'!$E1193&lt;=Settings!$C$8+14,IFERROR(INDEX(Settings!$Q$14:$Q$24,MATCH('INPUT - Bookings'!$G1193,Settings!$P$14:$P$24,0)),"Yes")="Yes"),'INPUT - Bookings'!$E1193+ROW()/100000,"")</f>
        <v/>
      </c>
    </row>
    <row r="1194">
      <c r="BB1194" s="244">
        <f>IF('INPUT - Bookings'!$B1194="",0,IF(AND(OR(Dashboard!$D$9="All",TRIM('INPUT - Bookings'!$C1194)=Dashboard!$D$9),OR(Dashboard!$J$9="All",TRIM('INPUT - Bookings'!$D1194)=Dashboard!$J$9)),1,0))</f>
        <v/>
      </c>
      <c r="BC1194" s="244">
        <f>IF(AND(BB1194=1,ISNUMBER('INPUT - Bookings'!$E1194),'INPUT - Bookings'!$E1194&gt;=Settings!$C$8,'INPUT - Bookings'!$E1194&lt;=Settings!$C$8+14,IFERROR(INDEX(Settings!$Q$14:$Q$24,MATCH('INPUT - Bookings'!$G1194,Settings!$P$14:$P$24,0)),"Yes")="Yes"),'INPUT - Bookings'!$E1194+ROW()/100000,"")</f>
        <v/>
      </c>
    </row>
    <row r="1195">
      <c r="BB1195" s="244">
        <f>IF('INPUT - Bookings'!$B1195="",0,IF(AND(OR(Dashboard!$D$9="All",TRIM('INPUT - Bookings'!$C1195)=Dashboard!$D$9),OR(Dashboard!$J$9="All",TRIM('INPUT - Bookings'!$D1195)=Dashboard!$J$9)),1,0))</f>
        <v/>
      </c>
      <c r="BC1195" s="244">
        <f>IF(AND(BB1195=1,ISNUMBER('INPUT - Bookings'!$E1195),'INPUT - Bookings'!$E1195&gt;=Settings!$C$8,'INPUT - Bookings'!$E1195&lt;=Settings!$C$8+14,IFERROR(INDEX(Settings!$Q$14:$Q$24,MATCH('INPUT - Bookings'!$G1195,Settings!$P$14:$P$24,0)),"Yes")="Yes"),'INPUT - Bookings'!$E1195+ROW()/100000,"")</f>
        <v/>
      </c>
    </row>
    <row r="1196">
      <c r="BB1196" s="244">
        <f>IF('INPUT - Bookings'!$B1196="",0,IF(AND(OR(Dashboard!$D$9="All",TRIM('INPUT - Bookings'!$C1196)=Dashboard!$D$9),OR(Dashboard!$J$9="All",TRIM('INPUT - Bookings'!$D1196)=Dashboard!$J$9)),1,0))</f>
        <v/>
      </c>
      <c r="BC1196" s="244">
        <f>IF(AND(BB1196=1,ISNUMBER('INPUT - Bookings'!$E1196),'INPUT - Bookings'!$E1196&gt;=Settings!$C$8,'INPUT - Bookings'!$E1196&lt;=Settings!$C$8+14,IFERROR(INDEX(Settings!$Q$14:$Q$24,MATCH('INPUT - Bookings'!$G1196,Settings!$P$14:$P$24,0)),"Yes")="Yes"),'INPUT - Bookings'!$E1196+ROW()/100000,"")</f>
        <v/>
      </c>
    </row>
    <row r="1197">
      <c r="BB1197" s="244">
        <f>IF('INPUT - Bookings'!$B1197="",0,IF(AND(OR(Dashboard!$D$9="All",TRIM('INPUT - Bookings'!$C1197)=Dashboard!$D$9),OR(Dashboard!$J$9="All",TRIM('INPUT - Bookings'!$D1197)=Dashboard!$J$9)),1,0))</f>
        <v/>
      </c>
      <c r="BC1197" s="244">
        <f>IF(AND(BB1197=1,ISNUMBER('INPUT - Bookings'!$E1197),'INPUT - Bookings'!$E1197&gt;=Settings!$C$8,'INPUT - Bookings'!$E1197&lt;=Settings!$C$8+14,IFERROR(INDEX(Settings!$Q$14:$Q$24,MATCH('INPUT - Bookings'!$G1197,Settings!$P$14:$P$24,0)),"Yes")="Yes"),'INPUT - Bookings'!$E1197+ROW()/100000,"")</f>
        <v/>
      </c>
    </row>
    <row r="1198">
      <c r="BB1198" s="244">
        <f>IF('INPUT - Bookings'!$B1198="",0,IF(AND(OR(Dashboard!$D$9="All",TRIM('INPUT - Bookings'!$C1198)=Dashboard!$D$9),OR(Dashboard!$J$9="All",TRIM('INPUT - Bookings'!$D1198)=Dashboard!$J$9)),1,0))</f>
        <v/>
      </c>
      <c r="BC1198" s="244">
        <f>IF(AND(BB1198=1,ISNUMBER('INPUT - Bookings'!$E1198),'INPUT - Bookings'!$E1198&gt;=Settings!$C$8,'INPUT - Bookings'!$E1198&lt;=Settings!$C$8+14,IFERROR(INDEX(Settings!$Q$14:$Q$24,MATCH('INPUT - Bookings'!$G1198,Settings!$P$14:$P$24,0)),"Yes")="Yes"),'INPUT - Bookings'!$E1198+ROW()/100000,"")</f>
        <v/>
      </c>
    </row>
    <row r="1199">
      <c r="BB1199" s="244">
        <f>IF('INPUT - Bookings'!$B1199="",0,IF(AND(OR(Dashboard!$D$9="All",TRIM('INPUT - Bookings'!$C1199)=Dashboard!$D$9),OR(Dashboard!$J$9="All",TRIM('INPUT - Bookings'!$D1199)=Dashboard!$J$9)),1,0))</f>
        <v/>
      </c>
      <c r="BC1199" s="244">
        <f>IF(AND(BB1199=1,ISNUMBER('INPUT - Bookings'!$E1199),'INPUT - Bookings'!$E1199&gt;=Settings!$C$8,'INPUT - Bookings'!$E1199&lt;=Settings!$C$8+14,IFERROR(INDEX(Settings!$Q$14:$Q$24,MATCH('INPUT - Bookings'!$G1199,Settings!$P$14:$P$24,0)),"Yes")="Yes"),'INPUT - Bookings'!$E1199+ROW()/100000,"")</f>
        <v/>
      </c>
    </row>
    <row r="1200">
      <c r="BB1200" s="244">
        <f>IF('INPUT - Bookings'!$B1200="",0,IF(AND(OR(Dashboard!$D$9="All",TRIM('INPUT - Bookings'!$C1200)=Dashboard!$D$9),OR(Dashboard!$J$9="All",TRIM('INPUT - Bookings'!$D1200)=Dashboard!$J$9)),1,0))</f>
        <v/>
      </c>
      <c r="BC1200" s="244">
        <f>IF(AND(BB1200=1,ISNUMBER('INPUT - Bookings'!$E1200),'INPUT - Bookings'!$E1200&gt;=Settings!$C$8,'INPUT - Bookings'!$E1200&lt;=Settings!$C$8+14,IFERROR(INDEX(Settings!$Q$14:$Q$24,MATCH('INPUT - Bookings'!$G1200,Settings!$P$14:$P$24,0)),"Yes")="Yes"),'INPUT - Bookings'!$E1200+ROW()/100000,"")</f>
        <v/>
      </c>
    </row>
    <row r="1201">
      <c r="BB1201" s="244">
        <f>IF('INPUT - Bookings'!$B1201="",0,IF(AND(OR(Dashboard!$D$9="All",TRIM('INPUT - Bookings'!$C1201)=Dashboard!$D$9),OR(Dashboard!$J$9="All",TRIM('INPUT - Bookings'!$D1201)=Dashboard!$J$9)),1,0))</f>
        <v/>
      </c>
      <c r="BC1201" s="244">
        <f>IF(AND(BB1201=1,ISNUMBER('INPUT - Bookings'!$E1201),'INPUT - Bookings'!$E1201&gt;=Settings!$C$8,'INPUT - Bookings'!$E1201&lt;=Settings!$C$8+14,IFERROR(INDEX(Settings!$Q$14:$Q$24,MATCH('INPUT - Bookings'!$G1201,Settings!$P$14:$P$24,0)),"Yes")="Yes"),'INPUT - Bookings'!$E1201+ROW()/100000,"")</f>
        <v/>
      </c>
    </row>
    <row r="1202">
      <c r="BB1202" s="244">
        <f>IF('INPUT - Bookings'!$B1202="",0,IF(AND(OR(Dashboard!$D$9="All",TRIM('INPUT - Bookings'!$C1202)=Dashboard!$D$9),OR(Dashboard!$J$9="All",TRIM('INPUT - Bookings'!$D1202)=Dashboard!$J$9)),1,0))</f>
        <v/>
      </c>
      <c r="BC1202" s="244">
        <f>IF(AND(BB1202=1,ISNUMBER('INPUT - Bookings'!$E1202),'INPUT - Bookings'!$E1202&gt;=Settings!$C$8,'INPUT - Bookings'!$E1202&lt;=Settings!$C$8+14,IFERROR(INDEX(Settings!$Q$14:$Q$24,MATCH('INPUT - Bookings'!$G1202,Settings!$P$14:$P$24,0)),"Yes")="Yes"),'INPUT - Bookings'!$E1202+ROW()/100000,"")</f>
        <v/>
      </c>
    </row>
    <row r="1203">
      <c r="BB1203" s="244">
        <f>IF('INPUT - Bookings'!$B1203="",0,IF(AND(OR(Dashboard!$D$9="All",TRIM('INPUT - Bookings'!$C1203)=Dashboard!$D$9),OR(Dashboard!$J$9="All",TRIM('INPUT - Bookings'!$D1203)=Dashboard!$J$9)),1,0))</f>
        <v/>
      </c>
      <c r="BC1203" s="244">
        <f>IF(AND(BB1203=1,ISNUMBER('INPUT - Bookings'!$E1203),'INPUT - Bookings'!$E1203&gt;=Settings!$C$8,'INPUT - Bookings'!$E1203&lt;=Settings!$C$8+14,IFERROR(INDEX(Settings!$Q$14:$Q$24,MATCH('INPUT - Bookings'!$G1203,Settings!$P$14:$P$24,0)),"Yes")="Yes"),'INPUT - Bookings'!$E1203+ROW()/100000,"")</f>
        <v/>
      </c>
    </row>
    <row r="1204">
      <c r="BB1204" s="244">
        <f>IF('INPUT - Bookings'!$B1204="",0,IF(AND(OR(Dashboard!$D$9="All",TRIM('INPUT - Bookings'!$C1204)=Dashboard!$D$9),OR(Dashboard!$J$9="All",TRIM('INPUT - Bookings'!$D1204)=Dashboard!$J$9)),1,0))</f>
        <v/>
      </c>
      <c r="BC1204" s="244">
        <f>IF(AND(BB1204=1,ISNUMBER('INPUT - Bookings'!$E1204),'INPUT - Bookings'!$E1204&gt;=Settings!$C$8,'INPUT - Bookings'!$E1204&lt;=Settings!$C$8+14,IFERROR(INDEX(Settings!$Q$14:$Q$24,MATCH('INPUT - Bookings'!$G1204,Settings!$P$14:$P$24,0)),"Yes")="Yes"),'INPUT - Bookings'!$E1204+ROW()/100000,"")</f>
        <v/>
      </c>
    </row>
    <row r="1205">
      <c r="BB1205" s="244">
        <f>IF('INPUT - Bookings'!$B1205="",0,IF(AND(OR(Dashboard!$D$9="All",TRIM('INPUT - Bookings'!$C1205)=Dashboard!$D$9),OR(Dashboard!$J$9="All",TRIM('INPUT - Bookings'!$D1205)=Dashboard!$J$9)),1,0))</f>
        <v/>
      </c>
      <c r="BC1205" s="244">
        <f>IF(AND(BB1205=1,ISNUMBER('INPUT - Bookings'!$E1205),'INPUT - Bookings'!$E1205&gt;=Settings!$C$8,'INPUT - Bookings'!$E1205&lt;=Settings!$C$8+14,IFERROR(INDEX(Settings!$Q$14:$Q$24,MATCH('INPUT - Bookings'!$G1205,Settings!$P$14:$P$24,0)),"Yes")="Yes"),'INPUT - Bookings'!$E1205+ROW()/100000,"")</f>
        <v/>
      </c>
    </row>
    <row r="1206">
      <c r="BB1206" s="244">
        <f>IF('INPUT - Bookings'!$B1206="",0,IF(AND(OR(Dashboard!$D$9="All",TRIM('INPUT - Bookings'!$C1206)=Dashboard!$D$9),OR(Dashboard!$J$9="All",TRIM('INPUT - Bookings'!$D1206)=Dashboard!$J$9)),1,0))</f>
        <v/>
      </c>
      <c r="BC1206" s="244">
        <f>IF(AND(BB1206=1,ISNUMBER('INPUT - Bookings'!$E1206),'INPUT - Bookings'!$E1206&gt;=Settings!$C$8,'INPUT - Bookings'!$E1206&lt;=Settings!$C$8+14,IFERROR(INDEX(Settings!$Q$14:$Q$24,MATCH('INPUT - Bookings'!$G1206,Settings!$P$14:$P$24,0)),"Yes")="Yes"),'INPUT - Bookings'!$E1206+ROW()/100000,"")</f>
        <v/>
      </c>
    </row>
    <row r="1207">
      <c r="BB1207" s="244">
        <f>IF('INPUT - Bookings'!$B1207="",0,IF(AND(OR(Dashboard!$D$9="All",TRIM('INPUT - Bookings'!$C1207)=Dashboard!$D$9),OR(Dashboard!$J$9="All",TRIM('INPUT - Bookings'!$D1207)=Dashboard!$J$9)),1,0))</f>
        <v/>
      </c>
      <c r="BC1207" s="244">
        <f>IF(AND(BB1207=1,ISNUMBER('INPUT - Bookings'!$E1207),'INPUT - Bookings'!$E1207&gt;=Settings!$C$8,'INPUT - Bookings'!$E1207&lt;=Settings!$C$8+14,IFERROR(INDEX(Settings!$Q$14:$Q$24,MATCH('INPUT - Bookings'!$G1207,Settings!$P$14:$P$24,0)),"Yes")="Yes"),'INPUT - Bookings'!$E1207+ROW()/100000,"")</f>
        <v/>
      </c>
    </row>
    <row r="1208">
      <c r="BB1208" s="244">
        <f>IF('INPUT - Bookings'!$B1208="",0,IF(AND(OR(Dashboard!$D$9="All",TRIM('INPUT - Bookings'!$C1208)=Dashboard!$D$9),OR(Dashboard!$J$9="All",TRIM('INPUT - Bookings'!$D1208)=Dashboard!$J$9)),1,0))</f>
        <v/>
      </c>
      <c r="BC1208" s="244">
        <f>IF(AND(BB1208=1,ISNUMBER('INPUT - Bookings'!$E1208),'INPUT - Bookings'!$E1208&gt;=Settings!$C$8,'INPUT - Bookings'!$E1208&lt;=Settings!$C$8+14,IFERROR(INDEX(Settings!$Q$14:$Q$24,MATCH('INPUT - Bookings'!$G1208,Settings!$P$14:$P$24,0)),"Yes")="Yes"),'INPUT - Bookings'!$E1208+ROW()/100000,"")</f>
        <v/>
      </c>
    </row>
    <row r="1209">
      <c r="BB1209" s="244">
        <f>IF('INPUT - Bookings'!$B1209="",0,IF(AND(OR(Dashboard!$D$9="All",TRIM('INPUT - Bookings'!$C1209)=Dashboard!$D$9),OR(Dashboard!$J$9="All",TRIM('INPUT - Bookings'!$D1209)=Dashboard!$J$9)),1,0))</f>
        <v/>
      </c>
      <c r="BC1209" s="244">
        <f>IF(AND(BB1209=1,ISNUMBER('INPUT - Bookings'!$E1209),'INPUT - Bookings'!$E1209&gt;=Settings!$C$8,'INPUT - Bookings'!$E1209&lt;=Settings!$C$8+14,IFERROR(INDEX(Settings!$Q$14:$Q$24,MATCH('INPUT - Bookings'!$G1209,Settings!$P$14:$P$24,0)),"Yes")="Yes"),'INPUT - Bookings'!$E1209+ROW()/100000,"")</f>
        <v/>
      </c>
    </row>
    <row r="1210">
      <c r="BB1210" s="244">
        <f>IF('INPUT - Bookings'!$B1210="",0,IF(AND(OR(Dashboard!$D$9="All",TRIM('INPUT - Bookings'!$C1210)=Dashboard!$D$9),OR(Dashboard!$J$9="All",TRIM('INPUT - Bookings'!$D1210)=Dashboard!$J$9)),1,0))</f>
        <v/>
      </c>
      <c r="BC1210" s="244">
        <f>IF(AND(BB1210=1,ISNUMBER('INPUT - Bookings'!$E1210),'INPUT - Bookings'!$E1210&gt;=Settings!$C$8,'INPUT - Bookings'!$E1210&lt;=Settings!$C$8+14,IFERROR(INDEX(Settings!$Q$14:$Q$24,MATCH('INPUT - Bookings'!$G1210,Settings!$P$14:$P$24,0)),"Yes")="Yes"),'INPUT - Bookings'!$E1210+ROW()/100000,"")</f>
        <v/>
      </c>
    </row>
    <row r="1211">
      <c r="BB1211" s="244">
        <f>IF('INPUT - Bookings'!$B1211="",0,IF(AND(OR(Dashboard!$D$9="All",TRIM('INPUT - Bookings'!$C1211)=Dashboard!$D$9),OR(Dashboard!$J$9="All",TRIM('INPUT - Bookings'!$D1211)=Dashboard!$J$9)),1,0))</f>
        <v/>
      </c>
      <c r="BC1211" s="244">
        <f>IF(AND(BB1211=1,ISNUMBER('INPUT - Bookings'!$E1211),'INPUT - Bookings'!$E1211&gt;=Settings!$C$8,'INPUT - Bookings'!$E1211&lt;=Settings!$C$8+14,IFERROR(INDEX(Settings!$Q$14:$Q$24,MATCH('INPUT - Bookings'!$G1211,Settings!$P$14:$P$24,0)),"Yes")="Yes"),'INPUT - Bookings'!$E1211+ROW()/100000,"")</f>
        <v/>
      </c>
    </row>
    <row r="1212">
      <c r="BB1212" s="244">
        <f>IF('INPUT - Bookings'!$B1212="",0,IF(AND(OR(Dashboard!$D$9="All",TRIM('INPUT - Bookings'!$C1212)=Dashboard!$D$9),OR(Dashboard!$J$9="All",TRIM('INPUT - Bookings'!$D1212)=Dashboard!$J$9)),1,0))</f>
        <v/>
      </c>
      <c r="BC1212" s="244">
        <f>IF(AND(BB1212=1,ISNUMBER('INPUT - Bookings'!$E1212),'INPUT - Bookings'!$E1212&gt;=Settings!$C$8,'INPUT - Bookings'!$E1212&lt;=Settings!$C$8+14,IFERROR(INDEX(Settings!$Q$14:$Q$24,MATCH('INPUT - Bookings'!$G1212,Settings!$P$14:$P$24,0)),"Yes")="Yes"),'INPUT - Bookings'!$E1212+ROW()/100000,"")</f>
        <v/>
      </c>
    </row>
    <row r="1213">
      <c r="BB1213" s="244">
        <f>IF('INPUT - Bookings'!$B1213="",0,IF(AND(OR(Dashboard!$D$9="All",TRIM('INPUT - Bookings'!$C1213)=Dashboard!$D$9),OR(Dashboard!$J$9="All",TRIM('INPUT - Bookings'!$D1213)=Dashboard!$J$9)),1,0))</f>
        <v/>
      </c>
      <c r="BC1213" s="244">
        <f>IF(AND(BB1213=1,ISNUMBER('INPUT - Bookings'!$E1213),'INPUT - Bookings'!$E1213&gt;=Settings!$C$8,'INPUT - Bookings'!$E1213&lt;=Settings!$C$8+14,IFERROR(INDEX(Settings!$Q$14:$Q$24,MATCH('INPUT - Bookings'!$G1213,Settings!$P$14:$P$24,0)),"Yes")="Yes"),'INPUT - Bookings'!$E1213+ROW()/100000,"")</f>
        <v/>
      </c>
    </row>
    <row r="1214">
      <c r="BB1214" s="244">
        <f>IF('INPUT - Bookings'!$B1214="",0,IF(AND(OR(Dashboard!$D$9="All",TRIM('INPUT - Bookings'!$C1214)=Dashboard!$D$9),OR(Dashboard!$J$9="All",TRIM('INPUT - Bookings'!$D1214)=Dashboard!$J$9)),1,0))</f>
        <v/>
      </c>
      <c r="BC1214" s="244">
        <f>IF(AND(BB1214=1,ISNUMBER('INPUT - Bookings'!$E1214),'INPUT - Bookings'!$E1214&gt;=Settings!$C$8,'INPUT - Bookings'!$E1214&lt;=Settings!$C$8+14,IFERROR(INDEX(Settings!$Q$14:$Q$24,MATCH('INPUT - Bookings'!$G1214,Settings!$P$14:$P$24,0)),"Yes")="Yes"),'INPUT - Bookings'!$E1214+ROW()/100000,"")</f>
        <v/>
      </c>
    </row>
    <row r="1215">
      <c r="BB1215" s="244">
        <f>IF('INPUT - Bookings'!$B1215="",0,IF(AND(OR(Dashboard!$D$9="All",TRIM('INPUT - Bookings'!$C1215)=Dashboard!$D$9),OR(Dashboard!$J$9="All",TRIM('INPUT - Bookings'!$D1215)=Dashboard!$J$9)),1,0))</f>
        <v/>
      </c>
      <c r="BC1215" s="244">
        <f>IF(AND(BB1215=1,ISNUMBER('INPUT - Bookings'!$E1215),'INPUT - Bookings'!$E1215&gt;=Settings!$C$8,'INPUT - Bookings'!$E1215&lt;=Settings!$C$8+14,IFERROR(INDEX(Settings!$Q$14:$Q$24,MATCH('INPUT - Bookings'!$G1215,Settings!$P$14:$P$24,0)),"Yes")="Yes"),'INPUT - Bookings'!$E1215+ROW()/100000,"")</f>
        <v/>
      </c>
    </row>
    <row r="1216">
      <c r="BB1216" s="244">
        <f>IF('INPUT - Bookings'!$B1216="",0,IF(AND(OR(Dashboard!$D$9="All",TRIM('INPUT - Bookings'!$C1216)=Dashboard!$D$9),OR(Dashboard!$J$9="All",TRIM('INPUT - Bookings'!$D1216)=Dashboard!$J$9)),1,0))</f>
        <v/>
      </c>
      <c r="BC1216" s="244">
        <f>IF(AND(BB1216=1,ISNUMBER('INPUT - Bookings'!$E1216),'INPUT - Bookings'!$E1216&gt;=Settings!$C$8,'INPUT - Bookings'!$E1216&lt;=Settings!$C$8+14,IFERROR(INDEX(Settings!$Q$14:$Q$24,MATCH('INPUT - Bookings'!$G1216,Settings!$P$14:$P$24,0)),"Yes")="Yes"),'INPUT - Bookings'!$E1216+ROW()/100000,"")</f>
        <v/>
      </c>
    </row>
    <row r="1217">
      <c r="BB1217" s="244">
        <f>IF('INPUT - Bookings'!$B1217="",0,IF(AND(OR(Dashboard!$D$9="All",TRIM('INPUT - Bookings'!$C1217)=Dashboard!$D$9),OR(Dashboard!$J$9="All",TRIM('INPUT - Bookings'!$D1217)=Dashboard!$J$9)),1,0))</f>
        <v/>
      </c>
      <c r="BC1217" s="244">
        <f>IF(AND(BB1217=1,ISNUMBER('INPUT - Bookings'!$E1217),'INPUT - Bookings'!$E1217&gt;=Settings!$C$8,'INPUT - Bookings'!$E1217&lt;=Settings!$C$8+14,IFERROR(INDEX(Settings!$Q$14:$Q$24,MATCH('INPUT - Bookings'!$G1217,Settings!$P$14:$P$24,0)),"Yes")="Yes"),'INPUT - Bookings'!$E1217+ROW()/100000,"")</f>
        <v/>
      </c>
    </row>
    <row r="1218">
      <c r="BB1218" s="244">
        <f>IF('INPUT - Bookings'!$B1218="",0,IF(AND(OR(Dashboard!$D$9="All",TRIM('INPUT - Bookings'!$C1218)=Dashboard!$D$9),OR(Dashboard!$J$9="All",TRIM('INPUT - Bookings'!$D1218)=Dashboard!$J$9)),1,0))</f>
        <v/>
      </c>
      <c r="BC1218" s="244">
        <f>IF(AND(BB1218=1,ISNUMBER('INPUT - Bookings'!$E1218),'INPUT - Bookings'!$E1218&gt;=Settings!$C$8,'INPUT - Bookings'!$E1218&lt;=Settings!$C$8+14,IFERROR(INDEX(Settings!$Q$14:$Q$24,MATCH('INPUT - Bookings'!$G1218,Settings!$P$14:$P$24,0)),"Yes")="Yes"),'INPUT - Bookings'!$E1218+ROW()/100000,"")</f>
        <v/>
      </c>
    </row>
    <row r="1219">
      <c r="BB1219" s="244">
        <f>IF('INPUT - Bookings'!$B1219="",0,IF(AND(OR(Dashboard!$D$9="All",TRIM('INPUT - Bookings'!$C1219)=Dashboard!$D$9),OR(Dashboard!$J$9="All",TRIM('INPUT - Bookings'!$D1219)=Dashboard!$J$9)),1,0))</f>
        <v/>
      </c>
      <c r="BC1219" s="244">
        <f>IF(AND(BB1219=1,ISNUMBER('INPUT - Bookings'!$E1219),'INPUT - Bookings'!$E1219&gt;=Settings!$C$8,'INPUT - Bookings'!$E1219&lt;=Settings!$C$8+14,IFERROR(INDEX(Settings!$Q$14:$Q$24,MATCH('INPUT - Bookings'!$G1219,Settings!$P$14:$P$24,0)),"Yes")="Yes"),'INPUT - Bookings'!$E1219+ROW()/100000,"")</f>
        <v/>
      </c>
    </row>
    <row r="1220">
      <c r="BB1220" s="244">
        <f>IF('INPUT - Bookings'!$B1220="",0,IF(AND(OR(Dashboard!$D$9="All",TRIM('INPUT - Bookings'!$C1220)=Dashboard!$D$9),OR(Dashboard!$J$9="All",TRIM('INPUT - Bookings'!$D1220)=Dashboard!$J$9)),1,0))</f>
        <v/>
      </c>
      <c r="BC1220" s="244">
        <f>IF(AND(BB1220=1,ISNUMBER('INPUT - Bookings'!$E1220),'INPUT - Bookings'!$E1220&gt;=Settings!$C$8,'INPUT - Bookings'!$E1220&lt;=Settings!$C$8+14,IFERROR(INDEX(Settings!$Q$14:$Q$24,MATCH('INPUT - Bookings'!$G1220,Settings!$P$14:$P$24,0)),"Yes")="Yes"),'INPUT - Bookings'!$E1220+ROW()/100000,"")</f>
        <v/>
      </c>
    </row>
    <row r="1221">
      <c r="BB1221" s="244">
        <f>IF('INPUT - Bookings'!$B1221="",0,IF(AND(OR(Dashboard!$D$9="All",TRIM('INPUT - Bookings'!$C1221)=Dashboard!$D$9),OR(Dashboard!$J$9="All",TRIM('INPUT - Bookings'!$D1221)=Dashboard!$J$9)),1,0))</f>
        <v/>
      </c>
      <c r="BC1221" s="244">
        <f>IF(AND(BB1221=1,ISNUMBER('INPUT - Bookings'!$E1221),'INPUT - Bookings'!$E1221&gt;=Settings!$C$8,'INPUT - Bookings'!$E1221&lt;=Settings!$C$8+14,IFERROR(INDEX(Settings!$Q$14:$Q$24,MATCH('INPUT - Bookings'!$G1221,Settings!$P$14:$P$24,0)),"Yes")="Yes"),'INPUT - Bookings'!$E1221+ROW()/100000,"")</f>
        <v/>
      </c>
    </row>
    <row r="1222">
      <c r="BB1222" s="244">
        <f>IF('INPUT - Bookings'!$B1222="",0,IF(AND(OR(Dashboard!$D$9="All",TRIM('INPUT - Bookings'!$C1222)=Dashboard!$D$9),OR(Dashboard!$J$9="All",TRIM('INPUT - Bookings'!$D1222)=Dashboard!$J$9)),1,0))</f>
        <v/>
      </c>
      <c r="BC1222" s="244">
        <f>IF(AND(BB1222=1,ISNUMBER('INPUT - Bookings'!$E1222),'INPUT - Bookings'!$E1222&gt;=Settings!$C$8,'INPUT - Bookings'!$E1222&lt;=Settings!$C$8+14,IFERROR(INDEX(Settings!$Q$14:$Q$24,MATCH('INPUT - Bookings'!$G1222,Settings!$P$14:$P$24,0)),"Yes")="Yes"),'INPUT - Bookings'!$E1222+ROW()/100000,"")</f>
        <v/>
      </c>
    </row>
    <row r="1223">
      <c r="BB1223" s="244">
        <f>IF('INPUT - Bookings'!$B1223="",0,IF(AND(OR(Dashboard!$D$9="All",TRIM('INPUT - Bookings'!$C1223)=Dashboard!$D$9),OR(Dashboard!$J$9="All",TRIM('INPUT - Bookings'!$D1223)=Dashboard!$J$9)),1,0))</f>
        <v/>
      </c>
      <c r="BC1223" s="244">
        <f>IF(AND(BB1223=1,ISNUMBER('INPUT - Bookings'!$E1223),'INPUT - Bookings'!$E1223&gt;=Settings!$C$8,'INPUT - Bookings'!$E1223&lt;=Settings!$C$8+14,IFERROR(INDEX(Settings!$Q$14:$Q$24,MATCH('INPUT - Bookings'!$G1223,Settings!$P$14:$P$24,0)),"Yes")="Yes"),'INPUT - Bookings'!$E1223+ROW()/100000,"")</f>
        <v/>
      </c>
    </row>
    <row r="1224">
      <c r="BB1224" s="244">
        <f>IF('INPUT - Bookings'!$B1224="",0,IF(AND(OR(Dashboard!$D$9="All",TRIM('INPUT - Bookings'!$C1224)=Dashboard!$D$9),OR(Dashboard!$J$9="All",TRIM('INPUT - Bookings'!$D1224)=Dashboard!$J$9)),1,0))</f>
        <v/>
      </c>
      <c r="BC1224" s="244">
        <f>IF(AND(BB1224=1,ISNUMBER('INPUT - Bookings'!$E1224),'INPUT - Bookings'!$E1224&gt;=Settings!$C$8,'INPUT - Bookings'!$E1224&lt;=Settings!$C$8+14,IFERROR(INDEX(Settings!$Q$14:$Q$24,MATCH('INPUT - Bookings'!$G1224,Settings!$P$14:$P$24,0)),"Yes")="Yes"),'INPUT - Bookings'!$E1224+ROW()/100000,"")</f>
        <v/>
      </c>
    </row>
    <row r="1225">
      <c r="BB1225" s="244">
        <f>IF('INPUT - Bookings'!$B1225="",0,IF(AND(OR(Dashboard!$D$9="All",TRIM('INPUT - Bookings'!$C1225)=Dashboard!$D$9),OR(Dashboard!$J$9="All",TRIM('INPUT - Bookings'!$D1225)=Dashboard!$J$9)),1,0))</f>
        <v/>
      </c>
      <c r="BC1225" s="244">
        <f>IF(AND(BB1225=1,ISNUMBER('INPUT - Bookings'!$E1225),'INPUT - Bookings'!$E1225&gt;=Settings!$C$8,'INPUT - Bookings'!$E1225&lt;=Settings!$C$8+14,IFERROR(INDEX(Settings!$Q$14:$Q$24,MATCH('INPUT - Bookings'!$G1225,Settings!$P$14:$P$24,0)),"Yes")="Yes"),'INPUT - Bookings'!$E1225+ROW()/100000,"")</f>
        <v/>
      </c>
    </row>
    <row r="1226">
      <c r="BB1226" s="244">
        <f>IF('INPUT - Bookings'!$B1226="",0,IF(AND(OR(Dashboard!$D$9="All",TRIM('INPUT - Bookings'!$C1226)=Dashboard!$D$9),OR(Dashboard!$J$9="All",TRIM('INPUT - Bookings'!$D1226)=Dashboard!$J$9)),1,0))</f>
        <v/>
      </c>
      <c r="BC1226" s="244">
        <f>IF(AND(BB1226=1,ISNUMBER('INPUT - Bookings'!$E1226),'INPUT - Bookings'!$E1226&gt;=Settings!$C$8,'INPUT - Bookings'!$E1226&lt;=Settings!$C$8+14,IFERROR(INDEX(Settings!$Q$14:$Q$24,MATCH('INPUT - Bookings'!$G1226,Settings!$P$14:$P$24,0)),"Yes")="Yes"),'INPUT - Bookings'!$E1226+ROW()/100000,"")</f>
        <v/>
      </c>
    </row>
    <row r="1227">
      <c r="BB1227" s="244">
        <f>IF('INPUT - Bookings'!$B1227="",0,IF(AND(OR(Dashboard!$D$9="All",TRIM('INPUT - Bookings'!$C1227)=Dashboard!$D$9),OR(Dashboard!$J$9="All",TRIM('INPUT - Bookings'!$D1227)=Dashboard!$J$9)),1,0))</f>
        <v/>
      </c>
      <c r="BC1227" s="244">
        <f>IF(AND(BB1227=1,ISNUMBER('INPUT - Bookings'!$E1227),'INPUT - Bookings'!$E1227&gt;=Settings!$C$8,'INPUT - Bookings'!$E1227&lt;=Settings!$C$8+14,IFERROR(INDEX(Settings!$Q$14:$Q$24,MATCH('INPUT - Bookings'!$G1227,Settings!$P$14:$P$24,0)),"Yes")="Yes"),'INPUT - Bookings'!$E1227+ROW()/100000,"")</f>
        <v/>
      </c>
    </row>
    <row r="1228">
      <c r="BB1228" s="244">
        <f>IF('INPUT - Bookings'!$B1228="",0,IF(AND(OR(Dashboard!$D$9="All",TRIM('INPUT - Bookings'!$C1228)=Dashboard!$D$9),OR(Dashboard!$J$9="All",TRIM('INPUT - Bookings'!$D1228)=Dashboard!$J$9)),1,0))</f>
        <v/>
      </c>
      <c r="BC1228" s="244">
        <f>IF(AND(BB1228=1,ISNUMBER('INPUT - Bookings'!$E1228),'INPUT - Bookings'!$E1228&gt;=Settings!$C$8,'INPUT - Bookings'!$E1228&lt;=Settings!$C$8+14,IFERROR(INDEX(Settings!$Q$14:$Q$24,MATCH('INPUT - Bookings'!$G1228,Settings!$P$14:$P$24,0)),"Yes")="Yes"),'INPUT - Bookings'!$E1228+ROW()/100000,"")</f>
        <v/>
      </c>
    </row>
    <row r="1229">
      <c r="BB1229" s="244">
        <f>IF('INPUT - Bookings'!$B1229="",0,IF(AND(OR(Dashboard!$D$9="All",TRIM('INPUT - Bookings'!$C1229)=Dashboard!$D$9),OR(Dashboard!$J$9="All",TRIM('INPUT - Bookings'!$D1229)=Dashboard!$J$9)),1,0))</f>
        <v/>
      </c>
      <c r="BC1229" s="244">
        <f>IF(AND(BB1229=1,ISNUMBER('INPUT - Bookings'!$E1229),'INPUT - Bookings'!$E1229&gt;=Settings!$C$8,'INPUT - Bookings'!$E1229&lt;=Settings!$C$8+14,IFERROR(INDEX(Settings!$Q$14:$Q$24,MATCH('INPUT - Bookings'!$G1229,Settings!$P$14:$P$24,0)),"Yes")="Yes"),'INPUT - Bookings'!$E1229+ROW()/100000,"")</f>
        <v/>
      </c>
    </row>
    <row r="1230">
      <c r="BB1230" s="244">
        <f>IF('INPUT - Bookings'!$B1230="",0,IF(AND(OR(Dashboard!$D$9="All",TRIM('INPUT - Bookings'!$C1230)=Dashboard!$D$9),OR(Dashboard!$J$9="All",TRIM('INPUT - Bookings'!$D1230)=Dashboard!$J$9)),1,0))</f>
        <v/>
      </c>
      <c r="BC1230" s="244">
        <f>IF(AND(BB1230=1,ISNUMBER('INPUT - Bookings'!$E1230),'INPUT - Bookings'!$E1230&gt;=Settings!$C$8,'INPUT - Bookings'!$E1230&lt;=Settings!$C$8+14,IFERROR(INDEX(Settings!$Q$14:$Q$24,MATCH('INPUT - Bookings'!$G1230,Settings!$P$14:$P$24,0)),"Yes")="Yes"),'INPUT - Bookings'!$E1230+ROW()/100000,"")</f>
        <v/>
      </c>
    </row>
    <row r="1231">
      <c r="BB1231" s="244">
        <f>IF('INPUT - Bookings'!$B1231="",0,IF(AND(OR(Dashboard!$D$9="All",TRIM('INPUT - Bookings'!$C1231)=Dashboard!$D$9),OR(Dashboard!$J$9="All",TRIM('INPUT - Bookings'!$D1231)=Dashboard!$J$9)),1,0))</f>
        <v/>
      </c>
      <c r="BC1231" s="244">
        <f>IF(AND(BB1231=1,ISNUMBER('INPUT - Bookings'!$E1231),'INPUT - Bookings'!$E1231&gt;=Settings!$C$8,'INPUT - Bookings'!$E1231&lt;=Settings!$C$8+14,IFERROR(INDEX(Settings!$Q$14:$Q$24,MATCH('INPUT - Bookings'!$G1231,Settings!$P$14:$P$24,0)),"Yes")="Yes"),'INPUT - Bookings'!$E1231+ROW()/100000,"")</f>
        <v/>
      </c>
    </row>
    <row r="1232">
      <c r="BB1232" s="244">
        <f>IF('INPUT - Bookings'!$B1232="",0,IF(AND(OR(Dashboard!$D$9="All",TRIM('INPUT - Bookings'!$C1232)=Dashboard!$D$9),OR(Dashboard!$J$9="All",TRIM('INPUT - Bookings'!$D1232)=Dashboard!$J$9)),1,0))</f>
        <v/>
      </c>
      <c r="BC1232" s="244">
        <f>IF(AND(BB1232=1,ISNUMBER('INPUT - Bookings'!$E1232),'INPUT - Bookings'!$E1232&gt;=Settings!$C$8,'INPUT - Bookings'!$E1232&lt;=Settings!$C$8+14,IFERROR(INDEX(Settings!$Q$14:$Q$24,MATCH('INPUT - Bookings'!$G1232,Settings!$P$14:$P$24,0)),"Yes")="Yes"),'INPUT - Bookings'!$E1232+ROW()/100000,"")</f>
        <v/>
      </c>
    </row>
    <row r="1233">
      <c r="BB1233" s="244">
        <f>IF('INPUT - Bookings'!$B1233="",0,IF(AND(OR(Dashboard!$D$9="All",TRIM('INPUT - Bookings'!$C1233)=Dashboard!$D$9),OR(Dashboard!$J$9="All",TRIM('INPUT - Bookings'!$D1233)=Dashboard!$J$9)),1,0))</f>
        <v/>
      </c>
      <c r="BC1233" s="244">
        <f>IF(AND(BB1233=1,ISNUMBER('INPUT - Bookings'!$E1233),'INPUT - Bookings'!$E1233&gt;=Settings!$C$8,'INPUT - Bookings'!$E1233&lt;=Settings!$C$8+14,IFERROR(INDEX(Settings!$Q$14:$Q$24,MATCH('INPUT - Bookings'!$G1233,Settings!$P$14:$P$24,0)),"Yes")="Yes"),'INPUT - Bookings'!$E1233+ROW()/100000,"")</f>
        <v/>
      </c>
    </row>
    <row r="1234">
      <c r="BB1234" s="244">
        <f>IF('INPUT - Bookings'!$B1234="",0,IF(AND(OR(Dashboard!$D$9="All",TRIM('INPUT - Bookings'!$C1234)=Dashboard!$D$9),OR(Dashboard!$J$9="All",TRIM('INPUT - Bookings'!$D1234)=Dashboard!$J$9)),1,0))</f>
        <v/>
      </c>
      <c r="BC1234" s="244">
        <f>IF(AND(BB1234=1,ISNUMBER('INPUT - Bookings'!$E1234),'INPUT - Bookings'!$E1234&gt;=Settings!$C$8,'INPUT - Bookings'!$E1234&lt;=Settings!$C$8+14,IFERROR(INDEX(Settings!$Q$14:$Q$24,MATCH('INPUT - Bookings'!$G1234,Settings!$P$14:$P$24,0)),"Yes")="Yes"),'INPUT - Bookings'!$E1234+ROW()/100000,"")</f>
        <v/>
      </c>
    </row>
    <row r="1235">
      <c r="BB1235" s="244">
        <f>IF('INPUT - Bookings'!$B1235="",0,IF(AND(OR(Dashboard!$D$9="All",TRIM('INPUT - Bookings'!$C1235)=Dashboard!$D$9),OR(Dashboard!$J$9="All",TRIM('INPUT - Bookings'!$D1235)=Dashboard!$J$9)),1,0))</f>
        <v/>
      </c>
      <c r="BC1235" s="244">
        <f>IF(AND(BB1235=1,ISNUMBER('INPUT - Bookings'!$E1235),'INPUT - Bookings'!$E1235&gt;=Settings!$C$8,'INPUT - Bookings'!$E1235&lt;=Settings!$C$8+14,IFERROR(INDEX(Settings!$Q$14:$Q$24,MATCH('INPUT - Bookings'!$G1235,Settings!$P$14:$P$24,0)),"Yes")="Yes"),'INPUT - Bookings'!$E1235+ROW()/100000,"")</f>
        <v/>
      </c>
    </row>
    <row r="1236">
      <c r="BB1236" s="244">
        <f>IF('INPUT - Bookings'!$B1236="",0,IF(AND(OR(Dashboard!$D$9="All",TRIM('INPUT - Bookings'!$C1236)=Dashboard!$D$9),OR(Dashboard!$J$9="All",TRIM('INPUT - Bookings'!$D1236)=Dashboard!$J$9)),1,0))</f>
        <v/>
      </c>
      <c r="BC1236" s="244">
        <f>IF(AND(BB1236=1,ISNUMBER('INPUT - Bookings'!$E1236),'INPUT - Bookings'!$E1236&gt;=Settings!$C$8,'INPUT - Bookings'!$E1236&lt;=Settings!$C$8+14,IFERROR(INDEX(Settings!$Q$14:$Q$24,MATCH('INPUT - Bookings'!$G1236,Settings!$P$14:$P$24,0)),"Yes")="Yes"),'INPUT - Bookings'!$E1236+ROW()/100000,"")</f>
        <v/>
      </c>
    </row>
    <row r="1237">
      <c r="BB1237" s="244">
        <f>IF('INPUT - Bookings'!$B1237="",0,IF(AND(OR(Dashboard!$D$9="All",TRIM('INPUT - Bookings'!$C1237)=Dashboard!$D$9),OR(Dashboard!$J$9="All",TRIM('INPUT - Bookings'!$D1237)=Dashboard!$J$9)),1,0))</f>
        <v/>
      </c>
      <c r="BC1237" s="244">
        <f>IF(AND(BB1237=1,ISNUMBER('INPUT - Bookings'!$E1237),'INPUT - Bookings'!$E1237&gt;=Settings!$C$8,'INPUT - Bookings'!$E1237&lt;=Settings!$C$8+14,IFERROR(INDEX(Settings!$Q$14:$Q$24,MATCH('INPUT - Bookings'!$G1237,Settings!$P$14:$P$24,0)),"Yes")="Yes"),'INPUT - Bookings'!$E1237+ROW()/100000,"")</f>
        <v/>
      </c>
    </row>
    <row r="1238">
      <c r="BB1238" s="244">
        <f>IF('INPUT - Bookings'!$B1238="",0,IF(AND(OR(Dashboard!$D$9="All",TRIM('INPUT - Bookings'!$C1238)=Dashboard!$D$9),OR(Dashboard!$J$9="All",TRIM('INPUT - Bookings'!$D1238)=Dashboard!$J$9)),1,0))</f>
        <v/>
      </c>
      <c r="BC1238" s="244">
        <f>IF(AND(BB1238=1,ISNUMBER('INPUT - Bookings'!$E1238),'INPUT - Bookings'!$E1238&gt;=Settings!$C$8,'INPUT - Bookings'!$E1238&lt;=Settings!$C$8+14,IFERROR(INDEX(Settings!$Q$14:$Q$24,MATCH('INPUT - Bookings'!$G1238,Settings!$P$14:$P$24,0)),"Yes")="Yes"),'INPUT - Bookings'!$E1238+ROW()/100000,"")</f>
        <v/>
      </c>
    </row>
    <row r="1239">
      <c r="BB1239" s="244">
        <f>IF('INPUT - Bookings'!$B1239="",0,IF(AND(OR(Dashboard!$D$9="All",TRIM('INPUT - Bookings'!$C1239)=Dashboard!$D$9),OR(Dashboard!$J$9="All",TRIM('INPUT - Bookings'!$D1239)=Dashboard!$J$9)),1,0))</f>
        <v/>
      </c>
      <c r="BC1239" s="244">
        <f>IF(AND(BB1239=1,ISNUMBER('INPUT - Bookings'!$E1239),'INPUT - Bookings'!$E1239&gt;=Settings!$C$8,'INPUT - Bookings'!$E1239&lt;=Settings!$C$8+14,IFERROR(INDEX(Settings!$Q$14:$Q$24,MATCH('INPUT - Bookings'!$G1239,Settings!$P$14:$P$24,0)),"Yes")="Yes"),'INPUT - Bookings'!$E1239+ROW()/100000,"")</f>
        <v/>
      </c>
    </row>
    <row r="1240">
      <c r="BB1240" s="244">
        <f>IF('INPUT - Bookings'!$B1240="",0,IF(AND(OR(Dashboard!$D$9="All",TRIM('INPUT - Bookings'!$C1240)=Dashboard!$D$9),OR(Dashboard!$J$9="All",TRIM('INPUT - Bookings'!$D1240)=Dashboard!$J$9)),1,0))</f>
        <v/>
      </c>
      <c r="BC1240" s="244">
        <f>IF(AND(BB1240=1,ISNUMBER('INPUT - Bookings'!$E1240),'INPUT - Bookings'!$E1240&gt;=Settings!$C$8,'INPUT - Bookings'!$E1240&lt;=Settings!$C$8+14,IFERROR(INDEX(Settings!$Q$14:$Q$24,MATCH('INPUT - Bookings'!$G1240,Settings!$P$14:$P$24,0)),"Yes")="Yes"),'INPUT - Bookings'!$E1240+ROW()/100000,"")</f>
        <v/>
      </c>
    </row>
    <row r="1241">
      <c r="BB1241" s="244">
        <f>IF('INPUT - Bookings'!$B1241="",0,IF(AND(OR(Dashboard!$D$9="All",TRIM('INPUT - Bookings'!$C1241)=Dashboard!$D$9),OR(Dashboard!$J$9="All",TRIM('INPUT - Bookings'!$D1241)=Dashboard!$J$9)),1,0))</f>
        <v/>
      </c>
      <c r="BC1241" s="244">
        <f>IF(AND(BB1241=1,ISNUMBER('INPUT - Bookings'!$E1241),'INPUT - Bookings'!$E1241&gt;=Settings!$C$8,'INPUT - Bookings'!$E1241&lt;=Settings!$C$8+14,IFERROR(INDEX(Settings!$Q$14:$Q$24,MATCH('INPUT - Bookings'!$G1241,Settings!$P$14:$P$24,0)),"Yes")="Yes"),'INPUT - Bookings'!$E1241+ROW()/100000,"")</f>
        <v/>
      </c>
    </row>
    <row r="1242">
      <c r="BB1242" s="244">
        <f>IF('INPUT - Bookings'!$B1242="",0,IF(AND(OR(Dashboard!$D$9="All",TRIM('INPUT - Bookings'!$C1242)=Dashboard!$D$9),OR(Dashboard!$J$9="All",TRIM('INPUT - Bookings'!$D1242)=Dashboard!$J$9)),1,0))</f>
        <v/>
      </c>
      <c r="BC1242" s="244">
        <f>IF(AND(BB1242=1,ISNUMBER('INPUT - Bookings'!$E1242),'INPUT - Bookings'!$E1242&gt;=Settings!$C$8,'INPUT - Bookings'!$E1242&lt;=Settings!$C$8+14,IFERROR(INDEX(Settings!$Q$14:$Q$24,MATCH('INPUT - Bookings'!$G1242,Settings!$P$14:$P$24,0)),"Yes")="Yes"),'INPUT - Bookings'!$E1242+ROW()/100000,"")</f>
        <v/>
      </c>
    </row>
    <row r="1243">
      <c r="BB1243" s="244">
        <f>IF('INPUT - Bookings'!$B1243="",0,IF(AND(OR(Dashboard!$D$9="All",TRIM('INPUT - Bookings'!$C1243)=Dashboard!$D$9),OR(Dashboard!$J$9="All",TRIM('INPUT - Bookings'!$D1243)=Dashboard!$J$9)),1,0))</f>
        <v/>
      </c>
      <c r="BC1243" s="244">
        <f>IF(AND(BB1243=1,ISNUMBER('INPUT - Bookings'!$E1243),'INPUT - Bookings'!$E1243&gt;=Settings!$C$8,'INPUT - Bookings'!$E1243&lt;=Settings!$C$8+14,IFERROR(INDEX(Settings!$Q$14:$Q$24,MATCH('INPUT - Bookings'!$G1243,Settings!$P$14:$P$24,0)),"Yes")="Yes"),'INPUT - Bookings'!$E1243+ROW()/100000,"")</f>
        <v/>
      </c>
    </row>
    <row r="1244">
      <c r="BB1244" s="244">
        <f>IF('INPUT - Bookings'!$B1244="",0,IF(AND(OR(Dashboard!$D$9="All",TRIM('INPUT - Bookings'!$C1244)=Dashboard!$D$9),OR(Dashboard!$J$9="All",TRIM('INPUT - Bookings'!$D1244)=Dashboard!$J$9)),1,0))</f>
        <v/>
      </c>
      <c r="BC1244" s="244">
        <f>IF(AND(BB1244=1,ISNUMBER('INPUT - Bookings'!$E1244),'INPUT - Bookings'!$E1244&gt;=Settings!$C$8,'INPUT - Bookings'!$E1244&lt;=Settings!$C$8+14,IFERROR(INDEX(Settings!$Q$14:$Q$24,MATCH('INPUT - Bookings'!$G1244,Settings!$P$14:$P$24,0)),"Yes")="Yes"),'INPUT - Bookings'!$E1244+ROW()/100000,"")</f>
        <v/>
      </c>
    </row>
    <row r="1245">
      <c r="BB1245" s="244">
        <f>IF('INPUT - Bookings'!$B1245="",0,IF(AND(OR(Dashboard!$D$9="All",TRIM('INPUT - Bookings'!$C1245)=Dashboard!$D$9),OR(Dashboard!$J$9="All",TRIM('INPUT - Bookings'!$D1245)=Dashboard!$J$9)),1,0))</f>
        <v/>
      </c>
      <c r="BC1245" s="244">
        <f>IF(AND(BB1245=1,ISNUMBER('INPUT - Bookings'!$E1245),'INPUT - Bookings'!$E1245&gt;=Settings!$C$8,'INPUT - Bookings'!$E1245&lt;=Settings!$C$8+14,IFERROR(INDEX(Settings!$Q$14:$Q$24,MATCH('INPUT - Bookings'!$G1245,Settings!$P$14:$P$24,0)),"Yes")="Yes"),'INPUT - Bookings'!$E1245+ROW()/100000,"")</f>
        <v/>
      </c>
    </row>
    <row r="1246">
      <c r="BB1246" s="244">
        <f>IF('INPUT - Bookings'!$B1246="",0,IF(AND(OR(Dashboard!$D$9="All",TRIM('INPUT - Bookings'!$C1246)=Dashboard!$D$9),OR(Dashboard!$J$9="All",TRIM('INPUT - Bookings'!$D1246)=Dashboard!$J$9)),1,0))</f>
        <v/>
      </c>
      <c r="BC1246" s="244">
        <f>IF(AND(BB1246=1,ISNUMBER('INPUT - Bookings'!$E1246),'INPUT - Bookings'!$E1246&gt;=Settings!$C$8,'INPUT - Bookings'!$E1246&lt;=Settings!$C$8+14,IFERROR(INDEX(Settings!$Q$14:$Q$24,MATCH('INPUT - Bookings'!$G1246,Settings!$P$14:$P$24,0)),"Yes")="Yes"),'INPUT - Bookings'!$E1246+ROW()/100000,"")</f>
        <v/>
      </c>
    </row>
    <row r="1247">
      <c r="BB1247" s="244">
        <f>IF('INPUT - Bookings'!$B1247="",0,IF(AND(OR(Dashboard!$D$9="All",TRIM('INPUT - Bookings'!$C1247)=Dashboard!$D$9),OR(Dashboard!$J$9="All",TRIM('INPUT - Bookings'!$D1247)=Dashboard!$J$9)),1,0))</f>
        <v/>
      </c>
      <c r="BC1247" s="244">
        <f>IF(AND(BB1247=1,ISNUMBER('INPUT - Bookings'!$E1247),'INPUT - Bookings'!$E1247&gt;=Settings!$C$8,'INPUT - Bookings'!$E1247&lt;=Settings!$C$8+14,IFERROR(INDEX(Settings!$Q$14:$Q$24,MATCH('INPUT - Bookings'!$G1247,Settings!$P$14:$P$24,0)),"Yes")="Yes"),'INPUT - Bookings'!$E1247+ROW()/100000,"")</f>
        <v/>
      </c>
    </row>
    <row r="1248">
      <c r="BB1248" s="244">
        <f>IF('INPUT - Bookings'!$B1248="",0,IF(AND(OR(Dashboard!$D$9="All",TRIM('INPUT - Bookings'!$C1248)=Dashboard!$D$9),OR(Dashboard!$J$9="All",TRIM('INPUT - Bookings'!$D1248)=Dashboard!$J$9)),1,0))</f>
        <v/>
      </c>
      <c r="BC1248" s="244">
        <f>IF(AND(BB1248=1,ISNUMBER('INPUT - Bookings'!$E1248),'INPUT - Bookings'!$E1248&gt;=Settings!$C$8,'INPUT - Bookings'!$E1248&lt;=Settings!$C$8+14,IFERROR(INDEX(Settings!$Q$14:$Q$24,MATCH('INPUT - Bookings'!$G1248,Settings!$P$14:$P$24,0)),"Yes")="Yes"),'INPUT - Bookings'!$E1248+ROW()/100000,"")</f>
        <v/>
      </c>
    </row>
    <row r="1249">
      <c r="BB1249" s="244">
        <f>IF('INPUT - Bookings'!$B1249="",0,IF(AND(OR(Dashboard!$D$9="All",TRIM('INPUT - Bookings'!$C1249)=Dashboard!$D$9),OR(Dashboard!$J$9="All",TRIM('INPUT - Bookings'!$D1249)=Dashboard!$J$9)),1,0))</f>
        <v/>
      </c>
      <c r="BC1249" s="244">
        <f>IF(AND(BB1249=1,ISNUMBER('INPUT - Bookings'!$E1249),'INPUT - Bookings'!$E1249&gt;=Settings!$C$8,'INPUT - Bookings'!$E1249&lt;=Settings!$C$8+14,IFERROR(INDEX(Settings!$Q$14:$Q$24,MATCH('INPUT - Bookings'!$G1249,Settings!$P$14:$P$24,0)),"Yes")="Yes"),'INPUT - Bookings'!$E1249+ROW()/100000,"")</f>
        <v/>
      </c>
    </row>
    <row r="1250">
      <c r="BB1250" s="244">
        <f>IF('INPUT - Bookings'!$B1250="",0,IF(AND(OR(Dashboard!$D$9="All",TRIM('INPUT - Bookings'!$C1250)=Dashboard!$D$9),OR(Dashboard!$J$9="All",TRIM('INPUT - Bookings'!$D1250)=Dashboard!$J$9)),1,0))</f>
        <v/>
      </c>
      <c r="BC1250" s="244">
        <f>IF(AND(BB1250=1,ISNUMBER('INPUT - Bookings'!$E1250),'INPUT - Bookings'!$E1250&gt;=Settings!$C$8,'INPUT - Bookings'!$E1250&lt;=Settings!$C$8+14,IFERROR(INDEX(Settings!$Q$14:$Q$24,MATCH('INPUT - Bookings'!$G1250,Settings!$P$14:$P$24,0)),"Yes")="Yes"),'INPUT - Bookings'!$E1250+ROW()/100000,"")</f>
        <v/>
      </c>
    </row>
    <row r="1251">
      <c r="BB1251" s="244">
        <f>IF('INPUT - Bookings'!$B1251="",0,IF(AND(OR(Dashboard!$D$9="All",TRIM('INPUT - Bookings'!$C1251)=Dashboard!$D$9),OR(Dashboard!$J$9="All",TRIM('INPUT - Bookings'!$D1251)=Dashboard!$J$9)),1,0))</f>
        <v/>
      </c>
      <c r="BC1251" s="244">
        <f>IF(AND(BB1251=1,ISNUMBER('INPUT - Bookings'!$E1251),'INPUT - Bookings'!$E1251&gt;=Settings!$C$8,'INPUT - Bookings'!$E1251&lt;=Settings!$C$8+14,IFERROR(INDEX(Settings!$Q$14:$Q$24,MATCH('INPUT - Bookings'!$G1251,Settings!$P$14:$P$24,0)),"Yes")="Yes"),'INPUT - Bookings'!$E1251+ROW()/100000,"")</f>
        <v/>
      </c>
    </row>
    <row r="1252">
      <c r="BB1252" s="244">
        <f>IF('INPUT - Bookings'!$B1252="",0,IF(AND(OR(Dashboard!$D$9="All",TRIM('INPUT - Bookings'!$C1252)=Dashboard!$D$9),OR(Dashboard!$J$9="All",TRIM('INPUT - Bookings'!$D1252)=Dashboard!$J$9)),1,0))</f>
        <v/>
      </c>
      <c r="BC1252" s="244">
        <f>IF(AND(BB1252=1,ISNUMBER('INPUT - Bookings'!$E1252),'INPUT - Bookings'!$E1252&gt;=Settings!$C$8,'INPUT - Bookings'!$E1252&lt;=Settings!$C$8+14,IFERROR(INDEX(Settings!$Q$14:$Q$24,MATCH('INPUT - Bookings'!$G1252,Settings!$P$14:$P$24,0)),"Yes")="Yes"),'INPUT - Bookings'!$E1252+ROW()/100000,"")</f>
        <v/>
      </c>
    </row>
    <row r="1253">
      <c r="BB1253" s="244">
        <f>IF('INPUT - Bookings'!$B1253="",0,IF(AND(OR(Dashboard!$D$9="All",TRIM('INPUT - Bookings'!$C1253)=Dashboard!$D$9),OR(Dashboard!$J$9="All",TRIM('INPUT - Bookings'!$D1253)=Dashboard!$J$9)),1,0))</f>
        <v/>
      </c>
      <c r="BC1253" s="244">
        <f>IF(AND(BB1253=1,ISNUMBER('INPUT - Bookings'!$E1253),'INPUT - Bookings'!$E1253&gt;=Settings!$C$8,'INPUT - Bookings'!$E1253&lt;=Settings!$C$8+14,IFERROR(INDEX(Settings!$Q$14:$Q$24,MATCH('INPUT - Bookings'!$G1253,Settings!$P$14:$P$24,0)),"Yes")="Yes"),'INPUT - Bookings'!$E1253+ROW()/100000,"")</f>
        <v/>
      </c>
    </row>
    <row r="1254">
      <c r="BB1254" s="244">
        <f>IF('INPUT - Bookings'!$B1254="",0,IF(AND(OR(Dashboard!$D$9="All",TRIM('INPUT - Bookings'!$C1254)=Dashboard!$D$9),OR(Dashboard!$J$9="All",TRIM('INPUT - Bookings'!$D1254)=Dashboard!$J$9)),1,0))</f>
        <v/>
      </c>
      <c r="BC1254" s="244">
        <f>IF(AND(BB1254=1,ISNUMBER('INPUT - Bookings'!$E1254),'INPUT - Bookings'!$E1254&gt;=Settings!$C$8,'INPUT - Bookings'!$E1254&lt;=Settings!$C$8+14,IFERROR(INDEX(Settings!$Q$14:$Q$24,MATCH('INPUT - Bookings'!$G1254,Settings!$P$14:$P$24,0)),"Yes")="Yes"),'INPUT - Bookings'!$E1254+ROW()/100000,"")</f>
        <v/>
      </c>
    </row>
    <row r="1255">
      <c r="BB1255" s="244">
        <f>IF('INPUT - Bookings'!$B1255="",0,IF(AND(OR(Dashboard!$D$9="All",TRIM('INPUT - Bookings'!$C1255)=Dashboard!$D$9),OR(Dashboard!$J$9="All",TRIM('INPUT - Bookings'!$D1255)=Dashboard!$J$9)),1,0))</f>
        <v/>
      </c>
      <c r="BC1255" s="244">
        <f>IF(AND(BB1255=1,ISNUMBER('INPUT - Bookings'!$E1255),'INPUT - Bookings'!$E1255&gt;=Settings!$C$8,'INPUT - Bookings'!$E1255&lt;=Settings!$C$8+14,IFERROR(INDEX(Settings!$Q$14:$Q$24,MATCH('INPUT - Bookings'!$G1255,Settings!$P$14:$P$24,0)),"Yes")="Yes"),'INPUT - Bookings'!$E1255+ROW()/100000,"")</f>
        <v/>
      </c>
    </row>
    <row r="1256">
      <c r="BB1256" s="244">
        <f>IF('INPUT - Bookings'!$B1256="",0,IF(AND(OR(Dashboard!$D$9="All",TRIM('INPUT - Bookings'!$C1256)=Dashboard!$D$9),OR(Dashboard!$J$9="All",TRIM('INPUT - Bookings'!$D1256)=Dashboard!$J$9)),1,0))</f>
        <v/>
      </c>
      <c r="BC1256" s="244">
        <f>IF(AND(BB1256=1,ISNUMBER('INPUT - Bookings'!$E1256),'INPUT - Bookings'!$E1256&gt;=Settings!$C$8,'INPUT - Bookings'!$E1256&lt;=Settings!$C$8+14,IFERROR(INDEX(Settings!$Q$14:$Q$24,MATCH('INPUT - Bookings'!$G1256,Settings!$P$14:$P$24,0)),"Yes")="Yes"),'INPUT - Bookings'!$E1256+ROW()/100000,"")</f>
        <v/>
      </c>
    </row>
    <row r="1257">
      <c r="BB1257" s="244">
        <f>IF('INPUT - Bookings'!$B1257="",0,IF(AND(OR(Dashboard!$D$9="All",TRIM('INPUT - Bookings'!$C1257)=Dashboard!$D$9),OR(Dashboard!$J$9="All",TRIM('INPUT - Bookings'!$D1257)=Dashboard!$J$9)),1,0))</f>
        <v/>
      </c>
      <c r="BC1257" s="244">
        <f>IF(AND(BB1257=1,ISNUMBER('INPUT - Bookings'!$E1257),'INPUT - Bookings'!$E1257&gt;=Settings!$C$8,'INPUT - Bookings'!$E1257&lt;=Settings!$C$8+14,IFERROR(INDEX(Settings!$Q$14:$Q$24,MATCH('INPUT - Bookings'!$G1257,Settings!$P$14:$P$24,0)),"Yes")="Yes"),'INPUT - Bookings'!$E1257+ROW()/100000,"")</f>
        <v/>
      </c>
    </row>
    <row r="1258">
      <c r="BB1258" s="244">
        <f>IF('INPUT - Bookings'!$B1258="",0,IF(AND(OR(Dashboard!$D$9="All",TRIM('INPUT - Bookings'!$C1258)=Dashboard!$D$9),OR(Dashboard!$J$9="All",TRIM('INPUT - Bookings'!$D1258)=Dashboard!$J$9)),1,0))</f>
        <v/>
      </c>
      <c r="BC1258" s="244">
        <f>IF(AND(BB1258=1,ISNUMBER('INPUT - Bookings'!$E1258),'INPUT - Bookings'!$E1258&gt;=Settings!$C$8,'INPUT - Bookings'!$E1258&lt;=Settings!$C$8+14,IFERROR(INDEX(Settings!$Q$14:$Q$24,MATCH('INPUT - Bookings'!$G1258,Settings!$P$14:$P$24,0)),"Yes")="Yes"),'INPUT - Bookings'!$E1258+ROW()/100000,"")</f>
        <v/>
      </c>
    </row>
    <row r="1259">
      <c r="BB1259" s="244">
        <f>IF('INPUT - Bookings'!$B1259="",0,IF(AND(OR(Dashboard!$D$9="All",TRIM('INPUT - Bookings'!$C1259)=Dashboard!$D$9),OR(Dashboard!$J$9="All",TRIM('INPUT - Bookings'!$D1259)=Dashboard!$J$9)),1,0))</f>
        <v/>
      </c>
      <c r="BC1259" s="244">
        <f>IF(AND(BB1259=1,ISNUMBER('INPUT - Bookings'!$E1259),'INPUT - Bookings'!$E1259&gt;=Settings!$C$8,'INPUT - Bookings'!$E1259&lt;=Settings!$C$8+14,IFERROR(INDEX(Settings!$Q$14:$Q$24,MATCH('INPUT - Bookings'!$G1259,Settings!$P$14:$P$24,0)),"Yes")="Yes"),'INPUT - Bookings'!$E1259+ROW()/100000,"")</f>
        <v/>
      </c>
    </row>
    <row r="1260">
      <c r="BB1260" s="244">
        <f>IF('INPUT - Bookings'!$B1260="",0,IF(AND(OR(Dashboard!$D$9="All",TRIM('INPUT - Bookings'!$C1260)=Dashboard!$D$9),OR(Dashboard!$J$9="All",TRIM('INPUT - Bookings'!$D1260)=Dashboard!$J$9)),1,0))</f>
        <v/>
      </c>
      <c r="BC1260" s="244">
        <f>IF(AND(BB1260=1,ISNUMBER('INPUT - Bookings'!$E1260),'INPUT - Bookings'!$E1260&gt;=Settings!$C$8,'INPUT - Bookings'!$E1260&lt;=Settings!$C$8+14,IFERROR(INDEX(Settings!$Q$14:$Q$24,MATCH('INPUT - Bookings'!$G1260,Settings!$P$14:$P$24,0)),"Yes")="Yes"),'INPUT - Bookings'!$E1260+ROW()/100000,"")</f>
        <v/>
      </c>
    </row>
    <row r="1261">
      <c r="BB1261" s="244">
        <f>IF('INPUT - Bookings'!$B1261="",0,IF(AND(OR(Dashboard!$D$9="All",TRIM('INPUT - Bookings'!$C1261)=Dashboard!$D$9),OR(Dashboard!$J$9="All",TRIM('INPUT - Bookings'!$D1261)=Dashboard!$J$9)),1,0))</f>
        <v/>
      </c>
      <c r="BC1261" s="244">
        <f>IF(AND(BB1261=1,ISNUMBER('INPUT - Bookings'!$E1261),'INPUT - Bookings'!$E1261&gt;=Settings!$C$8,'INPUT - Bookings'!$E1261&lt;=Settings!$C$8+14,IFERROR(INDEX(Settings!$Q$14:$Q$24,MATCH('INPUT - Bookings'!$G1261,Settings!$P$14:$P$24,0)),"Yes")="Yes"),'INPUT - Bookings'!$E1261+ROW()/100000,"")</f>
        <v/>
      </c>
    </row>
    <row r="1262">
      <c r="BB1262" s="244">
        <f>IF('INPUT - Bookings'!$B1262="",0,IF(AND(OR(Dashboard!$D$9="All",TRIM('INPUT - Bookings'!$C1262)=Dashboard!$D$9),OR(Dashboard!$J$9="All",TRIM('INPUT - Bookings'!$D1262)=Dashboard!$J$9)),1,0))</f>
        <v/>
      </c>
      <c r="BC1262" s="244">
        <f>IF(AND(BB1262=1,ISNUMBER('INPUT - Bookings'!$E1262),'INPUT - Bookings'!$E1262&gt;=Settings!$C$8,'INPUT - Bookings'!$E1262&lt;=Settings!$C$8+14,IFERROR(INDEX(Settings!$Q$14:$Q$24,MATCH('INPUT - Bookings'!$G1262,Settings!$P$14:$P$24,0)),"Yes")="Yes"),'INPUT - Bookings'!$E1262+ROW()/100000,"")</f>
        <v/>
      </c>
    </row>
    <row r="1263">
      <c r="BB1263" s="244">
        <f>IF('INPUT - Bookings'!$B1263="",0,IF(AND(OR(Dashboard!$D$9="All",TRIM('INPUT - Bookings'!$C1263)=Dashboard!$D$9),OR(Dashboard!$J$9="All",TRIM('INPUT - Bookings'!$D1263)=Dashboard!$J$9)),1,0))</f>
        <v/>
      </c>
      <c r="BC1263" s="244">
        <f>IF(AND(BB1263=1,ISNUMBER('INPUT - Bookings'!$E1263),'INPUT - Bookings'!$E1263&gt;=Settings!$C$8,'INPUT - Bookings'!$E1263&lt;=Settings!$C$8+14,IFERROR(INDEX(Settings!$Q$14:$Q$24,MATCH('INPUT - Bookings'!$G1263,Settings!$P$14:$P$24,0)),"Yes")="Yes"),'INPUT - Bookings'!$E1263+ROW()/100000,"")</f>
        <v/>
      </c>
    </row>
    <row r="1264">
      <c r="BB1264" s="244">
        <f>IF('INPUT - Bookings'!$B1264="",0,IF(AND(OR(Dashboard!$D$9="All",TRIM('INPUT - Bookings'!$C1264)=Dashboard!$D$9),OR(Dashboard!$J$9="All",TRIM('INPUT - Bookings'!$D1264)=Dashboard!$J$9)),1,0))</f>
        <v/>
      </c>
      <c r="BC1264" s="244">
        <f>IF(AND(BB1264=1,ISNUMBER('INPUT - Bookings'!$E1264),'INPUT - Bookings'!$E1264&gt;=Settings!$C$8,'INPUT - Bookings'!$E1264&lt;=Settings!$C$8+14,IFERROR(INDEX(Settings!$Q$14:$Q$24,MATCH('INPUT - Bookings'!$G1264,Settings!$P$14:$P$24,0)),"Yes")="Yes"),'INPUT - Bookings'!$E1264+ROW()/100000,"")</f>
        <v/>
      </c>
    </row>
    <row r="1265">
      <c r="BB1265" s="244">
        <f>IF('INPUT - Bookings'!$B1265="",0,IF(AND(OR(Dashboard!$D$9="All",TRIM('INPUT - Bookings'!$C1265)=Dashboard!$D$9),OR(Dashboard!$J$9="All",TRIM('INPUT - Bookings'!$D1265)=Dashboard!$J$9)),1,0))</f>
        <v/>
      </c>
      <c r="BC1265" s="244">
        <f>IF(AND(BB1265=1,ISNUMBER('INPUT - Bookings'!$E1265),'INPUT - Bookings'!$E1265&gt;=Settings!$C$8,'INPUT - Bookings'!$E1265&lt;=Settings!$C$8+14,IFERROR(INDEX(Settings!$Q$14:$Q$24,MATCH('INPUT - Bookings'!$G1265,Settings!$P$14:$P$24,0)),"Yes")="Yes"),'INPUT - Bookings'!$E1265+ROW()/100000,"")</f>
        <v/>
      </c>
    </row>
    <row r="1266">
      <c r="BB1266" s="244">
        <f>IF('INPUT - Bookings'!$B1266="",0,IF(AND(OR(Dashboard!$D$9="All",TRIM('INPUT - Bookings'!$C1266)=Dashboard!$D$9),OR(Dashboard!$J$9="All",TRIM('INPUT - Bookings'!$D1266)=Dashboard!$J$9)),1,0))</f>
        <v/>
      </c>
      <c r="BC1266" s="244">
        <f>IF(AND(BB1266=1,ISNUMBER('INPUT - Bookings'!$E1266),'INPUT - Bookings'!$E1266&gt;=Settings!$C$8,'INPUT - Bookings'!$E1266&lt;=Settings!$C$8+14,IFERROR(INDEX(Settings!$Q$14:$Q$24,MATCH('INPUT - Bookings'!$G1266,Settings!$P$14:$P$24,0)),"Yes")="Yes"),'INPUT - Bookings'!$E1266+ROW()/100000,"")</f>
        <v/>
      </c>
    </row>
    <row r="1267">
      <c r="BB1267" s="244">
        <f>IF('INPUT - Bookings'!$B1267="",0,IF(AND(OR(Dashboard!$D$9="All",TRIM('INPUT - Bookings'!$C1267)=Dashboard!$D$9),OR(Dashboard!$J$9="All",TRIM('INPUT - Bookings'!$D1267)=Dashboard!$J$9)),1,0))</f>
        <v/>
      </c>
      <c r="BC1267" s="244">
        <f>IF(AND(BB1267=1,ISNUMBER('INPUT - Bookings'!$E1267),'INPUT - Bookings'!$E1267&gt;=Settings!$C$8,'INPUT - Bookings'!$E1267&lt;=Settings!$C$8+14,IFERROR(INDEX(Settings!$Q$14:$Q$24,MATCH('INPUT - Bookings'!$G1267,Settings!$P$14:$P$24,0)),"Yes")="Yes"),'INPUT - Bookings'!$E1267+ROW()/100000,"")</f>
        <v/>
      </c>
    </row>
    <row r="1268">
      <c r="BB1268" s="244">
        <f>IF('INPUT - Bookings'!$B1268="",0,IF(AND(OR(Dashboard!$D$9="All",TRIM('INPUT - Bookings'!$C1268)=Dashboard!$D$9),OR(Dashboard!$J$9="All",TRIM('INPUT - Bookings'!$D1268)=Dashboard!$J$9)),1,0))</f>
        <v/>
      </c>
      <c r="BC1268" s="244">
        <f>IF(AND(BB1268=1,ISNUMBER('INPUT - Bookings'!$E1268),'INPUT - Bookings'!$E1268&gt;=Settings!$C$8,'INPUT - Bookings'!$E1268&lt;=Settings!$C$8+14,IFERROR(INDEX(Settings!$Q$14:$Q$24,MATCH('INPUT - Bookings'!$G1268,Settings!$P$14:$P$24,0)),"Yes")="Yes"),'INPUT - Bookings'!$E1268+ROW()/100000,"")</f>
        <v/>
      </c>
    </row>
    <row r="1269">
      <c r="BB1269" s="244">
        <f>IF('INPUT - Bookings'!$B1269="",0,IF(AND(OR(Dashboard!$D$9="All",TRIM('INPUT - Bookings'!$C1269)=Dashboard!$D$9),OR(Dashboard!$J$9="All",TRIM('INPUT - Bookings'!$D1269)=Dashboard!$J$9)),1,0))</f>
        <v/>
      </c>
      <c r="BC1269" s="244">
        <f>IF(AND(BB1269=1,ISNUMBER('INPUT - Bookings'!$E1269),'INPUT - Bookings'!$E1269&gt;=Settings!$C$8,'INPUT - Bookings'!$E1269&lt;=Settings!$C$8+14,IFERROR(INDEX(Settings!$Q$14:$Q$24,MATCH('INPUT - Bookings'!$G1269,Settings!$P$14:$P$24,0)),"Yes")="Yes"),'INPUT - Bookings'!$E1269+ROW()/100000,"")</f>
        <v/>
      </c>
    </row>
    <row r="1270">
      <c r="BB1270" s="244">
        <f>IF('INPUT - Bookings'!$B1270="",0,IF(AND(OR(Dashboard!$D$9="All",TRIM('INPUT - Bookings'!$C1270)=Dashboard!$D$9),OR(Dashboard!$J$9="All",TRIM('INPUT - Bookings'!$D1270)=Dashboard!$J$9)),1,0))</f>
        <v/>
      </c>
      <c r="BC1270" s="244">
        <f>IF(AND(BB1270=1,ISNUMBER('INPUT - Bookings'!$E1270),'INPUT - Bookings'!$E1270&gt;=Settings!$C$8,'INPUT - Bookings'!$E1270&lt;=Settings!$C$8+14,IFERROR(INDEX(Settings!$Q$14:$Q$24,MATCH('INPUT - Bookings'!$G1270,Settings!$P$14:$P$24,0)),"Yes")="Yes"),'INPUT - Bookings'!$E1270+ROW()/100000,"")</f>
        <v/>
      </c>
    </row>
    <row r="1271">
      <c r="BB1271" s="244">
        <f>IF('INPUT - Bookings'!$B1271="",0,IF(AND(OR(Dashboard!$D$9="All",TRIM('INPUT - Bookings'!$C1271)=Dashboard!$D$9),OR(Dashboard!$J$9="All",TRIM('INPUT - Bookings'!$D1271)=Dashboard!$J$9)),1,0))</f>
        <v/>
      </c>
      <c r="BC1271" s="244">
        <f>IF(AND(BB1271=1,ISNUMBER('INPUT - Bookings'!$E1271),'INPUT - Bookings'!$E1271&gt;=Settings!$C$8,'INPUT - Bookings'!$E1271&lt;=Settings!$C$8+14,IFERROR(INDEX(Settings!$Q$14:$Q$24,MATCH('INPUT - Bookings'!$G1271,Settings!$P$14:$P$24,0)),"Yes")="Yes"),'INPUT - Bookings'!$E1271+ROW()/100000,"")</f>
        <v/>
      </c>
    </row>
    <row r="1272">
      <c r="BB1272" s="244">
        <f>IF('INPUT - Bookings'!$B1272="",0,IF(AND(OR(Dashboard!$D$9="All",TRIM('INPUT - Bookings'!$C1272)=Dashboard!$D$9),OR(Dashboard!$J$9="All",TRIM('INPUT - Bookings'!$D1272)=Dashboard!$J$9)),1,0))</f>
        <v/>
      </c>
      <c r="BC1272" s="244">
        <f>IF(AND(BB1272=1,ISNUMBER('INPUT - Bookings'!$E1272),'INPUT - Bookings'!$E1272&gt;=Settings!$C$8,'INPUT - Bookings'!$E1272&lt;=Settings!$C$8+14,IFERROR(INDEX(Settings!$Q$14:$Q$24,MATCH('INPUT - Bookings'!$G1272,Settings!$P$14:$P$24,0)),"Yes")="Yes"),'INPUT - Bookings'!$E1272+ROW()/100000,"")</f>
        <v/>
      </c>
    </row>
    <row r="1273">
      <c r="BB1273" s="244">
        <f>IF('INPUT - Bookings'!$B1273="",0,IF(AND(OR(Dashboard!$D$9="All",TRIM('INPUT - Bookings'!$C1273)=Dashboard!$D$9),OR(Dashboard!$J$9="All",TRIM('INPUT - Bookings'!$D1273)=Dashboard!$J$9)),1,0))</f>
        <v/>
      </c>
      <c r="BC1273" s="244">
        <f>IF(AND(BB1273=1,ISNUMBER('INPUT - Bookings'!$E1273),'INPUT - Bookings'!$E1273&gt;=Settings!$C$8,'INPUT - Bookings'!$E1273&lt;=Settings!$C$8+14,IFERROR(INDEX(Settings!$Q$14:$Q$24,MATCH('INPUT - Bookings'!$G1273,Settings!$P$14:$P$24,0)),"Yes")="Yes"),'INPUT - Bookings'!$E1273+ROW()/100000,"")</f>
        <v/>
      </c>
    </row>
    <row r="1274">
      <c r="BB1274" s="244">
        <f>IF('INPUT - Bookings'!$B1274="",0,IF(AND(OR(Dashboard!$D$9="All",TRIM('INPUT - Bookings'!$C1274)=Dashboard!$D$9),OR(Dashboard!$J$9="All",TRIM('INPUT - Bookings'!$D1274)=Dashboard!$J$9)),1,0))</f>
        <v/>
      </c>
      <c r="BC1274" s="244">
        <f>IF(AND(BB1274=1,ISNUMBER('INPUT - Bookings'!$E1274),'INPUT - Bookings'!$E1274&gt;=Settings!$C$8,'INPUT - Bookings'!$E1274&lt;=Settings!$C$8+14,IFERROR(INDEX(Settings!$Q$14:$Q$24,MATCH('INPUT - Bookings'!$G1274,Settings!$P$14:$P$24,0)),"Yes")="Yes"),'INPUT - Bookings'!$E1274+ROW()/100000,"")</f>
        <v/>
      </c>
    </row>
    <row r="1275">
      <c r="BB1275" s="244">
        <f>IF('INPUT - Bookings'!$B1275="",0,IF(AND(OR(Dashboard!$D$9="All",TRIM('INPUT - Bookings'!$C1275)=Dashboard!$D$9),OR(Dashboard!$J$9="All",TRIM('INPUT - Bookings'!$D1275)=Dashboard!$J$9)),1,0))</f>
        <v/>
      </c>
      <c r="BC1275" s="244">
        <f>IF(AND(BB1275=1,ISNUMBER('INPUT - Bookings'!$E1275),'INPUT - Bookings'!$E1275&gt;=Settings!$C$8,'INPUT - Bookings'!$E1275&lt;=Settings!$C$8+14,IFERROR(INDEX(Settings!$Q$14:$Q$24,MATCH('INPUT - Bookings'!$G1275,Settings!$P$14:$P$24,0)),"Yes")="Yes"),'INPUT - Bookings'!$E1275+ROW()/100000,"")</f>
        <v/>
      </c>
    </row>
    <row r="1276">
      <c r="BB1276" s="244">
        <f>IF('INPUT - Bookings'!$B1276="",0,IF(AND(OR(Dashboard!$D$9="All",TRIM('INPUT - Bookings'!$C1276)=Dashboard!$D$9),OR(Dashboard!$J$9="All",TRIM('INPUT - Bookings'!$D1276)=Dashboard!$J$9)),1,0))</f>
        <v/>
      </c>
      <c r="BC1276" s="244">
        <f>IF(AND(BB1276=1,ISNUMBER('INPUT - Bookings'!$E1276),'INPUT - Bookings'!$E1276&gt;=Settings!$C$8,'INPUT - Bookings'!$E1276&lt;=Settings!$C$8+14,IFERROR(INDEX(Settings!$Q$14:$Q$24,MATCH('INPUT - Bookings'!$G1276,Settings!$P$14:$P$24,0)),"Yes")="Yes"),'INPUT - Bookings'!$E1276+ROW()/100000,"")</f>
        <v/>
      </c>
    </row>
    <row r="1277">
      <c r="BB1277" s="244">
        <f>IF('INPUT - Bookings'!$B1277="",0,IF(AND(OR(Dashboard!$D$9="All",TRIM('INPUT - Bookings'!$C1277)=Dashboard!$D$9),OR(Dashboard!$J$9="All",TRIM('INPUT - Bookings'!$D1277)=Dashboard!$J$9)),1,0))</f>
        <v/>
      </c>
      <c r="BC1277" s="244">
        <f>IF(AND(BB1277=1,ISNUMBER('INPUT - Bookings'!$E1277),'INPUT - Bookings'!$E1277&gt;=Settings!$C$8,'INPUT - Bookings'!$E1277&lt;=Settings!$C$8+14,IFERROR(INDEX(Settings!$Q$14:$Q$24,MATCH('INPUT - Bookings'!$G1277,Settings!$P$14:$P$24,0)),"Yes")="Yes"),'INPUT - Bookings'!$E1277+ROW()/100000,"")</f>
        <v/>
      </c>
    </row>
    <row r="1278">
      <c r="BB1278" s="244">
        <f>IF('INPUT - Bookings'!$B1278="",0,IF(AND(OR(Dashboard!$D$9="All",TRIM('INPUT - Bookings'!$C1278)=Dashboard!$D$9),OR(Dashboard!$J$9="All",TRIM('INPUT - Bookings'!$D1278)=Dashboard!$J$9)),1,0))</f>
        <v/>
      </c>
      <c r="BC1278" s="244">
        <f>IF(AND(BB1278=1,ISNUMBER('INPUT - Bookings'!$E1278),'INPUT - Bookings'!$E1278&gt;=Settings!$C$8,'INPUT - Bookings'!$E1278&lt;=Settings!$C$8+14,IFERROR(INDEX(Settings!$Q$14:$Q$24,MATCH('INPUT - Bookings'!$G1278,Settings!$P$14:$P$24,0)),"Yes")="Yes"),'INPUT - Bookings'!$E1278+ROW()/100000,"")</f>
        <v/>
      </c>
    </row>
    <row r="1279">
      <c r="BB1279" s="244">
        <f>IF('INPUT - Bookings'!$B1279="",0,IF(AND(OR(Dashboard!$D$9="All",TRIM('INPUT - Bookings'!$C1279)=Dashboard!$D$9),OR(Dashboard!$J$9="All",TRIM('INPUT - Bookings'!$D1279)=Dashboard!$J$9)),1,0))</f>
        <v/>
      </c>
      <c r="BC1279" s="244">
        <f>IF(AND(BB1279=1,ISNUMBER('INPUT - Bookings'!$E1279),'INPUT - Bookings'!$E1279&gt;=Settings!$C$8,'INPUT - Bookings'!$E1279&lt;=Settings!$C$8+14,IFERROR(INDEX(Settings!$Q$14:$Q$24,MATCH('INPUT - Bookings'!$G1279,Settings!$P$14:$P$24,0)),"Yes")="Yes"),'INPUT - Bookings'!$E1279+ROW()/100000,"")</f>
        <v/>
      </c>
    </row>
    <row r="1280">
      <c r="BB1280" s="244">
        <f>IF('INPUT - Bookings'!$B1280="",0,IF(AND(OR(Dashboard!$D$9="All",TRIM('INPUT - Bookings'!$C1280)=Dashboard!$D$9),OR(Dashboard!$J$9="All",TRIM('INPUT - Bookings'!$D1280)=Dashboard!$J$9)),1,0))</f>
        <v/>
      </c>
      <c r="BC1280" s="244">
        <f>IF(AND(BB1280=1,ISNUMBER('INPUT - Bookings'!$E1280),'INPUT - Bookings'!$E1280&gt;=Settings!$C$8,'INPUT - Bookings'!$E1280&lt;=Settings!$C$8+14,IFERROR(INDEX(Settings!$Q$14:$Q$24,MATCH('INPUT - Bookings'!$G1280,Settings!$P$14:$P$24,0)),"Yes")="Yes"),'INPUT - Bookings'!$E1280+ROW()/100000,"")</f>
        <v/>
      </c>
    </row>
    <row r="1281">
      <c r="BB1281" s="244">
        <f>IF('INPUT - Bookings'!$B1281="",0,IF(AND(OR(Dashboard!$D$9="All",TRIM('INPUT - Bookings'!$C1281)=Dashboard!$D$9),OR(Dashboard!$J$9="All",TRIM('INPUT - Bookings'!$D1281)=Dashboard!$J$9)),1,0))</f>
        <v/>
      </c>
      <c r="BC1281" s="244">
        <f>IF(AND(BB1281=1,ISNUMBER('INPUT - Bookings'!$E1281),'INPUT - Bookings'!$E1281&gt;=Settings!$C$8,'INPUT - Bookings'!$E1281&lt;=Settings!$C$8+14,IFERROR(INDEX(Settings!$Q$14:$Q$24,MATCH('INPUT - Bookings'!$G1281,Settings!$P$14:$P$24,0)),"Yes")="Yes"),'INPUT - Bookings'!$E1281+ROW()/100000,"")</f>
        <v/>
      </c>
    </row>
    <row r="1282">
      <c r="BB1282" s="244">
        <f>IF('INPUT - Bookings'!$B1282="",0,IF(AND(OR(Dashboard!$D$9="All",TRIM('INPUT - Bookings'!$C1282)=Dashboard!$D$9),OR(Dashboard!$J$9="All",TRIM('INPUT - Bookings'!$D1282)=Dashboard!$J$9)),1,0))</f>
        <v/>
      </c>
      <c r="BC1282" s="244">
        <f>IF(AND(BB1282=1,ISNUMBER('INPUT - Bookings'!$E1282),'INPUT - Bookings'!$E1282&gt;=Settings!$C$8,'INPUT - Bookings'!$E1282&lt;=Settings!$C$8+14,IFERROR(INDEX(Settings!$Q$14:$Q$24,MATCH('INPUT - Bookings'!$G1282,Settings!$P$14:$P$24,0)),"Yes")="Yes"),'INPUT - Bookings'!$E1282+ROW()/100000,"")</f>
        <v/>
      </c>
    </row>
    <row r="1283">
      <c r="BB1283" s="244">
        <f>IF('INPUT - Bookings'!$B1283="",0,IF(AND(OR(Dashboard!$D$9="All",TRIM('INPUT - Bookings'!$C1283)=Dashboard!$D$9),OR(Dashboard!$J$9="All",TRIM('INPUT - Bookings'!$D1283)=Dashboard!$J$9)),1,0))</f>
        <v/>
      </c>
      <c r="BC1283" s="244">
        <f>IF(AND(BB1283=1,ISNUMBER('INPUT - Bookings'!$E1283),'INPUT - Bookings'!$E1283&gt;=Settings!$C$8,'INPUT - Bookings'!$E1283&lt;=Settings!$C$8+14,IFERROR(INDEX(Settings!$Q$14:$Q$24,MATCH('INPUT - Bookings'!$G1283,Settings!$P$14:$P$24,0)),"Yes")="Yes"),'INPUT - Bookings'!$E1283+ROW()/100000,"")</f>
        <v/>
      </c>
    </row>
    <row r="1284">
      <c r="BB1284" s="244">
        <f>IF('INPUT - Bookings'!$B1284="",0,IF(AND(OR(Dashboard!$D$9="All",TRIM('INPUT - Bookings'!$C1284)=Dashboard!$D$9),OR(Dashboard!$J$9="All",TRIM('INPUT - Bookings'!$D1284)=Dashboard!$J$9)),1,0))</f>
        <v/>
      </c>
      <c r="BC1284" s="244">
        <f>IF(AND(BB1284=1,ISNUMBER('INPUT - Bookings'!$E1284),'INPUT - Bookings'!$E1284&gt;=Settings!$C$8,'INPUT - Bookings'!$E1284&lt;=Settings!$C$8+14,IFERROR(INDEX(Settings!$Q$14:$Q$24,MATCH('INPUT - Bookings'!$G1284,Settings!$P$14:$P$24,0)),"Yes")="Yes"),'INPUT - Bookings'!$E1284+ROW()/100000,"")</f>
        <v/>
      </c>
    </row>
    <row r="1285">
      <c r="BB1285" s="244">
        <f>IF('INPUT - Bookings'!$B1285="",0,IF(AND(OR(Dashboard!$D$9="All",TRIM('INPUT - Bookings'!$C1285)=Dashboard!$D$9),OR(Dashboard!$J$9="All",TRIM('INPUT - Bookings'!$D1285)=Dashboard!$J$9)),1,0))</f>
        <v/>
      </c>
      <c r="BC1285" s="244">
        <f>IF(AND(BB1285=1,ISNUMBER('INPUT - Bookings'!$E1285),'INPUT - Bookings'!$E1285&gt;=Settings!$C$8,'INPUT - Bookings'!$E1285&lt;=Settings!$C$8+14,IFERROR(INDEX(Settings!$Q$14:$Q$24,MATCH('INPUT - Bookings'!$G1285,Settings!$P$14:$P$24,0)),"Yes")="Yes"),'INPUT - Bookings'!$E1285+ROW()/100000,"")</f>
        <v/>
      </c>
    </row>
    <row r="1286">
      <c r="BB1286" s="244">
        <f>IF('INPUT - Bookings'!$B1286="",0,IF(AND(OR(Dashboard!$D$9="All",TRIM('INPUT - Bookings'!$C1286)=Dashboard!$D$9),OR(Dashboard!$J$9="All",TRIM('INPUT - Bookings'!$D1286)=Dashboard!$J$9)),1,0))</f>
        <v/>
      </c>
      <c r="BC1286" s="244">
        <f>IF(AND(BB1286=1,ISNUMBER('INPUT - Bookings'!$E1286),'INPUT - Bookings'!$E1286&gt;=Settings!$C$8,'INPUT - Bookings'!$E1286&lt;=Settings!$C$8+14,IFERROR(INDEX(Settings!$Q$14:$Q$24,MATCH('INPUT - Bookings'!$G1286,Settings!$P$14:$P$24,0)),"Yes")="Yes"),'INPUT - Bookings'!$E1286+ROW()/100000,"")</f>
        <v/>
      </c>
    </row>
    <row r="1287">
      <c r="BB1287" s="244">
        <f>IF('INPUT - Bookings'!$B1287="",0,IF(AND(OR(Dashboard!$D$9="All",TRIM('INPUT - Bookings'!$C1287)=Dashboard!$D$9),OR(Dashboard!$J$9="All",TRIM('INPUT - Bookings'!$D1287)=Dashboard!$J$9)),1,0))</f>
        <v/>
      </c>
      <c r="BC1287" s="244">
        <f>IF(AND(BB1287=1,ISNUMBER('INPUT - Bookings'!$E1287),'INPUT - Bookings'!$E1287&gt;=Settings!$C$8,'INPUT - Bookings'!$E1287&lt;=Settings!$C$8+14,IFERROR(INDEX(Settings!$Q$14:$Q$24,MATCH('INPUT - Bookings'!$G1287,Settings!$P$14:$P$24,0)),"Yes")="Yes"),'INPUT - Bookings'!$E1287+ROW()/100000,"")</f>
        <v/>
      </c>
    </row>
    <row r="1288">
      <c r="BB1288" s="244">
        <f>IF('INPUT - Bookings'!$B1288="",0,IF(AND(OR(Dashboard!$D$9="All",TRIM('INPUT - Bookings'!$C1288)=Dashboard!$D$9),OR(Dashboard!$J$9="All",TRIM('INPUT - Bookings'!$D1288)=Dashboard!$J$9)),1,0))</f>
        <v/>
      </c>
      <c r="BC1288" s="244">
        <f>IF(AND(BB1288=1,ISNUMBER('INPUT - Bookings'!$E1288),'INPUT - Bookings'!$E1288&gt;=Settings!$C$8,'INPUT - Bookings'!$E1288&lt;=Settings!$C$8+14,IFERROR(INDEX(Settings!$Q$14:$Q$24,MATCH('INPUT - Bookings'!$G1288,Settings!$P$14:$P$24,0)),"Yes")="Yes"),'INPUT - Bookings'!$E1288+ROW()/100000,"")</f>
        <v/>
      </c>
    </row>
    <row r="1289">
      <c r="BB1289" s="244">
        <f>IF('INPUT - Bookings'!$B1289="",0,IF(AND(OR(Dashboard!$D$9="All",TRIM('INPUT - Bookings'!$C1289)=Dashboard!$D$9),OR(Dashboard!$J$9="All",TRIM('INPUT - Bookings'!$D1289)=Dashboard!$J$9)),1,0))</f>
        <v/>
      </c>
      <c r="BC1289" s="244">
        <f>IF(AND(BB1289=1,ISNUMBER('INPUT - Bookings'!$E1289),'INPUT - Bookings'!$E1289&gt;=Settings!$C$8,'INPUT - Bookings'!$E1289&lt;=Settings!$C$8+14,IFERROR(INDEX(Settings!$Q$14:$Q$24,MATCH('INPUT - Bookings'!$G1289,Settings!$P$14:$P$24,0)),"Yes")="Yes"),'INPUT - Bookings'!$E1289+ROW()/100000,"")</f>
        <v/>
      </c>
    </row>
    <row r="1290">
      <c r="BB1290" s="244">
        <f>IF('INPUT - Bookings'!$B1290="",0,IF(AND(OR(Dashboard!$D$9="All",TRIM('INPUT - Bookings'!$C1290)=Dashboard!$D$9),OR(Dashboard!$J$9="All",TRIM('INPUT - Bookings'!$D1290)=Dashboard!$J$9)),1,0))</f>
        <v/>
      </c>
      <c r="BC1290" s="244">
        <f>IF(AND(BB1290=1,ISNUMBER('INPUT - Bookings'!$E1290),'INPUT - Bookings'!$E1290&gt;=Settings!$C$8,'INPUT - Bookings'!$E1290&lt;=Settings!$C$8+14,IFERROR(INDEX(Settings!$Q$14:$Q$24,MATCH('INPUT - Bookings'!$G1290,Settings!$P$14:$P$24,0)),"Yes")="Yes"),'INPUT - Bookings'!$E1290+ROW()/100000,"")</f>
        <v/>
      </c>
    </row>
    <row r="1291">
      <c r="BB1291" s="244">
        <f>IF('INPUT - Bookings'!$B1291="",0,IF(AND(OR(Dashboard!$D$9="All",TRIM('INPUT - Bookings'!$C1291)=Dashboard!$D$9),OR(Dashboard!$J$9="All",TRIM('INPUT - Bookings'!$D1291)=Dashboard!$J$9)),1,0))</f>
        <v/>
      </c>
      <c r="BC1291" s="244">
        <f>IF(AND(BB1291=1,ISNUMBER('INPUT - Bookings'!$E1291),'INPUT - Bookings'!$E1291&gt;=Settings!$C$8,'INPUT - Bookings'!$E1291&lt;=Settings!$C$8+14,IFERROR(INDEX(Settings!$Q$14:$Q$24,MATCH('INPUT - Bookings'!$G1291,Settings!$P$14:$P$24,0)),"Yes")="Yes"),'INPUT - Bookings'!$E1291+ROW()/100000,"")</f>
        <v/>
      </c>
    </row>
    <row r="1292">
      <c r="BB1292" s="244">
        <f>IF('INPUT - Bookings'!$B1292="",0,IF(AND(OR(Dashboard!$D$9="All",TRIM('INPUT - Bookings'!$C1292)=Dashboard!$D$9),OR(Dashboard!$J$9="All",TRIM('INPUT - Bookings'!$D1292)=Dashboard!$J$9)),1,0))</f>
        <v/>
      </c>
      <c r="BC1292" s="244">
        <f>IF(AND(BB1292=1,ISNUMBER('INPUT - Bookings'!$E1292),'INPUT - Bookings'!$E1292&gt;=Settings!$C$8,'INPUT - Bookings'!$E1292&lt;=Settings!$C$8+14,IFERROR(INDEX(Settings!$Q$14:$Q$24,MATCH('INPUT - Bookings'!$G1292,Settings!$P$14:$P$24,0)),"Yes")="Yes"),'INPUT - Bookings'!$E1292+ROW()/100000,"")</f>
        <v/>
      </c>
    </row>
    <row r="1293">
      <c r="BB1293" s="244">
        <f>IF('INPUT - Bookings'!$B1293="",0,IF(AND(OR(Dashboard!$D$9="All",TRIM('INPUT - Bookings'!$C1293)=Dashboard!$D$9),OR(Dashboard!$J$9="All",TRIM('INPUT - Bookings'!$D1293)=Dashboard!$J$9)),1,0))</f>
        <v/>
      </c>
      <c r="BC1293" s="244">
        <f>IF(AND(BB1293=1,ISNUMBER('INPUT - Bookings'!$E1293),'INPUT - Bookings'!$E1293&gt;=Settings!$C$8,'INPUT - Bookings'!$E1293&lt;=Settings!$C$8+14,IFERROR(INDEX(Settings!$Q$14:$Q$24,MATCH('INPUT - Bookings'!$G1293,Settings!$P$14:$P$24,0)),"Yes")="Yes"),'INPUT - Bookings'!$E1293+ROW()/100000,"")</f>
        <v/>
      </c>
    </row>
    <row r="1294">
      <c r="BB1294" s="244">
        <f>IF('INPUT - Bookings'!$B1294="",0,IF(AND(OR(Dashboard!$D$9="All",TRIM('INPUT - Bookings'!$C1294)=Dashboard!$D$9),OR(Dashboard!$J$9="All",TRIM('INPUT - Bookings'!$D1294)=Dashboard!$J$9)),1,0))</f>
        <v/>
      </c>
      <c r="BC1294" s="244">
        <f>IF(AND(BB1294=1,ISNUMBER('INPUT - Bookings'!$E1294),'INPUT - Bookings'!$E1294&gt;=Settings!$C$8,'INPUT - Bookings'!$E1294&lt;=Settings!$C$8+14,IFERROR(INDEX(Settings!$Q$14:$Q$24,MATCH('INPUT - Bookings'!$G1294,Settings!$P$14:$P$24,0)),"Yes")="Yes"),'INPUT - Bookings'!$E1294+ROW()/100000,"")</f>
        <v/>
      </c>
    </row>
    <row r="1295">
      <c r="BB1295" s="244">
        <f>IF('INPUT - Bookings'!$B1295="",0,IF(AND(OR(Dashboard!$D$9="All",TRIM('INPUT - Bookings'!$C1295)=Dashboard!$D$9),OR(Dashboard!$J$9="All",TRIM('INPUT - Bookings'!$D1295)=Dashboard!$J$9)),1,0))</f>
        <v/>
      </c>
      <c r="BC1295" s="244">
        <f>IF(AND(BB1295=1,ISNUMBER('INPUT - Bookings'!$E1295),'INPUT - Bookings'!$E1295&gt;=Settings!$C$8,'INPUT - Bookings'!$E1295&lt;=Settings!$C$8+14,IFERROR(INDEX(Settings!$Q$14:$Q$24,MATCH('INPUT - Bookings'!$G1295,Settings!$P$14:$P$24,0)),"Yes")="Yes"),'INPUT - Bookings'!$E1295+ROW()/100000,"")</f>
        <v/>
      </c>
    </row>
    <row r="1296">
      <c r="BB1296" s="244">
        <f>IF('INPUT - Bookings'!$B1296="",0,IF(AND(OR(Dashboard!$D$9="All",TRIM('INPUT - Bookings'!$C1296)=Dashboard!$D$9),OR(Dashboard!$J$9="All",TRIM('INPUT - Bookings'!$D1296)=Dashboard!$J$9)),1,0))</f>
        <v/>
      </c>
      <c r="BC1296" s="244">
        <f>IF(AND(BB1296=1,ISNUMBER('INPUT - Bookings'!$E1296),'INPUT - Bookings'!$E1296&gt;=Settings!$C$8,'INPUT - Bookings'!$E1296&lt;=Settings!$C$8+14,IFERROR(INDEX(Settings!$Q$14:$Q$24,MATCH('INPUT - Bookings'!$G1296,Settings!$P$14:$P$24,0)),"Yes")="Yes"),'INPUT - Bookings'!$E1296+ROW()/100000,"")</f>
        <v/>
      </c>
    </row>
    <row r="1297">
      <c r="BB1297" s="244">
        <f>IF('INPUT - Bookings'!$B1297="",0,IF(AND(OR(Dashboard!$D$9="All",TRIM('INPUT - Bookings'!$C1297)=Dashboard!$D$9),OR(Dashboard!$J$9="All",TRIM('INPUT - Bookings'!$D1297)=Dashboard!$J$9)),1,0))</f>
        <v/>
      </c>
      <c r="BC1297" s="244">
        <f>IF(AND(BB1297=1,ISNUMBER('INPUT - Bookings'!$E1297),'INPUT - Bookings'!$E1297&gt;=Settings!$C$8,'INPUT - Bookings'!$E1297&lt;=Settings!$C$8+14,IFERROR(INDEX(Settings!$Q$14:$Q$24,MATCH('INPUT - Bookings'!$G1297,Settings!$P$14:$P$24,0)),"Yes")="Yes"),'INPUT - Bookings'!$E1297+ROW()/100000,"")</f>
        <v/>
      </c>
    </row>
    <row r="1298">
      <c r="BB1298" s="244">
        <f>IF('INPUT - Bookings'!$B1298="",0,IF(AND(OR(Dashboard!$D$9="All",TRIM('INPUT - Bookings'!$C1298)=Dashboard!$D$9),OR(Dashboard!$J$9="All",TRIM('INPUT - Bookings'!$D1298)=Dashboard!$J$9)),1,0))</f>
        <v/>
      </c>
      <c r="BC1298" s="244">
        <f>IF(AND(BB1298=1,ISNUMBER('INPUT - Bookings'!$E1298),'INPUT - Bookings'!$E1298&gt;=Settings!$C$8,'INPUT - Bookings'!$E1298&lt;=Settings!$C$8+14,IFERROR(INDEX(Settings!$Q$14:$Q$24,MATCH('INPUT - Bookings'!$G1298,Settings!$P$14:$P$24,0)),"Yes")="Yes"),'INPUT - Bookings'!$E1298+ROW()/100000,"")</f>
        <v/>
      </c>
    </row>
    <row r="1299">
      <c r="BB1299" s="244">
        <f>IF('INPUT - Bookings'!$B1299="",0,IF(AND(OR(Dashboard!$D$9="All",TRIM('INPUT - Bookings'!$C1299)=Dashboard!$D$9),OR(Dashboard!$J$9="All",TRIM('INPUT - Bookings'!$D1299)=Dashboard!$J$9)),1,0))</f>
        <v/>
      </c>
      <c r="BC1299" s="244">
        <f>IF(AND(BB1299=1,ISNUMBER('INPUT - Bookings'!$E1299),'INPUT - Bookings'!$E1299&gt;=Settings!$C$8,'INPUT - Bookings'!$E1299&lt;=Settings!$C$8+14,IFERROR(INDEX(Settings!$Q$14:$Q$24,MATCH('INPUT - Bookings'!$G1299,Settings!$P$14:$P$24,0)),"Yes")="Yes"),'INPUT - Bookings'!$E1299+ROW()/100000,"")</f>
        <v/>
      </c>
    </row>
    <row r="1300">
      <c r="BB1300" s="244">
        <f>IF('INPUT - Bookings'!$B1300="",0,IF(AND(OR(Dashboard!$D$9="All",TRIM('INPUT - Bookings'!$C1300)=Dashboard!$D$9),OR(Dashboard!$J$9="All",TRIM('INPUT - Bookings'!$D1300)=Dashboard!$J$9)),1,0))</f>
        <v/>
      </c>
      <c r="BC1300" s="244">
        <f>IF(AND(BB1300=1,ISNUMBER('INPUT - Bookings'!$E1300),'INPUT - Bookings'!$E1300&gt;=Settings!$C$8,'INPUT - Bookings'!$E1300&lt;=Settings!$C$8+14,IFERROR(INDEX(Settings!$Q$14:$Q$24,MATCH('INPUT - Bookings'!$G1300,Settings!$P$14:$P$24,0)),"Yes")="Yes"),'INPUT - Bookings'!$E1300+ROW()/100000,"")</f>
        <v/>
      </c>
    </row>
    <row r="1301">
      <c r="BB1301" s="244">
        <f>IF('INPUT - Bookings'!$B1301="",0,IF(AND(OR(Dashboard!$D$9="All",TRIM('INPUT - Bookings'!$C1301)=Dashboard!$D$9),OR(Dashboard!$J$9="All",TRIM('INPUT - Bookings'!$D1301)=Dashboard!$J$9)),1,0))</f>
        <v/>
      </c>
      <c r="BC1301" s="244">
        <f>IF(AND(BB1301=1,ISNUMBER('INPUT - Bookings'!$E1301),'INPUT - Bookings'!$E1301&gt;=Settings!$C$8,'INPUT - Bookings'!$E1301&lt;=Settings!$C$8+14,IFERROR(INDEX(Settings!$Q$14:$Q$24,MATCH('INPUT - Bookings'!$G1301,Settings!$P$14:$P$24,0)),"Yes")="Yes"),'INPUT - Bookings'!$E1301+ROW()/100000,"")</f>
        <v/>
      </c>
    </row>
    <row r="1302">
      <c r="BB1302" s="244">
        <f>IF('INPUT - Bookings'!$B1302="",0,IF(AND(OR(Dashboard!$D$9="All",TRIM('INPUT - Bookings'!$C1302)=Dashboard!$D$9),OR(Dashboard!$J$9="All",TRIM('INPUT - Bookings'!$D1302)=Dashboard!$J$9)),1,0))</f>
        <v/>
      </c>
      <c r="BC1302" s="244">
        <f>IF(AND(BB1302=1,ISNUMBER('INPUT - Bookings'!$E1302),'INPUT - Bookings'!$E1302&gt;=Settings!$C$8,'INPUT - Bookings'!$E1302&lt;=Settings!$C$8+14,IFERROR(INDEX(Settings!$Q$14:$Q$24,MATCH('INPUT - Bookings'!$G1302,Settings!$P$14:$P$24,0)),"Yes")="Yes"),'INPUT - Bookings'!$E1302+ROW()/100000,"")</f>
        <v/>
      </c>
    </row>
    <row r="1303">
      <c r="BB1303" s="244">
        <f>IF('INPUT - Bookings'!$B1303="",0,IF(AND(OR(Dashboard!$D$9="All",TRIM('INPUT - Bookings'!$C1303)=Dashboard!$D$9),OR(Dashboard!$J$9="All",TRIM('INPUT - Bookings'!$D1303)=Dashboard!$J$9)),1,0))</f>
        <v/>
      </c>
      <c r="BC1303" s="244">
        <f>IF(AND(BB1303=1,ISNUMBER('INPUT - Bookings'!$E1303),'INPUT - Bookings'!$E1303&gt;=Settings!$C$8,'INPUT - Bookings'!$E1303&lt;=Settings!$C$8+14,IFERROR(INDEX(Settings!$Q$14:$Q$24,MATCH('INPUT - Bookings'!$G1303,Settings!$P$14:$P$24,0)),"Yes")="Yes"),'INPUT - Bookings'!$E1303+ROW()/100000,"")</f>
        <v/>
      </c>
    </row>
    <row r="1304">
      <c r="BB1304" s="244">
        <f>IF('INPUT - Bookings'!$B1304="",0,IF(AND(OR(Dashboard!$D$9="All",TRIM('INPUT - Bookings'!$C1304)=Dashboard!$D$9),OR(Dashboard!$J$9="All",TRIM('INPUT - Bookings'!$D1304)=Dashboard!$J$9)),1,0))</f>
        <v/>
      </c>
      <c r="BC1304" s="244">
        <f>IF(AND(BB1304=1,ISNUMBER('INPUT - Bookings'!$E1304),'INPUT - Bookings'!$E1304&gt;=Settings!$C$8,'INPUT - Bookings'!$E1304&lt;=Settings!$C$8+14,IFERROR(INDEX(Settings!$Q$14:$Q$24,MATCH('INPUT - Bookings'!$G1304,Settings!$P$14:$P$24,0)),"Yes")="Yes"),'INPUT - Bookings'!$E1304+ROW()/100000,"")</f>
        <v/>
      </c>
    </row>
    <row r="1305">
      <c r="BB1305" s="244">
        <f>IF('INPUT - Bookings'!$B1305="",0,IF(AND(OR(Dashboard!$D$9="All",TRIM('INPUT - Bookings'!$C1305)=Dashboard!$D$9),OR(Dashboard!$J$9="All",TRIM('INPUT - Bookings'!$D1305)=Dashboard!$J$9)),1,0))</f>
        <v/>
      </c>
      <c r="BC1305" s="244">
        <f>IF(AND(BB1305=1,ISNUMBER('INPUT - Bookings'!$E1305),'INPUT - Bookings'!$E1305&gt;=Settings!$C$8,'INPUT - Bookings'!$E1305&lt;=Settings!$C$8+14,IFERROR(INDEX(Settings!$Q$14:$Q$24,MATCH('INPUT - Bookings'!$G1305,Settings!$P$14:$P$24,0)),"Yes")="Yes"),'INPUT - Bookings'!$E1305+ROW()/100000,"")</f>
        <v/>
      </c>
    </row>
    <row r="1306">
      <c r="BB1306" s="244">
        <f>IF('INPUT - Bookings'!$B1306="",0,IF(AND(OR(Dashboard!$D$9="All",TRIM('INPUT - Bookings'!$C1306)=Dashboard!$D$9),OR(Dashboard!$J$9="All",TRIM('INPUT - Bookings'!$D1306)=Dashboard!$J$9)),1,0))</f>
        <v/>
      </c>
      <c r="BC1306" s="244">
        <f>IF(AND(BB1306=1,ISNUMBER('INPUT - Bookings'!$E1306),'INPUT - Bookings'!$E1306&gt;=Settings!$C$8,'INPUT - Bookings'!$E1306&lt;=Settings!$C$8+14,IFERROR(INDEX(Settings!$Q$14:$Q$24,MATCH('INPUT - Bookings'!$G1306,Settings!$P$14:$P$24,0)),"Yes")="Yes"),'INPUT - Bookings'!$E1306+ROW()/100000,"")</f>
        <v/>
      </c>
    </row>
    <row r="1307">
      <c r="BB1307" s="244">
        <f>IF('INPUT - Bookings'!$B1307="",0,IF(AND(OR(Dashboard!$D$9="All",TRIM('INPUT - Bookings'!$C1307)=Dashboard!$D$9),OR(Dashboard!$J$9="All",TRIM('INPUT - Bookings'!$D1307)=Dashboard!$J$9)),1,0))</f>
        <v/>
      </c>
      <c r="BC1307" s="244">
        <f>IF(AND(BB1307=1,ISNUMBER('INPUT - Bookings'!$E1307),'INPUT - Bookings'!$E1307&gt;=Settings!$C$8,'INPUT - Bookings'!$E1307&lt;=Settings!$C$8+14,IFERROR(INDEX(Settings!$Q$14:$Q$24,MATCH('INPUT - Bookings'!$G1307,Settings!$P$14:$P$24,0)),"Yes")="Yes"),'INPUT - Bookings'!$E1307+ROW()/100000,"")</f>
        <v/>
      </c>
    </row>
    <row r="1308">
      <c r="BB1308" s="244">
        <f>IF('INPUT - Bookings'!$B1308="",0,IF(AND(OR(Dashboard!$D$9="All",TRIM('INPUT - Bookings'!$C1308)=Dashboard!$D$9),OR(Dashboard!$J$9="All",TRIM('INPUT - Bookings'!$D1308)=Dashboard!$J$9)),1,0))</f>
        <v/>
      </c>
      <c r="BC1308" s="244">
        <f>IF(AND(BB1308=1,ISNUMBER('INPUT - Bookings'!$E1308),'INPUT - Bookings'!$E1308&gt;=Settings!$C$8,'INPUT - Bookings'!$E1308&lt;=Settings!$C$8+14,IFERROR(INDEX(Settings!$Q$14:$Q$24,MATCH('INPUT - Bookings'!$G1308,Settings!$P$14:$P$24,0)),"Yes")="Yes"),'INPUT - Bookings'!$E1308+ROW()/100000,"")</f>
        <v/>
      </c>
    </row>
    <row r="1309">
      <c r="BB1309" s="244">
        <f>IF('INPUT - Bookings'!$B1309="",0,IF(AND(OR(Dashboard!$D$9="All",TRIM('INPUT - Bookings'!$C1309)=Dashboard!$D$9),OR(Dashboard!$J$9="All",TRIM('INPUT - Bookings'!$D1309)=Dashboard!$J$9)),1,0))</f>
        <v/>
      </c>
      <c r="BC1309" s="244">
        <f>IF(AND(BB1309=1,ISNUMBER('INPUT - Bookings'!$E1309),'INPUT - Bookings'!$E1309&gt;=Settings!$C$8,'INPUT - Bookings'!$E1309&lt;=Settings!$C$8+14,IFERROR(INDEX(Settings!$Q$14:$Q$24,MATCH('INPUT - Bookings'!$G1309,Settings!$P$14:$P$24,0)),"Yes")="Yes"),'INPUT - Bookings'!$E1309+ROW()/100000,"")</f>
        <v/>
      </c>
    </row>
    <row r="1310">
      <c r="BB1310" s="244">
        <f>IF('INPUT - Bookings'!$B1310="",0,IF(AND(OR(Dashboard!$D$9="All",TRIM('INPUT - Bookings'!$C1310)=Dashboard!$D$9),OR(Dashboard!$J$9="All",TRIM('INPUT - Bookings'!$D1310)=Dashboard!$J$9)),1,0))</f>
        <v/>
      </c>
      <c r="BC1310" s="244">
        <f>IF(AND(BB1310=1,ISNUMBER('INPUT - Bookings'!$E1310),'INPUT - Bookings'!$E1310&gt;=Settings!$C$8,'INPUT - Bookings'!$E1310&lt;=Settings!$C$8+14,IFERROR(INDEX(Settings!$Q$14:$Q$24,MATCH('INPUT - Bookings'!$G1310,Settings!$P$14:$P$24,0)),"Yes")="Yes"),'INPUT - Bookings'!$E1310+ROW()/100000,"")</f>
        <v/>
      </c>
    </row>
    <row r="1311">
      <c r="BB1311" s="244">
        <f>IF('INPUT - Bookings'!$B1311="",0,IF(AND(OR(Dashboard!$D$9="All",TRIM('INPUT - Bookings'!$C1311)=Dashboard!$D$9),OR(Dashboard!$J$9="All",TRIM('INPUT - Bookings'!$D1311)=Dashboard!$J$9)),1,0))</f>
        <v/>
      </c>
      <c r="BC1311" s="244">
        <f>IF(AND(BB1311=1,ISNUMBER('INPUT - Bookings'!$E1311),'INPUT - Bookings'!$E1311&gt;=Settings!$C$8,'INPUT - Bookings'!$E1311&lt;=Settings!$C$8+14,IFERROR(INDEX(Settings!$Q$14:$Q$24,MATCH('INPUT - Bookings'!$G1311,Settings!$P$14:$P$24,0)),"Yes")="Yes"),'INPUT - Bookings'!$E1311+ROW()/100000,"")</f>
        <v/>
      </c>
    </row>
    <row r="1312">
      <c r="BB1312" s="244">
        <f>IF('INPUT - Bookings'!$B1312="",0,IF(AND(OR(Dashboard!$D$9="All",TRIM('INPUT - Bookings'!$C1312)=Dashboard!$D$9),OR(Dashboard!$J$9="All",TRIM('INPUT - Bookings'!$D1312)=Dashboard!$J$9)),1,0))</f>
        <v/>
      </c>
      <c r="BC1312" s="244">
        <f>IF(AND(BB1312=1,ISNUMBER('INPUT - Bookings'!$E1312),'INPUT - Bookings'!$E1312&gt;=Settings!$C$8,'INPUT - Bookings'!$E1312&lt;=Settings!$C$8+14,IFERROR(INDEX(Settings!$Q$14:$Q$24,MATCH('INPUT - Bookings'!$G1312,Settings!$P$14:$P$24,0)),"Yes")="Yes"),'INPUT - Bookings'!$E1312+ROW()/100000,"")</f>
        <v/>
      </c>
    </row>
    <row r="1313">
      <c r="BB1313" s="244">
        <f>IF('INPUT - Bookings'!$B1313="",0,IF(AND(OR(Dashboard!$D$9="All",TRIM('INPUT - Bookings'!$C1313)=Dashboard!$D$9),OR(Dashboard!$J$9="All",TRIM('INPUT - Bookings'!$D1313)=Dashboard!$J$9)),1,0))</f>
        <v/>
      </c>
      <c r="BC1313" s="244">
        <f>IF(AND(BB1313=1,ISNUMBER('INPUT - Bookings'!$E1313),'INPUT - Bookings'!$E1313&gt;=Settings!$C$8,'INPUT - Bookings'!$E1313&lt;=Settings!$C$8+14,IFERROR(INDEX(Settings!$Q$14:$Q$24,MATCH('INPUT - Bookings'!$G1313,Settings!$P$14:$P$24,0)),"Yes")="Yes"),'INPUT - Bookings'!$E1313+ROW()/100000,"")</f>
        <v/>
      </c>
    </row>
    <row r="1314">
      <c r="BB1314" s="244">
        <f>IF('INPUT - Bookings'!$B1314="",0,IF(AND(OR(Dashboard!$D$9="All",TRIM('INPUT - Bookings'!$C1314)=Dashboard!$D$9),OR(Dashboard!$J$9="All",TRIM('INPUT - Bookings'!$D1314)=Dashboard!$J$9)),1,0))</f>
        <v/>
      </c>
      <c r="BC1314" s="244">
        <f>IF(AND(BB1314=1,ISNUMBER('INPUT - Bookings'!$E1314),'INPUT - Bookings'!$E1314&gt;=Settings!$C$8,'INPUT - Bookings'!$E1314&lt;=Settings!$C$8+14,IFERROR(INDEX(Settings!$Q$14:$Q$24,MATCH('INPUT - Bookings'!$G1314,Settings!$P$14:$P$24,0)),"Yes")="Yes"),'INPUT - Bookings'!$E1314+ROW()/100000,"")</f>
        <v/>
      </c>
    </row>
    <row r="1315">
      <c r="BB1315" s="244">
        <f>IF('INPUT - Bookings'!$B1315="",0,IF(AND(OR(Dashboard!$D$9="All",TRIM('INPUT - Bookings'!$C1315)=Dashboard!$D$9),OR(Dashboard!$J$9="All",TRIM('INPUT - Bookings'!$D1315)=Dashboard!$J$9)),1,0))</f>
        <v/>
      </c>
      <c r="BC1315" s="244">
        <f>IF(AND(BB1315=1,ISNUMBER('INPUT - Bookings'!$E1315),'INPUT - Bookings'!$E1315&gt;=Settings!$C$8,'INPUT - Bookings'!$E1315&lt;=Settings!$C$8+14,IFERROR(INDEX(Settings!$Q$14:$Q$24,MATCH('INPUT - Bookings'!$G1315,Settings!$P$14:$P$24,0)),"Yes")="Yes"),'INPUT - Bookings'!$E1315+ROW()/100000,"")</f>
        <v/>
      </c>
    </row>
    <row r="1316">
      <c r="BB1316" s="244">
        <f>IF('INPUT - Bookings'!$B1316="",0,IF(AND(OR(Dashboard!$D$9="All",TRIM('INPUT - Bookings'!$C1316)=Dashboard!$D$9),OR(Dashboard!$J$9="All",TRIM('INPUT - Bookings'!$D1316)=Dashboard!$J$9)),1,0))</f>
        <v/>
      </c>
      <c r="BC1316" s="244">
        <f>IF(AND(BB1316=1,ISNUMBER('INPUT - Bookings'!$E1316),'INPUT - Bookings'!$E1316&gt;=Settings!$C$8,'INPUT - Bookings'!$E1316&lt;=Settings!$C$8+14,IFERROR(INDEX(Settings!$Q$14:$Q$24,MATCH('INPUT - Bookings'!$G1316,Settings!$P$14:$P$24,0)),"Yes")="Yes"),'INPUT - Bookings'!$E1316+ROW()/100000,"")</f>
        <v/>
      </c>
    </row>
    <row r="1317">
      <c r="BB1317" s="244">
        <f>IF('INPUT - Bookings'!$B1317="",0,IF(AND(OR(Dashboard!$D$9="All",TRIM('INPUT - Bookings'!$C1317)=Dashboard!$D$9),OR(Dashboard!$J$9="All",TRIM('INPUT - Bookings'!$D1317)=Dashboard!$J$9)),1,0))</f>
        <v/>
      </c>
      <c r="BC1317" s="244">
        <f>IF(AND(BB1317=1,ISNUMBER('INPUT - Bookings'!$E1317),'INPUT - Bookings'!$E1317&gt;=Settings!$C$8,'INPUT - Bookings'!$E1317&lt;=Settings!$C$8+14,IFERROR(INDEX(Settings!$Q$14:$Q$24,MATCH('INPUT - Bookings'!$G1317,Settings!$P$14:$P$24,0)),"Yes")="Yes"),'INPUT - Bookings'!$E1317+ROW()/100000,"")</f>
        <v/>
      </c>
    </row>
    <row r="1318">
      <c r="BB1318" s="244">
        <f>IF('INPUT - Bookings'!$B1318="",0,IF(AND(OR(Dashboard!$D$9="All",TRIM('INPUT - Bookings'!$C1318)=Dashboard!$D$9),OR(Dashboard!$J$9="All",TRIM('INPUT - Bookings'!$D1318)=Dashboard!$J$9)),1,0))</f>
        <v/>
      </c>
      <c r="BC1318" s="244">
        <f>IF(AND(BB1318=1,ISNUMBER('INPUT - Bookings'!$E1318),'INPUT - Bookings'!$E1318&gt;=Settings!$C$8,'INPUT - Bookings'!$E1318&lt;=Settings!$C$8+14,IFERROR(INDEX(Settings!$Q$14:$Q$24,MATCH('INPUT - Bookings'!$G1318,Settings!$P$14:$P$24,0)),"Yes")="Yes"),'INPUT - Bookings'!$E1318+ROW()/100000,"")</f>
        <v/>
      </c>
    </row>
    <row r="1319">
      <c r="BB1319" s="244">
        <f>IF('INPUT - Bookings'!$B1319="",0,IF(AND(OR(Dashboard!$D$9="All",TRIM('INPUT - Bookings'!$C1319)=Dashboard!$D$9),OR(Dashboard!$J$9="All",TRIM('INPUT - Bookings'!$D1319)=Dashboard!$J$9)),1,0))</f>
        <v/>
      </c>
      <c r="BC1319" s="244">
        <f>IF(AND(BB1319=1,ISNUMBER('INPUT - Bookings'!$E1319),'INPUT - Bookings'!$E1319&gt;=Settings!$C$8,'INPUT - Bookings'!$E1319&lt;=Settings!$C$8+14,IFERROR(INDEX(Settings!$Q$14:$Q$24,MATCH('INPUT - Bookings'!$G1319,Settings!$P$14:$P$24,0)),"Yes")="Yes"),'INPUT - Bookings'!$E1319+ROW()/100000,"")</f>
        <v/>
      </c>
    </row>
    <row r="1320">
      <c r="BB1320" s="244">
        <f>IF('INPUT - Bookings'!$B1320="",0,IF(AND(OR(Dashboard!$D$9="All",TRIM('INPUT - Bookings'!$C1320)=Dashboard!$D$9),OR(Dashboard!$J$9="All",TRIM('INPUT - Bookings'!$D1320)=Dashboard!$J$9)),1,0))</f>
        <v/>
      </c>
      <c r="BC1320" s="244">
        <f>IF(AND(BB1320=1,ISNUMBER('INPUT - Bookings'!$E1320),'INPUT - Bookings'!$E1320&gt;=Settings!$C$8,'INPUT - Bookings'!$E1320&lt;=Settings!$C$8+14,IFERROR(INDEX(Settings!$Q$14:$Q$24,MATCH('INPUT - Bookings'!$G1320,Settings!$P$14:$P$24,0)),"Yes")="Yes"),'INPUT - Bookings'!$E1320+ROW()/100000,"")</f>
        <v/>
      </c>
    </row>
    <row r="1321">
      <c r="BB1321" s="244">
        <f>IF('INPUT - Bookings'!$B1321="",0,IF(AND(OR(Dashboard!$D$9="All",TRIM('INPUT - Bookings'!$C1321)=Dashboard!$D$9),OR(Dashboard!$J$9="All",TRIM('INPUT - Bookings'!$D1321)=Dashboard!$J$9)),1,0))</f>
        <v/>
      </c>
      <c r="BC1321" s="244">
        <f>IF(AND(BB1321=1,ISNUMBER('INPUT - Bookings'!$E1321),'INPUT - Bookings'!$E1321&gt;=Settings!$C$8,'INPUT - Bookings'!$E1321&lt;=Settings!$C$8+14,IFERROR(INDEX(Settings!$Q$14:$Q$24,MATCH('INPUT - Bookings'!$G1321,Settings!$P$14:$P$24,0)),"Yes")="Yes"),'INPUT - Bookings'!$E1321+ROW()/100000,"")</f>
        <v/>
      </c>
    </row>
    <row r="1322">
      <c r="BB1322" s="244">
        <f>IF('INPUT - Bookings'!$B1322="",0,IF(AND(OR(Dashboard!$D$9="All",TRIM('INPUT - Bookings'!$C1322)=Dashboard!$D$9),OR(Dashboard!$J$9="All",TRIM('INPUT - Bookings'!$D1322)=Dashboard!$J$9)),1,0))</f>
        <v/>
      </c>
      <c r="BC1322" s="244">
        <f>IF(AND(BB1322=1,ISNUMBER('INPUT - Bookings'!$E1322),'INPUT - Bookings'!$E1322&gt;=Settings!$C$8,'INPUT - Bookings'!$E1322&lt;=Settings!$C$8+14,IFERROR(INDEX(Settings!$Q$14:$Q$24,MATCH('INPUT - Bookings'!$G1322,Settings!$P$14:$P$24,0)),"Yes")="Yes"),'INPUT - Bookings'!$E1322+ROW()/100000,"")</f>
        <v/>
      </c>
    </row>
    <row r="1323">
      <c r="BB1323" s="244">
        <f>IF('INPUT - Bookings'!$B1323="",0,IF(AND(OR(Dashboard!$D$9="All",TRIM('INPUT - Bookings'!$C1323)=Dashboard!$D$9),OR(Dashboard!$J$9="All",TRIM('INPUT - Bookings'!$D1323)=Dashboard!$J$9)),1,0))</f>
        <v/>
      </c>
      <c r="BC1323" s="244">
        <f>IF(AND(BB1323=1,ISNUMBER('INPUT - Bookings'!$E1323),'INPUT - Bookings'!$E1323&gt;=Settings!$C$8,'INPUT - Bookings'!$E1323&lt;=Settings!$C$8+14,IFERROR(INDEX(Settings!$Q$14:$Q$24,MATCH('INPUT - Bookings'!$G1323,Settings!$P$14:$P$24,0)),"Yes")="Yes"),'INPUT - Bookings'!$E1323+ROW()/100000,"")</f>
        <v/>
      </c>
    </row>
    <row r="1324">
      <c r="BB1324" s="244">
        <f>IF('INPUT - Bookings'!$B1324="",0,IF(AND(OR(Dashboard!$D$9="All",TRIM('INPUT - Bookings'!$C1324)=Dashboard!$D$9),OR(Dashboard!$J$9="All",TRIM('INPUT - Bookings'!$D1324)=Dashboard!$J$9)),1,0))</f>
        <v/>
      </c>
      <c r="BC1324" s="244">
        <f>IF(AND(BB1324=1,ISNUMBER('INPUT - Bookings'!$E1324),'INPUT - Bookings'!$E1324&gt;=Settings!$C$8,'INPUT - Bookings'!$E1324&lt;=Settings!$C$8+14,IFERROR(INDEX(Settings!$Q$14:$Q$24,MATCH('INPUT - Bookings'!$G1324,Settings!$P$14:$P$24,0)),"Yes")="Yes"),'INPUT - Bookings'!$E1324+ROW()/100000,"")</f>
        <v/>
      </c>
    </row>
    <row r="1325">
      <c r="BB1325" s="244">
        <f>IF('INPUT - Bookings'!$B1325="",0,IF(AND(OR(Dashboard!$D$9="All",TRIM('INPUT - Bookings'!$C1325)=Dashboard!$D$9),OR(Dashboard!$J$9="All",TRIM('INPUT - Bookings'!$D1325)=Dashboard!$J$9)),1,0))</f>
        <v/>
      </c>
      <c r="BC1325" s="244">
        <f>IF(AND(BB1325=1,ISNUMBER('INPUT - Bookings'!$E1325),'INPUT - Bookings'!$E1325&gt;=Settings!$C$8,'INPUT - Bookings'!$E1325&lt;=Settings!$C$8+14,IFERROR(INDEX(Settings!$Q$14:$Q$24,MATCH('INPUT - Bookings'!$G1325,Settings!$P$14:$P$24,0)),"Yes")="Yes"),'INPUT - Bookings'!$E1325+ROW()/100000,"")</f>
        <v/>
      </c>
    </row>
    <row r="1326">
      <c r="BB1326" s="244">
        <f>IF('INPUT - Bookings'!$B1326="",0,IF(AND(OR(Dashboard!$D$9="All",TRIM('INPUT - Bookings'!$C1326)=Dashboard!$D$9),OR(Dashboard!$J$9="All",TRIM('INPUT - Bookings'!$D1326)=Dashboard!$J$9)),1,0))</f>
        <v/>
      </c>
      <c r="BC1326" s="244">
        <f>IF(AND(BB1326=1,ISNUMBER('INPUT - Bookings'!$E1326),'INPUT - Bookings'!$E1326&gt;=Settings!$C$8,'INPUT - Bookings'!$E1326&lt;=Settings!$C$8+14,IFERROR(INDEX(Settings!$Q$14:$Q$24,MATCH('INPUT - Bookings'!$G1326,Settings!$P$14:$P$24,0)),"Yes")="Yes"),'INPUT - Bookings'!$E1326+ROW()/100000,"")</f>
        <v/>
      </c>
    </row>
    <row r="1327">
      <c r="BB1327" s="244">
        <f>IF('INPUT - Bookings'!$B1327="",0,IF(AND(OR(Dashboard!$D$9="All",TRIM('INPUT - Bookings'!$C1327)=Dashboard!$D$9),OR(Dashboard!$J$9="All",TRIM('INPUT - Bookings'!$D1327)=Dashboard!$J$9)),1,0))</f>
        <v/>
      </c>
      <c r="BC1327" s="244">
        <f>IF(AND(BB1327=1,ISNUMBER('INPUT - Bookings'!$E1327),'INPUT - Bookings'!$E1327&gt;=Settings!$C$8,'INPUT - Bookings'!$E1327&lt;=Settings!$C$8+14,IFERROR(INDEX(Settings!$Q$14:$Q$24,MATCH('INPUT - Bookings'!$G1327,Settings!$P$14:$P$24,0)),"Yes")="Yes"),'INPUT - Bookings'!$E1327+ROW()/100000,"")</f>
        <v/>
      </c>
    </row>
    <row r="1328">
      <c r="BB1328" s="244">
        <f>IF('INPUT - Bookings'!$B1328="",0,IF(AND(OR(Dashboard!$D$9="All",TRIM('INPUT - Bookings'!$C1328)=Dashboard!$D$9),OR(Dashboard!$J$9="All",TRIM('INPUT - Bookings'!$D1328)=Dashboard!$J$9)),1,0))</f>
        <v/>
      </c>
      <c r="BC1328" s="244">
        <f>IF(AND(BB1328=1,ISNUMBER('INPUT - Bookings'!$E1328),'INPUT - Bookings'!$E1328&gt;=Settings!$C$8,'INPUT - Bookings'!$E1328&lt;=Settings!$C$8+14,IFERROR(INDEX(Settings!$Q$14:$Q$24,MATCH('INPUT - Bookings'!$G1328,Settings!$P$14:$P$24,0)),"Yes")="Yes"),'INPUT - Bookings'!$E1328+ROW()/100000,"")</f>
        <v/>
      </c>
    </row>
    <row r="1329">
      <c r="BB1329" s="244">
        <f>IF('INPUT - Bookings'!$B1329="",0,IF(AND(OR(Dashboard!$D$9="All",TRIM('INPUT - Bookings'!$C1329)=Dashboard!$D$9),OR(Dashboard!$J$9="All",TRIM('INPUT - Bookings'!$D1329)=Dashboard!$J$9)),1,0))</f>
        <v/>
      </c>
      <c r="BC1329" s="244">
        <f>IF(AND(BB1329=1,ISNUMBER('INPUT - Bookings'!$E1329),'INPUT - Bookings'!$E1329&gt;=Settings!$C$8,'INPUT - Bookings'!$E1329&lt;=Settings!$C$8+14,IFERROR(INDEX(Settings!$Q$14:$Q$24,MATCH('INPUT - Bookings'!$G1329,Settings!$P$14:$P$24,0)),"Yes")="Yes"),'INPUT - Bookings'!$E1329+ROW()/100000,"")</f>
        <v/>
      </c>
    </row>
    <row r="1330">
      <c r="BB1330" s="244">
        <f>IF('INPUT - Bookings'!$B1330="",0,IF(AND(OR(Dashboard!$D$9="All",TRIM('INPUT - Bookings'!$C1330)=Dashboard!$D$9),OR(Dashboard!$J$9="All",TRIM('INPUT - Bookings'!$D1330)=Dashboard!$J$9)),1,0))</f>
        <v/>
      </c>
      <c r="BC1330" s="244">
        <f>IF(AND(BB1330=1,ISNUMBER('INPUT - Bookings'!$E1330),'INPUT - Bookings'!$E1330&gt;=Settings!$C$8,'INPUT - Bookings'!$E1330&lt;=Settings!$C$8+14,IFERROR(INDEX(Settings!$Q$14:$Q$24,MATCH('INPUT - Bookings'!$G1330,Settings!$P$14:$P$24,0)),"Yes")="Yes"),'INPUT - Bookings'!$E1330+ROW()/100000,"")</f>
        <v/>
      </c>
    </row>
    <row r="1331">
      <c r="BB1331" s="244">
        <f>IF('INPUT - Bookings'!$B1331="",0,IF(AND(OR(Dashboard!$D$9="All",TRIM('INPUT - Bookings'!$C1331)=Dashboard!$D$9),OR(Dashboard!$J$9="All",TRIM('INPUT - Bookings'!$D1331)=Dashboard!$J$9)),1,0))</f>
        <v/>
      </c>
      <c r="BC1331" s="244">
        <f>IF(AND(BB1331=1,ISNUMBER('INPUT - Bookings'!$E1331),'INPUT - Bookings'!$E1331&gt;=Settings!$C$8,'INPUT - Bookings'!$E1331&lt;=Settings!$C$8+14,IFERROR(INDEX(Settings!$Q$14:$Q$24,MATCH('INPUT - Bookings'!$G1331,Settings!$P$14:$P$24,0)),"Yes")="Yes"),'INPUT - Bookings'!$E1331+ROW()/100000,"")</f>
        <v/>
      </c>
    </row>
    <row r="1332">
      <c r="BB1332" s="244">
        <f>IF('INPUT - Bookings'!$B1332="",0,IF(AND(OR(Dashboard!$D$9="All",TRIM('INPUT - Bookings'!$C1332)=Dashboard!$D$9),OR(Dashboard!$J$9="All",TRIM('INPUT - Bookings'!$D1332)=Dashboard!$J$9)),1,0))</f>
        <v/>
      </c>
      <c r="BC1332" s="244">
        <f>IF(AND(BB1332=1,ISNUMBER('INPUT - Bookings'!$E1332),'INPUT - Bookings'!$E1332&gt;=Settings!$C$8,'INPUT - Bookings'!$E1332&lt;=Settings!$C$8+14,IFERROR(INDEX(Settings!$Q$14:$Q$24,MATCH('INPUT - Bookings'!$G1332,Settings!$P$14:$P$24,0)),"Yes")="Yes"),'INPUT - Bookings'!$E1332+ROW()/100000,"")</f>
        <v/>
      </c>
    </row>
    <row r="1333">
      <c r="BB1333" s="244">
        <f>IF('INPUT - Bookings'!$B1333="",0,IF(AND(OR(Dashboard!$D$9="All",TRIM('INPUT - Bookings'!$C1333)=Dashboard!$D$9),OR(Dashboard!$J$9="All",TRIM('INPUT - Bookings'!$D1333)=Dashboard!$J$9)),1,0))</f>
        <v/>
      </c>
      <c r="BC1333" s="244">
        <f>IF(AND(BB1333=1,ISNUMBER('INPUT - Bookings'!$E1333),'INPUT - Bookings'!$E1333&gt;=Settings!$C$8,'INPUT - Bookings'!$E1333&lt;=Settings!$C$8+14,IFERROR(INDEX(Settings!$Q$14:$Q$24,MATCH('INPUT - Bookings'!$G1333,Settings!$P$14:$P$24,0)),"Yes")="Yes"),'INPUT - Bookings'!$E1333+ROW()/100000,"")</f>
        <v/>
      </c>
    </row>
    <row r="1334">
      <c r="BB1334" s="244">
        <f>IF('INPUT - Bookings'!$B1334="",0,IF(AND(OR(Dashboard!$D$9="All",TRIM('INPUT - Bookings'!$C1334)=Dashboard!$D$9),OR(Dashboard!$J$9="All",TRIM('INPUT - Bookings'!$D1334)=Dashboard!$J$9)),1,0))</f>
        <v/>
      </c>
      <c r="BC1334" s="244">
        <f>IF(AND(BB1334=1,ISNUMBER('INPUT - Bookings'!$E1334),'INPUT - Bookings'!$E1334&gt;=Settings!$C$8,'INPUT - Bookings'!$E1334&lt;=Settings!$C$8+14,IFERROR(INDEX(Settings!$Q$14:$Q$24,MATCH('INPUT - Bookings'!$G1334,Settings!$P$14:$P$24,0)),"Yes")="Yes"),'INPUT - Bookings'!$E1334+ROW()/100000,"")</f>
        <v/>
      </c>
    </row>
    <row r="1335">
      <c r="BB1335" s="244">
        <f>IF('INPUT - Bookings'!$B1335="",0,IF(AND(OR(Dashboard!$D$9="All",TRIM('INPUT - Bookings'!$C1335)=Dashboard!$D$9),OR(Dashboard!$J$9="All",TRIM('INPUT - Bookings'!$D1335)=Dashboard!$J$9)),1,0))</f>
        <v/>
      </c>
      <c r="BC1335" s="244">
        <f>IF(AND(BB1335=1,ISNUMBER('INPUT - Bookings'!$E1335),'INPUT - Bookings'!$E1335&gt;=Settings!$C$8,'INPUT - Bookings'!$E1335&lt;=Settings!$C$8+14,IFERROR(INDEX(Settings!$Q$14:$Q$24,MATCH('INPUT - Bookings'!$G1335,Settings!$P$14:$P$24,0)),"Yes")="Yes"),'INPUT - Bookings'!$E1335+ROW()/100000,"")</f>
        <v/>
      </c>
    </row>
    <row r="1336">
      <c r="BB1336" s="244">
        <f>IF('INPUT - Bookings'!$B1336="",0,IF(AND(OR(Dashboard!$D$9="All",TRIM('INPUT - Bookings'!$C1336)=Dashboard!$D$9),OR(Dashboard!$J$9="All",TRIM('INPUT - Bookings'!$D1336)=Dashboard!$J$9)),1,0))</f>
        <v/>
      </c>
      <c r="BC1336" s="244">
        <f>IF(AND(BB1336=1,ISNUMBER('INPUT - Bookings'!$E1336),'INPUT - Bookings'!$E1336&gt;=Settings!$C$8,'INPUT - Bookings'!$E1336&lt;=Settings!$C$8+14,IFERROR(INDEX(Settings!$Q$14:$Q$24,MATCH('INPUT - Bookings'!$G1336,Settings!$P$14:$P$24,0)),"Yes")="Yes"),'INPUT - Bookings'!$E1336+ROW()/100000,"")</f>
        <v/>
      </c>
    </row>
    <row r="1337">
      <c r="BB1337" s="244">
        <f>IF('INPUT - Bookings'!$B1337="",0,IF(AND(OR(Dashboard!$D$9="All",TRIM('INPUT - Bookings'!$C1337)=Dashboard!$D$9),OR(Dashboard!$J$9="All",TRIM('INPUT - Bookings'!$D1337)=Dashboard!$J$9)),1,0))</f>
        <v/>
      </c>
      <c r="BC1337" s="244">
        <f>IF(AND(BB1337=1,ISNUMBER('INPUT - Bookings'!$E1337),'INPUT - Bookings'!$E1337&gt;=Settings!$C$8,'INPUT - Bookings'!$E1337&lt;=Settings!$C$8+14,IFERROR(INDEX(Settings!$Q$14:$Q$24,MATCH('INPUT - Bookings'!$G1337,Settings!$P$14:$P$24,0)),"Yes")="Yes"),'INPUT - Bookings'!$E1337+ROW()/100000,"")</f>
        <v/>
      </c>
    </row>
    <row r="1338">
      <c r="BB1338" s="244">
        <f>IF('INPUT - Bookings'!$B1338="",0,IF(AND(OR(Dashboard!$D$9="All",TRIM('INPUT - Bookings'!$C1338)=Dashboard!$D$9),OR(Dashboard!$J$9="All",TRIM('INPUT - Bookings'!$D1338)=Dashboard!$J$9)),1,0))</f>
        <v/>
      </c>
      <c r="BC1338" s="244">
        <f>IF(AND(BB1338=1,ISNUMBER('INPUT - Bookings'!$E1338),'INPUT - Bookings'!$E1338&gt;=Settings!$C$8,'INPUT - Bookings'!$E1338&lt;=Settings!$C$8+14,IFERROR(INDEX(Settings!$Q$14:$Q$24,MATCH('INPUT - Bookings'!$G1338,Settings!$P$14:$P$24,0)),"Yes")="Yes"),'INPUT - Bookings'!$E1338+ROW()/100000,"")</f>
        <v/>
      </c>
    </row>
    <row r="1339">
      <c r="BB1339" s="244">
        <f>IF('INPUT - Bookings'!$B1339="",0,IF(AND(OR(Dashboard!$D$9="All",TRIM('INPUT - Bookings'!$C1339)=Dashboard!$D$9),OR(Dashboard!$J$9="All",TRIM('INPUT - Bookings'!$D1339)=Dashboard!$J$9)),1,0))</f>
        <v/>
      </c>
      <c r="BC1339" s="244">
        <f>IF(AND(BB1339=1,ISNUMBER('INPUT - Bookings'!$E1339),'INPUT - Bookings'!$E1339&gt;=Settings!$C$8,'INPUT - Bookings'!$E1339&lt;=Settings!$C$8+14,IFERROR(INDEX(Settings!$Q$14:$Q$24,MATCH('INPUT - Bookings'!$G1339,Settings!$P$14:$P$24,0)),"Yes")="Yes"),'INPUT - Bookings'!$E1339+ROW()/100000,"")</f>
        <v/>
      </c>
    </row>
    <row r="1340">
      <c r="BB1340" s="244">
        <f>IF('INPUT - Bookings'!$B1340="",0,IF(AND(OR(Dashboard!$D$9="All",TRIM('INPUT - Bookings'!$C1340)=Dashboard!$D$9),OR(Dashboard!$J$9="All",TRIM('INPUT - Bookings'!$D1340)=Dashboard!$J$9)),1,0))</f>
        <v/>
      </c>
      <c r="BC1340" s="244">
        <f>IF(AND(BB1340=1,ISNUMBER('INPUT - Bookings'!$E1340),'INPUT - Bookings'!$E1340&gt;=Settings!$C$8,'INPUT - Bookings'!$E1340&lt;=Settings!$C$8+14,IFERROR(INDEX(Settings!$Q$14:$Q$24,MATCH('INPUT - Bookings'!$G1340,Settings!$P$14:$P$24,0)),"Yes")="Yes"),'INPUT - Bookings'!$E1340+ROW()/100000,"")</f>
        <v/>
      </c>
    </row>
    <row r="1341">
      <c r="BB1341" s="244">
        <f>IF('INPUT - Bookings'!$B1341="",0,IF(AND(OR(Dashboard!$D$9="All",TRIM('INPUT - Bookings'!$C1341)=Dashboard!$D$9),OR(Dashboard!$J$9="All",TRIM('INPUT - Bookings'!$D1341)=Dashboard!$J$9)),1,0))</f>
        <v/>
      </c>
      <c r="BC1341" s="244">
        <f>IF(AND(BB1341=1,ISNUMBER('INPUT - Bookings'!$E1341),'INPUT - Bookings'!$E1341&gt;=Settings!$C$8,'INPUT - Bookings'!$E1341&lt;=Settings!$C$8+14,IFERROR(INDEX(Settings!$Q$14:$Q$24,MATCH('INPUT - Bookings'!$G1341,Settings!$P$14:$P$24,0)),"Yes")="Yes"),'INPUT - Bookings'!$E1341+ROW()/100000,"")</f>
        <v/>
      </c>
    </row>
    <row r="1342">
      <c r="BB1342" s="244">
        <f>IF('INPUT - Bookings'!$B1342="",0,IF(AND(OR(Dashboard!$D$9="All",TRIM('INPUT - Bookings'!$C1342)=Dashboard!$D$9),OR(Dashboard!$J$9="All",TRIM('INPUT - Bookings'!$D1342)=Dashboard!$J$9)),1,0))</f>
        <v/>
      </c>
      <c r="BC1342" s="244">
        <f>IF(AND(BB1342=1,ISNUMBER('INPUT - Bookings'!$E1342),'INPUT - Bookings'!$E1342&gt;=Settings!$C$8,'INPUT - Bookings'!$E1342&lt;=Settings!$C$8+14,IFERROR(INDEX(Settings!$Q$14:$Q$24,MATCH('INPUT - Bookings'!$G1342,Settings!$P$14:$P$24,0)),"Yes")="Yes"),'INPUT - Bookings'!$E1342+ROW()/100000,"")</f>
        <v/>
      </c>
    </row>
    <row r="1343">
      <c r="BB1343" s="244">
        <f>IF('INPUT - Bookings'!$B1343="",0,IF(AND(OR(Dashboard!$D$9="All",TRIM('INPUT - Bookings'!$C1343)=Dashboard!$D$9),OR(Dashboard!$J$9="All",TRIM('INPUT - Bookings'!$D1343)=Dashboard!$J$9)),1,0))</f>
        <v/>
      </c>
      <c r="BC1343" s="244">
        <f>IF(AND(BB1343=1,ISNUMBER('INPUT - Bookings'!$E1343),'INPUT - Bookings'!$E1343&gt;=Settings!$C$8,'INPUT - Bookings'!$E1343&lt;=Settings!$C$8+14,IFERROR(INDEX(Settings!$Q$14:$Q$24,MATCH('INPUT - Bookings'!$G1343,Settings!$P$14:$P$24,0)),"Yes")="Yes"),'INPUT - Bookings'!$E1343+ROW()/100000,"")</f>
        <v/>
      </c>
    </row>
    <row r="1344">
      <c r="BB1344" s="244">
        <f>IF('INPUT - Bookings'!$B1344="",0,IF(AND(OR(Dashboard!$D$9="All",TRIM('INPUT - Bookings'!$C1344)=Dashboard!$D$9),OR(Dashboard!$J$9="All",TRIM('INPUT - Bookings'!$D1344)=Dashboard!$J$9)),1,0))</f>
        <v/>
      </c>
      <c r="BC1344" s="244">
        <f>IF(AND(BB1344=1,ISNUMBER('INPUT - Bookings'!$E1344),'INPUT - Bookings'!$E1344&gt;=Settings!$C$8,'INPUT - Bookings'!$E1344&lt;=Settings!$C$8+14,IFERROR(INDEX(Settings!$Q$14:$Q$24,MATCH('INPUT - Bookings'!$G1344,Settings!$P$14:$P$24,0)),"Yes")="Yes"),'INPUT - Bookings'!$E1344+ROW()/100000,"")</f>
        <v/>
      </c>
    </row>
    <row r="1345">
      <c r="BB1345" s="244">
        <f>IF('INPUT - Bookings'!$B1345="",0,IF(AND(OR(Dashboard!$D$9="All",TRIM('INPUT - Bookings'!$C1345)=Dashboard!$D$9),OR(Dashboard!$J$9="All",TRIM('INPUT - Bookings'!$D1345)=Dashboard!$J$9)),1,0))</f>
        <v/>
      </c>
      <c r="BC1345" s="244">
        <f>IF(AND(BB1345=1,ISNUMBER('INPUT - Bookings'!$E1345),'INPUT - Bookings'!$E1345&gt;=Settings!$C$8,'INPUT - Bookings'!$E1345&lt;=Settings!$C$8+14,IFERROR(INDEX(Settings!$Q$14:$Q$24,MATCH('INPUT - Bookings'!$G1345,Settings!$P$14:$P$24,0)),"Yes")="Yes"),'INPUT - Bookings'!$E1345+ROW()/100000,"")</f>
        <v/>
      </c>
    </row>
    <row r="1346">
      <c r="BB1346" s="244">
        <f>IF('INPUT - Bookings'!$B1346="",0,IF(AND(OR(Dashboard!$D$9="All",TRIM('INPUT - Bookings'!$C1346)=Dashboard!$D$9),OR(Dashboard!$J$9="All",TRIM('INPUT - Bookings'!$D1346)=Dashboard!$J$9)),1,0))</f>
        <v/>
      </c>
      <c r="BC1346" s="244">
        <f>IF(AND(BB1346=1,ISNUMBER('INPUT - Bookings'!$E1346),'INPUT - Bookings'!$E1346&gt;=Settings!$C$8,'INPUT - Bookings'!$E1346&lt;=Settings!$C$8+14,IFERROR(INDEX(Settings!$Q$14:$Q$24,MATCH('INPUT - Bookings'!$G1346,Settings!$P$14:$P$24,0)),"Yes")="Yes"),'INPUT - Bookings'!$E1346+ROW()/100000,"")</f>
        <v/>
      </c>
    </row>
    <row r="1347">
      <c r="BB1347" s="244">
        <f>IF('INPUT - Bookings'!$B1347="",0,IF(AND(OR(Dashboard!$D$9="All",TRIM('INPUT - Bookings'!$C1347)=Dashboard!$D$9),OR(Dashboard!$J$9="All",TRIM('INPUT - Bookings'!$D1347)=Dashboard!$J$9)),1,0))</f>
        <v/>
      </c>
      <c r="BC1347" s="244">
        <f>IF(AND(BB1347=1,ISNUMBER('INPUT - Bookings'!$E1347),'INPUT - Bookings'!$E1347&gt;=Settings!$C$8,'INPUT - Bookings'!$E1347&lt;=Settings!$C$8+14,IFERROR(INDEX(Settings!$Q$14:$Q$24,MATCH('INPUT - Bookings'!$G1347,Settings!$P$14:$P$24,0)),"Yes")="Yes"),'INPUT - Bookings'!$E1347+ROW()/100000,"")</f>
        <v/>
      </c>
    </row>
    <row r="1348">
      <c r="BB1348" s="244">
        <f>IF('INPUT - Bookings'!$B1348="",0,IF(AND(OR(Dashboard!$D$9="All",TRIM('INPUT - Bookings'!$C1348)=Dashboard!$D$9),OR(Dashboard!$J$9="All",TRIM('INPUT - Bookings'!$D1348)=Dashboard!$J$9)),1,0))</f>
        <v/>
      </c>
      <c r="BC1348" s="244">
        <f>IF(AND(BB1348=1,ISNUMBER('INPUT - Bookings'!$E1348),'INPUT - Bookings'!$E1348&gt;=Settings!$C$8,'INPUT - Bookings'!$E1348&lt;=Settings!$C$8+14,IFERROR(INDEX(Settings!$Q$14:$Q$24,MATCH('INPUT - Bookings'!$G1348,Settings!$P$14:$P$24,0)),"Yes")="Yes"),'INPUT - Bookings'!$E1348+ROW()/100000,"")</f>
        <v/>
      </c>
    </row>
    <row r="1349">
      <c r="BB1349" s="244">
        <f>IF('INPUT - Bookings'!$B1349="",0,IF(AND(OR(Dashboard!$D$9="All",TRIM('INPUT - Bookings'!$C1349)=Dashboard!$D$9),OR(Dashboard!$J$9="All",TRIM('INPUT - Bookings'!$D1349)=Dashboard!$J$9)),1,0))</f>
        <v/>
      </c>
      <c r="BC1349" s="244">
        <f>IF(AND(BB1349=1,ISNUMBER('INPUT - Bookings'!$E1349),'INPUT - Bookings'!$E1349&gt;=Settings!$C$8,'INPUT - Bookings'!$E1349&lt;=Settings!$C$8+14,IFERROR(INDEX(Settings!$Q$14:$Q$24,MATCH('INPUT - Bookings'!$G1349,Settings!$P$14:$P$24,0)),"Yes")="Yes"),'INPUT - Bookings'!$E1349+ROW()/100000,"")</f>
        <v/>
      </c>
    </row>
    <row r="1350">
      <c r="BB1350" s="244">
        <f>IF('INPUT - Bookings'!$B1350="",0,IF(AND(OR(Dashboard!$D$9="All",TRIM('INPUT - Bookings'!$C1350)=Dashboard!$D$9),OR(Dashboard!$J$9="All",TRIM('INPUT - Bookings'!$D1350)=Dashboard!$J$9)),1,0))</f>
        <v/>
      </c>
      <c r="BC1350" s="244">
        <f>IF(AND(BB1350=1,ISNUMBER('INPUT - Bookings'!$E1350),'INPUT - Bookings'!$E1350&gt;=Settings!$C$8,'INPUT - Bookings'!$E1350&lt;=Settings!$C$8+14,IFERROR(INDEX(Settings!$Q$14:$Q$24,MATCH('INPUT - Bookings'!$G1350,Settings!$P$14:$P$24,0)),"Yes")="Yes"),'INPUT - Bookings'!$E1350+ROW()/100000,"")</f>
        <v/>
      </c>
    </row>
    <row r="1351">
      <c r="BB1351" s="244">
        <f>IF('INPUT - Bookings'!$B1351="",0,IF(AND(OR(Dashboard!$D$9="All",TRIM('INPUT - Bookings'!$C1351)=Dashboard!$D$9),OR(Dashboard!$J$9="All",TRIM('INPUT - Bookings'!$D1351)=Dashboard!$J$9)),1,0))</f>
        <v/>
      </c>
      <c r="BC1351" s="244">
        <f>IF(AND(BB1351=1,ISNUMBER('INPUT - Bookings'!$E1351),'INPUT - Bookings'!$E1351&gt;=Settings!$C$8,'INPUT - Bookings'!$E1351&lt;=Settings!$C$8+14,IFERROR(INDEX(Settings!$Q$14:$Q$24,MATCH('INPUT - Bookings'!$G1351,Settings!$P$14:$P$24,0)),"Yes")="Yes"),'INPUT - Bookings'!$E1351+ROW()/100000,"")</f>
        <v/>
      </c>
    </row>
    <row r="1352">
      <c r="BB1352" s="244">
        <f>IF('INPUT - Bookings'!$B1352="",0,IF(AND(OR(Dashboard!$D$9="All",TRIM('INPUT - Bookings'!$C1352)=Dashboard!$D$9),OR(Dashboard!$J$9="All",TRIM('INPUT - Bookings'!$D1352)=Dashboard!$J$9)),1,0))</f>
        <v/>
      </c>
      <c r="BC1352" s="244">
        <f>IF(AND(BB1352=1,ISNUMBER('INPUT - Bookings'!$E1352),'INPUT - Bookings'!$E1352&gt;=Settings!$C$8,'INPUT - Bookings'!$E1352&lt;=Settings!$C$8+14,IFERROR(INDEX(Settings!$Q$14:$Q$24,MATCH('INPUT - Bookings'!$G1352,Settings!$P$14:$P$24,0)),"Yes")="Yes"),'INPUT - Bookings'!$E1352+ROW()/100000,"")</f>
        <v/>
      </c>
    </row>
    <row r="1353">
      <c r="BB1353" s="244">
        <f>IF('INPUT - Bookings'!$B1353="",0,IF(AND(OR(Dashboard!$D$9="All",TRIM('INPUT - Bookings'!$C1353)=Dashboard!$D$9),OR(Dashboard!$J$9="All",TRIM('INPUT - Bookings'!$D1353)=Dashboard!$J$9)),1,0))</f>
        <v/>
      </c>
      <c r="BC1353" s="244">
        <f>IF(AND(BB1353=1,ISNUMBER('INPUT - Bookings'!$E1353),'INPUT - Bookings'!$E1353&gt;=Settings!$C$8,'INPUT - Bookings'!$E1353&lt;=Settings!$C$8+14,IFERROR(INDEX(Settings!$Q$14:$Q$24,MATCH('INPUT - Bookings'!$G1353,Settings!$P$14:$P$24,0)),"Yes")="Yes"),'INPUT - Bookings'!$E1353+ROW()/100000,"")</f>
        <v/>
      </c>
    </row>
    <row r="1354">
      <c r="BB1354" s="244">
        <f>IF('INPUT - Bookings'!$B1354="",0,IF(AND(OR(Dashboard!$D$9="All",TRIM('INPUT - Bookings'!$C1354)=Dashboard!$D$9),OR(Dashboard!$J$9="All",TRIM('INPUT - Bookings'!$D1354)=Dashboard!$J$9)),1,0))</f>
        <v/>
      </c>
      <c r="BC1354" s="244">
        <f>IF(AND(BB1354=1,ISNUMBER('INPUT - Bookings'!$E1354),'INPUT - Bookings'!$E1354&gt;=Settings!$C$8,'INPUT - Bookings'!$E1354&lt;=Settings!$C$8+14,IFERROR(INDEX(Settings!$Q$14:$Q$24,MATCH('INPUT - Bookings'!$G1354,Settings!$P$14:$P$24,0)),"Yes")="Yes"),'INPUT - Bookings'!$E1354+ROW()/100000,"")</f>
        <v/>
      </c>
    </row>
    <row r="1355">
      <c r="BB1355" s="244">
        <f>IF('INPUT - Bookings'!$B1355="",0,IF(AND(OR(Dashboard!$D$9="All",TRIM('INPUT - Bookings'!$C1355)=Dashboard!$D$9),OR(Dashboard!$J$9="All",TRIM('INPUT - Bookings'!$D1355)=Dashboard!$J$9)),1,0))</f>
        <v/>
      </c>
      <c r="BC1355" s="244">
        <f>IF(AND(BB1355=1,ISNUMBER('INPUT - Bookings'!$E1355),'INPUT - Bookings'!$E1355&gt;=Settings!$C$8,'INPUT - Bookings'!$E1355&lt;=Settings!$C$8+14,IFERROR(INDEX(Settings!$Q$14:$Q$24,MATCH('INPUT - Bookings'!$G1355,Settings!$P$14:$P$24,0)),"Yes")="Yes"),'INPUT - Bookings'!$E1355+ROW()/100000,"")</f>
        <v/>
      </c>
    </row>
    <row r="1356">
      <c r="BB1356" s="244">
        <f>IF('INPUT - Bookings'!$B1356="",0,IF(AND(OR(Dashboard!$D$9="All",TRIM('INPUT - Bookings'!$C1356)=Dashboard!$D$9),OR(Dashboard!$J$9="All",TRIM('INPUT - Bookings'!$D1356)=Dashboard!$J$9)),1,0))</f>
        <v/>
      </c>
      <c r="BC1356" s="244">
        <f>IF(AND(BB1356=1,ISNUMBER('INPUT - Bookings'!$E1356),'INPUT - Bookings'!$E1356&gt;=Settings!$C$8,'INPUT - Bookings'!$E1356&lt;=Settings!$C$8+14,IFERROR(INDEX(Settings!$Q$14:$Q$24,MATCH('INPUT - Bookings'!$G1356,Settings!$P$14:$P$24,0)),"Yes")="Yes"),'INPUT - Bookings'!$E1356+ROW()/100000,"")</f>
        <v/>
      </c>
    </row>
    <row r="1357">
      <c r="BB1357" s="244">
        <f>IF('INPUT - Bookings'!$B1357="",0,IF(AND(OR(Dashboard!$D$9="All",TRIM('INPUT - Bookings'!$C1357)=Dashboard!$D$9),OR(Dashboard!$J$9="All",TRIM('INPUT - Bookings'!$D1357)=Dashboard!$J$9)),1,0))</f>
        <v/>
      </c>
      <c r="BC1357" s="244">
        <f>IF(AND(BB1357=1,ISNUMBER('INPUT - Bookings'!$E1357),'INPUT - Bookings'!$E1357&gt;=Settings!$C$8,'INPUT - Bookings'!$E1357&lt;=Settings!$C$8+14,IFERROR(INDEX(Settings!$Q$14:$Q$24,MATCH('INPUT - Bookings'!$G1357,Settings!$P$14:$P$24,0)),"Yes")="Yes"),'INPUT - Bookings'!$E1357+ROW()/100000,"")</f>
        <v/>
      </c>
    </row>
    <row r="1358">
      <c r="BB1358" s="244">
        <f>IF('INPUT - Bookings'!$B1358="",0,IF(AND(OR(Dashboard!$D$9="All",TRIM('INPUT - Bookings'!$C1358)=Dashboard!$D$9),OR(Dashboard!$J$9="All",TRIM('INPUT - Bookings'!$D1358)=Dashboard!$J$9)),1,0))</f>
        <v/>
      </c>
      <c r="BC1358" s="244">
        <f>IF(AND(BB1358=1,ISNUMBER('INPUT - Bookings'!$E1358),'INPUT - Bookings'!$E1358&gt;=Settings!$C$8,'INPUT - Bookings'!$E1358&lt;=Settings!$C$8+14,IFERROR(INDEX(Settings!$Q$14:$Q$24,MATCH('INPUT - Bookings'!$G1358,Settings!$P$14:$P$24,0)),"Yes")="Yes"),'INPUT - Bookings'!$E1358+ROW()/100000,"")</f>
        <v/>
      </c>
    </row>
    <row r="1359">
      <c r="BB1359" s="244">
        <f>IF('INPUT - Bookings'!$B1359="",0,IF(AND(OR(Dashboard!$D$9="All",TRIM('INPUT - Bookings'!$C1359)=Dashboard!$D$9),OR(Dashboard!$J$9="All",TRIM('INPUT - Bookings'!$D1359)=Dashboard!$J$9)),1,0))</f>
        <v/>
      </c>
      <c r="BC1359" s="244">
        <f>IF(AND(BB1359=1,ISNUMBER('INPUT - Bookings'!$E1359),'INPUT - Bookings'!$E1359&gt;=Settings!$C$8,'INPUT - Bookings'!$E1359&lt;=Settings!$C$8+14,IFERROR(INDEX(Settings!$Q$14:$Q$24,MATCH('INPUT - Bookings'!$G1359,Settings!$P$14:$P$24,0)),"Yes")="Yes"),'INPUT - Bookings'!$E1359+ROW()/100000,"")</f>
        <v/>
      </c>
    </row>
    <row r="1360">
      <c r="BB1360" s="244">
        <f>IF('INPUT - Bookings'!$B1360="",0,IF(AND(OR(Dashboard!$D$9="All",TRIM('INPUT - Bookings'!$C1360)=Dashboard!$D$9),OR(Dashboard!$J$9="All",TRIM('INPUT - Bookings'!$D1360)=Dashboard!$J$9)),1,0))</f>
        <v/>
      </c>
      <c r="BC1360" s="244">
        <f>IF(AND(BB1360=1,ISNUMBER('INPUT - Bookings'!$E1360),'INPUT - Bookings'!$E1360&gt;=Settings!$C$8,'INPUT - Bookings'!$E1360&lt;=Settings!$C$8+14,IFERROR(INDEX(Settings!$Q$14:$Q$24,MATCH('INPUT - Bookings'!$G1360,Settings!$P$14:$P$24,0)),"Yes")="Yes"),'INPUT - Bookings'!$E1360+ROW()/100000,"")</f>
        <v/>
      </c>
    </row>
    <row r="1361">
      <c r="BB1361" s="244">
        <f>IF('INPUT - Bookings'!$B1361="",0,IF(AND(OR(Dashboard!$D$9="All",TRIM('INPUT - Bookings'!$C1361)=Dashboard!$D$9),OR(Dashboard!$J$9="All",TRIM('INPUT - Bookings'!$D1361)=Dashboard!$J$9)),1,0))</f>
        <v/>
      </c>
      <c r="BC1361" s="244">
        <f>IF(AND(BB1361=1,ISNUMBER('INPUT - Bookings'!$E1361),'INPUT - Bookings'!$E1361&gt;=Settings!$C$8,'INPUT - Bookings'!$E1361&lt;=Settings!$C$8+14,IFERROR(INDEX(Settings!$Q$14:$Q$24,MATCH('INPUT - Bookings'!$G1361,Settings!$P$14:$P$24,0)),"Yes")="Yes"),'INPUT - Bookings'!$E1361+ROW()/100000,"")</f>
        <v/>
      </c>
    </row>
    <row r="1362">
      <c r="BB1362" s="244">
        <f>IF('INPUT - Bookings'!$B1362="",0,IF(AND(OR(Dashboard!$D$9="All",TRIM('INPUT - Bookings'!$C1362)=Dashboard!$D$9),OR(Dashboard!$J$9="All",TRIM('INPUT - Bookings'!$D1362)=Dashboard!$J$9)),1,0))</f>
        <v/>
      </c>
      <c r="BC1362" s="244">
        <f>IF(AND(BB1362=1,ISNUMBER('INPUT - Bookings'!$E1362),'INPUT - Bookings'!$E1362&gt;=Settings!$C$8,'INPUT - Bookings'!$E1362&lt;=Settings!$C$8+14,IFERROR(INDEX(Settings!$Q$14:$Q$24,MATCH('INPUT - Bookings'!$G1362,Settings!$P$14:$P$24,0)),"Yes")="Yes"),'INPUT - Bookings'!$E1362+ROW()/100000,"")</f>
        <v/>
      </c>
    </row>
    <row r="1363">
      <c r="BB1363" s="244">
        <f>IF('INPUT - Bookings'!$B1363="",0,IF(AND(OR(Dashboard!$D$9="All",TRIM('INPUT - Bookings'!$C1363)=Dashboard!$D$9),OR(Dashboard!$J$9="All",TRIM('INPUT - Bookings'!$D1363)=Dashboard!$J$9)),1,0))</f>
        <v/>
      </c>
      <c r="BC1363" s="244">
        <f>IF(AND(BB1363=1,ISNUMBER('INPUT - Bookings'!$E1363),'INPUT - Bookings'!$E1363&gt;=Settings!$C$8,'INPUT - Bookings'!$E1363&lt;=Settings!$C$8+14,IFERROR(INDEX(Settings!$Q$14:$Q$24,MATCH('INPUT - Bookings'!$G1363,Settings!$P$14:$P$24,0)),"Yes")="Yes"),'INPUT - Bookings'!$E1363+ROW()/100000,"")</f>
        <v/>
      </c>
    </row>
    <row r="1364">
      <c r="BB1364" s="244">
        <f>IF('INPUT - Bookings'!$B1364="",0,IF(AND(OR(Dashboard!$D$9="All",TRIM('INPUT - Bookings'!$C1364)=Dashboard!$D$9),OR(Dashboard!$J$9="All",TRIM('INPUT - Bookings'!$D1364)=Dashboard!$J$9)),1,0))</f>
        <v/>
      </c>
      <c r="BC1364" s="244">
        <f>IF(AND(BB1364=1,ISNUMBER('INPUT - Bookings'!$E1364),'INPUT - Bookings'!$E1364&gt;=Settings!$C$8,'INPUT - Bookings'!$E1364&lt;=Settings!$C$8+14,IFERROR(INDEX(Settings!$Q$14:$Q$24,MATCH('INPUT - Bookings'!$G1364,Settings!$P$14:$P$24,0)),"Yes")="Yes"),'INPUT - Bookings'!$E1364+ROW()/100000,"")</f>
        <v/>
      </c>
    </row>
    <row r="1365">
      <c r="BB1365" s="244">
        <f>IF('INPUT - Bookings'!$B1365="",0,IF(AND(OR(Dashboard!$D$9="All",TRIM('INPUT - Bookings'!$C1365)=Dashboard!$D$9),OR(Dashboard!$J$9="All",TRIM('INPUT - Bookings'!$D1365)=Dashboard!$J$9)),1,0))</f>
        <v/>
      </c>
      <c r="BC1365" s="244">
        <f>IF(AND(BB1365=1,ISNUMBER('INPUT - Bookings'!$E1365),'INPUT - Bookings'!$E1365&gt;=Settings!$C$8,'INPUT - Bookings'!$E1365&lt;=Settings!$C$8+14,IFERROR(INDEX(Settings!$Q$14:$Q$24,MATCH('INPUT - Bookings'!$G1365,Settings!$P$14:$P$24,0)),"Yes")="Yes"),'INPUT - Bookings'!$E1365+ROW()/100000,"")</f>
        <v/>
      </c>
    </row>
    <row r="1366">
      <c r="BB1366" s="244">
        <f>IF('INPUT - Bookings'!$B1366="",0,IF(AND(OR(Dashboard!$D$9="All",TRIM('INPUT - Bookings'!$C1366)=Dashboard!$D$9),OR(Dashboard!$J$9="All",TRIM('INPUT - Bookings'!$D1366)=Dashboard!$J$9)),1,0))</f>
        <v/>
      </c>
      <c r="BC1366" s="244">
        <f>IF(AND(BB1366=1,ISNUMBER('INPUT - Bookings'!$E1366),'INPUT - Bookings'!$E1366&gt;=Settings!$C$8,'INPUT - Bookings'!$E1366&lt;=Settings!$C$8+14,IFERROR(INDEX(Settings!$Q$14:$Q$24,MATCH('INPUT - Bookings'!$G1366,Settings!$P$14:$P$24,0)),"Yes")="Yes"),'INPUT - Bookings'!$E1366+ROW()/100000,"")</f>
        <v/>
      </c>
    </row>
    <row r="1367">
      <c r="BB1367" s="244">
        <f>IF('INPUT - Bookings'!$B1367="",0,IF(AND(OR(Dashboard!$D$9="All",TRIM('INPUT - Bookings'!$C1367)=Dashboard!$D$9),OR(Dashboard!$J$9="All",TRIM('INPUT - Bookings'!$D1367)=Dashboard!$J$9)),1,0))</f>
        <v/>
      </c>
      <c r="BC1367" s="244">
        <f>IF(AND(BB1367=1,ISNUMBER('INPUT - Bookings'!$E1367),'INPUT - Bookings'!$E1367&gt;=Settings!$C$8,'INPUT - Bookings'!$E1367&lt;=Settings!$C$8+14,IFERROR(INDEX(Settings!$Q$14:$Q$24,MATCH('INPUT - Bookings'!$G1367,Settings!$P$14:$P$24,0)),"Yes")="Yes"),'INPUT - Bookings'!$E1367+ROW()/100000,"")</f>
        <v/>
      </c>
    </row>
    <row r="1368">
      <c r="BB1368" s="244">
        <f>IF('INPUT - Bookings'!$B1368="",0,IF(AND(OR(Dashboard!$D$9="All",TRIM('INPUT - Bookings'!$C1368)=Dashboard!$D$9),OR(Dashboard!$J$9="All",TRIM('INPUT - Bookings'!$D1368)=Dashboard!$J$9)),1,0))</f>
        <v/>
      </c>
      <c r="BC1368" s="244">
        <f>IF(AND(BB1368=1,ISNUMBER('INPUT - Bookings'!$E1368),'INPUT - Bookings'!$E1368&gt;=Settings!$C$8,'INPUT - Bookings'!$E1368&lt;=Settings!$C$8+14,IFERROR(INDEX(Settings!$Q$14:$Q$24,MATCH('INPUT - Bookings'!$G1368,Settings!$P$14:$P$24,0)),"Yes")="Yes"),'INPUT - Bookings'!$E1368+ROW()/100000,"")</f>
        <v/>
      </c>
    </row>
    <row r="1369">
      <c r="BB1369" s="244">
        <f>IF('INPUT - Bookings'!$B1369="",0,IF(AND(OR(Dashboard!$D$9="All",TRIM('INPUT - Bookings'!$C1369)=Dashboard!$D$9),OR(Dashboard!$J$9="All",TRIM('INPUT - Bookings'!$D1369)=Dashboard!$J$9)),1,0))</f>
        <v/>
      </c>
      <c r="BC1369" s="244">
        <f>IF(AND(BB1369=1,ISNUMBER('INPUT - Bookings'!$E1369),'INPUT - Bookings'!$E1369&gt;=Settings!$C$8,'INPUT - Bookings'!$E1369&lt;=Settings!$C$8+14,IFERROR(INDEX(Settings!$Q$14:$Q$24,MATCH('INPUT - Bookings'!$G1369,Settings!$P$14:$P$24,0)),"Yes")="Yes"),'INPUT - Bookings'!$E1369+ROW()/100000,"")</f>
        <v/>
      </c>
    </row>
    <row r="1370">
      <c r="BB1370" s="244">
        <f>IF('INPUT - Bookings'!$B1370="",0,IF(AND(OR(Dashboard!$D$9="All",TRIM('INPUT - Bookings'!$C1370)=Dashboard!$D$9),OR(Dashboard!$J$9="All",TRIM('INPUT - Bookings'!$D1370)=Dashboard!$J$9)),1,0))</f>
        <v/>
      </c>
      <c r="BC1370" s="244">
        <f>IF(AND(BB1370=1,ISNUMBER('INPUT - Bookings'!$E1370),'INPUT - Bookings'!$E1370&gt;=Settings!$C$8,'INPUT - Bookings'!$E1370&lt;=Settings!$C$8+14,IFERROR(INDEX(Settings!$Q$14:$Q$24,MATCH('INPUT - Bookings'!$G1370,Settings!$P$14:$P$24,0)),"Yes")="Yes"),'INPUT - Bookings'!$E1370+ROW()/100000,"")</f>
        <v/>
      </c>
    </row>
    <row r="1371">
      <c r="BB1371" s="244">
        <f>IF('INPUT - Bookings'!$B1371="",0,IF(AND(OR(Dashboard!$D$9="All",TRIM('INPUT - Bookings'!$C1371)=Dashboard!$D$9),OR(Dashboard!$J$9="All",TRIM('INPUT - Bookings'!$D1371)=Dashboard!$J$9)),1,0))</f>
        <v/>
      </c>
      <c r="BC1371" s="244">
        <f>IF(AND(BB1371=1,ISNUMBER('INPUT - Bookings'!$E1371),'INPUT - Bookings'!$E1371&gt;=Settings!$C$8,'INPUT - Bookings'!$E1371&lt;=Settings!$C$8+14,IFERROR(INDEX(Settings!$Q$14:$Q$24,MATCH('INPUT - Bookings'!$G1371,Settings!$P$14:$P$24,0)),"Yes")="Yes"),'INPUT - Bookings'!$E1371+ROW()/100000,"")</f>
        <v/>
      </c>
    </row>
    <row r="1372">
      <c r="BB1372" s="244">
        <f>IF('INPUT - Bookings'!$B1372="",0,IF(AND(OR(Dashboard!$D$9="All",TRIM('INPUT - Bookings'!$C1372)=Dashboard!$D$9),OR(Dashboard!$J$9="All",TRIM('INPUT - Bookings'!$D1372)=Dashboard!$J$9)),1,0))</f>
        <v/>
      </c>
      <c r="BC1372" s="244">
        <f>IF(AND(BB1372=1,ISNUMBER('INPUT - Bookings'!$E1372),'INPUT - Bookings'!$E1372&gt;=Settings!$C$8,'INPUT - Bookings'!$E1372&lt;=Settings!$C$8+14,IFERROR(INDEX(Settings!$Q$14:$Q$24,MATCH('INPUT - Bookings'!$G1372,Settings!$P$14:$P$24,0)),"Yes")="Yes"),'INPUT - Bookings'!$E1372+ROW()/100000,"")</f>
        <v/>
      </c>
    </row>
    <row r="1373">
      <c r="BB1373" s="244">
        <f>IF('INPUT - Bookings'!$B1373="",0,IF(AND(OR(Dashboard!$D$9="All",TRIM('INPUT - Bookings'!$C1373)=Dashboard!$D$9),OR(Dashboard!$J$9="All",TRIM('INPUT - Bookings'!$D1373)=Dashboard!$J$9)),1,0))</f>
        <v/>
      </c>
      <c r="BC1373" s="244">
        <f>IF(AND(BB1373=1,ISNUMBER('INPUT - Bookings'!$E1373),'INPUT - Bookings'!$E1373&gt;=Settings!$C$8,'INPUT - Bookings'!$E1373&lt;=Settings!$C$8+14,IFERROR(INDEX(Settings!$Q$14:$Q$24,MATCH('INPUT - Bookings'!$G1373,Settings!$P$14:$P$24,0)),"Yes")="Yes"),'INPUT - Bookings'!$E1373+ROW()/100000,"")</f>
        <v/>
      </c>
    </row>
    <row r="1374">
      <c r="BB1374" s="244">
        <f>IF('INPUT - Bookings'!$B1374="",0,IF(AND(OR(Dashboard!$D$9="All",TRIM('INPUT - Bookings'!$C1374)=Dashboard!$D$9),OR(Dashboard!$J$9="All",TRIM('INPUT - Bookings'!$D1374)=Dashboard!$J$9)),1,0))</f>
        <v/>
      </c>
      <c r="BC1374" s="244">
        <f>IF(AND(BB1374=1,ISNUMBER('INPUT - Bookings'!$E1374),'INPUT - Bookings'!$E1374&gt;=Settings!$C$8,'INPUT - Bookings'!$E1374&lt;=Settings!$C$8+14,IFERROR(INDEX(Settings!$Q$14:$Q$24,MATCH('INPUT - Bookings'!$G1374,Settings!$P$14:$P$24,0)),"Yes")="Yes"),'INPUT - Bookings'!$E1374+ROW()/100000,"")</f>
        <v/>
      </c>
    </row>
    <row r="1375">
      <c r="BB1375" s="244">
        <f>IF('INPUT - Bookings'!$B1375="",0,IF(AND(OR(Dashboard!$D$9="All",TRIM('INPUT - Bookings'!$C1375)=Dashboard!$D$9),OR(Dashboard!$J$9="All",TRIM('INPUT - Bookings'!$D1375)=Dashboard!$J$9)),1,0))</f>
        <v/>
      </c>
      <c r="BC1375" s="244">
        <f>IF(AND(BB1375=1,ISNUMBER('INPUT - Bookings'!$E1375),'INPUT - Bookings'!$E1375&gt;=Settings!$C$8,'INPUT - Bookings'!$E1375&lt;=Settings!$C$8+14,IFERROR(INDEX(Settings!$Q$14:$Q$24,MATCH('INPUT - Bookings'!$G1375,Settings!$P$14:$P$24,0)),"Yes")="Yes"),'INPUT - Bookings'!$E1375+ROW()/100000,"")</f>
        <v/>
      </c>
    </row>
    <row r="1376">
      <c r="BB1376" s="244">
        <f>IF('INPUT - Bookings'!$B1376="",0,IF(AND(OR(Dashboard!$D$9="All",TRIM('INPUT - Bookings'!$C1376)=Dashboard!$D$9),OR(Dashboard!$J$9="All",TRIM('INPUT - Bookings'!$D1376)=Dashboard!$J$9)),1,0))</f>
        <v/>
      </c>
      <c r="BC1376" s="244">
        <f>IF(AND(BB1376=1,ISNUMBER('INPUT - Bookings'!$E1376),'INPUT - Bookings'!$E1376&gt;=Settings!$C$8,'INPUT - Bookings'!$E1376&lt;=Settings!$C$8+14,IFERROR(INDEX(Settings!$Q$14:$Q$24,MATCH('INPUT - Bookings'!$G1376,Settings!$P$14:$P$24,0)),"Yes")="Yes"),'INPUT - Bookings'!$E1376+ROW()/100000,"")</f>
        <v/>
      </c>
    </row>
    <row r="1377">
      <c r="BB1377" s="244">
        <f>IF('INPUT - Bookings'!$B1377="",0,IF(AND(OR(Dashboard!$D$9="All",TRIM('INPUT - Bookings'!$C1377)=Dashboard!$D$9),OR(Dashboard!$J$9="All",TRIM('INPUT - Bookings'!$D1377)=Dashboard!$J$9)),1,0))</f>
        <v/>
      </c>
      <c r="BC1377" s="244">
        <f>IF(AND(BB1377=1,ISNUMBER('INPUT - Bookings'!$E1377),'INPUT - Bookings'!$E1377&gt;=Settings!$C$8,'INPUT - Bookings'!$E1377&lt;=Settings!$C$8+14,IFERROR(INDEX(Settings!$Q$14:$Q$24,MATCH('INPUT - Bookings'!$G1377,Settings!$P$14:$P$24,0)),"Yes")="Yes"),'INPUT - Bookings'!$E1377+ROW()/100000,"")</f>
        <v/>
      </c>
    </row>
    <row r="1378">
      <c r="BB1378" s="244">
        <f>IF('INPUT - Bookings'!$B1378="",0,IF(AND(OR(Dashboard!$D$9="All",TRIM('INPUT - Bookings'!$C1378)=Dashboard!$D$9),OR(Dashboard!$J$9="All",TRIM('INPUT - Bookings'!$D1378)=Dashboard!$J$9)),1,0))</f>
        <v/>
      </c>
      <c r="BC1378" s="244">
        <f>IF(AND(BB1378=1,ISNUMBER('INPUT - Bookings'!$E1378),'INPUT - Bookings'!$E1378&gt;=Settings!$C$8,'INPUT - Bookings'!$E1378&lt;=Settings!$C$8+14,IFERROR(INDEX(Settings!$Q$14:$Q$24,MATCH('INPUT - Bookings'!$G1378,Settings!$P$14:$P$24,0)),"Yes")="Yes"),'INPUT - Bookings'!$E1378+ROW()/100000,"")</f>
        <v/>
      </c>
    </row>
    <row r="1379">
      <c r="BB1379" s="244">
        <f>IF('INPUT - Bookings'!$B1379="",0,IF(AND(OR(Dashboard!$D$9="All",TRIM('INPUT - Bookings'!$C1379)=Dashboard!$D$9),OR(Dashboard!$J$9="All",TRIM('INPUT - Bookings'!$D1379)=Dashboard!$J$9)),1,0))</f>
        <v/>
      </c>
      <c r="BC1379" s="244">
        <f>IF(AND(BB1379=1,ISNUMBER('INPUT - Bookings'!$E1379),'INPUT - Bookings'!$E1379&gt;=Settings!$C$8,'INPUT - Bookings'!$E1379&lt;=Settings!$C$8+14,IFERROR(INDEX(Settings!$Q$14:$Q$24,MATCH('INPUT - Bookings'!$G1379,Settings!$P$14:$P$24,0)),"Yes")="Yes"),'INPUT - Bookings'!$E1379+ROW()/100000,"")</f>
        <v/>
      </c>
    </row>
    <row r="1380">
      <c r="BB1380" s="244">
        <f>IF('INPUT - Bookings'!$B1380="",0,IF(AND(OR(Dashboard!$D$9="All",TRIM('INPUT - Bookings'!$C1380)=Dashboard!$D$9),OR(Dashboard!$J$9="All",TRIM('INPUT - Bookings'!$D1380)=Dashboard!$J$9)),1,0))</f>
        <v/>
      </c>
      <c r="BC1380" s="244">
        <f>IF(AND(BB1380=1,ISNUMBER('INPUT - Bookings'!$E1380),'INPUT - Bookings'!$E1380&gt;=Settings!$C$8,'INPUT - Bookings'!$E1380&lt;=Settings!$C$8+14,IFERROR(INDEX(Settings!$Q$14:$Q$24,MATCH('INPUT - Bookings'!$G1380,Settings!$P$14:$P$24,0)),"Yes")="Yes"),'INPUT - Bookings'!$E1380+ROW()/100000,"")</f>
        <v/>
      </c>
    </row>
    <row r="1381">
      <c r="BB1381" s="244">
        <f>IF('INPUT - Bookings'!$B1381="",0,IF(AND(OR(Dashboard!$D$9="All",TRIM('INPUT - Bookings'!$C1381)=Dashboard!$D$9),OR(Dashboard!$J$9="All",TRIM('INPUT - Bookings'!$D1381)=Dashboard!$J$9)),1,0))</f>
        <v/>
      </c>
      <c r="BC1381" s="244">
        <f>IF(AND(BB1381=1,ISNUMBER('INPUT - Bookings'!$E1381),'INPUT - Bookings'!$E1381&gt;=Settings!$C$8,'INPUT - Bookings'!$E1381&lt;=Settings!$C$8+14,IFERROR(INDEX(Settings!$Q$14:$Q$24,MATCH('INPUT - Bookings'!$G1381,Settings!$P$14:$P$24,0)),"Yes")="Yes"),'INPUT - Bookings'!$E1381+ROW()/100000,"")</f>
        <v/>
      </c>
    </row>
    <row r="1382">
      <c r="BB1382" s="244">
        <f>IF('INPUT - Bookings'!$B1382="",0,IF(AND(OR(Dashboard!$D$9="All",TRIM('INPUT - Bookings'!$C1382)=Dashboard!$D$9),OR(Dashboard!$J$9="All",TRIM('INPUT - Bookings'!$D1382)=Dashboard!$J$9)),1,0))</f>
        <v/>
      </c>
      <c r="BC1382" s="244">
        <f>IF(AND(BB1382=1,ISNUMBER('INPUT - Bookings'!$E1382),'INPUT - Bookings'!$E1382&gt;=Settings!$C$8,'INPUT - Bookings'!$E1382&lt;=Settings!$C$8+14,IFERROR(INDEX(Settings!$Q$14:$Q$24,MATCH('INPUT - Bookings'!$G1382,Settings!$P$14:$P$24,0)),"Yes")="Yes"),'INPUT - Bookings'!$E1382+ROW()/100000,"")</f>
        <v/>
      </c>
    </row>
    <row r="1383">
      <c r="BB1383" s="244">
        <f>IF('INPUT - Bookings'!$B1383="",0,IF(AND(OR(Dashboard!$D$9="All",TRIM('INPUT - Bookings'!$C1383)=Dashboard!$D$9),OR(Dashboard!$J$9="All",TRIM('INPUT - Bookings'!$D1383)=Dashboard!$J$9)),1,0))</f>
        <v/>
      </c>
      <c r="BC1383" s="244">
        <f>IF(AND(BB1383=1,ISNUMBER('INPUT - Bookings'!$E1383),'INPUT - Bookings'!$E1383&gt;=Settings!$C$8,'INPUT - Bookings'!$E1383&lt;=Settings!$C$8+14,IFERROR(INDEX(Settings!$Q$14:$Q$24,MATCH('INPUT - Bookings'!$G1383,Settings!$P$14:$P$24,0)),"Yes")="Yes"),'INPUT - Bookings'!$E1383+ROW()/100000,"")</f>
        <v/>
      </c>
    </row>
    <row r="1384">
      <c r="BB1384" s="244">
        <f>IF('INPUT - Bookings'!$B1384="",0,IF(AND(OR(Dashboard!$D$9="All",TRIM('INPUT - Bookings'!$C1384)=Dashboard!$D$9),OR(Dashboard!$J$9="All",TRIM('INPUT - Bookings'!$D1384)=Dashboard!$J$9)),1,0))</f>
        <v/>
      </c>
      <c r="BC1384" s="244">
        <f>IF(AND(BB1384=1,ISNUMBER('INPUT - Bookings'!$E1384),'INPUT - Bookings'!$E1384&gt;=Settings!$C$8,'INPUT - Bookings'!$E1384&lt;=Settings!$C$8+14,IFERROR(INDEX(Settings!$Q$14:$Q$24,MATCH('INPUT - Bookings'!$G1384,Settings!$P$14:$P$24,0)),"Yes")="Yes"),'INPUT - Bookings'!$E1384+ROW()/100000,"")</f>
        <v/>
      </c>
    </row>
    <row r="1385">
      <c r="BB1385" s="244">
        <f>IF('INPUT - Bookings'!$B1385="",0,IF(AND(OR(Dashboard!$D$9="All",TRIM('INPUT - Bookings'!$C1385)=Dashboard!$D$9),OR(Dashboard!$J$9="All",TRIM('INPUT - Bookings'!$D1385)=Dashboard!$J$9)),1,0))</f>
        <v/>
      </c>
      <c r="BC1385" s="244">
        <f>IF(AND(BB1385=1,ISNUMBER('INPUT - Bookings'!$E1385),'INPUT - Bookings'!$E1385&gt;=Settings!$C$8,'INPUT - Bookings'!$E1385&lt;=Settings!$C$8+14,IFERROR(INDEX(Settings!$Q$14:$Q$24,MATCH('INPUT - Bookings'!$G1385,Settings!$P$14:$P$24,0)),"Yes")="Yes"),'INPUT - Bookings'!$E1385+ROW()/100000,"")</f>
        <v/>
      </c>
    </row>
    <row r="1386">
      <c r="BB1386" s="244">
        <f>IF('INPUT - Bookings'!$B1386="",0,IF(AND(OR(Dashboard!$D$9="All",TRIM('INPUT - Bookings'!$C1386)=Dashboard!$D$9),OR(Dashboard!$J$9="All",TRIM('INPUT - Bookings'!$D1386)=Dashboard!$J$9)),1,0))</f>
        <v/>
      </c>
      <c r="BC1386" s="244">
        <f>IF(AND(BB1386=1,ISNUMBER('INPUT - Bookings'!$E1386),'INPUT - Bookings'!$E1386&gt;=Settings!$C$8,'INPUT - Bookings'!$E1386&lt;=Settings!$C$8+14,IFERROR(INDEX(Settings!$Q$14:$Q$24,MATCH('INPUT - Bookings'!$G1386,Settings!$P$14:$P$24,0)),"Yes")="Yes"),'INPUT - Bookings'!$E1386+ROW()/100000,"")</f>
        <v/>
      </c>
    </row>
    <row r="1387">
      <c r="BB1387" s="244">
        <f>IF('INPUT - Bookings'!$B1387="",0,IF(AND(OR(Dashboard!$D$9="All",TRIM('INPUT - Bookings'!$C1387)=Dashboard!$D$9),OR(Dashboard!$J$9="All",TRIM('INPUT - Bookings'!$D1387)=Dashboard!$J$9)),1,0))</f>
        <v/>
      </c>
      <c r="BC1387" s="244">
        <f>IF(AND(BB1387=1,ISNUMBER('INPUT - Bookings'!$E1387),'INPUT - Bookings'!$E1387&gt;=Settings!$C$8,'INPUT - Bookings'!$E1387&lt;=Settings!$C$8+14,IFERROR(INDEX(Settings!$Q$14:$Q$24,MATCH('INPUT - Bookings'!$G1387,Settings!$P$14:$P$24,0)),"Yes")="Yes"),'INPUT - Bookings'!$E1387+ROW()/100000,"")</f>
        <v/>
      </c>
    </row>
    <row r="1388">
      <c r="BB1388" s="244">
        <f>IF('INPUT - Bookings'!$B1388="",0,IF(AND(OR(Dashboard!$D$9="All",TRIM('INPUT - Bookings'!$C1388)=Dashboard!$D$9),OR(Dashboard!$J$9="All",TRIM('INPUT - Bookings'!$D1388)=Dashboard!$J$9)),1,0))</f>
        <v/>
      </c>
      <c r="BC1388" s="244">
        <f>IF(AND(BB1388=1,ISNUMBER('INPUT - Bookings'!$E1388),'INPUT - Bookings'!$E1388&gt;=Settings!$C$8,'INPUT - Bookings'!$E1388&lt;=Settings!$C$8+14,IFERROR(INDEX(Settings!$Q$14:$Q$24,MATCH('INPUT - Bookings'!$G1388,Settings!$P$14:$P$24,0)),"Yes")="Yes"),'INPUT - Bookings'!$E1388+ROW()/100000,"")</f>
        <v/>
      </c>
    </row>
    <row r="1389">
      <c r="BB1389" s="244">
        <f>IF('INPUT - Bookings'!$B1389="",0,IF(AND(OR(Dashboard!$D$9="All",TRIM('INPUT - Bookings'!$C1389)=Dashboard!$D$9),OR(Dashboard!$J$9="All",TRIM('INPUT - Bookings'!$D1389)=Dashboard!$J$9)),1,0))</f>
        <v/>
      </c>
      <c r="BC1389" s="244">
        <f>IF(AND(BB1389=1,ISNUMBER('INPUT - Bookings'!$E1389),'INPUT - Bookings'!$E1389&gt;=Settings!$C$8,'INPUT - Bookings'!$E1389&lt;=Settings!$C$8+14,IFERROR(INDEX(Settings!$Q$14:$Q$24,MATCH('INPUT - Bookings'!$G1389,Settings!$P$14:$P$24,0)),"Yes")="Yes"),'INPUT - Bookings'!$E1389+ROW()/100000,"")</f>
        <v/>
      </c>
    </row>
    <row r="1390">
      <c r="BB1390" s="244">
        <f>IF('INPUT - Bookings'!$B1390="",0,IF(AND(OR(Dashboard!$D$9="All",TRIM('INPUT - Bookings'!$C1390)=Dashboard!$D$9),OR(Dashboard!$J$9="All",TRIM('INPUT - Bookings'!$D1390)=Dashboard!$J$9)),1,0))</f>
        <v/>
      </c>
      <c r="BC1390" s="244">
        <f>IF(AND(BB1390=1,ISNUMBER('INPUT - Bookings'!$E1390),'INPUT - Bookings'!$E1390&gt;=Settings!$C$8,'INPUT - Bookings'!$E1390&lt;=Settings!$C$8+14,IFERROR(INDEX(Settings!$Q$14:$Q$24,MATCH('INPUT - Bookings'!$G1390,Settings!$P$14:$P$24,0)),"Yes")="Yes"),'INPUT - Bookings'!$E1390+ROW()/100000,"")</f>
        <v/>
      </c>
    </row>
    <row r="1391">
      <c r="BB1391" s="244">
        <f>IF('INPUT - Bookings'!$B1391="",0,IF(AND(OR(Dashboard!$D$9="All",TRIM('INPUT - Bookings'!$C1391)=Dashboard!$D$9),OR(Dashboard!$J$9="All",TRIM('INPUT - Bookings'!$D1391)=Dashboard!$J$9)),1,0))</f>
        <v/>
      </c>
      <c r="BC1391" s="244">
        <f>IF(AND(BB1391=1,ISNUMBER('INPUT - Bookings'!$E1391),'INPUT - Bookings'!$E1391&gt;=Settings!$C$8,'INPUT - Bookings'!$E1391&lt;=Settings!$C$8+14,IFERROR(INDEX(Settings!$Q$14:$Q$24,MATCH('INPUT - Bookings'!$G1391,Settings!$P$14:$P$24,0)),"Yes")="Yes"),'INPUT - Bookings'!$E1391+ROW()/100000,"")</f>
        <v/>
      </c>
    </row>
    <row r="1392">
      <c r="BB1392" s="244">
        <f>IF('INPUT - Bookings'!$B1392="",0,IF(AND(OR(Dashboard!$D$9="All",TRIM('INPUT - Bookings'!$C1392)=Dashboard!$D$9),OR(Dashboard!$J$9="All",TRIM('INPUT - Bookings'!$D1392)=Dashboard!$J$9)),1,0))</f>
        <v/>
      </c>
      <c r="BC1392" s="244">
        <f>IF(AND(BB1392=1,ISNUMBER('INPUT - Bookings'!$E1392),'INPUT - Bookings'!$E1392&gt;=Settings!$C$8,'INPUT - Bookings'!$E1392&lt;=Settings!$C$8+14,IFERROR(INDEX(Settings!$Q$14:$Q$24,MATCH('INPUT - Bookings'!$G1392,Settings!$P$14:$P$24,0)),"Yes")="Yes"),'INPUT - Bookings'!$E1392+ROW()/100000,"")</f>
        <v/>
      </c>
    </row>
    <row r="1393">
      <c r="BB1393" s="244">
        <f>IF('INPUT - Bookings'!$B1393="",0,IF(AND(OR(Dashboard!$D$9="All",TRIM('INPUT - Bookings'!$C1393)=Dashboard!$D$9),OR(Dashboard!$J$9="All",TRIM('INPUT - Bookings'!$D1393)=Dashboard!$J$9)),1,0))</f>
        <v/>
      </c>
      <c r="BC1393" s="244">
        <f>IF(AND(BB1393=1,ISNUMBER('INPUT - Bookings'!$E1393),'INPUT - Bookings'!$E1393&gt;=Settings!$C$8,'INPUT - Bookings'!$E1393&lt;=Settings!$C$8+14,IFERROR(INDEX(Settings!$Q$14:$Q$24,MATCH('INPUT - Bookings'!$G1393,Settings!$P$14:$P$24,0)),"Yes")="Yes"),'INPUT - Bookings'!$E1393+ROW()/100000,"")</f>
        <v/>
      </c>
    </row>
    <row r="1394">
      <c r="BB1394" s="244">
        <f>IF('INPUT - Bookings'!$B1394="",0,IF(AND(OR(Dashboard!$D$9="All",TRIM('INPUT - Bookings'!$C1394)=Dashboard!$D$9),OR(Dashboard!$J$9="All",TRIM('INPUT - Bookings'!$D1394)=Dashboard!$J$9)),1,0))</f>
        <v/>
      </c>
      <c r="BC1394" s="244">
        <f>IF(AND(BB1394=1,ISNUMBER('INPUT - Bookings'!$E1394),'INPUT - Bookings'!$E1394&gt;=Settings!$C$8,'INPUT - Bookings'!$E1394&lt;=Settings!$C$8+14,IFERROR(INDEX(Settings!$Q$14:$Q$24,MATCH('INPUT - Bookings'!$G1394,Settings!$P$14:$P$24,0)),"Yes")="Yes"),'INPUT - Bookings'!$E1394+ROW()/100000,"")</f>
        <v/>
      </c>
    </row>
    <row r="1395">
      <c r="BB1395" s="244">
        <f>IF('INPUT - Bookings'!$B1395="",0,IF(AND(OR(Dashboard!$D$9="All",TRIM('INPUT - Bookings'!$C1395)=Dashboard!$D$9),OR(Dashboard!$J$9="All",TRIM('INPUT - Bookings'!$D1395)=Dashboard!$J$9)),1,0))</f>
        <v/>
      </c>
      <c r="BC1395" s="244">
        <f>IF(AND(BB1395=1,ISNUMBER('INPUT - Bookings'!$E1395),'INPUT - Bookings'!$E1395&gt;=Settings!$C$8,'INPUT - Bookings'!$E1395&lt;=Settings!$C$8+14,IFERROR(INDEX(Settings!$Q$14:$Q$24,MATCH('INPUT - Bookings'!$G1395,Settings!$P$14:$P$24,0)),"Yes")="Yes"),'INPUT - Bookings'!$E1395+ROW()/100000,"")</f>
        <v/>
      </c>
    </row>
    <row r="1396">
      <c r="BB1396" s="244">
        <f>IF('INPUT - Bookings'!$B1396="",0,IF(AND(OR(Dashboard!$D$9="All",TRIM('INPUT - Bookings'!$C1396)=Dashboard!$D$9),OR(Dashboard!$J$9="All",TRIM('INPUT - Bookings'!$D1396)=Dashboard!$J$9)),1,0))</f>
        <v/>
      </c>
      <c r="BC1396" s="244">
        <f>IF(AND(BB1396=1,ISNUMBER('INPUT - Bookings'!$E1396),'INPUT - Bookings'!$E1396&gt;=Settings!$C$8,'INPUT - Bookings'!$E1396&lt;=Settings!$C$8+14,IFERROR(INDEX(Settings!$Q$14:$Q$24,MATCH('INPUT - Bookings'!$G1396,Settings!$P$14:$P$24,0)),"Yes")="Yes"),'INPUT - Bookings'!$E1396+ROW()/100000,"")</f>
        <v/>
      </c>
    </row>
    <row r="1397">
      <c r="BB1397" s="244">
        <f>IF('INPUT - Bookings'!$B1397="",0,IF(AND(OR(Dashboard!$D$9="All",TRIM('INPUT - Bookings'!$C1397)=Dashboard!$D$9),OR(Dashboard!$J$9="All",TRIM('INPUT - Bookings'!$D1397)=Dashboard!$J$9)),1,0))</f>
        <v/>
      </c>
      <c r="BC1397" s="244">
        <f>IF(AND(BB1397=1,ISNUMBER('INPUT - Bookings'!$E1397),'INPUT - Bookings'!$E1397&gt;=Settings!$C$8,'INPUT - Bookings'!$E1397&lt;=Settings!$C$8+14,IFERROR(INDEX(Settings!$Q$14:$Q$24,MATCH('INPUT - Bookings'!$G1397,Settings!$P$14:$P$24,0)),"Yes")="Yes"),'INPUT - Bookings'!$E1397+ROW()/100000,"")</f>
        <v/>
      </c>
    </row>
    <row r="1398">
      <c r="BB1398" s="244">
        <f>IF('INPUT - Bookings'!$B1398="",0,IF(AND(OR(Dashboard!$D$9="All",TRIM('INPUT - Bookings'!$C1398)=Dashboard!$D$9),OR(Dashboard!$J$9="All",TRIM('INPUT - Bookings'!$D1398)=Dashboard!$J$9)),1,0))</f>
        <v/>
      </c>
      <c r="BC1398" s="244">
        <f>IF(AND(BB1398=1,ISNUMBER('INPUT - Bookings'!$E1398),'INPUT - Bookings'!$E1398&gt;=Settings!$C$8,'INPUT - Bookings'!$E1398&lt;=Settings!$C$8+14,IFERROR(INDEX(Settings!$Q$14:$Q$24,MATCH('INPUT - Bookings'!$G1398,Settings!$P$14:$P$24,0)),"Yes")="Yes"),'INPUT - Bookings'!$E1398+ROW()/100000,"")</f>
        <v/>
      </c>
    </row>
    <row r="1399">
      <c r="BB1399" s="244">
        <f>IF('INPUT - Bookings'!$B1399="",0,IF(AND(OR(Dashboard!$D$9="All",TRIM('INPUT - Bookings'!$C1399)=Dashboard!$D$9),OR(Dashboard!$J$9="All",TRIM('INPUT - Bookings'!$D1399)=Dashboard!$J$9)),1,0))</f>
        <v/>
      </c>
      <c r="BC1399" s="244">
        <f>IF(AND(BB1399=1,ISNUMBER('INPUT - Bookings'!$E1399),'INPUT - Bookings'!$E1399&gt;=Settings!$C$8,'INPUT - Bookings'!$E1399&lt;=Settings!$C$8+14,IFERROR(INDEX(Settings!$Q$14:$Q$24,MATCH('INPUT - Bookings'!$G1399,Settings!$P$14:$P$24,0)),"Yes")="Yes"),'INPUT - Bookings'!$E1399+ROW()/100000,"")</f>
        <v/>
      </c>
    </row>
    <row r="1400">
      <c r="BB1400" s="244">
        <f>IF('INPUT - Bookings'!$B1400="",0,IF(AND(OR(Dashboard!$D$9="All",TRIM('INPUT - Bookings'!$C1400)=Dashboard!$D$9),OR(Dashboard!$J$9="All",TRIM('INPUT - Bookings'!$D1400)=Dashboard!$J$9)),1,0))</f>
        <v/>
      </c>
      <c r="BC1400" s="244">
        <f>IF(AND(BB1400=1,ISNUMBER('INPUT - Bookings'!$E1400),'INPUT - Bookings'!$E1400&gt;=Settings!$C$8,'INPUT - Bookings'!$E1400&lt;=Settings!$C$8+14,IFERROR(INDEX(Settings!$Q$14:$Q$24,MATCH('INPUT - Bookings'!$G1400,Settings!$P$14:$P$24,0)),"Yes")="Yes"),'INPUT - Bookings'!$E1400+ROW()/100000,"")</f>
        <v/>
      </c>
    </row>
    <row r="1401">
      <c r="BB1401" s="244">
        <f>IF('INPUT - Bookings'!$B1401="",0,IF(AND(OR(Dashboard!$D$9="All",TRIM('INPUT - Bookings'!$C1401)=Dashboard!$D$9),OR(Dashboard!$J$9="All",TRIM('INPUT - Bookings'!$D1401)=Dashboard!$J$9)),1,0))</f>
        <v/>
      </c>
      <c r="BC1401" s="244">
        <f>IF(AND(BB1401=1,ISNUMBER('INPUT - Bookings'!$E1401),'INPUT - Bookings'!$E1401&gt;=Settings!$C$8,'INPUT - Bookings'!$E1401&lt;=Settings!$C$8+14,IFERROR(INDEX(Settings!$Q$14:$Q$24,MATCH('INPUT - Bookings'!$G1401,Settings!$P$14:$P$24,0)),"Yes")="Yes"),'INPUT - Bookings'!$E1401+ROW()/100000,"")</f>
        <v/>
      </c>
    </row>
    <row r="1402">
      <c r="BB1402" s="244">
        <f>IF('INPUT - Bookings'!$B1402="",0,IF(AND(OR(Dashboard!$D$9="All",TRIM('INPUT - Bookings'!$C1402)=Dashboard!$D$9),OR(Dashboard!$J$9="All",TRIM('INPUT - Bookings'!$D1402)=Dashboard!$J$9)),1,0))</f>
        <v/>
      </c>
      <c r="BC1402" s="244">
        <f>IF(AND(BB1402=1,ISNUMBER('INPUT - Bookings'!$E1402),'INPUT - Bookings'!$E1402&gt;=Settings!$C$8,'INPUT - Bookings'!$E1402&lt;=Settings!$C$8+14,IFERROR(INDEX(Settings!$Q$14:$Q$24,MATCH('INPUT - Bookings'!$G1402,Settings!$P$14:$P$24,0)),"Yes")="Yes"),'INPUT - Bookings'!$E1402+ROW()/100000,"")</f>
        <v/>
      </c>
    </row>
    <row r="1403">
      <c r="BB1403" s="244">
        <f>IF('INPUT - Bookings'!$B1403="",0,IF(AND(OR(Dashboard!$D$9="All",TRIM('INPUT - Bookings'!$C1403)=Dashboard!$D$9),OR(Dashboard!$J$9="All",TRIM('INPUT - Bookings'!$D1403)=Dashboard!$J$9)),1,0))</f>
        <v/>
      </c>
      <c r="BC1403" s="244">
        <f>IF(AND(BB1403=1,ISNUMBER('INPUT - Bookings'!$E1403),'INPUT - Bookings'!$E1403&gt;=Settings!$C$8,'INPUT - Bookings'!$E1403&lt;=Settings!$C$8+14,IFERROR(INDEX(Settings!$Q$14:$Q$24,MATCH('INPUT - Bookings'!$G1403,Settings!$P$14:$P$24,0)),"Yes")="Yes"),'INPUT - Bookings'!$E1403+ROW()/100000,"")</f>
        <v/>
      </c>
    </row>
    <row r="1404">
      <c r="BB1404" s="244">
        <f>IF('INPUT - Bookings'!$B1404="",0,IF(AND(OR(Dashboard!$D$9="All",TRIM('INPUT - Bookings'!$C1404)=Dashboard!$D$9),OR(Dashboard!$J$9="All",TRIM('INPUT - Bookings'!$D1404)=Dashboard!$J$9)),1,0))</f>
        <v/>
      </c>
      <c r="BC1404" s="244">
        <f>IF(AND(BB1404=1,ISNUMBER('INPUT - Bookings'!$E1404),'INPUT - Bookings'!$E1404&gt;=Settings!$C$8,'INPUT - Bookings'!$E1404&lt;=Settings!$C$8+14,IFERROR(INDEX(Settings!$Q$14:$Q$24,MATCH('INPUT - Bookings'!$G1404,Settings!$P$14:$P$24,0)),"Yes")="Yes"),'INPUT - Bookings'!$E1404+ROW()/100000,"")</f>
        <v/>
      </c>
    </row>
    <row r="1405">
      <c r="BB1405" s="244">
        <f>IF('INPUT - Bookings'!$B1405="",0,IF(AND(OR(Dashboard!$D$9="All",TRIM('INPUT - Bookings'!$C1405)=Dashboard!$D$9),OR(Dashboard!$J$9="All",TRIM('INPUT - Bookings'!$D1405)=Dashboard!$J$9)),1,0))</f>
        <v/>
      </c>
      <c r="BC1405" s="244">
        <f>IF(AND(BB1405=1,ISNUMBER('INPUT - Bookings'!$E1405),'INPUT - Bookings'!$E1405&gt;=Settings!$C$8,'INPUT - Bookings'!$E1405&lt;=Settings!$C$8+14,IFERROR(INDEX(Settings!$Q$14:$Q$24,MATCH('INPUT - Bookings'!$G1405,Settings!$P$14:$P$24,0)),"Yes")="Yes"),'INPUT - Bookings'!$E1405+ROW()/100000,"")</f>
        <v/>
      </c>
    </row>
    <row r="1406">
      <c r="BB1406" s="244">
        <f>IF('INPUT - Bookings'!$B1406="",0,IF(AND(OR(Dashboard!$D$9="All",TRIM('INPUT - Bookings'!$C1406)=Dashboard!$D$9),OR(Dashboard!$J$9="All",TRIM('INPUT - Bookings'!$D1406)=Dashboard!$J$9)),1,0))</f>
        <v/>
      </c>
      <c r="BC1406" s="244">
        <f>IF(AND(BB1406=1,ISNUMBER('INPUT - Bookings'!$E1406),'INPUT - Bookings'!$E1406&gt;=Settings!$C$8,'INPUT - Bookings'!$E1406&lt;=Settings!$C$8+14,IFERROR(INDEX(Settings!$Q$14:$Q$24,MATCH('INPUT - Bookings'!$G1406,Settings!$P$14:$P$24,0)),"Yes")="Yes"),'INPUT - Bookings'!$E1406+ROW()/100000,"")</f>
        <v/>
      </c>
    </row>
    <row r="1407">
      <c r="BB1407" s="244">
        <f>IF('INPUT - Bookings'!$B1407="",0,IF(AND(OR(Dashboard!$D$9="All",TRIM('INPUT - Bookings'!$C1407)=Dashboard!$D$9),OR(Dashboard!$J$9="All",TRIM('INPUT - Bookings'!$D1407)=Dashboard!$J$9)),1,0))</f>
        <v/>
      </c>
      <c r="BC1407" s="244">
        <f>IF(AND(BB1407=1,ISNUMBER('INPUT - Bookings'!$E1407),'INPUT - Bookings'!$E1407&gt;=Settings!$C$8,'INPUT - Bookings'!$E1407&lt;=Settings!$C$8+14,IFERROR(INDEX(Settings!$Q$14:$Q$24,MATCH('INPUT - Bookings'!$G1407,Settings!$P$14:$P$24,0)),"Yes")="Yes"),'INPUT - Bookings'!$E1407+ROW()/100000,"")</f>
        <v/>
      </c>
    </row>
    <row r="1408">
      <c r="BB1408" s="244">
        <f>IF('INPUT - Bookings'!$B1408="",0,IF(AND(OR(Dashboard!$D$9="All",TRIM('INPUT - Bookings'!$C1408)=Dashboard!$D$9),OR(Dashboard!$J$9="All",TRIM('INPUT - Bookings'!$D1408)=Dashboard!$J$9)),1,0))</f>
        <v/>
      </c>
      <c r="BC1408" s="244">
        <f>IF(AND(BB1408=1,ISNUMBER('INPUT - Bookings'!$E1408),'INPUT - Bookings'!$E1408&gt;=Settings!$C$8,'INPUT - Bookings'!$E1408&lt;=Settings!$C$8+14,IFERROR(INDEX(Settings!$Q$14:$Q$24,MATCH('INPUT - Bookings'!$G1408,Settings!$P$14:$P$24,0)),"Yes")="Yes"),'INPUT - Bookings'!$E1408+ROW()/100000,"")</f>
        <v/>
      </c>
    </row>
    <row r="1409">
      <c r="BB1409" s="244">
        <f>IF('INPUT - Bookings'!$B1409="",0,IF(AND(OR(Dashboard!$D$9="All",TRIM('INPUT - Bookings'!$C1409)=Dashboard!$D$9),OR(Dashboard!$J$9="All",TRIM('INPUT - Bookings'!$D1409)=Dashboard!$J$9)),1,0))</f>
        <v/>
      </c>
      <c r="BC1409" s="244">
        <f>IF(AND(BB1409=1,ISNUMBER('INPUT - Bookings'!$E1409),'INPUT - Bookings'!$E1409&gt;=Settings!$C$8,'INPUT - Bookings'!$E1409&lt;=Settings!$C$8+14,IFERROR(INDEX(Settings!$Q$14:$Q$24,MATCH('INPUT - Bookings'!$G1409,Settings!$P$14:$P$24,0)),"Yes")="Yes"),'INPUT - Bookings'!$E1409+ROW()/100000,"")</f>
        <v/>
      </c>
    </row>
    <row r="1410">
      <c r="BB1410" s="244">
        <f>IF('INPUT - Bookings'!$B1410="",0,IF(AND(OR(Dashboard!$D$9="All",TRIM('INPUT - Bookings'!$C1410)=Dashboard!$D$9),OR(Dashboard!$J$9="All",TRIM('INPUT - Bookings'!$D1410)=Dashboard!$J$9)),1,0))</f>
        <v/>
      </c>
      <c r="BC1410" s="244">
        <f>IF(AND(BB1410=1,ISNUMBER('INPUT - Bookings'!$E1410),'INPUT - Bookings'!$E1410&gt;=Settings!$C$8,'INPUT - Bookings'!$E1410&lt;=Settings!$C$8+14,IFERROR(INDEX(Settings!$Q$14:$Q$24,MATCH('INPUT - Bookings'!$G1410,Settings!$P$14:$P$24,0)),"Yes")="Yes"),'INPUT - Bookings'!$E1410+ROW()/100000,"")</f>
        <v/>
      </c>
    </row>
    <row r="1411">
      <c r="BB1411" s="244">
        <f>IF('INPUT - Bookings'!$B1411="",0,IF(AND(OR(Dashboard!$D$9="All",TRIM('INPUT - Bookings'!$C1411)=Dashboard!$D$9),OR(Dashboard!$J$9="All",TRIM('INPUT - Bookings'!$D1411)=Dashboard!$J$9)),1,0))</f>
        <v/>
      </c>
      <c r="BC1411" s="244">
        <f>IF(AND(BB1411=1,ISNUMBER('INPUT - Bookings'!$E1411),'INPUT - Bookings'!$E1411&gt;=Settings!$C$8,'INPUT - Bookings'!$E1411&lt;=Settings!$C$8+14,IFERROR(INDEX(Settings!$Q$14:$Q$24,MATCH('INPUT - Bookings'!$G1411,Settings!$P$14:$P$24,0)),"Yes")="Yes"),'INPUT - Bookings'!$E1411+ROW()/100000,"")</f>
        <v/>
      </c>
    </row>
    <row r="1412">
      <c r="BB1412" s="244">
        <f>IF('INPUT - Bookings'!$B1412="",0,IF(AND(OR(Dashboard!$D$9="All",TRIM('INPUT - Bookings'!$C1412)=Dashboard!$D$9),OR(Dashboard!$J$9="All",TRIM('INPUT - Bookings'!$D1412)=Dashboard!$J$9)),1,0))</f>
        <v/>
      </c>
      <c r="BC1412" s="244">
        <f>IF(AND(BB1412=1,ISNUMBER('INPUT - Bookings'!$E1412),'INPUT - Bookings'!$E1412&gt;=Settings!$C$8,'INPUT - Bookings'!$E1412&lt;=Settings!$C$8+14,IFERROR(INDEX(Settings!$Q$14:$Q$24,MATCH('INPUT - Bookings'!$G1412,Settings!$P$14:$P$24,0)),"Yes")="Yes"),'INPUT - Bookings'!$E1412+ROW()/100000,"")</f>
        <v/>
      </c>
    </row>
    <row r="1413">
      <c r="BB1413" s="244">
        <f>IF('INPUT - Bookings'!$B1413="",0,IF(AND(OR(Dashboard!$D$9="All",TRIM('INPUT - Bookings'!$C1413)=Dashboard!$D$9),OR(Dashboard!$J$9="All",TRIM('INPUT - Bookings'!$D1413)=Dashboard!$J$9)),1,0))</f>
        <v/>
      </c>
      <c r="BC1413" s="244">
        <f>IF(AND(BB1413=1,ISNUMBER('INPUT - Bookings'!$E1413),'INPUT - Bookings'!$E1413&gt;=Settings!$C$8,'INPUT - Bookings'!$E1413&lt;=Settings!$C$8+14,IFERROR(INDEX(Settings!$Q$14:$Q$24,MATCH('INPUT - Bookings'!$G1413,Settings!$P$14:$P$24,0)),"Yes")="Yes"),'INPUT - Bookings'!$E1413+ROW()/100000,"")</f>
        <v/>
      </c>
    </row>
    <row r="1414">
      <c r="BB1414" s="244">
        <f>IF('INPUT - Bookings'!$B1414="",0,IF(AND(OR(Dashboard!$D$9="All",TRIM('INPUT - Bookings'!$C1414)=Dashboard!$D$9),OR(Dashboard!$J$9="All",TRIM('INPUT - Bookings'!$D1414)=Dashboard!$J$9)),1,0))</f>
        <v/>
      </c>
      <c r="BC1414" s="244">
        <f>IF(AND(BB1414=1,ISNUMBER('INPUT - Bookings'!$E1414),'INPUT - Bookings'!$E1414&gt;=Settings!$C$8,'INPUT - Bookings'!$E1414&lt;=Settings!$C$8+14,IFERROR(INDEX(Settings!$Q$14:$Q$24,MATCH('INPUT - Bookings'!$G1414,Settings!$P$14:$P$24,0)),"Yes")="Yes"),'INPUT - Bookings'!$E1414+ROW()/100000,"")</f>
        <v/>
      </c>
    </row>
    <row r="1415">
      <c r="BB1415" s="244">
        <f>IF('INPUT - Bookings'!$B1415="",0,IF(AND(OR(Dashboard!$D$9="All",TRIM('INPUT - Bookings'!$C1415)=Dashboard!$D$9),OR(Dashboard!$J$9="All",TRIM('INPUT - Bookings'!$D1415)=Dashboard!$J$9)),1,0))</f>
        <v/>
      </c>
      <c r="BC1415" s="244">
        <f>IF(AND(BB1415=1,ISNUMBER('INPUT - Bookings'!$E1415),'INPUT - Bookings'!$E1415&gt;=Settings!$C$8,'INPUT - Bookings'!$E1415&lt;=Settings!$C$8+14,IFERROR(INDEX(Settings!$Q$14:$Q$24,MATCH('INPUT - Bookings'!$G1415,Settings!$P$14:$P$24,0)),"Yes")="Yes"),'INPUT - Bookings'!$E1415+ROW()/100000,"")</f>
        <v/>
      </c>
    </row>
    <row r="1416">
      <c r="BB1416" s="244">
        <f>IF('INPUT - Bookings'!$B1416="",0,IF(AND(OR(Dashboard!$D$9="All",TRIM('INPUT - Bookings'!$C1416)=Dashboard!$D$9),OR(Dashboard!$J$9="All",TRIM('INPUT - Bookings'!$D1416)=Dashboard!$J$9)),1,0))</f>
        <v/>
      </c>
      <c r="BC1416" s="244">
        <f>IF(AND(BB1416=1,ISNUMBER('INPUT - Bookings'!$E1416),'INPUT - Bookings'!$E1416&gt;=Settings!$C$8,'INPUT - Bookings'!$E1416&lt;=Settings!$C$8+14,IFERROR(INDEX(Settings!$Q$14:$Q$24,MATCH('INPUT - Bookings'!$G1416,Settings!$P$14:$P$24,0)),"Yes")="Yes"),'INPUT - Bookings'!$E1416+ROW()/100000,"")</f>
        <v/>
      </c>
    </row>
    <row r="1417">
      <c r="BB1417" s="244">
        <f>IF('INPUT - Bookings'!$B1417="",0,IF(AND(OR(Dashboard!$D$9="All",TRIM('INPUT - Bookings'!$C1417)=Dashboard!$D$9),OR(Dashboard!$J$9="All",TRIM('INPUT - Bookings'!$D1417)=Dashboard!$J$9)),1,0))</f>
        <v/>
      </c>
      <c r="BC1417" s="244">
        <f>IF(AND(BB1417=1,ISNUMBER('INPUT - Bookings'!$E1417),'INPUT - Bookings'!$E1417&gt;=Settings!$C$8,'INPUT - Bookings'!$E1417&lt;=Settings!$C$8+14,IFERROR(INDEX(Settings!$Q$14:$Q$24,MATCH('INPUT - Bookings'!$G1417,Settings!$P$14:$P$24,0)),"Yes")="Yes"),'INPUT - Bookings'!$E1417+ROW()/100000,"")</f>
        <v/>
      </c>
    </row>
    <row r="1418">
      <c r="BB1418" s="244">
        <f>IF('INPUT - Bookings'!$B1418="",0,IF(AND(OR(Dashboard!$D$9="All",TRIM('INPUT - Bookings'!$C1418)=Dashboard!$D$9),OR(Dashboard!$J$9="All",TRIM('INPUT - Bookings'!$D1418)=Dashboard!$J$9)),1,0))</f>
        <v/>
      </c>
      <c r="BC1418" s="244">
        <f>IF(AND(BB1418=1,ISNUMBER('INPUT - Bookings'!$E1418),'INPUT - Bookings'!$E1418&gt;=Settings!$C$8,'INPUT - Bookings'!$E1418&lt;=Settings!$C$8+14,IFERROR(INDEX(Settings!$Q$14:$Q$24,MATCH('INPUT - Bookings'!$G1418,Settings!$P$14:$P$24,0)),"Yes")="Yes"),'INPUT - Bookings'!$E1418+ROW()/100000,"")</f>
        <v/>
      </c>
    </row>
    <row r="1419">
      <c r="BB1419" s="244">
        <f>IF('INPUT - Bookings'!$B1419="",0,IF(AND(OR(Dashboard!$D$9="All",TRIM('INPUT - Bookings'!$C1419)=Dashboard!$D$9),OR(Dashboard!$J$9="All",TRIM('INPUT - Bookings'!$D1419)=Dashboard!$J$9)),1,0))</f>
        <v/>
      </c>
      <c r="BC1419" s="244">
        <f>IF(AND(BB1419=1,ISNUMBER('INPUT - Bookings'!$E1419),'INPUT - Bookings'!$E1419&gt;=Settings!$C$8,'INPUT - Bookings'!$E1419&lt;=Settings!$C$8+14,IFERROR(INDEX(Settings!$Q$14:$Q$24,MATCH('INPUT - Bookings'!$G1419,Settings!$P$14:$P$24,0)),"Yes")="Yes"),'INPUT - Bookings'!$E1419+ROW()/100000,"")</f>
        <v/>
      </c>
    </row>
    <row r="1420">
      <c r="BB1420" s="244">
        <f>IF('INPUT - Bookings'!$B1420="",0,IF(AND(OR(Dashboard!$D$9="All",TRIM('INPUT - Bookings'!$C1420)=Dashboard!$D$9),OR(Dashboard!$J$9="All",TRIM('INPUT - Bookings'!$D1420)=Dashboard!$J$9)),1,0))</f>
        <v/>
      </c>
      <c r="BC1420" s="244">
        <f>IF(AND(BB1420=1,ISNUMBER('INPUT - Bookings'!$E1420),'INPUT - Bookings'!$E1420&gt;=Settings!$C$8,'INPUT - Bookings'!$E1420&lt;=Settings!$C$8+14,IFERROR(INDEX(Settings!$Q$14:$Q$24,MATCH('INPUT - Bookings'!$G1420,Settings!$P$14:$P$24,0)),"Yes")="Yes"),'INPUT - Bookings'!$E1420+ROW()/100000,"")</f>
        <v/>
      </c>
    </row>
    <row r="1421">
      <c r="BB1421" s="244">
        <f>IF('INPUT - Bookings'!$B1421="",0,IF(AND(OR(Dashboard!$D$9="All",TRIM('INPUT - Bookings'!$C1421)=Dashboard!$D$9),OR(Dashboard!$J$9="All",TRIM('INPUT - Bookings'!$D1421)=Dashboard!$J$9)),1,0))</f>
        <v/>
      </c>
      <c r="BC1421" s="244">
        <f>IF(AND(BB1421=1,ISNUMBER('INPUT - Bookings'!$E1421),'INPUT - Bookings'!$E1421&gt;=Settings!$C$8,'INPUT - Bookings'!$E1421&lt;=Settings!$C$8+14,IFERROR(INDEX(Settings!$Q$14:$Q$24,MATCH('INPUT - Bookings'!$G1421,Settings!$P$14:$P$24,0)),"Yes")="Yes"),'INPUT - Bookings'!$E1421+ROW()/100000,"")</f>
        <v/>
      </c>
    </row>
    <row r="1422">
      <c r="BB1422" s="244">
        <f>IF('INPUT - Bookings'!$B1422="",0,IF(AND(OR(Dashboard!$D$9="All",TRIM('INPUT - Bookings'!$C1422)=Dashboard!$D$9),OR(Dashboard!$J$9="All",TRIM('INPUT - Bookings'!$D1422)=Dashboard!$J$9)),1,0))</f>
        <v/>
      </c>
      <c r="BC1422" s="244">
        <f>IF(AND(BB1422=1,ISNUMBER('INPUT - Bookings'!$E1422),'INPUT - Bookings'!$E1422&gt;=Settings!$C$8,'INPUT - Bookings'!$E1422&lt;=Settings!$C$8+14,IFERROR(INDEX(Settings!$Q$14:$Q$24,MATCH('INPUT - Bookings'!$G1422,Settings!$P$14:$P$24,0)),"Yes")="Yes"),'INPUT - Bookings'!$E1422+ROW()/100000,"")</f>
        <v/>
      </c>
    </row>
    <row r="1423">
      <c r="BB1423" s="244">
        <f>IF('INPUT - Bookings'!$B1423="",0,IF(AND(OR(Dashboard!$D$9="All",TRIM('INPUT - Bookings'!$C1423)=Dashboard!$D$9),OR(Dashboard!$J$9="All",TRIM('INPUT - Bookings'!$D1423)=Dashboard!$J$9)),1,0))</f>
        <v/>
      </c>
      <c r="BC1423" s="244">
        <f>IF(AND(BB1423=1,ISNUMBER('INPUT - Bookings'!$E1423),'INPUT - Bookings'!$E1423&gt;=Settings!$C$8,'INPUT - Bookings'!$E1423&lt;=Settings!$C$8+14,IFERROR(INDEX(Settings!$Q$14:$Q$24,MATCH('INPUT - Bookings'!$G1423,Settings!$P$14:$P$24,0)),"Yes")="Yes"),'INPUT - Bookings'!$E1423+ROW()/100000,"")</f>
        <v/>
      </c>
    </row>
    <row r="1424">
      <c r="BB1424" s="244">
        <f>IF('INPUT - Bookings'!$B1424="",0,IF(AND(OR(Dashboard!$D$9="All",TRIM('INPUT - Bookings'!$C1424)=Dashboard!$D$9),OR(Dashboard!$J$9="All",TRIM('INPUT - Bookings'!$D1424)=Dashboard!$J$9)),1,0))</f>
        <v/>
      </c>
      <c r="BC1424" s="244">
        <f>IF(AND(BB1424=1,ISNUMBER('INPUT - Bookings'!$E1424),'INPUT - Bookings'!$E1424&gt;=Settings!$C$8,'INPUT - Bookings'!$E1424&lt;=Settings!$C$8+14,IFERROR(INDEX(Settings!$Q$14:$Q$24,MATCH('INPUT - Bookings'!$G1424,Settings!$P$14:$P$24,0)),"Yes")="Yes"),'INPUT - Bookings'!$E1424+ROW()/100000,"")</f>
        <v/>
      </c>
    </row>
    <row r="1425">
      <c r="BB1425" s="244">
        <f>IF('INPUT - Bookings'!$B1425="",0,IF(AND(OR(Dashboard!$D$9="All",TRIM('INPUT - Bookings'!$C1425)=Dashboard!$D$9),OR(Dashboard!$J$9="All",TRIM('INPUT - Bookings'!$D1425)=Dashboard!$J$9)),1,0))</f>
        <v/>
      </c>
      <c r="BC1425" s="244">
        <f>IF(AND(BB1425=1,ISNUMBER('INPUT - Bookings'!$E1425),'INPUT - Bookings'!$E1425&gt;=Settings!$C$8,'INPUT - Bookings'!$E1425&lt;=Settings!$C$8+14,IFERROR(INDEX(Settings!$Q$14:$Q$24,MATCH('INPUT - Bookings'!$G1425,Settings!$P$14:$P$24,0)),"Yes")="Yes"),'INPUT - Bookings'!$E1425+ROW()/100000,"")</f>
        <v/>
      </c>
    </row>
    <row r="1426">
      <c r="BB1426" s="244">
        <f>IF('INPUT - Bookings'!$B1426="",0,IF(AND(OR(Dashboard!$D$9="All",TRIM('INPUT - Bookings'!$C1426)=Dashboard!$D$9),OR(Dashboard!$J$9="All",TRIM('INPUT - Bookings'!$D1426)=Dashboard!$J$9)),1,0))</f>
        <v/>
      </c>
      <c r="BC1426" s="244">
        <f>IF(AND(BB1426=1,ISNUMBER('INPUT - Bookings'!$E1426),'INPUT - Bookings'!$E1426&gt;=Settings!$C$8,'INPUT - Bookings'!$E1426&lt;=Settings!$C$8+14,IFERROR(INDEX(Settings!$Q$14:$Q$24,MATCH('INPUT - Bookings'!$G1426,Settings!$P$14:$P$24,0)),"Yes")="Yes"),'INPUT - Bookings'!$E1426+ROW()/100000,"")</f>
        <v/>
      </c>
    </row>
    <row r="1427">
      <c r="BB1427" s="244">
        <f>IF('INPUT - Bookings'!$B1427="",0,IF(AND(OR(Dashboard!$D$9="All",TRIM('INPUT - Bookings'!$C1427)=Dashboard!$D$9),OR(Dashboard!$J$9="All",TRIM('INPUT - Bookings'!$D1427)=Dashboard!$J$9)),1,0))</f>
        <v/>
      </c>
      <c r="BC1427" s="244">
        <f>IF(AND(BB1427=1,ISNUMBER('INPUT - Bookings'!$E1427),'INPUT - Bookings'!$E1427&gt;=Settings!$C$8,'INPUT - Bookings'!$E1427&lt;=Settings!$C$8+14,IFERROR(INDEX(Settings!$Q$14:$Q$24,MATCH('INPUT - Bookings'!$G1427,Settings!$P$14:$P$24,0)),"Yes")="Yes"),'INPUT - Bookings'!$E1427+ROW()/100000,"")</f>
        <v/>
      </c>
    </row>
    <row r="1428">
      <c r="BB1428" s="244">
        <f>IF('INPUT - Bookings'!$B1428="",0,IF(AND(OR(Dashboard!$D$9="All",TRIM('INPUT - Bookings'!$C1428)=Dashboard!$D$9),OR(Dashboard!$J$9="All",TRIM('INPUT - Bookings'!$D1428)=Dashboard!$J$9)),1,0))</f>
        <v/>
      </c>
      <c r="BC1428" s="244">
        <f>IF(AND(BB1428=1,ISNUMBER('INPUT - Bookings'!$E1428),'INPUT - Bookings'!$E1428&gt;=Settings!$C$8,'INPUT - Bookings'!$E1428&lt;=Settings!$C$8+14,IFERROR(INDEX(Settings!$Q$14:$Q$24,MATCH('INPUT - Bookings'!$G1428,Settings!$P$14:$P$24,0)),"Yes")="Yes"),'INPUT - Bookings'!$E1428+ROW()/100000,"")</f>
        <v/>
      </c>
    </row>
    <row r="1429">
      <c r="BB1429" s="244">
        <f>IF('INPUT - Bookings'!$B1429="",0,IF(AND(OR(Dashboard!$D$9="All",TRIM('INPUT - Bookings'!$C1429)=Dashboard!$D$9),OR(Dashboard!$J$9="All",TRIM('INPUT - Bookings'!$D1429)=Dashboard!$J$9)),1,0))</f>
        <v/>
      </c>
      <c r="BC1429" s="244">
        <f>IF(AND(BB1429=1,ISNUMBER('INPUT - Bookings'!$E1429),'INPUT - Bookings'!$E1429&gt;=Settings!$C$8,'INPUT - Bookings'!$E1429&lt;=Settings!$C$8+14,IFERROR(INDEX(Settings!$Q$14:$Q$24,MATCH('INPUT - Bookings'!$G1429,Settings!$P$14:$P$24,0)),"Yes")="Yes"),'INPUT - Bookings'!$E1429+ROW()/100000,"")</f>
        <v/>
      </c>
    </row>
    <row r="1430">
      <c r="BB1430" s="244">
        <f>IF('INPUT - Bookings'!$B1430="",0,IF(AND(OR(Dashboard!$D$9="All",TRIM('INPUT - Bookings'!$C1430)=Dashboard!$D$9),OR(Dashboard!$J$9="All",TRIM('INPUT - Bookings'!$D1430)=Dashboard!$J$9)),1,0))</f>
        <v/>
      </c>
      <c r="BC1430" s="244">
        <f>IF(AND(BB1430=1,ISNUMBER('INPUT - Bookings'!$E1430),'INPUT - Bookings'!$E1430&gt;=Settings!$C$8,'INPUT - Bookings'!$E1430&lt;=Settings!$C$8+14,IFERROR(INDEX(Settings!$Q$14:$Q$24,MATCH('INPUT - Bookings'!$G1430,Settings!$P$14:$P$24,0)),"Yes")="Yes"),'INPUT - Bookings'!$E1430+ROW()/100000,"")</f>
        <v/>
      </c>
    </row>
    <row r="1431">
      <c r="BB1431" s="244">
        <f>IF('INPUT - Bookings'!$B1431="",0,IF(AND(OR(Dashboard!$D$9="All",TRIM('INPUT - Bookings'!$C1431)=Dashboard!$D$9),OR(Dashboard!$J$9="All",TRIM('INPUT - Bookings'!$D1431)=Dashboard!$J$9)),1,0))</f>
        <v/>
      </c>
      <c r="BC1431" s="244">
        <f>IF(AND(BB1431=1,ISNUMBER('INPUT - Bookings'!$E1431),'INPUT - Bookings'!$E1431&gt;=Settings!$C$8,'INPUT - Bookings'!$E1431&lt;=Settings!$C$8+14,IFERROR(INDEX(Settings!$Q$14:$Q$24,MATCH('INPUT - Bookings'!$G1431,Settings!$P$14:$P$24,0)),"Yes")="Yes"),'INPUT - Bookings'!$E1431+ROW()/100000,"")</f>
        <v/>
      </c>
    </row>
    <row r="1432">
      <c r="BB1432" s="244">
        <f>IF('INPUT - Bookings'!$B1432="",0,IF(AND(OR(Dashboard!$D$9="All",TRIM('INPUT - Bookings'!$C1432)=Dashboard!$D$9),OR(Dashboard!$J$9="All",TRIM('INPUT - Bookings'!$D1432)=Dashboard!$J$9)),1,0))</f>
        <v/>
      </c>
      <c r="BC1432" s="244">
        <f>IF(AND(BB1432=1,ISNUMBER('INPUT - Bookings'!$E1432),'INPUT - Bookings'!$E1432&gt;=Settings!$C$8,'INPUT - Bookings'!$E1432&lt;=Settings!$C$8+14,IFERROR(INDEX(Settings!$Q$14:$Q$24,MATCH('INPUT - Bookings'!$G1432,Settings!$P$14:$P$24,0)),"Yes")="Yes"),'INPUT - Bookings'!$E1432+ROW()/100000,"")</f>
        <v/>
      </c>
    </row>
    <row r="1433">
      <c r="BB1433" s="244">
        <f>IF('INPUT - Bookings'!$B1433="",0,IF(AND(OR(Dashboard!$D$9="All",TRIM('INPUT - Bookings'!$C1433)=Dashboard!$D$9),OR(Dashboard!$J$9="All",TRIM('INPUT - Bookings'!$D1433)=Dashboard!$J$9)),1,0))</f>
        <v/>
      </c>
      <c r="BC1433" s="244">
        <f>IF(AND(BB1433=1,ISNUMBER('INPUT - Bookings'!$E1433),'INPUT - Bookings'!$E1433&gt;=Settings!$C$8,'INPUT - Bookings'!$E1433&lt;=Settings!$C$8+14,IFERROR(INDEX(Settings!$Q$14:$Q$24,MATCH('INPUT - Bookings'!$G1433,Settings!$P$14:$P$24,0)),"Yes")="Yes"),'INPUT - Bookings'!$E1433+ROW()/100000,"")</f>
        <v/>
      </c>
    </row>
    <row r="1434">
      <c r="BB1434" s="244">
        <f>IF('INPUT - Bookings'!$B1434="",0,IF(AND(OR(Dashboard!$D$9="All",TRIM('INPUT - Bookings'!$C1434)=Dashboard!$D$9),OR(Dashboard!$J$9="All",TRIM('INPUT - Bookings'!$D1434)=Dashboard!$J$9)),1,0))</f>
        <v/>
      </c>
      <c r="BC1434" s="244">
        <f>IF(AND(BB1434=1,ISNUMBER('INPUT - Bookings'!$E1434),'INPUT - Bookings'!$E1434&gt;=Settings!$C$8,'INPUT - Bookings'!$E1434&lt;=Settings!$C$8+14,IFERROR(INDEX(Settings!$Q$14:$Q$24,MATCH('INPUT - Bookings'!$G1434,Settings!$P$14:$P$24,0)),"Yes")="Yes"),'INPUT - Bookings'!$E1434+ROW()/100000,"")</f>
        <v/>
      </c>
    </row>
    <row r="1435">
      <c r="BB1435" s="244">
        <f>IF('INPUT - Bookings'!$B1435="",0,IF(AND(OR(Dashboard!$D$9="All",TRIM('INPUT - Bookings'!$C1435)=Dashboard!$D$9),OR(Dashboard!$J$9="All",TRIM('INPUT - Bookings'!$D1435)=Dashboard!$J$9)),1,0))</f>
        <v/>
      </c>
      <c r="BC1435" s="244">
        <f>IF(AND(BB1435=1,ISNUMBER('INPUT - Bookings'!$E1435),'INPUT - Bookings'!$E1435&gt;=Settings!$C$8,'INPUT - Bookings'!$E1435&lt;=Settings!$C$8+14,IFERROR(INDEX(Settings!$Q$14:$Q$24,MATCH('INPUT - Bookings'!$G1435,Settings!$P$14:$P$24,0)),"Yes")="Yes"),'INPUT - Bookings'!$E1435+ROW()/100000,"")</f>
        <v/>
      </c>
    </row>
    <row r="1436">
      <c r="BB1436" s="244">
        <f>IF('INPUT - Bookings'!$B1436="",0,IF(AND(OR(Dashboard!$D$9="All",TRIM('INPUT - Bookings'!$C1436)=Dashboard!$D$9),OR(Dashboard!$J$9="All",TRIM('INPUT - Bookings'!$D1436)=Dashboard!$J$9)),1,0))</f>
        <v/>
      </c>
      <c r="BC1436" s="244">
        <f>IF(AND(BB1436=1,ISNUMBER('INPUT - Bookings'!$E1436),'INPUT - Bookings'!$E1436&gt;=Settings!$C$8,'INPUT - Bookings'!$E1436&lt;=Settings!$C$8+14,IFERROR(INDEX(Settings!$Q$14:$Q$24,MATCH('INPUT - Bookings'!$G1436,Settings!$P$14:$P$24,0)),"Yes")="Yes"),'INPUT - Bookings'!$E1436+ROW()/100000,"")</f>
        <v/>
      </c>
    </row>
    <row r="1437">
      <c r="BB1437" s="244">
        <f>IF('INPUT - Bookings'!$B1437="",0,IF(AND(OR(Dashboard!$D$9="All",TRIM('INPUT - Bookings'!$C1437)=Dashboard!$D$9),OR(Dashboard!$J$9="All",TRIM('INPUT - Bookings'!$D1437)=Dashboard!$J$9)),1,0))</f>
        <v/>
      </c>
      <c r="BC1437" s="244">
        <f>IF(AND(BB1437=1,ISNUMBER('INPUT - Bookings'!$E1437),'INPUT - Bookings'!$E1437&gt;=Settings!$C$8,'INPUT - Bookings'!$E1437&lt;=Settings!$C$8+14,IFERROR(INDEX(Settings!$Q$14:$Q$24,MATCH('INPUT - Bookings'!$G1437,Settings!$P$14:$P$24,0)),"Yes")="Yes"),'INPUT - Bookings'!$E1437+ROW()/100000,"")</f>
        <v/>
      </c>
    </row>
    <row r="1438">
      <c r="BB1438" s="244">
        <f>IF('INPUT - Bookings'!$B1438="",0,IF(AND(OR(Dashboard!$D$9="All",TRIM('INPUT - Bookings'!$C1438)=Dashboard!$D$9),OR(Dashboard!$J$9="All",TRIM('INPUT - Bookings'!$D1438)=Dashboard!$J$9)),1,0))</f>
        <v/>
      </c>
      <c r="BC1438" s="244">
        <f>IF(AND(BB1438=1,ISNUMBER('INPUT - Bookings'!$E1438),'INPUT - Bookings'!$E1438&gt;=Settings!$C$8,'INPUT - Bookings'!$E1438&lt;=Settings!$C$8+14,IFERROR(INDEX(Settings!$Q$14:$Q$24,MATCH('INPUT - Bookings'!$G1438,Settings!$P$14:$P$24,0)),"Yes")="Yes"),'INPUT - Bookings'!$E1438+ROW()/100000,"")</f>
        <v/>
      </c>
    </row>
    <row r="1439">
      <c r="BB1439" s="244">
        <f>IF('INPUT - Bookings'!$B1439="",0,IF(AND(OR(Dashboard!$D$9="All",TRIM('INPUT - Bookings'!$C1439)=Dashboard!$D$9),OR(Dashboard!$J$9="All",TRIM('INPUT - Bookings'!$D1439)=Dashboard!$J$9)),1,0))</f>
        <v/>
      </c>
      <c r="BC1439" s="244">
        <f>IF(AND(BB1439=1,ISNUMBER('INPUT - Bookings'!$E1439),'INPUT - Bookings'!$E1439&gt;=Settings!$C$8,'INPUT - Bookings'!$E1439&lt;=Settings!$C$8+14,IFERROR(INDEX(Settings!$Q$14:$Q$24,MATCH('INPUT - Bookings'!$G1439,Settings!$P$14:$P$24,0)),"Yes")="Yes"),'INPUT - Bookings'!$E1439+ROW()/100000,"")</f>
        <v/>
      </c>
    </row>
    <row r="1440">
      <c r="BB1440" s="244">
        <f>IF('INPUT - Bookings'!$B1440="",0,IF(AND(OR(Dashboard!$D$9="All",TRIM('INPUT - Bookings'!$C1440)=Dashboard!$D$9),OR(Dashboard!$J$9="All",TRIM('INPUT - Bookings'!$D1440)=Dashboard!$J$9)),1,0))</f>
        <v/>
      </c>
      <c r="BC1440" s="244">
        <f>IF(AND(BB1440=1,ISNUMBER('INPUT - Bookings'!$E1440),'INPUT - Bookings'!$E1440&gt;=Settings!$C$8,'INPUT - Bookings'!$E1440&lt;=Settings!$C$8+14,IFERROR(INDEX(Settings!$Q$14:$Q$24,MATCH('INPUT - Bookings'!$G1440,Settings!$P$14:$P$24,0)),"Yes")="Yes"),'INPUT - Bookings'!$E1440+ROW()/100000,"")</f>
        <v/>
      </c>
    </row>
    <row r="1441">
      <c r="BB1441" s="244">
        <f>IF('INPUT - Bookings'!$B1441="",0,IF(AND(OR(Dashboard!$D$9="All",TRIM('INPUT - Bookings'!$C1441)=Dashboard!$D$9),OR(Dashboard!$J$9="All",TRIM('INPUT - Bookings'!$D1441)=Dashboard!$J$9)),1,0))</f>
        <v/>
      </c>
      <c r="BC1441" s="244">
        <f>IF(AND(BB1441=1,ISNUMBER('INPUT - Bookings'!$E1441),'INPUT - Bookings'!$E1441&gt;=Settings!$C$8,'INPUT - Bookings'!$E1441&lt;=Settings!$C$8+14,IFERROR(INDEX(Settings!$Q$14:$Q$24,MATCH('INPUT - Bookings'!$G1441,Settings!$P$14:$P$24,0)),"Yes")="Yes"),'INPUT - Bookings'!$E1441+ROW()/100000,"")</f>
        <v/>
      </c>
    </row>
    <row r="1442">
      <c r="BB1442" s="244">
        <f>IF('INPUT - Bookings'!$B1442="",0,IF(AND(OR(Dashboard!$D$9="All",TRIM('INPUT - Bookings'!$C1442)=Dashboard!$D$9),OR(Dashboard!$J$9="All",TRIM('INPUT - Bookings'!$D1442)=Dashboard!$J$9)),1,0))</f>
        <v/>
      </c>
      <c r="BC1442" s="244">
        <f>IF(AND(BB1442=1,ISNUMBER('INPUT - Bookings'!$E1442),'INPUT - Bookings'!$E1442&gt;=Settings!$C$8,'INPUT - Bookings'!$E1442&lt;=Settings!$C$8+14,IFERROR(INDEX(Settings!$Q$14:$Q$24,MATCH('INPUT - Bookings'!$G1442,Settings!$P$14:$P$24,0)),"Yes")="Yes"),'INPUT - Bookings'!$E1442+ROW()/100000,"")</f>
        <v/>
      </c>
    </row>
    <row r="1443">
      <c r="BB1443" s="244">
        <f>IF('INPUT - Bookings'!$B1443="",0,IF(AND(OR(Dashboard!$D$9="All",TRIM('INPUT - Bookings'!$C1443)=Dashboard!$D$9),OR(Dashboard!$J$9="All",TRIM('INPUT - Bookings'!$D1443)=Dashboard!$J$9)),1,0))</f>
        <v/>
      </c>
      <c r="BC1443" s="244">
        <f>IF(AND(BB1443=1,ISNUMBER('INPUT - Bookings'!$E1443),'INPUT - Bookings'!$E1443&gt;=Settings!$C$8,'INPUT - Bookings'!$E1443&lt;=Settings!$C$8+14,IFERROR(INDEX(Settings!$Q$14:$Q$24,MATCH('INPUT - Bookings'!$G1443,Settings!$P$14:$P$24,0)),"Yes")="Yes"),'INPUT - Bookings'!$E1443+ROW()/100000,"")</f>
        <v/>
      </c>
    </row>
    <row r="1444">
      <c r="BB1444" s="244">
        <f>IF('INPUT - Bookings'!$B1444="",0,IF(AND(OR(Dashboard!$D$9="All",TRIM('INPUT - Bookings'!$C1444)=Dashboard!$D$9),OR(Dashboard!$J$9="All",TRIM('INPUT - Bookings'!$D1444)=Dashboard!$J$9)),1,0))</f>
        <v/>
      </c>
      <c r="BC1444" s="244">
        <f>IF(AND(BB1444=1,ISNUMBER('INPUT - Bookings'!$E1444),'INPUT - Bookings'!$E1444&gt;=Settings!$C$8,'INPUT - Bookings'!$E1444&lt;=Settings!$C$8+14,IFERROR(INDEX(Settings!$Q$14:$Q$24,MATCH('INPUT - Bookings'!$G1444,Settings!$P$14:$P$24,0)),"Yes")="Yes"),'INPUT - Bookings'!$E1444+ROW()/100000,"")</f>
        <v/>
      </c>
    </row>
    <row r="1445">
      <c r="BB1445" s="244">
        <f>IF('INPUT - Bookings'!$B1445="",0,IF(AND(OR(Dashboard!$D$9="All",TRIM('INPUT - Bookings'!$C1445)=Dashboard!$D$9),OR(Dashboard!$J$9="All",TRIM('INPUT - Bookings'!$D1445)=Dashboard!$J$9)),1,0))</f>
        <v/>
      </c>
      <c r="BC1445" s="244">
        <f>IF(AND(BB1445=1,ISNUMBER('INPUT - Bookings'!$E1445),'INPUT - Bookings'!$E1445&gt;=Settings!$C$8,'INPUT - Bookings'!$E1445&lt;=Settings!$C$8+14,IFERROR(INDEX(Settings!$Q$14:$Q$24,MATCH('INPUT - Bookings'!$G1445,Settings!$P$14:$P$24,0)),"Yes")="Yes"),'INPUT - Bookings'!$E1445+ROW()/100000,"")</f>
        <v/>
      </c>
    </row>
    <row r="1446">
      <c r="BB1446" s="244">
        <f>IF('INPUT - Bookings'!$B1446="",0,IF(AND(OR(Dashboard!$D$9="All",TRIM('INPUT - Bookings'!$C1446)=Dashboard!$D$9),OR(Dashboard!$J$9="All",TRIM('INPUT - Bookings'!$D1446)=Dashboard!$J$9)),1,0))</f>
        <v/>
      </c>
      <c r="BC1446" s="244">
        <f>IF(AND(BB1446=1,ISNUMBER('INPUT - Bookings'!$E1446),'INPUT - Bookings'!$E1446&gt;=Settings!$C$8,'INPUT - Bookings'!$E1446&lt;=Settings!$C$8+14,IFERROR(INDEX(Settings!$Q$14:$Q$24,MATCH('INPUT - Bookings'!$G1446,Settings!$P$14:$P$24,0)),"Yes")="Yes"),'INPUT - Bookings'!$E1446+ROW()/100000,"")</f>
        <v/>
      </c>
    </row>
    <row r="1447">
      <c r="BB1447" s="244">
        <f>IF('INPUT - Bookings'!$B1447="",0,IF(AND(OR(Dashboard!$D$9="All",TRIM('INPUT - Bookings'!$C1447)=Dashboard!$D$9),OR(Dashboard!$J$9="All",TRIM('INPUT - Bookings'!$D1447)=Dashboard!$J$9)),1,0))</f>
        <v/>
      </c>
      <c r="BC1447" s="244">
        <f>IF(AND(BB1447=1,ISNUMBER('INPUT - Bookings'!$E1447),'INPUT - Bookings'!$E1447&gt;=Settings!$C$8,'INPUT - Bookings'!$E1447&lt;=Settings!$C$8+14,IFERROR(INDEX(Settings!$Q$14:$Q$24,MATCH('INPUT - Bookings'!$G1447,Settings!$P$14:$P$24,0)),"Yes")="Yes"),'INPUT - Bookings'!$E1447+ROW()/100000,"")</f>
        <v/>
      </c>
    </row>
    <row r="1448">
      <c r="BB1448" s="244">
        <f>IF('INPUT - Bookings'!$B1448="",0,IF(AND(OR(Dashboard!$D$9="All",TRIM('INPUT - Bookings'!$C1448)=Dashboard!$D$9),OR(Dashboard!$J$9="All",TRIM('INPUT - Bookings'!$D1448)=Dashboard!$J$9)),1,0))</f>
        <v/>
      </c>
      <c r="BC1448" s="244">
        <f>IF(AND(BB1448=1,ISNUMBER('INPUT - Bookings'!$E1448),'INPUT - Bookings'!$E1448&gt;=Settings!$C$8,'INPUT - Bookings'!$E1448&lt;=Settings!$C$8+14,IFERROR(INDEX(Settings!$Q$14:$Q$24,MATCH('INPUT - Bookings'!$G1448,Settings!$P$14:$P$24,0)),"Yes")="Yes"),'INPUT - Bookings'!$E1448+ROW()/100000,"")</f>
        <v/>
      </c>
    </row>
    <row r="1449">
      <c r="BB1449" s="244">
        <f>IF('INPUT - Bookings'!$B1449="",0,IF(AND(OR(Dashboard!$D$9="All",TRIM('INPUT - Bookings'!$C1449)=Dashboard!$D$9),OR(Dashboard!$J$9="All",TRIM('INPUT - Bookings'!$D1449)=Dashboard!$J$9)),1,0))</f>
        <v/>
      </c>
      <c r="BC1449" s="244">
        <f>IF(AND(BB1449=1,ISNUMBER('INPUT - Bookings'!$E1449),'INPUT - Bookings'!$E1449&gt;=Settings!$C$8,'INPUT - Bookings'!$E1449&lt;=Settings!$C$8+14,IFERROR(INDEX(Settings!$Q$14:$Q$24,MATCH('INPUT - Bookings'!$G1449,Settings!$P$14:$P$24,0)),"Yes")="Yes"),'INPUT - Bookings'!$E1449+ROW()/100000,"")</f>
        <v/>
      </c>
    </row>
    <row r="1450">
      <c r="BB1450" s="244">
        <f>IF('INPUT - Bookings'!$B1450="",0,IF(AND(OR(Dashboard!$D$9="All",TRIM('INPUT - Bookings'!$C1450)=Dashboard!$D$9),OR(Dashboard!$J$9="All",TRIM('INPUT - Bookings'!$D1450)=Dashboard!$J$9)),1,0))</f>
        <v/>
      </c>
      <c r="BC1450" s="244">
        <f>IF(AND(BB1450=1,ISNUMBER('INPUT - Bookings'!$E1450),'INPUT - Bookings'!$E1450&gt;=Settings!$C$8,'INPUT - Bookings'!$E1450&lt;=Settings!$C$8+14,IFERROR(INDEX(Settings!$Q$14:$Q$24,MATCH('INPUT - Bookings'!$G1450,Settings!$P$14:$P$24,0)),"Yes")="Yes"),'INPUT - Bookings'!$E1450+ROW()/100000,"")</f>
        <v/>
      </c>
    </row>
    <row r="1451">
      <c r="BB1451" s="244">
        <f>IF('INPUT - Bookings'!$B1451="",0,IF(AND(OR(Dashboard!$D$9="All",TRIM('INPUT - Bookings'!$C1451)=Dashboard!$D$9),OR(Dashboard!$J$9="All",TRIM('INPUT - Bookings'!$D1451)=Dashboard!$J$9)),1,0))</f>
        <v/>
      </c>
      <c r="BC1451" s="244">
        <f>IF(AND(BB1451=1,ISNUMBER('INPUT - Bookings'!$E1451),'INPUT - Bookings'!$E1451&gt;=Settings!$C$8,'INPUT - Bookings'!$E1451&lt;=Settings!$C$8+14,IFERROR(INDEX(Settings!$Q$14:$Q$24,MATCH('INPUT - Bookings'!$G1451,Settings!$P$14:$P$24,0)),"Yes")="Yes"),'INPUT - Bookings'!$E1451+ROW()/100000,"")</f>
        <v/>
      </c>
    </row>
    <row r="1452">
      <c r="BB1452" s="244">
        <f>IF('INPUT - Bookings'!$B1452="",0,IF(AND(OR(Dashboard!$D$9="All",TRIM('INPUT - Bookings'!$C1452)=Dashboard!$D$9),OR(Dashboard!$J$9="All",TRIM('INPUT - Bookings'!$D1452)=Dashboard!$J$9)),1,0))</f>
        <v/>
      </c>
      <c r="BC1452" s="244">
        <f>IF(AND(BB1452=1,ISNUMBER('INPUT - Bookings'!$E1452),'INPUT - Bookings'!$E1452&gt;=Settings!$C$8,'INPUT - Bookings'!$E1452&lt;=Settings!$C$8+14,IFERROR(INDEX(Settings!$Q$14:$Q$24,MATCH('INPUT - Bookings'!$G1452,Settings!$P$14:$P$24,0)),"Yes")="Yes"),'INPUT - Bookings'!$E1452+ROW()/100000,"")</f>
        <v/>
      </c>
    </row>
    <row r="1453">
      <c r="BB1453" s="244">
        <f>IF('INPUT - Bookings'!$B1453="",0,IF(AND(OR(Dashboard!$D$9="All",TRIM('INPUT - Bookings'!$C1453)=Dashboard!$D$9),OR(Dashboard!$J$9="All",TRIM('INPUT - Bookings'!$D1453)=Dashboard!$J$9)),1,0))</f>
        <v/>
      </c>
      <c r="BC1453" s="244">
        <f>IF(AND(BB1453=1,ISNUMBER('INPUT - Bookings'!$E1453),'INPUT - Bookings'!$E1453&gt;=Settings!$C$8,'INPUT - Bookings'!$E1453&lt;=Settings!$C$8+14,IFERROR(INDEX(Settings!$Q$14:$Q$24,MATCH('INPUT - Bookings'!$G1453,Settings!$P$14:$P$24,0)),"Yes")="Yes"),'INPUT - Bookings'!$E1453+ROW()/100000,"")</f>
        <v/>
      </c>
    </row>
    <row r="1454">
      <c r="BB1454" s="244">
        <f>IF('INPUT - Bookings'!$B1454="",0,IF(AND(OR(Dashboard!$D$9="All",TRIM('INPUT - Bookings'!$C1454)=Dashboard!$D$9),OR(Dashboard!$J$9="All",TRIM('INPUT - Bookings'!$D1454)=Dashboard!$J$9)),1,0))</f>
        <v/>
      </c>
      <c r="BC1454" s="244">
        <f>IF(AND(BB1454=1,ISNUMBER('INPUT - Bookings'!$E1454),'INPUT - Bookings'!$E1454&gt;=Settings!$C$8,'INPUT - Bookings'!$E1454&lt;=Settings!$C$8+14,IFERROR(INDEX(Settings!$Q$14:$Q$24,MATCH('INPUT - Bookings'!$G1454,Settings!$P$14:$P$24,0)),"Yes")="Yes"),'INPUT - Bookings'!$E1454+ROW()/100000,"")</f>
        <v/>
      </c>
    </row>
    <row r="1455">
      <c r="BB1455" s="244">
        <f>IF('INPUT - Bookings'!$B1455="",0,IF(AND(OR(Dashboard!$D$9="All",TRIM('INPUT - Bookings'!$C1455)=Dashboard!$D$9),OR(Dashboard!$J$9="All",TRIM('INPUT - Bookings'!$D1455)=Dashboard!$J$9)),1,0))</f>
        <v/>
      </c>
      <c r="BC1455" s="244">
        <f>IF(AND(BB1455=1,ISNUMBER('INPUT - Bookings'!$E1455),'INPUT - Bookings'!$E1455&gt;=Settings!$C$8,'INPUT - Bookings'!$E1455&lt;=Settings!$C$8+14,IFERROR(INDEX(Settings!$Q$14:$Q$24,MATCH('INPUT - Bookings'!$G1455,Settings!$P$14:$P$24,0)),"Yes")="Yes"),'INPUT - Bookings'!$E1455+ROW()/100000,"")</f>
        <v/>
      </c>
    </row>
    <row r="1456">
      <c r="BB1456" s="244">
        <f>IF('INPUT - Bookings'!$B1456="",0,IF(AND(OR(Dashboard!$D$9="All",TRIM('INPUT - Bookings'!$C1456)=Dashboard!$D$9),OR(Dashboard!$J$9="All",TRIM('INPUT - Bookings'!$D1456)=Dashboard!$J$9)),1,0))</f>
        <v/>
      </c>
      <c r="BC1456" s="244">
        <f>IF(AND(BB1456=1,ISNUMBER('INPUT - Bookings'!$E1456),'INPUT - Bookings'!$E1456&gt;=Settings!$C$8,'INPUT - Bookings'!$E1456&lt;=Settings!$C$8+14,IFERROR(INDEX(Settings!$Q$14:$Q$24,MATCH('INPUT - Bookings'!$G1456,Settings!$P$14:$P$24,0)),"Yes")="Yes"),'INPUT - Bookings'!$E1456+ROW()/100000,"")</f>
        <v/>
      </c>
    </row>
    <row r="1457">
      <c r="BB1457" s="244">
        <f>IF('INPUT - Bookings'!$B1457="",0,IF(AND(OR(Dashboard!$D$9="All",TRIM('INPUT - Bookings'!$C1457)=Dashboard!$D$9),OR(Dashboard!$J$9="All",TRIM('INPUT - Bookings'!$D1457)=Dashboard!$J$9)),1,0))</f>
        <v/>
      </c>
      <c r="BC1457" s="244">
        <f>IF(AND(BB1457=1,ISNUMBER('INPUT - Bookings'!$E1457),'INPUT - Bookings'!$E1457&gt;=Settings!$C$8,'INPUT - Bookings'!$E1457&lt;=Settings!$C$8+14,IFERROR(INDEX(Settings!$Q$14:$Q$24,MATCH('INPUT - Bookings'!$G1457,Settings!$P$14:$P$24,0)),"Yes")="Yes"),'INPUT - Bookings'!$E1457+ROW()/100000,"")</f>
        <v/>
      </c>
    </row>
    <row r="1458">
      <c r="BB1458" s="244">
        <f>IF('INPUT - Bookings'!$B1458="",0,IF(AND(OR(Dashboard!$D$9="All",TRIM('INPUT - Bookings'!$C1458)=Dashboard!$D$9),OR(Dashboard!$J$9="All",TRIM('INPUT - Bookings'!$D1458)=Dashboard!$J$9)),1,0))</f>
        <v/>
      </c>
      <c r="BC1458" s="244">
        <f>IF(AND(BB1458=1,ISNUMBER('INPUT - Bookings'!$E1458),'INPUT - Bookings'!$E1458&gt;=Settings!$C$8,'INPUT - Bookings'!$E1458&lt;=Settings!$C$8+14,IFERROR(INDEX(Settings!$Q$14:$Q$24,MATCH('INPUT - Bookings'!$G1458,Settings!$P$14:$P$24,0)),"Yes")="Yes"),'INPUT - Bookings'!$E1458+ROW()/100000,"")</f>
        <v/>
      </c>
    </row>
    <row r="1459">
      <c r="BB1459" s="244">
        <f>IF('INPUT - Bookings'!$B1459="",0,IF(AND(OR(Dashboard!$D$9="All",TRIM('INPUT - Bookings'!$C1459)=Dashboard!$D$9),OR(Dashboard!$J$9="All",TRIM('INPUT - Bookings'!$D1459)=Dashboard!$J$9)),1,0))</f>
        <v/>
      </c>
      <c r="BC1459" s="244">
        <f>IF(AND(BB1459=1,ISNUMBER('INPUT - Bookings'!$E1459),'INPUT - Bookings'!$E1459&gt;=Settings!$C$8,'INPUT - Bookings'!$E1459&lt;=Settings!$C$8+14,IFERROR(INDEX(Settings!$Q$14:$Q$24,MATCH('INPUT - Bookings'!$G1459,Settings!$P$14:$P$24,0)),"Yes")="Yes"),'INPUT - Bookings'!$E1459+ROW()/100000,"")</f>
        <v/>
      </c>
    </row>
    <row r="1460">
      <c r="BB1460" s="244">
        <f>IF('INPUT - Bookings'!$B1460="",0,IF(AND(OR(Dashboard!$D$9="All",TRIM('INPUT - Bookings'!$C1460)=Dashboard!$D$9),OR(Dashboard!$J$9="All",TRIM('INPUT - Bookings'!$D1460)=Dashboard!$J$9)),1,0))</f>
        <v/>
      </c>
      <c r="BC1460" s="244">
        <f>IF(AND(BB1460=1,ISNUMBER('INPUT - Bookings'!$E1460),'INPUT - Bookings'!$E1460&gt;=Settings!$C$8,'INPUT - Bookings'!$E1460&lt;=Settings!$C$8+14,IFERROR(INDEX(Settings!$Q$14:$Q$24,MATCH('INPUT - Bookings'!$G1460,Settings!$P$14:$P$24,0)),"Yes")="Yes"),'INPUT - Bookings'!$E1460+ROW()/100000,"")</f>
        <v/>
      </c>
    </row>
    <row r="1461">
      <c r="BB1461" s="244">
        <f>IF('INPUT - Bookings'!$B1461="",0,IF(AND(OR(Dashboard!$D$9="All",TRIM('INPUT - Bookings'!$C1461)=Dashboard!$D$9),OR(Dashboard!$J$9="All",TRIM('INPUT - Bookings'!$D1461)=Dashboard!$J$9)),1,0))</f>
        <v/>
      </c>
      <c r="BC1461" s="244">
        <f>IF(AND(BB1461=1,ISNUMBER('INPUT - Bookings'!$E1461),'INPUT - Bookings'!$E1461&gt;=Settings!$C$8,'INPUT - Bookings'!$E1461&lt;=Settings!$C$8+14,IFERROR(INDEX(Settings!$Q$14:$Q$24,MATCH('INPUT - Bookings'!$G1461,Settings!$P$14:$P$24,0)),"Yes")="Yes"),'INPUT - Bookings'!$E1461+ROW()/100000,"")</f>
        <v/>
      </c>
    </row>
    <row r="1462">
      <c r="BB1462" s="244">
        <f>IF('INPUT - Bookings'!$B1462="",0,IF(AND(OR(Dashboard!$D$9="All",TRIM('INPUT - Bookings'!$C1462)=Dashboard!$D$9),OR(Dashboard!$J$9="All",TRIM('INPUT - Bookings'!$D1462)=Dashboard!$J$9)),1,0))</f>
        <v/>
      </c>
      <c r="BC1462" s="244">
        <f>IF(AND(BB1462=1,ISNUMBER('INPUT - Bookings'!$E1462),'INPUT - Bookings'!$E1462&gt;=Settings!$C$8,'INPUT - Bookings'!$E1462&lt;=Settings!$C$8+14,IFERROR(INDEX(Settings!$Q$14:$Q$24,MATCH('INPUT - Bookings'!$G1462,Settings!$P$14:$P$24,0)),"Yes")="Yes"),'INPUT - Bookings'!$E1462+ROW()/100000,"")</f>
        <v/>
      </c>
    </row>
    <row r="1463">
      <c r="BB1463" s="244">
        <f>IF('INPUT - Bookings'!$B1463="",0,IF(AND(OR(Dashboard!$D$9="All",TRIM('INPUT - Bookings'!$C1463)=Dashboard!$D$9),OR(Dashboard!$J$9="All",TRIM('INPUT - Bookings'!$D1463)=Dashboard!$J$9)),1,0))</f>
        <v/>
      </c>
      <c r="BC1463" s="244">
        <f>IF(AND(BB1463=1,ISNUMBER('INPUT - Bookings'!$E1463),'INPUT - Bookings'!$E1463&gt;=Settings!$C$8,'INPUT - Bookings'!$E1463&lt;=Settings!$C$8+14,IFERROR(INDEX(Settings!$Q$14:$Q$24,MATCH('INPUT - Bookings'!$G1463,Settings!$P$14:$P$24,0)),"Yes")="Yes"),'INPUT - Bookings'!$E1463+ROW()/100000,"")</f>
        <v/>
      </c>
    </row>
    <row r="1464">
      <c r="BB1464" s="244">
        <f>IF('INPUT - Bookings'!$B1464="",0,IF(AND(OR(Dashboard!$D$9="All",TRIM('INPUT - Bookings'!$C1464)=Dashboard!$D$9),OR(Dashboard!$J$9="All",TRIM('INPUT - Bookings'!$D1464)=Dashboard!$J$9)),1,0))</f>
        <v/>
      </c>
      <c r="BC1464" s="244">
        <f>IF(AND(BB1464=1,ISNUMBER('INPUT - Bookings'!$E1464),'INPUT - Bookings'!$E1464&gt;=Settings!$C$8,'INPUT - Bookings'!$E1464&lt;=Settings!$C$8+14,IFERROR(INDEX(Settings!$Q$14:$Q$24,MATCH('INPUT - Bookings'!$G1464,Settings!$P$14:$P$24,0)),"Yes")="Yes"),'INPUT - Bookings'!$E1464+ROW()/100000,"")</f>
        <v/>
      </c>
    </row>
    <row r="1465">
      <c r="BB1465" s="244">
        <f>IF('INPUT - Bookings'!$B1465="",0,IF(AND(OR(Dashboard!$D$9="All",TRIM('INPUT - Bookings'!$C1465)=Dashboard!$D$9),OR(Dashboard!$J$9="All",TRIM('INPUT - Bookings'!$D1465)=Dashboard!$J$9)),1,0))</f>
        <v/>
      </c>
      <c r="BC1465" s="244">
        <f>IF(AND(BB1465=1,ISNUMBER('INPUT - Bookings'!$E1465),'INPUT - Bookings'!$E1465&gt;=Settings!$C$8,'INPUT - Bookings'!$E1465&lt;=Settings!$C$8+14,IFERROR(INDEX(Settings!$Q$14:$Q$24,MATCH('INPUT - Bookings'!$G1465,Settings!$P$14:$P$24,0)),"Yes")="Yes"),'INPUT - Bookings'!$E1465+ROW()/100000,"")</f>
        <v/>
      </c>
    </row>
    <row r="1466">
      <c r="BB1466" s="244">
        <f>IF('INPUT - Bookings'!$B1466="",0,IF(AND(OR(Dashboard!$D$9="All",TRIM('INPUT - Bookings'!$C1466)=Dashboard!$D$9),OR(Dashboard!$J$9="All",TRIM('INPUT - Bookings'!$D1466)=Dashboard!$J$9)),1,0))</f>
        <v/>
      </c>
      <c r="BC1466" s="244">
        <f>IF(AND(BB1466=1,ISNUMBER('INPUT - Bookings'!$E1466),'INPUT - Bookings'!$E1466&gt;=Settings!$C$8,'INPUT - Bookings'!$E1466&lt;=Settings!$C$8+14,IFERROR(INDEX(Settings!$Q$14:$Q$24,MATCH('INPUT - Bookings'!$G1466,Settings!$P$14:$P$24,0)),"Yes")="Yes"),'INPUT - Bookings'!$E1466+ROW()/100000,"")</f>
        <v/>
      </c>
    </row>
    <row r="1467">
      <c r="BB1467" s="244">
        <f>IF('INPUT - Bookings'!$B1467="",0,IF(AND(OR(Dashboard!$D$9="All",TRIM('INPUT - Bookings'!$C1467)=Dashboard!$D$9),OR(Dashboard!$J$9="All",TRIM('INPUT - Bookings'!$D1467)=Dashboard!$J$9)),1,0))</f>
        <v/>
      </c>
      <c r="BC1467" s="244">
        <f>IF(AND(BB1467=1,ISNUMBER('INPUT - Bookings'!$E1467),'INPUT - Bookings'!$E1467&gt;=Settings!$C$8,'INPUT - Bookings'!$E1467&lt;=Settings!$C$8+14,IFERROR(INDEX(Settings!$Q$14:$Q$24,MATCH('INPUT - Bookings'!$G1467,Settings!$P$14:$P$24,0)),"Yes")="Yes"),'INPUT - Bookings'!$E1467+ROW()/100000,"")</f>
        <v/>
      </c>
    </row>
    <row r="1468">
      <c r="BB1468" s="244">
        <f>IF('INPUT - Bookings'!$B1468="",0,IF(AND(OR(Dashboard!$D$9="All",TRIM('INPUT - Bookings'!$C1468)=Dashboard!$D$9),OR(Dashboard!$J$9="All",TRIM('INPUT - Bookings'!$D1468)=Dashboard!$J$9)),1,0))</f>
        <v/>
      </c>
      <c r="BC1468" s="244">
        <f>IF(AND(BB1468=1,ISNUMBER('INPUT - Bookings'!$E1468),'INPUT - Bookings'!$E1468&gt;=Settings!$C$8,'INPUT - Bookings'!$E1468&lt;=Settings!$C$8+14,IFERROR(INDEX(Settings!$Q$14:$Q$24,MATCH('INPUT - Bookings'!$G1468,Settings!$P$14:$P$24,0)),"Yes")="Yes"),'INPUT - Bookings'!$E1468+ROW()/100000,"")</f>
        <v/>
      </c>
    </row>
    <row r="1469">
      <c r="BB1469" s="244">
        <f>IF('INPUT - Bookings'!$B1469="",0,IF(AND(OR(Dashboard!$D$9="All",TRIM('INPUT - Bookings'!$C1469)=Dashboard!$D$9),OR(Dashboard!$J$9="All",TRIM('INPUT - Bookings'!$D1469)=Dashboard!$J$9)),1,0))</f>
        <v/>
      </c>
      <c r="BC1469" s="244">
        <f>IF(AND(BB1469=1,ISNUMBER('INPUT - Bookings'!$E1469),'INPUT - Bookings'!$E1469&gt;=Settings!$C$8,'INPUT - Bookings'!$E1469&lt;=Settings!$C$8+14,IFERROR(INDEX(Settings!$Q$14:$Q$24,MATCH('INPUT - Bookings'!$G1469,Settings!$P$14:$P$24,0)),"Yes")="Yes"),'INPUT - Bookings'!$E1469+ROW()/100000,"")</f>
        <v/>
      </c>
    </row>
    <row r="1470">
      <c r="BB1470" s="244">
        <f>IF('INPUT - Bookings'!$B1470="",0,IF(AND(OR(Dashboard!$D$9="All",TRIM('INPUT - Bookings'!$C1470)=Dashboard!$D$9),OR(Dashboard!$J$9="All",TRIM('INPUT - Bookings'!$D1470)=Dashboard!$J$9)),1,0))</f>
        <v/>
      </c>
      <c r="BC1470" s="244">
        <f>IF(AND(BB1470=1,ISNUMBER('INPUT - Bookings'!$E1470),'INPUT - Bookings'!$E1470&gt;=Settings!$C$8,'INPUT - Bookings'!$E1470&lt;=Settings!$C$8+14,IFERROR(INDEX(Settings!$Q$14:$Q$24,MATCH('INPUT - Bookings'!$G1470,Settings!$P$14:$P$24,0)),"Yes")="Yes"),'INPUT - Bookings'!$E1470+ROW()/100000,"")</f>
        <v/>
      </c>
    </row>
    <row r="1471">
      <c r="BB1471" s="244">
        <f>IF('INPUT - Bookings'!$B1471="",0,IF(AND(OR(Dashboard!$D$9="All",TRIM('INPUT - Bookings'!$C1471)=Dashboard!$D$9),OR(Dashboard!$J$9="All",TRIM('INPUT - Bookings'!$D1471)=Dashboard!$J$9)),1,0))</f>
        <v/>
      </c>
      <c r="BC1471" s="244">
        <f>IF(AND(BB1471=1,ISNUMBER('INPUT - Bookings'!$E1471),'INPUT - Bookings'!$E1471&gt;=Settings!$C$8,'INPUT - Bookings'!$E1471&lt;=Settings!$C$8+14,IFERROR(INDEX(Settings!$Q$14:$Q$24,MATCH('INPUT - Bookings'!$G1471,Settings!$P$14:$P$24,0)),"Yes")="Yes"),'INPUT - Bookings'!$E1471+ROW()/100000,"")</f>
        <v/>
      </c>
    </row>
    <row r="1472">
      <c r="BB1472" s="244">
        <f>IF('INPUT - Bookings'!$B1472="",0,IF(AND(OR(Dashboard!$D$9="All",TRIM('INPUT - Bookings'!$C1472)=Dashboard!$D$9),OR(Dashboard!$J$9="All",TRIM('INPUT - Bookings'!$D1472)=Dashboard!$J$9)),1,0))</f>
        <v/>
      </c>
      <c r="BC1472" s="244">
        <f>IF(AND(BB1472=1,ISNUMBER('INPUT - Bookings'!$E1472),'INPUT - Bookings'!$E1472&gt;=Settings!$C$8,'INPUT - Bookings'!$E1472&lt;=Settings!$C$8+14,IFERROR(INDEX(Settings!$Q$14:$Q$24,MATCH('INPUT - Bookings'!$G1472,Settings!$P$14:$P$24,0)),"Yes")="Yes"),'INPUT - Bookings'!$E1472+ROW()/100000,"")</f>
        <v/>
      </c>
    </row>
    <row r="1473">
      <c r="BB1473" s="244">
        <f>IF('INPUT - Bookings'!$B1473="",0,IF(AND(OR(Dashboard!$D$9="All",TRIM('INPUT - Bookings'!$C1473)=Dashboard!$D$9),OR(Dashboard!$J$9="All",TRIM('INPUT - Bookings'!$D1473)=Dashboard!$J$9)),1,0))</f>
        <v/>
      </c>
      <c r="BC1473" s="244">
        <f>IF(AND(BB1473=1,ISNUMBER('INPUT - Bookings'!$E1473),'INPUT - Bookings'!$E1473&gt;=Settings!$C$8,'INPUT - Bookings'!$E1473&lt;=Settings!$C$8+14,IFERROR(INDEX(Settings!$Q$14:$Q$24,MATCH('INPUT - Bookings'!$G1473,Settings!$P$14:$P$24,0)),"Yes")="Yes"),'INPUT - Bookings'!$E1473+ROW()/100000,"")</f>
        <v/>
      </c>
    </row>
    <row r="1474">
      <c r="BB1474" s="244">
        <f>IF('INPUT - Bookings'!$B1474="",0,IF(AND(OR(Dashboard!$D$9="All",TRIM('INPUT - Bookings'!$C1474)=Dashboard!$D$9),OR(Dashboard!$J$9="All",TRIM('INPUT - Bookings'!$D1474)=Dashboard!$J$9)),1,0))</f>
        <v/>
      </c>
      <c r="BC1474" s="244">
        <f>IF(AND(BB1474=1,ISNUMBER('INPUT - Bookings'!$E1474),'INPUT - Bookings'!$E1474&gt;=Settings!$C$8,'INPUT - Bookings'!$E1474&lt;=Settings!$C$8+14,IFERROR(INDEX(Settings!$Q$14:$Q$24,MATCH('INPUT - Bookings'!$G1474,Settings!$P$14:$P$24,0)),"Yes")="Yes"),'INPUT - Bookings'!$E1474+ROW()/100000,"")</f>
        <v/>
      </c>
    </row>
    <row r="1475">
      <c r="BB1475" s="244">
        <f>IF('INPUT - Bookings'!$B1475="",0,IF(AND(OR(Dashboard!$D$9="All",TRIM('INPUT - Bookings'!$C1475)=Dashboard!$D$9),OR(Dashboard!$J$9="All",TRIM('INPUT - Bookings'!$D1475)=Dashboard!$J$9)),1,0))</f>
        <v/>
      </c>
      <c r="BC1475" s="244">
        <f>IF(AND(BB1475=1,ISNUMBER('INPUT - Bookings'!$E1475),'INPUT - Bookings'!$E1475&gt;=Settings!$C$8,'INPUT - Bookings'!$E1475&lt;=Settings!$C$8+14,IFERROR(INDEX(Settings!$Q$14:$Q$24,MATCH('INPUT - Bookings'!$G1475,Settings!$P$14:$P$24,0)),"Yes")="Yes"),'INPUT - Bookings'!$E1475+ROW()/100000,"")</f>
        <v/>
      </c>
    </row>
    <row r="1476">
      <c r="BB1476" s="244">
        <f>IF('INPUT - Bookings'!$B1476="",0,IF(AND(OR(Dashboard!$D$9="All",TRIM('INPUT - Bookings'!$C1476)=Dashboard!$D$9),OR(Dashboard!$J$9="All",TRIM('INPUT - Bookings'!$D1476)=Dashboard!$J$9)),1,0))</f>
        <v/>
      </c>
      <c r="BC1476" s="244">
        <f>IF(AND(BB1476=1,ISNUMBER('INPUT - Bookings'!$E1476),'INPUT - Bookings'!$E1476&gt;=Settings!$C$8,'INPUT - Bookings'!$E1476&lt;=Settings!$C$8+14,IFERROR(INDEX(Settings!$Q$14:$Q$24,MATCH('INPUT - Bookings'!$G1476,Settings!$P$14:$P$24,0)),"Yes")="Yes"),'INPUT - Bookings'!$E1476+ROW()/100000,"")</f>
        <v/>
      </c>
    </row>
    <row r="1477">
      <c r="BB1477" s="244">
        <f>IF('INPUT - Bookings'!$B1477="",0,IF(AND(OR(Dashboard!$D$9="All",TRIM('INPUT - Bookings'!$C1477)=Dashboard!$D$9),OR(Dashboard!$J$9="All",TRIM('INPUT - Bookings'!$D1477)=Dashboard!$J$9)),1,0))</f>
        <v/>
      </c>
      <c r="BC1477" s="244">
        <f>IF(AND(BB1477=1,ISNUMBER('INPUT - Bookings'!$E1477),'INPUT - Bookings'!$E1477&gt;=Settings!$C$8,'INPUT - Bookings'!$E1477&lt;=Settings!$C$8+14,IFERROR(INDEX(Settings!$Q$14:$Q$24,MATCH('INPUT - Bookings'!$G1477,Settings!$P$14:$P$24,0)),"Yes")="Yes"),'INPUT - Bookings'!$E1477+ROW()/100000,"")</f>
        <v/>
      </c>
    </row>
    <row r="1478">
      <c r="BB1478" s="244">
        <f>IF('INPUT - Bookings'!$B1478="",0,IF(AND(OR(Dashboard!$D$9="All",TRIM('INPUT - Bookings'!$C1478)=Dashboard!$D$9),OR(Dashboard!$J$9="All",TRIM('INPUT - Bookings'!$D1478)=Dashboard!$J$9)),1,0))</f>
        <v/>
      </c>
      <c r="BC1478" s="244">
        <f>IF(AND(BB1478=1,ISNUMBER('INPUT - Bookings'!$E1478),'INPUT - Bookings'!$E1478&gt;=Settings!$C$8,'INPUT - Bookings'!$E1478&lt;=Settings!$C$8+14,IFERROR(INDEX(Settings!$Q$14:$Q$24,MATCH('INPUT - Bookings'!$G1478,Settings!$P$14:$P$24,0)),"Yes")="Yes"),'INPUT - Bookings'!$E1478+ROW()/100000,"")</f>
        <v/>
      </c>
    </row>
    <row r="1479">
      <c r="BB1479" s="244">
        <f>IF('INPUT - Bookings'!$B1479="",0,IF(AND(OR(Dashboard!$D$9="All",TRIM('INPUT - Bookings'!$C1479)=Dashboard!$D$9),OR(Dashboard!$J$9="All",TRIM('INPUT - Bookings'!$D1479)=Dashboard!$J$9)),1,0))</f>
        <v/>
      </c>
      <c r="BC1479" s="244">
        <f>IF(AND(BB1479=1,ISNUMBER('INPUT - Bookings'!$E1479),'INPUT - Bookings'!$E1479&gt;=Settings!$C$8,'INPUT - Bookings'!$E1479&lt;=Settings!$C$8+14,IFERROR(INDEX(Settings!$Q$14:$Q$24,MATCH('INPUT - Bookings'!$G1479,Settings!$P$14:$P$24,0)),"Yes")="Yes"),'INPUT - Bookings'!$E1479+ROW()/100000,"")</f>
        <v/>
      </c>
    </row>
    <row r="1480">
      <c r="BB1480" s="244">
        <f>IF('INPUT - Bookings'!$B1480="",0,IF(AND(OR(Dashboard!$D$9="All",TRIM('INPUT - Bookings'!$C1480)=Dashboard!$D$9),OR(Dashboard!$J$9="All",TRIM('INPUT - Bookings'!$D1480)=Dashboard!$J$9)),1,0))</f>
        <v/>
      </c>
      <c r="BC1480" s="244">
        <f>IF(AND(BB1480=1,ISNUMBER('INPUT - Bookings'!$E1480),'INPUT - Bookings'!$E1480&gt;=Settings!$C$8,'INPUT - Bookings'!$E1480&lt;=Settings!$C$8+14,IFERROR(INDEX(Settings!$Q$14:$Q$24,MATCH('INPUT - Bookings'!$G1480,Settings!$P$14:$P$24,0)),"Yes")="Yes"),'INPUT - Bookings'!$E1480+ROW()/100000,"")</f>
        <v/>
      </c>
    </row>
    <row r="1481">
      <c r="BB1481" s="244">
        <f>IF('INPUT - Bookings'!$B1481="",0,IF(AND(OR(Dashboard!$D$9="All",TRIM('INPUT - Bookings'!$C1481)=Dashboard!$D$9),OR(Dashboard!$J$9="All",TRIM('INPUT - Bookings'!$D1481)=Dashboard!$J$9)),1,0))</f>
        <v/>
      </c>
      <c r="BC1481" s="244">
        <f>IF(AND(BB1481=1,ISNUMBER('INPUT - Bookings'!$E1481),'INPUT - Bookings'!$E1481&gt;=Settings!$C$8,'INPUT - Bookings'!$E1481&lt;=Settings!$C$8+14,IFERROR(INDEX(Settings!$Q$14:$Q$24,MATCH('INPUT - Bookings'!$G1481,Settings!$P$14:$P$24,0)),"Yes")="Yes"),'INPUT - Bookings'!$E1481+ROW()/100000,"")</f>
        <v/>
      </c>
    </row>
    <row r="1482">
      <c r="BB1482" s="244">
        <f>IF('INPUT - Bookings'!$B1482="",0,IF(AND(OR(Dashboard!$D$9="All",TRIM('INPUT - Bookings'!$C1482)=Dashboard!$D$9),OR(Dashboard!$J$9="All",TRIM('INPUT - Bookings'!$D1482)=Dashboard!$J$9)),1,0))</f>
        <v/>
      </c>
      <c r="BC1482" s="244">
        <f>IF(AND(BB1482=1,ISNUMBER('INPUT - Bookings'!$E1482),'INPUT - Bookings'!$E1482&gt;=Settings!$C$8,'INPUT - Bookings'!$E1482&lt;=Settings!$C$8+14,IFERROR(INDEX(Settings!$Q$14:$Q$24,MATCH('INPUT - Bookings'!$G1482,Settings!$P$14:$P$24,0)),"Yes")="Yes"),'INPUT - Bookings'!$E1482+ROW()/100000,"")</f>
        <v/>
      </c>
    </row>
    <row r="1483">
      <c r="BB1483" s="244">
        <f>IF('INPUT - Bookings'!$B1483="",0,IF(AND(OR(Dashboard!$D$9="All",TRIM('INPUT - Bookings'!$C1483)=Dashboard!$D$9),OR(Dashboard!$J$9="All",TRIM('INPUT - Bookings'!$D1483)=Dashboard!$J$9)),1,0))</f>
        <v/>
      </c>
      <c r="BC1483" s="244">
        <f>IF(AND(BB1483=1,ISNUMBER('INPUT - Bookings'!$E1483),'INPUT - Bookings'!$E1483&gt;=Settings!$C$8,'INPUT - Bookings'!$E1483&lt;=Settings!$C$8+14,IFERROR(INDEX(Settings!$Q$14:$Q$24,MATCH('INPUT - Bookings'!$G1483,Settings!$P$14:$P$24,0)),"Yes")="Yes"),'INPUT - Bookings'!$E1483+ROW()/100000,"")</f>
        <v/>
      </c>
    </row>
    <row r="1484">
      <c r="BB1484" s="244">
        <f>IF('INPUT - Bookings'!$B1484="",0,IF(AND(OR(Dashboard!$D$9="All",TRIM('INPUT - Bookings'!$C1484)=Dashboard!$D$9),OR(Dashboard!$J$9="All",TRIM('INPUT - Bookings'!$D1484)=Dashboard!$J$9)),1,0))</f>
        <v/>
      </c>
      <c r="BC1484" s="244">
        <f>IF(AND(BB1484=1,ISNUMBER('INPUT - Bookings'!$E1484),'INPUT - Bookings'!$E1484&gt;=Settings!$C$8,'INPUT - Bookings'!$E1484&lt;=Settings!$C$8+14,IFERROR(INDEX(Settings!$Q$14:$Q$24,MATCH('INPUT - Bookings'!$G1484,Settings!$P$14:$P$24,0)),"Yes")="Yes"),'INPUT - Bookings'!$E1484+ROW()/100000,"")</f>
        <v/>
      </c>
    </row>
    <row r="1485">
      <c r="BB1485" s="244">
        <f>IF('INPUT - Bookings'!$B1485="",0,IF(AND(OR(Dashboard!$D$9="All",TRIM('INPUT - Bookings'!$C1485)=Dashboard!$D$9),OR(Dashboard!$J$9="All",TRIM('INPUT - Bookings'!$D1485)=Dashboard!$J$9)),1,0))</f>
        <v/>
      </c>
      <c r="BC1485" s="244">
        <f>IF(AND(BB1485=1,ISNUMBER('INPUT - Bookings'!$E1485),'INPUT - Bookings'!$E1485&gt;=Settings!$C$8,'INPUT - Bookings'!$E1485&lt;=Settings!$C$8+14,IFERROR(INDEX(Settings!$Q$14:$Q$24,MATCH('INPUT - Bookings'!$G1485,Settings!$P$14:$P$24,0)),"Yes")="Yes"),'INPUT - Bookings'!$E1485+ROW()/100000,"")</f>
        <v/>
      </c>
    </row>
    <row r="1486">
      <c r="BB1486" s="244">
        <f>IF('INPUT - Bookings'!$B1486="",0,IF(AND(OR(Dashboard!$D$9="All",TRIM('INPUT - Bookings'!$C1486)=Dashboard!$D$9),OR(Dashboard!$J$9="All",TRIM('INPUT - Bookings'!$D1486)=Dashboard!$J$9)),1,0))</f>
        <v/>
      </c>
      <c r="BC1486" s="244">
        <f>IF(AND(BB1486=1,ISNUMBER('INPUT - Bookings'!$E1486),'INPUT - Bookings'!$E1486&gt;=Settings!$C$8,'INPUT - Bookings'!$E1486&lt;=Settings!$C$8+14,IFERROR(INDEX(Settings!$Q$14:$Q$24,MATCH('INPUT - Bookings'!$G1486,Settings!$P$14:$P$24,0)),"Yes")="Yes"),'INPUT - Bookings'!$E1486+ROW()/100000,"")</f>
        <v/>
      </c>
    </row>
    <row r="1487">
      <c r="BB1487" s="244">
        <f>IF('INPUT - Bookings'!$B1487="",0,IF(AND(OR(Dashboard!$D$9="All",TRIM('INPUT - Bookings'!$C1487)=Dashboard!$D$9),OR(Dashboard!$J$9="All",TRIM('INPUT - Bookings'!$D1487)=Dashboard!$J$9)),1,0))</f>
        <v/>
      </c>
      <c r="BC1487" s="244">
        <f>IF(AND(BB1487=1,ISNUMBER('INPUT - Bookings'!$E1487),'INPUT - Bookings'!$E1487&gt;=Settings!$C$8,'INPUT - Bookings'!$E1487&lt;=Settings!$C$8+14,IFERROR(INDEX(Settings!$Q$14:$Q$24,MATCH('INPUT - Bookings'!$G1487,Settings!$P$14:$P$24,0)),"Yes")="Yes"),'INPUT - Bookings'!$E1487+ROW()/100000,"")</f>
        <v/>
      </c>
    </row>
    <row r="1488">
      <c r="BB1488" s="244">
        <f>IF('INPUT - Bookings'!$B1488="",0,IF(AND(OR(Dashboard!$D$9="All",TRIM('INPUT - Bookings'!$C1488)=Dashboard!$D$9),OR(Dashboard!$J$9="All",TRIM('INPUT - Bookings'!$D1488)=Dashboard!$J$9)),1,0))</f>
        <v/>
      </c>
      <c r="BC1488" s="244">
        <f>IF(AND(BB1488=1,ISNUMBER('INPUT - Bookings'!$E1488),'INPUT - Bookings'!$E1488&gt;=Settings!$C$8,'INPUT - Bookings'!$E1488&lt;=Settings!$C$8+14,IFERROR(INDEX(Settings!$Q$14:$Q$24,MATCH('INPUT - Bookings'!$G1488,Settings!$P$14:$P$24,0)),"Yes")="Yes"),'INPUT - Bookings'!$E1488+ROW()/100000,"")</f>
        <v/>
      </c>
    </row>
    <row r="1489">
      <c r="BB1489" s="244">
        <f>IF('INPUT - Bookings'!$B1489="",0,IF(AND(OR(Dashboard!$D$9="All",TRIM('INPUT - Bookings'!$C1489)=Dashboard!$D$9),OR(Dashboard!$J$9="All",TRIM('INPUT - Bookings'!$D1489)=Dashboard!$J$9)),1,0))</f>
        <v/>
      </c>
      <c r="BC1489" s="244">
        <f>IF(AND(BB1489=1,ISNUMBER('INPUT - Bookings'!$E1489),'INPUT - Bookings'!$E1489&gt;=Settings!$C$8,'INPUT - Bookings'!$E1489&lt;=Settings!$C$8+14,IFERROR(INDEX(Settings!$Q$14:$Q$24,MATCH('INPUT - Bookings'!$G1489,Settings!$P$14:$P$24,0)),"Yes")="Yes"),'INPUT - Bookings'!$E1489+ROW()/100000,"")</f>
        <v/>
      </c>
    </row>
    <row r="1490">
      <c r="BB1490" s="244">
        <f>IF('INPUT - Bookings'!$B1490="",0,IF(AND(OR(Dashboard!$D$9="All",TRIM('INPUT - Bookings'!$C1490)=Dashboard!$D$9),OR(Dashboard!$J$9="All",TRIM('INPUT - Bookings'!$D1490)=Dashboard!$J$9)),1,0))</f>
        <v/>
      </c>
      <c r="BC1490" s="244">
        <f>IF(AND(BB1490=1,ISNUMBER('INPUT - Bookings'!$E1490),'INPUT - Bookings'!$E1490&gt;=Settings!$C$8,'INPUT - Bookings'!$E1490&lt;=Settings!$C$8+14,IFERROR(INDEX(Settings!$Q$14:$Q$24,MATCH('INPUT - Bookings'!$G1490,Settings!$P$14:$P$24,0)),"Yes")="Yes"),'INPUT - Bookings'!$E1490+ROW()/100000,"")</f>
        <v/>
      </c>
    </row>
    <row r="1491">
      <c r="BB1491" s="244">
        <f>IF('INPUT - Bookings'!$B1491="",0,IF(AND(OR(Dashboard!$D$9="All",TRIM('INPUT - Bookings'!$C1491)=Dashboard!$D$9),OR(Dashboard!$J$9="All",TRIM('INPUT - Bookings'!$D1491)=Dashboard!$J$9)),1,0))</f>
        <v/>
      </c>
      <c r="BC1491" s="244">
        <f>IF(AND(BB1491=1,ISNUMBER('INPUT - Bookings'!$E1491),'INPUT - Bookings'!$E1491&gt;=Settings!$C$8,'INPUT - Bookings'!$E1491&lt;=Settings!$C$8+14,IFERROR(INDEX(Settings!$Q$14:$Q$24,MATCH('INPUT - Bookings'!$G1491,Settings!$P$14:$P$24,0)),"Yes")="Yes"),'INPUT - Bookings'!$E1491+ROW()/100000,"")</f>
        <v/>
      </c>
    </row>
    <row r="1492">
      <c r="BB1492" s="244">
        <f>IF('INPUT - Bookings'!$B1492="",0,IF(AND(OR(Dashboard!$D$9="All",TRIM('INPUT - Bookings'!$C1492)=Dashboard!$D$9),OR(Dashboard!$J$9="All",TRIM('INPUT - Bookings'!$D1492)=Dashboard!$J$9)),1,0))</f>
        <v/>
      </c>
      <c r="BC1492" s="244">
        <f>IF(AND(BB1492=1,ISNUMBER('INPUT - Bookings'!$E1492),'INPUT - Bookings'!$E1492&gt;=Settings!$C$8,'INPUT - Bookings'!$E1492&lt;=Settings!$C$8+14,IFERROR(INDEX(Settings!$Q$14:$Q$24,MATCH('INPUT - Bookings'!$G1492,Settings!$P$14:$P$24,0)),"Yes")="Yes"),'INPUT - Bookings'!$E1492+ROW()/100000,"")</f>
        <v/>
      </c>
    </row>
    <row r="1493">
      <c r="BB1493" s="244">
        <f>IF('INPUT - Bookings'!$B1493="",0,IF(AND(OR(Dashboard!$D$9="All",TRIM('INPUT - Bookings'!$C1493)=Dashboard!$D$9),OR(Dashboard!$J$9="All",TRIM('INPUT - Bookings'!$D1493)=Dashboard!$J$9)),1,0))</f>
        <v/>
      </c>
      <c r="BC1493" s="244">
        <f>IF(AND(BB1493=1,ISNUMBER('INPUT - Bookings'!$E1493),'INPUT - Bookings'!$E1493&gt;=Settings!$C$8,'INPUT - Bookings'!$E1493&lt;=Settings!$C$8+14,IFERROR(INDEX(Settings!$Q$14:$Q$24,MATCH('INPUT - Bookings'!$G1493,Settings!$P$14:$P$24,0)),"Yes")="Yes"),'INPUT - Bookings'!$E1493+ROW()/100000,"")</f>
        <v/>
      </c>
    </row>
    <row r="1494">
      <c r="BB1494" s="244">
        <f>IF('INPUT - Bookings'!$B1494="",0,IF(AND(OR(Dashboard!$D$9="All",TRIM('INPUT - Bookings'!$C1494)=Dashboard!$D$9),OR(Dashboard!$J$9="All",TRIM('INPUT - Bookings'!$D1494)=Dashboard!$J$9)),1,0))</f>
        <v/>
      </c>
      <c r="BC1494" s="244">
        <f>IF(AND(BB1494=1,ISNUMBER('INPUT - Bookings'!$E1494),'INPUT - Bookings'!$E1494&gt;=Settings!$C$8,'INPUT - Bookings'!$E1494&lt;=Settings!$C$8+14,IFERROR(INDEX(Settings!$Q$14:$Q$24,MATCH('INPUT - Bookings'!$G1494,Settings!$P$14:$P$24,0)),"Yes")="Yes"),'INPUT - Bookings'!$E1494+ROW()/100000,"")</f>
        <v/>
      </c>
    </row>
    <row r="1495">
      <c r="BB1495" s="244">
        <f>IF('INPUT - Bookings'!$B1495="",0,IF(AND(OR(Dashboard!$D$9="All",TRIM('INPUT - Bookings'!$C1495)=Dashboard!$D$9),OR(Dashboard!$J$9="All",TRIM('INPUT - Bookings'!$D1495)=Dashboard!$J$9)),1,0))</f>
        <v/>
      </c>
      <c r="BC1495" s="244">
        <f>IF(AND(BB1495=1,ISNUMBER('INPUT - Bookings'!$E1495),'INPUT - Bookings'!$E1495&gt;=Settings!$C$8,'INPUT - Bookings'!$E1495&lt;=Settings!$C$8+14,IFERROR(INDEX(Settings!$Q$14:$Q$24,MATCH('INPUT - Bookings'!$G1495,Settings!$P$14:$P$24,0)),"Yes")="Yes"),'INPUT - Bookings'!$E1495+ROW()/100000,"")</f>
        <v/>
      </c>
    </row>
    <row r="1496">
      <c r="BB1496" s="244">
        <f>IF('INPUT - Bookings'!$B1496="",0,IF(AND(OR(Dashboard!$D$9="All",TRIM('INPUT - Bookings'!$C1496)=Dashboard!$D$9),OR(Dashboard!$J$9="All",TRIM('INPUT - Bookings'!$D1496)=Dashboard!$J$9)),1,0))</f>
        <v/>
      </c>
      <c r="BC1496" s="244">
        <f>IF(AND(BB1496=1,ISNUMBER('INPUT - Bookings'!$E1496),'INPUT - Bookings'!$E1496&gt;=Settings!$C$8,'INPUT - Bookings'!$E1496&lt;=Settings!$C$8+14,IFERROR(INDEX(Settings!$Q$14:$Q$24,MATCH('INPUT - Bookings'!$G1496,Settings!$P$14:$P$24,0)),"Yes")="Yes"),'INPUT - Bookings'!$E1496+ROW()/100000,"")</f>
        <v/>
      </c>
    </row>
    <row r="1497">
      <c r="BB1497" s="244">
        <f>IF('INPUT - Bookings'!$B1497="",0,IF(AND(OR(Dashboard!$D$9="All",TRIM('INPUT - Bookings'!$C1497)=Dashboard!$D$9),OR(Dashboard!$J$9="All",TRIM('INPUT - Bookings'!$D1497)=Dashboard!$J$9)),1,0))</f>
        <v/>
      </c>
      <c r="BC1497" s="244">
        <f>IF(AND(BB1497=1,ISNUMBER('INPUT - Bookings'!$E1497),'INPUT - Bookings'!$E1497&gt;=Settings!$C$8,'INPUT - Bookings'!$E1497&lt;=Settings!$C$8+14,IFERROR(INDEX(Settings!$Q$14:$Q$24,MATCH('INPUT - Bookings'!$G1497,Settings!$P$14:$P$24,0)),"Yes")="Yes"),'INPUT - Bookings'!$E1497+ROW()/100000,"")</f>
        <v/>
      </c>
    </row>
    <row r="1498">
      <c r="BB1498" s="244">
        <f>IF('INPUT - Bookings'!$B1498="",0,IF(AND(OR(Dashboard!$D$9="All",TRIM('INPUT - Bookings'!$C1498)=Dashboard!$D$9),OR(Dashboard!$J$9="All",TRIM('INPUT - Bookings'!$D1498)=Dashboard!$J$9)),1,0))</f>
        <v/>
      </c>
      <c r="BC1498" s="244">
        <f>IF(AND(BB1498=1,ISNUMBER('INPUT - Bookings'!$E1498),'INPUT - Bookings'!$E1498&gt;=Settings!$C$8,'INPUT - Bookings'!$E1498&lt;=Settings!$C$8+14,IFERROR(INDEX(Settings!$Q$14:$Q$24,MATCH('INPUT - Bookings'!$G1498,Settings!$P$14:$P$24,0)),"Yes")="Yes"),'INPUT - Bookings'!$E1498+ROW()/100000,"")</f>
        <v/>
      </c>
    </row>
    <row r="1499">
      <c r="BB1499" s="244">
        <f>IF('INPUT - Bookings'!$B1499="",0,IF(AND(OR(Dashboard!$D$9="All",TRIM('INPUT - Bookings'!$C1499)=Dashboard!$D$9),OR(Dashboard!$J$9="All",TRIM('INPUT - Bookings'!$D1499)=Dashboard!$J$9)),1,0))</f>
        <v/>
      </c>
      <c r="BC1499" s="244">
        <f>IF(AND(BB1499=1,ISNUMBER('INPUT - Bookings'!$E1499),'INPUT - Bookings'!$E1499&gt;=Settings!$C$8,'INPUT - Bookings'!$E1499&lt;=Settings!$C$8+14,IFERROR(INDEX(Settings!$Q$14:$Q$24,MATCH('INPUT - Bookings'!$G1499,Settings!$P$14:$P$24,0)),"Yes")="Yes"),'INPUT - Bookings'!$E1499+ROW()/100000,"")</f>
        <v/>
      </c>
    </row>
    <row r="1500">
      <c r="BB1500" s="244">
        <f>IF('INPUT - Bookings'!$B1500="",0,IF(AND(OR(Dashboard!$D$9="All",TRIM('INPUT - Bookings'!$C1500)=Dashboard!$D$9),OR(Dashboard!$J$9="All",TRIM('INPUT - Bookings'!$D1500)=Dashboard!$J$9)),1,0))</f>
        <v/>
      </c>
      <c r="BC1500" s="244">
        <f>IF(AND(BB1500=1,ISNUMBER('INPUT - Bookings'!$E1500),'INPUT - Bookings'!$E1500&gt;=Settings!$C$8,'INPUT - Bookings'!$E1500&lt;=Settings!$C$8+14,IFERROR(INDEX(Settings!$Q$14:$Q$24,MATCH('INPUT - Bookings'!$G1500,Settings!$P$14:$P$24,0)),"Yes")="Yes"),'INPUT - Bookings'!$E1500+ROW()/100000,"")</f>
        <v/>
      </c>
    </row>
    <row r="1501">
      <c r="BB1501" s="244">
        <f>IF('INPUT - Bookings'!$B1501="",0,IF(AND(OR(Dashboard!$D$9="All",TRIM('INPUT - Bookings'!$C1501)=Dashboard!$D$9),OR(Dashboard!$J$9="All",TRIM('INPUT - Bookings'!$D1501)=Dashboard!$J$9)),1,0))</f>
        <v/>
      </c>
      <c r="BC1501" s="244">
        <f>IF(AND(BB1501=1,ISNUMBER('INPUT - Bookings'!$E1501),'INPUT - Bookings'!$E1501&gt;=Settings!$C$8,'INPUT - Bookings'!$E1501&lt;=Settings!$C$8+14,IFERROR(INDEX(Settings!$Q$14:$Q$24,MATCH('INPUT - Bookings'!$G1501,Settings!$P$14:$P$24,0)),"Yes")="Yes"),'INPUT - Bookings'!$E1501+ROW()/100000,"")</f>
        <v/>
      </c>
    </row>
    <row r="1502">
      <c r="BB1502" s="244">
        <f>IF('INPUT - Bookings'!$B1502="",0,IF(AND(OR(Dashboard!$D$9="All",TRIM('INPUT - Bookings'!$C1502)=Dashboard!$D$9),OR(Dashboard!$J$9="All",TRIM('INPUT - Bookings'!$D1502)=Dashboard!$J$9)),1,0))</f>
        <v/>
      </c>
      <c r="BC1502" s="244">
        <f>IF(AND(BB1502=1,ISNUMBER('INPUT - Bookings'!$E1502),'INPUT - Bookings'!$E1502&gt;=Settings!$C$8,'INPUT - Bookings'!$E1502&lt;=Settings!$C$8+14,IFERROR(INDEX(Settings!$Q$14:$Q$24,MATCH('INPUT - Bookings'!$G1502,Settings!$P$14:$P$24,0)),"Yes")="Yes"),'INPUT - Bookings'!$E1502+ROW()/100000,"")</f>
        <v/>
      </c>
    </row>
    <row r="1503">
      <c r="BB1503" s="244">
        <f>IF('INPUT - Bookings'!$B1503="",0,IF(AND(OR(Dashboard!$D$9="All",TRIM('INPUT - Bookings'!$C1503)=Dashboard!$D$9),OR(Dashboard!$J$9="All",TRIM('INPUT - Bookings'!$D1503)=Dashboard!$J$9)),1,0))</f>
        <v/>
      </c>
      <c r="BC1503" s="244">
        <f>IF(AND(BB1503=1,ISNUMBER('INPUT - Bookings'!$E1503),'INPUT - Bookings'!$E1503&gt;=Settings!$C$8,'INPUT - Bookings'!$E1503&lt;=Settings!$C$8+14,IFERROR(INDEX(Settings!$Q$14:$Q$24,MATCH('INPUT - Bookings'!$G1503,Settings!$P$14:$P$24,0)),"Yes")="Yes"),'INPUT - Bookings'!$E1503+ROW()/100000,"")</f>
        <v/>
      </c>
    </row>
    <row r="1504">
      <c r="BB1504" s="244">
        <f>IF('INPUT - Bookings'!$B1504="",0,IF(AND(OR(Dashboard!$D$9="All",TRIM('INPUT - Bookings'!$C1504)=Dashboard!$D$9),OR(Dashboard!$J$9="All",TRIM('INPUT - Bookings'!$D1504)=Dashboard!$J$9)),1,0))</f>
        <v/>
      </c>
      <c r="BC1504" s="244">
        <f>IF(AND(BB1504=1,ISNUMBER('INPUT - Bookings'!$E1504),'INPUT - Bookings'!$E1504&gt;=Settings!$C$8,'INPUT - Bookings'!$E1504&lt;=Settings!$C$8+14,IFERROR(INDEX(Settings!$Q$14:$Q$24,MATCH('INPUT - Bookings'!$G1504,Settings!$P$14:$P$24,0)),"Yes")="Yes"),'INPUT - Bookings'!$E1504+ROW()/100000,"")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/>
  </sheetPr>
  <dimension ref="A1:CM152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Roster row</t>
        </is>
      </c>
      <c r="D1" t="inlineStr">
        <is>
          <t>Next travel day #</t>
        </is>
      </c>
      <c r="F1" t="inlineStr">
        <is>
          <t>TEXT -&gt;</t>
        </is>
      </c>
      <c r="AI1" t="inlineStr">
        <is>
          <t>STATUS -&gt;</t>
        </is>
      </c>
      <c r="BL1" t="inlineStr">
        <is>
          <t>CAMP -&gt;</t>
        </is>
      </c>
    </row>
    <row r="2">
      <c r="F2" s="245">
        <f>IFERROR(INDEX('INPUT - Roster'!$S$4:$SV$4,Settings!$C$9+0),"")</f>
        <v/>
      </c>
      <c r="G2" s="245">
        <f>IFERROR(INDEX('INPUT - Roster'!$S$4:$SV$4,Settings!$C$9+1),"")</f>
        <v/>
      </c>
      <c r="H2" s="245">
        <f>IFERROR(INDEX('INPUT - Roster'!$S$4:$SV$4,Settings!$C$9+2),"")</f>
        <v/>
      </c>
      <c r="I2" s="245">
        <f>IFERROR(INDEX('INPUT - Roster'!$S$4:$SV$4,Settings!$C$9+3),"")</f>
        <v/>
      </c>
      <c r="J2" s="245">
        <f>IFERROR(INDEX('INPUT - Roster'!$S$4:$SV$4,Settings!$C$9+4),"")</f>
        <v/>
      </c>
      <c r="K2" s="245">
        <f>IFERROR(INDEX('INPUT - Roster'!$S$4:$SV$4,Settings!$C$9+5),"")</f>
        <v/>
      </c>
      <c r="L2" s="245">
        <f>IFERROR(INDEX('INPUT - Roster'!$S$4:$SV$4,Settings!$C$9+6),"")</f>
        <v/>
      </c>
      <c r="M2" s="245">
        <f>IFERROR(INDEX('INPUT - Roster'!$S$4:$SV$4,Settings!$C$9+7),"")</f>
        <v/>
      </c>
      <c r="N2" s="245">
        <f>IFERROR(INDEX('INPUT - Roster'!$S$4:$SV$4,Settings!$C$9+8),"")</f>
        <v/>
      </c>
      <c r="O2" s="245">
        <f>IFERROR(INDEX('INPUT - Roster'!$S$4:$SV$4,Settings!$C$9+9),"")</f>
        <v/>
      </c>
      <c r="P2" s="245">
        <f>IFERROR(INDEX('INPUT - Roster'!$S$4:$SV$4,Settings!$C$9+10),"")</f>
        <v/>
      </c>
      <c r="Q2" s="245">
        <f>IFERROR(INDEX('INPUT - Roster'!$S$4:$SV$4,Settings!$C$9+11),"")</f>
        <v/>
      </c>
      <c r="R2" s="245">
        <f>IFERROR(INDEX('INPUT - Roster'!$S$4:$SV$4,Settings!$C$9+12),"")</f>
        <v/>
      </c>
      <c r="S2" s="245">
        <f>IFERROR(INDEX('INPUT - Roster'!$S$4:$SV$4,Settings!$C$9+13),"")</f>
        <v/>
      </c>
      <c r="T2" s="245">
        <f>IFERROR(INDEX('INPUT - Roster'!$S$4:$SV$4,Settings!$C$9+14),"")</f>
        <v/>
      </c>
      <c r="U2" s="245">
        <f>IFERROR(INDEX('INPUT - Roster'!$S$4:$SV$4,Settings!$C$9+15),"")</f>
        <v/>
      </c>
      <c r="V2" s="245">
        <f>IFERROR(INDEX('INPUT - Roster'!$S$4:$SV$4,Settings!$C$9+16),"")</f>
        <v/>
      </c>
      <c r="W2" s="245">
        <f>IFERROR(INDEX('INPUT - Roster'!$S$4:$SV$4,Settings!$C$9+17),"")</f>
        <v/>
      </c>
      <c r="X2" s="245">
        <f>IFERROR(INDEX('INPUT - Roster'!$S$4:$SV$4,Settings!$C$9+18),"")</f>
        <v/>
      </c>
      <c r="Y2" s="245">
        <f>IFERROR(INDEX('INPUT - Roster'!$S$4:$SV$4,Settings!$C$9+19),"")</f>
        <v/>
      </c>
      <c r="Z2" s="245">
        <f>IFERROR(INDEX('INPUT - Roster'!$S$4:$SV$4,Settings!$C$9+20),"")</f>
        <v/>
      </c>
      <c r="AA2" s="245">
        <f>IFERROR(INDEX('INPUT - Roster'!$S$4:$SV$4,Settings!$C$9+21),"")</f>
        <v/>
      </c>
      <c r="AB2" s="245">
        <f>IFERROR(INDEX('INPUT - Roster'!$S$4:$SV$4,Settings!$C$9+22),"")</f>
        <v/>
      </c>
      <c r="AC2" s="245">
        <f>IFERROR(INDEX('INPUT - Roster'!$S$4:$SV$4,Settings!$C$9+23),"")</f>
        <v/>
      </c>
      <c r="AD2" s="245">
        <f>IFERROR(INDEX('INPUT - Roster'!$S$4:$SV$4,Settings!$C$9+24),"")</f>
        <v/>
      </c>
      <c r="AE2" s="245">
        <f>IFERROR(INDEX('INPUT - Roster'!$S$4:$SV$4,Settings!$C$9+25),"")</f>
        <v/>
      </c>
      <c r="AF2" s="245">
        <f>IFERROR(INDEX('INPUT - Roster'!$S$4:$SV$4,Settings!$C$9+26),"")</f>
        <v/>
      </c>
      <c r="AG2" s="245">
        <f>IFERROR(INDEX('INPUT - Roster'!$S$4:$SV$4,Settings!$C$9+27),"")</f>
        <v/>
      </c>
      <c r="AI2" s="245">
        <f>IFERROR(INDEX('INPUT - Roster'!$S$4:$SV$4,Settings!$C$9+0),"")</f>
        <v/>
      </c>
      <c r="AJ2" s="245">
        <f>IFERROR(INDEX('INPUT - Roster'!$S$4:$SV$4,Settings!$C$9+1),"")</f>
        <v/>
      </c>
      <c r="AK2" s="245">
        <f>IFERROR(INDEX('INPUT - Roster'!$S$4:$SV$4,Settings!$C$9+2),"")</f>
        <v/>
      </c>
      <c r="AL2" s="245">
        <f>IFERROR(INDEX('INPUT - Roster'!$S$4:$SV$4,Settings!$C$9+3),"")</f>
        <v/>
      </c>
      <c r="AM2" s="245">
        <f>IFERROR(INDEX('INPUT - Roster'!$S$4:$SV$4,Settings!$C$9+4),"")</f>
        <v/>
      </c>
      <c r="AN2" s="245">
        <f>IFERROR(INDEX('INPUT - Roster'!$S$4:$SV$4,Settings!$C$9+5),"")</f>
        <v/>
      </c>
      <c r="AO2" s="245">
        <f>IFERROR(INDEX('INPUT - Roster'!$S$4:$SV$4,Settings!$C$9+6),"")</f>
        <v/>
      </c>
      <c r="AP2" s="245">
        <f>IFERROR(INDEX('INPUT - Roster'!$S$4:$SV$4,Settings!$C$9+7),"")</f>
        <v/>
      </c>
      <c r="AQ2" s="245">
        <f>IFERROR(INDEX('INPUT - Roster'!$S$4:$SV$4,Settings!$C$9+8),"")</f>
        <v/>
      </c>
      <c r="AR2" s="245">
        <f>IFERROR(INDEX('INPUT - Roster'!$S$4:$SV$4,Settings!$C$9+9),"")</f>
        <v/>
      </c>
      <c r="AS2" s="245">
        <f>IFERROR(INDEX('INPUT - Roster'!$S$4:$SV$4,Settings!$C$9+10),"")</f>
        <v/>
      </c>
      <c r="AT2" s="245">
        <f>IFERROR(INDEX('INPUT - Roster'!$S$4:$SV$4,Settings!$C$9+11),"")</f>
        <v/>
      </c>
      <c r="AU2" s="245">
        <f>IFERROR(INDEX('INPUT - Roster'!$S$4:$SV$4,Settings!$C$9+12),"")</f>
        <v/>
      </c>
      <c r="AV2" s="245">
        <f>IFERROR(INDEX('INPUT - Roster'!$S$4:$SV$4,Settings!$C$9+13),"")</f>
        <v/>
      </c>
      <c r="AW2" s="245">
        <f>IFERROR(INDEX('INPUT - Roster'!$S$4:$SV$4,Settings!$C$9+14),"")</f>
        <v/>
      </c>
      <c r="AX2" s="245">
        <f>IFERROR(INDEX('INPUT - Roster'!$S$4:$SV$4,Settings!$C$9+15),"")</f>
        <v/>
      </c>
      <c r="AY2" s="245">
        <f>IFERROR(INDEX('INPUT - Roster'!$S$4:$SV$4,Settings!$C$9+16),"")</f>
        <v/>
      </c>
      <c r="AZ2" s="245">
        <f>IFERROR(INDEX('INPUT - Roster'!$S$4:$SV$4,Settings!$C$9+17),"")</f>
        <v/>
      </c>
      <c r="BA2" s="245">
        <f>IFERROR(INDEX('INPUT - Roster'!$S$4:$SV$4,Settings!$C$9+18),"")</f>
        <v/>
      </c>
      <c r="BB2" s="245">
        <f>IFERROR(INDEX('INPUT - Roster'!$S$4:$SV$4,Settings!$C$9+19),"")</f>
        <v/>
      </c>
      <c r="BC2" s="245">
        <f>IFERROR(INDEX('INPUT - Roster'!$S$4:$SV$4,Settings!$C$9+20),"")</f>
        <v/>
      </c>
      <c r="BD2" s="245">
        <f>IFERROR(INDEX('INPUT - Roster'!$S$4:$SV$4,Settings!$C$9+21),"")</f>
        <v/>
      </c>
      <c r="BE2" s="245">
        <f>IFERROR(INDEX('INPUT - Roster'!$S$4:$SV$4,Settings!$C$9+22),"")</f>
        <v/>
      </c>
      <c r="BF2" s="245">
        <f>IFERROR(INDEX('INPUT - Roster'!$S$4:$SV$4,Settings!$C$9+23),"")</f>
        <v/>
      </c>
      <c r="BG2" s="245">
        <f>IFERROR(INDEX('INPUT - Roster'!$S$4:$SV$4,Settings!$C$9+24),"")</f>
        <v/>
      </c>
      <c r="BH2" s="245">
        <f>IFERROR(INDEX('INPUT - Roster'!$S$4:$SV$4,Settings!$C$9+25),"")</f>
        <v/>
      </c>
      <c r="BI2" s="245">
        <f>IFERROR(INDEX('INPUT - Roster'!$S$4:$SV$4,Settings!$C$9+26),"")</f>
        <v/>
      </c>
      <c r="BJ2" s="245">
        <f>IFERROR(INDEX('INPUT - Roster'!$S$4:$SV$4,Settings!$C$9+27),"")</f>
        <v/>
      </c>
      <c r="BL2" s="245">
        <f>IFERROR(INDEX('INPUT - Roster'!$S$4:$SV$4,Settings!$C$9+0),"")</f>
        <v/>
      </c>
      <c r="BM2" s="245">
        <f>IFERROR(INDEX('INPUT - Roster'!$S$4:$SV$4,Settings!$C$9+1),"")</f>
        <v/>
      </c>
      <c r="BN2" s="245">
        <f>IFERROR(INDEX('INPUT - Roster'!$S$4:$SV$4,Settings!$C$9+2),"")</f>
        <v/>
      </c>
      <c r="BO2" s="245">
        <f>IFERROR(INDEX('INPUT - Roster'!$S$4:$SV$4,Settings!$C$9+3),"")</f>
        <v/>
      </c>
      <c r="BP2" s="245">
        <f>IFERROR(INDEX('INPUT - Roster'!$S$4:$SV$4,Settings!$C$9+4),"")</f>
        <v/>
      </c>
      <c r="BQ2" s="245">
        <f>IFERROR(INDEX('INPUT - Roster'!$S$4:$SV$4,Settings!$C$9+5),"")</f>
        <v/>
      </c>
      <c r="BR2" s="245">
        <f>IFERROR(INDEX('INPUT - Roster'!$S$4:$SV$4,Settings!$C$9+6),"")</f>
        <v/>
      </c>
      <c r="BS2" s="245">
        <f>IFERROR(INDEX('INPUT - Roster'!$S$4:$SV$4,Settings!$C$9+7),"")</f>
        <v/>
      </c>
      <c r="BT2" s="245">
        <f>IFERROR(INDEX('INPUT - Roster'!$S$4:$SV$4,Settings!$C$9+8),"")</f>
        <v/>
      </c>
      <c r="BU2" s="245">
        <f>IFERROR(INDEX('INPUT - Roster'!$S$4:$SV$4,Settings!$C$9+9),"")</f>
        <v/>
      </c>
      <c r="BV2" s="245">
        <f>IFERROR(INDEX('INPUT - Roster'!$S$4:$SV$4,Settings!$C$9+10),"")</f>
        <v/>
      </c>
      <c r="BW2" s="245">
        <f>IFERROR(INDEX('INPUT - Roster'!$S$4:$SV$4,Settings!$C$9+11),"")</f>
        <v/>
      </c>
      <c r="BX2" s="245">
        <f>IFERROR(INDEX('INPUT - Roster'!$S$4:$SV$4,Settings!$C$9+12),"")</f>
        <v/>
      </c>
      <c r="BY2" s="245">
        <f>IFERROR(INDEX('INPUT - Roster'!$S$4:$SV$4,Settings!$C$9+13),"")</f>
        <v/>
      </c>
      <c r="BZ2" s="245">
        <f>IFERROR(INDEX('INPUT - Roster'!$S$4:$SV$4,Settings!$C$9+14),"")</f>
        <v/>
      </c>
      <c r="CA2" s="245">
        <f>IFERROR(INDEX('INPUT - Roster'!$S$4:$SV$4,Settings!$C$9+15),"")</f>
        <v/>
      </c>
      <c r="CB2" s="245">
        <f>IFERROR(INDEX('INPUT - Roster'!$S$4:$SV$4,Settings!$C$9+16),"")</f>
        <v/>
      </c>
      <c r="CC2" s="245">
        <f>IFERROR(INDEX('INPUT - Roster'!$S$4:$SV$4,Settings!$C$9+17),"")</f>
        <v/>
      </c>
      <c r="CD2" s="245">
        <f>IFERROR(INDEX('INPUT - Roster'!$S$4:$SV$4,Settings!$C$9+18),"")</f>
        <v/>
      </c>
      <c r="CE2" s="245">
        <f>IFERROR(INDEX('INPUT - Roster'!$S$4:$SV$4,Settings!$C$9+19),"")</f>
        <v/>
      </c>
      <c r="CF2" s="245">
        <f>IFERROR(INDEX('INPUT - Roster'!$S$4:$SV$4,Settings!$C$9+20),"")</f>
        <v/>
      </c>
      <c r="CG2" s="245">
        <f>IFERROR(INDEX('INPUT - Roster'!$S$4:$SV$4,Settings!$C$9+21),"")</f>
        <v/>
      </c>
      <c r="CH2" s="245">
        <f>IFERROR(INDEX('INPUT - Roster'!$S$4:$SV$4,Settings!$C$9+22),"")</f>
        <v/>
      </c>
      <c r="CI2" s="245">
        <f>IFERROR(INDEX('INPUT - Roster'!$S$4:$SV$4,Settings!$C$9+23),"")</f>
        <v/>
      </c>
      <c r="CJ2" s="245">
        <f>IFERROR(INDEX('INPUT - Roster'!$S$4:$SV$4,Settings!$C$9+24),"")</f>
        <v/>
      </c>
      <c r="CK2" s="245">
        <f>IFERROR(INDEX('INPUT - Roster'!$S$4:$SV$4,Settings!$C$9+25),"")</f>
        <v/>
      </c>
      <c r="CL2" s="245">
        <f>IFERROR(INDEX('INPUT - Roster'!$S$4:$SV$4,Settings!$C$9+26),"")</f>
        <v/>
      </c>
      <c r="CM2" s="245">
        <f>IFERROR(INDEX('INPUT - Roster'!$S$4:$SV$4,Settings!$C$9+27),"")</f>
        <v/>
      </c>
    </row>
    <row r="3">
      <c r="A3" t="n">
        <v>1</v>
      </c>
      <c r="B3">
        <f>IFERROR(INDEX(Index!$A$2:$A$202,MATCH(A3,Index!$E$2:$E$202,0)),"")</f>
        <v/>
      </c>
      <c r="D3">
        <f>IF($B3="","",IFERROR(MATCH("Travel*",AI3:BJ3,0),""))</f>
        <v/>
      </c>
      <c r="F3">
        <f>IF(OR($B3="",NOT(ISNUMBER(Settings!$C$9))),"",TRIM(SUBSTITUTE(SUBSTITUTE(INDEX('INPUT - Roster'!$S$1:$SV$206,$B3,Settings!$C$9+0)&amp;"",CHAR(10)," "),CHAR(160)," ")))</f>
        <v/>
      </c>
      <c r="G3">
        <f>IF(OR($B3="",NOT(ISNUMBER(Settings!$C$9))),"",TRIM(SUBSTITUTE(SUBSTITUTE(INDEX('INPUT - Roster'!$S$1:$SV$206,$B3,Settings!$C$9+1)&amp;"",CHAR(10)," "),CHAR(160)," ")))</f>
        <v/>
      </c>
      <c r="H3">
        <f>IF(OR($B3="",NOT(ISNUMBER(Settings!$C$9))),"",TRIM(SUBSTITUTE(SUBSTITUTE(INDEX('INPUT - Roster'!$S$1:$SV$206,$B3,Settings!$C$9+2)&amp;"",CHAR(10)," "),CHAR(160)," ")))</f>
        <v/>
      </c>
      <c r="I3">
        <f>IF(OR($B3="",NOT(ISNUMBER(Settings!$C$9))),"",TRIM(SUBSTITUTE(SUBSTITUTE(INDEX('INPUT - Roster'!$S$1:$SV$206,$B3,Settings!$C$9+3)&amp;"",CHAR(10)," "),CHAR(160)," ")))</f>
        <v/>
      </c>
      <c r="J3">
        <f>IF(OR($B3="",NOT(ISNUMBER(Settings!$C$9))),"",TRIM(SUBSTITUTE(SUBSTITUTE(INDEX('INPUT - Roster'!$S$1:$SV$206,$B3,Settings!$C$9+4)&amp;"",CHAR(10)," "),CHAR(160)," ")))</f>
        <v/>
      </c>
      <c r="K3">
        <f>IF(OR($B3="",NOT(ISNUMBER(Settings!$C$9))),"",TRIM(SUBSTITUTE(SUBSTITUTE(INDEX('INPUT - Roster'!$S$1:$SV$206,$B3,Settings!$C$9+5)&amp;"",CHAR(10)," "),CHAR(160)," ")))</f>
        <v/>
      </c>
      <c r="L3">
        <f>IF(OR($B3="",NOT(ISNUMBER(Settings!$C$9))),"",TRIM(SUBSTITUTE(SUBSTITUTE(INDEX('INPUT - Roster'!$S$1:$SV$206,$B3,Settings!$C$9+6)&amp;"",CHAR(10)," "),CHAR(160)," ")))</f>
        <v/>
      </c>
      <c r="M3">
        <f>IF(OR($B3="",NOT(ISNUMBER(Settings!$C$9))),"",TRIM(SUBSTITUTE(SUBSTITUTE(INDEX('INPUT - Roster'!$S$1:$SV$206,$B3,Settings!$C$9+7)&amp;"",CHAR(10)," "),CHAR(160)," ")))</f>
        <v/>
      </c>
      <c r="N3">
        <f>IF(OR($B3="",NOT(ISNUMBER(Settings!$C$9))),"",TRIM(SUBSTITUTE(SUBSTITUTE(INDEX('INPUT - Roster'!$S$1:$SV$206,$B3,Settings!$C$9+8)&amp;"",CHAR(10)," "),CHAR(160)," ")))</f>
        <v/>
      </c>
      <c r="O3">
        <f>IF(OR($B3="",NOT(ISNUMBER(Settings!$C$9))),"",TRIM(SUBSTITUTE(SUBSTITUTE(INDEX('INPUT - Roster'!$S$1:$SV$206,$B3,Settings!$C$9+9)&amp;"",CHAR(10)," "),CHAR(160)," ")))</f>
        <v/>
      </c>
      <c r="P3">
        <f>IF(OR($B3="",NOT(ISNUMBER(Settings!$C$9))),"",TRIM(SUBSTITUTE(SUBSTITUTE(INDEX('INPUT - Roster'!$S$1:$SV$206,$B3,Settings!$C$9+10)&amp;"",CHAR(10)," "),CHAR(160)," ")))</f>
        <v/>
      </c>
      <c r="Q3">
        <f>IF(OR($B3="",NOT(ISNUMBER(Settings!$C$9))),"",TRIM(SUBSTITUTE(SUBSTITUTE(INDEX('INPUT - Roster'!$S$1:$SV$206,$B3,Settings!$C$9+11)&amp;"",CHAR(10)," "),CHAR(160)," ")))</f>
        <v/>
      </c>
      <c r="R3">
        <f>IF(OR($B3="",NOT(ISNUMBER(Settings!$C$9))),"",TRIM(SUBSTITUTE(SUBSTITUTE(INDEX('INPUT - Roster'!$S$1:$SV$206,$B3,Settings!$C$9+12)&amp;"",CHAR(10)," "),CHAR(160)," ")))</f>
        <v/>
      </c>
      <c r="S3">
        <f>IF(OR($B3="",NOT(ISNUMBER(Settings!$C$9))),"",TRIM(SUBSTITUTE(SUBSTITUTE(INDEX('INPUT - Roster'!$S$1:$SV$206,$B3,Settings!$C$9+13)&amp;"",CHAR(10)," "),CHAR(160)," ")))</f>
        <v/>
      </c>
      <c r="T3">
        <f>IF(OR($B3="",NOT(ISNUMBER(Settings!$C$9))),"",TRIM(SUBSTITUTE(SUBSTITUTE(INDEX('INPUT - Roster'!$S$1:$SV$206,$B3,Settings!$C$9+14)&amp;"",CHAR(10)," "),CHAR(160)," ")))</f>
        <v/>
      </c>
      <c r="U3">
        <f>IF(OR($B3="",NOT(ISNUMBER(Settings!$C$9))),"",TRIM(SUBSTITUTE(SUBSTITUTE(INDEX('INPUT - Roster'!$S$1:$SV$206,$B3,Settings!$C$9+15)&amp;"",CHAR(10)," "),CHAR(160)," ")))</f>
        <v/>
      </c>
      <c r="V3">
        <f>IF(OR($B3="",NOT(ISNUMBER(Settings!$C$9))),"",TRIM(SUBSTITUTE(SUBSTITUTE(INDEX('INPUT - Roster'!$S$1:$SV$206,$B3,Settings!$C$9+16)&amp;"",CHAR(10)," "),CHAR(160)," ")))</f>
        <v/>
      </c>
      <c r="W3">
        <f>IF(OR($B3="",NOT(ISNUMBER(Settings!$C$9))),"",TRIM(SUBSTITUTE(SUBSTITUTE(INDEX('INPUT - Roster'!$S$1:$SV$206,$B3,Settings!$C$9+17)&amp;"",CHAR(10)," "),CHAR(160)," ")))</f>
        <v/>
      </c>
      <c r="X3">
        <f>IF(OR($B3="",NOT(ISNUMBER(Settings!$C$9))),"",TRIM(SUBSTITUTE(SUBSTITUTE(INDEX('INPUT - Roster'!$S$1:$SV$206,$B3,Settings!$C$9+18)&amp;"",CHAR(10)," "),CHAR(160)," ")))</f>
        <v/>
      </c>
      <c r="Y3">
        <f>IF(OR($B3="",NOT(ISNUMBER(Settings!$C$9))),"",TRIM(SUBSTITUTE(SUBSTITUTE(INDEX('INPUT - Roster'!$S$1:$SV$206,$B3,Settings!$C$9+19)&amp;"",CHAR(10)," "),CHAR(160)," ")))</f>
        <v/>
      </c>
      <c r="Z3">
        <f>IF(OR($B3="",NOT(ISNUMBER(Settings!$C$9))),"",TRIM(SUBSTITUTE(SUBSTITUTE(INDEX('INPUT - Roster'!$S$1:$SV$206,$B3,Settings!$C$9+20)&amp;"",CHAR(10)," "),CHAR(160)," ")))</f>
        <v/>
      </c>
      <c r="AA3">
        <f>IF(OR($B3="",NOT(ISNUMBER(Settings!$C$9))),"",TRIM(SUBSTITUTE(SUBSTITUTE(INDEX('INPUT - Roster'!$S$1:$SV$206,$B3,Settings!$C$9+21)&amp;"",CHAR(10)," "),CHAR(160)," ")))</f>
        <v/>
      </c>
      <c r="AB3">
        <f>IF(OR($B3="",NOT(ISNUMBER(Settings!$C$9))),"",TRIM(SUBSTITUTE(SUBSTITUTE(INDEX('INPUT - Roster'!$S$1:$SV$206,$B3,Settings!$C$9+22)&amp;"",CHAR(10)," "),CHAR(160)," ")))</f>
        <v/>
      </c>
      <c r="AC3">
        <f>IF(OR($B3="",NOT(ISNUMBER(Settings!$C$9))),"",TRIM(SUBSTITUTE(SUBSTITUTE(INDEX('INPUT - Roster'!$S$1:$SV$206,$B3,Settings!$C$9+23)&amp;"",CHAR(10)," "),CHAR(160)," ")))</f>
        <v/>
      </c>
      <c r="AD3">
        <f>IF(OR($B3="",NOT(ISNUMBER(Settings!$C$9))),"",TRIM(SUBSTITUTE(SUBSTITUTE(INDEX('INPUT - Roster'!$S$1:$SV$206,$B3,Settings!$C$9+24)&amp;"",CHAR(10)," "),CHAR(160)," ")))</f>
        <v/>
      </c>
      <c r="AE3">
        <f>IF(OR($B3="",NOT(ISNUMBER(Settings!$C$9))),"",TRIM(SUBSTITUTE(SUBSTITUTE(INDEX('INPUT - Roster'!$S$1:$SV$206,$B3,Settings!$C$9+25)&amp;"",CHAR(10)," "),CHAR(160)," ")))</f>
        <v/>
      </c>
      <c r="AF3">
        <f>IF(OR($B3="",NOT(ISNUMBER(Settings!$C$9))),"",TRIM(SUBSTITUTE(SUBSTITUTE(INDEX('INPUT - Roster'!$S$1:$SV$206,$B3,Settings!$C$9+26)&amp;"",CHAR(10)," "),CHAR(160)," ")))</f>
        <v/>
      </c>
      <c r="AG3">
        <f>IF(OR($B3="",NOT(ISNUMBER(Settings!$C$9))),"",TRIM(SUBSTITUTE(SUBSTITUTE(INDEX('INPUT - Roster'!$S$1:$SV$206,$B3,Settings!$C$9+27)&amp;"",CHAR(10)," "),CHAR(160)," ")))</f>
        <v/>
      </c>
      <c r="AI3">
        <f>IF($B3="","",IF(F3="","Not rostered",IFERROR(INDEX(Settings!$C$14:$C$33,MATCH(F3,Settings!$B$14:$B$33,0)),IFERROR(LOOKUP(2^15,SEARCH(Settings!$I$14:$I$83,F3)/(Settings!$I$14:$I$83&lt;&gt;""),Settings!$J$14:$J$83),"Other"))))</f>
        <v/>
      </c>
      <c r="AJ3">
        <f>IF($B3="","",IF(G3="","Not rostered",IFERROR(INDEX(Settings!$C$14:$C$33,MATCH(G3,Settings!$B$14:$B$33,0)),IFERROR(LOOKUP(2^15,SEARCH(Settings!$I$14:$I$83,G3)/(Settings!$I$14:$I$83&lt;&gt;""),Settings!$J$14:$J$83),"Other"))))</f>
        <v/>
      </c>
      <c r="AK3">
        <f>IF($B3="","",IF(H3="","Not rostered",IFERROR(INDEX(Settings!$C$14:$C$33,MATCH(H3,Settings!$B$14:$B$33,0)),IFERROR(LOOKUP(2^15,SEARCH(Settings!$I$14:$I$83,H3)/(Settings!$I$14:$I$83&lt;&gt;""),Settings!$J$14:$J$83),"Other"))))</f>
        <v/>
      </c>
      <c r="AL3">
        <f>IF($B3="","",IF(I3="","Not rostered",IFERROR(INDEX(Settings!$C$14:$C$33,MATCH(I3,Settings!$B$14:$B$33,0)),IFERROR(LOOKUP(2^15,SEARCH(Settings!$I$14:$I$83,I3)/(Settings!$I$14:$I$83&lt;&gt;""),Settings!$J$14:$J$83),"Other"))))</f>
        <v/>
      </c>
      <c r="AM3">
        <f>IF($B3="","",IF(J3="","Not rostered",IFERROR(INDEX(Settings!$C$14:$C$33,MATCH(J3,Settings!$B$14:$B$33,0)),IFERROR(LOOKUP(2^15,SEARCH(Settings!$I$14:$I$83,J3)/(Settings!$I$14:$I$83&lt;&gt;""),Settings!$J$14:$J$83),"Other"))))</f>
        <v/>
      </c>
      <c r="AN3">
        <f>IF($B3="","",IF(K3="","Not rostered",IFERROR(INDEX(Settings!$C$14:$C$33,MATCH(K3,Settings!$B$14:$B$33,0)),IFERROR(LOOKUP(2^15,SEARCH(Settings!$I$14:$I$83,K3)/(Settings!$I$14:$I$83&lt;&gt;""),Settings!$J$14:$J$83),"Other"))))</f>
        <v/>
      </c>
      <c r="AO3">
        <f>IF($B3="","",IF(L3="","Not rostered",IFERROR(INDEX(Settings!$C$14:$C$33,MATCH(L3,Settings!$B$14:$B$33,0)),IFERROR(LOOKUP(2^15,SEARCH(Settings!$I$14:$I$83,L3)/(Settings!$I$14:$I$83&lt;&gt;""),Settings!$J$14:$J$83),"Other"))))</f>
        <v/>
      </c>
      <c r="AP3">
        <f>IF($B3="","",IF(M3="","Not rostered",IFERROR(INDEX(Settings!$C$14:$C$33,MATCH(M3,Settings!$B$14:$B$33,0)),IFERROR(LOOKUP(2^15,SEARCH(Settings!$I$14:$I$83,M3)/(Settings!$I$14:$I$83&lt;&gt;""),Settings!$J$14:$J$83),"Other"))))</f>
        <v/>
      </c>
      <c r="AQ3">
        <f>IF($B3="","",IF(N3="","Not rostered",IFERROR(INDEX(Settings!$C$14:$C$33,MATCH(N3,Settings!$B$14:$B$33,0)),IFERROR(LOOKUP(2^15,SEARCH(Settings!$I$14:$I$83,N3)/(Settings!$I$14:$I$83&lt;&gt;""),Settings!$J$14:$J$83),"Other"))))</f>
        <v/>
      </c>
      <c r="AR3">
        <f>IF($B3="","",IF(O3="","Not rostered",IFERROR(INDEX(Settings!$C$14:$C$33,MATCH(O3,Settings!$B$14:$B$33,0)),IFERROR(LOOKUP(2^15,SEARCH(Settings!$I$14:$I$83,O3)/(Settings!$I$14:$I$83&lt;&gt;""),Settings!$J$14:$J$83),"Other"))))</f>
        <v/>
      </c>
      <c r="AS3">
        <f>IF($B3="","",IF(P3="","Not rostered",IFERROR(INDEX(Settings!$C$14:$C$33,MATCH(P3,Settings!$B$14:$B$33,0)),IFERROR(LOOKUP(2^15,SEARCH(Settings!$I$14:$I$83,P3)/(Settings!$I$14:$I$83&lt;&gt;""),Settings!$J$14:$J$83),"Other"))))</f>
        <v/>
      </c>
      <c r="AT3">
        <f>IF($B3="","",IF(Q3="","Not rostered",IFERROR(INDEX(Settings!$C$14:$C$33,MATCH(Q3,Settings!$B$14:$B$33,0)),IFERROR(LOOKUP(2^15,SEARCH(Settings!$I$14:$I$83,Q3)/(Settings!$I$14:$I$83&lt;&gt;""),Settings!$J$14:$J$83),"Other"))))</f>
        <v/>
      </c>
      <c r="AU3">
        <f>IF($B3="","",IF(R3="","Not rostered",IFERROR(INDEX(Settings!$C$14:$C$33,MATCH(R3,Settings!$B$14:$B$33,0)),IFERROR(LOOKUP(2^15,SEARCH(Settings!$I$14:$I$83,R3)/(Settings!$I$14:$I$83&lt;&gt;""),Settings!$J$14:$J$83),"Other"))))</f>
        <v/>
      </c>
      <c r="AV3">
        <f>IF($B3="","",IF(S3="","Not rostered",IFERROR(INDEX(Settings!$C$14:$C$33,MATCH(S3,Settings!$B$14:$B$33,0)),IFERROR(LOOKUP(2^15,SEARCH(Settings!$I$14:$I$83,S3)/(Settings!$I$14:$I$83&lt;&gt;""),Settings!$J$14:$J$83),"Other"))))</f>
        <v/>
      </c>
      <c r="AW3">
        <f>IF($B3="","",IF(T3="","Not rostered",IFERROR(INDEX(Settings!$C$14:$C$33,MATCH(T3,Settings!$B$14:$B$33,0)),IFERROR(LOOKUP(2^15,SEARCH(Settings!$I$14:$I$83,T3)/(Settings!$I$14:$I$83&lt;&gt;""),Settings!$J$14:$J$83),"Other"))))</f>
        <v/>
      </c>
      <c r="AX3">
        <f>IF($B3="","",IF(U3="","Not rostered",IFERROR(INDEX(Settings!$C$14:$C$33,MATCH(U3,Settings!$B$14:$B$33,0)),IFERROR(LOOKUP(2^15,SEARCH(Settings!$I$14:$I$83,U3)/(Settings!$I$14:$I$83&lt;&gt;""),Settings!$J$14:$J$83),"Other"))))</f>
        <v/>
      </c>
      <c r="AY3">
        <f>IF($B3="","",IF(V3="","Not rostered",IFERROR(INDEX(Settings!$C$14:$C$33,MATCH(V3,Settings!$B$14:$B$33,0)),IFERROR(LOOKUP(2^15,SEARCH(Settings!$I$14:$I$83,V3)/(Settings!$I$14:$I$83&lt;&gt;""),Settings!$J$14:$J$83),"Other"))))</f>
        <v/>
      </c>
      <c r="AZ3">
        <f>IF($B3="","",IF(W3="","Not rostered",IFERROR(INDEX(Settings!$C$14:$C$33,MATCH(W3,Settings!$B$14:$B$33,0)),IFERROR(LOOKUP(2^15,SEARCH(Settings!$I$14:$I$83,W3)/(Settings!$I$14:$I$83&lt;&gt;""),Settings!$J$14:$J$83),"Other"))))</f>
        <v/>
      </c>
      <c r="BA3">
        <f>IF($B3="","",IF(X3="","Not rostered",IFERROR(INDEX(Settings!$C$14:$C$33,MATCH(X3,Settings!$B$14:$B$33,0)),IFERROR(LOOKUP(2^15,SEARCH(Settings!$I$14:$I$83,X3)/(Settings!$I$14:$I$83&lt;&gt;""),Settings!$J$14:$J$83),"Other"))))</f>
        <v/>
      </c>
      <c r="BB3">
        <f>IF($B3="","",IF(Y3="","Not rostered",IFERROR(INDEX(Settings!$C$14:$C$33,MATCH(Y3,Settings!$B$14:$B$33,0)),IFERROR(LOOKUP(2^15,SEARCH(Settings!$I$14:$I$83,Y3)/(Settings!$I$14:$I$83&lt;&gt;""),Settings!$J$14:$J$83),"Other"))))</f>
        <v/>
      </c>
      <c r="BC3">
        <f>IF($B3="","",IF(Z3="","Not rostered",IFERROR(INDEX(Settings!$C$14:$C$33,MATCH(Z3,Settings!$B$14:$B$33,0)),IFERROR(LOOKUP(2^15,SEARCH(Settings!$I$14:$I$83,Z3)/(Settings!$I$14:$I$83&lt;&gt;""),Settings!$J$14:$J$83),"Other"))))</f>
        <v/>
      </c>
      <c r="BD3">
        <f>IF($B3="","",IF(AA3="","Not rostered",IFERROR(INDEX(Settings!$C$14:$C$33,MATCH(AA3,Settings!$B$14:$B$33,0)),IFERROR(LOOKUP(2^15,SEARCH(Settings!$I$14:$I$83,AA3)/(Settings!$I$14:$I$83&lt;&gt;""),Settings!$J$14:$J$83),"Other"))))</f>
        <v/>
      </c>
      <c r="BE3">
        <f>IF($B3="","",IF(AB3="","Not rostered",IFERROR(INDEX(Settings!$C$14:$C$33,MATCH(AB3,Settings!$B$14:$B$33,0)),IFERROR(LOOKUP(2^15,SEARCH(Settings!$I$14:$I$83,AB3)/(Settings!$I$14:$I$83&lt;&gt;""),Settings!$J$14:$J$83),"Other"))))</f>
        <v/>
      </c>
      <c r="BF3">
        <f>IF($B3="","",IF(AC3="","Not rostered",IFERROR(INDEX(Settings!$C$14:$C$33,MATCH(AC3,Settings!$B$14:$B$33,0)),IFERROR(LOOKUP(2^15,SEARCH(Settings!$I$14:$I$83,AC3)/(Settings!$I$14:$I$83&lt;&gt;""),Settings!$J$14:$J$83),"Other"))))</f>
        <v/>
      </c>
      <c r="BG3">
        <f>IF($B3="","",IF(AD3="","Not rostered",IFERROR(INDEX(Settings!$C$14:$C$33,MATCH(AD3,Settings!$B$14:$B$33,0)),IFERROR(LOOKUP(2^15,SEARCH(Settings!$I$14:$I$83,AD3)/(Settings!$I$14:$I$83&lt;&gt;""),Settings!$J$14:$J$83),"Other"))))</f>
        <v/>
      </c>
      <c r="BH3">
        <f>IF($B3="","",IF(AE3="","Not rostered",IFERROR(INDEX(Settings!$C$14:$C$33,MATCH(AE3,Settings!$B$14:$B$33,0)),IFERROR(LOOKUP(2^15,SEARCH(Settings!$I$14:$I$83,AE3)/(Settings!$I$14:$I$83&lt;&gt;""),Settings!$J$14:$J$83),"Other"))))</f>
        <v/>
      </c>
      <c r="BI3">
        <f>IF($B3="","",IF(AF3="","Not rostered",IFERROR(INDEX(Settings!$C$14:$C$33,MATCH(AF3,Settings!$B$14:$B$33,0)),IFERROR(LOOKUP(2^15,SEARCH(Settings!$I$14:$I$83,AF3)/(Settings!$I$14:$I$83&lt;&gt;""),Settings!$J$14:$J$83),"Other"))))</f>
        <v/>
      </c>
      <c r="BJ3">
        <f>IF($B3="","",IF(AG3="","Not rostered",IFERROR(INDEX(Settings!$C$14:$C$33,MATCH(AG3,Settings!$B$14:$B$33,0)),IFERROR(LOOKUP(2^15,SEARCH(Settings!$I$14:$I$83,AG3)/(Settings!$I$14:$I$83&lt;&gt;""),Settings!$J$14:$J$83),"Other"))))</f>
        <v/>
      </c>
      <c r="BL3">
        <f>IF(OR($B3="",F3=""),"",IFERROR(INDEX(Settings!$D$14:$D$33,MATCH(F3,Settings!$B$14:$B$33,0))&amp;"",IFERROR(LOOKUP(2^15,SEARCH(Settings!$F$14:$F$43,F3)/(Settings!$F$14:$F$43&lt;&gt;""),Settings!$G$14:$G$43),"")))</f>
        <v/>
      </c>
      <c r="BM3">
        <f>IF(OR($B3="",G3=""),"",IFERROR(INDEX(Settings!$D$14:$D$33,MATCH(G3,Settings!$B$14:$B$33,0))&amp;"",IFERROR(LOOKUP(2^15,SEARCH(Settings!$F$14:$F$43,G3)/(Settings!$F$14:$F$43&lt;&gt;""),Settings!$G$14:$G$43),"")))</f>
        <v/>
      </c>
      <c r="BN3">
        <f>IF(OR($B3="",H3=""),"",IFERROR(INDEX(Settings!$D$14:$D$33,MATCH(H3,Settings!$B$14:$B$33,0))&amp;"",IFERROR(LOOKUP(2^15,SEARCH(Settings!$F$14:$F$43,H3)/(Settings!$F$14:$F$43&lt;&gt;""),Settings!$G$14:$G$43),"")))</f>
        <v/>
      </c>
      <c r="BO3">
        <f>IF(OR($B3="",I3=""),"",IFERROR(INDEX(Settings!$D$14:$D$33,MATCH(I3,Settings!$B$14:$B$33,0))&amp;"",IFERROR(LOOKUP(2^15,SEARCH(Settings!$F$14:$F$43,I3)/(Settings!$F$14:$F$43&lt;&gt;""),Settings!$G$14:$G$43),"")))</f>
        <v/>
      </c>
      <c r="BP3">
        <f>IF(OR($B3="",J3=""),"",IFERROR(INDEX(Settings!$D$14:$D$33,MATCH(J3,Settings!$B$14:$B$33,0))&amp;"",IFERROR(LOOKUP(2^15,SEARCH(Settings!$F$14:$F$43,J3)/(Settings!$F$14:$F$43&lt;&gt;""),Settings!$G$14:$G$43),"")))</f>
        <v/>
      </c>
      <c r="BQ3">
        <f>IF(OR($B3="",K3=""),"",IFERROR(INDEX(Settings!$D$14:$D$33,MATCH(K3,Settings!$B$14:$B$33,0))&amp;"",IFERROR(LOOKUP(2^15,SEARCH(Settings!$F$14:$F$43,K3)/(Settings!$F$14:$F$43&lt;&gt;""),Settings!$G$14:$G$43),"")))</f>
        <v/>
      </c>
      <c r="BR3">
        <f>IF(OR($B3="",L3=""),"",IFERROR(INDEX(Settings!$D$14:$D$33,MATCH(L3,Settings!$B$14:$B$33,0))&amp;"",IFERROR(LOOKUP(2^15,SEARCH(Settings!$F$14:$F$43,L3)/(Settings!$F$14:$F$43&lt;&gt;""),Settings!$G$14:$G$43),"")))</f>
        <v/>
      </c>
      <c r="BS3">
        <f>IF(OR($B3="",M3=""),"",IFERROR(INDEX(Settings!$D$14:$D$33,MATCH(M3,Settings!$B$14:$B$33,0))&amp;"",IFERROR(LOOKUP(2^15,SEARCH(Settings!$F$14:$F$43,M3)/(Settings!$F$14:$F$43&lt;&gt;""),Settings!$G$14:$G$43),"")))</f>
        <v/>
      </c>
      <c r="BT3">
        <f>IF(OR($B3="",N3=""),"",IFERROR(INDEX(Settings!$D$14:$D$33,MATCH(N3,Settings!$B$14:$B$33,0))&amp;"",IFERROR(LOOKUP(2^15,SEARCH(Settings!$F$14:$F$43,N3)/(Settings!$F$14:$F$43&lt;&gt;""),Settings!$G$14:$G$43),"")))</f>
        <v/>
      </c>
      <c r="BU3">
        <f>IF(OR($B3="",O3=""),"",IFERROR(INDEX(Settings!$D$14:$D$33,MATCH(O3,Settings!$B$14:$B$33,0))&amp;"",IFERROR(LOOKUP(2^15,SEARCH(Settings!$F$14:$F$43,O3)/(Settings!$F$14:$F$43&lt;&gt;""),Settings!$G$14:$G$43),"")))</f>
        <v/>
      </c>
      <c r="BV3">
        <f>IF(OR($B3="",P3=""),"",IFERROR(INDEX(Settings!$D$14:$D$33,MATCH(P3,Settings!$B$14:$B$33,0))&amp;"",IFERROR(LOOKUP(2^15,SEARCH(Settings!$F$14:$F$43,P3)/(Settings!$F$14:$F$43&lt;&gt;""),Settings!$G$14:$G$43),"")))</f>
        <v/>
      </c>
      <c r="BW3">
        <f>IF(OR($B3="",Q3=""),"",IFERROR(INDEX(Settings!$D$14:$D$33,MATCH(Q3,Settings!$B$14:$B$33,0))&amp;"",IFERROR(LOOKUP(2^15,SEARCH(Settings!$F$14:$F$43,Q3)/(Settings!$F$14:$F$43&lt;&gt;""),Settings!$G$14:$G$43),"")))</f>
        <v/>
      </c>
      <c r="BX3">
        <f>IF(OR($B3="",R3=""),"",IFERROR(INDEX(Settings!$D$14:$D$33,MATCH(R3,Settings!$B$14:$B$33,0))&amp;"",IFERROR(LOOKUP(2^15,SEARCH(Settings!$F$14:$F$43,R3)/(Settings!$F$14:$F$43&lt;&gt;""),Settings!$G$14:$G$43),"")))</f>
        <v/>
      </c>
      <c r="BY3">
        <f>IF(OR($B3="",S3=""),"",IFERROR(INDEX(Settings!$D$14:$D$33,MATCH(S3,Settings!$B$14:$B$33,0))&amp;"",IFERROR(LOOKUP(2^15,SEARCH(Settings!$F$14:$F$43,S3)/(Settings!$F$14:$F$43&lt;&gt;""),Settings!$G$14:$G$43),"")))</f>
        <v/>
      </c>
      <c r="BZ3">
        <f>IF(OR($B3="",T3=""),"",IFERROR(INDEX(Settings!$D$14:$D$33,MATCH(T3,Settings!$B$14:$B$33,0))&amp;"",IFERROR(LOOKUP(2^15,SEARCH(Settings!$F$14:$F$43,T3)/(Settings!$F$14:$F$43&lt;&gt;""),Settings!$G$14:$G$43),"")))</f>
        <v/>
      </c>
      <c r="CA3">
        <f>IF(OR($B3="",U3=""),"",IFERROR(INDEX(Settings!$D$14:$D$33,MATCH(U3,Settings!$B$14:$B$33,0))&amp;"",IFERROR(LOOKUP(2^15,SEARCH(Settings!$F$14:$F$43,U3)/(Settings!$F$14:$F$43&lt;&gt;""),Settings!$G$14:$G$43),"")))</f>
        <v/>
      </c>
      <c r="CB3">
        <f>IF(OR($B3="",V3=""),"",IFERROR(INDEX(Settings!$D$14:$D$33,MATCH(V3,Settings!$B$14:$B$33,0))&amp;"",IFERROR(LOOKUP(2^15,SEARCH(Settings!$F$14:$F$43,V3)/(Settings!$F$14:$F$43&lt;&gt;""),Settings!$G$14:$G$43),"")))</f>
        <v/>
      </c>
      <c r="CC3">
        <f>IF(OR($B3="",W3=""),"",IFERROR(INDEX(Settings!$D$14:$D$33,MATCH(W3,Settings!$B$14:$B$33,0))&amp;"",IFERROR(LOOKUP(2^15,SEARCH(Settings!$F$14:$F$43,W3)/(Settings!$F$14:$F$43&lt;&gt;""),Settings!$G$14:$G$43),"")))</f>
        <v/>
      </c>
      <c r="CD3">
        <f>IF(OR($B3="",X3=""),"",IFERROR(INDEX(Settings!$D$14:$D$33,MATCH(X3,Settings!$B$14:$B$33,0))&amp;"",IFERROR(LOOKUP(2^15,SEARCH(Settings!$F$14:$F$43,X3)/(Settings!$F$14:$F$43&lt;&gt;""),Settings!$G$14:$G$43),"")))</f>
        <v/>
      </c>
      <c r="CE3">
        <f>IF(OR($B3="",Y3=""),"",IFERROR(INDEX(Settings!$D$14:$D$33,MATCH(Y3,Settings!$B$14:$B$33,0))&amp;"",IFERROR(LOOKUP(2^15,SEARCH(Settings!$F$14:$F$43,Y3)/(Settings!$F$14:$F$43&lt;&gt;""),Settings!$G$14:$G$43),"")))</f>
        <v/>
      </c>
      <c r="CF3">
        <f>IF(OR($B3="",Z3=""),"",IFERROR(INDEX(Settings!$D$14:$D$33,MATCH(Z3,Settings!$B$14:$B$33,0))&amp;"",IFERROR(LOOKUP(2^15,SEARCH(Settings!$F$14:$F$43,Z3)/(Settings!$F$14:$F$43&lt;&gt;""),Settings!$G$14:$G$43),"")))</f>
        <v/>
      </c>
      <c r="CG3">
        <f>IF(OR($B3="",AA3=""),"",IFERROR(INDEX(Settings!$D$14:$D$33,MATCH(AA3,Settings!$B$14:$B$33,0))&amp;"",IFERROR(LOOKUP(2^15,SEARCH(Settings!$F$14:$F$43,AA3)/(Settings!$F$14:$F$43&lt;&gt;""),Settings!$G$14:$G$43),"")))</f>
        <v/>
      </c>
      <c r="CH3">
        <f>IF(OR($B3="",AB3=""),"",IFERROR(INDEX(Settings!$D$14:$D$33,MATCH(AB3,Settings!$B$14:$B$33,0))&amp;"",IFERROR(LOOKUP(2^15,SEARCH(Settings!$F$14:$F$43,AB3)/(Settings!$F$14:$F$43&lt;&gt;""),Settings!$G$14:$G$43),"")))</f>
        <v/>
      </c>
      <c r="CI3">
        <f>IF(OR($B3="",AC3=""),"",IFERROR(INDEX(Settings!$D$14:$D$33,MATCH(AC3,Settings!$B$14:$B$33,0))&amp;"",IFERROR(LOOKUP(2^15,SEARCH(Settings!$F$14:$F$43,AC3)/(Settings!$F$14:$F$43&lt;&gt;""),Settings!$G$14:$G$43),"")))</f>
        <v/>
      </c>
      <c r="CJ3">
        <f>IF(OR($B3="",AD3=""),"",IFERROR(INDEX(Settings!$D$14:$D$33,MATCH(AD3,Settings!$B$14:$B$33,0))&amp;"",IFERROR(LOOKUP(2^15,SEARCH(Settings!$F$14:$F$43,AD3)/(Settings!$F$14:$F$43&lt;&gt;""),Settings!$G$14:$G$43),"")))</f>
        <v/>
      </c>
      <c r="CK3">
        <f>IF(OR($B3="",AE3=""),"",IFERROR(INDEX(Settings!$D$14:$D$33,MATCH(AE3,Settings!$B$14:$B$33,0))&amp;"",IFERROR(LOOKUP(2^15,SEARCH(Settings!$F$14:$F$43,AE3)/(Settings!$F$14:$F$43&lt;&gt;""),Settings!$G$14:$G$43),"")))</f>
        <v/>
      </c>
      <c r="CL3">
        <f>IF(OR($B3="",AF3=""),"",IFERROR(INDEX(Settings!$D$14:$D$33,MATCH(AF3,Settings!$B$14:$B$33,0))&amp;"",IFERROR(LOOKUP(2^15,SEARCH(Settings!$F$14:$F$43,AF3)/(Settings!$F$14:$F$43&lt;&gt;""),Settings!$G$14:$G$43),"")))</f>
        <v/>
      </c>
      <c r="CM3">
        <f>IF(OR($B3="",AG3=""),"",IFERROR(INDEX(Settings!$D$14:$D$33,MATCH(AG3,Settings!$B$14:$B$33,0))&amp;"",IFERROR(LOOKUP(2^15,SEARCH(Settings!$F$14:$F$43,AG3)/(Settings!$F$14:$F$43&lt;&gt;""),Settings!$G$14:$G$43),"")))</f>
        <v/>
      </c>
    </row>
    <row r="4">
      <c r="A4" t="n">
        <v>2</v>
      </c>
      <c r="B4">
        <f>IFERROR(INDEX(Index!$A$2:$A$202,MATCH(A4,Index!$E$2:$E$202,0)),"")</f>
        <v/>
      </c>
      <c r="D4">
        <f>IF($B4="","",IFERROR(MATCH("Travel*",AI4:BJ4,0),""))</f>
        <v/>
      </c>
      <c r="F4">
        <f>IF(OR($B4="",NOT(ISNUMBER(Settings!$C$9))),"",TRIM(SUBSTITUTE(SUBSTITUTE(INDEX('INPUT - Roster'!$S$1:$SV$206,$B4,Settings!$C$9+0)&amp;"",CHAR(10)," "),CHAR(160)," ")))</f>
        <v/>
      </c>
      <c r="G4">
        <f>IF(OR($B4="",NOT(ISNUMBER(Settings!$C$9))),"",TRIM(SUBSTITUTE(SUBSTITUTE(INDEX('INPUT - Roster'!$S$1:$SV$206,$B4,Settings!$C$9+1)&amp;"",CHAR(10)," "),CHAR(160)," ")))</f>
        <v/>
      </c>
      <c r="H4">
        <f>IF(OR($B4="",NOT(ISNUMBER(Settings!$C$9))),"",TRIM(SUBSTITUTE(SUBSTITUTE(INDEX('INPUT - Roster'!$S$1:$SV$206,$B4,Settings!$C$9+2)&amp;"",CHAR(10)," "),CHAR(160)," ")))</f>
        <v/>
      </c>
      <c r="I4">
        <f>IF(OR($B4="",NOT(ISNUMBER(Settings!$C$9))),"",TRIM(SUBSTITUTE(SUBSTITUTE(INDEX('INPUT - Roster'!$S$1:$SV$206,$B4,Settings!$C$9+3)&amp;"",CHAR(10)," "),CHAR(160)," ")))</f>
        <v/>
      </c>
      <c r="J4">
        <f>IF(OR($B4="",NOT(ISNUMBER(Settings!$C$9))),"",TRIM(SUBSTITUTE(SUBSTITUTE(INDEX('INPUT - Roster'!$S$1:$SV$206,$B4,Settings!$C$9+4)&amp;"",CHAR(10)," "),CHAR(160)," ")))</f>
        <v/>
      </c>
      <c r="K4">
        <f>IF(OR($B4="",NOT(ISNUMBER(Settings!$C$9))),"",TRIM(SUBSTITUTE(SUBSTITUTE(INDEX('INPUT - Roster'!$S$1:$SV$206,$B4,Settings!$C$9+5)&amp;"",CHAR(10)," "),CHAR(160)," ")))</f>
        <v/>
      </c>
      <c r="L4">
        <f>IF(OR($B4="",NOT(ISNUMBER(Settings!$C$9))),"",TRIM(SUBSTITUTE(SUBSTITUTE(INDEX('INPUT - Roster'!$S$1:$SV$206,$B4,Settings!$C$9+6)&amp;"",CHAR(10)," "),CHAR(160)," ")))</f>
        <v/>
      </c>
      <c r="M4">
        <f>IF(OR($B4="",NOT(ISNUMBER(Settings!$C$9))),"",TRIM(SUBSTITUTE(SUBSTITUTE(INDEX('INPUT - Roster'!$S$1:$SV$206,$B4,Settings!$C$9+7)&amp;"",CHAR(10)," "),CHAR(160)," ")))</f>
        <v/>
      </c>
      <c r="N4">
        <f>IF(OR($B4="",NOT(ISNUMBER(Settings!$C$9))),"",TRIM(SUBSTITUTE(SUBSTITUTE(INDEX('INPUT - Roster'!$S$1:$SV$206,$B4,Settings!$C$9+8)&amp;"",CHAR(10)," "),CHAR(160)," ")))</f>
        <v/>
      </c>
      <c r="O4">
        <f>IF(OR($B4="",NOT(ISNUMBER(Settings!$C$9))),"",TRIM(SUBSTITUTE(SUBSTITUTE(INDEX('INPUT - Roster'!$S$1:$SV$206,$B4,Settings!$C$9+9)&amp;"",CHAR(10)," "),CHAR(160)," ")))</f>
        <v/>
      </c>
      <c r="P4">
        <f>IF(OR($B4="",NOT(ISNUMBER(Settings!$C$9))),"",TRIM(SUBSTITUTE(SUBSTITUTE(INDEX('INPUT - Roster'!$S$1:$SV$206,$B4,Settings!$C$9+10)&amp;"",CHAR(10)," "),CHAR(160)," ")))</f>
        <v/>
      </c>
      <c r="Q4">
        <f>IF(OR($B4="",NOT(ISNUMBER(Settings!$C$9))),"",TRIM(SUBSTITUTE(SUBSTITUTE(INDEX('INPUT - Roster'!$S$1:$SV$206,$B4,Settings!$C$9+11)&amp;"",CHAR(10)," "),CHAR(160)," ")))</f>
        <v/>
      </c>
      <c r="R4">
        <f>IF(OR($B4="",NOT(ISNUMBER(Settings!$C$9))),"",TRIM(SUBSTITUTE(SUBSTITUTE(INDEX('INPUT - Roster'!$S$1:$SV$206,$B4,Settings!$C$9+12)&amp;"",CHAR(10)," "),CHAR(160)," ")))</f>
        <v/>
      </c>
      <c r="S4">
        <f>IF(OR($B4="",NOT(ISNUMBER(Settings!$C$9))),"",TRIM(SUBSTITUTE(SUBSTITUTE(INDEX('INPUT - Roster'!$S$1:$SV$206,$B4,Settings!$C$9+13)&amp;"",CHAR(10)," "),CHAR(160)," ")))</f>
        <v/>
      </c>
      <c r="T4">
        <f>IF(OR($B4="",NOT(ISNUMBER(Settings!$C$9))),"",TRIM(SUBSTITUTE(SUBSTITUTE(INDEX('INPUT - Roster'!$S$1:$SV$206,$B4,Settings!$C$9+14)&amp;"",CHAR(10)," "),CHAR(160)," ")))</f>
        <v/>
      </c>
      <c r="U4">
        <f>IF(OR($B4="",NOT(ISNUMBER(Settings!$C$9))),"",TRIM(SUBSTITUTE(SUBSTITUTE(INDEX('INPUT - Roster'!$S$1:$SV$206,$B4,Settings!$C$9+15)&amp;"",CHAR(10)," "),CHAR(160)," ")))</f>
        <v/>
      </c>
      <c r="V4">
        <f>IF(OR($B4="",NOT(ISNUMBER(Settings!$C$9))),"",TRIM(SUBSTITUTE(SUBSTITUTE(INDEX('INPUT - Roster'!$S$1:$SV$206,$B4,Settings!$C$9+16)&amp;"",CHAR(10)," "),CHAR(160)," ")))</f>
        <v/>
      </c>
      <c r="W4">
        <f>IF(OR($B4="",NOT(ISNUMBER(Settings!$C$9))),"",TRIM(SUBSTITUTE(SUBSTITUTE(INDEX('INPUT - Roster'!$S$1:$SV$206,$B4,Settings!$C$9+17)&amp;"",CHAR(10)," "),CHAR(160)," ")))</f>
        <v/>
      </c>
      <c r="X4">
        <f>IF(OR($B4="",NOT(ISNUMBER(Settings!$C$9))),"",TRIM(SUBSTITUTE(SUBSTITUTE(INDEX('INPUT - Roster'!$S$1:$SV$206,$B4,Settings!$C$9+18)&amp;"",CHAR(10)," "),CHAR(160)," ")))</f>
        <v/>
      </c>
      <c r="Y4">
        <f>IF(OR($B4="",NOT(ISNUMBER(Settings!$C$9))),"",TRIM(SUBSTITUTE(SUBSTITUTE(INDEX('INPUT - Roster'!$S$1:$SV$206,$B4,Settings!$C$9+19)&amp;"",CHAR(10)," "),CHAR(160)," ")))</f>
        <v/>
      </c>
      <c r="Z4">
        <f>IF(OR($B4="",NOT(ISNUMBER(Settings!$C$9))),"",TRIM(SUBSTITUTE(SUBSTITUTE(INDEX('INPUT - Roster'!$S$1:$SV$206,$B4,Settings!$C$9+20)&amp;"",CHAR(10)," "),CHAR(160)," ")))</f>
        <v/>
      </c>
      <c r="AA4">
        <f>IF(OR($B4="",NOT(ISNUMBER(Settings!$C$9))),"",TRIM(SUBSTITUTE(SUBSTITUTE(INDEX('INPUT - Roster'!$S$1:$SV$206,$B4,Settings!$C$9+21)&amp;"",CHAR(10)," "),CHAR(160)," ")))</f>
        <v/>
      </c>
      <c r="AB4">
        <f>IF(OR($B4="",NOT(ISNUMBER(Settings!$C$9))),"",TRIM(SUBSTITUTE(SUBSTITUTE(INDEX('INPUT - Roster'!$S$1:$SV$206,$B4,Settings!$C$9+22)&amp;"",CHAR(10)," "),CHAR(160)," ")))</f>
        <v/>
      </c>
      <c r="AC4">
        <f>IF(OR($B4="",NOT(ISNUMBER(Settings!$C$9))),"",TRIM(SUBSTITUTE(SUBSTITUTE(INDEX('INPUT - Roster'!$S$1:$SV$206,$B4,Settings!$C$9+23)&amp;"",CHAR(10)," "),CHAR(160)," ")))</f>
        <v/>
      </c>
      <c r="AD4">
        <f>IF(OR($B4="",NOT(ISNUMBER(Settings!$C$9))),"",TRIM(SUBSTITUTE(SUBSTITUTE(INDEX('INPUT - Roster'!$S$1:$SV$206,$B4,Settings!$C$9+24)&amp;"",CHAR(10)," "),CHAR(160)," ")))</f>
        <v/>
      </c>
      <c r="AE4">
        <f>IF(OR($B4="",NOT(ISNUMBER(Settings!$C$9))),"",TRIM(SUBSTITUTE(SUBSTITUTE(INDEX('INPUT - Roster'!$S$1:$SV$206,$B4,Settings!$C$9+25)&amp;"",CHAR(10)," "),CHAR(160)," ")))</f>
        <v/>
      </c>
      <c r="AF4">
        <f>IF(OR($B4="",NOT(ISNUMBER(Settings!$C$9))),"",TRIM(SUBSTITUTE(SUBSTITUTE(INDEX('INPUT - Roster'!$S$1:$SV$206,$B4,Settings!$C$9+26)&amp;"",CHAR(10)," "),CHAR(160)," ")))</f>
        <v/>
      </c>
      <c r="AG4">
        <f>IF(OR($B4="",NOT(ISNUMBER(Settings!$C$9))),"",TRIM(SUBSTITUTE(SUBSTITUTE(INDEX('INPUT - Roster'!$S$1:$SV$206,$B4,Settings!$C$9+27)&amp;"",CHAR(10)," "),CHAR(160)," ")))</f>
        <v/>
      </c>
      <c r="AI4">
        <f>IF($B4="","",IF(F4="","Not rostered",IFERROR(INDEX(Settings!$C$14:$C$33,MATCH(F4,Settings!$B$14:$B$33,0)),IFERROR(LOOKUP(2^15,SEARCH(Settings!$I$14:$I$83,F4)/(Settings!$I$14:$I$83&lt;&gt;""),Settings!$J$14:$J$83),"Other"))))</f>
        <v/>
      </c>
      <c r="AJ4">
        <f>IF($B4="","",IF(G4="","Not rostered",IFERROR(INDEX(Settings!$C$14:$C$33,MATCH(G4,Settings!$B$14:$B$33,0)),IFERROR(LOOKUP(2^15,SEARCH(Settings!$I$14:$I$83,G4)/(Settings!$I$14:$I$83&lt;&gt;""),Settings!$J$14:$J$83),"Other"))))</f>
        <v/>
      </c>
      <c r="AK4">
        <f>IF($B4="","",IF(H4="","Not rostered",IFERROR(INDEX(Settings!$C$14:$C$33,MATCH(H4,Settings!$B$14:$B$33,0)),IFERROR(LOOKUP(2^15,SEARCH(Settings!$I$14:$I$83,H4)/(Settings!$I$14:$I$83&lt;&gt;""),Settings!$J$14:$J$83),"Other"))))</f>
        <v/>
      </c>
      <c r="AL4">
        <f>IF($B4="","",IF(I4="","Not rostered",IFERROR(INDEX(Settings!$C$14:$C$33,MATCH(I4,Settings!$B$14:$B$33,0)),IFERROR(LOOKUP(2^15,SEARCH(Settings!$I$14:$I$83,I4)/(Settings!$I$14:$I$83&lt;&gt;""),Settings!$J$14:$J$83),"Other"))))</f>
        <v/>
      </c>
      <c r="AM4">
        <f>IF($B4="","",IF(J4="","Not rostered",IFERROR(INDEX(Settings!$C$14:$C$33,MATCH(J4,Settings!$B$14:$B$33,0)),IFERROR(LOOKUP(2^15,SEARCH(Settings!$I$14:$I$83,J4)/(Settings!$I$14:$I$83&lt;&gt;""),Settings!$J$14:$J$83),"Other"))))</f>
        <v/>
      </c>
      <c r="AN4">
        <f>IF($B4="","",IF(K4="","Not rostered",IFERROR(INDEX(Settings!$C$14:$C$33,MATCH(K4,Settings!$B$14:$B$33,0)),IFERROR(LOOKUP(2^15,SEARCH(Settings!$I$14:$I$83,K4)/(Settings!$I$14:$I$83&lt;&gt;""),Settings!$J$14:$J$83),"Other"))))</f>
        <v/>
      </c>
      <c r="AO4">
        <f>IF($B4="","",IF(L4="","Not rostered",IFERROR(INDEX(Settings!$C$14:$C$33,MATCH(L4,Settings!$B$14:$B$33,0)),IFERROR(LOOKUP(2^15,SEARCH(Settings!$I$14:$I$83,L4)/(Settings!$I$14:$I$83&lt;&gt;""),Settings!$J$14:$J$83),"Other"))))</f>
        <v/>
      </c>
      <c r="AP4">
        <f>IF($B4="","",IF(M4="","Not rostered",IFERROR(INDEX(Settings!$C$14:$C$33,MATCH(M4,Settings!$B$14:$B$33,0)),IFERROR(LOOKUP(2^15,SEARCH(Settings!$I$14:$I$83,M4)/(Settings!$I$14:$I$83&lt;&gt;""),Settings!$J$14:$J$83),"Other"))))</f>
        <v/>
      </c>
      <c r="AQ4">
        <f>IF($B4="","",IF(N4="","Not rostered",IFERROR(INDEX(Settings!$C$14:$C$33,MATCH(N4,Settings!$B$14:$B$33,0)),IFERROR(LOOKUP(2^15,SEARCH(Settings!$I$14:$I$83,N4)/(Settings!$I$14:$I$83&lt;&gt;""),Settings!$J$14:$J$83),"Other"))))</f>
        <v/>
      </c>
      <c r="AR4">
        <f>IF($B4="","",IF(O4="","Not rostered",IFERROR(INDEX(Settings!$C$14:$C$33,MATCH(O4,Settings!$B$14:$B$33,0)),IFERROR(LOOKUP(2^15,SEARCH(Settings!$I$14:$I$83,O4)/(Settings!$I$14:$I$83&lt;&gt;""),Settings!$J$14:$J$83),"Other"))))</f>
        <v/>
      </c>
      <c r="AS4">
        <f>IF($B4="","",IF(P4="","Not rostered",IFERROR(INDEX(Settings!$C$14:$C$33,MATCH(P4,Settings!$B$14:$B$33,0)),IFERROR(LOOKUP(2^15,SEARCH(Settings!$I$14:$I$83,P4)/(Settings!$I$14:$I$83&lt;&gt;""),Settings!$J$14:$J$83),"Other"))))</f>
        <v/>
      </c>
      <c r="AT4">
        <f>IF($B4="","",IF(Q4="","Not rostered",IFERROR(INDEX(Settings!$C$14:$C$33,MATCH(Q4,Settings!$B$14:$B$33,0)),IFERROR(LOOKUP(2^15,SEARCH(Settings!$I$14:$I$83,Q4)/(Settings!$I$14:$I$83&lt;&gt;""),Settings!$J$14:$J$83),"Other"))))</f>
        <v/>
      </c>
      <c r="AU4">
        <f>IF($B4="","",IF(R4="","Not rostered",IFERROR(INDEX(Settings!$C$14:$C$33,MATCH(R4,Settings!$B$14:$B$33,0)),IFERROR(LOOKUP(2^15,SEARCH(Settings!$I$14:$I$83,R4)/(Settings!$I$14:$I$83&lt;&gt;""),Settings!$J$14:$J$83),"Other"))))</f>
        <v/>
      </c>
      <c r="AV4">
        <f>IF($B4="","",IF(S4="","Not rostered",IFERROR(INDEX(Settings!$C$14:$C$33,MATCH(S4,Settings!$B$14:$B$33,0)),IFERROR(LOOKUP(2^15,SEARCH(Settings!$I$14:$I$83,S4)/(Settings!$I$14:$I$83&lt;&gt;""),Settings!$J$14:$J$83),"Other"))))</f>
        <v/>
      </c>
      <c r="AW4">
        <f>IF($B4="","",IF(T4="","Not rostered",IFERROR(INDEX(Settings!$C$14:$C$33,MATCH(T4,Settings!$B$14:$B$33,0)),IFERROR(LOOKUP(2^15,SEARCH(Settings!$I$14:$I$83,T4)/(Settings!$I$14:$I$83&lt;&gt;""),Settings!$J$14:$J$83),"Other"))))</f>
        <v/>
      </c>
      <c r="AX4">
        <f>IF($B4="","",IF(U4="","Not rostered",IFERROR(INDEX(Settings!$C$14:$C$33,MATCH(U4,Settings!$B$14:$B$33,0)),IFERROR(LOOKUP(2^15,SEARCH(Settings!$I$14:$I$83,U4)/(Settings!$I$14:$I$83&lt;&gt;""),Settings!$J$14:$J$83),"Other"))))</f>
        <v/>
      </c>
      <c r="AY4">
        <f>IF($B4="","",IF(V4="","Not rostered",IFERROR(INDEX(Settings!$C$14:$C$33,MATCH(V4,Settings!$B$14:$B$33,0)),IFERROR(LOOKUP(2^15,SEARCH(Settings!$I$14:$I$83,V4)/(Settings!$I$14:$I$83&lt;&gt;""),Settings!$J$14:$J$83),"Other"))))</f>
        <v/>
      </c>
      <c r="AZ4">
        <f>IF($B4="","",IF(W4="","Not rostered",IFERROR(INDEX(Settings!$C$14:$C$33,MATCH(W4,Settings!$B$14:$B$33,0)),IFERROR(LOOKUP(2^15,SEARCH(Settings!$I$14:$I$83,W4)/(Settings!$I$14:$I$83&lt;&gt;""),Settings!$J$14:$J$83),"Other"))))</f>
        <v/>
      </c>
      <c r="BA4">
        <f>IF($B4="","",IF(X4="","Not rostered",IFERROR(INDEX(Settings!$C$14:$C$33,MATCH(X4,Settings!$B$14:$B$33,0)),IFERROR(LOOKUP(2^15,SEARCH(Settings!$I$14:$I$83,X4)/(Settings!$I$14:$I$83&lt;&gt;""),Settings!$J$14:$J$83),"Other"))))</f>
        <v/>
      </c>
      <c r="BB4">
        <f>IF($B4="","",IF(Y4="","Not rostered",IFERROR(INDEX(Settings!$C$14:$C$33,MATCH(Y4,Settings!$B$14:$B$33,0)),IFERROR(LOOKUP(2^15,SEARCH(Settings!$I$14:$I$83,Y4)/(Settings!$I$14:$I$83&lt;&gt;""),Settings!$J$14:$J$83),"Other"))))</f>
        <v/>
      </c>
      <c r="BC4">
        <f>IF($B4="","",IF(Z4="","Not rostered",IFERROR(INDEX(Settings!$C$14:$C$33,MATCH(Z4,Settings!$B$14:$B$33,0)),IFERROR(LOOKUP(2^15,SEARCH(Settings!$I$14:$I$83,Z4)/(Settings!$I$14:$I$83&lt;&gt;""),Settings!$J$14:$J$83),"Other"))))</f>
        <v/>
      </c>
      <c r="BD4">
        <f>IF($B4="","",IF(AA4="","Not rostered",IFERROR(INDEX(Settings!$C$14:$C$33,MATCH(AA4,Settings!$B$14:$B$33,0)),IFERROR(LOOKUP(2^15,SEARCH(Settings!$I$14:$I$83,AA4)/(Settings!$I$14:$I$83&lt;&gt;""),Settings!$J$14:$J$83),"Other"))))</f>
        <v/>
      </c>
      <c r="BE4">
        <f>IF($B4="","",IF(AB4="","Not rostered",IFERROR(INDEX(Settings!$C$14:$C$33,MATCH(AB4,Settings!$B$14:$B$33,0)),IFERROR(LOOKUP(2^15,SEARCH(Settings!$I$14:$I$83,AB4)/(Settings!$I$14:$I$83&lt;&gt;""),Settings!$J$14:$J$83),"Other"))))</f>
        <v/>
      </c>
      <c r="BF4">
        <f>IF($B4="","",IF(AC4="","Not rostered",IFERROR(INDEX(Settings!$C$14:$C$33,MATCH(AC4,Settings!$B$14:$B$33,0)),IFERROR(LOOKUP(2^15,SEARCH(Settings!$I$14:$I$83,AC4)/(Settings!$I$14:$I$83&lt;&gt;""),Settings!$J$14:$J$83),"Other"))))</f>
        <v/>
      </c>
      <c r="BG4">
        <f>IF($B4="","",IF(AD4="","Not rostered",IFERROR(INDEX(Settings!$C$14:$C$33,MATCH(AD4,Settings!$B$14:$B$33,0)),IFERROR(LOOKUP(2^15,SEARCH(Settings!$I$14:$I$83,AD4)/(Settings!$I$14:$I$83&lt;&gt;""),Settings!$J$14:$J$83),"Other"))))</f>
        <v/>
      </c>
      <c r="BH4">
        <f>IF($B4="","",IF(AE4="","Not rostered",IFERROR(INDEX(Settings!$C$14:$C$33,MATCH(AE4,Settings!$B$14:$B$33,0)),IFERROR(LOOKUP(2^15,SEARCH(Settings!$I$14:$I$83,AE4)/(Settings!$I$14:$I$83&lt;&gt;""),Settings!$J$14:$J$83),"Other"))))</f>
        <v/>
      </c>
      <c r="BI4">
        <f>IF($B4="","",IF(AF4="","Not rostered",IFERROR(INDEX(Settings!$C$14:$C$33,MATCH(AF4,Settings!$B$14:$B$33,0)),IFERROR(LOOKUP(2^15,SEARCH(Settings!$I$14:$I$83,AF4)/(Settings!$I$14:$I$83&lt;&gt;""),Settings!$J$14:$J$83),"Other"))))</f>
        <v/>
      </c>
      <c r="BJ4">
        <f>IF($B4="","",IF(AG4="","Not rostered",IFERROR(INDEX(Settings!$C$14:$C$33,MATCH(AG4,Settings!$B$14:$B$33,0)),IFERROR(LOOKUP(2^15,SEARCH(Settings!$I$14:$I$83,AG4)/(Settings!$I$14:$I$83&lt;&gt;""),Settings!$J$14:$J$83),"Other"))))</f>
        <v/>
      </c>
      <c r="BL4">
        <f>IF(OR($B4="",F4=""),"",IFERROR(INDEX(Settings!$D$14:$D$33,MATCH(F4,Settings!$B$14:$B$33,0))&amp;"",IFERROR(LOOKUP(2^15,SEARCH(Settings!$F$14:$F$43,F4)/(Settings!$F$14:$F$43&lt;&gt;""),Settings!$G$14:$G$43),"")))</f>
        <v/>
      </c>
      <c r="BM4">
        <f>IF(OR($B4="",G4=""),"",IFERROR(INDEX(Settings!$D$14:$D$33,MATCH(G4,Settings!$B$14:$B$33,0))&amp;"",IFERROR(LOOKUP(2^15,SEARCH(Settings!$F$14:$F$43,G4)/(Settings!$F$14:$F$43&lt;&gt;""),Settings!$G$14:$G$43),"")))</f>
        <v/>
      </c>
      <c r="BN4">
        <f>IF(OR($B4="",H4=""),"",IFERROR(INDEX(Settings!$D$14:$D$33,MATCH(H4,Settings!$B$14:$B$33,0))&amp;"",IFERROR(LOOKUP(2^15,SEARCH(Settings!$F$14:$F$43,H4)/(Settings!$F$14:$F$43&lt;&gt;""),Settings!$G$14:$G$43),"")))</f>
        <v/>
      </c>
      <c r="BO4">
        <f>IF(OR($B4="",I4=""),"",IFERROR(INDEX(Settings!$D$14:$D$33,MATCH(I4,Settings!$B$14:$B$33,0))&amp;"",IFERROR(LOOKUP(2^15,SEARCH(Settings!$F$14:$F$43,I4)/(Settings!$F$14:$F$43&lt;&gt;""),Settings!$G$14:$G$43),"")))</f>
        <v/>
      </c>
      <c r="BP4">
        <f>IF(OR($B4="",J4=""),"",IFERROR(INDEX(Settings!$D$14:$D$33,MATCH(J4,Settings!$B$14:$B$33,0))&amp;"",IFERROR(LOOKUP(2^15,SEARCH(Settings!$F$14:$F$43,J4)/(Settings!$F$14:$F$43&lt;&gt;""),Settings!$G$14:$G$43),"")))</f>
        <v/>
      </c>
      <c r="BQ4">
        <f>IF(OR($B4="",K4=""),"",IFERROR(INDEX(Settings!$D$14:$D$33,MATCH(K4,Settings!$B$14:$B$33,0))&amp;"",IFERROR(LOOKUP(2^15,SEARCH(Settings!$F$14:$F$43,K4)/(Settings!$F$14:$F$43&lt;&gt;""),Settings!$G$14:$G$43),"")))</f>
        <v/>
      </c>
      <c r="BR4">
        <f>IF(OR($B4="",L4=""),"",IFERROR(INDEX(Settings!$D$14:$D$33,MATCH(L4,Settings!$B$14:$B$33,0))&amp;"",IFERROR(LOOKUP(2^15,SEARCH(Settings!$F$14:$F$43,L4)/(Settings!$F$14:$F$43&lt;&gt;""),Settings!$G$14:$G$43),"")))</f>
        <v/>
      </c>
      <c r="BS4">
        <f>IF(OR($B4="",M4=""),"",IFERROR(INDEX(Settings!$D$14:$D$33,MATCH(M4,Settings!$B$14:$B$33,0))&amp;"",IFERROR(LOOKUP(2^15,SEARCH(Settings!$F$14:$F$43,M4)/(Settings!$F$14:$F$43&lt;&gt;""),Settings!$G$14:$G$43),"")))</f>
        <v/>
      </c>
      <c r="BT4">
        <f>IF(OR($B4="",N4=""),"",IFERROR(INDEX(Settings!$D$14:$D$33,MATCH(N4,Settings!$B$14:$B$33,0))&amp;"",IFERROR(LOOKUP(2^15,SEARCH(Settings!$F$14:$F$43,N4)/(Settings!$F$14:$F$43&lt;&gt;""),Settings!$G$14:$G$43),"")))</f>
        <v/>
      </c>
      <c r="BU4">
        <f>IF(OR($B4="",O4=""),"",IFERROR(INDEX(Settings!$D$14:$D$33,MATCH(O4,Settings!$B$14:$B$33,0))&amp;"",IFERROR(LOOKUP(2^15,SEARCH(Settings!$F$14:$F$43,O4)/(Settings!$F$14:$F$43&lt;&gt;""),Settings!$G$14:$G$43),"")))</f>
        <v/>
      </c>
      <c r="BV4">
        <f>IF(OR($B4="",P4=""),"",IFERROR(INDEX(Settings!$D$14:$D$33,MATCH(P4,Settings!$B$14:$B$33,0))&amp;"",IFERROR(LOOKUP(2^15,SEARCH(Settings!$F$14:$F$43,P4)/(Settings!$F$14:$F$43&lt;&gt;""),Settings!$G$14:$G$43),"")))</f>
        <v/>
      </c>
      <c r="BW4">
        <f>IF(OR($B4="",Q4=""),"",IFERROR(INDEX(Settings!$D$14:$D$33,MATCH(Q4,Settings!$B$14:$B$33,0))&amp;"",IFERROR(LOOKUP(2^15,SEARCH(Settings!$F$14:$F$43,Q4)/(Settings!$F$14:$F$43&lt;&gt;""),Settings!$G$14:$G$43),"")))</f>
        <v/>
      </c>
      <c r="BX4">
        <f>IF(OR($B4="",R4=""),"",IFERROR(INDEX(Settings!$D$14:$D$33,MATCH(R4,Settings!$B$14:$B$33,0))&amp;"",IFERROR(LOOKUP(2^15,SEARCH(Settings!$F$14:$F$43,R4)/(Settings!$F$14:$F$43&lt;&gt;""),Settings!$G$14:$G$43),"")))</f>
        <v/>
      </c>
      <c r="BY4">
        <f>IF(OR($B4="",S4=""),"",IFERROR(INDEX(Settings!$D$14:$D$33,MATCH(S4,Settings!$B$14:$B$33,0))&amp;"",IFERROR(LOOKUP(2^15,SEARCH(Settings!$F$14:$F$43,S4)/(Settings!$F$14:$F$43&lt;&gt;""),Settings!$G$14:$G$43),"")))</f>
        <v/>
      </c>
      <c r="BZ4">
        <f>IF(OR($B4="",T4=""),"",IFERROR(INDEX(Settings!$D$14:$D$33,MATCH(T4,Settings!$B$14:$B$33,0))&amp;"",IFERROR(LOOKUP(2^15,SEARCH(Settings!$F$14:$F$43,T4)/(Settings!$F$14:$F$43&lt;&gt;""),Settings!$G$14:$G$43),"")))</f>
        <v/>
      </c>
      <c r="CA4">
        <f>IF(OR($B4="",U4=""),"",IFERROR(INDEX(Settings!$D$14:$D$33,MATCH(U4,Settings!$B$14:$B$33,0))&amp;"",IFERROR(LOOKUP(2^15,SEARCH(Settings!$F$14:$F$43,U4)/(Settings!$F$14:$F$43&lt;&gt;""),Settings!$G$14:$G$43),"")))</f>
        <v/>
      </c>
      <c r="CB4">
        <f>IF(OR($B4="",V4=""),"",IFERROR(INDEX(Settings!$D$14:$D$33,MATCH(V4,Settings!$B$14:$B$33,0))&amp;"",IFERROR(LOOKUP(2^15,SEARCH(Settings!$F$14:$F$43,V4)/(Settings!$F$14:$F$43&lt;&gt;""),Settings!$G$14:$G$43),"")))</f>
        <v/>
      </c>
      <c r="CC4">
        <f>IF(OR($B4="",W4=""),"",IFERROR(INDEX(Settings!$D$14:$D$33,MATCH(W4,Settings!$B$14:$B$33,0))&amp;"",IFERROR(LOOKUP(2^15,SEARCH(Settings!$F$14:$F$43,W4)/(Settings!$F$14:$F$43&lt;&gt;""),Settings!$G$14:$G$43),"")))</f>
        <v/>
      </c>
      <c r="CD4">
        <f>IF(OR($B4="",X4=""),"",IFERROR(INDEX(Settings!$D$14:$D$33,MATCH(X4,Settings!$B$14:$B$33,0))&amp;"",IFERROR(LOOKUP(2^15,SEARCH(Settings!$F$14:$F$43,X4)/(Settings!$F$14:$F$43&lt;&gt;""),Settings!$G$14:$G$43),"")))</f>
        <v/>
      </c>
      <c r="CE4">
        <f>IF(OR($B4="",Y4=""),"",IFERROR(INDEX(Settings!$D$14:$D$33,MATCH(Y4,Settings!$B$14:$B$33,0))&amp;"",IFERROR(LOOKUP(2^15,SEARCH(Settings!$F$14:$F$43,Y4)/(Settings!$F$14:$F$43&lt;&gt;""),Settings!$G$14:$G$43),"")))</f>
        <v/>
      </c>
      <c r="CF4">
        <f>IF(OR($B4="",Z4=""),"",IFERROR(INDEX(Settings!$D$14:$D$33,MATCH(Z4,Settings!$B$14:$B$33,0))&amp;"",IFERROR(LOOKUP(2^15,SEARCH(Settings!$F$14:$F$43,Z4)/(Settings!$F$14:$F$43&lt;&gt;""),Settings!$G$14:$G$43),"")))</f>
        <v/>
      </c>
      <c r="CG4">
        <f>IF(OR($B4="",AA4=""),"",IFERROR(INDEX(Settings!$D$14:$D$33,MATCH(AA4,Settings!$B$14:$B$33,0))&amp;"",IFERROR(LOOKUP(2^15,SEARCH(Settings!$F$14:$F$43,AA4)/(Settings!$F$14:$F$43&lt;&gt;""),Settings!$G$14:$G$43),"")))</f>
        <v/>
      </c>
      <c r="CH4">
        <f>IF(OR($B4="",AB4=""),"",IFERROR(INDEX(Settings!$D$14:$D$33,MATCH(AB4,Settings!$B$14:$B$33,0))&amp;"",IFERROR(LOOKUP(2^15,SEARCH(Settings!$F$14:$F$43,AB4)/(Settings!$F$14:$F$43&lt;&gt;""),Settings!$G$14:$G$43),"")))</f>
        <v/>
      </c>
      <c r="CI4">
        <f>IF(OR($B4="",AC4=""),"",IFERROR(INDEX(Settings!$D$14:$D$33,MATCH(AC4,Settings!$B$14:$B$33,0))&amp;"",IFERROR(LOOKUP(2^15,SEARCH(Settings!$F$14:$F$43,AC4)/(Settings!$F$14:$F$43&lt;&gt;""),Settings!$G$14:$G$43),"")))</f>
        <v/>
      </c>
      <c r="CJ4">
        <f>IF(OR($B4="",AD4=""),"",IFERROR(INDEX(Settings!$D$14:$D$33,MATCH(AD4,Settings!$B$14:$B$33,0))&amp;"",IFERROR(LOOKUP(2^15,SEARCH(Settings!$F$14:$F$43,AD4)/(Settings!$F$14:$F$43&lt;&gt;""),Settings!$G$14:$G$43),"")))</f>
        <v/>
      </c>
      <c r="CK4">
        <f>IF(OR($B4="",AE4=""),"",IFERROR(INDEX(Settings!$D$14:$D$33,MATCH(AE4,Settings!$B$14:$B$33,0))&amp;"",IFERROR(LOOKUP(2^15,SEARCH(Settings!$F$14:$F$43,AE4)/(Settings!$F$14:$F$43&lt;&gt;""),Settings!$G$14:$G$43),"")))</f>
        <v/>
      </c>
      <c r="CL4">
        <f>IF(OR($B4="",AF4=""),"",IFERROR(INDEX(Settings!$D$14:$D$33,MATCH(AF4,Settings!$B$14:$B$33,0))&amp;"",IFERROR(LOOKUP(2^15,SEARCH(Settings!$F$14:$F$43,AF4)/(Settings!$F$14:$F$43&lt;&gt;""),Settings!$G$14:$G$43),"")))</f>
        <v/>
      </c>
      <c r="CM4">
        <f>IF(OR($B4="",AG4=""),"",IFERROR(INDEX(Settings!$D$14:$D$33,MATCH(AG4,Settings!$B$14:$B$33,0))&amp;"",IFERROR(LOOKUP(2^15,SEARCH(Settings!$F$14:$F$43,AG4)/(Settings!$F$14:$F$43&lt;&gt;""),Settings!$G$14:$G$43),"")))</f>
        <v/>
      </c>
    </row>
    <row r="5">
      <c r="A5" t="n">
        <v>3</v>
      </c>
      <c r="B5">
        <f>IFERROR(INDEX(Index!$A$2:$A$202,MATCH(A5,Index!$E$2:$E$202,0)),"")</f>
        <v/>
      </c>
      <c r="D5">
        <f>IF($B5="","",IFERROR(MATCH("Travel*",AI5:BJ5,0),""))</f>
        <v/>
      </c>
      <c r="F5">
        <f>IF(OR($B5="",NOT(ISNUMBER(Settings!$C$9))),"",TRIM(SUBSTITUTE(SUBSTITUTE(INDEX('INPUT - Roster'!$S$1:$SV$206,$B5,Settings!$C$9+0)&amp;"",CHAR(10)," "),CHAR(160)," ")))</f>
        <v/>
      </c>
      <c r="G5">
        <f>IF(OR($B5="",NOT(ISNUMBER(Settings!$C$9))),"",TRIM(SUBSTITUTE(SUBSTITUTE(INDEX('INPUT - Roster'!$S$1:$SV$206,$B5,Settings!$C$9+1)&amp;"",CHAR(10)," "),CHAR(160)," ")))</f>
        <v/>
      </c>
      <c r="H5">
        <f>IF(OR($B5="",NOT(ISNUMBER(Settings!$C$9))),"",TRIM(SUBSTITUTE(SUBSTITUTE(INDEX('INPUT - Roster'!$S$1:$SV$206,$B5,Settings!$C$9+2)&amp;"",CHAR(10)," "),CHAR(160)," ")))</f>
        <v/>
      </c>
      <c r="I5">
        <f>IF(OR($B5="",NOT(ISNUMBER(Settings!$C$9))),"",TRIM(SUBSTITUTE(SUBSTITUTE(INDEX('INPUT - Roster'!$S$1:$SV$206,$B5,Settings!$C$9+3)&amp;"",CHAR(10)," "),CHAR(160)," ")))</f>
        <v/>
      </c>
      <c r="J5">
        <f>IF(OR($B5="",NOT(ISNUMBER(Settings!$C$9))),"",TRIM(SUBSTITUTE(SUBSTITUTE(INDEX('INPUT - Roster'!$S$1:$SV$206,$B5,Settings!$C$9+4)&amp;"",CHAR(10)," "),CHAR(160)," ")))</f>
        <v/>
      </c>
      <c r="K5">
        <f>IF(OR($B5="",NOT(ISNUMBER(Settings!$C$9))),"",TRIM(SUBSTITUTE(SUBSTITUTE(INDEX('INPUT - Roster'!$S$1:$SV$206,$B5,Settings!$C$9+5)&amp;"",CHAR(10)," "),CHAR(160)," ")))</f>
        <v/>
      </c>
      <c r="L5">
        <f>IF(OR($B5="",NOT(ISNUMBER(Settings!$C$9))),"",TRIM(SUBSTITUTE(SUBSTITUTE(INDEX('INPUT - Roster'!$S$1:$SV$206,$B5,Settings!$C$9+6)&amp;"",CHAR(10)," "),CHAR(160)," ")))</f>
        <v/>
      </c>
      <c r="M5">
        <f>IF(OR($B5="",NOT(ISNUMBER(Settings!$C$9))),"",TRIM(SUBSTITUTE(SUBSTITUTE(INDEX('INPUT - Roster'!$S$1:$SV$206,$B5,Settings!$C$9+7)&amp;"",CHAR(10)," "),CHAR(160)," ")))</f>
        <v/>
      </c>
      <c r="N5">
        <f>IF(OR($B5="",NOT(ISNUMBER(Settings!$C$9))),"",TRIM(SUBSTITUTE(SUBSTITUTE(INDEX('INPUT - Roster'!$S$1:$SV$206,$B5,Settings!$C$9+8)&amp;"",CHAR(10)," "),CHAR(160)," ")))</f>
        <v/>
      </c>
      <c r="O5">
        <f>IF(OR($B5="",NOT(ISNUMBER(Settings!$C$9))),"",TRIM(SUBSTITUTE(SUBSTITUTE(INDEX('INPUT - Roster'!$S$1:$SV$206,$B5,Settings!$C$9+9)&amp;"",CHAR(10)," "),CHAR(160)," ")))</f>
        <v/>
      </c>
      <c r="P5">
        <f>IF(OR($B5="",NOT(ISNUMBER(Settings!$C$9))),"",TRIM(SUBSTITUTE(SUBSTITUTE(INDEX('INPUT - Roster'!$S$1:$SV$206,$B5,Settings!$C$9+10)&amp;"",CHAR(10)," "),CHAR(160)," ")))</f>
        <v/>
      </c>
      <c r="Q5">
        <f>IF(OR($B5="",NOT(ISNUMBER(Settings!$C$9))),"",TRIM(SUBSTITUTE(SUBSTITUTE(INDEX('INPUT - Roster'!$S$1:$SV$206,$B5,Settings!$C$9+11)&amp;"",CHAR(10)," "),CHAR(160)," ")))</f>
        <v/>
      </c>
      <c r="R5">
        <f>IF(OR($B5="",NOT(ISNUMBER(Settings!$C$9))),"",TRIM(SUBSTITUTE(SUBSTITUTE(INDEX('INPUT - Roster'!$S$1:$SV$206,$B5,Settings!$C$9+12)&amp;"",CHAR(10)," "),CHAR(160)," ")))</f>
        <v/>
      </c>
      <c r="S5">
        <f>IF(OR($B5="",NOT(ISNUMBER(Settings!$C$9))),"",TRIM(SUBSTITUTE(SUBSTITUTE(INDEX('INPUT - Roster'!$S$1:$SV$206,$B5,Settings!$C$9+13)&amp;"",CHAR(10)," "),CHAR(160)," ")))</f>
        <v/>
      </c>
      <c r="T5">
        <f>IF(OR($B5="",NOT(ISNUMBER(Settings!$C$9))),"",TRIM(SUBSTITUTE(SUBSTITUTE(INDEX('INPUT - Roster'!$S$1:$SV$206,$B5,Settings!$C$9+14)&amp;"",CHAR(10)," "),CHAR(160)," ")))</f>
        <v/>
      </c>
      <c r="U5">
        <f>IF(OR($B5="",NOT(ISNUMBER(Settings!$C$9))),"",TRIM(SUBSTITUTE(SUBSTITUTE(INDEX('INPUT - Roster'!$S$1:$SV$206,$B5,Settings!$C$9+15)&amp;"",CHAR(10)," "),CHAR(160)," ")))</f>
        <v/>
      </c>
      <c r="V5">
        <f>IF(OR($B5="",NOT(ISNUMBER(Settings!$C$9))),"",TRIM(SUBSTITUTE(SUBSTITUTE(INDEX('INPUT - Roster'!$S$1:$SV$206,$B5,Settings!$C$9+16)&amp;"",CHAR(10)," "),CHAR(160)," ")))</f>
        <v/>
      </c>
      <c r="W5">
        <f>IF(OR($B5="",NOT(ISNUMBER(Settings!$C$9))),"",TRIM(SUBSTITUTE(SUBSTITUTE(INDEX('INPUT - Roster'!$S$1:$SV$206,$B5,Settings!$C$9+17)&amp;"",CHAR(10)," "),CHAR(160)," ")))</f>
        <v/>
      </c>
      <c r="X5">
        <f>IF(OR($B5="",NOT(ISNUMBER(Settings!$C$9))),"",TRIM(SUBSTITUTE(SUBSTITUTE(INDEX('INPUT - Roster'!$S$1:$SV$206,$B5,Settings!$C$9+18)&amp;"",CHAR(10)," "),CHAR(160)," ")))</f>
        <v/>
      </c>
      <c r="Y5">
        <f>IF(OR($B5="",NOT(ISNUMBER(Settings!$C$9))),"",TRIM(SUBSTITUTE(SUBSTITUTE(INDEX('INPUT - Roster'!$S$1:$SV$206,$B5,Settings!$C$9+19)&amp;"",CHAR(10)," "),CHAR(160)," ")))</f>
        <v/>
      </c>
      <c r="Z5">
        <f>IF(OR($B5="",NOT(ISNUMBER(Settings!$C$9))),"",TRIM(SUBSTITUTE(SUBSTITUTE(INDEX('INPUT - Roster'!$S$1:$SV$206,$B5,Settings!$C$9+20)&amp;"",CHAR(10)," "),CHAR(160)," ")))</f>
        <v/>
      </c>
      <c r="AA5">
        <f>IF(OR($B5="",NOT(ISNUMBER(Settings!$C$9))),"",TRIM(SUBSTITUTE(SUBSTITUTE(INDEX('INPUT - Roster'!$S$1:$SV$206,$B5,Settings!$C$9+21)&amp;"",CHAR(10)," "),CHAR(160)," ")))</f>
        <v/>
      </c>
      <c r="AB5">
        <f>IF(OR($B5="",NOT(ISNUMBER(Settings!$C$9))),"",TRIM(SUBSTITUTE(SUBSTITUTE(INDEX('INPUT - Roster'!$S$1:$SV$206,$B5,Settings!$C$9+22)&amp;"",CHAR(10)," "),CHAR(160)," ")))</f>
        <v/>
      </c>
      <c r="AC5">
        <f>IF(OR($B5="",NOT(ISNUMBER(Settings!$C$9))),"",TRIM(SUBSTITUTE(SUBSTITUTE(INDEX('INPUT - Roster'!$S$1:$SV$206,$B5,Settings!$C$9+23)&amp;"",CHAR(10)," "),CHAR(160)," ")))</f>
        <v/>
      </c>
      <c r="AD5">
        <f>IF(OR($B5="",NOT(ISNUMBER(Settings!$C$9))),"",TRIM(SUBSTITUTE(SUBSTITUTE(INDEX('INPUT - Roster'!$S$1:$SV$206,$B5,Settings!$C$9+24)&amp;"",CHAR(10)," "),CHAR(160)," ")))</f>
        <v/>
      </c>
      <c r="AE5">
        <f>IF(OR($B5="",NOT(ISNUMBER(Settings!$C$9))),"",TRIM(SUBSTITUTE(SUBSTITUTE(INDEX('INPUT - Roster'!$S$1:$SV$206,$B5,Settings!$C$9+25)&amp;"",CHAR(10)," "),CHAR(160)," ")))</f>
        <v/>
      </c>
      <c r="AF5">
        <f>IF(OR($B5="",NOT(ISNUMBER(Settings!$C$9))),"",TRIM(SUBSTITUTE(SUBSTITUTE(INDEX('INPUT - Roster'!$S$1:$SV$206,$B5,Settings!$C$9+26)&amp;"",CHAR(10)," "),CHAR(160)," ")))</f>
        <v/>
      </c>
      <c r="AG5">
        <f>IF(OR($B5="",NOT(ISNUMBER(Settings!$C$9))),"",TRIM(SUBSTITUTE(SUBSTITUTE(INDEX('INPUT - Roster'!$S$1:$SV$206,$B5,Settings!$C$9+27)&amp;"",CHAR(10)," "),CHAR(160)," ")))</f>
        <v/>
      </c>
      <c r="AI5">
        <f>IF($B5="","",IF(F5="","Not rostered",IFERROR(INDEX(Settings!$C$14:$C$33,MATCH(F5,Settings!$B$14:$B$33,0)),IFERROR(LOOKUP(2^15,SEARCH(Settings!$I$14:$I$83,F5)/(Settings!$I$14:$I$83&lt;&gt;""),Settings!$J$14:$J$83),"Other"))))</f>
        <v/>
      </c>
      <c r="AJ5">
        <f>IF($B5="","",IF(G5="","Not rostered",IFERROR(INDEX(Settings!$C$14:$C$33,MATCH(G5,Settings!$B$14:$B$33,0)),IFERROR(LOOKUP(2^15,SEARCH(Settings!$I$14:$I$83,G5)/(Settings!$I$14:$I$83&lt;&gt;""),Settings!$J$14:$J$83),"Other"))))</f>
        <v/>
      </c>
      <c r="AK5">
        <f>IF($B5="","",IF(H5="","Not rostered",IFERROR(INDEX(Settings!$C$14:$C$33,MATCH(H5,Settings!$B$14:$B$33,0)),IFERROR(LOOKUP(2^15,SEARCH(Settings!$I$14:$I$83,H5)/(Settings!$I$14:$I$83&lt;&gt;""),Settings!$J$14:$J$83),"Other"))))</f>
        <v/>
      </c>
      <c r="AL5">
        <f>IF($B5="","",IF(I5="","Not rostered",IFERROR(INDEX(Settings!$C$14:$C$33,MATCH(I5,Settings!$B$14:$B$33,0)),IFERROR(LOOKUP(2^15,SEARCH(Settings!$I$14:$I$83,I5)/(Settings!$I$14:$I$83&lt;&gt;""),Settings!$J$14:$J$83),"Other"))))</f>
        <v/>
      </c>
      <c r="AM5">
        <f>IF($B5="","",IF(J5="","Not rostered",IFERROR(INDEX(Settings!$C$14:$C$33,MATCH(J5,Settings!$B$14:$B$33,0)),IFERROR(LOOKUP(2^15,SEARCH(Settings!$I$14:$I$83,J5)/(Settings!$I$14:$I$83&lt;&gt;""),Settings!$J$14:$J$83),"Other"))))</f>
        <v/>
      </c>
      <c r="AN5">
        <f>IF($B5="","",IF(K5="","Not rostered",IFERROR(INDEX(Settings!$C$14:$C$33,MATCH(K5,Settings!$B$14:$B$33,0)),IFERROR(LOOKUP(2^15,SEARCH(Settings!$I$14:$I$83,K5)/(Settings!$I$14:$I$83&lt;&gt;""),Settings!$J$14:$J$83),"Other"))))</f>
        <v/>
      </c>
      <c r="AO5">
        <f>IF($B5="","",IF(L5="","Not rostered",IFERROR(INDEX(Settings!$C$14:$C$33,MATCH(L5,Settings!$B$14:$B$33,0)),IFERROR(LOOKUP(2^15,SEARCH(Settings!$I$14:$I$83,L5)/(Settings!$I$14:$I$83&lt;&gt;""),Settings!$J$14:$J$83),"Other"))))</f>
        <v/>
      </c>
      <c r="AP5">
        <f>IF($B5="","",IF(M5="","Not rostered",IFERROR(INDEX(Settings!$C$14:$C$33,MATCH(M5,Settings!$B$14:$B$33,0)),IFERROR(LOOKUP(2^15,SEARCH(Settings!$I$14:$I$83,M5)/(Settings!$I$14:$I$83&lt;&gt;""),Settings!$J$14:$J$83),"Other"))))</f>
        <v/>
      </c>
      <c r="AQ5">
        <f>IF($B5="","",IF(N5="","Not rostered",IFERROR(INDEX(Settings!$C$14:$C$33,MATCH(N5,Settings!$B$14:$B$33,0)),IFERROR(LOOKUP(2^15,SEARCH(Settings!$I$14:$I$83,N5)/(Settings!$I$14:$I$83&lt;&gt;""),Settings!$J$14:$J$83),"Other"))))</f>
        <v/>
      </c>
      <c r="AR5">
        <f>IF($B5="","",IF(O5="","Not rostered",IFERROR(INDEX(Settings!$C$14:$C$33,MATCH(O5,Settings!$B$14:$B$33,0)),IFERROR(LOOKUP(2^15,SEARCH(Settings!$I$14:$I$83,O5)/(Settings!$I$14:$I$83&lt;&gt;""),Settings!$J$14:$J$83),"Other"))))</f>
        <v/>
      </c>
      <c r="AS5">
        <f>IF($B5="","",IF(P5="","Not rostered",IFERROR(INDEX(Settings!$C$14:$C$33,MATCH(P5,Settings!$B$14:$B$33,0)),IFERROR(LOOKUP(2^15,SEARCH(Settings!$I$14:$I$83,P5)/(Settings!$I$14:$I$83&lt;&gt;""),Settings!$J$14:$J$83),"Other"))))</f>
        <v/>
      </c>
      <c r="AT5">
        <f>IF($B5="","",IF(Q5="","Not rostered",IFERROR(INDEX(Settings!$C$14:$C$33,MATCH(Q5,Settings!$B$14:$B$33,0)),IFERROR(LOOKUP(2^15,SEARCH(Settings!$I$14:$I$83,Q5)/(Settings!$I$14:$I$83&lt;&gt;""),Settings!$J$14:$J$83),"Other"))))</f>
        <v/>
      </c>
      <c r="AU5">
        <f>IF($B5="","",IF(R5="","Not rostered",IFERROR(INDEX(Settings!$C$14:$C$33,MATCH(R5,Settings!$B$14:$B$33,0)),IFERROR(LOOKUP(2^15,SEARCH(Settings!$I$14:$I$83,R5)/(Settings!$I$14:$I$83&lt;&gt;""),Settings!$J$14:$J$83),"Other"))))</f>
        <v/>
      </c>
      <c r="AV5">
        <f>IF($B5="","",IF(S5="","Not rostered",IFERROR(INDEX(Settings!$C$14:$C$33,MATCH(S5,Settings!$B$14:$B$33,0)),IFERROR(LOOKUP(2^15,SEARCH(Settings!$I$14:$I$83,S5)/(Settings!$I$14:$I$83&lt;&gt;""),Settings!$J$14:$J$83),"Other"))))</f>
        <v/>
      </c>
      <c r="AW5">
        <f>IF($B5="","",IF(T5="","Not rostered",IFERROR(INDEX(Settings!$C$14:$C$33,MATCH(T5,Settings!$B$14:$B$33,0)),IFERROR(LOOKUP(2^15,SEARCH(Settings!$I$14:$I$83,T5)/(Settings!$I$14:$I$83&lt;&gt;""),Settings!$J$14:$J$83),"Other"))))</f>
        <v/>
      </c>
      <c r="AX5">
        <f>IF($B5="","",IF(U5="","Not rostered",IFERROR(INDEX(Settings!$C$14:$C$33,MATCH(U5,Settings!$B$14:$B$33,0)),IFERROR(LOOKUP(2^15,SEARCH(Settings!$I$14:$I$83,U5)/(Settings!$I$14:$I$83&lt;&gt;""),Settings!$J$14:$J$83),"Other"))))</f>
        <v/>
      </c>
      <c r="AY5">
        <f>IF($B5="","",IF(V5="","Not rostered",IFERROR(INDEX(Settings!$C$14:$C$33,MATCH(V5,Settings!$B$14:$B$33,0)),IFERROR(LOOKUP(2^15,SEARCH(Settings!$I$14:$I$83,V5)/(Settings!$I$14:$I$83&lt;&gt;""),Settings!$J$14:$J$83),"Other"))))</f>
        <v/>
      </c>
      <c r="AZ5">
        <f>IF($B5="","",IF(W5="","Not rostered",IFERROR(INDEX(Settings!$C$14:$C$33,MATCH(W5,Settings!$B$14:$B$33,0)),IFERROR(LOOKUP(2^15,SEARCH(Settings!$I$14:$I$83,W5)/(Settings!$I$14:$I$83&lt;&gt;""),Settings!$J$14:$J$83),"Other"))))</f>
        <v/>
      </c>
      <c r="BA5">
        <f>IF($B5="","",IF(X5="","Not rostered",IFERROR(INDEX(Settings!$C$14:$C$33,MATCH(X5,Settings!$B$14:$B$33,0)),IFERROR(LOOKUP(2^15,SEARCH(Settings!$I$14:$I$83,X5)/(Settings!$I$14:$I$83&lt;&gt;""),Settings!$J$14:$J$83),"Other"))))</f>
        <v/>
      </c>
      <c r="BB5">
        <f>IF($B5="","",IF(Y5="","Not rostered",IFERROR(INDEX(Settings!$C$14:$C$33,MATCH(Y5,Settings!$B$14:$B$33,0)),IFERROR(LOOKUP(2^15,SEARCH(Settings!$I$14:$I$83,Y5)/(Settings!$I$14:$I$83&lt;&gt;""),Settings!$J$14:$J$83),"Other"))))</f>
        <v/>
      </c>
      <c r="BC5">
        <f>IF($B5="","",IF(Z5="","Not rostered",IFERROR(INDEX(Settings!$C$14:$C$33,MATCH(Z5,Settings!$B$14:$B$33,0)),IFERROR(LOOKUP(2^15,SEARCH(Settings!$I$14:$I$83,Z5)/(Settings!$I$14:$I$83&lt;&gt;""),Settings!$J$14:$J$83),"Other"))))</f>
        <v/>
      </c>
      <c r="BD5">
        <f>IF($B5="","",IF(AA5="","Not rostered",IFERROR(INDEX(Settings!$C$14:$C$33,MATCH(AA5,Settings!$B$14:$B$33,0)),IFERROR(LOOKUP(2^15,SEARCH(Settings!$I$14:$I$83,AA5)/(Settings!$I$14:$I$83&lt;&gt;""),Settings!$J$14:$J$83),"Other"))))</f>
        <v/>
      </c>
      <c r="BE5">
        <f>IF($B5="","",IF(AB5="","Not rostered",IFERROR(INDEX(Settings!$C$14:$C$33,MATCH(AB5,Settings!$B$14:$B$33,0)),IFERROR(LOOKUP(2^15,SEARCH(Settings!$I$14:$I$83,AB5)/(Settings!$I$14:$I$83&lt;&gt;""),Settings!$J$14:$J$83),"Other"))))</f>
        <v/>
      </c>
      <c r="BF5">
        <f>IF($B5="","",IF(AC5="","Not rostered",IFERROR(INDEX(Settings!$C$14:$C$33,MATCH(AC5,Settings!$B$14:$B$33,0)),IFERROR(LOOKUP(2^15,SEARCH(Settings!$I$14:$I$83,AC5)/(Settings!$I$14:$I$83&lt;&gt;""),Settings!$J$14:$J$83),"Other"))))</f>
        <v/>
      </c>
      <c r="BG5">
        <f>IF($B5="","",IF(AD5="","Not rostered",IFERROR(INDEX(Settings!$C$14:$C$33,MATCH(AD5,Settings!$B$14:$B$33,0)),IFERROR(LOOKUP(2^15,SEARCH(Settings!$I$14:$I$83,AD5)/(Settings!$I$14:$I$83&lt;&gt;""),Settings!$J$14:$J$83),"Other"))))</f>
        <v/>
      </c>
      <c r="BH5">
        <f>IF($B5="","",IF(AE5="","Not rostered",IFERROR(INDEX(Settings!$C$14:$C$33,MATCH(AE5,Settings!$B$14:$B$33,0)),IFERROR(LOOKUP(2^15,SEARCH(Settings!$I$14:$I$83,AE5)/(Settings!$I$14:$I$83&lt;&gt;""),Settings!$J$14:$J$83),"Other"))))</f>
        <v/>
      </c>
      <c r="BI5">
        <f>IF($B5="","",IF(AF5="","Not rostered",IFERROR(INDEX(Settings!$C$14:$C$33,MATCH(AF5,Settings!$B$14:$B$33,0)),IFERROR(LOOKUP(2^15,SEARCH(Settings!$I$14:$I$83,AF5)/(Settings!$I$14:$I$83&lt;&gt;""),Settings!$J$14:$J$83),"Other"))))</f>
        <v/>
      </c>
      <c r="BJ5">
        <f>IF($B5="","",IF(AG5="","Not rostered",IFERROR(INDEX(Settings!$C$14:$C$33,MATCH(AG5,Settings!$B$14:$B$33,0)),IFERROR(LOOKUP(2^15,SEARCH(Settings!$I$14:$I$83,AG5)/(Settings!$I$14:$I$83&lt;&gt;""),Settings!$J$14:$J$83),"Other"))))</f>
        <v/>
      </c>
      <c r="BL5">
        <f>IF(OR($B5="",F5=""),"",IFERROR(INDEX(Settings!$D$14:$D$33,MATCH(F5,Settings!$B$14:$B$33,0))&amp;"",IFERROR(LOOKUP(2^15,SEARCH(Settings!$F$14:$F$43,F5)/(Settings!$F$14:$F$43&lt;&gt;""),Settings!$G$14:$G$43),"")))</f>
        <v/>
      </c>
      <c r="BM5">
        <f>IF(OR($B5="",G5=""),"",IFERROR(INDEX(Settings!$D$14:$D$33,MATCH(G5,Settings!$B$14:$B$33,0))&amp;"",IFERROR(LOOKUP(2^15,SEARCH(Settings!$F$14:$F$43,G5)/(Settings!$F$14:$F$43&lt;&gt;""),Settings!$G$14:$G$43),"")))</f>
        <v/>
      </c>
      <c r="BN5">
        <f>IF(OR($B5="",H5=""),"",IFERROR(INDEX(Settings!$D$14:$D$33,MATCH(H5,Settings!$B$14:$B$33,0))&amp;"",IFERROR(LOOKUP(2^15,SEARCH(Settings!$F$14:$F$43,H5)/(Settings!$F$14:$F$43&lt;&gt;""),Settings!$G$14:$G$43),"")))</f>
        <v/>
      </c>
      <c r="BO5">
        <f>IF(OR($B5="",I5=""),"",IFERROR(INDEX(Settings!$D$14:$D$33,MATCH(I5,Settings!$B$14:$B$33,0))&amp;"",IFERROR(LOOKUP(2^15,SEARCH(Settings!$F$14:$F$43,I5)/(Settings!$F$14:$F$43&lt;&gt;""),Settings!$G$14:$G$43),"")))</f>
        <v/>
      </c>
      <c r="BP5">
        <f>IF(OR($B5="",J5=""),"",IFERROR(INDEX(Settings!$D$14:$D$33,MATCH(J5,Settings!$B$14:$B$33,0))&amp;"",IFERROR(LOOKUP(2^15,SEARCH(Settings!$F$14:$F$43,J5)/(Settings!$F$14:$F$43&lt;&gt;""),Settings!$G$14:$G$43),"")))</f>
        <v/>
      </c>
      <c r="BQ5">
        <f>IF(OR($B5="",K5=""),"",IFERROR(INDEX(Settings!$D$14:$D$33,MATCH(K5,Settings!$B$14:$B$33,0))&amp;"",IFERROR(LOOKUP(2^15,SEARCH(Settings!$F$14:$F$43,K5)/(Settings!$F$14:$F$43&lt;&gt;""),Settings!$G$14:$G$43),"")))</f>
        <v/>
      </c>
      <c r="BR5">
        <f>IF(OR($B5="",L5=""),"",IFERROR(INDEX(Settings!$D$14:$D$33,MATCH(L5,Settings!$B$14:$B$33,0))&amp;"",IFERROR(LOOKUP(2^15,SEARCH(Settings!$F$14:$F$43,L5)/(Settings!$F$14:$F$43&lt;&gt;""),Settings!$G$14:$G$43),"")))</f>
        <v/>
      </c>
      <c r="BS5">
        <f>IF(OR($B5="",M5=""),"",IFERROR(INDEX(Settings!$D$14:$D$33,MATCH(M5,Settings!$B$14:$B$33,0))&amp;"",IFERROR(LOOKUP(2^15,SEARCH(Settings!$F$14:$F$43,M5)/(Settings!$F$14:$F$43&lt;&gt;""),Settings!$G$14:$G$43),"")))</f>
        <v/>
      </c>
      <c r="BT5">
        <f>IF(OR($B5="",N5=""),"",IFERROR(INDEX(Settings!$D$14:$D$33,MATCH(N5,Settings!$B$14:$B$33,0))&amp;"",IFERROR(LOOKUP(2^15,SEARCH(Settings!$F$14:$F$43,N5)/(Settings!$F$14:$F$43&lt;&gt;""),Settings!$G$14:$G$43),"")))</f>
        <v/>
      </c>
      <c r="BU5">
        <f>IF(OR($B5="",O5=""),"",IFERROR(INDEX(Settings!$D$14:$D$33,MATCH(O5,Settings!$B$14:$B$33,0))&amp;"",IFERROR(LOOKUP(2^15,SEARCH(Settings!$F$14:$F$43,O5)/(Settings!$F$14:$F$43&lt;&gt;""),Settings!$G$14:$G$43),"")))</f>
        <v/>
      </c>
      <c r="BV5">
        <f>IF(OR($B5="",P5=""),"",IFERROR(INDEX(Settings!$D$14:$D$33,MATCH(P5,Settings!$B$14:$B$33,0))&amp;"",IFERROR(LOOKUP(2^15,SEARCH(Settings!$F$14:$F$43,P5)/(Settings!$F$14:$F$43&lt;&gt;""),Settings!$G$14:$G$43),"")))</f>
        <v/>
      </c>
      <c r="BW5">
        <f>IF(OR($B5="",Q5=""),"",IFERROR(INDEX(Settings!$D$14:$D$33,MATCH(Q5,Settings!$B$14:$B$33,0))&amp;"",IFERROR(LOOKUP(2^15,SEARCH(Settings!$F$14:$F$43,Q5)/(Settings!$F$14:$F$43&lt;&gt;""),Settings!$G$14:$G$43),"")))</f>
        <v/>
      </c>
      <c r="BX5">
        <f>IF(OR($B5="",R5=""),"",IFERROR(INDEX(Settings!$D$14:$D$33,MATCH(R5,Settings!$B$14:$B$33,0))&amp;"",IFERROR(LOOKUP(2^15,SEARCH(Settings!$F$14:$F$43,R5)/(Settings!$F$14:$F$43&lt;&gt;""),Settings!$G$14:$G$43),"")))</f>
        <v/>
      </c>
      <c r="BY5">
        <f>IF(OR($B5="",S5=""),"",IFERROR(INDEX(Settings!$D$14:$D$33,MATCH(S5,Settings!$B$14:$B$33,0))&amp;"",IFERROR(LOOKUP(2^15,SEARCH(Settings!$F$14:$F$43,S5)/(Settings!$F$14:$F$43&lt;&gt;""),Settings!$G$14:$G$43),"")))</f>
        <v/>
      </c>
      <c r="BZ5">
        <f>IF(OR($B5="",T5=""),"",IFERROR(INDEX(Settings!$D$14:$D$33,MATCH(T5,Settings!$B$14:$B$33,0))&amp;"",IFERROR(LOOKUP(2^15,SEARCH(Settings!$F$14:$F$43,T5)/(Settings!$F$14:$F$43&lt;&gt;""),Settings!$G$14:$G$43),"")))</f>
        <v/>
      </c>
      <c r="CA5">
        <f>IF(OR($B5="",U5=""),"",IFERROR(INDEX(Settings!$D$14:$D$33,MATCH(U5,Settings!$B$14:$B$33,0))&amp;"",IFERROR(LOOKUP(2^15,SEARCH(Settings!$F$14:$F$43,U5)/(Settings!$F$14:$F$43&lt;&gt;""),Settings!$G$14:$G$43),"")))</f>
        <v/>
      </c>
      <c r="CB5">
        <f>IF(OR($B5="",V5=""),"",IFERROR(INDEX(Settings!$D$14:$D$33,MATCH(V5,Settings!$B$14:$B$33,0))&amp;"",IFERROR(LOOKUP(2^15,SEARCH(Settings!$F$14:$F$43,V5)/(Settings!$F$14:$F$43&lt;&gt;""),Settings!$G$14:$G$43),"")))</f>
        <v/>
      </c>
      <c r="CC5">
        <f>IF(OR($B5="",W5=""),"",IFERROR(INDEX(Settings!$D$14:$D$33,MATCH(W5,Settings!$B$14:$B$33,0))&amp;"",IFERROR(LOOKUP(2^15,SEARCH(Settings!$F$14:$F$43,W5)/(Settings!$F$14:$F$43&lt;&gt;""),Settings!$G$14:$G$43),"")))</f>
        <v/>
      </c>
      <c r="CD5">
        <f>IF(OR($B5="",X5=""),"",IFERROR(INDEX(Settings!$D$14:$D$33,MATCH(X5,Settings!$B$14:$B$33,0))&amp;"",IFERROR(LOOKUP(2^15,SEARCH(Settings!$F$14:$F$43,X5)/(Settings!$F$14:$F$43&lt;&gt;""),Settings!$G$14:$G$43),"")))</f>
        <v/>
      </c>
      <c r="CE5">
        <f>IF(OR($B5="",Y5=""),"",IFERROR(INDEX(Settings!$D$14:$D$33,MATCH(Y5,Settings!$B$14:$B$33,0))&amp;"",IFERROR(LOOKUP(2^15,SEARCH(Settings!$F$14:$F$43,Y5)/(Settings!$F$14:$F$43&lt;&gt;""),Settings!$G$14:$G$43),"")))</f>
        <v/>
      </c>
      <c r="CF5">
        <f>IF(OR($B5="",Z5=""),"",IFERROR(INDEX(Settings!$D$14:$D$33,MATCH(Z5,Settings!$B$14:$B$33,0))&amp;"",IFERROR(LOOKUP(2^15,SEARCH(Settings!$F$14:$F$43,Z5)/(Settings!$F$14:$F$43&lt;&gt;""),Settings!$G$14:$G$43),"")))</f>
        <v/>
      </c>
      <c r="CG5">
        <f>IF(OR($B5="",AA5=""),"",IFERROR(INDEX(Settings!$D$14:$D$33,MATCH(AA5,Settings!$B$14:$B$33,0))&amp;"",IFERROR(LOOKUP(2^15,SEARCH(Settings!$F$14:$F$43,AA5)/(Settings!$F$14:$F$43&lt;&gt;""),Settings!$G$14:$G$43),"")))</f>
        <v/>
      </c>
      <c r="CH5">
        <f>IF(OR($B5="",AB5=""),"",IFERROR(INDEX(Settings!$D$14:$D$33,MATCH(AB5,Settings!$B$14:$B$33,0))&amp;"",IFERROR(LOOKUP(2^15,SEARCH(Settings!$F$14:$F$43,AB5)/(Settings!$F$14:$F$43&lt;&gt;""),Settings!$G$14:$G$43),"")))</f>
        <v/>
      </c>
      <c r="CI5">
        <f>IF(OR($B5="",AC5=""),"",IFERROR(INDEX(Settings!$D$14:$D$33,MATCH(AC5,Settings!$B$14:$B$33,0))&amp;"",IFERROR(LOOKUP(2^15,SEARCH(Settings!$F$14:$F$43,AC5)/(Settings!$F$14:$F$43&lt;&gt;""),Settings!$G$14:$G$43),"")))</f>
        <v/>
      </c>
      <c r="CJ5">
        <f>IF(OR($B5="",AD5=""),"",IFERROR(INDEX(Settings!$D$14:$D$33,MATCH(AD5,Settings!$B$14:$B$33,0))&amp;"",IFERROR(LOOKUP(2^15,SEARCH(Settings!$F$14:$F$43,AD5)/(Settings!$F$14:$F$43&lt;&gt;""),Settings!$G$14:$G$43),"")))</f>
        <v/>
      </c>
      <c r="CK5">
        <f>IF(OR($B5="",AE5=""),"",IFERROR(INDEX(Settings!$D$14:$D$33,MATCH(AE5,Settings!$B$14:$B$33,0))&amp;"",IFERROR(LOOKUP(2^15,SEARCH(Settings!$F$14:$F$43,AE5)/(Settings!$F$14:$F$43&lt;&gt;""),Settings!$G$14:$G$43),"")))</f>
        <v/>
      </c>
      <c r="CL5">
        <f>IF(OR($B5="",AF5=""),"",IFERROR(INDEX(Settings!$D$14:$D$33,MATCH(AF5,Settings!$B$14:$B$33,0))&amp;"",IFERROR(LOOKUP(2^15,SEARCH(Settings!$F$14:$F$43,AF5)/(Settings!$F$14:$F$43&lt;&gt;""),Settings!$G$14:$G$43),"")))</f>
        <v/>
      </c>
      <c r="CM5">
        <f>IF(OR($B5="",AG5=""),"",IFERROR(INDEX(Settings!$D$14:$D$33,MATCH(AG5,Settings!$B$14:$B$33,0))&amp;"",IFERROR(LOOKUP(2^15,SEARCH(Settings!$F$14:$F$43,AG5)/(Settings!$F$14:$F$43&lt;&gt;""),Settings!$G$14:$G$43),"")))</f>
        <v/>
      </c>
    </row>
    <row r="6">
      <c r="A6" t="n">
        <v>4</v>
      </c>
      <c r="B6">
        <f>IFERROR(INDEX(Index!$A$2:$A$202,MATCH(A6,Index!$E$2:$E$202,0)),"")</f>
        <v/>
      </c>
      <c r="D6">
        <f>IF($B6="","",IFERROR(MATCH("Travel*",AI6:BJ6,0),""))</f>
        <v/>
      </c>
      <c r="F6">
        <f>IF(OR($B6="",NOT(ISNUMBER(Settings!$C$9))),"",TRIM(SUBSTITUTE(SUBSTITUTE(INDEX('INPUT - Roster'!$S$1:$SV$206,$B6,Settings!$C$9+0)&amp;"",CHAR(10)," "),CHAR(160)," ")))</f>
        <v/>
      </c>
      <c r="G6">
        <f>IF(OR($B6="",NOT(ISNUMBER(Settings!$C$9))),"",TRIM(SUBSTITUTE(SUBSTITUTE(INDEX('INPUT - Roster'!$S$1:$SV$206,$B6,Settings!$C$9+1)&amp;"",CHAR(10)," "),CHAR(160)," ")))</f>
        <v/>
      </c>
      <c r="H6">
        <f>IF(OR($B6="",NOT(ISNUMBER(Settings!$C$9))),"",TRIM(SUBSTITUTE(SUBSTITUTE(INDEX('INPUT - Roster'!$S$1:$SV$206,$B6,Settings!$C$9+2)&amp;"",CHAR(10)," "),CHAR(160)," ")))</f>
        <v/>
      </c>
      <c r="I6">
        <f>IF(OR($B6="",NOT(ISNUMBER(Settings!$C$9))),"",TRIM(SUBSTITUTE(SUBSTITUTE(INDEX('INPUT - Roster'!$S$1:$SV$206,$B6,Settings!$C$9+3)&amp;"",CHAR(10)," "),CHAR(160)," ")))</f>
        <v/>
      </c>
      <c r="J6">
        <f>IF(OR($B6="",NOT(ISNUMBER(Settings!$C$9))),"",TRIM(SUBSTITUTE(SUBSTITUTE(INDEX('INPUT - Roster'!$S$1:$SV$206,$B6,Settings!$C$9+4)&amp;"",CHAR(10)," "),CHAR(160)," ")))</f>
        <v/>
      </c>
      <c r="K6">
        <f>IF(OR($B6="",NOT(ISNUMBER(Settings!$C$9))),"",TRIM(SUBSTITUTE(SUBSTITUTE(INDEX('INPUT - Roster'!$S$1:$SV$206,$B6,Settings!$C$9+5)&amp;"",CHAR(10)," "),CHAR(160)," ")))</f>
        <v/>
      </c>
      <c r="L6">
        <f>IF(OR($B6="",NOT(ISNUMBER(Settings!$C$9))),"",TRIM(SUBSTITUTE(SUBSTITUTE(INDEX('INPUT - Roster'!$S$1:$SV$206,$B6,Settings!$C$9+6)&amp;"",CHAR(10)," "),CHAR(160)," ")))</f>
        <v/>
      </c>
      <c r="M6">
        <f>IF(OR($B6="",NOT(ISNUMBER(Settings!$C$9))),"",TRIM(SUBSTITUTE(SUBSTITUTE(INDEX('INPUT - Roster'!$S$1:$SV$206,$B6,Settings!$C$9+7)&amp;"",CHAR(10)," "),CHAR(160)," ")))</f>
        <v/>
      </c>
      <c r="N6">
        <f>IF(OR($B6="",NOT(ISNUMBER(Settings!$C$9))),"",TRIM(SUBSTITUTE(SUBSTITUTE(INDEX('INPUT - Roster'!$S$1:$SV$206,$B6,Settings!$C$9+8)&amp;"",CHAR(10)," "),CHAR(160)," ")))</f>
        <v/>
      </c>
      <c r="O6">
        <f>IF(OR($B6="",NOT(ISNUMBER(Settings!$C$9))),"",TRIM(SUBSTITUTE(SUBSTITUTE(INDEX('INPUT - Roster'!$S$1:$SV$206,$B6,Settings!$C$9+9)&amp;"",CHAR(10)," "),CHAR(160)," ")))</f>
        <v/>
      </c>
      <c r="P6">
        <f>IF(OR($B6="",NOT(ISNUMBER(Settings!$C$9))),"",TRIM(SUBSTITUTE(SUBSTITUTE(INDEX('INPUT - Roster'!$S$1:$SV$206,$B6,Settings!$C$9+10)&amp;"",CHAR(10)," "),CHAR(160)," ")))</f>
        <v/>
      </c>
      <c r="Q6">
        <f>IF(OR($B6="",NOT(ISNUMBER(Settings!$C$9))),"",TRIM(SUBSTITUTE(SUBSTITUTE(INDEX('INPUT - Roster'!$S$1:$SV$206,$B6,Settings!$C$9+11)&amp;"",CHAR(10)," "),CHAR(160)," ")))</f>
        <v/>
      </c>
      <c r="R6">
        <f>IF(OR($B6="",NOT(ISNUMBER(Settings!$C$9))),"",TRIM(SUBSTITUTE(SUBSTITUTE(INDEX('INPUT - Roster'!$S$1:$SV$206,$B6,Settings!$C$9+12)&amp;"",CHAR(10)," "),CHAR(160)," ")))</f>
        <v/>
      </c>
      <c r="S6">
        <f>IF(OR($B6="",NOT(ISNUMBER(Settings!$C$9))),"",TRIM(SUBSTITUTE(SUBSTITUTE(INDEX('INPUT - Roster'!$S$1:$SV$206,$B6,Settings!$C$9+13)&amp;"",CHAR(10)," "),CHAR(160)," ")))</f>
        <v/>
      </c>
      <c r="T6">
        <f>IF(OR($B6="",NOT(ISNUMBER(Settings!$C$9))),"",TRIM(SUBSTITUTE(SUBSTITUTE(INDEX('INPUT - Roster'!$S$1:$SV$206,$B6,Settings!$C$9+14)&amp;"",CHAR(10)," "),CHAR(160)," ")))</f>
        <v/>
      </c>
      <c r="U6">
        <f>IF(OR($B6="",NOT(ISNUMBER(Settings!$C$9))),"",TRIM(SUBSTITUTE(SUBSTITUTE(INDEX('INPUT - Roster'!$S$1:$SV$206,$B6,Settings!$C$9+15)&amp;"",CHAR(10)," "),CHAR(160)," ")))</f>
        <v/>
      </c>
      <c r="V6">
        <f>IF(OR($B6="",NOT(ISNUMBER(Settings!$C$9))),"",TRIM(SUBSTITUTE(SUBSTITUTE(INDEX('INPUT - Roster'!$S$1:$SV$206,$B6,Settings!$C$9+16)&amp;"",CHAR(10)," "),CHAR(160)," ")))</f>
        <v/>
      </c>
      <c r="W6">
        <f>IF(OR($B6="",NOT(ISNUMBER(Settings!$C$9))),"",TRIM(SUBSTITUTE(SUBSTITUTE(INDEX('INPUT - Roster'!$S$1:$SV$206,$B6,Settings!$C$9+17)&amp;"",CHAR(10)," "),CHAR(160)," ")))</f>
        <v/>
      </c>
      <c r="X6">
        <f>IF(OR($B6="",NOT(ISNUMBER(Settings!$C$9))),"",TRIM(SUBSTITUTE(SUBSTITUTE(INDEX('INPUT - Roster'!$S$1:$SV$206,$B6,Settings!$C$9+18)&amp;"",CHAR(10)," "),CHAR(160)," ")))</f>
        <v/>
      </c>
      <c r="Y6">
        <f>IF(OR($B6="",NOT(ISNUMBER(Settings!$C$9))),"",TRIM(SUBSTITUTE(SUBSTITUTE(INDEX('INPUT - Roster'!$S$1:$SV$206,$B6,Settings!$C$9+19)&amp;"",CHAR(10)," "),CHAR(160)," ")))</f>
        <v/>
      </c>
      <c r="Z6">
        <f>IF(OR($B6="",NOT(ISNUMBER(Settings!$C$9))),"",TRIM(SUBSTITUTE(SUBSTITUTE(INDEX('INPUT - Roster'!$S$1:$SV$206,$B6,Settings!$C$9+20)&amp;"",CHAR(10)," "),CHAR(160)," ")))</f>
        <v/>
      </c>
      <c r="AA6">
        <f>IF(OR($B6="",NOT(ISNUMBER(Settings!$C$9))),"",TRIM(SUBSTITUTE(SUBSTITUTE(INDEX('INPUT - Roster'!$S$1:$SV$206,$B6,Settings!$C$9+21)&amp;"",CHAR(10)," "),CHAR(160)," ")))</f>
        <v/>
      </c>
      <c r="AB6">
        <f>IF(OR($B6="",NOT(ISNUMBER(Settings!$C$9))),"",TRIM(SUBSTITUTE(SUBSTITUTE(INDEX('INPUT - Roster'!$S$1:$SV$206,$B6,Settings!$C$9+22)&amp;"",CHAR(10)," "),CHAR(160)," ")))</f>
        <v/>
      </c>
      <c r="AC6">
        <f>IF(OR($B6="",NOT(ISNUMBER(Settings!$C$9))),"",TRIM(SUBSTITUTE(SUBSTITUTE(INDEX('INPUT - Roster'!$S$1:$SV$206,$B6,Settings!$C$9+23)&amp;"",CHAR(10)," "),CHAR(160)," ")))</f>
        <v/>
      </c>
      <c r="AD6">
        <f>IF(OR($B6="",NOT(ISNUMBER(Settings!$C$9))),"",TRIM(SUBSTITUTE(SUBSTITUTE(INDEX('INPUT - Roster'!$S$1:$SV$206,$B6,Settings!$C$9+24)&amp;"",CHAR(10)," "),CHAR(160)," ")))</f>
        <v/>
      </c>
      <c r="AE6">
        <f>IF(OR($B6="",NOT(ISNUMBER(Settings!$C$9))),"",TRIM(SUBSTITUTE(SUBSTITUTE(INDEX('INPUT - Roster'!$S$1:$SV$206,$B6,Settings!$C$9+25)&amp;"",CHAR(10)," "),CHAR(160)," ")))</f>
        <v/>
      </c>
      <c r="AF6">
        <f>IF(OR($B6="",NOT(ISNUMBER(Settings!$C$9))),"",TRIM(SUBSTITUTE(SUBSTITUTE(INDEX('INPUT - Roster'!$S$1:$SV$206,$B6,Settings!$C$9+26)&amp;"",CHAR(10)," "),CHAR(160)," ")))</f>
        <v/>
      </c>
      <c r="AG6">
        <f>IF(OR($B6="",NOT(ISNUMBER(Settings!$C$9))),"",TRIM(SUBSTITUTE(SUBSTITUTE(INDEX('INPUT - Roster'!$S$1:$SV$206,$B6,Settings!$C$9+27)&amp;"",CHAR(10)," "),CHAR(160)," ")))</f>
        <v/>
      </c>
      <c r="AI6">
        <f>IF($B6="","",IF(F6="","Not rostered",IFERROR(INDEX(Settings!$C$14:$C$33,MATCH(F6,Settings!$B$14:$B$33,0)),IFERROR(LOOKUP(2^15,SEARCH(Settings!$I$14:$I$83,F6)/(Settings!$I$14:$I$83&lt;&gt;""),Settings!$J$14:$J$83),"Other"))))</f>
        <v/>
      </c>
      <c r="AJ6">
        <f>IF($B6="","",IF(G6="","Not rostered",IFERROR(INDEX(Settings!$C$14:$C$33,MATCH(G6,Settings!$B$14:$B$33,0)),IFERROR(LOOKUP(2^15,SEARCH(Settings!$I$14:$I$83,G6)/(Settings!$I$14:$I$83&lt;&gt;""),Settings!$J$14:$J$83),"Other"))))</f>
        <v/>
      </c>
      <c r="AK6">
        <f>IF($B6="","",IF(H6="","Not rostered",IFERROR(INDEX(Settings!$C$14:$C$33,MATCH(H6,Settings!$B$14:$B$33,0)),IFERROR(LOOKUP(2^15,SEARCH(Settings!$I$14:$I$83,H6)/(Settings!$I$14:$I$83&lt;&gt;""),Settings!$J$14:$J$83),"Other"))))</f>
        <v/>
      </c>
      <c r="AL6">
        <f>IF($B6="","",IF(I6="","Not rostered",IFERROR(INDEX(Settings!$C$14:$C$33,MATCH(I6,Settings!$B$14:$B$33,0)),IFERROR(LOOKUP(2^15,SEARCH(Settings!$I$14:$I$83,I6)/(Settings!$I$14:$I$83&lt;&gt;""),Settings!$J$14:$J$83),"Other"))))</f>
        <v/>
      </c>
      <c r="AM6">
        <f>IF($B6="","",IF(J6="","Not rostered",IFERROR(INDEX(Settings!$C$14:$C$33,MATCH(J6,Settings!$B$14:$B$33,0)),IFERROR(LOOKUP(2^15,SEARCH(Settings!$I$14:$I$83,J6)/(Settings!$I$14:$I$83&lt;&gt;""),Settings!$J$14:$J$83),"Other"))))</f>
        <v/>
      </c>
      <c r="AN6">
        <f>IF($B6="","",IF(K6="","Not rostered",IFERROR(INDEX(Settings!$C$14:$C$33,MATCH(K6,Settings!$B$14:$B$33,0)),IFERROR(LOOKUP(2^15,SEARCH(Settings!$I$14:$I$83,K6)/(Settings!$I$14:$I$83&lt;&gt;""),Settings!$J$14:$J$83),"Other"))))</f>
        <v/>
      </c>
      <c r="AO6">
        <f>IF($B6="","",IF(L6="","Not rostered",IFERROR(INDEX(Settings!$C$14:$C$33,MATCH(L6,Settings!$B$14:$B$33,0)),IFERROR(LOOKUP(2^15,SEARCH(Settings!$I$14:$I$83,L6)/(Settings!$I$14:$I$83&lt;&gt;""),Settings!$J$14:$J$83),"Other"))))</f>
        <v/>
      </c>
      <c r="AP6">
        <f>IF($B6="","",IF(M6="","Not rostered",IFERROR(INDEX(Settings!$C$14:$C$33,MATCH(M6,Settings!$B$14:$B$33,0)),IFERROR(LOOKUP(2^15,SEARCH(Settings!$I$14:$I$83,M6)/(Settings!$I$14:$I$83&lt;&gt;""),Settings!$J$14:$J$83),"Other"))))</f>
        <v/>
      </c>
      <c r="AQ6">
        <f>IF($B6="","",IF(N6="","Not rostered",IFERROR(INDEX(Settings!$C$14:$C$33,MATCH(N6,Settings!$B$14:$B$33,0)),IFERROR(LOOKUP(2^15,SEARCH(Settings!$I$14:$I$83,N6)/(Settings!$I$14:$I$83&lt;&gt;""),Settings!$J$14:$J$83),"Other"))))</f>
        <v/>
      </c>
      <c r="AR6">
        <f>IF($B6="","",IF(O6="","Not rostered",IFERROR(INDEX(Settings!$C$14:$C$33,MATCH(O6,Settings!$B$14:$B$33,0)),IFERROR(LOOKUP(2^15,SEARCH(Settings!$I$14:$I$83,O6)/(Settings!$I$14:$I$83&lt;&gt;""),Settings!$J$14:$J$83),"Other"))))</f>
        <v/>
      </c>
      <c r="AS6">
        <f>IF($B6="","",IF(P6="","Not rostered",IFERROR(INDEX(Settings!$C$14:$C$33,MATCH(P6,Settings!$B$14:$B$33,0)),IFERROR(LOOKUP(2^15,SEARCH(Settings!$I$14:$I$83,P6)/(Settings!$I$14:$I$83&lt;&gt;""),Settings!$J$14:$J$83),"Other"))))</f>
        <v/>
      </c>
      <c r="AT6">
        <f>IF($B6="","",IF(Q6="","Not rostered",IFERROR(INDEX(Settings!$C$14:$C$33,MATCH(Q6,Settings!$B$14:$B$33,0)),IFERROR(LOOKUP(2^15,SEARCH(Settings!$I$14:$I$83,Q6)/(Settings!$I$14:$I$83&lt;&gt;""),Settings!$J$14:$J$83),"Other"))))</f>
        <v/>
      </c>
      <c r="AU6">
        <f>IF($B6="","",IF(R6="","Not rostered",IFERROR(INDEX(Settings!$C$14:$C$33,MATCH(R6,Settings!$B$14:$B$33,0)),IFERROR(LOOKUP(2^15,SEARCH(Settings!$I$14:$I$83,R6)/(Settings!$I$14:$I$83&lt;&gt;""),Settings!$J$14:$J$83),"Other"))))</f>
        <v/>
      </c>
      <c r="AV6">
        <f>IF($B6="","",IF(S6="","Not rostered",IFERROR(INDEX(Settings!$C$14:$C$33,MATCH(S6,Settings!$B$14:$B$33,0)),IFERROR(LOOKUP(2^15,SEARCH(Settings!$I$14:$I$83,S6)/(Settings!$I$14:$I$83&lt;&gt;""),Settings!$J$14:$J$83),"Other"))))</f>
        <v/>
      </c>
      <c r="AW6">
        <f>IF($B6="","",IF(T6="","Not rostered",IFERROR(INDEX(Settings!$C$14:$C$33,MATCH(T6,Settings!$B$14:$B$33,0)),IFERROR(LOOKUP(2^15,SEARCH(Settings!$I$14:$I$83,T6)/(Settings!$I$14:$I$83&lt;&gt;""),Settings!$J$14:$J$83),"Other"))))</f>
        <v/>
      </c>
      <c r="AX6">
        <f>IF($B6="","",IF(U6="","Not rostered",IFERROR(INDEX(Settings!$C$14:$C$33,MATCH(U6,Settings!$B$14:$B$33,0)),IFERROR(LOOKUP(2^15,SEARCH(Settings!$I$14:$I$83,U6)/(Settings!$I$14:$I$83&lt;&gt;""),Settings!$J$14:$J$83),"Other"))))</f>
        <v/>
      </c>
      <c r="AY6">
        <f>IF($B6="","",IF(V6="","Not rostered",IFERROR(INDEX(Settings!$C$14:$C$33,MATCH(V6,Settings!$B$14:$B$33,0)),IFERROR(LOOKUP(2^15,SEARCH(Settings!$I$14:$I$83,V6)/(Settings!$I$14:$I$83&lt;&gt;""),Settings!$J$14:$J$83),"Other"))))</f>
        <v/>
      </c>
      <c r="AZ6">
        <f>IF($B6="","",IF(W6="","Not rostered",IFERROR(INDEX(Settings!$C$14:$C$33,MATCH(W6,Settings!$B$14:$B$33,0)),IFERROR(LOOKUP(2^15,SEARCH(Settings!$I$14:$I$83,W6)/(Settings!$I$14:$I$83&lt;&gt;""),Settings!$J$14:$J$83),"Other"))))</f>
        <v/>
      </c>
      <c r="BA6">
        <f>IF($B6="","",IF(X6="","Not rostered",IFERROR(INDEX(Settings!$C$14:$C$33,MATCH(X6,Settings!$B$14:$B$33,0)),IFERROR(LOOKUP(2^15,SEARCH(Settings!$I$14:$I$83,X6)/(Settings!$I$14:$I$83&lt;&gt;""),Settings!$J$14:$J$83),"Other"))))</f>
        <v/>
      </c>
      <c r="BB6">
        <f>IF($B6="","",IF(Y6="","Not rostered",IFERROR(INDEX(Settings!$C$14:$C$33,MATCH(Y6,Settings!$B$14:$B$33,0)),IFERROR(LOOKUP(2^15,SEARCH(Settings!$I$14:$I$83,Y6)/(Settings!$I$14:$I$83&lt;&gt;""),Settings!$J$14:$J$83),"Other"))))</f>
        <v/>
      </c>
      <c r="BC6">
        <f>IF($B6="","",IF(Z6="","Not rostered",IFERROR(INDEX(Settings!$C$14:$C$33,MATCH(Z6,Settings!$B$14:$B$33,0)),IFERROR(LOOKUP(2^15,SEARCH(Settings!$I$14:$I$83,Z6)/(Settings!$I$14:$I$83&lt;&gt;""),Settings!$J$14:$J$83),"Other"))))</f>
        <v/>
      </c>
      <c r="BD6">
        <f>IF($B6="","",IF(AA6="","Not rostered",IFERROR(INDEX(Settings!$C$14:$C$33,MATCH(AA6,Settings!$B$14:$B$33,0)),IFERROR(LOOKUP(2^15,SEARCH(Settings!$I$14:$I$83,AA6)/(Settings!$I$14:$I$83&lt;&gt;""),Settings!$J$14:$J$83),"Other"))))</f>
        <v/>
      </c>
      <c r="BE6">
        <f>IF($B6="","",IF(AB6="","Not rostered",IFERROR(INDEX(Settings!$C$14:$C$33,MATCH(AB6,Settings!$B$14:$B$33,0)),IFERROR(LOOKUP(2^15,SEARCH(Settings!$I$14:$I$83,AB6)/(Settings!$I$14:$I$83&lt;&gt;""),Settings!$J$14:$J$83),"Other"))))</f>
        <v/>
      </c>
      <c r="BF6">
        <f>IF($B6="","",IF(AC6="","Not rostered",IFERROR(INDEX(Settings!$C$14:$C$33,MATCH(AC6,Settings!$B$14:$B$33,0)),IFERROR(LOOKUP(2^15,SEARCH(Settings!$I$14:$I$83,AC6)/(Settings!$I$14:$I$83&lt;&gt;""),Settings!$J$14:$J$83),"Other"))))</f>
        <v/>
      </c>
      <c r="BG6">
        <f>IF($B6="","",IF(AD6="","Not rostered",IFERROR(INDEX(Settings!$C$14:$C$33,MATCH(AD6,Settings!$B$14:$B$33,0)),IFERROR(LOOKUP(2^15,SEARCH(Settings!$I$14:$I$83,AD6)/(Settings!$I$14:$I$83&lt;&gt;""),Settings!$J$14:$J$83),"Other"))))</f>
        <v/>
      </c>
      <c r="BH6">
        <f>IF($B6="","",IF(AE6="","Not rostered",IFERROR(INDEX(Settings!$C$14:$C$33,MATCH(AE6,Settings!$B$14:$B$33,0)),IFERROR(LOOKUP(2^15,SEARCH(Settings!$I$14:$I$83,AE6)/(Settings!$I$14:$I$83&lt;&gt;""),Settings!$J$14:$J$83),"Other"))))</f>
        <v/>
      </c>
      <c r="BI6">
        <f>IF($B6="","",IF(AF6="","Not rostered",IFERROR(INDEX(Settings!$C$14:$C$33,MATCH(AF6,Settings!$B$14:$B$33,0)),IFERROR(LOOKUP(2^15,SEARCH(Settings!$I$14:$I$83,AF6)/(Settings!$I$14:$I$83&lt;&gt;""),Settings!$J$14:$J$83),"Other"))))</f>
        <v/>
      </c>
      <c r="BJ6">
        <f>IF($B6="","",IF(AG6="","Not rostered",IFERROR(INDEX(Settings!$C$14:$C$33,MATCH(AG6,Settings!$B$14:$B$33,0)),IFERROR(LOOKUP(2^15,SEARCH(Settings!$I$14:$I$83,AG6)/(Settings!$I$14:$I$83&lt;&gt;""),Settings!$J$14:$J$83),"Other"))))</f>
        <v/>
      </c>
      <c r="BL6">
        <f>IF(OR($B6="",F6=""),"",IFERROR(INDEX(Settings!$D$14:$D$33,MATCH(F6,Settings!$B$14:$B$33,0))&amp;"",IFERROR(LOOKUP(2^15,SEARCH(Settings!$F$14:$F$43,F6)/(Settings!$F$14:$F$43&lt;&gt;""),Settings!$G$14:$G$43),"")))</f>
        <v/>
      </c>
      <c r="BM6">
        <f>IF(OR($B6="",G6=""),"",IFERROR(INDEX(Settings!$D$14:$D$33,MATCH(G6,Settings!$B$14:$B$33,0))&amp;"",IFERROR(LOOKUP(2^15,SEARCH(Settings!$F$14:$F$43,G6)/(Settings!$F$14:$F$43&lt;&gt;""),Settings!$G$14:$G$43),"")))</f>
        <v/>
      </c>
      <c r="BN6">
        <f>IF(OR($B6="",H6=""),"",IFERROR(INDEX(Settings!$D$14:$D$33,MATCH(H6,Settings!$B$14:$B$33,0))&amp;"",IFERROR(LOOKUP(2^15,SEARCH(Settings!$F$14:$F$43,H6)/(Settings!$F$14:$F$43&lt;&gt;""),Settings!$G$14:$G$43),"")))</f>
        <v/>
      </c>
      <c r="BO6">
        <f>IF(OR($B6="",I6=""),"",IFERROR(INDEX(Settings!$D$14:$D$33,MATCH(I6,Settings!$B$14:$B$33,0))&amp;"",IFERROR(LOOKUP(2^15,SEARCH(Settings!$F$14:$F$43,I6)/(Settings!$F$14:$F$43&lt;&gt;""),Settings!$G$14:$G$43),"")))</f>
        <v/>
      </c>
      <c r="BP6">
        <f>IF(OR($B6="",J6=""),"",IFERROR(INDEX(Settings!$D$14:$D$33,MATCH(J6,Settings!$B$14:$B$33,0))&amp;"",IFERROR(LOOKUP(2^15,SEARCH(Settings!$F$14:$F$43,J6)/(Settings!$F$14:$F$43&lt;&gt;""),Settings!$G$14:$G$43),"")))</f>
        <v/>
      </c>
      <c r="BQ6">
        <f>IF(OR($B6="",K6=""),"",IFERROR(INDEX(Settings!$D$14:$D$33,MATCH(K6,Settings!$B$14:$B$33,0))&amp;"",IFERROR(LOOKUP(2^15,SEARCH(Settings!$F$14:$F$43,K6)/(Settings!$F$14:$F$43&lt;&gt;""),Settings!$G$14:$G$43),"")))</f>
        <v/>
      </c>
      <c r="BR6">
        <f>IF(OR($B6="",L6=""),"",IFERROR(INDEX(Settings!$D$14:$D$33,MATCH(L6,Settings!$B$14:$B$33,0))&amp;"",IFERROR(LOOKUP(2^15,SEARCH(Settings!$F$14:$F$43,L6)/(Settings!$F$14:$F$43&lt;&gt;""),Settings!$G$14:$G$43),"")))</f>
        <v/>
      </c>
      <c r="BS6">
        <f>IF(OR($B6="",M6=""),"",IFERROR(INDEX(Settings!$D$14:$D$33,MATCH(M6,Settings!$B$14:$B$33,0))&amp;"",IFERROR(LOOKUP(2^15,SEARCH(Settings!$F$14:$F$43,M6)/(Settings!$F$14:$F$43&lt;&gt;""),Settings!$G$14:$G$43),"")))</f>
        <v/>
      </c>
      <c r="BT6">
        <f>IF(OR($B6="",N6=""),"",IFERROR(INDEX(Settings!$D$14:$D$33,MATCH(N6,Settings!$B$14:$B$33,0))&amp;"",IFERROR(LOOKUP(2^15,SEARCH(Settings!$F$14:$F$43,N6)/(Settings!$F$14:$F$43&lt;&gt;""),Settings!$G$14:$G$43),"")))</f>
        <v/>
      </c>
      <c r="BU6">
        <f>IF(OR($B6="",O6=""),"",IFERROR(INDEX(Settings!$D$14:$D$33,MATCH(O6,Settings!$B$14:$B$33,0))&amp;"",IFERROR(LOOKUP(2^15,SEARCH(Settings!$F$14:$F$43,O6)/(Settings!$F$14:$F$43&lt;&gt;""),Settings!$G$14:$G$43),"")))</f>
        <v/>
      </c>
      <c r="BV6">
        <f>IF(OR($B6="",P6=""),"",IFERROR(INDEX(Settings!$D$14:$D$33,MATCH(P6,Settings!$B$14:$B$33,0))&amp;"",IFERROR(LOOKUP(2^15,SEARCH(Settings!$F$14:$F$43,P6)/(Settings!$F$14:$F$43&lt;&gt;""),Settings!$G$14:$G$43),"")))</f>
        <v/>
      </c>
      <c r="BW6">
        <f>IF(OR($B6="",Q6=""),"",IFERROR(INDEX(Settings!$D$14:$D$33,MATCH(Q6,Settings!$B$14:$B$33,0))&amp;"",IFERROR(LOOKUP(2^15,SEARCH(Settings!$F$14:$F$43,Q6)/(Settings!$F$14:$F$43&lt;&gt;""),Settings!$G$14:$G$43),"")))</f>
        <v/>
      </c>
      <c r="BX6">
        <f>IF(OR($B6="",R6=""),"",IFERROR(INDEX(Settings!$D$14:$D$33,MATCH(R6,Settings!$B$14:$B$33,0))&amp;"",IFERROR(LOOKUP(2^15,SEARCH(Settings!$F$14:$F$43,R6)/(Settings!$F$14:$F$43&lt;&gt;""),Settings!$G$14:$G$43),"")))</f>
        <v/>
      </c>
      <c r="BY6">
        <f>IF(OR($B6="",S6=""),"",IFERROR(INDEX(Settings!$D$14:$D$33,MATCH(S6,Settings!$B$14:$B$33,0))&amp;"",IFERROR(LOOKUP(2^15,SEARCH(Settings!$F$14:$F$43,S6)/(Settings!$F$14:$F$43&lt;&gt;""),Settings!$G$14:$G$43),"")))</f>
        <v/>
      </c>
      <c r="BZ6">
        <f>IF(OR($B6="",T6=""),"",IFERROR(INDEX(Settings!$D$14:$D$33,MATCH(T6,Settings!$B$14:$B$33,0))&amp;"",IFERROR(LOOKUP(2^15,SEARCH(Settings!$F$14:$F$43,T6)/(Settings!$F$14:$F$43&lt;&gt;""),Settings!$G$14:$G$43),"")))</f>
        <v/>
      </c>
      <c r="CA6">
        <f>IF(OR($B6="",U6=""),"",IFERROR(INDEX(Settings!$D$14:$D$33,MATCH(U6,Settings!$B$14:$B$33,0))&amp;"",IFERROR(LOOKUP(2^15,SEARCH(Settings!$F$14:$F$43,U6)/(Settings!$F$14:$F$43&lt;&gt;""),Settings!$G$14:$G$43),"")))</f>
        <v/>
      </c>
      <c r="CB6">
        <f>IF(OR($B6="",V6=""),"",IFERROR(INDEX(Settings!$D$14:$D$33,MATCH(V6,Settings!$B$14:$B$33,0))&amp;"",IFERROR(LOOKUP(2^15,SEARCH(Settings!$F$14:$F$43,V6)/(Settings!$F$14:$F$43&lt;&gt;""),Settings!$G$14:$G$43),"")))</f>
        <v/>
      </c>
      <c r="CC6">
        <f>IF(OR($B6="",W6=""),"",IFERROR(INDEX(Settings!$D$14:$D$33,MATCH(W6,Settings!$B$14:$B$33,0))&amp;"",IFERROR(LOOKUP(2^15,SEARCH(Settings!$F$14:$F$43,W6)/(Settings!$F$14:$F$43&lt;&gt;""),Settings!$G$14:$G$43),"")))</f>
        <v/>
      </c>
      <c r="CD6">
        <f>IF(OR($B6="",X6=""),"",IFERROR(INDEX(Settings!$D$14:$D$33,MATCH(X6,Settings!$B$14:$B$33,0))&amp;"",IFERROR(LOOKUP(2^15,SEARCH(Settings!$F$14:$F$43,X6)/(Settings!$F$14:$F$43&lt;&gt;""),Settings!$G$14:$G$43),"")))</f>
        <v/>
      </c>
      <c r="CE6">
        <f>IF(OR($B6="",Y6=""),"",IFERROR(INDEX(Settings!$D$14:$D$33,MATCH(Y6,Settings!$B$14:$B$33,0))&amp;"",IFERROR(LOOKUP(2^15,SEARCH(Settings!$F$14:$F$43,Y6)/(Settings!$F$14:$F$43&lt;&gt;""),Settings!$G$14:$G$43),"")))</f>
        <v/>
      </c>
      <c r="CF6">
        <f>IF(OR($B6="",Z6=""),"",IFERROR(INDEX(Settings!$D$14:$D$33,MATCH(Z6,Settings!$B$14:$B$33,0))&amp;"",IFERROR(LOOKUP(2^15,SEARCH(Settings!$F$14:$F$43,Z6)/(Settings!$F$14:$F$43&lt;&gt;""),Settings!$G$14:$G$43),"")))</f>
        <v/>
      </c>
      <c r="CG6">
        <f>IF(OR($B6="",AA6=""),"",IFERROR(INDEX(Settings!$D$14:$D$33,MATCH(AA6,Settings!$B$14:$B$33,0))&amp;"",IFERROR(LOOKUP(2^15,SEARCH(Settings!$F$14:$F$43,AA6)/(Settings!$F$14:$F$43&lt;&gt;""),Settings!$G$14:$G$43),"")))</f>
        <v/>
      </c>
      <c r="CH6">
        <f>IF(OR($B6="",AB6=""),"",IFERROR(INDEX(Settings!$D$14:$D$33,MATCH(AB6,Settings!$B$14:$B$33,0))&amp;"",IFERROR(LOOKUP(2^15,SEARCH(Settings!$F$14:$F$43,AB6)/(Settings!$F$14:$F$43&lt;&gt;""),Settings!$G$14:$G$43),"")))</f>
        <v/>
      </c>
      <c r="CI6">
        <f>IF(OR($B6="",AC6=""),"",IFERROR(INDEX(Settings!$D$14:$D$33,MATCH(AC6,Settings!$B$14:$B$33,0))&amp;"",IFERROR(LOOKUP(2^15,SEARCH(Settings!$F$14:$F$43,AC6)/(Settings!$F$14:$F$43&lt;&gt;""),Settings!$G$14:$G$43),"")))</f>
        <v/>
      </c>
      <c r="CJ6">
        <f>IF(OR($B6="",AD6=""),"",IFERROR(INDEX(Settings!$D$14:$D$33,MATCH(AD6,Settings!$B$14:$B$33,0))&amp;"",IFERROR(LOOKUP(2^15,SEARCH(Settings!$F$14:$F$43,AD6)/(Settings!$F$14:$F$43&lt;&gt;""),Settings!$G$14:$G$43),"")))</f>
        <v/>
      </c>
      <c r="CK6">
        <f>IF(OR($B6="",AE6=""),"",IFERROR(INDEX(Settings!$D$14:$D$33,MATCH(AE6,Settings!$B$14:$B$33,0))&amp;"",IFERROR(LOOKUP(2^15,SEARCH(Settings!$F$14:$F$43,AE6)/(Settings!$F$14:$F$43&lt;&gt;""),Settings!$G$14:$G$43),"")))</f>
        <v/>
      </c>
      <c r="CL6">
        <f>IF(OR($B6="",AF6=""),"",IFERROR(INDEX(Settings!$D$14:$D$33,MATCH(AF6,Settings!$B$14:$B$33,0))&amp;"",IFERROR(LOOKUP(2^15,SEARCH(Settings!$F$14:$F$43,AF6)/(Settings!$F$14:$F$43&lt;&gt;""),Settings!$G$14:$G$43),"")))</f>
        <v/>
      </c>
      <c r="CM6">
        <f>IF(OR($B6="",AG6=""),"",IFERROR(INDEX(Settings!$D$14:$D$33,MATCH(AG6,Settings!$B$14:$B$33,0))&amp;"",IFERROR(LOOKUP(2^15,SEARCH(Settings!$F$14:$F$43,AG6)/(Settings!$F$14:$F$43&lt;&gt;""),Settings!$G$14:$G$43),"")))</f>
        <v/>
      </c>
    </row>
    <row r="7">
      <c r="A7" t="n">
        <v>5</v>
      </c>
      <c r="B7">
        <f>IFERROR(INDEX(Index!$A$2:$A$202,MATCH(A7,Index!$E$2:$E$202,0)),"")</f>
        <v/>
      </c>
      <c r="D7">
        <f>IF($B7="","",IFERROR(MATCH("Travel*",AI7:BJ7,0),""))</f>
        <v/>
      </c>
      <c r="F7">
        <f>IF(OR($B7="",NOT(ISNUMBER(Settings!$C$9))),"",TRIM(SUBSTITUTE(SUBSTITUTE(INDEX('INPUT - Roster'!$S$1:$SV$206,$B7,Settings!$C$9+0)&amp;"",CHAR(10)," "),CHAR(160)," ")))</f>
        <v/>
      </c>
      <c r="G7">
        <f>IF(OR($B7="",NOT(ISNUMBER(Settings!$C$9))),"",TRIM(SUBSTITUTE(SUBSTITUTE(INDEX('INPUT - Roster'!$S$1:$SV$206,$B7,Settings!$C$9+1)&amp;"",CHAR(10)," "),CHAR(160)," ")))</f>
        <v/>
      </c>
      <c r="H7">
        <f>IF(OR($B7="",NOT(ISNUMBER(Settings!$C$9))),"",TRIM(SUBSTITUTE(SUBSTITUTE(INDEX('INPUT - Roster'!$S$1:$SV$206,$B7,Settings!$C$9+2)&amp;"",CHAR(10)," "),CHAR(160)," ")))</f>
        <v/>
      </c>
      <c r="I7">
        <f>IF(OR($B7="",NOT(ISNUMBER(Settings!$C$9))),"",TRIM(SUBSTITUTE(SUBSTITUTE(INDEX('INPUT - Roster'!$S$1:$SV$206,$B7,Settings!$C$9+3)&amp;"",CHAR(10)," "),CHAR(160)," ")))</f>
        <v/>
      </c>
      <c r="J7">
        <f>IF(OR($B7="",NOT(ISNUMBER(Settings!$C$9))),"",TRIM(SUBSTITUTE(SUBSTITUTE(INDEX('INPUT - Roster'!$S$1:$SV$206,$B7,Settings!$C$9+4)&amp;"",CHAR(10)," "),CHAR(160)," ")))</f>
        <v/>
      </c>
      <c r="K7">
        <f>IF(OR($B7="",NOT(ISNUMBER(Settings!$C$9))),"",TRIM(SUBSTITUTE(SUBSTITUTE(INDEX('INPUT - Roster'!$S$1:$SV$206,$B7,Settings!$C$9+5)&amp;"",CHAR(10)," "),CHAR(160)," ")))</f>
        <v/>
      </c>
      <c r="L7">
        <f>IF(OR($B7="",NOT(ISNUMBER(Settings!$C$9))),"",TRIM(SUBSTITUTE(SUBSTITUTE(INDEX('INPUT - Roster'!$S$1:$SV$206,$B7,Settings!$C$9+6)&amp;"",CHAR(10)," "),CHAR(160)," ")))</f>
        <v/>
      </c>
      <c r="M7">
        <f>IF(OR($B7="",NOT(ISNUMBER(Settings!$C$9))),"",TRIM(SUBSTITUTE(SUBSTITUTE(INDEX('INPUT - Roster'!$S$1:$SV$206,$B7,Settings!$C$9+7)&amp;"",CHAR(10)," "),CHAR(160)," ")))</f>
        <v/>
      </c>
      <c r="N7">
        <f>IF(OR($B7="",NOT(ISNUMBER(Settings!$C$9))),"",TRIM(SUBSTITUTE(SUBSTITUTE(INDEX('INPUT - Roster'!$S$1:$SV$206,$B7,Settings!$C$9+8)&amp;"",CHAR(10)," "),CHAR(160)," ")))</f>
        <v/>
      </c>
      <c r="O7">
        <f>IF(OR($B7="",NOT(ISNUMBER(Settings!$C$9))),"",TRIM(SUBSTITUTE(SUBSTITUTE(INDEX('INPUT - Roster'!$S$1:$SV$206,$B7,Settings!$C$9+9)&amp;"",CHAR(10)," "),CHAR(160)," ")))</f>
        <v/>
      </c>
      <c r="P7">
        <f>IF(OR($B7="",NOT(ISNUMBER(Settings!$C$9))),"",TRIM(SUBSTITUTE(SUBSTITUTE(INDEX('INPUT - Roster'!$S$1:$SV$206,$B7,Settings!$C$9+10)&amp;"",CHAR(10)," "),CHAR(160)," ")))</f>
        <v/>
      </c>
      <c r="Q7">
        <f>IF(OR($B7="",NOT(ISNUMBER(Settings!$C$9))),"",TRIM(SUBSTITUTE(SUBSTITUTE(INDEX('INPUT - Roster'!$S$1:$SV$206,$B7,Settings!$C$9+11)&amp;"",CHAR(10)," "),CHAR(160)," ")))</f>
        <v/>
      </c>
      <c r="R7">
        <f>IF(OR($B7="",NOT(ISNUMBER(Settings!$C$9))),"",TRIM(SUBSTITUTE(SUBSTITUTE(INDEX('INPUT - Roster'!$S$1:$SV$206,$B7,Settings!$C$9+12)&amp;"",CHAR(10)," "),CHAR(160)," ")))</f>
        <v/>
      </c>
      <c r="S7">
        <f>IF(OR($B7="",NOT(ISNUMBER(Settings!$C$9))),"",TRIM(SUBSTITUTE(SUBSTITUTE(INDEX('INPUT - Roster'!$S$1:$SV$206,$B7,Settings!$C$9+13)&amp;"",CHAR(10)," "),CHAR(160)," ")))</f>
        <v/>
      </c>
      <c r="T7">
        <f>IF(OR($B7="",NOT(ISNUMBER(Settings!$C$9))),"",TRIM(SUBSTITUTE(SUBSTITUTE(INDEX('INPUT - Roster'!$S$1:$SV$206,$B7,Settings!$C$9+14)&amp;"",CHAR(10)," "),CHAR(160)," ")))</f>
        <v/>
      </c>
      <c r="U7">
        <f>IF(OR($B7="",NOT(ISNUMBER(Settings!$C$9))),"",TRIM(SUBSTITUTE(SUBSTITUTE(INDEX('INPUT - Roster'!$S$1:$SV$206,$B7,Settings!$C$9+15)&amp;"",CHAR(10)," "),CHAR(160)," ")))</f>
        <v/>
      </c>
      <c r="V7">
        <f>IF(OR($B7="",NOT(ISNUMBER(Settings!$C$9))),"",TRIM(SUBSTITUTE(SUBSTITUTE(INDEX('INPUT - Roster'!$S$1:$SV$206,$B7,Settings!$C$9+16)&amp;"",CHAR(10)," "),CHAR(160)," ")))</f>
        <v/>
      </c>
      <c r="W7">
        <f>IF(OR($B7="",NOT(ISNUMBER(Settings!$C$9))),"",TRIM(SUBSTITUTE(SUBSTITUTE(INDEX('INPUT - Roster'!$S$1:$SV$206,$B7,Settings!$C$9+17)&amp;"",CHAR(10)," "),CHAR(160)," ")))</f>
        <v/>
      </c>
      <c r="X7">
        <f>IF(OR($B7="",NOT(ISNUMBER(Settings!$C$9))),"",TRIM(SUBSTITUTE(SUBSTITUTE(INDEX('INPUT - Roster'!$S$1:$SV$206,$B7,Settings!$C$9+18)&amp;"",CHAR(10)," "),CHAR(160)," ")))</f>
        <v/>
      </c>
      <c r="Y7">
        <f>IF(OR($B7="",NOT(ISNUMBER(Settings!$C$9))),"",TRIM(SUBSTITUTE(SUBSTITUTE(INDEX('INPUT - Roster'!$S$1:$SV$206,$B7,Settings!$C$9+19)&amp;"",CHAR(10)," "),CHAR(160)," ")))</f>
        <v/>
      </c>
      <c r="Z7">
        <f>IF(OR($B7="",NOT(ISNUMBER(Settings!$C$9))),"",TRIM(SUBSTITUTE(SUBSTITUTE(INDEX('INPUT - Roster'!$S$1:$SV$206,$B7,Settings!$C$9+20)&amp;"",CHAR(10)," "),CHAR(160)," ")))</f>
        <v/>
      </c>
      <c r="AA7">
        <f>IF(OR($B7="",NOT(ISNUMBER(Settings!$C$9))),"",TRIM(SUBSTITUTE(SUBSTITUTE(INDEX('INPUT - Roster'!$S$1:$SV$206,$B7,Settings!$C$9+21)&amp;"",CHAR(10)," "),CHAR(160)," ")))</f>
        <v/>
      </c>
      <c r="AB7">
        <f>IF(OR($B7="",NOT(ISNUMBER(Settings!$C$9))),"",TRIM(SUBSTITUTE(SUBSTITUTE(INDEX('INPUT - Roster'!$S$1:$SV$206,$B7,Settings!$C$9+22)&amp;"",CHAR(10)," "),CHAR(160)," ")))</f>
        <v/>
      </c>
      <c r="AC7">
        <f>IF(OR($B7="",NOT(ISNUMBER(Settings!$C$9))),"",TRIM(SUBSTITUTE(SUBSTITUTE(INDEX('INPUT - Roster'!$S$1:$SV$206,$B7,Settings!$C$9+23)&amp;"",CHAR(10)," "),CHAR(160)," ")))</f>
        <v/>
      </c>
      <c r="AD7">
        <f>IF(OR($B7="",NOT(ISNUMBER(Settings!$C$9))),"",TRIM(SUBSTITUTE(SUBSTITUTE(INDEX('INPUT - Roster'!$S$1:$SV$206,$B7,Settings!$C$9+24)&amp;"",CHAR(10)," "),CHAR(160)," ")))</f>
        <v/>
      </c>
      <c r="AE7">
        <f>IF(OR($B7="",NOT(ISNUMBER(Settings!$C$9))),"",TRIM(SUBSTITUTE(SUBSTITUTE(INDEX('INPUT - Roster'!$S$1:$SV$206,$B7,Settings!$C$9+25)&amp;"",CHAR(10)," "),CHAR(160)," ")))</f>
        <v/>
      </c>
      <c r="AF7">
        <f>IF(OR($B7="",NOT(ISNUMBER(Settings!$C$9))),"",TRIM(SUBSTITUTE(SUBSTITUTE(INDEX('INPUT - Roster'!$S$1:$SV$206,$B7,Settings!$C$9+26)&amp;"",CHAR(10)," "),CHAR(160)," ")))</f>
        <v/>
      </c>
      <c r="AG7">
        <f>IF(OR($B7="",NOT(ISNUMBER(Settings!$C$9))),"",TRIM(SUBSTITUTE(SUBSTITUTE(INDEX('INPUT - Roster'!$S$1:$SV$206,$B7,Settings!$C$9+27)&amp;"",CHAR(10)," "),CHAR(160)," ")))</f>
        <v/>
      </c>
      <c r="AI7">
        <f>IF($B7="","",IF(F7="","Not rostered",IFERROR(INDEX(Settings!$C$14:$C$33,MATCH(F7,Settings!$B$14:$B$33,0)),IFERROR(LOOKUP(2^15,SEARCH(Settings!$I$14:$I$83,F7)/(Settings!$I$14:$I$83&lt;&gt;""),Settings!$J$14:$J$83),"Other"))))</f>
        <v/>
      </c>
      <c r="AJ7">
        <f>IF($B7="","",IF(G7="","Not rostered",IFERROR(INDEX(Settings!$C$14:$C$33,MATCH(G7,Settings!$B$14:$B$33,0)),IFERROR(LOOKUP(2^15,SEARCH(Settings!$I$14:$I$83,G7)/(Settings!$I$14:$I$83&lt;&gt;""),Settings!$J$14:$J$83),"Other"))))</f>
        <v/>
      </c>
      <c r="AK7">
        <f>IF($B7="","",IF(H7="","Not rostered",IFERROR(INDEX(Settings!$C$14:$C$33,MATCH(H7,Settings!$B$14:$B$33,0)),IFERROR(LOOKUP(2^15,SEARCH(Settings!$I$14:$I$83,H7)/(Settings!$I$14:$I$83&lt;&gt;""),Settings!$J$14:$J$83),"Other"))))</f>
        <v/>
      </c>
      <c r="AL7">
        <f>IF($B7="","",IF(I7="","Not rostered",IFERROR(INDEX(Settings!$C$14:$C$33,MATCH(I7,Settings!$B$14:$B$33,0)),IFERROR(LOOKUP(2^15,SEARCH(Settings!$I$14:$I$83,I7)/(Settings!$I$14:$I$83&lt;&gt;""),Settings!$J$14:$J$83),"Other"))))</f>
        <v/>
      </c>
      <c r="AM7">
        <f>IF($B7="","",IF(J7="","Not rostered",IFERROR(INDEX(Settings!$C$14:$C$33,MATCH(J7,Settings!$B$14:$B$33,0)),IFERROR(LOOKUP(2^15,SEARCH(Settings!$I$14:$I$83,J7)/(Settings!$I$14:$I$83&lt;&gt;""),Settings!$J$14:$J$83),"Other"))))</f>
        <v/>
      </c>
      <c r="AN7">
        <f>IF($B7="","",IF(K7="","Not rostered",IFERROR(INDEX(Settings!$C$14:$C$33,MATCH(K7,Settings!$B$14:$B$33,0)),IFERROR(LOOKUP(2^15,SEARCH(Settings!$I$14:$I$83,K7)/(Settings!$I$14:$I$83&lt;&gt;""),Settings!$J$14:$J$83),"Other"))))</f>
        <v/>
      </c>
      <c r="AO7">
        <f>IF($B7="","",IF(L7="","Not rostered",IFERROR(INDEX(Settings!$C$14:$C$33,MATCH(L7,Settings!$B$14:$B$33,0)),IFERROR(LOOKUP(2^15,SEARCH(Settings!$I$14:$I$83,L7)/(Settings!$I$14:$I$83&lt;&gt;""),Settings!$J$14:$J$83),"Other"))))</f>
        <v/>
      </c>
      <c r="AP7">
        <f>IF($B7="","",IF(M7="","Not rostered",IFERROR(INDEX(Settings!$C$14:$C$33,MATCH(M7,Settings!$B$14:$B$33,0)),IFERROR(LOOKUP(2^15,SEARCH(Settings!$I$14:$I$83,M7)/(Settings!$I$14:$I$83&lt;&gt;""),Settings!$J$14:$J$83),"Other"))))</f>
        <v/>
      </c>
      <c r="AQ7">
        <f>IF($B7="","",IF(N7="","Not rostered",IFERROR(INDEX(Settings!$C$14:$C$33,MATCH(N7,Settings!$B$14:$B$33,0)),IFERROR(LOOKUP(2^15,SEARCH(Settings!$I$14:$I$83,N7)/(Settings!$I$14:$I$83&lt;&gt;""),Settings!$J$14:$J$83),"Other"))))</f>
        <v/>
      </c>
      <c r="AR7">
        <f>IF($B7="","",IF(O7="","Not rostered",IFERROR(INDEX(Settings!$C$14:$C$33,MATCH(O7,Settings!$B$14:$B$33,0)),IFERROR(LOOKUP(2^15,SEARCH(Settings!$I$14:$I$83,O7)/(Settings!$I$14:$I$83&lt;&gt;""),Settings!$J$14:$J$83),"Other"))))</f>
        <v/>
      </c>
      <c r="AS7">
        <f>IF($B7="","",IF(P7="","Not rostered",IFERROR(INDEX(Settings!$C$14:$C$33,MATCH(P7,Settings!$B$14:$B$33,0)),IFERROR(LOOKUP(2^15,SEARCH(Settings!$I$14:$I$83,P7)/(Settings!$I$14:$I$83&lt;&gt;""),Settings!$J$14:$J$83),"Other"))))</f>
        <v/>
      </c>
      <c r="AT7">
        <f>IF($B7="","",IF(Q7="","Not rostered",IFERROR(INDEX(Settings!$C$14:$C$33,MATCH(Q7,Settings!$B$14:$B$33,0)),IFERROR(LOOKUP(2^15,SEARCH(Settings!$I$14:$I$83,Q7)/(Settings!$I$14:$I$83&lt;&gt;""),Settings!$J$14:$J$83),"Other"))))</f>
        <v/>
      </c>
      <c r="AU7">
        <f>IF($B7="","",IF(R7="","Not rostered",IFERROR(INDEX(Settings!$C$14:$C$33,MATCH(R7,Settings!$B$14:$B$33,0)),IFERROR(LOOKUP(2^15,SEARCH(Settings!$I$14:$I$83,R7)/(Settings!$I$14:$I$83&lt;&gt;""),Settings!$J$14:$J$83),"Other"))))</f>
        <v/>
      </c>
      <c r="AV7">
        <f>IF($B7="","",IF(S7="","Not rostered",IFERROR(INDEX(Settings!$C$14:$C$33,MATCH(S7,Settings!$B$14:$B$33,0)),IFERROR(LOOKUP(2^15,SEARCH(Settings!$I$14:$I$83,S7)/(Settings!$I$14:$I$83&lt;&gt;""),Settings!$J$14:$J$83),"Other"))))</f>
        <v/>
      </c>
      <c r="AW7">
        <f>IF($B7="","",IF(T7="","Not rostered",IFERROR(INDEX(Settings!$C$14:$C$33,MATCH(T7,Settings!$B$14:$B$33,0)),IFERROR(LOOKUP(2^15,SEARCH(Settings!$I$14:$I$83,T7)/(Settings!$I$14:$I$83&lt;&gt;""),Settings!$J$14:$J$83),"Other"))))</f>
        <v/>
      </c>
      <c r="AX7">
        <f>IF($B7="","",IF(U7="","Not rostered",IFERROR(INDEX(Settings!$C$14:$C$33,MATCH(U7,Settings!$B$14:$B$33,0)),IFERROR(LOOKUP(2^15,SEARCH(Settings!$I$14:$I$83,U7)/(Settings!$I$14:$I$83&lt;&gt;""),Settings!$J$14:$J$83),"Other"))))</f>
        <v/>
      </c>
      <c r="AY7">
        <f>IF($B7="","",IF(V7="","Not rostered",IFERROR(INDEX(Settings!$C$14:$C$33,MATCH(V7,Settings!$B$14:$B$33,0)),IFERROR(LOOKUP(2^15,SEARCH(Settings!$I$14:$I$83,V7)/(Settings!$I$14:$I$83&lt;&gt;""),Settings!$J$14:$J$83),"Other"))))</f>
        <v/>
      </c>
      <c r="AZ7">
        <f>IF($B7="","",IF(W7="","Not rostered",IFERROR(INDEX(Settings!$C$14:$C$33,MATCH(W7,Settings!$B$14:$B$33,0)),IFERROR(LOOKUP(2^15,SEARCH(Settings!$I$14:$I$83,W7)/(Settings!$I$14:$I$83&lt;&gt;""),Settings!$J$14:$J$83),"Other"))))</f>
        <v/>
      </c>
      <c r="BA7">
        <f>IF($B7="","",IF(X7="","Not rostered",IFERROR(INDEX(Settings!$C$14:$C$33,MATCH(X7,Settings!$B$14:$B$33,0)),IFERROR(LOOKUP(2^15,SEARCH(Settings!$I$14:$I$83,X7)/(Settings!$I$14:$I$83&lt;&gt;""),Settings!$J$14:$J$83),"Other"))))</f>
        <v/>
      </c>
      <c r="BB7">
        <f>IF($B7="","",IF(Y7="","Not rostered",IFERROR(INDEX(Settings!$C$14:$C$33,MATCH(Y7,Settings!$B$14:$B$33,0)),IFERROR(LOOKUP(2^15,SEARCH(Settings!$I$14:$I$83,Y7)/(Settings!$I$14:$I$83&lt;&gt;""),Settings!$J$14:$J$83),"Other"))))</f>
        <v/>
      </c>
      <c r="BC7">
        <f>IF($B7="","",IF(Z7="","Not rostered",IFERROR(INDEX(Settings!$C$14:$C$33,MATCH(Z7,Settings!$B$14:$B$33,0)),IFERROR(LOOKUP(2^15,SEARCH(Settings!$I$14:$I$83,Z7)/(Settings!$I$14:$I$83&lt;&gt;""),Settings!$J$14:$J$83),"Other"))))</f>
        <v/>
      </c>
      <c r="BD7">
        <f>IF($B7="","",IF(AA7="","Not rostered",IFERROR(INDEX(Settings!$C$14:$C$33,MATCH(AA7,Settings!$B$14:$B$33,0)),IFERROR(LOOKUP(2^15,SEARCH(Settings!$I$14:$I$83,AA7)/(Settings!$I$14:$I$83&lt;&gt;""),Settings!$J$14:$J$83),"Other"))))</f>
        <v/>
      </c>
      <c r="BE7">
        <f>IF($B7="","",IF(AB7="","Not rostered",IFERROR(INDEX(Settings!$C$14:$C$33,MATCH(AB7,Settings!$B$14:$B$33,0)),IFERROR(LOOKUP(2^15,SEARCH(Settings!$I$14:$I$83,AB7)/(Settings!$I$14:$I$83&lt;&gt;""),Settings!$J$14:$J$83),"Other"))))</f>
        <v/>
      </c>
      <c r="BF7">
        <f>IF($B7="","",IF(AC7="","Not rostered",IFERROR(INDEX(Settings!$C$14:$C$33,MATCH(AC7,Settings!$B$14:$B$33,0)),IFERROR(LOOKUP(2^15,SEARCH(Settings!$I$14:$I$83,AC7)/(Settings!$I$14:$I$83&lt;&gt;""),Settings!$J$14:$J$83),"Other"))))</f>
        <v/>
      </c>
      <c r="BG7">
        <f>IF($B7="","",IF(AD7="","Not rostered",IFERROR(INDEX(Settings!$C$14:$C$33,MATCH(AD7,Settings!$B$14:$B$33,0)),IFERROR(LOOKUP(2^15,SEARCH(Settings!$I$14:$I$83,AD7)/(Settings!$I$14:$I$83&lt;&gt;""),Settings!$J$14:$J$83),"Other"))))</f>
        <v/>
      </c>
      <c r="BH7">
        <f>IF($B7="","",IF(AE7="","Not rostered",IFERROR(INDEX(Settings!$C$14:$C$33,MATCH(AE7,Settings!$B$14:$B$33,0)),IFERROR(LOOKUP(2^15,SEARCH(Settings!$I$14:$I$83,AE7)/(Settings!$I$14:$I$83&lt;&gt;""),Settings!$J$14:$J$83),"Other"))))</f>
        <v/>
      </c>
      <c r="BI7">
        <f>IF($B7="","",IF(AF7="","Not rostered",IFERROR(INDEX(Settings!$C$14:$C$33,MATCH(AF7,Settings!$B$14:$B$33,0)),IFERROR(LOOKUP(2^15,SEARCH(Settings!$I$14:$I$83,AF7)/(Settings!$I$14:$I$83&lt;&gt;""),Settings!$J$14:$J$83),"Other"))))</f>
        <v/>
      </c>
      <c r="BJ7">
        <f>IF($B7="","",IF(AG7="","Not rostered",IFERROR(INDEX(Settings!$C$14:$C$33,MATCH(AG7,Settings!$B$14:$B$33,0)),IFERROR(LOOKUP(2^15,SEARCH(Settings!$I$14:$I$83,AG7)/(Settings!$I$14:$I$83&lt;&gt;""),Settings!$J$14:$J$83),"Other"))))</f>
        <v/>
      </c>
      <c r="BL7">
        <f>IF(OR($B7="",F7=""),"",IFERROR(INDEX(Settings!$D$14:$D$33,MATCH(F7,Settings!$B$14:$B$33,0))&amp;"",IFERROR(LOOKUP(2^15,SEARCH(Settings!$F$14:$F$43,F7)/(Settings!$F$14:$F$43&lt;&gt;""),Settings!$G$14:$G$43),"")))</f>
        <v/>
      </c>
      <c r="BM7">
        <f>IF(OR($B7="",G7=""),"",IFERROR(INDEX(Settings!$D$14:$D$33,MATCH(G7,Settings!$B$14:$B$33,0))&amp;"",IFERROR(LOOKUP(2^15,SEARCH(Settings!$F$14:$F$43,G7)/(Settings!$F$14:$F$43&lt;&gt;""),Settings!$G$14:$G$43),"")))</f>
        <v/>
      </c>
      <c r="BN7">
        <f>IF(OR($B7="",H7=""),"",IFERROR(INDEX(Settings!$D$14:$D$33,MATCH(H7,Settings!$B$14:$B$33,0))&amp;"",IFERROR(LOOKUP(2^15,SEARCH(Settings!$F$14:$F$43,H7)/(Settings!$F$14:$F$43&lt;&gt;""),Settings!$G$14:$G$43),"")))</f>
        <v/>
      </c>
      <c r="BO7">
        <f>IF(OR($B7="",I7=""),"",IFERROR(INDEX(Settings!$D$14:$D$33,MATCH(I7,Settings!$B$14:$B$33,0))&amp;"",IFERROR(LOOKUP(2^15,SEARCH(Settings!$F$14:$F$43,I7)/(Settings!$F$14:$F$43&lt;&gt;""),Settings!$G$14:$G$43),"")))</f>
        <v/>
      </c>
      <c r="BP7">
        <f>IF(OR($B7="",J7=""),"",IFERROR(INDEX(Settings!$D$14:$D$33,MATCH(J7,Settings!$B$14:$B$33,0))&amp;"",IFERROR(LOOKUP(2^15,SEARCH(Settings!$F$14:$F$43,J7)/(Settings!$F$14:$F$43&lt;&gt;""),Settings!$G$14:$G$43),"")))</f>
        <v/>
      </c>
      <c r="BQ7">
        <f>IF(OR($B7="",K7=""),"",IFERROR(INDEX(Settings!$D$14:$D$33,MATCH(K7,Settings!$B$14:$B$33,0))&amp;"",IFERROR(LOOKUP(2^15,SEARCH(Settings!$F$14:$F$43,K7)/(Settings!$F$14:$F$43&lt;&gt;""),Settings!$G$14:$G$43),"")))</f>
        <v/>
      </c>
      <c r="BR7">
        <f>IF(OR($B7="",L7=""),"",IFERROR(INDEX(Settings!$D$14:$D$33,MATCH(L7,Settings!$B$14:$B$33,0))&amp;"",IFERROR(LOOKUP(2^15,SEARCH(Settings!$F$14:$F$43,L7)/(Settings!$F$14:$F$43&lt;&gt;""),Settings!$G$14:$G$43),"")))</f>
        <v/>
      </c>
      <c r="BS7">
        <f>IF(OR($B7="",M7=""),"",IFERROR(INDEX(Settings!$D$14:$D$33,MATCH(M7,Settings!$B$14:$B$33,0))&amp;"",IFERROR(LOOKUP(2^15,SEARCH(Settings!$F$14:$F$43,M7)/(Settings!$F$14:$F$43&lt;&gt;""),Settings!$G$14:$G$43),"")))</f>
        <v/>
      </c>
      <c r="BT7">
        <f>IF(OR($B7="",N7=""),"",IFERROR(INDEX(Settings!$D$14:$D$33,MATCH(N7,Settings!$B$14:$B$33,0))&amp;"",IFERROR(LOOKUP(2^15,SEARCH(Settings!$F$14:$F$43,N7)/(Settings!$F$14:$F$43&lt;&gt;""),Settings!$G$14:$G$43),"")))</f>
        <v/>
      </c>
      <c r="BU7">
        <f>IF(OR($B7="",O7=""),"",IFERROR(INDEX(Settings!$D$14:$D$33,MATCH(O7,Settings!$B$14:$B$33,0))&amp;"",IFERROR(LOOKUP(2^15,SEARCH(Settings!$F$14:$F$43,O7)/(Settings!$F$14:$F$43&lt;&gt;""),Settings!$G$14:$G$43),"")))</f>
        <v/>
      </c>
      <c r="BV7">
        <f>IF(OR($B7="",P7=""),"",IFERROR(INDEX(Settings!$D$14:$D$33,MATCH(P7,Settings!$B$14:$B$33,0))&amp;"",IFERROR(LOOKUP(2^15,SEARCH(Settings!$F$14:$F$43,P7)/(Settings!$F$14:$F$43&lt;&gt;""),Settings!$G$14:$G$43),"")))</f>
        <v/>
      </c>
      <c r="BW7">
        <f>IF(OR($B7="",Q7=""),"",IFERROR(INDEX(Settings!$D$14:$D$33,MATCH(Q7,Settings!$B$14:$B$33,0))&amp;"",IFERROR(LOOKUP(2^15,SEARCH(Settings!$F$14:$F$43,Q7)/(Settings!$F$14:$F$43&lt;&gt;""),Settings!$G$14:$G$43),"")))</f>
        <v/>
      </c>
      <c r="BX7">
        <f>IF(OR($B7="",R7=""),"",IFERROR(INDEX(Settings!$D$14:$D$33,MATCH(R7,Settings!$B$14:$B$33,0))&amp;"",IFERROR(LOOKUP(2^15,SEARCH(Settings!$F$14:$F$43,R7)/(Settings!$F$14:$F$43&lt;&gt;""),Settings!$G$14:$G$43),"")))</f>
        <v/>
      </c>
      <c r="BY7">
        <f>IF(OR($B7="",S7=""),"",IFERROR(INDEX(Settings!$D$14:$D$33,MATCH(S7,Settings!$B$14:$B$33,0))&amp;"",IFERROR(LOOKUP(2^15,SEARCH(Settings!$F$14:$F$43,S7)/(Settings!$F$14:$F$43&lt;&gt;""),Settings!$G$14:$G$43),"")))</f>
        <v/>
      </c>
      <c r="BZ7">
        <f>IF(OR($B7="",T7=""),"",IFERROR(INDEX(Settings!$D$14:$D$33,MATCH(T7,Settings!$B$14:$B$33,0))&amp;"",IFERROR(LOOKUP(2^15,SEARCH(Settings!$F$14:$F$43,T7)/(Settings!$F$14:$F$43&lt;&gt;""),Settings!$G$14:$G$43),"")))</f>
        <v/>
      </c>
      <c r="CA7">
        <f>IF(OR($B7="",U7=""),"",IFERROR(INDEX(Settings!$D$14:$D$33,MATCH(U7,Settings!$B$14:$B$33,0))&amp;"",IFERROR(LOOKUP(2^15,SEARCH(Settings!$F$14:$F$43,U7)/(Settings!$F$14:$F$43&lt;&gt;""),Settings!$G$14:$G$43),"")))</f>
        <v/>
      </c>
      <c r="CB7">
        <f>IF(OR($B7="",V7=""),"",IFERROR(INDEX(Settings!$D$14:$D$33,MATCH(V7,Settings!$B$14:$B$33,0))&amp;"",IFERROR(LOOKUP(2^15,SEARCH(Settings!$F$14:$F$43,V7)/(Settings!$F$14:$F$43&lt;&gt;""),Settings!$G$14:$G$43),"")))</f>
        <v/>
      </c>
      <c r="CC7">
        <f>IF(OR($B7="",W7=""),"",IFERROR(INDEX(Settings!$D$14:$D$33,MATCH(W7,Settings!$B$14:$B$33,0))&amp;"",IFERROR(LOOKUP(2^15,SEARCH(Settings!$F$14:$F$43,W7)/(Settings!$F$14:$F$43&lt;&gt;""),Settings!$G$14:$G$43),"")))</f>
        <v/>
      </c>
      <c r="CD7">
        <f>IF(OR($B7="",X7=""),"",IFERROR(INDEX(Settings!$D$14:$D$33,MATCH(X7,Settings!$B$14:$B$33,0))&amp;"",IFERROR(LOOKUP(2^15,SEARCH(Settings!$F$14:$F$43,X7)/(Settings!$F$14:$F$43&lt;&gt;""),Settings!$G$14:$G$43),"")))</f>
        <v/>
      </c>
      <c r="CE7">
        <f>IF(OR($B7="",Y7=""),"",IFERROR(INDEX(Settings!$D$14:$D$33,MATCH(Y7,Settings!$B$14:$B$33,0))&amp;"",IFERROR(LOOKUP(2^15,SEARCH(Settings!$F$14:$F$43,Y7)/(Settings!$F$14:$F$43&lt;&gt;""),Settings!$G$14:$G$43),"")))</f>
        <v/>
      </c>
      <c r="CF7">
        <f>IF(OR($B7="",Z7=""),"",IFERROR(INDEX(Settings!$D$14:$D$33,MATCH(Z7,Settings!$B$14:$B$33,0))&amp;"",IFERROR(LOOKUP(2^15,SEARCH(Settings!$F$14:$F$43,Z7)/(Settings!$F$14:$F$43&lt;&gt;""),Settings!$G$14:$G$43),"")))</f>
        <v/>
      </c>
      <c r="CG7">
        <f>IF(OR($B7="",AA7=""),"",IFERROR(INDEX(Settings!$D$14:$D$33,MATCH(AA7,Settings!$B$14:$B$33,0))&amp;"",IFERROR(LOOKUP(2^15,SEARCH(Settings!$F$14:$F$43,AA7)/(Settings!$F$14:$F$43&lt;&gt;""),Settings!$G$14:$G$43),"")))</f>
        <v/>
      </c>
      <c r="CH7">
        <f>IF(OR($B7="",AB7=""),"",IFERROR(INDEX(Settings!$D$14:$D$33,MATCH(AB7,Settings!$B$14:$B$33,0))&amp;"",IFERROR(LOOKUP(2^15,SEARCH(Settings!$F$14:$F$43,AB7)/(Settings!$F$14:$F$43&lt;&gt;""),Settings!$G$14:$G$43),"")))</f>
        <v/>
      </c>
      <c r="CI7">
        <f>IF(OR($B7="",AC7=""),"",IFERROR(INDEX(Settings!$D$14:$D$33,MATCH(AC7,Settings!$B$14:$B$33,0))&amp;"",IFERROR(LOOKUP(2^15,SEARCH(Settings!$F$14:$F$43,AC7)/(Settings!$F$14:$F$43&lt;&gt;""),Settings!$G$14:$G$43),"")))</f>
        <v/>
      </c>
      <c r="CJ7">
        <f>IF(OR($B7="",AD7=""),"",IFERROR(INDEX(Settings!$D$14:$D$33,MATCH(AD7,Settings!$B$14:$B$33,0))&amp;"",IFERROR(LOOKUP(2^15,SEARCH(Settings!$F$14:$F$43,AD7)/(Settings!$F$14:$F$43&lt;&gt;""),Settings!$G$14:$G$43),"")))</f>
        <v/>
      </c>
      <c r="CK7">
        <f>IF(OR($B7="",AE7=""),"",IFERROR(INDEX(Settings!$D$14:$D$33,MATCH(AE7,Settings!$B$14:$B$33,0))&amp;"",IFERROR(LOOKUP(2^15,SEARCH(Settings!$F$14:$F$43,AE7)/(Settings!$F$14:$F$43&lt;&gt;""),Settings!$G$14:$G$43),"")))</f>
        <v/>
      </c>
      <c r="CL7">
        <f>IF(OR($B7="",AF7=""),"",IFERROR(INDEX(Settings!$D$14:$D$33,MATCH(AF7,Settings!$B$14:$B$33,0))&amp;"",IFERROR(LOOKUP(2^15,SEARCH(Settings!$F$14:$F$43,AF7)/(Settings!$F$14:$F$43&lt;&gt;""),Settings!$G$14:$G$43),"")))</f>
        <v/>
      </c>
      <c r="CM7">
        <f>IF(OR($B7="",AG7=""),"",IFERROR(INDEX(Settings!$D$14:$D$33,MATCH(AG7,Settings!$B$14:$B$33,0))&amp;"",IFERROR(LOOKUP(2^15,SEARCH(Settings!$F$14:$F$43,AG7)/(Settings!$F$14:$F$43&lt;&gt;""),Settings!$G$14:$G$43),"")))</f>
        <v/>
      </c>
    </row>
    <row r="8">
      <c r="A8" t="n">
        <v>6</v>
      </c>
      <c r="B8">
        <f>IFERROR(INDEX(Index!$A$2:$A$202,MATCH(A8,Index!$E$2:$E$202,0)),"")</f>
        <v/>
      </c>
      <c r="D8">
        <f>IF($B8="","",IFERROR(MATCH("Travel*",AI8:BJ8,0),""))</f>
        <v/>
      </c>
      <c r="F8">
        <f>IF(OR($B8="",NOT(ISNUMBER(Settings!$C$9))),"",TRIM(SUBSTITUTE(SUBSTITUTE(INDEX('INPUT - Roster'!$S$1:$SV$206,$B8,Settings!$C$9+0)&amp;"",CHAR(10)," "),CHAR(160)," ")))</f>
        <v/>
      </c>
      <c r="G8">
        <f>IF(OR($B8="",NOT(ISNUMBER(Settings!$C$9))),"",TRIM(SUBSTITUTE(SUBSTITUTE(INDEX('INPUT - Roster'!$S$1:$SV$206,$B8,Settings!$C$9+1)&amp;"",CHAR(10)," "),CHAR(160)," ")))</f>
        <v/>
      </c>
      <c r="H8">
        <f>IF(OR($B8="",NOT(ISNUMBER(Settings!$C$9))),"",TRIM(SUBSTITUTE(SUBSTITUTE(INDEX('INPUT - Roster'!$S$1:$SV$206,$B8,Settings!$C$9+2)&amp;"",CHAR(10)," "),CHAR(160)," ")))</f>
        <v/>
      </c>
      <c r="I8">
        <f>IF(OR($B8="",NOT(ISNUMBER(Settings!$C$9))),"",TRIM(SUBSTITUTE(SUBSTITUTE(INDEX('INPUT - Roster'!$S$1:$SV$206,$B8,Settings!$C$9+3)&amp;"",CHAR(10)," "),CHAR(160)," ")))</f>
        <v/>
      </c>
      <c r="J8">
        <f>IF(OR($B8="",NOT(ISNUMBER(Settings!$C$9))),"",TRIM(SUBSTITUTE(SUBSTITUTE(INDEX('INPUT - Roster'!$S$1:$SV$206,$B8,Settings!$C$9+4)&amp;"",CHAR(10)," "),CHAR(160)," ")))</f>
        <v/>
      </c>
      <c r="K8">
        <f>IF(OR($B8="",NOT(ISNUMBER(Settings!$C$9))),"",TRIM(SUBSTITUTE(SUBSTITUTE(INDEX('INPUT - Roster'!$S$1:$SV$206,$B8,Settings!$C$9+5)&amp;"",CHAR(10)," "),CHAR(160)," ")))</f>
        <v/>
      </c>
      <c r="L8">
        <f>IF(OR($B8="",NOT(ISNUMBER(Settings!$C$9))),"",TRIM(SUBSTITUTE(SUBSTITUTE(INDEX('INPUT - Roster'!$S$1:$SV$206,$B8,Settings!$C$9+6)&amp;"",CHAR(10)," "),CHAR(160)," ")))</f>
        <v/>
      </c>
      <c r="M8">
        <f>IF(OR($B8="",NOT(ISNUMBER(Settings!$C$9))),"",TRIM(SUBSTITUTE(SUBSTITUTE(INDEX('INPUT - Roster'!$S$1:$SV$206,$B8,Settings!$C$9+7)&amp;"",CHAR(10)," "),CHAR(160)," ")))</f>
        <v/>
      </c>
      <c r="N8">
        <f>IF(OR($B8="",NOT(ISNUMBER(Settings!$C$9))),"",TRIM(SUBSTITUTE(SUBSTITUTE(INDEX('INPUT - Roster'!$S$1:$SV$206,$B8,Settings!$C$9+8)&amp;"",CHAR(10)," "),CHAR(160)," ")))</f>
        <v/>
      </c>
      <c r="O8">
        <f>IF(OR($B8="",NOT(ISNUMBER(Settings!$C$9))),"",TRIM(SUBSTITUTE(SUBSTITUTE(INDEX('INPUT - Roster'!$S$1:$SV$206,$B8,Settings!$C$9+9)&amp;"",CHAR(10)," "),CHAR(160)," ")))</f>
        <v/>
      </c>
      <c r="P8">
        <f>IF(OR($B8="",NOT(ISNUMBER(Settings!$C$9))),"",TRIM(SUBSTITUTE(SUBSTITUTE(INDEX('INPUT - Roster'!$S$1:$SV$206,$B8,Settings!$C$9+10)&amp;"",CHAR(10)," "),CHAR(160)," ")))</f>
        <v/>
      </c>
      <c r="Q8">
        <f>IF(OR($B8="",NOT(ISNUMBER(Settings!$C$9))),"",TRIM(SUBSTITUTE(SUBSTITUTE(INDEX('INPUT - Roster'!$S$1:$SV$206,$B8,Settings!$C$9+11)&amp;"",CHAR(10)," "),CHAR(160)," ")))</f>
        <v/>
      </c>
      <c r="R8">
        <f>IF(OR($B8="",NOT(ISNUMBER(Settings!$C$9))),"",TRIM(SUBSTITUTE(SUBSTITUTE(INDEX('INPUT - Roster'!$S$1:$SV$206,$B8,Settings!$C$9+12)&amp;"",CHAR(10)," "),CHAR(160)," ")))</f>
        <v/>
      </c>
      <c r="S8">
        <f>IF(OR($B8="",NOT(ISNUMBER(Settings!$C$9))),"",TRIM(SUBSTITUTE(SUBSTITUTE(INDEX('INPUT - Roster'!$S$1:$SV$206,$B8,Settings!$C$9+13)&amp;"",CHAR(10)," "),CHAR(160)," ")))</f>
        <v/>
      </c>
      <c r="T8">
        <f>IF(OR($B8="",NOT(ISNUMBER(Settings!$C$9))),"",TRIM(SUBSTITUTE(SUBSTITUTE(INDEX('INPUT - Roster'!$S$1:$SV$206,$B8,Settings!$C$9+14)&amp;"",CHAR(10)," "),CHAR(160)," ")))</f>
        <v/>
      </c>
      <c r="U8">
        <f>IF(OR($B8="",NOT(ISNUMBER(Settings!$C$9))),"",TRIM(SUBSTITUTE(SUBSTITUTE(INDEX('INPUT - Roster'!$S$1:$SV$206,$B8,Settings!$C$9+15)&amp;"",CHAR(10)," "),CHAR(160)," ")))</f>
        <v/>
      </c>
      <c r="V8">
        <f>IF(OR($B8="",NOT(ISNUMBER(Settings!$C$9))),"",TRIM(SUBSTITUTE(SUBSTITUTE(INDEX('INPUT - Roster'!$S$1:$SV$206,$B8,Settings!$C$9+16)&amp;"",CHAR(10)," "),CHAR(160)," ")))</f>
        <v/>
      </c>
      <c r="W8">
        <f>IF(OR($B8="",NOT(ISNUMBER(Settings!$C$9))),"",TRIM(SUBSTITUTE(SUBSTITUTE(INDEX('INPUT - Roster'!$S$1:$SV$206,$B8,Settings!$C$9+17)&amp;"",CHAR(10)," "),CHAR(160)," ")))</f>
        <v/>
      </c>
      <c r="X8">
        <f>IF(OR($B8="",NOT(ISNUMBER(Settings!$C$9))),"",TRIM(SUBSTITUTE(SUBSTITUTE(INDEX('INPUT - Roster'!$S$1:$SV$206,$B8,Settings!$C$9+18)&amp;"",CHAR(10)," "),CHAR(160)," ")))</f>
        <v/>
      </c>
      <c r="Y8">
        <f>IF(OR($B8="",NOT(ISNUMBER(Settings!$C$9))),"",TRIM(SUBSTITUTE(SUBSTITUTE(INDEX('INPUT - Roster'!$S$1:$SV$206,$B8,Settings!$C$9+19)&amp;"",CHAR(10)," "),CHAR(160)," ")))</f>
        <v/>
      </c>
      <c r="Z8">
        <f>IF(OR($B8="",NOT(ISNUMBER(Settings!$C$9))),"",TRIM(SUBSTITUTE(SUBSTITUTE(INDEX('INPUT - Roster'!$S$1:$SV$206,$B8,Settings!$C$9+20)&amp;"",CHAR(10)," "),CHAR(160)," ")))</f>
        <v/>
      </c>
      <c r="AA8">
        <f>IF(OR($B8="",NOT(ISNUMBER(Settings!$C$9))),"",TRIM(SUBSTITUTE(SUBSTITUTE(INDEX('INPUT - Roster'!$S$1:$SV$206,$B8,Settings!$C$9+21)&amp;"",CHAR(10)," "),CHAR(160)," ")))</f>
        <v/>
      </c>
      <c r="AB8">
        <f>IF(OR($B8="",NOT(ISNUMBER(Settings!$C$9))),"",TRIM(SUBSTITUTE(SUBSTITUTE(INDEX('INPUT - Roster'!$S$1:$SV$206,$B8,Settings!$C$9+22)&amp;"",CHAR(10)," "),CHAR(160)," ")))</f>
        <v/>
      </c>
      <c r="AC8">
        <f>IF(OR($B8="",NOT(ISNUMBER(Settings!$C$9))),"",TRIM(SUBSTITUTE(SUBSTITUTE(INDEX('INPUT - Roster'!$S$1:$SV$206,$B8,Settings!$C$9+23)&amp;"",CHAR(10)," "),CHAR(160)," ")))</f>
        <v/>
      </c>
      <c r="AD8">
        <f>IF(OR($B8="",NOT(ISNUMBER(Settings!$C$9))),"",TRIM(SUBSTITUTE(SUBSTITUTE(INDEX('INPUT - Roster'!$S$1:$SV$206,$B8,Settings!$C$9+24)&amp;"",CHAR(10)," "),CHAR(160)," ")))</f>
        <v/>
      </c>
      <c r="AE8">
        <f>IF(OR($B8="",NOT(ISNUMBER(Settings!$C$9))),"",TRIM(SUBSTITUTE(SUBSTITUTE(INDEX('INPUT - Roster'!$S$1:$SV$206,$B8,Settings!$C$9+25)&amp;"",CHAR(10)," "),CHAR(160)," ")))</f>
        <v/>
      </c>
      <c r="AF8">
        <f>IF(OR($B8="",NOT(ISNUMBER(Settings!$C$9))),"",TRIM(SUBSTITUTE(SUBSTITUTE(INDEX('INPUT - Roster'!$S$1:$SV$206,$B8,Settings!$C$9+26)&amp;"",CHAR(10)," "),CHAR(160)," ")))</f>
        <v/>
      </c>
      <c r="AG8">
        <f>IF(OR($B8="",NOT(ISNUMBER(Settings!$C$9))),"",TRIM(SUBSTITUTE(SUBSTITUTE(INDEX('INPUT - Roster'!$S$1:$SV$206,$B8,Settings!$C$9+27)&amp;"",CHAR(10)," "),CHAR(160)," ")))</f>
        <v/>
      </c>
      <c r="AI8">
        <f>IF($B8="","",IF(F8="","Not rostered",IFERROR(INDEX(Settings!$C$14:$C$33,MATCH(F8,Settings!$B$14:$B$33,0)),IFERROR(LOOKUP(2^15,SEARCH(Settings!$I$14:$I$83,F8)/(Settings!$I$14:$I$83&lt;&gt;""),Settings!$J$14:$J$83),"Other"))))</f>
        <v/>
      </c>
      <c r="AJ8">
        <f>IF($B8="","",IF(G8="","Not rostered",IFERROR(INDEX(Settings!$C$14:$C$33,MATCH(G8,Settings!$B$14:$B$33,0)),IFERROR(LOOKUP(2^15,SEARCH(Settings!$I$14:$I$83,G8)/(Settings!$I$14:$I$83&lt;&gt;""),Settings!$J$14:$J$83),"Other"))))</f>
        <v/>
      </c>
      <c r="AK8">
        <f>IF($B8="","",IF(H8="","Not rostered",IFERROR(INDEX(Settings!$C$14:$C$33,MATCH(H8,Settings!$B$14:$B$33,0)),IFERROR(LOOKUP(2^15,SEARCH(Settings!$I$14:$I$83,H8)/(Settings!$I$14:$I$83&lt;&gt;""),Settings!$J$14:$J$83),"Other"))))</f>
        <v/>
      </c>
      <c r="AL8">
        <f>IF($B8="","",IF(I8="","Not rostered",IFERROR(INDEX(Settings!$C$14:$C$33,MATCH(I8,Settings!$B$14:$B$33,0)),IFERROR(LOOKUP(2^15,SEARCH(Settings!$I$14:$I$83,I8)/(Settings!$I$14:$I$83&lt;&gt;""),Settings!$J$14:$J$83),"Other"))))</f>
        <v/>
      </c>
      <c r="AM8">
        <f>IF($B8="","",IF(J8="","Not rostered",IFERROR(INDEX(Settings!$C$14:$C$33,MATCH(J8,Settings!$B$14:$B$33,0)),IFERROR(LOOKUP(2^15,SEARCH(Settings!$I$14:$I$83,J8)/(Settings!$I$14:$I$83&lt;&gt;""),Settings!$J$14:$J$83),"Other"))))</f>
        <v/>
      </c>
      <c r="AN8">
        <f>IF($B8="","",IF(K8="","Not rostered",IFERROR(INDEX(Settings!$C$14:$C$33,MATCH(K8,Settings!$B$14:$B$33,0)),IFERROR(LOOKUP(2^15,SEARCH(Settings!$I$14:$I$83,K8)/(Settings!$I$14:$I$83&lt;&gt;""),Settings!$J$14:$J$83),"Other"))))</f>
        <v/>
      </c>
      <c r="AO8">
        <f>IF($B8="","",IF(L8="","Not rostered",IFERROR(INDEX(Settings!$C$14:$C$33,MATCH(L8,Settings!$B$14:$B$33,0)),IFERROR(LOOKUP(2^15,SEARCH(Settings!$I$14:$I$83,L8)/(Settings!$I$14:$I$83&lt;&gt;""),Settings!$J$14:$J$83),"Other"))))</f>
        <v/>
      </c>
      <c r="AP8">
        <f>IF($B8="","",IF(M8="","Not rostered",IFERROR(INDEX(Settings!$C$14:$C$33,MATCH(M8,Settings!$B$14:$B$33,0)),IFERROR(LOOKUP(2^15,SEARCH(Settings!$I$14:$I$83,M8)/(Settings!$I$14:$I$83&lt;&gt;""),Settings!$J$14:$J$83),"Other"))))</f>
        <v/>
      </c>
      <c r="AQ8">
        <f>IF($B8="","",IF(N8="","Not rostered",IFERROR(INDEX(Settings!$C$14:$C$33,MATCH(N8,Settings!$B$14:$B$33,0)),IFERROR(LOOKUP(2^15,SEARCH(Settings!$I$14:$I$83,N8)/(Settings!$I$14:$I$83&lt;&gt;""),Settings!$J$14:$J$83),"Other"))))</f>
        <v/>
      </c>
      <c r="AR8">
        <f>IF($B8="","",IF(O8="","Not rostered",IFERROR(INDEX(Settings!$C$14:$C$33,MATCH(O8,Settings!$B$14:$B$33,0)),IFERROR(LOOKUP(2^15,SEARCH(Settings!$I$14:$I$83,O8)/(Settings!$I$14:$I$83&lt;&gt;""),Settings!$J$14:$J$83),"Other"))))</f>
        <v/>
      </c>
      <c r="AS8">
        <f>IF($B8="","",IF(P8="","Not rostered",IFERROR(INDEX(Settings!$C$14:$C$33,MATCH(P8,Settings!$B$14:$B$33,0)),IFERROR(LOOKUP(2^15,SEARCH(Settings!$I$14:$I$83,P8)/(Settings!$I$14:$I$83&lt;&gt;""),Settings!$J$14:$J$83),"Other"))))</f>
        <v/>
      </c>
      <c r="AT8">
        <f>IF($B8="","",IF(Q8="","Not rostered",IFERROR(INDEX(Settings!$C$14:$C$33,MATCH(Q8,Settings!$B$14:$B$33,0)),IFERROR(LOOKUP(2^15,SEARCH(Settings!$I$14:$I$83,Q8)/(Settings!$I$14:$I$83&lt;&gt;""),Settings!$J$14:$J$83),"Other"))))</f>
        <v/>
      </c>
      <c r="AU8">
        <f>IF($B8="","",IF(R8="","Not rostered",IFERROR(INDEX(Settings!$C$14:$C$33,MATCH(R8,Settings!$B$14:$B$33,0)),IFERROR(LOOKUP(2^15,SEARCH(Settings!$I$14:$I$83,R8)/(Settings!$I$14:$I$83&lt;&gt;""),Settings!$J$14:$J$83),"Other"))))</f>
        <v/>
      </c>
      <c r="AV8">
        <f>IF($B8="","",IF(S8="","Not rostered",IFERROR(INDEX(Settings!$C$14:$C$33,MATCH(S8,Settings!$B$14:$B$33,0)),IFERROR(LOOKUP(2^15,SEARCH(Settings!$I$14:$I$83,S8)/(Settings!$I$14:$I$83&lt;&gt;""),Settings!$J$14:$J$83),"Other"))))</f>
        <v/>
      </c>
      <c r="AW8">
        <f>IF($B8="","",IF(T8="","Not rostered",IFERROR(INDEX(Settings!$C$14:$C$33,MATCH(T8,Settings!$B$14:$B$33,0)),IFERROR(LOOKUP(2^15,SEARCH(Settings!$I$14:$I$83,T8)/(Settings!$I$14:$I$83&lt;&gt;""),Settings!$J$14:$J$83),"Other"))))</f>
        <v/>
      </c>
      <c r="AX8">
        <f>IF($B8="","",IF(U8="","Not rostered",IFERROR(INDEX(Settings!$C$14:$C$33,MATCH(U8,Settings!$B$14:$B$33,0)),IFERROR(LOOKUP(2^15,SEARCH(Settings!$I$14:$I$83,U8)/(Settings!$I$14:$I$83&lt;&gt;""),Settings!$J$14:$J$83),"Other"))))</f>
        <v/>
      </c>
      <c r="AY8">
        <f>IF($B8="","",IF(V8="","Not rostered",IFERROR(INDEX(Settings!$C$14:$C$33,MATCH(V8,Settings!$B$14:$B$33,0)),IFERROR(LOOKUP(2^15,SEARCH(Settings!$I$14:$I$83,V8)/(Settings!$I$14:$I$83&lt;&gt;""),Settings!$J$14:$J$83),"Other"))))</f>
        <v/>
      </c>
      <c r="AZ8">
        <f>IF($B8="","",IF(W8="","Not rostered",IFERROR(INDEX(Settings!$C$14:$C$33,MATCH(W8,Settings!$B$14:$B$33,0)),IFERROR(LOOKUP(2^15,SEARCH(Settings!$I$14:$I$83,W8)/(Settings!$I$14:$I$83&lt;&gt;""),Settings!$J$14:$J$83),"Other"))))</f>
        <v/>
      </c>
      <c r="BA8">
        <f>IF($B8="","",IF(X8="","Not rostered",IFERROR(INDEX(Settings!$C$14:$C$33,MATCH(X8,Settings!$B$14:$B$33,0)),IFERROR(LOOKUP(2^15,SEARCH(Settings!$I$14:$I$83,X8)/(Settings!$I$14:$I$83&lt;&gt;""),Settings!$J$14:$J$83),"Other"))))</f>
        <v/>
      </c>
      <c r="BB8">
        <f>IF($B8="","",IF(Y8="","Not rostered",IFERROR(INDEX(Settings!$C$14:$C$33,MATCH(Y8,Settings!$B$14:$B$33,0)),IFERROR(LOOKUP(2^15,SEARCH(Settings!$I$14:$I$83,Y8)/(Settings!$I$14:$I$83&lt;&gt;""),Settings!$J$14:$J$83),"Other"))))</f>
        <v/>
      </c>
      <c r="BC8">
        <f>IF($B8="","",IF(Z8="","Not rostered",IFERROR(INDEX(Settings!$C$14:$C$33,MATCH(Z8,Settings!$B$14:$B$33,0)),IFERROR(LOOKUP(2^15,SEARCH(Settings!$I$14:$I$83,Z8)/(Settings!$I$14:$I$83&lt;&gt;""),Settings!$J$14:$J$83),"Other"))))</f>
        <v/>
      </c>
      <c r="BD8">
        <f>IF($B8="","",IF(AA8="","Not rostered",IFERROR(INDEX(Settings!$C$14:$C$33,MATCH(AA8,Settings!$B$14:$B$33,0)),IFERROR(LOOKUP(2^15,SEARCH(Settings!$I$14:$I$83,AA8)/(Settings!$I$14:$I$83&lt;&gt;""),Settings!$J$14:$J$83),"Other"))))</f>
        <v/>
      </c>
      <c r="BE8">
        <f>IF($B8="","",IF(AB8="","Not rostered",IFERROR(INDEX(Settings!$C$14:$C$33,MATCH(AB8,Settings!$B$14:$B$33,0)),IFERROR(LOOKUP(2^15,SEARCH(Settings!$I$14:$I$83,AB8)/(Settings!$I$14:$I$83&lt;&gt;""),Settings!$J$14:$J$83),"Other"))))</f>
        <v/>
      </c>
      <c r="BF8">
        <f>IF($B8="","",IF(AC8="","Not rostered",IFERROR(INDEX(Settings!$C$14:$C$33,MATCH(AC8,Settings!$B$14:$B$33,0)),IFERROR(LOOKUP(2^15,SEARCH(Settings!$I$14:$I$83,AC8)/(Settings!$I$14:$I$83&lt;&gt;""),Settings!$J$14:$J$83),"Other"))))</f>
        <v/>
      </c>
      <c r="BG8">
        <f>IF($B8="","",IF(AD8="","Not rostered",IFERROR(INDEX(Settings!$C$14:$C$33,MATCH(AD8,Settings!$B$14:$B$33,0)),IFERROR(LOOKUP(2^15,SEARCH(Settings!$I$14:$I$83,AD8)/(Settings!$I$14:$I$83&lt;&gt;""),Settings!$J$14:$J$83),"Other"))))</f>
        <v/>
      </c>
      <c r="BH8">
        <f>IF($B8="","",IF(AE8="","Not rostered",IFERROR(INDEX(Settings!$C$14:$C$33,MATCH(AE8,Settings!$B$14:$B$33,0)),IFERROR(LOOKUP(2^15,SEARCH(Settings!$I$14:$I$83,AE8)/(Settings!$I$14:$I$83&lt;&gt;""),Settings!$J$14:$J$83),"Other"))))</f>
        <v/>
      </c>
      <c r="BI8">
        <f>IF($B8="","",IF(AF8="","Not rostered",IFERROR(INDEX(Settings!$C$14:$C$33,MATCH(AF8,Settings!$B$14:$B$33,0)),IFERROR(LOOKUP(2^15,SEARCH(Settings!$I$14:$I$83,AF8)/(Settings!$I$14:$I$83&lt;&gt;""),Settings!$J$14:$J$83),"Other"))))</f>
        <v/>
      </c>
      <c r="BJ8">
        <f>IF($B8="","",IF(AG8="","Not rostered",IFERROR(INDEX(Settings!$C$14:$C$33,MATCH(AG8,Settings!$B$14:$B$33,0)),IFERROR(LOOKUP(2^15,SEARCH(Settings!$I$14:$I$83,AG8)/(Settings!$I$14:$I$83&lt;&gt;""),Settings!$J$14:$J$83),"Other"))))</f>
        <v/>
      </c>
      <c r="BL8">
        <f>IF(OR($B8="",F8=""),"",IFERROR(INDEX(Settings!$D$14:$D$33,MATCH(F8,Settings!$B$14:$B$33,0))&amp;"",IFERROR(LOOKUP(2^15,SEARCH(Settings!$F$14:$F$43,F8)/(Settings!$F$14:$F$43&lt;&gt;""),Settings!$G$14:$G$43),"")))</f>
        <v/>
      </c>
      <c r="BM8">
        <f>IF(OR($B8="",G8=""),"",IFERROR(INDEX(Settings!$D$14:$D$33,MATCH(G8,Settings!$B$14:$B$33,0))&amp;"",IFERROR(LOOKUP(2^15,SEARCH(Settings!$F$14:$F$43,G8)/(Settings!$F$14:$F$43&lt;&gt;""),Settings!$G$14:$G$43),"")))</f>
        <v/>
      </c>
      <c r="BN8">
        <f>IF(OR($B8="",H8=""),"",IFERROR(INDEX(Settings!$D$14:$D$33,MATCH(H8,Settings!$B$14:$B$33,0))&amp;"",IFERROR(LOOKUP(2^15,SEARCH(Settings!$F$14:$F$43,H8)/(Settings!$F$14:$F$43&lt;&gt;""),Settings!$G$14:$G$43),"")))</f>
        <v/>
      </c>
      <c r="BO8">
        <f>IF(OR($B8="",I8=""),"",IFERROR(INDEX(Settings!$D$14:$D$33,MATCH(I8,Settings!$B$14:$B$33,0))&amp;"",IFERROR(LOOKUP(2^15,SEARCH(Settings!$F$14:$F$43,I8)/(Settings!$F$14:$F$43&lt;&gt;""),Settings!$G$14:$G$43),"")))</f>
        <v/>
      </c>
      <c r="BP8">
        <f>IF(OR($B8="",J8=""),"",IFERROR(INDEX(Settings!$D$14:$D$33,MATCH(J8,Settings!$B$14:$B$33,0))&amp;"",IFERROR(LOOKUP(2^15,SEARCH(Settings!$F$14:$F$43,J8)/(Settings!$F$14:$F$43&lt;&gt;""),Settings!$G$14:$G$43),"")))</f>
        <v/>
      </c>
      <c r="BQ8">
        <f>IF(OR($B8="",K8=""),"",IFERROR(INDEX(Settings!$D$14:$D$33,MATCH(K8,Settings!$B$14:$B$33,0))&amp;"",IFERROR(LOOKUP(2^15,SEARCH(Settings!$F$14:$F$43,K8)/(Settings!$F$14:$F$43&lt;&gt;""),Settings!$G$14:$G$43),"")))</f>
        <v/>
      </c>
      <c r="BR8">
        <f>IF(OR($B8="",L8=""),"",IFERROR(INDEX(Settings!$D$14:$D$33,MATCH(L8,Settings!$B$14:$B$33,0))&amp;"",IFERROR(LOOKUP(2^15,SEARCH(Settings!$F$14:$F$43,L8)/(Settings!$F$14:$F$43&lt;&gt;""),Settings!$G$14:$G$43),"")))</f>
        <v/>
      </c>
      <c r="BS8">
        <f>IF(OR($B8="",M8=""),"",IFERROR(INDEX(Settings!$D$14:$D$33,MATCH(M8,Settings!$B$14:$B$33,0))&amp;"",IFERROR(LOOKUP(2^15,SEARCH(Settings!$F$14:$F$43,M8)/(Settings!$F$14:$F$43&lt;&gt;""),Settings!$G$14:$G$43),"")))</f>
        <v/>
      </c>
      <c r="BT8">
        <f>IF(OR($B8="",N8=""),"",IFERROR(INDEX(Settings!$D$14:$D$33,MATCH(N8,Settings!$B$14:$B$33,0))&amp;"",IFERROR(LOOKUP(2^15,SEARCH(Settings!$F$14:$F$43,N8)/(Settings!$F$14:$F$43&lt;&gt;""),Settings!$G$14:$G$43),"")))</f>
        <v/>
      </c>
      <c r="BU8">
        <f>IF(OR($B8="",O8=""),"",IFERROR(INDEX(Settings!$D$14:$D$33,MATCH(O8,Settings!$B$14:$B$33,0))&amp;"",IFERROR(LOOKUP(2^15,SEARCH(Settings!$F$14:$F$43,O8)/(Settings!$F$14:$F$43&lt;&gt;""),Settings!$G$14:$G$43),"")))</f>
        <v/>
      </c>
      <c r="BV8">
        <f>IF(OR($B8="",P8=""),"",IFERROR(INDEX(Settings!$D$14:$D$33,MATCH(P8,Settings!$B$14:$B$33,0))&amp;"",IFERROR(LOOKUP(2^15,SEARCH(Settings!$F$14:$F$43,P8)/(Settings!$F$14:$F$43&lt;&gt;""),Settings!$G$14:$G$43),"")))</f>
        <v/>
      </c>
      <c r="BW8">
        <f>IF(OR($B8="",Q8=""),"",IFERROR(INDEX(Settings!$D$14:$D$33,MATCH(Q8,Settings!$B$14:$B$33,0))&amp;"",IFERROR(LOOKUP(2^15,SEARCH(Settings!$F$14:$F$43,Q8)/(Settings!$F$14:$F$43&lt;&gt;""),Settings!$G$14:$G$43),"")))</f>
        <v/>
      </c>
      <c r="BX8">
        <f>IF(OR($B8="",R8=""),"",IFERROR(INDEX(Settings!$D$14:$D$33,MATCH(R8,Settings!$B$14:$B$33,0))&amp;"",IFERROR(LOOKUP(2^15,SEARCH(Settings!$F$14:$F$43,R8)/(Settings!$F$14:$F$43&lt;&gt;""),Settings!$G$14:$G$43),"")))</f>
        <v/>
      </c>
      <c r="BY8">
        <f>IF(OR($B8="",S8=""),"",IFERROR(INDEX(Settings!$D$14:$D$33,MATCH(S8,Settings!$B$14:$B$33,0))&amp;"",IFERROR(LOOKUP(2^15,SEARCH(Settings!$F$14:$F$43,S8)/(Settings!$F$14:$F$43&lt;&gt;""),Settings!$G$14:$G$43),"")))</f>
        <v/>
      </c>
      <c r="BZ8">
        <f>IF(OR($B8="",T8=""),"",IFERROR(INDEX(Settings!$D$14:$D$33,MATCH(T8,Settings!$B$14:$B$33,0))&amp;"",IFERROR(LOOKUP(2^15,SEARCH(Settings!$F$14:$F$43,T8)/(Settings!$F$14:$F$43&lt;&gt;""),Settings!$G$14:$G$43),"")))</f>
        <v/>
      </c>
      <c r="CA8">
        <f>IF(OR($B8="",U8=""),"",IFERROR(INDEX(Settings!$D$14:$D$33,MATCH(U8,Settings!$B$14:$B$33,0))&amp;"",IFERROR(LOOKUP(2^15,SEARCH(Settings!$F$14:$F$43,U8)/(Settings!$F$14:$F$43&lt;&gt;""),Settings!$G$14:$G$43),"")))</f>
        <v/>
      </c>
      <c r="CB8">
        <f>IF(OR($B8="",V8=""),"",IFERROR(INDEX(Settings!$D$14:$D$33,MATCH(V8,Settings!$B$14:$B$33,0))&amp;"",IFERROR(LOOKUP(2^15,SEARCH(Settings!$F$14:$F$43,V8)/(Settings!$F$14:$F$43&lt;&gt;""),Settings!$G$14:$G$43),"")))</f>
        <v/>
      </c>
      <c r="CC8">
        <f>IF(OR($B8="",W8=""),"",IFERROR(INDEX(Settings!$D$14:$D$33,MATCH(W8,Settings!$B$14:$B$33,0))&amp;"",IFERROR(LOOKUP(2^15,SEARCH(Settings!$F$14:$F$43,W8)/(Settings!$F$14:$F$43&lt;&gt;""),Settings!$G$14:$G$43),"")))</f>
        <v/>
      </c>
      <c r="CD8">
        <f>IF(OR($B8="",X8=""),"",IFERROR(INDEX(Settings!$D$14:$D$33,MATCH(X8,Settings!$B$14:$B$33,0))&amp;"",IFERROR(LOOKUP(2^15,SEARCH(Settings!$F$14:$F$43,X8)/(Settings!$F$14:$F$43&lt;&gt;""),Settings!$G$14:$G$43),"")))</f>
        <v/>
      </c>
      <c r="CE8">
        <f>IF(OR($B8="",Y8=""),"",IFERROR(INDEX(Settings!$D$14:$D$33,MATCH(Y8,Settings!$B$14:$B$33,0))&amp;"",IFERROR(LOOKUP(2^15,SEARCH(Settings!$F$14:$F$43,Y8)/(Settings!$F$14:$F$43&lt;&gt;""),Settings!$G$14:$G$43),"")))</f>
        <v/>
      </c>
      <c r="CF8">
        <f>IF(OR($B8="",Z8=""),"",IFERROR(INDEX(Settings!$D$14:$D$33,MATCH(Z8,Settings!$B$14:$B$33,0))&amp;"",IFERROR(LOOKUP(2^15,SEARCH(Settings!$F$14:$F$43,Z8)/(Settings!$F$14:$F$43&lt;&gt;""),Settings!$G$14:$G$43),"")))</f>
        <v/>
      </c>
      <c r="CG8">
        <f>IF(OR($B8="",AA8=""),"",IFERROR(INDEX(Settings!$D$14:$D$33,MATCH(AA8,Settings!$B$14:$B$33,0))&amp;"",IFERROR(LOOKUP(2^15,SEARCH(Settings!$F$14:$F$43,AA8)/(Settings!$F$14:$F$43&lt;&gt;""),Settings!$G$14:$G$43),"")))</f>
        <v/>
      </c>
      <c r="CH8">
        <f>IF(OR($B8="",AB8=""),"",IFERROR(INDEX(Settings!$D$14:$D$33,MATCH(AB8,Settings!$B$14:$B$33,0))&amp;"",IFERROR(LOOKUP(2^15,SEARCH(Settings!$F$14:$F$43,AB8)/(Settings!$F$14:$F$43&lt;&gt;""),Settings!$G$14:$G$43),"")))</f>
        <v/>
      </c>
      <c r="CI8">
        <f>IF(OR($B8="",AC8=""),"",IFERROR(INDEX(Settings!$D$14:$D$33,MATCH(AC8,Settings!$B$14:$B$33,0))&amp;"",IFERROR(LOOKUP(2^15,SEARCH(Settings!$F$14:$F$43,AC8)/(Settings!$F$14:$F$43&lt;&gt;""),Settings!$G$14:$G$43),"")))</f>
        <v/>
      </c>
      <c r="CJ8">
        <f>IF(OR($B8="",AD8=""),"",IFERROR(INDEX(Settings!$D$14:$D$33,MATCH(AD8,Settings!$B$14:$B$33,0))&amp;"",IFERROR(LOOKUP(2^15,SEARCH(Settings!$F$14:$F$43,AD8)/(Settings!$F$14:$F$43&lt;&gt;""),Settings!$G$14:$G$43),"")))</f>
        <v/>
      </c>
      <c r="CK8">
        <f>IF(OR($B8="",AE8=""),"",IFERROR(INDEX(Settings!$D$14:$D$33,MATCH(AE8,Settings!$B$14:$B$33,0))&amp;"",IFERROR(LOOKUP(2^15,SEARCH(Settings!$F$14:$F$43,AE8)/(Settings!$F$14:$F$43&lt;&gt;""),Settings!$G$14:$G$43),"")))</f>
        <v/>
      </c>
      <c r="CL8">
        <f>IF(OR($B8="",AF8=""),"",IFERROR(INDEX(Settings!$D$14:$D$33,MATCH(AF8,Settings!$B$14:$B$33,0))&amp;"",IFERROR(LOOKUP(2^15,SEARCH(Settings!$F$14:$F$43,AF8)/(Settings!$F$14:$F$43&lt;&gt;""),Settings!$G$14:$G$43),"")))</f>
        <v/>
      </c>
      <c r="CM8">
        <f>IF(OR($B8="",AG8=""),"",IFERROR(INDEX(Settings!$D$14:$D$33,MATCH(AG8,Settings!$B$14:$B$33,0))&amp;"",IFERROR(LOOKUP(2^15,SEARCH(Settings!$F$14:$F$43,AG8)/(Settings!$F$14:$F$43&lt;&gt;""),Settings!$G$14:$G$43),"")))</f>
        <v/>
      </c>
    </row>
    <row r="9">
      <c r="A9" t="n">
        <v>7</v>
      </c>
      <c r="B9">
        <f>IFERROR(INDEX(Index!$A$2:$A$202,MATCH(A9,Index!$E$2:$E$202,0)),"")</f>
        <v/>
      </c>
      <c r="D9">
        <f>IF($B9="","",IFERROR(MATCH("Travel*",AI9:BJ9,0),""))</f>
        <v/>
      </c>
      <c r="F9">
        <f>IF(OR($B9="",NOT(ISNUMBER(Settings!$C$9))),"",TRIM(SUBSTITUTE(SUBSTITUTE(INDEX('INPUT - Roster'!$S$1:$SV$206,$B9,Settings!$C$9+0)&amp;"",CHAR(10)," "),CHAR(160)," ")))</f>
        <v/>
      </c>
      <c r="G9">
        <f>IF(OR($B9="",NOT(ISNUMBER(Settings!$C$9))),"",TRIM(SUBSTITUTE(SUBSTITUTE(INDEX('INPUT - Roster'!$S$1:$SV$206,$B9,Settings!$C$9+1)&amp;"",CHAR(10)," "),CHAR(160)," ")))</f>
        <v/>
      </c>
      <c r="H9">
        <f>IF(OR($B9="",NOT(ISNUMBER(Settings!$C$9))),"",TRIM(SUBSTITUTE(SUBSTITUTE(INDEX('INPUT - Roster'!$S$1:$SV$206,$B9,Settings!$C$9+2)&amp;"",CHAR(10)," "),CHAR(160)," ")))</f>
        <v/>
      </c>
      <c r="I9">
        <f>IF(OR($B9="",NOT(ISNUMBER(Settings!$C$9))),"",TRIM(SUBSTITUTE(SUBSTITUTE(INDEX('INPUT - Roster'!$S$1:$SV$206,$B9,Settings!$C$9+3)&amp;"",CHAR(10)," "),CHAR(160)," ")))</f>
        <v/>
      </c>
      <c r="J9">
        <f>IF(OR($B9="",NOT(ISNUMBER(Settings!$C$9))),"",TRIM(SUBSTITUTE(SUBSTITUTE(INDEX('INPUT - Roster'!$S$1:$SV$206,$B9,Settings!$C$9+4)&amp;"",CHAR(10)," "),CHAR(160)," ")))</f>
        <v/>
      </c>
      <c r="K9">
        <f>IF(OR($B9="",NOT(ISNUMBER(Settings!$C$9))),"",TRIM(SUBSTITUTE(SUBSTITUTE(INDEX('INPUT - Roster'!$S$1:$SV$206,$B9,Settings!$C$9+5)&amp;"",CHAR(10)," "),CHAR(160)," ")))</f>
        <v/>
      </c>
      <c r="L9">
        <f>IF(OR($B9="",NOT(ISNUMBER(Settings!$C$9))),"",TRIM(SUBSTITUTE(SUBSTITUTE(INDEX('INPUT - Roster'!$S$1:$SV$206,$B9,Settings!$C$9+6)&amp;"",CHAR(10)," "),CHAR(160)," ")))</f>
        <v/>
      </c>
      <c r="M9">
        <f>IF(OR($B9="",NOT(ISNUMBER(Settings!$C$9))),"",TRIM(SUBSTITUTE(SUBSTITUTE(INDEX('INPUT - Roster'!$S$1:$SV$206,$B9,Settings!$C$9+7)&amp;"",CHAR(10)," "),CHAR(160)," ")))</f>
        <v/>
      </c>
      <c r="N9">
        <f>IF(OR($B9="",NOT(ISNUMBER(Settings!$C$9))),"",TRIM(SUBSTITUTE(SUBSTITUTE(INDEX('INPUT - Roster'!$S$1:$SV$206,$B9,Settings!$C$9+8)&amp;"",CHAR(10)," "),CHAR(160)," ")))</f>
        <v/>
      </c>
      <c r="O9">
        <f>IF(OR($B9="",NOT(ISNUMBER(Settings!$C$9))),"",TRIM(SUBSTITUTE(SUBSTITUTE(INDEX('INPUT - Roster'!$S$1:$SV$206,$B9,Settings!$C$9+9)&amp;"",CHAR(10)," "),CHAR(160)," ")))</f>
        <v/>
      </c>
      <c r="P9">
        <f>IF(OR($B9="",NOT(ISNUMBER(Settings!$C$9))),"",TRIM(SUBSTITUTE(SUBSTITUTE(INDEX('INPUT - Roster'!$S$1:$SV$206,$B9,Settings!$C$9+10)&amp;"",CHAR(10)," "),CHAR(160)," ")))</f>
        <v/>
      </c>
      <c r="Q9">
        <f>IF(OR($B9="",NOT(ISNUMBER(Settings!$C$9))),"",TRIM(SUBSTITUTE(SUBSTITUTE(INDEX('INPUT - Roster'!$S$1:$SV$206,$B9,Settings!$C$9+11)&amp;"",CHAR(10)," "),CHAR(160)," ")))</f>
        <v/>
      </c>
      <c r="R9">
        <f>IF(OR($B9="",NOT(ISNUMBER(Settings!$C$9))),"",TRIM(SUBSTITUTE(SUBSTITUTE(INDEX('INPUT - Roster'!$S$1:$SV$206,$B9,Settings!$C$9+12)&amp;"",CHAR(10)," "),CHAR(160)," ")))</f>
        <v/>
      </c>
      <c r="S9">
        <f>IF(OR($B9="",NOT(ISNUMBER(Settings!$C$9))),"",TRIM(SUBSTITUTE(SUBSTITUTE(INDEX('INPUT - Roster'!$S$1:$SV$206,$B9,Settings!$C$9+13)&amp;"",CHAR(10)," "),CHAR(160)," ")))</f>
        <v/>
      </c>
      <c r="T9">
        <f>IF(OR($B9="",NOT(ISNUMBER(Settings!$C$9))),"",TRIM(SUBSTITUTE(SUBSTITUTE(INDEX('INPUT - Roster'!$S$1:$SV$206,$B9,Settings!$C$9+14)&amp;"",CHAR(10)," "),CHAR(160)," ")))</f>
        <v/>
      </c>
      <c r="U9">
        <f>IF(OR($B9="",NOT(ISNUMBER(Settings!$C$9))),"",TRIM(SUBSTITUTE(SUBSTITUTE(INDEX('INPUT - Roster'!$S$1:$SV$206,$B9,Settings!$C$9+15)&amp;"",CHAR(10)," "),CHAR(160)," ")))</f>
        <v/>
      </c>
      <c r="V9">
        <f>IF(OR($B9="",NOT(ISNUMBER(Settings!$C$9))),"",TRIM(SUBSTITUTE(SUBSTITUTE(INDEX('INPUT - Roster'!$S$1:$SV$206,$B9,Settings!$C$9+16)&amp;"",CHAR(10)," "),CHAR(160)," ")))</f>
        <v/>
      </c>
      <c r="W9">
        <f>IF(OR($B9="",NOT(ISNUMBER(Settings!$C$9))),"",TRIM(SUBSTITUTE(SUBSTITUTE(INDEX('INPUT - Roster'!$S$1:$SV$206,$B9,Settings!$C$9+17)&amp;"",CHAR(10)," "),CHAR(160)," ")))</f>
        <v/>
      </c>
      <c r="X9">
        <f>IF(OR($B9="",NOT(ISNUMBER(Settings!$C$9))),"",TRIM(SUBSTITUTE(SUBSTITUTE(INDEX('INPUT - Roster'!$S$1:$SV$206,$B9,Settings!$C$9+18)&amp;"",CHAR(10)," "),CHAR(160)," ")))</f>
        <v/>
      </c>
      <c r="Y9">
        <f>IF(OR($B9="",NOT(ISNUMBER(Settings!$C$9))),"",TRIM(SUBSTITUTE(SUBSTITUTE(INDEX('INPUT - Roster'!$S$1:$SV$206,$B9,Settings!$C$9+19)&amp;"",CHAR(10)," "),CHAR(160)," ")))</f>
        <v/>
      </c>
      <c r="Z9">
        <f>IF(OR($B9="",NOT(ISNUMBER(Settings!$C$9))),"",TRIM(SUBSTITUTE(SUBSTITUTE(INDEX('INPUT - Roster'!$S$1:$SV$206,$B9,Settings!$C$9+20)&amp;"",CHAR(10)," "),CHAR(160)," ")))</f>
        <v/>
      </c>
      <c r="AA9">
        <f>IF(OR($B9="",NOT(ISNUMBER(Settings!$C$9))),"",TRIM(SUBSTITUTE(SUBSTITUTE(INDEX('INPUT - Roster'!$S$1:$SV$206,$B9,Settings!$C$9+21)&amp;"",CHAR(10)," "),CHAR(160)," ")))</f>
        <v/>
      </c>
      <c r="AB9">
        <f>IF(OR($B9="",NOT(ISNUMBER(Settings!$C$9))),"",TRIM(SUBSTITUTE(SUBSTITUTE(INDEX('INPUT - Roster'!$S$1:$SV$206,$B9,Settings!$C$9+22)&amp;"",CHAR(10)," "),CHAR(160)," ")))</f>
        <v/>
      </c>
      <c r="AC9">
        <f>IF(OR($B9="",NOT(ISNUMBER(Settings!$C$9))),"",TRIM(SUBSTITUTE(SUBSTITUTE(INDEX('INPUT - Roster'!$S$1:$SV$206,$B9,Settings!$C$9+23)&amp;"",CHAR(10)," "),CHAR(160)," ")))</f>
        <v/>
      </c>
      <c r="AD9">
        <f>IF(OR($B9="",NOT(ISNUMBER(Settings!$C$9))),"",TRIM(SUBSTITUTE(SUBSTITUTE(INDEX('INPUT - Roster'!$S$1:$SV$206,$B9,Settings!$C$9+24)&amp;"",CHAR(10)," "),CHAR(160)," ")))</f>
        <v/>
      </c>
      <c r="AE9">
        <f>IF(OR($B9="",NOT(ISNUMBER(Settings!$C$9))),"",TRIM(SUBSTITUTE(SUBSTITUTE(INDEX('INPUT - Roster'!$S$1:$SV$206,$B9,Settings!$C$9+25)&amp;"",CHAR(10)," "),CHAR(160)," ")))</f>
        <v/>
      </c>
      <c r="AF9">
        <f>IF(OR($B9="",NOT(ISNUMBER(Settings!$C$9))),"",TRIM(SUBSTITUTE(SUBSTITUTE(INDEX('INPUT - Roster'!$S$1:$SV$206,$B9,Settings!$C$9+26)&amp;"",CHAR(10)," "),CHAR(160)," ")))</f>
        <v/>
      </c>
      <c r="AG9">
        <f>IF(OR($B9="",NOT(ISNUMBER(Settings!$C$9))),"",TRIM(SUBSTITUTE(SUBSTITUTE(INDEX('INPUT - Roster'!$S$1:$SV$206,$B9,Settings!$C$9+27)&amp;"",CHAR(10)," "),CHAR(160)," ")))</f>
        <v/>
      </c>
      <c r="AI9">
        <f>IF($B9="","",IF(F9="","Not rostered",IFERROR(INDEX(Settings!$C$14:$C$33,MATCH(F9,Settings!$B$14:$B$33,0)),IFERROR(LOOKUP(2^15,SEARCH(Settings!$I$14:$I$83,F9)/(Settings!$I$14:$I$83&lt;&gt;""),Settings!$J$14:$J$83),"Other"))))</f>
        <v/>
      </c>
      <c r="AJ9">
        <f>IF($B9="","",IF(G9="","Not rostered",IFERROR(INDEX(Settings!$C$14:$C$33,MATCH(G9,Settings!$B$14:$B$33,0)),IFERROR(LOOKUP(2^15,SEARCH(Settings!$I$14:$I$83,G9)/(Settings!$I$14:$I$83&lt;&gt;""),Settings!$J$14:$J$83),"Other"))))</f>
        <v/>
      </c>
      <c r="AK9">
        <f>IF($B9="","",IF(H9="","Not rostered",IFERROR(INDEX(Settings!$C$14:$C$33,MATCH(H9,Settings!$B$14:$B$33,0)),IFERROR(LOOKUP(2^15,SEARCH(Settings!$I$14:$I$83,H9)/(Settings!$I$14:$I$83&lt;&gt;""),Settings!$J$14:$J$83),"Other"))))</f>
        <v/>
      </c>
      <c r="AL9">
        <f>IF($B9="","",IF(I9="","Not rostered",IFERROR(INDEX(Settings!$C$14:$C$33,MATCH(I9,Settings!$B$14:$B$33,0)),IFERROR(LOOKUP(2^15,SEARCH(Settings!$I$14:$I$83,I9)/(Settings!$I$14:$I$83&lt;&gt;""),Settings!$J$14:$J$83),"Other"))))</f>
        <v/>
      </c>
      <c r="AM9">
        <f>IF($B9="","",IF(J9="","Not rostered",IFERROR(INDEX(Settings!$C$14:$C$33,MATCH(J9,Settings!$B$14:$B$33,0)),IFERROR(LOOKUP(2^15,SEARCH(Settings!$I$14:$I$83,J9)/(Settings!$I$14:$I$83&lt;&gt;""),Settings!$J$14:$J$83),"Other"))))</f>
        <v/>
      </c>
      <c r="AN9">
        <f>IF($B9="","",IF(K9="","Not rostered",IFERROR(INDEX(Settings!$C$14:$C$33,MATCH(K9,Settings!$B$14:$B$33,0)),IFERROR(LOOKUP(2^15,SEARCH(Settings!$I$14:$I$83,K9)/(Settings!$I$14:$I$83&lt;&gt;""),Settings!$J$14:$J$83),"Other"))))</f>
        <v/>
      </c>
      <c r="AO9">
        <f>IF($B9="","",IF(L9="","Not rostered",IFERROR(INDEX(Settings!$C$14:$C$33,MATCH(L9,Settings!$B$14:$B$33,0)),IFERROR(LOOKUP(2^15,SEARCH(Settings!$I$14:$I$83,L9)/(Settings!$I$14:$I$83&lt;&gt;""),Settings!$J$14:$J$83),"Other"))))</f>
        <v/>
      </c>
      <c r="AP9">
        <f>IF($B9="","",IF(M9="","Not rostered",IFERROR(INDEX(Settings!$C$14:$C$33,MATCH(M9,Settings!$B$14:$B$33,0)),IFERROR(LOOKUP(2^15,SEARCH(Settings!$I$14:$I$83,M9)/(Settings!$I$14:$I$83&lt;&gt;""),Settings!$J$14:$J$83),"Other"))))</f>
        <v/>
      </c>
      <c r="AQ9">
        <f>IF($B9="","",IF(N9="","Not rostered",IFERROR(INDEX(Settings!$C$14:$C$33,MATCH(N9,Settings!$B$14:$B$33,0)),IFERROR(LOOKUP(2^15,SEARCH(Settings!$I$14:$I$83,N9)/(Settings!$I$14:$I$83&lt;&gt;""),Settings!$J$14:$J$83),"Other"))))</f>
        <v/>
      </c>
      <c r="AR9">
        <f>IF($B9="","",IF(O9="","Not rostered",IFERROR(INDEX(Settings!$C$14:$C$33,MATCH(O9,Settings!$B$14:$B$33,0)),IFERROR(LOOKUP(2^15,SEARCH(Settings!$I$14:$I$83,O9)/(Settings!$I$14:$I$83&lt;&gt;""),Settings!$J$14:$J$83),"Other"))))</f>
        <v/>
      </c>
      <c r="AS9">
        <f>IF($B9="","",IF(P9="","Not rostered",IFERROR(INDEX(Settings!$C$14:$C$33,MATCH(P9,Settings!$B$14:$B$33,0)),IFERROR(LOOKUP(2^15,SEARCH(Settings!$I$14:$I$83,P9)/(Settings!$I$14:$I$83&lt;&gt;""),Settings!$J$14:$J$83),"Other"))))</f>
        <v/>
      </c>
      <c r="AT9">
        <f>IF($B9="","",IF(Q9="","Not rostered",IFERROR(INDEX(Settings!$C$14:$C$33,MATCH(Q9,Settings!$B$14:$B$33,0)),IFERROR(LOOKUP(2^15,SEARCH(Settings!$I$14:$I$83,Q9)/(Settings!$I$14:$I$83&lt;&gt;""),Settings!$J$14:$J$83),"Other"))))</f>
        <v/>
      </c>
      <c r="AU9">
        <f>IF($B9="","",IF(R9="","Not rostered",IFERROR(INDEX(Settings!$C$14:$C$33,MATCH(R9,Settings!$B$14:$B$33,0)),IFERROR(LOOKUP(2^15,SEARCH(Settings!$I$14:$I$83,R9)/(Settings!$I$14:$I$83&lt;&gt;""),Settings!$J$14:$J$83),"Other"))))</f>
        <v/>
      </c>
      <c r="AV9">
        <f>IF($B9="","",IF(S9="","Not rostered",IFERROR(INDEX(Settings!$C$14:$C$33,MATCH(S9,Settings!$B$14:$B$33,0)),IFERROR(LOOKUP(2^15,SEARCH(Settings!$I$14:$I$83,S9)/(Settings!$I$14:$I$83&lt;&gt;""),Settings!$J$14:$J$83),"Other"))))</f>
        <v/>
      </c>
      <c r="AW9">
        <f>IF($B9="","",IF(T9="","Not rostered",IFERROR(INDEX(Settings!$C$14:$C$33,MATCH(T9,Settings!$B$14:$B$33,0)),IFERROR(LOOKUP(2^15,SEARCH(Settings!$I$14:$I$83,T9)/(Settings!$I$14:$I$83&lt;&gt;""),Settings!$J$14:$J$83),"Other"))))</f>
        <v/>
      </c>
      <c r="AX9">
        <f>IF($B9="","",IF(U9="","Not rostered",IFERROR(INDEX(Settings!$C$14:$C$33,MATCH(U9,Settings!$B$14:$B$33,0)),IFERROR(LOOKUP(2^15,SEARCH(Settings!$I$14:$I$83,U9)/(Settings!$I$14:$I$83&lt;&gt;""),Settings!$J$14:$J$83),"Other"))))</f>
        <v/>
      </c>
      <c r="AY9">
        <f>IF($B9="","",IF(V9="","Not rostered",IFERROR(INDEX(Settings!$C$14:$C$33,MATCH(V9,Settings!$B$14:$B$33,0)),IFERROR(LOOKUP(2^15,SEARCH(Settings!$I$14:$I$83,V9)/(Settings!$I$14:$I$83&lt;&gt;""),Settings!$J$14:$J$83),"Other"))))</f>
        <v/>
      </c>
      <c r="AZ9">
        <f>IF($B9="","",IF(W9="","Not rostered",IFERROR(INDEX(Settings!$C$14:$C$33,MATCH(W9,Settings!$B$14:$B$33,0)),IFERROR(LOOKUP(2^15,SEARCH(Settings!$I$14:$I$83,W9)/(Settings!$I$14:$I$83&lt;&gt;""),Settings!$J$14:$J$83),"Other"))))</f>
        <v/>
      </c>
      <c r="BA9">
        <f>IF($B9="","",IF(X9="","Not rostered",IFERROR(INDEX(Settings!$C$14:$C$33,MATCH(X9,Settings!$B$14:$B$33,0)),IFERROR(LOOKUP(2^15,SEARCH(Settings!$I$14:$I$83,X9)/(Settings!$I$14:$I$83&lt;&gt;""),Settings!$J$14:$J$83),"Other"))))</f>
        <v/>
      </c>
      <c r="BB9">
        <f>IF($B9="","",IF(Y9="","Not rostered",IFERROR(INDEX(Settings!$C$14:$C$33,MATCH(Y9,Settings!$B$14:$B$33,0)),IFERROR(LOOKUP(2^15,SEARCH(Settings!$I$14:$I$83,Y9)/(Settings!$I$14:$I$83&lt;&gt;""),Settings!$J$14:$J$83),"Other"))))</f>
        <v/>
      </c>
      <c r="BC9">
        <f>IF($B9="","",IF(Z9="","Not rostered",IFERROR(INDEX(Settings!$C$14:$C$33,MATCH(Z9,Settings!$B$14:$B$33,0)),IFERROR(LOOKUP(2^15,SEARCH(Settings!$I$14:$I$83,Z9)/(Settings!$I$14:$I$83&lt;&gt;""),Settings!$J$14:$J$83),"Other"))))</f>
        <v/>
      </c>
      <c r="BD9">
        <f>IF($B9="","",IF(AA9="","Not rostered",IFERROR(INDEX(Settings!$C$14:$C$33,MATCH(AA9,Settings!$B$14:$B$33,0)),IFERROR(LOOKUP(2^15,SEARCH(Settings!$I$14:$I$83,AA9)/(Settings!$I$14:$I$83&lt;&gt;""),Settings!$J$14:$J$83),"Other"))))</f>
        <v/>
      </c>
      <c r="BE9">
        <f>IF($B9="","",IF(AB9="","Not rostered",IFERROR(INDEX(Settings!$C$14:$C$33,MATCH(AB9,Settings!$B$14:$B$33,0)),IFERROR(LOOKUP(2^15,SEARCH(Settings!$I$14:$I$83,AB9)/(Settings!$I$14:$I$83&lt;&gt;""),Settings!$J$14:$J$83),"Other"))))</f>
        <v/>
      </c>
      <c r="BF9">
        <f>IF($B9="","",IF(AC9="","Not rostered",IFERROR(INDEX(Settings!$C$14:$C$33,MATCH(AC9,Settings!$B$14:$B$33,0)),IFERROR(LOOKUP(2^15,SEARCH(Settings!$I$14:$I$83,AC9)/(Settings!$I$14:$I$83&lt;&gt;""),Settings!$J$14:$J$83),"Other"))))</f>
        <v/>
      </c>
      <c r="BG9">
        <f>IF($B9="","",IF(AD9="","Not rostered",IFERROR(INDEX(Settings!$C$14:$C$33,MATCH(AD9,Settings!$B$14:$B$33,0)),IFERROR(LOOKUP(2^15,SEARCH(Settings!$I$14:$I$83,AD9)/(Settings!$I$14:$I$83&lt;&gt;""),Settings!$J$14:$J$83),"Other"))))</f>
        <v/>
      </c>
      <c r="BH9">
        <f>IF($B9="","",IF(AE9="","Not rostered",IFERROR(INDEX(Settings!$C$14:$C$33,MATCH(AE9,Settings!$B$14:$B$33,0)),IFERROR(LOOKUP(2^15,SEARCH(Settings!$I$14:$I$83,AE9)/(Settings!$I$14:$I$83&lt;&gt;""),Settings!$J$14:$J$83),"Other"))))</f>
        <v/>
      </c>
      <c r="BI9">
        <f>IF($B9="","",IF(AF9="","Not rostered",IFERROR(INDEX(Settings!$C$14:$C$33,MATCH(AF9,Settings!$B$14:$B$33,0)),IFERROR(LOOKUP(2^15,SEARCH(Settings!$I$14:$I$83,AF9)/(Settings!$I$14:$I$83&lt;&gt;""),Settings!$J$14:$J$83),"Other"))))</f>
        <v/>
      </c>
      <c r="BJ9">
        <f>IF($B9="","",IF(AG9="","Not rostered",IFERROR(INDEX(Settings!$C$14:$C$33,MATCH(AG9,Settings!$B$14:$B$33,0)),IFERROR(LOOKUP(2^15,SEARCH(Settings!$I$14:$I$83,AG9)/(Settings!$I$14:$I$83&lt;&gt;""),Settings!$J$14:$J$83),"Other"))))</f>
        <v/>
      </c>
      <c r="BL9">
        <f>IF(OR($B9="",F9=""),"",IFERROR(INDEX(Settings!$D$14:$D$33,MATCH(F9,Settings!$B$14:$B$33,0))&amp;"",IFERROR(LOOKUP(2^15,SEARCH(Settings!$F$14:$F$43,F9)/(Settings!$F$14:$F$43&lt;&gt;""),Settings!$G$14:$G$43),"")))</f>
        <v/>
      </c>
      <c r="BM9">
        <f>IF(OR($B9="",G9=""),"",IFERROR(INDEX(Settings!$D$14:$D$33,MATCH(G9,Settings!$B$14:$B$33,0))&amp;"",IFERROR(LOOKUP(2^15,SEARCH(Settings!$F$14:$F$43,G9)/(Settings!$F$14:$F$43&lt;&gt;""),Settings!$G$14:$G$43),"")))</f>
        <v/>
      </c>
      <c r="BN9">
        <f>IF(OR($B9="",H9=""),"",IFERROR(INDEX(Settings!$D$14:$D$33,MATCH(H9,Settings!$B$14:$B$33,0))&amp;"",IFERROR(LOOKUP(2^15,SEARCH(Settings!$F$14:$F$43,H9)/(Settings!$F$14:$F$43&lt;&gt;""),Settings!$G$14:$G$43),"")))</f>
        <v/>
      </c>
      <c r="BO9">
        <f>IF(OR($B9="",I9=""),"",IFERROR(INDEX(Settings!$D$14:$D$33,MATCH(I9,Settings!$B$14:$B$33,0))&amp;"",IFERROR(LOOKUP(2^15,SEARCH(Settings!$F$14:$F$43,I9)/(Settings!$F$14:$F$43&lt;&gt;""),Settings!$G$14:$G$43),"")))</f>
        <v/>
      </c>
      <c r="BP9">
        <f>IF(OR($B9="",J9=""),"",IFERROR(INDEX(Settings!$D$14:$D$33,MATCH(J9,Settings!$B$14:$B$33,0))&amp;"",IFERROR(LOOKUP(2^15,SEARCH(Settings!$F$14:$F$43,J9)/(Settings!$F$14:$F$43&lt;&gt;""),Settings!$G$14:$G$43),"")))</f>
        <v/>
      </c>
      <c r="BQ9">
        <f>IF(OR($B9="",K9=""),"",IFERROR(INDEX(Settings!$D$14:$D$33,MATCH(K9,Settings!$B$14:$B$33,0))&amp;"",IFERROR(LOOKUP(2^15,SEARCH(Settings!$F$14:$F$43,K9)/(Settings!$F$14:$F$43&lt;&gt;""),Settings!$G$14:$G$43),"")))</f>
        <v/>
      </c>
      <c r="BR9">
        <f>IF(OR($B9="",L9=""),"",IFERROR(INDEX(Settings!$D$14:$D$33,MATCH(L9,Settings!$B$14:$B$33,0))&amp;"",IFERROR(LOOKUP(2^15,SEARCH(Settings!$F$14:$F$43,L9)/(Settings!$F$14:$F$43&lt;&gt;""),Settings!$G$14:$G$43),"")))</f>
        <v/>
      </c>
      <c r="BS9">
        <f>IF(OR($B9="",M9=""),"",IFERROR(INDEX(Settings!$D$14:$D$33,MATCH(M9,Settings!$B$14:$B$33,0))&amp;"",IFERROR(LOOKUP(2^15,SEARCH(Settings!$F$14:$F$43,M9)/(Settings!$F$14:$F$43&lt;&gt;""),Settings!$G$14:$G$43),"")))</f>
        <v/>
      </c>
      <c r="BT9">
        <f>IF(OR($B9="",N9=""),"",IFERROR(INDEX(Settings!$D$14:$D$33,MATCH(N9,Settings!$B$14:$B$33,0))&amp;"",IFERROR(LOOKUP(2^15,SEARCH(Settings!$F$14:$F$43,N9)/(Settings!$F$14:$F$43&lt;&gt;""),Settings!$G$14:$G$43),"")))</f>
        <v/>
      </c>
      <c r="BU9">
        <f>IF(OR($B9="",O9=""),"",IFERROR(INDEX(Settings!$D$14:$D$33,MATCH(O9,Settings!$B$14:$B$33,0))&amp;"",IFERROR(LOOKUP(2^15,SEARCH(Settings!$F$14:$F$43,O9)/(Settings!$F$14:$F$43&lt;&gt;""),Settings!$G$14:$G$43),"")))</f>
        <v/>
      </c>
      <c r="BV9">
        <f>IF(OR($B9="",P9=""),"",IFERROR(INDEX(Settings!$D$14:$D$33,MATCH(P9,Settings!$B$14:$B$33,0))&amp;"",IFERROR(LOOKUP(2^15,SEARCH(Settings!$F$14:$F$43,P9)/(Settings!$F$14:$F$43&lt;&gt;""),Settings!$G$14:$G$43),"")))</f>
        <v/>
      </c>
      <c r="BW9">
        <f>IF(OR($B9="",Q9=""),"",IFERROR(INDEX(Settings!$D$14:$D$33,MATCH(Q9,Settings!$B$14:$B$33,0))&amp;"",IFERROR(LOOKUP(2^15,SEARCH(Settings!$F$14:$F$43,Q9)/(Settings!$F$14:$F$43&lt;&gt;""),Settings!$G$14:$G$43),"")))</f>
        <v/>
      </c>
      <c r="BX9">
        <f>IF(OR($B9="",R9=""),"",IFERROR(INDEX(Settings!$D$14:$D$33,MATCH(R9,Settings!$B$14:$B$33,0))&amp;"",IFERROR(LOOKUP(2^15,SEARCH(Settings!$F$14:$F$43,R9)/(Settings!$F$14:$F$43&lt;&gt;""),Settings!$G$14:$G$43),"")))</f>
        <v/>
      </c>
      <c r="BY9">
        <f>IF(OR($B9="",S9=""),"",IFERROR(INDEX(Settings!$D$14:$D$33,MATCH(S9,Settings!$B$14:$B$33,0))&amp;"",IFERROR(LOOKUP(2^15,SEARCH(Settings!$F$14:$F$43,S9)/(Settings!$F$14:$F$43&lt;&gt;""),Settings!$G$14:$G$43),"")))</f>
        <v/>
      </c>
      <c r="BZ9">
        <f>IF(OR($B9="",T9=""),"",IFERROR(INDEX(Settings!$D$14:$D$33,MATCH(T9,Settings!$B$14:$B$33,0))&amp;"",IFERROR(LOOKUP(2^15,SEARCH(Settings!$F$14:$F$43,T9)/(Settings!$F$14:$F$43&lt;&gt;""),Settings!$G$14:$G$43),"")))</f>
        <v/>
      </c>
      <c r="CA9">
        <f>IF(OR($B9="",U9=""),"",IFERROR(INDEX(Settings!$D$14:$D$33,MATCH(U9,Settings!$B$14:$B$33,0))&amp;"",IFERROR(LOOKUP(2^15,SEARCH(Settings!$F$14:$F$43,U9)/(Settings!$F$14:$F$43&lt;&gt;""),Settings!$G$14:$G$43),"")))</f>
        <v/>
      </c>
      <c r="CB9">
        <f>IF(OR($B9="",V9=""),"",IFERROR(INDEX(Settings!$D$14:$D$33,MATCH(V9,Settings!$B$14:$B$33,0))&amp;"",IFERROR(LOOKUP(2^15,SEARCH(Settings!$F$14:$F$43,V9)/(Settings!$F$14:$F$43&lt;&gt;""),Settings!$G$14:$G$43),"")))</f>
        <v/>
      </c>
      <c r="CC9">
        <f>IF(OR($B9="",W9=""),"",IFERROR(INDEX(Settings!$D$14:$D$33,MATCH(W9,Settings!$B$14:$B$33,0))&amp;"",IFERROR(LOOKUP(2^15,SEARCH(Settings!$F$14:$F$43,W9)/(Settings!$F$14:$F$43&lt;&gt;""),Settings!$G$14:$G$43),"")))</f>
        <v/>
      </c>
      <c r="CD9">
        <f>IF(OR($B9="",X9=""),"",IFERROR(INDEX(Settings!$D$14:$D$33,MATCH(X9,Settings!$B$14:$B$33,0))&amp;"",IFERROR(LOOKUP(2^15,SEARCH(Settings!$F$14:$F$43,X9)/(Settings!$F$14:$F$43&lt;&gt;""),Settings!$G$14:$G$43),"")))</f>
        <v/>
      </c>
      <c r="CE9">
        <f>IF(OR($B9="",Y9=""),"",IFERROR(INDEX(Settings!$D$14:$D$33,MATCH(Y9,Settings!$B$14:$B$33,0))&amp;"",IFERROR(LOOKUP(2^15,SEARCH(Settings!$F$14:$F$43,Y9)/(Settings!$F$14:$F$43&lt;&gt;""),Settings!$G$14:$G$43),"")))</f>
        <v/>
      </c>
      <c r="CF9">
        <f>IF(OR($B9="",Z9=""),"",IFERROR(INDEX(Settings!$D$14:$D$33,MATCH(Z9,Settings!$B$14:$B$33,0))&amp;"",IFERROR(LOOKUP(2^15,SEARCH(Settings!$F$14:$F$43,Z9)/(Settings!$F$14:$F$43&lt;&gt;""),Settings!$G$14:$G$43),"")))</f>
        <v/>
      </c>
      <c r="CG9">
        <f>IF(OR($B9="",AA9=""),"",IFERROR(INDEX(Settings!$D$14:$D$33,MATCH(AA9,Settings!$B$14:$B$33,0))&amp;"",IFERROR(LOOKUP(2^15,SEARCH(Settings!$F$14:$F$43,AA9)/(Settings!$F$14:$F$43&lt;&gt;""),Settings!$G$14:$G$43),"")))</f>
        <v/>
      </c>
      <c r="CH9">
        <f>IF(OR($B9="",AB9=""),"",IFERROR(INDEX(Settings!$D$14:$D$33,MATCH(AB9,Settings!$B$14:$B$33,0))&amp;"",IFERROR(LOOKUP(2^15,SEARCH(Settings!$F$14:$F$43,AB9)/(Settings!$F$14:$F$43&lt;&gt;""),Settings!$G$14:$G$43),"")))</f>
        <v/>
      </c>
      <c r="CI9">
        <f>IF(OR($B9="",AC9=""),"",IFERROR(INDEX(Settings!$D$14:$D$33,MATCH(AC9,Settings!$B$14:$B$33,0))&amp;"",IFERROR(LOOKUP(2^15,SEARCH(Settings!$F$14:$F$43,AC9)/(Settings!$F$14:$F$43&lt;&gt;""),Settings!$G$14:$G$43),"")))</f>
        <v/>
      </c>
      <c r="CJ9">
        <f>IF(OR($B9="",AD9=""),"",IFERROR(INDEX(Settings!$D$14:$D$33,MATCH(AD9,Settings!$B$14:$B$33,0))&amp;"",IFERROR(LOOKUP(2^15,SEARCH(Settings!$F$14:$F$43,AD9)/(Settings!$F$14:$F$43&lt;&gt;""),Settings!$G$14:$G$43),"")))</f>
        <v/>
      </c>
      <c r="CK9">
        <f>IF(OR($B9="",AE9=""),"",IFERROR(INDEX(Settings!$D$14:$D$33,MATCH(AE9,Settings!$B$14:$B$33,0))&amp;"",IFERROR(LOOKUP(2^15,SEARCH(Settings!$F$14:$F$43,AE9)/(Settings!$F$14:$F$43&lt;&gt;""),Settings!$G$14:$G$43),"")))</f>
        <v/>
      </c>
      <c r="CL9">
        <f>IF(OR($B9="",AF9=""),"",IFERROR(INDEX(Settings!$D$14:$D$33,MATCH(AF9,Settings!$B$14:$B$33,0))&amp;"",IFERROR(LOOKUP(2^15,SEARCH(Settings!$F$14:$F$43,AF9)/(Settings!$F$14:$F$43&lt;&gt;""),Settings!$G$14:$G$43),"")))</f>
        <v/>
      </c>
      <c r="CM9">
        <f>IF(OR($B9="",AG9=""),"",IFERROR(INDEX(Settings!$D$14:$D$33,MATCH(AG9,Settings!$B$14:$B$33,0))&amp;"",IFERROR(LOOKUP(2^15,SEARCH(Settings!$F$14:$F$43,AG9)/(Settings!$F$14:$F$43&lt;&gt;""),Settings!$G$14:$G$43),"")))</f>
        <v/>
      </c>
    </row>
    <row r="10">
      <c r="A10" t="n">
        <v>8</v>
      </c>
      <c r="B10">
        <f>IFERROR(INDEX(Index!$A$2:$A$202,MATCH(A10,Index!$E$2:$E$202,0)),"")</f>
        <v/>
      </c>
      <c r="D10">
        <f>IF($B10="","",IFERROR(MATCH("Travel*",AI10:BJ10,0),""))</f>
        <v/>
      </c>
      <c r="F10">
        <f>IF(OR($B10="",NOT(ISNUMBER(Settings!$C$9))),"",TRIM(SUBSTITUTE(SUBSTITUTE(INDEX('INPUT - Roster'!$S$1:$SV$206,$B10,Settings!$C$9+0)&amp;"",CHAR(10)," "),CHAR(160)," ")))</f>
        <v/>
      </c>
      <c r="G10">
        <f>IF(OR($B10="",NOT(ISNUMBER(Settings!$C$9))),"",TRIM(SUBSTITUTE(SUBSTITUTE(INDEX('INPUT - Roster'!$S$1:$SV$206,$B10,Settings!$C$9+1)&amp;"",CHAR(10)," "),CHAR(160)," ")))</f>
        <v/>
      </c>
      <c r="H10">
        <f>IF(OR($B10="",NOT(ISNUMBER(Settings!$C$9))),"",TRIM(SUBSTITUTE(SUBSTITUTE(INDEX('INPUT - Roster'!$S$1:$SV$206,$B10,Settings!$C$9+2)&amp;"",CHAR(10)," "),CHAR(160)," ")))</f>
        <v/>
      </c>
      <c r="I10">
        <f>IF(OR($B10="",NOT(ISNUMBER(Settings!$C$9))),"",TRIM(SUBSTITUTE(SUBSTITUTE(INDEX('INPUT - Roster'!$S$1:$SV$206,$B10,Settings!$C$9+3)&amp;"",CHAR(10)," "),CHAR(160)," ")))</f>
        <v/>
      </c>
      <c r="J10">
        <f>IF(OR($B10="",NOT(ISNUMBER(Settings!$C$9))),"",TRIM(SUBSTITUTE(SUBSTITUTE(INDEX('INPUT - Roster'!$S$1:$SV$206,$B10,Settings!$C$9+4)&amp;"",CHAR(10)," "),CHAR(160)," ")))</f>
        <v/>
      </c>
      <c r="K10">
        <f>IF(OR($B10="",NOT(ISNUMBER(Settings!$C$9))),"",TRIM(SUBSTITUTE(SUBSTITUTE(INDEX('INPUT - Roster'!$S$1:$SV$206,$B10,Settings!$C$9+5)&amp;"",CHAR(10)," "),CHAR(160)," ")))</f>
        <v/>
      </c>
      <c r="L10">
        <f>IF(OR($B10="",NOT(ISNUMBER(Settings!$C$9))),"",TRIM(SUBSTITUTE(SUBSTITUTE(INDEX('INPUT - Roster'!$S$1:$SV$206,$B10,Settings!$C$9+6)&amp;"",CHAR(10)," "),CHAR(160)," ")))</f>
        <v/>
      </c>
      <c r="M10">
        <f>IF(OR($B10="",NOT(ISNUMBER(Settings!$C$9))),"",TRIM(SUBSTITUTE(SUBSTITUTE(INDEX('INPUT - Roster'!$S$1:$SV$206,$B10,Settings!$C$9+7)&amp;"",CHAR(10)," "),CHAR(160)," ")))</f>
        <v/>
      </c>
      <c r="N10">
        <f>IF(OR($B10="",NOT(ISNUMBER(Settings!$C$9))),"",TRIM(SUBSTITUTE(SUBSTITUTE(INDEX('INPUT - Roster'!$S$1:$SV$206,$B10,Settings!$C$9+8)&amp;"",CHAR(10)," "),CHAR(160)," ")))</f>
        <v/>
      </c>
      <c r="O10">
        <f>IF(OR($B10="",NOT(ISNUMBER(Settings!$C$9))),"",TRIM(SUBSTITUTE(SUBSTITUTE(INDEX('INPUT - Roster'!$S$1:$SV$206,$B10,Settings!$C$9+9)&amp;"",CHAR(10)," "),CHAR(160)," ")))</f>
        <v/>
      </c>
      <c r="P10">
        <f>IF(OR($B10="",NOT(ISNUMBER(Settings!$C$9))),"",TRIM(SUBSTITUTE(SUBSTITUTE(INDEX('INPUT - Roster'!$S$1:$SV$206,$B10,Settings!$C$9+10)&amp;"",CHAR(10)," "),CHAR(160)," ")))</f>
        <v/>
      </c>
      <c r="Q10">
        <f>IF(OR($B10="",NOT(ISNUMBER(Settings!$C$9))),"",TRIM(SUBSTITUTE(SUBSTITUTE(INDEX('INPUT - Roster'!$S$1:$SV$206,$B10,Settings!$C$9+11)&amp;"",CHAR(10)," "),CHAR(160)," ")))</f>
        <v/>
      </c>
      <c r="R10">
        <f>IF(OR($B10="",NOT(ISNUMBER(Settings!$C$9))),"",TRIM(SUBSTITUTE(SUBSTITUTE(INDEX('INPUT - Roster'!$S$1:$SV$206,$B10,Settings!$C$9+12)&amp;"",CHAR(10)," "),CHAR(160)," ")))</f>
        <v/>
      </c>
      <c r="S10">
        <f>IF(OR($B10="",NOT(ISNUMBER(Settings!$C$9))),"",TRIM(SUBSTITUTE(SUBSTITUTE(INDEX('INPUT - Roster'!$S$1:$SV$206,$B10,Settings!$C$9+13)&amp;"",CHAR(10)," "),CHAR(160)," ")))</f>
        <v/>
      </c>
      <c r="T10">
        <f>IF(OR($B10="",NOT(ISNUMBER(Settings!$C$9))),"",TRIM(SUBSTITUTE(SUBSTITUTE(INDEX('INPUT - Roster'!$S$1:$SV$206,$B10,Settings!$C$9+14)&amp;"",CHAR(10)," "),CHAR(160)," ")))</f>
        <v/>
      </c>
      <c r="U10">
        <f>IF(OR($B10="",NOT(ISNUMBER(Settings!$C$9))),"",TRIM(SUBSTITUTE(SUBSTITUTE(INDEX('INPUT - Roster'!$S$1:$SV$206,$B10,Settings!$C$9+15)&amp;"",CHAR(10)," "),CHAR(160)," ")))</f>
        <v/>
      </c>
      <c r="V10">
        <f>IF(OR($B10="",NOT(ISNUMBER(Settings!$C$9))),"",TRIM(SUBSTITUTE(SUBSTITUTE(INDEX('INPUT - Roster'!$S$1:$SV$206,$B10,Settings!$C$9+16)&amp;"",CHAR(10)," "),CHAR(160)," ")))</f>
        <v/>
      </c>
      <c r="W10">
        <f>IF(OR($B10="",NOT(ISNUMBER(Settings!$C$9))),"",TRIM(SUBSTITUTE(SUBSTITUTE(INDEX('INPUT - Roster'!$S$1:$SV$206,$B10,Settings!$C$9+17)&amp;"",CHAR(10)," "),CHAR(160)," ")))</f>
        <v/>
      </c>
      <c r="X10">
        <f>IF(OR($B10="",NOT(ISNUMBER(Settings!$C$9))),"",TRIM(SUBSTITUTE(SUBSTITUTE(INDEX('INPUT - Roster'!$S$1:$SV$206,$B10,Settings!$C$9+18)&amp;"",CHAR(10)," "),CHAR(160)," ")))</f>
        <v/>
      </c>
      <c r="Y10">
        <f>IF(OR($B10="",NOT(ISNUMBER(Settings!$C$9))),"",TRIM(SUBSTITUTE(SUBSTITUTE(INDEX('INPUT - Roster'!$S$1:$SV$206,$B10,Settings!$C$9+19)&amp;"",CHAR(10)," "),CHAR(160)," ")))</f>
        <v/>
      </c>
      <c r="Z10">
        <f>IF(OR($B10="",NOT(ISNUMBER(Settings!$C$9))),"",TRIM(SUBSTITUTE(SUBSTITUTE(INDEX('INPUT - Roster'!$S$1:$SV$206,$B10,Settings!$C$9+20)&amp;"",CHAR(10)," "),CHAR(160)," ")))</f>
        <v/>
      </c>
      <c r="AA10">
        <f>IF(OR($B10="",NOT(ISNUMBER(Settings!$C$9))),"",TRIM(SUBSTITUTE(SUBSTITUTE(INDEX('INPUT - Roster'!$S$1:$SV$206,$B10,Settings!$C$9+21)&amp;"",CHAR(10)," "),CHAR(160)," ")))</f>
        <v/>
      </c>
      <c r="AB10">
        <f>IF(OR($B10="",NOT(ISNUMBER(Settings!$C$9))),"",TRIM(SUBSTITUTE(SUBSTITUTE(INDEX('INPUT - Roster'!$S$1:$SV$206,$B10,Settings!$C$9+22)&amp;"",CHAR(10)," "),CHAR(160)," ")))</f>
        <v/>
      </c>
      <c r="AC10">
        <f>IF(OR($B10="",NOT(ISNUMBER(Settings!$C$9))),"",TRIM(SUBSTITUTE(SUBSTITUTE(INDEX('INPUT - Roster'!$S$1:$SV$206,$B10,Settings!$C$9+23)&amp;"",CHAR(10)," "),CHAR(160)," ")))</f>
        <v/>
      </c>
      <c r="AD10">
        <f>IF(OR($B10="",NOT(ISNUMBER(Settings!$C$9))),"",TRIM(SUBSTITUTE(SUBSTITUTE(INDEX('INPUT - Roster'!$S$1:$SV$206,$B10,Settings!$C$9+24)&amp;"",CHAR(10)," "),CHAR(160)," ")))</f>
        <v/>
      </c>
      <c r="AE10">
        <f>IF(OR($B10="",NOT(ISNUMBER(Settings!$C$9))),"",TRIM(SUBSTITUTE(SUBSTITUTE(INDEX('INPUT - Roster'!$S$1:$SV$206,$B10,Settings!$C$9+25)&amp;"",CHAR(10)," "),CHAR(160)," ")))</f>
        <v/>
      </c>
      <c r="AF10">
        <f>IF(OR($B10="",NOT(ISNUMBER(Settings!$C$9))),"",TRIM(SUBSTITUTE(SUBSTITUTE(INDEX('INPUT - Roster'!$S$1:$SV$206,$B10,Settings!$C$9+26)&amp;"",CHAR(10)," "),CHAR(160)," ")))</f>
        <v/>
      </c>
      <c r="AG10">
        <f>IF(OR($B10="",NOT(ISNUMBER(Settings!$C$9))),"",TRIM(SUBSTITUTE(SUBSTITUTE(INDEX('INPUT - Roster'!$S$1:$SV$206,$B10,Settings!$C$9+27)&amp;"",CHAR(10)," "),CHAR(160)," ")))</f>
        <v/>
      </c>
      <c r="AI10">
        <f>IF($B10="","",IF(F10="","Not rostered",IFERROR(INDEX(Settings!$C$14:$C$33,MATCH(F10,Settings!$B$14:$B$33,0)),IFERROR(LOOKUP(2^15,SEARCH(Settings!$I$14:$I$83,F10)/(Settings!$I$14:$I$83&lt;&gt;""),Settings!$J$14:$J$83),"Other"))))</f>
        <v/>
      </c>
      <c r="AJ10">
        <f>IF($B10="","",IF(G10="","Not rostered",IFERROR(INDEX(Settings!$C$14:$C$33,MATCH(G10,Settings!$B$14:$B$33,0)),IFERROR(LOOKUP(2^15,SEARCH(Settings!$I$14:$I$83,G10)/(Settings!$I$14:$I$83&lt;&gt;""),Settings!$J$14:$J$83),"Other"))))</f>
        <v/>
      </c>
      <c r="AK10">
        <f>IF($B10="","",IF(H10="","Not rostered",IFERROR(INDEX(Settings!$C$14:$C$33,MATCH(H10,Settings!$B$14:$B$33,0)),IFERROR(LOOKUP(2^15,SEARCH(Settings!$I$14:$I$83,H10)/(Settings!$I$14:$I$83&lt;&gt;""),Settings!$J$14:$J$83),"Other"))))</f>
        <v/>
      </c>
      <c r="AL10">
        <f>IF($B10="","",IF(I10="","Not rostered",IFERROR(INDEX(Settings!$C$14:$C$33,MATCH(I10,Settings!$B$14:$B$33,0)),IFERROR(LOOKUP(2^15,SEARCH(Settings!$I$14:$I$83,I10)/(Settings!$I$14:$I$83&lt;&gt;""),Settings!$J$14:$J$83),"Other"))))</f>
        <v/>
      </c>
      <c r="AM10">
        <f>IF($B10="","",IF(J10="","Not rostered",IFERROR(INDEX(Settings!$C$14:$C$33,MATCH(J10,Settings!$B$14:$B$33,0)),IFERROR(LOOKUP(2^15,SEARCH(Settings!$I$14:$I$83,J10)/(Settings!$I$14:$I$83&lt;&gt;""),Settings!$J$14:$J$83),"Other"))))</f>
        <v/>
      </c>
      <c r="AN10">
        <f>IF($B10="","",IF(K10="","Not rostered",IFERROR(INDEX(Settings!$C$14:$C$33,MATCH(K10,Settings!$B$14:$B$33,0)),IFERROR(LOOKUP(2^15,SEARCH(Settings!$I$14:$I$83,K10)/(Settings!$I$14:$I$83&lt;&gt;""),Settings!$J$14:$J$83),"Other"))))</f>
        <v/>
      </c>
      <c r="AO10">
        <f>IF($B10="","",IF(L10="","Not rostered",IFERROR(INDEX(Settings!$C$14:$C$33,MATCH(L10,Settings!$B$14:$B$33,0)),IFERROR(LOOKUP(2^15,SEARCH(Settings!$I$14:$I$83,L10)/(Settings!$I$14:$I$83&lt;&gt;""),Settings!$J$14:$J$83),"Other"))))</f>
        <v/>
      </c>
      <c r="AP10">
        <f>IF($B10="","",IF(M10="","Not rostered",IFERROR(INDEX(Settings!$C$14:$C$33,MATCH(M10,Settings!$B$14:$B$33,0)),IFERROR(LOOKUP(2^15,SEARCH(Settings!$I$14:$I$83,M10)/(Settings!$I$14:$I$83&lt;&gt;""),Settings!$J$14:$J$83),"Other"))))</f>
        <v/>
      </c>
      <c r="AQ10">
        <f>IF($B10="","",IF(N10="","Not rostered",IFERROR(INDEX(Settings!$C$14:$C$33,MATCH(N10,Settings!$B$14:$B$33,0)),IFERROR(LOOKUP(2^15,SEARCH(Settings!$I$14:$I$83,N10)/(Settings!$I$14:$I$83&lt;&gt;""),Settings!$J$14:$J$83),"Other"))))</f>
        <v/>
      </c>
      <c r="AR10">
        <f>IF($B10="","",IF(O10="","Not rostered",IFERROR(INDEX(Settings!$C$14:$C$33,MATCH(O10,Settings!$B$14:$B$33,0)),IFERROR(LOOKUP(2^15,SEARCH(Settings!$I$14:$I$83,O10)/(Settings!$I$14:$I$83&lt;&gt;""),Settings!$J$14:$J$83),"Other"))))</f>
        <v/>
      </c>
      <c r="AS10">
        <f>IF($B10="","",IF(P10="","Not rostered",IFERROR(INDEX(Settings!$C$14:$C$33,MATCH(P10,Settings!$B$14:$B$33,0)),IFERROR(LOOKUP(2^15,SEARCH(Settings!$I$14:$I$83,P10)/(Settings!$I$14:$I$83&lt;&gt;""),Settings!$J$14:$J$83),"Other"))))</f>
        <v/>
      </c>
      <c r="AT10">
        <f>IF($B10="","",IF(Q10="","Not rostered",IFERROR(INDEX(Settings!$C$14:$C$33,MATCH(Q10,Settings!$B$14:$B$33,0)),IFERROR(LOOKUP(2^15,SEARCH(Settings!$I$14:$I$83,Q10)/(Settings!$I$14:$I$83&lt;&gt;""),Settings!$J$14:$J$83),"Other"))))</f>
        <v/>
      </c>
      <c r="AU10">
        <f>IF($B10="","",IF(R10="","Not rostered",IFERROR(INDEX(Settings!$C$14:$C$33,MATCH(R10,Settings!$B$14:$B$33,0)),IFERROR(LOOKUP(2^15,SEARCH(Settings!$I$14:$I$83,R10)/(Settings!$I$14:$I$83&lt;&gt;""),Settings!$J$14:$J$83),"Other"))))</f>
        <v/>
      </c>
      <c r="AV10">
        <f>IF($B10="","",IF(S10="","Not rostered",IFERROR(INDEX(Settings!$C$14:$C$33,MATCH(S10,Settings!$B$14:$B$33,0)),IFERROR(LOOKUP(2^15,SEARCH(Settings!$I$14:$I$83,S10)/(Settings!$I$14:$I$83&lt;&gt;""),Settings!$J$14:$J$83),"Other"))))</f>
        <v/>
      </c>
      <c r="AW10">
        <f>IF($B10="","",IF(T10="","Not rostered",IFERROR(INDEX(Settings!$C$14:$C$33,MATCH(T10,Settings!$B$14:$B$33,0)),IFERROR(LOOKUP(2^15,SEARCH(Settings!$I$14:$I$83,T10)/(Settings!$I$14:$I$83&lt;&gt;""),Settings!$J$14:$J$83),"Other"))))</f>
        <v/>
      </c>
      <c r="AX10">
        <f>IF($B10="","",IF(U10="","Not rostered",IFERROR(INDEX(Settings!$C$14:$C$33,MATCH(U10,Settings!$B$14:$B$33,0)),IFERROR(LOOKUP(2^15,SEARCH(Settings!$I$14:$I$83,U10)/(Settings!$I$14:$I$83&lt;&gt;""),Settings!$J$14:$J$83),"Other"))))</f>
        <v/>
      </c>
      <c r="AY10">
        <f>IF($B10="","",IF(V10="","Not rostered",IFERROR(INDEX(Settings!$C$14:$C$33,MATCH(V10,Settings!$B$14:$B$33,0)),IFERROR(LOOKUP(2^15,SEARCH(Settings!$I$14:$I$83,V10)/(Settings!$I$14:$I$83&lt;&gt;""),Settings!$J$14:$J$83),"Other"))))</f>
        <v/>
      </c>
      <c r="AZ10">
        <f>IF($B10="","",IF(W10="","Not rostered",IFERROR(INDEX(Settings!$C$14:$C$33,MATCH(W10,Settings!$B$14:$B$33,0)),IFERROR(LOOKUP(2^15,SEARCH(Settings!$I$14:$I$83,W10)/(Settings!$I$14:$I$83&lt;&gt;""),Settings!$J$14:$J$83),"Other"))))</f>
        <v/>
      </c>
      <c r="BA10">
        <f>IF($B10="","",IF(X10="","Not rostered",IFERROR(INDEX(Settings!$C$14:$C$33,MATCH(X10,Settings!$B$14:$B$33,0)),IFERROR(LOOKUP(2^15,SEARCH(Settings!$I$14:$I$83,X10)/(Settings!$I$14:$I$83&lt;&gt;""),Settings!$J$14:$J$83),"Other"))))</f>
        <v/>
      </c>
      <c r="BB10">
        <f>IF($B10="","",IF(Y10="","Not rostered",IFERROR(INDEX(Settings!$C$14:$C$33,MATCH(Y10,Settings!$B$14:$B$33,0)),IFERROR(LOOKUP(2^15,SEARCH(Settings!$I$14:$I$83,Y10)/(Settings!$I$14:$I$83&lt;&gt;""),Settings!$J$14:$J$83),"Other"))))</f>
        <v/>
      </c>
      <c r="BC10">
        <f>IF($B10="","",IF(Z10="","Not rostered",IFERROR(INDEX(Settings!$C$14:$C$33,MATCH(Z10,Settings!$B$14:$B$33,0)),IFERROR(LOOKUP(2^15,SEARCH(Settings!$I$14:$I$83,Z10)/(Settings!$I$14:$I$83&lt;&gt;""),Settings!$J$14:$J$83),"Other"))))</f>
        <v/>
      </c>
      <c r="BD10">
        <f>IF($B10="","",IF(AA10="","Not rostered",IFERROR(INDEX(Settings!$C$14:$C$33,MATCH(AA10,Settings!$B$14:$B$33,0)),IFERROR(LOOKUP(2^15,SEARCH(Settings!$I$14:$I$83,AA10)/(Settings!$I$14:$I$83&lt;&gt;""),Settings!$J$14:$J$83),"Other"))))</f>
        <v/>
      </c>
      <c r="BE10">
        <f>IF($B10="","",IF(AB10="","Not rostered",IFERROR(INDEX(Settings!$C$14:$C$33,MATCH(AB10,Settings!$B$14:$B$33,0)),IFERROR(LOOKUP(2^15,SEARCH(Settings!$I$14:$I$83,AB10)/(Settings!$I$14:$I$83&lt;&gt;""),Settings!$J$14:$J$83),"Other"))))</f>
        <v/>
      </c>
      <c r="BF10">
        <f>IF($B10="","",IF(AC10="","Not rostered",IFERROR(INDEX(Settings!$C$14:$C$33,MATCH(AC10,Settings!$B$14:$B$33,0)),IFERROR(LOOKUP(2^15,SEARCH(Settings!$I$14:$I$83,AC10)/(Settings!$I$14:$I$83&lt;&gt;""),Settings!$J$14:$J$83),"Other"))))</f>
        <v/>
      </c>
      <c r="BG10">
        <f>IF($B10="","",IF(AD10="","Not rostered",IFERROR(INDEX(Settings!$C$14:$C$33,MATCH(AD10,Settings!$B$14:$B$33,0)),IFERROR(LOOKUP(2^15,SEARCH(Settings!$I$14:$I$83,AD10)/(Settings!$I$14:$I$83&lt;&gt;""),Settings!$J$14:$J$83),"Other"))))</f>
        <v/>
      </c>
      <c r="BH10">
        <f>IF($B10="","",IF(AE10="","Not rostered",IFERROR(INDEX(Settings!$C$14:$C$33,MATCH(AE10,Settings!$B$14:$B$33,0)),IFERROR(LOOKUP(2^15,SEARCH(Settings!$I$14:$I$83,AE10)/(Settings!$I$14:$I$83&lt;&gt;""),Settings!$J$14:$J$83),"Other"))))</f>
        <v/>
      </c>
      <c r="BI10">
        <f>IF($B10="","",IF(AF10="","Not rostered",IFERROR(INDEX(Settings!$C$14:$C$33,MATCH(AF10,Settings!$B$14:$B$33,0)),IFERROR(LOOKUP(2^15,SEARCH(Settings!$I$14:$I$83,AF10)/(Settings!$I$14:$I$83&lt;&gt;""),Settings!$J$14:$J$83),"Other"))))</f>
        <v/>
      </c>
      <c r="BJ10">
        <f>IF($B10="","",IF(AG10="","Not rostered",IFERROR(INDEX(Settings!$C$14:$C$33,MATCH(AG10,Settings!$B$14:$B$33,0)),IFERROR(LOOKUP(2^15,SEARCH(Settings!$I$14:$I$83,AG10)/(Settings!$I$14:$I$83&lt;&gt;""),Settings!$J$14:$J$83),"Other"))))</f>
        <v/>
      </c>
      <c r="BL10">
        <f>IF(OR($B10="",F10=""),"",IFERROR(INDEX(Settings!$D$14:$D$33,MATCH(F10,Settings!$B$14:$B$33,0))&amp;"",IFERROR(LOOKUP(2^15,SEARCH(Settings!$F$14:$F$43,F10)/(Settings!$F$14:$F$43&lt;&gt;""),Settings!$G$14:$G$43),"")))</f>
        <v/>
      </c>
      <c r="BM10">
        <f>IF(OR($B10="",G10=""),"",IFERROR(INDEX(Settings!$D$14:$D$33,MATCH(G10,Settings!$B$14:$B$33,0))&amp;"",IFERROR(LOOKUP(2^15,SEARCH(Settings!$F$14:$F$43,G10)/(Settings!$F$14:$F$43&lt;&gt;""),Settings!$G$14:$G$43),"")))</f>
        <v/>
      </c>
      <c r="BN10">
        <f>IF(OR($B10="",H10=""),"",IFERROR(INDEX(Settings!$D$14:$D$33,MATCH(H10,Settings!$B$14:$B$33,0))&amp;"",IFERROR(LOOKUP(2^15,SEARCH(Settings!$F$14:$F$43,H10)/(Settings!$F$14:$F$43&lt;&gt;""),Settings!$G$14:$G$43),"")))</f>
        <v/>
      </c>
      <c r="BO10">
        <f>IF(OR($B10="",I10=""),"",IFERROR(INDEX(Settings!$D$14:$D$33,MATCH(I10,Settings!$B$14:$B$33,0))&amp;"",IFERROR(LOOKUP(2^15,SEARCH(Settings!$F$14:$F$43,I10)/(Settings!$F$14:$F$43&lt;&gt;""),Settings!$G$14:$G$43),"")))</f>
        <v/>
      </c>
      <c r="BP10">
        <f>IF(OR($B10="",J10=""),"",IFERROR(INDEX(Settings!$D$14:$D$33,MATCH(J10,Settings!$B$14:$B$33,0))&amp;"",IFERROR(LOOKUP(2^15,SEARCH(Settings!$F$14:$F$43,J10)/(Settings!$F$14:$F$43&lt;&gt;""),Settings!$G$14:$G$43),"")))</f>
        <v/>
      </c>
      <c r="BQ10">
        <f>IF(OR($B10="",K10=""),"",IFERROR(INDEX(Settings!$D$14:$D$33,MATCH(K10,Settings!$B$14:$B$33,0))&amp;"",IFERROR(LOOKUP(2^15,SEARCH(Settings!$F$14:$F$43,K10)/(Settings!$F$14:$F$43&lt;&gt;""),Settings!$G$14:$G$43),"")))</f>
        <v/>
      </c>
      <c r="BR10">
        <f>IF(OR($B10="",L10=""),"",IFERROR(INDEX(Settings!$D$14:$D$33,MATCH(L10,Settings!$B$14:$B$33,0))&amp;"",IFERROR(LOOKUP(2^15,SEARCH(Settings!$F$14:$F$43,L10)/(Settings!$F$14:$F$43&lt;&gt;""),Settings!$G$14:$G$43),"")))</f>
        <v/>
      </c>
      <c r="BS10">
        <f>IF(OR($B10="",M10=""),"",IFERROR(INDEX(Settings!$D$14:$D$33,MATCH(M10,Settings!$B$14:$B$33,0))&amp;"",IFERROR(LOOKUP(2^15,SEARCH(Settings!$F$14:$F$43,M10)/(Settings!$F$14:$F$43&lt;&gt;""),Settings!$G$14:$G$43),"")))</f>
        <v/>
      </c>
      <c r="BT10">
        <f>IF(OR($B10="",N10=""),"",IFERROR(INDEX(Settings!$D$14:$D$33,MATCH(N10,Settings!$B$14:$B$33,0))&amp;"",IFERROR(LOOKUP(2^15,SEARCH(Settings!$F$14:$F$43,N10)/(Settings!$F$14:$F$43&lt;&gt;""),Settings!$G$14:$G$43),"")))</f>
        <v/>
      </c>
      <c r="BU10">
        <f>IF(OR($B10="",O10=""),"",IFERROR(INDEX(Settings!$D$14:$D$33,MATCH(O10,Settings!$B$14:$B$33,0))&amp;"",IFERROR(LOOKUP(2^15,SEARCH(Settings!$F$14:$F$43,O10)/(Settings!$F$14:$F$43&lt;&gt;""),Settings!$G$14:$G$43),"")))</f>
        <v/>
      </c>
      <c r="BV10">
        <f>IF(OR($B10="",P10=""),"",IFERROR(INDEX(Settings!$D$14:$D$33,MATCH(P10,Settings!$B$14:$B$33,0))&amp;"",IFERROR(LOOKUP(2^15,SEARCH(Settings!$F$14:$F$43,P10)/(Settings!$F$14:$F$43&lt;&gt;""),Settings!$G$14:$G$43),"")))</f>
        <v/>
      </c>
      <c r="BW10">
        <f>IF(OR($B10="",Q10=""),"",IFERROR(INDEX(Settings!$D$14:$D$33,MATCH(Q10,Settings!$B$14:$B$33,0))&amp;"",IFERROR(LOOKUP(2^15,SEARCH(Settings!$F$14:$F$43,Q10)/(Settings!$F$14:$F$43&lt;&gt;""),Settings!$G$14:$G$43),"")))</f>
        <v/>
      </c>
      <c r="BX10">
        <f>IF(OR($B10="",R10=""),"",IFERROR(INDEX(Settings!$D$14:$D$33,MATCH(R10,Settings!$B$14:$B$33,0))&amp;"",IFERROR(LOOKUP(2^15,SEARCH(Settings!$F$14:$F$43,R10)/(Settings!$F$14:$F$43&lt;&gt;""),Settings!$G$14:$G$43),"")))</f>
        <v/>
      </c>
      <c r="BY10">
        <f>IF(OR($B10="",S10=""),"",IFERROR(INDEX(Settings!$D$14:$D$33,MATCH(S10,Settings!$B$14:$B$33,0))&amp;"",IFERROR(LOOKUP(2^15,SEARCH(Settings!$F$14:$F$43,S10)/(Settings!$F$14:$F$43&lt;&gt;""),Settings!$G$14:$G$43),"")))</f>
        <v/>
      </c>
      <c r="BZ10">
        <f>IF(OR($B10="",T10=""),"",IFERROR(INDEX(Settings!$D$14:$D$33,MATCH(T10,Settings!$B$14:$B$33,0))&amp;"",IFERROR(LOOKUP(2^15,SEARCH(Settings!$F$14:$F$43,T10)/(Settings!$F$14:$F$43&lt;&gt;""),Settings!$G$14:$G$43),"")))</f>
        <v/>
      </c>
      <c r="CA10">
        <f>IF(OR($B10="",U10=""),"",IFERROR(INDEX(Settings!$D$14:$D$33,MATCH(U10,Settings!$B$14:$B$33,0))&amp;"",IFERROR(LOOKUP(2^15,SEARCH(Settings!$F$14:$F$43,U10)/(Settings!$F$14:$F$43&lt;&gt;""),Settings!$G$14:$G$43),"")))</f>
        <v/>
      </c>
      <c r="CB10">
        <f>IF(OR($B10="",V10=""),"",IFERROR(INDEX(Settings!$D$14:$D$33,MATCH(V10,Settings!$B$14:$B$33,0))&amp;"",IFERROR(LOOKUP(2^15,SEARCH(Settings!$F$14:$F$43,V10)/(Settings!$F$14:$F$43&lt;&gt;""),Settings!$G$14:$G$43),"")))</f>
        <v/>
      </c>
      <c r="CC10">
        <f>IF(OR($B10="",W10=""),"",IFERROR(INDEX(Settings!$D$14:$D$33,MATCH(W10,Settings!$B$14:$B$33,0))&amp;"",IFERROR(LOOKUP(2^15,SEARCH(Settings!$F$14:$F$43,W10)/(Settings!$F$14:$F$43&lt;&gt;""),Settings!$G$14:$G$43),"")))</f>
        <v/>
      </c>
      <c r="CD10">
        <f>IF(OR($B10="",X10=""),"",IFERROR(INDEX(Settings!$D$14:$D$33,MATCH(X10,Settings!$B$14:$B$33,0))&amp;"",IFERROR(LOOKUP(2^15,SEARCH(Settings!$F$14:$F$43,X10)/(Settings!$F$14:$F$43&lt;&gt;""),Settings!$G$14:$G$43),"")))</f>
        <v/>
      </c>
      <c r="CE10">
        <f>IF(OR($B10="",Y10=""),"",IFERROR(INDEX(Settings!$D$14:$D$33,MATCH(Y10,Settings!$B$14:$B$33,0))&amp;"",IFERROR(LOOKUP(2^15,SEARCH(Settings!$F$14:$F$43,Y10)/(Settings!$F$14:$F$43&lt;&gt;""),Settings!$G$14:$G$43),"")))</f>
        <v/>
      </c>
      <c r="CF10">
        <f>IF(OR($B10="",Z10=""),"",IFERROR(INDEX(Settings!$D$14:$D$33,MATCH(Z10,Settings!$B$14:$B$33,0))&amp;"",IFERROR(LOOKUP(2^15,SEARCH(Settings!$F$14:$F$43,Z10)/(Settings!$F$14:$F$43&lt;&gt;""),Settings!$G$14:$G$43),"")))</f>
        <v/>
      </c>
      <c r="CG10">
        <f>IF(OR($B10="",AA10=""),"",IFERROR(INDEX(Settings!$D$14:$D$33,MATCH(AA10,Settings!$B$14:$B$33,0))&amp;"",IFERROR(LOOKUP(2^15,SEARCH(Settings!$F$14:$F$43,AA10)/(Settings!$F$14:$F$43&lt;&gt;""),Settings!$G$14:$G$43),"")))</f>
        <v/>
      </c>
      <c r="CH10">
        <f>IF(OR($B10="",AB10=""),"",IFERROR(INDEX(Settings!$D$14:$D$33,MATCH(AB10,Settings!$B$14:$B$33,0))&amp;"",IFERROR(LOOKUP(2^15,SEARCH(Settings!$F$14:$F$43,AB10)/(Settings!$F$14:$F$43&lt;&gt;""),Settings!$G$14:$G$43),"")))</f>
        <v/>
      </c>
      <c r="CI10">
        <f>IF(OR($B10="",AC10=""),"",IFERROR(INDEX(Settings!$D$14:$D$33,MATCH(AC10,Settings!$B$14:$B$33,0))&amp;"",IFERROR(LOOKUP(2^15,SEARCH(Settings!$F$14:$F$43,AC10)/(Settings!$F$14:$F$43&lt;&gt;""),Settings!$G$14:$G$43),"")))</f>
        <v/>
      </c>
      <c r="CJ10">
        <f>IF(OR($B10="",AD10=""),"",IFERROR(INDEX(Settings!$D$14:$D$33,MATCH(AD10,Settings!$B$14:$B$33,0))&amp;"",IFERROR(LOOKUP(2^15,SEARCH(Settings!$F$14:$F$43,AD10)/(Settings!$F$14:$F$43&lt;&gt;""),Settings!$G$14:$G$43),"")))</f>
        <v/>
      </c>
      <c r="CK10">
        <f>IF(OR($B10="",AE10=""),"",IFERROR(INDEX(Settings!$D$14:$D$33,MATCH(AE10,Settings!$B$14:$B$33,0))&amp;"",IFERROR(LOOKUP(2^15,SEARCH(Settings!$F$14:$F$43,AE10)/(Settings!$F$14:$F$43&lt;&gt;""),Settings!$G$14:$G$43),"")))</f>
        <v/>
      </c>
      <c r="CL10">
        <f>IF(OR($B10="",AF10=""),"",IFERROR(INDEX(Settings!$D$14:$D$33,MATCH(AF10,Settings!$B$14:$B$33,0))&amp;"",IFERROR(LOOKUP(2^15,SEARCH(Settings!$F$14:$F$43,AF10)/(Settings!$F$14:$F$43&lt;&gt;""),Settings!$G$14:$G$43),"")))</f>
        <v/>
      </c>
      <c r="CM10">
        <f>IF(OR($B10="",AG10=""),"",IFERROR(INDEX(Settings!$D$14:$D$33,MATCH(AG10,Settings!$B$14:$B$33,0))&amp;"",IFERROR(LOOKUP(2^15,SEARCH(Settings!$F$14:$F$43,AG10)/(Settings!$F$14:$F$43&lt;&gt;""),Settings!$G$14:$G$43),"")))</f>
        <v/>
      </c>
    </row>
    <row r="11">
      <c r="A11" t="n">
        <v>9</v>
      </c>
      <c r="B11">
        <f>IFERROR(INDEX(Index!$A$2:$A$202,MATCH(A11,Index!$E$2:$E$202,0)),"")</f>
        <v/>
      </c>
      <c r="D11">
        <f>IF($B11="","",IFERROR(MATCH("Travel*",AI11:BJ11,0),""))</f>
        <v/>
      </c>
      <c r="F11">
        <f>IF(OR($B11="",NOT(ISNUMBER(Settings!$C$9))),"",TRIM(SUBSTITUTE(SUBSTITUTE(INDEX('INPUT - Roster'!$S$1:$SV$206,$B11,Settings!$C$9+0)&amp;"",CHAR(10)," "),CHAR(160)," ")))</f>
        <v/>
      </c>
      <c r="G11">
        <f>IF(OR($B11="",NOT(ISNUMBER(Settings!$C$9))),"",TRIM(SUBSTITUTE(SUBSTITUTE(INDEX('INPUT - Roster'!$S$1:$SV$206,$B11,Settings!$C$9+1)&amp;"",CHAR(10)," "),CHAR(160)," ")))</f>
        <v/>
      </c>
      <c r="H11">
        <f>IF(OR($B11="",NOT(ISNUMBER(Settings!$C$9))),"",TRIM(SUBSTITUTE(SUBSTITUTE(INDEX('INPUT - Roster'!$S$1:$SV$206,$B11,Settings!$C$9+2)&amp;"",CHAR(10)," "),CHAR(160)," ")))</f>
        <v/>
      </c>
      <c r="I11">
        <f>IF(OR($B11="",NOT(ISNUMBER(Settings!$C$9))),"",TRIM(SUBSTITUTE(SUBSTITUTE(INDEX('INPUT - Roster'!$S$1:$SV$206,$B11,Settings!$C$9+3)&amp;"",CHAR(10)," "),CHAR(160)," ")))</f>
        <v/>
      </c>
      <c r="J11">
        <f>IF(OR($B11="",NOT(ISNUMBER(Settings!$C$9))),"",TRIM(SUBSTITUTE(SUBSTITUTE(INDEX('INPUT - Roster'!$S$1:$SV$206,$B11,Settings!$C$9+4)&amp;"",CHAR(10)," "),CHAR(160)," ")))</f>
        <v/>
      </c>
      <c r="K11">
        <f>IF(OR($B11="",NOT(ISNUMBER(Settings!$C$9))),"",TRIM(SUBSTITUTE(SUBSTITUTE(INDEX('INPUT - Roster'!$S$1:$SV$206,$B11,Settings!$C$9+5)&amp;"",CHAR(10)," "),CHAR(160)," ")))</f>
        <v/>
      </c>
      <c r="L11">
        <f>IF(OR($B11="",NOT(ISNUMBER(Settings!$C$9))),"",TRIM(SUBSTITUTE(SUBSTITUTE(INDEX('INPUT - Roster'!$S$1:$SV$206,$B11,Settings!$C$9+6)&amp;"",CHAR(10)," "),CHAR(160)," ")))</f>
        <v/>
      </c>
      <c r="M11">
        <f>IF(OR($B11="",NOT(ISNUMBER(Settings!$C$9))),"",TRIM(SUBSTITUTE(SUBSTITUTE(INDEX('INPUT - Roster'!$S$1:$SV$206,$B11,Settings!$C$9+7)&amp;"",CHAR(10)," "),CHAR(160)," ")))</f>
        <v/>
      </c>
      <c r="N11">
        <f>IF(OR($B11="",NOT(ISNUMBER(Settings!$C$9))),"",TRIM(SUBSTITUTE(SUBSTITUTE(INDEX('INPUT - Roster'!$S$1:$SV$206,$B11,Settings!$C$9+8)&amp;"",CHAR(10)," "),CHAR(160)," ")))</f>
        <v/>
      </c>
      <c r="O11">
        <f>IF(OR($B11="",NOT(ISNUMBER(Settings!$C$9))),"",TRIM(SUBSTITUTE(SUBSTITUTE(INDEX('INPUT - Roster'!$S$1:$SV$206,$B11,Settings!$C$9+9)&amp;"",CHAR(10)," "),CHAR(160)," ")))</f>
        <v/>
      </c>
      <c r="P11">
        <f>IF(OR($B11="",NOT(ISNUMBER(Settings!$C$9))),"",TRIM(SUBSTITUTE(SUBSTITUTE(INDEX('INPUT - Roster'!$S$1:$SV$206,$B11,Settings!$C$9+10)&amp;"",CHAR(10)," "),CHAR(160)," ")))</f>
        <v/>
      </c>
      <c r="Q11">
        <f>IF(OR($B11="",NOT(ISNUMBER(Settings!$C$9))),"",TRIM(SUBSTITUTE(SUBSTITUTE(INDEX('INPUT - Roster'!$S$1:$SV$206,$B11,Settings!$C$9+11)&amp;"",CHAR(10)," "),CHAR(160)," ")))</f>
        <v/>
      </c>
      <c r="R11">
        <f>IF(OR($B11="",NOT(ISNUMBER(Settings!$C$9))),"",TRIM(SUBSTITUTE(SUBSTITUTE(INDEX('INPUT - Roster'!$S$1:$SV$206,$B11,Settings!$C$9+12)&amp;"",CHAR(10)," "),CHAR(160)," ")))</f>
        <v/>
      </c>
      <c r="S11">
        <f>IF(OR($B11="",NOT(ISNUMBER(Settings!$C$9))),"",TRIM(SUBSTITUTE(SUBSTITUTE(INDEX('INPUT - Roster'!$S$1:$SV$206,$B11,Settings!$C$9+13)&amp;"",CHAR(10)," "),CHAR(160)," ")))</f>
        <v/>
      </c>
      <c r="T11">
        <f>IF(OR($B11="",NOT(ISNUMBER(Settings!$C$9))),"",TRIM(SUBSTITUTE(SUBSTITUTE(INDEX('INPUT - Roster'!$S$1:$SV$206,$B11,Settings!$C$9+14)&amp;"",CHAR(10)," "),CHAR(160)," ")))</f>
        <v/>
      </c>
      <c r="U11">
        <f>IF(OR($B11="",NOT(ISNUMBER(Settings!$C$9))),"",TRIM(SUBSTITUTE(SUBSTITUTE(INDEX('INPUT - Roster'!$S$1:$SV$206,$B11,Settings!$C$9+15)&amp;"",CHAR(10)," "),CHAR(160)," ")))</f>
        <v/>
      </c>
      <c r="V11">
        <f>IF(OR($B11="",NOT(ISNUMBER(Settings!$C$9))),"",TRIM(SUBSTITUTE(SUBSTITUTE(INDEX('INPUT - Roster'!$S$1:$SV$206,$B11,Settings!$C$9+16)&amp;"",CHAR(10)," "),CHAR(160)," ")))</f>
        <v/>
      </c>
      <c r="W11">
        <f>IF(OR($B11="",NOT(ISNUMBER(Settings!$C$9))),"",TRIM(SUBSTITUTE(SUBSTITUTE(INDEX('INPUT - Roster'!$S$1:$SV$206,$B11,Settings!$C$9+17)&amp;"",CHAR(10)," "),CHAR(160)," ")))</f>
        <v/>
      </c>
      <c r="X11">
        <f>IF(OR($B11="",NOT(ISNUMBER(Settings!$C$9))),"",TRIM(SUBSTITUTE(SUBSTITUTE(INDEX('INPUT - Roster'!$S$1:$SV$206,$B11,Settings!$C$9+18)&amp;"",CHAR(10)," "),CHAR(160)," ")))</f>
        <v/>
      </c>
      <c r="Y11">
        <f>IF(OR($B11="",NOT(ISNUMBER(Settings!$C$9))),"",TRIM(SUBSTITUTE(SUBSTITUTE(INDEX('INPUT - Roster'!$S$1:$SV$206,$B11,Settings!$C$9+19)&amp;"",CHAR(10)," "),CHAR(160)," ")))</f>
        <v/>
      </c>
      <c r="Z11">
        <f>IF(OR($B11="",NOT(ISNUMBER(Settings!$C$9))),"",TRIM(SUBSTITUTE(SUBSTITUTE(INDEX('INPUT - Roster'!$S$1:$SV$206,$B11,Settings!$C$9+20)&amp;"",CHAR(10)," "),CHAR(160)," ")))</f>
        <v/>
      </c>
      <c r="AA11">
        <f>IF(OR($B11="",NOT(ISNUMBER(Settings!$C$9))),"",TRIM(SUBSTITUTE(SUBSTITUTE(INDEX('INPUT - Roster'!$S$1:$SV$206,$B11,Settings!$C$9+21)&amp;"",CHAR(10)," "),CHAR(160)," ")))</f>
        <v/>
      </c>
      <c r="AB11">
        <f>IF(OR($B11="",NOT(ISNUMBER(Settings!$C$9))),"",TRIM(SUBSTITUTE(SUBSTITUTE(INDEX('INPUT - Roster'!$S$1:$SV$206,$B11,Settings!$C$9+22)&amp;"",CHAR(10)," "),CHAR(160)," ")))</f>
        <v/>
      </c>
      <c r="AC11">
        <f>IF(OR($B11="",NOT(ISNUMBER(Settings!$C$9))),"",TRIM(SUBSTITUTE(SUBSTITUTE(INDEX('INPUT - Roster'!$S$1:$SV$206,$B11,Settings!$C$9+23)&amp;"",CHAR(10)," "),CHAR(160)," ")))</f>
        <v/>
      </c>
      <c r="AD11">
        <f>IF(OR($B11="",NOT(ISNUMBER(Settings!$C$9))),"",TRIM(SUBSTITUTE(SUBSTITUTE(INDEX('INPUT - Roster'!$S$1:$SV$206,$B11,Settings!$C$9+24)&amp;"",CHAR(10)," "),CHAR(160)," ")))</f>
        <v/>
      </c>
      <c r="AE11">
        <f>IF(OR($B11="",NOT(ISNUMBER(Settings!$C$9))),"",TRIM(SUBSTITUTE(SUBSTITUTE(INDEX('INPUT - Roster'!$S$1:$SV$206,$B11,Settings!$C$9+25)&amp;"",CHAR(10)," "),CHAR(160)," ")))</f>
        <v/>
      </c>
      <c r="AF11">
        <f>IF(OR($B11="",NOT(ISNUMBER(Settings!$C$9))),"",TRIM(SUBSTITUTE(SUBSTITUTE(INDEX('INPUT - Roster'!$S$1:$SV$206,$B11,Settings!$C$9+26)&amp;"",CHAR(10)," "),CHAR(160)," ")))</f>
        <v/>
      </c>
      <c r="AG11">
        <f>IF(OR($B11="",NOT(ISNUMBER(Settings!$C$9))),"",TRIM(SUBSTITUTE(SUBSTITUTE(INDEX('INPUT - Roster'!$S$1:$SV$206,$B11,Settings!$C$9+27)&amp;"",CHAR(10)," "),CHAR(160)," ")))</f>
        <v/>
      </c>
      <c r="AI11">
        <f>IF($B11="","",IF(F11="","Not rostered",IFERROR(INDEX(Settings!$C$14:$C$33,MATCH(F11,Settings!$B$14:$B$33,0)),IFERROR(LOOKUP(2^15,SEARCH(Settings!$I$14:$I$83,F11)/(Settings!$I$14:$I$83&lt;&gt;""),Settings!$J$14:$J$83),"Other"))))</f>
        <v/>
      </c>
      <c r="AJ11">
        <f>IF($B11="","",IF(G11="","Not rostered",IFERROR(INDEX(Settings!$C$14:$C$33,MATCH(G11,Settings!$B$14:$B$33,0)),IFERROR(LOOKUP(2^15,SEARCH(Settings!$I$14:$I$83,G11)/(Settings!$I$14:$I$83&lt;&gt;""),Settings!$J$14:$J$83),"Other"))))</f>
        <v/>
      </c>
      <c r="AK11">
        <f>IF($B11="","",IF(H11="","Not rostered",IFERROR(INDEX(Settings!$C$14:$C$33,MATCH(H11,Settings!$B$14:$B$33,0)),IFERROR(LOOKUP(2^15,SEARCH(Settings!$I$14:$I$83,H11)/(Settings!$I$14:$I$83&lt;&gt;""),Settings!$J$14:$J$83),"Other"))))</f>
        <v/>
      </c>
      <c r="AL11">
        <f>IF($B11="","",IF(I11="","Not rostered",IFERROR(INDEX(Settings!$C$14:$C$33,MATCH(I11,Settings!$B$14:$B$33,0)),IFERROR(LOOKUP(2^15,SEARCH(Settings!$I$14:$I$83,I11)/(Settings!$I$14:$I$83&lt;&gt;""),Settings!$J$14:$J$83),"Other"))))</f>
        <v/>
      </c>
      <c r="AM11">
        <f>IF($B11="","",IF(J11="","Not rostered",IFERROR(INDEX(Settings!$C$14:$C$33,MATCH(J11,Settings!$B$14:$B$33,0)),IFERROR(LOOKUP(2^15,SEARCH(Settings!$I$14:$I$83,J11)/(Settings!$I$14:$I$83&lt;&gt;""),Settings!$J$14:$J$83),"Other"))))</f>
        <v/>
      </c>
      <c r="AN11">
        <f>IF($B11="","",IF(K11="","Not rostered",IFERROR(INDEX(Settings!$C$14:$C$33,MATCH(K11,Settings!$B$14:$B$33,0)),IFERROR(LOOKUP(2^15,SEARCH(Settings!$I$14:$I$83,K11)/(Settings!$I$14:$I$83&lt;&gt;""),Settings!$J$14:$J$83),"Other"))))</f>
        <v/>
      </c>
      <c r="AO11">
        <f>IF($B11="","",IF(L11="","Not rostered",IFERROR(INDEX(Settings!$C$14:$C$33,MATCH(L11,Settings!$B$14:$B$33,0)),IFERROR(LOOKUP(2^15,SEARCH(Settings!$I$14:$I$83,L11)/(Settings!$I$14:$I$83&lt;&gt;""),Settings!$J$14:$J$83),"Other"))))</f>
        <v/>
      </c>
      <c r="AP11">
        <f>IF($B11="","",IF(M11="","Not rostered",IFERROR(INDEX(Settings!$C$14:$C$33,MATCH(M11,Settings!$B$14:$B$33,0)),IFERROR(LOOKUP(2^15,SEARCH(Settings!$I$14:$I$83,M11)/(Settings!$I$14:$I$83&lt;&gt;""),Settings!$J$14:$J$83),"Other"))))</f>
        <v/>
      </c>
      <c r="AQ11">
        <f>IF($B11="","",IF(N11="","Not rostered",IFERROR(INDEX(Settings!$C$14:$C$33,MATCH(N11,Settings!$B$14:$B$33,0)),IFERROR(LOOKUP(2^15,SEARCH(Settings!$I$14:$I$83,N11)/(Settings!$I$14:$I$83&lt;&gt;""),Settings!$J$14:$J$83),"Other"))))</f>
        <v/>
      </c>
      <c r="AR11">
        <f>IF($B11="","",IF(O11="","Not rostered",IFERROR(INDEX(Settings!$C$14:$C$33,MATCH(O11,Settings!$B$14:$B$33,0)),IFERROR(LOOKUP(2^15,SEARCH(Settings!$I$14:$I$83,O11)/(Settings!$I$14:$I$83&lt;&gt;""),Settings!$J$14:$J$83),"Other"))))</f>
        <v/>
      </c>
      <c r="AS11">
        <f>IF($B11="","",IF(P11="","Not rostered",IFERROR(INDEX(Settings!$C$14:$C$33,MATCH(P11,Settings!$B$14:$B$33,0)),IFERROR(LOOKUP(2^15,SEARCH(Settings!$I$14:$I$83,P11)/(Settings!$I$14:$I$83&lt;&gt;""),Settings!$J$14:$J$83),"Other"))))</f>
        <v/>
      </c>
      <c r="AT11">
        <f>IF($B11="","",IF(Q11="","Not rostered",IFERROR(INDEX(Settings!$C$14:$C$33,MATCH(Q11,Settings!$B$14:$B$33,0)),IFERROR(LOOKUP(2^15,SEARCH(Settings!$I$14:$I$83,Q11)/(Settings!$I$14:$I$83&lt;&gt;""),Settings!$J$14:$J$83),"Other"))))</f>
        <v/>
      </c>
      <c r="AU11">
        <f>IF($B11="","",IF(R11="","Not rostered",IFERROR(INDEX(Settings!$C$14:$C$33,MATCH(R11,Settings!$B$14:$B$33,0)),IFERROR(LOOKUP(2^15,SEARCH(Settings!$I$14:$I$83,R11)/(Settings!$I$14:$I$83&lt;&gt;""),Settings!$J$14:$J$83),"Other"))))</f>
        <v/>
      </c>
      <c r="AV11">
        <f>IF($B11="","",IF(S11="","Not rostered",IFERROR(INDEX(Settings!$C$14:$C$33,MATCH(S11,Settings!$B$14:$B$33,0)),IFERROR(LOOKUP(2^15,SEARCH(Settings!$I$14:$I$83,S11)/(Settings!$I$14:$I$83&lt;&gt;""),Settings!$J$14:$J$83),"Other"))))</f>
        <v/>
      </c>
      <c r="AW11">
        <f>IF($B11="","",IF(T11="","Not rostered",IFERROR(INDEX(Settings!$C$14:$C$33,MATCH(T11,Settings!$B$14:$B$33,0)),IFERROR(LOOKUP(2^15,SEARCH(Settings!$I$14:$I$83,T11)/(Settings!$I$14:$I$83&lt;&gt;""),Settings!$J$14:$J$83),"Other"))))</f>
        <v/>
      </c>
      <c r="AX11">
        <f>IF($B11="","",IF(U11="","Not rostered",IFERROR(INDEX(Settings!$C$14:$C$33,MATCH(U11,Settings!$B$14:$B$33,0)),IFERROR(LOOKUP(2^15,SEARCH(Settings!$I$14:$I$83,U11)/(Settings!$I$14:$I$83&lt;&gt;""),Settings!$J$14:$J$83),"Other"))))</f>
        <v/>
      </c>
      <c r="AY11">
        <f>IF($B11="","",IF(V11="","Not rostered",IFERROR(INDEX(Settings!$C$14:$C$33,MATCH(V11,Settings!$B$14:$B$33,0)),IFERROR(LOOKUP(2^15,SEARCH(Settings!$I$14:$I$83,V11)/(Settings!$I$14:$I$83&lt;&gt;""),Settings!$J$14:$J$83),"Other"))))</f>
        <v/>
      </c>
      <c r="AZ11">
        <f>IF($B11="","",IF(W11="","Not rostered",IFERROR(INDEX(Settings!$C$14:$C$33,MATCH(W11,Settings!$B$14:$B$33,0)),IFERROR(LOOKUP(2^15,SEARCH(Settings!$I$14:$I$83,W11)/(Settings!$I$14:$I$83&lt;&gt;""),Settings!$J$14:$J$83),"Other"))))</f>
        <v/>
      </c>
      <c r="BA11">
        <f>IF($B11="","",IF(X11="","Not rostered",IFERROR(INDEX(Settings!$C$14:$C$33,MATCH(X11,Settings!$B$14:$B$33,0)),IFERROR(LOOKUP(2^15,SEARCH(Settings!$I$14:$I$83,X11)/(Settings!$I$14:$I$83&lt;&gt;""),Settings!$J$14:$J$83),"Other"))))</f>
        <v/>
      </c>
      <c r="BB11">
        <f>IF($B11="","",IF(Y11="","Not rostered",IFERROR(INDEX(Settings!$C$14:$C$33,MATCH(Y11,Settings!$B$14:$B$33,0)),IFERROR(LOOKUP(2^15,SEARCH(Settings!$I$14:$I$83,Y11)/(Settings!$I$14:$I$83&lt;&gt;""),Settings!$J$14:$J$83),"Other"))))</f>
        <v/>
      </c>
      <c r="BC11">
        <f>IF($B11="","",IF(Z11="","Not rostered",IFERROR(INDEX(Settings!$C$14:$C$33,MATCH(Z11,Settings!$B$14:$B$33,0)),IFERROR(LOOKUP(2^15,SEARCH(Settings!$I$14:$I$83,Z11)/(Settings!$I$14:$I$83&lt;&gt;""),Settings!$J$14:$J$83),"Other"))))</f>
        <v/>
      </c>
      <c r="BD11">
        <f>IF($B11="","",IF(AA11="","Not rostered",IFERROR(INDEX(Settings!$C$14:$C$33,MATCH(AA11,Settings!$B$14:$B$33,0)),IFERROR(LOOKUP(2^15,SEARCH(Settings!$I$14:$I$83,AA11)/(Settings!$I$14:$I$83&lt;&gt;""),Settings!$J$14:$J$83),"Other"))))</f>
        <v/>
      </c>
      <c r="BE11">
        <f>IF($B11="","",IF(AB11="","Not rostered",IFERROR(INDEX(Settings!$C$14:$C$33,MATCH(AB11,Settings!$B$14:$B$33,0)),IFERROR(LOOKUP(2^15,SEARCH(Settings!$I$14:$I$83,AB11)/(Settings!$I$14:$I$83&lt;&gt;""),Settings!$J$14:$J$83),"Other"))))</f>
        <v/>
      </c>
      <c r="BF11">
        <f>IF($B11="","",IF(AC11="","Not rostered",IFERROR(INDEX(Settings!$C$14:$C$33,MATCH(AC11,Settings!$B$14:$B$33,0)),IFERROR(LOOKUP(2^15,SEARCH(Settings!$I$14:$I$83,AC11)/(Settings!$I$14:$I$83&lt;&gt;""),Settings!$J$14:$J$83),"Other"))))</f>
        <v/>
      </c>
      <c r="BG11">
        <f>IF($B11="","",IF(AD11="","Not rostered",IFERROR(INDEX(Settings!$C$14:$C$33,MATCH(AD11,Settings!$B$14:$B$33,0)),IFERROR(LOOKUP(2^15,SEARCH(Settings!$I$14:$I$83,AD11)/(Settings!$I$14:$I$83&lt;&gt;""),Settings!$J$14:$J$83),"Other"))))</f>
        <v/>
      </c>
      <c r="BH11">
        <f>IF($B11="","",IF(AE11="","Not rostered",IFERROR(INDEX(Settings!$C$14:$C$33,MATCH(AE11,Settings!$B$14:$B$33,0)),IFERROR(LOOKUP(2^15,SEARCH(Settings!$I$14:$I$83,AE11)/(Settings!$I$14:$I$83&lt;&gt;""),Settings!$J$14:$J$83),"Other"))))</f>
        <v/>
      </c>
      <c r="BI11">
        <f>IF($B11="","",IF(AF11="","Not rostered",IFERROR(INDEX(Settings!$C$14:$C$33,MATCH(AF11,Settings!$B$14:$B$33,0)),IFERROR(LOOKUP(2^15,SEARCH(Settings!$I$14:$I$83,AF11)/(Settings!$I$14:$I$83&lt;&gt;""),Settings!$J$14:$J$83),"Other"))))</f>
        <v/>
      </c>
      <c r="BJ11">
        <f>IF($B11="","",IF(AG11="","Not rostered",IFERROR(INDEX(Settings!$C$14:$C$33,MATCH(AG11,Settings!$B$14:$B$33,0)),IFERROR(LOOKUP(2^15,SEARCH(Settings!$I$14:$I$83,AG11)/(Settings!$I$14:$I$83&lt;&gt;""),Settings!$J$14:$J$83),"Other"))))</f>
        <v/>
      </c>
      <c r="BL11">
        <f>IF(OR($B11="",F11=""),"",IFERROR(INDEX(Settings!$D$14:$D$33,MATCH(F11,Settings!$B$14:$B$33,0))&amp;"",IFERROR(LOOKUP(2^15,SEARCH(Settings!$F$14:$F$43,F11)/(Settings!$F$14:$F$43&lt;&gt;""),Settings!$G$14:$G$43),"")))</f>
        <v/>
      </c>
      <c r="BM11">
        <f>IF(OR($B11="",G11=""),"",IFERROR(INDEX(Settings!$D$14:$D$33,MATCH(G11,Settings!$B$14:$B$33,0))&amp;"",IFERROR(LOOKUP(2^15,SEARCH(Settings!$F$14:$F$43,G11)/(Settings!$F$14:$F$43&lt;&gt;""),Settings!$G$14:$G$43),"")))</f>
        <v/>
      </c>
      <c r="BN11">
        <f>IF(OR($B11="",H11=""),"",IFERROR(INDEX(Settings!$D$14:$D$33,MATCH(H11,Settings!$B$14:$B$33,0))&amp;"",IFERROR(LOOKUP(2^15,SEARCH(Settings!$F$14:$F$43,H11)/(Settings!$F$14:$F$43&lt;&gt;""),Settings!$G$14:$G$43),"")))</f>
        <v/>
      </c>
      <c r="BO11">
        <f>IF(OR($B11="",I11=""),"",IFERROR(INDEX(Settings!$D$14:$D$33,MATCH(I11,Settings!$B$14:$B$33,0))&amp;"",IFERROR(LOOKUP(2^15,SEARCH(Settings!$F$14:$F$43,I11)/(Settings!$F$14:$F$43&lt;&gt;""),Settings!$G$14:$G$43),"")))</f>
        <v/>
      </c>
      <c r="BP11">
        <f>IF(OR($B11="",J11=""),"",IFERROR(INDEX(Settings!$D$14:$D$33,MATCH(J11,Settings!$B$14:$B$33,0))&amp;"",IFERROR(LOOKUP(2^15,SEARCH(Settings!$F$14:$F$43,J11)/(Settings!$F$14:$F$43&lt;&gt;""),Settings!$G$14:$G$43),"")))</f>
        <v/>
      </c>
      <c r="BQ11">
        <f>IF(OR($B11="",K11=""),"",IFERROR(INDEX(Settings!$D$14:$D$33,MATCH(K11,Settings!$B$14:$B$33,0))&amp;"",IFERROR(LOOKUP(2^15,SEARCH(Settings!$F$14:$F$43,K11)/(Settings!$F$14:$F$43&lt;&gt;""),Settings!$G$14:$G$43),"")))</f>
        <v/>
      </c>
      <c r="BR11">
        <f>IF(OR($B11="",L11=""),"",IFERROR(INDEX(Settings!$D$14:$D$33,MATCH(L11,Settings!$B$14:$B$33,0))&amp;"",IFERROR(LOOKUP(2^15,SEARCH(Settings!$F$14:$F$43,L11)/(Settings!$F$14:$F$43&lt;&gt;""),Settings!$G$14:$G$43),"")))</f>
        <v/>
      </c>
      <c r="BS11">
        <f>IF(OR($B11="",M11=""),"",IFERROR(INDEX(Settings!$D$14:$D$33,MATCH(M11,Settings!$B$14:$B$33,0))&amp;"",IFERROR(LOOKUP(2^15,SEARCH(Settings!$F$14:$F$43,M11)/(Settings!$F$14:$F$43&lt;&gt;""),Settings!$G$14:$G$43),"")))</f>
        <v/>
      </c>
      <c r="BT11">
        <f>IF(OR($B11="",N11=""),"",IFERROR(INDEX(Settings!$D$14:$D$33,MATCH(N11,Settings!$B$14:$B$33,0))&amp;"",IFERROR(LOOKUP(2^15,SEARCH(Settings!$F$14:$F$43,N11)/(Settings!$F$14:$F$43&lt;&gt;""),Settings!$G$14:$G$43),"")))</f>
        <v/>
      </c>
      <c r="BU11">
        <f>IF(OR($B11="",O11=""),"",IFERROR(INDEX(Settings!$D$14:$D$33,MATCH(O11,Settings!$B$14:$B$33,0))&amp;"",IFERROR(LOOKUP(2^15,SEARCH(Settings!$F$14:$F$43,O11)/(Settings!$F$14:$F$43&lt;&gt;""),Settings!$G$14:$G$43),"")))</f>
        <v/>
      </c>
      <c r="BV11">
        <f>IF(OR($B11="",P11=""),"",IFERROR(INDEX(Settings!$D$14:$D$33,MATCH(P11,Settings!$B$14:$B$33,0))&amp;"",IFERROR(LOOKUP(2^15,SEARCH(Settings!$F$14:$F$43,P11)/(Settings!$F$14:$F$43&lt;&gt;""),Settings!$G$14:$G$43),"")))</f>
        <v/>
      </c>
      <c r="BW11">
        <f>IF(OR($B11="",Q11=""),"",IFERROR(INDEX(Settings!$D$14:$D$33,MATCH(Q11,Settings!$B$14:$B$33,0))&amp;"",IFERROR(LOOKUP(2^15,SEARCH(Settings!$F$14:$F$43,Q11)/(Settings!$F$14:$F$43&lt;&gt;""),Settings!$G$14:$G$43),"")))</f>
        <v/>
      </c>
      <c r="BX11">
        <f>IF(OR($B11="",R11=""),"",IFERROR(INDEX(Settings!$D$14:$D$33,MATCH(R11,Settings!$B$14:$B$33,0))&amp;"",IFERROR(LOOKUP(2^15,SEARCH(Settings!$F$14:$F$43,R11)/(Settings!$F$14:$F$43&lt;&gt;""),Settings!$G$14:$G$43),"")))</f>
        <v/>
      </c>
      <c r="BY11">
        <f>IF(OR($B11="",S11=""),"",IFERROR(INDEX(Settings!$D$14:$D$33,MATCH(S11,Settings!$B$14:$B$33,0))&amp;"",IFERROR(LOOKUP(2^15,SEARCH(Settings!$F$14:$F$43,S11)/(Settings!$F$14:$F$43&lt;&gt;""),Settings!$G$14:$G$43),"")))</f>
        <v/>
      </c>
      <c r="BZ11">
        <f>IF(OR($B11="",T11=""),"",IFERROR(INDEX(Settings!$D$14:$D$33,MATCH(T11,Settings!$B$14:$B$33,0))&amp;"",IFERROR(LOOKUP(2^15,SEARCH(Settings!$F$14:$F$43,T11)/(Settings!$F$14:$F$43&lt;&gt;""),Settings!$G$14:$G$43),"")))</f>
        <v/>
      </c>
      <c r="CA11">
        <f>IF(OR($B11="",U11=""),"",IFERROR(INDEX(Settings!$D$14:$D$33,MATCH(U11,Settings!$B$14:$B$33,0))&amp;"",IFERROR(LOOKUP(2^15,SEARCH(Settings!$F$14:$F$43,U11)/(Settings!$F$14:$F$43&lt;&gt;""),Settings!$G$14:$G$43),"")))</f>
        <v/>
      </c>
      <c r="CB11">
        <f>IF(OR($B11="",V11=""),"",IFERROR(INDEX(Settings!$D$14:$D$33,MATCH(V11,Settings!$B$14:$B$33,0))&amp;"",IFERROR(LOOKUP(2^15,SEARCH(Settings!$F$14:$F$43,V11)/(Settings!$F$14:$F$43&lt;&gt;""),Settings!$G$14:$G$43),"")))</f>
        <v/>
      </c>
      <c r="CC11">
        <f>IF(OR($B11="",W11=""),"",IFERROR(INDEX(Settings!$D$14:$D$33,MATCH(W11,Settings!$B$14:$B$33,0))&amp;"",IFERROR(LOOKUP(2^15,SEARCH(Settings!$F$14:$F$43,W11)/(Settings!$F$14:$F$43&lt;&gt;""),Settings!$G$14:$G$43),"")))</f>
        <v/>
      </c>
      <c r="CD11">
        <f>IF(OR($B11="",X11=""),"",IFERROR(INDEX(Settings!$D$14:$D$33,MATCH(X11,Settings!$B$14:$B$33,0))&amp;"",IFERROR(LOOKUP(2^15,SEARCH(Settings!$F$14:$F$43,X11)/(Settings!$F$14:$F$43&lt;&gt;""),Settings!$G$14:$G$43),"")))</f>
        <v/>
      </c>
      <c r="CE11">
        <f>IF(OR($B11="",Y11=""),"",IFERROR(INDEX(Settings!$D$14:$D$33,MATCH(Y11,Settings!$B$14:$B$33,0))&amp;"",IFERROR(LOOKUP(2^15,SEARCH(Settings!$F$14:$F$43,Y11)/(Settings!$F$14:$F$43&lt;&gt;""),Settings!$G$14:$G$43),"")))</f>
        <v/>
      </c>
      <c r="CF11">
        <f>IF(OR($B11="",Z11=""),"",IFERROR(INDEX(Settings!$D$14:$D$33,MATCH(Z11,Settings!$B$14:$B$33,0))&amp;"",IFERROR(LOOKUP(2^15,SEARCH(Settings!$F$14:$F$43,Z11)/(Settings!$F$14:$F$43&lt;&gt;""),Settings!$G$14:$G$43),"")))</f>
        <v/>
      </c>
      <c r="CG11">
        <f>IF(OR($B11="",AA11=""),"",IFERROR(INDEX(Settings!$D$14:$D$33,MATCH(AA11,Settings!$B$14:$B$33,0))&amp;"",IFERROR(LOOKUP(2^15,SEARCH(Settings!$F$14:$F$43,AA11)/(Settings!$F$14:$F$43&lt;&gt;""),Settings!$G$14:$G$43),"")))</f>
        <v/>
      </c>
      <c r="CH11">
        <f>IF(OR($B11="",AB11=""),"",IFERROR(INDEX(Settings!$D$14:$D$33,MATCH(AB11,Settings!$B$14:$B$33,0))&amp;"",IFERROR(LOOKUP(2^15,SEARCH(Settings!$F$14:$F$43,AB11)/(Settings!$F$14:$F$43&lt;&gt;""),Settings!$G$14:$G$43),"")))</f>
        <v/>
      </c>
      <c r="CI11">
        <f>IF(OR($B11="",AC11=""),"",IFERROR(INDEX(Settings!$D$14:$D$33,MATCH(AC11,Settings!$B$14:$B$33,0))&amp;"",IFERROR(LOOKUP(2^15,SEARCH(Settings!$F$14:$F$43,AC11)/(Settings!$F$14:$F$43&lt;&gt;""),Settings!$G$14:$G$43),"")))</f>
        <v/>
      </c>
      <c r="CJ11">
        <f>IF(OR($B11="",AD11=""),"",IFERROR(INDEX(Settings!$D$14:$D$33,MATCH(AD11,Settings!$B$14:$B$33,0))&amp;"",IFERROR(LOOKUP(2^15,SEARCH(Settings!$F$14:$F$43,AD11)/(Settings!$F$14:$F$43&lt;&gt;""),Settings!$G$14:$G$43),"")))</f>
        <v/>
      </c>
      <c r="CK11">
        <f>IF(OR($B11="",AE11=""),"",IFERROR(INDEX(Settings!$D$14:$D$33,MATCH(AE11,Settings!$B$14:$B$33,0))&amp;"",IFERROR(LOOKUP(2^15,SEARCH(Settings!$F$14:$F$43,AE11)/(Settings!$F$14:$F$43&lt;&gt;""),Settings!$G$14:$G$43),"")))</f>
        <v/>
      </c>
      <c r="CL11">
        <f>IF(OR($B11="",AF11=""),"",IFERROR(INDEX(Settings!$D$14:$D$33,MATCH(AF11,Settings!$B$14:$B$33,0))&amp;"",IFERROR(LOOKUP(2^15,SEARCH(Settings!$F$14:$F$43,AF11)/(Settings!$F$14:$F$43&lt;&gt;""),Settings!$G$14:$G$43),"")))</f>
        <v/>
      </c>
      <c r="CM11">
        <f>IF(OR($B11="",AG11=""),"",IFERROR(INDEX(Settings!$D$14:$D$33,MATCH(AG11,Settings!$B$14:$B$33,0))&amp;"",IFERROR(LOOKUP(2^15,SEARCH(Settings!$F$14:$F$43,AG11)/(Settings!$F$14:$F$43&lt;&gt;""),Settings!$G$14:$G$43),"")))</f>
        <v/>
      </c>
    </row>
    <row r="12">
      <c r="A12" t="n">
        <v>10</v>
      </c>
      <c r="B12">
        <f>IFERROR(INDEX(Index!$A$2:$A$202,MATCH(A12,Index!$E$2:$E$202,0)),"")</f>
        <v/>
      </c>
      <c r="D12">
        <f>IF($B12="","",IFERROR(MATCH("Travel*",AI12:BJ12,0),""))</f>
        <v/>
      </c>
      <c r="F12">
        <f>IF(OR($B12="",NOT(ISNUMBER(Settings!$C$9))),"",TRIM(SUBSTITUTE(SUBSTITUTE(INDEX('INPUT - Roster'!$S$1:$SV$206,$B12,Settings!$C$9+0)&amp;"",CHAR(10)," "),CHAR(160)," ")))</f>
        <v/>
      </c>
      <c r="G12">
        <f>IF(OR($B12="",NOT(ISNUMBER(Settings!$C$9))),"",TRIM(SUBSTITUTE(SUBSTITUTE(INDEX('INPUT - Roster'!$S$1:$SV$206,$B12,Settings!$C$9+1)&amp;"",CHAR(10)," "),CHAR(160)," ")))</f>
        <v/>
      </c>
      <c r="H12">
        <f>IF(OR($B12="",NOT(ISNUMBER(Settings!$C$9))),"",TRIM(SUBSTITUTE(SUBSTITUTE(INDEX('INPUT - Roster'!$S$1:$SV$206,$B12,Settings!$C$9+2)&amp;"",CHAR(10)," "),CHAR(160)," ")))</f>
        <v/>
      </c>
      <c r="I12">
        <f>IF(OR($B12="",NOT(ISNUMBER(Settings!$C$9))),"",TRIM(SUBSTITUTE(SUBSTITUTE(INDEX('INPUT - Roster'!$S$1:$SV$206,$B12,Settings!$C$9+3)&amp;"",CHAR(10)," "),CHAR(160)," ")))</f>
        <v/>
      </c>
      <c r="J12">
        <f>IF(OR($B12="",NOT(ISNUMBER(Settings!$C$9))),"",TRIM(SUBSTITUTE(SUBSTITUTE(INDEX('INPUT - Roster'!$S$1:$SV$206,$B12,Settings!$C$9+4)&amp;"",CHAR(10)," "),CHAR(160)," ")))</f>
        <v/>
      </c>
      <c r="K12">
        <f>IF(OR($B12="",NOT(ISNUMBER(Settings!$C$9))),"",TRIM(SUBSTITUTE(SUBSTITUTE(INDEX('INPUT - Roster'!$S$1:$SV$206,$B12,Settings!$C$9+5)&amp;"",CHAR(10)," "),CHAR(160)," ")))</f>
        <v/>
      </c>
      <c r="L12">
        <f>IF(OR($B12="",NOT(ISNUMBER(Settings!$C$9))),"",TRIM(SUBSTITUTE(SUBSTITUTE(INDEX('INPUT - Roster'!$S$1:$SV$206,$B12,Settings!$C$9+6)&amp;"",CHAR(10)," "),CHAR(160)," ")))</f>
        <v/>
      </c>
      <c r="M12">
        <f>IF(OR($B12="",NOT(ISNUMBER(Settings!$C$9))),"",TRIM(SUBSTITUTE(SUBSTITUTE(INDEX('INPUT - Roster'!$S$1:$SV$206,$B12,Settings!$C$9+7)&amp;"",CHAR(10)," "),CHAR(160)," ")))</f>
        <v/>
      </c>
      <c r="N12">
        <f>IF(OR($B12="",NOT(ISNUMBER(Settings!$C$9))),"",TRIM(SUBSTITUTE(SUBSTITUTE(INDEX('INPUT - Roster'!$S$1:$SV$206,$B12,Settings!$C$9+8)&amp;"",CHAR(10)," "),CHAR(160)," ")))</f>
        <v/>
      </c>
      <c r="O12">
        <f>IF(OR($B12="",NOT(ISNUMBER(Settings!$C$9))),"",TRIM(SUBSTITUTE(SUBSTITUTE(INDEX('INPUT - Roster'!$S$1:$SV$206,$B12,Settings!$C$9+9)&amp;"",CHAR(10)," "),CHAR(160)," ")))</f>
        <v/>
      </c>
      <c r="P12">
        <f>IF(OR($B12="",NOT(ISNUMBER(Settings!$C$9))),"",TRIM(SUBSTITUTE(SUBSTITUTE(INDEX('INPUT - Roster'!$S$1:$SV$206,$B12,Settings!$C$9+10)&amp;"",CHAR(10)," "),CHAR(160)," ")))</f>
        <v/>
      </c>
      <c r="Q12">
        <f>IF(OR($B12="",NOT(ISNUMBER(Settings!$C$9))),"",TRIM(SUBSTITUTE(SUBSTITUTE(INDEX('INPUT - Roster'!$S$1:$SV$206,$B12,Settings!$C$9+11)&amp;"",CHAR(10)," "),CHAR(160)," ")))</f>
        <v/>
      </c>
      <c r="R12">
        <f>IF(OR($B12="",NOT(ISNUMBER(Settings!$C$9))),"",TRIM(SUBSTITUTE(SUBSTITUTE(INDEX('INPUT - Roster'!$S$1:$SV$206,$B12,Settings!$C$9+12)&amp;"",CHAR(10)," "),CHAR(160)," ")))</f>
        <v/>
      </c>
      <c r="S12">
        <f>IF(OR($B12="",NOT(ISNUMBER(Settings!$C$9))),"",TRIM(SUBSTITUTE(SUBSTITUTE(INDEX('INPUT - Roster'!$S$1:$SV$206,$B12,Settings!$C$9+13)&amp;"",CHAR(10)," "),CHAR(160)," ")))</f>
        <v/>
      </c>
      <c r="T12">
        <f>IF(OR($B12="",NOT(ISNUMBER(Settings!$C$9))),"",TRIM(SUBSTITUTE(SUBSTITUTE(INDEX('INPUT - Roster'!$S$1:$SV$206,$B12,Settings!$C$9+14)&amp;"",CHAR(10)," "),CHAR(160)," ")))</f>
        <v/>
      </c>
      <c r="U12">
        <f>IF(OR($B12="",NOT(ISNUMBER(Settings!$C$9))),"",TRIM(SUBSTITUTE(SUBSTITUTE(INDEX('INPUT - Roster'!$S$1:$SV$206,$B12,Settings!$C$9+15)&amp;"",CHAR(10)," "),CHAR(160)," ")))</f>
        <v/>
      </c>
      <c r="V12">
        <f>IF(OR($B12="",NOT(ISNUMBER(Settings!$C$9))),"",TRIM(SUBSTITUTE(SUBSTITUTE(INDEX('INPUT - Roster'!$S$1:$SV$206,$B12,Settings!$C$9+16)&amp;"",CHAR(10)," "),CHAR(160)," ")))</f>
        <v/>
      </c>
      <c r="W12">
        <f>IF(OR($B12="",NOT(ISNUMBER(Settings!$C$9))),"",TRIM(SUBSTITUTE(SUBSTITUTE(INDEX('INPUT - Roster'!$S$1:$SV$206,$B12,Settings!$C$9+17)&amp;"",CHAR(10)," "),CHAR(160)," ")))</f>
        <v/>
      </c>
      <c r="X12">
        <f>IF(OR($B12="",NOT(ISNUMBER(Settings!$C$9))),"",TRIM(SUBSTITUTE(SUBSTITUTE(INDEX('INPUT - Roster'!$S$1:$SV$206,$B12,Settings!$C$9+18)&amp;"",CHAR(10)," "),CHAR(160)," ")))</f>
        <v/>
      </c>
      <c r="Y12">
        <f>IF(OR($B12="",NOT(ISNUMBER(Settings!$C$9))),"",TRIM(SUBSTITUTE(SUBSTITUTE(INDEX('INPUT - Roster'!$S$1:$SV$206,$B12,Settings!$C$9+19)&amp;"",CHAR(10)," "),CHAR(160)," ")))</f>
        <v/>
      </c>
      <c r="Z12">
        <f>IF(OR($B12="",NOT(ISNUMBER(Settings!$C$9))),"",TRIM(SUBSTITUTE(SUBSTITUTE(INDEX('INPUT - Roster'!$S$1:$SV$206,$B12,Settings!$C$9+20)&amp;"",CHAR(10)," "),CHAR(160)," ")))</f>
        <v/>
      </c>
      <c r="AA12">
        <f>IF(OR($B12="",NOT(ISNUMBER(Settings!$C$9))),"",TRIM(SUBSTITUTE(SUBSTITUTE(INDEX('INPUT - Roster'!$S$1:$SV$206,$B12,Settings!$C$9+21)&amp;"",CHAR(10)," "),CHAR(160)," ")))</f>
        <v/>
      </c>
      <c r="AB12">
        <f>IF(OR($B12="",NOT(ISNUMBER(Settings!$C$9))),"",TRIM(SUBSTITUTE(SUBSTITUTE(INDEX('INPUT - Roster'!$S$1:$SV$206,$B12,Settings!$C$9+22)&amp;"",CHAR(10)," "),CHAR(160)," ")))</f>
        <v/>
      </c>
      <c r="AC12">
        <f>IF(OR($B12="",NOT(ISNUMBER(Settings!$C$9))),"",TRIM(SUBSTITUTE(SUBSTITUTE(INDEX('INPUT - Roster'!$S$1:$SV$206,$B12,Settings!$C$9+23)&amp;"",CHAR(10)," "),CHAR(160)," ")))</f>
        <v/>
      </c>
      <c r="AD12">
        <f>IF(OR($B12="",NOT(ISNUMBER(Settings!$C$9))),"",TRIM(SUBSTITUTE(SUBSTITUTE(INDEX('INPUT - Roster'!$S$1:$SV$206,$B12,Settings!$C$9+24)&amp;"",CHAR(10)," "),CHAR(160)," ")))</f>
        <v/>
      </c>
      <c r="AE12">
        <f>IF(OR($B12="",NOT(ISNUMBER(Settings!$C$9))),"",TRIM(SUBSTITUTE(SUBSTITUTE(INDEX('INPUT - Roster'!$S$1:$SV$206,$B12,Settings!$C$9+25)&amp;"",CHAR(10)," "),CHAR(160)," ")))</f>
        <v/>
      </c>
      <c r="AF12">
        <f>IF(OR($B12="",NOT(ISNUMBER(Settings!$C$9))),"",TRIM(SUBSTITUTE(SUBSTITUTE(INDEX('INPUT - Roster'!$S$1:$SV$206,$B12,Settings!$C$9+26)&amp;"",CHAR(10)," "),CHAR(160)," ")))</f>
        <v/>
      </c>
      <c r="AG12">
        <f>IF(OR($B12="",NOT(ISNUMBER(Settings!$C$9))),"",TRIM(SUBSTITUTE(SUBSTITUTE(INDEX('INPUT - Roster'!$S$1:$SV$206,$B12,Settings!$C$9+27)&amp;"",CHAR(10)," "),CHAR(160)," ")))</f>
        <v/>
      </c>
      <c r="AI12">
        <f>IF($B12="","",IF(F12="","Not rostered",IFERROR(INDEX(Settings!$C$14:$C$33,MATCH(F12,Settings!$B$14:$B$33,0)),IFERROR(LOOKUP(2^15,SEARCH(Settings!$I$14:$I$83,F12)/(Settings!$I$14:$I$83&lt;&gt;""),Settings!$J$14:$J$83),"Other"))))</f>
        <v/>
      </c>
      <c r="AJ12">
        <f>IF($B12="","",IF(G12="","Not rostered",IFERROR(INDEX(Settings!$C$14:$C$33,MATCH(G12,Settings!$B$14:$B$33,0)),IFERROR(LOOKUP(2^15,SEARCH(Settings!$I$14:$I$83,G12)/(Settings!$I$14:$I$83&lt;&gt;""),Settings!$J$14:$J$83),"Other"))))</f>
        <v/>
      </c>
      <c r="AK12">
        <f>IF($B12="","",IF(H12="","Not rostered",IFERROR(INDEX(Settings!$C$14:$C$33,MATCH(H12,Settings!$B$14:$B$33,0)),IFERROR(LOOKUP(2^15,SEARCH(Settings!$I$14:$I$83,H12)/(Settings!$I$14:$I$83&lt;&gt;""),Settings!$J$14:$J$83),"Other"))))</f>
        <v/>
      </c>
      <c r="AL12">
        <f>IF($B12="","",IF(I12="","Not rostered",IFERROR(INDEX(Settings!$C$14:$C$33,MATCH(I12,Settings!$B$14:$B$33,0)),IFERROR(LOOKUP(2^15,SEARCH(Settings!$I$14:$I$83,I12)/(Settings!$I$14:$I$83&lt;&gt;""),Settings!$J$14:$J$83),"Other"))))</f>
        <v/>
      </c>
      <c r="AM12">
        <f>IF($B12="","",IF(J12="","Not rostered",IFERROR(INDEX(Settings!$C$14:$C$33,MATCH(J12,Settings!$B$14:$B$33,0)),IFERROR(LOOKUP(2^15,SEARCH(Settings!$I$14:$I$83,J12)/(Settings!$I$14:$I$83&lt;&gt;""),Settings!$J$14:$J$83),"Other"))))</f>
        <v/>
      </c>
      <c r="AN12">
        <f>IF($B12="","",IF(K12="","Not rostered",IFERROR(INDEX(Settings!$C$14:$C$33,MATCH(K12,Settings!$B$14:$B$33,0)),IFERROR(LOOKUP(2^15,SEARCH(Settings!$I$14:$I$83,K12)/(Settings!$I$14:$I$83&lt;&gt;""),Settings!$J$14:$J$83),"Other"))))</f>
        <v/>
      </c>
      <c r="AO12">
        <f>IF($B12="","",IF(L12="","Not rostered",IFERROR(INDEX(Settings!$C$14:$C$33,MATCH(L12,Settings!$B$14:$B$33,0)),IFERROR(LOOKUP(2^15,SEARCH(Settings!$I$14:$I$83,L12)/(Settings!$I$14:$I$83&lt;&gt;""),Settings!$J$14:$J$83),"Other"))))</f>
        <v/>
      </c>
      <c r="AP12">
        <f>IF($B12="","",IF(M12="","Not rostered",IFERROR(INDEX(Settings!$C$14:$C$33,MATCH(M12,Settings!$B$14:$B$33,0)),IFERROR(LOOKUP(2^15,SEARCH(Settings!$I$14:$I$83,M12)/(Settings!$I$14:$I$83&lt;&gt;""),Settings!$J$14:$J$83),"Other"))))</f>
        <v/>
      </c>
      <c r="AQ12">
        <f>IF($B12="","",IF(N12="","Not rostered",IFERROR(INDEX(Settings!$C$14:$C$33,MATCH(N12,Settings!$B$14:$B$33,0)),IFERROR(LOOKUP(2^15,SEARCH(Settings!$I$14:$I$83,N12)/(Settings!$I$14:$I$83&lt;&gt;""),Settings!$J$14:$J$83),"Other"))))</f>
        <v/>
      </c>
      <c r="AR12">
        <f>IF($B12="","",IF(O12="","Not rostered",IFERROR(INDEX(Settings!$C$14:$C$33,MATCH(O12,Settings!$B$14:$B$33,0)),IFERROR(LOOKUP(2^15,SEARCH(Settings!$I$14:$I$83,O12)/(Settings!$I$14:$I$83&lt;&gt;""),Settings!$J$14:$J$83),"Other"))))</f>
        <v/>
      </c>
      <c r="AS12">
        <f>IF($B12="","",IF(P12="","Not rostered",IFERROR(INDEX(Settings!$C$14:$C$33,MATCH(P12,Settings!$B$14:$B$33,0)),IFERROR(LOOKUP(2^15,SEARCH(Settings!$I$14:$I$83,P12)/(Settings!$I$14:$I$83&lt;&gt;""),Settings!$J$14:$J$83),"Other"))))</f>
        <v/>
      </c>
      <c r="AT12">
        <f>IF($B12="","",IF(Q12="","Not rostered",IFERROR(INDEX(Settings!$C$14:$C$33,MATCH(Q12,Settings!$B$14:$B$33,0)),IFERROR(LOOKUP(2^15,SEARCH(Settings!$I$14:$I$83,Q12)/(Settings!$I$14:$I$83&lt;&gt;""),Settings!$J$14:$J$83),"Other"))))</f>
        <v/>
      </c>
      <c r="AU12">
        <f>IF($B12="","",IF(R12="","Not rostered",IFERROR(INDEX(Settings!$C$14:$C$33,MATCH(R12,Settings!$B$14:$B$33,0)),IFERROR(LOOKUP(2^15,SEARCH(Settings!$I$14:$I$83,R12)/(Settings!$I$14:$I$83&lt;&gt;""),Settings!$J$14:$J$83),"Other"))))</f>
        <v/>
      </c>
      <c r="AV12">
        <f>IF($B12="","",IF(S12="","Not rostered",IFERROR(INDEX(Settings!$C$14:$C$33,MATCH(S12,Settings!$B$14:$B$33,0)),IFERROR(LOOKUP(2^15,SEARCH(Settings!$I$14:$I$83,S12)/(Settings!$I$14:$I$83&lt;&gt;""),Settings!$J$14:$J$83),"Other"))))</f>
        <v/>
      </c>
      <c r="AW12">
        <f>IF($B12="","",IF(T12="","Not rostered",IFERROR(INDEX(Settings!$C$14:$C$33,MATCH(T12,Settings!$B$14:$B$33,0)),IFERROR(LOOKUP(2^15,SEARCH(Settings!$I$14:$I$83,T12)/(Settings!$I$14:$I$83&lt;&gt;""),Settings!$J$14:$J$83),"Other"))))</f>
        <v/>
      </c>
      <c r="AX12">
        <f>IF($B12="","",IF(U12="","Not rostered",IFERROR(INDEX(Settings!$C$14:$C$33,MATCH(U12,Settings!$B$14:$B$33,0)),IFERROR(LOOKUP(2^15,SEARCH(Settings!$I$14:$I$83,U12)/(Settings!$I$14:$I$83&lt;&gt;""),Settings!$J$14:$J$83),"Other"))))</f>
        <v/>
      </c>
      <c r="AY12">
        <f>IF($B12="","",IF(V12="","Not rostered",IFERROR(INDEX(Settings!$C$14:$C$33,MATCH(V12,Settings!$B$14:$B$33,0)),IFERROR(LOOKUP(2^15,SEARCH(Settings!$I$14:$I$83,V12)/(Settings!$I$14:$I$83&lt;&gt;""),Settings!$J$14:$J$83),"Other"))))</f>
        <v/>
      </c>
      <c r="AZ12">
        <f>IF($B12="","",IF(W12="","Not rostered",IFERROR(INDEX(Settings!$C$14:$C$33,MATCH(W12,Settings!$B$14:$B$33,0)),IFERROR(LOOKUP(2^15,SEARCH(Settings!$I$14:$I$83,W12)/(Settings!$I$14:$I$83&lt;&gt;""),Settings!$J$14:$J$83),"Other"))))</f>
        <v/>
      </c>
      <c r="BA12">
        <f>IF($B12="","",IF(X12="","Not rostered",IFERROR(INDEX(Settings!$C$14:$C$33,MATCH(X12,Settings!$B$14:$B$33,0)),IFERROR(LOOKUP(2^15,SEARCH(Settings!$I$14:$I$83,X12)/(Settings!$I$14:$I$83&lt;&gt;""),Settings!$J$14:$J$83),"Other"))))</f>
        <v/>
      </c>
      <c r="BB12">
        <f>IF($B12="","",IF(Y12="","Not rostered",IFERROR(INDEX(Settings!$C$14:$C$33,MATCH(Y12,Settings!$B$14:$B$33,0)),IFERROR(LOOKUP(2^15,SEARCH(Settings!$I$14:$I$83,Y12)/(Settings!$I$14:$I$83&lt;&gt;""),Settings!$J$14:$J$83),"Other"))))</f>
        <v/>
      </c>
      <c r="BC12">
        <f>IF($B12="","",IF(Z12="","Not rostered",IFERROR(INDEX(Settings!$C$14:$C$33,MATCH(Z12,Settings!$B$14:$B$33,0)),IFERROR(LOOKUP(2^15,SEARCH(Settings!$I$14:$I$83,Z12)/(Settings!$I$14:$I$83&lt;&gt;""),Settings!$J$14:$J$83),"Other"))))</f>
        <v/>
      </c>
      <c r="BD12">
        <f>IF($B12="","",IF(AA12="","Not rostered",IFERROR(INDEX(Settings!$C$14:$C$33,MATCH(AA12,Settings!$B$14:$B$33,0)),IFERROR(LOOKUP(2^15,SEARCH(Settings!$I$14:$I$83,AA12)/(Settings!$I$14:$I$83&lt;&gt;""),Settings!$J$14:$J$83),"Other"))))</f>
        <v/>
      </c>
      <c r="BE12">
        <f>IF($B12="","",IF(AB12="","Not rostered",IFERROR(INDEX(Settings!$C$14:$C$33,MATCH(AB12,Settings!$B$14:$B$33,0)),IFERROR(LOOKUP(2^15,SEARCH(Settings!$I$14:$I$83,AB12)/(Settings!$I$14:$I$83&lt;&gt;""),Settings!$J$14:$J$83),"Other"))))</f>
        <v/>
      </c>
      <c r="BF12">
        <f>IF($B12="","",IF(AC12="","Not rostered",IFERROR(INDEX(Settings!$C$14:$C$33,MATCH(AC12,Settings!$B$14:$B$33,0)),IFERROR(LOOKUP(2^15,SEARCH(Settings!$I$14:$I$83,AC12)/(Settings!$I$14:$I$83&lt;&gt;""),Settings!$J$14:$J$83),"Other"))))</f>
        <v/>
      </c>
      <c r="BG12">
        <f>IF($B12="","",IF(AD12="","Not rostered",IFERROR(INDEX(Settings!$C$14:$C$33,MATCH(AD12,Settings!$B$14:$B$33,0)),IFERROR(LOOKUP(2^15,SEARCH(Settings!$I$14:$I$83,AD12)/(Settings!$I$14:$I$83&lt;&gt;""),Settings!$J$14:$J$83),"Other"))))</f>
        <v/>
      </c>
      <c r="BH12">
        <f>IF($B12="","",IF(AE12="","Not rostered",IFERROR(INDEX(Settings!$C$14:$C$33,MATCH(AE12,Settings!$B$14:$B$33,0)),IFERROR(LOOKUP(2^15,SEARCH(Settings!$I$14:$I$83,AE12)/(Settings!$I$14:$I$83&lt;&gt;""),Settings!$J$14:$J$83),"Other"))))</f>
        <v/>
      </c>
      <c r="BI12">
        <f>IF($B12="","",IF(AF12="","Not rostered",IFERROR(INDEX(Settings!$C$14:$C$33,MATCH(AF12,Settings!$B$14:$B$33,0)),IFERROR(LOOKUP(2^15,SEARCH(Settings!$I$14:$I$83,AF12)/(Settings!$I$14:$I$83&lt;&gt;""),Settings!$J$14:$J$83),"Other"))))</f>
        <v/>
      </c>
      <c r="BJ12">
        <f>IF($B12="","",IF(AG12="","Not rostered",IFERROR(INDEX(Settings!$C$14:$C$33,MATCH(AG12,Settings!$B$14:$B$33,0)),IFERROR(LOOKUP(2^15,SEARCH(Settings!$I$14:$I$83,AG12)/(Settings!$I$14:$I$83&lt;&gt;""),Settings!$J$14:$J$83),"Other"))))</f>
        <v/>
      </c>
      <c r="BL12">
        <f>IF(OR($B12="",F12=""),"",IFERROR(INDEX(Settings!$D$14:$D$33,MATCH(F12,Settings!$B$14:$B$33,0))&amp;"",IFERROR(LOOKUP(2^15,SEARCH(Settings!$F$14:$F$43,F12)/(Settings!$F$14:$F$43&lt;&gt;""),Settings!$G$14:$G$43),"")))</f>
        <v/>
      </c>
      <c r="BM12">
        <f>IF(OR($B12="",G12=""),"",IFERROR(INDEX(Settings!$D$14:$D$33,MATCH(G12,Settings!$B$14:$B$33,0))&amp;"",IFERROR(LOOKUP(2^15,SEARCH(Settings!$F$14:$F$43,G12)/(Settings!$F$14:$F$43&lt;&gt;""),Settings!$G$14:$G$43),"")))</f>
        <v/>
      </c>
      <c r="BN12">
        <f>IF(OR($B12="",H12=""),"",IFERROR(INDEX(Settings!$D$14:$D$33,MATCH(H12,Settings!$B$14:$B$33,0))&amp;"",IFERROR(LOOKUP(2^15,SEARCH(Settings!$F$14:$F$43,H12)/(Settings!$F$14:$F$43&lt;&gt;""),Settings!$G$14:$G$43),"")))</f>
        <v/>
      </c>
      <c r="BO12">
        <f>IF(OR($B12="",I12=""),"",IFERROR(INDEX(Settings!$D$14:$D$33,MATCH(I12,Settings!$B$14:$B$33,0))&amp;"",IFERROR(LOOKUP(2^15,SEARCH(Settings!$F$14:$F$43,I12)/(Settings!$F$14:$F$43&lt;&gt;""),Settings!$G$14:$G$43),"")))</f>
        <v/>
      </c>
      <c r="BP12">
        <f>IF(OR($B12="",J12=""),"",IFERROR(INDEX(Settings!$D$14:$D$33,MATCH(J12,Settings!$B$14:$B$33,0))&amp;"",IFERROR(LOOKUP(2^15,SEARCH(Settings!$F$14:$F$43,J12)/(Settings!$F$14:$F$43&lt;&gt;""),Settings!$G$14:$G$43),"")))</f>
        <v/>
      </c>
      <c r="BQ12">
        <f>IF(OR($B12="",K12=""),"",IFERROR(INDEX(Settings!$D$14:$D$33,MATCH(K12,Settings!$B$14:$B$33,0))&amp;"",IFERROR(LOOKUP(2^15,SEARCH(Settings!$F$14:$F$43,K12)/(Settings!$F$14:$F$43&lt;&gt;""),Settings!$G$14:$G$43),"")))</f>
        <v/>
      </c>
      <c r="BR12">
        <f>IF(OR($B12="",L12=""),"",IFERROR(INDEX(Settings!$D$14:$D$33,MATCH(L12,Settings!$B$14:$B$33,0))&amp;"",IFERROR(LOOKUP(2^15,SEARCH(Settings!$F$14:$F$43,L12)/(Settings!$F$14:$F$43&lt;&gt;""),Settings!$G$14:$G$43),"")))</f>
        <v/>
      </c>
      <c r="BS12">
        <f>IF(OR($B12="",M12=""),"",IFERROR(INDEX(Settings!$D$14:$D$33,MATCH(M12,Settings!$B$14:$B$33,0))&amp;"",IFERROR(LOOKUP(2^15,SEARCH(Settings!$F$14:$F$43,M12)/(Settings!$F$14:$F$43&lt;&gt;""),Settings!$G$14:$G$43),"")))</f>
        <v/>
      </c>
      <c r="BT12">
        <f>IF(OR($B12="",N12=""),"",IFERROR(INDEX(Settings!$D$14:$D$33,MATCH(N12,Settings!$B$14:$B$33,0))&amp;"",IFERROR(LOOKUP(2^15,SEARCH(Settings!$F$14:$F$43,N12)/(Settings!$F$14:$F$43&lt;&gt;""),Settings!$G$14:$G$43),"")))</f>
        <v/>
      </c>
      <c r="BU12">
        <f>IF(OR($B12="",O12=""),"",IFERROR(INDEX(Settings!$D$14:$D$33,MATCH(O12,Settings!$B$14:$B$33,0))&amp;"",IFERROR(LOOKUP(2^15,SEARCH(Settings!$F$14:$F$43,O12)/(Settings!$F$14:$F$43&lt;&gt;""),Settings!$G$14:$G$43),"")))</f>
        <v/>
      </c>
      <c r="BV12">
        <f>IF(OR($B12="",P12=""),"",IFERROR(INDEX(Settings!$D$14:$D$33,MATCH(P12,Settings!$B$14:$B$33,0))&amp;"",IFERROR(LOOKUP(2^15,SEARCH(Settings!$F$14:$F$43,P12)/(Settings!$F$14:$F$43&lt;&gt;""),Settings!$G$14:$G$43),"")))</f>
        <v/>
      </c>
      <c r="BW12">
        <f>IF(OR($B12="",Q12=""),"",IFERROR(INDEX(Settings!$D$14:$D$33,MATCH(Q12,Settings!$B$14:$B$33,0))&amp;"",IFERROR(LOOKUP(2^15,SEARCH(Settings!$F$14:$F$43,Q12)/(Settings!$F$14:$F$43&lt;&gt;""),Settings!$G$14:$G$43),"")))</f>
        <v/>
      </c>
      <c r="BX12">
        <f>IF(OR($B12="",R12=""),"",IFERROR(INDEX(Settings!$D$14:$D$33,MATCH(R12,Settings!$B$14:$B$33,0))&amp;"",IFERROR(LOOKUP(2^15,SEARCH(Settings!$F$14:$F$43,R12)/(Settings!$F$14:$F$43&lt;&gt;""),Settings!$G$14:$G$43),"")))</f>
        <v/>
      </c>
      <c r="BY12">
        <f>IF(OR($B12="",S12=""),"",IFERROR(INDEX(Settings!$D$14:$D$33,MATCH(S12,Settings!$B$14:$B$33,0))&amp;"",IFERROR(LOOKUP(2^15,SEARCH(Settings!$F$14:$F$43,S12)/(Settings!$F$14:$F$43&lt;&gt;""),Settings!$G$14:$G$43),"")))</f>
        <v/>
      </c>
      <c r="BZ12">
        <f>IF(OR($B12="",T12=""),"",IFERROR(INDEX(Settings!$D$14:$D$33,MATCH(T12,Settings!$B$14:$B$33,0))&amp;"",IFERROR(LOOKUP(2^15,SEARCH(Settings!$F$14:$F$43,T12)/(Settings!$F$14:$F$43&lt;&gt;""),Settings!$G$14:$G$43),"")))</f>
        <v/>
      </c>
      <c r="CA12">
        <f>IF(OR($B12="",U12=""),"",IFERROR(INDEX(Settings!$D$14:$D$33,MATCH(U12,Settings!$B$14:$B$33,0))&amp;"",IFERROR(LOOKUP(2^15,SEARCH(Settings!$F$14:$F$43,U12)/(Settings!$F$14:$F$43&lt;&gt;""),Settings!$G$14:$G$43),"")))</f>
        <v/>
      </c>
      <c r="CB12">
        <f>IF(OR($B12="",V12=""),"",IFERROR(INDEX(Settings!$D$14:$D$33,MATCH(V12,Settings!$B$14:$B$33,0))&amp;"",IFERROR(LOOKUP(2^15,SEARCH(Settings!$F$14:$F$43,V12)/(Settings!$F$14:$F$43&lt;&gt;""),Settings!$G$14:$G$43),"")))</f>
        <v/>
      </c>
      <c r="CC12">
        <f>IF(OR($B12="",W12=""),"",IFERROR(INDEX(Settings!$D$14:$D$33,MATCH(W12,Settings!$B$14:$B$33,0))&amp;"",IFERROR(LOOKUP(2^15,SEARCH(Settings!$F$14:$F$43,W12)/(Settings!$F$14:$F$43&lt;&gt;""),Settings!$G$14:$G$43),"")))</f>
        <v/>
      </c>
      <c r="CD12">
        <f>IF(OR($B12="",X12=""),"",IFERROR(INDEX(Settings!$D$14:$D$33,MATCH(X12,Settings!$B$14:$B$33,0))&amp;"",IFERROR(LOOKUP(2^15,SEARCH(Settings!$F$14:$F$43,X12)/(Settings!$F$14:$F$43&lt;&gt;""),Settings!$G$14:$G$43),"")))</f>
        <v/>
      </c>
      <c r="CE12">
        <f>IF(OR($B12="",Y12=""),"",IFERROR(INDEX(Settings!$D$14:$D$33,MATCH(Y12,Settings!$B$14:$B$33,0))&amp;"",IFERROR(LOOKUP(2^15,SEARCH(Settings!$F$14:$F$43,Y12)/(Settings!$F$14:$F$43&lt;&gt;""),Settings!$G$14:$G$43),"")))</f>
        <v/>
      </c>
      <c r="CF12">
        <f>IF(OR($B12="",Z12=""),"",IFERROR(INDEX(Settings!$D$14:$D$33,MATCH(Z12,Settings!$B$14:$B$33,0))&amp;"",IFERROR(LOOKUP(2^15,SEARCH(Settings!$F$14:$F$43,Z12)/(Settings!$F$14:$F$43&lt;&gt;""),Settings!$G$14:$G$43),"")))</f>
        <v/>
      </c>
      <c r="CG12">
        <f>IF(OR($B12="",AA12=""),"",IFERROR(INDEX(Settings!$D$14:$D$33,MATCH(AA12,Settings!$B$14:$B$33,0))&amp;"",IFERROR(LOOKUP(2^15,SEARCH(Settings!$F$14:$F$43,AA12)/(Settings!$F$14:$F$43&lt;&gt;""),Settings!$G$14:$G$43),"")))</f>
        <v/>
      </c>
      <c r="CH12">
        <f>IF(OR($B12="",AB12=""),"",IFERROR(INDEX(Settings!$D$14:$D$33,MATCH(AB12,Settings!$B$14:$B$33,0))&amp;"",IFERROR(LOOKUP(2^15,SEARCH(Settings!$F$14:$F$43,AB12)/(Settings!$F$14:$F$43&lt;&gt;""),Settings!$G$14:$G$43),"")))</f>
        <v/>
      </c>
      <c r="CI12">
        <f>IF(OR($B12="",AC12=""),"",IFERROR(INDEX(Settings!$D$14:$D$33,MATCH(AC12,Settings!$B$14:$B$33,0))&amp;"",IFERROR(LOOKUP(2^15,SEARCH(Settings!$F$14:$F$43,AC12)/(Settings!$F$14:$F$43&lt;&gt;""),Settings!$G$14:$G$43),"")))</f>
        <v/>
      </c>
      <c r="CJ12">
        <f>IF(OR($B12="",AD12=""),"",IFERROR(INDEX(Settings!$D$14:$D$33,MATCH(AD12,Settings!$B$14:$B$33,0))&amp;"",IFERROR(LOOKUP(2^15,SEARCH(Settings!$F$14:$F$43,AD12)/(Settings!$F$14:$F$43&lt;&gt;""),Settings!$G$14:$G$43),"")))</f>
        <v/>
      </c>
      <c r="CK12">
        <f>IF(OR($B12="",AE12=""),"",IFERROR(INDEX(Settings!$D$14:$D$33,MATCH(AE12,Settings!$B$14:$B$33,0))&amp;"",IFERROR(LOOKUP(2^15,SEARCH(Settings!$F$14:$F$43,AE12)/(Settings!$F$14:$F$43&lt;&gt;""),Settings!$G$14:$G$43),"")))</f>
        <v/>
      </c>
      <c r="CL12">
        <f>IF(OR($B12="",AF12=""),"",IFERROR(INDEX(Settings!$D$14:$D$33,MATCH(AF12,Settings!$B$14:$B$33,0))&amp;"",IFERROR(LOOKUP(2^15,SEARCH(Settings!$F$14:$F$43,AF12)/(Settings!$F$14:$F$43&lt;&gt;""),Settings!$G$14:$G$43),"")))</f>
        <v/>
      </c>
      <c r="CM12">
        <f>IF(OR($B12="",AG12=""),"",IFERROR(INDEX(Settings!$D$14:$D$33,MATCH(AG12,Settings!$B$14:$B$33,0))&amp;"",IFERROR(LOOKUP(2^15,SEARCH(Settings!$F$14:$F$43,AG12)/(Settings!$F$14:$F$43&lt;&gt;""),Settings!$G$14:$G$43),"")))</f>
        <v/>
      </c>
    </row>
    <row r="13">
      <c r="A13" t="n">
        <v>11</v>
      </c>
      <c r="B13">
        <f>IFERROR(INDEX(Index!$A$2:$A$202,MATCH(A13,Index!$E$2:$E$202,0)),"")</f>
        <v/>
      </c>
      <c r="D13">
        <f>IF($B13="","",IFERROR(MATCH("Travel*",AI13:BJ13,0),""))</f>
        <v/>
      </c>
      <c r="F13">
        <f>IF(OR($B13="",NOT(ISNUMBER(Settings!$C$9))),"",TRIM(SUBSTITUTE(SUBSTITUTE(INDEX('INPUT - Roster'!$S$1:$SV$206,$B13,Settings!$C$9+0)&amp;"",CHAR(10)," "),CHAR(160)," ")))</f>
        <v/>
      </c>
      <c r="G13">
        <f>IF(OR($B13="",NOT(ISNUMBER(Settings!$C$9))),"",TRIM(SUBSTITUTE(SUBSTITUTE(INDEX('INPUT - Roster'!$S$1:$SV$206,$B13,Settings!$C$9+1)&amp;"",CHAR(10)," "),CHAR(160)," ")))</f>
        <v/>
      </c>
      <c r="H13">
        <f>IF(OR($B13="",NOT(ISNUMBER(Settings!$C$9))),"",TRIM(SUBSTITUTE(SUBSTITUTE(INDEX('INPUT - Roster'!$S$1:$SV$206,$B13,Settings!$C$9+2)&amp;"",CHAR(10)," "),CHAR(160)," ")))</f>
        <v/>
      </c>
      <c r="I13">
        <f>IF(OR($B13="",NOT(ISNUMBER(Settings!$C$9))),"",TRIM(SUBSTITUTE(SUBSTITUTE(INDEX('INPUT - Roster'!$S$1:$SV$206,$B13,Settings!$C$9+3)&amp;"",CHAR(10)," "),CHAR(160)," ")))</f>
        <v/>
      </c>
      <c r="J13">
        <f>IF(OR($B13="",NOT(ISNUMBER(Settings!$C$9))),"",TRIM(SUBSTITUTE(SUBSTITUTE(INDEX('INPUT - Roster'!$S$1:$SV$206,$B13,Settings!$C$9+4)&amp;"",CHAR(10)," "),CHAR(160)," ")))</f>
        <v/>
      </c>
      <c r="K13">
        <f>IF(OR($B13="",NOT(ISNUMBER(Settings!$C$9))),"",TRIM(SUBSTITUTE(SUBSTITUTE(INDEX('INPUT - Roster'!$S$1:$SV$206,$B13,Settings!$C$9+5)&amp;"",CHAR(10)," "),CHAR(160)," ")))</f>
        <v/>
      </c>
      <c r="L13">
        <f>IF(OR($B13="",NOT(ISNUMBER(Settings!$C$9))),"",TRIM(SUBSTITUTE(SUBSTITUTE(INDEX('INPUT - Roster'!$S$1:$SV$206,$B13,Settings!$C$9+6)&amp;"",CHAR(10)," "),CHAR(160)," ")))</f>
        <v/>
      </c>
      <c r="M13">
        <f>IF(OR($B13="",NOT(ISNUMBER(Settings!$C$9))),"",TRIM(SUBSTITUTE(SUBSTITUTE(INDEX('INPUT - Roster'!$S$1:$SV$206,$B13,Settings!$C$9+7)&amp;"",CHAR(10)," "),CHAR(160)," ")))</f>
        <v/>
      </c>
      <c r="N13">
        <f>IF(OR($B13="",NOT(ISNUMBER(Settings!$C$9))),"",TRIM(SUBSTITUTE(SUBSTITUTE(INDEX('INPUT - Roster'!$S$1:$SV$206,$B13,Settings!$C$9+8)&amp;"",CHAR(10)," "),CHAR(160)," ")))</f>
        <v/>
      </c>
      <c r="O13">
        <f>IF(OR($B13="",NOT(ISNUMBER(Settings!$C$9))),"",TRIM(SUBSTITUTE(SUBSTITUTE(INDEX('INPUT - Roster'!$S$1:$SV$206,$B13,Settings!$C$9+9)&amp;"",CHAR(10)," "),CHAR(160)," ")))</f>
        <v/>
      </c>
      <c r="P13">
        <f>IF(OR($B13="",NOT(ISNUMBER(Settings!$C$9))),"",TRIM(SUBSTITUTE(SUBSTITUTE(INDEX('INPUT - Roster'!$S$1:$SV$206,$B13,Settings!$C$9+10)&amp;"",CHAR(10)," "),CHAR(160)," ")))</f>
        <v/>
      </c>
      <c r="Q13">
        <f>IF(OR($B13="",NOT(ISNUMBER(Settings!$C$9))),"",TRIM(SUBSTITUTE(SUBSTITUTE(INDEX('INPUT - Roster'!$S$1:$SV$206,$B13,Settings!$C$9+11)&amp;"",CHAR(10)," "),CHAR(160)," ")))</f>
        <v/>
      </c>
      <c r="R13">
        <f>IF(OR($B13="",NOT(ISNUMBER(Settings!$C$9))),"",TRIM(SUBSTITUTE(SUBSTITUTE(INDEX('INPUT - Roster'!$S$1:$SV$206,$B13,Settings!$C$9+12)&amp;"",CHAR(10)," "),CHAR(160)," ")))</f>
        <v/>
      </c>
      <c r="S13">
        <f>IF(OR($B13="",NOT(ISNUMBER(Settings!$C$9))),"",TRIM(SUBSTITUTE(SUBSTITUTE(INDEX('INPUT - Roster'!$S$1:$SV$206,$B13,Settings!$C$9+13)&amp;"",CHAR(10)," "),CHAR(160)," ")))</f>
        <v/>
      </c>
      <c r="T13">
        <f>IF(OR($B13="",NOT(ISNUMBER(Settings!$C$9))),"",TRIM(SUBSTITUTE(SUBSTITUTE(INDEX('INPUT - Roster'!$S$1:$SV$206,$B13,Settings!$C$9+14)&amp;"",CHAR(10)," "),CHAR(160)," ")))</f>
        <v/>
      </c>
      <c r="U13">
        <f>IF(OR($B13="",NOT(ISNUMBER(Settings!$C$9))),"",TRIM(SUBSTITUTE(SUBSTITUTE(INDEX('INPUT - Roster'!$S$1:$SV$206,$B13,Settings!$C$9+15)&amp;"",CHAR(10)," "),CHAR(160)," ")))</f>
        <v/>
      </c>
      <c r="V13">
        <f>IF(OR($B13="",NOT(ISNUMBER(Settings!$C$9))),"",TRIM(SUBSTITUTE(SUBSTITUTE(INDEX('INPUT - Roster'!$S$1:$SV$206,$B13,Settings!$C$9+16)&amp;"",CHAR(10)," "),CHAR(160)," ")))</f>
        <v/>
      </c>
      <c r="W13">
        <f>IF(OR($B13="",NOT(ISNUMBER(Settings!$C$9))),"",TRIM(SUBSTITUTE(SUBSTITUTE(INDEX('INPUT - Roster'!$S$1:$SV$206,$B13,Settings!$C$9+17)&amp;"",CHAR(10)," "),CHAR(160)," ")))</f>
        <v/>
      </c>
      <c r="X13">
        <f>IF(OR($B13="",NOT(ISNUMBER(Settings!$C$9))),"",TRIM(SUBSTITUTE(SUBSTITUTE(INDEX('INPUT - Roster'!$S$1:$SV$206,$B13,Settings!$C$9+18)&amp;"",CHAR(10)," "),CHAR(160)," ")))</f>
        <v/>
      </c>
      <c r="Y13">
        <f>IF(OR($B13="",NOT(ISNUMBER(Settings!$C$9))),"",TRIM(SUBSTITUTE(SUBSTITUTE(INDEX('INPUT - Roster'!$S$1:$SV$206,$B13,Settings!$C$9+19)&amp;"",CHAR(10)," "),CHAR(160)," ")))</f>
        <v/>
      </c>
      <c r="Z13">
        <f>IF(OR($B13="",NOT(ISNUMBER(Settings!$C$9))),"",TRIM(SUBSTITUTE(SUBSTITUTE(INDEX('INPUT - Roster'!$S$1:$SV$206,$B13,Settings!$C$9+20)&amp;"",CHAR(10)," "),CHAR(160)," ")))</f>
        <v/>
      </c>
      <c r="AA13">
        <f>IF(OR($B13="",NOT(ISNUMBER(Settings!$C$9))),"",TRIM(SUBSTITUTE(SUBSTITUTE(INDEX('INPUT - Roster'!$S$1:$SV$206,$B13,Settings!$C$9+21)&amp;"",CHAR(10)," "),CHAR(160)," ")))</f>
        <v/>
      </c>
      <c r="AB13">
        <f>IF(OR($B13="",NOT(ISNUMBER(Settings!$C$9))),"",TRIM(SUBSTITUTE(SUBSTITUTE(INDEX('INPUT - Roster'!$S$1:$SV$206,$B13,Settings!$C$9+22)&amp;"",CHAR(10)," "),CHAR(160)," ")))</f>
        <v/>
      </c>
      <c r="AC13">
        <f>IF(OR($B13="",NOT(ISNUMBER(Settings!$C$9))),"",TRIM(SUBSTITUTE(SUBSTITUTE(INDEX('INPUT - Roster'!$S$1:$SV$206,$B13,Settings!$C$9+23)&amp;"",CHAR(10)," "),CHAR(160)," ")))</f>
        <v/>
      </c>
      <c r="AD13">
        <f>IF(OR($B13="",NOT(ISNUMBER(Settings!$C$9))),"",TRIM(SUBSTITUTE(SUBSTITUTE(INDEX('INPUT - Roster'!$S$1:$SV$206,$B13,Settings!$C$9+24)&amp;"",CHAR(10)," "),CHAR(160)," ")))</f>
        <v/>
      </c>
      <c r="AE13">
        <f>IF(OR($B13="",NOT(ISNUMBER(Settings!$C$9))),"",TRIM(SUBSTITUTE(SUBSTITUTE(INDEX('INPUT - Roster'!$S$1:$SV$206,$B13,Settings!$C$9+25)&amp;"",CHAR(10)," "),CHAR(160)," ")))</f>
        <v/>
      </c>
      <c r="AF13">
        <f>IF(OR($B13="",NOT(ISNUMBER(Settings!$C$9))),"",TRIM(SUBSTITUTE(SUBSTITUTE(INDEX('INPUT - Roster'!$S$1:$SV$206,$B13,Settings!$C$9+26)&amp;"",CHAR(10)," "),CHAR(160)," ")))</f>
        <v/>
      </c>
      <c r="AG13">
        <f>IF(OR($B13="",NOT(ISNUMBER(Settings!$C$9))),"",TRIM(SUBSTITUTE(SUBSTITUTE(INDEX('INPUT - Roster'!$S$1:$SV$206,$B13,Settings!$C$9+27)&amp;"",CHAR(10)," "),CHAR(160)," ")))</f>
        <v/>
      </c>
      <c r="AI13">
        <f>IF($B13="","",IF(F13="","Not rostered",IFERROR(INDEX(Settings!$C$14:$C$33,MATCH(F13,Settings!$B$14:$B$33,0)),IFERROR(LOOKUP(2^15,SEARCH(Settings!$I$14:$I$83,F13)/(Settings!$I$14:$I$83&lt;&gt;""),Settings!$J$14:$J$83),"Other"))))</f>
        <v/>
      </c>
      <c r="AJ13">
        <f>IF($B13="","",IF(G13="","Not rostered",IFERROR(INDEX(Settings!$C$14:$C$33,MATCH(G13,Settings!$B$14:$B$33,0)),IFERROR(LOOKUP(2^15,SEARCH(Settings!$I$14:$I$83,G13)/(Settings!$I$14:$I$83&lt;&gt;""),Settings!$J$14:$J$83),"Other"))))</f>
        <v/>
      </c>
      <c r="AK13">
        <f>IF($B13="","",IF(H13="","Not rostered",IFERROR(INDEX(Settings!$C$14:$C$33,MATCH(H13,Settings!$B$14:$B$33,0)),IFERROR(LOOKUP(2^15,SEARCH(Settings!$I$14:$I$83,H13)/(Settings!$I$14:$I$83&lt;&gt;""),Settings!$J$14:$J$83),"Other"))))</f>
        <v/>
      </c>
      <c r="AL13">
        <f>IF($B13="","",IF(I13="","Not rostered",IFERROR(INDEX(Settings!$C$14:$C$33,MATCH(I13,Settings!$B$14:$B$33,0)),IFERROR(LOOKUP(2^15,SEARCH(Settings!$I$14:$I$83,I13)/(Settings!$I$14:$I$83&lt;&gt;""),Settings!$J$14:$J$83),"Other"))))</f>
        <v/>
      </c>
      <c r="AM13">
        <f>IF($B13="","",IF(J13="","Not rostered",IFERROR(INDEX(Settings!$C$14:$C$33,MATCH(J13,Settings!$B$14:$B$33,0)),IFERROR(LOOKUP(2^15,SEARCH(Settings!$I$14:$I$83,J13)/(Settings!$I$14:$I$83&lt;&gt;""),Settings!$J$14:$J$83),"Other"))))</f>
        <v/>
      </c>
      <c r="AN13">
        <f>IF($B13="","",IF(K13="","Not rostered",IFERROR(INDEX(Settings!$C$14:$C$33,MATCH(K13,Settings!$B$14:$B$33,0)),IFERROR(LOOKUP(2^15,SEARCH(Settings!$I$14:$I$83,K13)/(Settings!$I$14:$I$83&lt;&gt;""),Settings!$J$14:$J$83),"Other"))))</f>
        <v/>
      </c>
      <c r="AO13">
        <f>IF($B13="","",IF(L13="","Not rostered",IFERROR(INDEX(Settings!$C$14:$C$33,MATCH(L13,Settings!$B$14:$B$33,0)),IFERROR(LOOKUP(2^15,SEARCH(Settings!$I$14:$I$83,L13)/(Settings!$I$14:$I$83&lt;&gt;""),Settings!$J$14:$J$83),"Other"))))</f>
        <v/>
      </c>
      <c r="AP13">
        <f>IF($B13="","",IF(M13="","Not rostered",IFERROR(INDEX(Settings!$C$14:$C$33,MATCH(M13,Settings!$B$14:$B$33,0)),IFERROR(LOOKUP(2^15,SEARCH(Settings!$I$14:$I$83,M13)/(Settings!$I$14:$I$83&lt;&gt;""),Settings!$J$14:$J$83),"Other"))))</f>
        <v/>
      </c>
      <c r="AQ13">
        <f>IF($B13="","",IF(N13="","Not rostered",IFERROR(INDEX(Settings!$C$14:$C$33,MATCH(N13,Settings!$B$14:$B$33,0)),IFERROR(LOOKUP(2^15,SEARCH(Settings!$I$14:$I$83,N13)/(Settings!$I$14:$I$83&lt;&gt;""),Settings!$J$14:$J$83),"Other"))))</f>
        <v/>
      </c>
      <c r="AR13">
        <f>IF($B13="","",IF(O13="","Not rostered",IFERROR(INDEX(Settings!$C$14:$C$33,MATCH(O13,Settings!$B$14:$B$33,0)),IFERROR(LOOKUP(2^15,SEARCH(Settings!$I$14:$I$83,O13)/(Settings!$I$14:$I$83&lt;&gt;""),Settings!$J$14:$J$83),"Other"))))</f>
        <v/>
      </c>
      <c r="AS13">
        <f>IF($B13="","",IF(P13="","Not rostered",IFERROR(INDEX(Settings!$C$14:$C$33,MATCH(P13,Settings!$B$14:$B$33,0)),IFERROR(LOOKUP(2^15,SEARCH(Settings!$I$14:$I$83,P13)/(Settings!$I$14:$I$83&lt;&gt;""),Settings!$J$14:$J$83),"Other"))))</f>
        <v/>
      </c>
      <c r="AT13">
        <f>IF($B13="","",IF(Q13="","Not rostered",IFERROR(INDEX(Settings!$C$14:$C$33,MATCH(Q13,Settings!$B$14:$B$33,0)),IFERROR(LOOKUP(2^15,SEARCH(Settings!$I$14:$I$83,Q13)/(Settings!$I$14:$I$83&lt;&gt;""),Settings!$J$14:$J$83),"Other"))))</f>
        <v/>
      </c>
      <c r="AU13">
        <f>IF($B13="","",IF(R13="","Not rostered",IFERROR(INDEX(Settings!$C$14:$C$33,MATCH(R13,Settings!$B$14:$B$33,0)),IFERROR(LOOKUP(2^15,SEARCH(Settings!$I$14:$I$83,R13)/(Settings!$I$14:$I$83&lt;&gt;""),Settings!$J$14:$J$83),"Other"))))</f>
        <v/>
      </c>
      <c r="AV13">
        <f>IF($B13="","",IF(S13="","Not rostered",IFERROR(INDEX(Settings!$C$14:$C$33,MATCH(S13,Settings!$B$14:$B$33,0)),IFERROR(LOOKUP(2^15,SEARCH(Settings!$I$14:$I$83,S13)/(Settings!$I$14:$I$83&lt;&gt;""),Settings!$J$14:$J$83),"Other"))))</f>
        <v/>
      </c>
      <c r="AW13">
        <f>IF($B13="","",IF(T13="","Not rostered",IFERROR(INDEX(Settings!$C$14:$C$33,MATCH(T13,Settings!$B$14:$B$33,0)),IFERROR(LOOKUP(2^15,SEARCH(Settings!$I$14:$I$83,T13)/(Settings!$I$14:$I$83&lt;&gt;""),Settings!$J$14:$J$83),"Other"))))</f>
        <v/>
      </c>
      <c r="AX13">
        <f>IF($B13="","",IF(U13="","Not rostered",IFERROR(INDEX(Settings!$C$14:$C$33,MATCH(U13,Settings!$B$14:$B$33,0)),IFERROR(LOOKUP(2^15,SEARCH(Settings!$I$14:$I$83,U13)/(Settings!$I$14:$I$83&lt;&gt;""),Settings!$J$14:$J$83),"Other"))))</f>
        <v/>
      </c>
      <c r="AY13">
        <f>IF($B13="","",IF(V13="","Not rostered",IFERROR(INDEX(Settings!$C$14:$C$33,MATCH(V13,Settings!$B$14:$B$33,0)),IFERROR(LOOKUP(2^15,SEARCH(Settings!$I$14:$I$83,V13)/(Settings!$I$14:$I$83&lt;&gt;""),Settings!$J$14:$J$83),"Other"))))</f>
        <v/>
      </c>
      <c r="AZ13">
        <f>IF($B13="","",IF(W13="","Not rostered",IFERROR(INDEX(Settings!$C$14:$C$33,MATCH(W13,Settings!$B$14:$B$33,0)),IFERROR(LOOKUP(2^15,SEARCH(Settings!$I$14:$I$83,W13)/(Settings!$I$14:$I$83&lt;&gt;""),Settings!$J$14:$J$83),"Other"))))</f>
        <v/>
      </c>
      <c r="BA13">
        <f>IF($B13="","",IF(X13="","Not rostered",IFERROR(INDEX(Settings!$C$14:$C$33,MATCH(X13,Settings!$B$14:$B$33,0)),IFERROR(LOOKUP(2^15,SEARCH(Settings!$I$14:$I$83,X13)/(Settings!$I$14:$I$83&lt;&gt;""),Settings!$J$14:$J$83),"Other"))))</f>
        <v/>
      </c>
      <c r="BB13">
        <f>IF($B13="","",IF(Y13="","Not rostered",IFERROR(INDEX(Settings!$C$14:$C$33,MATCH(Y13,Settings!$B$14:$B$33,0)),IFERROR(LOOKUP(2^15,SEARCH(Settings!$I$14:$I$83,Y13)/(Settings!$I$14:$I$83&lt;&gt;""),Settings!$J$14:$J$83),"Other"))))</f>
        <v/>
      </c>
      <c r="BC13">
        <f>IF($B13="","",IF(Z13="","Not rostered",IFERROR(INDEX(Settings!$C$14:$C$33,MATCH(Z13,Settings!$B$14:$B$33,0)),IFERROR(LOOKUP(2^15,SEARCH(Settings!$I$14:$I$83,Z13)/(Settings!$I$14:$I$83&lt;&gt;""),Settings!$J$14:$J$83),"Other"))))</f>
        <v/>
      </c>
      <c r="BD13">
        <f>IF($B13="","",IF(AA13="","Not rostered",IFERROR(INDEX(Settings!$C$14:$C$33,MATCH(AA13,Settings!$B$14:$B$33,0)),IFERROR(LOOKUP(2^15,SEARCH(Settings!$I$14:$I$83,AA13)/(Settings!$I$14:$I$83&lt;&gt;""),Settings!$J$14:$J$83),"Other"))))</f>
        <v/>
      </c>
      <c r="BE13">
        <f>IF($B13="","",IF(AB13="","Not rostered",IFERROR(INDEX(Settings!$C$14:$C$33,MATCH(AB13,Settings!$B$14:$B$33,0)),IFERROR(LOOKUP(2^15,SEARCH(Settings!$I$14:$I$83,AB13)/(Settings!$I$14:$I$83&lt;&gt;""),Settings!$J$14:$J$83),"Other"))))</f>
        <v/>
      </c>
      <c r="BF13">
        <f>IF($B13="","",IF(AC13="","Not rostered",IFERROR(INDEX(Settings!$C$14:$C$33,MATCH(AC13,Settings!$B$14:$B$33,0)),IFERROR(LOOKUP(2^15,SEARCH(Settings!$I$14:$I$83,AC13)/(Settings!$I$14:$I$83&lt;&gt;""),Settings!$J$14:$J$83),"Other"))))</f>
        <v/>
      </c>
      <c r="BG13">
        <f>IF($B13="","",IF(AD13="","Not rostered",IFERROR(INDEX(Settings!$C$14:$C$33,MATCH(AD13,Settings!$B$14:$B$33,0)),IFERROR(LOOKUP(2^15,SEARCH(Settings!$I$14:$I$83,AD13)/(Settings!$I$14:$I$83&lt;&gt;""),Settings!$J$14:$J$83),"Other"))))</f>
        <v/>
      </c>
      <c r="BH13">
        <f>IF($B13="","",IF(AE13="","Not rostered",IFERROR(INDEX(Settings!$C$14:$C$33,MATCH(AE13,Settings!$B$14:$B$33,0)),IFERROR(LOOKUP(2^15,SEARCH(Settings!$I$14:$I$83,AE13)/(Settings!$I$14:$I$83&lt;&gt;""),Settings!$J$14:$J$83),"Other"))))</f>
        <v/>
      </c>
      <c r="BI13">
        <f>IF($B13="","",IF(AF13="","Not rostered",IFERROR(INDEX(Settings!$C$14:$C$33,MATCH(AF13,Settings!$B$14:$B$33,0)),IFERROR(LOOKUP(2^15,SEARCH(Settings!$I$14:$I$83,AF13)/(Settings!$I$14:$I$83&lt;&gt;""),Settings!$J$14:$J$83),"Other"))))</f>
        <v/>
      </c>
      <c r="BJ13">
        <f>IF($B13="","",IF(AG13="","Not rostered",IFERROR(INDEX(Settings!$C$14:$C$33,MATCH(AG13,Settings!$B$14:$B$33,0)),IFERROR(LOOKUP(2^15,SEARCH(Settings!$I$14:$I$83,AG13)/(Settings!$I$14:$I$83&lt;&gt;""),Settings!$J$14:$J$83),"Other"))))</f>
        <v/>
      </c>
      <c r="BL13">
        <f>IF(OR($B13="",F13=""),"",IFERROR(INDEX(Settings!$D$14:$D$33,MATCH(F13,Settings!$B$14:$B$33,0))&amp;"",IFERROR(LOOKUP(2^15,SEARCH(Settings!$F$14:$F$43,F13)/(Settings!$F$14:$F$43&lt;&gt;""),Settings!$G$14:$G$43),"")))</f>
        <v/>
      </c>
      <c r="BM13">
        <f>IF(OR($B13="",G13=""),"",IFERROR(INDEX(Settings!$D$14:$D$33,MATCH(G13,Settings!$B$14:$B$33,0))&amp;"",IFERROR(LOOKUP(2^15,SEARCH(Settings!$F$14:$F$43,G13)/(Settings!$F$14:$F$43&lt;&gt;""),Settings!$G$14:$G$43),"")))</f>
        <v/>
      </c>
      <c r="BN13">
        <f>IF(OR($B13="",H13=""),"",IFERROR(INDEX(Settings!$D$14:$D$33,MATCH(H13,Settings!$B$14:$B$33,0))&amp;"",IFERROR(LOOKUP(2^15,SEARCH(Settings!$F$14:$F$43,H13)/(Settings!$F$14:$F$43&lt;&gt;""),Settings!$G$14:$G$43),"")))</f>
        <v/>
      </c>
      <c r="BO13">
        <f>IF(OR($B13="",I13=""),"",IFERROR(INDEX(Settings!$D$14:$D$33,MATCH(I13,Settings!$B$14:$B$33,0))&amp;"",IFERROR(LOOKUP(2^15,SEARCH(Settings!$F$14:$F$43,I13)/(Settings!$F$14:$F$43&lt;&gt;""),Settings!$G$14:$G$43),"")))</f>
        <v/>
      </c>
      <c r="BP13">
        <f>IF(OR($B13="",J13=""),"",IFERROR(INDEX(Settings!$D$14:$D$33,MATCH(J13,Settings!$B$14:$B$33,0))&amp;"",IFERROR(LOOKUP(2^15,SEARCH(Settings!$F$14:$F$43,J13)/(Settings!$F$14:$F$43&lt;&gt;""),Settings!$G$14:$G$43),"")))</f>
        <v/>
      </c>
      <c r="BQ13">
        <f>IF(OR($B13="",K13=""),"",IFERROR(INDEX(Settings!$D$14:$D$33,MATCH(K13,Settings!$B$14:$B$33,0))&amp;"",IFERROR(LOOKUP(2^15,SEARCH(Settings!$F$14:$F$43,K13)/(Settings!$F$14:$F$43&lt;&gt;""),Settings!$G$14:$G$43),"")))</f>
        <v/>
      </c>
      <c r="BR13">
        <f>IF(OR($B13="",L13=""),"",IFERROR(INDEX(Settings!$D$14:$D$33,MATCH(L13,Settings!$B$14:$B$33,0))&amp;"",IFERROR(LOOKUP(2^15,SEARCH(Settings!$F$14:$F$43,L13)/(Settings!$F$14:$F$43&lt;&gt;""),Settings!$G$14:$G$43),"")))</f>
        <v/>
      </c>
      <c r="BS13">
        <f>IF(OR($B13="",M13=""),"",IFERROR(INDEX(Settings!$D$14:$D$33,MATCH(M13,Settings!$B$14:$B$33,0))&amp;"",IFERROR(LOOKUP(2^15,SEARCH(Settings!$F$14:$F$43,M13)/(Settings!$F$14:$F$43&lt;&gt;""),Settings!$G$14:$G$43),"")))</f>
        <v/>
      </c>
      <c r="BT13">
        <f>IF(OR($B13="",N13=""),"",IFERROR(INDEX(Settings!$D$14:$D$33,MATCH(N13,Settings!$B$14:$B$33,0))&amp;"",IFERROR(LOOKUP(2^15,SEARCH(Settings!$F$14:$F$43,N13)/(Settings!$F$14:$F$43&lt;&gt;""),Settings!$G$14:$G$43),"")))</f>
        <v/>
      </c>
      <c r="BU13">
        <f>IF(OR($B13="",O13=""),"",IFERROR(INDEX(Settings!$D$14:$D$33,MATCH(O13,Settings!$B$14:$B$33,0))&amp;"",IFERROR(LOOKUP(2^15,SEARCH(Settings!$F$14:$F$43,O13)/(Settings!$F$14:$F$43&lt;&gt;""),Settings!$G$14:$G$43),"")))</f>
        <v/>
      </c>
      <c r="BV13">
        <f>IF(OR($B13="",P13=""),"",IFERROR(INDEX(Settings!$D$14:$D$33,MATCH(P13,Settings!$B$14:$B$33,0))&amp;"",IFERROR(LOOKUP(2^15,SEARCH(Settings!$F$14:$F$43,P13)/(Settings!$F$14:$F$43&lt;&gt;""),Settings!$G$14:$G$43),"")))</f>
        <v/>
      </c>
      <c r="BW13">
        <f>IF(OR($B13="",Q13=""),"",IFERROR(INDEX(Settings!$D$14:$D$33,MATCH(Q13,Settings!$B$14:$B$33,0))&amp;"",IFERROR(LOOKUP(2^15,SEARCH(Settings!$F$14:$F$43,Q13)/(Settings!$F$14:$F$43&lt;&gt;""),Settings!$G$14:$G$43),"")))</f>
        <v/>
      </c>
      <c r="BX13">
        <f>IF(OR($B13="",R13=""),"",IFERROR(INDEX(Settings!$D$14:$D$33,MATCH(R13,Settings!$B$14:$B$33,0))&amp;"",IFERROR(LOOKUP(2^15,SEARCH(Settings!$F$14:$F$43,R13)/(Settings!$F$14:$F$43&lt;&gt;""),Settings!$G$14:$G$43),"")))</f>
        <v/>
      </c>
      <c r="BY13">
        <f>IF(OR($B13="",S13=""),"",IFERROR(INDEX(Settings!$D$14:$D$33,MATCH(S13,Settings!$B$14:$B$33,0))&amp;"",IFERROR(LOOKUP(2^15,SEARCH(Settings!$F$14:$F$43,S13)/(Settings!$F$14:$F$43&lt;&gt;""),Settings!$G$14:$G$43),"")))</f>
        <v/>
      </c>
      <c r="BZ13">
        <f>IF(OR($B13="",T13=""),"",IFERROR(INDEX(Settings!$D$14:$D$33,MATCH(T13,Settings!$B$14:$B$33,0))&amp;"",IFERROR(LOOKUP(2^15,SEARCH(Settings!$F$14:$F$43,T13)/(Settings!$F$14:$F$43&lt;&gt;""),Settings!$G$14:$G$43),"")))</f>
        <v/>
      </c>
      <c r="CA13">
        <f>IF(OR($B13="",U13=""),"",IFERROR(INDEX(Settings!$D$14:$D$33,MATCH(U13,Settings!$B$14:$B$33,0))&amp;"",IFERROR(LOOKUP(2^15,SEARCH(Settings!$F$14:$F$43,U13)/(Settings!$F$14:$F$43&lt;&gt;""),Settings!$G$14:$G$43),"")))</f>
        <v/>
      </c>
      <c r="CB13">
        <f>IF(OR($B13="",V13=""),"",IFERROR(INDEX(Settings!$D$14:$D$33,MATCH(V13,Settings!$B$14:$B$33,0))&amp;"",IFERROR(LOOKUP(2^15,SEARCH(Settings!$F$14:$F$43,V13)/(Settings!$F$14:$F$43&lt;&gt;""),Settings!$G$14:$G$43),"")))</f>
        <v/>
      </c>
      <c r="CC13">
        <f>IF(OR($B13="",W13=""),"",IFERROR(INDEX(Settings!$D$14:$D$33,MATCH(W13,Settings!$B$14:$B$33,0))&amp;"",IFERROR(LOOKUP(2^15,SEARCH(Settings!$F$14:$F$43,W13)/(Settings!$F$14:$F$43&lt;&gt;""),Settings!$G$14:$G$43),"")))</f>
        <v/>
      </c>
      <c r="CD13">
        <f>IF(OR($B13="",X13=""),"",IFERROR(INDEX(Settings!$D$14:$D$33,MATCH(X13,Settings!$B$14:$B$33,0))&amp;"",IFERROR(LOOKUP(2^15,SEARCH(Settings!$F$14:$F$43,X13)/(Settings!$F$14:$F$43&lt;&gt;""),Settings!$G$14:$G$43),"")))</f>
        <v/>
      </c>
      <c r="CE13">
        <f>IF(OR($B13="",Y13=""),"",IFERROR(INDEX(Settings!$D$14:$D$33,MATCH(Y13,Settings!$B$14:$B$33,0))&amp;"",IFERROR(LOOKUP(2^15,SEARCH(Settings!$F$14:$F$43,Y13)/(Settings!$F$14:$F$43&lt;&gt;""),Settings!$G$14:$G$43),"")))</f>
        <v/>
      </c>
      <c r="CF13">
        <f>IF(OR($B13="",Z13=""),"",IFERROR(INDEX(Settings!$D$14:$D$33,MATCH(Z13,Settings!$B$14:$B$33,0))&amp;"",IFERROR(LOOKUP(2^15,SEARCH(Settings!$F$14:$F$43,Z13)/(Settings!$F$14:$F$43&lt;&gt;""),Settings!$G$14:$G$43),"")))</f>
        <v/>
      </c>
      <c r="CG13">
        <f>IF(OR($B13="",AA13=""),"",IFERROR(INDEX(Settings!$D$14:$D$33,MATCH(AA13,Settings!$B$14:$B$33,0))&amp;"",IFERROR(LOOKUP(2^15,SEARCH(Settings!$F$14:$F$43,AA13)/(Settings!$F$14:$F$43&lt;&gt;""),Settings!$G$14:$G$43),"")))</f>
        <v/>
      </c>
      <c r="CH13">
        <f>IF(OR($B13="",AB13=""),"",IFERROR(INDEX(Settings!$D$14:$D$33,MATCH(AB13,Settings!$B$14:$B$33,0))&amp;"",IFERROR(LOOKUP(2^15,SEARCH(Settings!$F$14:$F$43,AB13)/(Settings!$F$14:$F$43&lt;&gt;""),Settings!$G$14:$G$43),"")))</f>
        <v/>
      </c>
      <c r="CI13">
        <f>IF(OR($B13="",AC13=""),"",IFERROR(INDEX(Settings!$D$14:$D$33,MATCH(AC13,Settings!$B$14:$B$33,0))&amp;"",IFERROR(LOOKUP(2^15,SEARCH(Settings!$F$14:$F$43,AC13)/(Settings!$F$14:$F$43&lt;&gt;""),Settings!$G$14:$G$43),"")))</f>
        <v/>
      </c>
      <c r="CJ13">
        <f>IF(OR($B13="",AD13=""),"",IFERROR(INDEX(Settings!$D$14:$D$33,MATCH(AD13,Settings!$B$14:$B$33,0))&amp;"",IFERROR(LOOKUP(2^15,SEARCH(Settings!$F$14:$F$43,AD13)/(Settings!$F$14:$F$43&lt;&gt;""),Settings!$G$14:$G$43),"")))</f>
        <v/>
      </c>
      <c r="CK13">
        <f>IF(OR($B13="",AE13=""),"",IFERROR(INDEX(Settings!$D$14:$D$33,MATCH(AE13,Settings!$B$14:$B$33,0))&amp;"",IFERROR(LOOKUP(2^15,SEARCH(Settings!$F$14:$F$43,AE13)/(Settings!$F$14:$F$43&lt;&gt;""),Settings!$G$14:$G$43),"")))</f>
        <v/>
      </c>
      <c r="CL13">
        <f>IF(OR($B13="",AF13=""),"",IFERROR(INDEX(Settings!$D$14:$D$33,MATCH(AF13,Settings!$B$14:$B$33,0))&amp;"",IFERROR(LOOKUP(2^15,SEARCH(Settings!$F$14:$F$43,AF13)/(Settings!$F$14:$F$43&lt;&gt;""),Settings!$G$14:$G$43),"")))</f>
        <v/>
      </c>
      <c r="CM13">
        <f>IF(OR($B13="",AG13=""),"",IFERROR(INDEX(Settings!$D$14:$D$33,MATCH(AG13,Settings!$B$14:$B$33,0))&amp;"",IFERROR(LOOKUP(2^15,SEARCH(Settings!$F$14:$F$43,AG13)/(Settings!$F$14:$F$43&lt;&gt;""),Settings!$G$14:$G$43),"")))</f>
        <v/>
      </c>
    </row>
    <row r="14">
      <c r="A14" t="n">
        <v>12</v>
      </c>
      <c r="B14">
        <f>IFERROR(INDEX(Index!$A$2:$A$202,MATCH(A14,Index!$E$2:$E$202,0)),"")</f>
        <v/>
      </c>
      <c r="D14">
        <f>IF($B14="","",IFERROR(MATCH("Travel*",AI14:BJ14,0),""))</f>
        <v/>
      </c>
      <c r="F14">
        <f>IF(OR($B14="",NOT(ISNUMBER(Settings!$C$9))),"",TRIM(SUBSTITUTE(SUBSTITUTE(INDEX('INPUT - Roster'!$S$1:$SV$206,$B14,Settings!$C$9+0)&amp;"",CHAR(10)," "),CHAR(160)," ")))</f>
        <v/>
      </c>
      <c r="G14">
        <f>IF(OR($B14="",NOT(ISNUMBER(Settings!$C$9))),"",TRIM(SUBSTITUTE(SUBSTITUTE(INDEX('INPUT - Roster'!$S$1:$SV$206,$B14,Settings!$C$9+1)&amp;"",CHAR(10)," "),CHAR(160)," ")))</f>
        <v/>
      </c>
      <c r="H14">
        <f>IF(OR($B14="",NOT(ISNUMBER(Settings!$C$9))),"",TRIM(SUBSTITUTE(SUBSTITUTE(INDEX('INPUT - Roster'!$S$1:$SV$206,$B14,Settings!$C$9+2)&amp;"",CHAR(10)," "),CHAR(160)," ")))</f>
        <v/>
      </c>
      <c r="I14">
        <f>IF(OR($B14="",NOT(ISNUMBER(Settings!$C$9))),"",TRIM(SUBSTITUTE(SUBSTITUTE(INDEX('INPUT - Roster'!$S$1:$SV$206,$B14,Settings!$C$9+3)&amp;"",CHAR(10)," "),CHAR(160)," ")))</f>
        <v/>
      </c>
      <c r="J14">
        <f>IF(OR($B14="",NOT(ISNUMBER(Settings!$C$9))),"",TRIM(SUBSTITUTE(SUBSTITUTE(INDEX('INPUT - Roster'!$S$1:$SV$206,$B14,Settings!$C$9+4)&amp;"",CHAR(10)," "),CHAR(160)," ")))</f>
        <v/>
      </c>
      <c r="K14">
        <f>IF(OR($B14="",NOT(ISNUMBER(Settings!$C$9))),"",TRIM(SUBSTITUTE(SUBSTITUTE(INDEX('INPUT - Roster'!$S$1:$SV$206,$B14,Settings!$C$9+5)&amp;"",CHAR(10)," "),CHAR(160)," ")))</f>
        <v/>
      </c>
      <c r="L14">
        <f>IF(OR($B14="",NOT(ISNUMBER(Settings!$C$9))),"",TRIM(SUBSTITUTE(SUBSTITUTE(INDEX('INPUT - Roster'!$S$1:$SV$206,$B14,Settings!$C$9+6)&amp;"",CHAR(10)," "),CHAR(160)," ")))</f>
        <v/>
      </c>
      <c r="M14">
        <f>IF(OR($B14="",NOT(ISNUMBER(Settings!$C$9))),"",TRIM(SUBSTITUTE(SUBSTITUTE(INDEX('INPUT - Roster'!$S$1:$SV$206,$B14,Settings!$C$9+7)&amp;"",CHAR(10)," "),CHAR(160)," ")))</f>
        <v/>
      </c>
      <c r="N14">
        <f>IF(OR($B14="",NOT(ISNUMBER(Settings!$C$9))),"",TRIM(SUBSTITUTE(SUBSTITUTE(INDEX('INPUT - Roster'!$S$1:$SV$206,$B14,Settings!$C$9+8)&amp;"",CHAR(10)," "),CHAR(160)," ")))</f>
        <v/>
      </c>
      <c r="O14">
        <f>IF(OR($B14="",NOT(ISNUMBER(Settings!$C$9))),"",TRIM(SUBSTITUTE(SUBSTITUTE(INDEX('INPUT - Roster'!$S$1:$SV$206,$B14,Settings!$C$9+9)&amp;"",CHAR(10)," "),CHAR(160)," ")))</f>
        <v/>
      </c>
      <c r="P14">
        <f>IF(OR($B14="",NOT(ISNUMBER(Settings!$C$9))),"",TRIM(SUBSTITUTE(SUBSTITUTE(INDEX('INPUT - Roster'!$S$1:$SV$206,$B14,Settings!$C$9+10)&amp;"",CHAR(10)," "),CHAR(160)," ")))</f>
        <v/>
      </c>
      <c r="Q14">
        <f>IF(OR($B14="",NOT(ISNUMBER(Settings!$C$9))),"",TRIM(SUBSTITUTE(SUBSTITUTE(INDEX('INPUT - Roster'!$S$1:$SV$206,$B14,Settings!$C$9+11)&amp;"",CHAR(10)," "),CHAR(160)," ")))</f>
        <v/>
      </c>
      <c r="R14">
        <f>IF(OR($B14="",NOT(ISNUMBER(Settings!$C$9))),"",TRIM(SUBSTITUTE(SUBSTITUTE(INDEX('INPUT - Roster'!$S$1:$SV$206,$B14,Settings!$C$9+12)&amp;"",CHAR(10)," "),CHAR(160)," ")))</f>
        <v/>
      </c>
      <c r="S14">
        <f>IF(OR($B14="",NOT(ISNUMBER(Settings!$C$9))),"",TRIM(SUBSTITUTE(SUBSTITUTE(INDEX('INPUT - Roster'!$S$1:$SV$206,$B14,Settings!$C$9+13)&amp;"",CHAR(10)," "),CHAR(160)," ")))</f>
        <v/>
      </c>
      <c r="T14">
        <f>IF(OR($B14="",NOT(ISNUMBER(Settings!$C$9))),"",TRIM(SUBSTITUTE(SUBSTITUTE(INDEX('INPUT - Roster'!$S$1:$SV$206,$B14,Settings!$C$9+14)&amp;"",CHAR(10)," "),CHAR(160)," ")))</f>
        <v/>
      </c>
      <c r="U14">
        <f>IF(OR($B14="",NOT(ISNUMBER(Settings!$C$9))),"",TRIM(SUBSTITUTE(SUBSTITUTE(INDEX('INPUT - Roster'!$S$1:$SV$206,$B14,Settings!$C$9+15)&amp;"",CHAR(10)," "),CHAR(160)," ")))</f>
        <v/>
      </c>
      <c r="V14">
        <f>IF(OR($B14="",NOT(ISNUMBER(Settings!$C$9))),"",TRIM(SUBSTITUTE(SUBSTITUTE(INDEX('INPUT - Roster'!$S$1:$SV$206,$B14,Settings!$C$9+16)&amp;"",CHAR(10)," "),CHAR(160)," ")))</f>
        <v/>
      </c>
      <c r="W14">
        <f>IF(OR($B14="",NOT(ISNUMBER(Settings!$C$9))),"",TRIM(SUBSTITUTE(SUBSTITUTE(INDEX('INPUT - Roster'!$S$1:$SV$206,$B14,Settings!$C$9+17)&amp;"",CHAR(10)," "),CHAR(160)," ")))</f>
        <v/>
      </c>
      <c r="X14">
        <f>IF(OR($B14="",NOT(ISNUMBER(Settings!$C$9))),"",TRIM(SUBSTITUTE(SUBSTITUTE(INDEX('INPUT - Roster'!$S$1:$SV$206,$B14,Settings!$C$9+18)&amp;"",CHAR(10)," "),CHAR(160)," ")))</f>
        <v/>
      </c>
      <c r="Y14">
        <f>IF(OR($B14="",NOT(ISNUMBER(Settings!$C$9))),"",TRIM(SUBSTITUTE(SUBSTITUTE(INDEX('INPUT - Roster'!$S$1:$SV$206,$B14,Settings!$C$9+19)&amp;"",CHAR(10)," "),CHAR(160)," ")))</f>
        <v/>
      </c>
      <c r="Z14">
        <f>IF(OR($B14="",NOT(ISNUMBER(Settings!$C$9))),"",TRIM(SUBSTITUTE(SUBSTITUTE(INDEX('INPUT - Roster'!$S$1:$SV$206,$B14,Settings!$C$9+20)&amp;"",CHAR(10)," "),CHAR(160)," ")))</f>
        <v/>
      </c>
      <c r="AA14">
        <f>IF(OR($B14="",NOT(ISNUMBER(Settings!$C$9))),"",TRIM(SUBSTITUTE(SUBSTITUTE(INDEX('INPUT - Roster'!$S$1:$SV$206,$B14,Settings!$C$9+21)&amp;"",CHAR(10)," "),CHAR(160)," ")))</f>
        <v/>
      </c>
      <c r="AB14">
        <f>IF(OR($B14="",NOT(ISNUMBER(Settings!$C$9))),"",TRIM(SUBSTITUTE(SUBSTITUTE(INDEX('INPUT - Roster'!$S$1:$SV$206,$B14,Settings!$C$9+22)&amp;"",CHAR(10)," "),CHAR(160)," ")))</f>
        <v/>
      </c>
      <c r="AC14">
        <f>IF(OR($B14="",NOT(ISNUMBER(Settings!$C$9))),"",TRIM(SUBSTITUTE(SUBSTITUTE(INDEX('INPUT - Roster'!$S$1:$SV$206,$B14,Settings!$C$9+23)&amp;"",CHAR(10)," "),CHAR(160)," ")))</f>
        <v/>
      </c>
      <c r="AD14">
        <f>IF(OR($B14="",NOT(ISNUMBER(Settings!$C$9))),"",TRIM(SUBSTITUTE(SUBSTITUTE(INDEX('INPUT - Roster'!$S$1:$SV$206,$B14,Settings!$C$9+24)&amp;"",CHAR(10)," "),CHAR(160)," ")))</f>
        <v/>
      </c>
      <c r="AE14">
        <f>IF(OR($B14="",NOT(ISNUMBER(Settings!$C$9))),"",TRIM(SUBSTITUTE(SUBSTITUTE(INDEX('INPUT - Roster'!$S$1:$SV$206,$B14,Settings!$C$9+25)&amp;"",CHAR(10)," "),CHAR(160)," ")))</f>
        <v/>
      </c>
      <c r="AF14">
        <f>IF(OR($B14="",NOT(ISNUMBER(Settings!$C$9))),"",TRIM(SUBSTITUTE(SUBSTITUTE(INDEX('INPUT - Roster'!$S$1:$SV$206,$B14,Settings!$C$9+26)&amp;"",CHAR(10)," "),CHAR(160)," ")))</f>
        <v/>
      </c>
      <c r="AG14">
        <f>IF(OR($B14="",NOT(ISNUMBER(Settings!$C$9))),"",TRIM(SUBSTITUTE(SUBSTITUTE(INDEX('INPUT - Roster'!$S$1:$SV$206,$B14,Settings!$C$9+27)&amp;"",CHAR(10)," "),CHAR(160)," ")))</f>
        <v/>
      </c>
      <c r="AI14">
        <f>IF($B14="","",IF(F14="","Not rostered",IFERROR(INDEX(Settings!$C$14:$C$33,MATCH(F14,Settings!$B$14:$B$33,0)),IFERROR(LOOKUP(2^15,SEARCH(Settings!$I$14:$I$83,F14)/(Settings!$I$14:$I$83&lt;&gt;""),Settings!$J$14:$J$83),"Other"))))</f>
        <v/>
      </c>
      <c r="AJ14">
        <f>IF($B14="","",IF(G14="","Not rostered",IFERROR(INDEX(Settings!$C$14:$C$33,MATCH(G14,Settings!$B$14:$B$33,0)),IFERROR(LOOKUP(2^15,SEARCH(Settings!$I$14:$I$83,G14)/(Settings!$I$14:$I$83&lt;&gt;""),Settings!$J$14:$J$83),"Other"))))</f>
        <v/>
      </c>
      <c r="AK14">
        <f>IF($B14="","",IF(H14="","Not rostered",IFERROR(INDEX(Settings!$C$14:$C$33,MATCH(H14,Settings!$B$14:$B$33,0)),IFERROR(LOOKUP(2^15,SEARCH(Settings!$I$14:$I$83,H14)/(Settings!$I$14:$I$83&lt;&gt;""),Settings!$J$14:$J$83),"Other"))))</f>
        <v/>
      </c>
      <c r="AL14">
        <f>IF($B14="","",IF(I14="","Not rostered",IFERROR(INDEX(Settings!$C$14:$C$33,MATCH(I14,Settings!$B$14:$B$33,0)),IFERROR(LOOKUP(2^15,SEARCH(Settings!$I$14:$I$83,I14)/(Settings!$I$14:$I$83&lt;&gt;""),Settings!$J$14:$J$83),"Other"))))</f>
        <v/>
      </c>
      <c r="AM14">
        <f>IF($B14="","",IF(J14="","Not rostered",IFERROR(INDEX(Settings!$C$14:$C$33,MATCH(J14,Settings!$B$14:$B$33,0)),IFERROR(LOOKUP(2^15,SEARCH(Settings!$I$14:$I$83,J14)/(Settings!$I$14:$I$83&lt;&gt;""),Settings!$J$14:$J$83),"Other"))))</f>
        <v/>
      </c>
      <c r="AN14">
        <f>IF($B14="","",IF(K14="","Not rostered",IFERROR(INDEX(Settings!$C$14:$C$33,MATCH(K14,Settings!$B$14:$B$33,0)),IFERROR(LOOKUP(2^15,SEARCH(Settings!$I$14:$I$83,K14)/(Settings!$I$14:$I$83&lt;&gt;""),Settings!$J$14:$J$83),"Other"))))</f>
        <v/>
      </c>
      <c r="AO14">
        <f>IF($B14="","",IF(L14="","Not rostered",IFERROR(INDEX(Settings!$C$14:$C$33,MATCH(L14,Settings!$B$14:$B$33,0)),IFERROR(LOOKUP(2^15,SEARCH(Settings!$I$14:$I$83,L14)/(Settings!$I$14:$I$83&lt;&gt;""),Settings!$J$14:$J$83),"Other"))))</f>
        <v/>
      </c>
      <c r="AP14">
        <f>IF($B14="","",IF(M14="","Not rostered",IFERROR(INDEX(Settings!$C$14:$C$33,MATCH(M14,Settings!$B$14:$B$33,0)),IFERROR(LOOKUP(2^15,SEARCH(Settings!$I$14:$I$83,M14)/(Settings!$I$14:$I$83&lt;&gt;""),Settings!$J$14:$J$83),"Other"))))</f>
        <v/>
      </c>
      <c r="AQ14">
        <f>IF($B14="","",IF(N14="","Not rostered",IFERROR(INDEX(Settings!$C$14:$C$33,MATCH(N14,Settings!$B$14:$B$33,0)),IFERROR(LOOKUP(2^15,SEARCH(Settings!$I$14:$I$83,N14)/(Settings!$I$14:$I$83&lt;&gt;""),Settings!$J$14:$J$83),"Other"))))</f>
        <v/>
      </c>
      <c r="AR14">
        <f>IF($B14="","",IF(O14="","Not rostered",IFERROR(INDEX(Settings!$C$14:$C$33,MATCH(O14,Settings!$B$14:$B$33,0)),IFERROR(LOOKUP(2^15,SEARCH(Settings!$I$14:$I$83,O14)/(Settings!$I$14:$I$83&lt;&gt;""),Settings!$J$14:$J$83),"Other"))))</f>
        <v/>
      </c>
      <c r="AS14">
        <f>IF($B14="","",IF(P14="","Not rostered",IFERROR(INDEX(Settings!$C$14:$C$33,MATCH(P14,Settings!$B$14:$B$33,0)),IFERROR(LOOKUP(2^15,SEARCH(Settings!$I$14:$I$83,P14)/(Settings!$I$14:$I$83&lt;&gt;""),Settings!$J$14:$J$83),"Other"))))</f>
        <v/>
      </c>
      <c r="AT14">
        <f>IF($B14="","",IF(Q14="","Not rostered",IFERROR(INDEX(Settings!$C$14:$C$33,MATCH(Q14,Settings!$B$14:$B$33,0)),IFERROR(LOOKUP(2^15,SEARCH(Settings!$I$14:$I$83,Q14)/(Settings!$I$14:$I$83&lt;&gt;""),Settings!$J$14:$J$83),"Other"))))</f>
        <v/>
      </c>
      <c r="AU14">
        <f>IF($B14="","",IF(R14="","Not rostered",IFERROR(INDEX(Settings!$C$14:$C$33,MATCH(R14,Settings!$B$14:$B$33,0)),IFERROR(LOOKUP(2^15,SEARCH(Settings!$I$14:$I$83,R14)/(Settings!$I$14:$I$83&lt;&gt;""),Settings!$J$14:$J$83),"Other"))))</f>
        <v/>
      </c>
      <c r="AV14">
        <f>IF($B14="","",IF(S14="","Not rostered",IFERROR(INDEX(Settings!$C$14:$C$33,MATCH(S14,Settings!$B$14:$B$33,0)),IFERROR(LOOKUP(2^15,SEARCH(Settings!$I$14:$I$83,S14)/(Settings!$I$14:$I$83&lt;&gt;""),Settings!$J$14:$J$83),"Other"))))</f>
        <v/>
      </c>
      <c r="AW14">
        <f>IF($B14="","",IF(T14="","Not rostered",IFERROR(INDEX(Settings!$C$14:$C$33,MATCH(T14,Settings!$B$14:$B$33,0)),IFERROR(LOOKUP(2^15,SEARCH(Settings!$I$14:$I$83,T14)/(Settings!$I$14:$I$83&lt;&gt;""),Settings!$J$14:$J$83),"Other"))))</f>
        <v/>
      </c>
      <c r="AX14">
        <f>IF($B14="","",IF(U14="","Not rostered",IFERROR(INDEX(Settings!$C$14:$C$33,MATCH(U14,Settings!$B$14:$B$33,0)),IFERROR(LOOKUP(2^15,SEARCH(Settings!$I$14:$I$83,U14)/(Settings!$I$14:$I$83&lt;&gt;""),Settings!$J$14:$J$83),"Other"))))</f>
        <v/>
      </c>
      <c r="AY14">
        <f>IF($B14="","",IF(V14="","Not rostered",IFERROR(INDEX(Settings!$C$14:$C$33,MATCH(V14,Settings!$B$14:$B$33,0)),IFERROR(LOOKUP(2^15,SEARCH(Settings!$I$14:$I$83,V14)/(Settings!$I$14:$I$83&lt;&gt;""),Settings!$J$14:$J$83),"Other"))))</f>
        <v/>
      </c>
      <c r="AZ14">
        <f>IF($B14="","",IF(W14="","Not rostered",IFERROR(INDEX(Settings!$C$14:$C$33,MATCH(W14,Settings!$B$14:$B$33,0)),IFERROR(LOOKUP(2^15,SEARCH(Settings!$I$14:$I$83,W14)/(Settings!$I$14:$I$83&lt;&gt;""),Settings!$J$14:$J$83),"Other"))))</f>
        <v/>
      </c>
      <c r="BA14">
        <f>IF($B14="","",IF(X14="","Not rostered",IFERROR(INDEX(Settings!$C$14:$C$33,MATCH(X14,Settings!$B$14:$B$33,0)),IFERROR(LOOKUP(2^15,SEARCH(Settings!$I$14:$I$83,X14)/(Settings!$I$14:$I$83&lt;&gt;""),Settings!$J$14:$J$83),"Other"))))</f>
        <v/>
      </c>
      <c r="BB14">
        <f>IF($B14="","",IF(Y14="","Not rostered",IFERROR(INDEX(Settings!$C$14:$C$33,MATCH(Y14,Settings!$B$14:$B$33,0)),IFERROR(LOOKUP(2^15,SEARCH(Settings!$I$14:$I$83,Y14)/(Settings!$I$14:$I$83&lt;&gt;""),Settings!$J$14:$J$83),"Other"))))</f>
        <v/>
      </c>
      <c r="BC14">
        <f>IF($B14="","",IF(Z14="","Not rostered",IFERROR(INDEX(Settings!$C$14:$C$33,MATCH(Z14,Settings!$B$14:$B$33,0)),IFERROR(LOOKUP(2^15,SEARCH(Settings!$I$14:$I$83,Z14)/(Settings!$I$14:$I$83&lt;&gt;""),Settings!$J$14:$J$83),"Other"))))</f>
        <v/>
      </c>
      <c r="BD14">
        <f>IF($B14="","",IF(AA14="","Not rostered",IFERROR(INDEX(Settings!$C$14:$C$33,MATCH(AA14,Settings!$B$14:$B$33,0)),IFERROR(LOOKUP(2^15,SEARCH(Settings!$I$14:$I$83,AA14)/(Settings!$I$14:$I$83&lt;&gt;""),Settings!$J$14:$J$83),"Other"))))</f>
        <v/>
      </c>
      <c r="BE14">
        <f>IF($B14="","",IF(AB14="","Not rostered",IFERROR(INDEX(Settings!$C$14:$C$33,MATCH(AB14,Settings!$B$14:$B$33,0)),IFERROR(LOOKUP(2^15,SEARCH(Settings!$I$14:$I$83,AB14)/(Settings!$I$14:$I$83&lt;&gt;""),Settings!$J$14:$J$83),"Other"))))</f>
        <v/>
      </c>
      <c r="BF14">
        <f>IF($B14="","",IF(AC14="","Not rostered",IFERROR(INDEX(Settings!$C$14:$C$33,MATCH(AC14,Settings!$B$14:$B$33,0)),IFERROR(LOOKUP(2^15,SEARCH(Settings!$I$14:$I$83,AC14)/(Settings!$I$14:$I$83&lt;&gt;""),Settings!$J$14:$J$83),"Other"))))</f>
        <v/>
      </c>
      <c r="BG14">
        <f>IF($B14="","",IF(AD14="","Not rostered",IFERROR(INDEX(Settings!$C$14:$C$33,MATCH(AD14,Settings!$B$14:$B$33,0)),IFERROR(LOOKUP(2^15,SEARCH(Settings!$I$14:$I$83,AD14)/(Settings!$I$14:$I$83&lt;&gt;""),Settings!$J$14:$J$83),"Other"))))</f>
        <v/>
      </c>
      <c r="BH14">
        <f>IF($B14="","",IF(AE14="","Not rostered",IFERROR(INDEX(Settings!$C$14:$C$33,MATCH(AE14,Settings!$B$14:$B$33,0)),IFERROR(LOOKUP(2^15,SEARCH(Settings!$I$14:$I$83,AE14)/(Settings!$I$14:$I$83&lt;&gt;""),Settings!$J$14:$J$83),"Other"))))</f>
        <v/>
      </c>
      <c r="BI14">
        <f>IF($B14="","",IF(AF14="","Not rostered",IFERROR(INDEX(Settings!$C$14:$C$33,MATCH(AF14,Settings!$B$14:$B$33,0)),IFERROR(LOOKUP(2^15,SEARCH(Settings!$I$14:$I$83,AF14)/(Settings!$I$14:$I$83&lt;&gt;""),Settings!$J$14:$J$83),"Other"))))</f>
        <v/>
      </c>
      <c r="BJ14">
        <f>IF($B14="","",IF(AG14="","Not rostered",IFERROR(INDEX(Settings!$C$14:$C$33,MATCH(AG14,Settings!$B$14:$B$33,0)),IFERROR(LOOKUP(2^15,SEARCH(Settings!$I$14:$I$83,AG14)/(Settings!$I$14:$I$83&lt;&gt;""),Settings!$J$14:$J$83),"Other"))))</f>
        <v/>
      </c>
      <c r="BL14">
        <f>IF(OR($B14="",F14=""),"",IFERROR(INDEX(Settings!$D$14:$D$33,MATCH(F14,Settings!$B$14:$B$33,0))&amp;"",IFERROR(LOOKUP(2^15,SEARCH(Settings!$F$14:$F$43,F14)/(Settings!$F$14:$F$43&lt;&gt;""),Settings!$G$14:$G$43),"")))</f>
        <v/>
      </c>
      <c r="BM14">
        <f>IF(OR($B14="",G14=""),"",IFERROR(INDEX(Settings!$D$14:$D$33,MATCH(G14,Settings!$B$14:$B$33,0))&amp;"",IFERROR(LOOKUP(2^15,SEARCH(Settings!$F$14:$F$43,G14)/(Settings!$F$14:$F$43&lt;&gt;""),Settings!$G$14:$G$43),"")))</f>
        <v/>
      </c>
      <c r="BN14">
        <f>IF(OR($B14="",H14=""),"",IFERROR(INDEX(Settings!$D$14:$D$33,MATCH(H14,Settings!$B$14:$B$33,0))&amp;"",IFERROR(LOOKUP(2^15,SEARCH(Settings!$F$14:$F$43,H14)/(Settings!$F$14:$F$43&lt;&gt;""),Settings!$G$14:$G$43),"")))</f>
        <v/>
      </c>
      <c r="BO14">
        <f>IF(OR($B14="",I14=""),"",IFERROR(INDEX(Settings!$D$14:$D$33,MATCH(I14,Settings!$B$14:$B$33,0))&amp;"",IFERROR(LOOKUP(2^15,SEARCH(Settings!$F$14:$F$43,I14)/(Settings!$F$14:$F$43&lt;&gt;""),Settings!$G$14:$G$43),"")))</f>
        <v/>
      </c>
      <c r="BP14">
        <f>IF(OR($B14="",J14=""),"",IFERROR(INDEX(Settings!$D$14:$D$33,MATCH(J14,Settings!$B$14:$B$33,0))&amp;"",IFERROR(LOOKUP(2^15,SEARCH(Settings!$F$14:$F$43,J14)/(Settings!$F$14:$F$43&lt;&gt;""),Settings!$G$14:$G$43),"")))</f>
        <v/>
      </c>
      <c r="BQ14">
        <f>IF(OR($B14="",K14=""),"",IFERROR(INDEX(Settings!$D$14:$D$33,MATCH(K14,Settings!$B$14:$B$33,0))&amp;"",IFERROR(LOOKUP(2^15,SEARCH(Settings!$F$14:$F$43,K14)/(Settings!$F$14:$F$43&lt;&gt;""),Settings!$G$14:$G$43),"")))</f>
        <v/>
      </c>
      <c r="BR14">
        <f>IF(OR($B14="",L14=""),"",IFERROR(INDEX(Settings!$D$14:$D$33,MATCH(L14,Settings!$B$14:$B$33,0))&amp;"",IFERROR(LOOKUP(2^15,SEARCH(Settings!$F$14:$F$43,L14)/(Settings!$F$14:$F$43&lt;&gt;""),Settings!$G$14:$G$43),"")))</f>
        <v/>
      </c>
      <c r="BS14">
        <f>IF(OR($B14="",M14=""),"",IFERROR(INDEX(Settings!$D$14:$D$33,MATCH(M14,Settings!$B$14:$B$33,0))&amp;"",IFERROR(LOOKUP(2^15,SEARCH(Settings!$F$14:$F$43,M14)/(Settings!$F$14:$F$43&lt;&gt;""),Settings!$G$14:$G$43),"")))</f>
        <v/>
      </c>
      <c r="BT14">
        <f>IF(OR($B14="",N14=""),"",IFERROR(INDEX(Settings!$D$14:$D$33,MATCH(N14,Settings!$B$14:$B$33,0))&amp;"",IFERROR(LOOKUP(2^15,SEARCH(Settings!$F$14:$F$43,N14)/(Settings!$F$14:$F$43&lt;&gt;""),Settings!$G$14:$G$43),"")))</f>
        <v/>
      </c>
      <c r="BU14">
        <f>IF(OR($B14="",O14=""),"",IFERROR(INDEX(Settings!$D$14:$D$33,MATCH(O14,Settings!$B$14:$B$33,0))&amp;"",IFERROR(LOOKUP(2^15,SEARCH(Settings!$F$14:$F$43,O14)/(Settings!$F$14:$F$43&lt;&gt;""),Settings!$G$14:$G$43),"")))</f>
        <v/>
      </c>
      <c r="BV14">
        <f>IF(OR($B14="",P14=""),"",IFERROR(INDEX(Settings!$D$14:$D$33,MATCH(P14,Settings!$B$14:$B$33,0))&amp;"",IFERROR(LOOKUP(2^15,SEARCH(Settings!$F$14:$F$43,P14)/(Settings!$F$14:$F$43&lt;&gt;""),Settings!$G$14:$G$43),"")))</f>
        <v/>
      </c>
      <c r="BW14">
        <f>IF(OR($B14="",Q14=""),"",IFERROR(INDEX(Settings!$D$14:$D$33,MATCH(Q14,Settings!$B$14:$B$33,0))&amp;"",IFERROR(LOOKUP(2^15,SEARCH(Settings!$F$14:$F$43,Q14)/(Settings!$F$14:$F$43&lt;&gt;""),Settings!$G$14:$G$43),"")))</f>
        <v/>
      </c>
      <c r="BX14">
        <f>IF(OR($B14="",R14=""),"",IFERROR(INDEX(Settings!$D$14:$D$33,MATCH(R14,Settings!$B$14:$B$33,0))&amp;"",IFERROR(LOOKUP(2^15,SEARCH(Settings!$F$14:$F$43,R14)/(Settings!$F$14:$F$43&lt;&gt;""),Settings!$G$14:$G$43),"")))</f>
        <v/>
      </c>
      <c r="BY14">
        <f>IF(OR($B14="",S14=""),"",IFERROR(INDEX(Settings!$D$14:$D$33,MATCH(S14,Settings!$B$14:$B$33,0))&amp;"",IFERROR(LOOKUP(2^15,SEARCH(Settings!$F$14:$F$43,S14)/(Settings!$F$14:$F$43&lt;&gt;""),Settings!$G$14:$G$43),"")))</f>
        <v/>
      </c>
      <c r="BZ14">
        <f>IF(OR($B14="",T14=""),"",IFERROR(INDEX(Settings!$D$14:$D$33,MATCH(T14,Settings!$B$14:$B$33,0))&amp;"",IFERROR(LOOKUP(2^15,SEARCH(Settings!$F$14:$F$43,T14)/(Settings!$F$14:$F$43&lt;&gt;""),Settings!$G$14:$G$43),"")))</f>
        <v/>
      </c>
      <c r="CA14">
        <f>IF(OR($B14="",U14=""),"",IFERROR(INDEX(Settings!$D$14:$D$33,MATCH(U14,Settings!$B$14:$B$33,0))&amp;"",IFERROR(LOOKUP(2^15,SEARCH(Settings!$F$14:$F$43,U14)/(Settings!$F$14:$F$43&lt;&gt;""),Settings!$G$14:$G$43),"")))</f>
        <v/>
      </c>
      <c r="CB14">
        <f>IF(OR($B14="",V14=""),"",IFERROR(INDEX(Settings!$D$14:$D$33,MATCH(V14,Settings!$B$14:$B$33,0))&amp;"",IFERROR(LOOKUP(2^15,SEARCH(Settings!$F$14:$F$43,V14)/(Settings!$F$14:$F$43&lt;&gt;""),Settings!$G$14:$G$43),"")))</f>
        <v/>
      </c>
      <c r="CC14">
        <f>IF(OR($B14="",W14=""),"",IFERROR(INDEX(Settings!$D$14:$D$33,MATCH(W14,Settings!$B$14:$B$33,0))&amp;"",IFERROR(LOOKUP(2^15,SEARCH(Settings!$F$14:$F$43,W14)/(Settings!$F$14:$F$43&lt;&gt;""),Settings!$G$14:$G$43),"")))</f>
        <v/>
      </c>
      <c r="CD14">
        <f>IF(OR($B14="",X14=""),"",IFERROR(INDEX(Settings!$D$14:$D$33,MATCH(X14,Settings!$B$14:$B$33,0))&amp;"",IFERROR(LOOKUP(2^15,SEARCH(Settings!$F$14:$F$43,X14)/(Settings!$F$14:$F$43&lt;&gt;""),Settings!$G$14:$G$43),"")))</f>
        <v/>
      </c>
      <c r="CE14">
        <f>IF(OR($B14="",Y14=""),"",IFERROR(INDEX(Settings!$D$14:$D$33,MATCH(Y14,Settings!$B$14:$B$33,0))&amp;"",IFERROR(LOOKUP(2^15,SEARCH(Settings!$F$14:$F$43,Y14)/(Settings!$F$14:$F$43&lt;&gt;""),Settings!$G$14:$G$43),"")))</f>
        <v/>
      </c>
      <c r="CF14">
        <f>IF(OR($B14="",Z14=""),"",IFERROR(INDEX(Settings!$D$14:$D$33,MATCH(Z14,Settings!$B$14:$B$33,0))&amp;"",IFERROR(LOOKUP(2^15,SEARCH(Settings!$F$14:$F$43,Z14)/(Settings!$F$14:$F$43&lt;&gt;""),Settings!$G$14:$G$43),"")))</f>
        <v/>
      </c>
      <c r="CG14">
        <f>IF(OR($B14="",AA14=""),"",IFERROR(INDEX(Settings!$D$14:$D$33,MATCH(AA14,Settings!$B$14:$B$33,0))&amp;"",IFERROR(LOOKUP(2^15,SEARCH(Settings!$F$14:$F$43,AA14)/(Settings!$F$14:$F$43&lt;&gt;""),Settings!$G$14:$G$43),"")))</f>
        <v/>
      </c>
      <c r="CH14">
        <f>IF(OR($B14="",AB14=""),"",IFERROR(INDEX(Settings!$D$14:$D$33,MATCH(AB14,Settings!$B$14:$B$33,0))&amp;"",IFERROR(LOOKUP(2^15,SEARCH(Settings!$F$14:$F$43,AB14)/(Settings!$F$14:$F$43&lt;&gt;""),Settings!$G$14:$G$43),"")))</f>
        <v/>
      </c>
      <c r="CI14">
        <f>IF(OR($B14="",AC14=""),"",IFERROR(INDEX(Settings!$D$14:$D$33,MATCH(AC14,Settings!$B$14:$B$33,0))&amp;"",IFERROR(LOOKUP(2^15,SEARCH(Settings!$F$14:$F$43,AC14)/(Settings!$F$14:$F$43&lt;&gt;""),Settings!$G$14:$G$43),"")))</f>
        <v/>
      </c>
      <c r="CJ14">
        <f>IF(OR($B14="",AD14=""),"",IFERROR(INDEX(Settings!$D$14:$D$33,MATCH(AD14,Settings!$B$14:$B$33,0))&amp;"",IFERROR(LOOKUP(2^15,SEARCH(Settings!$F$14:$F$43,AD14)/(Settings!$F$14:$F$43&lt;&gt;""),Settings!$G$14:$G$43),"")))</f>
        <v/>
      </c>
      <c r="CK14">
        <f>IF(OR($B14="",AE14=""),"",IFERROR(INDEX(Settings!$D$14:$D$33,MATCH(AE14,Settings!$B$14:$B$33,0))&amp;"",IFERROR(LOOKUP(2^15,SEARCH(Settings!$F$14:$F$43,AE14)/(Settings!$F$14:$F$43&lt;&gt;""),Settings!$G$14:$G$43),"")))</f>
        <v/>
      </c>
      <c r="CL14">
        <f>IF(OR($B14="",AF14=""),"",IFERROR(INDEX(Settings!$D$14:$D$33,MATCH(AF14,Settings!$B$14:$B$33,0))&amp;"",IFERROR(LOOKUP(2^15,SEARCH(Settings!$F$14:$F$43,AF14)/(Settings!$F$14:$F$43&lt;&gt;""),Settings!$G$14:$G$43),"")))</f>
        <v/>
      </c>
      <c r="CM14">
        <f>IF(OR($B14="",AG14=""),"",IFERROR(INDEX(Settings!$D$14:$D$33,MATCH(AG14,Settings!$B$14:$B$33,0))&amp;"",IFERROR(LOOKUP(2^15,SEARCH(Settings!$F$14:$F$43,AG14)/(Settings!$F$14:$F$43&lt;&gt;""),Settings!$G$14:$G$43),"")))</f>
        <v/>
      </c>
    </row>
    <row r="15">
      <c r="A15" t="n">
        <v>13</v>
      </c>
      <c r="B15">
        <f>IFERROR(INDEX(Index!$A$2:$A$202,MATCH(A15,Index!$E$2:$E$202,0)),"")</f>
        <v/>
      </c>
      <c r="D15">
        <f>IF($B15="","",IFERROR(MATCH("Travel*",AI15:BJ15,0),""))</f>
        <v/>
      </c>
      <c r="F15">
        <f>IF(OR($B15="",NOT(ISNUMBER(Settings!$C$9))),"",TRIM(SUBSTITUTE(SUBSTITUTE(INDEX('INPUT - Roster'!$S$1:$SV$206,$B15,Settings!$C$9+0)&amp;"",CHAR(10)," "),CHAR(160)," ")))</f>
        <v/>
      </c>
      <c r="G15">
        <f>IF(OR($B15="",NOT(ISNUMBER(Settings!$C$9))),"",TRIM(SUBSTITUTE(SUBSTITUTE(INDEX('INPUT - Roster'!$S$1:$SV$206,$B15,Settings!$C$9+1)&amp;"",CHAR(10)," "),CHAR(160)," ")))</f>
        <v/>
      </c>
      <c r="H15">
        <f>IF(OR($B15="",NOT(ISNUMBER(Settings!$C$9))),"",TRIM(SUBSTITUTE(SUBSTITUTE(INDEX('INPUT - Roster'!$S$1:$SV$206,$B15,Settings!$C$9+2)&amp;"",CHAR(10)," "),CHAR(160)," ")))</f>
        <v/>
      </c>
      <c r="I15">
        <f>IF(OR($B15="",NOT(ISNUMBER(Settings!$C$9))),"",TRIM(SUBSTITUTE(SUBSTITUTE(INDEX('INPUT - Roster'!$S$1:$SV$206,$B15,Settings!$C$9+3)&amp;"",CHAR(10)," "),CHAR(160)," ")))</f>
        <v/>
      </c>
      <c r="J15">
        <f>IF(OR($B15="",NOT(ISNUMBER(Settings!$C$9))),"",TRIM(SUBSTITUTE(SUBSTITUTE(INDEX('INPUT - Roster'!$S$1:$SV$206,$B15,Settings!$C$9+4)&amp;"",CHAR(10)," "),CHAR(160)," ")))</f>
        <v/>
      </c>
      <c r="K15">
        <f>IF(OR($B15="",NOT(ISNUMBER(Settings!$C$9))),"",TRIM(SUBSTITUTE(SUBSTITUTE(INDEX('INPUT - Roster'!$S$1:$SV$206,$B15,Settings!$C$9+5)&amp;"",CHAR(10)," "),CHAR(160)," ")))</f>
        <v/>
      </c>
      <c r="L15">
        <f>IF(OR($B15="",NOT(ISNUMBER(Settings!$C$9))),"",TRIM(SUBSTITUTE(SUBSTITUTE(INDEX('INPUT - Roster'!$S$1:$SV$206,$B15,Settings!$C$9+6)&amp;"",CHAR(10)," "),CHAR(160)," ")))</f>
        <v/>
      </c>
      <c r="M15">
        <f>IF(OR($B15="",NOT(ISNUMBER(Settings!$C$9))),"",TRIM(SUBSTITUTE(SUBSTITUTE(INDEX('INPUT - Roster'!$S$1:$SV$206,$B15,Settings!$C$9+7)&amp;"",CHAR(10)," "),CHAR(160)," ")))</f>
        <v/>
      </c>
      <c r="N15">
        <f>IF(OR($B15="",NOT(ISNUMBER(Settings!$C$9))),"",TRIM(SUBSTITUTE(SUBSTITUTE(INDEX('INPUT - Roster'!$S$1:$SV$206,$B15,Settings!$C$9+8)&amp;"",CHAR(10)," "),CHAR(160)," ")))</f>
        <v/>
      </c>
      <c r="O15">
        <f>IF(OR($B15="",NOT(ISNUMBER(Settings!$C$9))),"",TRIM(SUBSTITUTE(SUBSTITUTE(INDEX('INPUT - Roster'!$S$1:$SV$206,$B15,Settings!$C$9+9)&amp;"",CHAR(10)," "),CHAR(160)," ")))</f>
        <v/>
      </c>
      <c r="P15">
        <f>IF(OR($B15="",NOT(ISNUMBER(Settings!$C$9))),"",TRIM(SUBSTITUTE(SUBSTITUTE(INDEX('INPUT - Roster'!$S$1:$SV$206,$B15,Settings!$C$9+10)&amp;"",CHAR(10)," "),CHAR(160)," ")))</f>
        <v/>
      </c>
      <c r="Q15">
        <f>IF(OR($B15="",NOT(ISNUMBER(Settings!$C$9))),"",TRIM(SUBSTITUTE(SUBSTITUTE(INDEX('INPUT - Roster'!$S$1:$SV$206,$B15,Settings!$C$9+11)&amp;"",CHAR(10)," "),CHAR(160)," ")))</f>
        <v/>
      </c>
      <c r="R15">
        <f>IF(OR($B15="",NOT(ISNUMBER(Settings!$C$9))),"",TRIM(SUBSTITUTE(SUBSTITUTE(INDEX('INPUT - Roster'!$S$1:$SV$206,$B15,Settings!$C$9+12)&amp;"",CHAR(10)," "),CHAR(160)," ")))</f>
        <v/>
      </c>
      <c r="S15">
        <f>IF(OR($B15="",NOT(ISNUMBER(Settings!$C$9))),"",TRIM(SUBSTITUTE(SUBSTITUTE(INDEX('INPUT - Roster'!$S$1:$SV$206,$B15,Settings!$C$9+13)&amp;"",CHAR(10)," "),CHAR(160)," ")))</f>
        <v/>
      </c>
      <c r="T15">
        <f>IF(OR($B15="",NOT(ISNUMBER(Settings!$C$9))),"",TRIM(SUBSTITUTE(SUBSTITUTE(INDEX('INPUT - Roster'!$S$1:$SV$206,$B15,Settings!$C$9+14)&amp;"",CHAR(10)," "),CHAR(160)," ")))</f>
        <v/>
      </c>
      <c r="U15">
        <f>IF(OR($B15="",NOT(ISNUMBER(Settings!$C$9))),"",TRIM(SUBSTITUTE(SUBSTITUTE(INDEX('INPUT - Roster'!$S$1:$SV$206,$B15,Settings!$C$9+15)&amp;"",CHAR(10)," "),CHAR(160)," ")))</f>
        <v/>
      </c>
      <c r="V15">
        <f>IF(OR($B15="",NOT(ISNUMBER(Settings!$C$9))),"",TRIM(SUBSTITUTE(SUBSTITUTE(INDEX('INPUT - Roster'!$S$1:$SV$206,$B15,Settings!$C$9+16)&amp;"",CHAR(10)," "),CHAR(160)," ")))</f>
        <v/>
      </c>
      <c r="W15">
        <f>IF(OR($B15="",NOT(ISNUMBER(Settings!$C$9))),"",TRIM(SUBSTITUTE(SUBSTITUTE(INDEX('INPUT - Roster'!$S$1:$SV$206,$B15,Settings!$C$9+17)&amp;"",CHAR(10)," "),CHAR(160)," ")))</f>
        <v/>
      </c>
      <c r="X15">
        <f>IF(OR($B15="",NOT(ISNUMBER(Settings!$C$9))),"",TRIM(SUBSTITUTE(SUBSTITUTE(INDEX('INPUT - Roster'!$S$1:$SV$206,$B15,Settings!$C$9+18)&amp;"",CHAR(10)," "),CHAR(160)," ")))</f>
        <v/>
      </c>
      <c r="Y15">
        <f>IF(OR($B15="",NOT(ISNUMBER(Settings!$C$9))),"",TRIM(SUBSTITUTE(SUBSTITUTE(INDEX('INPUT - Roster'!$S$1:$SV$206,$B15,Settings!$C$9+19)&amp;"",CHAR(10)," "),CHAR(160)," ")))</f>
        <v/>
      </c>
      <c r="Z15">
        <f>IF(OR($B15="",NOT(ISNUMBER(Settings!$C$9))),"",TRIM(SUBSTITUTE(SUBSTITUTE(INDEX('INPUT - Roster'!$S$1:$SV$206,$B15,Settings!$C$9+20)&amp;"",CHAR(10)," "),CHAR(160)," ")))</f>
        <v/>
      </c>
      <c r="AA15">
        <f>IF(OR($B15="",NOT(ISNUMBER(Settings!$C$9))),"",TRIM(SUBSTITUTE(SUBSTITUTE(INDEX('INPUT - Roster'!$S$1:$SV$206,$B15,Settings!$C$9+21)&amp;"",CHAR(10)," "),CHAR(160)," ")))</f>
        <v/>
      </c>
      <c r="AB15">
        <f>IF(OR($B15="",NOT(ISNUMBER(Settings!$C$9))),"",TRIM(SUBSTITUTE(SUBSTITUTE(INDEX('INPUT - Roster'!$S$1:$SV$206,$B15,Settings!$C$9+22)&amp;"",CHAR(10)," "),CHAR(160)," ")))</f>
        <v/>
      </c>
      <c r="AC15">
        <f>IF(OR($B15="",NOT(ISNUMBER(Settings!$C$9))),"",TRIM(SUBSTITUTE(SUBSTITUTE(INDEX('INPUT - Roster'!$S$1:$SV$206,$B15,Settings!$C$9+23)&amp;"",CHAR(10)," "),CHAR(160)," ")))</f>
        <v/>
      </c>
      <c r="AD15">
        <f>IF(OR($B15="",NOT(ISNUMBER(Settings!$C$9))),"",TRIM(SUBSTITUTE(SUBSTITUTE(INDEX('INPUT - Roster'!$S$1:$SV$206,$B15,Settings!$C$9+24)&amp;"",CHAR(10)," "),CHAR(160)," ")))</f>
        <v/>
      </c>
      <c r="AE15">
        <f>IF(OR($B15="",NOT(ISNUMBER(Settings!$C$9))),"",TRIM(SUBSTITUTE(SUBSTITUTE(INDEX('INPUT - Roster'!$S$1:$SV$206,$B15,Settings!$C$9+25)&amp;"",CHAR(10)," "),CHAR(160)," ")))</f>
        <v/>
      </c>
      <c r="AF15">
        <f>IF(OR($B15="",NOT(ISNUMBER(Settings!$C$9))),"",TRIM(SUBSTITUTE(SUBSTITUTE(INDEX('INPUT - Roster'!$S$1:$SV$206,$B15,Settings!$C$9+26)&amp;"",CHAR(10)," "),CHAR(160)," ")))</f>
        <v/>
      </c>
      <c r="AG15">
        <f>IF(OR($B15="",NOT(ISNUMBER(Settings!$C$9))),"",TRIM(SUBSTITUTE(SUBSTITUTE(INDEX('INPUT - Roster'!$S$1:$SV$206,$B15,Settings!$C$9+27)&amp;"",CHAR(10)," "),CHAR(160)," ")))</f>
        <v/>
      </c>
      <c r="AI15">
        <f>IF($B15="","",IF(F15="","Not rostered",IFERROR(INDEX(Settings!$C$14:$C$33,MATCH(F15,Settings!$B$14:$B$33,0)),IFERROR(LOOKUP(2^15,SEARCH(Settings!$I$14:$I$83,F15)/(Settings!$I$14:$I$83&lt;&gt;""),Settings!$J$14:$J$83),"Other"))))</f>
        <v/>
      </c>
      <c r="AJ15">
        <f>IF($B15="","",IF(G15="","Not rostered",IFERROR(INDEX(Settings!$C$14:$C$33,MATCH(G15,Settings!$B$14:$B$33,0)),IFERROR(LOOKUP(2^15,SEARCH(Settings!$I$14:$I$83,G15)/(Settings!$I$14:$I$83&lt;&gt;""),Settings!$J$14:$J$83),"Other"))))</f>
        <v/>
      </c>
      <c r="AK15">
        <f>IF($B15="","",IF(H15="","Not rostered",IFERROR(INDEX(Settings!$C$14:$C$33,MATCH(H15,Settings!$B$14:$B$33,0)),IFERROR(LOOKUP(2^15,SEARCH(Settings!$I$14:$I$83,H15)/(Settings!$I$14:$I$83&lt;&gt;""),Settings!$J$14:$J$83),"Other"))))</f>
        <v/>
      </c>
      <c r="AL15">
        <f>IF($B15="","",IF(I15="","Not rostered",IFERROR(INDEX(Settings!$C$14:$C$33,MATCH(I15,Settings!$B$14:$B$33,0)),IFERROR(LOOKUP(2^15,SEARCH(Settings!$I$14:$I$83,I15)/(Settings!$I$14:$I$83&lt;&gt;""),Settings!$J$14:$J$83),"Other"))))</f>
        <v/>
      </c>
      <c r="AM15">
        <f>IF($B15="","",IF(J15="","Not rostered",IFERROR(INDEX(Settings!$C$14:$C$33,MATCH(J15,Settings!$B$14:$B$33,0)),IFERROR(LOOKUP(2^15,SEARCH(Settings!$I$14:$I$83,J15)/(Settings!$I$14:$I$83&lt;&gt;""),Settings!$J$14:$J$83),"Other"))))</f>
        <v/>
      </c>
      <c r="AN15">
        <f>IF($B15="","",IF(K15="","Not rostered",IFERROR(INDEX(Settings!$C$14:$C$33,MATCH(K15,Settings!$B$14:$B$33,0)),IFERROR(LOOKUP(2^15,SEARCH(Settings!$I$14:$I$83,K15)/(Settings!$I$14:$I$83&lt;&gt;""),Settings!$J$14:$J$83),"Other"))))</f>
        <v/>
      </c>
      <c r="AO15">
        <f>IF($B15="","",IF(L15="","Not rostered",IFERROR(INDEX(Settings!$C$14:$C$33,MATCH(L15,Settings!$B$14:$B$33,0)),IFERROR(LOOKUP(2^15,SEARCH(Settings!$I$14:$I$83,L15)/(Settings!$I$14:$I$83&lt;&gt;""),Settings!$J$14:$J$83),"Other"))))</f>
        <v/>
      </c>
      <c r="AP15">
        <f>IF($B15="","",IF(M15="","Not rostered",IFERROR(INDEX(Settings!$C$14:$C$33,MATCH(M15,Settings!$B$14:$B$33,0)),IFERROR(LOOKUP(2^15,SEARCH(Settings!$I$14:$I$83,M15)/(Settings!$I$14:$I$83&lt;&gt;""),Settings!$J$14:$J$83),"Other"))))</f>
        <v/>
      </c>
      <c r="AQ15">
        <f>IF($B15="","",IF(N15="","Not rostered",IFERROR(INDEX(Settings!$C$14:$C$33,MATCH(N15,Settings!$B$14:$B$33,0)),IFERROR(LOOKUP(2^15,SEARCH(Settings!$I$14:$I$83,N15)/(Settings!$I$14:$I$83&lt;&gt;""),Settings!$J$14:$J$83),"Other"))))</f>
        <v/>
      </c>
      <c r="AR15">
        <f>IF($B15="","",IF(O15="","Not rostered",IFERROR(INDEX(Settings!$C$14:$C$33,MATCH(O15,Settings!$B$14:$B$33,0)),IFERROR(LOOKUP(2^15,SEARCH(Settings!$I$14:$I$83,O15)/(Settings!$I$14:$I$83&lt;&gt;""),Settings!$J$14:$J$83),"Other"))))</f>
        <v/>
      </c>
      <c r="AS15">
        <f>IF($B15="","",IF(P15="","Not rostered",IFERROR(INDEX(Settings!$C$14:$C$33,MATCH(P15,Settings!$B$14:$B$33,0)),IFERROR(LOOKUP(2^15,SEARCH(Settings!$I$14:$I$83,P15)/(Settings!$I$14:$I$83&lt;&gt;""),Settings!$J$14:$J$83),"Other"))))</f>
        <v/>
      </c>
      <c r="AT15">
        <f>IF($B15="","",IF(Q15="","Not rostered",IFERROR(INDEX(Settings!$C$14:$C$33,MATCH(Q15,Settings!$B$14:$B$33,0)),IFERROR(LOOKUP(2^15,SEARCH(Settings!$I$14:$I$83,Q15)/(Settings!$I$14:$I$83&lt;&gt;""),Settings!$J$14:$J$83),"Other"))))</f>
        <v/>
      </c>
      <c r="AU15">
        <f>IF($B15="","",IF(R15="","Not rostered",IFERROR(INDEX(Settings!$C$14:$C$33,MATCH(R15,Settings!$B$14:$B$33,0)),IFERROR(LOOKUP(2^15,SEARCH(Settings!$I$14:$I$83,R15)/(Settings!$I$14:$I$83&lt;&gt;""),Settings!$J$14:$J$83),"Other"))))</f>
        <v/>
      </c>
      <c r="AV15">
        <f>IF($B15="","",IF(S15="","Not rostered",IFERROR(INDEX(Settings!$C$14:$C$33,MATCH(S15,Settings!$B$14:$B$33,0)),IFERROR(LOOKUP(2^15,SEARCH(Settings!$I$14:$I$83,S15)/(Settings!$I$14:$I$83&lt;&gt;""),Settings!$J$14:$J$83),"Other"))))</f>
        <v/>
      </c>
      <c r="AW15">
        <f>IF($B15="","",IF(T15="","Not rostered",IFERROR(INDEX(Settings!$C$14:$C$33,MATCH(T15,Settings!$B$14:$B$33,0)),IFERROR(LOOKUP(2^15,SEARCH(Settings!$I$14:$I$83,T15)/(Settings!$I$14:$I$83&lt;&gt;""),Settings!$J$14:$J$83),"Other"))))</f>
        <v/>
      </c>
      <c r="AX15">
        <f>IF($B15="","",IF(U15="","Not rostered",IFERROR(INDEX(Settings!$C$14:$C$33,MATCH(U15,Settings!$B$14:$B$33,0)),IFERROR(LOOKUP(2^15,SEARCH(Settings!$I$14:$I$83,U15)/(Settings!$I$14:$I$83&lt;&gt;""),Settings!$J$14:$J$83),"Other"))))</f>
        <v/>
      </c>
      <c r="AY15">
        <f>IF($B15="","",IF(V15="","Not rostered",IFERROR(INDEX(Settings!$C$14:$C$33,MATCH(V15,Settings!$B$14:$B$33,0)),IFERROR(LOOKUP(2^15,SEARCH(Settings!$I$14:$I$83,V15)/(Settings!$I$14:$I$83&lt;&gt;""),Settings!$J$14:$J$83),"Other"))))</f>
        <v/>
      </c>
      <c r="AZ15">
        <f>IF($B15="","",IF(W15="","Not rostered",IFERROR(INDEX(Settings!$C$14:$C$33,MATCH(W15,Settings!$B$14:$B$33,0)),IFERROR(LOOKUP(2^15,SEARCH(Settings!$I$14:$I$83,W15)/(Settings!$I$14:$I$83&lt;&gt;""),Settings!$J$14:$J$83),"Other"))))</f>
        <v/>
      </c>
      <c r="BA15">
        <f>IF($B15="","",IF(X15="","Not rostered",IFERROR(INDEX(Settings!$C$14:$C$33,MATCH(X15,Settings!$B$14:$B$33,0)),IFERROR(LOOKUP(2^15,SEARCH(Settings!$I$14:$I$83,X15)/(Settings!$I$14:$I$83&lt;&gt;""),Settings!$J$14:$J$83),"Other"))))</f>
        <v/>
      </c>
      <c r="BB15">
        <f>IF($B15="","",IF(Y15="","Not rostered",IFERROR(INDEX(Settings!$C$14:$C$33,MATCH(Y15,Settings!$B$14:$B$33,0)),IFERROR(LOOKUP(2^15,SEARCH(Settings!$I$14:$I$83,Y15)/(Settings!$I$14:$I$83&lt;&gt;""),Settings!$J$14:$J$83),"Other"))))</f>
        <v/>
      </c>
      <c r="BC15">
        <f>IF($B15="","",IF(Z15="","Not rostered",IFERROR(INDEX(Settings!$C$14:$C$33,MATCH(Z15,Settings!$B$14:$B$33,0)),IFERROR(LOOKUP(2^15,SEARCH(Settings!$I$14:$I$83,Z15)/(Settings!$I$14:$I$83&lt;&gt;""),Settings!$J$14:$J$83),"Other"))))</f>
        <v/>
      </c>
      <c r="BD15">
        <f>IF($B15="","",IF(AA15="","Not rostered",IFERROR(INDEX(Settings!$C$14:$C$33,MATCH(AA15,Settings!$B$14:$B$33,0)),IFERROR(LOOKUP(2^15,SEARCH(Settings!$I$14:$I$83,AA15)/(Settings!$I$14:$I$83&lt;&gt;""),Settings!$J$14:$J$83),"Other"))))</f>
        <v/>
      </c>
      <c r="BE15">
        <f>IF($B15="","",IF(AB15="","Not rostered",IFERROR(INDEX(Settings!$C$14:$C$33,MATCH(AB15,Settings!$B$14:$B$33,0)),IFERROR(LOOKUP(2^15,SEARCH(Settings!$I$14:$I$83,AB15)/(Settings!$I$14:$I$83&lt;&gt;""),Settings!$J$14:$J$83),"Other"))))</f>
        <v/>
      </c>
      <c r="BF15">
        <f>IF($B15="","",IF(AC15="","Not rostered",IFERROR(INDEX(Settings!$C$14:$C$33,MATCH(AC15,Settings!$B$14:$B$33,0)),IFERROR(LOOKUP(2^15,SEARCH(Settings!$I$14:$I$83,AC15)/(Settings!$I$14:$I$83&lt;&gt;""),Settings!$J$14:$J$83),"Other"))))</f>
        <v/>
      </c>
      <c r="BG15">
        <f>IF($B15="","",IF(AD15="","Not rostered",IFERROR(INDEX(Settings!$C$14:$C$33,MATCH(AD15,Settings!$B$14:$B$33,0)),IFERROR(LOOKUP(2^15,SEARCH(Settings!$I$14:$I$83,AD15)/(Settings!$I$14:$I$83&lt;&gt;""),Settings!$J$14:$J$83),"Other"))))</f>
        <v/>
      </c>
      <c r="BH15">
        <f>IF($B15="","",IF(AE15="","Not rostered",IFERROR(INDEX(Settings!$C$14:$C$33,MATCH(AE15,Settings!$B$14:$B$33,0)),IFERROR(LOOKUP(2^15,SEARCH(Settings!$I$14:$I$83,AE15)/(Settings!$I$14:$I$83&lt;&gt;""),Settings!$J$14:$J$83),"Other"))))</f>
        <v/>
      </c>
      <c r="BI15">
        <f>IF($B15="","",IF(AF15="","Not rostered",IFERROR(INDEX(Settings!$C$14:$C$33,MATCH(AF15,Settings!$B$14:$B$33,0)),IFERROR(LOOKUP(2^15,SEARCH(Settings!$I$14:$I$83,AF15)/(Settings!$I$14:$I$83&lt;&gt;""),Settings!$J$14:$J$83),"Other"))))</f>
        <v/>
      </c>
      <c r="BJ15">
        <f>IF($B15="","",IF(AG15="","Not rostered",IFERROR(INDEX(Settings!$C$14:$C$33,MATCH(AG15,Settings!$B$14:$B$33,0)),IFERROR(LOOKUP(2^15,SEARCH(Settings!$I$14:$I$83,AG15)/(Settings!$I$14:$I$83&lt;&gt;""),Settings!$J$14:$J$83),"Other"))))</f>
        <v/>
      </c>
      <c r="BL15">
        <f>IF(OR($B15="",F15=""),"",IFERROR(INDEX(Settings!$D$14:$D$33,MATCH(F15,Settings!$B$14:$B$33,0))&amp;"",IFERROR(LOOKUP(2^15,SEARCH(Settings!$F$14:$F$43,F15)/(Settings!$F$14:$F$43&lt;&gt;""),Settings!$G$14:$G$43),"")))</f>
        <v/>
      </c>
      <c r="BM15">
        <f>IF(OR($B15="",G15=""),"",IFERROR(INDEX(Settings!$D$14:$D$33,MATCH(G15,Settings!$B$14:$B$33,0))&amp;"",IFERROR(LOOKUP(2^15,SEARCH(Settings!$F$14:$F$43,G15)/(Settings!$F$14:$F$43&lt;&gt;""),Settings!$G$14:$G$43),"")))</f>
        <v/>
      </c>
      <c r="BN15">
        <f>IF(OR($B15="",H15=""),"",IFERROR(INDEX(Settings!$D$14:$D$33,MATCH(H15,Settings!$B$14:$B$33,0))&amp;"",IFERROR(LOOKUP(2^15,SEARCH(Settings!$F$14:$F$43,H15)/(Settings!$F$14:$F$43&lt;&gt;""),Settings!$G$14:$G$43),"")))</f>
        <v/>
      </c>
      <c r="BO15">
        <f>IF(OR($B15="",I15=""),"",IFERROR(INDEX(Settings!$D$14:$D$33,MATCH(I15,Settings!$B$14:$B$33,0))&amp;"",IFERROR(LOOKUP(2^15,SEARCH(Settings!$F$14:$F$43,I15)/(Settings!$F$14:$F$43&lt;&gt;""),Settings!$G$14:$G$43),"")))</f>
        <v/>
      </c>
      <c r="BP15">
        <f>IF(OR($B15="",J15=""),"",IFERROR(INDEX(Settings!$D$14:$D$33,MATCH(J15,Settings!$B$14:$B$33,0))&amp;"",IFERROR(LOOKUP(2^15,SEARCH(Settings!$F$14:$F$43,J15)/(Settings!$F$14:$F$43&lt;&gt;""),Settings!$G$14:$G$43),"")))</f>
        <v/>
      </c>
      <c r="BQ15">
        <f>IF(OR($B15="",K15=""),"",IFERROR(INDEX(Settings!$D$14:$D$33,MATCH(K15,Settings!$B$14:$B$33,0))&amp;"",IFERROR(LOOKUP(2^15,SEARCH(Settings!$F$14:$F$43,K15)/(Settings!$F$14:$F$43&lt;&gt;""),Settings!$G$14:$G$43),"")))</f>
        <v/>
      </c>
      <c r="BR15">
        <f>IF(OR($B15="",L15=""),"",IFERROR(INDEX(Settings!$D$14:$D$33,MATCH(L15,Settings!$B$14:$B$33,0))&amp;"",IFERROR(LOOKUP(2^15,SEARCH(Settings!$F$14:$F$43,L15)/(Settings!$F$14:$F$43&lt;&gt;""),Settings!$G$14:$G$43),"")))</f>
        <v/>
      </c>
      <c r="BS15">
        <f>IF(OR($B15="",M15=""),"",IFERROR(INDEX(Settings!$D$14:$D$33,MATCH(M15,Settings!$B$14:$B$33,0))&amp;"",IFERROR(LOOKUP(2^15,SEARCH(Settings!$F$14:$F$43,M15)/(Settings!$F$14:$F$43&lt;&gt;""),Settings!$G$14:$G$43),"")))</f>
        <v/>
      </c>
      <c r="BT15">
        <f>IF(OR($B15="",N15=""),"",IFERROR(INDEX(Settings!$D$14:$D$33,MATCH(N15,Settings!$B$14:$B$33,0))&amp;"",IFERROR(LOOKUP(2^15,SEARCH(Settings!$F$14:$F$43,N15)/(Settings!$F$14:$F$43&lt;&gt;""),Settings!$G$14:$G$43),"")))</f>
        <v/>
      </c>
      <c r="BU15">
        <f>IF(OR($B15="",O15=""),"",IFERROR(INDEX(Settings!$D$14:$D$33,MATCH(O15,Settings!$B$14:$B$33,0))&amp;"",IFERROR(LOOKUP(2^15,SEARCH(Settings!$F$14:$F$43,O15)/(Settings!$F$14:$F$43&lt;&gt;""),Settings!$G$14:$G$43),"")))</f>
        <v/>
      </c>
      <c r="BV15">
        <f>IF(OR($B15="",P15=""),"",IFERROR(INDEX(Settings!$D$14:$D$33,MATCH(P15,Settings!$B$14:$B$33,0))&amp;"",IFERROR(LOOKUP(2^15,SEARCH(Settings!$F$14:$F$43,P15)/(Settings!$F$14:$F$43&lt;&gt;""),Settings!$G$14:$G$43),"")))</f>
        <v/>
      </c>
      <c r="BW15">
        <f>IF(OR($B15="",Q15=""),"",IFERROR(INDEX(Settings!$D$14:$D$33,MATCH(Q15,Settings!$B$14:$B$33,0))&amp;"",IFERROR(LOOKUP(2^15,SEARCH(Settings!$F$14:$F$43,Q15)/(Settings!$F$14:$F$43&lt;&gt;""),Settings!$G$14:$G$43),"")))</f>
        <v/>
      </c>
      <c r="BX15">
        <f>IF(OR($B15="",R15=""),"",IFERROR(INDEX(Settings!$D$14:$D$33,MATCH(R15,Settings!$B$14:$B$33,0))&amp;"",IFERROR(LOOKUP(2^15,SEARCH(Settings!$F$14:$F$43,R15)/(Settings!$F$14:$F$43&lt;&gt;""),Settings!$G$14:$G$43),"")))</f>
        <v/>
      </c>
      <c r="BY15">
        <f>IF(OR($B15="",S15=""),"",IFERROR(INDEX(Settings!$D$14:$D$33,MATCH(S15,Settings!$B$14:$B$33,0))&amp;"",IFERROR(LOOKUP(2^15,SEARCH(Settings!$F$14:$F$43,S15)/(Settings!$F$14:$F$43&lt;&gt;""),Settings!$G$14:$G$43),"")))</f>
        <v/>
      </c>
      <c r="BZ15">
        <f>IF(OR($B15="",T15=""),"",IFERROR(INDEX(Settings!$D$14:$D$33,MATCH(T15,Settings!$B$14:$B$33,0))&amp;"",IFERROR(LOOKUP(2^15,SEARCH(Settings!$F$14:$F$43,T15)/(Settings!$F$14:$F$43&lt;&gt;""),Settings!$G$14:$G$43),"")))</f>
        <v/>
      </c>
      <c r="CA15">
        <f>IF(OR($B15="",U15=""),"",IFERROR(INDEX(Settings!$D$14:$D$33,MATCH(U15,Settings!$B$14:$B$33,0))&amp;"",IFERROR(LOOKUP(2^15,SEARCH(Settings!$F$14:$F$43,U15)/(Settings!$F$14:$F$43&lt;&gt;""),Settings!$G$14:$G$43),"")))</f>
        <v/>
      </c>
      <c r="CB15">
        <f>IF(OR($B15="",V15=""),"",IFERROR(INDEX(Settings!$D$14:$D$33,MATCH(V15,Settings!$B$14:$B$33,0))&amp;"",IFERROR(LOOKUP(2^15,SEARCH(Settings!$F$14:$F$43,V15)/(Settings!$F$14:$F$43&lt;&gt;""),Settings!$G$14:$G$43),"")))</f>
        <v/>
      </c>
      <c r="CC15">
        <f>IF(OR($B15="",W15=""),"",IFERROR(INDEX(Settings!$D$14:$D$33,MATCH(W15,Settings!$B$14:$B$33,0))&amp;"",IFERROR(LOOKUP(2^15,SEARCH(Settings!$F$14:$F$43,W15)/(Settings!$F$14:$F$43&lt;&gt;""),Settings!$G$14:$G$43),"")))</f>
        <v/>
      </c>
      <c r="CD15">
        <f>IF(OR($B15="",X15=""),"",IFERROR(INDEX(Settings!$D$14:$D$33,MATCH(X15,Settings!$B$14:$B$33,0))&amp;"",IFERROR(LOOKUP(2^15,SEARCH(Settings!$F$14:$F$43,X15)/(Settings!$F$14:$F$43&lt;&gt;""),Settings!$G$14:$G$43),"")))</f>
        <v/>
      </c>
      <c r="CE15">
        <f>IF(OR($B15="",Y15=""),"",IFERROR(INDEX(Settings!$D$14:$D$33,MATCH(Y15,Settings!$B$14:$B$33,0))&amp;"",IFERROR(LOOKUP(2^15,SEARCH(Settings!$F$14:$F$43,Y15)/(Settings!$F$14:$F$43&lt;&gt;""),Settings!$G$14:$G$43),"")))</f>
        <v/>
      </c>
      <c r="CF15">
        <f>IF(OR($B15="",Z15=""),"",IFERROR(INDEX(Settings!$D$14:$D$33,MATCH(Z15,Settings!$B$14:$B$33,0))&amp;"",IFERROR(LOOKUP(2^15,SEARCH(Settings!$F$14:$F$43,Z15)/(Settings!$F$14:$F$43&lt;&gt;""),Settings!$G$14:$G$43),"")))</f>
        <v/>
      </c>
      <c r="CG15">
        <f>IF(OR($B15="",AA15=""),"",IFERROR(INDEX(Settings!$D$14:$D$33,MATCH(AA15,Settings!$B$14:$B$33,0))&amp;"",IFERROR(LOOKUP(2^15,SEARCH(Settings!$F$14:$F$43,AA15)/(Settings!$F$14:$F$43&lt;&gt;""),Settings!$G$14:$G$43),"")))</f>
        <v/>
      </c>
      <c r="CH15">
        <f>IF(OR($B15="",AB15=""),"",IFERROR(INDEX(Settings!$D$14:$D$33,MATCH(AB15,Settings!$B$14:$B$33,0))&amp;"",IFERROR(LOOKUP(2^15,SEARCH(Settings!$F$14:$F$43,AB15)/(Settings!$F$14:$F$43&lt;&gt;""),Settings!$G$14:$G$43),"")))</f>
        <v/>
      </c>
      <c r="CI15">
        <f>IF(OR($B15="",AC15=""),"",IFERROR(INDEX(Settings!$D$14:$D$33,MATCH(AC15,Settings!$B$14:$B$33,0))&amp;"",IFERROR(LOOKUP(2^15,SEARCH(Settings!$F$14:$F$43,AC15)/(Settings!$F$14:$F$43&lt;&gt;""),Settings!$G$14:$G$43),"")))</f>
        <v/>
      </c>
      <c r="CJ15">
        <f>IF(OR($B15="",AD15=""),"",IFERROR(INDEX(Settings!$D$14:$D$33,MATCH(AD15,Settings!$B$14:$B$33,0))&amp;"",IFERROR(LOOKUP(2^15,SEARCH(Settings!$F$14:$F$43,AD15)/(Settings!$F$14:$F$43&lt;&gt;""),Settings!$G$14:$G$43),"")))</f>
        <v/>
      </c>
      <c r="CK15">
        <f>IF(OR($B15="",AE15=""),"",IFERROR(INDEX(Settings!$D$14:$D$33,MATCH(AE15,Settings!$B$14:$B$33,0))&amp;"",IFERROR(LOOKUP(2^15,SEARCH(Settings!$F$14:$F$43,AE15)/(Settings!$F$14:$F$43&lt;&gt;""),Settings!$G$14:$G$43),"")))</f>
        <v/>
      </c>
      <c r="CL15">
        <f>IF(OR($B15="",AF15=""),"",IFERROR(INDEX(Settings!$D$14:$D$33,MATCH(AF15,Settings!$B$14:$B$33,0))&amp;"",IFERROR(LOOKUP(2^15,SEARCH(Settings!$F$14:$F$43,AF15)/(Settings!$F$14:$F$43&lt;&gt;""),Settings!$G$14:$G$43),"")))</f>
        <v/>
      </c>
      <c r="CM15">
        <f>IF(OR($B15="",AG15=""),"",IFERROR(INDEX(Settings!$D$14:$D$33,MATCH(AG15,Settings!$B$14:$B$33,0))&amp;"",IFERROR(LOOKUP(2^15,SEARCH(Settings!$F$14:$F$43,AG15)/(Settings!$F$14:$F$43&lt;&gt;""),Settings!$G$14:$G$43),"")))</f>
        <v/>
      </c>
    </row>
    <row r="16">
      <c r="A16" t="n">
        <v>14</v>
      </c>
      <c r="B16">
        <f>IFERROR(INDEX(Index!$A$2:$A$202,MATCH(A16,Index!$E$2:$E$202,0)),"")</f>
        <v/>
      </c>
      <c r="D16">
        <f>IF($B16="","",IFERROR(MATCH("Travel*",AI16:BJ16,0),""))</f>
        <v/>
      </c>
      <c r="F16">
        <f>IF(OR($B16="",NOT(ISNUMBER(Settings!$C$9))),"",TRIM(SUBSTITUTE(SUBSTITUTE(INDEX('INPUT - Roster'!$S$1:$SV$206,$B16,Settings!$C$9+0)&amp;"",CHAR(10)," "),CHAR(160)," ")))</f>
        <v/>
      </c>
      <c r="G16">
        <f>IF(OR($B16="",NOT(ISNUMBER(Settings!$C$9))),"",TRIM(SUBSTITUTE(SUBSTITUTE(INDEX('INPUT - Roster'!$S$1:$SV$206,$B16,Settings!$C$9+1)&amp;"",CHAR(10)," "),CHAR(160)," ")))</f>
        <v/>
      </c>
      <c r="H16">
        <f>IF(OR($B16="",NOT(ISNUMBER(Settings!$C$9))),"",TRIM(SUBSTITUTE(SUBSTITUTE(INDEX('INPUT - Roster'!$S$1:$SV$206,$B16,Settings!$C$9+2)&amp;"",CHAR(10)," "),CHAR(160)," ")))</f>
        <v/>
      </c>
      <c r="I16">
        <f>IF(OR($B16="",NOT(ISNUMBER(Settings!$C$9))),"",TRIM(SUBSTITUTE(SUBSTITUTE(INDEX('INPUT - Roster'!$S$1:$SV$206,$B16,Settings!$C$9+3)&amp;"",CHAR(10)," "),CHAR(160)," ")))</f>
        <v/>
      </c>
      <c r="J16">
        <f>IF(OR($B16="",NOT(ISNUMBER(Settings!$C$9))),"",TRIM(SUBSTITUTE(SUBSTITUTE(INDEX('INPUT - Roster'!$S$1:$SV$206,$B16,Settings!$C$9+4)&amp;"",CHAR(10)," "),CHAR(160)," ")))</f>
        <v/>
      </c>
      <c r="K16">
        <f>IF(OR($B16="",NOT(ISNUMBER(Settings!$C$9))),"",TRIM(SUBSTITUTE(SUBSTITUTE(INDEX('INPUT - Roster'!$S$1:$SV$206,$B16,Settings!$C$9+5)&amp;"",CHAR(10)," "),CHAR(160)," ")))</f>
        <v/>
      </c>
      <c r="L16">
        <f>IF(OR($B16="",NOT(ISNUMBER(Settings!$C$9))),"",TRIM(SUBSTITUTE(SUBSTITUTE(INDEX('INPUT - Roster'!$S$1:$SV$206,$B16,Settings!$C$9+6)&amp;"",CHAR(10)," "),CHAR(160)," ")))</f>
        <v/>
      </c>
      <c r="M16">
        <f>IF(OR($B16="",NOT(ISNUMBER(Settings!$C$9))),"",TRIM(SUBSTITUTE(SUBSTITUTE(INDEX('INPUT - Roster'!$S$1:$SV$206,$B16,Settings!$C$9+7)&amp;"",CHAR(10)," "),CHAR(160)," ")))</f>
        <v/>
      </c>
      <c r="N16">
        <f>IF(OR($B16="",NOT(ISNUMBER(Settings!$C$9))),"",TRIM(SUBSTITUTE(SUBSTITUTE(INDEX('INPUT - Roster'!$S$1:$SV$206,$B16,Settings!$C$9+8)&amp;"",CHAR(10)," "),CHAR(160)," ")))</f>
        <v/>
      </c>
      <c r="O16">
        <f>IF(OR($B16="",NOT(ISNUMBER(Settings!$C$9))),"",TRIM(SUBSTITUTE(SUBSTITUTE(INDEX('INPUT - Roster'!$S$1:$SV$206,$B16,Settings!$C$9+9)&amp;"",CHAR(10)," "),CHAR(160)," ")))</f>
        <v/>
      </c>
      <c r="P16">
        <f>IF(OR($B16="",NOT(ISNUMBER(Settings!$C$9))),"",TRIM(SUBSTITUTE(SUBSTITUTE(INDEX('INPUT - Roster'!$S$1:$SV$206,$B16,Settings!$C$9+10)&amp;"",CHAR(10)," "),CHAR(160)," ")))</f>
        <v/>
      </c>
      <c r="Q16">
        <f>IF(OR($B16="",NOT(ISNUMBER(Settings!$C$9))),"",TRIM(SUBSTITUTE(SUBSTITUTE(INDEX('INPUT - Roster'!$S$1:$SV$206,$B16,Settings!$C$9+11)&amp;"",CHAR(10)," "),CHAR(160)," ")))</f>
        <v/>
      </c>
      <c r="R16">
        <f>IF(OR($B16="",NOT(ISNUMBER(Settings!$C$9))),"",TRIM(SUBSTITUTE(SUBSTITUTE(INDEX('INPUT - Roster'!$S$1:$SV$206,$B16,Settings!$C$9+12)&amp;"",CHAR(10)," "),CHAR(160)," ")))</f>
        <v/>
      </c>
      <c r="S16">
        <f>IF(OR($B16="",NOT(ISNUMBER(Settings!$C$9))),"",TRIM(SUBSTITUTE(SUBSTITUTE(INDEX('INPUT - Roster'!$S$1:$SV$206,$B16,Settings!$C$9+13)&amp;"",CHAR(10)," "),CHAR(160)," ")))</f>
        <v/>
      </c>
      <c r="T16">
        <f>IF(OR($B16="",NOT(ISNUMBER(Settings!$C$9))),"",TRIM(SUBSTITUTE(SUBSTITUTE(INDEX('INPUT - Roster'!$S$1:$SV$206,$B16,Settings!$C$9+14)&amp;"",CHAR(10)," "),CHAR(160)," ")))</f>
        <v/>
      </c>
      <c r="U16">
        <f>IF(OR($B16="",NOT(ISNUMBER(Settings!$C$9))),"",TRIM(SUBSTITUTE(SUBSTITUTE(INDEX('INPUT - Roster'!$S$1:$SV$206,$B16,Settings!$C$9+15)&amp;"",CHAR(10)," "),CHAR(160)," ")))</f>
        <v/>
      </c>
      <c r="V16">
        <f>IF(OR($B16="",NOT(ISNUMBER(Settings!$C$9))),"",TRIM(SUBSTITUTE(SUBSTITUTE(INDEX('INPUT - Roster'!$S$1:$SV$206,$B16,Settings!$C$9+16)&amp;"",CHAR(10)," "),CHAR(160)," ")))</f>
        <v/>
      </c>
      <c r="W16">
        <f>IF(OR($B16="",NOT(ISNUMBER(Settings!$C$9))),"",TRIM(SUBSTITUTE(SUBSTITUTE(INDEX('INPUT - Roster'!$S$1:$SV$206,$B16,Settings!$C$9+17)&amp;"",CHAR(10)," "),CHAR(160)," ")))</f>
        <v/>
      </c>
      <c r="X16">
        <f>IF(OR($B16="",NOT(ISNUMBER(Settings!$C$9))),"",TRIM(SUBSTITUTE(SUBSTITUTE(INDEX('INPUT - Roster'!$S$1:$SV$206,$B16,Settings!$C$9+18)&amp;"",CHAR(10)," "),CHAR(160)," ")))</f>
        <v/>
      </c>
      <c r="Y16">
        <f>IF(OR($B16="",NOT(ISNUMBER(Settings!$C$9))),"",TRIM(SUBSTITUTE(SUBSTITUTE(INDEX('INPUT - Roster'!$S$1:$SV$206,$B16,Settings!$C$9+19)&amp;"",CHAR(10)," "),CHAR(160)," ")))</f>
        <v/>
      </c>
      <c r="Z16">
        <f>IF(OR($B16="",NOT(ISNUMBER(Settings!$C$9))),"",TRIM(SUBSTITUTE(SUBSTITUTE(INDEX('INPUT - Roster'!$S$1:$SV$206,$B16,Settings!$C$9+20)&amp;"",CHAR(10)," "),CHAR(160)," ")))</f>
        <v/>
      </c>
      <c r="AA16">
        <f>IF(OR($B16="",NOT(ISNUMBER(Settings!$C$9))),"",TRIM(SUBSTITUTE(SUBSTITUTE(INDEX('INPUT - Roster'!$S$1:$SV$206,$B16,Settings!$C$9+21)&amp;"",CHAR(10)," "),CHAR(160)," ")))</f>
        <v/>
      </c>
      <c r="AB16">
        <f>IF(OR($B16="",NOT(ISNUMBER(Settings!$C$9))),"",TRIM(SUBSTITUTE(SUBSTITUTE(INDEX('INPUT - Roster'!$S$1:$SV$206,$B16,Settings!$C$9+22)&amp;"",CHAR(10)," "),CHAR(160)," ")))</f>
        <v/>
      </c>
      <c r="AC16">
        <f>IF(OR($B16="",NOT(ISNUMBER(Settings!$C$9))),"",TRIM(SUBSTITUTE(SUBSTITUTE(INDEX('INPUT - Roster'!$S$1:$SV$206,$B16,Settings!$C$9+23)&amp;"",CHAR(10)," "),CHAR(160)," ")))</f>
        <v/>
      </c>
      <c r="AD16">
        <f>IF(OR($B16="",NOT(ISNUMBER(Settings!$C$9))),"",TRIM(SUBSTITUTE(SUBSTITUTE(INDEX('INPUT - Roster'!$S$1:$SV$206,$B16,Settings!$C$9+24)&amp;"",CHAR(10)," "),CHAR(160)," ")))</f>
        <v/>
      </c>
      <c r="AE16">
        <f>IF(OR($B16="",NOT(ISNUMBER(Settings!$C$9))),"",TRIM(SUBSTITUTE(SUBSTITUTE(INDEX('INPUT - Roster'!$S$1:$SV$206,$B16,Settings!$C$9+25)&amp;"",CHAR(10)," "),CHAR(160)," ")))</f>
        <v/>
      </c>
      <c r="AF16">
        <f>IF(OR($B16="",NOT(ISNUMBER(Settings!$C$9))),"",TRIM(SUBSTITUTE(SUBSTITUTE(INDEX('INPUT - Roster'!$S$1:$SV$206,$B16,Settings!$C$9+26)&amp;"",CHAR(10)," "),CHAR(160)," ")))</f>
        <v/>
      </c>
      <c r="AG16">
        <f>IF(OR($B16="",NOT(ISNUMBER(Settings!$C$9))),"",TRIM(SUBSTITUTE(SUBSTITUTE(INDEX('INPUT - Roster'!$S$1:$SV$206,$B16,Settings!$C$9+27)&amp;"",CHAR(10)," "),CHAR(160)," ")))</f>
        <v/>
      </c>
      <c r="AI16">
        <f>IF($B16="","",IF(F16="","Not rostered",IFERROR(INDEX(Settings!$C$14:$C$33,MATCH(F16,Settings!$B$14:$B$33,0)),IFERROR(LOOKUP(2^15,SEARCH(Settings!$I$14:$I$83,F16)/(Settings!$I$14:$I$83&lt;&gt;""),Settings!$J$14:$J$83),"Other"))))</f>
        <v/>
      </c>
      <c r="AJ16">
        <f>IF($B16="","",IF(G16="","Not rostered",IFERROR(INDEX(Settings!$C$14:$C$33,MATCH(G16,Settings!$B$14:$B$33,0)),IFERROR(LOOKUP(2^15,SEARCH(Settings!$I$14:$I$83,G16)/(Settings!$I$14:$I$83&lt;&gt;""),Settings!$J$14:$J$83),"Other"))))</f>
        <v/>
      </c>
      <c r="AK16">
        <f>IF($B16="","",IF(H16="","Not rostered",IFERROR(INDEX(Settings!$C$14:$C$33,MATCH(H16,Settings!$B$14:$B$33,0)),IFERROR(LOOKUP(2^15,SEARCH(Settings!$I$14:$I$83,H16)/(Settings!$I$14:$I$83&lt;&gt;""),Settings!$J$14:$J$83),"Other"))))</f>
        <v/>
      </c>
      <c r="AL16">
        <f>IF($B16="","",IF(I16="","Not rostered",IFERROR(INDEX(Settings!$C$14:$C$33,MATCH(I16,Settings!$B$14:$B$33,0)),IFERROR(LOOKUP(2^15,SEARCH(Settings!$I$14:$I$83,I16)/(Settings!$I$14:$I$83&lt;&gt;""),Settings!$J$14:$J$83),"Other"))))</f>
        <v/>
      </c>
      <c r="AM16">
        <f>IF($B16="","",IF(J16="","Not rostered",IFERROR(INDEX(Settings!$C$14:$C$33,MATCH(J16,Settings!$B$14:$B$33,0)),IFERROR(LOOKUP(2^15,SEARCH(Settings!$I$14:$I$83,J16)/(Settings!$I$14:$I$83&lt;&gt;""),Settings!$J$14:$J$83),"Other"))))</f>
        <v/>
      </c>
      <c r="AN16">
        <f>IF($B16="","",IF(K16="","Not rostered",IFERROR(INDEX(Settings!$C$14:$C$33,MATCH(K16,Settings!$B$14:$B$33,0)),IFERROR(LOOKUP(2^15,SEARCH(Settings!$I$14:$I$83,K16)/(Settings!$I$14:$I$83&lt;&gt;""),Settings!$J$14:$J$83),"Other"))))</f>
        <v/>
      </c>
      <c r="AO16">
        <f>IF($B16="","",IF(L16="","Not rostered",IFERROR(INDEX(Settings!$C$14:$C$33,MATCH(L16,Settings!$B$14:$B$33,0)),IFERROR(LOOKUP(2^15,SEARCH(Settings!$I$14:$I$83,L16)/(Settings!$I$14:$I$83&lt;&gt;""),Settings!$J$14:$J$83),"Other"))))</f>
        <v/>
      </c>
      <c r="AP16">
        <f>IF($B16="","",IF(M16="","Not rostered",IFERROR(INDEX(Settings!$C$14:$C$33,MATCH(M16,Settings!$B$14:$B$33,0)),IFERROR(LOOKUP(2^15,SEARCH(Settings!$I$14:$I$83,M16)/(Settings!$I$14:$I$83&lt;&gt;""),Settings!$J$14:$J$83),"Other"))))</f>
        <v/>
      </c>
      <c r="AQ16">
        <f>IF($B16="","",IF(N16="","Not rostered",IFERROR(INDEX(Settings!$C$14:$C$33,MATCH(N16,Settings!$B$14:$B$33,0)),IFERROR(LOOKUP(2^15,SEARCH(Settings!$I$14:$I$83,N16)/(Settings!$I$14:$I$83&lt;&gt;""),Settings!$J$14:$J$83),"Other"))))</f>
        <v/>
      </c>
      <c r="AR16">
        <f>IF($B16="","",IF(O16="","Not rostered",IFERROR(INDEX(Settings!$C$14:$C$33,MATCH(O16,Settings!$B$14:$B$33,0)),IFERROR(LOOKUP(2^15,SEARCH(Settings!$I$14:$I$83,O16)/(Settings!$I$14:$I$83&lt;&gt;""),Settings!$J$14:$J$83),"Other"))))</f>
        <v/>
      </c>
      <c r="AS16">
        <f>IF($B16="","",IF(P16="","Not rostered",IFERROR(INDEX(Settings!$C$14:$C$33,MATCH(P16,Settings!$B$14:$B$33,0)),IFERROR(LOOKUP(2^15,SEARCH(Settings!$I$14:$I$83,P16)/(Settings!$I$14:$I$83&lt;&gt;""),Settings!$J$14:$J$83),"Other"))))</f>
        <v/>
      </c>
      <c r="AT16">
        <f>IF($B16="","",IF(Q16="","Not rostered",IFERROR(INDEX(Settings!$C$14:$C$33,MATCH(Q16,Settings!$B$14:$B$33,0)),IFERROR(LOOKUP(2^15,SEARCH(Settings!$I$14:$I$83,Q16)/(Settings!$I$14:$I$83&lt;&gt;""),Settings!$J$14:$J$83),"Other"))))</f>
        <v/>
      </c>
      <c r="AU16">
        <f>IF($B16="","",IF(R16="","Not rostered",IFERROR(INDEX(Settings!$C$14:$C$33,MATCH(R16,Settings!$B$14:$B$33,0)),IFERROR(LOOKUP(2^15,SEARCH(Settings!$I$14:$I$83,R16)/(Settings!$I$14:$I$83&lt;&gt;""),Settings!$J$14:$J$83),"Other"))))</f>
        <v/>
      </c>
      <c r="AV16">
        <f>IF($B16="","",IF(S16="","Not rostered",IFERROR(INDEX(Settings!$C$14:$C$33,MATCH(S16,Settings!$B$14:$B$33,0)),IFERROR(LOOKUP(2^15,SEARCH(Settings!$I$14:$I$83,S16)/(Settings!$I$14:$I$83&lt;&gt;""),Settings!$J$14:$J$83),"Other"))))</f>
        <v/>
      </c>
      <c r="AW16">
        <f>IF($B16="","",IF(T16="","Not rostered",IFERROR(INDEX(Settings!$C$14:$C$33,MATCH(T16,Settings!$B$14:$B$33,0)),IFERROR(LOOKUP(2^15,SEARCH(Settings!$I$14:$I$83,T16)/(Settings!$I$14:$I$83&lt;&gt;""),Settings!$J$14:$J$83),"Other"))))</f>
        <v/>
      </c>
      <c r="AX16">
        <f>IF($B16="","",IF(U16="","Not rostered",IFERROR(INDEX(Settings!$C$14:$C$33,MATCH(U16,Settings!$B$14:$B$33,0)),IFERROR(LOOKUP(2^15,SEARCH(Settings!$I$14:$I$83,U16)/(Settings!$I$14:$I$83&lt;&gt;""),Settings!$J$14:$J$83),"Other"))))</f>
        <v/>
      </c>
      <c r="AY16">
        <f>IF($B16="","",IF(V16="","Not rostered",IFERROR(INDEX(Settings!$C$14:$C$33,MATCH(V16,Settings!$B$14:$B$33,0)),IFERROR(LOOKUP(2^15,SEARCH(Settings!$I$14:$I$83,V16)/(Settings!$I$14:$I$83&lt;&gt;""),Settings!$J$14:$J$83),"Other"))))</f>
        <v/>
      </c>
      <c r="AZ16">
        <f>IF($B16="","",IF(W16="","Not rostered",IFERROR(INDEX(Settings!$C$14:$C$33,MATCH(W16,Settings!$B$14:$B$33,0)),IFERROR(LOOKUP(2^15,SEARCH(Settings!$I$14:$I$83,W16)/(Settings!$I$14:$I$83&lt;&gt;""),Settings!$J$14:$J$83),"Other"))))</f>
        <v/>
      </c>
      <c r="BA16">
        <f>IF($B16="","",IF(X16="","Not rostered",IFERROR(INDEX(Settings!$C$14:$C$33,MATCH(X16,Settings!$B$14:$B$33,0)),IFERROR(LOOKUP(2^15,SEARCH(Settings!$I$14:$I$83,X16)/(Settings!$I$14:$I$83&lt;&gt;""),Settings!$J$14:$J$83),"Other"))))</f>
        <v/>
      </c>
      <c r="BB16">
        <f>IF($B16="","",IF(Y16="","Not rostered",IFERROR(INDEX(Settings!$C$14:$C$33,MATCH(Y16,Settings!$B$14:$B$33,0)),IFERROR(LOOKUP(2^15,SEARCH(Settings!$I$14:$I$83,Y16)/(Settings!$I$14:$I$83&lt;&gt;""),Settings!$J$14:$J$83),"Other"))))</f>
        <v/>
      </c>
      <c r="BC16">
        <f>IF($B16="","",IF(Z16="","Not rostered",IFERROR(INDEX(Settings!$C$14:$C$33,MATCH(Z16,Settings!$B$14:$B$33,0)),IFERROR(LOOKUP(2^15,SEARCH(Settings!$I$14:$I$83,Z16)/(Settings!$I$14:$I$83&lt;&gt;""),Settings!$J$14:$J$83),"Other"))))</f>
        <v/>
      </c>
      <c r="BD16">
        <f>IF($B16="","",IF(AA16="","Not rostered",IFERROR(INDEX(Settings!$C$14:$C$33,MATCH(AA16,Settings!$B$14:$B$33,0)),IFERROR(LOOKUP(2^15,SEARCH(Settings!$I$14:$I$83,AA16)/(Settings!$I$14:$I$83&lt;&gt;""),Settings!$J$14:$J$83),"Other"))))</f>
        <v/>
      </c>
      <c r="BE16">
        <f>IF($B16="","",IF(AB16="","Not rostered",IFERROR(INDEX(Settings!$C$14:$C$33,MATCH(AB16,Settings!$B$14:$B$33,0)),IFERROR(LOOKUP(2^15,SEARCH(Settings!$I$14:$I$83,AB16)/(Settings!$I$14:$I$83&lt;&gt;""),Settings!$J$14:$J$83),"Other"))))</f>
        <v/>
      </c>
      <c r="BF16">
        <f>IF($B16="","",IF(AC16="","Not rostered",IFERROR(INDEX(Settings!$C$14:$C$33,MATCH(AC16,Settings!$B$14:$B$33,0)),IFERROR(LOOKUP(2^15,SEARCH(Settings!$I$14:$I$83,AC16)/(Settings!$I$14:$I$83&lt;&gt;""),Settings!$J$14:$J$83),"Other"))))</f>
        <v/>
      </c>
      <c r="BG16">
        <f>IF($B16="","",IF(AD16="","Not rostered",IFERROR(INDEX(Settings!$C$14:$C$33,MATCH(AD16,Settings!$B$14:$B$33,0)),IFERROR(LOOKUP(2^15,SEARCH(Settings!$I$14:$I$83,AD16)/(Settings!$I$14:$I$83&lt;&gt;""),Settings!$J$14:$J$83),"Other"))))</f>
        <v/>
      </c>
      <c r="BH16">
        <f>IF($B16="","",IF(AE16="","Not rostered",IFERROR(INDEX(Settings!$C$14:$C$33,MATCH(AE16,Settings!$B$14:$B$33,0)),IFERROR(LOOKUP(2^15,SEARCH(Settings!$I$14:$I$83,AE16)/(Settings!$I$14:$I$83&lt;&gt;""),Settings!$J$14:$J$83),"Other"))))</f>
        <v/>
      </c>
      <c r="BI16">
        <f>IF($B16="","",IF(AF16="","Not rostered",IFERROR(INDEX(Settings!$C$14:$C$33,MATCH(AF16,Settings!$B$14:$B$33,0)),IFERROR(LOOKUP(2^15,SEARCH(Settings!$I$14:$I$83,AF16)/(Settings!$I$14:$I$83&lt;&gt;""),Settings!$J$14:$J$83),"Other"))))</f>
        <v/>
      </c>
      <c r="BJ16">
        <f>IF($B16="","",IF(AG16="","Not rostered",IFERROR(INDEX(Settings!$C$14:$C$33,MATCH(AG16,Settings!$B$14:$B$33,0)),IFERROR(LOOKUP(2^15,SEARCH(Settings!$I$14:$I$83,AG16)/(Settings!$I$14:$I$83&lt;&gt;""),Settings!$J$14:$J$83),"Other"))))</f>
        <v/>
      </c>
      <c r="BL16">
        <f>IF(OR($B16="",F16=""),"",IFERROR(INDEX(Settings!$D$14:$D$33,MATCH(F16,Settings!$B$14:$B$33,0))&amp;"",IFERROR(LOOKUP(2^15,SEARCH(Settings!$F$14:$F$43,F16)/(Settings!$F$14:$F$43&lt;&gt;""),Settings!$G$14:$G$43),"")))</f>
        <v/>
      </c>
      <c r="BM16">
        <f>IF(OR($B16="",G16=""),"",IFERROR(INDEX(Settings!$D$14:$D$33,MATCH(G16,Settings!$B$14:$B$33,0))&amp;"",IFERROR(LOOKUP(2^15,SEARCH(Settings!$F$14:$F$43,G16)/(Settings!$F$14:$F$43&lt;&gt;""),Settings!$G$14:$G$43),"")))</f>
        <v/>
      </c>
      <c r="BN16">
        <f>IF(OR($B16="",H16=""),"",IFERROR(INDEX(Settings!$D$14:$D$33,MATCH(H16,Settings!$B$14:$B$33,0))&amp;"",IFERROR(LOOKUP(2^15,SEARCH(Settings!$F$14:$F$43,H16)/(Settings!$F$14:$F$43&lt;&gt;""),Settings!$G$14:$G$43),"")))</f>
        <v/>
      </c>
      <c r="BO16">
        <f>IF(OR($B16="",I16=""),"",IFERROR(INDEX(Settings!$D$14:$D$33,MATCH(I16,Settings!$B$14:$B$33,0))&amp;"",IFERROR(LOOKUP(2^15,SEARCH(Settings!$F$14:$F$43,I16)/(Settings!$F$14:$F$43&lt;&gt;""),Settings!$G$14:$G$43),"")))</f>
        <v/>
      </c>
      <c r="BP16">
        <f>IF(OR($B16="",J16=""),"",IFERROR(INDEX(Settings!$D$14:$D$33,MATCH(J16,Settings!$B$14:$B$33,0))&amp;"",IFERROR(LOOKUP(2^15,SEARCH(Settings!$F$14:$F$43,J16)/(Settings!$F$14:$F$43&lt;&gt;""),Settings!$G$14:$G$43),"")))</f>
        <v/>
      </c>
      <c r="BQ16">
        <f>IF(OR($B16="",K16=""),"",IFERROR(INDEX(Settings!$D$14:$D$33,MATCH(K16,Settings!$B$14:$B$33,0))&amp;"",IFERROR(LOOKUP(2^15,SEARCH(Settings!$F$14:$F$43,K16)/(Settings!$F$14:$F$43&lt;&gt;""),Settings!$G$14:$G$43),"")))</f>
        <v/>
      </c>
      <c r="BR16">
        <f>IF(OR($B16="",L16=""),"",IFERROR(INDEX(Settings!$D$14:$D$33,MATCH(L16,Settings!$B$14:$B$33,0))&amp;"",IFERROR(LOOKUP(2^15,SEARCH(Settings!$F$14:$F$43,L16)/(Settings!$F$14:$F$43&lt;&gt;""),Settings!$G$14:$G$43),"")))</f>
        <v/>
      </c>
      <c r="BS16">
        <f>IF(OR($B16="",M16=""),"",IFERROR(INDEX(Settings!$D$14:$D$33,MATCH(M16,Settings!$B$14:$B$33,0))&amp;"",IFERROR(LOOKUP(2^15,SEARCH(Settings!$F$14:$F$43,M16)/(Settings!$F$14:$F$43&lt;&gt;""),Settings!$G$14:$G$43),"")))</f>
        <v/>
      </c>
      <c r="BT16">
        <f>IF(OR($B16="",N16=""),"",IFERROR(INDEX(Settings!$D$14:$D$33,MATCH(N16,Settings!$B$14:$B$33,0))&amp;"",IFERROR(LOOKUP(2^15,SEARCH(Settings!$F$14:$F$43,N16)/(Settings!$F$14:$F$43&lt;&gt;""),Settings!$G$14:$G$43),"")))</f>
        <v/>
      </c>
      <c r="BU16">
        <f>IF(OR($B16="",O16=""),"",IFERROR(INDEX(Settings!$D$14:$D$33,MATCH(O16,Settings!$B$14:$B$33,0))&amp;"",IFERROR(LOOKUP(2^15,SEARCH(Settings!$F$14:$F$43,O16)/(Settings!$F$14:$F$43&lt;&gt;""),Settings!$G$14:$G$43),"")))</f>
        <v/>
      </c>
      <c r="BV16">
        <f>IF(OR($B16="",P16=""),"",IFERROR(INDEX(Settings!$D$14:$D$33,MATCH(P16,Settings!$B$14:$B$33,0))&amp;"",IFERROR(LOOKUP(2^15,SEARCH(Settings!$F$14:$F$43,P16)/(Settings!$F$14:$F$43&lt;&gt;""),Settings!$G$14:$G$43),"")))</f>
        <v/>
      </c>
      <c r="BW16">
        <f>IF(OR($B16="",Q16=""),"",IFERROR(INDEX(Settings!$D$14:$D$33,MATCH(Q16,Settings!$B$14:$B$33,0))&amp;"",IFERROR(LOOKUP(2^15,SEARCH(Settings!$F$14:$F$43,Q16)/(Settings!$F$14:$F$43&lt;&gt;""),Settings!$G$14:$G$43),"")))</f>
        <v/>
      </c>
      <c r="BX16">
        <f>IF(OR($B16="",R16=""),"",IFERROR(INDEX(Settings!$D$14:$D$33,MATCH(R16,Settings!$B$14:$B$33,0))&amp;"",IFERROR(LOOKUP(2^15,SEARCH(Settings!$F$14:$F$43,R16)/(Settings!$F$14:$F$43&lt;&gt;""),Settings!$G$14:$G$43),"")))</f>
        <v/>
      </c>
      <c r="BY16">
        <f>IF(OR($B16="",S16=""),"",IFERROR(INDEX(Settings!$D$14:$D$33,MATCH(S16,Settings!$B$14:$B$33,0))&amp;"",IFERROR(LOOKUP(2^15,SEARCH(Settings!$F$14:$F$43,S16)/(Settings!$F$14:$F$43&lt;&gt;""),Settings!$G$14:$G$43),"")))</f>
        <v/>
      </c>
      <c r="BZ16">
        <f>IF(OR($B16="",T16=""),"",IFERROR(INDEX(Settings!$D$14:$D$33,MATCH(T16,Settings!$B$14:$B$33,0))&amp;"",IFERROR(LOOKUP(2^15,SEARCH(Settings!$F$14:$F$43,T16)/(Settings!$F$14:$F$43&lt;&gt;""),Settings!$G$14:$G$43),"")))</f>
        <v/>
      </c>
      <c r="CA16">
        <f>IF(OR($B16="",U16=""),"",IFERROR(INDEX(Settings!$D$14:$D$33,MATCH(U16,Settings!$B$14:$B$33,0))&amp;"",IFERROR(LOOKUP(2^15,SEARCH(Settings!$F$14:$F$43,U16)/(Settings!$F$14:$F$43&lt;&gt;""),Settings!$G$14:$G$43),"")))</f>
        <v/>
      </c>
      <c r="CB16">
        <f>IF(OR($B16="",V16=""),"",IFERROR(INDEX(Settings!$D$14:$D$33,MATCH(V16,Settings!$B$14:$B$33,0))&amp;"",IFERROR(LOOKUP(2^15,SEARCH(Settings!$F$14:$F$43,V16)/(Settings!$F$14:$F$43&lt;&gt;""),Settings!$G$14:$G$43),"")))</f>
        <v/>
      </c>
      <c r="CC16">
        <f>IF(OR($B16="",W16=""),"",IFERROR(INDEX(Settings!$D$14:$D$33,MATCH(W16,Settings!$B$14:$B$33,0))&amp;"",IFERROR(LOOKUP(2^15,SEARCH(Settings!$F$14:$F$43,W16)/(Settings!$F$14:$F$43&lt;&gt;""),Settings!$G$14:$G$43),"")))</f>
        <v/>
      </c>
      <c r="CD16">
        <f>IF(OR($B16="",X16=""),"",IFERROR(INDEX(Settings!$D$14:$D$33,MATCH(X16,Settings!$B$14:$B$33,0))&amp;"",IFERROR(LOOKUP(2^15,SEARCH(Settings!$F$14:$F$43,X16)/(Settings!$F$14:$F$43&lt;&gt;""),Settings!$G$14:$G$43),"")))</f>
        <v/>
      </c>
      <c r="CE16">
        <f>IF(OR($B16="",Y16=""),"",IFERROR(INDEX(Settings!$D$14:$D$33,MATCH(Y16,Settings!$B$14:$B$33,0))&amp;"",IFERROR(LOOKUP(2^15,SEARCH(Settings!$F$14:$F$43,Y16)/(Settings!$F$14:$F$43&lt;&gt;""),Settings!$G$14:$G$43),"")))</f>
        <v/>
      </c>
      <c r="CF16">
        <f>IF(OR($B16="",Z16=""),"",IFERROR(INDEX(Settings!$D$14:$D$33,MATCH(Z16,Settings!$B$14:$B$33,0))&amp;"",IFERROR(LOOKUP(2^15,SEARCH(Settings!$F$14:$F$43,Z16)/(Settings!$F$14:$F$43&lt;&gt;""),Settings!$G$14:$G$43),"")))</f>
        <v/>
      </c>
      <c r="CG16">
        <f>IF(OR($B16="",AA16=""),"",IFERROR(INDEX(Settings!$D$14:$D$33,MATCH(AA16,Settings!$B$14:$B$33,0))&amp;"",IFERROR(LOOKUP(2^15,SEARCH(Settings!$F$14:$F$43,AA16)/(Settings!$F$14:$F$43&lt;&gt;""),Settings!$G$14:$G$43),"")))</f>
        <v/>
      </c>
      <c r="CH16">
        <f>IF(OR($B16="",AB16=""),"",IFERROR(INDEX(Settings!$D$14:$D$33,MATCH(AB16,Settings!$B$14:$B$33,0))&amp;"",IFERROR(LOOKUP(2^15,SEARCH(Settings!$F$14:$F$43,AB16)/(Settings!$F$14:$F$43&lt;&gt;""),Settings!$G$14:$G$43),"")))</f>
        <v/>
      </c>
      <c r="CI16">
        <f>IF(OR($B16="",AC16=""),"",IFERROR(INDEX(Settings!$D$14:$D$33,MATCH(AC16,Settings!$B$14:$B$33,0))&amp;"",IFERROR(LOOKUP(2^15,SEARCH(Settings!$F$14:$F$43,AC16)/(Settings!$F$14:$F$43&lt;&gt;""),Settings!$G$14:$G$43),"")))</f>
        <v/>
      </c>
      <c r="CJ16">
        <f>IF(OR($B16="",AD16=""),"",IFERROR(INDEX(Settings!$D$14:$D$33,MATCH(AD16,Settings!$B$14:$B$33,0))&amp;"",IFERROR(LOOKUP(2^15,SEARCH(Settings!$F$14:$F$43,AD16)/(Settings!$F$14:$F$43&lt;&gt;""),Settings!$G$14:$G$43),"")))</f>
        <v/>
      </c>
      <c r="CK16">
        <f>IF(OR($B16="",AE16=""),"",IFERROR(INDEX(Settings!$D$14:$D$33,MATCH(AE16,Settings!$B$14:$B$33,0))&amp;"",IFERROR(LOOKUP(2^15,SEARCH(Settings!$F$14:$F$43,AE16)/(Settings!$F$14:$F$43&lt;&gt;""),Settings!$G$14:$G$43),"")))</f>
        <v/>
      </c>
      <c r="CL16">
        <f>IF(OR($B16="",AF16=""),"",IFERROR(INDEX(Settings!$D$14:$D$33,MATCH(AF16,Settings!$B$14:$B$33,0))&amp;"",IFERROR(LOOKUP(2^15,SEARCH(Settings!$F$14:$F$43,AF16)/(Settings!$F$14:$F$43&lt;&gt;""),Settings!$G$14:$G$43),"")))</f>
        <v/>
      </c>
      <c r="CM16">
        <f>IF(OR($B16="",AG16=""),"",IFERROR(INDEX(Settings!$D$14:$D$33,MATCH(AG16,Settings!$B$14:$B$33,0))&amp;"",IFERROR(LOOKUP(2^15,SEARCH(Settings!$F$14:$F$43,AG16)/(Settings!$F$14:$F$43&lt;&gt;""),Settings!$G$14:$G$43),"")))</f>
        <v/>
      </c>
    </row>
    <row r="17">
      <c r="A17" t="n">
        <v>15</v>
      </c>
      <c r="B17">
        <f>IFERROR(INDEX(Index!$A$2:$A$202,MATCH(A17,Index!$E$2:$E$202,0)),"")</f>
        <v/>
      </c>
      <c r="D17">
        <f>IF($B17="","",IFERROR(MATCH("Travel*",AI17:BJ17,0),""))</f>
        <v/>
      </c>
      <c r="F17">
        <f>IF(OR($B17="",NOT(ISNUMBER(Settings!$C$9))),"",TRIM(SUBSTITUTE(SUBSTITUTE(INDEX('INPUT - Roster'!$S$1:$SV$206,$B17,Settings!$C$9+0)&amp;"",CHAR(10)," "),CHAR(160)," ")))</f>
        <v/>
      </c>
      <c r="G17">
        <f>IF(OR($B17="",NOT(ISNUMBER(Settings!$C$9))),"",TRIM(SUBSTITUTE(SUBSTITUTE(INDEX('INPUT - Roster'!$S$1:$SV$206,$B17,Settings!$C$9+1)&amp;"",CHAR(10)," "),CHAR(160)," ")))</f>
        <v/>
      </c>
      <c r="H17">
        <f>IF(OR($B17="",NOT(ISNUMBER(Settings!$C$9))),"",TRIM(SUBSTITUTE(SUBSTITUTE(INDEX('INPUT - Roster'!$S$1:$SV$206,$B17,Settings!$C$9+2)&amp;"",CHAR(10)," "),CHAR(160)," ")))</f>
        <v/>
      </c>
      <c r="I17">
        <f>IF(OR($B17="",NOT(ISNUMBER(Settings!$C$9))),"",TRIM(SUBSTITUTE(SUBSTITUTE(INDEX('INPUT - Roster'!$S$1:$SV$206,$B17,Settings!$C$9+3)&amp;"",CHAR(10)," "),CHAR(160)," ")))</f>
        <v/>
      </c>
      <c r="J17">
        <f>IF(OR($B17="",NOT(ISNUMBER(Settings!$C$9))),"",TRIM(SUBSTITUTE(SUBSTITUTE(INDEX('INPUT - Roster'!$S$1:$SV$206,$B17,Settings!$C$9+4)&amp;"",CHAR(10)," "),CHAR(160)," ")))</f>
        <v/>
      </c>
      <c r="K17">
        <f>IF(OR($B17="",NOT(ISNUMBER(Settings!$C$9))),"",TRIM(SUBSTITUTE(SUBSTITUTE(INDEX('INPUT - Roster'!$S$1:$SV$206,$B17,Settings!$C$9+5)&amp;"",CHAR(10)," "),CHAR(160)," ")))</f>
        <v/>
      </c>
      <c r="L17">
        <f>IF(OR($B17="",NOT(ISNUMBER(Settings!$C$9))),"",TRIM(SUBSTITUTE(SUBSTITUTE(INDEX('INPUT - Roster'!$S$1:$SV$206,$B17,Settings!$C$9+6)&amp;"",CHAR(10)," "),CHAR(160)," ")))</f>
        <v/>
      </c>
      <c r="M17">
        <f>IF(OR($B17="",NOT(ISNUMBER(Settings!$C$9))),"",TRIM(SUBSTITUTE(SUBSTITUTE(INDEX('INPUT - Roster'!$S$1:$SV$206,$B17,Settings!$C$9+7)&amp;"",CHAR(10)," "),CHAR(160)," ")))</f>
        <v/>
      </c>
      <c r="N17">
        <f>IF(OR($B17="",NOT(ISNUMBER(Settings!$C$9))),"",TRIM(SUBSTITUTE(SUBSTITUTE(INDEX('INPUT - Roster'!$S$1:$SV$206,$B17,Settings!$C$9+8)&amp;"",CHAR(10)," "),CHAR(160)," ")))</f>
        <v/>
      </c>
      <c r="O17">
        <f>IF(OR($B17="",NOT(ISNUMBER(Settings!$C$9))),"",TRIM(SUBSTITUTE(SUBSTITUTE(INDEX('INPUT - Roster'!$S$1:$SV$206,$B17,Settings!$C$9+9)&amp;"",CHAR(10)," "),CHAR(160)," ")))</f>
        <v/>
      </c>
      <c r="P17">
        <f>IF(OR($B17="",NOT(ISNUMBER(Settings!$C$9))),"",TRIM(SUBSTITUTE(SUBSTITUTE(INDEX('INPUT - Roster'!$S$1:$SV$206,$B17,Settings!$C$9+10)&amp;"",CHAR(10)," "),CHAR(160)," ")))</f>
        <v/>
      </c>
      <c r="Q17">
        <f>IF(OR($B17="",NOT(ISNUMBER(Settings!$C$9))),"",TRIM(SUBSTITUTE(SUBSTITUTE(INDEX('INPUT - Roster'!$S$1:$SV$206,$B17,Settings!$C$9+11)&amp;"",CHAR(10)," "),CHAR(160)," ")))</f>
        <v/>
      </c>
      <c r="R17">
        <f>IF(OR($B17="",NOT(ISNUMBER(Settings!$C$9))),"",TRIM(SUBSTITUTE(SUBSTITUTE(INDEX('INPUT - Roster'!$S$1:$SV$206,$B17,Settings!$C$9+12)&amp;"",CHAR(10)," "),CHAR(160)," ")))</f>
        <v/>
      </c>
      <c r="S17">
        <f>IF(OR($B17="",NOT(ISNUMBER(Settings!$C$9))),"",TRIM(SUBSTITUTE(SUBSTITUTE(INDEX('INPUT - Roster'!$S$1:$SV$206,$B17,Settings!$C$9+13)&amp;"",CHAR(10)," "),CHAR(160)," ")))</f>
        <v/>
      </c>
      <c r="T17">
        <f>IF(OR($B17="",NOT(ISNUMBER(Settings!$C$9))),"",TRIM(SUBSTITUTE(SUBSTITUTE(INDEX('INPUT - Roster'!$S$1:$SV$206,$B17,Settings!$C$9+14)&amp;"",CHAR(10)," "),CHAR(160)," ")))</f>
        <v/>
      </c>
      <c r="U17">
        <f>IF(OR($B17="",NOT(ISNUMBER(Settings!$C$9))),"",TRIM(SUBSTITUTE(SUBSTITUTE(INDEX('INPUT - Roster'!$S$1:$SV$206,$B17,Settings!$C$9+15)&amp;"",CHAR(10)," "),CHAR(160)," ")))</f>
        <v/>
      </c>
      <c r="V17">
        <f>IF(OR($B17="",NOT(ISNUMBER(Settings!$C$9))),"",TRIM(SUBSTITUTE(SUBSTITUTE(INDEX('INPUT - Roster'!$S$1:$SV$206,$B17,Settings!$C$9+16)&amp;"",CHAR(10)," "),CHAR(160)," ")))</f>
        <v/>
      </c>
      <c r="W17">
        <f>IF(OR($B17="",NOT(ISNUMBER(Settings!$C$9))),"",TRIM(SUBSTITUTE(SUBSTITUTE(INDEX('INPUT - Roster'!$S$1:$SV$206,$B17,Settings!$C$9+17)&amp;"",CHAR(10)," "),CHAR(160)," ")))</f>
        <v/>
      </c>
      <c r="X17">
        <f>IF(OR($B17="",NOT(ISNUMBER(Settings!$C$9))),"",TRIM(SUBSTITUTE(SUBSTITUTE(INDEX('INPUT - Roster'!$S$1:$SV$206,$B17,Settings!$C$9+18)&amp;"",CHAR(10)," "),CHAR(160)," ")))</f>
        <v/>
      </c>
      <c r="Y17">
        <f>IF(OR($B17="",NOT(ISNUMBER(Settings!$C$9))),"",TRIM(SUBSTITUTE(SUBSTITUTE(INDEX('INPUT - Roster'!$S$1:$SV$206,$B17,Settings!$C$9+19)&amp;"",CHAR(10)," "),CHAR(160)," ")))</f>
        <v/>
      </c>
      <c r="Z17">
        <f>IF(OR($B17="",NOT(ISNUMBER(Settings!$C$9))),"",TRIM(SUBSTITUTE(SUBSTITUTE(INDEX('INPUT - Roster'!$S$1:$SV$206,$B17,Settings!$C$9+20)&amp;"",CHAR(10)," "),CHAR(160)," ")))</f>
        <v/>
      </c>
      <c r="AA17">
        <f>IF(OR($B17="",NOT(ISNUMBER(Settings!$C$9))),"",TRIM(SUBSTITUTE(SUBSTITUTE(INDEX('INPUT - Roster'!$S$1:$SV$206,$B17,Settings!$C$9+21)&amp;"",CHAR(10)," "),CHAR(160)," ")))</f>
        <v/>
      </c>
      <c r="AB17">
        <f>IF(OR($B17="",NOT(ISNUMBER(Settings!$C$9))),"",TRIM(SUBSTITUTE(SUBSTITUTE(INDEX('INPUT - Roster'!$S$1:$SV$206,$B17,Settings!$C$9+22)&amp;"",CHAR(10)," "),CHAR(160)," ")))</f>
        <v/>
      </c>
      <c r="AC17">
        <f>IF(OR($B17="",NOT(ISNUMBER(Settings!$C$9))),"",TRIM(SUBSTITUTE(SUBSTITUTE(INDEX('INPUT - Roster'!$S$1:$SV$206,$B17,Settings!$C$9+23)&amp;"",CHAR(10)," "),CHAR(160)," ")))</f>
        <v/>
      </c>
      <c r="AD17">
        <f>IF(OR($B17="",NOT(ISNUMBER(Settings!$C$9))),"",TRIM(SUBSTITUTE(SUBSTITUTE(INDEX('INPUT - Roster'!$S$1:$SV$206,$B17,Settings!$C$9+24)&amp;"",CHAR(10)," "),CHAR(160)," ")))</f>
        <v/>
      </c>
      <c r="AE17">
        <f>IF(OR($B17="",NOT(ISNUMBER(Settings!$C$9))),"",TRIM(SUBSTITUTE(SUBSTITUTE(INDEX('INPUT - Roster'!$S$1:$SV$206,$B17,Settings!$C$9+25)&amp;"",CHAR(10)," "),CHAR(160)," ")))</f>
        <v/>
      </c>
      <c r="AF17">
        <f>IF(OR($B17="",NOT(ISNUMBER(Settings!$C$9))),"",TRIM(SUBSTITUTE(SUBSTITUTE(INDEX('INPUT - Roster'!$S$1:$SV$206,$B17,Settings!$C$9+26)&amp;"",CHAR(10)," "),CHAR(160)," ")))</f>
        <v/>
      </c>
      <c r="AG17">
        <f>IF(OR($B17="",NOT(ISNUMBER(Settings!$C$9))),"",TRIM(SUBSTITUTE(SUBSTITUTE(INDEX('INPUT - Roster'!$S$1:$SV$206,$B17,Settings!$C$9+27)&amp;"",CHAR(10)," "),CHAR(160)," ")))</f>
        <v/>
      </c>
      <c r="AI17">
        <f>IF($B17="","",IF(F17="","Not rostered",IFERROR(INDEX(Settings!$C$14:$C$33,MATCH(F17,Settings!$B$14:$B$33,0)),IFERROR(LOOKUP(2^15,SEARCH(Settings!$I$14:$I$83,F17)/(Settings!$I$14:$I$83&lt;&gt;""),Settings!$J$14:$J$83),"Other"))))</f>
        <v/>
      </c>
      <c r="AJ17">
        <f>IF($B17="","",IF(G17="","Not rostered",IFERROR(INDEX(Settings!$C$14:$C$33,MATCH(G17,Settings!$B$14:$B$33,0)),IFERROR(LOOKUP(2^15,SEARCH(Settings!$I$14:$I$83,G17)/(Settings!$I$14:$I$83&lt;&gt;""),Settings!$J$14:$J$83),"Other"))))</f>
        <v/>
      </c>
      <c r="AK17">
        <f>IF($B17="","",IF(H17="","Not rostered",IFERROR(INDEX(Settings!$C$14:$C$33,MATCH(H17,Settings!$B$14:$B$33,0)),IFERROR(LOOKUP(2^15,SEARCH(Settings!$I$14:$I$83,H17)/(Settings!$I$14:$I$83&lt;&gt;""),Settings!$J$14:$J$83),"Other"))))</f>
        <v/>
      </c>
      <c r="AL17">
        <f>IF($B17="","",IF(I17="","Not rostered",IFERROR(INDEX(Settings!$C$14:$C$33,MATCH(I17,Settings!$B$14:$B$33,0)),IFERROR(LOOKUP(2^15,SEARCH(Settings!$I$14:$I$83,I17)/(Settings!$I$14:$I$83&lt;&gt;""),Settings!$J$14:$J$83),"Other"))))</f>
        <v/>
      </c>
      <c r="AM17">
        <f>IF($B17="","",IF(J17="","Not rostered",IFERROR(INDEX(Settings!$C$14:$C$33,MATCH(J17,Settings!$B$14:$B$33,0)),IFERROR(LOOKUP(2^15,SEARCH(Settings!$I$14:$I$83,J17)/(Settings!$I$14:$I$83&lt;&gt;""),Settings!$J$14:$J$83),"Other"))))</f>
        <v/>
      </c>
      <c r="AN17">
        <f>IF($B17="","",IF(K17="","Not rostered",IFERROR(INDEX(Settings!$C$14:$C$33,MATCH(K17,Settings!$B$14:$B$33,0)),IFERROR(LOOKUP(2^15,SEARCH(Settings!$I$14:$I$83,K17)/(Settings!$I$14:$I$83&lt;&gt;""),Settings!$J$14:$J$83),"Other"))))</f>
        <v/>
      </c>
      <c r="AO17">
        <f>IF($B17="","",IF(L17="","Not rostered",IFERROR(INDEX(Settings!$C$14:$C$33,MATCH(L17,Settings!$B$14:$B$33,0)),IFERROR(LOOKUP(2^15,SEARCH(Settings!$I$14:$I$83,L17)/(Settings!$I$14:$I$83&lt;&gt;""),Settings!$J$14:$J$83),"Other"))))</f>
        <v/>
      </c>
      <c r="AP17">
        <f>IF($B17="","",IF(M17="","Not rostered",IFERROR(INDEX(Settings!$C$14:$C$33,MATCH(M17,Settings!$B$14:$B$33,0)),IFERROR(LOOKUP(2^15,SEARCH(Settings!$I$14:$I$83,M17)/(Settings!$I$14:$I$83&lt;&gt;""),Settings!$J$14:$J$83),"Other"))))</f>
        <v/>
      </c>
      <c r="AQ17">
        <f>IF($B17="","",IF(N17="","Not rostered",IFERROR(INDEX(Settings!$C$14:$C$33,MATCH(N17,Settings!$B$14:$B$33,0)),IFERROR(LOOKUP(2^15,SEARCH(Settings!$I$14:$I$83,N17)/(Settings!$I$14:$I$83&lt;&gt;""),Settings!$J$14:$J$83),"Other"))))</f>
        <v/>
      </c>
      <c r="AR17">
        <f>IF($B17="","",IF(O17="","Not rostered",IFERROR(INDEX(Settings!$C$14:$C$33,MATCH(O17,Settings!$B$14:$B$33,0)),IFERROR(LOOKUP(2^15,SEARCH(Settings!$I$14:$I$83,O17)/(Settings!$I$14:$I$83&lt;&gt;""),Settings!$J$14:$J$83),"Other"))))</f>
        <v/>
      </c>
      <c r="AS17">
        <f>IF($B17="","",IF(P17="","Not rostered",IFERROR(INDEX(Settings!$C$14:$C$33,MATCH(P17,Settings!$B$14:$B$33,0)),IFERROR(LOOKUP(2^15,SEARCH(Settings!$I$14:$I$83,P17)/(Settings!$I$14:$I$83&lt;&gt;""),Settings!$J$14:$J$83),"Other"))))</f>
        <v/>
      </c>
      <c r="AT17">
        <f>IF($B17="","",IF(Q17="","Not rostered",IFERROR(INDEX(Settings!$C$14:$C$33,MATCH(Q17,Settings!$B$14:$B$33,0)),IFERROR(LOOKUP(2^15,SEARCH(Settings!$I$14:$I$83,Q17)/(Settings!$I$14:$I$83&lt;&gt;""),Settings!$J$14:$J$83),"Other"))))</f>
        <v/>
      </c>
      <c r="AU17">
        <f>IF($B17="","",IF(R17="","Not rostered",IFERROR(INDEX(Settings!$C$14:$C$33,MATCH(R17,Settings!$B$14:$B$33,0)),IFERROR(LOOKUP(2^15,SEARCH(Settings!$I$14:$I$83,R17)/(Settings!$I$14:$I$83&lt;&gt;""),Settings!$J$14:$J$83),"Other"))))</f>
        <v/>
      </c>
      <c r="AV17">
        <f>IF($B17="","",IF(S17="","Not rostered",IFERROR(INDEX(Settings!$C$14:$C$33,MATCH(S17,Settings!$B$14:$B$33,0)),IFERROR(LOOKUP(2^15,SEARCH(Settings!$I$14:$I$83,S17)/(Settings!$I$14:$I$83&lt;&gt;""),Settings!$J$14:$J$83),"Other"))))</f>
        <v/>
      </c>
      <c r="AW17">
        <f>IF($B17="","",IF(T17="","Not rostered",IFERROR(INDEX(Settings!$C$14:$C$33,MATCH(T17,Settings!$B$14:$B$33,0)),IFERROR(LOOKUP(2^15,SEARCH(Settings!$I$14:$I$83,T17)/(Settings!$I$14:$I$83&lt;&gt;""),Settings!$J$14:$J$83),"Other"))))</f>
        <v/>
      </c>
      <c r="AX17">
        <f>IF($B17="","",IF(U17="","Not rostered",IFERROR(INDEX(Settings!$C$14:$C$33,MATCH(U17,Settings!$B$14:$B$33,0)),IFERROR(LOOKUP(2^15,SEARCH(Settings!$I$14:$I$83,U17)/(Settings!$I$14:$I$83&lt;&gt;""),Settings!$J$14:$J$83),"Other"))))</f>
        <v/>
      </c>
      <c r="AY17">
        <f>IF($B17="","",IF(V17="","Not rostered",IFERROR(INDEX(Settings!$C$14:$C$33,MATCH(V17,Settings!$B$14:$B$33,0)),IFERROR(LOOKUP(2^15,SEARCH(Settings!$I$14:$I$83,V17)/(Settings!$I$14:$I$83&lt;&gt;""),Settings!$J$14:$J$83),"Other"))))</f>
        <v/>
      </c>
      <c r="AZ17">
        <f>IF($B17="","",IF(W17="","Not rostered",IFERROR(INDEX(Settings!$C$14:$C$33,MATCH(W17,Settings!$B$14:$B$33,0)),IFERROR(LOOKUP(2^15,SEARCH(Settings!$I$14:$I$83,W17)/(Settings!$I$14:$I$83&lt;&gt;""),Settings!$J$14:$J$83),"Other"))))</f>
        <v/>
      </c>
      <c r="BA17">
        <f>IF($B17="","",IF(X17="","Not rostered",IFERROR(INDEX(Settings!$C$14:$C$33,MATCH(X17,Settings!$B$14:$B$33,0)),IFERROR(LOOKUP(2^15,SEARCH(Settings!$I$14:$I$83,X17)/(Settings!$I$14:$I$83&lt;&gt;""),Settings!$J$14:$J$83),"Other"))))</f>
        <v/>
      </c>
      <c r="BB17">
        <f>IF($B17="","",IF(Y17="","Not rostered",IFERROR(INDEX(Settings!$C$14:$C$33,MATCH(Y17,Settings!$B$14:$B$33,0)),IFERROR(LOOKUP(2^15,SEARCH(Settings!$I$14:$I$83,Y17)/(Settings!$I$14:$I$83&lt;&gt;""),Settings!$J$14:$J$83),"Other"))))</f>
        <v/>
      </c>
      <c r="BC17">
        <f>IF($B17="","",IF(Z17="","Not rostered",IFERROR(INDEX(Settings!$C$14:$C$33,MATCH(Z17,Settings!$B$14:$B$33,0)),IFERROR(LOOKUP(2^15,SEARCH(Settings!$I$14:$I$83,Z17)/(Settings!$I$14:$I$83&lt;&gt;""),Settings!$J$14:$J$83),"Other"))))</f>
        <v/>
      </c>
      <c r="BD17">
        <f>IF($B17="","",IF(AA17="","Not rostered",IFERROR(INDEX(Settings!$C$14:$C$33,MATCH(AA17,Settings!$B$14:$B$33,0)),IFERROR(LOOKUP(2^15,SEARCH(Settings!$I$14:$I$83,AA17)/(Settings!$I$14:$I$83&lt;&gt;""),Settings!$J$14:$J$83),"Other"))))</f>
        <v/>
      </c>
      <c r="BE17">
        <f>IF($B17="","",IF(AB17="","Not rostered",IFERROR(INDEX(Settings!$C$14:$C$33,MATCH(AB17,Settings!$B$14:$B$33,0)),IFERROR(LOOKUP(2^15,SEARCH(Settings!$I$14:$I$83,AB17)/(Settings!$I$14:$I$83&lt;&gt;""),Settings!$J$14:$J$83),"Other"))))</f>
        <v/>
      </c>
      <c r="BF17">
        <f>IF($B17="","",IF(AC17="","Not rostered",IFERROR(INDEX(Settings!$C$14:$C$33,MATCH(AC17,Settings!$B$14:$B$33,0)),IFERROR(LOOKUP(2^15,SEARCH(Settings!$I$14:$I$83,AC17)/(Settings!$I$14:$I$83&lt;&gt;""),Settings!$J$14:$J$83),"Other"))))</f>
        <v/>
      </c>
      <c r="BG17">
        <f>IF($B17="","",IF(AD17="","Not rostered",IFERROR(INDEX(Settings!$C$14:$C$33,MATCH(AD17,Settings!$B$14:$B$33,0)),IFERROR(LOOKUP(2^15,SEARCH(Settings!$I$14:$I$83,AD17)/(Settings!$I$14:$I$83&lt;&gt;""),Settings!$J$14:$J$83),"Other"))))</f>
        <v/>
      </c>
      <c r="BH17">
        <f>IF($B17="","",IF(AE17="","Not rostered",IFERROR(INDEX(Settings!$C$14:$C$33,MATCH(AE17,Settings!$B$14:$B$33,0)),IFERROR(LOOKUP(2^15,SEARCH(Settings!$I$14:$I$83,AE17)/(Settings!$I$14:$I$83&lt;&gt;""),Settings!$J$14:$J$83),"Other"))))</f>
        <v/>
      </c>
      <c r="BI17">
        <f>IF($B17="","",IF(AF17="","Not rostered",IFERROR(INDEX(Settings!$C$14:$C$33,MATCH(AF17,Settings!$B$14:$B$33,0)),IFERROR(LOOKUP(2^15,SEARCH(Settings!$I$14:$I$83,AF17)/(Settings!$I$14:$I$83&lt;&gt;""),Settings!$J$14:$J$83),"Other"))))</f>
        <v/>
      </c>
      <c r="BJ17">
        <f>IF($B17="","",IF(AG17="","Not rostered",IFERROR(INDEX(Settings!$C$14:$C$33,MATCH(AG17,Settings!$B$14:$B$33,0)),IFERROR(LOOKUP(2^15,SEARCH(Settings!$I$14:$I$83,AG17)/(Settings!$I$14:$I$83&lt;&gt;""),Settings!$J$14:$J$83),"Other"))))</f>
        <v/>
      </c>
      <c r="BL17">
        <f>IF(OR($B17="",F17=""),"",IFERROR(INDEX(Settings!$D$14:$D$33,MATCH(F17,Settings!$B$14:$B$33,0))&amp;"",IFERROR(LOOKUP(2^15,SEARCH(Settings!$F$14:$F$43,F17)/(Settings!$F$14:$F$43&lt;&gt;""),Settings!$G$14:$G$43),"")))</f>
        <v/>
      </c>
      <c r="BM17">
        <f>IF(OR($B17="",G17=""),"",IFERROR(INDEX(Settings!$D$14:$D$33,MATCH(G17,Settings!$B$14:$B$33,0))&amp;"",IFERROR(LOOKUP(2^15,SEARCH(Settings!$F$14:$F$43,G17)/(Settings!$F$14:$F$43&lt;&gt;""),Settings!$G$14:$G$43),"")))</f>
        <v/>
      </c>
      <c r="BN17">
        <f>IF(OR($B17="",H17=""),"",IFERROR(INDEX(Settings!$D$14:$D$33,MATCH(H17,Settings!$B$14:$B$33,0))&amp;"",IFERROR(LOOKUP(2^15,SEARCH(Settings!$F$14:$F$43,H17)/(Settings!$F$14:$F$43&lt;&gt;""),Settings!$G$14:$G$43),"")))</f>
        <v/>
      </c>
      <c r="BO17">
        <f>IF(OR($B17="",I17=""),"",IFERROR(INDEX(Settings!$D$14:$D$33,MATCH(I17,Settings!$B$14:$B$33,0))&amp;"",IFERROR(LOOKUP(2^15,SEARCH(Settings!$F$14:$F$43,I17)/(Settings!$F$14:$F$43&lt;&gt;""),Settings!$G$14:$G$43),"")))</f>
        <v/>
      </c>
      <c r="BP17">
        <f>IF(OR($B17="",J17=""),"",IFERROR(INDEX(Settings!$D$14:$D$33,MATCH(J17,Settings!$B$14:$B$33,0))&amp;"",IFERROR(LOOKUP(2^15,SEARCH(Settings!$F$14:$F$43,J17)/(Settings!$F$14:$F$43&lt;&gt;""),Settings!$G$14:$G$43),"")))</f>
        <v/>
      </c>
      <c r="BQ17">
        <f>IF(OR($B17="",K17=""),"",IFERROR(INDEX(Settings!$D$14:$D$33,MATCH(K17,Settings!$B$14:$B$33,0))&amp;"",IFERROR(LOOKUP(2^15,SEARCH(Settings!$F$14:$F$43,K17)/(Settings!$F$14:$F$43&lt;&gt;""),Settings!$G$14:$G$43),"")))</f>
        <v/>
      </c>
      <c r="BR17">
        <f>IF(OR($B17="",L17=""),"",IFERROR(INDEX(Settings!$D$14:$D$33,MATCH(L17,Settings!$B$14:$B$33,0))&amp;"",IFERROR(LOOKUP(2^15,SEARCH(Settings!$F$14:$F$43,L17)/(Settings!$F$14:$F$43&lt;&gt;""),Settings!$G$14:$G$43),"")))</f>
        <v/>
      </c>
      <c r="BS17">
        <f>IF(OR($B17="",M17=""),"",IFERROR(INDEX(Settings!$D$14:$D$33,MATCH(M17,Settings!$B$14:$B$33,0))&amp;"",IFERROR(LOOKUP(2^15,SEARCH(Settings!$F$14:$F$43,M17)/(Settings!$F$14:$F$43&lt;&gt;""),Settings!$G$14:$G$43),"")))</f>
        <v/>
      </c>
      <c r="BT17">
        <f>IF(OR($B17="",N17=""),"",IFERROR(INDEX(Settings!$D$14:$D$33,MATCH(N17,Settings!$B$14:$B$33,0))&amp;"",IFERROR(LOOKUP(2^15,SEARCH(Settings!$F$14:$F$43,N17)/(Settings!$F$14:$F$43&lt;&gt;""),Settings!$G$14:$G$43),"")))</f>
        <v/>
      </c>
      <c r="BU17">
        <f>IF(OR($B17="",O17=""),"",IFERROR(INDEX(Settings!$D$14:$D$33,MATCH(O17,Settings!$B$14:$B$33,0))&amp;"",IFERROR(LOOKUP(2^15,SEARCH(Settings!$F$14:$F$43,O17)/(Settings!$F$14:$F$43&lt;&gt;""),Settings!$G$14:$G$43),"")))</f>
        <v/>
      </c>
      <c r="BV17">
        <f>IF(OR($B17="",P17=""),"",IFERROR(INDEX(Settings!$D$14:$D$33,MATCH(P17,Settings!$B$14:$B$33,0))&amp;"",IFERROR(LOOKUP(2^15,SEARCH(Settings!$F$14:$F$43,P17)/(Settings!$F$14:$F$43&lt;&gt;""),Settings!$G$14:$G$43),"")))</f>
        <v/>
      </c>
      <c r="BW17">
        <f>IF(OR($B17="",Q17=""),"",IFERROR(INDEX(Settings!$D$14:$D$33,MATCH(Q17,Settings!$B$14:$B$33,0))&amp;"",IFERROR(LOOKUP(2^15,SEARCH(Settings!$F$14:$F$43,Q17)/(Settings!$F$14:$F$43&lt;&gt;""),Settings!$G$14:$G$43),"")))</f>
        <v/>
      </c>
      <c r="BX17">
        <f>IF(OR($B17="",R17=""),"",IFERROR(INDEX(Settings!$D$14:$D$33,MATCH(R17,Settings!$B$14:$B$33,0))&amp;"",IFERROR(LOOKUP(2^15,SEARCH(Settings!$F$14:$F$43,R17)/(Settings!$F$14:$F$43&lt;&gt;""),Settings!$G$14:$G$43),"")))</f>
        <v/>
      </c>
      <c r="BY17">
        <f>IF(OR($B17="",S17=""),"",IFERROR(INDEX(Settings!$D$14:$D$33,MATCH(S17,Settings!$B$14:$B$33,0))&amp;"",IFERROR(LOOKUP(2^15,SEARCH(Settings!$F$14:$F$43,S17)/(Settings!$F$14:$F$43&lt;&gt;""),Settings!$G$14:$G$43),"")))</f>
        <v/>
      </c>
      <c r="BZ17">
        <f>IF(OR($B17="",T17=""),"",IFERROR(INDEX(Settings!$D$14:$D$33,MATCH(T17,Settings!$B$14:$B$33,0))&amp;"",IFERROR(LOOKUP(2^15,SEARCH(Settings!$F$14:$F$43,T17)/(Settings!$F$14:$F$43&lt;&gt;""),Settings!$G$14:$G$43),"")))</f>
        <v/>
      </c>
      <c r="CA17">
        <f>IF(OR($B17="",U17=""),"",IFERROR(INDEX(Settings!$D$14:$D$33,MATCH(U17,Settings!$B$14:$B$33,0))&amp;"",IFERROR(LOOKUP(2^15,SEARCH(Settings!$F$14:$F$43,U17)/(Settings!$F$14:$F$43&lt;&gt;""),Settings!$G$14:$G$43),"")))</f>
        <v/>
      </c>
      <c r="CB17">
        <f>IF(OR($B17="",V17=""),"",IFERROR(INDEX(Settings!$D$14:$D$33,MATCH(V17,Settings!$B$14:$B$33,0))&amp;"",IFERROR(LOOKUP(2^15,SEARCH(Settings!$F$14:$F$43,V17)/(Settings!$F$14:$F$43&lt;&gt;""),Settings!$G$14:$G$43),"")))</f>
        <v/>
      </c>
      <c r="CC17">
        <f>IF(OR($B17="",W17=""),"",IFERROR(INDEX(Settings!$D$14:$D$33,MATCH(W17,Settings!$B$14:$B$33,0))&amp;"",IFERROR(LOOKUP(2^15,SEARCH(Settings!$F$14:$F$43,W17)/(Settings!$F$14:$F$43&lt;&gt;""),Settings!$G$14:$G$43),"")))</f>
        <v/>
      </c>
      <c r="CD17">
        <f>IF(OR($B17="",X17=""),"",IFERROR(INDEX(Settings!$D$14:$D$33,MATCH(X17,Settings!$B$14:$B$33,0))&amp;"",IFERROR(LOOKUP(2^15,SEARCH(Settings!$F$14:$F$43,X17)/(Settings!$F$14:$F$43&lt;&gt;""),Settings!$G$14:$G$43),"")))</f>
        <v/>
      </c>
      <c r="CE17">
        <f>IF(OR($B17="",Y17=""),"",IFERROR(INDEX(Settings!$D$14:$D$33,MATCH(Y17,Settings!$B$14:$B$33,0))&amp;"",IFERROR(LOOKUP(2^15,SEARCH(Settings!$F$14:$F$43,Y17)/(Settings!$F$14:$F$43&lt;&gt;""),Settings!$G$14:$G$43),"")))</f>
        <v/>
      </c>
      <c r="CF17">
        <f>IF(OR($B17="",Z17=""),"",IFERROR(INDEX(Settings!$D$14:$D$33,MATCH(Z17,Settings!$B$14:$B$33,0))&amp;"",IFERROR(LOOKUP(2^15,SEARCH(Settings!$F$14:$F$43,Z17)/(Settings!$F$14:$F$43&lt;&gt;""),Settings!$G$14:$G$43),"")))</f>
        <v/>
      </c>
      <c r="CG17">
        <f>IF(OR($B17="",AA17=""),"",IFERROR(INDEX(Settings!$D$14:$D$33,MATCH(AA17,Settings!$B$14:$B$33,0))&amp;"",IFERROR(LOOKUP(2^15,SEARCH(Settings!$F$14:$F$43,AA17)/(Settings!$F$14:$F$43&lt;&gt;""),Settings!$G$14:$G$43),"")))</f>
        <v/>
      </c>
      <c r="CH17">
        <f>IF(OR($B17="",AB17=""),"",IFERROR(INDEX(Settings!$D$14:$D$33,MATCH(AB17,Settings!$B$14:$B$33,0))&amp;"",IFERROR(LOOKUP(2^15,SEARCH(Settings!$F$14:$F$43,AB17)/(Settings!$F$14:$F$43&lt;&gt;""),Settings!$G$14:$G$43),"")))</f>
        <v/>
      </c>
      <c r="CI17">
        <f>IF(OR($B17="",AC17=""),"",IFERROR(INDEX(Settings!$D$14:$D$33,MATCH(AC17,Settings!$B$14:$B$33,0))&amp;"",IFERROR(LOOKUP(2^15,SEARCH(Settings!$F$14:$F$43,AC17)/(Settings!$F$14:$F$43&lt;&gt;""),Settings!$G$14:$G$43),"")))</f>
        <v/>
      </c>
      <c r="CJ17">
        <f>IF(OR($B17="",AD17=""),"",IFERROR(INDEX(Settings!$D$14:$D$33,MATCH(AD17,Settings!$B$14:$B$33,0))&amp;"",IFERROR(LOOKUP(2^15,SEARCH(Settings!$F$14:$F$43,AD17)/(Settings!$F$14:$F$43&lt;&gt;""),Settings!$G$14:$G$43),"")))</f>
        <v/>
      </c>
      <c r="CK17">
        <f>IF(OR($B17="",AE17=""),"",IFERROR(INDEX(Settings!$D$14:$D$33,MATCH(AE17,Settings!$B$14:$B$33,0))&amp;"",IFERROR(LOOKUP(2^15,SEARCH(Settings!$F$14:$F$43,AE17)/(Settings!$F$14:$F$43&lt;&gt;""),Settings!$G$14:$G$43),"")))</f>
        <v/>
      </c>
      <c r="CL17">
        <f>IF(OR($B17="",AF17=""),"",IFERROR(INDEX(Settings!$D$14:$D$33,MATCH(AF17,Settings!$B$14:$B$33,0))&amp;"",IFERROR(LOOKUP(2^15,SEARCH(Settings!$F$14:$F$43,AF17)/(Settings!$F$14:$F$43&lt;&gt;""),Settings!$G$14:$G$43),"")))</f>
        <v/>
      </c>
      <c r="CM17">
        <f>IF(OR($B17="",AG17=""),"",IFERROR(INDEX(Settings!$D$14:$D$33,MATCH(AG17,Settings!$B$14:$B$33,0))&amp;"",IFERROR(LOOKUP(2^15,SEARCH(Settings!$F$14:$F$43,AG17)/(Settings!$F$14:$F$43&lt;&gt;""),Settings!$G$14:$G$43),"")))</f>
        <v/>
      </c>
    </row>
    <row r="18">
      <c r="A18" t="n">
        <v>16</v>
      </c>
      <c r="B18">
        <f>IFERROR(INDEX(Index!$A$2:$A$202,MATCH(A18,Index!$E$2:$E$202,0)),"")</f>
        <v/>
      </c>
      <c r="D18">
        <f>IF($B18="","",IFERROR(MATCH("Travel*",AI18:BJ18,0),""))</f>
        <v/>
      </c>
      <c r="F18">
        <f>IF(OR($B18="",NOT(ISNUMBER(Settings!$C$9))),"",TRIM(SUBSTITUTE(SUBSTITUTE(INDEX('INPUT - Roster'!$S$1:$SV$206,$B18,Settings!$C$9+0)&amp;"",CHAR(10)," "),CHAR(160)," ")))</f>
        <v/>
      </c>
      <c r="G18">
        <f>IF(OR($B18="",NOT(ISNUMBER(Settings!$C$9))),"",TRIM(SUBSTITUTE(SUBSTITUTE(INDEX('INPUT - Roster'!$S$1:$SV$206,$B18,Settings!$C$9+1)&amp;"",CHAR(10)," "),CHAR(160)," ")))</f>
        <v/>
      </c>
      <c r="H18">
        <f>IF(OR($B18="",NOT(ISNUMBER(Settings!$C$9))),"",TRIM(SUBSTITUTE(SUBSTITUTE(INDEX('INPUT - Roster'!$S$1:$SV$206,$B18,Settings!$C$9+2)&amp;"",CHAR(10)," "),CHAR(160)," ")))</f>
        <v/>
      </c>
      <c r="I18">
        <f>IF(OR($B18="",NOT(ISNUMBER(Settings!$C$9))),"",TRIM(SUBSTITUTE(SUBSTITUTE(INDEX('INPUT - Roster'!$S$1:$SV$206,$B18,Settings!$C$9+3)&amp;"",CHAR(10)," "),CHAR(160)," ")))</f>
        <v/>
      </c>
      <c r="J18">
        <f>IF(OR($B18="",NOT(ISNUMBER(Settings!$C$9))),"",TRIM(SUBSTITUTE(SUBSTITUTE(INDEX('INPUT - Roster'!$S$1:$SV$206,$B18,Settings!$C$9+4)&amp;"",CHAR(10)," "),CHAR(160)," ")))</f>
        <v/>
      </c>
      <c r="K18">
        <f>IF(OR($B18="",NOT(ISNUMBER(Settings!$C$9))),"",TRIM(SUBSTITUTE(SUBSTITUTE(INDEX('INPUT - Roster'!$S$1:$SV$206,$B18,Settings!$C$9+5)&amp;"",CHAR(10)," "),CHAR(160)," ")))</f>
        <v/>
      </c>
      <c r="L18">
        <f>IF(OR($B18="",NOT(ISNUMBER(Settings!$C$9))),"",TRIM(SUBSTITUTE(SUBSTITUTE(INDEX('INPUT - Roster'!$S$1:$SV$206,$B18,Settings!$C$9+6)&amp;"",CHAR(10)," "),CHAR(160)," ")))</f>
        <v/>
      </c>
      <c r="M18">
        <f>IF(OR($B18="",NOT(ISNUMBER(Settings!$C$9))),"",TRIM(SUBSTITUTE(SUBSTITUTE(INDEX('INPUT - Roster'!$S$1:$SV$206,$B18,Settings!$C$9+7)&amp;"",CHAR(10)," "),CHAR(160)," ")))</f>
        <v/>
      </c>
      <c r="N18">
        <f>IF(OR($B18="",NOT(ISNUMBER(Settings!$C$9))),"",TRIM(SUBSTITUTE(SUBSTITUTE(INDEX('INPUT - Roster'!$S$1:$SV$206,$B18,Settings!$C$9+8)&amp;"",CHAR(10)," "),CHAR(160)," ")))</f>
        <v/>
      </c>
      <c r="O18">
        <f>IF(OR($B18="",NOT(ISNUMBER(Settings!$C$9))),"",TRIM(SUBSTITUTE(SUBSTITUTE(INDEX('INPUT - Roster'!$S$1:$SV$206,$B18,Settings!$C$9+9)&amp;"",CHAR(10)," "),CHAR(160)," ")))</f>
        <v/>
      </c>
      <c r="P18">
        <f>IF(OR($B18="",NOT(ISNUMBER(Settings!$C$9))),"",TRIM(SUBSTITUTE(SUBSTITUTE(INDEX('INPUT - Roster'!$S$1:$SV$206,$B18,Settings!$C$9+10)&amp;"",CHAR(10)," "),CHAR(160)," ")))</f>
        <v/>
      </c>
      <c r="Q18">
        <f>IF(OR($B18="",NOT(ISNUMBER(Settings!$C$9))),"",TRIM(SUBSTITUTE(SUBSTITUTE(INDEX('INPUT - Roster'!$S$1:$SV$206,$B18,Settings!$C$9+11)&amp;"",CHAR(10)," "),CHAR(160)," ")))</f>
        <v/>
      </c>
      <c r="R18">
        <f>IF(OR($B18="",NOT(ISNUMBER(Settings!$C$9))),"",TRIM(SUBSTITUTE(SUBSTITUTE(INDEX('INPUT - Roster'!$S$1:$SV$206,$B18,Settings!$C$9+12)&amp;"",CHAR(10)," "),CHAR(160)," ")))</f>
        <v/>
      </c>
      <c r="S18">
        <f>IF(OR($B18="",NOT(ISNUMBER(Settings!$C$9))),"",TRIM(SUBSTITUTE(SUBSTITUTE(INDEX('INPUT - Roster'!$S$1:$SV$206,$B18,Settings!$C$9+13)&amp;"",CHAR(10)," "),CHAR(160)," ")))</f>
        <v/>
      </c>
      <c r="T18">
        <f>IF(OR($B18="",NOT(ISNUMBER(Settings!$C$9))),"",TRIM(SUBSTITUTE(SUBSTITUTE(INDEX('INPUT - Roster'!$S$1:$SV$206,$B18,Settings!$C$9+14)&amp;"",CHAR(10)," "),CHAR(160)," ")))</f>
        <v/>
      </c>
      <c r="U18">
        <f>IF(OR($B18="",NOT(ISNUMBER(Settings!$C$9))),"",TRIM(SUBSTITUTE(SUBSTITUTE(INDEX('INPUT - Roster'!$S$1:$SV$206,$B18,Settings!$C$9+15)&amp;"",CHAR(10)," "),CHAR(160)," ")))</f>
        <v/>
      </c>
      <c r="V18">
        <f>IF(OR($B18="",NOT(ISNUMBER(Settings!$C$9))),"",TRIM(SUBSTITUTE(SUBSTITUTE(INDEX('INPUT - Roster'!$S$1:$SV$206,$B18,Settings!$C$9+16)&amp;"",CHAR(10)," "),CHAR(160)," ")))</f>
        <v/>
      </c>
      <c r="W18">
        <f>IF(OR($B18="",NOT(ISNUMBER(Settings!$C$9))),"",TRIM(SUBSTITUTE(SUBSTITUTE(INDEX('INPUT - Roster'!$S$1:$SV$206,$B18,Settings!$C$9+17)&amp;"",CHAR(10)," "),CHAR(160)," ")))</f>
        <v/>
      </c>
      <c r="X18">
        <f>IF(OR($B18="",NOT(ISNUMBER(Settings!$C$9))),"",TRIM(SUBSTITUTE(SUBSTITUTE(INDEX('INPUT - Roster'!$S$1:$SV$206,$B18,Settings!$C$9+18)&amp;"",CHAR(10)," "),CHAR(160)," ")))</f>
        <v/>
      </c>
      <c r="Y18">
        <f>IF(OR($B18="",NOT(ISNUMBER(Settings!$C$9))),"",TRIM(SUBSTITUTE(SUBSTITUTE(INDEX('INPUT - Roster'!$S$1:$SV$206,$B18,Settings!$C$9+19)&amp;"",CHAR(10)," "),CHAR(160)," ")))</f>
        <v/>
      </c>
      <c r="Z18">
        <f>IF(OR($B18="",NOT(ISNUMBER(Settings!$C$9))),"",TRIM(SUBSTITUTE(SUBSTITUTE(INDEX('INPUT - Roster'!$S$1:$SV$206,$B18,Settings!$C$9+20)&amp;"",CHAR(10)," "),CHAR(160)," ")))</f>
        <v/>
      </c>
      <c r="AA18">
        <f>IF(OR($B18="",NOT(ISNUMBER(Settings!$C$9))),"",TRIM(SUBSTITUTE(SUBSTITUTE(INDEX('INPUT - Roster'!$S$1:$SV$206,$B18,Settings!$C$9+21)&amp;"",CHAR(10)," "),CHAR(160)," ")))</f>
        <v/>
      </c>
      <c r="AB18">
        <f>IF(OR($B18="",NOT(ISNUMBER(Settings!$C$9))),"",TRIM(SUBSTITUTE(SUBSTITUTE(INDEX('INPUT - Roster'!$S$1:$SV$206,$B18,Settings!$C$9+22)&amp;"",CHAR(10)," "),CHAR(160)," ")))</f>
        <v/>
      </c>
      <c r="AC18">
        <f>IF(OR($B18="",NOT(ISNUMBER(Settings!$C$9))),"",TRIM(SUBSTITUTE(SUBSTITUTE(INDEX('INPUT - Roster'!$S$1:$SV$206,$B18,Settings!$C$9+23)&amp;"",CHAR(10)," "),CHAR(160)," ")))</f>
        <v/>
      </c>
      <c r="AD18">
        <f>IF(OR($B18="",NOT(ISNUMBER(Settings!$C$9))),"",TRIM(SUBSTITUTE(SUBSTITUTE(INDEX('INPUT - Roster'!$S$1:$SV$206,$B18,Settings!$C$9+24)&amp;"",CHAR(10)," "),CHAR(160)," ")))</f>
        <v/>
      </c>
      <c r="AE18">
        <f>IF(OR($B18="",NOT(ISNUMBER(Settings!$C$9))),"",TRIM(SUBSTITUTE(SUBSTITUTE(INDEX('INPUT - Roster'!$S$1:$SV$206,$B18,Settings!$C$9+25)&amp;"",CHAR(10)," "),CHAR(160)," ")))</f>
        <v/>
      </c>
      <c r="AF18">
        <f>IF(OR($B18="",NOT(ISNUMBER(Settings!$C$9))),"",TRIM(SUBSTITUTE(SUBSTITUTE(INDEX('INPUT - Roster'!$S$1:$SV$206,$B18,Settings!$C$9+26)&amp;"",CHAR(10)," "),CHAR(160)," ")))</f>
        <v/>
      </c>
      <c r="AG18">
        <f>IF(OR($B18="",NOT(ISNUMBER(Settings!$C$9))),"",TRIM(SUBSTITUTE(SUBSTITUTE(INDEX('INPUT - Roster'!$S$1:$SV$206,$B18,Settings!$C$9+27)&amp;"",CHAR(10)," "),CHAR(160)," ")))</f>
        <v/>
      </c>
      <c r="AI18">
        <f>IF($B18="","",IF(F18="","Not rostered",IFERROR(INDEX(Settings!$C$14:$C$33,MATCH(F18,Settings!$B$14:$B$33,0)),IFERROR(LOOKUP(2^15,SEARCH(Settings!$I$14:$I$83,F18)/(Settings!$I$14:$I$83&lt;&gt;""),Settings!$J$14:$J$83),"Other"))))</f>
        <v/>
      </c>
      <c r="AJ18">
        <f>IF($B18="","",IF(G18="","Not rostered",IFERROR(INDEX(Settings!$C$14:$C$33,MATCH(G18,Settings!$B$14:$B$33,0)),IFERROR(LOOKUP(2^15,SEARCH(Settings!$I$14:$I$83,G18)/(Settings!$I$14:$I$83&lt;&gt;""),Settings!$J$14:$J$83),"Other"))))</f>
        <v/>
      </c>
      <c r="AK18">
        <f>IF($B18="","",IF(H18="","Not rostered",IFERROR(INDEX(Settings!$C$14:$C$33,MATCH(H18,Settings!$B$14:$B$33,0)),IFERROR(LOOKUP(2^15,SEARCH(Settings!$I$14:$I$83,H18)/(Settings!$I$14:$I$83&lt;&gt;""),Settings!$J$14:$J$83),"Other"))))</f>
        <v/>
      </c>
      <c r="AL18">
        <f>IF($B18="","",IF(I18="","Not rostered",IFERROR(INDEX(Settings!$C$14:$C$33,MATCH(I18,Settings!$B$14:$B$33,0)),IFERROR(LOOKUP(2^15,SEARCH(Settings!$I$14:$I$83,I18)/(Settings!$I$14:$I$83&lt;&gt;""),Settings!$J$14:$J$83),"Other"))))</f>
        <v/>
      </c>
      <c r="AM18">
        <f>IF($B18="","",IF(J18="","Not rostered",IFERROR(INDEX(Settings!$C$14:$C$33,MATCH(J18,Settings!$B$14:$B$33,0)),IFERROR(LOOKUP(2^15,SEARCH(Settings!$I$14:$I$83,J18)/(Settings!$I$14:$I$83&lt;&gt;""),Settings!$J$14:$J$83),"Other"))))</f>
        <v/>
      </c>
      <c r="AN18">
        <f>IF($B18="","",IF(K18="","Not rostered",IFERROR(INDEX(Settings!$C$14:$C$33,MATCH(K18,Settings!$B$14:$B$33,0)),IFERROR(LOOKUP(2^15,SEARCH(Settings!$I$14:$I$83,K18)/(Settings!$I$14:$I$83&lt;&gt;""),Settings!$J$14:$J$83),"Other"))))</f>
        <v/>
      </c>
      <c r="AO18">
        <f>IF($B18="","",IF(L18="","Not rostered",IFERROR(INDEX(Settings!$C$14:$C$33,MATCH(L18,Settings!$B$14:$B$33,0)),IFERROR(LOOKUP(2^15,SEARCH(Settings!$I$14:$I$83,L18)/(Settings!$I$14:$I$83&lt;&gt;""),Settings!$J$14:$J$83),"Other"))))</f>
        <v/>
      </c>
      <c r="AP18">
        <f>IF($B18="","",IF(M18="","Not rostered",IFERROR(INDEX(Settings!$C$14:$C$33,MATCH(M18,Settings!$B$14:$B$33,0)),IFERROR(LOOKUP(2^15,SEARCH(Settings!$I$14:$I$83,M18)/(Settings!$I$14:$I$83&lt;&gt;""),Settings!$J$14:$J$83),"Other"))))</f>
        <v/>
      </c>
      <c r="AQ18">
        <f>IF($B18="","",IF(N18="","Not rostered",IFERROR(INDEX(Settings!$C$14:$C$33,MATCH(N18,Settings!$B$14:$B$33,0)),IFERROR(LOOKUP(2^15,SEARCH(Settings!$I$14:$I$83,N18)/(Settings!$I$14:$I$83&lt;&gt;""),Settings!$J$14:$J$83),"Other"))))</f>
        <v/>
      </c>
      <c r="AR18">
        <f>IF($B18="","",IF(O18="","Not rostered",IFERROR(INDEX(Settings!$C$14:$C$33,MATCH(O18,Settings!$B$14:$B$33,0)),IFERROR(LOOKUP(2^15,SEARCH(Settings!$I$14:$I$83,O18)/(Settings!$I$14:$I$83&lt;&gt;""),Settings!$J$14:$J$83),"Other"))))</f>
        <v/>
      </c>
      <c r="AS18">
        <f>IF($B18="","",IF(P18="","Not rostered",IFERROR(INDEX(Settings!$C$14:$C$33,MATCH(P18,Settings!$B$14:$B$33,0)),IFERROR(LOOKUP(2^15,SEARCH(Settings!$I$14:$I$83,P18)/(Settings!$I$14:$I$83&lt;&gt;""),Settings!$J$14:$J$83),"Other"))))</f>
        <v/>
      </c>
      <c r="AT18">
        <f>IF($B18="","",IF(Q18="","Not rostered",IFERROR(INDEX(Settings!$C$14:$C$33,MATCH(Q18,Settings!$B$14:$B$33,0)),IFERROR(LOOKUP(2^15,SEARCH(Settings!$I$14:$I$83,Q18)/(Settings!$I$14:$I$83&lt;&gt;""),Settings!$J$14:$J$83),"Other"))))</f>
        <v/>
      </c>
      <c r="AU18">
        <f>IF($B18="","",IF(R18="","Not rostered",IFERROR(INDEX(Settings!$C$14:$C$33,MATCH(R18,Settings!$B$14:$B$33,0)),IFERROR(LOOKUP(2^15,SEARCH(Settings!$I$14:$I$83,R18)/(Settings!$I$14:$I$83&lt;&gt;""),Settings!$J$14:$J$83),"Other"))))</f>
        <v/>
      </c>
      <c r="AV18">
        <f>IF($B18="","",IF(S18="","Not rostered",IFERROR(INDEX(Settings!$C$14:$C$33,MATCH(S18,Settings!$B$14:$B$33,0)),IFERROR(LOOKUP(2^15,SEARCH(Settings!$I$14:$I$83,S18)/(Settings!$I$14:$I$83&lt;&gt;""),Settings!$J$14:$J$83),"Other"))))</f>
        <v/>
      </c>
      <c r="AW18">
        <f>IF($B18="","",IF(T18="","Not rostered",IFERROR(INDEX(Settings!$C$14:$C$33,MATCH(T18,Settings!$B$14:$B$33,0)),IFERROR(LOOKUP(2^15,SEARCH(Settings!$I$14:$I$83,T18)/(Settings!$I$14:$I$83&lt;&gt;""),Settings!$J$14:$J$83),"Other"))))</f>
        <v/>
      </c>
      <c r="AX18">
        <f>IF($B18="","",IF(U18="","Not rostered",IFERROR(INDEX(Settings!$C$14:$C$33,MATCH(U18,Settings!$B$14:$B$33,0)),IFERROR(LOOKUP(2^15,SEARCH(Settings!$I$14:$I$83,U18)/(Settings!$I$14:$I$83&lt;&gt;""),Settings!$J$14:$J$83),"Other"))))</f>
        <v/>
      </c>
      <c r="AY18">
        <f>IF($B18="","",IF(V18="","Not rostered",IFERROR(INDEX(Settings!$C$14:$C$33,MATCH(V18,Settings!$B$14:$B$33,0)),IFERROR(LOOKUP(2^15,SEARCH(Settings!$I$14:$I$83,V18)/(Settings!$I$14:$I$83&lt;&gt;""),Settings!$J$14:$J$83),"Other"))))</f>
        <v/>
      </c>
      <c r="AZ18">
        <f>IF($B18="","",IF(W18="","Not rostered",IFERROR(INDEX(Settings!$C$14:$C$33,MATCH(W18,Settings!$B$14:$B$33,0)),IFERROR(LOOKUP(2^15,SEARCH(Settings!$I$14:$I$83,W18)/(Settings!$I$14:$I$83&lt;&gt;""),Settings!$J$14:$J$83),"Other"))))</f>
        <v/>
      </c>
      <c r="BA18">
        <f>IF($B18="","",IF(X18="","Not rostered",IFERROR(INDEX(Settings!$C$14:$C$33,MATCH(X18,Settings!$B$14:$B$33,0)),IFERROR(LOOKUP(2^15,SEARCH(Settings!$I$14:$I$83,X18)/(Settings!$I$14:$I$83&lt;&gt;""),Settings!$J$14:$J$83),"Other"))))</f>
        <v/>
      </c>
      <c r="BB18">
        <f>IF($B18="","",IF(Y18="","Not rostered",IFERROR(INDEX(Settings!$C$14:$C$33,MATCH(Y18,Settings!$B$14:$B$33,0)),IFERROR(LOOKUP(2^15,SEARCH(Settings!$I$14:$I$83,Y18)/(Settings!$I$14:$I$83&lt;&gt;""),Settings!$J$14:$J$83),"Other"))))</f>
        <v/>
      </c>
      <c r="BC18">
        <f>IF($B18="","",IF(Z18="","Not rostered",IFERROR(INDEX(Settings!$C$14:$C$33,MATCH(Z18,Settings!$B$14:$B$33,0)),IFERROR(LOOKUP(2^15,SEARCH(Settings!$I$14:$I$83,Z18)/(Settings!$I$14:$I$83&lt;&gt;""),Settings!$J$14:$J$83),"Other"))))</f>
        <v/>
      </c>
      <c r="BD18">
        <f>IF($B18="","",IF(AA18="","Not rostered",IFERROR(INDEX(Settings!$C$14:$C$33,MATCH(AA18,Settings!$B$14:$B$33,0)),IFERROR(LOOKUP(2^15,SEARCH(Settings!$I$14:$I$83,AA18)/(Settings!$I$14:$I$83&lt;&gt;""),Settings!$J$14:$J$83),"Other"))))</f>
        <v/>
      </c>
      <c r="BE18">
        <f>IF($B18="","",IF(AB18="","Not rostered",IFERROR(INDEX(Settings!$C$14:$C$33,MATCH(AB18,Settings!$B$14:$B$33,0)),IFERROR(LOOKUP(2^15,SEARCH(Settings!$I$14:$I$83,AB18)/(Settings!$I$14:$I$83&lt;&gt;""),Settings!$J$14:$J$83),"Other"))))</f>
        <v/>
      </c>
      <c r="BF18">
        <f>IF($B18="","",IF(AC18="","Not rostered",IFERROR(INDEX(Settings!$C$14:$C$33,MATCH(AC18,Settings!$B$14:$B$33,0)),IFERROR(LOOKUP(2^15,SEARCH(Settings!$I$14:$I$83,AC18)/(Settings!$I$14:$I$83&lt;&gt;""),Settings!$J$14:$J$83),"Other"))))</f>
        <v/>
      </c>
      <c r="BG18">
        <f>IF($B18="","",IF(AD18="","Not rostered",IFERROR(INDEX(Settings!$C$14:$C$33,MATCH(AD18,Settings!$B$14:$B$33,0)),IFERROR(LOOKUP(2^15,SEARCH(Settings!$I$14:$I$83,AD18)/(Settings!$I$14:$I$83&lt;&gt;""),Settings!$J$14:$J$83),"Other"))))</f>
        <v/>
      </c>
      <c r="BH18">
        <f>IF($B18="","",IF(AE18="","Not rostered",IFERROR(INDEX(Settings!$C$14:$C$33,MATCH(AE18,Settings!$B$14:$B$33,0)),IFERROR(LOOKUP(2^15,SEARCH(Settings!$I$14:$I$83,AE18)/(Settings!$I$14:$I$83&lt;&gt;""),Settings!$J$14:$J$83),"Other"))))</f>
        <v/>
      </c>
      <c r="BI18">
        <f>IF($B18="","",IF(AF18="","Not rostered",IFERROR(INDEX(Settings!$C$14:$C$33,MATCH(AF18,Settings!$B$14:$B$33,0)),IFERROR(LOOKUP(2^15,SEARCH(Settings!$I$14:$I$83,AF18)/(Settings!$I$14:$I$83&lt;&gt;""),Settings!$J$14:$J$83),"Other"))))</f>
        <v/>
      </c>
      <c r="BJ18">
        <f>IF($B18="","",IF(AG18="","Not rostered",IFERROR(INDEX(Settings!$C$14:$C$33,MATCH(AG18,Settings!$B$14:$B$33,0)),IFERROR(LOOKUP(2^15,SEARCH(Settings!$I$14:$I$83,AG18)/(Settings!$I$14:$I$83&lt;&gt;""),Settings!$J$14:$J$83),"Other"))))</f>
        <v/>
      </c>
      <c r="BL18">
        <f>IF(OR($B18="",F18=""),"",IFERROR(INDEX(Settings!$D$14:$D$33,MATCH(F18,Settings!$B$14:$B$33,0))&amp;"",IFERROR(LOOKUP(2^15,SEARCH(Settings!$F$14:$F$43,F18)/(Settings!$F$14:$F$43&lt;&gt;""),Settings!$G$14:$G$43),"")))</f>
        <v/>
      </c>
      <c r="BM18">
        <f>IF(OR($B18="",G18=""),"",IFERROR(INDEX(Settings!$D$14:$D$33,MATCH(G18,Settings!$B$14:$B$33,0))&amp;"",IFERROR(LOOKUP(2^15,SEARCH(Settings!$F$14:$F$43,G18)/(Settings!$F$14:$F$43&lt;&gt;""),Settings!$G$14:$G$43),"")))</f>
        <v/>
      </c>
      <c r="BN18">
        <f>IF(OR($B18="",H18=""),"",IFERROR(INDEX(Settings!$D$14:$D$33,MATCH(H18,Settings!$B$14:$B$33,0))&amp;"",IFERROR(LOOKUP(2^15,SEARCH(Settings!$F$14:$F$43,H18)/(Settings!$F$14:$F$43&lt;&gt;""),Settings!$G$14:$G$43),"")))</f>
        <v/>
      </c>
      <c r="BO18">
        <f>IF(OR($B18="",I18=""),"",IFERROR(INDEX(Settings!$D$14:$D$33,MATCH(I18,Settings!$B$14:$B$33,0))&amp;"",IFERROR(LOOKUP(2^15,SEARCH(Settings!$F$14:$F$43,I18)/(Settings!$F$14:$F$43&lt;&gt;""),Settings!$G$14:$G$43),"")))</f>
        <v/>
      </c>
      <c r="BP18">
        <f>IF(OR($B18="",J18=""),"",IFERROR(INDEX(Settings!$D$14:$D$33,MATCH(J18,Settings!$B$14:$B$33,0))&amp;"",IFERROR(LOOKUP(2^15,SEARCH(Settings!$F$14:$F$43,J18)/(Settings!$F$14:$F$43&lt;&gt;""),Settings!$G$14:$G$43),"")))</f>
        <v/>
      </c>
      <c r="BQ18">
        <f>IF(OR($B18="",K18=""),"",IFERROR(INDEX(Settings!$D$14:$D$33,MATCH(K18,Settings!$B$14:$B$33,0))&amp;"",IFERROR(LOOKUP(2^15,SEARCH(Settings!$F$14:$F$43,K18)/(Settings!$F$14:$F$43&lt;&gt;""),Settings!$G$14:$G$43),"")))</f>
        <v/>
      </c>
      <c r="BR18">
        <f>IF(OR($B18="",L18=""),"",IFERROR(INDEX(Settings!$D$14:$D$33,MATCH(L18,Settings!$B$14:$B$33,0))&amp;"",IFERROR(LOOKUP(2^15,SEARCH(Settings!$F$14:$F$43,L18)/(Settings!$F$14:$F$43&lt;&gt;""),Settings!$G$14:$G$43),"")))</f>
        <v/>
      </c>
      <c r="BS18">
        <f>IF(OR($B18="",M18=""),"",IFERROR(INDEX(Settings!$D$14:$D$33,MATCH(M18,Settings!$B$14:$B$33,0))&amp;"",IFERROR(LOOKUP(2^15,SEARCH(Settings!$F$14:$F$43,M18)/(Settings!$F$14:$F$43&lt;&gt;""),Settings!$G$14:$G$43),"")))</f>
        <v/>
      </c>
      <c r="BT18">
        <f>IF(OR($B18="",N18=""),"",IFERROR(INDEX(Settings!$D$14:$D$33,MATCH(N18,Settings!$B$14:$B$33,0))&amp;"",IFERROR(LOOKUP(2^15,SEARCH(Settings!$F$14:$F$43,N18)/(Settings!$F$14:$F$43&lt;&gt;""),Settings!$G$14:$G$43),"")))</f>
        <v/>
      </c>
      <c r="BU18">
        <f>IF(OR($B18="",O18=""),"",IFERROR(INDEX(Settings!$D$14:$D$33,MATCH(O18,Settings!$B$14:$B$33,0))&amp;"",IFERROR(LOOKUP(2^15,SEARCH(Settings!$F$14:$F$43,O18)/(Settings!$F$14:$F$43&lt;&gt;""),Settings!$G$14:$G$43),"")))</f>
        <v/>
      </c>
      <c r="BV18">
        <f>IF(OR($B18="",P18=""),"",IFERROR(INDEX(Settings!$D$14:$D$33,MATCH(P18,Settings!$B$14:$B$33,0))&amp;"",IFERROR(LOOKUP(2^15,SEARCH(Settings!$F$14:$F$43,P18)/(Settings!$F$14:$F$43&lt;&gt;""),Settings!$G$14:$G$43),"")))</f>
        <v/>
      </c>
      <c r="BW18">
        <f>IF(OR($B18="",Q18=""),"",IFERROR(INDEX(Settings!$D$14:$D$33,MATCH(Q18,Settings!$B$14:$B$33,0))&amp;"",IFERROR(LOOKUP(2^15,SEARCH(Settings!$F$14:$F$43,Q18)/(Settings!$F$14:$F$43&lt;&gt;""),Settings!$G$14:$G$43),"")))</f>
        <v/>
      </c>
      <c r="BX18">
        <f>IF(OR($B18="",R18=""),"",IFERROR(INDEX(Settings!$D$14:$D$33,MATCH(R18,Settings!$B$14:$B$33,0))&amp;"",IFERROR(LOOKUP(2^15,SEARCH(Settings!$F$14:$F$43,R18)/(Settings!$F$14:$F$43&lt;&gt;""),Settings!$G$14:$G$43),"")))</f>
        <v/>
      </c>
      <c r="BY18">
        <f>IF(OR($B18="",S18=""),"",IFERROR(INDEX(Settings!$D$14:$D$33,MATCH(S18,Settings!$B$14:$B$33,0))&amp;"",IFERROR(LOOKUP(2^15,SEARCH(Settings!$F$14:$F$43,S18)/(Settings!$F$14:$F$43&lt;&gt;""),Settings!$G$14:$G$43),"")))</f>
        <v/>
      </c>
      <c r="BZ18">
        <f>IF(OR($B18="",T18=""),"",IFERROR(INDEX(Settings!$D$14:$D$33,MATCH(T18,Settings!$B$14:$B$33,0))&amp;"",IFERROR(LOOKUP(2^15,SEARCH(Settings!$F$14:$F$43,T18)/(Settings!$F$14:$F$43&lt;&gt;""),Settings!$G$14:$G$43),"")))</f>
        <v/>
      </c>
      <c r="CA18">
        <f>IF(OR($B18="",U18=""),"",IFERROR(INDEX(Settings!$D$14:$D$33,MATCH(U18,Settings!$B$14:$B$33,0))&amp;"",IFERROR(LOOKUP(2^15,SEARCH(Settings!$F$14:$F$43,U18)/(Settings!$F$14:$F$43&lt;&gt;""),Settings!$G$14:$G$43),"")))</f>
        <v/>
      </c>
      <c r="CB18">
        <f>IF(OR($B18="",V18=""),"",IFERROR(INDEX(Settings!$D$14:$D$33,MATCH(V18,Settings!$B$14:$B$33,0))&amp;"",IFERROR(LOOKUP(2^15,SEARCH(Settings!$F$14:$F$43,V18)/(Settings!$F$14:$F$43&lt;&gt;""),Settings!$G$14:$G$43),"")))</f>
        <v/>
      </c>
      <c r="CC18">
        <f>IF(OR($B18="",W18=""),"",IFERROR(INDEX(Settings!$D$14:$D$33,MATCH(W18,Settings!$B$14:$B$33,0))&amp;"",IFERROR(LOOKUP(2^15,SEARCH(Settings!$F$14:$F$43,W18)/(Settings!$F$14:$F$43&lt;&gt;""),Settings!$G$14:$G$43),"")))</f>
        <v/>
      </c>
      <c r="CD18">
        <f>IF(OR($B18="",X18=""),"",IFERROR(INDEX(Settings!$D$14:$D$33,MATCH(X18,Settings!$B$14:$B$33,0))&amp;"",IFERROR(LOOKUP(2^15,SEARCH(Settings!$F$14:$F$43,X18)/(Settings!$F$14:$F$43&lt;&gt;""),Settings!$G$14:$G$43),"")))</f>
        <v/>
      </c>
      <c r="CE18">
        <f>IF(OR($B18="",Y18=""),"",IFERROR(INDEX(Settings!$D$14:$D$33,MATCH(Y18,Settings!$B$14:$B$33,0))&amp;"",IFERROR(LOOKUP(2^15,SEARCH(Settings!$F$14:$F$43,Y18)/(Settings!$F$14:$F$43&lt;&gt;""),Settings!$G$14:$G$43),"")))</f>
        <v/>
      </c>
      <c r="CF18">
        <f>IF(OR($B18="",Z18=""),"",IFERROR(INDEX(Settings!$D$14:$D$33,MATCH(Z18,Settings!$B$14:$B$33,0))&amp;"",IFERROR(LOOKUP(2^15,SEARCH(Settings!$F$14:$F$43,Z18)/(Settings!$F$14:$F$43&lt;&gt;""),Settings!$G$14:$G$43),"")))</f>
        <v/>
      </c>
      <c r="CG18">
        <f>IF(OR($B18="",AA18=""),"",IFERROR(INDEX(Settings!$D$14:$D$33,MATCH(AA18,Settings!$B$14:$B$33,0))&amp;"",IFERROR(LOOKUP(2^15,SEARCH(Settings!$F$14:$F$43,AA18)/(Settings!$F$14:$F$43&lt;&gt;""),Settings!$G$14:$G$43),"")))</f>
        <v/>
      </c>
      <c r="CH18">
        <f>IF(OR($B18="",AB18=""),"",IFERROR(INDEX(Settings!$D$14:$D$33,MATCH(AB18,Settings!$B$14:$B$33,0))&amp;"",IFERROR(LOOKUP(2^15,SEARCH(Settings!$F$14:$F$43,AB18)/(Settings!$F$14:$F$43&lt;&gt;""),Settings!$G$14:$G$43),"")))</f>
        <v/>
      </c>
      <c r="CI18">
        <f>IF(OR($B18="",AC18=""),"",IFERROR(INDEX(Settings!$D$14:$D$33,MATCH(AC18,Settings!$B$14:$B$33,0))&amp;"",IFERROR(LOOKUP(2^15,SEARCH(Settings!$F$14:$F$43,AC18)/(Settings!$F$14:$F$43&lt;&gt;""),Settings!$G$14:$G$43),"")))</f>
        <v/>
      </c>
      <c r="CJ18">
        <f>IF(OR($B18="",AD18=""),"",IFERROR(INDEX(Settings!$D$14:$D$33,MATCH(AD18,Settings!$B$14:$B$33,0))&amp;"",IFERROR(LOOKUP(2^15,SEARCH(Settings!$F$14:$F$43,AD18)/(Settings!$F$14:$F$43&lt;&gt;""),Settings!$G$14:$G$43),"")))</f>
        <v/>
      </c>
      <c r="CK18">
        <f>IF(OR($B18="",AE18=""),"",IFERROR(INDEX(Settings!$D$14:$D$33,MATCH(AE18,Settings!$B$14:$B$33,0))&amp;"",IFERROR(LOOKUP(2^15,SEARCH(Settings!$F$14:$F$43,AE18)/(Settings!$F$14:$F$43&lt;&gt;""),Settings!$G$14:$G$43),"")))</f>
        <v/>
      </c>
      <c r="CL18">
        <f>IF(OR($B18="",AF18=""),"",IFERROR(INDEX(Settings!$D$14:$D$33,MATCH(AF18,Settings!$B$14:$B$33,0))&amp;"",IFERROR(LOOKUP(2^15,SEARCH(Settings!$F$14:$F$43,AF18)/(Settings!$F$14:$F$43&lt;&gt;""),Settings!$G$14:$G$43),"")))</f>
        <v/>
      </c>
      <c r="CM18">
        <f>IF(OR($B18="",AG18=""),"",IFERROR(INDEX(Settings!$D$14:$D$33,MATCH(AG18,Settings!$B$14:$B$33,0))&amp;"",IFERROR(LOOKUP(2^15,SEARCH(Settings!$F$14:$F$43,AG18)/(Settings!$F$14:$F$43&lt;&gt;""),Settings!$G$14:$G$43),"")))</f>
        <v/>
      </c>
    </row>
    <row r="19">
      <c r="A19" t="n">
        <v>17</v>
      </c>
      <c r="B19">
        <f>IFERROR(INDEX(Index!$A$2:$A$202,MATCH(A19,Index!$E$2:$E$202,0)),"")</f>
        <v/>
      </c>
      <c r="D19">
        <f>IF($B19="","",IFERROR(MATCH("Travel*",AI19:BJ19,0),""))</f>
        <v/>
      </c>
      <c r="F19">
        <f>IF(OR($B19="",NOT(ISNUMBER(Settings!$C$9))),"",TRIM(SUBSTITUTE(SUBSTITUTE(INDEX('INPUT - Roster'!$S$1:$SV$206,$B19,Settings!$C$9+0)&amp;"",CHAR(10)," "),CHAR(160)," ")))</f>
        <v/>
      </c>
      <c r="G19">
        <f>IF(OR($B19="",NOT(ISNUMBER(Settings!$C$9))),"",TRIM(SUBSTITUTE(SUBSTITUTE(INDEX('INPUT - Roster'!$S$1:$SV$206,$B19,Settings!$C$9+1)&amp;"",CHAR(10)," "),CHAR(160)," ")))</f>
        <v/>
      </c>
      <c r="H19">
        <f>IF(OR($B19="",NOT(ISNUMBER(Settings!$C$9))),"",TRIM(SUBSTITUTE(SUBSTITUTE(INDEX('INPUT - Roster'!$S$1:$SV$206,$B19,Settings!$C$9+2)&amp;"",CHAR(10)," "),CHAR(160)," ")))</f>
        <v/>
      </c>
      <c r="I19">
        <f>IF(OR($B19="",NOT(ISNUMBER(Settings!$C$9))),"",TRIM(SUBSTITUTE(SUBSTITUTE(INDEX('INPUT - Roster'!$S$1:$SV$206,$B19,Settings!$C$9+3)&amp;"",CHAR(10)," "),CHAR(160)," ")))</f>
        <v/>
      </c>
      <c r="J19">
        <f>IF(OR($B19="",NOT(ISNUMBER(Settings!$C$9))),"",TRIM(SUBSTITUTE(SUBSTITUTE(INDEX('INPUT - Roster'!$S$1:$SV$206,$B19,Settings!$C$9+4)&amp;"",CHAR(10)," "),CHAR(160)," ")))</f>
        <v/>
      </c>
      <c r="K19">
        <f>IF(OR($B19="",NOT(ISNUMBER(Settings!$C$9))),"",TRIM(SUBSTITUTE(SUBSTITUTE(INDEX('INPUT - Roster'!$S$1:$SV$206,$B19,Settings!$C$9+5)&amp;"",CHAR(10)," "),CHAR(160)," ")))</f>
        <v/>
      </c>
      <c r="L19">
        <f>IF(OR($B19="",NOT(ISNUMBER(Settings!$C$9))),"",TRIM(SUBSTITUTE(SUBSTITUTE(INDEX('INPUT - Roster'!$S$1:$SV$206,$B19,Settings!$C$9+6)&amp;"",CHAR(10)," "),CHAR(160)," ")))</f>
        <v/>
      </c>
      <c r="M19">
        <f>IF(OR($B19="",NOT(ISNUMBER(Settings!$C$9))),"",TRIM(SUBSTITUTE(SUBSTITUTE(INDEX('INPUT - Roster'!$S$1:$SV$206,$B19,Settings!$C$9+7)&amp;"",CHAR(10)," "),CHAR(160)," ")))</f>
        <v/>
      </c>
      <c r="N19">
        <f>IF(OR($B19="",NOT(ISNUMBER(Settings!$C$9))),"",TRIM(SUBSTITUTE(SUBSTITUTE(INDEX('INPUT - Roster'!$S$1:$SV$206,$B19,Settings!$C$9+8)&amp;"",CHAR(10)," "),CHAR(160)," ")))</f>
        <v/>
      </c>
      <c r="O19">
        <f>IF(OR($B19="",NOT(ISNUMBER(Settings!$C$9))),"",TRIM(SUBSTITUTE(SUBSTITUTE(INDEX('INPUT - Roster'!$S$1:$SV$206,$B19,Settings!$C$9+9)&amp;"",CHAR(10)," "),CHAR(160)," ")))</f>
        <v/>
      </c>
      <c r="P19">
        <f>IF(OR($B19="",NOT(ISNUMBER(Settings!$C$9))),"",TRIM(SUBSTITUTE(SUBSTITUTE(INDEX('INPUT - Roster'!$S$1:$SV$206,$B19,Settings!$C$9+10)&amp;"",CHAR(10)," "),CHAR(160)," ")))</f>
        <v/>
      </c>
      <c r="Q19">
        <f>IF(OR($B19="",NOT(ISNUMBER(Settings!$C$9))),"",TRIM(SUBSTITUTE(SUBSTITUTE(INDEX('INPUT - Roster'!$S$1:$SV$206,$B19,Settings!$C$9+11)&amp;"",CHAR(10)," "),CHAR(160)," ")))</f>
        <v/>
      </c>
      <c r="R19">
        <f>IF(OR($B19="",NOT(ISNUMBER(Settings!$C$9))),"",TRIM(SUBSTITUTE(SUBSTITUTE(INDEX('INPUT - Roster'!$S$1:$SV$206,$B19,Settings!$C$9+12)&amp;"",CHAR(10)," "),CHAR(160)," ")))</f>
        <v/>
      </c>
      <c r="S19">
        <f>IF(OR($B19="",NOT(ISNUMBER(Settings!$C$9))),"",TRIM(SUBSTITUTE(SUBSTITUTE(INDEX('INPUT - Roster'!$S$1:$SV$206,$B19,Settings!$C$9+13)&amp;"",CHAR(10)," "),CHAR(160)," ")))</f>
        <v/>
      </c>
      <c r="T19">
        <f>IF(OR($B19="",NOT(ISNUMBER(Settings!$C$9))),"",TRIM(SUBSTITUTE(SUBSTITUTE(INDEX('INPUT - Roster'!$S$1:$SV$206,$B19,Settings!$C$9+14)&amp;"",CHAR(10)," "),CHAR(160)," ")))</f>
        <v/>
      </c>
      <c r="U19">
        <f>IF(OR($B19="",NOT(ISNUMBER(Settings!$C$9))),"",TRIM(SUBSTITUTE(SUBSTITUTE(INDEX('INPUT - Roster'!$S$1:$SV$206,$B19,Settings!$C$9+15)&amp;"",CHAR(10)," "),CHAR(160)," ")))</f>
        <v/>
      </c>
      <c r="V19">
        <f>IF(OR($B19="",NOT(ISNUMBER(Settings!$C$9))),"",TRIM(SUBSTITUTE(SUBSTITUTE(INDEX('INPUT - Roster'!$S$1:$SV$206,$B19,Settings!$C$9+16)&amp;"",CHAR(10)," "),CHAR(160)," ")))</f>
        <v/>
      </c>
      <c r="W19">
        <f>IF(OR($B19="",NOT(ISNUMBER(Settings!$C$9))),"",TRIM(SUBSTITUTE(SUBSTITUTE(INDEX('INPUT - Roster'!$S$1:$SV$206,$B19,Settings!$C$9+17)&amp;"",CHAR(10)," "),CHAR(160)," ")))</f>
        <v/>
      </c>
      <c r="X19">
        <f>IF(OR($B19="",NOT(ISNUMBER(Settings!$C$9))),"",TRIM(SUBSTITUTE(SUBSTITUTE(INDEX('INPUT - Roster'!$S$1:$SV$206,$B19,Settings!$C$9+18)&amp;"",CHAR(10)," "),CHAR(160)," ")))</f>
        <v/>
      </c>
      <c r="Y19">
        <f>IF(OR($B19="",NOT(ISNUMBER(Settings!$C$9))),"",TRIM(SUBSTITUTE(SUBSTITUTE(INDEX('INPUT - Roster'!$S$1:$SV$206,$B19,Settings!$C$9+19)&amp;"",CHAR(10)," "),CHAR(160)," ")))</f>
        <v/>
      </c>
      <c r="Z19">
        <f>IF(OR($B19="",NOT(ISNUMBER(Settings!$C$9))),"",TRIM(SUBSTITUTE(SUBSTITUTE(INDEX('INPUT - Roster'!$S$1:$SV$206,$B19,Settings!$C$9+20)&amp;"",CHAR(10)," "),CHAR(160)," ")))</f>
        <v/>
      </c>
      <c r="AA19">
        <f>IF(OR($B19="",NOT(ISNUMBER(Settings!$C$9))),"",TRIM(SUBSTITUTE(SUBSTITUTE(INDEX('INPUT - Roster'!$S$1:$SV$206,$B19,Settings!$C$9+21)&amp;"",CHAR(10)," "),CHAR(160)," ")))</f>
        <v/>
      </c>
      <c r="AB19">
        <f>IF(OR($B19="",NOT(ISNUMBER(Settings!$C$9))),"",TRIM(SUBSTITUTE(SUBSTITUTE(INDEX('INPUT - Roster'!$S$1:$SV$206,$B19,Settings!$C$9+22)&amp;"",CHAR(10)," "),CHAR(160)," ")))</f>
        <v/>
      </c>
      <c r="AC19">
        <f>IF(OR($B19="",NOT(ISNUMBER(Settings!$C$9))),"",TRIM(SUBSTITUTE(SUBSTITUTE(INDEX('INPUT - Roster'!$S$1:$SV$206,$B19,Settings!$C$9+23)&amp;"",CHAR(10)," "),CHAR(160)," ")))</f>
        <v/>
      </c>
      <c r="AD19">
        <f>IF(OR($B19="",NOT(ISNUMBER(Settings!$C$9))),"",TRIM(SUBSTITUTE(SUBSTITUTE(INDEX('INPUT - Roster'!$S$1:$SV$206,$B19,Settings!$C$9+24)&amp;"",CHAR(10)," "),CHAR(160)," ")))</f>
        <v/>
      </c>
      <c r="AE19">
        <f>IF(OR($B19="",NOT(ISNUMBER(Settings!$C$9))),"",TRIM(SUBSTITUTE(SUBSTITUTE(INDEX('INPUT - Roster'!$S$1:$SV$206,$B19,Settings!$C$9+25)&amp;"",CHAR(10)," "),CHAR(160)," ")))</f>
        <v/>
      </c>
      <c r="AF19">
        <f>IF(OR($B19="",NOT(ISNUMBER(Settings!$C$9))),"",TRIM(SUBSTITUTE(SUBSTITUTE(INDEX('INPUT - Roster'!$S$1:$SV$206,$B19,Settings!$C$9+26)&amp;"",CHAR(10)," "),CHAR(160)," ")))</f>
        <v/>
      </c>
      <c r="AG19">
        <f>IF(OR($B19="",NOT(ISNUMBER(Settings!$C$9))),"",TRIM(SUBSTITUTE(SUBSTITUTE(INDEX('INPUT - Roster'!$S$1:$SV$206,$B19,Settings!$C$9+27)&amp;"",CHAR(10)," "),CHAR(160)," ")))</f>
        <v/>
      </c>
      <c r="AI19">
        <f>IF($B19="","",IF(F19="","Not rostered",IFERROR(INDEX(Settings!$C$14:$C$33,MATCH(F19,Settings!$B$14:$B$33,0)),IFERROR(LOOKUP(2^15,SEARCH(Settings!$I$14:$I$83,F19)/(Settings!$I$14:$I$83&lt;&gt;""),Settings!$J$14:$J$83),"Other"))))</f>
        <v/>
      </c>
      <c r="AJ19">
        <f>IF($B19="","",IF(G19="","Not rostered",IFERROR(INDEX(Settings!$C$14:$C$33,MATCH(G19,Settings!$B$14:$B$33,0)),IFERROR(LOOKUP(2^15,SEARCH(Settings!$I$14:$I$83,G19)/(Settings!$I$14:$I$83&lt;&gt;""),Settings!$J$14:$J$83),"Other"))))</f>
        <v/>
      </c>
      <c r="AK19">
        <f>IF($B19="","",IF(H19="","Not rostered",IFERROR(INDEX(Settings!$C$14:$C$33,MATCH(H19,Settings!$B$14:$B$33,0)),IFERROR(LOOKUP(2^15,SEARCH(Settings!$I$14:$I$83,H19)/(Settings!$I$14:$I$83&lt;&gt;""),Settings!$J$14:$J$83),"Other"))))</f>
        <v/>
      </c>
      <c r="AL19">
        <f>IF($B19="","",IF(I19="","Not rostered",IFERROR(INDEX(Settings!$C$14:$C$33,MATCH(I19,Settings!$B$14:$B$33,0)),IFERROR(LOOKUP(2^15,SEARCH(Settings!$I$14:$I$83,I19)/(Settings!$I$14:$I$83&lt;&gt;""),Settings!$J$14:$J$83),"Other"))))</f>
        <v/>
      </c>
      <c r="AM19">
        <f>IF($B19="","",IF(J19="","Not rostered",IFERROR(INDEX(Settings!$C$14:$C$33,MATCH(J19,Settings!$B$14:$B$33,0)),IFERROR(LOOKUP(2^15,SEARCH(Settings!$I$14:$I$83,J19)/(Settings!$I$14:$I$83&lt;&gt;""),Settings!$J$14:$J$83),"Other"))))</f>
        <v/>
      </c>
      <c r="AN19">
        <f>IF($B19="","",IF(K19="","Not rostered",IFERROR(INDEX(Settings!$C$14:$C$33,MATCH(K19,Settings!$B$14:$B$33,0)),IFERROR(LOOKUP(2^15,SEARCH(Settings!$I$14:$I$83,K19)/(Settings!$I$14:$I$83&lt;&gt;""),Settings!$J$14:$J$83),"Other"))))</f>
        <v/>
      </c>
      <c r="AO19">
        <f>IF($B19="","",IF(L19="","Not rostered",IFERROR(INDEX(Settings!$C$14:$C$33,MATCH(L19,Settings!$B$14:$B$33,0)),IFERROR(LOOKUP(2^15,SEARCH(Settings!$I$14:$I$83,L19)/(Settings!$I$14:$I$83&lt;&gt;""),Settings!$J$14:$J$83),"Other"))))</f>
        <v/>
      </c>
      <c r="AP19">
        <f>IF($B19="","",IF(M19="","Not rostered",IFERROR(INDEX(Settings!$C$14:$C$33,MATCH(M19,Settings!$B$14:$B$33,0)),IFERROR(LOOKUP(2^15,SEARCH(Settings!$I$14:$I$83,M19)/(Settings!$I$14:$I$83&lt;&gt;""),Settings!$J$14:$J$83),"Other"))))</f>
        <v/>
      </c>
      <c r="AQ19">
        <f>IF($B19="","",IF(N19="","Not rostered",IFERROR(INDEX(Settings!$C$14:$C$33,MATCH(N19,Settings!$B$14:$B$33,0)),IFERROR(LOOKUP(2^15,SEARCH(Settings!$I$14:$I$83,N19)/(Settings!$I$14:$I$83&lt;&gt;""),Settings!$J$14:$J$83),"Other"))))</f>
        <v/>
      </c>
      <c r="AR19">
        <f>IF($B19="","",IF(O19="","Not rostered",IFERROR(INDEX(Settings!$C$14:$C$33,MATCH(O19,Settings!$B$14:$B$33,0)),IFERROR(LOOKUP(2^15,SEARCH(Settings!$I$14:$I$83,O19)/(Settings!$I$14:$I$83&lt;&gt;""),Settings!$J$14:$J$83),"Other"))))</f>
        <v/>
      </c>
      <c r="AS19">
        <f>IF($B19="","",IF(P19="","Not rostered",IFERROR(INDEX(Settings!$C$14:$C$33,MATCH(P19,Settings!$B$14:$B$33,0)),IFERROR(LOOKUP(2^15,SEARCH(Settings!$I$14:$I$83,P19)/(Settings!$I$14:$I$83&lt;&gt;""),Settings!$J$14:$J$83),"Other"))))</f>
        <v/>
      </c>
      <c r="AT19">
        <f>IF($B19="","",IF(Q19="","Not rostered",IFERROR(INDEX(Settings!$C$14:$C$33,MATCH(Q19,Settings!$B$14:$B$33,0)),IFERROR(LOOKUP(2^15,SEARCH(Settings!$I$14:$I$83,Q19)/(Settings!$I$14:$I$83&lt;&gt;""),Settings!$J$14:$J$83),"Other"))))</f>
        <v/>
      </c>
      <c r="AU19">
        <f>IF($B19="","",IF(R19="","Not rostered",IFERROR(INDEX(Settings!$C$14:$C$33,MATCH(R19,Settings!$B$14:$B$33,0)),IFERROR(LOOKUP(2^15,SEARCH(Settings!$I$14:$I$83,R19)/(Settings!$I$14:$I$83&lt;&gt;""),Settings!$J$14:$J$83),"Other"))))</f>
        <v/>
      </c>
      <c r="AV19">
        <f>IF($B19="","",IF(S19="","Not rostered",IFERROR(INDEX(Settings!$C$14:$C$33,MATCH(S19,Settings!$B$14:$B$33,0)),IFERROR(LOOKUP(2^15,SEARCH(Settings!$I$14:$I$83,S19)/(Settings!$I$14:$I$83&lt;&gt;""),Settings!$J$14:$J$83),"Other"))))</f>
        <v/>
      </c>
      <c r="AW19">
        <f>IF($B19="","",IF(T19="","Not rostered",IFERROR(INDEX(Settings!$C$14:$C$33,MATCH(T19,Settings!$B$14:$B$33,0)),IFERROR(LOOKUP(2^15,SEARCH(Settings!$I$14:$I$83,T19)/(Settings!$I$14:$I$83&lt;&gt;""),Settings!$J$14:$J$83),"Other"))))</f>
        <v/>
      </c>
      <c r="AX19">
        <f>IF($B19="","",IF(U19="","Not rostered",IFERROR(INDEX(Settings!$C$14:$C$33,MATCH(U19,Settings!$B$14:$B$33,0)),IFERROR(LOOKUP(2^15,SEARCH(Settings!$I$14:$I$83,U19)/(Settings!$I$14:$I$83&lt;&gt;""),Settings!$J$14:$J$83),"Other"))))</f>
        <v/>
      </c>
      <c r="AY19">
        <f>IF($B19="","",IF(V19="","Not rostered",IFERROR(INDEX(Settings!$C$14:$C$33,MATCH(V19,Settings!$B$14:$B$33,0)),IFERROR(LOOKUP(2^15,SEARCH(Settings!$I$14:$I$83,V19)/(Settings!$I$14:$I$83&lt;&gt;""),Settings!$J$14:$J$83),"Other"))))</f>
        <v/>
      </c>
      <c r="AZ19">
        <f>IF($B19="","",IF(W19="","Not rostered",IFERROR(INDEX(Settings!$C$14:$C$33,MATCH(W19,Settings!$B$14:$B$33,0)),IFERROR(LOOKUP(2^15,SEARCH(Settings!$I$14:$I$83,W19)/(Settings!$I$14:$I$83&lt;&gt;""),Settings!$J$14:$J$83),"Other"))))</f>
        <v/>
      </c>
      <c r="BA19">
        <f>IF($B19="","",IF(X19="","Not rostered",IFERROR(INDEX(Settings!$C$14:$C$33,MATCH(X19,Settings!$B$14:$B$33,0)),IFERROR(LOOKUP(2^15,SEARCH(Settings!$I$14:$I$83,X19)/(Settings!$I$14:$I$83&lt;&gt;""),Settings!$J$14:$J$83),"Other"))))</f>
        <v/>
      </c>
      <c r="BB19">
        <f>IF($B19="","",IF(Y19="","Not rostered",IFERROR(INDEX(Settings!$C$14:$C$33,MATCH(Y19,Settings!$B$14:$B$33,0)),IFERROR(LOOKUP(2^15,SEARCH(Settings!$I$14:$I$83,Y19)/(Settings!$I$14:$I$83&lt;&gt;""),Settings!$J$14:$J$83),"Other"))))</f>
        <v/>
      </c>
      <c r="BC19">
        <f>IF($B19="","",IF(Z19="","Not rostered",IFERROR(INDEX(Settings!$C$14:$C$33,MATCH(Z19,Settings!$B$14:$B$33,0)),IFERROR(LOOKUP(2^15,SEARCH(Settings!$I$14:$I$83,Z19)/(Settings!$I$14:$I$83&lt;&gt;""),Settings!$J$14:$J$83),"Other"))))</f>
        <v/>
      </c>
      <c r="BD19">
        <f>IF($B19="","",IF(AA19="","Not rostered",IFERROR(INDEX(Settings!$C$14:$C$33,MATCH(AA19,Settings!$B$14:$B$33,0)),IFERROR(LOOKUP(2^15,SEARCH(Settings!$I$14:$I$83,AA19)/(Settings!$I$14:$I$83&lt;&gt;""),Settings!$J$14:$J$83),"Other"))))</f>
        <v/>
      </c>
      <c r="BE19">
        <f>IF($B19="","",IF(AB19="","Not rostered",IFERROR(INDEX(Settings!$C$14:$C$33,MATCH(AB19,Settings!$B$14:$B$33,0)),IFERROR(LOOKUP(2^15,SEARCH(Settings!$I$14:$I$83,AB19)/(Settings!$I$14:$I$83&lt;&gt;""),Settings!$J$14:$J$83),"Other"))))</f>
        <v/>
      </c>
      <c r="BF19">
        <f>IF($B19="","",IF(AC19="","Not rostered",IFERROR(INDEX(Settings!$C$14:$C$33,MATCH(AC19,Settings!$B$14:$B$33,0)),IFERROR(LOOKUP(2^15,SEARCH(Settings!$I$14:$I$83,AC19)/(Settings!$I$14:$I$83&lt;&gt;""),Settings!$J$14:$J$83),"Other"))))</f>
        <v/>
      </c>
      <c r="BG19">
        <f>IF($B19="","",IF(AD19="","Not rostered",IFERROR(INDEX(Settings!$C$14:$C$33,MATCH(AD19,Settings!$B$14:$B$33,0)),IFERROR(LOOKUP(2^15,SEARCH(Settings!$I$14:$I$83,AD19)/(Settings!$I$14:$I$83&lt;&gt;""),Settings!$J$14:$J$83),"Other"))))</f>
        <v/>
      </c>
      <c r="BH19">
        <f>IF($B19="","",IF(AE19="","Not rostered",IFERROR(INDEX(Settings!$C$14:$C$33,MATCH(AE19,Settings!$B$14:$B$33,0)),IFERROR(LOOKUP(2^15,SEARCH(Settings!$I$14:$I$83,AE19)/(Settings!$I$14:$I$83&lt;&gt;""),Settings!$J$14:$J$83),"Other"))))</f>
        <v/>
      </c>
      <c r="BI19">
        <f>IF($B19="","",IF(AF19="","Not rostered",IFERROR(INDEX(Settings!$C$14:$C$33,MATCH(AF19,Settings!$B$14:$B$33,0)),IFERROR(LOOKUP(2^15,SEARCH(Settings!$I$14:$I$83,AF19)/(Settings!$I$14:$I$83&lt;&gt;""),Settings!$J$14:$J$83),"Other"))))</f>
        <v/>
      </c>
      <c r="BJ19">
        <f>IF($B19="","",IF(AG19="","Not rostered",IFERROR(INDEX(Settings!$C$14:$C$33,MATCH(AG19,Settings!$B$14:$B$33,0)),IFERROR(LOOKUP(2^15,SEARCH(Settings!$I$14:$I$83,AG19)/(Settings!$I$14:$I$83&lt;&gt;""),Settings!$J$14:$J$83),"Other"))))</f>
        <v/>
      </c>
      <c r="BL19">
        <f>IF(OR($B19="",F19=""),"",IFERROR(INDEX(Settings!$D$14:$D$33,MATCH(F19,Settings!$B$14:$B$33,0))&amp;"",IFERROR(LOOKUP(2^15,SEARCH(Settings!$F$14:$F$43,F19)/(Settings!$F$14:$F$43&lt;&gt;""),Settings!$G$14:$G$43),"")))</f>
        <v/>
      </c>
      <c r="BM19">
        <f>IF(OR($B19="",G19=""),"",IFERROR(INDEX(Settings!$D$14:$D$33,MATCH(G19,Settings!$B$14:$B$33,0))&amp;"",IFERROR(LOOKUP(2^15,SEARCH(Settings!$F$14:$F$43,G19)/(Settings!$F$14:$F$43&lt;&gt;""),Settings!$G$14:$G$43),"")))</f>
        <v/>
      </c>
      <c r="BN19">
        <f>IF(OR($B19="",H19=""),"",IFERROR(INDEX(Settings!$D$14:$D$33,MATCH(H19,Settings!$B$14:$B$33,0))&amp;"",IFERROR(LOOKUP(2^15,SEARCH(Settings!$F$14:$F$43,H19)/(Settings!$F$14:$F$43&lt;&gt;""),Settings!$G$14:$G$43),"")))</f>
        <v/>
      </c>
      <c r="BO19">
        <f>IF(OR($B19="",I19=""),"",IFERROR(INDEX(Settings!$D$14:$D$33,MATCH(I19,Settings!$B$14:$B$33,0))&amp;"",IFERROR(LOOKUP(2^15,SEARCH(Settings!$F$14:$F$43,I19)/(Settings!$F$14:$F$43&lt;&gt;""),Settings!$G$14:$G$43),"")))</f>
        <v/>
      </c>
      <c r="BP19">
        <f>IF(OR($B19="",J19=""),"",IFERROR(INDEX(Settings!$D$14:$D$33,MATCH(J19,Settings!$B$14:$B$33,0))&amp;"",IFERROR(LOOKUP(2^15,SEARCH(Settings!$F$14:$F$43,J19)/(Settings!$F$14:$F$43&lt;&gt;""),Settings!$G$14:$G$43),"")))</f>
        <v/>
      </c>
      <c r="BQ19">
        <f>IF(OR($B19="",K19=""),"",IFERROR(INDEX(Settings!$D$14:$D$33,MATCH(K19,Settings!$B$14:$B$33,0))&amp;"",IFERROR(LOOKUP(2^15,SEARCH(Settings!$F$14:$F$43,K19)/(Settings!$F$14:$F$43&lt;&gt;""),Settings!$G$14:$G$43),"")))</f>
        <v/>
      </c>
      <c r="BR19">
        <f>IF(OR($B19="",L19=""),"",IFERROR(INDEX(Settings!$D$14:$D$33,MATCH(L19,Settings!$B$14:$B$33,0))&amp;"",IFERROR(LOOKUP(2^15,SEARCH(Settings!$F$14:$F$43,L19)/(Settings!$F$14:$F$43&lt;&gt;""),Settings!$G$14:$G$43),"")))</f>
        <v/>
      </c>
      <c r="BS19">
        <f>IF(OR($B19="",M19=""),"",IFERROR(INDEX(Settings!$D$14:$D$33,MATCH(M19,Settings!$B$14:$B$33,0))&amp;"",IFERROR(LOOKUP(2^15,SEARCH(Settings!$F$14:$F$43,M19)/(Settings!$F$14:$F$43&lt;&gt;""),Settings!$G$14:$G$43),"")))</f>
        <v/>
      </c>
      <c r="BT19">
        <f>IF(OR($B19="",N19=""),"",IFERROR(INDEX(Settings!$D$14:$D$33,MATCH(N19,Settings!$B$14:$B$33,0))&amp;"",IFERROR(LOOKUP(2^15,SEARCH(Settings!$F$14:$F$43,N19)/(Settings!$F$14:$F$43&lt;&gt;""),Settings!$G$14:$G$43),"")))</f>
        <v/>
      </c>
      <c r="BU19">
        <f>IF(OR($B19="",O19=""),"",IFERROR(INDEX(Settings!$D$14:$D$33,MATCH(O19,Settings!$B$14:$B$33,0))&amp;"",IFERROR(LOOKUP(2^15,SEARCH(Settings!$F$14:$F$43,O19)/(Settings!$F$14:$F$43&lt;&gt;""),Settings!$G$14:$G$43),"")))</f>
        <v/>
      </c>
      <c r="BV19">
        <f>IF(OR($B19="",P19=""),"",IFERROR(INDEX(Settings!$D$14:$D$33,MATCH(P19,Settings!$B$14:$B$33,0))&amp;"",IFERROR(LOOKUP(2^15,SEARCH(Settings!$F$14:$F$43,P19)/(Settings!$F$14:$F$43&lt;&gt;""),Settings!$G$14:$G$43),"")))</f>
        <v/>
      </c>
      <c r="BW19">
        <f>IF(OR($B19="",Q19=""),"",IFERROR(INDEX(Settings!$D$14:$D$33,MATCH(Q19,Settings!$B$14:$B$33,0))&amp;"",IFERROR(LOOKUP(2^15,SEARCH(Settings!$F$14:$F$43,Q19)/(Settings!$F$14:$F$43&lt;&gt;""),Settings!$G$14:$G$43),"")))</f>
        <v/>
      </c>
      <c r="BX19">
        <f>IF(OR($B19="",R19=""),"",IFERROR(INDEX(Settings!$D$14:$D$33,MATCH(R19,Settings!$B$14:$B$33,0))&amp;"",IFERROR(LOOKUP(2^15,SEARCH(Settings!$F$14:$F$43,R19)/(Settings!$F$14:$F$43&lt;&gt;""),Settings!$G$14:$G$43),"")))</f>
        <v/>
      </c>
      <c r="BY19">
        <f>IF(OR($B19="",S19=""),"",IFERROR(INDEX(Settings!$D$14:$D$33,MATCH(S19,Settings!$B$14:$B$33,0))&amp;"",IFERROR(LOOKUP(2^15,SEARCH(Settings!$F$14:$F$43,S19)/(Settings!$F$14:$F$43&lt;&gt;""),Settings!$G$14:$G$43),"")))</f>
        <v/>
      </c>
      <c r="BZ19">
        <f>IF(OR($B19="",T19=""),"",IFERROR(INDEX(Settings!$D$14:$D$33,MATCH(T19,Settings!$B$14:$B$33,0))&amp;"",IFERROR(LOOKUP(2^15,SEARCH(Settings!$F$14:$F$43,T19)/(Settings!$F$14:$F$43&lt;&gt;""),Settings!$G$14:$G$43),"")))</f>
        <v/>
      </c>
      <c r="CA19">
        <f>IF(OR($B19="",U19=""),"",IFERROR(INDEX(Settings!$D$14:$D$33,MATCH(U19,Settings!$B$14:$B$33,0))&amp;"",IFERROR(LOOKUP(2^15,SEARCH(Settings!$F$14:$F$43,U19)/(Settings!$F$14:$F$43&lt;&gt;""),Settings!$G$14:$G$43),"")))</f>
        <v/>
      </c>
      <c r="CB19">
        <f>IF(OR($B19="",V19=""),"",IFERROR(INDEX(Settings!$D$14:$D$33,MATCH(V19,Settings!$B$14:$B$33,0))&amp;"",IFERROR(LOOKUP(2^15,SEARCH(Settings!$F$14:$F$43,V19)/(Settings!$F$14:$F$43&lt;&gt;""),Settings!$G$14:$G$43),"")))</f>
        <v/>
      </c>
      <c r="CC19">
        <f>IF(OR($B19="",W19=""),"",IFERROR(INDEX(Settings!$D$14:$D$33,MATCH(W19,Settings!$B$14:$B$33,0))&amp;"",IFERROR(LOOKUP(2^15,SEARCH(Settings!$F$14:$F$43,W19)/(Settings!$F$14:$F$43&lt;&gt;""),Settings!$G$14:$G$43),"")))</f>
        <v/>
      </c>
      <c r="CD19">
        <f>IF(OR($B19="",X19=""),"",IFERROR(INDEX(Settings!$D$14:$D$33,MATCH(X19,Settings!$B$14:$B$33,0))&amp;"",IFERROR(LOOKUP(2^15,SEARCH(Settings!$F$14:$F$43,X19)/(Settings!$F$14:$F$43&lt;&gt;""),Settings!$G$14:$G$43),"")))</f>
        <v/>
      </c>
      <c r="CE19">
        <f>IF(OR($B19="",Y19=""),"",IFERROR(INDEX(Settings!$D$14:$D$33,MATCH(Y19,Settings!$B$14:$B$33,0))&amp;"",IFERROR(LOOKUP(2^15,SEARCH(Settings!$F$14:$F$43,Y19)/(Settings!$F$14:$F$43&lt;&gt;""),Settings!$G$14:$G$43),"")))</f>
        <v/>
      </c>
      <c r="CF19">
        <f>IF(OR($B19="",Z19=""),"",IFERROR(INDEX(Settings!$D$14:$D$33,MATCH(Z19,Settings!$B$14:$B$33,0))&amp;"",IFERROR(LOOKUP(2^15,SEARCH(Settings!$F$14:$F$43,Z19)/(Settings!$F$14:$F$43&lt;&gt;""),Settings!$G$14:$G$43),"")))</f>
        <v/>
      </c>
      <c r="CG19">
        <f>IF(OR($B19="",AA19=""),"",IFERROR(INDEX(Settings!$D$14:$D$33,MATCH(AA19,Settings!$B$14:$B$33,0))&amp;"",IFERROR(LOOKUP(2^15,SEARCH(Settings!$F$14:$F$43,AA19)/(Settings!$F$14:$F$43&lt;&gt;""),Settings!$G$14:$G$43),"")))</f>
        <v/>
      </c>
      <c r="CH19">
        <f>IF(OR($B19="",AB19=""),"",IFERROR(INDEX(Settings!$D$14:$D$33,MATCH(AB19,Settings!$B$14:$B$33,0))&amp;"",IFERROR(LOOKUP(2^15,SEARCH(Settings!$F$14:$F$43,AB19)/(Settings!$F$14:$F$43&lt;&gt;""),Settings!$G$14:$G$43),"")))</f>
        <v/>
      </c>
      <c r="CI19">
        <f>IF(OR($B19="",AC19=""),"",IFERROR(INDEX(Settings!$D$14:$D$33,MATCH(AC19,Settings!$B$14:$B$33,0))&amp;"",IFERROR(LOOKUP(2^15,SEARCH(Settings!$F$14:$F$43,AC19)/(Settings!$F$14:$F$43&lt;&gt;""),Settings!$G$14:$G$43),"")))</f>
        <v/>
      </c>
      <c r="CJ19">
        <f>IF(OR($B19="",AD19=""),"",IFERROR(INDEX(Settings!$D$14:$D$33,MATCH(AD19,Settings!$B$14:$B$33,0))&amp;"",IFERROR(LOOKUP(2^15,SEARCH(Settings!$F$14:$F$43,AD19)/(Settings!$F$14:$F$43&lt;&gt;""),Settings!$G$14:$G$43),"")))</f>
        <v/>
      </c>
      <c r="CK19">
        <f>IF(OR($B19="",AE19=""),"",IFERROR(INDEX(Settings!$D$14:$D$33,MATCH(AE19,Settings!$B$14:$B$33,0))&amp;"",IFERROR(LOOKUP(2^15,SEARCH(Settings!$F$14:$F$43,AE19)/(Settings!$F$14:$F$43&lt;&gt;""),Settings!$G$14:$G$43),"")))</f>
        <v/>
      </c>
      <c r="CL19">
        <f>IF(OR($B19="",AF19=""),"",IFERROR(INDEX(Settings!$D$14:$D$33,MATCH(AF19,Settings!$B$14:$B$33,0))&amp;"",IFERROR(LOOKUP(2^15,SEARCH(Settings!$F$14:$F$43,AF19)/(Settings!$F$14:$F$43&lt;&gt;""),Settings!$G$14:$G$43),"")))</f>
        <v/>
      </c>
      <c r="CM19">
        <f>IF(OR($B19="",AG19=""),"",IFERROR(INDEX(Settings!$D$14:$D$33,MATCH(AG19,Settings!$B$14:$B$33,0))&amp;"",IFERROR(LOOKUP(2^15,SEARCH(Settings!$F$14:$F$43,AG19)/(Settings!$F$14:$F$43&lt;&gt;""),Settings!$G$14:$G$43),"")))</f>
        <v/>
      </c>
    </row>
    <row r="20">
      <c r="A20" t="n">
        <v>18</v>
      </c>
      <c r="B20">
        <f>IFERROR(INDEX(Index!$A$2:$A$202,MATCH(A20,Index!$E$2:$E$202,0)),"")</f>
        <v/>
      </c>
      <c r="D20">
        <f>IF($B20="","",IFERROR(MATCH("Travel*",AI20:BJ20,0),""))</f>
        <v/>
      </c>
      <c r="F20">
        <f>IF(OR($B20="",NOT(ISNUMBER(Settings!$C$9))),"",TRIM(SUBSTITUTE(SUBSTITUTE(INDEX('INPUT - Roster'!$S$1:$SV$206,$B20,Settings!$C$9+0)&amp;"",CHAR(10)," "),CHAR(160)," ")))</f>
        <v/>
      </c>
      <c r="G20">
        <f>IF(OR($B20="",NOT(ISNUMBER(Settings!$C$9))),"",TRIM(SUBSTITUTE(SUBSTITUTE(INDEX('INPUT - Roster'!$S$1:$SV$206,$B20,Settings!$C$9+1)&amp;"",CHAR(10)," "),CHAR(160)," ")))</f>
        <v/>
      </c>
      <c r="H20">
        <f>IF(OR($B20="",NOT(ISNUMBER(Settings!$C$9))),"",TRIM(SUBSTITUTE(SUBSTITUTE(INDEX('INPUT - Roster'!$S$1:$SV$206,$B20,Settings!$C$9+2)&amp;"",CHAR(10)," "),CHAR(160)," ")))</f>
        <v/>
      </c>
      <c r="I20">
        <f>IF(OR($B20="",NOT(ISNUMBER(Settings!$C$9))),"",TRIM(SUBSTITUTE(SUBSTITUTE(INDEX('INPUT - Roster'!$S$1:$SV$206,$B20,Settings!$C$9+3)&amp;"",CHAR(10)," "),CHAR(160)," ")))</f>
        <v/>
      </c>
      <c r="J20">
        <f>IF(OR($B20="",NOT(ISNUMBER(Settings!$C$9))),"",TRIM(SUBSTITUTE(SUBSTITUTE(INDEX('INPUT - Roster'!$S$1:$SV$206,$B20,Settings!$C$9+4)&amp;"",CHAR(10)," "),CHAR(160)," ")))</f>
        <v/>
      </c>
      <c r="K20">
        <f>IF(OR($B20="",NOT(ISNUMBER(Settings!$C$9))),"",TRIM(SUBSTITUTE(SUBSTITUTE(INDEX('INPUT - Roster'!$S$1:$SV$206,$B20,Settings!$C$9+5)&amp;"",CHAR(10)," "),CHAR(160)," ")))</f>
        <v/>
      </c>
      <c r="L20">
        <f>IF(OR($B20="",NOT(ISNUMBER(Settings!$C$9))),"",TRIM(SUBSTITUTE(SUBSTITUTE(INDEX('INPUT - Roster'!$S$1:$SV$206,$B20,Settings!$C$9+6)&amp;"",CHAR(10)," "),CHAR(160)," ")))</f>
        <v/>
      </c>
      <c r="M20">
        <f>IF(OR($B20="",NOT(ISNUMBER(Settings!$C$9))),"",TRIM(SUBSTITUTE(SUBSTITUTE(INDEX('INPUT - Roster'!$S$1:$SV$206,$B20,Settings!$C$9+7)&amp;"",CHAR(10)," "),CHAR(160)," ")))</f>
        <v/>
      </c>
      <c r="N20">
        <f>IF(OR($B20="",NOT(ISNUMBER(Settings!$C$9))),"",TRIM(SUBSTITUTE(SUBSTITUTE(INDEX('INPUT - Roster'!$S$1:$SV$206,$B20,Settings!$C$9+8)&amp;"",CHAR(10)," "),CHAR(160)," ")))</f>
        <v/>
      </c>
      <c r="O20">
        <f>IF(OR($B20="",NOT(ISNUMBER(Settings!$C$9))),"",TRIM(SUBSTITUTE(SUBSTITUTE(INDEX('INPUT - Roster'!$S$1:$SV$206,$B20,Settings!$C$9+9)&amp;"",CHAR(10)," "),CHAR(160)," ")))</f>
        <v/>
      </c>
      <c r="P20">
        <f>IF(OR($B20="",NOT(ISNUMBER(Settings!$C$9))),"",TRIM(SUBSTITUTE(SUBSTITUTE(INDEX('INPUT - Roster'!$S$1:$SV$206,$B20,Settings!$C$9+10)&amp;"",CHAR(10)," "),CHAR(160)," ")))</f>
        <v/>
      </c>
      <c r="Q20">
        <f>IF(OR($B20="",NOT(ISNUMBER(Settings!$C$9))),"",TRIM(SUBSTITUTE(SUBSTITUTE(INDEX('INPUT - Roster'!$S$1:$SV$206,$B20,Settings!$C$9+11)&amp;"",CHAR(10)," "),CHAR(160)," ")))</f>
        <v/>
      </c>
      <c r="R20">
        <f>IF(OR($B20="",NOT(ISNUMBER(Settings!$C$9))),"",TRIM(SUBSTITUTE(SUBSTITUTE(INDEX('INPUT - Roster'!$S$1:$SV$206,$B20,Settings!$C$9+12)&amp;"",CHAR(10)," "),CHAR(160)," ")))</f>
        <v/>
      </c>
      <c r="S20">
        <f>IF(OR($B20="",NOT(ISNUMBER(Settings!$C$9))),"",TRIM(SUBSTITUTE(SUBSTITUTE(INDEX('INPUT - Roster'!$S$1:$SV$206,$B20,Settings!$C$9+13)&amp;"",CHAR(10)," "),CHAR(160)," ")))</f>
        <v/>
      </c>
      <c r="T20">
        <f>IF(OR($B20="",NOT(ISNUMBER(Settings!$C$9))),"",TRIM(SUBSTITUTE(SUBSTITUTE(INDEX('INPUT - Roster'!$S$1:$SV$206,$B20,Settings!$C$9+14)&amp;"",CHAR(10)," "),CHAR(160)," ")))</f>
        <v/>
      </c>
      <c r="U20">
        <f>IF(OR($B20="",NOT(ISNUMBER(Settings!$C$9))),"",TRIM(SUBSTITUTE(SUBSTITUTE(INDEX('INPUT - Roster'!$S$1:$SV$206,$B20,Settings!$C$9+15)&amp;"",CHAR(10)," "),CHAR(160)," ")))</f>
        <v/>
      </c>
      <c r="V20">
        <f>IF(OR($B20="",NOT(ISNUMBER(Settings!$C$9))),"",TRIM(SUBSTITUTE(SUBSTITUTE(INDEX('INPUT - Roster'!$S$1:$SV$206,$B20,Settings!$C$9+16)&amp;"",CHAR(10)," "),CHAR(160)," ")))</f>
        <v/>
      </c>
      <c r="W20">
        <f>IF(OR($B20="",NOT(ISNUMBER(Settings!$C$9))),"",TRIM(SUBSTITUTE(SUBSTITUTE(INDEX('INPUT - Roster'!$S$1:$SV$206,$B20,Settings!$C$9+17)&amp;"",CHAR(10)," "),CHAR(160)," ")))</f>
        <v/>
      </c>
      <c r="X20">
        <f>IF(OR($B20="",NOT(ISNUMBER(Settings!$C$9))),"",TRIM(SUBSTITUTE(SUBSTITUTE(INDEX('INPUT - Roster'!$S$1:$SV$206,$B20,Settings!$C$9+18)&amp;"",CHAR(10)," "),CHAR(160)," ")))</f>
        <v/>
      </c>
      <c r="Y20">
        <f>IF(OR($B20="",NOT(ISNUMBER(Settings!$C$9))),"",TRIM(SUBSTITUTE(SUBSTITUTE(INDEX('INPUT - Roster'!$S$1:$SV$206,$B20,Settings!$C$9+19)&amp;"",CHAR(10)," "),CHAR(160)," ")))</f>
        <v/>
      </c>
      <c r="Z20">
        <f>IF(OR($B20="",NOT(ISNUMBER(Settings!$C$9))),"",TRIM(SUBSTITUTE(SUBSTITUTE(INDEX('INPUT - Roster'!$S$1:$SV$206,$B20,Settings!$C$9+20)&amp;"",CHAR(10)," "),CHAR(160)," ")))</f>
        <v/>
      </c>
      <c r="AA20">
        <f>IF(OR($B20="",NOT(ISNUMBER(Settings!$C$9))),"",TRIM(SUBSTITUTE(SUBSTITUTE(INDEX('INPUT - Roster'!$S$1:$SV$206,$B20,Settings!$C$9+21)&amp;"",CHAR(10)," "),CHAR(160)," ")))</f>
        <v/>
      </c>
      <c r="AB20">
        <f>IF(OR($B20="",NOT(ISNUMBER(Settings!$C$9))),"",TRIM(SUBSTITUTE(SUBSTITUTE(INDEX('INPUT - Roster'!$S$1:$SV$206,$B20,Settings!$C$9+22)&amp;"",CHAR(10)," "),CHAR(160)," ")))</f>
        <v/>
      </c>
      <c r="AC20">
        <f>IF(OR($B20="",NOT(ISNUMBER(Settings!$C$9))),"",TRIM(SUBSTITUTE(SUBSTITUTE(INDEX('INPUT - Roster'!$S$1:$SV$206,$B20,Settings!$C$9+23)&amp;"",CHAR(10)," "),CHAR(160)," ")))</f>
        <v/>
      </c>
      <c r="AD20">
        <f>IF(OR($B20="",NOT(ISNUMBER(Settings!$C$9))),"",TRIM(SUBSTITUTE(SUBSTITUTE(INDEX('INPUT - Roster'!$S$1:$SV$206,$B20,Settings!$C$9+24)&amp;"",CHAR(10)," "),CHAR(160)," ")))</f>
        <v/>
      </c>
      <c r="AE20">
        <f>IF(OR($B20="",NOT(ISNUMBER(Settings!$C$9))),"",TRIM(SUBSTITUTE(SUBSTITUTE(INDEX('INPUT - Roster'!$S$1:$SV$206,$B20,Settings!$C$9+25)&amp;"",CHAR(10)," "),CHAR(160)," ")))</f>
        <v/>
      </c>
      <c r="AF20">
        <f>IF(OR($B20="",NOT(ISNUMBER(Settings!$C$9))),"",TRIM(SUBSTITUTE(SUBSTITUTE(INDEX('INPUT - Roster'!$S$1:$SV$206,$B20,Settings!$C$9+26)&amp;"",CHAR(10)," "),CHAR(160)," ")))</f>
        <v/>
      </c>
      <c r="AG20">
        <f>IF(OR($B20="",NOT(ISNUMBER(Settings!$C$9))),"",TRIM(SUBSTITUTE(SUBSTITUTE(INDEX('INPUT - Roster'!$S$1:$SV$206,$B20,Settings!$C$9+27)&amp;"",CHAR(10)," "),CHAR(160)," ")))</f>
        <v/>
      </c>
      <c r="AI20">
        <f>IF($B20="","",IF(F20="","Not rostered",IFERROR(INDEX(Settings!$C$14:$C$33,MATCH(F20,Settings!$B$14:$B$33,0)),IFERROR(LOOKUP(2^15,SEARCH(Settings!$I$14:$I$83,F20)/(Settings!$I$14:$I$83&lt;&gt;""),Settings!$J$14:$J$83),"Other"))))</f>
        <v/>
      </c>
      <c r="AJ20">
        <f>IF($B20="","",IF(G20="","Not rostered",IFERROR(INDEX(Settings!$C$14:$C$33,MATCH(G20,Settings!$B$14:$B$33,0)),IFERROR(LOOKUP(2^15,SEARCH(Settings!$I$14:$I$83,G20)/(Settings!$I$14:$I$83&lt;&gt;""),Settings!$J$14:$J$83),"Other"))))</f>
        <v/>
      </c>
      <c r="AK20">
        <f>IF($B20="","",IF(H20="","Not rostered",IFERROR(INDEX(Settings!$C$14:$C$33,MATCH(H20,Settings!$B$14:$B$33,0)),IFERROR(LOOKUP(2^15,SEARCH(Settings!$I$14:$I$83,H20)/(Settings!$I$14:$I$83&lt;&gt;""),Settings!$J$14:$J$83),"Other"))))</f>
        <v/>
      </c>
      <c r="AL20">
        <f>IF($B20="","",IF(I20="","Not rostered",IFERROR(INDEX(Settings!$C$14:$C$33,MATCH(I20,Settings!$B$14:$B$33,0)),IFERROR(LOOKUP(2^15,SEARCH(Settings!$I$14:$I$83,I20)/(Settings!$I$14:$I$83&lt;&gt;""),Settings!$J$14:$J$83),"Other"))))</f>
        <v/>
      </c>
      <c r="AM20">
        <f>IF($B20="","",IF(J20="","Not rostered",IFERROR(INDEX(Settings!$C$14:$C$33,MATCH(J20,Settings!$B$14:$B$33,0)),IFERROR(LOOKUP(2^15,SEARCH(Settings!$I$14:$I$83,J20)/(Settings!$I$14:$I$83&lt;&gt;""),Settings!$J$14:$J$83),"Other"))))</f>
        <v/>
      </c>
      <c r="AN20">
        <f>IF($B20="","",IF(K20="","Not rostered",IFERROR(INDEX(Settings!$C$14:$C$33,MATCH(K20,Settings!$B$14:$B$33,0)),IFERROR(LOOKUP(2^15,SEARCH(Settings!$I$14:$I$83,K20)/(Settings!$I$14:$I$83&lt;&gt;""),Settings!$J$14:$J$83),"Other"))))</f>
        <v/>
      </c>
      <c r="AO20">
        <f>IF($B20="","",IF(L20="","Not rostered",IFERROR(INDEX(Settings!$C$14:$C$33,MATCH(L20,Settings!$B$14:$B$33,0)),IFERROR(LOOKUP(2^15,SEARCH(Settings!$I$14:$I$83,L20)/(Settings!$I$14:$I$83&lt;&gt;""),Settings!$J$14:$J$83),"Other"))))</f>
        <v/>
      </c>
      <c r="AP20">
        <f>IF($B20="","",IF(M20="","Not rostered",IFERROR(INDEX(Settings!$C$14:$C$33,MATCH(M20,Settings!$B$14:$B$33,0)),IFERROR(LOOKUP(2^15,SEARCH(Settings!$I$14:$I$83,M20)/(Settings!$I$14:$I$83&lt;&gt;""),Settings!$J$14:$J$83),"Other"))))</f>
        <v/>
      </c>
      <c r="AQ20">
        <f>IF($B20="","",IF(N20="","Not rostered",IFERROR(INDEX(Settings!$C$14:$C$33,MATCH(N20,Settings!$B$14:$B$33,0)),IFERROR(LOOKUP(2^15,SEARCH(Settings!$I$14:$I$83,N20)/(Settings!$I$14:$I$83&lt;&gt;""),Settings!$J$14:$J$83),"Other"))))</f>
        <v/>
      </c>
      <c r="AR20">
        <f>IF($B20="","",IF(O20="","Not rostered",IFERROR(INDEX(Settings!$C$14:$C$33,MATCH(O20,Settings!$B$14:$B$33,0)),IFERROR(LOOKUP(2^15,SEARCH(Settings!$I$14:$I$83,O20)/(Settings!$I$14:$I$83&lt;&gt;""),Settings!$J$14:$J$83),"Other"))))</f>
        <v/>
      </c>
      <c r="AS20">
        <f>IF($B20="","",IF(P20="","Not rostered",IFERROR(INDEX(Settings!$C$14:$C$33,MATCH(P20,Settings!$B$14:$B$33,0)),IFERROR(LOOKUP(2^15,SEARCH(Settings!$I$14:$I$83,P20)/(Settings!$I$14:$I$83&lt;&gt;""),Settings!$J$14:$J$83),"Other"))))</f>
        <v/>
      </c>
      <c r="AT20">
        <f>IF($B20="","",IF(Q20="","Not rostered",IFERROR(INDEX(Settings!$C$14:$C$33,MATCH(Q20,Settings!$B$14:$B$33,0)),IFERROR(LOOKUP(2^15,SEARCH(Settings!$I$14:$I$83,Q20)/(Settings!$I$14:$I$83&lt;&gt;""),Settings!$J$14:$J$83),"Other"))))</f>
        <v/>
      </c>
      <c r="AU20">
        <f>IF($B20="","",IF(R20="","Not rostered",IFERROR(INDEX(Settings!$C$14:$C$33,MATCH(R20,Settings!$B$14:$B$33,0)),IFERROR(LOOKUP(2^15,SEARCH(Settings!$I$14:$I$83,R20)/(Settings!$I$14:$I$83&lt;&gt;""),Settings!$J$14:$J$83),"Other"))))</f>
        <v/>
      </c>
      <c r="AV20">
        <f>IF($B20="","",IF(S20="","Not rostered",IFERROR(INDEX(Settings!$C$14:$C$33,MATCH(S20,Settings!$B$14:$B$33,0)),IFERROR(LOOKUP(2^15,SEARCH(Settings!$I$14:$I$83,S20)/(Settings!$I$14:$I$83&lt;&gt;""),Settings!$J$14:$J$83),"Other"))))</f>
        <v/>
      </c>
      <c r="AW20">
        <f>IF($B20="","",IF(T20="","Not rostered",IFERROR(INDEX(Settings!$C$14:$C$33,MATCH(T20,Settings!$B$14:$B$33,0)),IFERROR(LOOKUP(2^15,SEARCH(Settings!$I$14:$I$83,T20)/(Settings!$I$14:$I$83&lt;&gt;""),Settings!$J$14:$J$83),"Other"))))</f>
        <v/>
      </c>
      <c r="AX20">
        <f>IF($B20="","",IF(U20="","Not rostered",IFERROR(INDEX(Settings!$C$14:$C$33,MATCH(U20,Settings!$B$14:$B$33,0)),IFERROR(LOOKUP(2^15,SEARCH(Settings!$I$14:$I$83,U20)/(Settings!$I$14:$I$83&lt;&gt;""),Settings!$J$14:$J$83),"Other"))))</f>
        <v/>
      </c>
      <c r="AY20">
        <f>IF($B20="","",IF(V20="","Not rostered",IFERROR(INDEX(Settings!$C$14:$C$33,MATCH(V20,Settings!$B$14:$B$33,0)),IFERROR(LOOKUP(2^15,SEARCH(Settings!$I$14:$I$83,V20)/(Settings!$I$14:$I$83&lt;&gt;""),Settings!$J$14:$J$83),"Other"))))</f>
        <v/>
      </c>
      <c r="AZ20">
        <f>IF($B20="","",IF(W20="","Not rostered",IFERROR(INDEX(Settings!$C$14:$C$33,MATCH(W20,Settings!$B$14:$B$33,0)),IFERROR(LOOKUP(2^15,SEARCH(Settings!$I$14:$I$83,W20)/(Settings!$I$14:$I$83&lt;&gt;""),Settings!$J$14:$J$83),"Other"))))</f>
        <v/>
      </c>
      <c r="BA20">
        <f>IF($B20="","",IF(X20="","Not rostered",IFERROR(INDEX(Settings!$C$14:$C$33,MATCH(X20,Settings!$B$14:$B$33,0)),IFERROR(LOOKUP(2^15,SEARCH(Settings!$I$14:$I$83,X20)/(Settings!$I$14:$I$83&lt;&gt;""),Settings!$J$14:$J$83),"Other"))))</f>
        <v/>
      </c>
      <c r="BB20">
        <f>IF($B20="","",IF(Y20="","Not rostered",IFERROR(INDEX(Settings!$C$14:$C$33,MATCH(Y20,Settings!$B$14:$B$33,0)),IFERROR(LOOKUP(2^15,SEARCH(Settings!$I$14:$I$83,Y20)/(Settings!$I$14:$I$83&lt;&gt;""),Settings!$J$14:$J$83),"Other"))))</f>
        <v/>
      </c>
      <c r="BC20">
        <f>IF($B20="","",IF(Z20="","Not rostered",IFERROR(INDEX(Settings!$C$14:$C$33,MATCH(Z20,Settings!$B$14:$B$33,0)),IFERROR(LOOKUP(2^15,SEARCH(Settings!$I$14:$I$83,Z20)/(Settings!$I$14:$I$83&lt;&gt;""),Settings!$J$14:$J$83),"Other"))))</f>
        <v/>
      </c>
      <c r="BD20">
        <f>IF($B20="","",IF(AA20="","Not rostered",IFERROR(INDEX(Settings!$C$14:$C$33,MATCH(AA20,Settings!$B$14:$B$33,0)),IFERROR(LOOKUP(2^15,SEARCH(Settings!$I$14:$I$83,AA20)/(Settings!$I$14:$I$83&lt;&gt;""),Settings!$J$14:$J$83),"Other"))))</f>
        <v/>
      </c>
      <c r="BE20">
        <f>IF($B20="","",IF(AB20="","Not rostered",IFERROR(INDEX(Settings!$C$14:$C$33,MATCH(AB20,Settings!$B$14:$B$33,0)),IFERROR(LOOKUP(2^15,SEARCH(Settings!$I$14:$I$83,AB20)/(Settings!$I$14:$I$83&lt;&gt;""),Settings!$J$14:$J$83),"Other"))))</f>
        <v/>
      </c>
      <c r="BF20">
        <f>IF($B20="","",IF(AC20="","Not rostered",IFERROR(INDEX(Settings!$C$14:$C$33,MATCH(AC20,Settings!$B$14:$B$33,0)),IFERROR(LOOKUP(2^15,SEARCH(Settings!$I$14:$I$83,AC20)/(Settings!$I$14:$I$83&lt;&gt;""),Settings!$J$14:$J$83),"Other"))))</f>
        <v/>
      </c>
      <c r="BG20">
        <f>IF($B20="","",IF(AD20="","Not rostered",IFERROR(INDEX(Settings!$C$14:$C$33,MATCH(AD20,Settings!$B$14:$B$33,0)),IFERROR(LOOKUP(2^15,SEARCH(Settings!$I$14:$I$83,AD20)/(Settings!$I$14:$I$83&lt;&gt;""),Settings!$J$14:$J$83),"Other"))))</f>
        <v/>
      </c>
      <c r="BH20">
        <f>IF($B20="","",IF(AE20="","Not rostered",IFERROR(INDEX(Settings!$C$14:$C$33,MATCH(AE20,Settings!$B$14:$B$33,0)),IFERROR(LOOKUP(2^15,SEARCH(Settings!$I$14:$I$83,AE20)/(Settings!$I$14:$I$83&lt;&gt;""),Settings!$J$14:$J$83),"Other"))))</f>
        <v/>
      </c>
      <c r="BI20">
        <f>IF($B20="","",IF(AF20="","Not rostered",IFERROR(INDEX(Settings!$C$14:$C$33,MATCH(AF20,Settings!$B$14:$B$33,0)),IFERROR(LOOKUP(2^15,SEARCH(Settings!$I$14:$I$83,AF20)/(Settings!$I$14:$I$83&lt;&gt;""),Settings!$J$14:$J$83),"Other"))))</f>
        <v/>
      </c>
      <c r="BJ20">
        <f>IF($B20="","",IF(AG20="","Not rostered",IFERROR(INDEX(Settings!$C$14:$C$33,MATCH(AG20,Settings!$B$14:$B$33,0)),IFERROR(LOOKUP(2^15,SEARCH(Settings!$I$14:$I$83,AG20)/(Settings!$I$14:$I$83&lt;&gt;""),Settings!$J$14:$J$83),"Other"))))</f>
        <v/>
      </c>
      <c r="BL20">
        <f>IF(OR($B20="",F20=""),"",IFERROR(INDEX(Settings!$D$14:$D$33,MATCH(F20,Settings!$B$14:$B$33,0))&amp;"",IFERROR(LOOKUP(2^15,SEARCH(Settings!$F$14:$F$43,F20)/(Settings!$F$14:$F$43&lt;&gt;""),Settings!$G$14:$G$43),"")))</f>
        <v/>
      </c>
      <c r="BM20">
        <f>IF(OR($B20="",G20=""),"",IFERROR(INDEX(Settings!$D$14:$D$33,MATCH(G20,Settings!$B$14:$B$33,0))&amp;"",IFERROR(LOOKUP(2^15,SEARCH(Settings!$F$14:$F$43,G20)/(Settings!$F$14:$F$43&lt;&gt;""),Settings!$G$14:$G$43),"")))</f>
        <v/>
      </c>
      <c r="BN20">
        <f>IF(OR($B20="",H20=""),"",IFERROR(INDEX(Settings!$D$14:$D$33,MATCH(H20,Settings!$B$14:$B$33,0))&amp;"",IFERROR(LOOKUP(2^15,SEARCH(Settings!$F$14:$F$43,H20)/(Settings!$F$14:$F$43&lt;&gt;""),Settings!$G$14:$G$43),"")))</f>
        <v/>
      </c>
      <c r="BO20">
        <f>IF(OR($B20="",I20=""),"",IFERROR(INDEX(Settings!$D$14:$D$33,MATCH(I20,Settings!$B$14:$B$33,0))&amp;"",IFERROR(LOOKUP(2^15,SEARCH(Settings!$F$14:$F$43,I20)/(Settings!$F$14:$F$43&lt;&gt;""),Settings!$G$14:$G$43),"")))</f>
        <v/>
      </c>
      <c r="BP20">
        <f>IF(OR($B20="",J20=""),"",IFERROR(INDEX(Settings!$D$14:$D$33,MATCH(J20,Settings!$B$14:$B$33,0))&amp;"",IFERROR(LOOKUP(2^15,SEARCH(Settings!$F$14:$F$43,J20)/(Settings!$F$14:$F$43&lt;&gt;""),Settings!$G$14:$G$43),"")))</f>
        <v/>
      </c>
      <c r="BQ20">
        <f>IF(OR($B20="",K20=""),"",IFERROR(INDEX(Settings!$D$14:$D$33,MATCH(K20,Settings!$B$14:$B$33,0))&amp;"",IFERROR(LOOKUP(2^15,SEARCH(Settings!$F$14:$F$43,K20)/(Settings!$F$14:$F$43&lt;&gt;""),Settings!$G$14:$G$43),"")))</f>
        <v/>
      </c>
      <c r="BR20">
        <f>IF(OR($B20="",L20=""),"",IFERROR(INDEX(Settings!$D$14:$D$33,MATCH(L20,Settings!$B$14:$B$33,0))&amp;"",IFERROR(LOOKUP(2^15,SEARCH(Settings!$F$14:$F$43,L20)/(Settings!$F$14:$F$43&lt;&gt;""),Settings!$G$14:$G$43),"")))</f>
        <v/>
      </c>
      <c r="BS20">
        <f>IF(OR($B20="",M20=""),"",IFERROR(INDEX(Settings!$D$14:$D$33,MATCH(M20,Settings!$B$14:$B$33,0))&amp;"",IFERROR(LOOKUP(2^15,SEARCH(Settings!$F$14:$F$43,M20)/(Settings!$F$14:$F$43&lt;&gt;""),Settings!$G$14:$G$43),"")))</f>
        <v/>
      </c>
      <c r="BT20">
        <f>IF(OR($B20="",N20=""),"",IFERROR(INDEX(Settings!$D$14:$D$33,MATCH(N20,Settings!$B$14:$B$33,0))&amp;"",IFERROR(LOOKUP(2^15,SEARCH(Settings!$F$14:$F$43,N20)/(Settings!$F$14:$F$43&lt;&gt;""),Settings!$G$14:$G$43),"")))</f>
        <v/>
      </c>
      <c r="BU20">
        <f>IF(OR($B20="",O20=""),"",IFERROR(INDEX(Settings!$D$14:$D$33,MATCH(O20,Settings!$B$14:$B$33,0))&amp;"",IFERROR(LOOKUP(2^15,SEARCH(Settings!$F$14:$F$43,O20)/(Settings!$F$14:$F$43&lt;&gt;""),Settings!$G$14:$G$43),"")))</f>
        <v/>
      </c>
      <c r="BV20">
        <f>IF(OR($B20="",P20=""),"",IFERROR(INDEX(Settings!$D$14:$D$33,MATCH(P20,Settings!$B$14:$B$33,0))&amp;"",IFERROR(LOOKUP(2^15,SEARCH(Settings!$F$14:$F$43,P20)/(Settings!$F$14:$F$43&lt;&gt;""),Settings!$G$14:$G$43),"")))</f>
        <v/>
      </c>
      <c r="BW20">
        <f>IF(OR($B20="",Q20=""),"",IFERROR(INDEX(Settings!$D$14:$D$33,MATCH(Q20,Settings!$B$14:$B$33,0))&amp;"",IFERROR(LOOKUP(2^15,SEARCH(Settings!$F$14:$F$43,Q20)/(Settings!$F$14:$F$43&lt;&gt;""),Settings!$G$14:$G$43),"")))</f>
        <v/>
      </c>
      <c r="BX20">
        <f>IF(OR($B20="",R20=""),"",IFERROR(INDEX(Settings!$D$14:$D$33,MATCH(R20,Settings!$B$14:$B$33,0))&amp;"",IFERROR(LOOKUP(2^15,SEARCH(Settings!$F$14:$F$43,R20)/(Settings!$F$14:$F$43&lt;&gt;""),Settings!$G$14:$G$43),"")))</f>
        <v/>
      </c>
      <c r="BY20">
        <f>IF(OR($B20="",S20=""),"",IFERROR(INDEX(Settings!$D$14:$D$33,MATCH(S20,Settings!$B$14:$B$33,0))&amp;"",IFERROR(LOOKUP(2^15,SEARCH(Settings!$F$14:$F$43,S20)/(Settings!$F$14:$F$43&lt;&gt;""),Settings!$G$14:$G$43),"")))</f>
        <v/>
      </c>
      <c r="BZ20">
        <f>IF(OR($B20="",T20=""),"",IFERROR(INDEX(Settings!$D$14:$D$33,MATCH(T20,Settings!$B$14:$B$33,0))&amp;"",IFERROR(LOOKUP(2^15,SEARCH(Settings!$F$14:$F$43,T20)/(Settings!$F$14:$F$43&lt;&gt;""),Settings!$G$14:$G$43),"")))</f>
        <v/>
      </c>
      <c r="CA20">
        <f>IF(OR($B20="",U20=""),"",IFERROR(INDEX(Settings!$D$14:$D$33,MATCH(U20,Settings!$B$14:$B$33,0))&amp;"",IFERROR(LOOKUP(2^15,SEARCH(Settings!$F$14:$F$43,U20)/(Settings!$F$14:$F$43&lt;&gt;""),Settings!$G$14:$G$43),"")))</f>
        <v/>
      </c>
      <c r="CB20">
        <f>IF(OR($B20="",V20=""),"",IFERROR(INDEX(Settings!$D$14:$D$33,MATCH(V20,Settings!$B$14:$B$33,0))&amp;"",IFERROR(LOOKUP(2^15,SEARCH(Settings!$F$14:$F$43,V20)/(Settings!$F$14:$F$43&lt;&gt;""),Settings!$G$14:$G$43),"")))</f>
        <v/>
      </c>
      <c r="CC20">
        <f>IF(OR($B20="",W20=""),"",IFERROR(INDEX(Settings!$D$14:$D$33,MATCH(W20,Settings!$B$14:$B$33,0))&amp;"",IFERROR(LOOKUP(2^15,SEARCH(Settings!$F$14:$F$43,W20)/(Settings!$F$14:$F$43&lt;&gt;""),Settings!$G$14:$G$43),"")))</f>
        <v/>
      </c>
      <c r="CD20">
        <f>IF(OR($B20="",X20=""),"",IFERROR(INDEX(Settings!$D$14:$D$33,MATCH(X20,Settings!$B$14:$B$33,0))&amp;"",IFERROR(LOOKUP(2^15,SEARCH(Settings!$F$14:$F$43,X20)/(Settings!$F$14:$F$43&lt;&gt;""),Settings!$G$14:$G$43),"")))</f>
        <v/>
      </c>
      <c r="CE20">
        <f>IF(OR($B20="",Y20=""),"",IFERROR(INDEX(Settings!$D$14:$D$33,MATCH(Y20,Settings!$B$14:$B$33,0))&amp;"",IFERROR(LOOKUP(2^15,SEARCH(Settings!$F$14:$F$43,Y20)/(Settings!$F$14:$F$43&lt;&gt;""),Settings!$G$14:$G$43),"")))</f>
        <v/>
      </c>
      <c r="CF20">
        <f>IF(OR($B20="",Z20=""),"",IFERROR(INDEX(Settings!$D$14:$D$33,MATCH(Z20,Settings!$B$14:$B$33,0))&amp;"",IFERROR(LOOKUP(2^15,SEARCH(Settings!$F$14:$F$43,Z20)/(Settings!$F$14:$F$43&lt;&gt;""),Settings!$G$14:$G$43),"")))</f>
        <v/>
      </c>
      <c r="CG20">
        <f>IF(OR($B20="",AA20=""),"",IFERROR(INDEX(Settings!$D$14:$D$33,MATCH(AA20,Settings!$B$14:$B$33,0))&amp;"",IFERROR(LOOKUP(2^15,SEARCH(Settings!$F$14:$F$43,AA20)/(Settings!$F$14:$F$43&lt;&gt;""),Settings!$G$14:$G$43),"")))</f>
        <v/>
      </c>
      <c r="CH20">
        <f>IF(OR($B20="",AB20=""),"",IFERROR(INDEX(Settings!$D$14:$D$33,MATCH(AB20,Settings!$B$14:$B$33,0))&amp;"",IFERROR(LOOKUP(2^15,SEARCH(Settings!$F$14:$F$43,AB20)/(Settings!$F$14:$F$43&lt;&gt;""),Settings!$G$14:$G$43),"")))</f>
        <v/>
      </c>
      <c r="CI20">
        <f>IF(OR($B20="",AC20=""),"",IFERROR(INDEX(Settings!$D$14:$D$33,MATCH(AC20,Settings!$B$14:$B$33,0))&amp;"",IFERROR(LOOKUP(2^15,SEARCH(Settings!$F$14:$F$43,AC20)/(Settings!$F$14:$F$43&lt;&gt;""),Settings!$G$14:$G$43),"")))</f>
        <v/>
      </c>
      <c r="CJ20">
        <f>IF(OR($B20="",AD20=""),"",IFERROR(INDEX(Settings!$D$14:$D$33,MATCH(AD20,Settings!$B$14:$B$33,0))&amp;"",IFERROR(LOOKUP(2^15,SEARCH(Settings!$F$14:$F$43,AD20)/(Settings!$F$14:$F$43&lt;&gt;""),Settings!$G$14:$G$43),"")))</f>
        <v/>
      </c>
      <c r="CK20">
        <f>IF(OR($B20="",AE20=""),"",IFERROR(INDEX(Settings!$D$14:$D$33,MATCH(AE20,Settings!$B$14:$B$33,0))&amp;"",IFERROR(LOOKUP(2^15,SEARCH(Settings!$F$14:$F$43,AE20)/(Settings!$F$14:$F$43&lt;&gt;""),Settings!$G$14:$G$43),"")))</f>
        <v/>
      </c>
      <c r="CL20">
        <f>IF(OR($B20="",AF20=""),"",IFERROR(INDEX(Settings!$D$14:$D$33,MATCH(AF20,Settings!$B$14:$B$33,0))&amp;"",IFERROR(LOOKUP(2^15,SEARCH(Settings!$F$14:$F$43,AF20)/(Settings!$F$14:$F$43&lt;&gt;""),Settings!$G$14:$G$43),"")))</f>
        <v/>
      </c>
      <c r="CM20">
        <f>IF(OR($B20="",AG20=""),"",IFERROR(INDEX(Settings!$D$14:$D$33,MATCH(AG20,Settings!$B$14:$B$33,0))&amp;"",IFERROR(LOOKUP(2^15,SEARCH(Settings!$F$14:$F$43,AG20)/(Settings!$F$14:$F$43&lt;&gt;""),Settings!$G$14:$G$43),"")))</f>
        <v/>
      </c>
    </row>
    <row r="21">
      <c r="A21" t="n">
        <v>19</v>
      </c>
      <c r="B21">
        <f>IFERROR(INDEX(Index!$A$2:$A$202,MATCH(A21,Index!$E$2:$E$202,0)),"")</f>
        <v/>
      </c>
      <c r="D21">
        <f>IF($B21="","",IFERROR(MATCH("Travel*",AI21:BJ21,0),""))</f>
        <v/>
      </c>
      <c r="F21">
        <f>IF(OR($B21="",NOT(ISNUMBER(Settings!$C$9))),"",TRIM(SUBSTITUTE(SUBSTITUTE(INDEX('INPUT - Roster'!$S$1:$SV$206,$B21,Settings!$C$9+0)&amp;"",CHAR(10)," "),CHAR(160)," ")))</f>
        <v/>
      </c>
      <c r="G21">
        <f>IF(OR($B21="",NOT(ISNUMBER(Settings!$C$9))),"",TRIM(SUBSTITUTE(SUBSTITUTE(INDEX('INPUT - Roster'!$S$1:$SV$206,$B21,Settings!$C$9+1)&amp;"",CHAR(10)," "),CHAR(160)," ")))</f>
        <v/>
      </c>
      <c r="H21">
        <f>IF(OR($B21="",NOT(ISNUMBER(Settings!$C$9))),"",TRIM(SUBSTITUTE(SUBSTITUTE(INDEX('INPUT - Roster'!$S$1:$SV$206,$B21,Settings!$C$9+2)&amp;"",CHAR(10)," "),CHAR(160)," ")))</f>
        <v/>
      </c>
      <c r="I21">
        <f>IF(OR($B21="",NOT(ISNUMBER(Settings!$C$9))),"",TRIM(SUBSTITUTE(SUBSTITUTE(INDEX('INPUT - Roster'!$S$1:$SV$206,$B21,Settings!$C$9+3)&amp;"",CHAR(10)," "),CHAR(160)," ")))</f>
        <v/>
      </c>
      <c r="J21">
        <f>IF(OR($B21="",NOT(ISNUMBER(Settings!$C$9))),"",TRIM(SUBSTITUTE(SUBSTITUTE(INDEX('INPUT - Roster'!$S$1:$SV$206,$B21,Settings!$C$9+4)&amp;"",CHAR(10)," "),CHAR(160)," ")))</f>
        <v/>
      </c>
      <c r="K21">
        <f>IF(OR($B21="",NOT(ISNUMBER(Settings!$C$9))),"",TRIM(SUBSTITUTE(SUBSTITUTE(INDEX('INPUT - Roster'!$S$1:$SV$206,$B21,Settings!$C$9+5)&amp;"",CHAR(10)," "),CHAR(160)," ")))</f>
        <v/>
      </c>
      <c r="L21">
        <f>IF(OR($B21="",NOT(ISNUMBER(Settings!$C$9))),"",TRIM(SUBSTITUTE(SUBSTITUTE(INDEX('INPUT - Roster'!$S$1:$SV$206,$B21,Settings!$C$9+6)&amp;"",CHAR(10)," "),CHAR(160)," ")))</f>
        <v/>
      </c>
      <c r="M21">
        <f>IF(OR($B21="",NOT(ISNUMBER(Settings!$C$9))),"",TRIM(SUBSTITUTE(SUBSTITUTE(INDEX('INPUT - Roster'!$S$1:$SV$206,$B21,Settings!$C$9+7)&amp;"",CHAR(10)," "),CHAR(160)," ")))</f>
        <v/>
      </c>
      <c r="N21">
        <f>IF(OR($B21="",NOT(ISNUMBER(Settings!$C$9))),"",TRIM(SUBSTITUTE(SUBSTITUTE(INDEX('INPUT - Roster'!$S$1:$SV$206,$B21,Settings!$C$9+8)&amp;"",CHAR(10)," "),CHAR(160)," ")))</f>
        <v/>
      </c>
      <c r="O21">
        <f>IF(OR($B21="",NOT(ISNUMBER(Settings!$C$9))),"",TRIM(SUBSTITUTE(SUBSTITUTE(INDEX('INPUT - Roster'!$S$1:$SV$206,$B21,Settings!$C$9+9)&amp;"",CHAR(10)," "),CHAR(160)," ")))</f>
        <v/>
      </c>
      <c r="P21">
        <f>IF(OR($B21="",NOT(ISNUMBER(Settings!$C$9))),"",TRIM(SUBSTITUTE(SUBSTITUTE(INDEX('INPUT - Roster'!$S$1:$SV$206,$B21,Settings!$C$9+10)&amp;"",CHAR(10)," "),CHAR(160)," ")))</f>
        <v/>
      </c>
      <c r="Q21">
        <f>IF(OR($B21="",NOT(ISNUMBER(Settings!$C$9))),"",TRIM(SUBSTITUTE(SUBSTITUTE(INDEX('INPUT - Roster'!$S$1:$SV$206,$B21,Settings!$C$9+11)&amp;"",CHAR(10)," "),CHAR(160)," ")))</f>
        <v/>
      </c>
      <c r="R21">
        <f>IF(OR($B21="",NOT(ISNUMBER(Settings!$C$9))),"",TRIM(SUBSTITUTE(SUBSTITUTE(INDEX('INPUT - Roster'!$S$1:$SV$206,$B21,Settings!$C$9+12)&amp;"",CHAR(10)," "),CHAR(160)," ")))</f>
        <v/>
      </c>
      <c r="S21">
        <f>IF(OR($B21="",NOT(ISNUMBER(Settings!$C$9))),"",TRIM(SUBSTITUTE(SUBSTITUTE(INDEX('INPUT - Roster'!$S$1:$SV$206,$B21,Settings!$C$9+13)&amp;"",CHAR(10)," "),CHAR(160)," ")))</f>
        <v/>
      </c>
      <c r="T21">
        <f>IF(OR($B21="",NOT(ISNUMBER(Settings!$C$9))),"",TRIM(SUBSTITUTE(SUBSTITUTE(INDEX('INPUT - Roster'!$S$1:$SV$206,$B21,Settings!$C$9+14)&amp;"",CHAR(10)," "),CHAR(160)," ")))</f>
        <v/>
      </c>
      <c r="U21">
        <f>IF(OR($B21="",NOT(ISNUMBER(Settings!$C$9))),"",TRIM(SUBSTITUTE(SUBSTITUTE(INDEX('INPUT - Roster'!$S$1:$SV$206,$B21,Settings!$C$9+15)&amp;"",CHAR(10)," "),CHAR(160)," ")))</f>
        <v/>
      </c>
      <c r="V21">
        <f>IF(OR($B21="",NOT(ISNUMBER(Settings!$C$9))),"",TRIM(SUBSTITUTE(SUBSTITUTE(INDEX('INPUT - Roster'!$S$1:$SV$206,$B21,Settings!$C$9+16)&amp;"",CHAR(10)," "),CHAR(160)," ")))</f>
        <v/>
      </c>
      <c r="W21">
        <f>IF(OR($B21="",NOT(ISNUMBER(Settings!$C$9))),"",TRIM(SUBSTITUTE(SUBSTITUTE(INDEX('INPUT - Roster'!$S$1:$SV$206,$B21,Settings!$C$9+17)&amp;"",CHAR(10)," "),CHAR(160)," ")))</f>
        <v/>
      </c>
      <c r="X21">
        <f>IF(OR($B21="",NOT(ISNUMBER(Settings!$C$9))),"",TRIM(SUBSTITUTE(SUBSTITUTE(INDEX('INPUT - Roster'!$S$1:$SV$206,$B21,Settings!$C$9+18)&amp;"",CHAR(10)," "),CHAR(160)," ")))</f>
        <v/>
      </c>
      <c r="Y21">
        <f>IF(OR($B21="",NOT(ISNUMBER(Settings!$C$9))),"",TRIM(SUBSTITUTE(SUBSTITUTE(INDEX('INPUT - Roster'!$S$1:$SV$206,$B21,Settings!$C$9+19)&amp;"",CHAR(10)," "),CHAR(160)," ")))</f>
        <v/>
      </c>
      <c r="Z21">
        <f>IF(OR($B21="",NOT(ISNUMBER(Settings!$C$9))),"",TRIM(SUBSTITUTE(SUBSTITUTE(INDEX('INPUT - Roster'!$S$1:$SV$206,$B21,Settings!$C$9+20)&amp;"",CHAR(10)," "),CHAR(160)," ")))</f>
        <v/>
      </c>
      <c r="AA21">
        <f>IF(OR($B21="",NOT(ISNUMBER(Settings!$C$9))),"",TRIM(SUBSTITUTE(SUBSTITUTE(INDEX('INPUT - Roster'!$S$1:$SV$206,$B21,Settings!$C$9+21)&amp;"",CHAR(10)," "),CHAR(160)," ")))</f>
        <v/>
      </c>
      <c r="AB21">
        <f>IF(OR($B21="",NOT(ISNUMBER(Settings!$C$9))),"",TRIM(SUBSTITUTE(SUBSTITUTE(INDEX('INPUT - Roster'!$S$1:$SV$206,$B21,Settings!$C$9+22)&amp;"",CHAR(10)," "),CHAR(160)," ")))</f>
        <v/>
      </c>
      <c r="AC21">
        <f>IF(OR($B21="",NOT(ISNUMBER(Settings!$C$9))),"",TRIM(SUBSTITUTE(SUBSTITUTE(INDEX('INPUT - Roster'!$S$1:$SV$206,$B21,Settings!$C$9+23)&amp;"",CHAR(10)," "),CHAR(160)," ")))</f>
        <v/>
      </c>
      <c r="AD21">
        <f>IF(OR($B21="",NOT(ISNUMBER(Settings!$C$9))),"",TRIM(SUBSTITUTE(SUBSTITUTE(INDEX('INPUT - Roster'!$S$1:$SV$206,$B21,Settings!$C$9+24)&amp;"",CHAR(10)," "),CHAR(160)," ")))</f>
        <v/>
      </c>
      <c r="AE21">
        <f>IF(OR($B21="",NOT(ISNUMBER(Settings!$C$9))),"",TRIM(SUBSTITUTE(SUBSTITUTE(INDEX('INPUT - Roster'!$S$1:$SV$206,$B21,Settings!$C$9+25)&amp;"",CHAR(10)," "),CHAR(160)," ")))</f>
        <v/>
      </c>
      <c r="AF21">
        <f>IF(OR($B21="",NOT(ISNUMBER(Settings!$C$9))),"",TRIM(SUBSTITUTE(SUBSTITUTE(INDEX('INPUT - Roster'!$S$1:$SV$206,$B21,Settings!$C$9+26)&amp;"",CHAR(10)," "),CHAR(160)," ")))</f>
        <v/>
      </c>
      <c r="AG21">
        <f>IF(OR($B21="",NOT(ISNUMBER(Settings!$C$9))),"",TRIM(SUBSTITUTE(SUBSTITUTE(INDEX('INPUT - Roster'!$S$1:$SV$206,$B21,Settings!$C$9+27)&amp;"",CHAR(10)," "),CHAR(160)," ")))</f>
        <v/>
      </c>
      <c r="AI21">
        <f>IF($B21="","",IF(F21="","Not rostered",IFERROR(INDEX(Settings!$C$14:$C$33,MATCH(F21,Settings!$B$14:$B$33,0)),IFERROR(LOOKUP(2^15,SEARCH(Settings!$I$14:$I$83,F21)/(Settings!$I$14:$I$83&lt;&gt;""),Settings!$J$14:$J$83),"Other"))))</f>
        <v/>
      </c>
      <c r="AJ21">
        <f>IF($B21="","",IF(G21="","Not rostered",IFERROR(INDEX(Settings!$C$14:$C$33,MATCH(G21,Settings!$B$14:$B$33,0)),IFERROR(LOOKUP(2^15,SEARCH(Settings!$I$14:$I$83,G21)/(Settings!$I$14:$I$83&lt;&gt;""),Settings!$J$14:$J$83),"Other"))))</f>
        <v/>
      </c>
      <c r="AK21">
        <f>IF($B21="","",IF(H21="","Not rostered",IFERROR(INDEX(Settings!$C$14:$C$33,MATCH(H21,Settings!$B$14:$B$33,0)),IFERROR(LOOKUP(2^15,SEARCH(Settings!$I$14:$I$83,H21)/(Settings!$I$14:$I$83&lt;&gt;""),Settings!$J$14:$J$83),"Other"))))</f>
        <v/>
      </c>
      <c r="AL21">
        <f>IF($B21="","",IF(I21="","Not rostered",IFERROR(INDEX(Settings!$C$14:$C$33,MATCH(I21,Settings!$B$14:$B$33,0)),IFERROR(LOOKUP(2^15,SEARCH(Settings!$I$14:$I$83,I21)/(Settings!$I$14:$I$83&lt;&gt;""),Settings!$J$14:$J$83),"Other"))))</f>
        <v/>
      </c>
      <c r="AM21">
        <f>IF($B21="","",IF(J21="","Not rostered",IFERROR(INDEX(Settings!$C$14:$C$33,MATCH(J21,Settings!$B$14:$B$33,0)),IFERROR(LOOKUP(2^15,SEARCH(Settings!$I$14:$I$83,J21)/(Settings!$I$14:$I$83&lt;&gt;""),Settings!$J$14:$J$83),"Other"))))</f>
        <v/>
      </c>
      <c r="AN21">
        <f>IF($B21="","",IF(K21="","Not rostered",IFERROR(INDEX(Settings!$C$14:$C$33,MATCH(K21,Settings!$B$14:$B$33,0)),IFERROR(LOOKUP(2^15,SEARCH(Settings!$I$14:$I$83,K21)/(Settings!$I$14:$I$83&lt;&gt;""),Settings!$J$14:$J$83),"Other"))))</f>
        <v/>
      </c>
      <c r="AO21">
        <f>IF($B21="","",IF(L21="","Not rostered",IFERROR(INDEX(Settings!$C$14:$C$33,MATCH(L21,Settings!$B$14:$B$33,0)),IFERROR(LOOKUP(2^15,SEARCH(Settings!$I$14:$I$83,L21)/(Settings!$I$14:$I$83&lt;&gt;""),Settings!$J$14:$J$83),"Other"))))</f>
        <v/>
      </c>
      <c r="AP21">
        <f>IF($B21="","",IF(M21="","Not rostered",IFERROR(INDEX(Settings!$C$14:$C$33,MATCH(M21,Settings!$B$14:$B$33,0)),IFERROR(LOOKUP(2^15,SEARCH(Settings!$I$14:$I$83,M21)/(Settings!$I$14:$I$83&lt;&gt;""),Settings!$J$14:$J$83),"Other"))))</f>
        <v/>
      </c>
      <c r="AQ21">
        <f>IF($B21="","",IF(N21="","Not rostered",IFERROR(INDEX(Settings!$C$14:$C$33,MATCH(N21,Settings!$B$14:$B$33,0)),IFERROR(LOOKUP(2^15,SEARCH(Settings!$I$14:$I$83,N21)/(Settings!$I$14:$I$83&lt;&gt;""),Settings!$J$14:$J$83),"Other"))))</f>
        <v/>
      </c>
      <c r="AR21">
        <f>IF($B21="","",IF(O21="","Not rostered",IFERROR(INDEX(Settings!$C$14:$C$33,MATCH(O21,Settings!$B$14:$B$33,0)),IFERROR(LOOKUP(2^15,SEARCH(Settings!$I$14:$I$83,O21)/(Settings!$I$14:$I$83&lt;&gt;""),Settings!$J$14:$J$83),"Other"))))</f>
        <v/>
      </c>
      <c r="AS21">
        <f>IF($B21="","",IF(P21="","Not rostered",IFERROR(INDEX(Settings!$C$14:$C$33,MATCH(P21,Settings!$B$14:$B$33,0)),IFERROR(LOOKUP(2^15,SEARCH(Settings!$I$14:$I$83,P21)/(Settings!$I$14:$I$83&lt;&gt;""),Settings!$J$14:$J$83),"Other"))))</f>
        <v/>
      </c>
      <c r="AT21">
        <f>IF($B21="","",IF(Q21="","Not rostered",IFERROR(INDEX(Settings!$C$14:$C$33,MATCH(Q21,Settings!$B$14:$B$33,0)),IFERROR(LOOKUP(2^15,SEARCH(Settings!$I$14:$I$83,Q21)/(Settings!$I$14:$I$83&lt;&gt;""),Settings!$J$14:$J$83),"Other"))))</f>
        <v/>
      </c>
      <c r="AU21">
        <f>IF($B21="","",IF(R21="","Not rostered",IFERROR(INDEX(Settings!$C$14:$C$33,MATCH(R21,Settings!$B$14:$B$33,0)),IFERROR(LOOKUP(2^15,SEARCH(Settings!$I$14:$I$83,R21)/(Settings!$I$14:$I$83&lt;&gt;""),Settings!$J$14:$J$83),"Other"))))</f>
        <v/>
      </c>
      <c r="AV21">
        <f>IF($B21="","",IF(S21="","Not rostered",IFERROR(INDEX(Settings!$C$14:$C$33,MATCH(S21,Settings!$B$14:$B$33,0)),IFERROR(LOOKUP(2^15,SEARCH(Settings!$I$14:$I$83,S21)/(Settings!$I$14:$I$83&lt;&gt;""),Settings!$J$14:$J$83),"Other"))))</f>
        <v/>
      </c>
      <c r="AW21">
        <f>IF($B21="","",IF(T21="","Not rostered",IFERROR(INDEX(Settings!$C$14:$C$33,MATCH(T21,Settings!$B$14:$B$33,0)),IFERROR(LOOKUP(2^15,SEARCH(Settings!$I$14:$I$83,T21)/(Settings!$I$14:$I$83&lt;&gt;""),Settings!$J$14:$J$83),"Other"))))</f>
        <v/>
      </c>
      <c r="AX21">
        <f>IF($B21="","",IF(U21="","Not rostered",IFERROR(INDEX(Settings!$C$14:$C$33,MATCH(U21,Settings!$B$14:$B$33,0)),IFERROR(LOOKUP(2^15,SEARCH(Settings!$I$14:$I$83,U21)/(Settings!$I$14:$I$83&lt;&gt;""),Settings!$J$14:$J$83),"Other"))))</f>
        <v/>
      </c>
      <c r="AY21">
        <f>IF($B21="","",IF(V21="","Not rostered",IFERROR(INDEX(Settings!$C$14:$C$33,MATCH(V21,Settings!$B$14:$B$33,0)),IFERROR(LOOKUP(2^15,SEARCH(Settings!$I$14:$I$83,V21)/(Settings!$I$14:$I$83&lt;&gt;""),Settings!$J$14:$J$83),"Other"))))</f>
        <v/>
      </c>
      <c r="AZ21">
        <f>IF($B21="","",IF(W21="","Not rostered",IFERROR(INDEX(Settings!$C$14:$C$33,MATCH(W21,Settings!$B$14:$B$33,0)),IFERROR(LOOKUP(2^15,SEARCH(Settings!$I$14:$I$83,W21)/(Settings!$I$14:$I$83&lt;&gt;""),Settings!$J$14:$J$83),"Other"))))</f>
        <v/>
      </c>
      <c r="BA21">
        <f>IF($B21="","",IF(X21="","Not rostered",IFERROR(INDEX(Settings!$C$14:$C$33,MATCH(X21,Settings!$B$14:$B$33,0)),IFERROR(LOOKUP(2^15,SEARCH(Settings!$I$14:$I$83,X21)/(Settings!$I$14:$I$83&lt;&gt;""),Settings!$J$14:$J$83),"Other"))))</f>
        <v/>
      </c>
      <c r="BB21">
        <f>IF($B21="","",IF(Y21="","Not rostered",IFERROR(INDEX(Settings!$C$14:$C$33,MATCH(Y21,Settings!$B$14:$B$33,0)),IFERROR(LOOKUP(2^15,SEARCH(Settings!$I$14:$I$83,Y21)/(Settings!$I$14:$I$83&lt;&gt;""),Settings!$J$14:$J$83),"Other"))))</f>
        <v/>
      </c>
      <c r="BC21">
        <f>IF($B21="","",IF(Z21="","Not rostered",IFERROR(INDEX(Settings!$C$14:$C$33,MATCH(Z21,Settings!$B$14:$B$33,0)),IFERROR(LOOKUP(2^15,SEARCH(Settings!$I$14:$I$83,Z21)/(Settings!$I$14:$I$83&lt;&gt;""),Settings!$J$14:$J$83),"Other"))))</f>
        <v/>
      </c>
      <c r="BD21">
        <f>IF($B21="","",IF(AA21="","Not rostered",IFERROR(INDEX(Settings!$C$14:$C$33,MATCH(AA21,Settings!$B$14:$B$33,0)),IFERROR(LOOKUP(2^15,SEARCH(Settings!$I$14:$I$83,AA21)/(Settings!$I$14:$I$83&lt;&gt;""),Settings!$J$14:$J$83),"Other"))))</f>
        <v/>
      </c>
      <c r="BE21">
        <f>IF($B21="","",IF(AB21="","Not rostered",IFERROR(INDEX(Settings!$C$14:$C$33,MATCH(AB21,Settings!$B$14:$B$33,0)),IFERROR(LOOKUP(2^15,SEARCH(Settings!$I$14:$I$83,AB21)/(Settings!$I$14:$I$83&lt;&gt;""),Settings!$J$14:$J$83),"Other"))))</f>
        <v/>
      </c>
      <c r="BF21">
        <f>IF($B21="","",IF(AC21="","Not rostered",IFERROR(INDEX(Settings!$C$14:$C$33,MATCH(AC21,Settings!$B$14:$B$33,0)),IFERROR(LOOKUP(2^15,SEARCH(Settings!$I$14:$I$83,AC21)/(Settings!$I$14:$I$83&lt;&gt;""),Settings!$J$14:$J$83),"Other"))))</f>
        <v/>
      </c>
      <c r="BG21">
        <f>IF($B21="","",IF(AD21="","Not rostered",IFERROR(INDEX(Settings!$C$14:$C$33,MATCH(AD21,Settings!$B$14:$B$33,0)),IFERROR(LOOKUP(2^15,SEARCH(Settings!$I$14:$I$83,AD21)/(Settings!$I$14:$I$83&lt;&gt;""),Settings!$J$14:$J$83),"Other"))))</f>
        <v/>
      </c>
      <c r="BH21">
        <f>IF($B21="","",IF(AE21="","Not rostered",IFERROR(INDEX(Settings!$C$14:$C$33,MATCH(AE21,Settings!$B$14:$B$33,0)),IFERROR(LOOKUP(2^15,SEARCH(Settings!$I$14:$I$83,AE21)/(Settings!$I$14:$I$83&lt;&gt;""),Settings!$J$14:$J$83),"Other"))))</f>
        <v/>
      </c>
      <c r="BI21">
        <f>IF($B21="","",IF(AF21="","Not rostered",IFERROR(INDEX(Settings!$C$14:$C$33,MATCH(AF21,Settings!$B$14:$B$33,0)),IFERROR(LOOKUP(2^15,SEARCH(Settings!$I$14:$I$83,AF21)/(Settings!$I$14:$I$83&lt;&gt;""),Settings!$J$14:$J$83),"Other"))))</f>
        <v/>
      </c>
      <c r="BJ21">
        <f>IF($B21="","",IF(AG21="","Not rostered",IFERROR(INDEX(Settings!$C$14:$C$33,MATCH(AG21,Settings!$B$14:$B$33,0)),IFERROR(LOOKUP(2^15,SEARCH(Settings!$I$14:$I$83,AG21)/(Settings!$I$14:$I$83&lt;&gt;""),Settings!$J$14:$J$83),"Other"))))</f>
        <v/>
      </c>
      <c r="BL21">
        <f>IF(OR($B21="",F21=""),"",IFERROR(INDEX(Settings!$D$14:$D$33,MATCH(F21,Settings!$B$14:$B$33,0))&amp;"",IFERROR(LOOKUP(2^15,SEARCH(Settings!$F$14:$F$43,F21)/(Settings!$F$14:$F$43&lt;&gt;""),Settings!$G$14:$G$43),"")))</f>
        <v/>
      </c>
      <c r="BM21">
        <f>IF(OR($B21="",G21=""),"",IFERROR(INDEX(Settings!$D$14:$D$33,MATCH(G21,Settings!$B$14:$B$33,0))&amp;"",IFERROR(LOOKUP(2^15,SEARCH(Settings!$F$14:$F$43,G21)/(Settings!$F$14:$F$43&lt;&gt;""),Settings!$G$14:$G$43),"")))</f>
        <v/>
      </c>
      <c r="BN21">
        <f>IF(OR($B21="",H21=""),"",IFERROR(INDEX(Settings!$D$14:$D$33,MATCH(H21,Settings!$B$14:$B$33,0))&amp;"",IFERROR(LOOKUP(2^15,SEARCH(Settings!$F$14:$F$43,H21)/(Settings!$F$14:$F$43&lt;&gt;""),Settings!$G$14:$G$43),"")))</f>
        <v/>
      </c>
      <c r="BO21">
        <f>IF(OR($B21="",I21=""),"",IFERROR(INDEX(Settings!$D$14:$D$33,MATCH(I21,Settings!$B$14:$B$33,0))&amp;"",IFERROR(LOOKUP(2^15,SEARCH(Settings!$F$14:$F$43,I21)/(Settings!$F$14:$F$43&lt;&gt;""),Settings!$G$14:$G$43),"")))</f>
        <v/>
      </c>
      <c r="BP21">
        <f>IF(OR($B21="",J21=""),"",IFERROR(INDEX(Settings!$D$14:$D$33,MATCH(J21,Settings!$B$14:$B$33,0))&amp;"",IFERROR(LOOKUP(2^15,SEARCH(Settings!$F$14:$F$43,J21)/(Settings!$F$14:$F$43&lt;&gt;""),Settings!$G$14:$G$43),"")))</f>
        <v/>
      </c>
      <c r="BQ21">
        <f>IF(OR($B21="",K21=""),"",IFERROR(INDEX(Settings!$D$14:$D$33,MATCH(K21,Settings!$B$14:$B$33,0))&amp;"",IFERROR(LOOKUP(2^15,SEARCH(Settings!$F$14:$F$43,K21)/(Settings!$F$14:$F$43&lt;&gt;""),Settings!$G$14:$G$43),"")))</f>
        <v/>
      </c>
      <c r="BR21">
        <f>IF(OR($B21="",L21=""),"",IFERROR(INDEX(Settings!$D$14:$D$33,MATCH(L21,Settings!$B$14:$B$33,0))&amp;"",IFERROR(LOOKUP(2^15,SEARCH(Settings!$F$14:$F$43,L21)/(Settings!$F$14:$F$43&lt;&gt;""),Settings!$G$14:$G$43),"")))</f>
        <v/>
      </c>
      <c r="BS21">
        <f>IF(OR($B21="",M21=""),"",IFERROR(INDEX(Settings!$D$14:$D$33,MATCH(M21,Settings!$B$14:$B$33,0))&amp;"",IFERROR(LOOKUP(2^15,SEARCH(Settings!$F$14:$F$43,M21)/(Settings!$F$14:$F$43&lt;&gt;""),Settings!$G$14:$G$43),"")))</f>
        <v/>
      </c>
      <c r="BT21">
        <f>IF(OR($B21="",N21=""),"",IFERROR(INDEX(Settings!$D$14:$D$33,MATCH(N21,Settings!$B$14:$B$33,0))&amp;"",IFERROR(LOOKUP(2^15,SEARCH(Settings!$F$14:$F$43,N21)/(Settings!$F$14:$F$43&lt;&gt;""),Settings!$G$14:$G$43),"")))</f>
        <v/>
      </c>
      <c r="BU21">
        <f>IF(OR($B21="",O21=""),"",IFERROR(INDEX(Settings!$D$14:$D$33,MATCH(O21,Settings!$B$14:$B$33,0))&amp;"",IFERROR(LOOKUP(2^15,SEARCH(Settings!$F$14:$F$43,O21)/(Settings!$F$14:$F$43&lt;&gt;""),Settings!$G$14:$G$43),"")))</f>
        <v/>
      </c>
      <c r="BV21">
        <f>IF(OR($B21="",P21=""),"",IFERROR(INDEX(Settings!$D$14:$D$33,MATCH(P21,Settings!$B$14:$B$33,0))&amp;"",IFERROR(LOOKUP(2^15,SEARCH(Settings!$F$14:$F$43,P21)/(Settings!$F$14:$F$43&lt;&gt;""),Settings!$G$14:$G$43),"")))</f>
        <v/>
      </c>
      <c r="BW21">
        <f>IF(OR($B21="",Q21=""),"",IFERROR(INDEX(Settings!$D$14:$D$33,MATCH(Q21,Settings!$B$14:$B$33,0))&amp;"",IFERROR(LOOKUP(2^15,SEARCH(Settings!$F$14:$F$43,Q21)/(Settings!$F$14:$F$43&lt;&gt;""),Settings!$G$14:$G$43),"")))</f>
        <v/>
      </c>
      <c r="BX21">
        <f>IF(OR($B21="",R21=""),"",IFERROR(INDEX(Settings!$D$14:$D$33,MATCH(R21,Settings!$B$14:$B$33,0))&amp;"",IFERROR(LOOKUP(2^15,SEARCH(Settings!$F$14:$F$43,R21)/(Settings!$F$14:$F$43&lt;&gt;""),Settings!$G$14:$G$43),"")))</f>
        <v/>
      </c>
      <c r="BY21">
        <f>IF(OR($B21="",S21=""),"",IFERROR(INDEX(Settings!$D$14:$D$33,MATCH(S21,Settings!$B$14:$B$33,0))&amp;"",IFERROR(LOOKUP(2^15,SEARCH(Settings!$F$14:$F$43,S21)/(Settings!$F$14:$F$43&lt;&gt;""),Settings!$G$14:$G$43),"")))</f>
        <v/>
      </c>
      <c r="BZ21">
        <f>IF(OR($B21="",T21=""),"",IFERROR(INDEX(Settings!$D$14:$D$33,MATCH(T21,Settings!$B$14:$B$33,0))&amp;"",IFERROR(LOOKUP(2^15,SEARCH(Settings!$F$14:$F$43,T21)/(Settings!$F$14:$F$43&lt;&gt;""),Settings!$G$14:$G$43),"")))</f>
        <v/>
      </c>
      <c r="CA21">
        <f>IF(OR($B21="",U21=""),"",IFERROR(INDEX(Settings!$D$14:$D$33,MATCH(U21,Settings!$B$14:$B$33,0))&amp;"",IFERROR(LOOKUP(2^15,SEARCH(Settings!$F$14:$F$43,U21)/(Settings!$F$14:$F$43&lt;&gt;""),Settings!$G$14:$G$43),"")))</f>
        <v/>
      </c>
      <c r="CB21">
        <f>IF(OR($B21="",V21=""),"",IFERROR(INDEX(Settings!$D$14:$D$33,MATCH(V21,Settings!$B$14:$B$33,0))&amp;"",IFERROR(LOOKUP(2^15,SEARCH(Settings!$F$14:$F$43,V21)/(Settings!$F$14:$F$43&lt;&gt;""),Settings!$G$14:$G$43),"")))</f>
        <v/>
      </c>
      <c r="CC21">
        <f>IF(OR($B21="",W21=""),"",IFERROR(INDEX(Settings!$D$14:$D$33,MATCH(W21,Settings!$B$14:$B$33,0))&amp;"",IFERROR(LOOKUP(2^15,SEARCH(Settings!$F$14:$F$43,W21)/(Settings!$F$14:$F$43&lt;&gt;""),Settings!$G$14:$G$43),"")))</f>
        <v/>
      </c>
      <c r="CD21">
        <f>IF(OR($B21="",X21=""),"",IFERROR(INDEX(Settings!$D$14:$D$33,MATCH(X21,Settings!$B$14:$B$33,0))&amp;"",IFERROR(LOOKUP(2^15,SEARCH(Settings!$F$14:$F$43,X21)/(Settings!$F$14:$F$43&lt;&gt;""),Settings!$G$14:$G$43),"")))</f>
        <v/>
      </c>
      <c r="CE21">
        <f>IF(OR($B21="",Y21=""),"",IFERROR(INDEX(Settings!$D$14:$D$33,MATCH(Y21,Settings!$B$14:$B$33,0))&amp;"",IFERROR(LOOKUP(2^15,SEARCH(Settings!$F$14:$F$43,Y21)/(Settings!$F$14:$F$43&lt;&gt;""),Settings!$G$14:$G$43),"")))</f>
        <v/>
      </c>
      <c r="CF21">
        <f>IF(OR($B21="",Z21=""),"",IFERROR(INDEX(Settings!$D$14:$D$33,MATCH(Z21,Settings!$B$14:$B$33,0))&amp;"",IFERROR(LOOKUP(2^15,SEARCH(Settings!$F$14:$F$43,Z21)/(Settings!$F$14:$F$43&lt;&gt;""),Settings!$G$14:$G$43),"")))</f>
        <v/>
      </c>
      <c r="CG21">
        <f>IF(OR($B21="",AA21=""),"",IFERROR(INDEX(Settings!$D$14:$D$33,MATCH(AA21,Settings!$B$14:$B$33,0))&amp;"",IFERROR(LOOKUP(2^15,SEARCH(Settings!$F$14:$F$43,AA21)/(Settings!$F$14:$F$43&lt;&gt;""),Settings!$G$14:$G$43),"")))</f>
        <v/>
      </c>
      <c r="CH21">
        <f>IF(OR($B21="",AB21=""),"",IFERROR(INDEX(Settings!$D$14:$D$33,MATCH(AB21,Settings!$B$14:$B$33,0))&amp;"",IFERROR(LOOKUP(2^15,SEARCH(Settings!$F$14:$F$43,AB21)/(Settings!$F$14:$F$43&lt;&gt;""),Settings!$G$14:$G$43),"")))</f>
        <v/>
      </c>
      <c r="CI21">
        <f>IF(OR($B21="",AC21=""),"",IFERROR(INDEX(Settings!$D$14:$D$33,MATCH(AC21,Settings!$B$14:$B$33,0))&amp;"",IFERROR(LOOKUP(2^15,SEARCH(Settings!$F$14:$F$43,AC21)/(Settings!$F$14:$F$43&lt;&gt;""),Settings!$G$14:$G$43),"")))</f>
        <v/>
      </c>
      <c r="CJ21">
        <f>IF(OR($B21="",AD21=""),"",IFERROR(INDEX(Settings!$D$14:$D$33,MATCH(AD21,Settings!$B$14:$B$33,0))&amp;"",IFERROR(LOOKUP(2^15,SEARCH(Settings!$F$14:$F$43,AD21)/(Settings!$F$14:$F$43&lt;&gt;""),Settings!$G$14:$G$43),"")))</f>
        <v/>
      </c>
      <c r="CK21">
        <f>IF(OR($B21="",AE21=""),"",IFERROR(INDEX(Settings!$D$14:$D$33,MATCH(AE21,Settings!$B$14:$B$33,0))&amp;"",IFERROR(LOOKUP(2^15,SEARCH(Settings!$F$14:$F$43,AE21)/(Settings!$F$14:$F$43&lt;&gt;""),Settings!$G$14:$G$43),"")))</f>
        <v/>
      </c>
      <c r="CL21">
        <f>IF(OR($B21="",AF21=""),"",IFERROR(INDEX(Settings!$D$14:$D$33,MATCH(AF21,Settings!$B$14:$B$33,0))&amp;"",IFERROR(LOOKUP(2^15,SEARCH(Settings!$F$14:$F$43,AF21)/(Settings!$F$14:$F$43&lt;&gt;""),Settings!$G$14:$G$43),"")))</f>
        <v/>
      </c>
      <c r="CM21">
        <f>IF(OR($B21="",AG21=""),"",IFERROR(INDEX(Settings!$D$14:$D$33,MATCH(AG21,Settings!$B$14:$B$33,0))&amp;"",IFERROR(LOOKUP(2^15,SEARCH(Settings!$F$14:$F$43,AG21)/(Settings!$F$14:$F$43&lt;&gt;""),Settings!$G$14:$G$43),"")))</f>
        <v/>
      </c>
    </row>
    <row r="22">
      <c r="A22" t="n">
        <v>20</v>
      </c>
      <c r="B22">
        <f>IFERROR(INDEX(Index!$A$2:$A$202,MATCH(A22,Index!$E$2:$E$202,0)),"")</f>
        <v/>
      </c>
      <c r="D22">
        <f>IF($B22="","",IFERROR(MATCH("Travel*",AI22:BJ22,0),""))</f>
        <v/>
      </c>
      <c r="F22">
        <f>IF(OR($B22="",NOT(ISNUMBER(Settings!$C$9))),"",TRIM(SUBSTITUTE(SUBSTITUTE(INDEX('INPUT - Roster'!$S$1:$SV$206,$B22,Settings!$C$9+0)&amp;"",CHAR(10)," "),CHAR(160)," ")))</f>
        <v/>
      </c>
      <c r="G22">
        <f>IF(OR($B22="",NOT(ISNUMBER(Settings!$C$9))),"",TRIM(SUBSTITUTE(SUBSTITUTE(INDEX('INPUT - Roster'!$S$1:$SV$206,$B22,Settings!$C$9+1)&amp;"",CHAR(10)," "),CHAR(160)," ")))</f>
        <v/>
      </c>
      <c r="H22">
        <f>IF(OR($B22="",NOT(ISNUMBER(Settings!$C$9))),"",TRIM(SUBSTITUTE(SUBSTITUTE(INDEX('INPUT - Roster'!$S$1:$SV$206,$B22,Settings!$C$9+2)&amp;"",CHAR(10)," "),CHAR(160)," ")))</f>
        <v/>
      </c>
      <c r="I22">
        <f>IF(OR($B22="",NOT(ISNUMBER(Settings!$C$9))),"",TRIM(SUBSTITUTE(SUBSTITUTE(INDEX('INPUT - Roster'!$S$1:$SV$206,$B22,Settings!$C$9+3)&amp;"",CHAR(10)," "),CHAR(160)," ")))</f>
        <v/>
      </c>
      <c r="J22">
        <f>IF(OR($B22="",NOT(ISNUMBER(Settings!$C$9))),"",TRIM(SUBSTITUTE(SUBSTITUTE(INDEX('INPUT - Roster'!$S$1:$SV$206,$B22,Settings!$C$9+4)&amp;"",CHAR(10)," "),CHAR(160)," ")))</f>
        <v/>
      </c>
      <c r="K22">
        <f>IF(OR($B22="",NOT(ISNUMBER(Settings!$C$9))),"",TRIM(SUBSTITUTE(SUBSTITUTE(INDEX('INPUT - Roster'!$S$1:$SV$206,$B22,Settings!$C$9+5)&amp;"",CHAR(10)," "),CHAR(160)," ")))</f>
        <v/>
      </c>
      <c r="L22">
        <f>IF(OR($B22="",NOT(ISNUMBER(Settings!$C$9))),"",TRIM(SUBSTITUTE(SUBSTITUTE(INDEX('INPUT - Roster'!$S$1:$SV$206,$B22,Settings!$C$9+6)&amp;"",CHAR(10)," "),CHAR(160)," ")))</f>
        <v/>
      </c>
      <c r="M22">
        <f>IF(OR($B22="",NOT(ISNUMBER(Settings!$C$9))),"",TRIM(SUBSTITUTE(SUBSTITUTE(INDEX('INPUT - Roster'!$S$1:$SV$206,$B22,Settings!$C$9+7)&amp;"",CHAR(10)," "),CHAR(160)," ")))</f>
        <v/>
      </c>
      <c r="N22">
        <f>IF(OR($B22="",NOT(ISNUMBER(Settings!$C$9))),"",TRIM(SUBSTITUTE(SUBSTITUTE(INDEX('INPUT - Roster'!$S$1:$SV$206,$B22,Settings!$C$9+8)&amp;"",CHAR(10)," "),CHAR(160)," ")))</f>
        <v/>
      </c>
      <c r="O22">
        <f>IF(OR($B22="",NOT(ISNUMBER(Settings!$C$9))),"",TRIM(SUBSTITUTE(SUBSTITUTE(INDEX('INPUT - Roster'!$S$1:$SV$206,$B22,Settings!$C$9+9)&amp;"",CHAR(10)," "),CHAR(160)," ")))</f>
        <v/>
      </c>
      <c r="P22">
        <f>IF(OR($B22="",NOT(ISNUMBER(Settings!$C$9))),"",TRIM(SUBSTITUTE(SUBSTITUTE(INDEX('INPUT - Roster'!$S$1:$SV$206,$B22,Settings!$C$9+10)&amp;"",CHAR(10)," "),CHAR(160)," ")))</f>
        <v/>
      </c>
      <c r="Q22">
        <f>IF(OR($B22="",NOT(ISNUMBER(Settings!$C$9))),"",TRIM(SUBSTITUTE(SUBSTITUTE(INDEX('INPUT - Roster'!$S$1:$SV$206,$B22,Settings!$C$9+11)&amp;"",CHAR(10)," "),CHAR(160)," ")))</f>
        <v/>
      </c>
      <c r="R22">
        <f>IF(OR($B22="",NOT(ISNUMBER(Settings!$C$9))),"",TRIM(SUBSTITUTE(SUBSTITUTE(INDEX('INPUT - Roster'!$S$1:$SV$206,$B22,Settings!$C$9+12)&amp;"",CHAR(10)," "),CHAR(160)," ")))</f>
        <v/>
      </c>
      <c r="S22">
        <f>IF(OR($B22="",NOT(ISNUMBER(Settings!$C$9))),"",TRIM(SUBSTITUTE(SUBSTITUTE(INDEX('INPUT - Roster'!$S$1:$SV$206,$B22,Settings!$C$9+13)&amp;"",CHAR(10)," "),CHAR(160)," ")))</f>
        <v/>
      </c>
      <c r="T22">
        <f>IF(OR($B22="",NOT(ISNUMBER(Settings!$C$9))),"",TRIM(SUBSTITUTE(SUBSTITUTE(INDEX('INPUT - Roster'!$S$1:$SV$206,$B22,Settings!$C$9+14)&amp;"",CHAR(10)," "),CHAR(160)," ")))</f>
        <v/>
      </c>
      <c r="U22">
        <f>IF(OR($B22="",NOT(ISNUMBER(Settings!$C$9))),"",TRIM(SUBSTITUTE(SUBSTITUTE(INDEX('INPUT - Roster'!$S$1:$SV$206,$B22,Settings!$C$9+15)&amp;"",CHAR(10)," "),CHAR(160)," ")))</f>
        <v/>
      </c>
      <c r="V22">
        <f>IF(OR($B22="",NOT(ISNUMBER(Settings!$C$9))),"",TRIM(SUBSTITUTE(SUBSTITUTE(INDEX('INPUT - Roster'!$S$1:$SV$206,$B22,Settings!$C$9+16)&amp;"",CHAR(10)," "),CHAR(160)," ")))</f>
        <v/>
      </c>
      <c r="W22">
        <f>IF(OR($B22="",NOT(ISNUMBER(Settings!$C$9))),"",TRIM(SUBSTITUTE(SUBSTITUTE(INDEX('INPUT - Roster'!$S$1:$SV$206,$B22,Settings!$C$9+17)&amp;"",CHAR(10)," "),CHAR(160)," ")))</f>
        <v/>
      </c>
      <c r="X22">
        <f>IF(OR($B22="",NOT(ISNUMBER(Settings!$C$9))),"",TRIM(SUBSTITUTE(SUBSTITUTE(INDEX('INPUT - Roster'!$S$1:$SV$206,$B22,Settings!$C$9+18)&amp;"",CHAR(10)," "),CHAR(160)," ")))</f>
        <v/>
      </c>
      <c r="Y22">
        <f>IF(OR($B22="",NOT(ISNUMBER(Settings!$C$9))),"",TRIM(SUBSTITUTE(SUBSTITUTE(INDEX('INPUT - Roster'!$S$1:$SV$206,$B22,Settings!$C$9+19)&amp;"",CHAR(10)," "),CHAR(160)," ")))</f>
        <v/>
      </c>
      <c r="Z22">
        <f>IF(OR($B22="",NOT(ISNUMBER(Settings!$C$9))),"",TRIM(SUBSTITUTE(SUBSTITUTE(INDEX('INPUT - Roster'!$S$1:$SV$206,$B22,Settings!$C$9+20)&amp;"",CHAR(10)," "),CHAR(160)," ")))</f>
        <v/>
      </c>
      <c r="AA22">
        <f>IF(OR($B22="",NOT(ISNUMBER(Settings!$C$9))),"",TRIM(SUBSTITUTE(SUBSTITUTE(INDEX('INPUT - Roster'!$S$1:$SV$206,$B22,Settings!$C$9+21)&amp;"",CHAR(10)," "),CHAR(160)," ")))</f>
        <v/>
      </c>
      <c r="AB22">
        <f>IF(OR($B22="",NOT(ISNUMBER(Settings!$C$9))),"",TRIM(SUBSTITUTE(SUBSTITUTE(INDEX('INPUT - Roster'!$S$1:$SV$206,$B22,Settings!$C$9+22)&amp;"",CHAR(10)," "),CHAR(160)," ")))</f>
        <v/>
      </c>
      <c r="AC22">
        <f>IF(OR($B22="",NOT(ISNUMBER(Settings!$C$9))),"",TRIM(SUBSTITUTE(SUBSTITUTE(INDEX('INPUT - Roster'!$S$1:$SV$206,$B22,Settings!$C$9+23)&amp;"",CHAR(10)," "),CHAR(160)," ")))</f>
        <v/>
      </c>
      <c r="AD22">
        <f>IF(OR($B22="",NOT(ISNUMBER(Settings!$C$9))),"",TRIM(SUBSTITUTE(SUBSTITUTE(INDEX('INPUT - Roster'!$S$1:$SV$206,$B22,Settings!$C$9+24)&amp;"",CHAR(10)," "),CHAR(160)," ")))</f>
        <v/>
      </c>
      <c r="AE22">
        <f>IF(OR($B22="",NOT(ISNUMBER(Settings!$C$9))),"",TRIM(SUBSTITUTE(SUBSTITUTE(INDEX('INPUT - Roster'!$S$1:$SV$206,$B22,Settings!$C$9+25)&amp;"",CHAR(10)," "),CHAR(160)," ")))</f>
        <v/>
      </c>
      <c r="AF22">
        <f>IF(OR($B22="",NOT(ISNUMBER(Settings!$C$9))),"",TRIM(SUBSTITUTE(SUBSTITUTE(INDEX('INPUT - Roster'!$S$1:$SV$206,$B22,Settings!$C$9+26)&amp;"",CHAR(10)," "),CHAR(160)," ")))</f>
        <v/>
      </c>
      <c r="AG22">
        <f>IF(OR($B22="",NOT(ISNUMBER(Settings!$C$9))),"",TRIM(SUBSTITUTE(SUBSTITUTE(INDEX('INPUT - Roster'!$S$1:$SV$206,$B22,Settings!$C$9+27)&amp;"",CHAR(10)," "),CHAR(160)," ")))</f>
        <v/>
      </c>
      <c r="AI22">
        <f>IF($B22="","",IF(F22="","Not rostered",IFERROR(INDEX(Settings!$C$14:$C$33,MATCH(F22,Settings!$B$14:$B$33,0)),IFERROR(LOOKUP(2^15,SEARCH(Settings!$I$14:$I$83,F22)/(Settings!$I$14:$I$83&lt;&gt;""),Settings!$J$14:$J$83),"Other"))))</f>
        <v/>
      </c>
      <c r="AJ22">
        <f>IF($B22="","",IF(G22="","Not rostered",IFERROR(INDEX(Settings!$C$14:$C$33,MATCH(G22,Settings!$B$14:$B$33,0)),IFERROR(LOOKUP(2^15,SEARCH(Settings!$I$14:$I$83,G22)/(Settings!$I$14:$I$83&lt;&gt;""),Settings!$J$14:$J$83),"Other"))))</f>
        <v/>
      </c>
      <c r="AK22">
        <f>IF($B22="","",IF(H22="","Not rostered",IFERROR(INDEX(Settings!$C$14:$C$33,MATCH(H22,Settings!$B$14:$B$33,0)),IFERROR(LOOKUP(2^15,SEARCH(Settings!$I$14:$I$83,H22)/(Settings!$I$14:$I$83&lt;&gt;""),Settings!$J$14:$J$83),"Other"))))</f>
        <v/>
      </c>
      <c r="AL22">
        <f>IF($B22="","",IF(I22="","Not rostered",IFERROR(INDEX(Settings!$C$14:$C$33,MATCH(I22,Settings!$B$14:$B$33,0)),IFERROR(LOOKUP(2^15,SEARCH(Settings!$I$14:$I$83,I22)/(Settings!$I$14:$I$83&lt;&gt;""),Settings!$J$14:$J$83),"Other"))))</f>
        <v/>
      </c>
      <c r="AM22">
        <f>IF($B22="","",IF(J22="","Not rostered",IFERROR(INDEX(Settings!$C$14:$C$33,MATCH(J22,Settings!$B$14:$B$33,0)),IFERROR(LOOKUP(2^15,SEARCH(Settings!$I$14:$I$83,J22)/(Settings!$I$14:$I$83&lt;&gt;""),Settings!$J$14:$J$83),"Other"))))</f>
        <v/>
      </c>
      <c r="AN22">
        <f>IF($B22="","",IF(K22="","Not rostered",IFERROR(INDEX(Settings!$C$14:$C$33,MATCH(K22,Settings!$B$14:$B$33,0)),IFERROR(LOOKUP(2^15,SEARCH(Settings!$I$14:$I$83,K22)/(Settings!$I$14:$I$83&lt;&gt;""),Settings!$J$14:$J$83),"Other"))))</f>
        <v/>
      </c>
      <c r="AO22">
        <f>IF($B22="","",IF(L22="","Not rostered",IFERROR(INDEX(Settings!$C$14:$C$33,MATCH(L22,Settings!$B$14:$B$33,0)),IFERROR(LOOKUP(2^15,SEARCH(Settings!$I$14:$I$83,L22)/(Settings!$I$14:$I$83&lt;&gt;""),Settings!$J$14:$J$83),"Other"))))</f>
        <v/>
      </c>
      <c r="AP22">
        <f>IF($B22="","",IF(M22="","Not rostered",IFERROR(INDEX(Settings!$C$14:$C$33,MATCH(M22,Settings!$B$14:$B$33,0)),IFERROR(LOOKUP(2^15,SEARCH(Settings!$I$14:$I$83,M22)/(Settings!$I$14:$I$83&lt;&gt;""),Settings!$J$14:$J$83),"Other"))))</f>
        <v/>
      </c>
      <c r="AQ22">
        <f>IF($B22="","",IF(N22="","Not rostered",IFERROR(INDEX(Settings!$C$14:$C$33,MATCH(N22,Settings!$B$14:$B$33,0)),IFERROR(LOOKUP(2^15,SEARCH(Settings!$I$14:$I$83,N22)/(Settings!$I$14:$I$83&lt;&gt;""),Settings!$J$14:$J$83),"Other"))))</f>
        <v/>
      </c>
      <c r="AR22">
        <f>IF($B22="","",IF(O22="","Not rostered",IFERROR(INDEX(Settings!$C$14:$C$33,MATCH(O22,Settings!$B$14:$B$33,0)),IFERROR(LOOKUP(2^15,SEARCH(Settings!$I$14:$I$83,O22)/(Settings!$I$14:$I$83&lt;&gt;""),Settings!$J$14:$J$83),"Other"))))</f>
        <v/>
      </c>
      <c r="AS22">
        <f>IF($B22="","",IF(P22="","Not rostered",IFERROR(INDEX(Settings!$C$14:$C$33,MATCH(P22,Settings!$B$14:$B$33,0)),IFERROR(LOOKUP(2^15,SEARCH(Settings!$I$14:$I$83,P22)/(Settings!$I$14:$I$83&lt;&gt;""),Settings!$J$14:$J$83),"Other"))))</f>
        <v/>
      </c>
      <c r="AT22">
        <f>IF($B22="","",IF(Q22="","Not rostered",IFERROR(INDEX(Settings!$C$14:$C$33,MATCH(Q22,Settings!$B$14:$B$33,0)),IFERROR(LOOKUP(2^15,SEARCH(Settings!$I$14:$I$83,Q22)/(Settings!$I$14:$I$83&lt;&gt;""),Settings!$J$14:$J$83),"Other"))))</f>
        <v/>
      </c>
      <c r="AU22">
        <f>IF($B22="","",IF(R22="","Not rostered",IFERROR(INDEX(Settings!$C$14:$C$33,MATCH(R22,Settings!$B$14:$B$33,0)),IFERROR(LOOKUP(2^15,SEARCH(Settings!$I$14:$I$83,R22)/(Settings!$I$14:$I$83&lt;&gt;""),Settings!$J$14:$J$83),"Other"))))</f>
        <v/>
      </c>
      <c r="AV22">
        <f>IF($B22="","",IF(S22="","Not rostered",IFERROR(INDEX(Settings!$C$14:$C$33,MATCH(S22,Settings!$B$14:$B$33,0)),IFERROR(LOOKUP(2^15,SEARCH(Settings!$I$14:$I$83,S22)/(Settings!$I$14:$I$83&lt;&gt;""),Settings!$J$14:$J$83),"Other"))))</f>
        <v/>
      </c>
      <c r="AW22">
        <f>IF($B22="","",IF(T22="","Not rostered",IFERROR(INDEX(Settings!$C$14:$C$33,MATCH(T22,Settings!$B$14:$B$33,0)),IFERROR(LOOKUP(2^15,SEARCH(Settings!$I$14:$I$83,T22)/(Settings!$I$14:$I$83&lt;&gt;""),Settings!$J$14:$J$83),"Other"))))</f>
        <v/>
      </c>
      <c r="AX22">
        <f>IF($B22="","",IF(U22="","Not rostered",IFERROR(INDEX(Settings!$C$14:$C$33,MATCH(U22,Settings!$B$14:$B$33,0)),IFERROR(LOOKUP(2^15,SEARCH(Settings!$I$14:$I$83,U22)/(Settings!$I$14:$I$83&lt;&gt;""),Settings!$J$14:$J$83),"Other"))))</f>
        <v/>
      </c>
      <c r="AY22">
        <f>IF($B22="","",IF(V22="","Not rostered",IFERROR(INDEX(Settings!$C$14:$C$33,MATCH(V22,Settings!$B$14:$B$33,0)),IFERROR(LOOKUP(2^15,SEARCH(Settings!$I$14:$I$83,V22)/(Settings!$I$14:$I$83&lt;&gt;""),Settings!$J$14:$J$83),"Other"))))</f>
        <v/>
      </c>
      <c r="AZ22">
        <f>IF($B22="","",IF(W22="","Not rostered",IFERROR(INDEX(Settings!$C$14:$C$33,MATCH(W22,Settings!$B$14:$B$33,0)),IFERROR(LOOKUP(2^15,SEARCH(Settings!$I$14:$I$83,W22)/(Settings!$I$14:$I$83&lt;&gt;""),Settings!$J$14:$J$83),"Other"))))</f>
        <v/>
      </c>
      <c r="BA22">
        <f>IF($B22="","",IF(X22="","Not rostered",IFERROR(INDEX(Settings!$C$14:$C$33,MATCH(X22,Settings!$B$14:$B$33,0)),IFERROR(LOOKUP(2^15,SEARCH(Settings!$I$14:$I$83,X22)/(Settings!$I$14:$I$83&lt;&gt;""),Settings!$J$14:$J$83),"Other"))))</f>
        <v/>
      </c>
      <c r="BB22">
        <f>IF($B22="","",IF(Y22="","Not rostered",IFERROR(INDEX(Settings!$C$14:$C$33,MATCH(Y22,Settings!$B$14:$B$33,0)),IFERROR(LOOKUP(2^15,SEARCH(Settings!$I$14:$I$83,Y22)/(Settings!$I$14:$I$83&lt;&gt;""),Settings!$J$14:$J$83),"Other"))))</f>
        <v/>
      </c>
      <c r="BC22">
        <f>IF($B22="","",IF(Z22="","Not rostered",IFERROR(INDEX(Settings!$C$14:$C$33,MATCH(Z22,Settings!$B$14:$B$33,0)),IFERROR(LOOKUP(2^15,SEARCH(Settings!$I$14:$I$83,Z22)/(Settings!$I$14:$I$83&lt;&gt;""),Settings!$J$14:$J$83),"Other"))))</f>
        <v/>
      </c>
      <c r="BD22">
        <f>IF($B22="","",IF(AA22="","Not rostered",IFERROR(INDEX(Settings!$C$14:$C$33,MATCH(AA22,Settings!$B$14:$B$33,0)),IFERROR(LOOKUP(2^15,SEARCH(Settings!$I$14:$I$83,AA22)/(Settings!$I$14:$I$83&lt;&gt;""),Settings!$J$14:$J$83),"Other"))))</f>
        <v/>
      </c>
      <c r="BE22">
        <f>IF($B22="","",IF(AB22="","Not rostered",IFERROR(INDEX(Settings!$C$14:$C$33,MATCH(AB22,Settings!$B$14:$B$33,0)),IFERROR(LOOKUP(2^15,SEARCH(Settings!$I$14:$I$83,AB22)/(Settings!$I$14:$I$83&lt;&gt;""),Settings!$J$14:$J$83),"Other"))))</f>
        <v/>
      </c>
      <c r="BF22">
        <f>IF($B22="","",IF(AC22="","Not rostered",IFERROR(INDEX(Settings!$C$14:$C$33,MATCH(AC22,Settings!$B$14:$B$33,0)),IFERROR(LOOKUP(2^15,SEARCH(Settings!$I$14:$I$83,AC22)/(Settings!$I$14:$I$83&lt;&gt;""),Settings!$J$14:$J$83),"Other"))))</f>
        <v/>
      </c>
      <c r="BG22">
        <f>IF($B22="","",IF(AD22="","Not rostered",IFERROR(INDEX(Settings!$C$14:$C$33,MATCH(AD22,Settings!$B$14:$B$33,0)),IFERROR(LOOKUP(2^15,SEARCH(Settings!$I$14:$I$83,AD22)/(Settings!$I$14:$I$83&lt;&gt;""),Settings!$J$14:$J$83),"Other"))))</f>
        <v/>
      </c>
      <c r="BH22">
        <f>IF($B22="","",IF(AE22="","Not rostered",IFERROR(INDEX(Settings!$C$14:$C$33,MATCH(AE22,Settings!$B$14:$B$33,0)),IFERROR(LOOKUP(2^15,SEARCH(Settings!$I$14:$I$83,AE22)/(Settings!$I$14:$I$83&lt;&gt;""),Settings!$J$14:$J$83),"Other"))))</f>
        <v/>
      </c>
      <c r="BI22">
        <f>IF($B22="","",IF(AF22="","Not rostered",IFERROR(INDEX(Settings!$C$14:$C$33,MATCH(AF22,Settings!$B$14:$B$33,0)),IFERROR(LOOKUP(2^15,SEARCH(Settings!$I$14:$I$83,AF22)/(Settings!$I$14:$I$83&lt;&gt;""),Settings!$J$14:$J$83),"Other"))))</f>
        <v/>
      </c>
      <c r="BJ22">
        <f>IF($B22="","",IF(AG22="","Not rostered",IFERROR(INDEX(Settings!$C$14:$C$33,MATCH(AG22,Settings!$B$14:$B$33,0)),IFERROR(LOOKUP(2^15,SEARCH(Settings!$I$14:$I$83,AG22)/(Settings!$I$14:$I$83&lt;&gt;""),Settings!$J$14:$J$83),"Other"))))</f>
        <v/>
      </c>
      <c r="BL22">
        <f>IF(OR($B22="",F22=""),"",IFERROR(INDEX(Settings!$D$14:$D$33,MATCH(F22,Settings!$B$14:$B$33,0))&amp;"",IFERROR(LOOKUP(2^15,SEARCH(Settings!$F$14:$F$43,F22)/(Settings!$F$14:$F$43&lt;&gt;""),Settings!$G$14:$G$43),"")))</f>
        <v/>
      </c>
      <c r="BM22">
        <f>IF(OR($B22="",G22=""),"",IFERROR(INDEX(Settings!$D$14:$D$33,MATCH(G22,Settings!$B$14:$B$33,0))&amp;"",IFERROR(LOOKUP(2^15,SEARCH(Settings!$F$14:$F$43,G22)/(Settings!$F$14:$F$43&lt;&gt;""),Settings!$G$14:$G$43),"")))</f>
        <v/>
      </c>
      <c r="BN22">
        <f>IF(OR($B22="",H22=""),"",IFERROR(INDEX(Settings!$D$14:$D$33,MATCH(H22,Settings!$B$14:$B$33,0))&amp;"",IFERROR(LOOKUP(2^15,SEARCH(Settings!$F$14:$F$43,H22)/(Settings!$F$14:$F$43&lt;&gt;""),Settings!$G$14:$G$43),"")))</f>
        <v/>
      </c>
      <c r="BO22">
        <f>IF(OR($B22="",I22=""),"",IFERROR(INDEX(Settings!$D$14:$D$33,MATCH(I22,Settings!$B$14:$B$33,0))&amp;"",IFERROR(LOOKUP(2^15,SEARCH(Settings!$F$14:$F$43,I22)/(Settings!$F$14:$F$43&lt;&gt;""),Settings!$G$14:$G$43),"")))</f>
        <v/>
      </c>
      <c r="BP22">
        <f>IF(OR($B22="",J22=""),"",IFERROR(INDEX(Settings!$D$14:$D$33,MATCH(J22,Settings!$B$14:$B$33,0))&amp;"",IFERROR(LOOKUP(2^15,SEARCH(Settings!$F$14:$F$43,J22)/(Settings!$F$14:$F$43&lt;&gt;""),Settings!$G$14:$G$43),"")))</f>
        <v/>
      </c>
      <c r="BQ22">
        <f>IF(OR($B22="",K22=""),"",IFERROR(INDEX(Settings!$D$14:$D$33,MATCH(K22,Settings!$B$14:$B$33,0))&amp;"",IFERROR(LOOKUP(2^15,SEARCH(Settings!$F$14:$F$43,K22)/(Settings!$F$14:$F$43&lt;&gt;""),Settings!$G$14:$G$43),"")))</f>
        <v/>
      </c>
      <c r="BR22">
        <f>IF(OR($B22="",L22=""),"",IFERROR(INDEX(Settings!$D$14:$D$33,MATCH(L22,Settings!$B$14:$B$33,0))&amp;"",IFERROR(LOOKUP(2^15,SEARCH(Settings!$F$14:$F$43,L22)/(Settings!$F$14:$F$43&lt;&gt;""),Settings!$G$14:$G$43),"")))</f>
        <v/>
      </c>
      <c r="BS22">
        <f>IF(OR($B22="",M22=""),"",IFERROR(INDEX(Settings!$D$14:$D$33,MATCH(M22,Settings!$B$14:$B$33,0))&amp;"",IFERROR(LOOKUP(2^15,SEARCH(Settings!$F$14:$F$43,M22)/(Settings!$F$14:$F$43&lt;&gt;""),Settings!$G$14:$G$43),"")))</f>
        <v/>
      </c>
      <c r="BT22">
        <f>IF(OR($B22="",N22=""),"",IFERROR(INDEX(Settings!$D$14:$D$33,MATCH(N22,Settings!$B$14:$B$33,0))&amp;"",IFERROR(LOOKUP(2^15,SEARCH(Settings!$F$14:$F$43,N22)/(Settings!$F$14:$F$43&lt;&gt;""),Settings!$G$14:$G$43),"")))</f>
        <v/>
      </c>
      <c r="BU22">
        <f>IF(OR($B22="",O22=""),"",IFERROR(INDEX(Settings!$D$14:$D$33,MATCH(O22,Settings!$B$14:$B$33,0))&amp;"",IFERROR(LOOKUP(2^15,SEARCH(Settings!$F$14:$F$43,O22)/(Settings!$F$14:$F$43&lt;&gt;""),Settings!$G$14:$G$43),"")))</f>
        <v/>
      </c>
      <c r="BV22">
        <f>IF(OR($B22="",P22=""),"",IFERROR(INDEX(Settings!$D$14:$D$33,MATCH(P22,Settings!$B$14:$B$33,0))&amp;"",IFERROR(LOOKUP(2^15,SEARCH(Settings!$F$14:$F$43,P22)/(Settings!$F$14:$F$43&lt;&gt;""),Settings!$G$14:$G$43),"")))</f>
        <v/>
      </c>
      <c r="BW22">
        <f>IF(OR($B22="",Q22=""),"",IFERROR(INDEX(Settings!$D$14:$D$33,MATCH(Q22,Settings!$B$14:$B$33,0))&amp;"",IFERROR(LOOKUP(2^15,SEARCH(Settings!$F$14:$F$43,Q22)/(Settings!$F$14:$F$43&lt;&gt;""),Settings!$G$14:$G$43),"")))</f>
        <v/>
      </c>
      <c r="BX22">
        <f>IF(OR($B22="",R22=""),"",IFERROR(INDEX(Settings!$D$14:$D$33,MATCH(R22,Settings!$B$14:$B$33,0))&amp;"",IFERROR(LOOKUP(2^15,SEARCH(Settings!$F$14:$F$43,R22)/(Settings!$F$14:$F$43&lt;&gt;""),Settings!$G$14:$G$43),"")))</f>
        <v/>
      </c>
      <c r="BY22">
        <f>IF(OR($B22="",S22=""),"",IFERROR(INDEX(Settings!$D$14:$D$33,MATCH(S22,Settings!$B$14:$B$33,0))&amp;"",IFERROR(LOOKUP(2^15,SEARCH(Settings!$F$14:$F$43,S22)/(Settings!$F$14:$F$43&lt;&gt;""),Settings!$G$14:$G$43),"")))</f>
        <v/>
      </c>
      <c r="BZ22">
        <f>IF(OR($B22="",T22=""),"",IFERROR(INDEX(Settings!$D$14:$D$33,MATCH(T22,Settings!$B$14:$B$33,0))&amp;"",IFERROR(LOOKUP(2^15,SEARCH(Settings!$F$14:$F$43,T22)/(Settings!$F$14:$F$43&lt;&gt;""),Settings!$G$14:$G$43),"")))</f>
        <v/>
      </c>
      <c r="CA22">
        <f>IF(OR($B22="",U22=""),"",IFERROR(INDEX(Settings!$D$14:$D$33,MATCH(U22,Settings!$B$14:$B$33,0))&amp;"",IFERROR(LOOKUP(2^15,SEARCH(Settings!$F$14:$F$43,U22)/(Settings!$F$14:$F$43&lt;&gt;""),Settings!$G$14:$G$43),"")))</f>
        <v/>
      </c>
      <c r="CB22">
        <f>IF(OR($B22="",V22=""),"",IFERROR(INDEX(Settings!$D$14:$D$33,MATCH(V22,Settings!$B$14:$B$33,0))&amp;"",IFERROR(LOOKUP(2^15,SEARCH(Settings!$F$14:$F$43,V22)/(Settings!$F$14:$F$43&lt;&gt;""),Settings!$G$14:$G$43),"")))</f>
        <v/>
      </c>
      <c r="CC22">
        <f>IF(OR($B22="",W22=""),"",IFERROR(INDEX(Settings!$D$14:$D$33,MATCH(W22,Settings!$B$14:$B$33,0))&amp;"",IFERROR(LOOKUP(2^15,SEARCH(Settings!$F$14:$F$43,W22)/(Settings!$F$14:$F$43&lt;&gt;""),Settings!$G$14:$G$43),"")))</f>
        <v/>
      </c>
      <c r="CD22">
        <f>IF(OR($B22="",X22=""),"",IFERROR(INDEX(Settings!$D$14:$D$33,MATCH(X22,Settings!$B$14:$B$33,0))&amp;"",IFERROR(LOOKUP(2^15,SEARCH(Settings!$F$14:$F$43,X22)/(Settings!$F$14:$F$43&lt;&gt;""),Settings!$G$14:$G$43),"")))</f>
        <v/>
      </c>
      <c r="CE22">
        <f>IF(OR($B22="",Y22=""),"",IFERROR(INDEX(Settings!$D$14:$D$33,MATCH(Y22,Settings!$B$14:$B$33,0))&amp;"",IFERROR(LOOKUP(2^15,SEARCH(Settings!$F$14:$F$43,Y22)/(Settings!$F$14:$F$43&lt;&gt;""),Settings!$G$14:$G$43),"")))</f>
        <v/>
      </c>
      <c r="CF22">
        <f>IF(OR($B22="",Z22=""),"",IFERROR(INDEX(Settings!$D$14:$D$33,MATCH(Z22,Settings!$B$14:$B$33,0))&amp;"",IFERROR(LOOKUP(2^15,SEARCH(Settings!$F$14:$F$43,Z22)/(Settings!$F$14:$F$43&lt;&gt;""),Settings!$G$14:$G$43),"")))</f>
        <v/>
      </c>
      <c r="CG22">
        <f>IF(OR($B22="",AA22=""),"",IFERROR(INDEX(Settings!$D$14:$D$33,MATCH(AA22,Settings!$B$14:$B$33,0))&amp;"",IFERROR(LOOKUP(2^15,SEARCH(Settings!$F$14:$F$43,AA22)/(Settings!$F$14:$F$43&lt;&gt;""),Settings!$G$14:$G$43),"")))</f>
        <v/>
      </c>
      <c r="CH22">
        <f>IF(OR($B22="",AB22=""),"",IFERROR(INDEX(Settings!$D$14:$D$33,MATCH(AB22,Settings!$B$14:$B$33,0))&amp;"",IFERROR(LOOKUP(2^15,SEARCH(Settings!$F$14:$F$43,AB22)/(Settings!$F$14:$F$43&lt;&gt;""),Settings!$G$14:$G$43),"")))</f>
        <v/>
      </c>
      <c r="CI22">
        <f>IF(OR($B22="",AC22=""),"",IFERROR(INDEX(Settings!$D$14:$D$33,MATCH(AC22,Settings!$B$14:$B$33,0))&amp;"",IFERROR(LOOKUP(2^15,SEARCH(Settings!$F$14:$F$43,AC22)/(Settings!$F$14:$F$43&lt;&gt;""),Settings!$G$14:$G$43),"")))</f>
        <v/>
      </c>
      <c r="CJ22">
        <f>IF(OR($B22="",AD22=""),"",IFERROR(INDEX(Settings!$D$14:$D$33,MATCH(AD22,Settings!$B$14:$B$33,0))&amp;"",IFERROR(LOOKUP(2^15,SEARCH(Settings!$F$14:$F$43,AD22)/(Settings!$F$14:$F$43&lt;&gt;""),Settings!$G$14:$G$43),"")))</f>
        <v/>
      </c>
      <c r="CK22">
        <f>IF(OR($B22="",AE22=""),"",IFERROR(INDEX(Settings!$D$14:$D$33,MATCH(AE22,Settings!$B$14:$B$33,0))&amp;"",IFERROR(LOOKUP(2^15,SEARCH(Settings!$F$14:$F$43,AE22)/(Settings!$F$14:$F$43&lt;&gt;""),Settings!$G$14:$G$43),"")))</f>
        <v/>
      </c>
      <c r="CL22">
        <f>IF(OR($B22="",AF22=""),"",IFERROR(INDEX(Settings!$D$14:$D$33,MATCH(AF22,Settings!$B$14:$B$33,0))&amp;"",IFERROR(LOOKUP(2^15,SEARCH(Settings!$F$14:$F$43,AF22)/(Settings!$F$14:$F$43&lt;&gt;""),Settings!$G$14:$G$43),"")))</f>
        <v/>
      </c>
      <c r="CM22">
        <f>IF(OR($B22="",AG22=""),"",IFERROR(INDEX(Settings!$D$14:$D$33,MATCH(AG22,Settings!$B$14:$B$33,0))&amp;"",IFERROR(LOOKUP(2^15,SEARCH(Settings!$F$14:$F$43,AG22)/(Settings!$F$14:$F$43&lt;&gt;""),Settings!$G$14:$G$43),"")))</f>
        <v/>
      </c>
    </row>
    <row r="23">
      <c r="A23" t="n">
        <v>21</v>
      </c>
      <c r="B23">
        <f>IFERROR(INDEX(Index!$A$2:$A$202,MATCH(A23,Index!$E$2:$E$202,0)),"")</f>
        <v/>
      </c>
      <c r="D23">
        <f>IF($B23="","",IFERROR(MATCH("Travel*",AI23:BJ23,0),""))</f>
        <v/>
      </c>
      <c r="F23">
        <f>IF(OR($B23="",NOT(ISNUMBER(Settings!$C$9))),"",TRIM(SUBSTITUTE(SUBSTITUTE(INDEX('INPUT - Roster'!$S$1:$SV$206,$B23,Settings!$C$9+0)&amp;"",CHAR(10)," "),CHAR(160)," ")))</f>
        <v/>
      </c>
      <c r="G23">
        <f>IF(OR($B23="",NOT(ISNUMBER(Settings!$C$9))),"",TRIM(SUBSTITUTE(SUBSTITUTE(INDEX('INPUT - Roster'!$S$1:$SV$206,$B23,Settings!$C$9+1)&amp;"",CHAR(10)," "),CHAR(160)," ")))</f>
        <v/>
      </c>
      <c r="H23">
        <f>IF(OR($B23="",NOT(ISNUMBER(Settings!$C$9))),"",TRIM(SUBSTITUTE(SUBSTITUTE(INDEX('INPUT - Roster'!$S$1:$SV$206,$B23,Settings!$C$9+2)&amp;"",CHAR(10)," "),CHAR(160)," ")))</f>
        <v/>
      </c>
      <c r="I23">
        <f>IF(OR($B23="",NOT(ISNUMBER(Settings!$C$9))),"",TRIM(SUBSTITUTE(SUBSTITUTE(INDEX('INPUT - Roster'!$S$1:$SV$206,$B23,Settings!$C$9+3)&amp;"",CHAR(10)," "),CHAR(160)," ")))</f>
        <v/>
      </c>
      <c r="J23">
        <f>IF(OR($B23="",NOT(ISNUMBER(Settings!$C$9))),"",TRIM(SUBSTITUTE(SUBSTITUTE(INDEX('INPUT - Roster'!$S$1:$SV$206,$B23,Settings!$C$9+4)&amp;"",CHAR(10)," "),CHAR(160)," ")))</f>
        <v/>
      </c>
      <c r="K23">
        <f>IF(OR($B23="",NOT(ISNUMBER(Settings!$C$9))),"",TRIM(SUBSTITUTE(SUBSTITUTE(INDEX('INPUT - Roster'!$S$1:$SV$206,$B23,Settings!$C$9+5)&amp;"",CHAR(10)," "),CHAR(160)," ")))</f>
        <v/>
      </c>
      <c r="L23">
        <f>IF(OR($B23="",NOT(ISNUMBER(Settings!$C$9))),"",TRIM(SUBSTITUTE(SUBSTITUTE(INDEX('INPUT - Roster'!$S$1:$SV$206,$B23,Settings!$C$9+6)&amp;"",CHAR(10)," "),CHAR(160)," ")))</f>
        <v/>
      </c>
      <c r="M23">
        <f>IF(OR($B23="",NOT(ISNUMBER(Settings!$C$9))),"",TRIM(SUBSTITUTE(SUBSTITUTE(INDEX('INPUT - Roster'!$S$1:$SV$206,$B23,Settings!$C$9+7)&amp;"",CHAR(10)," "),CHAR(160)," ")))</f>
        <v/>
      </c>
      <c r="N23">
        <f>IF(OR($B23="",NOT(ISNUMBER(Settings!$C$9))),"",TRIM(SUBSTITUTE(SUBSTITUTE(INDEX('INPUT - Roster'!$S$1:$SV$206,$B23,Settings!$C$9+8)&amp;"",CHAR(10)," "),CHAR(160)," ")))</f>
        <v/>
      </c>
      <c r="O23">
        <f>IF(OR($B23="",NOT(ISNUMBER(Settings!$C$9))),"",TRIM(SUBSTITUTE(SUBSTITUTE(INDEX('INPUT - Roster'!$S$1:$SV$206,$B23,Settings!$C$9+9)&amp;"",CHAR(10)," "),CHAR(160)," ")))</f>
        <v/>
      </c>
      <c r="P23">
        <f>IF(OR($B23="",NOT(ISNUMBER(Settings!$C$9))),"",TRIM(SUBSTITUTE(SUBSTITUTE(INDEX('INPUT - Roster'!$S$1:$SV$206,$B23,Settings!$C$9+10)&amp;"",CHAR(10)," "),CHAR(160)," ")))</f>
        <v/>
      </c>
      <c r="Q23">
        <f>IF(OR($B23="",NOT(ISNUMBER(Settings!$C$9))),"",TRIM(SUBSTITUTE(SUBSTITUTE(INDEX('INPUT - Roster'!$S$1:$SV$206,$B23,Settings!$C$9+11)&amp;"",CHAR(10)," "),CHAR(160)," ")))</f>
        <v/>
      </c>
      <c r="R23">
        <f>IF(OR($B23="",NOT(ISNUMBER(Settings!$C$9))),"",TRIM(SUBSTITUTE(SUBSTITUTE(INDEX('INPUT - Roster'!$S$1:$SV$206,$B23,Settings!$C$9+12)&amp;"",CHAR(10)," "),CHAR(160)," ")))</f>
        <v/>
      </c>
      <c r="S23">
        <f>IF(OR($B23="",NOT(ISNUMBER(Settings!$C$9))),"",TRIM(SUBSTITUTE(SUBSTITUTE(INDEX('INPUT - Roster'!$S$1:$SV$206,$B23,Settings!$C$9+13)&amp;"",CHAR(10)," "),CHAR(160)," ")))</f>
        <v/>
      </c>
      <c r="T23">
        <f>IF(OR($B23="",NOT(ISNUMBER(Settings!$C$9))),"",TRIM(SUBSTITUTE(SUBSTITUTE(INDEX('INPUT - Roster'!$S$1:$SV$206,$B23,Settings!$C$9+14)&amp;"",CHAR(10)," "),CHAR(160)," ")))</f>
        <v/>
      </c>
      <c r="U23">
        <f>IF(OR($B23="",NOT(ISNUMBER(Settings!$C$9))),"",TRIM(SUBSTITUTE(SUBSTITUTE(INDEX('INPUT - Roster'!$S$1:$SV$206,$B23,Settings!$C$9+15)&amp;"",CHAR(10)," "),CHAR(160)," ")))</f>
        <v/>
      </c>
      <c r="V23">
        <f>IF(OR($B23="",NOT(ISNUMBER(Settings!$C$9))),"",TRIM(SUBSTITUTE(SUBSTITUTE(INDEX('INPUT - Roster'!$S$1:$SV$206,$B23,Settings!$C$9+16)&amp;"",CHAR(10)," "),CHAR(160)," ")))</f>
        <v/>
      </c>
      <c r="W23">
        <f>IF(OR($B23="",NOT(ISNUMBER(Settings!$C$9))),"",TRIM(SUBSTITUTE(SUBSTITUTE(INDEX('INPUT - Roster'!$S$1:$SV$206,$B23,Settings!$C$9+17)&amp;"",CHAR(10)," "),CHAR(160)," ")))</f>
        <v/>
      </c>
      <c r="X23">
        <f>IF(OR($B23="",NOT(ISNUMBER(Settings!$C$9))),"",TRIM(SUBSTITUTE(SUBSTITUTE(INDEX('INPUT - Roster'!$S$1:$SV$206,$B23,Settings!$C$9+18)&amp;"",CHAR(10)," "),CHAR(160)," ")))</f>
        <v/>
      </c>
      <c r="Y23">
        <f>IF(OR($B23="",NOT(ISNUMBER(Settings!$C$9))),"",TRIM(SUBSTITUTE(SUBSTITUTE(INDEX('INPUT - Roster'!$S$1:$SV$206,$B23,Settings!$C$9+19)&amp;"",CHAR(10)," "),CHAR(160)," ")))</f>
        <v/>
      </c>
      <c r="Z23">
        <f>IF(OR($B23="",NOT(ISNUMBER(Settings!$C$9))),"",TRIM(SUBSTITUTE(SUBSTITUTE(INDEX('INPUT - Roster'!$S$1:$SV$206,$B23,Settings!$C$9+20)&amp;"",CHAR(10)," "),CHAR(160)," ")))</f>
        <v/>
      </c>
      <c r="AA23">
        <f>IF(OR($B23="",NOT(ISNUMBER(Settings!$C$9))),"",TRIM(SUBSTITUTE(SUBSTITUTE(INDEX('INPUT - Roster'!$S$1:$SV$206,$B23,Settings!$C$9+21)&amp;"",CHAR(10)," "),CHAR(160)," ")))</f>
        <v/>
      </c>
      <c r="AB23">
        <f>IF(OR($B23="",NOT(ISNUMBER(Settings!$C$9))),"",TRIM(SUBSTITUTE(SUBSTITUTE(INDEX('INPUT - Roster'!$S$1:$SV$206,$B23,Settings!$C$9+22)&amp;"",CHAR(10)," "),CHAR(160)," ")))</f>
        <v/>
      </c>
      <c r="AC23">
        <f>IF(OR($B23="",NOT(ISNUMBER(Settings!$C$9))),"",TRIM(SUBSTITUTE(SUBSTITUTE(INDEX('INPUT - Roster'!$S$1:$SV$206,$B23,Settings!$C$9+23)&amp;"",CHAR(10)," "),CHAR(160)," ")))</f>
        <v/>
      </c>
      <c r="AD23">
        <f>IF(OR($B23="",NOT(ISNUMBER(Settings!$C$9))),"",TRIM(SUBSTITUTE(SUBSTITUTE(INDEX('INPUT - Roster'!$S$1:$SV$206,$B23,Settings!$C$9+24)&amp;"",CHAR(10)," "),CHAR(160)," ")))</f>
        <v/>
      </c>
      <c r="AE23">
        <f>IF(OR($B23="",NOT(ISNUMBER(Settings!$C$9))),"",TRIM(SUBSTITUTE(SUBSTITUTE(INDEX('INPUT - Roster'!$S$1:$SV$206,$B23,Settings!$C$9+25)&amp;"",CHAR(10)," "),CHAR(160)," ")))</f>
        <v/>
      </c>
      <c r="AF23">
        <f>IF(OR($B23="",NOT(ISNUMBER(Settings!$C$9))),"",TRIM(SUBSTITUTE(SUBSTITUTE(INDEX('INPUT - Roster'!$S$1:$SV$206,$B23,Settings!$C$9+26)&amp;"",CHAR(10)," "),CHAR(160)," ")))</f>
        <v/>
      </c>
      <c r="AG23">
        <f>IF(OR($B23="",NOT(ISNUMBER(Settings!$C$9))),"",TRIM(SUBSTITUTE(SUBSTITUTE(INDEX('INPUT - Roster'!$S$1:$SV$206,$B23,Settings!$C$9+27)&amp;"",CHAR(10)," "),CHAR(160)," ")))</f>
        <v/>
      </c>
      <c r="AI23">
        <f>IF($B23="","",IF(F23="","Not rostered",IFERROR(INDEX(Settings!$C$14:$C$33,MATCH(F23,Settings!$B$14:$B$33,0)),IFERROR(LOOKUP(2^15,SEARCH(Settings!$I$14:$I$83,F23)/(Settings!$I$14:$I$83&lt;&gt;""),Settings!$J$14:$J$83),"Other"))))</f>
        <v/>
      </c>
      <c r="AJ23">
        <f>IF($B23="","",IF(G23="","Not rostered",IFERROR(INDEX(Settings!$C$14:$C$33,MATCH(G23,Settings!$B$14:$B$33,0)),IFERROR(LOOKUP(2^15,SEARCH(Settings!$I$14:$I$83,G23)/(Settings!$I$14:$I$83&lt;&gt;""),Settings!$J$14:$J$83),"Other"))))</f>
        <v/>
      </c>
      <c r="AK23">
        <f>IF($B23="","",IF(H23="","Not rostered",IFERROR(INDEX(Settings!$C$14:$C$33,MATCH(H23,Settings!$B$14:$B$33,0)),IFERROR(LOOKUP(2^15,SEARCH(Settings!$I$14:$I$83,H23)/(Settings!$I$14:$I$83&lt;&gt;""),Settings!$J$14:$J$83),"Other"))))</f>
        <v/>
      </c>
      <c r="AL23">
        <f>IF($B23="","",IF(I23="","Not rostered",IFERROR(INDEX(Settings!$C$14:$C$33,MATCH(I23,Settings!$B$14:$B$33,0)),IFERROR(LOOKUP(2^15,SEARCH(Settings!$I$14:$I$83,I23)/(Settings!$I$14:$I$83&lt;&gt;""),Settings!$J$14:$J$83),"Other"))))</f>
        <v/>
      </c>
      <c r="AM23">
        <f>IF($B23="","",IF(J23="","Not rostered",IFERROR(INDEX(Settings!$C$14:$C$33,MATCH(J23,Settings!$B$14:$B$33,0)),IFERROR(LOOKUP(2^15,SEARCH(Settings!$I$14:$I$83,J23)/(Settings!$I$14:$I$83&lt;&gt;""),Settings!$J$14:$J$83),"Other"))))</f>
        <v/>
      </c>
      <c r="AN23">
        <f>IF($B23="","",IF(K23="","Not rostered",IFERROR(INDEX(Settings!$C$14:$C$33,MATCH(K23,Settings!$B$14:$B$33,0)),IFERROR(LOOKUP(2^15,SEARCH(Settings!$I$14:$I$83,K23)/(Settings!$I$14:$I$83&lt;&gt;""),Settings!$J$14:$J$83),"Other"))))</f>
        <v/>
      </c>
      <c r="AO23">
        <f>IF($B23="","",IF(L23="","Not rostered",IFERROR(INDEX(Settings!$C$14:$C$33,MATCH(L23,Settings!$B$14:$B$33,0)),IFERROR(LOOKUP(2^15,SEARCH(Settings!$I$14:$I$83,L23)/(Settings!$I$14:$I$83&lt;&gt;""),Settings!$J$14:$J$83),"Other"))))</f>
        <v/>
      </c>
      <c r="AP23">
        <f>IF($B23="","",IF(M23="","Not rostered",IFERROR(INDEX(Settings!$C$14:$C$33,MATCH(M23,Settings!$B$14:$B$33,0)),IFERROR(LOOKUP(2^15,SEARCH(Settings!$I$14:$I$83,M23)/(Settings!$I$14:$I$83&lt;&gt;""),Settings!$J$14:$J$83),"Other"))))</f>
        <v/>
      </c>
      <c r="AQ23">
        <f>IF($B23="","",IF(N23="","Not rostered",IFERROR(INDEX(Settings!$C$14:$C$33,MATCH(N23,Settings!$B$14:$B$33,0)),IFERROR(LOOKUP(2^15,SEARCH(Settings!$I$14:$I$83,N23)/(Settings!$I$14:$I$83&lt;&gt;""),Settings!$J$14:$J$83),"Other"))))</f>
        <v/>
      </c>
      <c r="AR23">
        <f>IF($B23="","",IF(O23="","Not rostered",IFERROR(INDEX(Settings!$C$14:$C$33,MATCH(O23,Settings!$B$14:$B$33,0)),IFERROR(LOOKUP(2^15,SEARCH(Settings!$I$14:$I$83,O23)/(Settings!$I$14:$I$83&lt;&gt;""),Settings!$J$14:$J$83),"Other"))))</f>
        <v/>
      </c>
      <c r="AS23">
        <f>IF($B23="","",IF(P23="","Not rostered",IFERROR(INDEX(Settings!$C$14:$C$33,MATCH(P23,Settings!$B$14:$B$33,0)),IFERROR(LOOKUP(2^15,SEARCH(Settings!$I$14:$I$83,P23)/(Settings!$I$14:$I$83&lt;&gt;""),Settings!$J$14:$J$83),"Other"))))</f>
        <v/>
      </c>
      <c r="AT23">
        <f>IF($B23="","",IF(Q23="","Not rostered",IFERROR(INDEX(Settings!$C$14:$C$33,MATCH(Q23,Settings!$B$14:$B$33,0)),IFERROR(LOOKUP(2^15,SEARCH(Settings!$I$14:$I$83,Q23)/(Settings!$I$14:$I$83&lt;&gt;""),Settings!$J$14:$J$83),"Other"))))</f>
        <v/>
      </c>
      <c r="AU23">
        <f>IF($B23="","",IF(R23="","Not rostered",IFERROR(INDEX(Settings!$C$14:$C$33,MATCH(R23,Settings!$B$14:$B$33,0)),IFERROR(LOOKUP(2^15,SEARCH(Settings!$I$14:$I$83,R23)/(Settings!$I$14:$I$83&lt;&gt;""),Settings!$J$14:$J$83),"Other"))))</f>
        <v/>
      </c>
      <c r="AV23">
        <f>IF($B23="","",IF(S23="","Not rostered",IFERROR(INDEX(Settings!$C$14:$C$33,MATCH(S23,Settings!$B$14:$B$33,0)),IFERROR(LOOKUP(2^15,SEARCH(Settings!$I$14:$I$83,S23)/(Settings!$I$14:$I$83&lt;&gt;""),Settings!$J$14:$J$83),"Other"))))</f>
        <v/>
      </c>
      <c r="AW23">
        <f>IF($B23="","",IF(T23="","Not rostered",IFERROR(INDEX(Settings!$C$14:$C$33,MATCH(T23,Settings!$B$14:$B$33,0)),IFERROR(LOOKUP(2^15,SEARCH(Settings!$I$14:$I$83,T23)/(Settings!$I$14:$I$83&lt;&gt;""),Settings!$J$14:$J$83),"Other"))))</f>
        <v/>
      </c>
      <c r="AX23">
        <f>IF($B23="","",IF(U23="","Not rostered",IFERROR(INDEX(Settings!$C$14:$C$33,MATCH(U23,Settings!$B$14:$B$33,0)),IFERROR(LOOKUP(2^15,SEARCH(Settings!$I$14:$I$83,U23)/(Settings!$I$14:$I$83&lt;&gt;""),Settings!$J$14:$J$83),"Other"))))</f>
        <v/>
      </c>
      <c r="AY23">
        <f>IF($B23="","",IF(V23="","Not rostered",IFERROR(INDEX(Settings!$C$14:$C$33,MATCH(V23,Settings!$B$14:$B$33,0)),IFERROR(LOOKUP(2^15,SEARCH(Settings!$I$14:$I$83,V23)/(Settings!$I$14:$I$83&lt;&gt;""),Settings!$J$14:$J$83),"Other"))))</f>
        <v/>
      </c>
      <c r="AZ23">
        <f>IF($B23="","",IF(W23="","Not rostered",IFERROR(INDEX(Settings!$C$14:$C$33,MATCH(W23,Settings!$B$14:$B$33,0)),IFERROR(LOOKUP(2^15,SEARCH(Settings!$I$14:$I$83,W23)/(Settings!$I$14:$I$83&lt;&gt;""),Settings!$J$14:$J$83),"Other"))))</f>
        <v/>
      </c>
      <c r="BA23">
        <f>IF($B23="","",IF(X23="","Not rostered",IFERROR(INDEX(Settings!$C$14:$C$33,MATCH(X23,Settings!$B$14:$B$33,0)),IFERROR(LOOKUP(2^15,SEARCH(Settings!$I$14:$I$83,X23)/(Settings!$I$14:$I$83&lt;&gt;""),Settings!$J$14:$J$83),"Other"))))</f>
        <v/>
      </c>
      <c r="BB23">
        <f>IF($B23="","",IF(Y23="","Not rostered",IFERROR(INDEX(Settings!$C$14:$C$33,MATCH(Y23,Settings!$B$14:$B$33,0)),IFERROR(LOOKUP(2^15,SEARCH(Settings!$I$14:$I$83,Y23)/(Settings!$I$14:$I$83&lt;&gt;""),Settings!$J$14:$J$83),"Other"))))</f>
        <v/>
      </c>
      <c r="BC23">
        <f>IF($B23="","",IF(Z23="","Not rostered",IFERROR(INDEX(Settings!$C$14:$C$33,MATCH(Z23,Settings!$B$14:$B$33,0)),IFERROR(LOOKUP(2^15,SEARCH(Settings!$I$14:$I$83,Z23)/(Settings!$I$14:$I$83&lt;&gt;""),Settings!$J$14:$J$83),"Other"))))</f>
        <v/>
      </c>
      <c r="BD23">
        <f>IF($B23="","",IF(AA23="","Not rostered",IFERROR(INDEX(Settings!$C$14:$C$33,MATCH(AA23,Settings!$B$14:$B$33,0)),IFERROR(LOOKUP(2^15,SEARCH(Settings!$I$14:$I$83,AA23)/(Settings!$I$14:$I$83&lt;&gt;""),Settings!$J$14:$J$83),"Other"))))</f>
        <v/>
      </c>
      <c r="BE23">
        <f>IF($B23="","",IF(AB23="","Not rostered",IFERROR(INDEX(Settings!$C$14:$C$33,MATCH(AB23,Settings!$B$14:$B$33,0)),IFERROR(LOOKUP(2^15,SEARCH(Settings!$I$14:$I$83,AB23)/(Settings!$I$14:$I$83&lt;&gt;""),Settings!$J$14:$J$83),"Other"))))</f>
        <v/>
      </c>
      <c r="BF23">
        <f>IF($B23="","",IF(AC23="","Not rostered",IFERROR(INDEX(Settings!$C$14:$C$33,MATCH(AC23,Settings!$B$14:$B$33,0)),IFERROR(LOOKUP(2^15,SEARCH(Settings!$I$14:$I$83,AC23)/(Settings!$I$14:$I$83&lt;&gt;""),Settings!$J$14:$J$83),"Other"))))</f>
        <v/>
      </c>
      <c r="BG23">
        <f>IF($B23="","",IF(AD23="","Not rostered",IFERROR(INDEX(Settings!$C$14:$C$33,MATCH(AD23,Settings!$B$14:$B$33,0)),IFERROR(LOOKUP(2^15,SEARCH(Settings!$I$14:$I$83,AD23)/(Settings!$I$14:$I$83&lt;&gt;""),Settings!$J$14:$J$83),"Other"))))</f>
        <v/>
      </c>
      <c r="BH23">
        <f>IF($B23="","",IF(AE23="","Not rostered",IFERROR(INDEX(Settings!$C$14:$C$33,MATCH(AE23,Settings!$B$14:$B$33,0)),IFERROR(LOOKUP(2^15,SEARCH(Settings!$I$14:$I$83,AE23)/(Settings!$I$14:$I$83&lt;&gt;""),Settings!$J$14:$J$83),"Other"))))</f>
        <v/>
      </c>
      <c r="BI23">
        <f>IF($B23="","",IF(AF23="","Not rostered",IFERROR(INDEX(Settings!$C$14:$C$33,MATCH(AF23,Settings!$B$14:$B$33,0)),IFERROR(LOOKUP(2^15,SEARCH(Settings!$I$14:$I$83,AF23)/(Settings!$I$14:$I$83&lt;&gt;""),Settings!$J$14:$J$83),"Other"))))</f>
        <v/>
      </c>
      <c r="BJ23">
        <f>IF($B23="","",IF(AG23="","Not rostered",IFERROR(INDEX(Settings!$C$14:$C$33,MATCH(AG23,Settings!$B$14:$B$33,0)),IFERROR(LOOKUP(2^15,SEARCH(Settings!$I$14:$I$83,AG23)/(Settings!$I$14:$I$83&lt;&gt;""),Settings!$J$14:$J$83),"Other"))))</f>
        <v/>
      </c>
      <c r="BL23">
        <f>IF(OR($B23="",F23=""),"",IFERROR(INDEX(Settings!$D$14:$D$33,MATCH(F23,Settings!$B$14:$B$33,0))&amp;"",IFERROR(LOOKUP(2^15,SEARCH(Settings!$F$14:$F$43,F23)/(Settings!$F$14:$F$43&lt;&gt;""),Settings!$G$14:$G$43),"")))</f>
        <v/>
      </c>
      <c r="BM23">
        <f>IF(OR($B23="",G23=""),"",IFERROR(INDEX(Settings!$D$14:$D$33,MATCH(G23,Settings!$B$14:$B$33,0))&amp;"",IFERROR(LOOKUP(2^15,SEARCH(Settings!$F$14:$F$43,G23)/(Settings!$F$14:$F$43&lt;&gt;""),Settings!$G$14:$G$43),"")))</f>
        <v/>
      </c>
      <c r="BN23">
        <f>IF(OR($B23="",H23=""),"",IFERROR(INDEX(Settings!$D$14:$D$33,MATCH(H23,Settings!$B$14:$B$33,0))&amp;"",IFERROR(LOOKUP(2^15,SEARCH(Settings!$F$14:$F$43,H23)/(Settings!$F$14:$F$43&lt;&gt;""),Settings!$G$14:$G$43),"")))</f>
        <v/>
      </c>
      <c r="BO23">
        <f>IF(OR($B23="",I23=""),"",IFERROR(INDEX(Settings!$D$14:$D$33,MATCH(I23,Settings!$B$14:$B$33,0))&amp;"",IFERROR(LOOKUP(2^15,SEARCH(Settings!$F$14:$F$43,I23)/(Settings!$F$14:$F$43&lt;&gt;""),Settings!$G$14:$G$43),"")))</f>
        <v/>
      </c>
      <c r="BP23">
        <f>IF(OR($B23="",J23=""),"",IFERROR(INDEX(Settings!$D$14:$D$33,MATCH(J23,Settings!$B$14:$B$33,0))&amp;"",IFERROR(LOOKUP(2^15,SEARCH(Settings!$F$14:$F$43,J23)/(Settings!$F$14:$F$43&lt;&gt;""),Settings!$G$14:$G$43),"")))</f>
        <v/>
      </c>
      <c r="BQ23">
        <f>IF(OR($B23="",K23=""),"",IFERROR(INDEX(Settings!$D$14:$D$33,MATCH(K23,Settings!$B$14:$B$33,0))&amp;"",IFERROR(LOOKUP(2^15,SEARCH(Settings!$F$14:$F$43,K23)/(Settings!$F$14:$F$43&lt;&gt;""),Settings!$G$14:$G$43),"")))</f>
        <v/>
      </c>
      <c r="BR23">
        <f>IF(OR($B23="",L23=""),"",IFERROR(INDEX(Settings!$D$14:$D$33,MATCH(L23,Settings!$B$14:$B$33,0))&amp;"",IFERROR(LOOKUP(2^15,SEARCH(Settings!$F$14:$F$43,L23)/(Settings!$F$14:$F$43&lt;&gt;""),Settings!$G$14:$G$43),"")))</f>
        <v/>
      </c>
      <c r="BS23">
        <f>IF(OR($B23="",M23=""),"",IFERROR(INDEX(Settings!$D$14:$D$33,MATCH(M23,Settings!$B$14:$B$33,0))&amp;"",IFERROR(LOOKUP(2^15,SEARCH(Settings!$F$14:$F$43,M23)/(Settings!$F$14:$F$43&lt;&gt;""),Settings!$G$14:$G$43),"")))</f>
        <v/>
      </c>
      <c r="BT23">
        <f>IF(OR($B23="",N23=""),"",IFERROR(INDEX(Settings!$D$14:$D$33,MATCH(N23,Settings!$B$14:$B$33,0))&amp;"",IFERROR(LOOKUP(2^15,SEARCH(Settings!$F$14:$F$43,N23)/(Settings!$F$14:$F$43&lt;&gt;""),Settings!$G$14:$G$43),"")))</f>
        <v/>
      </c>
      <c r="BU23">
        <f>IF(OR($B23="",O23=""),"",IFERROR(INDEX(Settings!$D$14:$D$33,MATCH(O23,Settings!$B$14:$B$33,0))&amp;"",IFERROR(LOOKUP(2^15,SEARCH(Settings!$F$14:$F$43,O23)/(Settings!$F$14:$F$43&lt;&gt;""),Settings!$G$14:$G$43),"")))</f>
        <v/>
      </c>
      <c r="BV23">
        <f>IF(OR($B23="",P23=""),"",IFERROR(INDEX(Settings!$D$14:$D$33,MATCH(P23,Settings!$B$14:$B$33,0))&amp;"",IFERROR(LOOKUP(2^15,SEARCH(Settings!$F$14:$F$43,P23)/(Settings!$F$14:$F$43&lt;&gt;""),Settings!$G$14:$G$43),"")))</f>
        <v/>
      </c>
      <c r="BW23">
        <f>IF(OR($B23="",Q23=""),"",IFERROR(INDEX(Settings!$D$14:$D$33,MATCH(Q23,Settings!$B$14:$B$33,0))&amp;"",IFERROR(LOOKUP(2^15,SEARCH(Settings!$F$14:$F$43,Q23)/(Settings!$F$14:$F$43&lt;&gt;""),Settings!$G$14:$G$43),"")))</f>
        <v/>
      </c>
      <c r="BX23">
        <f>IF(OR($B23="",R23=""),"",IFERROR(INDEX(Settings!$D$14:$D$33,MATCH(R23,Settings!$B$14:$B$33,0))&amp;"",IFERROR(LOOKUP(2^15,SEARCH(Settings!$F$14:$F$43,R23)/(Settings!$F$14:$F$43&lt;&gt;""),Settings!$G$14:$G$43),"")))</f>
        <v/>
      </c>
      <c r="BY23">
        <f>IF(OR($B23="",S23=""),"",IFERROR(INDEX(Settings!$D$14:$D$33,MATCH(S23,Settings!$B$14:$B$33,0))&amp;"",IFERROR(LOOKUP(2^15,SEARCH(Settings!$F$14:$F$43,S23)/(Settings!$F$14:$F$43&lt;&gt;""),Settings!$G$14:$G$43),"")))</f>
        <v/>
      </c>
      <c r="BZ23">
        <f>IF(OR($B23="",T23=""),"",IFERROR(INDEX(Settings!$D$14:$D$33,MATCH(T23,Settings!$B$14:$B$33,0))&amp;"",IFERROR(LOOKUP(2^15,SEARCH(Settings!$F$14:$F$43,T23)/(Settings!$F$14:$F$43&lt;&gt;""),Settings!$G$14:$G$43),"")))</f>
        <v/>
      </c>
      <c r="CA23">
        <f>IF(OR($B23="",U23=""),"",IFERROR(INDEX(Settings!$D$14:$D$33,MATCH(U23,Settings!$B$14:$B$33,0))&amp;"",IFERROR(LOOKUP(2^15,SEARCH(Settings!$F$14:$F$43,U23)/(Settings!$F$14:$F$43&lt;&gt;""),Settings!$G$14:$G$43),"")))</f>
        <v/>
      </c>
      <c r="CB23">
        <f>IF(OR($B23="",V23=""),"",IFERROR(INDEX(Settings!$D$14:$D$33,MATCH(V23,Settings!$B$14:$B$33,0))&amp;"",IFERROR(LOOKUP(2^15,SEARCH(Settings!$F$14:$F$43,V23)/(Settings!$F$14:$F$43&lt;&gt;""),Settings!$G$14:$G$43),"")))</f>
        <v/>
      </c>
      <c r="CC23">
        <f>IF(OR($B23="",W23=""),"",IFERROR(INDEX(Settings!$D$14:$D$33,MATCH(W23,Settings!$B$14:$B$33,0))&amp;"",IFERROR(LOOKUP(2^15,SEARCH(Settings!$F$14:$F$43,W23)/(Settings!$F$14:$F$43&lt;&gt;""),Settings!$G$14:$G$43),"")))</f>
        <v/>
      </c>
      <c r="CD23">
        <f>IF(OR($B23="",X23=""),"",IFERROR(INDEX(Settings!$D$14:$D$33,MATCH(X23,Settings!$B$14:$B$33,0))&amp;"",IFERROR(LOOKUP(2^15,SEARCH(Settings!$F$14:$F$43,X23)/(Settings!$F$14:$F$43&lt;&gt;""),Settings!$G$14:$G$43),"")))</f>
        <v/>
      </c>
      <c r="CE23">
        <f>IF(OR($B23="",Y23=""),"",IFERROR(INDEX(Settings!$D$14:$D$33,MATCH(Y23,Settings!$B$14:$B$33,0))&amp;"",IFERROR(LOOKUP(2^15,SEARCH(Settings!$F$14:$F$43,Y23)/(Settings!$F$14:$F$43&lt;&gt;""),Settings!$G$14:$G$43),"")))</f>
        <v/>
      </c>
      <c r="CF23">
        <f>IF(OR($B23="",Z23=""),"",IFERROR(INDEX(Settings!$D$14:$D$33,MATCH(Z23,Settings!$B$14:$B$33,0))&amp;"",IFERROR(LOOKUP(2^15,SEARCH(Settings!$F$14:$F$43,Z23)/(Settings!$F$14:$F$43&lt;&gt;""),Settings!$G$14:$G$43),"")))</f>
        <v/>
      </c>
      <c r="CG23">
        <f>IF(OR($B23="",AA23=""),"",IFERROR(INDEX(Settings!$D$14:$D$33,MATCH(AA23,Settings!$B$14:$B$33,0))&amp;"",IFERROR(LOOKUP(2^15,SEARCH(Settings!$F$14:$F$43,AA23)/(Settings!$F$14:$F$43&lt;&gt;""),Settings!$G$14:$G$43),"")))</f>
        <v/>
      </c>
      <c r="CH23">
        <f>IF(OR($B23="",AB23=""),"",IFERROR(INDEX(Settings!$D$14:$D$33,MATCH(AB23,Settings!$B$14:$B$33,0))&amp;"",IFERROR(LOOKUP(2^15,SEARCH(Settings!$F$14:$F$43,AB23)/(Settings!$F$14:$F$43&lt;&gt;""),Settings!$G$14:$G$43),"")))</f>
        <v/>
      </c>
      <c r="CI23">
        <f>IF(OR($B23="",AC23=""),"",IFERROR(INDEX(Settings!$D$14:$D$33,MATCH(AC23,Settings!$B$14:$B$33,0))&amp;"",IFERROR(LOOKUP(2^15,SEARCH(Settings!$F$14:$F$43,AC23)/(Settings!$F$14:$F$43&lt;&gt;""),Settings!$G$14:$G$43),"")))</f>
        <v/>
      </c>
      <c r="CJ23">
        <f>IF(OR($B23="",AD23=""),"",IFERROR(INDEX(Settings!$D$14:$D$33,MATCH(AD23,Settings!$B$14:$B$33,0))&amp;"",IFERROR(LOOKUP(2^15,SEARCH(Settings!$F$14:$F$43,AD23)/(Settings!$F$14:$F$43&lt;&gt;""),Settings!$G$14:$G$43),"")))</f>
        <v/>
      </c>
      <c r="CK23">
        <f>IF(OR($B23="",AE23=""),"",IFERROR(INDEX(Settings!$D$14:$D$33,MATCH(AE23,Settings!$B$14:$B$33,0))&amp;"",IFERROR(LOOKUP(2^15,SEARCH(Settings!$F$14:$F$43,AE23)/(Settings!$F$14:$F$43&lt;&gt;""),Settings!$G$14:$G$43),"")))</f>
        <v/>
      </c>
      <c r="CL23">
        <f>IF(OR($B23="",AF23=""),"",IFERROR(INDEX(Settings!$D$14:$D$33,MATCH(AF23,Settings!$B$14:$B$33,0))&amp;"",IFERROR(LOOKUP(2^15,SEARCH(Settings!$F$14:$F$43,AF23)/(Settings!$F$14:$F$43&lt;&gt;""),Settings!$G$14:$G$43),"")))</f>
        <v/>
      </c>
      <c r="CM23">
        <f>IF(OR($B23="",AG23=""),"",IFERROR(INDEX(Settings!$D$14:$D$33,MATCH(AG23,Settings!$B$14:$B$33,0))&amp;"",IFERROR(LOOKUP(2^15,SEARCH(Settings!$F$14:$F$43,AG23)/(Settings!$F$14:$F$43&lt;&gt;""),Settings!$G$14:$G$43),"")))</f>
        <v/>
      </c>
    </row>
    <row r="24">
      <c r="A24" t="n">
        <v>22</v>
      </c>
      <c r="B24">
        <f>IFERROR(INDEX(Index!$A$2:$A$202,MATCH(A24,Index!$E$2:$E$202,0)),"")</f>
        <v/>
      </c>
      <c r="D24">
        <f>IF($B24="","",IFERROR(MATCH("Travel*",AI24:BJ24,0),""))</f>
        <v/>
      </c>
      <c r="F24">
        <f>IF(OR($B24="",NOT(ISNUMBER(Settings!$C$9))),"",TRIM(SUBSTITUTE(SUBSTITUTE(INDEX('INPUT - Roster'!$S$1:$SV$206,$B24,Settings!$C$9+0)&amp;"",CHAR(10)," "),CHAR(160)," ")))</f>
        <v/>
      </c>
      <c r="G24">
        <f>IF(OR($B24="",NOT(ISNUMBER(Settings!$C$9))),"",TRIM(SUBSTITUTE(SUBSTITUTE(INDEX('INPUT - Roster'!$S$1:$SV$206,$B24,Settings!$C$9+1)&amp;"",CHAR(10)," "),CHAR(160)," ")))</f>
        <v/>
      </c>
      <c r="H24">
        <f>IF(OR($B24="",NOT(ISNUMBER(Settings!$C$9))),"",TRIM(SUBSTITUTE(SUBSTITUTE(INDEX('INPUT - Roster'!$S$1:$SV$206,$B24,Settings!$C$9+2)&amp;"",CHAR(10)," "),CHAR(160)," ")))</f>
        <v/>
      </c>
      <c r="I24">
        <f>IF(OR($B24="",NOT(ISNUMBER(Settings!$C$9))),"",TRIM(SUBSTITUTE(SUBSTITUTE(INDEX('INPUT - Roster'!$S$1:$SV$206,$B24,Settings!$C$9+3)&amp;"",CHAR(10)," "),CHAR(160)," ")))</f>
        <v/>
      </c>
      <c r="J24">
        <f>IF(OR($B24="",NOT(ISNUMBER(Settings!$C$9))),"",TRIM(SUBSTITUTE(SUBSTITUTE(INDEX('INPUT - Roster'!$S$1:$SV$206,$B24,Settings!$C$9+4)&amp;"",CHAR(10)," "),CHAR(160)," ")))</f>
        <v/>
      </c>
      <c r="K24">
        <f>IF(OR($B24="",NOT(ISNUMBER(Settings!$C$9))),"",TRIM(SUBSTITUTE(SUBSTITUTE(INDEX('INPUT - Roster'!$S$1:$SV$206,$B24,Settings!$C$9+5)&amp;"",CHAR(10)," "),CHAR(160)," ")))</f>
        <v/>
      </c>
      <c r="L24">
        <f>IF(OR($B24="",NOT(ISNUMBER(Settings!$C$9))),"",TRIM(SUBSTITUTE(SUBSTITUTE(INDEX('INPUT - Roster'!$S$1:$SV$206,$B24,Settings!$C$9+6)&amp;"",CHAR(10)," "),CHAR(160)," ")))</f>
        <v/>
      </c>
      <c r="M24">
        <f>IF(OR($B24="",NOT(ISNUMBER(Settings!$C$9))),"",TRIM(SUBSTITUTE(SUBSTITUTE(INDEX('INPUT - Roster'!$S$1:$SV$206,$B24,Settings!$C$9+7)&amp;"",CHAR(10)," "),CHAR(160)," ")))</f>
        <v/>
      </c>
      <c r="N24">
        <f>IF(OR($B24="",NOT(ISNUMBER(Settings!$C$9))),"",TRIM(SUBSTITUTE(SUBSTITUTE(INDEX('INPUT - Roster'!$S$1:$SV$206,$B24,Settings!$C$9+8)&amp;"",CHAR(10)," "),CHAR(160)," ")))</f>
        <v/>
      </c>
      <c r="O24">
        <f>IF(OR($B24="",NOT(ISNUMBER(Settings!$C$9))),"",TRIM(SUBSTITUTE(SUBSTITUTE(INDEX('INPUT - Roster'!$S$1:$SV$206,$B24,Settings!$C$9+9)&amp;"",CHAR(10)," "),CHAR(160)," ")))</f>
        <v/>
      </c>
      <c r="P24">
        <f>IF(OR($B24="",NOT(ISNUMBER(Settings!$C$9))),"",TRIM(SUBSTITUTE(SUBSTITUTE(INDEX('INPUT - Roster'!$S$1:$SV$206,$B24,Settings!$C$9+10)&amp;"",CHAR(10)," "),CHAR(160)," ")))</f>
        <v/>
      </c>
      <c r="Q24">
        <f>IF(OR($B24="",NOT(ISNUMBER(Settings!$C$9))),"",TRIM(SUBSTITUTE(SUBSTITUTE(INDEX('INPUT - Roster'!$S$1:$SV$206,$B24,Settings!$C$9+11)&amp;"",CHAR(10)," "),CHAR(160)," ")))</f>
        <v/>
      </c>
      <c r="R24">
        <f>IF(OR($B24="",NOT(ISNUMBER(Settings!$C$9))),"",TRIM(SUBSTITUTE(SUBSTITUTE(INDEX('INPUT - Roster'!$S$1:$SV$206,$B24,Settings!$C$9+12)&amp;"",CHAR(10)," "),CHAR(160)," ")))</f>
        <v/>
      </c>
      <c r="S24">
        <f>IF(OR($B24="",NOT(ISNUMBER(Settings!$C$9))),"",TRIM(SUBSTITUTE(SUBSTITUTE(INDEX('INPUT - Roster'!$S$1:$SV$206,$B24,Settings!$C$9+13)&amp;"",CHAR(10)," "),CHAR(160)," ")))</f>
        <v/>
      </c>
      <c r="T24">
        <f>IF(OR($B24="",NOT(ISNUMBER(Settings!$C$9))),"",TRIM(SUBSTITUTE(SUBSTITUTE(INDEX('INPUT - Roster'!$S$1:$SV$206,$B24,Settings!$C$9+14)&amp;"",CHAR(10)," "),CHAR(160)," ")))</f>
        <v/>
      </c>
      <c r="U24">
        <f>IF(OR($B24="",NOT(ISNUMBER(Settings!$C$9))),"",TRIM(SUBSTITUTE(SUBSTITUTE(INDEX('INPUT - Roster'!$S$1:$SV$206,$B24,Settings!$C$9+15)&amp;"",CHAR(10)," "),CHAR(160)," ")))</f>
        <v/>
      </c>
      <c r="V24">
        <f>IF(OR($B24="",NOT(ISNUMBER(Settings!$C$9))),"",TRIM(SUBSTITUTE(SUBSTITUTE(INDEX('INPUT - Roster'!$S$1:$SV$206,$B24,Settings!$C$9+16)&amp;"",CHAR(10)," "),CHAR(160)," ")))</f>
        <v/>
      </c>
      <c r="W24">
        <f>IF(OR($B24="",NOT(ISNUMBER(Settings!$C$9))),"",TRIM(SUBSTITUTE(SUBSTITUTE(INDEX('INPUT - Roster'!$S$1:$SV$206,$B24,Settings!$C$9+17)&amp;"",CHAR(10)," "),CHAR(160)," ")))</f>
        <v/>
      </c>
      <c r="X24">
        <f>IF(OR($B24="",NOT(ISNUMBER(Settings!$C$9))),"",TRIM(SUBSTITUTE(SUBSTITUTE(INDEX('INPUT - Roster'!$S$1:$SV$206,$B24,Settings!$C$9+18)&amp;"",CHAR(10)," "),CHAR(160)," ")))</f>
        <v/>
      </c>
      <c r="Y24">
        <f>IF(OR($B24="",NOT(ISNUMBER(Settings!$C$9))),"",TRIM(SUBSTITUTE(SUBSTITUTE(INDEX('INPUT - Roster'!$S$1:$SV$206,$B24,Settings!$C$9+19)&amp;"",CHAR(10)," "),CHAR(160)," ")))</f>
        <v/>
      </c>
      <c r="Z24">
        <f>IF(OR($B24="",NOT(ISNUMBER(Settings!$C$9))),"",TRIM(SUBSTITUTE(SUBSTITUTE(INDEX('INPUT - Roster'!$S$1:$SV$206,$B24,Settings!$C$9+20)&amp;"",CHAR(10)," "),CHAR(160)," ")))</f>
        <v/>
      </c>
      <c r="AA24">
        <f>IF(OR($B24="",NOT(ISNUMBER(Settings!$C$9))),"",TRIM(SUBSTITUTE(SUBSTITUTE(INDEX('INPUT - Roster'!$S$1:$SV$206,$B24,Settings!$C$9+21)&amp;"",CHAR(10)," "),CHAR(160)," ")))</f>
        <v/>
      </c>
      <c r="AB24">
        <f>IF(OR($B24="",NOT(ISNUMBER(Settings!$C$9))),"",TRIM(SUBSTITUTE(SUBSTITUTE(INDEX('INPUT - Roster'!$S$1:$SV$206,$B24,Settings!$C$9+22)&amp;"",CHAR(10)," "),CHAR(160)," ")))</f>
        <v/>
      </c>
      <c r="AC24">
        <f>IF(OR($B24="",NOT(ISNUMBER(Settings!$C$9))),"",TRIM(SUBSTITUTE(SUBSTITUTE(INDEX('INPUT - Roster'!$S$1:$SV$206,$B24,Settings!$C$9+23)&amp;"",CHAR(10)," "),CHAR(160)," ")))</f>
        <v/>
      </c>
      <c r="AD24">
        <f>IF(OR($B24="",NOT(ISNUMBER(Settings!$C$9))),"",TRIM(SUBSTITUTE(SUBSTITUTE(INDEX('INPUT - Roster'!$S$1:$SV$206,$B24,Settings!$C$9+24)&amp;"",CHAR(10)," "),CHAR(160)," ")))</f>
        <v/>
      </c>
      <c r="AE24">
        <f>IF(OR($B24="",NOT(ISNUMBER(Settings!$C$9))),"",TRIM(SUBSTITUTE(SUBSTITUTE(INDEX('INPUT - Roster'!$S$1:$SV$206,$B24,Settings!$C$9+25)&amp;"",CHAR(10)," "),CHAR(160)," ")))</f>
        <v/>
      </c>
      <c r="AF24">
        <f>IF(OR($B24="",NOT(ISNUMBER(Settings!$C$9))),"",TRIM(SUBSTITUTE(SUBSTITUTE(INDEX('INPUT - Roster'!$S$1:$SV$206,$B24,Settings!$C$9+26)&amp;"",CHAR(10)," "),CHAR(160)," ")))</f>
        <v/>
      </c>
      <c r="AG24">
        <f>IF(OR($B24="",NOT(ISNUMBER(Settings!$C$9))),"",TRIM(SUBSTITUTE(SUBSTITUTE(INDEX('INPUT - Roster'!$S$1:$SV$206,$B24,Settings!$C$9+27)&amp;"",CHAR(10)," "),CHAR(160)," ")))</f>
        <v/>
      </c>
      <c r="AI24">
        <f>IF($B24="","",IF(F24="","Not rostered",IFERROR(INDEX(Settings!$C$14:$C$33,MATCH(F24,Settings!$B$14:$B$33,0)),IFERROR(LOOKUP(2^15,SEARCH(Settings!$I$14:$I$83,F24)/(Settings!$I$14:$I$83&lt;&gt;""),Settings!$J$14:$J$83),"Other"))))</f>
        <v/>
      </c>
      <c r="AJ24">
        <f>IF($B24="","",IF(G24="","Not rostered",IFERROR(INDEX(Settings!$C$14:$C$33,MATCH(G24,Settings!$B$14:$B$33,0)),IFERROR(LOOKUP(2^15,SEARCH(Settings!$I$14:$I$83,G24)/(Settings!$I$14:$I$83&lt;&gt;""),Settings!$J$14:$J$83),"Other"))))</f>
        <v/>
      </c>
      <c r="AK24">
        <f>IF($B24="","",IF(H24="","Not rostered",IFERROR(INDEX(Settings!$C$14:$C$33,MATCH(H24,Settings!$B$14:$B$33,0)),IFERROR(LOOKUP(2^15,SEARCH(Settings!$I$14:$I$83,H24)/(Settings!$I$14:$I$83&lt;&gt;""),Settings!$J$14:$J$83),"Other"))))</f>
        <v/>
      </c>
      <c r="AL24">
        <f>IF($B24="","",IF(I24="","Not rostered",IFERROR(INDEX(Settings!$C$14:$C$33,MATCH(I24,Settings!$B$14:$B$33,0)),IFERROR(LOOKUP(2^15,SEARCH(Settings!$I$14:$I$83,I24)/(Settings!$I$14:$I$83&lt;&gt;""),Settings!$J$14:$J$83),"Other"))))</f>
        <v/>
      </c>
      <c r="AM24">
        <f>IF($B24="","",IF(J24="","Not rostered",IFERROR(INDEX(Settings!$C$14:$C$33,MATCH(J24,Settings!$B$14:$B$33,0)),IFERROR(LOOKUP(2^15,SEARCH(Settings!$I$14:$I$83,J24)/(Settings!$I$14:$I$83&lt;&gt;""),Settings!$J$14:$J$83),"Other"))))</f>
        <v/>
      </c>
      <c r="AN24">
        <f>IF($B24="","",IF(K24="","Not rostered",IFERROR(INDEX(Settings!$C$14:$C$33,MATCH(K24,Settings!$B$14:$B$33,0)),IFERROR(LOOKUP(2^15,SEARCH(Settings!$I$14:$I$83,K24)/(Settings!$I$14:$I$83&lt;&gt;""),Settings!$J$14:$J$83),"Other"))))</f>
        <v/>
      </c>
      <c r="AO24">
        <f>IF($B24="","",IF(L24="","Not rostered",IFERROR(INDEX(Settings!$C$14:$C$33,MATCH(L24,Settings!$B$14:$B$33,0)),IFERROR(LOOKUP(2^15,SEARCH(Settings!$I$14:$I$83,L24)/(Settings!$I$14:$I$83&lt;&gt;""),Settings!$J$14:$J$83),"Other"))))</f>
        <v/>
      </c>
      <c r="AP24">
        <f>IF($B24="","",IF(M24="","Not rostered",IFERROR(INDEX(Settings!$C$14:$C$33,MATCH(M24,Settings!$B$14:$B$33,0)),IFERROR(LOOKUP(2^15,SEARCH(Settings!$I$14:$I$83,M24)/(Settings!$I$14:$I$83&lt;&gt;""),Settings!$J$14:$J$83),"Other"))))</f>
        <v/>
      </c>
      <c r="AQ24">
        <f>IF($B24="","",IF(N24="","Not rostered",IFERROR(INDEX(Settings!$C$14:$C$33,MATCH(N24,Settings!$B$14:$B$33,0)),IFERROR(LOOKUP(2^15,SEARCH(Settings!$I$14:$I$83,N24)/(Settings!$I$14:$I$83&lt;&gt;""),Settings!$J$14:$J$83),"Other"))))</f>
        <v/>
      </c>
      <c r="AR24">
        <f>IF($B24="","",IF(O24="","Not rostered",IFERROR(INDEX(Settings!$C$14:$C$33,MATCH(O24,Settings!$B$14:$B$33,0)),IFERROR(LOOKUP(2^15,SEARCH(Settings!$I$14:$I$83,O24)/(Settings!$I$14:$I$83&lt;&gt;""),Settings!$J$14:$J$83),"Other"))))</f>
        <v/>
      </c>
      <c r="AS24">
        <f>IF($B24="","",IF(P24="","Not rostered",IFERROR(INDEX(Settings!$C$14:$C$33,MATCH(P24,Settings!$B$14:$B$33,0)),IFERROR(LOOKUP(2^15,SEARCH(Settings!$I$14:$I$83,P24)/(Settings!$I$14:$I$83&lt;&gt;""),Settings!$J$14:$J$83),"Other"))))</f>
        <v/>
      </c>
      <c r="AT24">
        <f>IF($B24="","",IF(Q24="","Not rostered",IFERROR(INDEX(Settings!$C$14:$C$33,MATCH(Q24,Settings!$B$14:$B$33,0)),IFERROR(LOOKUP(2^15,SEARCH(Settings!$I$14:$I$83,Q24)/(Settings!$I$14:$I$83&lt;&gt;""),Settings!$J$14:$J$83),"Other"))))</f>
        <v/>
      </c>
      <c r="AU24">
        <f>IF($B24="","",IF(R24="","Not rostered",IFERROR(INDEX(Settings!$C$14:$C$33,MATCH(R24,Settings!$B$14:$B$33,0)),IFERROR(LOOKUP(2^15,SEARCH(Settings!$I$14:$I$83,R24)/(Settings!$I$14:$I$83&lt;&gt;""),Settings!$J$14:$J$83),"Other"))))</f>
        <v/>
      </c>
      <c r="AV24">
        <f>IF($B24="","",IF(S24="","Not rostered",IFERROR(INDEX(Settings!$C$14:$C$33,MATCH(S24,Settings!$B$14:$B$33,0)),IFERROR(LOOKUP(2^15,SEARCH(Settings!$I$14:$I$83,S24)/(Settings!$I$14:$I$83&lt;&gt;""),Settings!$J$14:$J$83),"Other"))))</f>
        <v/>
      </c>
      <c r="AW24">
        <f>IF($B24="","",IF(T24="","Not rostered",IFERROR(INDEX(Settings!$C$14:$C$33,MATCH(T24,Settings!$B$14:$B$33,0)),IFERROR(LOOKUP(2^15,SEARCH(Settings!$I$14:$I$83,T24)/(Settings!$I$14:$I$83&lt;&gt;""),Settings!$J$14:$J$83),"Other"))))</f>
        <v/>
      </c>
      <c r="AX24">
        <f>IF($B24="","",IF(U24="","Not rostered",IFERROR(INDEX(Settings!$C$14:$C$33,MATCH(U24,Settings!$B$14:$B$33,0)),IFERROR(LOOKUP(2^15,SEARCH(Settings!$I$14:$I$83,U24)/(Settings!$I$14:$I$83&lt;&gt;""),Settings!$J$14:$J$83),"Other"))))</f>
        <v/>
      </c>
      <c r="AY24">
        <f>IF($B24="","",IF(V24="","Not rostered",IFERROR(INDEX(Settings!$C$14:$C$33,MATCH(V24,Settings!$B$14:$B$33,0)),IFERROR(LOOKUP(2^15,SEARCH(Settings!$I$14:$I$83,V24)/(Settings!$I$14:$I$83&lt;&gt;""),Settings!$J$14:$J$83),"Other"))))</f>
        <v/>
      </c>
      <c r="AZ24">
        <f>IF($B24="","",IF(W24="","Not rostered",IFERROR(INDEX(Settings!$C$14:$C$33,MATCH(W24,Settings!$B$14:$B$33,0)),IFERROR(LOOKUP(2^15,SEARCH(Settings!$I$14:$I$83,W24)/(Settings!$I$14:$I$83&lt;&gt;""),Settings!$J$14:$J$83),"Other"))))</f>
        <v/>
      </c>
      <c r="BA24">
        <f>IF($B24="","",IF(X24="","Not rostered",IFERROR(INDEX(Settings!$C$14:$C$33,MATCH(X24,Settings!$B$14:$B$33,0)),IFERROR(LOOKUP(2^15,SEARCH(Settings!$I$14:$I$83,X24)/(Settings!$I$14:$I$83&lt;&gt;""),Settings!$J$14:$J$83),"Other"))))</f>
        <v/>
      </c>
      <c r="BB24">
        <f>IF($B24="","",IF(Y24="","Not rostered",IFERROR(INDEX(Settings!$C$14:$C$33,MATCH(Y24,Settings!$B$14:$B$33,0)),IFERROR(LOOKUP(2^15,SEARCH(Settings!$I$14:$I$83,Y24)/(Settings!$I$14:$I$83&lt;&gt;""),Settings!$J$14:$J$83),"Other"))))</f>
        <v/>
      </c>
      <c r="BC24">
        <f>IF($B24="","",IF(Z24="","Not rostered",IFERROR(INDEX(Settings!$C$14:$C$33,MATCH(Z24,Settings!$B$14:$B$33,0)),IFERROR(LOOKUP(2^15,SEARCH(Settings!$I$14:$I$83,Z24)/(Settings!$I$14:$I$83&lt;&gt;""),Settings!$J$14:$J$83),"Other"))))</f>
        <v/>
      </c>
      <c r="BD24">
        <f>IF($B24="","",IF(AA24="","Not rostered",IFERROR(INDEX(Settings!$C$14:$C$33,MATCH(AA24,Settings!$B$14:$B$33,0)),IFERROR(LOOKUP(2^15,SEARCH(Settings!$I$14:$I$83,AA24)/(Settings!$I$14:$I$83&lt;&gt;""),Settings!$J$14:$J$83),"Other"))))</f>
        <v/>
      </c>
      <c r="BE24">
        <f>IF($B24="","",IF(AB24="","Not rostered",IFERROR(INDEX(Settings!$C$14:$C$33,MATCH(AB24,Settings!$B$14:$B$33,0)),IFERROR(LOOKUP(2^15,SEARCH(Settings!$I$14:$I$83,AB24)/(Settings!$I$14:$I$83&lt;&gt;""),Settings!$J$14:$J$83),"Other"))))</f>
        <v/>
      </c>
      <c r="BF24">
        <f>IF($B24="","",IF(AC24="","Not rostered",IFERROR(INDEX(Settings!$C$14:$C$33,MATCH(AC24,Settings!$B$14:$B$33,0)),IFERROR(LOOKUP(2^15,SEARCH(Settings!$I$14:$I$83,AC24)/(Settings!$I$14:$I$83&lt;&gt;""),Settings!$J$14:$J$83),"Other"))))</f>
        <v/>
      </c>
      <c r="BG24">
        <f>IF($B24="","",IF(AD24="","Not rostered",IFERROR(INDEX(Settings!$C$14:$C$33,MATCH(AD24,Settings!$B$14:$B$33,0)),IFERROR(LOOKUP(2^15,SEARCH(Settings!$I$14:$I$83,AD24)/(Settings!$I$14:$I$83&lt;&gt;""),Settings!$J$14:$J$83),"Other"))))</f>
        <v/>
      </c>
      <c r="BH24">
        <f>IF($B24="","",IF(AE24="","Not rostered",IFERROR(INDEX(Settings!$C$14:$C$33,MATCH(AE24,Settings!$B$14:$B$33,0)),IFERROR(LOOKUP(2^15,SEARCH(Settings!$I$14:$I$83,AE24)/(Settings!$I$14:$I$83&lt;&gt;""),Settings!$J$14:$J$83),"Other"))))</f>
        <v/>
      </c>
      <c r="BI24">
        <f>IF($B24="","",IF(AF24="","Not rostered",IFERROR(INDEX(Settings!$C$14:$C$33,MATCH(AF24,Settings!$B$14:$B$33,0)),IFERROR(LOOKUP(2^15,SEARCH(Settings!$I$14:$I$83,AF24)/(Settings!$I$14:$I$83&lt;&gt;""),Settings!$J$14:$J$83),"Other"))))</f>
        <v/>
      </c>
      <c r="BJ24">
        <f>IF($B24="","",IF(AG24="","Not rostered",IFERROR(INDEX(Settings!$C$14:$C$33,MATCH(AG24,Settings!$B$14:$B$33,0)),IFERROR(LOOKUP(2^15,SEARCH(Settings!$I$14:$I$83,AG24)/(Settings!$I$14:$I$83&lt;&gt;""),Settings!$J$14:$J$83),"Other"))))</f>
        <v/>
      </c>
      <c r="BL24">
        <f>IF(OR($B24="",F24=""),"",IFERROR(INDEX(Settings!$D$14:$D$33,MATCH(F24,Settings!$B$14:$B$33,0))&amp;"",IFERROR(LOOKUP(2^15,SEARCH(Settings!$F$14:$F$43,F24)/(Settings!$F$14:$F$43&lt;&gt;""),Settings!$G$14:$G$43),"")))</f>
        <v/>
      </c>
      <c r="BM24">
        <f>IF(OR($B24="",G24=""),"",IFERROR(INDEX(Settings!$D$14:$D$33,MATCH(G24,Settings!$B$14:$B$33,0))&amp;"",IFERROR(LOOKUP(2^15,SEARCH(Settings!$F$14:$F$43,G24)/(Settings!$F$14:$F$43&lt;&gt;""),Settings!$G$14:$G$43),"")))</f>
        <v/>
      </c>
      <c r="BN24">
        <f>IF(OR($B24="",H24=""),"",IFERROR(INDEX(Settings!$D$14:$D$33,MATCH(H24,Settings!$B$14:$B$33,0))&amp;"",IFERROR(LOOKUP(2^15,SEARCH(Settings!$F$14:$F$43,H24)/(Settings!$F$14:$F$43&lt;&gt;""),Settings!$G$14:$G$43),"")))</f>
        <v/>
      </c>
      <c r="BO24">
        <f>IF(OR($B24="",I24=""),"",IFERROR(INDEX(Settings!$D$14:$D$33,MATCH(I24,Settings!$B$14:$B$33,0))&amp;"",IFERROR(LOOKUP(2^15,SEARCH(Settings!$F$14:$F$43,I24)/(Settings!$F$14:$F$43&lt;&gt;""),Settings!$G$14:$G$43),"")))</f>
        <v/>
      </c>
      <c r="BP24">
        <f>IF(OR($B24="",J24=""),"",IFERROR(INDEX(Settings!$D$14:$D$33,MATCH(J24,Settings!$B$14:$B$33,0))&amp;"",IFERROR(LOOKUP(2^15,SEARCH(Settings!$F$14:$F$43,J24)/(Settings!$F$14:$F$43&lt;&gt;""),Settings!$G$14:$G$43),"")))</f>
        <v/>
      </c>
      <c r="BQ24">
        <f>IF(OR($B24="",K24=""),"",IFERROR(INDEX(Settings!$D$14:$D$33,MATCH(K24,Settings!$B$14:$B$33,0))&amp;"",IFERROR(LOOKUP(2^15,SEARCH(Settings!$F$14:$F$43,K24)/(Settings!$F$14:$F$43&lt;&gt;""),Settings!$G$14:$G$43),"")))</f>
        <v/>
      </c>
      <c r="BR24">
        <f>IF(OR($B24="",L24=""),"",IFERROR(INDEX(Settings!$D$14:$D$33,MATCH(L24,Settings!$B$14:$B$33,0))&amp;"",IFERROR(LOOKUP(2^15,SEARCH(Settings!$F$14:$F$43,L24)/(Settings!$F$14:$F$43&lt;&gt;""),Settings!$G$14:$G$43),"")))</f>
        <v/>
      </c>
      <c r="BS24">
        <f>IF(OR($B24="",M24=""),"",IFERROR(INDEX(Settings!$D$14:$D$33,MATCH(M24,Settings!$B$14:$B$33,0))&amp;"",IFERROR(LOOKUP(2^15,SEARCH(Settings!$F$14:$F$43,M24)/(Settings!$F$14:$F$43&lt;&gt;""),Settings!$G$14:$G$43),"")))</f>
        <v/>
      </c>
      <c r="BT24">
        <f>IF(OR($B24="",N24=""),"",IFERROR(INDEX(Settings!$D$14:$D$33,MATCH(N24,Settings!$B$14:$B$33,0))&amp;"",IFERROR(LOOKUP(2^15,SEARCH(Settings!$F$14:$F$43,N24)/(Settings!$F$14:$F$43&lt;&gt;""),Settings!$G$14:$G$43),"")))</f>
        <v/>
      </c>
      <c r="BU24">
        <f>IF(OR($B24="",O24=""),"",IFERROR(INDEX(Settings!$D$14:$D$33,MATCH(O24,Settings!$B$14:$B$33,0))&amp;"",IFERROR(LOOKUP(2^15,SEARCH(Settings!$F$14:$F$43,O24)/(Settings!$F$14:$F$43&lt;&gt;""),Settings!$G$14:$G$43),"")))</f>
        <v/>
      </c>
      <c r="BV24">
        <f>IF(OR($B24="",P24=""),"",IFERROR(INDEX(Settings!$D$14:$D$33,MATCH(P24,Settings!$B$14:$B$33,0))&amp;"",IFERROR(LOOKUP(2^15,SEARCH(Settings!$F$14:$F$43,P24)/(Settings!$F$14:$F$43&lt;&gt;""),Settings!$G$14:$G$43),"")))</f>
        <v/>
      </c>
      <c r="BW24">
        <f>IF(OR($B24="",Q24=""),"",IFERROR(INDEX(Settings!$D$14:$D$33,MATCH(Q24,Settings!$B$14:$B$33,0))&amp;"",IFERROR(LOOKUP(2^15,SEARCH(Settings!$F$14:$F$43,Q24)/(Settings!$F$14:$F$43&lt;&gt;""),Settings!$G$14:$G$43),"")))</f>
        <v/>
      </c>
      <c r="BX24">
        <f>IF(OR($B24="",R24=""),"",IFERROR(INDEX(Settings!$D$14:$D$33,MATCH(R24,Settings!$B$14:$B$33,0))&amp;"",IFERROR(LOOKUP(2^15,SEARCH(Settings!$F$14:$F$43,R24)/(Settings!$F$14:$F$43&lt;&gt;""),Settings!$G$14:$G$43),"")))</f>
        <v/>
      </c>
      <c r="BY24">
        <f>IF(OR($B24="",S24=""),"",IFERROR(INDEX(Settings!$D$14:$D$33,MATCH(S24,Settings!$B$14:$B$33,0))&amp;"",IFERROR(LOOKUP(2^15,SEARCH(Settings!$F$14:$F$43,S24)/(Settings!$F$14:$F$43&lt;&gt;""),Settings!$G$14:$G$43),"")))</f>
        <v/>
      </c>
      <c r="BZ24">
        <f>IF(OR($B24="",T24=""),"",IFERROR(INDEX(Settings!$D$14:$D$33,MATCH(T24,Settings!$B$14:$B$33,0))&amp;"",IFERROR(LOOKUP(2^15,SEARCH(Settings!$F$14:$F$43,T24)/(Settings!$F$14:$F$43&lt;&gt;""),Settings!$G$14:$G$43),"")))</f>
        <v/>
      </c>
      <c r="CA24">
        <f>IF(OR($B24="",U24=""),"",IFERROR(INDEX(Settings!$D$14:$D$33,MATCH(U24,Settings!$B$14:$B$33,0))&amp;"",IFERROR(LOOKUP(2^15,SEARCH(Settings!$F$14:$F$43,U24)/(Settings!$F$14:$F$43&lt;&gt;""),Settings!$G$14:$G$43),"")))</f>
        <v/>
      </c>
      <c r="CB24">
        <f>IF(OR($B24="",V24=""),"",IFERROR(INDEX(Settings!$D$14:$D$33,MATCH(V24,Settings!$B$14:$B$33,0))&amp;"",IFERROR(LOOKUP(2^15,SEARCH(Settings!$F$14:$F$43,V24)/(Settings!$F$14:$F$43&lt;&gt;""),Settings!$G$14:$G$43),"")))</f>
        <v/>
      </c>
      <c r="CC24">
        <f>IF(OR($B24="",W24=""),"",IFERROR(INDEX(Settings!$D$14:$D$33,MATCH(W24,Settings!$B$14:$B$33,0))&amp;"",IFERROR(LOOKUP(2^15,SEARCH(Settings!$F$14:$F$43,W24)/(Settings!$F$14:$F$43&lt;&gt;""),Settings!$G$14:$G$43),"")))</f>
        <v/>
      </c>
      <c r="CD24">
        <f>IF(OR($B24="",X24=""),"",IFERROR(INDEX(Settings!$D$14:$D$33,MATCH(X24,Settings!$B$14:$B$33,0))&amp;"",IFERROR(LOOKUP(2^15,SEARCH(Settings!$F$14:$F$43,X24)/(Settings!$F$14:$F$43&lt;&gt;""),Settings!$G$14:$G$43),"")))</f>
        <v/>
      </c>
      <c r="CE24">
        <f>IF(OR($B24="",Y24=""),"",IFERROR(INDEX(Settings!$D$14:$D$33,MATCH(Y24,Settings!$B$14:$B$33,0))&amp;"",IFERROR(LOOKUP(2^15,SEARCH(Settings!$F$14:$F$43,Y24)/(Settings!$F$14:$F$43&lt;&gt;""),Settings!$G$14:$G$43),"")))</f>
        <v/>
      </c>
      <c r="CF24">
        <f>IF(OR($B24="",Z24=""),"",IFERROR(INDEX(Settings!$D$14:$D$33,MATCH(Z24,Settings!$B$14:$B$33,0))&amp;"",IFERROR(LOOKUP(2^15,SEARCH(Settings!$F$14:$F$43,Z24)/(Settings!$F$14:$F$43&lt;&gt;""),Settings!$G$14:$G$43),"")))</f>
        <v/>
      </c>
      <c r="CG24">
        <f>IF(OR($B24="",AA24=""),"",IFERROR(INDEX(Settings!$D$14:$D$33,MATCH(AA24,Settings!$B$14:$B$33,0))&amp;"",IFERROR(LOOKUP(2^15,SEARCH(Settings!$F$14:$F$43,AA24)/(Settings!$F$14:$F$43&lt;&gt;""),Settings!$G$14:$G$43),"")))</f>
        <v/>
      </c>
      <c r="CH24">
        <f>IF(OR($B24="",AB24=""),"",IFERROR(INDEX(Settings!$D$14:$D$33,MATCH(AB24,Settings!$B$14:$B$33,0))&amp;"",IFERROR(LOOKUP(2^15,SEARCH(Settings!$F$14:$F$43,AB24)/(Settings!$F$14:$F$43&lt;&gt;""),Settings!$G$14:$G$43),"")))</f>
        <v/>
      </c>
      <c r="CI24">
        <f>IF(OR($B24="",AC24=""),"",IFERROR(INDEX(Settings!$D$14:$D$33,MATCH(AC24,Settings!$B$14:$B$33,0))&amp;"",IFERROR(LOOKUP(2^15,SEARCH(Settings!$F$14:$F$43,AC24)/(Settings!$F$14:$F$43&lt;&gt;""),Settings!$G$14:$G$43),"")))</f>
        <v/>
      </c>
      <c r="CJ24">
        <f>IF(OR($B24="",AD24=""),"",IFERROR(INDEX(Settings!$D$14:$D$33,MATCH(AD24,Settings!$B$14:$B$33,0))&amp;"",IFERROR(LOOKUP(2^15,SEARCH(Settings!$F$14:$F$43,AD24)/(Settings!$F$14:$F$43&lt;&gt;""),Settings!$G$14:$G$43),"")))</f>
        <v/>
      </c>
      <c r="CK24">
        <f>IF(OR($B24="",AE24=""),"",IFERROR(INDEX(Settings!$D$14:$D$33,MATCH(AE24,Settings!$B$14:$B$33,0))&amp;"",IFERROR(LOOKUP(2^15,SEARCH(Settings!$F$14:$F$43,AE24)/(Settings!$F$14:$F$43&lt;&gt;""),Settings!$G$14:$G$43),"")))</f>
        <v/>
      </c>
      <c r="CL24">
        <f>IF(OR($B24="",AF24=""),"",IFERROR(INDEX(Settings!$D$14:$D$33,MATCH(AF24,Settings!$B$14:$B$33,0))&amp;"",IFERROR(LOOKUP(2^15,SEARCH(Settings!$F$14:$F$43,AF24)/(Settings!$F$14:$F$43&lt;&gt;""),Settings!$G$14:$G$43),"")))</f>
        <v/>
      </c>
      <c r="CM24">
        <f>IF(OR($B24="",AG24=""),"",IFERROR(INDEX(Settings!$D$14:$D$33,MATCH(AG24,Settings!$B$14:$B$33,0))&amp;"",IFERROR(LOOKUP(2^15,SEARCH(Settings!$F$14:$F$43,AG24)/(Settings!$F$14:$F$43&lt;&gt;""),Settings!$G$14:$G$43),"")))</f>
        <v/>
      </c>
    </row>
    <row r="25">
      <c r="A25" t="n">
        <v>23</v>
      </c>
      <c r="B25">
        <f>IFERROR(INDEX(Index!$A$2:$A$202,MATCH(A25,Index!$E$2:$E$202,0)),"")</f>
        <v/>
      </c>
      <c r="D25">
        <f>IF($B25="","",IFERROR(MATCH("Travel*",AI25:BJ25,0),""))</f>
        <v/>
      </c>
      <c r="F25">
        <f>IF(OR($B25="",NOT(ISNUMBER(Settings!$C$9))),"",TRIM(SUBSTITUTE(SUBSTITUTE(INDEX('INPUT - Roster'!$S$1:$SV$206,$B25,Settings!$C$9+0)&amp;"",CHAR(10)," "),CHAR(160)," ")))</f>
        <v/>
      </c>
      <c r="G25">
        <f>IF(OR($B25="",NOT(ISNUMBER(Settings!$C$9))),"",TRIM(SUBSTITUTE(SUBSTITUTE(INDEX('INPUT - Roster'!$S$1:$SV$206,$B25,Settings!$C$9+1)&amp;"",CHAR(10)," "),CHAR(160)," ")))</f>
        <v/>
      </c>
      <c r="H25">
        <f>IF(OR($B25="",NOT(ISNUMBER(Settings!$C$9))),"",TRIM(SUBSTITUTE(SUBSTITUTE(INDEX('INPUT - Roster'!$S$1:$SV$206,$B25,Settings!$C$9+2)&amp;"",CHAR(10)," "),CHAR(160)," ")))</f>
        <v/>
      </c>
      <c r="I25">
        <f>IF(OR($B25="",NOT(ISNUMBER(Settings!$C$9))),"",TRIM(SUBSTITUTE(SUBSTITUTE(INDEX('INPUT - Roster'!$S$1:$SV$206,$B25,Settings!$C$9+3)&amp;"",CHAR(10)," "),CHAR(160)," ")))</f>
        <v/>
      </c>
      <c r="J25">
        <f>IF(OR($B25="",NOT(ISNUMBER(Settings!$C$9))),"",TRIM(SUBSTITUTE(SUBSTITUTE(INDEX('INPUT - Roster'!$S$1:$SV$206,$B25,Settings!$C$9+4)&amp;"",CHAR(10)," "),CHAR(160)," ")))</f>
        <v/>
      </c>
      <c r="K25">
        <f>IF(OR($B25="",NOT(ISNUMBER(Settings!$C$9))),"",TRIM(SUBSTITUTE(SUBSTITUTE(INDEX('INPUT - Roster'!$S$1:$SV$206,$B25,Settings!$C$9+5)&amp;"",CHAR(10)," "),CHAR(160)," ")))</f>
        <v/>
      </c>
      <c r="L25">
        <f>IF(OR($B25="",NOT(ISNUMBER(Settings!$C$9))),"",TRIM(SUBSTITUTE(SUBSTITUTE(INDEX('INPUT - Roster'!$S$1:$SV$206,$B25,Settings!$C$9+6)&amp;"",CHAR(10)," "),CHAR(160)," ")))</f>
        <v/>
      </c>
      <c r="M25">
        <f>IF(OR($B25="",NOT(ISNUMBER(Settings!$C$9))),"",TRIM(SUBSTITUTE(SUBSTITUTE(INDEX('INPUT - Roster'!$S$1:$SV$206,$B25,Settings!$C$9+7)&amp;"",CHAR(10)," "),CHAR(160)," ")))</f>
        <v/>
      </c>
      <c r="N25">
        <f>IF(OR($B25="",NOT(ISNUMBER(Settings!$C$9))),"",TRIM(SUBSTITUTE(SUBSTITUTE(INDEX('INPUT - Roster'!$S$1:$SV$206,$B25,Settings!$C$9+8)&amp;"",CHAR(10)," "),CHAR(160)," ")))</f>
        <v/>
      </c>
      <c r="O25">
        <f>IF(OR($B25="",NOT(ISNUMBER(Settings!$C$9))),"",TRIM(SUBSTITUTE(SUBSTITUTE(INDEX('INPUT - Roster'!$S$1:$SV$206,$B25,Settings!$C$9+9)&amp;"",CHAR(10)," "),CHAR(160)," ")))</f>
        <v/>
      </c>
      <c r="P25">
        <f>IF(OR($B25="",NOT(ISNUMBER(Settings!$C$9))),"",TRIM(SUBSTITUTE(SUBSTITUTE(INDEX('INPUT - Roster'!$S$1:$SV$206,$B25,Settings!$C$9+10)&amp;"",CHAR(10)," "),CHAR(160)," ")))</f>
        <v/>
      </c>
      <c r="Q25">
        <f>IF(OR($B25="",NOT(ISNUMBER(Settings!$C$9))),"",TRIM(SUBSTITUTE(SUBSTITUTE(INDEX('INPUT - Roster'!$S$1:$SV$206,$B25,Settings!$C$9+11)&amp;"",CHAR(10)," "),CHAR(160)," ")))</f>
        <v/>
      </c>
      <c r="R25">
        <f>IF(OR($B25="",NOT(ISNUMBER(Settings!$C$9))),"",TRIM(SUBSTITUTE(SUBSTITUTE(INDEX('INPUT - Roster'!$S$1:$SV$206,$B25,Settings!$C$9+12)&amp;"",CHAR(10)," "),CHAR(160)," ")))</f>
        <v/>
      </c>
      <c r="S25">
        <f>IF(OR($B25="",NOT(ISNUMBER(Settings!$C$9))),"",TRIM(SUBSTITUTE(SUBSTITUTE(INDEX('INPUT - Roster'!$S$1:$SV$206,$B25,Settings!$C$9+13)&amp;"",CHAR(10)," "),CHAR(160)," ")))</f>
        <v/>
      </c>
      <c r="T25">
        <f>IF(OR($B25="",NOT(ISNUMBER(Settings!$C$9))),"",TRIM(SUBSTITUTE(SUBSTITUTE(INDEX('INPUT - Roster'!$S$1:$SV$206,$B25,Settings!$C$9+14)&amp;"",CHAR(10)," "),CHAR(160)," ")))</f>
        <v/>
      </c>
      <c r="U25">
        <f>IF(OR($B25="",NOT(ISNUMBER(Settings!$C$9))),"",TRIM(SUBSTITUTE(SUBSTITUTE(INDEX('INPUT - Roster'!$S$1:$SV$206,$B25,Settings!$C$9+15)&amp;"",CHAR(10)," "),CHAR(160)," ")))</f>
        <v/>
      </c>
      <c r="V25">
        <f>IF(OR($B25="",NOT(ISNUMBER(Settings!$C$9))),"",TRIM(SUBSTITUTE(SUBSTITUTE(INDEX('INPUT - Roster'!$S$1:$SV$206,$B25,Settings!$C$9+16)&amp;"",CHAR(10)," "),CHAR(160)," ")))</f>
        <v/>
      </c>
      <c r="W25">
        <f>IF(OR($B25="",NOT(ISNUMBER(Settings!$C$9))),"",TRIM(SUBSTITUTE(SUBSTITUTE(INDEX('INPUT - Roster'!$S$1:$SV$206,$B25,Settings!$C$9+17)&amp;"",CHAR(10)," "),CHAR(160)," ")))</f>
        <v/>
      </c>
      <c r="X25">
        <f>IF(OR($B25="",NOT(ISNUMBER(Settings!$C$9))),"",TRIM(SUBSTITUTE(SUBSTITUTE(INDEX('INPUT - Roster'!$S$1:$SV$206,$B25,Settings!$C$9+18)&amp;"",CHAR(10)," "),CHAR(160)," ")))</f>
        <v/>
      </c>
      <c r="Y25">
        <f>IF(OR($B25="",NOT(ISNUMBER(Settings!$C$9))),"",TRIM(SUBSTITUTE(SUBSTITUTE(INDEX('INPUT - Roster'!$S$1:$SV$206,$B25,Settings!$C$9+19)&amp;"",CHAR(10)," "),CHAR(160)," ")))</f>
        <v/>
      </c>
      <c r="Z25">
        <f>IF(OR($B25="",NOT(ISNUMBER(Settings!$C$9))),"",TRIM(SUBSTITUTE(SUBSTITUTE(INDEX('INPUT - Roster'!$S$1:$SV$206,$B25,Settings!$C$9+20)&amp;"",CHAR(10)," "),CHAR(160)," ")))</f>
        <v/>
      </c>
      <c r="AA25">
        <f>IF(OR($B25="",NOT(ISNUMBER(Settings!$C$9))),"",TRIM(SUBSTITUTE(SUBSTITUTE(INDEX('INPUT - Roster'!$S$1:$SV$206,$B25,Settings!$C$9+21)&amp;"",CHAR(10)," "),CHAR(160)," ")))</f>
        <v/>
      </c>
      <c r="AB25">
        <f>IF(OR($B25="",NOT(ISNUMBER(Settings!$C$9))),"",TRIM(SUBSTITUTE(SUBSTITUTE(INDEX('INPUT - Roster'!$S$1:$SV$206,$B25,Settings!$C$9+22)&amp;"",CHAR(10)," "),CHAR(160)," ")))</f>
        <v/>
      </c>
      <c r="AC25">
        <f>IF(OR($B25="",NOT(ISNUMBER(Settings!$C$9))),"",TRIM(SUBSTITUTE(SUBSTITUTE(INDEX('INPUT - Roster'!$S$1:$SV$206,$B25,Settings!$C$9+23)&amp;"",CHAR(10)," "),CHAR(160)," ")))</f>
        <v/>
      </c>
      <c r="AD25">
        <f>IF(OR($B25="",NOT(ISNUMBER(Settings!$C$9))),"",TRIM(SUBSTITUTE(SUBSTITUTE(INDEX('INPUT - Roster'!$S$1:$SV$206,$B25,Settings!$C$9+24)&amp;"",CHAR(10)," "),CHAR(160)," ")))</f>
        <v/>
      </c>
      <c r="AE25">
        <f>IF(OR($B25="",NOT(ISNUMBER(Settings!$C$9))),"",TRIM(SUBSTITUTE(SUBSTITUTE(INDEX('INPUT - Roster'!$S$1:$SV$206,$B25,Settings!$C$9+25)&amp;"",CHAR(10)," "),CHAR(160)," ")))</f>
        <v/>
      </c>
      <c r="AF25">
        <f>IF(OR($B25="",NOT(ISNUMBER(Settings!$C$9))),"",TRIM(SUBSTITUTE(SUBSTITUTE(INDEX('INPUT - Roster'!$S$1:$SV$206,$B25,Settings!$C$9+26)&amp;"",CHAR(10)," "),CHAR(160)," ")))</f>
        <v/>
      </c>
      <c r="AG25">
        <f>IF(OR($B25="",NOT(ISNUMBER(Settings!$C$9))),"",TRIM(SUBSTITUTE(SUBSTITUTE(INDEX('INPUT - Roster'!$S$1:$SV$206,$B25,Settings!$C$9+27)&amp;"",CHAR(10)," "),CHAR(160)," ")))</f>
        <v/>
      </c>
      <c r="AI25">
        <f>IF($B25="","",IF(F25="","Not rostered",IFERROR(INDEX(Settings!$C$14:$C$33,MATCH(F25,Settings!$B$14:$B$33,0)),IFERROR(LOOKUP(2^15,SEARCH(Settings!$I$14:$I$83,F25)/(Settings!$I$14:$I$83&lt;&gt;""),Settings!$J$14:$J$83),"Other"))))</f>
        <v/>
      </c>
      <c r="AJ25">
        <f>IF($B25="","",IF(G25="","Not rostered",IFERROR(INDEX(Settings!$C$14:$C$33,MATCH(G25,Settings!$B$14:$B$33,0)),IFERROR(LOOKUP(2^15,SEARCH(Settings!$I$14:$I$83,G25)/(Settings!$I$14:$I$83&lt;&gt;""),Settings!$J$14:$J$83),"Other"))))</f>
        <v/>
      </c>
      <c r="AK25">
        <f>IF($B25="","",IF(H25="","Not rostered",IFERROR(INDEX(Settings!$C$14:$C$33,MATCH(H25,Settings!$B$14:$B$33,0)),IFERROR(LOOKUP(2^15,SEARCH(Settings!$I$14:$I$83,H25)/(Settings!$I$14:$I$83&lt;&gt;""),Settings!$J$14:$J$83),"Other"))))</f>
        <v/>
      </c>
      <c r="AL25">
        <f>IF($B25="","",IF(I25="","Not rostered",IFERROR(INDEX(Settings!$C$14:$C$33,MATCH(I25,Settings!$B$14:$B$33,0)),IFERROR(LOOKUP(2^15,SEARCH(Settings!$I$14:$I$83,I25)/(Settings!$I$14:$I$83&lt;&gt;""),Settings!$J$14:$J$83),"Other"))))</f>
        <v/>
      </c>
      <c r="AM25">
        <f>IF($B25="","",IF(J25="","Not rostered",IFERROR(INDEX(Settings!$C$14:$C$33,MATCH(J25,Settings!$B$14:$B$33,0)),IFERROR(LOOKUP(2^15,SEARCH(Settings!$I$14:$I$83,J25)/(Settings!$I$14:$I$83&lt;&gt;""),Settings!$J$14:$J$83),"Other"))))</f>
        <v/>
      </c>
      <c r="AN25">
        <f>IF($B25="","",IF(K25="","Not rostered",IFERROR(INDEX(Settings!$C$14:$C$33,MATCH(K25,Settings!$B$14:$B$33,0)),IFERROR(LOOKUP(2^15,SEARCH(Settings!$I$14:$I$83,K25)/(Settings!$I$14:$I$83&lt;&gt;""),Settings!$J$14:$J$83),"Other"))))</f>
        <v/>
      </c>
      <c r="AO25">
        <f>IF($B25="","",IF(L25="","Not rostered",IFERROR(INDEX(Settings!$C$14:$C$33,MATCH(L25,Settings!$B$14:$B$33,0)),IFERROR(LOOKUP(2^15,SEARCH(Settings!$I$14:$I$83,L25)/(Settings!$I$14:$I$83&lt;&gt;""),Settings!$J$14:$J$83),"Other"))))</f>
        <v/>
      </c>
      <c r="AP25">
        <f>IF($B25="","",IF(M25="","Not rostered",IFERROR(INDEX(Settings!$C$14:$C$33,MATCH(M25,Settings!$B$14:$B$33,0)),IFERROR(LOOKUP(2^15,SEARCH(Settings!$I$14:$I$83,M25)/(Settings!$I$14:$I$83&lt;&gt;""),Settings!$J$14:$J$83),"Other"))))</f>
        <v/>
      </c>
      <c r="AQ25">
        <f>IF($B25="","",IF(N25="","Not rostered",IFERROR(INDEX(Settings!$C$14:$C$33,MATCH(N25,Settings!$B$14:$B$33,0)),IFERROR(LOOKUP(2^15,SEARCH(Settings!$I$14:$I$83,N25)/(Settings!$I$14:$I$83&lt;&gt;""),Settings!$J$14:$J$83),"Other"))))</f>
        <v/>
      </c>
      <c r="AR25">
        <f>IF($B25="","",IF(O25="","Not rostered",IFERROR(INDEX(Settings!$C$14:$C$33,MATCH(O25,Settings!$B$14:$B$33,0)),IFERROR(LOOKUP(2^15,SEARCH(Settings!$I$14:$I$83,O25)/(Settings!$I$14:$I$83&lt;&gt;""),Settings!$J$14:$J$83),"Other"))))</f>
        <v/>
      </c>
      <c r="AS25">
        <f>IF($B25="","",IF(P25="","Not rostered",IFERROR(INDEX(Settings!$C$14:$C$33,MATCH(P25,Settings!$B$14:$B$33,0)),IFERROR(LOOKUP(2^15,SEARCH(Settings!$I$14:$I$83,P25)/(Settings!$I$14:$I$83&lt;&gt;""),Settings!$J$14:$J$83),"Other"))))</f>
        <v/>
      </c>
      <c r="AT25">
        <f>IF($B25="","",IF(Q25="","Not rostered",IFERROR(INDEX(Settings!$C$14:$C$33,MATCH(Q25,Settings!$B$14:$B$33,0)),IFERROR(LOOKUP(2^15,SEARCH(Settings!$I$14:$I$83,Q25)/(Settings!$I$14:$I$83&lt;&gt;""),Settings!$J$14:$J$83),"Other"))))</f>
        <v/>
      </c>
      <c r="AU25">
        <f>IF($B25="","",IF(R25="","Not rostered",IFERROR(INDEX(Settings!$C$14:$C$33,MATCH(R25,Settings!$B$14:$B$33,0)),IFERROR(LOOKUP(2^15,SEARCH(Settings!$I$14:$I$83,R25)/(Settings!$I$14:$I$83&lt;&gt;""),Settings!$J$14:$J$83),"Other"))))</f>
        <v/>
      </c>
      <c r="AV25">
        <f>IF($B25="","",IF(S25="","Not rostered",IFERROR(INDEX(Settings!$C$14:$C$33,MATCH(S25,Settings!$B$14:$B$33,0)),IFERROR(LOOKUP(2^15,SEARCH(Settings!$I$14:$I$83,S25)/(Settings!$I$14:$I$83&lt;&gt;""),Settings!$J$14:$J$83),"Other"))))</f>
        <v/>
      </c>
      <c r="AW25">
        <f>IF($B25="","",IF(T25="","Not rostered",IFERROR(INDEX(Settings!$C$14:$C$33,MATCH(T25,Settings!$B$14:$B$33,0)),IFERROR(LOOKUP(2^15,SEARCH(Settings!$I$14:$I$83,T25)/(Settings!$I$14:$I$83&lt;&gt;""),Settings!$J$14:$J$83),"Other"))))</f>
        <v/>
      </c>
      <c r="AX25">
        <f>IF($B25="","",IF(U25="","Not rostered",IFERROR(INDEX(Settings!$C$14:$C$33,MATCH(U25,Settings!$B$14:$B$33,0)),IFERROR(LOOKUP(2^15,SEARCH(Settings!$I$14:$I$83,U25)/(Settings!$I$14:$I$83&lt;&gt;""),Settings!$J$14:$J$83),"Other"))))</f>
        <v/>
      </c>
      <c r="AY25">
        <f>IF($B25="","",IF(V25="","Not rostered",IFERROR(INDEX(Settings!$C$14:$C$33,MATCH(V25,Settings!$B$14:$B$33,0)),IFERROR(LOOKUP(2^15,SEARCH(Settings!$I$14:$I$83,V25)/(Settings!$I$14:$I$83&lt;&gt;""),Settings!$J$14:$J$83),"Other"))))</f>
        <v/>
      </c>
      <c r="AZ25">
        <f>IF($B25="","",IF(W25="","Not rostered",IFERROR(INDEX(Settings!$C$14:$C$33,MATCH(W25,Settings!$B$14:$B$33,0)),IFERROR(LOOKUP(2^15,SEARCH(Settings!$I$14:$I$83,W25)/(Settings!$I$14:$I$83&lt;&gt;""),Settings!$J$14:$J$83),"Other"))))</f>
        <v/>
      </c>
      <c r="BA25">
        <f>IF($B25="","",IF(X25="","Not rostered",IFERROR(INDEX(Settings!$C$14:$C$33,MATCH(X25,Settings!$B$14:$B$33,0)),IFERROR(LOOKUP(2^15,SEARCH(Settings!$I$14:$I$83,X25)/(Settings!$I$14:$I$83&lt;&gt;""),Settings!$J$14:$J$83),"Other"))))</f>
        <v/>
      </c>
      <c r="BB25">
        <f>IF($B25="","",IF(Y25="","Not rostered",IFERROR(INDEX(Settings!$C$14:$C$33,MATCH(Y25,Settings!$B$14:$B$33,0)),IFERROR(LOOKUP(2^15,SEARCH(Settings!$I$14:$I$83,Y25)/(Settings!$I$14:$I$83&lt;&gt;""),Settings!$J$14:$J$83),"Other"))))</f>
        <v/>
      </c>
      <c r="BC25">
        <f>IF($B25="","",IF(Z25="","Not rostered",IFERROR(INDEX(Settings!$C$14:$C$33,MATCH(Z25,Settings!$B$14:$B$33,0)),IFERROR(LOOKUP(2^15,SEARCH(Settings!$I$14:$I$83,Z25)/(Settings!$I$14:$I$83&lt;&gt;""),Settings!$J$14:$J$83),"Other"))))</f>
        <v/>
      </c>
      <c r="BD25">
        <f>IF($B25="","",IF(AA25="","Not rostered",IFERROR(INDEX(Settings!$C$14:$C$33,MATCH(AA25,Settings!$B$14:$B$33,0)),IFERROR(LOOKUP(2^15,SEARCH(Settings!$I$14:$I$83,AA25)/(Settings!$I$14:$I$83&lt;&gt;""),Settings!$J$14:$J$83),"Other"))))</f>
        <v/>
      </c>
      <c r="BE25">
        <f>IF($B25="","",IF(AB25="","Not rostered",IFERROR(INDEX(Settings!$C$14:$C$33,MATCH(AB25,Settings!$B$14:$B$33,0)),IFERROR(LOOKUP(2^15,SEARCH(Settings!$I$14:$I$83,AB25)/(Settings!$I$14:$I$83&lt;&gt;""),Settings!$J$14:$J$83),"Other"))))</f>
        <v/>
      </c>
      <c r="BF25">
        <f>IF($B25="","",IF(AC25="","Not rostered",IFERROR(INDEX(Settings!$C$14:$C$33,MATCH(AC25,Settings!$B$14:$B$33,0)),IFERROR(LOOKUP(2^15,SEARCH(Settings!$I$14:$I$83,AC25)/(Settings!$I$14:$I$83&lt;&gt;""),Settings!$J$14:$J$83),"Other"))))</f>
        <v/>
      </c>
      <c r="BG25">
        <f>IF($B25="","",IF(AD25="","Not rostered",IFERROR(INDEX(Settings!$C$14:$C$33,MATCH(AD25,Settings!$B$14:$B$33,0)),IFERROR(LOOKUP(2^15,SEARCH(Settings!$I$14:$I$83,AD25)/(Settings!$I$14:$I$83&lt;&gt;""),Settings!$J$14:$J$83),"Other"))))</f>
        <v/>
      </c>
      <c r="BH25">
        <f>IF($B25="","",IF(AE25="","Not rostered",IFERROR(INDEX(Settings!$C$14:$C$33,MATCH(AE25,Settings!$B$14:$B$33,0)),IFERROR(LOOKUP(2^15,SEARCH(Settings!$I$14:$I$83,AE25)/(Settings!$I$14:$I$83&lt;&gt;""),Settings!$J$14:$J$83),"Other"))))</f>
        <v/>
      </c>
      <c r="BI25">
        <f>IF($B25="","",IF(AF25="","Not rostered",IFERROR(INDEX(Settings!$C$14:$C$33,MATCH(AF25,Settings!$B$14:$B$33,0)),IFERROR(LOOKUP(2^15,SEARCH(Settings!$I$14:$I$83,AF25)/(Settings!$I$14:$I$83&lt;&gt;""),Settings!$J$14:$J$83),"Other"))))</f>
        <v/>
      </c>
      <c r="BJ25">
        <f>IF($B25="","",IF(AG25="","Not rostered",IFERROR(INDEX(Settings!$C$14:$C$33,MATCH(AG25,Settings!$B$14:$B$33,0)),IFERROR(LOOKUP(2^15,SEARCH(Settings!$I$14:$I$83,AG25)/(Settings!$I$14:$I$83&lt;&gt;""),Settings!$J$14:$J$83),"Other"))))</f>
        <v/>
      </c>
      <c r="BL25">
        <f>IF(OR($B25="",F25=""),"",IFERROR(INDEX(Settings!$D$14:$D$33,MATCH(F25,Settings!$B$14:$B$33,0))&amp;"",IFERROR(LOOKUP(2^15,SEARCH(Settings!$F$14:$F$43,F25)/(Settings!$F$14:$F$43&lt;&gt;""),Settings!$G$14:$G$43),"")))</f>
        <v/>
      </c>
      <c r="BM25">
        <f>IF(OR($B25="",G25=""),"",IFERROR(INDEX(Settings!$D$14:$D$33,MATCH(G25,Settings!$B$14:$B$33,0))&amp;"",IFERROR(LOOKUP(2^15,SEARCH(Settings!$F$14:$F$43,G25)/(Settings!$F$14:$F$43&lt;&gt;""),Settings!$G$14:$G$43),"")))</f>
        <v/>
      </c>
      <c r="BN25">
        <f>IF(OR($B25="",H25=""),"",IFERROR(INDEX(Settings!$D$14:$D$33,MATCH(H25,Settings!$B$14:$B$33,0))&amp;"",IFERROR(LOOKUP(2^15,SEARCH(Settings!$F$14:$F$43,H25)/(Settings!$F$14:$F$43&lt;&gt;""),Settings!$G$14:$G$43),"")))</f>
        <v/>
      </c>
      <c r="BO25">
        <f>IF(OR($B25="",I25=""),"",IFERROR(INDEX(Settings!$D$14:$D$33,MATCH(I25,Settings!$B$14:$B$33,0))&amp;"",IFERROR(LOOKUP(2^15,SEARCH(Settings!$F$14:$F$43,I25)/(Settings!$F$14:$F$43&lt;&gt;""),Settings!$G$14:$G$43),"")))</f>
        <v/>
      </c>
      <c r="BP25">
        <f>IF(OR($B25="",J25=""),"",IFERROR(INDEX(Settings!$D$14:$D$33,MATCH(J25,Settings!$B$14:$B$33,0))&amp;"",IFERROR(LOOKUP(2^15,SEARCH(Settings!$F$14:$F$43,J25)/(Settings!$F$14:$F$43&lt;&gt;""),Settings!$G$14:$G$43),"")))</f>
        <v/>
      </c>
      <c r="BQ25">
        <f>IF(OR($B25="",K25=""),"",IFERROR(INDEX(Settings!$D$14:$D$33,MATCH(K25,Settings!$B$14:$B$33,0))&amp;"",IFERROR(LOOKUP(2^15,SEARCH(Settings!$F$14:$F$43,K25)/(Settings!$F$14:$F$43&lt;&gt;""),Settings!$G$14:$G$43),"")))</f>
        <v/>
      </c>
      <c r="BR25">
        <f>IF(OR($B25="",L25=""),"",IFERROR(INDEX(Settings!$D$14:$D$33,MATCH(L25,Settings!$B$14:$B$33,0))&amp;"",IFERROR(LOOKUP(2^15,SEARCH(Settings!$F$14:$F$43,L25)/(Settings!$F$14:$F$43&lt;&gt;""),Settings!$G$14:$G$43),"")))</f>
        <v/>
      </c>
      <c r="BS25">
        <f>IF(OR($B25="",M25=""),"",IFERROR(INDEX(Settings!$D$14:$D$33,MATCH(M25,Settings!$B$14:$B$33,0))&amp;"",IFERROR(LOOKUP(2^15,SEARCH(Settings!$F$14:$F$43,M25)/(Settings!$F$14:$F$43&lt;&gt;""),Settings!$G$14:$G$43),"")))</f>
        <v/>
      </c>
      <c r="BT25">
        <f>IF(OR($B25="",N25=""),"",IFERROR(INDEX(Settings!$D$14:$D$33,MATCH(N25,Settings!$B$14:$B$33,0))&amp;"",IFERROR(LOOKUP(2^15,SEARCH(Settings!$F$14:$F$43,N25)/(Settings!$F$14:$F$43&lt;&gt;""),Settings!$G$14:$G$43),"")))</f>
        <v/>
      </c>
      <c r="BU25">
        <f>IF(OR($B25="",O25=""),"",IFERROR(INDEX(Settings!$D$14:$D$33,MATCH(O25,Settings!$B$14:$B$33,0))&amp;"",IFERROR(LOOKUP(2^15,SEARCH(Settings!$F$14:$F$43,O25)/(Settings!$F$14:$F$43&lt;&gt;""),Settings!$G$14:$G$43),"")))</f>
        <v/>
      </c>
      <c r="BV25">
        <f>IF(OR($B25="",P25=""),"",IFERROR(INDEX(Settings!$D$14:$D$33,MATCH(P25,Settings!$B$14:$B$33,0))&amp;"",IFERROR(LOOKUP(2^15,SEARCH(Settings!$F$14:$F$43,P25)/(Settings!$F$14:$F$43&lt;&gt;""),Settings!$G$14:$G$43),"")))</f>
        <v/>
      </c>
      <c r="BW25">
        <f>IF(OR($B25="",Q25=""),"",IFERROR(INDEX(Settings!$D$14:$D$33,MATCH(Q25,Settings!$B$14:$B$33,0))&amp;"",IFERROR(LOOKUP(2^15,SEARCH(Settings!$F$14:$F$43,Q25)/(Settings!$F$14:$F$43&lt;&gt;""),Settings!$G$14:$G$43),"")))</f>
        <v/>
      </c>
      <c r="BX25">
        <f>IF(OR($B25="",R25=""),"",IFERROR(INDEX(Settings!$D$14:$D$33,MATCH(R25,Settings!$B$14:$B$33,0))&amp;"",IFERROR(LOOKUP(2^15,SEARCH(Settings!$F$14:$F$43,R25)/(Settings!$F$14:$F$43&lt;&gt;""),Settings!$G$14:$G$43),"")))</f>
        <v/>
      </c>
      <c r="BY25">
        <f>IF(OR($B25="",S25=""),"",IFERROR(INDEX(Settings!$D$14:$D$33,MATCH(S25,Settings!$B$14:$B$33,0))&amp;"",IFERROR(LOOKUP(2^15,SEARCH(Settings!$F$14:$F$43,S25)/(Settings!$F$14:$F$43&lt;&gt;""),Settings!$G$14:$G$43),"")))</f>
        <v/>
      </c>
      <c r="BZ25">
        <f>IF(OR($B25="",T25=""),"",IFERROR(INDEX(Settings!$D$14:$D$33,MATCH(T25,Settings!$B$14:$B$33,0))&amp;"",IFERROR(LOOKUP(2^15,SEARCH(Settings!$F$14:$F$43,T25)/(Settings!$F$14:$F$43&lt;&gt;""),Settings!$G$14:$G$43),"")))</f>
        <v/>
      </c>
      <c r="CA25">
        <f>IF(OR($B25="",U25=""),"",IFERROR(INDEX(Settings!$D$14:$D$33,MATCH(U25,Settings!$B$14:$B$33,0))&amp;"",IFERROR(LOOKUP(2^15,SEARCH(Settings!$F$14:$F$43,U25)/(Settings!$F$14:$F$43&lt;&gt;""),Settings!$G$14:$G$43),"")))</f>
        <v/>
      </c>
      <c r="CB25">
        <f>IF(OR($B25="",V25=""),"",IFERROR(INDEX(Settings!$D$14:$D$33,MATCH(V25,Settings!$B$14:$B$33,0))&amp;"",IFERROR(LOOKUP(2^15,SEARCH(Settings!$F$14:$F$43,V25)/(Settings!$F$14:$F$43&lt;&gt;""),Settings!$G$14:$G$43),"")))</f>
        <v/>
      </c>
      <c r="CC25">
        <f>IF(OR($B25="",W25=""),"",IFERROR(INDEX(Settings!$D$14:$D$33,MATCH(W25,Settings!$B$14:$B$33,0))&amp;"",IFERROR(LOOKUP(2^15,SEARCH(Settings!$F$14:$F$43,W25)/(Settings!$F$14:$F$43&lt;&gt;""),Settings!$G$14:$G$43),"")))</f>
        <v/>
      </c>
      <c r="CD25">
        <f>IF(OR($B25="",X25=""),"",IFERROR(INDEX(Settings!$D$14:$D$33,MATCH(X25,Settings!$B$14:$B$33,0))&amp;"",IFERROR(LOOKUP(2^15,SEARCH(Settings!$F$14:$F$43,X25)/(Settings!$F$14:$F$43&lt;&gt;""),Settings!$G$14:$G$43),"")))</f>
        <v/>
      </c>
      <c r="CE25">
        <f>IF(OR($B25="",Y25=""),"",IFERROR(INDEX(Settings!$D$14:$D$33,MATCH(Y25,Settings!$B$14:$B$33,0))&amp;"",IFERROR(LOOKUP(2^15,SEARCH(Settings!$F$14:$F$43,Y25)/(Settings!$F$14:$F$43&lt;&gt;""),Settings!$G$14:$G$43),"")))</f>
        <v/>
      </c>
      <c r="CF25">
        <f>IF(OR($B25="",Z25=""),"",IFERROR(INDEX(Settings!$D$14:$D$33,MATCH(Z25,Settings!$B$14:$B$33,0))&amp;"",IFERROR(LOOKUP(2^15,SEARCH(Settings!$F$14:$F$43,Z25)/(Settings!$F$14:$F$43&lt;&gt;""),Settings!$G$14:$G$43),"")))</f>
        <v/>
      </c>
      <c r="CG25">
        <f>IF(OR($B25="",AA25=""),"",IFERROR(INDEX(Settings!$D$14:$D$33,MATCH(AA25,Settings!$B$14:$B$33,0))&amp;"",IFERROR(LOOKUP(2^15,SEARCH(Settings!$F$14:$F$43,AA25)/(Settings!$F$14:$F$43&lt;&gt;""),Settings!$G$14:$G$43),"")))</f>
        <v/>
      </c>
      <c r="CH25">
        <f>IF(OR($B25="",AB25=""),"",IFERROR(INDEX(Settings!$D$14:$D$33,MATCH(AB25,Settings!$B$14:$B$33,0))&amp;"",IFERROR(LOOKUP(2^15,SEARCH(Settings!$F$14:$F$43,AB25)/(Settings!$F$14:$F$43&lt;&gt;""),Settings!$G$14:$G$43),"")))</f>
        <v/>
      </c>
      <c r="CI25">
        <f>IF(OR($B25="",AC25=""),"",IFERROR(INDEX(Settings!$D$14:$D$33,MATCH(AC25,Settings!$B$14:$B$33,0))&amp;"",IFERROR(LOOKUP(2^15,SEARCH(Settings!$F$14:$F$43,AC25)/(Settings!$F$14:$F$43&lt;&gt;""),Settings!$G$14:$G$43),"")))</f>
        <v/>
      </c>
      <c r="CJ25">
        <f>IF(OR($B25="",AD25=""),"",IFERROR(INDEX(Settings!$D$14:$D$33,MATCH(AD25,Settings!$B$14:$B$33,0))&amp;"",IFERROR(LOOKUP(2^15,SEARCH(Settings!$F$14:$F$43,AD25)/(Settings!$F$14:$F$43&lt;&gt;""),Settings!$G$14:$G$43),"")))</f>
        <v/>
      </c>
      <c r="CK25">
        <f>IF(OR($B25="",AE25=""),"",IFERROR(INDEX(Settings!$D$14:$D$33,MATCH(AE25,Settings!$B$14:$B$33,0))&amp;"",IFERROR(LOOKUP(2^15,SEARCH(Settings!$F$14:$F$43,AE25)/(Settings!$F$14:$F$43&lt;&gt;""),Settings!$G$14:$G$43),"")))</f>
        <v/>
      </c>
      <c r="CL25">
        <f>IF(OR($B25="",AF25=""),"",IFERROR(INDEX(Settings!$D$14:$D$33,MATCH(AF25,Settings!$B$14:$B$33,0))&amp;"",IFERROR(LOOKUP(2^15,SEARCH(Settings!$F$14:$F$43,AF25)/(Settings!$F$14:$F$43&lt;&gt;""),Settings!$G$14:$G$43),"")))</f>
        <v/>
      </c>
      <c r="CM25">
        <f>IF(OR($B25="",AG25=""),"",IFERROR(INDEX(Settings!$D$14:$D$33,MATCH(AG25,Settings!$B$14:$B$33,0))&amp;"",IFERROR(LOOKUP(2^15,SEARCH(Settings!$F$14:$F$43,AG25)/(Settings!$F$14:$F$43&lt;&gt;""),Settings!$G$14:$G$43),"")))</f>
        <v/>
      </c>
    </row>
    <row r="26">
      <c r="A26" t="n">
        <v>24</v>
      </c>
      <c r="B26">
        <f>IFERROR(INDEX(Index!$A$2:$A$202,MATCH(A26,Index!$E$2:$E$202,0)),"")</f>
        <v/>
      </c>
      <c r="D26">
        <f>IF($B26="","",IFERROR(MATCH("Travel*",AI26:BJ26,0),""))</f>
        <v/>
      </c>
      <c r="F26">
        <f>IF(OR($B26="",NOT(ISNUMBER(Settings!$C$9))),"",TRIM(SUBSTITUTE(SUBSTITUTE(INDEX('INPUT - Roster'!$S$1:$SV$206,$B26,Settings!$C$9+0)&amp;"",CHAR(10)," "),CHAR(160)," ")))</f>
        <v/>
      </c>
      <c r="G26">
        <f>IF(OR($B26="",NOT(ISNUMBER(Settings!$C$9))),"",TRIM(SUBSTITUTE(SUBSTITUTE(INDEX('INPUT - Roster'!$S$1:$SV$206,$B26,Settings!$C$9+1)&amp;"",CHAR(10)," "),CHAR(160)," ")))</f>
        <v/>
      </c>
      <c r="H26">
        <f>IF(OR($B26="",NOT(ISNUMBER(Settings!$C$9))),"",TRIM(SUBSTITUTE(SUBSTITUTE(INDEX('INPUT - Roster'!$S$1:$SV$206,$B26,Settings!$C$9+2)&amp;"",CHAR(10)," "),CHAR(160)," ")))</f>
        <v/>
      </c>
      <c r="I26">
        <f>IF(OR($B26="",NOT(ISNUMBER(Settings!$C$9))),"",TRIM(SUBSTITUTE(SUBSTITUTE(INDEX('INPUT - Roster'!$S$1:$SV$206,$B26,Settings!$C$9+3)&amp;"",CHAR(10)," "),CHAR(160)," ")))</f>
        <v/>
      </c>
      <c r="J26">
        <f>IF(OR($B26="",NOT(ISNUMBER(Settings!$C$9))),"",TRIM(SUBSTITUTE(SUBSTITUTE(INDEX('INPUT - Roster'!$S$1:$SV$206,$B26,Settings!$C$9+4)&amp;"",CHAR(10)," "),CHAR(160)," ")))</f>
        <v/>
      </c>
      <c r="K26">
        <f>IF(OR($B26="",NOT(ISNUMBER(Settings!$C$9))),"",TRIM(SUBSTITUTE(SUBSTITUTE(INDEX('INPUT - Roster'!$S$1:$SV$206,$B26,Settings!$C$9+5)&amp;"",CHAR(10)," "),CHAR(160)," ")))</f>
        <v/>
      </c>
      <c r="L26">
        <f>IF(OR($B26="",NOT(ISNUMBER(Settings!$C$9))),"",TRIM(SUBSTITUTE(SUBSTITUTE(INDEX('INPUT - Roster'!$S$1:$SV$206,$B26,Settings!$C$9+6)&amp;"",CHAR(10)," "),CHAR(160)," ")))</f>
        <v/>
      </c>
      <c r="M26">
        <f>IF(OR($B26="",NOT(ISNUMBER(Settings!$C$9))),"",TRIM(SUBSTITUTE(SUBSTITUTE(INDEX('INPUT - Roster'!$S$1:$SV$206,$B26,Settings!$C$9+7)&amp;"",CHAR(10)," "),CHAR(160)," ")))</f>
        <v/>
      </c>
      <c r="N26">
        <f>IF(OR($B26="",NOT(ISNUMBER(Settings!$C$9))),"",TRIM(SUBSTITUTE(SUBSTITUTE(INDEX('INPUT - Roster'!$S$1:$SV$206,$B26,Settings!$C$9+8)&amp;"",CHAR(10)," "),CHAR(160)," ")))</f>
        <v/>
      </c>
      <c r="O26">
        <f>IF(OR($B26="",NOT(ISNUMBER(Settings!$C$9))),"",TRIM(SUBSTITUTE(SUBSTITUTE(INDEX('INPUT - Roster'!$S$1:$SV$206,$B26,Settings!$C$9+9)&amp;"",CHAR(10)," "),CHAR(160)," ")))</f>
        <v/>
      </c>
      <c r="P26">
        <f>IF(OR($B26="",NOT(ISNUMBER(Settings!$C$9))),"",TRIM(SUBSTITUTE(SUBSTITUTE(INDEX('INPUT - Roster'!$S$1:$SV$206,$B26,Settings!$C$9+10)&amp;"",CHAR(10)," "),CHAR(160)," ")))</f>
        <v/>
      </c>
      <c r="Q26">
        <f>IF(OR($B26="",NOT(ISNUMBER(Settings!$C$9))),"",TRIM(SUBSTITUTE(SUBSTITUTE(INDEX('INPUT - Roster'!$S$1:$SV$206,$B26,Settings!$C$9+11)&amp;"",CHAR(10)," "),CHAR(160)," ")))</f>
        <v/>
      </c>
      <c r="R26">
        <f>IF(OR($B26="",NOT(ISNUMBER(Settings!$C$9))),"",TRIM(SUBSTITUTE(SUBSTITUTE(INDEX('INPUT - Roster'!$S$1:$SV$206,$B26,Settings!$C$9+12)&amp;"",CHAR(10)," "),CHAR(160)," ")))</f>
        <v/>
      </c>
      <c r="S26">
        <f>IF(OR($B26="",NOT(ISNUMBER(Settings!$C$9))),"",TRIM(SUBSTITUTE(SUBSTITUTE(INDEX('INPUT - Roster'!$S$1:$SV$206,$B26,Settings!$C$9+13)&amp;"",CHAR(10)," "),CHAR(160)," ")))</f>
        <v/>
      </c>
      <c r="T26">
        <f>IF(OR($B26="",NOT(ISNUMBER(Settings!$C$9))),"",TRIM(SUBSTITUTE(SUBSTITUTE(INDEX('INPUT - Roster'!$S$1:$SV$206,$B26,Settings!$C$9+14)&amp;"",CHAR(10)," "),CHAR(160)," ")))</f>
        <v/>
      </c>
      <c r="U26">
        <f>IF(OR($B26="",NOT(ISNUMBER(Settings!$C$9))),"",TRIM(SUBSTITUTE(SUBSTITUTE(INDEX('INPUT - Roster'!$S$1:$SV$206,$B26,Settings!$C$9+15)&amp;"",CHAR(10)," "),CHAR(160)," ")))</f>
        <v/>
      </c>
      <c r="V26">
        <f>IF(OR($B26="",NOT(ISNUMBER(Settings!$C$9))),"",TRIM(SUBSTITUTE(SUBSTITUTE(INDEX('INPUT - Roster'!$S$1:$SV$206,$B26,Settings!$C$9+16)&amp;"",CHAR(10)," "),CHAR(160)," ")))</f>
        <v/>
      </c>
      <c r="W26">
        <f>IF(OR($B26="",NOT(ISNUMBER(Settings!$C$9))),"",TRIM(SUBSTITUTE(SUBSTITUTE(INDEX('INPUT - Roster'!$S$1:$SV$206,$B26,Settings!$C$9+17)&amp;"",CHAR(10)," "),CHAR(160)," ")))</f>
        <v/>
      </c>
      <c r="X26">
        <f>IF(OR($B26="",NOT(ISNUMBER(Settings!$C$9))),"",TRIM(SUBSTITUTE(SUBSTITUTE(INDEX('INPUT - Roster'!$S$1:$SV$206,$B26,Settings!$C$9+18)&amp;"",CHAR(10)," "),CHAR(160)," ")))</f>
        <v/>
      </c>
      <c r="Y26">
        <f>IF(OR($B26="",NOT(ISNUMBER(Settings!$C$9))),"",TRIM(SUBSTITUTE(SUBSTITUTE(INDEX('INPUT - Roster'!$S$1:$SV$206,$B26,Settings!$C$9+19)&amp;"",CHAR(10)," "),CHAR(160)," ")))</f>
        <v/>
      </c>
      <c r="Z26">
        <f>IF(OR($B26="",NOT(ISNUMBER(Settings!$C$9))),"",TRIM(SUBSTITUTE(SUBSTITUTE(INDEX('INPUT - Roster'!$S$1:$SV$206,$B26,Settings!$C$9+20)&amp;"",CHAR(10)," "),CHAR(160)," ")))</f>
        <v/>
      </c>
      <c r="AA26">
        <f>IF(OR($B26="",NOT(ISNUMBER(Settings!$C$9))),"",TRIM(SUBSTITUTE(SUBSTITUTE(INDEX('INPUT - Roster'!$S$1:$SV$206,$B26,Settings!$C$9+21)&amp;"",CHAR(10)," "),CHAR(160)," ")))</f>
        <v/>
      </c>
      <c r="AB26">
        <f>IF(OR($B26="",NOT(ISNUMBER(Settings!$C$9))),"",TRIM(SUBSTITUTE(SUBSTITUTE(INDEX('INPUT - Roster'!$S$1:$SV$206,$B26,Settings!$C$9+22)&amp;"",CHAR(10)," "),CHAR(160)," ")))</f>
        <v/>
      </c>
      <c r="AC26">
        <f>IF(OR($B26="",NOT(ISNUMBER(Settings!$C$9))),"",TRIM(SUBSTITUTE(SUBSTITUTE(INDEX('INPUT - Roster'!$S$1:$SV$206,$B26,Settings!$C$9+23)&amp;"",CHAR(10)," "),CHAR(160)," ")))</f>
        <v/>
      </c>
      <c r="AD26">
        <f>IF(OR($B26="",NOT(ISNUMBER(Settings!$C$9))),"",TRIM(SUBSTITUTE(SUBSTITUTE(INDEX('INPUT - Roster'!$S$1:$SV$206,$B26,Settings!$C$9+24)&amp;"",CHAR(10)," "),CHAR(160)," ")))</f>
        <v/>
      </c>
      <c r="AE26">
        <f>IF(OR($B26="",NOT(ISNUMBER(Settings!$C$9))),"",TRIM(SUBSTITUTE(SUBSTITUTE(INDEX('INPUT - Roster'!$S$1:$SV$206,$B26,Settings!$C$9+25)&amp;"",CHAR(10)," "),CHAR(160)," ")))</f>
        <v/>
      </c>
      <c r="AF26">
        <f>IF(OR($B26="",NOT(ISNUMBER(Settings!$C$9))),"",TRIM(SUBSTITUTE(SUBSTITUTE(INDEX('INPUT - Roster'!$S$1:$SV$206,$B26,Settings!$C$9+26)&amp;"",CHAR(10)," "),CHAR(160)," ")))</f>
        <v/>
      </c>
      <c r="AG26">
        <f>IF(OR($B26="",NOT(ISNUMBER(Settings!$C$9))),"",TRIM(SUBSTITUTE(SUBSTITUTE(INDEX('INPUT - Roster'!$S$1:$SV$206,$B26,Settings!$C$9+27)&amp;"",CHAR(10)," "),CHAR(160)," ")))</f>
        <v/>
      </c>
      <c r="AI26">
        <f>IF($B26="","",IF(F26="","Not rostered",IFERROR(INDEX(Settings!$C$14:$C$33,MATCH(F26,Settings!$B$14:$B$33,0)),IFERROR(LOOKUP(2^15,SEARCH(Settings!$I$14:$I$83,F26)/(Settings!$I$14:$I$83&lt;&gt;""),Settings!$J$14:$J$83),"Other"))))</f>
        <v/>
      </c>
      <c r="AJ26">
        <f>IF($B26="","",IF(G26="","Not rostered",IFERROR(INDEX(Settings!$C$14:$C$33,MATCH(G26,Settings!$B$14:$B$33,0)),IFERROR(LOOKUP(2^15,SEARCH(Settings!$I$14:$I$83,G26)/(Settings!$I$14:$I$83&lt;&gt;""),Settings!$J$14:$J$83),"Other"))))</f>
        <v/>
      </c>
      <c r="AK26">
        <f>IF($B26="","",IF(H26="","Not rostered",IFERROR(INDEX(Settings!$C$14:$C$33,MATCH(H26,Settings!$B$14:$B$33,0)),IFERROR(LOOKUP(2^15,SEARCH(Settings!$I$14:$I$83,H26)/(Settings!$I$14:$I$83&lt;&gt;""),Settings!$J$14:$J$83),"Other"))))</f>
        <v/>
      </c>
      <c r="AL26">
        <f>IF($B26="","",IF(I26="","Not rostered",IFERROR(INDEX(Settings!$C$14:$C$33,MATCH(I26,Settings!$B$14:$B$33,0)),IFERROR(LOOKUP(2^15,SEARCH(Settings!$I$14:$I$83,I26)/(Settings!$I$14:$I$83&lt;&gt;""),Settings!$J$14:$J$83),"Other"))))</f>
        <v/>
      </c>
      <c r="AM26">
        <f>IF($B26="","",IF(J26="","Not rostered",IFERROR(INDEX(Settings!$C$14:$C$33,MATCH(J26,Settings!$B$14:$B$33,0)),IFERROR(LOOKUP(2^15,SEARCH(Settings!$I$14:$I$83,J26)/(Settings!$I$14:$I$83&lt;&gt;""),Settings!$J$14:$J$83),"Other"))))</f>
        <v/>
      </c>
      <c r="AN26">
        <f>IF($B26="","",IF(K26="","Not rostered",IFERROR(INDEX(Settings!$C$14:$C$33,MATCH(K26,Settings!$B$14:$B$33,0)),IFERROR(LOOKUP(2^15,SEARCH(Settings!$I$14:$I$83,K26)/(Settings!$I$14:$I$83&lt;&gt;""),Settings!$J$14:$J$83),"Other"))))</f>
        <v/>
      </c>
      <c r="AO26">
        <f>IF($B26="","",IF(L26="","Not rostered",IFERROR(INDEX(Settings!$C$14:$C$33,MATCH(L26,Settings!$B$14:$B$33,0)),IFERROR(LOOKUP(2^15,SEARCH(Settings!$I$14:$I$83,L26)/(Settings!$I$14:$I$83&lt;&gt;""),Settings!$J$14:$J$83),"Other"))))</f>
        <v/>
      </c>
      <c r="AP26">
        <f>IF($B26="","",IF(M26="","Not rostered",IFERROR(INDEX(Settings!$C$14:$C$33,MATCH(M26,Settings!$B$14:$B$33,0)),IFERROR(LOOKUP(2^15,SEARCH(Settings!$I$14:$I$83,M26)/(Settings!$I$14:$I$83&lt;&gt;""),Settings!$J$14:$J$83),"Other"))))</f>
        <v/>
      </c>
      <c r="AQ26">
        <f>IF($B26="","",IF(N26="","Not rostered",IFERROR(INDEX(Settings!$C$14:$C$33,MATCH(N26,Settings!$B$14:$B$33,0)),IFERROR(LOOKUP(2^15,SEARCH(Settings!$I$14:$I$83,N26)/(Settings!$I$14:$I$83&lt;&gt;""),Settings!$J$14:$J$83),"Other"))))</f>
        <v/>
      </c>
      <c r="AR26">
        <f>IF($B26="","",IF(O26="","Not rostered",IFERROR(INDEX(Settings!$C$14:$C$33,MATCH(O26,Settings!$B$14:$B$33,0)),IFERROR(LOOKUP(2^15,SEARCH(Settings!$I$14:$I$83,O26)/(Settings!$I$14:$I$83&lt;&gt;""),Settings!$J$14:$J$83),"Other"))))</f>
        <v/>
      </c>
      <c r="AS26">
        <f>IF($B26="","",IF(P26="","Not rostered",IFERROR(INDEX(Settings!$C$14:$C$33,MATCH(P26,Settings!$B$14:$B$33,0)),IFERROR(LOOKUP(2^15,SEARCH(Settings!$I$14:$I$83,P26)/(Settings!$I$14:$I$83&lt;&gt;""),Settings!$J$14:$J$83),"Other"))))</f>
        <v/>
      </c>
      <c r="AT26">
        <f>IF($B26="","",IF(Q26="","Not rostered",IFERROR(INDEX(Settings!$C$14:$C$33,MATCH(Q26,Settings!$B$14:$B$33,0)),IFERROR(LOOKUP(2^15,SEARCH(Settings!$I$14:$I$83,Q26)/(Settings!$I$14:$I$83&lt;&gt;""),Settings!$J$14:$J$83),"Other"))))</f>
        <v/>
      </c>
      <c r="AU26">
        <f>IF($B26="","",IF(R26="","Not rostered",IFERROR(INDEX(Settings!$C$14:$C$33,MATCH(R26,Settings!$B$14:$B$33,0)),IFERROR(LOOKUP(2^15,SEARCH(Settings!$I$14:$I$83,R26)/(Settings!$I$14:$I$83&lt;&gt;""),Settings!$J$14:$J$83),"Other"))))</f>
        <v/>
      </c>
      <c r="AV26">
        <f>IF($B26="","",IF(S26="","Not rostered",IFERROR(INDEX(Settings!$C$14:$C$33,MATCH(S26,Settings!$B$14:$B$33,0)),IFERROR(LOOKUP(2^15,SEARCH(Settings!$I$14:$I$83,S26)/(Settings!$I$14:$I$83&lt;&gt;""),Settings!$J$14:$J$83),"Other"))))</f>
        <v/>
      </c>
      <c r="AW26">
        <f>IF($B26="","",IF(T26="","Not rostered",IFERROR(INDEX(Settings!$C$14:$C$33,MATCH(T26,Settings!$B$14:$B$33,0)),IFERROR(LOOKUP(2^15,SEARCH(Settings!$I$14:$I$83,T26)/(Settings!$I$14:$I$83&lt;&gt;""),Settings!$J$14:$J$83),"Other"))))</f>
        <v/>
      </c>
      <c r="AX26">
        <f>IF($B26="","",IF(U26="","Not rostered",IFERROR(INDEX(Settings!$C$14:$C$33,MATCH(U26,Settings!$B$14:$B$33,0)),IFERROR(LOOKUP(2^15,SEARCH(Settings!$I$14:$I$83,U26)/(Settings!$I$14:$I$83&lt;&gt;""),Settings!$J$14:$J$83),"Other"))))</f>
        <v/>
      </c>
      <c r="AY26">
        <f>IF($B26="","",IF(V26="","Not rostered",IFERROR(INDEX(Settings!$C$14:$C$33,MATCH(V26,Settings!$B$14:$B$33,0)),IFERROR(LOOKUP(2^15,SEARCH(Settings!$I$14:$I$83,V26)/(Settings!$I$14:$I$83&lt;&gt;""),Settings!$J$14:$J$83),"Other"))))</f>
        <v/>
      </c>
      <c r="AZ26">
        <f>IF($B26="","",IF(W26="","Not rostered",IFERROR(INDEX(Settings!$C$14:$C$33,MATCH(W26,Settings!$B$14:$B$33,0)),IFERROR(LOOKUP(2^15,SEARCH(Settings!$I$14:$I$83,W26)/(Settings!$I$14:$I$83&lt;&gt;""),Settings!$J$14:$J$83),"Other"))))</f>
        <v/>
      </c>
      <c r="BA26">
        <f>IF($B26="","",IF(X26="","Not rostered",IFERROR(INDEX(Settings!$C$14:$C$33,MATCH(X26,Settings!$B$14:$B$33,0)),IFERROR(LOOKUP(2^15,SEARCH(Settings!$I$14:$I$83,X26)/(Settings!$I$14:$I$83&lt;&gt;""),Settings!$J$14:$J$83),"Other"))))</f>
        <v/>
      </c>
      <c r="BB26">
        <f>IF($B26="","",IF(Y26="","Not rostered",IFERROR(INDEX(Settings!$C$14:$C$33,MATCH(Y26,Settings!$B$14:$B$33,0)),IFERROR(LOOKUP(2^15,SEARCH(Settings!$I$14:$I$83,Y26)/(Settings!$I$14:$I$83&lt;&gt;""),Settings!$J$14:$J$83),"Other"))))</f>
        <v/>
      </c>
      <c r="BC26">
        <f>IF($B26="","",IF(Z26="","Not rostered",IFERROR(INDEX(Settings!$C$14:$C$33,MATCH(Z26,Settings!$B$14:$B$33,0)),IFERROR(LOOKUP(2^15,SEARCH(Settings!$I$14:$I$83,Z26)/(Settings!$I$14:$I$83&lt;&gt;""),Settings!$J$14:$J$83),"Other"))))</f>
        <v/>
      </c>
      <c r="BD26">
        <f>IF($B26="","",IF(AA26="","Not rostered",IFERROR(INDEX(Settings!$C$14:$C$33,MATCH(AA26,Settings!$B$14:$B$33,0)),IFERROR(LOOKUP(2^15,SEARCH(Settings!$I$14:$I$83,AA26)/(Settings!$I$14:$I$83&lt;&gt;""),Settings!$J$14:$J$83),"Other"))))</f>
        <v/>
      </c>
      <c r="BE26">
        <f>IF($B26="","",IF(AB26="","Not rostered",IFERROR(INDEX(Settings!$C$14:$C$33,MATCH(AB26,Settings!$B$14:$B$33,0)),IFERROR(LOOKUP(2^15,SEARCH(Settings!$I$14:$I$83,AB26)/(Settings!$I$14:$I$83&lt;&gt;""),Settings!$J$14:$J$83),"Other"))))</f>
        <v/>
      </c>
      <c r="BF26">
        <f>IF($B26="","",IF(AC26="","Not rostered",IFERROR(INDEX(Settings!$C$14:$C$33,MATCH(AC26,Settings!$B$14:$B$33,0)),IFERROR(LOOKUP(2^15,SEARCH(Settings!$I$14:$I$83,AC26)/(Settings!$I$14:$I$83&lt;&gt;""),Settings!$J$14:$J$83),"Other"))))</f>
        <v/>
      </c>
      <c r="BG26">
        <f>IF($B26="","",IF(AD26="","Not rostered",IFERROR(INDEX(Settings!$C$14:$C$33,MATCH(AD26,Settings!$B$14:$B$33,0)),IFERROR(LOOKUP(2^15,SEARCH(Settings!$I$14:$I$83,AD26)/(Settings!$I$14:$I$83&lt;&gt;""),Settings!$J$14:$J$83),"Other"))))</f>
        <v/>
      </c>
      <c r="BH26">
        <f>IF($B26="","",IF(AE26="","Not rostered",IFERROR(INDEX(Settings!$C$14:$C$33,MATCH(AE26,Settings!$B$14:$B$33,0)),IFERROR(LOOKUP(2^15,SEARCH(Settings!$I$14:$I$83,AE26)/(Settings!$I$14:$I$83&lt;&gt;""),Settings!$J$14:$J$83),"Other"))))</f>
        <v/>
      </c>
      <c r="BI26">
        <f>IF($B26="","",IF(AF26="","Not rostered",IFERROR(INDEX(Settings!$C$14:$C$33,MATCH(AF26,Settings!$B$14:$B$33,0)),IFERROR(LOOKUP(2^15,SEARCH(Settings!$I$14:$I$83,AF26)/(Settings!$I$14:$I$83&lt;&gt;""),Settings!$J$14:$J$83),"Other"))))</f>
        <v/>
      </c>
      <c r="BJ26">
        <f>IF($B26="","",IF(AG26="","Not rostered",IFERROR(INDEX(Settings!$C$14:$C$33,MATCH(AG26,Settings!$B$14:$B$33,0)),IFERROR(LOOKUP(2^15,SEARCH(Settings!$I$14:$I$83,AG26)/(Settings!$I$14:$I$83&lt;&gt;""),Settings!$J$14:$J$83),"Other"))))</f>
        <v/>
      </c>
      <c r="BL26">
        <f>IF(OR($B26="",F26=""),"",IFERROR(INDEX(Settings!$D$14:$D$33,MATCH(F26,Settings!$B$14:$B$33,0))&amp;"",IFERROR(LOOKUP(2^15,SEARCH(Settings!$F$14:$F$43,F26)/(Settings!$F$14:$F$43&lt;&gt;""),Settings!$G$14:$G$43),"")))</f>
        <v/>
      </c>
      <c r="BM26">
        <f>IF(OR($B26="",G26=""),"",IFERROR(INDEX(Settings!$D$14:$D$33,MATCH(G26,Settings!$B$14:$B$33,0))&amp;"",IFERROR(LOOKUP(2^15,SEARCH(Settings!$F$14:$F$43,G26)/(Settings!$F$14:$F$43&lt;&gt;""),Settings!$G$14:$G$43),"")))</f>
        <v/>
      </c>
      <c r="BN26">
        <f>IF(OR($B26="",H26=""),"",IFERROR(INDEX(Settings!$D$14:$D$33,MATCH(H26,Settings!$B$14:$B$33,0))&amp;"",IFERROR(LOOKUP(2^15,SEARCH(Settings!$F$14:$F$43,H26)/(Settings!$F$14:$F$43&lt;&gt;""),Settings!$G$14:$G$43),"")))</f>
        <v/>
      </c>
      <c r="BO26">
        <f>IF(OR($B26="",I26=""),"",IFERROR(INDEX(Settings!$D$14:$D$33,MATCH(I26,Settings!$B$14:$B$33,0))&amp;"",IFERROR(LOOKUP(2^15,SEARCH(Settings!$F$14:$F$43,I26)/(Settings!$F$14:$F$43&lt;&gt;""),Settings!$G$14:$G$43),"")))</f>
        <v/>
      </c>
      <c r="BP26">
        <f>IF(OR($B26="",J26=""),"",IFERROR(INDEX(Settings!$D$14:$D$33,MATCH(J26,Settings!$B$14:$B$33,0))&amp;"",IFERROR(LOOKUP(2^15,SEARCH(Settings!$F$14:$F$43,J26)/(Settings!$F$14:$F$43&lt;&gt;""),Settings!$G$14:$G$43),"")))</f>
        <v/>
      </c>
      <c r="BQ26">
        <f>IF(OR($B26="",K26=""),"",IFERROR(INDEX(Settings!$D$14:$D$33,MATCH(K26,Settings!$B$14:$B$33,0))&amp;"",IFERROR(LOOKUP(2^15,SEARCH(Settings!$F$14:$F$43,K26)/(Settings!$F$14:$F$43&lt;&gt;""),Settings!$G$14:$G$43),"")))</f>
        <v/>
      </c>
      <c r="BR26">
        <f>IF(OR($B26="",L26=""),"",IFERROR(INDEX(Settings!$D$14:$D$33,MATCH(L26,Settings!$B$14:$B$33,0))&amp;"",IFERROR(LOOKUP(2^15,SEARCH(Settings!$F$14:$F$43,L26)/(Settings!$F$14:$F$43&lt;&gt;""),Settings!$G$14:$G$43),"")))</f>
        <v/>
      </c>
      <c r="BS26">
        <f>IF(OR($B26="",M26=""),"",IFERROR(INDEX(Settings!$D$14:$D$33,MATCH(M26,Settings!$B$14:$B$33,0))&amp;"",IFERROR(LOOKUP(2^15,SEARCH(Settings!$F$14:$F$43,M26)/(Settings!$F$14:$F$43&lt;&gt;""),Settings!$G$14:$G$43),"")))</f>
        <v/>
      </c>
      <c r="BT26">
        <f>IF(OR($B26="",N26=""),"",IFERROR(INDEX(Settings!$D$14:$D$33,MATCH(N26,Settings!$B$14:$B$33,0))&amp;"",IFERROR(LOOKUP(2^15,SEARCH(Settings!$F$14:$F$43,N26)/(Settings!$F$14:$F$43&lt;&gt;""),Settings!$G$14:$G$43),"")))</f>
        <v/>
      </c>
      <c r="BU26">
        <f>IF(OR($B26="",O26=""),"",IFERROR(INDEX(Settings!$D$14:$D$33,MATCH(O26,Settings!$B$14:$B$33,0))&amp;"",IFERROR(LOOKUP(2^15,SEARCH(Settings!$F$14:$F$43,O26)/(Settings!$F$14:$F$43&lt;&gt;""),Settings!$G$14:$G$43),"")))</f>
        <v/>
      </c>
      <c r="BV26">
        <f>IF(OR($B26="",P26=""),"",IFERROR(INDEX(Settings!$D$14:$D$33,MATCH(P26,Settings!$B$14:$B$33,0))&amp;"",IFERROR(LOOKUP(2^15,SEARCH(Settings!$F$14:$F$43,P26)/(Settings!$F$14:$F$43&lt;&gt;""),Settings!$G$14:$G$43),"")))</f>
        <v/>
      </c>
      <c r="BW26">
        <f>IF(OR($B26="",Q26=""),"",IFERROR(INDEX(Settings!$D$14:$D$33,MATCH(Q26,Settings!$B$14:$B$33,0))&amp;"",IFERROR(LOOKUP(2^15,SEARCH(Settings!$F$14:$F$43,Q26)/(Settings!$F$14:$F$43&lt;&gt;""),Settings!$G$14:$G$43),"")))</f>
        <v/>
      </c>
      <c r="BX26">
        <f>IF(OR($B26="",R26=""),"",IFERROR(INDEX(Settings!$D$14:$D$33,MATCH(R26,Settings!$B$14:$B$33,0))&amp;"",IFERROR(LOOKUP(2^15,SEARCH(Settings!$F$14:$F$43,R26)/(Settings!$F$14:$F$43&lt;&gt;""),Settings!$G$14:$G$43),"")))</f>
        <v/>
      </c>
      <c r="BY26">
        <f>IF(OR($B26="",S26=""),"",IFERROR(INDEX(Settings!$D$14:$D$33,MATCH(S26,Settings!$B$14:$B$33,0))&amp;"",IFERROR(LOOKUP(2^15,SEARCH(Settings!$F$14:$F$43,S26)/(Settings!$F$14:$F$43&lt;&gt;""),Settings!$G$14:$G$43),"")))</f>
        <v/>
      </c>
      <c r="BZ26">
        <f>IF(OR($B26="",T26=""),"",IFERROR(INDEX(Settings!$D$14:$D$33,MATCH(T26,Settings!$B$14:$B$33,0))&amp;"",IFERROR(LOOKUP(2^15,SEARCH(Settings!$F$14:$F$43,T26)/(Settings!$F$14:$F$43&lt;&gt;""),Settings!$G$14:$G$43),"")))</f>
        <v/>
      </c>
      <c r="CA26">
        <f>IF(OR($B26="",U26=""),"",IFERROR(INDEX(Settings!$D$14:$D$33,MATCH(U26,Settings!$B$14:$B$33,0))&amp;"",IFERROR(LOOKUP(2^15,SEARCH(Settings!$F$14:$F$43,U26)/(Settings!$F$14:$F$43&lt;&gt;""),Settings!$G$14:$G$43),"")))</f>
        <v/>
      </c>
      <c r="CB26">
        <f>IF(OR($B26="",V26=""),"",IFERROR(INDEX(Settings!$D$14:$D$33,MATCH(V26,Settings!$B$14:$B$33,0))&amp;"",IFERROR(LOOKUP(2^15,SEARCH(Settings!$F$14:$F$43,V26)/(Settings!$F$14:$F$43&lt;&gt;""),Settings!$G$14:$G$43),"")))</f>
        <v/>
      </c>
      <c r="CC26">
        <f>IF(OR($B26="",W26=""),"",IFERROR(INDEX(Settings!$D$14:$D$33,MATCH(W26,Settings!$B$14:$B$33,0))&amp;"",IFERROR(LOOKUP(2^15,SEARCH(Settings!$F$14:$F$43,W26)/(Settings!$F$14:$F$43&lt;&gt;""),Settings!$G$14:$G$43),"")))</f>
        <v/>
      </c>
      <c r="CD26">
        <f>IF(OR($B26="",X26=""),"",IFERROR(INDEX(Settings!$D$14:$D$33,MATCH(X26,Settings!$B$14:$B$33,0))&amp;"",IFERROR(LOOKUP(2^15,SEARCH(Settings!$F$14:$F$43,X26)/(Settings!$F$14:$F$43&lt;&gt;""),Settings!$G$14:$G$43),"")))</f>
        <v/>
      </c>
      <c r="CE26">
        <f>IF(OR($B26="",Y26=""),"",IFERROR(INDEX(Settings!$D$14:$D$33,MATCH(Y26,Settings!$B$14:$B$33,0))&amp;"",IFERROR(LOOKUP(2^15,SEARCH(Settings!$F$14:$F$43,Y26)/(Settings!$F$14:$F$43&lt;&gt;""),Settings!$G$14:$G$43),"")))</f>
        <v/>
      </c>
      <c r="CF26">
        <f>IF(OR($B26="",Z26=""),"",IFERROR(INDEX(Settings!$D$14:$D$33,MATCH(Z26,Settings!$B$14:$B$33,0))&amp;"",IFERROR(LOOKUP(2^15,SEARCH(Settings!$F$14:$F$43,Z26)/(Settings!$F$14:$F$43&lt;&gt;""),Settings!$G$14:$G$43),"")))</f>
        <v/>
      </c>
      <c r="CG26">
        <f>IF(OR($B26="",AA26=""),"",IFERROR(INDEX(Settings!$D$14:$D$33,MATCH(AA26,Settings!$B$14:$B$33,0))&amp;"",IFERROR(LOOKUP(2^15,SEARCH(Settings!$F$14:$F$43,AA26)/(Settings!$F$14:$F$43&lt;&gt;""),Settings!$G$14:$G$43),"")))</f>
        <v/>
      </c>
      <c r="CH26">
        <f>IF(OR($B26="",AB26=""),"",IFERROR(INDEX(Settings!$D$14:$D$33,MATCH(AB26,Settings!$B$14:$B$33,0))&amp;"",IFERROR(LOOKUP(2^15,SEARCH(Settings!$F$14:$F$43,AB26)/(Settings!$F$14:$F$43&lt;&gt;""),Settings!$G$14:$G$43),"")))</f>
        <v/>
      </c>
      <c r="CI26">
        <f>IF(OR($B26="",AC26=""),"",IFERROR(INDEX(Settings!$D$14:$D$33,MATCH(AC26,Settings!$B$14:$B$33,0))&amp;"",IFERROR(LOOKUP(2^15,SEARCH(Settings!$F$14:$F$43,AC26)/(Settings!$F$14:$F$43&lt;&gt;""),Settings!$G$14:$G$43),"")))</f>
        <v/>
      </c>
      <c r="CJ26">
        <f>IF(OR($B26="",AD26=""),"",IFERROR(INDEX(Settings!$D$14:$D$33,MATCH(AD26,Settings!$B$14:$B$33,0))&amp;"",IFERROR(LOOKUP(2^15,SEARCH(Settings!$F$14:$F$43,AD26)/(Settings!$F$14:$F$43&lt;&gt;""),Settings!$G$14:$G$43),"")))</f>
        <v/>
      </c>
      <c r="CK26">
        <f>IF(OR($B26="",AE26=""),"",IFERROR(INDEX(Settings!$D$14:$D$33,MATCH(AE26,Settings!$B$14:$B$33,0))&amp;"",IFERROR(LOOKUP(2^15,SEARCH(Settings!$F$14:$F$43,AE26)/(Settings!$F$14:$F$43&lt;&gt;""),Settings!$G$14:$G$43),"")))</f>
        <v/>
      </c>
      <c r="CL26">
        <f>IF(OR($B26="",AF26=""),"",IFERROR(INDEX(Settings!$D$14:$D$33,MATCH(AF26,Settings!$B$14:$B$33,0))&amp;"",IFERROR(LOOKUP(2^15,SEARCH(Settings!$F$14:$F$43,AF26)/(Settings!$F$14:$F$43&lt;&gt;""),Settings!$G$14:$G$43),"")))</f>
        <v/>
      </c>
      <c r="CM26">
        <f>IF(OR($B26="",AG26=""),"",IFERROR(INDEX(Settings!$D$14:$D$33,MATCH(AG26,Settings!$B$14:$B$33,0))&amp;"",IFERROR(LOOKUP(2^15,SEARCH(Settings!$F$14:$F$43,AG26)/(Settings!$F$14:$F$43&lt;&gt;""),Settings!$G$14:$G$43),"")))</f>
        <v/>
      </c>
    </row>
    <row r="27">
      <c r="A27" t="n">
        <v>25</v>
      </c>
      <c r="B27">
        <f>IFERROR(INDEX(Index!$A$2:$A$202,MATCH(A27,Index!$E$2:$E$202,0)),"")</f>
        <v/>
      </c>
      <c r="D27">
        <f>IF($B27="","",IFERROR(MATCH("Travel*",AI27:BJ27,0),""))</f>
        <v/>
      </c>
      <c r="F27">
        <f>IF(OR($B27="",NOT(ISNUMBER(Settings!$C$9))),"",TRIM(SUBSTITUTE(SUBSTITUTE(INDEX('INPUT - Roster'!$S$1:$SV$206,$B27,Settings!$C$9+0)&amp;"",CHAR(10)," "),CHAR(160)," ")))</f>
        <v/>
      </c>
      <c r="G27">
        <f>IF(OR($B27="",NOT(ISNUMBER(Settings!$C$9))),"",TRIM(SUBSTITUTE(SUBSTITUTE(INDEX('INPUT - Roster'!$S$1:$SV$206,$B27,Settings!$C$9+1)&amp;"",CHAR(10)," "),CHAR(160)," ")))</f>
        <v/>
      </c>
      <c r="H27">
        <f>IF(OR($B27="",NOT(ISNUMBER(Settings!$C$9))),"",TRIM(SUBSTITUTE(SUBSTITUTE(INDEX('INPUT - Roster'!$S$1:$SV$206,$B27,Settings!$C$9+2)&amp;"",CHAR(10)," "),CHAR(160)," ")))</f>
        <v/>
      </c>
      <c r="I27">
        <f>IF(OR($B27="",NOT(ISNUMBER(Settings!$C$9))),"",TRIM(SUBSTITUTE(SUBSTITUTE(INDEX('INPUT - Roster'!$S$1:$SV$206,$B27,Settings!$C$9+3)&amp;"",CHAR(10)," "),CHAR(160)," ")))</f>
        <v/>
      </c>
      <c r="J27">
        <f>IF(OR($B27="",NOT(ISNUMBER(Settings!$C$9))),"",TRIM(SUBSTITUTE(SUBSTITUTE(INDEX('INPUT - Roster'!$S$1:$SV$206,$B27,Settings!$C$9+4)&amp;"",CHAR(10)," "),CHAR(160)," ")))</f>
        <v/>
      </c>
      <c r="K27">
        <f>IF(OR($B27="",NOT(ISNUMBER(Settings!$C$9))),"",TRIM(SUBSTITUTE(SUBSTITUTE(INDEX('INPUT - Roster'!$S$1:$SV$206,$B27,Settings!$C$9+5)&amp;"",CHAR(10)," "),CHAR(160)," ")))</f>
        <v/>
      </c>
      <c r="L27">
        <f>IF(OR($B27="",NOT(ISNUMBER(Settings!$C$9))),"",TRIM(SUBSTITUTE(SUBSTITUTE(INDEX('INPUT - Roster'!$S$1:$SV$206,$B27,Settings!$C$9+6)&amp;"",CHAR(10)," "),CHAR(160)," ")))</f>
        <v/>
      </c>
      <c r="M27">
        <f>IF(OR($B27="",NOT(ISNUMBER(Settings!$C$9))),"",TRIM(SUBSTITUTE(SUBSTITUTE(INDEX('INPUT - Roster'!$S$1:$SV$206,$B27,Settings!$C$9+7)&amp;"",CHAR(10)," "),CHAR(160)," ")))</f>
        <v/>
      </c>
      <c r="N27">
        <f>IF(OR($B27="",NOT(ISNUMBER(Settings!$C$9))),"",TRIM(SUBSTITUTE(SUBSTITUTE(INDEX('INPUT - Roster'!$S$1:$SV$206,$B27,Settings!$C$9+8)&amp;"",CHAR(10)," "),CHAR(160)," ")))</f>
        <v/>
      </c>
      <c r="O27">
        <f>IF(OR($B27="",NOT(ISNUMBER(Settings!$C$9))),"",TRIM(SUBSTITUTE(SUBSTITUTE(INDEX('INPUT - Roster'!$S$1:$SV$206,$B27,Settings!$C$9+9)&amp;"",CHAR(10)," "),CHAR(160)," ")))</f>
        <v/>
      </c>
      <c r="P27">
        <f>IF(OR($B27="",NOT(ISNUMBER(Settings!$C$9))),"",TRIM(SUBSTITUTE(SUBSTITUTE(INDEX('INPUT - Roster'!$S$1:$SV$206,$B27,Settings!$C$9+10)&amp;"",CHAR(10)," "),CHAR(160)," ")))</f>
        <v/>
      </c>
      <c r="Q27">
        <f>IF(OR($B27="",NOT(ISNUMBER(Settings!$C$9))),"",TRIM(SUBSTITUTE(SUBSTITUTE(INDEX('INPUT - Roster'!$S$1:$SV$206,$B27,Settings!$C$9+11)&amp;"",CHAR(10)," "),CHAR(160)," ")))</f>
        <v/>
      </c>
      <c r="R27">
        <f>IF(OR($B27="",NOT(ISNUMBER(Settings!$C$9))),"",TRIM(SUBSTITUTE(SUBSTITUTE(INDEX('INPUT - Roster'!$S$1:$SV$206,$B27,Settings!$C$9+12)&amp;"",CHAR(10)," "),CHAR(160)," ")))</f>
        <v/>
      </c>
      <c r="S27">
        <f>IF(OR($B27="",NOT(ISNUMBER(Settings!$C$9))),"",TRIM(SUBSTITUTE(SUBSTITUTE(INDEX('INPUT - Roster'!$S$1:$SV$206,$B27,Settings!$C$9+13)&amp;"",CHAR(10)," "),CHAR(160)," ")))</f>
        <v/>
      </c>
      <c r="T27">
        <f>IF(OR($B27="",NOT(ISNUMBER(Settings!$C$9))),"",TRIM(SUBSTITUTE(SUBSTITUTE(INDEX('INPUT - Roster'!$S$1:$SV$206,$B27,Settings!$C$9+14)&amp;"",CHAR(10)," "),CHAR(160)," ")))</f>
        <v/>
      </c>
      <c r="U27">
        <f>IF(OR($B27="",NOT(ISNUMBER(Settings!$C$9))),"",TRIM(SUBSTITUTE(SUBSTITUTE(INDEX('INPUT - Roster'!$S$1:$SV$206,$B27,Settings!$C$9+15)&amp;"",CHAR(10)," "),CHAR(160)," ")))</f>
        <v/>
      </c>
      <c r="V27">
        <f>IF(OR($B27="",NOT(ISNUMBER(Settings!$C$9))),"",TRIM(SUBSTITUTE(SUBSTITUTE(INDEX('INPUT - Roster'!$S$1:$SV$206,$B27,Settings!$C$9+16)&amp;"",CHAR(10)," "),CHAR(160)," ")))</f>
        <v/>
      </c>
      <c r="W27">
        <f>IF(OR($B27="",NOT(ISNUMBER(Settings!$C$9))),"",TRIM(SUBSTITUTE(SUBSTITUTE(INDEX('INPUT - Roster'!$S$1:$SV$206,$B27,Settings!$C$9+17)&amp;"",CHAR(10)," "),CHAR(160)," ")))</f>
        <v/>
      </c>
      <c r="X27">
        <f>IF(OR($B27="",NOT(ISNUMBER(Settings!$C$9))),"",TRIM(SUBSTITUTE(SUBSTITUTE(INDEX('INPUT - Roster'!$S$1:$SV$206,$B27,Settings!$C$9+18)&amp;"",CHAR(10)," "),CHAR(160)," ")))</f>
        <v/>
      </c>
      <c r="Y27">
        <f>IF(OR($B27="",NOT(ISNUMBER(Settings!$C$9))),"",TRIM(SUBSTITUTE(SUBSTITUTE(INDEX('INPUT - Roster'!$S$1:$SV$206,$B27,Settings!$C$9+19)&amp;"",CHAR(10)," "),CHAR(160)," ")))</f>
        <v/>
      </c>
      <c r="Z27">
        <f>IF(OR($B27="",NOT(ISNUMBER(Settings!$C$9))),"",TRIM(SUBSTITUTE(SUBSTITUTE(INDEX('INPUT - Roster'!$S$1:$SV$206,$B27,Settings!$C$9+20)&amp;"",CHAR(10)," "),CHAR(160)," ")))</f>
        <v/>
      </c>
      <c r="AA27">
        <f>IF(OR($B27="",NOT(ISNUMBER(Settings!$C$9))),"",TRIM(SUBSTITUTE(SUBSTITUTE(INDEX('INPUT - Roster'!$S$1:$SV$206,$B27,Settings!$C$9+21)&amp;"",CHAR(10)," "),CHAR(160)," ")))</f>
        <v/>
      </c>
      <c r="AB27">
        <f>IF(OR($B27="",NOT(ISNUMBER(Settings!$C$9))),"",TRIM(SUBSTITUTE(SUBSTITUTE(INDEX('INPUT - Roster'!$S$1:$SV$206,$B27,Settings!$C$9+22)&amp;"",CHAR(10)," "),CHAR(160)," ")))</f>
        <v/>
      </c>
      <c r="AC27">
        <f>IF(OR($B27="",NOT(ISNUMBER(Settings!$C$9))),"",TRIM(SUBSTITUTE(SUBSTITUTE(INDEX('INPUT - Roster'!$S$1:$SV$206,$B27,Settings!$C$9+23)&amp;"",CHAR(10)," "),CHAR(160)," ")))</f>
        <v/>
      </c>
      <c r="AD27">
        <f>IF(OR($B27="",NOT(ISNUMBER(Settings!$C$9))),"",TRIM(SUBSTITUTE(SUBSTITUTE(INDEX('INPUT - Roster'!$S$1:$SV$206,$B27,Settings!$C$9+24)&amp;"",CHAR(10)," "),CHAR(160)," ")))</f>
        <v/>
      </c>
      <c r="AE27">
        <f>IF(OR($B27="",NOT(ISNUMBER(Settings!$C$9))),"",TRIM(SUBSTITUTE(SUBSTITUTE(INDEX('INPUT - Roster'!$S$1:$SV$206,$B27,Settings!$C$9+25)&amp;"",CHAR(10)," "),CHAR(160)," ")))</f>
        <v/>
      </c>
      <c r="AF27">
        <f>IF(OR($B27="",NOT(ISNUMBER(Settings!$C$9))),"",TRIM(SUBSTITUTE(SUBSTITUTE(INDEX('INPUT - Roster'!$S$1:$SV$206,$B27,Settings!$C$9+26)&amp;"",CHAR(10)," "),CHAR(160)," ")))</f>
        <v/>
      </c>
      <c r="AG27">
        <f>IF(OR($B27="",NOT(ISNUMBER(Settings!$C$9))),"",TRIM(SUBSTITUTE(SUBSTITUTE(INDEX('INPUT - Roster'!$S$1:$SV$206,$B27,Settings!$C$9+27)&amp;"",CHAR(10)," "),CHAR(160)," ")))</f>
        <v/>
      </c>
      <c r="AI27">
        <f>IF($B27="","",IF(F27="","Not rostered",IFERROR(INDEX(Settings!$C$14:$C$33,MATCH(F27,Settings!$B$14:$B$33,0)),IFERROR(LOOKUP(2^15,SEARCH(Settings!$I$14:$I$83,F27)/(Settings!$I$14:$I$83&lt;&gt;""),Settings!$J$14:$J$83),"Other"))))</f>
        <v/>
      </c>
      <c r="AJ27">
        <f>IF($B27="","",IF(G27="","Not rostered",IFERROR(INDEX(Settings!$C$14:$C$33,MATCH(G27,Settings!$B$14:$B$33,0)),IFERROR(LOOKUP(2^15,SEARCH(Settings!$I$14:$I$83,G27)/(Settings!$I$14:$I$83&lt;&gt;""),Settings!$J$14:$J$83),"Other"))))</f>
        <v/>
      </c>
      <c r="AK27">
        <f>IF($B27="","",IF(H27="","Not rostered",IFERROR(INDEX(Settings!$C$14:$C$33,MATCH(H27,Settings!$B$14:$B$33,0)),IFERROR(LOOKUP(2^15,SEARCH(Settings!$I$14:$I$83,H27)/(Settings!$I$14:$I$83&lt;&gt;""),Settings!$J$14:$J$83),"Other"))))</f>
        <v/>
      </c>
      <c r="AL27">
        <f>IF($B27="","",IF(I27="","Not rostered",IFERROR(INDEX(Settings!$C$14:$C$33,MATCH(I27,Settings!$B$14:$B$33,0)),IFERROR(LOOKUP(2^15,SEARCH(Settings!$I$14:$I$83,I27)/(Settings!$I$14:$I$83&lt;&gt;""),Settings!$J$14:$J$83),"Other"))))</f>
        <v/>
      </c>
      <c r="AM27">
        <f>IF($B27="","",IF(J27="","Not rostered",IFERROR(INDEX(Settings!$C$14:$C$33,MATCH(J27,Settings!$B$14:$B$33,0)),IFERROR(LOOKUP(2^15,SEARCH(Settings!$I$14:$I$83,J27)/(Settings!$I$14:$I$83&lt;&gt;""),Settings!$J$14:$J$83),"Other"))))</f>
        <v/>
      </c>
      <c r="AN27">
        <f>IF($B27="","",IF(K27="","Not rostered",IFERROR(INDEX(Settings!$C$14:$C$33,MATCH(K27,Settings!$B$14:$B$33,0)),IFERROR(LOOKUP(2^15,SEARCH(Settings!$I$14:$I$83,K27)/(Settings!$I$14:$I$83&lt;&gt;""),Settings!$J$14:$J$83),"Other"))))</f>
        <v/>
      </c>
      <c r="AO27">
        <f>IF($B27="","",IF(L27="","Not rostered",IFERROR(INDEX(Settings!$C$14:$C$33,MATCH(L27,Settings!$B$14:$B$33,0)),IFERROR(LOOKUP(2^15,SEARCH(Settings!$I$14:$I$83,L27)/(Settings!$I$14:$I$83&lt;&gt;""),Settings!$J$14:$J$83),"Other"))))</f>
        <v/>
      </c>
      <c r="AP27">
        <f>IF($B27="","",IF(M27="","Not rostered",IFERROR(INDEX(Settings!$C$14:$C$33,MATCH(M27,Settings!$B$14:$B$33,0)),IFERROR(LOOKUP(2^15,SEARCH(Settings!$I$14:$I$83,M27)/(Settings!$I$14:$I$83&lt;&gt;""),Settings!$J$14:$J$83),"Other"))))</f>
        <v/>
      </c>
      <c r="AQ27">
        <f>IF($B27="","",IF(N27="","Not rostered",IFERROR(INDEX(Settings!$C$14:$C$33,MATCH(N27,Settings!$B$14:$B$33,0)),IFERROR(LOOKUP(2^15,SEARCH(Settings!$I$14:$I$83,N27)/(Settings!$I$14:$I$83&lt;&gt;""),Settings!$J$14:$J$83),"Other"))))</f>
        <v/>
      </c>
      <c r="AR27">
        <f>IF($B27="","",IF(O27="","Not rostered",IFERROR(INDEX(Settings!$C$14:$C$33,MATCH(O27,Settings!$B$14:$B$33,0)),IFERROR(LOOKUP(2^15,SEARCH(Settings!$I$14:$I$83,O27)/(Settings!$I$14:$I$83&lt;&gt;""),Settings!$J$14:$J$83),"Other"))))</f>
        <v/>
      </c>
      <c r="AS27">
        <f>IF($B27="","",IF(P27="","Not rostered",IFERROR(INDEX(Settings!$C$14:$C$33,MATCH(P27,Settings!$B$14:$B$33,0)),IFERROR(LOOKUP(2^15,SEARCH(Settings!$I$14:$I$83,P27)/(Settings!$I$14:$I$83&lt;&gt;""),Settings!$J$14:$J$83),"Other"))))</f>
        <v/>
      </c>
      <c r="AT27">
        <f>IF($B27="","",IF(Q27="","Not rostered",IFERROR(INDEX(Settings!$C$14:$C$33,MATCH(Q27,Settings!$B$14:$B$33,0)),IFERROR(LOOKUP(2^15,SEARCH(Settings!$I$14:$I$83,Q27)/(Settings!$I$14:$I$83&lt;&gt;""),Settings!$J$14:$J$83),"Other"))))</f>
        <v/>
      </c>
      <c r="AU27">
        <f>IF($B27="","",IF(R27="","Not rostered",IFERROR(INDEX(Settings!$C$14:$C$33,MATCH(R27,Settings!$B$14:$B$33,0)),IFERROR(LOOKUP(2^15,SEARCH(Settings!$I$14:$I$83,R27)/(Settings!$I$14:$I$83&lt;&gt;""),Settings!$J$14:$J$83),"Other"))))</f>
        <v/>
      </c>
      <c r="AV27">
        <f>IF($B27="","",IF(S27="","Not rostered",IFERROR(INDEX(Settings!$C$14:$C$33,MATCH(S27,Settings!$B$14:$B$33,0)),IFERROR(LOOKUP(2^15,SEARCH(Settings!$I$14:$I$83,S27)/(Settings!$I$14:$I$83&lt;&gt;""),Settings!$J$14:$J$83),"Other"))))</f>
        <v/>
      </c>
      <c r="AW27">
        <f>IF($B27="","",IF(T27="","Not rostered",IFERROR(INDEX(Settings!$C$14:$C$33,MATCH(T27,Settings!$B$14:$B$33,0)),IFERROR(LOOKUP(2^15,SEARCH(Settings!$I$14:$I$83,T27)/(Settings!$I$14:$I$83&lt;&gt;""),Settings!$J$14:$J$83),"Other"))))</f>
        <v/>
      </c>
      <c r="AX27">
        <f>IF($B27="","",IF(U27="","Not rostered",IFERROR(INDEX(Settings!$C$14:$C$33,MATCH(U27,Settings!$B$14:$B$33,0)),IFERROR(LOOKUP(2^15,SEARCH(Settings!$I$14:$I$83,U27)/(Settings!$I$14:$I$83&lt;&gt;""),Settings!$J$14:$J$83),"Other"))))</f>
        <v/>
      </c>
      <c r="AY27">
        <f>IF($B27="","",IF(V27="","Not rostered",IFERROR(INDEX(Settings!$C$14:$C$33,MATCH(V27,Settings!$B$14:$B$33,0)),IFERROR(LOOKUP(2^15,SEARCH(Settings!$I$14:$I$83,V27)/(Settings!$I$14:$I$83&lt;&gt;""),Settings!$J$14:$J$83),"Other"))))</f>
        <v/>
      </c>
      <c r="AZ27">
        <f>IF($B27="","",IF(W27="","Not rostered",IFERROR(INDEX(Settings!$C$14:$C$33,MATCH(W27,Settings!$B$14:$B$33,0)),IFERROR(LOOKUP(2^15,SEARCH(Settings!$I$14:$I$83,W27)/(Settings!$I$14:$I$83&lt;&gt;""),Settings!$J$14:$J$83),"Other"))))</f>
        <v/>
      </c>
      <c r="BA27">
        <f>IF($B27="","",IF(X27="","Not rostered",IFERROR(INDEX(Settings!$C$14:$C$33,MATCH(X27,Settings!$B$14:$B$33,0)),IFERROR(LOOKUP(2^15,SEARCH(Settings!$I$14:$I$83,X27)/(Settings!$I$14:$I$83&lt;&gt;""),Settings!$J$14:$J$83),"Other"))))</f>
        <v/>
      </c>
      <c r="BB27">
        <f>IF($B27="","",IF(Y27="","Not rostered",IFERROR(INDEX(Settings!$C$14:$C$33,MATCH(Y27,Settings!$B$14:$B$33,0)),IFERROR(LOOKUP(2^15,SEARCH(Settings!$I$14:$I$83,Y27)/(Settings!$I$14:$I$83&lt;&gt;""),Settings!$J$14:$J$83),"Other"))))</f>
        <v/>
      </c>
      <c r="BC27">
        <f>IF($B27="","",IF(Z27="","Not rostered",IFERROR(INDEX(Settings!$C$14:$C$33,MATCH(Z27,Settings!$B$14:$B$33,0)),IFERROR(LOOKUP(2^15,SEARCH(Settings!$I$14:$I$83,Z27)/(Settings!$I$14:$I$83&lt;&gt;""),Settings!$J$14:$J$83),"Other"))))</f>
        <v/>
      </c>
      <c r="BD27">
        <f>IF($B27="","",IF(AA27="","Not rostered",IFERROR(INDEX(Settings!$C$14:$C$33,MATCH(AA27,Settings!$B$14:$B$33,0)),IFERROR(LOOKUP(2^15,SEARCH(Settings!$I$14:$I$83,AA27)/(Settings!$I$14:$I$83&lt;&gt;""),Settings!$J$14:$J$83),"Other"))))</f>
        <v/>
      </c>
      <c r="BE27">
        <f>IF($B27="","",IF(AB27="","Not rostered",IFERROR(INDEX(Settings!$C$14:$C$33,MATCH(AB27,Settings!$B$14:$B$33,0)),IFERROR(LOOKUP(2^15,SEARCH(Settings!$I$14:$I$83,AB27)/(Settings!$I$14:$I$83&lt;&gt;""),Settings!$J$14:$J$83),"Other"))))</f>
        <v/>
      </c>
      <c r="BF27">
        <f>IF($B27="","",IF(AC27="","Not rostered",IFERROR(INDEX(Settings!$C$14:$C$33,MATCH(AC27,Settings!$B$14:$B$33,0)),IFERROR(LOOKUP(2^15,SEARCH(Settings!$I$14:$I$83,AC27)/(Settings!$I$14:$I$83&lt;&gt;""),Settings!$J$14:$J$83),"Other"))))</f>
        <v/>
      </c>
      <c r="BG27">
        <f>IF($B27="","",IF(AD27="","Not rostered",IFERROR(INDEX(Settings!$C$14:$C$33,MATCH(AD27,Settings!$B$14:$B$33,0)),IFERROR(LOOKUP(2^15,SEARCH(Settings!$I$14:$I$83,AD27)/(Settings!$I$14:$I$83&lt;&gt;""),Settings!$J$14:$J$83),"Other"))))</f>
        <v/>
      </c>
      <c r="BH27">
        <f>IF($B27="","",IF(AE27="","Not rostered",IFERROR(INDEX(Settings!$C$14:$C$33,MATCH(AE27,Settings!$B$14:$B$33,0)),IFERROR(LOOKUP(2^15,SEARCH(Settings!$I$14:$I$83,AE27)/(Settings!$I$14:$I$83&lt;&gt;""),Settings!$J$14:$J$83),"Other"))))</f>
        <v/>
      </c>
      <c r="BI27">
        <f>IF($B27="","",IF(AF27="","Not rostered",IFERROR(INDEX(Settings!$C$14:$C$33,MATCH(AF27,Settings!$B$14:$B$33,0)),IFERROR(LOOKUP(2^15,SEARCH(Settings!$I$14:$I$83,AF27)/(Settings!$I$14:$I$83&lt;&gt;""),Settings!$J$14:$J$83),"Other"))))</f>
        <v/>
      </c>
      <c r="BJ27">
        <f>IF($B27="","",IF(AG27="","Not rostered",IFERROR(INDEX(Settings!$C$14:$C$33,MATCH(AG27,Settings!$B$14:$B$33,0)),IFERROR(LOOKUP(2^15,SEARCH(Settings!$I$14:$I$83,AG27)/(Settings!$I$14:$I$83&lt;&gt;""),Settings!$J$14:$J$83),"Other"))))</f>
        <v/>
      </c>
      <c r="BL27">
        <f>IF(OR($B27="",F27=""),"",IFERROR(INDEX(Settings!$D$14:$D$33,MATCH(F27,Settings!$B$14:$B$33,0))&amp;"",IFERROR(LOOKUP(2^15,SEARCH(Settings!$F$14:$F$43,F27)/(Settings!$F$14:$F$43&lt;&gt;""),Settings!$G$14:$G$43),"")))</f>
        <v/>
      </c>
      <c r="BM27">
        <f>IF(OR($B27="",G27=""),"",IFERROR(INDEX(Settings!$D$14:$D$33,MATCH(G27,Settings!$B$14:$B$33,0))&amp;"",IFERROR(LOOKUP(2^15,SEARCH(Settings!$F$14:$F$43,G27)/(Settings!$F$14:$F$43&lt;&gt;""),Settings!$G$14:$G$43),"")))</f>
        <v/>
      </c>
      <c r="BN27">
        <f>IF(OR($B27="",H27=""),"",IFERROR(INDEX(Settings!$D$14:$D$33,MATCH(H27,Settings!$B$14:$B$33,0))&amp;"",IFERROR(LOOKUP(2^15,SEARCH(Settings!$F$14:$F$43,H27)/(Settings!$F$14:$F$43&lt;&gt;""),Settings!$G$14:$G$43),"")))</f>
        <v/>
      </c>
      <c r="BO27">
        <f>IF(OR($B27="",I27=""),"",IFERROR(INDEX(Settings!$D$14:$D$33,MATCH(I27,Settings!$B$14:$B$33,0))&amp;"",IFERROR(LOOKUP(2^15,SEARCH(Settings!$F$14:$F$43,I27)/(Settings!$F$14:$F$43&lt;&gt;""),Settings!$G$14:$G$43),"")))</f>
        <v/>
      </c>
      <c r="BP27">
        <f>IF(OR($B27="",J27=""),"",IFERROR(INDEX(Settings!$D$14:$D$33,MATCH(J27,Settings!$B$14:$B$33,0))&amp;"",IFERROR(LOOKUP(2^15,SEARCH(Settings!$F$14:$F$43,J27)/(Settings!$F$14:$F$43&lt;&gt;""),Settings!$G$14:$G$43),"")))</f>
        <v/>
      </c>
      <c r="BQ27">
        <f>IF(OR($B27="",K27=""),"",IFERROR(INDEX(Settings!$D$14:$D$33,MATCH(K27,Settings!$B$14:$B$33,0))&amp;"",IFERROR(LOOKUP(2^15,SEARCH(Settings!$F$14:$F$43,K27)/(Settings!$F$14:$F$43&lt;&gt;""),Settings!$G$14:$G$43),"")))</f>
        <v/>
      </c>
      <c r="BR27">
        <f>IF(OR($B27="",L27=""),"",IFERROR(INDEX(Settings!$D$14:$D$33,MATCH(L27,Settings!$B$14:$B$33,0))&amp;"",IFERROR(LOOKUP(2^15,SEARCH(Settings!$F$14:$F$43,L27)/(Settings!$F$14:$F$43&lt;&gt;""),Settings!$G$14:$G$43),"")))</f>
        <v/>
      </c>
      <c r="BS27">
        <f>IF(OR($B27="",M27=""),"",IFERROR(INDEX(Settings!$D$14:$D$33,MATCH(M27,Settings!$B$14:$B$33,0))&amp;"",IFERROR(LOOKUP(2^15,SEARCH(Settings!$F$14:$F$43,M27)/(Settings!$F$14:$F$43&lt;&gt;""),Settings!$G$14:$G$43),"")))</f>
        <v/>
      </c>
      <c r="BT27">
        <f>IF(OR($B27="",N27=""),"",IFERROR(INDEX(Settings!$D$14:$D$33,MATCH(N27,Settings!$B$14:$B$33,0))&amp;"",IFERROR(LOOKUP(2^15,SEARCH(Settings!$F$14:$F$43,N27)/(Settings!$F$14:$F$43&lt;&gt;""),Settings!$G$14:$G$43),"")))</f>
        <v/>
      </c>
      <c r="BU27">
        <f>IF(OR($B27="",O27=""),"",IFERROR(INDEX(Settings!$D$14:$D$33,MATCH(O27,Settings!$B$14:$B$33,0))&amp;"",IFERROR(LOOKUP(2^15,SEARCH(Settings!$F$14:$F$43,O27)/(Settings!$F$14:$F$43&lt;&gt;""),Settings!$G$14:$G$43),"")))</f>
        <v/>
      </c>
      <c r="BV27">
        <f>IF(OR($B27="",P27=""),"",IFERROR(INDEX(Settings!$D$14:$D$33,MATCH(P27,Settings!$B$14:$B$33,0))&amp;"",IFERROR(LOOKUP(2^15,SEARCH(Settings!$F$14:$F$43,P27)/(Settings!$F$14:$F$43&lt;&gt;""),Settings!$G$14:$G$43),"")))</f>
        <v/>
      </c>
      <c r="BW27">
        <f>IF(OR($B27="",Q27=""),"",IFERROR(INDEX(Settings!$D$14:$D$33,MATCH(Q27,Settings!$B$14:$B$33,0))&amp;"",IFERROR(LOOKUP(2^15,SEARCH(Settings!$F$14:$F$43,Q27)/(Settings!$F$14:$F$43&lt;&gt;""),Settings!$G$14:$G$43),"")))</f>
        <v/>
      </c>
      <c r="BX27">
        <f>IF(OR($B27="",R27=""),"",IFERROR(INDEX(Settings!$D$14:$D$33,MATCH(R27,Settings!$B$14:$B$33,0))&amp;"",IFERROR(LOOKUP(2^15,SEARCH(Settings!$F$14:$F$43,R27)/(Settings!$F$14:$F$43&lt;&gt;""),Settings!$G$14:$G$43),"")))</f>
        <v/>
      </c>
      <c r="BY27">
        <f>IF(OR($B27="",S27=""),"",IFERROR(INDEX(Settings!$D$14:$D$33,MATCH(S27,Settings!$B$14:$B$33,0))&amp;"",IFERROR(LOOKUP(2^15,SEARCH(Settings!$F$14:$F$43,S27)/(Settings!$F$14:$F$43&lt;&gt;""),Settings!$G$14:$G$43),"")))</f>
        <v/>
      </c>
      <c r="BZ27">
        <f>IF(OR($B27="",T27=""),"",IFERROR(INDEX(Settings!$D$14:$D$33,MATCH(T27,Settings!$B$14:$B$33,0))&amp;"",IFERROR(LOOKUP(2^15,SEARCH(Settings!$F$14:$F$43,T27)/(Settings!$F$14:$F$43&lt;&gt;""),Settings!$G$14:$G$43),"")))</f>
        <v/>
      </c>
      <c r="CA27">
        <f>IF(OR($B27="",U27=""),"",IFERROR(INDEX(Settings!$D$14:$D$33,MATCH(U27,Settings!$B$14:$B$33,0))&amp;"",IFERROR(LOOKUP(2^15,SEARCH(Settings!$F$14:$F$43,U27)/(Settings!$F$14:$F$43&lt;&gt;""),Settings!$G$14:$G$43),"")))</f>
        <v/>
      </c>
      <c r="CB27">
        <f>IF(OR($B27="",V27=""),"",IFERROR(INDEX(Settings!$D$14:$D$33,MATCH(V27,Settings!$B$14:$B$33,0))&amp;"",IFERROR(LOOKUP(2^15,SEARCH(Settings!$F$14:$F$43,V27)/(Settings!$F$14:$F$43&lt;&gt;""),Settings!$G$14:$G$43),"")))</f>
        <v/>
      </c>
      <c r="CC27">
        <f>IF(OR($B27="",W27=""),"",IFERROR(INDEX(Settings!$D$14:$D$33,MATCH(W27,Settings!$B$14:$B$33,0))&amp;"",IFERROR(LOOKUP(2^15,SEARCH(Settings!$F$14:$F$43,W27)/(Settings!$F$14:$F$43&lt;&gt;""),Settings!$G$14:$G$43),"")))</f>
        <v/>
      </c>
      <c r="CD27">
        <f>IF(OR($B27="",X27=""),"",IFERROR(INDEX(Settings!$D$14:$D$33,MATCH(X27,Settings!$B$14:$B$33,0))&amp;"",IFERROR(LOOKUP(2^15,SEARCH(Settings!$F$14:$F$43,X27)/(Settings!$F$14:$F$43&lt;&gt;""),Settings!$G$14:$G$43),"")))</f>
        <v/>
      </c>
      <c r="CE27">
        <f>IF(OR($B27="",Y27=""),"",IFERROR(INDEX(Settings!$D$14:$D$33,MATCH(Y27,Settings!$B$14:$B$33,0))&amp;"",IFERROR(LOOKUP(2^15,SEARCH(Settings!$F$14:$F$43,Y27)/(Settings!$F$14:$F$43&lt;&gt;""),Settings!$G$14:$G$43),"")))</f>
        <v/>
      </c>
      <c r="CF27">
        <f>IF(OR($B27="",Z27=""),"",IFERROR(INDEX(Settings!$D$14:$D$33,MATCH(Z27,Settings!$B$14:$B$33,0))&amp;"",IFERROR(LOOKUP(2^15,SEARCH(Settings!$F$14:$F$43,Z27)/(Settings!$F$14:$F$43&lt;&gt;""),Settings!$G$14:$G$43),"")))</f>
        <v/>
      </c>
      <c r="CG27">
        <f>IF(OR($B27="",AA27=""),"",IFERROR(INDEX(Settings!$D$14:$D$33,MATCH(AA27,Settings!$B$14:$B$33,0))&amp;"",IFERROR(LOOKUP(2^15,SEARCH(Settings!$F$14:$F$43,AA27)/(Settings!$F$14:$F$43&lt;&gt;""),Settings!$G$14:$G$43),"")))</f>
        <v/>
      </c>
      <c r="CH27">
        <f>IF(OR($B27="",AB27=""),"",IFERROR(INDEX(Settings!$D$14:$D$33,MATCH(AB27,Settings!$B$14:$B$33,0))&amp;"",IFERROR(LOOKUP(2^15,SEARCH(Settings!$F$14:$F$43,AB27)/(Settings!$F$14:$F$43&lt;&gt;""),Settings!$G$14:$G$43),"")))</f>
        <v/>
      </c>
      <c r="CI27">
        <f>IF(OR($B27="",AC27=""),"",IFERROR(INDEX(Settings!$D$14:$D$33,MATCH(AC27,Settings!$B$14:$B$33,0))&amp;"",IFERROR(LOOKUP(2^15,SEARCH(Settings!$F$14:$F$43,AC27)/(Settings!$F$14:$F$43&lt;&gt;""),Settings!$G$14:$G$43),"")))</f>
        <v/>
      </c>
      <c r="CJ27">
        <f>IF(OR($B27="",AD27=""),"",IFERROR(INDEX(Settings!$D$14:$D$33,MATCH(AD27,Settings!$B$14:$B$33,0))&amp;"",IFERROR(LOOKUP(2^15,SEARCH(Settings!$F$14:$F$43,AD27)/(Settings!$F$14:$F$43&lt;&gt;""),Settings!$G$14:$G$43),"")))</f>
        <v/>
      </c>
      <c r="CK27">
        <f>IF(OR($B27="",AE27=""),"",IFERROR(INDEX(Settings!$D$14:$D$33,MATCH(AE27,Settings!$B$14:$B$33,0))&amp;"",IFERROR(LOOKUP(2^15,SEARCH(Settings!$F$14:$F$43,AE27)/(Settings!$F$14:$F$43&lt;&gt;""),Settings!$G$14:$G$43),"")))</f>
        <v/>
      </c>
      <c r="CL27">
        <f>IF(OR($B27="",AF27=""),"",IFERROR(INDEX(Settings!$D$14:$D$33,MATCH(AF27,Settings!$B$14:$B$33,0))&amp;"",IFERROR(LOOKUP(2^15,SEARCH(Settings!$F$14:$F$43,AF27)/(Settings!$F$14:$F$43&lt;&gt;""),Settings!$G$14:$G$43),"")))</f>
        <v/>
      </c>
      <c r="CM27">
        <f>IF(OR($B27="",AG27=""),"",IFERROR(INDEX(Settings!$D$14:$D$33,MATCH(AG27,Settings!$B$14:$B$33,0))&amp;"",IFERROR(LOOKUP(2^15,SEARCH(Settings!$F$14:$F$43,AG27)/(Settings!$F$14:$F$43&lt;&gt;""),Settings!$G$14:$G$43),"")))</f>
        <v/>
      </c>
    </row>
    <row r="28">
      <c r="A28" t="n">
        <v>26</v>
      </c>
      <c r="B28">
        <f>IFERROR(INDEX(Index!$A$2:$A$202,MATCH(A28,Index!$E$2:$E$202,0)),"")</f>
        <v/>
      </c>
      <c r="D28">
        <f>IF($B28="","",IFERROR(MATCH("Travel*",AI28:BJ28,0),""))</f>
        <v/>
      </c>
      <c r="F28">
        <f>IF(OR($B28="",NOT(ISNUMBER(Settings!$C$9))),"",TRIM(SUBSTITUTE(SUBSTITUTE(INDEX('INPUT - Roster'!$S$1:$SV$206,$B28,Settings!$C$9+0)&amp;"",CHAR(10)," "),CHAR(160)," ")))</f>
        <v/>
      </c>
      <c r="G28">
        <f>IF(OR($B28="",NOT(ISNUMBER(Settings!$C$9))),"",TRIM(SUBSTITUTE(SUBSTITUTE(INDEX('INPUT - Roster'!$S$1:$SV$206,$B28,Settings!$C$9+1)&amp;"",CHAR(10)," "),CHAR(160)," ")))</f>
        <v/>
      </c>
      <c r="H28">
        <f>IF(OR($B28="",NOT(ISNUMBER(Settings!$C$9))),"",TRIM(SUBSTITUTE(SUBSTITUTE(INDEX('INPUT - Roster'!$S$1:$SV$206,$B28,Settings!$C$9+2)&amp;"",CHAR(10)," "),CHAR(160)," ")))</f>
        <v/>
      </c>
      <c r="I28">
        <f>IF(OR($B28="",NOT(ISNUMBER(Settings!$C$9))),"",TRIM(SUBSTITUTE(SUBSTITUTE(INDEX('INPUT - Roster'!$S$1:$SV$206,$B28,Settings!$C$9+3)&amp;"",CHAR(10)," "),CHAR(160)," ")))</f>
        <v/>
      </c>
      <c r="J28">
        <f>IF(OR($B28="",NOT(ISNUMBER(Settings!$C$9))),"",TRIM(SUBSTITUTE(SUBSTITUTE(INDEX('INPUT - Roster'!$S$1:$SV$206,$B28,Settings!$C$9+4)&amp;"",CHAR(10)," "),CHAR(160)," ")))</f>
        <v/>
      </c>
      <c r="K28">
        <f>IF(OR($B28="",NOT(ISNUMBER(Settings!$C$9))),"",TRIM(SUBSTITUTE(SUBSTITUTE(INDEX('INPUT - Roster'!$S$1:$SV$206,$B28,Settings!$C$9+5)&amp;"",CHAR(10)," "),CHAR(160)," ")))</f>
        <v/>
      </c>
      <c r="L28">
        <f>IF(OR($B28="",NOT(ISNUMBER(Settings!$C$9))),"",TRIM(SUBSTITUTE(SUBSTITUTE(INDEX('INPUT - Roster'!$S$1:$SV$206,$B28,Settings!$C$9+6)&amp;"",CHAR(10)," "),CHAR(160)," ")))</f>
        <v/>
      </c>
      <c r="M28">
        <f>IF(OR($B28="",NOT(ISNUMBER(Settings!$C$9))),"",TRIM(SUBSTITUTE(SUBSTITUTE(INDEX('INPUT - Roster'!$S$1:$SV$206,$B28,Settings!$C$9+7)&amp;"",CHAR(10)," "),CHAR(160)," ")))</f>
        <v/>
      </c>
      <c r="N28">
        <f>IF(OR($B28="",NOT(ISNUMBER(Settings!$C$9))),"",TRIM(SUBSTITUTE(SUBSTITUTE(INDEX('INPUT - Roster'!$S$1:$SV$206,$B28,Settings!$C$9+8)&amp;"",CHAR(10)," "),CHAR(160)," ")))</f>
        <v/>
      </c>
      <c r="O28">
        <f>IF(OR($B28="",NOT(ISNUMBER(Settings!$C$9))),"",TRIM(SUBSTITUTE(SUBSTITUTE(INDEX('INPUT - Roster'!$S$1:$SV$206,$B28,Settings!$C$9+9)&amp;"",CHAR(10)," "),CHAR(160)," ")))</f>
        <v/>
      </c>
      <c r="P28">
        <f>IF(OR($B28="",NOT(ISNUMBER(Settings!$C$9))),"",TRIM(SUBSTITUTE(SUBSTITUTE(INDEX('INPUT - Roster'!$S$1:$SV$206,$B28,Settings!$C$9+10)&amp;"",CHAR(10)," "),CHAR(160)," ")))</f>
        <v/>
      </c>
      <c r="Q28">
        <f>IF(OR($B28="",NOT(ISNUMBER(Settings!$C$9))),"",TRIM(SUBSTITUTE(SUBSTITUTE(INDEX('INPUT - Roster'!$S$1:$SV$206,$B28,Settings!$C$9+11)&amp;"",CHAR(10)," "),CHAR(160)," ")))</f>
        <v/>
      </c>
      <c r="R28">
        <f>IF(OR($B28="",NOT(ISNUMBER(Settings!$C$9))),"",TRIM(SUBSTITUTE(SUBSTITUTE(INDEX('INPUT - Roster'!$S$1:$SV$206,$B28,Settings!$C$9+12)&amp;"",CHAR(10)," "),CHAR(160)," ")))</f>
        <v/>
      </c>
      <c r="S28">
        <f>IF(OR($B28="",NOT(ISNUMBER(Settings!$C$9))),"",TRIM(SUBSTITUTE(SUBSTITUTE(INDEX('INPUT - Roster'!$S$1:$SV$206,$B28,Settings!$C$9+13)&amp;"",CHAR(10)," "),CHAR(160)," ")))</f>
        <v/>
      </c>
      <c r="T28">
        <f>IF(OR($B28="",NOT(ISNUMBER(Settings!$C$9))),"",TRIM(SUBSTITUTE(SUBSTITUTE(INDEX('INPUT - Roster'!$S$1:$SV$206,$B28,Settings!$C$9+14)&amp;"",CHAR(10)," "),CHAR(160)," ")))</f>
        <v/>
      </c>
      <c r="U28">
        <f>IF(OR($B28="",NOT(ISNUMBER(Settings!$C$9))),"",TRIM(SUBSTITUTE(SUBSTITUTE(INDEX('INPUT - Roster'!$S$1:$SV$206,$B28,Settings!$C$9+15)&amp;"",CHAR(10)," "),CHAR(160)," ")))</f>
        <v/>
      </c>
      <c r="V28">
        <f>IF(OR($B28="",NOT(ISNUMBER(Settings!$C$9))),"",TRIM(SUBSTITUTE(SUBSTITUTE(INDEX('INPUT - Roster'!$S$1:$SV$206,$B28,Settings!$C$9+16)&amp;"",CHAR(10)," "),CHAR(160)," ")))</f>
        <v/>
      </c>
      <c r="W28">
        <f>IF(OR($B28="",NOT(ISNUMBER(Settings!$C$9))),"",TRIM(SUBSTITUTE(SUBSTITUTE(INDEX('INPUT - Roster'!$S$1:$SV$206,$B28,Settings!$C$9+17)&amp;"",CHAR(10)," "),CHAR(160)," ")))</f>
        <v/>
      </c>
      <c r="X28">
        <f>IF(OR($B28="",NOT(ISNUMBER(Settings!$C$9))),"",TRIM(SUBSTITUTE(SUBSTITUTE(INDEX('INPUT - Roster'!$S$1:$SV$206,$B28,Settings!$C$9+18)&amp;"",CHAR(10)," "),CHAR(160)," ")))</f>
        <v/>
      </c>
      <c r="Y28">
        <f>IF(OR($B28="",NOT(ISNUMBER(Settings!$C$9))),"",TRIM(SUBSTITUTE(SUBSTITUTE(INDEX('INPUT - Roster'!$S$1:$SV$206,$B28,Settings!$C$9+19)&amp;"",CHAR(10)," "),CHAR(160)," ")))</f>
        <v/>
      </c>
      <c r="Z28">
        <f>IF(OR($B28="",NOT(ISNUMBER(Settings!$C$9))),"",TRIM(SUBSTITUTE(SUBSTITUTE(INDEX('INPUT - Roster'!$S$1:$SV$206,$B28,Settings!$C$9+20)&amp;"",CHAR(10)," "),CHAR(160)," ")))</f>
        <v/>
      </c>
      <c r="AA28">
        <f>IF(OR($B28="",NOT(ISNUMBER(Settings!$C$9))),"",TRIM(SUBSTITUTE(SUBSTITUTE(INDEX('INPUT - Roster'!$S$1:$SV$206,$B28,Settings!$C$9+21)&amp;"",CHAR(10)," "),CHAR(160)," ")))</f>
        <v/>
      </c>
      <c r="AB28">
        <f>IF(OR($B28="",NOT(ISNUMBER(Settings!$C$9))),"",TRIM(SUBSTITUTE(SUBSTITUTE(INDEX('INPUT - Roster'!$S$1:$SV$206,$B28,Settings!$C$9+22)&amp;"",CHAR(10)," "),CHAR(160)," ")))</f>
        <v/>
      </c>
      <c r="AC28">
        <f>IF(OR($B28="",NOT(ISNUMBER(Settings!$C$9))),"",TRIM(SUBSTITUTE(SUBSTITUTE(INDEX('INPUT - Roster'!$S$1:$SV$206,$B28,Settings!$C$9+23)&amp;"",CHAR(10)," "),CHAR(160)," ")))</f>
        <v/>
      </c>
      <c r="AD28">
        <f>IF(OR($B28="",NOT(ISNUMBER(Settings!$C$9))),"",TRIM(SUBSTITUTE(SUBSTITUTE(INDEX('INPUT - Roster'!$S$1:$SV$206,$B28,Settings!$C$9+24)&amp;"",CHAR(10)," "),CHAR(160)," ")))</f>
        <v/>
      </c>
      <c r="AE28">
        <f>IF(OR($B28="",NOT(ISNUMBER(Settings!$C$9))),"",TRIM(SUBSTITUTE(SUBSTITUTE(INDEX('INPUT - Roster'!$S$1:$SV$206,$B28,Settings!$C$9+25)&amp;"",CHAR(10)," "),CHAR(160)," ")))</f>
        <v/>
      </c>
      <c r="AF28">
        <f>IF(OR($B28="",NOT(ISNUMBER(Settings!$C$9))),"",TRIM(SUBSTITUTE(SUBSTITUTE(INDEX('INPUT - Roster'!$S$1:$SV$206,$B28,Settings!$C$9+26)&amp;"",CHAR(10)," "),CHAR(160)," ")))</f>
        <v/>
      </c>
      <c r="AG28">
        <f>IF(OR($B28="",NOT(ISNUMBER(Settings!$C$9))),"",TRIM(SUBSTITUTE(SUBSTITUTE(INDEX('INPUT - Roster'!$S$1:$SV$206,$B28,Settings!$C$9+27)&amp;"",CHAR(10)," "),CHAR(160)," ")))</f>
        <v/>
      </c>
      <c r="AI28">
        <f>IF($B28="","",IF(F28="","Not rostered",IFERROR(INDEX(Settings!$C$14:$C$33,MATCH(F28,Settings!$B$14:$B$33,0)),IFERROR(LOOKUP(2^15,SEARCH(Settings!$I$14:$I$83,F28)/(Settings!$I$14:$I$83&lt;&gt;""),Settings!$J$14:$J$83),"Other"))))</f>
        <v/>
      </c>
      <c r="AJ28">
        <f>IF($B28="","",IF(G28="","Not rostered",IFERROR(INDEX(Settings!$C$14:$C$33,MATCH(G28,Settings!$B$14:$B$33,0)),IFERROR(LOOKUP(2^15,SEARCH(Settings!$I$14:$I$83,G28)/(Settings!$I$14:$I$83&lt;&gt;""),Settings!$J$14:$J$83),"Other"))))</f>
        <v/>
      </c>
      <c r="AK28">
        <f>IF($B28="","",IF(H28="","Not rostered",IFERROR(INDEX(Settings!$C$14:$C$33,MATCH(H28,Settings!$B$14:$B$33,0)),IFERROR(LOOKUP(2^15,SEARCH(Settings!$I$14:$I$83,H28)/(Settings!$I$14:$I$83&lt;&gt;""),Settings!$J$14:$J$83),"Other"))))</f>
        <v/>
      </c>
      <c r="AL28">
        <f>IF($B28="","",IF(I28="","Not rostered",IFERROR(INDEX(Settings!$C$14:$C$33,MATCH(I28,Settings!$B$14:$B$33,0)),IFERROR(LOOKUP(2^15,SEARCH(Settings!$I$14:$I$83,I28)/(Settings!$I$14:$I$83&lt;&gt;""),Settings!$J$14:$J$83),"Other"))))</f>
        <v/>
      </c>
      <c r="AM28">
        <f>IF($B28="","",IF(J28="","Not rostered",IFERROR(INDEX(Settings!$C$14:$C$33,MATCH(J28,Settings!$B$14:$B$33,0)),IFERROR(LOOKUP(2^15,SEARCH(Settings!$I$14:$I$83,J28)/(Settings!$I$14:$I$83&lt;&gt;""),Settings!$J$14:$J$83),"Other"))))</f>
        <v/>
      </c>
      <c r="AN28">
        <f>IF($B28="","",IF(K28="","Not rostered",IFERROR(INDEX(Settings!$C$14:$C$33,MATCH(K28,Settings!$B$14:$B$33,0)),IFERROR(LOOKUP(2^15,SEARCH(Settings!$I$14:$I$83,K28)/(Settings!$I$14:$I$83&lt;&gt;""),Settings!$J$14:$J$83),"Other"))))</f>
        <v/>
      </c>
      <c r="AO28">
        <f>IF($B28="","",IF(L28="","Not rostered",IFERROR(INDEX(Settings!$C$14:$C$33,MATCH(L28,Settings!$B$14:$B$33,0)),IFERROR(LOOKUP(2^15,SEARCH(Settings!$I$14:$I$83,L28)/(Settings!$I$14:$I$83&lt;&gt;""),Settings!$J$14:$J$83),"Other"))))</f>
        <v/>
      </c>
      <c r="AP28">
        <f>IF($B28="","",IF(M28="","Not rostered",IFERROR(INDEX(Settings!$C$14:$C$33,MATCH(M28,Settings!$B$14:$B$33,0)),IFERROR(LOOKUP(2^15,SEARCH(Settings!$I$14:$I$83,M28)/(Settings!$I$14:$I$83&lt;&gt;""),Settings!$J$14:$J$83),"Other"))))</f>
        <v/>
      </c>
      <c r="AQ28">
        <f>IF($B28="","",IF(N28="","Not rostered",IFERROR(INDEX(Settings!$C$14:$C$33,MATCH(N28,Settings!$B$14:$B$33,0)),IFERROR(LOOKUP(2^15,SEARCH(Settings!$I$14:$I$83,N28)/(Settings!$I$14:$I$83&lt;&gt;""),Settings!$J$14:$J$83),"Other"))))</f>
        <v/>
      </c>
      <c r="AR28">
        <f>IF($B28="","",IF(O28="","Not rostered",IFERROR(INDEX(Settings!$C$14:$C$33,MATCH(O28,Settings!$B$14:$B$33,0)),IFERROR(LOOKUP(2^15,SEARCH(Settings!$I$14:$I$83,O28)/(Settings!$I$14:$I$83&lt;&gt;""),Settings!$J$14:$J$83),"Other"))))</f>
        <v/>
      </c>
      <c r="AS28">
        <f>IF($B28="","",IF(P28="","Not rostered",IFERROR(INDEX(Settings!$C$14:$C$33,MATCH(P28,Settings!$B$14:$B$33,0)),IFERROR(LOOKUP(2^15,SEARCH(Settings!$I$14:$I$83,P28)/(Settings!$I$14:$I$83&lt;&gt;""),Settings!$J$14:$J$83),"Other"))))</f>
        <v/>
      </c>
      <c r="AT28">
        <f>IF($B28="","",IF(Q28="","Not rostered",IFERROR(INDEX(Settings!$C$14:$C$33,MATCH(Q28,Settings!$B$14:$B$33,0)),IFERROR(LOOKUP(2^15,SEARCH(Settings!$I$14:$I$83,Q28)/(Settings!$I$14:$I$83&lt;&gt;""),Settings!$J$14:$J$83),"Other"))))</f>
        <v/>
      </c>
      <c r="AU28">
        <f>IF($B28="","",IF(R28="","Not rostered",IFERROR(INDEX(Settings!$C$14:$C$33,MATCH(R28,Settings!$B$14:$B$33,0)),IFERROR(LOOKUP(2^15,SEARCH(Settings!$I$14:$I$83,R28)/(Settings!$I$14:$I$83&lt;&gt;""),Settings!$J$14:$J$83),"Other"))))</f>
        <v/>
      </c>
      <c r="AV28">
        <f>IF($B28="","",IF(S28="","Not rostered",IFERROR(INDEX(Settings!$C$14:$C$33,MATCH(S28,Settings!$B$14:$B$33,0)),IFERROR(LOOKUP(2^15,SEARCH(Settings!$I$14:$I$83,S28)/(Settings!$I$14:$I$83&lt;&gt;""),Settings!$J$14:$J$83),"Other"))))</f>
        <v/>
      </c>
      <c r="AW28">
        <f>IF($B28="","",IF(T28="","Not rostered",IFERROR(INDEX(Settings!$C$14:$C$33,MATCH(T28,Settings!$B$14:$B$33,0)),IFERROR(LOOKUP(2^15,SEARCH(Settings!$I$14:$I$83,T28)/(Settings!$I$14:$I$83&lt;&gt;""),Settings!$J$14:$J$83),"Other"))))</f>
        <v/>
      </c>
      <c r="AX28">
        <f>IF($B28="","",IF(U28="","Not rostered",IFERROR(INDEX(Settings!$C$14:$C$33,MATCH(U28,Settings!$B$14:$B$33,0)),IFERROR(LOOKUP(2^15,SEARCH(Settings!$I$14:$I$83,U28)/(Settings!$I$14:$I$83&lt;&gt;""),Settings!$J$14:$J$83),"Other"))))</f>
        <v/>
      </c>
      <c r="AY28">
        <f>IF($B28="","",IF(V28="","Not rostered",IFERROR(INDEX(Settings!$C$14:$C$33,MATCH(V28,Settings!$B$14:$B$33,0)),IFERROR(LOOKUP(2^15,SEARCH(Settings!$I$14:$I$83,V28)/(Settings!$I$14:$I$83&lt;&gt;""),Settings!$J$14:$J$83),"Other"))))</f>
        <v/>
      </c>
      <c r="AZ28">
        <f>IF($B28="","",IF(W28="","Not rostered",IFERROR(INDEX(Settings!$C$14:$C$33,MATCH(W28,Settings!$B$14:$B$33,0)),IFERROR(LOOKUP(2^15,SEARCH(Settings!$I$14:$I$83,W28)/(Settings!$I$14:$I$83&lt;&gt;""),Settings!$J$14:$J$83),"Other"))))</f>
        <v/>
      </c>
      <c r="BA28">
        <f>IF($B28="","",IF(X28="","Not rostered",IFERROR(INDEX(Settings!$C$14:$C$33,MATCH(X28,Settings!$B$14:$B$33,0)),IFERROR(LOOKUP(2^15,SEARCH(Settings!$I$14:$I$83,X28)/(Settings!$I$14:$I$83&lt;&gt;""),Settings!$J$14:$J$83),"Other"))))</f>
        <v/>
      </c>
      <c r="BB28">
        <f>IF($B28="","",IF(Y28="","Not rostered",IFERROR(INDEX(Settings!$C$14:$C$33,MATCH(Y28,Settings!$B$14:$B$33,0)),IFERROR(LOOKUP(2^15,SEARCH(Settings!$I$14:$I$83,Y28)/(Settings!$I$14:$I$83&lt;&gt;""),Settings!$J$14:$J$83),"Other"))))</f>
        <v/>
      </c>
      <c r="BC28">
        <f>IF($B28="","",IF(Z28="","Not rostered",IFERROR(INDEX(Settings!$C$14:$C$33,MATCH(Z28,Settings!$B$14:$B$33,0)),IFERROR(LOOKUP(2^15,SEARCH(Settings!$I$14:$I$83,Z28)/(Settings!$I$14:$I$83&lt;&gt;""),Settings!$J$14:$J$83),"Other"))))</f>
        <v/>
      </c>
      <c r="BD28">
        <f>IF($B28="","",IF(AA28="","Not rostered",IFERROR(INDEX(Settings!$C$14:$C$33,MATCH(AA28,Settings!$B$14:$B$33,0)),IFERROR(LOOKUP(2^15,SEARCH(Settings!$I$14:$I$83,AA28)/(Settings!$I$14:$I$83&lt;&gt;""),Settings!$J$14:$J$83),"Other"))))</f>
        <v/>
      </c>
      <c r="BE28">
        <f>IF($B28="","",IF(AB28="","Not rostered",IFERROR(INDEX(Settings!$C$14:$C$33,MATCH(AB28,Settings!$B$14:$B$33,0)),IFERROR(LOOKUP(2^15,SEARCH(Settings!$I$14:$I$83,AB28)/(Settings!$I$14:$I$83&lt;&gt;""),Settings!$J$14:$J$83),"Other"))))</f>
        <v/>
      </c>
      <c r="BF28">
        <f>IF($B28="","",IF(AC28="","Not rostered",IFERROR(INDEX(Settings!$C$14:$C$33,MATCH(AC28,Settings!$B$14:$B$33,0)),IFERROR(LOOKUP(2^15,SEARCH(Settings!$I$14:$I$83,AC28)/(Settings!$I$14:$I$83&lt;&gt;""),Settings!$J$14:$J$83),"Other"))))</f>
        <v/>
      </c>
      <c r="BG28">
        <f>IF($B28="","",IF(AD28="","Not rostered",IFERROR(INDEX(Settings!$C$14:$C$33,MATCH(AD28,Settings!$B$14:$B$33,0)),IFERROR(LOOKUP(2^15,SEARCH(Settings!$I$14:$I$83,AD28)/(Settings!$I$14:$I$83&lt;&gt;""),Settings!$J$14:$J$83),"Other"))))</f>
        <v/>
      </c>
      <c r="BH28">
        <f>IF($B28="","",IF(AE28="","Not rostered",IFERROR(INDEX(Settings!$C$14:$C$33,MATCH(AE28,Settings!$B$14:$B$33,0)),IFERROR(LOOKUP(2^15,SEARCH(Settings!$I$14:$I$83,AE28)/(Settings!$I$14:$I$83&lt;&gt;""),Settings!$J$14:$J$83),"Other"))))</f>
        <v/>
      </c>
      <c r="BI28">
        <f>IF($B28="","",IF(AF28="","Not rostered",IFERROR(INDEX(Settings!$C$14:$C$33,MATCH(AF28,Settings!$B$14:$B$33,0)),IFERROR(LOOKUP(2^15,SEARCH(Settings!$I$14:$I$83,AF28)/(Settings!$I$14:$I$83&lt;&gt;""),Settings!$J$14:$J$83),"Other"))))</f>
        <v/>
      </c>
      <c r="BJ28">
        <f>IF($B28="","",IF(AG28="","Not rostered",IFERROR(INDEX(Settings!$C$14:$C$33,MATCH(AG28,Settings!$B$14:$B$33,0)),IFERROR(LOOKUP(2^15,SEARCH(Settings!$I$14:$I$83,AG28)/(Settings!$I$14:$I$83&lt;&gt;""),Settings!$J$14:$J$83),"Other"))))</f>
        <v/>
      </c>
      <c r="BL28">
        <f>IF(OR($B28="",F28=""),"",IFERROR(INDEX(Settings!$D$14:$D$33,MATCH(F28,Settings!$B$14:$B$33,0))&amp;"",IFERROR(LOOKUP(2^15,SEARCH(Settings!$F$14:$F$43,F28)/(Settings!$F$14:$F$43&lt;&gt;""),Settings!$G$14:$G$43),"")))</f>
        <v/>
      </c>
      <c r="BM28">
        <f>IF(OR($B28="",G28=""),"",IFERROR(INDEX(Settings!$D$14:$D$33,MATCH(G28,Settings!$B$14:$B$33,0))&amp;"",IFERROR(LOOKUP(2^15,SEARCH(Settings!$F$14:$F$43,G28)/(Settings!$F$14:$F$43&lt;&gt;""),Settings!$G$14:$G$43),"")))</f>
        <v/>
      </c>
      <c r="BN28">
        <f>IF(OR($B28="",H28=""),"",IFERROR(INDEX(Settings!$D$14:$D$33,MATCH(H28,Settings!$B$14:$B$33,0))&amp;"",IFERROR(LOOKUP(2^15,SEARCH(Settings!$F$14:$F$43,H28)/(Settings!$F$14:$F$43&lt;&gt;""),Settings!$G$14:$G$43),"")))</f>
        <v/>
      </c>
      <c r="BO28">
        <f>IF(OR($B28="",I28=""),"",IFERROR(INDEX(Settings!$D$14:$D$33,MATCH(I28,Settings!$B$14:$B$33,0))&amp;"",IFERROR(LOOKUP(2^15,SEARCH(Settings!$F$14:$F$43,I28)/(Settings!$F$14:$F$43&lt;&gt;""),Settings!$G$14:$G$43),"")))</f>
        <v/>
      </c>
      <c r="BP28">
        <f>IF(OR($B28="",J28=""),"",IFERROR(INDEX(Settings!$D$14:$D$33,MATCH(J28,Settings!$B$14:$B$33,0))&amp;"",IFERROR(LOOKUP(2^15,SEARCH(Settings!$F$14:$F$43,J28)/(Settings!$F$14:$F$43&lt;&gt;""),Settings!$G$14:$G$43),"")))</f>
        <v/>
      </c>
      <c r="BQ28">
        <f>IF(OR($B28="",K28=""),"",IFERROR(INDEX(Settings!$D$14:$D$33,MATCH(K28,Settings!$B$14:$B$33,0))&amp;"",IFERROR(LOOKUP(2^15,SEARCH(Settings!$F$14:$F$43,K28)/(Settings!$F$14:$F$43&lt;&gt;""),Settings!$G$14:$G$43),"")))</f>
        <v/>
      </c>
      <c r="BR28">
        <f>IF(OR($B28="",L28=""),"",IFERROR(INDEX(Settings!$D$14:$D$33,MATCH(L28,Settings!$B$14:$B$33,0))&amp;"",IFERROR(LOOKUP(2^15,SEARCH(Settings!$F$14:$F$43,L28)/(Settings!$F$14:$F$43&lt;&gt;""),Settings!$G$14:$G$43),"")))</f>
        <v/>
      </c>
      <c r="BS28">
        <f>IF(OR($B28="",M28=""),"",IFERROR(INDEX(Settings!$D$14:$D$33,MATCH(M28,Settings!$B$14:$B$33,0))&amp;"",IFERROR(LOOKUP(2^15,SEARCH(Settings!$F$14:$F$43,M28)/(Settings!$F$14:$F$43&lt;&gt;""),Settings!$G$14:$G$43),"")))</f>
        <v/>
      </c>
      <c r="BT28">
        <f>IF(OR($B28="",N28=""),"",IFERROR(INDEX(Settings!$D$14:$D$33,MATCH(N28,Settings!$B$14:$B$33,0))&amp;"",IFERROR(LOOKUP(2^15,SEARCH(Settings!$F$14:$F$43,N28)/(Settings!$F$14:$F$43&lt;&gt;""),Settings!$G$14:$G$43),"")))</f>
        <v/>
      </c>
      <c r="BU28">
        <f>IF(OR($B28="",O28=""),"",IFERROR(INDEX(Settings!$D$14:$D$33,MATCH(O28,Settings!$B$14:$B$33,0))&amp;"",IFERROR(LOOKUP(2^15,SEARCH(Settings!$F$14:$F$43,O28)/(Settings!$F$14:$F$43&lt;&gt;""),Settings!$G$14:$G$43),"")))</f>
        <v/>
      </c>
      <c r="BV28">
        <f>IF(OR($B28="",P28=""),"",IFERROR(INDEX(Settings!$D$14:$D$33,MATCH(P28,Settings!$B$14:$B$33,0))&amp;"",IFERROR(LOOKUP(2^15,SEARCH(Settings!$F$14:$F$43,P28)/(Settings!$F$14:$F$43&lt;&gt;""),Settings!$G$14:$G$43),"")))</f>
        <v/>
      </c>
      <c r="BW28">
        <f>IF(OR($B28="",Q28=""),"",IFERROR(INDEX(Settings!$D$14:$D$33,MATCH(Q28,Settings!$B$14:$B$33,0))&amp;"",IFERROR(LOOKUP(2^15,SEARCH(Settings!$F$14:$F$43,Q28)/(Settings!$F$14:$F$43&lt;&gt;""),Settings!$G$14:$G$43),"")))</f>
        <v/>
      </c>
      <c r="BX28">
        <f>IF(OR($B28="",R28=""),"",IFERROR(INDEX(Settings!$D$14:$D$33,MATCH(R28,Settings!$B$14:$B$33,0))&amp;"",IFERROR(LOOKUP(2^15,SEARCH(Settings!$F$14:$F$43,R28)/(Settings!$F$14:$F$43&lt;&gt;""),Settings!$G$14:$G$43),"")))</f>
        <v/>
      </c>
      <c r="BY28">
        <f>IF(OR($B28="",S28=""),"",IFERROR(INDEX(Settings!$D$14:$D$33,MATCH(S28,Settings!$B$14:$B$33,0))&amp;"",IFERROR(LOOKUP(2^15,SEARCH(Settings!$F$14:$F$43,S28)/(Settings!$F$14:$F$43&lt;&gt;""),Settings!$G$14:$G$43),"")))</f>
        <v/>
      </c>
      <c r="BZ28">
        <f>IF(OR($B28="",T28=""),"",IFERROR(INDEX(Settings!$D$14:$D$33,MATCH(T28,Settings!$B$14:$B$33,0))&amp;"",IFERROR(LOOKUP(2^15,SEARCH(Settings!$F$14:$F$43,T28)/(Settings!$F$14:$F$43&lt;&gt;""),Settings!$G$14:$G$43),"")))</f>
        <v/>
      </c>
      <c r="CA28">
        <f>IF(OR($B28="",U28=""),"",IFERROR(INDEX(Settings!$D$14:$D$33,MATCH(U28,Settings!$B$14:$B$33,0))&amp;"",IFERROR(LOOKUP(2^15,SEARCH(Settings!$F$14:$F$43,U28)/(Settings!$F$14:$F$43&lt;&gt;""),Settings!$G$14:$G$43),"")))</f>
        <v/>
      </c>
      <c r="CB28">
        <f>IF(OR($B28="",V28=""),"",IFERROR(INDEX(Settings!$D$14:$D$33,MATCH(V28,Settings!$B$14:$B$33,0))&amp;"",IFERROR(LOOKUP(2^15,SEARCH(Settings!$F$14:$F$43,V28)/(Settings!$F$14:$F$43&lt;&gt;""),Settings!$G$14:$G$43),"")))</f>
        <v/>
      </c>
      <c r="CC28">
        <f>IF(OR($B28="",W28=""),"",IFERROR(INDEX(Settings!$D$14:$D$33,MATCH(W28,Settings!$B$14:$B$33,0))&amp;"",IFERROR(LOOKUP(2^15,SEARCH(Settings!$F$14:$F$43,W28)/(Settings!$F$14:$F$43&lt;&gt;""),Settings!$G$14:$G$43),"")))</f>
        <v/>
      </c>
      <c r="CD28">
        <f>IF(OR($B28="",X28=""),"",IFERROR(INDEX(Settings!$D$14:$D$33,MATCH(X28,Settings!$B$14:$B$33,0))&amp;"",IFERROR(LOOKUP(2^15,SEARCH(Settings!$F$14:$F$43,X28)/(Settings!$F$14:$F$43&lt;&gt;""),Settings!$G$14:$G$43),"")))</f>
        <v/>
      </c>
      <c r="CE28">
        <f>IF(OR($B28="",Y28=""),"",IFERROR(INDEX(Settings!$D$14:$D$33,MATCH(Y28,Settings!$B$14:$B$33,0))&amp;"",IFERROR(LOOKUP(2^15,SEARCH(Settings!$F$14:$F$43,Y28)/(Settings!$F$14:$F$43&lt;&gt;""),Settings!$G$14:$G$43),"")))</f>
        <v/>
      </c>
      <c r="CF28">
        <f>IF(OR($B28="",Z28=""),"",IFERROR(INDEX(Settings!$D$14:$D$33,MATCH(Z28,Settings!$B$14:$B$33,0))&amp;"",IFERROR(LOOKUP(2^15,SEARCH(Settings!$F$14:$F$43,Z28)/(Settings!$F$14:$F$43&lt;&gt;""),Settings!$G$14:$G$43),"")))</f>
        <v/>
      </c>
      <c r="CG28">
        <f>IF(OR($B28="",AA28=""),"",IFERROR(INDEX(Settings!$D$14:$D$33,MATCH(AA28,Settings!$B$14:$B$33,0))&amp;"",IFERROR(LOOKUP(2^15,SEARCH(Settings!$F$14:$F$43,AA28)/(Settings!$F$14:$F$43&lt;&gt;""),Settings!$G$14:$G$43),"")))</f>
        <v/>
      </c>
      <c r="CH28">
        <f>IF(OR($B28="",AB28=""),"",IFERROR(INDEX(Settings!$D$14:$D$33,MATCH(AB28,Settings!$B$14:$B$33,0))&amp;"",IFERROR(LOOKUP(2^15,SEARCH(Settings!$F$14:$F$43,AB28)/(Settings!$F$14:$F$43&lt;&gt;""),Settings!$G$14:$G$43),"")))</f>
        <v/>
      </c>
      <c r="CI28">
        <f>IF(OR($B28="",AC28=""),"",IFERROR(INDEX(Settings!$D$14:$D$33,MATCH(AC28,Settings!$B$14:$B$33,0))&amp;"",IFERROR(LOOKUP(2^15,SEARCH(Settings!$F$14:$F$43,AC28)/(Settings!$F$14:$F$43&lt;&gt;""),Settings!$G$14:$G$43),"")))</f>
        <v/>
      </c>
      <c r="CJ28">
        <f>IF(OR($B28="",AD28=""),"",IFERROR(INDEX(Settings!$D$14:$D$33,MATCH(AD28,Settings!$B$14:$B$33,0))&amp;"",IFERROR(LOOKUP(2^15,SEARCH(Settings!$F$14:$F$43,AD28)/(Settings!$F$14:$F$43&lt;&gt;""),Settings!$G$14:$G$43),"")))</f>
        <v/>
      </c>
      <c r="CK28">
        <f>IF(OR($B28="",AE28=""),"",IFERROR(INDEX(Settings!$D$14:$D$33,MATCH(AE28,Settings!$B$14:$B$33,0))&amp;"",IFERROR(LOOKUP(2^15,SEARCH(Settings!$F$14:$F$43,AE28)/(Settings!$F$14:$F$43&lt;&gt;""),Settings!$G$14:$G$43),"")))</f>
        <v/>
      </c>
      <c r="CL28">
        <f>IF(OR($B28="",AF28=""),"",IFERROR(INDEX(Settings!$D$14:$D$33,MATCH(AF28,Settings!$B$14:$B$33,0))&amp;"",IFERROR(LOOKUP(2^15,SEARCH(Settings!$F$14:$F$43,AF28)/(Settings!$F$14:$F$43&lt;&gt;""),Settings!$G$14:$G$43),"")))</f>
        <v/>
      </c>
      <c r="CM28">
        <f>IF(OR($B28="",AG28=""),"",IFERROR(INDEX(Settings!$D$14:$D$33,MATCH(AG28,Settings!$B$14:$B$33,0))&amp;"",IFERROR(LOOKUP(2^15,SEARCH(Settings!$F$14:$F$43,AG28)/(Settings!$F$14:$F$43&lt;&gt;""),Settings!$G$14:$G$43),"")))</f>
        <v/>
      </c>
    </row>
    <row r="29">
      <c r="A29" t="n">
        <v>27</v>
      </c>
      <c r="B29">
        <f>IFERROR(INDEX(Index!$A$2:$A$202,MATCH(A29,Index!$E$2:$E$202,0)),"")</f>
        <v/>
      </c>
      <c r="D29">
        <f>IF($B29="","",IFERROR(MATCH("Travel*",AI29:BJ29,0),""))</f>
        <v/>
      </c>
      <c r="F29">
        <f>IF(OR($B29="",NOT(ISNUMBER(Settings!$C$9))),"",TRIM(SUBSTITUTE(SUBSTITUTE(INDEX('INPUT - Roster'!$S$1:$SV$206,$B29,Settings!$C$9+0)&amp;"",CHAR(10)," "),CHAR(160)," ")))</f>
        <v/>
      </c>
      <c r="G29">
        <f>IF(OR($B29="",NOT(ISNUMBER(Settings!$C$9))),"",TRIM(SUBSTITUTE(SUBSTITUTE(INDEX('INPUT - Roster'!$S$1:$SV$206,$B29,Settings!$C$9+1)&amp;"",CHAR(10)," "),CHAR(160)," ")))</f>
        <v/>
      </c>
      <c r="H29">
        <f>IF(OR($B29="",NOT(ISNUMBER(Settings!$C$9))),"",TRIM(SUBSTITUTE(SUBSTITUTE(INDEX('INPUT - Roster'!$S$1:$SV$206,$B29,Settings!$C$9+2)&amp;"",CHAR(10)," "),CHAR(160)," ")))</f>
        <v/>
      </c>
      <c r="I29">
        <f>IF(OR($B29="",NOT(ISNUMBER(Settings!$C$9))),"",TRIM(SUBSTITUTE(SUBSTITUTE(INDEX('INPUT - Roster'!$S$1:$SV$206,$B29,Settings!$C$9+3)&amp;"",CHAR(10)," "),CHAR(160)," ")))</f>
        <v/>
      </c>
      <c r="J29">
        <f>IF(OR($B29="",NOT(ISNUMBER(Settings!$C$9))),"",TRIM(SUBSTITUTE(SUBSTITUTE(INDEX('INPUT - Roster'!$S$1:$SV$206,$B29,Settings!$C$9+4)&amp;"",CHAR(10)," "),CHAR(160)," ")))</f>
        <v/>
      </c>
      <c r="K29">
        <f>IF(OR($B29="",NOT(ISNUMBER(Settings!$C$9))),"",TRIM(SUBSTITUTE(SUBSTITUTE(INDEX('INPUT - Roster'!$S$1:$SV$206,$B29,Settings!$C$9+5)&amp;"",CHAR(10)," "),CHAR(160)," ")))</f>
        <v/>
      </c>
      <c r="L29">
        <f>IF(OR($B29="",NOT(ISNUMBER(Settings!$C$9))),"",TRIM(SUBSTITUTE(SUBSTITUTE(INDEX('INPUT - Roster'!$S$1:$SV$206,$B29,Settings!$C$9+6)&amp;"",CHAR(10)," "),CHAR(160)," ")))</f>
        <v/>
      </c>
      <c r="M29">
        <f>IF(OR($B29="",NOT(ISNUMBER(Settings!$C$9))),"",TRIM(SUBSTITUTE(SUBSTITUTE(INDEX('INPUT - Roster'!$S$1:$SV$206,$B29,Settings!$C$9+7)&amp;"",CHAR(10)," "),CHAR(160)," ")))</f>
        <v/>
      </c>
      <c r="N29">
        <f>IF(OR($B29="",NOT(ISNUMBER(Settings!$C$9))),"",TRIM(SUBSTITUTE(SUBSTITUTE(INDEX('INPUT - Roster'!$S$1:$SV$206,$B29,Settings!$C$9+8)&amp;"",CHAR(10)," "),CHAR(160)," ")))</f>
        <v/>
      </c>
      <c r="O29">
        <f>IF(OR($B29="",NOT(ISNUMBER(Settings!$C$9))),"",TRIM(SUBSTITUTE(SUBSTITUTE(INDEX('INPUT - Roster'!$S$1:$SV$206,$B29,Settings!$C$9+9)&amp;"",CHAR(10)," "),CHAR(160)," ")))</f>
        <v/>
      </c>
      <c r="P29">
        <f>IF(OR($B29="",NOT(ISNUMBER(Settings!$C$9))),"",TRIM(SUBSTITUTE(SUBSTITUTE(INDEX('INPUT - Roster'!$S$1:$SV$206,$B29,Settings!$C$9+10)&amp;"",CHAR(10)," "),CHAR(160)," ")))</f>
        <v/>
      </c>
      <c r="Q29">
        <f>IF(OR($B29="",NOT(ISNUMBER(Settings!$C$9))),"",TRIM(SUBSTITUTE(SUBSTITUTE(INDEX('INPUT - Roster'!$S$1:$SV$206,$B29,Settings!$C$9+11)&amp;"",CHAR(10)," "),CHAR(160)," ")))</f>
        <v/>
      </c>
      <c r="R29">
        <f>IF(OR($B29="",NOT(ISNUMBER(Settings!$C$9))),"",TRIM(SUBSTITUTE(SUBSTITUTE(INDEX('INPUT - Roster'!$S$1:$SV$206,$B29,Settings!$C$9+12)&amp;"",CHAR(10)," "),CHAR(160)," ")))</f>
        <v/>
      </c>
      <c r="S29">
        <f>IF(OR($B29="",NOT(ISNUMBER(Settings!$C$9))),"",TRIM(SUBSTITUTE(SUBSTITUTE(INDEX('INPUT - Roster'!$S$1:$SV$206,$B29,Settings!$C$9+13)&amp;"",CHAR(10)," "),CHAR(160)," ")))</f>
        <v/>
      </c>
      <c r="T29">
        <f>IF(OR($B29="",NOT(ISNUMBER(Settings!$C$9))),"",TRIM(SUBSTITUTE(SUBSTITUTE(INDEX('INPUT - Roster'!$S$1:$SV$206,$B29,Settings!$C$9+14)&amp;"",CHAR(10)," "),CHAR(160)," ")))</f>
        <v/>
      </c>
      <c r="U29">
        <f>IF(OR($B29="",NOT(ISNUMBER(Settings!$C$9))),"",TRIM(SUBSTITUTE(SUBSTITUTE(INDEX('INPUT - Roster'!$S$1:$SV$206,$B29,Settings!$C$9+15)&amp;"",CHAR(10)," "),CHAR(160)," ")))</f>
        <v/>
      </c>
      <c r="V29">
        <f>IF(OR($B29="",NOT(ISNUMBER(Settings!$C$9))),"",TRIM(SUBSTITUTE(SUBSTITUTE(INDEX('INPUT - Roster'!$S$1:$SV$206,$B29,Settings!$C$9+16)&amp;"",CHAR(10)," "),CHAR(160)," ")))</f>
        <v/>
      </c>
      <c r="W29">
        <f>IF(OR($B29="",NOT(ISNUMBER(Settings!$C$9))),"",TRIM(SUBSTITUTE(SUBSTITUTE(INDEX('INPUT - Roster'!$S$1:$SV$206,$B29,Settings!$C$9+17)&amp;"",CHAR(10)," "),CHAR(160)," ")))</f>
        <v/>
      </c>
      <c r="X29">
        <f>IF(OR($B29="",NOT(ISNUMBER(Settings!$C$9))),"",TRIM(SUBSTITUTE(SUBSTITUTE(INDEX('INPUT - Roster'!$S$1:$SV$206,$B29,Settings!$C$9+18)&amp;"",CHAR(10)," "),CHAR(160)," ")))</f>
        <v/>
      </c>
      <c r="Y29">
        <f>IF(OR($B29="",NOT(ISNUMBER(Settings!$C$9))),"",TRIM(SUBSTITUTE(SUBSTITUTE(INDEX('INPUT - Roster'!$S$1:$SV$206,$B29,Settings!$C$9+19)&amp;"",CHAR(10)," "),CHAR(160)," ")))</f>
        <v/>
      </c>
      <c r="Z29">
        <f>IF(OR($B29="",NOT(ISNUMBER(Settings!$C$9))),"",TRIM(SUBSTITUTE(SUBSTITUTE(INDEX('INPUT - Roster'!$S$1:$SV$206,$B29,Settings!$C$9+20)&amp;"",CHAR(10)," "),CHAR(160)," ")))</f>
        <v/>
      </c>
      <c r="AA29">
        <f>IF(OR($B29="",NOT(ISNUMBER(Settings!$C$9))),"",TRIM(SUBSTITUTE(SUBSTITUTE(INDEX('INPUT - Roster'!$S$1:$SV$206,$B29,Settings!$C$9+21)&amp;"",CHAR(10)," "),CHAR(160)," ")))</f>
        <v/>
      </c>
      <c r="AB29">
        <f>IF(OR($B29="",NOT(ISNUMBER(Settings!$C$9))),"",TRIM(SUBSTITUTE(SUBSTITUTE(INDEX('INPUT - Roster'!$S$1:$SV$206,$B29,Settings!$C$9+22)&amp;"",CHAR(10)," "),CHAR(160)," ")))</f>
        <v/>
      </c>
      <c r="AC29">
        <f>IF(OR($B29="",NOT(ISNUMBER(Settings!$C$9))),"",TRIM(SUBSTITUTE(SUBSTITUTE(INDEX('INPUT - Roster'!$S$1:$SV$206,$B29,Settings!$C$9+23)&amp;"",CHAR(10)," "),CHAR(160)," ")))</f>
        <v/>
      </c>
      <c r="AD29">
        <f>IF(OR($B29="",NOT(ISNUMBER(Settings!$C$9))),"",TRIM(SUBSTITUTE(SUBSTITUTE(INDEX('INPUT - Roster'!$S$1:$SV$206,$B29,Settings!$C$9+24)&amp;"",CHAR(10)," "),CHAR(160)," ")))</f>
        <v/>
      </c>
      <c r="AE29">
        <f>IF(OR($B29="",NOT(ISNUMBER(Settings!$C$9))),"",TRIM(SUBSTITUTE(SUBSTITUTE(INDEX('INPUT - Roster'!$S$1:$SV$206,$B29,Settings!$C$9+25)&amp;"",CHAR(10)," "),CHAR(160)," ")))</f>
        <v/>
      </c>
      <c r="AF29">
        <f>IF(OR($B29="",NOT(ISNUMBER(Settings!$C$9))),"",TRIM(SUBSTITUTE(SUBSTITUTE(INDEX('INPUT - Roster'!$S$1:$SV$206,$B29,Settings!$C$9+26)&amp;"",CHAR(10)," "),CHAR(160)," ")))</f>
        <v/>
      </c>
      <c r="AG29">
        <f>IF(OR($B29="",NOT(ISNUMBER(Settings!$C$9))),"",TRIM(SUBSTITUTE(SUBSTITUTE(INDEX('INPUT - Roster'!$S$1:$SV$206,$B29,Settings!$C$9+27)&amp;"",CHAR(10)," "),CHAR(160)," ")))</f>
        <v/>
      </c>
      <c r="AI29">
        <f>IF($B29="","",IF(F29="","Not rostered",IFERROR(INDEX(Settings!$C$14:$C$33,MATCH(F29,Settings!$B$14:$B$33,0)),IFERROR(LOOKUP(2^15,SEARCH(Settings!$I$14:$I$83,F29)/(Settings!$I$14:$I$83&lt;&gt;""),Settings!$J$14:$J$83),"Other"))))</f>
        <v/>
      </c>
      <c r="AJ29">
        <f>IF($B29="","",IF(G29="","Not rostered",IFERROR(INDEX(Settings!$C$14:$C$33,MATCH(G29,Settings!$B$14:$B$33,0)),IFERROR(LOOKUP(2^15,SEARCH(Settings!$I$14:$I$83,G29)/(Settings!$I$14:$I$83&lt;&gt;""),Settings!$J$14:$J$83),"Other"))))</f>
        <v/>
      </c>
      <c r="AK29">
        <f>IF($B29="","",IF(H29="","Not rostered",IFERROR(INDEX(Settings!$C$14:$C$33,MATCH(H29,Settings!$B$14:$B$33,0)),IFERROR(LOOKUP(2^15,SEARCH(Settings!$I$14:$I$83,H29)/(Settings!$I$14:$I$83&lt;&gt;""),Settings!$J$14:$J$83),"Other"))))</f>
        <v/>
      </c>
      <c r="AL29">
        <f>IF($B29="","",IF(I29="","Not rostered",IFERROR(INDEX(Settings!$C$14:$C$33,MATCH(I29,Settings!$B$14:$B$33,0)),IFERROR(LOOKUP(2^15,SEARCH(Settings!$I$14:$I$83,I29)/(Settings!$I$14:$I$83&lt;&gt;""),Settings!$J$14:$J$83),"Other"))))</f>
        <v/>
      </c>
      <c r="AM29">
        <f>IF($B29="","",IF(J29="","Not rostered",IFERROR(INDEX(Settings!$C$14:$C$33,MATCH(J29,Settings!$B$14:$B$33,0)),IFERROR(LOOKUP(2^15,SEARCH(Settings!$I$14:$I$83,J29)/(Settings!$I$14:$I$83&lt;&gt;""),Settings!$J$14:$J$83),"Other"))))</f>
        <v/>
      </c>
      <c r="AN29">
        <f>IF($B29="","",IF(K29="","Not rostered",IFERROR(INDEX(Settings!$C$14:$C$33,MATCH(K29,Settings!$B$14:$B$33,0)),IFERROR(LOOKUP(2^15,SEARCH(Settings!$I$14:$I$83,K29)/(Settings!$I$14:$I$83&lt;&gt;""),Settings!$J$14:$J$83),"Other"))))</f>
        <v/>
      </c>
      <c r="AO29">
        <f>IF($B29="","",IF(L29="","Not rostered",IFERROR(INDEX(Settings!$C$14:$C$33,MATCH(L29,Settings!$B$14:$B$33,0)),IFERROR(LOOKUP(2^15,SEARCH(Settings!$I$14:$I$83,L29)/(Settings!$I$14:$I$83&lt;&gt;""),Settings!$J$14:$J$83),"Other"))))</f>
        <v/>
      </c>
      <c r="AP29">
        <f>IF($B29="","",IF(M29="","Not rostered",IFERROR(INDEX(Settings!$C$14:$C$33,MATCH(M29,Settings!$B$14:$B$33,0)),IFERROR(LOOKUP(2^15,SEARCH(Settings!$I$14:$I$83,M29)/(Settings!$I$14:$I$83&lt;&gt;""),Settings!$J$14:$J$83),"Other"))))</f>
        <v/>
      </c>
      <c r="AQ29">
        <f>IF($B29="","",IF(N29="","Not rostered",IFERROR(INDEX(Settings!$C$14:$C$33,MATCH(N29,Settings!$B$14:$B$33,0)),IFERROR(LOOKUP(2^15,SEARCH(Settings!$I$14:$I$83,N29)/(Settings!$I$14:$I$83&lt;&gt;""),Settings!$J$14:$J$83),"Other"))))</f>
        <v/>
      </c>
      <c r="AR29">
        <f>IF($B29="","",IF(O29="","Not rostered",IFERROR(INDEX(Settings!$C$14:$C$33,MATCH(O29,Settings!$B$14:$B$33,0)),IFERROR(LOOKUP(2^15,SEARCH(Settings!$I$14:$I$83,O29)/(Settings!$I$14:$I$83&lt;&gt;""),Settings!$J$14:$J$83),"Other"))))</f>
        <v/>
      </c>
      <c r="AS29">
        <f>IF($B29="","",IF(P29="","Not rostered",IFERROR(INDEX(Settings!$C$14:$C$33,MATCH(P29,Settings!$B$14:$B$33,0)),IFERROR(LOOKUP(2^15,SEARCH(Settings!$I$14:$I$83,P29)/(Settings!$I$14:$I$83&lt;&gt;""),Settings!$J$14:$J$83),"Other"))))</f>
        <v/>
      </c>
      <c r="AT29">
        <f>IF($B29="","",IF(Q29="","Not rostered",IFERROR(INDEX(Settings!$C$14:$C$33,MATCH(Q29,Settings!$B$14:$B$33,0)),IFERROR(LOOKUP(2^15,SEARCH(Settings!$I$14:$I$83,Q29)/(Settings!$I$14:$I$83&lt;&gt;""),Settings!$J$14:$J$83),"Other"))))</f>
        <v/>
      </c>
      <c r="AU29">
        <f>IF($B29="","",IF(R29="","Not rostered",IFERROR(INDEX(Settings!$C$14:$C$33,MATCH(R29,Settings!$B$14:$B$33,0)),IFERROR(LOOKUP(2^15,SEARCH(Settings!$I$14:$I$83,R29)/(Settings!$I$14:$I$83&lt;&gt;""),Settings!$J$14:$J$83),"Other"))))</f>
        <v/>
      </c>
      <c r="AV29">
        <f>IF($B29="","",IF(S29="","Not rostered",IFERROR(INDEX(Settings!$C$14:$C$33,MATCH(S29,Settings!$B$14:$B$33,0)),IFERROR(LOOKUP(2^15,SEARCH(Settings!$I$14:$I$83,S29)/(Settings!$I$14:$I$83&lt;&gt;""),Settings!$J$14:$J$83),"Other"))))</f>
        <v/>
      </c>
      <c r="AW29">
        <f>IF($B29="","",IF(T29="","Not rostered",IFERROR(INDEX(Settings!$C$14:$C$33,MATCH(T29,Settings!$B$14:$B$33,0)),IFERROR(LOOKUP(2^15,SEARCH(Settings!$I$14:$I$83,T29)/(Settings!$I$14:$I$83&lt;&gt;""),Settings!$J$14:$J$83),"Other"))))</f>
        <v/>
      </c>
      <c r="AX29">
        <f>IF($B29="","",IF(U29="","Not rostered",IFERROR(INDEX(Settings!$C$14:$C$33,MATCH(U29,Settings!$B$14:$B$33,0)),IFERROR(LOOKUP(2^15,SEARCH(Settings!$I$14:$I$83,U29)/(Settings!$I$14:$I$83&lt;&gt;""),Settings!$J$14:$J$83),"Other"))))</f>
        <v/>
      </c>
      <c r="AY29">
        <f>IF($B29="","",IF(V29="","Not rostered",IFERROR(INDEX(Settings!$C$14:$C$33,MATCH(V29,Settings!$B$14:$B$33,0)),IFERROR(LOOKUP(2^15,SEARCH(Settings!$I$14:$I$83,V29)/(Settings!$I$14:$I$83&lt;&gt;""),Settings!$J$14:$J$83),"Other"))))</f>
        <v/>
      </c>
      <c r="AZ29">
        <f>IF($B29="","",IF(W29="","Not rostered",IFERROR(INDEX(Settings!$C$14:$C$33,MATCH(W29,Settings!$B$14:$B$33,0)),IFERROR(LOOKUP(2^15,SEARCH(Settings!$I$14:$I$83,W29)/(Settings!$I$14:$I$83&lt;&gt;""),Settings!$J$14:$J$83),"Other"))))</f>
        <v/>
      </c>
      <c r="BA29">
        <f>IF($B29="","",IF(X29="","Not rostered",IFERROR(INDEX(Settings!$C$14:$C$33,MATCH(X29,Settings!$B$14:$B$33,0)),IFERROR(LOOKUP(2^15,SEARCH(Settings!$I$14:$I$83,X29)/(Settings!$I$14:$I$83&lt;&gt;""),Settings!$J$14:$J$83),"Other"))))</f>
        <v/>
      </c>
      <c r="BB29">
        <f>IF($B29="","",IF(Y29="","Not rostered",IFERROR(INDEX(Settings!$C$14:$C$33,MATCH(Y29,Settings!$B$14:$B$33,0)),IFERROR(LOOKUP(2^15,SEARCH(Settings!$I$14:$I$83,Y29)/(Settings!$I$14:$I$83&lt;&gt;""),Settings!$J$14:$J$83),"Other"))))</f>
        <v/>
      </c>
      <c r="BC29">
        <f>IF($B29="","",IF(Z29="","Not rostered",IFERROR(INDEX(Settings!$C$14:$C$33,MATCH(Z29,Settings!$B$14:$B$33,0)),IFERROR(LOOKUP(2^15,SEARCH(Settings!$I$14:$I$83,Z29)/(Settings!$I$14:$I$83&lt;&gt;""),Settings!$J$14:$J$83),"Other"))))</f>
        <v/>
      </c>
      <c r="BD29">
        <f>IF($B29="","",IF(AA29="","Not rostered",IFERROR(INDEX(Settings!$C$14:$C$33,MATCH(AA29,Settings!$B$14:$B$33,0)),IFERROR(LOOKUP(2^15,SEARCH(Settings!$I$14:$I$83,AA29)/(Settings!$I$14:$I$83&lt;&gt;""),Settings!$J$14:$J$83),"Other"))))</f>
        <v/>
      </c>
      <c r="BE29">
        <f>IF($B29="","",IF(AB29="","Not rostered",IFERROR(INDEX(Settings!$C$14:$C$33,MATCH(AB29,Settings!$B$14:$B$33,0)),IFERROR(LOOKUP(2^15,SEARCH(Settings!$I$14:$I$83,AB29)/(Settings!$I$14:$I$83&lt;&gt;""),Settings!$J$14:$J$83),"Other"))))</f>
        <v/>
      </c>
      <c r="BF29">
        <f>IF($B29="","",IF(AC29="","Not rostered",IFERROR(INDEX(Settings!$C$14:$C$33,MATCH(AC29,Settings!$B$14:$B$33,0)),IFERROR(LOOKUP(2^15,SEARCH(Settings!$I$14:$I$83,AC29)/(Settings!$I$14:$I$83&lt;&gt;""),Settings!$J$14:$J$83),"Other"))))</f>
        <v/>
      </c>
      <c r="BG29">
        <f>IF($B29="","",IF(AD29="","Not rostered",IFERROR(INDEX(Settings!$C$14:$C$33,MATCH(AD29,Settings!$B$14:$B$33,0)),IFERROR(LOOKUP(2^15,SEARCH(Settings!$I$14:$I$83,AD29)/(Settings!$I$14:$I$83&lt;&gt;""),Settings!$J$14:$J$83),"Other"))))</f>
        <v/>
      </c>
      <c r="BH29">
        <f>IF($B29="","",IF(AE29="","Not rostered",IFERROR(INDEX(Settings!$C$14:$C$33,MATCH(AE29,Settings!$B$14:$B$33,0)),IFERROR(LOOKUP(2^15,SEARCH(Settings!$I$14:$I$83,AE29)/(Settings!$I$14:$I$83&lt;&gt;""),Settings!$J$14:$J$83),"Other"))))</f>
        <v/>
      </c>
      <c r="BI29">
        <f>IF($B29="","",IF(AF29="","Not rostered",IFERROR(INDEX(Settings!$C$14:$C$33,MATCH(AF29,Settings!$B$14:$B$33,0)),IFERROR(LOOKUP(2^15,SEARCH(Settings!$I$14:$I$83,AF29)/(Settings!$I$14:$I$83&lt;&gt;""),Settings!$J$14:$J$83),"Other"))))</f>
        <v/>
      </c>
      <c r="BJ29">
        <f>IF($B29="","",IF(AG29="","Not rostered",IFERROR(INDEX(Settings!$C$14:$C$33,MATCH(AG29,Settings!$B$14:$B$33,0)),IFERROR(LOOKUP(2^15,SEARCH(Settings!$I$14:$I$83,AG29)/(Settings!$I$14:$I$83&lt;&gt;""),Settings!$J$14:$J$83),"Other"))))</f>
        <v/>
      </c>
      <c r="BL29">
        <f>IF(OR($B29="",F29=""),"",IFERROR(INDEX(Settings!$D$14:$D$33,MATCH(F29,Settings!$B$14:$B$33,0))&amp;"",IFERROR(LOOKUP(2^15,SEARCH(Settings!$F$14:$F$43,F29)/(Settings!$F$14:$F$43&lt;&gt;""),Settings!$G$14:$G$43),"")))</f>
        <v/>
      </c>
      <c r="BM29">
        <f>IF(OR($B29="",G29=""),"",IFERROR(INDEX(Settings!$D$14:$D$33,MATCH(G29,Settings!$B$14:$B$33,0))&amp;"",IFERROR(LOOKUP(2^15,SEARCH(Settings!$F$14:$F$43,G29)/(Settings!$F$14:$F$43&lt;&gt;""),Settings!$G$14:$G$43),"")))</f>
        <v/>
      </c>
      <c r="BN29">
        <f>IF(OR($B29="",H29=""),"",IFERROR(INDEX(Settings!$D$14:$D$33,MATCH(H29,Settings!$B$14:$B$33,0))&amp;"",IFERROR(LOOKUP(2^15,SEARCH(Settings!$F$14:$F$43,H29)/(Settings!$F$14:$F$43&lt;&gt;""),Settings!$G$14:$G$43),"")))</f>
        <v/>
      </c>
      <c r="BO29">
        <f>IF(OR($B29="",I29=""),"",IFERROR(INDEX(Settings!$D$14:$D$33,MATCH(I29,Settings!$B$14:$B$33,0))&amp;"",IFERROR(LOOKUP(2^15,SEARCH(Settings!$F$14:$F$43,I29)/(Settings!$F$14:$F$43&lt;&gt;""),Settings!$G$14:$G$43),"")))</f>
        <v/>
      </c>
      <c r="BP29">
        <f>IF(OR($B29="",J29=""),"",IFERROR(INDEX(Settings!$D$14:$D$33,MATCH(J29,Settings!$B$14:$B$33,0))&amp;"",IFERROR(LOOKUP(2^15,SEARCH(Settings!$F$14:$F$43,J29)/(Settings!$F$14:$F$43&lt;&gt;""),Settings!$G$14:$G$43),"")))</f>
        <v/>
      </c>
      <c r="BQ29">
        <f>IF(OR($B29="",K29=""),"",IFERROR(INDEX(Settings!$D$14:$D$33,MATCH(K29,Settings!$B$14:$B$33,0))&amp;"",IFERROR(LOOKUP(2^15,SEARCH(Settings!$F$14:$F$43,K29)/(Settings!$F$14:$F$43&lt;&gt;""),Settings!$G$14:$G$43),"")))</f>
        <v/>
      </c>
      <c r="BR29">
        <f>IF(OR($B29="",L29=""),"",IFERROR(INDEX(Settings!$D$14:$D$33,MATCH(L29,Settings!$B$14:$B$33,0))&amp;"",IFERROR(LOOKUP(2^15,SEARCH(Settings!$F$14:$F$43,L29)/(Settings!$F$14:$F$43&lt;&gt;""),Settings!$G$14:$G$43),"")))</f>
        <v/>
      </c>
      <c r="BS29">
        <f>IF(OR($B29="",M29=""),"",IFERROR(INDEX(Settings!$D$14:$D$33,MATCH(M29,Settings!$B$14:$B$33,0))&amp;"",IFERROR(LOOKUP(2^15,SEARCH(Settings!$F$14:$F$43,M29)/(Settings!$F$14:$F$43&lt;&gt;""),Settings!$G$14:$G$43),"")))</f>
        <v/>
      </c>
      <c r="BT29">
        <f>IF(OR($B29="",N29=""),"",IFERROR(INDEX(Settings!$D$14:$D$33,MATCH(N29,Settings!$B$14:$B$33,0))&amp;"",IFERROR(LOOKUP(2^15,SEARCH(Settings!$F$14:$F$43,N29)/(Settings!$F$14:$F$43&lt;&gt;""),Settings!$G$14:$G$43),"")))</f>
        <v/>
      </c>
      <c r="BU29">
        <f>IF(OR($B29="",O29=""),"",IFERROR(INDEX(Settings!$D$14:$D$33,MATCH(O29,Settings!$B$14:$B$33,0))&amp;"",IFERROR(LOOKUP(2^15,SEARCH(Settings!$F$14:$F$43,O29)/(Settings!$F$14:$F$43&lt;&gt;""),Settings!$G$14:$G$43),"")))</f>
        <v/>
      </c>
      <c r="BV29">
        <f>IF(OR($B29="",P29=""),"",IFERROR(INDEX(Settings!$D$14:$D$33,MATCH(P29,Settings!$B$14:$B$33,0))&amp;"",IFERROR(LOOKUP(2^15,SEARCH(Settings!$F$14:$F$43,P29)/(Settings!$F$14:$F$43&lt;&gt;""),Settings!$G$14:$G$43),"")))</f>
        <v/>
      </c>
      <c r="BW29">
        <f>IF(OR($B29="",Q29=""),"",IFERROR(INDEX(Settings!$D$14:$D$33,MATCH(Q29,Settings!$B$14:$B$33,0))&amp;"",IFERROR(LOOKUP(2^15,SEARCH(Settings!$F$14:$F$43,Q29)/(Settings!$F$14:$F$43&lt;&gt;""),Settings!$G$14:$G$43),"")))</f>
        <v/>
      </c>
      <c r="BX29">
        <f>IF(OR($B29="",R29=""),"",IFERROR(INDEX(Settings!$D$14:$D$33,MATCH(R29,Settings!$B$14:$B$33,0))&amp;"",IFERROR(LOOKUP(2^15,SEARCH(Settings!$F$14:$F$43,R29)/(Settings!$F$14:$F$43&lt;&gt;""),Settings!$G$14:$G$43),"")))</f>
        <v/>
      </c>
      <c r="BY29">
        <f>IF(OR($B29="",S29=""),"",IFERROR(INDEX(Settings!$D$14:$D$33,MATCH(S29,Settings!$B$14:$B$33,0))&amp;"",IFERROR(LOOKUP(2^15,SEARCH(Settings!$F$14:$F$43,S29)/(Settings!$F$14:$F$43&lt;&gt;""),Settings!$G$14:$G$43),"")))</f>
        <v/>
      </c>
      <c r="BZ29">
        <f>IF(OR($B29="",T29=""),"",IFERROR(INDEX(Settings!$D$14:$D$33,MATCH(T29,Settings!$B$14:$B$33,0))&amp;"",IFERROR(LOOKUP(2^15,SEARCH(Settings!$F$14:$F$43,T29)/(Settings!$F$14:$F$43&lt;&gt;""),Settings!$G$14:$G$43),"")))</f>
        <v/>
      </c>
      <c r="CA29">
        <f>IF(OR($B29="",U29=""),"",IFERROR(INDEX(Settings!$D$14:$D$33,MATCH(U29,Settings!$B$14:$B$33,0))&amp;"",IFERROR(LOOKUP(2^15,SEARCH(Settings!$F$14:$F$43,U29)/(Settings!$F$14:$F$43&lt;&gt;""),Settings!$G$14:$G$43),"")))</f>
        <v/>
      </c>
      <c r="CB29">
        <f>IF(OR($B29="",V29=""),"",IFERROR(INDEX(Settings!$D$14:$D$33,MATCH(V29,Settings!$B$14:$B$33,0))&amp;"",IFERROR(LOOKUP(2^15,SEARCH(Settings!$F$14:$F$43,V29)/(Settings!$F$14:$F$43&lt;&gt;""),Settings!$G$14:$G$43),"")))</f>
        <v/>
      </c>
      <c r="CC29">
        <f>IF(OR($B29="",W29=""),"",IFERROR(INDEX(Settings!$D$14:$D$33,MATCH(W29,Settings!$B$14:$B$33,0))&amp;"",IFERROR(LOOKUP(2^15,SEARCH(Settings!$F$14:$F$43,W29)/(Settings!$F$14:$F$43&lt;&gt;""),Settings!$G$14:$G$43),"")))</f>
        <v/>
      </c>
      <c r="CD29">
        <f>IF(OR($B29="",X29=""),"",IFERROR(INDEX(Settings!$D$14:$D$33,MATCH(X29,Settings!$B$14:$B$33,0))&amp;"",IFERROR(LOOKUP(2^15,SEARCH(Settings!$F$14:$F$43,X29)/(Settings!$F$14:$F$43&lt;&gt;""),Settings!$G$14:$G$43),"")))</f>
        <v/>
      </c>
      <c r="CE29">
        <f>IF(OR($B29="",Y29=""),"",IFERROR(INDEX(Settings!$D$14:$D$33,MATCH(Y29,Settings!$B$14:$B$33,0))&amp;"",IFERROR(LOOKUP(2^15,SEARCH(Settings!$F$14:$F$43,Y29)/(Settings!$F$14:$F$43&lt;&gt;""),Settings!$G$14:$G$43),"")))</f>
        <v/>
      </c>
      <c r="CF29">
        <f>IF(OR($B29="",Z29=""),"",IFERROR(INDEX(Settings!$D$14:$D$33,MATCH(Z29,Settings!$B$14:$B$33,0))&amp;"",IFERROR(LOOKUP(2^15,SEARCH(Settings!$F$14:$F$43,Z29)/(Settings!$F$14:$F$43&lt;&gt;""),Settings!$G$14:$G$43),"")))</f>
        <v/>
      </c>
      <c r="CG29">
        <f>IF(OR($B29="",AA29=""),"",IFERROR(INDEX(Settings!$D$14:$D$33,MATCH(AA29,Settings!$B$14:$B$33,0))&amp;"",IFERROR(LOOKUP(2^15,SEARCH(Settings!$F$14:$F$43,AA29)/(Settings!$F$14:$F$43&lt;&gt;""),Settings!$G$14:$G$43),"")))</f>
        <v/>
      </c>
      <c r="CH29">
        <f>IF(OR($B29="",AB29=""),"",IFERROR(INDEX(Settings!$D$14:$D$33,MATCH(AB29,Settings!$B$14:$B$33,0))&amp;"",IFERROR(LOOKUP(2^15,SEARCH(Settings!$F$14:$F$43,AB29)/(Settings!$F$14:$F$43&lt;&gt;""),Settings!$G$14:$G$43),"")))</f>
        <v/>
      </c>
      <c r="CI29">
        <f>IF(OR($B29="",AC29=""),"",IFERROR(INDEX(Settings!$D$14:$D$33,MATCH(AC29,Settings!$B$14:$B$33,0))&amp;"",IFERROR(LOOKUP(2^15,SEARCH(Settings!$F$14:$F$43,AC29)/(Settings!$F$14:$F$43&lt;&gt;""),Settings!$G$14:$G$43),"")))</f>
        <v/>
      </c>
      <c r="CJ29">
        <f>IF(OR($B29="",AD29=""),"",IFERROR(INDEX(Settings!$D$14:$D$33,MATCH(AD29,Settings!$B$14:$B$33,0))&amp;"",IFERROR(LOOKUP(2^15,SEARCH(Settings!$F$14:$F$43,AD29)/(Settings!$F$14:$F$43&lt;&gt;""),Settings!$G$14:$G$43),"")))</f>
        <v/>
      </c>
      <c r="CK29">
        <f>IF(OR($B29="",AE29=""),"",IFERROR(INDEX(Settings!$D$14:$D$33,MATCH(AE29,Settings!$B$14:$B$33,0))&amp;"",IFERROR(LOOKUP(2^15,SEARCH(Settings!$F$14:$F$43,AE29)/(Settings!$F$14:$F$43&lt;&gt;""),Settings!$G$14:$G$43),"")))</f>
        <v/>
      </c>
      <c r="CL29">
        <f>IF(OR($B29="",AF29=""),"",IFERROR(INDEX(Settings!$D$14:$D$33,MATCH(AF29,Settings!$B$14:$B$33,0))&amp;"",IFERROR(LOOKUP(2^15,SEARCH(Settings!$F$14:$F$43,AF29)/(Settings!$F$14:$F$43&lt;&gt;""),Settings!$G$14:$G$43),"")))</f>
        <v/>
      </c>
      <c r="CM29">
        <f>IF(OR($B29="",AG29=""),"",IFERROR(INDEX(Settings!$D$14:$D$33,MATCH(AG29,Settings!$B$14:$B$33,0))&amp;"",IFERROR(LOOKUP(2^15,SEARCH(Settings!$F$14:$F$43,AG29)/(Settings!$F$14:$F$43&lt;&gt;""),Settings!$G$14:$G$43),"")))</f>
        <v/>
      </c>
    </row>
    <row r="30">
      <c r="A30" t="n">
        <v>28</v>
      </c>
      <c r="B30">
        <f>IFERROR(INDEX(Index!$A$2:$A$202,MATCH(A30,Index!$E$2:$E$202,0)),"")</f>
        <v/>
      </c>
      <c r="D30">
        <f>IF($B30="","",IFERROR(MATCH("Travel*",AI30:BJ30,0),""))</f>
        <v/>
      </c>
      <c r="F30">
        <f>IF(OR($B30="",NOT(ISNUMBER(Settings!$C$9))),"",TRIM(SUBSTITUTE(SUBSTITUTE(INDEX('INPUT - Roster'!$S$1:$SV$206,$B30,Settings!$C$9+0)&amp;"",CHAR(10)," "),CHAR(160)," ")))</f>
        <v/>
      </c>
      <c r="G30">
        <f>IF(OR($B30="",NOT(ISNUMBER(Settings!$C$9))),"",TRIM(SUBSTITUTE(SUBSTITUTE(INDEX('INPUT - Roster'!$S$1:$SV$206,$B30,Settings!$C$9+1)&amp;"",CHAR(10)," "),CHAR(160)," ")))</f>
        <v/>
      </c>
      <c r="H30">
        <f>IF(OR($B30="",NOT(ISNUMBER(Settings!$C$9))),"",TRIM(SUBSTITUTE(SUBSTITUTE(INDEX('INPUT - Roster'!$S$1:$SV$206,$B30,Settings!$C$9+2)&amp;"",CHAR(10)," "),CHAR(160)," ")))</f>
        <v/>
      </c>
      <c r="I30">
        <f>IF(OR($B30="",NOT(ISNUMBER(Settings!$C$9))),"",TRIM(SUBSTITUTE(SUBSTITUTE(INDEX('INPUT - Roster'!$S$1:$SV$206,$B30,Settings!$C$9+3)&amp;"",CHAR(10)," "),CHAR(160)," ")))</f>
        <v/>
      </c>
      <c r="J30">
        <f>IF(OR($B30="",NOT(ISNUMBER(Settings!$C$9))),"",TRIM(SUBSTITUTE(SUBSTITUTE(INDEX('INPUT - Roster'!$S$1:$SV$206,$B30,Settings!$C$9+4)&amp;"",CHAR(10)," "),CHAR(160)," ")))</f>
        <v/>
      </c>
      <c r="K30">
        <f>IF(OR($B30="",NOT(ISNUMBER(Settings!$C$9))),"",TRIM(SUBSTITUTE(SUBSTITUTE(INDEX('INPUT - Roster'!$S$1:$SV$206,$B30,Settings!$C$9+5)&amp;"",CHAR(10)," "),CHAR(160)," ")))</f>
        <v/>
      </c>
      <c r="L30">
        <f>IF(OR($B30="",NOT(ISNUMBER(Settings!$C$9))),"",TRIM(SUBSTITUTE(SUBSTITUTE(INDEX('INPUT - Roster'!$S$1:$SV$206,$B30,Settings!$C$9+6)&amp;"",CHAR(10)," "),CHAR(160)," ")))</f>
        <v/>
      </c>
      <c r="M30">
        <f>IF(OR($B30="",NOT(ISNUMBER(Settings!$C$9))),"",TRIM(SUBSTITUTE(SUBSTITUTE(INDEX('INPUT - Roster'!$S$1:$SV$206,$B30,Settings!$C$9+7)&amp;"",CHAR(10)," "),CHAR(160)," ")))</f>
        <v/>
      </c>
      <c r="N30">
        <f>IF(OR($B30="",NOT(ISNUMBER(Settings!$C$9))),"",TRIM(SUBSTITUTE(SUBSTITUTE(INDEX('INPUT - Roster'!$S$1:$SV$206,$B30,Settings!$C$9+8)&amp;"",CHAR(10)," "),CHAR(160)," ")))</f>
        <v/>
      </c>
      <c r="O30">
        <f>IF(OR($B30="",NOT(ISNUMBER(Settings!$C$9))),"",TRIM(SUBSTITUTE(SUBSTITUTE(INDEX('INPUT - Roster'!$S$1:$SV$206,$B30,Settings!$C$9+9)&amp;"",CHAR(10)," "),CHAR(160)," ")))</f>
        <v/>
      </c>
      <c r="P30">
        <f>IF(OR($B30="",NOT(ISNUMBER(Settings!$C$9))),"",TRIM(SUBSTITUTE(SUBSTITUTE(INDEX('INPUT - Roster'!$S$1:$SV$206,$B30,Settings!$C$9+10)&amp;"",CHAR(10)," "),CHAR(160)," ")))</f>
        <v/>
      </c>
      <c r="Q30">
        <f>IF(OR($B30="",NOT(ISNUMBER(Settings!$C$9))),"",TRIM(SUBSTITUTE(SUBSTITUTE(INDEX('INPUT - Roster'!$S$1:$SV$206,$B30,Settings!$C$9+11)&amp;"",CHAR(10)," "),CHAR(160)," ")))</f>
        <v/>
      </c>
      <c r="R30">
        <f>IF(OR($B30="",NOT(ISNUMBER(Settings!$C$9))),"",TRIM(SUBSTITUTE(SUBSTITUTE(INDEX('INPUT - Roster'!$S$1:$SV$206,$B30,Settings!$C$9+12)&amp;"",CHAR(10)," "),CHAR(160)," ")))</f>
        <v/>
      </c>
      <c r="S30">
        <f>IF(OR($B30="",NOT(ISNUMBER(Settings!$C$9))),"",TRIM(SUBSTITUTE(SUBSTITUTE(INDEX('INPUT - Roster'!$S$1:$SV$206,$B30,Settings!$C$9+13)&amp;"",CHAR(10)," "),CHAR(160)," ")))</f>
        <v/>
      </c>
      <c r="T30">
        <f>IF(OR($B30="",NOT(ISNUMBER(Settings!$C$9))),"",TRIM(SUBSTITUTE(SUBSTITUTE(INDEX('INPUT - Roster'!$S$1:$SV$206,$B30,Settings!$C$9+14)&amp;"",CHAR(10)," "),CHAR(160)," ")))</f>
        <v/>
      </c>
      <c r="U30">
        <f>IF(OR($B30="",NOT(ISNUMBER(Settings!$C$9))),"",TRIM(SUBSTITUTE(SUBSTITUTE(INDEX('INPUT - Roster'!$S$1:$SV$206,$B30,Settings!$C$9+15)&amp;"",CHAR(10)," "),CHAR(160)," ")))</f>
        <v/>
      </c>
      <c r="V30">
        <f>IF(OR($B30="",NOT(ISNUMBER(Settings!$C$9))),"",TRIM(SUBSTITUTE(SUBSTITUTE(INDEX('INPUT - Roster'!$S$1:$SV$206,$B30,Settings!$C$9+16)&amp;"",CHAR(10)," "),CHAR(160)," ")))</f>
        <v/>
      </c>
      <c r="W30">
        <f>IF(OR($B30="",NOT(ISNUMBER(Settings!$C$9))),"",TRIM(SUBSTITUTE(SUBSTITUTE(INDEX('INPUT - Roster'!$S$1:$SV$206,$B30,Settings!$C$9+17)&amp;"",CHAR(10)," "),CHAR(160)," ")))</f>
        <v/>
      </c>
      <c r="X30">
        <f>IF(OR($B30="",NOT(ISNUMBER(Settings!$C$9))),"",TRIM(SUBSTITUTE(SUBSTITUTE(INDEX('INPUT - Roster'!$S$1:$SV$206,$B30,Settings!$C$9+18)&amp;"",CHAR(10)," "),CHAR(160)," ")))</f>
        <v/>
      </c>
      <c r="Y30">
        <f>IF(OR($B30="",NOT(ISNUMBER(Settings!$C$9))),"",TRIM(SUBSTITUTE(SUBSTITUTE(INDEX('INPUT - Roster'!$S$1:$SV$206,$B30,Settings!$C$9+19)&amp;"",CHAR(10)," "),CHAR(160)," ")))</f>
        <v/>
      </c>
      <c r="Z30">
        <f>IF(OR($B30="",NOT(ISNUMBER(Settings!$C$9))),"",TRIM(SUBSTITUTE(SUBSTITUTE(INDEX('INPUT - Roster'!$S$1:$SV$206,$B30,Settings!$C$9+20)&amp;"",CHAR(10)," "),CHAR(160)," ")))</f>
        <v/>
      </c>
      <c r="AA30">
        <f>IF(OR($B30="",NOT(ISNUMBER(Settings!$C$9))),"",TRIM(SUBSTITUTE(SUBSTITUTE(INDEX('INPUT - Roster'!$S$1:$SV$206,$B30,Settings!$C$9+21)&amp;"",CHAR(10)," "),CHAR(160)," ")))</f>
        <v/>
      </c>
      <c r="AB30">
        <f>IF(OR($B30="",NOT(ISNUMBER(Settings!$C$9))),"",TRIM(SUBSTITUTE(SUBSTITUTE(INDEX('INPUT - Roster'!$S$1:$SV$206,$B30,Settings!$C$9+22)&amp;"",CHAR(10)," "),CHAR(160)," ")))</f>
        <v/>
      </c>
      <c r="AC30">
        <f>IF(OR($B30="",NOT(ISNUMBER(Settings!$C$9))),"",TRIM(SUBSTITUTE(SUBSTITUTE(INDEX('INPUT - Roster'!$S$1:$SV$206,$B30,Settings!$C$9+23)&amp;"",CHAR(10)," "),CHAR(160)," ")))</f>
        <v/>
      </c>
      <c r="AD30">
        <f>IF(OR($B30="",NOT(ISNUMBER(Settings!$C$9))),"",TRIM(SUBSTITUTE(SUBSTITUTE(INDEX('INPUT - Roster'!$S$1:$SV$206,$B30,Settings!$C$9+24)&amp;"",CHAR(10)," "),CHAR(160)," ")))</f>
        <v/>
      </c>
      <c r="AE30">
        <f>IF(OR($B30="",NOT(ISNUMBER(Settings!$C$9))),"",TRIM(SUBSTITUTE(SUBSTITUTE(INDEX('INPUT - Roster'!$S$1:$SV$206,$B30,Settings!$C$9+25)&amp;"",CHAR(10)," "),CHAR(160)," ")))</f>
        <v/>
      </c>
      <c r="AF30">
        <f>IF(OR($B30="",NOT(ISNUMBER(Settings!$C$9))),"",TRIM(SUBSTITUTE(SUBSTITUTE(INDEX('INPUT - Roster'!$S$1:$SV$206,$B30,Settings!$C$9+26)&amp;"",CHAR(10)," "),CHAR(160)," ")))</f>
        <v/>
      </c>
      <c r="AG30">
        <f>IF(OR($B30="",NOT(ISNUMBER(Settings!$C$9))),"",TRIM(SUBSTITUTE(SUBSTITUTE(INDEX('INPUT - Roster'!$S$1:$SV$206,$B30,Settings!$C$9+27)&amp;"",CHAR(10)," "),CHAR(160)," ")))</f>
        <v/>
      </c>
      <c r="AI30">
        <f>IF($B30="","",IF(F30="","Not rostered",IFERROR(INDEX(Settings!$C$14:$C$33,MATCH(F30,Settings!$B$14:$B$33,0)),IFERROR(LOOKUP(2^15,SEARCH(Settings!$I$14:$I$83,F30)/(Settings!$I$14:$I$83&lt;&gt;""),Settings!$J$14:$J$83),"Other"))))</f>
        <v/>
      </c>
      <c r="AJ30">
        <f>IF($B30="","",IF(G30="","Not rostered",IFERROR(INDEX(Settings!$C$14:$C$33,MATCH(G30,Settings!$B$14:$B$33,0)),IFERROR(LOOKUP(2^15,SEARCH(Settings!$I$14:$I$83,G30)/(Settings!$I$14:$I$83&lt;&gt;""),Settings!$J$14:$J$83),"Other"))))</f>
        <v/>
      </c>
      <c r="AK30">
        <f>IF($B30="","",IF(H30="","Not rostered",IFERROR(INDEX(Settings!$C$14:$C$33,MATCH(H30,Settings!$B$14:$B$33,0)),IFERROR(LOOKUP(2^15,SEARCH(Settings!$I$14:$I$83,H30)/(Settings!$I$14:$I$83&lt;&gt;""),Settings!$J$14:$J$83),"Other"))))</f>
        <v/>
      </c>
      <c r="AL30">
        <f>IF($B30="","",IF(I30="","Not rostered",IFERROR(INDEX(Settings!$C$14:$C$33,MATCH(I30,Settings!$B$14:$B$33,0)),IFERROR(LOOKUP(2^15,SEARCH(Settings!$I$14:$I$83,I30)/(Settings!$I$14:$I$83&lt;&gt;""),Settings!$J$14:$J$83),"Other"))))</f>
        <v/>
      </c>
      <c r="AM30">
        <f>IF($B30="","",IF(J30="","Not rostered",IFERROR(INDEX(Settings!$C$14:$C$33,MATCH(J30,Settings!$B$14:$B$33,0)),IFERROR(LOOKUP(2^15,SEARCH(Settings!$I$14:$I$83,J30)/(Settings!$I$14:$I$83&lt;&gt;""),Settings!$J$14:$J$83),"Other"))))</f>
        <v/>
      </c>
      <c r="AN30">
        <f>IF($B30="","",IF(K30="","Not rostered",IFERROR(INDEX(Settings!$C$14:$C$33,MATCH(K30,Settings!$B$14:$B$33,0)),IFERROR(LOOKUP(2^15,SEARCH(Settings!$I$14:$I$83,K30)/(Settings!$I$14:$I$83&lt;&gt;""),Settings!$J$14:$J$83),"Other"))))</f>
        <v/>
      </c>
      <c r="AO30">
        <f>IF($B30="","",IF(L30="","Not rostered",IFERROR(INDEX(Settings!$C$14:$C$33,MATCH(L30,Settings!$B$14:$B$33,0)),IFERROR(LOOKUP(2^15,SEARCH(Settings!$I$14:$I$83,L30)/(Settings!$I$14:$I$83&lt;&gt;""),Settings!$J$14:$J$83),"Other"))))</f>
        <v/>
      </c>
      <c r="AP30">
        <f>IF($B30="","",IF(M30="","Not rostered",IFERROR(INDEX(Settings!$C$14:$C$33,MATCH(M30,Settings!$B$14:$B$33,0)),IFERROR(LOOKUP(2^15,SEARCH(Settings!$I$14:$I$83,M30)/(Settings!$I$14:$I$83&lt;&gt;""),Settings!$J$14:$J$83),"Other"))))</f>
        <v/>
      </c>
      <c r="AQ30">
        <f>IF($B30="","",IF(N30="","Not rostered",IFERROR(INDEX(Settings!$C$14:$C$33,MATCH(N30,Settings!$B$14:$B$33,0)),IFERROR(LOOKUP(2^15,SEARCH(Settings!$I$14:$I$83,N30)/(Settings!$I$14:$I$83&lt;&gt;""),Settings!$J$14:$J$83),"Other"))))</f>
        <v/>
      </c>
      <c r="AR30">
        <f>IF($B30="","",IF(O30="","Not rostered",IFERROR(INDEX(Settings!$C$14:$C$33,MATCH(O30,Settings!$B$14:$B$33,0)),IFERROR(LOOKUP(2^15,SEARCH(Settings!$I$14:$I$83,O30)/(Settings!$I$14:$I$83&lt;&gt;""),Settings!$J$14:$J$83),"Other"))))</f>
        <v/>
      </c>
      <c r="AS30">
        <f>IF($B30="","",IF(P30="","Not rostered",IFERROR(INDEX(Settings!$C$14:$C$33,MATCH(P30,Settings!$B$14:$B$33,0)),IFERROR(LOOKUP(2^15,SEARCH(Settings!$I$14:$I$83,P30)/(Settings!$I$14:$I$83&lt;&gt;""),Settings!$J$14:$J$83),"Other"))))</f>
        <v/>
      </c>
      <c r="AT30">
        <f>IF($B30="","",IF(Q30="","Not rostered",IFERROR(INDEX(Settings!$C$14:$C$33,MATCH(Q30,Settings!$B$14:$B$33,0)),IFERROR(LOOKUP(2^15,SEARCH(Settings!$I$14:$I$83,Q30)/(Settings!$I$14:$I$83&lt;&gt;""),Settings!$J$14:$J$83),"Other"))))</f>
        <v/>
      </c>
      <c r="AU30">
        <f>IF($B30="","",IF(R30="","Not rostered",IFERROR(INDEX(Settings!$C$14:$C$33,MATCH(R30,Settings!$B$14:$B$33,0)),IFERROR(LOOKUP(2^15,SEARCH(Settings!$I$14:$I$83,R30)/(Settings!$I$14:$I$83&lt;&gt;""),Settings!$J$14:$J$83),"Other"))))</f>
        <v/>
      </c>
      <c r="AV30">
        <f>IF($B30="","",IF(S30="","Not rostered",IFERROR(INDEX(Settings!$C$14:$C$33,MATCH(S30,Settings!$B$14:$B$33,0)),IFERROR(LOOKUP(2^15,SEARCH(Settings!$I$14:$I$83,S30)/(Settings!$I$14:$I$83&lt;&gt;""),Settings!$J$14:$J$83),"Other"))))</f>
        <v/>
      </c>
      <c r="AW30">
        <f>IF($B30="","",IF(T30="","Not rostered",IFERROR(INDEX(Settings!$C$14:$C$33,MATCH(T30,Settings!$B$14:$B$33,0)),IFERROR(LOOKUP(2^15,SEARCH(Settings!$I$14:$I$83,T30)/(Settings!$I$14:$I$83&lt;&gt;""),Settings!$J$14:$J$83),"Other"))))</f>
        <v/>
      </c>
      <c r="AX30">
        <f>IF($B30="","",IF(U30="","Not rostered",IFERROR(INDEX(Settings!$C$14:$C$33,MATCH(U30,Settings!$B$14:$B$33,0)),IFERROR(LOOKUP(2^15,SEARCH(Settings!$I$14:$I$83,U30)/(Settings!$I$14:$I$83&lt;&gt;""),Settings!$J$14:$J$83),"Other"))))</f>
        <v/>
      </c>
      <c r="AY30">
        <f>IF($B30="","",IF(V30="","Not rostered",IFERROR(INDEX(Settings!$C$14:$C$33,MATCH(V30,Settings!$B$14:$B$33,0)),IFERROR(LOOKUP(2^15,SEARCH(Settings!$I$14:$I$83,V30)/(Settings!$I$14:$I$83&lt;&gt;""),Settings!$J$14:$J$83),"Other"))))</f>
        <v/>
      </c>
      <c r="AZ30">
        <f>IF($B30="","",IF(W30="","Not rostered",IFERROR(INDEX(Settings!$C$14:$C$33,MATCH(W30,Settings!$B$14:$B$33,0)),IFERROR(LOOKUP(2^15,SEARCH(Settings!$I$14:$I$83,W30)/(Settings!$I$14:$I$83&lt;&gt;""),Settings!$J$14:$J$83),"Other"))))</f>
        <v/>
      </c>
      <c r="BA30">
        <f>IF($B30="","",IF(X30="","Not rostered",IFERROR(INDEX(Settings!$C$14:$C$33,MATCH(X30,Settings!$B$14:$B$33,0)),IFERROR(LOOKUP(2^15,SEARCH(Settings!$I$14:$I$83,X30)/(Settings!$I$14:$I$83&lt;&gt;""),Settings!$J$14:$J$83),"Other"))))</f>
        <v/>
      </c>
      <c r="BB30">
        <f>IF($B30="","",IF(Y30="","Not rostered",IFERROR(INDEX(Settings!$C$14:$C$33,MATCH(Y30,Settings!$B$14:$B$33,0)),IFERROR(LOOKUP(2^15,SEARCH(Settings!$I$14:$I$83,Y30)/(Settings!$I$14:$I$83&lt;&gt;""),Settings!$J$14:$J$83),"Other"))))</f>
        <v/>
      </c>
      <c r="BC30">
        <f>IF($B30="","",IF(Z30="","Not rostered",IFERROR(INDEX(Settings!$C$14:$C$33,MATCH(Z30,Settings!$B$14:$B$33,0)),IFERROR(LOOKUP(2^15,SEARCH(Settings!$I$14:$I$83,Z30)/(Settings!$I$14:$I$83&lt;&gt;""),Settings!$J$14:$J$83),"Other"))))</f>
        <v/>
      </c>
      <c r="BD30">
        <f>IF($B30="","",IF(AA30="","Not rostered",IFERROR(INDEX(Settings!$C$14:$C$33,MATCH(AA30,Settings!$B$14:$B$33,0)),IFERROR(LOOKUP(2^15,SEARCH(Settings!$I$14:$I$83,AA30)/(Settings!$I$14:$I$83&lt;&gt;""),Settings!$J$14:$J$83),"Other"))))</f>
        <v/>
      </c>
      <c r="BE30">
        <f>IF($B30="","",IF(AB30="","Not rostered",IFERROR(INDEX(Settings!$C$14:$C$33,MATCH(AB30,Settings!$B$14:$B$33,0)),IFERROR(LOOKUP(2^15,SEARCH(Settings!$I$14:$I$83,AB30)/(Settings!$I$14:$I$83&lt;&gt;""),Settings!$J$14:$J$83),"Other"))))</f>
        <v/>
      </c>
      <c r="BF30">
        <f>IF($B30="","",IF(AC30="","Not rostered",IFERROR(INDEX(Settings!$C$14:$C$33,MATCH(AC30,Settings!$B$14:$B$33,0)),IFERROR(LOOKUP(2^15,SEARCH(Settings!$I$14:$I$83,AC30)/(Settings!$I$14:$I$83&lt;&gt;""),Settings!$J$14:$J$83),"Other"))))</f>
        <v/>
      </c>
      <c r="BG30">
        <f>IF($B30="","",IF(AD30="","Not rostered",IFERROR(INDEX(Settings!$C$14:$C$33,MATCH(AD30,Settings!$B$14:$B$33,0)),IFERROR(LOOKUP(2^15,SEARCH(Settings!$I$14:$I$83,AD30)/(Settings!$I$14:$I$83&lt;&gt;""),Settings!$J$14:$J$83),"Other"))))</f>
        <v/>
      </c>
      <c r="BH30">
        <f>IF($B30="","",IF(AE30="","Not rostered",IFERROR(INDEX(Settings!$C$14:$C$33,MATCH(AE30,Settings!$B$14:$B$33,0)),IFERROR(LOOKUP(2^15,SEARCH(Settings!$I$14:$I$83,AE30)/(Settings!$I$14:$I$83&lt;&gt;""),Settings!$J$14:$J$83),"Other"))))</f>
        <v/>
      </c>
      <c r="BI30">
        <f>IF($B30="","",IF(AF30="","Not rostered",IFERROR(INDEX(Settings!$C$14:$C$33,MATCH(AF30,Settings!$B$14:$B$33,0)),IFERROR(LOOKUP(2^15,SEARCH(Settings!$I$14:$I$83,AF30)/(Settings!$I$14:$I$83&lt;&gt;""),Settings!$J$14:$J$83),"Other"))))</f>
        <v/>
      </c>
      <c r="BJ30">
        <f>IF($B30="","",IF(AG30="","Not rostered",IFERROR(INDEX(Settings!$C$14:$C$33,MATCH(AG30,Settings!$B$14:$B$33,0)),IFERROR(LOOKUP(2^15,SEARCH(Settings!$I$14:$I$83,AG30)/(Settings!$I$14:$I$83&lt;&gt;""),Settings!$J$14:$J$83),"Other"))))</f>
        <v/>
      </c>
      <c r="BL30">
        <f>IF(OR($B30="",F30=""),"",IFERROR(INDEX(Settings!$D$14:$D$33,MATCH(F30,Settings!$B$14:$B$33,0))&amp;"",IFERROR(LOOKUP(2^15,SEARCH(Settings!$F$14:$F$43,F30)/(Settings!$F$14:$F$43&lt;&gt;""),Settings!$G$14:$G$43),"")))</f>
        <v/>
      </c>
      <c r="BM30">
        <f>IF(OR($B30="",G30=""),"",IFERROR(INDEX(Settings!$D$14:$D$33,MATCH(G30,Settings!$B$14:$B$33,0))&amp;"",IFERROR(LOOKUP(2^15,SEARCH(Settings!$F$14:$F$43,G30)/(Settings!$F$14:$F$43&lt;&gt;""),Settings!$G$14:$G$43),"")))</f>
        <v/>
      </c>
      <c r="BN30">
        <f>IF(OR($B30="",H30=""),"",IFERROR(INDEX(Settings!$D$14:$D$33,MATCH(H30,Settings!$B$14:$B$33,0))&amp;"",IFERROR(LOOKUP(2^15,SEARCH(Settings!$F$14:$F$43,H30)/(Settings!$F$14:$F$43&lt;&gt;""),Settings!$G$14:$G$43),"")))</f>
        <v/>
      </c>
      <c r="BO30">
        <f>IF(OR($B30="",I30=""),"",IFERROR(INDEX(Settings!$D$14:$D$33,MATCH(I30,Settings!$B$14:$B$33,0))&amp;"",IFERROR(LOOKUP(2^15,SEARCH(Settings!$F$14:$F$43,I30)/(Settings!$F$14:$F$43&lt;&gt;""),Settings!$G$14:$G$43),"")))</f>
        <v/>
      </c>
      <c r="BP30">
        <f>IF(OR($B30="",J30=""),"",IFERROR(INDEX(Settings!$D$14:$D$33,MATCH(J30,Settings!$B$14:$B$33,0))&amp;"",IFERROR(LOOKUP(2^15,SEARCH(Settings!$F$14:$F$43,J30)/(Settings!$F$14:$F$43&lt;&gt;""),Settings!$G$14:$G$43),"")))</f>
        <v/>
      </c>
      <c r="BQ30">
        <f>IF(OR($B30="",K30=""),"",IFERROR(INDEX(Settings!$D$14:$D$33,MATCH(K30,Settings!$B$14:$B$33,0))&amp;"",IFERROR(LOOKUP(2^15,SEARCH(Settings!$F$14:$F$43,K30)/(Settings!$F$14:$F$43&lt;&gt;""),Settings!$G$14:$G$43),"")))</f>
        <v/>
      </c>
      <c r="BR30">
        <f>IF(OR($B30="",L30=""),"",IFERROR(INDEX(Settings!$D$14:$D$33,MATCH(L30,Settings!$B$14:$B$33,0))&amp;"",IFERROR(LOOKUP(2^15,SEARCH(Settings!$F$14:$F$43,L30)/(Settings!$F$14:$F$43&lt;&gt;""),Settings!$G$14:$G$43),"")))</f>
        <v/>
      </c>
      <c r="BS30">
        <f>IF(OR($B30="",M30=""),"",IFERROR(INDEX(Settings!$D$14:$D$33,MATCH(M30,Settings!$B$14:$B$33,0))&amp;"",IFERROR(LOOKUP(2^15,SEARCH(Settings!$F$14:$F$43,M30)/(Settings!$F$14:$F$43&lt;&gt;""),Settings!$G$14:$G$43),"")))</f>
        <v/>
      </c>
      <c r="BT30">
        <f>IF(OR($B30="",N30=""),"",IFERROR(INDEX(Settings!$D$14:$D$33,MATCH(N30,Settings!$B$14:$B$33,0))&amp;"",IFERROR(LOOKUP(2^15,SEARCH(Settings!$F$14:$F$43,N30)/(Settings!$F$14:$F$43&lt;&gt;""),Settings!$G$14:$G$43),"")))</f>
        <v/>
      </c>
      <c r="BU30">
        <f>IF(OR($B30="",O30=""),"",IFERROR(INDEX(Settings!$D$14:$D$33,MATCH(O30,Settings!$B$14:$B$33,0))&amp;"",IFERROR(LOOKUP(2^15,SEARCH(Settings!$F$14:$F$43,O30)/(Settings!$F$14:$F$43&lt;&gt;""),Settings!$G$14:$G$43),"")))</f>
        <v/>
      </c>
      <c r="BV30">
        <f>IF(OR($B30="",P30=""),"",IFERROR(INDEX(Settings!$D$14:$D$33,MATCH(P30,Settings!$B$14:$B$33,0))&amp;"",IFERROR(LOOKUP(2^15,SEARCH(Settings!$F$14:$F$43,P30)/(Settings!$F$14:$F$43&lt;&gt;""),Settings!$G$14:$G$43),"")))</f>
        <v/>
      </c>
      <c r="BW30">
        <f>IF(OR($B30="",Q30=""),"",IFERROR(INDEX(Settings!$D$14:$D$33,MATCH(Q30,Settings!$B$14:$B$33,0))&amp;"",IFERROR(LOOKUP(2^15,SEARCH(Settings!$F$14:$F$43,Q30)/(Settings!$F$14:$F$43&lt;&gt;""),Settings!$G$14:$G$43),"")))</f>
        <v/>
      </c>
      <c r="BX30">
        <f>IF(OR($B30="",R30=""),"",IFERROR(INDEX(Settings!$D$14:$D$33,MATCH(R30,Settings!$B$14:$B$33,0))&amp;"",IFERROR(LOOKUP(2^15,SEARCH(Settings!$F$14:$F$43,R30)/(Settings!$F$14:$F$43&lt;&gt;""),Settings!$G$14:$G$43),"")))</f>
        <v/>
      </c>
      <c r="BY30">
        <f>IF(OR($B30="",S30=""),"",IFERROR(INDEX(Settings!$D$14:$D$33,MATCH(S30,Settings!$B$14:$B$33,0))&amp;"",IFERROR(LOOKUP(2^15,SEARCH(Settings!$F$14:$F$43,S30)/(Settings!$F$14:$F$43&lt;&gt;""),Settings!$G$14:$G$43),"")))</f>
        <v/>
      </c>
      <c r="BZ30">
        <f>IF(OR($B30="",T30=""),"",IFERROR(INDEX(Settings!$D$14:$D$33,MATCH(T30,Settings!$B$14:$B$33,0))&amp;"",IFERROR(LOOKUP(2^15,SEARCH(Settings!$F$14:$F$43,T30)/(Settings!$F$14:$F$43&lt;&gt;""),Settings!$G$14:$G$43),"")))</f>
        <v/>
      </c>
      <c r="CA30">
        <f>IF(OR($B30="",U30=""),"",IFERROR(INDEX(Settings!$D$14:$D$33,MATCH(U30,Settings!$B$14:$B$33,0))&amp;"",IFERROR(LOOKUP(2^15,SEARCH(Settings!$F$14:$F$43,U30)/(Settings!$F$14:$F$43&lt;&gt;""),Settings!$G$14:$G$43),"")))</f>
        <v/>
      </c>
      <c r="CB30">
        <f>IF(OR($B30="",V30=""),"",IFERROR(INDEX(Settings!$D$14:$D$33,MATCH(V30,Settings!$B$14:$B$33,0))&amp;"",IFERROR(LOOKUP(2^15,SEARCH(Settings!$F$14:$F$43,V30)/(Settings!$F$14:$F$43&lt;&gt;""),Settings!$G$14:$G$43),"")))</f>
        <v/>
      </c>
      <c r="CC30">
        <f>IF(OR($B30="",W30=""),"",IFERROR(INDEX(Settings!$D$14:$D$33,MATCH(W30,Settings!$B$14:$B$33,0))&amp;"",IFERROR(LOOKUP(2^15,SEARCH(Settings!$F$14:$F$43,W30)/(Settings!$F$14:$F$43&lt;&gt;""),Settings!$G$14:$G$43),"")))</f>
        <v/>
      </c>
      <c r="CD30">
        <f>IF(OR($B30="",X30=""),"",IFERROR(INDEX(Settings!$D$14:$D$33,MATCH(X30,Settings!$B$14:$B$33,0))&amp;"",IFERROR(LOOKUP(2^15,SEARCH(Settings!$F$14:$F$43,X30)/(Settings!$F$14:$F$43&lt;&gt;""),Settings!$G$14:$G$43),"")))</f>
        <v/>
      </c>
      <c r="CE30">
        <f>IF(OR($B30="",Y30=""),"",IFERROR(INDEX(Settings!$D$14:$D$33,MATCH(Y30,Settings!$B$14:$B$33,0))&amp;"",IFERROR(LOOKUP(2^15,SEARCH(Settings!$F$14:$F$43,Y30)/(Settings!$F$14:$F$43&lt;&gt;""),Settings!$G$14:$G$43),"")))</f>
        <v/>
      </c>
      <c r="CF30">
        <f>IF(OR($B30="",Z30=""),"",IFERROR(INDEX(Settings!$D$14:$D$33,MATCH(Z30,Settings!$B$14:$B$33,0))&amp;"",IFERROR(LOOKUP(2^15,SEARCH(Settings!$F$14:$F$43,Z30)/(Settings!$F$14:$F$43&lt;&gt;""),Settings!$G$14:$G$43),"")))</f>
        <v/>
      </c>
      <c r="CG30">
        <f>IF(OR($B30="",AA30=""),"",IFERROR(INDEX(Settings!$D$14:$D$33,MATCH(AA30,Settings!$B$14:$B$33,0))&amp;"",IFERROR(LOOKUP(2^15,SEARCH(Settings!$F$14:$F$43,AA30)/(Settings!$F$14:$F$43&lt;&gt;""),Settings!$G$14:$G$43),"")))</f>
        <v/>
      </c>
      <c r="CH30">
        <f>IF(OR($B30="",AB30=""),"",IFERROR(INDEX(Settings!$D$14:$D$33,MATCH(AB30,Settings!$B$14:$B$33,0))&amp;"",IFERROR(LOOKUP(2^15,SEARCH(Settings!$F$14:$F$43,AB30)/(Settings!$F$14:$F$43&lt;&gt;""),Settings!$G$14:$G$43),"")))</f>
        <v/>
      </c>
      <c r="CI30">
        <f>IF(OR($B30="",AC30=""),"",IFERROR(INDEX(Settings!$D$14:$D$33,MATCH(AC30,Settings!$B$14:$B$33,0))&amp;"",IFERROR(LOOKUP(2^15,SEARCH(Settings!$F$14:$F$43,AC30)/(Settings!$F$14:$F$43&lt;&gt;""),Settings!$G$14:$G$43),"")))</f>
        <v/>
      </c>
      <c r="CJ30">
        <f>IF(OR($B30="",AD30=""),"",IFERROR(INDEX(Settings!$D$14:$D$33,MATCH(AD30,Settings!$B$14:$B$33,0))&amp;"",IFERROR(LOOKUP(2^15,SEARCH(Settings!$F$14:$F$43,AD30)/(Settings!$F$14:$F$43&lt;&gt;""),Settings!$G$14:$G$43),"")))</f>
        <v/>
      </c>
      <c r="CK30">
        <f>IF(OR($B30="",AE30=""),"",IFERROR(INDEX(Settings!$D$14:$D$33,MATCH(AE30,Settings!$B$14:$B$33,0))&amp;"",IFERROR(LOOKUP(2^15,SEARCH(Settings!$F$14:$F$43,AE30)/(Settings!$F$14:$F$43&lt;&gt;""),Settings!$G$14:$G$43),"")))</f>
        <v/>
      </c>
      <c r="CL30">
        <f>IF(OR($B30="",AF30=""),"",IFERROR(INDEX(Settings!$D$14:$D$33,MATCH(AF30,Settings!$B$14:$B$33,0))&amp;"",IFERROR(LOOKUP(2^15,SEARCH(Settings!$F$14:$F$43,AF30)/(Settings!$F$14:$F$43&lt;&gt;""),Settings!$G$14:$G$43),"")))</f>
        <v/>
      </c>
      <c r="CM30">
        <f>IF(OR($B30="",AG30=""),"",IFERROR(INDEX(Settings!$D$14:$D$33,MATCH(AG30,Settings!$B$14:$B$33,0))&amp;"",IFERROR(LOOKUP(2^15,SEARCH(Settings!$F$14:$F$43,AG30)/(Settings!$F$14:$F$43&lt;&gt;""),Settings!$G$14:$G$43),"")))</f>
        <v/>
      </c>
    </row>
    <row r="31">
      <c r="A31" t="n">
        <v>29</v>
      </c>
      <c r="B31">
        <f>IFERROR(INDEX(Index!$A$2:$A$202,MATCH(A31,Index!$E$2:$E$202,0)),"")</f>
        <v/>
      </c>
      <c r="D31">
        <f>IF($B31="","",IFERROR(MATCH("Travel*",AI31:BJ31,0),""))</f>
        <v/>
      </c>
      <c r="F31">
        <f>IF(OR($B31="",NOT(ISNUMBER(Settings!$C$9))),"",TRIM(SUBSTITUTE(SUBSTITUTE(INDEX('INPUT - Roster'!$S$1:$SV$206,$B31,Settings!$C$9+0)&amp;"",CHAR(10)," "),CHAR(160)," ")))</f>
        <v/>
      </c>
      <c r="G31">
        <f>IF(OR($B31="",NOT(ISNUMBER(Settings!$C$9))),"",TRIM(SUBSTITUTE(SUBSTITUTE(INDEX('INPUT - Roster'!$S$1:$SV$206,$B31,Settings!$C$9+1)&amp;"",CHAR(10)," "),CHAR(160)," ")))</f>
        <v/>
      </c>
      <c r="H31">
        <f>IF(OR($B31="",NOT(ISNUMBER(Settings!$C$9))),"",TRIM(SUBSTITUTE(SUBSTITUTE(INDEX('INPUT - Roster'!$S$1:$SV$206,$B31,Settings!$C$9+2)&amp;"",CHAR(10)," "),CHAR(160)," ")))</f>
        <v/>
      </c>
      <c r="I31">
        <f>IF(OR($B31="",NOT(ISNUMBER(Settings!$C$9))),"",TRIM(SUBSTITUTE(SUBSTITUTE(INDEX('INPUT - Roster'!$S$1:$SV$206,$B31,Settings!$C$9+3)&amp;"",CHAR(10)," "),CHAR(160)," ")))</f>
        <v/>
      </c>
      <c r="J31">
        <f>IF(OR($B31="",NOT(ISNUMBER(Settings!$C$9))),"",TRIM(SUBSTITUTE(SUBSTITUTE(INDEX('INPUT - Roster'!$S$1:$SV$206,$B31,Settings!$C$9+4)&amp;"",CHAR(10)," "),CHAR(160)," ")))</f>
        <v/>
      </c>
      <c r="K31">
        <f>IF(OR($B31="",NOT(ISNUMBER(Settings!$C$9))),"",TRIM(SUBSTITUTE(SUBSTITUTE(INDEX('INPUT - Roster'!$S$1:$SV$206,$B31,Settings!$C$9+5)&amp;"",CHAR(10)," "),CHAR(160)," ")))</f>
        <v/>
      </c>
      <c r="L31">
        <f>IF(OR($B31="",NOT(ISNUMBER(Settings!$C$9))),"",TRIM(SUBSTITUTE(SUBSTITUTE(INDEX('INPUT - Roster'!$S$1:$SV$206,$B31,Settings!$C$9+6)&amp;"",CHAR(10)," "),CHAR(160)," ")))</f>
        <v/>
      </c>
      <c r="M31">
        <f>IF(OR($B31="",NOT(ISNUMBER(Settings!$C$9))),"",TRIM(SUBSTITUTE(SUBSTITUTE(INDEX('INPUT - Roster'!$S$1:$SV$206,$B31,Settings!$C$9+7)&amp;"",CHAR(10)," "),CHAR(160)," ")))</f>
        <v/>
      </c>
      <c r="N31">
        <f>IF(OR($B31="",NOT(ISNUMBER(Settings!$C$9))),"",TRIM(SUBSTITUTE(SUBSTITUTE(INDEX('INPUT - Roster'!$S$1:$SV$206,$B31,Settings!$C$9+8)&amp;"",CHAR(10)," "),CHAR(160)," ")))</f>
        <v/>
      </c>
      <c r="O31">
        <f>IF(OR($B31="",NOT(ISNUMBER(Settings!$C$9))),"",TRIM(SUBSTITUTE(SUBSTITUTE(INDEX('INPUT - Roster'!$S$1:$SV$206,$B31,Settings!$C$9+9)&amp;"",CHAR(10)," "),CHAR(160)," ")))</f>
        <v/>
      </c>
      <c r="P31">
        <f>IF(OR($B31="",NOT(ISNUMBER(Settings!$C$9))),"",TRIM(SUBSTITUTE(SUBSTITUTE(INDEX('INPUT - Roster'!$S$1:$SV$206,$B31,Settings!$C$9+10)&amp;"",CHAR(10)," "),CHAR(160)," ")))</f>
        <v/>
      </c>
      <c r="Q31">
        <f>IF(OR($B31="",NOT(ISNUMBER(Settings!$C$9))),"",TRIM(SUBSTITUTE(SUBSTITUTE(INDEX('INPUT - Roster'!$S$1:$SV$206,$B31,Settings!$C$9+11)&amp;"",CHAR(10)," "),CHAR(160)," ")))</f>
        <v/>
      </c>
      <c r="R31">
        <f>IF(OR($B31="",NOT(ISNUMBER(Settings!$C$9))),"",TRIM(SUBSTITUTE(SUBSTITUTE(INDEX('INPUT - Roster'!$S$1:$SV$206,$B31,Settings!$C$9+12)&amp;"",CHAR(10)," "),CHAR(160)," ")))</f>
        <v/>
      </c>
      <c r="S31">
        <f>IF(OR($B31="",NOT(ISNUMBER(Settings!$C$9))),"",TRIM(SUBSTITUTE(SUBSTITUTE(INDEX('INPUT - Roster'!$S$1:$SV$206,$B31,Settings!$C$9+13)&amp;"",CHAR(10)," "),CHAR(160)," ")))</f>
        <v/>
      </c>
      <c r="T31">
        <f>IF(OR($B31="",NOT(ISNUMBER(Settings!$C$9))),"",TRIM(SUBSTITUTE(SUBSTITUTE(INDEX('INPUT - Roster'!$S$1:$SV$206,$B31,Settings!$C$9+14)&amp;"",CHAR(10)," "),CHAR(160)," ")))</f>
        <v/>
      </c>
      <c r="U31">
        <f>IF(OR($B31="",NOT(ISNUMBER(Settings!$C$9))),"",TRIM(SUBSTITUTE(SUBSTITUTE(INDEX('INPUT - Roster'!$S$1:$SV$206,$B31,Settings!$C$9+15)&amp;"",CHAR(10)," "),CHAR(160)," ")))</f>
        <v/>
      </c>
      <c r="V31">
        <f>IF(OR($B31="",NOT(ISNUMBER(Settings!$C$9))),"",TRIM(SUBSTITUTE(SUBSTITUTE(INDEX('INPUT - Roster'!$S$1:$SV$206,$B31,Settings!$C$9+16)&amp;"",CHAR(10)," "),CHAR(160)," ")))</f>
        <v/>
      </c>
      <c r="W31">
        <f>IF(OR($B31="",NOT(ISNUMBER(Settings!$C$9))),"",TRIM(SUBSTITUTE(SUBSTITUTE(INDEX('INPUT - Roster'!$S$1:$SV$206,$B31,Settings!$C$9+17)&amp;"",CHAR(10)," "),CHAR(160)," ")))</f>
        <v/>
      </c>
      <c r="X31">
        <f>IF(OR($B31="",NOT(ISNUMBER(Settings!$C$9))),"",TRIM(SUBSTITUTE(SUBSTITUTE(INDEX('INPUT - Roster'!$S$1:$SV$206,$B31,Settings!$C$9+18)&amp;"",CHAR(10)," "),CHAR(160)," ")))</f>
        <v/>
      </c>
      <c r="Y31">
        <f>IF(OR($B31="",NOT(ISNUMBER(Settings!$C$9))),"",TRIM(SUBSTITUTE(SUBSTITUTE(INDEX('INPUT - Roster'!$S$1:$SV$206,$B31,Settings!$C$9+19)&amp;"",CHAR(10)," "),CHAR(160)," ")))</f>
        <v/>
      </c>
      <c r="Z31">
        <f>IF(OR($B31="",NOT(ISNUMBER(Settings!$C$9))),"",TRIM(SUBSTITUTE(SUBSTITUTE(INDEX('INPUT - Roster'!$S$1:$SV$206,$B31,Settings!$C$9+20)&amp;"",CHAR(10)," "),CHAR(160)," ")))</f>
        <v/>
      </c>
      <c r="AA31">
        <f>IF(OR($B31="",NOT(ISNUMBER(Settings!$C$9))),"",TRIM(SUBSTITUTE(SUBSTITUTE(INDEX('INPUT - Roster'!$S$1:$SV$206,$B31,Settings!$C$9+21)&amp;"",CHAR(10)," "),CHAR(160)," ")))</f>
        <v/>
      </c>
      <c r="AB31">
        <f>IF(OR($B31="",NOT(ISNUMBER(Settings!$C$9))),"",TRIM(SUBSTITUTE(SUBSTITUTE(INDEX('INPUT - Roster'!$S$1:$SV$206,$B31,Settings!$C$9+22)&amp;"",CHAR(10)," "),CHAR(160)," ")))</f>
        <v/>
      </c>
      <c r="AC31">
        <f>IF(OR($B31="",NOT(ISNUMBER(Settings!$C$9))),"",TRIM(SUBSTITUTE(SUBSTITUTE(INDEX('INPUT - Roster'!$S$1:$SV$206,$B31,Settings!$C$9+23)&amp;"",CHAR(10)," "),CHAR(160)," ")))</f>
        <v/>
      </c>
      <c r="AD31">
        <f>IF(OR($B31="",NOT(ISNUMBER(Settings!$C$9))),"",TRIM(SUBSTITUTE(SUBSTITUTE(INDEX('INPUT - Roster'!$S$1:$SV$206,$B31,Settings!$C$9+24)&amp;"",CHAR(10)," "),CHAR(160)," ")))</f>
        <v/>
      </c>
      <c r="AE31">
        <f>IF(OR($B31="",NOT(ISNUMBER(Settings!$C$9))),"",TRIM(SUBSTITUTE(SUBSTITUTE(INDEX('INPUT - Roster'!$S$1:$SV$206,$B31,Settings!$C$9+25)&amp;"",CHAR(10)," "),CHAR(160)," ")))</f>
        <v/>
      </c>
      <c r="AF31">
        <f>IF(OR($B31="",NOT(ISNUMBER(Settings!$C$9))),"",TRIM(SUBSTITUTE(SUBSTITUTE(INDEX('INPUT - Roster'!$S$1:$SV$206,$B31,Settings!$C$9+26)&amp;"",CHAR(10)," "),CHAR(160)," ")))</f>
        <v/>
      </c>
      <c r="AG31">
        <f>IF(OR($B31="",NOT(ISNUMBER(Settings!$C$9))),"",TRIM(SUBSTITUTE(SUBSTITUTE(INDEX('INPUT - Roster'!$S$1:$SV$206,$B31,Settings!$C$9+27)&amp;"",CHAR(10)," "),CHAR(160)," ")))</f>
        <v/>
      </c>
      <c r="AI31">
        <f>IF($B31="","",IF(F31="","Not rostered",IFERROR(INDEX(Settings!$C$14:$C$33,MATCH(F31,Settings!$B$14:$B$33,0)),IFERROR(LOOKUP(2^15,SEARCH(Settings!$I$14:$I$83,F31)/(Settings!$I$14:$I$83&lt;&gt;""),Settings!$J$14:$J$83),"Other"))))</f>
        <v/>
      </c>
      <c r="AJ31">
        <f>IF($B31="","",IF(G31="","Not rostered",IFERROR(INDEX(Settings!$C$14:$C$33,MATCH(G31,Settings!$B$14:$B$33,0)),IFERROR(LOOKUP(2^15,SEARCH(Settings!$I$14:$I$83,G31)/(Settings!$I$14:$I$83&lt;&gt;""),Settings!$J$14:$J$83),"Other"))))</f>
        <v/>
      </c>
      <c r="AK31">
        <f>IF($B31="","",IF(H31="","Not rostered",IFERROR(INDEX(Settings!$C$14:$C$33,MATCH(H31,Settings!$B$14:$B$33,0)),IFERROR(LOOKUP(2^15,SEARCH(Settings!$I$14:$I$83,H31)/(Settings!$I$14:$I$83&lt;&gt;""),Settings!$J$14:$J$83),"Other"))))</f>
        <v/>
      </c>
      <c r="AL31">
        <f>IF($B31="","",IF(I31="","Not rostered",IFERROR(INDEX(Settings!$C$14:$C$33,MATCH(I31,Settings!$B$14:$B$33,0)),IFERROR(LOOKUP(2^15,SEARCH(Settings!$I$14:$I$83,I31)/(Settings!$I$14:$I$83&lt;&gt;""),Settings!$J$14:$J$83),"Other"))))</f>
        <v/>
      </c>
      <c r="AM31">
        <f>IF($B31="","",IF(J31="","Not rostered",IFERROR(INDEX(Settings!$C$14:$C$33,MATCH(J31,Settings!$B$14:$B$33,0)),IFERROR(LOOKUP(2^15,SEARCH(Settings!$I$14:$I$83,J31)/(Settings!$I$14:$I$83&lt;&gt;""),Settings!$J$14:$J$83),"Other"))))</f>
        <v/>
      </c>
      <c r="AN31">
        <f>IF($B31="","",IF(K31="","Not rostered",IFERROR(INDEX(Settings!$C$14:$C$33,MATCH(K31,Settings!$B$14:$B$33,0)),IFERROR(LOOKUP(2^15,SEARCH(Settings!$I$14:$I$83,K31)/(Settings!$I$14:$I$83&lt;&gt;""),Settings!$J$14:$J$83),"Other"))))</f>
        <v/>
      </c>
      <c r="AO31">
        <f>IF($B31="","",IF(L31="","Not rostered",IFERROR(INDEX(Settings!$C$14:$C$33,MATCH(L31,Settings!$B$14:$B$33,0)),IFERROR(LOOKUP(2^15,SEARCH(Settings!$I$14:$I$83,L31)/(Settings!$I$14:$I$83&lt;&gt;""),Settings!$J$14:$J$83),"Other"))))</f>
        <v/>
      </c>
      <c r="AP31">
        <f>IF($B31="","",IF(M31="","Not rostered",IFERROR(INDEX(Settings!$C$14:$C$33,MATCH(M31,Settings!$B$14:$B$33,0)),IFERROR(LOOKUP(2^15,SEARCH(Settings!$I$14:$I$83,M31)/(Settings!$I$14:$I$83&lt;&gt;""),Settings!$J$14:$J$83),"Other"))))</f>
        <v/>
      </c>
      <c r="AQ31">
        <f>IF($B31="","",IF(N31="","Not rostered",IFERROR(INDEX(Settings!$C$14:$C$33,MATCH(N31,Settings!$B$14:$B$33,0)),IFERROR(LOOKUP(2^15,SEARCH(Settings!$I$14:$I$83,N31)/(Settings!$I$14:$I$83&lt;&gt;""),Settings!$J$14:$J$83),"Other"))))</f>
        <v/>
      </c>
      <c r="AR31">
        <f>IF($B31="","",IF(O31="","Not rostered",IFERROR(INDEX(Settings!$C$14:$C$33,MATCH(O31,Settings!$B$14:$B$33,0)),IFERROR(LOOKUP(2^15,SEARCH(Settings!$I$14:$I$83,O31)/(Settings!$I$14:$I$83&lt;&gt;""),Settings!$J$14:$J$83),"Other"))))</f>
        <v/>
      </c>
      <c r="AS31">
        <f>IF($B31="","",IF(P31="","Not rostered",IFERROR(INDEX(Settings!$C$14:$C$33,MATCH(P31,Settings!$B$14:$B$33,0)),IFERROR(LOOKUP(2^15,SEARCH(Settings!$I$14:$I$83,P31)/(Settings!$I$14:$I$83&lt;&gt;""),Settings!$J$14:$J$83),"Other"))))</f>
        <v/>
      </c>
      <c r="AT31">
        <f>IF($B31="","",IF(Q31="","Not rostered",IFERROR(INDEX(Settings!$C$14:$C$33,MATCH(Q31,Settings!$B$14:$B$33,0)),IFERROR(LOOKUP(2^15,SEARCH(Settings!$I$14:$I$83,Q31)/(Settings!$I$14:$I$83&lt;&gt;""),Settings!$J$14:$J$83),"Other"))))</f>
        <v/>
      </c>
      <c r="AU31">
        <f>IF($B31="","",IF(R31="","Not rostered",IFERROR(INDEX(Settings!$C$14:$C$33,MATCH(R31,Settings!$B$14:$B$33,0)),IFERROR(LOOKUP(2^15,SEARCH(Settings!$I$14:$I$83,R31)/(Settings!$I$14:$I$83&lt;&gt;""),Settings!$J$14:$J$83),"Other"))))</f>
        <v/>
      </c>
      <c r="AV31">
        <f>IF($B31="","",IF(S31="","Not rostered",IFERROR(INDEX(Settings!$C$14:$C$33,MATCH(S31,Settings!$B$14:$B$33,0)),IFERROR(LOOKUP(2^15,SEARCH(Settings!$I$14:$I$83,S31)/(Settings!$I$14:$I$83&lt;&gt;""),Settings!$J$14:$J$83),"Other"))))</f>
        <v/>
      </c>
      <c r="AW31">
        <f>IF($B31="","",IF(T31="","Not rostered",IFERROR(INDEX(Settings!$C$14:$C$33,MATCH(T31,Settings!$B$14:$B$33,0)),IFERROR(LOOKUP(2^15,SEARCH(Settings!$I$14:$I$83,T31)/(Settings!$I$14:$I$83&lt;&gt;""),Settings!$J$14:$J$83),"Other"))))</f>
        <v/>
      </c>
      <c r="AX31">
        <f>IF($B31="","",IF(U31="","Not rostered",IFERROR(INDEX(Settings!$C$14:$C$33,MATCH(U31,Settings!$B$14:$B$33,0)),IFERROR(LOOKUP(2^15,SEARCH(Settings!$I$14:$I$83,U31)/(Settings!$I$14:$I$83&lt;&gt;""),Settings!$J$14:$J$83),"Other"))))</f>
        <v/>
      </c>
      <c r="AY31">
        <f>IF($B31="","",IF(V31="","Not rostered",IFERROR(INDEX(Settings!$C$14:$C$33,MATCH(V31,Settings!$B$14:$B$33,0)),IFERROR(LOOKUP(2^15,SEARCH(Settings!$I$14:$I$83,V31)/(Settings!$I$14:$I$83&lt;&gt;""),Settings!$J$14:$J$83),"Other"))))</f>
        <v/>
      </c>
      <c r="AZ31">
        <f>IF($B31="","",IF(W31="","Not rostered",IFERROR(INDEX(Settings!$C$14:$C$33,MATCH(W31,Settings!$B$14:$B$33,0)),IFERROR(LOOKUP(2^15,SEARCH(Settings!$I$14:$I$83,W31)/(Settings!$I$14:$I$83&lt;&gt;""),Settings!$J$14:$J$83),"Other"))))</f>
        <v/>
      </c>
      <c r="BA31">
        <f>IF($B31="","",IF(X31="","Not rostered",IFERROR(INDEX(Settings!$C$14:$C$33,MATCH(X31,Settings!$B$14:$B$33,0)),IFERROR(LOOKUP(2^15,SEARCH(Settings!$I$14:$I$83,X31)/(Settings!$I$14:$I$83&lt;&gt;""),Settings!$J$14:$J$83),"Other"))))</f>
        <v/>
      </c>
      <c r="BB31">
        <f>IF($B31="","",IF(Y31="","Not rostered",IFERROR(INDEX(Settings!$C$14:$C$33,MATCH(Y31,Settings!$B$14:$B$33,0)),IFERROR(LOOKUP(2^15,SEARCH(Settings!$I$14:$I$83,Y31)/(Settings!$I$14:$I$83&lt;&gt;""),Settings!$J$14:$J$83),"Other"))))</f>
        <v/>
      </c>
      <c r="BC31">
        <f>IF($B31="","",IF(Z31="","Not rostered",IFERROR(INDEX(Settings!$C$14:$C$33,MATCH(Z31,Settings!$B$14:$B$33,0)),IFERROR(LOOKUP(2^15,SEARCH(Settings!$I$14:$I$83,Z31)/(Settings!$I$14:$I$83&lt;&gt;""),Settings!$J$14:$J$83),"Other"))))</f>
        <v/>
      </c>
      <c r="BD31">
        <f>IF($B31="","",IF(AA31="","Not rostered",IFERROR(INDEX(Settings!$C$14:$C$33,MATCH(AA31,Settings!$B$14:$B$33,0)),IFERROR(LOOKUP(2^15,SEARCH(Settings!$I$14:$I$83,AA31)/(Settings!$I$14:$I$83&lt;&gt;""),Settings!$J$14:$J$83),"Other"))))</f>
        <v/>
      </c>
      <c r="BE31">
        <f>IF($B31="","",IF(AB31="","Not rostered",IFERROR(INDEX(Settings!$C$14:$C$33,MATCH(AB31,Settings!$B$14:$B$33,0)),IFERROR(LOOKUP(2^15,SEARCH(Settings!$I$14:$I$83,AB31)/(Settings!$I$14:$I$83&lt;&gt;""),Settings!$J$14:$J$83),"Other"))))</f>
        <v/>
      </c>
      <c r="BF31">
        <f>IF($B31="","",IF(AC31="","Not rostered",IFERROR(INDEX(Settings!$C$14:$C$33,MATCH(AC31,Settings!$B$14:$B$33,0)),IFERROR(LOOKUP(2^15,SEARCH(Settings!$I$14:$I$83,AC31)/(Settings!$I$14:$I$83&lt;&gt;""),Settings!$J$14:$J$83),"Other"))))</f>
        <v/>
      </c>
      <c r="BG31">
        <f>IF($B31="","",IF(AD31="","Not rostered",IFERROR(INDEX(Settings!$C$14:$C$33,MATCH(AD31,Settings!$B$14:$B$33,0)),IFERROR(LOOKUP(2^15,SEARCH(Settings!$I$14:$I$83,AD31)/(Settings!$I$14:$I$83&lt;&gt;""),Settings!$J$14:$J$83),"Other"))))</f>
        <v/>
      </c>
      <c r="BH31">
        <f>IF($B31="","",IF(AE31="","Not rostered",IFERROR(INDEX(Settings!$C$14:$C$33,MATCH(AE31,Settings!$B$14:$B$33,0)),IFERROR(LOOKUP(2^15,SEARCH(Settings!$I$14:$I$83,AE31)/(Settings!$I$14:$I$83&lt;&gt;""),Settings!$J$14:$J$83),"Other"))))</f>
        <v/>
      </c>
      <c r="BI31">
        <f>IF($B31="","",IF(AF31="","Not rostered",IFERROR(INDEX(Settings!$C$14:$C$33,MATCH(AF31,Settings!$B$14:$B$33,0)),IFERROR(LOOKUP(2^15,SEARCH(Settings!$I$14:$I$83,AF31)/(Settings!$I$14:$I$83&lt;&gt;""),Settings!$J$14:$J$83),"Other"))))</f>
        <v/>
      </c>
      <c r="BJ31">
        <f>IF($B31="","",IF(AG31="","Not rostered",IFERROR(INDEX(Settings!$C$14:$C$33,MATCH(AG31,Settings!$B$14:$B$33,0)),IFERROR(LOOKUP(2^15,SEARCH(Settings!$I$14:$I$83,AG31)/(Settings!$I$14:$I$83&lt;&gt;""),Settings!$J$14:$J$83),"Other"))))</f>
        <v/>
      </c>
      <c r="BL31">
        <f>IF(OR($B31="",F31=""),"",IFERROR(INDEX(Settings!$D$14:$D$33,MATCH(F31,Settings!$B$14:$B$33,0))&amp;"",IFERROR(LOOKUP(2^15,SEARCH(Settings!$F$14:$F$43,F31)/(Settings!$F$14:$F$43&lt;&gt;""),Settings!$G$14:$G$43),"")))</f>
        <v/>
      </c>
      <c r="BM31">
        <f>IF(OR($B31="",G31=""),"",IFERROR(INDEX(Settings!$D$14:$D$33,MATCH(G31,Settings!$B$14:$B$33,0))&amp;"",IFERROR(LOOKUP(2^15,SEARCH(Settings!$F$14:$F$43,G31)/(Settings!$F$14:$F$43&lt;&gt;""),Settings!$G$14:$G$43),"")))</f>
        <v/>
      </c>
      <c r="BN31">
        <f>IF(OR($B31="",H31=""),"",IFERROR(INDEX(Settings!$D$14:$D$33,MATCH(H31,Settings!$B$14:$B$33,0))&amp;"",IFERROR(LOOKUP(2^15,SEARCH(Settings!$F$14:$F$43,H31)/(Settings!$F$14:$F$43&lt;&gt;""),Settings!$G$14:$G$43),"")))</f>
        <v/>
      </c>
      <c r="BO31">
        <f>IF(OR($B31="",I31=""),"",IFERROR(INDEX(Settings!$D$14:$D$33,MATCH(I31,Settings!$B$14:$B$33,0))&amp;"",IFERROR(LOOKUP(2^15,SEARCH(Settings!$F$14:$F$43,I31)/(Settings!$F$14:$F$43&lt;&gt;""),Settings!$G$14:$G$43),"")))</f>
        <v/>
      </c>
      <c r="BP31">
        <f>IF(OR($B31="",J31=""),"",IFERROR(INDEX(Settings!$D$14:$D$33,MATCH(J31,Settings!$B$14:$B$33,0))&amp;"",IFERROR(LOOKUP(2^15,SEARCH(Settings!$F$14:$F$43,J31)/(Settings!$F$14:$F$43&lt;&gt;""),Settings!$G$14:$G$43),"")))</f>
        <v/>
      </c>
      <c r="BQ31">
        <f>IF(OR($B31="",K31=""),"",IFERROR(INDEX(Settings!$D$14:$D$33,MATCH(K31,Settings!$B$14:$B$33,0))&amp;"",IFERROR(LOOKUP(2^15,SEARCH(Settings!$F$14:$F$43,K31)/(Settings!$F$14:$F$43&lt;&gt;""),Settings!$G$14:$G$43),"")))</f>
        <v/>
      </c>
      <c r="BR31">
        <f>IF(OR($B31="",L31=""),"",IFERROR(INDEX(Settings!$D$14:$D$33,MATCH(L31,Settings!$B$14:$B$33,0))&amp;"",IFERROR(LOOKUP(2^15,SEARCH(Settings!$F$14:$F$43,L31)/(Settings!$F$14:$F$43&lt;&gt;""),Settings!$G$14:$G$43),"")))</f>
        <v/>
      </c>
      <c r="BS31">
        <f>IF(OR($B31="",M31=""),"",IFERROR(INDEX(Settings!$D$14:$D$33,MATCH(M31,Settings!$B$14:$B$33,0))&amp;"",IFERROR(LOOKUP(2^15,SEARCH(Settings!$F$14:$F$43,M31)/(Settings!$F$14:$F$43&lt;&gt;""),Settings!$G$14:$G$43),"")))</f>
        <v/>
      </c>
      <c r="BT31">
        <f>IF(OR($B31="",N31=""),"",IFERROR(INDEX(Settings!$D$14:$D$33,MATCH(N31,Settings!$B$14:$B$33,0))&amp;"",IFERROR(LOOKUP(2^15,SEARCH(Settings!$F$14:$F$43,N31)/(Settings!$F$14:$F$43&lt;&gt;""),Settings!$G$14:$G$43),"")))</f>
        <v/>
      </c>
      <c r="BU31">
        <f>IF(OR($B31="",O31=""),"",IFERROR(INDEX(Settings!$D$14:$D$33,MATCH(O31,Settings!$B$14:$B$33,0))&amp;"",IFERROR(LOOKUP(2^15,SEARCH(Settings!$F$14:$F$43,O31)/(Settings!$F$14:$F$43&lt;&gt;""),Settings!$G$14:$G$43),"")))</f>
        <v/>
      </c>
      <c r="BV31">
        <f>IF(OR($B31="",P31=""),"",IFERROR(INDEX(Settings!$D$14:$D$33,MATCH(P31,Settings!$B$14:$B$33,0))&amp;"",IFERROR(LOOKUP(2^15,SEARCH(Settings!$F$14:$F$43,P31)/(Settings!$F$14:$F$43&lt;&gt;""),Settings!$G$14:$G$43),"")))</f>
        <v/>
      </c>
      <c r="BW31">
        <f>IF(OR($B31="",Q31=""),"",IFERROR(INDEX(Settings!$D$14:$D$33,MATCH(Q31,Settings!$B$14:$B$33,0))&amp;"",IFERROR(LOOKUP(2^15,SEARCH(Settings!$F$14:$F$43,Q31)/(Settings!$F$14:$F$43&lt;&gt;""),Settings!$G$14:$G$43),"")))</f>
        <v/>
      </c>
      <c r="BX31">
        <f>IF(OR($B31="",R31=""),"",IFERROR(INDEX(Settings!$D$14:$D$33,MATCH(R31,Settings!$B$14:$B$33,0))&amp;"",IFERROR(LOOKUP(2^15,SEARCH(Settings!$F$14:$F$43,R31)/(Settings!$F$14:$F$43&lt;&gt;""),Settings!$G$14:$G$43),"")))</f>
        <v/>
      </c>
      <c r="BY31">
        <f>IF(OR($B31="",S31=""),"",IFERROR(INDEX(Settings!$D$14:$D$33,MATCH(S31,Settings!$B$14:$B$33,0))&amp;"",IFERROR(LOOKUP(2^15,SEARCH(Settings!$F$14:$F$43,S31)/(Settings!$F$14:$F$43&lt;&gt;""),Settings!$G$14:$G$43),"")))</f>
        <v/>
      </c>
      <c r="BZ31">
        <f>IF(OR($B31="",T31=""),"",IFERROR(INDEX(Settings!$D$14:$D$33,MATCH(T31,Settings!$B$14:$B$33,0))&amp;"",IFERROR(LOOKUP(2^15,SEARCH(Settings!$F$14:$F$43,T31)/(Settings!$F$14:$F$43&lt;&gt;""),Settings!$G$14:$G$43),"")))</f>
        <v/>
      </c>
      <c r="CA31">
        <f>IF(OR($B31="",U31=""),"",IFERROR(INDEX(Settings!$D$14:$D$33,MATCH(U31,Settings!$B$14:$B$33,0))&amp;"",IFERROR(LOOKUP(2^15,SEARCH(Settings!$F$14:$F$43,U31)/(Settings!$F$14:$F$43&lt;&gt;""),Settings!$G$14:$G$43),"")))</f>
        <v/>
      </c>
      <c r="CB31">
        <f>IF(OR($B31="",V31=""),"",IFERROR(INDEX(Settings!$D$14:$D$33,MATCH(V31,Settings!$B$14:$B$33,0))&amp;"",IFERROR(LOOKUP(2^15,SEARCH(Settings!$F$14:$F$43,V31)/(Settings!$F$14:$F$43&lt;&gt;""),Settings!$G$14:$G$43),"")))</f>
        <v/>
      </c>
      <c r="CC31">
        <f>IF(OR($B31="",W31=""),"",IFERROR(INDEX(Settings!$D$14:$D$33,MATCH(W31,Settings!$B$14:$B$33,0))&amp;"",IFERROR(LOOKUP(2^15,SEARCH(Settings!$F$14:$F$43,W31)/(Settings!$F$14:$F$43&lt;&gt;""),Settings!$G$14:$G$43),"")))</f>
        <v/>
      </c>
      <c r="CD31">
        <f>IF(OR($B31="",X31=""),"",IFERROR(INDEX(Settings!$D$14:$D$33,MATCH(X31,Settings!$B$14:$B$33,0))&amp;"",IFERROR(LOOKUP(2^15,SEARCH(Settings!$F$14:$F$43,X31)/(Settings!$F$14:$F$43&lt;&gt;""),Settings!$G$14:$G$43),"")))</f>
        <v/>
      </c>
      <c r="CE31">
        <f>IF(OR($B31="",Y31=""),"",IFERROR(INDEX(Settings!$D$14:$D$33,MATCH(Y31,Settings!$B$14:$B$33,0))&amp;"",IFERROR(LOOKUP(2^15,SEARCH(Settings!$F$14:$F$43,Y31)/(Settings!$F$14:$F$43&lt;&gt;""),Settings!$G$14:$G$43),"")))</f>
        <v/>
      </c>
      <c r="CF31">
        <f>IF(OR($B31="",Z31=""),"",IFERROR(INDEX(Settings!$D$14:$D$33,MATCH(Z31,Settings!$B$14:$B$33,0))&amp;"",IFERROR(LOOKUP(2^15,SEARCH(Settings!$F$14:$F$43,Z31)/(Settings!$F$14:$F$43&lt;&gt;""),Settings!$G$14:$G$43),"")))</f>
        <v/>
      </c>
      <c r="CG31">
        <f>IF(OR($B31="",AA31=""),"",IFERROR(INDEX(Settings!$D$14:$D$33,MATCH(AA31,Settings!$B$14:$B$33,0))&amp;"",IFERROR(LOOKUP(2^15,SEARCH(Settings!$F$14:$F$43,AA31)/(Settings!$F$14:$F$43&lt;&gt;""),Settings!$G$14:$G$43),"")))</f>
        <v/>
      </c>
      <c r="CH31">
        <f>IF(OR($B31="",AB31=""),"",IFERROR(INDEX(Settings!$D$14:$D$33,MATCH(AB31,Settings!$B$14:$B$33,0))&amp;"",IFERROR(LOOKUP(2^15,SEARCH(Settings!$F$14:$F$43,AB31)/(Settings!$F$14:$F$43&lt;&gt;""),Settings!$G$14:$G$43),"")))</f>
        <v/>
      </c>
      <c r="CI31">
        <f>IF(OR($B31="",AC31=""),"",IFERROR(INDEX(Settings!$D$14:$D$33,MATCH(AC31,Settings!$B$14:$B$33,0))&amp;"",IFERROR(LOOKUP(2^15,SEARCH(Settings!$F$14:$F$43,AC31)/(Settings!$F$14:$F$43&lt;&gt;""),Settings!$G$14:$G$43),"")))</f>
        <v/>
      </c>
      <c r="CJ31">
        <f>IF(OR($B31="",AD31=""),"",IFERROR(INDEX(Settings!$D$14:$D$33,MATCH(AD31,Settings!$B$14:$B$33,0))&amp;"",IFERROR(LOOKUP(2^15,SEARCH(Settings!$F$14:$F$43,AD31)/(Settings!$F$14:$F$43&lt;&gt;""),Settings!$G$14:$G$43),"")))</f>
        <v/>
      </c>
      <c r="CK31">
        <f>IF(OR($B31="",AE31=""),"",IFERROR(INDEX(Settings!$D$14:$D$33,MATCH(AE31,Settings!$B$14:$B$33,0))&amp;"",IFERROR(LOOKUP(2^15,SEARCH(Settings!$F$14:$F$43,AE31)/(Settings!$F$14:$F$43&lt;&gt;""),Settings!$G$14:$G$43),"")))</f>
        <v/>
      </c>
      <c r="CL31">
        <f>IF(OR($B31="",AF31=""),"",IFERROR(INDEX(Settings!$D$14:$D$33,MATCH(AF31,Settings!$B$14:$B$33,0))&amp;"",IFERROR(LOOKUP(2^15,SEARCH(Settings!$F$14:$F$43,AF31)/(Settings!$F$14:$F$43&lt;&gt;""),Settings!$G$14:$G$43),"")))</f>
        <v/>
      </c>
      <c r="CM31">
        <f>IF(OR($B31="",AG31=""),"",IFERROR(INDEX(Settings!$D$14:$D$33,MATCH(AG31,Settings!$B$14:$B$33,0))&amp;"",IFERROR(LOOKUP(2^15,SEARCH(Settings!$F$14:$F$43,AG31)/(Settings!$F$14:$F$43&lt;&gt;""),Settings!$G$14:$G$43),"")))</f>
        <v/>
      </c>
    </row>
    <row r="32">
      <c r="A32" t="n">
        <v>30</v>
      </c>
      <c r="B32">
        <f>IFERROR(INDEX(Index!$A$2:$A$202,MATCH(A32,Index!$E$2:$E$202,0)),"")</f>
        <v/>
      </c>
      <c r="D32">
        <f>IF($B32="","",IFERROR(MATCH("Travel*",AI32:BJ32,0),""))</f>
        <v/>
      </c>
      <c r="F32">
        <f>IF(OR($B32="",NOT(ISNUMBER(Settings!$C$9))),"",TRIM(SUBSTITUTE(SUBSTITUTE(INDEX('INPUT - Roster'!$S$1:$SV$206,$B32,Settings!$C$9+0)&amp;"",CHAR(10)," "),CHAR(160)," ")))</f>
        <v/>
      </c>
      <c r="G32">
        <f>IF(OR($B32="",NOT(ISNUMBER(Settings!$C$9))),"",TRIM(SUBSTITUTE(SUBSTITUTE(INDEX('INPUT - Roster'!$S$1:$SV$206,$B32,Settings!$C$9+1)&amp;"",CHAR(10)," "),CHAR(160)," ")))</f>
        <v/>
      </c>
      <c r="H32">
        <f>IF(OR($B32="",NOT(ISNUMBER(Settings!$C$9))),"",TRIM(SUBSTITUTE(SUBSTITUTE(INDEX('INPUT - Roster'!$S$1:$SV$206,$B32,Settings!$C$9+2)&amp;"",CHAR(10)," "),CHAR(160)," ")))</f>
        <v/>
      </c>
      <c r="I32">
        <f>IF(OR($B32="",NOT(ISNUMBER(Settings!$C$9))),"",TRIM(SUBSTITUTE(SUBSTITUTE(INDEX('INPUT - Roster'!$S$1:$SV$206,$B32,Settings!$C$9+3)&amp;"",CHAR(10)," "),CHAR(160)," ")))</f>
        <v/>
      </c>
      <c r="J32">
        <f>IF(OR($B32="",NOT(ISNUMBER(Settings!$C$9))),"",TRIM(SUBSTITUTE(SUBSTITUTE(INDEX('INPUT - Roster'!$S$1:$SV$206,$B32,Settings!$C$9+4)&amp;"",CHAR(10)," "),CHAR(160)," ")))</f>
        <v/>
      </c>
      <c r="K32">
        <f>IF(OR($B32="",NOT(ISNUMBER(Settings!$C$9))),"",TRIM(SUBSTITUTE(SUBSTITUTE(INDEX('INPUT - Roster'!$S$1:$SV$206,$B32,Settings!$C$9+5)&amp;"",CHAR(10)," "),CHAR(160)," ")))</f>
        <v/>
      </c>
      <c r="L32">
        <f>IF(OR($B32="",NOT(ISNUMBER(Settings!$C$9))),"",TRIM(SUBSTITUTE(SUBSTITUTE(INDEX('INPUT - Roster'!$S$1:$SV$206,$B32,Settings!$C$9+6)&amp;"",CHAR(10)," "),CHAR(160)," ")))</f>
        <v/>
      </c>
      <c r="M32">
        <f>IF(OR($B32="",NOT(ISNUMBER(Settings!$C$9))),"",TRIM(SUBSTITUTE(SUBSTITUTE(INDEX('INPUT - Roster'!$S$1:$SV$206,$B32,Settings!$C$9+7)&amp;"",CHAR(10)," "),CHAR(160)," ")))</f>
        <v/>
      </c>
      <c r="N32">
        <f>IF(OR($B32="",NOT(ISNUMBER(Settings!$C$9))),"",TRIM(SUBSTITUTE(SUBSTITUTE(INDEX('INPUT - Roster'!$S$1:$SV$206,$B32,Settings!$C$9+8)&amp;"",CHAR(10)," "),CHAR(160)," ")))</f>
        <v/>
      </c>
      <c r="O32">
        <f>IF(OR($B32="",NOT(ISNUMBER(Settings!$C$9))),"",TRIM(SUBSTITUTE(SUBSTITUTE(INDEX('INPUT - Roster'!$S$1:$SV$206,$B32,Settings!$C$9+9)&amp;"",CHAR(10)," "),CHAR(160)," ")))</f>
        <v/>
      </c>
      <c r="P32">
        <f>IF(OR($B32="",NOT(ISNUMBER(Settings!$C$9))),"",TRIM(SUBSTITUTE(SUBSTITUTE(INDEX('INPUT - Roster'!$S$1:$SV$206,$B32,Settings!$C$9+10)&amp;"",CHAR(10)," "),CHAR(160)," ")))</f>
        <v/>
      </c>
      <c r="Q32">
        <f>IF(OR($B32="",NOT(ISNUMBER(Settings!$C$9))),"",TRIM(SUBSTITUTE(SUBSTITUTE(INDEX('INPUT - Roster'!$S$1:$SV$206,$B32,Settings!$C$9+11)&amp;"",CHAR(10)," "),CHAR(160)," ")))</f>
        <v/>
      </c>
      <c r="R32">
        <f>IF(OR($B32="",NOT(ISNUMBER(Settings!$C$9))),"",TRIM(SUBSTITUTE(SUBSTITUTE(INDEX('INPUT - Roster'!$S$1:$SV$206,$B32,Settings!$C$9+12)&amp;"",CHAR(10)," "),CHAR(160)," ")))</f>
        <v/>
      </c>
      <c r="S32">
        <f>IF(OR($B32="",NOT(ISNUMBER(Settings!$C$9))),"",TRIM(SUBSTITUTE(SUBSTITUTE(INDEX('INPUT - Roster'!$S$1:$SV$206,$B32,Settings!$C$9+13)&amp;"",CHAR(10)," "),CHAR(160)," ")))</f>
        <v/>
      </c>
      <c r="T32">
        <f>IF(OR($B32="",NOT(ISNUMBER(Settings!$C$9))),"",TRIM(SUBSTITUTE(SUBSTITUTE(INDEX('INPUT - Roster'!$S$1:$SV$206,$B32,Settings!$C$9+14)&amp;"",CHAR(10)," "),CHAR(160)," ")))</f>
        <v/>
      </c>
      <c r="U32">
        <f>IF(OR($B32="",NOT(ISNUMBER(Settings!$C$9))),"",TRIM(SUBSTITUTE(SUBSTITUTE(INDEX('INPUT - Roster'!$S$1:$SV$206,$B32,Settings!$C$9+15)&amp;"",CHAR(10)," "),CHAR(160)," ")))</f>
        <v/>
      </c>
      <c r="V32">
        <f>IF(OR($B32="",NOT(ISNUMBER(Settings!$C$9))),"",TRIM(SUBSTITUTE(SUBSTITUTE(INDEX('INPUT - Roster'!$S$1:$SV$206,$B32,Settings!$C$9+16)&amp;"",CHAR(10)," "),CHAR(160)," ")))</f>
        <v/>
      </c>
      <c r="W32">
        <f>IF(OR($B32="",NOT(ISNUMBER(Settings!$C$9))),"",TRIM(SUBSTITUTE(SUBSTITUTE(INDEX('INPUT - Roster'!$S$1:$SV$206,$B32,Settings!$C$9+17)&amp;"",CHAR(10)," "),CHAR(160)," ")))</f>
        <v/>
      </c>
      <c r="X32">
        <f>IF(OR($B32="",NOT(ISNUMBER(Settings!$C$9))),"",TRIM(SUBSTITUTE(SUBSTITUTE(INDEX('INPUT - Roster'!$S$1:$SV$206,$B32,Settings!$C$9+18)&amp;"",CHAR(10)," "),CHAR(160)," ")))</f>
        <v/>
      </c>
      <c r="Y32">
        <f>IF(OR($B32="",NOT(ISNUMBER(Settings!$C$9))),"",TRIM(SUBSTITUTE(SUBSTITUTE(INDEX('INPUT - Roster'!$S$1:$SV$206,$B32,Settings!$C$9+19)&amp;"",CHAR(10)," "),CHAR(160)," ")))</f>
        <v/>
      </c>
      <c r="Z32">
        <f>IF(OR($B32="",NOT(ISNUMBER(Settings!$C$9))),"",TRIM(SUBSTITUTE(SUBSTITUTE(INDEX('INPUT - Roster'!$S$1:$SV$206,$B32,Settings!$C$9+20)&amp;"",CHAR(10)," "),CHAR(160)," ")))</f>
        <v/>
      </c>
      <c r="AA32">
        <f>IF(OR($B32="",NOT(ISNUMBER(Settings!$C$9))),"",TRIM(SUBSTITUTE(SUBSTITUTE(INDEX('INPUT - Roster'!$S$1:$SV$206,$B32,Settings!$C$9+21)&amp;"",CHAR(10)," "),CHAR(160)," ")))</f>
        <v/>
      </c>
      <c r="AB32">
        <f>IF(OR($B32="",NOT(ISNUMBER(Settings!$C$9))),"",TRIM(SUBSTITUTE(SUBSTITUTE(INDEX('INPUT - Roster'!$S$1:$SV$206,$B32,Settings!$C$9+22)&amp;"",CHAR(10)," "),CHAR(160)," ")))</f>
        <v/>
      </c>
      <c r="AC32">
        <f>IF(OR($B32="",NOT(ISNUMBER(Settings!$C$9))),"",TRIM(SUBSTITUTE(SUBSTITUTE(INDEX('INPUT - Roster'!$S$1:$SV$206,$B32,Settings!$C$9+23)&amp;"",CHAR(10)," "),CHAR(160)," ")))</f>
        <v/>
      </c>
      <c r="AD32">
        <f>IF(OR($B32="",NOT(ISNUMBER(Settings!$C$9))),"",TRIM(SUBSTITUTE(SUBSTITUTE(INDEX('INPUT - Roster'!$S$1:$SV$206,$B32,Settings!$C$9+24)&amp;"",CHAR(10)," "),CHAR(160)," ")))</f>
        <v/>
      </c>
      <c r="AE32">
        <f>IF(OR($B32="",NOT(ISNUMBER(Settings!$C$9))),"",TRIM(SUBSTITUTE(SUBSTITUTE(INDEX('INPUT - Roster'!$S$1:$SV$206,$B32,Settings!$C$9+25)&amp;"",CHAR(10)," "),CHAR(160)," ")))</f>
        <v/>
      </c>
      <c r="AF32">
        <f>IF(OR($B32="",NOT(ISNUMBER(Settings!$C$9))),"",TRIM(SUBSTITUTE(SUBSTITUTE(INDEX('INPUT - Roster'!$S$1:$SV$206,$B32,Settings!$C$9+26)&amp;"",CHAR(10)," "),CHAR(160)," ")))</f>
        <v/>
      </c>
      <c r="AG32">
        <f>IF(OR($B32="",NOT(ISNUMBER(Settings!$C$9))),"",TRIM(SUBSTITUTE(SUBSTITUTE(INDEX('INPUT - Roster'!$S$1:$SV$206,$B32,Settings!$C$9+27)&amp;"",CHAR(10)," "),CHAR(160)," ")))</f>
        <v/>
      </c>
      <c r="AI32">
        <f>IF($B32="","",IF(F32="","Not rostered",IFERROR(INDEX(Settings!$C$14:$C$33,MATCH(F32,Settings!$B$14:$B$33,0)),IFERROR(LOOKUP(2^15,SEARCH(Settings!$I$14:$I$83,F32)/(Settings!$I$14:$I$83&lt;&gt;""),Settings!$J$14:$J$83),"Other"))))</f>
        <v/>
      </c>
      <c r="AJ32">
        <f>IF($B32="","",IF(G32="","Not rostered",IFERROR(INDEX(Settings!$C$14:$C$33,MATCH(G32,Settings!$B$14:$B$33,0)),IFERROR(LOOKUP(2^15,SEARCH(Settings!$I$14:$I$83,G32)/(Settings!$I$14:$I$83&lt;&gt;""),Settings!$J$14:$J$83),"Other"))))</f>
        <v/>
      </c>
      <c r="AK32">
        <f>IF($B32="","",IF(H32="","Not rostered",IFERROR(INDEX(Settings!$C$14:$C$33,MATCH(H32,Settings!$B$14:$B$33,0)),IFERROR(LOOKUP(2^15,SEARCH(Settings!$I$14:$I$83,H32)/(Settings!$I$14:$I$83&lt;&gt;""),Settings!$J$14:$J$83),"Other"))))</f>
        <v/>
      </c>
      <c r="AL32">
        <f>IF($B32="","",IF(I32="","Not rostered",IFERROR(INDEX(Settings!$C$14:$C$33,MATCH(I32,Settings!$B$14:$B$33,0)),IFERROR(LOOKUP(2^15,SEARCH(Settings!$I$14:$I$83,I32)/(Settings!$I$14:$I$83&lt;&gt;""),Settings!$J$14:$J$83),"Other"))))</f>
        <v/>
      </c>
      <c r="AM32">
        <f>IF($B32="","",IF(J32="","Not rostered",IFERROR(INDEX(Settings!$C$14:$C$33,MATCH(J32,Settings!$B$14:$B$33,0)),IFERROR(LOOKUP(2^15,SEARCH(Settings!$I$14:$I$83,J32)/(Settings!$I$14:$I$83&lt;&gt;""),Settings!$J$14:$J$83),"Other"))))</f>
        <v/>
      </c>
      <c r="AN32">
        <f>IF($B32="","",IF(K32="","Not rostered",IFERROR(INDEX(Settings!$C$14:$C$33,MATCH(K32,Settings!$B$14:$B$33,0)),IFERROR(LOOKUP(2^15,SEARCH(Settings!$I$14:$I$83,K32)/(Settings!$I$14:$I$83&lt;&gt;""),Settings!$J$14:$J$83),"Other"))))</f>
        <v/>
      </c>
      <c r="AO32">
        <f>IF($B32="","",IF(L32="","Not rostered",IFERROR(INDEX(Settings!$C$14:$C$33,MATCH(L32,Settings!$B$14:$B$33,0)),IFERROR(LOOKUP(2^15,SEARCH(Settings!$I$14:$I$83,L32)/(Settings!$I$14:$I$83&lt;&gt;""),Settings!$J$14:$J$83),"Other"))))</f>
        <v/>
      </c>
      <c r="AP32">
        <f>IF($B32="","",IF(M32="","Not rostered",IFERROR(INDEX(Settings!$C$14:$C$33,MATCH(M32,Settings!$B$14:$B$33,0)),IFERROR(LOOKUP(2^15,SEARCH(Settings!$I$14:$I$83,M32)/(Settings!$I$14:$I$83&lt;&gt;""),Settings!$J$14:$J$83),"Other"))))</f>
        <v/>
      </c>
      <c r="AQ32">
        <f>IF($B32="","",IF(N32="","Not rostered",IFERROR(INDEX(Settings!$C$14:$C$33,MATCH(N32,Settings!$B$14:$B$33,0)),IFERROR(LOOKUP(2^15,SEARCH(Settings!$I$14:$I$83,N32)/(Settings!$I$14:$I$83&lt;&gt;""),Settings!$J$14:$J$83),"Other"))))</f>
        <v/>
      </c>
      <c r="AR32">
        <f>IF($B32="","",IF(O32="","Not rostered",IFERROR(INDEX(Settings!$C$14:$C$33,MATCH(O32,Settings!$B$14:$B$33,0)),IFERROR(LOOKUP(2^15,SEARCH(Settings!$I$14:$I$83,O32)/(Settings!$I$14:$I$83&lt;&gt;""),Settings!$J$14:$J$83),"Other"))))</f>
        <v/>
      </c>
      <c r="AS32">
        <f>IF($B32="","",IF(P32="","Not rostered",IFERROR(INDEX(Settings!$C$14:$C$33,MATCH(P32,Settings!$B$14:$B$33,0)),IFERROR(LOOKUP(2^15,SEARCH(Settings!$I$14:$I$83,P32)/(Settings!$I$14:$I$83&lt;&gt;""),Settings!$J$14:$J$83),"Other"))))</f>
        <v/>
      </c>
      <c r="AT32">
        <f>IF($B32="","",IF(Q32="","Not rostered",IFERROR(INDEX(Settings!$C$14:$C$33,MATCH(Q32,Settings!$B$14:$B$33,0)),IFERROR(LOOKUP(2^15,SEARCH(Settings!$I$14:$I$83,Q32)/(Settings!$I$14:$I$83&lt;&gt;""),Settings!$J$14:$J$83),"Other"))))</f>
        <v/>
      </c>
      <c r="AU32">
        <f>IF($B32="","",IF(R32="","Not rostered",IFERROR(INDEX(Settings!$C$14:$C$33,MATCH(R32,Settings!$B$14:$B$33,0)),IFERROR(LOOKUP(2^15,SEARCH(Settings!$I$14:$I$83,R32)/(Settings!$I$14:$I$83&lt;&gt;""),Settings!$J$14:$J$83),"Other"))))</f>
        <v/>
      </c>
      <c r="AV32">
        <f>IF($B32="","",IF(S32="","Not rostered",IFERROR(INDEX(Settings!$C$14:$C$33,MATCH(S32,Settings!$B$14:$B$33,0)),IFERROR(LOOKUP(2^15,SEARCH(Settings!$I$14:$I$83,S32)/(Settings!$I$14:$I$83&lt;&gt;""),Settings!$J$14:$J$83),"Other"))))</f>
        <v/>
      </c>
      <c r="AW32">
        <f>IF($B32="","",IF(T32="","Not rostered",IFERROR(INDEX(Settings!$C$14:$C$33,MATCH(T32,Settings!$B$14:$B$33,0)),IFERROR(LOOKUP(2^15,SEARCH(Settings!$I$14:$I$83,T32)/(Settings!$I$14:$I$83&lt;&gt;""),Settings!$J$14:$J$83),"Other"))))</f>
        <v/>
      </c>
      <c r="AX32">
        <f>IF($B32="","",IF(U32="","Not rostered",IFERROR(INDEX(Settings!$C$14:$C$33,MATCH(U32,Settings!$B$14:$B$33,0)),IFERROR(LOOKUP(2^15,SEARCH(Settings!$I$14:$I$83,U32)/(Settings!$I$14:$I$83&lt;&gt;""),Settings!$J$14:$J$83),"Other"))))</f>
        <v/>
      </c>
      <c r="AY32">
        <f>IF($B32="","",IF(V32="","Not rostered",IFERROR(INDEX(Settings!$C$14:$C$33,MATCH(V32,Settings!$B$14:$B$33,0)),IFERROR(LOOKUP(2^15,SEARCH(Settings!$I$14:$I$83,V32)/(Settings!$I$14:$I$83&lt;&gt;""),Settings!$J$14:$J$83),"Other"))))</f>
        <v/>
      </c>
      <c r="AZ32">
        <f>IF($B32="","",IF(W32="","Not rostered",IFERROR(INDEX(Settings!$C$14:$C$33,MATCH(W32,Settings!$B$14:$B$33,0)),IFERROR(LOOKUP(2^15,SEARCH(Settings!$I$14:$I$83,W32)/(Settings!$I$14:$I$83&lt;&gt;""),Settings!$J$14:$J$83),"Other"))))</f>
        <v/>
      </c>
      <c r="BA32">
        <f>IF($B32="","",IF(X32="","Not rostered",IFERROR(INDEX(Settings!$C$14:$C$33,MATCH(X32,Settings!$B$14:$B$33,0)),IFERROR(LOOKUP(2^15,SEARCH(Settings!$I$14:$I$83,X32)/(Settings!$I$14:$I$83&lt;&gt;""),Settings!$J$14:$J$83),"Other"))))</f>
        <v/>
      </c>
      <c r="BB32">
        <f>IF($B32="","",IF(Y32="","Not rostered",IFERROR(INDEX(Settings!$C$14:$C$33,MATCH(Y32,Settings!$B$14:$B$33,0)),IFERROR(LOOKUP(2^15,SEARCH(Settings!$I$14:$I$83,Y32)/(Settings!$I$14:$I$83&lt;&gt;""),Settings!$J$14:$J$83),"Other"))))</f>
        <v/>
      </c>
      <c r="BC32">
        <f>IF($B32="","",IF(Z32="","Not rostered",IFERROR(INDEX(Settings!$C$14:$C$33,MATCH(Z32,Settings!$B$14:$B$33,0)),IFERROR(LOOKUP(2^15,SEARCH(Settings!$I$14:$I$83,Z32)/(Settings!$I$14:$I$83&lt;&gt;""),Settings!$J$14:$J$83),"Other"))))</f>
        <v/>
      </c>
      <c r="BD32">
        <f>IF($B32="","",IF(AA32="","Not rostered",IFERROR(INDEX(Settings!$C$14:$C$33,MATCH(AA32,Settings!$B$14:$B$33,0)),IFERROR(LOOKUP(2^15,SEARCH(Settings!$I$14:$I$83,AA32)/(Settings!$I$14:$I$83&lt;&gt;""),Settings!$J$14:$J$83),"Other"))))</f>
        <v/>
      </c>
      <c r="BE32">
        <f>IF($B32="","",IF(AB32="","Not rostered",IFERROR(INDEX(Settings!$C$14:$C$33,MATCH(AB32,Settings!$B$14:$B$33,0)),IFERROR(LOOKUP(2^15,SEARCH(Settings!$I$14:$I$83,AB32)/(Settings!$I$14:$I$83&lt;&gt;""),Settings!$J$14:$J$83),"Other"))))</f>
        <v/>
      </c>
      <c r="BF32">
        <f>IF($B32="","",IF(AC32="","Not rostered",IFERROR(INDEX(Settings!$C$14:$C$33,MATCH(AC32,Settings!$B$14:$B$33,0)),IFERROR(LOOKUP(2^15,SEARCH(Settings!$I$14:$I$83,AC32)/(Settings!$I$14:$I$83&lt;&gt;""),Settings!$J$14:$J$83),"Other"))))</f>
        <v/>
      </c>
      <c r="BG32">
        <f>IF($B32="","",IF(AD32="","Not rostered",IFERROR(INDEX(Settings!$C$14:$C$33,MATCH(AD32,Settings!$B$14:$B$33,0)),IFERROR(LOOKUP(2^15,SEARCH(Settings!$I$14:$I$83,AD32)/(Settings!$I$14:$I$83&lt;&gt;""),Settings!$J$14:$J$83),"Other"))))</f>
        <v/>
      </c>
      <c r="BH32">
        <f>IF($B32="","",IF(AE32="","Not rostered",IFERROR(INDEX(Settings!$C$14:$C$33,MATCH(AE32,Settings!$B$14:$B$33,0)),IFERROR(LOOKUP(2^15,SEARCH(Settings!$I$14:$I$83,AE32)/(Settings!$I$14:$I$83&lt;&gt;""),Settings!$J$14:$J$83),"Other"))))</f>
        <v/>
      </c>
      <c r="BI32">
        <f>IF($B32="","",IF(AF32="","Not rostered",IFERROR(INDEX(Settings!$C$14:$C$33,MATCH(AF32,Settings!$B$14:$B$33,0)),IFERROR(LOOKUP(2^15,SEARCH(Settings!$I$14:$I$83,AF32)/(Settings!$I$14:$I$83&lt;&gt;""),Settings!$J$14:$J$83),"Other"))))</f>
        <v/>
      </c>
      <c r="BJ32">
        <f>IF($B32="","",IF(AG32="","Not rostered",IFERROR(INDEX(Settings!$C$14:$C$33,MATCH(AG32,Settings!$B$14:$B$33,0)),IFERROR(LOOKUP(2^15,SEARCH(Settings!$I$14:$I$83,AG32)/(Settings!$I$14:$I$83&lt;&gt;""),Settings!$J$14:$J$83),"Other"))))</f>
        <v/>
      </c>
      <c r="BL32">
        <f>IF(OR($B32="",F32=""),"",IFERROR(INDEX(Settings!$D$14:$D$33,MATCH(F32,Settings!$B$14:$B$33,0))&amp;"",IFERROR(LOOKUP(2^15,SEARCH(Settings!$F$14:$F$43,F32)/(Settings!$F$14:$F$43&lt;&gt;""),Settings!$G$14:$G$43),"")))</f>
        <v/>
      </c>
      <c r="BM32">
        <f>IF(OR($B32="",G32=""),"",IFERROR(INDEX(Settings!$D$14:$D$33,MATCH(G32,Settings!$B$14:$B$33,0))&amp;"",IFERROR(LOOKUP(2^15,SEARCH(Settings!$F$14:$F$43,G32)/(Settings!$F$14:$F$43&lt;&gt;""),Settings!$G$14:$G$43),"")))</f>
        <v/>
      </c>
      <c r="BN32">
        <f>IF(OR($B32="",H32=""),"",IFERROR(INDEX(Settings!$D$14:$D$33,MATCH(H32,Settings!$B$14:$B$33,0))&amp;"",IFERROR(LOOKUP(2^15,SEARCH(Settings!$F$14:$F$43,H32)/(Settings!$F$14:$F$43&lt;&gt;""),Settings!$G$14:$G$43),"")))</f>
        <v/>
      </c>
      <c r="BO32">
        <f>IF(OR($B32="",I32=""),"",IFERROR(INDEX(Settings!$D$14:$D$33,MATCH(I32,Settings!$B$14:$B$33,0))&amp;"",IFERROR(LOOKUP(2^15,SEARCH(Settings!$F$14:$F$43,I32)/(Settings!$F$14:$F$43&lt;&gt;""),Settings!$G$14:$G$43),"")))</f>
        <v/>
      </c>
      <c r="BP32">
        <f>IF(OR($B32="",J32=""),"",IFERROR(INDEX(Settings!$D$14:$D$33,MATCH(J32,Settings!$B$14:$B$33,0))&amp;"",IFERROR(LOOKUP(2^15,SEARCH(Settings!$F$14:$F$43,J32)/(Settings!$F$14:$F$43&lt;&gt;""),Settings!$G$14:$G$43),"")))</f>
        <v/>
      </c>
      <c r="BQ32">
        <f>IF(OR($B32="",K32=""),"",IFERROR(INDEX(Settings!$D$14:$D$33,MATCH(K32,Settings!$B$14:$B$33,0))&amp;"",IFERROR(LOOKUP(2^15,SEARCH(Settings!$F$14:$F$43,K32)/(Settings!$F$14:$F$43&lt;&gt;""),Settings!$G$14:$G$43),"")))</f>
        <v/>
      </c>
      <c r="BR32">
        <f>IF(OR($B32="",L32=""),"",IFERROR(INDEX(Settings!$D$14:$D$33,MATCH(L32,Settings!$B$14:$B$33,0))&amp;"",IFERROR(LOOKUP(2^15,SEARCH(Settings!$F$14:$F$43,L32)/(Settings!$F$14:$F$43&lt;&gt;""),Settings!$G$14:$G$43),"")))</f>
        <v/>
      </c>
      <c r="BS32">
        <f>IF(OR($B32="",M32=""),"",IFERROR(INDEX(Settings!$D$14:$D$33,MATCH(M32,Settings!$B$14:$B$33,0))&amp;"",IFERROR(LOOKUP(2^15,SEARCH(Settings!$F$14:$F$43,M32)/(Settings!$F$14:$F$43&lt;&gt;""),Settings!$G$14:$G$43),"")))</f>
        <v/>
      </c>
      <c r="BT32">
        <f>IF(OR($B32="",N32=""),"",IFERROR(INDEX(Settings!$D$14:$D$33,MATCH(N32,Settings!$B$14:$B$33,0))&amp;"",IFERROR(LOOKUP(2^15,SEARCH(Settings!$F$14:$F$43,N32)/(Settings!$F$14:$F$43&lt;&gt;""),Settings!$G$14:$G$43),"")))</f>
        <v/>
      </c>
      <c r="BU32">
        <f>IF(OR($B32="",O32=""),"",IFERROR(INDEX(Settings!$D$14:$D$33,MATCH(O32,Settings!$B$14:$B$33,0))&amp;"",IFERROR(LOOKUP(2^15,SEARCH(Settings!$F$14:$F$43,O32)/(Settings!$F$14:$F$43&lt;&gt;""),Settings!$G$14:$G$43),"")))</f>
        <v/>
      </c>
      <c r="BV32">
        <f>IF(OR($B32="",P32=""),"",IFERROR(INDEX(Settings!$D$14:$D$33,MATCH(P32,Settings!$B$14:$B$33,0))&amp;"",IFERROR(LOOKUP(2^15,SEARCH(Settings!$F$14:$F$43,P32)/(Settings!$F$14:$F$43&lt;&gt;""),Settings!$G$14:$G$43),"")))</f>
        <v/>
      </c>
      <c r="BW32">
        <f>IF(OR($B32="",Q32=""),"",IFERROR(INDEX(Settings!$D$14:$D$33,MATCH(Q32,Settings!$B$14:$B$33,0))&amp;"",IFERROR(LOOKUP(2^15,SEARCH(Settings!$F$14:$F$43,Q32)/(Settings!$F$14:$F$43&lt;&gt;""),Settings!$G$14:$G$43),"")))</f>
        <v/>
      </c>
      <c r="BX32">
        <f>IF(OR($B32="",R32=""),"",IFERROR(INDEX(Settings!$D$14:$D$33,MATCH(R32,Settings!$B$14:$B$33,0))&amp;"",IFERROR(LOOKUP(2^15,SEARCH(Settings!$F$14:$F$43,R32)/(Settings!$F$14:$F$43&lt;&gt;""),Settings!$G$14:$G$43),"")))</f>
        <v/>
      </c>
      <c r="BY32">
        <f>IF(OR($B32="",S32=""),"",IFERROR(INDEX(Settings!$D$14:$D$33,MATCH(S32,Settings!$B$14:$B$33,0))&amp;"",IFERROR(LOOKUP(2^15,SEARCH(Settings!$F$14:$F$43,S32)/(Settings!$F$14:$F$43&lt;&gt;""),Settings!$G$14:$G$43),"")))</f>
        <v/>
      </c>
      <c r="BZ32">
        <f>IF(OR($B32="",T32=""),"",IFERROR(INDEX(Settings!$D$14:$D$33,MATCH(T32,Settings!$B$14:$B$33,0))&amp;"",IFERROR(LOOKUP(2^15,SEARCH(Settings!$F$14:$F$43,T32)/(Settings!$F$14:$F$43&lt;&gt;""),Settings!$G$14:$G$43),"")))</f>
        <v/>
      </c>
      <c r="CA32">
        <f>IF(OR($B32="",U32=""),"",IFERROR(INDEX(Settings!$D$14:$D$33,MATCH(U32,Settings!$B$14:$B$33,0))&amp;"",IFERROR(LOOKUP(2^15,SEARCH(Settings!$F$14:$F$43,U32)/(Settings!$F$14:$F$43&lt;&gt;""),Settings!$G$14:$G$43),"")))</f>
        <v/>
      </c>
      <c r="CB32">
        <f>IF(OR($B32="",V32=""),"",IFERROR(INDEX(Settings!$D$14:$D$33,MATCH(V32,Settings!$B$14:$B$33,0))&amp;"",IFERROR(LOOKUP(2^15,SEARCH(Settings!$F$14:$F$43,V32)/(Settings!$F$14:$F$43&lt;&gt;""),Settings!$G$14:$G$43),"")))</f>
        <v/>
      </c>
      <c r="CC32">
        <f>IF(OR($B32="",W32=""),"",IFERROR(INDEX(Settings!$D$14:$D$33,MATCH(W32,Settings!$B$14:$B$33,0))&amp;"",IFERROR(LOOKUP(2^15,SEARCH(Settings!$F$14:$F$43,W32)/(Settings!$F$14:$F$43&lt;&gt;""),Settings!$G$14:$G$43),"")))</f>
        <v/>
      </c>
      <c r="CD32">
        <f>IF(OR($B32="",X32=""),"",IFERROR(INDEX(Settings!$D$14:$D$33,MATCH(X32,Settings!$B$14:$B$33,0))&amp;"",IFERROR(LOOKUP(2^15,SEARCH(Settings!$F$14:$F$43,X32)/(Settings!$F$14:$F$43&lt;&gt;""),Settings!$G$14:$G$43),"")))</f>
        <v/>
      </c>
      <c r="CE32">
        <f>IF(OR($B32="",Y32=""),"",IFERROR(INDEX(Settings!$D$14:$D$33,MATCH(Y32,Settings!$B$14:$B$33,0))&amp;"",IFERROR(LOOKUP(2^15,SEARCH(Settings!$F$14:$F$43,Y32)/(Settings!$F$14:$F$43&lt;&gt;""),Settings!$G$14:$G$43),"")))</f>
        <v/>
      </c>
      <c r="CF32">
        <f>IF(OR($B32="",Z32=""),"",IFERROR(INDEX(Settings!$D$14:$D$33,MATCH(Z32,Settings!$B$14:$B$33,0))&amp;"",IFERROR(LOOKUP(2^15,SEARCH(Settings!$F$14:$F$43,Z32)/(Settings!$F$14:$F$43&lt;&gt;""),Settings!$G$14:$G$43),"")))</f>
        <v/>
      </c>
      <c r="CG32">
        <f>IF(OR($B32="",AA32=""),"",IFERROR(INDEX(Settings!$D$14:$D$33,MATCH(AA32,Settings!$B$14:$B$33,0))&amp;"",IFERROR(LOOKUP(2^15,SEARCH(Settings!$F$14:$F$43,AA32)/(Settings!$F$14:$F$43&lt;&gt;""),Settings!$G$14:$G$43),"")))</f>
        <v/>
      </c>
      <c r="CH32">
        <f>IF(OR($B32="",AB32=""),"",IFERROR(INDEX(Settings!$D$14:$D$33,MATCH(AB32,Settings!$B$14:$B$33,0))&amp;"",IFERROR(LOOKUP(2^15,SEARCH(Settings!$F$14:$F$43,AB32)/(Settings!$F$14:$F$43&lt;&gt;""),Settings!$G$14:$G$43),"")))</f>
        <v/>
      </c>
      <c r="CI32">
        <f>IF(OR($B32="",AC32=""),"",IFERROR(INDEX(Settings!$D$14:$D$33,MATCH(AC32,Settings!$B$14:$B$33,0))&amp;"",IFERROR(LOOKUP(2^15,SEARCH(Settings!$F$14:$F$43,AC32)/(Settings!$F$14:$F$43&lt;&gt;""),Settings!$G$14:$G$43),"")))</f>
        <v/>
      </c>
      <c r="CJ32">
        <f>IF(OR($B32="",AD32=""),"",IFERROR(INDEX(Settings!$D$14:$D$33,MATCH(AD32,Settings!$B$14:$B$33,0))&amp;"",IFERROR(LOOKUP(2^15,SEARCH(Settings!$F$14:$F$43,AD32)/(Settings!$F$14:$F$43&lt;&gt;""),Settings!$G$14:$G$43),"")))</f>
        <v/>
      </c>
      <c r="CK32">
        <f>IF(OR($B32="",AE32=""),"",IFERROR(INDEX(Settings!$D$14:$D$33,MATCH(AE32,Settings!$B$14:$B$33,0))&amp;"",IFERROR(LOOKUP(2^15,SEARCH(Settings!$F$14:$F$43,AE32)/(Settings!$F$14:$F$43&lt;&gt;""),Settings!$G$14:$G$43),"")))</f>
        <v/>
      </c>
      <c r="CL32">
        <f>IF(OR($B32="",AF32=""),"",IFERROR(INDEX(Settings!$D$14:$D$33,MATCH(AF32,Settings!$B$14:$B$33,0))&amp;"",IFERROR(LOOKUP(2^15,SEARCH(Settings!$F$14:$F$43,AF32)/(Settings!$F$14:$F$43&lt;&gt;""),Settings!$G$14:$G$43),"")))</f>
        <v/>
      </c>
      <c r="CM32">
        <f>IF(OR($B32="",AG32=""),"",IFERROR(INDEX(Settings!$D$14:$D$33,MATCH(AG32,Settings!$B$14:$B$33,0))&amp;"",IFERROR(LOOKUP(2^15,SEARCH(Settings!$F$14:$F$43,AG32)/(Settings!$F$14:$F$43&lt;&gt;""),Settings!$G$14:$G$43),"")))</f>
        <v/>
      </c>
    </row>
    <row r="33">
      <c r="A33" t="n">
        <v>31</v>
      </c>
      <c r="B33">
        <f>IFERROR(INDEX(Index!$A$2:$A$202,MATCH(A33,Index!$E$2:$E$202,0)),"")</f>
        <v/>
      </c>
      <c r="D33">
        <f>IF($B33="","",IFERROR(MATCH("Travel*",AI33:BJ33,0),""))</f>
        <v/>
      </c>
      <c r="F33">
        <f>IF(OR($B33="",NOT(ISNUMBER(Settings!$C$9))),"",TRIM(SUBSTITUTE(SUBSTITUTE(INDEX('INPUT - Roster'!$S$1:$SV$206,$B33,Settings!$C$9+0)&amp;"",CHAR(10)," "),CHAR(160)," ")))</f>
        <v/>
      </c>
      <c r="G33">
        <f>IF(OR($B33="",NOT(ISNUMBER(Settings!$C$9))),"",TRIM(SUBSTITUTE(SUBSTITUTE(INDEX('INPUT - Roster'!$S$1:$SV$206,$B33,Settings!$C$9+1)&amp;"",CHAR(10)," "),CHAR(160)," ")))</f>
        <v/>
      </c>
      <c r="H33">
        <f>IF(OR($B33="",NOT(ISNUMBER(Settings!$C$9))),"",TRIM(SUBSTITUTE(SUBSTITUTE(INDEX('INPUT - Roster'!$S$1:$SV$206,$B33,Settings!$C$9+2)&amp;"",CHAR(10)," "),CHAR(160)," ")))</f>
        <v/>
      </c>
      <c r="I33">
        <f>IF(OR($B33="",NOT(ISNUMBER(Settings!$C$9))),"",TRIM(SUBSTITUTE(SUBSTITUTE(INDEX('INPUT - Roster'!$S$1:$SV$206,$B33,Settings!$C$9+3)&amp;"",CHAR(10)," "),CHAR(160)," ")))</f>
        <v/>
      </c>
      <c r="J33">
        <f>IF(OR($B33="",NOT(ISNUMBER(Settings!$C$9))),"",TRIM(SUBSTITUTE(SUBSTITUTE(INDEX('INPUT - Roster'!$S$1:$SV$206,$B33,Settings!$C$9+4)&amp;"",CHAR(10)," "),CHAR(160)," ")))</f>
        <v/>
      </c>
      <c r="K33">
        <f>IF(OR($B33="",NOT(ISNUMBER(Settings!$C$9))),"",TRIM(SUBSTITUTE(SUBSTITUTE(INDEX('INPUT - Roster'!$S$1:$SV$206,$B33,Settings!$C$9+5)&amp;"",CHAR(10)," "),CHAR(160)," ")))</f>
        <v/>
      </c>
      <c r="L33">
        <f>IF(OR($B33="",NOT(ISNUMBER(Settings!$C$9))),"",TRIM(SUBSTITUTE(SUBSTITUTE(INDEX('INPUT - Roster'!$S$1:$SV$206,$B33,Settings!$C$9+6)&amp;"",CHAR(10)," "),CHAR(160)," ")))</f>
        <v/>
      </c>
      <c r="M33">
        <f>IF(OR($B33="",NOT(ISNUMBER(Settings!$C$9))),"",TRIM(SUBSTITUTE(SUBSTITUTE(INDEX('INPUT - Roster'!$S$1:$SV$206,$B33,Settings!$C$9+7)&amp;"",CHAR(10)," "),CHAR(160)," ")))</f>
        <v/>
      </c>
      <c r="N33">
        <f>IF(OR($B33="",NOT(ISNUMBER(Settings!$C$9))),"",TRIM(SUBSTITUTE(SUBSTITUTE(INDEX('INPUT - Roster'!$S$1:$SV$206,$B33,Settings!$C$9+8)&amp;"",CHAR(10)," "),CHAR(160)," ")))</f>
        <v/>
      </c>
      <c r="O33">
        <f>IF(OR($B33="",NOT(ISNUMBER(Settings!$C$9))),"",TRIM(SUBSTITUTE(SUBSTITUTE(INDEX('INPUT - Roster'!$S$1:$SV$206,$B33,Settings!$C$9+9)&amp;"",CHAR(10)," "),CHAR(160)," ")))</f>
        <v/>
      </c>
      <c r="P33">
        <f>IF(OR($B33="",NOT(ISNUMBER(Settings!$C$9))),"",TRIM(SUBSTITUTE(SUBSTITUTE(INDEX('INPUT - Roster'!$S$1:$SV$206,$B33,Settings!$C$9+10)&amp;"",CHAR(10)," "),CHAR(160)," ")))</f>
        <v/>
      </c>
      <c r="Q33">
        <f>IF(OR($B33="",NOT(ISNUMBER(Settings!$C$9))),"",TRIM(SUBSTITUTE(SUBSTITUTE(INDEX('INPUT - Roster'!$S$1:$SV$206,$B33,Settings!$C$9+11)&amp;"",CHAR(10)," "),CHAR(160)," ")))</f>
        <v/>
      </c>
      <c r="R33">
        <f>IF(OR($B33="",NOT(ISNUMBER(Settings!$C$9))),"",TRIM(SUBSTITUTE(SUBSTITUTE(INDEX('INPUT - Roster'!$S$1:$SV$206,$B33,Settings!$C$9+12)&amp;"",CHAR(10)," "),CHAR(160)," ")))</f>
        <v/>
      </c>
      <c r="S33">
        <f>IF(OR($B33="",NOT(ISNUMBER(Settings!$C$9))),"",TRIM(SUBSTITUTE(SUBSTITUTE(INDEX('INPUT - Roster'!$S$1:$SV$206,$B33,Settings!$C$9+13)&amp;"",CHAR(10)," "),CHAR(160)," ")))</f>
        <v/>
      </c>
      <c r="T33">
        <f>IF(OR($B33="",NOT(ISNUMBER(Settings!$C$9))),"",TRIM(SUBSTITUTE(SUBSTITUTE(INDEX('INPUT - Roster'!$S$1:$SV$206,$B33,Settings!$C$9+14)&amp;"",CHAR(10)," "),CHAR(160)," ")))</f>
        <v/>
      </c>
      <c r="U33">
        <f>IF(OR($B33="",NOT(ISNUMBER(Settings!$C$9))),"",TRIM(SUBSTITUTE(SUBSTITUTE(INDEX('INPUT - Roster'!$S$1:$SV$206,$B33,Settings!$C$9+15)&amp;"",CHAR(10)," "),CHAR(160)," ")))</f>
        <v/>
      </c>
      <c r="V33">
        <f>IF(OR($B33="",NOT(ISNUMBER(Settings!$C$9))),"",TRIM(SUBSTITUTE(SUBSTITUTE(INDEX('INPUT - Roster'!$S$1:$SV$206,$B33,Settings!$C$9+16)&amp;"",CHAR(10)," "),CHAR(160)," ")))</f>
        <v/>
      </c>
      <c r="W33">
        <f>IF(OR($B33="",NOT(ISNUMBER(Settings!$C$9))),"",TRIM(SUBSTITUTE(SUBSTITUTE(INDEX('INPUT - Roster'!$S$1:$SV$206,$B33,Settings!$C$9+17)&amp;"",CHAR(10)," "),CHAR(160)," ")))</f>
        <v/>
      </c>
      <c r="X33">
        <f>IF(OR($B33="",NOT(ISNUMBER(Settings!$C$9))),"",TRIM(SUBSTITUTE(SUBSTITUTE(INDEX('INPUT - Roster'!$S$1:$SV$206,$B33,Settings!$C$9+18)&amp;"",CHAR(10)," "),CHAR(160)," ")))</f>
        <v/>
      </c>
      <c r="Y33">
        <f>IF(OR($B33="",NOT(ISNUMBER(Settings!$C$9))),"",TRIM(SUBSTITUTE(SUBSTITUTE(INDEX('INPUT - Roster'!$S$1:$SV$206,$B33,Settings!$C$9+19)&amp;"",CHAR(10)," "),CHAR(160)," ")))</f>
        <v/>
      </c>
      <c r="Z33">
        <f>IF(OR($B33="",NOT(ISNUMBER(Settings!$C$9))),"",TRIM(SUBSTITUTE(SUBSTITUTE(INDEX('INPUT - Roster'!$S$1:$SV$206,$B33,Settings!$C$9+20)&amp;"",CHAR(10)," "),CHAR(160)," ")))</f>
        <v/>
      </c>
      <c r="AA33">
        <f>IF(OR($B33="",NOT(ISNUMBER(Settings!$C$9))),"",TRIM(SUBSTITUTE(SUBSTITUTE(INDEX('INPUT - Roster'!$S$1:$SV$206,$B33,Settings!$C$9+21)&amp;"",CHAR(10)," "),CHAR(160)," ")))</f>
        <v/>
      </c>
      <c r="AB33">
        <f>IF(OR($B33="",NOT(ISNUMBER(Settings!$C$9))),"",TRIM(SUBSTITUTE(SUBSTITUTE(INDEX('INPUT - Roster'!$S$1:$SV$206,$B33,Settings!$C$9+22)&amp;"",CHAR(10)," "),CHAR(160)," ")))</f>
        <v/>
      </c>
      <c r="AC33">
        <f>IF(OR($B33="",NOT(ISNUMBER(Settings!$C$9))),"",TRIM(SUBSTITUTE(SUBSTITUTE(INDEX('INPUT - Roster'!$S$1:$SV$206,$B33,Settings!$C$9+23)&amp;"",CHAR(10)," "),CHAR(160)," ")))</f>
        <v/>
      </c>
      <c r="AD33">
        <f>IF(OR($B33="",NOT(ISNUMBER(Settings!$C$9))),"",TRIM(SUBSTITUTE(SUBSTITUTE(INDEX('INPUT - Roster'!$S$1:$SV$206,$B33,Settings!$C$9+24)&amp;"",CHAR(10)," "),CHAR(160)," ")))</f>
        <v/>
      </c>
      <c r="AE33">
        <f>IF(OR($B33="",NOT(ISNUMBER(Settings!$C$9))),"",TRIM(SUBSTITUTE(SUBSTITUTE(INDEX('INPUT - Roster'!$S$1:$SV$206,$B33,Settings!$C$9+25)&amp;"",CHAR(10)," "),CHAR(160)," ")))</f>
        <v/>
      </c>
      <c r="AF33">
        <f>IF(OR($B33="",NOT(ISNUMBER(Settings!$C$9))),"",TRIM(SUBSTITUTE(SUBSTITUTE(INDEX('INPUT - Roster'!$S$1:$SV$206,$B33,Settings!$C$9+26)&amp;"",CHAR(10)," "),CHAR(160)," ")))</f>
        <v/>
      </c>
      <c r="AG33">
        <f>IF(OR($B33="",NOT(ISNUMBER(Settings!$C$9))),"",TRIM(SUBSTITUTE(SUBSTITUTE(INDEX('INPUT - Roster'!$S$1:$SV$206,$B33,Settings!$C$9+27)&amp;"",CHAR(10)," "),CHAR(160)," ")))</f>
        <v/>
      </c>
      <c r="AI33">
        <f>IF($B33="","",IF(F33="","Not rostered",IFERROR(INDEX(Settings!$C$14:$C$33,MATCH(F33,Settings!$B$14:$B$33,0)),IFERROR(LOOKUP(2^15,SEARCH(Settings!$I$14:$I$83,F33)/(Settings!$I$14:$I$83&lt;&gt;""),Settings!$J$14:$J$83),"Other"))))</f>
        <v/>
      </c>
      <c r="AJ33">
        <f>IF($B33="","",IF(G33="","Not rostered",IFERROR(INDEX(Settings!$C$14:$C$33,MATCH(G33,Settings!$B$14:$B$33,0)),IFERROR(LOOKUP(2^15,SEARCH(Settings!$I$14:$I$83,G33)/(Settings!$I$14:$I$83&lt;&gt;""),Settings!$J$14:$J$83),"Other"))))</f>
        <v/>
      </c>
      <c r="AK33">
        <f>IF($B33="","",IF(H33="","Not rostered",IFERROR(INDEX(Settings!$C$14:$C$33,MATCH(H33,Settings!$B$14:$B$33,0)),IFERROR(LOOKUP(2^15,SEARCH(Settings!$I$14:$I$83,H33)/(Settings!$I$14:$I$83&lt;&gt;""),Settings!$J$14:$J$83),"Other"))))</f>
        <v/>
      </c>
      <c r="AL33">
        <f>IF($B33="","",IF(I33="","Not rostered",IFERROR(INDEX(Settings!$C$14:$C$33,MATCH(I33,Settings!$B$14:$B$33,0)),IFERROR(LOOKUP(2^15,SEARCH(Settings!$I$14:$I$83,I33)/(Settings!$I$14:$I$83&lt;&gt;""),Settings!$J$14:$J$83),"Other"))))</f>
        <v/>
      </c>
      <c r="AM33">
        <f>IF($B33="","",IF(J33="","Not rostered",IFERROR(INDEX(Settings!$C$14:$C$33,MATCH(J33,Settings!$B$14:$B$33,0)),IFERROR(LOOKUP(2^15,SEARCH(Settings!$I$14:$I$83,J33)/(Settings!$I$14:$I$83&lt;&gt;""),Settings!$J$14:$J$83),"Other"))))</f>
        <v/>
      </c>
      <c r="AN33">
        <f>IF($B33="","",IF(K33="","Not rostered",IFERROR(INDEX(Settings!$C$14:$C$33,MATCH(K33,Settings!$B$14:$B$33,0)),IFERROR(LOOKUP(2^15,SEARCH(Settings!$I$14:$I$83,K33)/(Settings!$I$14:$I$83&lt;&gt;""),Settings!$J$14:$J$83),"Other"))))</f>
        <v/>
      </c>
      <c r="AO33">
        <f>IF($B33="","",IF(L33="","Not rostered",IFERROR(INDEX(Settings!$C$14:$C$33,MATCH(L33,Settings!$B$14:$B$33,0)),IFERROR(LOOKUP(2^15,SEARCH(Settings!$I$14:$I$83,L33)/(Settings!$I$14:$I$83&lt;&gt;""),Settings!$J$14:$J$83),"Other"))))</f>
        <v/>
      </c>
      <c r="AP33">
        <f>IF($B33="","",IF(M33="","Not rostered",IFERROR(INDEX(Settings!$C$14:$C$33,MATCH(M33,Settings!$B$14:$B$33,0)),IFERROR(LOOKUP(2^15,SEARCH(Settings!$I$14:$I$83,M33)/(Settings!$I$14:$I$83&lt;&gt;""),Settings!$J$14:$J$83),"Other"))))</f>
        <v/>
      </c>
      <c r="AQ33">
        <f>IF($B33="","",IF(N33="","Not rostered",IFERROR(INDEX(Settings!$C$14:$C$33,MATCH(N33,Settings!$B$14:$B$33,0)),IFERROR(LOOKUP(2^15,SEARCH(Settings!$I$14:$I$83,N33)/(Settings!$I$14:$I$83&lt;&gt;""),Settings!$J$14:$J$83),"Other"))))</f>
        <v/>
      </c>
      <c r="AR33">
        <f>IF($B33="","",IF(O33="","Not rostered",IFERROR(INDEX(Settings!$C$14:$C$33,MATCH(O33,Settings!$B$14:$B$33,0)),IFERROR(LOOKUP(2^15,SEARCH(Settings!$I$14:$I$83,O33)/(Settings!$I$14:$I$83&lt;&gt;""),Settings!$J$14:$J$83),"Other"))))</f>
        <v/>
      </c>
      <c r="AS33">
        <f>IF($B33="","",IF(P33="","Not rostered",IFERROR(INDEX(Settings!$C$14:$C$33,MATCH(P33,Settings!$B$14:$B$33,0)),IFERROR(LOOKUP(2^15,SEARCH(Settings!$I$14:$I$83,P33)/(Settings!$I$14:$I$83&lt;&gt;""),Settings!$J$14:$J$83),"Other"))))</f>
        <v/>
      </c>
      <c r="AT33">
        <f>IF($B33="","",IF(Q33="","Not rostered",IFERROR(INDEX(Settings!$C$14:$C$33,MATCH(Q33,Settings!$B$14:$B$33,0)),IFERROR(LOOKUP(2^15,SEARCH(Settings!$I$14:$I$83,Q33)/(Settings!$I$14:$I$83&lt;&gt;""),Settings!$J$14:$J$83),"Other"))))</f>
        <v/>
      </c>
      <c r="AU33">
        <f>IF($B33="","",IF(R33="","Not rostered",IFERROR(INDEX(Settings!$C$14:$C$33,MATCH(R33,Settings!$B$14:$B$33,0)),IFERROR(LOOKUP(2^15,SEARCH(Settings!$I$14:$I$83,R33)/(Settings!$I$14:$I$83&lt;&gt;""),Settings!$J$14:$J$83),"Other"))))</f>
        <v/>
      </c>
      <c r="AV33">
        <f>IF($B33="","",IF(S33="","Not rostered",IFERROR(INDEX(Settings!$C$14:$C$33,MATCH(S33,Settings!$B$14:$B$33,0)),IFERROR(LOOKUP(2^15,SEARCH(Settings!$I$14:$I$83,S33)/(Settings!$I$14:$I$83&lt;&gt;""),Settings!$J$14:$J$83),"Other"))))</f>
        <v/>
      </c>
      <c r="AW33">
        <f>IF($B33="","",IF(T33="","Not rostered",IFERROR(INDEX(Settings!$C$14:$C$33,MATCH(T33,Settings!$B$14:$B$33,0)),IFERROR(LOOKUP(2^15,SEARCH(Settings!$I$14:$I$83,T33)/(Settings!$I$14:$I$83&lt;&gt;""),Settings!$J$14:$J$83),"Other"))))</f>
        <v/>
      </c>
      <c r="AX33">
        <f>IF($B33="","",IF(U33="","Not rostered",IFERROR(INDEX(Settings!$C$14:$C$33,MATCH(U33,Settings!$B$14:$B$33,0)),IFERROR(LOOKUP(2^15,SEARCH(Settings!$I$14:$I$83,U33)/(Settings!$I$14:$I$83&lt;&gt;""),Settings!$J$14:$J$83),"Other"))))</f>
        <v/>
      </c>
      <c r="AY33">
        <f>IF($B33="","",IF(V33="","Not rostered",IFERROR(INDEX(Settings!$C$14:$C$33,MATCH(V33,Settings!$B$14:$B$33,0)),IFERROR(LOOKUP(2^15,SEARCH(Settings!$I$14:$I$83,V33)/(Settings!$I$14:$I$83&lt;&gt;""),Settings!$J$14:$J$83),"Other"))))</f>
        <v/>
      </c>
      <c r="AZ33">
        <f>IF($B33="","",IF(W33="","Not rostered",IFERROR(INDEX(Settings!$C$14:$C$33,MATCH(W33,Settings!$B$14:$B$33,0)),IFERROR(LOOKUP(2^15,SEARCH(Settings!$I$14:$I$83,W33)/(Settings!$I$14:$I$83&lt;&gt;""),Settings!$J$14:$J$83),"Other"))))</f>
        <v/>
      </c>
      <c r="BA33">
        <f>IF($B33="","",IF(X33="","Not rostered",IFERROR(INDEX(Settings!$C$14:$C$33,MATCH(X33,Settings!$B$14:$B$33,0)),IFERROR(LOOKUP(2^15,SEARCH(Settings!$I$14:$I$83,X33)/(Settings!$I$14:$I$83&lt;&gt;""),Settings!$J$14:$J$83),"Other"))))</f>
        <v/>
      </c>
      <c r="BB33">
        <f>IF($B33="","",IF(Y33="","Not rostered",IFERROR(INDEX(Settings!$C$14:$C$33,MATCH(Y33,Settings!$B$14:$B$33,0)),IFERROR(LOOKUP(2^15,SEARCH(Settings!$I$14:$I$83,Y33)/(Settings!$I$14:$I$83&lt;&gt;""),Settings!$J$14:$J$83),"Other"))))</f>
        <v/>
      </c>
      <c r="BC33">
        <f>IF($B33="","",IF(Z33="","Not rostered",IFERROR(INDEX(Settings!$C$14:$C$33,MATCH(Z33,Settings!$B$14:$B$33,0)),IFERROR(LOOKUP(2^15,SEARCH(Settings!$I$14:$I$83,Z33)/(Settings!$I$14:$I$83&lt;&gt;""),Settings!$J$14:$J$83),"Other"))))</f>
        <v/>
      </c>
      <c r="BD33">
        <f>IF($B33="","",IF(AA33="","Not rostered",IFERROR(INDEX(Settings!$C$14:$C$33,MATCH(AA33,Settings!$B$14:$B$33,0)),IFERROR(LOOKUP(2^15,SEARCH(Settings!$I$14:$I$83,AA33)/(Settings!$I$14:$I$83&lt;&gt;""),Settings!$J$14:$J$83),"Other"))))</f>
        <v/>
      </c>
      <c r="BE33">
        <f>IF($B33="","",IF(AB33="","Not rostered",IFERROR(INDEX(Settings!$C$14:$C$33,MATCH(AB33,Settings!$B$14:$B$33,0)),IFERROR(LOOKUP(2^15,SEARCH(Settings!$I$14:$I$83,AB33)/(Settings!$I$14:$I$83&lt;&gt;""),Settings!$J$14:$J$83),"Other"))))</f>
        <v/>
      </c>
      <c r="BF33">
        <f>IF($B33="","",IF(AC33="","Not rostered",IFERROR(INDEX(Settings!$C$14:$C$33,MATCH(AC33,Settings!$B$14:$B$33,0)),IFERROR(LOOKUP(2^15,SEARCH(Settings!$I$14:$I$83,AC33)/(Settings!$I$14:$I$83&lt;&gt;""),Settings!$J$14:$J$83),"Other"))))</f>
        <v/>
      </c>
      <c r="BG33">
        <f>IF($B33="","",IF(AD33="","Not rostered",IFERROR(INDEX(Settings!$C$14:$C$33,MATCH(AD33,Settings!$B$14:$B$33,0)),IFERROR(LOOKUP(2^15,SEARCH(Settings!$I$14:$I$83,AD33)/(Settings!$I$14:$I$83&lt;&gt;""),Settings!$J$14:$J$83),"Other"))))</f>
        <v/>
      </c>
      <c r="BH33">
        <f>IF($B33="","",IF(AE33="","Not rostered",IFERROR(INDEX(Settings!$C$14:$C$33,MATCH(AE33,Settings!$B$14:$B$33,0)),IFERROR(LOOKUP(2^15,SEARCH(Settings!$I$14:$I$83,AE33)/(Settings!$I$14:$I$83&lt;&gt;""),Settings!$J$14:$J$83),"Other"))))</f>
        <v/>
      </c>
      <c r="BI33">
        <f>IF($B33="","",IF(AF33="","Not rostered",IFERROR(INDEX(Settings!$C$14:$C$33,MATCH(AF33,Settings!$B$14:$B$33,0)),IFERROR(LOOKUP(2^15,SEARCH(Settings!$I$14:$I$83,AF33)/(Settings!$I$14:$I$83&lt;&gt;""),Settings!$J$14:$J$83),"Other"))))</f>
        <v/>
      </c>
      <c r="BJ33">
        <f>IF($B33="","",IF(AG33="","Not rostered",IFERROR(INDEX(Settings!$C$14:$C$33,MATCH(AG33,Settings!$B$14:$B$33,0)),IFERROR(LOOKUP(2^15,SEARCH(Settings!$I$14:$I$83,AG33)/(Settings!$I$14:$I$83&lt;&gt;""),Settings!$J$14:$J$83),"Other"))))</f>
        <v/>
      </c>
      <c r="BL33">
        <f>IF(OR($B33="",F33=""),"",IFERROR(INDEX(Settings!$D$14:$D$33,MATCH(F33,Settings!$B$14:$B$33,0))&amp;"",IFERROR(LOOKUP(2^15,SEARCH(Settings!$F$14:$F$43,F33)/(Settings!$F$14:$F$43&lt;&gt;""),Settings!$G$14:$G$43),"")))</f>
        <v/>
      </c>
      <c r="BM33">
        <f>IF(OR($B33="",G33=""),"",IFERROR(INDEX(Settings!$D$14:$D$33,MATCH(G33,Settings!$B$14:$B$33,0))&amp;"",IFERROR(LOOKUP(2^15,SEARCH(Settings!$F$14:$F$43,G33)/(Settings!$F$14:$F$43&lt;&gt;""),Settings!$G$14:$G$43),"")))</f>
        <v/>
      </c>
      <c r="BN33">
        <f>IF(OR($B33="",H33=""),"",IFERROR(INDEX(Settings!$D$14:$D$33,MATCH(H33,Settings!$B$14:$B$33,0))&amp;"",IFERROR(LOOKUP(2^15,SEARCH(Settings!$F$14:$F$43,H33)/(Settings!$F$14:$F$43&lt;&gt;""),Settings!$G$14:$G$43),"")))</f>
        <v/>
      </c>
      <c r="BO33">
        <f>IF(OR($B33="",I33=""),"",IFERROR(INDEX(Settings!$D$14:$D$33,MATCH(I33,Settings!$B$14:$B$33,0))&amp;"",IFERROR(LOOKUP(2^15,SEARCH(Settings!$F$14:$F$43,I33)/(Settings!$F$14:$F$43&lt;&gt;""),Settings!$G$14:$G$43),"")))</f>
        <v/>
      </c>
      <c r="BP33">
        <f>IF(OR($B33="",J33=""),"",IFERROR(INDEX(Settings!$D$14:$D$33,MATCH(J33,Settings!$B$14:$B$33,0))&amp;"",IFERROR(LOOKUP(2^15,SEARCH(Settings!$F$14:$F$43,J33)/(Settings!$F$14:$F$43&lt;&gt;""),Settings!$G$14:$G$43),"")))</f>
        <v/>
      </c>
      <c r="BQ33">
        <f>IF(OR($B33="",K33=""),"",IFERROR(INDEX(Settings!$D$14:$D$33,MATCH(K33,Settings!$B$14:$B$33,0))&amp;"",IFERROR(LOOKUP(2^15,SEARCH(Settings!$F$14:$F$43,K33)/(Settings!$F$14:$F$43&lt;&gt;""),Settings!$G$14:$G$43),"")))</f>
        <v/>
      </c>
      <c r="BR33">
        <f>IF(OR($B33="",L33=""),"",IFERROR(INDEX(Settings!$D$14:$D$33,MATCH(L33,Settings!$B$14:$B$33,0))&amp;"",IFERROR(LOOKUP(2^15,SEARCH(Settings!$F$14:$F$43,L33)/(Settings!$F$14:$F$43&lt;&gt;""),Settings!$G$14:$G$43),"")))</f>
        <v/>
      </c>
      <c r="BS33">
        <f>IF(OR($B33="",M33=""),"",IFERROR(INDEX(Settings!$D$14:$D$33,MATCH(M33,Settings!$B$14:$B$33,0))&amp;"",IFERROR(LOOKUP(2^15,SEARCH(Settings!$F$14:$F$43,M33)/(Settings!$F$14:$F$43&lt;&gt;""),Settings!$G$14:$G$43),"")))</f>
        <v/>
      </c>
      <c r="BT33">
        <f>IF(OR($B33="",N33=""),"",IFERROR(INDEX(Settings!$D$14:$D$33,MATCH(N33,Settings!$B$14:$B$33,0))&amp;"",IFERROR(LOOKUP(2^15,SEARCH(Settings!$F$14:$F$43,N33)/(Settings!$F$14:$F$43&lt;&gt;""),Settings!$G$14:$G$43),"")))</f>
        <v/>
      </c>
      <c r="BU33">
        <f>IF(OR($B33="",O33=""),"",IFERROR(INDEX(Settings!$D$14:$D$33,MATCH(O33,Settings!$B$14:$B$33,0))&amp;"",IFERROR(LOOKUP(2^15,SEARCH(Settings!$F$14:$F$43,O33)/(Settings!$F$14:$F$43&lt;&gt;""),Settings!$G$14:$G$43),"")))</f>
        <v/>
      </c>
      <c r="BV33">
        <f>IF(OR($B33="",P33=""),"",IFERROR(INDEX(Settings!$D$14:$D$33,MATCH(P33,Settings!$B$14:$B$33,0))&amp;"",IFERROR(LOOKUP(2^15,SEARCH(Settings!$F$14:$F$43,P33)/(Settings!$F$14:$F$43&lt;&gt;""),Settings!$G$14:$G$43),"")))</f>
        <v/>
      </c>
      <c r="BW33">
        <f>IF(OR($B33="",Q33=""),"",IFERROR(INDEX(Settings!$D$14:$D$33,MATCH(Q33,Settings!$B$14:$B$33,0))&amp;"",IFERROR(LOOKUP(2^15,SEARCH(Settings!$F$14:$F$43,Q33)/(Settings!$F$14:$F$43&lt;&gt;""),Settings!$G$14:$G$43),"")))</f>
        <v/>
      </c>
      <c r="BX33">
        <f>IF(OR($B33="",R33=""),"",IFERROR(INDEX(Settings!$D$14:$D$33,MATCH(R33,Settings!$B$14:$B$33,0))&amp;"",IFERROR(LOOKUP(2^15,SEARCH(Settings!$F$14:$F$43,R33)/(Settings!$F$14:$F$43&lt;&gt;""),Settings!$G$14:$G$43),"")))</f>
        <v/>
      </c>
      <c r="BY33">
        <f>IF(OR($B33="",S33=""),"",IFERROR(INDEX(Settings!$D$14:$D$33,MATCH(S33,Settings!$B$14:$B$33,0))&amp;"",IFERROR(LOOKUP(2^15,SEARCH(Settings!$F$14:$F$43,S33)/(Settings!$F$14:$F$43&lt;&gt;""),Settings!$G$14:$G$43),"")))</f>
        <v/>
      </c>
      <c r="BZ33">
        <f>IF(OR($B33="",T33=""),"",IFERROR(INDEX(Settings!$D$14:$D$33,MATCH(T33,Settings!$B$14:$B$33,0))&amp;"",IFERROR(LOOKUP(2^15,SEARCH(Settings!$F$14:$F$43,T33)/(Settings!$F$14:$F$43&lt;&gt;""),Settings!$G$14:$G$43),"")))</f>
        <v/>
      </c>
      <c r="CA33">
        <f>IF(OR($B33="",U33=""),"",IFERROR(INDEX(Settings!$D$14:$D$33,MATCH(U33,Settings!$B$14:$B$33,0))&amp;"",IFERROR(LOOKUP(2^15,SEARCH(Settings!$F$14:$F$43,U33)/(Settings!$F$14:$F$43&lt;&gt;""),Settings!$G$14:$G$43),"")))</f>
        <v/>
      </c>
      <c r="CB33">
        <f>IF(OR($B33="",V33=""),"",IFERROR(INDEX(Settings!$D$14:$D$33,MATCH(V33,Settings!$B$14:$B$33,0))&amp;"",IFERROR(LOOKUP(2^15,SEARCH(Settings!$F$14:$F$43,V33)/(Settings!$F$14:$F$43&lt;&gt;""),Settings!$G$14:$G$43),"")))</f>
        <v/>
      </c>
      <c r="CC33">
        <f>IF(OR($B33="",W33=""),"",IFERROR(INDEX(Settings!$D$14:$D$33,MATCH(W33,Settings!$B$14:$B$33,0))&amp;"",IFERROR(LOOKUP(2^15,SEARCH(Settings!$F$14:$F$43,W33)/(Settings!$F$14:$F$43&lt;&gt;""),Settings!$G$14:$G$43),"")))</f>
        <v/>
      </c>
      <c r="CD33">
        <f>IF(OR($B33="",X33=""),"",IFERROR(INDEX(Settings!$D$14:$D$33,MATCH(X33,Settings!$B$14:$B$33,0))&amp;"",IFERROR(LOOKUP(2^15,SEARCH(Settings!$F$14:$F$43,X33)/(Settings!$F$14:$F$43&lt;&gt;""),Settings!$G$14:$G$43),"")))</f>
        <v/>
      </c>
      <c r="CE33">
        <f>IF(OR($B33="",Y33=""),"",IFERROR(INDEX(Settings!$D$14:$D$33,MATCH(Y33,Settings!$B$14:$B$33,0))&amp;"",IFERROR(LOOKUP(2^15,SEARCH(Settings!$F$14:$F$43,Y33)/(Settings!$F$14:$F$43&lt;&gt;""),Settings!$G$14:$G$43),"")))</f>
        <v/>
      </c>
      <c r="CF33">
        <f>IF(OR($B33="",Z33=""),"",IFERROR(INDEX(Settings!$D$14:$D$33,MATCH(Z33,Settings!$B$14:$B$33,0))&amp;"",IFERROR(LOOKUP(2^15,SEARCH(Settings!$F$14:$F$43,Z33)/(Settings!$F$14:$F$43&lt;&gt;""),Settings!$G$14:$G$43),"")))</f>
        <v/>
      </c>
      <c r="CG33">
        <f>IF(OR($B33="",AA33=""),"",IFERROR(INDEX(Settings!$D$14:$D$33,MATCH(AA33,Settings!$B$14:$B$33,0))&amp;"",IFERROR(LOOKUP(2^15,SEARCH(Settings!$F$14:$F$43,AA33)/(Settings!$F$14:$F$43&lt;&gt;""),Settings!$G$14:$G$43),"")))</f>
        <v/>
      </c>
      <c r="CH33">
        <f>IF(OR($B33="",AB33=""),"",IFERROR(INDEX(Settings!$D$14:$D$33,MATCH(AB33,Settings!$B$14:$B$33,0))&amp;"",IFERROR(LOOKUP(2^15,SEARCH(Settings!$F$14:$F$43,AB33)/(Settings!$F$14:$F$43&lt;&gt;""),Settings!$G$14:$G$43),"")))</f>
        <v/>
      </c>
      <c r="CI33">
        <f>IF(OR($B33="",AC33=""),"",IFERROR(INDEX(Settings!$D$14:$D$33,MATCH(AC33,Settings!$B$14:$B$33,0))&amp;"",IFERROR(LOOKUP(2^15,SEARCH(Settings!$F$14:$F$43,AC33)/(Settings!$F$14:$F$43&lt;&gt;""),Settings!$G$14:$G$43),"")))</f>
        <v/>
      </c>
      <c r="CJ33">
        <f>IF(OR($B33="",AD33=""),"",IFERROR(INDEX(Settings!$D$14:$D$33,MATCH(AD33,Settings!$B$14:$B$33,0))&amp;"",IFERROR(LOOKUP(2^15,SEARCH(Settings!$F$14:$F$43,AD33)/(Settings!$F$14:$F$43&lt;&gt;""),Settings!$G$14:$G$43),"")))</f>
        <v/>
      </c>
      <c r="CK33">
        <f>IF(OR($B33="",AE33=""),"",IFERROR(INDEX(Settings!$D$14:$D$33,MATCH(AE33,Settings!$B$14:$B$33,0))&amp;"",IFERROR(LOOKUP(2^15,SEARCH(Settings!$F$14:$F$43,AE33)/(Settings!$F$14:$F$43&lt;&gt;""),Settings!$G$14:$G$43),"")))</f>
        <v/>
      </c>
      <c r="CL33">
        <f>IF(OR($B33="",AF33=""),"",IFERROR(INDEX(Settings!$D$14:$D$33,MATCH(AF33,Settings!$B$14:$B$33,0))&amp;"",IFERROR(LOOKUP(2^15,SEARCH(Settings!$F$14:$F$43,AF33)/(Settings!$F$14:$F$43&lt;&gt;""),Settings!$G$14:$G$43),"")))</f>
        <v/>
      </c>
      <c r="CM33">
        <f>IF(OR($B33="",AG33=""),"",IFERROR(INDEX(Settings!$D$14:$D$33,MATCH(AG33,Settings!$B$14:$B$33,0))&amp;"",IFERROR(LOOKUP(2^15,SEARCH(Settings!$F$14:$F$43,AG33)/(Settings!$F$14:$F$43&lt;&gt;""),Settings!$G$14:$G$43),"")))</f>
        <v/>
      </c>
    </row>
    <row r="34">
      <c r="A34" t="n">
        <v>32</v>
      </c>
      <c r="B34">
        <f>IFERROR(INDEX(Index!$A$2:$A$202,MATCH(A34,Index!$E$2:$E$202,0)),"")</f>
        <v/>
      </c>
      <c r="D34">
        <f>IF($B34="","",IFERROR(MATCH("Travel*",AI34:BJ34,0),""))</f>
        <v/>
      </c>
      <c r="F34">
        <f>IF(OR($B34="",NOT(ISNUMBER(Settings!$C$9))),"",TRIM(SUBSTITUTE(SUBSTITUTE(INDEX('INPUT - Roster'!$S$1:$SV$206,$B34,Settings!$C$9+0)&amp;"",CHAR(10)," "),CHAR(160)," ")))</f>
        <v/>
      </c>
      <c r="G34">
        <f>IF(OR($B34="",NOT(ISNUMBER(Settings!$C$9))),"",TRIM(SUBSTITUTE(SUBSTITUTE(INDEX('INPUT - Roster'!$S$1:$SV$206,$B34,Settings!$C$9+1)&amp;"",CHAR(10)," "),CHAR(160)," ")))</f>
        <v/>
      </c>
      <c r="H34">
        <f>IF(OR($B34="",NOT(ISNUMBER(Settings!$C$9))),"",TRIM(SUBSTITUTE(SUBSTITUTE(INDEX('INPUT - Roster'!$S$1:$SV$206,$B34,Settings!$C$9+2)&amp;"",CHAR(10)," "),CHAR(160)," ")))</f>
        <v/>
      </c>
      <c r="I34">
        <f>IF(OR($B34="",NOT(ISNUMBER(Settings!$C$9))),"",TRIM(SUBSTITUTE(SUBSTITUTE(INDEX('INPUT - Roster'!$S$1:$SV$206,$B34,Settings!$C$9+3)&amp;"",CHAR(10)," "),CHAR(160)," ")))</f>
        <v/>
      </c>
      <c r="J34">
        <f>IF(OR($B34="",NOT(ISNUMBER(Settings!$C$9))),"",TRIM(SUBSTITUTE(SUBSTITUTE(INDEX('INPUT - Roster'!$S$1:$SV$206,$B34,Settings!$C$9+4)&amp;"",CHAR(10)," "),CHAR(160)," ")))</f>
        <v/>
      </c>
      <c r="K34">
        <f>IF(OR($B34="",NOT(ISNUMBER(Settings!$C$9))),"",TRIM(SUBSTITUTE(SUBSTITUTE(INDEX('INPUT - Roster'!$S$1:$SV$206,$B34,Settings!$C$9+5)&amp;"",CHAR(10)," "),CHAR(160)," ")))</f>
        <v/>
      </c>
      <c r="L34">
        <f>IF(OR($B34="",NOT(ISNUMBER(Settings!$C$9))),"",TRIM(SUBSTITUTE(SUBSTITUTE(INDEX('INPUT - Roster'!$S$1:$SV$206,$B34,Settings!$C$9+6)&amp;"",CHAR(10)," "),CHAR(160)," ")))</f>
        <v/>
      </c>
      <c r="M34">
        <f>IF(OR($B34="",NOT(ISNUMBER(Settings!$C$9))),"",TRIM(SUBSTITUTE(SUBSTITUTE(INDEX('INPUT - Roster'!$S$1:$SV$206,$B34,Settings!$C$9+7)&amp;"",CHAR(10)," "),CHAR(160)," ")))</f>
        <v/>
      </c>
      <c r="N34">
        <f>IF(OR($B34="",NOT(ISNUMBER(Settings!$C$9))),"",TRIM(SUBSTITUTE(SUBSTITUTE(INDEX('INPUT - Roster'!$S$1:$SV$206,$B34,Settings!$C$9+8)&amp;"",CHAR(10)," "),CHAR(160)," ")))</f>
        <v/>
      </c>
      <c r="O34">
        <f>IF(OR($B34="",NOT(ISNUMBER(Settings!$C$9))),"",TRIM(SUBSTITUTE(SUBSTITUTE(INDEX('INPUT - Roster'!$S$1:$SV$206,$B34,Settings!$C$9+9)&amp;"",CHAR(10)," "),CHAR(160)," ")))</f>
        <v/>
      </c>
      <c r="P34">
        <f>IF(OR($B34="",NOT(ISNUMBER(Settings!$C$9))),"",TRIM(SUBSTITUTE(SUBSTITUTE(INDEX('INPUT - Roster'!$S$1:$SV$206,$B34,Settings!$C$9+10)&amp;"",CHAR(10)," "),CHAR(160)," ")))</f>
        <v/>
      </c>
      <c r="Q34">
        <f>IF(OR($B34="",NOT(ISNUMBER(Settings!$C$9))),"",TRIM(SUBSTITUTE(SUBSTITUTE(INDEX('INPUT - Roster'!$S$1:$SV$206,$B34,Settings!$C$9+11)&amp;"",CHAR(10)," "),CHAR(160)," ")))</f>
        <v/>
      </c>
      <c r="R34">
        <f>IF(OR($B34="",NOT(ISNUMBER(Settings!$C$9))),"",TRIM(SUBSTITUTE(SUBSTITUTE(INDEX('INPUT - Roster'!$S$1:$SV$206,$B34,Settings!$C$9+12)&amp;"",CHAR(10)," "),CHAR(160)," ")))</f>
        <v/>
      </c>
      <c r="S34">
        <f>IF(OR($B34="",NOT(ISNUMBER(Settings!$C$9))),"",TRIM(SUBSTITUTE(SUBSTITUTE(INDEX('INPUT - Roster'!$S$1:$SV$206,$B34,Settings!$C$9+13)&amp;"",CHAR(10)," "),CHAR(160)," ")))</f>
        <v/>
      </c>
      <c r="T34">
        <f>IF(OR($B34="",NOT(ISNUMBER(Settings!$C$9))),"",TRIM(SUBSTITUTE(SUBSTITUTE(INDEX('INPUT - Roster'!$S$1:$SV$206,$B34,Settings!$C$9+14)&amp;"",CHAR(10)," "),CHAR(160)," ")))</f>
        <v/>
      </c>
      <c r="U34">
        <f>IF(OR($B34="",NOT(ISNUMBER(Settings!$C$9))),"",TRIM(SUBSTITUTE(SUBSTITUTE(INDEX('INPUT - Roster'!$S$1:$SV$206,$B34,Settings!$C$9+15)&amp;"",CHAR(10)," "),CHAR(160)," ")))</f>
        <v/>
      </c>
      <c r="V34">
        <f>IF(OR($B34="",NOT(ISNUMBER(Settings!$C$9))),"",TRIM(SUBSTITUTE(SUBSTITUTE(INDEX('INPUT - Roster'!$S$1:$SV$206,$B34,Settings!$C$9+16)&amp;"",CHAR(10)," "),CHAR(160)," ")))</f>
        <v/>
      </c>
      <c r="W34">
        <f>IF(OR($B34="",NOT(ISNUMBER(Settings!$C$9))),"",TRIM(SUBSTITUTE(SUBSTITUTE(INDEX('INPUT - Roster'!$S$1:$SV$206,$B34,Settings!$C$9+17)&amp;"",CHAR(10)," "),CHAR(160)," ")))</f>
        <v/>
      </c>
      <c r="X34">
        <f>IF(OR($B34="",NOT(ISNUMBER(Settings!$C$9))),"",TRIM(SUBSTITUTE(SUBSTITUTE(INDEX('INPUT - Roster'!$S$1:$SV$206,$B34,Settings!$C$9+18)&amp;"",CHAR(10)," "),CHAR(160)," ")))</f>
        <v/>
      </c>
      <c r="Y34">
        <f>IF(OR($B34="",NOT(ISNUMBER(Settings!$C$9))),"",TRIM(SUBSTITUTE(SUBSTITUTE(INDEX('INPUT - Roster'!$S$1:$SV$206,$B34,Settings!$C$9+19)&amp;"",CHAR(10)," "),CHAR(160)," ")))</f>
        <v/>
      </c>
      <c r="Z34">
        <f>IF(OR($B34="",NOT(ISNUMBER(Settings!$C$9))),"",TRIM(SUBSTITUTE(SUBSTITUTE(INDEX('INPUT - Roster'!$S$1:$SV$206,$B34,Settings!$C$9+20)&amp;"",CHAR(10)," "),CHAR(160)," ")))</f>
        <v/>
      </c>
      <c r="AA34">
        <f>IF(OR($B34="",NOT(ISNUMBER(Settings!$C$9))),"",TRIM(SUBSTITUTE(SUBSTITUTE(INDEX('INPUT - Roster'!$S$1:$SV$206,$B34,Settings!$C$9+21)&amp;"",CHAR(10)," "),CHAR(160)," ")))</f>
        <v/>
      </c>
      <c r="AB34">
        <f>IF(OR($B34="",NOT(ISNUMBER(Settings!$C$9))),"",TRIM(SUBSTITUTE(SUBSTITUTE(INDEX('INPUT - Roster'!$S$1:$SV$206,$B34,Settings!$C$9+22)&amp;"",CHAR(10)," "),CHAR(160)," ")))</f>
        <v/>
      </c>
      <c r="AC34">
        <f>IF(OR($B34="",NOT(ISNUMBER(Settings!$C$9))),"",TRIM(SUBSTITUTE(SUBSTITUTE(INDEX('INPUT - Roster'!$S$1:$SV$206,$B34,Settings!$C$9+23)&amp;"",CHAR(10)," "),CHAR(160)," ")))</f>
        <v/>
      </c>
      <c r="AD34">
        <f>IF(OR($B34="",NOT(ISNUMBER(Settings!$C$9))),"",TRIM(SUBSTITUTE(SUBSTITUTE(INDEX('INPUT - Roster'!$S$1:$SV$206,$B34,Settings!$C$9+24)&amp;"",CHAR(10)," "),CHAR(160)," ")))</f>
        <v/>
      </c>
      <c r="AE34">
        <f>IF(OR($B34="",NOT(ISNUMBER(Settings!$C$9))),"",TRIM(SUBSTITUTE(SUBSTITUTE(INDEX('INPUT - Roster'!$S$1:$SV$206,$B34,Settings!$C$9+25)&amp;"",CHAR(10)," "),CHAR(160)," ")))</f>
        <v/>
      </c>
      <c r="AF34">
        <f>IF(OR($B34="",NOT(ISNUMBER(Settings!$C$9))),"",TRIM(SUBSTITUTE(SUBSTITUTE(INDEX('INPUT - Roster'!$S$1:$SV$206,$B34,Settings!$C$9+26)&amp;"",CHAR(10)," "),CHAR(160)," ")))</f>
        <v/>
      </c>
      <c r="AG34">
        <f>IF(OR($B34="",NOT(ISNUMBER(Settings!$C$9))),"",TRIM(SUBSTITUTE(SUBSTITUTE(INDEX('INPUT - Roster'!$S$1:$SV$206,$B34,Settings!$C$9+27)&amp;"",CHAR(10)," "),CHAR(160)," ")))</f>
        <v/>
      </c>
      <c r="AI34">
        <f>IF($B34="","",IF(F34="","Not rostered",IFERROR(INDEX(Settings!$C$14:$C$33,MATCH(F34,Settings!$B$14:$B$33,0)),IFERROR(LOOKUP(2^15,SEARCH(Settings!$I$14:$I$83,F34)/(Settings!$I$14:$I$83&lt;&gt;""),Settings!$J$14:$J$83),"Other"))))</f>
        <v/>
      </c>
      <c r="AJ34">
        <f>IF($B34="","",IF(G34="","Not rostered",IFERROR(INDEX(Settings!$C$14:$C$33,MATCH(G34,Settings!$B$14:$B$33,0)),IFERROR(LOOKUP(2^15,SEARCH(Settings!$I$14:$I$83,G34)/(Settings!$I$14:$I$83&lt;&gt;""),Settings!$J$14:$J$83),"Other"))))</f>
        <v/>
      </c>
      <c r="AK34">
        <f>IF($B34="","",IF(H34="","Not rostered",IFERROR(INDEX(Settings!$C$14:$C$33,MATCH(H34,Settings!$B$14:$B$33,0)),IFERROR(LOOKUP(2^15,SEARCH(Settings!$I$14:$I$83,H34)/(Settings!$I$14:$I$83&lt;&gt;""),Settings!$J$14:$J$83),"Other"))))</f>
        <v/>
      </c>
      <c r="AL34">
        <f>IF($B34="","",IF(I34="","Not rostered",IFERROR(INDEX(Settings!$C$14:$C$33,MATCH(I34,Settings!$B$14:$B$33,0)),IFERROR(LOOKUP(2^15,SEARCH(Settings!$I$14:$I$83,I34)/(Settings!$I$14:$I$83&lt;&gt;""),Settings!$J$14:$J$83),"Other"))))</f>
        <v/>
      </c>
      <c r="AM34">
        <f>IF($B34="","",IF(J34="","Not rostered",IFERROR(INDEX(Settings!$C$14:$C$33,MATCH(J34,Settings!$B$14:$B$33,0)),IFERROR(LOOKUP(2^15,SEARCH(Settings!$I$14:$I$83,J34)/(Settings!$I$14:$I$83&lt;&gt;""),Settings!$J$14:$J$83),"Other"))))</f>
        <v/>
      </c>
      <c r="AN34">
        <f>IF($B34="","",IF(K34="","Not rostered",IFERROR(INDEX(Settings!$C$14:$C$33,MATCH(K34,Settings!$B$14:$B$33,0)),IFERROR(LOOKUP(2^15,SEARCH(Settings!$I$14:$I$83,K34)/(Settings!$I$14:$I$83&lt;&gt;""),Settings!$J$14:$J$83),"Other"))))</f>
        <v/>
      </c>
      <c r="AO34">
        <f>IF($B34="","",IF(L34="","Not rostered",IFERROR(INDEX(Settings!$C$14:$C$33,MATCH(L34,Settings!$B$14:$B$33,0)),IFERROR(LOOKUP(2^15,SEARCH(Settings!$I$14:$I$83,L34)/(Settings!$I$14:$I$83&lt;&gt;""),Settings!$J$14:$J$83),"Other"))))</f>
        <v/>
      </c>
      <c r="AP34">
        <f>IF($B34="","",IF(M34="","Not rostered",IFERROR(INDEX(Settings!$C$14:$C$33,MATCH(M34,Settings!$B$14:$B$33,0)),IFERROR(LOOKUP(2^15,SEARCH(Settings!$I$14:$I$83,M34)/(Settings!$I$14:$I$83&lt;&gt;""),Settings!$J$14:$J$83),"Other"))))</f>
        <v/>
      </c>
      <c r="AQ34">
        <f>IF($B34="","",IF(N34="","Not rostered",IFERROR(INDEX(Settings!$C$14:$C$33,MATCH(N34,Settings!$B$14:$B$33,0)),IFERROR(LOOKUP(2^15,SEARCH(Settings!$I$14:$I$83,N34)/(Settings!$I$14:$I$83&lt;&gt;""),Settings!$J$14:$J$83),"Other"))))</f>
        <v/>
      </c>
      <c r="AR34">
        <f>IF($B34="","",IF(O34="","Not rostered",IFERROR(INDEX(Settings!$C$14:$C$33,MATCH(O34,Settings!$B$14:$B$33,0)),IFERROR(LOOKUP(2^15,SEARCH(Settings!$I$14:$I$83,O34)/(Settings!$I$14:$I$83&lt;&gt;""),Settings!$J$14:$J$83),"Other"))))</f>
        <v/>
      </c>
      <c r="AS34">
        <f>IF($B34="","",IF(P34="","Not rostered",IFERROR(INDEX(Settings!$C$14:$C$33,MATCH(P34,Settings!$B$14:$B$33,0)),IFERROR(LOOKUP(2^15,SEARCH(Settings!$I$14:$I$83,P34)/(Settings!$I$14:$I$83&lt;&gt;""),Settings!$J$14:$J$83),"Other"))))</f>
        <v/>
      </c>
      <c r="AT34">
        <f>IF($B34="","",IF(Q34="","Not rostered",IFERROR(INDEX(Settings!$C$14:$C$33,MATCH(Q34,Settings!$B$14:$B$33,0)),IFERROR(LOOKUP(2^15,SEARCH(Settings!$I$14:$I$83,Q34)/(Settings!$I$14:$I$83&lt;&gt;""),Settings!$J$14:$J$83),"Other"))))</f>
        <v/>
      </c>
      <c r="AU34">
        <f>IF($B34="","",IF(R34="","Not rostered",IFERROR(INDEX(Settings!$C$14:$C$33,MATCH(R34,Settings!$B$14:$B$33,0)),IFERROR(LOOKUP(2^15,SEARCH(Settings!$I$14:$I$83,R34)/(Settings!$I$14:$I$83&lt;&gt;""),Settings!$J$14:$J$83),"Other"))))</f>
        <v/>
      </c>
      <c r="AV34">
        <f>IF($B34="","",IF(S34="","Not rostered",IFERROR(INDEX(Settings!$C$14:$C$33,MATCH(S34,Settings!$B$14:$B$33,0)),IFERROR(LOOKUP(2^15,SEARCH(Settings!$I$14:$I$83,S34)/(Settings!$I$14:$I$83&lt;&gt;""),Settings!$J$14:$J$83),"Other"))))</f>
        <v/>
      </c>
      <c r="AW34">
        <f>IF($B34="","",IF(T34="","Not rostered",IFERROR(INDEX(Settings!$C$14:$C$33,MATCH(T34,Settings!$B$14:$B$33,0)),IFERROR(LOOKUP(2^15,SEARCH(Settings!$I$14:$I$83,T34)/(Settings!$I$14:$I$83&lt;&gt;""),Settings!$J$14:$J$83),"Other"))))</f>
        <v/>
      </c>
      <c r="AX34">
        <f>IF($B34="","",IF(U34="","Not rostered",IFERROR(INDEX(Settings!$C$14:$C$33,MATCH(U34,Settings!$B$14:$B$33,0)),IFERROR(LOOKUP(2^15,SEARCH(Settings!$I$14:$I$83,U34)/(Settings!$I$14:$I$83&lt;&gt;""),Settings!$J$14:$J$83),"Other"))))</f>
        <v/>
      </c>
      <c r="AY34">
        <f>IF($B34="","",IF(V34="","Not rostered",IFERROR(INDEX(Settings!$C$14:$C$33,MATCH(V34,Settings!$B$14:$B$33,0)),IFERROR(LOOKUP(2^15,SEARCH(Settings!$I$14:$I$83,V34)/(Settings!$I$14:$I$83&lt;&gt;""),Settings!$J$14:$J$83),"Other"))))</f>
        <v/>
      </c>
      <c r="AZ34">
        <f>IF($B34="","",IF(W34="","Not rostered",IFERROR(INDEX(Settings!$C$14:$C$33,MATCH(W34,Settings!$B$14:$B$33,0)),IFERROR(LOOKUP(2^15,SEARCH(Settings!$I$14:$I$83,W34)/(Settings!$I$14:$I$83&lt;&gt;""),Settings!$J$14:$J$83),"Other"))))</f>
        <v/>
      </c>
      <c r="BA34">
        <f>IF($B34="","",IF(X34="","Not rostered",IFERROR(INDEX(Settings!$C$14:$C$33,MATCH(X34,Settings!$B$14:$B$33,0)),IFERROR(LOOKUP(2^15,SEARCH(Settings!$I$14:$I$83,X34)/(Settings!$I$14:$I$83&lt;&gt;""),Settings!$J$14:$J$83),"Other"))))</f>
        <v/>
      </c>
      <c r="BB34">
        <f>IF($B34="","",IF(Y34="","Not rostered",IFERROR(INDEX(Settings!$C$14:$C$33,MATCH(Y34,Settings!$B$14:$B$33,0)),IFERROR(LOOKUP(2^15,SEARCH(Settings!$I$14:$I$83,Y34)/(Settings!$I$14:$I$83&lt;&gt;""),Settings!$J$14:$J$83),"Other"))))</f>
        <v/>
      </c>
      <c r="BC34">
        <f>IF($B34="","",IF(Z34="","Not rostered",IFERROR(INDEX(Settings!$C$14:$C$33,MATCH(Z34,Settings!$B$14:$B$33,0)),IFERROR(LOOKUP(2^15,SEARCH(Settings!$I$14:$I$83,Z34)/(Settings!$I$14:$I$83&lt;&gt;""),Settings!$J$14:$J$83),"Other"))))</f>
        <v/>
      </c>
      <c r="BD34">
        <f>IF($B34="","",IF(AA34="","Not rostered",IFERROR(INDEX(Settings!$C$14:$C$33,MATCH(AA34,Settings!$B$14:$B$33,0)),IFERROR(LOOKUP(2^15,SEARCH(Settings!$I$14:$I$83,AA34)/(Settings!$I$14:$I$83&lt;&gt;""),Settings!$J$14:$J$83),"Other"))))</f>
        <v/>
      </c>
      <c r="BE34">
        <f>IF($B34="","",IF(AB34="","Not rostered",IFERROR(INDEX(Settings!$C$14:$C$33,MATCH(AB34,Settings!$B$14:$B$33,0)),IFERROR(LOOKUP(2^15,SEARCH(Settings!$I$14:$I$83,AB34)/(Settings!$I$14:$I$83&lt;&gt;""),Settings!$J$14:$J$83),"Other"))))</f>
        <v/>
      </c>
      <c r="BF34">
        <f>IF($B34="","",IF(AC34="","Not rostered",IFERROR(INDEX(Settings!$C$14:$C$33,MATCH(AC34,Settings!$B$14:$B$33,0)),IFERROR(LOOKUP(2^15,SEARCH(Settings!$I$14:$I$83,AC34)/(Settings!$I$14:$I$83&lt;&gt;""),Settings!$J$14:$J$83),"Other"))))</f>
        <v/>
      </c>
      <c r="BG34">
        <f>IF($B34="","",IF(AD34="","Not rostered",IFERROR(INDEX(Settings!$C$14:$C$33,MATCH(AD34,Settings!$B$14:$B$33,0)),IFERROR(LOOKUP(2^15,SEARCH(Settings!$I$14:$I$83,AD34)/(Settings!$I$14:$I$83&lt;&gt;""),Settings!$J$14:$J$83),"Other"))))</f>
        <v/>
      </c>
      <c r="BH34">
        <f>IF($B34="","",IF(AE34="","Not rostered",IFERROR(INDEX(Settings!$C$14:$C$33,MATCH(AE34,Settings!$B$14:$B$33,0)),IFERROR(LOOKUP(2^15,SEARCH(Settings!$I$14:$I$83,AE34)/(Settings!$I$14:$I$83&lt;&gt;""),Settings!$J$14:$J$83),"Other"))))</f>
        <v/>
      </c>
      <c r="BI34">
        <f>IF($B34="","",IF(AF34="","Not rostered",IFERROR(INDEX(Settings!$C$14:$C$33,MATCH(AF34,Settings!$B$14:$B$33,0)),IFERROR(LOOKUP(2^15,SEARCH(Settings!$I$14:$I$83,AF34)/(Settings!$I$14:$I$83&lt;&gt;""),Settings!$J$14:$J$83),"Other"))))</f>
        <v/>
      </c>
      <c r="BJ34">
        <f>IF($B34="","",IF(AG34="","Not rostered",IFERROR(INDEX(Settings!$C$14:$C$33,MATCH(AG34,Settings!$B$14:$B$33,0)),IFERROR(LOOKUP(2^15,SEARCH(Settings!$I$14:$I$83,AG34)/(Settings!$I$14:$I$83&lt;&gt;""),Settings!$J$14:$J$83),"Other"))))</f>
        <v/>
      </c>
      <c r="BL34">
        <f>IF(OR($B34="",F34=""),"",IFERROR(INDEX(Settings!$D$14:$D$33,MATCH(F34,Settings!$B$14:$B$33,0))&amp;"",IFERROR(LOOKUP(2^15,SEARCH(Settings!$F$14:$F$43,F34)/(Settings!$F$14:$F$43&lt;&gt;""),Settings!$G$14:$G$43),"")))</f>
        <v/>
      </c>
      <c r="BM34">
        <f>IF(OR($B34="",G34=""),"",IFERROR(INDEX(Settings!$D$14:$D$33,MATCH(G34,Settings!$B$14:$B$33,0))&amp;"",IFERROR(LOOKUP(2^15,SEARCH(Settings!$F$14:$F$43,G34)/(Settings!$F$14:$F$43&lt;&gt;""),Settings!$G$14:$G$43),"")))</f>
        <v/>
      </c>
      <c r="BN34">
        <f>IF(OR($B34="",H34=""),"",IFERROR(INDEX(Settings!$D$14:$D$33,MATCH(H34,Settings!$B$14:$B$33,0))&amp;"",IFERROR(LOOKUP(2^15,SEARCH(Settings!$F$14:$F$43,H34)/(Settings!$F$14:$F$43&lt;&gt;""),Settings!$G$14:$G$43),"")))</f>
        <v/>
      </c>
      <c r="BO34">
        <f>IF(OR($B34="",I34=""),"",IFERROR(INDEX(Settings!$D$14:$D$33,MATCH(I34,Settings!$B$14:$B$33,0))&amp;"",IFERROR(LOOKUP(2^15,SEARCH(Settings!$F$14:$F$43,I34)/(Settings!$F$14:$F$43&lt;&gt;""),Settings!$G$14:$G$43),"")))</f>
        <v/>
      </c>
      <c r="BP34">
        <f>IF(OR($B34="",J34=""),"",IFERROR(INDEX(Settings!$D$14:$D$33,MATCH(J34,Settings!$B$14:$B$33,0))&amp;"",IFERROR(LOOKUP(2^15,SEARCH(Settings!$F$14:$F$43,J34)/(Settings!$F$14:$F$43&lt;&gt;""),Settings!$G$14:$G$43),"")))</f>
        <v/>
      </c>
      <c r="BQ34">
        <f>IF(OR($B34="",K34=""),"",IFERROR(INDEX(Settings!$D$14:$D$33,MATCH(K34,Settings!$B$14:$B$33,0))&amp;"",IFERROR(LOOKUP(2^15,SEARCH(Settings!$F$14:$F$43,K34)/(Settings!$F$14:$F$43&lt;&gt;""),Settings!$G$14:$G$43),"")))</f>
        <v/>
      </c>
      <c r="BR34">
        <f>IF(OR($B34="",L34=""),"",IFERROR(INDEX(Settings!$D$14:$D$33,MATCH(L34,Settings!$B$14:$B$33,0))&amp;"",IFERROR(LOOKUP(2^15,SEARCH(Settings!$F$14:$F$43,L34)/(Settings!$F$14:$F$43&lt;&gt;""),Settings!$G$14:$G$43),"")))</f>
        <v/>
      </c>
      <c r="BS34">
        <f>IF(OR($B34="",M34=""),"",IFERROR(INDEX(Settings!$D$14:$D$33,MATCH(M34,Settings!$B$14:$B$33,0))&amp;"",IFERROR(LOOKUP(2^15,SEARCH(Settings!$F$14:$F$43,M34)/(Settings!$F$14:$F$43&lt;&gt;""),Settings!$G$14:$G$43),"")))</f>
        <v/>
      </c>
      <c r="BT34">
        <f>IF(OR($B34="",N34=""),"",IFERROR(INDEX(Settings!$D$14:$D$33,MATCH(N34,Settings!$B$14:$B$33,0))&amp;"",IFERROR(LOOKUP(2^15,SEARCH(Settings!$F$14:$F$43,N34)/(Settings!$F$14:$F$43&lt;&gt;""),Settings!$G$14:$G$43),"")))</f>
        <v/>
      </c>
      <c r="BU34">
        <f>IF(OR($B34="",O34=""),"",IFERROR(INDEX(Settings!$D$14:$D$33,MATCH(O34,Settings!$B$14:$B$33,0))&amp;"",IFERROR(LOOKUP(2^15,SEARCH(Settings!$F$14:$F$43,O34)/(Settings!$F$14:$F$43&lt;&gt;""),Settings!$G$14:$G$43),"")))</f>
        <v/>
      </c>
      <c r="BV34">
        <f>IF(OR($B34="",P34=""),"",IFERROR(INDEX(Settings!$D$14:$D$33,MATCH(P34,Settings!$B$14:$B$33,0))&amp;"",IFERROR(LOOKUP(2^15,SEARCH(Settings!$F$14:$F$43,P34)/(Settings!$F$14:$F$43&lt;&gt;""),Settings!$G$14:$G$43),"")))</f>
        <v/>
      </c>
      <c r="BW34">
        <f>IF(OR($B34="",Q34=""),"",IFERROR(INDEX(Settings!$D$14:$D$33,MATCH(Q34,Settings!$B$14:$B$33,0))&amp;"",IFERROR(LOOKUP(2^15,SEARCH(Settings!$F$14:$F$43,Q34)/(Settings!$F$14:$F$43&lt;&gt;""),Settings!$G$14:$G$43),"")))</f>
        <v/>
      </c>
      <c r="BX34">
        <f>IF(OR($B34="",R34=""),"",IFERROR(INDEX(Settings!$D$14:$D$33,MATCH(R34,Settings!$B$14:$B$33,0))&amp;"",IFERROR(LOOKUP(2^15,SEARCH(Settings!$F$14:$F$43,R34)/(Settings!$F$14:$F$43&lt;&gt;""),Settings!$G$14:$G$43),"")))</f>
        <v/>
      </c>
      <c r="BY34">
        <f>IF(OR($B34="",S34=""),"",IFERROR(INDEX(Settings!$D$14:$D$33,MATCH(S34,Settings!$B$14:$B$33,0))&amp;"",IFERROR(LOOKUP(2^15,SEARCH(Settings!$F$14:$F$43,S34)/(Settings!$F$14:$F$43&lt;&gt;""),Settings!$G$14:$G$43),"")))</f>
        <v/>
      </c>
      <c r="BZ34">
        <f>IF(OR($B34="",T34=""),"",IFERROR(INDEX(Settings!$D$14:$D$33,MATCH(T34,Settings!$B$14:$B$33,0))&amp;"",IFERROR(LOOKUP(2^15,SEARCH(Settings!$F$14:$F$43,T34)/(Settings!$F$14:$F$43&lt;&gt;""),Settings!$G$14:$G$43),"")))</f>
        <v/>
      </c>
      <c r="CA34">
        <f>IF(OR($B34="",U34=""),"",IFERROR(INDEX(Settings!$D$14:$D$33,MATCH(U34,Settings!$B$14:$B$33,0))&amp;"",IFERROR(LOOKUP(2^15,SEARCH(Settings!$F$14:$F$43,U34)/(Settings!$F$14:$F$43&lt;&gt;""),Settings!$G$14:$G$43),"")))</f>
        <v/>
      </c>
      <c r="CB34">
        <f>IF(OR($B34="",V34=""),"",IFERROR(INDEX(Settings!$D$14:$D$33,MATCH(V34,Settings!$B$14:$B$33,0))&amp;"",IFERROR(LOOKUP(2^15,SEARCH(Settings!$F$14:$F$43,V34)/(Settings!$F$14:$F$43&lt;&gt;""),Settings!$G$14:$G$43),"")))</f>
        <v/>
      </c>
      <c r="CC34">
        <f>IF(OR($B34="",W34=""),"",IFERROR(INDEX(Settings!$D$14:$D$33,MATCH(W34,Settings!$B$14:$B$33,0))&amp;"",IFERROR(LOOKUP(2^15,SEARCH(Settings!$F$14:$F$43,W34)/(Settings!$F$14:$F$43&lt;&gt;""),Settings!$G$14:$G$43),"")))</f>
        <v/>
      </c>
      <c r="CD34">
        <f>IF(OR($B34="",X34=""),"",IFERROR(INDEX(Settings!$D$14:$D$33,MATCH(X34,Settings!$B$14:$B$33,0))&amp;"",IFERROR(LOOKUP(2^15,SEARCH(Settings!$F$14:$F$43,X34)/(Settings!$F$14:$F$43&lt;&gt;""),Settings!$G$14:$G$43),"")))</f>
        <v/>
      </c>
      <c r="CE34">
        <f>IF(OR($B34="",Y34=""),"",IFERROR(INDEX(Settings!$D$14:$D$33,MATCH(Y34,Settings!$B$14:$B$33,0))&amp;"",IFERROR(LOOKUP(2^15,SEARCH(Settings!$F$14:$F$43,Y34)/(Settings!$F$14:$F$43&lt;&gt;""),Settings!$G$14:$G$43),"")))</f>
        <v/>
      </c>
      <c r="CF34">
        <f>IF(OR($B34="",Z34=""),"",IFERROR(INDEX(Settings!$D$14:$D$33,MATCH(Z34,Settings!$B$14:$B$33,0))&amp;"",IFERROR(LOOKUP(2^15,SEARCH(Settings!$F$14:$F$43,Z34)/(Settings!$F$14:$F$43&lt;&gt;""),Settings!$G$14:$G$43),"")))</f>
        <v/>
      </c>
      <c r="CG34">
        <f>IF(OR($B34="",AA34=""),"",IFERROR(INDEX(Settings!$D$14:$D$33,MATCH(AA34,Settings!$B$14:$B$33,0))&amp;"",IFERROR(LOOKUP(2^15,SEARCH(Settings!$F$14:$F$43,AA34)/(Settings!$F$14:$F$43&lt;&gt;""),Settings!$G$14:$G$43),"")))</f>
        <v/>
      </c>
      <c r="CH34">
        <f>IF(OR($B34="",AB34=""),"",IFERROR(INDEX(Settings!$D$14:$D$33,MATCH(AB34,Settings!$B$14:$B$33,0))&amp;"",IFERROR(LOOKUP(2^15,SEARCH(Settings!$F$14:$F$43,AB34)/(Settings!$F$14:$F$43&lt;&gt;""),Settings!$G$14:$G$43),"")))</f>
        <v/>
      </c>
      <c r="CI34">
        <f>IF(OR($B34="",AC34=""),"",IFERROR(INDEX(Settings!$D$14:$D$33,MATCH(AC34,Settings!$B$14:$B$33,0))&amp;"",IFERROR(LOOKUP(2^15,SEARCH(Settings!$F$14:$F$43,AC34)/(Settings!$F$14:$F$43&lt;&gt;""),Settings!$G$14:$G$43),"")))</f>
        <v/>
      </c>
      <c r="CJ34">
        <f>IF(OR($B34="",AD34=""),"",IFERROR(INDEX(Settings!$D$14:$D$33,MATCH(AD34,Settings!$B$14:$B$33,0))&amp;"",IFERROR(LOOKUP(2^15,SEARCH(Settings!$F$14:$F$43,AD34)/(Settings!$F$14:$F$43&lt;&gt;""),Settings!$G$14:$G$43),"")))</f>
        <v/>
      </c>
      <c r="CK34">
        <f>IF(OR($B34="",AE34=""),"",IFERROR(INDEX(Settings!$D$14:$D$33,MATCH(AE34,Settings!$B$14:$B$33,0))&amp;"",IFERROR(LOOKUP(2^15,SEARCH(Settings!$F$14:$F$43,AE34)/(Settings!$F$14:$F$43&lt;&gt;""),Settings!$G$14:$G$43),"")))</f>
        <v/>
      </c>
      <c r="CL34">
        <f>IF(OR($B34="",AF34=""),"",IFERROR(INDEX(Settings!$D$14:$D$33,MATCH(AF34,Settings!$B$14:$B$33,0))&amp;"",IFERROR(LOOKUP(2^15,SEARCH(Settings!$F$14:$F$43,AF34)/(Settings!$F$14:$F$43&lt;&gt;""),Settings!$G$14:$G$43),"")))</f>
        <v/>
      </c>
      <c r="CM34">
        <f>IF(OR($B34="",AG34=""),"",IFERROR(INDEX(Settings!$D$14:$D$33,MATCH(AG34,Settings!$B$14:$B$33,0))&amp;"",IFERROR(LOOKUP(2^15,SEARCH(Settings!$F$14:$F$43,AG34)/(Settings!$F$14:$F$43&lt;&gt;""),Settings!$G$14:$G$43),"")))</f>
        <v/>
      </c>
    </row>
    <row r="35">
      <c r="A35" t="n">
        <v>33</v>
      </c>
      <c r="B35">
        <f>IFERROR(INDEX(Index!$A$2:$A$202,MATCH(A35,Index!$E$2:$E$202,0)),"")</f>
        <v/>
      </c>
      <c r="D35">
        <f>IF($B35="","",IFERROR(MATCH("Travel*",AI35:BJ35,0),""))</f>
        <v/>
      </c>
      <c r="F35">
        <f>IF(OR($B35="",NOT(ISNUMBER(Settings!$C$9))),"",TRIM(SUBSTITUTE(SUBSTITUTE(INDEX('INPUT - Roster'!$S$1:$SV$206,$B35,Settings!$C$9+0)&amp;"",CHAR(10)," "),CHAR(160)," ")))</f>
        <v/>
      </c>
      <c r="G35">
        <f>IF(OR($B35="",NOT(ISNUMBER(Settings!$C$9))),"",TRIM(SUBSTITUTE(SUBSTITUTE(INDEX('INPUT - Roster'!$S$1:$SV$206,$B35,Settings!$C$9+1)&amp;"",CHAR(10)," "),CHAR(160)," ")))</f>
        <v/>
      </c>
      <c r="H35">
        <f>IF(OR($B35="",NOT(ISNUMBER(Settings!$C$9))),"",TRIM(SUBSTITUTE(SUBSTITUTE(INDEX('INPUT - Roster'!$S$1:$SV$206,$B35,Settings!$C$9+2)&amp;"",CHAR(10)," "),CHAR(160)," ")))</f>
        <v/>
      </c>
      <c r="I35">
        <f>IF(OR($B35="",NOT(ISNUMBER(Settings!$C$9))),"",TRIM(SUBSTITUTE(SUBSTITUTE(INDEX('INPUT - Roster'!$S$1:$SV$206,$B35,Settings!$C$9+3)&amp;"",CHAR(10)," "),CHAR(160)," ")))</f>
        <v/>
      </c>
      <c r="J35">
        <f>IF(OR($B35="",NOT(ISNUMBER(Settings!$C$9))),"",TRIM(SUBSTITUTE(SUBSTITUTE(INDEX('INPUT - Roster'!$S$1:$SV$206,$B35,Settings!$C$9+4)&amp;"",CHAR(10)," "),CHAR(160)," ")))</f>
        <v/>
      </c>
      <c r="K35">
        <f>IF(OR($B35="",NOT(ISNUMBER(Settings!$C$9))),"",TRIM(SUBSTITUTE(SUBSTITUTE(INDEX('INPUT - Roster'!$S$1:$SV$206,$B35,Settings!$C$9+5)&amp;"",CHAR(10)," "),CHAR(160)," ")))</f>
        <v/>
      </c>
      <c r="L35">
        <f>IF(OR($B35="",NOT(ISNUMBER(Settings!$C$9))),"",TRIM(SUBSTITUTE(SUBSTITUTE(INDEX('INPUT - Roster'!$S$1:$SV$206,$B35,Settings!$C$9+6)&amp;"",CHAR(10)," "),CHAR(160)," ")))</f>
        <v/>
      </c>
      <c r="M35">
        <f>IF(OR($B35="",NOT(ISNUMBER(Settings!$C$9))),"",TRIM(SUBSTITUTE(SUBSTITUTE(INDEX('INPUT - Roster'!$S$1:$SV$206,$B35,Settings!$C$9+7)&amp;"",CHAR(10)," "),CHAR(160)," ")))</f>
        <v/>
      </c>
      <c r="N35">
        <f>IF(OR($B35="",NOT(ISNUMBER(Settings!$C$9))),"",TRIM(SUBSTITUTE(SUBSTITUTE(INDEX('INPUT - Roster'!$S$1:$SV$206,$B35,Settings!$C$9+8)&amp;"",CHAR(10)," "),CHAR(160)," ")))</f>
        <v/>
      </c>
      <c r="O35">
        <f>IF(OR($B35="",NOT(ISNUMBER(Settings!$C$9))),"",TRIM(SUBSTITUTE(SUBSTITUTE(INDEX('INPUT - Roster'!$S$1:$SV$206,$B35,Settings!$C$9+9)&amp;"",CHAR(10)," "),CHAR(160)," ")))</f>
        <v/>
      </c>
      <c r="P35">
        <f>IF(OR($B35="",NOT(ISNUMBER(Settings!$C$9))),"",TRIM(SUBSTITUTE(SUBSTITUTE(INDEX('INPUT - Roster'!$S$1:$SV$206,$B35,Settings!$C$9+10)&amp;"",CHAR(10)," "),CHAR(160)," ")))</f>
        <v/>
      </c>
      <c r="Q35">
        <f>IF(OR($B35="",NOT(ISNUMBER(Settings!$C$9))),"",TRIM(SUBSTITUTE(SUBSTITUTE(INDEX('INPUT - Roster'!$S$1:$SV$206,$B35,Settings!$C$9+11)&amp;"",CHAR(10)," "),CHAR(160)," ")))</f>
        <v/>
      </c>
      <c r="R35">
        <f>IF(OR($B35="",NOT(ISNUMBER(Settings!$C$9))),"",TRIM(SUBSTITUTE(SUBSTITUTE(INDEX('INPUT - Roster'!$S$1:$SV$206,$B35,Settings!$C$9+12)&amp;"",CHAR(10)," "),CHAR(160)," ")))</f>
        <v/>
      </c>
      <c r="S35">
        <f>IF(OR($B35="",NOT(ISNUMBER(Settings!$C$9))),"",TRIM(SUBSTITUTE(SUBSTITUTE(INDEX('INPUT - Roster'!$S$1:$SV$206,$B35,Settings!$C$9+13)&amp;"",CHAR(10)," "),CHAR(160)," ")))</f>
        <v/>
      </c>
      <c r="T35">
        <f>IF(OR($B35="",NOT(ISNUMBER(Settings!$C$9))),"",TRIM(SUBSTITUTE(SUBSTITUTE(INDEX('INPUT - Roster'!$S$1:$SV$206,$B35,Settings!$C$9+14)&amp;"",CHAR(10)," "),CHAR(160)," ")))</f>
        <v/>
      </c>
      <c r="U35">
        <f>IF(OR($B35="",NOT(ISNUMBER(Settings!$C$9))),"",TRIM(SUBSTITUTE(SUBSTITUTE(INDEX('INPUT - Roster'!$S$1:$SV$206,$B35,Settings!$C$9+15)&amp;"",CHAR(10)," "),CHAR(160)," ")))</f>
        <v/>
      </c>
      <c r="V35">
        <f>IF(OR($B35="",NOT(ISNUMBER(Settings!$C$9))),"",TRIM(SUBSTITUTE(SUBSTITUTE(INDEX('INPUT - Roster'!$S$1:$SV$206,$B35,Settings!$C$9+16)&amp;"",CHAR(10)," "),CHAR(160)," ")))</f>
        <v/>
      </c>
      <c r="W35">
        <f>IF(OR($B35="",NOT(ISNUMBER(Settings!$C$9))),"",TRIM(SUBSTITUTE(SUBSTITUTE(INDEX('INPUT - Roster'!$S$1:$SV$206,$B35,Settings!$C$9+17)&amp;"",CHAR(10)," "),CHAR(160)," ")))</f>
        <v/>
      </c>
      <c r="X35">
        <f>IF(OR($B35="",NOT(ISNUMBER(Settings!$C$9))),"",TRIM(SUBSTITUTE(SUBSTITUTE(INDEX('INPUT - Roster'!$S$1:$SV$206,$B35,Settings!$C$9+18)&amp;"",CHAR(10)," "),CHAR(160)," ")))</f>
        <v/>
      </c>
      <c r="Y35">
        <f>IF(OR($B35="",NOT(ISNUMBER(Settings!$C$9))),"",TRIM(SUBSTITUTE(SUBSTITUTE(INDEX('INPUT - Roster'!$S$1:$SV$206,$B35,Settings!$C$9+19)&amp;"",CHAR(10)," "),CHAR(160)," ")))</f>
        <v/>
      </c>
      <c r="Z35">
        <f>IF(OR($B35="",NOT(ISNUMBER(Settings!$C$9))),"",TRIM(SUBSTITUTE(SUBSTITUTE(INDEX('INPUT - Roster'!$S$1:$SV$206,$B35,Settings!$C$9+20)&amp;"",CHAR(10)," "),CHAR(160)," ")))</f>
        <v/>
      </c>
      <c r="AA35">
        <f>IF(OR($B35="",NOT(ISNUMBER(Settings!$C$9))),"",TRIM(SUBSTITUTE(SUBSTITUTE(INDEX('INPUT - Roster'!$S$1:$SV$206,$B35,Settings!$C$9+21)&amp;"",CHAR(10)," "),CHAR(160)," ")))</f>
        <v/>
      </c>
      <c r="AB35">
        <f>IF(OR($B35="",NOT(ISNUMBER(Settings!$C$9))),"",TRIM(SUBSTITUTE(SUBSTITUTE(INDEX('INPUT - Roster'!$S$1:$SV$206,$B35,Settings!$C$9+22)&amp;"",CHAR(10)," "),CHAR(160)," ")))</f>
        <v/>
      </c>
      <c r="AC35">
        <f>IF(OR($B35="",NOT(ISNUMBER(Settings!$C$9))),"",TRIM(SUBSTITUTE(SUBSTITUTE(INDEX('INPUT - Roster'!$S$1:$SV$206,$B35,Settings!$C$9+23)&amp;"",CHAR(10)," "),CHAR(160)," ")))</f>
        <v/>
      </c>
      <c r="AD35">
        <f>IF(OR($B35="",NOT(ISNUMBER(Settings!$C$9))),"",TRIM(SUBSTITUTE(SUBSTITUTE(INDEX('INPUT - Roster'!$S$1:$SV$206,$B35,Settings!$C$9+24)&amp;"",CHAR(10)," "),CHAR(160)," ")))</f>
        <v/>
      </c>
      <c r="AE35">
        <f>IF(OR($B35="",NOT(ISNUMBER(Settings!$C$9))),"",TRIM(SUBSTITUTE(SUBSTITUTE(INDEX('INPUT - Roster'!$S$1:$SV$206,$B35,Settings!$C$9+25)&amp;"",CHAR(10)," "),CHAR(160)," ")))</f>
        <v/>
      </c>
      <c r="AF35">
        <f>IF(OR($B35="",NOT(ISNUMBER(Settings!$C$9))),"",TRIM(SUBSTITUTE(SUBSTITUTE(INDEX('INPUT - Roster'!$S$1:$SV$206,$B35,Settings!$C$9+26)&amp;"",CHAR(10)," "),CHAR(160)," ")))</f>
        <v/>
      </c>
      <c r="AG35">
        <f>IF(OR($B35="",NOT(ISNUMBER(Settings!$C$9))),"",TRIM(SUBSTITUTE(SUBSTITUTE(INDEX('INPUT - Roster'!$S$1:$SV$206,$B35,Settings!$C$9+27)&amp;"",CHAR(10)," "),CHAR(160)," ")))</f>
        <v/>
      </c>
      <c r="AI35">
        <f>IF($B35="","",IF(F35="","Not rostered",IFERROR(INDEX(Settings!$C$14:$C$33,MATCH(F35,Settings!$B$14:$B$33,0)),IFERROR(LOOKUP(2^15,SEARCH(Settings!$I$14:$I$83,F35)/(Settings!$I$14:$I$83&lt;&gt;""),Settings!$J$14:$J$83),"Other"))))</f>
        <v/>
      </c>
      <c r="AJ35">
        <f>IF($B35="","",IF(G35="","Not rostered",IFERROR(INDEX(Settings!$C$14:$C$33,MATCH(G35,Settings!$B$14:$B$33,0)),IFERROR(LOOKUP(2^15,SEARCH(Settings!$I$14:$I$83,G35)/(Settings!$I$14:$I$83&lt;&gt;""),Settings!$J$14:$J$83),"Other"))))</f>
        <v/>
      </c>
      <c r="AK35">
        <f>IF($B35="","",IF(H35="","Not rostered",IFERROR(INDEX(Settings!$C$14:$C$33,MATCH(H35,Settings!$B$14:$B$33,0)),IFERROR(LOOKUP(2^15,SEARCH(Settings!$I$14:$I$83,H35)/(Settings!$I$14:$I$83&lt;&gt;""),Settings!$J$14:$J$83),"Other"))))</f>
        <v/>
      </c>
      <c r="AL35">
        <f>IF($B35="","",IF(I35="","Not rostered",IFERROR(INDEX(Settings!$C$14:$C$33,MATCH(I35,Settings!$B$14:$B$33,0)),IFERROR(LOOKUP(2^15,SEARCH(Settings!$I$14:$I$83,I35)/(Settings!$I$14:$I$83&lt;&gt;""),Settings!$J$14:$J$83),"Other"))))</f>
        <v/>
      </c>
      <c r="AM35">
        <f>IF($B35="","",IF(J35="","Not rostered",IFERROR(INDEX(Settings!$C$14:$C$33,MATCH(J35,Settings!$B$14:$B$33,0)),IFERROR(LOOKUP(2^15,SEARCH(Settings!$I$14:$I$83,J35)/(Settings!$I$14:$I$83&lt;&gt;""),Settings!$J$14:$J$83),"Other"))))</f>
        <v/>
      </c>
      <c r="AN35">
        <f>IF($B35="","",IF(K35="","Not rostered",IFERROR(INDEX(Settings!$C$14:$C$33,MATCH(K35,Settings!$B$14:$B$33,0)),IFERROR(LOOKUP(2^15,SEARCH(Settings!$I$14:$I$83,K35)/(Settings!$I$14:$I$83&lt;&gt;""),Settings!$J$14:$J$83),"Other"))))</f>
        <v/>
      </c>
      <c r="AO35">
        <f>IF($B35="","",IF(L35="","Not rostered",IFERROR(INDEX(Settings!$C$14:$C$33,MATCH(L35,Settings!$B$14:$B$33,0)),IFERROR(LOOKUP(2^15,SEARCH(Settings!$I$14:$I$83,L35)/(Settings!$I$14:$I$83&lt;&gt;""),Settings!$J$14:$J$83),"Other"))))</f>
        <v/>
      </c>
      <c r="AP35">
        <f>IF($B35="","",IF(M35="","Not rostered",IFERROR(INDEX(Settings!$C$14:$C$33,MATCH(M35,Settings!$B$14:$B$33,0)),IFERROR(LOOKUP(2^15,SEARCH(Settings!$I$14:$I$83,M35)/(Settings!$I$14:$I$83&lt;&gt;""),Settings!$J$14:$J$83),"Other"))))</f>
        <v/>
      </c>
      <c r="AQ35">
        <f>IF($B35="","",IF(N35="","Not rostered",IFERROR(INDEX(Settings!$C$14:$C$33,MATCH(N35,Settings!$B$14:$B$33,0)),IFERROR(LOOKUP(2^15,SEARCH(Settings!$I$14:$I$83,N35)/(Settings!$I$14:$I$83&lt;&gt;""),Settings!$J$14:$J$83),"Other"))))</f>
        <v/>
      </c>
      <c r="AR35">
        <f>IF($B35="","",IF(O35="","Not rostered",IFERROR(INDEX(Settings!$C$14:$C$33,MATCH(O35,Settings!$B$14:$B$33,0)),IFERROR(LOOKUP(2^15,SEARCH(Settings!$I$14:$I$83,O35)/(Settings!$I$14:$I$83&lt;&gt;""),Settings!$J$14:$J$83),"Other"))))</f>
        <v/>
      </c>
      <c r="AS35">
        <f>IF($B35="","",IF(P35="","Not rostered",IFERROR(INDEX(Settings!$C$14:$C$33,MATCH(P35,Settings!$B$14:$B$33,0)),IFERROR(LOOKUP(2^15,SEARCH(Settings!$I$14:$I$83,P35)/(Settings!$I$14:$I$83&lt;&gt;""),Settings!$J$14:$J$83),"Other"))))</f>
        <v/>
      </c>
      <c r="AT35">
        <f>IF($B35="","",IF(Q35="","Not rostered",IFERROR(INDEX(Settings!$C$14:$C$33,MATCH(Q35,Settings!$B$14:$B$33,0)),IFERROR(LOOKUP(2^15,SEARCH(Settings!$I$14:$I$83,Q35)/(Settings!$I$14:$I$83&lt;&gt;""),Settings!$J$14:$J$83),"Other"))))</f>
        <v/>
      </c>
      <c r="AU35">
        <f>IF($B35="","",IF(R35="","Not rostered",IFERROR(INDEX(Settings!$C$14:$C$33,MATCH(R35,Settings!$B$14:$B$33,0)),IFERROR(LOOKUP(2^15,SEARCH(Settings!$I$14:$I$83,R35)/(Settings!$I$14:$I$83&lt;&gt;""),Settings!$J$14:$J$83),"Other"))))</f>
        <v/>
      </c>
      <c r="AV35">
        <f>IF($B35="","",IF(S35="","Not rostered",IFERROR(INDEX(Settings!$C$14:$C$33,MATCH(S35,Settings!$B$14:$B$33,0)),IFERROR(LOOKUP(2^15,SEARCH(Settings!$I$14:$I$83,S35)/(Settings!$I$14:$I$83&lt;&gt;""),Settings!$J$14:$J$83),"Other"))))</f>
        <v/>
      </c>
      <c r="AW35">
        <f>IF($B35="","",IF(T35="","Not rostered",IFERROR(INDEX(Settings!$C$14:$C$33,MATCH(T35,Settings!$B$14:$B$33,0)),IFERROR(LOOKUP(2^15,SEARCH(Settings!$I$14:$I$83,T35)/(Settings!$I$14:$I$83&lt;&gt;""),Settings!$J$14:$J$83),"Other"))))</f>
        <v/>
      </c>
      <c r="AX35">
        <f>IF($B35="","",IF(U35="","Not rostered",IFERROR(INDEX(Settings!$C$14:$C$33,MATCH(U35,Settings!$B$14:$B$33,0)),IFERROR(LOOKUP(2^15,SEARCH(Settings!$I$14:$I$83,U35)/(Settings!$I$14:$I$83&lt;&gt;""),Settings!$J$14:$J$83),"Other"))))</f>
        <v/>
      </c>
      <c r="AY35">
        <f>IF($B35="","",IF(V35="","Not rostered",IFERROR(INDEX(Settings!$C$14:$C$33,MATCH(V35,Settings!$B$14:$B$33,0)),IFERROR(LOOKUP(2^15,SEARCH(Settings!$I$14:$I$83,V35)/(Settings!$I$14:$I$83&lt;&gt;""),Settings!$J$14:$J$83),"Other"))))</f>
        <v/>
      </c>
      <c r="AZ35">
        <f>IF($B35="","",IF(W35="","Not rostered",IFERROR(INDEX(Settings!$C$14:$C$33,MATCH(W35,Settings!$B$14:$B$33,0)),IFERROR(LOOKUP(2^15,SEARCH(Settings!$I$14:$I$83,W35)/(Settings!$I$14:$I$83&lt;&gt;""),Settings!$J$14:$J$83),"Other"))))</f>
        <v/>
      </c>
      <c r="BA35">
        <f>IF($B35="","",IF(X35="","Not rostered",IFERROR(INDEX(Settings!$C$14:$C$33,MATCH(X35,Settings!$B$14:$B$33,0)),IFERROR(LOOKUP(2^15,SEARCH(Settings!$I$14:$I$83,X35)/(Settings!$I$14:$I$83&lt;&gt;""),Settings!$J$14:$J$83),"Other"))))</f>
        <v/>
      </c>
      <c r="BB35">
        <f>IF($B35="","",IF(Y35="","Not rostered",IFERROR(INDEX(Settings!$C$14:$C$33,MATCH(Y35,Settings!$B$14:$B$33,0)),IFERROR(LOOKUP(2^15,SEARCH(Settings!$I$14:$I$83,Y35)/(Settings!$I$14:$I$83&lt;&gt;""),Settings!$J$14:$J$83),"Other"))))</f>
        <v/>
      </c>
      <c r="BC35">
        <f>IF($B35="","",IF(Z35="","Not rostered",IFERROR(INDEX(Settings!$C$14:$C$33,MATCH(Z35,Settings!$B$14:$B$33,0)),IFERROR(LOOKUP(2^15,SEARCH(Settings!$I$14:$I$83,Z35)/(Settings!$I$14:$I$83&lt;&gt;""),Settings!$J$14:$J$83),"Other"))))</f>
        <v/>
      </c>
      <c r="BD35">
        <f>IF($B35="","",IF(AA35="","Not rostered",IFERROR(INDEX(Settings!$C$14:$C$33,MATCH(AA35,Settings!$B$14:$B$33,0)),IFERROR(LOOKUP(2^15,SEARCH(Settings!$I$14:$I$83,AA35)/(Settings!$I$14:$I$83&lt;&gt;""),Settings!$J$14:$J$83),"Other"))))</f>
        <v/>
      </c>
      <c r="BE35">
        <f>IF($B35="","",IF(AB35="","Not rostered",IFERROR(INDEX(Settings!$C$14:$C$33,MATCH(AB35,Settings!$B$14:$B$33,0)),IFERROR(LOOKUP(2^15,SEARCH(Settings!$I$14:$I$83,AB35)/(Settings!$I$14:$I$83&lt;&gt;""),Settings!$J$14:$J$83),"Other"))))</f>
        <v/>
      </c>
      <c r="BF35">
        <f>IF($B35="","",IF(AC35="","Not rostered",IFERROR(INDEX(Settings!$C$14:$C$33,MATCH(AC35,Settings!$B$14:$B$33,0)),IFERROR(LOOKUP(2^15,SEARCH(Settings!$I$14:$I$83,AC35)/(Settings!$I$14:$I$83&lt;&gt;""),Settings!$J$14:$J$83),"Other"))))</f>
        <v/>
      </c>
      <c r="BG35">
        <f>IF($B35="","",IF(AD35="","Not rostered",IFERROR(INDEX(Settings!$C$14:$C$33,MATCH(AD35,Settings!$B$14:$B$33,0)),IFERROR(LOOKUP(2^15,SEARCH(Settings!$I$14:$I$83,AD35)/(Settings!$I$14:$I$83&lt;&gt;""),Settings!$J$14:$J$83),"Other"))))</f>
        <v/>
      </c>
      <c r="BH35">
        <f>IF($B35="","",IF(AE35="","Not rostered",IFERROR(INDEX(Settings!$C$14:$C$33,MATCH(AE35,Settings!$B$14:$B$33,0)),IFERROR(LOOKUP(2^15,SEARCH(Settings!$I$14:$I$83,AE35)/(Settings!$I$14:$I$83&lt;&gt;""),Settings!$J$14:$J$83),"Other"))))</f>
        <v/>
      </c>
      <c r="BI35">
        <f>IF($B35="","",IF(AF35="","Not rostered",IFERROR(INDEX(Settings!$C$14:$C$33,MATCH(AF35,Settings!$B$14:$B$33,0)),IFERROR(LOOKUP(2^15,SEARCH(Settings!$I$14:$I$83,AF35)/(Settings!$I$14:$I$83&lt;&gt;""),Settings!$J$14:$J$83),"Other"))))</f>
        <v/>
      </c>
      <c r="BJ35">
        <f>IF($B35="","",IF(AG35="","Not rostered",IFERROR(INDEX(Settings!$C$14:$C$33,MATCH(AG35,Settings!$B$14:$B$33,0)),IFERROR(LOOKUP(2^15,SEARCH(Settings!$I$14:$I$83,AG35)/(Settings!$I$14:$I$83&lt;&gt;""),Settings!$J$14:$J$83),"Other"))))</f>
        <v/>
      </c>
      <c r="BL35">
        <f>IF(OR($B35="",F35=""),"",IFERROR(INDEX(Settings!$D$14:$D$33,MATCH(F35,Settings!$B$14:$B$33,0))&amp;"",IFERROR(LOOKUP(2^15,SEARCH(Settings!$F$14:$F$43,F35)/(Settings!$F$14:$F$43&lt;&gt;""),Settings!$G$14:$G$43),"")))</f>
        <v/>
      </c>
      <c r="BM35">
        <f>IF(OR($B35="",G35=""),"",IFERROR(INDEX(Settings!$D$14:$D$33,MATCH(G35,Settings!$B$14:$B$33,0))&amp;"",IFERROR(LOOKUP(2^15,SEARCH(Settings!$F$14:$F$43,G35)/(Settings!$F$14:$F$43&lt;&gt;""),Settings!$G$14:$G$43),"")))</f>
        <v/>
      </c>
      <c r="BN35">
        <f>IF(OR($B35="",H35=""),"",IFERROR(INDEX(Settings!$D$14:$D$33,MATCH(H35,Settings!$B$14:$B$33,0))&amp;"",IFERROR(LOOKUP(2^15,SEARCH(Settings!$F$14:$F$43,H35)/(Settings!$F$14:$F$43&lt;&gt;""),Settings!$G$14:$G$43),"")))</f>
        <v/>
      </c>
      <c r="BO35">
        <f>IF(OR($B35="",I35=""),"",IFERROR(INDEX(Settings!$D$14:$D$33,MATCH(I35,Settings!$B$14:$B$33,0))&amp;"",IFERROR(LOOKUP(2^15,SEARCH(Settings!$F$14:$F$43,I35)/(Settings!$F$14:$F$43&lt;&gt;""),Settings!$G$14:$G$43),"")))</f>
        <v/>
      </c>
      <c r="BP35">
        <f>IF(OR($B35="",J35=""),"",IFERROR(INDEX(Settings!$D$14:$D$33,MATCH(J35,Settings!$B$14:$B$33,0))&amp;"",IFERROR(LOOKUP(2^15,SEARCH(Settings!$F$14:$F$43,J35)/(Settings!$F$14:$F$43&lt;&gt;""),Settings!$G$14:$G$43),"")))</f>
        <v/>
      </c>
      <c r="BQ35">
        <f>IF(OR($B35="",K35=""),"",IFERROR(INDEX(Settings!$D$14:$D$33,MATCH(K35,Settings!$B$14:$B$33,0))&amp;"",IFERROR(LOOKUP(2^15,SEARCH(Settings!$F$14:$F$43,K35)/(Settings!$F$14:$F$43&lt;&gt;""),Settings!$G$14:$G$43),"")))</f>
        <v/>
      </c>
      <c r="BR35">
        <f>IF(OR($B35="",L35=""),"",IFERROR(INDEX(Settings!$D$14:$D$33,MATCH(L35,Settings!$B$14:$B$33,0))&amp;"",IFERROR(LOOKUP(2^15,SEARCH(Settings!$F$14:$F$43,L35)/(Settings!$F$14:$F$43&lt;&gt;""),Settings!$G$14:$G$43),"")))</f>
        <v/>
      </c>
      <c r="BS35">
        <f>IF(OR($B35="",M35=""),"",IFERROR(INDEX(Settings!$D$14:$D$33,MATCH(M35,Settings!$B$14:$B$33,0))&amp;"",IFERROR(LOOKUP(2^15,SEARCH(Settings!$F$14:$F$43,M35)/(Settings!$F$14:$F$43&lt;&gt;""),Settings!$G$14:$G$43),"")))</f>
        <v/>
      </c>
      <c r="BT35">
        <f>IF(OR($B35="",N35=""),"",IFERROR(INDEX(Settings!$D$14:$D$33,MATCH(N35,Settings!$B$14:$B$33,0))&amp;"",IFERROR(LOOKUP(2^15,SEARCH(Settings!$F$14:$F$43,N35)/(Settings!$F$14:$F$43&lt;&gt;""),Settings!$G$14:$G$43),"")))</f>
        <v/>
      </c>
      <c r="BU35">
        <f>IF(OR($B35="",O35=""),"",IFERROR(INDEX(Settings!$D$14:$D$33,MATCH(O35,Settings!$B$14:$B$33,0))&amp;"",IFERROR(LOOKUP(2^15,SEARCH(Settings!$F$14:$F$43,O35)/(Settings!$F$14:$F$43&lt;&gt;""),Settings!$G$14:$G$43),"")))</f>
        <v/>
      </c>
      <c r="BV35">
        <f>IF(OR($B35="",P35=""),"",IFERROR(INDEX(Settings!$D$14:$D$33,MATCH(P35,Settings!$B$14:$B$33,0))&amp;"",IFERROR(LOOKUP(2^15,SEARCH(Settings!$F$14:$F$43,P35)/(Settings!$F$14:$F$43&lt;&gt;""),Settings!$G$14:$G$43),"")))</f>
        <v/>
      </c>
      <c r="BW35">
        <f>IF(OR($B35="",Q35=""),"",IFERROR(INDEX(Settings!$D$14:$D$33,MATCH(Q35,Settings!$B$14:$B$33,0))&amp;"",IFERROR(LOOKUP(2^15,SEARCH(Settings!$F$14:$F$43,Q35)/(Settings!$F$14:$F$43&lt;&gt;""),Settings!$G$14:$G$43),"")))</f>
        <v/>
      </c>
      <c r="BX35">
        <f>IF(OR($B35="",R35=""),"",IFERROR(INDEX(Settings!$D$14:$D$33,MATCH(R35,Settings!$B$14:$B$33,0))&amp;"",IFERROR(LOOKUP(2^15,SEARCH(Settings!$F$14:$F$43,R35)/(Settings!$F$14:$F$43&lt;&gt;""),Settings!$G$14:$G$43),"")))</f>
        <v/>
      </c>
      <c r="BY35">
        <f>IF(OR($B35="",S35=""),"",IFERROR(INDEX(Settings!$D$14:$D$33,MATCH(S35,Settings!$B$14:$B$33,0))&amp;"",IFERROR(LOOKUP(2^15,SEARCH(Settings!$F$14:$F$43,S35)/(Settings!$F$14:$F$43&lt;&gt;""),Settings!$G$14:$G$43),"")))</f>
        <v/>
      </c>
      <c r="BZ35">
        <f>IF(OR($B35="",T35=""),"",IFERROR(INDEX(Settings!$D$14:$D$33,MATCH(T35,Settings!$B$14:$B$33,0))&amp;"",IFERROR(LOOKUP(2^15,SEARCH(Settings!$F$14:$F$43,T35)/(Settings!$F$14:$F$43&lt;&gt;""),Settings!$G$14:$G$43),"")))</f>
        <v/>
      </c>
      <c r="CA35">
        <f>IF(OR($B35="",U35=""),"",IFERROR(INDEX(Settings!$D$14:$D$33,MATCH(U35,Settings!$B$14:$B$33,0))&amp;"",IFERROR(LOOKUP(2^15,SEARCH(Settings!$F$14:$F$43,U35)/(Settings!$F$14:$F$43&lt;&gt;""),Settings!$G$14:$G$43),"")))</f>
        <v/>
      </c>
      <c r="CB35">
        <f>IF(OR($B35="",V35=""),"",IFERROR(INDEX(Settings!$D$14:$D$33,MATCH(V35,Settings!$B$14:$B$33,0))&amp;"",IFERROR(LOOKUP(2^15,SEARCH(Settings!$F$14:$F$43,V35)/(Settings!$F$14:$F$43&lt;&gt;""),Settings!$G$14:$G$43),"")))</f>
        <v/>
      </c>
      <c r="CC35">
        <f>IF(OR($B35="",W35=""),"",IFERROR(INDEX(Settings!$D$14:$D$33,MATCH(W35,Settings!$B$14:$B$33,0))&amp;"",IFERROR(LOOKUP(2^15,SEARCH(Settings!$F$14:$F$43,W35)/(Settings!$F$14:$F$43&lt;&gt;""),Settings!$G$14:$G$43),"")))</f>
        <v/>
      </c>
      <c r="CD35">
        <f>IF(OR($B35="",X35=""),"",IFERROR(INDEX(Settings!$D$14:$D$33,MATCH(X35,Settings!$B$14:$B$33,0))&amp;"",IFERROR(LOOKUP(2^15,SEARCH(Settings!$F$14:$F$43,X35)/(Settings!$F$14:$F$43&lt;&gt;""),Settings!$G$14:$G$43),"")))</f>
        <v/>
      </c>
      <c r="CE35">
        <f>IF(OR($B35="",Y35=""),"",IFERROR(INDEX(Settings!$D$14:$D$33,MATCH(Y35,Settings!$B$14:$B$33,0))&amp;"",IFERROR(LOOKUP(2^15,SEARCH(Settings!$F$14:$F$43,Y35)/(Settings!$F$14:$F$43&lt;&gt;""),Settings!$G$14:$G$43),"")))</f>
        <v/>
      </c>
      <c r="CF35">
        <f>IF(OR($B35="",Z35=""),"",IFERROR(INDEX(Settings!$D$14:$D$33,MATCH(Z35,Settings!$B$14:$B$33,0))&amp;"",IFERROR(LOOKUP(2^15,SEARCH(Settings!$F$14:$F$43,Z35)/(Settings!$F$14:$F$43&lt;&gt;""),Settings!$G$14:$G$43),"")))</f>
        <v/>
      </c>
      <c r="CG35">
        <f>IF(OR($B35="",AA35=""),"",IFERROR(INDEX(Settings!$D$14:$D$33,MATCH(AA35,Settings!$B$14:$B$33,0))&amp;"",IFERROR(LOOKUP(2^15,SEARCH(Settings!$F$14:$F$43,AA35)/(Settings!$F$14:$F$43&lt;&gt;""),Settings!$G$14:$G$43),"")))</f>
        <v/>
      </c>
      <c r="CH35">
        <f>IF(OR($B35="",AB35=""),"",IFERROR(INDEX(Settings!$D$14:$D$33,MATCH(AB35,Settings!$B$14:$B$33,0))&amp;"",IFERROR(LOOKUP(2^15,SEARCH(Settings!$F$14:$F$43,AB35)/(Settings!$F$14:$F$43&lt;&gt;""),Settings!$G$14:$G$43),"")))</f>
        <v/>
      </c>
      <c r="CI35">
        <f>IF(OR($B35="",AC35=""),"",IFERROR(INDEX(Settings!$D$14:$D$33,MATCH(AC35,Settings!$B$14:$B$33,0))&amp;"",IFERROR(LOOKUP(2^15,SEARCH(Settings!$F$14:$F$43,AC35)/(Settings!$F$14:$F$43&lt;&gt;""),Settings!$G$14:$G$43),"")))</f>
        <v/>
      </c>
      <c r="CJ35">
        <f>IF(OR($B35="",AD35=""),"",IFERROR(INDEX(Settings!$D$14:$D$33,MATCH(AD35,Settings!$B$14:$B$33,0))&amp;"",IFERROR(LOOKUP(2^15,SEARCH(Settings!$F$14:$F$43,AD35)/(Settings!$F$14:$F$43&lt;&gt;""),Settings!$G$14:$G$43),"")))</f>
        <v/>
      </c>
      <c r="CK35">
        <f>IF(OR($B35="",AE35=""),"",IFERROR(INDEX(Settings!$D$14:$D$33,MATCH(AE35,Settings!$B$14:$B$33,0))&amp;"",IFERROR(LOOKUP(2^15,SEARCH(Settings!$F$14:$F$43,AE35)/(Settings!$F$14:$F$43&lt;&gt;""),Settings!$G$14:$G$43),"")))</f>
        <v/>
      </c>
      <c r="CL35">
        <f>IF(OR($B35="",AF35=""),"",IFERROR(INDEX(Settings!$D$14:$D$33,MATCH(AF35,Settings!$B$14:$B$33,0))&amp;"",IFERROR(LOOKUP(2^15,SEARCH(Settings!$F$14:$F$43,AF35)/(Settings!$F$14:$F$43&lt;&gt;""),Settings!$G$14:$G$43),"")))</f>
        <v/>
      </c>
      <c r="CM35">
        <f>IF(OR($B35="",AG35=""),"",IFERROR(INDEX(Settings!$D$14:$D$33,MATCH(AG35,Settings!$B$14:$B$33,0))&amp;"",IFERROR(LOOKUP(2^15,SEARCH(Settings!$F$14:$F$43,AG35)/(Settings!$F$14:$F$43&lt;&gt;""),Settings!$G$14:$G$43),"")))</f>
        <v/>
      </c>
    </row>
    <row r="36">
      <c r="A36" t="n">
        <v>34</v>
      </c>
      <c r="B36">
        <f>IFERROR(INDEX(Index!$A$2:$A$202,MATCH(A36,Index!$E$2:$E$202,0)),"")</f>
        <v/>
      </c>
      <c r="D36">
        <f>IF($B36="","",IFERROR(MATCH("Travel*",AI36:BJ36,0),""))</f>
        <v/>
      </c>
      <c r="F36">
        <f>IF(OR($B36="",NOT(ISNUMBER(Settings!$C$9))),"",TRIM(SUBSTITUTE(SUBSTITUTE(INDEX('INPUT - Roster'!$S$1:$SV$206,$B36,Settings!$C$9+0)&amp;"",CHAR(10)," "),CHAR(160)," ")))</f>
        <v/>
      </c>
      <c r="G36">
        <f>IF(OR($B36="",NOT(ISNUMBER(Settings!$C$9))),"",TRIM(SUBSTITUTE(SUBSTITUTE(INDEX('INPUT - Roster'!$S$1:$SV$206,$B36,Settings!$C$9+1)&amp;"",CHAR(10)," "),CHAR(160)," ")))</f>
        <v/>
      </c>
      <c r="H36">
        <f>IF(OR($B36="",NOT(ISNUMBER(Settings!$C$9))),"",TRIM(SUBSTITUTE(SUBSTITUTE(INDEX('INPUT - Roster'!$S$1:$SV$206,$B36,Settings!$C$9+2)&amp;"",CHAR(10)," "),CHAR(160)," ")))</f>
        <v/>
      </c>
      <c r="I36">
        <f>IF(OR($B36="",NOT(ISNUMBER(Settings!$C$9))),"",TRIM(SUBSTITUTE(SUBSTITUTE(INDEX('INPUT - Roster'!$S$1:$SV$206,$B36,Settings!$C$9+3)&amp;"",CHAR(10)," "),CHAR(160)," ")))</f>
        <v/>
      </c>
      <c r="J36">
        <f>IF(OR($B36="",NOT(ISNUMBER(Settings!$C$9))),"",TRIM(SUBSTITUTE(SUBSTITUTE(INDEX('INPUT - Roster'!$S$1:$SV$206,$B36,Settings!$C$9+4)&amp;"",CHAR(10)," "),CHAR(160)," ")))</f>
        <v/>
      </c>
      <c r="K36">
        <f>IF(OR($B36="",NOT(ISNUMBER(Settings!$C$9))),"",TRIM(SUBSTITUTE(SUBSTITUTE(INDEX('INPUT - Roster'!$S$1:$SV$206,$B36,Settings!$C$9+5)&amp;"",CHAR(10)," "),CHAR(160)," ")))</f>
        <v/>
      </c>
      <c r="L36">
        <f>IF(OR($B36="",NOT(ISNUMBER(Settings!$C$9))),"",TRIM(SUBSTITUTE(SUBSTITUTE(INDEX('INPUT - Roster'!$S$1:$SV$206,$B36,Settings!$C$9+6)&amp;"",CHAR(10)," "),CHAR(160)," ")))</f>
        <v/>
      </c>
      <c r="M36">
        <f>IF(OR($B36="",NOT(ISNUMBER(Settings!$C$9))),"",TRIM(SUBSTITUTE(SUBSTITUTE(INDEX('INPUT - Roster'!$S$1:$SV$206,$B36,Settings!$C$9+7)&amp;"",CHAR(10)," "),CHAR(160)," ")))</f>
        <v/>
      </c>
      <c r="N36">
        <f>IF(OR($B36="",NOT(ISNUMBER(Settings!$C$9))),"",TRIM(SUBSTITUTE(SUBSTITUTE(INDEX('INPUT - Roster'!$S$1:$SV$206,$B36,Settings!$C$9+8)&amp;"",CHAR(10)," "),CHAR(160)," ")))</f>
        <v/>
      </c>
      <c r="O36">
        <f>IF(OR($B36="",NOT(ISNUMBER(Settings!$C$9))),"",TRIM(SUBSTITUTE(SUBSTITUTE(INDEX('INPUT - Roster'!$S$1:$SV$206,$B36,Settings!$C$9+9)&amp;"",CHAR(10)," "),CHAR(160)," ")))</f>
        <v/>
      </c>
      <c r="P36">
        <f>IF(OR($B36="",NOT(ISNUMBER(Settings!$C$9))),"",TRIM(SUBSTITUTE(SUBSTITUTE(INDEX('INPUT - Roster'!$S$1:$SV$206,$B36,Settings!$C$9+10)&amp;"",CHAR(10)," "),CHAR(160)," ")))</f>
        <v/>
      </c>
      <c r="Q36">
        <f>IF(OR($B36="",NOT(ISNUMBER(Settings!$C$9))),"",TRIM(SUBSTITUTE(SUBSTITUTE(INDEX('INPUT - Roster'!$S$1:$SV$206,$B36,Settings!$C$9+11)&amp;"",CHAR(10)," "),CHAR(160)," ")))</f>
        <v/>
      </c>
      <c r="R36">
        <f>IF(OR($B36="",NOT(ISNUMBER(Settings!$C$9))),"",TRIM(SUBSTITUTE(SUBSTITUTE(INDEX('INPUT - Roster'!$S$1:$SV$206,$B36,Settings!$C$9+12)&amp;"",CHAR(10)," "),CHAR(160)," ")))</f>
        <v/>
      </c>
      <c r="S36">
        <f>IF(OR($B36="",NOT(ISNUMBER(Settings!$C$9))),"",TRIM(SUBSTITUTE(SUBSTITUTE(INDEX('INPUT - Roster'!$S$1:$SV$206,$B36,Settings!$C$9+13)&amp;"",CHAR(10)," "),CHAR(160)," ")))</f>
        <v/>
      </c>
      <c r="T36">
        <f>IF(OR($B36="",NOT(ISNUMBER(Settings!$C$9))),"",TRIM(SUBSTITUTE(SUBSTITUTE(INDEX('INPUT - Roster'!$S$1:$SV$206,$B36,Settings!$C$9+14)&amp;"",CHAR(10)," "),CHAR(160)," ")))</f>
        <v/>
      </c>
      <c r="U36">
        <f>IF(OR($B36="",NOT(ISNUMBER(Settings!$C$9))),"",TRIM(SUBSTITUTE(SUBSTITUTE(INDEX('INPUT - Roster'!$S$1:$SV$206,$B36,Settings!$C$9+15)&amp;"",CHAR(10)," "),CHAR(160)," ")))</f>
        <v/>
      </c>
      <c r="V36">
        <f>IF(OR($B36="",NOT(ISNUMBER(Settings!$C$9))),"",TRIM(SUBSTITUTE(SUBSTITUTE(INDEX('INPUT - Roster'!$S$1:$SV$206,$B36,Settings!$C$9+16)&amp;"",CHAR(10)," "),CHAR(160)," ")))</f>
        <v/>
      </c>
      <c r="W36">
        <f>IF(OR($B36="",NOT(ISNUMBER(Settings!$C$9))),"",TRIM(SUBSTITUTE(SUBSTITUTE(INDEX('INPUT - Roster'!$S$1:$SV$206,$B36,Settings!$C$9+17)&amp;"",CHAR(10)," "),CHAR(160)," ")))</f>
        <v/>
      </c>
      <c r="X36">
        <f>IF(OR($B36="",NOT(ISNUMBER(Settings!$C$9))),"",TRIM(SUBSTITUTE(SUBSTITUTE(INDEX('INPUT - Roster'!$S$1:$SV$206,$B36,Settings!$C$9+18)&amp;"",CHAR(10)," "),CHAR(160)," ")))</f>
        <v/>
      </c>
      <c r="Y36">
        <f>IF(OR($B36="",NOT(ISNUMBER(Settings!$C$9))),"",TRIM(SUBSTITUTE(SUBSTITUTE(INDEX('INPUT - Roster'!$S$1:$SV$206,$B36,Settings!$C$9+19)&amp;"",CHAR(10)," "),CHAR(160)," ")))</f>
        <v/>
      </c>
      <c r="Z36">
        <f>IF(OR($B36="",NOT(ISNUMBER(Settings!$C$9))),"",TRIM(SUBSTITUTE(SUBSTITUTE(INDEX('INPUT - Roster'!$S$1:$SV$206,$B36,Settings!$C$9+20)&amp;"",CHAR(10)," "),CHAR(160)," ")))</f>
        <v/>
      </c>
      <c r="AA36">
        <f>IF(OR($B36="",NOT(ISNUMBER(Settings!$C$9))),"",TRIM(SUBSTITUTE(SUBSTITUTE(INDEX('INPUT - Roster'!$S$1:$SV$206,$B36,Settings!$C$9+21)&amp;"",CHAR(10)," "),CHAR(160)," ")))</f>
        <v/>
      </c>
      <c r="AB36">
        <f>IF(OR($B36="",NOT(ISNUMBER(Settings!$C$9))),"",TRIM(SUBSTITUTE(SUBSTITUTE(INDEX('INPUT - Roster'!$S$1:$SV$206,$B36,Settings!$C$9+22)&amp;"",CHAR(10)," "),CHAR(160)," ")))</f>
        <v/>
      </c>
      <c r="AC36">
        <f>IF(OR($B36="",NOT(ISNUMBER(Settings!$C$9))),"",TRIM(SUBSTITUTE(SUBSTITUTE(INDEX('INPUT - Roster'!$S$1:$SV$206,$B36,Settings!$C$9+23)&amp;"",CHAR(10)," "),CHAR(160)," ")))</f>
        <v/>
      </c>
      <c r="AD36">
        <f>IF(OR($B36="",NOT(ISNUMBER(Settings!$C$9))),"",TRIM(SUBSTITUTE(SUBSTITUTE(INDEX('INPUT - Roster'!$S$1:$SV$206,$B36,Settings!$C$9+24)&amp;"",CHAR(10)," "),CHAR(160)," ")))</f>
        <v/>
      </c>
      <c r="AE36">
        <f>IF(OR($B36="",NOT(ISNUMBER(Settings!$C$9))),"",TRIM(SUBSTITUTE(SUBSTITUTE(INDEX('INPUT - Roster'!$S$1:$SV$206,$B36,Settings!$C$9+25)&amp;"",CHAR(10)," "),CHAR(160)," ")))</f>
        <v/>
      </c>
      <c r="AF36">
        <f>IF(OR($B36="",NOT(ISNUMBER(Settings!$C$9))),"",TRIM(SUBSTITUTE(SUBSTITUTE(INDEX('INPUT - Roster'!$S$1:$SV$206,$B36,Settings!$C$9+26)&amp;"",CHAR(10)," "),CHAR(160)," ")))</f>
        <v/>
      </c>
      <c r="AG36">
        <f>IF(OR($B36="",NOT(ISNUMBER(Settings!$C$9))),"",TRIM(SUBSTITUTE(SUBSTITUTE(INDEX('INPUT - Roster'!$S$1:$SV$206,$B36,Settings!$C$9+27)&amp;"",CHAR(10)," "),CHAR(160)," ")))</f>
        <v/>
      </c>
      <c r="AI36">
        <f>IF($B36="","",IF(F36="","Not rostered",IFERROR(INDEX(Settings!$C$14:$C$33,MATCH(F36,Settings!$B$14:$B$33,0)),IFERROR(LOOKUP(2^15,SEARCH(Settings!$I$14:$I$83,F36)/(Settings!$I$14:$I$83&lt;&gt;""),Settings!$J$14:$J$83),"Other"))))</f>
        <v/>
      </c>
      <c r="AJ36">
        <f>IF($B36="","",IF(G36="","Not rostered",IFERROR(INDEX(Settings!$C$14:$C$33,MATCH(G36,Settings!$B$14:$B$33,0)),IFERROR(LOOKUP(2^15,SEARCH(Settings!$I$14:$I$83,G36)/(Settings!$I$14:$I$83&lt;&gt;""),Settings!$J$14:$J$83),"Other"))))</f>
        <v/>
      </c>
      <c r="AK36">
        <f>IF($B36="","",IF(H36="","Not rostered",IFERROR(INDEX(Settings!$C$14:$C$33,MATCH(H36,Settings!$B$14:$B$33,0)),IFERROR(LOOKUP(2^15,SEARCH(Settings!$I$14:$I$83,H36)/(Settings!$I$14:$I$83&lt;&gt;""),Settings!$J$14:$J$83),"Other"))))</f>
        <v/>
      </c>
      <c r="AL36">
        <f>IF($B36="","",IF(I36="","Not rostered",IFERROR(INDEX(Settings!$C$14:$C$33,MATCH(I36,Settings!$B$14:$B$33,0)),IFERROR(LOOKUP(2^15,SEARCH(Settings!$I$14:$I$83,I36)/(Settings!$I$14:$I$83&lt;&gt;""),Settings!$J$14:$J$83),"Other"))))</f>
        <v/>
      </c>
      <c r="AM36">
        <f>IF($B36="","",IF(J36="","Not rostered",IFERROR(INDEX(Settings!$C$14:$C$33,MATCH(J36,Settings!$B$14:$B$33,0)),IFERROR(LOOKUP(2^15,SEARCH(Settings!$I$14:$I$83,J36)/(Settings!$I$14:$I$83&lt;&gt;""),Settings!$J$14:$J$83),"Other"))))</f>
        <v/>
      </c>
      <c r="AN36">
        <f>IF($B36="","",IF(K36="","Not rostered",IFERROR(INDEX(Settings!$C$14:$C$33,MATCH(K36,Settings!$B$14:$B$33,0)),IFERROR(LOOKUP(2^15,SEARCH(Settings!$I$14:$I$83,K36)/(Settings!$I$14:$I$83&lt;&gt;""),Settings!$J$14:$J$83),"Other"))))</f>
        <v/>
      </c>
      <c r="AO36">
        <f>IF($B36="","",IF(L36="","Not rostered",IFERROR(INDEX(Settings!$C$14:$C$33,MATCH(L36,Settings!$B$14:$B$33,0)),IFERROR(LOOKUP(2^15,SEARCH(Settings!$I$14:$I$83,L36)/(Settings!$I$14:$I$83&lt;&gt;""),Settings!$J$14:$J$83),"Other"))))</f>
        <v/>
      </c>
      <c r="AP36">
        <f>IF($B36="","",IF(M36="","Not rostered",IFERROR(INDEX(Settings!$C$14:$C$33,MATCH(M36,Settings!$B$14:$B$33,0)),IFERROR(LOOKUP(2^15,SEARCH(Settings!$I$14:$I$83,M36)/(Settings!$I$14:$I$83&lt;&gt;""),Settings!$J$14:$J$83),"Other"))))</f>
        <v/>
      </c>
      <c r="AQ36">
        <f>IF($B36="","",IF(N36="","Not rostered",IFERROR(INDEX(Settings!$C$14:$C$33,MATCH(N36,Settings!$B$14:$B$33,0)),IFERROR(LOOKUP(2^15,SEARCH(Settings!$I$14:$I$83,N36)/(Settings!$I$14:$I$83&lt;&gt;""),Settings!$J$14:$J$83),"Other"))))</f>
        <v/>
      </c>
      <c r="AR36">
        <f>IF($B36="","",IF(O36="","Not rostered",IFERROR(INDEX(Settings!$C$14:$C$33,MATCH(O36,Settings!$B$14:$B$33,0)),IFERROR(LOOKUP(2^15,SEARCH(Settings!$I$14:$I$83,O36)/(Settings!$I$14:$I$83&lt;&gt;""),Settings!$J$14:$J$83),"Other"))))</f>
        <v/>
      </c>
      <c r="AS36">
        <f>IF($B36="","",IF(P36="","Not rostered",IFERROR(INDEX(Settings!$C$14:$C$33,MATCH(P36,Settings!$B$14:$B$33,0)),IFERROR(LOOKUP(2^15,SEARCH(Settings!$I$14:$I$83,P36)/(Settings!$I$14:$I$83&lt;&gt;""),Settings!$J$14:$J$83),"Other"))))</f>
        <v/>
      </c>
      <c r="AT36">
        <f>IF($B36="","",IF(Q36="","Not rostered",IFERROR(INDEX(Settings!$C$14:$C$33,MATCH(Q36,Settings!$B$14:$B$33,0)),IFERROR(LOOKUP(2^15,SEARCH(Settings!$I$14:$I$83,Q36)/(Settings!$I$14:$I$83&lt;&gt;""),Settings!$J$14:$J$83),"Other"))))</f>
        <v/>
      </c>
      <c r="AU36">
        <f>IF($B36="","",IF(R36="","Not rostered",IFERROR(INDEX(Settings!$C$14:$C$33,MATCH(R36,Settings!$B$14:$B$33,0)),IFERROR(LOOKUP(2^15,SEARCH(Settings!$I$14:$I$83,R36)/(Settings!$I$14:$I$83&lt;&gt;""),Settings!$J$14:$J$83),"Other"))))</f>
        <v/>
      </c>
      <c r="AV36">
        <f>IF($B36="","",IF(S36="","Not rostered",IFERROR(INDEX(Settings!$C$14:$C$33,MATCH(S36,Settings!$B$14:$B$33,0)),IFERROR(LOOKUP(2^15,SEARCH(Settings!$I$14:$I$83,S36)/(Settings!$I$14:$I$83&lt;&gt;""),Settings!$J$14:$J$83),"Other"))))</f>
        <v/>
      </c>
      <c r="AW36">
        <f>IF($B36="","",IF(T36="","Not rostered",IFERROR(INDEX(Settings!$C$14:$C$33,MATCH(T36,Settings!$B$14:$B$33,0)),IFERROR(LOOKUP(2^15,SEARCH(Settings!$I$14:$I$83,T36)/(Settings!$I$14:$I$83&lt;&gt;""),Settings!$J$14:$J$83),"Other"))))</f>
        <v/>
      </c>
      <c r="AX36">
        <f>IF($B36="","",IF(U36="","Not rostered",IFERROR(INDEX(Settings!$C$14:$C$33,MATCH(U36,Settings!$B$14:$B$33,0)),IFERROR(LOOKUP(2^15,SEARCH(Settings!$I$14:$I$83,U36)/(Settings!$I$14:$I$83&lt;&gt;""),Settings!$J$14:$J$83),"Other"))))</f>
        <v/>
      </c>
      <c r="AY36">
        <f>IF($B36="","",IF(V36="","Not rostered",IFERROR(INDEX(Settings!$C$14:$C$33,MATCH(V36,Settings!$B$14:$B$33,0)),IFERROR(LOOKUP(2^15,SEARCH(Settings!$I$14:$I$83,V36)/(Settings!$I$14:$I$83&lt;&gt;""),Settings!$J$14:$J$83),"Other"))))</f>
        <v/>
      </c>
      <c r="AZ36">
        <f>IF($B36="","",IF(W36="","Not rostered",IFERROR(INDEX(Settings!$C$14:$C$33,MATCH(W36,Settings!$B$14:$B$33,0)),IFERROR(LOOKUP(2^15,SEARCH(Settings!$I$14:$I$83,W36)/(Settings!$I$14:$I$83&lt;&gt;""),Settings!$J$14:$J$83),"Other"))))</f>
        <v/>
      </c>
      <c r="BA36">
        <f>IF($B36="","",IF(X36="","Not rostered",IFERROR(INDEX(Settings!$C$14:$C$33,MATCH(X36,Settings!$B$14:$B$33,0)),IFERROR(LOOKUP(2^15,SEARCH(Settings!$I$14:$I$83,X36)/(Settings!$I$14:$I$83&lt;&gt;""),Settings!$J$14:$J$83),"Other"))))</f>
        <v/>
      </c>
      <c r="BB36">
        <f>IF($B36="","",IF(Y36="","Not rostered",IFERROR(INDEX(Settings!$C$14:$C$33,MATCH(Y36,Settings!$B$14:$B$33,0)),IFERROR(LOOKUP(2^15,SEARCH(Settings!$I$14:$I$83,Y36)/(Settings!$I$14:$I$83&lt;&gt;""),Settings!$J$14:$J$83),"Other"))))</f>
        <v/>
      </c>
      <c r="BC36">
        <f>IF($B36="","",IF(Z36="","Not rostered",IFERROR(INDEX(Settings!$C$14:$C$33,MATCH(Z36,Settings!$B$14:$B$33,0)),IFERROR(LOOKUP(2^15,SEARCH(Settings!$I$14:$I$83,Z36)/(Settings!$I$14:$I$83&lt;&gt;""),Settings!$J$14:$J$83),"Other"))))</f>
        <v/>
      </c>
      <c r="BD36">
        <f>IF($B36="","",IF(AA36="","Not rostered",IFERROR(INDEX(Settings!$C$14:$C$33,MATCH(AA36,Settings!$B$14:$B$33,0)),IFERROR(LOOKUP(2^15,SEARCH(Settings!$I$14:$I$83,AA36)/(Settings!$I$14:$I$83&lt;&gt;""),Settings!$J$14:$J$83),"Other"))))</f>
        <v/>
      </c>
      <c r="BE36">
        <f>IF($B36="","",IF(AB36="","Not rostered",IFERROR(INDEX(Settings!$C$14:$C$33,MATCH(AB36,Settings!$B$14:$B$33,0)),IFERROR(LOOKUP(2^15,SEARCH(Settings!$I$14:$I$83,AB36)/(Settings!$I$14:$I$83&lt;&gt;""),Settings!$J$14:$J$83),"Other"))))</f>
        <v/>
      </c>
      <c r="BF36">
        <f>IF($B36="","",IF(AC36="","Not rostered",IFERROR(INDEX(Settings!$C$14:$C$33,MATCH(AC36,Settings!$B$14:$B$33,0)),IFERROR(LOOKUP(2^15,SEARCH(Settings!$I$14:$I$83,AC36)/(Settings!$I$14:$I$83&lt;&gt;""),Settings!$J$14:$J$83),"Other"))))</f>
        <v/>
      </c>
      <c r="BG36">
        <f>IF($B36="","",IF(AD36="","Not rostered",IFERROR(INDEX(Settings!$C$14:$C$33,MATCH(AD36,Settings!$B$14:$B$33,0)),IFERROR(LOOKUP(2^15,SEARCH(Settings!$I$14:$I$83,AD36)/(Settings!$I$14:$I$83&lt;&gt;""),Settings!$J$14:$J$83),"Other"))))</f>
        <v/>
      </c>
      <c r="BH36">
        <f>IF($B36="","",IF(AE36="","Not rostered",IFERROR(INDEX(Settings!$C$14:$C$33,MATCH(AE36,Settings!$B$14:$B$33,0)),IFERROR(LOOKUP(2^15,SEARCH(Settings!$I$14:$I$83,AE36)/(Settings!$I$14:$I$83&lt;&gt;""),Settings!$J$14:$J$83),"Other"))))</f>
        <v/>
      </c>
      <c r="BI36">
        <f>IF($B36="","",IF(AF36="","Not rostered",IFERROR(INDEX(Settings!$C$14:$C$33,MATCH(AF36,Settings!$B$14:$B$33,0)),IFERROR(LOOKUP(2^15,SEARCH(Settings!$I$14:$I$83,AF36)/(Settings!$I$14:$I$83&lt;&gt;""),Settings!$J$14:$J$83),"Other"))))</f>
        <v/>
      </c>
      <c r="BJ36">
        <f>IF($B36="","",IF(AG36="","Not rostered",IFERROR(INDEX(Settings!$C$14:$C$33,MATCH(AG36,Settings!$B$14:$B$33,0)),IFERROR(LOOKUP(2^15,SEARCH(Settings!$I$14:$I$83,AG36)/(Settings!$I$14:$I$83&lt;&gt;""),Settings!$J$14:$J$83),"Other"))))</f>
        <v/>
      </c>
      <c r="BL36">
        <f>IF(OR($B36="",F36=""),"",IFERROR(INDEX(Settings!$D$14:$D$33,MATCH(F36,Settings!$B$14:$B$33,0))&amp;"",IFERROR(LOOKUP(2^15,SEARCH(Settings!$F$14:$F$43,F36)/(Settings!$F$14:$F$43&lt;&gt;""),Settings!$G$14:$G$43),"")))</f>
        <v/>
      </c>
      <c r="BM36">
        <f>IF(OR($B36="",G36=""),"",IFERROR(INDEX(Settings!$D$14:$D$33,MATCH(G36,Settings!$B$14:$B$33,0))&amp;"",IFERROR(LOOKUP(2^15,SEARCH(Settings!$F$14:$F$43,G36)/(Settings!$F$14:$F$43&lt;&gt;""),Settings!$G$14:$G$43),"")))</f>
        <v/>
      </c>
      <c r="BN36">
        <f>IF(OR($B36="",H36=""),"",IFERROR(INDEX(Settings!$D$14:$D$33,MATCH(H36,Settings!$B$14:$B$33,0))&amp;"",IFERROR(LOOKUP(2^15,SEARCH(Settings!$F$14:$F$43,H36)/(Settings!$F$14:$F$43&lt;&gt;""),Settings!$G$14:$G$43),"")))</f>
        <v/>
      </c>
      <c r="BO36">
        <f>IF(OR($B36="",I36=""),"",IFERROR(INDEX(Settings!$D$14:$D$33,MATCH(I36,Settings!$B$14:$B$33,0))&amp;"",IFERROR(LOOKUP(2^15,SEARCH(Settings!$F$14:$F$43,I36)/(Settings!$F$14:$F$43&lt;&gt;""),Settings!$G$14:$G$43),"")))</f>
        <v/>
      </c>
      <c r="BP36">
        <f>IF(OR($B36="",J36=""),"",IFERROR(INDEX(Settings!$D$14:$D$33,MATCH(J36,Settings!$B$14:$B$33,0))&amp;"",IFERROR(LOOKUP(2^15,SEARCH(Settings!$F$14:$F$43,J36)/(Settings!$F$14:$F$43&lt;&gt;""),Settings!$G$14:$G$43),"")))</f>
        <v/>
      </c>
      <c r="BQ36">
        <f>IF(OR($B36="",K36=""),"",IFERROR(INDEX(Settings!$D$14:$D$33,MATCH(K36,Settings!$B$14:$B$33,0))&amp;"",IFERROR(LOOKUP(2^15,SEARCH(Settings!$F$14:$F$43,K36)/(Settings!$F$14:$F$43&lt;&gt;""),Settings!$G$14:$G$43),"")))</f>
        <v/>
      </c>
      <c r="BR36">
        <f>IF(OR($B36="",L36=""),"",IFERROR(INDEX(Settings!$D$14:$D$33,MATCH(L36,Settings!$B$14:$B$33,0))&amp;"",IFERROR(LOOKUP(2^15,SEARCH(Settings!$F$14:$F$43,L36)/(Settings!$F$14:$F$43&lt;&gt;""),Settings!$G$14:$G$43),"")))</f>
        <v/>
      </c>
      <c r="BS36">
        <f>IF(OR($B36="",M36=""),"",IFERROR(INDEX(Settings!$D$14:$D$33,MATCH(M36,Settings!$B$14:$B$33,0))&amp;"",IFERROR(LOOKUP(2^15,SEARCH(Settings!$F$14:$F$43,M36)/(Settings!$F$14:$F$43&lt;&gt;""),Settings!$G$14:$G$43),"")))</f>
        <v/>
      </c>
      <c r="BT36">
        <f>IF(OR($B36="",N36=""),"",IFERROR(INDEX(Settings!$D$14:$D$33,MATCH(N36,Settings!$B$14:$B$33,0))&amp;"",IFERROR(LOOKUP(2^15,SEARCH(Settings!$F$14:$F$43,N36)/(Settings!$F$14:$F$43&lt;&gt;""),Settings!$G$14:$G$43),"")))</f>
        <v/>
      </c>
      <c r="BU36">
        <f>IF(OR($B36="",O36=""),"",IFERROR(INDEX(Settings!$D$14:$D$33,MATCH(O36,Settings!$B$14:$B$33,0))&amp;"",IFERROR(LOOKUP(2^15,SEARCH(Settings!$F$14:$F$43,O36)/(Settings!$F$14:$F$43&lt;&gt;""),Settings!$G$14:$G$43),"")))</f>
        <v/>
      </c>
      <c r="BV36">
        <f>IF(OR($B36="",P36=""),"",IFERROR(INDEX(Settings!$D$14:$D$33,MATCH(P36,Settings!$B$14:$B$33,0))&amp;"",IFERROR(LOOKUP(2^15,SEARCH(Settings!$F$14:$F$43,P36)/(Settings!$F$14:$F$43&lt;&gt;""),Settings!$G$14:$G$43),"")))</f>
        <v/>
      </c>
      <c r="BW36">
        <f>IF(OR($B36="",Q36=""),"",IFERROR(INDEX(Settings!$D$14:$D$33,MATCH(Q36,Settings!$B$14:$B$33,0))&amp;"",IFERROR(LOOKUP(2^15,SEARCH(Settings!$F$14:$F$43,Q36)/(Settings!$F$14:$F$43&lt;&gt;""),Settings!$G$14:$G$43),"")))</f>
        <v/>
      </c>
      <c r="BX36">
        <f>IF(OR($B36="",R36=""),"",IFERROR(INDEX(Settings!$D$14:$D$33,MATCH(R36,Settings!$B$14:$B$33,0))&amp;"",IFERROR(LOOKUP(2^15,SEARCH(Settings!$F$14:$F$43,R36)/(Settings!$F$14:$F$43&lt;&gt;""),Settings!$G$14:$G$43),"")))</f>
        <v/>
      </c>
      <c r="BY36">
        <f>IF(OR($B36="",S36=""),"",IFERROR(INDEX(Settings!$D$14:$D$33,MATCH(S36,Settings!$B$14:$B$33,0))&amp;"",IFERROR(LOOKUP(2^15,SEARCH(Settings!$F$14:$F$43,S36)/(Settings!$F$14:$F$43&lt;&gt;""),Settings!$G$14:$G$43),"")))</f>
        <v/>
      </c>
      <c r="BZ36">
        <f>IF(OR($B36="",T36=""),"",IFERROR(INDEX(Settings!$D$14:$D$33,MATCH(T36,Settings!$B$14:$B$33,0))&amp;"",IFERROR(LOOKUP(2^15,SEARCH(Settings!$F$14:$F$43,T36)/(Settings!$F$14:$F$43&lt;&gt;""),Settings!$G$14:$G$43),"")))</f>
        <v/>
      </c>
      <c r="CA36">
        <f>IF(OR($B36="",U36=""),"",IFERROR(INDEX(Settings!$D$14:$D$33,MATCH(U36,Settings!$B$14:$B$33,0))&amp;"",IFERROR(LOOKUP(2^15,SEARCH(Settings!$F$14:$F$43,U36)/(Settings!$F$14:$F$43&lt;&gt;""),Settings!$G$14:$G$43),"")))</f>
        <v/>
      </c>
      <c r="CB36">
        <f>IF(OR($B36="",V36=""),"",IFERROR(INDEX(Settings!$D$14:$D$33,MATCH(V36,Settings!$B$14:$B$33,0))&amp;"",IFERROR(LOOKUP(2^15,SEARCH(Settings!$F$14:$F$43,V36)/(Settings!$F$14:$F$43&lt;&gt;""),Settings!$G$14:$G$43),"")))</f>
        <v/>
      </c>
      <c r="CC36">
        <f>IF(OR($B36="",W36=""),"",IFERROR(INDEX(Settings!$D$14:$D$33,MATCH(W36,Settings!$B$14:$B$33,0))&amp;"",IFERROR(LOOKUP(2^15,SEARCH(Settings!$F$14:$F$43,W36)/(Settings!$F$14:$F$43&lt;&gt;""),Settings!$G$14:$G$43),"")))</f>
        <v/>
      </c>
      <c r="CD36">
        <f>IF(OR($B36="",X36=""),"",IFERROR(INDEX(Settings!$D$14:$D$33,MATCH(X36,Settings!$B$14:$B$33,0))&amp;"",IFERROR(LOOKUP(2^15,SEARCH(Settings!$F$14:$F$43,X36)/(Settings!$F$14:$F$43&lt;&gt;""),Settings!$G$14:$G$43),"")))</f>
        <v/>
      </c>
      <c r="CE36">
        <f>IF(OR($B36="",Y36=""),"",IFERROR(INDEX(Settings!$D$14:$D$33,MATCH(Y36,Settings!$B$14:$B$33,0))&amp;"",IFERROR(LOOKUP(2^15,SEARCH(Settings!$F$14:$F$43,Y36)/(Settings!$F$14:$F$43&lt;&gt;""),Settings!$G$14:$G$43),"")))</f>
        <v/>
      </c>
      <c r="CF36">
        <f>IF(OR($B36="",Z36=""),"",IFERROR(INDEX(Settings!$D$14:$D$33,MATCH(Z36,Settings!$B$14:$B$33,0))&amp;"",IFERROR(LOOKUP(2^15,SEARCH(Settings!$F$14:$F$43,Z36)/(Settings!$F$14:$F$43&lt;&gt;""),Settings!$G$14:$G$43),"")))</f>
        <v/>
      </c>
      <c r="CG36">
        <f>IF(OR($B36="",AA36=""),"",IFERROR(INDEX(Settings!$D$14:$D$33,MATCH(AA36,Settings!$B$14:$B$33,0))&amp;"",IFERROR(LOOKUP(2^15,SEARCH(Settings!$F$14:$F$43,AA36)/(Settings!$F$14:$F$43&lt;&gt;""),Settings!$G$14:$G$43),"")))</f>
        <v/>
      </c>
      <c r="CH36">
        <f>IF(OR($B36="",AB36=""),"",IFERROR(INDEX(Settings!$D$14:$D$33,MATCH(AB36,Settings!$B$14:$B$33,0))&amp;"",IFERROR(LOOKUP(2^15,SEARCH(Settings!$F$14:$F$43,AB36)/(Settings!$F$14:$F$43&lt;&gt;""),Settings!$G$14:$G$43),"")))</f>
        <v/>
      </c>
      <c r="CI36">
        <f>IF(OR($B36="",AC36=""),"",IFERROR(INDEX(Settings!$D$14:$D$33,MATCH(AC36,Settings!$B$14:$B$33,0))&amp;"",IFERROR(LOOKUP(2^15,SEARCH(Settings!$F$14:$F$43,AC36)/(Settings!$F$14:$F$43&lt;&gt;""),Settings!$G$14:$G$43),"")))</f>
        <v/>
      </c>
      <c r="CJ36">
        <f>IF(OR($B36="",AD36=""),"",IFERROR(INDEX(Settings!$D$14:$D$33,MATCH(AD36,Settings!$B$14:$B$33,0))&amp;"",IFERROR(LOOKUP(2^15,SEARCH(Settings!$F$14:$F$43,AD36)/(Settings!$F$14:$F$43&lt;&gt;""),Settings!$G$14:$G$43),"")))</f>
        <v/>
      </c>
      <c r="CK36">
        <f>IF(OR($B36="",AE36=""),"",IFERROR(INDEX(Settings!$D$14:$D$33,MATCH(AE36,Settings!$B$14:$B$33,0))&amp;"",IFERROR(LOOKUP(2^15,SEARCH(Settings!$F$14:$F$43,AE36)/(Settings!$F$14:$F$43&lt;&gt;""),Settings!$G$14:$G$43),"")))</f>
        <v/>
      </c>
      <c r="CL36">
        <f>IF(OR($B36="",AF36=""),"",IFERROR(INDEX(Settings!$D$14:$D$33,MATCH(AF36,Settings!$B$14:$B$33,0))&amp;"",IFERROR(LOOKUP(2^15,SEARCH(Settings!$F$14:$F$43,AF36)/(Settings!$F$14:$F$43&lt;&gt;""),Settings!$G$14:$G$43),"")))</f>
        <v/>
      </c>
      <c r="CM36">
        <f>IF(OR($B36="",AG36=""),"",IFERROR(INDEX(Settings!$D$14:$D$33,MATCH(AG36,Settings!$B$14:$B$33,0))&amp;"",IFERROR(LOOKUP(2^15,SEARCH(Settings!$F$14:$F$43,AG36)/(Settings!$F$14:$F$43&lt;&gt;""),Settings!$G$14:$G$43),"")))</f>
        <v/>
      </c>
    </row>
    <row r="37">
      <c r="A37" t="n">
        <v>35</v>
      </c>
      <c r="B37">
        <f>IFERROR(INDEX(Index!$A$2:$A$202,MATCH(A37,Index!$E$2:$E$202,0)),"")</f>
        <v/>
      </c>
      <c r="D37">
        <f>IF($B37="","",IFERROR(MATCH("Travel*",AI37:BJ37,0),""))</f>
        <v/>
      </c>
      <c r="F37">
        <f>IF(OR($B37="",NOT(ISNUMBER(Settings!$C$9))),"",TRIM(SUBSTITUTE(SUBSTITUTE(INDEX('INPUT - Roster'!$S$1:$SV$206,$B37,Settings!$C$9+0)&amp;"",CHAR(10)," "),CHAR(160)," ")))</f>
        <v/>
      </c>
      <c r="G37">
        <f>IF(OR($B37="",NOT(ISNUMBER(Settings!$C$9))),"",TRIM(SUBSTITUTE(SUBSTITUTE(INDEX('INPUT - Roster'!$S$1:$SV$206,$B37,Settings!$C$9+1)&amp;"",CHAR(10)," "),CHAR(160)," ")))</f>
        <v/>
      </c>
      <c r="H37">
        <f>IF(OR($B37="",NOT(ISNUMBER(Settings!$C$9))),"",TRIM(SUBSTITUTE(SUBSTITUTE(INDEX('INPUT - Roster'!$S$1:$SV$206,$B37,Settings!$C$9+2)&amp;"",CHAR(10)," "),CHAR(160)," ")))</f>
        <v/>
      </c>
      <c r="I37">
        <f>IF(OR($B37="",NOT(ISNUMBER(Settings!$C$9))),"",TRIM(SUBSTITUTE(SUBSTITUTE(INDEX('INPUT - Roster'!$S$1:$SV$206,$B37,Settings!$C$9+3)&amp;"",CHAR(10)," "),CHAR(160)," ")))</f>
        <v/>
      </c>
      <c r="J37">
        <f>IF(OR($B37="",NOT(ISNUMBER(Settings!$C$9))),"",TRIM(SUBSTITUTE(SUBSTITUTE(INDEX('INPUT - Roster'!$S$1:$SV$206,$B37,Settings!$C$9+4)&amp;"",CHAR(10)," "),CHAR(160)," ")))</f>
        <v/>
      </c>
      <c r="K37">
        <f>IF(OR($B37="",NOT(ISNUMBER(Settings!$C$9))),"",TRIM(SUBSTITUTE(SUBSTITUTE(INDEX('INPUT - Roster'!$S$1:$SV$206,$B37,Settings!$C$9+5)&amp;"",CHAR(10)," "),CHAR(160)," ")))</f>
        <v/>
      </c>
      <c r="L37">
        <f>IF(OR($B37="",NOT(ISNUMBER(Settings!$C$9))),"",TRIM(SUBSTITUTE(SUBSTITUTE(INDEX('INPUT - Roster'!$S$1:$SV$206,$B37,Settings!$C$9+6)&amp;"",CHAR(10)," "),CHAR(160)," ")))</f>
        <v/>
      </c>
      <c r="M37">
        <f>IF(OR($B37="",NOT(ISNUMBER(Settings!$C$9))),"",TRIM(SUBSTITUTE(SUBSTITUTE(INDEX('INPUT - Roster'!$S$1:$SV$206,$B37,Settings!$C$9+7)&amp;"",CHAR(10)," "),CHAR(160)," ")))</f>
        <v/>
      </c>
      <c r="N37">
        <f>IF(OR($B37="",NOT(ISNUMBER(Settings!$C$9))),"",TRIM(SUBSTITUTE(SUBSTITUTE(INDEX('INPUT - Roster'!$S$1:$SV$206,$B37,Settings!$C$9+8)&amp;"",CHAR(10)," "),CHAR(160)," ")))</f>
        <v/>
      </c>
      <c r="O37">
        <f>IF(OR($B37="",NOT(ISNUMBER(Settings!$C$9))),"",TRIM(SUBSTITUTE(SUBSTITUTE(INDEX('INPUT - Roster'!$S$1:$SV$206,$B37,Settings!$C$9+9)&amp;"",CHAR(10)," "),CHAR(160)," ")))</f>
        <v/>
      </c>
      <c r="P37">
        <f>IF(OR($B37="",NOT(ISNUMBER(Settings!$C$9))),"",TRIM(SUBSTITUTE(SUBSTITUTE(INDEX('INPUT - Roster'!$S$1:$SV$206,$B37,Settings!$C$9+10)&amp;"",CHAR(10)," "),CHAR(160)," ")))</f>
        <v/>
      </c>
      <c r="Q37">
        <f>IF(OR($B37="",NOT(ISNUMBER(Settings!$C$9))),"",TRIM(SUBSTITUTE(SUBSTITUTE(INDEX('INPUT - Roster'!$S$1:$SV$206,$B37,Settings!$C$9+11)&amp;"",CHAR(10)," "),CHAR(160)," ")))</f>
        <v/>
      </c>
      <c r="R37">
        <f>IF(OR($B37="",NOT(ISNUMBER(Settings!$C$9))),"",TRIM(SUBSTITUTE(SUBSTITUTE(INDEX('INPUT - Roster'!$S$1:$SV$206,$B37,Settings!$C$9+12)&amp;"",CHAR(10)," "),CHAR(160)," ")))</f>
        <v/>
      </c>
      <c r="S37">
        <f>IF(OR($B37="",NOT(ISNUMBER(Settings!$C$9))),"",TRIM(SUBSTITUTE(SUBSTITUTE(INDEX('INPUT - Roster'!$S$1:$SV$206,$B37,Settings!$C$9+13)&amp;"",CHAR(10)," "),CHAR(160)," ")))</f>
        <v/>
      </c>
      <c r="T37">
        <f>IF(OR($B37="",NOT(ISNUMBER(Settings!$C$9))),"",TRIM(SUBSTITUTE(SUBSTITUTE(INDEX('INPUT - Roster'!$S$1:$SV$206,$B37,Settings!$C$9+14)&amp;"",CHAR(10)," "),CHAR(160)," ")))</f>
        <v/>
      </c>
      <c r="U37">
        <f>IF(OR($B37="",NOT(ISNUMBER(Settings!$C$9))),"",TRIM(SUBSTITUTE(SUBSTITUTE(INDEX('INPUT - Roster'!$S$1:$SV$206,$B37,Settings!$C$9+15)&amp;"",CHAR(10)," "),CHAR(160)," ")))</f>
        <v/>
      </c>
      <c r="V37">
        <f>IF(OR($B37="",NOT(ISNUMBER(Settings!$C$9))),"",TRIM(SUBSTITUTE(SUBSTITUTE(INDEX('INPUT - Roster'!$S$1:$SV$206,$B37,Settings!$C$9+16)&amp;"",CHAR(10)," "),CHAR(160)," ")))</f>
        <v/>
      </c>
      <c r="W37">
        <f>IF(OR($B37="",NOT(ISNUMBER(Settings!$C$9))),"",TRIM(SUBSTITUTE(SUBSTITUTE(INDEX('INPUT - Roster'!$S$1:$SV$206,$B37,Settings!$C$9+17)&amp;"",CHAR(10)," "),CHAR(160)," ")))</f>
        <v/>
      </c>
      <c r="X37">
        <f>IF(OR($B37="",NOT(ISNUMBER(Settings!$C$9))),"",TRIM(SUBSTITUTE(SUBSTITUTE(INDEX('INPUT - Roster'!$S$1:$SV$206,$B37,Settings!$C$9+18)&amp;"",CHAR(10)," "),CHAR(160)," ")))</f>
        <v/>
      </c>
      <c r="Y37">
        <f>IF(OR($B37="",NOT(ISNUMBER(Settings!$C$9))),"",TRIM(SUBSTITUTE(SUBSTITUTE(INDEX('INPUT - Roster'!$S$1:$SV$206,$B37,Settings!$C$9+19)&amp;"",CHAR(10)," "),CHAR(160)," ")))</f>
        <v/>
      </c>
      <c r="Z37">
        <f>IF(OR($B37="",NOT(ISNUMBER(Settings!$C$9))),"",TRIM(SUBSTITUTE(SUBSTITUTE(INDEX('INPUT - Roster'!$S$1:$SV$206,$B37,Settings!$C$9+20)&amp;"",CHAR(10)," "),CHAR(160)," ")))</f>
        <v/>
      </c>
      <c r="AA37">
        <f>IF(OR($B37="",NOT(ISNUMBER(Settings!$C$9))),"",TRIM(SUBSTITUTE(SUBSTITUTE(INDEX('INPUT - Roster'!$S$1:$SV$206,$B37,Settings!$C$9+21)&amp;"",CHAR(10)," "),CHAR(160)," ")))</f>
        <v/>
      </c>
      <c r="AB37">
        <f>IF(OR($B37="",NOT(ISNUMBER(Settings!$C$9))),"",TRIM(SUBSTITUTE(SUBSTITUTE(INDEX('INPUT - Roster'!$S$1:$SV$206,$B37,Settings!$C$9+22)&amp;"",CHAR(10)," "),CHAR(160)," ")))</f>
        <v/>
      </c>
      <c r="AC37">
        <f>IF(OR($B37="",NOT(ISNUMBER(Settings!$C$9))),"",TRIM(SUBSTITUTE(SUBSTITUTE(INDEX('INPUT - Roster'!$S$1:$SV$206,$B37,Settings!$C$9+23)&amp;"",CHAR(10)," "),CHAR(160)," ")))</f>
        <v/>
      </c>
      <c r="AD37">
        <f>IF(OR($B37="",NOT(ISNUMBER(Settings!$C$9))),"",TRIM(SUBSTITUTE(SUBSTITUTE(INDEX('INPUT - Roster'!$S$1:$SV$206,$B37,Settings!$C$9+24)&amp;"",CHAR(10)," "),CHAR(160)," ")))</f>
        <v/>
      </c>
      <c r="AE37">
        <f>IF(OR($B37="",NOT(ISNUMBER(Settings!$C$9))),"",TRIM(SUBSTITUTE(SUBSTITUTE(INDEX('INPUT - Roster'!$S$1:$SV$206,$B37,Settings!$C$9+25)&amp;"",CHAR(10)," "),CHAR(160)," ")))</f>
        <v/>
      </c>
      <c r="AF37">
        <f>IF(OR($B37="",NOT(ISNUMBER(Settings!$C$9))),"",TRIM(SUBSTITUTE(SUBSTITUTE(INDEX('INPUT - Roster'!$S$1:$SV$206,$B37,Settings!$C$9+26)&amp;"",CHAR(10)," "),CHAR(160)," ")))</f>
        <v/>
      </c>
      <c r="AG37">
        <f>IF(OR($B37="",NOT(ISNUMBER(Settings!$C$9))),"",TRIM(SUBSTITUTE(SUBSTITUTE(INDEX('INPUT - Roster'!$S$1:$SV$206,$B37,Settings!$C$9+27)&amp;"",CHAR(10)," "),CHAR(160)," ")))</f>
        <v/>
      </c>
      <c r="AI37">
        <f>IF($B37="","",IF(F37="","Not rostered",IFERROR(INDEX(Settings!$C$14:$C$33,MATCH(F37,Settings!$B$14:$B$33,0)),IFERROR(LOOKUP(2^15,SEARCH(Settings!$I$14:$I$83,F37)/(Settings!$I$14:$I$83&lt;&gt;""),Settings!$J$14:$J$83),"Other"))))</f>
        <v/>
      </c>
      <c r="AJ37">
        <f>IF($B37="","",IF(G37="","Not rostered",IFERROR(INDEX(Settings!$C$14:$C$33,MATCH(G37,Settings!$B$14:$B$33,0)),IFERROR(LOOKUP(2^15,SEARCH(Settings!$I$14:$I$83,G37)/(Settings!$I$14:$I$83&lt;&gt;""),Settings!$J$14:$J$83),"Other"))))</f>
        <v/>
      </c>
      <c r="AK37">
        <f>IF($B37="","",IF(H37="","Not rostered",IFERROR(INDEX(Settings!$C$14:$C$33,MATCH(H37,Settings!$B$14:$B$33,0)),IFERROR(LOOKUP(2^15,SEARCH(Settings!$I$14:$I$83,H37)/(Settings!$I$14:$I$83&lt;&gt;""),Settings!$J$14:$J$83),"Other"))))</f>
        <v/>
      </c>
      <c r="AL37">
        <f>IF($B37="","",IF(I37="","Not rostered",IFERROR(INDEX(Settings!$C$14:$C$33,MATCH(I37,Settings!$B$14:$B$33,0)),IFERROR(LOOKUP(2^15,SEARCH(Settings!$I$14:$I$83,I37)/(Settings!$I$14:$I$83&lt;&gt;""),Settings!$J$14:$J$83),"Other"))))</f>
        <v/>
      </c>
      <c r="AM37">
        <f>IF($B37="","",IF(J37="","Not rostered",IFERROR(INDEX(Settings!$C$14:$C$33,MATCH(J37,Settings!$B$14:$B$33,0)),IFERROR(LOOKUP(2^15,SEARCH(Settings!$I$14:$I$83,J37)/(Settings!$I$14:$I$83&lt;&gt;""),Settings!$J$14:$J$83),"Other"))))</f>
        <v/>
      </c>
      <c r="AN37">
        <f>IF($B37="","",IF(K37="","Not rostered",IFERROR(INDEX(Settings!$C$14:$C$33,MATCH(K37,Settings!$B$14:$B$33,0)),IFERROR(LOOKUP(2^15,SEARCH(Settings!$I$14:$I$83,K37)/(Settings!$I$14:$I$83&lt;&gt;""),Settings!$J$14:$J$83),"Other"))))</f>
        <v/>
      </c>
      <c r="AO37">
        <f>IF($B37="","",IF(L37="","Not rostered",IFERROR(INDEX(Settings!$C$14:$C$33,MATCH(L37,Settings!$B$14:$B$33,0)),IFERROR(LOOKUP(2^15,SEARCH(Settings!$I$14:$I$83,L37)/(Settings!$I$14:$I$83&lt;&gt;""),Settings!$J$14:$J$83),"Other"))))</f>
        <v/>
      </c>
      <c r="AP37">
        <f>IF($B37="","",IF(M37="","Not rostered",IFERROR(INDEX(Settings!$C$14:$C$33,MATCH(M37,Settings!$B$14:$B$33,0)),IFERROR(LOOKUP(2^15,SEARCH(Settings!$I$14:$I$83,M37)/(Settings!$I$14:$I$83&lt;&gt;""),Settings!$J$14:$J$83),"Other"))))</f>
        <v/>
      </c>
      <c r="AQ37">
        <f>IF($B37="","",IF(N37="","Not rostered",IFERROR(INDEX(Settings!$C$14:$C$33,MATCH(N37,Settings!$B$14:$B$33,0)),IFERROR(LOOKUP(2^15,SEARCH(Settings!$I$14:$I$83,N37)/(Settings!$I$14:$I$83&lt;&gt;""),Settings!$J$14:$J$83),"Other"))))</f>
        <v/>
      </c>
      <c r="AR37">
        <f>IF($B37="","",IF(O37="","Not rostered",IFERROR(INDEX(Settings!$C$14:$C$33,MATCH(O37,Settings!$B$14:$B$33,0)),IFERROR(LOOKUP(2^15,SEARCH(Settings!$I$14:$I$83,O37)/(Settings!$I$14:$I$83&lt;&gt;""),Settings!$J$14:$J$83),"Other"))))</f>
        <v/>
      </c>
      <c r="AS37">
        <f>IF($B37="","",IF(P37="","Not rostered",IFERROR(INDEX(Settings!$C$14:$C$33,MATCH(P37,Settings!$B$14:$B$33,0)),IFERROR(LOOKUP(2^15,SEARCH(Settings!$I$14:$I$83,P37)/(Settings!$I$14:$I$83&lt;&gt;""),Settings!$J$14:$J$83),"Other"))))</f>
        <v/>
      </c>
      <c r="AT37">
        <f>IF($B37="","",IF(Q37="","Not rostered",IFERROR(INDEX(Settings!$C$14:$C$33,MATCH(Q37,Settings!$B$14:$B$33,0)),IFERROR(LOOKUP(2^15,SEARCH(Settings!$I$14:$I$83,Q37)/(Settings!$I$14:$I$83&lt;&gt;""),Settings!$J$14:$J$83),"Other"))))</f>
        <v/>
      </c>
      <c r="AU37">
        <f>IF($B37="","",IF(R37="","Not rostered",IFERROR(INDEX(Settings!$C$14:$C$33,MATCH(R37,Settings!$B$14:$B$33,0)),IFERROR(LOOKUP(2^15,SEARCH(Settings!$I$14:$I$83,R37)/(Settings!$I$14:$I$83&lt;&gt;""),Settings!$J$14:$J$83),"Other"))))</f>
        <v/>
      </c>
      <c r="AV37">
        <f>IF($B37="","",IF(S37="","Not rostered",IFERROR(INDEX(Settings!$C$14:$C$33,MATCH(S37,Settings!$B$14:$B$33,0)),IFERROR(LOOKUP(2^15,SEARCH(Settings!$I$14:$I$83,S37)/(Settings!$I$14:$I$83&lt;&gt;""),Settings!$J$14:$J$83),"Other"))))</f>
        <v/>
      </c>
      <c r="AW37">
        <f>IF($B37="","",IF(T37="","Not rostered",IFERROR(INDEX(Settings!$C$14:$C$33,MATCH(T37,Settings!$B$14:$B$33,0)),IFERROR(LOOKUP(2^15,SEARCH(Settings!$I$14:$I$83,T37)/(Settings!$I$14:$I$83&lt;&gt;""),Settings!$J$14:$J$83),"Other"))))</f>
        <v/>
      </c>
      <c r="AX37">
        <f>IF($B37="","",IF(U37="","Not rostered",IFERROR(INDEX(Settings!$C$14:$C$33,MATCH(U37,Settings!$B$14:$B$33,0)),IFERROR(LOOKUP(2^15,SEARCH(Settings!$I$14:$I$83,U37)/(Settings!$I$14:$I$83&lt;&gt;""),Settings!$J$14:$J$83),"Other"))))</f>
        <v/>
      </c>
      <c r="AY37">
        <f>IF($B37="","",IF(V37="","Not rostered",IFERROR(INDEX(Settings!$C$14:$C$33,MATCH(V37,Settings!$B$14:$B$33,0)),IFERROR(LOOKUP(2^15,SEARCH(Settings!$I$14:$I$83,V37)/(Settings!$I$14:$I$83&lt;&gt;""),Settings!$J$14:$J$83),"Other"))))</f>
        <v/>
      </c>
      <c r="AZ37">
        <f>IF($B37="","",IF(W37="","Not rostered",IFERROR(INDEX(Settings!$C$14:$C$33,MATCH(W37,Settings!$B$14:$B$33,0)),IFERROR(LOOKUP(2^15,SEARCH(Settings!$I$14:$I$83,W37)/(Settings!$I$14:$I$83&lt;&gt;""),Settings!$J$14:$J$83),"Other"))))</f>
        <v/>
      </c>
      <c r="BA37">
        <f>IF($B37="","",IF(X37="","Not rostered",IFERROR(INDEX(Settings!$C$14:$C$33,MATCH(X37,Settings!$B$14:$B$33,0)),IFERROR(LOOKUP(2^15,SEARCH(Settings!$I$14:$I$83,X37)/(Settings!$I$14:$I$83&lt;&gt;""),Settings!$J$14:$J$83),"Other"))))</f>
        <v/>
      </c>
      <c r="BB37">
        <f>IF($B37="","",IF(Y37="","Not rostered",IFERROR(INDEX(Settings!$C$14:$C$33,MATCH(Y37,Settings!$B$14:$B$33,0)),IFERROR(LOOKUP(2^15,SEARCH(Settings!$I$14:$I$83,Y37)/(Settings!$I$14:$I$83&lt;&gt;""),Settings!$J$14:$J$83),"Other"))))</f>
        <v/>
      </c>
      <c r="BC37">
        <f>IF($B37="","",IF(Z37="","Not rostered",IFERROR(INDEX(Settings!$C$14:$C$33,MATCH(Z37,Settings!$B$14:$B$33,0)),IFERROR(LOOKUP(2^15,SEARCH(Settings!$I$14:$I$83,Z37)/(Settings!$I$14:$I$83&lt;&gt;""),Settings!$J$14:$J$83),"Other"))))</f>
        <v/>
      </c>
      <c r="BD37">
        <f>IF($B37="","",IF(AA37="","Not rostered",IFERROR(INDEX(Settings!$C$14:$C$33,MATCH(AA37,Settings!$B$14:$B$33,0)),IFERROR(LOOKUP(2^15,SEARCH(Settings!$I$14:$I$83,AA37)/(Settings!$I$14:$I$83&lt;&gt;""),Settings!$J$14:$J$83),"Other"))))</f>
        <v/>
      </c>
      <c r="BE37">
        <f>IF($B37="","",IF(AB37="","Not rostered",IFERROR(INDEX(Settings!$C$14:$C$33,MATCH(AB37,Settings!$B$14:$B$33,0)),IFERROR(LOOKUP(2^15,SEARCH(Settings!$I$14:$I$83,AB37)/(Settings!$I$14:$I$83&lt;&gt;""),Settings!$J$14:$J$83),"Other"))))</f>
        <v/>
      </c>
      <c r="BF37">
        <f>IF($B37="","",IF(AC37="","Not rostered",IFERROR(INDEX(Settings!$C$14:$C$33,MATCH(AC37,Settings!$B$14:$B$33,0)),IFERROR(LOOKUP(2^15,SEARCH(Settings!$I$14:$I$83,AC37)/(Settings!$I$14:$I$83&lt;&gt;""),Settings!$J$14:$J$83),"Other"))))</f>
        <v/>
      </c>
      <c r="BG37">
        <f>IF($B37="","",IF(AD37="","Not rostered",IFERROR(INDEX(Settings!$C$14:$C$33,MATCH(AD37,Settings!$B$14:$B$33,0)),IFERROR(LOOKUP(2^15,SEARCH(Settings!$I$14:$I$83,AD37)/(Settings!$I$14:$I$83&lt;&gt;""),Settings!$J$14:$J$83),"Other"))))</f>
        <v/>
      </c>
      <c r="BH37">
        <f>IF($B37="","",IF(AE37="","Not rostered",IFERROR(INDEX(Settings!$C$14:$C$33,MATCH(AE37,Settings!$B$14:$B$33,0)),IFERROR(LOOKUP(2^15,SEARCH(Settings!$I$14:$I$83,AE37)/(Settings!$I$14:$I$83&lt;&gt;""),Settings!$J$14:$J$83),"Other"))))</f>
        <v/>
      </c>
      <c r="BI37">
        <f>IF($B37="","",IF(AF37="","Not rostered",IFERROR(INDEX(Settings!$C$14:$C$33,MATCH(AF37,Settings!$B$14:$B$33,0)),IFERROR(LOOKUP(2^15,SEARCH(Settings!$I$14:$I$83,AF37)/(Settings!$I$14:$I$83&lt;&gt;""),Settings!$J$14:$J$83),"Other"))))</f>
        <v/>
      </c>
      <c r="BJ37">
        <f>IF($B37="","",IF(AG37="","Not rostered",IFERROR(INDEX(Settings!$C$14:$C$33,MATCH(AG37,Settings!$B$14:$B$33,0)),IFERROR(LOOKUP(2^15,SEARCH(Settings!$I$14:$I$83,AG37)/(Settings!$I$14:$I$83&lt;&gt;""),Settings!$J$14:$J$83),"Other"))))</f>
        <v/>
      </c>
      <c r="BL37">
        <f>IF(OR($B37="",F37=""),"",IFERROR(INDEX(Settings!$D$14:$D$33,MATCH(F37,Settings!$B$14:$B$33,0))&amp;"",IFERROR(LOOKUP(2^15,SEARCH(Settings!$F$14:$F$43,F37)/(Settings!$F$14:$F$43&lt;&gt;""),Settings!$G$14:$G$43),"")))</f>
        <v/>
      </c>
      <c r="BM37">
        <f>IF(OR($B37="",G37=""),"",IFERROR(INDEX(Settings!$D$14:$D$33,MATCH(G37,Settings!$B$14:$B$33,0))&amp;"",IFERROR(LOOKUP(2^15,SEARCH(Settings!$F$14:$F$43,G37)/(Settings!$F$14:$F$43&lt;&gt;""),Settings!$G$14:$G$43),"")))</f>
        <v/>
      </c>
      <c r="BN37">
        <f>IF(OR($B37="",H37=""),"",IFERROR(INDEX(Settings!$D$14:$D$33,MATCH(H37,Settings!$B$14:$B$33,0))&amp;"",IFERROR(LOOKUP(2^15,SEARCH(Settings!$F$14:$F$43,H37)/(Settings!$F$14:$F$43&lt;&gt;""),Settings!$G$14:$G$43),"")))</f>
        <v/>
      </c>
      <c r="BO37">
        <f>IF(OR($B37="",I37=""),"",IFERROR(INDEX(Settings!$D$14:$D$33,MATCH(I37,Settings!$B$14:$B$33,0))&amp;"",IFERROR(LOOKUP(2^15,SEARCH(Settings!$F$14:$F$43,I37)/(Settings!$F$14:$F$43&lt;&gt;""),Settings!$G$14:$G$43),"")))</f>
        <v/>
      </c>
      <c r="BP37">
        <f>IF(OR($B37="",J37=""),"",IFERROR(INDEX(Settings!$D$14:$D$33,MATCH(J37,Settings!$B$14:$B$33,0))&amp;"",IFERROR(LOOKUP(2^15,SEARCH(Settings!$F$14:$F$43,J37)/(Settings!$F$14:$F$43&lt;&gt;""),Settings!$G$14:$G$43),"")))</f>
        <v/>
      </c>
      <c r="BQ37">
        <f>IF(OR($B37="",K37=""),"",IFERROR(INDEX(Settings!$D$14:$D$33,MATCH(K37,Settings!$B$14:$B$33,0))&amp;"",IFERROR(LOOKUP(2^15,SEARCH(Settings!$F$14:$F$43,K37)/(Settings!$F$14:$F$43&lt;&gt;""),Settings!$G$14:$G$43),"")))</f>
        <v/>
      </c>
      <c r="BR37">
        <f>IF(OR($B37="",L37=""),"",IFERROR(INDEX(Settings!$D$14:$D$33,MATCH(L37,Settings!$B$14:$B$33,0))&amp;"",IFERROR(LOOKUP(2^15,SEARCH(Settings!$F$14:$F$43,L37)/(Settings!$F$14:$F$43&lt;&gt;""),Settings!$G$14:$G$43),"")))</f>
        <v/>
      </c>
      <c r="BS37">
        <f>IF(OR($B37="",M37=""),"",IFERROR(INDEX(Settings!$D$14:$D$33,MATCH(M37,Settings!$B$14:$B$33,0))&amp;"",IFERROR(LOOKUP(2^15,SEARCH(Settings!$F$14:$F$43,M37)/(Settings!$F$14:$F$43&lt;&gt;""),Settings!$G$14:$G$43),"")))</f>
        <v/>
      </c>
      <c r="BT37">
        <f>IF(OR($B37="",N37=""),"",IFERROR(INDEX(Settings!$D$14:$D$33,MATCH(N37,Settings!$B$14:$B$33,0))&amp;"",IFERROR(LOOKUP(2^15,SEARCH(Settings!$F$14:$F$43,N37)/(Settings!$F$14:$F$43&lt;&gt;""),Settings!$G$14:$G$43),"")))</f>
        <v/>
      </c>
      <c r="BU37">
        <f>IF(OR($B37="",O37=""),"",IFERROR(INDEX(Settings!$D$14:$D$33,MATCH(O37,Settings!$B$14:$B$33,0))&amp;"",IFERROR(LOOKUP(2^15,SEARCH(Settings!$F$14:$F$43,O37)/(Settings!$F$14:$F$43&lt;&gt;""),Settings!$G$14:$G$43),"")))</f>
        <v/>
      </c>
      <c r="BV37">
        <f>IF(OR($B37="",P37=""),"",IFERROR(INDEX(Settings!$D$14:$D$33,MATCH(P37,Settings!$B$14:$B$33,0))&amp;"",IFERROR(LOOKUP(2^15,SEARCH(Settings!$F$14:$F$43,P37)/(Settings!$F$14:$F$43&lt;&gt;""),Settings!$G$14:$G$43),"")))</f>
        <v/>
      </c>
      <c r="BW37">
        <f>IF(OR($B37="",Q37=""),"",IFERROR(INDEX(Settings!$D$14:$D$33,MATCH(Q37,Settings!$B$14:$B$33,0))&amp;"",IFERROR(LOOKUP(2^15,SEARCH(Settings!$F$14:$F$43,Q37)/(Settings!$F$14:$F$43&lt;&gt;""),Settings!$G$14:$G$43),"")))</f>
        <v/>
      </c>
      <c r="BX37">
        <f>IF(OR($B37="",R37=""),"",IFERROR(INDEX(Settings!$D$14:$D$33,MATCH(R37,Settings!$B$14:$B$33,0))&amp;"",IFERROR(LOOKUP(2^15,SEARCH(Settings!$F$14:$F$43,R37)/(Settings!$F$14:$F$43&lt;&gt;""),Settings!$G$14:$G$43),"")))</f>
        <v/>
      </c>
      <c r="BY37">
        <f>IF(OR($B37="",S37=""),"",IFERROR(INDEX(Settings!$D$14:$D$33,MATCH(S37,Settings!$B$14:$B$33,0))&amp;"",IFERROR(LOOKUP(2^15,SEARCH(Settings!$F$14:$F$43,S37)/(Settings!$F$14:$F$43&lt;&gt;""),Settings!$G$14:$G$43),"")))</f>
        <v/>
      </c>
      <c r="BZ37">
        <f>IF(OR($B37="",T37=""),"",IFERROR(INDEX(Settings!$D$14:$D$33,MATCH(T37,Settings!$B$14:$B$33,0))&amp;"",IFERROR(LOOKUP(2^15,SEARCH(Settings!$F$14:$F$43,T37)/(Settings!$F$14:$F$43&lt;&gt;""),Settings!$G$14:$G$43),"")))</f>
        <v/>
      </c>
      <c r="CA37">
        <f>IF(OR($B37="",U37=""),"",IFERROR(INDEX(Settings!$D$14:$D$33,MATCH(U37,Settings!$B$14:$B$33,0))&amp;"",IFERROR(LOOKUP(2^15,SEARCH(Settings!$F$14:$F$43,U37)/(Settings!$F$14:$F$43&lt;&gt;""),Settings!$G$14:$G$43),"")))</f>
        <v/>
      </c>
      <c r="CB37">
        <f>IF(OR($B37="",V37=""),"",IFERROR(INDEX(Settings!$D$14:$D$33,MATCH(V37,Settings!$B$14:$B$33,0))&amp;"",IFERROR(LOOKUP(2^15,SEARCH(Settings!$F$14:$F$43,V37)/(Settings!$F$14:$F$43&lt;&gt;""),Settings!$G$14:$G$43),"")))</f>
        <v/>
      </c>
      <c r="CC37">
        <f>IF(OR($B37="",W37=""),"",IFERROR(INDEX(Settings!$D$14:$D$33,MATCH(W37,Settings!$B$14:$B$33,0))&amp;"",IFERROR(LOOKUP(2^15,SEARCH(Settings!$F$14:$F$43,W37)/(Settings!$F$14:$F$43&lt;&gt;""),Settings!$G$14:$G$43),"")))</f>
        <v/>
      </c>
      <c r="CD37">
        <f>IF(OR($B37="",X37=""),"",IFERROR(INDEX(Settings!$D$14:$D$33,MATCH(X37,Settings!$B$14:$B$33,0))&amp;"",IFERROR(LOOKUP(2^15,SEARCH(Settings!$F$14:$F$43,X37)/(Settings!$F$14:$F$43&lt;&gt;""),Settings!$G$14:$G$43),"")))</f>
        <v/>
      </c>
      <c r="CE37">
        <f>IF(OR($B37="",Y37=""),"",IFERROR(INDEX(Settings!$D$14:$D$33,MATCH(Y37,Settings!$B$14:$B$33,0))&amp;"",IFERROR(LOOKUP(2^15,SEARCH(Settings!$F$14:$F$43,Y37)/(Settings!$F$14:$F$43&lt;&gt;""),Settings!$G$14:$G$43),"")))</f>
        <v/>
      </c>
      <c r="CF37">
        <f>IF(OR($B37="",Z37=""),"",IFERROR(INDEX(Settings!$D$14:$D$33,MATCH(Z37,Settings!$B$14:$B$33,0))&amp;"",IFERROR(LOOKUP(2^15,SEARCH(Settings!$F$14:$F$43,Z37)/(Settings!$F$14:$F$43&lt;&gt;""),Settings!$G$14:$G$43),"")))</f>
        <v/>
      </c>
      <c r="CG37">
        <f>IF(OR($B37="",AA37=""),"",IFERROR(INDEX(Settings!$D$14:$D$33,MATCH(AA37,Settings!$B$14:$B$33,0))&amp;"",IFERROR(LOOKUP(2^15,SEARCH(Settings!$F$14:$F$43,AA37)/(Settings!$F$14:$F$43&lt;&gt;""),Settings!$G$14:$G$43),"")))</f>
        <v/>
      </c>
      <c r="CH37">
        <f>IF(OR($B37="",AB37=""),"",IFERROR(INDEX(Settings!$D$14:$D$33,MATCH(AB37,Settings!$B$14:$B$33,0))&amp;"",IFERROR(LOOKUP(2^15,SEARCH(Settings!$F$14:$F$43,AB37)/(Settings!$F$14:$F$43&lt;&gt;""),Settings!$G$14:$G$43),"")))</f>
        <v/>
      </c>
      <c r="CI37">
        <f>IF(OR($B37="",AC37=""),"",IFERROR(INDEX(Settings!$D$14:$D$33,MATCH(AC37,Settings!$B$14:$B$33,0))&amp;"",IFERROR(LOOKUP(2^15,SEARCH(Settings!$F$14:$F$43,AC37)/(Settings!$F$14:$F$43&lt;&gt;""),Settings!$G$14:$G$43),"")))</f>
        <v/>
      </c>
      <c r="CJ37">
        <f>IF(OR($B37="",AD37=""),"",IFERROR(INDEX(Settings!$D$14:$D$33,MATCH(AD37,Settings!$B$14:$B$33,0))&amp;"",IFERROR(LOOKUP(2^15,SEARCH(Settings!$F$14:$F$43,AD37)/(Settings!$F$14:$F$43&lt;&gt;""),Settings!$G$14:$G$43),"")))</f>
        <v/>
      </c>
      <c r="CK37">
        <f>IF(OR($B37="",AE37=""),"",IFERROR(INDEX(Settings!$D$14:$D$33,MATCH(AE37,Settings!$B$14:$B$33,0))&amp;"",IFERROR(LOOKUP(2^15,SEARCH(Settings!$F$14:$F$43,AE37)/(Settings!$F$14:$F$43&lt;&gt;""),Settings!$G$14:$G$43),"")))</f>
        <v/>
      </c>
      <c r="CL37">
        <f>IF(OR($B37="",AF37=""),"",IFERROR(INDEX(Settings!$D$14:$D$33,MATCH(AF37,Settings!$B$14:$B$33,0))&amp;"",IFERROR(LOOKUP(2^15,SEARCH(Settings!$F$14:$F$43,AF37)/(Settings!$F$14:$F$43&lt;&gt;""),Settings!$G$14:$G$43),"")))</f>
        <v/>
      </c>
      <c r="CM37">
        <f>IF(OR($B37="",AG37=""),"",IFERROR(INDEX(Settings!$D$14:$D$33,MATCH(AG37,Settings!$B$14:$B$33,0))&amp;"",IFERROR(LOOKUP(2^15,SEARCH(Settings!$F$14:$F$43,AG37)/(Settings!$F$14:$F$43&lt;&gt;""),Settings!$G$14:$G$43),"")))</f>
        <v/>
      </c>
    </row>
    <row r="38">
      <c r="A38" t="n">
        <v>36</v>
      </c>
      <c r="B38">
        <f>IFERROR(INDEX(Index!$A$2:$A$202,MATCH(A38,Index!$E$2:$E$202,0)),"")</f>
        <v/>
      </c>
      <c r="D38">
        <f>IF($B38="","",IFERROR(MATCH("Travel*",AI38:BJ38,0),""))</f>
        <v/>
      </c>
      <c r="F38">
        <f>IF(OR($B38="",NOT(ISNUMBER(Settings!$C$9))),"",TRIM(SUBSTITUTE(SUBSTITUTE(INDEX('INPUT - Roster'!$S$1:$SV$206,$B38,Settings!$C$9+0)&amp;"",CHAR(10)," "),CHAR(160)," ")))</f>
        <v/>
      </c>
      <c r="G38">
        <f>IF(OR($B38="",NOT(ISNUMBER(Settings!$C$9))),"",TRIM(SUBSTITUTE(SUBSTITUTE(INDEX('INPUT - Roster'!$S$1:$SV$206,$B38,Settings!$C$9+1)&amp;"",CHAR(10)," "),CHAR(160)," ")))</f>
        <v/>
      </c>
      <c r="H38">
        <f>IF(OR($B38="",NOT(ISNUMBER(Settings!$C$9))),"",TRIM(SUBSTITUTE(SUBSTITUTE(INDEX('INPUT - Roster'!$S$1:$SV$206,$B38,Settings!$C$9+2)&amp;"",CHAR(10)," "),CHAR(160)," ")))</f>
        <v/>
      </c>
      <c r="I38">
        <f>IF(OR($B38="",NOT(ISNUMBER(Settings!$C$9))),"",TRIM(SUBSTITUTE(SUBSTITUTE(INDEX('INPUT - Roster'!$S$1:$SV$206,$B38,Settings!$C$9+3)&amp;"",CHAR(10)," "),CHAR(160)," ")))</f>
        <v/>
      </c>
      <c r="J38">
        <f>IF(OR($B38="",NOT(ISNUMBER(Settings!$C$9))),"",TRIM(SUBSTITUTE(SUBSTITUTE(INDEX('INPUT - Roster'!$S$1:$SV$206,$B38,Settings!$C$9+4)&amp;"",CHAR(10)," "),CHAR(160)," ")))</f>
        <v/>
      </c>
      <c r="K38">
        <f>IF(OR($B38="",NOT(ISNUMBER(Settings!$C$9))),"",TRIM(SUBSTITUTE(SUBSTITUTE(INDEX('INPUT - Roster'!$S$1:$SV$206,$B38,Settings!$C$9+5)&amp;"",CHAR(10)," "),CHAR(160)," ")))</f>
        <v/>
      </c>
      <c r="L38">
        <f>IF(OR($B38="",NOT(ISNUMBER(Settings!$C$9))),"",TRIM(SUBSTITUTE(SUBSTITUTE(INDEX('INPUT - Roster'!$S$1:$SV$206,$B38,Settings!$C$9+6)&amp;"",CHAR(10)," "),CHAR(160)," ")))</f>
        <v/>
      </c>
      <c r="M38">
        <f>IF(OR($B38="",NOT(ISNUMBER(Settings!$C$9))),"",TRIM(SUBSTITUTE(SUBSTITUTE(INDEX('INPUT - Roster'!$S$1:$SV$206,$B38,Settings!$C$9+7)&amp;"",CHAR(10)," "),CHAR(160)," ")))</f>
        <v/>
      </c>
      <c r="N38">
        <f>IF(OR($B38="",NOT(ISNUMBER(Settings!$C$9))),"",TRIM(SUBSTITUTE(SUBSTITUTE(INDEX('INPUT - Roster'!$S$1:$SV$206,$B38,Settings!$C$9+8)&amp;"",CHAR(10)," "),CHAR(160)," ")))</f>
        <v/>
      </c>
      <c r="O38">
        <f>IF(OR($B38="",NOT(ISNUMBER(Settings!$C$9))),"",TRIM(SUBSTITUTE(SUBSTITUTE(INDEX('INPUT - Roster'!$S$1:$SV$206,$B38,Settings!$C$9+9)&amp;"",CHAR(10)," "),CHAR(160)," ")))</f>
        <v/>
      </c>
      <c r="P38">
        <f>IF(OR($B38="",NOT(ISNUMBER(Settings!$C$9))),"",TRIM(SUBSTITUTE(SUBSTITUTE(INDEX('INPUT - Roster'!$S$1:$SV$206,$B38,Settings!$C$9+10)&amp;"",CHAR(10)," "),CHAR(160)," ")))</f>
        <v/>
      </c>
      <c r="Q38">
        <f>IF(OR($B38="",NOT(ISNUMBER(Settings!$C$9))),"",TRIM(SUBSTITUTE(SUBSTITUTE(INDEX('INPUT - Roster'!$S$1:$SV$206,$B38,Settings!$C$9+11)&amp;"",CHAR(10)," "),CHAR(160)," ")))</f>
        <v/>
      </c>
      <c r="R38">
        <f>IF(OR($B38="",NOT(ISNUMBER(Settings!$C$9))),"",TRIM(SUBSTITUTE(SUBSTITUTE(INDEX('INPUT - Roster'!$S$1:$SV$206,$B38,Settings!$C$9+12)&amp;"",CHAR(10)," "),CHAR(160)," ")))</f>
        <v/>
      </c>
      <c r="S38">
        <f>IF(OR($B38="",NOT(ISNUMBER(Settings!$C$9))),"",TRIM(SUBSTITUTE(SUBSTITUTE(INDEX('INPUT - Roster'!$S$1:$SV$206,$B38,Settings!$C$9+13)&amp;"",CHAR(10)," "),CHAR(160)," ")))</f>
        <v/>
      </c>
      <c r="T38">
        <f>IF(OR($B38="",NOT(ISNUMBER(Settings!$C$9))),"",TRIM(SUBSTITUTE(SUBSTITUTE(INDEX('INPUT - Roster'!$S$1:$SV$206,$B38,Settings!$C$9+14)&amp;"",CHAR(10)," "),CHAR(160)," ")))</f>
        <v/>
      </c>
      <c r="U38">
        <f>IF(OR($B38="",NOT(ISNUMBER(Settings!$C$9))),"",TRIM(SUBSTITUTE(SUBSTITUTE(INDEX('INPUT - Roster'!$S$1:$SV$206,$B38,Settings!$C$9+15)&amp;"",CHAR(10)," "),CHAR(160)," ")))</f>
        <v/>
      </c>
      <c r="V38">
        <f>IF(OR($B38="",NOT(ISNUMBER(Settings!$C$9))),"",TRIM(SUBSTITUTE(SUBSTITUTE(INDEX('INPUT - Roster'!$S$1:$SV$206,$B38,Settings!$C$9+16)&amp;"",CHAR(10)," "),CHAR(160)," ")))</f>
        <v/>
      </c>
      <c r="W38">
        <f>IF(OR($B38="",NOT(ISNUMBER(Settings!$C$9))),"",TRIM(SUBSTITUTE(SUBSTITUTE(INDEX('INPUT - Roster'!$S$1:$SV$206,$B38,Settings!$C$9+17)&amp;"",CHAR(10)," "),CHAR(160)," ")))</f>
        <v/>
      </c>
      <c r="X38">
        <f>IF(OR($B38="",NOT(ISNUMBER(Settings!$C$9))),"",TRIM(SUBSTITUTE(SUBSTITUTE(INDEX('INPUT - Roster'!$S$1:$SV$206,$B38,Settings!$C$9+18)&amp;"",CHAR(10)," "),CHAR(160)," ")))</f>
        <v/>
      </c>
      <c r="Y38">
        <f>IF(OR($B38="",NOT(ISNUMBER(Settings!$C$9))),"",TRIM(SUBSTITUTE(SUBSTITUTE(INDEX('INPUT - Roster'!$S$1:$SV$206,$B38,Settings!$C$9+19)&amp;"",CHAR(10)," "),CHAR(160)," ")))</f>
        <v/>
      </c>
      <c r="Z38">
        <f>IF(OR($B38="",NOT(ISNUMBER(Settings!$C$9))),"",TRIM(SUBSTITUTE(SUBSTITUTE(INDEX('INPUT - Roster'!$S$1:$SV$206,$B38,Settings!$C$9+20)&amp;"",CHAR(10)," "),CHAR(160)," ")))</f>
        <v/>
      </c>
      <c r="AA38">
        <f>IF(OR($B38="",NOT(ISNUMBER(Settings!$C$9))),"",TRIM(SUBSTITUTE(SUBSTITUTE(INDEX('INPUT - Roster'!$S$1:$SV$206,$B38,Settings!$C$9+21)&amp;"",CHAR(10)," "),CHAR(160)," ")))</f>
        <v/>
      </c>
      <c r="AB38">
        <f>IF(OR($B38="",NOT(ISNUMBER(Settings!$C$9))),"",TRIM(SUBSTITUTE(SUBSTITUTE(INDEX('INPUT - Roster'!$S$1:$SV$206,$B38,Settings!$C$9+22)&amp;"",CHAR(10)," "),CHAR(160)," ")))</f>
        <v/>
      </c>
      <c r="AC38">
        <f>IF(OR($B38="",NOT(ISNUMBER(Settings!$C$9))),"",TRIM(SUBSTITUTE(SUBSTITUTE(INDEX('INPUT - Roster'!$S$1:$SV$206,$B38,Settings!$C$9+23)&amp;"",CHAR(10)," "),CHAR(160)," ")))</f>
        <v/>
      </c>
      <c r="AD38">
        <f>IF(OR($B38="",NOT(ISNUMBER(Settings!$C$9))),"",TRIM(SUBSTITUTE(SUBSTITUTE(INDEX('INPUT - Roster'!$S$1:$SV$206,$B38,Settings!$C$9+24)&amp;"",CHAR(10)," "),CHAR(160)," ")))</f>
        <v/>
      </c>
      <c r="AE38">
        <f>IF(OR($B38="",NOT(ISNUMBER(Settings!$C$9))),"",TRIM(SUBSTITUTE(SUBSTITUTE(INDEX('INPUT - Roster'!$S$1:$SV$206,$B38,Settings!$C$9+25)&amp;"",CHAR(10)," "),CHAR(160)," ")))</f>
        <v/>
      </c>
      <c r="AF38">
        <f>IF(OR($B38="",NOT(ISNUMBER(Settings!$C$9))),"",TRIM(SUBSTITUTE(SUBSTITUTE(INDEX('INPUT - Roster'!$S$1:$SV$206,$B38,Settings!$C$9+26)&amp;"",CHAR(10)," "),CHAR(160)," ")))</f>
        <v/>
      </c>
      <c r="AG38">
        <f>IF(OR($B38="",NOT(ISNUMBER(Settings!$C$9))),"",TRIM(SUBSTITUTE(SUBSTITUTE(INDEX('INPUT - Roster'!$S$1:$SV$206,$B38,Settings!$C$9+27)&amp;"",CHAR(10)," "),CHAR(160)," ")))</f>
        <v/>
      </c>
      <c r="AI38">
        <f>IF($B38="","",IF(F38="","Not rostered",IFERROR(INDEX(Settings!$C$14:$C$33,MATCH(F38,Settings!$B$14:$B$33,0)),IFERROR(LOOKUP(2^15,SEARCH(Settings!$I$14:$I$83,F38)/(Settings!$I$14:$I$83&lt;&gt;""),Settings!$J$14:$J$83),"Other"))))</f>
        <v/>
      </c>
      <c r="AJ38">
        <f>IF($B38="","",IF(G38="","Not rostered",IFERROR(INDEX(Settings!$C$14:$C$33,MATCH(G38,Settings!$B$14:$B$33,0)),IFERROR(LOOKUP(2^15,SEARCH(Settings!$I$14:$I$83,G38)/(Settings!$I$14:$I$83&lt;&gt;""),Settings!$J$14:$J$83),"Other"))))</f>
        <v/>
      </c>
      <c r="AK38">
        <f>IF($B38="","",IF(H38="","Not rostered",IFERROR(INDEX(Settings!$C$14:$C$33,MATCH(H38,Settings!$B$14:$B$33,0)),IFERROR(LOOKUP(2^15,SEARCH(Settings!$I$14:$I$83,H38)/(Settings!$I$14:$I$83&lt;&gt;""),Settings!$J$14:$J$83),"Other"))))</f>
        <v/>
      </c>
      <c r="AL38">
        <f>IF($B38="","",IF(I38="","Not rostered",IFERROR(INDEX(Settings!$C$14:$C$33,MATCH(I38,Settings!$B$14:$B$33,0)),IFERROR(LOOKUP(2^15,SEARCH(Settings!$I$14:$I$83,I38)/(Settings!$I$14:$I$83&lt;&gt;""),Settings!$J$14:$J$83),"Other"))))</f>
        <v/>
      </c>
      <c r="AM38">
        <f>IF($B38="","",IF(J38="","Not rostered",IFERROR(INDEX(Settings!$C$14:$C$33,MATCH(J38,Settings!$B$14:$B$33,0)),IFERROR(LOOKUP(2^15,SEARCH(Settings!$I$14:$I$83,J38)/(Settings!$I$14:$I$83&lt;&gt;""),Settings!$J$14:$J$83),"Other"))))</f>
        <v/>
      </c>
      <c r="AN38">
        <f>IF($B38="","",IF(K38="","Not rostered",IFERROR(INDEX(Settings!$C$14:$C$33,MATCH(K38,Settings!$B$14:$B$33,0)),IFERROR(LOOKUP(2^15,SEARCH(Settings!$I$14:$I$83,K38)/(Settings!$I$14:$I$83&lt;&gt;""),Settings!$J$14:$J$83),"Other"))))</f>
        <v/>
      </c>
      <c r="AO38">
        <f>IF($B38="","",IF(L38="","Not rostered",IFERROR(INDEX(Settings!$C$14:$C$33,MATCH(L38,Settings!$B$14:$B$33,0)),IFERROR(LOOKUP(2^15,SEARCH(Settings!$I$14:$I$83,L38)/(Settings!$I$14:$I$83&lt;&gt;""),Settings!$J$14:$J$83),"Other"))))</f>
        <v/>
      </c>
      <c r="AP38">
        <f>IF($B38="","",IF(M38="","Not rostered",IFERROR(INDEX(Settings!$C$14:$C$33,MATCH(M38,Settings!$B$14:$B$33,0)),IFERROR(LOOKUP(2^15,SEARCH(Settings!$I$14:$I$83,M38)/(Settings!$I$14:$I$83&lt;&gt;""),Settings!$J$14:$J$83),"Other"))))</f>
        <v/>
      </c>
      <c r="AQ38">
        <f>IF($B38="","",IF(N38="","Not rostered",IFERROR(INDEX(Settings!$C$14:$C$33,MATCH(N38,Settings!$B$14:$B$33,0)),IFERROR(LOOKUP(2^15,SEARCH(Settings!$I$14:$I$83,N38)/(Settings!$I$14:$I$83&lt;&gt;""),Settings!$J$14:$J$83),"Other"))))</f>
        <v/>
      </c>
      <c r="AR38">
        <f>IF($B38="","",IF(O38="","Not rostered",IFERROR(INDEX(Settings!$C$14:$C$33,MATCH(O38,Settings!$B$14:$B$33,0)),IFERROR(LOOKUP(2^15,SEARCH(Settings!$I$14:$I$83,O38)/(Settings!$I$14:$I$83&lt;&gt;""),Settings!$J$14:$J$83),"Other"))))</f>
        <v/>
      </c>
      <c r="AS38">
        <f>IF($B38="","",IF(P38="","Not rostered",IFERROR(INDEX(Settings!$C$14:$C$33,MATCH(P38,Settings!$B$14:$B$33,0)),IFERROR(LOOKUP(2^15,SEARCH(Settings!$I$14:$I$83,P38)/(Settings!$I$14:$I$83&lt;&gt;""),Settings!$J$14:$J$83),"Other"))))</f>
        <v/>
      </c>
      <c r="AT38">
        <f>IF($B38="","",IF(Q38="","Not rostered",IFERROR(INDEX(Settings!$C$14:$C$33,MATCH(Q38,Settings!$B$14:$B$33,0)),IFERROR(LOOKUP(2^15,SEARCH(Settings!$I$14:$I$83,Q38)/(Settings!$I$14:$I$83&lt;&gt;""),Settings!$J$14:$J$83),"Other"))))</f>
        <v/>
      </c>
      <c r="AU38">
        <f>IF($B38="","",IF(R38="","Not rostered",IFERROR(INDEX(Settings!$C$14:$C$33,MATCH(R38,Settings!$B$14:$B$33,0)),IFERROR(LOOKUP(2^15,SEARCH(Settings!$I$14:$I$83,R38)/(Settings!$I$14:$I$83&lt;&gt;""),Settings!$J$14:$J$83),"Other"))))</f>
        <v/>
      </c>
      <c r="AV38">
        <f>IF($B38="","",IF(S38="","Not rostered",IFERROR(INDEX(Settings!$C$14:$C$33,MATCH(S38,Settings!$B$14:$B$33,0)),IFERROR(LOOKUP(2^15,SEARCH(Settings!$I$14:$I$83,S38)/(Settings!$I$14:$I$83&lt;&gt;""),Settings!$J$14:$J$83),"Other"))))</f>
        <v/>
      </c>
      <c r="AW38">
        <f>IF($B38="","",IF(T38="","Not rostered",IFERROR(INDEX(Settings!$C$14:$C$33,MATCH(T38,Settings!$B$14:$B$33,0)),IFERROR(LOOKUP(2^15,SEARCH(Settings!$I$14:$I$83,T38)/(Settings!$I$14:$I$83&lt;&gt;""),Settings!$J$14:$J$83),"Other"))))</f>
        <v/>
      </c>
      <c r="AX38">
        <f>IF($B38="","",IF(U38="","Not rostered",IFERROR(INDEX(Settings!$C$14:$C$33,MATCH(U38,Settings!$B$14:$B$33,0)),IFERROR(LOOKUP(2^15,SEARCH(Settings!$I$14:$I$83,U38)/(Settings!$I$14:$I$83&lt;&gt;""),Settings!$J$14:$J$83),"Other"))))</f>
        <v/>
      </c>
      <c r="AY38">
        <f>IF($B38="","",IF(V38="","Not rostered",IFERROR(INDEX(Settings!$C$14:$C$33,MATCH(V38,Settings!$B$14:$B$33,0)),IFERROR(LOOKUP(2^15,SEARCH(Settings!$I$14:$I$83,V38)/(Settings!$I$14:$I$83&lt;&gt;""),Settings!$J$14:$J$83),"Other"))))</f>
        <v/>
      </c>
      <c r="AZ38">
        <f>IF($B38="","",IF(W38="","Not rostered",IFERROR(INDEX(Settings!$C$14:$C$33,MATCH(W38,Settings!$B$14:$B$33,0)),IFERROR(LOOKUP(2^15,SEARCH(Settings!$I$14:$I$83,W38)/(Settings!$I$14:$I$83&lt;&gt;""),Settings!$J$14:$J$83),"Other"))))</f>
        <v/>
      </c>
      <c r="BA38">
        <f>IF($B38="","",IF(X38="","Not rostered",IFERROR(INDEX(Settings!$C$14:$C$33,MATCH(X38,Settings!$B$14:$B$33,0)),IFERROR(LOOKUP(2^15,SEARCH(Settings!$I$14:$I$83,X38)/(Settings!$I$14:$I$83&lt;&gt;""),Settings!$J$14:$J$83),"Other"))))</f>
        <v/>
      </c>
      <c r="BB38">
        <f>IF($B38="","",IF(Y38="","Not rostered",IFERROR(INDEX(Settings!$C$14:$C$33,MATCH(Y38,Settings!$B$14:$B$33,0)),IFERROR(LOOKUP(2^15,SEARCH(Settings!$I$14:$I$83,Y38)/(Settings!$I$14:$I$83&lt;&gt;""),Settings!$J$14:$J$83),"Other"))))</f>
        <v/>
      </c>
      <c r="BC38">
        <f>IF($B38="","",IF(Z38="","Not rostered",IFERROR(INDEX(Settings!$C$14:$C$33,MATCH(Z38,Settings!$B$14:$B$33,0)),IFERROR(LOOKUP(2^15,SEARCH(Settings!$I$14:$I$83,Z38)/(Settings!$I$14:$I$83&lt;&gt;""),Settings!$J$14:$J$83),"Other"))))</f>
        <v/>
      </c>
      <c r="BD38">
        <f>IF($B38="","",IF(AA38="","Not rostered",IFERROR(INDEX(Settings!$C$14:$C$33,MATCH(AA38,Settings!$B$14:$B$33,0)),IFERROR(LOOKUP(2^15,SEARCH(Settings!$I$14:$I$83,AA38)/(Settings!$I$14:$I$83&lt;&gt;""),Settings!$J$14:$J$83),"Other"))))</f>
        <v/>
      </c>
      <c r="BE38">
        <f>IF($B38="","",IF(AB38="","Not rostered",IFERROR(INDEX(Settings!$C$14:$C$33,MATCH(AB38,Settings!$B$14:$B$33,0)),IFERROR(LOOKUP(2^15,SEARCH(Settings!$I$14:$I$83,AB38)/(Settings!$I$14:$I$83&lt;&gt;""),Settings!$J$14:$J$83),"Other"))))</f>
        <v/>
      </c>
      <c r="BF38">
        <f>IF($B38="","",IF(AC38="","Not rostered",IFERROR(INDEX(Settings!$C$14:$C$33,MATCH(AC38,Settings!$B$14:$B$33,0)),IFERROR(LOOKUP(2^15,SEARCH(Settings!$I$14:$I$83,AC38)/(Settings!$I$14:$I$83&lt;&gt;""),Settings!$J$14:$J$83),"Other"))))</f>
        <v/>
      </c>
      <c r="BG38">
        <f>IF($B38="","",IF(AD38="","Not rostered",IFERROR(INDEX(Settings!$C$14:$C$33,MATCH(AD38,Settings!$B$14:$B$33,0)),IFERROR(LOOKUP(2^15,SEARCH(Settings!$I$14:$I$83,AD38)/(Settings!$I$14:$I$83&lt;&gt;""),Settings!$J$14:$J$83),"Other"))))</f>
        <v/>
      </c>
      <c r="BH38">
        <f>IF($B38="","",IF(AE38="","Not rostered",IFERROR(INDEX(Settings!$C$14:$C$33,MATCH(AE38,Settings!$B$14:$B$33,0)),IFERROR(LOOKUP(2^15,SEARCH(Settings!$I$14:$I$83,AE38)/(Settings!$I$14:$I$83&lt;&gt;""),Settings!$J$14:$J$83),"Other"))))</f>
        <v/>
      </c>
      <c r="BI38">
        <f>IF($B38="","",IF(AF38="","Not rostered",IFERROR(INDEX(Settings!$C$14:$C$33,MATCH(AF38,Settings!$B$14:$B$33,0)),IFERROR(LOOKUP(2^15,SEARCH(Settings!$I$14:$I$83,AF38)/(Settings!$I$14:$I$83&lt;&gt;""),Settings!$J$14:$J$83),"Other"))))</f>
        <v/>
      </c>
      <c r="BJ38">
        <f>IF($B38="","",IF(AG38="","Not rostered",IFERROR(INDEX(Settings!$C$14:$C$33,MATCH(AG38,Settings!$B$14:$B$33,0)),IFERROR(LOOKUP(2^15,SEARCH(Settings!$I$14:$I$83,AG38)/(Settings!$I$14:$I$83&lt;&gt;""),Settings!$J$14:$J$83),"Other"))))</f>
        <v/>
      </c>
      <c r="BL38">
        <f>IF(OR($B38="",F38=""),"",IFERROR(INDEX(Settings!$D$14:$D$33,MATCH(F38,Settings!$B$14:$B$33,0))&amp;"",IFERROR(LOOKUP(2^15,SEARCH(Settings!$F$14:$F$43,F38)/(Settings!$F$14:$F$43&lt;&gt;""),Settings!$G$14:$G$43),"")))</f>
        <v/>
      </c>
      <c r="BM38">
        <f>IF(OR($B38="",G38=""),"",IFERROR(INDEX(Settings!$D$14:$D$33,MATCH(G38,Settings!$B$14:$B$33,0))&amp;"",IFERROR(LOOKUP(2^15,SEARCH(Settings!$F$14:$F$43,G38)/(Settings!$F$14:$F$43&lt;&gt;""),Settings!$G$14:$G$43),"")))</f>
        <v/>
      </c>
      <c r="BN38">
        <f>IF(OR($B38="",H38=""),"",IFERROR(INDEX(Settings!$D$14:$D$33,MATCH(H38,Settings!$B$14:$B$33,0))&amp;"",IFERROR(LOOKUP(2^15,SEARCH(Settings!$F$14:$F$43,H38)/(Settings!$F$14:$F$43&lt;&gt;""),Settings!$G$14:$G$43),"")))</f>
        <v/>
      </c>
      <c r="BO38">
        <f>IF(OR($B38="",I38=""),"",IFERROR(INDEX(Settings!$D$14:$D$33,MATCH(I38,Settings!$B$14:$B$33,0))&amp;"",IFERROR(LOOKUP(2^15,SEARCH(Settings!$F$14:$F$43,I38)/(Settings!$F$14:$F$43&lt;&gt;""),Settings!$G$14:$G$43),"")))</f>
        <v/>
      </c>
      <c r="BP38">
        <f>IF(OR($B38="",J38=""),"",IFERROR(INDEX(Settings!$D$14:$D$33,MATCH(J38,Settings!$B$14:$B$33,0))&amp;"",IFERROR(LOOKUP(2^15,SEARCH(Settings!$F$14:$F$43,J38)/(Settings!$F$14:$F$43&lt;&gt;""),Settings!$G$14:$G$43),"")))</f>
        <v/>
      </c>
      <c r="BQ38">
        <f>IF(OR($B38="",K38=""),"",IFERROR(INDEX(Settings!$D$14:$D$33,MATCH(K38,Settings!$B$14:$B$33,0))&amp;"",IFERROR(LOOKUP(2^15,SEARCH(Settings!$F$14:$F$43,K38)/(Settings!$F$14:$F$43&lt;&gt;""),Settings!$G$14:$G$43),"")))</f>
        <v/>
      </c>
      <c r="BR38">
        <f>IF(OR($B38="",L38=""),"",IFERROR(INDEX(Settings!$D$14:$D$33,MATCH(L38,Settings!$B$14:$B$33,0))&amp;"",IFERROR(LOOKUP(2^15,SEARCH(Settings!$F$14:$F$43,L38)/(Settings!$F$14:$F$43&lt;&gt;""),Settings!$G$14:$G$43),"")))</f>
        <v/>
      </c>
      <c r="BS38">
        <f>IF(OR($B38="",M38=""),"",IFERROR(INDEX(Settings!$D$14:$D$33,MATCH(M38,Settings!$B$14:$B$33,0))&amp;"",IFERROR(LOOKUP(2^15,SEARCH(Settings!$F$14:$F$43,M38)/(Settings!$F$14:$F$43&lt;&gt;""),Settings!$G$14:$G$43),"")))</f>
        <v/>
      </c>
      <c r="BT38">
        <f>IF(OR($B38="",N38=""),"",IFERROR(INDEX(Settings!$D$14:$D$33,MATCH(N38,Settings!$B$14:$B$33,0))&amp;"",IFERROR(LOOKUP(2^15,SEARCH(Settings!$F$14:$F$43,N38)/(Settings!$F$14:$F$43&lt;&gt;""),Settings!$G$14:$G$43),"")))</f>
        <v/>
      </c>
      <c r="BU38">
        <f>IF(OR($B38="",O38=""),"",IFERROR(INDEX(Settings!$D$14:$D$33,MATCH(O38,Settings!$B$14:$B$33,0))&amp;"",IFERROR(LOOKUP(2^15,SEARCH(Settings!$F$14:$F$43,O38)/(Settings!$F$14:$F$43&lt;&gt;""),Settings!$G$14:$G$43),"")))</f>
        <v/>
      </c>
      <c r="BV38">
        <f>IF(OR($B38="",P38=""),"",IFERROR(INDEX(Settings!$D$14:$D$33,MATCH(P38,Settings!$B$14:$B$33,0))&amp;"",IFERROR(LOOKUP(2^15,SEARCH(Settings!$F$14:$F$43,P38)/(Settings!$F$14:$F$43&lt;&gt;""),Settings!$G$14:$G$43),"")))</f>
        <v/>
      </c>
      <c r="BW38">
        <f>IF(OR($B38="",Q38=""),"",IFERROR(INDEX(Settings!$D$14:$D$33,MATCH(Q38,Settings!$B$14:$B$33,0))&amp;"",IFERROR(LOOKUP(2^15,SEARCH(Settings!$F$14:$F$43,Q38)/(Settings!$F$14:$F$43&lt;&gt;""),Settings!$G$14:$G$43),"")))</f>
        <v/>
      </c>
      <c r="BX38">
        <f>IF(OR($B38="",R38=""),"",IFERROR(INDEX(Settings!$D$14:$D$33,MATCH(R38,Settings!$B$14:$B$33,0))&amp;"",IFERROR(LOOKUP(2^15,SEARCH(Settings!$F$14:$F$43,R38)/(Settings!$F$14:$F$43&lt;&gt;""),Settings!$G$14:$G$43),"")))</f>
        <v/>
      </c>
      <c r="BY38">
        <f>IF(OR($B38="",S38=""),"",IFERROR(INDEX(Settings!$D$14:$D$33,MATCH(S38,Settings!$B$14:$B$33,0))&amp;"",IFERROR(LOOKUP(2^15,SEARCH(Settings!$F$14:$F$43,S38)/(Settings!$F$14:$F$43&lt;&gt;""),Settings!$G$14:$G$43),"")))</f>
        <v/>
      </c>
      <c r="BZ38">
        <f>IF(OR($B38="",T38=""),"",IFERROR(INDEX(Settings!$D$14:$D$33,MATCH(T38,Settings!$B$14:$B$33,0))&amp;"",IFERROR(LOOKUP(2^15,SEARCH(Settings!$F$14:$F$43,T38)/(Settings!$F$14:$F$43&lt;&gt;""),Settings!$G$14:$G$43),"")))</f>
        <v/>
      </c>
      <c r="CA38">
        <f>IF(OR($B38="",U38=""),"",IFERROR(INDEX(Settings!$D$14:$D$33,MATCH(U38,Settings!$B$14:$B$33,0))&amp;"",IFERROR(LOOKUP(2^15,SEARCH(Settings!$F$14:$F$43,U38)/(Settings!$F$14:$F$43&lt;&gt;""),Settings!$G$14:$G$43),"")))</f>
        <v/>
      </c>
      <c r="CB38">
        <f>IF(OR($B38="",V38=""),"",IFERROR(INDEX(Settings!$D$14:$D$33,MATCH(V38,Settings!$B$14:$B$33,0))&amp;"",IFERROR(LOOKUP(2^15,SEARCH(Settings!$F$14:$F$43,V38)/(Settings!$F$14:$F$43&lt;&gt;""),Settings!$G$14:$G$43),"")))</f>
        <v/>
      </c>
      <c r="CC38">
        <f>IF(OR($B38="",W38=""),"",IFERROR(INDEX(Settings!$D$14:$D$33,MATCH(W38,Settings!$B$14:$B$33,0))&amp;"",IFERROR(LOOKUP(2^15,SEARCH(Settings!$F$14:$F$43,W38)/(Settings!$F$14:$F$43&lt;&gt;""),Settings!$G$14:$G$43),"")))</f>
        <v/>
      </c>
      <c r="CD38">
        <f>IF(OR($B38="",X38=""),"",IFERROR(INDEX(Settings!$D$14:$D$33,MATCH(X38,Settings!$B$14:$B$33,0))&amp;"",IFERROR(LOOKUP(2^15,SEARCH(Settings!$F$14:$F$43,X38)/(Settings!$F$14:$F$43&lt;&gt;""),Settings!$G$14:$G$43),"")))</f>
        <v/>
      </c>
      <c r="CE38">
        <f>IF(OR($B38="",Y38=""),"",IFERROR(INDEX(Settings!$D$14:$D$33,MATCH(Y38,Settings!$B$14:$B$33,0))&amp;"",IFERROR(LOOKUP(2^15,SEARCH(Settings!$F$14:$F$43,Y38)/(Settings!$F$14:$F$43&lt;&gt;""),Settings!$G$14:$G$43),"")))</f>
        <v/>
      </c>
      <c r="CF38">
        <f>IF(OR($B38="",Z38=""),"",IFERROR(INDEX(Settings!$D$14:$D$33,MATCH(Z38,Settings!$B$14:$B$33,0))&amp;"",IFERROR(LOOKUP(2^15,SEARCH(Settings!$F$14:$F$43,Z38)/(Settings!$F$14:$F$43&lt;&gt;""),Settings!$G$14:$G$43),"")))</f>
        <v/>
      </c>
      <c r="CG38">
        <f>IF(OR($B38="",AA38=""),"",IFERROR(INDEX(Settings!$D$14:$D$33,MATCH(AA38,Settings!$B$14:$B$33,0))&amp;"",IFERROR(LOOKUP(2^15,SEARCH(Settings!$F$14:$F$43,AA38)/(Settings!$F$14:$F$43&lt;&gt;""),Settings!$G$14:$G$43),"")))</f>
        <v/>
      </c>
      <c r="CH38">
        <f>IF(OR($B38="",AB38=""),"",IFERROR(INDEX(Settings!$D$14:$D$33,MATCH(AB38,Settings!$B$14:$B$33,0))&amp;"",IFERROR(LOOKUP(2^15,SEARCH(Settings!$F$14:$F$43,AB38)/(Settings!$F$14:$F$43&lt;&gt;""),Settings!$G$14:$G$43),"")))</f>
        <v/>
      </c>
      <c r="CI38">
        <f>IF(OR($B38="",AC38=""),"",IFERROR(INDEX(Settings!$D$14:$D$33,MATCH(AC38,Settings!$B$14:$B$33,0))&amp;"",IFERROR(LOOKUP(2^15,SEARCH(Settings!$F$14:$F$43,AC38)/(Settings!$F$14:$F$43&lt;&gt;""),Settings!$G$14:$G$43),"")))</f>
        <v/>
      </c>
      <c r="CJ38">
        <f>IF(OR($B38="",AD38=""),"",IFERROR(INDEX(Settings!$D$14:$D$33,MATCH(AD38,Settings!$B$14:$B$33,0))&amp;"",IFERROR(LOOKUP(2^15,SEARCH(Settings!$F$14:$F$43,AD38)/(Settings!$F$14:$F$43&lt;&gt;""),Settings!$G$14:$G$43),"")))</f>
        <v/>
      </c>
      <c r="CK38">
        <f>IF(OR($B38="",AE38=""),"",IFERROR(INDEX(Settings!$D$14:$D$33,MATCH(AE38,Settings!$B$14:$B$33,0))&amp;"",IFERROR(LOOKUP(2^15,SEARCH(Settings!$F$14:$F$43,AE38)/(Settings!$F$14:$F$43&lt;&gt;""),Settings!$G$14:$G$43),"")))</f>
        <v/>
      </c>
      <c r="CL38">
        <f>IF(OR($B38="",AF38=""),"",IFERROR(INDEX(Settings!$D$14:$D$33,MATCH(AF38,Settings!$B$14:$B$33,0))&amp;"",IFERROR(LOOKUP(2^15,SEARCH(Settings!$F$14:$F$43,AF38)/(Settings!$F$14:$F$43&lt;&gt;""),Settings!$G$14:$G$43),"")))</f>
        <v/>
      </c>
      <c r="CM38">
        <f>IF(OR($B38="",AG38=""),"",IFERROR(INDEX(Settings!$D$14:$D$33,MATCH(AG38,Settings!$B$14:$B$33,0))&amp;"",IFERROR(LOOKUP(2^15,SEARCH(Settings!$F$14:$F$43,AG38)/(Settings!$F$14:$F$43&lt;&gt;""),Settings!$G$14:$G$43),"")))</f>
        <v/>
      </c>
    </row>
    <row r="39">
      <c r="A39" t="n">
        <v>37</v>
      </c>
      <c r="B39">
        <f>IFERROR(INDEX(Index!$A$2:$A$202,MATCH(A39,Index!$E$2:$E$202,0)),"")</f>
        <v/>
      </c>
      <c r="D39">
        <f>IF($B39="","",IFERROR(MATCH("Travel*",AI39:BJ39,0),""))</f>
        <v/>
      </c>
      <c r="F39">
        <f>IF(OR($B39="",NOT(ISNUMBER(Settings!$C$9))),"",TRIM(SUBSTITUTE(SUBSTITUTE(INDEX('INPUT - Roster'!$S$1:$SV$206,$B39,Settings!$C$9+0)&amp;"",CHAR(10)," "),CHAR(160)," ")))</f>
        <v/>
      </c>
      <c r="G39">
        <f>IF(OR($B39="",NOT(ISNUMBER(Settings!$C$9))),"",TRIM(SUBSTITUTE(SUBSTITUTE(INDEX('INPUT - Roster'!$S$1:$SV$206,$B39,Settings!$C$9+1)&amp;"",CHAR(10)," "),CHAR(160)," ")))</f>
        <v/>
      </c>
      <c r="H39">
        <f>IF(OR($B39="",NOT(ISNUMBER(Settings!$C$9))),"",TRIM(SUBSTITUTE(SUBSTITUTE(INDEX('INPUT - Roster'!$S$1:$SV$206,$B39,Settings!$C$9+2)&amp;"",CHAR(10)," "),CHAR(160)," ")))</f>
        <v/>
      </c>
      <c r="I39">
        <f>IF(OR($B39="",NOT(ISNUMBER(Settings!$C$9))),"",TRIM(SUBSTITUTE(SUBSTITUTE(INDEX('INPUT - Roster'!$S$1:$SV$206,$B39,Settings!$C$9+3)&amp;"",CHAR(10)," "),CHAR(160)," ")))</f>
        <v/>
      </c>
      <c r="J39">
        <f>IF(OR($B39="",NOT(ISNUMBER(Settings!$C$9))),"",TRIM(SUBSTITUTE(SUBSTITUTE(INDEX('INPUT - Roster'!$S$1:$SV$206,$B39,Settings!$C$9+4)&amp;"",CHAR(10)," "),CHAR(160)," ")))</f>
        <v/>
      </c>
      <c r="K39">
        <f>IF(OR($B39="",NOT(ISNUMBER(Settings!$C$9))),"",TRIM(SUBSTITUTE(SUBSTITUTE(INDEX('INPUT - Roster'!$S$1:$SV$206,$B39,Settings!$C$9+5)&amp;"",CHAR(10)," "),CHAR(160)," ")))</f>
        <v/>
      </c>
      <c r="L39">
        <f>IF(OR($B39="",NOT(ISNUMBER(Settings!$C$9))),"",TRIM(SUBSTITUTE(SUBSTITUTE(INDEX('INPUT - Roster'!$S$1:$SV$206,$B39,Settings!$C$9+6)&amp;"",CHAR(10)," "),CHAR(160)," ")))</f>
        <v/>
      </c>
      <c r="M39">
        <f>IF(OR($B39="",NOT(ISNUMBER(Settings!$C$9))),"",TRIM(SUBSTITUTE(SUBSTITUTE(INDEX('INPUT - Roster'!$S$1:$SV$206,$B39,Settings!$C$9+7)&amp;"",CHAR(10)," "),CHAR(160)," ")))</f>
        <v/>
      </c>
      <c r="N39">
        <f>IF(OR($B39="",NOT(ISNUMBER(Settings!$C$9))),"",TRIM(SUBSTITUTE(SUBSTITUTE(INDEX('INPUT - Roster'!$S$1:$SV$206,$B39,Settings!$C$9+8)&amp;"",CHAR(10)," "),CHAR(160)," ")))</f>
        <v/>
      </c>
      <c r="O39">
        <f>IF(OR($B39="",NOT(ISNUMBER(Settings!$C$9))),"",TRIM(SUBSTITUTE(SUBSTITUTE(INDEX('INPUT - Roster'!$S$1:$SV$206,$B39,Settings!$C$9+9)&amp;"",CHAR(10)," "),CHAR(160)," ")))</f>
        <v/>
      </c>
      <c r="P39">
        <f>IF(OR($B39="",NOT(ISNUMBER(Settings!$C$9))),"",TRIM(SUBSTITUTE(SUBSTITUTE(INDEX('INPUT - Roster'!$S$1:$SV$206,$B39,Settings!$C$9+10)&amp;"",CHAR(10)," "),CHAR(160)," ")))</f>
        <v/>
      </c>
      <c r="Q39">
        <f>IF(OR($B39="",NOT(ISNUMBER(Settings!$C$9))),"",TRIM(SUBSTITUTE(SUBSTITUTE(INDEX('INPUT - Roster'!$S$1:$SV$206,$B39,Settings!$C$9+11)&amp;"",CHAR(10)," "),CHAR(160)," ")))</f>
        <v/>
      </c>
      <c r="R39">
        <f>IF(OR($B39="",NOT(ISNUMBER(Settings!$C$9))),"",TRIM(SUBSTITUTE(SUBSTITUTE(INDEX('INPUT - Roster'!$S$1:$SV$206,$B39,Settings!$C$9+12)&amp;"",CHAR(10)," "),CHAR(160)," ")))</f>
        <v/>
      </c>
      <c r="S39">
        <f>IF(OR($B39="",NOT(ISNUMBER(Settings!$C$9))),"",TRIM(SUBSTITUTE(SUBSTITUTE(INDEX('INPUT - Roster'!$S$1:$SV$206,$B39,Settings!$C$9+13)&amp;"",CHAR(10)," "),CHAR(160)," ")))</f>
        <v/>
      </c>
      <c r="T39">
        <f>IF(OR($B39="",NOT(ISNUMBER(Settings!$C$9))),"",TRIM(SUBSTITUTE(SUBSTITUTE(INDEX('INPUT - Roster'!$S$1:$SV$206,$B39,Settings!$C$9+14)&amp;"",CHAR(10)," "),CHAR(160)," ")))</f>
        <v/>
      </c>
      <c r="U39">
        <f>IF(OR($B39="",NOT(ISNUMBER(Settings!$C$9))),"",TRIM(SUBSTITUTE(SUBSTITUTE(INDEX('INPUT - Roster'!$S$1:$SV$206,$B39,Settings!$C$9+15)&amp;"",CHAR(10)," "),CHAR(160)," ")))</f>
        <v/>
      </c>
      <c r="V39">
        <f>IF(OR($B39="",NOT(ISNUMBER(Settings!$C$9))),"",TRIM(SUBSTITUTE(SUBSTITUTE(INDEX('INPUT - Roster'!$S$1:$SV$206,$B39,Settings!$C$9+16)&amp;"",CHAR(10)," "),CHAR(160)," ")))</f>
        <v/>
      </c>
      <c r="W39">
        <f>IF(OR($B39="",NOT(ISNUMBER(Settings!$C$9))),"",TRIM(SUBSTITUTE(SUBSTITUTE(INDEX('INPUT - Roster'!$S$1:$SV$206,$B39,Settings!$C$9+17)&amp;"",CHAR(10)," "),CHAR(160)," ")))</f>
        <v/>
      </c>
      <c r="X39">
        <f>IF(OR($B39="",NOT(ISNUMBER(Settings!$C$9))),"",TRIM(SUBSTITUTE(SUBSTITUTE(INDEX('INPUT - Roster'!$S$1:$SV$206,$B39,Settings!$C$9+18)&amp;"",CHAR(10)," "),CHAR(160)," ")))</f>
        <v/>
      </c>
      <c r="Y39">
        <f>IF(OR($B39="",NOT(ISNUMBER(Settings!$C$9))),"",TRIM(SUBSTITUTE(SUBSTITUTE(INDEX('INPUT - Roster'!$S$1:$SV$206,$B39,Settings!$C$9+19)&amp;"",CHAR(10)," "),CHAR(160)," ")))</f>
        <v/>
      </c>
      <c r="Z39">
        <f>IF(OR($B39="",NOT(ISNUMBER(Settings!$C$9))),"",TRIM(SUBSTITUTE(SUBSTITUTE(INDEX('INPUT - Roster'!$S$1:$SV$206,$B39,Settings!$C$9+20)&amp;"",CHAR(10)," "),CHAR(160)," ")))</f>
        <v/>
      </c>
      <c r="AA39">
        <f>IF(OR($B39="",NOT(ISNUMBER(Settings!$C$9))),"",TRIM(SUBSTITUTE(SUBSTITUTE(INDEX('INPUT - Roster'!$S$1:$SV$206,$B39,Settings!$C$9+21)&amp;"",CHAR(10)," "),CHAR(160)," ")))</f>
        <v/>
      </c>
      <c r="AB39">
        <f>IF(OR($B39="",NOT(ISNUMBER(Settings!$C$9))),"",TRIM(SUBSTITUTE(SUBSTITUTE(INDEX('INPUT - Roster'!$S$1:$SV$206,$B39,Settings!$C$9+22)&amp;"",CHAR(10)," "),CHAR(160)," ")))</f>
        <v/>
      </c>
      <c r="AC39">
        <f>IF(OR($B39="",NOT(ISNUMBER(Settings!$C$9))),"",TRIM(SUBSTITUTE(SUBSTITUTE(INDEX('INPUT - Roster'!$S$1:$SV$206,$B39,Settings!$C$9+23)&amp;"",CHAR(10)," "),CHAR(160)," ")))</f>
        <v/>
      </c>
      <c r="AD39">
        <f>IF(OR($B39="",NOT(ISNUMBER(Settings!$C$9))),"",TRIM(SUBSTITUTE(SUBSTITUTE(INDEX('INPUT - Roster'!$S$1:$SV$206,$B39,Settings!$C$9+24)&amp;"",CHAR(10)," "),CHAR(160)," ")))</f>
        <v/>
      </c>
      <c r="AE39">
        <f>IF(OR($B39="",NOT(ISNUMBER(Settings!$C$9))),"",TRIM(SUBSTITUTE(SUBSTITUTE(INDEX('INPUT - Roster'!$S$1:$SV$206,$B39,Settings!$C$9+25)&amp;"",CHAR(10)," "),CHAR(160)," ")))</f>
        <v/>
      </c>
      <c r="AF39">
        <f>IF(OR($B39="",NOT(ISNUMBER(Settings!$C$9))),"",TRIM(SUBSTITUTE(SUBSTITUTE(INDEX('INPUT - Roster'!$S$1:$SV$206,$B39,Settings!$C$9+26)&amp;"",CHAR(10)," "),CHAR(160)," ")))</f>
        <v/>
      </c>
      <c r="AG39">
        <f>IF(OR($B39="",NOT(ISNUMBER(Settings!$C$9))),"",TRIM(SUBSTITUTE(SUBSTITUTE(INDEX('INPUT - Roster'!$S$1:$SV$206,$B39,Settings!$C$9+27)&amp;"",CHAR(10)," "),CHAR(160)," ")))</f>
        <v/>
      </c>
      <c r="AI39">
        <f>IF($B39="","",IF(F39="","Not rostered",IFERROR(INDEX(Settings!$C$14:$C$33,MATCH(F39,Settings!$B$14:$B$33,0)),IFERROR(LOOKUP(2^15,SEARCH(Settings!$I$14:$I$83,F39)/(Settings!$I$14:$I$83&lt;&gt;""),Settings!$J$14:$J$83),"Other"))))</f>
        <v/>
      </c>
      <c r="AJ39">
        <f>IF($B39="","",IF(G39="","Not rostered",IFERROR(INDEX(Settings!$C$14:$C$33,MATCH(G39,Settings!$B$14:$B$33,0)),IFERROR(LOOKUP(2^15,SEARCH(Settings!$I$14:$I$83,G39)/(Settings!$I$14:$I$83&lt;&gt;""),Settings!$J$14:$J$83),"Other"))))</f>
        <v/>
      </c>
      <c r="AK39">
        <f>IF($B39="","",IF(H39="","Not rostered",IFERROR(INDEX(Settings!$C$14:$C$33,MATCH(H39,Settings!$B$14:$B$33,0)),IFERROR(LOOKUP(2^15,SEARCH(Settings!$I$14:$I$83,H39)/(Settings!$I$14:$I$83&lt;&gt;""),Settings!$J$14:$J$83),"Other"))))</f>
        <v/>
      </c>
      <c r="AL39">
        <f>IF($B39="","",IF(I39="","Not rostered",IFERROR(INDEX(Settings!$C$14:$C$33,MATCH(I39,Settings!$B$14:$B$33,0)),IFERROR(LOOKUP(2^15,SEARCH(Settings!$I$14:$I$83,I39)/(Settings!$I$14:$I$83&lt;&gt;""),Settings!$J$14:$J$83),"Other"))))</f>
        <v/>
      </c>
      <c r="AM39">
        <f>IF($B39="","",IF(J39="","Not rostered",IFERROR(INDEX(Settings!$C$14:$C$33,MATCH(J39,Settings!$B$14:$B$33,0)),IFERROR(LOOKUP(2^15,SEARCH(Settings!$I$14:$I$83,J39)/(Settings!$I$14:$I$83&lt;&gt;""),Settings!$J$14:$J$83),"Other"))))</f>
        <v/>
      </c>
      <c r="AN39">
        <f>IF($B39="","",IF(K39="","Not rostered",IFERROR(INDEX(Settings!$C$14:$C$33,MATCH(K39,Settings!$B$14:$B$33,0)),IFERROR(LOOKUP(2^15,SEARCH(Settings!$I$14:$I$83,K39)/(Settings!$I$14:$I$83&lt;&gt;""),Settings!$J$14:$J$83),"Other"))))</f>
        <v/>
      </c>
      <c r="AO39">
        <f>IF($B39="","",IF(L39="","Not rostered",IFERROR(INDEX(Settings!$C$14:$C$33,MATCH(L39,Settings!$B$14:$B$33,0)),IFERROR(LOOKUP(2^15,SEARCH(Settings!$I$14:$I$83,L39)/(Settings!$I$14:$I$83&lt;&gt;""),Settings!$J$14:$J$83),"Other"))))</f>
        <v/>
      </c>
      <c r="AP39">
        <f>IF($B39="","",IF(M39="","Not rostered",IFERROR(INDEX(Settings!$C$14:$C$33,MATCH(M39,Settings!$B$14:$B$33,0)),IFERROR(LOOKUP(2^15,SEARCH(Settings!$I$14:$I$83,M39)/(Settings!$I$14:$I$83&lt;&gt;""),Settings!$J$14:$J$83),"Other"))))</f>
        <v/>
      </c>
      <c r="AQ39">
        <f>IF($B39="","",IF(N39="","Not rostered",IFERROR(INDEX(Settings!$C$14:$C$33,MATCH(N39,Settings!$B$14:$B$33,0)),IFERROR(LOOKUP(2^15,SEARCH(Settings!$I$14:$I$83,N39)/(Settings!$I$14:$I$83&lt;&gt;""),Settings!$J$14:$J$83),"Other"))))</f>
        <v/>
      </c>
      <c r="AR39">
        <f>IF($B39="","",IF(O39="","Not rostered",IFERROR(INDEX(Settings!$C$14:$C$33,MATCH(O39,Settings!$B$14:$B$33,0)),IFERROR(LOOKUP(2^15,SEARCH(Settings!$I$14:$I$83,O39)/(Settings!$I$14:$I$83&lt;&gt;""),Settings!$J$14:$J$83),"Other"))))</f>
        <v/>
      </c>
      <c r="AS39">
        <f>IF($B39="","",IF(P39="","Not rostered",IFERROR(INDEX(Settings!$C$14:$C$33,MATCH(P39,Settings!$B$14:$B$33,0)),IFERROR(LOOKUP(2^15,SEARCH(Settings!$I$14:$I$83,P39)/(Settings!$I$14:$I$83&lt;&gt;""),Settings!$J$14:$J$83),"Other"))))</f>
        <v/>
      </c>
      <c r="AT39">
        <f>IF($B39="","",IF(Q39="","Not rostered",IFERROR(INDEX(Settings!$C$14:$C$33,MATCH(Q39,Settings!$B$14:$B$33,0)),IFERROR(LOOKUP(2^15,SEARCH(Settings!$I$14:$I$83,Q39)/(Settings!$I$14:$I$83&lt;&gt;""),Settings!$J$14:$J$83),"Other"))))</f>
        <v/>
      </c>
      <c r="AU39">
        <f>IF($B39="","",IF(R39="","Not rostered",IFERROR(INDEX(Settings!$C$14:$C$33,MATCH(R39,Settings!$B$14:$B$33,0)),IFERROR(LOOKUP(2^15,SEARCH(Settings!$I$14:$I$83,R39)/(Settings!$I$14:$I$83&lt;&gt;""),Settings!$J$14:$J$83),"Other"))))</f>
        <v/>
      </c>
      <c r="AV39">
        <f>IF($B39="","",IF(S39="","Not rostered",IFERROR(INDEX(Settings!$C$14:$C$33,MATCH(S39,Settings!$B$14:$B$33,0)),IFERROR(LOOKUP(2^15,SEARCH(Settings!$I$14:$I$83,S39)/(Settings!$I$14:$I$83&lt;&gt;""),Settings!$J$14:$J$83),"Other"))))</f>
        <v/>
      </c>
      <c r="AW39">
        <f>IF($B39="","",IF(T39="","Not rostered",IFERROR(INDEX(Settings!$C$14:$C$33,MATCH(T39,Settings!$B$14:$B$33,0)),IFERROR(LOOKUP(2^15,SEARCH(Settings!$I$14:$I$83,T39)/(Settings!$I$14:$I$83&lt;&gt;""),Settings!$J$14:$J$83),"Other"))))</f>
        <v/>
      </c>
      <c r="AX39">
        <f>IF($B39="","",IF(U39="","Not rostered",IFERROR(INDEX(Settings!$C$14:$C$33,MATCH(U39,Settings!$B$14:$B$33,0)),IFERROR(LOOKUP(2^15,SEARCH(Settings!$I$14:$I$83,U39)/(Settings!$I$14:$I$83&lt;&gt;""),Settings!$J$14:$J$83),"Other"))))</f>
        <v/>
      </c>
      <c r="AY39">
        <f>IF($B39="","",IF(V39="","Not rostered",IFERROR(INDEX(Settings!$C$14:$C$33,MATCH(V39,Settings!$B$14:$B$33,0)),IFERROR(LOOKUP(2^15,SEARCH(Settings!$I$14:$I$83,V39)/(Settings!$I$14:$I$83&lt;&gt;""),Settings!$J$14:$J$83),"Other"))))</f>
        <v/>
      </c>
      <c r="AZ39">
        <f>IF($B39="","",IF(W39="","Not rostered",IFERROR(INDEX(Settings!$C$14:$C$33,MATCH(W39,Settings!$B$14:$B$33,0)),IFERROR(LOOKUP(2^15,SEARCH(Settings!$I$14:$I$83,W39)/(Settings!$I$14:$I$83&lt;&gt;""),Settings!$J$14:$J$83),"Other"))))</f>
        <v/>
      </c>
      <c r="BA39">
        <f>IF($B39="","",IF(X39="","Not rostered",IFERROR(INDEX(Settings!$C$14:$C$33,MATCH(X39,Settings!$B$14:$B$33,0)),IFERROR(LOOKUP(2^15,SEARCH(Settings!$I$14:$I$83,X39)/(Settings!$I$14:$I$83&lt;&gt;""),Settings!$J$14:$J$83),"Other"))))</f>
        <v/>
      </c>
      <c r="BB39">
        <f>IF($B39="","",IF(Y39="","Not rostered",IFERROR(INDEX(Settings!$C$14:$C$33,MATCH(Y39,Settings!$B$14:$B$33,0)),IFERROR(LOOKUP(2^15,SEARCH(Settings!$I$14:$I$83,Y39)/(Settings!$I$14:$I$83&lt;&gt;""),Settings!$J$14:$J$83),"Other"))))</f>
        <v/>
      </c>
      <c r="BC39">
        <f>IF($B39="","",IF(Z39="","Not rostered",IFERROR(INDEX(Settings!$C$14:$C$33,MATCH(Z39,Settings!$B$14:$B$33,0)),IFERROR(LOOKUP(2^15,SEARCH(Settings!$I$14:$I$83,Z39)/(Settings!$I$14:$I$83&lt;&gt;""),Settings!$J$14:$J$83),"Other"))))</f>
        <v/>
      </c>
      <c r="BD39">
        <f>IF($B39="","",IF(AA39="","Not rostered",IFERROR(INDEX(Settings!$C$14:$C$33,MATCH(AA39,Settings!$B$14:$B$33,0)),IFERROR(LOOKUP(2^15,SEARCH(Settings!$I$14:$I$83,AA39)/(Settings!$I$14:$I$83&lt;&gt;""),Settings!$J$14:$J$83),"Other"))))</f>
        <v/>
      </c>
      <c r="BE39">
        <f>IF($B39="","",IF(AB39="","Not rostered",IFERROR(INDEX(Settings!$C$14:$C$33,MATCH(AB39,Settings!$B$14:$B$33,0)),IFERROR(LOOKUP(2^15,SEARCH(Settings!$I$14:$I$83,AB39)/(Settings!$I$14:$I$83&lt;&gt;""),Settings!$J$14:$J$83),"Other"))))</f>
        <v/>
      </c>
      <c r="BF39">
        <f>IF($B39="","",IF(AC39="","Not rostered",IFERROR(INDEX(Settings!$C$14:$C$33,MATCH(AC39,Settings!$B$14:$B$33,0)),IFERROR(LOOKUP(2^15,SEARCH(Settings!$I$14:$I$83,AC39)/(Settings!$I$14:$I$83&lt;&gt;""),Settings!$J$14:$J$83),"Other"))))</f>
        <v/>
      </c>
      <c r="BG39">
        <f>IF($B39="","",IF(AD39="","Not rostered",IFERROR(INDEX(Settings!$C$14:$C$33,MATCH(AD39,Settings!$B$14:$B$33,0)),IFERROR(LOOKUP(2^15,SEARCH(Settings!$I$14:$I$83,AD39)/(Settings!$I$14:$I$83&lt;&gt;""),Settings!$J$14:$J$83),"Other"))))</f>
        <v/>
      </c>
      <c r="BH39">
        <f>IF($B39="","",IF(AE39="","Not rostered",IFERROR(INDEX(Settings!$C$14:$C$33,MATCH(AE39,Settings!$B$14:$B$33,0)),IFERROR(LOOKUP(2^15,SEARCH(Settings!$I$14:$I$83,AE39)/(Settings!$I$14:$I$83&lt;&gt;""),Settings!$J$14:$J$83),"Other"))))</f>
        <v/>
      </c>
      <c r="BI39">
        <f>IF($B39="","",IF(AF39="","Not rostered",IFERROR(INDEX(Settings!$C$14:$C$33,MATCH(AF39,Settings!$B$14:$B$33,0)),IFERROR(LOOKUP(2^15,SEARCH(Settings!$I$14:$I$83,AF39)/(Settings!$I$14:$I$83&lt;&gt;""),Settings!$J$14:$J$83),"Other"))))</f>
        <v/>
      </c>
      <c r="BJ39">
        <f>IF($B39="","",IF(AG39="","Not rostered",IFERROR(INDEX(Settings!$C$14:$C$33,MATCH(AG39,Settings!$B$14:$B$33,0)),IFERROR(LOOKUP(2^15,SEARCH(Settings!$I$14:$I$83,AG39)/(Settings!$I$14:$I$83&lt;&gt;""),Settings!$J$14:$J$83),"Other"))))</f>
        <v/>
      </c>
      <c r="BL39">
        <f>IF(OR($B39="",F39=""),"",IFERROR(INDEX(Settings!$D$14:$D$33,MATCH(F39,Settings!$B$14:$B$33,0))&amp;"",IFERROR(LOOKUP(2^15,SEARCH(Settings!$F$14:$F$43,F39)/(Settings!$F$14:$F$43&lt;&gt;""),Settings!$G$14:$G$43),"")))</f>
        <v/>
      </c>
      <c r="BM39">
        <f>IF(OR($B39="",G39=""),"",IFERROR(INDEX(Settings!$D$14:$D$33,MATCH(G39,Settings!$B$14:$B$33,0))&amp;"",IFERROR(LOOKUP(2^15,SEARCH(Settings!$F$14:$F$43,G39)/(Settings!$F$14:$F$43&lt;&gt;""),Settings!$G$14:$G$43),"")))</f>
        <v/>
      </c>
      <c r="BN39">
        <f>IF(OR($B39="",H39=""),"",IFERROR(INDEX(Settings!$D$14:$D$33,MATCH(H39,Settings!$B$14:$B$33,0))&amp;"",IFERROR(LOOKUP(2^15,SEARCH(Settings!$F$14:$F$43,H39)/(Settings!$F$14:$F$43&lt;&gt;""),Settings!$G$14:$G$43),"")))</f>
        <v/>
      </c>
      <c r="BO39">
        <f>IF(OR($B39="",I39=""),"",IFERROR(INDEX(Settings!$D$14:$D$33,MATCH(I39,Settings!$B$14:$B$33,0))&amp;"",IFERROR(LOOKUP(2^15,SEARCH(Settings!$F$14:$F$43,I39)/(Settings!$F$14:$F$43&lt;&gt;""),Settings!$G$14:$G$43),"")))</f>
        <v/>
      </c>
      <c r="BP39">
        <f>IF(OR($B39="",J39=""),"",IFERROR(INDEX(Settings!$D$14:$D$33,MATCH(J39,Settings!$B$14:$B$33,0))&amp;"",IFERROR(LOOKUP(2^15,SEARCH(Settings!$F$14:$F$43,J39)/(Settings!$F$14:$F$43&lt;&gt;""),Settings!$G$14:$G$43),"")))</f>
        <v/>
      </c>
      <c r="BQ39">
        <f>IF(OR($B39="",K39=""),"",IFERROR(INDEX(Settings!$D$14:$D$33,MATCH(K39,Settings!$B$14:$B$33,0))&amp;"",IFERROR(LOOKUP(2^15,SEARCH(Settings!$F$14:$F$43,K39)/(Settings!$F$14:$F$43&lt;&gt;""),Settings!$G$14:$G$43),"")))</f>
        <v/>
      </c>
      <c r="BR39">
        <f>IF(OR($B39="",L39=""),"",IFERROR(INDEX(Settings!$D$14:$D$33,MATCH(L39,Settings!$B$14:$B$33,0))&amp;"",IFERROR(LOOKUP(2^15,SEARCH(Settings!$F$14:$F$43,L39)/(Settings!$F$14:$F$43&lt;&gt;""),Settings!$G$14:$G$43),"")))</f>
        <v/>
      </c>
      <c r="BS39">
        <f>IF(OR($B39="",M39=""),"",IFERROR(INDEX(Settings!$D$14:$D$33,MATCH(M39,Settings!$B$14:$B$33,0))&amp;"",IFERROR(LOOKUP(2^15,SEARCH(Settings!$F$14:$F$43,M39)/(Settings!$F$14:$F$43&lt;&gt;""),Settings!$G$14:$G$43),"")))</f>
        <v/>
      </c>
      <c r="BT39">
        <f>IF(OR($B39="",N39=""),"",IFERROR(INDEX(Settings!$D$14:$D$33,MATCH(N39,Settings!$B$14:$B$33,0))&amp;"",IFERROR(LOOKUP(2^15,SEARCH(Settings!$F$14:$F$43,N39)/(Settings!$F$14:$F$43&lt;&gt;""),Settings!$G$14:$G$43),"")))</f>
        <v/>
      </c>
      <c r="BU39">
        <f>IF(OR($B39="",O39=""),"",IFERROR(INDEX(Settings!$D$14:$D$33,MATCH(O39,Settings!$B$14:$B$33,0))&amp;"",IFERROR(LOOKUP(2^15,SEARCH(Settings!$F$14:$F$43,O39)/(Settings!$F$14:$F$43&lt;&gt;""),Settings!$G$14:$G$43),"")))</f>
        <v/>
      </c>
      <c r="BV39">
        <f>IF(OR($B39="",P39=""),"",IFERROR(INDEX(Settings!$D$14:$D$33,MATCH(P39,Settings!$B$14:$B$33,0))&amp;"",IFERROR(LOOKUP(2^15,SEARCH(Settings!$F$14:$F$43,P39)/(Settings!$F$14:$F$43&lt;&gt;""),Settings!$G$14:$G$43),"")))</f>
        <v/>
      </c>
      <c r="BW39">
        <f>IF(OR($B39="",Q39=""),"",IFERROR(INDEX(Settings!$D$14:$D$33,MATCH(Q39,Settings!$B$14:$B$33,0))&amp;"",IFERROR(LOOKUP(2^15,SEARCH(Settings!$F$14:$F$43,Q39)/(Settings!$F$14:$F$43&lt;&gt;""),Settings!$G$14:$G$43),"")))</f>
        <v/>
      </c>
      <c r="BX39">
        <f>IF(OR($B39="",R39=""),"",IFERROR(INDEX(Settings!$D$14:$D$33,MATCH(R39,Settings!$B$14:$B$33,0))&amp;"",IFERROR(LOOKUP(2^15,SEARCH(Settings!$F$14:$F$43,R39)/(Settings!$F$14:$F$43&lt;&gt;""),Settings!$G$14:$G$43),"")))</f>
        <v/>
      </c>
      <c r="BY39">
        <f>IF(OR($B39="",S39=""),"",IFERROR(INDEX(Settings!$D$14:$D$33,MATCH(S39,Settings!$B$14:$B$33,0))&amp;"",IFERROR(LOOKUP(2^15,SEARCH(Settings!$F$14:$F$43,S39)/(Settings!$F$14:$F$43&lt;&gt;""),Settings!$G$14:$G$43),"")))</f>
        <v/>
      </c>
      <c r="BZ39">
        <f>IF(OR($B39="",T39=""),"",IFERROR(INDEX(Settings!$D$14:$D$33,MATCH(T39,Settings!$B$14:$B$33,0))&amp;"",IFERROR(LOOKUP(2^15,SEARCH(Settings!$F$14:$F$43,T39)/(Settings!$F$14:$F$43&lt;&gt;""),Settings!$G$14:$G$43),"")))</f>
        <v/>
      </c>
      <c r="CA39">
        <f>IF(OR($B39="",U39=""),"",IFERROR(INDEX(Settings!$D$14:$D$33,MATCH(U39,Settings!$B$14:$B$33,0))&amp;"",IFERROR(LOOKUP(2^15,SEARCH(Settings!$F$14:$F$43,U39)/(Settings!$F$14:$F$43&lt;&gt;""),Settings!$G$14:$G$43),"")))</f>
        <v/>
      </c>
      <c r="CB39">
        <f>IF(OR($B39="",V39=""),"",IFERROR(INDEX(Settings!$D$14:$D$33,MATCH(V39,Settings!$B$14:$B$33,0))&amp;"",IFERROR(LOOKUP(2^15,SEARCH(Settings!$F$14:$F$43,V39)/(Settings!$F$14:$F$43&lt;&gt;""),Settings!$G$14:$G$43),"")))</f>
        <v/>
      </c>
      <c r="CC39">
        <f>IF(OR($B39="",W39=""),"",IFERROR(INDEX(Settings!$D$14:$D$33,MATCH(W39,Settings!$B$14:$B$33,0))&amp;"",IFERROR(LOOKUP(2^15,SEARCH(Settings!$F$14:$F$43,W39)/(Settings!$F$14:$F$43&lt;&gt;""),Settings!$G$14:$G$43),"")))</f>
        <v/>
      </c>
      <c r="CD39">
        <f>IF(OR($B39="",X39=""),"",IFERROR(INDEX(Settings!$D$14:$D$33,MATCH(X39,Settings!$B$14:$B$33,0))&amp;"",IFERROR(LOOKUP(2^15,SEARCH(Settings!$F$14:$F$43,X39)/(Settings!$F$14:$F$43&lt;&gt;""),Settings!$G$14:$G$43),"")))</f>
        <v/>
      </c>
      <c r="CE39">
        <f>IF(OR($B39="",Y39=""),"",IFERROR(INDEX(Settings!$D$14:$D$33,MATCH(Y39,Settings!$B$14:$B$33,0))&amp;"",IFERROR(LOOKUP(2^15,SEARCH(Settings!$F$14:$F$43,Y39)/(Settings!$F$14:$F$43&lt;&gt;""),Settings!$G$14:$G$43),"")))</f>
        <v/>
      </c>
      <c r="CF39">
        <f>IF(OR($B39="",Z39=""),"",IFERROR(INDEX(Settings!$D$14:$D$33,MATCH(Z39,Settings!$B$14:$B$33,0))&amp;"",IFERROR(LOOKUP(2^15,SEARCH(Settings!$F$14:$F$43,Z39)/(Settings!$F$14:$F$43&lt;&gt;""),Settings!$G$14:$G$43),"")))</f>
        <v/>
      </c>
      <c r="CG39">
        <f>IF(OR($B39="",AA39=""),"",IFERROR(INDEX(Settings!$D$14:$D$33,MATCH(AA39,Settings!$B$14:$B$33,0))&amp;"",IFERROR(LOOKUP(2^15,SEARCH(Settings!$F$14:$F$43,AA39)/(Settings!$F$14:$F$43&lt;&gt;""),Settings!$G$14:$G$43),"")))</f>
        <v/>
      </c>
      <c r="CH39">
        <f>IF(OR($B39="",AB39=""),"",IFERROR(INDEX(Settings!$D$14:$D$33,MATCH(AB39,Settings!$B$14:$B$33,0))&amp;"",IFERROR(LOOKUP(2^15,SEARCH(Settings!$F$14:$F$43,AB39)/(Settings!$F$14:$F$43&lt;&gt;""),Settings!$G$14:$G$43),"")))</f>
        <v/>
      </c>
      <c r="CI39">
        <f>IF(OR($B39="",AC39=""),"",IFERROR(INDEX(Settings!$D$14:$D$33,MATCH(AC39,Settings!$B$14:$B$33,0))&amp;"",IFERROR(LOOKUP(2^15,SEARCH(Settings!$F$14:$F$43,AC39)/(Settings!$F$14:$F$43&lt;&gt;""),Settings!$G$14:$G$43),"")))</f>
        <v/>
      </c>
      <c r="CJ39">
        <f>IF(OR($B39="",AD39=""),"",IFERROR(INDEX(Settings!$D$14:$D$33,MATCH(AD39,Settings!$B$14:$B$33,0))&amp;"",IFERROR(LOOKUP(2^15,SEARCH(Settings!$F$14:$F$43,AD39)/(Settings!$F$14:$F$43&lt;&gt;""),Settings!$G$14:$G$43),"")))</f>
        <v/>
      </c>
      <c r="CK39">
        <f>IF(OR($B39="",AE39=""),"",IFERROR(INDEX(Settings!$D$14:$D$33,MATCH(AE39,Settings!$B$14:$B$33,0))&amp;"",IFERROR(LOOKUP(2^15,SEARCH(Settings!$F$14:$F$43,AE39)/(Settings!$F$14:$F$43&lt;&gt;""),Settings!$G$14:$G$43),"")))</f>
        <v/>
      </c>
      <c r="CL39">
        <f>IF(OR($B39="",AF39=""),"",IFERROR(INDEX(Settings!$D$14:$D$33,MATCH(AF39,Settings!$B$14:$B$33,0))&amp;"",IFERROR(LOOKUP(2^15,SEARCH(Settings!$F$14:$F$43,AF39)/(Settings!$F$14:$F$43&lt;&gt;""),Settings!$G$14:$G$43),"")))</f>
        <v/>
      </c>
      <c r="CM39">
        <f>IF(OR($B39="",AG39=""),"",IFERROR(INDEX(Settings!$D$14:$D$33,MATCH(AG39,Settings!$B$14:$B$33,0))&amp;"",IFERROR(LOOKUP(2^15,SEARCH(Settings!$F$14:$F$43,AG39)/(Settings!$F$14:$F$43&lt;&gt;""),Settings!$G$14:$G$43),"")))</f>
        <v/>
      </c>
    </row>
    <row r="40">
      <c r="A40" t="n">
        <v>38</v>
      </c>
      <c r="B40">
        <f>IFERROR(INDEX(Index!$A$2:$A$202,MATCH(A40,Index!$E$2:$E$202,0)),"")</f>
        <v/>
      </c>
      <c r="D40">
        <f>IF($B40="","",IFERROR(MATCH("Travel*",AI40:BJ40,0),""))</f>
        <v/>
      </c>
      <c r="F40">
        <f>IF(OR($B40="",NOT(ISNUMBER(Settings!$C$9))),"",TRIM(SUBSTITUTE(SUBSTITUTE(INDEX('INPUT - Roster'!$S$1:$SV$206,$B40,Settings!$C$9+0)&amp;"",CHAR(10)," "),CHAR(160)," ")))</f>
        <v/>
      </c>
      <c r="G40">
        <f>IF(OR($B40="",NOT(ISNUMBER(Settings!$C$9))),"",TRIM(SUBSTITUTE(SUBSTITUTE(INDEX('INPUT - Roster'!$S$1:$SV$206,$B40,Settings!$C$9+1)&amp;"",CHAR(10)," "),CHAR(160)," ")))</f>
        <v/>
      </c>
      <c r="H40">
        <f>IF(OR($B40="",NOT(ISNUMBER(Settings!$C$9))),"",TRIM(SUBSTITUTE(SUBSTITUTE(INDEX('INPUT - Roster'!$S$1:$SV$206,$B40,Settings!$C$9+2)&amp;"",CHAR(10)," "),CHAR(160)," ")))</f>
        <v/>
      </c>
      <c r="I40">
        <f>IF(OR($B40="",NOT(ISNUMBER(Settings!$C$9))),"",TRIM(SUBSTITUTE(SUBSTITUTE(INDEX('INPUT - Roster'!$S$1:$SV$206,$B40,Settings!$C$9+3)&amp;"",CHAR(10)," "),CHAR(160)," ")))</f>
        <v/>
      </c>
      <c r="J40">
        <f>IF(OR($B40="",NOT(ISNUMBER(Settings!$C$9))),"",TRIM(SUBSTITUTE(SUBSTITUTE(INDEX('INPUT - Roster'!$S$1:$SV$206,$B40,Settings!$C$9+4)&amp;"",CHAR(10)," "),CHAR(160)," ")))</f>
        <v/>
      </c>
      <c r="K40">
        <f>IF(OR($B40="",NOT(ISNUMBER(Settings!$C$9))),"",TRIM(SUBSTITUTE(SUBSTITUTE(INDEX('INPUT - Roster'!$S$1:$SV$206,$B40,Settings!$C$9+5)&amp;"",CHAR(10)," "),CHAR(160)," ")))</f>
        <v/>
      </c>
      <c r="L40">
        <f>IF(OR($B40="",NOT(ISNUMBER(Settings!$C$9))),"",TRIM(SUBSTITUTE(SUBSTITUTE(INDEX('INPUT - Roster'!$S$1:$SV$206,$B40,Settings!$C$9+6)&amp;"",CHAR(10)," "),CHAR(160)," ")))</f>
        <v/>
      </c>
      <c r="M40">
        <f>IF(OR($B40="",NOT(ISNUMBER(Settings!$C$9))),"",TRIM(SUBSTITUTE(SUBSTITUTE(INDEX('INPUT - Roster'!$S$1:$SV$206,$B40,Settings!$C$9+7)&amp;"",CHAR(10)," "),CHAR(160)," ")))</f>
        <v/>
      </c>
      <c r="N40">
        <f>IF(OR($B40="",NOT(ISNUMBER(Settings!$C$9))),"",TRIM(SUBSTITUTE(SUBSTITUTE(INDEX('INPUT - Roster'!$S$1:$SV$206,$B40,Settings!$C$9+8)&amp;"",CHAR(10)," "),CHAR(160)," ")))</f>
        <v/>
      </c>
      <c r="O40">
        <f>IF(OR($B40="",NOT(ISNUMBER(Settings!$C$9))),"",TRIM(SUBSTITUTE(SUBSTITUTE(INDEX('INPUT - Roster'!$S$1:$SV$206,$B40,Settings!$C$9+9)&amp;"",CHAR(10)," "),CHAR(160)," ")))</f>
        <v/>
      </c>
      <c r="P40">
        <f>IF(OR($B40="",NOT(ISNUMBER(Settings!$C$9))),"",TRIM(SUBSTITUTE(SUBSTITUTE(INDEX('INPUT - Roster'!$S$1:$SV$206,$B40,Settings!$C$9+10)&amp;"",CHAR(10)," "),CHAR(160)," ")))</f>
        <v/>
      </c>
      <c r="Q40">
        <f>IF(OR($B40="",NOT(ISNUMBER(Settings!$C$9))),"",TRIM(SUBSTITUTE(SUBSTITUTE(INDEX('INPUT - Roster'!$S$1:$SV$206,$B40,Settings!$C$9+11)&amp;"",CHAR(10)," "),CHAR(160)," ")))</f>
        <v/>
      </c>
      <c r="R40">
        <f>IF(OR($B40="",NOT(ISNUMBER(Settings!$C$9))),"",TRIM(SUBSTITUTE(SUBSTITUTE(INDEX('INPUT - Roster'!$S$1:$SV$206,$B40,Settings!$C$9+12)&amp;"",CHAR(10)," "),CHAR(160)," ")))</f>
        <v/>
      </c>
      <c r="S40">
        <f>IF(OR($B40="",NOT(ISNUMBER(Settings!$C$9))),"",TRIM(SUBSTITUTE(SUBSTITUTE(INDEX('INPUT - Roster'!$S$1:$SV$206,$B40,Settings!$C$9+13)&amp;"",CHAR(10)," "),CHAR(160)," ")))</f>
        <v/>
      </c>
      <c r="T40">
        <f>IF(OR($B40="",NOT(ISNUMBER(Settings!$C$9))),"",TRIM(SUBSTITUTE(SUBSTITUTE(INDEX('INPUT - Roster'!$S$1:$SV$206,$B40,Settings!$C$9+14)&amp;"",CHAR(10)," "),CHAR(160)," ")))</f>
        <v/>
      </c>
      <c r="U40">
        <f>IF(OR($B40="",NOT(ISNUMBER(Settings!$C$9))),"",TRIM(SUBSTITUTE(SUBSTITUTE(INDEX('INPUT - Roster'!$S$1:$SV$206,$B40,Settings!$C$9+15)&amp;"",CHAR(10)," "),CHAR(160)," ")))</f>
        <v/>
      </c>
      <c r="V40">
        <f>IF(OR($B40="",NOT(ISNUMBER(Settings!$C$9))),"",TRIM(SUBSTITUTE(SUBSTITUTE(INDEX('INPUT - Roster'!$S$1:$SV$206,$B40,Settings!$C$9+16)&amp;"",CHAR(10)," "),CHAR(160)," ")))</f>
        <v/>
      </c>
      <c r="W40">
        <f>IF(OR($B40="",NOT(ISNUMBER(Settings!$C$9))),"",TRIM(SUBSTITUTE(SUBSTITUTE(INDEX('INPUT - Roster'!$S$1:$SV$206,$B40,Settings!$C$9+17)&amp;"",CHAR(10)," "),CHAR(160)," ")))</f>
        <v/>
      </c>
      <c r="X40">
        <f>IF(OR($B40="",NOT(ISNUMBER(Settings!$C$9))),"",TRIM(SUBSTITUTE(SUBSTITUTE(INDEX('INPUT - Roster'!$S$1:$SV$206,$B40,Settings!$C$9+18)&amp;"",CHAR(10)," "),CHAR(160)," ")))</f>
        <v/>
      </c>
      <c r="Y40">
        <f>IF(OR($B40="",NOT(ISNUMBER(Settings!$C$9))),"",TRIM(SUBSTITUTE(SUBSTITUTE(INDEX('INPUT - Roster'!$S$1:$SV$206,$B40,Settings!$C$9+19)&amp;"",CHAR(10)," "),CHAR(160)," ")))</f>
        <v/>
      </c>
      <c r="Z40">
        <f>IF(OR($B40="",NOT(ISNUMBER(Settings!$C$9))),"",TRIM(SUBSTITUTE(SUBSTITUTE(INDEX('INPUT - Roster'!$S$1:$SV$206,$B40,Settings!$C$9+20)&amp;"",CHAR(10)," "),CHAR(160)," ")))</f>
        <v/>
      </c>
      <c r="AA40">
        <f>IF(OR($B40="",NOT(ISNUMBER(Settings!$C$9))),"",TRIM(SUBSTITUTE(SUBSTITUTE(INDEX('INPUT - Roster'!$S$1:$SV$206,$B40,Settings!$C$9+21)&amp;"",CHAR(10)," "),CHAR(160)," ")))</f>
        <v/>
      </c>
      <c r="AB40">
        <f>IF(OR($B40="",NOT(ISNUMBER(Settings!$C$9))),"",TRIM(SUBSTITUTE(SUBSTITUTE(INDEX('INPUT - Roster'!$S$1:$SV$206,$B40,Settings!$C$9+22)&amp;"",CHAR(10)," "),CHAR(160)," ")))</f>
        <v/>
      </c>
      <c r="AC40">
        <f>IF(OR($B40="",NOT(ISNUMBER(Settings!$C$9))),"",TRIM(SUBSTITUTE(SUBSTITUTE(INDEX('INPUT - Roster'!$S$1:$SV$206,$B40,Settings!$C$9+23)&amp;"",CHAR(10)," "),CHAR(160)," ")))</f>
        <v/>
      </c>
      <c r="AD40">
        <f>IF(OR($B40="",NOT(ISNUMBER(Settings!$C$9))),"",TRIM(SUBSTITUTE(SUBSTITUTE(INDEX('INPUT - Roster'!$S$1:$SV$206,$B40,Settings!$C$9+24)&amp;"",CHAR(10)," "),CHAR(160)," ")))</f>
        <v/>
      </c>
      <c r="AE40">
        <f>IF(OR($B40="",NOT(ISNUMBER(Settings!$C$9))),"",TRIM(SUBSTITUTE(SUBSTITUTE(INDEX('INPUT - Roster'!$S$1:$SV$206,$B40,Settings!$C$9+25)&amp;"",CHAR(10)," "),CHAR(160)," ")))</f>
        <v/>
      </c>
      <c r="AF40">
        <f>IF(OR($B40="",NOT(ISNUMBER(Settings!$C$9))),"",TRIM(SUBSTITUTE(SUBSTITUTE(INDEX('INPUT - Roster'!$S$1:$SV$206,$B40,Settings!$C$9+26)&amp;"",CHAR(10)," "),CHAR(160)," ")))</f>
        <v/>
      </c>
      <c r="AG40">
        <f>IF(OR($B40="",NOT(ISNUMBER(Settings!$C$9))),"",TRIM(SUBSTITUTE(SUBSTITUTE(INDEX('INPUT - Roster'!$S$1:$SV$206,$B40,Settings!$C$9+27)&amp;"",CHAR(10)," "),CHAR(160)," ")))</f>
        <v/>
      </c>
      <c r="AI40">
        <f>IF($B40="","",IF(F40="","Not rostered",IFERROR(INDEX(Settings!$C$14:$C$33,MATCH(F40,Settings!$B$14:$B$33,0)),IFERROR(LOOKUP(2^15,SEARCH(Settings!$I$14:$I$83,F40)/(Settings!$I$14:$I$83&lt;&gt;""),Settings!$J$14:$J$83),"Other"))))</f>
        <v/>
      </c>
      <c r="AJ40">
        <f>IF($B40="","",IF(G40="","Not rostered",IFERROR(INDEX(Settings!$C$14:$C$33,MATCH(G40,Settings!$B$14:$B$33,0)),IFERROR(LOOKUP(2^15,SEARCH(Settings!$I$14:$I$83,G40)/(Settings!$I$14:$I$83&lt;&gt;""),Settings!$J$14:$J$83),"Other"))))</f>
        <v/>
      </c>
      <c r="AK40">
        <f>IF($B40="","",IF(H40="","Not rostered",IFERROR(INDEX(Settings!$C$14:$C$33,MATCH(H40,Settings!$B$14:$B$33,0)),IFERROR(LOOKUP(2^15,SEARCH(Settings!$I$14:$I$83,H40)/(Settings!$I$14:$I$83&lt;&gt;""),Settings!$J$14:$J$83),"Other"))))</f>
        <v/>
      </c>
      <c r="AL40">
        <f>IF($B40="","",IF(I40="","Not rostered",IFERROR(INDEX(Settings!$C$14:$C$33,MATCH(I40,Settings!$B$14:$B$33,0)),IFERROR(LOOKUP(2^15,SEARCH(Settings!$I$14:$I$83,I40)/(Settings!$I$14:$I$83&lt;&gt;""),Settings!$J$14:$J$83),"Other"))))</f>
        <v/>
      </c>
      <c r="AM40">
        <f>IF($B40="","",IF(J40="","Not rostered",IFERROR(INDEX(Settings!$C$14:$C$33,MATCH(J40,Settings!$B$14:$B$33,0)),IFERROR(LOOKUP(2^15,SEARCH(Settings!$I$14:$I$83,J40)/(Settings!$I$14:$I$83&lt;&gt;""),Settings!$J$14:$J$83),"Other"))))</f>
        <v/>
      </c>
      <c r="AN40">
        <f>IF($B40="","",IF(K40="","Not rostered",IFERROR(INDEX(Settings!$C$14:$C$33,MATCH(K40,Settings!$B$14:$B$33,0)),IFERROR(LOOKUP(2^15,SEARCH(Settings!$I$14:$I$83,K40)/(Settings!$I$14:$I$83&lt;&gt;""),Settings!$J$14:$J$83),"Other"))))</f>
        <v/>
      </c>
      <c r="AO40">
        <f>IF($B40="","",IF(L40="","Not rostered",IFERROR(INDEX(Settings!$C$14:$C$33,MATCH(L40,Settings!$B$14:$B$33,0)),IFERROR(LOOKUP(2^15,SEARCH(Settings!$I$14:$I$83,L40)/(Settings!$I$14:$I$83&lt;&gt;""),Settings!$J$14:$J$83),"Other"))))</f>
        <v/>
      </c>
      <c r="AP40">
        <f>IF($B40="","",IF(M40="","Not rostered",IFERROR(INDEX(Settings!$C$14:$C$33,MATCH(M40,Settings!$B$14:$B$33,0)),IFERROR(LOOKUP(2^15,SEARCH(Settings!$I$14:$I$83,M40)/(Settings!$I$14:$I$83&lt;&gt;""),Settings!$J$14:$J$83),"Other"))))</f>
        <v/>
      </c>
      <c r="AQ40">
        <f>IF($B40="","",IF(N40="","Not rostered",IFERROR(INDEX(Settings!$C$14:$C$33,MATCH(N40,Settings!$B$14:$B$33,0)),IFERROR(LOOKUP(2^15,SEARCH(Settings!$I$14:$I$83,N40)/(Settings!$I$14:$I$83&lt;&gt;""),Settings!$J$14:$J$83),"Other"))))</f>
        <v/>
      </c>
      <c r="AR40">
        <f>IF($B40="","",IF(O40="","Not rostered",IFERROR(INDEX(Settings!$C$14:$C$33,MATCH(O40,Settings!$B$14:$B$33,0)),IFERROR(LOOKUP(2^15,SEARCH(Settings!$I$14:$I$83,O40)/(Settings!$I$14:$I$83&lt;&gt;""),Settings!$J$14:$J$83),"Other"))))</f>
        <v/>
      </c>
      <c r="AS40">
        <f>IF($B40="","",IF(P40="","Not rostered",IFERROR(INDEX(Settings!$C$14:$C$33,MATCH(P40,Settings!$B$14:$B$33,0)),IFERROR(LOOKUP(2^15,SEARCH(Settings!$I$14:$I$83,P40)/(Settings!$I$14:$I$83&lt;&gt;""),Settings!$J$14:$J$83),"Other"))))</f>
        <v/>
      </c>
      <c r="AT40">
        <f>IF($B40="","",IF(Q40="","Not rostered",IFERROR(INDEX(Settings!$C$14:$C$33,MATCH(Q40,Settings!$B$14:$B$33,0)),IFERROR(LOOKUP(2^15,SEARCH(Settings!$I$14:$I$83,Q40)/(Settings!$I$14:$I$83&lt;&gt;""),Settings!$J$14:$J$83),"Other"))))</f>
        <v/>
      </c>
      <c r="AU40">
        <f>IF($B40="","",IF(R40="","Not rostered",IFERROR(INDEX(Settings!$C$14:$C$33,MATCH(R40,Settings!$B$14:$B$33,0)),IFERROR(LOOKUP(2^15,SEARCH(Settings!$I$14:$I$83,R40)/(Settings!$I$14:$I$83&lt;&gt;""),Settings!$J$14:$J$83),"Other"))))</f>
        <v/>
      </c>
      <c r="AV40">
        <f>IF($B40="","",IF(S40="","Not rostered",IFERROR(INDEX(Settings!$C$14:$C$33,MATCH(S40,Settings!$B$14:$B$33,0)),IFERROR(LOOKUP(2^15,SEARCH(Settings!$I$14:$I$83,S40)/(Settings!$I$14:$I$83&lt;&gt;""),Settings!$J$14:$J$83),"Other"))))</f>
        <v/>
      </c>
      <c r="AW40">
        <f>IF($B40="","",IF(T40="","Not rostered",IFERROR(INDEX(Settings!$C$14:$C$33,MATCH(T40,Settings!$B$14:$B$33,0)),IFERROR(LOOKUP(2^15,SEARCH(Settings!$I$14:$I$83,T40)/(Settings!$I$14:$I$83&lt;&gt;""),Settings!$J$14:$J$83),"Other"))))</f>
        <v/>
      </c>
      <c r="AX40">
        <f>IF($B40="","",IF(U40="","Not rostered",IFERROR(INDEX(Settings!$C$14:$C$33,MATCH(U40,Settings!$B$14:$B$33,0)),IFERROR(LOOKUP(2^15,SEARCH(Settings!$I$14:$I$83,U40)/(Settings!$I$14:$I$83&lt;&gt;""),Settings!$J$14:$J$83),"Other"))))</f>
        <v/>
      </c>
      <c r="AY40">
        <f>IF($B40="","",IF(V40="","Not rostered",IFERROR(INDEX(Settings!$C$14:$C$33,MATCH(V40,Settings!$B$14:$B$33,0)),IFERROR(LOOKUP(2^15,SEARCH(Settings!$I$14:$I$83,V40)/(Settings!$I$14:$I$83&lt;&gt;""),Settings!$J$14:$J$83),"Other"))))</f>
        <v/>
      </c>
      <c r="AZ40">
        <f>IF($B40="","",IF(W40="","Not rostered",IFERROR(INDEX(Settings!$C$14:$C$33,MATCH(W40,Settings!$B$14:$B$33,0)),IFERROR(LOOKUP(2^15,SEARCH(Settings!$I$14:$I$83,W40)/(Settings!$I$14:$I$83&lt;&gt;""),Settings!$J$14:$J$83),"Other"))))</f>
        <v/>
      </c>
      <c r="BA40">
        <f>IF($B40="","",IF(X40="","Not rostered",IFERROR(INDEX(Settings!$C$14:$C$33,MATCH(X40,Settings!$B$14:$B$33,0)),IFERROR(LOOKUP(2^15,SEARCH(Settings!$I$14:$I$83,X40)/(Settings!$I$14:$I$83&lt;&gt;""),Settings!$J$14:$J$83),"Other"))))</f>
        <v/>
      </c>
      <c r="BB40">
        <f>IF($B40="","",IF(Y40="","Not rostered",IFERROR(INDEX(Settings!$C$14:$C$33,MATCH(Y40,Settings!$B$14:$B$33,0)),IFERROR(LOOKUP(2^15,SEARCH(Settings!$I$14:$I$83,Y40)/(Settings!$I$14:$I$83&lt;&gt;""),Settings!$J$14:$J$83),"Other"))))</f>
        <v/>
      </c>
      <c r="BC40">
        <f>IF($B40="","",IF(Z40="","Not rostered",IFERROR(INDEX(Settings!$C$14:$C$33,MATCH(Z40,Settings!$B$14:$B$33,0)),IFERROR(LOOKUP(2^15,SEARCH(Settings!$I$14:$I$83,Z40)/(Settings!$I$14:$I$83&lt;&gt;""),Settings!$J$14:$J$83),"Other"))))</f>
        <v/>
      </c>
      <c r="BD40">
        <f>IF($B40="","",IF(AA40="","Not rostered",IFERROR(INDEX(Settings!$C$14:$C$33,MATCH(AA40,Settings!$B$14:$B$33,0)),IFERROR(LOOKUP(2^15,SEARCH(Settings!$I$14:$I$83,AA40)/(Settings!$I$14:$I$83&lt;&gt;""),Settings!$J$14:$J$83),"Other"))))</f>
        <v/>
      </c>
      <c r="BE40">
        <f>IF($B40="","",IF(AB40="","Not rostered",IFERROR(INDEX(Settings!$C$14:$C$33,MATCH(AB40,Settings!$B$14:$B$33,0)),IFERROR(LOOKUP(2^15,SEARCH(Settings!$I$14:$I$83,AB40)/(Settings!$I$14:$I$83&lt;&gt;""),Settings!$J$14:$J$83),"Other"))))</f>
        <v/>
      </c>
      <c r="BF40">
        <f>IF($B40="","",IF(AC40="","Not rostered",IFERROR(INDEX(Settings!$C$14:$C$33,MATCH(AC40,Settings!$B$14:$B$33,0)),IFERROR(LOOKUP(2^15,SEARCH(Settings!$I$14:$I$83,AC40)/(Settings!$I$14:$I$83&lt;&gt;""),Settings!$J$14:$J$83),"Other"))))</f>
        <v/>
      </c>
      <c r="BG40">
        <f>IF($B40="","",IF(AD40="","Not rostered",IFERROR(INDEX(Settings!$C$14:$C$33,MATCH(AD40,Settings!$B$14:$B$33,0)),IFERROR(LOOKUP(2^15,SEARCH(Settings!$I$14:$I$83,AD40)/(Settings!$I$14:$I$83&lt;&gt;""),Settings!$J$14:$J$83),"Other"))))</f>
        <v/>
      </c>
      <c r="BH40">
        <f>IF($B40="","",IF(AE40="","Not rostered",IFERROR(INDEX(Settings!$C$14:$C$33,MATCH(AE40,Settings!$B$14:$B$33,0)),IFERROR(LOOKUP(2^15,SEARCH(Settings!$I$14:$I$83,AE40)/(Settings!$I$14:$I$83&lt;&gt;""),Settings!$J$14:$J$83),"Other"))))</f>
        <v/>
      </c>
      <c r="BI40">
        <f>IF($B40="","",IF(AF40="","Not rostered",IFERROR(INDEX(Settings!$C$14:$C$33,MATCH(AF40,Settings!$B$14:$B$33,0)),IFERROR(LOOKUP(2^15,SEARCH(Settings!$I$14:$I$83,AF40)/(Settings!$I$14:$I$83&lt;&gt;""),Settings!$J$14:$J$83),"Other"))))</f>
        <v/>
      </c>
      <c r="BJ40">
        <f>IF($B40="","",IF(AG40="","Not rostered",IFERROR(INDEX(Settings!$C$14:$C$33,MATCH(AG40,Settings!$B$14:$B$33,0)),IFERROR(LOOKUP(2^15,SEARCH(Settings!$I$14:$I$83,AG40)/(Settings!$I$14:$I$83&lt;&gt;""),Settings!$J$14:$J$83),"Other"))))</f>
        <v/>
      </c>
      <c r="BL40">
        <f>IF(OR($B40="",F40=""),"",IFERROR(INDEX(Settings!$D$14:$D$33,MATCH(F40,Settings!$B$14:$B$33,0))&amp;"",IFERROR(LOOKUP(2^15,SEARCH(Settings!$F$14:$F$43,F40)/(Settings!$F$14:$F$43&lt;&gt;""),Settings!$G$14:$G$43),"")))</f>
        <v/>
      </c>
      <c r="BM40">
        <f>IF(OR($B40="",G40=""),"",IFERROR(INDEX(Settings!$D$14:$D$33,MATCH(G40,Settings!$B$14:$B$33,0))&amp;"",IFERROR(LOOKUP(2^15,SEARCH(Settings!$F$14:$F$43,G40)/(Settings!$F$14:$F$43&lt;&gt;""),Settings!$G$14:$G$43),"")))</f>
        <v/>
      </c>
      <c r="BN40">
        <f>IF(OR($B40="",H40=""),"",IFERROR(INDEX(Settings!$D$14:$D$33,MATCH(H40,Settings!$B$14:$B$33,0))&amp;"",IFERROR(LOOKUP(2^15,SEARCH(Settings!$F$14:$F$43,H40)/(Settings!$F$14:$F$43&lt;&gt;""),Settings!$G$14:$G$43),"")))</f>
        <v/>
      </c>
      <c r="BO40">
        <f>IF(OR($B40="",I40=""),"",IFERROR(INDEX(Settings!$D$14:$D$33,MATCH(I40,Settings!$B$14:$B$33,0))&amp;"",IFERROR(LOOKUP(2^15,SEARCH(Settings!$F$14:$F$43,I40)/(Settings!$F$14:$F$43&lt;&gt;""),Settings!$G$14:$G$43),"")))</f>
        <v/>
      </c>
      <c r="BP40">
        <f>IF(OR($B40="",J40=""),"",IFERROR(INDEX(Settings!$D$14:$D$33,MATCH(J40,Settings!$B$14:$B$33,0))&amp;"",IFERROR(LOOKUP(2^15,SEARCH(Settings!$F$14:$F$43,J40)/(Settings!$F$14:$F$43&lt;&gt;""),Settings!$G$14:$G$43),"")))</f>
        <v/>
      </c>
      <c r="BQ40">
        <f>IF(OR($B40="",K40=""),"",IFERROR(INDEX(Settings!$D$14:$D$33,MATCH(K40,Settings!$B$14:$B$33,0))&amp;"",IFERROR(LOOKUP(2^15,SEARCH(Settings!$F$14:$F$43,K40)/(Settings!$F$14:$F$43&lt;&gt;""),Settings!$G$14:$G$43),"")))</f>
        <v/>
      </c>
      <c r="BR40">
        <f>IF(OR($B40="",L40=""),"",IFERROR(INDEX(Settings!$D$14:$D$33,MATCH(L40,Settings!$B$14:$B$33,0))&amp;"",IFERROR(LOOKUP(2^15,SEARCH(Settings!$F$14:$F$43,L40)/(Settings!$F$14:$F$43&lt;&gt;""),Settings!$G$14:$G$43),"")))</f>
        <v/>
      </c>
      <c r="BS40">
        <f>IF(OR($B40="",M40=""),"",IFERROR(INDEX(Settings!$D$14:$D$33,MATCH(M40,Settings!$B$14:$B$33,0))&amp;"",IFERROR(LOOKUP(2^15,SEARCH(Settings!$F$14:$F$43,M40)/(Settings!$F$14:$F$43&lt;&gt;""),Settings!$G$14:$G$43),"")))</f>
        <v/>
      </c>
      <c r="BT40">
        <f>IF(OR($B40="",N40=""),"",IFERROR(INDEX(Settings!$D$14:$D$33,MATCH(N40,Settings!$B$14:$B$33,0))&amp;"",IFERROR(LOOKUP(2^15,SEARCH(Settings!$F$14:$F$43,N40)/(Settings!$F$14:$F$43&lt;&gt;""),Settings!$G$14:$G$43),"")))</f>
        <v/>
      </c>
      <c r="BU40">
        <f>IF(OR($B40="",O40=""),"",IFERROR(INDEX(Settings!$D$14:$D$33,MATCH(O40,Settings!$B$14:$B$33,0))&amp;"",IFERROR(LOOKUP(2^15,SEARCH(Settings!$F$14:$F$43,O40)/(Settings!$F$14:$F$43&lt;&gt;""),Settings!$G$14:$G$43),"")))</f>
        <v/>
      </c>
      <c r="BV40">
        <f>IF(OR($B40="",P40=""),"",IFERROR(INDEX(Settings!$D$14:$D$33,MATCH(P40,Settings!$B$14:$B$33,0))&amp;"",IFERROR(LOOKUP(2^15,SEARCH(Settings!$F$14:$F$43,P40)/(Settings!$F$14:$F$43&lt;&gt;""),Settings!$G$14:$G$43),"")))</f>
        <v/>
      </c>
      <c r="BW40">
        <f>IF(OR($B40="",Q40=""),"",IFERROR(INDEX(Settings!$D$14:$D$33,MATCH(Q40,Settings!$B$14:$B$33,0))&amp;"",IFERROR(LOOKUP(2^15,SEARCH(Settings!$F$14:$F$43,Q40)/(Settings!$F$14:$F$43&lt;&gt;""),Settings!$G$14:$G$43),"")))</f>
        <v/>
      </c>
      <c r="BX40">
        <f>IF(OR($B40="",R40=""),"",IFERROR(INDEX(Settings!$D$14:$D$33,MATCH(R40,Settings!$B$14:$B$33,0))&amp;"",IFERROR(LOOKUP(2^15,SEARCH(Settings!$F$14:$F$43,R40)/(Settings!$F$14:$F$43&lt;&gt;""),Settings!$G$14:$G$43),"")))</f>
        <v/>
      </c>
      <c r="BY40">
        <f>IF(OR($B40="",S40=""),"",IFERROR(INDEX(Settings!$D$14:$D$33,MATCH(S40,Settings!$B$14:$B$33,0))&amp;"",IFERROR(LOOKUP(2^15,SEARCH(Settings!$F$14:$F$43,S40)/(Settings!$F$14:$F$43&lt;&gt;""),Settings!$G$14:$G$43),"")))</f>
        <v/>
      </c>
      <c r="BZ40">
        <f>IF(OR($B40="",T40=""),"",IFERROR(INDEX(Settings!$D$14:$D$33,MATCH(T40,Settings!$B$14:$B$33,0))&amp;"",IFERROR(LOOKUP(2^15,SEARCH(Settings!$F$14:$F$43,T40)/(Settings!$F$14:$F$43&lt;&gt;""),Settings!$G$14:$G$43),"")))</f>
        <v/>
      </c>
      <c r="CA40">
        <f>IF(OR($B40="",U40=""),"",IFERROR(INDEX(Settings!$D$14:$D$33,MATCH(U40,Settings!$B$14:$B$33,0))&amp;"",IFERROR(LOOKUP(2^15,SEARCH(Settings!$F$14:$F$43,U40)/(Settings!$F$14:$F$43&lt;&gt;""),Settings!$G$14:$G$43),"")))</f>
        <v/>
      </c>
      <c r="CB40">
        <f>IF(OR($B40="",V40=""),"",IFERROR(INDEX(Settings!$D$14:$D$33,MATCH(V40,Settings!$B$14:$B$33,0))&amp;"",IFERROR(LOOKUP(2^15,SEARCH(Settings!$F$14:$F$43,V40)/(Settings!$F$14:$F$43&lt;&gt;""),Settings!$G$14:$G$43),"")))</f>
        <v/>
      </c>
      <c r="CC40">
        <f>IF(OR($B40="",W40=""),"",IFERROR(INDEX(Settings!$D$14:$D$33,MATCH(W40,Settings!$B$14:$B$33,0))&amp;"",IFERROR(LOOKUP(2^15,SEARCH(Settings!$F$14:$F$43,W40)/(Settings!$F$14:$F$43&lt;&gt;""),Settings!$G$14:$G$43),"")))</f>
        <v/>
      </c>
      <c r="CD40">
        <f>IF(OR($B40="",X40=""),"",IFERROR(INDEX(Settings!$D$14:$D$33,MATCH(X40,Settings!$B$14:$B$33,0))&amp;"",IFERROR(LOOKUP(2^15,SEARCH(Settings!$F$14:$F$43,X40)/(Settings!$F$14:$F$43&lt;&gt;""),Settings!$G$14:$G$43),"")))</f>
        <v/>
      </c>
      <c r="CE40">
        <f>IF(OR($B40="",Y40=""),"",IFERROR(INDEX(Settings!$D$14:$D$33,MATCH(Y40,Settings!$B$14:$B$33,0))&amp;"",IFERROR(LOOKUP(2^15,SEARCH(Settings!$F$14:$F$43,Y40)/(Settings!$F$14:$F$43&lt;&gt;""),Settings!$G$14:$G$43),"")))</f>
        <v/>
      </c>
      <c r="CF40">
        <f>IF(OR($B40="",Z40=""),"",IFERROR(INDEX(Settings!$D$14:$D$33,MATCH(Z40,Settings!$B$14:$B$33,0))&amp;"",IFERROR(LOOKUP(2^15,SEARCH(Settings!$F$14:$F$43,Z40)/(Settings!$F$14:$F$43&lt;&gt;""),Settings!$G$14:$G$43),"")))</f>
        <v/>
      </c>
      <c r="CG40">
        <f>IF(OR($B40="",AA40=""),"",IFERROR(INDEX(Settings!$D$14:$D$33,MATCH(AA40,Settings!$B$14:$B$33,0))&amp;"",IFERROR(LOOKUP(2^15,SEARCH(Settings!$F$14:$F$43,AA40)/(Settings!$F$14:$F$43&lt;&gt;""),Settings!$G$14:$G$43),"")))</f>
        <v/>
      </c>
      <c r="CH40">
        <f>IF(OR($B40="",AB40=""),"",IFERROR(INDEX(Settings!$D$14:$D$33,MATCH(AB40,Settings!$B$14:$B$33,0))&amp;"",IFERROR(LOOKUP(2^15,SEARCH(Settings!$F$14:$F$43,AB40)/(Settings!$F$14:$F$43&lt;&gt;""),Settings!$G$14:$G$43),"")))</f>
        <v/>
      </c>
      <c r="CI40">
        <f>IF(OR($B40="",AC40=""),"",IFERROR(INDEX(Settings!$D$14:$D$33,MATCH(AC40,Settings!$B$14:$B$33,0))&amp;"",IFERROR(LOOKUP(2^15,SEARCH(Settings!$F$14:$F$43,AC40)/(Settings!$F$14:$F$43&lt;&gt;""),Settings!$G$14:$G$43),"")))</f>
        <v/>
      </c>
      <c r="CJ40">
        <f>IF(OR($B40="",AD40=""),"",IFERROR(INDEX(Settings!$D$14:$D$33,MATCH(AD40,Settings!$B$14:$B$33,0))&amp;"",IFERROR(LOOKUP(2^15,SEARCH(Settings!$F$14:$F$43,AD40)/(Settings!$F$14:$F$43&lt;&gt;""),Settings!$G$14:$G$43),"")))</f>
        <v/>
      </c>
      <c r="CK40">
        <f>IF(OR($B40="",AE40=""),"",IFERROR(INDEX(Settings!$D$14:$D$33,MATCH(AE40,Settings!$B$14:$B$33,0))&amp;"",IFERROR(LOOKUP(2^15,SEARCH(Settings!$F$14:$F$43,AE40)/(Settings!$F$14:$F$43&lt;&gt;""),Settings!$G$14:$G$43),"")))</f>
        <v/>
      </c>
      <c r="CL40">
        <f>IF(OR($B40="",AF40=""),"",IFERROR(INDEX(Settings!$D$14:$D$33,MATCH(AF40,Settings!$B$14:$B$33,0))&amp;"",IFERROR(LOOKUP(2^15,SEARCH(Settings!$F$14:$F$43,AF40)/(Settings!$F$14:$F$43&lt;&gt;""),Settings!$G$14:$G$43),"")))</f>
        <v/>
      </c>
      <c r="CM40">
        <f>IF(OR($B40="",AG40=""),"",IFERROR(INDEX(Settings!$D$14:$D$33,MATCH(AG40,Settings!$B$14:$B$33,0))&amp;"",IFERROR(LOOKUP(2^15,SEARCH(Settings!$F$14:$F$43,AG40)/(Settings!$F$14:$F$43&lt;&gt;""),Settings!$G$14:$G$43),"")))</f>
        <v/>
      </c>
    </row>
    <row r="41">
      <c r="A41" t="n">
        <v>39</v>
      </c>
      <c r="B41">
        <f>IFERROR(INDEX(Index!$A$2:$A$202,MATCH(A41,Index!$E$2:$E$202,0)),"")</f>
        <v/>
      </c>
      <c r="D41">
        <f>IF($B41="","",IFERROR(MATCH("Travel*",AI41:BJ41,0),""))</f>
        <v/>
      </c>
      <c r="F41">
        <f>IF(OR($B41="",NOT(ISNUMBER(Settings!$C$9))),"",TRIM(SUBSTITUTE(SUBSTITUTE(INDEX('INPUT - Roster'!$S$1:$SV$206,$B41,Settings!$C$9+0)&amp;"",CHAR(10)," "),CHAR(160)," ")))</f>
        <v/>
      </c>
      <c r="G41">
        <f>IF(OR($B41="",NOT(ISNUMBER(Settings!$C$9))),"",TRIM(SUBSTITUTE(SUBSTITUTE(INDEX('INPUT - Roster'!$S$1:$SV$206,$B41,Settings!$C$9+1)&amp;"",CHAR(10)," "),CHAR(160)," ")))</f>
        <v/>
      </c>
      <c r="H41">
        <f>IF(OR($B41="",NOT(ISNUMBER(Settings!$C$9))),"",TRIM(SUBSTITUTE(SUBSTITUTE(INDEX('INPUT - Roster'!$S$1:$SV$206,$B41,Settings!$C$9+2)&amp;"",CHAR(10)," "),CHAR(160)," ")))</f>
        <v/>
      </c>
      <c r="I41">
        <f>IF(OR($B41="",NOT(ISNUMBER(Settings!$C$9))),"",TRIM(SUBSTITUTE(SUBSTITUTE(INDEX('INPUT - Roster'!$S$1:$SV$206,$B41,Settings!$C$9+3)&amp;"",CHAR(10)," "),CHAR(160)," ")))</f>
        <v/>
      </c>
      <c r="J41">
        <f>IF(OR($B41="",NOT(ISNUMBER(Settings!$C$9))),"",TRIM(SUBSTITUTE(SUBSTITUTE(INDEX('INPUT - Roster'!$S$1:$SV$206,$B41,Settings!$C$9+4)&amp;"",CHAR(10)," "),CHAR(160)," ")))</f>
        <v/>
      </c>
      <c r="K41">
        <f>IF(OR($B41="",NOT(ISNUMBER(Settings!$C$9))),"",TRIM(SUBSTITUTE(SUBSTITUTE(INDEX('INPUT - Roster'!$S$1:$SV$206,$B41,Settings!$C$9+5)&amp;"",CHAR(10)," "),CHAR(160)," ")))</f>
        <v/>
      </c>
      <c r="L41">
        <f>IF(OR($B41="",NOT(ISNUMBER(Settings!$C$9))),"",TRIM(SUBSTITUTE(SUBSTITUTE(INDEX('INPUT - Roster'!$S$1:$SV$206,$B41,Settings!$C$9+6)&amp;"",CHAR(10)," "),CHAR(160)," ")))</f>
        <v/>
      </c>
      <c r="M41">
        <f>IF(OR($B41="",NOT(ISNUMBER(Settings!$C$9))),"",TRIM(SUBSTITUTE(SUBSTITUTE(INDEX('INPUT - Roster'!$S$1:$SV$206,$B41,Settings!$C$9+7)&amp;"",CHAR(10)," "),CHAR(160)," ")))</f>
        <v/>
      </c>
      <c r="N41">
        <f>IF(OR($B41="",NOT(ISNUMBER(Settings!$C$9))),"",TRIM(SUBSTITUTE(SUBSTITUTE(INDEX('INPUT - Roster'!$S$1:$SV$206,$B41,Settings!$C$9+8)&amp;"",CHAR(10)," "),CHAR(160)," ")))</f>
        <v/>
      </c>
      <c r="O41">
        <f>IF(OR($B41="",NOT(ISNUMBER(Settings!$C$9))),"",TRIM(SUBSTITUTE(SUBSTITUTE(INDEX('INPUT - Roster'!$S$1:$SV$206,$B41,Settings!$C$9+9)&amp;"",CHAR(10)," "),CHAR(160)," ")))</f>
        <v/>
      </c>
      <c r="P41">
        <f>IF(OR($B41="",NOT(ISNUMBER(Settings!$C$9))),"",TRIM(SUBSTITUTE(SUBSTITUTE(INDEX('INPUT - Roster'!$S$1:$SV$206,$B41,Settings!$C$9+10)&amp;"",CHAR(10)," "),CHAR(160)," ")))</f>
        <v/>
      </c>
      <c r="Q41">
        <f>IF(OR($B41="",NOT(ISNUMBER(Settings!$C$9))),"",TRIM(SUBSTITUTE(SUBSTITUTE(INDEX('INPUT - Roster'!$S$1:$SV$206,$B41,Settings!$C$9+11)&amp;"",CHAR(10)," "),CHAR(160)," ")))</f>
        <v/>
      </c>
      <c r="R41">
        <f>IF(OR($B41="",NOT(ISNUMBER(Settings!$C$9))),"",TRIM(SUBSTITUTE(SUBSTITUTE(INDEX('INPUT - Roster'!$S$1:$SV$206,$B41,Settings!$C$9+12)&amp;"",CHAR(10)," "),CHAR(160)," ")))</f>
        <v/>
      </c>
      <c r="S41">
        <f>IF(OR($B41="",NOT(ISNUMBER(Settings!$C$9))),"",TRIM(SUBSTITUTE(SUBSTITUTE(INDEX('INPUT - Roster'!$S$1:$SV$206,$B41,Settings!$C$9+13)&amp;"",CHAR(10)," "),CHAR(160)," ")))</f>
        <v/>
      </c>
      <c r="T41">
        <f>IF(OR($B41="",NOT(ISNUMBER(Settings!$C$9))),"",TRIM(SUBSTITUTE(SUBSTITUTE(INDEX('INPUT - Roster'!$S$1:$SV$206,$B41,Settings!$C$9+14)&amp;"",CHAR(10)," "),CHAR(160)," ")))</f>
        <v/>
      </c>
      <c r="U41">
        <f>IF(OR($B41="",NOT(ISNUMBER(Settings!$C$9))),"",TRIM(SUBSTITUTE(SUBSTITUTE(INDEX('INPUT - Roster'!$S$1:$SV$206,$B41,Settings!$C$9+15)&amp;"",CHAR(10)," "),CHAR(160)," ")))</f>
        <v/>
      </c>
      <c r="V41">
        <f>IF(OR($B41="",NOT(ISNUMBER(Settings!$C$9))),"",TRIM(SUBSTITUTE(SUBSTITUTE(INDEX('INPUT - Roster'!$S$1:$SV$206,$B41,Settings!$C$9+16)&amp;"",CHAR(10)," "),CHAR(160)," ")))</f>
        <v/>
      </c>
      <c r="W41">
        <f>IF(OR($B41="",NOT(ISNUMBER(Settings!$C$9))),"",TRIM(SUBSTITUTE(SUBSTITUTE(INDEX('INPUT - Roster'!$S$1:$SV$206,$B41,Settings!$C$9+17)&amp;"",CHAR(10)," "),CHAR(160)," ")))</f>
        <v/>
      </c>
      <c r="X41">
        <f>IF(OR($B41="",NOT(ISNUMBER(Settings!$C$9))),"",TRIM(SUBSTITUTE(SUBSTITUTE(INDEX('INPUT - Roster'!$S$1:$SV$206,$B41,Settings!$C$9+18)&amp;"",CHAR(10)," "),CHAR(160)," ")))</f>
        <v/>
      </c>
      <c r="Y41">
        <f>IF(OR($B41="",NOT(ISNUMBER(Settings!$C$9))),"",TRIM(SUBSTITUTE(SUBSTITUTE(INDEX('INPUT - Roster'!$S$1:$SV$206,$B41,Settings!$C$9+19)&amp;"",CHAR(10)," "),CHAR(160)," ")))</f>
        <v/>
      </c>
      <c r="Z41">
        <f>IF(OR($B41="",NOT(ISNUMBER(Settings!$C$9))),"",TRIM(SUBSTITUTE(SUBSTITUTE(INDEX('INPUT - Roster'!$S$1:$SV$206,$B41,Settings!$C$9+20)&amp;"",CHAR(10)," "),CHAR(160)," ")))</f>
        <v/>
      </c>
      <c r="AA41">
        <f>IF(OR($B41="",NOT(ISNUMBER(Settings!$C$9))),"",TRIM(SUBSTITUTE(SUBSTITUTE(INDEX('INPUT - Roster'!$S$1:$SV$206,$B41,Settings!$C$9+21)&amp;"",CHAR(10)," "),CHAR(160)," ")))</f>
        <v/>
      </c>
      <c r="AB41">
        <f>IF(OR($B41="",NOT(ISNUMBER(Settings!$C$9))),"",TRIM(SUBSTITUTE(SUBSTITUTE(INDEX('INPUT - Roster'!$S$1:$SV$206,$B41,Settings!$C$9+22)&amp;"",CHAR(10)," "),CHAR(160)," ")))</f>
        <v/>
      </c>
      <c r="AC41">
        <f>IF(OR($B41="",NOT(ISNUMBER(Settings!$C$9))),"",TRIM(SUBSTITUTE(SUBSTITUTE(INDEX('INPUT - Roster'!$S$1:$SV$206,$B41,Settings!$C$9+23)&amp;"",CHAR(10)," "),CHAR(160)," ")))</f>
        <v/>
      </c>
      <c r="AD41">
        <f>IF(OR($B41="",NOT(ISNUMBER(Settings!$C$9))),"",TRIM(SUBSTITUTE(SUBSTITUTE(INDEX('INPUT - Roster'!$S$1:$SV$206,$B41,Settings!$C$9+24)&amp;"",CHAR(10)," "),CHAR(160)," ")))</f>
        <v/>
      </c>
      <c r="AE41">
        <f>IF(OR($B41="",NOT(ISNUMBER(Settings!$C$9))),"",TRIM(SUBSTITUTE(SUBSTITUTE(INDEX('INPUT - Roster'!$S$1:$SV$206,$B41,Settings!$C$9+25)&amp;"",CHAR(10)," "),CHAR(160)," ")))</f>
        <v/>
      </c>
      <c r="AF41">
        <f>IF(OR($B41="",NOT(ISNUMBER(Settings!$C$9))),"",TRIM(SUBSTITUTE(SUBSTITUTE(INDEX('INPUT - Roster'!$S$1:$SV$206,$B41,Settings!$C$9+26)&amp;"",CHAR(10)," "),CHAR(160)," ")))</f>
        <v/>
      </c>
      <c r="AG41">
        <f>IF(OR($B41="",NOT(ISNUMBER(Settings!$C$9))),"",TRIM(SUBSTITUTE(SUBSTITUTE(INDEX('INPUT - Roster'!$S$1:$SV$206,$B41,Settings!$C$9+27)&amp;"",CHAR(10)," "),CHAR(160)," ")))</f>
        <v/>
      </c>
      <c r="AI41">
        <f>IF($B41="","",IF(F41="","Not rostered",IFERROR(INDEX(Settings!$C$14:$C$33,MATCH(F41,Settings!$B$14:$B$33,0)),IFERROR(LOOKUP(2^15,SEARCH(Settings!$I$14:$I$83,F41)/(Settings!$I$14:$I$83&lt;&gt;""),Settings!$J$14:$J$83),"Other"))))</f>
        <v/>
      </c>
      <c r="AJ41">
        <f>IF($B41="","",IF(G41="","Not rostered",IFERROR(INDEX(Settings!$C$14:$C$33,MATCH(G41,Settings!$B$14:$B$33,0)),IFERROR(LOOKUP(2^15,SEARCH(Settings!$I$14:$I$83,G41)/(Settings!$I$14:$I$83&lt;&gt;""),Settings!$J$14:$J$83),"Other"))))</f>
        <v/>
      </c>
      <c r="AK41">
        <f>IF($B41="","",IF(H41="","Not rostered",IFERROR(INDEX(Settings!$C$14:$C$33,MATCH(H41,Settings!$B$14:$B$33,0)),IFERROR(LOOKUP(2^15,SEARCH(Settings!$I$14:$I$83,H41)/(Settings!$I$14:$I$83&lt;&gt;""),Settings!$J$14:$J$83),"Other"))))</f>
        <v/>
      </c>
      <c r="AL41">
        <f>IF($B41="","",IF(I41="","Not rostered",IFERROR(INDEX(Settings!$C$14:$C$33,MATCH(I41,Settings!$B$14:$B$33,0)),IFERROR(LOOKUP(2^15,SEARCH(Settings!$I$14:$I$83,I41)/(Settings!$I$14:$I$83&lt;&gt;""),Settings!$J$14:$J$83),"Other"))))</f>
        <v/>
      </c>
      <c r="AM41">
        <f>IF($B41="","",IF(J41="","Not rostered",IFERROR(INDEX(Settings!$C$14:$C$33,MATCH(J41,Settings!$B$14:$B$33,0)),IFERROR(LOOKUP(2^15,SEARCH(Settings!$I$14:$I$83,J41)/(Settings!$I$14:$I$83&lt;&gt;""),Settings!$J$14:$J$83),"Other"))))</f>
        <v/>
      </c>
      <c r="AN41">
        <f>IF($B41="","",IF(K41="","Not rostered",IFERROR(INDEX(Settings!$C$14:$C$33,MATCH(K41,Settings!$B$14:$B$33,0)),IFERROR(LOOKUP(2^15,SEARCH(Settings!$I$14:$I$83,K41)/(Settings!$I$14:$I$83&lt;&gt;""),Settings!$J$14:$J$83),"Other"))))</f>
        <v/>
      </c>
      <c r="AO41">
        <f>IF($B41="","",IF(L41="","Not rostered",IFERROR(INDEX(Settings!$C$14:$C$33,MATCH(L41,Settings!$B$14:$B$33,0)),IFERROR(LOOKUP(2^15,SEARCH(Settings!$I$14:$I$83,L41)/(Settings!$I$14:$I$83&lt;&gt;""),Settings!$J$14:$J$83),"Other"))))</f>
        <v/>
      </c>
      <c r="AP41">
        <f>IF($B41="","",IF(M41="","Not rostered",IFERROR(INDEX(Settings!$C$14:$C$33,MATCH(M41,Settings!$B$14:$B$33,0)),IFERROR(LOOKUP(2^15,SEARCH(Settings!$I$14:$I$83,M41)/(Settings!$I$14:$I$83&lt;&gt;""),Settings!$J$14:$J$83),"Other"))))</f>
        <v/>
      </c>
      <c r="AQ41">
        <f>IF($B41="","",IF(N41="","Not rostered",IFERROR(INDEX(Settings!$C$14:$C$33,MATCH(N41,Settings!$B$14:$B$33,0)),IFERROR(LOOKUP(2^15,SEARCH(Settings!$I$14:$I$83,N41)/(Settings!$I$14:$I$83&lt;&gt;""),Settings!$J$14:$J$83),"Other"))))</f>
        <v/>
      </c>
      <c r="AR41">
        <f>IF($B41="","",IF(O41="","Not rostered",IFERROR(INDEX(Settings!$C$14:$C$33,MATCH(O41,Settings!$B$14:$B$33,0)),IFERROR(LOOKUP(2^15,SEARCH(Settings!$I$14:$I$83,O41)/(Settings!$I$14:$I$83&lt;&gt;""),Settings!$J$14:$J$83),"Other"))))</f>
        <v/>
      </c>
      <c r="AS41">
        <f>IF($B41="","",IF(P41="","Not rostered",IFERROR(INDEX(Settings!$C$14:$C$33,MATCH(P41,Settings!$B$14:$B$33,0)),IFERROR(LOOKUP(2^15,SEARCH(Settings!$I$14:$I$83,P41)/(Settings!$I$14:$I$83&lt;&gt;""),Settings!$J$14:$J$83),"Other"))))</f>
        <v/>
      </c>
      <c r="AT41">
        <f>IF($B41="","",IF(Q41="","Not rostered",IFERROR(INDEX(Settings!$C$14:$C$33,MATCH(Q41,Settings!$B$14:$B$33,0)),IFERROR(LOOKUP(2^15,SEARCH(Settings!$I$14:$I$83,Q41)/(Settings!$I$14:$I$83&lt;&gt;""),Settings!$J$14:$J$83),"Other"))))</f>
        <v/>
      </c>
      <c r="AU41">
        <f>IF($B41="","",IF(R41="","Not rostered",IFERROR(INDEX(Settings!$C$14:$C$33,MATCH(R41,Settings!$B$14:$B$33,0)),IFERROR(LOOKUP(2^15,SEARCH(Settings!$I$14:$I$83,R41)/(Settings!$I$14:$I$83&lt;&gt;""),Settings!$J$14:$J$83),"Other"))))</f>
        <v/>
      </c>
      <c r="AV41">
        <f>IF($B41="","",IF(S41="","Not rostered",IFERROR(INDEX(Settings!$C$14:$C$33,MATCH(S41,Settings!$B$14:$B$33,0)),IFERROR(LOOKUP(2^15,SEARCH(Settings!$I$14:$I$83,S41)/(Settings!$I$14:$I$83&lt;&gt;""),Settings!$J$14:$J$83),"Other"))))</f>
        <v/>
      </c>
      <c r="AW41">
        <f>IF($B41="","",IF(T41="","Not rostered",IFERROR(INDEX(Settings!$C$14:$C$33,MATCH(T41,Settings!$B$14:$B$33,0)),IFERROR(LOOKUP(2^15,SEARCH(Settings!$I$14:$I$83,T41)/(Settings!$I$14:$I$83&lt;&gt;""),Settings!$J$14:$J$83),"Other"))))</f>
        <v/>
      </c>
      <c r="AX41">
        <f>IF($B41="","",IF(U41="","Not rostered",IFERROR(INDEX(Settings!$C$14:$C$33,MATCH(U41,Settings!$B$14:$B$33,0)),IFERROR(LOOKUP(2^15,SEARCH(Settings!$I$14:$I$83,U41)/(Settings!$I$14:$I$83&lt;&gt;""),Settings!$J$14:$J$83),"Other"))))</f>
        <v/>
      </c>
      <c r="AY41">
        <f>IF($B41="","",IF(V41="","Not rostered",IFERROR(INDEX(Settings!$C$14:$C$33,MATCH(V41,Settings!$B$14:$B$33,0)),IFERROR(LOOKUP(2^15,SEARCH(Settings!$I$14:$I$83,V41)/(Settings!$I$14:$I$83&lt;&gt;""),Settings!$J$14:$J$83),"Other"))))</f>
        <v/>
      </c>
      <c r="AZ41">
        <f>IF($B41="","",IF(W41="","Not rostered",IFERROR(INDEX(Settings!$C$14:$C$33,MATCH(W41,Settings!$B$14:$B$33,0)),IFERROR(LOOKUP(2^15,SEARCH(Settings!$I$14:$I$83,W41)/(Settings!$I$14:$I$83&lt;&gt;""),Settings!$J$14:$J$83),"Other"))))</f>
        <v/>
      </c>
      <c r="BA41">
        <f>IF($B41="","",IF(X41="","Not rostered",IFERROR(INDEX(Settings!$C$14:$C$33,MATCH(X41,Settings!$B$14:$B$33,0)),IFERROR(LOOKUP(2^15,SEARCH(Settings!$I$14:$I$83,X41)/(Settings!$I$14:$I$83&lt;&gt;""),Settings!$J$14:$J$83),"Other"))))</f>
        <v/>
      </c>
      <c r="BB41">
        <f>IF($B41="","",IF(Y41="","Not rostered",IFERROR(INDEX(Settings!$C$14:$C$33,MATCH(Y41,Settings!$B$14:$B$33,0)),IFERROR(LOOKUP(2^15,SEARCH(Settings!$I$14:$I$83,Y41)/(Settings!$I$14:$I$83&lt;&gt;""),Settings!$J$14:$J$83),"Other"))))</f>
        <v/>
      </c>
      <c r="BC41">
        <f>IF($B41="","",IF(Z41="","Not rostered",IFERROR(INDEX(Settings!$C$14:$C$33,MATCH(Z41,Settings!$B$14:$B$33,0)),IFERROR(LOOKUP(2^15,SEARCH(Settings!$I$14:$I$83,Z41)/(Settings!$I$14:$I$83&lt;&gt;""),Settings!$J$14:$J$83),"Other"))))</f>
        <v/>
      </c>
      <c r="BD41">
        <f>IF($B41="","",IF(AA41="","Not rostered",IFERROR(INDEX(Settings!$C$14:$C$33,MATCH(AA41,Settings!$B$14:$B$33,0)),IFERROR(LOOKUP(2^15,SEARCH(Settings!$I$14:$I$83,AA41)/(Settings!$I$14:$I$83&lt;&gt;""),Settings!$J$14:$J$83),"Other"))))</f>
        <v/>
      </c>
      <c r="BE41">
        <f>IF($B41="","",IF(AB41="","Not rostered",IFERROR(INDEX(Settings!$C$14:$C$33,MATCH(AB41,Settings!$B$14:$B$33,0)),IFERROR(LOOKUP(2^15,SEARCH(Settings!$I$14:$I$83,AB41)/(Settings!$I$14:$I$83&lt;&gt;""),Settings!$J$14:$J$83),"Other"))))</f>
        <v/>
      </c>
      <c r="BF41">
        <f>IF($B41="","",IF(AC41="","Not rostered",IFERROR(INDEX(Settings!$C$14:$C$33,MATCH(AC41,Settings!$B$14:$B$33,0)),IFERROR(LOOKUP(2^15,SEARCH(Settings!$I$14:$I$83,AC41)/(Settings!$I$14:$I$83&lt;&gt;""),Settings!$J$14:$J$83),"Other"))))</f>
        <v/>
      </c>
      <c r="BG41">
        <f>IF($B41="","",IF(AD41="","Not rostered",IFERROR(INDEX(Settings!$C$14:$C$33,MATCH(AD41,Settings!$B$14:$B$33,0)),IFERROR(LOOKUP(2^15,SEARCH(Settings!$I$14:$I$83,AD41)/(Settings!$I$14:$I$83&lt;&gt;""),Settings!$J$14:$J$83),"Other"))))</f>
        <v/>
      </c>
      <c r="BH41">
        <f>IF($B41="","",IF(AE41="","Not rostered",IFERROR(INDEX(Settings!$C$14:$C$33,MATCH(AE41,Settings!$B$14:$B$33,0)),IFERROR(LOOKUP(2^15,SEARCH(Settings!$I$14:$I$83,AE41)/(Settings!$I$14:$I$83&lt;&gt;""),Settings!$J$14:$J$83),"Other"))))</f>
        <v/>
      </c>
      <c r="BI41">
        <f>IF($B41="","",IF(AF41="","Not rostered",IFERROR(INDEX(Settings!$C$14:$C$33,MATCH(AF41,Settings!$B$14:$B$33,0)),IFERROR(LOOKUP(2^15,SEARCH(Settings!$I$14:$I$83,AF41)/(Settings!$I$14:$I$83&lt;&gt;""),Settings!$J$14:$J$83),"Other"))))</f>
        <v/>
      </c>
      <c r="BJ41">
        <f>IF($B41="","",IF(AG41="","Not rostered",IFERROR(INDEX(Settings!$C$14:$C$33,MATCH(AG41,Settings!$B$14:$B$33,0)),IFERROR(LOOKUP(2^15,SEARCH(Settings!$I$14:$I$83,AG41)/(Settings!$I$14:$I$83&lt;&gt;""),Settings!$J$14:$J$83),"Other"))))</f>
        <v/>
      </c>
      <c r="BL41">
        <f>IF(OR($B41="",F41=""),"",IFERROR(INDEX(Settings!$D$14:$D$33,MATCH(F41,Settings!$B$14:$B$33,0))&amp;"",IFERROR(LOOKUP(2^15,SEARCH(Settings!$F$14:$F$43,F41)/(Settings!$F$14:$F$43&lt;&gt;""),Settings!$G$14:$G$43),"")))</f>
        <v/>
      </c>
      <c r="BM41">
        <f>IF(OR($B41="",G41=""),"",IFERROR(INDEX(Settings!$D$14:$D$33,MATCH(G41,Settings!$B$14:$B$33,0))&amp;"",IFERROR(LOOKUP(2^15,SEARCH(Settings!$F$14:$F$43,G41)/(Settings!$F$14:$F$43&lt;&gt;""),Settings!$G$14:$G$43),"")))</f>
        <v/>
      </c>
      <c r="BN41">
        <f>IF(OR($B41="",H41=""),"",IFERROR(INDEX(Settings!$D$14:$D$33,MATCH(H41,Settings!$B$14:$B$33,0))&amp;"",IFERROR(LOOKUP(2^15,SEARCH(Settings!$F$14:$F$43,H41)/(Settings!$F$14:$F$43&lt;&gt;""),Settings!$G$14:$G$43),"")))</f>
        <v/>
      </c>
      <c r="BO41">
        <f>IF(OR($B41="",I41=""),"",IFERROR(INDEX(Settings!$D$14:$D$33,MATCH(I41,Settings!$B$14:$B$33,0))&amp;"",IFERROR(LOOKUP(2^15,SEARCH(Settings!$F$14:$F$43,I41)/(Settings!$F$14:$F$43&lt;&gt;""),Settings!$G$14:$G$43),"")))</f>
        <v/>
      </c>
      <c r="BP41">
        <f>IF(OR($B41="",J41=""),"",IFERROR(INDEX(Settings!$D$14:$D$33,MATCH(J41,Settings!$B$14:$B$33,0))&amp;"",IFERROR(LOOKUP(2^15,SEARCH(Settings!$F$14:$F$43,J41)/(Settings!$F$14:$F$43&lt;&gt;""),Settings!$G$14:$G$43),"")))</f>
        <v/>
      </c>
      <c r="BQ41">
        <f>IF(OR($B41="",K41=""),"",IFERROR(INDEX(Settings!$D$14:$D$33,MATCH(K41,Settings!$B$14:$B$33,0))&amp;"",IFERROR(LOOKUP(2^15,SEARCH(Settings!$F$14:$F$43,K41)/(Settings!$F$14:$F$43&lt;&gt;""),Settings!$G$14:$G$43),"")))</f>
        <v/>
      </c>
      <c r="BR41">
        <f>IF(OR($B41="",L41=""),"",IFERROR(INDEX(Settings!$D$14:$D$33,MATCH(L41,Settings!$B$14:$B$33,0))&amp;"",IFERROR(LOOKUP(2^15,SEARCH(Settings!$F$14:$F$43,L41)/(Settings!$F$14:$F$43&lt;&gt;""),Settings!$G$14:$G$43),"")))</f>
        <v/>
      </c>
      <c r="BS41">
        <f>IF(OR($B41="",M41=""),"",IFERROR(INDEX(Settings!$D$14:$D$33,MATCH(M41,Settings!$B$14:$B$33,0))&amp;"",IFERROR(LOOKUP(2^15,SEARCH(Settings!$F$14:$F$43,M41)/(Settings!$F$14:$F$43&lt;&gt;""),Settings!$G$14:$G$43),"")))</f>
        <v/>
      </c>
      <c r="BT41">
        <f>IF(OR($B41="",N41=""),"",IFERROR(INDEX(Settings!$D$14:$D$33,MATCH(N41,Settings!$B$14:$B$33,0))&amp;"",IFERROR(LOOKUP(2^15,SEARCH(Settings!$F$14:$F$43,N41)/(Settings!$F$14:$F$43&lt;&gt;""),Settings!$G$14:$G$43),"")))</f>
        <v/>
      </c>
      <c r="BU41">
        <f>IF(OR($B41="",O41=""),"",IFERROR(INDEX(Settings!$D$14:$D$33,MATCH(O41,Settings!$B$14:$B$33,0))&amp;"",IFERROR(LOOKUP(2^15,SEARCH(Settings!$F$14:$F$43,O41)/(Settings!$F$14:$F$43&lt;&gt;""),Settings!$G$14:$G$43),"")))</f>
        <v/>
      </c>
      <c r="BV41">
        <f>IF(OR($B41="",P41=""),"",IFERROR(INDEX(Settings!$D$14:$D$33,MATCH(P41,Settings!$B$14:$B$33,0))&amp;"",IFERROR(LOOKUP(2^15,SEARCH(Settings!$F$14:$F$43,P41)/(Settings!$F$14:$F$43&lt;&gt;""),Settings!$G$14:$G$43),"")))</f>
        <v/>
      </c>
      <c r="BW41">
        <f>IF(OR($B41="",Q41=""),"",IFERROR(INDEX(Settings!$D$14:$D$33,MATCH(Q41,Settings!$B$14:$B$33,0))&amp;"",IFERROR(LOOKUP(2^15,SEARCH(Settings!$F$14:$F$43,Q41)/(Settings!$F$14:$F$43&lt;&gt;""),Settings!$G$14:$G$43),"")))</f>
        <v/>
      </c>
      <c r="BX41">
        <f>IF(OR($B41="",R41=""),"",IFERROR(INDEX(Settings!$D$14:$D$33,MATCH(R41,Settings!$B$14:$B$33,0))&amp;"",IFERROR(LOOKUP(2^15,SEARCH(Settings!$F$14:$F$43,R41)/(Settings!$F$14:$F$43&lt;&gt;""),Settings!$G$14:$G$43),"")))</f>
        <v/>
      </c>
      <c r="BY41">
        <f>IF(OR($B41="",S41=""),"",IFERROR(INDEX(Settings!$D$14:$D$33,MATCH(S41,Settings!$B$14:$B$33,0))&amp;"",IFERROR(LOOKUP(2^15,SEARCH(Settings!$F$14:$F$43,S41)/(Settings!$F$14:$F$43&lt;&gt;""),Settings!$G$14:$G$43),"")))</f>
        <v/>
      </c>
      <c r="BZ41">
        <f>IF(OR($B41="",T41=""),"",IFERROR(INDEX(Settings!$D$14:$D$33,MATCH(T41,Settings!$B$14:$B$33,0))&amp;"",IFERROR(LOOKUP(2^15,SEARCH(Settings!$F$14:$F$43,T41)/(Settings!$F$14:$F$43&lt;&gt;""),Settings!$G$14:$G$43),"")))</f>
        <v/>
      </c>
      <c r="CA41">
        <f>IF(OR($B41="",U41=""),"",IFERROR(INDEX(Settings!$D$14:$D$33,MATCH(U41,Settings!$B$14:$B$33,0))&amp;"",IFERROR(LOOKUP(2^15,SEARCH(Settings!$F$14:$F$43,U41)/(Settings!$F$14:$F$43&lt;&gt;""),Settings!$G$14:$G$43),"")))</f>
        <v/>
      </c>
      <c r="CB41">
        <f>IF(OR($B41="",V41=""),"",IFERROR(INDEX(Settings!$D$14:$D$33,MATCH(V41,Settings!$B$14:$B$33,0))&amp;"",IFERROR(LOOKUP(2^15,SEARCH(Settings!$F$14:$F$43,V41)/(Settings!$F$14:$F$43&lt;&gt;""),Settings!$G$14:$G$43),"")))</f>
        <v/>
      </c>
      <c r="CC41">
        <f>IF(OR($B41="",W41=""),"",IFERROR(INDEX(Settings!$D$14:$D$33,MATCH(W41,Settings!$B$14:$B$33,0))&amp;"",IFERROR(LOOKUP(2^15,SEARCH(Settings!$F$14:$F$43,W41)/(Settings!$F$14:$F$43&lt;&gt;""),Settings!$G$14:$G$43),"")))</f>
        <v/>
      </c>
      <c r="CD41">
        <f>IF(OR($B41="",X41=""),"",IFERROR(INDEX(Settings!$D$14:$D$33,MATCH(X41,Settings!$B$14:$B$33,0))&amp;"",IFERROR(LOOKUP(2^15,SEARCH(Settings!$F$14:$F$43,X41)/(Settings!$F$14:$F$43&lt;&gt;""),Settings!$G$14:$G$43),"")))</f>
        <v/>
      </c>
      <c r="CE41">
        <f>IF(OR($B41="",Y41=""),"",IFERROR(INDEX(Settings!$D$14:$D$33,MATCH(Y41,Settings!$B$14:$B$33,0))&amp;"",IFERROR(LOOKUP(2^15,SEARCH(Settings!$F$14:$F$43,Y41)/(Settings!$F$14:$F$43&lt;&gt;""),Settings!$G$14:$G$43),"")))</f>
        <v/>
      </c>
      <c r="CF41">
        <f>IF(OR($B41="",Z41=""),"",IFERROR(INDEX(Settings!$D$14:$D$33,MATCH(Z41,Settings!$B$14:$B$33,0))&amp;"",IFERROR(LOOKUP(2^15,SEARCH(Settings!$F$14:$F$43,Z41)/(Settings!$F$14:$F$43&lt;&gt;""),Settings!$G$14:$G$43),"")))</f>
        <v/>
      </c>
      <c r="CG41">
        <f>IF(OR($B41="",AA41=""),"",IFERROR(INDEX(Settings!$D$14:$D$33,MATCH(AA41,Settings!$B$14:$B$33,0))&amp;"",IFERROR(LOOKUP(2^15,SEARCH(Settings!$F$14:$F$43,AA41)/(Settings!$F$14:$F$43&lt;&gt;""),Settings!$G$14:$G$43),"")))</f>
        <v/>
      </c>
      <c r="CH41">
        <f>IF(OR($B41="",AB41=""),"",IFERROR(INDEX(Settings!$D$14:$D$33,MATCH(AB41,Settings!$B$14:$B$33,0))&amp;"",IFERROR(LOOKUP(2^15,SEARCH(Settings!$F$14:$F$43,AB41)/(Settings!$F$14:$F$43&lt;&gt;""),Settings!$G$14:$G$43),"")))</f>
        <v/>
      </c>
      <c r="CI41">
        <f>IF(OR($B41="",AC41=""),"",IFERROR(INDEX(Settings!$D$14:$D$33,MATCH(AC41,Settings!$B$14:$B$33,0))&amp;"",IFERROR(LOOKUP(2^15,SEARCH(Settings!$F$14:$F$43,AC41)/(Settings!$F$14:$F$43&lt;&gt;""),Settings!$G$14:$G$43),"")))</f>
        <v/>
      </c>
      <c r="CJ41">
        <f>IF(OR($B41="",AD41=""),"",IFERROR(INDEX(Settings!$D$14:$D$33,MATCH(AD41,Settings!$B$14:$B$33,0))&amp;"",IFERROR(LOOKUP(2^15,SEARCH(Settings!$F$14:$F$43,AD41)/(Settings!$F$14:$F$43&lt;&gt;""),Settings!$G$14:$G$43),"")))</f>
        <v/>
      </c>
      <c r="CK41">
        <f>IF(OR($B41="",AE41=""),"",IFERROR(INDEX(Settings!$D$14:$D$33,MATCH(AE41,Settings!$B$14:$B$33,0))&amp;"",IFERROR(LOOKUP(2^15,SEARCH(Settings!$F$14:$F$43,AE41)/(Settings!$F$14:$F$43&lt;&gt;""),Settings!$G$14:$G$43),"")))</f>
        <v/>
      </c>
      <c r="CL41">
        <f>IF(OR($B41="",AF41=""),"",IFERROR(INDEX(Settings!$D$14:$D$33,MATCH(AF41,Settings!$B$14:$B$33,0))&amp;"",IFERROR(LOOKUP(2^15,SEARCH(Settings!$F$14:$F$43,AF41)/(Settings!$F$14:$F$43&lt;&gt;""),Settings!$G$14:$G$43),"")))</f>
        <v/>
      </c>
      <c r="CM41">
        <f>IF(OR($B41="",AG41=""),"",IFERROR(INDEX(Settings!$D$14:$D$33,MATCH(AG41,Settings!$B$14:$B$33,0))&amp;"",IFERROR(LOOKUP(2^15,SEARCH(Settings!$F$14:$F$43,AG41)/(Settings!$F$14:$F$43&lt;&gt;""),Settings!$G$14:$G$43),"")))</f>
        <v/>
      </c>
    </row>
    <row r="42">
      <c r="A42" t="n">
        <v>40</v>
      </c>
      <c r="B42">
        <f>IFERROR(INDEX(Index!$A$2:$A$202,MATCH(A42,Index!$E$2:$E$202,0)),"")</f>
        <v/>
      </c>
      <c r="D42">
        <f>IF($B42="","",IFERROR(MATCH("Travel*",AI42:BJ42,0),""))</f>
        <v/>
      </c>
      <c r="F42">
        <f>IF(OR($B42="",NOT(ISNUMBER(Settings!$C$9))),"",TRIM(SUBSTITUTE(SUBSTITUTE(INDEX('INPUT - Roster'!$S$1:$SV$206,$B42,Settings!$C$9+0)&amp;"",CHAR(10)," "),CHAR(160)," ")))</f>
        <v/>
      </c>
      <c r="G42">
        <f>IF(OR($B42="",NOT(ISNUMBER(Settings!$C$9))),"",TRIM(SUBSTITUTE(SUBSTITUTE(INDEX('INPUT - Roster'!$S$1:$SV$206,$B42,Settings!$C$9+1)&amp;"",CHAR(10)," "),CHAR(160)," ")))</f>
        <v/>
      </c>
      <c r="H42">
        <f>IF(OR($B42="",NOT(ISNUMBER(Settings!$C$9))),"",TRIM(SUBSTITUTE(SUBSTITUTE(INDEX('INPUT - Roster'!$S$1:$SV$206,$B42,Settings!$C$9+2)&amp;"",CHAR(10)," "),CHAR(160)," ")))</f>
        <v/>
      </c>
      <c r="I42">
        <f>IF(OR($B42="",NOT(ISNUMBER(Settings!$C$9))),"",TRIM(SUBSTITUTE(SUBSTITUTE(INDEX('INPUT - Roster'!$S$1:$SV$206,$B42,Settings!$C$9+3)&amp;"",CHAR(10)," "),CHAR(160)," ")))</f>
        <v/>
      </c>
      <c r="J42">
        <f>IF(OR($B42="",NOT(ISNUMBER(Settings!$C$9))),"",TRIM(SUBSTITUTE(SUBSTITUTE(INDEX('INPUT - Roster'!$S$1:$SV$206,$B42,Settings!$C$9+4)&amp;"",CHAR(10)," "),CHAR(160)," ")))</f>
        <v/>
      </c>
      <c r="K42">
        <f>IF(OR($B42="",NOT(ISNUMBER(Settings!$C$9))),"",TRIM(SUBSTITUTE(SUBSTITUTE(INDEX('INPUT - Roster'!$S$1:$SV$206,$B42,Settings!$C$9+5)&amp;"",CHAR(10)," "),CHAR(160)," ")))</f>
        <v/>
      </c>
      <c r="L42">
        <f>IF(OR($B42="",NOT(ISNUMBER(Settings!$C$9))),"",TRIM(SUBSTITUTE(SUBSTITUTE(INDEX('INPUT - Roster'!$S$1:$SV$206,$B42,Settings!$C$9+6)&amp;"",CHAR(10)," "),CHAR(160)," ")))</f>
        <v/>
      </c>
      <c r="M42">
        <f>IF(OR($B42="",NOT(ISNUMBER(Settings!$C$9))),"",TRIM(SUBSTITUTE(SUBSTITUTE(INDEX('INPUT - Roster'!$S$1:$SV$206,$B42,Settings!$C$9+7)&amp;"",CHAR(10)," "),CHAR(160)," ")))</f>
        <v/>
      </c>
      <c r="N42">
        <f>IF(OR($B42="",NOT(ISNUMBER(Settings!$C$9))),"",TRIM(SUBSTITUTE(SUBSTITUTE(INDEX('INPUT - Roster'!$S$1:$SV$206,$B42,Settings!$C$9+8)&amp;"",CHAR(10)," "),CHAR(160)," ")))</f>
        <v/>
      </c>
      <c r="O42">
        <f>IF(OR($B42="",NOT(ISNUMBER(Settings!$C$9))),"",TRIM(SUBSTITUTE(SUBSTITUTE(INDEX('INPUT - Roster'!$S$1:$SV$206,$B42,Settings!$C$9+9)&amp;"",CHAR(10)," "),CHAR(160)," ")))</f>
        <v/>
      </c>
      <c r="P42">
        <f>IF(OR($B42="",NOT(ISNUMBER(Settings!$C$9))),"",TRIM(SUBSTITUTE(SUBSTITUTE(INDEX('INPUT - Roster'!$S$1:$SV$206,$B42,Settings!$C$9+10)&amp;"",CHAR(10)," "),CHAR(160)," ")))</f>
        <v/>
      </c>
      <c r="Q42">
        <f>IF(OR($B42="",NOT(ISNUMBER(Settings!$C$9))),"",TRIM(SUBSTITUTE(SUBSTITUTE(INDEX('INPUT - Roster'!$S$1:$SV$206,$B42,Settings!$C$9+11)&amp;"",CHAR(10)," "),CHAR(160)," ")))</f>
        <v/>
      </c>
      <c r="R42">
        <f>IF(OR($B42="",NOT(ISNUMBER(Settings!$C$9))),"",TRIM(SUBSTITUTE(SUBSTITUTE(INDEX('INPUT - Roster'!$S$1:$SV$206,$B42,Settings!$C$9+12)&amp;"",CHAR(10)," "),CHAR(160)," ")))</f>
        <v/>
      </c>
      <c r="S42">
        <f>IF(OR($B42="",NOT(ISNUMBER(Settings!$C$9))),"",TRIM(SUBSTITUTE(SUBSTITUTE(INDEX('INPUT - Roster'!$S$1:$SV$206,$B42,Settings!$C$9+13)&amp;"",CHAR(10)," "),CHAR(160)," ")))</f>
        <v/>
      </c>
      <c r="T42">
        <f>IF(OR($B42="",NOT(ISNUMBER(Settings!$C$9))),"",TRIM(SUBSTITUTE(SUBSTITUTE(INDEX('INPUT - Roster'!$S$1:$SV$206,$B42,Settings!$C$9+14)&amp;"",CHAR(10)," "),CHAR(160)," ")))</f>
        <v/>
      </c>
      <c r="U42">
        <f>IF(OR($B42="",NOT(ISNUMBER(Settings!$C$9))),"",TRIM(SUBSTITUTE(SUBSTITUTE(INDEX('INPUT - Roster'!$S$1:$SV$206,$B42,Settings!$C$9+15)&amp;"",CHAR(10)," "),CHAR(160)," ")))</f>
        <v/>
      </c>
      <c r="V42">
        <f>IF(OR($B42="",NOT(ISNUMBER(Settings!$C$9))),"",TRIM(SUBSTITUTE(SUBSTITUTE(INDEX('INPUT - Roster'!$S$1:$SV$206,$B42,Settings!$C$9+16)&amp;"",CHAR(10)," "),CHAR(160)," ")))</f>
        <v/>
      </c>
      <c r="W42">
        <f>IF(OR($B42="",NOT(ISNUMBER(Settings!$C$9))),"",TRIM(SUBSTITUTE(SUBSTITUTE(INDEX('INPUT - Roster'!$S$1:$SV$206,$B42,Settings!$C$9+17)&amp;"",CHAR(10)," "),CHAR(160)," ")))</f>
        <v/>
      </c>
      <c r="X42">
        <f>IF(OR($B42="",NOT(ISNUMBER(Settings!$C$9))),"",TRIM(SUBSTITUTE(SUBSTITUTE(INDEX('INPUT - Roster'!$S$1:$SV$206,$B42,Settings!$C$9+18)&amp;"",CHAR(10)," "),CHAR(160)," ")))</f>
        <v/>
      </c>
      <c r="Y42">
        <f>IF(OR($B42="",NOT(ISNUMBER(Settings!$C$9))),"",TRIM(SUBSTITUTE(SUBSTITUTE(INDEX('INPUT - Roster'!$S$1:$SV$206,$B42,Settings!$C$9+19)&amp;"",CHAR(10)," "),CHAR(160)," ")))</f>
        <v/>
      </c>
      <c r="Z42">
        <f>IF(OR($B42="",NOT(ISNUMBER(Settings!$C$9))),"",TRIM(SUBSTITUTE(SUBSTITUTE(INDEX('INPUT - Roster'!$S$1:$SV$206,$B42,Settings!$C$9+20)&amp;"",CHAR(10)," "),CHAR(160)," ")))</f>
        <v/>
      </c>
      <c r="AA42">
        <f>IF(OR($B42="",NOT(ISNUMBER(Settings!$C$9))),"",TRIM(SUBSTITUTE(SUBSTITUTE(INDEX('INPUT - Roster'!$S$1:$SV$206,$B42,Settings!$C$9+21)&amp;"",CHAR(10)," "),CHAR(160)," ")))</f>
        <v/>
      </c>
      <c r="AB42">
        <f>IF(OR($B42="",NOT(ISNUMBER(Settings!$C$9))),"",TRIM(SUBSTITUTE(SUBSTITUTE(INDEX('INPUT - Roster'!$S$1:$SV$206,$B42,Settings!$C$9+22)&amp;"",CHAR(10)," "),CHAR(160)," ")))</f>
        <v/>
      </c>
      <c r="AC42">
        <f>IF(OR($B42="",NOT(ISNUMBER(Settings!$C$9))),"",TRIM(SUBSTITUTE(SUBSTITUTE(INDEX('INPUT - Roster'!$S$1:$SV$206,$B42,Settings!$C$9+23)&amp;"",CHAR(10)," "),CHAR(160)," ")))</f>
        <v/>
      </c>
      <c r="AD42">
        <f>IF(OR($B42="",NOT(ISNUMBER(Settings!$C$9))),"",TRIM(SUBSTITUTE(SUBSTITUTE(INDEX('INPUT - Roster'!$S$1:$SV$206,$B42,Settings!$C$9+24)&amp;"",CHAR(10)," "),CHAR(160)," ")))</f>
        <v/>
      </c>
      <c r="AE42">
        <f>IF(OR($B42="",NOT(ISNUMBER(Settings!$C$9))),"",TRIM(SUBSTITUTE(SUBSTITUTE(INDEX('INPUT - Roster'!$S$1:$SV$206,$B42,Settings!$C$9+25)&amp;"",CHAR(10)," "),CHAR(160)," ")))</f>
        <v/>
      </c>
      <c r="AF42">
        <f>IF(OR($B42="",NOT(ISNUMBER(Settings!$C$9))),"",TRIM(SUBSTITUTE(SUBSTITUTE(INDEX('INPUT - Roster'!$S$1:$SV$206,$B42,Settings!$C$9+26)&amp;"",CHAR(10)," "),CHAR(160)," ")))</f>
        <v/>
      </c>
      <c r="AG42">
        <f>IF(OR($B42="",NOT(ISNUMBER(Settings!$C$9))),"",TRIM(SUBSTITUTE(SUBSTITUTE(INDEX('INPUT - Roster'!$S$1:$SV$206,$B42,Settings!$C$9+27)&amp;"",CHAR(10)," "),CHAR(160)," ")))</f>
        <v/>
      </c>
      <c r="AI42">
        <f>IF($B42="","",IF(F42="","Not rostered",IFERROR(INDEX(Settings!$C$14:$C$33,MATCH(F42,Settings!$B$14:$B$33,0)),IFERROR(LOOKUP(2^15,SEARCH(Settings!$I$14:$I$83,F42)/(Settings!$I$14:$I$83&lt;&gt;""),Settings!$J$14:$J$83),"Other"))))</f>
        <v/>
      </c>
      <c r="AJ42">
        <f>IF($B42="","",IF(G42="","Not rostered",IFERROR(INDEX(Settings!$C$14:$C$33,MATCH(G42,Settings!$B$14:$B$33,0)),IFERROR(LOOKUP(2^15,SEARCH(Settings!$I$14:$I$83,G42)/(Settings!$I$14:$I$83&lt;&gt;""),Settings!$J$14:$J$83),"Other"))))</f>
        <v/>
      </c>
      <c r="AK42">
        <f>IF($B42="","",IF(H42="","Not rostered",IFERROR(INDEX(Settings!$C$14:$C$33,MATCH(H42,Settings!$B$14:$B$33,0)),IFERROR(LOOKUP(2^15,SEARCH(Settings!$I$14:$I$83,H42)/(Settings!$I$14:$I$83&lt;&gt;""),Settings!$J$14:$J$83),"Other"))))</f>
        <v/>
      </c>
      <c r="AL42">
        <f>IF($B42="","",IF(I42="","Not rostered",IFERROR(INDEX(Settings!$C$14:$C$33,MATCH(I42,Settings!$B$14:$B$33,0)),IFERROR(LOOKUP(2^15,SEARCH(Settings!$I$14:$I$83,I42)/(Settings!$I$14:$I$83&lt;&gt;""),Settings!$J$14:$J$83),"Other"))))</f>
        <v/>
      </c>
      <c r="AM42">
        <f>IF($B42="","",IF(J42="","Not rostered",IFERROR(INDEX(Settings!$C$14:$C$33,MATCH(J42,Settings!$B$14:$B$33,0)),IFERROR(LOOKUP(2^15,SEARCH(Settings!$I$14:$I$83,J42)/(Settings!$I$14:$I$83&lt;&gt;""),Settings!$J$14:$J$83),"Other"))))</f>
        <v/>
      </c>
      <c r="AN42">
        <f>IF($B42="","",IF(K42="","Not rostered",IFERROR(INDEX(Settings!$C$14:$C$33,MATCH(K42,Settings!$B$14:$B$33,0)),IFERROR(LOOKUP(2^15,SEARCH(Settings!$I$14:$I$83,K42)/(Settings!$I$14:$I$83&lt;&gt;""),Settings!$J$14:$J$83),"Other"))))</f>
        <v/>
      </c>
      <c r="AO42">
        <f>IF($B42="","",IF(L42="","Not rostered",IFERROR(INDEX(Settings!$C$14:$C$33,MATCH(L42,Settings!$B$14:$B$33,0)),IFERROR(LOOKUP(2^15,SEARCH(Settings!$I$14:$I$83,L42)/(Settings!$I$14:$I$83&lt;&gt;""),Settings!$J$14:$J$83),"Other"))))</f>
        <v/>
      </c>
      <c r="AP42">
        <f>IF($B42="","",IF(M42="","Not rostered",IFERROR(INDEX(Settings!$C$14:$C$33,MATCH(M42,Settings!$B$14:$B$33,0)),IFERROR(LOOKUP(2^15,SEARCH(Settings!$I$14:$I$83,M42)/(Settings!$I$14:$I$83&lt;&gt;""),Settings!$J$14:$J$83),"Other"))))</f>
        <v/>
      </c>
      <c r="AQ42">
        <f>IF($B42="","",IF(N42="","Not rostered",IFERROR(INDEX(Settings!$C$14:$C$33,MATCH(N42,Settings!$B$14:$B$33,0)),IFERROR(LOOKUP(2^15,SEARCH(Settings!$I$14:$I$83,N42)/(Settings!$I$14:$I$83&lt;&gt;""),Settings!$J$14:$J$83),"Other"))))</f>
        <v/>
      </c>
      <c r="AR42">
        <f>IF($B42="","",IF(O42="","Not rostered",IFERROR(INDEX(Settings!$C$14:$C$33,MATCH(O42,Settings!$B$14:$B$33,0)),IFERROR(LOOKUP(2^15,SEARCH(Settings!$I$14:$I$83,O42)/(Settings!$I$14:$I$83&lt;&gt;""),Settings!$J$14:$J$83),"Other"))))</f>
        <v/>
      </c>
      <c r="AS42">
        <f>IF($B42="","",IF(P42="","Not rostered",IFERROR(INDEX(Settings!$C$14:$C$33,MATCH(P42,Settings!$B$14:$B$33,0)),IFERROR(LOOKUP(2^15,SEARCH(Settings!$I$14:$I$83,P42)/(Settings!$I$14:$I$83&lt;&gt;""),Settings!$J$14:$J$83),"Other"))))</f>
        <v/>
      </c>
      <c r="AT42">
        <f>IF($B42="","",IF(Q42="","Not rostered",IFERROR(INDEX(Settings!$C$14:$C$33,MATCH(Q42,Settings!$B$14:$B$33,0)),IFERROR(LOOKUP(2^15,SEARCH(Settings!$I$14:$I$83,Q42)/(Settings!$I$14:$I$83&lt;&gt;""),Settings!$J$14:$J$83),"Other"))))</f>
        <v/>
      </c>
      <c r="AU42">
        <f>IF($B42="","",IF(R42="","Not rostered",IFERROR(INDEX(Settings!$C$14:$C$33,MATCH(R42,Settings!$B$14:$B$33,0)),IFERROR(LOOKUP(2^15,SEARCH(Settings!$I$14:$I$83,R42)/(Settings!$I$14:$I$83&lt;&gt;""),Settings!$J$14:$J$83),"Other"))))</f>
        <v/>
      </c>
      <c r="AV42">
        <f>IF($B42="","",IF(S42="","Not rostered",IFERROR(INDEX(Settings!$C$14:$C$33,MATCH(S42,Settings!$B$14:$B$33,0)),IFERROR(LOOKUP(2^15,SEARCH(Settings!$I$14:$I$83,S42)/(Settings!$I$14:$I$83&lt;&gt;""),Settings!$J$14:$J$83),"Other"))))</f>
        <v/>
      </c>
      <c r="AW42">
        <f>IF($B42="","",IF(T42="","Not rostered",IFERROR(INDEX(Settings!$C$14:$C$33,MATCH(T42,Settings!$B$14:$B$33,0)),IFERROR(LOOKUP(2^15,SEARCH(Settings!$I$14:$I$83,T42)/(Settings!$I$14:$I$83&lt;&gt;""),Settings!$J$14:$J$83),"Other"))))</f>
        <v/>
      </c>
      <c r="AX42">
        <f>IF($B42="","",IF(U42="","Not rostered",IFERROR(INDEX(Settings!$C$14:$C$33,MATCH(U42,Settings!$B$14:$B$33,0)),IFERROR(LOOKUP(2^15,SEARCH(Settings!$I$14:$I$83,U42)/(Settings!$I$14:$I$83&lt;&gt;""),Settings!$J$14:$J$83),"Other"))))</f>
        <v/>
      </c>
      <c r="AY42">
        <f>IF($B42="","",IF(V42="","Not rostered",IFERROR(INDEX(Settings!$C$14:$C$33,MATCH(V42,Settings!$B$14:$B$33,0)),IFERROR(LOOKUP(2^15,SEARCH(Settings!$I$14:$I$83,V42)/(Settings!$I$14:$I$83&lt;&gt;""),Settings!$J$14:$J$83),"Other"))))</f>
        <v/>
      </c>
      <c r="AZ42">
        <f>IF($B42="","",IF(W42="","Not rostered",IFERROR(INDEX(Settings!$C$14:$C$33,MATCH(W42,Settings!$B$14:$B$33,0)),IFERROR(LOOKUP(2^15,SEARCH(Settings!$I$14:$I$83,W42)/(Settings!$I$14:$I$83&lt;&gt;""),Settings!$J$14:$J$83),"Other"))))</f>
        <v/>
      </c>
      <c r="BA42">
        <f>IF($B42="","",IF(X42="","Not rostered",IFERROR(INDEX(Settings!$C$14:$C$33,MATCH(X42,Settings!$B$14:$B$33,0)),IFERROR(LOOKUP(2^15,SEARCH(Settings!$I$14:$I$83,X42)/(Settings!$I$14:$I$83&lt;&gt;""),Settings!$J$14:$J$83),"Other"))))</f>
        <v/>
      </c>
      <c r="BB42">
        <f>IF($B42="","",IF(Y42="","Not rostered",IFERROR(INDEX(Settings!$C$14:$C$33,MATCH(Y42,Settings!$B$14:$B$33,0)),IFERROR(LOOKUP(2^15,SEARCH(Settings!$I$14:$I$83,Y42)/(Settings!$I$14:$I$83&lt;&gt;""),Settings!$J$14:$J$83),"Other"))))</f>
        <v/>
      </c>
      <c r="BC42">
        <f>IF($B42="","",IF(Z42="","Not rostered",IFERROR(INDEX(Settings!$C$14:$C$33,MATCH(Z42,Settings!$B$14:$B$33,0)),IFERROR(LOOKUP(2^15,SEARCH(Settings!$I$14:$I$83,Z42)/(Settings!$I$14:$I$83&lt;&gt;""),Settings!$J$14:$J$83),"Other"))))</f>
        <v/>
      </c>
      <c r="BD42">
        <f>IF($B42="","",IF(AA42="","Not rostered",IFERROR(INDEX(Settings!$C$14:$C$33,MATCH(AA42,Settings!$B$14:$B$33,0)),IFERROR(LOOKUP(2^15,SEARCH(Settings!$I$14:$I$83,AA42)/(Settings!$I$14:$I$83&lt;&gt;""),Settings!$J$14:$J$83),"Other"))))</f>
        <v/>
      </c>
      <c r="BE42">
        <f>IF($B42="","",IF(AB42="","Not rostered",IFERROR(INDEX(Settings!$C$14:$C$33,MATCH(AB42,Settings!$B$14:$B$33,0)),IFERROR(LOOKUP(2^15,SEARCH(Settings!$I$14:$I$83,AB42)/(Settings!$I$14:$I$83&lt;&gt;""),Settings!$J$14:$J$83),"Other"))))</f>
        <v/>
      </c>
      <c r="BF42">
        <f>IF($B42="","",IF(AC42="","Not rostered",IFERROR(INDEX(Settings!$C$14:$C$33,MATCH(AC42,Settings!$B$14:$B$33,0)),IFERROR(LOOKUP(2^15,SEARCH(Settings!$I$14:$I$83,AC42)/(Settings!$I$14:$I$83&lt;&gt;""),Settings!$J$14:$J$83),"Other"))))</f>
        <v/>
      </c>
      <c r="BG42">
        <f>IF($B42="","",IF(AD42="","Not rostered",IFERROR(INDEX(Settings!$C$14:$C$33,MATCH(AD42,Settings!$B$14:$B$33,0)),IFERROR(LOOKUP(2^15,SEARCH(Settings!$I$14:$I$83,AD42)/(Settings!$I$14:$I$83&lt;&gt;""),Settings!$J$14:$J$83),"Other"))))</f>
        <v/>
      </c>
      <c r="BH42">
        <f>IF($B42="","",IF(AE42="","Not rostered",IFERROR(INDEX(Settings!$C$14:$C$33,MATCH(AE42,Settings!$B$14:$B$33,0)),IFERROR(LOOKUP(2^15,SEARCH(Settings!$I$14:$I$83,AE42)/(Settings!$I$14:$I$83&lt;&gt;""),Settings!$J$14:$J$83),"Other"))))</f>
        <v/>
      </c>
      <c r="BI42">
        <f>IF($B42="","",IF(AF42="","Not rostered",IFERROR(INDEX(Settings!$C$14:$C$33,MATCH(AF42,Settings!$B$14:$B$33,0)),IFERROR(LOOKUP(2^15,SEARCH(Settings!$I$14:$I$83,AF42)/(Settings!$I$14:$I$83&lt;&gt;""),Settings!$J$14:$J$83),"Other"))))</f>
        <v/>
      </c>
      <c r="BJ42">
        <f>IF($B42="","",IF(AG42="","Not rostered",IFERROR(INDEX(Settings!$C$14:$C$33,MATCH(AG42,Settings!$B$14:$B$33,0)),IFERROR(LOOKUP(2^15,SEARCH(Settings!$I$14:$I$83,AG42)/(Settings!$I$14:$I$83&lt;&gt;""),Settings!$J$14:$J$83),"Other"))))</f>
        <v/>
      </c>
      <c r="BL42">
        <f>IF(OR($B42="",F42=""),"",IFERROR(INDEX(Settings!$D$14:$D$33,MATCH(F42,Settings!$B$14:$B$33,0))&amp;"",IFERROR(LOOKUP(2^15,SEARCH(Settings!$F$14:$F$43,F42)/(Settings!$F$14:$F$43&lt;&gt;""),Settings!$G$14:$G$43),"")))</f>
        <v/>
      </c>
      <c r="BM42">
        <f>IF(OR($B42="",G42=""),"",IFERROR(INDEX(Settings!$D$14:$D$33,MATCH(G42,Settings!$B$14:$B$33,0))&amp;"",IFERROR(LOOKUP(2^15,SEARCH(Settings!$F$14:$F$43,G42)/(Settings!$F$14:$F$43&lt;&gt;""),Settings!$G$14:$G$43),"")))</f>
        <v/>
      </c>
      <c r="BN42">
        <f>IF(OR($B42="",H42=""),"",IFERROR(INDEX(Settings!$D$14:$D$33,MATCH(H42,Settings!$B$14:$B$33,0))&amp;"",IFERROR(LOOKUP(2^15,SEARCH(Settings!$F$14:$F$43,H42)/(Settings!$F$14:$F$43&lt;&gt;""),Settings!$G$14:$G$43),"")))</f>
        <v/>
      </c>
      <c r="BO42">
        <f>IF(OR($B42="",I42=""),"",IFERROR(INDEX(Settings!$D$14:$D$33,MATCH(I42,Settings!$B$14:$B$33,0))&amp;"",IFERROR(LOOKUP(2^15,SEARCH(Settings!$F$14:$F$43,I42)/(Settings!$F$14:$F$43&lt;&gt;""),Settings!$G$14:$G$43),"")))</f>
        <v/>
      </c>
      <c r="BP42">
        <f>IF(OR($B42="",J42=""),"",IFERROR(INDEX(Settings!$D$14:$D$33,MATCH(J42,Settings!$B$14:$B$33,0))&amp;"",IFERROR(LOOKUP(2^15,SEARCH(Settings!$F$14:$F$43,J42)/(Settings!$F$14:$F$43&lt;&gt;""),Settings!$G$14:$G$43),"")))</f>
        <v/>
      </c>
      <c r="BQ42">
        <f>IF(OR($B42="",K42=""),"",IFERROR(INDEX(Settings!$D$14:$D$33,MATCH(K42,Settings!$B$14:$B$33,0))&amp;"",IFERROR(LOOKUP(2^15,SEARCH(Settings!$F$14:$F$43,K42)/(Settings!$F$14:$F$43&lt;&gt;""),Settings!$G$14:$G$43),"")))</f>
        <v/>
      </c>
      <c r="BR42">
        <f>IF(OR($B42="",L42=""),"",IFERROR(INDEX(Settings!$D$14:$D$33,MATCH(L42,Settings!$B$14:$B$33,0))&amp;"",IFERROR(LOOKUP(2^15,SEARCH(Settings!$F$14:$F$43,L42)/(Settings!$F$14:$F$43&lt;&gt;""),Settings!$G$14:$G$43),"")))</f>
        <v/>
      </c>
      <c r="BS42">
        <f>IF(OR($B42="",M42=""),"",IFERROR(INDEX(Settings!$D$14:$D$33,MATCH(M42,Settings!$B$14:$B$33,0))&amp;"",IFERROR(LOOKUP(2^15,SEARCH(Settings!$F$14:$F$43,M42)/(Settings!$F$14:$F$43&lt;&gt;""),Settings!$G$14:$G$43),"")))</f>
        <v/>
      </c>
      <c r="BT42">
        <f>IF(OR($B42="",N42=""),"",IFERROR(INDEX(Settings!$D$14:$D$33,MATCH(N42,Settings!$B$14:$B$33,0))&amp;"",IFERROR(LOOKUP(2^15,SEARCH(Settings!$F$14:$F$43,N42)/(Settings!$F$14:$F$43&lt;&gt;""),Settings!$G$14:$G$43),"")))</f>
        <v/>
      </c>
      <c r="BU42">
        <f>IF(OR($B42="",O42=""),"",IFERROR(INDEX(Settings!$D$14:$D$33,MATCH(O42,Settings!$B$14:$B$33,0))&amp;"",IFERROR(LOOKUP(2^15,SEARCH(Settings!$F$14:$F$43,O42)/(Settings!$F$14:$F$43&lt;&gt;""),Settings!$G$14:$G$43),"")))</f>
        <v/>
      </c>
      <c r="BV42">
        <f>IF(OR($B42="",P42=""),"",IFERROR(INDEX(Settings!$D$14:$D$33,MATCH(P42,Settings!$B$14:$B$33,0))&amp;"",IFERROR(LOOKUP(2^15,SEARCH(Settings!$F$14:$F$43,P42)/(Settings!$F$14:$F$43&lt;&gt;""),Settings!$G$14:$G$43),"")))</f>
        <v/>
      </c>
      <c r="BW42">
        <f>IF(OR($B42="",Q42=""),"",IFERROR(INDEX(Settings!$D$14:$D$33,MATCH(Q42,Settings!$B$14:$B$33,0))&amp;"",IFERROR(LOOKUP(2^15,SEARCH(Settings!$F$14:$F$43,Q42)/(Settings!$F$14:$F$43&lt;&gt;""),Settings!$G$14:$G$43),"")))</f>
        <v/>
      </c>
      <c r="BX42">
        <f>IF(OR($B42="",R42=""),"",IFERROR(INDEX(Settings!$D$14:$D$33,MATCH(R42,Settings!$B$14:$B$33,0))&amp;"",IFERROR(LOOKUP(2^15,SEARCH(Settings!$F$14:$F$43,R42)/(Settings!$F$14:$F$43&lt;&gt;""),Settings!$G$14:$G$43),"")))</f>
        <v/>
      </c>
      <c r="BY42">
        <f>IF(OR($B42="",S42=""),"",IFERROR(INDEX(Settings!$D$14:$D$33,MATCH(S42,Settings!$B$14:$B$33,0))&amp;"",IFERROR(LOOKUP(2^15,SEARCH(Settings!$F$14:$F$43,S42)/(Settings!$F$14:$F$43&lt;&gt;""),Settings!$G$14:$G$43),"")))</f>
        <v/>
      </c>
      <c r="BZ42">
        <f>IF(OR($B42="",T42=""),"",IFERROR(INDEX(Settings!$D$14:$D$33,MATCH(T42,Settings!$B$14:$B$33,0))&amp;"",IFERROR(LOOKUP(2^15,SEARCH(Settings!$F$14:$F$43,T42)/(Settings!$F$14:$F$43&lt;&gt;""),Settings!$G$14:$G$43),"")))</f>
        <v/>
      </c>
      <c r="CA42">
        <f>IF(OR($B42="",U42=""),"",IFERROR(INDEX(Settings!$D$14:$D$33,MATCH(U42,Settings!$B$14:$B$33,0))&amp;"",IFERROR(LOOKUP(2^15,SEARCH(Settings!$F$14:$F$43,U42)/(Settings!$F$14:$F$43&lt;&gt;""),Settings!$G$14:$G$43),"")))</f>
        <v/>
      </c>
      <c r="CB42">
        <f>IF(OR($B42="",V42=""),"",IFERROR(INDEX(Settings!$D$14:$D$33,MATCH(V42,Settings!$B$14:$B$33,0))&amp;"",IFERROR(LOOKUP(2^15,SEARCH(Settings!$F$14:$F$43,V42)/(Settings!$F$14:$F$43&lt;&gt;""),Settings!$G$14:$G$43),"")))</f>
        <v/>
      </c>
      <c r="CC42">
        <f>IF(OR($B42="",W42=""),"",IFERROR(INDEX(Settings!$D$14:$D$33,MATCH(W42,Settings!$B$14:$B$33,0))&amp;"",IFERROR(LOOKUP(2^15,SEARCH(Settings!$F$14:$F$43,W42)/(Settings!$F$14:$F$43&lt;&gt;""),Settings!$G$14:$G$43),"")))</f>
        <v/>
      </c>
      <c r="CD42">
        <f>IF(OR($B42="",X42=""),"",IFERROR(INDEX(Settings!$D$14:$D$33,MATCH(X42,Settings!$B$14:$B$33,0))&amp;"",IFERROR(LOOKUP(2^15,SEARCH(Settings!$F$14:$F$43,X42)/(Settings!$F$14:$F$43&lt;&gt;""),Settings!$G$14:$G$43),"")))</f>
        <v/>
      </c>
      <c r="CE42">
        <f>IF(OR($B42="",Y42=""),"",IFERROR(INDEX(Settings!$D$14:$D$33,MATCH(Y42,Settings!$B$14:$B$33,0))&amp;"",IFERROR(LOOKUP(2^15,SEARCH(Settings!$F$14:$F$43,Y42)/(Settings!$F$14:$F$43&lt;&gt;""),Settings!$G$14:$G$43),"")))</f>
        <v/>
      </c>
      <c r="CF42">
        <f>IF(OR($B42="",Z42=""),"",IFERROR(INDEX(Settings!$D$14:$D$33,MATCH(Z42,Settings!$B$14:$B$33,0))&amp;"",IFERROR(LOOKUP(2^15,SEARCH(Settings!$F$14:$F$43,Z42)/(Settings!$F$14:$F$43&lt;&gt;""),Settings!$G$14:$G$43),"")))</f>
        <v/>
      </c>
      <c r="CG42">
        <f>IF(OR($B42="",AA42=""),"",IFERROR(INDEX(Settings!$D$14:$D$33,MATCH(AA42,Settings!$B$14:$B$33,0))&amp;"",IFERROR(LOOKUP(2^15,SEARCH(Settings!$F$14:$F$43,AA42)/(Settings!$F$14:$F$43&lt;&gt;""),Settings!$G$14:$G$43),"")))</f>
        <v/>
      </c>
      <c r="CH42">
        <f>IF(OR($B42="",AB42=""),"",IFERROR(INDEX(Settings!$D$14:$D$33,MATCH(AB42,Settings!$B$14:$B$33,0))&amp;"",IFERROR(LOOKUP(2^15,SEARCH(Settings!$F$14:$F$43,AB42)/(Settings!$F$14:$F$43&lt;&gt;""),Settings!$G$14:$G$43),"")))</f>
        <v/>
      </c>
      <c r="CI42">
        <f>IF(OR($B42="",AC42=""),"",IFERROR(INDEX(Settings!$D$14:$D$33,MATCH(AC42,Settings!$B$14:$B$33,0))&amp;"",IFERROR(LOOKUP(2^15,SEARCH(Settings!$F$14:$F$43,AC42)/(Settings!$F$14:$F$43&lt;&gt;""),Settings!$G$14:$G$43),"")))</f>
        <v/>
      </c>
      <c r="CJ42">
        <f>IF(OR($B42="",AD42=""),"",IFERROR(INDEX(Settings!$D$14:$D$33,MATCH(AD42,Settings!$B$14:$B$33,0))&amp;"",IFERROR(LOOKUP(2^15,SEARCH(Settings!$F$14:$F$43,AD42)/(Settings!$F$14:$F$43&lt;&gt;""),Settings!$G$14:$G$43),"")))</f>
        <v/>
      </c>
      <c r="CK42">
        <f>IF(OR($B42="",AE42=""),"",IFERROR(INDEX(Settings!$D$14:$D$33,MATCH(AE42,Settings!$B$14:$B$33,0))&amp;"",IFERROR(LOOKUP(2^15,SEARCH(Settings!$F$14:$F$43,AE42)/(Settings!$F$14:$F$43&lt;&gt;""),Settings!$G$14:$G$43),"")))</f>
        <v/>
      </c>
      <c r="CL42">
        <f>IF(OR($B42="",AF42=""),"",IFERROR(INDEX(Settings!$D$14:$D$33,MATCH(AF42,Settings!$B$14:$B$33,0))&amp;"",IFERROR(LOOKUP(2^15,SEARCH(Settings!$F$14:$F$43,AF42)/(Settings!$F$14:$F$43&lt;&gt;""),Settings!$G$14:$G$43),"")))</f>
        <v/>
      </c>
      <c r="CM42">
        <f>IF(OR($B42="",AG42=""),"",IFERROR(INDEX(Settings!$D$14:$D$33,MATCH(AG42,Settings!$B$14:$B$33,0))&amp;"",IFERROR(LOOKUP(2^15,SEARCH(Settings!$F$14:$F$43,AG42)/(Settings!$F$14:$F$43&lt;&gt;""),Settings!$G$14:$G$43),"")))</f>
        <v/>
      </c>
    </row>
    <row r="43">
      <c r="A43" t="n">
        <v>41</v>
      </c>
      <c r="B43">
        <f>IFERROR(INDEX(Index!$A$2:$A$202,MATCH(A43,Index!$E$2:$E$202,0)),"")</f>
        <v/>
      </c>
      <c r="D43">
        <f>IF($B43="","",IFERROR(MATCH("Travel*",AI43:BJ43,0),""))</f>
        <v/>
      </c>
      <c r="F43">
        <f>IF(OR($B43="",NOT(ISNUMBER(Settings!$C$9))),"",TRIM(SUBSTITUTE(SUBSTITUTE(INDEX('INPUT - Roster'!$S$1:$SV$206,$B43,Settings!$C$9+0)&amp;"",CHAR(10)," "),CHAR(160)," ")))</f>
        <v/>
      </c>
      <c r="G43">
        <f>IF(OR($B43="",NOT(ISNUMBER(Settings!$C$9))),"",TRIM(SUBSTITUTE(SUBSTITUTE(INDEX('INPUT - Roster'!$S$1:$SV$206,$B43,Settings!$C$9+1)&amp;"",CHAR(10)," "),CHAR(160)," ")))</f>
        <v/>
      </c>
      <c r="H43">
        <f>IF(OR($B43="",NOT(ISNUMBER(Settings!$C$9))),"",TRIM(SUBSTITUTE(SUBSTITUTE(INDEX('INPUT - Roster'!$S$1:$SV$206,$B43,Settings!$C$9+2)&amp;"",CHAR(10)," "),CHAR(160)," ")))</f>
        <v/>
      </c>
      <c r="I43">
        <f>IF(OR($B43="",NOT(ISNUMBER(Settings!$C$9))),"",TRIM(SUBSTITUTE(SUBSTITUTE(INDEX('INPUT - Roster'!$S$1:$SV$206,$B43,Settings!$C$9+3)&amp;"",CHAR(10)," "),CHAR(160)," ")))</f>
        <v/>
      </c>
      <c r="J43">
        <f>IF(OR($B43="",NOT(ISNUMBER(Settings!$C$9))),"",TRIM(SUBSTITUTE(SUBSTITUTE(INDEX('INPUT - Roster'!$S$1:$SV$206,$B43,Settings!$C$9+4)&amp;"",CHAR(10)," "),CHAR(160)," ")))</f>
        <v/>
      </c>
      <c r="K43">
        <f>IF(OR($B43="",NOT(ISNUMBER(Settings!$C$9))),"",TRIM(SUBSTITUTE(SUBSTITUTE(INDEX('INPUT - Roster'!$S$1:$SV$206,$B43,Settings!$C$9+5)&amp;"",CHAR(10)," "),CHAR(160)," ")))</f>
        <v/>
      </c>
      <c r="L43">
        <f>IF(OR($B43="",NOT(ISNUMBER(Settings!$C$9))),"",TRIM(SUBSTITUTE(SUBSTITUTE(INDEX('INPUT - Roster'!$S$1:$SV$206,$B43,Settings!$C$9+6)&amp;"",CHAR(10)," "),CHAR(160)," ")))</f>
        <v/>
      </c>
      <c r="M43">
        <f>IF(OR($B43="",NOT(ISNUMBER(Settings!$C$9))),"",TRIM(SUBSTITUTE(SUBSTITUTE(INDEX('INPUT - Roster'!$S$1:$SV$206,$B43,Settings!$C$9+7)&amp;"",CHAR(10)," "),CHAR(160)," ")))</f>
        <v/>
      </c>
      <c r="N43">
        <f>IF(OR($B43="",NOT(ISNUMBER(Settings!$C$9))),"",TRIM(SUBSTITUTE(SUBSTITUTE(INDEX('INPUT - Roster'!$S$1:$SV$206,$B43,Settings!$C$9+8)&amp;"",CHAR(10)," "),CHAR(160)," ")))</f>
        <v/>
      </c>
      <c r="O43">
        <f>IF(OR($B43="",NOT(ISNUMBER(Settings!$C$9))),"",TRIM(SUBSTITUTE(SUBSTITUTE(INDEX('INPUT - Roster'!$S$1:$SV$206,$B43,Settings!$C$9+9)&amp;"",CHAR(10)," "),CHAR(160)," ")))</f>
        <v/>
      </c>
      <c r="P43">
        <f>IF(OR($B43="",NOT(ISNUMBER(Settings!$C$9))),"",TRIM(SUBSTITUTE(SUBSTITUTE(INDEX('INPUT - Roster'!$S$1:$SV$206,$B43,Settings!$C$9+10)&amp;"",CHAR(10)," "),CHAR(160)," ")))</f>
        <v/>
      </c>
      <c r="Q43">
        <f>IF(OR($B43="",NOT(ISNUMBER(Settings!$C$9))),"",TRIM(SUBSTITUTE(SUBSTITUTE(INDEX('INPUT - Roster'!$S$1:$SV$206,$B43,Settings!$C$9+11)&amp;"",CHAR(10)," "),CHAR(160)," ")))</f>
        <v/>
      </c>
      <c r="R43">
        <f>IF(OR($B43="",NOT(ISNUMBER(Settings!$C$9))),"",TRIM(SUBSTITUTE(SUBSTITUTE(INDEX('INPUT - Roster'!$S$1:$SV$206,$B43,Settings!$C$9+12)&amp;"",CHAR(10)," "),CHAR(160)," ")))</f>
        <v/>
      </c>
      <c r="S43">
        <f>IF(OR($B43="",NOT(ISNUMBER(Settings!$C$9))),"",TRIM(SUBSTITUTE(SUBSTITUTE(INDEX('INPUT - Roster'!$S$1:$SV$206,$B43,Settings!$C$9+13)&amp;"",CHAR(10)," "),CHAR(160)," ")))</f>
        <v/>
      </c>
      <c r="T43">
        <f>IF(OR($B43="",NOT(ISNUMBER(Settings!$C$9))),"",TRIM(SUBSTITUTE(SUBSTITUTE(INDEX('INPUT - Roster'!$S$1:$SV$206,$B43,Settings!$C$9+14)&amp;"",CHAR(10)," "),CHAR(160)," ")))</f>
        <v/>
      </c>
      <c r="U43">
        <f>IF(OR($B43="",NOT(ISNUMBER(Settings!$C$9))),"",TRIM(SUBSTITUTE(SUBSTITUTE(INDEX('INPUT - Roster'!$S$1:$SV$206,$B43,Settings!$C$9+15)&amp;"",CHAR(10)," "),CHAR(160)," ")))</f>
        <v/>
      </c>
      <c r="V43">
        <f>IF(OR($B43="",NOT(ISNUMBER(Settings!$C$9))),"",TRIM(SUBSTITUTE(SUBSTITUTE(INDEX('INPUT - Roster'!$S$1:$SV$206,$B43,Settings!$C$9+16)&amp;"",CHAR(10)," "),CHAR(160)," ")))</f>
        <v/>
      </c>
      <c r="W43">
        <f>IF(OR($B43="",NOT(ISNUMBER(Settings!$C$9))),"",TRIM(SUBSTITUTE(SUBSTITUTE(INDEX('INPUT - Roster'!$S$1:$SV$206,$B43,Settings!$C$9+17)&amp;"",CHAR(10)," "),CHAR(160)," ")))</f>
        <v/>
      </c>
      <c r="X43">
        <f>IF(OR($B43="",NOT(ISNUMBER(Settings!$C$9))),"",TRIM(SUBSTITUTE(SUBSTITUTE(INDEX('INPUT - Roster'!$S$1:$SV$206,$B43,Settings!$C$9+18)&amp;"",CHAR(10)," "),CHAR(160)," ")))</f>
        <v/>
      </c>
      <c r="Y43">
        <f>IF(OR($B43="",NOT(ISNUMBER(Settings!$C$9))),"",TRIM(SUBSTITUTE(SUBSTITUTE(INDEX('INPUT - Roster'!$S$1:$SV$206,$B43,Settings!$C$9+19)&amp;"",CHAR(10)," "),CHAR(160)," ")))</f>
        <v/>
      </c>
      <c r="Z43">
        <f>IF(OR($B43="",NOT(ISNUMBER(Settings!$C$9))),"",TRIM(SUBSTITUTE(SUBSTITUTE(INDEX('INPUT - Roster'!$S$1:$SV$206,$B43,Settings!$C$9+20)&amp;"",CHAR(10)," "),CHAR(160)," ")))</f>
        <v/>
      </c>
      <c r="AA43">
        <f>IF(OR($B43="",NOT(ISNUMBER(Settings!$C$9))),"",TRIM(SUBSTITUTE(SUBSTITUTE(INDEX('INPUT - Roster'!$S$1:$SV$206,$B43,Settings!$C$9+21)&amp;"",CHAR(10)," "),CHAR(160)," ")))</f>
        <v/>
      </c>
      <c r="AB43">
        <f>IF(OR($B43="",NOT(ISNUMBER(Settings!$C$9))),"",TRIM(SUBSTITUTE(SUBSTITUTE(INDEX('INPUT - Roster'!$S$1:$SV$206,$B43,Settings!$C$9+22)&amp;"",CHAR(10)," "),CHAR(160)," ")))</f>
        <v/>
      </c>
      <c r="AC43">
        <f>IF(OR($B43="",NOT(ISNUMBER(Settings!$C$9))),"",TRIM(SUBSTITUTE(SUBSTITUTE(INDEX('INPUT - Roster'!$S$1:$SV$206,$B43,Settings!$C$9+23)&amp;"",CHAR(10)," "),CHAR(160)," ")))</f>
        <v/>
      </c>
      <c r="AD43">
        <f>IF(OR($B43="",NOT(ISNUMBER(Settings!$C$9))),"",TRIM(SUBSTITUTE(SUBSTITUTE(INDEX('INPUT - Roster'!$S$1:$SV$206,$B43,Settings!$C$9+24)&amp;"",CHAR(10)," "),CHAR(160)," ")))</f>
        <v/>
      </c>
      <c r="AE43">
        <f>IF(OR($B43="",NOT(ISNUMBER(Settings!$C$9))),"",TRIM(SUBSTITUTE(SUBSTITUTE(INDEX('INPUT - Roster'!$S$1:$SV$206,$B43,Settings!$C$9+25)&amp;"",CHAR(10)," "),CHAR(160)," ")))</f>
        <v/>
      </c>
      <c r="AF43">
        <f>IF(OR($B43="",NOT(ISNUMBER(Settings!$C$9))),"",TRIM(SUBSTITUTE(SUBSTITUTE(INDEX('INPUT - Roster'!$S$1:$SV$206,$B43,Settings!$C$9+26)&amp;"",CHAR(10)," "),CHAR(160)," ")))</f>
        <v/>
      </c>
      <c r="AG43">
        <f>IF(OR($B43="",NOT(ISNUMBER(Settings!$C$9))),"",TRIM(SUBSTITUTE(SUBSTITUTE(INDEX('INPUT - Roster'!$S$1:$SV$206,$B43,Settings!$C$9+27)&amp;"",CHAR(10)," "),CHAR(160)," ")))</f>
        <v/>
      </c>
      <c r="AI43">
        <f>IF($B43="","",IF(F43="","Not rostered",IFERROR(INDEX(Settings!$C$14:$C$33,MATCH(F43,Settings!$B$14:$B$33,0)),IFERROR(LOOKUP(2^15,SEARCH(Settings!$I$14:$I$83,F43)/(Settings!$I$14:$I$83&lt;&gt;""),Settings!$J$14:$J$83),"Other"))))</f>
        <v/>
      </c>
      <c r="AJ43">
        <f>IF($B43="","",IF(G43="","Not rostered",IFERROR(INDEX(Settings!$C$14:$C$33,MATCH(G43,Settings!$B$14:$B$33,0)),IFERROR(LOOKUP(2^15,SEARCH(Settings!$I$14:$I$83,G43)/(Settings!$I$14:$I$83&lt;&gt;""),Settings!$J$14:$J$83),"Other"))))</f>
        <v/>
      </c>
      <c r="AK43">
        <f>IF($B43="","",IF(H43="","Not rostered",IFERROR(INDEX(Settings!$C$14:$C$33,MATCH(H43,Settings!$B$14:$B$33,0)),IFERROR(LOOKUP(2^15,SEARCH(Settings!$I$14:$I$83,H43)/(Settings!$I$14:$I$83&lt;&gt;""),Settings!$J$14:$J$83),"Other"))))</f>
        <v/>
      </c>
      <c r="AL43">
        <f>IF($B43="","",IF(I43="","Not rostered",IFERROR(INDEX(Settings!$C$14:$C$33,MATCH(I43,Settings!$B$14:$B$33,0)),IFERROR(LOOKUP(2^15,SEARCH(Settings!$I$14:$I$83,I43)/(Settings!$I$14:$I$83&lt;&gt;""),Settings!$J$14:$J$83),"Other"))))</f>
        <v/>
      </c>
      <c r="AM43">
        <f>IF($B43="","",IF(J43="","Not rostered",IFERROR(INDEX(Settings!$C$14:$C$33,MATCH(J43,Settings!$B$14:$B$33,0)),IFERROR(LOOKUP(2^15,SEARCH(Settings!$I$14:$I$83,J43)/(Settings!$I$14:$I$83&lt;&gt;""),Settings!$J$14:$J$83),"Other"))))</f>
        <v/>
      </c>
      <c r="AN43">
        <f>IF($B43="","",IF(K43="","Not rostered",IFERROR(INDEX(Settings!$C$14:$C$33,MATCH(K43,Settings!$B$14:$B$33,0)),IFERROR(LOOKUP(2^15,SEARCH(Settings!$I$14:$I$83,K43)/(Settings!$I$14:$I$83&lt;&gt;""),Settings!$J$14:$J$83),"Other"))))</f>
        <v/>
      </c>
      <c r="AO43">
        <f>IF($B43="","",IF(L43="","Not rostered",IFERROR(INDEX(Settings!$C$14:$C$33,MATCH(L43,Settings!$B$14:$B$33,0)),IFERROR(LOOKUP(2^15,SEARCH(Settings!$I$14:$I$83,L43)/(Settings!$I$14:$I$83&lt;&gt;""),Settings!$J$14:$J$83),"Other"))))</f>
        <v/>
      </c>
      <c r="AP43">
        <f>IF($B43="","",IF(M43="","Not rostered",IFERROR(INDEX(Settings!$C$14:$C$33,MATCH(M43,Settings!$B$14:$B$33,0)),IFERROR(LOOKUP(2^15,SEARCH(Settings!$I$14:$I$83,M43)/(Settings!$I$14:$I$83&lt;&gt;""),Settings!$J$14:$J$83),"Other"))))</f>
        <v/>
      </c>
      <c r="AQ43">
        <f>IF($B43="","",IF(N43="","Not rostered",IFERROR(INDEX(Settings!$C$14:$C$33,MATCH(N43,Settings!$B$14:$B$33,0)),IFERROR(LOOKUP(2^15,SEARCH(Settings!$I$14:$I$83,N43)/(Settings!$I$14:$I$83&lt;&gt;""),Settings!$J$14:$J$83),"Other"))))</f>
        <v/>
      </c>
      <c r="AR43">
        <f>IF($B43="","",IF(O43="","Not rostered",IFERROR(INDEX(Settings!$C$14:$C$33,MATCH(O43,Settings!$B$14:$B$33,0)),IFERROR(LOOKUP(2^15,SEARCH(Settings!$I$14:$I$83,O43)/(Settings!$I$14:$I$83&lt;&gt;""),Settings!$J$14:$J$83),"Other"))))</f>
        <v/>
      </c>
      <c r="AS43">
        <f>IF($B43="","",IF(P43="","Not rostered",IFERROR(INDEX(Settings!$C$14:$C$33,MATCH(P43,Settings!$B$14:$B$33,0)),IFERROR(LOOKUP(2^15,SEARCH(Settings!$I$14:$I$83,P43)/(Settings!$I$14:$I$83&lt;&gt;""),Settings!$J$14:$J$83),"Other"))))</f>
        <v/>
      </c>
      <c r="AT43">
        <f>IF($B43="","",IF(Q43="","Not rostered",IFERROR(INDEX(Settings!$C$14:$C$33,MATCH(Q43,Settings!$B$14:$B$33,0)),IFERROR(LOOKUP(2^15,SEARCH(Settings!$I$14:$I$83,Q43)/(Settings!$I$14:$I$83&lt;&gt;""),Settings!$J$14:$J$83),"Other"))))</f>
        <v/>
      </c>
      <c r="AU43">
        <f>IF($B43="","",IF(R43="","Not rostered",IFERROR(INDEX(Settings!$C$14:$C$33,MATCH(R43,Settings!$B$14:$B$33,0)),IFERROR(LOOKUP(2^15,SEARCH(Settings!$I$14:$I$83,R43)/(Settings!$I$14:$I$83&lt;&gt;""),Settings!$J$14:$J$83),"Other"))))</f>
        <v/>
      </c>
      <c r="AV43">
        <f>IF($B43="","",IF(S43="","Not rostered",IFERROR(INDEX(Settings!$C$14:$C$33,MATCH(S43,Settings!$B$14:$B$33,0)),IFERROR(LOOKUP(2^15,SEARCH(Settings!$I$14:$I$83,S43)/(Settings!$I$14:$I$83&lt;&gt;""),Settings!$J$14:$J$83),"Other"))))</f>
        <v/>
      </c>
      <c r="AW43">
        <f>IF($B43="","",IF(T43="","Not rostered",IFERROR(INDEX(Settings!$C$14:$C$33,MATCH(T43,Settings!$B$14:$B$33,0)),IFERROR(LOOKUP(2^15,SEARCH(Settings!$I$14:$I$83,T43)/(Settings!$I$14:$I$83&lt;&gt;""),Settings!$J$14:$J$83),"Other"))))</f>
        <v/>
      </c>
      <c r="AX43">
        <f>IF($B43="","",IF(U43="","Not rostered",IFERROR(INDEX(Settings!$C$14:$C$33,MATCH(U43,Settings!$B$14:$B$33,0)),IFERROR(LOOKUP(2^15,SEARCH(Settings!$I$14:$I$83,U43)/(Settings!$I$14:$I$83&lt;&gt;""),Settings!$J$14:$J$83),"Other"))))</f>
        <v/>
      </c>
      <c r="AY43">
        <f>IF($B43="","",IF(V43="","Not rostered",IFERROR(INDEX(Settings!$C$14:$C$33,MATCH(V43,Settings!$B$14:$B$33,0)),IFERROR(LOOKUP(2^15,SEARCH(Settings!$I$14:$I$83,V43)/(Settings!$I$14:$I$83&lt;&gt;""),Settings!$J$14:$J$83),"Other"))))</f>
        <v/>
      </c>
      <c r="AZ43">
        <f>IF($B43="","",IF(W43="","Not rostered",IFERROR(INDEX(Settings!$C$14:$C$33,MATCH(W43,Settings!$B$14:$B$33,0)),IFERROR(LOOKUP(2^15,SEARCH(Settings!$I$14:$I$83,W43)/(Settings!$I$14:$I$83&lt;&gt;""),Settings!$J$14:$J$83),"Other"))))</f>
        <v/>
      </c>
      <c r="BA43">
        <f>IF($B43="","",IF(X43="","Not rostered",IFERROR(INDEX(Settings!$C$14:$C$33,MATCH(X43,Settings!$B$14:$B$33,0)),IFERROR(LOOKUP(2^15,SEARCH(Settings!$I$14:$I$83,X43)/(Settings!$I$14:$I$83&lt;&gt;""),Settings!$J$14:$J$83),"Other"))))</f>
        <v/>
      </c>
      <c r="BB43">
        <f>IF($B43="","",IF(Y43="","Not rostered",IFERROR(INDEX(Settings!$C$14:$C$33,MATCH(Y43,Settings!$B$14:$B$33,0)),IFERROR(LOOKUP(2^15,SEARCH(Settings!$I$14:$I$83,Y43)/(Settings!$I$14:$I$83&lt;&gt;""),Settings!$J$14:$J$83),"Other"))))</f>
        <v/>
      </c>
      <c r="BC43">
        <f>IF($B43="","",IF(Z43="","Not rostered",IFERROR(INDEX(Settings!$C$14:$C$33,MATCH(Z43,Settings!$B$14:$B$33,0)),IFERROR(LOOKUP(2^15,SEARCH(Settings!$I$14:$I$83,Z43)/(Settings!$I$14:$I$83&lt;&gt;""),Settings!$J$14:$J$83),"Other"))))</f>
        <v/>
      </c>
      <c r="BD43">
        <f>IF($B43="","",IF(AA43="","Not rostered",IFERROR(INDEX(Settings!$C$14:$C$33,MATCH(AA43,Settings!$B$14:$B$33,0)),IFERROR(LOOKUP(2^15,SEARCH(Settings!$I$14:$I$83,AA43)/(Settings!$I$14:$I$83&lt;&gt;""),Settings!$J$14:$J$83),"Other"))))</f>
        <v/>
      </c>
      <c r="BE43">
        <f>IF($B43="","",IF(AB43="","Not rostered",IFERROR(INDEX(Settings!$C$14:$C$33,MATCH(AB43,Settings!$B$14:$B$33,0)),IFERROR(LOOKUP(2^15,SEARCH(Settings!$I$14:$I$83,AB43)/(Settings!$I$14:$I$83&lt;&gt;""),Settings!$J$14:$J$83),"Other"))))</f>
        <v/>
      </c>
      <c r="BF43">
        <f>IF($B43="","",IF(AC43="","Not rostered",IFERROR(INDEX(Settings!$C$14:$C$33,MATCH(AC43,Settings!$B$14:$B$33,0)),IFERROR(LOOKUP(2^15,SEARCH(Settings!$I$14:$I$83,AC43)/(Settings!$I$14:$I$83&lt;&gt;""),Settings!$J$14:$J$83),"Other"))))</f>
        <v/>
      </c>
      <c r="BG43">
        <f>IF($B43="","",IF(AD43="","Not rostered",IFERROR(INDEX(Settings!$C$14:$C$33,MATCH(AD43,Settings!$B$14:$B$33,0)),IFERROR(LOOKUP(2^15,SEARCH(Settings!$I$14:$I$83,AD43)/(Settings!$I$14:$I$83&lt;&gt;""),Settings!$J$14:$J$83),"Other"))))</f>
        <v/>
      </c>
      <c r="BH43">
        <f>IF($B43="","",IF(AE43="","Not rostered",IFERROR(INDEX(Settings!$C$14:$C$33,MATCH(AE43,Settings!$B$14:$B$33,0)),IFERROR(LOOKUP(2^15,SEARCH(Settings!$I$14:$I$83,AE43)/(Settings!$I$14:$I$83&lt;&gt;""),Settings!$J$14:$J$83),"Other"))))</f>
        <v/>
      </c>
      <c r="BI43">
        <f>IF($B43="","",IF(AF43="","Not rostered",IFERROR(INDEX(Settings!$C$14:$C$33,MATCH(AF43,Settings!$B$14:$B$33,0)),IFERROR(LOOKUP(2^15,SEARCH(Settings!$I$14:$I$83,AF43)/(Settings!$I$14:$I$83&lt;&gt;""),Settings!$J$14:$J$83),"Other"))))</f>
        <v/>
      </c>
      <c r="BJ43">
        <f>IF($B43="","",IF(AG43="","Not rostered",IFERROR(INDEX(Settings!$C$14:$C$33,MATCH(AG43,Settings!$B$14:$B$33,0)),IFERROR(LOOKUP(2^15,SEARCH(Settings!$I$14:$I$83,AG43)/(Settings!$I$14:$I$83&lt;&gt;""),Settings!$J$14:$J$83),"Other"))))</f>
        <v/>
      </c>
      <c r="BL43">
        <f>IF(OR($B43="",F43=""),"",IFERROR(INDEX(Settings!$D$14:$D$33,MATCH(F43,Settings!$B$14:$B$33,0))&amp;"",IFERROR(LOOKUP(2^15,SEARCH(Settings!$F$14:$F$43,F43)/(Settings!$F$14:$F$43&lt;&gt;""),Settings!$G$14:$G$43),"")))</f>
        <v/>
      </c>
      <c r="BM43">
        <f>IF(OR($B43="",G43=""),"",IFERROR(INDEX(Settings!$D$14:$D$33,MATCH(G43,Settings!$B$14:$B$33,0))&amp;"",IFERROR(LOOKUP(2^15,SEARCH(Settings!$F$14:$F$43,G43)/(Settings!$F$14:$F$43&lt;&gt;""),Settings!$G$14:$G$43),"")))</f>
        <v/>
      </c>
      <c r="BN43">
        <f>IF(OR($B43="",H43=""),"",IFERROR(INDEX(Settings!$D$14:$D$33,MATCH(H43,Settings!$B$14:$B$33,0))&amp;"",IFERROR(LOOKUP(2^15,SEARCH(Settings!$F$14:$F$43,H43)/(Settings!$F$14:$F$43&lt;&gt;""),Settings!$G$14:$G$43),"")))</f>
        <v/>
      </c>
      <c r="BO43">
        <f>IF(OR($B43="",I43=""),"",IFERROR(INDEX(Settings!$D$14:$D$33,MATCH(I43,Settings!$B$14:$B$33,0))&amp;"",IFERROR(LOOKUP(2^15,SEARCH(Settings!$F$14:$F$43,I43)/(Settings!$F$14:$F$43&lt;&gt;""),Settings!$G$14:$G$43),"")))</f>
        <v/>
      </c>
      <c r="BP43">
        <f>IF(OR($B43="",J43=""),"",IFERROR(INDEX(Settings!$D$14:$D$33,MATCH(J43,Settings!$B$14:$B$33,0))&amp;"",IFERROR(LOOKUP(2^15,SEARCH(Settings!$F$14:$F$43,J43)/(Settings!$F$14:$F$43&lt;&gt;""),Settings!$G$14:$G$43),"")))</f>
        <v/>
      </c>
      <c r="BQ43">
        <f>IF(OR($B43="",K43=""),"",IFERROR(INDEX(Settings!$D$14:$D$33,MATCH(K43,Settings!$B$14:$B$33,0))&amp;"",IFERROR(LOOKUP(2^15,SEARCH(Settings!$F$14:$F$43,K43)/(Settings!$F$14:$F$43&lt;&gt;""),Settings!$G$14:$G$43),"")))</f>
        <v/>
      </c>
      <c r="BR43">
        <f>IF(OR($B43="",L43=""),"",IFERROR(INDEX(Settings!$D$14:$D$33,MATCH(L43,Settings!$B$14:$B$33,0))&amp;"",IFERROR(LOOKUP(2^15,SEARCH(Settings!$F$14:$F$43,L43)/(Settings!$F$14:$F$43&lt;&gt;""),Settings!$G$14:$G$43),"")))</f>
        <v/>
      </c>
      <c r="BS43">
        <f>IF(OR($B43="",M43=""),"",IFERROR(INDEX(Settings!$D$14:$D$33,MATCH(M43,Settings!$B$14:$B$33,0))&amp;"",IFERROR(LOOKUP(2^15,SEARCH(Settings!$F$14:$F$43,M43)/(Settings!$F$14:$F$43&lt;&gt;""),Settings!$G$14:$G$43),"")))</f>
        <v/>
      </c>
      <c r="BT43">
        <f>IF(OR($B43="",N43=""),"",IFERROR(INDEX(Settings!$D$14:$D$33,MATCH(N43,Settings!$B$14:$B$33,0))&amp;"",IFERROR(LOOKUP(2^15,SEARCH(Settings!$F$14:$F$43,N43)/(Settings!$F$14:$F$43&lt;&gt;""),Settings!$G$14:$G$43),"")))</f>
        <v/>
      </c>
      <c r="BU43">
        <f>IF(OR($B43="",O43=""),"",IFERROR(INDEX(Settings!$D$14:$D$33,MATCH(O43,Settings!$B$14:$B$33,0))&amp;"",IFERROR(LOOKUP(2^15,SEARCH(Settings!$F$14:$F$43,O43)/(Settings!$F$14:$F$43&lt;&gt;""),Settings!$G$14:$G$43),"")))</f>
        <v/>
      </c>
      <c r="BV43">
        <f>IF(OR($B43="",P43=""),"",IFERROR(INDEX(Settings!$D$14:$D$33,MATCH(P43,Settings!$B$14:$B$33,0))&amp;"",IFERROR(LOOKUP(2^15,SEARCH(Settings!$F$14:$F$43,P43)/(Settings!$F$14:$F$43&lt;&gt;""),Settings!$G$14:$G$43),"")))</f>
        <v/>
      </c>
      <c r="BW43">
        <f>IF(OR($B43="",Q43=""),"",IFERROR(INDEX(Settings!$D$14:$D$33,MATCH(Q43,Settings!$B$14:$B$33,0))&amp;"",IFERROR(LOOKUP(2^15,SEARCH(Settings!$F$14:$F$43,Q43)/(Settings!$F$14:$F$43&lt;&gt;""),Settings!$G$14:$G$43),"")))</f>
        <v/>
      </c>
      <c r="BX43">
        <f>IF(OR($B43="",R43=""),"",IFERROR(INDEX(Settings!$D$14:$D$33,MATCH(R43,Settings!$B$14:$B$33,0))&amp;"",IFERROR(LOOKUP(2^15,SEARCH(Settings!$F$14:$F$43,R43)/(Settings!$F$14:$F$43&lt;&gt;""),Settings!$G$14:$G$43),"")))</f>
        <v/>
      </c>
      <c r="BY43">
        <f>IF(OR($B43="",S43=""),"",IFERROR(INDEX(Settings!$D$14:$D$33,MATCH(S43,Settings!$B$14:$B$33,0))&amp;"",IFERROR(LOOKUP(2^15,SEARCH(Settings!$F$14:$F$43,S43)/(Settings!$F$14:$F$43&lt;&gt;""),Settings!$G$14:$G$43),"")))</f>
        <v/>
      </c>
      <c r="BZ43">
        <f>IF(OR($B43="",T43=""),"",IFERROR(INDEX(Settings!$D$14:$D$33,MATCH(T43,Settings!$B$14:$B$33,0))&amp;"",IFERROR(LOOKUP(2^15,SEARCH(Settings!$F$14:$F$43,T43)/(Settings!$F$14:$F$43&lt;&gt;""),Settings!$G$14:$G$43),"")))</f>
        <v/>
      </c>
      <c r="CA43">
        <f>IF(OR($B43="",U43=""),"",IFERROR(INDEX(Settings!$D$14:$D$33,MATCH(U43,Settings!$B$14:$B$33,0))&amp;"",IFERROR(LOOKUP(2^15,SEARCH(Settings!$F$14:$F$43,U43)/(Settings!$F$14:$F$43&lt;&gt;""),Settings!$G$14:$G$43),"")))</f>
        <v/>
      </c>
      <c r="CB43">
        <f>IF(OR($B43="",V43=""),"",IFERROR(INDEX(Settings!$D$14:$D$33,MATCH(V43,Settings!$B$14:$B$33,0))&amp;"",IFERROR(LOOKUP(2^15,SEARCH(Settings!$F$14:$F$43,V43)/(Settings!$F$14:$F$43&lt;&gt;""),Settings!$G$14:$G$43),"")))</f>
        <v/>
      </c>
      <c r="CC43">
        <f>IF(OR($B43="",W43=""),"",IFERROR(INDEX(Settings!$D$14:$D$33,MATCH(W43,Settings!$B$14:$B$33,0))&amp;"",IFERROR(LOOKUP(2^15,SEARCH(Settings!$F$14:$F$43,W43)/(Settings!$F$14:$F$43&lt;&gt;""),Settings!$G$14:$G$43),"")))</f>
        <v/>
      </c>
      <c r="CD43">
        <f>IF(OR($B43="",X43=""),"",IFERROR(INDEX(Settings!$D$14:$D$33,MATCH(X43,Settings!$B$14:$B$33,0))&amp;"",IFERROR(LOOKUP(2^15,SEARCH(Settings!$F$14:$F$43,X43)/(Settings!$F$14:$F$43&lt;&gt;""),Settings!$G$14:$G$43),"")))</f>
        <v/>
      </c>
      <c r="CE43">
        <f>IF(OR($B43="",Y43=""),"",IFERROR(INDEX(Settings!$D$14:$D$33,MATCH(Y43,Settings!$B$14:$B$33,0))&amp;"",IFERROR(LOOKUP(2^15,SEARCH(Settings!$F$14:$F$43,Y43)/(Settings!$F$14:$F$43&lt;&gt;""),Settings!$G$14:$G$43),"")))</f>
        <v/>
      </c>
      <c r="CF43">
        <f>IF(OR($B43="",Z43=""),"",IFERROR(INDEX(Settings!$D$14:$D$33,MATCH(Z43,Settings!$B$14:$B$33,0))&amp;"",IFERROR(LOOKUP(2^15,SEARCH(Settings!$F$14:$F$43,Z43)/(Settings!$F$14:$F$43&lt;&gt;""),Settings!$G$14:$G$43),"")))</f>
        <v/>
      </c>
      <c r="CG43">
        <f>IF(OR($B43="",AA43=""),"",IFERROR(INDEX(Settings!$D$14:$D$33,MATCH(AA43,Settings!$B$14:$B$33,0))&amp;"",IFERROR(LOOKUP(2^15,SEARCH(Settings!$F$14:$F$43,AA43)/(Settings!$F$14:$F$43&lt;&gt;""),Settings!$G$14:$G$43),"")))</f>
        <v/>
      </c>
      <c r="CH43">
        <f>IF(OR($B43="",AB43=""),"",IFERROR(INDEX(Settings!$D$14:$D$33,MATCH(AB43,Settings!$B$14:$B$33,0))&amp;"",IFERROR(LOOKUP(2^15,SEARCH(Settings!$F$14:$F$43,AB43)/(Settings!$F$14:$F$43&lt;&gt;""),Settings!$G$14:$G$43),"")))</f>
        <v/>
      </c>
      <c r="CI43">
        <f>IF(OR($B43="",AC43=""),"",IFERROR(INDEX(Settings!$D$14:$D$33,MATCH(AC43,Settings!$B$14:$B$33,0))&amp;"",IFERROR(LOOKUP(2^15,SEARCH(Settings!$F$14:$F$43,AC43)/(Settings!$F$14:$F$43&lt;&gt;""),Settings!$G$14:$G$43),"")))</f>
        <v/>
      </c>
      <c r="CJ43">
        <f>IF(OR($B43="",AD43=""),"",IFERROR(INDEX(Settings!$D$14:$D$33,MATCH(AD43,Settings!$B$14:$B$33,0))&amp;"",IFERROR(LOOKUP(2^15,SEARCH(Settings!$F$14:$F$43,AD43)/(Settings!$F$14:$F$43&lt;&gt;""),Settings!$G$14:$G$43),"")))</f>
        <v/>
      </c>
      <c r="CK43">
        <f>IF(OR($B43="",AE43=""),"",IFERROR(INDEX(Settings!$D$14:$D$33,MATCH(AE43,Settings!$B$14:$B$33,0))&amp;"",IFERROR(LOOKUP(2^15,SEARCH(Settings!$F$14:$F$43,AE43)/(Settings!$F$14:$F$43&lt;&gt;""),Settings!$G$14:$G$43),"")))</f>
        <v/>
      </c>
      <c r="CL43">
        <f>IF(OR($B43="",AF43=""),"",IFERROR(INDEX(Settings!$D$14:$D$33,MATCH(AF43,Settings!$B$14:$B$33,0))&amp;"",IFERROR(LOOKUP(2^15,SEARCH(Settings!$F$14:$F$43,AF43)/(Settings!$F$14:$F$43&lt;&gt;""),Settings!$G$14:$G$43),"")))</f>
        <v/>
      </c>
      <c r="CM43">
        <f>IF(OR($B43="",AG43=""),"",IFERROR(INDEX(Settings!$D$14:$D$33,MATCH(AG43,Settings!$B$14:$B$33,0))&amp;"",IFERROR(LOOKUP(2^15,SEARCH(Settings!$F$14:$F$43,AG43)/(Settings!$F$14:$F$43&lt;&gt;""),Settings!$G$14:$G$43),"")))</f>
        <v/>
      </c>
    </row>
    <row r="44">
      <c r="A44" t="n">
        <v>42</v>
      </c>
      <c r="B44">
        <f>IFERROR(INDEX(Index!$A$2:$A$202,MATCH(A44,Index!$E$2:$E$202,0)),"")</f>
        <v/>
      </c>
      <c r="D44">
        <f>IF($B44="","",IFERROR(MATCH("Travel*",AI44:BJ44,0),""))</f>
        <v/>
      </c>
      <c r="F44">
        <f>IF(OR($B44="",NOT(ISNUMBER(Settings!$C$9))),"",TRIM(SUBSTITUTE(SUBSTITUTE(INDEX('INPUT - Roster'!$S$1:$SV$206,$B44,Settings!$C$9+0)&amp;"",CHAR(10)," "),CHAR(160)," ")))</f>
        <v/>
      </c>
      <c r="G44">
        <f>IF(OR($B44="",NOT(ISNUMBER(Settings!$C$9))),"",TRIM(SUBSTITUTE(SUBSTITUTE(INDEX('INPUT - Roster'!$S$1:$SV$206,$B44,Settings!$C$9+1)&amp;"",CHAR(10)," "),CHAR(160)," ")))</f>
        <v/>
      </c>
      <c r="H44">
        <f>IF(OR($B44="",NOT(ISNUMBER(Settings!$C$9))),"",TRIM(SUBSTITUTE(SUBSTITUTE(INDEX('INPUT - Roster'!$S$1:$SV$206,$B44,Settings!$C$9+2)&amp;"",CHAR(10)," "),CHAR(160)," ")))</f>
        <v/>
      </c>
      <c r="I44">
        <f>IF(OR($B44="",NOT(ISNUMBER(Settings!$C$9))),"",TRIM(SUBSTITUTE(SUBSTITUTE(INDEX('INPUT - Roster'!$S$1:$SV$206,$B44,Settings!$C$9+3)&amp;"",CHAR(10)," "),CHAR(160)," ")))</f>
        <v/>
      </c>
      <c r="J44">
        <f>IF(OR($B44="",NOT(ISNUMBER(Settings!$C$9))),"",TRIM(SUBSTITUTE(SUBSTITUTE(INDEX('INPUT - Roster'!$S$1:$SV$206,$B44,Settings!$C$9+4)&amp;"",CHAR(10)," "),CHAR(160)," ")))</f>
        <v/>
      </c>
      <c r="K44">
        <f>IF(OR($B44="",NOT(ISNUMBER(Settings!$C$9))),"",TRIM(SUBSTITUTE(SUBSTITUTE(INDEX('INPUT - Roster'!$S$1:$SV$206,$B44,Settings!$C$9+5)&amp;"",CHAR(10)," "),CHAR(160)," ")))</f>
        <v/>
      </c>
      <c r="L44">
        <f>IF(OR($B44="",NOT(ISNUMBER(Settings!$C$9))),"",TRIM(SUBSTITUTE(SUBSTITUTE(INDEX('INPUT - Roster'!$S$1:$SV$206,$B44,Settings!$C$9+6)&amp;"",CHAR(10)," "),CHAR(160)," ")))</f>
        <v/>
      </c>
      <c r="M44">
        <f>IF(OR($B44="",NOT(ISNUMBER(Settings!$C$9))),"",TRIM(SUBSTITUTE(SUBSTITUTE(INDEX('INPUT - Roster'!$S$1:$SV$206,$B44,Settings!$C$9+7)&amp;"",CHAR(10)," "),CHAR(160)," ")))</f>
        <v/>
      </c>
      <c r="N44">
        <f>IF(OR($B44="",NOT(ISNUMBER(Settings!$C$9))),"",TRIM(SUBSTITUTE(SUBSTITUTE(INDEX('INPUT - Roster'!$S$1:$SV$206,$B44,Settings!$C$9+8)&amp;"",CHAR(10)," "),CHAR(160)," ")))</f>
        <v/>
      </c>
      <c r="O44">
        <f>IF(OR($B44="",NOT(ISNUMBER(Settings!$C$9))),"",TRIM(SUBSTITUTE(SUBSTITUTE(INDEX('INPUT - Roster'!$S$1:$SV$206,$B44,Settings!$C$9+9)&amp;"",CHAR(10)," "),CHAR(160)," ")))</f>
        <v/>
      </c>
      <c r="P44">
        <f>IF(OR($B44="",NOT(ISNUMBER(Settings!$C$9))),"",TRIM(SUBSTITUTE(SUBSTITUTE(INDEX('INPUT - Roster'!$S$1:$SV$206,$B44,Settings!$C$9+10)&amp;"",CHAR(10)," "),CHAR(160)," ")))</f>
        <v/>
      </c>
      <c r="Q44">
        <f>IF(OR($B44="",NOT(ISNUMBER(Settings!$C$9))),"",TRIM(SUBSTITUTE(SUBSTITUTE(INDEX('INPUT - Roster'!$S$1:$SV$206,$B44,Settings!$C$9+11)&amp;"",CHAR(10)," "),CHAR(160)," ")))</f>
        <v/>
      </c>
      <c r="R44">
        <f>IF(OR($B44="",NOT(ISNUMBER(Settings!$C$9))),"",TRIM(SUBSTITUTE(SUBSTITUTE(INDEX('INPUT - Roster'!$S$1:$SV$206,$B44,Settings!$C$9+12)&amp;"",CHAR(10)," "),CHAR(160)," ")))</f>
        <v/>
      </c>
      <c r="S44">
        <f>IF(OR($B44="",NOT(ISNUMBER(Settings!$C$9))),"",TRIM(SUBSTITUTE(SUBSTITUTE(INDEX('INPUT - Roster'!$S$1:$SV$206,$B44,Settings!$C$9+13)&amp;"",CHAR(10)," "),CHAR(160)," ")))</f>
        <v/>
      </c>
      <c r="T44">
        <f>IF(OR($B44="",NOT(ISNUMBER(Settings!$C$9))),"",TRIM(SUBSTITUTE(SUBSTITUTE(INDEX('INPUT - Roster'!$S$1:$SV$206,$B44,Settings!$C$9+14)&amp;"",CHAR(10)," "),CHAR(160)," ")))</f>
        <v/>
      </c>
      <c r="U44">
        <f>IF(OR($B44="",NOT(ISNUMBER(Settings!$C$9))),"",TRIM(SUBSTITUTE(SUBSTITUTE(INDEX('INPUT - Roster'!$S$1:$SV$206,$B44,Settings!$C$9+15)&amp;"",CHAR(10)," "),CHAR(160)," ")))</f>
        <v/>
      </c>
      <c r="V44">
        <f>IF(OR($B44="",NOT(ISNUMBER(Settings!$C$9))),"",TRIM(SUBSTITUTE(SUBSTITUTE(INDEX('INPUT - Roster'!$S$1:$SV$206,$B44,Settings!$C$9+16)&amp;"",CHAR(10)," "),CHAR(160)," ")))</f>
        <v/>
      </c>
      <c r="W44">
        <f>IF(OR($B44="",NOT(ISNUMBER(Settings!$C$9))),"",TRIM(SUBSTITUTE(SUBSTITUTE(INDEX('INPUT - Roster'!$S$1:$SV$206,$B44,Settings!$C$9+17)&amp;"",CHAR(10)," "),CHAR(160)," ")))</f>
        <v/>
      </c>
      <c r="X44">
        <f>IF(OR($B44="",NOT(ISNUMBER(Settings!$C$9))),"",TRIM(SUBSTITUTE(SUBSTITUTE(INDEX('INPUT - Roster'!$S$1:$SV$206,$B44,Settings!$C$9+18)&amp;"",CHAR(10)," "),CHAR(160)," ")))</f>
        <v/>
      </c>
      <c r="Y44">
        <f>IF(OR($B44="",NOT(ISNUMBER(Settings!$C$9))),"",TRIM(SUBSTITUTE(SUBSTITUTE(INDEX('INPUT - Roster'!$S$1:$SV$206,$B44,Settings!$C$9+19)&amp;"",CHAR(10)," "),CHAR(160)," ")))</f>
        <v/>
      </c>
      <c r="Z44">
        <f>IF(OR($B44="",NOT(ISNUMBER(Settings!$C$9))),"",TRIM(SUBSTITUTE(SUBSTITUTE(INDEX('INPUT - Roster'!$S$1:$SV$206,$B44,Settings!$C$9+20)&amp;"",CHAR(10)," "),CHAR(160)," ")))</f>
        <v/>
      </c>
      <c r="AA44">
        <f>IF(OR($B44="",NOT(ISNUMBER(Settings!$C$9))),"",TRIM(SUBSTITUTE(SUBSTITUTE(INDEX('INPUT - Roster'!$S$1:$SV$206,$B44,Settings!$C$9+21)&amp;"",CHAR(10)," "),CHAR(160)," ")))</f>
        <v/>
      </c>
      <c r="AB44">
        <f>IF(OR($B44="",NOT(ISNUMBER(Settings!$C$9))),"",TRIM(SUBSTITUTE(SUBSTITUTE(INDEX('INPUT - Roster'!$S$1:$SV$206,$B44,Settings!$C$9+22)&amp;"",CHAR(10)," "),CHAR(160)," ")))</f>
        <v/>
      </c>
      <c r="AC44">
        <f>IF(OR($B44="",NOT(ISNUMBER(Settings!$C$9))),"",TRIM(SUBSTITUTE(SUBSTITUTE(INDEX('INPUT - Roster'!$S$1:$SV$206,$B44,Settings!$C$9+23)&amp;"",CHAR(10)," "),CHAR(160)," ")))</f>
        <v/>
      </c>
      <c r="AD44">
        <f>IF(OR($B44="",NOT(ISNUMBER(Settings!$C$9))),"",TRIM(SUBSTITUTE(SUBSTITUTE(INDEX('INPUT - Roster'!$S$1:$SV$206,$B44,Settings!$C$9+24)&amp;"",CHAR(10)," "),CHAR(160)," ")))</f>
        <v/>
      </c>
      <c r="AE44">
        <f>IF(OR($B44="",NOT(ISNUMBER(Settings!$C$9))),"",TRIM(SUBSTITUTE(SUBSTITUTE(INDEX('INPUT - Roster'!$S$1:$SV$206,$B44,Settings!$C$9+25)&amp;"",CHAR(10)," "),CHAR(160)," ")))</f>
        <v/>
      </c>
      <c r="AF44">
        <f>IF(OR($B44="",NOT(ISNUMBER(Settings!$C$9))),"",TRIM(SUBSTITUTE(SUBSTITUTE(INDEX('INPUT - Roster'!$S$1:$SV$206,$B44,Settings!$C$9+26)&amp;"",CHAR(10)," "),CHAR(160)," ")))</f>
        <v/>
      </c>
      <c r="AG44">
        <f>IF(OR($B44="",NOT(ISNUMBER(Settings!$C$9))),"",TRIM(SUBSTITUTE(SUBSTITUTE(INDEX('INPUT - Roster'!$S$1:$SV$206,$B44,Settings!$C$9+27)&amp;"",CHAR(10)," "),CHAR(160)," ")))</f>
        <v/>
      </c>
      <c r="AI44">
        <f>IF($B44="","",IF(F44="","Not rostered",IFERROR(INDEX(Settings!$C$14:$C$33,MATCH(F44,Settings!$B$14:$B$33,0)),IFERROR(LOOKUP(2^15,SEARCH(Settings!$I$14:$I$83,F44)/(Settings!$I$14:$I$83&lt;&gt;""),Settings!$J$14:$J$83),"Other"))))</f>
        <v/>
      </c>
      <c r="AJ44">
        <f>IF($B44="","",IF(G44="","Not rostered",IFERROR(INDEX(Settings!$C$14:$C$33,MATCH(G44,Settings!$B$14:$B$33,0)),IFERROR(LOOKUP(2^15,SEARCH(Settings!$I$14:$I$83,G44)/(Settings!$I$14:$I$83&lt;&gt;""),Settings!$J$14:$J$83),"Other"))))</f>
        <v/>
      </c>
      <c r="AK44">
        <f>IF($B44="","",IF(H44="","Not rostered",IFERROR(INDEX(Settings!$C$14:$C$33,MATCH(H44,Settings!$B$14:$B$33,0)),IFERROR(LOOKUP(2^15,SEARCH(Settings!$I$14:$I$83,H44)/(Settings!$I$14:$I$83&lt;&gt;""),Settings!$J$14:$J$83),"Other"))))</f>
        <v/>
      </c>
      <c r="AL44">
        <f>IF($B44="","",IF(I44="","Not rostered",IFERROR(INDEX(Settings!$C$14:$C$33,MATCH(I44,Settings!$B$14:$B$33,0)),IFERROR(LOOKUP(2^15,SEARCH(Settings!$I$14:$I$83,I44)/(Settings!$I$14:$I$83&lt;&gt;""),Settings!$J$14:$J$83),"Other"))))</f>
        <v/>
      </c>
      <c r="AM44">
        <f>IF($B44="","",IF(J44="","Not rostered",IFERROR(INDEX(Settings!$C$14:$C$33,MATCH(J44,Settings!$B$14:$B$33,0)),IFERROR(LOOKUP(2^15,SEARCH(Settings!$I$14:$I$83,J44)/(Settings!$I$14:$I$83&lt;&gt;""),Settings!$J$14:$J$83),"Other"))))</f>
        <v/>
      </c>
      <c r="AN44">
        <f>IF($B44="","",IF(K44="","Not rostered",IFERROR(INDEX(Settings!$C$14:$C$33,MATCH(K44,Settings!$B$14:$B$33,0)),IFERROR(LOOKUP(2^15,SEARCH(Settings!$I$14:$I$83,K44)/(Settings!$I$14:$I$83&lt;&gt;""),Settings!$J$14:$J$83),"Other"))))</f>
        <v/>
      </c>
      <c r="AO44">
        <f>IF($B44="","",IF(L44="","Not rostered",IFERROR(INDEX(Settings!$C$14:$C$33,MATCH(L44,Settings!$B$14:$B$33,0)),IFERROR(LOOKUP(2^15,SEARCH(Settings!$I$14:$I$83,L44)/(Settings!$I$14:$I$83&lt;&gt;""),Settings!$J$14:$J$83),"Other"))))</f>
        <v/>
      </c>
      <c r="AP44">
        <f>IF($B44="","",IF(M44="","Not rostered",IFERROR(INDEX(Settings!$C$14:$C$33,MATCH(M44,Settings!$B$14:$B$33,0)),IFERROR(LOOKUP(2^15,SEARCH(Settings!$I$14:$I$83,M44)/(Settings!$I$14:$I$83&lt;&gt;""),Settings!$J$14:$J$83),"Other"))))</f>
        <v/>
      </c>
      <c r="AQ44">
        <f>IF($B44="","",IF(N44="","Not rostered",IFERROR(INDEX(Settings!$C$14:$C$33,MATCH(N44,Settings!$B$14:$B$33,0)),IFERROR(LOOKUP(2^15,SEARCH(Settings!$I$14:$I$83,N44)/(Settings!$I$14:$I$83&lt;&gt;""),Settings!$J$14:$J$83),"Other"))))</f>
        <v/>
      </c>
      <c r="AR44">
        <f>IF($B44="","",IF(O44="","Not rostered",IFERROR(INDEX(Settings!$C$14:$C$33,MATCH(O44,Settings!$B$14:$B$33,0)),IFERROR(LOOKUP(2^15,SEARCH(Settings!$I$14:$I$83,O44)/(Settings!$I$14:$I$83&lt;&gt;""),Settings!$J$14:$J$83),"Other"))))</f>
        <v/>
      </c>
      <c r="AS44">
        <f>IF($B44="","",IF(P44="","Not rostered",IFERROR(INDEX(Settings!$C$14:$C$33,MATCH(P44,Settings!$B$14:$B$33,0)),IFERROR(LOOKUP(2^15,SEARCH(Settings!$I$14:$I$83,P44)/(Settings!$I$14:$I$83&lt;&gt;""),Settings!$J$14:$J$83),"Other"))))</f>
        <v/>
      </c>
      <c r="AT44">
        <f>IF($B44="","",IF(Q44="","Not rostered",IFERROR(INDEX(Settings!$C$14:$C$33,MATCH(Q44,Settings!$B$14:$B$33,0)),IFERROR(LOOKUP(2^15,SEARCH(Settings!$I$14:$I$83,Q44)/(Settings!$I$14:$I$83&lt;&gt;""),Settings!$J$14:$J$83),"Other"))))</f>
        <v/>
      </c>
      <c r="AU44">
        <f>IF($B44="","",IF(R44="","Not rostered",IFERROR(INDEX(Settings!$C$14:$C$33,MATCH(R44,Settings!$B$14:$B$33,0)),IFERROR(LOOKUP(2^15,SEARCH(Settings!$I$14:$I$83,R44)/(Settings!$I$14:$I$83&lt;&gt;""),Settings!$J$14:$J$83),"Other"))))</f>
        <v/>
      </c>
      <c r="AV44">
        <f>IF($B44="","",IF(S44="","Not rostered",IFERROR(INDEX(Settings!$C$14:$C$33,MATCH(S44,Settings!$B$14:$B$33,0)),IFERROR(LOOKUP(2^15,SEARCH(Settings!$I$14:$I$83,S44)/(Settings!$I$14:$I$83&lt;&gt;""),Settings!$J$14:$J$83),"Other"))))</f>
        <v/>
      </c>
      <c r="AW44">
        <f>IF($B44="","",IF(T44="","Not rostered",IFERROR(INDEX(Settings!$C$14:$C$33,MATCH(T44,Settings!$B$14:$B$33,0)),IFERROR(LOOKUP(2^15,SEARCH(Settings!$I$14:$I$83,T44)/(Settings!$I$14:$I$83&lt;&gt;""),Settings!$J$14:$J$83),"Other"))))</f>
        <v/>
      </c>
      <c r="AX44">
        <f>IF($B44="","",IF(U44="","Not rostered",IFERROR(INDEX(Settings!$C$14:$C$33,MATCH(U44,Settings!$B$14:$B$33,0)),IFERROR(LOOKUP(2^15,SEARCH(Settings!$I$14:$I$83,U44)/(Settings!$I$14:$I$83&lt;&gt;""),Settings!$J$14:$J$83),"Other"))))</f>
        <v/>
      </c>
      <c r="AY44">
        <f>IF($B44="","",IF(V44="","Not rostered",IFERROR(INDEX(Settings!$C$14:$C$33,MATCH(V44,Settings!$B$14:$B$33,0)),IFERROR(LOOKUP(2^15,SEARCH(Settings!$I$14:$I$83,V44)/(Settings!$I$14:$I$83&lt;&gt;""),Settings!$J$14:$J$83),"Other"))))</f>
        <v/>
      </c>
      <c r="AZ44">
        <f>IF($B44="","",IF(W44="","Not rostered",IFERROR(INDEX(Settings!$C$14:$C$33,MATCH(W44,Settings!$B$14:$B$33,0)),IFERROR(LOOKUP(2^15,SEARCH(Settings!$I$14:$I$83,W44)/(Settings!$I$14:$I$83&lt;&gt;""),Settings!$J$14:$J$83),"Other"))))</f>
        <v/>
      </c>
      <c r="BA44">
        <f>IF($B44="","",IF(X44="","Not rostered",IFERROR(INDEX(Settings!$C$14:$C$33,MATCH(X44,Settings!$B$14:$B$33,0)),IFERROR(LOOKUP(2^15,SEARCH(Settings!$I$14:$I$83,X44)/(Settings!$I$14:$I$83&lt;&gt;""),Settings!$J$14:$J$83),"Other"))))</f>
        <v/>
      </c>
      <c r="BB44">
        <f>IF($B44="","",IF(Y44="","Not rostered",IFERROR(INDEX(Settings!$C$14:$C$33,MATCH(Y44,Settings!$B$14:$B$33,0)),IFERROR(LOOKUP(2^15,SEARCH(Settings!$I$14:$I$83,Y44)/(Settings!$I$14:$I$83&lt;&gt;""),Settings!$J$14:$J$83),"Other"))))</f>
        <v/>
      </c>
      <c r="BC44">
        <f>IF($B44="","",IF(Z44="","Not rostered",IFERROR(INDEX(Settings!$C$14:$C$33,MATCH(Z44,Settings!$B$14:$B$33,0)),IFERROR(LOOKUP(2^15,SEARCH(Settings!$I$14:$I$83,Z44)/(Settings!$I$14:$I$83&lt;&gt;""),Settings!$J$14:$J$83),"Other"))))</f>
        <v/>
      </c>
      <c r="BD44">
        <f>IF($B44="","",IF(AA44="","Not rostered",IFERROR(INDEX(Settings!$C$14:$C$33,MATCH(AA44,Settings!$B$14:$B$33,0)),IFERROR(LOOKUP(2^15,SEARCH(Settings!$I$14:$I$83,AA44)/(Settings!$I$14:$I$83&lt;&gt;""),Settings!$J$14:$J$83),"Other"))))</f>
        <v/>
      </c>
      <c r="BE44">
        <f>IF($B44="","",IF(AB44="","Not rostered",IFERROR(INDEX(Settings!$C$14:$C$33,MATCH(AB44,Settings!$B$14:$B$33,0)),IFERROR(LOOKUP(2^15,SEARCH(Settings!$I$14:$I$83,AB44)/(Settings!$I$14:$I$83&lt;&gt;""),Settings!$J$14:$J$83),"Other"))))</f>
        <v/>
      </c>
      <c r="BF44">
        <f>IF($B44="","",IF(AC44="","Not rostered",IFERROR(INDEX(Settings!$C$14:$C$33,MATCH(AC44,Settings!$B$14:$B$33,0)),IFERROR(LOOKUP(2^15,SEARCH(Settings!$I$14:$I$83,AC44)/(Settings!$I$14:$I$83&lt;&gt;""),Settings!$J$14:$J$83),"Other"))))</f>
        <v/>
      </c>
      <c r="BG44">
        <f>IF($B44="","",IF(AD44="","Not rostered",IFERROR(INDEX(Settings!$C$14:$C$33,MATCH(AD44,Settings!$B$14:$B$33,0)),IFERROR(LOOKUP(2^15,SEARCH(Settings!$I$14:$I$83,AD44)/(Settings!$I$14:$I$83&lt;&gt;""),Settings!$J$14:$J$83),"Other"))))</f>
        <v/>
      </c>
      <c r="BH44">
        <f>IF($B44="","",IF(AE44="","Not rostered",IFERROR(INDEX(Settings!$C$14:$C$33,MATCH(AE44,Settings!$B$14:$B$33,0)),IFERROR(LOOKUP(2^15,SEARCH(Settings!$I$14:$I$83,AE44)/(Settings!$I$14:$I$83&lt;&gt;""),Settings!$J$14:$J$83),"Other"))))</f>
        <v/>
      </c>
      <c r="BI44">
        <f>IF($B44="","",IF(AF44="","Not rostered",IFERROR(INDEX(Settings!$C$14:$C$33,MATCH(AF44,Settings!$B$14:$B$33,0)),IFERROR(LOOKUP(2^15,SEARCH(Settings!$I$14:$I$83,AF44)/(Settings!$I$14:$I$83&lt;&gt;""),Settings!$J$14:$J$83),"Other"))))</f>
        <v/>
      </c>
      <c r="BJ44">
        <f>IF($B44="","",IF(AG44="","Not rostered",IFERROR(INDEX(Settings!$C$14:$C$33,MATCH(AG44,Settings!$B$14:$B$33,0)),IFERROR(LOOKUP(2^15,SEARCH(Settings!$I$14:$I$83,AG44)/(Settings!$I$14:$I$83&lt;&gt;""),Settings!$J$14:$J$83),"Other"))))</f>
        <v/>
      </c>
      <c r="BL44">
        <f>IF(OR($B44="",F44=""),"",IFERROR(INDEX(Settings!$D$14:$D$33,MATCH(F44,Settings!$B$14:$B$33,0))&amp;"",IFERROR(LOOKUP(2^15,SEARCH(Settings!$F$14:$F$43,F44)/(Settings!$F$14:$F$43&lt;&gt;""),Settings!$G$14:$G$43),"")))</f>
        <v/>
      </c>
      <c r="BM44">
        <f>IF(OR($B44="",G44=""),"",IFERROR(INDEX(Settings!$D$14:$D$33,MATCH(G44,Settings!$B$14:$B$33,0))&amp;"",IFERROR(LOOKUP(2^15,SEARCH(Settings!$F$14:$F$43,G44)/(Settings!$F$14:$F$43&lt;&gt;""),Settings!$G$14:$G$43),"")))</f>
        <v/>
      </c>
      <c r="BN44">
        <f>IF(OR($B44="",H44=""),"",IFERROR(INDEX(Settings!$D$14:$D$33,MATCH(H44,Settings!$B$14:$B$33,0))&amp;"",IFERROR(LOOKUP(2^15,SEARCH(Settings!$F$14:$F$43,H44)/(Settings!$F$14:$F$43&lt;&gt;""),Settings!$G$14:$G$43),"")))</f>
        <v/>
      </c>
      <c r="BO44">
        <f>IF(OR($B44="",I44=""),"",IFERROR(INDEX(Settings!$D$14:$D$33,MATCH(I44,Settings!$B$14:$B$33,0))&amp;"",IFERROR(LOOKUP(2^15,SEARCH(Settings!$F$14:$F$43,I44)/(Settings!$F$14:$F$43&lt;&gt;""),Settings!$G$14:$G$43),"")))</f>
        <v/>
      </c>
      <c r="BP44">
        <f>IF(OR($B44="",J44=""),"",IFERROR(INDEX(Settings!$D$14:$D$33,MATCH(J44,Settings!$B$14:$B$33,0))&amp;"",IFERROR(LOOKUP(2^15,SEARCH(Settings!$F$14:$F$43,J44)/(Settings!$F$14:$F$43&lt;&gt;""),Settings!$G$14:$G$43),"")))</f>
        <v/>
      </c>
      <c r="BQ44">
        <f>IF(OR($B44="",K44=""),"",IFERROR(INDEX(Settings!$D$14:$D$33,MATCH(K44,Settings!$B$14:$B$33,0))&amp;"",IFERROR(LOOKUP(2^15,SEARCH(Settings!$F$14:$F$43,K44)/(Settings!$F$14:$F$43&lt;&gt;""),Settings!$G$14:$G$43),"")))</f>
        <v/>
      </c>
      <c r="BR44">
        <f>IF(OR($B44="",L44=""),"",IFERROR(INDEX(Settings!$D$14:$D$33,MATCH(L44,Settings!$B$14:$B$33,0))&amp;"",IFERROR(LOOKUP(2^15,SEARCH(Settings!$F$14:$F$43,L44)/(Settings!$F$14:$F$43&lt;&gt;""),Settings!$G$14:$G$43),"")))</f>
        <v/>
      </c>
      <c r="BS44">
        <f>IF(OR($B44="",M44=""),"",IFERROR(INDEX(Settings!$D$14:$D$33,MATCH(M44,Settings!$B$14:$B$33,0))&amp;"",IFERROR(LOOKUP(2^15,SEARCH(Settings!$F$14:$F$43,M44)/(Settings!$F$14:$F$43&lt;&gt;""),Settings!$G$14:$G$43),"")))</f>
        <v/>
      </c>
      <c r="BT44">
        <f>IF(OR($B44="",N44=""),"",IFERROR(INDEX(Settings!$D$14:$D$33,MATCH(N44,Settings!$B$14:$B$33,0))&amp;"",IFERROR(LOOKUP(2^15,SEARCH(Settings!$F$14:$F$43,N44)/(Settings!$F$14:$F$43&lt;&gt;""),Settings!$G$14:$G$43),"")))</f>
        <v/>
      </c>
      <c r="BU44">
        <f>IF(OR($B44="",O44=""),"",IFERROR(INDEX(Settings!$D$14:$D$33,MATCH(O44,Settings!$B$14:$B$33,0))&amp;"",IFERROR(LOOKUP(2^15,SEARCH(Settings!$F$14:$F$43,O44)/(Settings!$F$14:$F$43&lt;&gt;""),Settings!$G$14:$G$43),"")))</f>
        <v/>
      </c>
      <c r="BV44">
        <f>IF(OR($B44="",P44=""),"",IFERROR(INDEX(Settings!$D$14:$D$33,MATCH(P44,Settings!$B$14:$B$33,0))&amp;"",IFERROR(LOOKUP(2^15,SEARCH(Settings!$F$14:$F$43,P44)/(Settings!$F$14:$F$43&lt;&gt;""),Settings!$G$14:$G$43),"")))</f>
        <v/>
      </c>
      <c r="BW44">
        <f>IF(OR($B44="",Q44=""),"",IFERROR(INDEX(Settings!$D$14:$D$33,MATCH(Q44,Settings!$B$14:$B$33,0))&amp;"",IFERROR(LOOKUP(2^15,SEARCH(Settings!$F$14:$F$43,Q44)/(Settings!$F$14:$F$43&lt;&gt;""),Settings!$G$14:$G$43),"")))</f>
        <v/>
      </c>
      <c r="BX44">
        <f>IF(OR($B44="",R44=""),"",IFERROR(INDEX(Settings!$D$14:$D$33,MATCH(R44,Settings!$B$14:$B$33,0))&amp;"",IFERROR(LOOKUP(2^15,SEARCH(Settings!$F$14:$F$43,R44)/(Settings!$F$14:$F$43&lt;&gt;""),Settings!$G$14:$G$43),"")))</f>
        <v/>
      </c>
      <c r="BY44">
        <f>IF(OR($B44="",S44=""),"",IFERROR(INDEX(Settings!$D$14:$D$33,MATCH(S44,Settings!$B$14:$B$33,0))&amp;"",IFERROR(LOOKUP(2^15,SEARCH(Settings!$F$14:$F$43,S44)/(Settings!$F$14:$F$43&lt;&gt;""),Settings!$G$14:$G$43),"")))</f>
        <v/>
      </c>
      <c r="BZ44">
        <f>IF(OR($B44="",T44=""),"",IFERROR(INDEX(Settings!$D$14:$D$33,MATCH(T44,Settings!$B$14:$B$33,0))&amp;"",IFERROR(LOOKUP(2^15,SEARCH(Settings!$F$14:$F$43,T44)/(Settings!$F$14:$F$43&lt;&gt;""),Settings!$G$14:$G$43),"")))</f>
        <v/>
      </c>
      <c r="CA44">
        <f>IF(OR($B44="",U44=""),"",IFERROR(INDEX(Settings!$D$14:$D$33,MATCH(U44,Settings!$B$14:$B$33,0))&amp;"",IFERROR(LOOKUP(2^15,SEARCH(Settings!$F$14:$F$43,U44)/(Settings!$F$14:$F$43&lt;&gt;""),Settings!$G$14:$G$43),"")))</f>
        <v/>
      </c>
      <c r="CB44">
        <f>IF(OR($B44="",V44=""),"",IFERROR(INDEX(Settings!$D$14:$D$33,MATCH(V44,Settings!$B$14:$B$33,0))&amp;"",IFERROR(LOOKUP(2^15,SEARCH(Settings!$F$14:$F$43,V44)/(Settings!$F$14:$F$43&lt;&gt;""),Settings!$G$14:$G$43),"")))</f>
        <v/>
      </c>
      <c r="CC44">
        <f>IF(OR($B44="",W44=""),"",IFERROR(INDEX(Settings!$D$14:$D$33,MATCH(W44,Settings!$B$14:$B$33,0))&amp;"",IFERROR(LOOKUP(2^15,SEARCH(Settings!$F$14:$F$43,W44)/(Settings!$F$14:$F$43&lt;&gt;""),Settings!$G$14:$G$43),"")))</f>
        <v/>
      </c>
      <c r="CD44">
        <f>IF(OR($B44="",X44=""),"",IFERROR(INDEX(Settings!$D$14:$D$33,MATCH(X44,Settings!$B$14:$B$33,0))&amp;"",IFERROR(LOOKUP(2^15,SEARCH(Settings!$F$14:$F$43,X44)/(Settings!$F$14:$F$43&lt;&gt;""),Settings!$G$14:$G$43),"")))</f>
        <v/>
      </c>
      <c r="CE44">
        <f>IF(OR($B44="",Y44=""),"",IFERROR(INDEX(Settings!$D$14:$D$33,MATCH(Y44,Settings!$B$14:$B$33,0))&amp;"",IFERROR(LOOKUP(2^15,SEARCH(Settings!$F$14:$F$43,Y44)/(Settings!$F$14:$F$43&lt;&gt;""),Settings!$G$14:$G$43),"")))</f>
        <v/>
      </c>
      <c r="CF44">
        <f>IF(OR($B44="",Z44=""),"",IFERROR(INDEX(Settings!$D$14:$D$33,MATCH(Z44,Settings!$B$14:$B$33,0))&amp;"",IFERROR(LOOKUP(2^15,SEARCH(Settings!$F$14:$F$43,Z44)/(Settings!$F$14:$F$43&lt;&gt;""),Settings!$G$14:$G$43),"")))</f>
        <v/>
      </c>
      <c r="CG44">
        <f>IF(OR($B44="",AA44=""),"",IFERROR(INDEX(Settings!$D$14:$D$33,MATCH(AA44,Settings!$B$14:$B$33,0))&amp;"",IFERROR(LOOKUP(2^15,SEARCH(Settings!$F$14:$F$43,AA44)/(Settings!$F$14:$F$43&lt;&gt;""),Settings!$G$14:$G$43),"")))</f>
        <v/>
      </c>
      <c r="CH44">
        <f>IF(OR($B44="",AB44=""),"",IFERROR(INDEX(Settings!$D$14:$D$33,MATCH(AB44,Settings!$B$14:$B$33,0))&amp;"",IFERROR(LOOKUP(2^15,SEARCH(Settings!$F$14:$F$43,AB44)/(Settings!$F$14:$F$43&lt;&gt;""),Settings!$G$14:$G$43),"")))</f>
        <v/>
      </c>
      <c r="CI44">
        <f>IF(OR($B44="",AC44=""),"",IFERROR(INDEX(Settings!$D$14:$D$33,MATCH(AC44,Settings!$B$14:$B$33,0))&amp;"",IFERROR(LOOKUP(2^15,SEARCH(Settings!$F$14:$F$43,AC44)/(Settings!$F$14:$F$43&lt;&gt;""),Settings!$G$14:$G$43),"")))</f>
        <v/>
      </c>
      <c r="CJ44">
        <f>IF(OR($B44="",AD44=""),"",IFERROR(INDEX(Settings!$D$14:$D$33,MATCH(AD44,Settings!$B$14:$B$33,0))&amp;"",IFERROR(LOOKUP(2^15,SEARCH(Settings!$F$14:$F$43,AD44)/(Settings!$F$14:$F$43&lt;&gt;""),Settings!$G$14:$G$43),"")))</f>
        <v/>
      </c>
      <c r="CK44">
        <f>IF(OR($B44="",AE44=""),"",IFERROR(INDEX(Settings!$D$14:$D$33,MATCH(AE44,Settings!$B$14:$B$33,0))&amp;"",IFERROR(LOOKUP(2^15,SEARCH(Settings!$F$14:$F$43,AE44)/(Settings!$F$14:$F$43&lt;&gt;""),Settings!$G$14:$G$43),"")))</f>
        <v/>
      </c>
      <c r="CL44">
        <f>IF(OR($B44="",AF44=""),"",IFERROR(INDEX(Settings!$D$14:$D$33,MATCH(AF44,Settings!$B$14:$B$33,0))&amp;"",IFERROR(LOOKUP(2^15,SEARCH(Settings!$F$14:$F$43,AF44)/(Settings!$F$14:$F$43&lt;&gt;""),Settings!$G$14:$G$43),"")))</f>
        <v/>
      </c>
      <c r="CM44">
        <f>IF(OR($B44="",AG44=""),"",IFERROR(INDEX(Settings!$D$14:$D$33,MATCH(AG44,Settings!$B$14:$B$33,0))&amp;"",IFERROR(LOOKUP(2^15,SEARCH(Settings!$F$14:$F$43,AG44)/(Settings!$F$14:$F$43&lt;&gt;""),Settings!$G$14:$G$43),"")))</f>
        <v/>
      </c>
    </row>
    <row r="45">
      <c r="A45" t="n">
        <v>43</v>
      </c>
      <c r="B45">
        <f>IFERROR(INDEX(Index!$A$2:$A$202,MATCH(A45,Index!$E$2:$E$202,0)),"")</f>
        <v/>
      </c>
      <c r="D45">
        <f>IF($B45="","",IFERROR(MATCH("Travel*",AI45:BJ45,0),""))</f>
        <v/>
      </c>
      <c r="F45">
        <f>IF(OR($B45="",NOT(ISNUMBER(Settings!$C$9))),"",TRIM(SUBSTITUTE(SUBSTITUTE(INDEX('INPUT - Roster'!$S$1:$SV$206,$B45,Settings!$C$9+0)&amp;"",CHAR(10)," "),CHAR(160)," ")))</f>
        <v/>
      </c>
      <c r="G45">
        <f>IF(OR($B45="",NOT(ISNUMBER(Settings!$C$9))),"",TRIM(SUBSTITUTE(SUBSTITUTE(INDEX('INPUT - Roster'!$S$1:$SV$206,$B45,Settings!$C$9+1)&amp;"",CHAR(10)," "),CHAR(160)," ")))</f>
        <v/>
      </c>
      <c r="H45">
        <f>IF(OR($B45="",NOT(ISNUMBER(Settings!$C$9))),"",TRIM(SUBSTITUTE(SUBSTITUTE(INDEX('INPUT - Roster'!$S$1:$SV$206,$B45,Settings!$C$9+2)&amp;"",CHAR(10)," "),CHAR(160)," ")))</f>
        <v/>
      </c>
      <c r="I45">
        <f>IF(OR($B45="",NOT(ISNUMBER(Settings!$C$9))),"",TRIM(SUBSTITUTE(SUBSTITUTE(INDEX('INPUT - Roster'!$S$1:$SV$206,$B45,Settings!$C$9+3)&amp;"",CHAR(10)," "),CHAR(160)," ")))</f>
        <v/>
      </c>
      <c r="J45">
        <f>IF(OR($B45="",NOT(ISNUMBER(Settings!$C$9))),"",TRIM(SUBSTITUTE(SUBSTITUTE(INDEX('INPUT - Roster'!$S$1:$SV$206,$B45,Settings!$C$9+4)&amp;"",CHAR(10)," "),CHAR(160)," ")))</f>
        <v/>
      </c>
      <c r="K45">
        <f>IF(OR($B45="",NOT(ISNUMBER(Settings!$C$9))),"",TRIM(SUBSTITUTE(SUBSTITUTE(INDEX('INPUT - Roster'!$S$1:$SV$206,$B45,Settings!$C$9+5)&amp;"",CHAR(10)," "),CHAR(160)," ")))</f>
        <v/>
      </c>
      <c r="L45">
        <f>IF(OR($B45="",NOT(ISNUMBER(Settings!$C$9))),"",TRIM(SUBSTITUTE(SUBSTITUTE(INDEX('INPUT - Roster'!$S$1:$SV$206,$B45,Settings!$C$9+6)&amp;"",CHAR(10)," "),CHAR(160)," ")))</f>
        <v/>
      </c>
      <c r="M45">
        <f>IF(OR($B45="",NOT(ISNUMBER(Settings!$C$9))),"",TRIM(SUBSTITUTE(SUBSTITUTE(INDEX('INPUT - Roster'!$S$1:$SV$206,$B45,Settings!$C$9+7)&amp;"",CHAR(10)," "),CHAR(160)," ")))</f>
        <v/>
      </c>
      <c r="N45">
        <f>IF(OR($B45="",NOT(ISNUMBER(Settings!$C$9))),"",TRIM(SUBSTITUTE(SUBSTITUTE(INDEX('INPUT - Roster'!$S$1:$SV$206,$B45,Settings!$C$9+8)&amp;"",CHAR(10)," "),CHAR(160)," ")))</f>
        <v/>
      </c>
      <c r="O45">
        <f>IF(OR($B45="",NOT(ISNUMBER(Settings!$C$9))),"",TRIM(SUBSTITUTE(SUBSTITUTE(INDEX('INPUT - Roster'!$S$1:$SV$206,$B45,Settings!$C$9+9)&amp;"",CHAR(10)," "),CHAR(160)," ")))</f>
        <v/>
      </c>
      <c r="P45">
        <f>IF(OR($B45="",NOT(ISNUMBER(Settings!$C$9))),"",TRIM(SUBSTITUTE(SUBSTITUTE(INDEX('INPUT - Roster'!$S$1:$SV$206,$B45,Settings!$C$9+10)&amp;"",CHAR(10)," "),CHAR(160)," ")))</f>
        <v/>
      </c>
      <c r="Q45">
        <f>IF(OR($B45="",NOT(ISNUMBER(Settings!$C$9))),"",TRIM(SUBSTITUTE(SUBSTITUTE(INDEX('INPUT - Roster'!$S$1:$SV$206,$B45,Settings!$C$9+11)&amp;"",CHAR(10)," "),CHAR(160)," ")))</f>
        <v/>
      </c>
      <c r="R45">
        <f>IF(OR($B45="",NOT(ISNUMBER(Settings!$C$9))),"",TRIM(SUBSTITUTE(SUBSTITUTE(INDEX('INPUT - Roster'!$S$1:$SV$206,$B45,Settings!$C$9+12)&amp;"",CHAR(10)," "),CHAR(160)," ")))</f>
        <v/>
      </c>
      <c r="S45">
        <f>IF(OR($B45="",NOT(ISNUMBER(Settings!$C$9))),"",TRIM(SUBSTITUTE(SUBSTITUTE(INDEX('INPUT - Roster'!$S$1:$SV$206,$B45,Settings!$C$9+13)&amp;"",CHAR(10)," "),CHAR(160)," ")))</f>
        <v/>
      </c>
      <c r="T45">
        <f>IF(OR($B45="",NOT(ISNUMBER(Settings!$C$9))),"",TRIM(SUBSTITUTE(SUBSTITUTE(INDEX('INPUT - Roster'!$S$1:$SV$206,$B45,Settings!$C$9+14)&amp;"",CHAR(10)," "),CHAR(160)," ")))</f>
        <v/>
      </c>
      <c r="U45">
        <f>IF(OR($B45="",NOT(ISNUMBER(Settings!$C$9))),"",TRIM(SUBSTITUTE(SUBSTITUTE(INDEX('INPUT - Roster'!$S$1:$SV$206,$B45,Settings!$C$9+15)&amp;"",CHAR(10)," "),CHAR(160)," ")))</f>
        <v/>
      </c>
      <c r="V45">
        <f>IF(OR($B45="",NOT(ISNUMBER(Settings!$C$9))),"",TRIM(SUBSTITUTE(SUBSTITUTE(INDEX('INPUT - Roster'!$S$1:$SV$206,$B45,Settings!$C$9+16)&amp;"",CHAR(10)," "),CHAR(160)," ")))</f>
        <v/>
      </c>
      <c r="W45">
        <f>IF(OR($B45="",NOT(ISNUMBER(Settings!$C$9))),"",TRIM(SUBSTITUTE(SUBSTITUTE(INDEX('INPUT - Roster'!$S$1:$SV$206,$B45,Settings!$C$9+17)&amp;"",CHAR(10)," "),CHAR(160)," ")))</f>
        <v/>
      </c>
      <c r="X45">
        <f>IF(OR($B45="",NOT(ISNUMBER(Settings!$C$9))),"",TRIM(SUBSTITUTE(SUBSTITUTE(INDEX('INPUT - Roster'!$S$1:$SV$206,$B45,Settings!$C$9+18)&amp;"",CHAR(10)," "),CHAR(160)," ")))</f>
        <v/>
      </c>
      <c r="Y45">
        <f>IF(OR($B45="",NOT(ISNUMBER(Settings!$C$9))),"",TRIM(SUBSTITUTE(SUBSTITUTE(INDEX('INPUT - Roster'!$S$1:$SV$206,$B45,Settings!$C$9+19)&amp;"",CHAR(10)," "),CHAR(160)," ")))</f>
        <v/>
      </c>
      <c r="Z45">
        <f>IF(OR($B45="",NOT(ISNUMBER(Settings!$C$9))),"",TRIM(SUBSTITUTE(SUBSTITUTE(INDEX('INPUT - Roster'!$S$1:$SV$206,$B45,Settings!$C$9+20)&amp;"",CHAR(10)," "),CHAR(160)," ")))</f>
        <v/>
      </c>
      <c r="AA45">
        <f>IF(OR($B45="",NOT(ISNUMBER(Settings!$C$9))),"",TRIM(SUBSTITUTE(SUBSTITUTE(INDEX('INPUT - Roster'!$S$1:$SV$206,$B45,Settings!$C$9+21)&amp;"",CHAR(10)," "),CHAR(160)," ")))</f>
        <v/>
      </c>
      <c r="AB45">
        <f>IF(OR($B45="",NOT(ISNUMBER(Settings!$C$9))),"",TRIM(SUBSTITUTE(SUBSTITUTE(INDEX('INPUT - Roster'!$S$1:$SV$206,$B45,Settings!$C$9+22)&amp;"",CHAR(10)," "),CHAR(160)," ")))</f>
        <v/>
      </c>
      <c r="AC45">
        <f>IF(OR($B45="",NOT(ISNUMBER(Settings!$C$9))),"",TRIM(SUBSTITUTE(SUBSTITUTE(INDEX('INPUT - Roster'!$S$1:$SV$206,$B45,Settings!$C$9+23)&amp;"",CHAR(10)," "),CHAR(160)," ")))</f>
        <v/>
      </c>
      <c r="AD45">
        <f>IF(OR($B45="",NOT(ISNUMBER(Settings!$C$9))),"",TRIM(SUBSTITUTE(SUBSTITUTE(INDEX('INPUT - Roster'!$S$1:$SV$206,$B45,Settings!$C$9+24)&amp;"",CHAR(10)," "),CHAR(160)," ")))</f>
        <v/>
      </c>
      <c r="AE45">
        <f>IF(OR($B45="",NOT(ISNUMBER(Settings!$C$9))),"",TRIM(SUBSTITUTE(SUBSTITUTE(INDEX('INPUT - Roster'!$S$1:$SV$206,$B45,Settings!$C$9+25)&amp;"",CHAR(10)," "),CHAR(160)," ")))</f>
        <v/>
      </c>
      <c r="AF45">
        <f>IF(OR($B45="",NOT(ISNUMBER(Settings!$C$9))),"",TRIM(SUBSTITUTE(SUBSTITUTE(INDEX('INPUT - Roster'!$S$1:$SV$206,$B45,Settings!$C$9+26)&amp;"",CHAR(10)," "),CHAR(160)," ")))</f>
        <v/>
      </c>
      <c r="AG45">
        <f>IF(OR($B45="",NOT(ISNUMBER(Settings!$C$9))),"",TRIM(SUBSTITUTE(SUBSTITUTE(INDEX('INPUT - Roster'!$S$1:$SV$206,$B45,Settings!$C$9+27)&amp;"",CHAR(10)," "),CHAR(160)," ")))</f>
        <v/>
      </c>
      <c r="AI45">
        <f>IF($B45="","",IF(F45="","Not rostered",IFERROR(INDEX(Settings!$C$14:$C$33,MATCH(F45,Settings!$B$14:$B$33,0)),IFERROR(LOOKUP(2^15,SEARCH(Settings!$I$14:$I$83,F45)/(Settings!$I$14:$I$83&lt;&gt;""),Settings!$J$14:$J$83),"Other"))))</f>
        <v/>
      </c>
      <c r="AJ45">
        <f>IF($B45="","",IF(G45="","Not rostered",IFERROR(INDEX(Settings!$C$14:$C$33,MATCH(G45,Settings!$B$14:$B$33,0)),IFERROR(LOOKUP(2^15,SEARCH(Settings!$I$14:$I$83,G45)/(Settings!$I$14:$I$83&lt;&gt;""),Settings!$J$14:$J$83),"Other"))))</f>
        <v/>
      </c>
      <c r="AK45">
        <f>IF($B45="","",IF(H45="","Not rostered",IFERROR(INDEX(Settings!$C$14:$C$33,MATCH(H45,Settings!$B$14:$B$33,0)),IFERROR(LOOKUP(2^15,SEARCH(Settings!$I$14:$I$83,H45)/(Settings!$I$14:$I$83&lt;&gt;""),Settings!$J$14:$J$83),"Other"))))</f>
        <v/>
      </c>
      <c r="AL45">
        <f>IF($B45="","",IF(I45="","Not rostered",IFERROR(INDEX(Settings!$C$14:$C$33,MATCH(I45,Settings!$B$14:$B$33,0)),IFERROR(LOOKUP(2^15,SEARCH(Settings!$I$14:$I$83,I45)/(Settings!$I$14:$I$83&lt;&gt;""),Settings!$J$14:$J$83),"Other"))))</f>
        <v/>
      </c>
      <c r="AM45">
        <f>IF($B45="","",IF(J45="","Not rostered",IFERROR(INDEX(Settings!$C$14:$C$33,MATCH(J45,Settings!$B$14:$B$33,0)),IFERROR(LOOKUP(2^15,SEARCH(Settings!$I$14:$I$83,J45)/(Settings!$I$14:$I$83&lt;&gt;""),Settings!$J$14:$J$83),"Other"))))</f>
        <v/>
      </c>
      <c r="AN45">
        <f>IF($B45="","",IF(K45="","Not rostered",IFERROR(INDEX(Settings!$C$14:$C$33,MATCH(K45,Settings!$B$14:$B$33,0)),IFERROR(LOOKUP(2^15,SEARCH(Settings!$I$14:$I$83,K45)/(Settings!$I$14:$I$83&lt;&gt;""),Settings!$J$14:$J$83),"Other"))))</f>
        <v/>
      </c>
      <c r="AO45">
        <f>IF($B45="","",IF(L45="","Not rostered",IFERROR(INDEX(Settings!$C$14:$C$33,MATCH(L45,Settings!$B$14:$B$33,0)),IFERROR(LOOKUP(2^15,SEARCH(Settings!$I$14:$I$83,L45)/(Settings!$I$14:$I$83&lt;&gt;""),Settings!$J$14:$J$83),"Other"))))</f>
        <v/>
      </c>
      <c r="AP45">
        <f>IF($B45="","",IF(M45="","Not rostered",IFERROR(INDEX(Settings!$C$14:$C$33,MATCH(M45,Settings!$B$14:$B$33,0)),IFERROR(LOOKUP(2^15,SEARCH(Settings!$I$14:$I$83,M45)/(Settings!$I$14:$I$83&lt;&gt;""),Settings!$J$14:$J$83),"Other"))))</f>
        <v/>
      </c>
      <c r="AQ45">
        <f>IF($B45="","",IF(N45="","Not rostered",IFERROR(INDEX(Settings!$C$14:$C$33,MATCH(N45,Settings!$B$14:$B$33,0)),IFERROR(LOOKUP(2^15,SEARCH(Settings!$I$14:$I$83,N45)/(Settings!$I$14:$I$83&lt;&gt;""),Settings!$J$14:$J$83),"Other"))))</f>
        <v/>
      </c>
      <c r="AR45">
        <f>IF($B45="","",IF(O45="","Not rostered",IFERROR(INDEX(Settings!$C$14:$C$33,MATCH(O45,Settings!$B$14:$B$33,0)),IFERROR(LOOKUP(2^15,SEARCH(Settings!$I$14:$I$83,O45)/(Settings!$I$14:$I$83&lt;&gt;""),Settings!$J$14:$J$83),"Other"))))</f>
        <v/>
      </c>
      <c r="AS45">
        <f>IF($B45="","",IF(P45="","Not rostered",IFERROR(INDEX(Settings!$C$14:$C$33,MATCH(P45,Settings!$B$14:$B$33,0)),IFERROR(LOOKUP(2^15,SEARCH(Settings!$I$14:$I$83,P45)/(Settings!$I$14:$I$83&lt;&gt;""),Settings!$J$14:$J$83),"Other"))))</f>
        <v/>
      </c>
      <c r="AT45">
        <f>IF($B45="","",IF(Q45="","Not rostered",IFERROR(INDEX(Settings!$C$14:$C$33,MATCH(Q45,Settings!$B$14:$B$33,0)),IFERROR(LOOKUP(2^15,SEARCH(Settings!$I$14:$I$83,Q45)/(Settings!$I$14:$I$83&lt;&gt;""),Settings!$J$14:$J$83),"Other"))))</f>
        <v/>
      </c>
      <c r="AU45">
        <f>IF($B45="","",IF(R45="","Not rostered",IFERROR(INDEX(Settings!$C$14:$C$33,MATCH(R45,Settings!$B$14:$B$33,0)),IFERROR(LOOKUP(2^15,SEARCH(Settings!$I$14:$I$83,R45)/(Settings!$I$14:$I$83&lt;&gt;""),Settings!$J$14:$J$83),"Other"))))</f>
        <v/>
      </c>
      <c r="AV45">
        <f>IF($B45="","",IF(S45="","Not rostered",IFERROR(INDEX(Settings!$C$14:$C$33,MATCH(S45,Settings!$B$14:$B$33,0)),IFERROR(LOOKUP(2^15,SEARCH(Settings!$I$14:$I$83,S45)/(Settings!$I$14:$I$83&lt;&gt;""),Settings!$J$14:$J$83),"Other"))))</f>
        <v/>
      </c>
      <c r="AW45">
        <f>IF($B45="","",IF(T45="","Not rostered",IFERROR(INDEX(Settings!$C$14:$C$33,MATCH(T45,Settings!$B$14:$B$33,0)),IFERROR(LOOKUP(2^15,SEARCH(Settings!$I$14:$I$83,T45)/(Settings!$I$14:$I$83&lt;&gt;""),Settings!$J$14:$J$83),"Other"))))</f>
        <v/>
      </c>
      <c r="AX45">
        <f>IF($B45="","",IF(U45="","Not rostered",IFERROR(INDEX(Settings!$C$14:$C$33,MATCH(U45,Settings!$B$14:$B$33,0)),IFERROR(LOOKUP(2^15,SEARCH(Settings!$I$14:$I$83,U45)/(Settings!$I$14:$I$83&lt;&gt;""),Settings!$J$14:$J$83),"Other"))))</f>
        <v/>
      </c>
      <c r="AY45">
        <f>IF($B45="","",IF(V45="","Not rostered",IFERROR(INDEX(Settings!$C$14:$C$33,MATCH(V45,Settings!$B$14:$B$33,0)),IFERROR(LOOKUP(2^15,SEARCH(Settings!$I$14:$I$83,V45)/(Settings!$I$14:$I$83&lt;&gt;""),Settings!$J$14:$J$83),"Other"))))</f>
        <v/>
      </c>
      <c r="AZ45">
        <f>IF($B45="","",IF(W45="","Not rostered",IFERROR(INDEX(Settings!$C$14:$C$33,MATCH(W45,Settings!$B$14:$B$33,0)),IFERROR(LOOKUP(2^15,SEARCH(Settings!$I$14:$I$83,W45)/(Settings!$I$14:$I$83&lt;&gt;""),Settings!$J$14:$J$83),"Other"))))</f>
        <v/>
      </c>
      <c r="BA45">
        <f>IF($B45="","",IF(X45="","Not rostered",IFERROR(INDEX(Settings!$C$14:$C$33,MATCH(X45,Settings!$B$14:$B$33,0)),IFERROR(LOOKUP(2^15,SEARCH(Settings!$I$14:$I$83,X45)/(Settings!$I$14:$I$83&lt;&gt;""),Settings!$J$14:$J$83),"Other"))))</f>
        <v/>
      </c>
      <c r="BB45">
        <f>IF($B45="","",IF(Y45="","Not rostered",IFERROR(INDEX(Settings!$C$14:$C$33,MATCH(Y45,Settings!$B$14:$B$33,0)),IFERROR(LOOKUP(2^15,SEARCH(Settings!$I$14:$I$83,Y45)/(Settings!$I$14:$I$83&lt;&gt;""),Settings!$J$14:$J$83),"Other"))))</f>
        <v/>
      </c>
      <c r="BC45">
        <f>IF($B45="","",IF(Z45="","Not rostered",IFERROR(INDEX(Settings!$C$14:$C$33,MATCH(Z45,Settings!$B$14:$B$33,0)),IFERROR(LOOKUP(2^15,SEARCH(Settings!$I$14:$I$83,Z45)/(Settings!$I$14:$I$83&lt;&gt;""),Settings!$J$14:$J$83),"Other"))))</f>
        <v/>
      </c>
      <c r="BD45">
        <f>IF($B45="","",IF(AA45="","Not rostered",IFERROR(INDEX(Settings!$C$14:$C$33,MATCH(AA45,Settings!$B$14:$B$33,0)),IFERROR(LOOKUP(2^15,SEARCH(Settings!$I$14:$I$83,AA45)/(Settings!$I$14:$I$83&lt;&gt;""),Settings!$J$14:$J$83),"Other"))))</f>
        <v/>
      </c>
      <c r="BE45">
        <f>IF($B45="","",IF(AB45="","Not rostered",IFERROR(INDEX(Settings!$C$14:$C$33,MATCH(AB45,Settings!$B$14:$B$33,0)),IFERROR(LOOKUP(2^15,SEARCH(Settings!$I$14:$I$83,AB45)/(Settings!$I$14:$I$83&lt;&gt;""),Settings!$J$14:$J$83),"Other"))))</f>
        <v/>
      </c>
      <c r="BF45">
        <f>IF($B45="","",IF(AC45="","Not rostered",IFERROR(INDEX(Settings!$C$14:$C$33,MATCH(AC45,Settings!$B$14:$B$33,0)),IFERROR(LOOKUP(2^15,SEARCH(Settings!$I$14:$I$83,AC45)/(Settings!$I$14:$I$83&lt;&gt;""),Settings!$J$14:$J$83),"Other"))))</f>
        <v/>
      </c>
      <c r="BG45">
        <f>IF($B45="","",IF(AD45="","Not rostered",IFERROR(INDEX(Settings!$C$14:$C$33,MATCH(AD45,Settings!$B$14:$B$33,0)),IFERROR(LOOKUP(2^15,SEARCH(Settings!$I$14:$I$83,AD45)/(Settings!$I$14:$I$83&lt;&gt;""),Settings!$J$14:$J$83),"Other"))))</f>
        <v/>
      </c>
      <c r="BH45">
        <f>IF($B45="","",IF(AE45="","Not rostered",IFERROR(INDEX(Settings!$C$14:$C$33,MATCH(AE45,Settings!$B$14:$B$33,0)),IFERROR(LOOKUP(2^15,SEARCH(Settings!$I$14:$I$83,AE45)/(Settings!$I$14:$I$83&lt;&gt;""),Settings!$J$14:$J$83),"Other"))))</f>
        <v/>
      </c>
      <c r="BI45">
        <f>IF($B45="","",IF(AF45="","Not rostered",IFERROR(INDEX(Settings!$C$14:$C$33,MATCH(AF45,Settings!$B$14:$B$33,0)),IFERROR(LOOKUP(2^15,SEARCH(Settings!$I$14:$I$83,AF45)/(Settings!$I$14:$I$83&lt;&gt;""),Settings!$J$14:$J$83),"Other"))))</f>
        <v/>
      </c>
      <c r="BJ45">
        <f>IF($B45="","",IF(AG45="","Not rostered",IFERROR(INDEX(Settings!$C$14:$C$33,MATCH(AG45,Settings!$B$14:$B$33,0)),IFERROR(LOOKUP(2^15,SEARCH(Settings!$I$14:$I$83,AG45)/(Settings!$I$14:$I$83&lt;&gt;""),Settings!$J$14:$J$83),"Other"))))</f>
        <v/>
      </c>
      <c r="BL45">
        <f>IF(OR($B45="",F45=""),"",IFERROR(INDEX(Settings!$D$14:$D$33,MATCH(F45,Settings!$B$14:$B$33,0))&amp;"",IFERROR(LOOKUP(2^15,SEARCH(Settings!$F$14:$F$43,F45)/(Settings!$F$14:$F$43&lt;&gt;""),Settings!$G$14:$G$43),"")))</f>
        <v/>
      </c>
      <c r="BM45">
        <f>IF(OR($B45="",G45=""),"",IFERROR(INDEX(Settings!$D$14:$D$33,MATCH(G45,Settings!$B$14:$B$33,0))&amp;"",IFERROR(LOOKUP(2^15,SEARCH(Settings!$F$14:$F$43,G45)/(Settings!$F$14:$F$43&lt;&gt;""),Settings!$G$14:$G$43),"")))</f>
        <v/>
      </c>
      <c r="BN45">
        <f>IF(OR($B45="",H45=""),"",IFERROR(INDEX(Settings!$D$14:$D$33,MATCH(H45,Settings!$B$14:$B$33,0))&amp;"",IFERROR(LOOKUP(2^15,SEARCH(Settings!$F$14:$F$43,H45)/(Settings!$F$14:$F$43&lt;&gt;""),Settings!$G$14:$G$43),"")))</f>
        <v/>
      </c>
      <c r="BO45">
        <f>IF(OR($B45="",I45=""),"",IFERROR(INDEX(Settings!$D$14:$D$33,MATCH(I45,Settings!$B$14:$B$33,0))&amp;"",IFERROR(LOOKUP(2^15,SEARCH(Settings!$F$14:$F$43,I45)/(Settings!$F$14:$F$43&lt;&gt;""),Settings!$G$14:$G$43),"")))</f>
        <v/>
      </c>
      <c r="BP45">
        <f>IF(OR($B45="",J45=""),"",IFERROR(INDEX(Settings!$D$14:$D$33,MATCH(J45,Settings!$B$14:$B$33,0))&amp;"",IFERROR(LOOKUP(2^15,SEARCH(Settings!$F$14:$F$43,J45)/(Settings!$F$14:$F$43&lt;&gt;""),Settings!$G$14:$G$43),"")))</f>
        <v/>
      </c>
      <c r="BQ45">
        <f>IF(OR($B45="",K45=""),"",IFERROR(INDEX(Settings!$D$14:$D$33,MATCH(K45,Settings!$B$14:$B$33,0))&amp;"",IFERROR(LOOKUP(2^15,SEARCH(Settings!$F$14:$F$43,K45)/(Settings!$F$14:$F$43&lt;&gt;""),Settings!$G$14:$G$43),"")))</f>
        <v/>
      </c>
      <c r="BR45">
        <f>IF(OR($B45="",L45=""),"",IFERROR(INDEX(Settings!$D$14:$D$33,MATCH(L45,Settings!$B$14:$B$33,0))&amp;"",IFERROR(LOOKUP(2^15,SEARCH(Settings!$F$14:$F$43,L45)/(Settings!$F$14:$F$43&lt;&gt;""),Settings!$G$14:$G$43),"")))</f>
        <v/>
      </c>
      <c r="BS45">
        <f>IF(OR($B45="",M45=""),"",IFERROR(INDEX(Settings!$D$14:$D$33,MATCH(M45,Settings!$B$14:$B$33,0))&amp;"",IFERROR(LOOKUP(2^15,SEARCH(Settings!$F$14:$F$43,M45)/(Settings!$F$14:$F$43&lt;&gt;""),Settings!$G$14:$G$43),"")))</f>
        <v/>
      </c>
      <c r="BT45">
        <f>IF(OR($B45="",N45=""),"",IFERROR(INDEX(Settings!$D$14:$D$33,MATCH(N45,Settings!$B$14:$B$33,0))&amp;"",IFERROR(LOOKUP(2^15,SEARCH(Settings!$F$14:$F$43,N45)/(Settings!$F$14:$F$43&lt;&gt;""),Settings!$G$14:$G$43),"")))</f>
        <v/>
      </c>
      <c r="BU45">
        <f>IF(OR($B45="",O45=""),"",IFERROR(INDEX(Settings!$D$14:$D$33,MATCH(O45,Settings!$B$14:$B$33,0))&amp;"",IFERROR(LOOKUP(2^15,SEARCH(Settings!$F$14:$F$43,O45)/(Settings!$F$14:$F$43&lt;&gt;""),Settings!$G$14:$G$43),"")))</f>
        <v/>
      </c>
      <c r="BV45">
        <f>IF(OR($B45="",P45=""),"",IFERROR(INDEX(Settings!$D$14:$D$33,MATCH(P45,Settings!$B$14:$B$33,0))&amp;"",IFERROR(LOOKUP(2^15,SEARCH(Settings!$F$14:$F$43,P45)/(Settings!$F$14:$F$43&lt;&gt;""),Settings!$G$14:$G$43),"")))</f>
        <v/>
      </c>
      <c r="BW45">
        <f>IF(OR($B45="",Q45=""),"",IFERROR(INDEX(Settings!$D$14:$D$33,MATCH(Q45,Settings!$B$14:$B$33,0))&amp;"",IFERROR(LOOKUP(2^15,SEARCH(Settings!$F$14:$F$43,Q45)/(Settings!$F$14:$F$43&lt;&gt;""),Settings!$G$14:$G$43),"")))</f>
        <v/>
      </c>
      <c r="BX45">
        <f>IF(OR($B45="",R45=""),"",IFERROR(INDEX(Settings!$D$14:$D$33,MATCH(R45,Settings!$B$14:$B$33,0))&amp;"",IFERROR(LOOKUP(2^15,SEARCH(Settings!$F$14:$F$43,R45)/(Settings!$F$14:$F$43&lt;&gt;""),Settings!$G$14:$G$43),"")))</f>
        <v/>
      </c>
      <c r="BY45">
        <f>IF(OR($B45="",S45=""),"",IFERROR(INDEX(Settings!$D$14:$D$33,MATCH(S45,Settings!$B$14:$B$33,0))&amp;"",IFERROR(LOOKUP(2^15,SEARCH(Settings!$F$14:$F$43,S45)/(Settings!$F$14:$F$43&lt;&gt;""),Settings!$G$14:$G$43),"")))</f>
        <v/>
      </c>
      <c r="BZ45">
        <f>IF(OR($B45="",T45=""),"",IFERROR(INDEX(Settings!$D$14:$D$33,MATCH(T45,Settings!$B$14:$B$33,0))&amp;"",IFERROR(LOOKUP(2^15,SEARCH(Settings!$F$14:$F$43,T45)/(Settings!$F$14:$F$43&lt;&gt;""),Settings!$G$14:$G$43),"")))</f>
        <v/>
      </c>
      <c r="CA45">
        <f>IF(OR($B45="",U45=""),"",IFERROR(INDEX(Settings!$D$14:$D$33,MATCH(U45,Settings!$B$14:$B$33,0))&amp;"",IFERROR(LOOKUP(2^15,SEARCH(Settings!$F$14:$F$43,U45)/(Settings!$F$14:$F$43&lt;&gt;""),Settings!$G$14:$G$43),"")))</f>
        <v/>
      </c>
      <c r="CB45">
        <f>IF(OR($B45="",V45=""),"",IFERROR(INDEX(Settings!$D$14:$D$33,MATCH(V45,Settings!$B$14:$B$33,0))&amp;"",IFERROR(LOOKUP(2^15,SEARCH(Settings!$F$14:$F$43,V45)/(Settings!$F$14:$F$43&lt;&gt;""),Settings!$G$14:$G$43),"")))</f>
        <v/>
      </c>
      <c r="CC45">
        <f>IF(OR($B45="",W45=""),"",IFERROR(INDEX(Settings!$D$14:$D$33,MATCH(W45,Settings!$B$14:$B$33,0))&amp;"",IFERROR(LOOKUP(2^15,SEARCH(Settings!$F$14:$F$43,W45)/(Settings!$F$14:$F$43&lt;&gt;""),Settings!$G$14:$G$43),"")))</f>
        <v/>
      </c>
      <c r="CD45">
        <f>IF(OR($B45="",X45=""),"",IFERROR(INDEX(Settings!$D$14:$D$33,MATCH(X45,Settings!$B$14:$B$33,0))&amp;"",IFERROR(LOOKUP(2^15,SEARCH(Settings!$F$14:$F$43,X45)/(Settings!$F$14:$F$43&lt;&gt;""),Settings!$G$14:$G$43),"")))</f>
        <v/>
      </c>
      <c r="CE45">
        <f>IF(OR($B45="",Y45=""),"",IFERROR(INDEX(Settings!$D$14:$D$33,MATCH(Y45,Settings!$B$14:$B$33,0))&amp;"",IFERROR(LOOKUP(2^15,SEARCH(Settings!$F$14:$F$43,Y45)/(Settings!$F$14:$F$43&lt;&gt;""),Settings!$G$14:$G$43),"")))</f>
        <v/>
      </c>
      <c r="CF45">
        <f>IF(OR($B45="",Z45=""),"",IFERROR(INDEX(Settings!$D$14:$D$33,MATCH(Z45,Settings!$B$14:$B$33,0))&amp;"",IFERROR(LOOKUP(2^15,SEARCH(Settings!$F$14:$F$43,Z45)/(Settings!$F$14:$F$43&lt;&gt;""),Settings!$G$14:$G$43),"")))</f>
        <v/>
      </c>
      <c r="CG45">
        <f>IF(OR($B45="",AA45=""),"",IFERROR(INDEX(Settings!$D$14:$D$33,MATCH(AA45,Settings!$B$14:$B$33,0))&amp;"",IFERROR(LOOKUP(2^15,SEARCH(Settings!$F$14:$F$43,AA45)/(Settings!$F$14:$F$43&lt;&gt;""),Settings!$G$14:$G$43),"")))</f>
        <v/>
      </c>
      <c r="CH45">
        <f>IF(OR($B45="",AB45=""),"",IFERROR(INDEX(Settings!$D$14:$D$33,MATCH(AB45,Settings!$B$14:$B$33,0))&amp;"",IFERROR(LOOKUP(2^15,SEARCH(Settings!$F$14:$F$43,AB45)/(Settings!$F$14:$F$43&lt;&gt;""),Settings!$G$14:$G$43),"")))</f>
        <v/>
      </c>
      <c r="CI45">
        <f>IF(OR($B45="",AC45=""),"",IFERROR(INDEX(Settings!$D$14:$D$33,MATCH(AC45,Settings!$B$14:$B$33,0))&amp;"",IFERROR(LOOKUP(2^15,SEARCH(Settings!$F$14:$F$43,AC45)/(Settings!$F$14:$F$43&lt;&gt;""),Settings!$G$14:$G$43),"")))</f>
        <v/>
      </c>
      <c r="CJ45">
        <f>IF(OR($B45="",AD45=""),"",IFERROR(INDEX(Settings!$D$14:$D$33,MATCH(AD45,Settings!$B$14:$B$33,0))&amp;"",IFERROR(LOOKUP(2^15,SEARCH(Settings!$F$14:$F$43,AD45)/(Settings!$F$14:$F$43&lt;&gt;""),Settings!$G$14:$G$43),"")))</f>
        <v/>
      </c>
      <c r="CK45">
        <f>IF(OR($B45="",AE45=""),"",IFERROR(INDEX(Settings!$D$14:$D$33,MATCH(AE45,Settings!$B$14:$B$33,0))&amp;"",IFERROR(LOOKUP(2^15,SEARCH(Settings!$F$14:$F$43,AE45)/(Settings!$F$14:$F$43&lt;&gt;""),Settings!$G$14:$G$43),"")))</f>
        <v/>
      </c>
      <c r="CL45">
        <f>IF(OR($B45="",AF45=""),"",IFERROR(INDEX(Settings!$D$14:$D$33,MATCH(AF45,Settings!$B$14:$B$33,0))&amp;"",IFERROR(LOOKUP(2^15,SEARCH(Settings!$F$14:$F$43,AF45)/(Settings!$F$14:$F$43&lt;&gt;""),Settings!$G$14:$G$43),"")))</f>
        <v/>
      </c>
      <c r="CM45">
        <f>IF(OR($B45="",AG45=""),"",IFERROR(INDEX(Settings!$D$14:$D$33,MATCH(AG45,Settings!$B$14:$B$33,0))&amp;"",IFERROR(LOOKUP(2^15,SEARCH(Settings!$F$14:$F$43,AG45)/(Settings!$F$14:$F$43&lt;&gt;""),Settings!$G$14:$G$43),"")))</f>
        <v/>
      </c>
    </row>
    <row r="46">
      <c r="A46" t="n">
        <v>44</v>
      </c>
      <c r="B46">
        <f>IFERROR(INDEX(Index!$A$2:$A$202,MATCH(A46,Index!$E$2:$E$202,0)),"")</f>
        <v/>
      </c>
      <c r="D46">
        <f>IF($B46="","",IFERROR(MATCH("Travel*",AI46:BJ46,0),""))</f>
        <v/>
      </c>
      <c r="F46">
        <f>IF(OR($B46="",NOT(ISNUMBER(Settings!$C$9))),"",TRIM(SUBSTITUTE(SUBSTITUTE(INDEX('INPUT - Roster'!$S$1:$SV$206,$B46,Settings!$C$9+0)&amp;"",CHAR(10)," "),CHAR(160)," ")))</f>
        <v/>
      </c>
      <c r="G46">
        <f>IF(OR($B46="",NOT(ISNUMBER(Settings!$C$9))),"",TRIM(SUBSTITUTE(SUBSTITUTE(INDEX('INPUT - Roster'!$S$1:$SV$206,$B46,Settings!$C$9+1)&amp;"",CHAR(10)," "),CHAR(160)," ")))</f>
        <v/>
      </c>
      <c r="H46">
        <f>IF(OR($B46="",NOT(ISNUMBER(Settings!$C$9))),"",TRIM(SUBSTITUTE(SUBSTITUTE(INDEX('INPUT - Roster'!$S$1:$SV$206,$B46,Settings!$C$9+2)&amp;"",CHAR(10)," "),CHAR(160)," ")))</f>
        <v/>
      </c>
      <c r="I46">
        <f>IF(OR($B46="",NOT(ISNUMBER(Settings!$C$9))),"",TRIM(SUBSTITUTE(SUBSTITUTE(INDEX('INPUT - Roster'!$S$1:$SV$206,$B46,Settings!$C$9+3)&amp;"",CHAR(10)," "),CHAR(160)," ")))</f>
        <v/>
      </c>
      <c r="J46">
        <f>IF(OR($B46="",NOT(ISNUMBER(Settings!$C$9))),"",TRIM(SUBSTITUTE(SUBSTITUTE(INDEX('INPUT - Roster'!$S$1:$SV$206,$B46,Settings!$C$9+4)&amp;"",CHAR(10)," "),CHAR(160)," ")))</f>
        <v/>
      </c>
      <c r="K46">
        <f>IF(OR($B46="",NOT(ISNUMBER(Settings!$C$9))),"",TRIM(SUBSTITUTE(SUBSTITUTE(INDEX('INPUT - Roster'!$S$1:$SV$206,$B46,Settings!$C$9+5)&amp;"",CHAR(10)," "),CHAR(160)," ")))</f>
        <v/>
      </c>
      <c r="L46">
        <f>IF(OR($B46="",NOT(ISNUMBER(Settings!$C$9))),"",TRIM(SUBSTITUTE(SUBSTITUTE(INDEX('INPUT - Roster'!$S$1:$SV$206,$B46,Settings!$C$9+6)&amp;"",CHAR(10)," "),CHAR(160)," ")))</f>
        <v/>
      </c>
      <c r="M46">
        <f>IF(OR($B46="",NOT(ISNUMBER(Settings!$C$9))),"",TRIM(SUBSTITUTE(SUBSTITUTE(INDEX('INPUT - Roster'!$S$1:$SV$206,$B46,Settings!$C$9+7)&amp;"",CHAR(10)," "),CHAR(160)," ")))</f>
        <v/>
      </c>
      <c r="N46">
        <f>IF(OR($B46="",NOT(ISNUMBER(Settings!$C$9))),"",TRIM(SUBSTITUTE(SUBSTITUTE(INDEX('INPUT - Roster'!$S$1:$SV$206,$B46,Settings!$C$9+8)&amp;"",CHAR(10)," "),CHAR(160)," ")))</f>
        <v/>
      </c>
      <c r="O46">
        <f>IF(OR($B46="",NOT(ISNUMBER(Settings!$C$9))),"",TRIM(SUBSTITUTE(SUBSTITUTE(INDEX('INPUT - Roster'!$S$1:$SV$206,$B46,Settings!$C$9+9)&amp;"",CHAR(10)," "),CHAR(160)," ")))</f>
        <v/>
      </c>
      <c r="P46">
        <f>IF(OR($B46="",NOT(ISNUMBER(Settings!$C$9))),"",TRIM(SUBSTITUTE(SUBSTITUTE(INDEX('INPUT - Roster'!$S$1:$SV$206,$B46,Settings!$C$9+10)&amp;"",CHAR(10)," "),CHAR(160)," ")))</f>
        <v/>
      </c>
      <c r="Q46">
        <f>IF(OR($B46="",NOT(ISNUMBER(Settings!$C$9))),"",TRIM(SUBSTITUTE(SUBSTITUTE(INDEX('INPUT - Roster'!$S$1:$SV$206,$B46,Settings!$C$9+11)&amp;"",CHAR(10)," "),CHAR(160)," ")))</f>
        <v/>
      </c>
      <c r="R46">
        <f>IF(OR($B46="",NOT(ISNUMBER(Settings!$C$9))),"",TRIM(SUBSTITUTE(SUBSTITUTE(INDEX('INPUT - Roster'!$S$1:$SV$206,$B46,Settings!$C$9+12)&amp;"",CHAR(10)," "),CHAR(160)," ")))</f>
        <v/>
      </c>
      <c r="S46">
        <f>IF(OR($B46="",NOT(ISNUMBER(Settings!$C$9))),"",TRIM(SUBSTITUTE(SUBSTITUTE(INDEX('INPUT - Roster'!$S$1:$SV$206,$B46,Settings!$C$9+13)&amp;"",CHAR(10)," "),CHAR(160)," ")))</f>
        <v/>
      </c>
      <c r="T46">
        <f>IF(OR($B46="",NOT(ISNUMBER(Settings!$C$9))),"",TRIM(SUBSTITUTE(SUBSTITUTE(INDEX('INPUT - Roster'!$S$1:$SV$206,$B46,Settings!$C$9+14)&amp;"",CHAR(10)," "),CHAR(160)," ")))</f>
        <v/>
      </c>
      <c r="U46">
        <f>IF(OR($B46="",NOT(ISNUMBER(Settings!$C$9))),"",TRIM(SUBSTITUTE(SUBSTITUTE(INDEX('INPUT - Roster'!$S$1:$SV$206,$B46,Settings!$C$9+15)&amp;"",CHAR(10)," "),CHAR(160)," ")))</f>
        <v/>
      </c>
      <c r="V46">
        <f>IF(OR($B46="",NOT(ISNUMBER(Settings!$C$9))),"",TRIM(SUBSTITUTE(SUBSTITUTE(INDEX('INPUT - Roster'!$S$1:$SV$206,$B46,Settings!$C$9+16)&amp;"",CHAR(10)," "),CHAR(160)," ")))</f>
        <v/>
      </c>
      <c r="W46">
        <f>IF(OR($B46="",NOT(ISNUMBER(Settings!$C$9))),"",TRIM(SUBSTITUTE(SUBSTITUTE(INDEX('INPUT - Roster'!$S$1:$SV$206,$B46,Settings!$C$9+17)&amp;"",CHAR(10)," "),CHAR(160)," ")))</f>
        <v/>
      </c>
      <c r="X46">
        <f>IF(OR($B46="",NOT(ISNUMBER(Settings!$C$9))),"",TRIM(SUBSTITUTE(SUBSTITUTE(INDEX('INPUT - Roster'!$S$1:$SV$206,$B46,Settings!$C$9+18)&amp;"",CHAR(10)," "),CHAR(160)," ")))</f>
        <v/>
      </c>
      <c r="Y46">
        <f>IF(OR($B46="",NOT(ISNUMBER(Settings!$C$9))),"",TRIM(SUBSTITUTE(SUBSTITUTE(INDEX('INPUT - Roster'!$S$1:$SV$206,$B46,Settings!$C$9+19)&amp;"",CHAR(10)," "),CHAR(160)," ")))</f>
        <v/>
      </c>
      <c r="Z46">
        <f>IF(OR($B46="",NOT(ISNUMBER(Settings!$C$9))),"",TRIM(SUBSTITUTE(SUBSTITUTE(INDEX('INPUT - Roster'!$S$1:$SV$206,$B46,Settings!$C$9+20)&amp;"",CHAR(10)," "),CHAR(160)," ")))</f>
        <v/>
      </c>
      <c r="AA46">
        <f>IF(OR($B46="",NOT(ISNUMBER(Settings!$C$9))),"",TRIM(SUBSTITUTE(SUBSTITUTE(INDEX('INPUT - Roster'!$S$1:$SV$206,$B46,Settings!$C$9+21)&amp;"",CHAR(10)," "),CHAR(160)," ")))</f>
        <v/>
      </c>
      <c r="AB46">
        <f>IF(OR($B46="",NOT(ISNUMBER(Settings!$C$9))),"",TRIM(SUBSTITUTE(SUBSTITUTE(INDEX('INPUT - Roster'!$S$1:$SV$206,$B46,Settings!$C$9+22)&amp;"",CHAR(10)," "),CHAR(160)," ")))</f>
        <v/>
      </c>
      <c r="AC46">
        <f>IF(OR($B46="",NOT(ISNUMBER(Settings!$C$9))),"",TRIM(SUBSTITUTE(SUBSTITUTE(INDEX('INPUT - Roster'!$S$1:$SV$206,$B46,Settings!$C$9+23)&amp;"",CHAR(10)," "),CHAR(160)," ")))</f>
        <v/>
      </c>
      <c r="AD46">
        <f>IF(OR($B46="",NOT(ISNUMBER(Settings!$C$9))),"",TRIM(SUBSTITUTE(SUBSTITUTE(INDEX('INPUT - Roster'!$S$1:$SV$206,$B46,Settings!$C$9+24)&amp;"",CHAR(10)," "),CHAR(160)," ")))</f>
        <v/>
      </c>
      <c r="AE46">
        <f>IF(OR($B46="",NOT(ISNUMBER(Settings!$C$9))),"",TRIM(SUBSTITUTE(SUBSTITUTE(INDEX('INPUT - Roster'!$S$1:$SV$206,$B46,Settings!$C$9+25)&amp;"",CHAR(10)," "),CHAR(160)," ")))</f>
        <v/>
      </c>
      <c r="AF46">
        <f>IF(OR($B46="",NOT(ISNUMBER(Settings!$C$9))),"",TRIM(SUBSTITUTE(SUBSTITUTE(INDEX('INPUT - Roster'!$S$1:$SV$206,$B46,Settings!$C$9+26)&amp;"",CHAR(10)," "),CHAR(160)," ")))</f>
        <v/>
      </c>
      <c r="AG46">
        <f>IF(OR($B46="",NOT(ISNUMBER(Settings!$C$9))),"",TRIM(SUBSTITUTE(SUBSTITUTE(INDEX('INPUT - Roster'!$S$1:$SV$206,$B46,Settings!$C$9+27)&amp;"",CHAR(10)," "),CHAR(160)," ")))</f>
        <v/>
      </c>
      <c r="AI46">
        <f>IF($B46="","",IF(F46="","Not rostered",IFERROR(INDEX(Settings!$C$14:$C$33,MATCH(F46,Settings!$B$14:$B$33,0)),IFERROR(LOOKUP(2^15,SEARCH(Settings!$I$14:$I$83,F46)/(Settings!$I$14:$I$83&lt;&gt;""),Settings!$J$14:$J$83),"Other"))))</f>
        <v/>
      </c>
      <c r="AJ46">
        <f>IF($B46="","",IF(G46="","Not rostered",IFERROR(INDEX(Settings!$C$14:$C$33,MATCH(G46,Settings!$B$14:$B$33,0)),IFERROR(LOOKUP(2^15,SEARCH(Settings!$I$14:$I$83,G46)/(Settings!$I$14:$I$83&lt;&gt;""),Settings!$J$14:$J$83),"Other"))))</f>
        <v/>
      </c>
      <c r="AK46">
        <f>IF($B46="","",IF(H46="","Not rostered",IFERROR(INDEX(Settings!$C$14:$C$33,MATCH(H46,Settings!$B$14:$B$33,0)),IFERROR(LOOKUP(2^15,SEARCH(Settings!$I$14:$I$83,H46)/(Settings!$I$14:$I$83&lt;&gt;""),Settings!$J$14:$J$83),"Other"))))</f>
        <v/>
      </c>
      <c r="AL46">
        <f>IF($B46="","",IF(I46="","Not rostered",IFERROR(INDEX(Settings!$C$14:$C$33,MATCH(I46,Settings!$B$14:$B$33,0)),IFERROR(LOOKUP(2^15,SEARCH(Settings!$I$14:$I$83,I46)/(Settings!$I$14:$I$83&lt;&gt;""),Settings!$J$14:$J$83),"Other"))))</f>
        <v/>
      </c>
      <c r="AM46">
        <f>IF($B46="","",IF(J46="","Not rostered",IFERROR(INDEX(Settings!$C$14:$C$33,MATCH(J46,Settings!$B$14:$B$33,0)),IFERROR(LOOKUP(2^15,SEARCH(Settings!$I$14:$I$83,J46)/(Settings!$I$14:$I$83&lt;&gt;""),Settings!$J$14:$J$83),"Other"))))</f>
        <v/>
      </c>
      <c r="AN46">
        <f>IF($B46="","",IF(K46="","Not rostered",IFERROR(INDEX(Settings!$C$14:$C$33,MATCH(K46,Settings!$B$14:$B$33,0)),IFERROR(LOOKUP(2^15,SEARCH(Settings!$I$14:$I$83,K46)/(Settings!$I$14:$I$83&lt;&gt;""),Settings!$J$14:$J$83),"Other"))))</f>
        <v/>
      </c>
      <c r="AO46">
        <f>IF($B46="","",IF(L46="","Not rostered",IFERROR(INDEX(Settings!$C$14:$C$33,MATCH(L46,Settings!$B$14:$B$33,0)),IFERROR(LOOKUP(2^15,SEARCH(Settings!$I$14:$I$83,L46)/(Settings!$I$14:$I$83&lt;&gt;""),Settings!$J$14:$J$83),"Other"))))</f>
        <v/>
      </c>
      <c r="AP46">
        <f>IF($B46="","",IF(M46="","Not rostered",IFERROR(INDEX(Settings!$C$14:$C$33,MATCH(M46,Settings!$B$14:$B$33,0)),IFERROR(LOOKUP(2^15,SEARCH(Settings!$I$14:$I$83,M46)/(Settings!$I$14:$I$83&lt;&gt;""),Settings!$J$14:$J$83),"Other"))))</f>
        <v/>
      </c>
      <c r="AQ46">
        <f>IF($B46="","",IF(N46="","Not rostered",IFERROR(INDEX(Settings!$C$14:$C$33,MATCH(N46,Settings!$B$14:$B$33,0)),IFERROR(LOOKUP(2^15,SEARCH(Settings!$I$14:$I$83,N46)/(Settings!$I$14:$I$83&lt;&gt;""),Settings!$J$14:$J$83),"Other"))))</f>
        <v/>
      </c>
      <c r="AR46">
        <f>IF($B46="","",IF(O46="","Not rostered",IFERROR(INDEX(Settings!$C$14:$C$33,MATCH(O46,Settings!$B$14:$B$33,0)),IFERROR(LOOKUP(2^15,SEARCH(Settings!$I$14:$I$83,O46)/(Settings!$I$14:$I$83&lt;&gt;""),Settings!$J$14:$J$83),"Other"))))</f>
        <v/>
      </c>
      <c r="AS46">
        <f>IF($B46="","",IF(P46="","Not rostered",IFERROR(INDEX(Settings!$C$14:$C$33,MATCH(P46,Settings!$B$14:$B$33,0)),IFERROR(LOOKUP(2^15,SEARCH(Settings!$I$14:$I$83,P46)/(Settings!$I$14:$I$83&lt;&gt;""),Settings!$J$14:$J$83),"Other"))))</f>
        <v/>
      </c>
      <c r="AT46">
        <f>IF($B46="","",IF(Q46="","Not rostered",IFERROR(INDEX(Settings!$C$14:$C$33,MATCH(Q46,Settings!$B$14:$B$33,0)),IFERROR(LOOKUP(2^15,SEARCH(Settings!$I$14:$I$83,Q46)/(Settings!$I$14:$I$83&lt;&gt;""),Settings!$J$14:$J$83),"Other"))))</f>
        <v/>
      </c>
      <c r="AU46">
        <f>IF($B46="","",IF(R46="","Not rostered",IFERROR(INDEX(Settings!$C$14:$C$33,MATCH(R46,Settings!$B$14:$B$33,0)),IFERROR(LOOKUP(2^15,SEARCH(Settings!$I$14:$I$83,R46)/(Settings!$I$14:$I$83&lt;&gt;""),Settings!$J$14:$J$83),"Other"))))</f>
        <v/>
      </c>
      <c r="AV46">
        <f>IF($B46="","",IF(S46="","Not rostered",IFERROR(INDEX(Settings!$C$14:$C$33,MATCH(S46,Settings!$B$14:$B$33,0)),IFERROR(LOOKUP(2^15,SEARCH(Settings!$I$14:$I$83,S46)/(Settings!$I$14:$I$83&lt;&gt;""),Settings!$J$14:$J$83),"Other"))))</f>
        <v/>
      </c>
      <c r="AW46">
        <f>IF($B46="","",IF(T46="","Not rostered",IFERROR(INDEX(Settings!$C$14:$C$33,MATCH(T46,Settings!$B$14:$B$33,0)),IFERROR(LOOKUP(2^15,SEARCH(Settings!$I$14:$I$83,T46)/(Settings!$I$14:$I$83&lt;&gt;""),Settings!$J$14:$J$83),"Other"))))</f>
        <v/>
      </c>
      <c r="AX46">
        <f>IF($B46="","",IF(U46="","Not rostered",IFERROR(INDEX(Settings!$C$14:$C$33,MATCH(U46,Settings!$B$14:$B$33,0)),IFERROR(LOOKUP(2^15,SEARCH(Settings!$I$14:$I$83,U46)/(Settings!$I$14:$I$83&lt;&gt;""),Settings!$J$14:$J$83),"Other"))))</f>
        <v/>
      </c>
      <c r="AY46">
        <f>IF($B46="","",IF(V46="","Not rostered",IFERROR(INDEX(Settings!$C$14:$C$33,MATCH(V46,Settings!$B$14:$B$33,0)),IFERROR(LOOKUP(2^15,SEARCH(Settings!$I$14:$I$83,V46)/(Settings!$I$14:$I$83&lt;&gt;""),Settings!$J$14:$J$83),"Other"))))</f>
        <v/>
      </c>
      <c r="AZ46">
        <f>IF($B46="","",IF(W46="","Not rostered",IFERROR(INDEX(Settings!$C$14:$C$33,MATCH(W46,Settings!$B$14:$B$33,0)),IFERROR(LOOKUP(2^15,SEARCH(Settings!$I$14:$I$83,W46)/(Settings!$I$14:$I$83&lt;&gt;""),Settings!$J$14:$J$83),"Other"))))</f>
        <v/>
      </c>
      <c r="BA46">
        <f>IF($B46="","",IF(X46="","Not rostered",IFERROR(INDEX(Settings!$C$14:$C$33,MATCH(X46,Settings!$B$14:$B$33,0)),IFERROR(LOOKUP(2^15,SEARCH(Settings!$I$14:$I$83,X46)/(Settings!$I$14:$I$83&lt;&gt;""),Settings!$J$14:$J$83),"Other"))))</f>
        <v/>
      </c>
      <c r="BB46">
        <f>IF($B46="","",IF(Y46="","Not rostered",IFERROR(INDEX(Settings!$C$14:$C$33,MATCH(Y46,Settings!$B$14:$B$33,0)),IFERROR(LOOKUP(2^15,SEARCH(Settings!$I$14:$I$83,Y46)/(Settings!$I$14:$I$83&lt;&gt;""),Settings!$J$14:$J$83),"Other"))))</f>
        <v/>
      </c>
      <c r="BC46">
        <f>IF($B46="","",IF(Z46="","Not rostered",IFERROR(INDEX(Settings!$C$14:$C$33,MATCH(Z46,Settings!$B$14:$B$33,0)),IFERROR(LOOKUP(2^15,SEARCH(Settings!$I$14:$I$83,Z46)/(Settings!$I$14:$I$83&lt;&gt;""),Settings!$J$14:$J$83),"Other"))))</f>
        <v/>
      </c>
      <c r="BD46">
        <f>IF($B46="","",IF(AA46="","Not rostered",IFERROR(INDEX(Settings!$C$14:$C$33,MATCH(AA46,Settings!$B$14:$B$33,0)),IFERROR(LOOKUP(2^15,SEARCH(Settings!$I$14:$I$83,AA46)/(Settings!$I$14:$I$83&lt;&gt;""),Settings!$J$14:$J$83),"Other"))))</f>
        <v/>
      </c>
      <c r="BE46">
        <f>IF($B46="","",IF(AB46="","Not rostered",IFERROR(INDEX(Settings!$C$14:$C$33,MATCH(AB46,Settings!$B$14:$B$33,0)),IFERROR(LOOKUP(2^15,SEARCH(Settings!$I$14:$I$83,AB46)/(Settings!$I$14:$I$83&lt;&gt;""),Settings!$J$14:$J$83),"Other"))))</f>
        <v/>
      </c>
      <c r="BF46">
        <f>IF($B46="","",IF(AC46="","Not rostered",IFERROR(INDEX(Settings!$C$14:$C$33,MATCH(AC46,Settings!$B$14:$B$33,0)),IFERROR(LOOKUP(2^15,SEARCH(Settings!$I$14:$I$83,AC46)/(Settings!$I$14:$I$83&lt;&gt;""),Settings!$J$14:$J$83),"Other"))))</f>
        <v/>
      </c>
      <c r="BG46">
        <f>IF($B46="","",IF(AD46="","Not rostered",IFERROR(INDEX(Settings!$C$14:$C$33,MATCH(AD46,Settings!$B$14:$B$33,0)),IFERROR(LOOKUP(2^15,SEARCH(Settings!$I$14:$I$83,AD46)/(Settings!$I$14:$I$83&lt;&gt;""),Settings!$J$14:$J$83),"Other"))))</f>
        <v/>
      </c>
      <c r="BH46">
        <f>IF($B46="","",IF(AE46="","Not rostered",IFERROR(INDEX(Settings!$C$14:$C$33,MATCH(AE46,Settings!$B$14:$B$33,0)),IFERROR(LOOKUP(2^15,SEARCH(Settings!$I$14:$I$83,AE46)/(Settings!$I$14:$I$83&lt;&gt;""),Settings!$J$14:$J$83),"Other"))))</f>
        <v/>
      </c>
      <c r="BI46">
        <f>IF($B46="","",IF(AF46="","Not rostered",IFERROR(INDEX(Settings!$C$14:$C$33,MATCH(AF46,Settings!$B$14:$B$33,0)),IFERROR(LOOKUP(2^15,SEARCH(Settings!$I$14:$I$83,AF46)/(Settings!$I$14:$I$83&lt;&gt;""),Settings!$J$14:$J$83),"Other"))))</f>
        <v/>
      </c>
      <c r="BJ46">
        <f>IF($B46="","",IF(AG46="","Not rostered",IFERROR(INDEX(Settings!$C$14:$C$33,MATCH(AG46,Settings!$B$14:$B$33,0)),IFERROR(LOOKUP(2^15,SEARCH(Settings!$I$14:$I$83,AG46)/(Settings!$I$14:$I$83&lt;&gt;""),Settings!$J$14:$J$83),"Other"))))</f>
        <v/>
      </c>
      <c r="BL46">
        <f>IF(OR($B46="",F46=""),"",IFERROR(INDEX(Settings!$D$14:$D$33,MATCH(F46,Settings!$B$14:$B$33,0))&amp;"",IFERROR(LOOKUP(2^15,SEARCH(Settings!$F$14:$F$43,F46)/(Settings!$F$14:$F$43&lt;&gt;""),Settings!$G$14:$G$43),"")))</f>
        <v/>
      </c>
      <c r="BM46">
        <f>IF(OR($B46="",G46=""),"",IFERROR(INDEX(Settings!$D$14:$D$33,MATCH(G46,Settings!$B$14:$B$33,0))&amp;"",IFERROR(LOOKUP(2^15,SEARCH(Settings!$F$14:$F$43,G46)/(Settings!$F$14:$F$43&lt;&gt;""),Settings!$G$14:$G$43),"")))</f>
        <v/>
      </c>
      <c r="BN46">
        <f>IF(OR($B46="",H46=""),"",IFERROR(INDEX(Settings!$D$14:$D$33,MATCH(H46,Settings!$B$14:$B$33,0))&amp;"",IFERROR(LOOKUP(2^15,SEARCH(Settings!$F$14:$F$43,H46)/(Settings!$F$14:$F$43&lt;&gt;""),Settings!$G$14:$G$43),"")))</f>
        <v/>
      </c>
      <c r="BO46">
        <f>IF(OR($B46="",I46=""),"",IFERROR(INDEX(Settings!$D$14:$D$33,MATCH(I46,Settings!$B$14:$B$33,0))&amp;"",IFERROR(LOOKUP(2^15,SEARCH(Settings!$F$14:$F$43,I46)/(Settings!$F$14:$F$43&lt;&gt;""),Settings!$G$14:$G$43),"")))</f>
        <v/>
      </c>
      <c r="BP46">
        <f>IF(OR($B46="",J46=""),"",IFERROR(INDEX(Settings!$D$14:$D$33,MATCH(J46,Settings!$B$14:$B$33,0))&amp;"",IFERROR(LOOKUP(2^15,SEARCH(Settings!$F$14:$F$43,J46)/(Settings!$F$14:$F$43&lt;&gt;""),Settings!$G$14:$G$43),"")))</f>
        <v/>
      </c>
      <c r="BQ46">
        <f>IF(OR($B46="",K46=""),"",IFERROR(INDEX(Settings!$D$14:$D$33,MATCH(K46,Settings!$B$14:$B$33,0))&amp;"",IFERROR(LOOKUP(2^15,SEARCH(Settings!$F$14:$F$43,K46)/(Settings!$F$14:$F$43&lt;&gt;""),Settings!$G$14:$G$43),"")))</f>
        <v/>
      </c>
      <c r="BR46">
        <f>IF(OR($B46="",L46=""),"",IFERROR(INDEX(Settings!$D$14:$D$33,MATCH(L46,Settings!$B$14:$B$33,0))&amp;"",IFERROR(LOOKUP(2^15,SEARCH(Settings!$F$14:$F$43,L46)/(Settings!$F$14:$F$43&lt;&gt;""),Settings!$G$14:$G$43),"")))</f>
        <v/>
      </c>
      <c r="BS46">
        <f>IF(OR($B46="",M46=""),"",IFERROR(INDEX(Settings!$D$14:$D$33,MATCH(M46,Settings!$B$14:$B$33,0))&amp;"",IFERROR(LOOKUP(2^15,SEARCH(Settings!$F$14:$F$43,M46)/(Settings!$F$14:$F$43&lt;&gt;""),Settings!$G$14:$G$43),"")))</f>
        <v/>
      </c>
      <c r="BT46">
        <f>IF(OR($B46="",N46=""),"",IFERROR(INDEX(Settings!$D$14:$D$33,MATCH(N46,Settings!$B$14:$B$33,0))&amp;"",IFERROR(LOOKUP(2^15,SEARCH(Settings!$F$14:$F$43,N46)/(Settings!$F$14:$F$43&lt;&gt;""),Settings!$G$14:$G$43),"")))</f>
        <v/>
      </c>
      <c r="BU46">
        <f>IF(OR($B46="",O46=""),"",IFERROR(INDEX(Settings!$D$14:$D$33,MATCH(O46,Settings!$B$14:$B$33,0))&amp;"",IFERROR(LOOKUP(2^15,SEARCH(Settings!$F$14:$F$43,O46)/(Settings!$F$14:$F$43&lt;&gt;""),Settings!$G$14:$G$43),"")))</f>
        <v/>
      </c>
      <c r="BV46">
        <f>IF(OR($B46="",P46=""),"",IFERROR(INDEX(Settings!$D$14:$D$33,MATCH(P46,Settings!$B$14:$B$33,0))&amp;"",IFERROR(LOOKUP(2^15,SEARCH(Settings!$F$14:$F$43,P46)/(Settings!$F$14:$F$43&lt;&gt;""),Settings!$G$14:$G$43),"")))</f>
        <v/>
      </c>
      <c r="BW46">
        <f>IF(OR($B46="",Q46=""),"",IFERROR(INDEX(Settings!$D$14:$D$33,MATCH(Q46,Settings!$B$14:$B$33,0))&amp;"",IFERROR(LOOKUP(2^15,SEARCH(Settings!$F$14:$F$43,Q46)/(Settings!$F$14:$F$43&lt;&gt;""),Settings!$G$14:$G$43),"")))</f>
        <v/>
      </c>
      <c r="BX46">
        <f>IF(OR($B46="",R46=""),"",IFERROR(INDEX(Settings!$D$14:$D$33,MATCH(R46,Settings!$B$14:$B$33,0))&amp;"",IFERROR(LOOKUP(2^15,SEARCH(Settings!$F$14:$F$43,R46)/(Settings!$F$14:$F$43&lt;&gt;""),Settings!$G$14:$G$43),"")))</f>
        <v/>
      </c>
      <c r="BY46">
        <f>IF(OR($B46="",S46=""),"",IFERROR(INDEX(Settings!$D$14:$D$33,MATCH(S46,Settings!$B$14:$B$33,0))&amp;"",IFERROR(LOOKUP(2^15,SEARCH(Settings!$F$14:$F$43,S46)/(Settings!$F$14:$F$43&lt;&gt;""),Settings!$G$14:$G$43),"")))</f>
        <v/>
      </c>
      <c r="BZ46">
        <f>IF(OR($B46="",T46=""),"",IFERROR(INDEX(Settings!$D$14:$D$33,MATCH(T46,Settings!$B$14:$B$33,0))&amp;"",IFERROR(LOOKUP(2^15,SEARCH(Settings!$F$14:$F$43,T46)/(Settings!$F$14:$F$43&lt;&gt;""),Settings!$G$14:$G$43),"")))</f>
        <v/>
      </c>
      <c r="CA46">
        <f>IF(OR($B46="",U46=""),"",IFERROR(INDEX(Settings!$D$14:$D$33,MATCH(U46,Settings!$B$14:$B$33,0))&amp;"",IFERROR(LOOKUP(2^15,SEARCH(Settings!$F$14:$F$43,U46)/(Settings!$F$14:$F$43&lt;&gt;""),Settings!$G$14:$G$43),"")))</f>
        <v/>
      </c>
      <c r="CB46">
        <f>IF(OR($B46="",V46=""),"",IFERROR(INDEX(Settings!$D$14:$D$33,MATCH(V46,Settings!$B$14:$B$33,0))&amp;"",IFERROR(LOOKUP(2^15,SEARCH(Settings!$F$14:$F$43,V46)/(Settings!$F$14:$F$43&lt;&gt;""),Settings!$G$14:$G$43),"")))</f>
        <v/>
      </c>
      <c r="CC46">
        <f>IF(OR($B46="",W46=""),"",IFERROR(INDEX(Settings!$D$14:$D$33,MATCH(W46,Settings!$B$14:$B$33,0))&amp;"",IFERROR(LOOKUP(2^15,SEARCH(Settings!$F$14:$F$43,W46)/(Settings!$F$14:$F$43&lt;&gt;""),Settings!$G$14:$G$43),"")))</f>
        <v/>
      </c>
      <c r="CD46">
        <f>IF(OR($B46="",X46=""),"",IFERROR(INDEX(Settings!$D$14:$D$33,MATCH(X46,Settings!$B$14:$B$33,0))&amp;"",IFERROR(LOOKUP(2^15,SEARCH(Settings!$F$14:$F$43,X46)/(Settings!$F$14:$F$43&lt;&gt;""),Settings!$G$14:$G$43),"")))</f>
        <v/>
      </c>
      <c r="CE46">
        <f>IF(OR($B46="",Y46=""),"",IFERROR(INDEX(Settings!$D$14:$D$33,MATCH(Y46,Settings!$B$14:$B$33,0))&amp;"",IFERROR(LOOKUP(2^15,SEARCH(Settings!$F$14:$F$43,Y46)/(Settings!$F$14:$F$43&lt;&gt;""),Settings!$G$14:$G$43),"")))</f>
        <v/>
      </c>
      <c r="CF46">
        <f>IF(OR($B46="",Z46=""),"",IFERROR(INDEX(Settings!$D$14:$D$33,MATCH(Z46,Settings!$B$14:$B$33,0))&amp;"",IFERROR(LOOKUP(2^15,SEARCH(Settings!$F$14:$F$43,Z46)/(Settings!$F$14:$F$43&lt;&gt;""),Settings!$G$14:$G$43),"")))</f>
        <v/>
      </c>
      <c r="CG46">
        <f>IF(OR($B46="",AA46=""),"",IFERROR(INDEX(Settings!$D$14:$D$33,MATCH(AA46,Settings!$B$14:$B$33,0))&amp;"",IFERROR(LOOKUP(2^15,SEARCH(Settings!$F$14:$F$43,AA46)/(Settings!$F$14:$F$43&lt;&gt;""),Settings!$G$14:$G$43),"")))</f>
        <v/>
      </c>
      <c r="CH46">
        <f>IF(OR($B46="",AB46=""),"",IFERROR(INDEX(Settings!$D$14:$D$33,MATCH(AB46,Settings!$B$14:$B$33,0))&amp;"",IFERROR(LOOKUP(2^15,SEARCH(Settings!$F$14:$F$43,AB46)/(Settings!$F$14:$F$43&lt;&gt;""),Settings!$G$14:$G$43),"")))</f>
        <v/>
      </c>
      <c r="CI46">
        <f>IF(OR($B46="",AC46=""),"",IFERROR(INDEX(Settings!$D$14:$D$33,MATCH(AC46,Settings!$B$14:$B$33,0))&amp;"",IFERROR(LOOKUP(2^15,SEARCH(Settings!$F$14:$F$43,AC46)/(Settings!$F$14:$F$43&lt;&gt;""),Settings!$G$14:$G$43),"")))</f>
        <v/>
      </c>
      <c r="CJ46">
        <f>IF(OR($B46="",AD46=""),"",IFERROR(INDEX(Settings!$D$14:$D$33,MATCH(AD46,Settings!$B$14:$B$33,0))&amp;"",IFERROR(LOOKUP(2^15,SEARCH(Settings!$F$14:$F$43,AD46)/(Settings!$F$14:$F$43&lt;&gt;""),Settings!$G$14:$G$43),"")))</f>
        <v/>
      </c>
      <c r="CK46">
        <f>IF(OR($B46="",AE46=""),"",IFERROR(INDEX(Settings!$D$14:$D$33,MATCH(AE46,Settings!$B$14:$B$33,0))&amp;"",IFERROR(LOOKUP(2^15,SEARCH(Settings!$F$14:$F$43,AE46)/(Settings!$F$14:$F$43&lt;&gt;""),Settings!$G$14:$G$43),"")))</f>
        <v/>
      </c>
      <c r="CL46">
        <f>IF(OR($B46="",AF46=""),"",IFERROR(INDEX(Settings!$D$14:$D$33,MATCH(AF46,Settings!$B$14:$B$33,0))&amp;"",IFERROR(LOOKUP(2^15,SEARCH(Settings!$F$14:$F$43,AF46)/(Settings!$F$14:$F$43&lt;&gt;""),Settings!$G$14:$G$43),"")))</f>
        <v/>
      </c>
      <c r="CM46">
        <f>IF(OR($B46="",AG46=""),"",IFERROR(INDEX(Settings!$D$14:$D$33,MATCH(AG46,Settings!$B$14:$B$33,0))&amp;"",IFERROR(LOOKUP(2^15,SEARCH(Settings!$F$14:$F$43,AG46)/(Settings!$F$14:$F$43&lt;&gt;""),Settings!$G$14:$G$43),"")))</f>
        <v/>
      </c>
    </row>
    <row r="47">
      <c r="A47" t="n">
        <v>45</v>
      </c>
      <c r="B47">
        <f>IFERROR(INDEX(Index!$A$2:$A$202,MATCH(A47,Index!$E$2:$E$202,0)),"")</f>
        <v/>
      </c>
      <c r="D47">
        <f>IF($B47="","",IFERROR(MATCH("Travel*",AI47:BJ47,0),""))</f>
        <v/>
      </c>
      <c r="F47">
        <f>IF(OR($B47="",NOT(ISNUMBER(Settings!$C$9))),"",TRIM(SUBSTITUTE(SUBSTITUTE(INDEX('INPUT - Roster'!$S$1:$SV$206,$B47,Settings!$C$9+0)&amp;"",CHAR(10)," "),CHAR(160)," ")))</f>
        <v/>
      </c>
      <c r="G47">
        <f>IF(OR($B47="",NOT(ISNUMBER(Settings!$C$9))),"",TRIM(SUBSTITUTE(SUBSTITUTE(INDEX('INPUT - Roster'!$S$1:$SV$206,$B47,Settings!$C$9+1)&amp;"",CHAR(10)," "),CHAR(160)," ")))</f>
        <v/>
      </c>
      <c r="H47">
        <f>IF(OR($B47="",NOT(ISNUMBER(Settings!$C$9))),"",TRIM(SUBSTITUTE(SUBSTITUTE(INDEX('INPUT - Roster'!$S$1:$SV$206,$B47,Settings!$C$9+2)&amp;"",CHAR(10)," "),CHAR(160)," ")))</f>
        <v/>
      </c>
      <c r="I47">
        <f>IF(OR($B47="",NOT(ISNUMBER(Settings!$C$9))),"",TRIM(SUBSTITUTE(SUBSTITUTE(INDEX('INPUT - Roster'!$S$1:$SV$206,$B47,Settings!$C$9+3)&amp;"",CHAR(10)," "),CHAR(160)," ")))</f>
        <v/>
      </c>
      <c r="J47">
        <f>IF(OR($B47="",NOT(ISNUMBER(Settings!$C$9))),"",TRIM(SUBSTITUTE(SUBSTITUTE(INDEX('INPUT - Roster'!$S$1:$SV$206,$B47,Settings!$C$9+4)&amp;"",CHAR(10)," "),CHAR(160)," ")))</f>
        <v/>
      </c>
      <c r="K47">
        <f>IF(OR($B47="",NOT(ISNUMBER(Settings!$C$9))),"",TRIM(SUBSTITUTE(SUBSTITUTE(INDEX('INPUT - Roster'!$S$1:$SV$206,$B47,Settings!$C$9+5)&amp;"",CHAR(10)," "),CHAR(160)," ")))</f>
        <v/>
      </c>
      <c r="L47">
        <f>IF(OR($B47="",NOT(ISNUMBER(Settings!$C$9))),"",TRIM(SUBSTITUTE(SUBSTITUTE(INDEX('INPUT - Roster'!$S$1:$SV$206,$B47,Settings!$C$9+6)&amp;"",CHAR(10)," "),CHAR(160)," ")))</f>
        <v/>
      </c>
      <c r="M47">
        <f>IF(OR($B47="",NOT(ISNUMBER(Settings!$C$9))),"",TRIM(SUBSTITUTE(SUBSTITUTE(INDEX('INPUT - Roster'!$S$1:$SV$206,$B47,Settings!$C$9+7)&amp;"",CHAR(10)," "),CHAR(160)," ")))</f>
        <v/>
      </c>
      <c r="N47">
        <f>IF(OR($B47="",NOT(ISNUMBER(Settings!$C$9))),"",TRIM(SUBSTITUTE(SUBSTITUTE(INDEX('INPUT - Roster'!$S$1:$SV$206,$B47,Settings!$C$9+8)&amp;"",CHAR(10)," "),CHAR(160)," ")))</f>
        <v/>
      </c>
      <c r="O47">
        <f>IF(OR($B47="",NOT(ISNUMBER(Settings!$C$9))),"",TRIM(SUBSTITUTE(SUBSTITUTE(INDEX('INPUT - Roster'!$S$1:$SV$206,$B47,Settings!$C$9+9)&amp;"",CHAR(10)," "),CHAR(160)," ")))</f>
        <v/>
      </c>
      <c r="P47">
        <f>IF(OR($B47="",NOT(ISNUMBER(Settings!$C$9))),"",TRIM(SUBSTITUTE(SUBSTITUTE(INDEX('INPUT - Roster'!$S$1:$SV$206,$B47,Settings!$C$9+10)&amp;"",CHAR(10)," "),CHAR(160)," ")))</f>
        <v/>
      </c>
      <c r="Q47">
        <f>IF(OR($B47="",NOT(ISNUMBER(Settings!$C$9))),"",TRIM(SUBSTITUTE(SUBSTITUTE(INDEX('INPUT - Roster'!$S$1:$SV$206,$B47,Settings!$C$9+11)&amp;"",CHAR(10)," "),CHAR(160)," ")))</f>
        <v/>
      </c>
      <c r="R47">
        <f>IF(OR($B47="",NOT(ISNUMBER(Settings!$C$9))),"",TRIM(SUBSTITUTE(SUBSTITUTE(INDEX('INPUT - Roster'!$S$1:$SV$206,$B47,Settings!$C$9+12)&amp;"",CHAR(10)," "),CHAR(160)," ")))</f>
        <v/>
      </c>
      <c r="S47">
        <f>IF(OR($B47="",NOT(ISNUMBER(Settings!$C$9))),"",TRIM(SUBSTITUTE(SUBSTITUTE(INDEX('INPUT - Roster'!$S$1:$SV$206,$B47,Settings!$C$9+13)&amp;"",CHAR(10)," "),CHAR(160)," ")))</f>
        <v/>
      </c>
      <c r="T47">
        <f>IF(OR($B47="",NOT(ISNUMBER(Settings!$C$9))),"",TRIM(SUBSTITUTE(SUBSTITUTE(INDEX('INPUT - Roster'!$S$1:$SV$206,$B47,Settings!$C$9+14)&amp;"",CHAR(10)," "),CHAR(160)," ")))</f>
        <v/>
      </c>
      <c r="U47">
        <f>IF(OR($B47="",NOT(ISNUMBER(Settings!$C$9))),"",TRIM(SUBSTITUTE(SUBSTITUTE(INDEX('INPUT - Roster'!$S$1:$SV$206,$B47,Settings!$C$9+15)&amp;"",CHAR(10)," "),CHAR(160)," ")))</f>
        <v/>
      </c>
      <c r="V47">
        <f>IF(OR($B47="",NOT(ISNUMBER(Settings!$C$9))),"",TRIM(SUBSTITUTE(SUBSTITUTE(INDEX('INPUT - Roster'!$S$1:$SV$206,$B47,Settings!$C$9+16)&amp;"",CHAR(10)," "),CHAR(160)," ")))</f>
        <v/>
      </c>
      <c r="W47">
        <f>IF(OR($B47="",NOT(ISNUMBER(Settings!$C$9))),"",TRIM(SUBSTITUTE(SUBSTITUTE(INDEX('INPUT - Roster'!$S$1:$SV$206,$B47,Settings!$C$9+17)&amp;"",CHAR(10)," "),CHAR(160)," ")))</f>
        <v/>
      </c>
      <c r="X47">
        <f>IF(OR($B47="",NOT(ISNUMBER(Settings!$C$9))),"",TRIM(SUBSTITUTE(SUBSTITUTE(INDEX('INPUT - Roster'!$S$1:$SV$206,$B47,Settings!$C$9+18)&amp;"",CHAR(10)," "),CHAR(160)," ")))</f>
        <v/>
      </c>
      <c r="Y47">
        <f>IF(OR($B47="",NOT(ISNUMBER(Settings!$C$9))),"",TRIM(SUBSTITUTE(SUBSTITUTE(INDEX('INPUT - Roster'!$S$1:$SV$206,$B47,Settings!$C$9+19)&amp;"",CHAR(10)," "),CHAR(160)," ")))</f>
        <v/>
      </c>
      <c r="Z47">
        <f>IF(OR($B47="",NOT(ISNUMBER(Settings!$C$9))),"",TRIM(SUBSTITUTE(SUBSTITUTE(INDEX('INPUT - Roster'!$S$1:$SV$206,$B47,Settings!$C$9+20)&amp;"",CHAR(10)," "),CHAR(160)," ")))</f>
        <v/>
      </c>
      <c r="AA47">
        <f>IF(OR($B47="",NOT(ISNUMBER(Settings!$C$9))),"",TRIM(SUBSTITUTE(SUBSTITUTE(INDEX('INPUT - Roster'!$S$1:$SV$206,$B47,Settings!$C$9+21)&amp;"",CHAR(10)," "),CHAR(160)," ")))</f>
        <v/>
      </c>
      <c r="AB47">
        <f>IF(OR($B47="",NOT(ISNUMBER(Settings!$C$9))),"",TRIM(SUBSTITUTE(SUBSTITUTE(INDEX('INPUT - Roster'!$S$1:$SV$206,$B47,Settings!$C$9+22)&amp;"",CHAR(10)," "),CHAR(160)," ")))</f>
        <v/>
      </c>
      <c r="AC47">
        <f>IF(OR($B47="",NOT(ISNUMBER(Settings!$C$9))),"",TRIM(SUBSTITUTE(SUBSTITUTE(INDEX('INPUT - Roster'!$S$1:$SV$206,$B47,Settings!$C$9+23)&amp;"",CHAR(10)," "),CHAR(160)," ")))</f>
        <v/>
      </c>
      <c r="AD47">
        <f>IF(OR($B47="",NOT(ISNUMBER(Settings!$C$9))),"",TRIM(SUBSTITUTE(SUBSTITUTE(INDEX('INPUT - Roster'!$S$1:$SV$206,$B47,Settings!$C$9+24)&amp;"",CHAR(10)," "),CHAR(160)," ")))</f>
        <v/>
      </c>
      <c r="AE47">
        <f>IF(OR($B47="",NOT(ISNUMBER(Settings!$C$9))),"",TRIM(SUBSTITUTE(SUBSTITUTE(INDEX('INPUT - Roster'!$S$1:$SV$206,$B47,Settings!$C$9+25)&amp;"",CHAR(10)," "),CHAR(160)," ")))</f>
        <v/>
      </c>
      <c r="AF47">
        <f>IF(OR($B47="",NOT(ISNUMBER(Settings!$C$9))),"",TRIM(SUBSTITUTE(SUBSTITUTE(INDEX('INPUT - Roster'!$S$1:$SV$206,$B47,Settings!$C$9+26)&amp;"",CHAR(10)," "),CHAR(160)," ")))</f>
        <v/>
      </c>
      <c r="AG47">
        <f>IF(OR($B47="",NOT(ISNUMBER(Settings!$C$9))),"",TRIM(SUBSTITUTE(SUBSTITUTE(INDEX('INPUT - Roster'!$S$1:$SV$206,$B47,Settings!$C$9+27)&amp;"",CHAR(10)," "),CHAR(160)," ")))</f>
        <v/>
      </c>
      <c r="AI47">
        <f>IF($B47="","",IF(F47="","Not rostered",IFERROR(INDEX(Settings!$C$14:$C$33,MATCH(F47,Settings!$B$14:$B$33,0)),IFERROR(LOOKUP(2^15,SEARCH(Settings!$I$14:$I$83,F47)/(Settings!$I$14:$I$83&lt;&gt;""),Settings!$J$14:$J$83),"Other"))))</f>
        <v/>
      </c>
      <c r="AJ47">
        <f>IF($B47="","",IF(G47="","Not rostered",IFERROR(INDEX(Settings!$C$14:$C$33,MATCH(G47,Settings!$B$14:$B$33,0)),IFERROR(LOOKUP(2^15,SEARCH(Settings!$I$14:$I$83,G47)/(Settings!$I$14:$I$83&lt;&gt;""),Settings!$J$14:$J$83),"Other"))))</f>
        <v/>
      </c>
      <c r="AK47">
        <f>IF($B47="","",IF(H47="","Not rostered",IFERROR(INDEX(Settings!$C$14:$C$33,MATCH(H47,Settings!$B$14:$B$33,0)),IFERROR(LOOKUP(2^15,SEARCH(Settings!$I$14:$I$83,H47)/(Settings!$I$14:$I$83&lt;&gt;""),Settings!$J$14:$J$83),"Other"))))</f>
        <v/>
      </c>
      <c r="AL47">
        <f>IF($B47="","",IF(I47="","Not rostered",IFERROR(INDEX(Settings!$C$14:$C$33,MATCH(I47,Settings!$B$14:$B$33,0)),IFERROR(LOOKUP(2^15,SEARCH(Settings!$I$14:$I$83,I47)/(Settings!$I$14:$I$83&lt;&gt;""),Settings!$J$14:$J$83),"Other"))))</f>
        <v/>
      </c>
      <c r="AM47">
        <f>IF($B47="","",IF(J47="","Not rostered",IFERROR(INDEX(Settings!$C$14:$C$33,MATCH(J47,Settings!$B$14:$B$33,0)),IFERROR(LOOKUP(2^15,SEARCH(Settings!$I$14:$I$83,J47)/(Settings!$I$14:$I$83&lt;&gt;""),Settings!$J$14:$J$83),"Other"))))</f>
        <v/>
      </c>
      <c r="AN47">
        <f>IF($B47="","",IF(K47="","Not rostered",IFERROR(INDEX(Settings!$C$14:$C$33,MATCH(K47,Settings!$B$14:$B$33,0)),IFERROR(LOOKUP(2^15,SEARCH(Settings!$I$14:$I$83,K47)/(Settings!$I$14:$I$83&lt;&gt;""),Settings!$J$14:$J$83),"Other"))))</f>
        <v/>
      </c>
      <c r="AO47">
        <f>IF($B47="","",IF(L47="","Not rostered",IFERROR(INDEX(Settings!$C$14:$C$33,MATCH(L47,Settings!$B$14:$B$33,0)),IFERROR(LOOKUP(2^15,SEARCH(Settings!$I$14:$I$83,L47)/(Settings!$I$14:$I$83&lt;&gt;""),Settings!$J$14:$J$83),"Other"))))</f>
        <v/>
      </c>
      <c r="AP47">
        <f>IF($B47="","",IF(M47="","Not rostered",IFERROR(INDEX(Settings!$C$14:$C$33,MATCH(M47,Settings!$B$14:$B$33,0)),IFERROR(LOOKUP(2^15,SEARCH(Settings!$I$14:$I$83,M47)/(Settings!$I$14:$I$83&lt;&gt;""),Settings!$J$14:$J$83),"Other"))))</f>
        <v/>
      </c>
      <c r="AQ47">
        <f>IF($B47="","",IF(N47="","Not rostered",IFERROR(INDEX(Settings!$C$14:$C$33,MATCH(N47,Settings!$B$14:$B$33,0)),IFERROR(LOOKUP(2^15,SEARCH(Settings!$I$14:$I$83,N47)/(Settings!$I$14:$I$83&lt;&gt;""),Settings!$J$14:$J$83),"Other"))))</f>
        <v/>
      </c>
      <c r="AR47">
        <f>IF($B47="","",IF(O47="","Not rostered",IFERROR(INDEX(Settings!$C$14:$C$33,MATCH(O47,Settings!$B$14:$B$33,0)),IFERROR(LOOKUP(2^15,SEARCH(Settings!$I$14:$I$83,O47)/(Settings!$I$14:$I$83&lt;&gt;""),Settings!$J$14:$J$83),"Other"))))</f>
        <v/>
      </c>
      <c r="AS47">
        <f>IF($B47="","",IF(P47="","Not rostered",IFERROR(INDEX(Settings!$C$14:$C$33,MATCH(P47,Settings!$B$14:$B$33,0)),IFERROR(LOOKUP(2^15,SEARCH(Settings!$I$14:$I$83,P47)/(Settings!$I$14:$I$83&lt;&gt;""),Settings!$J$14:$J$83),"Other"))))</f>
        <v/>
      </c>
      <c r="AT47">
        <f>IF($B47="","",IF(Q47="","Not rostered",IFERROR(INDEX(Settings!$C$14:$C$33,MATCH(Q47,Settings!$B$14:$B$33,0)),IFERROR(LOOKUP(2^15,SEARCH(Settings!$I$14:$I$83,Q47)/(Settings!$I$14:$I$83&lt;&gt;""),Settings!$J$14:$J$83),"Other"))))</f>
        <v/>
      </c>
      <c r="AU47">
        <f>IF($B47="","",IF(R47="","Not rostered",IFERROR(INDEX(Settings!$C$14:$C$33,MATCH(R47,Settings!$B$14:$B$33,0)),IFERROR(LOOKUP(2^15,SEARCH(Settings!$I$14:$I$83,R47)/(Settings!$I$14:$I$83&lt;&gt;""),Settings!$J$14:$J$83),"Other"))))</f>
        <v/>
      </c>
      <c r="AV47">
        <f>IF($B47="","",IF(S47="","Not rostered",IFERROR(INDEX(Settings!$C$14:$C$33,MATCH(S47,Settings!$B$14:$B$33,0)),IFERROR(LOOKUP(2^15,SEARCH(Settings!$I$14:$I$83,S47)/(Settings!$I$14:$I$83&lt;&gt;""),Settings!$J$14:$J$83),"Other"))))</f>
        <v/>
      </c>
      <c r="AW47">
        <f>IF($B47="","",IF(T47="","Not rostered",IFERROR(INDEX(Settings!$C$14:$C$33,MATCH(T47,Settings!$B$14:$B$33,0)),IFERROR(LOOKUP(2^15,SEARCH(Settings!$I$14:$I$83,T47)/(Settings!$I$14:$I$83&lt;&gt;""),Settings!$J$14:$J$83),"Other"))))</f>
        <v/>
      </c>
      <c r="AX47">
        <f>IF($B47="","",IF(U47="","Not rostered",IFERROR(INDEX(Settings!$C$14:$C$33,MATCH(U47,Settings!$B$14:$B$33,0)),IFERROR(LOOKUP(2^15,SEARCH(Settings!$I$14:$I$83,U47)/(Settings!$I$14:$I$83&lt;&gt;""),Settings!$J$14:$J$83),"Other"))))</f>
        <v/>
      </c>
      <c r="AY47">
        <f>IF($B47="","",IF(V47="","Not rostered",IFERROR(INDEX(Settings!$C$14:$C$33,MATCH(V47,Settings!$B$14:$B$33,0)),IFERROR(LOOKUP(2^15,SEARCH(Settings!$I$14:$I$83,V47)/(Settings!$I$14:$I$83&lt;&gt;""),Settings!$J$14:$J$83),"Other"))))</f>
        <v/>
      </c>
      <c r="AZ47">
        <f>IF($B47="","",IF(W47="","Not rostered",IFERROR(INDEX(Settings!$C$14:$C$33,MATCH(W47,Settings!$B$14:$B$33,0)),IFERROR(LOOKUP(2^15,SEARCH(Settings!$I$14:$I$83,W47)/(Settings!$I$14:$I$83&lt;&gt;""),Settings!$J$14:$J$83),"Other"))))</f>
        <v/>
      </c>
      <c r="BA47">
        <f>IF($B47="","",IF(X47="","Not rostered",IFERROR(INDEX(Settings!$C$14:$C$33,MATCH(X47,Settings!$B$14:$B$33,0)),IFERROR(LOOKUP(2^15,SEARCH(Settings!$I$14:$I$83,X47)/(Settings!$I$14:$I$83&lt;&gt;""),Settings!$J$14:$J$83),"Other"))))</f>
        <v/>
      </c>
      <c r="BB47">
        <f>IF($B47="","",IF(Y47="","Not rostered",IFERROR(INDEX(Settings!$C$14:$C$33,MATCH(Y47,Settings!$B$14:$B$33,0)),IFERROR(LOOKUP(2^15,SEARCH(Settings!$I$14:$I$83,Y47)/(Settings!$I$14:$I$83&lt;&gt;""),Settings!$J$14:$J$83),"Other"))))</f>
        <v/>
      </c>
      <c r="BC47">
        <f>IF($B47="","",IF(Z47="","Not rostered",IFERROR(INDEX(Settings!$C$14:$C$33,MATCH(Z47,Settings!$B$14:$B$33,0)),IFERROR(LOOKUP(2^15,SEARCH(Settings!$I$14:$I$83,Z47)/(Settings!$I$14:$I$83&lt;&gt;""),Settings!$J$14:$J$83),"Other"))))</f>
        <v/>
      </c>
      <c r="BD47">
        <f>IF($B47="","",IF(AA47="","Not rostered",IFERROR(INDEX(Settings!$C$14:$C$33,MATCH(AA47,Settings!$B$14:$B$33,0)),IFERROR(LOOKUP(2^15,SEARCH(Settings!$I$14:$I$83,AA47)/(Settings!$I$14:$I$83&lt;&gt;""),Settings!$J$14:$J$83),"Other"))))</f>
        <v/>
      </c>
      <c r="BE47">
        <f>IF($B47="","",IF(AB47="","Not rostered",IFERROR(INDEX(Settings!$C$14:$C$33,MATCH(AB47,Settings!$B$14:$B$33,0)),IFERROR(LOOKUP(2^15,SEARCH(Settings!$I$14:$I$83,AB47)/(Settings!$I$14:$I$83&lt;&gt;""),Settings!$J$14:$J$83),"Other"))))</f>
        <v/>
      </c>
      <c r="BF47">
        <f>IF($B47="","",IF(AC47="","Not rostered",IFERROR(INDEX(Settings!$C$14:$C$33,MATCH(AC47,Settings!$B$14:$B$33,0)),IFERROR(LOOKUP(2^15,SEARCH(Settings!$I$14:$I$83,AC47)/(Settings!$I$14:$I$83&lt;&gt;""),Settings!$J$14:$J$83),"Other"))))</f>
        <v/>
      </c>
      <c r="BG47">
        <f>IF($B47="","",IF(AD47="","Not rostered",IFERROR(INDEX(Settings!$C$14:$C$33,MATCH(AD47,Settings!$B$14:$B$33,0)),IFERROR(LOOKUP(2^15,SEARCH(Settings!$I$14:$I$83,AD47)/(Settings!$I$14:$I$83&lt;&gt;""),Settings!$J$14:$J$83),"Other"))))</f>
        <v/>
      </c>
      <c r="BH47">
        <f>IF($B47="","",IF(AE47="","Not rostered",IFERROR(INDEX(Settings!$C$14:$C$33,MATCH(AE47,Settings!$B$14:$B$33,0)),IFERROR(LOOKUP(2^15,SEARCH(Settings!$I$14:$I$83,AE47)/(Settings!$I$14:$I$83&lt;&gt;""),Settings!$J$14:$J$83),"Other"))))</f>
        <v/>
      </c>
      <c r="BI47">
        <f>IF($B47="","",IF(AF47="","Not rostered",IFERROR(INDEX(Settings!$C$14:$C$33,MATCH(AF47,Settings!$B$14:$B$33,0)),IFERROR(LOOKUP(2^15,SEARCH(Settings!$I$14:$I$83,AF47)/(Settings!$I$14:$I$83&lt;&gt;""),Settings!$J$14:$J$83),"Other"))))</f>
        <v/>
      </c>
      <c r="BJ47">
        <f>IF($B47="","",IF(AG47="","Not rostered",IFERROR(INDEX(Settings!$C$14:$C$33,MATCH(AG47,Settings!$B$14:$B$33,0)),IFERROR(LOOKUP(2^15,SEARCH(Settings!$I$14:$I$83,AG47)/(Settings!$I$14:$I$83&lt;&gt;""),Settings!$J$14:$J$83),"Other"))))</f>
        <v/>
      </c>
      <c r="BL47">
        <f>IF(OR($B47="",F47=""),"",IFERROR(INDEX(Settings!$D$14:$D$33,MATCH(F47,Settings!$B$14:$B$33,0))&amp;"",IFERROR(LOOKUP(2^15,SEARCH(Settings!$F$14:$F$43,F47)/(Settings!$F$14:$F$43&lt;&gt;""),Settings!$G$14:$G$43),"")))</f>
        <v/>
      </c>
      <c r="BM47">
        <f>IF(OR($B47="",G47=""),"",IFERROR(INDEX(Settings!$D$14:$D$33,MATCH(G47,Settings!$B$14:$B$33,0))&amp;"",IFERROR(LOOKUP(2^15,SEARCH(Settings!$F$14:$F$43,G47)/(Settings!$F$14:$F$43&lt;&gt;""),Settings!$G$14:$G$43),"")))</f>
        <v/>
      </c>
      <c r="BN47">
        <f>IF(OR($B47="",H47=""),"",IFERROR(INDEX(Settings!$D$14:$D$33,MATCH(H47,Settings!$B$14:$B$33,0))&amp;"",IFERROR(LOOKUP(2^15,SEARCH(Settings!$F$14:$F$43,H47)/(Settings!$F$14:$F$43&lt;&gt;""),Settings!$G$14:$G$43),"")))</f>
        <v/>
      </c>
      <c r="BO47">
        <f>IF(OR($B47="",I47=""),"",IFERROR(INDEX(Settings!$D$14:$D$33,MATCH(I47,Settings!$B$14:$B$33,0))&amp;"",IFERROR(LOOKUP(2^15,SEARCH(Settings!$F$14:$F$43,I47)/(Settings!$F$14:$F$43&lt;&gt;""),Settings!$G$14:$G$43),"")))</f>
        <v/>
      </c>
      <c r="BP47">
        <f>IF(OR($B47="",J47=""),"",IFERROR(INDEX(Settings!$D$14:$D$33,MATCH(J47,Settings!$B$14:$B$33,0))&amp;"",IFERROR(LOOKUP(2^15,SEARCH(Settings!$F$14:$F$43,J47)/(Settings!$F$14:$F$43&lt;&gt;""),Settings!$G$14:$G$43),"")))</f>
        <v/>
      </c>
      <c r="BQ47">
        <f>IF(OR($B47="",K47=""),"",IFERROR(INDEX(Settings!$D$14:$D$33,MATCH(K47,Settings!$B$14:$B$33,0))&amp;"",IFERROR(LOOKUP(2^15,SEARCH(Settings!$F$14:$F$43,K47)/(Settings!$F$14:$F$43&lt;&gt;""),Settings!$G$14:$G$43),"")))</f>
        <v/>
      </c>
      <c r="BR47">
        <f>IF(OR($B47="",L47=""),"",IFERROR(INDEX(Settings!$D$14:$D$33,MATCH(L47,Settings!$B$14:$B$33,0))&amp;"",IFERROR(LOOKUP(2^15,SEARCH(Settings!$F$14:$F$43,L47)/(Settings!$F$14:$F$43&lt;&gt;""),Settings!$G$14:$G$43),"")))</f>
        <v/>
      </c>
      <c r="BS47">
        <f>IF(OR($B47="",M47=""),"",IFERROR(INDEX(Settings!$D$14:$D$33,MATCH(M47,Settings!$B$14:$B$33,0))&amp;"",IFERROR(LOOKUP(2^15,SEARCH(Settings!$F$14:$F$43,M47)/(Settings!$F$14:$F$43&lt;&gt;""),Settings!$G$14:$G$43),"")))</f>
        <v/>
      </c>
      <c r="BT47">
        <f>IF(OR($B47="",N47=""),"",IFERROR(INDEX(Settings!$D$14:$D$33,MATCH(N47,Settings!$B$14:$B$33,0))&amp;"",IFERROR(LOOKUP(2^15,SEARCH(Settings!$F$14:$F$43,N47)/(Settings!$F$14:$F$43&lt;&gt;""),Settings!$G$14:$G$43),"")))</f>
        <v/>
      </c>
      <c r="BU47">
        <f>IF(OR($B47="",O47=""),"",IFERROR(INDEX(Settings!$D$14:$D$33,MATCH(O47,Settings!$B$14:$B$33,0))&amp;"",IFERROR(LOOKUP(2^15,SEARCH(Settings!$F$14:$F$43,O47)/(Settings!$F$14:$F$43&lt;&gt;""),Settings!$G$14:$G$43),"")))</f>
        <v/>
      </c>
      <c r="BV47">
        <f>IF(OR($B47="",P47=""),"",IFERROR(INDEX(Settings!$D$14:$D$33,MATCH(P47,Settings!$B$14:$B$33,0))&amp;"",IFERROR(LOOKUP(2^15,SEARCH(Settings!$F$14:$F$43,P47)/(Settings!$F$14:$F$43&lt;&gt;""),Settings!$G$14:$G$43),"")))</f>
        <v/>
      </c>
      <c r="BW47">
        <f>IF(OR($B47="",Q47=""),"",IFERROR(INDEX(Settings!$D$14:$D$33,MATCH(Q47,Settings!$B$14:$B$33,0))&amp;"",IFERROR(LOOKUP(2^15,SEARCH(Settings!$F$14:$F$43,Q47)/(Settings!$F$14:$F$43&lt;&gt;""),Settings!$G$14:$G$43),"")))</f>
        <v/>
      </c>
      <c r="BX47">
        <f>IF(OR($B47="",R47=""),"",IFERROR(INDEX(Settings!$D$14:$D$33,MATCH(R47,Settings!$B$14:$B$33,0))&amp;"",IFERROR(LOOKUP(2^15,SEARCH(Settings!$F$14:$F$43,R47)/(Settings!$F$14:$F$43&lt;&gt;""),Settings!$G$14:$G$43),"")))</f>
        <v/>
      </c>
      <c r="BY47">
        <f>IF(OR($B47="",S47=""),"",IFERROR(INDEX(Settings!$D$14:$D$33,MATCH(S47,Settings!$B$14:$B$33,0))&amp;"",IFERROR(LOOKUP(2^15,SEARCH(Settings!$F$14:$F$43,S47)/(Settings!$F$14:$F$43&lt;&gt;""),Settings!$G$14:$G$43),"")))</f>
        <v/>
      </c>
      <c r="BZ47">
        <f>IF(OR($B47="",T47=""),"",IFERROR(INDEX(Settings!$D$14:$D$33,MATCH(T47,Settings!$B$14:$B$33,0))&amp;"",IFERROR(LOOKUP(2^15,SEARCH(Settings!$F$14:$F$43,T47)/(Settings!$F$14:$F$43&lt;&gt;""),Settings!$G$14:$G$43),"")))</f>
        <v/>
      </c>
      <c r="CA47">
        <f>IF(OR($B47="",U47=""),"",IFERROR(INDEX(Settings!$D$14:$D$33,MATCH(U47,Settings!$B$14:$B$33,0))&amp;"",IFERROR(LOOKUP(2^15,SEARCH(Settings!$F$14:$F$43,U47)/(Settings!$F$14:$F$43&lt;&gt;""),Settings!$G$14:$G$43),"")))</f>
        <v/>
      </c>
      <c r="CB47">
        <f>IF(OR($B47="",V47=""),"",IFERROR(INDEX(Settings!$D$14:$D$33,MATCH(V47,Settings!$B$14:$B$33,0))&amp;"",IFERROR(LOOKUP(2^15,SEARCH(Settings!$F$14:$F$43,V47)/(Settings!$F$14:$F$43&lt;&gt;""),Settings!$G$14:$G$43),"")))</f>
        <v/>
      </c>
      <c r="CC47">
        <f>IF(OR($B47="",W47=""),"",IFERROR(INDEX(Settings!$D$14:$D$33,MATCH(W47,Settings!$B$14:$B$33,0))&amp;"",IFERROR(LOOKUP(2^15,SEARCH(Settings!$F$14:$F$43,W47)/(Settings!$F$14:$F$43&lt;&gt;""),Settings!$G$14:$G$43),"")))</f>
        <v/>
      </c>
      <c r="CD47">
        <f>IF(OR($B47="",X47=""),"",IFERROR(INDEX(Settings!$D$14:$D$33,MATCH(X47,Settings!$B$14:$B$33,0))&amp;"",IFERROR(LOOKUP(2^15,SEARCH(Settings!$F$14:$F$43,X47)/(Settings!$F$14:$F$43&lt;&gt;""),Settings!$G$14:$G$43),"")))</f>
        <v/>
      </c>
      <c r="CE47">
        <f>IF(OR($B47="",Y47=""),"",IFERROR(INDEX(Settings!$D$14:$D$33,MATCH(Y47,Settings!$B$14:$B$33,0))&amp;"",IFERROR(LOOKUP(2^15,SEARCH(Settings!$F$14:$F$43,Y47)/(Settings!$F$14:$F$43&lt;&gt;""),Settings!$G$14:$G$43),"")))</f>
        <v/>
      </c>
      <c r="CF47">
        <f>IF(OR($B47="",Z47=""),"",IFERROR(INDEX(Settings!$D$14:$D$33,MATCH(Z47,Settings!$B$14:$B$33,0))&amp;"",IFERROR(LOOKUP(2^15,SEARCH(Settings!$F$14:$F$43,Z47)/(Settings!$F$14:$F$43&lt;&gt;""),Settings!$G$14:$G$43),"")))</f>
        <v/>
      </c>
      <c r="CG47">
        <f>IF(OR($B47="",AA47=""),"",IFERROR(INDEX(Settings!$D$14:$D$33,MATCH(AA47,Settings!$B$14:$B$33,0))&amp;"",IFERROR(LOOKUP(2^15,SEARCH(Settings!$F$14:$F$43,AA47)/(Settings!$F$14:$F$43&lt;&gt;""),Settings!$G$14:$G$43),"")))</f>
        <v/>
      </c>
      <c r="CH47">
        <f>IF(OR($B47="",AB47=""),"",IFERROR(INDEX(Settings!$D$14:$D$33,MATCH(AB47,Settings!$B$14:$B$33,0))&amp;"",IFERROR(LOOKUP(2^15,SEARCH(Settings!$F$14:$F$43,AB47)/(Settings!$F$14:$F$43&lt;&gt;""),Settings!$G$14:$G$43),"")))</f>
        <v/>
      </c>
      <c r="CI47">
        <f>IF(OR($B47="",AC47=""),"",IFERROR(INDEX(Settings!$D$14:$D$33,MATCH(AC47,Settings!$B$14:$B$33,0))&amp;"",IFERROR(LOOKUP(2^15,SEARCH(Settings!$F$14:$F$43,AC47)/(Settings!$F$14:$F$43&lt;&gt;""),Settings!$G$14:$G$43),"")))</f>
        <v/>
      </c>
      <c r="CJ47">
        <f>IF(OR($B47="",AD47=""),"",IFERROR(INDEX(Settings!$D$14:$D$33,MATCH(AD47,Settings!$B$14:$B$33,0))&amp;"",IFERROR(LOOKUP(2^15,SEARCH(Settings!$F$14:$F$43,AD47)/(Settings!$F$14:$F$43&lt;&gt;""),Settings!$G$14:$G$43),"")))</f>
        <v/>
      </c>
      <c r="CK47">
        <f>IF(OR($B47="",AE47=""),"",IFERROR(INDEX(Settings!$D$14:$D$33,MATCH(AE47,Settings!$B$14:$B$33,0))&amp;"",IFERROR(LOOKUP(2^15,SEARCH(Settings!$F$14:$F$43,AE47)/(Settings!$F$14:$F$43&lt;&gt;""),Settings!$G$14:$G$43),"")))</f>
        <v/>
      </c>
      <c r="CL47">
        <f>IF(OR($B47="",AF47=""),"",IFERROR(INDEX(Settings!$D$14:$D$33,MATCH(AF47,Settings!$B$14:$B$33,0))&amp;"",IFERROR(LOOKUP(2^15,SEARCH(Settings!$F$14:$F$43,AF47)/(Settings!$F$14:$F$43&lt;&gt;""),Settings!$G$14:$G$43),"")))</f>
        <v/>
      </c>
      <c r="CM47">
        <f>IF(OR($B47="",AG47=""),"",IFERROR(INDEX(Settings!$D$14:$D$33,MATCH(AG47,Settings!$B$14:$B$33,0))&amp;"",IFERROR(LOOKUP(2^15,SEARCH(Settings!$F$14:$F$43,AG47)/(Settings!$F$14:$F$43&lt;&gt;""),Settings!$G$14:$G$43),"")))</f>
        <v/>
      </c>
    </row>
    <row r="48">
      <c r="A48" t="n">
        <v>46</v>
      </c>
      <c r="B48">
        <f>IFERROR(INDEX(Index!$A$2:$A$202,MATCH(A48,Index!$E$2:$E$202,0)),"")</f>
        <v/>
      </c>
      <c r="D48">
        <f>IF($B48="","",IFERROR(MATCH("Travel*",AI48:BJ48,0),""))</f>
        <v/>
      </c>
      <c r="F48">
        <f>IF(OR($B48="",NOT(ISNUMBER(Settings!$C$9))),"",TRIM(SUBSTITUTE(SUBSTITUTE(INDEX('INPUT - Roster'!$S$1:$SV$206,$B48,Settings!$C$9+0)&amp;"",CHAR(10)," "),CHAR(160)," ")))</f>
        <v/>
      </c>
      <c r="G48">
        <f>IF(OR($B48="",NOT(ISNUMBER(Settings!$C$9))),"",TRIM(SUBSTITUTE(SUBSTITUTE(INDEX('INPUT - Roster'!$S$1:$SV$206,$B48,Settings!$C$9+1)&amp;"",CHAR(10)," "),CHAR(160)," ")))</f>
        <v/>
      </c>
      <c r="H48">
        <f>IF(OR($B48="",NOT(ISNUMBER(Settings!$C$9))),"",TRIM(SUBSTITUTE(SUBSTITUTE(INDEX('INPUT - Roster'!$S$1:$SV$206,$B48,Settings!$C$9+2)&amp;"",CHAR(10)," "),CHAR(160)," ")))</f>
        <v/>
      </c>
      <c r="I48">
        <f>IF(OR($B48="",NOT(ISNUMBER(Settings!$C$9))),"",TRIM(SUBSTITUTE(SUBSTITUTE(INDEX('INPUT - Roster'!$S$1:$SV$206,$B48,Settings!$C$9+3)&amp;"",CHAR(10)," "),CHAR(160)," ")))</f>
        <v/>
      </c>
      <c r="J48">
        <f>IF(OR($B48="",NOT(ISNUMBER(Settings!$C$9))),"",TRIM(SUBSTITUTE(SUBSTITUTE(INDEX('INPUT - Roster'!$S$1:$SV$206,$B48,Settings!$C$9+4)&amp;"",CHAR(10)," "),CHAR(160)," ")))</f>
        <v/>
      </c>
      <c r="K48">
        <f>IF(OR($B48="",NOT(ISNUMBER(Settings!$C$9))),"",TRIM(SUBSTITUTE(SUBSTITUTE(INDEX('INPUT - Roster'!$S$1:$SV$206,$B48,Settings!$C$9+5)&amp;"",CHAR(10)," "),CHAR(160)," ")))</f>
        <v/>
      </c>
      <c r="L48">
        <f>IF(OR($B48="",NOT(ISNUMBER(Settings!$C$9))),"",TRIM(SUBSTITUTE(SUBSTITUTE(INDEX('INPUT - Roster'!$S$1:$SV$206,$B48,Settings!$C$9+6)&amp;"",CHAR(10)," "),CHAR(160)," ")))</f>
        <v/>
      </c>
      <c r="M48">
        <f>IF(OR($B48="",NOT(ISNUMBER(Settings!$C$9))),"",TRIM(SUBSTITUTE(SUBSTITUTE(INDEX('INPUT - Roster'!$S$1:$SV$206,$B48,Settings!$C$9+7)&amp;"",CHAR(10)," "),CHAR(160)," ")))</f>
        <v/>
      </c>
      <c r="N48">
        <f>IF(OR($B48="",NOT(ISNUMBER(Settings!$C$9))),"",TRIM(SUBSTITUTE(SUBSTITUTE(INDEX('INPUT - Roster'!$S$1:$SV$206,$B48,Settings!$C$9+8)&amp;"",CHAR(10)," "),CHAR(160)," ")))</f>
        <v/>
      </c>
      <c r="O48">
        <f>IF(OR($B48="",NOT(ISNUMBER(Settings!$C$9))),"",TRIM(SUBSTITUTE(SUBSTITUTE(INDEX('INPUT - Roster'!$S$1:$SV$206,$B48,Settings!$C$9+9)&amp;"",CHAR(10)," "),CHAR(160)," ")))</f>
        <v/>
      </c>
      <c r="P48">
        <f>IF(OR($B48="",NOT(ISNUMBER(Settings!$C$9))),"",TRIM(SUBSTITUTE(SUBSTITUTE(INDEX('INPUT - Roster'!$S$1:$SV$206,$B48,Settings!$C$9+10)&amp;"",CHAR(10)," "),CHAR(160)," ")))</f>
        <v/>
      </c>
      <c r="Q48">
        <f>IF(OR($B48="",NOT(ISNUMBER(Settings!$C$9))),"",TRIM(SUBSTITUTE(SUBSTITUTE(INDEX('INPUT - Roster'!$S$1:$SV$206,$B48,Settings!$C$9+11)&amp;"",CHAR(10)," "),CHAR(160)," ")))</f>
        <v/>
      </c>
      <c r="R48">
        <f>IF(OR($B48="",NOT(ISNUMBER(Settings!$C$9))),"",TRIM(SUBSTITUTE(SUBSTITUTE(INDEX('INPUT - Roster'!$S$1:$SV$206,$B48,Settings!$C$9+12)&amp;"",CHAR(10)," "),CHAR(160)," ")))</f>
        <v/>
      </c>
      <c r="S48">
        <f>IF(OR($B48="",NOT(ISNUMBER(Settings!$C$9))),"",TRIM(SUBSTITUTE(SUBSTITUTE(INDEX('INPUT - Roster'!$S$1:$SV$206,$B48,Settings!$C$9+13)&amp;"",CHAR(10)," "),CHAR(160)," ")))</f>
        <v/>
      </c>
      <c r="T48">
        <f>IF(OR($B48="",NOT(ISNUMBER(Settings!$C$9))),"",TRIM(SUBSTITUTE(SUBSTITUTE(INDEX('INPUT - Roster'!$S$1:$SV$206,$B48,Settings!$C$9+14)&amp;"",CHAR(10)," "),CHAR(160)," ")))</f>
        <v/>
      </c>
      <c r="U48">
        <f>IF(OR($B48="",NOT(ISNUMBER(Settings!$C$9))),"",TRIM(SUBSTITUTE(SUBSTITUTE(INDEX('INPUT - Roster'!$S$1:$SV$206,$B48,Settings!$C$9+15)&amp;"",CHAR(10)," "),CHAR(160)," ")))</f>
        <v/>
      </c>
      <c r="V48">
        <f>IF(OR($B48="",NOT(ISNUMBER(Settings!$C$9))),"",TRIM(SUBSTITUTE(SUBSTITUTE(INDEX('INPUT - Roster'!$S$1:$SV$206,$B48,Settings!$C$9+16)&amp;"",CHAR(10)," "),CHAR(160)," ")))</f>
        <v/>
      </c>
      <c r="W48">
        <f>IF(OR($B48="",NOT(ISNUMBER(Settings!$C$9))),"",TRIM(SUBSTITUTE(SUBSTITUTE(INDEX('INPUT - Roster'!$S$1:$SV$206,$B48,Settings!$C$9+17)&amp;"",CHAR(10)," "),CHAR(160)," ")))</f>
        <v/>
      </c>
      <c r="X48">
        <f>IF(OR($B48="",NOT(ISNUMBER(Settings!$C$9))),"",TRIM(SUBSTITUTE(SUBSTITUTE(INDEX('INPUT - Roster'!$S$1:$SV$206,$B48,Settings!$C$9+18)&amp;"",CHAR(10)," "),CHAR(160)," ")))</f>
        <v/>
      </c>
      <c r="Y48">
        <f>IF(OR($B48="",NOT(ISNUMBER(Settings!$C$9))),"",TRIM(SUBSTITUTE(SUBSTITUTE(INDEX('INPUT - Roster'!$S$1:$SV$206,$B48,Settings!$C$9+19)&amp;"",CHAR(10)," "),CHAR(160)," ")))</f>
        <v/>
      </c>
      <c r="Z48">
        <f>IF(OR($B48="",NOT(ISNUMBER(Settings!$C$9))),"",TRIM(SUBSTITUTE(SUBSTITUTE(INDEX('INPUT - Roster'!$S$1:$SV$206,$B48,Settings!$C$9+20)&amp;"",CHAR(10)," "),CHAR(160)," ")))</f>
        <v/>
      </c>
      <c r="AA48">
        <f>IF(OR($B48="",NOT(ISNUMBER(Settings!$C$9))),"",TRIM(SUBSTITUTE(SUBSTITUTE(INDEX('INPUT - Roster'!$S$1:$SV$206,$B48,Settings!$C$9+21)&amp;"",CHAR(10)," "),CHAR(160)," ")))</f>
        <v/>
      </c>
      <c r="AB48">
        <f>IF(OR($B48="",NOT(ISNUMBER(Settings!$C$9))),"",TRIM(SUBSTITUTE(SUBSTITUTE(INDEX('INPUT - Roster'!$S$1:$SV$206,$B48,Settings!$C$9+22)&amp;"",CHAR(10)," "),CHAR(160)," ")))</f>
        <v/>
      </c>
      <c r="AC48">
        <f>IF(OR($B48="",NOT(ISNUMBER(Settings!$C$9))),"",TRIM(SUBSTITUTE(SUBSTITUTE(INDEX('INPUT - Roster'!$S$1:$SV$206,$B48,Settings!$C$9+23)&amp;"",CHAR(10)," "),CHAR(160)," ")))</f>
        <v/>
      </c>
      <c r="AD48">
        <f>IF(OR($B48="",NOT(ISNUMBER(Settings!$C$9))),"",TRIM(SUBSTITUTE(SUBSTITUTE(INDEX('INPUT - Roster'!$S$1:$SV$206,$B48,Settings!$C$9+24)&amp;"",CHAR(10)," "),CHAR(160)," ")))</f>
        <v/>
      </c>
      <c r="AE48">
        <f>IF(OR($B48="",NOT(ISNUMBER(Settings!$C$9))),"",TRIM(SUBSTITUTE(SUBSTITUTE(INDEX('INPUT - Roster'!$S$1:$SV$206,$B48,Settings!$C$9+25)&amp;"",CHAR(10)," "),CHAR(160)," ")))</f>
        <v/>
      </c>
      <c r="AF48">
        <f>IF(OR($B48="",NOT(ISNUMBER(Settings!$C$9))),"",TRIM(SUBSTITUTE(SUBSTITUTE(INDEX('INPUT - Roster'!$S$1:$SV$206,$B48,Settings!$C$9+26)&amp;"",CHAR(10)," "),CHAR(160)," ")))</f>
        <v/>
      </c>
      <c r="AG48">
        <f>IF(OR($B48="",NOT(ISNUMBER(Settings!$C$9))),"",TRIM(SUBSTITUTE(SUBSTITUTE(INDEX('INPUT - Roster'!$S$1:$SV$206,$B48,Settings!$C$9+27)&amp;"",CHAR(10)," "),CHAR(160)," ")))</f>
        <v/>
      </c>
      <c r="AI48">
        <f>IF($B48="","",IF(F48="","Not rostered",IFERROR(INDEX(Settings!$C$14:$C$33,MATCH(F48,Settings!$B$14:$B$33,0)),IFERROR(LOOKUP(2^15,SEARCH(Settings!$I$14:$I$83,F48)/(Settings!$I$14:$I$83&lt;&gt;""),Settings!$J$14:$J$83),"Other"))))</f>
        <v/>
      </c>
      <c r="AJ48">
        <f>IF($B48="","",IF(G48="","Not rostered",IFERROR(INDEX(Settings!$C$14:$C$33,MATCH(G48,Settings!$B$14:$B$33,0)),IFERROR(LOOKUP(2^15,SEARCH(Settings!$I$14:$I$83,G48)/(Settings!$I$14:$I$83&lt;&gt;""),Settings!$J$14:$J$83),"Other"))))</f>
        <v/>
      </c>
      <c r="AK48">
        <f>IF($B48="","",IF(H48="","Not rostered",IFERROR(INDEX(Settings!$C$14:$C$33,MATCH(H48,Settings!$B$14:$B$33,0)),IFERROR(LOOKUP(2^15,SEARCH(Settings!$I$14:$I$83,H48)/(Settings!$I$14:$I$83&lt;&gt;""),Settings!$J$14:$J$83),"Other"))))</f>
        <v/>
      </c>
      <c r="AL48">
        <f>IF($B48="","",IF(I48="","Not rostered",IFERROR(INDEX(Settings!$C$14:$C$33,MATCH(I48,Settings!$B$14:$B$33,0)),IFERROR(LOOKUP(2^15,SEARCH(Settings!$I$14:$I$83,I48)/(Settings!$I$14:$I$83&lt;&gt;""),Settings!$J$14:$J$83),"Other"))))</f>
        <v/>
      </c>
      <c r="AM48">
        <f>IF($B48="","",IF(J48="","Not rostered",IFERROR(INDEX(Settings!$C$14:$C$33,MATCH(J48,Settings!$B$14:$B$33,0)),IFERROR(LOOKUP(2^15,SEARCH(Settings!$I$14:$I$83,J48)/(Settings!$I$14:$I$83&lt;&gt;""),Settings!$J$14:$J$83),"Other"))))</f>
        <v/>
      </c>
      <c r="AN48">
        <f>IF($B48="","",IF(K48="","Not rostered",IFERROR(INDEX(Settings!$C$14:$C$33,MATCH(K48,Settings!$B$14:$B$33,0)),IFERROR(LOOKUP(2^15,SEARCH(Settings!$I$14:$I$83,K48)/(Settings!$I$14:$I$83&lt;&gt;""),Settings!$J$14:$J$83),"Other"))))</f>
        <v/>
      </c>
      <c r="AO48">
        <f>IF($B48="","",IF(L48="","Not rostered",IFERROR(INDEX(Settings!$C$14:$C$33,MATCH(L48,Settings!$B$14:$B$33,0)),IFERROR(LOOKUP(2^15,SEARCH(Settings!$I$14:$I$83,L48)/(Settings!$I$14:$I$83&lt;&gt;""),Settings!$J$14:$J$83),"Other"))))</f>
        <v/>
      </c>
      <c r="AP48">
        <f>IF($B48="","",IF(M48="","Not rostered",IFERROR(INDEX(Settings!$C$14:$C$33,MATCH(M48,Settings!$B$14:$B$33,0)),IFERROR(LOOKUP(2^15,SEARCH(Settings!$I$14:$I$83,M48)/(Settings!$I$14:$I$83&lt;&gt;""),Settings!$J$14:$J$83),"Other"))))</f>
        <v/>
      </c>
      <c r="AQ48">
        <f>IF($B48="","",IF(N48="","Not rostered",IFERROR(INDEX(Settings!$C$14:$C$33,MATCH(N48,Settings!$B$14:$B$33,0)),IFERROR(LOOKUP(2^15,SEARCH(Settings!$I$14:$I$83,N48)/(Settings!$I$14:$I$83&lt;&gt;""),Settings!$J$14:$J$83),"Other"))))</f>
        <v/>
      </c>
      <c r="AR48">
        <f>IF($B48="","",IF(O48="","Not rostered",IFERROR(INDEX(Settings!$C$14:$C$33,MATCH(O48,Settings!$B$14:$B$33,0)),IFERROR(LOOKUP(2^15,SEARCH(Settings!$I$14:$I$83,O48)/(Settings!$I$14:$I$83&lt;&gt;""),Settings!$J$14:$J$83),"Other"))))</f>
        <v/>
      </c>
      <c r="AS48">
        <f>IF($B48="","",IF(P48="","Not rostered",IFERROR(INDEX(Settings!$C$14:$C$33,MATCH(P48,Settings!$B$14:$B$33,0)),IFERROR(LOOKUP(2^15,SEARCH(Settings!$I$14:$I$83,P48)/(Settings!$I$14:$I$83&lt;&gt;""),Settings!$J$14:$J$83),"Other"))))</f>
        <v/>
      </c>
      <c r="AT48">
        <f>IF($B48="","",IF(Q48="","Not rostered",IFERROR(INDEX(Settings!$C$14:$C$33,MATCH(Q48,Settings!$B$14:$B$33,0)),IFERROR(LOOKUP(2^15,SEARCH(Settings!$I$14:$I$83,Q48)/(Settings!$I$14:$I$83&lt;&gt;""),Settings!$J$14:$J$83),"Other"))))</f>
        <v/>
      </c>
      <c r="AU48">
        <f>IF($B48="","",IF(R48="","Not rostered",IFERROR(INDEX(Settings!$C$14:$C$33,MATCH(R48,Settings!$B$14:$B$33,0)),IFERROR(LOOKUP(2^15,SEARCH(Settings!$I$14:$I$83,R48)/(Settings!$I$14:$I$83&lt;&gt;""),Settings!$J$14:$J$83),"Other"))))</f>
        <v/>
      </c>
      <c r="AV48">
        <f>IF($B48="","",IF(S48="","Not rostered",IFERROR(INDEX(Settings!$C$14:$C$33,MATCH(S48,Settings!$B$14:$B$33,0)),IFERROR(LOOKUP(2^15,SEARCH(Settings!$I$14:$I$83,S48)/(Settings!$I$14:$I$83&lt;&gt;""),Settings!$J$14:$J$83),"Other"))))</f>
        <v/>
      </c>
      <c r="AW48">
        <f>IF($B48="","",IF(T48="","Not rostered",IFERROR(INDEX(Settings!$C$14:$C$33,MATCH(T48,Settings!$B$14:$B$33,0)),IFERROR(LOOKUP(2^15,SEARCH(Settings!$I$14:$I$83,T48)/(Settings!$I$14:$I$83&lt;&gt;""),Settings!$J$14:$J$83),"Other"))))</f>
        <v/>
      </c>
      <c r="AX48">
        <f>IF($B48="","",IF(U48="","Not rostered",IFERROR(INDEX(Settings!$C$14:$C$33,MATCH(U48,Settings!$B$14:$B$33,0)),IFERROR(LOOKUP(2^15,SEARCH(Settings!$I$14:$I$83,U48)/(Settings!$I$14:$I$83&lt;&gt;""),Settings!$J$14:$J$83),"Other"))))</f>
        <v/>
      </c>
      <c r="AY48">
        <f>IF($B48="","",IF(V48="","Not rostered",IFERROR(INDEX(Settings!$C$14:$C$33,MATCH(V48,Settings!$B$14:$B$33,0)),IFERROR(LOOKUP(2^15,SEARCH(Settings!$I$14:$I$83,V48)/(Settings!$I$14:$I$83&lt;&gt;""),Settings!$J$14:$J$83),"Other"))))</f>
        <v/>
      </c>
      <c r="AZ48">
        <f>IF($B48="","",IF(W48="","Not rostered",IFERROR(INDEX(Settings!$C$14:$C$33,MATCH(W48,Settings!$B$14:$B$33,0)),IFERROR(LOOKUP(2^15,SEARCH(Settings!$I$14:$I$83,W48)/(Settings!$I$14:$I$83&lt;&gt;""),Settings!$J$14:$J$83),"Other"))))</f>
        <v/>
      </c>
      <c r="BA48">
        <f>IF($B48="","",IF(X48="","Not rostered",IFERROR(INDEX(Settings!$C$14:$C$33,MATCH(X48,Settings!$B$14:$B$33,0)),IFERROR(LOOKUP(2^15,SEARCH(Settings!$I$14:$I$83,X48)/(Settings!$I$14:$I$83&lt;&gt;""),Settings!$J$14:$J$83),"Other"))))</f>
        <v/>
      </c>
      <c r="BB48">
        <f>IF($B48="","",IF(Y48="","Not rostered",IFERROR(INDEX(Settings!$C$14:$C$33,MATCH(Y48,Settings!$B$14:$B$33,0)),IFERROR(LOOKUP(2^15,SEARCH(Settings!$I$14:$I$83,Y48)/(Settings!$I$14:$I$83&lt;&gt;""),Settings!$J$14:$J$83),"Other"))))</f>
        <v/>
      </c>
      <c r="BC48">
        <f>IF($B48="","",IF(Z48="","Not rostered",IFERROR(INDEX(Settings!$C$14:$C$33,MATCH(Z48,Settings!$B$14:$B$33,0)),IFERROR(LOOKUP(2^15,SEARCH(Settings!$I$14:$I$83,Z48)/(Settings!$I$14:$I$83&lt;&gt;""),Settings!$J$14:$J$83),"Other"))))</f>
        <v/>
      </c>
      <c r="BD48">
        <f>IF($B48="","",IF(AA48="","Not rostered",IFERROR(INDEX(Settings!$C$14:$C$33,MATCH(AA48,Settings!$B$14:$B$33,0)),IFERROR(LOOKUP(2^15,SEARCH(Settings!$I$14:$I$83,AA48)/(Settings!$I$14:$I$83&lt;&gt;""),Settings!$J$14:$J$83),"Other"))))</f>
        <v/>
      </c>
      <c r="BE48">
        <f>IF($B48="","",IF(AB48="","Not rostered",IFERROR(INDEX(Settings!$C$14:$C$33,MATCH(AB48,Settings!$B$14:$B$33,0)),IFERROR(LOOKUP(2^15,SEARCH(Settings!$I$14:$I$83,AB48)/(Settings!$I$14:$I$83&lt;&gt;""),Settings!$J$14:$J$83),"Other"))))</f>
        <v/>
      </c>
      <c r="BF48">
        <f>IF($B48="","",IF(AC48="","Not rostered",IFERROR(INDEX(Settings!$C$14:$C$33,MATCH(AC48,Settings!$B$14:$B$33,0)),IFERROR(LOOKUP(2^15,SEARCH(Settings!$I$14:$I$83,AC48)/(Settings!$I$14:$I$83&lt;&gt;""),Settings!$J$14:$J$83),"Other"))))</f>
        <v/>
      </c>
      <c r="BG48">
        <f>IF($B48="","",IF(AD48="","Not rostered",IFERROR(INDEX(Settings!$C$14:$C$33,MATCH(AD48,Settings!$B$14:$B$33,0)),IFERROR(LOOKUP(2^15,SEARCH(Settings!$I$14:$I$83,AD48)/(Settings!$I$14:$I$83&lt;&gt;""),Settings!$J$14:$J$83),"Other"))))</f>
        <v/>
      </c>
      <c r="BH48">
        <f>IF($B48="","",IF(AE48="","Not rostered",IFERROR(INDEX(Settings!$C$14:$C$33,MATCH(AE48,Settings!$B$14:$B$33,0)),IFERROR(LOOKUP(2^15,SEARCH(Settings!$I$14:$I$83,AE48)/(Settings!$I$14:$I$83&lt;&gt;""),Settings!$J$14:$J$83),"Other"))))</f>
        <v/>
      </c>
      <c r="BI48">
        <f>IF($B48="","",IF(AF48="","Not rostered",IFERROR(INDEX(Settings!$C$14:$C$33,MATCH(AF48,Settings!$B$14:$B$33,0)),IFERROR(LOOKUP(2^15,SEARCH(Settings!$I$14:$I$83,AF48)/(Settings!$I$14:$I$83&lt;&gt;""),Settings!$J$14:$J$83),"Other"))))</f>
        <v/>
      </c>
      <c r="BJ48">
        <f>IF($B48="","",IF(AG48="","Not rostered",IFERROR(INDEX(Settings!$C$14:$C$33,MATCH(AG48,Settings!$B$14:$B$33,0)),IFERROR(LOOKUP(2^15,SEARCH(Settings!$I$14:$I$83,AG48)/(Settings!$I$14:$I$83&lt;&gt;""),Settings!$J$14:$J$83),"Other"))))</f>
        <v/>
      </c>
      <c r="BL48">
        <f>IF(OR($B48="",F48=""),"",IFERROR(INDEX(Settings!$D$14:$D$33,MATCH(F48,Settings!$B$14:$B$33,0))&amp;"",IFERROR(LOOKUP(2^15,SEARCH(Settings!$F$14:$F$43,F48)/(Settings!$F$14:$F$43&lt;&gt;""),Settings!$G$14:$G$43),"")))</f>
        <v/>
      </c>
      <c r="BM48">
        <f>IF(OR($B48="",G48=""),"",IFERROR(INDEX(Settings!$D$14:$D$33,MATCH(G48,Settings!$B$14:$B$33,0))&amp;"",IFERROR(LOOKUP(2^15,SEARCH(Settings!$F$14:$F$43,G48)/(Settings!$F$14:$F$43&lt;&gt;""),Settings!$G$14:$G$43),"")))</f>
        <v/>
      </c>
      <c r="BN48">
        <f>IF(OR($B48="",H48=""),"",IFERROR(INDEX(Settings!$D$14:$D$33,MATCH(H48,Settings!$B$14:$B$33,0))&amp;"",IFERROR(LOOKUP(2^15,SEARCH(Settings!$F$14:$F$43,H48)/(Settings!$F$14:$F$43&lt;&gt;""),Settings!$G$14:$G$43),"")))</f>
        <v/>
      </c>
      <c r="BO48">
        <f>IF(OR($B48="",I48=""),"",IFERROR(INDEX(Settings!$D$14:$D$33,MATCH(I48,Settings!$B$14:$B$33,0))&amp;"",IFERROR(LOOKUP(2^15,SEARCH(Settings!$F$14:$F$43,I48)/(Settings!$F$14:$F$43&lt;&gt;""),Settings!$G$14:$G$43),"")))</f>
        <v/>
      </c>
      <c r="BP48">
        <f>IF(OR($B48="",J48=""),"",IFERROR(INDEX(Settings!$D$14:$D$33,MATCH(J48,Settings!$B$14:$B$33,0))&amp;"",IFERROR(LOOKUP(2^15,SEARCH(Settings!$F$14:$F$43,J48)/(Settings!$F$14:$F$43&lt;&gt;""),Settings!$G$14:$G$43),"")))</f>
        <v/>
      </c>
      <c r="BQ48">
        <f>IF(OR($B48="",K48=""),"",IFERROR(INDEX(Settings!$D$14:$D$33,MATCH(K48,Settings!$B$14:$B$33,0))&amp;"",IFERROR(LOOKUP(2^15,SEARCH(Settings!$F$14:$F$43,K48)/(Settings!$F$14:$F$43&lt;&gt;""),Settings!$G$14:$G$43),"")))</f>
        <v/>
      </c>
      <c r="BR48">
        <f>IF(OR($B48="",L48=""),"",IFERROR(INDEX(Settings!$D$14:$D$33,MATCH(L48,Settings!$B$14:$B$33,0))&amp;"",IFERROR(LOOKUP(2^15,SEARCH(Settings!$F$14:$F$43,L48)/(Settings!$F$14:$F$43&lt;&gt;""),Settings!$G$14:$G$43),"")))</f>
        <v/>
      </c>
      <c r="BS48">
        <f>IF(OR($B48="",M48=""),"",IFERROR(INDEX(Settings!$D$14:$D$33,MATCH(M48,Settings!$B$14:$B$33,0))&amp;"",IFERROR(LOOKUP(2^15,SEARCH(Settings!$F$14:$F$43,M48)/(Settings!$F$14:$F$43&lt;&gt;""),Settings!$G$14:$G$43),"")))</f>
        <v/>
      </c>
      <c r="BT48">
        <f>IF(OR($B48="",N48=""),"",IFERROR(INDEX(Settings!$D$14:$D$33,MATCH(N48,Settings!$B$14:$B$33,0))&amp;"",IFERROR(LOOKUP(2^15,SEARCH(Settings!$F$14:$F$43,N48)/(Settings!$F$14:$F$43&lt;&gt;""),Settings!$G$14:$G$43),"")))</f>
        <v/>
      </c>
      <c r="BU48">
        <f>IF(OR($B48="",O48=""),"",IFERROR(INDEX(Settings!$D$14:$D$33,MATCH(O48,Settings!$B$14:$B$33,0))&amp;"",IFERROR(LOOKUP(2^15,SEARCH(Settings!$F$14:$F$43,O48)/(Settings!$F$14:$F$43&lt;&gt;""),Settings!$G$14:$G$43),"")))</f>
        <v/>
      </c>
      <c r="BV48">
        <f>IF(OR($B48="",P48=""),"",IFERROR(INDEX(Settings!$D$14:$D$33,MATCH(P48,Settings!$B$14:$B$33,0))&amp;"",IFERROR(LOOKUP(2^15,SEARCH(Settings!$F$14:$F$43,P48)/(Settings!$F$14:$F$43&lt;&gt;""),Settings!$G$14:$G$43),"")))</f>
        <v/>
      </c>
      <c r="BW48">
        <f>IF(OR($B48="",Q48=""),"",IFERROR(INDEX(Settings!$D$14:$D$33,MATCH(Q48,Settings!$B$14:$B$33,0))&amp;"",IFERROR(LOOKUP(2^15,SEARCH(Settings!$F$14:$F$43,Q48)/(Settings!$F$14:$F$43&lt;&gt;""),Settings!$G$14:$G$43),"")))</f>
        <v/>
      </c>
      <c r="BX48">
        <f>IF(OR($B48="",R48=""),"",IFERROR(INDEX(Settings!$D$14:$D$33,MATCH(R48,Settings!$B$14:$B$33,0))&amp;"",IFERROR(LOOKUP(2^15,SEARCH(Settings!$F$14:$F$43,R48)/(Settings!$F$14:$F$43&lt;&gt;""),Settings!$G$14:$G$43),"")))</f>
        <v/>
      </c>
      <c r="BY48">
        <f>IF(OR($B48="",S48=""),"",IFERROR(INDEX(Settings!$D$14:$D$33,MATCH(S48,Settings!$B$14:$B$33,0))&amp;"",IFERROR(LOOKUP(2^15,SEARCH(Settings!$F$14:$F$43,S48)/(Settings!$F$14:$F$43&lt;&gt;""),Settings!$G$14:$G$43),"")))</f>
        <v/>
      </c>
      <c r="BZ48">
        <f>IF(OR($B48="",T48=""),"",IFERROR(INDEX(Settings!$D$14:$D$33,MATCH(T48,Settings!$B$14:$B$33,0))&amp;"",IFERROR(LOOKUP(2^15,SEARCH(Settings!$F$14:$F$43,T48)/(Settings!$F$14:$F$43&lt;&gt;""),Settings!$G$14:$G$43),"")))</f>
        <v/>
      </c>
      <c r="CA48">
        <f>IF(OR($B48="",U48=""),"",IFERROR(INDEX(Settings!$D$14:$D$33,MATCH(U48,Settings!$B$14:$B$33,0))&amp;"",IFERROR(LOOKUP(2^15,SEARCH(Settings!$F$14:$F$43,U48)/(Settings!$F$14:$F$43&lt;&gt;""),Settings!$G$14:$G$43),"")))</f>
        <v/>
      </c>
      <c r="CB48">
        <f>IF(OR($B48="",V48=""),"",IFERROR(INDEX(Settings!$D$14:$D$33,MATCH(V48,Settings!$B$14:$B$33,0))&amp;"",IFERROR(LOOKUP(2^15,SEARCH(Settings!$F$14:$F$43,V48)/(Settings!$F$14:$F$43&lt;&gt;""),Settings!$G$14:$G$43),"")))</f>
        <v/>
      </c>
      <c r="CC48">
        <f>IF(OR($B48="",W48=""),"",IFERROR(INDEX(Settings!$D$14:$D$33,MATCH(W48,Settings!$B$14:$B$33,0))&amp;"",IFERROR(LOOKUP(2^15,SEARCH(Settings!$F$14:$F$43,W48)/(Settings!$F$14:$F$43&lt;&gt;""),Settings!$G$14:$G$43),"")))</f>
        <v/>
      </c>
      <c r="CD48">
        <f>IF(OR($B48="",X48=""),"",IFERROR(INDEX(Settings!$D$14:$D$33,MATCH(X48,Settings!$B$14:$B$33,0))&amp;"",IFERROR(LOOKUP(2^15,SEARCH(Settings!$F$14:$F$43,X48)/(Settings!$F$14:$F$43&lt;&gt;""),Settings!$G$14:$G$43),"")))</f>
        <v/>
      </c>
      <c r="CE48">
        <f>IF(OR($B48="",Y48=""),"",IFERROR(INDEX(Settings!$D$14:$D$33,MATCH(Y48,Settings!$B$14:$B$33,0))&amp;"",IFERROR(LOOKUP(2^15,SEARCH(Settings!$F$14:$F$43,Y48)/(Settings!$F$14:$F$43&lt;&gt;""),Settings!$G$14:$G$43),"")))</f>
        <v/>
      </c>
      <c r="CF48">
        <f>IF(OR($B48="",Z48=""),"",IFERROR(INDEX(Settings!$D$14:$D$33,MATCH(Z48,Settings!$B$14:$B$33,0))&amp;"",IFERROR(LOOKUP(2^15,SEARCH(Settings!$F$14:$F$43,Z48)/(Settings!$F$14:$F$43&lt;&gt;""),Settings!$G$14:$G$43),"")))</f>
        <v/>
      </c>
      <c r="CG48">
        <f>IF(OR($B48="",AA48=""),"",IFERROR(INDEX(Settings!$D$14:$D$33,MATCH(AA48,Settings!$B$14:$B$33,0))&amp;"",IFERROR(LOOKUP(2^15,SEARCH(Settings!$F$14:$F$43,AA48)/(Settings!$F$14:$F$43&lt;&gt;""),Settings!$G$14:$G$43),"")))</f>
        <v/>
      </c>
      <c r="CH48">
        <f>IF(OR($B48="",AB48=""),"",IFERROR(INDEX(Settings!$D$14:$D$33,MATCH(AB48,Settings!$B$14:$B$33,0))&amp;"",IFERROR(LOOKUP(2^15,SEARCH(Settings!$F$14:$F$43,AB48)/(Settings!$F$14:$F$43&lt;&gt;""),Settings!$G$14:$G$43),"")))</f>
        <v/>
      </c>
      <c r="CI48">
        <f>IF(OR($B48="",AC48=""),"",IFERROR(INDEX(Settings!$D$14:$D$33,MATCH(AC48,Settings!$B$14:$B$33,0))&amp;"",IFERROR(LOOKUP(2^15,SEARCH(Settings!$F$14:$F$43,AC48)/(Settings!$F$14:$F$43&lt;&gt;""),Settings!$G$14:$G$43),"")))</f>
        <v/>
      </c>
      <c r="CJ48">
        <f>IF(OR($B48="",AD48=""),"",IFERROR(INDEX(Settings!$D$14:$D$33,MATCH(AD48,Settings!$B$14:$B$33,0))&amp;"",IFERROR(LOOKUP(2^15,SEARCH(Settings!$F$14:$F$43,AD48)/(Settings!$F$14:$F$43&lt;&gt;""),Settings!$G$14:$G$43),"")))</f>
        <v/>
      </c>
      <c r="CK48">
        <f>IF(OR($B48="",AE48=""),"",IFERROR(INDEX(Settings!$D$14:$D$33,MATCH(AE48,Settings!$B$14:$B$33,0))&amp;"",IFERROR(LOOKUP(2^15,SEARCH(Settings!$F$14:$F$43,AE48)/(Settings!$F$14:$F$43&lt;&gt;""),Settings!$G$14:$G$43),"")))</f>
        <v/>
      </c>
      <c r="CL48">
        <f>IF(OR($B48="",AF48=""),"",IFERROR(INDEX(Settings!$D$14:$D$33,MATCH(AF48,Settings!$B$14:$B$33,0))&amp;"",IFERROR(LOOKUP(2^15,SEARCH(Settings!$F$14:$F$43,AF48)/(Settings!$F$14:$F$43&lt;&gt;""),Settings!$G$14:$G$43),"")))</f>
        <v/>
      </c>
      <c r="CM48">
        <f>IF(OR($B48="",AG48=""),"",IFERROR(INDEX(Settings!$D$14:$D$33,MATCH(AG48,Settings!$B$14:$B$33,0))&amp;"",IFERROR(LOOKUP(2^15,SEARCH(Settings!$F$14:$F$43,AG48)/(Settings!$F$14:$F$43&lt;&gt;""),Settings!$G$14:$G$43),"")))</f>
        <v/>
      </c>
    </row>
    <row r="49">
      <c r="A49" t="n">
        <v>47</v>
      </c>
      <c r="B49">
        <f>IFERROR(INDEX(Index!$A$2:$A$202,MATCH(A49,Index!$E$2:$E$202,0)),"")</f>
        <v/>
      </c>
      <c r="D49">
        <f>IF($B49="","",IFERROR(MATCH("Travel*",AI49:BJ49,0),""))</f>
        <v/>
      </c>
      <c r="F49">
        <f>IF(OR($B49="",NOT(ISNUMBER(Settings!$C$9))),"",TRIM(SUBSTITUTE(SUBSTITUTE(INDEX('INPUT - Roster'!$S$1:$SV$206,$B49,Settings!$C$9+0)&amp;"",CHAR(10)," "),CHAR(160)," ")))</f>
        <v/>
      </c>
      <c r="G49">
        <f>IF(OR($B49="",NOT(ISNUMBER(Settings!$C$9))),"",TRIM(SUBSTITUTE(SUBSTITUTE(INDEX('INPUT - Roster'!$S$1:$SV$206,$B49,Settings!$C$9+1)&amp;"",CHAR(10)," "),CHAR(160)," ")))</f>
        <v/>
      </c>
      <c r="H49">
        <f>IF(OR($B49="",NOT(ISNUMBER(Settings!$C$9))),"",TRIM(SUBSTITUTE(SUBSTITUTE(INDEX('INPUT - Roster'!$S$1:$SV$206,$B49,Settings!$C$9+2)&amp;"",CHAR(10)," "),CHAR(160)," ")))</f>
        <v/>
      </c>
      <c r="I49">
        <f>IF(OR($B49="",NOT(ISNUMBER(Settings!$C$9))),"",TRIM(SUBSTITUTE(SUBSTITUTE(INDEX('INPUT - Roster'!$S$1:$SV$206,$B49,Settings!$C$9+3)&amp;"",CHAR(10)," "),CHAR(160)," ")))</f>
        <v/>
      </c>
      <c r="J49">
        <f>IF(OR($B49="",NOT(ISNUMBER(Settings!$C$9))),"",TRIM(SUBSTITUTE(SUBSTITUTE(INDEX('INPUT - Roster'!$S$1:$SV$206,$B49,Settings!$C$9+4)&amp;"",CHAR(10)," "),CHAR(160)," ")))</f>
        <v/>
      </c>
      <c r="K49">
        <f>IF(OR($B49="",NOT(ISNUMBER(Settings!$C$9))),"",TRIM(SUBSTITUTE(SUBSTITUTE(INDEX('INPUT - Roster'!$S$1:$SV$206,$B49,Settings!$C$9+5)&amp;"",CHAR(10)," "),CHAR(160)," ")))</f>
        <v/>
      </c>
      <c r="L49">
        <f>IF(OR($B49="",NOT(ISNUMBER(Settings!$C$9))),"",TRIM(SUBSTITUTE(SUBSTITUTE(INDEX('INPUT - Roster'!$S$1:$SV$206,$B49,Settings!$C$9+6)&amp;"",CHAR(10)," "),CHAR(160)," ")))</f>
        <v/>
      </c>
      <c r="M49">
        <f>IF(OR($B49="",NOT(ISNUMBER(Settings!$C$9))),"",TRIM(SUBSTITUTE(SUBSTITUTE(INDEX('INPUT - Roster'!$S$1:$SV$206,$B49,Settings!$C$9+7)&amp;"",CHAR(10)," "),CHAR(160)," ")))</f>
        <v/>
      </c>
      <c r="N49">
        <f>IF(OR($B49="",NOT(ISNUMBER(Settings!$C$9))),"",TRIM(SUBSTITUTE(SUBSTITUTE(INDEX('INPUT - Roster'!$S$1:$SV$206,$B49,Settings!$C$9+8)&amp;"",CHAR(10)," "),CHAR(160)," ")))</f>
        <v/>
      </c>
      <c r="O49">
        <f>IF(OR($B49="",NOT(ISNUMBER(Settings!$C$9))),"",TRIM(SUBSTITUTE(SUBSTITUTE(INDEX('INPUT - Roster'!$S$1:$SV$206,$B49,Settings!$C$9+9)&amp;"",CHAR(10)," "),CHAR(160)," ")))</f>
        <v/>
      </c>
      <c r="P49">
        <f>IF(OR($B49="",NOT(ISNUMBER(Settings!$C$9))),"",TRIM(SUBSTITUTE(SUBSTITUTE(INDEX('INPUT - Roster'!$S$1:$SV$206,$B49,Settings!$C$9+10)&amp;"",CHAR(10)," "),CHAR(160)," ")))</f>
        <v/>
      </c>
      <c r="Q49">
        <f>IF(OR($B49="",NOT(ISNUMBER(Settings!$C$9))),"",TRIM(SUBSTITUTE(SUBSTITUTE(INDEX('INPUT - Roster'!$S$1:$SV$206,$B49,Settings!$C$9+11)&amp;"",CHAR(10)," "),CHAR(160)," ")))</f>
        <v/>
      </c>
      <c r="R49">
        <f>IF(OR($B49="",NOT(ISNUMBER(Settings!$C$9))),"",TRIM(SUBSTITUTE(SUBSTITUTE(INDEX('INPUT - Roster'!$S$1:$SV$206,$B49,Settings!$C$9+12)&amp;"",CHAR(10)," "),CHAR(160)," ")))</f>
        <v/>
      </c>
      <c r="S49">
        <f>IF(OR($B49="",NOT(ISNUMBER(Settings!$C$9))),"",TRIM(SUBSTITUTE(SUBSTITUTE(INDEX('INPUT - Roster'!$S$1:$SV$206,$B49,Settings!$C$9+13)&amp;"",CHAR(10)," "),CHAR(160)," ")))</f>
        <v/>
      </c>
      <c r="T49">
        <f>IF(OR($B49="",NOT(ISNUMBER(Settings!$C$9))),"",TRIM(SUBSTITUTE(SUBSTITUTE(INDEX('INPUT - Roster'!$S$1:$SV$206,$B49,Settings!$C$9+14)&amp;"",CHAR(10)," "),CHAR(160)," ")))</f>
        <v/>
      </c>
      <c r="U49">
        <f>IF(OR($B49="",NOT(ISNUMBER(Settings!$C$9))),"",TRIM(SUBSTITUTE(SUBSTITUTE(INDEX('INPUT - Roster'!$S$1:$SV$206,$B49,Settings!$C$9+15)&amp;"",CHAR(10)," "),CHAR(160)," ")))</f>
        <v/>
      </c>
      <c r="V49">
        <f>IF(OR($B49="",NOT(ISNUMBER(Settings!$C$9))),"",TRIM(SUBSTITUTE(SUBSTITUTE(INDEX('INPUT - Roster'!$S$1:$SV$206,$B49,Settings!$C$9+16)&amp;"",CHAR(10)," "),CHAR(160)," ")))</f>
        <v/>
      </c>
      <c r="W49">
        <f>IF(OR($B49="",NOT(ISNUMBER(Settings!$C$9))),"",TRIM(SUBSTITUTE(SUBSTITUTE(INDEX('INPUT - Roster'!$S$1:$SV$206,$B49,Settings!$C$9+17)&amp;"",CHAR(10)," "),CHAR(160)," ")))</f>
        <v/>
      </c>
      <c r="X49">
        <f>IF(OR($B49="",NOT(ISNUMBER(Settings!$C$9))),"",TRIM(SUBSTITUTE(SUBSTITUTE(INDEX('INPUT - Roster'!$S$1:$SV$206,$B49,Settings!$C$9+18)&amp;"",CHAR(10)," "),CHAR(160)," ")))</f>
        <v/>
      </c>
      <c r="Y49">
        <f>IF(OR($B49="",NOT(ISNUMBER(Settings!$C$9))),"",TRIM(SUBSTITUTE(SUBSTITUTE(INDEX('INPUT - Roster'!$S$1:$SV$206,$B49,Settings!$C$9+19)&amp;"",CHAR(10)," "),CHAR(160)," ")))</f>
        <v/>
      </c>
      <c r="Z49">
        <f>IF(OR($B49="",NOT(ISNUMBER(Settings!$C$9))),"",TRIM(SUBSTITUTE(SUBSTITUTE(INDEX('INPUT - Roster'!$S$1:$SV$206,$B49,Settings!$C$9+20)&amp;"",CHAR(10)," "),CHAR(160)," ")))</f>
        <v/>
      </c>
      <c r="AA49">
        <f>IF(OR($B49="",NOT(ISNUMBER(Settings!$C$9))),"",TRIM(SUBSTITUTE(SUBSTITUTE(INDEX('INPUT - Roster'!$S$1:$SV$206,$B49,Settings!$C$9+21)&amp;"",CHAR(10)," "),CHAR(160)," ")))</f>
        <v/>
      </c>
      <c r="AB49">
        <f>IF(OR($B49="",NOT(ISNUMBER(Settings!$C$9))),"",TRIM(SUBSTITUTE(SUBSTITUTE(INDEX('INPUT - Roster'!$S$1:$SV$206,$B49,Settings!$C$9+22)&amp;"",CHAR(10)," "),CHAR(160)," ")))</f>
        <v/>
      </c>
      <c r="AC49">
        <f>IF(OR($B49="",NOT(ISNUMBER(Settings!$C$9))),"",TRIM(SUBSTITUTE(SUBSTITUTE(INDEX('INPUT - Roster'!$S$1:$SV$206,$B49,Settings!$C$9+23)&amp;"",CHAR(10)," "),CHAR(160)," ")))</f>
        <v/>
      </c>
      <c r="AD49">
        <f>IF(OR($B49="",NOT(ISNUMBER(Settings!$C$9))),"",TRIM(SUBSTITUTE(SUBSTITUTE(INDEX('INPUT - Roster'!$S$1:$SV$206,$B49,Settings!$C$9+24)&amp;"",CHAR(10)," "),CHAR(160)," ")))</f>
        <v/>
      </c>
      <c r="AE49">
        <f>IF(OR($B49="",NOT(ISNUMBER(Settings!$C$9))),"",TRIM(SUBSTITUTE(SUBSTITUTE(INDEX('INPUT - Roster'!$S$1:$SV$206,$B49,Settings!$C$9+25)&amp;"",CHAR(10)," "),CHAR(160)," ")))</f>
        <v/>
      </c>
      <c r="AF49">
        <f>IF(OR($B49="",NOT(ISNUMBER(Settings!$C$9))),"",TRIM(SUBSTITUTE(SUBSTITUTE(INDEX('INPUT - Roster'!$S$1:$SV$206,$B49,Settings!$C$9+26)&amp;"",CHAR(10)," "),CHAR(160)," ")))</f>
        <v/>
      </c>
      <c r="AG49">
        <f>IF(OR($B49="",NOT(ISNUMBER(Settings!$C$9))),"",TRIM(SUBSTITUTE(SUBSTITUTE(INDEX('INPUT - Roster'!$S$1:$SV$206,$B49,Settings!$C$9+27)&amp;"",CHAR(10)," "),CHAR(160)," ")))</f>
        <v/>
      </c>
      <c r="AI49">
        <f>IF($B49="","",IF(F49="","Not rostered",IFERROR(INDEX(Settings!$C$14:$C$33,MATCH(F49,Settings!$B$14:$B$33,0)),IFERROR(LOOKUP(2^15,SEARCH(Settings!$I$14:$I$83,F49)/(Settings!$I$14:$I$83&lt;&gt;""),Settings!$J$14:$J$83),"Other"))))</f>
        <v/>
      </c>
      <c r="AJ49">
        <f>IF($B49="","",IF(G49="","Not rostered",IFERROR(INDEX(Settings!$C$14:$C$33,MATCH(G49,Settings!$B$14:$B$33,0)),IFERROR(LOOKUP(2^15,SEARCH(Settings!$I$14:$I$83,G49)/(Settings!$I$14:$I$83&lt;&gt;""),Settings!$J$14:$J$83),"Other"))))</f>
        <v/>
      </c>
      <c r="AK49">
        <f>IF($B49="","",IF(H49="","Not rostered",IFERROR(INDEX(Settings!$C$14:$C$33,MATCH(H49,Settings!$B$14:$B$33,0)),IFERROR(LOOKUP(2^15,SEARCH(Settings!$I$14:$I$83,H49)/(Settings!$I$14:$I$83&lt;&gt;""),Settings!$J$14:$J$83),"Other"))))</f>
        <v/>
      </c>
      <c r="AL49">
        <f>IF($B49="","",IF(I49="","Not rostered",IFERROR(INDEX(Settings!$C$14:$C$33,MATCH(I49,Settings!$B$14:$B$33,0)),IFERROR(LOOKUP(2^15,SEARCH(Settings!$I$14:$I$83,I49)/(Settings!$I$14:$I$83&lt;&gt;""),Settings!$J$14:$J$83),"Other"))))</f>
        <v/>
      </c>
      <c r="AM49">
        <f>IF($B49="","",IF(J49="","Not rostered",IFERROR(INDEX(Settings!$C$14:$C$33,MATCH(J49,Settings!$B$14:$B$33,0)),IFERROR(LOOKUP(2^15,SEARCH(Settings!$I$14:$I$83,J49)/(Settings!$I$14:$I$83&lt;&gt;""),Settings!$J$14:$J$83),"Other"))))</f>
        <v/>
      </c>
      <c r="AN49">
        <f>IF($B49="","",IF(K49="","Not rostered",IFERROR(INDEX(Settings!$C$14:$C$33,MATCH(K49,Settings!$B$14:$B$33,0)),IFERROR(LOOKUP(2^15,SEARCH(Settings!$I$14:$I$83,K49)/(Settings!$I$14:$I$83&lt;&gt;""),Settings!$J$14:$J$83),"Other"))))</f>
        <v/>
      </c>
      <c r="AO49">
        <f>IF($B49="","",IF(L49="","Not rostered",IFERROR(INDEX(Settings!$C$14:$C$33,MATCH(L49,Settings!$B$14:$B$33,0)),IFERROR(LOOKUP(2^15,SEARCH(Settings!$I$14:$I$83,L49)/(Settings!$I$14:$I$83&lt;&gt;""),Settings!$J$14:$J$83),"Other"))))</f>
        <v/>
      </c>
      <c r="AP49">
        <f>IF($B49="","",IF(M49="","Not rostered",IFERROR(INDEX(Settings!$C$14:$C$33,MATCH(M49,Settings!$B$14:$B$33,0)),IFERROR(LOOKUP(2^15,SEARCH(Settings!$I$14:$I$83,M49)/(Settings!$I$14:$I$83&lt;&gt;""),Settings!$J$14:$J$83),"Other"))))</f>
        <v/>
      </c>
      <c r="AQ49">
        <f>IF($B49="","",IF(N49="","Not rostered",IFERROR(INDEX(Settings!$C$14:$C$33,MATCH(N49,Settings!$B$14:$B$33,0)),IFERROR(LOOKUP(2^15,SEARCH(Settings!$I$14:$I$83,N49)/(Settings!$I$14:$I$83&lt;&gt;""),Settings!$J$14:$J$83),"Other"))))</f>
        <v/>
      </c>
      <c r="AR49">
        <f>IF($B49="","",IF(O49="","Not rostered",IFERROR(INDEX(Settings!$C$14:$C$33,MATCH(O49,Settings!$B$14:$B$33,0)),IFERROR(LOOKUP(2^15,SEARCH(Settings!$I$14:$I$83,O49)/(Settings!$I$14:$I$83&lt;&gt;""),Settings!$J$14:$J$83),"Other"))))</f>
        <v/>
      </c>
      <c r="AS49">
        <f>IF($B49="","",IF(P49="","Not rostered",IFERROR(INDEX(Settings!$C$14:$C$33,MATCH(P49,Settings!$B$14:$B$33,0)),IFERROR(LOOKUP(2^15,SEARCH(Settings!$I$14:$I$83,P49)/(Settings!$I$14:$I$83&lt;&gt;""),Settings!$J$14:$J$83),"Other"))))</f>
        <v/>
      </c>
      <c r="AT49">
        <f>IF($B49="","",IF(Q49="","Not rostered",IFERROR(INDEX(Settings!$C$14:$C$33,MATCH(Q49,Settings!$B$14:$B$33,0)),IFERROR(LOOKUP(2^15,SEARCH(Settings!$I$14:$I$83,Q49)/(Settings!$I$14:$I$83&lt;&gt;""),Settings!$J$14:$J$83),"Other"))))</f>
        <v/>
      </c>
      <c r="AU49">
        <f>IF($B49="","",IF(R49="","Not rostered",IFERROR(INDEX(Settings!$C$14:$C$33,MATCH(R49,Settings!$B$14:$B$33,0)),IFERROR(LOOKUP(2^15,SEARCH(Settings!$I$14:$I$83,R49)/(Settings!$I$14:$I$83&lt;&gt;""),Settings!$J$14:$J$83),"Other"))))</f>
        <v/>
      </c>
      <c r="AV49">
        <f>IF($B49="","",IF(S49="","Not rostered",IFERROR(INDEX(Settings!$C$14:$C$33,MATCH(S49,Settings!$B$14:$B$33,0)),IFERROR(LOOKUP(2^15,SEARCH(Settings!$I$14:$I$83,S49)/(Settings!$I$14:$I$83&lt;&gt;""),Settings!$J$14:$J$83),"Other"))))</f>
        <v/>
      </c>
      <c r="AW49">
        <f>IF($B49="","",IF(T49="","Not rostered",IFERROR(INDEX(Settings!$C$14:$C$33,MATCH(T49,Settings!$B$14:$B$33,0)),IFERROR(LOOKUP(2^15,SEARCH(Settings!$I$14:$I$83,T49)/(Settings!$I$14:$I$83&lt;&gt;""),Settings!$J$14:$J$83),"Other"))))</f>
        <v/>
      </c>
      <c r="AX49">
        <f>IF($B49="","",IF(U49="","Not rostered",IFERROR(INDEX(Settings!$C$14:$C$33,MATCH(U49,Settings!$B$14:$B$33,0)),IFERROR(LOOKUP(2^15,SEARCH(Settings!$I$14:$I$83,U49)/(Settings!$I$14:$I$83&lt;&gt;""),Settings!$J$14:$J$83),"Other"))))</f>
        <v/>
      </c>
      <c r="AY49">
        <f>IF($B49="","",IF(V49="","Not rostered",IFERROR(INDEX(Settings!$C$14:$C$33,MATCH(V49,Settings!$B$14:$B$33,0)),IFERROR(LOOKUP(2^15,SEARCH(Settings!$I$14:$I$83,V49)/(Settings!$I$14:$I$83&lt;&gt;""),Settings!$J$14:$J$83),"Other"))))</f>
        <v/>
      </c>
      <c r="AZ49">
        <f>IF($B49="","",IF(W49="","Not rostered",IFERROR(INDEX(Settings!$C$14:$C$33,MATCH(W49,Settings!$B$14:$B$33,0)),IFERROR(LOOKUP(2^15,SEARCH(Settings!$I$14:$I$83,W49)/(Settings!$I$14:$I$83&lt;&gt;""),Settings!$J$14:$J$83),"Other"))))</f>
        <v/>
      </c>
      <c r="BA49">
        <f>IF($B49="","",IF(X49="","Not rostered",IFERROR(INDEX(Settings!$C$14:$C$33,MATCH(X49,Settings!$B$14:$B$33,0)),IFERROR(LOOKUP(2^15,SEARCH(Settings!$I$14:$I$83,X49)/(Settings!$I$14:$I$83&lt;&gt;""),Settings!$J$14:$J$83),"Other"))))</f>
        <v/>
      </c>
      <c r="BB49">
        <f>IF($B49="","",IF(Y49="","Not rostered",IFERROR(INDEX(Settings!$C$14:$C$33,MATCH(Y49,Settings!$B$14:$B$33,0)),IFERROR(LOOKUP(2^15,SEARCH(Settings!$I$14:$I$83,Y49)/(Settings!$I$14:$I$83&lt;&gt;""),Settings!$J$14:$J$83),"Other"))))</f>
        <v/>
      </c>
      <c r="BC49">
        <f>IF($B49="","",IF(Z49="","Not rostered",IFERROR(INDEX(Settings!$C$14:$C$33,MATCH(Z49,Settings!$B$14:$B$33,0)),IFERROR(LOOKUP(2^15,SEARCH(Settings!$I$14:$I$83,Z49)/(Settings!$I$14:$I$83&lt;&gt;""),Settings!$J$14:$J$83),"Other"))))</f>
        <v/>
      </c>
      <c r="BD49">
        <f>IF($B49="","",IF(AA49="","Not rostered",IFERROR(INDEX(Settings!$C$14:$C$33,MATCH(AA49,Settings!$B$14:$B$33,0)),IFERROR(LOOKUP(2^15,SEARCH(Settings!$I$14:$I$83,AA49)/(Settings!$I$14:$I$83&lt;&gt;""),Settings!$J$14:$J$83),"Other"))))</f>
        <v/>
      </c>
      <c r="BE49">
        <f>IF($B49="","",IF(AB49="","Not rostered",IFERROR(INDEX(Settings!$C$14:$C$33,MATCH(AB49,Settings!$B$14:$B$33,0)),IFERROR(LOOKUP(2^15,SEARCH(Settings!$I$14:$I$83,AB49)/(Settings!$I$14:$I$83&lt;&gt;""),Settings!$J$14:$J$83),"Other"))))</f>
        <v/>
      </c>
      <c r="BF49">
        <f>IF($B49="","",IF(AC49="","Not rostered",IFERROR(INDEX(Settings!$C$14:$C$33,MATCH(AC49,Settings!$B$14:$B$33,0)),IFERROR(LOOKUP(2^15,SEARCH(Settings!$I$14:$I$83,AC49)/(Settings!$I$14:$I$83&lt;&gt;""),Settings!$J$14:$J$83),"Other"))))</f>
        <v/>
      </c>
      <c r="BG49">
        <f>IF($B49="","",IF(AD49="","Not rostered",IFERROR(INDEX(Settings!$C$14:$C$33,MATCH(AD49,Settings!$B$14:$B$33,0)),IFERROR(LOOKUP(2^15,SEARCH(Settings!$I$14:$I$83,AD49)/(Settings!$I$14:$I$83&lt;&gt;""),Settings!$J$14:$J$83),"Other"))))</f>
        <v/>
      </c>
      <c r="BH49">
        <f>IF($B49="","",IF(AE49="","Not rostered",IFERROR(INDEX(Settings!$C$14:$C$33,MATCH(AE49,Settings!$B$14:$B$33,0)),IFERROR(LOOKUP(2^15,SEARCH(Settings!$I$14:$I$83,AE49)/(Settings!$I$14:$I$83&lt;&gt;""),Settings!$J$14:$J$83),"Other"))))</f>
        <v/>
      </c>
      <c r="BI49">
        <f>IF($B49="","",IF(AF49="","Not rostered",IFERROR(INDEX(Settings!$C$14:$C$33,MATCH(AF49,Settings!$B$14:$B$33,0)),IFERROR(LOOKUP(2^15,SEARCH(Settings!$I$14:$I$83,AF49)/(Settings!$I$14:$I$83&lt;&gt;""),Settings!$J$14:$J$83),"Other"))))</f>
        <v/>
      </c>
      <c r="BJ49">
        <f>IF($B49="","",IF(AG49="","Not rostered",IFERROR(INDEX(Settings!$C$14:$C$33,MATCH(AG49,Settings!$B$14:$B$33,0)),IFERROR(LOOKUP(2^15,SEARCH(Settings!$I$14:$I$83,AG49)/(Settings!$I$14:$I$83&lt;&gt;""),Settings!$J$14:$J$83),"Other"))))</f>
        <v/>
      </c>
      <c r="BL49">
        <f>IF(OR($B49="",F49=""),"",IFERROR(INDEX(Settings!$D$14:$D$33,MATCH(F49,Settings!$B$14:$B$33,0))&amp;"",IFERROR(LOOKUP(2^15,SEARCH(Settings!$F$14:$F$43,F49)/(Settings!$F$14:$F$43&lt;&gt;""),Settings!$G$14:$G$43),"")))</f>
        <v/>
      </c>
      <c r="BM49">
        <f>IF(OR($B49="",G49=""),"",IFERROR(INDEX(Settings!$D$14:$D$33,MATCH(G49,Settings!$B$14:$B$33,0))&amp;"",IFERROR(LOOKUP(2^15,SEARCH(Settings!$F$14:$F$43,G49)/(Settings!$F$14:$F$43&lt;&gt;""),Settings!$G$14:$G$43),"")))</f>
        <v/>
      </c>
      <c r="BN49">
        <f>IF(OR($B49="",H49=""),"",IFERROR(INDEX(Settings!$D$14:$D$33,MATCH(H49,Settings!$B$14:$B$33,0))&amp;"",IFERROR(LOOKUP(2^15,SEARCH(Settings!$F$14:$F$43,H49)/(Settings!$F$14:$F$43&lt;&gt;""),Settings!$G$14:$G$43),"")))</f>
        <v/>
      </c>
      <c r="BO49">
        <f>IF(OR($B49="",I49=""),"",IFERROR(INDEX(Settings!$D$14:$D$33,MATCH(I49,Settings!$B$14:$B$33,0))&amp;"",IFERROR(LOOKUP(2^15,SEARCH(Settings!$F$14:$F$43,I49)/(Settings!$F$14:$F$43&lt;&gt;""),Settings!$G$14:$G$43),"")))</f>
        <v/>
      </c>
      <c r="BP49">
        <f>IF(OR($B49="",J49=""),"",IFERROR(INDEX(Settings!$D$14:$D$33,MATCH(J49,Settings!$B$14:$B$33,0))&amp;"",IFERROR(LOOKUP(2^15,SEARCH(Settings!$F$14:$F$43,J49)/(Settings!$F$14:$F$43&lt;&gt;""),Settings!$G$14:$G$43),"")))</f>
        <v/>
      </c>
      <c r="BQ49">
        <f>IF(OR($B49="",K49=""),"",IFERROR(INDEX(Settings!$D$14:$D$33,MATCH(K49,Settings!$B$14:$B$33,0))&amp;"",IFERROR(LOOKUP(2^15,SEARCH(Settings!$F$14:$F$43,K49)/(Settings!$F$14:$F$43&lt;&gt;""),Settings!$G$14:$G$43),"")))</f>
        <v/>
      </c>
      <c r="BR49">
        <f>IF(OR($B49="",L49=""),"",IFERROR(INDEX(Settings!$D$14:$D$33,MATCH(L49,Settings!$B$14:$B$33,0))&amp;"",IFERROR(LOOKUP(2^15,SEARCH(Settings!$F$14:$F$43,L49)/(Settings!$F$14:$F$43&lt;&gt;""),Settings!$G$14:$G$43),"")))</f>
        <v/>
      </c>
      <c r="BS49">
        <f>IF(OR($B49="",M49=""),"",IFERROR(INDEX(Settings!$D$14:$D$33,MATCH(M49,Settings!$B$14:$B$33,0))&amp;"",IFERROR(LOOKUP(2^15,SEARCH(Settings!$F$14:$F$43,M49)/(Settings!$F$14:$F$43&lt;&gt;""),Settings!$G$14:$G$43),"")))</f>
        <v/>
      </c>
      <c r="BT49">
        <f>IF(OR($B49="",N49=""),"",IFERROR(INDEX(Settings!$D$14:$D$33,MATCH(N49,Settings!$B$14:$B$33,0))&amp;"",IFERROR(LOOKUP(2^15,SEARCH(Settings!$F$14:$F$43,N49)/(Settings!$F$14:$F$43&lt;&gt;""),Settings!$G$14:$G$43),"")))</f>
        <v/>
      </c>
      <c r="BU49">
        <f>IF(OR($B49="",O49=""),"",IFERROR(INDEX(Settings!$D$14:$D$33,MATCH(O49,Settings!$B$14:$B$33,0))&amp;"",IFERROR(LOOKUP(2^15,SEARCH(Settings!$F$14:$F$43,O49)/(Settings!$F$14:$F$43&lt;&gt;""),Settings!$G$14:$G$43),"")))</f>
        <v/>
      </c>
      <c r="BV49">
        <f>IF(OR($B49="",P49=""),"",IFERROR(INDEX(Settings!$D$14:$D$33,MATCH(P49,Settings!$B$14:$B$33,0))&amp;"",IFERROR(LOOKUP(2^15,SEARCH(Settings!$F$14:$F$43,P49)/(Settings!$F$14:$F$43&lt;&gt;""),Settings!$G$14:$G$43),"")))</f>
        <v/>
      </c>
      <c r="BW49">
        <f>IF(OR($B49="",Q49=""),"",IFERROR(INDEX(Settings!$D$14:$D$33,MATCH(Q49,Settings!$B$14:$B$33,0))&amp;"",IFERROR(LOOKUP(2^15,SEARCH(Settings!$F$14:$F$43,Q49)/(Settings!$F$14:$F$43&lt;&gt;""),Settings!$G$14:$G$43),"")))</f>
        <v/>
      </c>
      <c r="BX49">
        <f>IF(OR($B49="",R49=""),"",IFERROR(INDEX(Settings!$D$14:$D$33,MATCH(R49,Settings!$B$14:$B$33,0))&amp;"",IFERROR(LOOKUP(2^15,SEARCH(Settings!$F$14:$F$43,R49)/(Settings!$F$14:$F$43&lt;&gt;""),Settings!$G$14:$G$43),"")))</f>
        <v/>
      </c>
      <c r="BY49">
        <f>IF(OR($B49="",S49=""),"",IFERROR(INDEX(Settings!$D$14:$D$33,MATCH(S49,Settings!$B$14:$B$33,0))&amp;"",IFERROR(LOOKUP(2^15,SEARCH(Settings!$F$14:$F$43,S49)/(Settings!$F$14:$F$43&lt;&gt;""),Settings!$G$14:$G$43),"")))</f>
        <v/>
      </c>
      <c r="BZ49">
        <f>IF(OR($B49="",T49=""),"",IFERROR(INDEX(Settings!$D$14:$D$33,MATCH(T49,Settings!$B$14:$B$33,0))&amp;"",IFERROR(LOOKUP(2^15,SEARCH(Settings!$F$14:$F$43,T49)/(Settings!$F$14:$F$43&lt;&gt;""),Settings!$G$14:$G$43),"")))</f>
        <v/>
      </c>
      <c r="CA49">
        <f>IF(OR($B49="",U49=""),"",IFERROR(INDEX(Settings!$D$14:$D$33,MATCH(U49,Settings!$B$14:$B$33,0))&amp;"",IFERROR(LOOKUP(2^15,SEARCH(Settings!$F$14:$F$43,U49)/(Settings!$F$14:$F$43&lt;&gt;""),Settings!$G$14:$G$43),"")))</f>
        <v/>
      </c>
      <c r="CB49">
        <f>IF(OR($B49="",V49=""),"",IFERROR(INDEX(Settings!$D$14:$D$33,MATCH(V49,Settings!$B$14:$B$33,0))&amp;"",IFERROR(LOOKUP(2^15,SEARCH(Settings!$F$14:$F$43,V49)/(Settings!$F$14:$F$43&lt;&gt;""),Settings!$G$14:$G$43),"")))</f>
        <v/>
      </c>
      <c r="CC49">
        <f>IF(OR($B49="",W49=""),"",IFERROR(INDEX(Settings!$D$14:$D$33,MATCH(W49,Settings!$B$14:$B$33,0))&amp;"",IFERROR(LOOKUP(2^15,SEARCH(Settings!$F$14:$F$43,W49)/(Settings!$F$14:$F$43&lt;&gt;""),Settings!$G$14:$G$43),"")))</f>
        <v/>
      </c>
      <c r="CD49">
        <f>IF(OR($B49="",X49=""),"",IFERROR(INDEX(Settings!$D$14:$D$33,MATCH(X49,Settings!$B$14:$B$33,0))&amp;"",IFERROR(LOOKUP(2^15,SEARCH(Settings!$F$14:$F$43,X49)/(Settings!$F$14:$F$43&lt;&gt;""),Settings!$G$14:$G$43),"")))</f>
        <v/>
      </c>
      <c r="CE49">
        <f>IF(OR($B49="",Y49=""),"",IFERROR(INDEX(Settings!$D$14:$D$33,MATCH(Y49,Settings!$B$14:$B$33,0))&amp;"",IFERROR(LOOKUP(2^15,SEARCH(Settings!$F$14:$F$43,Y49)/(Settings!$F$14:$F$43&lt;&gt;""),Settings!$G$14:$G$43),"")))</f>
        <v/>
      </c>
      <c r="CF49">
        <f>IF(OR($B49="",Z49=""),"",IFERROR(INDEX(Settings!$D$14:$D$33,MATCH(Z49,Settings!$B$14:$B$33,0))&amp;"",IFERROR(LOOKUP(2^15,SEARCH(Settings!$F$14:$F$43,Z49)/(Settings!$F$14:$F$43&lt;&gt;""),Settings!$G$14:$G$43),"")))</f>
        <v/>
      </c>
      <c r="CG49">
        <f>IF(OR($B49="",AA49=""),"",IFERROR(INDEX(Settings!$D$14:$D$33,MATCH(AA49,Settings!$B$14:$B$33,0))&amp;"",IFERROR(LOOKUP(2^15,SEARCH(Settings!$F$14:$F$43,AA49)/(Settings!$F$14:$F$43&lt;&gt;""),Settings!$G$14:$G$43),"")))</f>
        <v/>
      </c>
      <c r="CH49">
        <f>IF(OR($B49="",AB49=""),"",IFERROR(INDEX(Settings!$D$14:$D$33,MATCH(AB49,Settings!$B$14:$B$33,0))&amp;"",IFERROR(LOOKUP(2^15,SEARCH(Settings!$F$14:$F$43,AB49)/(Settings!$F$14:$F$43&lt;&gt;""),Settings!$G$14:$G$43),"")))</f>
        <v/>
      </c>
      <c r="CI49">
        <f>IF(OR($B49="",AC49=""),"",IFERROR(INDEX(Settings!$D$14:$D$33,MATCH(AC49,Settings!$B$14:$B$33,0))&amp;"",IFERROR(LOOKUP(2^15,SEARCH(Settings!$F$14:$F$43,AC49)/(Settings!$F$14:$F$43&lt;&gt;""),Settings!$G$14:$G$43),"")))</f>
        <v/>
      </c>
      <c r="CJ49">
        <f>IF(OR($B49="",AD49=""),"",IFERROR(INDEX(Settings!$D$14:$D$33,MATCH(AD49,Settings!$B$14:$B$33,0))&amp;"",IFERROR(LOOKUP(2^15,SEARCH(Settings!$F$14:$F$43,AD49)/(Settings!$F$14:$F$43&lt;&gt;""),Settings!$G$14:$G$43),"")))</f>
        <v/>
      </c>
      <c r="CK49">
        <f>IF(OR($B49="",AE49=""),"",IFERROR(INDEX(Settings!$D$14:$D$33,MATCH(AE49,Settings!$B$14:$B$33,0))&amp;"",IFERROR(LOOKUP(2^15,SEARCH(Settings!$F$14:$F$43,AE49)/(Settings!$F$14:$F$43&lt;&gt;""),Settings!$G$14:$G$43),"")))</f>
        <v/>
      </c>
      <c r="CL49">
        <f>IF(OR($B49="",AF49=""),"",IFERROR(INDEX(Settings!$D$14:$D$33,MATCH(AF49,Settings!$B$14:$B$33,0))&amp;"",IFERROR(LOOKUP(2^15,SEARCH(Settings!$F$14:$F$43,AF49)/(Settings!$F$14:$F$43&lt;&gt;""),Settings!$G$14:$G$43),"")))</f>
        <v/>
      </c>
      <c r="CM49">
        <f>IF(OR($B49="",AG49=""),"",IFERROR(INDEX(Settings!$D$14:$D$33,MATCH(AG49,Settings!$B$14:$B$33,0))&amp;"",IFERROR(LOOKUP(2^15,SEARCH(Settings!$F$14:$F$43,AG49)/(Settings!$F$14:$F$43&lt;&gt;""),Settings!$G$14:$G$43),"")))</f>
        <v/>
      </c>
    </row>
    <row r="50">
      <c r="A50" t="n">
        <v>48</v>
      </c>
      <c r="B50">
        <f>IFERROR(INDEX(Index!$A$2:$A$202,MATCH(A50,Index!$E$2:$E$202,0)),"")</f>
        <v/>
      </c>
      <c r="D50">
        <f>IF($B50="","",IFERROR(MATCH("Travel*",AI50:BJ50,0),""))</f>
        <v/>
      </c>
      <c r="F50">
        <f>IF(OR($B50="",NOT(ISNUMBER(Settings!$C$9))),"",TRIM(SUBSTITUTE(SUBSTITUTE(INDEX('INPUT - Roster'!$S$1:$SV$206,$B50,Settings!$C$9+0)&amp;"",CHAR(10)," "),CHAR(160)," ")))</f>
        <v/>
      </c>
      <c r="G50">
        <f>IF(OR($B50="",NOT(ISNUMBER(Settings!$C$9))),"",TRIM(SUBSTITUTE(SUBSTITUTE(INDEX('INPUT - Roster'!$S$1:$SV$206,$B50,Settings!$C$9+1)&amp;"",CHAR(10)," "),CHAR(160)," ")))</f>
        <v/>
      </c>
      <c r="H50">
        <f>IF(OR($B50="",NOT(ISNUMBER(Settings!$C$9))),"",TRIM(SUBSTITUTE(SUBSTITUTE(INDEX('INPUT - Roster'!$S$1:$SV$206,$B50,Settings!$C$9+2)&amp;"",CHAR(10)," "),CHAR(160)," ")))</f>
        <v/>
      </c>
      <c r="I50">
        <f>IF(OR($B50="",NOT(ISNUMBER(Settings!$C$9))),"",TRIM(SUBSTITUTE(SUBSTITUTE(INDEX('INPUT - Roster'!$S$1:$SV$206,$B50,Settings!$C$9+3)&amp;"",CHAR(10)," "),CHAR(160)," ")))</f>
        <v/>
      </c>
      <c r="J50">
        <f>IF(OR($B50="",NOT(ISNUMBER(Settings!$C$9))),"",TRIM(SUBSTITUTE(SUBSTITUTE(INDEX('INPUT - Roster'!$S$1:$SV$206,$B50,Settings!$C$9+4)&amp;"",CHAR(10)," "),CHAR(160)," ")))</f>
        <v/>
      </c>
      <c r="K50">
        <f>IF(OR($B50="",NOT(ISNUMBER(Settings!$C$9))),"",TRIM(SUBSTITUTE(SUBSTITUTE(INDEX('INPUT - Roster'!$S$1:$SV$206,$B50,Settings!$C$9+5)&amp;"",CHAR(10)," "),CHAR(160)," ")))</f>
        <v/>
      </c>
      <c r="L50">
        <f>IF(OR($B50="",NOT(ISNUMBER(Settings!$C$9))),"",TRIM(SUBSTITUTE(SUBSTITUTE(INDEX('INPUT - Roster'!$S$1:$SV$206,$B50,Settings!$C$9+6)&amp;"",CHAR(10)," "),CHAR(160)," ")))</f>
        <v/>
      </c>
      <c r="M50">
        <f>IF(OR($B50="",NOT(ISNUMBER(Settings!$C$9))),"",TRIM(SUBSTITUTE(SUBSTITUTE(INDEX('INPUT - Roster'!$S$1:$SV$206,$B50,Settings!$C$9+7)&amp;"",CHAR(10)," "),CHAR(160)," ")))</f>
        <v/>
      </c>
      <c r="N50">
        <f>IF(OR($B50="",NOT(ISNUMBER(Settings!$C$9))),"",TRIM(SUBSTITUTE(SUBSTITUTE(INDEX('INPUT - Roster'!$S$1:$SV$206,$B50,Settings!$C$9+8)&amp;"",CHAR(10)," "),CHAR(160)," ")))</f>
        <v/>
      </c>
      <c r="O50">
        <f>IF(OR($B50="",NOT(ISNUMBER(Settings!$C$9))),"",TRIM(SUBSTITUTE(SUBSTITUTE(INDEX('INPUT - Roster'!$S$1:$SV$206,$B50,Settings!$C$9+9)&amp;"",CHAR(10)," "),CHAR(160)," ")))</f>
        <v/>
      </c>
      <c r="P50">
        <f>IF(OR($B50="",NOT(ISNUMBER(Settings!$C$9))),"",TRIM(SUBSTITUTE(SUBSTITUTE(INDEX('INPUT - Roster'!$S$1:$SV$206,$B50,Settings!$C$9+10)&amp;"",CHAR(10)," "),CHAR(160)," ")))</f>
        <v/>
      </c>
      <c r="Q50">
        <f>IF(OR($B50="",NOT(ISNUMBER(Settings!$C$9))),"",TRIM(SUBSTITUTE(SUBSTITUTE(INDEX('INPUT - Roster'!$S$1:$SV$206,$B50,Settings!$C$9+11)&amp;"",CHAR(10)," "),CHAR(160)," ")))</f>
        <v/>
      </c>
      <c r="R50">
        <f>IF(OR($B50="",NOT(ISNUMBER(Settings!$C$9))),"",TRIM(SUBSTITUTE(SUBSTITUTE(INDEX('INPUT - Roster'!$S$1:$SV$206,$B50,Settings!$C$9+12)&amp;"",CHAR(10)," "),CHAR(160)," ")))</f>
        <v/>
      </c>
      <c r="S50">
        <f>IF(OR($B50="",NOT(ISNUMBER(Settings!$C$9))),"",TRIM(SUBSTITUTE(SUBSTITUTE(INDEX('INPUT - Roster'!$S$1:$SV$206,$B50,Settings!$C$9+13)&amp;"",CHAR(10)," "),CHAR(160)," ")))</f>
        <v/>
      </c>
      <c r="T50">
        <f>IF(OR($B50="",NOT(ISNUMBER(Settings!$C$9))),"",TRIM(SUBSTITUTE(SUBSTITUTE(INDEX('INPUT - Roster'!$S$1:$SV$206,$B50,Settings!$C$9+14)&amp;"",CHAR(10)," "),CHAR(160)," ")))</f>
        <v/>
      </c>
      <c r="U50">
        <f>IF(OR($B50="",NOT(ISNUMBER(Settings!$C$9))),"",TRIM(SUBSTITUTE(SUBSTITUTE(INDEX('INPUT - Roster'!$S$1:$SV$206,$B50,Settings!$C$9+15)&amp;"",CHAR(10)," "),CHAR(160)," ")))</f>
        <v/>
      </c>
      <c r="V50">
        <f>IF(OR($B50="",NOT(ISNUMBER(Settings!$C$9))),"",TRIM(SUBSTITUTE(SUBSTITUTE(INDEX('INPUT - Roster'!$S$1:$SV$206,$B50,Settings!$C$9+16)&amp;"",CHAR(10)," "),CHAR(160)," ")))</f>
        <v/>
      </c>
      <c r="W50">
        <f>IF(OR($B50="",NOT(ISNUMBER(Settings!$C$9))),"",TRIM(SUBSTITUTE(SUBSTITUTE(INDEX('INPUT - Roster'!$S$1:$SV$206,$B50,Settings!$C$9+17)&amp;"",CHAR(10)," "),CHAR(160)," ")))</f>
        <v/>
      </c>
      <c r="X50">
        <f>IF(OR($B50="",NOT(ISNUMBER(Settings!$C$9))),"",TRIM(SUBSTITUTE(SUBSTITUTE(INDEX('INPUT - Roster'!$S$1:$SV$206,$B50,Settings!$C$9+18)&amp;"",CHAR(10)," "),CHAR(160)," ")))</f>
        <v/>
      </c>
      <c r="Y50">
        <f>IF(OR($B50="",NOT(ISNUMBER(Settings!$C$9))),"",TRIM(SUBSTITUTE(SUBSTITUTE(INDEX('INPUT - Roster'!$S$1:$SV$206,$B50,Settings!$C$9+19)&amp;"",CHAR(10)," "),CHAR(160)," ")))</f>
        <v/>
      </c>
      <c r="Z50">
        <f>IF(OR($B50="",NOT(ISNUMBER(Settings!$C$9))),"",TRIM(SUBSTITUTE(SUBSTITUTE(INDEX('INPUT - Roster'!$S$1:$SV$206,$B50,Settings!$C$9+20)&amp;"",CHAR(10)," "),CHAR(160)," ")))</f>
        <v/>
      </c>
      <c r="AA50">
        <f>IF(OR($B50="",NOT(ISNUMBER(Settings!$C$9))),"",TRIM(SUBSTITUTE(SUBSTITUTE(INDEX('INPUT - Roster'!$S$1:$SV$206,$B50,Settings!$C$9+21)&amp;"",CHAR(10)," "),CHAR(160)," ")))</f>
        <v/>
      </c>
      <c r="AB50">
        <f>IF(OR($B50="",NOT(ISNUMBER(Settings!$C$9))),"",TRIM(SUBSTITUTE(SUBSTITUTE(INDEX('INPUT - Roster'!$S$1:$SV$206,$B50,Settings!$C$9+22)&amp;"",CHAR(10)," "),CHAR(160)," ")))</f>
        <v/>
      </c>
      <c r="AC50">
        <f>IF(OR($B50="",NOT(ISNUMBER(Settings!$C$9))),"",TRIM(SUBSTITUTE(SUBSTITUTE(INDEX('INPUT - Roster'!$S$1:$SV$206,$B50,Settings!$C$9+23)&amp;"",CHAR(10)," "),CHAR(160)," ")))</f>
        <v/>
      </c>
      <c r="AD50">
        <f>IF(OR($B50="",NOT(ISNUMBER(Settings!$C$9))),"",TRIM(SUBSTITUTE(SUBSTITUTE(INDEX('INPUT - Roster'!$S$1:$SV$206,$B50,Settings!$C$9+24)&amp;"",CHAR(10)," "),CHAR(160)," ")))</f>
        <v/>
      </c>
      <c r="AE50">
        <f>IF(OR($B50="",NOT(ISNUMBER(Settings!$C$9))),"",TRIM(SUBSTITUTE(SUBSTITUTE(INDEX('INPUT - Roster'!$S$1:$SV$206,$B50,Settings!$C$9+25)&amp;"",CHAR(10)," "),CHAR(160)," ")))</f>
        <v/>
      </c>
      <c r="AF50">
        <f>IF(OR($B50="",NOT(ISNUMBER(Settings!$C$9))),"",TRIM(SUBSTITUTE(SUBSTITUTE(INDEX('INPUT - Roster'!$S$1:$SV$206,$B50,Settings!$C$9+26)&amp;"",CHAR(10)," "),CHAR(160)," ")))</f>
        <v/>
      </c>
      <c r="AG50">
        <f>IF(OR($B50="",NOT(ISNUMBER(Settings!$C$9))),"",TRIM(SUBSTITUTE(SUBSTITUTE(INDEX('INPUT - Roster'!$S$1:$SV$206,$B50,Settings!$C$9+27)&amp;"",CHAR(10)," "),CHAR(160)," ")))</f>
        <v/>
      </c>
      <c r="AI50">
        <f>IF($B50="","",IF(F50="","Not rostered",IFERROR(INDEX(Settings!$C$14:$C$33,MATCH(F50,Settings!$B$14:$B$33,0)),IFERROR(LOOKUP(2^15,SEARCH(Settings!$I$14:$I$83,F50)/(Settings!$I$14:$I$83&lt;&gt;""),Settings!$J$14:$J$83),"Other"))))</f>
        <v/>
      </c>
      <c r="AJ50">
        <f>IF($B50="","",IF(G50="","Not rostered",IFERROR(INDEX(Settings!$C$14:$C$33,MATCH(G50,Settings!$B$14:$B$33,0)),IFERROR(LOOKUP(2^15,SEARCH(Settings!$I$14:$I$83,G50)/(Settings!$I$14:$I$83&lt;&gt;""),Settings!$J$14:$J$83),"Other"))))</f>
        <v/>
      </c>
      <c r="AK50">
        <f>IF($B50="","",IF(H50="","Not rostered",IFERROR(INDEX(Settings!$C$14:$C$33,MATCH(H50,Settings!$B$14:$B$33,0)),IFERROR(LOOKUP(2^15,SEARCH(Settings!$I$14:$I$83,H50)/(Settings!$I$14:$I$83&lt;&gt;""),Settings!$J$14:$J$83),"Other"))))</f>
        <v/>
      </c>
      <c r="AL50">
        <f>IF($B50="","",IF(I50="","Not rostered",IFERROR(INDEX(Settings!$C$14:$C$33,MATCH(I50,Settings!$B$14:$B$33,0)),IFERROR(LOOKUP(2^15,SEARCH(Settings!$I$14:$I$83,I50)/(Settings!$I$14:$I$83&lt;&gt;""),Settings!$J$14:$J$83),"Other"))))</f>
        <v/>
      </c>
      <c r="AM50">
        <f>IF($B50="","",IF(J50="","Not rostered",IFERROR(INDEX(Settings!$C$14:$C$33,MATCH(J50,Settings!$B$14:$B$33,0)),IFERROR(LOOKUP(2^15,SEARCH(Settings!$I$14:$I$83,J50)/(Settings!$I$14:$I$83&lt;&gt;""),Settings!$J$14:$J$83),"Other"))))</f>
        <v/>
      </c>
      <c r="AN50">
        <f>IF($B50="","",IF(K50="","Not rostered",IFERROR(INDEX(Settings!$C$14:$C$33,MATCH(K50,Settings!$B$14:$B$33,0)),IFERROR(LOOKUP(2^15,SEARCH(Settings!$I$14:$I$83,K50)/(Settings!$I$14:$I$83&lt;&gt;""),Settings!$J$14:$J$83),"Other"))))</f>
        <v/>
      </c>
      <c r="AO50">
        <f>IF($B50="","",IF(L50="","Not rostered",IFERROR(INDEX(Settings!$C$14:$C$33,MATCH(L50,Settings!$B$14:$B$33,0)),IFERROR(LOOKUP(2^15,SEARCH(Settings!$I$14:$I$83,L50)/(Settings!$I$14:$I$83&lt;&gt;""),Settings!$J$14:$J$83),"Other"))))</f>
        <v/>
      </c>
      <c r="AP50">
        <f>IF($B50="","",IF(M50="","Not rostered",IFERROR(INDEX(Settings!$C$14:$C$33,MATCH(M50,Settings!$B$14:$B$33,0)),IFERROR(LOOKUP(2^15,SEARCH(Settings!$I$14:$I$83,M50)/(Settings!$I$14:$I$83&lt;&gt;""),Settings!$J$14:$J$83),"Other"))))</f>
        <v/>
      </c>
      <c r="AQ50">
        <f>IF($B50="","",IF(N50="","Not rostered",IFERROR(INDEX(Settings!$C$14:$C$33,MATCH(N50,Settings!$B$14:$B$33,0)),IFERROR(LOOKUP(2^15,SEARCH(Settings!$I$14:$I$83,N50)/(Settings!$I$14:$I$83&lt;&gt;""),Settings!$J$14:$J$83),"Other"))))</f>
        <v/>
      </c>
      <c r="AR50">
        <f>IF($B50="","",IF(O50="","Not rostered",IFERROR(INDEX(Settings!$C$14:$C$33,MATCH(O50,Settings!$B$14:$B$33,0)),IFERROR(LOOKUP(2^15,SEARCH(Settings!$I$14:$I$83,O50)/(Settings!$I$14:$I$83&lt;&gt;""),Settings!$J$14:$J$83),"Other"))))</f>
        <v/>
      </c>
      <c r="AS50">
        <f>IF($B50="","",IF(P50="","Not rostered",IFERROR(INDEX(Settings!$C$14:$C$33,MATCH(P50,Settings!$B$14:$B$33,0)),IFERROR(LOOKUP(2^15,SEARCH(Settings!$I$14:$I$83,P50)/(Settings!$I$14:$I$83&lt;&gt;""),Settings!$J$14:$J$83),"Other"))))</f>
        <v/>
      </c>
      <c r="AT50">
        <f>IF($B50="","",IF(Q50="","Not rostered",IFERROR(INDEX(Settings!$C$14:$C$33,MATCH(Q50,Settings!$B$14:$B$33,0)),IFERROR(LOOKUP(2^15,SEARCH(Settings!$I$14:$I$83,Q50)/(Settings!$I$14:$I$83&lt;&gt;""),Settings!$J$14:$J$83),"Other"))))</f>
        <v/>
      </c>
      <c r="AU50">
        <f>IF($B50="","",IF(R50="","Not rostered",IFERROR(INDEX(Settings!$C$14:$C$33,MATCH(R50,Settings!$B$14:$B$33,0)),IFERROR(LOOKUP(2^15,SEARCH(Settings!$I$14:$I$83,R50)/(Settings!$I$14:$I$83&lt;&gt;""),Settings!$J$14:$J$83),"Other"))))</f>
        <v/>
      </c>
      <c r="AV50">
        <f>IF($B50="","",IF(S50="","Not rostered",IFERROR(INDEX(Settings!$C$14:$C$33,MATCH(S50,Settings!$B$14:$B$33,0)),IFERROR(LOOKUP(2^15,SEARCH(Settings!$I$14:$I$83,S50)/(Settings!$I$14:$I$83&lt;&gt;""),Settings!$J$14:$J$83),"Other"))))</f>
        <v/>
      </c>
      <c r="AW50">
        <f>IF($B50="","",IF(T50="","Not rostered",IFERROR(INDEX(Settings!$C$14:$C$33,MATCH(T50,Settings!$B$14:$B$33,0)),IFERROR(LOOKUP(2^15,SEARCH(Settings!$I$14:$I$83,T50)/(Settings!$I$14:$I$83&lt;&gt;""),Settings!$J$14:$J$83),"Other"))))</f>
        <v/>
      </c>
      <c r="AX50">
        <f>IF($B50="","",IF(U50="","Not rostered",IFERROR(INDEX(Settings!$C$14:$C$33,MATCH(U50,Settings!$B$14:$B$33,0)),IFERROR(LOOKUP(2^15,SEARCH(Settings!$I$14:$I$83,U50)/(Settings!$I$14:$I$83&lt;&gt;""),Settings!$J$14:$J$83),"Other"))))</f>
        <v/>
      </c>
      <c r="AY50">
        <f>IF($B50="","",IF(V50="","Not rostered",IFERROR(INDEX(Settings!$C$14:$C$33,MATCH(V50,Settings!$B$14:$B$33,0)),IFERROR(LOOKUP(2^15,SEARCH(Settings!$I$14:$I$83,V50)/(Settings!$I$14:$I$83&lt;&gt;""),Settings!$J$14:$J$83),"Other"))))</f>
        <v/>
      </c>
      <c r="AZ50">
        <f>IF($B50="","",IF(W50="","Not rostered",IFERROR(INDEX(Settings!$C$14:$C$33,MATCH(W50,Settings!$B$14:$B$33,0)),IFERROR(LOOKUP(2^15,SEARCH(Settings!$I$14:$I$83,W50)/(Settings!$I$14:$I$83&lt;&gt;""),Settings!$J$14:$J$83),"Other"))))</f>
        <v/>
      </c>
      <c r="BA50">
        <f>IF($B50="","",IF(X50="","Not rostered",IFERROR(INDEX(Settings!$C$14:$C$33,MATCH(X50,Settings!$B$14:$B$33,0)),IFERROR(LOOKUP(2^15,SEARCH(Settings!$I$14:$I$83,X50)/(Settings!$I$14:$I$83&lt;&gt;""),Settings!$J$14:$J$83),"Other"))))</f>
        <v/>
      </c>
      <c r="BB50">
        <f>IF($B50="","",IF(Y50="","Not rostered",IFERROR(INDEX(Settings!$C$14:$C$33,MATCH(Y50,Settings!$B$14:$B$33,0)),IFERROR(LOOKUP(2^15,SEARCH(Settings!$I$14:$I$83,Y50)/(Settings!$I$14:$I$83&lt;&gt;""),Settings!$J$14:$J$83),"Other"))))</f>
        <v/>
      </c>
      <c r="BC50">
        <f>IF($B50="","",IF(Z50="","Not rostered",IFERROR(INDEX(Settings!$C$14:$C$33,MATCH(Z50,Settings!$B$14:$B$33,0)),IFERROR(LOOKUP(2^15,SEARCH(Settings!$I$14:$I$83,Z50)/(Settings!$I$14:$I$83&lt;&gt;""),Settings!$J$14:$J$83),"Other"))))</f>
        <v/>
      </c>
      <c r="BD50">
        <f>IF($B50="","",IF(AA50="","Not rostered",IFERROR(INDEX(Settings!$C$14:$C$33,MATCH(AA50,Settings!$B$14:$B$33,0)),IFERROR(LOOKUP(2^15,SEARCH(Settings!$I$14:$I$83,AA50)/(Settings!$I$14:$I$83&lt;&gt;""),Settings!$J$14:$J$83),"Other"))))</f>
        <v/>
      </c>
      <c r="BE50">
        <f>IF($B50="","",IF(AB50="","Not rostered",IFERROR(INDEX(Settings!$C$14:$C$33,MATCH(AB50,Settings!$B$14:$B$33,0)),IFERROR(LOOKUP(2^15,SEARCH(Settings!$I$14:$I$83,AB50)/(Settings!$I$14:$I$83&lt;&gt;""),Settings!$J$14:$J$83),"Other"))))</f>
        <v/>
      </c>
      <c r="BF50">
        <f>IF($B50="","",IF(AC50="","Not rostered",IFERROR(INDEX(Settings!$C$14:$C$33,MATCH(AC50,Settings!$B$14:$B$33,0)),IFERROR(LOOKUP(2^15,SEARCH(Settings!$I$14:$I$83,AC50)/(Settings!$I$14:$I$83&lt;&gt;""),Settings!$J$14:$J$83),"Other"))))</f>
        <v/>
      </c>
      <c r="BG50">
        <f>IF($B50="","",IF(AD50="","Not rostered",IFERROR(INDEX(Settings!$C$14:$C$33,MATCH(AD50,Settings!$B$14:$B$33,0)),IFERROR(LOOKUP(2^15,SEARCH(Settings!$I$14:$I$83,AD50)/(Settings!$I$14:$I$83&lt;&gt;""),Settings!$J$14:$J$83),"Other"))))</f>
        <v/>
      </c>
      <c r="BH50">
        <f>IF($B50="","",IF(AE50="","Not rostered",IFERROR(INDEX(Settings!$C$14:$C$33,MATCH(AE50,Settings!$B$14:$B$33,0)),IFERROR(LOOKUP(2^15,SEARCH(Settings!$I$14:$I$83,AE50)/(Settings!$I$14:$I$83&lt;&gt;""),Settings!$J$14:$J$83),"Other"))))</f>
        <v/>
      </c>
      <c r="BI50">
        <f>IF($B50="","",IF(AF50="","Not rostered",IFERROR(INDEX(Settings!$C$14:$C$33,MATCH(AF50,Settings!$B$14:$B$33,0)),IFERROR(LOOKUP(2^15,SEARCH(Settings!$I$14:$I$83,AF50)/(Settings!$I$14:$I$83&lt;&gt;""),Settings!$J$14:$J$83),"Other"))))</f>
        <v/>
      </c>
      <c r="BJ50">
        <f>IF($B50="","",IF(AG50="","Not rostered",IFERROR(INDEX(Settings!$C$14:$C$33,MATCH(AG50,Settings!$B$14:$B$33,0)),IFERROR(LOOKUP(2^15,SEARCH(Settings!$I$14:$I$83,AG50)/(Settings!$I$14:$I$83&lt;&gt;""),Settings!$J$14:$J$83),"Other"))))</f>
        <v/>
      </c>
      <c r="BL50">
        <f>IF(OR($B50="",F50=""),"",IFERROR(INDEX(Settings!$D$14:$D$33,MATCH(F50,Settings!$B$14:$B$33,0))&amp;"",IFERROR(LOOKUP(2^15,SEARCH(Settings!$F$14:$F$43,F50)/(Settings!$F$14:$F$43&lt;&gt;""),Settings!$G$14:$G$43),"")))</f>
        <v/>
      </c>
      <c r="BM50">
        <f>IF(OR($B50="",G50=""),"",IFERROR(INDEX(Settings!$D$14:$D$33,MATCH(G50,Settings!$B$14:$B$33,0))&amp;"",IFERROR(LOOKUP(2^15,SEARCH(Settings!$F$14:$F$43,G50)/(Settings!$F$14:$F$43&lt;&gt;""),Settings!$G$14:$G$43),"")))</f>
        <v/>
      </c>
      <c r="BN50">
        <f>IF(OR($B50="",H50=""),"",IFERROR(INDEX(Settings!$D$14:$D$33,MATCH(H50,Settings!$B$14:$B$33,0))&amp;"",IFERROR(LOOKUP(2^15,SEARCH(Settings!$F$14:$F$43,H50)/(Settings!$F$14:$F$43&lt;&gt;""),Settings!$G$14:$G$43),"")))</f>
        <v/>
      </c>
      <c r="BO50">
        <f>IF(OR($B50="",I50=""),"",IFERROR(INDEX(Settings!$D$14:$D$33,MATCH(I50,Settings!$B$14:$B$33,0))&amp;"",IFERROR(LOOKUP(2^15,SEARCH(Settings!$F$14:$F$43,I50)/(Settings!$F$14:$F$43&lt;&gt;""),Settings!$G$14:$G$43),"")))</f>
        <v/>
      </c>
      <c r="BP50">
        <f>IF(OR($B50="",J50=""),"",IFERROR(INDEX(Settings!$D$14:$D$33,MATCH(J50,Settings!$B$14:$B$33,0))&amp;"",IFERROR(LOOKUP(2^15,SEARCH(Settings!$F$14:$F$43,J50)/(Settings!$F$14:$F$43&lt;&gt;""),Settings!$G$14:$G$43),"")))</f>
        <v/>
      </c>
      <c r="BQ50">
        <f>IF(OR($B50="",K50=""),"",IFERROR(INDEX(Settings!$D$14:$D$33,MATCH(K50,Settings!$B$14:$B$33,0))&amp;"",IFERROR(LOOKUP(2^15,SEARCH(Settings!$F$14:$F$43,K50)/(Settings!$F$14:$F$43&lt;&gt;""),Settings!$G$14:$G$43),"")))</f>
        <v/>
      </c>
      <c r="BR50">
        <f>IF(OR($B50="",L50=""),"",IFERROR(INDEX(Settings!$D$14:$D$33,MATCH(L50,Settings!$B$14:$B$33,0))&amp;"",IFERROR(LOOKUP(2^15,SEARCH(Settings!$F$14:$F$43,L50)/(Settings!$F$14:$F$43&lt;&gt;""),Settings!$G$14:$G$43),"")))</f>
        <v/>
      </c>
      <c r="BS50">
        <f>IF(OR($B50="",M50=""),"",IFERROR(INDEX(Settings!$D$14:$D$33,MATCH(M50,Settings!$B$14:$B$33,0))&amp;"",IFERROR(LOOKUP(2^15,SEARCH(Settings!$F$14:$F$43,M50)/(Settings!$F$14:$F$43&lt;&gt;""),Settings!$G$14:$G$43),"")))</f>
        <v/>
      </c>
      <c r="BT50">
        <f>IF(OR($B50="",N50=""),"",IFERROR(INDEX(Settings!$D$14:$D$33,MATCH(N50,Settings!$B$14:$B$33,0))&amp;"",IFERROR(LOOKUP(2^15,SEARCH(Settings!$F$14:$F$43,N50)/(Settings!$F$14:$F$43&lt;&gt;""),Settings!$G$14:$G$43),"")))</f>
        <v/>
      </c>
      <c r="BU50">
        <f>IF(OR($B50="",O50=""),"",IFERROR(INDEX(Settings!$D$14:$D$33,MATCH(O50,Settings!$B$14:$B$33,0))&amp;"",IFERROR(LOOKUP(2^15,SEARCH(Settings!$F$14:$F$43,O50)/(Settings!$F$14:$F$43&lt;&gt;""),Settings!$G$14:$G$43),"")))</f>
        <v/>
      </c>
      <c r="BV50">
        <f>IF(OR($B50="",P50=""),"",IFERROR(INDEX(Settings!$D$14:$D$33,MATCH(P50,Settings!$B$14:$B$33,0))&amp;"",IFERROR(LOOKUP(2^15,SEARCH(Settings!$F$14:$F$43,P50)/(Settings!$F$14:$F$43&lt;&gt;""),Settings!$G$14:$G$43),"")))</f>
        <v/>
      </c>
      <c r="BW50">
        <f>IF(OR($B50="",Q50=""),"",IFERROR(INDEX(Settings!$D$14:$D$33,MATCH(Q50,Settings!$B$14:$B$33,0))&amp;"",IFERROR(LOOKUP(2^15,SEARCH(Settings!$F$14:$F$43,Q50)/(Settings!$F$14:$F$43&lt;&gt;""),Settings!$G$14:$G$43),"")))</f>
        <v/>
      </c>
      <c r="BX50">
        <f>IF(OR($B50="",R50=""),"",IFERROR(INDEX(Settings!$D$14:$D$33,MATCH(R50,Settings!$B$14:$B$33,0))&amp;"",IFERROR(LOOKUP(2^15,SEARCH(Settings!$F$14:$F$43,R50)/(Settings!$F$14:$F$43&lt;&gt;""),Settings!$G$14:$G$43),"")))</f>
        <v/>
      </c>
      <c r="BY50">
        <f>IF(OR($B50="",S50=""),"",IFERROR(INDEX(Settings!$D$14:$D$33,MATCH(S50,Settings!$B$14:$B$33,0))&amp;"",IFERROR(LOOKUP(2^15,SEARCH(Settings!$F$14:$F$43,S50)/(Settings!$F$14:$F$43&lt;&gt;""),Settings!$G$14:$G$43),"")))</f>
        <v/>
      </c>
      <c r="BZ50">
        <f>IF(OR($B50="",T50=""),"",IFERROR(INDEX(Settings!$D$14:$D$33,MATCH(T50,Settings!$B$14:$B$33,0))&amp;"",IFERROR(LOOKUP(2^15,SEARCH(Settings!$F$14:$F$43,T50)/(Settings!$F$14:$F$43&lt;&gt;""),Settings!$G$14:$G$43),"")))</f>
        <v/>
      </c>
      <c r="CA50">
        <f>IF(OR($B50="",U50=""),"",IFERROR(INDEX(Settings!$D$14:$D$33,MATCH(U50,Settings!$B$14:$B$33,0))&amp;"",IFERROR(LOOKUP(2^15,SEARCH(Settings!$F$14:$F$43,U50)/(Settings!$F$14:$F$43&lt;&gt;""),Settings!$G$14:$G$43),"")))</f>
        <v/>
      </c>
      <c r="CB50">
        <f>IF(OR($B50="",V50=""),"",IFERROR(INDEX(Settings!$D$14:$D$33,MATCH(V50,Settings!$B$14:$B$33,0))&amp;"",IFERROR(LOOKUP(2^15,SEARCH(Settings!$F$14:$F$43,V50)/(Settings!$F$14:$F$43&lt;&gt;""),Settings!$G$14:$G$43),"")))</f>
        <v/>
      </c>
      <c r="CC50">
        <f>IF(OR($B50="",W50=""),"",IFERROR(INDEX(Settings!$D$14:$D$33,MATCH(W50,Settings!$B$14:$B$33,0))&amp;"",IFERROR(LOOKUP(2^15,SEARCH(Settings!$F$14:$F$43,W50)/(Settings!$F$14:$F$43&lt;&gt;""),Settings!$G$14:$G$43),"")))</f>
        <v/>
      </c>
      <c r="CD50">
        <f>IF(OR($B50="",X50=""),"",IFERROR(INDEX(Settings!$D$14:$D$33,MATCH(X50,Settings!$B$14:$B$33,0))&amp;"",IFERROR(LOOKUP(2^15,SEARCH(Settings!$F$14:$F$43,X50)/(Settings!$F$14:$F$43&lt;&gt;""),Settings!$G$14:$G$43),"")))</f>
        <v/>
      </c>
      <c r="CE50">
        <f>IF(OR($B50="",Y50=""),"",IFERROR(INDEX(Settings!$D$14:$D$33,MATCH(Y50,Settings!$B$14:$B$33,0))&amp;"",IFERROR(LOOKUP(2^15,SEARCH(Settings!$F$14:$F$43,Y50)/(Settings!$F$14:$F$43&lt;&gt;""),Settings!$G$14:$G$43),"")))</f>
        <v/>
      </c>
      <c r="CF50">
        <f>IF(OR($B50="",Z50=""),"",IFERROR(INDEX(Settings!$D$14:$D$33,MATCH(Z50,Settings!$B$14:$B$33,0))&amp;"",IFERROR(LOOKUP(2^15,SEARCH(Settings!$F$14:$F$43,Z50)/(Settings!$F$14:$F$43&lt;&gt;""),Settings!$G$14:$G$43),"")))</f>
        <v/>
      </c>
      <c r="CG50">
        <f>IF(OR($B50="",AA50=""),"",IFERROR(INDEX(Settings!$D$14:$D$33,MATCH(AA50,Settings!$B$14:$B$33,0))&amp;"",IFERROR(LOOKUP(2^15,SEARCH(Settings!$F$14:$F$43,AA50)/(Settings!$F$14:$F$43&lt;&gt;""),Settings!$G$14:$G$43),"")))</f>
        <v/>
      </c>
      <c r="CH50">
        <f>IF(OR($B50="",AB50=""),"",IFERROR(INDEX(Settings!$D$14:$D$33,MATCH(AB50,Settings!$B$14:$B$33,0))&amp;"",IFERROR(LOOKUP(2^15,SEARCH(Settings!$F$14:$F$43,AB50)/(Settings!$F$14:$F$43&lt;&gt;""),Settings!$G$14:$G$43),"")))</f>
        <v/>
      </c>
      <c r="CI50">
        <f>IF(OR($B50="",AC50=""),"",IFERROR(INDEX(Settings!$D$14:$D$33,MATCH(AC50,Settings!$B$14:$B$33,0))&amp;"",IFERROR(LOOKUP(2^15,SEARCH(Settings!$F$14:$F$43,AC50)/(Settings!$F$14:$F$43&lt;&gt;""),Settings!$G$14:$G$43),"")))</f>
        <v/>
      </c>
      <c r="CJ50">
        <f>IF(OR($B50="",AD50=""),"",IFERROR(INDEX(Settings!$D$14:$D$33,MATCH(AD50,Settings!$B$14:$B$33,0))&amp;"",IFERROR(LOOKUP(2^15,SEARCH(Settings!$F$14:$F$43,AD50)/(Settings!$F$14:$F$43&lt;&gt;""),Settings!$G$14:$G$43),"")))</f>
        <v/>
      </c>
      <c r="CK50">
        <f>IF(OR($B50="",AE50=""),"",IFERROR(INDEX(Settings!$D$14:$D$33,MATCH(AE50,Settings!$B$14:$B$33,0))&amp;"",IFERROR(LOOKUP(2^15,SEARCH(Settings!$F$14:$F$43,AE50)/(Settings!$F$14:$F$43&lt;&gt;""),Settings!$G$14:$G$43),"")))</f>
        <v/>
      </c>
      <c r="CL50">
        <f>IF(OR($B50="",AF50=""),"",IFERROR(INDEX(Settings!$D$14:$D$33,MATCH(AF50,Settings!$B$14:$B$33,0))&amp;"",IFERROR(LOOKUP(2^15,SEARCH(Settings!$F$14:$F$43,AF50)/(Settings!$F$14:$F$43&lt;&gt;""),Settings!$G$14:$G$43),"")))</f>
        <v/>
      </c>
      <c r="CM50">
        <f>IF(OR($B50="",AG50=""),"",IFERROR(INDEX(Settings!$D$14:$D$33,MATCH(AG50,Settings!$B$14:$B$33,0))&amp;"",IFERROR(LOOKUP(2^15,SEARCH(Settings!$F$14:$F$43,AG50)/(Settings!$F$14:$F$43&lt;&gt;""),Settings!$G$14:$G$43),"")))</f>
        <v/>
      </c>
    </row>
    <row r="51">
      <c r="A51" t="n">
        <v>49</v>
      </c>
      <c r="B51">
        <f>IFERROR(INDEX(Index!$A$2:$A$202,MATCH(A51,Index!$E$2:$E$202,0)),"")</f>
        <v/>
      </c>
      <c r="D51">
        <f>IF($B51="","",IFERROR(MATCH("Travel*",AI51:BJ51,0),""))</f>
        <v/>
      </c>
      <c r="F51">
        <f>IF(OR($B51="",NOT(ISNUMBER(Settings!$C$9))),"",TRIM(SUBSTITUTE(SUBSTITUTE(INDEX('INPUT - Roster'!$S$1:$SV$206,$B51,Settings!$C$9+0)&amp;"",CHAR(10)," "),CHAR(160)," ")))</f>
        <v/>
      </c>
      <c r="G51">
        <f>IF(OR($B51="",NOT(ISNUMBER(Settings!$C$9))),"",TRIM(SUBSTITUTE(SUBSTITUTE(INDEX('INPUT - Roster'!$S$1:$SV$206,$B51,Settings!$C$9+1)&amp;"",CHAR(10)," "),CHAR(160)," ")))</f>
        <v/>
      </c>
      <c r="H51">
        <f>IF(OR($B51="",NOT(ISNUMBER(Settings!$C$9))),"",TRIM(SUBSTITUTE(SUBSTITUTE(INDEX('INPUT - Roster'!$S$1:$SV$206,$B51,Settings!$C$9+2)&amp;"",CHAR(10)," "),CHAR(160)," ")))</f>
        <v/>
      </c>
      <c r="I51">
        <f>IF(OR($B51="",NOT(ISNUMBER(Settings!$C$9))),"",TRIM(SUBSTITUTE(SUBSTITUTE(INDEX('INPUT - Roster'!$S$1:$SV$206,$B51,Settings!$C$9+3)&amp;"",CHAR(10)," "),CHAR(160)," ")))</f>
        <v/>
      </c>
      <c r="J51">
        <f>IF(OR($B51="",NOT(ISNUMBER(Settings!$C$9))),"",TRIM(SUBSTITUTE(SUBSTITUTE(INDEX('INPUT - Roster'!$S$1:$SV$206,$B51,Settings!$C$9+4)&amp;"",CHAR(10)," "),CHAR(160)," ")))</f>
        <v/>
      </c>
      <c r="K51">
        <f>IF(OR($B51="",NOT(ISNUMBER(Settings!$C$9))),"",TRIM(SUBSTITUTE(SUBSTITUTE(INDEX('INPUT - Roster'!$S$1:$SV$206,$B51,Settings!$C$9+5)&amp;"",CHAR(10)," "),CHAR(160)," ")))</f>
        <v/>
      </c>
      <c r="L51">
        <f>IF(OR($B51="",NOT(ISNUMBER(Settings!$C$9))),"",TRIM(SUBSTITUTE(SUBSTITUTE(INDEX('INPUT - Roster'!$S$1:$SV$206,$B51,Settings!$C$9+6)&amp;"",CHAR(10)," "),CHAR(160)," ")))</f>
        <v/>
      </c>
      <c r="M51">
        <f>IF(OR($B51="",NOT(ISNUMBER(Settings!$C$9))),"",TRIM(SUBSTITUTE(SUBSTITUTE(INDEX('INPUT - Roster'!$S$1:$SV$206,$B51,Settings!$C$9+7)&amp;"",CHAR(10)," "),CHAR(160)," ")))</f>
        <v/>
      </c>
      <c r="N51">
        <f>IF(OR($B51="",NOT(ISNUMBER(Settings!$C$9))),"",TRIM(SUBSTITUTE(SUBSTITUTE(INDEX('INPUT - Roster'!$S$1:$SV$206,$B51,Settings!$C$9+8)&amp;"",CHAR(10)," "),CHAR(160)," ")))</f>
        <v/>
      </c>
      <c r="O51">
        <f>IF(OR($B51="",NOT(ISNUMBER(Settings!$C$9))),"",TRIM(SUBSTITUTE(SUBSTITUTE(INDEX('INPUT - Roster'!$S$1:$SV$206,$B51,Settings!$C$9+9)&amp;"",CHAR(10)," "),CHAR(160)," ")))</f>
        <v/>
      </c>
      <c r="P51">
        <f>IF(OR($B51="",NOT(ISNUMBER(Settings!$C$9))),"",TRIM(SUBSTITUTE(SUBSTITUTE(INDEX('INPUT - Roster'!$S$1:$SV$206,$B51,Settings!$C$9+10)&amp;"",CHAR(10)," "),CHAR(160)," ")))</f>
        <v/>
      </c>
      <c r="Q51">
        <f>IF(OR($B51="",NOT(ISNUMBER(Settings!$C$9))),"",TRIM(SUBSTITUTE(SUBSTITUTE(INDEX('INPUT - Roster'!$S$1:$SV$206,$B51,Settings!$C$9+11)&amp;"",CHAR(10)," "),CHAR(160)," ")))</f>
        <v/>
      </c>
      <c r="R51">
        <f>IF(OR($B51="",NOT(ISNUMBER(Settings!$C$9))),"",TRIM(SUBSTITUTE(SUBSTITUTE(INDEX('INPUT - Roster'!$S$1:$SV$206,$B51,Settings!$C$9+12)&amp;"",CHAR(10)," "),CHAR(160)," ")))</f>
        <v/>
      </c>
      <c r="S51">
        <f>IF(OR($B51="",NOT(ISNUMBER(Settings!$C$9))),"",TRIM(SUBSTITUTE(SUBSTITUTE(INDEX('INPUT - Roster'!$S$1:$SV$206,$B51,Settings!$C$9+13)&amp;"",CHAR(10)," "),CHAR(160)," ")))</f>
        <v/>
      </c>
      <c r="T51">
        <f>IF(OR($B51="",NOT(ISNUMBER(Settings!$C$9))),"",TRIM(SUBSTITUTE(SUBSTITUTE(INDEX('INPUT - Roster'!$S$1:$SV$206,$B51,Settings!$C$9+14)&amp;"",CHAR(10)," "),CHAR(160)," ")))</f>
        <v/>
      </c>
      <c r="U51">
        <f>IF(OR($B51="",NOT(ISNUMBER(Settings!$C$9))),"",TRIM(SUBSTITUTE(SUBSTITUTE(INDEX('INPUT - Roster'!$S$1:$SV$206,$B51,Settings!$C$9+15)&amp;"",CHAR(10)," "),CHAR(160)," ")))</f>
        <v/>
      </c>
      <c r="V51">
        <f>IF(OR($B51="",NOT(ISNUMBER(Settings!$C$9))),"",TRIM(SUBSTITUTE(SUBSTITUTE(INDEX('INPUT - Roster'!$S$1:$SV$206,$B51,Settings!$C$9+16)&amp;"",CHAR(10)," "),CHAR(160)," ")))</f>
        <v/>
      </c>
      <c r="W51">
        <f>IF(OR($B51="",NOT(ISNUMBER(Settings!$C$9))),"",TRIM(SUBSTITUTE(SUBSTITUTE(INDEX('INPUT - Roster'!$S$1:$SV$206,$B51,Settings!$C$9+17)&amp;"",CHAR(10)," "),CHAR(160)," ")))</f>
        <v/>
      </c>
      <c r="X51">
        <f>IF(OR($B51="",NOT(ISNUMBER(Settings!$C$9))),"",TRIM(SUBSTITUTE(SUBSTITUTE(INDEX('INPUT - Roster'!$S$1:$SV$206,$B51,Settings!$C$9+18)&amp;"",CHAR(10)," "),CHAR(160)," ")))</f>
        <v/>
      </c>
      <c r="Y51">
        <f>IF(OR($B51="",NOT(ISNUMBER(Settings!$C$9))),"",TRIM(SUBSTITUTE(SUBSTITUTE(INDEX('INPUT - Roster'!$S$1:$SV$206,$B51,Settings!$C$9+19)&amp;"",CHAR(10)," "),CHAR(160)," ")))</f>
        <v/>
      </c>
      <c r="Z51">
        <f>IF(OR($B51="",NOT(ISNUMBER(Settings!$C$9))),"",TRIM(SUBSTITUTE(SUBSTITUTE(INDEX('INPUT - Roster'!$S$1:$SV$206,$B51,Settings!$C$9+20)&amp;"",CHAR(10)," "),CHAR(160)," ")))</f>
        <v/>
      </c>
      <c r="AA51">
        <f>IF(OR($B51="",NOT(ISNUMBER(Settings!$C$9))),"",TRIM(SUBSTITUTE(SUBSTITUTE(INDEX('INPUT - Roster'!$S$1:$SV$206,$B51,Settings!$C$9+21)&amp;"",CHAR(10)," "),CHAR(160)," ")))</f>
        <v/>
      </c>
      <c r="AB51">
        <f>IF(OR($B51="",NOT(ISNUMBER(Settings!$C$9))),"",TRIM(SUBSTITUTE(SUBSTITUTE(INDEX('INPUT - Roster'!$S$1:$SV$206,$B51,Settings!$C$9+22)&amp;"",CHAR(10)," "),CHAR(160)," ")))</f>
        <v/>
      </c>
      <c r="AC51">
        <f>IF(OR($B51="",NOT(ISNUMBER(Settings!$C$9))),"",TRIM(SUBSTITUTE(SUBSTITUTE(INDEX('INPUT - Roster'!$S$1:$SV$206,$B51,Settings!$C$9+23)&amp;"",CHAR(10)," "),CHAR(160)," ")))</f>
        <v/>
      </c>
      <c r="AD51">
        <f>IF(OR($B51="",NOT(ISNUMBER(Settings!$C$9))),"",TRIM(SUBSTITUTE(SUBSTITUTE(INDEX('INPUT - Roster'!$S$1:$SV$206,$B51,Settings!$C$9+24)&amp;"",CHAR(10)," "),CHAR(160)," ")))</f>
        <v/>
      </c>
      <c r="AE51">
        <f>IF(OR($B51="",NOT(ISNUMBER(Settings!$C$9))),"",TRIM(SUBSTITUTE(SUBSTITUTE(INDEX('INPUT - Roster'!$S$1:$SV$206,$B51,Settings!$C$9+25)&amp;"",CHAR(10)," "),CHAR(160)," ")))</f>
        <v/>
      </c>
      <c r="AF51">
        <f>IF(OR($B51="",NOT(ISNUMBER(Settings!$C$9))),"",TRIM(SUBSTITUTE(SUBSTITUTE(INDEX('INPUT - Roster'!$S$1:$SV$206,$B51,Settings!$C$9+26)&amp;"",CHAR(10)," "),CHAR(160)," ")))</f>
        <v/>
      </c>
      <c r="AG51">
        <f>IF(OR($B51="",NOT(ISNUMBER(Settings!$C$9))),"",TRIM(SUBSTITUTE(SUBSTITUTE(INDEX('INPUT - Roster'!$S$1:$SV$206,$B51,Settings!$C$9+27)&amp;"",CHAR(10)," "),CHAR(160)," ")))</f>
        <v/>
      </c>
      <c r="AI51">
        <f>IF($B51="","",IF(F51="","Not rostered",IFERROR(INDEX(Settings!$C$14:$C$33,MATCH(F51,Settings!$B$14:$B$33,0)),IFERROR(LOOKUP(2^15,SEARCH(Settings!$I$14:$I$83,F51)/(Settings!$I$14:$I$83&lt;&gt;""),Settings!$J$14:$J$83),"Other"))))</f>
        <v/>
      </c>
      <c r="AJ51">
        <f>IF($B51="","",IF(G51="","Not rostered",IFERROR(INDEX(Settings!$C$14:$C$33,MATCH(G51,Settings!$B$14:$B$33,0)),IFERROR(LOOKUP(2^15,SEARCH(Settings!$I$14:$I$83,G51)/(Settings!$I$14:$I$83&lt;&gt;""),Settings!$J$14:$J$83),"Other"))))</f>
        <v/>
      </c>
      <c r="AK51">
        <f>IF($B51="","",IF(H51="","Not rostered",IFERROR(INDEX(Settings!$C$14:$C$33,MATCH(H51,Settings!$B$14:$B$33,0)),IFERROR(LOOKUP(2^15,SEARCH(Settings!$I$14:$I$83,H51)/(Settings!$I$14:$I$83&lt;&gt;""),Settings!$J$14:$J$83),"Other"))))</f>
        <v/>
      </c>
      <c r="AL51">
        <f>IF($B51="","",IF(I51="","Not rostered",IFERROR(INDEX(Settings!$C$14:$C$33,MATCH(I51,Settings!$B$14:$B$33,0)),IFERROR(LOOKUP(2^15,SEARCH(Settings!$I$14:$I$83,I51)/(Settings!$I$14:$I$83&lt;&gt;""),Settings!$J$14:$J$83),"Other"))))</f>
        <v/>
      </c>
      <c r="AM51">
        <f>IF($B51="","",IF(J51="","Not rostered",IFERROR(INDEX(Settings!$C$14:$C$33,MATCH(J51,Settings!$B$14:$B$33,0)),IFERROR(LOOKUP(2^15,SEARCH(Settings!$I$14:$I$83,J51)/(Settings!$I$14:$I$83&lt;&gt;""),Settings!$J$14:$J$83),"Other"))))</f>
        <v/>
      </c>
      <c r="AN51">
        <f>IF($B51="","",IF(K51="","Not rostered",IFERROR(INDEX(Settings!$C$14:$C$33,MATCH(K51,Settings!$B$14:$B$33,0)),IFERROR(LOOKUP(2^15,SEARCH(Settings!$I$14:$I$83,K51)/(Settings!$I$14:$I$83&lt;&gt;""),Settings!$J$14:$J$83),"Other"))))</f>
        <v/>
      </c>
      <c r="AO51">
        <f>IF($B51="","",IF(L51="","Not rostered",IFERROR(INDEX(Settings!$C$14:$C$33,MATCH(L51,Settings!$B$14:$B$33,0)),IFERROR(LOOKUP(2^15,SEARCH(Settings!$I$14:$I$83,L51)/(Settings!$I$14:$I$83&lt;&gt;""),Settings!$J$14:$J$83),"Other"))))</f>
        <v/>
      </c>
      <c r="AP51">
        <f>IF($B51="","",IF(M51="","Not rostered",IFERROR(INDEX(Settings!$C$14:$C$33,MATCH(M51,Settings!$B$14:$B$33,0)),IFERROR(LOOKUP(2^15,SEARCH(Settings!$I$14:$I$83,M51)/(Settings!$I$14:$I$83&lt;&gt;""),Settings!$J$14:$J$83),"Other"))))</f>
        <v/>
      </c>
      <c r="AQ51">
        <f>IF($B51="","",IF(N51="","Not rostered",IFERROR(INDEX(Settings!$C$14:$C$33,MATCH(N51,Settings!$B$14:$B$33,0)),IFERROR(LOOKUP(2^15,SEARCH(Settings!$I$14:$I$83,N51)/(Settings!$I$14:$I$83&lt;&gt;""),Settings!$J$14:$J$83),"Other"))))</f>
        <v/>
      </c>
      <c r="AR51">
        <f>IF($B51="","",IF(O51="","Not rostered",IFERROR(INDEX(Settings!$C$14:$C$33,MATCH(O51,Settings!$B$14:$B$33,0)),IFERROR(LOOKUP(2^15,SEARCH(Settings!$I$14:$I$83,O51)/(Settings!$I$14:$I$83&lt;&gt;""),Settings!$J$14:$J$83),"Other"))))</f>
        <v/>
      </c>
      <c r="AS51">
        <f>IF($B51="","",IF(P51="","Not rostered",IFERROR(INDEX(Settings!$C$14:$C$33,MATCH(P51,Settings!$B$14:$B$33,0)),IFERROR(LOOKUP(2^15,SEARCH(Settings!$I$14:$I$83,P51)/(Settings!$I$14:$I$83&lt;&gt;""),Settings!$J$14:$J$83),"Other"))))</f>
        <v/>
      </c>
      <c r="AT51">
        <f>IF($B51="","",IF(Q51="","Not rostered",IFERROR(INDEX(Settings!$C$14:$C$33,MATCH(Q51,Settings!$B$14:$B$33,0)),IFERROR(LOOKUP(2^15,SEARCH(Settings!$I$14:$I$83,Q51)/(Settings!$I$14:$I$83&lt;&gt;""),Settings!$J$14:$J$83),"Other"))))</f>
        <v/>
      </c>
      <c r="AU51">
        <f>IF($B51="","",IF(R51="","Not rostered",IFERROR(INDEX(Settings!$C$14:$C$33,MATCH(R51,Settings!$B$14:$B$33,0)),IFERROR(LOOKUP(2^15,SEARCH(Settings!$I$14:$I$83,R51)/(Settings!$I$14:$I$83&lt;&gt;""),Settings!$J$14:$J$83),"Other"))))</f>
        <v/>
      </c>
      <c r="AV51">
        <f>IF($B51="","",IF(S51="","Not rostered",IFERROR(INDEX(Settings!$C$14:$C$33,MATCH(S51,Settings!$B$14:$B$33,0)),IFERROR(LOOKUP(2^15,SEARCH(Settings!$I$14:$I$83,S51)/(Settings!$I$14:$I$83&lt;&gt;""),Settings!$J$14:$J$83),"Other"))))</f>
        <v/>
      </c>
      <c r="AW51">
        <f>IF($B51="","",IF(T51="","Not rostered",IFERROR(INDEX(Settings!$C$14:$C$33,MATCH(T51,Settings!$B$14:$B$33,0)),IFERROR(LOOKUP(2^15,SEARCH(Settings!$I$14:$I$83,T51)/(Settings!$I$14:$I$83&lt;&gt;""),Settings!$J$14:$J$83),"Other"))))</f>
        <v/>
      </c>
      <c r="AX51">
        <f>IF($B51="","",IF(U51="","Not rostered",IFERROR(INDEX(Settings!$C$14:$C$33,MATCH(U51,Settings!$B$14:$B$33,0)),IFERROR(LOOKUP(2^15,SEARCH(Settings!$I$14:$I$83,U51)/(Settings!$I$14:$I$83&lt;&gt;""),Settings!$J$14:$J$83),"Other"))))</f>
        <v/>
      </c>
      <c r="AY51">
        <f>IF($B51="","",IF(V51="","Not rostered",IFERROR(INDEX(Settings!$C$14:$C$33,MATCH(V51,Settings!$B$14:$B$33,0)),IFERROR(LOOKUP(2^15,SEARCH(Settings!$I$14:$I$83,V51)/(Settings!$I$14:$I$83&lt;&gt;""),Settings!$J$14:$J$83),"Other"))))</f>
        <v/>
      </c>
      <c r="AZ51">
        <f>IF($B51="","",IF(W51="","Not rostered",IFERROR(INDEX(Settings!$C$14:$C$33,MATCH(W51,Settings!$B$14:$B$33,0)),IFERROR(LOOKUP(2^15,SEARCH(Settings!$I$14:$I$83,W51)/(Settings!$I$14:$I$83&lt;&gt;""),Settings!$J$14:$J$83),"Other"))))</f>
        <v/>
      </c>
      <c r="BA51">
        <f>IF($B51="","",IF(X51="","Not rostered",IFERROR(INDEX(Settings!$C$14:$C$33,MATCH(X51,Settings!$B$14:$B$33,0)),IFERROR(LOOKUP(2^15,SEARCH(Settings!$I$14:$I$83,X51)/(Settings!$I$14:$I$83&lt;&gt;""),Settings!$J$14:$J$83),"Other"))))</f>
        <v/>
      </c>
      <c r="BB51">
        <f>IF($B51="","",IF(Y51="","Not rostered",IFERROR(INDEX(Settings!$C$14:$C$33,MATCH(Y51,Settings!$B$14:$B$33,0)),IFERROR(LOOKUP(2^15,SEARCH(Settings!$I$14:$I$83,Y51)/(Settings!$I$14:$I$83&lt;&gt;""),Settings!$J$14:$J$83),"Other"))))</f>
        <v/>
      </c>
      <c r="BC51">
        <f>IF($B51="","",IF(Z51="","Not rostered",IFERROR(INDEX(Settings!$C$14:$C$33,MATCH(Z51,Settings!$B$14:$B$33,0)),IFERROR(LOOKUP(2^15,SEARCH(Settings!$I$14:$I$83,Z51)/(Settings!$I$14:$I$83&lt;&gt;""),Settings!$J$14:$J$83),"Other"))))</f>
        <v/>
      </c>
      <c r="BD51">
        <f>IF($B51="","",IF(AA51="","Not rostered",IFERROR(INDEX(Settings!$C$14:$C$33,MATCH(AA51,Settings!$B$14:$B$33,0)),IFERROR(LOOKUP(2^15,SEARCH(Settings!$I$14:$I$83,AA51)/(Settings!$I$14:$I$83&lt;&gt;""),Settings!$J$14:$J$83),"Other"))))</f>
        <v/>
      </c>
      <c r="BE51">
        <f>IF($B51="","",IF(AB51="","Not rostered",IFERROR(INDEX(Settings!$C$14:$C$33,MATCH(AB51,Settings!$B$14:$B$33,0)),IFERROR(LOOKUP(2^15,SEARCH(Settings!$I$14:$I$83,AB51)/(Settings!$I$14:$I$83&lt;&gt;""),Settings!$J$14:$J$83),"Other"))))</f>
        <v/>
      </c>
      <c r="BF51">
        <f>IF($B51="","",IF(AC51="","Not rostered",IFERROR(INDEX(Settings!$C$14:$C$33,MATCH(AC51,Settings!$B$14:$B$33,0)),IFERROR(LOOKUP(2^15,SEARCH(Settings!$I$14:$I$83,AC51)/(Settings!$I$14:$I$83&lt;&gt;""),Settings!$J$14:$J$83),"Other"))))</f>
        <v/>
      </c>
      <c r="BG51">
        <f>IF($B51="","",IF(AD51="","Not rostered",IFERROR(INDEX(Settings!$C$14:$C$33,MATCH(AD51,Settings!$B$14:$B$33,0)),IFERROR(LOOKUP(2^15,SEARCH(Settings!$I$14:$I$83,AD51)/(Settings!$I$14:$I$83&lt;&gt;""),Settings!$J$14:$J$83),"Other"))))</f>
        <v/>
      </c>
      <c r="BH51">
        <f>IF($B51="","",IF(AE51="","Not rostered",IFERROR(INDEX(Settings!$C$14:$C$33,MATCH(AE51,Settings!$B$14:$B$33,0)),IFERROR(LOOKUP(2^15,SEARCH(Settings!$I$14:$I$83,AE51)/(Settings!$I$14:$I$83&lt;&gt;""),Settings!$J$14:$J$83),"Other"))))</f>
        <v/>
      </c>
      <c r="BI51">
        <f>IF($B51="","",IF(AF51="","Not rostered",IFERROR(INDEX(Settings!$C$14:$C$33,MATCH(AF51,Settings!$B$14:$B$33,0)),IFERROR(LOOKUP(2^15,SEARCH(Settings!$I$14:$I$83,AF51)/(Settings!$I$14:$I$83&lt;&gt;""),Settings!$J$14:$J$83),"Other"))))</f>
        <v/>
      </c>
      <c r="BJ51">
        <f>IF($B51="","",IF(AG51="","Not rostered",IFERROR(INDEX(Settings!$C$14:$C$33,MATCH(AG51,Settings!$B$14:$B$33,0)),IFERROR(LOOKUP(2^15,SEARCH(Settings!$I$14:$I$83,AG51)/(Settings!$I$14:$I$83&lt;&gt;""),Settings!$J$14:$J$83),"Other"))))</f>
        <v/>
      </c>
      <c r="BL51">
        <f>IF(OR($B51="",F51=""),"",IFERROR(INDEX(Settings!$D$14:$D$33,MATCH(F51,Settings!$B$14:$B$33,0))&amp;"",IFERROR(LOOKUP(2^15,SEARCH(Settings!$F$14:$F$43,F51)/(Settings!$F$14:$F$43&lt;&gt;""),Settings!$G$14:$G$43),"")))</f>
        <v/>
      </c>
      <c r="BM51">
        <f>IF(OR($B51="",G51=""),"",IFERROR(INDEX(Settings!$D$14:$D$33,MATCH(G51,Settings!$B$14:$B$33,0))&amp;"",IFERROR(LOOKUP(2^15,SEARCH(Settings!$F$14:$F$43,G51)/(Settings!$F$14:$F$43&lt;&gt;""),Settings!$G$14:$G$43),"")))</f>
        <v/>
      </c>
      <c r="BN51">
        <f>IF(OR($B51="",H51=""),"",IFERROR(INDEX(Settings!$D$14:$D$33,MATCH(H51,Settings!$B$14:$B$33,0))&amp;"",IFERROR(LOOKUP(2^15,SEARCH(Settings!$F$14:$F$43,H51)/(Settings!$F$14:$F$43&lt;&gt;""),Settings!$G$14:$G$43),"")))</f>
        <v/>
      </c>
      <c r="BO51">
        <f>IF(OR($B51="",I51=""),"",IFERROR(INDEX(Settings!$D$14:$D$33,MATCH(I51,Settings!$B$14:$B$33,0))&amp;"",IFERROR(LOOKUP(2^15,SEARCH(Settings!$F$14:$F$43,I51)/(Settings!$F$14:$F$43&lt;&gt;""),Settings!$G$14:$G$43),"")))</f>
        <v/>
      </c>
      <c r="BP51">
        <f>IF(OR($B51="",J51=""),"",IFERROR(INDEX(Settings!$D$14:$D$33,MATCH(J51,Settings!$B$14:$B$33,0))&amp;"",IFERROR(LOOKUP(2^15,SEARCH(Settings!$F$14:$F$43,J51)/(Settings!$F$14:$F$43&lt;&gt;""),Settings!$G$14:$G$43),"")))</f>
        <v/>
      </c>
      <c r="BQ51">
        <f>IF(OR($B51="",K51=""),"",IFERROR(INDEX(Settings!$D$14:$D$33,MATCH(K51,Settings!$B$14:$B$33,0))&amp;"",IFERROR(LOOKUP(2^15,SEARCH(Settings!$F$14:$F$43,K51)/(Settings!$F$14:$F$43&lt;&gt;""),Settings!$G$14:$G$43),"")))</f>
        <v/>
      </c>
      <c r="BR51">
        <f>IF(OR($B51="",L51=""),"",IFERROR(INDEX(Settings!$D$14:$D$33,MATCH(L51,Settings!$B$14:$B$33,0))&amp;"",IFERROR(LOOKUP(2^15,SEARCH(Settings!$F$14:$F$43,L51)/(Settings!$F$14:$F$43&lt;&gt;""),Settings!$G$14:$G$43),"")))</f>
        <v/>
      </c>
      <c r="BS51">
        <f>IF(OR($B51="",M51=""),"",IFERROR(INDEX(Settings!$D$14:$D$33,MATCH(M51,Settings!$B$14:$B$33,0))&amp;"",IFERROR(LOOKUP(2^15,SEARCH(Settings!$F$14:$F$43,M51)/(Settings!$F$14:$F$43&lt;&gt;""),Settings!$G$14:$G$43),"")))</f>
        <v/>
      </c>
      <c r="BT51">
        <f>IF(OR($B51="",N51=""),"",IFERROR(INDEX(Settings!$D$14:$D$33,MATCH(N51,Settings!$B$14:$B$33,0))&amp;"",IFERROR(LOOKUP(2^15,SEARCH(Settings!$F$14:$F$43,N51)/(Settings!$F$14:$F$43&lt;&gt;""),Settings!$G$14:$G$43),"")))</f>
        <v/>
      </c>
      <c r="BU51">
        <f>IF(OR($B51="",O51=""),"",IFERROR(INDEX(Settings!$D$14:$D$33,MATCH(O51,Settings!$B$14:$B$33,0))&amp;"",IFERROR(LOOKUP(2^15,SEARCH(Settings!$F$14:$F$43,O51)/(Settings!$F$14:$F$43&lt;&gt;""),Settings!$G$14:$G$43),"")))</f>
        <v/>
      </c>
      <c r="BV51">
        <f>IF(OR($B51="",P51=""),"",IFERROR(INDEX(Settings!$D$14:$D$33,MATCH(P51,Settings!$B$14:$B$33,0))&amp;"",IFERROR(LOOKUP(2^15,SEARCH(Settings!$F$14:$F$43,P51)/(Settings!$F$14:$F$43&lt;&gt;""),Settings!$G$14:$G$43),"")))</f>
        <v/>
      </c>
      <c r="BW51">
        <f>IF(OR($B51="",Q51=""),"",IFERROR(INDEX(Settings!$D$14:$D$33,MATCH(Q51,Settings!$B$14:$B$33,0))&amp;"",IFERROR(LOOKUP(2^15,SEARCH(Settings!$F$14:$F$43,Q51)/(Settings!$F$14:$F$43&lt;&gt;""),Settings!$G$14:$G$43),"")))</f>
        <v/>
      </c>
      <c r="BX51">
        <f>IF(OR($B51="",R51=""),"",IFERROR(INDEX(Settings!$D$14:$D$33,MATCH(R51,Settings!$B$14:$B$33,0))&amp;"",IFERROR(LOOKUP(2^15,SEARCH(Settings!$F$14:$F$43,R51)/(Settings!$F$14:$F$43&lt;&gt;""),Settings!$G$14:$G$43),"")))</f>
        <v/>
      </c>
      <c r="BY51">
        <f>IF(OR($B51="",S51=""),"",IFERROR(INDEX(Settings!$D$14:$D$33,MATCH(S51,Settings!$B$14:$B$33,0))&amp;"",IFERROR(LOOKUP(2^15,SEARCH(Settings!$F$14:$F$43,S51)/(Settings!$F$14:$F$43&lt;&gt;""),Settings!$G$14:$G$43),"")))</f>
        <v/>
      </c>
      <c r="BZ51">
        <f>IF(OR($B51="",T51=""),"",IFERROR(INDEX(Settings!$D$14:$D$33,MATCH(T51,Settings!$B$14:$B$33,0))&amp;"",IFERROR(LOOKUP(2^15,SEARCH(Settings!$F$14:$F$43,T51)/(Settings!$F$14:$F$43&lt;&gt;""),Settings!$G$14:$G$43),"")))</f>
        <v/>
      </c>
      <c r="CA51">
        <f>IF(OR($B51="",U51=""),"",IFERROR(INDEX(Settings!$D$14:$D$33,MATCH(U51,Settings!$B$14:$B$33,0))&amp;"",IFERROR(LOOKUP(2^15,SEARCH(Settings!$F$14:$F$43,U51)/(Settings!$F$14:$F$43&lt;&gt;""),Settings!$G$14:$G$43),"")))</f>
        <v/>
      </c>
      <c r="CB51">
        <f>IF(OR($B51="",V51=""),"",IFERROR(INDEX(Settings!$D$14:$D$33,MATCH(V51,Settings!$B$14:$B$33,0))&amp;"",IFERROR(LOOKUP(2^15,SEARCH(Settings!$F$14:$F$43,V51)/(Settings!$F$14:$F$43&lt;&gt;""),Settings!$G$14:$G$43),"")))</f>
        <v/>
      </c>
      <c r="CC51">
        <f>IF(OR($B51="",W51=""),"",IFERROR(INDEX(Settings!$D$14:$D$33,MATCH(W51,Settings!$B$14:$B$33,0))&amp;"",IFERROR(LOOKUP(2^15,SEARCH(Settings!$F$14:$F$43,W51)/(Settings!$F$14:$F$43&lt;&gt;""),Settings!$G$14:$G$43),"")))</f>
        <v/>
      </c>
      <c r="CD51">
        <f>IF(OR($B51="",X51=""),"",IFERROR(INDEX(Settings!$D$14:$D$33,MATCH(X51,Settings!$B$14:$B$33,0))&amp;"",IFERROR(LOOKUP(2^15,SEARCH(Settings!$F$14:$F$43,X51)/(Settings!$F$14:$F$43&lt;&gt;""),Settings!$G$14:$G$43),"")))</f>
        <v/>
      </c>
      <c r="CE51">
        <f>IF(OR($B51="",Y51=""),"",IFERROR(INDEX(Settings!$D$14:$D$33,MATCH(Y51,Settings!$B$14:$B$33,0))&amp;"",IFERROR(LOOKUP(2^15,SEARCH(Settings!$F$14:$F$43,Y51)/(Settings!$F$14:$F$43&lt;&gt;""),Settings!$G$14:$G$43),"")))</f>
        <v/>
      </c>
      <c r="CF51">
        <f>IF(OR($B51="",Z51=""),"",IFERROR(INDEX(Settings!$D$14:$D$33,MATCH(Z51,Settings!$B$14:$B$33,0))&amp;"",IFERROR(LOOKUP(2^15,SEARCH(Settings!$F$14:$F$43,Z51)/(Settings!$F$14:$F$43&lt;&gt;""),Settings!$G$14:$G$43),"")))</f>
        <v/>
      </c>
      <c r="CG51">
        <f>IF(OR($B51="",AA51=""),"",IFERROR(INDEX(Settings!$D$14:$D$33,MATCH(AA51,Settings!$B$14:$B$33,0))&amp;"",IFERROR(LOOKUP(2^15,SEARCH(Settings!$F$14:$F$43,AA51)/(Settings!$F$14:$F$43&lt;&gt;""),Settings!$G$14:$G$43),"")))</f>
        <v/>
      </c>
      <c r="CH51">
        <f>IF(OR($B51="",AB51=""),"",IFERROR(INDEX(Settings!$D$14:$D$33,MATCH(AB51,Settings!$B$14:$B$33,0))&amp;"",IFERROR(LOOKUP(2^15,SEARCH(Settings!$F$14:$F$43,AB51)/(Settings!$F$14:$F$43&lt;&gt;""),Settings!$G$14:$G$43),"")))</f>
        <v/>
      </c>
      <c r="CI51">
        <f>IF(OR($B51="",AC51=""),"",IFERROR(INDEX(Settings!$D$14:$D$33,MATCH(AC51,Settings!$B$14:$B$33,0))&amp;"",IFERROR(LOOKUP(2^15,SEARCH(Settings!$F$14:$F$43,AC51)/(Settings!$F$14:$F$43&lt;&gt;""),Settings!$G$14:$G$43),"")))</f>
        <v/>
      </c>
      <c r="CJ51">
        <f>IF(OR($B51="",AD51=""),"",IFERROR(INDEX(Settings!$D$14:$D$33,MATCH(AD51,Settings!$B$14:$B$33,0))&amp;"",IFERROR(LOOKUP(2^15,SEARCH(Settings!$F$14:$F$43,AD51)/(Settings!$F$14:$F$43&lt;&gt;""),Settings!$G$14:$G$43),"")))</f>
        <v/>
      </c>
      <c r="CK51">
        <f>IF(OR($B51="",AE51=""),"",IFERROR(INDEX(Settings!$D$14:$D$33,MATCH(AE51,Settings!$B$14:$B$33,0))&amp;"",IFERROR(LOOKUP(2^15,SEARCH(Settings!$F$14:$F$43,AE51)/(Settings!$F$14:$F$43&lt;&gt;""),Settings!$G$14:$G$43),"")))</f>
        <v/>
      </c>
      <c r="CL51">
        <f>IF(OR($B51="",AF51=""),"",IFERROR(INDEX(Settings!$D$14:$D$33,MATCH(AF51,Settings!$B$14:$B$33,0))&amp;"",IFERROR(LOOKUP(2^15,SEARCH(Settings!$F$14:$F$43,AF51)/(Settings!$F$14:$F$43&lt;&gt;""),Settings!$G$14:$G$43),"")))</f>
        <v/>
      </c>
      <c r="CM51">
        <f>IF(OR($B51="",AG51=""),"",IFERROR(INDEX(Settings!$D$14:$D$33,MATCH(AG51,Settings!$B$14:$B$33,0))&amp;"",IFERROR(LOOKUP(2^15,SEARCH(Settings!$F$14:$F$43,AG51)/(Settings!$F$14:$F$43&lt;&gt;""),Settings!$G$14:$G$43),"")))</f>
        <v/>
      </c>
    </row>
    <row r="52">
      <c r="A52" t="n">
        <v>50</v>
      </c>
      <c r="B52">
        <f>IFERROR(INDEX(Index!$A$2:$A$202,MATCH(A52,Index!$E$2:$E$202,0)),"")</f>
        <v/>
      </c>
      <c r="D52">
        <f>IF($B52="","",IFERROR(MATCH("Travel*",AI52:BJ52,0),""))</f>
        <v/>
      </c>
      <c r="F52">
        <f>IF(OR($B52="",NOT(ISNUMBER(Settings!$C$9))),"",TRIM(SUBSTITUTE(SUBSTITUTE(INDEX('INPUT - Roster'!$S$1:$SV$206,$B52,Settings!$C$9+0)&amp;"",CHAR(10)," "),CHAR(160)," ")))</f>
        <v/>
      </c>
      <c r="G52">
        <f>IF(OR($B52="",NOT(ISNUMBER(Settings!$C$9))),"",TRIM(SUBSTITUTE(SUBSTITUTE(INDEX('INPUT - Roster'!$S$1:$SV$206,$B52,Settings!$C$9+1)&amp;"",CHAR(10)," "),CHAR(160)," ")))</f>
        <v/>
      </c>
      <c r="H52">
        <f>IF(OR($B52="",NOT(ISNUMBER(Settings!$C$9))),"",TRIM(SUBSTITUTE(SUBSTITUTE(INDEX('INPUT - Roster'!$S$1:$SV$206,$B52,Settings!$C$9+2)&amp;"",CHAR(10)," "),CHAR(160)," ")))</f>
        <v/>
      </c>
      <c r="I52">
        <f>IF(OR($B52="",NOT(ISNUMBER(Settings!$C$9))),"",TRIM(SUBSTITUTE(SUBSTITUTE(INDEX('INPUT - Roster'!$S$1:$SV$206,$B52,Settings!$C$9+3)&amp;"",CHAR(10)," "),CHAR(160)," ")))</f>
        <v/>
      </c>
      <c r="J52">
        <f>IF(OR($B52="",NOT(ISNUMBER(Settings!$C$9))),"",TRIM(SUBSTITUTE(SUBSTITUTE(INDEX('INPUT - Roster'!$S$1:$SV$206,$B52,Settings!$C$9+4)&amp;"",CHAR(10)," "),CHAR(160)," ")))</f>
        <v/>
      </c>
      <c r="K52">
        <f>IF(OR($B52="",NOT(ISNUMBER(Settings!$C$9))),"",TRIM(SUBSTITUTE(SUBSTITUTE(INDEX('INPUT - Roster'!$S$1:$SV$206,$B52,Settings!$C$9+5)&amp;"",CHAR(10)," "),CHAR(160)," ")))</f>
        <v/>
      </c>
      <c r="L52">
        <f>IF(OR($B52="",NOT(ISNUMBER(Settings!$C$9))),"",TRIM(SUBSTITUTE(SUBSTITUTE(INDEX('INPUT - Roster'!$S$1:$SV$206,$B52,Settings!$C$9+6)&amp;"",CHAR(10)," "),CHAR(160)," ")))</f>
        <v/>
      </c>
      <c r="M52">
        <f>IF(OR($B52="",NOT(ISNUMBER(Settings!$C$9))),"",TRIM(SUBSTITUTE(SUBSTITUTE(INDEX('INPUT - Roster'!$S$1:$SV$206,$B52,Settings!$C$9+7)&amp;"",CHAR(10)," "),CHAR(160)," ")))</f>
        <v/>
      </c>
      <c r="N52">
        <f>IF(OR($B52="",NOT(ISNUMBER(Settings!$C$9))),"",TRIM(SUBSTITUTE(SUBSTITUTE(INDEX('INPUT - Roster'!$S$1:$SV$206,$B52,Settings!$C$9+8)&amp;"",CHAR(10)," "),CHAR(160)," ")))</f>
        <v/>
      </c>
      <c r="O52">
        <f>IF(OR($B52="",NOT(ISNUMBER(Settings!$C$9))),"",TRIM(SUBSTITUTE(SUBSTITUTE(INDEX('INPUT - Roster'!$S$1:$SV$206,$B52,Settings!$C$9+9)&amp;"",CHAR(10)," "),CHAR(160)," ")))</f>
        <v/>
      </c>
      <c r="P52">
        <f>IF(OR($B52="",NOT(ISNUMBER(Settings!$C$9))),"",TRIM(SUBSTITUTE(SUBSTITUTE(INDEX('INPUT - Roster'!$S$1:$SV$206,$B52,Settings!$C$9+10)&amp;"",CHAR(10)," "),CHAR(160)," ")))</f>
        <v/>
      </c>
      <c r="Q52">
        <f>IF(OR($B52="",NOT(ISNUMBER(Settings!$C$9))),"",TRIM(SUBSTITUTE(SUBSTITUTE(INDEX('INPUT - Roster'!$S$1:$SV$206,$B52,Settings!$C$9+11)&amp;"",CHAR(10)," "),CHAR(160)," ")))</f>
        <v/>
      </c>
      <c r="R52">
        <f>IF(OR($B52="",NOT(ISNUMBER(Settings!$C$9))),"",TRIM(SUBSTITUTE(SUBSTITUTE(INDEX('INPUT - Roster'!$S$1:$SV$206,$B52,Settings!$C$9+12)&amp;"",CHAR(10)," "),CHAR(160)," ")))</f>
        <v/>
      </c>
      <c r="S52">
        <f>IF(OR($B52="",NOT(ISNUMBER(Settings!$C$9))),"",TRIM(SUBSTITUTE(SUBSTITUTE(INDEX('INPUT - Roster'!$S$1:$SV$206,$B52,Settings!$C$9+13)&amp;"",CHAR(10)," "),CHAR(160)," ")))</f>
        <v/>
      </c>
      <c r="T52">
        <f>IF(OR($B52="",NOT(ISNUMBER(Settings!$C$9))),"",TRIM(SUBSTITUTE(SUBSTITUTE(INDEX('INPUT - Roster'!$S$1:$SV$206,$B52,Settings!$C$9+14)&amp;"",CHAR(10)," "),CHAR(160)," ")))</f>
        <v/>
      </c>
      <c r="U52">
        <f>IF(OR($B52="",NOT(ISNUMBER(Settings!$C$9))),"",TRIM(SUBSTITUTE(SUBSTITUTE(INDEX('INPUT - Roster'!$S$1:$SV$206,$B52,Settings!$C$9+15)&amp;"",CHAR(10)," "),CHAR(160)," ")))</f>
        <v/>
      </c>
      <c r="V52">
        <f>IF(OR($B52="",NOT(ISNUMBER(Settings!$C$9))),"",TRIM(SUBSTITUTE(SUBSTITUTE(INDEX('INPUT - Roster'!$S$1:$SV$206,$B52,Settings!$C$9+16)&amp;"",CHAR(10)," "),CHAR(160)," ")))</f>
        <v/>
      </c>
      <c r="W52">
        <f>IF(OR($B52="",NOT(ISNUMBER(Settings!$C$9))),"",TRIM(SUBSTITUTE(SUBSTITUTE(INDEX('INPUT - Roster'!$S$1:$SV$206,$B52,Settings!$C$9+17)&amp;"",CHAR(10)," "),CHAR(160)," ")))</f>
        <v/>
      </c>
      <c r="X52">
        <f>IF(OR($B52="",NOT(ISNUMBER(Settings!$C$9))),"",TRIM(SUBSTITUTE(SUBSTITUTE(INDEX('INPUT - Roster'!$S$1:$SV$206,$B52,Settings!$C$9+18)&amp;"",CHAR(10)," "),CHAR(160)," ")))</f>
        <v/>
      </c>
      <c r="Y52">
        <f>IF(OR($B52="",NOT(ISNUMBER(Settings!$C$9))),"",TRIM(SUBSTITUTE(SUBSTITUTE(INDEX('INPUT - Roster'!$S$1:$SV$206,$B52,Settings!$C$9+19)&amp;"",CHAR(10)," "),CHAR(160)," ")))</f>
        <v/>
      </c>
      <c r="Z52">
        <f>IF(OR($B52="",NOT(ISNUMBER(Settings!$C$9))),"",TRIM(SUBSTITUTE(SUBSTITUTE(INDEX('INPUT - Roster'!$S$1:$SV$206,$B52,Settings!$C$9+20)&amp;"",CHAR(10)," "),CHAR(160)," ")))</f>
        <v/>
      </c>
      <c r="AA52">
        <f>IF(OR($B52="",NOT(ISNUMBER(Settings!$C$9))),"",TRIM(SUBSTITUTE(SUBSTITUTE(INDEX('INPUT - Roster'!$S$1:$SV$206,$B52,Settings!$C$9+21)&amp;"",CHAR(10)," "),CHAR(160)," ")))</f>
        <v/>
      </c>
      <c r="AB52">
        <f>IF(OR($B52="",NOT(ISNUMBER(Settings!$C$9))),"",TRIM(SUBSTITUTE(SUBSTITUTE(INDEX('INPUT - Roster'!$S$1:$SV$206,$B52,Settings!$C$9+22)&amp;"",CHAR(10)," "),CHAR(160)," ")))</f>
        <v/>
      </c>
      <c r="AC52">
        <f>IF(OR($B52="",NOT(ISNUMBER(Settings!$C$9))),"",TRIM(SUBSTITUTE(SUBSTITUTE(INDEX('INPUT - Roster'!$S$1:$SV$206,$B52,Settings!$C$9+23)&amp;"",CHAR(10)," "),CHAR(160)," ")))</f>
        <v/>
      </c>
      <c r="AD52">
        <f>IF(OR($B52="",NOT(ISNUMBER(Settings!$C$9))),"",TRIM(SUBSTITUTE(SUBSTITUTE(INDEX('INPUT - Roster'!$S$1:$SV$206,$B52,Settings!$C$9+24)&amp;"",CHAR(10)," "),CHAR(160)," ")))</f>
        <v/>
      </c>
      <c r="AE52">
        <f>IF(OR($B52="",NOT(ISNUMBER(Settings!$C$9))),"",TRIM(SUBSTITUTE(SUBSTITUTE(INDEX('INPUT - Roster'!$S$1:$SV$206,$B52,Settings!$C$9+25)&amp;"",CHAR(10)," "),CHAR(160)," ")))</f>
        <v/>
      </c>
      <c r="AF52">
        <f>IF(OR($B52="",NOT(ISNUMBER(Settings!$C$9))),"",TRIM(SUBSTITUTE(SUBSTITUTE(INDEX('INPUT - Roster'!$S$1:$SV$206,$B52,Settings!$C$9+26)&amp;"",CHAR(10)," "),CHAR(160)," ")))</f>
        <v/>
      </c>
      <c r="AG52">
        <f>IF(OR($B52="",NOT(ISNUMBER(Settings!$C$9))),"",TRIM(SUBSTITUTE(SUBSTITUTE(INDEX('INPUT - Roster'!$S$1:$SV$206,$B52,Settings!$C$9+27)&amp;"",CHAR(10)," "),CHAR(160)," ")))</f>
        <v/>
      </c>
      <c r="AI52">
        <f>IF($B52="","",IF(F52="","Not rostered",IFERROR(INDEX(Settings!$C$14:$C$33,MATCH(F52,Settings!$B$14:$B$33,0)),IFERROR(LOOKUP(2^15,SEARCH(Settings!$I$14:$I$83,F52)/(Settings!$I$14:$I$83&lt;&gt;""),Settings!$J$14:$J$83),"Other"))))</f>
        <v/>
      </c>
      <c r="AJ52">
        <f>IF($B52="","",IF(G52="","Not rostered",IFERROR(INDEX(Settings!$C$14:$C$33,MATCH(G52,Settings!$B$14:$B$33,0)),IFERROR(LOOKUP(2^15,SEARCH(Settings!$I$14:$I$83,G52)/(Settings!$I$14:$I$83&lt;&gt;""),Settings!$J$14:$J$83),"Other"))))</f>
        <v/>
      </c>
      <c r="AK52">
        <f>IF($B52="","",IF(H52="","Not rostered",IFERROR(INDEX(Settings!$C$14:$C$33,MATCH(H52,Settings!$B$14:$B$33,0)),IFERROR(LOOKUP(2^15,SEARCH(Settings!$I$14:$I$83,H52)/(Settings!$I$14:$I$83&lt;&gt;""),Settings!$J$14:$J$83),"Other"))))</f>
        <v/>
      </c>
      <c r="AL52">
        <f>IF($B52="","",IF(I52="","Not rostered",IFERROR(INDEX(Settings!$C$14:$C$33,MATCH(I52,Settings!$B$14:$B$33,0)),IFERROR(LOOKUP(2^15,SEARCH(Settings!$I$14:$I$83,I52)/(Settings!$I$14:$I$83&lt;&gt;""),Settings!$J$14:$J$83),"Other"))))</f>
        <v/>
      </c>
      <c r="AM52">
        <f>IF($B52="","",IF(J52="","Not rostered",IFERROR(INDEX(Settings!$C$14:$C$33,MATCH(J52,Settings!$B$14:$B$33,0)),IFERROR(LOOKUP(2^15,SEARCH(Settings!$I$14:$I$83,J52)/(Settings!$I$14:$I$83&lt;&gt;""),Settings!$J$14:$J$83),"Other"))))</f>
        <v/>
      </c>
      <c r="AN52">
        <f>IF($B52="","",IF(K52="","Not rostered",IFERROR(INDEX(Settings!$C$14:$C$33,MATCH(K52,Settings!$B$14:$B$33,0)),IFERROR(LOOKUP(2^15,SEARCH(Settings!$I$14:$I$83,K52)/(Settings!$I$14:$I$83&lt;&gt;""),Settings!$J$14:$J$83),"Other"))))</f>
        <v/>
      </c>
      <c r="AO52">
        <f>IF($B52="","",IF(L52="","Not rostered",IFERROR(INDEX(Settings!$C$14:$C$33,MATCH(L52,Settings!$B$14:$B$33,0)),IFERROR(LOOKUP(2^15,SEARCH(Settings!$I$14:$I$83,L52)/(Settings!$I$14:$I$83&lt;&gt;""),Settings!$J$14:$J$83),"Other"))))</f>
        <v/>
      </c>
      <c r="AP52">
        <f>IF($B52="","",IF(M52="","Not rostered",IFERROR(INDEX(Settings!$C$14:$C$33,MATCH(M52,Settings!$B$14:$B$33,0)),IFERROR(LOOKUP(2^15,SEARCH(Settings!$I$14:$I$83,M52)/(Settings!$I$14:$I$83&lt;&gt;""),Settings!$J$14:$J$83),"Other"))))</f>
        <v/>
      </c>
      <c r="AQ52">
        <f>IF($B52="","",IF(N52="","Not rostered",IFERROR(INDEX(Settings!$C$14:$C$33,MATCH(N52,Settings!$B$14:$B$33,0)),IFERROR(LOOKUP(2^15,SEARCH(Settings!$I$14:$I$83,N52)/(Settings!$I$14:$I$83&lt;&gt;""),Settings!$J$14:$J$83),"Other"))))</f>
        <v/>
      </c>
      <c r="AR52">
        <f>IF($B52="","",IF(O52="","Not rostered",IFERROR(INDEX(Settings!$C$14:$C$33,MATCH(O52,Settings!$B$14:$B$33,0)),IFERROR(LOOKUP(2^15,SEARCH(Settings!$I$14:$I$83,O52)/(Settings!$I$14:$I$83&lt;&gt;""),Settings!$J$14:$J$83),"Other"))))</f>
        <v/>
      </c>
      <c r="AS52">
        <f>IF($B52="","",IF(P52="","Not rostered",IFERROR(INDEX(Settings!$C$14:$C$33,MATCH(P52,Settings!$B$14:$B$33,0)),IFERROR(LOOKUP(2^15,SEARCH(Settings!$I$14:$I$83,P52)/(Settings!$I$14:$I$83&lt;&gt;""),Settings!$J$14:$J$83),"Other"))))</f>
        <v/>
      </c>
      <c r="AT52">
        <f>IF($B52="","",IF(Q52="","Not rostered",IFERROR(INDEX(Settings!$C$14:$C$33,MATCH(Q52,Settings!$B$14:$B$33,0)),IFERROR(LOOKUP(2^15,SEARCH(Settings!$I$14:$I$83,Q52)/(Settings!$I$14:$I$83&lt;&gt;""),Settings!$J$14:$J$83),"Other"))))</f>
        <v/>
      </c>
      <c r="AU52">
        <f>IF($B52="","",IF(R52="","Not rostered",IFERROR(INDEX(Settings!$C$14:$C$33,MATCH(R52,Settings!$B$14:$B$33,0)),IFERROR(LOOKUP(2^15,SEARCH(Settings!$I$14:$I$83,R52)/(Settings!$I$14:$I$83&lt;&gt;""),Settings!$J$14:$J$83),"Other"))))</f>
        <v/>
      </c>
      <c r="AV52">
        <f>IF($B52="","",IF(S52="","Not rostered",IFERROR(INDEX(Settings!$C$14:$C$33,MATCH(S52,Settings!$B$14:$B$33,0)),IFERROR(LOOKUP(2^15,SEARCH(Settings!$I$14:$I$83,S52)/(Settings!$I$14:$I$83&lt;&gt;""),Settings!$J$14:$J$83),"Other"))))</f>
        <v/>
      </c>
      <c r="AW52">
        <f>IF($B52="","",IF(T52="","Not rostered",IFERROR(INDEX(Settings!$C$14:$C$33,MATCH(T52,Settings!$B$14:$B$33,0)),IFERROR(LOOKUP(2^15,SEARCH(Settings!$I$14:$I$83,T52)/(Settings!$I$14:$I$83&lt;&gt;""),Settings!$J$14:$J$83),"Other"))))</f>
        <v/>
      </c>
      <c r="AX52">
        <f>IF($B52="","",IF(U52="","Not rostered",IFERROR(INDEX(Settings!$C$14:$C$33,MATCH(U52,Settings!$B$14:$B$33,0)),IFERROR(LOOKUP(2^15,SEARCH(Settings!$I$14:$I$83,U52)/(Settings!$I$14:$I$83&lt;&gt;""),Settings!$J$14:$J$83),"Other"))))</f>
        <v/>
      </c>
      <c r="AY52">
        <f>IF($B52="","",IF(V52="","Not rostered",IFERROR(INDEX(Settings!$C$14:$C$33,MATCH(V52,Settings!$B$14:$B$33,0)),IFERROR(LOOKUP(2^15,SEARCH(Settings!$I$14:$I$83,V52)/(Settings!$I$14:$I$83&lt;&gt;""),Settings!$J$14:$J$83),"Other"))))</f>
        <v/>
      </c>
      <c r="AZ52">
        <f>IF($B52="","",IF(W52="","Not rostered",IFERROR(INDEX(Settings!$C$14:$C$33,MATCH(W52,Settings!$B$14:$B$33,0)),IFERROR(LOOKUP(2^15,SEARCH(Settings!$I$14:$I$83,W52)/(Settings!$I$14:$I$83&lt;&gt;""),Settings!$J$14:$J$83),"Other"))))</f>
        <v/>
      </c>
      <c r="BA52">
        <f>IF($B52="","",IF(X52="","Not rostered",IFERROR(INDEX(Settings!$C$14:$C$33,MATCH(X52,Settings!$B$14:$B$33,0)),IFERROR(LOOKUP(2^15,SEARCH(Settings!$I$14:$I$83,X52)/(Settings!$I$14:$I$83&lt;&gt;""),Settings!$J$14:$J$83),"Other"))))</f>
        <v/>
      </c>
      <c r="BB52">
        <f>IF($B52="","",IF(Y52="","Not rostered",IFERROR(INDEX(Settings!$C$14:$C$33,MATCH(Y52,Settings!$B$14:$B$33,0)),IFERROR(LOOKUP(2^15,SEARCH(Settings!$I$14:$I$83,Y52)/(Settings!$I$14:$I$83&lt;&gt;""),Settings!$J$14:$J$83),"Other"))))</f>
        <v/>
      </c>
      <c r="BC52">
        <f>IF($B52="","",IF(Z52="","Not rostered",IFERROR(INDEX(Settings!$C$14:$C$33,MATCH(Z52,Settings!$B$14:$B$33,0)),IFERROR(LOOKUP(2^15,SEARCH(Settings!$I$14:$I$83,Z52)/(Settings!$I$14:$I$83&lt;&gt;""),Settings!$J$14:$J$83),"Other"))))</f>
        <v/>
      </c>
      <c r="BD52">
        <f>IF($B52="","",IF(AA52="","Not rostered",IFERROR(INDEX(Settings!$C$14:$C$33,MATCH(AA52,Settings!$B$14:$B$33,0)),IFERROR(LOOKUP(2^15,SEARCH(Settings!$I$14:$I$83,AA52)/(Settings!$I$14:$I$83&lt;&gt;""),Settings!$J$14:$J$83),"Other"))))</f>
        <v/>
      </c>
      <c r="BE52">
        <f>IF($B52="","",IF(AB52="","Not rostered",IFERROR(INDEX(Settings!$C$14:$C$33,MATCH(AB52,Settings!$B$14:$B$33,0)),IFERROR(LOOKUP(2^15,SEARCH(Settings!$I$14:$I$83,AB52)/(Settings!$I$14:$I$83&lt;&gt;""),Settings!$J$14:$J$83),"Other"))))</f>
        <v/>
      </c>
      <c r="BF52">
        <f>IF($B52="","",IF(AC52="","Not rostered",IFERROR(INDEX(Settings!$C$14:$C$33,MATCH(AC52,Settings!$B$14:$B$33,0)),IFERROR(LOOKUP(2^15,SEARCH(Settings!$I$14:$I$83,AC52)/(Settings!$I$14:$I$83&lt;&gt;""),Settings!$J$14:$J$83),"Other"))))</f>
        <v/>
      </c>
      <c r="BG52">
        <f>IF($B52="","",IF(AD52="","Not rostered",IFERROR(INDEX(Settings!$C$14:$C$33,MATCH(AD52,Settings!$B$14:$B$33,0)),IFERROR(LOOKUP(2^15,SEARCH(Settings!$I$14:$I$83,AD52)/(Settings!$I$14:$I$83&lt;&gt;""),Settings!$J$14:$J$83),"Other"))))</f>
        <v/>
      </c>
      <c r="BH52">
        <f>IF($B52="","",IF(AE52="","Not rostered",IFERROR(INDEX(Settings!$C$14:$C$33,MATCH(AE52,Settings!$B$14:$B$33,0)),IFERROR(LOOKUP(2^15,SEARCH(Settings!$I$14:$I$83,AE52)/(Settings!$I$14:$I$83&lt;&gt;""),Settings!$J$14:$J$83),"Other"))))</f>
        <v/>
      </c>
      <c r="BI52">
        <f>IF($B52="","",IF(AF52="","Not rostered",IFERROR(INDEX(Settings!$C$14:$C$33,MATCH(AF52,Settings!$B$14:$B$33,0)),IFERROR(LOOKUP(2^15,SEARCH(Settings!$I$14:$I$83,AF52)/(Settings!$I$14:$I$83&lt;&gt;""),Settings!$J$14:$J$83),"Other"))))</f>
        <v/>
      </c>
      <c r="BJ52">
        <f>IF($B52="","",IF(AG52="","Not rostered",IFERROR(INDEX(Settings!$C$14:$C$33,MATCH(AG52,Settings!$B$14:$B$33,0)),IFERROR(LOOKUP(2^15,SEARCH(Settings!$I$14:$I$83,AG52)/(Settings!$I$14:$I$83&lt;&gt;""),Settings!$J$14:$J$83),"Other"))))</f>
        <v/>
      </c>
      <c r="BL52">
        <f>IF(OR($B52="",F52=""),"",IFERROR(INDEX(Settings!$D$14:$D$33,MATCH(F52,Settings!$B$14:$B$33,0))&amp;"",IFERROR(LOOKUP(2^15,SEARCH(Settings!$F$14:$F$43,F52)/(Settings!$F$14:$F$43&lt;&gt;""),Settings!$G$14:$G$43),"")))</f>
        <v/>
      </c>
      <c r="BM52">
        <f>IF(OR($B52="",G52=""),"",IFERROR(INDEX(Settings!$D$14:$D$33,MATCH(G52,Settings!$B$14:$B$33,0))&amp;"",IFERROR(LOOKUP(2^15,SEARCH(Settings!$F$14:$F$43,G52)/(Settings!$F$14:$F$43&lt;&gt;""),Settings!$G$14:$G$43),"")))</f>
        <v/>
      </c>
      <c r="BN52">
        <f>IF(OR($B52="",H52=""),"",IFERROR(INDEX(Settings!$D$14:$D$33,MATCH(H52,Settings!$B$14:$B$33,0))&amp;"",IFERROR(LOOKUP(2^15,SEARCH(Settings!$F$14:$F$43,H52)/(Settings!$F$14:$F$43&lt;&gt;""),Settings!$G$14:$G$43),"")))</f>
        <v/>
      </c>
      <c r="BO52">
        <f>IF(OR($B52="",I52=""),"",IFERROR(INDEX(Settings!$D$14:$D$33,MATCH(I52,Settings!$B$14:$B$33,0))&amp;"",IFERROR(LOOKUP(2^15,SEARCH(Settings!$F$14:$F$43,I52)/(Settings!$F$14:$F$43&lt;&gt;""),Settings!$G$14:$G$43),"")))</f>
        <v/>
      </c>
      <c r="BP52">
        <f>IF(OR($B52="",J52=""),"",IFERROR(INDEX(Settings!$D$14:$D$33,MATCH(J52,Settings!$B$14:$B$33,0))&amp;"",IFERROR(LOOKUP(2^15,SEARCH(Settings!$F$14:$F$43,J52)/(Settings!$F$14:$F$43&lt;&gt;""),Settings!$G$14:$G$43),"")))</f>
        <v/>
      </c>
      <c r="BQ52">
        <f>IF(OR($B52="",K52=""),"",IFERROR(INDEX(Settings!$D$14:$D$33,MATCH(K52,Settings!$B$14:$B$33,0))&amp;"",IFERROR(LOOKUP(2^15,SEARCH(Settings!$F$14:$F$43,K52)/(Settings!$F$14:$F$43&lt;&gt;""),Settings!$G$14:$G$43),"")))</f>
        <v/>
      </c>
      <c r="BR52">
        <f>IF(OR($B52="",L52=""),"",IFERROR(INDEX(Settings!$D$14:$D$33,MATCH(L52,Settings!$B$14:$B$33,0))&amp;"",IFERROR(LOOKUP(2^15,SEARCH(Settings!$F$14:$F$43,L52)/(Settings!$F$14:$F$43&lt;&gt;""),Settings!$G$14:$G$43),"")))</f>
        <v/>
      </c>
      <c r="BS52">
        <f>IF(OR($B52="",M52=""),"",IFERROR(INDEX(Settings!$D$14:$D$33,MATCH(M52,Settings!$B$14:$B$33,0))&amp;"",IFERROR(LOOKUP(2^15,SEARCH(Settings!$F$14:$F$43,M52)/(Settings!$F$14:$F$43&lt;&gt;""),Settings!$G$14:$G$43),"")))</f>
        <v/>
      </c>
      <c r="BT52">
        <f>IF(OR($B52="",N52=""),"",IFERROR(INDEX(Settings!$D$14:$D$33,MATCH(N52,Settings!$B$14:$B$33,0))&amp;"",IFERROR(LOOKUP(2^15,SEARCH(Settings!$F$14:$F$43,N52)/(Settings!$F$14:$F$43&lt;&gt;""),Settings!$G$14:$G$43),"")))</f>
        <v/>
      </c>
      <c r="BU52">
        <f>IF(OR($B52="",O52=""),"",IFERROR(INDEX(Settings!$D$14:$D$33,MATCH(O52,Settings!$B$14:$B$33,0))&amp;"",IFERROR(LOOKUP(2^15,SEARCH(Settings!$F$14:$F$43,O52)/(Settings!$F$14:$F$43&lt;&gt;""),Settings!$G$14:$G$43),"")))</f>
        <v/>
      </c>
      <c r="BV52">
        <f>IF(OR($B52="",P52=""),"",IFERROR(INDEX(Settings!$D$14:$D$33,MATCH(P52,Settings!$B$14:$B$33,0))&amp;"",IFERROR(LOOKUP(2^15,SEARCH(Settings!$F$14:$F$43,P52)/(Settings!$F$14:$F$43&lt;&gt;""),Settings!$G$14:$G$43),"")))</f>
        <v/>
      </c>
      <c r="BW52">
        <f>IF(OR($B52="",Q52=""),"",IFERROR(INDEX(Settings!$D$14:$D$33,MATCH(Q52,Settings!$B$14:$B$33,0))&amp;"",IFERROR(LOOKUP(2^15,SEARCH(Settings!$F$14:$F$43,Q52)/(Settings!$F$14:$F$43&lt;&gt;""),Settings!$G$14:$G$43),"")))</f>
        <v/>
      </c>
      <c r="BX52">
        <f>IF(OR($B52="",R52=""),"",IFERROR(INDEX(Settings!$D$14:$D$33,MATCH(R52,Settings!$B$14:$B$33,0))&amp;"",IFERROR(LOOKUP(2^15,SEARCH(Settings!$F$14:$F$43,R52)/(Settings!$F$14:$F$43&lt;&gt;""),Settings!$G$14:$G$43),"")))</f>
        <v/>
      </c>
      <c r="BY52">
        <f>IF(OR($B52="",S52=""),"",IFERROR(INDEX(Settings!$D$14:$D$33,MATCH(S52,Settings!$B$14:$B$33,0))&amp;"",IFERROR(LOOKUP(2^15,SEARCH(Settings!$F$14:$F$43,S52)/(Settings!$F$14:$F$43&lt;&gt;""),Settings!$G$14:$G$43),"")))</f>
        <v/>
      </c>
      <c r="BZ52">
        <f>IF(OR($B52="",T52=""),"",IFERROR(INDEX(Settings!$D$14:$D$33,MATCH(T52,Settings!$B$14:$B$33,0))&amp;"",IFERROR(LOOKUP(2^15,SEARCH(Settings!$F$14:$F$43,T52)/(Settings!$F$14:$F$43&lt;&gt;""),Settings!$G$14:$G$43),"")))</f>
        <v/>
      </c>
      <c r="CA52">
        <f>IF(OR($B52="",U52=""),"",IFERROR(INDEX(Settings!$D$14:$D$33,MATCH(U52,Settings!$B$14:$B$33,0))&amp;"",IFERROR(LOOKUP(2^15,SEARCH(Settings!$F$14:$F$43,U52)/(Settings!$F$14:$F$43&lt;&gt;""),Settings!$G$14:$G$43),"")))</f>
        <v/>
      </c>
      <c r="CB52">
        <f>IF(OR($B52="",V52=""),"",IFERROR(INDEX(Settings!$D$14:$D$33,MATCH(V52,Settings!$B$14:$B$33,0))&amp;"",IFERROR(LOOKUP(2^15,SEARCH(Settings!$F$14:$F$43,V52)/(Settings!$F$14:$F$43&lt;&gt;""),Settings!$G$14:$G$43),"")))</f>
        <v/>
      </c>
      <c r="CC52">
        <f>IF(OR($B52="",W52=""),"",IFERROR(INDEX(Settings!$D$14:$D$33,MATCH(W52,Settings!$B$14:$B$33,0))&amp;"",IFERROR(LOOKUP(2^15,SEARCH(Settings!$F$14:$F$43,W52)/(Settings!$F$14:$F$43&lt;&gt;""),Settings!$G$14:$G$43),"")))</f>
        <v/>
      </c>
      <c r="CD52">
        <f>IF(OR($B52="",X52=""),"",IFERROR(INDEX(Settings!$D$14:$D$33,MATCH(X52,Settings!$B$14:$B$33,0))&amp;"",IFERROR(LOOKUP(2^15,SEARCH(Settings!$F$14:$F$43,X52)/(Settings!$F$14:$F$43&lt;&gt;""),Settings!$G$14:$G$43),"")))</f>
        <v/>
      </c>
      <c r="CE52">
        <f>IF(OR($B52="",Y52=""),"",IFERROR(INDEX(Settings!$D$14:$D$33,MATCH(Y52,Settings!$B$14:$B$33,0))&amp;"",IFERROR(LOOKUP(2^15,SEARCH(Settings!$F$14:$F$43,Y52)/(Settings!$F$14:$F$43&lt;&gt;""),Settings!$G$14:$G$43),"")))</f>
        <v/>
      </c>
      <c r="CF52">
        <f>IF(OR($B52="",Z52=""),"",IFERROR(INDEX(Settings!$D$14:$D$33,MATCH(Z52,Settings!$B$14:$B$33,0))&amp;"",IFERROR(LOOKUP(2^15,SEARCH(Settings!$F$14:$F$43,Z52)/(Settings!$F$14:$F$43&lt;&gt;""),Settings!$G$14:$G$43),"")))</f>
        <v/>
      </c>
      <c r="CG52">
        <f>IF(OR($B52="",AA52=""),"",IFERROR(INDEX(Settings!$D$14:$D$33,MATCH(AA52,Settings!$B$14:$B$33,0))&amp;"",IFERROR(LOOKUP(2^15,SEARCH(Settings!$F$14:$F$43,AA52)/(Settings!$F$14:$F$43&lt;&gt;""),Settings!$G$14:$G$43),"")))</f>
        <v/>
      </c>
      <c r="CH52">
        <f>IF(OR($B52="",AB52=""),"",IFERROR(INDEX(Settings!$D$14:$D$33,MATCH(AB52,Settings!$B$14:$B$33,0))&amp;"",IFERROR(LOOKUP(2^15,SEARCH(Settings!$F$14:$F$43,AB52)/(Settings!$F$14:$F$43&lt;&gt;""),Settings!$G$14:$G$43),"")))</f>
        <v/>
      </c>
      <c r="CI52">
        <f>IF(OR($B52="",AC52=""),"",IFERROR(INDEX(Settings!$D$14:$D$33,MATCH(AC52,Settings!$B$14:$B$33,0))&amp;"",IFERROR(LOOKUP(2^15,SEARCH(Settings!$F$14:$F$43,AC52)/(Settings!$F$14:$F$43&lt;&gt;""),Settings!$G$14:$G$43),"")))</f>
        <v/>
      </c>
      <c r="CJ52">
        <f>IF(OR($B52="",AD52=""),"",IFERROR(INDEX(Settings!$D$14:$D$33,MATCH(AD52,Settings!$B$14:$B$33,0))&amp;"",IFERROR(LOOKUP(2^15,SEARCH(Settings!$F$14:$F$43,AD52)/(Settings!$F$14:$F$43&lt;&gt;""),Settings!$G$14:$G$43),"")))</f>
        <v/>
      </c>
      <c r="CK52">
        <f>IF(OR($B52="",AE52=""),"",IFERROR(INDEX(Settings!$D$14:$D$33,MATCH(AE52,Settings!$B$14:$B$33,0))&amp;"",IFERROR(LOOKUP(2^15,SEARCH(Settings!$F$14:$F$43,AE52)/(Settings!$F$14:$F$43&lt;&gt;""),Settings!$G$14:$G$43),"")))</f>
        <v/>
      </c>
      <c r="CL52">
        <f>IF(OR($B52="",AF52=""),"",IFERROR(INDEX(Settings!$D$14:$D$33,MATCH(AF52,Settings!$B$14:$B$33,0))&amp;"",IFERROR(LOOKUP(2^15,SEARCH(Settings!$F$14:$F$43,AF52)/(Settings!$F$14:$F$43&lt;&gt;""),Settings!$G$14:$G$43),"")))</f>
        <v/>
      </c>
      <c r="CM52">
        <f>IF(OR($B52="",AG52=""),"",IFERROR(INDEX(Settings!$D$14:$D$33,MATCH(AG52,Settings!$B$14:$B$33,0))&amp;"",IFERROR(LOOKUP(2^15,SEARCH(Settings!$F$14:$F$43,AG52)/(Settings!$F$14:$F$43&lt;&gt;""),Settings!$G$14:$G$43),"")))</f>
        <v/>
      </c>
    </row>
    <row r="53">
      <c r="A53" t="n">
        <v>51</v>
      </c>
      <c r="B53">
        <f>IFERROR(INDEX(Index!$A$2:$A$202,MATCH(A53,Index!$E$2:$E$202,0)),"")</f>
        <v/>
      </c>
      <c r="D53">
        <f>IF($B53="","",IFERROR(MATCH("Travel*",AI53:BJ53,0),""))</f>
        <v/>
      </c>
      <c r="F53">
        <f>IF(OR($B53="",NOT(ISNUMBER(Settings!$C$9))),"",TRIM(SUBSTITUTE(SUBSTITUTE(INDEX('INPUT - Roster'!$S$1:$SV$206,$B53,Settings!$C$9+0)&amp;"",CHAR(10)," "),CHAR(160)," ")))</f>
        <v/>
      </c>
      <c r="G53">
        <f>IF(OR($B53="",NOT(ISNUMBER(Settings!$C$9))),"",TRIM(SUBSTITUTE(SUBSTITUTE(INDEX('INPUT - Roster'!$S$1:$SV$206,$B53,Settings!$C$9+1)&amp;"",CHAR(10)," "),CHAR(160)," ")))</f>
        <v/>
      </c>
      <c r="H53">
        <f>IF(OR($B53="",NOT(ISNUMBER(Settings!$C$9))),"",TRIM(SUBSTITUTE(SUBSTITUTE(INDEX('INPUT - Roster'!$S$1:$SV$206,$B53,Settings!$C$9+2)&amp;"",CHAR(10)," "),CHAR(160)," ")))</f>
        <v/>
      </c>
      <c r="I53">
        <f>IF(OR($B53="",NOT(ISNUMBER(Settings!$C$9))),"",TRIM(SUBSTITUTE(SUBSTITUTE(INDEX('INPUT - Roster'!$S$1:$SV$206,$B53,Settings!$C$9+3)&amp;"",CHAR(10)," "),CHAR(160)," ")))</f>
        <v/>
      </c>
      <c r="J53">
        <f>IF(OR($B53="",NOT(ISNUMBER(Settings!$C$9))),"",TRIM(SUBSTITUTE(SUBSTITUTE(INDEX('INPUT - Roster'!$S$1:$SV$206,$B53,Settings!$C$9+4)&amp;"",CHAR(10)," "),CHAR(160)," ")))</f>
        <v/>
      </c>
      <c r="K53">
        <f>IF(OR($B53="",NOT(ISNUMBER(Settings!$C$9))),"",TRIM(SUBSTITUTE(SUBSTITUTE(INDEX('INPUT - Roster'!$S$1:$SV$206,$B53,Settings!$C$9+5)&amp;"",CHAR(10)," "),CHAR(160)," ")))</f>
        <v/>
      </c>
      <c r="L53">
        <f>IF(OR($B53="",NOT(ISNUMBER(Settings!$C$9))),"",TRIM(SUBSTITUTE(SUBSTITUTE(INDEX('INPUT - Roster'!$S$1:$SV$206,$B53,Settings!$C$9+6)&amp;"",CHAR(10)," "),CHAR(160)," ")))</f>
        <v/>
      </c>
      <c r="M53">
        <f>IF(OR($B53="",NOT(ISNUMBER(Settings!$C$9))),"",TRIM(SUBSTITUTE(SUBSTITUTE(INDEX('INPUT - Roster'!$S$1:$SV$206,$B53,Settings!$C$9+7)&amp;"",CHAR(10)," "),CHAR(160)," ")))</f>
        <v/>
      </c>
      <c r="N53">
        <f>IF(OR($B53="",NOT(ISNUMBER(Settings!$C$9))),"",TRIM(SUBSTITUTE(SUBSTITUTE(INDEX('INPUT - Roster'!$S$1:$SV$206,$B53,Settings!$C$9+8)&amp;"",CHAR(10)," "),CHAR(160)," ")))</f>
        <v/>
      </c>
      <c r="O53">
        <f>IF(OR($B53="",NOT(ISNUMBER(Settings!$C$9))),"",TRIM(SUBSTITUTE(SUBSTITUTE(INDEX('INPUT - Roster'!$S$1:$SV$206,$B53,Settings!$C$9+9)&amp;"",CHAR(10)," "),CHAR(160)," ")))</f>
        <v/>
      </c>
      <c r="P53">
        <f>IF(OR($B53="",NOT(ISNUMBER(Settings!$C$9))),"",TRIM(SUBSTITUTE(SUBSTITUTE(INDEX('INPUT - Roster'!$S$1:$SV$206,$B53,Settings!$C$9+10)&amp;"",CHAR(10)," "),CHAR(160)," ")))</f>
        <v/>
      </c>
      <c r="Q53">
        <f>IF(OR($B53="",NOT(ISNUMBER(Settings!$C$9))),"",TRIM(SUBSTITUTE(SUBSTITUTE(INDEX('INPUT - Roster'!$S$1:$SV$206,$B53,Settings!$C$9+11)&amp;"",CHAR(10)," "),CHAR(160)," ")))</f>
        <v/>
      </c>
      <c r="R53">
        <f>IF(OR($B53="",NOT(ISNUMBER(Settings!$C$9))),"",TRIM(SUBSTITUTE(SUBSTITUTE(INDEX('INPUT - Roster'!$S$1:$SV$206,$B53,Settings!$C$9+12)&amp;"",CHAR(10)," "),CHAR(160)," ")))</f>
        <v/>
      </c>
      <c r="S53">
        <f>IF(OR($B53="",NOT(ISNUMBER(Settings!$C$9))),"",TRIM(SUBSTITUTE(SUBSTITUTE(INDEX('INPUT - Roster'!$S$1:$SV$206,$B53,Settings!$C$9+13)&amp;"",CHAR(10)," "),CHAR(160)," ")))</f>
        <v/>
      </c>
      <c r="T53">
        <f>IF(OR($B53="",NOT(ISNUMBER(Settings!$C$9))),"",TRIM(SUBSTITUTE(SUBSTITUTE(INDEX('INPUT - Roster'!$S$1:$SV$206,$B53,Settings!$C$9+14)&amp;"",CHAR(10)," "),CHAR(160)," ")))</f>
        <v/>
      </c>
      <c r="U53">
        <f>IF(OR($B53="",NOT(ISNUMBER(Settings!$C$9))),"",TRIM(SUBSTITUTE(SUBSTITUTE(INDEX('INPUT - Roster'!$S$1:$SV$206,$B53,Settings!$C$9+15)&amp;"",CHAR(10)," "),CHAR(160)," ")))</f>
        <v/>
      </c>
      <c r="V53">
        <f>IF(OR($B53="",NOT(ISNUMBER(Settings!$C$9))),"",TRIM(SUBSTITUTE(SUBSTITUTE(INDEX('INPUT - Roster'!$S$1:$SV$206,$B53,Settings!$C$9+16)&amp;"",CHAR(10)," "),CHAR(160)," ")))</f>
        <v/>
      </c>
      <c r="W53">
        <f>IF(OR($B53="",NOT(ISNUMBER(Settings!$C$9))),"",TRIM(SUBSTITUTE(SUBSTITUTE(INDEX('INPUT - Roster'!$S$1:$SV$206,$B53,Settings!$C$9+17)&amp;"",CHAR(10)," "),CHAR(160)," ")))</f>
        <v/>
      </c>
      <c r="X53">
        <f>IF(OR($B53="",NOT(ISNUMBER(Settings!$C$9))),"",TRIM(SUBSTITUTE(SUBSTITUTE(INDEX('INPUT - Roster'!$S$1:$SV$206,$B53,Settings!$C$9+18)&amp;"",CHAR(10)," "),CHAR(160)," ")))</f>
        <v/>
      </c>
      <c r="Y53">
        <f>IF(OR($B53="",NOT(ISNUMBER(Settings!$C$9))),"",TRIM(SUBSTITUTE(SUBSTITUTE(INDEX('INPUT - Roster'!$S$1:$SV$206,$B53,Settings!$C$9+19)&amp;"",CHAR(10)," "),CHAR(160)," ")))</f>
        <v/>
      </c>
      <c r="Z53">
        <f>IF(OR($B53="",NOT(ISNUMBER(Settings!$C$9))),"",TRIM(SUBSTITUTE(SUBSTITUTE(INDEX('INPUT - Roster'!$S$1:$SV$206,$B53,Settings!$C$9+20)&amp;"",CHAR(10)," "),CHAR(160)," ")))</f>
        <v/>
      </c>
      <c r="AA53">
        <f>IF(OR($B53="",NOT(ISNUMBER(Settings!$C$9))),"",TRIM(SUBSTITUTE(SUBSTITUTE(INDEX('INPUT - Roster'!$S$1:$SV$206,$B53,Settings!$C$9+21)&amp;"",CHAR(10)," "),CHAR(160)," ")))</f>
        <v/>
      </c>
      <c r="AB53">
        <f>IF(OR($B53="",NOT(ISNUMBER(Settings!$C$9))),"",TRIM(SUBSTITUTE(SUBSTITUTE(INDEX('INPUT - Roster'!$S$1:$SV$206,$B53,Settings!$C$9+22)&amp;"",CHAR(10)," "),CHAR(160)," ")))</f>
        <v/>
      </c>
      <c r="AC53">
        <f>IF(OR($B53="",NOT(ISNUMBER(Settings!$C$9))),"",TRIM(SUBSTITUTE(SUBSTITUTE(INDEX('INPUT - Roster'!$S$1:$SV$206,$B53,Settings!$C$9+23)&amp;"",CHAR(10)," "),CHAR(160)," ")))</f>
        <v/>
      </c>
      <c r="AD53">
        <f>IF(OR($B53="",NOT(ISNUMBER(Settings!$C$9))),"",TRIM(SUBSTITUTE(SUBSTITUTE(INDEX('INPUT - Roster'!$S$1:$SV$206,$B53,Settings!$C$9+24)&amp;"",CHAR(10)," "),CHAR(160)," ")))</f>
        <v/>
      </c>
      <c r="AE53">
        <f>IF(OR($B53="",NOT(ISNUMBER(Settings!$C$9))),"",TRIM(SUBSTITUTE(SUBSTITUTE(INDEX('INPUT - Roster'!$S$1:$SV$206,$B53,Settings!$C$9+25)&amp;"",CHAR(10)," "),CHAR(160)," ")))</f>
        <v/>
      </c>
      <c r="AF53">
        <f>IF(OR($B53="",NOT(ISNUMBER(Settings!$C$9))),"",TRIM(SUBSTITUTE(SUBSTITUTE(INDEX('INPUT - Roster'!$S$1:$SV$206,$B53,Settings!$C$9+26)&amp;"",CHAR(10)," "),CHAR(160)," ")))</f>
        <v/>
      </c>
      <c r="AG53">
        <f>IF(OR($B53="",NOT(ISNUMBER(Settings!$C$9))),"",TRIM(SUBSTITUTE(SUBSTITUTE(INDEX('INPUT - Roster'!$S$1:$SV$206,$B53,Settings!$C$9+27)&amp;"",CHAR(10)," "),CHAR(160)," ")))</f>
        <v/>
      </c>
      <c r="AI53">
        <f>IF($B53="","",IF(F53="","Not rostered",IFERROR(INDEX(Settings!$C$14:$C$33,MATCH(F53,Settings!$B$14:$B$33,0)),IFERROR(LOOKUP(2^15,SEARCH(Settings!$I$14:$I$83,F53)/(Settings!$I$14:$I$83&lt;&gt;""),Settings!$J$14:$J$83),"Other"))))</f>
        <v/>
      </c>
      <c r="AJ53">
        <f>IF($B53="","",IF(G53="","Not rostered",IFERROR(INDEX(Settings!$C$14:$C$33,MATCH(G53,Settings!$B$14:$B$33,0)),IFERROR(LOOKUP(2^15,SEARCH(Settings!$I$14:$I$83,G53)/(Settings!$I$14:$I$83&lt;&gt;""),Settings!$J$14:$J$83),"Other"))))</f>
        <v/>
      </c>
      <c r="AK53">
        <f>IF($B53="","",IF(H53="","Not rostered",IFERROR(INDEX(Settings!$C$14:$C$33,MATCH(H53,Settings!$B$14:$B$33,0)),IFERROR(LOOKUP(2^15,SEARCH(Settings!$I$14:$I$83,H53)/(Settings!$I$14:$I$83&lt;&gt;""),Settings!$J$14:$J$83),"Other"))))</f>
        <v/>
      </c>
      <c r="AL53">
        <f>IF($B53="","",IF(I53="","Not rostered",IFERROR(INDEX(Settings!$C$14:$C$33,MATCH(I53,Settings!$B$14:$B$33,0)),IFERROR(LOOKUP(2^15,SEARCH(Settings!$I$14:$I$83,I53)/(Settings!$I$14:$I$83&lt;&gt;""),Settings!$J$14:$J$83),"Other"))))</f>
        <v/>
      </c>
      <c r="AM53">
        <f>IF($B53="","",IF(J53="","Not rostered",IFERROR(INDEX(Settings!$C$14:$C$33,MATCH(J53,Settings!$B$14:$B$33,0)),IFERROR(LOOKUP(2^15,SEARCH(Settings!$I$14:$I$83,J53)/(Settings!$I$14:$I$83&lt;&gt;""),Settings!$J$14:$J$83),"Other"))))</f>
        <v/>
      </c>
      <c r="AN53">
        <f>IF($B53="","",IF(K53="","Not rostered",IFERROR(INDEX(Settings!$C$14:$C$33,MATCH(K53,Settings!$B$14:$B$33,0)),IFERROR(LOOKUP(2^15,SEARCH(Settings!$I$14:$I$83,K53)/(Settings!$I$14:$I$83&lt;&gt;""),Settings!$J$14:$J$83),"Other"))))</f>
        <v/>
      </c>
      <c r="AO53">
        <f>IF($B53="","",IF(L53="","Not rostered",IFERROR(INDEX(Settings!$C$14:$C$33,MATCH(L53,Settings!$B$14:$B$33,0)),IFERROR(LOOKUP(2^15,SEARCH(Settings!$I$14:$I$83,L53)/(Settings!$I$14:$I$83&lt;&gt;""),Settings!$J$14:$J$83),"Other"))))</f>
        <v/>
      </c>
      <c r="AP53">
        <f>IF($B53="","",IF(M53="","Not rostered",IFERROR(INDEX(Settings!$C$14:$C$33,MATCH(M53,Settings!$B$14:$B$33,0)),IFERROR(LOOKUP(2^15,SEARCH(Settings!$I$14:$I$83,M53)/(Settings!$I$14:$I$83&lt;&gt;""),Settings!$J$14:$J$83),"Other"))))</f>
        <v/>
      </c>
      <c r="AQ53">
        <f>IF($B53="","",IF(N53="","Not rostered",IFERROR(INDEX(Settings!$C$14:$C$33,MATCH(N53,Settings!$B$14:$B$33,0)),IFERROR(LOOKUP(2^15,SEARCH(Settings!$I$14:$I$83,N53)/(Settings!$I$14:$I$83&lt;&gt;""),Settings!$J$14:$J$83),"Other"))))</f>
        <v/>
      </c>
      <c r="AR53">
        <f>IF($B53="","",IF(O53="","Not rostered",IFERROR(INDEX(Settings!$C$14:$C$33,MATCH(O53,Settings!$B$14:$B$33,0)),IFERROR(LOOKUP(2^15,SEARCH(Settings!$I$14:$I$83,O53)/(Settings!$I$14:$I$83&lt;&gt;""),Settings!$J$14:$J$83),"Other"))))</f>
        <v/>
      </c>
      <c r="AS53">
        <f>IF($B53="","",IF(P53="","Not rostered",IFERROR(INDEX(Settings!$C$14:$C$33,MATCH(P53,Settings!$B$14:$B$33,0)),IFERROR(LOOKUP(2^15,SEARCH(Settings!$I$14:$I$83,P53)/(Settings!$I$14:$I$83&lt;&gt;""),Settings!$J$14:$J$83),"Other"))))</f>
        <v/>
      </c>
      <c r="AT53">
        <f>IF($B53="","",IF(Q53="","Not rostered",IFERROR(INDEX(Settings!$C$14:$C$33,MATCH(Q53,Settings!$B$14:$B$33,0)),IFERROR(LOOKUP(2^15,SEARCH(Settings!$I$14:$I$83,Q53)/(Settings!$I$14:$I$83&lt;&gt;""),Settings!$J$14:$J$83),"Other"))))</f>
        <v/>
      </c>
      <c r="AU53">
        <f>IF($B53="","",IF(R53="","Not rostered",IFERROR(INDEX(Settings!$C$14:$C$33,MATCH(R53,Settings!$B$14:$B$33,0)),IFERROR(LOOKUP(2^15,SEARCH(Settings!$I$14:$I$83,R53)/(Settings!$I$14:$I$83&lt;&gt;""),Settings!$J$14:$J$83),"Other"))))</f>
        <v/>
      </c>
      <c r="AV53">
        <f>IF($B53="","",IF(S53="","Not rostered",IFERROR(INDEX(Settings!$C$14:$C$33,MATCH(S53,Settings!$B$14:$B$33,0)),IFERROR(LOOKUP(2^15,SEARCH(Settings!$I$14:$I$83,S53)/(Settings!$I$14:$I$83&lt;&gt;""),Settings!$J$14:$J$83),"Other"))))</f>
        <v/>
      </c>
      <c r="AW53">
        <f>IF($B53="","",IF(T53="","Not rostered",IFERROR(INDEX(Settings!$C$14:$C$33,MATCH(T53,Settings!$B$14:$B$33,0)),IFERROR(LOOKUP(2^15,SEARCH(Settings!$I$14:$I$83,T53)/(Settings!$I$14:$I$83&lt;&gt;""),Settings!$J$14:$J$83),"Other"))))</f>
        <v/>
      </c>
      <c r="AX53">
        <f>IF($B53="","",IF(U53="","Not rostered",IFERROR(INDEX(Settings!$C$14:$C$33,MATCH(U53,Settings!$B$14:$B$33,0)),IFERROR(LOOKUP(2^15,SEARCH(Settings!$I$14:$I$83,U53)/(Settings!$I$14:$I$83&lt;&gt;""),Settings!$J$14:$J$83),"Other"))))</f>
        <v/>
      </c>
      <c r="AY53">
        <f>IF($B53="","",IF(V53="","Not rostered",IFERROR(INDEX(Settings!$C$14:$C$33,MATCH(V53,Settings!$B$14:$B$33,0)),IFERROR(LOOKUP(2^15,SEARCH(Settings!$I$14:$I$83,V53)/(Settings!$I$14:$I$83&lt;&gt;""),Settings!$J$14:$J$83),"Other"))))</f>
        <v/>
      </c>
      <c r="AZ53">
        <f>IF($B53="","",IF(W53="","Not rostered",IFERROR(INDEX(Settings!$C$14:$C$33,MATCH(W53,Settings!$B$14:$B$33,0)),IFERROR(LOOKUP(2^15,SEARCH(Settings!$I$14:$I$83,W53)/(Settings!$I$14:$I$83&lt;&gt;""),Settings!$J$14:$J$83),"Other"))))</f>
        <v/>
      </c>
      <c r="BA53">
        <f>IF($B53="","",IF(X53="","Not rostered",IFERROR(INDEX(Settings!$C$14:$C$33,MATCH(X53,Settings!$B$14:$B$33,0)),IFERROR(LOOKUP(2^15,SEARCH(Settings!$I$14:$I$83,X53)/(Settings!$I$14:$I$83&lt;&gt;""),Settings!$J$14:$J$83),"Other"))))</f>
        <v/>
      </c>
      <c r="BB53">
        <f>IF($B53="","",IF(Y53="","Not rostered",IFERROR(INDEX(Settings!$C$14:$C$33,MATCH(Y53,Settings!$B$14:$B$33,0)),IFERROR(LOOKUP(2^15,SEARCH(Settings!$I$14:$I$83,Y53)/(Settings!$I$14:$I$83&lt;&gt;""),Settings!$J$14:$J$83),"Other"))))</f>
        <v/>
      </c>
      <c r="BC53">
        <f>IF($B53="","",IF(Z53="","Not rostered",IFERROR(INDEX(Settings!$C$14:$C$33,MATCH(Z53,Settings!$B$14:$B$33,0)),IFERROR(LOOKUP(2^15,SEARCH(Settings!$I$14:$I$83,Z53)/(Settings!$I$14:$I$83&lt;&gt;""),Settings!$J$14:$J$83),"Other"))))</f>
        <v/>
      </c>
      <c r="BD53">
        <f>IF($B53="","",IF(AA53="","Not rostered",IFERROR(INDEX(Settings!$C$14:$C$33,MATCH(AA53,Settings!$B$14:$B$33,0)),IFERROR(LOOKUP(2^15,SEARCH(Settings!$I$14:$I$83,AA53)/(Settings!$I$14:$I$83&lt;&gt;""),Settings!$J$14:$J$83),"Other"))))</f>
        <v/>
      </c>
      <c r="BE53">
        <f>IF($B53="","",IF(AB53="","Not rostered",IFERROR(INDEX(Settings!$C$14:$C$33,MATCH(AB53,Settings!$B$14:$B$33,0)),IFERROR(LOOKUP(2^15,SEARCH(Settings!$I$14:$I$83,AB53)/(Settings!$I$14:$I$83&lt;&gt;""),Settings!$J$14:$J$83),"Other"))))</f>
        <v/>
      </c>
      <c r="BF53">
        <f>IF($B53="","",IF(AC53="","Not rostered",IFERROR(INDEX(Settings!$C$14:$C$33,MATCH(AC53,Settings!$B$14:$B$33,0)),IFERROR(LOOKUP(2^15,SEARCH(Settings!$I$14:$I$83,AC53)/(Settings!$I$14:$I$83&lt;&gt;""),Settings!$J$14:$J$83),"Other"))))</f>
        <v/>
      </c>
      <c r="BG53">
        <f>IF($B53="","",IF(AD53="","Not rostered",IFERROR(INDEX(Settings!$C$14:$C$33,MATCH(AD53,Settings!$B$14:$B$33,0)),IFERROR(LOOKUP(2^15,SEARCH(Settings!$I$14:$I$83,AD53)/(Settings!$I$14:$I$83&lt;&gt;""),Settings!$J$14:$J$83),"Other"))))</f>
        <v/>
      </c>
      <c r="BH53">
        <f>IF($B53="","",IF(AE53="","Not rostered",IFERROR(INDEX(Settings!$C$14:$C$33,MATCH(AE53,Settings!$B$14:$B$33,0)),IFERROR(LOOKUP(2^15,SEARCH(Settings!$I$14:$I$83,AE53)/(Settings!$I$14:$I$83&lt;&gt;""),Settings!$J$14:$J$83),"Other"))))</f>
        <v/>
      </c>
      <c r="BI53">
        <f>IF($B53="","",IF(AF53="","Not rostered",IFERROR(INDEX(Settings!$C$14:$C$33,MATCH(AF53,Settings!$B$14:$B$33,0)),IFERROR(LOOKUP(2^15,SEARCH(Settings!$I$14:$I$83,AF53)/(Settings!$I$14:$I$83&lt;&gt;""),Settings!$J$14:$J$83),"Other"))))</f>
        <v/>
      </c>
      <c r="BJ53">
        <f>IF($B53="","",IF(AG53="","Not rostered",IFERROR(INDEX(Settings!$C$14:$C$33,MATCH(AG53,Settings!$B$14:$B$33,0)),IFERROR(LOOKUP(2^15,SEARCH(Settings!$I$14:$I$83,AG53)/(Settings!$I$14:$I$83&lt;&gt;""),Settings!$J$14:$J$83),"Other"))))</f>
        <v/>
      </c>
      <c r="BL53">
        <f>IF(OR($B53="",F53=""),"",IFERROR(INDEX(Settings!$D$14:$D$33,MATCH(F53,Settings!$B$14:$B$33,0))&amp;"",IFERROR(LOOKUP(2^15,SEARCH(Settings!$F$14:$F$43,F53)/(Settings!$F$14:$F$43&lt;&gt;""),Settings!$G$14:$G$43),"")))</f>
        <v/>
      </c>
      <c r="BM53">
        <f>IF(OR($B53="",G53=""),"",IFERROR(INDEX(Settings!$D$14:$D$33,MATCH(G53,Settings!$B$14:$B$33,0))&amp;"",IFERROR(LOOKUP(2^15,SEARCH(Settings!$F$14:$F$43,G53)/(Settings!$F$14:$F$43&lt;&gt;""),Settings!$G$14:$G$43),"")))</f>
        <v/>
      </c>
      <c r="BN53">
        <f>IF(OR($B53="",H53=""),"",IFERROR(INDEX(Settings!$D$14:$D$33,MATCH(H53,Settings!$B$14:$B$33,0))&amp;"",IFERROR(LOOKUP(2^15,SEARCH(Settings!$F$14:$F$43,H53)/(Settings!$F$14:$F$43&lt;&gt;""),Settings!$G$14:$G$43),"")))</f>
        <v/>
      </c>
      <c r="BO53">
        <f>IF(OR($B53="",I53=""),"",IFERROR(INDEX(Settings!$D$14:$D$33,MATCH(I53,Settings!$B$14:$B$33,0))&amp;"",IFERROR(LOOKUP(2^15,SEARCH(Settings!$F$14:$F$43,I53)/(Settings!$F$14:$F$43&lt;&gt;""),Settings!$G$14:$G$43),"")))</f>
        <v/>
      </c>
      <c r="BP53">
        <f>IF(OR($B53="",J53=""),"",IFERROR(INDEX(Settings!$D$14:$D$33,MATCH(J53,Settings!$B$14:$B$33,0))&amp;"",IFERROR(LOOKUP(2^15,SEARCH(Settings!$F$14:$F$43,J53)/(Settings!$F$14:$F$43&lt;&gt;""),Settings!$G$14:$G$43),"")))</f>
        <v/>
      </c>
      <c r="BQ53">
        <f>IF(OR($B53="",K53=""),"",IFERROR(INDEX(Settings!$D$14:$D$33,MATCH(K53,Settings!$B$14:$B$33,0))&amp;"",IFERROR(LOOKUP(2^15,SEARCH(Settings!$F$14:$F$43,K53)/(Settings!$F$14:$F$43&lt;&gt;""),Settings!$G$14:$G$43),"")))</f>
        <v/>
      </c>
      <c r="BR53">
        <f>IF(OR($B53="",L53=""),"",IFERROR(INDEX(Settings!$D$14:$D$33,MATCH(L53,Settings!$B$14:$B$33,0))&amp;"",IFERROR(LOOKUP(2^15,SEARCH(Settings!$F$14:$F$43,L53)/(Settings!$F$14:$F$43&lt;&gt;""),Settings!$G$14:$G$43),"")))</f>
        <v/>
      </c>
      <c r="BS53">
        <f>IF(OR($B53="",M53=""),"",IFERROR(INDEX(Settings!$D$14:$D$33,MATCH(M53,Settings!$B$14:$B$33,0))&amp;"",IFERROR(LOOKUP(2^15,SEARCH(Settings!$F$14:$F$43,M53)/(Settings!$F$14:$F$43&lt;&gt;""),Settings!$G$14:$G$43),"")))</f>
        <v/>
      </c>
      <c r="BT53">
        <f>IF(OR($B53="",N53=""),"",IFERROR(INDEX(Settings!$D$14:$D$33,MATCH(N53,Settings!$B$14:$B$33,0))&amp;"",IFERROR(LOOKUP(2^15,SEARCH(Settings!$F$14:$F$43,N53)/(Settings!$F$14:$F$43&lt;&gt;""),Settings!$G$14:$G$43),"")))</f>
        <v/>
      </c>
      <c r="BU53">
        <f>IF(OR($B53="",O53=""),"",IFERROR(INDEX(Settings!$D$14:$D$33,MATCH(O53,Settings!$B$14:$B$33,0))&amp;"",IFERROR(LOOKUP(2^15,SEARCH(Settings!$F$14:$F$43,O53)/(Settings!$F$14:$F$43&lt;&gt;""),Settings!$G$14:$G$43),"")))</f>
        <v/>
      </c>
      <c r="BV53">
        <f>IF(OR($B53="",P53=""),"",IFERROR(INDEX(Settings!$D$14:$D$33,MATCH(P53,Settings!$B$14:$B$33,0))&amp;"",IFERROR(LOOKUP(2^15,SEARCH(Settings!$F$14:$F$43,P53)/(Settings!$F$14:$F$43&lt;&gt;""),Settings!$G$14:$G$43),"")))</f>
        <v/>
      </c>
      <c r="BW53">
        <f>IF(OR($B53="",Q53=""),"",IFERROR(INDEX(Settings!$D$14:$D$33,MATCH(Q53,Settings!$B$14:$B$33,0))&amp;"",IFERROR(LOOKUP(2^15,SEARCH(Settings!$F$14:$F$43,Q53)/(Settings!$F$14:$F$43&lt;&gt;""),Settings!$G$14:$G$43),"")))</f>
        <v/>
      </c>
      <c r="BX53">
        <f>IF(OR($B53="",R53=""),"",IFERROR(INDEX(Settings!$D$14:$D$33,MATCH(R53,Settings!$B$14:$B$33,0))&amp;"",IFERROR(LOOKUP(2^15,SEARCH(Settings!$F$14:$F$43,R53)/(Settings!$F$14:$F$43&lt;&gt;""),Settings!$G$14:$G$43),"")))</f>
        <v/>
      </c>
      <c r="BY53">
        <f>IF(OR($B53="",S53=""),"",IFERROR(INDEX(Settings!$D$14:$D$33,MATCH(S53,Settings!$B$14:$B$33,0))&amp;"",IFERROR(LOOKUP(2^15,SEARCH(Settings!$F$14:$F$43,S53)/(Settings!$F$14:$F$43&lt;&gt;""),Settings!$G$14:$G$43),"")))</f>
        <v/>
      </c>
      <c r="BZ53">
        <f>IF(OR($B53="",T53=""),"",IFERROR(INDEX(Settings!$D$14:$D$33,MATCH(T53,Settings!$B$14:$B$33,0))&amp;"",IFERROR(LOOKUP(2^15,SEARCH(Settings!$F$14:$F$43,T53)/(Settings!$F$14:$F$43&lt;&gt;""),Settings!$G$14:$G$43),"")))</f>
        <v/>
      </c>
      <c r="CA53">
        <f>IF(OR($B53="",U53=""),"",IFERROR(INDEX(Settings!$D$14:$D$33,MATCH(U53,Settings!$B$14:$B$33,0))&amp;"",IFERROR(LOOKUP(2^15,SEARCH(Settings!$F$14:$F$43,U53)/(Settings!$F$14:$F$43&lt;&gt;""),Settings!$G$14:$G$43),"")))</f>
        <v/>
      </c>
      <c r="CB53">
        <f>IF(OR($B53="",V53=""),"",IFERROR(INDEX(Settings!$D$14:$D$33,MATCH(V53,Settings!$B$14:$B$33,0))&amp;"",IFERROR(LOOKUP(2^15,SEARCH(Settings!$F$14:$F$43,V53)/(Settings!$F$14:$F$43&lt;&gt;""),Settings!$G$14:$G$43),"")))</f>
        <v/>
      </c>
      <c r="CC53">
        <f>IF(OR($B53="",W53=""),"",IFERROR(INDEX(Settings!$D$14:$D$33,MATCH(W53,Settings!$B$14:$B$33,0))&amp;"",IFERROR(LOOKUP(2^15,SEARCH(Settings!$F$14:$F$43,W53)/(Settings!$F$14:$F$43&lt;&gt;""),Settings!$G$14:$G$43),"")))</f>
        <v/>
      </c>
      <c r="CD53">
        <f>IF(OR($B53="",X53=""),"",IFERROR(INDEX(Settings!$D$14:$D$33,MATCH(X53,Settings!$B$14:$B$33,0))&amp;"",IFERROR(LOOKUP(2^15,SEARCH(Settings!$F$14:$F$43,X53)/(Settings!$F$14:$F$43&lt;&gt;""),Settings!$G$14:$G$43),"")))</f>
        <v/>
      </c>
      <c r="CE53">
        <f>IF(OR($B53="",Y53=""),"",IFERROR(INDEX(Settings!$D$14:$D$33,MATCH(Y53,Settings!$B$14:$B$33,0))&amp;"",IFERROR(LOOKUP(2^15,SEARCH(Settings!$F$14:$F$43,Y53)/(Settings!$F$14:$F$43&lt;&gt;""),Settings!$G$14:$G$43),"")))</f>
        <v/>
      </c>
      <c r="CF53">
        <f>IF(OR($B53="",Z53=""),"",IFERROR(INDEX(Settings!$D$14:$D$33,MATCH(Z53,Settings!$B$14:$B$33,0))&amp;"",IFERROR(LOOKUP(2^15,SEARCH(Settings!$F$14:$F$43,Z53)/(Settings!$F$14:$F$43&lt;&gt;""),Settings!$G$14:$G$43),"")))</f>
        <v/>
      </c>
      <c r="CG53">
        <f>IF(OR($B53="",AA53=""),"",IFERROR(INDEX(Settings!$D$14:$D$33,MATCH(AA53,Settings!$B$14:$B$33,0))&amp;"",IFERROR(LOOKUP(2^15,SEARCH(Settings!$F$14:$F$43,AA53)/(Settings!$F$14:$F$43&lt;&gt;""),Settings!$G$14:$G$43),"")))</f>
        <v/>
      </c>
      <c r="CH53">
        <f>IF(OR($B53="",AB53=""),"",IFERROR(INDEX(Settings!$D$14:$D$33,MATCH(AB53,Settings!$B$14:$B$33,0))&amp;"",IFERROR(LOOKUP(2^15,SEARCH(Settings!$F$14:$F$43,AB53)/(Settings!$F$14:$F$43&lt;&gt;""),Settings!$G$14:$G$43),"")))</f>
        <v/>
      </c>
      <c r="CI53">
        <f>IF(OR($B53="",AC53=""),"",IFERROR(INDEX(Settings!$D$14:$D$33,MATCH(AC53,Settings!$B$14:$B$33,0))&amp;"",IFERROR(LOOKUP(2^15,SEARCH(Settings!$F$14:$F$43,AC53)/(Settings!$F$14:$F$43&lt;&gt;""),Settings!$G$14:$G$43),"")))</f>
        <v/>
      </c>
      <c r="CJ53">
        <f>IF(OR($B53="",AD53=""),"",IFERROR(INDEX(Settings!$D$14:$D$33,MATCH(AD53,Settings!$B$14:$B$33,0))&amp;"",IFERROR(LOOKUP(2^15,SEARCH(Settings!$F$14:$F$43,AD53)/(Settings!$F$14:$F$43&lt;&gt;""),Settings!$G$14:$G$43),"")))</f>
        <v/>
      </c>
      <c r="CK53">
        <f>IF(OR($B53="",AE53=""),"",IFERROR(INDEX(Settings!$D$14:$D$33,MATCH(AE53,Settings!$B$14:$B$33,0))&amp;"",IFERROR(LOOKUP(2^15,SEARCH(Settings!$F$14:$F$43,AE53)/(Settings!$F$14:$F$43&lt;&gt;""),Settings!$G$14:$G$43),"")))</f>
        <v/>
      </c>
      <c r="CL53">
        <f>IF(OR($B53="",AF53=""),"",IFERROR(INDEX(Settings!$D$14:$D$33,MATCH(AF53,Settings!$B$14:$B$33,0))&amp;"",IFERROR(LOOKUP(2^15,SEARCH(Settings!$F$14:$F$43,AF53)/(Settings!$F$14:$F$43&lt;&gt;""),Settings!$G$14:$G$43),"")))</f>
        <v/>
      </c>
      <c r="CM53">
        <f>IF(OR($B53="",AG53=""),"",IFERROR(INDEX(Settings!$D$14:$D$33,MATCH(AG53,Settings!$B$14:$B$33,0))&amp;"",IFERROR(LOOKUP(2^15,SEARCH(Settings!$F$14:$F$43,AG53)/(Settings!$F$14:$F$43&lt;&gt;""),Settings!$G$14:$G$43),"")))</f>
        <v/>
      </c>
    </row>
    <row r="54">
      <c r="A54" t="n">
        <v>52</v>
      </c>
      <c r="B54">
        <f>IFERROR(INDEX(Index!$A$2:$A$202,MATCH(A54,Index!$E$2:$E$202,0)),"")</f>
        <v/>
      </c>
      <c r="D54">
        <f>IF($B54="","",IFERROR(MATCH("Travel*",AI54:BJ54,0),""))</f>
        <v/>
      </c>
      <c r="F54">
        <f>IF(OR($B54="",NOT(ISNUMBER(Settings!$C$9))),"",TRIM(SUBSTITUTE(SUBSTITUTE(INDEX('INPUT - Roster'!$S$1:$SV$206,$B54,Settings!$C$9+0)&amp;"",CHAR(10)," "),CHAR(160)," ")))</f>
        <v/>
      </c>
      <c r="G54">
        <f>IF(OR($B54="",NOT(ISNUMBER(Settings!$C$9))),"",TRIM(SUBSTITUTE(SUBSTITUTE(INDEX('INPUT - Roster'!$S$1:$SV$206,$B54,Settings!$C$9+1)&amp;"",CHAR(10)," "),CHAR(160)," ")))</f>
        <v/>
      </c>
      <c r="H54">
        <f>IF(OR($B54="",NOT(ISNUMBER(Settings!$C$9))),"",TRIM(SUBSTITUTE(SUBSTITUTE(INDEX('INPUT - Roster'!$S$1:$SV$206,$B54,Settings!$C$9+2)&amp;"",CHAR(10)," "),CHAR(160)," ")))</f>
        <v/>
      </c>
      <c r="I54">
        <f>IF(OR($B54="",NOT(ISNUMBER(Settings!$C$9))),"",TRIM(SUBSTITUTE(SUBSTITUTE(INDEX('INPUT - Roster'!$S$1:$SV$206,$B54,Settings!$C$9+3)&amp;"",CHAR(10)," "),CHAR(160)," ")))</f>
        <v/>
      </c>
      <c r="J54">
        <f>IF(OR($B54="",NOT(ISNUMBER(Settings!$C$9))),"",TRIM(SUBSTITUTE(SUBSTITUTE(INDEX('INPUT - Roster'!$S$1:$SV$206,$B54,Settings!$C$9+4)&amp;"",CHAR(10)," "),CHAR(160)," ")))</f>
        <v/>
      </c>
      <c r="K54">
        <f>IF(OR($B54="",NOT(ISNUMBER(Settings!$C$9))),"",TRIM(SUBSTITUTE(SUBSTITUTE(INDEX('INPUT - Roster'!$S$1:$SV$206,$B54,Settings!$C$9+5)&amp;"",CHAR(10)," "),CHAR(160)," ")))</f>
        <v/>
      </c>
      <c r="L54">
        <f>IF(OR($B54="",NOT(ISNUMBER(Settings!$C$9))),"",TRIM(SUBSTITUTE(SUBSTITUTE(INDEX('INPUT - Roster'!$S$1:$SV$206,$B54,Settings!$C$9+6)&amp;"",CHAR(10)," "),CHAR(160)," ")))</f>
        <v/>
      </c>
      <c r="M54">
        <f>IF(OR($B54="",NOT(ISNUMBER(Settings!$C$9))),"",TRIM(SUBSTITUTE(SUBSTITUTE(INDEX('INPUT - Roster'!$S$1:$SV$206,$B54,Settings!$C$9+7)&amp;"",CHAR(10)," "),CHAR(160)," ")))</f>
        <v/>
      </c>
      <c r="N54">
        <f>IF(OR($B54="",NOT(ISNUMBER(Settings!$C$9))),"",TRIM(SUBSTITUTE(SUBSTITUTE(INDEX('INPUT - Roster'!$S$1:$SV$206,$B54,Settings!$C$9+8)&amp;"",CHAR(10)," "),CHAR(160)," ")))</f>
        <v/>
      </c>
      <c r="O54">
        <f>IF(OR($B54="",NOT(ISNUMBER(Settings!$C$9))),"",TRIM(SUBSTITUTE(SUBSTITUTE(INDEX('INPUT - Roster'!$S$1:$SV$206,$B54,Settings!$C$9+9)&amp;"",CHAR(10)," "),CHAR(160)," ")))</f>
        <v/>
      </c>
      <c r="P54">
        <f>IF(OR($B54="",NOT(ISNUMBER(Settings!$C$9))),"",TRIM(SUBSTITUTE(SUBSTITUTE(INDEX('INPUT - Roster'!$S$1:$SV$206,$B54,Settings!$C$9+10)&amp;"",CHAR(10)," "),CHAR(160)," ")))</f>
        <v/>
      </c>
      <c r="Q54">
        <f>IF(OR($B54="",NOT(ISNUMBER(Settings!$C$9))),"",TRIM(SUBSTITUTE(SUBSTITUTE(INDEX('INPUT - Roster'!$S$1:$SV$206,$B54,Settings!$C$9+11)&amp;"",CHAR(10)," "),CHAR(160)," ")))</f>
        <v/>
      </c>
      <c r="R54">
        <f>IF(OR($B54="",NOT(ISNUMBER(Settings!$C$9))),"",TRIM(SUBSTITUTE(SUBSTITUTE(INDEX('INPUT - Roster'!$S$1:$SV$206,$B54,Settings!$C$9+12)&amp;"",CHAR(10)," "),CHAR(160)," ")))</f>
        <v/>
      </c>
      <c r="S54">
        <f>IF(OR($B54="",NOT(ISNUMBER(Settings!$C$9))),"",TRIM(SUBSTITUTE(SUBSTITUTE(INDEX('INPUT - Roster'!$S$1:$SV$206,$B54,Settings!$C$9+13)&amp;"",CHAR(10)," "),CHAR(160)," ")))</f>
        <v/>
      </c>
      <c r="T54">
        <f>IF(OR($B54="",NOT(ISNUMBER(Settings!$C$9))),"",TRIM(SUBSTITUTE(SUBSTITUTE(INDEX('INPUT - Roster'!$S$1:$SV$206,$B54,Settings!$C$9+14)&amp;"",CHAR(10)," "),CHAR(160)," ")))</f>
        <v/>
      </c>
      <c r="U54">
        <f>IF(OR($B54="",NOT(ISNUMBER(Settings!$C$9))),"",TRIM(SUBSTITUTE(SUBSTITUTE(INDEX('INPUT - Roster'!$S$1:$SV$206,$B54,Settings!$C$9+15)&amp;"",CHAR(10)," "),CHAR(160)," ")))</f>
        <v/>
      </c>
      <c r="V54">
        <f>IF(OR($B54="",NOT(ISNUMBER(Settings!$C$9))),"",TRIM(SUBSTITUTE(SUBSTITUTE(INDEX('INPUT - Roster'!$S$1:$SV$206,$B54,Settings!$C$9+16)&amp;"",CHAR(10)," "),CHAR(160)," ")))</f>
        <v/>
      </c>
      <c r="W54">
        <f>IF(OR($B54="",NOT(ISNUMBER(Settings!$C$9))),"",TRIM(SUBSTITUTE(SUBSTITUTE(INDEX('INPUT - Roster'!$S$1:$SV$206,$B54,Settings!$C$9+17)&amp;"",CHAR(10)," "),CHAR(160)," ")))</f>
        <v/>
      </c>
      <c r="X54">
        <f>IF(OR($B54="",NOT(ISNUMBER(Settings!$C$9))),"",TRIM(SUBSTITUTE(SUBSTITUTE(INDEX('INPUT - Roster'!$S$1:$SV$206,$B54,Settings!$C$9+18)&amp;"",CHAR(10)," "),CHAR(160)," ")))</f>
        <v/>
      </c>
      <c r="Y54">
        <f>IF(OR($B54="",NOT(ISNUMBER(Settings!$C$9))),"",TRIM(SUBSTITUTE(SUBSTITUTE(INDEX('INPUT - Roster'!$S$1:$SV$206,$B54,Settings!$C$9+19)&amp;"",CHAR(10)," "),CHAR(160)," ")))</f>
        <v/>
      </c>
      <c r="Z54">
        <f>IF(OR($B54="",NOT(ISNUMBER(Settings!$C$9))),"",TRIM(SUBSTITUTE(SUBSTITUTE(INDEX('INPUT - Roster'!$S$1:$SV$206,$B54,Settings!$C$9+20)&amp;"",CHAR(10)," "),CHAR(160)," ")))</f>
        <v/>
      </c>
      <c r="AA54">
        <f>IF(OR($B54="",NOT(ISNUMBER(Settings!$C$9))),"",TRIM(SUBSTITUTE(SUBSTITUTE(INDEX('INPUT - Roster'!$S$1:$SV$206,$B54,Settings!$C$9+21)&amp;"",CHAR(10)," "),CHAR(160)," ")))</f>
        <v/>
      </c>
      <c r="AB54">
        <f>IF(OR($B54="",NOT(ISNUMBER(Settings!$C$9))),"",TRIM(SUBSTITUTE(SUBSTITUTE(INDEX('INPUT - Roster'!$S$1:$SV$206,$B54,Settings!$C$9+22)&amp;"",CHAR(10)," "),CHAR(160)," ")))</f>
        <v/>
      </c>
      <c r="AC54">
        <f>IF(OR($B54="",NOT(ISNUMBER(Settings!$C$9))),"",TRIM(SUBSTITUTE(SUBSTITUTE(INDEX('INPUT - Roster'!$S$1:$SV$206,$B54,Settings!$C$9+23)&amp;"",CHAR(10)," "),CHAR(160)," ")))</f>
        <v/>
      </c>
      <c r="AD54">
        <f>IF(OR($B54="",NOT(ISNUMBER(Settings!$C$9))),"",TRIM(SUBSTITUTE(SUBSTITUTE(INDEX('INPUT - Roster'!$S$1:$SV$206,$B54,Settings!$C$9+24)&amp;"",CHAR(10)," "),CHAR(160)," ")))</f>
        <v/>
      </c>
      <c r="AE54">
        <f>IF(OR($B54="",NOT(ISNUMBER(Settings!$C$9))),"",TRIM(SUBSTITUTE(SUBSTITUTE(INDEX('INPUT - Roster'!$S$1:$SV$206,$B54,Settings!$C$9+25)&amp;"",CHAR(10)," "),CHAR(160)," ")))</f>
        <v/>
      </c>
      <c r="AF54">
        <f>IF(OR($B54="",NOT(ISNUMBER(Settings!$C$9))),"",TRIM(SUBSTITUTE(SUBSTITUTE(INDEX('INPUT - Roster'!$S$1:$SV$206,$B54,Settings!$C$9+26)&amp;"",CHAR(10)," "),CHAR(160)," ")))</f>
        <v/>
      </c>
      <c r="AG54">
        <f>IF(OR($B54="",NOT(ISNUMBER(Settings!$C$9))),"",TRIM(SUBSTITUTE(SUBSTITUTE(INDEX('INPUT - Roster'!$S$1:$SV$206,$B54,Settings!$C$9+27)&amp;"",CHAR(10)," "),CHAR(160)," ")))</f>
        <v/>
      </c>
      <c r="AI54">
        <f>IF($B54="","",IF(F54="","Not rostered",IFERROR(INDEX(Settings!$C$14:$C$33,MATCH(F54,Settings!$B$14:$B$33,0)),IFERROR(LOOKUP(2^15,SEARCH(Settings!$I$14:$I$83,F54)/(Settings!$I$14:$I$83&lt;&gt;""),Settings!$J$14:$J$83),"Other"))))</f>
        <v/>
      </c>
      <c r="AJ54">
        <f>IF($B54="","",IF(G54="","Not rostered",IFERROR(INDEX(Settings!$C$14:$C$33,MATCH(G54,Settings!$B$14:$B$33,0)),IFERROR(LOOKUP(2^15,SEARCH(Settings!$I$14:$I$83,G54)/(Settings!$I$14:$I$83&lt;&gt;""),Settings!$J$14:$J$83),"Other"))))</f>
        <v/>
      </c>
      <c r="AK54">
        <f>IF($B54="","",IF(H54="","Not rostered",IFERROR(INDEX(Settings!$C$14:$C$33,MATCH(H54,Settings!$B$14:$B$33,0)),IFERROR(LOOKUP(2^15,SEARCH(Settings!$I$14:$I$83,H54)/(Settings!$I$14:$I$83&lt;&gt;""),Settings!$J$14:$J$83),"Other"))))</f>
        <v/>
      </c>
      <c r="AL54">
        <f>IF($B54="","",IF(I54="","Not rostered",IFERROR(INDEX(Settings!$C$14:$C$33,MATCH(I54,Settings!$B$14:$B$33,0)),IFERROR(LOOKUP(2^15,SEARCH(Settings!$I$14:$I$83,I54)/(Settings!$I$14:$I$83&lt;&gt;""),Settings!$J$14:$J$83),"Other"))))</f>
        <v/>
      </c>
      <c r="AM54">
        <f>IF($B54="","",IF(J54="","Not rostered",IFERROR(INDEX(Settings!$C$14:$C$33,MATCH(J54,Settings!$B$14:$B$33,0)),IFERROR(LOOKUP(2^15,SEARCH(Settings!$I$14:$I$83,J54)/(Settings!$I$14:$I$83&lt;&gt;""),Settings!$J$14:$J$83),"Other"))))</f>
        <v/>
      </c>
      <c r="AN54">
        <f>IF($B54="","",IF(K54="","Not rostered",IFERROR(INDEX(Settings!$C$14:$C$33,MATCH(K54,Settings!$B$14:$B$33,0)),IFERROR(LOOKUP(2^15,SEARCH(Settings!$I$14:$I$83,K54)/(Settings!$I$14:$I$83&lt;&gt;""),Settings!$J$14:$J$83),"Other"))))</f>
        <v/>
      </c>
      <c r="AO54">
        <f>IF($B54="","",IF(L54="","Not rostered",IFERROR(INDEX(Settings!$C$14:$C$33,MATCH(L54,Settings!$B$14:$B$33,0)),IFERROR(LOOKUP(2^15,SEARCH(Settings!$I$14:$I$83,L54)/(Settings!$I$14:$I$83&lt;&gt;""),Settings!$J$14:$J$83),"Other"))))</f>
        <v/>
      </c>
      <c r="AP54">
        <f>IF($B54="","",IF(M54="","Not rostered",IFERROR(INDEX(Settings!$C$14:$C$33,MATCH(M54,Settings!$B$14:$B$33,0)),IFERROR(LOOKUP(2^15,SEARCH(Settings!$I$14:$I$83,M54)/(Settings!$I$14:$I$83&lt;&gt;""),Settings!$J$14:$J$83),"Other"))))</f>
        <v/>
      </c>
      <c r="AQ54">
        <f>IF($B54="","",IF(N54="","Not rostered",IFERROR(INDEX(Settings!$C$14:$C$33,MATCH(N54,Settings!$B$14:$B$33,0)),IFERROR(LOOKUP(2^15,SEARCH(Settings!$I$14:$I$83,N54)/(Settings!$I$14:$I$83&lt;&gt;""),Settings!$J$14:$J$83),"Other"))))</f>
        <v/>
      </c>
      <c r="AR54">
        <f>IF($B54="","",IF(O54="","Not rostered",IFERROR(INDEX(Settings!$C$14:$C$33,MATCH(O54,Settings!$B$14:$B$33,0)),IFERROR(LOOKUP(2^15,SEARCH(Settings!$I$14:$I$83,O54)/(Settings!$I$14:$I$83&lt;&gt;""),Settings!$J$14:$J$83),"Other"))))</f>
        <v/>
      </c>
      <c r="AS54">
        <f>IF($B54="","",IF(P54="","Not rostered",IFERROR(INDEX(Settings!$C$14:$C$33,MATCH(P54,Settings!$B$14:$B$33,0)),IFERROR(LOOKUP(2^15,SEARCH(Settings!$I$14:$I$83,P54)/(Settings!$I$14:$I$83&lt;&gt;""),Settings!$J$14:$J$83),"Other"))))</f>
        <v/>
      </c>
      <c r="AT54">
        <f>IF($B54="","",IF(Q54="","Not rostered",IFERROR(INDEX(Settings!$C$14:$C$33,MATCH(Q54,Settings!$B$14:$B$33,0)),IFERROR(LOOKUP(2^15,SEARCH(Settings!$I$14:$I$83,Q54)/(Settings!$I$14:$I$83&lt;&gt;""),Settings!$J$14:$J$83),"Other"))))</f>
        <v/>
      </c>
      <c r="AU54">
        <f>IF($B54="","",IF(R54="","Not rostered",IFERROR(INDEX(Settings!$C$14:$C$33,MATCH(R54,Settings!$B$14:$B$33,0)),IFERROR(LOOKUP(2^15,SEARCH(Settings!$I$14:$I$83,R54)/(Settings!$I$14:$I$83&lt;&gt;""),Settings!$J$14:$J$83),"Other"))))</f>
        <v/>
      </c>
      <c r="AV54">
        <f>IF($B54="","",IF(S54="","Not rostered",IFERROR(INDEX(Settings!$C$14:$C$33,MATCH(S54,Settings!$B$14:$B$33,0)),IFERROR(LOOKUP(2^15,SEARCH(Settings!$I$14:$I$83,S54)/(Settings!$I$14:$I$83&lt;&gt;""),Settings!$J$14:$J$83),"Other"))))</f>
        <v/>
      </c>
      <c r="AW54">
        <f>IF($B54="","",IF(T54="","Not rostered",IFERROR(INDEX(Settings!$C$14:$C$33,MATCH(T54,Settings!$B$14:$B$33,0)),IFERROR(LOOKUP(2^15,SEARCH(Settings!$I$14:$I$83,T54)/(Settings!$I$14:$I$83&lt;&gt;""),Settings!$J$14:$J$83),"Other"))))</f>
        <v/>
      </c>
      <c r="AX54">
        <f>IF($B54="","",IF(U54="","Not rostered",IFERROR(INDEX(Settings!$C$14:$C$33,MATCH(U54,Settings!$B$14:$B$33,0)),IFERROR(LOOKUP(2^15,SEARCH(Settings!$I$14:$I$83,U54)/(Settings!$I$14:$I$83&lt;&gt;""),Settings!$J$14:$J$83),"Other"))))</f>
        <v/>
      </c>
      <c r="AY54">
        <f>IF($B54="","",IF(V54="","Not rostered",IFERROR(INDEX(Settings!$C$14:$C$33,MATCH(V54,Settings!$B$14:$B$33,0)),IFERROR(LOOKUP(2^15,SEARCH(Settings!$I$14:$I$83,V54)/(Settings!$I$14:$I$83&lt;&gt;""),Settings!$J$14:$J$83),"Other"))))</f>
        <v/>
      </c>
      <c r="AZ54">
        <f>IF($B54="","",IF(W54="","Not rostered",IFERROR(INDEX(Settings!$C$14:$C$33,MATCH(W54,Settings!$B$14:$B$33,0)),IFERROR(LOOKUP(2^15,SEARCH(Settings!$I$14:$I$83,W54)/(Settings!$I$14:$I$83&lt;&gt;""),Settings!$J$14:$J$83),"Other"))))</f>
        <v/>
      </c>
      <c r="BA54">
        <f>IF($B54="","",IF(X54="","Not rostered",IFERROR(INDEX(Settings!$C$14:$C$33,MATCH(X54,Settings!$B$14:$B$33,0)),IFERROR(LOOKUP(2^15,SEARCH(Settings!$I$14:$I$83,X54)/(Settings!$I$14:$I$83&lt;&gt;""),Settings!$J$14:$J$83),"Other"))))</f>
        <v/>
      </c>
      <c r="BB54">
        <f>IF($B54="","",IF(Y54="","Not rostered",IFERROR(INDEX(Settings!$C$14:$C$33,MATCH(Y54,Settings!$B$14:$B$33,0)),IFERROR(LOOKUP(2^15,SEARCH(Settings!$I$14:$I$83,Y54)/(Settings!$I$14:$I$83&lt;&gt;""),Settings!$J$14:$J$83),"Other"))))</f>
        <v/>
      </c>
      <c r="BC54">
        <f>IF($B54="","",IF(Z54="","Not rostered",IFERROR(INDEX(Settings!$C$14:$C$33,MATCH(Z54,Settings!$B$14:$B$33,0)),IFERROR(LOOKUP(2^15,SEARCH(Settings!$I$14:$I$83,Z54)/(Settings!$I$14:$I$83&lt;&gt;""),Settings!$J$14:$J$83),"Other"))))</f>
        <v/>
      </c>
      <c r="BD54">
        <f>IF($B54="","",IF(AA54="","Not rostered",IFERROR(INDEX(Settings!$C$14:$C$33,MATCH(AA54,Settings!$B$14:$B$33,0)),IFERROR(LOOKUP(2^15,SEARCH(Settings!$I$14:$I$83,AA54)/(Settings!$I$14:$I$83&lt;&gt;""),Settings!$J$14:$J$83),"Other"))))</f>
        <v/>
      </c>
      <c r="BE54">
        <f>IF($B54="","",IF(AB54="","Not rostered",IFERROR(INDEX(Settings!$C$14:$C$33,MATCH(AB54,Settings!$B$14:$B$33,0)),IFERROR(LOOKUP(2^15,SEARCH(Settings!$I$14:$I$83,AB54)/(Settings!$I$14:$I$83&lt;&gt;""),Settings!$J$14:$J$83),"Other"))))</f>
        <v/>
      </c>
      <c r="BF54">
        <f>IF($B54="","",IF(AC54="","Not rostered",IFERROR(INDEX(Settings!$C$14:$C$33,MATCH(AC54,Settings!$B$14:$B$33,0)),IFERROR(LOOKUP(2^15,SEARCH(Settings!$I$14:$I$83,AC54)/(Settings!$I$14:$I$83&lt;&gt;""),Settings!$J$14:$J$83),"Other"))))</f>
        <v/>
      </c>
      <c r="BG54">
        <f>IF($B54="","",IF(AD54="","Not rostered",IFERROR(INDEX(Settings!$C$14:$C$33,MATCH(AD54,Settings!$B$14:$B$33,0)),IFERROR(LOOKUP(2^15,SEARCH(Settings!$I$14:$I$83,AD54)/(Settings!$I$14:$I$83&lt;&gt;""),Settings!$J$14:$J$83),"Other"))))</f>
        <v/>
      </c>
      <c r="BH54">
        <f>IF($B54="","",IF(AE54="","Not rostered",IFERROR(INDEX(Settings!$C$14:$C$33,MATCH(AE54,Settings!$B$14:$B$33,0)),IFERROR(LOOKUP(2^15,SEARCH(Settings!$I$14:$I$83,AE54)/(Settings!$I$14:$I$83&lt;&gt;""),Settings!$J$14:$J$83),"Other"))))</f>
        <v/>
      </c>
      <c r="BI54">
        <f>IF($B54="","",IF(AF54="","Not rostered",IFERROR(INDEX(Settings!$C$14:$C$33,MATCH(AF54,Settings!$B$14:$B$33,0)),IFERROR(LOOKUP(2^15,SEARCH(Settings!$I$14:$I$83,AF54)/(Settings!$I$14:$I$83&lt;&gt;""),Settings!$J$14:$J$83),"Other"))))</f>
        <v/>
      </c>
      <c r="BJ54">
        <f>IF($B54="","",IF(AG54="","Not rostered",IFERROR(INDEX(Settings!$C$14:$C$33,MATCH(AG54,Settings!$B$14:$B$33,0)),IFERROR(LOOKUP(2^15,SEARCH(Settings!$I$14:$I$83,AG54)/(Settings!$I$14:$I$83&lt;&gt;""),Settings!$J$14:$J$83),"Other"))))</f>
        <v/>
      </c>
      <c r="BL54">
        <f>IF(OR($B54="",F54=""),"",IFERROR(INDEX(Settings!$D$14:$D$33,MATCH(F54,Settings!$B$14:$B$33,0))&amp;"",IFERROR(LOOKUP(2^15,SEARCH(Settings!$F$14:$F$43,F54)/(Settings!$F$14:$F$43&lt;&gt;""),Settings!$G$14:$G$43),"")))</f>
        <v/>
      </c>
      <c r="BM54">
        <f>IF(OR($B54="",G54=""),"",IFERROR(INDEX(Settings!$D$14:$D$33,MATCH(G54,Settings!$B$14:$B$33,0))&amp;"",IFERROR(LOOKUP(2^15,SEARCH(Settings!$F$14:$F$43,G54)/(Settings!$F$14:$F$43&lt;&gt;""),Settings!$G$14:$G$43),"")))</f>
        <v/>
      </c>
      <c r="BN54">
        <f>IF(OR($B54="",H54=""),"",IFERROR(INDEX(Settings!$D$14:$D$33,MATCH(H54,Settings!$B$14:$B$33,0))&amp;"",IFERROR(LOOKUP(2^15,SEARCH(Settings!$F$14:$F$43,H54)/(Settings!$F$14:$F$43&lt;&gt;""),Settings!$G$14:$G$43),"")))</f>
        <v/>
      </c>
      <c r="BO54">
        <f>IF(OR($B54="",I54=""),"",IFERROR(INDEX(Settings!$D$14:$D$33,MATCH(I54,Settings!$B$14:$B$33,0))&amp;"",IFERROR(LOOKUP(2^15,SEARCH(Settings!$F$14:$F$43,I54)/(Settings!$F$14:$F$43&lt;&gt;""),Settings!$G$14:$G$43),"")))</f>
        <v/>
      </c>
      <c r="BP54">
        <f>IF(OR($B54="",J54=""),"",IFERROR(INDEX(Settings!$D$14:$D$33,MATCH(J54,Settings!$B$14:$B$33,0))&amp;"",IFERROR(LOOKUP(2^15,SEARCH(Settings!$F$14:$F$43,J54)/(Settings!$F$14:$F$43&lt;&gt;""),Settings!$G$14:$G$43),"")))</f>
        <v/>
      </c>
      <c r="BQ54">
        <f>IF(OR($B54="",K54=""),"",IFERROR(INDEX(Settings!$D$14:$D$33,MATCH(K54,Settings!$B$14:$B$33,0))&amp;"",IFERROR(LOOKUP(2^15,SEARCH(Settings!$F$14:$F$43,K54)/(Settings!$F$14:$F$43&lt;&gt;""),Settings!$G$14:$G$43),"")))</f>
        <v/>
      </c>
      <c r="BR54">
        <f>IF(OR($B54="",L54=""),"",IFERROR(INDEX(Settings!$D$14:$D$33,MATCH(L54,Settings!$B$14:$B$33,0))&amp;"",IFERROR(LOOKUP(2^15,SEARCH(Settings!$F$14:$F$43,L54)/(Settings!$F$14:$F$43&lt;&gt;""),Settings!$G$14:$G$43),"")))</f>
        <v/>
      </c>
      <c r="BS54">
        <f>IF(OR($B54="",M54=""),"",IFERROR(INDEX(Settings!$D$14:$D$33,MATCH(M54,Settings!$B$14:$B$33,0))&amp;"",IFERROR(LOOKUP(2^15,SEARCH(Settings!$F$14:$F$43,M54)/(Settings!$F$14:$F$43&lt;&gt;""),Settings!$G$14:$G$43),"")))</f>
        <v/>
      </c>
      <c r="BT54">
        <f>IF(OR($B54="",N54=""),"",IFERROR(INDEX(Settings!$D$14:$D$33,MATCH(N54,Settings!$B$14:$B$33,0))&amp;"",IFERROR(LOOKUP(2^15,SEARCH(Settings!$F$14:$F$43,N54)/(Settings!$F$14:$F$43&lt;&gt;""),Settings!$G$14:$G$43),"")))</f>
        <v/>
      </c>
      <c r="BU54">
        <f>IF(OR($B54="",O54=""),"",IFERROR(INDEX(Settings!$D$14:$D$33,MATCH(O54,Settings!$B$14:$B$33,0))&amp;"",IFERROR(LOOKUP(2^15,SEARCH(Settings!$F$14:$F$43,O54)/(Settings!$F$14:$F$43&lt;&gt;""),Settings!$G$14:$G$43),"")))</f>
        <v/>
      </c>
      <c r="BV54">
        <f>IF(OR($B54="",P54=""),"",IFERROR(INDEX(Settings!$D$14:$D$33,MATCH(P54,Settings!$B$14:$B$33,0))&amp;"",IFERROR(LOOKUP(2^15,SEARCH(Settings!$F$14:$F$43,P54)/(Settings!$F$14:$F$43&lt;&gt;""),Settings!$G$14:$G$43),"")))</f>
        <v/>
      </c>
      <c r="BW54">
        <f>IF(OR($B54="",Q54=""),"",IFERROR(INDEX(Settings!$D$14:$D$33,MATCH(Q54,Settings!$B$14:$B$33,0))&amp;"",IFERROR(LOOKUP(2^15,SEARCH(Settings!$F$14:$F$43,Q54)/(Settings!$F$14:$F$43&lt;&gt;""),Settings!$G$14:$G$43),"")))</f>
        <v/>
      </c>
      <c r="BX54">
        <f>IF(OR($B54="",R54=""),"",IFERROR(INDEX(Settings!$D$14:$D$33,MATCH(R54,Settings!$B$14:$B$33,0))&amp;"",IFERROR(LOOKUP(2^15,SEARCH(Settings!$F$14:$F$43,R54)/(Settings!$F$14:$F$43&lt;&gt;""),Settings!$G$14:$G$43),"")))</f>
        <v/>
      </c>
      <c r="BY54">
        <f>IF(OR($B54="",S54=""),"",IFERROR(INDEX(Settings!$D$14:$D$33,MATCH(S54,Settings!$B$14:$B$33,0))&amp;"",IFERROR(LOOKUP(2^15,SEARCH(Settings!$F$14:$F$43,S54)/(Settings!$F$14:$F$43&lt;&gt;""),Settings!$G$14:$G$43),"")))</f>
        <v/>
      </c>
      <c r="BZ54">
        <f>IF(OR($B54="",T54=""),"",IFERROR(INDEX(Settings!$D$14:$D$33,MATCH(T54,Settings!$B$14:$B$33,0))&amp;"",IFERROR(LOOKUP(2^15,SEARCH(Settings!$F$14:$F$43,T54)/(Settings!$F$14:$F$43&lt;&gt;""),Settings!$G$14:$G$43),"")))</f>
        <v/>
      </c>
      <c r="CA54">
        <f>IF(OR($B54="",U54=""),"",IFERROR(INDEX(Settings!$D$14:$D$33,MATCH(U54,Settings!$B$14:$B$33,0))&amp;"",IFERROR(LOOKUP(2^15,SEARCH(Settings!$F$14:$F$43,U54)/(Settings!$F$14:$F$43&lt;&gt;""),Settings!$G$14:$G$43),"")))</f>
        <v/>
      </c>
      <c r="CB54">
        <f>IF(OR($B54="",V54=""),"",IFERROR(INDEX(Settings!$D$14:$D$33,MATCH(V54,Settings!$B$14:$B$33,0))&amp;"",IFERROR(LOOKUP(2^15,SEARCH(Settings!$F$14:$F$43,V54)/(Settings!$F$14:$F$43&lt;&gt;""),Settings!$G$14:$G$43),"")))</f>
        <v/>
      </c>
      <c r="CC54">
        <f>IF(OR($B54="",W54=""),"",IFERROR(INDEX(Settings!$D$14:$D$33,MATCH(W54,Settings!$B$14:$B$33,0))&amp;"",IFERROR(LOOKUP(2^15,SEARCH(Settings!$F$14:$F$43,W54)/(Settings!$F$14:$F$43&lt;&gt;""),Settings!$G$14:$G$43),"")))</f>
        <v/>
      </c>
      <c r="CD54">
        <f>IF(OR($B54="",X54=""),"",IFERROR(INDEX(Settings!$D$14:$D$33,MATCH(X54,Settings!$B$14:$B$33,0))&amp;"",IFERROR(LOOKUP(2^15,SEARCH(Settings!$F$14:$F$43,X54)/(Settings!$F$14:$F$43&lt;&gt;""),Settings!$G$14:$G$43),"")))</f>
        <v/>
      </c>
      <c r="CE54">
        <f>IF(OR($B54="",Y54=""),"",IFERROR(INDEX(Settings!$D$14:$D$33,MATCH(Y54,Settings!$B$14:$B$33,0))&amp;"",IFERROR(LOOKUP(2^15,SEARCH(Settings!$F$14:$F$43,Y54)/(Settings!$F$14:$F$43&lt;&gt;""),Settings!$G$14:$G$43),"")))</f>
        <v/>
      </c>
      <c r="CF54">
        <f>IF(OR($B54="",Z54=""),"",IFERROR(INDEX(Settings!$D$14:$D$33,MATCH(Z54,Settings!$B$14:$B$33,0))&amp;"",IFERROR(LOOKUP(2^15,SEARCH(Settings!$F$14:$F$43,Z54)/(Settings!$F$14:$F$43&lt;&gt;""),Settings!$G$14:$G$43),"")))</f>
        <v/>
      </c>
      <c r="CG54">
        <f>IF(OR($B54="",AA54=""),"",IFERROR(INDEX(Settings!$D$14:$D$33,MATCH(AA54,Settings!$B$14:$B$33,0))&amp;"",IFERROR(LOOKUP(2^15,SEARCH(Settings!$F$14:$F$43,AA54)/(Settings!$F$14:$F$43&lt;&gt;""),Settings!$G$14:$G$43),"")))</f>
        <v/>
      </c>
      <c r="CH54">
        <f>IF(OR($B54="",AB54=""),"",IFERROR(INDEX(Settings!$D$14:$D$33,MATCH(AB54,Settings!$B$14:$B$33,0))&amp;"",IFERROR(LOOKUP(2^15,SEARCH(Settings!$F$14:$F$43,AB54)/(Settings!$F$14:$F$43&lt;&gt;""),Settings!$G$14:$G$43),"")))</f>
        <v/>
      </c>
      <c r="CI54">
        <f>IF(OR($B54="",AC54=""),"",IFERROR(INDEX(Settings!$D$14:$D$33,MATCH(AC54,Settings!$B$14:$B$33,0))&amp;"",IFERROR(LOOKUP(2^15,SEARCH(Settings!$F$14:$F$43,AC54)/(Settings!$F$14:$F$43&lt;&gt;""),Settings!$G$14:$G$43),"")))</f>
        <v/>
      </c>
      <c r="CJ54">
        <f>IF(OR($B54="",AD54=""),"",IFERROR(INDEX(Settings!$D$14:$D$33,MATCH(AD54,Settings!$B$14:$B$33,0))&amp;"",IFERROR(LOOKUP(2^15,SEARCH(Settings!$F$14:$F$43,AD54)/(Settings!$F$14:$F$43&lt;&gt;""),Settings!$G$14:$G$43),"")))</f>
        <v/>
      </c>
      <c r="CK54">
        <f>IF(OR($B54="",AE54=""),"",IFERROR(INDEX(Settings!$D$14:$D$33,MATCH(AE54,Settings!$B$14:$B$33,0))&amp;"",IFERROR(LOOKUP(2^15,SEARCH(Settings!$F$14:$F$43,AE54)/(Settings!$F$14:$F$43&lt;&gt;""),Settings!$G$14:$G$43),"")))</f>
        <v/>
      </c>
      <c r="CL54">
        <f>IF(OR($B54="",AF54=""),"",IFERROR(INDEX(Settings!$D$14:$D$33,MATCH(AF54,Settings!$B$14:$B$33,0))&amp;"",IFERROR(LOOKUP(2^15,SEARCH(Settings!$F$14:$F$43,AF54)/(Settings!$F$14:$F$43&lt;&gt;""),Settings!$G$14:$G$43),"")))</f>
        <v/>
      </c>
      <c r="CM54">
        <f>IF(OR($B54="",AG54=""),"",IFERROR(INDEX(Settings!$D$14:$D$33,MATCH(AG54,Settings!$B$14:$B$33,0))&amp;"",IFERROR(LOOKUP(2^15,SEARCH(Settings!$F$14:$F$43,AG54)/(Settings!$F$14:$F$43&lt;&gt;""),Settings!$G$14:$G$43),"")))</f>
        <v/>
      </c>
    </row>
    <row r="55">
      <c r="A55" t="n">
        <v>53</v>
      </c>
      <c r="B55">
        <f>IFERROR(INDEX(Index!$A$2:$A$202,MATCH(A55,Index!$E$2:$E$202,0)),"")</f>
        <v/>
      </c>
      <c r="D55">
        <f>IF($B55="","",IFERROR(MATCH("Travel*",AI55:BJ55,0),""))</f>
        <v/>
      </c>
      <c r="F55">
        <f>IF(OR($B55="",NOT(ISNUMBER(Settings!$C$9))),"",TRIM(SUBSTITUTE(SUBSTITUTE(INDEX('INPUT - Roster'!$S$1:$SV$206,$B55,Settings!$C$9+0)&amp;"",CHAR(10)," "),CHAR(160)," ")))</f>
        <v/>
      </c>
      <c r="G55">
        <f>IF(OR($B55="",NOT(ISNUMBER(Settings!$C$9))),"",TRIM(SUBSTITUTE(SUBSTITUTE(INDEX('INPUT - Roster'!$S$1:$SV$206,$B55,Settings!$C$9+1)&amp;"",CHAR(10)," "),CHAR(160)," ")))</f>
        <v/>
      </c>
      <c r="H55">
        <f>IF(OR($B55="",NOT(ISNUMBER(Settings!$C$9))),"",TRIM(SUBSTITUTE(SUBSTITUTE(INDEX('INPUT - Roster'!$S$1:$SV$206,$B55,Settings!$C$9+2)&amp;"",CHAR(10)," "),CHAR(160)," ")))</f>
        <v/>
      </c>
      <c r="I55">
        <f>IF(OR($B55="",NOT(ISNUMBER(Settings!$C$9))),"",TRIM(SUBSTITUTE(SUBSTITUTE(INDEX('INPUT - Roster'!$S$1:$SV$206,$B55,Settings!$C$9+3)&amp;"",CHAR(10)," "),CHAR(160)," ")))</f>
        <v/>
      </c>
      <c r="J55">
        <f>IF(OR($B55="",NOT(ISNUMBER(Settings!$C$9))),"",TRIM(SUBSTITUTE(SUBSTITUTE(INDEX('INPUT - Roster'!$S$1:$SV$206,$B55,Settings!$C$9+4)&amp;"",CHAR(10)," "),CHAR(160)," ")))</f>
        <v/>
      </c>
      <c r="K55">
        <f>IF(OR($B55="",NOT(ISNUMBER(Settings!$C$9))),"",TRIM(SUBSTITUTE(SUBSTITUTE(INDEX('INPUT - Roster'!$S$1:$SV$206,$B55,Settings!$C$9+5)&amp;"",CHAR(10)," "),CHAR(160)," ")))</f>
        <v/>
      </c>
      <c r="L55">
        <f>IF(OR($B55="",NOT(ISNUMBER(Settings!$C$9))),"",TRIM(SUBSTITUTE(SUBSTITUTE(INDEX('INPUT - Roster'!$S$1:$SV$206,$B55,Settings!$C$9+6)&amp;"",CHAR(10)," "),CHAR(160)," ")))</f>
        <v/>
      </c>
      <c r="M55">
        <f>IF(OR($B55="",NOT(ISNUMBER(Settings!$C$9))),"",TRIM(SUBSTITUTE(SUBSTITUTE(INDEX('INPUT - Roster'!$S$1:$SV$206,$B55,Settings!$C$9+7)&amp;"",CHAR(10)," "),CHAR(160)," ")))</f>
        <v/>
      </c>
      <c r="N55">
        <f>IF(OR($B55="",NOT(ISNUMBER(Settings!$C$9))),"",TRIM(SUBSTITUTE(SUBSTITUTE(INDEX('INPUT - Roster'!$S$1:$SV$206,$B55,Settings!$C$9+8)&amp;"",CHAR(10)," "),CHAR(160)," ")))</f>
        <v/>
      </c>
      <c r="O55">
        <f>IF(OR($B55="",NOT(ISNUMBER(Settings!$C$9))),"",TRIM(SUBSTITUTE(SUBSTITUTE(INDEX('INPUT - Roster'!$S$1:$SV$206,$B55,Settings!$C$9+9)&amp;"",CHAR(10)," "),CHAR(160)," ")))</f>
        <v/>
      </c>
      <c r="P55">
        <f>IF(OR($B55="",NOT(ISNUMBER(Settings!$C$9))),"",TRIM(SUBSTITUTE(SUBSTITUTE(INDEX('INPUT - Roster'!$S$1:$SV$206,$B55,Settings!$C$9+10)&amp;"",CHAR(10)," "),CHAR(160)," ")))</f>
        <v/>
      </c>
      <c r="Q55">
        <f>IF(OR($B55="",NOT(ISNUMBER(Settings!$C$9))),"",TRIM(SUBSTITUTE(SUBSTITUTE(INDEX('INPUT - Roster'!$S$1:$SV$206,$B55,Settings!$C$9+11)&amp;"",CHAR(10)," "),CHAR(160)," ")))</f>
        <v/>
      </c>
      <c r="R55">
        <f>IF(OR($B55="",NOT(ISNUMBER(Settings!$C$9))),"",TRIM(SUBSTITUTE(SUBSTITUTE(INDEX('INPUT - Roster'!$S$1:$SV$206,$B55,Settings!$C$9+12)&amp;"",CHAR(10)," "),CHAR(160)," ")))</f>
        <v/>
      </c>
      <c r="S55">
        <f>IF(OR($B55="",NOT(ISNUMBER(Settings!$C$9))),"",TRIM(SUBSTITUTE(SUBSTITUTE(INDEX('INPUT - Roster'!$S$1:$SV$206,$B55,Settings!$C$9+13)&amp;"",CHAR(10)," "),CHAR(160)," ")))</f>
        <v/>
      </c>
      <c r="T55">
        <f>IF(OR($B55="",NOT(ISNUMBER(Settings!$C$9))),"",TRIM(SUBSTITUTE(SUBSTITUTE(INDEX('INPUT - Roster'!$S$1:$SV$206,$B55,Settings!$C$9+14)&amp;"",CHAR(10)," "),CHAR(160)," ")))</f>
        <v/>
      </c>
      <c r="U55">
        <f>IF(OR($B55="",NOT(ISNUMBER(Settings!$C$9))),"",TRIM(SUBSTITUTE(SUBSTITUTE(INDEX('INPUT - Roster'!$S$1:$SV$206,$B55,Settings!$C$9+15)&amp;"",CHAR(10)," "),CHAR(160)," ")))</f>
        <v/>
      </c>
      <c r="V55">
        <f>IF(OR($B55="",NOT(ISNUMBER(Settings!$C$9))),"",TRIM(SUBSTITUTE(SUBSTITUTE(INDEX('INPUT - Roster'!$S$1:$SV$206,$B55,Settings!$C$9+16)&amp;"",CHAR(10)," "),CHAR(160)," ")))</f>
        <v/>
      </c>
      <c r="W55">
        <f>IF(OR($B55="",NOT(ISNUMBER(Settings!$C$9))),"",TRIM(SUBSTITUTE(SUBSTITUTE(INDEX('INPUT - Roster'!$S$1:$SV$206,$B55,Settings!$C$9+17)&amp;"",CHAR(10)," "),CHAR(160)," ")))</f>
        <v/>
      </c>
      <c r="X55">
        <f>IF(OR($B55="",NOT(ISNUMBER(Settings!$C$9))),"",TRIM(SUBSTITUTE(SUBSTITUTE(INDEX('INPUT - Roster'!$S$1:$SV$206,$B55,Settings!$C$9+18)&amp;"",CHAR(10)," "),CHAR(160)," ")))</f>
        <v/>
      </c>
      <c r="Y55">
        <f>IF(OR($B55="",NOT(ISNUMBER(Settings!$C$9))),"",TRIM(SUBSTITUTE(SUBSTITUTE(INDEX('INPUT - Roster'!$S$1:$SV$206,$B55,Settings!$C$9+19)&amp;"",CHAR(10)," "),CHAR(160)," ")))</f>
        <v/>
      </c>
      <c r="Z55">
        <f>IF(OR($B55="",NOT(ISNUMBER(Settings!$C$9))),"",TRIM(SUBSTITUTE(SUBSTITUTE(INDEX('INPUT - Roster'!$S$1:$SV$206,$B55,Settings!$C$9+20)&amp;"",CHAR(10)," "),CHAR(160)," ")))</f>
        <v/>
      </c>
      <c r="AA55">
        <f>IF(OR($B55="",NOT(ISNUMBER(Settings!$C$9))),"",TRIM(SUBSTITUTE(SUBSTITUTE(INDEX('INPUT - Roster'!$S$1:$SV$206,$B55,Settings!$C$9+21)&amp;"",CHAR(10)," "),CHAR(160)," ")))</f>
        <v/>
      </c>
      <c r="AB55">
        <f>IF(OR($B55="",NOT(ISNUMBER(Settings!$C$9))),"",TRIM(SUBSTITUTE(SUBSTITUTE(INDEX('INPUT - Roster'!$S$1:$SV$206,$B55,Settings!$C$9+22)&amp;"",CHAR(10)," "),CHAR(160)," ")))</f>
        <v/>
      </c>
      <c r="AC55">
        <f>IF(OR($B55="",NOT(ISNUMBER(Settings!$C$9))),"",TRIM(SUBSTITUTE(SUBSTITUTE(INDEX('INPUT - Roster'!$S$1:$SV$206,$B55,Settings!$C$9+23)&amp;"",CHAR(10)," "),CHAR(160)," ")))</f>
        <v/>
      </c>
      <c r="AD55">
        <f>IF(OR($B55="",NOT(ISNUMBER(Settings!$C$9))),"",TRIM(SUBSTITUTE(SUBSTITUTE(INDEX('INPUT - Roster'!$S$1:$SV$206,$B55,Settings!$C$9+24)&amp;"",CHAR(10)," "),CHAR(160)," ")))</f>
        <v/>
      </c>
      <c r="AE55">
        <f>IF(OR($B55="",NOT(ISNUMBER(Settings!$C$9))),"",TRIM(SUBSTITUTE(SUBSTITUTE(INDEX('INPUT - Roster'!$S$1:$SV$206,$B55,Settings!$C$9+25)&amp;"",CHAR(10)," "),CHAR(160)," ")))</f>
        <v/>
      </c>
      <c r="AF55">
        <f>IF(OR($B55="",NOT(ISNUMBER(Settings!$C$9))),"",TRIM(SUBSTITUTE(SUBSTITUTE(INDEX('INPUT - Roster'!$S$1:$SV$206,$B55,Settings!$C$9+26)&amp;"",CHAR(10)," "),CHAR(160)," ")))</f>
        <v/>
      </c>
      <c r="AG55">
        <f>IF(OR($B55="",NOT(ISNUMBER(Settings!$C$9))),"",TRIM(SUBSTITUTE(SUBSTITUTE(INDEX('INPUT - Roster'!$S$1:$SV$206,$B55,Settings!$C$9+27)&amp;"",CHAR(10)," "),CHAR(160)," ")))</f>
        <v/>
      </c>
      <c r="AI55">
        <f>IF($B55="","",IF(F55="","Not rostered",IFERROR(INDEX(Settings!$C$14:$C$33,MATCH(F55,Settings!$B$14:$B$33,0)),IFERROR(LOOKUP(2^15,SEARCH(Settings!$I$14:$I$83,F55)/(Settings!$I$14:$I$83&lt;&gt;""),Settings!$J$14:$J$83),"Other"))))</f>
        <v/>
      </c>
      <c r="AJ55">
        <f>IF($B55="","",IF(G55="","Not rostered",IFERROR(INDEX(Settings!$C$14:$C$33,MATCH(G55,Settings!$B$14:$B$33,0)),IFERROR(LOOKUP(2^15,SEARCH(Settings!$I$14:$I$83,G55)/(Settings!$I$14:$I$83&lt;&gt;""),Settings!$J$14:$J$83),"Other"))))</f>
        <v/>
      </c>
      <c r="AK55">
        <f>IF($B55="","",IF(H55="","Not rostered",IFERROR(INDEX(Settings!$C$14:$C$33,MATCH(H55,Settings!$B$14:$B$33,0)),IFERROR(LOOKUP(2^15,SEARCH(Settings!$I$14:$I$83,H55)/(Settings!$I$14:$I$83&lt;&gt;""),Settings!$J$14:$J$83),"Other"))))</f>
        <v/>
      </c>
      <c r="AL55">
        <f>IF($B55="","",IF(I55="","Not rostered",IFERROR(INDEX(Settings!$C$14:$C$33,MATCH(I55,Settings!$B$14:$B$33,0)),IFERROR(LOOKUP(2^15,SEARCH(Settings!$I$14:$I$83,I55)/(Settings!$I$14:$I$83&lt;&gt;""),Settings!$J$14:$J$83),"Other"))))</f>
        <v/>
      </c>
      <c r="AM55">
        <f>IF($B55="","",IF(J55="","Not rostered",IFERROR(INDEX(Settings!$C$14:$C$33,MATCH(J55,Settings!$B$14:$B$33,0)),IFERROR(LOOKUP(2^15,SEARCH(Settings!$I$14:$I$83,J55)/(Settings!$I$14:$I$83&lt;&gt;""),Settings!$J$14:$J$83),"Other"))))</f>
        <v/>
      </c>
      <c r="AN55">
        <f>IF($B55="","",IF(K55="","Not rostered",IFERROR(INDEX(Settings!$C$14:$C$33,MATCH(K55,Settings!$B$14:$B$33,0)),IFERROR(LOOKUP(2^15,SEARCH(Settings!$I$14:$I$83,K55)/(Settings!$I$14:$I$83&lt;&gt;""),Settings!$J$14:$J$83),"Other"))))</f>
        <v/>
      </c>
      <c r="AO55">
        <f>IF($B55="","",IF(L55="","Not rostered",IFERROR(INDEX(Settings!$C$14:$C$33,MATCH(L55,Settings!$B$14:$B$33,0)),IFERROR(LOOKUP(2^15,SEARCH(Settings!$I$14:$I$83,L55)/(Settings!$I$14:$I$83&lt;&gt;""),Settings!$J$14:$J$83),"Other"))))</f>
        <v/>
      </c>
      <c r="AP55">
        <f>IF($B55="","",IF(M55="","Not rostered",IFERROR(INDEX(Settings!$C$14:$C$33,MATCH(M55,Settings!$B$14:$B$33,0)),IFERROR(LOOKUP(2^15,SEARCH(Settings!$I$14:$I$83,M55)/(Settings!$I$14:$I$83&lt;&gt;""),Settings!$J$14:$J$83),"Other"))))</f>
        <v/>
      </c>
      <c r="AQ55">
        <f>IF($B55="","",IF(N55="","Not rostered",IFERROR(INDEX(Settings!$C$14:$C$33,MATCH(N55,Settings!$B$14:$B$33,0)),IFERROR(LOOKUP(2^15,SEARCH(Settings!$I$14:$I$83,N55)/(Settings!$I$14:$I$83&lt;&gt;""),Settings!$J$14:$J$83),"Other"))))</f>
        <v/>
      </c>
      <c r="AR55">
        <f>IF($B55="","",IF(O55="","Not rostered",IFERROR(INDEX(Settings!$C$14:$C$33,MATCH(O55,Settings!$B$14:$B$33,0)),IFERROR(LOOKUP(2^15,SEARCH(Settings!$I$14:$I$83,O55)/(Settings!$I$14:$I$83&lt;&gt;""),Settings!$J$14:$J$83),"Other"))))</f>
        <v/>
      </c>
      <c r="AS55">
        <f>IF($B55="","",IF(P55="","Not rostered",IFERROR(INDEX(Settings!$C$14:$C$33,MATCH(P55,Settings!$B$14:$B$33,0)),IFERROR(LOOKUP(2^15,SEARCH(Settings!$I$14:$I$83,P55)/(Settings!$I$14:$I$83&lt;&gt;""),Settings!$J$14:$J$83),"Other"))))</f>
        <v/>
      </c>
      <c r="AT55">
        <f>IF($B55="","",IF(Q55="","Not rostered",IFERROR(INDEX(Settings!$C$14:$C$33,MATCH(Q55,Settings!$B$14:$B$33,0)),IFERROR(LOOKUP(2^15,SEARCH(Settings!$I$14:$I$83,Q55)/(Settings!$I$14:$I$83&lt;&gt;""),Settings!$J$14:$J$83),"Other"))))</f>
        <v/>
      </c>
      <c r="AU55">
        <f>IF($B55="","",IF(R55="","Not rostered",IFERROR(INDEX(Settings!$C$14:$C$33,MATCH(R55,Settings!$B$14:$B$33,0)),IFERROR(LOOKUP(2^15,SEARCH(Settings!$I$14:$I$83,R55)/(Settings!$I$14:$I$83&lt;&gt;""),Settings!$J$14:$J$83),"Other"))))</f>
        <v/>
      </c>
      <c r="AV55">
        <f>IF($B55="","",IF(S55="","Not rostered",IFERROR(INDEX(Settings!$C$14:$C$33,MATCH(S55,Settings!$B$14:$B$33,0)),IFERROR(LOOKUP(2^15,SEARCH(Settings!$I$14:$I$83,S55)/(Settings!$I$14:$I$83&lt;&gt;""),Settings!$J$14:$J$83),"Other"))))</f>
        <v/>
      </c>
      <c r="AW55">
        <f>IF($B55="","",IF(T55="","Not rostered",IFERROR(INDEX(Settings!$C$14:$C$33,MATCH(T55,Settings!$B$14:$B$33,0)),IFERROR(LOOKUP(2^15,SEARCH(Settings!$I$14:$I$83,T55)/(Settings!$I$14:$I$83&lt;&gt;""),Settings!$J$14:$J$83),"Other"))))</f>
        <v/>
      </c>
      <c r="AX55">
        <f>IF($B55="","",IF(U55="","Not rostered",IFERROR(INDEX(Settings!$C$14:$C$33,MATCH(U55,Settings!$B$14:$B$33,0)),IFERROR(LOOKUP(2^15,SEARCH(Settings!$I$14:$I$83,U55)/(Settings!$I$14:$I$83&lt;&gt;""),Settings!$J$14:$J$83),"Other"))))</f>
        <v/>
      </c>
      <c r="AY55">
        <f>IF($B55="","",IF(V55="","Not rostered",IFERROR(INDEX(Settings!$C$14:$C$33,MATCH(V55,Settings!$B$14:$B$33,0)),IFERROR(LOOKUP(2^15,SEARCH(Settings!$I$14:$I$83,V55)/(Settings!$I$14:$I$83&lt;&gt;""),Settings!$J$14:$J$83),"Other"))))</f>
        <v/>
      </c>
      <c r="AZ55">
        <f>IF($B55="","",IF(W55="","Not rostered",IFERROR(INDEX(Settings!$C$14:$C$33,MATCH(W55,Settings!$B$14:$B$33,0)),IFERROR(LOOKUP(2^15,SEARCH(Settings!$I$14:$I$83,W55)/(Settings!$I$14:$I$83&lt;&gt;""),Settings!$J$14:$J$83),"Other"))))</f>
        <v/>
      </c>
      <c r="BA55">
        <f>IF($B55="","",IF(X55="","Not rostered",IFERROR(INDEX(Settings!$C$14:$C$33,MATCH(X55,Settings!$B$14:$B$33,0)),IFERROR(LOOKUP(2^15,SEARCH(Settings!$I$14:$I$83,X55)/(Settings!$I$14:$I$83&lt;&gt;""),Settings!$J$14:$J$83),"Other"))))</f>
        <v/>
      </c>
      <c r="BB55">
        <f>IF($B55="","",IF(Y55="","Not rostered",IFERROR(INDEX(Settings!$C$14:$C$33,MATCH(Y55,Settings!$B$14:$B$33,0)),IFERROR(LOOKUP(2^15,SEARCH(Settings!$I$14:$I$83,Y55)/(Settings!$I$14:$I$83&lt;&gt;""),Settings!$J$14:$J$83),"Other"))))</f>
        <v/>
      </c>
      <c r="BC55">
        <f>IF($B55="","",IF(Z55="","Not rostered",IFERROR(INDEX(Settings!$C$14:$C$33,MATCH(Z55,Settings!$B$14:$B$33,0)),IFERROR(LOOKUP(2^15,SEARCH(Settings!$I$14:$I$83,Z55)/(Settings!$I$14:$I$83&lt;&gt;""),Settings!$J$14:$J$83),"Other"))))</f>
        <v/>
      </c>
      <c r="BD55">
        <f>IF($B55="","",IF(AA55="","Not rostered",IFERROR(INDEX(Settings!$C$14:$C$33,MATCH(AA55,Settings!$B$14:$B$33,0)),IFERROR(LOOKUP(2^15,SEARCH(Settings!$I$14:$I$83,AA55)/(Settings!$I$14:$I$83&lt;&gt;""),Settings!$J$14:$J$83),"Other"))))</f>
        <v/>
      </c>
      <c r="BE55">
        <f>IF($B55="","",IF(AB55="","Not rostered",IFERROR(INDEX(Settings!$C$14:$C$33,MATCH(AB55,Settings!$B$14:$B$33,0)),IFERROR(LOOKUP(2^15,SEARCH(Settings!$I$14:$I$83,AB55)/(Settings!$I$14:$I$83&lt;&gt;""),Settings!$J$14:$J$83),"Other"))))</f>
        <v/>
      </c>
      <c r="BF55">
        <f>IF($B55="","",IF(AC55="","Not rostered",IFERROR(INDEX(Settings!$C$14:$C$33,MATCH(AC55,Settings!$B$14:$B$33,0)),IFERROR(LOOKUP(2^15,SEARCH(Settings!$I$14:$I$83,AC55)/(Settings!$I$14:$I$83&lt;&gt;""),Settings!$J$14:$J$83),"Other"))))</f>
        <v/>
      </c>
      <c r="BG55">
        <f>IF($B55="","",IF(AD55="","Not rostered",IFERROR(INDEX(Settings!$C$14:$C$33,MATCH(AD55,Settings!$B$14:$B$33,0)),IFERROR(LOOKUP(2^15,SEARCH(Settings!$I$14:$I$83,AD55)/(Settings!$I$14:$I$83&lt;&gt;""),Settings!$J$14:$J$83),"Other"))))</f>
        <v/>
      </c>
      <c r="BH55">
        <f>IF($B55="","",IF(AE55="","Not rostered",IFERROR(INDEX(Settings!$C$14:$C$33,MATCH(AE55,Settings!$B$14:$B$33,0)),IFERROR(LOOKUP(2^15,SEARCH(Settings!$I$14:$I$83,AE55)/(Settings!$I$14:$I$83&lt;&gt;""),Settings!$J$14:$J$83),"Other"))))</f>
        <v/>
      </c>
      <c r="BI55">
        <f>IF($B55="","",IF(AF55="","Not rostered",IFERROR(INDEX(Settings!$C$14:$C$33,MATCH(AF55,Settings!$B$14:$B$33,0)),IFERROR(LOOKUP(2^15,SEARCH(Settings!$I$14:$I$83,AF55)/(Settings!$I$14:$I$83&lt;&gt;""),Settings!$J$14:$J$83),"Other"))))</f>
        <v/>
      </c>
      <c r="BJ55">
        <f>IF($B55="","",IF(AG55="","Not rostered",IFERROR(INDEX(Settings!$C$14:$C$33,MATCH(AG55,Settings!$B$14:$B$33,0)),IFERROR(LOOKUP(2^15,SEARCH(Settings!$I$14:$I$83,AG55)/(Settings!$I$14:$I$83&lt;&gt;""),Settings!$J$14:$J$83),"Other"))))</f>
        <v/>
      </c>
      <c r="BL55">
        <f>IF(OR($B55="",F55=""),"",IFERROR(INDEX(Settings!$D$14:$D$33,MATCH(F55,Settings!$B$14:$B$33,0))&amp;"",IFERROR(LOOKUP(2^15,SEARCH(Settings!$F$14:$F$43,F55)/(Settings!$F$14:$F$43&lt;&gt;""),Settings!$G$14:$G$43),"")))</f>
        <v/>
      </c>
      <c r="BM55">
        <f>IF(OR($B55="",G55=""),"",IFERROR(INDEX(Settings!$D$14:$D$33,MATCH(G55,Settings!$B$14:$B$33,0))&amp;"",IFERROR(LOOKUP(2^15,SEARCH(Settings!$F$14:$F$43,G55)/(Settings!$F$14:$F$43&lt;&gt;""),Settings!$G$14:$G$43),"")))</f>
        <v/>
      </c>
      <c r="BN55">
        <f>IF(OR($B55="",H55=""),"",IFERROR(INDEX(Settings!$D$14:$D$33,MATCH(H55,Settings!$B$14:$B$33,0))&amp;"",IFERROR(LOOKUP(2^15,SEARCH(Settings!$F$14:$F$43,H55)/(Settings!$F$14:$F$43&lt;&gt;""),Settings!$G$14:$G$43),"")))</f>
        <v/>
      </c>
      <c r="BO55">
        <f>IF(OR($B55="",I55=""),"",IFERROR(INDEX(Settings!$D$14:$D$33,MATCH(I55,Settings!$B$14:$B$33,0))&amp;"",IFERROR(LOOKUP(2^15,SEARCH(Settings!$F$14:$F$43,I55)/(Settings!$F$14:$F$43&lt;&gt;""),Settings!$G$14:$G$43),"")))</f>
        <v/>
      </c>
      <c r="BP55">
        <f>IF(OR($B55="",J55=""),"",IFERROR(INDEX(Settings!$D$14:$D$33,MATCH(J55,Settings!$B$14:$B$33,0))&amp;"",IFERROR(LOOKUP(2^15,SEARCH(Settings!$F$14:$F$43,J55)/(Settings!$F$14:$F$43&lt;&gt;""),Settings!$G$14:$G$43),"")))</f>
        <v/>
      </c>
      <c r="BQ55">
        <f>IF(OR($B55="",K55=""),"",IFERROR(INDEX(Settings!$D$14:$D$33,MATCH(K55,Settings!$B$14:$B$33,0))&amp;"",IFERROR(LOOKUP(2^15,SEARCH(Settings!$F$14:$F$43,K55)/(Settings!$F$14:$F$43&lt;&gt;""),Settings!$G$14:$G$43),"")))</f>
        <v/>
      </c>
      <c r="BR55">
        <f>IF(OR($B55="",L55=""),"",IFERROR(INDEX(Settings!$D$14:$D$33,MATCH(L55,Settings!$B$14:$B$33,0))&amp;"",IFERROR(LOOKUP(2^15,SEARCH(Settings!$F$14:$F$43,L55)/(Settings!$F$14:$F$43&lt;&gt;""),Settings!$G$14:$G$43),"")))</f>
        <v/>
      </c>
      <c r="BS55">
        <f>IF(OR($B55="",M55=""),"",IFERROR(INDEX(Settings!$D$14:$D$33,MATCH(M55,Settings!$B$14:$B$33,0))&amp;"",IFERROR(LOOKUP(2^15,SEARCH(Settings!$F$14:$F$43,M55)/(Settings!$F$14:$F$43&lt;&gt;""),Settings!$G$14:$G$43),"")))</f>
        <v/>
      </c>
      <c r="BT55">
        <f>IF(OR($B55="",N55=""),"",IFERROR(INDEX(Settings!$D$14:$D$33,MATCH(N55,Settings!$B$14:$B$33,0))&amp;"",IFERROR(LOOKUP(2^15,SEARCH(Settings!$F$14:$F$43,N55)/(Settings!$F$14:$F$43&lt;&gt;""),Settings!$G$14:$G$43),"")))</f>
        <v/>
      </c>
      <c r="BU55">
        <f>IF(OR($B55="",O55=""),"",IFERROR(INDEX(Settings!$D$14:$D$33,MATCH(O55,Settings!$B$14:$B$33,0))&amp;"",IFERROR(LOOKUP(2^15,SEARCH(Settings!$F$14:$F$43,O55)/(Settings!$F$14:$F$43&lt;&gt;""),Settings!$G$14:$G$43),"")))</f>
        <v/>
      </c>
      <c r="BV55">
        <f>IF(OR($B55="",P55=""),"",IFERROR(INDEX(Settings!$D$14:$D$33,MATCH(P55,Settings!$B$14:$B$33,0))&amp;"",IFERROR(LOOKUP(2^15,SEARCH(Settings!$F$14:$F$43,P55)/(Settings!$F$14:$F$43&lt;&gt;""),Settings!$G$14:$G$43),"")))</f>
        <v/>
      </c>
      <c r="BW55">
        <f>IF(OR($B55="",Q55=""),"",IFERROR(INDEX(Settings!$D$14:$D$33,MATCH(Q55,Settings!$B$14:$B$33,0))&amp;"",IFERROR(LOOKUP(2^15,SEARCH(Settings!$F$14:$F$43,Q55)/(Settings!$F$14:$F$43&lt;&gt;""),Settings!$G$14:$G$43),"")))</f>
        <v/>
      </c>
      <c r="BX55">
        <f>IF(OR($B55="",R55=""),"",IFERROR(INDEX(Settings!$D$14:$D$33,MATCH(R55,Settings!$B$14:$B$33,0))&amp;"",IFERROR(LOOKUP(2^15,SEARCH(Settings!$F$14:$F$43,R55)/(Settings!$F$14:$F$43&lt;&gt;""),Settings!$G$14:$G$43),"")))</f>
        <v/>
      </c>
      <c r="BY55">
        <f>IF(OR($B55="",S55=""),"",IFERROR(INDEX(Settings!$D$14:$D$33,MATCH(S55,Settings!$B$14:$B$33,0))&amp;"",IFERROR(LOOKUP(2^15,SEARCH(Settings!$F$14:$F$43,S55)/(Settings!$F$14:$F$43&lt;&gt;""),Settings!$G$14:$G$43),"")))</f>
        <v/>
      </c>
      <c r="BZ55">
        <f>IF(OR($B55="",T55=""),"",IFERROR(INDEX(Settings!$D$14:$D$33,MATCH(T55,Settings!$B$14:$B$33,0))&amp;"",IFERROR(LOOKUP(2^15,SEARCH(Settings!$F$14:$F$43,T55)/(Settings!$F$14:$F$43&lt;&gt;""),Settings!$G$14:$G$43),"")))</f>
        <v/>
      </c>
      <c r="CA55">
        <f>IF(OR($B55="",U55=""),"",IFERROR(INDEX(Settings!$D$14:$D$33,MATCH(U55,Settings!$B$14:$B$33,0))&amp;"",IFERROR(LOOKUP(2^15,SEARCH(Settings!$F$14:$F$43,U55)/(Settings!$F$14:$F$43&lt;&gt;""),Settings!$G$14:$G$43),"")))</f>
        <v/>
      </c>
      <c r="CB55">
        <f>IF(OR($B55="",V55=""),"",IFERROR(INDEX(Settings!$D$14:$D$33,MATCH(V55,Settings!$B$14:$B$33,0))&amp;"",IFERROR(LOOKUP(2^15,SEARCH(Settings!$F$14:$F$43,V55)/(Settings!$F$14:$F$43&lt;&gt;""),Settings!$G$14:$G$43),"")))</f>
        <v/>
      </c>
      <c r="CC55">
        <f>IF(OR($B55="",W55=""),"",IFERROR(INDEX(Settings!$D$14:$D$33,MATCH(W55,Settings!$B$14:$B$33,0))&amp;"",IFERROR(LOOKUP(2^15,SEARCH(Settings!$F$14:$F$43,W55)/(Settings!$F$14:$F$43&lt;&gt;""),Settings!$G$14:$G$43),"")))</f>
        <v/>
      </c>
      <c r="CD55">
        <f>IF(OR($B55="",X55=""),"",IFERROR(INDEX(Settings!$D$14:$D$33,MATCH(X55,Settings!$B$14:$B$33,0))&amp;"",IFERROR(LOOKUP(2^15,SEARCH(Settings!$F$14:$F$43,X55)/(Settings!$F$14:$F$43&lt;&gt;""),Settings!$G$14:$G$43),"")))</f>
        <v/>
      </c>
      <c r="CE55">
        <f>IF(OR($B55="",Y55=""),"",IFERROR(INDEX(Settings!$D$14:$D$33,MATCH(Y55,Settings!$B$14:$B$33,0))&amp;"",IFERROR(LOOKUP(2^15,SEARCH(Settings!$F$14:$F$43,Y55)/(Settings!$F$14:$F$43&lt;&gt;""),Settings!$G$14:$G$43),"")))</f>
        <v/>
      </c>
      <c r="CF55">
        <f>IF(OR($B55="",Z55=""),"",IFERROR(INDEX(Settings!$D$14:$D$33,MATCH(Z55,Settings!$B$14:$B$33,0))&amp;"",IFERROR(LOOKUP(2^15,SEARCH(Settings!$F$14:$F$43,Z55)/(Settings!$F$14:$F$43&lt;&gt;""),Settings!$G$14:$G$43),"")))</f>
        <v/>
      </c>
      <c r="CG55">
        <f>IF(OR($B55="",AA55=""),"",IFERROR(INDEX(Settings!$D$14:$D$33,MATCH(AA55,Settings!$B$14:$B$33,0))&amp;"",IFERROR(LOOKUP(2^15,SEARCH(Settings!$F$14:$F$43,AA55)/(Settings!$F$14:$F$43&lt;&gt;""),Settings!$G$14:$G$43),"")))</f>
        <v/>
      </c>
      <c r="CH55">
        <f>IF(OR($B55="",AB55=""),"",IFERROR(INDEX(Settings!$D$14:$D$33,MATCH(AB55,Settings!$B$14:$B$33,0))&amp;"",IFERROR(LOOKUP(2^15,SEARCH(Settings!$F$14:$F$43,AB55)/(Settings!$F$14:$F$43&lt;&gt;""),Settings!$G$14:$G$43),"")))</f>
        <v/>
      </c>
      <c r="CI55">
        <f>IF(OR($B55="",AC55=""),"",IFERROR(INDEX(Settings!$D$14:$D$33,MATCH(AC55,Settings!$B$14:$B$33,0))&amp;"",IFERROR(LOOKUP(2^15,SEARCH(Settings!$F$14:$F$43,AC55)/(Settings!$F$14:$F$43&lt;&gt;""),Settings!$G$14:$G$43),"")))</f>
        <v/>
      </c>
      <c r="CJ55">
        <f>IF(OR($B55="",AD55=""),"",IFERROR(INDEX(Settings!$D$14:$D$33,MATCH(AD55,Settings!$B$14:$B$33,0))&amp;"",IFERROR(LOOKUP(2^15,SEARCH(Settings!$F$14:$F$43,AD55)/(Settings!$F$14:$F$43&lt;&gt;""),Settings!$G$14:$G$43),"")))</f>
        <v/>
      </c>
      <c r="CK55">
        <f>IF(OR($B55="",AE55=""),"",IFERROR(INDEX(Settings!$D$14:$D$33,MATCH(AE55,Settings!$B$14:$B$33,0))&amp;"",IFERROR(LOOKUP(2^15,SEARCH(Settings!$F$14:$F$43,AE55)/(Settings!$F$14:$F$43&lt;&gt;""),Settings!$G$14:$G$43),"")))</f>
        <v/>
      </c>
      <c r="CL55">
        <f>IF(OR($B55="",AF55=""),"",IFERROR(INDEX(Settings!$D$14:$D$33,MATCH(AF55,Settings!$B$14:$B$33,0))&amp;"",IFERROR(LOOKUP(2^15,SEARCH(Settings!$F$14:$F$43,AF55)/(Settings!$F$14:$F$43&lt;&gt;""),Settings!$G$14:$G$43),"")))</f>
        <v/>
      </c>
      <c r="CM55">
        <f>IF(OR($B55="",AG55=""),"",IFERROR(INDEX(Settings!$D$14:$D$33,MATCH(AG55,Settings!$B$14:$B$33,0))&amp;"",IFERROR(LOOKUP(2^15,SEARCH(Settings!$F$14:$F$43,AG55)/(Settings!$F$14:$F$43&lt;&gt;""),Settings!$G$14:$G$43),"")))</f>
        <v/>
      </c>
    </row>
    <row r="56">
      <c r="A56" t="n">
        <v>54</v>
      </c>
      <c r="B56">
        <f>IFERROR(INDEX(Index!$A$2:$A$202,MATCH(A56,Index!$E$2:$E$202,0)),"")</f>
        <v/>
      </c>
      <c r="D56">
        <f>IF($B56="","",IFERROR(MATCH("Travel*",AI56:BJ56,0),""))</f>
        <v/>
      </c>
      <c r="F56">
        <f>IF(OR($B56="",NOT(ISNUMBER(Settings!$C$9))),"",TRIM(SUBSTITUTE(SUBSTITUTE(INDEX('INPUT - Roster'!$S$1:$SV$206,$B56,Settings!$C$9+0)&amp;"",CHAR(10)," "),CHAR(160)," ")))</f>
        <v/>
      </c>
      <c r="G56">
        <f>IF(OR($B56="",NOT(ISNUMBER(Settings!$C$9))),"",TRIM(SUBSTITUTE(SUBSTITUTE(INDEX('INPUT - Roster'!$S$1:$SV$206,$B56,Settings!$C$9+1)&amp;"",CHAR(10)," "),CHAR(160)," ")))</f>
        <v/>
      </c>
      <c r="H56">
        <f>IF(OR($B56="",NOT(ISNUMBER(Settings!$C$9))),"",TRIM(SUBSTITUTE(SUBSTITUTE(INDEX('INPUT - Roster'!$S$1:$SV$206,$B56,Settings!$C$9+2)&amp;"",CHAR(10)," "),CHAR(160)," ")))</f>
        <v/>
      </c>
      <c r="I56">
        <f>IF(OR($B56="",NOT(ISNUMBER(Settings!$C$9))),"",TRIM(SUBSTITUTE(SUBSTITUTE(INDEX('INPUT - Roster'!$S$1:$SV$206,$B56,Settings!$C$9+3)&amp;"",CHAR(10)," "),CHAR(160)," ")))</f>
        <v/>
      </c>
      <c r="J56">
        <f>IF(OR($B56="",NOT(ISNUMBER(Settings!$C$9))),"",TRIM(SUBSTITUTE(SUBSTITUTE(INDEX('INPUT - Roster'!$S$1:$SV$206,$B56,Settings!$C$9+4)&amp;"",CHAR(10)," "),CHAR(160)," ")))</f>
        <v/>
      </c>
      <c r="K56">
        <f>IF(OR($B56="",NOT(ISNUMBER(Settings!$C$9))),"",TRIM(SUBSTITUTE(SUBSTITUTE(INDEX('INPUT - Roster'!$S$1:$SV$206,$B56,Settings!$C$9+5)&amp;"",CHAR(10)," "),CHAR(160)," ")))</f>
        <v/>
      </c>
      <c r="L56">
        <f>IF(OR($B56="",NOT(ISNUMBER(Settings!$C$9))),"",TRIM(SUBSTITUTE(SUBSTITUTE(INDEX('INPUT - Roster'!$S$1:$SV$206,$B56,Settings!$C$9+6)&amp;"",CHAR(10)," "),CHAR(160)," ")))</f>
        <v/>
      </c>
      <c r="M56">
        <f>IF(OR($B56="",NOT(ISNUMBER(Settings!$C$9))),"",TRIM(SUBSTITUTE(SUBSTITUTE(INDEX('INPUT - Roster'!$S$1:$SV$206,$B56,Settings!$C$9+7)&amp;"",CHAR(10)," "),CHAR(160)," ")))</f>
        <v/>
      </c>
      <c r="N56">
        <f>IF(OR($B56="",NOT(ISNUMBER(Settings!$C$9))),"",TRIM(SUBSTITUTE(SUBSTITUTE(INDEX('INPUT - Roster'!$S$1:$SV$206,$B56,Settings!$C$9+8)&amp;"",CHAR(10)," "),CHAR(160)," ")))</f>
        <v/>
      </c>
      <c r="O56">
        <f>IF(OR($B56="",NOT(ISNUMBER(Settings!$C$9))),"",TRIM(SUBSTITUTE(SUBSTITUTE(INDEX('INPUT - Roster'!$S$1:$SV$206,$B56,Settings!$C$9+9)&amp;"",CHAR(10)," "),CHAR(160)," ")))</f>
        <v/>
      </c>
      <c r="P56">
        <f>IF(OR($B56="",NOT(ISNUMBER(Settings!$C$9))),"",TRIM(SUBSTITUTE(SUBSTITUTE(INDEX('INPUT - Roster'!$S$1:$SV$206,$B56,Settings!$C$9+10)&amp;"",CHAR(10)," "),CHAR(160)," ")))</f>
        <v/>
      </c>
      <c r="Q56">
        <f>IF(OR($B56="",NOT(ISNUMBER(Settings!$C$9))),"",TRIM(SUBSTITUTE(SUBSTITUTE(INDEX('INPUT - Roster'!$S$1:$SV$206,$B56,Settings!$C$9+11)&amp;"",CHAR(10)," "),CHAR(160)," ")))</f>
        <v/>
      </c>
      <c r="R56">
        <f>IF(OR($B56="",NOT(ISNUMBER(Settings!$C$9))),"",TRIM(SUBSTITUTE(SUBSTITUTE(INDEX('INPUT - Roster'!$S$1:$SV$206,$B56,Settings!$C$9+12)&amp;"",CHAR(10)," "),CHAR(160)," ")))</f>
        <v/>
      </c>
      <c r="S56">
        <f>IF(OR($B56="",NOT(ISNUMBER(Settings!$C$9))),"",TRIM(SUBSTITUTE(SUBSTITUTE(INDEX('INPUT - Roster'!$S$1:$SV$206,$B56,Settings!$C$9+13)&amp;"",CHAR(10)," "),CHAR(160)," ")))</f>
        <v/>
      </c>
      <c r="T56">
        <f>IF(OR($B56="",NOT(ISNUMBER(Settings!$C$9))),"",TRIM(SUBSTITUTE(SUBSTITUTE(INDEX('INPUT - Roster'!$S$1:$SV$206,$B56,Settings!$C$9+14)&amp;"",CHAR(10)," "),CHAR(160)," ")))</f>
        <v/>
      </c>
      <c r="U56">
        <f>IF(OR($B56="",NOT(ISNUMBER(Settings!$C$9))),"",TRIM(SUBSTITUTE(SUBSTITUTE(INDEX('INPUT - Roster'!$S$1:$SV$206,$B56,Settings!$C$9+15)&amp;"",CHAR(10)," "),CHAR(160)," ")))</f>
        <v/>
      </c>
      <c r="V56">
        <f>IF(OR($B56="",NOT(ISNUMBER(Settings!$C$9))),"",TRIM(SUBSTITUTE(SUBSTITUTE(INDEX('INPUT - Roster'!$S$1:$SV$206,$B56,Settings!$C$9+16)&amp;"",CHAR(10)," "),CHAR(160)," ")))</f>
        <v/>
      </c>
      <c r="W56">
        <f>IF(OR($B56="",NOT(ISNUMBER(Settings!$C$9))),"",TRIM(SUBSTITUTE(SUBSTITUTE(INDEX('INPUT - Roster'!$S$1:$SV$206,$B56,Settings!$C$9+17)&amp;"",CHAR(10)," "),CHAR(160)," ")))</f>
        <v/>
      </c>
      <c r="X56">
        <f>IF(OR($B56="",NOT(ISNUMBER(Settings!$C$9))),"",TRIM(SUBSTITUTE(SUBSTITUTE(INDEX('INPUT - Roster'!$S$1:$SV$206,$B56,Settings!$C$9+18)&amp;"",CHAR(10)," "),CHAR(160)," ")))</f>
        <v/>
      </c>
      <c r="Y56">
        <f>IF(OR($B56="",NOT(ISNUMBER(Settings!$C$9))),"",TRIM(SUBSTITUTE(SUBSTITUTE(INDEX('INPUT - Roster'!$S$1:$SV$206,$B56,Settings!$C$9+19)&amp;"",CHAR(10)," "),CHAR(160)," ")))</f>
        <v/>
      </c>
      <c r="Z56">
        <f>IF(OR($B56="",NOT(ISNUMBER(Settings!$C$9))),"",TRIM(SUBSTITUTE(SUBSTITUTE(INDEX('INPUT - Roster'!$S$1:$SV$206,$B56,Settings!$C$9+20)&amp;"",CHAR(10)," "),CHAR(160)," ")))</f>
        <v/>
      </c>
      <c r="AA56">
        <f>IF(OR($B56="",NOT(ISNUMBER(Settings!$C$9))),"",TRIM(SUBSTITUTE(SUBSTITUTE(INDEX('INPUT - Roster'!$S$1:$SV$206,$B56,Settings!$C$9+21)&amp;"",CHAR(10)," "),CHAR(160)," ")))</f>
        <v/>
      </c>
      <c r="AB56">
        <f>IF(OR($B56="",NOT(ISNUMBER(Settings!$C$9))),"",TRIM(SUBSTITUTE(SUBSTITUTE(INDEX('INPUT - Roster'!$S$1:$SV$206,$B56,Settings!$C$9+22)&amp;"",CHAR(10)," "),CHAR(160)," ")))</f>
        <v/>
      </c>
      <c r="AC56">
        <f>IF(OR($B56="",NOT(ISNUMBER(Settings!$C$9))),"",TRIM(SUBSTITUTE(SUBSTITUTE(INDEX('INPUT - Roster'!$S$1:$SV$206,$B56,Settings!$C$9+23)&amp;"",CHAR(10)," "),CHAR(160)," ")))</f>
        <v/>
      </c>
      <c r="AD56">
        <f>IF(OR($B56="",NOT(ISNUMBER(Settings!$C$9))),"",TRIM(SUBSTITUTE(SUBSTITUTE(INDEX('INPUT - Roster'!$S$1:$SV$206,$B56,Settings!$C$9+24)&amp;"",CHAR(10)," "),CHAR(160)," ")))</f>
        <v/>
      </c>
      <c r="AE56">
        <f>IF(OR($B56="",NOT(ISNUMBER(Settings!$C$9))),"",TRIM(SUBSTITUTE(SUBSTITUTE(INDEX('INPUT - Roster'!$S$1:$SV$206,$B56,Settings!$C$9+25)&amp;"",CHAR(10)," "),CHAR(160)," ")))</f>
        <v/>
      </c>
      <c r="AF56">
        <f>IF(OR($B56="",NOT(ISNUMBER(Settings!$C$9))),"",TRIM(SUBSTITUTE(SUBSTITUTE(INDEX('INPUT - Roster'!$S$1:$SV$206,$B56,Settings!$C$9+26)&amp;"",CHAR(10)," "),CHAR(160)," ")))</f>
        <v/>
      </c>
      <c r="AG56">
        <f>IF(OR($B56="",NOT(ISNUMBER(Settings!$C$9))),"",TRIM(SUBSTITUTE(SUBSTITUTE(INDEX('INPUT - Roster'!$S$1:$SV$206,$B56,Settings!$C$9+27)&amp;"",CHAR(10)," "),CHAR(160)," ")))</f>
        <v/>
      </c>
      <c r="AI56">
        <f>IF($B56="","",IF(F56="","Not rostered",IFERROR(INDEX(Settings!$C$14:$C$33,MATCH(F56,Settings!$B$14:$B$33,0)),IFERROR(LOOKUP(2^15,SEARCH(Settings!$I$14:$I$83,F56)/(Settings!$I$14:$I$83&lt;&gt;""),Settings!$J$14:$J$83),"Other"))))</f>
        <v/>
      </c>
      <c r="AJ56">
        <f>IF($B56="","",IF(G56="","Not rostered",IFERROR(INDEX(Settings!$C$14:$C$33,MATCH(G56,Settings!$B$14:$B$33,0)),IFERROR(LOOKUP(2^15,SEARCH(Settings!$I$14:$I$83,G56)/(Settings!$I$14:$I$83&lt;&gt;""),Settings!$J$14:$J$83),"Other"))))</f>
        <v/>
      </c>
      <c r="AK56">
        <f>IF($B56="","",IF(H56="","Not rostered",IFERROR(INDEX(Settings!$C$14:$C$33,MATCH(H56,Settings!$B$14:$B$33,0)),IFERROR(LOOKUP(2^15,SEARCH(Settings!$I$14:$I$83,H56)/(Settings!$I$14:$I$83&lt;&gt;""),Settings!$J$14:$J$83),"Other"))))</f>
        <v/>
      </c>
      <c r="AL56">
        <f>IF($B56="","",IF(I56="","Not rostered",IFERROR(INDEX(Settings!$C$14:$C$33,MATCH(I56,Settings!$B$14:$B$33,0)),IFERROR(LOOKUP(2^15,SEARCH(Settings!$I$14:$I$83,I56)/(Settings!$I$14:$I$83&lt;&gt;""),Settings!$J$14:$J$83),"Other"))))</f>
        <v/>
      </c>
      <c r="AM56">
        <f>IF($B56="","",IF(J56="","Not rostered",IFERROR(INDEX(Settings!$C$14:$C$33,MATCH(J56,Settings!$B$14:$B$33,0)),IFERROR(LOOKUP(2^15,SEARCH(Settings!$I$14:$I$83,J56)/(Settings!$I$14:$I$83&lt;&gt;""),Settings!$J$14:$J$83),"Other"))))</f>
        <v/>
      </c>
      <c r="AN56">
        <f>IF($B56="","",IF(K56="","Not rostered",IFERROR(INDEX(Settings!$C$14:$C$33,MATCH(K56,Settings!$B$14:$B$33,0)),IFERROR(LOOKUP(2^15,SEARCH(Settings!$I$14:$I$83,K56)/(Settings!$I$14:$I$83&lt;&gt;""),Settings!$J$14:$J$83),"Other"))))</f>
        <v/>
      </c>
      <c r="AO56">
        <f>IF($B56="","",IF(L56="","Not rostered",IFERROR(INDEX(Settings!$C$14:$C$33,MATCH(L56,Settings!$B$14:$B$33,0)),IFERROR(LOOKUP(2^15,SEARCH(Settings!$I$14:$I$83,L56)/(Settings!$I$14:$I$83&lt;&gt;""),Settings!$J$14:$J$83),"Other"))))</f>
        <v/>
      </c>
      <c r="AP56">
        <f>IF($B56="","",IF(M56="","Not rostered",IFERROR(INDEX(Settings!$C$14:$C$33,MATCH(M56,Settings!$B$14:$B$33,0)),IFERROR(LOOKUP(2^15,SEARCH(Settings!$I$14:$I$83,M56)/(Settings!$I$14:$I$83&lt;&gt;""),Settings!$J$14:$J$83),"Other"))))</f>
        <v/>
      </c>
      <c r="AQ56">
        <f>IF($B56="","",IF(N56="","Not rostered",IFERROR(INDEX(Settings!$C$14:$C$33,MATCH(N56,Settings!$B$14:$B$33,0)),IFERROR(LOOKUP(2^15,SEARCH(Settings!$I$14:$I$83,N56)/(Settings!$I$14:$I$83&lt;&gt;""),Settings!$J$14:$J$83),"Other"))))</f>
        <v/>
      </c>
      <c r="AR56">
        <f>IF($B56="","",IF(O56="","Not rostered",IFERROR(INDEX(Settings!$C$14:$C$33,MATCH(O56,Settings!$B$14:$B$33,0)),IFERROR(LOOKUP(2^15,SEARCH(Settings!$I$14:$I$83,O56)/(Settings!$I$14:$I$83&lt;&gt;""),Settings!$J$14:$J$83),"Other"))))</f>
        <v/>
      </c>
      <c r="AS56">
        <f>IF($B56="","",IF(P56="","Not rostered",IFERROR(INDEX(Settings!$C$14:$C$33,MATCH(P56,Settings!$B$14:$B$33,0)),IFERROR(LOOKUP(2^15,SEARCH(Settings!$I$14:$I$83,P56)/(Settings!$I$14:$I$83&lt;&gt;""),Settings!$J$14:$J$83),"Other"))))</f>
        <v/>
      </c>
      <c r="AT56">
        <f>IF($B56="","",IF(Q56="","Not rostered",IFERROR(INDEX(Settings!$C$14:$C$33,MATCH(Q56,Settings!$B$14:$B$33,0)),IFERROR(LOOKUP(2^15,SEARCH(Settings!$I$14:$I$83,Q56)/(Settings!$I$14:$I$83&lt;&gt;""),Settings!$J$14:$J$83),"Other"))))</f>
        <v/>
      </c>
      <c r="AU56">
        <f>IF($B56="","",IF(R56="","Not rostered",IFERROR(INDEX(Settings!$C$14:$C$33,MATCH(R56,Settings!$B$14:$B$33,0)),IFERROR(LOOKUP(2^15,SEARCH(Settings!$I$14:$I$83,R56)/(Settings!$I$14:$I$83&lt;&gt;""),Settings!$J$14:$J$83),"Other"))))</f>
        <v/>
      </c>
      <c r="AV56">
        <f>IF($B56="","",IF(S56="","Not rostered",IFERROR(INDEX(Settings!$C$14:$C$33,MATCH(S56,Settings!$B$14:$B$33,0)),IFERROR(LOOKUP(2^15,SEARCH(Settings!$I$14:$I$83,S56)/(Settings!$I$14:$I$83&lt;&gt;""),Settings!$J$14:$J$83),"Other"))))</f>
        <v/>
      </c>
      <c r="AW56">
        <f>IF($B56="","",IF(T56="","Not rostered",IFERROR(INDEX(Settings!$C$14:$C$33,MATCH(T56,Settings!$B$14:$B$33,0)),IFERROR(LOOKUP(2^15,SEARCH(Settings!$I$14:$I$83,T56)/(Settings!$I$14:$I$83&lt;&gt;""),Settings!$J$14:$J$83),"Other"))))</f>
        <v/>
      </c>
      <c r="AX56">
        <f>IF($B56="","",IF(U56="","Not rostered",IFERROR(INDEX(Settings!$C$14:$C$33,MATCH(U56,Settings!$B$14:$B$33,0)),IFERROR(LOOKUP(2^15,SEARCH(Settings!$I$14:$I$83,U56)/(Settings!$I$14:$I$83&lt;&gt;""),Settings!$J$14:$J$83),"Other"))))</f>
        <v/>
      </c>
      <c r="AY56">
        <f>IF($B56="","",IF(V56="","Not rostered",IFERROR(INDEX(Settings!$C$14:$C$33,MATCH(V56,Settings!$B$14:$B$33,0)),IFERROR(LOOKUP(2^15,SEARCH(Settings!$I$14:$I$83,V56)/(Settings!$I$14:$I$83&lt;&gt;""),Settings!$J$14:$J$83),"Other"))))</f>
        <v/>
      </c>
      <c r="AZ56">
        <f>IF($B56="","",IF(W56="","Not rostered",IFERROR(INDEX(Settings!$C$14:$C$33,MATCH(W56,Settings!$B$14:$B$33,0)),IFERROR(LOOKUP(2^15,SEARCH(Settings!$I$14:$I$83,W56)/(Settings!$I$14:$I$83&lt;&gt;""),Settings!$J$14:$J$83),"Other"))))</f>
        <v/>
      </c>
      <c r="BA56">
        <f>IF($B56="","",IF(X56="","Not rostered",IFERROR(INDEX(Settings!$C$14:$C$33,MATCH(X56,Settings!$B$14:$B$33,0)),IFERROR(LOOKUP(2^15,SEARCH(Settings!$I$14:$I$83,X56)/(Settings!$I$14:$I$83&lt;&gt;""),Settings!$J$14:$J$83),"Other"))))</f>
        <v/>
      </c>
      <c r="BB56">
        <f>IF($B56="","",IF(Y56="","Not rostered",IFERROR(INDEX(Settings!$C$14:$C$33,MATCH(Y56,Settings!$B$14:$B$33,0)),IFERROR(LOOKUP(2^15,SEARCH(Settings!$I$14:$I$83,Y56)/(Settings!$I$14:$I$83&lt;&gt;""),Settings!$J$14:$J$83),"Other"))))</f>
        <v/>
      </c>
      <c r="BC56">
        <f>IF($B56="","",IF(Z56="","Not rostered",IFERROR(INDEX(Settings!$C$14:$C$33,MATCH(Z56,Settings!$B$14:$B$33,0)),IFERROR(LOOKUP(2^15,SEARCH(Settings!$I$14:$I$83,Z56)/(Settings!$I$14:$I$83&lt;&gt;""),Settings!$J$14:$J$83),"Other"))))</f>
        <v/>
      </c>
      <c r="BD56">
        <f>IF($B56="","",IF(AA56="","Not rostered",IFERROR(INDEX(Settings!$C$14:$C$33,MATCH(AA56,Settings!$B$14:$B$33,0)),IFERROR(LOOKUP(2^15,SEARCH(Settings!$I$14:$I$83,AA56)/(Settings!$I$14:$I$83&lt;&gt;""),Settings!$J$14:$J$83),"Other"))))</f>
        <v/>
      </c>
      <c r="BE56">
        <f>IF($B56="","",IF(AB56="","Not rostered",IFERROR(INDEX(Settings!$C$14:$C$33,MATCH(AB56,Settings!$B$14:$B$33,0)),IFERROR(LOOKUP(2^15,SEARCH(Settings!$I$14:$I$83,AB56)/(Settings!$I$14:$I$83&lt;&gt;""),Settings!$J$14:$J$83),"Other"))))</f>
        <v/>
      </c>
      <c r="BF56">
        <f>IF($B56="","",IF(AC56="","Not rostered",IFERROR(INDEX(Settings!$C$14:$C$33,MATCH(AC56,Settings!$B$14:$B$33,0)),IFERROR(LOOKUP(2^15,SEARCH(Settings!$I$14:$I$83,AC56)/(Settings!$I$14:$I$83&lt;&gt;""),Settings!$J$14:$J$83),"Other"))))</f>
        <v/>
      </c>
      <c r="BG56">
        <f>IF($B56="","",IF(AD56="","Not rostered",IFERROR(INDEX(Settings!$C$14:$C$33,MATCH(AD56,Settings!$B$14:$B$33,0)),IFERROR(LOOKUP(2^15,SEARCH(Settings!$I$14:$I$83,AD56)/(Settings!$I$14:$I$83&lt;&gt;""),Settings!$J$14:$J$83),"Other"))))</f>
        <v/>
      </c>
      <c r="BH56">
        <f>IF($B56="","",IF(AE56="","Not rostered",IFERROR(INDEX(Settings!$C$14:$C$33,MATCH(AE56,Settings!$B$14:$B$33,0)),IFERROR(LOOKUP(2^15,SEARCH(Settings!$I$14:$I$83,AE56)/(Settings!$I$14:$I$83&lt;&gt;""),Settings!$J$14:$J$83),"Other"))))</f>
        <v/>
      </c>
      <c r="BI56">
        <f>IF($B56="","",IF(AF56="","Not rostered",IFERROR(INDEX(Settings!$C$14:$C$33,MATCH(AF56,Settings!$B$14:$B$33,0)),IFERROR(LOOKUP(2^15,SEARCH(Settings!$I$14:$I$83,AF56)/(Settings!$I$14:$I$83&lt;&gt;""),Settings!$J$14:$J$83),"Other"))))</f>
        <v/>
      </c>
      <c r="BJ56">
        <f>IF($B56="","",IF(AG56="","Not rostered",IFERROR(INDEX(Settings!$C$14:$C$33,MATCH(AG56,Settings!$B$14:$B$33,0)),IFERROR(LOOKUP(2^15,SEARCH(Settings!$I$14:$I$83,AG56)/(Settings!$I$14:$I$83&lt;&gt;""),Settings!$J$14:$J$83),"Other"))))</f>
        <v/>
      </c>
      <c r="BL56">
        <f>IF(OR($B56="",F56=""),"",IFERROR(INDEX(Settings!$D$14:$D$33,MATCH(F56,Settings!$B$14:$B$33,0))&amp;"",IFERROR(LOOKUP(2^15,SEARCH(Settings!$F$14:$F$43,F56)/(Settings!$F$14:$F$43&lt;&gt;""),Settings!$G$14:$G$43),"")))</f>
        <v/>
      </c>
      <c r="BM56">
        <f>IF(OR($B56="",G56=""),"",IFERROR(INDEX(Settings!$D$14:$D$33,MATCH(G56,Settings!$B$14:$B$33,0))&amp;"",IFERROR(LOOKUP(2^15,SEARCH(Settings!$F$14:$F$43,G56)/(Settings!$F$14:$F$43&lt;&gt;""),Settings!$G$14:$G$43),"")))</f>
        <v/>
      </c>
      <c r="BN56">
        <f>IF(OR($B56="",H56=""),"",IFERROR(INDEX(Settings!$D$14:$D$33,MATCH(H56,Settings!$B$14:$B$33,0))&amp;"",IFERROR(LOOKUP(2^15,SEARCH(Settings!$F$14:$F$43,H56)/(Settings!$F$14:$F$43&lt;&gt;""),Settings!$G$14:$G$43),"")))</f>
        <v/>
      </c>
      <c r="BO56">
        <f>IF(OR($B56="",I56=""),"",IFERROR(INDEX(Settings!$D$14:$D$33,MATCH(I56,Settings!$B$14:$B$33,0))&amp;"",IFERROR(LOOKUP(2^15,SEARCH(Settings!$F$14:$F$43,I56)/(Settings!$F$14:$F$43&lt;&gt;""),Settings!$G$14:$G$43),"")))</f>
        <v/>
      </c>
      <c r="BP56">
        <f>IF(OR($B56="",J56=""),"",IFERROR(INDEX(Settings!$D$14:$D$33,MATCH(J56,Settings!$B$14:$B$33,0))&amp;"",IFERROR(LOOKUP(2^15,SEARCH(Settings!$F$14:$F$43,J56)/(Settings!$F$14:$F$43&lt;&gt;""),Settings!$G$14:$G$43),"")))</f>
        <v/>
      </c>
      <c r="BQ56">
        <f>IF(OR($B56="",K56=""),"",IFERROR(INDEX(Settings!$D$14:$D$33,MATCH(K56,Settings!$B$14:$B$33,0))&amp;"",IFERROR(LOOKUP(2^15,SEARCH(Settings!$F$14:$F$43,K56)/(Settings!$F$14:$F$43&lt;&gt;""),Settings!$G$14:$G$43),"")))</f>
        <v/>
      </c>
      <c r="BR56">
        <f>IF(OR($B56="",L56=""),"",IFERROR(INDEX(Settings!$D$14:$D$33,MATCH(L56,Settings!$B$14:$B$33,0))&amp;"",IFERROR(LOOKUP(2^15,SEARCH(Settings!$F$14:$F$43,L56)/(Settings!$F$14:$F$43&lt;&gt;""),Settings!$G$14:$G$43),"")))</f>
        <v/>
      </c>
      <c r="BS56">
        <f>IF(OR($B56="",M56=""),"",IFERROR(INDEX(Settings!$D$14:$D$33,MATCH(M56,Settings!$B$14:$B$33,0))&amp;"",IFERROR(LOOKUP(2^15,SEARCH(Settings!$F$14:$F$43,M56)/(Settings!$F$14:$F$43&lt;&gt;""),Settings!$G$14:$G$43),"")))</f>
        <v/>
      </c>
      <c r="BT56">
        <f>IF(OR($B56="",N56=""),"",IFERROR(INDEX(Settings!$D$14:$D$33,MATCH(N56,Settings!$B$14:$B$33,0))&amp;"",IFERROR(LOOKUP(2^15,SEARCH(Settings!$F$14:$F$43,N56)/(Settings!$F$14:$F$43&lt;&gt;""),Settings!$G$14:$G$43),"")))</f>
        <v/>
      </c>
      <c r="BU56">
        <f>IF(OR($B56="",O56=""),"",IFERROR(INDEX(Settings!$D$14:$D$33,MATCH(O56,Settings!$B$14:$B$33,0))&amp;"",IFERROR(LOOKUP(2^15,SEARCH(Settings!$F$14:$F$43,O56)/(Settings!$F$14:$F$43&lt;&gt;""),Settings!$G$14:$G$43),"")))</f>
        <v/>
      </c>
      <c r="BV56">
        <f>IF(OR($B56="",P56=""),"",IFERROR(INDEX(Settings!$D$14:$D$33,MATCH(P56,Settings!$B$14:$B$33,0))&amp;"",IFERROR(LOOKUP(2^15,SEARCH(Settings!$F$14:$F$43,P56)/(Settings!$F$14:$F$43&lt;&gt;""),Settings!$G$14:$G$43),"")))</f>
        <v/>
      </c>
      <c r="BW56">
        <f>IF(OR($B56="",Q56=""),"",IFERROR(INDEX(Settings!$D$14:$D$33,MATCH(Q56,Settings!$B$14:$B$33,0))&amp;"",IFERROR(LOOKUP(2^15,SEARCH(Settings!$F$14:$F$43,Q56)/(Settings!$F$14:$F$43&lt;&gt;""),Settings!$G$14:$G$43),"")))</f>
        <v/>
      </c>
      <c r="BX56">
        <f>IF(OR($B56="",R56=""),"",IFERROR(INDEX(Settings!$D$14:$D$33,MATCH(R56,Settings!$B$14:$B$33,0))&amp;"",IFERROR(LOOKUP(2^15,SEARCH(Settings!$F$14:$F$43,R56)/(Settings!$F$14:$F$43&lt;&gt;""),Settings!$G$14:$G$43),"")))</f>
        <v/>
      </c>
      <c r="BY56">
        <f>IF(OR($B56="",S56=""),"",IFERROR(INDEX(Settings!$D$14:$D$33,MATCH(S56,Settings!$B$14:$B$33,0))&amp;"",IFERROR(LOOKUP(2^15,SEARCH(Settings!$F$14:$F$43,S56)/(Settings!$F$14:$F$43&lt;&gt;""),Settings!$G$14:$G$43),"")))</f>
        <v/>
      </c>
      <c r="BZ56">
        <f>IF(OR($B56="",T56=""),"",IFERROR(INDEX(Settings!$D$14:$D$33,MATCH(T56,Settings!$B$14:$B$33,0))&amp;"",IFERROR(LOOKUP(2^15,SEARCH(Settings!$F$14:$F$43,T56)/(Settings!$F$14:$F$43&lt;&gt;""),Settings!$G$14:$G$43),"")))</f>
        <v/>
      </c>
      <c r="CA56">
        <f>IF(OR($B56="",U56=""),"",IFERROR(INDEX(Settings!$D$14:$D$33,MATCH(U56,Settings!$B$14:$B$33,0))&amp;"",IFERROR(LOOKUP(2^15,SEARCH(Settings!$F$14:$F$43,U56)/(Settings!$F$14:$F$43&lt;&gt;""),Settings!$G$14:$G$43),"")))</f>
        <v/>
      </c>
      <c r="CB56">
        <f>IF(OR($B56="",V56=""),"",IFERROR(INDEX(Settings!$D$14:$D$33,MATCH(V56,Settings!$B$14:$B$33,0))&amp;"",IFERROR(LOOKUP(2^15,SEARCH(Settings!$F$14:$F$43,V56)/(Settings!$F$14:$F$43&lt;&gt;""),Settings!$G$14:$G$43),"")))</f>
        <v/>
      </c>
      <c r="CC56">
        <f>IF(OR($B56="",W56=""),"",IFERROR(INDEX(Settings!$D$14:$D$33,MATCH(W56,Settings!$B$14:$B$33,0))&amp;"",IFERROR(LOOKUP(2^15,SEARCH(Settings!$F$14:$F$43,W56)/(Settings!$F$14:$F$43&lt;&gt;""),Settings!$G$14:$G$43),"")))</f>
        <v/>
      </c>
      <c r="CD56">
        <f>IF(OR($B56="",X56=""),"",IFERROR(INDEX(Settings!$D$14:$D$33,MATCH(X56,Settings!$B$14:$B$33,0))&amp;"",IFERROR(LOOKUP(2^15,SEARCH(Settings!$F$14:$F$43,X56)/(Settings!$F$14:$F$43&lt;&gt;""),Settings!$G$14:$G$43),"")))</f>
        <v/>
      </c>
      <c r="CE56">
        <f>IF(OR($B56="",Y56=""),"",IFERROR(INDEX(Settings!$D$14:$D$33,MATCH(Y56,Settings!$B$14:$B$33,0))&amp;"",IFERROR(LOOKUP(2^15,SEARCH(Settings!$F$14:$F$43,Y56)/(Settings!$F$14:$F$43&lt;&gt;""),Settings!$G$14:$G$43),"")))</f>
        <v/>
      </c>
      <c r="CF56">
        <f>IF(OR($B56="",Z56=""),"",IFERROR(INDEX(Settings!$D$14:$D$33,MATCH(Z56,Settings!$B$14:$B$33,0))&amp;"",IFERROR(LOOKUP(2^15,SEARCH(Settings!$F$14:$F$43,Z56)/(Settings!$F$14:$F$43&lt;&gt;""),Settings!$G$14:$G$43),"")))</f>
        <v/>
      </c>
      <c r="CG56">
        <f>IF(OR($B56="",AA56=""),"",IFERROR(INDEX(Settings!$D$14:$D$33,MATCH(AA56,Settings!$B$14:$B$33,0))&amp;"",IFERROR(LOOKUP(2^15,SEARCH(Settings!$F$14:$F$43,AA56)/(Settings!$F$14:$F$43&lt;&gt;""),Settings!$G$14:$G$43),"")))</f>
        <v/>
      </c>
      <c r="CH56">
        <f>IF(OR($B56="",AB56=""),"",IFERROR(INDEX(Settings!$D$14:$D$33,MATCH(AB56,Settings!$B$14:$B$33,0))&amp;"",IFERROR(LOOKUP(2^15,SEARCH(Settings!$F$14:$F$43,AB56)/(Settings!$F$14:$F$43&lt;&gt;""),Settings!$G$14:$G$43),"")))</f>
        <v/>
      </c>
      <c r="CI56">
        <f>IF(OR($B56="",AC56=""),"",IFERROR(INDEX(Settings!$D$14:$D$33,MATCH(AC56,Settings!$B$14:$B$33,0))&amp;"",IFERROR(LOOKUP(2^15,SEARCH(Settings!$F$14:$F$43,AC56)/(Settings!$F$14:$F$43&lt;&gt;""),Settings!$G$14:$G$43),"")))</f>
        <v/>
      </c>
      <c r="CJ56">
        <f>IF(OR($B56="",AD56=""),"",IFERROR(INDEX(Settings!$D$14:$D$33,MATCH(AD56,Settings!$B$14:$B$33,0))&amp;"",IFERROR(LOOKUP(2^15,SEARCH(Settings!$F$14:$F$43,AD56)/(Settings!$F$14:$F$43&lt;&gt;""),Settings!$G$14:$G$43),"")))</f>
        <v/>
      </c>
      <c r="CK56">
        <f>IF(OR($B56="",AE56=""),"",IFERROR(INDEX(Settings!$D$14:$D$33,MATCH(AE56,Settings!$B$14:$B$33,0))&amp;"",IFERROR(LOOKUP(2^15,SEARCH(Settings!$F$14:$F$43,AE56)/(Settings!$F$14:$F$43&lt;&gt;""),Settings!$G$14:$G$43),"")))</f>
        <v/>
      </c>
      <c r="CL56">
        <f>IF(OR($B56="",AF56=""),"",IFERROR(INDEX(Settings!$D$14:$D$33,MATCH(AF56,Settings!$B$14:$B$33,0))&amp;"",IFERROR(LOOKUP(2^15,SEARCH(Settings!$F$14:$F$43,AF56)/(Settings!$F$14:$F$43&lt;&gt;""),Settings!$G$14:$G$43),"")))</f>
        <v/>
      </c>
      <c r="CM56">
        <f>IF(OR($B56="",AG56=""),"",IFERROR(INDEX(Settings!$D$14:$D$33,MATCH(AG56,Settings!$B$14:$B$33,0))&amp;"",IFERROR(LOOKUP(2^15,SEARCH(Settings!$F$14:$F$43,AG56)/(Settings!$F$14:$F$43&lt;&gt;""),Settings!$G$14:$G$43),"")))</f>
        <v/>
      </c>
    </row>
    <row r="57">
      <c r="A57" t="n">
        <v>55</v>
      </c>
      <c r="B57">
        <f>IFERROR(INDEX(Index!$A$2:$A$202,MATCH(A57,Index!$E$2:$E$202,0)),"")</f>
        <v/>
      </c>
      <c r="D57">
        <f>IF($B57="","",IFERROR(MATCH("Travel*",AI57:BJ57,0),""))</f>
        <v/>
      </c>
      <c r="F57">
        <f>IF(OR($B57="",NOT(ISNUMBER(Settings!$C$9))),"",TRIM(SUBSTITUTE(SUBSTITUTE(INDEX('INPUT - Roster'!$S$1:$SV$206,$B57,Settings!$C$9+0)&amp;"",CHAR(10)," "),CHAR(160)," ")))</f>
        <v/>
      </c>
      <c r="G57">
        <f>IF(OR($B57="",NOT(ISNUMBER(Settings!$C$9))),"",TRIM(SUBSTITUTE(SUBSTITUTE(INDEX('INPUT - Roster'!$S$1:$SV$206,$B57,Settings!$C$9+1)&amp;"",CHAR(10)," "),CHAR(160)," ")))</f>
        <v/>
      </c>
      <c r="H57">
        <f>IF(OR($B57="",NOT(ISNUMBER(Settings!$C$9))),"",TRIM(SUBSTITUTE(SUBSTITUTE(INDEX('INPUT - Roster'!$S$1:$SV$206,$B57,Settings!$C$9+2)&amp;"",CHAR(10)," "),CHAR(160)," ")))</f>
        <v/>
      </c>
      <c r="I57">
        <f>IF(OR($B57="",NOT(ISNUMBER(Settings!$C$9))),"",TRIM(SUBSTITUTE(SUBSTITUTE(INDEX('INPUT - Roster'!$S$1:$SV$206,$B57,Settings!$C$9+3)&amp;"",CHAR(10)," "),CHAR(160)," ")))</f>
        <v/>
      </c>
      <c r="J57">
        <f>IF(OR($B57="",NOT(ISNUMBER(Settings!$C$9))),"",TRIM(SUBSTITUTE(SUBSTITUTE(INDEX('INPUT - Roster'!$S$1:$SV$206,$B57,Settings!$C$9+4)&amp;"",CHAR(10)," "),CHAR(160)," ")))</f>
        <v/>
      </c>
      <c r="K57">
        <f>IF(OR($B57="",NOT(ISNUMBER(Settings!$C$9))),"",TRIM(SUBSTITUTE(SUBSTITUTE(INDEX('INPUT - Roster'!$S$1:$SV$206,$B57,Settings!$C$9+5)&amp;"",CHAR(10)," "),CHAR(160)," ")))</f>
        <v/>
      </c>
      <c r="L57">
        <f>IF(OR($B57="",NOT(ISNUMBER(Settings!$C$9))),"",TRIM(SUBSTITUTE(SUBSTITUTE(INDEX('INPUT - Roster'!$S$1:$SV$206,$B57,Settings!$C$9+6)&amp;"",CHAR(10)," "),CHAR(160)," ")))</f>
        <v/>
      </c>
      <c r="M57">
        <f>IF(OR($B57="",NOT(ISNUMBER(Settings!$C$9))),"",TRIM(SUBSTITUTE(SUBSTITUTE(INDEX('INPUT - Roster'!$S$1:$SV$206,$B57,Settings!$C$9+7)&amp;"",CHAR(10)," "),CHAR(160)," ")))</f>
        <v/>
      </c>
      <c r="N57">
        <f>IF(OR($B57="",NOT(ISNUMBER(Settings!$C$9))),"",TRIM(SUBSTITUTE(SUBSTITUTE(INDEX('INPUT - Roster'!$S$1:$SV$206,$B57,Settings!$C$9+8)&amp;"",CHAR(10)," "),CHAR(160)," ")))</f>
        <v/>
      </c>
      <c r="O57">
        <f>IF(OR($B57="",NOT(ISNUMBER(Settings!$C$9))),"",TRIM(SUBSTITUTE(SUBSTITUTE(INDEX('INPUT - Roster'!$S$1:$SV$206,$B57,Settings!$C$9+9)&amp;"",CHAR(10)," "),CHAR(160)," ")))</f>
        <v/>
      </c>
      <c r="P57">
        <f>IF(OR($B57="",NOT(ISNUMBER(Settings!$C$9))),"",TRIM(SUBSTITUTE(SUBSTITUTE(INDEX('INPUT - Roster'!$S$1:$SV$206,$B57,Settings!$C$9+10)&amp;"",CHAR(10)," "),CHAR(160)," ")))</f>
        <v/>
      </c>
      <c r="Q57">
        <f>IF(OR($B57="",NOT(ISNUMBER(Settings!$C$9))),"",TRIM(SUBSTITUTE(SUBSTITUTE(INDEX('INPUT - Roster'!$S$1:$SV$206,$B57,Settings!$C$9+11)&amp;"",CHAR(10)," "),CHAR(160)," ")))</f>
        <v/>
      </c>
      <c r="R57">
        <f>IF(OR($B57="",NOT(ISNUMBER(Settings!$C$9))),"",TRIM(SUBSTITUTE(SUBSTITUTE(INDEX('INPUT - Roster'!$S$1:$SV$206,$B57,Settings!$C$9+12)&amp;"",CHAR(10)," "),CHAR(160)," ")))</f>
        <v/>
      </c>
      <c r="S57">
        <f>IF(OR($B57="",NOT(ISNUMBER(Settings!$C$9))),"",TRIM(SUBSTITUTE(SUBSTITUTE(INDEX('INPUT - Roster'!$S$1:$SV$206,$B57,Settings!$C$9+13)&amp;"",CHAR(10)," "),CHAR(160)," ")))</f>
        <v/>
      </c>
      <c r="T57">
        <f>IF(OR($B57="",NOT(ISNUMBER(Settings!$C$9))),"",TRIM(SUBSTITUTE(SUBSTITUTE(INDEX('INPUT - Roster'!$S$1:$SV$206,$B57,Settings!$C$9+14)&amp;"",CHAR(10)," "),CHAR(160)," ")))</f>
        <v/>
      </c>
      <c r="U57">
        <f>IF(OR($B57="",NOT(ISNUMBER(Settings!$C$9))),"",TRIM(SUBSTITUTE(SUBSTITUTE(INDEX('INPUT - Roster'!$S$1:$SV$206,$B57,Settings!$C$9+15)&amp;"",CHAR(10)," "),CHAR(160)," ")))</f>
        <v/>
      </c>
      <c r="V57">
        <f>IF(OR($B57="",NOT(ISNUMBER(Settings!$C$9))),"",TRIM(SUBSTITUTE(SUBSTITUTE(INDEX('INPUT - Roster'!$S$1:$SV$206,$B57,Settings!$C$9+16)&amp;"",CHAR(10)," "),CHAR(160)," ")))</f>
        <v/>
      </c>
      <c r="W57">
        <f>IF(OR($B57="",NOT(ISNUMBER(Settings!$C$9))),"",TRIM(SUBSTITUTE(SUBSTITUTE(INDEX('INPUT - Roster'!$S$1:$SV$206,$B57,Settings!$C$9+17)&amp;"",CHAR(10)," "),CHAR(160)," ")))</f>
        <v/>
      </c>
      <c r="X57">
        <f>IF(OR($B57="",NOT(ISNUMBER(Settings!$C$9))),"",TRIM(SUBSTITUTE(SUBSTITUTE(INDEX('INPUT - Roster'!$S$1:$SV$206,$B57,Settings!$C$9+18)&amp;"",CHAR(10)," "),CHAR(160)," ")))</f>
        <v/>
      </c>
      <c r="Y57">
        <f>IF(OR($B57="",NOT(ISNUMBER(Settings!$C$9))),"",TRIM(SUBSTITUTE(SUBSTITUTE(INDEX('INPUT - Roster'!$S$1:$SV$206,$B57,Settings!$C$9+19)&amp;"",CHAR(10)," "),CHAR(160)," ")))</f>
        <v/>
      </c>
      <c r="Z57">
        <f>IF(OR($B57="",NOT(ISNUMBER(Settings!$C$9))),"",TRIM(SUBSTITUTE(SUBSTITUTE(INDEX('INPUT - Roster'!$S$1:$SV$206,$B57,Settings!$C$9+20)&amp;"",CHAR(10)," "),CHAR(160)," ")))</f>
        <v/>
      </c>
      <c r="AA57">
        <f>IF(OR($B57="",NOT(ISNUMBER(Settings!$C$9))),"",TRIM(SUBSTITUTE(SUBSTITUTE(INDEX('INPUT - Roster'!$S$1:$SV$206,$B57,Settings!$C$9+21)&amp;"",CHAR(10)," "),CHAR(160)," ")))</f>
        <v/>
      </c>
      <c r="AB57">
        <f>IF(OR($B57="",NOT(ISNUMBER(Settings!$C$9))),"",TRIM(SUBSTITUTE(SUBSTITUTE(INDEX('INPUT - Roster'!$S$1:$SV$206,$B57,Settings!$C$9+22)&amp;"",CHAR(10)," "),CHAR(160)," ")))</f>
        <v/>
      </c>
      <c r="AC57">
        <f>IF(OR($B57="",NOT(ISNUMBER(Settings!$C$9))),"",TRIM(SUBSTITUTE(SUBSTITUTE(INDEX('INPUT - Roster'!$S$1:$SV$206,$B57,Settings!$C$9+23)&amp;"",CHAR(10)," "),CHAR(160)," ")))</f>
        <v/>
      </c>
      <c r="AD57">
        <f>IF(OR($B57="",NOT(ISNUMBER(Settings!$C$9))),"",TRIM(SUBSTITUTE(SUBSTITUTE(INDEX('INPUT - Roster'!$S$1:$SV$206,$B57,Settings!$C$9+24)&amp;"",CHAR(10)," "),CHAR(160)," ")))</f>
        <v/>
      </c>
      <c r="AE57">
        <f>IF(OR($B57="",NOT(ISNUMBER(Settings!$C$9))),"",TRIM(SUBSTITUTE(SUBSTITUTE(INDEX('INPUT - Roster'!$S$1:$SV$206,$B57,Settings!$C$9+25)&amp;"",CHAR(10)," "),CHAR(160)," ")))</f>
        <v/>
      </c>
      <c r="AF57">
        <f>IF(OR($B57="",NOT(ISNUMBER(Settings!$C$9))),"",TRIM(SUBSTITUTE(SUBSTITUTE(INDEX('INPUT - Roster'!$S$1:$SV$206,$B57,Settings!$C$9+26)&amp;"",CHAR(10)," "),CHAR(160)," ")))</f>
        <v/>
      </c>
      <c r="AG57">
        <f>IF(OR($B57="",NOT(ISNUMBER(Settings!$C$9))),"",TRIM(SUBSTITUTE(SUBSTITUTE(INDEX('INPUT - Roster'!$S$1:$SV$206,$B57,Settings!$C$9+27)&amp;"",CHAR(10)," "),CHAR(160)," ")))</f>
        <v/>
      </c>
      <c r="AI57">
        <f>IF($B57="","",IF(F57="","Not rostered",IFERROR(INDEX(Settings!$C$14:$C$33,MATCH(F57,Settings!$B$14:$B$33,0)),IFERROR(LOOKUP(2^15,SEARCH(Settings!$I$14:$I$83,F57)/(Settings!$I$14:$I$83&lt;&gt;""),Settings!$J$14:$J$83),"Other"))))</f>
        <v/>
      </c>
      <c r="AJ57">
        <f>IF($B57="","",IF(G57="","Not rostered",IFERROR(INDEX(Settings!$C$14:$C$33,MATCH(G57,Settings!$B$14:$B$33,0)),IFERROR(LOOKUP(2^15,SEARCH(Settings!$I$14:$I$83,G57)/(Settings!$I$14:$I$83&lt;&gt;""),Settings!$J$14:$J$83),"Other"))))</f>
        <v/>
      </c>
      <c r="AK57">
        <f>IF($B57="","",IF(H57="","Not rostered",IFERROR(INDEX(Settings!$C$14:$C$33,MATCH(H57,Settings!$B$14:$B$33,0)),IFERROR(LOOKUP(2^15,SEARCH(Settings!$I$14:$I$83,H57)/(Settings!$I$14:$I$83&lt;&gt;""),Settings!$J$14:$J$83),"Other"))))</f>
        <v/>
      </c>
      <c r="AL57">
        <f>IF($B57="","",IF(I57="","Not rostered",IFERROR(INDEX(Settings!$C$14:$C$33,MATCH(I57,Settings!$B$14:$B$33,0)),IFERROR(LOOKUP(2^15,SEARCH(Settings!$I$14:$I$83,I57)/(Settings!$I$14:$I$83&lt;&gt;""),Settings!$J$14:$J$83),"Other"))))</f>
        <v/>
      </c>
      <c r="AM57">
        <f>IF($B57="","",IF(J57="","Not rostered",IFERROR(INDEX(Settings!$C$14:$C$33,MATCH(J57,Settings!$B$14:$B$33,0)),IFERROR(LOOKUP(2^15,SEARCH(Settings!$I$14:$I$83,J57)/(Settings!$I$14:$I$83&lt;&gt;""),Settings!$J$14:$J$83),"Other"))))</f>
        <v/>
      </c>
      <c r="AN57">
        <f>IF($B57="","",IF(K57="","Not rostered",IFERROR(INDEX(Settings!$C$14:$C$33,MATCH(K57,Settings!$B$14:$B$33,0)),IFERROR(LOOKUP(2^15,SEARCH(Settings!$I$14:$I$83,K57)/(Settings!$I$14:$I$83&lt;&gt;""),Settings!$J$14:$J$83),"Other"))))</f>
        <v/>
      </c>
      <c r="AO57">
        <f>IF($B57="","",IF(L57="","Not rostered",IFERROR(INDEX(Settings!$C$14:$C$33,MATCH(L57,Settings!$B$14:$B$33,0)),IFERROR(LOOKUP(2^15,SEARCH(Settings!$I$14:$I$83,L57)/(Settings!$I$14:$I$83&lt;&gt;""),Settings!$J$14:$J$83),"Other"))))</f>
        <v/>
      </c>
      <c r="AP57">
        <f>IF($B57="","",IF(M57="","Not rostered",IFERROR(INDEX(Settings!$C$14:$C$33,MATCH(M57,Settings!$B$14:$B$33,0)),IFERROR(LOOKUP(2^15,SEARCH(Settings!$I$14:$I$83,M57)/(Settings!$I$14:$I$83&lt;&gt;""),Settings!$J$14:$J$83),"Other"))))</f>
        <v/>
      </c>
      <c r="AQ57">
        <f>IF($B57="","",IF(N57="","Not rostered",IFERROR(INDEX(Settings!$C$14:$C$33,MATCH(N57,Settings!$B$14:$B$33,0)),IFERROR(LOOKUP(2^15,SEARCH(Settings!$I$14:$I$83,N57)/(Settings!$I$14:$I$83&lt;&gt;""),Settings!$J$14:$J$83),"Other"))))</f>
        <v/>
      </c>
      <c r="AR57">
        <f>IF($B57="","",IF(O57="","Not rostered",IFERROR(INDEX(Settings!$C$14:$C$33,MATCH(O57,Settings!$B$14:$B$33,0)),IFERROR(LOOKUP(2^15,SEARCH(Settings!$I$14:$I$83,O57)/(Settings!$I$14:$I$83&lt;&gt;""),Settings!$J$14:$J$83),"Other"))))</f>
        <v/>
      </c>
      <c r="AS57">
        <f>IF($B57="","",IF(P57="","Not rostered",IFERROR(INDEX(Settings!$C$14:$C$33,MATCH(P57,Settings!$B$14:$B$33,0)),IFERROR(LOOKUP(2^15,SEARCH(Settings!$I$14:$I$83,P57)/(Settings!$I$14:$I$83&lt;&gt;""),Settings!$J$14:$J$83),"Other"))))</f>
        <v/>
      </c>
      <c r="AT57">
        <f>IF($B57="","",IF(Q57="","Not rostered",IFERROR(INDEX(Settings!$C$14:$C$33,MATCH(Q57,Settings!$B$14:$B$33,0)),IFERROR(LOOKUP(2^15,SEARCH(Settings!$I$14:$I$83,Q57)/(Settings!$I$14:$I$83&lt;&gt;""),Settings!$J$14:$J$83),"Other"))))</f>
        <v/>
      </c>
      <c r="AU57">
        <f>IF($B57="","",IF(R57="","Not rostered",IFERROR(INDEX(Settings!$C$14:$C$33,MATCH(R57,Settings!$B$14:$B$33,0)),IFERROR(LOOKUP(2^15,SEARCH(Settings!$I$14:$I$83,R57)/(Settings!$I$14:$I$83&lt;&gt;""),Settings!$J$14:$J$83),"Other"))))</f>
        <v/>
      </c>
      <c r="AV57">
        <f>IF($B57="","",IF(S57="","Not rostered",IFERROR(INDEX(Settings!$C$14:$C$33,MATCH(S57,Settings!$B$14:$B$33,0)),IFERROR(LOOKUP(2^15,SEARCH(Settings!$I$14:$I$83,S57)/(Settings!$I$14:$I$83&lt;&gt;""),Settings!$J$14:$J$83),"Other"))))</f>
        <v/>
      </c>
      <c r="AW57">
        <f>IF($B57="","",IF(T57="","Not rostered",IFERROR(INDEX(Settings!$C$14:$C$33,MATCH(T57,Settings!$B$14:$B$33,0)),IFERROR(LOOKUP(2^15,SEARCH(Settings!$I$14:$I$83,T57)/(Settings!$I$14:$I$83&lt;&gt;""),Settings!$J$14:$J$83),"Other"))))</f>
        <v/>
      </c>
      <c r="AX57">
        <f>IF($B57="","",IF(U57="","Not rostered",IFERROR(INDEX(Settings!$C$14:$C$33,MATCH(U57,Settings!$B$14:$B$33,0)),IFERROR(LOOKUP(2^15,SEARCH(Settings!$I$14:$I$83,U57)/(Settings!$I$14:$I$83&lt;&gt;""),Settings!$J$14:$J$83),"Other"))))</f>
        <v/>
      </c>
      <c r="AY57">
        <f>IF($B57="","",IF(V57="","Not rostered",IFERROR(INDEX(Settings!$C$14:$C$33,MATCH(V57,Settings!$B$14:$B$33,0)),IFERROR(LOOKUP(2^15,SEARCH(Settings!$I$14:$I$83,V57)/(Settings!$I$14:$I$83&lt;&gt;""),Settings!$J$14:$J$83),"Other"))))</f>
        <v/>
      </c>
      <c r="AZ57">
        <f>IF($B57="","",IF(W57="","Not rostered",IFERROR(INDEX(Settings!$C$14:$C$33,MATCH(W57,Settings!$B$14:$B$33,0)),IFERROR(LOOKUP(2^15,SEARCH(Settings!$I$14:$I$83,W57)/(Settings!$I$14:$I$83&lt;&gt;""),Settings!$J$14:$J$83),"Other"))))</f>
        <v/>
      </c>
      <c r="BA57">
        <f>IF($B57="","",IF(X57="","Not rostered",IFERROR(INDEX(Settings!$C$14:$C$33,MATCH(X57,Settings!$B$14:$B$33,0)),IFERROR(LOOKUP(2^15,SEARCH(Settings!$I$14:$I$83,X57)/(Settings!$I$14:$I$83&lt;&gt;""),Settings!$J$14:$J$83),"Other"))))</f>
        <v/>
      </c>
      <c r="BB57">
        <f>IF($B57="","",IF(Y57="","Not rostered",IFERROR(INDEX(Settings!$C$14:$C$33,MATCH(Y57,Settings!$B$14:$B$33,0)),IFERROR(LOOKUP(2^15,SEARCH(Settings!$I$14:$I$83,Y57)/(Settings!$I$14:$I$83&lt;&gt;""),Settings!$J$14:$J$83),"Other"))))</f>
        <v/>
      </c>
      <c r="BC57">
        <f>IF($B57="","",IF(Z57="","Not rostered",IFERROR(INDEX(Settings!$C$14:$C$33,MATCH(Z57,Settings!$B$14:$B$33,0)),IFERROR(LOOKUP(2^15,SEARCH(Settings!$I$14:$I$83,Z57)/(Settings!$I$14:$I$83&lt;&gt;""),Settings!$J$14:$J$83),"Other"))))</f>
        <v/>
      </c>
      <c r="BD57">
        <f>IF($B57="","",IF(AA57="","Not rostered",IFERROR(INDEX(Settings!$C$14:$C$33,MATCH(AA57,Settings!$B$14:$B$33,0)),IFERROR(LOOKUP(2^15,SEARCH(Settings!$I$14:$I$83,AA57)/(Settings!$I$14:$I$83&lt;&gt;""),Settings!$J$14:$J$83),"Other"))))</f>
        <v/>
      </c>
      <c r="BE57">
        <f>IF($B57="","",IF(AB57="","Not rostered",IFERROR(INDEX(Settings!$C$14:$C$33,MATCH(AB57,Settings!$B$14:$B$33,0)),IFERROR(LOOKUP(2^15,SEARCH(Settings!$I$14:$I$83,AB57)/(Settings!$I$14:$I$83&lt;&gt;""),Settings!$J$14:$J$83),"Other"))))</f>
        <v/>
      </c>
      <c r="BF57">
        <f>IF($B57="","",IF(AC57="","Not rostered",IFERROR(INDEX(Settings!$C$14:$C$33,MATCH(AC57,Settings!$B$14:$B$33,0)),IFERROR(LOOKUP(2^15,SEARCH(Settings!$I$14:$I$83,AC57)/(Settings!$I$14:$I$83&lt;&gt;""),Settings!$J$14:$J$83),"Other"))))</f>
        <v/>
      </c>
      <c r="BG57">
        <f>IF($B57="","",IF(AD57="","Not rostered",IFERROR(INDEX(Settings!$C$14:$C$33,MATCH(AD57,Settings!$B$14:$B$33,0)),IFERROR(LOOKUP(2^15,SEARCH(Settings!$I$14:$I$83,AD57)/(Settings!$I$14:$I$83&lt;&gt;""),Settings!$J$14:$J$83),"Other"))))</f>
        <v/>
      </c>
      <c r="BH57">
        <f>IF($B57="","",IF(AE57="","Not rostered",IFERROR(INDEX(Settings!$C$14:$C$33,MATCH(AE57,Settings!$B$14:$B$33,0)),IFERROR(LOOKUP(2^15,SEARCH(Settings!$I$14:$I$83,AE57)/(Settings!$I$14:$I$83&lt;&gt;""),Settings!$J$14:$J$83),"Other"))))</f>
        <v/>
      </c>
      <c r="BI57">
        <f>IF($B57="","",IF(AF57="","Not rostered",IFERROR(INDEX(Settings!$C$14:$C$33,MATCH(AF57,Settings!$B$14:$B$33,0)),IFERROR(LOOKUP(2^15,SEARCH(Settings!$I$14:$I$83,AF57)/(Settings!$I$14:$I$83&lt;&gt;""),Settings!$J$14:$J$83),"Other"))))</f>
        <v/>
      </c>
      <c r="BJ57">
        <f>IF($B57="","",IF(AG57="","Not rostered",IFERROR(INDEX(Settings!$C$14:$C$33,MATCH(AG57,Settings!$B$14:$B$33,0)),IFERROR(LOOKUP(2^15,SEARCH(Settings!$I$14:$I$83,AG57)/(Settings!$I$14:$I$83&lt;&gt;""),Settings!$J$14:$J$83),"Other"))))</f>
        <v/>
      </c>
      <c r="BL57">
        <f>IF(OR($B57="",F57=""),"",IFERROR(INDEX(Settings!$D$14:$D$33,MATCH(F57,Settings!$B$14:$B$33,0))&amp;"",IFERROR(LOOKUP(2^15,SEARCH(Settings!$F$14:$F$43,F57)/(Settings!$F$14:$F$43&lt;&gt;""),Settings!$G$14:$G$43),"")))</f>
        <v/>
      </c>
      <c r="BM57">
        <f>IF(OR($B57="",G57=""),"",IFERROR(INDEX(Settings!$D$14:$D$33,MATCH(G57,Settings!$B$14:$B$33,0))&amp;"",IFERROR(LOOKUP(2^15,SEARCH(Settings!$F$14:$F$43,G57)/(Settings!$F$14:$F$43&lt;&gt;""),Settings!$G$14:$G$43),"")))</f>
        <v/>
      </c>
      <c r="BN57">
        <f>IF(OR($B57="",H57=""),"",IFERROR(INDEX(Settings!$D$14:$D$33,MATCH(H57,Settings!$B$14:$B$33,0))&amp;"",IFERROR(LOOKUP(2^15,SEARCH(Settings!$F$14:$F$43,H57)/(Settings!$F$14:$F$43&lt;&gt;""),Settings!$G$14:$G$43),"")))</f>
        <v/>
      </c>
      <c r="BO57">
        <f>IF(OR($B57="",I57=""),"",IFERROR(INDEX(Settings!$D$14:$D$33,MATCH(I57,Settings!$B$14:$B$33,0))&amp;"",IFERROR(LOOKUP(2^15,SEARCH(Settings!$F$14:$F$43,I57)/(Settings!$F$14:$F$43&lt;&gt;""),Settings!$G$14:$G$43),"")))</f>
        <v/>
      </c>
      <c r="BP57">
        <f>IF(OR($B57="",J57=""),"",IFERROR(INDEX(Settings!$D$14:$D$33,MATCH(J57,Settings!$B$14:$B$33,0))&amp;"",IFERROR(LOOKUP(2^15,SEARCH(Settings!$F$14:$F$43,J57)/(Settings!$F$14:$F$43&lt;&gt;""),Settings!$G$14:$G$43),"")))</f>
        <v/>
      </c>
      <c r="BQ57">
        <f>IF(OR($B57="",K57=""),"",IFERROR(INDEX(Settings!$D$14:$D$33,MATCH(K57,Settings!$B$14:$B$33,0))&amp;"",IFERROR(LOOKUP(2^15,SEARCH(Settings!$F$14:$F$43,K57)/(Settings!$F$14:$F$43&lt;&gt;""),Settings!$G$14:$G$43),"")))</f>
        <v/>
      </c>
      <c r="BR57">
        <f>IF(OR($B57="",L57=""),"",IFERROR(INDEX(Settings!$D$14:$D$33,MATCH(L57,Settings!$B$14:$B$33,0))&amp;"",IFERROR(LOOKUP(2^15,SEARCH(Settings!$F$14:$F$43,L57)/(Settings!$F$14:$F$43&lt;&gt;""),Settings!$G$14:$G$43),"")))</f>
        <v/>
      </c>
      <c r="BS57">
        <f>IF(OR($B57="",M57=""),"",IFERROR(INDEX(Settings!$D$14:$D$33,MATCH(M57,Settings!$B$14:$B$33,0))&amp;"",IFERROR(LOOKUP(2^15,SEARCH(Settings!$F$14:$F$43,M57)/(Settings!$F$14:$F$43&lt;&gt;""),Settings!$G$14:$G$43),"")))</f>
        <v/>
      </c>
      <c r="BT57">
        <f>IF(OR($B57="",N57=""),"",IFERROR(INDEX(Settings!$D$14:$D$33,MATCH(N57,Settings!$B$14:$B$33,0))&amp;"",IFERROR(LOOKUP(2^15,SEARCH(Settings!$F$14:$F$43,N57)/(Settings!$F$14:$F$43&lt;&gt;""),Settings!$G$14:$G$43),"")))</f>
        <v/>
      </c>
      <c r="BU57">
        <f>IF(OR($B57="",O57=""),"",IFERROR(INDEX(Settings!$D$14:$D$33,MATCH(O57,Settings!$B$14:$B$33,0))&amp;"",IFERROR(LOOKUP(2^15,SEARCH(Settings!$F$14:$F$43,O57)/(Settings!$F$14:$F$43&lt;&gt;""),Settings!$G$14:$G$43),"")))</f>
        <v/>
      </c>
      <c r="BV57">
        <f>IF(OR($B57="",P57=""),"",IFERROR(INDEX(Settings!$D$14:$D$33,MATCH(P57,Settings!$B$14:$B$33,0))&amp;"",IFERROR(LOOKUP(2^15,SEARCH(Settings!$F$14:$F$43,P57)/(Settings!$F$14:$F$43&lt;&gt;""),Settings!$G$14:$G$43),"")))</f>
        <v/>
      </c>
      <c r="BW57">
        <f>IF(OR($B57="",Q57=""),"",IFERROR(INDEX(Settings!$D$14:$D$33,MATCH(Q57,Settings!$B$14:$B$33,0))&amp;"",IFERROR(LOOKUP(2^15,SEARCH(Settings!$F$14:$F$43,Q57)/(Settings!$F$14:$F$43&lt;&gt;""),Settings!$G$14:$G$43),"")))</f>
        <v/>
      </c>
      <c r="BX57">
        <f>IF(OR($B57="",R57=""),"",IFERROR(INDEX(Settings!$D$14:$D$33,MATCH(R57,Settings!$B$14:$B$33,0))&amp;"",IFERROR(LOOKUP(2^15,SEARCH(Settings!$F$14:$F$43,R57)/(Settings!$F$14:$F$43&lt;&gt;""),Settings!$G$14:$G$43),"")))</f>
        <v/>
      </c>
      <c r="BY57">
        <f>IF(OR($B57="",S57=""),"",IFERROR(INDEX(Settings!$D$14:$D$33,MATCH(S57,Settings!$B$14:$B$33,0))&amp;"",IFERROR(LOOKUP(2^15,SEARCH(Settings!$F$14:$F$43,S57)/(Settings!$F$14:$F$43&lt;&gt;""),Settings!$G$14:$G$43),"")))</f>
        <v/>
      </c>
      <c r="BZ57">
        <f>IF(OR($B57="",T57=""),"",IFERROR(INDEX(Settings!$D$14:$D$33,MATCH(T57,Settings!$B$14:$B$33,0))&amp;"",IFERROR(LOOKUP(2^15,SEARCH(Settings!$F$14:$F$43,T57)/(Settings!$F$14:$F$43&lt;&gt;""),Settings!$G$14:$G$43),"")))</f>
        <v/>
      </c>
      <c r="CA57">
        <f>IF(OR($B57="",U57=""),"",IFERROR(INDEX(Settings!$D$14:$D$33,MATCH(U57,Settings!$B$14:$B$33,0))&amp;"",IFERROR(LOOKUP(2^15,SEARCH(Settings!$F$14:$F$43,U57)/(Settings!$F$14:$F$43&lt;&gt;""),Settings!$G$14:$G$43),"")))</f>
        <v/>
      </c>
      <c r="CB57">
        <f>IF(OR($B57="",V57=""),"",IFERROR(INDEX(Settings!$D$14:$D$33,MATCH(V57,Settings!$B$14:$B$33,0))&amp;"",IFERROR(LOOKUP(2^15,SEARCH(Settings!$F$14:$F$43,V57)/(Settings!$F$14:$F$43&lt;&gt;""),Settings!$G$14:$G$43),"")))</f>
        <v/>
      </c>
      <c r="CC57">
        <f>IF(OR($B57="",W57=""),"",IFERROR(INDEX(Settings!$D$14:$D$33,MATCH(W57,Settings!$B$14:$B$33,0))&amp;"",IFERROR(LOOKUP(2^15,SEARCH(Settings!$F$14:$F$43,W57)/(Settings!$F$14:$F$43&lt;&gt;""),Settings!$G$14:$G$43),"")))</f>
        <v/>
      </c>
      <c r="CD57">
        <f>IF(OR($B57="",X57=""),"",IFERROR(INDEX(Settings!$D$14:$D$33,MATCH(X57,Settings!$B$14:$B$33,0))&amp;"",IFERROR(LOOKUP(2^15,SEARCH(Settings!$F$14:$F$43,X57)/(Settings!$F$14:$F$43&lt;&gt;""),Settings!$G$14:$G$43),"")))</f>
        <v/>
      </c>
      <c r="CE57">
        <f>IF(OR($B57="",Y57=""),"",IFERROR(INDEX(Settings!$D$14:$D$33,MATCH(Y57,Settings!$B$14:$B$33,0))&amp;"",IFERROR(LOOKUP(2^15,SEARCH(Settings!$F$14:$F$43,Y57)/(Settings!$F$14:$F$43&lt;&gt;""),Settings!$G$14:$G$43),"")))</f>
        <v/>
      </c>
      <c r="CF57">
        <f>IF(OR($B57="",Z57=""),"",IFERROR(INDEX(Settings!$D$14:$D$33,MATCH(Z57,Settings!$B$14:$B$33,0))&amp;"",IFERROR(LOOKUP(2^15,SEARCH(Settings!$F$14:$F$43,Z57)/(Settings!$F$14:$F$43&lt;&gt;""),Settings!$G$14:$G$43),"")))</f>
        <v/>
      </c>
      <c r="CG57">
        <f>IF(OR($B57="",AA57=""),"",IFERROR(INDEX(Settings!$D$14:$D$33,MATCH(AA57,Settings!$B$14:$B$33,0))&amp;"",IFERROR(LOOKUP(2^15,SEARCH(Settings!$F$14:$F$43,AA57)/(Settings!$F$14:$F$43&lt;&gt;""),Settings!$G$14:$G$43),"")))</f>
        <v/>
      </c>
      <c r="CH57">
        <f>IF(OR($B57="",AB57=""),"",IFERROR(INDEX(Settings!$D$14:$D$33,MATCH(AB57,Settings!$B$14:$B$33,0))&amp;"",IFERROR(LOOKUP(2^15,SEARCH(Settings!$F$14:$F$43,AB57)/(Settings!$F$14:$F$43&lt;&gt;""),Settings!$G$14:$G$43),"")))</f>
        <v/>
      </c>
      <c r="CI57">
        <f>IF(OR($B57="",AC57=""),"",IFERROR(INDEX(Settings!$D$14:$D$33,MATCH(AC57,Settings!$B$14:$B$33,0))&amp;"",IFERROR(LOOKUP(2^15,SEARCH(Settings!$F$14:$F$43,AC57)/(Settings!$F$14:$F$43&lt;&gt;""),Settings!$G$14:$G$43),"")))</f>
        <v/>
      </c>
      <c r="CJ57">
        <f>IF(OR($B57="",AD57=""),"",IFERROR(INDEX(Settings!$D$14:$D$33,MATCH(AD57,Settings!$B$14:$B$33,0))&amp;"",IFERROR(LOOKUP(2^15,SEARCH(Settings!$F$14:$F$43,AD57)/(Settings!$F$14:$F$43&lt;&gt;""),Settings!$G$14:$G$43),"")))</f>
        <v/>
      </c>
      <c r="CK57">
        <f>IF(OR($B57="",AE57=""),"",IFERROR(INDEX(Settings!$D$14:$D$33,MATCH(AE57,Settings!$B$14:$B$33,0))&amp;"",IFERROR(LOOKUP(2^15,SEARCH(Settings!$F$14:$F$43,AE57)/(Settings!$F$14:$F$43&lt;&gt;""),Settings!$G$14:$G$43),"")))</f>
        <v/>
      </c>
      <c r="CL57">
        <f>IF(OR($B57="",AF57=""),"",IFERROR(INDEX(Settings!$D$14:$D$33,MATCH(AF57,Settings!$B$14:$B$33,0))&amp;"",IFERROR(LOOKUP(2^15,SEARCH(Settings!$F$14:$F$43,AF57)/(Settings!$F$14:$F$43&lt;&gt;""),Settings!$G$14:$G$43),"")))</f>
        <v/>
      </c>
      <c r="CM57">
        <f>IF(OR($B57="",AG57=""),"",IFERROR(INDEX(Settings!$D$14:$D$33,MATCH(AG57,Settings!$B$14:$B$33,0))&amp;"",IFERROR(LOOKUP(2^15,SEARCH(Settings!$F$14:$F$43,AG57)/(Settings!$F$14:$F$43&lt;&gt;""),Settings!$G$14:$G$43),"")))</f>
        <v/>
      </c>
    </row>
    <row r="58">
      <c r="A58" t="n">
        <v>56</v>
      </c>
      <c r="B58">
        <f>IFERROR(INDEX(Index!$A$2:$A$202,MATCH(A58,Index!$E$2:$E$202,0)),"")</f>
        <v/>
      </c>
      <c r="D58">
        <f>IF($B58="","",IFERROR(MATCH("Travel*",AI58:BJ58,0),""))</f>
        <v/>
      </c>
      <c r="F58">
        <f>IF(OR($B58="",NOT(ISNUMBER(Settings!$C$9))),"",TRIM(SUBSTITUTE(SUBSTITUTE(INDEX('INPUT - Roster'!$S$1:$SV$206,$B58,Settings!$C$9+0)&amp;"",CHAR(10)," "),CHAR(160)," ")))</f>
        <v/>
      </c>
      <c r="G58">
        <f>IF(OR($B58="",NOT(ISNUMBER(Settings!$C$9))),"",TRIM(SUBSTITUTE(SUBSTITUTE(INDEX('INPUT - Roster'!$S$1:$SV$206,$B58,Settings!$C$9+1)&amp;"",CHAR(10)," "),CHAR(160)," ")))</f>
        <v/>
      </c>
      <c r="H58">
        <f>IF(OR($B58="",NOT(ISNUMBER(Settings!$C$9))),"",TRIM(SUBSTITUTE(SUBSTITUTE(INDEX('INPUT - Roster'!$S$1:$SV$206,$B58,Settings!$C$9+2)&amp;"",CHAR(10)," "),CHAR(160)," ")))</f>
        <v/>
      </c>
      <c r="I58">
        <f>IF(OR($B58="",NOT(ISNUMBER(Settings!$C$9))),"",TRIM(SUBSTITUTE(SUBSTITUTE(INDEX('INPUT - Roster'!$S$1:$SV$206,$B58,Settings!$C$9+3)&amp;"",CHAR(10)," "),CHAR(160)," ")))</f>
        <v/>
      </c>
      <c r="J58">
        <f>IF(OR($B58="",NOT(ISNUMBER(Settings!$C$9))),"",TRIM(SUBSTITUTE(SUBSTITUTE(INDEX('INPUT - Roster'!$S$1:$SV$206,$B58,Settings!$C$9+4)&amp;"",CHAR(10)," "),CHAR(160)," ")))</f>
        <v/>
      </c>
      <c r="K58">
        <f>IF(OR($B58="",NOT(ISNUMBER(Settings!$C$9))),"",TRIM(SUBSTITUTE(SUBSTITUTE(INDEX('INPUT - Roster'!$S$1:$SV$206,$B58,Settings!$C$9+5)&amp;"",CHAR(10)," "),CHAR(160)," ")))</f>
        <v/>
      </c>
      <c r="L58">
        <f>IF(OR($B58="",NOT(ISNUMBER(Settings!$C$9))),"",TRIM(SUBSTITUTE(SUBSTITUTE(INDEX('INPUT - Roster'!$S$1:$SV$206,$B58,Settings!$C$9+6)&amp;"",CHAR(10)," "),CHAR(160)," ")))</f>
        <v/>
      </c>
      <c r="M58">
        <f>IF(OR($B58="",NOT(ISNUMBER(Settings!$C$9))),"",TRIM(SUBSTITUTE(SUBSTITUTE(INDEX('INPUT - Roster'!$S$1:$SV$206,$B58,Settings!$C$9+7)&amp;"",CHAR(10)," "),CHAR(160)," ")))</f>
        <v/>
      </c>
      <c r="N58">
        <f>IF(OR($B58="",NOT(ISNUMBER(Settings!$C$9))),"",TRIM(SUBSTITUTE(SUBSTITUTE(INDEX('INPUT - Roster'!$S$1:$SV$206,$B58,Settings!$C$9+8)&amp;"",CHAR(10)," "),CHAR(160)," ")))</f>
        <v/>
      </c>
      <c r="O58">
        <f>IF(OR($B58="",NOT(ISNUMBER(Settings!$C$9))),"",TRIM(SUBSTITUTE(SUBSTITUTE(INDEX('INPUT - Roster'!$S$1:$SV$206,$B58,Settings!$C$9+9)&amp;"",CHAR(10)," "),CHAR(160)," ")))</f>
        <v/>
      </c>
      <c r="P58">
        <f>IF(OR($B58="",NOT(ISNUMBER(Settings!$C$9))),"",TRIM(SUBSTITUTE(SUBSTITUTE(INDEX('INPUT - Roster'!$S$1:$SV$206,$B58,Settings!$C$9+10)&amp;"",CHAR(10)," "),CHAR(160)," ")))</f>
        <v/>
      </c>
      <c r="Q58">
        <f>IF(OR($B58="",NOT(ISNUMBER(Settings!$C$9))),"",TRIM(SUBSTITUTE(SUBSTITUTE(INDEX('INPUT - Roster'!$S$1:$SV$206,$B58,Settings!$C$9+11)&amp;"",CHAR(10)," "),CHAR(160)," ")))</f>
        <v/>
      </c>
      <c r="R58">
        <f>IF(OR($B58="",NOT(ISNUMBER(Settings!$C$9))),"",TRIM(SUBSTITUTE(SUBSTITUTE(INDEX('INPUT - Roster'!$S$1:$SV$206,$B58,Settings!$C$9+12)&amp;"",CHAR(10)," "),CHAR(160)," ")))</f>
        <v/>
      </c>
      <c r="S58">
        <f>IF(OR($B58="",NOT(ISNUMBER(Settings!$C$9))),"",TRIM(SUBSTITUTE(SUBSTITUTE(INDEX('INPUT - Roster'!$S$1:$SV$206,$B58,Settings!$C$9+13)&amp;"",CHAR(10)," "),CHAR(160)," ")))</f>
        <v/>
      </c>
      <c r="T58">
        <f>IF(OR($B58="",NOT(ISNUMBER(Settings!$C$9))),"",TRIM(SUBSTITUTE(SUBSTITUTE(INDEX('INPUT - Roster'!$S$1:$SV$206,$B58,Settings!$C$9+14)&amp;"",CHAR(10)," "),CHAR(160)," ")))</f>
        <v/>
      </c>
      <c r="U58">
        <f>IF(OR($B58="",NOT(ISNUMBER(Settings!$C$9))),"",TRIM(SUBSTITUTE(SUBSTITUTE(INDEX('INPUT - Roster'!$S$1:$SV$206,$B58,Settings!$C$9+15)&amp;"",CHAR(10)," "),CHAR(160)," ")))</f>
        <v/>
      </c>
      <c r="V58">
        <f>IF(OR($B58="",NOT(ISNUMBER(Settings!$C$9))),"",TRIM(SUBSTITUTE(SUBSTITUTE(INDEX('INPUT - Roster'!$S$1:$SV$206,$B58,Settings!$C$9+16)&amp;"",CHAR(10)," "),CHAR(160)," ")))</f>
        <v/>
      </c>
      <c r="W58">
        <f>IF(OR($B58="",NOT(ISNUMBER(Settings!$C$9))),"",TRIM(SUBSTITUTE(SUBSTITUTE(INDEX('INPUT - Roster'!$S$1:$SV$206,$B58,Settings!$C$9+17)&amp;"",CHAR(10)," "),CHAR(160)," ")))</f>
        <v/>
      </c>
      <c r="X58">
        <f>IF(OR($B58="",NOT(ISNUMBER(Settings!$C$9))),"",TRIM(SUBSTITUTE(SUBSTITUTE(INDEX('INPUT - Roster'!$S$1:$SV$206,$B58,Settings!$C$9+18)&amp;"",CHAR(10)," "),CHAR(160)," ")))</f>
        <v/>
      </c>
      <c r="Y58">
        <f>IF(OR($B58="",NOT(ISNUMBER(Settings!$C$9))),"",TRIM(SUBSTITUTE(SUBSTITUTE(INDEX('INPUT - Roster'!$S$1:$SV$206,$B58,Settings!$C$9+19)&amp;"",CHAR(10)," "),CHAR(160)," ")))</f>
        <v/>
      </c>
      <c r="Z58">
        <f>IF(OR($B58="",NOT(ISNUMBER(Settings!$C$9))),"",TRIM(SUBSTITUTE(SUBSTITUTE(INDEX('INPUT - Roster'!$S$1:$SV$206,$B58,Settings!$C$9+20)&amp;"",CHAR(10)," "),CHAR(160)," ")))</f>
        <v/>
      </c>
      <c r="AA58">
        <f>IF(OR($B58="",NOT(ISNUMBER(Settings!$C$9))),"",TRIM(SUBSTITUTE(SUBSTITUTE(INDEX('INPUT - Roster'!$S$1:$SV$206,$B58,Settings!$C$9+21)&amp;"",CHAR(10)," "),CHAR(160)," ")))</f>
        <v/>
      </c>
      <c r="AB58">
        <f>IF(OR($B58="",NOT(ISNUMBER(Settings!$C$9))),"",TRIM(SUBSTITUTE(SUBSTITUTE(INDEX('INPUT - Roster'!$S$1:$SV$206,$B58,Settings!$C$9+22)&amp;"",CHAR(10)," "),CHAR(160)," ")))</f>
        <v/>
      </c>
      <c r="AC58">
        <f>IF(OR($B58="",NOT(ISNUMBER(Settings!$C$9))),"",TRIM(SUBSTITUTE(SUBSTITUTE(INDEX('INPUT - Roster'!$S$1:$SV$206,$B58,Settings!$C$9+23)&amp;"",CHAR(10)," "),CHAR(160)," ")))</f>
        <v/>
      </c>
      <c r="AD58">
        <f>IF(OR($B58="",NOT(ISNUMBER(Settings!$C$9))),"",TRIM(SUBSTITUTE(SUBSTITUTE(INDEX('INPUT - Roster'!$S$1:$SV$206,$B58,Settings!$C$9+24)&amp;"",CHAR(10)," "),CHAR(160)," ")))</f>
        <v/>
      </c>
      <c r="AE58">
        <f>IF(OR($B58="",NOT(ISNUMBER(Settings!$C$9))),"",TRIM(SUBSTITUTE(SUBSTITUTE(INDEX('INPUT - Roster'!$S$1:$SV$206,$B58,Settings!$C$9+25)&amp;"",CHAR(10)," "),CHAR(160)," ")))</f>
        <v/>
      </c>
      <c r="AF58">
        <f>IF(OR($B58="",NOT(ISNUMBER(Settings!$C$9))),"",TRIM(SUBSTITUTE(SUBSTITUTE(INDEX('INPUT - Roster'!$S$1:$SV$206,$B58,Settings!$C$9+26)&amp;"",CHAR(10)," "),CHAR(160)," ")))</f>
        <v/>
      </c>
      <c r="AG58">
        <f>IF(OR($B58="",NOT(ISNUMBER(Settings!$C$9))),"",TRIM(SUBSTITUTE(SUBSTITUTE(INDEX('INPUT - Roster'!$S$1:$SV$206,$B58,Settings!$C$9+27)&amp;"",CHAR(10)," "),CHAR(160)," ")))</f>
        <v/>
      </c>
      <c r="AI58">
        <f>IF($B58="","",IF(F58="","Not rostered",IFERROR(INDEX(Settings!$C$14:$C$33,MATCH(F58,Settings!$B$14:$B$33,0)),IFERROR(LOOKUP(2^15,SEARCH(Settings!$I$14:$I$83,F58)/(Settings!$I$14:$I$83&lt;&gt;""),Settings!$J$14:$J$83),"Other"))))</f>
        <v/>
      </c>
      <c r="AJ58">
        <f>IF($B58="","",IF(G58="","Not rostered",IFERROR(INDEX(Settings!$C$14:$C$33,MATCH(G58,Settings!$B$14:$B$33,0)),IFERROR(LOOKUP(2^15,SEARCH(Settings!$I$14:$I$83,G58)/(Settings!$I$14:$I$83&lt;&gt;""),Settings!$J$14:$J$83),"Other"))))</f>
        <v/>
      </c>
      <c r="AK58">
        <f>IF($B58="","",IF(H58="","Not rostered",IFERROR(INDEX(Settings!$C$14:$C$33,MATCH(H58,Settings!$B$14:$B$33,0)),IFERROR(LOOKUP(2^15,SEARCH(Settings!$I$14:$I$83,H58)/(Settings!$I$14:$I$83&lt;&gt;""),Settings!$J$14:$J$83),"Other"))))</f>
        <v/>
      </c>
      <c r="AL58">
        <f>IF($B58="","",IF(I58="","Not rostered",IFERROR(INDEX(Settings!$C$14:$C$33,MATCH(I58,Settings!$B$14:$B$33,0)),IFERROR(LOOKUP(2^15,SEARCH(Settings!$I$14:$I$83,I58)/(Settings!$I$14:$I$83&lt;&gt;""),Settings!$J$14:$J$83),"Other"))))</f>
        <v/>
      </c>
      <c r="AM58">
        <f>IF($B58="","",IF(J58="","Not rostered",IFERROR(INDEX(Settings!$C$14:$C$33,MATCH(J58,Settings!$B$14:$B$33,0)),IFERROR(LOOKUP(2^15,SEARCH(Settings!$I$14:$I$83,J58)/(Settings!$I$14:$I$83&lt;&gt;""),Settings!$J$14:$J$83),"Other"))))</f>
        <v/>
      </c>
      <c r="AN58">
        <f>IF($B58="","",IF(K58="","Not rostered",IFERROR(INDEX(Settings!$C$14:$C$33,MATCH(K58,Settings!$B$14:$B$33,0)),IFERROR(LOOKUP(2^15,SEARCH(Settings!$I$14:$I$83,K58)/(Settings!$I$14:$I$83&lt;&gt;""),Settings!$J$14:$J$83),"Other"))))</f>
        <v/>
      </c>
      <c r="AO58">
        <f>IF($B58="","",IF(L58="","Not rostered",IFERROR(INDEX(Settings!$C$14:$C$33,MATCH(L58,Settings!$B$14:$B$33,0)),IFERROR(LOOKUP(2^15,SEARCH(Settings!$I$14:$I$83,L58)/(Settings!$I$14:$I$83&lt;&gt;""),Settings!$J$14:$J$83),"Other"))))</f>
        <v/>
      </c>
      <c r="AP58">
        <f>IF($B58="","",IF(M58="","Not rostered",IFERROR(INDEX(Settings!$C$14:$C$33,MATCH(M58,Settings!$B$14:$B$33,0)),IFERROR(LOOKUP(2^15,SEARCH(Settings!$I$14:$I$83,M58)/(Settings!$I$14:$I$83&lt;&gt;""),Settings!$J$14:$J$83),"Other"))))</f>
        <v/>
      </c>
      <c r="AQ58">
        <f>IF($B58="","",IF(N58="","Not rostered",IFERROR(INDEX(Settings!$C$14:$C$33,MATCH(N58,Settings!$B$14:$B$33,0)),IFERROR(LOOKUP(2^15,SEARCH(Settings!$I$14:$I$83,N58)/(Settings!$I$14:$I$83&lt;&gt;""),Settings!$J$14:$J$83),"Other"))))</f>
        <v/>
      </c>
      <c r="AR58">
        <f>IF($B58="","",IF(O58="","Not rostered",IFERROR(INDEX(Settings!$C$14:$C$33,MATCH(O58,Settings!$B$14:$B$33,0)),IFERROR(LOOKUP(2^15,SEARCH(Settings!$I$14:$I$83,O58)/(Settings!$I$14:$I$83&lt;&gt;""),Settings!$J$14:$J$83),"Other"))))</f>
        <v/>
      </c>
      <c r="AS58">
        <f>IF($B58="","",IF(P58="","Not rostered",IFERROR(INDEX(Settings!$C$14:$C$33,MATCH(P58,Settings!$B$14:$B$33,0)),IFERROR(LOOKUP(2^15,SEARCH(Settings!$I$14:$I$83,P58)/(Settings!$I$14:$I$83&lt;&gt;""),Settings!$J$14:$J$83),"Other"))))</f>
        <v/>
      </c>
      <c r="AT58">
        <f>IF($B58="","",IF(Q58="","Not rostered",IFERROR(INDEX(Settings!$C$14:$C$33,MATCH(Q58,Settings!$B$14:$B$33,0)),IFERROR(LOOKUP(2^15,SEARCH(Settings!$I$14:$I$83,Q58)/(Settings!$I$14:$I$83&lt;&gt;""),Settings!$J$14:$J$83),"Other"))))</f>
        <v/>
      </c>
      <c r="AU58">
        <f>IF($B58="","",IF(R58="","Not rostered",IFERROR(INDEX(Settings!$C$14:$C$33,MATCH(R58,Settings!$B$14:$B$33,0)),IFERROR(LOOKUP(2^15,SEARCH(Settings!$I$14:$I$83,R58)/(Settings!$I$14:$I$83&lt;&gt;""),Settings!$J$14:$J$83),"Other"))))</f>
        <v/>
      </c>
      <c r="AV58">
        <f>IF($B58="","",IF(S58="","Not rostered",IFERROR(INDEX(Settings!$C$14:$C$33,MATCH(S58,Settings!$B$14:$B$33,0)),IFERROR(LOOKUP(2^15,SEARCH(Settings!$I$14:$I$83,S58)/(Settings!$I$14:$I$83&lt;&gt;""),Settings!$J$14:$J$83),"Other"))))</f>
        <v/>
      </c>
      <c r="AW58">
        <f>IF($B58="","",IF(T58="","Not rostered",IFERROR(INDEX(Settings!$C$14:$C$33,MATCH(T58,Settings!$B$14:$B$33,0)),IFERROR(LOOKUP(2^15,SEARCH(Settings!$I$14:$I$83,T58)/(Settings!$I$14:$I$83&lt;&gt;""),Settings!$J$14:$J$83),"Other"))))</f>
        <v/>
      </c>
      <c r="AX58">
        <f>IF($B58="","",IF(U58="","Not rostered",IFERROR(INDEX(Settings!$C$14:$C$33,MATCH(U58,Settings!$B$14:$B$33,0)),IFERROR(LOOKUP(2^15,SEARCH(Settings!$I$14:$I$83,U58)/(Settings!$I$14:$I$83&lt;&gt;""),Settings!$J$14:$J$83),"Other"))))</f>
        <v/>
      </c>
      <c r="AY58">
        <f>IF($B58="","",IF(V58="","Not rostered",IFERROR(INDEX(Settings!$C$14:$C$33,MATCH(V58,Settings!$B$14:$B$33,0)),IFERROR(LOOKUP(2^15,SEARCH(Settings!$I$14:$I$83,V58)/(Settings!$I$14:$I$83&lt;&gt;""),Settings!$J$14:$J$83),"Other"))))</f>
        <v/>
      </c>
      <c r="AZ58">
        <f>IF($B58="","",IF(W58="","Not rostered",IFERROR(INDEX(Settings!$C$14:$C$33,MATCH(W58,Settings!$B$14:$B$33,0)),IFERROR(LOOKUP(2^15,SEARCH(Settings!$I$14:$I$83,W58)/(Settings!$I$14:$I$83&lt;&gt;""),Settings!$J$14:$J$83),"Other"))))</f>
        <v/>
      </c>
      <c r="BA58">
        <f>IF($B58="","",IF(X58="","Not rostered",IFERROR(INDEX(Settings!$C$14:$C$33,MATCH(X58,Settings!$B$14:$B$33,0)),IFERROR(LOOKUP(2^15,SEARCH(Settings!$I$14:$I$83,X58)/(Settings!$I$14:$I$83&lt;&gt;""),Settings!$J$14:$J$83),"Other"))))</f>
        <v/>
      </c>
      <c r="BB58">
        <f>IF($B58="","",IF(Y58="","Not rostered",IFERROR(INDEX(Settings!$C$14:$C$33,MATCH(Y58,Settings!$B$14:$B$33,0)),IFERROR(LOOKUP(2^15,SEARCH(Settings!$I$14:$I$83,Y58)/(Settings!$I$14:$I$83&lt;&gt;""),Settings!$J$14:$J$83),"Other"))))</f>
        <v/>
      </c>
      <c r="BC58">
        <f>IF($B58="","",IF(Z58="","Not rostered",IFERROR(INDEX(Settings!$C$14:$C$33,MATCH(Z58,Settings!$B$14:$B$33,0)),IFERROR(LOOKUP(2^15,SEARCH(Settings!$I$14:$I$83,Z58)/(Settings!$I$14:$I$83&lt;&gt;""),Settings!$J$14:$J$83),"Other"))))</f>
        <v/>
      </c>
      <c r="BD58">
        <f>IF($B58="","",IF(AA58="","Not rostered",IFERROR(INDEX(Settings!$C$14:$C$33,MATCH(AA58,Settings!$B$14:$B$33,0)),IFERROR(LOOKUP(2^15,SEARCH(Settings!$I$14:$I$83,AA58)/(Settings!$I$14:$I$83&lt;&gt;""),Settings!$J$14:$J$83),"Other"))))</f>
        <v/>
      </c>
      <c r="BE58">
        <f>IF($B58="","",IF(AB58="","Not rostered",IFERROR(INDEX(Settings!$C$14:$C$33,MATCH(AB58,Settings!$B$14:$B$33,0)),IFERROR(LOOKUP(2^15,SEARCH(Settings!$I$14:$I$83,AB58)/(Settings!$I$14:$I$83&lt;&gt;""),Settings!$J$14:$J$83),"Other"))))</f>
        <v/>
      </c>
      <c r="BF58">
        <f>IF($B58="","",IF(AC58="","Not rostered",IFERROR(INDEX(Settings!$C$14:$C$33,MATCH(AC58,Settings!$B$14:$B$33,0)),IFERROR(LOOKUP(2^15,SEARCH(Settings!$I$14:$I$83,AC58)/(Settings!$I$14:$I$83&lt;&gt;""),Settings!$J$14:$J$83),"Other"))))</f>
        <v/>
      </c>
      <c r="BG58">
        <f>IF($B58="","",IF(AD58="","Not rostered",IFERROR(INDEX(Settings!$C$14:$C$33,MATCH(AD58,Settings!$B$14:$B$33,0)),IFERROR(LOOKUP(2^15,SEARCH(Settings!$I$14:$I$83,AD58)/(Settings!$I$14:$I$83&lt;&gt;""),Settings!$J$14:$J$83),"Other"))))</f>
        <v/>
      </c>
      <c r="BH58">
        <f>IF($B58="","",IF(AE58="","Not rostered",IFERROR(INDEX(Settings!$C$14:$C$33,MATCH(AE58,Settings!$B$14:$B$33,0)),IFERROR(LOOKUP(2^15,SEARCH(Settings!$I$14:$I$83,AE58)/(Settings!$I$14:$I$83&lt;&gt;""),Settings!$J$14:$J$83),"Other"))))</f>
        <v/>
      </c>
      <c r="BI58">
        <f>IF($B58="","",IF(AF58="","Not rostered",IFERROR(INDEX(Settings!$C$14:$C$33,MATCH(AF58,Settings!$B$14:$B$33,0)),IFERROR(LOOKUP(2^15,SEARCH(Settings!$I$14:$I$83,AF58)/(Settings!$I$14:$I$83&lt;&gt;""),Settings!$J$14:$J$83),"Other"))))</f>
        <v/>
      </c>
      <c r="BJ58">
        <f>IF($B58="","",IF(AG58="","Not rostered",IFERROR(INDEX(Settings!$C$14:$C$33,MATCH(AG58,Settings!$B$14:$B$33,0)),IFERROR(LOOKUP(2^15,SEARCH(Settings!$I$14:$I$83,AG58)/(Settings!$I$14:$I$83&lt;&gt;""),Settings!$J$14:$J$83),"Other"))))</f>
        <v/>
      </c>
      <c r="BL58">
        <f>IF(OR($B58="",F58=""),"",IFERROR(INDEX(Settings!$D$14:$D$33,MATCH(F58,Settings!$B$14:$B$33,0))&amp;"",IFERROR(LOOKUP(2^15,SEARCH(Settings!$F$14:$F$43,F58)/(Settings!$F$14:$F$43&lt;&gt;""),Settings!$G$14:$G$43),"")))</f>
        <v/>
      </c>
      <c r="BM58">
        <f>IF(OR($B58="",G58=""),"",IFERROR(INDEX(Settings!$D$14:$D$33,MATCH(G58,Settings!$B$14:$B$33,0))&amp;"",IFERROR(LOOKUP(2^15,SEARCH(Settings!$F$14:$F$43,G58)/(Settings!$F$14:$F$43&lt;&gt;""),Settings!$G$14:$G$43),"")))</f>
        <v/>
      </c>
      <c r="BN58">
        <f>IF(OR($B58="",H58=""),"",IFERROR(INDEX(Settings!$D$14:$D$33,MATCH(H58,Settings!$B$14:$B$33,0))&amp;"",IFERROR(LOOKUP(2^15,SEARCH(Settings!$F$14:$F$43,H58)/(Settings!$F$14:$F$43&lt;&gt;""),Settings!$G$14:$G$43),"")))</f>
        <v/>
      </c>
      <c r="BO58">
        <f>IF(OR($B58="",I58=""),"",IFERROR(INDEX(Settings!$D$14:$D$33,MATCH(I58,Settings!$B$14:$B$33,0))&amp;"",IFERROR(LOOKUP(2^15,SEARCH(Settings!$F$14:$F$43,I58)/(Settings!$F$14:$F$43&lt;&gt;""),Settings!$G$14:$G$43),"")))</f>
        <v/>
      </c>
      <c r="BP58">
        <f>IF(OR($B58="",J58=""),"",IFERROR(INDEX(Settings!$D$14:$D$33,MATCH(J58,Settings!$B$14:$B$33,0))&amp;"",IFERROR(LOOKUP(2^15,SEARCH(Settings!$F$14:$F$43,J58)/(Settings!$F$14:$F$43&lt;&gt;""),Settings!$G$14:$G$43),"")))</f>
        <v/>
      </c>
      <c r="BQ58">
        <f>IF(OR($B58="",K58=""),"",IFERROR(INDEX(Settings!$D$14:$D$33,MATCH(K58,Settings!$B$14:$B$33,0))&amp;"",IFERROR(LOOKUP(2^15,SEARCH(Settings!$F$14:$F$43,K58)/(Settings!$F$14:$F$43&lt;&gt;""),Settings!$G$14:$G$43),"")))</f>
        <v/>
      </c>
      <c r="BR58">
        <f>IF(OR($B58="",L58=""),"",IFERROR(INDEX(Settings!$D$14:$D$33,MATCH(L58,Settings!$B$14:$B$33,0))&amp;"",IFERROR(LOOKUP(2^15,SEARCH(Settings!$F$14:$F$43,L58)/(Settings!$F$14:$F$43&lt;&gt;""),Settings!$G$14:$G$43),"")))</f>
        <v/>
      </c>
      <c r="BS58">
        <f>IF(OR($B58="",M58=""),"",IFERROR(INDEX(Settings!$D$14:$D$33,MATCH(M58,Settings!$B$14:$B$33,0))&amp;"",IFERROR(LOOKUP(2^15,SEARCH(Settings!$F$14:$F$43,M58)/(Settings!$F$14:$F$43&lt;&gt;""),Settings!$G$14:$G$43),"")))</f>
        <v/>
      </c>
      <c r="BT58">
        <f>IF(OR($B58="",N58=""),"",IFERROR(INDEX(Settings!$D$14:$D$33,MATCH(N58,Settings!$B$14:$B$33,0))&amp;"",IFERROR(LOOKUP(2^15,SEARCH(Settings!$F$14:$F$43,N58)/(Settings!$F$14:$F$43&lt;&gt;""),Settings!$G$14:$G$43),"")))</f>
        <v/>
      </c>
      <c r="BU58">
        <f>IF(OR($B58="",O58=""),"",IFERROR(INDEX(Settings!$D$14:$D$33,MATCH(O58,Settings!$B$14:$B$33,0))&amp;"",IFERROR(LOOKUP(2^15,SEARCH(Settings!$F$14:$F$43,O58)/(Settings!$F$14:$F$43&lt;&gt;""),Settings!$G$14:$G$43),"")))</f>
        <v/>
      </c>
      <c r="BV58">
        <f>IF(OR($B58="",P58=""),"",IFERROR(INDEX(Settings!$D$14:$D$33,MATCH(P58,Settings!$B$14:$B$33,0))&amp;"",IFERROR(LOOKUP(2^15,SEARCH(Settings!$F$14:$F$43,P58)/(Settings!$F$14:$F$43&lt;&gt;""),Settings!$G$14:$G$43),"")))</f>
        <v/>
      </c>
      <c r="BW58">
        <f>IF(OR($B58="",Q58=""),"",IFERROR(INDEX(Settings!$D$14:$D$33,MATCH(Q58,Settings!$B$14:$B$33,0))&amp;"",IFERROR(LOOKUP(2^15,SEARCH(Settings!$F$14:$F$43,Q58)/(Settings!$F$14:$F$43&lt;&gt;""),Settings!$G$14:$G$43),"")))</f>
        <v/>
      </c>
      <c r="BX58">
        <f>IF(OR($B58="",R58=""),"",IFERROR(INDEX(Settings!$D$14:$D$33,MATCH(R58,Settings!$B$14:$B$33,0))&amp;"",IFERROR(LOOKUP(2^15,SEARCH(Settings!$F$14:$F$43,R58)/(Settings!$F$14:$F$43&lt;&gt;""),Settings!$G$14:$G$43),"")))</f>
        <v/>
      </c>
      <c r="BY58">
        <f>IF(OR($B58="",S58=""),"",IFERROR(INDEX(Settings!$D$14:$D$33,MATCH(S58,Settings!$B$14:$B$33,0))&amp;"",IFERROR(LOOKUP(2^15,SEARCH(Settings!$F$14:$F$43,S58)/(Settings!$F$14:$F$43&lt;&gt;""),Settings!$G$14:$G$43),"")))</f>
        <v/>
      </c>
      <c r="BZ58">
        <f>IF(OR($B58="",T58=""),"",IFERROR(INDEX(Settings!$D$14:$D$33,MATCH(T58,Settings!$B$14:$B$33,0))&amp;"",IFERROR(LOOKUP(2^15,SEARCH(Settings!$F$14:$F$43,T58)/(Settings!$F$14:$F$43&lt;&gt;""),Settings!$G$14:$G$43),"")))</f>
        <v/>
      </c>
      <c r="CA58">
        <f>IF(OR($B58="",U58=""),"",IFERROR(INDEX(Settings!$D$14:$D$33,MATCH(U58,Settings!$B$14:$B$33,0))&amp;"",IFERROR(LOOKUP(2^15,SEARCH(Settings!$F$14:$F$43,U58)/(Settings!$F$14:$F$43&lt;&gt;""),Settings!$G$14:$G$43),"")))</f>
        <v/>
      </c>
      <c r="CB58">
        <f>IF(OR($B58="",V58=""),"",IFERROR(INDEX(Settings!$D$14:$D$33,MATCH(V58,Settings!$B$14:$B$33,0))&amp;"",IFERROR(LOOKUP(2^15,SEARCH(Settings!$F$14:$F$43,V58)/(Settings!$F$14:$F$43&lt;&gt;""),Settings!$G$14:$G$43),"")))</f>
        <v/>
      </c>
      <c r="CC58">
        <f>IF(OR($B58="",W58=""),"",IFERROR(INDEX(Settings!$D$14:$D$33,MATCH(W58,Settings!$B$14:$B$33,0))&amp;"",IFERROR(LOOKUP(2^15,SEARCH(Settings!$F$14:$F$43,W58)/(Settings!$F$14:$F$43&lt;&gt;""),Settings!$G$14:$G$43),"")))</f>
        <v/>
      </c>
      <c r="CD58">
        <f>IF(OR($B58="",X58=""),"",IFERROR(INDEX(Settings!$D$14:$D$33,MATCH(X58,Settings!$B$14:$B$33,0))&amp;"",IFERROR(LOOKUP(2^15,SEARCH(Settings!$F$14:$F$43,X58)/(Settings!$F$14:$F$43&lt;&gt;""),Settings!$G$14:$G$43),"")))</f>
        <v/>
      </c>
      <c r="CE58">
        <f>IF(OR($B58="",Y58=""),"",IFERROR(INDEX(Settings!$D$14:$D$33,MATCH(Y58,Settings!$B$14:$B$33,0))&amp;"",IFERROR(LOOKUP(2^15,SEARCH(Settings!$F$14:$F$43,Y58)/(Settings!$F$14:$F$43&lt;&gt;""),Settings!$G$14:$G$43),"")))</f>
        <v/>
      </c>
      <c r="CF58">
        <f>IF(OR($B58="",Z58=""),"",IFERROR(INDEX(Settings!$D$14:$D$33,MATCH(Z58,Settings!$B$14:$B$33,0))&amp;"",IFERROR(LOOKUP(2^15,SEARCH(Settings!$F$14:$F$43,Z58)/(Settings!$F$14:$F$43&lt;&gt;""),Settings!$G$14:$G$43),"")))</f>
        <v/>
      </c>
      <c r="CG58">
        <f>IF(OR($B58="",AA58=""),"",IFERROR(INDEX(Settings!$D$14:$D$33,MATCH(AA58,Settings!$B$14:$B$33,0))&amp;"",IFERROR(LOOKUP(2^15,SEARCH(Settings!$F$14:$F$43,AA58)/(Settings!$F$14:$F$43&lt;&gt;""),Settings!$G$14:$G$43),"")))</f>
        <v/>
      </c>
      <c r="CH58">
        <f>IF(OR($B58="",AB58=""),"",IFERROR(INDEX(Settings!$D$14:$D$33,MATCH(AB58,Settings!$B$14:$B$33,0))&amp;"",IFERROR(LOOKUP(2^15,SEARCH(Settings!$F$14:$F$43,AB58)/(Settings!$F$14:$F$43&lt;&gt;""),Settings!$G$14:$G$43),"")))</f>
        <v/>
      </c>
      <c r="CI58">
        <f>IF(OR($B58="",AC58=""),"",IFERROR(INDEX(Settings!$D$14:$D$33,MATCH(AC58,Settings!$B$14:$B$33,0))&amp;"",IFERROR(LOOKUP(2^15,SEARCH(Settings!$F$14:$F$43,AC58)/(Settings!$F$14:$F$43&lt;&gt;""),Settings!$G$14:$G$43),"")))</f>
        <v/>
      </c>
      <c r="CJ58">
        <f>IF(OR($B58="",AD58=""),"",IFERROR(INDEX(Settings!$D$14:$D$33,MATCH(AD58,Settings!$B$14:$B$33,0))&amp;"",IFERROR(LOOKUP(2^15,SEARCH(Settings!$F$14:$F$43,AD58)/(Settings!$F$14:$F$43&lt;&gt;""),Settings!$G$14:$G$43),"")))</f>
        <v/>
      </c>
      <c r="CK58">
        <f>IF(OR($B58="",AE58=""),"",IFERROR(INDEX(Settings!$D$14:$D$33,MATCH(AE58,Settings!$B$14:$B$33,0))&amp;"",IFERROR(LOOKUP(2^15,SEARCH(Settings!$F$14:$F$43,AE58)/(Settings!$F$14:$F$43&lt;&gt;""),Settings!$G$14:$G$43),"")))</f>
        <v/>
      </c>
      <c r="CL58">
        <f>IF(OR($B58="",AF58=""),"",IFERROR(INDEX(Settings!$D$14:$D$33,MATCH(AF58,Settings!$B$14:$B$33,0))&amp;"",IFERROR(LOOKUP(2^15,SEARCH(Settings!$F$14:$F$43,AF58)/(Settings!$F$14:$F$43&lt;&gt;""),Settings!$G$14:$G$43),"")))</f>
        <v/>
      </c>
      <c r="CM58">
        <f>IF(OR($B58="",AG58=""),"",IFERROR(INDEX(Settings!$D$14:$D$33,MATCH(AG58,Settings!$B$14:$B$33,0))&amp;"",IFERROR(LOOKUP(2^15,SEARCH(Settings!$F$14:$F$43,AG58)/(Settings!$F$14:$F$43&lt;&gt;""),Settings!$G$14:$G$43),"")))</f>
        <v/>
      </c>
    </row>
    <row r="59">
      <c r="A59" t="n">
        <v>57</v>
      </c>
      <c r="B59">
        <f>IFERROR(INDEX(Index!$A$2:$A$202,MATCH(A59,Index!$E$2:$E$202,0)),"")</f>
        <v/>
      </c>
      <c r="D59">
        <f>IF($B59="","",IFERROR(MATCH("Travel*",AI59:BJ59,0),""))</f>
        <v/>
      </c>
      <c r="F59">
        <f>IF(OR($B59="",NOT(ISNUMBER(Settings!$C$9))),"",TRIM(SUBSTITUTE(SUBSTITUTE(INDEX('INPUT - Roster'!$S$1:$SV$206,$B59,Settings!$C$9+0)&amp;"",CHAR(10)," "),CHAR(160)," ")))</f>
        <v/>
      </c>
      <c r="G59">
        <f>IF(OR($B59="",NOT(ISNUMBER(Settings!$C$9))),"",TRIM(SUBSTITUTE(SUBSTITUTE(INDEX('INPUT - Roster'!$S$1:$SV$206,$B59,Settings!$C$9+1)&amp;"",CHAR(10)," "),CHAR(160)," ")))</f>
        <v/>
      </c>
      <c r="H59">
        <f>IF(OR($B59="",NOT(ISNUMBER(Settings!$C$9))),"",TRIM(SUBSTITUTE(SUBSTITUTE(INDEX('INPUT - Roster'!$S$1:$SV$206,$B59,Settings!$C$9+2)&amp;"",CHAR(10)," "),CHAR(160)," ")))</f>
        <v/>
      </c>
      <c r="I59">
        <f>IF(OR($B59="",NOT(ISNUMBER(Settings!$C$9))),"",TRIM(SUBSTITUTE(SUBSTITUTE(INDEX('INPUT - Roster'!$S$1:$SV$206,$B59,Settings!$C$9+3)&amp;"",CHAR(10)," "),CHAR(160)," ")))</f>
        <v/>
      </c>
      <c r="J59">
        <f>IF(OR($B59="",NOT(ISNUMBER(Settings!$C$9))),"",TRIM(SUBSTITUTE(SUBSTITUTE(INDEX('INPUT - Roster'!$S$1:$SV$206,$B59,Settings!$C$9+4)&amp;"",CHAR(10)," "),CHAR(160)," ")))</f>
        <v/>
      </c>
      <c r="K59">
        <f>IF(OR($B59="",NOT(ISNUMBER(Settings!$C$9))),"",TRIM(SUBSTITUTE(SUBSTITUTE(INDEX('INPUT - Roster'!$S$1:$SV$206,$B59,Settings!$C$9+5)&amp;"",CHAR(10)," "),CHAR(160)," ")))</f>
        <v/>
      </c>
      <c r="L59">
        <f>IF(OR($B59="",NOT(ISNUMBER(Settings!$C$9))),"",TRIM(SUBSTITUTE(SUBSTITUTE(INDEX('INPUT - Roster'!$S$1:$SV$206,$B59,Settings!$C$9+6)&amp;"",CHAR(10)," "),CHAR(160)," ")))</f>
        <v/>
      </c>
      <c r="M59">
        <f>IF(OR($B59="",NOT(ISNUMBER(Settings!$C$9))),"",TRIM(SUBSTITUTE(SUBSTITUTE(INDEX('INPUT - Roster'!$S$1:$SV$206,$B59,Settings!$C$9+7)&amp;"",CHAR(10)," "),CHAR(160)," ")))</f>
        <v/>
      </c>
      <c r="N59">
        <f>IF(OR($B59="",NOT(ISNUMBER(Settings!$C$9))),"",TRIM(SUBSTITUTE(SUBSTITUTE(INDEX('INPUT - Roster'!$S$1:$SV$206,$B59,Settings!$C$9+8)&amp;"",CHAR(10)," "),CHAR(160)," ")))</f>
        <v/>
      </c>
      <c r="O59">
        <f>IF(OR($B59="",NOT(ISNUMBER(Settings!$C$9))),"",TRIM(SUBSTITUTE(SUBSTITUTE(INDEX('INPUT - Roster'!$S$1:$SV$206,$B59,Settings!$C$9+9)&amp;"",CHAR(10)," "),CHAR(160)," ")))</f>
        <v/>
      </c>
      <c r="P59">
        <f>IF(OR($B59="",NOT(ISNUMBER(Settings!$C$9))),"",TRIM(SUBSTITUTE(SUBSTITUTE(INDEX('INPUT - Roster'!$S$1:$SV$206,$B59,Settings!$C$9+10)&amp;"",CHAR(10)," "),CHAR(160)," ")))</f>
        <v/>
      </c>
      <c r="Q59">
        <f>IF(OR($B59="",NOT(ISNUMBER(Settings!$C$9))),"",TRIM(SUBSTITUTE(SUBSTITUTE(INDEX('INPUT - Roster'!$S$1:$SV$206,$B59,Settings!$C$9+11)&amp;"",CHAR(10)," "),CHAR(160)," ")))</f>
        <v/>
      </c>
      <c r="R59">
        <f>IF(OR($B59="",NOT(ISNUMBER(Settings!$C$9))),"",TRIM(SUBSTITUTE(SUBSTITUTE(INDEX('INPUT - Roster'!$S$1:$SV$206,$B59,Settings!$C$9+12)&amp;"",CHAR(10)," "),CHAR(160)," ")))</f>
        <v/>
      </c>
      <c r="S59">
        <f>IF(OR($B59="",NOT(ISNUMBER(Settings!$C$9))),"",TRIM(SUBSTITUTE(SUBSTITUTE(INDEX('INPUT - Roster'!$S$1:$SV$206,$B59,Settings!$C$9+13)&amp;"",CHAR(10)," "),CHAR(160)," ")))</f>
        <v/>
      </c>
      <c r="T59">
        <f>IF(OR($B59="",NOT(ISNUMBER(Settings!$C$9))),"",TRIM(SUBSTITUTE(SUBSTITUTE(INDEX('INPUT - Roster'!$S$1:$SV$206,$B59,Settings!$C$9+14)&amp;"",CHAR(10)," "),CHAR(160)," ")))</f>
        <v/>
      </c>
      <c r="U59">
        <f>IF(OR($B59="",NOT(ISNUMBER(Settings!$C$9))),"",TRIM(SUBSTITUTE(SUBSTITUTE(INDEX('INPUT - Roster'!$S$1:$SV$206,$B59,Settings!$C$9+15)&amp;"",CHAR(10)," "),CHAR(160)," ")))</f>
        <v/>
      </c>
      <c r="V59">
        <f>IF(OR($B59="",NOT(ISNUMBER(Settings!$C$9))),"",TRIM(SUBSTITUTE(SUBSTITUTE(INDEX('INPUT - Roster'!$S$1:$SV$206,$B59,Settings!$C$9+16)&amp;"",CHAR(10)," "),CHAR(160)," ")))</f>
        <v/>
      </c>
      <c r="W59">
        <f>IF(OR($B59="",NOT(ISNUMBER(Settings!$C$9))),"",TRIM(SUBSTITUTE(SUBSTITUTE(INDEX('INPUT - Roster'!$S$1:$SV$206,$B59,Settings!$C$9+17)&amp;"",CHAR(10)," "),CHAR(160)," ")))</f>
        <v/>
      </c>
      <c r="X59">
        <f>IF(OR($B59="",NOT(ISNUMBER(Settings!$C$9))),"",TRIM(SUBSTITUTE(SUBSTITUTE(INDEX('INPUT - Roster'!$S$1:$SV$206,$B59,Settings!$C$9+18)&amp;"",CHAR(10)," "),CHAR(160)," ")))</f>
        <v/>
      </c>
      <c r="Y59">
        <f>IF(OR($B59="",NOT(ISNUMBER(Settings!$C$9))),"",TRIM(SUBSTITUTE(SUBSTITUTE(INDEX('INPUT - Roster'!$S$1:$SV$206,$B59,Settings!$C$9+19)&amp;"",CHAR(10)," "),CHAR(160)," ")))</f>
        <v/>
      </c>
      <c r="Z59">
        <f>IF(OR($B59="",NOT(ISNUMBER(Settings!$C$9))),"",TRIM(SUBSTITUTE(SUBSTITUTE(INDEX('INPUT - Roster'!$S$1:$SV$206,$B59,Settings!$C$9+20)&amp;"",CHAR(10)," "),CHAR(160)," ")))</f>
        <v/>
      </c>
      <c r="AA59">
        <f>IF(OR($B59="",NOT(ISNUMBER(Settings!$C$9))),"",TRIM(SUBSTITUTE(SUBSTITUTE(INDEX('INPUT - Roster'!$S$1:$SV$206,$B59,Settings!$C$9+21)&amp;"",CHAR(10)," "),CHAR(160)," ")))</f>
        <v/>
      </c>
      <c r="AB59">
        <f>IF(OR($B59="",NOT(ISNUMBER(Settings!$C$9))),"",TRIM(SUBSTITUTE(SUBSTITUTE(INDEX('INPUT - Roster'!$S$1:$SV$206,$B59,Settings!$C$9+22)&amp;"",CHAR(10)," "),CHAR(160)," ")))</f>
        <v/>
      </c>
      <c r="AC59">
        <f>IF(OR($B59="",NOT(ISNUMBER(Settings!$C$9))),"",TRIM(SUBSTITUTE(SUBSTITUTE(INDEX('INPUT - Roster'!$S$1:$SV$206,$B59,Settings!$C$9+23)&amp;"",CHAR(10)," "),CHAR(160)," ")))</f>
        <v/>
      </c>
      <c r="AD59">
        <f>IF(OR($B59="",NOT(ISNUMBER(Settings!$C$9))),"",TRIM(SUBSTITUTE(SUBSTITUTE(INDEX('INPUT - Roster'!$S$1:$SV$206,$B59,Settings!$C$9+24)&amp;"",CHAR(10)," "),CHAR(160)," ")))</f>
        <v/>
      </c>
      <c r="AE59">
        <f>IF(OR($B59="",NOT(ISNUMBER(Settings!$C$9))),"",TRIM(SUBSTITUTE(SUBSTITUTE(INDEX('INPUT - Roster'!$S$1:$SV$206,$B59,Settings!$C$9+25)&amp;"",CHAR(10)," "),CHAR(160)," ")))</f>
        <v/>
      </c>
      <c r="AF59">
        <f>IF(OR($B59="",NOT(ISNUMBER(Settings!$C$9))),"",TRIM(SUBSTITUTE(SUBSTITUTE(INDEX('INPUT - Roster'!$S$1:$SV$206,$B59,Settings!$C$9+26)&amp;"",CHAR(10)," "),CHAR(160)," ")))</f>
        <v/>
      </c>
      <c r="AG59">
        <f>IF(OR($B59="",NOT(ISNUMBER(Settings!$C$9))),"",TRIM(SUBSTITUTE(SUBSTITUTE(INDEX('INPUT - Roster'!$S$1:$SV$206,$B59,Settings!$C$9+27)&amp;"",CHAR(10)," "),CHAR(160)," ")))</f>
        <v/>
      </c>
      <c r="AI59">
        <f>IF($B59="","",IF(F59="","Not rostered",IFERROR(INDEX(Settings!$C$14:$C$33,MATCH(F59,Settings!$B$14:$B$33,0)),IFERROR(LOOKUP(2^15,SEARCH(Settings!$I$14:$I$83,F59)/(Settings!$I$14:$I$83&lt;&gt;""),Settings!$J$14:$J$83),"Other"))))</f>
        <v/>
      </c>
      <c r="AJ59">
        <f>IF($B59="","",IF(G59="","Not rostered",IFERROR(INDEX(Settings!$C$14:$C$33,MATCH(G59,Settings!$B$14:$B$33,0)),IFERROR(LOOKUP(2^15,SEARCH(Settings!$I$14:$I$83,G59)/(Settings!$I$14:$I$83&lt;&gt;""),Settings!$J$14:$J$83),"Other"))))</f>
        <v/>
      </c>
      <c r="AK59">
        <f>IF($B59="","",IF(H59="","Not rostered",IFERROR(INDEX(Settings!$C$14:$C$33,MATCH(H59,Settings!$B$14:$B$33,0)),IFERROR(LOOKUP(2^15,SEARCH(Settings!$I$14:$I$83,H59)/(Settings!$I$14:$I$83&lt;&gt;""),Settings!$J$14:$J$83),"Other"))))</f>
        <v/>
      </c>
      <c r="AL59">
        <f>IF($B59="","",IF(I59="","Not rostered",IFERROR(INDEX(Settings!$C$14:$C$33,MATCH(I59,Settings!$B$14:$B$33,0)),IFERROR(LOOKUP(2^15,SEARCH(Settings!$I$14:$I$83,I59)/(Settings!$I$14:$I$83&lt;&gt;""),Settings!$J$14:$J$83),"Other"))))</f>
        <v/>
      </c>
      <c r="AM59">
        <f>IF($B59="","",IF(J59="","Not rostered",IFERROR(INDEX(Settings!$C$14:$C$33,MATCH(J59,Settings!$B$14:$B$33,0)),IFERROR(LOOKUP(2^15,SEARCH(Settings!$I$14:$I$83,J59)/(Settings!$I$14:$I$83&lt;&gt;""),Settings!$J$14:$J$83),"Other"))))</f>
        <v/>
      </c>
      <c r="AN59">
        <f>IF($B59="","",IF(K59="","Not rostered",IFERROR(INDEX(Settings!$C$14:$C$33,MATCH(K59,Settings!$B$14:$B$33,0)),IFERROR(LOOKUP(2^15,SEARCH(Settings!$I$14:$I$83,K59)/(Settings!$I$14:$I$83&lt;&gt;""),Settings!$J$14:$J$83),"Other"))))</f>
        <v/>
      </c>
      <c r="AO59">
        <f>IF($B59="","",IF(L59="","Not rostered",IFERROR(INDEX(Settings!$C$14:$C$33,MATCH(L59,Settings!$B$14:$B$33,0)),IFERROR(LOOKUP(2^15,SEARCH(Settings!$I$14:$I$83,L59)/(Settings!$I$14:$I$83&lt;&gt;""),Settings!$J$14:$J$83),"Other"))))</f>
        <v/>
      </c>
      <c r="AP59">
        <f>IF($B59="","",IF(M59="","Not rostered",IFERROR(INDEX(Settings!$C$14:$C$33,MATCH(M59,Settings!$B$14:$B$33,0)),IFERROR(LOOKUP(2^15,SEARCH(Settings!$I$14:$I$83,M59)/(Settings!$I$14:$I$83&lt;&gt;""),Settings!$J$14:$J$83),"Other"))))</f>
        <v/>
      </c>
      <c r="AQ59">
        <f>IF($B59="","",IF(N59="","Not rostered",IFERROR(INDEX(Settings!$C$14:$C$33,MATCH(N59,Settings!$B$14:$B$33,0)),IFERROR(LOOKUP(2^15,SEARCH(Settings!$I$14:$I$83,N59)/(Settings!$I$14:$I$83&lt;&gt;""),Settings!$J$14:$J$83),"Other"))))</f>
        <v/>
      </c>
      <c r="AR59">
        <f>IF($B59="","",IF(O59="","Not rostered",IFERROR(INDEX(Settings!$C$14:$C$33,MATCH(O59,Settings!$B$14:$B$33,0)),IFERROR(LOOKUP(2^15,SEARCH(Settings!$I$14:$I$83,O59)/(Settings!$I$14:$I$83&lt;&gt;""),Settings!$J$14:$J$83),"Other"))))</f>
        <v/>
      </c>
      <c r="AS59">
        <f>IF($B59="","",IF(P59="","Not rostered",IFERROR(INDEX(Settings!$C$14:$C$33,MATCH(P59,Settings!$B$14:$B$33,0)),IFERROR(LOOKUP(2^15,SEARCH(Settings!$I$14:$I$83,P59)/(Settings!$I$14:$I$83&lt;&gt;""),Settings!$J$14:$J$83),"Other"))))</f>
        <v/>
      </c>
      <c r="AT59">
        <f>IF($B59="","",IF(Q59="","Not rostered",IFERROR(INDEX(Settings!$C$14:$C$33,MATCH(Q59,Settings!$B$14:$B$33,0)),IFERROR(LOOKUP(2^15,SEARCH(Settings!$I$14:$I$83,Q59)/(Settings!$I$14:$I$83&lt;&gt;""),Settings!$J$14:$J$83),"Other"))))</f>
        <v/>
      </c>
      <c r="AU59">
        <f>IF($B59="","",IF(R59="","Not rostered",IFERROR(INDEX(Settings!$C$14:$C$33,MATCH(R59,Settings!$B$14:$B$33,0)),IFERROR(LOOKUP(2^15,SEARCH(Settings!$I$14:$I$83,R59)/(Settings!$I$14:$I$83&lt;&gt;""),Settings!$J$14:$J$83),"Other"))))</f>
        <v/>
      </c>
      <c r="AV59">
        <f>IF($B59="","",IF(S59="","Not rostered",IFERROR(INDEX(Settings!$C$14:$C$33,MATCH(S59,Settings!$B$14:$B$33,0)),IFERROR(LOOKUP(2^15,SEARCH(Settings!$I$14:$I$83,S59)/(Settings!$I$14:$I$83&lt;&gt;""),Settings!$J$14:$J$83),"Other"))))</f>
        <v/>
      </c>
      <c r="AW59">
        <f>IF($B59="","",IF(T59="","Not rostered",IFERROR(INDEX(Settings!$C$14:$C$33,MATCH(T59,Settings!$B$14:$B$33,0)),IFERROR(LOOKUP(2^15,SEARCH(Settings!$I$14:$I$83,T59)/(Settings!$I$14:$I$83&lt;&gt;""),Settings!$J$14:$J$83),"Other"))))</f>
        <v/>
      </c>
      <c r="AX59">
        <f>IF($B59="","",IF(U59="","Not rostered",IFERROR(INDEX(Settings!$C$14:$C$33,MATCH(U59,Settings!$B$14:$B$33,0)),IFERROR(LOOKUP(2^15,SEARCH(Settings!$I$14:$I$83,U59)/(Settings!$I$14:$I$83&lt;&gt;""),Settings!$J$14:$J$83),"Other"))))</f>
        <v/>
      </c>
      <c r="AY59">
        <f>IF($B59="","",IF(V59="","Not rostered",IFERROR(INDEX(Settings!$C$14:$C$33,MATCH(V59,Settings!$B$14:$B$33,0)),IFERROR(LOOKUP(2^15,SEARCH(Settings!$I$14:$I$83,V59)/(Settings!$I$14:$I$83&lt;&gt;""),Settings!$J$14:$J$83),"Other"))))</f>
        <v/>
      </c>
      <c r="AZ59">
        <f>IF($B59="","",IF(W59="","Not rostered",IFERROR(INDEX(Settings!$C$14:$C$33,MATCH(W59,Settings!$B$14:$B$33,0)),IFERROR(LOOKUP(2^15,SEARCH(Settings!$I$14:$I$83,W59)/(Settings!$I$14:$I$83&lt;&gt;""),Settings!$J$14:$J$83),"Other"))))</f>
        <v/>
      </c>
      <c r="BA59">
        <f>IF($B59="","",IF(X59="","Not rostered",IFERROR(INDEX(Settings!$C$14:$C$33,MATCH(X59,Settings!$B$14:$B$33,0)),IFERROR(LOOKUP(2^15,SEARCH(Settings!$I$14:$I$83,X59)/(Settings!$I$14:$I$83&lt;&gt;""),Settings!$J$14:$J$83),"Other"))))</f>
        <v/>
      </c>
      <c r="BB59">
        <f>IF($B59="","",IF(Y59="","Not rostered",IFERROR(INDEX(Settings!$C$14:$C$33,MATCH(Y59,Settings!$B$14:$B$33,0)),IFERROR(LOOKUP(2^15,SEARCH(Settings!$I$14:$I$83,Y59)/(Settings!$I$14:$I$83&lt;&gt;""),Settings!$J$14:$J$83),"Other"))))</f>
        <v/>
      </c>
      <c r="BC59">
        <f>IF($B59="","",IF(Z59="","Not rostered",IFERROR(INDEX(Settings!$C$14:$C$33,MATCH(Z59,Settings!$B$14:$B$33,0)),IFERROR(LOOKUP(2^15,SEARCH(Settings!$I$14:$I$83,Z59)/(Settings!$I$14:$I$83&lt;&gt;""),Settings!$J$14:$J$83),"Other"))))</f>
        <v/>
      </c>
      <c r="BD59">
        <f>IF($B59="","",IF(AA59="","Not rostered",IFERROR(INDEX(Settings!$C$14:$C$33,MATCH(AA59,Settings!$B$14:$B$33,0)),IFERROR(LOOKUP(2^15,SEARCH(Settings!$I$14:$I$83,AA59)/(Settings!$I$14:$I$83&lt;&gt;""),Settings!$J$14:$J$83),"Other"))))</f>
        <v/>
      </c>
      <c r="BE59">
        <f>IF($B59="","",IF(AB59="","Not rostered",IFERROR(INDEX(Settings!$C$14:$C$33,MATCH(AB59,Settings!$B$14:$B$33,0)),IFERROR(LOOKUP(2^15,SEARCH(Settings!$I$14:$I$83,AB59)/(Settings!$I$14:$I$83&lt;&gt;""),Settings!$J$14:$J$83),"Other"))))</f>
        <v/>
      </c>
      <c r="BF59">
        <f>IF($B59="","",IF(AC59="","Not rostered",IFERROR(INDEX(Settings!$C$14:$C$33,MATCH(AC59,Settings!$B$14:$B$33,0)),IFERROR(LOOKUP(2^15,SEARCH(Settings!$I$14:$I$83,AC59)/(Settings!$I$14:$I$83&lt;&gt;""),Settings!$J$14:$J$83),"Other"))))</f>
        <v/>
      </c>
      <c r="BG59">
        <f>IF($B59="","",IF(AD59="","Not rostered",IFERROR(INDEX(Settings!$C$14:$C$33,MATCH(AD59,Settings!$B$14:$B$33,0)),IFERROR(LOOKUP(2^15,SEARCH(Settings!$I$14:$I$83,AD59)/(Settings!$I$14:$I$83&lt;&gt;""),Settings!$J$14:$J$83),"Other"))))</f>
        <v/>
      </c>
      <c r="BH59">
        <f>IF($B59="","",IF(AE59="","Not rostered",IFERROR(INDEX(Settings!$C$14:$C$33,MATCH(AE59,Settings!$B$14:$B$33,0)),IFERROR(LOOKUP(2^15,SEARCH(Settings!$I$14:$I$83,AE59)/(Settings!$I$14:$I$83&lt;&gt;""),Settings!$J$14:$J$83),"Other"))))</f>
        <v/>
      </c>
      <c r="BI59">
        <f>IF($B59="","",IF(AF59="","Not rostered",IFERROR(INDEX(Settings!$C$14:$C$33,MATCH(AF59,Settings!$B$14:$B$33,0)),IFERROR(LOOKUP(2^15,SEARCH(Settings!$I$14:$I$83,AF59)/(Settings!$I$14:$I$83&lt;&gt;""),Settings!$J$14:$J$83),"Other"))))</f>
        <v/>
      </c>
      <c r="BJ59">
        <f>IF($B59="","",IF(AG59="","Not rostered",IFERROR(INDEX(Settings!$C$14:$C$33,MATCH(AG59,Settings!$B$14:$B$33,0)),IFERROR(LOOKUP(2^15,SEARCH(Settings!$I$14:$I$83,AG59)/(Settings!$I$14:$I$83&lt;&gt;""),Settings!$J$14:$J$83),"Other"))))</f>
        <v/>
      </c>
      <c r="BL59">
        <f>IF(OR($B59="",F59=""),"",IFERROR(INDEX(Settings!$D$14:$D$33,MATCH(F59,Settings!$B$14:$B$33,0))&amp;"",IFERROR(LOOKUP(2^15,SEARCH(Settings!$F$14:$F$43,F59)/(Settings!$F$14:$F$43&lt;&gt;""),Settings!$G$14:$G$43),"")))</f>
        <v/>
      </c>
      <c r="BM59">
        <f>IF(OR($B59="",G59=""),"",IFERROR(INDEX(Settings!$D$14:$D$33,MATCH(G59,Settings!$B$14:$B$33,0))&amp;"",IFERROR(LOOKUP(2^15,SEARCH(Settings!$F$14:$F$43,G59)/(Settings!$F$14:$F$43&lt;&gt;""),Settings!$G$14:$G$43),"")))</f>
        <v/>
      </c>
      <c r="BN59">
        <f>IF(OR($B59="",H59=""),"",IFERROR(INDEX(Settings!$D$14:$D$33,MATCH(H59,Settings!$B$14:$B$33,0))&amp;"",IFERROR(LOOKUP(2^15,SEARCH(Settings!$F$14:$F$43,H59)/(Settings!$F$14:$F$43&lt;&gt;""),Settings!$G$14:$G$43),"")))</f>
        <v/>
      </c>
      <c r="BO59">
        <f>IF(OR($B59="",I59=""),"",IFERROR(INDEX(Settings!$D$14:$D$33,MATCH(I59,Settings!$B$14:$B$33,0))&amp;"",IFERROR(LOOKUP(2^15,SEARCH(Settings!$F$14:$F$43,I59)/(Settings!$F$14:$F$43&lt;&gt;""),Settings!$G$14:$G$43),"")))</f>
        <v/>
      </c>
      <c r="BP59">
        <f>IF(OR($B59="",J59=""),"",IFERROR(INDEX(Settings!$D$14:$D$33,MATCH(J59,Settings!$B$14:$B$33,0))&amp;"",IFERROR(LOOKUP(2^15,SEARCH(Settings!$F$14:$F$43,J59)/(Settings!$F$14:$F$43&lt;&gt;""),Settings!$G$14:$G$43),"")))</f>
        <v/>
      </c>
      <c r="BQ59">
        <f>IF(OR($B59="",K59=""),"",IFERROR(INDEX(Settings!$D$14:$D$33,MATCH(K59,Settings!$B$14:$B$33,0))&amp;"",IFERROR(LOOKUP(2^15,SEARCH(Settings!$F$14:$F$43,K59)/(Settings!$F$14:$F$43&lt;&gt;""),Settings!$G$14:$G$43),"")))</f>
        <v/>
      </c>
      <c r="BR59">
        <f>IF(OR($B59="",L59=""),"",IFERROR(INDEX(Settings!$D$14:$D$33,MATCH(L59,Settings!$B$14:$B$33,0))&amp;"",IFERROR(LOOKUP(2^15,SEARCH(Settings!$F$14:$F$43,L59)/(Settings!$F$14:$F$43&lt;&gt;""),Settings!$G$14:$G$43),"")))</f>
        <v/>
      </c>
      <c r="BS59">
        <f>IF(OR($B59="",M59=""),"",IFERROR(INDEX(Settings!$D$14:$D$33,MATCH(M59,Settings!$B$14:$B$33,0))&amp;"",IFERROR(LOOKUP(2^15,SEARCH(Settings!$F$14:$F$43,M59)/(Settings!$F$14:$F$43&lt;&gt;""),Settings!$G$14:$G$43),"")))</f>
        <v/>
      </c>
      <c r="BT59">
        <f>IF(OR($B59="",N59=""),"",IFERROR(INDEX(Settings!$D$14:$D$33,MATCH(N59,Settings!$B$14:$B$33,0))&amp;"",IFERROR(LOOKUP(2^15,SEARCH(Settings!$F$14:$F$43,N59)/(Settings!$F$14:$F$43&lt;&gt;""),Settings!$G$14:$G$43),"")))</f>
        <v/>
      </c>
      <c r="BU59">
        <f>IF(OR($B59="",O59=""),"",IFERROR(INDEX(Settings!$D$14:$D$33,MATCH(O59,Settings!$B$14:$B$33,0))&amp;"",IFERROR(LOOKUP(2^15,SEARCH(Settings!$F$14:$F$43,O59)/(Settings!$F$14:$F$43&lt;&gt;""),Settings!$G$14:$G$43),"")))</f>
        <v/>
      </c>
      <c r="BV59">
        <f>IF(OR($B59="",P59=""),"",IFERROR(INDEX(Settings!$D$14:$D$33,MATCH(P59,Settings!$B$14:$B$33,0))&amp;"",IFERROR(LOOKUP(2^15,SEARCH(Settings!$F$14:$F$43,P59)/(Settings!$F$14:$F$43&lt;&gt;""),Settings!$G$14:$G$43),"")))</f>
        <v/>
      </c>
      <c r="BW59">
        <f>IF(OR($B59="",Q59=""),"",IFERROR(INDEX(Settings!$D$14:$D$33,MATCH(Q59,Settings!$B$14:$B$33,0))&amp;"",IFERROR(LOOKUP(2^15,SEARCH(Settings!$F$14:$F$43,Q59)/(Settings!$F$14:$F$43&lt;&gt;""),Settings!$G$14:$G$43),"")))</f>
        <v/>
      </c>
      <c r="BX59">
        <f>IF(OR($B59="",R59=""),"",IFERROR(INDEX(Settings!$D$14:$D$33,MATCH(R59,Settings!$B$14:$B$33,0))&amp;"",IFERROR(LOOKUP(2^15,SEARCH(Settings!$F$14:$F$43,R59)/(Settings!$F$14:$F$43&lt;&gt;""),Settings!$G$14:$G$43),"")))</f>
        <v/>
      </c>
      <c r="BY59">
        <f>IF(OR($B59="",S59=""),"",IFERROR(INDEX(Settings!$D$14:$D$33,MATCH(S59,Settings!$B$14:$B$33,0))&amp;"",IFERROR(LOOKUP(2^15,SEARCH(Settings!$F$14:$F$43,S59)/(Settings!$F$14:$F$43&lt;&gt;""),Settings!$G$14:$G$43),"")))</f>
        <v/>
      </c>
      <c r="BZ59">
        <f>IF(OR($B59="",T59=""),"",IFERROR(INDEX(Settings!$D$14:$D$33,MATCH(T59,Settings!$B$14:$B$33,0))&amp;"",IFERROR(LOOKUP(2^15,SEARCH(Settings!$F$14:$F$43,T59)/(Settings!$F$14:$F$43&lt;&gt;""),Settings!$G$14:$G$43),"")))</f>
        <v/>
      </c>
      <c r="CA59">
        <f>IF(OR($B59="",U59=""),"",IFERROR(INDEX(Settings!$D$14:$D$33,MATCH(U59,Settings!$B$14:$B$33,0))&amp;"",IFERROR(LOOKUP(2^15,SEARCH(Settings!$F$14:$F$43,U59)/(Settings!$F$14:$F$43&lt;&gt;""),Settings!$G$14:$G$43),"")))</f>
        <v/>
      </c>
      <c r="CB59">
        <f>IF(OR($B59="",V59=""),"",IFERROR(INDEX(Settings!$D$14:$D$33,MATCH(V59,Settings!$B$14:$B$33,0))&amp;"",IFERROR(LOOKUP(2^15,SEARCH(Settings!$F$14:$F$43,V59)/(Settings!$F$14:$F$43&lt;&gt;""),Settings!$G$14:$G$43),"")))</f>
        <v/>
      </c>
      <c r="CC59">
        <f>IF(OR($B59="",W59=""),"",IFERROR(INDEX(Settings!$D$14:$D$33,MATCH(W59,Settings!$B$14:$B$33,0))&amp;"",IFERROR(LOOKUP(2^15,SEARCH(Settings!$F$14:$F$43,W59)/(Settings!$F$14:$F$43&lt;&gt;""),Settings!$G$14:$G$43),"")))</f>
        <v/>
      </c>
      <c r="CD59">
        <f>IF(OR($B59="",X59=""),"",IFERROR(INDEX(Settings!$D$14:$D$33,MATCH(X59,Settings!$B$14:$B$33,0))&amp;"",IFERROR(LOOKUP(2^15,SEARCH(Settings!$F$14:$F$43,X59)/(Settings!$F$14:$F$43&lt;&gt;""),Settings!$G$14:$G$43),"")))</f>
        <v/>
      </c>
      <c r="CE59">
        <f>IF(OR($B59="",Y59=""),"",IFERROR(INDEX(Settings!$D$14:$D$33,MATCH(Y59,Settings!$B$14:$B$33,0))&amp;"",IFERROR(LOOKUP(2^15,SEARCH(Settings!$F$14:$F$43,Y59)/(Settings!$F$14:$F$43&lt;&gt;""),Settings!$G$14:$G$43),"")))</f>
        <v/>
      </c>
      <c r="CF59">
        <f>IF(OR($B59="",Z59=""),"",IFERROR(INDEX(Settings!$D$14:$D$33,MATCH(Z59,Settings!$B$14:$B$33,0))&amp;"",IFERROR(LOOKUP(2^15,SEARCH(Settings!$F$14:$F$43,Z59)/(Settings!$F$14:$F$43&lt;&gt;""),Settings!$G$14:$G$43),"")))</f>
        <v/>
      </c>
      <c r="CG59">
        <f>IF(OR($B59="",AA59=""),"",IFERROR(INDEX(Settings!$D$14:$D$33,MATCH(AA59,Settings!$B$14:$B$33,0))&amp;"",IFERROR(LOOKUP(2^15,SEARCH(Settings!$F$14:$F$43,AA59)/(Settings!$F$14:$F$43&lt;&gt;""),Settings!$G$14:$G$43),"")))</f>
        <v/>
      </c>
      <c r="CH59">
        <f>IF(OR($B59="",AB59=""),"",IFERROR(INDEX(Settings!$D$14:$D$33,MATCH(AB59,Settings!$B$14:$B$33,0))&amp;"",IFERROR(LOOKUP(2^15,SEARCH(Settings!$F$14:$F$43,AB59)/(Settings!$F$14:$F$43&lt;&gt;""),Settings!$G$14:$G$43),"")))</f>
        <v/>
      </c>
      <c r="CI59">
        <f>IF(OR($B59="",AC59=""),"",IFERROR(INDEX(Settings!$D$14:$D$33,MATCH(AC59,Settings!$B$14:$B$33,0))&amp;"",IFERROR(LOOKUP(2^15,SEARCH(Settings!$F$14:$F$43,AC59)/(Settings!$F$14:$F$43&lt;&gt;""),Settings!$G$14:$G$43),"")))</f>
        <v/>
      </c>
      <c r="CJ59">
        <f>IF(OR($B59="",AD59=""),"",IFERROR(INDEX(Settings!$D$14:$D$33,MATCH(AD59,Settings!$B$14:$B$33,0))&amp;"",IFERROR(LOOKUP(2^15,SEARCH(Settings!$F$14:$F$43,AD59)/(Settings!$F$14:$F$43&lt;&gt;""),Settings!$G$14:$G$43),"")))</f>
        <v/>
      </c>
      <c r="CK59">
        <f>IF(OR($B59="",AE59=""),"",IFERROR(INDEX(Settings!$D$14:$D$33,MATCH(AE59,Settings!$B$14:$B$33,0))&amp;"",IFERROR(LOOKUP(2^15,SEARCH(Settings!$F$14:$F$43,AE59)/(Settings!$F$14:$F$43&lt;&gt;""),Settings!$G$14:$G$43),"")))</f>
        <v/>
      </c>
      <c r="CL59">
        <f>IF(OR($B59="",AF59=""),"",IFERROR(INDEX(Settings!$D$14:$D$33,MATCH(AF59,Settings!$B$14:$B$33,0))&amp;"",IFERROR(LOOKUP(2^15,SEARCH(Settings!$F$14:$F$43,AF59)/(Settings!$F$14:$F$43&lt;&gt;""),Settings!$G$14:$G$43),"")))</f>
        <v/>
      </c>
      <c r="CM59">
        <f>IF(OR($B59="",AG59=""),"",IFERROR(INDEX(Settings!$D$14:$D$33,MATCH(AG59,Settings!$B$14:$B$33,0))&amp;"",IFERROR(LOOKUP(2^15,SEARCH(Settings!$F$14:$F$43,AG59)/(Settings!$F$14:$F$43&lt;&gt;""),Settings!$G$14:$G$43),"")))</f>
        <v/>
      </c>
    </row>
    <row r="60">
      <c r="A60" t="n">
        <v>58</v>
      </c>
      <c r="B60">
        <f>IFERROR(INDEX(Index!$A$2:$A$202,MATCH(A60,Index!$E$2:$E$202,0)),"")</f>
        <v/>
      </c>
      <c r="D60">
        <f>IF($B60="","",IFERROR(MATCH("Travel*",AI60:BJ60,0),""))</f>
        <v/>
      </c>
      <c r="F60">
        <f>IF(OR($B60="",NOT(ISNUMBER(Settings!$C$9))),"",TRIM(SUBSTITUTE(SUBSTITUTE(INDEX('INPUT - Roster'!$S$1:$SV$206,$B60,Settings!$C$9+0)&amp;"",CHAR(10)," "),CHAR(160)," ")))</f>
        <v/>
      </c>
      <c r="G60">
        <f>IF(OR($B60="",NOT(ISNUMBER(Settings!$C$9))),"",TRIM(SUBSTITUTE(SUBSTITUTE(INDEX('INPUT - Roster'!$S$1:$SV$206,$B60,Settings!$C$9+1)&amp;"",CHAR(10)," "),CHAR(160)," ")))</f>
        <v/>
      </c>
      <c r="H60">
        <f>IF(OR($B60="",NOT(ISNUMBER(Settings!$C$9))),"",TRIM(SUBSTITUTE(SUBSTITUTE(INDEX('INPUT - Roster'!$S$1:$SV$206,$B60,Settings!$C$9+2)&amp;"",CHAR(10)," "),CHAR(160)," ")))</f>
        <v/>
      </c>
      <c r="I60">
        <f>IF(OR($B60="",NOT(ISNUMBER(Settings!$C$9))),"",TRIM(SUBSTITUTE(SUBSTITUTE(INDEX('INPUT - Roster'!$S$1:$SV$206,$B60,Settings!$C$9+3)&amp;"",CHAR(10)," "),CHAR(160)," ")))</f>
        <v/>
      </c>
      <c r="J60">
        <f>IF(OR($B60="",NOT(ISNUMBER(Settings!$C$9))),"",TRIM(SUBSTITUTE(SUBSTITUTE(INDEX('INPUT - Roster'!$S$1:$SV$206,$B60,Settings!$C$9+4)&amp;"",CHAR(10)," "),CHAR(160)," ")))</f>
        <v/>
      </c>
      <c r="K60">
        <f>IF(OR($B60="",NOT(ISNUMBER(Settings!$C$9))),"",TRIM(SUBSTITUTE(SUBSTITUTE(INDEX('INPUT - Roster'!$S$1:$SV$206,$B60,Settings!$C$9+5)&amp;"",CHAR(10)," "),CHAR(160)," ")))</f>
        <v/>
      </c>
      <c r="L60">
        <f>IF(OR($B60="",NOT(ISNUMBER(Settings!$C$9))),"",TRIM(SUBSTITUTE(SUBSTITUTE(INDEX('INPUT - Roster'!$S$1:$SV$206,$B60,Settings!$C$9+6)&amp;"",CHAR(10)," "),CHAR(160)," ")))</f>
        <v/>
      </c>
      <c r="M60">
        <f>IF(OR($B60="",NOT(ISNUMBER(Settings!$C$9))),"",TRIM(SUBSTITUTE(SUBSTITUTE(INDEX('INPUT - Roster'!$S$1:$SV$206,$B60,Settings!$C$9+7)&amp;"",CHAR(10)," "),CHAR(160)," ")))</f>
        <v/>
      </c>
      <c r="N60">
        <f>IF(OR($B60="",NOT(ISNUMBER(Settings!$C$9))),"",TRIM(SUBSTITUTE(SUBSTITUTE(INDEX('INPUT - Roster'!$S$1:$SV$206,$B60,Settings!$C$9+8)&amp;"",CHAR(10)," "),CHAR(160)," ")))</f>
        <v/>
      </c>
      <c r="O60">
        <f>IF(OR($B60="",NOT(ISNUMBER(Settings!$C$9))),"",TRIM(SUBSTITUTE(SUBSTITUTE(INDEX('INPUT - Roster'!$S$1:$SV$206,$B60,Settings!$C$9+9)&amp;"",CHAR(10)," "),CHAR(160)," ")))</f>
        <v/>
      </c>
      <c r="P60">
        <f>IF(OR($B60="",NOT(ISNUMBER(Settings!$C$9))),"",TRIM(SUBSTITUTE(SUBSTITUTE(INDEX('INPUT - Roster'!$S$1:$SV$206,$B60,Settings!$C$9+10)&amp;"",CHAR(10)," "),CHAR(160)," ")))</f>
        <v/>
      </c>
      <c r="Q60">
        <f>IF(OR($B60="",NOT(ISNUMBER(Settings!$C$9))),"",TRIM(SUBSTITUTE(SUBSTITUTE(INDEX('INPUT - Roster'!$S$1:$SV$206,$B60,Settings!$C$9+11)&amp;"",CHAR(10)," "),CHAR(160)," ")))</f>
        <v/>
      </c>
      <c r="R60">
        <f>IF(OR($B60="",NOT(ISNUMBER(Settings!$C$9))),"",TRIM(SUBSTITUTE(SUBSTITUTE(INDEX('INPUT - Roster'!$S$1:$SV$206,$B60,Settings!$C$9+12)&amp;"",CHAR(10)," "),CHAR(160)," ")))</f>
        <v/>
      </c>
      <c r="S60">
        <f>IF(OR($B60="",NOT(ISNUMBER(Settings!$C$9))),"",TRIM(SUBSTITUTE(SUBSTITUTE(INDEX('INPUT - Roster'!$S$1:$SV$206,$B60,Settings!$C$9+13)&amp;"",CHAR(10)," "),CHAR(160)," ")))</f>
        <v/>
      </c>
      <c r="T60">
        <f>IF(OR($B60="",NOT(ISNUMBER(Settings!$C$9))),"",TRIM(SUBSTITUTE(SUBSTITUTE(INDEX('INPUT - Roster'!$S$1:$SV$206,$B60,Settings!$C$9+14)&amp;"",CHAR(10)," "),CHAR(160)," ")))</f>
        <v/>
      </c>
      <c r="U60">
        <f>IF(OR($B60="",NOT(ISNUMBER(Settings!$C$9))),"",TRIM(SUBSTITUTE(SUBSTITUTE(INDEX('INPUT - Roster'!$S$1:$SV$206,$B60,Settings!$C$9+15)&amp;"",CHAR(10)," "),CHAR(160)," ")))</f>
        <v/>
      </c>
      <c r="V60">
        <f>IF(OR($B60="",NOT(ISNUMBER(Settings!$C$9))),"",TRIM(SUBSTITUTE(SUBSTITUTE(INDEX('INPUT - Roster'!$S$1:$SV$206,$B60,Settings!$C$9+16)&amp;"",CHAR(10)," "),CHAR(160)," ")))</f>
        <v/>
      </c>
      <c r="W60">
        <f>IF(OR($B60="",NOT(ISNUMBER(Settings!$C$9))),"",TRIM(SUBSTITUTE(SUBSTITUTE(INDEX('INPUT - Roster'!$S$1:$SV$206,$B60,Settings!$C$9+17)&amp;"",CHAR(10)," "),CHAR(160)," ")))</f>
        <v/>
      </c>
      <c r="X60">
        <f>IF(OR($B60="",NOT(ISNUMBER(Settings!$C$9))),"",TRIM(SUBSTITUTE(SUBSTITUTE(INDEX('INPUT - Roster'!$S$1:$SV$206,$B60,Settings!$C$9+18)&amp;"",CHAR(10)," "),CHAR(160)," ")))</f>
        <v/>
      </c>
      <c r="Y60">
        <f>IF(OR($B60="",NOT(ISNUMBER(Settings!$C$9))),"",TRIM(SUBSTITUTE(SUBSTITUTE(INDEX('INPUT - Roster'!$S$1:$SV$206,$B60,Settings!$C$9+19)&amp;"",CHAR(10)," "),CHAR(160)," ")))</f>
        <v/>
      </c>
      <c r="Z60">
        <f>IF(OR($B60="",NOT(ISNUMBER(Settings!$C$9))),"",TRIM(SUBSTITUTE(SUBSTITUTE(INDEX('INPUT - Roster'!$S$1:$SV$206,$B60,Settings!$C$9+20)&amp;"",CHAR(10)," "),CHAR(160)," ")))</f>
        <v/>
      </c>
      <c r="AA60">
        <f>IF(OR($B60="",NOT(ISNUMBER(Settings!$C$9))),"",TRIM(SUBSTITUTE(SUBSTITUTE(INDEX('INPUT - Roster'!$S$1:$SV$206,$B60,Settings!$C$9+21)&amp;"",CHAR(10)," "),CHAR(160)," ")))</f>
        <v/>
      </c>
      <c r="AB60">
        <f>IF(OR($B60="",NOT(ISNUMBER(Settings!$C$9))),"",TRIM(SUBSTITUTE(SUBSTITUTE(INDEX('INPUT - Roster'!$S$1:$SV$206,$B60,Settings!$C$9+22)&amp;"",CHAR(10)," "),CHAR(160)," ")))</f>
        <v/>
      </c>
      <c r="AC60">
        <f>IF(OR($B60="",NOT(ISNUMBER(Settings!$C$9))),"",TRIM(SUBSTITUTE(SUBSTITUTE(INDEX('INPUT - Roster'!$S$1:$SV$206,$B60,Settings!$C$9+23)&amp;"",CHAR(10)," "),CHAR(160)," ")))</f>
        <v/>
      </c>
      <c r="AD60">
        <f>IF(OR($B60="",NOT(ISNUMBER(Settings!$C$9))),"",TRIM(SUBSTITUTE(SUBSTITUTE(INDEX('INPUT - Roster'!$S$1:$SV$206,$B60,Settings!$C$9+24)&amp;"",CHAR(10)," "),CHAR(160)," ")))</f>
        <v/>
      </c>
      <c r="AE60">
        <f>IF(OR($B60="",NOT(ISNUMBER(Settings!$C$9))),"",TRIM(SUBSTITUTE(SUBSTITUTE(INDEX('INPUT - Roster'!$S$1:$SV$206,$B60,Settings!$C$9+25)&amp;"",CHAR(10)," "),CHAR(160)," ")))</f>
        <v/>
      </c>
      <c r="AF60">
        <f>IF(OR($B60="",NOT(ISNUMBER(Settings!$C$9))),"",TRIM(SUBSTITUTE(SUBSTITUTE(INDEX('INPUT - Roster'!$S$1:$SV$206,$B60,Settings!$C$9+26)&amp;"",CHAR(10)," "),CHAR(160)," ")))</f>
        <v/>
      </c>
      <c r="AG60">
        <f>IF(OR($B60="",NOT(ISNUMBER(Settings!$C$9))),"",TRIM(SUBSTITUTE(SUBSTITUTE(INDEX('INPUT - Roster'!$S$1:$SV$206,$B60,Settings!$C$9+27)&amp;"",CHAR(10)," "),CHAR(160)," ")))</f>
        <v/>
      </c>
      <c r="AI60">
        <f>IF($B60="","",IF(F60="","Not rostered",IFERROR(INDEX(Settings!$C$14:$C$33,MATCH(F60,Settings!$B$14:$B$33,0)),IFERROR(LOOKUP(2^15,SEARCH(Settings!$I$14:$I$83,F60)/(Settings!$I$14:$I$83&lt;&gt;""),Settings!$J$14:$J$83),"Other"))))</f>
        <v/>
      </c>
      <c r="AJ60">
        <f>IF($B60="","",IF(G60="","Not rostered",IFERROR(INDEX(Settings!$C$14:$C$33,MATCH(G60,Settings!$B$14:$B$33,0)),IFERROR(LOOKUP(2^15,SEARCH(Settings!$I$14:$I$83,G60)/(Settings!$I$14:$I$83&lt;&gt;""),Settings!$J$14:$J$83),"Other"))))</f>
        <v/>
      </c>
      <c r="AK60">
        <f>IF($B60="","",IF(H60="","Not rostered",IFERROR(INDEX(Settings!$C$14:$C$33,MATCH(H60,Settings!$B$14:$B$33,0)),IFERROR(LOOKUP(2^15,SEARCH(Settings!$I$14:$I$83,H60)/(Settings!$I$14:$I$83&lt;&gt;""),Settings!$J$14:$J$83),"Other"))))</f>
        <v/>
      </c>
      <c r="AL60">
        <f>IF($B60="","",IF(I60="","Not rostered",IFERROR(INDEX(Settings!$C$14:$C$33,MATCH(I60,Settings!$B$14:$B$33,0)),IFERROR(LOOKUP(2^15,SEARCH(Settings!$I$14:$I$83,I60)/(Settings!$I$14:$I$83&lt;&gt;""),Settings!$J$14:$J$83),"Other"))))</f>
        <v/>
      </c>
      <c r="AM60">
        <f>IF($B60="","",IF(J60="","Not rostered",IFERROR(INDEX(Settings!$C$14:$C$33,MATCH(J60,Settings!$B$14:$B$33,0)),IFERROR(LOOKUP(2^15,SEARCH(Settings!$I$14:$I$83,J60)/(Settings!$I$14:$I$83&lt;&gt;""),Settings!$J$14:$J$83),"Other"))))</f>
        <v/>
      </c>
      <c r="AN60">
        <f>IF($B60="","",IF(K60="","Not rostered",IFERROR(INDEX(Settings!$C$14:$C$33,MATCH(K60,Settings!$B$14:$B$33,0)),IFERROR(LOOKUP(2^15,SEARCH(Settings!$I$14:$I$83,K60)/(Settings!$I$14:$I$83&lt;&gt;""),Settings!$J$14:$J$83),"Other"))))</f>
        <v/>
      </c>
      <c r="AO60">
        <f>IF($B60="","",IF(L60="","Not rostered",IFERROR(INDEX(Settings!$C$14:$C$33,MATCH(L60,Settings!$B$14:$B$33,0)),IFERROR(LOOKUP(2^15,SEARCH(Settings!$I$14:$I$83,L60)/(Settings!$I$14:$I$83&lt;&gt;""),Settings!$J$14:$J$83),"Other"))))</f>
        <v/>
      </c>
      <c r="AP60">
        <f>IF($B60="","",IF(M60="","Not rostered",IFERROR(INDEX(Settings!$C$14:$C$33,MATCH(M60,Settings!$B$14:$B$33,0)),IFERROR(LOOKUP(2^15,SEARCH(Settings!$I$14:$I$83,M60)/(Settings!$I$14:$I$83&lt;&gt;""),Settings!$J$14:$J$83),"Other"))))</f>
        <v/>
      </c>
      <c r="AQ60">
        <f>IF($B60="","",IF(N60="","Not rostered",IFERROR(INDEX(Settings!$C$14:$C$33,MATCH(N60,Settings!$B$14:$B$33,0)),IFERROR(LOOKUP(2^15,SEARCH(Settings!$I$14:$I$83,N60)/(Settings!$I$14:$I$83&lt;&gt;""),Settings!$J$14:$J$83),"Other"))))</f>
        <v/>
      </c>
      <c r="AR60">
        <f>IF($B60="","",IF(O60="","Not rostered",IFERROR(INDEX(Settings!$C$14:$C$33,MATCH(O60,Settings!$B$14:$B$33,0)),IFERROR(LOOKUP(2^15,SEARCH(Settings!$I$14:$I$83,O60)/(Settings!$I$14:$I$83&lt;&gt;""),Settings!$J$14:$J$83),"Other"))))</f>
        <v/>
      </c>
      <c r="AS60">
        <f>IF($B60="","",IF(P60="","Not rostered",IFERROR(INDEX(Settings!$C$14:$C$33,MATCH(P60,Settings!$B$14:$B$33,0)),IFERROR(LOOKUP(2^15,SEARCH(Settings!$I$14:$I$83,P60)/(Settings!$I$14:$I$83&lt;&gt;""),Settings!$J$14:$J$83),"Other"))))</f>
        <v/>
      </c>
      <c r="AT60">
        <f>IF($B60="","",IF(Q60="","Not rostered",IFERROR(INDEX(Settings!$C$14:$C$33,MATCH(Q60,Settings!$B$14:$B$33,0)),IFERROR(LOOKUP(2^15,SEARCH(Settings!$I$14:$I$83,Q60)/(Settings!$I$14:$I$83&lt;&gt;""),Settings!$J$14:$J$83),"Other"))))</f>
        <v/>
      </c>
      <c r="AU60">
        <f>IF($B60="","",IF(R60="","Not rostered",IFERROR(INDEX(Settings!$C$14:$C$33,MATCH(R60,Settings!$B$14:$B$33,0)),IFERROR(LOOKUP(2^15,SEARCH(Settings!$I$14:$I$83,R60)/(Settings!$I$14:$I$83&lt;&gt;""),Settings!$J$14:$J$83),"Other"))))</f>
        <v/>
      </c>
      <c r="AV60">
        <f>IF($B60="","",IF(S60="","Not rostered",IFERROR(INDEX(Settings!$C$14:$C$33,MATCH(S60,Settings!$B$14:$B$33,0)),IFERROR(LOOKUP(2^15,SEARCH(Settings!$I$14:$I$83,S60)/(Settings!$I$14:$I$83&lt;&gt;""),Settings!$J$14:$J$83),"Other"))))</f>
        <v/>
      </c>
      <c r="AW60">
        <f>IF($B60="","",IF(T60="","Not rostered",IFERROR(INDEX(Settings!$C$14:$C$33,MATCH(T60,Settings!$B$14:$B$33,0)),IFERROR(LOOKUP(2^15,SEARCH(Settings!$I$14:$I$83,T60)/(Settings!$I$14:$I$83&lt;&gt;""),Settings!$J$14:$J$83),"Other"))))</f>
        <v/>
      </c>
      <c r="AX60">
        <f>IF($B60="","",IF(U60="","Not rostered",IFERROR(INDEX(Settings!$C$14:$C$33,MATCH(U60,Settings!$B$14:$B$33,0)),IFERROR(LOOKUP(2^15,SEARCH(Settings!$I$14:$I$83,U60)/(Settings!$I$14:$I$83&lt;&gt;""),Settings!$J$14:$J$83),"Other"))))</f>
        <v/>
      </c>
      <c r="AY60">
        <f>IF($B60="","",IF(V60="","Not rostered",IFERROR(INDEX(Settings!$C$14:$C$33,MATCH(V60,Settings!$B$14:$B$33,0)),IFERROR(LOOKUP(2^15,SEARCH(Settings!$I$14:$I$83,V60)/(Settings!$I$14:$I$83&lt;&gt;""),Settings!$J$14:$J$83),"Other"))))</f>
        <v/>
      </c>
      <c r="AZ60">
        <f>IF($B60="","",IF(W60="","Not rostered",IFERROR(INDEX(Settings!$C$14:$C$33,MATCH(W60,Settings!$B$14:$B$33,0)),IFERROR(LOOKUP(2^15,SEARCH(Settings!$I$14:$I$83,W60)/(Settings!$I$14:$I$83&lt;&gt;""),Settings!$J$14:$J$83),"Other"))))</f>
        <v/>
      </c>
      <c r="BA60">
        <f>IF($B60="","",IF(X60="","Not rostered",IFERROR(INDEX(Settings!$C$14:$C$33,MATCH(X60,Settings!$B$14:$B$33,0)),IFERROR(LOOKUP(2^15,SEARCH(Settings!$I$14:$I$83,X60)/(Settings!$I$14:$I$83&lt;&gt;""),Settings!$J$14:$J$83),"Other"))))</f>
        <v/>
      </c>
      <c r="BB60">
        <f>IF($B60="","",IF(Y60="","Not rostered",IFERROR(INDEX(Settings!$C$14:$C$33,MATCH(Y60,Settings!$B$14:$B$33,0)),IFERROR(LOOKUP(2^15,SEARCH(Settings!$I$14:$I$83,Y60)/(Settings!$I$14:$I$83&lt;&gt;""),Settings!$J$14:$J$83),"Other"))))</f>
        <v/>
      </c>
      <c r="BC60">
        <f>IF($B60="","",IF(Z60="","Not rostered",IFERROR(INDEX(Settings!$C$14:$C$33,MATCH(Z60,Settings!$B$14:$B$33,0)),IFERROR(LOOKUP(2^15,SEARCH(Settings!$I$14:$I$83,Z60)/(Settings!$I$14:$I$83&lt;&gt;""),Settings!$J$14:$J$83),"Other"))))</f>
        <v/>
      </c>
      <c r="BD60">
        <f>IF($B60="","",IF(AA60="","Not rostered",IFERROR(INDEX(Settings!$C$14:$C$33,MATCH(AA60,Settings!$B$14:$B$33,0)),IFERROR(LOOKUP(2^15,SEARCH(Settings!$I$14:$I$83,AA60)/(Settings!$I$14:$I$83&lt;&gt;""),Settings!$J$14:$J$83),"Other"))))</f>
        <v/>
      </c>
      <c r="BE60">
        <f>IF($B60="","",IF(AB60="","Not rostered",IFERROR(INDEX(Settings!$C$14:$C$33,MATCH(AB60,Settings!$B$14:$B$33,0)),IFERROR(LOOKUP(2^15,SEARCH(Settings!$I$14:$I$83,AB60)/(Settings!$I$14:$I$83&lt;&gt;""),Settings!$J$14:$J$83),"Other"))))</f>
        <v/>
      </c>
      <c r="BF60">
        <f>IF($B60="","",IF(AC60="","Not rostered",IFERROR(INDEX(Settings!$C$14:$C$33,MATCH(AC60,Settings!$B$14:$B$33,0)),IFERROR(LOOKUP(2^15,SEARCH(Settings!$I$14:$I$83,AC60)/(Settings!$I$14:$I$83&lt;&gt;""),Settings!$J$14:$J$83),"Other"))))</f>
        <v/>
      </c>
      <c r="BG60">
        <f>IF($B60="","",IF(AD60="","Not rostered",IFERROR(INDEX(Settings!$C$14:$C$33,MATCH(AD60,Settings!$B$14:$B$33,0)),IFERROR(LOOKUP(2^15,SEARCH(Settings!$I$14:$I$83,AD60)/(Settings!$I$14:$I$83&lt;&gt;""),Settings!$J$14:$J$83),"Other"))))</f>
        <v/>
      </c>
      <c r="BH60">
        <f>IF($B60="","",IF(AE60="","Not rostered",IFERROR(INDEX(Settings!$C$14:$C$33,MATCH(AE60,Settings!$B$14:$B$33,0)),IFERROR(LOOKUP(2^15,SEARCH(Settings!$I$14:$I$83,AE60)/(Settings!$I$14:$I$83&lt;&gt;""),Settings!$J$14:$J$83),"Other"))))</f>
        <v/>
      </c>
      <c r="BI60">
        <f>IF($B60="","",IF(AF60="","Not rostered",IFERROR(INDEX(Settings!$C$14:$C$33,MATCH(AF60,Settings!$B$14:$B$33,0)),IFERROR(LOOKUP(2^15,SEARCH(Settings!$I$14:$I$83,AF60)/(Settings!$I$14:$I$83&lt;&gt;""),Settings!$J$14:$J$83),"Other"))))</f>
        <v/>
      </c>
      <c r="BJ60">
        <f>IF($B60="","",IF(AG60="","Not rostered",IFERROR(INDEX(Settings!$C$14:$C$33,MATCH(AG60,Settings!$B$14:$B$33,0)),IFERROR(LOOKUP(2^15,SEARCH(Settings!$I$14:$I$83,AG60)/(Settings!$I$14:$I$83&lt;&gt;""),Settings!$J$14:$J$83),"Other"))))</f>
        <v/>
      </c>
      <c r="BL60">
        <f>IF(OR($B60="",F60=""),"",IFERROR(INDEX(Settings!$D$14:$D$33,MATCH(F60,Settings!$B$14:$B$33,0))&amp;"",IFERROR(LOOKUP(2^15,SEARCH(Settings!$F$14:$F$43,F60)/(Settings!$F$14:$F$43&lt;&gt;""),Settings!$G$14:$G$43),"")))</f>
        <v/>
      </c>
      <c r="BM60">
        <f>IF(OR($B60="",G60=""),"",IFERROR(INDEX(Settings!$D$14:$D$33,MATCH(G60,Settings!$B$14:$B$33,0))&amp;"",IFERROR(LOOKUP(2^15,SEARCH(Settings!$F$14:$F$43,G60)/(Settings!$F$14:$F$43&lt;&gt;""),Settings!$G$14:$G$43),"")))</f>
        <v/>
      </c>
      <c r="BN60">
        <f>IF(OR($B60="",H60=""),"",IFERROR(INDEX(Settings!$D$14:$D$33,MATCH(H60,Settings!$B$14:$B$33,0))&amp;"",IFERROR(LOOKUP(2^15,SEARCH(Settings!$F$14:$F$43,H60)/(Settings!$F$14:$F$43&lt;&gt;""),Settings!$G$14:$G$43),"")))</f>
        <v/>
      </c>
      <c r="BO60">
        <f>IF(OR($B60="",I60=""),"",IFERROR(INDEX(Settings!$D$14:$D$33,MATCH(I60,Settings!$B$14:$B$33,0))&amp;"",IFERROR(LOOKUP(2^15,SEARCH(Settings!$F$14:$F$43,I60)/(Settings!$F$14:$F$43&lt;&gt;""),Settings!$G$14:$G$43),"")))</f>
        <v/>
      </c>
      <c r="BP60">
        <f>IF(OR($B60="",J60=""),"",IFERROR(INDEX(Settings!$D$14:$D$33,MATCH(J60,Settings!$B$14:$B$33,0))&amp;"",IFERROR(LOOKUP(2^15,SEARCH(Settings!$F$14:$F$43,J60)/(Settings!$F$14:$F$43&lt;&gt;""),Settings!$G$14:$G$43),"")))</f>
        <v/>
      </c>
      <c r="BQ60">
        <f>IF(OR($B60="",K60=""),"",IFERROR(INDEX(Settings!$D$14:$D$33,MATCH(K60,Settings!$B$14:$B$33,0))&amp;"",IFERROR(LOOKUP(2^15,SEARCH(Settings!$F$14:$F$43,K60)/(Settings!$F$14:$F$43&lt;&gt;""),Settings!$G$14:$G$43),"")))</f>
        <v/>
      </c>
      <c r="BR60">
        <f>IF(OR($B60="",L60=""),"",IFERROR(INDEX(Settings!$D$14:$D$33,MATCH(L60,Settings!$B$14:$B$33,0))&amp;"",IFERROR(LOOKUP(2^15,SEARCH(Settings!$F$14:$F$43,L60)/(Settings!$F$14:$F$43&lt;&gt;""),Settings!$G$14:$G$43),"")))</f>
        <v/>
      </c>
      <c r="BS60">
        <f>IF(OR($B60="",M60=""),"",IFERROR(INDEX(Settings!$D$14:$D$33,MATCH(M60,Settings!$B$14:$B$33,0))&amp;"",IFERROR(LOOKUP(2^15,SEARCH(Settings!$F$14:$F$43,M60)/(Settings!$F$14:$F$43&lt;&gt;""),Settings!$G$14:$G$43),"")))</f>
        <v/>
      </c>
      <c r="BT60">
        <f>IF(OR($B60="",N60=""),"",IFERROR(INDEX(Settings!$D$14:$D$33,MATCH(N60,Settings!$B$14:$B$33,0))&amp;"",IFERROR(LOOKUP(2^15,SEARCH(Settings!$F$14:$F$43,N60)/(Settings!$F$14:$F$43&lt;&gt;""),Settings!$G$14:$G$43),"")))</f>
        <v/>
      </c>
      <c r="BU60">
        <f>IF(OR($B60="",O60=""),"",IFERROR(INDEX(Settings!$D$14:$D$33,MATCH(O60,Settings!$B$14:$B$33,0))&amp;"",IFERROR(LOOKUP(2^15,SEARCH(Settings!$F$14:$F$43,O60)/(Settings!$F$14:$F$43&lt;&gt;""),Settings!$G$14:$G$43),"")))</f>
        <v/>
      </c>
      <c r="BV60">
        <f>IF(OR($B60="",P60=""),"",IFERROR(INDEX(Settings!$D$14:$D$33,MATCH(P60,Settings!$B$14:$B$33,0))&amp;"",IFERROR(LOOKUP(2^15,SEARCH(Settings!$F$14:$F$43,P60)/(Settings!$F$14:$F$43&lt;&gt;""),Settings!$G$14:$G$43),"")))</f>
        <v/>
      </c>
      <c r="BW60">
        <f>IF(OR($B60="",Q60=""),"",IFERROR(INDEX(Settings!$D$14:$D$33,MATCH(Q60,Settings!$B$14:$B$33,0))&amp;"",IFERROR(LOOKUP(2^15,SEARCH(Settings!$F$14:$F$43,Q60)/(Settings!$F$14:$F$43&lt;&gt;""),Settings!$G$14:$G$43),"")))</f>
        <v/>
      </c>
      <c r="BX60">
        <f>IF(OR($B60="",R60=""),"",IFERROR(INDEX(Settings!$D$14:$D$33,MATCH(R60,Settings!$B$14:$B$33,0))&amp;"",IFERROR(LOOKUP(2^15,SEARCH(Settings!$F$14:$F$43,R60)/(Settings!$F$14:$F$43&lt;&gt;""),Settings!$G$14:$G$43),"")))</f>
        <v/>
      </c>
      <c r="BY60">
        <f>IF(OR($B60="",S60=""),"",IFERROR(INDEX(Settings!$D$14:$D$33,MATCH(S60,Settings!$B$14:$B$33,0))&amp;"",IFERROR(LOOKUP(2^15,SEARCH(Settings!$F$14:$F$43,S60)/(Settings!$F$14:$F$43&lt;&gt;""),Settings!$G$14:$G$43),"")))</f>
        <v/>
      </c>
      <c r="BZ60">
        <f>IF(OR($B60="",T60=""),"",IFERROR(INDEX(Settings!$D$14:$D$33,MATCH(T60,Settings!$B$14:$B$33,0))&amp;"",IFERROR(LOOKUP(2^15,SEARCH(Settings!$F$14:$F$43,T60)/(Settings!$F$14:$F$43&lt;&gt;""),Settings!$G$14:$G$43),"")))</f>
        <v/>
      </c>
      <c r="CA60">
        <f>IF(OR($B60="",U60=""),"",IFERROR(INDEX(Settings!$D$14:$D$33,MATCH(U60,Settings!$B$14:$B$33,0))&amp;"",IFERROR(LOOKUP(2^15,SEARCH(Settings!$F$14:$F$43,U60)/(Settings!$F$14:$F$43&lt;&gt;""),Settings!$G$14:$G$43),"")))</f>
        <v/>
      </c>
      <c r="CB60">
        <f>IF(OR($B60="",V60=""),"",IFERROR(INDEX(Settings!$D$14:$D$33,MATCH(V60,Settings!$B$14:$B$33,0))&amp;"",IFERROR(LOOKUP(2^15,SEARCH(Settings!$F$14:$F$43,V60)/(Settings!$F$14:$F$43&lt;&gt;""),Settings!$G$14:$G$43),"")))</f>
        <v/>
      </c>
      <c r="CC60">
        <f>IF(OR($B60="",W60=""),"",IFERROR(INDEX(Settings!$D$14:$D$33,MATCH(W60,Settings!$B$14:$B$33,0))&amp;"",IFERROR(LOOKUP(2^15,SEARCH(Settings!$F$14:$F$43,W60)/(Settings!$F$14:$F$43&lt;&gt;""),Settings!$G$14:$G$43),"")))</f>
        <v/>
      </c>
      <c r="CD60">
        <f>IF(OR($B60="",X60=""),"",IFERROR(INDEX(Settings!$D$14:$D$33,MATCH(X60,Settings!$B$14:$B$33,0))&amp;"",IFERROR(LOOKUP(2^15,SEARCH(Settings!$F$14:$F$43,X60)/(Settings!$F$14:$F$43&lt;&gt;""),Settings!$G$14:$G$43),"")))</f>
        <v/>
      </c>
      <c r="CE60">
        <f>IF(OR($B60="",Y60=""),"",IFERROR(INDEX(Settings!$D$14:$D$33,MATCH(Y60,Settings!$B$14:$B$33,0))&amp;"",IFERROR(LOOKUP(2^15,SEARCH(Settings!$F$14:$F$43,Y60)/(Settings!$F$14:$F$43&lt;&gt;""),Settings!$G$14:$G$43),"")))</f>
        <v/>
      </c>
      <c r="CF60">
        <f>IF(OR($B60="",Z60=""),"",IFERROR(INDEX(Settings!$D$14:$D$33,MATCH(Z60,Settings!$B$14:$B$33,0))&amp;"",IFERROR(LOOKUP(2^15,SEARCH(Settings!$F$14:$F$43,Z60)/(Settings!$F$14:$F$43&lt;&gt;""),Settings!$G$14:$G$43),"")))</f>
        <v/>
      </c>
      <c r="CG60">
        <f>IF(OR($B60="",AA60=""),"",IFERROR(INDEX(Settings!$D$14:$D$33,MATCH(AA60,Settings!$B$14:$B$33,0))&amp;"",IFERROR(LOOKUP(2^15,SEARCH(Settings!$F$14:$F$43,AA60)/(Settings!$F$14:$F$43&lt;&gt;""),Settings!$G$14:$G$43),"")))</f>
        <v/>
      </c>
      <c r="CH60">
        <f>IF(OR($B60="",AB60=""),"",IFERROR(INDEX(Settings!$D$14:$D$33,MATCH(AB60,Settings!$B$14:$B$33,0))&amp;"",IFERROR(LOOKUP(2^15,SEARCH(Settings!$F$14:$F$43,AB60)/(Settings!$F$14:$F$43&lt;&gt;""),Settings!$G$14:$G$43),"")))</f>
        <v/>
      </c>
      <c r="CI60">
        <f>IF(OR($B60="",AC60=""),"",IFERROR(INDEX(Settings!$D$14:$D$33,MATCH(AC60,Settings!$B$14:$B$33,0))&amp;"",IFERROR(LOOKUP(2^15,SEARCH(Settings!$F$14:$F$43,AC60)/(Settings!$F$14:$F$43&lt;&gt;""),Settings!$G$14:$G$43),"")))</f>
        <v/>
      </c>
      <c r="CJ60">
        <f>IF(OR($B60="",AD60=""),"",IFERROR(INDEX(Settings!$D$14:$D$33,MATCH(AD60,Settings!$B$14:$B$33,0))&amp;"",IFERROR(LOOKUP(2^15,SEARCH(Settings!$F$14:$F$43,AD60)/(Settings!$F$14:$F$43&lt;&gt;""),Settings!$G$14:$G$43),"")))</f>
        <v/>
      </c>
      <c r="CK60">
        <f>IF(OR($B60="",AE60=""),"",IFERROR(INDEX(Settings!$D$14:$D$33,MATCH(AE60,Settings!$B$14:$B$33,0))&amp;"",IFERROR(LOOKUP(2^15,SEARCH(Settings!$F$14:$F$43,AE60)/(Settings!$F$14:$F$43&lt;&gt;""),Settings!$G$14:$G$43),"")))</f>
        <v/>
      </c>
      <c r="CL60">
        <f>IF(OR($B60="",AF60=""),"",IFERROR(INDEX(Settings!$D$14:$D$33,MATCH(AF60,Settings!$B$14:$B$33,0))&amp;"",IFERROR(LOOKUP(2^15,SEARCH(Settings!$F$14:$F$43,AF60)/(Settings!$F$14:$F$43&lt;&gt;""),Settings!$G$14:$G$43),"")))</f>
        <v/>
      </c>
      <c r="CM60">
        <f>IF(OR($B60="",AG60=""),"",IFERROR(INDEX(Settings!$D$14:$D$33,MATCH(AG60,Settings!$B$14:$B$33,0))&amp;"",IFERROR(LOOKUP(2^15,SEARCH(Settings!$F$14:$F$43,AG60)/(Settings!$F$14:$F$43&lt;&gt;""),Settings!$G$14:$G$43),"")))</f>
        <v/>
      </c>
    </row>
    <row r="61">
      <c r="A61" t="n">
        <v>59</v>
      </c>
      <c r="B61">
        <f>IFERROR(INDEX(Index!$A$2:$A$202,MATCH(A61,Index!$E$2:$E$202,0)),"")</f>
        <v/>
      </c>
      <c r="D61">
        <f>IF($B61="","",IFERROR(MATCH("Travel*",AI61:BJ61,0),""))</f>
        <v/>
      </c>
      <c r="F61">
        <f>IF(OR($B61="",NOT(ISNUMBER(Settings!$C$9))),"",TRIM(SUBSTITUTE(SUBSTITUTE(INDEX('INPUT - Roster'!$S$1:$SV$206,$B61,Settings!$C$9+0)&amp;"",CHAR(10)," "),CHAR(160)," ")))</f>
        <v/>
      </c>
      <c r="G61">
        <f>IF(OR($B61="",NOT(ISNUMBER(Settings!$C$9))),"",TRIM(SUBSTITUTE(SUBSTITUTE(INDEX('INPUT - Roster'!$S$1:$SV$206,$B61,Settings!$C$9+1)&amp;"",CHAR(10)," "),CHAR(160)," ")))</f>
        <v/>
      </c>
      <c r="H61">
        <f>IF(OR($B61="",NOT(ISNUMBER(Settings!$C$9))),"",TRIM(SUBSTITUTE(SUBSTITUTE(INDEX('INPUT - Roster'!$S$1:$SV$206,$B61,Settings!$C$9+2)&amp;"",CHAR(10)," "),CHAR(160)," ")))</f>
        <v/>
      </c>
      <c r="I61">
        <f>IF(OR($B61="",NOT(ISNUMBER(Settings!$C$9))),"",TRIM(SUBSTITUTE(SUBSTITUTE(INDEX('INPUT - Roster'!$S$1:$SV$206,$B61,Settings!$C$9+3)&amp;"",CHAR(10)," "),CHAR(160)," ")))</f>
        <v/>
      </c>
      <c r="J61">
        <f>IF(OR($B61="",NOT(ISNUMBER(Settings!$C$9))),"",TRIM(SUBSTITUTE(SUBSTITUTE(INDEX('INPUT - Roster'!$S$1:$SV$206,$B61,Settings!$C$9+4)&amp;"",CHAR(10)," "),CHAR(160)," ")))</f>
        <v/>
      </c>
      <c r="K61">
        <f>IF(OR($B61="",NOT(ISNUMBER(Settings!$C$9))),"",TRIM(SUBSTITUTE(SUBSTITUTE(INDEX('INPUT - Roster'!$S$1:$SV$206,$B61,Settings!$C$9+5)&amp;"",CHAR(10)," "),CHAR(160)," ")))</f>
        <v/>
      </c>
      <c r="L61">
        <f>IF(OR($B61="",NOT(ISNUMBER(Settings!$C$9))),"",TRIM(SUBSTITUTE(SUBSTITUTE(INDEX('INPUT - Roster'!$S$1:$SV$206,$B61,Settings!$C$9+6)&amp;"",CHAR(10)," "),CHAR(160)," ")))</f>
        <v/>
      </c>
      <c r="M61">
        <f>IF(OR($B61="",NOT(ISNUMBER(Settings!$C$9))),"",TRIM(SUBSTITUTE(SUBSTITUTE(INDEX('INPUT - Roster'!$S$1:$SV$206,$B61,Settings!$C$9+7)&amp;"",CHAR(10)," "),CHAR(160)," ")))</f>
        <v/>
      </c>
      <c r="N61">
        <f>IF(OR($B61="",NOT(ISNUMBER(Settings!$C$9))),"",TRIM(SUBSTITUTE(SUBSTITUTE(INDEX('INPUT - Roster'!$S$1:$SV$206,$B61,Settings!$C$9+8)&amp;"",CHAR(10)," "),CHAR(160)," ")))</f>
        <v/>
      </c>
      <c r="O61">
        <f>IF(OR($B61="",NOT(ISNUMBER(Settings!$C$9))),"",TRIM(SUBSTITUTE(SUBSTITUTE(INDEX('INPUT - Roster'!$S$1:$SV$206,$B61,Settings!$C$9+9)&amp;"",CHAR(10)," "),CHAR(160)," ")))</f>
        <v/>
      </c>
      <c r="P61">
        <f>IF(OR($B61="",NOT(ISNUMBER(Settings!$C$9))),"",TRIM(SUBSTITUTE(SUBSTITUTE(INDEX('INPUT - Roster'!$S$1:$SV$206,$B61,Settings!$C$9+10)&amp;"",CHAR(10)," "),CHAR(160)," ")))</f>
        <v/>
      </c>
      <c r="Q61">
        <f>IF(OR($B61="",NOT(ISNUMBER(Settings!$C$9))),"",TRIM(SUBSTITUTE(SUBSTITUTE(INDEX('INPUT - Roster'!$S$1:$SV$206,$B61,Settings!$C$9+11)&amp;"",CHAR(10)," "),CHAR(160)," ")))</f>
        <v/>
      </c>
      <c r="R61">
        <f>IF(OR($B61="",NOT(ISNUMBER(Settings!$C$9))),"",TRIM(SUBSTITUTE(SUBSTITUTE(INDEX('INPUT - Roster'!$S$1:$SV$206,$B61,Settings!$C$9+12)&amp;"",CHAR(10)," "),CHAR(160)," ")))</f>
        <v/>
      </c>
      <c r="S61">
        <f>IF(OR($B61="",NOT(ISNUMBER(Settings!$C$9))),"",TRIM(SUBSTITUTE(SUBSTITUTE(INDEX('INPUT - Roster'!$S$1:$SV$206,$B61,Settings!$C$9+13)&amp;"",CHAR(10)," "),CHAR(160)," ")))</f>
        <v/>
      </c>
      <c r="T61">
        <f>IF(OR($B61="",NOT(ISNUMBER(Settings!$C$9))),"",TRIM(SUBSTITUTE(SUBSTITUTE(INDEX('INPUT - Roster'!$S$1:$SV$206,$B61,Settings!$C$9+14)&amp;"",CHAR(10)," "),CHAR(160)," ")))</f>
        <v/>
      </c>
      <c r="U61">
        <f>IF(OR($B61="",NOT(ISNUMBER(Settings!$C$9))),"",TRIM(SUBSTITUTE(SUBSTITUTE(INDEX('INPUT - Roster'!$S$1:$SV$206,$B61,Settings!$C$9+15)&amp;"",CHAR(10)," "),CHAR(160)," ")))</f>
        <v/>
      </c>
      <c r="V61">
        <f>IF(OR($B61="",NOT(ISNUMBER(Settings!$C$9))),"",TRIM(SUBSTITUTE(SUBSTITUTE(INDEX('INPUT - Roster'!$S$1:$SV$206,$B61,Settings!$C$9+16)&amp;"",CHAR(10)," "),CHAR(160)," ")))</f>
        <v/>
      </c>
      <c r="W61">
        <f>IF(OR($B61="",NOT(ISNUMBER(Settings!$C$9))),"",TRIM(SUBSTITUTE(SUBSTITUTE(INDEX('INPUT - Roster'!$S$1:$SV$206,$B61,Settings!$C$9+17)&amp;"",CHAR(10)," "),CHAR(160)," ")))</f>
        <v/>
      </c>
      <c r="X61">
        <f>IF(OR($B61="",NOT(ISNUMBER(Settings!$C$9))),"",TRIM(SUBSTITUTE(SUBSTITUTE(INDEX('INPUT - Roster'!$S$1:$SV$206,$B61,Settings!$C$9+18)&amp;"",CHAR(10)," "),CHAR(160)," ")))</f>
        <v/>
      </c>
      <c r="Y61">
        <f>IF(OR($B61="",NOT(ISNUMBER(Settings!$C$9))),"",TRIM(SUBSTITUTE(SUBSTITUTE(INDEX('INPUT - Roster'!$S$1:$SV$206,$B61,Settings!$C$9+19)&amp;"",CHAR(10)," "),CHAR(160)," ")))</f>
        <v/>
      </c>
      <c r="Z61">
        <f>IF(OR($B61="",NOT(ISNUMBER(Settings!$C$9))),"",TRIM(SUBSTITUTE(SUBSTITUTE(INDEX('INPUT - Roster'!$S$1:$SV$206,$B61,Settings!$C$9+20)&amp;"",CHAR(10)," "),CHAR(160)," ")))</f>
        <v/>
      </c>
      <c r="AA61">
        <f>IF(OR($B61="",NOT(ISNUMBER(Settings!$C$9))),"",TRIM(SUBSTITUTE(SUBSTITUTE(INDEX('INPUT - Roster'!$S$1:$SV$206,$B61,Settings!$C$9+21)&amp;"",CHAR(10)," "),CHAR(160)," ")))</f>
        <v/>
      </c>
      <c r="AB61">
        <f>IF(OR($B61="",NOT(ISNUMBER(Settings!$C$9))),"",TRIM(SUBSTITUTE(SUBSTITUTE(INDEX('INPUT - Roster'!$S$1:$SV$206,$B61,Settings!$C$9+22)&amp;"",CHAR(10)," "),CHAR(160)," ")))</f>
        <v/>
      </c>
      <c r="AC61">
        <f>IF(OR($B61="",NOT(ISNUMBER(Settings!$C$9))),"",TRIM(SUBSTITUTE(SUBSTITUTE(INDEX('INPUT - Roster'!$S$1:$SV$206,$B61,Settings!$C$9+23)&amp;"",CHAR(10)," "),CHAR(160)," ")))</f>
        <v/>
      </c>
      <c r="AD61">
        <f>IF(OR($B61="",NOT(ISNUMBER(Settings!$C$9))),"",TRIM(SUBSTITUTE(SUBSTITUTE(INDEX('INPUT - Roster'!$S$1:$SV$206,$B61,Settings!$C$9+24)&amp;"",CHAR(10)," "),CHAR(160)," ")))</f>
        <v/>
      </c>
      <c r="AE61">
        <f>IF(OR($B61="",NOT(ISNUMBER(Settings!$C$9))),"",TRIM(SUBSTITUTE(SUBSTITUTE(INDEX('INPUT - Roster'!$S$1:$SV$206,$B61,Settings!$C$9+25)&amp;"",CHAR(10)," "),CHAR(160)," ")))</f>
        <v/>
      </c>
      <c r="AF61">
        <f>IF(OR($B61="",NOT(ISNUMBER(Settings!$C$9))),"",TRIM(SUBSTITUTE(SUBSTITUTE(INDEX('INPUT - Roster'!$S$1:$SV$206,$B61,Settings!$C$9+26)&amp;"",CHAR(10)," "),CHAR(160)," ")))</f>
        <v/>
      </c>
      <c r="AG61">
        <f>IF(OR($B61="",NOT(ISNUMBER(Settings!$C$9))),"",TRIM(SUBSTITUTE(SUBSTITUTE(INDEX('INPUT - Roster'!$S$1:$SV$206,$B61,Settings!$C$9+27)&amp;"",CHAR(10)," "),CHAR(160)," ")))</f>
        <v/>
      </c>
      <c r="AI61">
        <f>IF($B61="","",IF(F61="","Not rostered",IFERROR(INDEX(Settings!$C$14:$C$33,MATCH(F61,Settings!$B$14:$B$33,0)),IFERROR(LOOKUP(2^15,SEARCH(Settings!$I$14:$I$83,F61)/(Settings!$I$14:$I$83&lt;&gt;""),Settings!$J$14:$J$83),"Other"))))</f>
        <v/>
      </c>
      <c r="AJ61">
        <f>IF($B61="","",IF(G61="","Not rostered",IFERROR(INDEX(Settings!$C$14:$C$33,MATCH(G61,Settings!$B$14:$B$33,0)),IFERROR(LOOKUP(2^15,SEARCH(Settings!$I$14:$I$83,G61)/(Settings!$I$14:$I$83&lt;&gt;""),Settings!$J$14:$J$83),"Other"))))</f>
        <v/>
      </c>
      <c r="AK61">
        <f>IF($B61="","",IF(H61="","Not rostered",IFERROR(INDEX(Settings!$C$14:$C$33,MATCH(H61,Settings!$B$14:$B$33,0)),IFERROR(LOOKUP(2^15,SEARCH(Settings!$I$14:$I$83,H61)/(Settings!$I$14:$I$83&lt;&gt;""),Settings!$J$14:$J$83),"Other"))))</f>
        <v/>
      </c>
      <c r="AL61">
        <f>IF($B61="","",IF(I61="","Not rostered",IFERROR(INDEX(Settings!$C$14:$C$33,MATCH(I61,Settings!$B$14:$B$33,0)),IFERROR(LOOKUP(2^15,SEARCH(Settings!$I$14:$I$83,I61)/(Settings!$I$14:$I$83&lt;&gt;""),Settings!$J$14:$J$83),"Other"))))</f>
        <v/>
      </c>
      <c r="AM61">
        <f>IF($B61="","",IF(J61="","Not rostered",IFERROR(INDEX(Settings!$C$14:$C$33,MATCH(J61,Settings!$B$14:$B$33,0)),IFERROR(LOOKUP(2^15,SEARCH(Settings!$I$14:$I$83,J61)/(Settings!$I$14:$I$83&lt;&gt;""),Settings!$J$14:$J$83),"Other"))))</f>
        <v/>
      </c>
      <c r="AN61">
        <f>IF($B61="","",IF(K61="","Not rostered",IFERROR(INDEX(Settings!$C$14:$C$33,MATCH(K61,Settings!$B$14:$B$33,0)),IFERROR(LOOKUP(2^15,SEARCH(Settings!$I$14:$I$83,K61)/(Settings!$I$14:$I$83&lt;&gt;""),Settings!$J$14:$J$83),"Other"))))</f>
        <v/>
      </c>
      <c r="AO61">
        <f>IF($B61="","",IF(L61="","Not rostered",IFERROR(INDEX(Settings!$C$14:$C$33,MATCH(L61,Settings!$B$14:$B$33,0)),IFERROR(LOOKUP(2^15,SEARCH(Settings!$I$14:$I$83,L61)/(Settings!$I$14:$I$83&lt;&gt;""),Settings!$J$14:$J$83),"Other"))))</f>
        <v/>
      </c>
      <c r="AP61">
        <f>IF($B61="","",IF(M61="","Not rostered",IFERROR(INDEX(Settings!$C$14:$C$33,MATCH(M61,Settings!$B$14:$B$33,0)),IFERROR(LOOKUP(2^15,SEARCH(Settings!$I$14:$I$83,M61)/(Settings!$I$14:$I$83&lt;&gt;""),Settings!$J$14:$J$83),"Other"))))</f>
        <v/>
      </c>
      <c r="AQ61">
        <f>IF($B61="","",IF(N61="","Not rostered",IFERROR(INDEX(Settings!$C$14:$C$33,MATCH(N61,Settings!$B$14:$B$33,0)),IFERROR(LOOKUP(2^15,SEARCH(Settings!$I$14:$I$83,N61)/(Settings!$I$14:$I$83&lt;&gt;""),Settings!$J$14:$J$83),"Other"))))</f>
        <v/>
      </c>
      <c r="AR61">
        <f>IF($B61="","",IF(O61="","Not rostered",IFERROR(INDEX(Settings!$C$14:$C$33,MATCH(O61,Settings!$B$14:$B$33,0)),IFERROR(LOOKUP(2^15,SEARCH(Settings!$I$14:$I$83,O61)/(Settings!$I$14:$I$83&lt;&gt;""),Settings!$J$14:$J$83),"Other"))))</f>
        <v/>
      </c>
      <c r="AS61">
        <f>IF($B61="","",IF(P61="","Not rostered",IFERROR(INDEX(Settings!$C$14:$C$33,MATCH(P61,Settings!$B$14:$B$33,0)),IFERROR(LOOKUP(2^15,SEARCH(Settings!$I$14:$I$83,P61)/(Settings!$I$14:$I$83&lt;&gt;""),Settings!$J$14:$J$83),"Other"))))</f>
        <v/>
      </c>
      <c r="AT61">
        <f>IF($B61="","",IF(Q61="","Not rostered",IFERROR(INDEX(Settings!$C$14:$C$33,MATCH(Q61,Settings!$B$14:$B$33,0)),IFERROR(LOOKUP(2^15,SEARCH(Settings!$I$14:$I$83,Q61)/(Settings!$I$14:$I$83&lt;&gt;""),Settings!$J$14:$J$83),"Other"))))</f>
        <v/>
      </c>
      <c r="AU61">
        <f>IF($B61="","",IF(R61="","Not rostered",IFERROR(INDEX(Settings!$C$14:$C$33,MATCH(R61,Settings!$B$14:$B$33,0)),IFERROR(LOOKUP(2^15,SEARCH(Settings!$I$14:$I$83,R61)/(Settings!$I$14:$I$83&lt;&gt;""),Settings!$J$14:$J$83),"Other"))))</f>
        <v/>
      </c>
      <c r="AV61">
        <f>IF($B61="","",IF(S61="","Not rostered",IFERROR(INDEX(Settings!$C$14:$C$33,MATCH(S61,Settings!$B$14:$B$33,0)),IFERROR(LOOKUP(2^15,SEARCH(Settings!$I$14:$I$83,S61)/(Settings!$I$14:$I$83&lt;&gt;""),Settings!$J$14:$J$83),"Other"))))</f>
        <v/>
      </c>
      <c r="AW61">
        <f>IF($B61="","",IF(T61="","Not rostered",IFERROR(INDEX(Settings!$C$14:$C$33,MATCH(T61,Settings!$B$14:$B$33,0)),IFERROR(LOOKUP(2^15,SEARCH(Settings!$I$14:$I$83,T61)/(Settings!$I$14:$I$83&lt;&gt;""),Settings!$J$14:$J$83),"Other"))))</f>
        <v/>
      </c>
      <c r="AX61">
        <f>IF($B61="","",IF(U61="","Not rostered",IFERROR(INDEX(Settings!$C$14:$C$33,MATCH(U61,Settings!$B$14:$B$33,0)),IFERROR(LOOKUP(2^15,SEARCH(Settings!$I$14:$I$83,U61)/(Settings!$I$14:$I$83&lt;&gt;""),Settings!$J$14:$J$83),"Other"))))</f>
        <v/>
      </c>
      <c r="AY61">
        <f>IF($B61="","",IF(V61="","Not rostered",IFERROR(INDEX(Settings!$C$14:$C$33,MATCH(V61,Settings!$B$14:$B$33,0)),IFERROR(LOOKUP(2^15,SEARCH(Settings!$I$14:$I$83,V61)/(Settings!$I$14:$I$83&lt;&gt;""),Settings!$J$14:$J$83),"Other"))))</f>
        <v/>
      </c>
      <c r="AZ61">
        <f>IF($B61="","",IF(W61="","Not rostered",IFERROR(INDEX(Settings!$C$14:$C$33,MATCH(W61,Settings!$B$14:$B$33,0)),IFERROR(LOOKUP(2^15,SEARCH(Settings!$I$14:$I$83,W61)/(Settings!$I$14:$I$83&lt;&gt;""),Settings!$J$14:$J$83),"Other"))))</f>
        <v/>
      </c>
      <c r="BA61">
        <f>IF($B61="","",IF(X61="","Not rostered",IFERROR(INDEX(Settings!$C$14:$C$33,MATCH(X61,Settings!$B$14:$B$33,0)),IFERROR(LOOKUP(2^15,SEARCH(Settings!$I$14:$I$83,X61)/(Settings!$I$14:$I$83&lt;&gt;""),Settings!$J$14:$J$83),"Other"))))</f>
        <v/>
      </c>
      <c r="BB61">
        <f>IF($B61="","",IF(Y61="","Not rostered",IFERROR(INDEX(Settings!$C$14:$C$33,MATCH(Y61,Settings!$B$14:$B$33,0)),IFERROR(LOOKUP(2^15,SEARCH(Settings!$I$14:$I$83,Y61)/(Settings!$I$14:$I$83&lt;&gt;""),Settings!$J$14:$J$83),"Other"))))</f>
        <v/>
      </c>
      <c r="BC61">
        <f>IF($B61="","",IF(Z61="","Not rostered",IFERROR(INDEX(Settings!$C$14:$C$33,MATCH(Z61,Settings!$B$14:$B$33,0)),IFERROR(LOOKUP(2^15,SEARCH(Settings!$I$14:$I$83,Z61)/(Settings!$I$14:$I$83&lt;&gt;""),Settings!$J$14:$J$83),"Other"))))</f>
        <v/>
      </c>
      <c r="BD61">
        <f>IF($B61="","",IF(AA61="","Not rostered",IFERROR(INDEX(Settings!$C$14:$C$33,MATCH(AA61,Settings!$B$14:$B$33,0)),IFERROR(LOOKUP(2^15,SEARCH(Settings!$I$14:$I$83,AA61)/(Settings!$I$14:$I$83&lt;&gt;""),Settings!$J$14:$J$83),"Other"))))</f>
        <v/>
      </c>
      <c r="BE61">
        <f>IF($B61="","",IF(AB61="","Not rostered",IFERROR(INDEX(Settings!$C$14:$C$33,MATCH(AB61,Settings!$B$14:$B$33,0)),IFERROR(LOOKUP(2^15,SEARCH(Settings!$I$14:$I$83,AB61)/(Settings!$I$14:$I$83&lt;&gt;""),Settings!$J$14:$J$83),"Other"))))</f>
        <v/>
      </c>
      <c r="BF61">
        <f>IF($B61="","",IF(AC61="","Not rostered",IFERROR(INDEX(Settings!$C$14:$C$33,MATCH(AC61,Settings!$B$14:$B$33,0)),IFERROR(LOOKUP(2^15,SEARCH(Settings!$I$14:$I$83,AC61)/(Settings!$I$14:$I$83&lt;&gt;""),Settings!$J$14:$J$83),"Other"))))</f>
        <v/>
      </c>
      <c r="BG61">
        <f>IF($B61="","",IF(AD61="","Not rostered",IFERROR(INDEX(Settings!$C$14:$C$33,MATCH(AD61,Settings!$B$14:$B$33,0)),IFERROR(LOOKUP(2^15,SEARCH(Settings!$I$14:$I$83,AD61)/(Settings!$I$14:$I$83&lt;&gt;""),Settings!$J$14:$J$83),"Other"))))</f>
        <v/>
      </c>
      <c r="BH61">
        <f>IF($B61="","",IF(AE61="","Not rostered",IFERROR(INDEX(Settings!$C$14:$C$33,MATCH(AE61,Settings!$B$14:$B$33,0)),IFERROR(LOOKUP(2^15,SEARCH(Settings!$I$14:$I$83,AE61)/(Settings!$I$14:$I$83&lt;&gt;""),Settings!$J$14:$J$83),"Other"))))</f>
        <v/>
      </c>
      <c r="BI61">
        <f>IF($B61="","",IF(AF61="","Not rostered",IFERROR(INDEX(Settings!$C$14:$C$33,MATCH(AF61,Settings!$B$14:$B$33,0)),IFERROR(LOOKUP(2^15,SEARCH(Settings!$I$14:$I$83,AF61)/(Settings!$I$14:$I$83&lt;&gt;""),Settings!$J$14:$J$83),"Other"))))</f>
        <v/>
      </c>
      <c r="BJ61">
        <f>IF($B61="","",IF(AG61="","Not rostered",IFERROR(INDEX(Settings!$C$14:$C$33,MATCH(AG61,Settings!$B$14:$B$33,0)),IFERROR(LOOKUP(2^15,SEARCH(Settings!$I$14:$I$83,AG61)/(Settings!$I$14:$I$83&lt;&gt;""),Settings!$J$14:$J$83),"Other"))))</f>
        <v/>
      </c>
      <c r="BL61">
        <f>IF(OR($B61="",F61=""),"",IFERROR(INDEX(Settings!$D$14:$D$33,MATCH(F61,Settings!$B$14:$B$33,0))&amp;"",IFERROR(LOOKUP(2^15,SEARCH(Settings!$F$14:$F$43,F61)/(Settings!$F$14:$F$43&lt;&gt;""),Settings!$G$14:$G$43),"")))</f>
        <v/>
      </c>
      <c r="BM61">
        <f>IF(OR($B61="",G61=""),"",IFERROR(INDEX(Settings!$D$14:$D$33,MATCH(G61,Settings!$B$14:$B$33,0))&amp;"",IFERROR(LOOKUP(2^15,SEARCH(Settings!$F$14:$F$43,G61)/(Settings!$F$14:$F$43&lt;&gt;""),Settings!$G$14:$G$43),"")))</f>
        <v/>
      </c>
      <c r="BN61">
        <f>IF(OR($B61="",H61=""),"",IFERROR(INDEX(Settings!$D$14:$D$33,MATCH(H61,Settings!$B$14:$B$33,0))&amp;"",IFERROR(LOOKUP(2^15,SEARCH(Settings!$F$14:$F$43,H61)/(Settings!$F$14:$F$43&lt;&gt;""),Settings!$G$14:$G$43),"")))</f>
        <v/>
      </c>
      <c r="BO61">
        <f>IF(OR($B61="",I61=""),"",IFERROR(INDEX(Settings!$D$14:$D$33,MATCH(I61,Settings!$B$14:$B$33,0))&amp;"",IFERROR(LOOKUP(2^15,SEARCH(Settings!$F$14:$F$43,I61)/(Settings!$F$14:$F$43&lt;&gt;""),Settings!$G$14:$G$43),"")))</f>
        <v/>
      </c>
      <c r="BP61">
        <f>IF(OR($B61="",J61=""),"",IFERROR(INDEX(Settings!$D$14:$D$33,MATCH(J61,Settings!$B$14:$B$33,0))&amp;"",IFERROR(LOOKUP(2^15,SEARCH(Settings!$F$14:$F$43,J61)/(Settings!$F$14:$F$43&lt;&gt;""),Settings!$G$14:$G$43),"")))</f>
        <v/>
      </c>
      <c r="BQ61">
        <f>IF(OR($B61="",K61=""),"",IFERROR(INDEX(Settings!$D$14:$D$33,MATCH(K61,Settings!$B$14:$B$33,0))&amp;"",IFERROR(LOOKUP(2^15,SEARCH(Settings!$F$14:$F$43,K61)/(Settings!$F$14:$F$43&lt;&gt;""),Settings!$G$14:$G$43),"")))</f>
        <v/>
      </c>
      <c r="BR61">
        <f>IF(OR($B61="",L61=""),"",IFERROR(INDEX(Settings!$D$14:$D$33,MATCH(L61,Settings!$B$14:$B$33,0))&amp;"",IFERROR(LOOKUP(2^15,SEARCH(Settings!$F$14:$F$43,L61)/(Settings!$F$14:$F$43&lt;&gt;""),Settings!$G$14:$G$43),"")))</f>
        <v/>
      </c>
      <c r="BS61">
        <f>IF(OR($B61="",M61=""),"",IFERROR(INDEX(Settings!$D$14:$D$33,MATCH(M61,Settings!$B$14:$B$33,0))&amp;"",IFERROR(LOOKUP(2^15,SEARCH(Settings!$F$14:$F$43,M61)/(Settings!$F$14:$F$43&lt;&gt;""),Settings!$G$14:$G$43),"")))</f>
        <v/>
      </c>
      <c r="BT61">
        <f>IF(OR($B61="",N61=""),"",IFERROR(INDEX(Settings!$D$14:$D$33,MATCH(N61,Settings!$B$14:$B$33,0))&amp;"",IFERROR(LOOKUP(2^15,SEARCH(Settings!$F$14:$F$43,N61)/(Settings!$F$14:$F$43&lt;&gt;""),Settings!$G$14:$G$43),"")))</f>
        <v/>
      </c>
      <c r="BU61">
        <f>IF(OR($B61="",O61=""),"",IFERROR(INDEX(Settings!$D$14:$D$33,MATCH(O61,Settings!$B$14:$B$33,0))&amp;"",IFERROR(LOOKUP(2^15,SEARCH(Settings!$F$14:$F$43,O61)/(Settings!$F$14:$F$43&lt;&gt;""),Settings!$G$14:$G$43),"")))</f>
        <v/>
      </c>
      <c r="BV61">
        <f>IF(OR($B61="",P61=""),"",IFERROR(INDEX(Settings!$D$14:$D$33,MATCH(P61,Settings!$B$14:$B$33,0))&amp;"",IFERROR(LOOKUP(2^15,SEARCH(Settings!$F$14:$F$43,P61)/(Settings!$F$14:$F$43&lt;&gt;""),Settings!$G$14:$G$43),"")))</f>
        <v/>
      </c>
      <c r="BW61">
        <f>IF(OR($B61="",Q61=""),"",IFERROR(INDEX(Settings!$D$14:$D$33,MATCH(Q61,Settings!$B$14:$B$33,0))&amp;"",IFERROR(LOOKUP(2^15,SEARCH(Settings!$F$14:$F$43,Q61)/(Settings!$F$14:$F$43&lt;&gt;""),Settings!$G$14:$G$43),"")))</f>
        <v/>
      </c>
      <c r="BX61">
        <f>IF(OR($B61="",R61=""),"",IFERROR(INDEX(Settings!$D$14:$D$33,MATCH(R61,Settings!$B$14:$B$33,0))&amp;"",IFERROR(LOOKUP(2^15,SEARCH(Settings!$F$14:$F$43,R61)/(Settings!$F$14:$F$43&lt;&gt;""),Settings!$G$14:$G$43),"")))</f>
        <v/>
      </c>
      <c r="BY61">
        <f>IF(OR($B61="",S61=""),"",IFERROR(INDEX(Settings!$D$14:$D$33,MATCH(S61,Settings!$B$14:$B$33,0))&amp;"",IFERROR(LOOKUP(2^15,SEARCH(Settings!$F$14:$F$43,S61)/(Settings!$F$14:$F$43&lt;&gt;""),Settings!$G$14:$G$43),"")))</f>
        <v/>
      </c>
      <c r="BZ61">
        <f>IF(OR($B61="",T61=""),"",IFERROR(INDEX(Settings!$D$14:$D$33,MATCH(T61,Settings!$B$14:$B$33,0))&amp;"",IFERROR(LOOKUP(2^15,SEARCH(Settings!$F$14:$F$43,T61)/(Settings!$F$14:$F$43&lt;&gt;""),Settings!$G$14:$G$43),"")))</f>
        <v/>
      </c>
      <c r="CA61">
        <f>IF(OR($B61="",U61=""),"",IFERROR(INDEX(Settings!$D$14:$D$33,MATCH(U61,Settings!$B$14:$B$33,0))&amp;"",IFERROR(LOOKUP(2^15,SEARCH(Settings!$F$14:$F$43,U61)/(Settings!$F$14:$F$43&lt;&gt;""),Settings!$G$14:$G$43),"")))</f>
        <v/>
      </c>
      <c r="CB61">
        <f>IF(OR($B61="",V61=""),"",IFERROR(INDEX(Settings!$D$14:$D$33,MATCH(V61,Settings!$B$14:$B$33,0))&amp;"",IFERROR(LOOKUP(2^15,SEARCH(Settings!$F$14:$F$43,V61)/(Settings!$F$14:$F$43&lt;&gt;""),Settings!$G$14:$G$43),"")))</f>
        <v/>
      </c>
      <c r="CC61">
        <f>IF(OR($B61="",W61=""),"",IFERROR(INDEX(Settings!$D$14:$D$33,MATCH(W61,Settings!$B$14:$B$33,0))&amp;"",IFERROR(LOOKUP(2^15,SEARCH(Settings!$F$14:$F$43,W61)/(Settings!$F$14:$F$43&lt;&gt;""),Settings!$G$14:$G$43),"")))</f>
        <v/>
      </c>
      <c r="CD61">
        <f>IF(OR($B61="",X61=""),"",IFERROR(INDEX(Settings!$D$14:$D$33,MATCH(X61,Settings!$B$14:$B$33,0))&amp;"",IFERROR(LOOKUP(2^15,SEARCH(Settings!$F$14:$F$43,X61)/(Settings!$F$14:$F$43&lt;&gt;""),Settings!$G$14:$G$43),"")))</f>
        <v/>
      </c>
      <c r="CE61">
        <f>IF(OR($B61="",Y61=""),"",IFERROR(INDEX(Settings!$D$14:$D$33,MATCH(Y61,Settings!$B$14:$B$33,0))&amp;"",IFERROR(LOOKUP(2^15,SEARCH(Settings!$F$14:$F$43,Y61)/(Settings!$F$14:$F$43&lt;&gt;""),Settings!$G$14:$G$43),"")))</f>
        <v/>
      </c>
      <c r="CF61">
        <f>IF(OR($B61="",Z61=""),"",IFERROR(INDEX(Settings!$D$14:$D$33,MATCH(Z61,Settings!$B$14:$B$33,0))&amp;"",IFERROR(LOOKUP(2^15,SEARCH(Settings!$F$14:$F$43,Z61)/(Settings!$F$14:$F$43&lt;&gt;""),Settings!$G$14:$G$43),"")))</f>
        <v/>
      </c>
      <c r="CG61">
        <f>IF(OR($B61="",AA61=""),"",IFERROR(INDEX(Settings!$D$14:$D$33,MATCH(AA61,Settings!$B$14:$B$33,0))&amp;"",IFERROR(LOOKUP(2^15,SEARCH(Settings!$F$14:$F$43,AA61)/(Settings!$F$14:$F$43&lt;&gt;""),Settings!$G$14:$G$43),"")))</f>
        <v/>
      </c>
      <c r="CH61">
        <f>IF(OR($B61="",AB61=""),"",IFERROR(INDEX(Settings!$D$14:$D$33,MATCH(AB61,Settings!$B$14:$B$33,0))&amp;"",IFERROR(LOOKUP(2^15,SEARCH(Settings!$F$14:$F$43,AB61)/(Settings!$F$14:$F$43&lt;&gt;""),Settings!$G$14:$G$43),"")))</f>
        <v/>
      </c>
      <c r="CI61">
        <f>IF(OR($B61="",AC61=""),"",IFERROR(INDEX(Settings!$D$14:$D$33,MATCH(AC61,Settings!$B$14:$B$33,0))&amp;"",IFERROR(LOOKUP(2^15,SEARCH(Settings!$F$14:$F$43,AC61)/(Settings!$F$14:$F$43&lt;&gt;""),Settings!$G$14:$G$43),"")))</f>
        <v/>
      </c>
      <c r="CJ61">
        <f>IF(OR($B61="",AD61=""),"",IFERROR(INDEX(Settings!$D$14:$D$33,MATCH(AD61,Settings!$B$14:$B$33,0))&amp;"",IFERROR(LOOKUP(2^15,SEARCH(Settings!$F$14:$F$43,AD61)/(Settings!$F$14:$F$43&lt;&gt;""),Settings!$G$14:$G$43),"")))</f>
        <v/>
      </c>
      <c r="CK61">
        <f>IF(OR($B61="",AE61=""),"",IFERROR(INDEX(Settings!$D$14:$D$33,MATCH(AE61,Settings!$B$14:$B$33,0))&amp;"",IFERROR(LOOKUP(2^15,SEARCH(Settings!$F$14:$F$43,AE61)/(Settings!$F$14:$F$43&lt;&gt;""),Settings!$G$14:$G$43),"")))</f>
        <v/>
      </c>
      <c r="CL61">
        <f>IF(OR($B61="",AF61=""),"",IFERROR(INDEX(Settings!$D$14:$D$33,MATCH(AF61,Settings!$B$14:$B$33,0))&amp;"",IFERROR(LOOKUP(2^15,SEARCH(Settings!$F$14:$F$43,AF61)/(Settings!$F$14:$F$43&lt;&gt;""),Settings!$G$14:$G$43),"")))</f>
        <v/>
      </c>
      <c r="CM61">
        <f>IF(OR($B61="",AG61=""),"",IFERROR(INDEX(Settings!$D$14:$D$33,MATCH(AG61,Settings!$B$14:$B$33,0))&amp;"",IFERROR(LOOKUP(2^15,SEARCH(Settings!$F$14:$F$43,AG61)/(Settings!$F$14:$F$43&lt;&gt;""),Settings!$G$14:$G$43),"")))</f>
        <v/>
      </c>
    </row>
    <row r="62">
      <c r="A62" t="n">
        <v>60</v>
      </c>
      <c r="B62">
        <f>IFERROR(INDEX(Index!$A$2:$A$202,MATCH(A62,Index!$E$2:$E$202,0)),"")</f>
        <v/>
      </c>
      <c r="D62">
        <f>IF($B62="","",IFERROR(MATCH("Travel*",AI62:BJ62,0),""))</f>
        <v/>
      </c>
      <c r="F62">
        <f>IF(OR($B62="",NOT(ISNUMBER(Settings!$C$9))),"",TRIM(SUBSTITUTE(SUBSTITUTE(INDEX('INPUT - Roster'!$S$1:$SV$206,$B62,Settings!$C$9+0)&amp;"",CHAR(10)," "),CHAR(160)," ")))</f>
        <v/>
      </c>
      <c r="G62">
        <f>IF(OR($B62="",NOT(ISNUMBER(Settings!$C$9))),"",TRIM(SUBSTITUTE(SUBSTITUTE(INDEX('INPUT - Roster'!$S$1:$SV$206,$B62,Settings!$C$9+1)&amp;"",CHAR(10)," "),CHAR(160)," ")))</f>
        <v/>
      </c>
      <c r="H62">
        <f>IF(OR($B62="",NOT(ISNUMBER(Settings!$C$9))),"",TRIM(SUBSTITUTE(SUBSTITUTE(INDEX('INPUT - Roster'!$S$1:$SV$206,$B62,Settings!$C$9+2)&amp;"",CHAR(10)," "),CHAR(160)," ")))</f>
        <v/>
      </c>
      <c r="I62">
        <f>IF(OR($B62="",NOT(ISNUMBER(Settings!$C$9))),"",TRIM(SUBSTITUTE(SUBSTITUTE(INDEX('INPUT - Roster'!$S$1:$SV$206,$B62,Settings!$C$9+3)&amp;"",CHAR(10)," "),CHAR(160)," ")))</f>
        <v/>
      </c>
      <c r="J62">
        <f>IF(OR($B62="",NOT(ISNUMBER(Settings!$C$9))),"",TRIM(SUBSTITUTE(SUBSTITUTE(INDEX('INPUT - Roster'!$S$1:$SV$206,$B62,Settings!$C$9+4)&amp;"",CHAR(10)," "),CHAR(160)," ")))</f>
        <v/>
      </c>
      <c r="K62">
        <f>IF(OR($B62="",NOT(ISNUMBER(Settings!$C$9))),"",TRIM(SUBSTITUTE(SUBSTITUTE(INDEX('INPUT - Roster'!$S$1:$SV$206,$B62,Settings!$C$9+5)&amp;"",CHAR(10)," "),CHAR(160)," ")))</f>
        <v/>
      </c>
      <c r="L62">
        <f>IF(OR($B62="",NOT(ISNUMBER(Settings!$C$9))),"",TRIM(SUBSTITUTE(SUBSTITUTE(INDEX('INPUT - Roster'!$S$1:$SV$206,$B62,Settings!$C$9+6)&amp;"",CHAR(10)," "),CHAR(160)," ")))</f>
        <v/>
      </c>
      <c r="M62">
        <f>IF(OR($B62="",NOT(ISNUMBER(Settings!$C$9))),"",TRIM(SUBSTITUTE(SUBSTITUTE(INDEX('INPUT - Roster'!$S$1:$SV$206,$B62,Settings!$C$9+7)&amp;"",CHAR(10)," "),CHAR(160)," ")))</f>
        <v/>
      </c>
      <c r="N62">
        <f>IF(OR($B62="",NOT(ISNUMBER(Settings!$C$9))),"",TRIM(SUBSTITUTE(SUBSTITUTE(INDEX('INPUT - Roster'!$S$1:$SV$206,$B62,Settings!$C$9+8)&amp;"",CHAR(10)," "),CHAR(160)," ")))</f>
        <v/>
      </c>
      <c r="O62">
        <f>IF(OR($B62="",NOT(ISNUMBER(Settings!$C$9))),"",TRIM(SUBSTITUTE(SUBSTITUTE(INDEX('INPUT - Roster'!$S$1:$SV$206,$B62,Settings!$C$9+9)&amp;"",CHAR(10)," "),CHAR(160)," ")))</f>
        <v/>
      </c>
      <c r="P62">
        <f>IF(OR($B62="",NOT(ISNUMBER(Settings!$C$9))),"",TRIM(SUBSTITUTE(SUBSTITUTE(INDEX('INPUT - Roster'!$S$1:$SV$206,$B62,Settings!$C$9+10)&amp;"",CHAR(10)," "),CHAR(160)," ")))</f>
        <v/>
      </c>
      <c r="Q62">
        <f>IF(OR($B62="",NOT(ISNUMBER(Settings!$C$9))),"",TRIM(SUBSTITUTE(SUBSTITUTE(INDEX('INPUT - Roster'!$S$1:$SV$206,$B62,Settings!$C$9+11)&amp;"",CHAR(10)," "),CHAR(160)," ")))</f>
        <v/>
      </c>
      <c r="R62">
        <f>IF(OR($B62="",NOT(ISNUMBER(Settings!$C$9))),"",TRIM(SUBSTITUTE(SUBSTITUTE(INDEX('INPUT - Roster'!$S$1:$SV$206,$B62,Settings!$C$9+12)&amp;"",CHAR(10)," "),CHAR(160)," ")))</f>
        <v/>
      </c>
      <c r="S62">
        <f>IF(OR($B62="",NOT(ISNUMBER(Settings!$C$9))),"",TRIM(SUBSTITUTE(SUBSTITUTE(INDEX('INPUT - Roster'!$S$1:$SV$206,$B62,Settings!$C$9+13)&amp;"",CHAR(10)," "),CHAR(160)," ")))</f>
        <v/>
      </c>
      <c r="T62">
        <f>IF(OR($B62="",NOT(ISNUMBER(Settings!$C$9))),"",TRIM(SUBSTITUTE(SUBSTITUTE(INDEX('INPUT - Roster'!$S$1:$SV$206,$B62,Settings!$C$9+14)&amp;"",CHAR(10)," "),CHAR(160)," ")))</f>
        <v/>
      </c>
      <c r="U62">
        <f>IF(OR($B62="",NOT(ISNUMBER(Settings!$C$9))),"",TRIM(SUBSTITUTE(SUBSTITUTE(INDEX('INPUT - Roster'!$S$1:$SV$206,$B62,Settings!$C$9+15)&amp;"",CHAR(10)," "),CHAR(160)," ")))</f>
        <v/>
      </c>
      <c r="V62">
        <f>IF(OR($B62="",NOT(ISNUMBER(Settings!$C$9))),"",TRIM(SUBSTITUTE(SUBSTITUTE(INDEX('INPUT - Roster'!$S$1:$SV$206,$B62,Settings!$C$9+16)&amp;"",CHAR(10)," "),CHAR(160)," ")))</f>
        <v/>
      </c>
      <c r="W62">
        <f>IF(OR($B62="",NOT(ISNUMBER(Settings!$C$9))),"",TRIM(SUBSTITUTE(SUBSTITUTE(INDEX('INPUT - Roster'!$S$1:$SV$206,$B62,Settings!$C$9+17)&amp;"",CHAR(10)," "),CHAR(160)," ")))</f>
        <v/>
      </c>
      <c r="X62">
        <f>IF(OR($B62="",NOT(ISNUMBER(Settings!$C$9))),"",TRIM(SUBSTITUTE(SUBSTITUTE(INDEX('INPUT - Roster'!$S$1:$SV$206,$B62,Settings!$C$9+18)&amp;"",CHAR(10)," "),CHAR(160)," ")))</f>
        <v/>
      </c>
      <c r="Y62">
        <f>IF(OR($B62="",NOT(ISNUMBER(Settings!$C$9))),"",TRIM(SUBSTITUTE(SUBSTITUTE(INDEX('INPUT - Roster'!$S$1:$SV$206,$B62,Settings!$C$9+19)&amp;"",CHAR(10)," "),CHAR(160)," ")))</f>
        <v/>
      </c>
      <c r="Z62">
        <f>IF(OR($B62="",NOT(ISNUMBER(Settings!$C$9))),"",TRIM(SUBSTITUTE(SUBSTITUTE(INDEX('INPUT - Roster'!$S$1:$SV$206,$B62,Settings!$C$9+20)&amp;"",CHAR(10)," "),CHAR(160)," ")))</f>
        <v/>
      </c>
      <c r="AA62">
        <f>IF(OR($B62="",NOT(ISNUMBER(Settings!$C$9))),"",TRIM(SUBSTITUTE(SUBSTITUTE(INDEX('INPUT - Roster'!$S$1:$SV$206,$B62,Settings!$C$9+21)&amp;"",CHAR(10)," "),CHAR(160)," ")))</f>
        <v/>
      </c>
      <c r="AB62">
        <f>IF(OR($B62="",NOT(ISNUMBER(Settings!$C$9))),"",TRIM(SUBSTITUTE(SUBSTITUTE(INDEX('INPUT - Roster'!$S$1:$SV$206,$B62,Settings!$C$9+22)&amp;"",CHAR(10)," "),CHAR(160)," ")))</f>
        <v/>
      </c>
      <c r="AC62">
        <f>IF(OR($B62="",NOT(ISNUMBER(Settings!$C$9))),"",TRIM(SUBSTITUTE(SUBSTITUTE(INDEX('INPUT - Roster'!$S$1:$SV$206,$B62,Settings!$C$9+23)&amp;"",CHAR(10)," "),CHAR(160)," ")))</f>
        <v/>
      </c>
      <c r="AD62">
        <f>IF(OR($B62="",NOT(ISNUMBER(Settings!$C$9))),"",TRIM(SUBSTITUTE(SUBSTITUTE(INDEX('INPUT - Roster'!$S$1:$SV$206,$B62,Settings!$C$9+24)&amp;"",CHAR(10)," "),CHAR(160)," ")))</f>
        <v/>
      </c>
      <c r="AE62">
        <f>IF(OR($B62="",NOT(ISNUMBER(Settings!$C$9))),"",TRIM(SUBSTITUTE(SUBSTITUTE(INDEX('INPUT - Roster'!$S$1:$SV$206,$B62,Settings!$C$9+25)&amp;"",CHAR(10)," "),CHAR(160)," ")))</f>
        <v/>
      </c>
      <c r="AF62">
        <f>IF(OR($B62="",NOT(ISNUMBER(Settings!$C$9))),"",TRIM(SUBSTITUTE(SUBSTITUTE(INDEX('INPUT - Roster'!$S$1:$SV$206,$B62,Settings!$C$9+26)&amp;"",CHAR(10)," "),CHAR(160)," ")))</f>
        <v/>
      </c>
      <c r="AG62">
        <f>IF(OR($B62="",NOT(ISNUMBER(Settings!$C$9))),"",TRIM(SUBSTITUTE(SUBSTITUTE(INDEX('INPUT - Roster'!$S$1:$SV$206,$B62,Settings!$C$9+27)&amp;"",CHAR(10)," "),CHAR(160)," ")))</f>
        <v/>
      </c>
      <c r="AI62">
        <f>IF($B62="","",IF(F62="","Not rostered",IFERROR(INDEX(Settings!$C$14:$C$33,MATCH(F62,Settings!$B$14:$B$33,0)),IFERROR(LOOKUP(2^15,SEARCH(Settings!$I$14:$I$83,F62)/(Settings!$I$14:$I$83&lt;&gt;""),Settings!$J$14:$J$83),"Other"))))</f>
        <v/>
      </c>
      <c r="AJ62">
        <f>IF($B62="","",IF(G62="","Not rostered",IFERROR(INDEX(Settings!$C$14:$C$33,MATCH(G62,Settings!$B$14:$B$33,0)),IFERROR(LOOKUP(2^15,SEARCH(Settings!$I$14:$I$83,G62)/(Settings!$I$14:$I$83&lt;&gt;""),Settings!$J$14:$J$83),"Other"))))</f>
        <v/>
      </c>
      <c r="AK62">
        <f>IF($B62="","",IF(H62="","Not rostered",IFERROR(INDEX(Settings!$C$14:$C$33,MATCH(H62,Settings!$B$14:$B$33,0)),IFERROR(LOOKUP(2^15,SEARCH(Settings!$I$14:$I$83,H62)/(Settings!$I$14:$I$83&lt;&gt;""),Settings!$J$14:$J$83),"Other"))))</f>
        <v/>
      </c>
      <c r="AL62">
        <f>IF($B62="","",IF(I62="","Not rostered",IFERROR(INDEX(Settings!$C$14:$C$33,MATCH(I62,Settings!$B$14:$B$33,0)),IFERROR(LOOKUP(2^15,SEARCH(Settings!$I$14:$I$83,I62)/(Settings!$I$14:$I$83&lt;&gt;""),Settings!$J$14:$J$83),"Other"))))</f>
        <v/>
      </c>
      <c r="AM62">
        <f>IF($B62="","",IF(J62="","Not rostered",IFERROR(INDEX(Settings!$C$14:$C$33,MATCH(J62,Settings!$B$14:$B$33,0)),IFERROR(LOOKUP(2^15,SEARCH(Settings!$I$14:$I$83,J62)/(Settings!$I$14:$I$83&lt;&gt;""),Settings!$J$14:$J$83),"Other"))))</f>
        <v/>
      </c>
      <c r="AN62">
        <f>IF($B62="","",IF(K62="","Not rostered",IFERROR(INDEX(Settings!$C$14:$C$33,MATCH(K62,Settings!$B$14:$B$33,0)),IFERROR(LOOKUP(2^15,SEARCH(Settings!$I$14:$I$83,K62)/(Settings!$I$14:$I$83&lt;&gt;""),Settings!$J$14:$J$83),"Other"))))</f>
        <v/>
      </c>
      <c r="AO62">
        <f>IF($B62="","",IF(L62="","Not rostered",IFERROR(INDEX(Settings!$C$14:$C$33,MATCH(L62,Settings!$B$14:$B$33,0)),IFERROR(LOOKUP(2^15,SEARCH(Settings!$I$14:$I$83,L62)/(Settings!$I$14:$I$83&lt;&gt;""),Settings!$J$14:$J$83),"Other"))))</f>
        <v/>
      </c>
      <c r="AP62">
        <f>IF($B62="","",IF(M62="","Not rostered",IFERROR(INDEX(Settings!$C$14:$C$33,MATCH(M62,Settings!$B$14:$B$33,0)),IFERROR(LOOKUP(2^15,SEARCH(Settings!$I$14:$I$83,M62)/(Settings!$I$14:$I$83&lt;&gt;""),Settings!$J$14:$J$83),"Other"))))</f>
        <v/>
      </c>
      <c r="AQ62">
        <f>IF($B62="","",IF(N62="","Not rostered",IFERROR(INDEX(Settings!$C$14:$C$33,MATCH(N62,Settings!$B$14:$B$33,0)),IFERROR(LOOKUP(2^15,SEARCH(Settings!$I$14:$I$83,N62)/(Settings!$I$14:$I$83&lt;&gt;""),Settings!$J$14:$J$83),"Other"))))</f>
        <v/>
      </c>
      <c r="AR62">
        <f>IF($B62="","",IF(O62="","Not rostered",IFERROR(INDEX(Settings!$C$14:$C$33,MATCH(O62,Settings!$B$14:$B$33,0)),IFERROR(LOOKUP(2^15,SEARCH(Settings!$I$14:$I$83,O62)/(Settings!$I$14:$I$83&lt;&gt;""),Settings!$J$14:$J$83),"Other"))))</f>
        <v/>
      </c>
      <c r="AS62">
        <f>IF($B62="","",IF(P62="","Not rostered",IFERROR(INDEX(Settings!$C$14:$C$33,MATCH(P62,Settings!$B$14:$B$33,0)),IFERROR(LOOKUP(2^15,SEARCH(Settings!$I$14:$I$83,P62)/(Settings!$I$14:$I$83&lt;&gt;""),Settings!$J$14:$J$83),"Other"))))</f>
        <v/>
      </c>
      <c r="AT62">
        <f>IF($B62="","",IF(Q62="","Not rostered",IFERROR(INDEX(Settings!$C$14:$C$33,MATCH(Q62,Settings!$B$14:$B$33,0)),IFERROR(LOOKUP(2^15,SEARCH(Settings!$I$14:$I$83,Q62)/(Settings!$I$14:$I$83&lt;&gt;""),Settings!$J$14:$J$83),"Other"))))</f>
        <v/>
      </c>
      <c r="AU62">
        <f>IF($B62="","",IF(R62="","Not rostered",IFERROR(INDEX(Settings!$C$14:$C$33,MATCH(R62,Settings!$B$14:$B$33,0)),IFERROR(LOOKUP(2^15,SEARCH(Settings!$I$14:$I$83,R62)/(Settings!$I$14:$I$83&lt;&gt;""),Settings!$J$14:$J$83),"Other"))))</f>
        <v/>
      </c>
      <c r="AV62">
        <f>IF($B62="","",IF(S62="","Not rostered",IFERROR(INDEX(Settings!$C$14:$C$33,MATCH(S62,Settings!$B$14:$B$33,0)),IFERROR(LOOKUP(2^15,SEARCH(Settings!$I$14:$I$83,S62)/(Settings!$I$14:$I$83&lt;&gt;""),Settings!$J$14:$J$83),"Other"))))</f>
        <v/>
      </c>
      <c r="AW62">
        <f>IF($B62="","",IF(T62="","Not rostered",IFERROR(INDEX(Settings!$C$14:$C$33,MATCH(T62,Settings!$B$14:$B$33,0)),IFERROR(LOOKUP(2^15,SEARCH(Settings!$I$14:$I$83,T62)/(Settings!$I$14:$I$83&lt;&gt;""),Settings!$J$14:$J$83),"Other"))))</f>
        <v/>
      </c>
      <c r="AX62">
        <f>IF($B62="","",IF(U62="","Not rostered",IFERROR(INDEX(Settings!$C$14:$C$33,MATCH(U62,Settings!$B$14:$B$33,0)),IFERROR(LOOKUP(2^15,SEARCH(Settings!$I$14:$I$83,U62)/(Settings!$I$14:$I$83&lt;&gt;""),Settings!$J$14:$J$83),"Other"))))</f>
        <v/>
      </c>
      <c r="AY62">
        <f>IF($B62="","",IF(V62="","Not rostered",IFERROR(INDEX(Settings!$C$14:$C$33,MATCH(V62,Settings!$B$14:$B$33,0)),IFERROR(LOOKUP(2^15,SEARCH(Settings!$I$14:$I$83,V62)/(Settings!$I$14:$I$83&lt;&gt;""),Settings!$J$14:$J$83),"Other"))))</f>
        <v/>
      </c>
      <c r="AZ62">
        <f>IF($B62="","",IF(W62="","Not rostered",IFERROR(INDEX(Settings!$C$14:$C$33,MATCH(W62,Settings!$B$14:$B$33,0)),IFERROR(LOOKUP(2^15,SEARCH(Settings!$I$14:$I$83,W62)/(Settings!$I$14:$I$83&lt;&gt;""),Settings!$J$14:$J$83),"Other"))))</f>
        <v/>
      </c>
      <c r="BA62">
        <f>IF($B62="","",IF(X62="","Not rostered",IFERROR(INDEX(Settings!$C$14:$C$33,MATCH(X62,Settings!$B$14:$B$33,0)),IFERROR(LOOKUP(2^15,SEARCH(Settings!$I$14:$I$83,X62)/(Settings!$I$14:$I$83&lt;&gt;""),Settings!$J$14:$J$83),"Other"))))</f>
        <v/>
      </c>
      <c r="BB62">
        <f>IF($B62="","",IF(Y62="","Not rostered",IFERROR(INDEX(Settings!$C$14:$C$33,MATCH(Y62,Settings!$B$14:$B$33,0)),IFERROR(LOOKUP(2^15,SEARCH(Settings!$I$14:$I$83,Y62)/(Settings!$I$14:$I$83&lt;&gt;""),Settings!$J$14:$J$83),"Other"))))</f>
        <v/>
      </c>
      <c r="BC62">
        <f>IF($B62="","",IF(Z62="","Not rostered",IFERROR(INDEX(Settings!$C$14:$C$33,MATCH(Z62,Settings!$B$14:$B$33,0)),IFERROR(LOOKUP(2^15,SEARCH(Settings!$I$14:$I$83,Z62)/(Settings!$I$14:$I$83&lt;&gt;""),Settings!$J$14:$J$83),"Other"))))</f>
        <v/>
      </c>
      <c r="BD62">
        <f>IF($B62="","",IF(AA62="","Not rostered",IFERROR(INDEX(Settings!$C$14:$C$33,MATCH(AA62,Settings!$B$14:$B$33,0)),IFERROR(LOOKUP(2^15,SEARCH(Settings!$I$14:$I$83,AA62)/(Settings!$I$14:$I$83&lt;&gt;""),Settings!$J$14:$J$83),"Other"))))</f>
        <v/>
      </c>
      <c r="BE62">
        <f>IF($B62="","",IF(AB62="","Not rostered",IFERROR(INDEX(Settings!$C$14:$C$33,MATCH(AB62,Settings!$B$14:$B$33,0)),IFERROR(LOOKUP(2^15,SEARCH(Settings!$I$14:$I$83,AB62)/(Settings!$I$14:$I$83&lt;&gt;""),Settings!$J$14:$J$83),"Other"))))</f>
        <v/>
      </c>
      <c r="BF62">
        <f>IF($B62="","",IF(AC62="","Not rostered",IFERROR(INDEX(Settings!$C$14:$C$33,MATCH(AC62,Settings!$B$14:$B$33,0)),IFERROR(LOOKUP(2^15,SEARCH(Settings!$I$14:$I$83,AC62)/(Settings!$I$14:$I$83&lt;&gt;""),Settings!$J$14:$J$83),"Other"))))</f>
        <v/>
      </c>
      <c r="BG62">
        <f>IF($B62="","",IF(AD62="","Not rostered",IFERROR(INDEX(Settings!$C$14:$C$33,MATCH(AD62,Settings!$B$14:$B$33,0)),IFERROR(LOOKUP(2^15,SEARCH(Settings!$I$14:$I$83,AD62)/(Settings!$I$14:$I$83&lt;&gt;""),Settings!$J$14:$J$83),"Other"))))</f>
        <v/>
      </c>
      <c r="BH62">
        <f>IF($B62="","",IF(AE62="","Not rostered",IFERROR(INDEX(Settings!$C$14:$C$33,MATCH(AE62,Settings!$B$14:$B$33,0)),IFERROR(LOOKUP(2^15,SEARCH(Settings!$I$14:$I$83,AE62)/(Settings!$I$14:$I$83&lt;&gt;""),Settings!$J$14:$J$83),"Other"))))</f>
        <v/>
      </c>
      <c r="BI62">
        <f>IF($B62="","",IF(AF62="","Not rostered",IFERROR(INDEX(Settings!$C$14:$C$33,MATCH(AF62,Settings!$B$14:$B$33,0)),IFERROR(LOOKUP(2^15,SEARCH(Settings!$I$14:$I$83,AF62)/(Settings!$I$14:$I$83&lt;&gt;""),Settings!$J$14:$J$83),"Other"))))</f>
        <v/>
      </c>
      <c r="BJ62">
        <f>IF($B62="","",IF(AG62="","Not rostered",IFERROR(INDEX(Settings!$C$14:$C$33,MATCH(AG62,Settings!$B$14:$B$33,0)),IFERROR(LOOKUP(2^15,SEARCH(Settings!$I$14:$I$83,AG62)/(Settings!$I$14:$I$83&lt;&gt;""),Settings!$J$14:$J$83),"Other"))))</f>
        <v/>
      </c>
      <c r="BL62">
        <f>IF(OR($B62="",F62=""),"",IFERROR(INDEX(Settings!$D$14:$D$33,MATCH(F62,Settings!$B$14:$B$33,0))&amp;"",IFERROR(LOOKUP(2^15,SEARCH(Settings!$F$14:$F$43,F62)/(Settings!$F$14:$F$43&lt;&gt;""),Settings!$G$14:$G$43),"")))</f>
        <v/>
      </c>
      <c r="BM62">
        <f>IF(OR($B62="",G62=""),"",IFERROR(INDEX(Settings!$D$14:$D$33,MATCH(G62,Settings!$B$14:$B$33,0))&amp;"",IFERROR(LOOKUP(2^15,SEARCH(Settings!$F$14:$F$43,G62)/(Settings!$F$14:$F$43&lt;&gt;""),Settings!$G$14:$G$43),"")))</f>
        <v/>
      </c>
      <c r="BN62">
        <f>IF(OR($B62="",H62=""),"",IFERROR(INDEX(Settings!$D$14:$D$33,MATCH(H62,Settings!$B$14:$B$33,0))&amp;"",IFERROR(LOOKUP(2^15,SEARCH(Settings!$F$14:$F$43,H62)/(Settings!$F$14:$F$43&lt;&gt;""),Settings!$G$14:$G$43),"")))</f>
        <v/>
      </c>
      <c r="BO62">
        <f>IF(OR($B62="",I62=""),"",IFERROR(INDEX(Settings!$D$14:$D$33,MATCH(I62,Settings!$B$14:$B$33,0))&amp;"",IFERROR(LOOKUP(2^15,SEARCH(Settings!$F$14:$F$43,I62)/(Settings!$F$14:$F$43&lt;&gt;""),Settings!$G$14:$G$43),"")))</f>
        <v/>
      </c>
      <c r="BP62">
        <f>IF(OR($B62="",J62=""),"",IFERROR(INDEX(Settings!$D$14:$D$33,MATCH(J62,Settings!$B$14:$B$33,0))&amp;"",IFERROR(LOOKUP(2^15,SEARCH(Settings!$F$14:$F$43,J62)/(Settings!$F$14:$F$43&lt;&gt;""),Settings!$G$14:$G$43),"")))</f>
        <v/>
      </c>
      <c r="BQ62">
        <f>IF(OR($B62="",K62=""),"",IFERROR(INDEX(Settings!$D$14:$D$33,MATCH(K62,Settings!$B$14:$B$33,0))&amp;"",IFERROR(LOOKUP(2^15,SEARCH(Settings!$F$14:$F$43,K62)/(Settings!$F$14:$F$43&lt;&gt;""),Settings!$G$14:$G$43),"")))</f>
        <v/>
      </c>
      <c r="BR62">
        <f>IF(OR($B62="",L62=""),"",IFERROR(INDEX(Settings!$D$14:$D$33,MATCH(L62,Settings!$B$14:$B$33,0))&amp;"",IFERROR(LOOKUP(2^15,SEARCH(Settings!$F$14:$F$43,L62)/(Settings!$F$14:$F$43&lt;&gt;""),Settings!$G$14:$G$43),"")))</f>
        <v/>
      </c>
      <c r="BS62">
        <f>IF(OR($B62="",M62=""),"",IFERROR(INDEX(Settings!$D$14:$D$33,MATCH(M62,Settings!$B$14:$B$33,0))&amp;"",IFERROR(LOOKUP(2^15,SEARCH(Settings!$F$14:$F$43,M62)/(Settings!$F$14:$F$43&lt;&gt;""),Settings!$G$14:$G$43),"")))</f>
        <v/>
      </c>
      <c r="BT62">
        <f>IF(OR($B62="",N62=""),"",IFERROR(INDEX(Settings!$D$14:$D$33,MATCH(N62,Settings!$B$14:$B$33,0))&amp;"",IFERROR(LOOKUP(2^15,SEARCH(Settings!$F$14:$F$43,N62)/(Settings!$F$14:$F$43&lt;&gt;""),Settings!$G$14:$G$43),"")))</f>
        <v/>
      </c>
      <c r="BU62">
        <f>IF(OR($B62="",O62=""),"",IFERROR(INDEX(Settings!$D$14:$D$33,MATCH(O62,Settings!$B$14:$B$33,0))&amp;"",IFERROR(LOOKUP(2^15,SEARCH(Settings!$F$14:$F$43,O62)/(Settings!$F$14:$F$43&lt;&gt;""),Settings!$G$14:$G$43),"")))</f>
        <v/>
      </c>
      <c r="BV62">
        <f>IF(OR($B62="",P62=""),"",IFERROR(INDEX(Settings!$D$14:$D$33,MATCH(P62,Settings!$B$14:$B$33,0))&amp;"",IFERROR(LOOKUP(2^15,SEARCH(Settings!$F$14:$F$43,P62)/(Settings!$F$14:$F$43&lt;&gt;""),Settings!$G$14:$G$43),"")))</f>
        <v/>
      </c>
      <c r="BW62">
        <f>IF(OR($B62="",Q62=""),"",IFERROR(INDEX(Settings!$D$14:$D$33,MATCH(Q62,Settings!$B$14:$B$33,0))&amp;"",IFERROR(LOOKUP(2^15,SEARCH(Settings!$F$14:$F$43,Q62)/(Settings!$F$14:$F$43&lt;&gt;""),Settings!$G$14:$G$43),"")))</f>
        <v/>
      </c>
      <c r="BX62">
        <f>IF(OR($B62="",R62=""),"",IFERROR(INDEX(Settings!$D$14:$D$33,MATCH(R62,Settings!$B$14:$B$33,0))&amp;"",IFERROR(LOOKUP(2^15,SEARCH(Settings!$F$14:$F$43,R62)/(Settings!$F$14:$F$43&lt;&gt;""),Settings!$G$14:$G$43),"")))</f>
        <v/>
      </c>
      <c r="BY62">
        <f>IF(OR($B62="",S62=""),"",IFERROR(INDEX(Settings!$D$14:$D$33,MATCH(S62,Settings!$B$14:$B$33,0))&amp;"",IFERROR(LOOKUP(2^15,SEARCH(Settings!$F$14:$F$43,S62)/(Settings!$F$14:$F$43&lt;&gt;""),Settings!$G$14:$G$43),"")))</f>
        <v/>
      </c>
      <c r="BZ62">
        <f>IF(OR($B62="",T62=""),"",IFERROR(INDEX(Settings!$D$14:$D$33,MATCH(T62,Settings!$B$14:$B$33,0))&amp;"",IFERROR(LOOKUP(2^15,SEARCH(Settings!$F$14:$F$43,T62)/(Settings!$F$14:$F$43&lt;&gt;""),Settings!$G$14:$G$43),"")))</f>
        <v/>
      </c>
      <c r="CA62">
        <f>IF(OR($B62="",U62=""),"",IFERROR(INDEX(Settings!$D$14:$D$33,MATCH(U62,Settings!$B$14:$B$33,0))&amp;"",IFERROR(LOOKUP(2^15,SEARCH(Settings!$F$14:$F$43,U62)/(Settings!$F$14:$F$43&lt;&gt;""),Settings!$G$14:$G$43),"")))</f>
        <v/>
      </c>
      <c r="CB62">
        <f>IF(OR($B62="",V62=""),"",IFERROR(INDEX(Settings!$D$14:$D$33,MATCH(V62,Settings!$B$14:$B$33,0))&amp;"",IFERROR(LOOKUP(2^15,SEARCH(Settings!$F$14:$F$43,V62)/(Settings!$F$14:$F$43&lt;&gt;""),Settings!$G$14:$G$43),"")))</f>
        <v/>
      </c>
      <c r="CC62">
        <f>IF(OR($B62="",W62=""),"",IFERROR(INDEX(Settings!$D$14:$D$33,MATCH(W62,Settings!$B$14:$B$33,0))&amp;"",IFERROR(LOOKUP(2^15,SEARCH(Settings!$F$14:$F$43,W62)/(Settings!$F$14:$F$43&lt;&gt;""),Settings!$G$14:$G$43),"")))</f>
        <v/>
      </c>
      <c r="CD62">
        <f>IF(OR($B62="",X62=""),"",IFERROR(INDEX(Settings!$D$14:$D$33,MATCH(X62,Settings!$B$14:$B$33,0))&amp;"",IFERROR(LOOKUP(2^15,SEARCH(Settings!$F$14:$F$43,X62)/(Settings!$F$14:$F$43&lt;&gt;""),Settings!$G$14:$G$43),"")))</f>
        <v/>
      </c>
      <c r="CE62">
        <f>IF(OR($B62="",Y62=""),"",IFERROR(INDEX(Settings!$D$14:$D$33,MATCH(Y62,Settings!$B$14:$B$33,0))&amp;"",IFERROR(LOOKUP(2^15,SEARCH(Settings!$F$14:$F$43,Y62)/(Settings!$F$14:$F$43&lt;&gt;""),Settings!$G$14:$G$43),"")))</f>
        <v/>
      </c>
      <c r="CF62">
        <f>IF(OR($B62="",Z62=""),"",IFERROR(INDEX(Settings!$D$14:$D$33,MATCH(Z62,Settings!$B$14:$B$33,0))&amp;"",IFERROR(LOOKUP(2^15,SEARCH(Settings!$F$14:$F$43,Z62)/(Settings!$F$14:$F$43&lt;&gt;""),Settings!$G$14:$G$43),"")))</f>
        <v/>
      </c>
      <c r="CG62">
        <f>IF(OR($B62="",AA62=""),"",IFERROR(INDEX(Settings!$D$14:$D$33,MATCH(AA62,Settings!$B$14:$B$33,0))&amp;"",IFERROR(LOOKUP(2^15,SEARCH(Settings!$F$14:$F$43,AA62)/(Settings!$F$14:$F$43&lt;&gt;""),Settings!$G$14:$G$43),"")))</f>
        <v/>
      </c>
      <c r="CH62">
        <f>IF(OR($B62="",AB62=""),"",IFERROR(INDEX(Settings!$D$14:$D$33,MATCH(AB62,Settings!$B$14:$B$33,0))&amp;"",IFERROR(LOOKUP(2^15,SEARCH(Settings!$F$14:$F$43,AB62)/(Settings!$F$14:$F$43&lt;&gt;""),Settings!$G$14:$G$43),"")))</f>
        <v/>
      </c>
      <c r="CI62">
        <f>IF(OR($B62="",AC62=""),"",IFERROR(INDEX(Settings!$D$14:$D$33,MATCH(AC62,Settings!$B$14:$B$33,0))&amp;"",IFERROR(LOOKUP(2^15,SEARCH(Settings!$F$14:$F$43,AC62)/(Settings!$F$14:$F$43&lt;&gt;""),Settings!$G$14:$G$43),"")))</f>
        <v/>
      </c>
      <c r="CJ62">
        <f>IF(OR($B62="",AD62=""),"",IFERROR(INDEX(Settings!$D$14:$D$33,MATCH(AD62,Settings!$B$14:$B$33,0))&amp;"",IFERROR(LOOKUP(2^15,SEARCH(Settings!$F$14:$F$43,AD62)/(Settings!$F$14:$F$43&lt;&gt;""),Settings!$G$14:$G$43),"")))</f>
        <v/>
      </c>
      <c r="CK62">
        <f>IF(OR($B62="",AE62=""),"",IFERROR(INDEX(Settings!$D$14:$D$33,MATCH(AE62,Settings!$B$14:$B$33,0))&amp;"",IFERROR(LOOKUP(2^15,SEARCH(Settings!$F$14:$F$43,AE62)/(Settings!$F$14:$F$43&lt;&gt;""),Settings!$G$14:$G$43),"")))</f>
        <v/>
      </c>
      <c r="CL62">
        <f>IF(OR($B62="",AF62=""),"",IFERROR(INDEX(Settings!$D$14:$D$33,MATCH(AF62,Settings!$B$14:$B$33,0))&amp;"",IFERROR(LOOKUP(2^15,SEARCH(Settings!$F$14:$F$43,AF62)/(Settings!$F$14:$F$43&lt;&gt;""),Settings!$G$14:$G$43),"")))</f>
        <v/>
      </c>
      <c r="CM62">
        <f>IF(OR($B62="",AG62=""),"",IFERROR(INDEX(Settings!$D$14:$D$33,MATCH(AG62,Settings!$B$14:$B$33,0))&amp;"",IFERROR(LOOKUP(2^15,SEARCH(Settings!$F$14:$F$43,AG62)/(Settings!$F$14:$F$43&lt;&gt;""),Settings!$G$14:$G$43),"")))</f>
        <v/>
      </c>
    </row>
    <row r="63">
      <c r="A63" t="n">
        <v>61</v>
      </c>
      <c r="B63">
        <f>IFERROR(INDEX(Index!$A$2:$A$202,MATCH(A63,Index!$E$2:$E$202,0)),"")</f>
        <v/>
      </c>
      <c r="D63">
        <f>IF($B63="","",IFERROR(MATCH("Travel*",AI63:BJ63,0),""))</f>
        <v/>
      </c>
      <c r="F63">
        <f>IF(OR($B63="",NOT(ISNUMBER(Settings!$C$9))),"",TRIM(SUBSTITUTE(SUBSTITUTE(INDEX('INPUT - Roster'!$S$1:$SV$206,$B63,Settings!$C$9+0)&amp;"",CHAR(10)," "),CHAR(160)," ")))</f>
        <v/>
      </c>
      <c r="G63">
        <f>IF(OR($B63="",NOT(ISNUMBER(Settings!$C$9))),"",TRIM(SUBSTITUTE(SUBSTITUTE(INDEX('INPUT - Roster'!$S$1:$SV$206,$B63,Settings!$C$9+1)&amp;"",CHAR(10)," "),CHAR(160)," ")))</f>
        <v/>
      </c>
      <c r="H63">
        <f>IF(OR($B63="",NOT(ISNUMBER(Settings!$C$9))),"",TRIM(SUBSTITUTE(SUBSTITUTE(INDEX('INPUT - Roster'!$S$1:$SV$206,$B63,Settings!$C$9+2)&amp;"",CHAR(10)," "),CHAR(160)," ")))</f>
        <v/>
      </c>
      <c r="I63">
        <f>IF(OR($B63="",NOT(ISNUMBER(Settings!$C$9))),"",TRIM(SUBSTITUTE(SUBSTITUTE(INDEX('INPUT - Roster'!$S$1:$SV$206,$B63,Settings!$C$9+3)&amp;"",CHAR(10)," "),CHAR(160)," ")))</f>
        <v/>
      </c>
      <c r="J63">
        <f>IF(OR($B63="",NOT(ISNUMBER(Settings!$C$9))),"",TRIM(SUBSTITUTE(SUBSTITUTE(INDEX('INPUT - Roster'!$S$1:$SV$206,$B63,Settings!$C$9+4)&amp;"",CHAR(10)," "),CHAR(160)," ")))</f>
        <v/>
      </c>
      <c r="K63">
        <f>IF(OR($B63="",NOT(ISNUMBER(Settings!$C$9))),"",TRIM(SUBSTITUTE(SUBSTITUTE(INDEX('INPUT - Roster'!$S$1:$SV$206,$B63,Settings!$C$9+5)&amp;"",CHAR(10)," "),CHAR(160)," ")))</f>
        <v/>
      </c>
      <c r="L63">
        <f>IF(OR($B63="",NOT(ISNUMBER(Settings!$C$9))),"",TRIM(SUBSTITUTE(SUBSTITUTE(INDEX('INPUT - Roster'!$S$1:$SV$206,$B63,Settings!$C$9+6)&amp;"",CHAR(10)," "),CHAR(160)," ")))</f>
        <v/>
      </c>
      <c r="M63">
        <f>IF(OR($B63="",NOT(ISNUMBER(Settings!$C$9))),"",TRIM(SUBSTITUTE(SUBSTITUTE(INDEX('INPUT - Roster'!$S$1:$SV$206,$B63,Settings!$C$9+7)&amp;"",CHAR(10)," "),CHAR(160)," ")))</f>
        <v/>
      </c>
      <c r="N63">
        <f>IF(OR($B63="",NOT(ISNUMBER(Settings!$C$9))),"",TRIM(SUBSTITUTE(SUBSTITUTE(INDEX('INPUT - Roster'!$S$1:$SV$206,$B63,Settings!$C$9+8)&amp;"",CHAR(10)," "),CHAR(160)," ")))</f>
        <v/>
      </c>
      <c r="O63">
        <f>IF(OR($B63="",NOT(ISNUMBER(Settings!$C$9))),"",TRIM(SUBSTITUTE(SUBSTITUTE(INDEX('INPUT - Roster'!$S$1:$SV$206,$B63,Settings!$C$9+9)&amp;"",CHAR(10)," "),CHAR(160)," ")))</f>
        <v/>
      </c>
      <c r="P63">
        <f>IF(OR($B63="",NOT(ISNUMBER(Settings!$C$9))),"",TRIM(SUBSTITUTE(SUBSTITUTE(INDEX('INPUT - Roster'!$S$1:$SV$206,$B63,Settings!$C$9+10)&amp;"",CHAR(10)," "),CHAR(160)," ")))</f>
        <v/>
      </c>
      <c r="Q63">
        <f>IF(OR($B63="",NOT(ISNUMBER(Settings!$C$9))),"",TRIM(SUBSTITUTE(SUBSTITUTE(INDEX('INPUT - Roster'!$S$1:$SV$206,$B63,Settings!$C$9+11)&amp;"",CHAR(10)," "),CHAR(160)," ")))</f>
        <v/>
      </c>
      <c r="R63">
        <f>IF(OR($B63="",NOT(ISNUMBER(Settings!$C$9))),"",TRIM(SUBSTITUTE(SUBSTITUTE(INDEX('INPUT - Roster'!$S$1:$SV$206,$B63,Settings!$C$9+12)&amp;"",CHAR(10)," "),CHAR(160)," ")))</f>
        <v/>
      </c>
      <c r="S63">
        <f>IF(OR($B63="",NOT(ISNUMBER(Settings!$C$9))),"",TRIM(SUBSTITUTE(SUBSTITUTE(INDEX('INPUT - Roster'!$S$1:$SV$206,$B63,Settings!$C$9+13)&amp;"",CHAR(10)," "),CHAR(160)," ")))</f>
        <v/>
      </c>
      <c r="T63">
        <f>IF(OR($B63="",NOT(ISNUMBER(Settings!$C$9))),"",TRIM(SUBSTITUTE(SUBSTITUTE(INDEX('INPUT - Roster'!$S$1:$SV$206,$B63,Settings!$C$9+14)&amp;"",CHAR(10)," "),CHAR(160)," ")))</f>
        <v/>
      </c>
      <c r="U63">
        <f>IF(OR($B63="",NOT(ISNUMBER(Settings!$C$9))),"",TRIM(SUBSTITUTE(SUBSTITUTE(INDEX('INPUT - Roster'!$S$1:$SV$206,$B63,Settings!$C$9+15)&amp;"",CHAR(10)," "),CHAR(160)," ")))</f>
        <v/>
      </c>
      <c r="V63">
        <f>IF(OR($B63="",NOT(ISNUMBER(Settings!$C$9))),"",TRIM(SUBSTITUTE(SUBSTITUTE(INDEX('INPUT - Roster'!$S$1:$SV$206,$B63,Settings!$C$9+16)&amp;"",CHAR(10)," "),CHAR(160)," ")))</f>
        <v/>
      </c>
      <c r="W63">
        <f>IF(OR($B63="",NOT(ISNUMBER(Settings!$C$9))),"",TRIM(SUBSTITUTE(SUBSTITUTE(INDEX('INPUT - Roster'!$S$1:$SV$206,$B63,Settings!$C$9+17)&amp;"",CHAR(10)," "),CHAR(160)," ")))</f>
        <v/>
      </c>
      <c r="X63">
        <f>IF(OR($B63="",NOT(ISNUMBER(Settings!$C$9))),"",TRIM(SUBSTITUTE(SUBSTITUTE(INDEX('INPUT - Roster'!$S$1:$SV$206,$B63,Settings!$C$9+18)&amp;"",CHAR(10)," "),CHAR(160)," ")))</f>
        <v/>
      </c>
      <c r="Y63">
        <f>IF(OR($B63="",NOT(ISNUMBER(Settings!$C$9))),"",TRIM(SUBSTITUTE(SUBSTITUTE(INDEX('INPUT - Roster'!$S$1:$SV$206,$B63,Settings!$C$9+19)&amp;"",CHAR(10)," "),CHAR(160)," ")))</f>
        <v/>
      </c>
      <c r="Z63">
        <f>IF(OR($B63="",NOT(ISNUMBER(Settings!$C$9))),"",TRIM(SUBSTITUTE(SUBSTITUTE(INDEX('INPUT - Roster'!$S$1:$SV$206,$B63,Settings!$C$9+20)&amp;"",CHAR(10)," "),CHAR(160)," ")))</f>
        <v/>
      </c>
      <c r="AA63">
        <f>IF(OR($B63="",NOT(ISNUMBER(Settings!$C$9))),"",TRIM(SUBSTITUTE(SUBSTITUTE(INDEX('INPUT - Roster'!$S$1:$SV$206,$B63,Settings!$C$9+21)&amp;"",CHAR(10)," "),CHAR(160)," ")))</f>
        <v/>
      </c>
      <c r="AB63">
        <f>IF(OR($B63="",NOT(ISNUMBER(Settings!$C$9))),"",TRIM(SUBSTITUTE(SUBSTITUTE(INDEX('INPUT - Roster'!$S$1:$SV$206,$B63,Settings!$C$9+22)&amp;"",CHAR(10)," "),CHAR(160)," ")))</f>
        <v/>
      </c>
      <c r="AC63">
        <f>IF(OR($B63="",NOT(ISNUMBER(Settings!$C$9))),"",TRIM(SUBSTITUTE(SUBSTITUTE(INDEX('INPUT - Roster'!$S$1:$SV$206,$B63,Settings!$C$9+23)&amp;"",CHAR(10)," "),CHAR(160)," ")))</f>
        <v/>
      </c>
      <c r="AD63">
        <f>IF(OR($B63="",NOT(ISNUMBER(Settings!$C$9))),"",TRIM(SUBSTITUTE(SUBSTITUTE(INDEX('INPUT - Roster'!$S$1:$SV$206,$B63,Settings!$C$9+24)&amp;"",CHAR(10)," "),CHAR(160)," ")))</f>
        <v/>
      </c>
      <c r="AE63">
        <f>IF(OR($B63="",NOT(ISNUMBER(Settings!$C$9))),"",TRIM(SUBSTITUTE(SUBSTITUTE(INDEX('INPUT - Roster'!$S$1:$SV$206,$B63,Settings!$C$9+25)&amp;"",CHAR(10)," "),CHAR(160)," ")))</f>
        <v/>
      </c>
      <c r="AF63">
        <f>IF(OR($B63="",NOT(ISNUMBER(Settings!$C$9))),"",TRIM(SUBSTITUTE(SUBSTITUTE(INDEX('INPUT - Roster'!$S$1:$SV$206,$B63,Settings!$C$9+26)&amp;"",CHAR(10)," "),CHAR(160)," ")))</f>
        <v/>
      </c>
      <c r="AG63">
        <f>IF(OR($B63="",NOT(ISNUMBER(Settings!$C$9))),"",TRIM(SUBSTITUTE(SUBSTITUTE(INDEX('INPUT - Roster'!$S$1:$SV$206,$B63,Settings!$C$9+27)&amp;"",CHAR(10)," "),CHAR(160)," ")))</f>
        <v/>
      </c>
      <c r="AI63">
        <f>IF($B63="","",IF(F63="","Not rostered",IFERROR(INDEX(Settings!$C$14:$C$33,MATCH(F63,Settings!$B$14:$B$33,0)),IFERROR(LOOKUP(2^15,SEARCH(Settings!$I$14:$I$83,F63)/(Settings!$I$14:$I$83&lt;&gt;""),Settings!$J$14:$J$83),"Other"))))</f>
        <v/>
      </c>
      <c r="AJ63">
        <f>IF($B63="","",IF(G63="","Not rostered",IFERROR(INDEX(Settings!$C$14:$C$33,MATCH(G63,Settings!$B$14:$B$33,0)),IFERROR(LOOKUP(2^15,SEARCH(Settings!$I$14:$I$83,G63)/(Settings!$I$14:$I$83&lt;&gt;""),Settings!$J$14:$J$83),"Other"))))</f>
        <v/>
      </c>
      <c r="AK63">
        <f>IF($B63="","",IF(H63="","Not rostered",IFERROR(INDEX(Settings!$C$14:$C$33,MATCH(H63,Settings!$B$14:$B$33,0)),IFERROR(LOOKUP(2^15,SEARCH(Settings!$I$14:$I$83,H63)/(Settings!$I$14:$I$83&lt;&gt;""),Settings!$J$14:$J$83),"Other"))))</f>
        <v/>
      </c>
      <c r="AL63">
        <f>IF($B63="","",IF(I63="","Not rostered",IFERROR(INDEX(Settings!$C$14:$C$33,MATCH(I63,Settings!$B$14:$B$33,0)),IFERROR(LOOKUP(2^15,SEARCH(Settings!$I$14:$I$83,I63)/(Settings!$I$14:$I$83&lt;&gt;""),Settings!$J$14:$J$83),"Other"))))</f>
        <v/>
      </c>
      <c r="AM63">
        <f>IF($B63="","",IF(J63="","Not rostered",IFERROR(INDEX(Settings!$C$14:$C$33,MATCH(J63,Settings!$B$14:$B$33,0)),IFERROR(LOOKUP(2^15,SEARCH(Settings!$I$14:$I$83,J63)/(Settings!$I$14:$I$83&lt;&gt;""),Settings!$J$14:$J$83),"Other"))))</f>
        <v/>
      </c>
      <c r="AN63">
        <f>IF($B63="","",IF(K63="","Not rostered",IFERROR(INDEX(Settings!$C$14:$C$33,MATCH(K63,Settings!$B$14:$B$33,0)),IFERROR(LOOKUP(2^15,SEARCH(Settings!$I$14:$I$83,K63)/(Settings!$I$14:$I$83&lt;&gt;""),Settings!$J$14:$J$83),"Other"))))</f>
        <v/>
      </c>
      <c r="AO63">
        <f>IF($B63="","",IF(L63="","Not rostered",IFERROR(INDEX(Settings!$C$14:$C$33,MATCH(L63,Settings!$B$14:$B$33,0)),IFERROR(LOOKUP(2^15,SEARCH(Settings!$I$14:$I$83,L63)/(Settings!$I$14:$I$83&lt;&gt;""),Settings!$J$14:$J$83),"Other"))))</f>
        <v/>
      </c>
      <c r="AP63">
        <f>IF($B63="","",IF(M63="","Not rostered",IFERROR(INDEX(Settings!$C$14:$C$33,MATCH(M63,Settings!$B$14:$B$33,0)),IFERROR(LOOKUP(2^15,SEARCH(Settings!$I$14:$I$83,M63)/(Settings!$I$14:$I$83&lt;&gt;""),Settings!$J$14:$J$83),"Other"))))</f>
        <v/>
      </c>
      <c r="AQ63">
        <f>IF($B63="","",IF(N63="","Not rostered",IFERROR(INDEX(Settings!$C$14:$C$33,MATCH(N63,Settings!$B$14:$B$33,0)),IFERROR(LOOKUP(2^15,SEARCH(Settings!$I$14:$I$83,N63)/(Settings!$I$14:$I$83&lt;&gt;""),Settings!$J$14:$J$83),"Other"))))</f>
        <v/>
      </c>
      <c r="AR63">
        <f>IF($B63="","",IF(O63="","Not rostered",IFERROR(INDEX(Settings!$C$14:$C$33,MATCH(O63,Settings!$B$14:$B$33,0)),IFERROR(LOOKUP(2^15,SEARCH(Settings!$I$14:$I$83,O63)/(Settings!$I$14:$I$83&lt;&gt;""),Settings!$J$14:$J$83),"Other"))))</f>
        <v/>
      </c>
      <c r="AS63">
        <f>IF($B63="","",IF(P63="","Not rostered",IFERROR(INDEX(Settings!$C$14:$C$33,MATCH(P63,Settings!$B$14:$B$33,0)),IFERROR(LOOKUP(2^15,SEARCH(Settings!$I$14:$I$83,P63)/(Settings!$I$14:$I$83&lt;&gt;""),Settings!$J$14:$J$83),"Other"))))</f>
        <v/>
      </c>
      <c r="AT63">
        <f>IF($B63="","",IF(Q63="","Not rostered",IFERROR(INDEX(Settings!$C$14:$C$33,MATCH(Q63,Settings!$B$14:$B$33,0)),IFERROR(LOOKUP(2^15,SEARCH(Settings!$I$14:$I$83,Q63)/(Settings!$I$14:$I$83&lt;&gt;""),Settings!$J$14:$J$83),"Other"))))</f>
        <v/>
      </c>
      <c r="AU63">
        <f>IF($B63="","",IF(R63="","Not rostered",IFERROR(INDEX(Settings!$C$14:$C$33,MATCH(R63,Settings!$B$14:$B$33,0)),IFERROR(LOOKUP(2^15,SEARCH(Settings!$I$14:$I$83,R63)/(Settings!$I$14:$I$83&lt;&gt;""),Settings!$J$14:$J$83),"Other"))))</f>
        <v/>
      </c>
      <c r="AV63">
        <f>IF($B63="","",IF(S63="","Not rostered",IFERROR(INDEX(Settings!$C$14:$C$33,MATCH(S63,Settings!$B$14:$B$33,0)),IFERROR(LOOKUP(2^15,SEARCH(Settings!$I$14:$I$83,S63)/(Settings!$I$14:$I$83&lt;&gt;""),Settings!$J$14:$J$83),"Other"))))</f>
        <v/>
      </c>
      <c r="AW63">
        <f>IF($B63="","",IF(T63="","Not rostered",IFERROR(INDEX(Settings!$C$14:$C$33,MATCH(T63,Settings!$B$14:$B$33,0)),IFERROR(LOOKUP(2^15,SEARCH(Settings!$I$14:$I$83,T63)/(Settings!$I$14:$I$83&lt;&gt;""),Settings!$J$14:$J$83),"Other"))))</f>
        <v/>
      </c>
      <c r="AX63">
        <f>IF($B63="","",IF(U63="","Not rostered",IFERROR(INDEX(Settings!$C$14:$C$33,MATCH(U63,Settings!$B$14:$B$33,0)),IFERROR(LOOKUP(2^15,SEARCH(Settings!$I$14:$I$83,U63)/(Settings!$I$14:$I$83&lt;&gt;""),Settings!$J$14:$J$83),"Other"))))</f>
        <v/>
      </c>
      <c r="AY63">
        <f>IF($B63="","",IF(V63="","Not rostered",IFERROR(INDEX(Settings!$C$14:$C$33,MATCH(V63,Settings!$B$14:$B$33,0)),IFERROR(LOOKUP(2^15,SEARCH(Settings!$I$14:$I$83,V63)/(Settings!$I$14:$I$83&lt;&gt;""),Settings!$J$14:$J$83),"Other"))))</f>
        <v/>
      </c>
      <c r="AZ63">
        <f>IF($B63="","",IF(W63="","Not rostered",IFERROR(INDEX(Settings!$C$14:$C$33,MATCH(W63,Settings!$B$14:$B$33,0)),IFERROR(LOOKUP(2^15,SEARCH(Settings!$I$14:$I$83,W63)/(Settings!$I$14:$I$83&lt;&gt;""),Settings!$J$14:$J$83),"Other"))))</f>
        <v/>
      </c>
      <c r="BA63">
        <f>IF($B63="","",IF(X63="","Not rostered",IFERROR(INDEX(Settings!$C$14:$C$33,MATCH(X63,Settings!$B$14:$B$33,0)),IFERROR(LOOKUP(2^15,SEARCH(Settings!$I$14:$I$83,X63)/(Settings!$I$14:$I$83&lt;&gt;""),Settings!$J$14:$J$83),"Other"))))</f>
        <v/>
      </c>
      <c r="BB63">
        <f>IF($B63="","",IF(Y63="","Not rostered",IFERROR(INDEX(Settings!$C$14:$C$33,MATCH(Y63,Settings!$B$14:$B$33,0)),IFERROR(LOOKUP(2^15,SEARCH(Settings!$I$14:$I$83,Y63)/(Settings!$I$14:$I$83&lt;&gt;""),Settings!$J$14:$J$83),"Other"))))</f>
        <v/>
      </c>
      <c r="BC63">
        <f>IF($B63="","",IF(Z63="","Not rostered",IFERROR(INDEX(Settings!$C$14:$C$33,MATCH(Z63,Settings!$B$14:$B$33,0)),IFERROR(LOOKUP(2^15,SEARCH(Settings!$I$14:$I$83,Z63)/(Settings!$I$14:$I$83&lt;&gt;""),Settings!$J$14:$J$83),"Other"))))</f>
        <v/>
      </c>
      <c r="BD63">
        <f>IF($B63="","",IF(AA63="","Not rostered",IFERROR(INDEX(Settings!$C$14:$C$33,MATCH(AA63,Settings!$B$14:$B$33,0)),IFERROR(LOOKUP(2^15,SEARCH(Settings!$I$14:$I$83,AA63)/(Settings!$I$14:$I$83&lt;&gt;""),Settings!$J$14:$J$83),"Other"))))</f>
        <v/>
      </c>
      <c r="BE63">
        <f>IF($B63="","",IF(AB63="","Not rostered",IFERROR(INDEX(Settings!$C$14:$C$33,MATCH(AB63,Settings!$B$14:$B$33,0)),IFERROR(LOOKUP(2^15,SEARCH(Settings!$I$14:$I$83,AB63)/(Settings!$I$14:$I$83&lt;&gt;""),Settings!$J$14:$J$83),"Other"))))</f>
        <v/>
      </c>
      <c r="BF63">
        <f>IF($B63="","",IF(AC63="","Not rostered",IFERROR(INDEX(Settings!$C$14:$C$33,MATCH(AC63,Settings!$B$14:$B$33,0)),IFERROR(LOOKUP(2^15,SEARCH(Settings!$I$14:$I$83,AC63)/(Settings!$I$14:$I$83&lt;&gt;""),Settings!$J$14:$J$83),"Other"))))</f>
        <v/>
      </c>
      <c r="BG63">
        <f>IF($B63="","",IF(AD63="","Not rostered",IFERROR(INDEX(Settings!$C$14:$C$33,MATCH(AD63,Settings!$B$14:$B$33,0)),IFERROR(LOOKUP(2^15,SEARCH(Settings!$I$14:$I$83,AD63)/(Settings!$I$14:$I$83&lt;&gt;""),Settings!$J$14:$J$83),"Other"))))</f>
        <v/>
      </c>
      <c r="BH63">
        <f>IF($B63="","",IF(AE63="","Not rostered",IFERROR(INDEX(Settings!$C$14:$C$33,MATCH(AE63,Settings!$B$14:$B$33,0)),IFERROR(LOOKUP(2^15,SEARCH(Settings!$I$14:$I$83,AE63)/(Settings!$I$14:$I$83&lt;&gt;""),Settings!$J$14:$J$83),"Other"))))</f>
        <v/>
      </c>
      <c r="BI63">
        <f>IF($B63="","",IF(AF63="","Not rostered",IFERROR(INDEX(Settings!$C$14:$C$33,MATCH(AF63,Settings!$B$14:$B$33,0)),IFERROR(LOOKUP(2^15,SEARCH(Settings!$I$14:$I$83,AF63)/(Settings!$I$14:$I$83&lt;&gt;""),Settings!$J$14:$J$83),"Other"))))</f>
        <v/>
      </c>
      <c r="BJ63">
        <f>IF($B63="","",IF(AG63="","Not rostered",IFERROR(INDEX(Settings!$C$14:$C$33,MATCH(AG63,Settings!$B$14:$B$33,0)),IFERROR(LOOKUP(2^15,SEARCH(Settings!$I$14:$I$83,AG63)/(Settings!$I$14:$I$83&lt;&gt;""),Settings!$J$14:$J$83),"Other"))))</f>
        <v/>
      </c>
      <c r="BL63">
        <f>IF(OR($B63="",F63=""),"",IFERROR(INDEX(Settings!$D$14:$D$33,MATCH(F63,Settings!$B$14:$B$33,0))&amp;"",IFERROR(LOOKUP(2^15,SEARCH(Settings!$F$14:$F$43,F63)/(Settings!$F$14:$F$43&lt;&gt;""),Settings!$G$14:$G$43),"")))</f>
        <v/>
      </c>
      <c r="BM63">
        <f>IF(OR($B63="",G63=""),"",IFERROR(INDEX(Settings!$D$14:$D$33,MATCH(G63,Settings!$B$14:$B$33,0))&amp;"",IFERROR(LOOKUP(2^15,SEARCH(Settings!$F$14:$F$43,G63)/(Settings!$F$14:$F$43&lt;&gt;""),Settings!$G$14:$G$43),"")))</f>
        <v/>
      </c>
      <c r="BN63">
        <f>IF(OR($B63="",H63=""),"",IFERROR(INDEX(Settings!$D$14:$D$33,MATCH(H63,Settings!$B$14:$B$33,0))&amp;"",IFERROR(LOOKUP(2^15,SEARCH(Settings!$F$14:$F$43,H63)/(Settings!$F$14:$F$43&lt;&gt;""),Settings!$G$14:$G$43),"")))</f>
        <v/>
      </c>
      <c r="BO63">
        <f>IF(OR($B63="",I63=""),"",IFERROR(INDEX(Settings!$D$14:$D$33,MATCH(I63,Settings!$B$14:$B$33,0))&amp;"",IFERROR(LOOKUP(2^15,SEARCH(Settings!$F$14:$F$43,I63)/(Settings!$F$14:$F$43&lt;&gt;""),Settings!$G$14:$G$43),"")))</f>
        <v/>
      </c>
      <c r="BP63">
        <f>IF(OR($B63="",J63=""),"",IFERROR(INDEX(Settings!$D$14:$D$33,MATCH(J63,Settings!$B$14:$B$33,0))&amp;"",IFERROR(LOOKUP(2^15,SEARCH(Settings!$F$14:$F$43,J63)/(Settings!$F$14:$F$43&lt;&gt;""),Settings!$G$14:$G$43),"")))</f>
        <v/>
      </c>
      <c r="BQ63">
        <f>IF(OR($B63="",K63=""),"",IFERROR(INDEX(Settings!$D$14:$D$33,MATCH(K63,Settings!$B$14:$B$33,0))&amp;"",IFERROR(LOOKUP(2^15,SEARCH(Settings!$F$14:$F$43,K63)/(Settings!$F$14:$F$43&lt;&gt;""),Settings!$G$14:$G$43),"")))</f>
        <v/>
      </c>
      <c r="BR63">
        <f>IF(OR($B63="",L63=""),"",IFERROR(INDEX(Settings!$D$14:$D$33,MATCH(L63,Settings!$B$14:$B$33,0))&amp;"",IFERROR(LOOKUP(2^15,SEARCH(Settings!$F$14:$F$43,L63)/(Settings!$F$14:$F$43&lt;&gt;""),Settings!$G$14:$G$43),"")))</f>
        <v/>
      </c>
      <c r="BS63">
        <f>IF(OR($B63="",M63=""),"",IFERROR(INDEX(Settings!$D$14:$D$33,MATCH(M63,Settings!$B$14:$B$33,0))&amp;"",IFERROR(LOOKUP(2^15,SEARCH(Settings!$F$14:$F$43,M63)/(Settings!$F$14:$F$43&lt;&gt;""),Settings!$G$14:$G$43),"")))</f>
        <v/>
      </c>
      <c r="BT63">
        <f>IF(OR($B63="",N63=""),"",IFERROR(INDEX(Settings!$D$14:$D$33,MATCH(N63,Settings!$B$14:$B$33,0))&amp;"",IFERROR(LOOKUP(2^15,SEARCH(Settings!$F$14:$F$43,N63)/(Settings!$F$14:$F$43&lt;&gt;""),Settings!$G$14:$G$43),"")))</f>
        <v/>
      </c>
      <c r="BU63">
        <f>IF(OR($B63="",O63=""),"",IFERROR(INDEX(Settings!$D$14:$D$33,MATCH(O63,Settings!$B$14:$B$33,0))&amp;"",IFERROR(LOOKUP(2^15,SEARCH(Settings!$F$14:$F$43,O63)/(Settings!$F$14:$F$43&lt;&gt;""),Settings!$G$14:$G$43),"")))</f>
        <v/>
      </c>
      <c r="BV63">
        <f>IF(OR($B63="",P63=""),"",IFERROR(INDEX(Settings!$D$14:$D$33,MATCH(P63,Settings!$B$14:$B$33,0))&amp;"",IFERROR(LOOKUP(2^15,SEARCH(Settings!$F$14:$F$43,P63)/(Settings!$F$14:$F$43&lt;&gt;""),Settings!$G$14:$G$43),"")))</f>
        <v/>
      </c>
      <c r="BW63">
        <f>IF(OR($B63="",Q63=""),"",IFERROR(INDEX(Settings!$D$14:$D$33,MATCH(Q63,Settings!$B$14:$B$33,0))&amp;"",IFERROR(LOOKUP(2^15,SEARCH(Settings!$F$14:$F$43,Q63)/(Settings!$F$14:$F$43&lt;&gt;""),Settings!$G$14:$G$43),"")))</f>
        <v/>
      </c>
      <c r="BX63">
        <f>IF(OR($B63="",R63=""),"",IFERROR(INDEX(Settings!$D$14:$D$33,MATCH(R63,Settings!$B$14:$B$33,0))&amp;"",IFERROR(LOOKUP(2^15,SEARCH(Settings!$F$14:$F$43,R63)/(Settings!$F$14:$F$43&lt;&gt;""),Settings!$G$14:$G$43),"")))</f>
        <v/>
      </c>
      <c r="BY63">
        <f>IF(OR($B63="",S63=""),"",IFERROR(INDEX(Settings!$D$14:$D$33,MATCH(S63,Settings!$B$14:$B$33,0))&amp;"",IFERROR(LOOKUP(2^15,SEARCH(Settings!$F$14:$F$43,S63)/(Settings!$F$14:$F$43&lt;&gt;""),Settings!$G$14:$G$43),"")))</f>
        <v/>
      </c>
      <c r="BZ63">
        <f>IF(OR($B63="",T63=""),"",IFERROR(INDEX(Settings!$D$14:$D$33,MATCH(T63,Settings!$B$14:$B$33,0))&amp;"",IFERROR(LOOKUP(2^15,SEARCH(Settings!$F$14:$F$43,T63)/(Settings!$F$14:$F$43&lt;&gt;""),Settings!$G$14:$G$43),"")))</f>
        <v/>
      </c>
      <c r="CA63">
        <f>IF(OR($B63="",U63=""),"",IFERROR(INDEX(Settings!$D$14:$D$33,MATCH(U63,Settings!$B$14:$B$33,0))&amp;"",IFERROR(LOOKUP(2^15,SEARCH(Settings!$F$14:$F$43,U63)/(Settings!$F$14:$F$43&lt;&gt;""),Settings!$G$14:$G$43),"")))</f>
        <v/>
      </c>
      <c r="CB63">
        <f>IF(OR($B63="",V63=""),"",IFERROR(INDEX(Settings!$D$14:$D$33,MATCH(V63,Settings!$B$14:$B$33,0))&amp;"",IFERROR(LOOKUP(2^15,SEARCH(Settings!$F$14:$F$43,V63)/(Settings!$F$14:$F$43&lt;&gt;""),Settings!$G$14:$G$43),"")))</f>
        <v/>
      </c>
      <c r="CC63">
        <f>IF(OR($B63="",W63=""),"",IFERROR(INDEX(Settings!$D$14:$D$33,MATCH(W63,Settings!$B$14:$B$33,0))&amp;"",IFERROR(LOOKUP(2^15,SEARCH(Settings!$F$14:$F$43,W63)/(Settings!$F$14:$F$43&lt;&gt;""),Settings!$G$14:$G$43),"")))</f>
        <v/>
      </c>
      <c r="CD63">
        <f>IF(OR($B63="",X63=""),"",IFERROR(INDEX(Settings!$D$14:$D$33,MATCH(X63,Settings!$B$14:$B$33,0))&amp;"",IFERROR(LOOKUP(2^15,SEARCH(Settings!$F$14:$F$43,X63)/(Settings!$F$14:$F$43&lt;&gt;""),Settings!$G$14:$G$43),"")))</f>
        <v/>
      </c>
      <c r="CE63">
        <f>IF(OR($B63="",Y63=""),"",IFERROR(INDEX(Settings!$D$14:$D$33,MATCH(Y63,Settings!$B$14:$B$33,0))&amp;"",IFERROR(LOOKUP(2^15,SEARCH(Settings!$F$14:$F$43,Y63)/(Settings!$F$14:$F$43&lt;&gt;""),Settings!$G$14:$G$43),"")))</f>
        <v/>
      </c>
      <c r="CF63">
        <f>IF(OR($B63="",Z63=""),"",IFERROR(INDEX(Settings!$D$14:$D$33,MATCH(Z63,Settings!$B$14:$B$33,0))&amp;"",IFERROR(LOOKUP(2^15,SEARCH(Settings!$F$14:$F$43,Z63)/(Settings!$F$14:$F$43&lt;&gt;""),Settings!$G$14:$G$43),"")))</f>
        <v/>
      </c>
      <c r="CG63">
        <f>IF(OR($B63="",AA63=""),"",IFERROR(INDEX(Settings!$D$14:$D$33,MATCH(AA63,Settings!$B$14:$B$33,0))&amp;"",IFERROR(LOOKUP(2^15,SEARCH(Settings!$F$14:$F$43,AA63)/(Settings!$F$14:$F$43&lt;&gt;""),Settings!$G$14:$G$43),"")))</f>
        <v/>
      </c>
      <c r="CH63">
        <f>IF(OR($B63="",AB63=""),"",IFERROR(INDEX(Settings!$D$14:$D$33,MATCH(AB63,Settings!$B$14:$B$33,0))&amp;"",IFERROR(LOOKUP(2^15,SEARCH(Settings!$F$14:$F$43,AB63)/(Settings!$F$14:$F$43&lt;&gt;""),Settings!$G$14:$G$43),"")))</f>
        <v/>
      </c>
      <c r="CI63">
        <f>IF(OR($B63="",AC63=""),"",IFERROR(INDEX(Settings!$D$14:$D$33,MATCH(AC63,Settings!$B$14:$B$33,0))&amp;"",IFERROR(LOOKUP(2^15,SEARCH(Settings!$F$14:$F$43,AC63)/(Settings!$F$14:$F$43&lt;&gt;""),Settings!$G$14:$G$43),"")))</f>
        <v/>
      </c>
      <c r="CJ63">
        <f>IF(OR($B63="",AD63=""),"",IFERROR(INDEX(Settings!$D$14:$D$33,MATCH(AD63,Settings!$B$14:$B$33,0))&amp;"",IFERROR(LOOKUP(2^15,SEARCH(Settings!$F$14:$F$43,AD63)/(Settings!$F$14:$F$43&lt;&gt;""),Settings!$G$14:$G$43),"")))</f>
        <v/>
      </c>
      <c r="CK63">
        <f>IF(OR($B63="",AE63=""),"",IFERROR(INDEX(Settings!$D$14:$D$33,MATCH(AE63,Settings!$B$14:$B$33,0))&amp;"",IFERROR(LOOKUP(2^15,SEARCH(Settings!$F$14:$F$43,AE63)/(Settings!$F$14:$F$43&lt;&gt;""),Settings!$G$14:$G$43),"")))</f>
        <v/>
      </c>
      <c r="CL63">
        <f>IF(OR($B63="",AF63=""),"",IFERROR(INDEX(Settings!$D$14:$D$33,MATCH(AF63,Settings!$B$14:$B$33,0))&amp;"",IFERROR(LOOKUP(2^15,SEARCH(Settings!$F$14:$F$43,AF63)/(Settings!$F$14:$F$43&lt;&gt;""),Settings!$G$14:$G$43),"")))</f>
        <v/>
      </c>
      <c r="CM63">
        <f>IF(OR($B63="",AG63=""),"",IFERROR(INDEX(Settings!$D$14:$D$33,MATCH(AG63,Settings!$B$14:$B$33,0))&amp;"",IFERROR(LOOKUP(2^15,SEARCH(Settings!$F$14:$F$43,AG63)/(Settings!$F$14:$F$43&lt;&gt;""),Settings!$G$14:$G$43),"")))</f>
        <v/>
      </c>
    </row>
    <row r="64">
      <c r="A64" t="n">
        <v>62</v>
      </c>
      <c r="B64">
        <f>IFERROR(INDEX(Index!$A$2:$A$202,MATCH(A64,Index!$E$2:$E$202,0)),"")</f>
        <v/>
      </c>
      <c r="D64">
        <f>IF($B64="","",IFERROR(MATCH("Travel*",AI64:BJ64,0),""))</f>
        <v/>
      </c>
      <c r="F64">
        <f>IF(OR($B64="",NOT(ISNUMBER(Settings!$C$9))),"",TRIM(SUBSTITUTE(SUBSTITUTE(INDEX('INPUT - Roster'!$S$1:$SV$206,$B64,Settings!$C$9+0)&amp;"",CHAR(10)," "),CHAR(160)," ")))</f>
        <v/>
      </c>
      <c r="G64">
        <f>IF(OR($B64="",NOT(ISNUMBER(Settings!$C$9))),"",TRIM(SUBSTITUTE(SUBSTITUTE(INDEX('INPUT - Roster'!$S$1:$SV$206,$B64,Settings!$C$9+1)&amp;"",CHAR(10)," "),CHAR(160)," ")))</f>
        <v/>
      </c>
      <c r="H64">
        <f>IF(OR($B64="",NOT(ISNUMBER(Settings!$C$9))),"",TRIM(SUBSTITUTE(SUBSTITUTE(INDEX('INPUT - Roster'!$S$1:$SV$206,$B64,Settings!$C$9+2)&amp;"",CHAR(10)," "),CHAR(160)," ")))</f>
        <v/>
      </c>
      <c r="I64">
        <f>IF(OR($B64="",NOT(ISNUMBER(Settings!$C$9))),"",TRIM(SUBSTITUTE(SUBSTITUTE(INDEX('INPUT - Roster'!$S$1:$SV$206,$B64,Settings!$C$9+3)&amp;"",CHAR(10)," "),CHAR(160)," ")))</f>
        <v/>
      </c>
      <c r="J64">
        <f>IF(OR($B64="",NOT(ISNUMBER(Settings!$C$9))),"",TRIM(SUBSTITUTE(SUBSTITUTE(INDEX('INPUT - Roster'!$S$1:$SV$206,$B64,Settings!$C$9+4)&amp;"",CHAR(10)," "),CHAR(160)," ")))</f>
        <v/>
      </c>
      <c r="K64">
        <f>IF(OR($B64="",NOT(ISNUMBER(Settings!$C$9))),"",TRIM(SUBSTITUTE(SUBSTITUTE(INDEX('INPUT - Roster'!$S$1:$SV$206,$B64,Settings!$C$9+5)&amp;"",CHAR(10)," "),CHAR(160)," ")))</f>
        <v/>
      </c>
      <c r="L64">
        <f>IF(OR($B64="",NOT(ISNUMBER(Settings!$C$9))),"",TRIM(SUBSTITUTE(SUBSTITUTE(INDEX('INPUT - Roster'!$S$1:$SV$206,$B64,Settings!$C$9+6)&amp;"",CHAR(10)," "),CHAR(160)," ")))</f>
        <v/>
      </c>
      <c r="M64">
        <f>IF(OR($B64="",NOT(ISNUMBER(Settings!$C$9))),"",TRIM(SUBSTITUTE(SUBSTITUTE(INDEX('INPUT - Roster'!$S$1:$SV$206,$B64,Settings!$C$9+7)&amp;"",CHAR(10)," "),CHAR(160)," ")))</f>
        <v/>
      </c>
      <c r="N64">
        <f>IF(OR($B64="",NOT(ISNUMBER(Settings!$C$9))),"",TRIM(SUBSTITUTE(SUBSTITUTE(INDEX('INPUT - Roster'!$S$1:$SV$206,$B64,Settings!$C$9+8)&amp;"",CHAR(10)," "),CHAR(160)," ")))</f>
        <v/>
      </c>
      <c r="O64">
        <f>IF(OR($B64="",NOT(ISNUMBER(Settings!$C$9))),"",TRIM(SUBSTITUTE(SUBSTITUTE(INDEX('INPUT - Roster'!$S$1:$SV$206,$B64,Settings!$C$9+9)&amp;"",CHAR(10)," "),CHAR(160)," ")))</f>
        <v/>
      </c>
      <c r="P64">
        <f>IF(OR($B64="",NOT(ISNUMBER(Settings!$C$9))),"",TRIM(SUBSTITUTE(SUBSTITUTE(INDEX('INPUT - Roster'!$S$1:$SV$206,$B64,Settings!$C$9+10)&amp;"",CHAR(10)," "),CHAR(160)," ")))</f>
        <v/>
      </c>
      <c r="Q64">
        <f>IF(OR($B64="",NOT(ISNUMBER(Settings!$C$9))),"",TRIM(SUBSTITUTE(SUBSTITUTE(INDEX('INPUT - Roster'!$S$1:$SV$206,$B64,Settings!$C$9+11)&amp;"",CHAR(10)," "),CHAR(160)," ")))</f>
        <v/>
      </c>
      <c r="R64">
        <f>IF(OR($B64="",NOT(ISNUMBER(Settings!$C$9))),"",TRIM(SUBSTITUTE(SUBSTITUTE(INDEX('INPUT - Roster'!$S$1:$SV$206,$B64,Settings!$C$9+12)&amp;"",CHAR(10)," "),CHAR(160)," ")))</f>
        <v/>
      </c>
      <c r="S64">
        <f>IF(OR($B64="",NOT(ISNUMBER(Settings!$C$9))),"",TRIM(SUBSTITUTE(SUBSTITUTE(INDEX('INPUT - Roster'!$S$1:$SV$206,$B64,Settings!$C$9+13)&amp;"",CHAR(10)," "),CHAR(160)," ")))</f>
        <v/>
      </c>
      <c r="T64">
        <f>IF(OR($B64="",NOT(ISNUMBER(Settings!$C$9))),"",TRIM(SUBSTITUTE(SUBSTITUTE(INDEX('INPUT - Roster'!$S$1:$SV$206,$B64,Settings!$C$9+14)&amp;"",CHAR(10)," "),CHAR(160)," ")))</f>
        <v/>
      </c>
      <c r="U64">
        <f>IF(OR($B64="",NOT(ISNUMBER(Settings!$C$9))),"",TRIM(SUBSTITUTE(SUBSTITUTE(INDEX('INPUT - Roster'!$S$1:$SV$206,$B64,Settings!$C$9+15)&amp;"",CHAR(10)," "),CHAR(160)," ")))</f>
        <v/>
      </c>
      <c r="V64">
        <f>IF(OR($B64="",NOT(ISNUMBER(Settings!$C$9))),"",TRIM(SUBSTITUTE(SUBSTITUTE(INDEX('INPUT - Roster'!$S$1:$SV$206,$B64,Settings!$C$9+16)&amp;"",CHAR(10)," "),CHAR(160)," ")))</f>
        <v/>
      </c>
      <c r="W64">
        <f>IF(OR($B64="",NOT(ISNUMBER(Settings!$C$9))),"",TRIM(SUBSTITUTE(SUBSTITUTE(INDEX('INPUT - Roster'!$S$1:$SV$206,$B64,Settings!$C$9+17)&amp;"",CHAR(10)," "),CHAR(160)," ")))</f>
        <v/>
      </c>
      <c r="X64">
        <f>IF(OR($B64="",NOT(ISNUMBER(Settings!$C$9))),"",TRIM(SUBSTITUTE(SUBSTITUTE(INDEX('INPUT - Roster'!$S$1:$SV$206,$B64,Settings!$C$9+18)&amp;"",CHAR(10)," "),CHAR(160)," ")))</f>
        <v/>
      </c>
      <c r="Y64">
        <f>IF(OR($B64="",NOT(ISNUMBER(Settings!$C$9))),"",TRIM(SUBSTITUTE(SUBSTITUTE(INDEX('INPUT - Roster'!$S$1:$SV$206,$B64,Settings!$C$9+19)&amp;"",CHAR(10)," "),CHAR(160)," ")))</f>
        <v/>
      </c>
      <c r="Z64">
        <f>IF(OR($B64="",NOT(ISNUMBER(Settings!$C$9))),"",TRIM(SUBSTITUTE(SUBSTITUTE(INDEX('INPUT - Roster'!$S$1:$SV$206,$B64,Settings!$C$9+20)&amp;"",CHAR(10)," "),CHAR(160)," ")))</f>
        <v/>
      </c>
      <c r="AA64">
        <f>IF(OR($B64="",NOT(ISNUMBER(Settings!$C$9))),"",TRIM(SUBSTITUTE(SUBSTITUTE(INDEX('INPUT - Roster'!$S$1:$SV$206,$B64,Settings!$C$9+21)&amp;"",CHAR(10)," "),CHAR(160)," ")))</f>
        <v/>
      </c>
      <c r="AB64">
        <f>IF(OR($B64="",NOT(ISNUMBER(Settings!$C$9))),"",TRIM(SUBSTITUTE(SUBSTITUTE(INDEX('INPUT - Roster'!$S$1:$SV$206,$B64,Settings!$C$9+22)&amp;"",CHAR(10)," "),CHAR(160)," ")))</f>
        <v/>
      </c>
      <c r="AC64">
        <f>IF(OR($B64="",NOT(ISNUMBER(Settings!$C$9))),"",TRIM(SUBSTITUTE(SUBSTITUTE(INDEX('INPUT - Roster'!$S$1:$SV$206,$B64,Settings!$C$9+23)&amp;"",CHAR(10)," "),CHAR(160)," ")))</f>
        <v/>
      </c>
      <c r="AD64">
        <f>IF(OR($B64="",NOT(ISNUMBER(Settings!$C$9))),"",TRIM(SUBSTITUTE(SUBSTITUTE(INDEX('INPUT - Roster'!$S$1:$SV$206,$B64,Settings!$C$9+24)&amp;"",CHAR(10)," "),CHAR(160)," ")))</f>
        <v/>
      </c>
      <c r="AE64">
        <f>IF(OR($B64="",NOT(ISNUMBER(Settings!$C$9))),"",TRIM(SUBSTITUTE(SUBSTITUTE(INDEX('INPUT - Roster'!$S$1:$SV$206,$B64,Settings!$C$9+25)&amp;"",CHAR(10)," "),CHAR(160)," ")))</f>
        <v/>
      </c>
      <c r="AF64">
        <f>IF(OR($B64="",NOT(ISNUMBER(Settings!$C$9))),"",TRIM(SUBSTITUTE(SUBSTITUTE(INDEX('INPUT - Roster'!$S$1:$SV$206,$B64,Settings!$C$9+26)&amp;"",CHAR(10)," "),CHAR(160)," ")))</f>
        <v/>
      </c>
      <c r="AG64">
        <f>IF(OR($B64="",NOT(ISNUMBER(Settings!$C$9))),"",TRIM(SUBSTITUTE(SUBSTITUTE(INDEX('INPUT - Roster'!$S$1:$SV$206,$B64,Settings!$C$9+27)&amp;"",CHAR(10)," "),CHAR(160)," ")))</f>
        <v/>
      </c>
      <c r="AI64">
        <f>IF($B64="","",IF(F64="","Not rostered",IFERROR(INDEX(Settings!$C$14:$C$33,MATCH(F64,Settings!$B$14:$B$33,0)),IFERROR(LOOKUP(2^15,SEARCH(Settings!$I$14:$I$83,F64)/(Settings!$I$14:$I$83&lt;&gt;""),Settings!$J$14:$J$83),"Other"))))</f>
        <v/>
      </c>
      <c r="AJ64">
        <f>IF($B64="","",IF(G64="","Not rostered",IFERROR(INDEX(Settings!$C$14:$C$33,MATCH(G64,Settings!$B$14:$B$33,0)),IFERROR(LOOKUP(2^15,SEARCH(Settings!$I$14:$I$83,G64)/(Settings!$I$14:$I$83&lt;&gt;""),Settings!$J$14:$J$83),"Other"))))</f>
        <v/>
      </c>
      <c r="AK64">
        <f>IF($B64="","",IF(H64="","Not rostered",IFERROR(INDEX(Settings!$C$14:$C$33,MATCH(H64,Settings!$B$14:$B$33,0)),IFERROR(LOOKUP(2^15,SEARCH(Settings!$I$14:$I$83,H64)/(Settings!$I$14:$I$83&lt;&gt;""),Settings!$J$14:$J$83),"Other"))))</f>
        <v/>
      </c>
      <c r="AL64">
        <f>IF($B64="","",IF(I64="","Not rostered",IFERROR(INDEX(Settings!$C$14:$C$33,MATCH(I64,Settings!$B$14:$B$33,0)),IFERROR(LOOKUP(2^15,SEARCH(Settings!$I$14:$I$83,I64)/(Settings!$I$14:$I$83&lt;&gt;""),Settings!$J$14:$J$83),"Other"))))</f>
        <v/>
      </c>
      <c r="AM64">
        <f>IF($B64="","",IF(J64="","Not rostered",IFERROR(INDEX(Settings!$C$14:$C$33,MATCH(J64,Settings!$B$14:$B$33,0)),IFERROR(LOOKUP(2^15,SEARCH(Settings!$I$14:$I$83,J64)/(Settings!$I$14:$I$83&lt;&gt;""),Settings!$J$14:$J$83),"Other"))))</f>
        <v/>
      </c>
      <c r="AN64">
        <f>IF($B64="","",IF(K64="","Not rostered",IFERROR(INDEX(Settings!$C$14:$C$33,MATCH(K64,Settings!$B$14:$B$33,0)),IFERROR(LOOKUP(2^15,SEARCH(Settings!$I$14:$I$83,K64)/(Settings!$I$14:$I$83&lt;&gt;""),Settings!$J$14:$J$83),"Other"))))</f>
        <v/>
      </c>
      <c r="AO64">
        <f>IF($B64="","",IF(L64="","Not rostered",IFERROR(INDEX(Settings!$C$14:$C$33,MATCH(L64,Settings!$B$14:$B$33,0)),IFERROR(LOOKUP(2^15,SEARCH(Settings!$I$14:$I$83,L64)/(Settings!$I$14:$I$83&lt;&gt;""),Settings!$J$14:$J$83),"Other"))))</f>
        <v/>
      </c>
      <c r="AP64">
        <f>IF($B64="","",IF(M64="","Not rostered",IFERROR(INDEX(Settings!$C$14:$C$33,MATCH(M64,Settings!$B$14:$B$33,0)),IFERROR(LOOKUP(2^15,SEARCH(Settings!$I$14:$I$83,M64)/(Settings!$I$14:$I$83&lt;&gt;""),Settings!$J$14:$J$83),"Other"))))</f>
        <v/>
      </c>
      <c r="AQ64">
        <f>IF($B64="","",IF(N64="","Not rostered",IFERROR(INDEX(Settings!$C$14:$C$33,MATCH(N64,Settings!$B$14:$B$33,0)),IFERROR(LOOKUP(2^15,SEARCH(Settings!$I$14:$I$83,N64)/(Settings!$I$14:$I$83&lt;&gt;""),Settings!$J$14:$J$83),"Other"))))</f>
        <v/>
      </c>
      <c r="AR64">
        <f>IF($B64="","",IF(O64="","Not rostered",IFERROR(INDEX(Settings!$C$14:$C$33,MATCH(O64,Settings!$B$14:$B$33,0)),IFERROR(LOOKUP(2^15,SEARCH(Settings!$I$14:$I$83,O64)/(Settings!$I$14:$I$83&lt;&gt;""),Settings!$J$14:$J$83),"Other"))))</f>
        <v/>
      </c>
      <c r="AS64">
        <f>IF($B64="","",IF(P64="","Not rostered",IFERROR(INDEX(Settings!$C$14:$C$33,MATCH(P64,Settings!$B$14:$B$33,0)),IFERROR(LOOKUP(2^15,SEARCH(Settings!$I$14:$I$83,P64)/(Settings!$I$14:$I$83&lt;&gt;""),Settings!$J$14:$J$83),"Other"))))</f>
        <v/>
      </c>
      <c r="AT64">
        <f>IF($B64="","",IF(Q64="","Not rostered",IFERROR(INDEX(Settings!$C$14:$C$33,MATCH(Q64,Settings!$B$14:$B$33,0)),IFERROR(LOOKUP(2^15,SEARCH(Settings!$I$14:$I$83,Q64)/(Settings!$I$14:$I$83&lt;&gt;""),Settings!$J$14:$J$83),"Other"))))</f>
        <v/>
      </c>
      <c r="AU64">
        <f>IF($B64="","",IF(R64="","Not rostered",IFERROR(INDEX(Settings!$C$14:$C$33,MATCH(R64,Settings!$B$14:$B$33,0)),IFERROR(LOOKUP(2^15,SEARCH(Settings!$I$14:$I$83,R64)/(Settings!$I$14:$I$83&lt;&gt;""),Settings!$J$14:$J$83),"Other"))))</f>
        <v/>
      </c>
      <c r="AV64">
        <f>IF($B64="","",IF(S64="","Not rostered",IFERROR(INDEX(Settings!$C$14:$C$33,MATCH(S64,Settings!$B$14:$B$33,0)),IFERROR(LOOKUP(2^15,SEARCH(Settings!$I$14:$I$83,S64)/(Settings!$I$14:$I$83&lt;&gt;""),Settings!$J$14:$J$83),"Other"))))</f>
        <v/>
      </c>
      <c r="AW64">
        <f>IF($B64="","",IF(T64="","Not rostered",IFERROR(INDEX(Settings!$C$14:$C$33,MATCH(T64,Settings!$B$14:$B$33,0)),IFERROR(LOOKUP(2^15,SEARCH(Settings!$I$14:$I$83,T64)/(Settings!$I$14:$I$83&lt;&gt;""),Settings!$J$14:$J$83),"Other"))))</f>
        <v/>
      </c>
      <c r="AX64">
        <f>IF($B64="","",IF(U64="","Not rostered",IFERROR(INDEX(Settings!$C$14:$C$33,MATCH(U64,Settings!$B$14:$B$33,0)),IFERROR(LOOKUP(2^15,SEARCH(Settings!$I$14:$I$83,U64)/(Settings!$I$14:$I$83&lt;&gt;""),Settings!$J$14:$J$83),"Other"))))</f>
        <v/>
      </c>
      <c r="AY64">
        <f>IF($B64="","",IF(V64="","Not rostered",IFERROR(INDEX(Settings!$C$14:$C$33,MATCH(V64,Settings!$B$14:$B$33,0)),IFERROR(LOOKUP(2^15,SEARCH(Settings!$I$14:$I$83,V64)/(Settings!$I$14:$I$83&lt;&gt;""),Settings!$J$14:$J$83),"Other"))))</f>
        <v/>
      </c>
      <c r="AZ64">
        <f>IF($B64="","",IF(W64="","Not rostered",IFERROR(INDEX(Settings!$C$14:$C$33,MATCH(W64,Settings!$B$14:$B$33,0)),IFERROR(LOOKUP(2^15,SEARCH(Settings!$I$14:$I$83,W64)/(Settings!$I$14:$I$83&lt;&gt;""),Settings!$J$14:$J$83),"Other"))))</f>
        <v/>
      </c>
      <c r="BA64">
        <f>IF($B64="","",IF(X64="","Not rostered",IFERROR(INDEX(Settings!$C$14:$C$33,MATCH(X64,Settings!$B$14:$B$33,0)),IFERROR(LOOKUP(2^15,SEARCH(Settings!$I$14:$I$83,X64)/(Settings!$I$14:$I$83&lt;&gt;""),Settings!$J$14:$J$83),"Other"))))</f>
        <v/>
      </c>
      <c r="BB64">
        <f>IF($B64="","",IF(Y64="","Not rostered",IFERROR(INDEX(Settings!$C$14:$C$33,MATCH(Y64,Settings!$B$14:$B$33,0)),IFERROR(LOOKUP(2^15,SEARCH(Settings!$I$14:$I$83,Y64)/(Settings!$I$14:$I$83&lt;&gt;""),Settings!$J$14:$J$83),"Other"))))</f>
        <v/>
      </c>
      <c r="BC64">
        <f>IF($B64="","",IF(Z64="","Not rostered",IFERROR(INDEX(Settings!$C$14:$C$33,MATCH(Z64,Settings!$B$14:$B$33,0)),IFERROR(LOOKUP(2^15,SEARCH(Settings!$I$14:$I$83,Z64)/(Settings!$I$14:$I$83&lt;&gt;""),Settings!$J$14:$J$83),"Other"))))</f>
        <v/>
      </c>
      <c r="BD64">
        <f>IF($B64="","",IF(AA64="","Not rostered",IFERROR(INDEX(Settings!$C$14:$C$33,MATCH(AA64,Settings!$B$14:$B$33,0)),IFERROR(LOOKUP(2^15,SEARCH(Settings!$I$14:$I$83,AA64)/(Settings!$I$14:$I$83&lt;&gt;""),Settings!$J$14:$J$83),"Other"))))</f>
        <v/>
      </c>
      <c r="BE64">
        <f>IF($B64="","",IF(AB64="","Not rostered",IFERROR(INDEX(Settings!$C$14:$C$33,MATCH(AB64,Settings!$B$14:$B$33,0)),IFERROR(LOOKUP(2^15,SEARCH(Settings!$I$14:$I$83,AB64)/(Settings!$I$14:$I$83&lt;&gt;""),Settings!$J$14:$J$83),"Other"))))</f>
        <v/>
      </c>
      <c r="BF64">
        <f>IF($B64="","",IF(AC64="","Not rostered",IFERROR(INDEX(Settings!$C$14:$C$33,MATCH(AC64,Settings!$B$14:$B$33,0)),IFERROR(LOOKUP(2^15,SEARCH(Settings!$I$14:$I$83,AC64)/(Settings!$I$14:$I$83&lt;&gt;""),Settings!$J$14:$J$83),"Other"))))</f>
        <v/>
      </c>
      <c r="BG64">
        <f>IF($B64="","",IF(AD64="","Not rostered",IFERROR(INDEX(Settings!$C$14:$C$33,MATCH(AD64,Settings!$B$14:$B$33,0)),IFERROR(LOOKUP(2^15,SEARCH(Settings!$I$14:$I$83,AD64)/(Settings!$I$14:$I$83&lt;&gt;""),Settings!$J$14:$J$83),"Other"))))</f>
        <v/>
      </c>
      <c r="BH64">
        <f>IF($B64="","",IF(AE64="","Not rostered",IFERROR(INDEX(Settings!$C$14:$C$33,MATCH(AE64,Settings!$B$14:$B$33,0)),IFERROR(LOOKUP(2^15,SEARCH(Settings!$I$14:$I$83,AE64)/(Settings!$I$14:$I$83&lt;&gt;""),Settings!$J$14:$J$83),"Other"))))</f>
        <v/>
      </c>
      <c r="BI64">
        <f>IF($B64="","",IF(AF64="","Not rostered",IFERROR(INDEX(Settings!$C$14:$C$33,MATCH(AF64,Settings!$B$14:$B$33,0)),IFERROR(LOOKUP(2^15,SEARCH(Settings!$I$14:$I$83,AF64)/(Settings!$I$14:$I$83&lt;&gt;""),Settings!$J$14:$J$83),"Other"))))</f>
        <v/>
      </c>
      <c r="BJ64">
        <f>IF($B64="","",IF(AG64="","Not rostered",IFERROR(INDEX(Settings!$C$14:$C$33,MATCH(AG64,Settings!$B$14:$B$33,0)),IFERROR(LOOKUP(2^15,SEARCH(Settings!$I$14:$I$83,AG64)/(Settings!$I$14:$I$83&lt;&gt;""),Settings!$J$14:$J$83),"Other"))))</f>
        <v/>
      </c>
      <c r="BL64">
        <f>IF(OR($B64="",F64=""),"",IFERROR(INDEX(Settings!$D$14:$D$33,MATCH(F64,Settings!$B$14:$B$33,0))&amp;"",IFERROR(LOOKUP(2^15,SEARCH(Settings!$F$14:$F$43,F64)/(Settings!$F$14:$F$43&lt;&gt;""),Settings!$G$14:$G$43),"")))</f>
        <v/>
      </c>
      <c r="BM64">
        <f>IF(OR($B64="",G64=""),"",IFERROR(INDEX(Settings!$D$14:$D$33,MATCH(G64,Settings!$B$14:$B$33,0))&amp;"",IFERROR(LOOKUP(2^15,SEARCH(Settings!$F$14:$F$43,G64)/(Settings!$F$14:$F$43&lt;&gt;""),Settings!$G$14:$G$43),"")))</f>
        <v/>
      </c>
      <c r="BN64">
        <f>IF(OR($B64="",H64=""),"",IFERROR(INDEX(Settings!$D$14:$D$33,MATCH(H64,Settings!$B$14:$B$33,0))&amp;"",IFERROR(LOOKUP(2^15,SEARCH(Settings!$F$14:$F$43,H64)/(Settings!$F$14:$F$43&lt;&gt;""),Settings!$G$14:$G$43),"")))</f>
        <v/>
      </c>
      <c r="BO64">
        <f>IF(OR($B64="",I64=""),"",IFERROR(INDEX(Settings!$D$14:$D$33,MATCH(I64,Settings!$B$14:$B$33,0))&amp;"",IFERROR(LOOKUP(2^15,SEARCH(Settings!$F$14:$F$43,I64)/(Settings!$F$14:$F$43&lt;&gt;""),Settings!$G$14:$G$43),"")))</f>
        <v/>
      </c>
      <c r="BP64">
        <f>IF(OR($B64="",J64=""),"",IFERROR(INDEX(Settings!$D$14:$D$33,MATCH(J64,Settings!$B$14:$B$33,0))&amp;"",IFERROR(LOOKUP(2^15,SEARCH(Settings!$F$14:$F$43,J64)/(Settings!$F$14:$F$43&lt;&gt;""),Settings!$G$14:$G$43),"")))</f>
        <v/>
      </c>
      <c r="BQ64">
        <f>IF(OR($B64="",K64=""),"",IFERROR(INDEX(Settings!$D$14:$D$33,MATCH(K64,Settings!$B$14:$B$33,0))&amp;"",IFERROR(LOOKUP(2^15,SEARCH(Settings!$F$14:$F$43,K64)/(Settings!$F$14:$F$43&lt;&gt;""),Settings!$G$14:$G$43),"")))</f>
        <v/>
      </c>
      <c r="BR64">
        <f>IF(OR($B64="",L64=""),"",IFERROR(INDEX(Settings!$D$14:$D$33,MATCH(L64,Settings!$B$14:$B$33,0))&amp;"",IFERROR(LOOKUP(2^15,SEARCH(Settings!$F$14:$F$43,L64)/(Settings!$F$14:$F$43&lt;&gt;""),Settings!$G$14:$G$43),"")))</f>
        <v/>
      </c>
      <c r="BS64">
        <f>IF(OR($B64="",M64=""),"",IFERROR(INDEX(Settings!$D$14:$D$33,MATCH(M64,Settings!$B$14:$B$33,0))&amp;"",IFERROR(LOOKUP(2^15,SEARCH(Settings!$F$14:$F$43,M64)/(Settings!$F$14:$F$43&lt;&gt;""),Settings!$G$14:$G$43),"")))</f>
        <v/>
      </c>
      <c r="BT64">
        <f>IF(OR($B64="",N64=""),"",IFERROR(INDEX(Settings!$D$14:$D$33,MATCH(N64,Settings!$B$14:$B$33,0))&amp;"",IFERROR(LOOKUP(2^15,SEARCH(Settings!$F$14:$F$43,N64)/(Settings!$F$14:$F$43&lt;&gt;""),Settings!$G$14:$G$43),"")))</f>
        <v/>
      </c>
      <c r="BU64">
        <f>IF(OR($B64="",O64=""),"",IFERROR(INDEX(Settings!$D$14:$D$33,MATCH(O64,Settings!$B$14:$B$33,0))&amp;"",IFERROR(LOOKUP(2^15,SEARCH(Settings!$F$14:$F$43,O64)/(Settings!$F$14:$F$43&lt;&gt;""),Settings!$G$14:$G$43),"")))</f>
        <v/>
      </c>
      <c r="BV64">
        <f>IF(OR($B64="",P64=""),"",IFERROR(INDEX(Settings!$D$14:$D$33,MATCH(P64,Settings!$B$14:$B$33,0))&amp;"",IFERROR(LOOKUP(2^15,SEARCH(Settings!$F$14:$F$43,P64)/(Settings!$F$14:$F$43&lt;&gt;""),Settings!$G$14:$G$43),"")))</f>
        <v/>
      </c>
      <c r="BW64">
        <f>IF(OR($B64="",Q64=""),"",IFERROR(INDEX(Settings!$D$14:$D$33,MATCH(Q64,Settings!$B$14:$B$33,0))&amp;"",IFERROR(LOOKUP(2^15,SEARCH(Settings!$F$14:$F$43,Q64)/(Settings!$F$14:$F$43&lt;&gt;""),Settings!$G$14:$G$43),"")))</f>
        <v/>
      </c>
      <c r="BX64">
        <f>IF(OR($B64="",R64=""),"",IFERROR(INDEX(Settings!$D$14:$D$33,MATCH(R64,Settings!$B$14:$B$33,0))&amp;"",IFERROR(LOOKUP(2^15,SEARCH(Settings!$F$14:$F$43,R64)/(Settings!$F$14:$F$43&lt;&gt;""),Settings!$G$14:$G$43),"")))</f>
        <v/>
      </c>
      <c r="BY64">
        <f>IF(OR($B64="",S64=""),"",IFERROR(INDEX(Settings!$D$14:$D$33,MATCH(S64,Settings!$B$14:$B$33,0))&amp;"",IFERROR(LOOKUP(2^15,SEARCH(Settings!$F$14:$F$43,S64)/(Settings!$F$14:$F$43&lt;&gt;""),Settings!$G$14:$G$43),"")))</f>
        <v/>
      </c>
      <c r="BZ64">
        <f>IF(OR($B64="",T64=""),"",IFERROR(INDEX(Settings!$D$14:$D$33,MATCH(T64,Settings!$B$14:$B$33,0))&amp;"",IFERROR(LOOKUP(2^15,SEARCH(Settings!$F$14:$F$43,T64)/(Settings!$F$14:$F$43&lt;&gt;""),Settings!$G$14:$G$43),"")))</f>
        <v/>
      </c>
      <c r="CA64">
        <f>IF(OR($B64="",U64=""),"",IFERROR(INDEX(Settings!$D$14:$D$33,MATCH(U64,Settings!$B$14:$B$33,0))&amp;"",IFERROR(LOOKUP(2^15,SEARCH(Settings!$F$14:$F$43,U64)/(Settings!$F$14:$F$43&lt;&gt;""),Settings!$G$14:$G$43),"")))</f>
        <v/>
      </c>
      <c r="CB64">
        <f>IF(OR($B64="",V64=""),"",IFERROR(INDEX(Settings!$D$14:$D$33,MATCH(V64,Settings!$B$14:$B$33,0))&amp;"",IFERROR(LOOKUP(2^15,SEARCH(Settings!$F$14:$F$43,V64)/(Settings!$F$14:$F$43&lt;&gt;""),Settings!$G$14:$G$43),"")))</f>
        <v/>
      </c>
      <c r="CC64">
        <f>IF(OR($B64="",W64=""),"",IFERROR(INDEX(Settings!$D$14:$D$33,MATCH(W64,Settings!$B$14:$B$33,0))&amp;"",IFERROR(LOOKUP(2^15,SEARCH(Settings!$F$14:$F$43,W64)/(Settings!$F$14:$F$43&lt;&gt;""),Settings!$G$14:$G$43),"")))</f>
        <v/>
      </c>
      <c r="CD64">
        <f>IF(OR($B64="",X64=""),"",IFERROR(INDEX(Settings!$D$14:$D$33,MATCH(X64,Settings!$B$14:$B$33,0))&amp;"",IFERROR(LOOKUP(2^15,SEARCH(Settings!$F$14:$F$43,X64)/(Settings!$F$14:$F$43&lt;&gt;""),Settings!$G$14:$G$43),"")))</f>
        <v/>
      </c>
      <c r="CE64">
        <f>IF(OR($B64="",Y64=""),"",IFERROR(INDEX(Settings!$D$14:$D$33,MATCH(Y64,Settings!$B$14:$B$33,0))&amp;"",IFERROR(LOOKUP(2^15,SEARCH(Settings!$F$14:$F$43,Y64)/(Settings!$F$14:$F$43&lt;&gt;""),Settings!$G$14:$G$43),"")))</f>
        <v/>
      </c>
      <c r="CF64">
        <f>IF(OR($B64="",Z64=""),"",IFERROR(INDEX(Settings!$D$14:$D$33,MATCH(Z64,Settings!$B$14:$B$33,0))&amp;"",IFERROR(LOOKUP(2^15,SEARCH(Settings!$F$14:$F$43,Z64)/(Settings!$F$14:$F$43&lt;&gt;""),Settings!$G$14:$G$43),"")))</f>
        <v/>
      </c>
      <c r="CG64">
        <f>IF(OR($B64="",AA64=""),"",IFERROR(INDEX(Settings!$D$14:$D$33,MATCH(AA64,Settings!$B$14:$B$33,0))&amp;"",IFERROR(LOOKUP(2^15,SEARCH(Settings!$F$14:$F$43,AA64)/(Settings!$F$14:$F$43&lt;&gt;""),Settings!$G$14:$G$43),"")))</f>
        <v/>
      </c>
      <c r="CH64">
        <f>IF(OR($B64="",AB64=""),"",IFERROR(INDEX(Settings!$D$14:$D$33,MATCH(AB64,Settings!$B$14:$B$33,0))&amp;"",IFERROR(LOOKUP(2^15,SEARCH(Settings!$F$14:$F$43,AB64)/(Settings!$F$14:$F$43&lt;&gt;""),Settings!$G$14:$G$43),"")))</f>
        <v/>
      </c>
      <c r="CI64">
        <f>IF(OR($B64="",AC64=""),"",IFERROR(INDEX(Settings!$D$14:$D$33,MATCH(AC64,Settings!$B$14:$B$33,0))&amp;"",IFERROR(LOOKUP(2^15,SEARCH(Settings!$F$14:$F$43,AC64)/(Settings!$F$14:$F$43&lt;&gt;""),Settings!$G$14:$G$43),"")))</f>
        <v/>
      </c>
      <c r="CJ64">
        <f>IF(OR($B64="",AD64=""),"",IFERROR(INDEX(Settings!$D$14:$D$33,MATCH(AD64,Settings!$B$14:$B$33,0))&amp;"",IFERROR(LOOKUP(2^15,SEARCH(Settings!$F$14:$F$43,AD64)/(Settings!$F$14:$F$43&lt;&gt;""),Settings!$G$14:$G$43),"")))</f>
        <v/>
      </c>
      <c r="CK64">
        <f>IF(OR($B64="",AE64=""),"",IFERROR(INDEX(Settings!$D$14:$D$33,MATCH(AE64,Settings!$B$14:$B$33,0))&amp;"",IFERROR(LOOKUP(2^15,SEARCH(Settings!$F$14:$F$43,AE64)/(Settings!$F$14:$F$43&lt;&gt;""),Settings!$G$14:$G$43),"")))</f>
        <v/>
      </c>
      <c r="CL64">
        <f>IF(OR($B64="",AF64=""),"",IFERROR(INDEX(Settings!$D$14:$D$33,MATCH(AF64,Settings!$B$14:$B$33,0))&amp;"",IFERROR(LOOKUP(2^15,SEARCH(Settings!$F$14:$F$43,AF64)/(Settings!$F$14:$F$43&lt;&gt;""),Settings!$G$14:$G$43),"")))</f>
        <v/>
      </c>
      <c r="CM64">
        <f>IF(OR($B64="",AG64=""),"",IFERROR(INDEX(Settings!$D$14:$D$33,MATCH(AG64,Settings!$B$14:$B$33,0))&amp;"",IFERROR(LOOKUP(2^15,SEARCH(Settings!$F$14:$F$43,AG64)/(Settings!$F$14:$F$43&lt;&gt;""),Settings!$G$14:$G$43),"")))</f>
        <v/>
      </c>
    </row>
    <row r="65">
      <c r="A65" t="n">
        <v>63</v>
      </c>
      <c r="B65">
        <f>IFERROR(INDEX(Index!$A$2:$A$202,MATCH(A65,Index!$E$2:$E$202,0)),"")</f>
        <v/>
      </c>
      <c r="D65">
        <f>IF($B65="","",IFERROR(MATCH("Travel*",AI65:BJ65,0),""))</f>
        <v/>
      </c>
      <c r="F65">
        <f>IF(OR($B65="",NOT(ISNUMBER(Settings!$C$9))),"",TRIM(SUBSTITUTE(SUBSTITUTE(INDEX('INPUT - Roster'!$S$1:$SV$206,$B65,Settings!$C$9+0)&amp;"",CHAR(10)," "),CHAR(160)," ")))</f>
        <v/>
      </c>
      <c r="G65">
        <f>IF(OR($B65="",NOT(ISNUMBER(Settings!$C$9))),"",TRIM(SUBSTITUTE(SUBSTITUTE(INDEX('INPUT - Roster'!$S$1:$SV$206,$B65,Settings!$C$9+1)&amp;"",CHAR(10)," "),CHAR(160)," ")))</f>
        <v/>
      </c>
      <c r="H65">
        <f>IF(OR($B65="",NOT(ISNUMBER(Settings!$C$9))),"",TRIM(SUBSTITUTE(SUBSTITUTE(INDEX('INPUT - Roster'!$S$1:$SV$206,$B65,Settings!$C$9+2)&amp;"",CHAR(10)," "),CHAR(160)," ")))</f>
        <v/>
      </c>
      <c r="I65">
        <f>IF(OR($B65="",NOT(ISNUMBER(Settings!$C$9))),"",TRIM(SUBSTITUTE(SUBSTITUTE(INDEX('INPUT - Roster'!$S$1:$SV$206,$B65,Settings!$C$9+3)&amp;"",CHAR(10)," "),CHAR(160)," ")))</f>
        <v/>
      </c>
      <c r="J65">
        <f>IF(OR($B65="",NOT(ISNUMBER(Settings!$C$9))),"",TRIM(SUBSTITUTE(SUBSTITUTE(INDEX('INPUT - Roster'!$S$1:$SV$206,$B65,Settings!$C$9+4)&amp;"",CHAR(10)," "),CHAR(160)," ")))</f>
        <v/>
      </c>
      <c r="K65">
        <f>IF(OR($B65="",NOT(ISNUMBER(Settings!$C$9))),"",TRIM(SUBSTITUTE(SUBSTITUTE(INDEX('INPUT - Roster'!$S$1:$SV$206,$B65,Settings!$C$9+5)&amp;"",CHAR(10)," "),CHAR(160)," ")))</f>
        <v/>
      </c>
      <c r="L65">
        <f>IF(OR($B65="",NOT(ISNUMBER(Settings!$C$9))),"",TRIM(SUBSTITUTE(SUBSTITUTE(INDEX('INPUT - Roster'!$S$1:$SV$206,$B65,Settings!$C$9+6)&amp;"",CHAR(10)," "),CHAR(160)," ")))</f>
        <v/>
      </c>
      <c r="M65">
        <f>IF(OR($B65="",NOT(ISNUMBER(Settings!$C$9))),"",TRIM(SUBSTITUTE(SUBSTITUTE(INDEX('INPUT - Roster'!$S$1:$SV$206,$B65,Settings!$C$9+7)&amp;"",CHAR(10)," "),CHAR(160)," ")))</f>
        <v/>
      </c>
      <c r="N65">
        <f>IF(OR($B65="",NOT(ISNUMBER(Settings!$C$9))),"",TRIM(SUBSTITUTE(SUBSTITUTE(INDEX('INPUT - Roster'!$S$1:$SV$206,$B65,Settings!$C$9+8)&amp;"",CHAR(10)," "),CHAR(160)," ")))</f>
        <v/>
      </c>
      <c r="O65">
        <f>IF(OR($B65="",NOT(ISNUMBER(Settings!$C$9))),"",TRIM(SUBSTITUTE(SUBSTITUTE(INDEX('INPUT - Roster'!$S$1:$SV$206,$B65,Settings!$C$9+9)&amp;"",CHAR(10)," "),CHAR(160)," ")))</f>
        <v/>
      </c>
      <c r="P65">
        <f>IF(OR($B65="",NOT(ISNUMBER(Settings!$C$9))),"",TRIM(SUBSTITUTE(SUBSTITUTE(INDEX('INPUT - Roster'!$S$1:$SV$206,$B65,Settings!$C$9+10)&amp;"",CHAR(10)," "),CHAR(160)," ")))</f>
        <v/>
      </c>
      <c r="Q65">
        <f>IF(OR($B65="",NOT(ISNUMBER(Settings!$C$9))),"",TRIM(SUBSTITUTE(SUBSTITUTE(INDEX('INPUT - Roster'!$S$1:$SV$206,$B65,Settings!$C$9+11)&amp;"",CHAR(10)," "),CHAR(160)," ")))</f>
        <v/>
      </c>
      <c r="R65">
        <f>IF(OR($B65="",NOT(ISNUMBER(Settings!$C$9))),"",TRIM(SUBSTITUTE(SUBSTITUTE(INDEX('INPUT - Roster'!$S$1:$SV$206,$B65,Settings!$C$9+12)&amp;"",CHAR(10)," "),CHAR(160)," ")))</f>
        <v/>
      </c>
      <c r="S65">
        <f>IF(OR($B65="",NOT(ISNUMBER(Settings!$C$9))),"",TRIM(SUBSTITUTE(SUBSTITUTE(INDEX('INPUT - Roster'!$S$1:$SV$206,$B65,Settings!$C$9+13)&amp;"",CHAR(10)," "),CHAR(160)," ")))</f>
        <v/>
      </c>
      <c r="T65">
        <f>IF(OR($B65="",NOT(ISNUMBER(Settings!$C$9))),"",TRIM(SUBSTITUTE(SUBSTITUTE(INDEX('INPUT - Roster'!$S$1:$SV$206,$B65,Settings!$C$9+14)&amp;"",CHAR(10)," "),CHAR(160)," ")))</f>
        <v/>
      </c>
      <c r="U65">
        <f>IF(OR($B65="",NOT(ISNUMBER(Settings!$C$9))),"",TRIM(SUBSTITUTE(SUBSTITUTE(INDEX('INPUT - Roster'!$S$1:$SV$206,$B65,Settings!$C$9+15)&amp;"",CHAR(10)," "),CHAR(160)," ")))</f>
        <v/>
      </c>
      <c r="V65">
        <f>IF(OR($B65="",NOT(ISNUMBER(Settings!$C$9))),"",TRIM(SUBSTITUTE(SUBSTITUTE(INDEX('INPUT - Roster'!$S$1:$SV$206,$B65,Settings!$C$9+16)&amp;"",CHAR(10)," "),CHAR(160)," ")))</f>
        <v/>
      </c>
      <c r="W65">
        <f>IF(OR($B65="",NOT(ISNUMBER(Settings!$C$9))),"",TRIM(SUBSTITUTE(SUBSTITUTE(INDEX('INPUT - Roster'!$S$1:$SV$206,$B65,Settings!$C$9+17)&amp;"",CHAR(10)," "),CHAR(160)," ")))</f>
        <v/>
      </c>
      <c r="X65">
        <f>IF(OR($B65="",NOT(ISNUMBER(Settings!$C$9))),"",TRIM(SUBSTITUTE(SUBSTITUTE(INDEX('INPUT - Roster'!$S$1:$SV$206,$B65,Settings!$C$9+18)&amp;"",CHAR(10)," "),CHAR(160)," ")))</f>
        <v/>
      </c>
      <c r="Y65">
        <f>IF(OR($B65="",NOT(ISNUMBER(Settings!$C$9))),"",TRIM(SUBSTITUTE(SUBSTITUTE(INDEX('INPUT - Roster'!$S$1:$SV$206,$B65,Settings!$C$9+19)&amp;"",CHAR(10)," "),CHAR(160)," ")))</f>
        <v/>
      </c>
      <c r="Z65">
        <f>IF(OR($B65="",NOT(ISNUMBER(Settings!$C$9))),"",TRIM(SUBSTITUTE(SUBSTITUTE(INDEX('INPUT - Roster'!$S$1:$SV$206,$B65,Settings!$C$9+20)&amp;"",CHAR(10)," "),CHAR(160)," ")))</f>
        <v/>
      </c>
      <c r="AA65">
        <f>IF(OR($B65="",NOT(ISNUMBER(Settings!$C$9))),"",TRIM(SUBSTITUTE(SUBSTITUTE(INDEX('INPUT - Roster'!$S$1:$SV$206,$B65,Settings!$C$9+21)&amp;"",CHAR(10)," "),CHAR(160)," ")))</f>
        <v/>
      </c>
      <c r="AB65">
        <f>IF(OR($B65="",NOT(ISNUMBER(Settings!$C$9))),"",TRIM(SUBSTITUTE(SUBSTITUTE(INDEX('INPUT - Roster'!$S$1:$SV$206,$B65,Settings!$C$9+22)&amp;"",CHAR(10)," "),CHAR(160)," ")))</f>
        <v/>
      </c>
      <c r="AC65">
        <f>IF(OR($B65="",NOT(ISNUMBER(Settings!$C$9))),"",TRIM(SUBSTITUTE(SUBSTITUTE(INDEX('INPUT - Roster'!$S$1:$SV$206,$B65,Settings!$C$9+23)&amp;"",CHAR(10)," "),CHAR(160)," ")))</f>
        <v/>
      </c>
      <c r="AD65">
        <f>IF(OR($B65="",NOT(ISNUMBER(Settings!$C$9))),"",TRIM(SUBSTITUTE(SUBSTITUTE(INDEX('INPUT - Roster'!$S$1:$SV$206,$B65,Settings!$C$9+24)&amp;"",CHAR(10)," "),CHAR(160)," ")))</f>
        <v/>
      </c>
      <c r="AE65">
        <f>IF(OR($B65="",NOT(ISNUMBER(Settings!$C$9))),"",TRIM(SUBSTITUTE(SUBSTITUTE(INDEX('INPUT - Roster'!$S$1:$SV$206,$B65,Settings!$C$9+25)&amp;"",CHAR(10)," "),CHAR(160)," ")))</f>
        <v/>
      </c>
      <c r="AF65">
        <f>IF(OR($B65="",NOT(ISNUMBER(Settings!$C$9))),"",TRIM(SUBSTITUTE(SUBSTITUTE(INDEX('INPUT - Roster'!$S$1:$SV$206,$B65,Settings!$C$9+26)&amp;"",CHAR(10)," "),CHAR(160)," ")))</f>
        <v/>
      </c>
      <c r="AG65">
        <f>IF(OR($B65="",NOT(ISNUMBER(Settings!$C$9))),"",TRIM(SUBSTITUTE(SUBSTITUTE(INDEX('INPUT - Roster'!$S$1:$SV$206,$B65,Settings!$C$9+27)&amp;"",CHAR(10)," "),CHAR(160)," ")))</f>
        <v/>
      </c>
      <c r="AI65">
        <f>IF($B65="","",IF(F65="","Not rostered",IFERROR(INDEX(Settings!$C$14:$C$33,MATCH(F65,Settings!$B$14:$B$33,0)),IFERROR(LOOKUP(2^15,SEARCH(Settings!$I$14:$I$83,F65)/(Settings!$I$14:$I$83&lt;&gt;""),Settings!$J$14:$J$83),"Other"))))</f>
        <v/>
      </c>
      <c r="AJ65">
        <f>IF($B65="","",IF(G65="","Not rostered",IFERROR(INDEX(Settings!$C$14:$C$33,MATCH(G65,Settings!$B$14:$B$33,0)),IFERROR(LOOKUP(2^15,SEARCH(Settings!$I$14:$I$83,G65)/(Settings!$I$14:$I$83&lt;&gt;""),Settings!$J$14:$J$83),"Other"))))</f>
        <v/>
      </c>
      <c r="AK65">
        <f>IF($B65="","",IF(H65="","Not rostered",IFERROR(INDEX(Settings!$C$14:$C$33,MATCH(H65,Settings!$B$14:$B$33,0)),IFERROR(LOOKUP(2^15,SEARCH(Settings!$I$14:$I$83,H65)/(Settings!$I$14:$I$83&lt;&gt;""),Settings!$J$14:$J$83),"Other"))))</f>
        <v/>
      </c>
      <c r="AL65">
        <f>IF($B65="","",IF(I65="","Not rostered",IFERROR(INDEX(Settings!$C$14:$C$33,MATCH(I65,Settings!$B$14:$B$33,0)),IFERROR(LOOKUP(2^15,SEARCH(Settings!$I$14:$I$83,I65)/(Settings!$I$14:$I$83&lt;&gt;""),Settings!$J$14:$J$83),"Other"))))</f>
        <v/>
      </c>
      <c r="AM65">
        <f>IF($B65="","",IF(J65="","Not rostered",IFERROR(INDEX(Settings!$C$14:$C$33,MATCH(J65,Settings!$B$14:$B$33,0)),IFERROR(LOOKUP(2^15,SEARCH(Settings!$I$14:$I$83,J65)/(Settings!$I$14:$I$83&lt;&gt;""),Settings!$J$14:$J$83),"Other"))))</f>
        <v/>
      </c>
      <c r="AN65">
        <f>IF($B65="","",IF(K65="","Not rostered",IFERROR(INDEX(Settings!$C$14:$C$33,MATCH(K65,Settings!$B$14:$B$33,0)),IFERROR(LOOKUP(2^15,SEARCH(Settings!$I$14:$I$83,K65)/(Settings!$I$14:$I$83&lt;&gt;""),Settings!$J$14:$J$83),"Other"))))</f>
        <v/>
      </c>
      <c r="AO65">
        <f>IF($B65="","",IF(L65="","Not rostered",IFERROR(INDEX(Settings!$C$14:$C$33,MATCH(L65,Settings!$B$14:$B$33,0)),IFERROR(LOOKUP(2^15,SEARCH(Settings!$I$14:$I$83,L65)/(Settings!$I$14:$I$83&lt;&gt;""),Settings!$J$14:$J$83),"Other"))))</f>
        <v/>
      </c>
      <c r="AP65">
        <f>IF($B65="","",IF(M65="","Not rostered",IFERROR(INDEX(Settings!$C$14:$C$33,MATCH(M65,Settings!$B$14:$B$33,0)),IFERROR(LOOKUP(2^15,SEARCH(Settings!$I$14:$I$83,M65)/(Settings!$I$14:$I$83&lt;&gt;""),Settings!$J$14:$J$83),"Other"))))</f>
        <v/>
      </c>
      <c r="AQ65">
        <f>IF($B65="","",IF(N65="","Not rostered",IFERROR(INDEX(Settings!$C$14:$C$33,MATCH(N65,Settings!$B$14:$B$33,0)),IFERROR(LOOKUP(2^15,SEARCH(Settings!$I$14:$I$83,N65)/(Settings!$I$14:$I$83&lt;&gt;""),Settings!$J$14:$J$83),"Other"))))</f>
        <v/>
      </c>
      <c r="AR65">
        <f>IF($B65="","",IF(O65="","Not rostered",IFERROR(INDEX(Settings!$C$14:$C$33,MATCH(O65,Settings!$B$14:$B$33,0)),IFERROR(LOOKUP(2^15,SEARCH(Settings!$I$14:$I$83,O65)/(Settings!$I$14:$I$83&lt;&gt;""),Settings!$J$14:$J$83),"Other"))))</f>
        <v/>
      </c>
      <c r="AS65">
        <f>IF($B65="","",IF(P65="","Not rostered",IFERROR(INDEX(Settings!$C$14:$C$33,MATCH(P65,Settings!$B$14:$B$33,0)),IFERROR(LOOKUP(2^15,SEARCH(Settings!$I$14:$I$83,P65)/(Settings!$I$14:$I$83&lt;&gt;""),Settings!$J$14:$J$83),"Other"))))</f>
        <v/>
      </c>
      <c r="AT65">
        <f>IF($B65="","",IF(Q65="","Not rostered",IFERROR(INDEX(Settings!$C$14:$C$33,MATCH(Q65,Settings!$B$14:$B$33,0)),IFERROR(LOOKUP(2^15,SEARCH(Settings!$I$14:$I$83,Q65)/(Settings!$I$14:$I$83&lt;&gt;""),Settings!$J$14:$J$83),"Other"))))</f>
        <v/>
      </c>
      <c r="AU65">
        <f>IF($B65="","",IF(R65="","Not rostered",IFERROR(INDEX(Settings!$C$14:$C$33,MATCH(R65,Settings!$B$14:$B$33,0)),IFERROR(LOOKUP(2^15,SEARCH(Settings!$I$14:$I$83,R65)/(Settings!$I$14:$I$83&lt;&gt;""),Settings!$J$14:$J$83),"Other"))))</f>
        <v/>
      </c>
      <c r="AV65">
        <f>IF($B65="","",IF(S65="","Not rostered",IFERROR(INDEX(Settings!$C$14:$C$33,MATCH(S65,Settings!$B$14:$B$33,0)),IFERROR(LOOKUP(2^15,SEARCH(Settings!$I$14:$I$83,S65)/(Settings!$I$14:$I$83&lt;&gt;""),Settings!$J$14:$J$83),"Other"))))</f>
        <v/>
      </c>
      <c r="AW65">
        <f>IF($B65="","",IF(T65="","Not rostered",IFERROR(INDEX(Settings!$C$14:$C$33,MATCH(T65,Settings!$B$14:$B$33,0)),IFERROR(LOOKUP(2^15,SEARCH(Settings!$I$14:$I$83,T65)/(Settings!$I$14:$I$83&lt;&gt;""),Settings!$J$14:$J$83),"Other"))))</f>
        <v/>
      </c>
      <c r="AX65">
        <f>IF($B65="","",IF(U65="","Not rostered",IFERROR(INDEX(Settings!$C$14:$C$33,MATCH(U65,Settings!$B$14:$B$33,0)),IFERROR(LOOKUP(2^15,SEARCH(Settings!$I$14:$I$83,U65)/(Settings!$I$14:$I$83&lt;&gt;""),Settings!$J$14:$J$83),"Other"))))</f>
        <v/>
      </c>
      <c r="AY65">
        <f>IF($B65="","",IF(V65="","Not rostered",IFERROR(INDEX(Settings!$C$14:$C$33,MATCH(V65,Settings!$B$14:$B$33,0)),IFERROR(LOOKUP(2^15,SEARCH(Settings!$I$14:$I$83,V65)/(Settings!$I$14:$I$83&lt;&gt;""),Settings!$J$14:$J$83),"Other"))))</f>
        <v/>
      </c>
      <c r="AZ65">
        <f>IF($B65="","",IF(W65="","Not rostered",IFERROR(INDEX(Settings!$C$14:$C$33,MATCH(W65,Settings!$B$14:$B$33,0)),IFERROR(LOOKUP(2^15,SEARCH(Settings!$I$14:$I$83,W65)/(Settings!$I$14:$I$83&lt;&gt;""),Settings!$J$14:$J$83),"Other"))))</f>
        <v/>
      </c>
      <c r="BA65">
        <f>IF($B65="","",IF(X65="","Not rostered",IFERROR(INDEX(Settings!$C$14:$C$33,MATCH(X65,Settings!$B$14:$B$33,0)),IFERROR(LOOKUP(2^15,SEARCH(Settings!$I$14:$I$83,X65)/(Settings!$I$14:$I$83&lt;&gt;""),Settings!$J$14:$J$83),"Other"))))</f>
        <v/>
      </c>
      <c r="BB65">
        <f>IF($B65="","",IF(Y65="","Not rostered",IFERROR(INDEX(Settings!$C$14:$C$33,MATCH(Y65,Settings!$B$14:$B$33,0)),IFERROR(LOOKUP(2^15,SEARCH(Settings!$I$14:$I$83,Y65)/(Settings!$I$14:$I$83&lt;&gt;""),Settings!$J$14:$J$83),"Other"))))</f>
        <v/>
      </c>
      <c r="BC65">
        <f>IF($B65="","",IF(Z65="","Not rostered",IFERROR(INDEX(Settings!$C$14:$C$33,MATCH(Z65,Settings!$B$14:$B$33,0)),IFERROR(LOOKUP(2^15,SEARCH(Settings!$I$14:$I$83,Z65)/(Settings!$I$14:$I$83&lt;&gt;""),Settings!$J$14:$J$83),"Other"))))</f>
        <v/>
      </c>
      <c r="BD65">
        <f>IF($B65="","",IF(AA65="","Not rostered",IFERROR(INDEX(Settings!$C$14:$C$33,MATCH(AA65,Settings!$B$14:$B$33,0)),IFERROR(LOOKUP(2^15,SEARCH(Settings!$I$14:$I$83,AA65)/(Settings!$I$14:$I$83&lt;&gt;""),Settings!$J$14:$J$83),"Other"))))</f>
        <v/>
      </c>
      <c r="BE65">
        <f>IF($B65="","",IF(AB65="","Not rostered",IFERROR(INDEX(Settings!$C$14:$C$33,MATCH(AB65,Settings!$B$14:$B$33,0)),IFERROR(LOOKUP(2^15,SEARCH(Settings!$I$14:$I$83,AB65)/(Settings!$I$14:$I$83&lt;&gt;""),Settings!$J$14:$J$83),"Other"))))</f>
        <v/>
      </c>
      <c r="BF65">
        <f>IF($B65="","",IF(AC65="","Not rostered",IFERROR(INDEX(Settings!$C$14:$C$33,MATCH(AC65,Settings!$B$14:$B$33,0)),IFERROR(LOOKUP(2^15,SEARCH(Settings!$I$14:$I$83,AC65)/(Settings!$I$14:$I$83&lt;&gt;""),Settings!$J$14:$J$83),"Other"))))</f>
        <v/>
      </c>
      <c r="BG65">
        <f>IF($B65="","",IF(AD65="","Not rostered",IFERROR(INDEX(Settings!$C$14:$C$33,MATCH(AD65,Settings!$B$14:$B$33,0)),IFERROR(LOOKUP(2^15,SEARCH(Settings!$I$14:$I$83,AD65)/(Settings!$I$14:$I$83&lt;&gt;""),Settings!$J$14:$J$83),"Other"))))</f>
        <v/>
      </c>
      <c r="BH65">
        <f>IF($B65="","",IF(AE65="","Not rostered",IFERROR(INDEX(Settings!$C$14:$C$33,MATCH(AE65,Settings!$B$14:$B$33,0)),IFERROR(LOOKUP(2^15,SEARCH(Settings!$I$14:$I$83,AE65)/(Settings!$I$14:$I$83&lt;&gt;""),Settings!$J$14:$J$83),"Other"))))</f>
        <v/>
      </c>
      <c r="BI65">
        <f>IF($B65="","",IF(AF65="","Not rostered",IFERROR(INDEX(Settings!$C$14:$C$33,MATCH(AF65,Settings!$B$14:$B$33,0)),IFERROR(LOOKUP(2^15,SEARCH(Settings!$I$14:$I$83,AF65)/(Settings!$I$14:$I$83&lt;&gt;""),Settings!$J$14:$J$83),"Other"))))</f>
        <v/>
      </c>
      <c r="BJ65">
        <f>IF($B65="","",IF(AG65="","Not rostered",IFERROR(INDEX(Settings!$C$14:$C$33,MATCH(AG65,Settings!$B$14:$B$33,0)),IFERROR(LOOKUP(2^15,SEARCH(Settings!$I$14:$I$83,AG65)/(Settings!$I$14:$I$83&lt;&gt;""),Settings!$J$14:$J$83),"Other"))))</f>
        <v/>
      </c>
      <c r="BL65">
        <f>IF(OR($B65="",F65=""),"",IFERROR(INDEX(Settings!$D$14:$D$33,MATCH(F65,Settings!$B$14:$B$33,0))&amp;"",IFERROR(LOOKUP(2^15,SEARCH(Settings!$F$14:$F$43,F65)/(Settings!$F$14:$F$43&lt;&gt;""),Settings!$G$14:$G$43),"")))</f>
        <v/>
      </c>
      <c r="BM65">
        <f>IF(OR($B65="",G65=""),"",IFERROR(INDEX(Settings!$D$14:$D$33,MATCH(G65,Settings!$B$14:$B$33,0))&amp;"",IFERROR(LOOKUP(2^15,SEARCH(Settings!$F$14:$F$43,G65)/(Settings!$F$14:$F$43&lt;&gt;""),Settings!$G$14:$G$43),"")))</f>
        <v/>
      </c>
      <c r="BN65">
        <f>IF(OR($B65="",H65=""),"",IFERROR(INDEX(Settings!$D$14:$D$33,MATCH(H65,Settings!$B$14:$B$33,0))&amp;"",IFERROR(LOOKUP(2^15,SEARCH(Settings!$F$14:$F$43,H65)/(Settings!$F$14:$F$43&lt;&gt;""),Settings!$G$14:$G$43),"")))</f>
        <v/>
      </c>
      <c r="BO65">
        <f>IF(OR($B65="",I65=""),"",IFERROR(INDEX(Settings!$D$14:$D$33,MATCH(I65,Settings!$B$14:$B$33,0))&amp;"",IFERROR(LOOKUP(2^15,SEARCH(Settings!$F$14:$F$43,I65)/(Settings!$F$14:$F$43&lt;&gt;""),Settings!$G$14:$G$43),"")))</f>
        <v/>
      </c>
      <c r="BP65">
        <f>IF(OR($B65="",J65=""),"",IFERROR(INDEX(Settings!$D$14:$D$33,MATCH(J65,Settings!$B$14:$B$33,0))&amp;"",IFERROR(LOOKUP(2^15,SEARCH(Settings!$F$14:$F$43,J65)/(Settings!$F$14:$F$43&lt;&gt;""),Settings!$G$14:$G$43),"")))</f>
        <v/>
      </c>
      <c r="BQ65">
        <f>IF(OR($B65="",K65=""),"",IFERROR(INDEX(Settings!$D$14:$D$33,MATCH(K65,Settings!$B$14:$B$33,0))&amp;"",IFERROR(LOOKUP(2^15,SEARCH(Settings!$F$14:$F$43,K65)/(Settings!$F$14:$F$43&lt;&gt;""),Settings!$G$14:$G$43),"")))</f>
        <v/>
      </c>
      <c r="BR65">
        <f>IF(OR($B65="",L65=""),"",IFERROR(INDEX(Settings!$D$14:$D$33,MATCH(L65,Settings!$B$14:$B$33,0))&amp;"",IFERROR(LOOKUP(2^15,SEARCH(Settings!$F$14:$F$43,L65)/(Settings!$F$14:$F$43&lt;&gt;""),Settings!$G$14:$G$43),"")))</f>
        <v/>
      </c>
      <c r="BS65">
        <f>IF(OR($B65="",M65=""),"",IFERROR(INDEX(Settings!$D$14:$D$33,MATCH(M65,Settings!$B$14:$B$33,0))&amp;"",IFERROR(LOOKUP(2^15,SEARCH(Settings!$F$14:$F$43,M65)/(Settings!$F$14:$F$43&lt;&gt;""),Settings!$G$14:$G$43),"")))</f>
        <v/>
      </c>
      <c r="BT65">
        <f>IF(OR($B65="",N65=""),"",IFERROR(INDEX(Settings!$D$14:$D$33,MATCH(N65,Settings!$B$14:$B$33,0))&amp;"",IFERROR(LOOKUP(2^15,SEARCH(Settings!$F$14:$F$43,N65)/(Settings!$F$14:$F$43&lt;&gt;""),Settings!$G$14:$G$43),"")))</f>
        <v/>
      </c>
      <c r="BU65">
        <f>IF(OR($B65="",O65=""),"",IFERROR(INDEX(Settings!$D$14:$D$33,MATCH(O65,Settings!$B$14:$B$33,0))&amp;"",IFERROR(LOOKUP(2^15,SEARCH(Settings!$F$14:$F$43,O65)/(Settings!$F$14:$F$43&lt;&gt;""),Settings!$G$14:$G$43),"")))</f>
        <v/>
      </c>
      <c r="BV65">
        <f>IF(OR($B65="",P65=""),"",IFERROR(INDEX(Settings!$D$14:$D$33,MATCH(P65,Settings!$B$14:$B$33,0))&amp;"",IFERROR(LOOKUP(2^15,SEARCH(Settings!$F$14:$F$43,P65)/(Settings!$F$14:$F$43&lt;&gt;""),Settings!$G$14:$G$43),"")))</f>
        <v/>
      </c>
      <c r="BW65">
        <f>IF(OR($B65="",Q65=""),"",IFERROR(INDEX(Settings!$D$14:$D$33,MATCH(Q65,Settings!$B$14:$B$33,0))&amp;"",IFERROR(LOOKUP(2^15,SEARCH(Settings!$F$14:$F$43,Q65)/(Settings!$F$14:$F$43&lt;&gt;""),Settings!$G$14:$G$43),"")))</f>
        <v/>
      </c>
      <c r="BX65">
        <f>IF(OR($B65="",R65=""),"",IFERROR(INDEX(Settings!$D$14:$D$33,MATCH(R65,Settings!$B$14:$B$33,0))&amp;"",IFERROR(LOOKUP(2^15,SEARCH(Settings!$F$14:$F$43,R65)/(Settings!$F$14:$F$43&lt;&gt;""),Settings!$G$14:$G$43),"")))</f>
        <v/>
      </c>
      <c r="BY65">
        <f>IF(OR($B65="",S65=""),"",IFERROR(INDEX(Settings!$D$14:$D$33,MATCH(S65,Settings!$B$14:$B$33,0))&amp;"",IFERROR(LOOKUP(2^15,SEARCH(Settings!$F$14:$F$43,S65)/(Settings!$F$14:$F$43&lt;&gt;""),Settings!$G$14:$G$43),"")))</f>
        <v/>
      </c>
      <c r="BZ65">
        <f>IF(OR($B65="",T65=""),"",IFERROR(INDEX(Settings!$D$14:$D$33,MATCH(T65,Settings!$B$14:$B$33,0))&amp;"",IFERROR(LOOKUP(2^15,SEARCH(Settings!$F$14:$F$43,T65)/(Settings!$F$14:$F$43&lt;&gt;""),Settings!$G$14:$G$43),"")))</f>
        <v/>
      </c>
      <c r="CA65">
        <f>IF(OR($B65="",U65=""),"",IFERROR(INDEX(Settings!$D$14:$D$33,MATCH(U65,Settings!$B$14:$B$33,0))&amp;"",IFERROR(LOOKUP(2^15,SEARCH(Settings!$F$14:$F$43,U65)/(Settings!$F$14:$F$43&lt;&gt;""),Settings!$G$14:$G$43),"")))</f>
        <v/>
      </c>
      <c r="CB65">
        <f>IF(OR($B65="",V65=""),"",IFERROR(INDEX(Settings!$D$14:$D$33,MATCH(V65,Settings!$B$14:$B$33,0))&amp;"",IFERROR(LOOKUP(2^15,SEARCH(Settings!$F$14:$F$43,V65)/(Settings!$F$14:$F$43&lt;&gt;""),Settings!$G$14:$G$43),"")))</f>
        <v/>
      </c>
      <c r="CC65">
        <f>IF(OR($B65="",W65=""),"",IFERROR(INDEX(Settings!$D$14:$D$33,MATCH(W65,Settings!$B$14:$B$33,0))&amp;"",IFERROR(LOOKUP(2^15,SEARCH(Settings!$F$14:$F$43,W65)/(Settings!$F$14:$F$43&lt;&gt;""),Settings!$G$14:$G$43),"")))</f>
        <v/>
      </c>
      <c r="CD65">
        <f>IF(OR($B65="",X65=""),"",IFERROR(INDEX(Settings!$D$14:$D$33,MATCH(X65,Settings!$B$14:$B$33,0))&amp;"",IFERROR(LOOKUP(2^15,SEARCH(Settings!$F$14:$F$43,X65)/(Settings!$F$14:$F$43&lt;&gt;""),Settings!$G$14:$G$43),"")))</f>
        <v/>
      </c>
      <c r="CE65">
        <f>IF(OR($B65="",Y65=""),"",IFERROR(INDEX(Settings!$D$14:$D$33,MATCH(Y65,Settings!$B$14:$B$33,0))&amp;"",IFERROR(LOOKUP(2^15,SEARCH(Settings!$F$14:$F$43,Y65)/(Settings!$F$14:$F$43&lt;&gt;""),Settings!$G$14:$G$43),"")))</f>
        <v/>
      </c>
      <c r="CF65">
        <f>IF(OR($B65="",Z65=""),"",IFERROR(INDEX(Settings!$D$14:$D$33,MATCH(Z65,Settings!$B$14:$B$33,0))&amp;"",IFERROR(LOOKUP(2^15,SEARCH(Settings!$F$14:$F$43,Z65)/(Settings!$F$14:$F$43&lt;&gt;""),Settings!$G$14:$G$43),"")))</f>
        <v/>
      </c>
      <c r="CG65">
        <f>IF(OR($B65="",AA65=""),"",IFERROR(INDEX(Settings!$D$14:$D$33,MATCH(AA65,Settings!$B$14:$B$33,0))&amp;"",IFERROR(LOOKUP(2^15,SEARCH(Settings!$F$14:$F$43,AA65)/(Settings!$F$14:$F$43&lt;&gt;""),Settings!$G$14:$G$43),"")))</f>
        <v/>
      </c>
      <c r="CH65">
        <f>IF(OR($B65="",AB65=""),"",IFERROR(INDEX(Settings!$D$14:$D$33,MATCH(AB65,Settings!$B$14:$B$33,0))&amp;"",IFERROR(LOOKUP(2^15,SEARCH(Settings!$F$14:$F$43,AB65)/(Settings!$F$14:$F$43&lt;&gt;""),Settings!$G$14:$G$43),"")))</f>
        <v/>
      </c>
      <c r="CI65">
        <f>IF(OR($B65="",AC65=""),"",IFERROR(INDEX(Settings!$D$14:$D$33,MATCH(AC65,Settings!$B$14:$B$33,0))&amp;"",IFERROR(LOOKUP(2^15,SEARCH(Settings!$F$14:$F$43,AC65)/(Settings!$F$14:$F$43&lt;&gt;""),Settings!$G$14:$G$43),"")))</f>
        <v/>
      </c>
      <c r="CJ65">
        <f>IF(OR($B65="",AD65=""),"",IFERROR(INDEX(Settings!$D$14:$D$33,MATCH(AD65,Settings!$B$14:$B$33,0))&amp;"",IFERROR(LOOKUP(2^15,SEARCH(Settings!$F$14:$F$43,AD65)/(Settings!$F$14:$F$43&lt;&gt;""),Settings!$G$14:$G$43),"")))</f>
        <v/>
      </c>
      <c r="CK65">
        <f>IF(OR($B65="",AE65=""),"",IFERROR(INDEX(Settings!$D$14:$D$33,MATCH(AE65,Settings!$B$14:$B$33,0))&amp;"",IFERROR(LOOKUP(2^15,SEARCH(Settings!$F$14:$F$43,AE65)/(Settings!$F$14:$F$43&lt;&gt;""),Settings!$G$14:$G$43),"")))</f>
        <v/>
      </c>
      <c r="CL65">
        <f>IF(OR($B65="",AF65=""),"",IFERROR(INDEX(Settings!$D$14:$D$33,MATCH(AF65,Settings!$B$14:$B$33,0))&amp;"",IFERROR(LOOKUP(2^15,SEARCH(Settings!$F$14:$F$43,AF65)/(Settings!$F$14:$F$43&lt;&gt;""),Settings!$G$14:$G$43),"")))</f>
        <v/>
      </c>
      <c r="CM65">
        <f>IF(OR($B65="",AG65=""),"",IFERROR(INDEX(Settings!$D$14:$D$33,MATCH(AG65,Settings!$B$14:$B$33,0))&amp;"",IFERROR(LOOKUP(2^15,SEARCH(Settings!$F$14:$F$43,AG65)/(Settings!$F$14:$F$43&lt;&gt;""),Settings!$G$14:$G$43),"")))</f>
        <v/>
      </c>
    </row>
    <row r="66">
      <c r="A66" t="n">
        <v>64</v>
      </c>
      <c r="B66">
        <f>IFERROR(INDEX(Index!$A$2:$A$202,MATCH(A66,Index!$E$2:$E$202,0)),"")</f>
        <v/>
      </c>
      <c r="D66">
        <f>IF($B66="","",IFERROR(MATCH("Travel*",AI66:BJ66,0),""))</f>
        <v/>
      </c>
      <c r="F66">
        <f>IF(OR($B66="",NOT(ISNUMBER(Settings!$C$9))),"",TRIM(SUBSTITUTE(SUBSTITUTE(INDEX('INPUT - Roster'!$S$1:$SV$206,$B66,Settings!$C$9+0)&amp;"",CHAR(10)," "),CHAR(160)," ")))</f>
        <v/>
      </c>
      <c r="G66">
        <f>IF(OR($B66="",NOT(ISNUMBER(Settings!$C$9))),"",TRIM(SUBSTITUTE(SUBSTITUTE(INDEX('INPUT - Roster'!$S$1:$SV$206,$B66,Settings!$C$9+1)&amp;"",CHAR(10)," "),CHAR(160)," ")))</f>
        <v/>
      </c>
      <c r="H66">
        <f>IF(OR($B66="",NOT(ISNUMBER(Settings!$C$9))),"",TRIM(SUBSTITUTE(SUBSTITUTE(INDEX('INPUT - Roster'!$S$1:$SV$206,$B66,Settings!$C$9+2)&amp;"",CHAR(10)," "),CHAR(160)," ")))</f>
        <v/>
      </c>
      <c r="I66">
        <f>IF(OR($B66="",NOT(ISNUMBER(Settings!$C$9))),"",TRIM(SUBSTITUTE(SUBSTITUTE(INDEX('INPUT - Roster'!$S$1:$SV$206,$B66,Settings!$C$9+3)&amp;"",CHAR(10)," "),CHAR(160)," ")))</f>
        <v/>
      </c>
      <c r="J66">
        <f>IF(OR($B66="",NOT(ISNUMBER(Settings!$C$9))),"",TRIM(SUBSTITUTE(SUBSTITUTE(INDEX('INPUT - Roster'!$S$1:$SV$206,$B66,Settings!$C$9+4)&amp;"",CHAR(10)," "),CHAR(160)," ")))</f>
        <v/>
      </c>
      <c r="K66">
        <f>IF(OR($B66="",NOT(ISNUMBER(Settings!$C$9))),"",TRIM(SUBSTITUTE(SUBSTITUTE(INDEX('INPUT - Roster'!$S$1:$SV$206,$B66,Settings!$C$9+5)&amp;"",CHAR(10)," "),CHAR(160)," ")))</f>
        <v/>
      </c>
      <c r="L66">
        <f>IF(OR($B66="",NOT(ISNUMBER(Settings!$C$9))),"",TRIM(SUBSTITUTE(SUBSTITUTE(INDEX('INPUT - Roster'!$S$1:$SV$206,$B66,Settings!$C$9+6)&amp;"",CHAR(10)," "),CHAR(160)," ")))</f>
        <v/>
      </c>
      <c r="M66">
        <f>IF(OR($B66="",NOT(ISNUMBER(Settings!$C$9))),"",TRIM(SUBSTITUTE(SUBSTITUTE(INDEX('INPUT - Roster'!$S$1:$SV$206,$B66,Settings!$C$9+7)&amp;"",CHAR(10)," "),CHAR(160)," ")))</f>
        <v/>
      </c>
      <c r="N66">
        <f>IF(OR($B66="",NOT(ISNUMBER(Settings!$C$9))),"",TRIM(SUBSTITUTE(SUBSTITUTE(INDEX('INPUT - Roster'!$S$1:$SV$206,$B66,Settings!$C$9+8)&amp;"",CHAR(10)," "),CHAR(160)," ")))</f>
        <v/>
      </c>
      <c r="O66">
        <f>IF(OR($B66="",NOT(ISNUMBER(Settings!$C$9))),"",TRIM(SUBSTITUTE(SUBSTITUTE(INDEX('INPUT - Roster'!$S$1:$SV$206,$B66,Settings!$C$9+9)&amp;"",CHAR(10)," "),CHAR(160)," ")))</f>
        <v/>
      </c>
      <c r="P66">
        <f>IF(OR($B66="",NOT(ISNUMBER(Settings!$C$9))),"",TRIM(SUBSTITUTE(SUBSTITUTE(INDEX('INPUT - Roster'!$S$1:$SV$206,$B66,Settings!$C$9+10)&amp;"",CHAR(10)," "),CHAR(160)," ")))</f>
        <v/>
      </c>
      <c r="Q66">
        <f>IF(OR($B66="",NOT(ISNUMBER(Settings!$C$9))),"",TRIM(SUBSTITUTE(SUBSTITUTE(INDEX('INPUT - Roster'!$S$1:$SV$206,$B66,Settings!$C$9+11)&amp;"",CHAR(10)," "),CHAR(160)," ")))</f>
        <v/>
      </c>
      <c r="R66">
        <f>IF(OR($B66="",NOT(ISNUMBER(Settings!$C$9))),"",TRIM(SUBSTITUTE(SUBSTITUTE(INDEX('INPUT - Roster'!$S$1:$SV$206,$B66,Settings!$C$9+12)&amp;"",CHAR(10)," "),CHAR(160)," ")))</f>
        <v/>
      </c>
      <c r="S66">
        <f>IF(OR($B66="",NOT(ISNUMBER(Settings!$C$9))),"",TRIM(SUBSTITUTE(SUBSTITUTE(INDEX('INPUT - Roster'!$S$1:$SV$206,$B66,Settings!$C$9+13)&amp;"",CHAR(10)," "),CHAR(160)," ")))</f>
        <v/>
      </c>
      <c r="T66">
        <f>IF(OR($B66="",NOT(ISNUMBER(Settings!$C$9))),"",TRIM(SUBSTITUTE(SUBSTITUTE(INDEX('INPUT - Roster'!$S$1:$SV$206,$B66,Settings!$C$9+14)&amp;"",CHAR(10)," "),CHAR(160)," ")))</f>
        <v/>
      </c>
      <c r="U66">
        <f>IF(OR($B66="",NOT(ISNUMBER(Settings!$C$9))),"",TRIM(SUBSTITUTE(SUBSTITUTE(INDEX('INPUT - Roster'!$S$1:$SV$206,$B66,Settings!$C$9+15)&amp;"",CHAR(10)," "),CHAR(160)," ")))</f>
        <v/>
      </c>
      <c r="V66">
        <f>IF(OR($B66="",NOT(ISNUMBER(Settings!$C$9))),"",TRIM(SUBSTITUTE(SUBSTITUTE(INDEX('INPUT - Roster'!$S$1:$SV$206,$B66,Settings!$C$9+16)&amp;"",CHAR(10)," "),CHAR(160)," ")))</f>
        <v/>
      </c>
      <c r="W66">
        <f>IF(OR($B66="",NOT(ISNUMBER(Settings!$C$9))),"",TRIM(SUBSTITUTE(SUBSTITUTE(INDEX('INPUT - Roster'!$S$1:$SV$206,$B66,Settings!$C$9+17)&amp;"",CHAR(10)," "),CHAR(160)," ")))</f>
        <v/>
      </c>
      <c r="X66">
        <f>IF(OR($B66="",NOT(ISNUMBER(Settings!$C$9))),"",TRIM(SUBSTITUTE(SUBSTITUTE(INDEX('INPUT - Roster'!$S$1:$SV$206,$B66,Settings!$C$9+18)&amp;"",CHAR(10)," "),CHAR(160)," ")))</f>
        <v/>
      </c>
      <c r="Y66">
        <f>IF(OR($B66="",NOT(ISNUMBER(Settings!$C$9))),"",TRIM(SUBSTITUTE(SUBSTITUTE(INDEX('INPUT - Roster'!$S$1:$SV$206,$B66,Settings!$C$9+19)&amp;"",CHAR(10)," "),CHAR(160)," ")))</f>
        <v/>
      </c>
      <c r="Z66">
        <f>IF(OR($B66="",NOT(ISNUMBER(Settings!$C$9))),"",TRIM(SUBSTITUTE(SUBSTITUTE(INDEX('INPUT - Roster'!$S$1:$SV$206,$B66,Settings!$C$9+20)&amp;"",CHAR(10)," "),CHAR(160)," ")))</f>
        <v/>
      </c>
      <c r="AA66">
        <f>IF(OR($B66="",NOT(ISNUMBER(Settings!$C$9))),"",TRIM(SUBSTITUTE(SUBSTITUTE(INDEX('INPUT - Roster'!$S$1:$SV$206,$B66,Settings!$C$9+21)&amp;"",CHAR(10)," "),CHAR(160)," ")))</f>
        <v/>
      </c>
      <c r="AB66">
        <f>IF(OR($B66="",NOT(ISNUMBER(Settings!$C$9))),"",TRIM(SUBSTITUTE(SUBSTITUTE(INDEX('INPUT - Roster'!$S$1:$SV$206,$B66,Settings!$C$9+22)&amp;"",CHAR(10)," "),CHAR(160)," ")))</f>
        <v/>
      </c>
      <c r="AC66">
        <f>IF(OR($B66="",NOT(ISNUMBER(Settings!$C$9))),"",TRIM(SUBSTITUTE(SUBSTITUTE(INDEX('INPUT - Roster'!$S$1:$SV$206,$B66,Settings!$C$9+23)&amp;"",CHAR(10)," "),CHAR(160)," ")))</f>
        <v/>
      </c>
      <c r="AD66">
        <f>IF(OR($B66="",NOT(ISNUMBER(Settings!$C$9))),"",TRIM(SUBSTITUTE(SUBSTITUTE(INDEX('INPUT - Roster'!$S$1:$SV$206,$B66,Settings!$C$9+24)&amp;"",CHAR(10)," "),CHAR(160)," ")))</f>
        <v/>
      </c>
      <c r="AE66">
        <f>IF(OR($B66="",NOT(ISNUMBER(Settings!$C$9))),"",TRIM(SUBSTITUTE(SUBSTITUTE(INDEX('INPUT - Roster'!$S$1:$SV$206,$B66,Settings!$C$9+25)&amp;"",CHAR(10)," "),CHAR(160)," ")))</f>
        <v/>
      </c>
      <c r="AF66">
        <f>IF(OR($B66="",NOT(ISNUMBER(Settings!$C$9))),"",TRIM(SUBSTITUTE(SUBSTITUTE(INDEX('INPUT - Roster'!$S$1:$SV$206,$B66,Settings!$C$9+26)&amp;"",CHAR(10)," "),CHAR(160)," ")))</f>
        <v/>
      </c>
      <c r="AG66">
        <f>IF(OR($B66="",NOT(ISNUMBER(Settings!$C$9))),"",TRIM(SUBSTITUTE(SUBSTITUTE(INDEX('INPUT - Roster'!$S$1:$SV$206,$B66,Settings!$C$9+27)&amp;"",CHAR(10)," "),CHAR(160)," ")))</f>
        <v/>
      </c>
      <c r="AI66">
        <f>IF($B66="","",IF(F66="","Not rostered",IFERROR(INDEX(Settings!$C$14:$C$33,MATCH(F66,Settings!$B$14:$B$33,0)),IFERROR(LOOKUP(2^15,SEARCH(Settings!$I$14:$I$83,F66)/(Settings!$I$14:$I$83&lt;&gt;""),Settings!$J$14:$J$83),"Other"))))</f>
        <v/>
      </c>
      <c r="AJ66">
        <f>IF($B66="","",IF(G66="","Not rostered",IFERROR(INDEX(Settings!$C$14:$C$33,MATCH(G66,Settings!$B$14:$B$33,0)),IFERROR(LOOKUP(2^15,SEARCH(Settings!$I$14:$I$83,G66)/(Settings!$I$14:$I$83&lt;&gt;""),Settings!$J$14:$J$83),"Other"))))</f>
        <v/>
      </c>
      <c r="AK66">
        <f>IF($B66="","",IF(H66="","Not rostered",IFERROR(INDEX(Settings!$C$14:$C$33,MATCH(H66,Settings!$B$14:$B$33,0)),IFERROR(LOOKUP(2^15,SEARCH(Settings!$I$14:$I$83,H66)/(Settings!$I$14:$I$83&lt;&gt;""),Settings!$J$14:$J$83),"Other"))))</f>
        <v/>
      </c>
      <c r="AL66">
        <f>IF($B66="","",IF(I66="","Not rostered",IFERROR(INDEX(Settings!$C$14:$C$33,MATCH(I66,Settings!$B$14:$B$33,0)),IFERROR(LOOKUP(2^15,SEARCH(Settings!$I$14:$I$83,I66)/(Settings!$I$14:$I$83&lt;&gt;""),Settings!$J$14:$J$83),"Other"))))</f>
        <v/>
      </c>
      <c r="AM66">
        <f>IF($B66="","",IF(J66="","Not rostered",IFERROR(INDEX(Settings!$C$14:$C$33,MATCH(J66,Settings!$B$14:$B$33,0)),IFERROR(LOOKUP(2^15,SEARCH(Settings!$I$14:$I$83,J66)/(Settings!$I$14:$I$83&lt;&gt;""),Settings!$J$14:$J$83),"Other"))))</f>
        <v/>
      </c>
      <c r="AN66">
        <f>IF($B66="","",IF(K66="","Not rostered",IFERROR(INDEX(Settings!$C$14:$C$33,MATCH(K66,Settings!$B$14:$B$33,0)),IFERROR(LOOKUP(2^15,SEARCH(Settings!$I$14:$I$83,K66)/(Settings!$I$14:$I$83&lt;&gt;""),Settings!$J$14:$J$83),"Other"))))</f>
        <v/>
      </c>
      <c r="AO66">
        <f>IF($B66="","",IF(L66="","Not rostered",IFERROR(INDEX(Settings!$C$14:$C$33,MATCH(L66,Settings!$B$14:$B$33,0)),IFERROR(LOOKUP(2^15,SEARCH(Settings!$I$14:$I$83,L66)/(Settings!$I$14:$I$83&lt;&gt;""),Settings!$J$14:$J$83),"Other"))))</f>
        <v/>
      </c>
      <c r="AP66">
        <f>IF($B66="","",IF(M66="","Not rostered",IFERROR(INDEX(Settings!$C$14:$C$33,MATCH(M66,Settings!$B$14:$B$33,0)),IFERROR(LOOKUP(2^15,SEARCH(Settings!$I$14:$I$83,M66)/(Settings!$I$14:$I$83&lt;&gt;""),Settings!$J$14:$J$83),"Other"))))</f>
        <v/>
      </c>
      <c r="AQ66">
        <f>IF($B66="","",IF(N66="","Not rostered",IFERROR(INDEX(Settings!$C$14:$C$33,MATCH(N66,Settings!$B$14:$B$33,0)),IFERROR(LOOKUP(2^15,SEARCH(Settings!$I$14:$I$83,N66)/(Settings!$I$14:$I$83&lt;&gt;""),Settings!$J$14:$J$83),"Other"))))</f>
        <v/>
      </c>
      <c r="AR66">
        <f>IF($B66="","",IF(O66="","Not rostered",IFERROR(INDEX(Settings!$C$14:$C$33,MATCH(O66,Settings!$B$14:$B$33,0)),IFERROR(LOOKUP(2^15,SEARCH(Settings!$I$14:$I$83,O66)/(Settings!$I$14:$I$83&lt;&gt;""),Settings!$J$14:$J$83),"Other"))))</f>
        <v/>
      </c>
      <c r="AS66">
        <f>IF($B66="","",IF(P66="","Not rostered",IFERROR(INDEX(Settings!$C$14:$C$33,MATCH(P66,Settings!$B$14:$B$33,0)),IFERROR(LOOKUP(2^15,SEARCH(Settings!$I$14:$I$83,P66)/(Settings!$I$14:$I$83&lt;&gt;""),Settings!$J$14:$J$83),"Other"))))</f>
        <v/>
      </c>
      <c r="AT66">
        <f>IF($B66="","",IF(Q66="","Not rostered",IFERROR(INDEX(Settings!$C$14:$C$33,MATCH(Q66,Settings!$B$14:$B$33,0)),IFERROR(LOOKUP(2^15,SEARCH(Settings!$I$14:$I$83,Q66)/(Settings!$I$14:$I$83&lt;&gt;""),Settings!$J$14:$J$83),"Other"))))</f>
        <v/>
      </c>
      <c r="AU66">
        <f>IF($B66="","",IF(R66="","Not rostered",IFERROR(INDEX(Settings!$C$14:$C$33,MATCH(R66,Settings!$B$14:$B$33,0)),IFERROR(LOOKUP(2^15,SEARCH(Settings!$I$14:$I$83,R66)/(Settings!$I$14:$I$83&lt;&gt;""),Settings!$J$14:$J$83),"Other"))))</f>
        <v/>
      </c>
      <c r="AV66">
        <f>IF($B66="","",IF(S66="","Not rostered",IFERROR(INDEX(Settings!$C$14:$C$33,MATCH(S66,Settings!$B$14:$B$33,0)),IFERROR(LOOKUP(2^15,SEARCH(Settings!$I$14:$I$83,S66)/(Settings!$I$14:$I$83&lt;&gt;""),Settings!$J$14:$J$83),"Other"))))</f>
        <v/>
      </c>
      <c r="AW66">
        <f>IF($B66="","",IF(T66="","Not rostered",IFERROR(INDEX(Settings!$C$14:$C$33,MATCH(T66,Settings!$B$14:$B$33,0)),IFERROR(LOOKUP(2^15,SEARCH(Settings!$I$14:$I$83,T66)/(Settings!$I$14:$I$83&lt;&gt;""),Settings!$J$14:$J$83),"Other"))))</f>
        <v/>
      </c>
      <c r="AX66">
        <f>IF($B66="","",IF(U66="","Not rostered",IFERROR(INDEX(Settings!$C$14:$C$33,MATCH(U66,Settings!$B$14:$B$33,0)),IFERROR(LOOKUP(2^15,SEARCH(Settings!$I$14:$I$83,U66)/(Settings!$I$14:$I$83&lt;&gt;""),Settings!$J$14:$J$83),"Other"))))</f>
        <v/>
      </c>
      <c r="AY66">
        <f>IF($B66="","",IF(V66="","Not rostered",IFERROR(INDEX(Settings!$C$14:$C$33,MATCH(V66,Settings!$B$14:$B$33,0)),IFERROR(LOOKUP(2^15,SEARCH(Settings!$I$14:$I$83,V66)/(Settings!$I$14:$I$83&lt;&gt;""),Settings!$J$14:$J$83),"Other"))))</f>
        <v/>
      </c>
      <c r="AZ66">
        <f>IF($B66="","",IF(W66="","Not rostered",IFERROR(INDEX(Settings!$C$14:$C$33,MATCH(W66,Settings!$B$14:$B$33,0)),IFERROR(LOOKUP(2^15,SEARCH(Settings!$I$14:$I$83,W66)/(Settings!$I$14:$I$83&lt;&gt;""),Settings!$J$14:$J$83),"Other"))))</f>
        <v/>
      </c>
      <c r="BA66">
        <f>IF($B66="","",IF(X66="","Not rostered",IFERROR(INDEX(Settings!$C$14:$C$33,MATCH(X66,Settings!$B$14:$B$33,0)),IFERROR(LOOKUP(2^15,SEARCH(Settings!$I$14:$I$83,X66)/(Settings!$I$14:$I$83&lt;&gt;""),Settings!$J$14:$J$83),"Other"))))</f>
        <v/>
      </c>
      <c r="BB66">
        <f>IF($B66="","",IF(Y66="","Not rostered",IFERROR(INDEX(Settings!$C$14:$C$33,MATCH(Y66,Settings!$B$14:$B$33,0)),IFERROR(LOOKUP(2^15,SEARCH(Settings!$I$14:$I$83,Y66)/(Settings!$I$14:$I$83&lt;&gt;""),Settings!$J$14:$J$83),"Other"))))</f>
        <v/>
      </c>
      <c r="BC66">
        <f>IF($B66="","",IF(Z66="","Not rostered",IFERROR(INDEX(Settings!$C$14:$C$33,MATCH(Z66,Settings!$B$14:$B$33,0)),IFERROR(LOOKUP(2^15,SEARCH(Settings!$I$14:$I$83,Z66)/(Settings!$I$14:$I$83&lt;&gt;""),Settings!$J$14:$J$83),"Other"))))</f>
        <v/>
      </c>
      <c r="BD66">
        <f>IF($B66="","",IF(AA66="","Not rostered",IFERROR(INDEX(Settings!$C$14:$C$33,MATCH(AA66,Settings!$B$14:$B$33,0)),IFERROR(LOOKUP(2^15,SEARCH(Settings!$I$14:$I$83,AA66)/(Settings!$I$14:$I$83&lt;&gt;""),Settings!$J$14:$J$83),"Other"))))</f>
        <v/>
      </c>
      <c r="BE66">
        <f>IF($B66="","",IF(AB66="","Not rostered",IFERROR(INDEX(Settings!$C$14:$C$33,MATCH(AB66,Settings!$B$14:$B$33,0)),IFERROR(LOOKUP(2^15,SEARCH(Settings!$I$14:$I$83,AB66)/(Settings!$I$14:$I$83&lt;&gt;""),Settings!$J$14:$J$83),"Other"))))</f>
        <v/>
      </c>
      <c r="BF66">
        <f>IF($B66="","",IF(AC66="","Not rostered",IFERROR(INDEX(Settings!$C$14:$C$33,MATCH(AC66,Settings!$B$14:$B$33,0)),IFERROR(LOOKUP(2^15,SEARCH(Settings!$I$14:$I$83,AC66)/(Settings!$I$14:$I$83&lt;&gt;""),Settings!$J$14:$J$83),"Other"))))</f>
        <v/>
      </c>
      <c r="BG66">
        <f>IF($B66="","",IF(AD66="","Not rostered",IFERROR(INDEX(Settings!$C$14:$C$33,MATCH(AD66,Settings!$B$14:$B$33,0)),IFERROR(LOOKUP(2^15,SEARCH(Settings!$I$14:$I$83,AD66)/(Settings!$I$14:$I$83&lt;&gt;""),Settings!$J$14:$J$83),"Other"))))</f>
        <v/>
      </c>
      <c r="BH66">
        <f>IF($B66="","",IF(AE66="","Not rostered",IFERROR(INDEX(Settings!$C$14:$C$33,MATCH(AE66,Settings!$B$14:$B$33,0)),IFERROR(LOOKUP(2^15,SEARCH(Settings!$I$14:$I$83,AE66)/(Settings!$I$14:$I$83&lt;&gt;""),Settings!$J$14:$J$83),"Other"))))</f>
        <v/>
      </c>
      <c r="BI66">
        <f>IF($B66="","",IF(AF66="","Not rostered",IFERROR(INDEX(Settings!$C$14:$C$33,MATCH(AF66,Settings!$B$14:$B$33,0)),IFERROR(LOOKUP(2^15,SEARCH(Settings!$I$14:$I$83,AF66)/(Settings!$I$14:$I$83&lt;&gt;""),Settings!$J$14:$J$83),"Other"))))</f>
        <v/>
      </c>
      <c r="BJ66">
        <f>IF($B66="","",IF(AG66="","Not rostered",IFERROR(INDEX(Settings!$C$14:$C$33,MATCH(AG66,Settings!$B$14:$B$33,0)),IFERROR(LOOKUP(2^15,SEARCH(Settings!$I$14:$I$83,AG66)/(Settings!$I$14:$I$83&lt;&gt;""),Settings!$J$14:$J$83),"Other"))))</f>
        <v/>
      </c>
      <c r="BL66">
        <f>IF(OR($B66="",F66=""),"",IFERROR(INDEX(Settings!$D$14:$D$33,MATCH(F66,Settings!$B$14:$B$33,0))&amp;"",IFERROR(LOOKUP(2^15,SEARCH(Settings!$F$14:$F$43,F66)/(Settings!$F$14:$F$43&lt;&gt;""),Settings!$G$14:$G$43),"")))</f>
        <v/>
      </c>
      <c r="BM66">
        <f>IF(OR($B66="",G66=""),"",IFERROR(INDEX(Settings!$D$14:$D$33,MATCH(G66,Settings!$B$14:$B$33,0))&amp;"",IFERROR(LOOKUP(2^15,SEARCH(Settings!$F$14:$F$43,G66)/(Settings!$F$14:$F$43&lt;&gt;""),Settings!$G$14:$G$43),"")))</f>
        <v/>
      </c>
      <c r="BN66">
        <f>IF(OR($B66="",H66=""),"",IFERROR(INDEX(Settings!$D$14:$D$33,MATCH(H66,Settings!$B$14:$B$33,0))&amp;"",IFERROR(LOOKUP(2^15,SEARCH(Settings!$F$14:$F$43,H66)/(Settings!$F$14:$F$43&lt;&gt;""),Settings!$G$14:$G$43),"")))</f>
        <v/>
      </c>
      <c r="BO66">
        <f>IF(OR($B66="",I66=""),"",IFERROR(INDEX(Settings!$D$14:$D$33,MATCH(I66,Settings!$B$14:$B$33,0))&amp;"",IFERROR(LOOKUP(2^15,SEARCH(Settings!$F$14:$F$43,I66)/(Settings!$F$14:$F$43&lt;&gt;""),Settings!$G$14:$G$43),"")))</f>
        <v/>
      </c>
      <c r="BP66">
        <f>IF(OR($B66="",J66=""),"",IFERROR(INDEX(Settings!$D$14:$D$33,MATCH(J66,Settings!$B$14:$B$33,0))&amp;"",IFERROR(LOOKUP(2^15,SEARCH(Settings!$F$14:$F$43,J66)/(Settings!$F$14:$F$43&lt;&gt;""),Settings!$G$14:$G$43),"")))</f>
        <v/>
      </c>
      <c r="BQ66">
        <f>IF(OR($B66="",K66=""),"",IFERROR(INDEX(Settings!$D$14:$D$33,MATCH(K66,Settings!$B$14:$B$33,0))&amp;"",IFERROR(LOOKUP(2^15,SEARCH(Settings!$F$14:$F$43,K66)/(Settings!$F$14:$F$43&lt;&gt;""),Settings!$G$14:$G$43),"")))</f>
        <v/>
      </c>
      <c r="BR66">
        <f>IF(OR($B66="",L66=""),"",IFERROR(INDEX(Settings!$D$14:$D$33,MATCH(L66,Settings!$B$14:$B$33,0))&amp;"",IFERROR(LOOKUP(2^15,SEARCH(Settings!$F$14:$F$43,L66)/(Settings!$F$14:$F$43&lt;&gt;""),Settings!$G$14:$G$43),"")))</f>
        <v/>
      </c>
      <c r="BS66">
        <f>IF(OR($B66="",M66=""),"",IFERROR(INDEX(Settings!$D$14:$D$33,MATCH(M66,Settings!$B$14:$B$33,0))&amp;"",IFERROR(LOOKUP(2^15,SEARCH(Settings!$F$14:$F$43,M66)/(Settings!$F$14:$F$43&lt;&gt;""),Settings!$G$14:$G$43),"")))</f>
        <v/>
      </c>
      <c r="BT66">
        <f>IF(OR($B66="",N66=""),"",IFERROR(INDEX(Settings!$D$14:$D$33,MATCH(N66,Settings!$B$14:$B$33,0))&amp;"",IFERROR(LOOKUP(2^15,SEARCH(Settings!$F$14:$F$43,N66)/(Settings!$F$14:$F$43&lt;&gt;""),Settings!$G$14:$G$43),"")))</f>
        <v/>
      </c>
      <c r="BU66">
        <f>IF(OR($B66="",O66=""),"",IFERROR(INDEX(Settings!$D$14:$D$33,MATCH(O66,Settings!$B$14:$B$33,0))&amp;"",IFERROR(LOOKUP(2^15,SEARCH(Settings!$F$14:$F$43,O66)/(Settings!$F$14:$F$43&lt;&gt;""),Settings!$G$14:$G$43),"")))</f>
        <v/>
      </c>
      <c r="BV66">
        <f>IF(OR($B66="",P66=""),"",IFERROR(INDEX(Settings!$D$14:$D$33,MATCH(P66,Settings!$B$14:$B$33,0))&amp;"",IFERROR(LOOKUP(2^15,SEARCH(Settings!$F$14:$F$43,P66)/(Settings!$F$14:$F$43&lt;&gt;""),Settings!$G$14:$G$43),"")))</f>
        <v/>
      </c>
      <c r="BW66">
        <f>IF(OR($B66="",Q66=""),"",IFERROR(INDEX(Settings!$D$14:$D$33,MATCH(Q66,Settings!$B$14:$B$33,0))&amp;"",IFERROR(LOOKUP(2^15,SEARCH(Settings!$F$14:$F$43,Q66)/(Settings!$F$14:$F$43&lt;&gt;""),Settings!$G$14:$G$43),"")))</f>
        <v/>
      </c>
      <c r="BX66">
        <f>IF(OR($B66="",R66=""),"",IFERROR(INDEX(Settings!$D$14:$D$33,MATCH(R66,Settings!$B$14:$B$33,0))&amp;"",IFERROR(LOOKUP(2^15,SEARCH(Settings!$F$14:$F$43,R66)/(Settings!$F$14:$F$43&lt;&gt;""),Settings!$G$14:$G$43),"")))</f>
        <v/>
      </c>
      <c r="BY66">
        <f>IF(OR($B66="",S66=""),"",IFERROR(INDEX(Settings!$D$14:$D$33,MATCH(S66,Settings!$B$14:$B$33,0))&amp;"",IFERROR(LOOKUP(2^15,SEARCH(Settings!$F$14:$F$43,S66)/(Settings!$F$14:$F$43&lt;&gt;""),Settings!$G$14:$G$43),"")))</f>
        <v/>
      </c>
      <c r="BZ66">
        <f>IF(OR($B66="",T66=""),"",IFERROR(INDEX(Settings!$D$14:$D$33,MATCH(T66,Settings!$B$14:$B$33,0))&amp;"",IFERROR(LOOKUP(2^15,SEARCH(Settings!$F$14:$F$43,T66)/(Settings!$F$14:$F$43&lt;&gt;""),Settings!$G$14:$G$43),"")))</f>
        <v/>
      </c>
      <c r="CA66">
        <f>IF(OR($B66="",U66=""),"",IFERROR(INDEX(Settings!$D$14:$D$33,MATCH(U66,Settings!$B$14:$B$33,0))&amp;"",IFERROR(LOOKUP(2^15,SEARCH(Settings!$F$14:$F$43,U66)/(Settings!$F$14:$F$43&lt;&gt;""),Settings!$G$14:$G$43),"")))</f>
        <v/>
      </c>
      <c r="CB66">
        <f>IF(OR($B66="",V66=""),"",IFERROR(INDEX(Settings!$D$14:$D$33,MATCH(V66,Settings!$B$14:$B$33,0))&amp;"",IFERROR(LOOKUP(2^15,SEARCH(Settings!$F$14:$F$43,V66)/(Settings!$F$14:$F$43&lt;&gt;""),Settings!$G$14:$G$43),"")))</f>
        <v/>
      </c>
      <c r="CC66">
        <f>IF(OR($B66="",W66=""),"",IFERROR(INDEX(Settings!$D$14:$D$33,MATCH(W66,Settings!$B$14:$B$33,0))&amp;"",IFERROR(LOOKUP(2^15,SEARCH(Settings!$F$14:$F$43,W66)/(Settings!$F$14:$F$43&lt;&gt;""),Settings!$G$14:$G$43),"")))</f>
        <v/>
      </c>
      <c r="CD66">
        <f>IF(OR($B66="",X66=""),"",IFERROR(INDEX(Settings!$D$14:$D$33,MATCH(X66,Settings!$B$14:$B$33,0))&amp;"",IFERROR(LOOKUP(2^15,SEARCH(Settings!$F$14:$F$43,X66)/(Settings!$F$14:$F$43&lt;&gt;""),Settings!$G$14:$G$43),"")))</f>
        <v/>
      </c>
      <c r="CE66">
        <f>IF(OR($B66="",Y66=""),"",IFERROR(INDEX(Settings!$D$14:$D$33,MATCH(Y66,Settings!$B$14:$B$33,0))&amp;"",IFERROR(LOOKUP(2^15,SEARCH(Settings!$F$14:$F$43,Y66)/(Settings!$F$14:$F$43&lt;&gt;""),Settings!$G$14:$G$43),"")))</f>
        <v/>
      </c>
      <c r="CF66">
        <f>IF(OR($B66="",Z66=""),"",IFERROR(INDEX(Settings!$D$14:$D$33,MATCH(Z66,Settings!$B$14:$B$33,0))&amp;"",IFERROR(LOOKUP(2^15,SEARCH(Settings!$F$14:$F$43,Z66)/(Settings!$F$14:$F$43&lt;&gt;""),Settings!$G$14:$G$43),"")))</f>
        <v/>
      </c>
      <c r="CG66">
        <f>IF(OR($B66="",AA66=""),"",IFERROR(INDEX(Settings!$D$14:$D$33,MATCH(AA66,Settings!$B$14:$B$33,0))&amp;"",IFERROR(LOOKUP(2^15,SEARCH(Settings!$F$14:$F$43,AA66)/(Settings!$F$14:$F$43&lt;&gt;""),Settings!$G$14:$G$43),"")))</f>
        <v/>
      </c>
      <c r="CH66">
        <f>IF(OR($B66="",AB66=""),"",IFERROR(INDEX(Settings!$D$14:$D$33,MATCH(AB66,Settings!$B$14:$B$33,0))&amp;"",IFERROR(LOOKUP(2^15,SEARCH(Settings!$F$14:$F$43,AB66)/(Settings!$F$14:$F$43&lt;&gt;""),Settings!$G$14:$G$43),"")))</f>
        <v/>
      </c>
      <c r="CI66">
        <f>IF(OR($B66="",AC66=""),"",IFERROR(INDEX(Settings!$D$14:$D$33,MATCH(AC66,Settings!$B$14:$B$33,0))&amp;"",IFERROR(LOOKUP(2^15,SEARCH(Settings!$F$14:$F$43,AC66)/(Settings!$F$14:$F$43&lt;&gt;""),Settings!$G$14:$G$43),"")))</f>
        <v/>
      </c>
      <c r="CJ66">
        <f>IF(OR($B66="",AD66=""),"",IFERROR(INDEX(Settings!$D$14:$D$33,MATCH(AD66,Settings!$B$14:$B$33,0))&amp;"",IFERROR(LOOKUP(2^15,SEARCH(Settings!$F$14:$F$43,AD66)/(Settings!$F$14:$F$43&lt;&gt;""),Settings!$G$14:$G$43),"")))</f>
        <v/>
      </c>
      <c r="CK66">
        <f>IF(OR($B66="",AE66=""),"",IFERROR(INDEX(Settings!$D$14:$D$33,MATCH(AE66,Settings!$B$14:$B$33,0))&amp;"",IFERROR(LOOKUP(2^15,SEARCH(Settings!$F$14:$F$43,AE66)/(Settings!$F$14:$F$43&lt;&gt;""),Settings!$G$14:$G$43),"")))</f>
        <v/>
      </c>
      <c r="CL66">
        <f>IF(OR($B66="",AF66=""),"",IFERROR(INDEX(Settings!$D$14:$D$33,MATCH(AF66,Settings!$B$14:$B$33,0))&amp;"",IFERROR(LOOKUP(2^15,SEARCH(Settings!$F$14:$F$43,AF66)/(Settings!$F$14:$F$43&lt;&gt;""),Settings!$G$14:$G$43),"")))</f>
        <v/>
      </c>
      <c r="CM66">
        <f>IF(OR($B66="",AG66=""),"",IFERROR(INDEX(Settings!$D$14:$D$33,MATCH(AG66,Settings!$B$14:$B$33,0))&amp;"",IFERROR(LOOKUP(2^15,SEARCH(Settings!$F$14:$F$43,AG66)/(Settings!$F$14:$F$43&lt;&gt;""),Settings!$G$14:$G$43),"")))</f>
        <v/>
      </c>
    </row>
    <row r="67">
      <c r="A67" t="n">
        <v>65</v>
      </c>
      <c r="B67">
        <f>IFERROR(INDEX(Index!$A$2:$A$202,MATCH(A67,Index!$E$2:$E$202,0)),"")</f>
        <v/>
      </c>
      <c r="D67">
        <f>IF($B67="","",IFERROR(MATCH("Travel*",AI67:BJ67,0),""))</f>
        <v/>
      </c>
      <c r="F67">
        <f>IF(OR($B67="",NOT(ISNUMBER(Settings!$C$9))),"",TRIM(SUBSTITUTE(SUBSTITUTE(INDEX('INPUT - Roster'!$S$1:$SV$206,$B67,Settings!$C$9+0)&amp;"",CHAR(10)," "),CHAR(160)," ")))</f>
        <v/>
      </c>
      <c r="G67">
        <f>IF(OR($B67="",NOT(ISNUMBER(Settings!$C$9))),"",TRIM(SUBSTITUTE(SUBSTITUTE(INDEX('INPUT - Roster'!$S$1:$SV$206,$B67,Settings!$C$9+1)&amp;"",CHAR(10)," "),CHAR(160)," ")))</f>
        <v/>
      </c>
      <c r="H67">
        <f>IF(OR($B67="",NOT(ISNUMBER(Settings!$C$9))),"",TRIM(SUBSTITUTE(SUBSTITUTE(INDEX('INPUT - Roster'!$S$1:$SV$206,$B67,Settings!$C$9+2)&amp;"",CHAR(10)," "),CHAR(160)," ")))</f>
        <v/>
      </c>
      <c r="I67">
        <f>IF(OR($B67="",NOT(ISNUMBER(Settings!$C$9))),"",TRIM(SUBSTITUTE(SUBSTITUTE(INDEX('INPUT - Roster'!$S$1:$SV$206,$B67,Settings!$C$9+3)&amp;"",CHAR(10)," "),CHAR(160)," ")))</f>
        <v/>
      </c>
      <c r="J67">
        <f>IF(OR($B67="",NOT(ISNUMBER(Settings!$C$9))),"",TRIM(SUBSTITUTE(SUBSTITUTE(INDEX('INPUT - Roster'!$S$1:$SV$206,$B67,Settings!$C$9+4)&amp;"",CHAR(10)," "),CHAR(160)," ")))</f>
        <v/>
      </c>
      <c r="K67">
        <f>IF(OR($B67="",NOT(ISNUMBER(Settings!$C$9))),"",TRIM(SUBSTITUTE(SUBSTITUTE(INDEX('INPUT - Roster'!$S$1:$SV$206,$B67,Settings!$C$9+5)&amp;"",CHAR(10)," "),CHAR(160)," ")))</f>
        <v/>
      </c>
      <c r="L67">
        <f>IF(OR($B67="",NOT(ISNUMBER(Settings!$C$9))),"",TRIM(SUBSTITUTE(SUBSTITUTE(INDEX('INPUT - Roster'!$S$1:$SV$206,$B67,Settings!$C$9+6)&amp;"",CHAR(10)," "),CHAR(160)," ")))</f>
        <v/>
      </c>
      <c r="M67">
        <f>IF(OR($B67="",NOT(ISNUMBER(Settings!$C$9))),"",TRIM(SUBSTITUTE(SUBSTITUTE(INDEX('INPUT - Roster'!$S$1:$SV$206,$B67,Settings!$C$9+7)&amp;"",CHAR(10)," "),CHAR(160)," ")))</f>
        <v/>
      </c>
      <c r="N67">
        <f>IF(OR($B67="",NOT(ISNUMBER(Settings!$C$9))),"",TRIM(SUBSTITUTE(SUBSTITUTE(INDEX('INPUT - Roster'!$S$1:$SV$206,$B67,Settings!$C$9+8)&amp;"",CHAR(10)," "),CHAR(160)," ")))</f>
        <v/>
      </c>
      <c r="O67">
        <f>IF(OR($B67="",NOT(ISNUMBER(Settings!$C$9))),"",TRIM(SUBSTITUTE(SUBSTITUTE(INDEX('INPUT - Roster'!$S$1:$SV$206,$B67,Settings!$C$9+9)&amp;"",CHAR(10)," "),CHAR(160)," ")))</f>
        <v/>
      </c>
      <c r="P67">
        <f>IF(OR($B67="",NOT(ISNUMBER(Settings!$C$9))),"",TRIM(SUBSTITUTE(SUBSTITUTE(INDEX('INPUT - Roster'!$S$1:$SV$206,$B67,Settings!$C$9+10)&amp;"",CHAR(10)," "),CHAR(160)," ")))</f>
        <v/>
      </c>
      <c r="Q67">
        <f>IF(OR($B67="",NOT(ISNUMBER(Settings!$C$9))),"",TRIM(SUBSTITUTE(SUBSTITUTE(INDEX('INPUT - Roster'!$S$1:$SV$206,$B67,Settings!$C$9+11)&amp;"",CHAR(10)," "),CHAR(160)," ")))</f>
        <v/>
      </c>
      <c r="R67">
        <f>IF(OR($B67="",NOT(ISNUMBER(Settings!$C$9))),"",TRIM(SUBSTITUTE(SUBSTITUTE(INDEX('INPUT - Roster'!$S$1:$SV$206,$B67,Settings!$C$9+12)&amp;"",CHAR(10)," "),CHAR(160)," ")))</f>
        <v/>
      </c>
      <c r="S67">
        <f>IF(OR($B67="",NOT(ISNUMBER(Settings!$C$9))),"",TRIM(SUBSTITUTE(SUBSTITUTE(INDEX('INPUT - Roster'!$S$1:$SV$206,$B67,Settings!$C$9+13)&amp;"",CHAR(10)," "),CHAR(160)," ")))</f>
        <v/>
      </c>
      <c r="T67">
        <f>IF(OR($B67="",NOT(ISNUMBER(Settings!$C$9))),"",TRIM(SUBSTITUTE(SUBSTITUTE(INDEX('INPUT - Roster'!$S$1:$SV$206,$B67,Settings!$C$9+14)&amp;"",CHAR(10)," "),CHAR(160)," ")))</f>
        <v/>
      </c>
      <c r="U67">
        <f>IF(OR($B67="",NOT(ISNUMBER(Settings!$C$9))),"",TRIM(SUBSTITUTE(SUBSTITUTE(INDEX('INPUT - Roster'!$S$1:$SV$206,$B67,Settings!$C$9+15)&amp;"",CHAR(10)," "),CHAR(160)," ")))</f>
        <v/>
      </c>
      <c r="V67">
        <f>IF(OR($B67="",NOT(ISNUMBER(Settings!$C$9))),"",TRIM(SUBSTITUTE(SUBSTITUTE(INDEX('INPUT - Roster'!$S$1:$SV$206,$B67,Settings!$C$9+16)&amp;"",CHAR(10)," "),CHAR(160)," ")))</f>
        <v/>
      </c>
      <c r="W67">
        <f>IF(OR($B67="",NOT(ISNUMBER(Settings!$C$9))),"",TRIM(SUBSTITUTE(SUBSTITUTE(INDEX('INPUT - Roster'!$S$1:$SV$206,$B67,Settings!$C$9+17)&amp;"",CHAR(10)," "),CHAR(160)," ")))</f>
        <v/>
      </c>
      <c r="X67">
        <f>IF(OR($B67="",NOT(ISNUMBER(Settings!$C$9))),"",TRIM(SUBSTITUTE(SUBSTITUTE(INDEX('INPUT - Roster'!$S$1:$SV$206,$B67,Settings!$C$9+18)&amp;"",CHAR(10)," "),CHAR(160)," ")))</f>
        <v/>
      </c>
      <c r="Y67">
        <f>IF(OR($B67="",NOT(ISNUMBER(Settings!$C$9))),"",TRIM(SUBSTITUTE(SUBSTITUTE(INDEX('INPUT - Roster'!$S$1:$SV$206,$B67,Settings!$C$9+19)&amp;"",CHAR(10)," "),CHAR(160)," ")))</f>
        <v/>
      </c>
      <c r="Z67">
        <f>IF(OR($B67="",NOT(ISNUMBER(Settings!$C$9))),"",TRIM(SUBSTITUTE(SUBSTITUTE(INDEX('INPUT - Roster'!$S$1:$SV$206,$B67,Settings!$C$9+20)&amp;"",CHAR(10)," "),CHAR(160)," ")))</f>
        <v/>
      </c>
      <c r="AA67">
        <f>IF(OR($B67="",NOT(ISNUMBER(Settings!$C$9))),"",TRIM(SUBSTITUTE(SUBSTITUTE(INDEX('INPUT - Roster'!$S$1:$SV$206,$B67,Settings!$C$9+21)&amp;"",CHAR(10)," "),CHAR(160)," ")))</f>
        <v/>
      </c>
      <c r="AB67">
        <f>IF(OR($B67="",NOT(ISNUMBER(Settings!$C$9))),"",TRIM(SUBSTITUTE(SUBSTITUTE(INDEX('INPUT - Roster'!$S$1:$SV$206,$B67,Settings!$C$9+22)&amp;"",CHAR(10)," "),CHAR(160)," ")))</f>
        <v/>
      </c>
      <c r="AC67">
        <f>IF(OR($B67="",NOT(ISNUMBER(Settings!$C$9))),"",TRIM(SUBSTITUTE(SUBSTITUTE(INDEX('INPUT - Roster'!$S$1:$SV$206,$B67,Settings!$C$9+23)&amp;"",CHAR(10)," "),CHAR(160)," ")))</f>
        <v/>
      </c>
      <c r="AD67">
        <f>IF(OR($B67="",NOT(ISNUMBER(Settings!$C$9))),"",TRIM(SUBSTITUTE(SUBSTITUTE(INDEX('INPUT - Roster'!$S$1:$SV$206,$B67,Settings!$C$9+24)&amp;"",CHAR(10)," "),CHAR(160)," ")))</f>
        <v/>
      </c>
      <c r="AE67">
        <f>IF(OR($B67="",NOT(ISNUMBER(Settings!$C$9))),"",TRIM(SUBSTITUTE(SUBSTITUTE(INDEX('INPUT - Roster'!$S$1:$SV$206,$B67,Settings!$C$9+25)&amp;"",CHAR(10)," "),CHAR(160)," ")))</f>
        <v/>
      </c>
      <c r="AF67">
        <f>IF(OR($B67="",NOT(ISNUMBER(Settings!$C$9))),"",TRIM(SUBSTITUTE(SUBSTITUTE(INDEX('INPUT - Roster'!$S$1:$SV$206,$B67,Settings!$C$9+26)&amp;"",CHAR(10)," "),CHAR(160)," ")))</f>
        <v/>
      </c>
      <c r="AG67">
        <f>IF(OR($B67="",NOT(ISNUMBER(Settings!$C$9))),"",TRIM(SUBSTITUTE(SUBSTITUTE(INDEX('INPUT - Roster'!$S$1:$SV$206,$B67,Settings!$C$9+27)&amp;"",CHAR(10)," "),CHAR(160)," ")))</f>
        <v/>
      </c>
      <c r="AI67">
        <f>IF($B67="","",IF(F67="","Not rostered",IFERROR(INDEX(Settings!$C$14:$C$33,MATCH(F67,Settings!$B$14:$B$33,0)),IFERROR(LOOKUP(2^15,SEARCH(Settings!$I$14:$I$83,F67)/(Settings!$I$14:$I$83&lt;&gt;""),Settings!$J$14:$J$83),"Other"))))</f>
        <v/>
      </c>
      <c r="AJ67">
        <f>IF($B67="","",IF(G67="","Not rostered",IFERROR(INDEX(Settings!$C$14:$C$33,MATCH(G67,Settings!$B$14:$B$33,0)),IFERROR(LOOKUP(2^15,SEARCH(Settings!$I$14:$I$83,G67)/(Settings!$I$14:$I$83&lt;&gt;""),Settings!$J$14:$J$83),"Other"))))</f>
        <v/>
      </c>
      <c r="AK67">
        <f>IF($B67="","",IF(H67="","Not rostered",IFERROR(INDEX(Settings!$C$14:$C$33,MATCH(H67,Settings!$B$14:$B$33,0)),IFERROR(LOOKUP(2^15,SEARCH(Settings!$I$14:$I$83,H67)/(Settings!$I$14:$I$83&lt;&gt;""),Settings!$J$14:$J$83),"Other"))))</f>
        <v/>
      </c>
      <c r="AL67">
        <f>IF($B67="","",IF(I67="","Not rostered",IFERROR(INDEX(Settings!$C$14:$C$33,MATCH(I67,Settings!$B$14:$B$33,0)),IFERROR(LOOKUP(2^15,SEARCH(Settings!$I$14:$I$83,I67)/(Settings!$I$14:$I$83&lt;&gt;""),Settings!$J$14:$J$83),"Other"))))</f>
        <v/>
      </c>
      <c r="AM67">
        <f>IF($B67="","",IF(J67="","Not rostered",IFERROR(INDEX(Settings!$C$14:$C$33,MATCH(J67,Settings!$B$14:$B$33,0)),IFERROR(LOOKUP(2^15,SEARCH(Settings!$I$14:$I$83,J67)/(Settings!$I$14:$I$83&lt;&gt;""),Settings!$J$14:$J$83),"Other"))))</f>
        <v/>
      </c>
      <c r="AN67">
        <f>IF($B67="","",IF(K67="","Not rostered",IFERROR(INDEX(Settings!$C$14:$C$33,MATCH(K67,Settings!$B$14:$B$33,0)),IFERROR(LOOKUP(2^15,SEARCH(Settings!$I$14:$I$83,K67)/(Settings!$I$14:$I$83&lt;&gt;""),Settings!$J$14:$J$83),"Other"))))</f>
        <v/>
      </c>
      <c r="AO67">
        <f>IF($B67="","",IF(L67="","Not rostered",IFERROR(INDEX(Settings!$C$14:$C$33,MATCH(L67,Settings!$B$14:$B$33,0)),IFERROR(LOOKUP(2^15,SEARCH(Settings!$I$14:$I$83,L67)/(Settings!$I$14:$I$83&lt;&gt;""),Settings!$J$14:$J$83),"Other"))))</f>
        <v/>
      </c>
      <c r="AP67">
        <f>IF($B67="","",IF(M67="","Not rostered",IFERROR(INDEX(Settings!$C$14:$C$33,MATCH(M67,Settings!$B$14:$B$33,0)),IFERROR(LOOKUP(2^15,SEARCH(Settings!$I$14:$I$83,M67)/(Settings!$I$14:$I$83&lt;&gt;""),Settings!$J$14:$J$83),"Other"))))</f>
        <v/>
      </c>
      <c r="AQ67">
        <f>IF($B67="","",IF(N67="","Not rostered",IFERROR(INDEX(Settings!$C$14:$C$33,MATCH(N67,Settings!$B$14:$B$33,0)),IFERROR(LOOKUP(2^15,SEARCH(Settings!$I$14:$I$83,N67)/(Settings!$I$14:$I$83&lt;&gt;""),Settings!$J$14:$J$83),"Other"))))</f>
        <v/>
      </c>
      <c r="AR67">
        <f>IF($B67="","",IF(O67="","Not rostered",IFERROR(INDEX(Settings!$C$14:$C$33,MATCH(O67,Settings!$B$14:$B$33,0)),IFERROR(LOOKUP(2^15,SEARCH(Settings!$I$14:$I$83,O67)/(Settings!$I$14:$I$83&lt;&gt;""),Settings!$J$14:$J$83),"Other"))))</f>
        <v/>
      </c>
      <c r="AS67">
        <f>IF($B67="","",IF(P67="","Not rostered",IFERROR(INDEX(Settings!$C$14:$C$33,MATCH(P67,Settings!$B$14:$B$33,0)),IFERROR(LOOKUP(2^15,SEARCH(Settings!$I$14:$I$83,P67)/(Settings!$I$14:$I$83&lt;&gt;""),Settings!$J$14:$J$83),"Other"))))</f>
        <v/>
      </c>
      <c r="AT67">
        <f>IF($B67="","",IF(Q67="","Not rostered",IFERROR(INDEX(Settings!$C$14:$C$33,MATCH(Q67,Settings!$B$14:$B$33,0)),IFERROR(LOOKUP(2^15,SEARCH(Settings!$I$14:$I$83,Q67)/(Settings!$I$14:$I$83&lt;&gt;""),Settings!$J$14:$J$83),"Other"))))</f>
        <v/>
      </c>
      <c r="AU67">
        <f>IF($B67="","",IF(R67="","Not rostered",IFERROR(INDEX(Settings!$C$14:$C$33,MATCH(R67,Settings!$B$14:$B$33,0)),IFERROR(LOOKUP(2^15,SEARCH(Settings!$I$14:$I$83,R67)/(Settings!$I$14:$I$83&lt;&gt;""),Settings!$J$14:$J$83),"Other"))))</f>
        <v/>
      </c>
      <c r="AV67">
        <f>IF($B67="","",IF(S67="","Not rostered",IFERROR(INDEX(Settings!$C$14:$C$33,MATCH(S67,Settings!$B$14:$B$33,0)),IFERROR(LOOKUP(2^15,SEARCH(Settings!$I$14:$I$83,S67)/(Settings!$I$14:$I$83&lt;&gt;""),Settings!$J$14:$J$83),"Other"))))</f>
        <v/>
      </c>
      <c r="AW67">
        <f>IF($B67="","",IF(T67="","Not rostered",IFERROR(INDEX(Settings!$C$14:$C$33,MATCH(T67,Settings!$B$14:$B$33,0)),IFERROR(LOOKUP(2^15,SEARCH(Settings!$I$14:$I$83,T67)/(Settings!$I$14:$I$83&lt;&gt;""),Settings!$J$14:$J$83),"Other"))))</f>
        <v/>
      </c>
      <c r="AX67">
        <f>IF($B67="","",IF(U67="","Not rostered",IFERROR(INDEX(Settings!$C$14:$C$33,MATCH(U67,Settings!$B$14:$B$33,0)),IFERROR(LOOKUP(2^15,SEARCH(Settings!$I$14:$I$83,U67)/(Settings!$I$14:$I$83&lt;&gt;""),Settings!$J$14:$J$83),"Other"))))</f>
        <v/>
      </c>
      <c r="AY67">
        <f>IF($B67="","",IF(V67="","Not rostered",IFERROR(INDEX(Settings!$C$14:$C$33,MATCH(V67,Settings!$B$14:$B$33,0)),IFERROR(LOOKUP(2^15,SEARCH(Settings!$I$14:$I$83,V67)/(Settings!$I$14:$I$83&lt;&gt;""),Settings!$J$14:$J$83),"Other"))))</f>
        <v/>
      </c>
      <c r="AZ67">
        <f>IF($B67="","",IF(W67="","Not rostered",IFERROR(INDEX(Settings!$C$14:$C$33,MATCH(W67,Settings!$B$14:$B$33,0)),IFERROR(LOOKUP(2^15,SEARCH(Settings!$I$14:$I$83,W67)/(Settings!$I$14:$I$83&lt;&gt;""),Settings!$J$14:$J$83),"Other"))))</f>
        <v/>
      </c>
      <c r="BA67">
        <f>IF($B67="","",IF(X67="","Not rostered",IFERROR(INDEX(Settings!$C$14:$C$33,MATCH(X67,Settings!$B$14:$B$33,0)),IFERROR(LOOKUP(2^15,SEARCH(Settings!$I$14:$I$83,X67)/(Settings!$I$14:$I$83&lt;&gt;""),Settings!$J$14:$J$83),"Other"))))</f>
        <v/>
      </c>
      <c r="BB67">
        <f>IF($B67="","",IF(Y67="","Not rostered",IFERROR(INDEX(Settings!$C$14:$C$33,MATCH(Y67,Settings!$B$14:$B$33,0)),IFERROR(LOOKUP(2^15,SEARCH(Settings!$I$14:$I$83,Y67)/(Settings!$I$14:$I$83&lt;&gt;""),Settings!$J$14:$J$83),"Other"))))</f>
        <v/>
      </c>
      <c r="BC67">
        <f>IF($B67="","",IF(Z67="","Not rostered",IFERROR(INDEX(Settings!$C$14:$C$33,MATCH(Z67,Settings!$B$14:$B$33,0)),IFERROR(LOOKUP(2^15,SEARCH(Settings!$I$14:$I$83,Z67)/(Settings!$I$14:$I$83&lt;&gt;""),Settings!$J$14:$J$83),"Other"))))</f>
        <v/>
      </c>
      <c r="BD67">
        <f>IF($B67="","",IF(AA67="","Not rostered",IFERROR(INDEX(Settings!$C$14:$C$33,MATCH(AA67,Settings!$B$14:$B$33,0)),IFERROR(LOOKUP(2^15,SEARCH(Settings!$I$14:$I$83,AA67)/(Settings!$I$14:$I$83&lt;&gt;""),Settings!$J$14:$J$83),"Other"))))</f>
        <v/>
      </c>
      <c r="BE67">
        <f>IF($B67="","",IF(AB67="","Not rostered",IFERROR(INDEX(Settings!$C$14:$C$33,MATCH(AB67,Settings!$B$14:$B$33,0)),IFERROR(LOOKUP(2^15,SEARCH(Settings!$I$14:$I$83,AB67)/(Settings!$I$14:$I$83&lt;&gt;""),Settings!$J$14:$J$83),"Other"))))</f>
        <v/>
      </c>
      <c r="BF67">
        <f>IF($B67="","",IF(AC67="","Not rostered",IFERROR(INDEX(Settings!$C$14:$C$33,MATCH(AC67,Settings!$B$14:$B$33,0)),IFERROR(LOOKUP(2^15,SEARCH(Settings!$I$14:$I$83,AC67)/(Settings!$I$14:$I$83&lt;&gt;""),Settings!$J$14:$J$83),"Other"))))</f>
        <v/>
      </c>
      <c r="BG67">
        <f>IF($B67="","",IF(AD67="","Not rostered",IFERROR(INDEX(Settings!$C$14:$C$33,MATCH(AD67,Settings!$B$14:$B$33,0)),IFERROR(LOOKUP(2^15,SEARCH(Settings!$I$14:$I$83,AD67)/(Settings!$I$14:$I$83&lt;&gt;""),Settings!$J$14:$J$83),"Other"))))</f>
        <v/>
      </c>
      <c r="BH67">
        <f>IF($B67="","",IF(AE67="","Not rostered",IFERROR(INDEX(Settings!$C$14:$C$33,MATCH(AE67,Settings!$B$14:$B$33,0)),IFERROR(LOOKUP(2^15,SEARCH(Settings!$I$14:$I$83,AE67)/(Settings!$I$14:$I$83&lt;&gt;""),Settings!$J$14:$J$83),"Other"))))</f>
        <v/>
      </c>
      <c r="BI67">
        <f>IF($B67="","",IF(AF67="","Not rostered",IFERROR(INDEX(Settings!$C$14:$C$33,MATCH(AF67,Settings!$B$14:$B$33,0)),IFERROR(LOOKUP(2^15,SEARCH(Settings!$I$14:$I$83,AF67)/(Settings!$I$14:$I$83&lt;&gt;""),Settings!$J$14:$J$83),"Other"))))</f>
        <v/>
      </c>
      <c r="BJ67">
        <f>IF($B67="","",IF(AG67="","Not rostered",IFERROR(INDEX(Settings!$C$14:$C$33,MATCH(AG67,Settings!$B$14:$B$33,0)),IFERROR(LOOKUP(2^15,SEARCH(Settings!$I$14:$I$83,AG67)/(Settings!$I$14:$I$83&lt;&gt;""),Settings!$J$14:$J$83),"Other"))))</f>
        <v/>
      </c>
      <c r="BL67">
        <f>IF(OR($B67="",F67=""),"",IFERROR(INDEX(Settings!$D$14:$D$33,MATCH(F67,Settings!$B$14:$B$33,0))&amp;"",IFERROR(LOOKUP(2^15,SEARCH(Settings!$F$14:$F$43,F67)/(Settings!$F$14:$F$43&lt;&gt;""),Settings!$G$14:$G$43),"")))</f>
        <v/>
      </c>
      <c r="BM67">
        <f>IF(OR($B67="",G67=""),"",IFERROR(INDEX(Settings!$D$14:$D$33,MATCH(G67,Settings!$B$14:$B$33,0))&amp;"",IFERROR(LOOKUP(2^15,SEARCH(Settings!$F$14:$F$43,G67)/(Settings!$F$14:$F$43&lt;&gt;""),Settings!$G$14:$G$43),"")))</f>
        <v/>
      </c>
      <c r="BN67">
        <f>IF(OR($B67="",H67=""),"",IFERROR(INDEX(Settings!$D$14:$D$33,MATCH(H67,Settings!$B$14:$B$33,0))&amp;"",IFERROR(LOOKUP(2^15,SEARCH(Settings!$F$14:$F$43,H67)/(Settings!$F$14:$F$43&lt;&gt;""),Settings!$G$14:$G$43),"")))</f>
        <v/>
      </c>
      <c r="BO67">
        <f>IF(OR($B67="",I67=""),"",IFERROR(INDEX(Settings!$D$14:$D$33,MATCH(I67,Settings!$B$14:$B$33,0))&amp;"",IFERROR(LOOKUP(2^15,SEARCH(Settings!$F$14:$F$43,I67)/(Settings!$F$14:$F$43&lt;&gt;""),Settings!$G$14:$G$43),"")))</f>
        <v/>
      </c>
      <c r="BP67">
        <f>IF(OR($B67="",J67=""),"",IFERROR(INDEX(Settings!$D$14:$D$33,MATCH(J67,Settings!$B$14:$B$33,0))&amp;"",IFERROR(LOOKUP(2^15,SEARCH(Settings!$F$14:$F$43,J67)/(Settings!$F$14:$F$43&lt;&gt;""),Settings!$G$14:$G$43),"")))</f>
        <v/>
      </c>
      <c r="BQ67">
        <f>IF(OR($B67="",K67=""),"",IFERROR(INDEX(Settings!$D$14:$D$33,MATCH(K67,Settings!$B$14:$B$33,0))&amp;"",IFERROR(LOOKUP(2^15,SEARCH(Settings!$F$14:$F$43,K67)/(Settings!$F$14:$F$43&lt;&gt;""),Settings!$G$14:$G$43),"")))</f>
        <v/>
      </c>
      <c r="BR67">
        <f>IF(OR($B67="",L67=""),"",IFERROR(INDEX(Settings!$D$14:$D$33,MATCH(L67,Settings!$B$14:$B$33,0))&amp;"",IFERROR(LOOKUP(2^15,SEARCH(Settings!$F$14:$F$43,L67)/(Settings!$F$14:$F$43&lt;&gt;""),Settings!$G$14:$G$43),"")))</f>
        <v/>
      </c>
      <c r="BS67">
        <f>IF(OR($B67="",M67=""),"",IFERROR(INDEX(Settings!$D$14:$D$33,MATCH(M67,Settings!$B$14:$B$33,0))&amp;"",IFERROR(LOOKUP(2^15,SEARCH(Settings!$F$14:$F$43,M67)/(Settings!$F$14:$F$43&lt;&gt;""),Settings!$G$14:$G$43),"")))</f>
        <v/>
      </c>
      <c r="BT67">
        <f>IF(OR($B67="",N67=""),"",IFERROR(INDEX(Settings!$D$14:$D$33,MATCH(N67,Settings!$B$14:$B$33,0))&amp;"",IFERROR(LOOKUP(2^15,SEARCH(Settings!$F$14:$F$43,N67)/(Settings!$F$14:$F$43&lt;&gt;""),Settings!$G$14:$G$43),"")))</f>
        <v/>
      </c>
      <c r="BU67">
        <f>IF(OR($B67="",O67=""),"",IFERROR(INDEX(Settings!$D$14:$D$33,MATCH(O67,Settings!$B$14:$B$33,0))&amp;"",IFERROR(LOOKUP(2^15,SEARCH(Settings!$F$14:$F$43,O67)/(Settings!$F$14:$F$43&lt;&gt;""),Settings!$G$14:$G$43),"")))</f>
        <v/>
      </c>
      <c r="BV67">
        <f>IF(OR($B67="",P67=""),"",IFERROR(INDEX(Settings!$D$14:$D$33,MATCH(P67,Settings!$B$14:$B$33,0))&amp;"",IFERROR(LOOKUP(2^15,SEARCH(Settings!$F$14:$F$43,P67)/(Settings!$F$14:$F$43&lt;&gt;""),Settings!$G$14:$G$43),"")))</f>
        <v/>
      </c>
      <c r="BW67">
        <f>IF(OR($B67="",Q67=""),"",IFERROR(INDEX(Settings!$D$14:$D$33,MATCH(Q67,Settings!$B$14:$B$33,0))&amp;"",IFERROR(LOOKUP(2^15,SEARCH(Settings!$F$14:$F$43,Q67)/(Settings!$F$14:$F$43&lt;&gt;""),Settings!$G$14:$G$43),"")))</f>
        <v/>
      </c>
      <c r="BX67">
        <f>IF(OR($B67="",R67=""),"",IFERROR(INDEX(Settings!$D$14:$D$33,MATCH(R67,Settings!$B$14:$B$33,0))&amp;"",IFERROR(LOOKUP(2^15,SEARCH(Settings!$F$14:$F$43,R67)/(Settings!$F$14:$F$43&lt;&gt;""),Settings!$G$14:$G$43),"")))</f>
        <v/>
      </c>
      <c r="BY67">
        <f>IF(OR($B67="",S67=""),"",IFERROR(INDEX(Settings!$D$14:$D$33,MATCH(S67,Settings!$B$14:$B$33,0))&amp;"",IFERROR(LOOKUP(2^15,SEARCH(Settings!$F$14:$F$43,S67)/(Settings!$F$14:$F$43&lt;&gt;""),Settings!$G$14:$G$43),"")))</f>
        <v/>
      </c>
      <c r="BZ67">
        <f>IF(OR($B67="",T67=""),"",IFERROR(INDEX(Settings!$D$14:$D$33,MATCH(T67,Settings!$B$14:$B$33,0))&amp;"",IFERROR(LOOKUP(2^15,SEARCH(Settings!$F$14:$F$43,T67)/(Settings!$F$14:$F$43&lt;&gt;""),Settings!$G$14:$G$43),"")))</f>
        <v/>
      </c>
      <c r="CA67">
        <f>IF(OR($B67="",U67=""),"",IFERROR(INDEX(Settings!$D$14:$D$33,MATCH(U67,Settings!$B$14:$B$33,0))&amp;"",IFERROR(LOOKUP(2^15,SEARCH(Settings!$F$14:$F$43,U67)/(Settings!$F$14:$F$43&lt;&gt;""),Settings!$G$14:$G$43),"")))</f>
        <v/>
      </c>
      <c r="CB67">
        <f>IF(OR($B67="",V67=""),"",IFERROR(INDEX(Settings!$D$14:$D$33,MATCH(V67,Settings!$B$14:$B$33,0))&amp;"",IFERROR(LOOKUP(2^15,SEARCH(Settings!$F$14:$F$43,V67)/(Settings!$F$14:$F$43&lt;&gt;""),Settings!$G$14:$G$43),"")))</f>
        <v/>
      </c>
      <c r="CC67">
        <f>IF(OR($B67="",W67=""),"",IFERROR(INDEX(Settings!$D$14:$D$33,MATCH(W67,Settings!$B$14:$B$33,0))&amp;"",IFERROR(LOOKUP(2^15,SEARCH(Settings!$F$14:$F$43,W67)/(Settings!$F$14:$F$43&lt;&gt;""),Settings!$G$14:$G$43),"")))</f>
        <v/>
      </c>
      <c r="CD67">
        <f>IF(OR($B67="",X67=""),"",IFERROR(INDEX(Settings!$D$14:$D$33,MATCH(X67,Settings!$B$14:$B$33,0))&amp;"",IFERROR(LOOKUP(2^15,SEARCH(Settings!$F$14:$F$43,X67)/(Settings!$F$14:$F$43&lt;&gt;""),Settings!$G$14:$G$43),"")))</f>
        <v/>
      </c>
      <c r="CE67">
        <f>IF(OR($B67="",Y67=""),"",IFERROR(INDEX(Settings!$D$14:$D$33,MATCH(Y67,Settings!$B$14:$B$33,0))&amp;"",IFERROR(LOOKUP(2^15,SEARCH(Settings!$F$14:$F$43,Y67)/(Settings!$F$14:$F$43&lt;&gt;""),Settings!$G$14:$G$43),"")))</f>
        <v/>
      </c>
      <c r="CF67">
        <f>IF(OR($B67="",Z67=""),"",IFERROR(INDEX(Settings!$D$14:$D$33,MATCH(Z67,Settings!$B$14:$B$33,0))&amp;"",IFERROR(LOOKUP(2^15,SEARCH(Settings!$F$14:$F$43,Z67)/(Settings!$F$14:$F$43&lt;&gt;""),Settings!$G$14:$G$43),"")))</f>
        <v/>
      </c>
      <c r="CG67">
        <f>IF(OR($B67="",AA67=""),"",IFERROR(INDEX(Settings!$D$14:$D$33,MATCH(AA67,Settings!$B$14:$B$33,0))&amp;"",IFERROR(LOOKUP(2^15,SEARCH(Settings!$F$14:$F$43,AA67)/(Settings!$F$14:$F$43&lt;&gt;""),Settings!$G$14:$G$43),"")))</f>
        <v/>
      </c>
      <c r="CH67">
        <f>IF(OR($B67="",AB67=""),"",IFERROR(INDEX(Settings!$D$14:$D$33,MATCH(AB67,Settings!$B$14:$B$33,0))&amp;"",IFERROR(LOOKUP(2^15,SEARCH(Settings!$F$14:$F$43,AB67)/(Settings!$F$14:$F$43&lt;&gt;""),Settings!$G$14:$G$43),"")))</f>
        <v/>
      </c>
      <c r="CI67">
        <f>IF(OR($B67="",AC67=""),"",IFERROR(INDEX(Settings!$D$14:$D$33,MATCH(AC67,Settings!$B$14:$B$33,0))&amp;"",IFERROR(LOOKUP(2^15,SEARCH(Settings!$F$14:$F$43,AC67)/(Settings!$F$14:$F$43&lt;&gt;""),Settings!$G$14:$G$43),"")))</f>
        <v/>
      </c>
      <c r="CJ67">
        <f>IF(OR($B67="",AD67=""),"",IFERROR(INDEX(Settings!$D$14:$D$33,MATCH(AD67,Settings!$B$14:$B$33,0))&amp;"",IFERROR(LOOKUP(2^15,SEARCH(Settings!$F$14:$F$43,AD67)/(Settings!$F$14:$F$43&lt;&gt;""),Settings!$G$14:$G$43),"")))</f>
        <v/>
      </c>
      <c r="CK67">
        <f>IF(OR($B67="",AE67=""),"",IFERROR(INDEX(Settings!$D$14:$D$33,MATCH(AE67,Settings!$B$14:$B$33,0))&amp;"",IFERROR(LOOKUP(2^15,SEARCH(Settings!$F$14:$F$43,AE67)/(Settings!$F$14:$F$43&lt;&gt;""),Settings!$G$14:$G$43),"")))</f>
        <v/>
      </c>
      <c r="CL67">
        <f>IF(OR($B67="",AF67=""),"",IFERROR(INDEX(Settings!$D$14:$D$33,MATCH(AF67,Settings!$B$14:$B$33,0))&amp;"",IFERROR(LOOKUP(2^15,SEARCH(Settings!$F$14:$F$43,AF67)/(Settings!$F$14:$F$43&lt;&gt;""),Settings!$G$14:$G$43),"")))</f>
        <v/>
      </c>
      <c r="CM67">
        <f>IF(OR($B67="",AG67=""),"",IFERROR(INDEX(Settings!$D$14:$D$33,MATCH(AG67,Settings!$B$14:$B$33,0))&amp;"",IFERROR(LOOKUP(2^15,SEARCH(Settings!$F$14:$F$43,AG67)/(Settings!$F$14:$F$43&lt;&gt;""),Settings!$G$14:$G$43),"")))</f>
        <v/>
      </c>
    </row>
    <row r="68">
      <c r="A68" t="n">
        <v>66</v>
      </c>
      <c r="B68">
        <f>IFERROR(INDEX(Index!$A$2:$A$202,MATCH(A68,Index!$E$2:$E$202,0)),"")</f>
        <v/>
      </c>
      <c r="D68">
        <f>IF($B68="","",IFERROR(MATCH("Travel*",AI68:BJ68,0),""))</f>
        <v/>
      </c>
      <c r="F68">
        <f>IF(OR($B68="",NOT(ISNUMBER(Settings!$C$9))),"",TRIM(SUBSTITUTE(SUBSTITUTE(INDEX('INPUT - Roster'!$S$1:$SV$206,$B68,Settings!$C$9+0)&amp;"",CHAR(10)," "),CHAR(160)," ")))</f>
        <v/>
      </c>
      <c r="G68">
        <f>IF(OR($B68="",NOT(ISNUMBER(Settings!$C$9))),"",TRIM(SUBSTITUTE(SUBSTITUTE(INDEX('INPUT - Roster'!$S$1:$SV$206,$B68,Settings!$C$9+1)&amp;"",CHAR(10)," "),CHAR(160)," ")))</f>
        <v/>
      </c>
      <c r="H68">
        <f>IF(OR($B68="",NOT(ISNUMBER(Settings!$C$9))),"",TRIM(SUBSTITUTE(SUBSTITUTE(INDEX('INPUT - Roster'!$S$1:$SV$206,$B68,Settings!$C$9+2)&amp;"",CHAR(10)," "),CHAR(160)," ")))</f>
        <v/>
      </c>
      <c r="I68">
        <f>IF(OR($B68="",NOT(ISNUMBER(Settings!$C$9))),"",TRIM(SUBSTITUTE(SUBSTITUTE(INDEX('INPUT - Roster'!$S$1:$SV$206,$B68,Settings!$C$9+3)&amp;"",CHAR(10)," "),CHAR(160)," ")))</f>
        <v/>
      </c>
      <c r="J68">
        <f>IF(OR($B68="",NOT(ISNUMBER(Settings!$C$9))),"",TRIM(SUBSTITUTE(SUBSTITUTE(INDEX('INPUT - Roster'!$S$1:$SV$206,$B68,Settings!$C$9+4)&amp;"",CHAR(10)," "),CHAR(160)," ")))</f>
        <v/>
      </c>
      <c r="K68">
        <f>IF(OR($B68="",NOT(ISNUMBER(Settings!$C$9))),"",TRIM(SUBSTITUTE(SUBSTITUTE(INDEX('INPUT - Roster'!$S$1:$SV$206,$B68,Settings!$C$9+5)&amp;"",CHAR(10)," "),CHAR(160)," ")))</f>
        <v/>
      </c>
      <c r="L68">
        <f>IF(OR($B68="",NOT(ISNUMBER(Settings!$C$9))),"",TRIM(SUBSTITUTE(SUBSTITUTE(INDEX('INPUT - Roster'!$S$1:$SV$206,$B68,Settings!$C$9+6)&amp;"",CHAR(10)," "),CHAR(160)," ")))</f>
        <v/>
      </c>
      <c r="M68">
        <f>IF(OR($B68="",NOT(ISNUMBER(Settings!$C$9))),"",TRIM(SUBSTITUTE(SUBSTITUTE(INDEX('INPUT - Roster'!$S$1:$SV$206,$B68,Settings!$C$9+7)&amp;"",CHAR(10)," "),CHAR(160)," ")))</f>
        <v/>
      </c>
      <c r="N68">
        <f>IF(OR($B68="",NOT(ISNUMBER(Settings!$C$9))),"",TRIM(SUBSTITUTE(SUBSTITUTE(INDEX('INPUT - Roster'!$S$1:$SV$206,$B68,Settings!$C$9+8)&amp;"",CHAR(10)," "),CHAR(160)," ")))</f>
        <v/>
      </c>
      <c r="O68">
        <f>IF(OR($B68="",NOT(ISNUMBER(Settings!$C$9))),"",TRIM(SUBSTITUTE(SUBSTITUTE(INDEX('INPUT - Roster'!$S$1:$SV$206,$B68,Settings!$C$9+9)&amp;"",CHAR(10)," "),CHAR(160)," ")))</f>
        <v/>
      </c>
      <c r="P68">
        <f>IF(OR($B68="",NOT(ISNUMBER(Settings!$C$9))),"",TRIM(SUBSTITUTE(SUBSTITUTE(INDEX('INPUT - Roster'!$S$1:$SV$206,$B68,Settings!$C$9+10)&amp;"",CHAR(10)," "),CHAR(160)," ")))</f>
        <v/>
      </c>
      <c r="Q68">
        <f>IF(OR($B68="",NOT(ISNUMBER(Settings!$C$9))),"",TRIM(SUBSTITUTE(SUBSTITUTE(INDEX('INPUT - Roster'!$S$1:$SV$206,$B68,Settings!$C$9+11)&amp;"",CHAR(10)," "),CHAR(160)," ")))</f>
        <v/>
      </c>
      <c r="R68">
        <f>IF(OR($B68="",NOT(ISNUMBER(Settings!$C$9))),"",TRIM(SUBSTITUTE(SUBSTITUTE(INDEX('INPUT - Roster'!$S$1:$SV$206,$B68,Settings!$C$9+12)&amp;"",CHAR(10)," "),CHAR(160)," ")))</f>
        <v/>
      </c>
      <c r="S68">
        <f>IF(OR($B68="",NOT(ISNUMBER(Settings!$C$9))),"",TRIM(SUBSTITUTE(SUBSTITUTE(INDEX('INPUT - Roster'!$S$1:$SV$206,$B68,Settings!$C$9+13)&amp;"",CHAR(10)," "),CHAR(160)," ")))</f>
        <v/>
      </c>
      <c r="T68">
        <f>IF(OR($B68="",NOT(ISNUMBER(Settings!$C$9))),"",TRIM(SUBSTITUTE(SUBSTITUTE(INDEX('INPUT - Roster'!$S$1:$SV$206,$B68,Settings!$C$9+14)&amp;"",CHAR(10)," "),CHAR(160)," ")))</f>
        <v/>
      </c>
      <c r="U68">
        <f>IF(OR($B68="",NOT(ISNUMBER(Settings!$C$9))),"",TRIM(SUBSTITUTE(SUBSTITUTE(INDEX('INPUT - Roster'!$S$1:$SV$206,$B68,Settings!$C$9+15)&amp;"",CHAR(10)," "),CHAR(160)," ")))</f>
        <v/>
      </c>
      <c r="V68">
        <f>IF(OR($B68="",NOT(ISNUMBER(Settings!$C$9))),"",TRIM(SUBSTITUTE(SUBSTITUTE(INDEX('INPUT - Roster'!$S$1:$SV$206,$B68,Settings!$C$9+16)&amp;"",CHAR(10)," "),CHAR(160)," ")))</f>
        <v/>
      </c>
      <c r="W68">
        <f>IF(OR($B68="",NOT(ISNUMBER(Settings!$C$9))),"",TRIM(SUBSTITUTE(SUBSTITUTE(INDEX('INPUT - Roster'!$S$1:$SV$206,$B68,Settings!$C$9+17)&amp;"",CHAR(10)," "),CHAR(160)," ")))</f>
        <v/>
      </c>
      <c r="X68">
        <f>IF(OR($B68="",NOT(ISNUMBER(Settings!$C$9))),"",TRIM(SUBSTITUTE(SUBSTITUTE(INDEX('INPUT - Roster'!$S$1:$SV$206,$B68,Settings!$C$9+18)&amp;"",CHAR(10)," "),CHAR(160)," ")))</f>
        <v/>
      </c>
      <c r="Y68">
        <f>IF(OR($B68="",NOT(ISNUMBER(Settings!$C$9))),"",TRIM(SUBSTITUTE(SUBSTITUTE(INDEX('INPUT - Roster'!$S$1:$SV$206,$B68,Settings!$C$9+19)&amp;"",CHAR(10)," "),CHAR(160)," ")))</f>
        <v/>
      </c>
      <c r="Z68">
        <f>IF(OR($B68="",NOT(ISNUMBER(Settings!$C$9))),"",TRIM(SUBSTITUTE(SUBSTITUTE(INDEX('INPUT - Roster'!$S$1:$SV$206,$B68,Settings!$C$9+20)&amp;"",CHAR(10)," "),CHAR(160)," ")))</f>
        <v/>
      </c>
      <c r="AA68">
        <f>IF(OR($B68="",NOT(ISNUMBER(Settings!$C$9))),"",TRIM(SUBSTITUTE(SUBSTITUTE(INDEX('INPUT - Roster'!$S$1:$SV$206,$B68,Settings!$C$9+21)&amp;"",CHAR(10)," "),CHAR(160)," ")))</f>
        <v/>
      </c>
      <c r="AB68">
        <f>IF(OR($B68="",NOT(ISNUMBER(Settings!$C$9))),"",TRIM(SUBSTITUTE(SUBSTITUTE(INDEX('INPUT - Roster'!$S$1:$SV$206,$B68,Settings!$C$9+22)&amp;"",CHAR(10)," "),CHAR(160)," ")))</f>
        <v/>
      </c>
      <c r="AC68">
        <f>IF(OR($B68="",NOT(ISNUMBER(Settings!$C$9))),"",TRIM(SUBSTITUTE(SUBSTITUTE(INDEX('INPUT - Roster'!$S$1:$SV$206,$B68,Settings!$C$9+23)&amp;"",CHAR(10)," "),CHAR(160)," ")))</f>
        <v/>
      </c>
      <c r="AD68">
        <f>IF(OR($B68="",NOT(ISNUMBER(Settings!$C$9))),"",TRIM(SUBSTITUTE(SUBSTITUTE(INDEX('INPUT - Roster'!$S$1:$SV$206,$B68,Settings!$C$9+24)&amp;"",CHAR(10)," "),CHAR(160)," ")))</f>
        <v/>
      </c>
      <c r="AE68">
        <f>IF(OR($B68="",NOT(ISNUMBER(Settings!$C$9))),"",TRIM(SUBSTITUTE(SUBSTITUTE(INDEX('INPUT - Roster'!$S$1:$SV$206,$B68,Settings!$C$9+25)&amp;"",CHAR(10)," "),CHAR(160)," ")))</f>
        <v/>
      </c>
      <c r="AF68">
        <f>IF(OR($B68="",NOT(ISNUMBER(Settings!$C$9))),"",TRIM(SUBSTITUTE(SUBSTITUTE(INDEX('INPUT - Roster'!$S$1:$SV$206,$B68,Settings!$C$9+26)&amp;"",CHAR(10)," "),CHAR(160)," ")))</f>
        <v/>
      </c>
      <c r="AG68">
        <f>IF(OR($B68="",NOT(ISNUMBER(Settings!$C$9))),"",TRIM(SUBSTITUTE(SUBSTITUTE(INDEX('INPUT - Roster'!$S$1:$SV$206,$B68,Settings!$C$9+27)&amp;"",CHAR(10)," "),CHAR(160)," ")))</f>
        <v/>
      </c>
      <c r="AI68">
        <f>IF($B68="","",IF(F68="","Not rostered",IFERROR(INDEX(Settings!$C$14:$C$33,MATCH(F68,Settings!$B$14:$B$33,0)),IFERROR(LOOKUP(2^15,SEARCH(Settings!$I$14:$I$83,F68)/(Settings!$I$14:$I$83&lt;&gt;""),Settings!$J$14:$J$83),"Other"))))</f>
        <v/>
      </c>
      <c r="AJ68">
        <f>IF($B68="","",IF(G68="","Not rostered",IFERROR(INDEX(Settings!$C$14:$C$33,MATCH(G68,Settings!$B$14:$B$33,0)),IFERROR(LOOKUP(2^15,SEARCH(Settings!$I$14:$I$83,G68)/(Settings!$I$14:$I$83&lt;&gt;""),Settings!$J$14:$J$83),"Other"))))</f>
        <v/>
      </c>
      <c r="AK68">
        <f>IF($B68="","",IF(H68="","Not rostered",IFERROR(INDEX(Settings!$C$14:$C$33,MATCH(H68,Settings!$B$14:$B$33,0)),IFERROR(LOOKUP(2^15,SEARCH(Settings!$I$14:$I$83,H68)/(Settings!$I$14:$I$83&lt;&gt;""),Settings!$J$14:$J$83),"Other"))))</f>
        <v/>
      </c>
      <c r="AL68">
        <f>IF($B68="","",IF(I68="","Not rostered",IFERROR(INDEX(Settings!$C$14:$C$33,MATCH(I68,Settings!$B$14:$B$33,0)),IFERROR(LOOKUP(2^15,SEARCH(Settings!$I$14:$I$83,I68)/(Settings!$I$14:$I$83&lt;&gt;""),Settings!$J$14:$J$83),"Other"))))</f>
        <v/>
      </c>
      <c r="AM68">
        <f>IF($B68="","",IF(J68="","Not rostered",IFERROR(INDEX(Settings!$C$14:$C$33,MATCH(J68,Settings!$B$14:$B$33,0)),IFERROR(LOOKUP(2^15,SEARCH(Settings!$I$14:$I$83,J68)/(Settings!$I$14:$I$83&lt;&gt;""),Settings!$J$14:$J$83),"Other"))))</f>
        <v/>
      </c>
      <c r="AN68">
        <f>IF($B68="","",IF(K68="","Not rostered",IFERROR(INDEX(Settings!$C$14:$C$33,MATCH(K68,Settings!$B$14:$B$33,0)),IFERROR(LOOKUP(2^15,SEARCH(Settings!$I$14:$I$83,K68)/(Settings!$I$14:$I$83&lt;&gt;""),Settings!$J$14:$J$83),"Other"))))</f>
        <v/>
      </c>
      <c r="AO68">
        <f>IF($B68="","",IF(L68="","Not rostered",IFERROR(INDEX(Settings!$C$14:$C$33,MATCH(L68,Settings!$B$14:$B$33,0)),IFERROR(LOOKUP(2^15,SEARCH(Settings!$I$14:$I$83,L68)/(Settings!$I$14:$I$83&lt;&gt;""),Settings!$J$14:$J$83),"Other"))))</f>
        <v/>
      </c>
      <c r="AP68">
        <f>IF($B68="","",IF(M68="","Not rostered",IFERROR(INDEX(Settings!$C$14:$C$33,MATCH(M68,Settings!$B$14:$B$33,0)),IFERROR(LOOKUP(2^15,SEARCH(Settings!$I$14:$I$83,M68)/(Settings!$I$14:$I$83&lt;&gt;""),Settings!$J$14:$J$83),"Other"))))</f>
        <v/>
      </c>
      <c r="AQ68">
        <f>IF($B68="","",IF(N68="","Not rostered",IFERROR(INDEX(Settings!$C$14:$C$33,MATCH(N68,Settings!$B$14:$B$33,0)),IFERROR(LOOKUP(2^15,SEARCH(Settings!$I$14:$I$83,N68)/(Settings!$I$14:$I$83&lt;&gt;""),Settings!$J$14:$J$83),"Other"))))</f>
        <v/>
      </c>
      <c r="AR68">
        <f>IF($B68="","",IF(O68="","Not rostered",IFERROR(INDEX(Settings!$C$14:$C$33,MATCH(O68,Settings!$B$14:$B$33,0)),IFERROR(LOOKUP(2^15,SEARCH(Settings!$I$14:$I$83,O68)/(Settings!$I$14:$I$83&lt;&gt;""),Settings!$J$14:$J$83),"Other"))))</f>
        <v/>
      </c>
      <c r="AS68">
        <f>IF($B68="","",IF(P68="","Not rostered",IFERROR(INDEX(Settings!$C$14:$C$33,MATCH(P68,Settings!$B$14:$B$33,0)),IFERROR(LOOKUP(2^15,SEARCH(Settings!$I$14:$I$83,P68)/(Settings!$I$14:$I$83&lt;&gt;""),Settings!$J$14:$J$83),"Other"))))</f>
        <v/>
      </c>
      <c r="AT68">
        <f>IF($B68="","",IF(Q68="","Not rostered",IFERROR(INDEX(Settings!$C$14:$C$33,MATCH(Q68,Settings!$B$14:$B$33,0)),IFERROR(LOOKUP(2^15,SEARCH(Settings!$I$14:$I$83,Q68)/(Settings!$I$14:$I$83&lt;&gt;""),Settings!$J$14:$J$83),"Other"))))</f>
        <v/>
      </c>
      <c r="AU68">
        <f>IF($B68="","",IF(R68="","Not rostered",IFERROR(INDEX(Settings!$C$14:$C$33,MATCH(R68,Settings!$B$14:$B$33,0)),IFERROR(LOOKUP(2^15,SEARCH(Settings!$I$14:$I$83,R68)/(Settings!$I$14:$I$83&lt;&gt;""),Settings!$J$14:$J$83),"Other"))))</f>
        <v/>
      </c>
      <c r="AV68">
        <f>IF($B68="","",IF(S68="","Not rostered",IFERROR(INDEX(Settings!$C$14:$C$33,MATCH(S68,Settings!$B$14:$B$33,0)),IFERROR(LOOKUP(2^15,SEARCH(Settings!$I$14:$I$83,S68)/(Settings!$I$14:$I$83&lt;&gt;""),Settings!$J$14:$J$83),"Other"))))</f>
        <v/>
      </c>
      <c r="AW68">
        <f>IF($B68="","",IF(T68="","Not rostered",IFERROR(INDEX(Settings!$C$14:$C$33,MATCH(T68,Settings!$B$14:$B$33,0)),IFERROR(LOOKUP(2^15,SEARCH(Settings!$I$14:$I$83,T68)/(Settings!$I$14:$I$83&lt;&gt;""),Settings!$J$14:$J$83),"Other"))))</f>
        <v/>
      </c>
      <c r="AX68">
        <f>IF($B68="","",IF(U68="","Not rostered",IFERROR(INDEX(Settings!$C$14:$C$33,MATCH(U68,Settings!$B$14:$B$33,0)),IFERROR(LOOKUP(2^15,SEARCH(Settings!$I$14:$I$83,U68)/(Settings!$I$14:$I$83&lt;&gt;""),Settings!$J$14:$J$83),"Other"))))</f>
        <v/>
      </c>
      <c r="AY68">
        <f>IF($B68="","",IF(V68="","Not rostered",IFERROR(INDEX(Settings!$C$14:$C$33,MATCH(V68,Settings!$B$14:$B$33,0)),IFERROR(LOOKUP(2^15,SEARCH(Settings!$I$14:$I$83,V68)/(Settings!$I$14:$I$83&lt;&gt;""),Settings!$J$14:$J$83),"Other"))))</f>
        <v/>
      </c>
      <c r="AZ68">
        <f>IF($B68="","",IF(W68="","Not rostered",IFERROR(INDEX(Settings!$C$14:$C$33,MATCH(W68,Settings!$B$14:$B$33,0)),IFERROR(LOOKUP(2^15,SEARCH(Settings!$I$14:$I$83,W68)/(Settings!$I$14:$I$83&lt;&gt;""),Settings!$J$14:$J$83),"Other"))))</f>
        <v/>
      </c>
      <c r="BA68">
        <f>IF($B68="","",IF(X68="","Not rostered",IFERROR(INDEX(Settings!$C$14:$C$33,MATCH(X68,Settings!$B$14:$B$33,0)),IFERROR(LOOKUP(2^15,SEARCH(Settings!$I$14:$I$83,X68)/(Settings!$I$14:$I$83&lt;&gt;""),Settings!$J$14:$J$83),"Other"))))</f>
        <v/>
      </c>
      <c r="BB68">
        <f>IF($B68="","",IF(Y68="","Not rostered",IFERROR(INDEX(Settings!$C$14:$C$33,MATCH(Y68,Settings!$B$14:$B$33,0)),IFERROR(LOOKUP(2^15,SEARCH(Settings!$I$14:$I$83,Y68)/(Settings!$I$14:$I$83&lt;&gt;""),Settings!$J$14:$J$83),"Other"))))</f>
        <v/>
      </c>
      <c r="BC68">
        <f>IF($B68="","",IF(Z68="","Not rostered",IFERROR(INDEX(Settings!$C$14:$C$33,MATCH(Z68,Settings!$B$14:$B$33,0)),IFERROR(LOOKUP(2^15,SEARCH(Settings!$I$14:$I$83,Z68)/(Settings!$I$14:$I$83&lt;&gt;""),Settings!$J$14:$J$83),"Other"))))</f>
        <v/>
      </c>
      <c r="BD68">
        <f>IF($B68="","",IF(AA68="","Not rostered",IFERROR(INDEX(Settings!$C$14:$C$33,MATCH(AA68,Settings!$B$14:$B$33,0)),IFERROR(LOOKUP(2^15,SEARCH(Settings!$I$14:$I$83,AA68)/(Settings!$I$14:$I$83&lt;&gt;""),Settings!$J$14:$J$83),"Other"))))</f>
        <v/>
      </c>
      <c r="BE68">
        <f>IF($B68="","",IF(AB68="","Not rostered",IFERROR(INDEX(Settings!$C$14:$C$33,MATCH(AB68,Settings!$B$14:$B$33,0)),IFERROR(LOOKUP(2^15,SEARCH(Settings!$I$14:$I$83,AB68)/(Settings!$I$14:$I$83&lt;&gt;""),Settings!$J$14:$J$83),"Other"))))</f>
        <v/>
      </c>
      <c r="BF68">
        <f>IF($B68="","",IF(AC68="","Not rostered",IFERROR(INDEX(Settings!$C$14:$C$33,MATCH(AC68,Settings!$B$14:$B$33,0)),IFERROR(LOOKUP(2^15,SEARCH(Settings!$I$14:$I$83,AC68)/(Settings!$I$14:$I$83&lt;&gt;""),Settings!$J$14:$J$83),"Other"))))</f>
        <v/>
      </c>
      <c r="BG68">
        <f>IF($B68="","",IF(AD68="","Not rostered",IFERROR(INDEX(Settings!$C$14:$C$33,MATCH(AD68,Settings!$B$14:$B$33,0)),IFERROR(LOOKUP(2^15,SEARCH(Settings!$I$14:$I$83,AD68)/(Settings!$I$14:$I$83&lt;&gt;""),Settings!$J$14:$J$83),"Other"))))</f>
        <v/>
      </c>
      <c r="BH68">
        <f>IF($B68="","",IF(AE68="","Not rostered",IFERROR(INDEX(Settings!$C$14:$C$33,MATCH(AE68,Settings!$B$14:$B$33,0)),IFERROR(LOOKUP(2^15,SEARCH(Settings!$I$14:$I$83,AE68)/(Settings!$I$14:$I$83&lt;&gt;""),Settings!$J$14:$J$83),"Other"))))</f>
        <v/>
      </c>
      <c r="BI68">
        <f>IF($B68="","",IF(AF68="","Not rostered",IFERROR(INDEX(Settings!$C$14:$C$33,MATCH(AF68,Settings!$B$14:$B$33,0)),IFERROR(LOOKUP(2^15,SEARCH(Settings!$I$14:$I$83,AF68)/(Settings!$I$14:$I$83&lt;&gt;""),Settings!$J$14:$J$83),"Other"))))</f>
        <v/>
      </c>
      <c r="BJ68">
        <f>IF($B68="","",IF(AG68="","Not rostered",IFERROR(INDEX(Settings!$C$14:$C$33,MATCH(AG68,Settings!$B$14:$B$33,0)),IFERROR(LOOKUP(2^15,SEARCH(Settings!$I$14:$I$83,AG68)/(Settings!$I$14:$I$83&lt;&gt;""),Settings!$J$14:$J$83),"Other"))))</f>
        <v/>
      </c>
      <c r="BL68">
        <f>IF(OR($B68="",F68=""),"",IFERROR(INDEX(Settings!$D$14:$D$33,MATCH(F68,Settings!$B$14:$B$33,0))&amp;"",IFERROR(LOOKUP(2^15,SEARCH(Settings!$F$14:$F$43,F68)/(Settings!$F$14:$F$43&lt;&gt;""),Settings!$G$14:$G$43),"")))</f>
        <v/>
      </c>
      <c r="BM68">
        <f>IF(OR($B68="",G68=""),"",IFERROR(INDEX(Settings!$D$14:$D$33,MATCH(G68,Settings!$B$14:$B$33,0))&amp;"",IFERROR(LOOKUP(2^15,SEARCH(Settings!$F$14:$F$43,G68)/(Settings!$F$14:$F$43&lt;&gt;""),Settings!$G$14:$G$43),"")))</f>
        <v/>
      </c>
      <c r="BN68">
        <f>IF(OR($B68="",H68=""),"",IFERROR(INDEX(Settings!$D$14:$D$33,MATCH(H68,Settings!$B$14:$B$33,0))&amp;"",IFERROR(LOOKUP(2^15,SEARCH(Settings!$F$14:$F$43,H68)/(Settings!$F$14:$F$43&lt;&gt;""),Settings!$G$14:$G$43),"")))</f>
        <v/>
      </c>
      <c r="BO68">
        <f>IF(OR($B68="",I68=""),"",IFERROR(INDEX(Settings!$D$14:$D$33,MATCH(I68,Settings!$B$14:$B$33,0))&amp;"",IFERROR(LOOKUP(2^15,SEARCH(Settings!$F$14:$F$43,I68)/(Settings!$F$14:$F$43&lt;&gt;""),Settings!$G$14:$G$43),"")))</f>
        <v/>
      </c>
      <c r="BP68">
        <f>IF(OR($B68="",J68=""),"",IFERROR(INDEX(Settings!$D$14:$D$33,MATCH(J68,Settings!$B$14:$B$33,0))&amp;"",IFERROR(LOOKUP(2^15,SEARCH(Settings!$F$14:$F$43,J68)/(Settings!$F$14:$F$43&lt;&gt;""),Settings!$G$14:$G$43),"")))</f>
        <v/>
      </c>
      <c r="BQ68">
        <f>IF(OR($B68="",K68=""),"",IFERROR(INDEX(Settings!$D$14:$D$33,MATCH(K68,Settings!$B$14:$B$33,0))&amp;"",IFERROR(LOOKUP(2^15,SEARCH(Settings!$F$14:$F$43,K68)/(Settings!$F$14:$F$43&lt;&gt;""),Settings!$G$14:$G$43),"")))</f>
        <v/>
      </c>
      <c r="BR68">
        <f>IF(OR($B68="",L68=""),"",IFERROR(INDEX(Settings!$D$14:$D$33,MATCH(L68,Settings!$B$14:$B$33,0))&amp;"",IFERROR(LOOKUP(2^15,SEARCH(Settings!$F$14:$F$43,L68)/(Settings!$F$14:$F$43&lt;&gt;""),Settings!$G$14:$G$43),"")))</f>
        <v/>
      </c>
      <c r="BS68">
        <f>IF(OR($B68="",M68=""),"",IFERROR(INDEX(Settings!$D$14:$D$33,MATCH(M68,Settings!$B$14:$B$33,0))&amp;"",IFERROR(LOOKUP(2^15,SEARCH(Settings!$F$14:$F$43,M68)/(Settings!$F$14:$F$43&lt;&gt;""),Settings!$G$14:$G$43),"")))</f>
        <v/>
      </c>
      <c r="BT68">
        <f>IF(OR($B68="",N68=""),"",IFERROR(INDEX(Settings!$D$14:$D$33,MATCH(N68,Settings!$B$14:$B$33,0))&amp;"",IFERROR(LOOKUP(2^15,SEARCH(Settings!$F$14:$F$43,N68)/(Settings!$F$14:$F$43&lt;&gt;""),Settings!$G$14:$G$43),"")))</f>
        <v/>
      </c>
      <c r="BU68">
        <f>IF(OR($B68="",O68=""),"",IFERROR(INDEX(Settings!$D$14:$D$33,MATCH(O68,Settings!$B$14:$B$33,0))&amp;"",IFERROR(LOOKUP(2^15,SEARCH(Settings!$F$14:$F$43,O68)/(Settings!$F$14:$F$43&lt;&gt;""),Settings!$G$14:$G$43),"")))</f>
        <v/>
      </c>
      <c r="BV68">
        <f>IF(OR($B68="",P68=""),"",IFERROR(INDEX(Settings!$D$14:$D$33,MATCH(P68,Settings!$B$14:$B$33,0))&amp;"",IFERROR(LOOKUP(2^15,SEARCH(Settings!$F$14:$F$43,P68)/(Settings!$F$14:$F$43&lt;&gt;""),Settings!$G$14:$G$43),"")))</f>
        <v/>
      </c>
      <c r="BW68">
        <f>IF(OR($B68="",Q68=""),"",IFERROR(INDEX(Settings!$D$14:$D$33,MATCH(Q68,Settings!$B$14:$B$33,0))&amp;"",IFERROR(LOOKUP(2^15,SEARCH(Settings!$F$14:$F$43,Q68)/(Settings!$F$14:$F$43&lt;&gt;""),Settings!$G$14:$G$43),"")))</f>
        <v/>
      </c>
      <c r="BX68">
        <f>IF(OR($B68="",R68=""),"",IFERROR(INDEX(Settings!$D$14:$D$33,MATCH(R68,Settings!$B$14:$B$33,0))&amp;"",IFERROR(LOOKUP(2^15,SEARCH(Settings!$F$14:$F$43,R68)/(Settings!$F$14:$F$43&lt;&gt;""),Settings!$G$14:$G$43),"")))</f>
        <v/>
      </c>
      <c r="BY68">
        <f>IF(OR($B68="",S68=""),"",IFERROR(INDEX(Settings!$D$14:$D$33,MATCH(S68,Settings!$B$14:$B$33,0))&amp;"",IFERROR(LOOKUP(2^15,SEARCH(Settings!$F$14:$F$43,S68)/(Settings!$F$14:$F$43&lt;&gt;""),Settings!$G$14:$G$43),"")))</f>
        <v/>
      </c>
      <c r="BZ68">
        <f>IF(OR($B68="",T68=""),"",IFERROR(INDEX(Settings!$D$14:$D$33,MATCH(T68,Settings!$B$14:$B$33,0))&amp;"",IFERROR(LOOKUP(2^15,SEARCH(Settings!$F$14:$F$43,T68)/(Settings!$F$14:$F$43&lt;&gt;""),Settings!$G$14:$G$43),"")))</f>
        <v/>
      </c>
      <c r="CA68">
        <f>IF(OR($B68="",U68=""),"",IFERROR(INDEX(Settings!$D$14:$D$33,MATCH(U68,Settings!$B$14:$B$33,0))&amp;"",IFERROR(LOOKUP(2^15,SEARCH(Settings!$F$14:$F$43,U68)/(Settings!$F$14:$F$43&lt;&gt;""),Settings!$G$14:$G$43),"")))</f>
        <v/>
      </c>
      <c r="CB68">
        <f>IF(OR($B68="",V68=""),"",IFERROR(INDEX(Settings!$D$14:$D$33,MATCH(V68,Settings!$B$14:$B$33,0))&amp;"",IFERROR(LOOKUP(2^15,SEARCH(Settings!$F$14:$F$43,V68)/(Settings!$F$14:$F$43&lt;&gt;""),Settings!$G$14:$G$43),"")))</f>
        <v/>
      </c>
      <c r="CC68">
        <f>IF(OR($B68="",W68=""),"",IFERROR(INDEX(Settings!$D$14:$D$33,MATCH(W68,Settings!$B$14:$B$33,0))&amp;"",IFERROR(LOOKUP(2^15,SEARCH(Settings!$F$14:$F$43,W68)/(Settings!$F$14:$F$43&lt;&gt;""),Settings!$G$14:$G$43),"")))</f>
        <v/>
      </c>
      <c r="CD68">
        <f>IF(OR($B68="",X68=""),"",IFERROR(INDEX(Settings!$D$14:$D$33,MATCH(X68,Settings!$B$14:$B$33,0))&amp;"",IFERROR(LOOKUP(2^15,SEARCH(Settings!$F$14:$F$43,X68)/(Settings!$F$14:$F$43&lt;&gt;""),Settings!$G$14:$G$43),"")))</f>
        <v/>
      </c>
      <c r="CE68">
        <f>IF(OR($B68="",Y68=""),"",IFERROR(INDEX(Settings!$D$14:$D$33,MATCH(Y68,Settings!$B$14:$B$33,0))&amp;"",IFERROR(LOOKUP(2^15,SEARCH(Settings!$F$14:$F$43,Y68)/(Settings!$F$14:$F$43&lt;&gt;""),Settings!$G$14:$G$43),"")))</f>
        <v/>
      </c>
      <c r="CF68">
        <f>IF(OR($B68="",Z68=""),"",IFERROR(INDEX(Settings!$D$14:$D$33,MATCH(Z68,Settings!$B$14:$B$33,0))&amp;"",IFERROR(LOOKUP(2^15,SEARCH(Settings!$F$14:$F$43,Z68)/(Settings!$F$14:$F$43&lt;&gt;""),Settings!$G$14:$G$43),"")))</f>
        <v/>
      </c>
      <c r="CG68">
        <f>IF(OR($B68="",AA68=""),"",IFERROR(INDEX(Settings!$D$14:$D$33,MATCH(AA68,Settings!$B$14:$B$33,0))&amp;"",IFERROR(LOOKUP(2^15,SEARCH(Settings!$F$14:$F$43,AA68)/(Settings!$F$14:$F$43&lt;&gt;""),Settings!$G$14:$G$43),"")))</f>
        <v/>
      </c>
      <c r="CH68">
        <f>IF(OR($B68="",AB68=""),"",IFERROR(INDEX(Settings!$D$14:$D$33,MATCH(AB68,Settings!$B$14:$B$33,0))&amp;"",IFERROR(LOOKUP(2^15,SEARCH(Settings!$F$14:$F$43,AB68)/(Settings!$F$14:$F$43&lt;&gt;""),Settings!$G$14:$G$43),"")))</f>
        <v/>
      </c>
      <c r="CI68">
        <f>IF(OR($B68="",AC68=""),"",IFERROR(INDEX(Settings!$D$14:$D$33,MATCH(AC68,Settings!$B$14:$B$33,0))&amp;"",IFERROR(LOOKUP(2^15,SEARCH(Settings!$F$14:$F$43,AC68)/(Settings!$F$14:$F$43&lt;&gt;""),Settings!$G$14:$G$43),"")))</f>
        <v/>
      </c>
      <c r="CJ68">
        <f>IF(OR($B68="",AD68=""),"",IFERROR(INDEX(Settings!$D$14:$D$33,MATCH(AD68,Settings!$B$14:$B$33,0))&amp;"",IFERROR(LOOKUP(2^15,SEARCH(Settings!$F$14:$F$43,AD68)/(Settings!$F$14:$F$43&lt;&gt;""),Settings!$G$14:$G$43),"")))</f>
        <v/>
      </c>
      <c r="CK68">
        <f>IF(OR($B68="",AE68=""),"",IFERROR(INDEX(Settings!$D$14:$D$33,MATCH(AE68,Settings!$B$14:$B$33,0))&amp;"",IFERROR(LOOKUP(2^15,SEARCH(Settings!$F$14:$F$43,AE68)/(Settings!$F$14:$F$43&lt;&gt;""),Settings!$G$14:$G$43),"")))</f>
        <v/>
      </c>
      <c r="CL68">
        <f>IF(OR($B68="",AF68=""),"",IFERROR(INDEX(Settings!$D$14:$D$33,MATCH(AF68,Settings!$B$14:$B$33,0))&amp;"",IFERROR(LOOKUP(2^15,SEARCH(Settings!$F$14:$F$43,AF68)/(Settings!$F$14:$F$43&lt;&gt;""),Settings!$G$14:$G$43),"")))</f>
        <v/>
      </c>
      <c r="CM68">
        <f>IF(OR($B68="",AG68=""),"",IFERROR(INDEX(Settings!$D$14:$D$33,MATCH(AG68,Settings!$B$14:$B$33,0))&amp;"",IFERROR(LOOKUP(2^15,SEARCH(Settings!$F$14:$F$43,AG68)/(Settings!$F$14:$F$43&lt;&gt;""),Settings!$G$14:$G$43),"")))</f>
        <v/>
      </c>
    </row>
    <row r="69">
      <c r="A69" t="n">
        <v>67</v>
      </c>
      <c r="B69">
        <f>IFERROR(INDEX(Index!$A$2:$A$202,MATCH(A69,Index!$E$2:$E$202,0)),"")</f>
        <v/>
      </c>
      <c r="D69">
        <f>IF($B69="","",IFERROR(MATCH("Travel*",AI69:BJ69,0),""))</f>
        <v/>
      </c>
      <c r="F69">
        <f>IF(OR($B69="",NOT(ISNUMBER(Settings!$C$9))),"",TRIM(SUBSTITUTE(SUBSTITUTE(INDEX('INPUT - Roster'!$S$1:$SV$206,$B69,Settings!$C$9+0)&amp;"",CHAR(10)," "),CHAR(160)," ")))</f>
        <v/>
      </c>
      <c r="G69">
        <f>IF(OR($B69="",NOT(ISNUMBER(Settings!$C$9))),"",TRIM(SUBSTITUTE(SUBSTITUTE(INDEX('INPUT - Roster'!$S$1:$SV$206,$B69,Settings!$C$9+1)&amp;"",CHAR(10)," "),CHAR(160)," ")))</f>
        <v/>
      </c>
      <c r="H69">
        <f>IF(OR($B69="",NOT(ISNUMBER(Settings!$C$9))),"",TRIM(SUBSTITUTE(SUBSTITUTE(INDEX('INPUT - Roster'!$S$1:$SV$206,$B69,Settings!$C$9+2)&amp;"",CHAR(10)," "),CHAR(160)," ")))</f>
        <v/>
      </c>
      <c r="I69">
        <f>IF(OR($B69="",NOT(ISNUMBER(Settings!$C$9))),"",TRIM(SUBSTITUTE(SUBSTITUTE(INDEX('INPUT - Roster'!$S$1:$SV$206,$B69,Settings!$C$9+3)&amp;"",CHAR(10)," "),CHAR(160)," ")))</f>
        <v/>
      </c>
      <c r="J69">
        <f>IF(OR($B69="",NOT(ISNUMBER(Settings!$C$9))),"",TRIM(SUBSTITUTE(SUBSTITUTE(INDEX('INPUT - Roster'!$S$1:$SV$206,$B69,Settings!$C$9+4)&amp;"",CHAR(10)," "),CHAR(160)," ")))</f>
        <v/>
      </c>
      <c r="K69">
        <f>IF(OR($B69="",NOT(ISNUMBER(Settings!$C$9))),"",TRIM(SUBSTITUTE(SUBSTITUTE(INDEX('INPUT - Roster'!$S$1:$SV$206,$B69,Settings!$C$9+5)&amp;"",CHAR(10)," "),CHAR(160)," ")))</f>
        <v/>
      </c>
      <c r="L69">
        <f>IF(OR($B69="",NOT(ISNUMBER(Settings!$C$9))),"",TRIM(SUBSTITUTE(SUBSTITUTE(INDEX('INPUT - Roster'!$S$1:$SV$206,$B69,Settings!$C$9+6)&amp;"",CHAR(10)," "),CHAR(160)," ")))</f>
        <v/>
      </c>
      <c r="M69">
        <f>IF(OR($B69="",NOT(ISNUMBER(Settings!$C$9))),"",TRIM(SUBSTITUTE(SUBSTITUTE(INDEX('INPUT - Roster'!$S$1:$SV$206,$B69,Settings!$C$9+7)&amp;"",CHAR(10)," "),CHAR(160)," ")))</f>
        <v/>
      </c>
      <c r="N69">
        <f>IF(OR($B69="",NOT(ISNUMBER(Settings!$C$9))),"",TRIM(SUBSTITUTE(SUBSTITUTE(INDEX('INPUT - Roster'!$S$1:$SV$206,$B69,Settings!$C$9+8)&amp;"",CHAR(10)," "),CHAR(160)," ")))</f>
        <v/>
      </c>
      <c r="O69">
        <f>IF(OR($B69="",NOT(ISNUMBER(Settings!$C$9))),"",TRIM(SUBSTITUTE(SUBSTITUTE(INDEX('INPUT - Roster'!$S$1:$SV$206,$B69,Settings!$C$9+9)&amp;"",CHAR(10)," "),CHAR(160)," ")))</f>
        <v/>
      </c>
      <c r="P69">
        <f>IF(OR($B69="",NOT(ISNUMBER(Settings!$C$9))),"",TRIM(SUBSTITUTE(SUBSTITUTE(INDEX('INPUT - Roster'!$S$1:$SV$206,$B69,Settings!$C$9+10)&amp;"",CHAR(10)," "),CHAR(160)," ")))</f>
        <v/>
      </c>
      <c r="Q69">
        <f>IF(OR($B69="",NOT(ISNUMBER(Settings!$C$9))),"",TRIM(SUBSTITUTE(SUBSTITUTE(INDEX('INPUT - Roster'!$S$1:$SV$206,$B69,Settings!$C$9+11)&amp;"",CHAR(10)," "),CHAR(160)," ")))</f>
        <v/>
      </c>
      <c r="R69">
        <f>IF(OR($B69="",NOT(ISNUMBER(Settings!$C$9))),"",TRIM(SUBSTITUTE(SUBSTITUTE(INDEX('INPUT - Roster'!$S$1:$SV$206,$B69,Settings!$C$9+12)&amp;"",CHAR(10)," "),CHAR(160)," ")))</f>
        <v/>
      </c>
      <c r="S69">
        <f>IF(OR($B69="",NOT(ISNUMBER(Settings!$C$9))),"",TRIM(SUBSTITUTE(SUBSTITUTE(INDEX('INPUT - Roster'!$S$1:$SV$206,$B69,Settings!$C$9+13)&amp;"",CHAR(10)," "),CHAR(160)," ")))</f>
        <v/>
      </c>
      <c r="T69">
        <f>IF(OR($B69="",NOT(ISNUMBER(Settings!$C$9))),"",TRIM(SUBSTITUTE(SUBSTITUTE(INDEX('INPUT - Roster'!$S$1:$SV$206,$B69,Settings!$C$9+14)&amp;"",CHAR(10)," "),CHAR(160)," ")))</f>
        <v/>
      </c>
      <c r="U69">
        <f>IF(OR($B69="",NOT(ISNUMBER(Settings!$C$9))),"",TRIM(SUBSTITUTE(SUBSTITUTE(INDEX('INPUT - Roster'!$S$1:$SV$206,$B69,Settings!$C$9+15)&amp;"",CHAR(10)," "),CHAR(160)," ")))</f>
        <v/>
      </c>
      <c r="V69">
        <f>IF(OR($B69="",NOT(ISNUMBER(Settings!$C$9))),"",TRIM(SUBSTITUTE(SUBSTITUTE(INDEX('INPUT - Roster'!$S$1:$SV$206,$B69,Settings!$C$9+16)&amp;"",CHAR(10)," "),CHAR(160)," ")))</f>
        <v/>
      </c>
      <c r="W69">
        <f>IF(OR($B69="",NOT(ISNUMBER(Settings!$C$9))),"",TRIM(SUBSTITUTE(SUBSTITUTE(INDEX('INPUT - Roster'!$S$1:$SV$206,$B69,Settings!$C$9+17)&amp;"",CHAR(10)," "),CHAR(160)," ")))</f>
        <v/>
      </c>
      <c r="X69">
        <f>IF(OR($B69="",NOT(ISNUMBER(Settings!$C$9))),"",TRIM(SUBSTITUTE(SUBSTITUTE(INDEX('INPUT - Roster'!$S$1:$SV$206,$B69,Settings!$C$9+18)&amp;"",CHAR(10)," "),CHAR(160)," ")))</f>
        <v/>
      </c>
      <c r="Y69">
        <f>IF(OR($B69="",NOT(ISNUMBER(Settings!$C$9))),"",TRIM(SUBSTITUTE(SUBSTITUTE(INDEX('INPUT - Roster'!$S$1:$SV$206,$B69,Settings!$C$9+19)&amp;"",CHAR(10)," "),CHAR(160)," ")))</f>
        <v/>
      </c>
      <c r="Z69">
        <f>IF(OR($B69="",NOT(ISNUMBER(Settings!$C$9))),"",TRIM(SUBSTITUTE(SUBSTITUTE(INDEX('INPUT - Roster'!$S$1:$SV$206,$B69,Settings!$C$9+20)&amp;"",CHAR(10)," "),CHAR(160)," ")))</f>
        <v/>
      </c>
      <c r="AA69">
        <f>IF(OR($B69="",NOT(ISNUMBER(Settings!$C$9))),"",TRIM(SUBSTITUTE(SUBSTITUTE(INDEX('INPUT - Roster'!$S$1:$SV$206,$B69,Settings!$C$9+21)&amp;"",CHAR(10)," "),CHAR(160)," ")))</f>
        <v/>
      </c>
      <c r="AB69">
        <f>IF(OR($B69="",NOT(ISNUMBER(Settings!$C$9))),"",TRIM(SUBSTITUTE(SUBSTITUTE(INDEX('INPUT - Roster'!$S$1:$SV$206,$B69,Settings!$C$9+22)&amp;"",CHAR(10)," "),CHAR(160)," ")))</f>
        <v/>
      </c>
      <c r="AC69">
        <f>IF(OR($B69="",NOT(ISNUMBER(Settings!$C$9))),"",TRIM(SUBSTITUTE(SUBSTITUTE(INDEX('INPUT - Roster'!$S$1:$SV$206,$B69,Settings!$C$9+23)&amp;"",CHAR(10)," "),CHAR(160)," ")))</f>
        <v/>
      </c>
      <c r="AD69">
        <f>IF(OR($B69="",NOT(ISNUMBER(Settings!$C$9))),"",TRIM(SUBSTITUTE(SUBSTITUTE(INDEX('INPUT - Roster'!$S$1:$SV$206,$B69,Settings!$C$9+24)&amp;"",CHAR(10)," "),CHAR(160)," ")))</f>
        <v/>
      </c>
      <c r="AE69">
        <f>IF(OR($B69="",NOT(ISNUMBER(Settings!$C$9))),"",TRIM(SUBSTITUTE(SUBSTITUTE(INDEX('INPUT - Roster'!$S$1:$SV$206,$B69,Settings!$C$9+25)&amp;"",CHAR(10)," "),CHAR(160)," ")))</f>
        <v/>
      </c>
      <c r="AF69">
        <f>IF(OR($B69="",NOT(ISNUMBER(Settings!$C$9))),"",TRIM(SUBSTITUTE(SUBSTITUTE(INDEX('INPUT - Roster'!$S$1:$SV$206,$B69,Settings!$C$9+26)&amp;"",CHAR(10)," "),CHAR(160)," ")))</f>
        <v/>
      </c>
      <c r="AG69">
        <f>IF(OR($B69="",NOT(ISNUMBER(Settings!$C$9))),"",TRIM(SUBSTITUTE(SUBSTITUTE(INDEX('INPUT - Roster'!$S$1:$SV$206,$B69,Settings!$C$9+27)&amp;"",CHAR(10)," "),CHAR(160)," ")))</f>
        <v/>
      </c>
      <c r="AI69">
        <f>IF($B69="","",IF(F69="","Not rostered",IFERROR(INDEX(Settings!$C$14:$C$33,MATCH(F69,Settings!$B$14:$B$33,0)),IFERROR(LOOKUP(2^15,SEARCH(Settings!$I$14:$I$83,F69)/(Settings!$I$14:$I$83&lt;&gt;""),Settings!$J$14:$J$83),"Other"))))</f>
        <v/>
      </c>
      <c r="AJ69">
        <f>IF($B69="","",IF(G69="","Not rostered",IFERROR(INDEX(Settings!$C$14:$C$33,MATCH(G69,Settings!$B$14:$B$33,0)),IFERROR(LOOKUP(2^15,SEARCH(Settings!$I$14:$I$83,G69)/(Settings!$I$14:$I$83&lt;&gt;""),Settings!$J$14:$J$83),"Other"))))</f>
        <v/>
      </c>
      <c r="AK69">
        <f>IF($B69="","",IF(H69="","Not rostered",IFERROR(INDEX(Settings!$C$14:$C$33,MATCH(H69,Settings!$B$14:$B$33,0)),IFERROR(LOOKUP(2^15,SEARCH(Settings!$I$14:$I$83,H69)/(Settings!$I$14:$I$83&lt;&gt;""),Settings!$J$14:$J$83),"Other"))))</f>
        <v/>
      </c>
      <c r="AL69">
        <f>IF($B69="","",IF(I69="","Not rostered",IFERROR(INDEX(Settings!$C$14:$C$33,MATCH(I69,Settings!$B$14:$B$33,0)),IFERROR(LOOKUP(2^15,SEARCH(Settings!$I$14:$I$83,I69)/(Settings!$I$14:$I$83&lt;&gt;""),Settings!$J$14:$J$83),"Other"))))</f>
        <v/>
      </c>
      <c r="AM69">
        <f>IF($B69="","",IF(J69="","Not rostered",IFERROR(INDEX(Settings!$C$14:$C$33,MATCH(J69,Settings!$B$14:$B$33,0)),IFERROR(LOOKUP(2^15,SEARCH(Settings!$I$14:$I$83,J69)/(Settings!$I$14:$I$83&lt;&gt;""),Settings!$J$14:$J$83),"Other"))))</f>
        <v/>
      </c>
      <c r="AN69">
        <f>IF($B69="","",IF(K69="","Not rostered",IFERROR(INDEX(Settings!$C$14:$C$33,MATCH(K69,Settings!$B$14:$B$33,0)),IFERROR(LOOKUP(2^15,SEARCH(Settings!$I$14:$I$83,K69)/(Settings!$I$14:$I$83&lt;&gt;""),Settings!$J$14:$J$83),"Other"))))</f>
        <v/>
      </c>
      <c r="AO69">
        <f>IF($B69="","",IF(L69="","Not rostered",IFERROR(INDEX(Settings!$C$14:$C$33,MATCH(L69,Settings!$B$14:$B$33,0)),IFERROR(LOOKUP(2^15,SEARCH(Settings!$I$14:$I$83,L69)/(Settings!$I$14:$I$83&lt;&gt;""),Settings!$J$14:$J$83),"Other"))))</f>
        <v/>
      </c>
      <c r="AP69">
        <f>IF($B69="","",IF(M69="","Not rostered",IFERROR(INDEX(Settings!$C$14:$C$33,MATCH(M69,Settings!$B$14:$B$33,0)),IFERROR(LOOKUP(2^15,SEARCH(Settings!$I$14:$I$83,M69)/(Settings!$I$14:$I$83&lt;&gt;""),Settings!$J$14:$J$83),"Other"))))</f>
        <v/>
      </c>
      <c r="AQ69">
        <f>IF($B69="","",IF(N69="","Not rostered",IFERROR(INDEX(Settings!$C$14:$C$33,MATCH(N69,Settings!$B$14:$B$33,0)),IFERROR(LOOKUP(2^15,SEARCH(Settings!$I$14:$I$83,N69)/(Settings!$I$14:$I$83&lt;&gt;""),Settings!$J$14:$J$83),"Other"))))</f>
        <v/>
      </c>
      <c r="AR69">
        <f>IF($B69="","",IF(O69="","Not rostered",IFERROR(INDEX(Settings!$C$14:$C$33,MATCH(O69,Settings!$B$14:$B$33,0)),IFERROR(LOOKUP(2^15,SEARCH(Settings!$I$14:$I$83,O69)/(Settings!$I$14:$I$83&lt;&gt;""),Settings!$J$14:$J$83),"Other"))))</f>
        <v/>
      </c>
      <c r="AS69">
        <f>IF($B69="","",IF(P69="","Not rostered",IFERROR(INDEX(Settings!$C$14:$C$33,MATCH(P69,Settings!$B$14:$B$33,0)),IFERROR(LOOKUP(2^15,SEARCH(Settings!$I$14:$I$83,P69)/(Settings!$I$14:$I$83&lt;&gt;""),Settings!$J$14:$J$83),"Other"))))</f>
        <v/>
      </c>
      <c r="AT69">
        <f>IF($B69="","",IF(Q69="","Not rostered",IFERROR(INDEX(Settings!$C$14:$C$33,MATCH(Q69,Settings!$B$14:$B$33,0)),IFERROR(LOOKUP(2^15,SEARCH(Settings!$I$14:$I$83,Q69)/(Settings!$I$14:$I$83&lt;&gt;""),Settings!$J$14:$J$83),"Other"))))</f>
        <v/>
      </c>
      <c r="AU69">
        <f>IF($B69="","",IF(R69="","Not rostered",IFERROR(INDEX(Settings!$C$14:$C$33,MATCH(R69,Settings!$B$14:$B$33,0)),IFERROR(LOOKUP(2^15,SEARCH(Settings!$I$14:$I$83,R69)/(Settings!$I$14:$I$83&lt;&gt;""),Settings!$J$14:$J$83),"Other"))))</f>
        <v/>
      </c>
      <c r="AV69">
        <f>IF($B69="","",IF(S69="","Not rostered",IFERROR(INDEX(Settings!$C$14:$C$33,MATCH(S69,Settings!$B$14:$B$33,0)),IFERROR(LOOKUP(2^15,SEARCH(Settings!$I$14:$I$83,S69)/(Settings!$I$14:$I$83&lt;&gt;""),Settings!$J$14:$J$83),"Other"))))</f>
        <v/>
      </c>
      <c r="AW69">
        <f>IF($B69="","",IF(T69="","Not rostered",IFERROR(INDEX(Settings!$C$14:$C$33,MATCH(T69,Settings!$B$14:$B$33,0)),IFERROR(LOOKUP(2^15,SEARCH(Settings!$I$14:$I$83,T69)/(Settings!$I$14:$I$83&lt;&gt;""),Settings!$J$14:$J$83),"Other"))))</f>
        <v/>
      </c>
      <c r="AX69">
        <f>IF($B69="","",IF(U69="","Not rostered",IFERROR(INDEX(Settings!$C$14:$C$33,MATCH(U69,Settings!$B$14:$B$33,0)),IFERROR(LOOKUP(2^15,SEARCH(Settings!$I$14:$I$83,U69)/(Settings!$I$14:$I$83&lt;&gt;""),Settings!$J$14:$J$83),"Other"))))</f>
        <v/>
      </c>
      <c r="AY69">
        <f>IF($B69="","",IF(V69="","Not rostered",IFERROR(INDEX(Settings!$C$14:$C$33,MATCH(V69,Settings!$B$14:$B$33,0)),IFERROR(LOOKUP(2^15,SEARCH(Settings!$I$14:$I$83,V69)/(Settings!$I$14:$I$83&lt;&gt;""),Settings!$J$14:$J$83),"Other"))))</f>
        <v/>
      </c>
      <c r="AZ69">
        <f>IF($B69="","",IF(W69="","Not rostered",IFERROR(INDEX(Settings!$C$14:$C$33,MATCH(W69,Settings!$B$14:$B$33,0)),IFERROR(LOOKUP(2^15,SEARCH(Settings!$I$14:$I$83,W69)/(Settings!$I$14:$I$83&lt;&gt;""),Settings!$J$14:$J$83),"Other"))))</f>
        <v/>
      </c>
      <c r="BA69">
        <f>IF($B69="","",IF(X69="","Not rostered",IFERROR(INDEX(Settings!$C$14:$C$33,MATCH(X69,Settings!$B$14:$B$33,0)),IFERROR(LOOKUP(2^15,SEARCH(Settings!$I$14:$I$83,X69)/(Settings!$I$14:$I$83&lt;&gt;""),Settings!$J$14:$J$83),"Other"))))</f>
        <v/>
      </c>
      <c r="BB69">
        <f>IF($B69="","",IF(Y69="","Not rostered",IFERROR(INDEX(Settings!$C$14:$C$33,MATCH(Y69,Settings!$B$14:$B$33,0)),IFERROR(LOOKUP(2^15,SEARCH(Settings!$I$14:$I$83,Y69)/(Settings!$I$14:$I$83&lt;&gt;""),Settings!$J$14:$J$83),"Other"))))</f>
        <v/>
      </c>
      <c r="BC69">
        <f>IF($B69="","",IF(Z69="","Not rostered",IFERROR(INDEX(Settings!$C$14:$C$33,MATCH(Z69,Settings!$B$14:$B$33,0)),IFERROR(LOOKUP(2^15,SEARCH(Settings!$I$14:$I$83,Z69)/(Settings!$I$14:$I$83&lt;&gt;""),Settings!$J$14:$J$83),"Other"))))</f>
        <v/>
      </c>
      <c r="BD69">
        <f>IF($B69="","",IF(AA69="","Not rostered",IFERROR(INDEX(Settings!$C$14:$C$33,MATCH(AA69,Settings!$B$14:$B$33,0)),IFERROR(LOOKUP(2^15,SEARCH(Settings!$I$14:$I$83,AA69)/(Settings!$I$14:$I$83&lt;&gt;""),Settings!$J$14:$J$83),"Other"))))</f>
        <v/>
      </c>
      <c r="BE69">
        <f>IF($B69="","",IF(AB69="","Not rostered",IFERROR(INDEX(Settings!$C$14:$C$33,MATCH(AB69,Settings!$B$14:$B$33,0)),IFERROR(LOOKUP(2^15,SEARCH(Settings!$I$14:$I$83,AB69)/(Settings!$I$14:$I$83&lt;&gt;""),Settings!$J$14:$J$83),"Other"))))</f>
        <v/>
      </c>
      <c r="BF69">
        <f>IF($B69="","",IF(AC69="","Not rostered",IFERROR(INDEX(Settings!$C$14:$C$33,MATCH(AC69,Settings!$B$14:$B$33,0)),IFERROR(LOOKUP(2^15,SEARCH(Settings!$I$14:$I$83,AC69)/(Settings!$I$14:$I$83&lt;&gt;""),Settings!$J$14:$J$83),"Other"))))</f>
        <v/>
      </c>
      <c r="BG69">
        <f>IF($B69="","",IF(AD69="","Not rostered",IFERROR(INDEX(Settings!$C$14:$C$33,MATCH(AD69,Settings!$B$14:$B$33,0)),IFERROR(LOOKUP(2^15,SEARCH(Settings!$I$14:$I$83,AD69)/(Settings!$I$14:$I$83&lt;&gt;""),Settings!$J$14:$J$83),"Other"))))</f>
        <v/>
      </c>
      <c r="BH69">
        <f>IF($B69="","",IF(AE69="","Not rostered",IFERROR(INDEX(Settings!$C$14:$C$33,MATCH(AE69,Settings!$B$14:$B$33,0)),IFERROR(LOOKUP(2^15,SEARCH(Settings!$I$14:$I$83,AE69)/(Settings!$I$14:$I$83&lt;&gt;""),Settings!$J$14:$J$83),"Other"))))</f>
        <v/>
      </c>
      <c r="BI69">
        <f>IF($B69="","",IF(AF69="","Not rostered",IFERROR(INDEX(Settings!$C$14:$C$33,MATCH(AF69,Settings!$B$14:$B$33,0)),IFERROR(LOOKUP(2^15,SEARCH(Settings!$I$14:$I$83,AF69)/(Settings!$I$14:$I$83&lt;&gt;""),Settings!$J$14:$J$83),"Other"))))</f>
        <v/>
      </c>
      <c r="BJ69">
        <f>IF($B69="","",IF(AG69="","Not rostered",IFERROR(INDEX(Settings!$C$14:$C$33,MATCH(AG69,Settings!$B$14:$B$33,0)),IFERROR(LOOKUP(2^15,SEARCH(Settings!$I$14:$I$83,AG69)/(Settings!$I$14:$I$83&lt;&gt;""),Settings!$J$14:$J$83),"Other"))))</f>
        <v/>
      </c>
      <c r="BL69">
        <f>IF(OR($B69="",F69=""),"",IFERROR(INDEX(Settings!$D$14:$D$33,MATCH(F69,Settings!$B$14:$B$33,0))&amp;"",IFERROR(LOOKUP(2^15,SEARCH(Settings!$F$14:$F$43,F69)/(Settings!$F$14:$F$43&lt;&gt;""),Settings!$G$14:$G$43),"")))</f>
        <v/>
      </c>
      <c r="BM69">
        <f>IF(OR($B69="",G69=""),"",IFERROR(INDEX(Settings!$D$14:$D$33,MATCH(G69,Settings!$B$14:$B$33,0))&amp;"",IFERROR(LOOKUP(2^15,SEARCH(Settings!$F$14:$F$43,G69)/(Settings!$F$14:$F$43&lt;&gt;""),Settings!$G$14:$G$43),"")))</f>
        <v/>
      </c>
      <c r="BN69">
        <f>IF(OR($B69="",H69=""),"",IFERROR(INDEX(Settings!$D$14:$D$33,MATCH(H69,Settings!$B$14:$B$33,0))&amp;"",IFERROR(LOOKUP(2^15,SEARCH(Settings!$F$14:$F$43,H69)/(Settings!$F$14:$F$43&lt;&gt;""),Settings!$G$14:$G$43),"")))</f>
        <v/>
      </c>
      <c r="BO69">
        <f>IF(OR($B69="",I69=""),"",IFERROR(INDEX(Settings!$D$14:$D$33,MATCH(I69,Settings!$B$14:$B$33,0))&amp;"",IFERROR(LOOKUP(2^15,SEARCH(Settings!$F$14:$F$43,I69)/(Settings!$F$14:$F$43&lt;&gt;""),Settings!$G$14:$G$43),"")))</f>
        <v/>
      </c>
      <c r="BP69">
        <f>IF(OR($B69="",J69=""),"",IFERROR(INDEX(Settings!$D$14:$D$33,MATCH(J69,Settings!$B$14:$B$33,0))&amp;"",IFERROR(LOOKUP(2^15,SEARCH(Settings!$F$14:$F$43,J69)/(Settings!$F$14:$F$43&lt;&gt;""),Settings!$G$14:$G$43),"")))</f>
        <v/>
      </c>
      <c r="BQ69">
        <f>IF(OR($B69="",K69=""),"",IFERROR(INDEX(Settings!$D$14:$D$33,MATCH(K69,Settings!$B$14:$B$33,0))&amp;"",IFERROR(LOOKUP(2^15,SEARCH(Settings!$F$14:$F$43,K69)/(Settings!$F$14:$F$43&lt;&gt;""),Settings!$G$14:$G$43),"")))</f>
        <v/>
      </c>
      <c r="BR69">
        <f>IF(OR($B69="",L69=""),"",IFERROR(INDEX(Settings!$D$14:$D$33,MATCH(L69,Settings!$B$14:$B$33,0))&amp;"",IFERROR(LOOKUP(2^15,SEARCH(Settings!$F$14:$F$43,L69)/(Settings!$F$14:$F$43&lt;&gt;""),Settings!$G$14:$G$43),"")))</f>
        <v/>
      </c>
      <c r="BS69">
        <f>IF(OR($B69="",M69=""),"",IFERROR(INDEX(Settings!$D$14:$D$33,MATCH(M69,Settings!$B$14:$B$33,0))&amp;"",IFERROR(LOOKUP(2^15,SEARCH(Settings!$F$14:$F$43,M69)/(Settings!$F$14:$F$43&lt;&gt;""),Settings!$G$14:$G$43),"")))</f>
        <v/>
      </c>
      <c r="BT69">
        <f>IF(OR($B69="",N69=""),"",IFERROR(INDEX(Settings!$D$14:$D$33,MATCH(N69,Settings!$B$14:$B$33,0))&amp;"",IFERROR(LOOKUP(2^15,SEARCH(Settings!$F$14:$F$43,N69)/(Settings!$F$14:$F$43&lt;&gt;""),Settings!$G$14:$G$43),"")))</f>
        <v/>
      </c>
      <c r="BU69">
        <f>IF(OR($B69="",O69=""),"",IFERROR(INDEX(Settings!$D$14:$D$33,MATCH(O69,Settings!$B$14:$B$33,0))&amp;"",IFERROR(LOOKUP(2^15,SEARCH(Settings!$F$14:$F$43,O69)/(Settings!$F$14:$F$43&lt;&gt;""),Settings!$G$14:$G$43),"")))</f>
        <v/>
      </c>
      <c r="BV69">
        <f>IF(OR($B69="",P69=""),"",IFERROR(INDEX(Settings!$D$14:$D$33,MATCH(P69,Settings!$B$14:$B$33,0))&amp;"",IFERROR(LOOKUP(2^15,SEARCH(Settings!$F$14:$F$43,P69)/(Settings!$F$14:$F$43&lt;&gt;""),Settings!$G$14:$G$43),"")))</f>
        <v/>
      </c>
      <c r="BW69">
        <f>IF(OR($B69="",Q69=""),"",IFERROR(INDEX(Settings!$D$14:$D$33,MATCH(Q69,Settings!$B$14:$B$33,0))&amp;"",IFERROR(LOOKUP(2^15,SEARCH(Settings!$F$14:$F$43,Q69)/(Settings!$F$14:$F$43&lt;&gt;""),Settings!$G$14:$G$43),"")))</f>
        <v/>
      </c>
      <c r="BX69">
        <f>IF(OR($B69="",R69=""),"",IFERROR(INDEX(Settings!$D$14:$D$33,MATCH(R69,Settings!$B$14:$B$33,0))&amp;"",IFERROR(LOOKUP(2^15,SEARCH(Settings!$F$14:$F$43,R69)/(Settings!$F$14:$F$43&lt;&gt;""),Settings!$G$14:$G$43),"")))</f>
        <v/>
      </c>
      <c r="BY69">
        <f>IF(OR($B69="",S69=""),"",IFERROR(INDEX(Settings!$D$14:$D$33,MATCH(S69,Settings!$B$14:$B$33,0))&amp;"",IFERROR(LOOKUP(2^15,SEARCH(Settings!$F$14:$F$43,S69)/(Settings!$F$14:$F$43&lt;&gt;""),Settings!$G$14:$G$43),"")))</f>
        <v/>
      </c>
      <c r="BZ69">
        <f>IF(OR($B69="",T69=""),"",IFERROR(INDEX(Settings!$D$14:$D$33,MATCH(T69,Settings!$B$14:$B$33,0))&amp;"",IFERROR(LOOKUP(2^15,SEARCH(Settings!$F$14:$F$43,T69)/(Settings!$F$14:$F$43&lt;&gt;""),Settings!$G$14:$G$43),"")))</f>
        <v/>
      </c>
      <c r="CA69">
        <f>IF(OR($B69="",U69=""),"",IFERROR(INDEX(Settings!$D$14:$D$33,MATCH(U69,Settings!$B$14:$B$33,0))&amp;"",IFERROR(LOOKUP(2^15,SEARCH(Settings!$F$14:$F$43,U69)/(Settings!$F$14:$F$43&lt;&gt;""),Settings!$G$14:$G$43),"")))</f>
        <v/>
      </c>
      <c r="CB69">
        <f>IF(OR($B69="",V69=""),"",IFERROR(INDEX(Settings!$D$14:$D$33,MATCH(V69,Settings!$B$14:$B$33,0))&amp;"",IFERROR(LOOKUP(2^15,SEARCH(Settings!$F$14:$F$43,V69)/(Settings!$F$14:$F$43&lt;&gt;""),Settings!$G$14:$G$43),"")))</f>
        <v/>
      </c>
      <c r="CC69">
        <f>IF(OR($B69="",W69=""),"",IFERROR(INDEX(Settings!$D$14:$D$33,MATCH(W69,Settings!$B$14:$B$33,0))&amp;"",IFERROR(LOOKUP(2^15,SEARCH(Settings!$F$14:$F$43,W69)/(Settings!$F$14:$F$43&lt;&gt;""),Settings!$G$14:$G$43),"")))</f>
        <v/>
      </c>
      <c r="CD69">
        <f>IF(OR($B69="",X69=""),"",IFERROR(INDEX(Settings!$D$14:$D$33,MATCH(X69,Settings!$B$14:$B$33,0))&amp;"",IFERROR(LOOKUP(2^15,SEARCH(Settings!$F$14:$F$43,X69)/(Settings!$F$14:$F$43&lt;&gt;""),Settings!$G$14:$G$43),"")))</f>
        <v/>
      </c>
      <c r="CE69">
        <f>IF(OR($B69="",Y69=""),"",IFERROR(INDEX(Settings!$D$14:$D$33,MATCH(Y69,Settings!$B$14:$B$33,0))&amp;"",IFERROR(LOOKUP(2^15,SEARCH(Settings!$F$14:$F$43,Y69)/(Settings!$F$14:$F$43&lt;&gt;""),Settings!$G$14:$G$43),"")))</f>
        <v/>
      </c>
      <c r="CF69">
        <f>IF(OR($B69="",Z69=""),"",IFERROR(INDEX(Settings!$D$14:$D$33,MATCH(Z69,Settings!$B$14:$B$33,0))&amp;"",IFERROR(LOOKUP(2^15,SEARCH(Settings!$F$14:$F$43,Z69)/(Settings!$F$14:$F$43&lt;&gt;""),Settings!$G$14:$G$43),"")))</f>
        <v/>
      </c>
      <c r="CG69">
        <f>IF(OR($B69="",AA69=""),"",IFERROR(INDEX(Settings!$D$14:$D$33,MATCH(AA69,Settings!$B$14:$B$33,0))&amp;"",IFERROR(LOOKUP(2^15,SEARCH(Settings!$F$14:$F$43,AA69)/(Settings!$F$14:$F$43&lt;&gt;""),Settings!$G$14:$G$43),"")))</f>
        <v/>
      </c>
      <c r="CH69">
        <f>IF(OR($B69="",AB69=""),"",IFERROR(INDEX(Settings!$D$14:$D$33,MATCH(AB69,Settings!$B$14:$B$33,0))&amp;"",IFERROR(LOOKUP(2^15,SEARCH(Settings!$F$14:$F$43,AB69)/(Settings!$F$14:$F$43&lt;&gt;""),Settings!$G$14:$G$43),"")))</f>
        <v/>
      </c>
      <c r="CI69">
        <f>IF(OR($B69="",AC69=""),"",IFERROR(INDEX(Settings!$D$14:$D$33,MATCH(AC69,Settings!$B$14:$B$33,0))&amp;"",IFERROR(LOOKUP(2^15,SEARCH(Settings!$F$14:$F$43,AC69)/(Settings!$F$14:$F$43&lt;&gt;""),Settings!$G$14:$G$43),"")))</f>
        <v/>
      </c>
      <c r="CJ69">
        <f>IF(OR($B69="",AD69=""),"",IFERROR(INDEX(Settings!$D$14:$D$33,MATCH(AD69,Settings!$B$14:$B$33,0))&amp;"",IFERROR(LOOKUP(2^15,SEARCH(Settings!$F$14:$F$43,AD69)/(Settings!$F$14:$F$43&lt;&gt;""),Settings!$G$14:$G$43),"")))</f>
        <v/>
      </c>
      <c r="CK69">
        <f>IF(OR($B69="",AE69=""),"",IFERROR(INDEX(Settings!$D$14:$D$33,MATCH(AE69,Settings!$B$14:$B$33,0))&amp;"",IFERROR(LOOKUP(2^15,SEARCH(Settings!$F$14:$F$43,AE69)/(Settings!$F$14:$F$43&lt;&gt;""),Settings!$G$14:$G$43),"")))</f>
        <v/>
      </c>
      <c r="CL69">
        <f>IF(OR($B69="",AF69=""),"",IFERROR(INDEX(Settings!$D$14:$D$33,MATCH(AF69,Settings!$B$14:$B$33,0))&amp;"",IFERROR(LOOKUP(2^15,SEARCH(Settings!$F$14:$F$43,AF69)/(Settings!$F$14:$F$43&lt;&gt;""),Settings!$G$14:$G$43),"")))</f>
        <v/>
      </c>
      <c r="CM69">
        <f>IF(OR($B69="",AG69=""),"",IFERROR(INDEX(Settings!$D$14:$D$33,MATCH(AG69,Settings!$B$14:$B$33,0))&amp;"",IFERROR(LOOKUP(2^15,SEARCH(Settings!$F$14:$F$43,AG69)/(Settings!$F$14:$F$43&lt;&gt;""),Settings!$G$14:$G$43),"")))</f>
        <v/>
      </c>
    </row>
    <row r="70">
      <c r="A70" t="n">
        <v>68</v>
      </c>
      <c r="B70">
        <f>IFERROR(INDEX(Index!$A$2:$A$202,MATCH(A70,Index!$E$2:$E$202,0)),"")</f>
        <v/>
      </c>
      <c r="D70">
        <f>IF($B70="","",IFERROR(MATCH("Travel*",AI70:BJ70,0),""))</f>
        <v/>
      </c>
      <c r="F70">
        <f>IF(OR($B70="",NOT(ISNUMBER(Settings!$C$9))),"",TRIM(SUBSTITUTE(SUBSTITUTE(INDEX('INPUT - Roster'!$S$1:$SV$206,$B70,Settings!$C$9+0)&amp;"",CHAR(10)," "),CHAR(160)," ")))</f>
        <v/>
      </c>
      <c r="G70">
        <f>IF(OR($B70="",NOT(ISNUMBER(Settings!$C$9))),"",TRIM(SUBSTITUTE(SUBSTITUTE(INDEX('INPUT - Roster'!$S$1:$SV$206,$B70,Settings!$C$9+1)&amp;"",CHAR(10)," "),CHAR(160)," ")))</f>
        <v/>
      </c>
      <c r="H70">
        <f>IF(OR($B70="",NOT(ISNUMBER(Settings!$C$9))),"",TRIM(SUBSTITUTE(SUBSTITUTE(INDEX('INPUT - Roster'!$S$1:$SV$206,$B70,Settings!$C$9+2)&amp;"",CHAR(10)," "),CHAR(160)," ")))</f>
        <v/>
      </c>
      <c r="I70">
        <f>IF(OR($B70="",NOT(ISNUMBER(Settings!$C$9))),"",TRIM(SUBSTITUTE(SUBSTITUTE(INDEX('INPUT - Roster'!$S$1:$SV$206,$B70,Settings!$C$9+3)&amp;"",CHAR(10)," "),CHAR(160)," ")))</f>
        <v/>
      </c>
      <c r="J70">
        <f>IF(OR($B70="",NOT(ISNUMBER(Settings!$C$9))),"",TRIM(SUBSTITUTE(SUBSTITUTE(INDEX('INPUT - Roster'!$S$1:$SV$206,$B70,Settings!$C$9+4)&amp;"",CHAR(10)," "),CHAR(160)," ")))</f>
        <v/>
      </c>
      <c r="K70">
        <f>IF(OR($B70="",NOT(ISNUMBER(Settings!$C$9))),"",TRIM(SUBSTITUTE(SUBSTITUTE(INDEX('INPUT - Roster'!$S$1:$SV$206,$B70,Settings!$C$9+5)&amp;"",CHAR(10)," "),CHAR(160)," ")))</f>
        <v/>
      </c>
      <c r="L70">
        <f>IF(OR($B70="",NOT(ISNUMBER(Settings!$C$9))),"",TRIM(SUBSTITUTE(SUBSTITUTE(INDEX('INPUT - Roster'!$S$1:$SV$206,$B70,Settings!$C$9+6)&amp;"",CHAR(10)," "),CHAR(160)," ")))</f>
        <v/>
      </c>
      <c r="M70">
        <f>IF(OR($B70="",NOT(ISNUMBER(Settings!$C$9))),"",TRIM(SUBSTITUTE(SUBSTITUTE(INDEX('INPUT - Roster'!$S$1:$SV$206,$B70,Settings!$C$9+7)&amp;"",CHAR(10)," "),CHAR(160)," ")))</f>
        <v/>
      </c>
      <c r="N70">
        <f>IF(OR($B70="",NOT(ISNUMBER(Settings!$C$9))),"",TRIM(SUBSTITUTE(SUBSTITUTE(INDEX('INPUT - Roster'!$S$1:$SV$206,$B70,Settings!$C$9+8)&amp;"",CHAR(10)," "),CHAR(160)," ")))</f>
        <v/>
      </c>
      <c r="O70">
        <f>IF(OR($B70="",NOT(ISNUMBER(Settings!$C$9))),"",TRIM(SUBSTITUTE(SUBSTITUTE(INDEX('INPUT - Roster'!$S$1:$SV$206,$B70,Settings!$C$9+9)&amp;"",CHAR(10)," "),CHAR(160)," ")))</f>
        <v/>
      </c>
      <c r="P70">
        <f>IF(OR($B70="",NOT(ISNUMBER(Settings!$C$9))),"",TRIM(SUBSTITUTE(SUBSTITUTE(INDEX('INPUT - Roster'!$S$1:$SV$206,$B70,Settings!$C$9+10)&amp;"",CHAR(10)," "),CHAR(160)," ")))</f>
        <v/>
      </c>
      <c r="Q70">
        <f>IF(OR($B70="",NOT(ISNUMBER(Settings!$C$9))),"",TRIM(SUBSTITUTE(SUBSTITUTE(INDEX('INPUT - Roster'!$S$1:$SV$206,$B70,Settings!$C$9+11)&amp;"",CHAR(10)," "),CHAR(160)," ")))</f>
        <v/>
      </c>
      <c r="R70">
        <f>IF(OR($B70="",NOT(ISNUMBER(Settings!$C$9))),"",TRIM(SUBSTITUTE(SUBSTITUTE(INDEX('INPUT - Roster'!$S$1:$SV$206,$B70,Settings!$C$9+12)&amp;"",CHAR(10)," "),CHAR(160)," ")))</f>
        <v/>
      </c>
      <c r="S70">
        <f>IF(OR($B70="",NOT(ISNUMBER(Settings!$C$9))),"",TRIM(SUBSTITUTE(SUBSTITUTE(INDEX('INPUT - Roster'!$S$1:$SV$206,$B70,Settings!$C$9+13)&amp;"",CHAR(10)," "),CHAR(160)," ")))</f>
        <v/>
      </c>
      <c r="T70">
        <f>IF(OR($B70="",NOT(ISNUMBER(Settings!$C$9))),"",TRIM(SUBSTITUTE(SUBSTITUTE(INDEX('INPUT - Roster'!$S$1:$SV$206,$B70,Settings!$C$9+14)&amp;"",CHAR(10)," "),CHAR(160)," ")))</f>
        <v/>
      </c>
      <c r="U70">
        <f>IF(OR($B70="",NOT(ISNUMBER(Settings!$C$9))),"",TRIM(SUBSTITUTE(SUBSTITUTE(INDEX('INPUT - Roster'!$S$1:$SV$206,$B70,Settings!$C$9+15)&amp;"",CHAR(10)," "),CHAR(160)," ")))</f>
        <v/>
      </c>
      <c r="V70">
        <f>IF(OR($B70="",NOT(ISNUMBER(Settings!$C$9))),"",TRIM(SUBSTITUTE(SUBSTITUTE(INDEX('INPUT - Roster'!$S$1:$SV$206,$B70,Settings!$C$9+16)&amp;"",CHAR(10)," "),CHAR(160)," ")))</f>
        <v/>
      </c>
      <c r="W70">
        <f>IF(OR($B70="",NOT(ISNUMBER(Settings!$C$9))),"",TRIM(SUBSTITUTE(SUBSTITUTE(INDEX('INPUT - Roster'!$S$1:$SV$206,$B70,Settings!$C$9+17)&amp;"",CHAR(10)," "),CHAR(160)," ")))</f>
        <v/>
      </c>
      <c r="X70">
        <f>IF(OR($B70="",NOT(ISNUMBER(Settings!$C$9))),"",TRIM(SUBSTITUTE(SUBSTITUTE(INDEX('INPUT - Roster'!$S$1:$SV$206,$B70,Settings!$C$9+18)&amp;"",CHAR(10)," "),CHAR(160)," ")))</f>
        <v/>
      </c>
      <c r="Y70">
        <f>IF(OR($B70="",NOT(ISNUMBER(Settings!$C$9))),"",TRIM(SUBSTITUTE(SUBSTITUTE(INDEX('INPUT - Roster'!$S$1:$SV$206,$B70,Settings!$C$9+19)&amp;"",CHAR(10)," "),CHAR(160)," ")))</f>
        <v/>
      </c>
      <c r="Z70">
        <f>IF(OR($B70="",NOT(ISNUMBER(Settings!$C$9))),"",TRIM(SUBSTITUTE(SUBSTITUTE(INDEX('INPUT - Roster'!$S$1:$SV$206,$B70,Settings!$C$9+20)&amp;"",CHAR(10)," "),CHAR(160)," ")))</f>
        <v/>
      </c>
      <c r="AA70">
        <f>IF(OR($B70="",NOT(ISNUMBER(Settings!$C$9))),"",TRIM(SUBSTITUTE(SUBSTITUTE(INDEX('INPUT - Roster'!$S$1:$SV$206,$B70,Settings!$C$9+21)&amp;"",CHAR(10)," "),CHAR(160)," ")))</f>
        <v/>
      </c>
      <c r="AB70">
        <f>IF(OR($B70="",NOT(ISNUMBER(Settings!$C$9))),"",TRIM(SUBSTITUTE(SUBSTITUTE(INDEX('INPUT - Roster'!$S$1:$SV$206,$B70,Settings!$C$9+22)&amp;"",CHAR(10)," "),CHAR(160)," ")))</f>
        <v/>
      </c>
      <c r="AC70">
        <f>IF(OR($B70="",NOT(ISNUMBER(Settings!$C$9))),"",TRIM(SUBSTITUTE(SUBSTITUTE(INDEX('INPUT - Roster'!$S$1:$SV$206,$B70,Settings!$C$9+23)&amp;"",CHAR(10)," "),CHAR(160)," ")))</f>
        <v/>
      </c>
      <c r="AD70">
        <f>IF(OR($B70="",NOT(ISNUMBER(Settings!$C$9))),"",TRIM(SUBSTITUTE(SUBSTITUTE(INDEX('INPUT - Roster'!$S$1:$SV$206,$B70,Settings!$C$9+24)&amp;"",CHAR(10)," "),CHAR(160)," ")))</f>
        <v/>
      </c>
      <c r="AE70">
        <f>IF(OR($B70="",NOT(ISNUMBER(Settings!$C$9))),"",TRIM(SUBSTITUTE(SUBSTITUTE(INDEX('INPUT - Roster'!$S$1:$SV$206,$B70,Settings!$C$9+25)&amp;"",CHAR(10)," "),CHAR(160)," ")))</f>
        <v/>
      </c>
      <c r="AF70">
        <f>IF(OR($B70="",NOT(ISNUMBER(Settings!$C$9))),"",TRIM(SUBSTITUTE(SUBSTITUTE(INDEX('INPUT - Roster'!$S$1:$SV$206,$B70,Settings!$C$9+26)&amp;"",CHAR(10)," "),CHAR(160)," ")))</f>
        <v/>
      </c>
      <c r="AG70">
        <f>IF(OR($B70="",NOT(ISNUMBER(Settings!$C$9))),"",TRIM(SUBSTITUTE(SUBSTITUTE(INDEX('INPUT - Roster'!$S$1:$SV$206,$B70,Settings!$C$9+27)&amp;"",CHAR(10)," "),CHAR(160)," ")))</f>
        <v/>
      </c>
      <c r="AI70">
        <f>IF($B70="","",IF(F70="","Not rostered",IFERROR(INDEX(Settings!$C$14:$C$33,MATCH(F70,Settings!$B$14:$B$33,0)),IFERROR(LOOKUP(2^15,SEARCH(Settings!$I$14:$I$83,F70)/(Settings!$I$14:$I$83&lt;&gt;""),Settings!$J$14:$J$83),"Other"))))</f>
        <v/>
      </c>
      <c r="AJ70">
        <f>IF($B70="","",IF(G70="","Not rostered",IFERROR(INDEX(Settings!$C$14:$C$33,MATCH(G70,Settings!$B$14:$B$33,0)),IFERROR(LOOKUP(2^15,SEARCH(Settings!$I$14:$I$83,G70)/(Settings!$I$14:$I$83&lt;&gt;""),Settings!$J$14:$J$83),"Other"))))</f>
        <v/>
      </c>
      <c r="AK70">
        <f>IF($B70="","",IF(H70="","Not rostered",IFERROR(INDEX(Settings!$C$14:$C$33,MATCH(H70,Settings!$B$14:$B$33,0)),IFERROR(LOOKUP(2^15,SEARCH(Settings!$I$14:$I$83,H70)/(Settings!$I$14:$I$83&lt;&gt;""),Settings!$J$14:$J$83),"Other"))))</f>
        <v/>
      </c>
      <c r="AL70">
        <f>IF($B70="","",IF(I70="","Not rostered",IFERROR(INDEX(Settings!$C$14:$C$33,MATCH(I70,Settings!$B$14:$B$33,0)),IFERROR(LOOKUP(2^15,SEARCH(Settings!$I$14:$I$83,I70)/(Settings!$I$14:$I$83&lt;&gt;""),Settings!$J$14:$J$83),"Other"))))</f>
        <v/>
      </c>
      <c r="AM70">
        <f>IF($B70="","",IF(J70="","Not rostered",IFERROR(INDEX(Settings!$C$14:$C$33,MATCH(J70,Settings!$B$14:$B$33,0)),IFERROR(LOOKUP(2^15,SEARCH(Settings!$I$14:$I$83,J70)/(Settings!$I$14:$I$83&lt;&gt;""),Settings!$J$14:$J$83),"Other"))))</f>
        <v/>
      </c>
      <c r="AN70">
        <f>IF($B70="","",IF(K70="","Not rostered",IFERROR(INDEX(Settings!$C$14:$C$33,MATCH(K70,Settings!$B$14:$B$33,0)),IFERROR(LOOKUP(2^15,SEARCH(Settings!$I$14:$I$83,K70)/(Settings!$I$14:$I$83&lt;&gt;""),Settings!$J$14:$J$83),"Other"))))</f>
        <v/>
      </c>
      <c r="AO70">
        <f>IF($B70="","",IF(L70="","Not rostered",IFERROR(INDEX(Settings!$C$14:$C$33,MATCH(L70,Settings!$B$14:$B$33,0)),IFERROR(LOOKUP(2^15,SEARCH(Settings!$I$14:$I$83,L70)/(Settings!$I$14:$I$83&lt;&gt;""),Settings!$J$14:$J$83),"Other"))))</f>
        <v/>
      </c>
      <c r="AP70">
        <f>IF($B70="","",IF(M70="","Not rostered",IFERROR(INDEX(Settings!$C$14:$C$33,MATCH(M70,Settings!$B$14:$B$33,0)),IFERROR(LOOKUP(2^15,SEARCH(Settings!$I$14:$I$83,M70)/(Settings!$I$14:$I$83&lt;&gt;""),Settings!$J$14:$J$83),"Other"))))</f>
        <v/>
      </c>
      <c r="AQ70">
        <f>IF($B70="","",IF(N70="","Not rostered",IFERROR(INDEX(Settings!$C$14:$C$33,MATCH(N70,Settings!$B$14:$B$33,0)),IFERROR(LOOKUP(2^15,SEARCH(Settings!$I$14:$I$83,N70)/(Settings!$I$14:$I$83&lt;&gt;""),Settings!$J$14:$J$83),"Other"))))</f>
        <v/>
      </c>
      <c r="AR70">
        <f>IF($B70="","",IF(O70="","Not rostered",IFERROR(INDEX(Settings!$C$14:$C$33,MATCH(O70,Settings!$B$14:$B$33,0)),IFERROR(LOOKUP(2^15,SEARCH(Settings!$I$14:$I$83,O70)/(Settings!$I$14:$I$83&lt;&gt;""),Settings!$J$14:$J$83),"Other"))))</f>
        <v/>
      </c>
      <c r="AS70">
        <f>IF($B70="","",IF(P70="","Not rostered",IFERROR(INDEX(Settings!$C$14:$C$33,MATCH(P70,Settings!$B$14:$B$33,0)),IFERROR(LOOKUP(2^15,SEARCH(Settings!$I$14:$I$83,P70)/(Settings!$I$14:$I$83&lt;&gt;""),Settings!$J$14:$J$83),"Other"))))</f>
        <v/>
      </c>
      <c r="AT70">
        <f>IF($B70="","",IF(Q70="","Not rostered",IFERROR(INDEX(Settings!$C$14:$C$33,MATCH(Q70,Settings!$B$14:$B$33,0)),IFERROR(LOOKUP(2^15,SEARCH(Settings!$I$14:$I$83,Q70)/(Settings!$I$14:$I$83&lt;&gt;""),Settings!$J$14:$J$83),"Other"))))</f>
        <v/>
      </c>
      <c r="AU70">
        <f>IF($B70="","",IF(R70="","Not rostered",IFERROR(INDEX(Settings!$C$14:$C$33,MATCH(R70,Settings!$B$14:$B$33,0)),IFERROR(LOOKUP(2^15,SEARCH(Settings!$I$14:$I$83,R70)/(Settings!$I$14:$I$83&lt;&gt;""),Settings!$J$14:$J$83),"Other"))))</f>
        <v/>
      </c>
      <c r="AV70">
        <f>IF($B70="","",IF(S70="","Not rostered",IFERROR(INDEX(Settings!$C$14:$C$33,MATCH(S70,Settings!$B$14:$B$33,0)),IFERROR(LOOKUP(2^15,SEARCH(Settings!$I$14:$I$83,S70)/(Settings!$I$14:$I$83&lt;&gt;""),Settings!$J$14:$J$83),"Other"))))</f>
        <v/>
      </c>
      <c r="AW70">
        <f>IF($B70="","",IF(T70="","Not rostered",IFERROR(INDEX(Settings!$C$14:$C$33,MATCH(T70,Settings!$B$14:$B$33,0)),IFERROR(LOOKUP(2^15,SEARCH(Settings!$I$14:$I$83,T70)/(Settings!$I$14:$I$83&lt;&gt;""),Settings!$J$14:$J$83),"Other"))))</f>
        <v/>
      </c>
      <c r="AX70">
        <f>IF($B70="","",IF(U70="","Not rostered",IFERROR(INDEX(Settings!$C$14:$C$33,MATCH(U70,Settings!$B$14:$B$33,0)),IFERROR(LOOKUP(2^15,SEARCH(Settings!$I$14:$I$83,U70)/(Settings!$I$14:$I$83&lt;&gt;""),Settings!$J$14:$J$83),"Other"))))</f>
        <v/>
      </c>
      <c r="AY70">
        <f>IF($B70="","",IF(V70="","Not rostered",IFERROR(INDEX(Settings!$C$14:$C$33,MATCH(V70,Settings!$B$14:$B$33,0)),IFERROR(LOOKUP(2^15,SEARCH(Settings!$I$14:$I$83,V70)/(Settings!$I$14:$I$83&lt;&gt;""),Settings!$J$14:$J$83),"Other"))))</f>
        <v/>
      </c>
      <c r="AZ70">
        <f>IF($B70="","",IF(W70="","Not rostered",IFERROR(INDEX(Settings!$C$14:$C$33,MATCH(W70,Settings!$B$14:$B$33,0)),IFERROR(LOOKUP(2^15,SEARCH(Settings!$I$14:$I$83,W70)/(Settings!$I$14:$I$83&lt;&gt;""),Settings!$J$14:$J$83),"Other"))))</f>
        <v/>
      </c>
      <c r="BA70">
        <f>IF($B70="","",IF(X70="","Not rostered",IFERROR(INDEX(Settings!$C$14:$C$33,MATCH(X70,Settings!$B$14:$B$33,0)),IFERROR(LOOKUP(2^15,SEARCH(Settings!$I$14:$I$83,X70)/(Settings!$I$14:$I$83&lt;&gt;""),Settings!$J$14:$J$83),"Other"))))</f>
        <v/>
      </c>
      <c r="BB70">
        <f>IF($B70="","",IF(Y70="","Not rostered",IFERROR(INDEX(Settings!$C$14:$C$33,MATCH(Y70,Settings!$B$14:$B$33,0)),IFERROR(LOOKUP(2^15,SEARCH(Settings!$I$14:$I$83,Y70)/(Settings!$I$14:$I$83&lt;&gt;""),Settings!$J$14:$J$83),"Other"))))</f>
        <v/>
      </c>
      <c r="BC70">
        <f>IF($B70="","",IF(Z70="","Not rostered",IFERROR(INDEX(Settings!$C$14:$C$33,MATCH(Z70,Settings!$B$14:$B$33,0)),IFERROR(LOOKUP(2^15,SEARCH(Settings!$I$14:$I$83,Z70)/(Settings!$I$14:$I$83&lt;&gt;""),Settings!$J$14:$J$83),"Other"))))</f>
        <v/>
      </c>
      <c r="BD70">
        <f>IF($B70="","",IF(AA70="","Not rostered",IFERROR(INDEX(Settings!$C$14:$C$33,MATCH(AA70,Settings!$B$14:$B$33,0)),IFERROR(LOOKUP(2^15,SEARCH(Settings!$I$14:$I$83,AA70)/(Settings!$I$14:$I$83&lt;&gt;""),Settings!$J$14:$J$83),"Other"))))</f>
        <v/>
      </c>
      <c r="BE70">
        <f>IF($B70="","",IF(AB70="","Not rostered",IFERROR(INDEX(Settings!$C$14:$C$33,MATCH(AB70,Settings!$B$14:$B$33,0)),IFERROR(LOOKUP(2^15,SEARCH(Settings!$I$14:$I$83,AB70)/(Settings!$I$14:$I$83&lt;&gt;""),Settings!$J$14:$J$83),"Other"))))</f>
        <v/>
      </c>
      <c r="BF70">
        <f>IF($B70="","",IF(AC70="","Not rostered",IFERROR(INDEX(Settings!$C$14:$C$33,MATCH(AC70,Settings!$B$14:$B$33,0)),IFERROR(LOOKUP(2^15,SEARCH(Settings!$I$14:$I$83,AC70)/(Settings!$I$14:$I$83&lt;&gt;""),Settings!$J$14:$J$83),"Other"))))</f>
        <v/>
      </c>
      <c r="BG70">
        <f>IF($B70="","",IF(AD70="","Not rostered",IFERROR(INDEX(Settings!$C$14:$C$33,MATCH(AD70,Settings!$B$14:$B$33,0)),IFERROR(LOOKUP(2^15,SEARCH(Settings!$I$14:$I$83,AD70)/(Settings!$I$14:$I$83&lt;&gt;""),Settings!$J$14:$J$83),"Other"))))</f>
        <v/>
      </c>
      <c r="BH70">
        <f>IF($B70="","",IF(AE70="","Not rostered",IFERROR(INDEX(Settings!$C$14:$C$33,MATCH(AE70,Settings!$B$14:$B$33,0)),IFERROR(LOOKUP(2^15,SEARCH(Settings!$I$14:$I$83,AE70)/(Settings!$I$14:$I$83&lt;&gt;""),Settings!$J$14:$J$83),"Other"))))</f>
        <v/>
      </c>
      <c r="BI70">
        <f>IF($B70="","",IF(AF70="","Not rostered",IFERROR(INDEX(Settings!$C$14:$C$33,MATCH(AF70,Settings!$B$14:$B$33,0)),IFERROR(LOOKUP(2^15,SEARCH(Settings!$I$14:$I$83,AF70)/(Settings!$I$14:$I$83&lt;&gt;""),Settings!$J$14:$J$83),"Other"))))</f>
        <v/>
      </c>
      <c r="BJ70">
        <f>IF($B70="","",IF(AG70="","Not rostered",IFERROR(INDEX(Settings!$C$14:$C$33,MATCH(AG70,Settings!$B$14:$B$33,0)),IFERROR(LOOKUP(2^15,SEARCH(Settings!$I$14:$I$83,AG70)/(Settings!$I$14:$I$83&lt;&gt;""),Settings!$J$14:$J$83),"Other"))))</f>
        <v/>
      </c>
      <c r="BL70">
        <f>IF(OR($B70="",F70=""),"",IFERROR(INDEX(Settings!$D$14:$D$33,MATCH(F70,Settings!$B$14:$B$33,0))&amp;"",IFERROR(LOOKUP(2^15,SEARCH(Settings!$F$14:$F$43,F70)/(Settings!$F$14:$F$43&lt;&gt;""),Settings!$G$14:$G$43),"")))</f>
        <v/>
      </c>
      <c r="BM70">
        <f>IF(OR($B70="",G70=""),"",IFERROR(INDEX(Settings!$D$14:$D$33,MATCH(G70,Settings!$B$14:$B$33,0))&amp;"",IFERROR(LOOKUP(2^15,SEARCH(Settings!$F$14:$F$43,G70)/(Settings!$F$14:$F$43&lt;&gt;""),Settings!$G$14:$G$43),"")))</f>
        <v/>
      </c>
      <c r="BN70">
        <f>IF(OR($B70="",H70=""),"",IFERROR(INDEX(Settings!$D$14:$D$33,MATCH(H70,Settings!$B$14:$B$33,0))&amp;"",IFERROR(LOOKUP(2^15,SEARCH(Settings!$F$14:$F$43,H70)/(Settings!$F$14:$F$43&lt;&gt;""),Settings!$G$14:$G$43),"")))</f>
        <v/>
      </c>
      <c r="BO70">
        <f>IF(OR($B70="",I70=""),"",IFERROR(INDEX(Settings!$D$14:$D$33,MATCH(I70,Settings!$B$14:$B$33,0))&amp;"",IFERROR(LOOKUP(2^15,SEARCH(Settings!$F$14:$F$43,I70)/(Settings!$F$14:$F$43&lt;&gt;""),Settings!$G$14:$G$43),"")))</f>
        <v/>
      </c>
      <c r="BP70">
        <f>IF(OR($B70="",J70=""),"",IFERROR(INDEX(Settings!$D$14:$D$33,MATCH(J70,Settings!$B$14:$B$33,0))&amp;"",IFERROR(LOOKUP(2^15,SEARCH(Settings!$F$14:$F$43,J70)/(Settings!$F$14:$F$43&lt;&gt;""),Settings!$G$14:$G$43),"")))</f>
        <v/>
      </c>
      <c r="BQ70">
        <f>IF(OR($B70="",K70=""),"",IFERROR(INDEX(Settings!$D$14:$D$33,MATCH(K70,Settings!$B$14:$B$33,0))&amp;"",IFERROR(LOOKUP(2^15,SEARCH(Settings!$F$14:$F$43,K70)/(Settings!$F$14:$F$43&lt;&gt;""),Settings!$G$14:$G$43),"")))</f>
        <v/>
      </c>
      <c r="BR70">
        <f>IF(OR($B70="",L70=""),"",IFERROR(INDEX(Settings!$D$14:$D$33,MATCH(L70,Settings!$B$14:$B$33,0))&amp;"",IFERROR(LOOKUP(2^15,SEARCH(Settings!$F$14:$F$43,L70)/(Settings!$F$14:$F$43&lt;&gt;""),Settings!$G$14:$G$43),"")))</f>
        <v/>
      </c>
      <c r="BS70">
        <f>IF(OR($B70="",M70=""),"",IFERROR(INDEX(Settings!$D$14:$D$33,MATCH(M70,Settings!$B$14:$B$33,0))&amp;"",IFERROR(LOOKUP(2^15,SEARCH(Settings!$F$14:$F$43,M70)/(Settings!$F$14:$F$43&lt;&gt;""),Settings!$G$14:$G$43),"")))</f>
        <v/>
      </c>
      <c r="BT70">
        <f>IF(OR($B70="",N70=""),"",IFERROR(INDEX(Settings!$D$14:$D$33,MATCH(N70,Settings!$B$14:$B$33,0))&amp;"",IFERROR(LOOKUP(2^15,SEARCH(Settings!$F$14:$F$43,N70)/(Settings!$F$14:$F$43&lt;&gt;""),Settings!$G$14:$G$43),"")))</f>
        <v/>
      </c>
      <c r="BU70">
        <f>IF(OR($B70="",O70=""),"",IFERROR(INDEX(Settings!$D$14:$D$33,MATCH(O70,Settings!$B$14:$B$33,0))&amp;"",IFERROR(LOOKUP(2^15,SEARCH(Settings!$F$14:$F$43,O70)/(Settings!$F$14:$F$43&lt;&gt;""),Settings!$G$14:$G$43),"")))</f>
        <v/>
      </c>
      <c r="BV70">
        <f>IF(OR($B70="",P70=""),"",IFERROR(INDEX(Settings!$D$14:$D$33,MATCH(P70,Settings!$B$14:$B$33,0))&amp;"",IFERROR(LOOKUP(2^15,SEARCH(Settings!$F$14:$F$43,P70)/(Settings!$F$14:$F$43&lt;&gt;""),Settings!$G$14:$G$43),"")))</f>
        <v/>
      </c>
      <c r="BW70">
        <f>IF(OR($B70="",Q70=""),"",IFERROR(INDEX(Settings!$D$14:$D$33,MATCH(Q70,Settings!$B$14:$B$33,0))&amp;"",IFERROR(LOOKUP(2^15,SEARCH(Settings!$F$14:$F$43,Q70)/(Settings!$F$14:$F$43&lt;&gt;""),Settings!$G$14:$G$43),"")))</f>
        <v/>
      </c>
      <c r="BX70">
        <f>IF(OR($B70="",R70=""),"",IFERROR(INDEX(Settings!$D$14:$D$33,MATCH(R70,Settings!$B$14:$B$33,0))&amp;"",IFERROR(LOOKUP(2^15,SEARCH(Settings!$F$14:$F$43,R70)/(Settings!$F$14:$F$43&lt;&gt;""),Settings!$G$14:$G$43),"")))</f>
        <v/>
      </c>
      <c r="BY70">
        <f>IF(OR($B70="",S70=""),"",IFERROR(INDEX(Settings!$D$14:$D$33,MATCH(S70,Settings!$B$14:$B$33,0))&amp;"",IFERROR(LOOKUP(2^15,SEARCH(Settings!$F$14:$F$43,S70)/(Settings!$F$14:$F$43&lt;&gt;""),Settings!$G$14:$G$43),"")))</f>
        <v/>
      </c>
      <c r="BZ70">
        <f>IF(OR($B70="",T70=""),"",IFERROR(INDEX(Settings!$D$14:$D$33,MATCH(T70,Settings!$B$14:$B$33,0))&amp;"",IFERROR(LOOKUP(2^15,SEARCH(Settings!$F$14:$F$43,T70)/(Settings!$F$14:$F$43&lt;&gt;""),Settings!$G$14:$G$43),"")))</f>
        <v/>
      </c>
      <c r="CA70">
        <f>IF(OR($B70="",U70=""),"",IFERROR(INDEX(Settings!$D$14:$D$33,MATCH(U70,Settings!$B$14:$B$33,0))&amp;"",IFERROR(LOOKUP(2^15,SEARCH(Settings!$F$14:$F$43,U70)/(Settings!$F$14:$F$43&lt;&gt;""),Settings!$G$14:$G$43),"")))</f>
        <v/>
      </c>
      <c r="CB70">
        <f>IF(OR($B70="",V70=""),"",IFERROR(INDEX(Settings!$D$14:$D$33,MATCH(V70,Settings!$B$14:$B$33,0))&amp;"",IFERROR(LOOKUP(2^15,SEARCH(Settings!$F$14:$F$43,V70)/(Settings!$F$14:$F$43&lt;&gt;""),Settings!$G$14:$G$43),"")))</f>
        <v/>
      </c>
      <c r="CC70">
        <f>IF(OR($B70="",W70=""),"",IFERROR(INDEX(Settings!$D$14:$D$33,MATCH(W70,Settings!$B$14:$B$33,0))&amp;"",IFERROR(LOOKUP(2^15,SEARCH(Settings!$F$14:$F$43,W70)/(Settings!$F$14:$F$43&lt;&gt;""),Settings!$G$14:$G$43),"")))</f>
        <v/>
      </c>
      <c r="CD70">
        <f>IF(OR($B70="",X70=""),"",IFERROR(INDEX(Settings!$D$14:$D$33,MATCH(X70,Settings!$B$14:$B$33,0))&amp;"",IFERROR(LOOKUP(2^15,SEARCH(Settings!$F$14:$F$43,X70)/(Settings!$F$14:$F$43&lt;&gt;""),Settings!$G$14:$G$43),"")))</f>
        <v/>
      </c>
      <c r="CE70">
        <f>IF(OR($B70="",Y70=""),"",IFERROR(INDEX(Settings!$D$14:$D$33,MATCH(Y70,Settings!$B$14:$B$33,0))&amp;"",IFERROR(LOOKUP(2^15,SEARCH(Settings!$F$14:$F$43,Y70)/(Settings!$F$14:$F$43&lt;&gt;""),Settings!$G$14:$G$43),"")))</f>
        <v/>
      </c>
      <c r="CF70">
        <f>IF(OR($B70="",Z70=""),"",IFERROR(INDEX(Settings!$D$14:$D$33,MATCH(Z70,Settings!$B$14:$B$33,0))&amp;"",IFERROR(LOOKUP(2^15,SEARCH(Settings!$F$14:$F$43,Z70)/(Settings!$F$14:$F$43&lt;&gt;""),Settings!$G$14:$G$43),"")))</f>
        <v/>
      </c>
      <c r="CG70">
        <f>IF(OR($B70="",AA70=""),"",IFERROR(INDEX(Settings!$D$14:$D$33,MATCH(AA70,Settings!$B$14:$B$33,0))&amp;"",IFERROR(LOOKUP(2^15,SEARCH(Settings!$F$14:$F$43,AA70)/(Settings!$F$14:$F$43&lt;&gt;""),Settings!$G$14:$G$43),"")))</f>
        <v/>
      </c>
      <c r="CH70">
        <f>IF(OR($B70="",AB70=""),"",IFERROR(INDEX(Settings!$D$14:$D$33,MATCH(AB70,Settings!$B$14:$B$33,0))&amp;"",IFERROR(LOOKUP(2^15,SEARCH(Settings!$F$14:$F$43,AB70)/(Settings!$F$14:$F$43&lt;&gt;""),Settings!$G$14:$G$43),"")))</f>
        <v/>
      </c>
      <c r="CI70">
        <f>IF(OR($B70="",AC70=""),"",IFERROR(INDEX(Settings!$D$14:$D$33,MATCH(AC70,Settings!$B$14:$B$33,0))&amp;"",IFERROR(LOOKUP(2^15,SEARCH(Settings!$F$14:$F$43,AC70)/(Settings!$F$14:$F$43&lt;&gt;""),Settings!$G$14:$G$43),"")))</f>
        <v/>
      </c>
      <c r="CJ70">
        <f>IF(OR($B70="",AD70=""),"",IFERROR(INDEX(Settings!$D$14:$D$33,MATCH(AD70,Settings!$B$14:$B$33,0))&amp;"",IFERROR(LOOKUP(2^15,SEARCH(Settings!$F$14:$F$43,AD70)/(Settings!$F$14:$F$43&lt;&gt;""),Settings!$G$14:$G$43),"")))</f>
        <v/>
      </c>
      <c r="CK70">
        <f>IF(OR($B70="",AE70=""),"",IFERROR(INDEX(Settings!$D$14:$D$33,MATCH(AE70,Settings!$B$14:$B$33,0))&amp;"",IFERROR(LOOKUP(2^15,SEARCH(Settings!$F$14:$F$43,AE70)/(Settings!$F$14:$F$43&lt;&gt;""),Settings!$G$14:$G$43),"")))</f>
        <v/>
      </c>
      <c r="CL70">
        <f>IF(OR($B70="",AF70=""),"",IFERROR(INDEX(Settings!$D$14:$D$33,MATCH(AF70,Settings!$B$14:$B$33,0))&amp;"",IFERROR(LOOKUP(2^15,SEARCH(Settings!$F$14:$F$43,AF70)/(Settings!$F$14:$F$43&lt;&gt;""),Settings!$G$14:$G$43),"")))</f>
        <v/>
      </c>
      <c r="CM70">
        <f>IF(OR($B70="",AG70=""),"",IFERROR(INDEX(Settings!$D$14:$D$33,MATCH(AG70,Settings!$B$14:$B$33,0))&amp;"",IFERROR(LOOKUP(2^15,SEARCH(Settings!$F$14:$F$43,AG70)/(Settings!$F$14:$F$43&lt;&gt;""),Settings!$G$14:$G$43),"")))</f>
        <v/>
      </c>
    </row>
    <row r="71">
      <c r="A71" t="n">
        <v>69</v>
      </c>
      <c r="B71">
        <f>IFERROR(INDEX(Index!$A$2:$A$202,MATCH(A71,Index!$E$2:$E$202,0)),"")</f>
        <v/>
      </c>
      <c r="D71">
        <f>IF($B71="","",IFERROR(MATCH("Travel*",AI71:BJ71,0),""))</f>
        <v/>
      </c>
      <c r="F71">
        <f>IF(OR($B71="",NOT(ISNUMBER(Settings!$C$9))),"",TRIM(SUBSTITUTE(SUBSTITUTE(INDEX('INPUT - Roster'!$S$1:$SV$206,$B71,Settings!$C$9+0)&amp;"",CHAR(10)," "),CHAR(160)," ")))</f>
        <v/>
      </c>
      <c r="G71">
        <f>IF(OR($B71="",NOT(ISNUMBER(Settings!$C$9))),"",TRIM(SUBSTITUTE(SUBSTITUTE(INDEX('INPUT - Roster'!$S$1:$SV$206,$B71,Settings!$C$9+1)&amp;"",CHAR(10)," "),CHAR(160)," ")))</f>
        <v/>
      </c>
      <c r="H71">
        <f>IF(OR($B71="",NOT(ISNUMBER(Settings!$C$9))),"",TRIM(SUBSTITUTE(SUBSTITUTE(INDEX('INPUT - Roster'!$S$1:$SV$206,$B71,Settings!$C$9+2)&amp;"",CHAR(10)," "),CHAR(160)," ")))</f>
        <v/>
      </c>
      <c r="I71">
        <f>IF(OR($B71="",NOT(ISNUMBER(Settings!$C$9))),"",TRIM(SUBSTITUTE(SUBSTITUTE(INDEX('INPUT - Roster'!$S$1:$SV$206,$B71,Settings!$C$9+3)&amp;"",CHAR(10)," "),CHAR(160)," ")))</f>
        <v/>
      </c>
      <c r="J71">
        <f>IF(OR($B71="",NOT(ISNUMBER(Settings!$C$9))),"",TRIM(SUBSTITUTE(SUBSTITUTE(INDEX('INPUT - Roster'!$S$1:$SV$206,$B71,Settings!$C$9+4)&amp;"",CHAR(10)," "),CHAR(160)," ")))</f>
        <v/>
      </c>
      <c r="K71">
        <f>IF(OR($B71="",NOT(ISNUMBER(Settings!$C$9))),"",TRIM(SUBSTITUTE(SUBSTITUTE(INDEX('INPUT - Roster'!$S$1:$SV$206,$B71,Settings!$C$9+5)&amp;"",CHAR(10)," "),CHAR(160)," ")))</f>
        <v/>
      </c>
      <c r="L71">
        <f>IF(OR($B71="",NOT(ISNUMBER(Settings!$C$9))),"",TRIM(SUBSTITUTE(SUBSTITUTE(INDEX('INPUT - Roster'!$S$1:$SV$206,$B71,Settings!$C$9+6)&amp;"",CHAR(10)," "),CHAR(160)," ")))</f>
        <v/>
      </c>
      <c r="M71">
        <f>IF(OR($B71="",NOT(ISNUMBER(Settings!$C$9))),"",TRIM(SUBSTITUTE(SUBSTITUTE(INDEX('INPUT - Roster'!$S$1:$SV$206,$B71,Settings!$C$9+7)&amp;"",CHAR(10)," "),CHAR(160)," ")))</f>
        <v/>
      </c>
      <c r="N71">
        <f>IF(OR($B71="",NOT(ISNUMBER(Settings!$C$9))),"",TRIM(SUBSTITUTE(SUBSTITUTE(INDEX('INPUT - Roster'!$S$1:$SV$206,$B71,Settings!$C$9+8)&amp;"",CHAR(10)," "),CHAR(160)," ")))</f>
        <v/>
      </c>
      <c r="O71">
        <f>IF(OR($B71="",NOT(ISNUMBER(Settings!$C$9))),"",TRIM(SUBSTITUTE(SUBSTITUTE(INDEX('INPUT - Roster'!$S$1:$SV$206,$B71,Settings!$C$9+9)&amp;"",CHAR(10)," "),CHAR(160)," ")))</f>
        <v/>
      </c>
      <c r="P71">
        <f>IF(OR($B71="",NOT(ISNUMBER(Settings!$C$9))),"",TRIM(SUBSTITUTE(SUBSTITUTE(INDEX('INPUT - Roster'!$S$1:$SV$206,$B71,Settings!$C$9+10)&amp;"",CHAR(10)," "),CHAR(160)," ")))</f>
        <v/>
      </c>
      <c r="Q71">
        <f>IF(OR($B71="",NOT(ISNUMBER(Settings!$C$9))),"",TRIM(SUBSTITUTE(SUBSTITUTE(INDEX('INPUT - Roster'!$S$1:$SV$206,$B71,Settings!$C$9+11)&amp;"",CHAR(10)," "),CHAR(160)," ")))</f>
        <v/>
      </c>
      <c r="R71">
        <f>IF(OR($B71="",NOT(ISNUMBER(Settings!$C$9))),"",TRIM(SUBSTITUTE(SUBSTITUTE(INDEX('INPUT - Roster'!$S$1:$SV$206,$B71,Settings!$C$9+12)&amp;"",CHAR(10)," "),CHAR(160)," ")))</f>
        <v/>
      </c>
      <c r="S71">
        <f>IF(OR($B71="",NOT(ISNUMBER(Settings!$C$9))),"",TRIM(SUBSTITUTE(SUBSTITUTE(INDEX('INPUT - Roster'!$S$1:$SV$206,$B71,Settings!$C$9+13)&amp;"",CHAR(10)," "),CHAR(160)," ")))</f>
        <v/>
      </c>
      <c r="T71">
        <f>IF(OR($B71="",NOT(ISNUMBER(Settings!$C$9))),"",TRIM(SUBSTITUTE(SUBSTITUTE(INDEX('INPUT - Roster'!$S$1:$SV$206,$B71,Settings!$C$9+14)&amp;"",CHAR(10)," "),CHAR(160)," ")))</f>
        <v/>
      </c>
      <c r="U71">
        <f>IF(OR($B71="",NOT(ISNUMBER(Settings!$C$9))),"",TRIM(SUBSTITUTE(SUBSTITUTE(INDEX('INPUT - Roster'!$S$1:$SV$206,$B71,Settings!$C$9+15)&amp;"",CHAR(10)," "),CHAR(160)," ")))</f>
        <v/>
      </c>
      <c r="V71">
        <f>IF(OR($B71="",NOT(ISNUMBER(Settings!$C$9))),"",TRIM(SUBSTITUTE(SUBSTITUTE(INDEX('INPUT - Roster'!$S$1:$SV$206,$B71,Settings!$C$9+16)&amp;"",CHAR(10)," "),CHAR(160)," ")))</f>
        <v/>
      </c>
      <c r="W71">
        <f>IF(OR($B71="",NOT(ISNUMBER(Settings!$C$9))),"",TRIM(SUBSTITUTE(SUBSTITUTE(INDEX('INPUT - Roster'!$S$1:$SV$206,$B71,Settings!$C$9+17)&amp;"",CHAR(10)," "),CHAR(160)," ")))</f>
        <v/>
      </c>
      <c r="X71">
        <f>IF(OR($B71="",NOT(ISNUMBER(Settings!$C$9))),"",TRIM(SUBSTITUTE(SUBSTITUTE(INDEX('INPUT - Roster'!$S$1:$SV$206,$B71,Settings!$C$9+18)&amp;"",CHAR(10)," "),CHAR(160)," ")))</f>
        <v/>
      </c>
      <c r="Y71">
        <f>IF(OR($B71="",NOT(ISNUMBER(Settings!$C$9))),"",TRIM(SUBSTITUTE(SUBSTITUTE(INDEX('INPUT - Roster'!$S$1:$SV$206,$B71,Settings!$C$9+19)&amp;"",CHAR(10)," "),CHAR(160)," ")))</f>
        <v/>
      </c>
      <c r="Z71">
        <f>IF(OR($B71="",NOT(ISNUMBER(Settings!$C$9))),"",TRIM(SUBSTITUTE(SUBSTITUTE(INDEX('INPUT - Roster'!$S$1:$SV$206,$B71,Settings!$C$9+20)&amp;"",CHAR(10)," "),CHAR(160)," ")))</f>
        <v/>
      </c>
      <c r="AA71">
        <f>IF(OR($B71="",NOT(ISNUMBER(Settings!$C$9))),"",TRIM(SUBSTITUTE(SUBSTITUTE(INDEX('INPUT - Roster'!$S$1:$SV$206,$B71,Settings!$C$9+21)&amp;"",CHAR(10)," "),CHAR(160)," ")))</f>
        <v/>
      </c>
      <c r="AB71">
        <f>IF(OR($B71="",NOT(ISNUMBER(Settings!$C$9))),"",TRIM(SUBSTITUTE(SUBSTITUTE(INDEX('INPUT - Roster'!$S$1:$SV$206,$B71,Settings!$C$9+22)&amp;"",CHAR(10)," "),CHAR(160)," ")))</f>
        <v/>
      </c>
      <c r="AC71">
        <f>IF(OR($B71="",NOT(ISNUMBER(Settings!$C$9))),"",TRIM(SUBSTITUTE(SUBSTITUTE(INDEX('INPUT - Roster'!$S$1:$SV$206,$B71,Settings!$C$9+23)&amp;"",CHAR(10)," "),CHAR(160)," ")))</f>
        <v/>
      </c>
      <c r="AD71">
        <f>IF(OR($B71="",NOT(ISNUMBER(Settings!$C$9))),"",TRIM(SUBSTITUTE(SUBSTITUTE(INDEX('INPUT - Roster'!$S$1:$SV$206,$B71,Settings!$C$9+24)&amp;"",CHAR(10)," "),CHAR(160)," ")))</f>
        <v/>
      </c>
      <c r="AE71">
        <f>IF(OR($B71="",NOT(ISNUMBER(Settings!$C$9))),"",TRIM(SUBSTITUTE(SUBSTITUTE(INDEX('INPUT - Roster'!$S$1:$SV$206,$B71,Settings!$C$9+25)&amp;"",CHAR(10)," "),CHAR(160)," ")))</f>
        <v/>
      </c>
      <c r="AF71">
        <f>IF(OR($B71="",NOT(ISNUMBER(Settings!$C$9))),"",TRIM(SUBSTITUTE(SUBSTITUTE(INDEX('INPUT - Roster'!$S$1:$SV$206,$B71,Settings!$C$9+26)&amp;"",CHAR(10)," "),CHAR(160)," ")))</f>
        <v/>
      </c>
      <c r="AG71">
        <f>IF(OR($B71="",NOT(ISNUMBER(Settings!$C$9))),"",TRIM(SUBSTITUTE(SUBSTITUTE(INDEX('INPUT - Roster'!$S$1:$SV$206,$B71,Settings!$C$9+27)&amp;"",CHAR(10)," "),CHAR(160)," ")))</f>
        <v/>
      </c>
      <c r="AI71">
        <f>IF($B71="","",IF(F71="","Not rostered",IFERROR(INDEX(Settings!$C$14:$C$33,MATCH(F71,Settings!$B$14:$B$33,0)),IFERROR(LOOKUP(2^15,SEARCH(Settings!$I$14:$I$83,F71)/(Settings!$I$14:$I$83&lt;&gt;""),Settings!$J$14:$J$83),"Other"))))</f>
        <v/>
      </c>
      <c r="AJ71">
        <f>IF($B71="","",IF(G71="","Not rostered",IFERROR(INDEX(Settings!$C$14:$C$33,MATCH(G71,Settings!$B$14:$B$33,0)),IFERROR(LOOKUP(2^15,SEARCH(Settings!$I$14:$I$83,G71)/(Settings!$I$14:$I$83&lt;&gt;""),Settings!$J$14:$J$83),"Other"))))</f>
        <v/>
      </c>
      <c r="AK71">
        <f>IF($B71="","",IF(H71="","Not rostered",IFERROR(INDEX(Settings!$C$14:$C$33,MATCH(H71,Settings!$B$14:$B$33,0)),IFERROR(LOOKUP(2^15,SEARCH(Settings!$I$14:$I$83,H71)/(Settings!$I$14:$I$83&lt;&gt;""),Settings!$J$14:$J$83),"Other"))))</f>
        <v/>
      </c>
      <c r="AL71">
        <f>IF($B71="","",IF(I71="","Not rostered",IFERROR(INDEX(Settings!$C$14:$C$33,MATCH(I71,Settings!$B$14:$B$33,0)),IFERROR(LOOKUP(2^15,SEARCH(Settings!$I$14:$I$83,I71)/(Settings!$I$14:$I$83&lt;&gt;""),Settings!$J$14:$J$83),"Other"))))</f>
        <v/>
      </c>
      <c r="AM71">
        <f>IF($B71="","",IF(J71="","Not rostered",IFERROR(INDEX(Settings!$C$14:$C$33,MATCH(J71,Settings!$B$14:$B$33,0)),IFERROR(LOOKUP(2^15,SEARCH(Settings!$I$14:$I$83,J71)/(Settings!$I$14:$I$83&lt;&gt;""),Settings!$J$14:$J$83),"Other"))))</f>
        <v/>
      </c>
      <c r="AN71">
        <f>IF($B71="","",IF(K71="","Not rostered",IFERROR(INDEX(Settings!$C$14:$C$33,MATCH(K71,Settings!$B$14:$B$33,0)),IFERROR(LOOKUP(2^15,SEARCH(Settings!$I$14:$I$83,K71)/(Settings!$I$14:$I$83&lt;&gt;""),Settings!$J$14:$J$83),"Other"))))</f>
        <v/>
      </c>
      <c r="AO71">
        <f>IF($B71="","",IF(L71="","Not rostered",IFERROR(INDEX(Settings!$C$14:$C$33,MATCH(L71,Settings!$B$14:$B$33,0)),IFERROR(LOOKUP(2^15,SEARCH(Settings!$I$14:$I$83,L71)/(Settings!$I$14:$I$83&lt;&gt;""),Settings!$J$14:$J$83),"Other"))))</f>
        <v/>
      </c>
      <c r="AP71">
        <f>IF($B71="","",IF(M71="","Not rostered",IFERROR(INDEX(Settings!$C$14:$C$33,MATCH(M71,Settings!$B$14:$B$33,0)),IFERROR(LOOKUP(2^15,SEARCH(Settings!$I$14:$I$83,M71)/(Settings!$I$14:$I$83&lt;&gt;""),Settings!$J$14:$J$83),"Other"))))</f>
        <v/>
      </c>
      <c r="AQ71">
        <f>IF($B71="","",IF(N71="","Not rostered",IFERROR(INDEX(Settings!$C$14:$C$33,MATCH(N71,Settings!$B$14:$B$33,0)),IFERROR(LOOKUP(2^15,SEARCH(Settings!$I$14:$I$83,N71)/(Settings!$I$14:$I$83&lt;&gt;""),Settings!$J$14:$J$83),"Other"))))</f>
        <v/>
      </c>
      <c r="AR71">
        <f>IF($B71="","",IF(O71="","Not rostered",IFERROR(INDEX(Settings!$C$14:$C$33,MATCH(O71,Settings!$B$14:$B$33,0)),IFERROR(LOOKUP(2^15,SEARCH(Settings!$I$14:$I$83,O71)/(Settings!$I$14:$I$83&lt;&gt;""),Settings!$J$14:$J$83),"Other"))))</f>
        <v/>
      </c>
      <c r="AS71">
        <f>IF($B71="","",IF(P71="","Not rostered",IFERROR(INDEX(Settings!$C$14:$C$33,MATCH(P71,Settings!$B$14:$B$33,0)),IFERROR(LOOKUP(2^15,SEARCH(Settings!$I$14:$I$83,P71)/(Settings!$I$14:$I$83&lt;&gt;""),Settings!$J$14:$J$83),"Other"))))</f>
        <v/>
      </c>
      <c r="AT71">
        <f>IF($B71="","",IF(Q71="","Not rostered",IFERROR(INDEX(Settings!$C$14:$C$33,MATCH(Q71,Settings!$B$14:$B$33,0)),IFERROR(LOOKUP(2^15,SEARCH(Settings!$I$14:$I$83,Q71)/(Settings!$I$14:$I$83&lt;&gt;""),Settings!$J$14:$J$83),"Other"))))</f>
        <v/>
      </c>
      <c r="AU71">
        <f>IF($B71="","",IF(R71="","Not rostered",IFERROR(INDEX(Settings!$C$14:$C$33,MATCH(R71,Settings!$B$14:$B$33,0)),IFERROR(LOOKUP(2^15,SEARCH(Settings!$I$14:$I$83,R71)/(Settings!$I$14:$I$83&lt;&gt;""),Settings!$J$14:$J$83),"Other"))))</f>
        <v/>
      </c>
      <c r="AV71">
        <f>IF($B71="","",IF(S71="","Not rostered",IFERROR(INDEX(Settings!$C$14:$C$33,MATCH(S71,Settings!$B$14:$B$33,0)),IFERROR(LOOKUP(2^15,SEARCH(Settings!$I$14:$I$83,S71)/(Settings!$I$14:$I$83&lt;&gt;""),Settings!$J$14:$J$83),"Other"))))</f>
        <v/>
      </c>
      <c r="AW71">
        <f>IF($B71="","",IF(T71="","Not rostered",IFERROR(INDEX(Settings!$C$14:$C$33,MATCH(T71,Settings!$B$14:$B$33,0)),IFERROR(LOOKUP(2^15,SEARCH(Settings!$I$14:$I$83,T71)/(Settings!$I$14:$I$83&lt;&gt;""),Settings!$J$14:$J$83),"Other"))))</f>
        <v/>
      </c>
      <c r="AX71">
        <f>IF($B71="","",IF(U71="","Not rostered",IFERROR(INDEX(Settings!$C$14:$C$33,MATCH(U71,Settings!$B$14:$B$33,0)),IFERROR(LOOKUP(2^15,SEARCH(Settings!$I$14:$I$83,U71)/(Settings!$I$14:$I$83&lt;&gt;""),Settings!$J$14:$J$83),"Other"))))</f>
        <v/>
      </c>
      <c r="AY71">
        <f>IF($B71="","",IF(V71="","Not rostered",IFERROR(INDEX(Settings!$C$14:$C$33,MATCH(V71,Settings!$B$14:$B$33,0)),IFERROR(LOOKUP(2^15,SEARCH(Settings!$I$14:$I$83,V71)/(Settings!$I$14:$I$83&lt;&gt;""),Settings!$J$14:$J$83),"Other"))))</f>
        <v/>
      </c>
      <c r="AZ71">
        <f>IF($B71="","",IF(W71="","Not rostered",IFERROR(INDEX(Settings!$C$14:$C$33,MATCH(W71,Settings!$B$14:$B$33,0)),IFERROR(LOOKUP(2^15,SEARCH(Settings!$I$14:$I$83,W71)/(Settings!$I$14:$I$83&lt;&gt;""),Settings!$J$14:$J$83),"Other"))))</f>
        <v/>
      </c>
      <c r="BA71">
        <f>IF($B71="","",IF(X71="","Not rostered",IFERROR(INDEX(Settings!$C$14:$C$33,MATCH(X71,Settings!$B$14:$B$33,0)),IFERROR(LOOKUP(2^15,SEARCH(Settings!$I$14:$I$83,X71)/(Settings!$I$14:$I$83&lt;&gt;""),Settings!$J$14:$J$83),"Other"))))</f>
        <v/>
      </c>
      <c r="BB71">
        <f>IF($B71="","",IF(Y71="","Not rostered",IFERROR(INDEX(Settings!$C$14:$C$33,MATCH(Y71,Settings!$B$14:$B$33,0)),IFERROR(LOOKUP(2^15,SEARCH(Settings!$I$14:$I$83,Y71)/(Settings!$I$14:$I$83&lt;&gt;""),Settings!$J$14:$J$83),"Other"))))</f>
        <v/>
      </c>
      <c r="BC71">
        <f>IF($B71="","",IF(Z71="","Not rostered",IFERROR(INDEX(Settings!$C$14:$C$33,MATCH(Z71,Settings!$B$14:$B$33,0)),IFERROR(LOOKUP(2^15,SEARCH(Settings!$I$14:$I$83,Z71)/(Settings!$I$14:$I$83&lt;&gt;""),Settings!$J$14:$J$83),"Other"))))</f>
        <v/>
      </c>
      <c r="BD71">
        <f>IF($B71="","",IF(AA71="","Not rostered",IFERROR(INDEX(Settings!$C$14:$C$33,MATCH(AA71,Settings!$B$14:$B$33,0)),IFERROR(LOOKUP(2^15,SEARCH(Settings!$I$14:$I$83,AA71)/(Settings!$I$14:$I$83&lt;&gt;""),Settings!$J$14:$J$83),"Other"))))</f>
        <v/>
      </c>
      <c r="BE71">
        <f>IF($B71="","",IF(AB71="","Not rostered",IFERROR(INDEX(Settings!$C$14:$C$33,MATCH(AB71,Settings!$B$14:$B$33,0)),IFERROR(LOOKUP(2^15,SEARCH(Settings!$I$14:$I$83,AB71)/(Settings!$I$14:$I$83&lt;&gt;""),Settings!$J$14:$J$83),"Other"))))</f>
        <v/>
      </c>
      <c r="BF71">
        <f>IF($B71="","",IF(AC71="","Not rostered",IFERROR(INDEX(Settings!$C$14:$C$33,MATCH(AC71,Settings!$B$14:$B$33,0)),IFERROR(LOOKUP(2^15,SEARCH(Settings!$I$14:$I$83,AC71)/(Settings!$I$14:$I$83&lt;&gt;""),Settings!$J$14:$J$83),"Other"))))</f>
        <v/>
      </c>
      <c r="BG71">
        <f>IF($B71="","",IF(AD71="","Not rostered",IFERROR(INDEX(Settings!$C$14:$C$33,MATCH(AD71,Settings!$B$14:$B$33,0)),IFERROR(LOOKUP(2^15,SEARCH(Settings!$I$14:$I$83,AD71)/(Settings!$I$14:$I$83&lt;&gt;""),Settings!$J$14:$J$83),"Other"))))</f>
        <v/>
      </c>
      <c r="BH71">
        <f>IF($B71="","",IF(AE71="","Not rostered",IFERROR(INDEX(Settings!$C$14:$C$33,MATCH(AE71,Settings!$B$14:$B$33,0)),IFERROR(LOOKUP(2^15,SEARCH(Settings!$I$14:$I$83,AE71)/(Settings!$I$14:$I$83&lt;&gt;""),Settings!$J$14:$J$83),"Other"))))</f>
        <v/>
      </c>
      <c r="BI71">
        <f>IF($B71="","",IF(AF71="","Not rostered",IFERROR(INDEX(Settings!$C$14:$C$33,MATCH(AF71,Settings!$B$14:$B$33,0)),IFERROR(LOOKUP(2^15,SEARCH(Settings!$I$14:$I$83,AF71)/(Settings!$I$14:$I$83&lt;&gt;""),Settings!$J$14:$J$83),"Other"))))</f>
        <v/>
      </c>
      <c r="BJ71">
        <f>IF($B71="","",IF(AG71="","Not rostered",IFERROR(INDEX(Settings!$C$14:$C$33,MATCH(AG71,Settings!$B$14:$B$33,0)),IFERROR(LOOKUP(2^15,SEARCH(Settings!$I$14:$I$83,AG71)/(Settings!$I$14:$I$83&lt;&gt;""),Settings!$J$14:$J$83),"Other"))))</f>
        <v/>
      </c>
      <c r="BL71">
        <f>IF(OR($B71="",F71=""),"",IFERROR(INDEX(Settings!$D$14:$D$33,MATCH(F71,Settings!$B$14:$B$33,0))&amp;"",IFERROR(LOOKUP(2^15,SEARCH(Settings!$F$14:$F$43,F71)/(Settings!$F$14:$F$43&lt;&gt;""),Settings!$G$14:$G$43),"")))</f>
        <v/>
      </c>
      <c r="BM71">
        <f>IF(OR($B71="",G71=""),"",IFERROR(INDEX(Settings!$D$14:$D$33,MATCH(G71,Settings!$B$14:$B$33,0))&amp;"",IFERROR(LOOKUP(2^15,SEARCH(Settings!$F$14:$F$43,G71)/(Settings!$F$14:$F$43&lt;&gt;""),Settings!$G$14:$G$43),"")))</f>
        <v/>
      </c>
      <c r="BN71">
        <f>IF(OR($B71="",H71=""),"",IFERROR(INDEX(Settings!$D$14:$D$33,MATCH(H71,Settings!$B$14:$B$33,0))&amp;"",IFERROR(LOOKUP(2^15,SEARCH(Settings!$F$14:$F$43,H71)/(Settings!$F$14:$F$43&lt;&gt;""),Settings!$G$14:$G$43),"")))</f>
        <v/>
      </c>
      <c r="BO71">
        <f>IF(OR($B71="",I71=""),"",IFERROR(INDEX(Settings!$D$14:$D$33,MATCH(I71,Settings!$B$14:$B$33,0))&amp;"",IFERROR(LOOKUP(2^15,SEARCH(Settings!$F$14:$F$43,I71)/(Settings!$F$14:$F$43&lt;&gt;""),Settings!$G$14:$G$43),"")))</f>
        <v/>
      </c>
      <c r="BP71">
        <f>IF(OR($B71="",J71=""),"",IFERROR(INDEX(Settings!$D$14:$D$33,MATCH(J71,Settings!$B$14:$B$33,0))&amp;"",IFERROR(LOOKUP(2^15,SEARCH(Settings!$F$14:$F$43,J71)/(Settings!$F$14:$F$43&lt;&gt;""),Settings!$G$14:$G$43),"")))</f>
        <v/>
      </c>
      <c r="BQ71">
        <f>IF(OR($B71="",K71=""),"",IFERROR(INDEX(Settings!$D$14:$D$33,MATCH(K71,Settings!$B$14:$B$33,0))&amp;"",IFERROR(LOOKUP(2^15,SEARCH(Settings!$F$14:$F$43,K71)/(Settings!$F$14:$F$43&lt;&gt;""),Settings!$G$14:$G$43),"")))</f>
        <v/>
      </c>
      <c r="BR71">
        <f>IF(OR($B71="",L71=""),"",IFERROR(INDEX(Settings!$D$14:$D$33,MATCH(L71,Settings!$B$14:$B$33,0))&amp;"",IFERROR(LOOKUP(2^15,SEARCH(Settings!$F$14:$F$43,L71)/(Settings!$F$14:$F$43&lt;&gt;""),Settings!$G$14:$G$43),"")))</f>
        <v/>
      </c>
      <c r="BS71">
        <f>IF(OR($B71="",M71=""),"",IFERROR(INDEX(Settings!$D$14:$D$33,MATCH(M71,Settings!$B$14:$B$33,0))&amp;"",IFERROR(LOOKUP(2^15,SEARCH(Settings!$F$14:$F$43,M71)/(Settings!$F$14:$F$43&lt;&gt;""),Settings!$G$14:$G$43),"")))</f>
        <v/>
      </c>
      <c r="BT71">
        <f>IF(OR($B71="",N71=""),"",IFERROR(INDEX(Settings!$D$14:$D$33,MATCH(N71,Settings!$B$14:$B$33,0))&amp;"",IFERROR(LOOKUP(2^15,SEARCH(Settings!$F$14:$F$43,N71)/(Settings!$F$14:$F$43&lt;&gt;""),Settings!$G$14:$G$43),"")))</f>
        <v/>
      </c>
      <c r="BU71">
        <f>IF(OR($B71="",O71=""),"",IFERROR(INDEX(Settings!$D$14:$D$33,MATCH(O71,Settings!$B$14:$B$33,0))&amp;"",IFERROR(LOOKUP(2^15,SEARCH(Settings!$F$14:$F$43,O71)/(Settings!$F$14:$F$43&lt;&gt;""),Settings!$G$14:$G$43),"")))</f>
        <v/>
      </c>
      <c r="BV71">
        <f>IF(OR($B71="",P71=""),"",IFERROR(INDEX(Settings!$D$14:$D$33,MATCH(P71,Settings!$B$14:$B$33,0))&amp;"",IFERROR(LOOKUP(2^15,SEARCH(Settings!$F$14:$F$43,P71)/(Settings!$F$14:$F$43&lt;&gt;""),Settings!$G$14:$G$43),"")))</f>
        <v/>
      </c>
      <c r="BW71">
        <f>IF(OR($B71="",Q71=""),"",IFERROR(INDEX(Settings!$D$14:$D$33,MATCH(Q71,Settings!$B$14:$B$33,0))&amp;"",IFERROR(LOOKUP(2^15,SEARCH(Settings!$F$14:$F$43,Q71)/(Settings!$F$14:$F$43&lt;&gt;""),Settings!$G$14:$G$43),"")))</f>
        <v/>
      </c>
      <c r="BX71">
        <f>IF(OR($B71="",R71=""),"",IFERROR(INDEX(Settings!$D$14:$D$33,MATCH(R71,Settings!$B$14:$B$33,0))&amp;"",IFERROR(LOOKUP(2^15,SEARCH(Settings!$F$14:$F$43,R71)/(Settings!$F$14:$F$43&lt;&gt;""),Settings!$G$14:$G$43),"")))</f>
        <v/>
      </c>
      <c r="BY71">
        <f>IF(OR($B71="",S71=""),"",IFERROR(INDEX(Settings!$D$14:$D$33,MATCH(S71,Settings!$B$14:$B$33,0))&amp;"",IFERROR(LOOKUP(2^15,SEARCH(Settings!$F$14:$F$43,S71)/(Settings!$F$14:$F$43&lt;&gt;""),Settings!$G$14:$G$43),"")))</f>
        <v/>
      </c>
      <c r="BZ71">
        <f>IF(OR($B71="",T71=""),"",IFERROR(INDEX(Settings!$D$14:$D$33,MATCH(T71,Settings!$B$14:$B$33,0))&amp;"",IFERROR(LOOKUP(2^15,SEARCH(Settings!$F$14:$F$43,T71)/(Settings!$F$14:$F$43&lt;&gt;""),Settings!$G$14:$G$43),"")))</f>
        <v/>
      </c>
      <c r="CA71">
        <f>IF(OR($B71="",U71=""),"",IFERROR(INDEX(Settings!$D$14:$D$33,MATCH(U71,Settings!$B$14:$B$33,0))&amp;"",IFERROR(LOOKUP(2^15,SEARCH(Settings!$F$14:$F$43,U71)/(Settings!$F$14:$F$43&lt;&gt;""),Settings!$G$14:$G$43),"")))</f>
        <v/>
      </c>
      <c r="CB71">
        <f>IF(OR($B71="",V71=""),"",IFERROR(INDEX(Settings!$D$14:$D$33,MATCH(V71,Settings!$B$14:$B$33,0))&amp;"",IFERROR(LOOKUP(2^15,SEARCH(Settings!$F$14:$F$43,V71)/(Settings!$F$14:$F$43&lt;&gt;""),Settings!$G$14:$G$43),"")))</f>
        <v/>
      </c>
      <c r="CC71">
        <f>IF(OR($B71="",W71=""),"",IFERROR(INDEX(Settings!$D$14:$D$33,MATCH(W71,Settings!$B$14:$B$33,0))&amp;"",IFERROR(LOOKUP(2^15,SEARCH(Settings!$F$14:$F$43,W71)/(Settings!$F$14:$F$43&lt;&gt;""),Settings!$G$14:$G$43),"")))</f>
        <v/>
      </c>
      <c r="CD71">
        <f>IF(OR($B71="",X71=""),"",IFERROR(INDEX(Settings!$D$14:$D$33,MATCH(X71,Settings!$B$14:$B$33,0))&amp;"",IFERROR(LOOKUP(2^15,SEARCH(Settings!$F$14:$F$43,X71)/(Settings!$F$14:$F$43&lt;&gt;""),Settings!$G$14:$G$43),"")))</f>
        <v/>
      </c>
      <c r="CE71">
        <f>IF(OR($B71="",Y71=""),"",IFERROR(INDEX(Settings!$D$14:$D$33,MATCH(Y71,Settings!$B$14:$B$33,0))&amp;"",IFERROR(LOOKUP(2^15,SEARCH(Settings!$F$14:$F$43,Y71)/(Settings!$F$14:$F$43&lt;&gt;""),Settings!$G$14:$G$43),"")))</f>
        <v/>
      </c>
      <c r="CF71">
        <f>IF(OR($B71="",Z71=""),"",IFERROR(INDEX(Settings!$D$14:$D$33,MATCH(Z71,Settings!$B$14:$B$33,0))&amp;"",IFERROR(LOOKUP(2^15,SEARCH(Settings!$F$14:$F$43,Z71)/(Settings!$F$14:$F$43&lt;&gt;""),Settings!$G$14:$G$43),"")))</f>
        <v/>
      </c>
      <c r="CG71">
        <f>IF(OR($B71="",AA71=""),"",IFERROR(INDEX(Settings!$D$14:$D$33,MATCH(AA71,Settings!$B$14:$B$33,0))&amp;"",IFERROR(LOOKUP(2^15,SEARCH(Settings!$F$14:$F$43,AA71)/(Settings!$F$14:$F$43&lt;&gt;""),Settings!$G$14:$G$43),"")))</f>
        <v/>
      </c>
      <c r="CH71">
        <f>IF(OR($B71="",AB71=""),"",IFERROR(INDEX(Settings!$D$14:$D$33,MATCH(AB71,Settings!$B$14:$B$33,0))&amp;"",IFERROR(LOOKUP(2^15,SEARCH(Settings!$F$14:$F$43,AB71)/(Settings!$F$14:$F$43&lt;&gt;""),Settings!$G$14:$G$43),"")))</f>
        <v/>
      </c>
      <c r="CI71">
        <f>IF(OR($B71="",AC71=""),"",IFERROR(INDEX(Settings!$D$14:$D$33,MATCH(AC71,Settings!$B$14:$B$33,0))&amp;"",IFERROR(LOOKUP(2^15,SEARCH(Settings!$F$14:$F$43,AC71)/(Settings!$F$14:$F$43&lt;&gt;""),Settings!$G$14:$G$43),"")))</f>
        <v/>
      </c>
      <c r="CJ71">
        <f>IF(OR($B71="",AD71=""),"",IFERROR(INDEX(Settings!$D$14:$D$33,MATCH(AD71,Settings!$B$14:$B$33,0))&amp;"",IFERROR(LOOKUP(2^15,SEARCH(Settings!$F$14:$F$43,AD71)/(Settings!$F$14:$F$43&lt;&gt;""),Settings!$G$14:$G$43),"")))</f>
        <v/>
      </c>
      <c r="CK71">
        <f>IF(OR($B71="",AE71=""),"",IFERROR(INDEX(Settings!$D$14:$D$33,MATCH(AE71,Settings!$B$14:$B$33,0))&amp;"",IFERROR(LOOKUP(2^15,SEARCH(Settings!$F$14:$F$43,AE71)/(Settings!$F$14:$F$43&lt;&gt;""),Settings!$G$14:$G$43),"")))</f>
        <v/>
      </c>
      <c r="CL71">
        <f>IF(OR($B71="",AF71=""),"",IFERROR(INDEX(Settings!$D$14:$D$33,MATCH(AF71,Settings!$B$14:$B$33,0))&amp;"",IFERROR(LOOKUP(2^15,SEARCH(Settings!$F$14:$F$43,AF71)/(Settings!$F$14:$F$43&lt;&gt;""),Settings!$G$14:$G$43),"")))</f>
        <v/>
      </c>
      <c r="CM71">
        <f>IF(OR($B71="",AG71=""),"",IFERROR(INDEX(Settings!$D$14:$D$33,MATCH(AG71,Settings!$B$14:$B$33,0))&amp;"",IFERROR(LOOKUP(2^15,SEARCH(Settings!$F$14:$F$43,AG71)/(Settings!$F$14:$F$43&lt;&gt;""),Settings!$G$14:$G$43),"")))</f>
        <v/>
      </c>
    </row>
    <row r="72">
      <c r="A72" t="n">
        <v>70</v>
      </c>
      <c r="B72">
        <f>IFERROR(INDEX(Index!$A$2:$A$202,MATCH(A72,Index!$E$2:$E$202,0)),"")</f>
        <v/>
      </c>
      <c r="D72">
        <f>IF($B72="","",IFERROR(MATCH("Travel*",AI72:BJ72,0),""))</f>
        <v/>
      </c>
      <c r="F72">
        <f>IF(OR($B72="",NOT(ISNUMBER(Settings!$C$9))),"",TRIM(SUBSTITUTE(SUBSTITUTE(INDEX('INPUT - Roster'!$S$1:$SV$206,$B72,Settings!$C$9+0)&amp;"",CHAR(10)," "),CHAR(160)," ")))</f>
        <v/>
      </c>
      <c r="G72">
        <f>IF(OR($B72="",NOT(ISNUMBER(Settings!$C$9))),"",TRIM(SUBSTITUTE(SUBSTITUTE(INDEX('INPUT - Roster'!$S$1:$SV$206,$B72,Settings!$C$9+1)&amp;"",CHAR(10)," "),CHAR(160)," ")))</f>
        <v/>
      </c>
      <c r="H72">
        <f>IF(OR($B72="",NOT(ISNUMBER(Settings!$C$9))),"",TRIM(SUBSTITUTE(SUBSTITUTE(INDEX('INPUT - Roster'!$S$1:$SV$206,$B72,Settings!$C$9+2)&amp;"",CHAR(10)," "),CHAR(160)," ")))</f>
        <v/>
      </c>
      <c r="I72">
        <f>IF(OR($B72="",NOT(ISNUMBER(Settings!$C$9))),"",TRIM(SUBSTITUTE(SUBSTITUTE(INDEX('INPUT - Roster'!$S$1:$SV$206,$B72,Settings!$C$9+3)&amp;"",CHAR(10)," "),CHAR(160)," ")))</f>
        <v/>
      </c>
      <c r="J72">
        <f>IF(OR($B72="",NOT(ISNUMBER(Settings!$C$9))),"",TRIM(SUBSTITUTE(SUBSTITUTE(INDEX('INPUT - Roster'!$S$1:$SV$206,$B72,Settings!$C$9+4)&amp;"",CHAR(10)," "),CHAR(160)," ")))</f>
        <v/>
      </c>
      <c r="K72">
        <f>IF(OR($B72="",NOT(ISNUMBER(Settings!$C$9))),"",TRIM(SUBSTITUTE(SUBSTITUTE(INDEX('INPUT - Roster'!$S$1:$SV$206,$B72,Settings!$C$9+5)&amp;"",CHAR(10)," "),CHAR(160)," ")))</f>
        <v/>
      </c>
      <c r="L72">
        <f>IF(OR($B72="",NOT(ISNUMBER(Settings!$C$9))),"",TRIM(SUBSTITUTE(SUBSTITUTE(INDEX('INPUT - Roster'!$S$1:$SV$206,$B72,Settings!$C$9+6)&amp;"",CHAR(10)," "),CHAR(160)," ")))</f>
        <v/>
      </c>
      <c r="M72">
        <f>IF(OR($B72="",NOT(ISNUMBER(Settings!$C$9))),"",TRIM(SUBSTITUTE(SUBSTITUTE(INDEX('INPUT - Roster'!$S$1:$SV$206,$B72,Settings!$C$9+7)&amp;"",CHAR(10)," "),CHAR(160)," ")))</f>
        <v/>
      </c>
      <c r="N72">
        <f>IF(OR($B72="",NOT(ISNUMBER(Settings!$C$9))),"",TRIM(SUBSTITUTE(SUBSTITUTE(INDEX('INPUT - Roster'!$S$1:$SV$206,$B72,Settings!$C$9+8)&amp;"",CHAR(10)," "),CHAR(160)," ")))</f>
        <v/>
      </c>
      <c r="O72">
        <f>IF(OR($B72="",NOT(ISNUMBER(Settings!$C$9))),"",TRIM(SUBSTITUTE(SUBSTITUTE(INDEX('INPUT - Roster'!$S$1:$SV$206,$B72,Settings!$C$9+9)&amp;"",CHAR(10)," "),CHAR(160)," ")))</f>
        <v/>
      </c>
      <c r="P72">
        <f>IF(OR($B72="",NOT(ISNUMBER(Settings!$C$9))),"",TRIM(SUBSTITUTE(SUBSTITUTE(INDEX('INPUT - Roster'!$S$1:$SV$206,$B72,Settings!$C$9+10)&amp;"",CHAR(10)," "),CHAR(160)," ")))</f>
        <v/>
      </c>
      <c r="Q72">
        <f>IF(OR($B72="",NOT(ISNUMBER(Settings!$C$9))),"",TRIM(SUBSTITUTE(SUBSTITUTE(INDEX('INPUT - Roster'!$S$1:$SV$206,$B72,Settings!$C$9+11)&amp;"",CHAR(10)," "),CHAR(160)," ")))</f>
        <v/>
      </c>
      <c r="R72">
        <f>IF(OR($B72="",NOT(ISNUMBER(Settings!$C$9))),"",TRIM(SUBSTITUTE(SUBSTITUTE(INDEX('INPUT - Roster'!$S$1:$SV$206,$B72,Settings!$C$9+12)&amp;"",CHAR(10)," "),CHAR(160)," ")))</f>
        <v/>
      </c>
      <c r="S72">
        <f>IF(OR($B72="",NOT(ISNUMBER(Settings!$C$9))),"",TRIM(SUBSTITUTE(SUBSTITUTE(INDEX('INPUT - Roster'!$S$1:$SV$206,$B72,Settings!$C$9+13)&amp;"",CHAR(10)," "),CHAR(160)," ")))</f>
        <v/>
      </c>
      <c r="T72">
        <f>IF(OR($B72="",NOT(ISNUMBER(Settings!$C$9))),"",TRIM(SUBSTITUTE(SUBSTITUTE(INDEX('INPUT - Roster'!$S$1:$SV$206,$B72,Settings!$C$9+14)&amp;"",CHAR(10)," "),CHAR(160)," ")))</f>
        <v/>
      </c>
      <c r="U72">
        <f>IF(OR($B72="",NOT(ISNUMBER(Settings!$C$9))),"",TRIM(SUBSTITUTE(SUBSTITUTE(INDEX('INPUT - Roster'!$S$1:$SV$206,$B72,Settings!$C$9+15)&amp;"",CHAR(10)," "),CHAR(160)," ")))</f>
        <v/>
      </c>
      <c r="V72">
        <f>IF(OR($B72="",NOT(ISNUMBER(Settings!$C$9))),"",TRIM(SUBSTITUTE(SUBSTITUTE(INDEX('INPUT - Roster'!$S$1:$SV$206,$B72,Settings!$C$9+16)&amp;"",CHAR(10)," "),CHAR(160)," ")))</f>
        <v/>
      </c>
      <c r="W72">
        <f>IF(OR($B72="",NOT(ISNUMBER(Settings!$C$9))),"",TRIM(SUBSTITUTE(SUBSTITUTE(INDEX('INPUT - Roster'!$S$1:$SV$206,$B72,Settings!$C$9+17)&amp;"",CHAR(10)," "),CHAR(160)," ")))</f>
        <v/>
      </c>
      <c r="X72">
        <f>IF(OR($B72="",NOT(ISNUMBER(Settings!$C$9))),"",TRIM(SUBSTITUTE(SUBSTITUTE(INDEX('INPUT - Roster'!$S$1:$SV$206,$B72,Settings!$C$9+18)&amp;"",CHAR(10)," "),CHAR(160)," ")))</f>
        <v/>
      </c>
      <c r="Y72">
        <f>IF(OR($B72="",NOT(ISNUMBER(Settings!$C$9))),"",TRIM(SUBSTITUTE(SUBSTITUTE(INDEX('INPUT - Roster'!$S$1:$SV$206,$B72,Settings!$C$9+19)&amp;"",CHAR(10)," "),CHAR(160)," ")))</f>
        <v/>
      </c>
      <c r="Z72">
        <f>IF(OR($B72="",NOT(ISNUMBER(Settings!$C$9))),"",TRIM(SUBSTITUTE(SUBSTITUTE(INDEX('INPUT - Roster'!$S$1:$SV$206,$B72,Settings!$C$9+20)&amp;"",CHAR(10)," "),CHAR(160)," ")))</f>
        <v/>
      </c>
      <c r="AA72">
        <f>IF(OR($B72="",NOT(ISNUMBER(Settings!$C$9))),"",TRIM(SUBSTITUTE(SUBSTITUTE(INDEX('INPUT - Roster'!$S$1:$SV$206,$B72,Settings!$C$9+21)&amp;"",CHAR(10)," "),CHAR(160)," ")))</f>
        <v/>
      </c>
      <c r="AB72">
        <f>IF(OR($B72="",NOT(ISNUMBER(Settings!$C$9))),"",TRIM(SUBSTITUTE(SUBSTITUTE(INDEX('INPUT - Roster'!$S$1:$SV$206,$B72,Settings!$C$9+22)&amp;"",CHAR(10)," "),CHAR(160)," ")))</f>
        <v/>
      </c>
      <c r="AC72">
        <f>IF(OR($B72="",NOT(ISNUMBER(Settings!$C$9))),"",TRIM(SUBSTITUTE(SUBSTITUTE(INDEX('INPUT - Roster'!$S$1:$SV$206,$B72,Settings!$C$9+23)&amp;"",CHAR(10)," "),CHAR(160)," ")))</f>
        <v/>
      </c>
      <c r="AD72">
        <f>IF(OR($B72="",NOT(ISNUMBER(Settings!$C$9))),"",TRIM(SUBSTITUTE(SUBSTITUTE(INDEX('INPUT - Roster'!$S$1:$SV$206,$B72,Settings!$C$9+24)&amp;"",CHAR(10)," "),CHAR(160)," ")))</f>
        <v/>
      </c>
      <c r="AE72">
        <f>IF(OR($B72="",NOT(ISNUMBER(Settings!$C$9))),"",TRIM(SUBSTITUTE(SUBSTITUTE(INDEX('INPUT - Roster'!$S$1:$SV$206,$B72,Settings!$C$9+25)&amp;"",CHAR(10)," "),CHAR(160)," ")))</f>
        <v/>
      </c>
      <c r="AF72">
        <f>IF(OR($B72="",NOT(ISNUMBER(Settings!$C$9))),"",TRIM(SUBSTITUTE(SUBSTITUTE(INDEX('INPUT - Roster'!$S$1:$SV$206,$B72,Settings!$C$9+26)&amp;"",CHAR(10)," "),CHAR(160)," ")))</f>
        <v/>
      </c>
      <c r="AG72">
        <f>IF(OR($B72="",NOT(ISNUMBER(Settings!$C$9))),"",TRIM(SUBSTITUTE(SUBSTITUTE(INDEX('INPUT - Roster'!$S$1:$SV$206,$B72,Settings!$C$9+27)&amp;"",CHAR(10)," "),CHAR(160)," ")))</f>
        <v/>
      </c>
      <c r="AI72">
        <f>IF($B72="","",IF(F72="","Not rostered",IFERROR(INDEX(Settings!$C$14:$C$33,MATCH(F72,Settings!$B$14:$B$33,0)),IFERROR(LOOKUP(2^15,SEARCH(Settings!$I$14:$I$83,F72)/(Settings!$I$14:$I$83&lt;&gt;""),Settings!$J$14:$J$83),"Other"))))</f>
        <v/>
      </c>
      <c r="AJ72">
        <f>IF($B72="","",IF(G72="","Not rostered",IFERROR(INDEX(Settings!$C$14:$C$33,MATCH(G72,Settings!$B$14:$B$33,0)),IFERROR(LOOKUP(2^15,SEARCH(Settings!$I$14:$I$83,G72)/(Settings!$I$14:$I$83&lt;&gt;""),Settings!$J$14:$J$83),"Other"))))</f>
        <v/>
      </c>
      <c r="AK72">
        <f>IF($B72="","",IF(H72="","Not rostered",IFERROR(INDEX(Settings!$C$14:$C$33,MATCH(H72,Settings!$B$14:$B$33,0)),IFERROR(LOOKUP(2^15,SEARCH(Settings!$I$14:$I$83,H72)/(Settings!$I$14:$I$83&lt;&gt;""),Settings!$J$14:$J$83),"Other"))))</f>
        <v/>
      </c>
      <c r="AL72">
        <f>IF($B72="","",IF(I72="","Not rostered",IFERROR(INDEX(Settings!$C$14:$C$33,MATCH(I72,Settings!$B$14:$B$33,0)),IFERROR(LOOKUP(2^15,SEARCH(Settings!$I$14:$I$83,I72)/(Settings!$I$14:$I$83&lt;&gt;""),Settings!$J$14:$J$83),"Other"))))</f>
        <v/>
      </c>
      <c r="AM72">
        <f>IF($B72="","",IF(J72="","Not rostered",IFERROR(INDEX(Settings!$C$14:$C$33,MATCH(J72,Settings!$B$14:$B$33,0)),IFERROR(LOOKUP(2^15,SEARCH(Settings!$I$14:$I$83,J72)/(Settings!$I$14:$I$83&lt;&gt;""),Settings!$J$14:$J$83),"Other"))))</f>
        <v/>
      </c>
      <c r="AN72">
        <f>IF($B72="","",IF(K72="","Not rostered",IFERROR(INDEX(Settings!$C$14:$C$33,MATCH(K72,Settings!$B$14:$B$33,0)),IFERROR(LOOKUP(2^15,SEARCH(Settings!$I$14:$I$83,K72)/(Settings!$I$14:$I$83&lt;&gt;""),Settings!$J$14:$J$83),"Other"))))</f>
        <v/>
      </c>
      <c r="AO72">
        <f>IF($B72="","",IF(L72="","Not rostered",IFERROR(INDEX(Settings!$C$14:$C$33,MATCH(L72,Settings!$B$14:$B$33,0)),IFERROR(LOOKUP(2^15,SEARCH(Settings!$I$14:$I$83,L72)/(Settings!$I$14:$I$83&lt;&gt;""),Settings!$J$14:$J$83),"Other"))))</f>
        <v/>
      </c>
      <c r="AP72">
        <f>IF($B72="","",IF(M72="","Not rostered",IFERROR(INDEX(Settings!$C$14:$C$33,MATCH(M72,Settings!$B$14:$B$33,0)),IFERROR(LOOKUP(2^15,SEARCH(Settings!$I$14:$I$83,M72)/(Settings!$I$14:$I$83&lt;&gt;""),Settings!$J$14:$J$83),"Other"))))</f>
        <v/>
      </c>
      <c r="AQ72">
        <f>IF($B72="","",IF(N72="","Not rostered",IFERROR(INDEX(Settings!$C$14:$C$33,MATCH(N72,Settings!$B$14:$B$33,0)),IFERROR(LOOKUP(2^15,SEARCH(Settings!$I$14:$I$83,N72)/(Settings!$I$14:$I$83&lt;&gt;""),Settings!$J$14:$J$83),"Other"))))</f>
        <v/>
      </c>
      <c r="AR72">
        <f>IF($B72="","",IF(O72="","Not rostered",IFERROR(INDEX(Settings!$C$14:$C$33,MATCH(O72,Settings!$B$14:$B$33,0)),IFERROR(LOOKUP(2^15,SEARCH(Settings!$I$14:$I$83,O72)/(Settings!$I$14:$I$83&lt;&gt;""),Settings!$J$14:$J$83),"Other"))))</f>
        <v/>
      </c>
      <c r="AS72">
        <f>IF($B72="","",IF(P72="","Not rostered",IFERROR(INDEX(Settings!$C$14:$C$33,MATCH(P72,Settings!$B$14:$B$33,0)),IFERROR(LOOKUP(2^15,SEARCH(Settings!$I$14:$I$83,P72)/(Settings!$I$14:$I$83&lt;&gt;""),Settings!$J$14:$J$83),"Other"))))</f>
        <v/>
      </c>
      <c r="AT72">
        <f>IF($B72="","",IF(Q72="","Not rostered",IFERROR(INDEX(Settings!$C$14:$C$33,MATCH(Q72,Settings!$B$14:$B$33,0)),IFERROR(LOOKUP(2^15,SEARCH(Settings!$I$14:$I$83,Q72)/(Settings!$I$14:$I$83&lt;&gt;""),Settings!$J$14:$J$83),"Other"))))</f>
        <v/>
      </c>
      <c r="AU72">
        <f>IF($B72="","",IF(R72="","Not rostered",IFERROR(INDEX(Settings!$C$14:$C$33,MATCH(R72,Settings!$B$14:$B$33,0)),IFERROR(LOOKUP(2^15,SEARCH(Settings!$I$14:$I$83,R72)/(Settings!$I$14:$I$83&lt;&gt;""),Settings!$J$14:$J$83),"Other"))))</f>
        <v/>
      </c>
      <c r="AV72">
        <f>IF($B72="","",IF(S72="","Not rostered",IFERROR(INDEX(Settings!$C$14:$C$33,MATCH(S72,Settings!$B$14:$B$33,0)),IFERROR(LOOKUP(2^15,SEARCH(Settings!$I$14:$I$83,S72)/(Settings!$I$14:$I$83&lt;&gt;""),Settings!$J$14:$J$83),"Other"))))</f>
        <v/>
      </c>
      <c r="AW72">
        <f>IF($B72="","",IF(T72="","Not rostered",IFERROR(INDEX(Settings!$C$14:$C$33,MATCH(T72,Settings!$B$14:$B$33,0)),IFERROR(LOOKUP(2^15,SEARCH(Settings!$I$14:$I$83,T72)/(Settings!$I$14:$I$83&lt;&gt;""),Settings!$J$14:$J$83),"Other"))))</f>
        <v/>
      </c>
      <c r="AX72">
        <f>IF($B72="","",IF(U72="","Not rostered",IFERROR(INDEX(Settings!$C$14:$C$33,MATCH(U72,Settings!$B$14:$B$33,0)),IFERROR(LOOKUP(2^15,SEARCH(Settings!$I$14:$I$83,U72)/(Settings!$I$14:$I$83&lt;&gt;""),Settings!$J$14:$J$83),"Other"))))</f>
        <v/>
      </c>
      <c r="AY72">
        <f>IF($B72="","",IF(V72="","Not rostered",IFERROR(INDEX(Settings!$C$14:$C$33,MATCH(V72,Settings!$B$14:$B$33,0)),IFERROR(LOOKUP(2^15,SEARCH(Settings!$I$14:$I$83,V72)/(Settings!$I$14:$I$83&lt;&gt;""),Settings!$J$14:$J$83),"Other"))))</f>
        <v/>
      </c>
      <c r="AZ72">
        <f>IF($B72="","",IF(W72="","Not rostered",IFERROR(INDEX(Settings!$C$14:$C$33,MATCH(W72,Settings!$B$14:$B$33,0)),IFERROR(LOOKUP(2^15,SEARCH(Settings!$I$14:$I$83,W72)/(Settings!$I$14:$I$83&lt;&gt;""),Settings!$J$14:$J$83),"Other"))))</f>
        <v/>
      </c>
      <c r="BA72">
        <f>IF($B72="","",IF(X72="","Not rostered",IFERROR(INDEX(Settings!$C$14:$C$33,MATCH(X72,Settings!$B$14:$B$33,0)),IFERROR(LOOKUP(2^15,SEARCH(Settings!$I$14:$I$83,X72)/(Settings!$I$14:$I$83&lt;&gt;""),Settings!$J$14:$J$83),"Other"))))</f>
        <v/>
      </c>
      <c r="BB72">
        <f>IF($B72="","",IF(Y72="","Not rostered",IFERROR(INDEX(Settings!$C$14:$C$33,MATCH(Y72,Settings!$B$14:$B$33,0)),IFERROR(LOOKUP(2^15,SEARCH(Settings!$I$14:$I$83,Y72)/(Settings!$I$14:$I$83&lt;&gt;""),Settings!$J$14:$J$83),"Other"))))</f>
        <v/>
      </c>
      <c r="BC72">
        <f>IF($B72="","",IF(Z72="","Not rostered",IFERROR(INDEX(Settings!$C$14:$C$33,MATCH(Z72,Settings!$B$14:$B$33,0)),IFERROR(LOOKUP(2^15,SEARCH(Settings!$I$14:$I$83,Z72)/(Settings!$I$14:$I$83&lt;&gt;""),Settings!$J$14:$J$83),"Other"))))</f>
        <v/>
      </c>
      <c r="BD72">
        <f>IF($B72="","",IF(AA72="","Not rostered",IFERROR(INDEX(Settings!$C$14:$C$33,MATCH(AA72,Settings!$B$14:$B$33,0)),IFERROR(LOOKUP(2^15,SEARCH(Settings!$I$14:$I$83,AA72)/(Settings!$I$14:$I$83&lt;&gt;""),Settings!$J$14:$J$83),"Other"))))</f>
        <v/>
      </c>
      <c r="BE72">
        <f>IF($B72="","",IF(AB72="","Not rostered",IFERROR(INDEX(Settings!$C$14:$C$33,MATCH(AB72,Settings!$B$14:$B$33,0)),IFERROR(LOOKUP(2^15,SEARCH(Settings!$I$14:$I$83,AB72)/(Settings!$I$14:$I$83&lt;&gt;""),Settings!$J$14:$J$83),"Other"))))</f>
        <v/>
      </c>
      <c r="BF72">
        <f>IF($B72="","",IF(AC72="","Not rostered",IFERROR(INDEX(Settings!$C$14:$C$33,MATCH(AC72,Settings!$B$14:$B$33,0)),IFERROR(LOOKUP(2^15,SEARCH(Settings!$I$14:$I$83,AC72)/(Settings!$I$14:$I$83&lt;&gt;""),Settings!$J$14:$J$83),"Other"))))</f>
        <v/>
      </c>
      <c r="BG72">
        <f>IF($B72="","",IF(AD72="","Not rostered",IFERROR(INDEX(Settings!$C$14:$C$33,MATCH(AD72,Settings!$B$14:$B$33,0)),IFERROR(LOOKUP(2^15,SEARCH(Settings!$I$14:$I$83,AD72)/(Settings!$I$14:$I$83&lt;&gt;""),Settings!$J$14:$J$83),"Other"))))</f>
        <v/>
      </c>
      <c r="BH72">
        <f>IF($B72="","",IF(AE72="","Not rostered",IFERROR(INDEX(Settings!$C$14:$C$33,MATCH(AE72,Settings!$B$14:$B$33,0)),IFERROR(LOOKUP(2^15,SEARCH(Settings!$I$14:$I$83,AE72)/(Settings!$I$14:$I$83&lt;&gt;""),Settings!$J$14:$J$83),"Other"))))</f>
        <v/>
      </c>
      <c r="BI72">
        <f>IF($B72="","",IF(AF72="","Not rostered",IFERROR(INDEX(Settings!$C$14:$C$33,MATCH(AF72,Settings!$B$14:$B$33,0)),IFERROR(LOOKUP(2^15,SEARCH(Settings!$I$14:$I$83,AF72)/(Settings!$I$14:$I$83&lt;&gt;""),Settings!$J$14:$J$83),"Other"))))</f>
        <v/>
      </c>
      <c r="BJ72">
        <f>IF($B72="","",IF(AG72="","Not rostered",IFERROR(INDEX(Settings!$C$14:$C$33,MATCH(AG72,Settings!$B$14:$B$33,0)),IFERROR(LOOKUP(2^15,SEARCH(Settings!$I$14:$I$83,AG72)/(Settings!$I$14:$I$83&lt;&gt;""),Settings!$J$14:$J$83),"Other"))))</f>
        <v/>
      </c>
      <c r="BL72">
        <f>IF(OR($B72="",F72=""),"",IFERROR(INDEX(Settings!$D$14:$D$33,MATCH(F72,Settings!$B$14:$B$33,0))&amp;"",IFERROR(LOOKUP(2^15,SEARCH(Settings!$F$14:$F$43,F72)/(Settings!$F$14:$F$43&lt;&gt;""),Settings!$G$14:$G$43),"")))</f>
        <v/>
      </c>
      <c r="BM72">
        <f>IF(OR($B72="",G72=""),"",IFERROR(INDEX(Settings!$D$14:$D$33,MATCH(G72,Settings!$B$14:$B$33,0))&amp;"",IFERROR(LOOKUP(2^15,SEARCH(Settings!$F$14:$F$43,G72)/(Settings!$F$14:$F$43&lt;&gt;""),Settings!$G$14:$G$43),"")))</f>
        <v/>
      </c>
      <c r="BN72">
        <f>IF(OR($B72="",H72=""),"",IFERROR(INDEX(Settings!$D$14:$D$33,MATCH(H72,Settings!$B$14:$B$33,0))&amp;"",IFERROR(LOOKUP(2^15,SEARCH(Settings!$F$14:$F$43,H72)/(Settings!$F$14:$F$43&lt;&gt;""),Settings!$G$14:$G$43),"")))</f>
        <v/>
      </c>
      <c r="BO72">
        <f>IF(OR($B72="",I72=""),"",IFERROR(INDEX(Settings!$D$14:$D$33,MATCH(I72,Settings!$B$14:$B$33,0))&amp;"",IFERROR(LOOKUP(2^15,SEARCH(Settings!$F$14:$F$43,I72)/(Settings!$F$14:$F$43&lt;&gt;""),Settings!$G$14:$G$43),"")))</f>
        <v/>
      </c>
      <c r="BP72">
        <f>IF(OR($B72="",J72=""),"",IFERROR(INDEX(Settings!$D$14:$D$33,MATCH(J72,Settings!$B$14:$B$33,0))&amp;"",IFERROR(LOOKUP(2^15,SEARCH(Settings!$F$14:$F$43,J72)/(Settings!$F$14:$F$43&lt;&gt;""),Settings!$G$14:$G$43),"")))</f>
        <v/>
      </c>
      <c r="BQ72">
        <f>IF(OR($B72="",K72=""),"",IFERROR(INDEX(Settings!$D$14:$D$33,MATCH(K72,Settings!$B$14:$B$33,0))&amp;"",IFERROR(LOOKUP(2^15,SEARCH(Settings!$F$14:$F$43,K72)/(Settings!$F$14:$F$43&lt;&gt;""),Settings!$G$14:$G$43),"")))</f>
        <v/>
      </c>
      <c r="BR72">
        <f>IF(OR($B72="",L72=""),"",IFERROR(INDEX(Settings!$D$14:$D$33,MATCH(L72,Settings!$B$14:$B$33,0))&amp;"",IFERROR(LOOKUP(2^15,SEARCH(Settings!$F$14:$F$43,L72)/(Settings!$F$14:$F$43&lt;&gt;""),Settings!$G$14:$G$43),"")))</f>
        <v/>
      </c>
      <c r="BS72">
        <f>IF(OR($B72="",M72=""),"",IFERROR(INDEX(Settings!$D$14:$D$33,MATCH(M72,Settings!$B$14:$B$33,0))&amp;"",IFERROR(LOOKUP(2^15,SEARCH(Settings!$F$14:$F$43,M72)/(Settings!$F$14:$F$43&lt;&gt;""),Settings!$G$14:$G$43),"")))</f>
        <v/>
      </c>
      <c r="BT72">
        <f>IF(OR($B72="",N72=""),"",IFERROR(INDEX(Settings!$D$14:$D$33,MATCH(N72,Settings!$B$14:$B$33,0))&amp;"",IFERROR(LOOKUP(2^15,SEARCH(Settings!$F$14:$F$43,N72)/(Settings!$F$14:$F$43&lt;&gt;""),Settings!$G$14:$G$43),"")))</f>
        <v/>
      </c>
      <c r="BU72">
        <f>IF(OR($B72="",O72=""),"",IFERROR(INDEX(Settings!$D$14:$D$33,MATCH(O72,Settings!$B$14:$B$33,0))&amp;"",IFERROR(LOOKUP(2^15,SEARCH(Settings!$F$14:$F$43,O72)/(Settings!$F$14:$F$43&lt;&gt;""),Settings!$G$14:$G$43),"")))</f>
        <v/>
      </c>
      <c r="BV72">
        <f>IF(OR($B72="",P72=""),"",IFERROR(INDEX(Settings!$D$14:$D$33,MATCH(P72,Settings!$B$14:$B$33,0))&amp;"",IFERROR(LOOKUP(2^15,SEARCH(Settings!$F$14:$F$43,P72)/(Settings!$F$14:$F$43&lt;&gt;""),Settings!$G$14:$G$43),"")))</f>
        <v/>
      </c>
      <c r="BW72">
        <f>IF(OR($B72="",Q72=""),"",IFERROR(INDEX(Settings!$D$14:$D$33,MATCH(Q72,Settings!$B$14:$B$33,0))&amp;"",IFERROR(LOOKUP(2^15,SEARCH(Settings!$F$14:$F$43,Q72)/(Settings!$F$14:$F$43&lt;&gt;""),Settings!$G$14:$G$43),"")))</f>
        <v/>
      </c>
      <c r="BX72">
        <f>IF(OR($B72="",R72=""),"",IFERROR(INDEX(Settings!$D$14:$D$33,MATCH(R72,Settings!$B$14:$B$33,0))&amp;"",IFERROR(LOOKUP(2^15,SEARCH(Settings!$F$14:$F$43,R72)/(Settings!$F$14:$F$43&lt;&gt;""),Settings!$G$14:$G$43),"")))</f>
        <v/>
      </c>
      <c r="BY72">
        <f>IF(OR($B72="",S72=""),"",IFERROR(INDEX(Settings!$D$14:$D$33,MATCH(S72,Settings!$B$14:$B$33,0))&amp;"",IFERROR(LOOKUP(2^15,SEARCH(Settings!$F$14:$F$43,S72)/(Settings!$F$14:$F$43&lt;&gt;""),Settings!$G$14:$G$43),"")))</f>
        <v/>
      </c>
      <c r="BZ72">
        <f>IF(OR($B72="",T72=""),"",IFERROR(INDEX(Settings!$D$14:$D$33,MATCH(T72,Settings!$B$14:$B$33,0))&amp;"",IFERROR(LOOKUP(2^15,SEARCH(Settings!$F$14:$F$43,T72)/(Settings!$F$14:$F$43&lt;&gt;""),Settings!$G$14:$G$43),"")))</f>
        <v/>
      </c>
      <c r="CA72">
        <f>IF(OR($B72="",U72=""),"",IFERROR(INDEX(Settings!$D$14:$D$33,MATCH(U72,Settings!$B$14:$B$33,0))&amp;"",IFERROR(LOOKUP(2^15,SEARCH(Settings!$F$14:$F$43,U72)/(Settings!$F$14:$F$43&lt;&gt;""),Settings!$G$14:$G$43),"")))</f>
        <v/>
      </c>
      <c r="CB72">
        <f>IF(OR($B72="",V72=""),"",IFERROR(INDEX(Settings!$D$14:$D$33,MATCH(V72,Settings!$B$14:$B$33,0))&amp;"",IFERROR(LOOKUP(2^15,SEARCH(Settings!$F$14:$F$43,V72)/(Settings!$F$14:$F$43&lt;&gt;""),Settings!$G$14:$G$43),"")))</f>
        <v/>
      </c>
      <c r="CC72">
        <f>IF(OR($B72="",W72=""),"",IFERROR(INDEX(Settings!$D$14:$D$33,MATCH(W72,Settings!$B$14:$B$33,0))&amp;"",IFERROR(LOOKUP(2^15,SEARCH(Settings!$F$14:$F$43,W72)/(Settings!$F$14:$F$43&lt;&gt;""),Settings!$G$14:$G$43),"")))</f>
        <v/>
      </c>
      <c r="CD72">
        <f>IF(OR($B72="",X72=""),"",IFERROR(INDEX(Settings!$D$14:$D$33,MATCH(X72,Settings!$B$14:$B$33,0))&amp;"",IFERROR(LOOKUP(2^15,SEARCH(Settings!$F$14:$F$43,X72)/(Settings!$F$14:$F$43&lt;&gt;""),Settings!$G$14:$G$43),"")))</f>
        <v/>
      </c>
      <c r="CE72">
        <f>IF(OR($B72="",Y72=""),"",IFERROR(INDEX(Settings!$D$14:$D$33,MATCH(Y72,Settings!$B$14:$B$33,0))&amp;"",IFERROR(LOOKUP(2^15,SEARCH(Settings!$F$14:$F$43,Y72)/(Settings!$F$14:$F$43&lt;&gt;""),Settings!$G$14:$G$43),"")))</f>
        <v/>
      </c>
      <c r="CF72">
        <f>IF(OR($B72="",Z72=""),"",IFERROR(INDEX(Settings!$D$14:$D$33,MATCH(Z72,Settings!$B$14:$B$33,0))&amp;"",IFERROR(LOOKUP(2^15,SEARCH(Settings!$F$14:$F$43,Z72)/(Settings!$F$14:$F$43&lt;&gt;""),Settings!$G$14:$G$43),"")))</f>
        <v/>
      </c>
      <c r="CG72">
        <f>IF(OR($B72="",AA72=""),"",IFERROR(INDEX(Settings!$D$14:$D$33,MATCH(AA72,Settings!$B$14:$B$33,0))&amp;"",IFERROR(LOOKUP(2^15,SEARCH(Settings!$F$14:$F$43,AA72)/(Settings!$F$14:$F$43&lt;&gt;""),Settings!$G$14:$G$43),"")))</f>
        <v/>
      </c>
      <c r="CH72">
        <f>IF(OR($B72="",AB72=""),"",IFERROR(INDEX(Settings!$D$14:$D$33,MATCH(AB72,Settings!$B$14:$B$33,0))&amp;"",IFERROR(LOOKUP(2^15,SEARCH(Settings!$F$14:$F$43,AB72)/(Settings!$F$14:$F$43&lt;&gt;""),Settings!$G$14:$G$43),"")))</f>
        <v/>
      </c>
      <c r="CI72">
        <f>IF(OR($B72="",AC72=""),"",IFERROR(INDEX(Settings!$D$14:$D$33,MATCH(AC72,Settings!$B$14:$B$33,0))&amp;"",IFERROR(LOOKUP(2^15,SEARCH(Settings!$F$14:$F$43,AC72)/(Settings!$F$14:$F$43&lt;&gt;""),Settings!$G$14:$G$43),"")))</f>
        <v/>
      </c>
      <c r="CJ72">
        <f>IF(OR($B72="",AD72=""),"",IFERROR(INDEX(Settings!$D$14:$D$33,MATCH(AD72,Settings!$B$14:$B$33,0))&amp;"",IFERROR(LOOKUP(2^15,SEARCH(Settings!$F$14:$F$43,AD72)/(Settings!$F$14:$F$43&lt;&gt;""),Settings!$G$14:$G$43),"")))</f>
        <v/>
      </c>
      <c r="CK72">
        <f>IF(OR($B72="",AE72=""),"",IFERROR(INDEX(Settings!$D$14:$D$33,MATCH(AE72,Settings!$B$14:$B$33,0))&amp;"",IFERROR(LOOKUP(2^15,SEARCH(Settings!$F$14:$F$43,AE72)/(Settings!$F$14:$F$43&lt;&gt;""),Settings!$G$14:$G$43),"")))</f>
        <v/>
      </c>
      <c r="CL72">
        <f>IF(OR($B72="",AF72=""),"",IFERROR(INDEX(Settings!$D$14:$D$33,MATCH(AF72,Settings!$B$14:$B$33,0))&amp;"",IFERROR(LOOKUP(2^15,SEARCH(Settings!$F$14:$F$43,AF72)/(Settings!$F$14:$F$43&lt;&gt;""),Settings!$G$14:$G$43),"")))</f>
        <v/>
      </c>
      <c r="CM72">
        <f>IF(OR($B72="",AG72=""),"",IFERROR(INDEX(Settings!$D$14:$D$33,MATCH(AG72,Settings!$B$14:$B$33,0))&amp;"",IFERROR(LOOKUP(2^15,SEARCH(Settings!$F$14:$F$43,AG72)/(Settings!$F$14:$F$43&lt;&gt;""),Settings!$G$14:$G$43),"")))</f>
        <v/>
      </c>
    </row>
    <row r="73">
      <c r="A73" t="n">
        <v>71</v>
      </c>
      <c r="B73">
        <f>IFERROR(INDEX(Index!$A$2:$A$202,MATCH(A73,Index!$E$2:$E$202,0)),"")</f>
        <v/>
      </c>
      <c r="D73">
        <f>IF($B73="","",IFERROR(MATCH("Travel*",AI73:BJ73,0),""))</f>
        <v/>
      </c>
      <c r="F73">
        <f>IF(OR($B73="",NOT(ISNUMBER(Settings!$C$9))),"",TRIM(SUBSTITUTE(SUBSTITUTE(INDEX('INPUT - Roster'!$S$1:$SV$206,$B73,Settings!$C$9+0)&amp;"",CHAR(10)," "),CHAR(160)," ")))</f>
        <v/>
      </c>
      <c r="G73">
        <f>IF(OR($B73="",NOT(ISNUMBER(Settings!$C$9))),"",TRIM(SUBSTITUTE(SUBSTITUTE(INDEX('INPUT - Roster'!$S$1:$SV$206,$B73,Settings!$C$9+1)&amp;"",CHAR(10)," "),CHAR(160)," ")))</f>
        <v/>
      </c>
      <c r="H73">
        <f>IF(OR($B73="",NOT(ISNUMBER(Settings!$C$9))),"",TRIM(SUBSTITUTE(SUBSTITUTE(INDEX('INPUT - Roster'!$S$1:$SV$206,$B73,Settings!$C$9+2)&amp;"",CHAR(10)," "),CHAR(160)," ")))</f>
        <v/>
      </c>
      <c r="I73">
        <f>IF(OR($B73="",NOT(ISNUMBER(Settings!$C$9))),"",TRIM(SUBSTITUTE(SUBSTITUTE(INDEX('INPUT - Roster'!$S$1:$SV$206,$B73,Settings!$C$9+3)&amp;"",CHAR(10)," "),CHAR(160)," ")))</f>
        <v/>
      </c>
      <c r="J73">
        <f>IF(OR($B73="",NOT(ISNUMBER(Settings!$C$9))),"",TRIM(SUBSTITUTE(SUBSTITUTE(INDEX('INPUT - Roster'!$S$1:$SV$206,$B73,Settings!$C$9+4)&amp;"",CHAR(10)," "),CHAR(160)," ")))</f>
        <v/>
      </c>
      <c r="K73">
        <f>IF(OR($B73="",NOT(ISNUMBER(Settings!$C$9))),"",TRIM(SUBSTITUTE(SUBSTITUTE(INDEX('INPUT - Roster'!$S$1:$SV$206,$B73,Settings!$C$9+5)&amp;"",CHAR(10)," "),CHAR(160)," ")))</f>
        <v/>
      </c>
      <c r="L73">
        <f>IF(OR($B73="",NOT(ISNUMBER(Settings!$C$9))),"",TRIM(SUBSTITUTE(SUBSTITUTE(INDEX('INPUT - Roster'!$S$1:$SV$206,$B73,Settings!$C$9+6)&amp;"",CHAR(10)," "),CHAR(160)," ")))</f>
        <v/>
      </c>
      <c r="M73">
        <f>IF(OR($B73="",NOT(ISNUMBER(Settings!$C$9))),"",TRIM(SUBSTITUTE(SUBSTITUTE(INDEX('INPUT - Roster'!$S$1:$SV$206,$B73,Settings!$C$9+7)&amp;"",CHAR(10)," "),CHAR(160)," ")))</f>
        <v/>
      </c>
      <c r="N73">
        <f>IF(OR($B73="",NOT(ISNUMBER(Settings!$C$9))),"",TRIM(SUBSTITUTE(SUBSTITUTE(INDEX('INPUT - Roster'!$S$1:$SV$206,$B73,Settings!$C$9+8)&amp;"",CHAR(10)," "),CHAR(160)," ")))</f>
        <v/>
      </c>
      <c r="O73">
        <f>IF(OR($B73="",NOT(ISNUMBER(Settings!$C$9))),"",TRIM(SUBSTITUTE(SUBSTITUTE(INDEX('INPUT - Roster'!$S$1:$SV$206,$B73,Settings!$C$9+9)&amp;"",CHAR(10)," "),CHAR(160)," ")))</f>
        <v/>
      </c>
      <c r="P73">
        <f>IF(OR($B73="",NOT(ISNUMBER(Settings!$C$9))),"",TRIM(SUBSTITUTE(SUBSTITUTE(INDEX('INPUT - Roster'!$S$1:$SV$206,$B73,Settings!$C$9+10)&amp;"",CHAR(10)," "),CHAR(160)," ")))</f>
        <v/>
      </c>
      <c r="Q73">
        <f>IF(OR($B73="",NOT(ISNUMBER(Settings!$C$9))),"",TRIM(SUBSTITUTE(SUBSTITUTE(INDEX('INPUT - Roster'!$S$1:$SV$206,$B73,Settings!$C$9+11)&amp;"",CHAR(10)," "),CHAR(160)," ")))</f>
        <v/>
      </c>
      <c r="R73">
        <f>IF(OR($B73="",NOT(ISNUMBER(Settings!$C$9))),"",TRIM(SUBSTITUTE(SUBSTITUTE(INDEX('INPUT - Roster'!$S$1:$SV$206,$B73,Settings!$C$9+12)&amp;"",CHAR(10)," "),CHAR(160)," ")))</f>
        <v/>
      </c>
      <c r="S73">
        <f>IF(OR($B73="",NOT(ISNUMBER(Settings!$C$9))),"",TRIM(SUBSTITUTE(SUBSTITUTE(INDEX('INPUT - Roster'!$S$1:$SV$206,$B73,Settings!$C$9+13)&amp;"",CHAR(10)," "),CHAR(160)," ")))</f>
        <v/>
      </c>
      <c r="T73">
        <f>IF(OR($B73="",NOT(ISNUMBER(Settings!$C$9))),"",TRIM(SUBSTITUTE(SUBSTITUTE(INDEX('INPUT - Roster'!$S$1:$SV$206,$B73,Settings!$C$9+14)&amp;"",CHAR(10)," "),CHAR(160)," ")))</f>
        <v/>
      </c>
      <c r="U73">
        <f>IF(OR($B73="",NOT(ISNUMBER(Settings!$C$9))),"",TRIM(SUBSTITUTE(SUBSTITUTE(INDEX('INPUT - Roster'!$S$1:$SV$206,$B73,Settings!$C$9+15)&amp;"",CHAR(10)," "),CHAR(160)," ")))</f>
        <v/>
      </c>
      <c r="V73">
        <f>IF(OR($B73="",NOT(ISNUMBER(Settings!$C$9))),"",TRIM(SUBSTITUTE(SUBSTITUTE(INDEX('INPUT - Roster'!$S$1:$SV$206,$B73,Settings!$C$9+16)&amp;"",CHAR(10)," "),CHAR(160)," ")))</f>
        <v/>
      </c>
      <c r="W73">
        <f>IF(OR($B73="",NOT(ISNUMBER(Settings!$C$9))),"",TRIM(SUBSTITUTE(SUBSTITUTE(INDEX('INPUT - Roster'!$S$1:$SV$206,$B73,Settings!$C$9+17)&amp;"",CHAR(10)," "),CHAR(160)," ")))</f>
        <v/>
      </c>
      <c r="X73">
        <f>IF(OR($B73="",NOT(ISNUMBER(Settings!$C$9))),"",TRIM(SUBSTITUTE(SUBSTITUTE(INDEX('INPUT - Roster'!$S$1:$SV$206,$B73,Settings!$C$9+18)&amp;"",CHAR(10)," "),CHAR(160)," ")))</f>
        <v/>
      </c>
      <c r="Y73">
        <f>IF(OR($B73="",NOT(ISNUMBER(Settings!$C$9))),"",TRIM(SUBSTITUTE(SUBSTITUTE(INDEX('INPUT - Roster'!$S$1:$SV$206,$B73,Settings!$C$9+19)&amp;"",CHAR(10)," "),CHAR(160)," ")))</f>
        <v/>
      </c>
      <c r="Z73">
        <f>IF(OR($B73="",NOT(ISNUMBER(Settings!$C$9))),"",TRIM(SUBSTITUTE(SUBSTITUTE(INDEX('INPUT - Roster'!$S$1:$SV$206,$B73,Settings!$C$9+20)&amp;"",CHAR(10)," "),CHAR(160)," ")))</f>
        <v/>
      </c>
      <c r="AA73">
        <f>IF(OR($B73="",NOT(ISNUMBER(Settings!$C$9))),"",TRIM(SUBSTITUTE(SUBSTITUTE(INDEX('INPUT - Roster'!$S$1:$SV$206,$B73,Settings!$C$9+21)&amp;"",CHAR(10)," "),CHAR(160)," ")))</f>
        <v/>
      </c>
      <c r="AB73">
        <f>IF(OR($B73="",NOT(ISNUMBER(Settings!$C$9))),"",TRIM(SUBSTITUTE(SUBSTITUTE(INDEX('INPUT - Roster'!$S$1:$SV$206,$B73,Settings!$C$9+22)&amp;"",CHAR(10)," "),CHAR(160)," ")))</f>
        <v/>
      </c>
      <c r="AC73">
        <f>IF(OR($B73="",NOT(ISNUMBER(Settings!$C$9))),"",TRIM(SUBSTITUTE(SUBSTITUTE(INDEX('INPUT - Roster'!$S$1:$SV$206,$B73,Settings!$C$9+23)&amp;"",CHAR(10)," "),CHAR(160)," ")))</f>
        <v/>
      </c>
      <c r="AD73">
        <f>IF(OR($B73="",NOT(ISNUMBER(Settings!$C$9))),"",TRIM(SUBSTITUTE(SUBSTITUTE(INDEX('INPUT - Roster'!$S$1:$SV$206,$B73,Settings!$C$9+24)&amp;"",CHAR(10)," "),CHAR(160)," ")))</f>
        <v/>
      </c>
      <c r="AE73">
        <f>IF(OR($B73="",NOT(ISNUMBER(Settings!$C$9))),"",TRIM(SUBSTITUTE(SUBSTITUTE(INDEX('INPUT - Roster'!$S$1:$SV$206,$B73,Settings!$C$9+25)&amp;"",CHAR(10)," "),CHAR(160)," ")))</f>
        <v/>
      </c>
      <c r="AF73">
        <f>IF(OR($B73="",NOT(ISNUMBER(Settings!$C$9))),"",TRIM(SUBSTITUTE(SUBSTITUTE(INDEX('INPUT - Roster'!$S$1:$SV$206,$B73,Settings!$C$9+26)&amp;"",CHAR(10)," "),CHAR(160)," ")))</f>
        <v/>
      </c>
      <c r="AG73">
        <f>IF(OR($B73="",NOT(ISNUMBER(Settings!$C$9))),"",TRIM(SUBSTITUTE(SUBSTITUTE(INDEX('INPUT - Roster'!$S$1:$SV$206,$B73,Settings!$C$9+27)&amp;"",CHAR(10)," "),CHAR(160)," ")))</f>
        <v/>
      </c>
      <c r="AI73">
        <f>IF($B73="","",IF(F73="","Not rostered",IFERROR(INDEX(Settings!$C$14:$C$33,MATCH(F73,Settings!$B$14:$B$33,0)),IFERROR(LOOKUP(2^15,SEARCH(Settings!$I$14:$I$83,F73)/(Settings!$I$14:$I$83&lt;&gt;""),Settings!$J$14:$J$83),"Other"))))</f>
        <v/>
      </c>
      <c r="AJ73">
        <f>IF($B73="","",IF(G73="","Not rostered",IFERROR(INDEX(Settings!$C$14:$C$33,MATCH(G73,Settings!$B$14:$B$33,0)),IFERROR(LOOKUP(2^15,SEARCH(Settings!$I$14:$I$83,G73)/(Settings!$I$14:$I$83&lt;&gt;""),Settings!$J$14:$J$83),"Other"))))</f>
        <v/>
      </c>
      <c r="AK73">
        <f>IF($B73="","",IF(H73="","Not rostered",IFERROR(INDEX(Settings!$C$14:$C$33,MATCH(H73,Settings!$B$14:$B$33,0)),IFERROR(LOOKUP(2^15,SEARCH(Settings!$I$14:$I$83,H73)/(Settings!$I$14:$I$83&lt;&gt;""),Settings!$J$14:$J$83),"Other"))))</f>
        <v/>
      </c>
      <c r="AL73">
        <f>IF($B73="","",IF(I73="","Not rostered",IFERROR(INDEX(Settings!$C$14:$C$33,MATCH(I73,Settings!$B$14:$B$33,0)),IFERROR(LOOKUP(2^15,SEARCH(Settings!$I$14:$I$83,I73)/(Settings!$I$14:$I$83&lt;&gt;""),Settings!$J$14:$J$83),"Other"))))</f>
        <v/>
      </c>
      <c r="AM73">
        <f>IF($B73="","",IF(J73="","Not rostered",IFERROR(INDEX(Settings!$C$14:$C$33,MATCH(J73,Settings!$B$14:$B$33,0)),IFERROR(LOOKUP(2^15,SEARCH(Settings!$I$14:$I$83,J73)/(Settings!$I$14:$I$83&lt;&gt;""),Settings!$J$14:$J$83),"Other"))))</f>
        <v/>
      </c>
      <c r="AN73">
        <f>IF($B73="","",IF(K73="","Not rostered",IFERROR(INDEX(Settings!$C$14:$C$33,MATCH(K73,Settings!$B$14:$B$33,0)),IFERROR(LOOKUP(2^15,SEARCH(Settings!$I$14:$I$83,K73)/(Settings!$I$14:$I$83&lt;&gt;""),Settings!$J$14:$J$83),"Other"))))</f>
        <v/>
      </c>
      <c r="AO73">
        <f>IF($B73="","",IF(L73="","Not rostered",IFERROR(INDEX(Settings!$C$14:$C$33,MATCH(L73,Settings!$B$14:$B$33,0)),IFERROR(LOOKUP(2^15,SEARCH(Settings!$I$14:$I$83,L73)/(Settings!$I$14:$I$83&lt;&gt;""),Settings!$J$14:$J$83),"Other"))))</f>
        <v/>
      </c>
      <c r="AP73">
        <f>IF($B73="","",IF(M73="","Not rostered",IFERROR(INDEX(Settings!$C$14:$C$33,MATCH(M73,Settings!$B$14:$B$33,0)),IFERROR(LOOKUP(2^15,SEARCH(Settings!$I$14:$I$83,M73)/(Settings!$I$14:$I$83&lt;&gt;""),Settings!$J$14:$J$83),"Other"))))</f>
        <v/>
      </c>
      <c r="AQ73">
        <f>IF($B73="","",IF(N73="","Not rostered",IFERROR(INDEX(Settings!$C$14:$C$33,MATCH(N73,Settings!$B$14:$B$33,0)),IFERROR(LOOKUP(2^15,SEARCH(Settings!$I$14:$I$83,N73)/(Settings!$I$14:$I$83&lt;&gt;""),Settings!$J$14:$J$83),"Other"))))</f>
        <v/>
      </c>
      <c r="AR73">
        <f>IF($B73="","",IF(O73="","Not rostered",IFERROR(INDEX(Settings!$C$14:$C$33,MATCH(O73,Settings!$B$14:$B$33,0)),IFERROR(LOOKUP(2^15,SEARCH(Settings!$I$14:$I$83,O73)/(Settings!$I$14:$I$83&lt;&gt;""),Settings!$J$14:$J$83),"Other"))))</f>
        <v/>
      </c>
      <c r="AS73">
        <f>IF($B73="","",IF(P73="","Not rostered",IFERROR(INDEX(Settings!$C$14:$C$33,MATCH(P73,Settings!$B$14:$B$33,0)),IFERROR(LOOKUP(2^15,SEARCH(Settings!$I$14:$I$83,P73)/(Settings!$I$14:$I$83&lt;&gt;""),Settings!$J$14:$J$83),"Other"))))</f>
        <v/>
      </c>
      <c r="AT73">
        <f>IF($B73="","",IF(Q73="","Not rostered",IFERROR(INDEX(Settings!$C$14:$C$33,MATCH(Q73,Settings!$B$14:$B$33,0)),IFERROR(LOOKUP(2^15,SEARCH(Settings!$I$14:$I$83,Q73)/(Settings!$I$14:$I$83&lt;&gt;""),Settings!$J$14:$J$83),"Other"))))</f>
        <v/>
      </c>
      <c r="AU73">
        <f>IF($B73="","",IF(R73="","Not rostered",IFERROR(INDEX(Settings!$C$14:$C$33,MATCH(R73,Settings!$B$14:$B$33,0)),IFERROR(LOOKUP(2^15,SEARCH(Settings!$I$14:$I$83,R73)/(Settings!$I$14:$I$83&lt;&gt;""),Settings!$J$14:$J$83),"Other"))))</f>
        <v/>
      </c>
      <c r="AV73">
        <f>IF($B73="","",IF(S73="","Not rostered",IFERROR(INDEX(Settings!$C$14:$C$33,MATCH(S73,Settings!$B$14:$B$33,0)),IFERROR(LOOKUP(2^15,SEARCH(Settings!$I$14:$I$83,S73)/(Settings!$I$14:$I$83&lt;&gt;""),Settings!$J$14:$J$83),"Other"))))</f>
        <v/>
      </c>
      <c r="AW73">
        <f>IF($B73="","",IF(T73="","Not rostered",IFERROR(INDEX(Settings!$C$14:$C$33,MATCH(T73,Settings!$B$14:$B$33,0)),IFERROR(LOOKUP(2^15,SEARCH(Settings!$I$14:$I$83,T73)/(Settings!$I$14:$I$83&lt;&gt;""),Settings!$J$14:$J$83),"Other"))))</f>
        <v/>
      </c>
      <c r="AX73">
        <f>IF($B73="","",IF(U73="","Not rostered",IFERROR(INDEX(Settings!$C$14:$C$33,MATCH(U73,Settings!$B$14:$B$33,0)),IFERROR(LOOKUP(2^15,SEARCH(Settings!$I$14:$I$83,U73)/(Settings!$I$14:$I$83&lt;&gt;""),Settings!$J$14:$J$83),"Other"))))</f>
        <v/>
      </c>
      <c r="AY73">
        <f>IF($B73="","",IF(V73="","Not rostered",IFERROR(INDEX(Settings!$C$14:$C$33,MATCH(V73,Settings!$B$14:$B$33,0)),IFERROR(LOOKUP(2^15,SEARCH(Settings!$I$14:$I$83,V73)/(Settings!$I$14:$I$83&lt;&gt;""),Settings!$J$14:$J$83),"Other"))))</f>
        <v/>
      </c>
      <c r="AZ73">
        <f>IF($B73="","",IF(W73="","Not rostered",IFERROR(INDEX(Settings!$C$14:$C$33,MATCH(W73,Settings!$B$14:$B$33,0)),IFERROR(LOOKUP(2^15,SEARCH(Settings!$I$14:$I$83,W73)/(Settings!$I$14:$I$83&lt;&gt;""),Settings!$J$14:$J$83),"Other"))))</f>
        <v/>
      </c>
      <c r="BA73">
        <f>IF($B73="","",IF(X73="","Not rostered",IFERROR(INDEX(Settings!$C$14:$C$33,MATCH(X73,Settings!$B$14:$B$33,0)),IFERROR(LOOKUP(2^15,SEARCH(Settings!$I$14:$I$83,X73)/(Settings!$I$14:$I$83&lt;&gt;""),Settings!$J$14:$J$83),"Other"))))</f>
        <v/>
      </c>
      <c r="BB73">
        <f>IF($B73="","",IF(Y73="","Not rostered",IFERROR(INDEX(Settings!$C$14:$C$33,MATCH(Y73,Settings!$B$14:$B$33,0)),IFERROR(LOOKUP(2^15,SEARCH(Settings!$I$14:$I$83,Y73)/(Settings!$I$14:$I$83&lt;&gt;""),Settings!$J$14:$J$83),"Other"))))</f>
        <v/>
      </c>
      <c r="BC73">
        <f>IF($B73="","",IF(Z73="","Not rostered",IFERROR(INDEX(Settings!$C$14:$C$33,MATCH(Z73,Settings!$B$14:$B$33,0)),IFERROR(LOOKUP(2^15,SEARCH(Settings!$I$14:$I$83,Z73)/(Settings!$I$14:$I$83&lt;&gt;""),Settings!$J$14:$J$83),"Other"))))</f>
        <v/>
      </c>
      <c r="BD73">
        <f>IF($B73="","",IF(AA73="","Not rostered",IFERROR(INDEX(Settings!$C$14:$C$33,MATCH(AA73,Settings!$B$14:$B$33,0)),IFERROR(LOOKUP(2^15,SEARCH(Settings!$I$14:$I$83,AA73)/(Settings!$I$14:$I$83&lt;&gt;""),Settings!$J$14:$J$83),"Other"))))</f>
        <v/>
      </c>
      <c r="BE73">
        <f>IF($B73="","",IF(AB73="","Not rostered",IFERROR(INDEX(Settings!$C$14:$C$33,MATCH(AB73,Settings!$B$14:$B$33,0)),IFERROR(LOOKUP(2^15,SEARCH(Settings!$I$14:$I$83,AB73)/(Settings!$I$14:$I$83&lt;&gt;""),Settings!$J$14:$J$83),"Other"))))</f>
        <v/>
      </c>
      <c r="BF73">
        <f>IF($B73="","",IF(AC73="","Not rostered",IFERROR(INDEX(Settings!$C$14:$C$33,MATCH(AC73,Settings!$B$14:$B$33,0)),IFERROR(LOOKUP(2^15,SEARCH(Settings!$I$14:$I$83,AC73)/(Settings!$I$14:$I$83&lt;&gt;""),Settings!$J$14:$J$83),"Other"))))</f>
        <v/>
      </c>
      <c r="BG73">
        <f>IF($B73="","",IF(AD73="","Not rostered",IFERROR(INDEX(Settings!$C$14:$C$33,MATCH(AD73,Settings!$B$14:$B$33,0)),IFERROR(LOOKUP(2^15,SEARCH(Settings!$I$14:$I$83,AD73)/(Settings!$I$14:$I$83&lt;&gt;""),Settings!$J$14:$J$83),"Other"))))</f>
        <v/>
      </c>
      <c r="BH73">
        <f>IF($B73="","",IF(AE73="","Not rostered",IFERROR(INDEX(Settings!$C$14:$C$33,MATCH(AE73,Settings!$B$14:$B$33,0)),IFERROR(LOOKUP(2^15,SEARCH(Settings!$I$14:$I$83,AE73)/(Settings!$I$14:$I$83&lt;&gt;""),Settings!$J$14:$J$83),"Other"))))</f>
        <v/>
      </c>
      <c r="BI73">
        <f>IF($B73="","",IF(AF73="","Not rostered",IFERROR(INDEX(Settings!$C$14:$C$33,MATCH(AF73,Settings!$B$14:$B$33,0)),IFERROR(LOOKUP(2^15,SEARCH(Settings!$I$14:$I$83,AF73)/(Settings!$I$14:$I$83&lt;&gt;""),Settings!$J$14:$J$83),"Other"))))</f>
        <v/>
      </c>
      <c r="BJ73">
        <f>IF($B73="","",IF(AG73="","Not rostered",IFERROR(INDEX(Settings!$C$14:$C$33,MATCH(AG73,Settings!$B$14:$B$33,0)),IFERROR(LOOKUP(2^15,SEARCH(Settings!$I$14:$I$83,AG73)/(Settings!$I$14:$I$83&lt;&gt;""),Settings!$J$14:$J$83),"Other"))))</f>
        <v/>
      </c>
      <c r="BL73">
        <f>IF(OR($B73="",F73=""),"",IFERROR(INDEX(Settings!$D$14:$D$33,MATCH(F73,Settings!$B$14:$B$33,0))&amp;"",IFERROR(LOOKUP(2^15,SEARCH(Settings!$F$14:$F$43,F73)/(Settings!$F$14:$F$43&lt;&gt;""),Settings!$G$14:$G$43),"")))</f>
        <v/>
      </c>
      <c r="BM73">
        <f>IF(OR($B73="",G73=""),"",IFERROR(INDEX(Settings!$D$14:$D$33,MATCH(G73,Settings!$B$14:$B$33,0))&amp;"",IFERROR(LOOKUP(2^15,SEARCH(Settings!$F$14:$F$43,G73)/(Settings!$F$14:$F$43&lt;&gt;""),Settings!$G$14:$G$43),"")))</f>
        <v/>
      </c>
      <c r="BN73">
        <f>IF(OR($B73="",H73=""),"",IFERROR(INDEX(Settings!$D$14:$D$33,MATCH(H73,Settings!$B$14:$B$33,0))&amp;"",IFERROR(LOOKUP(2^15,SEARCH(Settings!$F$14:$F$43,H73)/(Settings!$F$14:$F$43&lt;&gt;""),Settings!$G$14:$G$43),"")))</f>
        <v/>
      </c>
      <c r="BO73">
        <f>IF(OR($B73="",I73=""),"",IFERROR(INDEX(Settings!$D$14:$D$33,MATCH(I73,Settings!$B$14:$B$33,0))&amp;"",IFERROR(LOOKUP(2^15,SEARCH(Settings!$F$14:$F$43,I73)/(Settings!$F$14:$F$43&lt;&gt;""),Settings!$G$14:$G$43),"")))</f>
        <v/>
      </c>
      <c r="BP73">
        <f>IF(OR($B73="",J73=""),"",IFERROR(INDEX(Settings!$D$14:$D$33,MATCH(J73,Settings!$B$14:$B$33,0))&amp;"",IFERROR(LOOKUP(2^15,SEARCH(Settings!$F$14:$F$43,J73)/(Settings!$F$14:$F$43&lt;&gt;""),Settings!$G$14:$G$43),"")))</f>
        <v/>
      </c>
      <c r="BQ73">
        <f>IF(OR($B73="",K73=""),"",IFERROR(INDEX(Settings!$D$14:$D$33,MATCH(K73,Settings!$B$14:$B$33,0))&amp;"",IFERROR(LOOKUP(2^15,SEARCH(Settings!$F$14:$F$43,K73)/(Settings!$F$14:$F$43&lt;&gt;""),Settings!$G$14:$G$43),"")))</f>
        <v/>
      </c>
      <c r="BR73">
        <f>IF(OR($B73="",L73=""),"",IFERROR(INDEX(Settings!$D$14:$D$33,MATCH(L73,Settings!$B$14:$B$33,0))&amp;"",IFERROR(LOOKUP(2^15,SEARCH(Settings!$F$14:$F$43,L73)/(Settings!$F$14:$F$43&lt;&gt;""),Settings!$G$14:$G$43),"")))</f>
        <v/>
      </c>
      <c r="BS73">
        <f>IF(OR($B73="",M73=""),"",IFERROR(INDEX(Settings!$D$14:$D$33,MATCH(M73,Settings!$B$14:$B$33,0))&amp;"",IFERROR(LOOKUP(2^15,SEARCH(Settings!$F$14:$F$43,M73)/(Settings!$F$14:$F$43&lt;&gt;""),Settings!$G$14:$G$43),"")))</f>
        <v/>
      </c>
      <c r="BT73">
        <f>IF(OR($B73="",N73=""),"",IFERROR(INDEX(Settings!$D$14:$D$33,MATCH(N73,Settings!$B$14:$B$33,0))&amp;"",IFERROR(LOOKUP(2^15,SEARCH(Settings!$F$14:$F$43,N73)/(Settings!$F$14:$F$43&lt;&gt;""),Settings!$G$14:$G$43),"")))</f>
        <v/>
      </c>
      <c r="BU73">
        <f>IF(OR($B73="",O73=""),"",IFERROR(INDEX(Settings!$D$14:$D$33,MATCH(O73,Settings!$B$14:$B$33,0))&amp;"",IFERROR(LOOKUP(2^15,SEARCH(Settings!$F$14:$F$43,O73)/(Settings!$F$14:$F$43&lt;&gt;""),Settings!$G$14:$G$43),"")))</f>
        <v/>
      </c>
      <c r="BV73">
        <f>IF(OR($B73="",P73=""),"",IFERROR(INDEX(Settings!$D$14:$D$33,MATCH(P73,Settings!$B$14:$B$33,0))&amp;"",IFERROR(LOOKUP(2^15,SEARCH(Settings!$F$14:$F$43,P73)/(Settings!$F$14:$F$43&lt;&gt;""),Settings!$G$14:$G$43),"")))</f>
        <v/>
      </c>
      <c r="BW73">
        <f>IF(OR($B73="",Q73=""),"",IFERROR(INDEX(Settings!$D$14:$D$33,MATCH(Q73,Settings!$B$14:$B$33,0))&amp;"",IFERROR(LOOKUP(2^15,SEARCH(Settings!$F$14:$F$43,Q73)/(Settings!$F$14:$F$43&lt;&gt;""),Settings!$G$14:$G$43),"")))</f>
        <v/>
      </c>
      <c r="BX73">
        <f>IF(OR($B73="",R73=""),"",IFERROR(INDEX(Settings!$D$14:$D$33,MATCH(R73,Settings!$B$14:$B$33,0))&amp;"",IFERROR(LOOKUP(2^15,SEARCH(Settings!$F$14:$F$43,R73)/(Settings!$F$14:$F$43&lt;&gt;""),Settings!$G$14:$G$43),"")))</f>
        <v/>
      </c>
      <c r="BY73">
        <f>IF(OR($B73="",S73=""),"",IFERROR(INDEX(Settings!$D$14:$D$33,MATCH(S73,Settings!$B$14:$B$33,0))&amp;"",IFERROR(LOOKUP(2^15,SEARCH(Settings!$F$14:$F$43,S73)/(Settings!$F$14:$F$43&lt;&gt;""),Settings!$G$14:$G$43),"")))</f>
        <v/>
      </c>
      <c r="BZ73">
        <f>IF(OR($B73="",T73=""),"",IFERROR(INDEX(Settings!$D$14:$D$33,MATCH(T73,Settings!$B$14:$B$33,0))&amp;"",IFERROR(LOOKUP(2^15,SEARCH(Settings!$F$14:$F$43,T73)/(Settings!$F$14:$F$43&lt;&gt;""),Settings!$G$14:$G$43),"")))</f>
        <v/>
      </c>
      <c r="CA73">
        <f>IF(OR($B73="",U73=""),"",IFERROR(INDEX(Settings!$D$14:$D$33,MATCH(U73,Settings!$B$14:$B$33,0))&amp;"",IFERROR(LOOKUP(2^15,SEARCH(Settings!$F$14:$F$43,U73)/(Settings!$F$14:$F$43&lt;&gt;""),Settings!$G$14:$G$43),"")))</f>
        <v/>
      </c>
      <c r="CB73">
        <f>IF(OR($B73="",V73=""),"",IFERROR(INDEX(Settings!$D$14:$D$33,MATCH(V73,Settings!$B$14:$B$33,0))&amp;"",IFERROR(LOOKUP(2^15,SEARCH(Settings!$F$14:$F$43,V73)/(Settings!$F$14:$F$43&lt;&gt;""),Settings!$G$14:$G$43),"")))</f>
        <v/>
      </c>
      <c r="CC73">
        <f>IF(OR($B73="",W73=""),"",IFERROR(INDEX(Settings!$D$14:$D$33,MATCH(W73,Settings!$B$14:$B$33,0))&amp;"",IFERROR(LOOKUP(2^15,SEARCH(Settings!$F$14:$F$43,W73)/(Settings!$F$14:$F$43&lt;&gt;""),Settings!$G$14:$G$43),"")))</f>
        <v/>
      </c>
      <c r="CD73">
        <f>IF(OR($B73="",X73=""),"",IFERROR(INDEX(Settings!$D$14:$D$33,MATCH(X73,Settings!$B$14:$B$33,0))&amp;"",IFERROR(LOOKUP(2^15,SEARCH(Settings!$F$14:$F$43,X73)/(Settings!$F$14:$F$43&lt;&gt;""),Settings!$G$14:$G$43),"")))</f>
        <v/>
      </c>
      <c r="CE73">
        <f>IF(OR($B73="",Y73=""),"",IFERROR(INDEX(Settings!$D$14:$D$33,MATCH(Y73,Settings!$B$14:$B$33,0))&amp;"",IFERROR(LOOKUP(2^15,SEARCH(Settings!$F$14:$F$43,Y73)/(Settings!$F$14:$F$43&lt;&gt;""),Settings!$G$14:$G$43),"")))</f>
        <v/>
      </c>
      <c r="CF73">
        <f>IF(OR($B73="",Z73=""),"",IFERROR(INDEX(Settings!$D$14:$D$33,MATCH(Z73,Settings!$B$14:$B$33,0))&amp;"",IFERROR(LOOKUP(2^15,SEARCH(Settings!$F$14:$F$43,Z73)/(Settings!$F$14:$F$43&lt;&gt;""),Settings!$G$14:$G$43),"")))</f>
        <v/>
      </c>
      <c r="CG73">
        <f>IF(OR($B73="",AA73=""),"",IFERROR(INDEX(Settings!$D$14:$D$33,MATCH(AA73,Settings!$B$14:$B$33,0))&amp;"",IFERROR(LOOKUP(2^15,SEARCH(Settings!$F$14:$F$43,AA73)/(Settings!$F$14:$F$43&lt;&gt;""),Settings!$G$14:$G$43),"")))</f>
        <v/>
      </c>
      <c r="CH73">
        <f>IF(OR($B73="",AB73=""),"",IFERROR(INDEX(Settings!$D$14:$D$33,MATCH(AB73,Settings!$B$14:$B$33,0))&amp;"",IFERROR(LOOKUP(2^15,SEARCH(Settings!$F$14:$F$43,AB73)/(Settings!$F$14:$F$43&lt;&gt;""),Settings!$G$14:$G$43),"")))</f>
        <v/>
      </c>
      <c r="CI73">
        <f>IF(OR($B73="",AC73=""),"",IFERROR(INDEX(Settings!$D$14:$D$33,MATCH(AC73,Settings!$B$14:$B$33,0))&amp;"",IFERROR(LOOKUP(2^15,SEARCH(Settings!$F$14:$F$43,AC73)/(Settings!$F$14:$F$43&lt;&gt;""),Settings!$G$14:$G$43),"")))</f>
        <v/>
      </c>
      <c r="CJ73">
        <f>IF(OR($B73="",AD73=""),"",IFERROR(INDEX(Settings!$D$14:$D$33,MATCH(AD73,Settings!$B$14:$B$33,0))&amp;"",IFERROR(LOOKUP(2^15,SEARCH(Settings!$F$14:$F$43,AD73)/(Settings!$F$14:$F$43&lt;&gt;""),Settings!$G$14:$G$43),"")))</f>
        <v/>
      </c>
      <c r="CK73">
        <f>IF(OR($B73="",AE73=""),"",IFERROR(INDEX(Settings!$D$14:$D$33,MATCH(AE73,Settings!$B$14:$B$33,0))&amp;"",IFERROR(LOOKUP(2^15,SEARCH(Settings!$F$14:$F$43,AE73)/(Settings!$F$14:$F$43&lt;&gt;""),Settings!$G$14:$G$43),"")))</f>
        <v/>
      </c>
      <c r="CL73">
        <f>IF(OR($B73="",AF73=""),"",IFERROR(INDEX(Settings!$D$14:$D$33,MATCH(AF73,Settings!$B$14:$B$33,0))&amp;"",IFERROR(LOOKUP(2^15,SEARCH(Settings!$F$14:$F$43,AF73)/(Settings!$F$14:$F$43&lt;&gt;""),Settings!$G$14:$G$43),"")))</f>
        <v/>
      </c>
      <c r="CM73">
        <f>IF(OR($B73="",AG73=""),"",IFERROR(INDEX(Settings!$D$14:$D$33,MATCH(AG73,Settings!$B$14:$B$33,0))&amp;"",IFERROR(LOOKUP(2^15,SEARCH(Settings!$F$14:$F$43,AG73)/(Settings!$F$14:$F$43&lt;&gt;""),Settings!$G$14:$G$43),"")))</f>
        <v/>
      </c>
    </row>
    <row r="74">
      <c r="A74" t="n">
        <v>72</v>
      </c>
      <c r="B74">
        <f>IFERROR(INDEX(Index!$A$2:$A$202,MATCH(A74,Index!$E$2:$E$202,0)),"")</f>
        <v/>
      </c>
      <c r="D74">
        <f>IF($B74="","",IFERROR(MATCH("Travel*",AI74:BJ74,0),""))</f>
        <v/>
      </c>
      <c r="F74">
        <f>IF(OR($B74="",NOT(ISNUMBER(Settings!$C$9))),"",TRIM(SUBSTITUTE(SUBSTITUTE(INDEX('INPUT - Roster'!$S$1:$SV$206,$B74,Settings!$C$9+0)&amp;"",CHAR(10)," "),CHAR(160)," ")))</f>
        <v/>
      </c>
      <c r="G74">
        <f>IF(OR($B74="",NOT(ISNUMBER(Settings!$C$9))),"",TRIM(SUBSTITUTE(SUBSTITUTE(INDEX('INPUT - Roster'!$S$1:$SV$206,$B74,Settings!$C$9+1)&amp;"",CHAR(10)," "),CHAR(160)," ")))</f>
        <v/>
      </c>
      <c r="H74">
        <f>IF(OR($B74="",NOT(ISNUMBER(Settings!$C$9))),"",TRIM(SUBSTITUTE(SUBSTITUTE(INDEX('INPUT - Roster'!$S$1:$SV$206,$B74,Settings!$C$9+2)&amp;"",CHAR(10)," "),CHAR(160)," ")))</f>
        <v/>
      </c>
      <c r="I74">
        <f>IF(OR($B74="",NOT(ISNUMBER(Settings!$C$9))),"",TRIM(SUBSTITUTE(SUBSTITUTE(INDEX('INPUT - Roster'!$S$1:$SV$206,$B74,Settings!$C$9+3)&amp;"",CHAR(10)," "),CHAR(160)," ")))</f>
        <v/>
      </c>
      <c r="J74">
        <f>IF(OR($B74="",NOT(ISNUMBER(Settings!$C$9))),"",TRIM(SUBSTITUTE(SUBSTITUTE(INDEX('INPUT - Roster'!$S$1:$SV$206,$B74,Settings!$C$9+4)&amp;"",CHAR(10)," "),CHAR(160)," ")))</f>
        <v/>
      </c>
      <c r="K74">
        <f>IF(OR($B74="",NOT(ISNUMBER(Settings!$C$9))),"",TRIM(SUBSTITUTE(SUBSTITUTE(INDEX('INPUT - Roster'!$S$1:$SV$206,$B74,Settings!$C$9+5)&amp;"",CHAR(10)," "),CHAR(160)," ")))</f>
        <v/>
      </c>
      <c r="L74">
        <f>IF(OR($B74="",NOT(ISNUMBER(Settings!$C$9))),"",TRIM(SUBSTITUTE(SUBSTITUTE(INDEX('INPUT - Roster'!$S$1:$SV$206,$B74,Settings!$C$9+6)&amp;"",CHAR(10)," "),CHAR(160)," ")))</f>
        <v/>
      </c>
      <c r="M74">
        <f>IF(OR($B74="",NOT(ISNUMBER(Settings!$C$9))),"",TRIM(SUBSTITUTE(SUBSTITUTE(INDEX('INPUT - Roster'!$S$1:$SV$206,$B74,Settings!$C$9+7)&amp;"",CHAR(10)," "),CHAR(160)," ")))</f>
        <v/>
      </c>
      <c r="N74">
        <f>IF(OR($B74="",NOT(ISNUMBER(Settings!$C$9))),"",TRIM(SUBSTITUTE(SUBSTITUTE(INDEX('INPUT - Roster'!$S$1:$SV$206,$B74,Settings!$C$9+8)&amp;"",CHAR(10)," "),CHAR(160)," ")))</f>
        <v/>
      </c>
      <c r="O74">
        <f>IF(OR($B74="",NOT(ISNUMBER(Settings!$C$9))),"",TRIM(SUBSTITUTE(SUBSTITUTE(INDEX('INPUT - Roster'!$S$1:$SV$206,$B74,Settings!$C$9+9)&amp;"",CHAR(10)," "),CHAR(160)," ")))</f>
        <v/>
      </c>
      <c r="P74">
        <f>IF(OR($B74="",NOT(ISNUMBER(Settings!$C$9))),"",TRIM(SUBSTITUTE(SUBSTITUTE(INDEX('INPUT - Roster'!$S$1:$SV$206,$B74,Settings!$C$9+10)&amp;"",CHAR(10)," "),CHAR(160)," ")))</f>
        <v/>
      </c>
      <c r="Q74">
        <f>IF(OR($B74="",NOT(ISNUMBER(Settings!$C$9))),"",TRIM(SUBSTITUTE(SUBSTITUTE(INDEX('INPUT - Roster'!$S$1:$SV$206,$B74,Settings!$C$9+11)&amp;"",CHAR(10)," "),CHAR(160)," ")))</f>
        <v/>
      </c>
      <c r="R74">
        <f>IF(OR($B74="",NOT(ISNUMBER(Settings!$C$9))),"",TRIM(SUBSTITUTE(SUBSTITUTE(INDEX('INPUT - Roster'!$S$1:$SV$206,$B74,Settings!$C$9+12)&amp;"",CHAR(10)," "),CHAR(160)," ")))</f>
        <v/>
      </c>
      <c r="S74">
        <f>IF(OR($B74="",NOT(ISNUMBER(Settings!$C$9))),"",TRIM(SUBSTITUTE(SUBSTITUTE(INDEX('INPUT - Roster'!$S$1:$SV$206,$B74,Settings!$C$9+13)&amp;"",CHAR(10)," "),CHAR(160)," ")))</f>
        <v/>
      </c>
      <c r="T74">
        <f>IF(OR($B74="",NOT(ISNUMBER(Settings!$C$9))),"",TRIM(SUBSTITUTE(SUBSTITUTE(INDEX('INPUT - Roster'!$S$1:$SV$206,$B74,Settings!$C$9+14)&amp;"",CHAR(10)," "),CHAR(160)," ")))</f>
        <v/>
      </c>
      <c r="U74">
        <f>IF(OR($B74="",NOT(ISNUMBER(Settings!$C$9))),"",TRIM(SUBSTITUTE(SUBSTITUTE(INDEX('INPUT - Roster'!$S$1:$SV$206,$B74,Settings!$C$9+15)&amp;"",CHAR(10)," "),CHAR(160)," ")))</f>
        <v/>
      </c>
      <c r="V74">
        <f>IF(OR($B74="",NOT(ISNUMBER(Settings!$C$9))),"",TRIM(SUBSTITUTE(SUBSTITUTE(INDEX('INPUT - Roster'!$S$1:$SV$206,$B74,Settings!$C$9+16)&amp;"",CHAR(10)," "),CHAR(160)," ")))</f>
        <v/>
      </c>
      <c r="W74">
        <f>IF(OR($B74="",NOT(ISNUMBER(Settings!$C$9))),"",TRIM(SUBSTITUTE(SUBSTITUTE(INDEX('INPUT - Roster'!$S$1:$SV$206,$B74,Settings!$C$9+17)&amp;"",CHAR(10)," "),CHAR(160)," ")))</f>
        <v/>
      </c>
      <c r="X74">
        <f>IF(OR($B74="",NOT(ISNUMBER(Settings!$C$9))),"",TRIM(SUBSTITUTE(SUBSTITUTE(INDEX('INPUT - Roster'!$S$1:$SV$206,$B74,Settings!$C$9+18)&amp;"",CHAR(10)," "),CHAR(160)," ")))</f>
        <v/>
      </c>
      <c r="Y74">
        <f>IF(OR($B74="",NOT(ISNUMBER(Settings!$C$9))),"",TRIM(SUBSTITUTE(SUBSTITUTE(INDEX('INPUT - Roster'!$S$1:$SV$206,$B74,Settings!$C$9+19)&amp;"",CHAR(10)," "),CHAR(160)," ")))</f>
        <v/>
      </c>
      <c r="Z74">
        <f>IF(OR($B74="",NOT(ISNUMBER(Settings!$C$9))),"",TRIM(SUBSTITUTE(SUBSTITUTE(INDEX('INPUT - Roster'!$S$1:$SV$206,$B74,Settings!$C$9+20)&amp;"",CHAR(10)," "),CHAR(160)," ")))</f>
        <v/>
      </c>
      <c r="AA74">
        <f>IF(OR($B74="",NOT(ISNUMBER(Settings!$C$9))),"",TRIM(SUBSTITUTE(SUBSTITUTE(INDEX('INPUT - Roster'!$S$1:$SV$206,$B74,Settings!$C$9+21)&amp;"",CHAR(10)," "),CHAR(160)," ")))</f>
        <v/>
      </c>
      <c r="AB74">
        <f>IF(OR($B74="",NOT(ISNUMBER(Settings!$C$9))),"",TRIM(SUBSTITUTE(SUBSTITUTE(INDEX('INPUT - Roster'!$S$1:$SV$206,$B74,Settings!$C$9+22)&amp;"",CHAR(10)," "),CHAR(160)," ")))</f>
        <v/>
      </c>
      <c r="AC74">
        <f>IF(OR($B74="",NOT(ISNUMBER(Settings!$C$9))),"",TRIM(SUBSTITUTE(SUBSTITUTE(INDEX('INPUT - Roster'!$S$1:$SV$206,$B74,Settings!$C$9+23)&amp;"",CHAR(10)," "),CHAR(160)," ")))</f>
        <v/>
      </c>
      <c r="AD74">
        <f>IF(OR($B74="",NOT(ISNUMBER(Settings!$C$9))),"",TRIM(SUBSTITUTE(SUBSTITUTE(INDEX('INPUT - Roster'!$S$1:$SV$206,$B74,Settings!$C$9+24)&amp;"",CHAR(10)," "),CHAR(160)," ")))</f>
        <v/>
      </c>
      <c r="AE74">
        <f>IF(OR($B74="",NOT(ISNUMBER(Settings!$C$9))),"",TRIM(SUBSTITUTE(SUBSTITUTE(INDEX('INPUT - Roster'!$S$1:$SV$206,$B74,Settings!$C$9+25)&amp;"",CHAR(10)," "),CHAR(160)," ")))</f>
        <v/>
      </c>
      <c r="AF74">
        <f>IF(OR($B74="",NOT(ISNUMBER(Settings!$C$9))),"",TRIM(SUBSTITUTE(SUBSTITUTE(INDEX('INPUT - Roster'!$S$1:$SV$206,$B74,Settings!$C$9+26)&amp;"",CHAR(10)," "),CHAR(160)," ")))</f>
        <v/>
      </c>
      <c r="AG74">
        <f>IF(OR($B74="",NOT(ISNUMBER(Settings!$C$9))),"",TRIM(SUBSTITUTE(SUBSTITUTE(INDEX('INPUT - Roster'!$S$1:$SV$206,$B74,Settings!$C$9+27)&amp;"",CHAR(10)," "),CHAR(160)," ")))</f>
        <v/>
      </c>
      <c r="AI74">
        <f>IF($B74="","",IF(F74="","Not rostered",IFERROR(INDEX(Settings!$C$14:$C$33,MATCH(F74,Settings!$B$14:$B$33,0)),IFERROR(LOOKUP(2^15,SEARCH(Settings!$I$14:$I$83,F74)/(Settings!$I$14:$I$83&lt;&gt;""),Settings!$J$14:$J$83),"Other"))))</f>
        <v/>
      </c>
      <c r="AJ74">
        <f>IF($B74="","",IF(G74="","Not rostered",IFERROR(INDEX(Settings!$C$14:$C$33,MATCH(G74,Settings!$B$14:$B$33,0)),IFERROR(LOOKUP(2^15,SEARCH(Settings!$I$14:$I$83,G74)/(Settings!$I$14:$I$83&lt;&gt;""),Settings!$J$14:$J$83),"Other"))))</f>
        <v/>
      </c>
      <c r="AK74">
        <f>IF($B74="","",IF(H74="","Not rostered",IFERROR(INDEX(Settings!$C$14:$C$33,MATCH(H74,Settings!$B$14:$B$33,0)),IFERROR(LOOKUP(2^15,SEARCH(Settings!$I$14:$I$83,H74)/(Settings!$I$14:$I$83&lt;&gt;""),Settings!$J$14:$J$83),"Other"))))</f>
        <v/>
      </c>
      <c r="AL74">
        <f>IF($B74="","",IF(I74="","Not rostered",IFERROR(INDEX(Settings!$C$14:$C$33,MATCH(I74,Settings!$B$14:$B$33,0)),IFERROR(LOOKUP(2^15,SEARCH(Settings!$I$14:$I$83,I74)/(Settings!$I$14:$I$83&lt;&gt;""),Settings!$J$14:$J$83),"Other"))))</f>
        <v/>
      </c>
      <c r="AM74">
        <f>IF($B74="","",IF(J74="","Not rostered",IFERROR(INDEX(Settings!$C$14:$C$33,MATCH(J74,Settings!$B$14:$B$33,0)),IFERROR(LOOKUP(2^15,SEARCH(Settings!$I$14:$I$83,J74)/(Settings!$I$14:$I$83&lt;&gt;""),Settings!$J$14:$J$83),"Other"))))</f>
        <v/>
      </c>
      <c r="AN74">
        <f>IF($B74="","",IF(K74="","Not rostered",IFERROR(INDEX(Settings!$C$14:$C$33,MATCH(K74,Settings!$B$14:$B$33,0)),IFERROR(LOOKUP(2^15,SEARCH(Settings!$I$14:$I$83,K74)/(Settings!$I$14:$I$83&lt;&gt;""),Settings!$J$14:$J$83),"Other"))))</f>
        <v/>
      </c>
      <c r="AO74">
        <f>IF($B74="","",IF(L74="","Not rostered",IFERROR(INDEX(Settings!$C$14:$C$33,MATCH(L74,Settings!$B$14:$B$33,0)),IFERROR(LOOKUP(2^15,SEARCH(Settings!$I$14:$I$83,L74)/(Settings!$I$14:$I$83&lt;&gt;""),Settings!$J$14:$J$83),"Other"))))</f>
        <v/>
      </c>
      <c r="AP74">
        <f>IF($B74="","",IF(M74="","Not rostered",IFERROR(INDEX(Settings!$C$14:$C$33,MATCH(M74,Settings!$B$14:$B$33,0)),IFERROR(LOOKUP(2^15,SEARCH(Settings!$I$14:$I$83,M74)/(Settings!$I$14:$I$83&lt;&gt;""),Settings!$J$14:$J$83),"Other"))))</f>
        <v/>
      </c>
      <c r="AQ74">
        <f>IF($B74="","",IF(N74="","Not rostered",IFERROR(INDEX(Settings!$C$14:$C$33,MATCH(N74,Settings!$B$14:$B$33,0)),IFERROR(LOOKUP(2^15,SEARCH(Settings!$I$14:$I$83,N74)/(Settings!$I$14:$I$83&lt;&gt;""),Settings!$J$14:$J$83),"Other"))))</f>
        <v/>
      </c>
      <c r="AR74">
        <f>IF($B74="","",IF(O74="","Not rostered",IFERROR(INDEX(Settings!$C$14:$C$33,MATCH(O74,Settings!$B$14:$B$33,0)),IFERROR(LOOKUP(2^15,SEARCH(Settings!$I$14:$I$83,O74)/(Settings!$I$14:$I$83&lt;&gt;""),Settings!$J$14:$J$83),"Other"))))</f>
        <v/>
      </c>
      <c r="AS74">
        <f>IF($B74="","",IF(P74="","Not rostered",IFERROR(INDEX(Settings!$C$14:$C$33,MATCH(P74,Settings!$B$14:$B$33,0)),IFERROR(LOOKUP(2^15,SEARCH(Settings!$I$14:$I$83,P74)/(Settings!$I$14:$I$83&lt;&gt;""),Settings!$J$14:$J$83),"Other"))))</f>
        <v/>
      </c>
      <c r="AT74">
        <f>IF($B74="","",IF(Q74="","Not rostered",IFERROR(INDEX(Settings!$C$14:$C$33,MATCH(Q74,Settings!$B$14:$B$33,0)),IFERROR(LOOKUP(2^15,SEARCH(Settings!$I$14:$I$83,Q74)/(Settings!$I$14:$I$83&lt;&gt;""),Settings!$J$14:$J$83),"Other"))))</f>
        <v/>
      </c>
      <c r="AU74">
        <f>IF($B74="","",IF(R74="","Not rostered",IFERROR(INDEX(Settings!$C$14:$C$33,MATCH(R74,Settings!$B$14:$B$33,0)),IFERROR(LOOKUP(2^15,SEARCH(Settings!$I$14:$I$83,R74)/(Settings!$I$14:$I$83&lt;&gt;""),Settings!$J$14:$J$83),"Other"))))</f>
        <v/>
      </c>
      <c r="AV74">
        <f>IF($B74="","",IF(S74="","Not rostered",IFERROR(INDEX(Settings!$C$14:$C$33,MATCH(S74,Settings!$B$14:$B$33,0)),IFERROR(LOOKUP(2^15,SEARCH(Settings!$I$14:$I$83,S74)/(Settings!$I$14:$I$83&lt;&gt;""),Settings!$J$14:$J$83),"Other"))))</f>
        <v/>
      </c>
      <c r="AW74">
        <f>IF($B74="","",IF(T74="","Not rostered",IFERROR(INDEX(Settings!$C$14:$C$33,MATCH(T74,Settings!$B$14:$B$33,0)),IFERROR(LOOKUP(2^15,SEARCH(Settings!$I$14:$I$83,T74)/(Settings!$I$14:$I$83&lt;&gt;""),Settings!$J$14:$J$83),"Other"))))</f>
        <v/>
      </c>
      <c r="AX74">
        <f>IF($B74="","",IF(U74="","Not rostered",IFERROR(INDEX(Settings!$C$14:$C$33,MATCH(U74,Settings!$B$14:$B$33,0)),IFERROR(LOOKUP(2^15,SEARCH(Settings!$I$14:$I$83,U74)/(Settings!$I$14:$I$83&lt;&gt;""),Settings!$J$14:$J$83),"Other"))))</f>
        <v/>
      </c>
      <c r="AY74">
        <f>IF($B74="","",IF(V74="","Not rostered",IFERROR(INDEX(Settings!$C$14:$C$33,MATCH(V74,Settings!$B$14:$B$33,0)),IFERROR(LOOKUP(2^15,SEARCH(Settings!$I$14:$I$83,V74)/(Settings!$I$14:$I$83&lt;&gt;""),Settings!$J$14:$J$83),"Other"))))</f>
        <v/>
      </c>
      <c r="AZ74">
        <f>IF($B74="","",IF(W74="","Not rostered",IFERROR(INDEX(Settings!$C$14:$C$33,MATCH(W74,Settings!$B$14:$B$33,0)),IFERROR(LOOKUP(2^15,SEARCH(Settings!$I$14:$I$83,W74)/(Settings!$I$14:$I$83&lt;&gt;""),Settings!$J$14:$J$83),"Other"))))</f>
        <v/>
      </c>
      <c r="BA74">
        <f>IF($B74="","",IF(X74="","Not rostered",IFERROR(INDEX(Settings!$C$14:$C$33,MATCH(X74,Settings!$B$14:$B$33,0)),IFERROR(LOOKUP(2^15,SEARCH(Settings!$I$14:$I$83,X74)/(Settings!$I$14:$I$83&lt;&gt;""),Settings!$J$14:$J$83),"Other"))))</f>
        <v/>
      </c>
      <c r="BB74">
        <f>IF($B74="","",IF(Y74="","Not rostered",IFERROR(INDEX(Settings!$C$14:$C$33,MATCH(Y74,Settings!$B$14:$B$33,0)),IFERROR(LOOKUP(2^15,SEARCH(Settings!$I$14:$I$83,Y74)/(Settings!$I$14:$I$83&lt;&gt;""),Settings!$J$14:$J$83),"Other"))))</f>
        <v/>
      </c>
      <c r="BC74">
        <f>IF($B74="","",IF(Z74="","Not rostered",IFERROR(INDEX(Settings!$C$14:$C$33,MATCH(Z74,Settings!$B$14:$B$33,0)),IFERROR(LOOKUP(2^15,SEARCH(Settings!$I$14:$I$83,Z74)/(Settings!$I$14:$I$83&lt;&gt;""),Settings!$J$14:$J$83),"Other"))))</f>
        <v/>
      </c>
      <c r="BD74">
        <f>IF($B74="","",IF(AA74="","Not rostered",IFERROR(INDEX(Settings!$C$14:$C$33,MATCH(AA74,Settings!$B$14:$B$33,0)),IFERROR(LOOKUP(2^15,SEARCH(Settings!$I$14:$I$83,AA74)/(Settings!$I$14:$I$83&lt;&gt;""),Settings!$J$14:$J$83),"Other"))))</f>
        <v/>
      </c>
      <c r="BE74">
        <f>IF($B74="","",IF(AB74="","Not rostered",IFERROR(INDEX(Settings!$C$14:$C$33,MATCH(AB74,Settings!$B$14:$B$33,0)),IFERROR(LOOKUP(2^15,SEARCH(Settings!$I$14:$I$83,AB74)/(Settings!$I$14:$I$83&lt;&gt;""),Settings!$J$14:$J$83),"Other"))))</f>
        <v/>
      </c>
      <c r="BF74">
        <f>IF($B74="","",IF(AC74="","Not rostered",IFERROR(INDEX(Settings!$C$14:$C$33,MATCH(AC74,Settings!$B$14:$B$33,0)),IFERROR(LOOKUP(2^15,SEARCH(Settings!$I$14:$I$83,AC74)/(Settings!$I$14:$I$83&lt;&gt;""),Settings!$J$14:$J$83),"Other"))))</f>
        <v/>
      </c>
      <c r="BG74">
        <f>IF($B74="","",IF(AD74="","Not rostered",IFERROR(INDEX(Settings!$C$14:$C$33,MATCH(AD74,Settings!$B$14:$B$33,0)),IFERROR(LOOKUP(2^15,SEARCH(Settings!$I$14:$I$83,AD74)/(Settings!$I$14:$I$83&lt;&gt;""),Settings!$J$14:$J$83),"Other"))))</f>
        <v/>
      </c>
      <c r="BH74">
        <f>IF($B74="","",IF(AE74="","Not rostered",IFERROR(INDEX(Settings!$C$14:$C$33,MATCH(AE74,Settings!$B$14:$B$33,0)),IFERROR(LOOKUP(2^15,SEARCH(Settings!$I$14:$I$83,AE74)/(Settings!$I$14:$I$83&lt;&gt;""),Settings!$J$14:$J$83),"Other"))))</f>
        <v/>
      </c>
      <c r="BI74">
        <f>IF($B74="","",IF(AF74="","Not rostered",IFERROR(INDEX(Settings!$C$14:$C$33,MATCH(AF74,Settings!$B$14:$B$33,0)),IFERROR(LOOKUP(2^15,SEARCH(Settings!$I$14:$I$83,AF74)/(Settings!$I$14:$I$83&lt;&gt;""),Settings!$J$14:$J$83),"Other"))))</f>
        <v/>
      </c>
      <c r="BJ74">
        <f>IF($B74="","",IF(AG74="","Not rostered",IFERROR(INDEX(Settings!$C$14:$C$33,MATCH(AG74,Settings!$B$14:$B$33,0)),IFERROR(LOOKUP(2^15,SEARCH(Settings!$I$14:$I$83,AG74)/(Settings!$I$14:$I$83&lt;&gt;""),Settings!$J$14:$J$83),"Other"))))</f>
        <v/>
      </c>
      <c r="BL74">
        <f>IF(OR($B74="",F74=""),"",IFERROR(INDEX(Settings!$D$14:$D$33,MATCH(F74,Settings!$B$14:$B$33,0))&amp;"",IFERROR(LOOKUP(2^15,SEARCH(Settings!$F$14:$F$43,F74)/(Settings!$F$14:$F$43&lt;&gt;""),Settings!$G$14:$G$43),"")))</f>
        <v/>
      </c>
      <c r="BM74">
        <f>IF(OR($B74="",G74=""),"",IFERROR(INDEX(Settings!$D$14:$D$33,MATCH(G74,Settings!$B$14:$B$33,0))&amp;"",IFERROR(LOOKUP(2^15,SEARCH(Settings!$F$14:$F$43,G74)/(Settings!$F$14:$F$43&lt;&gt;""),Settings!$G$14:$G$43),"")))</f>
        <v/>
      </c>
      <c r="BN74">
        <f>IF(OR($B74="",H74=""),"",IFERROR(INDEX(Settings!$D$14:$D$33,MATCH(H74,Settings!$B$14:$B$33,0))&amp;"",IFERROR(LOOKUP(2^15,SEARCH(Settings!$F$14:$F$43,H74)/(Settings!$F$14:$F$43&lt;&gt;""),Settings!$G$14:$G$43),"")))</f>
        <v/>
      </c>
      <c r="BO74">
        <f>IF(OR($B74="",I74=""),"",IFERROR(INDEX(Settings!$D$14:$D$33,MATCH(I74,Settings!$B$14:$B$33,0))&amp;"",IFERROR(LOOKUP(2^15,SEARCH(Settings!$F$14:$F$43,I74)/(Settings!$F$14:$F$43&lt;&gt;""),Settings!$G$14:$G$43),"")))</f>
        <v/>
      </c>
      <c r="BP74">
        <f>IF(OR($B74="",J74=""),"",IFERROR(INDEX(Settings!$D$14:$D$33,MATCH(J74,Settings!$B$14:$B$33,0))&amp;"",IFERROR(LOOKUP(2^15,SEARCH(Settings!$F$14:$F$43,J74)/(Settings!$F$14:$F$43&lt;&gt;""),Settings!$G$14:$G$43),"")))</f>
        <v/>
      </c>
      <c r="BQ74">
        <f>IF(OR($B74="",K74=""),"",IFERROR(INDEX(Settings!$D$14:$D$33,MATCH(K74,Settings!$B$14:$B$33,0))&amp;"",IFERROR(LOOKUP(2^15,SEARCH(Settings!$F$14:$F$43,K74)/(Settings!$F$14:$F$43&lt;&gt;""),Settings!$G$14:$G$43),"")))</f>
        <v/>
      </c>
      <c r="BR74">
        <f>IF(OR($B74="",L74=""),"",IFERROR(INDEX(Settings!$D$14:$D$33,MATCH(L74,Settings!$B$14:$B$33,0))&amp;"",IFERROR(LOOKUP(2^15,SEARCH(Settings!$F$14:$F$43,L74)/(Settings!$F$14:$F$43&lt;&gt;""),Settings!$G$14:$G$43),"")))</f>
        <v/>
      </c>
      <c r="BS74">
        <f>IF(OR($B74="",M74=""),"",IFERROR(INDEX(Settings!$D$14:$D$33,MATCH(M74,Settings!$B$14:$B$33,0))&amp;"",IFERROR(LOOKUP(2^15,SEARCH(Settings!$F$14:$F$43,M74)/(Settings!$F$14:$F$43&lt;&gt;""),Settings!$G$14:$G$43),"")))</f>
        <v/>
      </c>
      <c r="BT74">
        <f>IF(OR($B74="",N74=""),"",IFERROR(INDEX(Settings!$D$14:$D$33,MATCH(N74,Settings!$B$14:$B$33,0))&amp;"",IFERROR(LOOKUP(2^15,SEARCH(Settings!$F$14:$F$43,N74)/(Settings!$F$14:$F$43&lt;&gt;""),Settings!$G$14:$G$43),"")))</f>
        <v/>
      </c>
      <c r="BU74">
        <f>IF(OR($B74="",O74=""),"",IFERROR(INDEX(Settings!$D$14:$D$33,MATCH(O74,Settings!$B$14:$B$33,0))&amp;"",IFERROR(LOOKUP(2^15,SEARCH(Settings!$F$14:$F$43,O74)/(Settings!$F$14:$F$43&lt;&gt;""),Settings!$G$14:$G$43),"")))</f>
        <v/>
      </c>
      <c r="BV74">
        <f>IF(OR($B74="",P74=""),"",IFERROR(INDEX(Settings!$D$14:$D$33,MATCH(P74,Settings!$B$14:$B$33,0))&amp;"",IFERROR(LOOKUP(2^15,SEARCH(Settings!$F$14:$F$43,P74)/(Settings!$F$14:$F$43&lt;&gt;""),Settings!$G$14:$G$43),"")))</f>
        <v/>
      </c>
      <c r="BW74">
        <f>IF(OR($B74="",Q74=""),"",IFERROR(INDEX(Settings!$D$14:$D$33,MATCH(Q74,Settings!$B$14:$B$33,0))&amp;"",IFERROR(LOOKUP(2^15,SEARCH(Settings!$F$14:$F$43,Q74)/(Settings!$F$14:$F$43&lt;&gt;""),Settings!$G$14:$G$43),"")))</f>
        <v/>
      </c>
      <c r="BX74">
        <f>IF(OR($B74="",R74=""),"",IFERROR(INDEX(Settings!$D$14:$D$33,MATCH(R74,Settings!$B$14:$B$33,0))&amp;"",IFERROR(LOOKUP(2^15,SEARCH(Settings!$F$14:$F$43,R74)/(Settings!$F$14:$F$43&lt;&gt;""),Settings!$G$14:$G$43),"")))</f>
        <v/>
      </c>
      <c r="BY74">
        <f>IF(OR($B74="",S74=""),"",IFERROR(INDEX(Settings!$D$14:$D$33,MATCH(S74,Settings!$B$14:$B$33,0))&amp;"",IFERROR(LOOKUP(2^15,SEARCH(Settings!$F$14:$F$43,S74)/(Settings!$F$14:$F$43&lt;&gt;""),Settings!$G$14:$G$43),"")))</f>
        <v/>
      </c>
      <c r="BZ74">
        <f>IF(OR($B74="",T74=""),"",IFERROR(INDEX(Settings!$D$14:$D$33,MATCH(T74,Settings!$B$14:$B$33,0))&amp;"",IFERROR(LOOKUP(2^15,SEARCH(Settings!$F$14:$F$43,T74)/(Settings!$F$14:$F$43&lt;&gt;""),Settings!$G$14:$G$43),"")))</f>
        <v/>
      </c>
      <c r="CA74">
        <f>IF(OR($B74="",U74=""),"",IFERROR(INDEX(Settings!$D$14:$D$33,MATCH(U74,Settings!$B$14:$B$33,0))&amp;"",IFERROR(LOOKUP(2^15,SEARCH(Settings!$F$14:$F$43,U74)/(Settings!$F$14:$F$43&lt;&gt;""),Settings!$G$14:$G$43),"")))</f>
        <v/>
      </c>
      <c r="CB74">
        <f>IF(OR($B74="",V74=""),"",IFERROR(INDEX(Settings!$D$14:$D$33,MATCH(V74,Settings!$B$14:$B$33,0))&amp;"",IFERROR(LOOKUP(2^15,SEARCH(Settings!$F$14:$F$43,V74)/(Settings!$F$14:$F$43&lt;&gt;""),Settings!$G$14:$G$43),"")))</f>
        <v/>
      </c>
      <c r="CC74">
        <f>IF(OR($B74="",W74=""),"",IFERROR(INDEX(Settings!$D$14:$D$33,MATCH(W74,Settings!$B$14:$B$33,0))&amp;"",IFERROR(LOOKUP(2^15,SEARCH(Settings!$F$14:$F$43,W74)/(Settings!$F$14:$F$43&lt;&gt;""),Settings!$G$14:$G$43),"")))</f>
        <v/>
      </c>
      <c r="CD74">
        <f>IF(OR($B74="",X74=""),"",IFERROR(INDEX(Settings!$D$14:$D$33,MATCH(X74,Settings!$B$14:$B$33,0))&amp;"",IFERROR(LOOKUP(2^15,SEARCH(Settings!$F$14:$F$43,X74)/(Settings!$F$14:$F$43&lt;&gt;""),Settings!$G$14:$G$43),"")))</f>
        <v/>
      </c>
      <c r="CE74">
        <f>IF(OR($B74="",Y74=""),"",IFERROR(INDEX(Settings!$D$14:$D$33,MATCH(Y74,Settings!$B$14:$B$33,0))&amp;"",IFERROR(LOOKUP(2^15,SEARCH(Settings!$F$14:$F$43,Y74)/(Settings!$F$14:$F$43&lt;&gt;""),Settings!$G$14:$G$43),"")))</f>
        <v/>
      </c>
      <c r="CF74">
        <f>IF(OR($B74="",Z74=""),"",IFERROR(INDEX(Settings!$D$14:$D$33,MATCH(Z74,Settings!$B$14:$B$33,0))&amp;"",IFERROR(LOOKUP(2^15,SEARCH(Settings!$F$14:$F$43,Z74)/(Settings!$F$14:$F$43&lt;&gt;""),Settings!$G$14:$G$43),"")))</f>
        <v/>
      </c>
      <c r="CG74">
        <f>IF(OR($B74="",AA74=""),"",IFERROR(INDEX(Settings!$D$14:$D$33,MATCH(AA74,Settings!$B$14:$B$33,0))&amp;"",IFERROR(LOOKUP(2^15,SEARCH(Settings!$F$14:$F$43,AA74)/(Settings!$F$14:$F$43&lt;&gt;""),Settings!$G$14:$G$43),"")))</f>
        <v/>
      </c>
      <c r="CH74">
        <f>IF(OR($B74="",AB74=""),"",IFERROR(INDEX(Settings!$D$14:$D$33,MATCH(AB74,Settings!$B$14:$B$33,0))&amp;"",IFERROR(LOOKUP(2^15,SEARCH(Settings!$F$14:$F$43,AB74)/(Settings!$F$14:$F$43&lt;&gt;""),Settings!$G$14:$G$43),"")))</f>
        <v/>
      </c>
      <c r="CI74">
        <f>IF(OR($B74="",AC74=""),"",IFERROR(INDEX(Settings!$D$14:$D$33,MATCH(AC74,Settings!$B$14:$B$33,0))&amp;"",IFERROR(LOOKUP(2^15,SEARCH(Settings!$F$14:$F$43,AC74)/(Settings!$F$14:$F$43&lt;&gt;""),Settings!$G$14:$G$43),"")))</f>
        <v/>
      </c>
      <c r="CJ74">
        <f>IF(OR($B74="",AD74=""),"",IFERROR(INDEX(Settings!$D$14:$D$33,MATCH(AD74,Settings!$B$14:$B$33,0))&amp;"",IFERROR(LOOKUP(2^15,SEARCH(Settings!$F$14:$F$43,AD74)/(Settings!$F$14:$F$43&lt;&gt;""),Settings!$G$14:$G$43),"")))</f>
        <v/>
      </c>
      <c r="CK74">
        <f>IF(OR($B74="",AE74=""),"",IFERROR(INDEX(Settings!$D$14:$D$33,MATCH(AE74,Settings!$B$14:$B$33,0))&amp;"",IFERROR(LOOKUP(2^15,SEARCH(Settings!$F$14:$F$43,AE74)/(Settings!$F$14:$F$43&lt;&gt;""),Settings!$G$14:$G$43),"")))</f>
        <v/>
      </c>
      <c r="CL74">
        <f>IF(OR($B74="",AF74=""),"",IFERROR(INDEX(Settings!$D$14:$D$33,MATCH(AF74,Settings!$B$14:$B$33,0))&amp;"",IFERROR(LOOKUP(2^15,SEARCH(Settings!$F$14:$F$43,AF74)/(Settings!$F$14:$F$43&lt;&gt;""),Settings!$G$14:$G$43),"")))</f>
        <v/>
      </c>
      <c r="CM74">
        <f>IF(OR($B74="",AG74=""),"",IFERROR(INDEX(Settings!$D$14:$D$33,MATCH(AG74,Settings!$B$14:$B$33,0))&amp;"",IFERROR(LOOKUP(2^15,SEARCH(Settings!$F$14:$F$43,AG74)/(Settings!$F$14:$F$43&lt;&gt;""),Settings!$G$14:$G$43),"")))</f>
        <v/>
      </c>
    </row>
    <row r="75">
      <c r="A75" t="n">
        <v>73</v>
      </c>
      <c r="B75">
        <f>IFERROR(INDEX(Index!$A$2:$A$202,MATCH(A75,Index!$E$2:$E$202,0)),"")</f>
        <v/>
      </c>
      <c r="D75">
        <f>IF($B75="","",IFERROR(MATCH("Travel*",AI75:BJ75,0),""))</f>
        <v/>
      </c>
      <c r="F75">
        <f>IF(OR($B75="",NOT(ISNUMBER(Settings!$C$9))),"",TRIM(SUBSTITUTE(SUBSTITUTE(INDEX('INPUT - Roster'!$S$1:$SV$206,$B75,Settings!$C$9+0)&amp;"",CHAR(10)," "),CHAR(160)," ")))</f>
        <v/>
      </c>
      <c r="G75">
        <f>IF(OR($B75="",NOT(ISNUMBER(Settings!$C$9))),"",TRIM(SUBSTITUTE(SUBSTITUTE(INDEX('INPUT - Roster'!$S$1:$SV$206,$B75,Settings!$C$9+1)&amp;"",CHAR(10)," "),CHAR(160)," ")))</f>
        <v/>
      </c>
      <c r="H75">
        <f>IF(OR($B75="",NOT(ISNUMBER(Settings!$C$9))),"",TRIM(SUBSTITUTE(SUBSTITUTE(INDEX('INPUT - Roster'!$S$1:$SV$206,$B75,Settings!$C$9+2)&amp;"",CHAR(10)," "),CHAR(160)," ")))</f>
        <v/>
      </c>
      <c r="I75">
        <f>IF(OR($B75="",NOT(ISNUMBER(Settings!$C$9))),"",TRIM(SUBSTITUTE(SUBSTITUTE(INDEX('INPUT - Roster'!$S$1:$SV$206,$B75,Settings!$C$9+3)&amp;"",CHAR(10)," "),CHAR(160)," ")))</f>
        <v/>
      </c>
      <c r="J75">
        <f>IF(OR($B75="",NOT(ISNUMBER(Settings!$C$9))),"",TRIM(SUBSTITUTE(SUBSTITUTE(INDEX('INPUT - Roster'!$S$1:$SV$206,$B75,Settings!$C$9+4)&amp;"",CHAR(10)," "),CHAR(160)," ")))</f>
        <v/>
      </c>
      <c r="K75">
        <f>IF(OR($B75="",NOT(ISNUMBER(Settings!$C$9))),"",TRIM(SUBSTITUTE(SUBSTITUTE(INDEX('INPUT - Roster'!$S$1:$SV$206,$B75,Settings!$C$9+5)&amp;"",CHAR(10)," "),CHAR(160)," ")))</f>
        <v/>
      </c>
      <c r="L75">
        <f>IF(OR($B75="",NOT(ISNUMBER(Settings!$C$9))),"",TRIM(SUBSTITUTE(SUBSTITUTE(INDEX('INPUT - Roster'!$S$1:$SV$206,$B75,Settings!$C$9+6)&amp;"",CHAR(10)," "),CHAR(160)," ")))</f>
        <v/>
      </c>
      <c r="M75">
        <f>IF(OR($B75="",NOT(ISNUMBER(Settings!$C$9))),"",TRIM(SUBSTITUTE(SUBSTITUTE(INDEX('INPUT - Roster'!$S$1:$SV$206,$B75,Settings!$C$9+7)&amp;"",CHAR(10)," "),CHAR(160)," ")))</f>
        <v/>
      </c>
      <c r="N75">
        <f>IF(OR($B75="",NOT(ISNUMBER(Settings!$C$9))),"",TRIM(SUBSTITUTE(SUBSTITUTE(INDEX('INPUT - Roster'!$S$1:$SV$206,$B75,Settings!$C$9+8)&amp;"",CHAR(10)," "),CHAR(160)," ")))</f>
        <v/>
      </c>
      <c r="O75">
        <f>IF(OR($B75="",NOT(ISNUMBER(Settings!$C$9))),"",TRIM(SUBSTITUTE(SUBSTITUTE(INDEX('INPUT - Roster'!$S$1:$SV$206,$B75,Settings!$C$9+9)&amp;"",CHAR(10)," "),CHAR(160)," ")))</f>
        <v/>
      </c>
      <c r="P75">
        <f>IF(OR($B75="",NOT(ISNUMBER(Settings!$C$9))),"",TRIM(SUBSTITUTE(SUBSTITUTE(INDEX('INPUT - Roster'!$S$1:$SV$206,$B75,Settings!$C$9+10)&amp;"",CHAR(10)," "),CHAR(160)," ")))</f>
        <v/>
      </c>
      <c r="Q75">
        <f>IF(OR($B75="",NOT(ISNUMBER(Settings!$C$9))),"",TRIM(SUBSTITUTE(SUBSTITUTE(INDEX('INPUT - Roster'!$S$1:$SV$206,$B75,Settings!$C$9+11)&amp;"",CHAR(10)," "),CHAR(160)," ")))</f>
        <v/>
      </c>
      <c r="R75">
        <f>IF(OR($B75="",NOT(ISNUMBER(Settings!$C$9))),"",TRIM(SUBSTITUTE(SUBSTITUTE(INDEX('INPUT - Roster'!$S$1:$SV$206,$B75,Settings!$C$9+12)&amp;"",CHAR(10)," "),CHAR(160)," ")))</f>
        <v/>
      </c>
      <c r="S75">
        <f>IF(OR($B75="",NOT(ISNUMBER(Settings!$C$9))),"",TRIM(SUBSTITUTE(SUBSTITUTE(INDEX('INPUT - Roster'!$S$1:$SV$206,$B75,Settings!$C$9+13)&amp;"",CHAR(10)," "),CHAR(160)," ")))</f>
        <v/>
      </c>
      <c r="T75">
        <f>IF(OR($B75="",NOT(ISNUMBER(Settings!$C$9))),"",TRIM(SUBSTITUTE(SUBSTITUTE(INDEX('INPUT - Roster'!$S$1:$SV$206,$B75,Settings!$C$9+14)&amp;"",CHAR(10)," "),CHAR(160)," ")))</f>
        <v/>
      </c>
      <c r="U75">
        <f>IF(OR($B75="",NOT(ISNUMBER(Settings!$C$9))),"",TRIM(SUBSTITUTE(SUBSTITUTE(INDEX('INPUT - Roster'!$S$1:$SV$206,$B75,Settings!$C$9+15)&amp;"",CHAR(10)," "),CHAR(160)," ")))</f>
        <v/>
      </c>
      <c r="V75">
        <f>IF(OR($B75="",NOT(ISNUMBER(Settings!$C$9))),"",TRIM(SUBSTITUTE(SUBSTITUTE(INDEX('INPUT - Roster'!$S$1:$SV$206,$B75,Settings!$C$9+16)&amp;"",CHAR(10)," "),CHAR(160)," ")))</f>
        <v/>
      </c>
      <c r="W75">
        <f>IF(OR($B75="",NOT(ISNUMBER(Settings!$C$9))),"",TRIM(SUBSTITUTE(SUBSTITUTE(INDEX('INPUT - Roster'!$S$1:$SV$206,$B75,Settings!$C$9+17)&amp;"",CHAR(10)," "),CHAR(160)," ")))</f>
        <v/>
      </c>
      <c r="X75">
        <f>IF(OR($B75="",NOT(ISNUMBER(Settings!$C$9))),"",TRIM(SUBSTITUTE(SUBSTITUTE(INDEX('INPUT - Roster'!$S$1:$SV$206,$B75,Settings!$C$9+18)&amp;"",CHAR(10)," "),CHAR(160)," ")))</f>
        <v/>
      </c>
      <c r="Y75">
        <f>IF(OR($B75="",NOT(ISNUMBER(Settings!$C$9))),"",TRIM(SUBSTITUTE(SUBSTITUTE(INDEX('INPUT - Roster'!$S$1:$SV$206,$B75,Settings!$C$9+19)&amp;"",CHAR(10)," "),CHAR(160)," ")))</f>
        <v/>
      </c>
      <c r="Z75">
        <f>IF(OR($B75="",NOT(ISNUMBER(Settings!$C$9))),"",TRIM(SUBSTITUTE(SUBSTITUTE(INDEX('INPUT - Roster'!$S$1:$SV$206,$B75,Settings!$C$9+20)&amp;"",CHAR(10)," "),CHAR(160)," ")))</f>
        <v/>
      </c>
      <c r="AA75">
        <f>IF(OR($B75="",NOT(ISNUMBER(Settings!$C$9))),"",TRIM(SUBSTITUTE(SUBSTITUTE(INDEX('INPUT - Roster'!$S$1:$SV$206,$B75,Settings!$C$9+21)&amp;"",CHAR(10)," "),CHAR(160)," ")))</f>
        <v/>
      </c>
      <c r="AB75">
        <f>IF(OR($B75="",NOT(ISNUMBER(Settings!$C$9))),"",TRIM(SUBSTITUTE(SUBSTITUTE(INDEX('INPUT - Roster'!$S$1:$SV$206,$B75,Settings!$C$9+22)&amp;"",CHAR(10)," "),CHAR(160)," ")))</f>
        <v/>
      </c>
      <c r="AC75">
        <f>IF(OR($B75="",NOT(ISNUMBER(Settings!$C$9))),"",TRIM(SUBSTITUTE(SUBSTITUTE(INDEX('INPUT - Roster'!$S$1:$SV$206,$B75,Settings!$C$9+23)&amp;"",CHAR(10)," "),CHAR(160)," ")))</f>
        <v/>
      </c>
      <c r="AD75">
        <f>IF(OR($B75="",NOT(ISNUMBER(Settings!$C$9))),"",TRIM(SUBSTITUTE(SUBSTITUTE(INDEX('INPUT - Roster'!$S$1:$SV$206,$B75,Settings!$C$9+24)&amp;"",CHAR(10)," "),CHAR(160)," ")))</f>
        <v/>
      </c>
      <c r="AE75">
        <f>IF(OR($B75="",NOT(ISNUMBER(Settings!$C$9))),"",TRIM(SUBSTITUTE(SUBSTITUTE(INDEX('INPUT - Roster'!$S$1:$SV$206,$B75,Settings!$C$9+25)&amp;"",CHAR(10)," "),CHAR(160)," ")))</f>
        <v/>
      </c>
      <c r="AF75">
        <f>IF(OR($B75="",NOT(ISNUMBER(Settings!$C$9))),"",TRIM(SUBSTITUTE(SUBSTITUTE(INDEX('INPUT - Roster'!$S$1:$SV$206,$B75,Settings!$C$9+26)&amp;"",CHAR(10)," "),CHAR(160)," ")))</f>
        <v/>
      </c>
      <c r="AG75">
        <f>IF(OR($B75="",NOT(ISNUMBER(Settings!$C$9))),"",TRIM(SUBSTITUTE(SUBSTITUTE(INDEX('INPUT - Roster'!$S$1:$SV$206,$B75,Settings!$C$9+27)&amp;"",CHAR(10)," "),CHAR(160)," ")))</f>
        <v/>
      </c>
      <c r="AI75">
        <f>IF($B75="","",IF(F75="","Not rostered",IFERROR(INDEX(Settings!$C$14:$C$33,MATCH(F75,Settings!$B$14:$B$33,0)),IFERROR(LOOKUP(2^15,SEARCH(Settings!$I$14:$I$83,F75)/(Settings!$I$14:$I$83&lt;&gt;""),Settings!$J$14:$J$83),"Other"))))</f>
        <v/>
      </c>
      <c r="AJ75">
        <f>IF($B75="","",IF(G75="","Not rostered",IFERROR(INDEX(Settings!$C$14:$C$33,MATCH(G75,Settings!$B$14:$B$33,0)),IFERROR(LOOKUP(2^15,SEARCH(Settings!$I$14:$I$83,G75)/(Settings!$I$14:$I$83&lt;&gt;""),Settings!$J$14:$J$83),"Other"))))</f>
        <v/>
      </c>
      <c r="AK75">
        <f>IF($B75="","",IF(H75="","Not rostered",IFERROR(INDEX(Settings!$C$14:$C$33,MATCH(H75,Settings!$B$14:$B$33,0)),IFERROR(LOOKUP(2^15,SEARCH(Settings!$I$14:$I$83,H75)/(Settings!$I$14:$I$83&lt;&gt;""),Settings!$J$14:$J$83),"Other"))))</f>
        <v/>
      </c>
      <c r="AL75">
        <f>IF($B75="","",IF(I75="","Not rostered",IFERROR(INDEX(Settings!$C$14:$C$33,MATCH(I75,Settings!$B$14:$B$33,0)),IFERROR(LOOKUP(2^15,SEARCH(Settings!$I$14:$I$83,I75)/(Settings!$I$14:$I$83&lt;&gt;""),Settings!$J$14:$J$83),"Other"))))</f>
        <v/>
      </c>
      <c r="AM75">
        <f>IF($B75="","",IF(J75="","Not rostered",IFERROR(INDEX(Settings!$C$14:$C$33,MATCH(J75,Settings!$B$14:$B$33,0)),IFERROR(LOOKUP(2^15,SEARCH(Settings!$I$14:$I$83,J75)/(Settings!$I$14:$I$83&lt;&gt;""),Settings!$J$14:$J$83),"Other"))))</f>
        <v/>
      </c>
      <c r="AN75">
        <f>IF($B75="","",IF(K75="","Not rostered",IFERROR(INDEX(Settings!$C$14:$C$33,MATCH(K75,Settings!$B$14:$B$33,0)),IFERROR(LOOKUP(2^15,SEARCH(Settings!$I$14:$I$83,K75)/(Settings!$I$14:$I$83&lt;&gt;""),Settings!$J$14:$J$83),"Other"))))</f>
        <v/>
      </c>
      <c r="AO75">
        <f>IF($B75="","",IF(L75="","Not rostered",IFERROR(INDEX(Settings!$C$14:$C$33,MATCH(L75,Settings!$B$14:$B$33,0)),IFERROR(LOOKUP(2^15,SEARCH(Settings!$I$14:$I$83,L75)/(Settings!$I$14:$I$83&lt;&gt;""),Settings!$J$14:$J$83),"Other"))))</f>
        <v/>
      </c>
      <c r="AP75">
        <f>IF($B75="","",IF(M75="","Not rostered",IFERROR(INDEX(Settings!$C$14:$C$33,MATCH(M75,Settings!$B$14:$B$33,0)),IFERROR(LOOKUP(2^15,SEARCH(Settings!$I$14:$I$83,M75)/(Settings!$I$14:$I$83&lt;&gt;""),Settings!$J$14:$J$83),"Other"))))</f>
        <v/>
      </c>
      <c r="AQ75">
        <f>IF($B75="","",IF(N75="","Not rostered",IFERROR(INDEX(Settings!$C$14:$C$33,MATCH(N75,Settings!$B$14:$B$33,0)),IFERROR(LOOKUP(2^15,SEARCH(Settings!$I$14:$I$83,N75)/(Settings!$I$14:$I$83&lt;&gt;""),Settings!$J$14:$J$83),"Other"))))</f>
        <v/>
      </c>
      <c r="AR75">
        <f>IF($B75="","",IF(O75="","Not rostered",IFERROR(INDEX(Settings!$C$14:$C$33,MATCH(O75,Settings!$B$14:$B$33,0)),IFERROR(LOOKUP(2^15,SEARCH(Settings!$I$14:$I$83,O75)/(Settings!$I$14:$I$83&lt;&gt;""),Settings!$J$14:$J$83),"Other"))))</f>
        <v/>
      </c>
      <c r="AS75">
        <f>IF($B75="","",IF(P75="","Not rostered",IFERROR(INDEX(Settings!$C$14:$C$33,MATCH(P75,Settings!$B$14:$B$33,0)),IFERROR(LOOKUP(2^15,SEARCH(Settings!$I$14:$I$83,P75)/(Settings!$I$14:$I$83&lt;&gt;""),Settings!$J$14:$J$83),"Other"))))</f>
        <v/>
      </c>
      <c r="AT75">
        <f>IF($B75="","",IF(Q75="","Not rostered",IFERROR(INDEX(Settings!$C$14:$C$33,MATCH(Q75,Settings!$B$14:$B$33,0)),IFERROR(LOOKUP(2^15,SEARCH(Settings!$I$14:$I$83,Q75)/(Settings!$I$14:$I$83&lt;&gt;""),Settings!$J$14:$J$83),"Other"))))</f>
        <v/>
      </c>
      <c r="AU75">
        <f>IF($B75="","",IF(R75="","Not rostered",IFERROR(INDEX(Settings!$C$14:$C$33,MATCH(R75,Settings!$B$14:$B$33,0)),IFERROR(LOOKUP(2^15,SEARCH(Settings!$I$14:$I$83,R75)/(Settings!$I$14:$I$83&lt;&gt;""),Settings!$J$14:$J$83),"Other"))))</f>
        <v/>
      </c>
      <c r="AV75">
        <f>IF($B75="","",IF(S75="","Not rostered",IFERROR(INDEX(Settings!$C$14:$C$33,MATCH(S75,Settings!$B$14:$B$33,0)),IFERROR(LOOKUP(2^15,SEARCH(Settings!$I$14:$I$83,S75)/(Settings!$I$14:$I$83&lt;&gt;""),Settings!$J$14:$J$83),"Other"))))</f>
        <v/>
      </c>
      <c r="AW75">
        <f>IF($B75="","",IF(T75="","Not rostered",IFERROR(INDEX(Settings!$C$14:$C$33,MATCH(T75,Settings!$B$14:$B$33,0)),IFERROR(LOOKUP(2^15,SEARCH(Settings!$I$14:$I$83,T75)/(Settings!$I$14:$I$83&lt;&gt;""),Settings!$J$14:$J$83),"Other"))))</f>
        <v/>
      </c>
      <c r="AX75">
        <f>IF($B75="","",IF(U75="","Not rostered",IFERROR(INDEX(Settings!$C$14:$C$33,MATCH(U75,Settings!$B$14:$B$33,0)),IFERROR(LOOKUP(2^15,SEARCH(Settings!$I$14:$I$83,U75)/(Settings!$I$14:$I$83&lt;&gt;""),Settings!$J$14:$J$83),"Other"))))</f>
        <v/>
      </c>
      <c r="AY75">
        <f>IF($B75="","",IF(V75="","Not rostered",IFERROR(INDEX(Settings!$C$14:$C$33,MATCH(V75,Settings!$B$14:$B$33,0)),IFERROR(LOOKUP(2^15,SEARCH(Settings!$I$14:$I$83,V75)/(Settings!$I$14:$I$83&lt;&gt;""),Settings!$J$14:$J$83),"Other"))))</f>
        <v/>
      </c>
      <c r="AZ75">
        <f>IF($B75="","",IF(W75="","Not rostered",IFERROR(INDEX(Settings!$C$14:$C$33,MATCH(W75,Settings!$B$14:$B$33,0)),IFERROR(LOOKUP(2^15,SEARCH(Settings!$I$14:$I$83,W75)/(Settings!$I$14:$I$83&lt;&gt;""),Settings!$J$14:$J$83),"Other"))))</f>
        <v/>
      </c>
      <c r="BA75">
        <f>IF($B75="","",IF(X75="","Not rostered",IFERROR(INDEX(Settings!$C$14:$C$33,MATCH(X75,Settings!$B$14:$B$33,0)),IFERROR(LOOKUP(2^15,SEARCH(Settings!$I$14:$I$83,X75)/(Settings!$I$14:$I$83&lt;&gt;""),Settings!$J$14:$J$83),"Other"))))</f>
        <v/>
      </c>
      <c r="BB75">
        <f>IF($B75="","",IF(Y75="","Not rostered",IFERROR(INDEX(Settings!$C$14:$C$33,MATCH(Y75,Settings!$B$14:$B$33,0)),IFERROR(LOOKUP(2^15,SEARCH(Settings!$I$14:$I$83,Y75)/(Settings!$I$14:$I$83&lt;&gt;""),Settings!$J$14:$J$83),"Other"))))</f>
        <v/>
      </c>
      <c r="BC75">
        <f>IF($B75="","",IF(Z75="","Not rostered",IFERROR(INDEX(Settings!$C$14:$C$33,MATCH(Z75,Settings!$B$14:$B$33,0)),IFERROR(LOOKUP(2^15,SEARCH(Settings!$I$14:$I$83,Z75)/(Settings!$I$14:$I$83&lt;&gt;""),Settings!$J$14:$J$83),"Other"))))</f>
        <v/>
      </c>
      <c r="BD75">
        <f>IF($B75="","",IF(AA75="","Not rostered",IFERROR(INDEX(Settings!$C$14:$C$33,MATCH(AA75,Settings!$B$14:$B$33,0)),IFERROR(LOOKUP(2^15,SEARCH(Settings!$I$14:$I$83,AA75)/(Settings!$I$14:$I$83&lt;&gt;""),Settings!$J$14:$J$83),"Other"))))</f>
        <v/>
      </c>
      <c r="BE75">
        <f>IF($B75="","",IF(AB75="","Not rostered",IFERROR(INDEX(Settings!$C$14:$C$33,MATCH(AB75,Settings!$B$14:$B$33,0)),IFERROR(LOOKUP(2^15,SEARCH(Settings!$I$14:$I$83,AB75)/(Settings!$I$14:$I$83&lt;&gt;""),Settings!$J$14:$J$83),"Other"))))</f>
        <v/>
      </c>
      <c r="BF75">
        <f>IF($B75="","",IF(AC75="","Not rostered",IFERROR(INDEX(Settings!$C$14:$C$33,MATCH(AC75,Settings!$B$14:$B$33,0)),IFERROR(LOOKUP(2^15,SEARCH(Settings!$I$14:$I$83,AC75)/(Settings!$I$14:$I$83&lt;&gt;""),Settings!$J$14:$J$83),"Other"))))</f>
        <v/>
      </c>
      <c r="BG75">
        <f>IF($B75="","",IF(AD75="","Not rostered",IFERROR(INDEX(Settings!$C$14:$C$33,MATCH(AD75,Settings!$B$14:$B$33,0)),IFERROR(LOOKUP(2^15,SEARCH(Settings!$I$14:$I$83,AD75)/(Settings!$I$14:$I$83&lt;&gt;""),Settings!$J$14:$J$83),"Other"))))</f>
        <v/>
      </c>
      <c r="BH75">
        <f>IF($B75="","",IF(AE75="","Not rostered",IFERROR(INDEX(Settings!$C$14:$C$33,MATCH(AE75,Settings!$B$14:$B$33,0)),IFERROR(LOOKUP(2^15,SEARCH(Settings!$I$14:$I$83,AE75)/(Settings!$I$14:$I$83&lt;&gt;""),Settings!$J$14:$J$83),"Other"))))</f>
        <v/>
      </c>
      <c r="BI75">
        <f>IF($B75="","",IF(AF75="","Not rostered",IFERROR(INDEX(Settings!$C$14:$C$33,MATCH(AF75,Settings!$B$14:$B$33,0)),IFERROR(LOOKUP(2^15,SEARCH(Settings!$I$14:$I$83,AF75)/(Settings!$I$14:$I$83&lt;&gt;""),Settings!$J$14:$J$83),"Other"))))</f>
        <v/>
      </c>
      <c r="BJ75">
        <f>IF($B75="","",IF(AG75="","Not rostered",IFERROR(INDEX(Settings!$C$14:$C$33,MATCH(AG75,Settings!$B$14:$B$33,0)),IFERROR(LOOKUP(2^15,SEARCH(Settings!$I$14:$I$83,AG75)/(Settings!$I$14:$I$83&lt;&gt;""),Settings!$J$14:$J$83),"Other"))))</f>
        <v/>
      </c>
      <c r="BL75">
        <f>IF(OR($B75="",F75=""),"",IFERROR(INDEX(Settings!$D$14:$D$33,MATCH(F75,Settings!$B$14:$B$33,0))&amp;"",IFERROR(LOOKUP(2^15,SEARCH(Settings!$F$14:$F$43,F75)/(Settings!$F$14:$F$43&lt;&gt;""),Settings!$G$14:$G$43),"")))</f>
        <v/>
      </c>
      <c r="BM75">
        <f>IF(OR($B75="",G75=""),"",IFERROR(INDEX(Settings!$D$14:$D$33,MATCH(G75,Settings!$B$14:$B$33,0))&amp;"",IFERROR(LOOKUP(2^15,SEARCH(Settings!$F$14:$F$43,G75)/(Settings!$F$14:$F$43&lt;&gt;""),Settings!$G$14:$G$43),"")))</f>
        <v/>
      </c>
      <c r="BN75">
        <f>IF(OR($B75="",H75=""),"",IFERROR(INDEX(Settings!$D$14:$D$33,MATCH(H75,Settings!$B$14:$B$33,0))&amp;"",IFERROR(LOOKUP(2^15,SEARCH(Settings!$F$14:$F$43,H75)/(Settings!$F$14:$F$43&lt;&gt;""),Settings!$G$14:$G$43),"")))</f>
        <v/>
      </c>
      <c r="BO75">
        <f>IF(OR($B75="",I75=""),"",IFERROR(INDEX(Settings!$D$14:$D$33,MATCH(I75,Settings!$B$14:$B$33,0))&amp;"",IFERROR(LOOKUP(2^15,SEARCH(Settings!$F$14:$F$43,I75)/(Settings!$F$14:$F$43&lt;&gt;""),Settings!$G$14:$G$43),"")))</f>
        <v/>
      </c>
      <c r="BP75">
        <f>IF(OR($B75="",J75=""),"",IFERROR(INDEX(Settings!$D$14:$D$33,MATCH(J75,Settings!$B$14:$B$33,0))&amp;"",IFERROR(LOOKUP(2^15,SEARCH(Settings!$F$14:$F$43,J75)/(Settings!$F$14:$F$43&lt;&gt;""),Settings!$G$14:$G$43),"")))</f>
        <v/>
      </c>
      <c r="BQ75">
        <f>IF(OR($B75="",K75=""),"",IFERROR(INDEX(Settings!$D$14:$D$33,MATCH(K75,Settings!$B$14:$B$33,0))&amp;"",IFERROR(LOOKUP(2^15,SEARCH(Settings!$F$14:$F$43,K75)/(Settings!$F$14:$F$43&lt;&gt;""),Settings!$G$14:$G$43),"")))</f>
        <v/>
      </c>
      <c r="BR75">
        <f>IF(OR($B75="",L75=""),"",IFERROR(INDEX(Settings!$D$14:$D$33,MATCH(L75,Settings!$B$14:$B$33,0))&amp;"",IFERROR(LOOKUP(2^15,SEARCH(Settings!$F$14:$F$43,L75)/(Settings!$F$14:$F$43&lt;&gt;""),Settings!$G$14:$G$43),"")))</f>
        <v/>
      </c>
      <c r="BS75">
        <f>IF(OR($B75="",M75=""),"",IFERROR(INDEX(Settings!$D$14:$D$33,MATCH(M75,Settings!$B$14:$B$33,0))&amp;"",IFERROR(LOOKUP(2^15,SEARCH(Settings!$F$14:$F$43,M75)/(Settings!$F$14:$F$43&lt;&gt;""),Settings!$G$14:$G$43),"")))</f>
        <v/>
      </c>
      <c r="BT75">
        <f>IF(OR($B75="",N75=""),"",IFERROR(INDEX(Settings!$D$14:$D$33,MATCH(N75,Settings!$B$14:$B$33,0))&amp;"",IFERROR(LOOKUP(2^15,SEARCH(Settings!$F$14:$F$43,N75)/(Settings!$F$14:$F$43&lt;&gt;""),Settings!$G$14:$G$43),"")))</f>
        <v/>
      </c>
      <c r="BU75">
        <f>IF(OR($B75="",O75=""),"",IFERROR(INDEX(Settings!$D$14:$D$33,MATCH(O75,Settings!$B$14:$B$33,0))&amp;"",IFERROR(LOOKUP(2^15,SEARCH(Settings!$F$14:$F$43,O75)/(Settings!$F$14:$F$43&lt;&gt;""),Settings!$G$14:$G$43),"")))</f>
        <v/>
      </c>
      <c r="BV75">
        <f>IF(OR($B75="",P75=""),"",IFERROR(INDEX(Settings!$D$14:$D$33,MATCH(P75,Settings!$B$14:$B$33,0))&amp;"",IFERROR(LOOKUP(2^15,SEARCH(Settings!$F$14:$F$43,P75)/(Settings!$F$14:$F$43&lt;&gt;""),Settings!$G$14:$G$43),"")))</f>
        <v/>
      </c>
      <c r="BW75">
        <f>IF(OR($B75="",Q75=""),"",IFERROR(INDEX(Settings!$D$14:$D$33,MATCH(Q75,Settings!$B$14:$B$33,0))&amp;"",IFERROR(LOOKUP(2^15,SEARCH(Settings!$F$14:$F$43,Q75)/(Settings!$F$14:$F$43&lt;&gt;""),Settings!$G$14:$G$43),"")))</f>
        <v/>
      </c>
      <c r="BX75">
        <f>IF(OR($B75="",R75=""),"",IFERROR(INDEX(Settings!$D$14:$D$33,MATCH(R75,Settings!$B$14:$B$33,0))&amp;"",IFERROR(LOOKUP(2^15,SEARCH(Settings!$F$14:$F$43,R75)/(Settings!$F$14:$F$43&lt;&gt;""),Settings!$G$14:$G$43),"")))</f>
        <v/>
      </c>
      <c r="BY75">
        <f>IF(OR($B75="",S75=""),"",IFERROR(INDEX(Settings!$D$14:$D$33,MATCH(S75,Settings!$B$14:$B$33,0))&amp;"",IFERROR(LOOKUP(2^15,SEARCH(Settings!$F$14:$F$43,S75)/(Settings!$F$14:$F$43&lt;&gt;""),Settings!$G$14:$G$43),"")))</f>
        <v/>
      </c>
      <c r="BZ75">
        <f>IF(OR($B75="",T75=""),"",IFERROR(INDEX(Settings!$D$14:$D$33,MATCH(T75,Settings!$B$14:$B$33,0))&amp;"",IFERROR(LOOKUP(2^15,SEARCH(Settings!$F$14:$F$43,T75)/(Settings!$F$14:$F$43&lt;&gt;""),Settings!$G$14:$G$43),"")))</f>
        <v/>
      </c>
      <c r="CA75">
        <f>IF(OR($B75="",U75=""),"",IFERROR(INDEX(Settings!$D$14:$D$33,MATCH(U75,Settings!$B$14:$B$33,0))&amp;"",IFERROR(LOOKUP(2^15,SEARCH(Settings!$F$14:$F$43,U75)/(Settings!$F$14:$F$43&lt;&gt;""),Settings!$G$14:$G$43),"")))</f>
        <v/>
      </c>
      <c r="CB75">
        <f>IF(OR($B75="",V75=""),"",IFERROR(INDEX(Settings!$D$14:$D$33,MATCH(V75,Settings!$B$14:$B$33,0))&amp;"",IFERROR(LOOKUP(2^15,SEARCH(Settings!$F$14:$F$43,V75)/(Settings!$F$14:$F$43&lt;&gt;""),Settings!$G$14:$G$43),"")))</f>
        <v/>
      </c>
      <c r="CC75">
        <f>IF(OR($B75="",W75=""),"",IFERROR(INDEX(Settings!$D$14:$D$33,MATCH(W75,Settings!$B$14:$B$33,0))&amp;"",IFERROR(LOOKUP(2^15,SEARCH(Settings!$F$14:$F$43,W75)/(Settings!$F$14:$F$43&lt;&gt;""),Settings!$G$14:$G$43),"")))</f>
        <v/>
      </c>
      <c r="CD75">
        <f>IF(OR($B75="",X75=""),"",IFERROR(INDEX(Settings!$D$14:$D$33,MATCH(X75,Settings!$B$14:$B$33,0))&amp;"",IFERROR(LOOKUP(2^15,SEARCH(Settings!$F$14:$F$43,X75)/(Settings!$F$14:$F$43&lt;&gt;""),Settings!$G$14:$G$43),"")))</f>
        <v/>
      </c>
      <c r="CE75">
        <f>IF(OR($B75="",Y75=""),"",IFERROR(INDEX(Settings!$D$14:$D$33,MATCH(Y75,Settings!$B$14:$B$33,0))&amp;"",IFERROR(LOOKUP(2^15,SEARCH(Settings!$F$14:$F$43,Y75)/(Settings!$F$14:$F$43&lt;&gt;""),Settings!$G$14:$G$43),"")))</f>
        <v/>
      </c>
      <c r="CF75">
        <f>IF(OR($B75="",Z75=""),"",IFERROR(INDEX(Settings!$D$14:$D$33,MATCH(Z75,Settings!$B$14:$B$33,0))&amp;"",IFERROR(LOOKUP(2^15,SEARCH(Settings!$F$14:$F$43,Z75)/(Settings!$F$14:$F$43&lt;&gt;""),Settings!$G$14:$G$43),"")))</f>
        <v/>
      </c>
      <c r="CG75">
        <f>IF(OR($B75="",AA75=""),"",IFERROR(INDEX(Settings!$D$14:$D$33,MATCH(AA75,Settings!$B$14:$B$33,0))&amp;"",IFERROR(LOOKUP(2^15,SEARCH(Settings!$F$14:$F$43,AA75)/(Settings!$F$14:$F$43&lt;&gt;""),Settings!$G$14:$G$43),"")))</f>
        <v/>
      </c>
      <c r="CH75">
        <f>IF(OR($B75="",AB75=""),"",IFERROR(INDEX(Settings!$D$14:$D$33,MATCH(AB75,Settings!$B$14:$B$33,0))&amp;"",IFERROR(LOOKUP(2^15,SEARCH(Settings!$F$14:$F$43,AB75)/(Settings!$F$14:$F$43&lt;&gt;""),Settings!$G$14:$G$43),"")))</f>
        <v/>
      </c>
      <c r="CI75">
        <f>IF(OR($B75="",AC75=""),"",IFERROR(INDEX(Settings!$D$14:$D$33,MATCH(AC75,Settings!$B$14:$B$33,0))&amp;"",IFERROR(LOOKUP(2^15,SEARCH(Settings!$F$14:$F$43,AC75)/(Settings!$F$14:$F$43&lt;&gt;""),Settings!$G$14:$G$43),"")))</f>
        <v/>
      </c>
      <c r="CJ75">
        <f>IF(OR($B75="",AD75=""),"",IFERROR(INDEX(Settings!$D$14:$D$33,MATCH(AD75,Settings!$B$14:$B$33,0))&amp;"",IFERROR(LOOKUP(2^15,SEARCH(Settings!$F$14:$F$43,AD75)/(Settings!$F$14:$F$43&lt;&gt;""),Settings!$G$14:$G$43),"")))</f>
        <v/>
      </c>
      <c r="CK75">
        <f>IF(OR($B75="",AE75=""),"",IFERROR(INDEX(Settings!$D$14:$D$33,MATCH(AE75,Settings!$B$14:$B$33,0))&amp;"",IFERROR(LOOKUP(2^15,SEARCH(Settings!$F$14:$F$43,AE75)/(Settings!$F$14:$F$43&lt;&gt;""),Settings!$G$14:$G$43),"")))</f>
        <v/>
      </c>
      <c r="CL75">
        <f>IF(OR($B75="",AF75=""),"",IFERROR(INDEX(Settings!$D$14:$D$33,MATCH(AF75,Settings!$B$14:$B$33,0))&amp;"",IFERROR(LOOKUP(2^15,SEARCH(Settings!$F$14:$F$43,AF75)/(Settings!$F$14:$F$43&lt;&gt;""),Settings!$G$14:$G$43),"")))</f>
        <v/>
      </c>
      <c r="CM75">
        <f>IF(OR($B75="",AG75=""),"",IFERROR(INDEX(Settings!$D$14:$D$33,MATCH(AG75,Settings!$B$14:$B$33,0))&amp;"",IFERROR(LOOKUP(2^15,SEARCH(Settings!$F$14:$F$43,AG75)/(Settings!$F$14:$F$43&lt;&gt;""),Settings!$G$14:$G$43),"")))</f>
        <v/>
      </c>
    </row>
    <row r="76">
      <c r="A76" t="n">
        <v>74</v>
      </c>
      <c r="B76">
        <f>IFERROR(INDEX(Index!$A$2:$A$202,MATCH(A76,Index!$E$2:$E$202,0)),"")</f>
        <v/>
      </c>
      <c r="D76">
        <f>IF($B76="","",IFERROR(MATCH("Travel*",AI76:BJ76,0),""))</f>
        <v/>
      </c>
      <c r="F76">
        <f>IF(OR($B76="",NOT(ISNUMBER(Settings!$C$9))),"",TRIM(SUBSTITUTE(SUBSTITUTE(INDEX('INPUT - Roster'!$S$1:$SV$206,$B76,Settings!$C$9+0)&amp;"",CHAR(10)," "),CHAR(160)," ")))</f>
        <v/>
      </c>
      <c r="G76">
        <f>IF(OR($B76="",NOT(ISNUMBER(Settings!$C$9))),"",TRIM(SUBSTITUTE(SUBSTITUTE(INDEX('INPUT - Roster'!$S$1:$SV$206,$B76,Settings!$C$9+1)&amp;"",CHAR(10)," "),CHAR(160)," ")))</f>
        <v/>
      </c>
      <c r="H76">
        <f>IF(OR($B76="",NOT(ISNUMBER(Settings!$C$9))),"",TRIM(SUBSTITUTE(SUBSTITUTE(INDEX('INPUT - Roster'!$S$1:$SV$206,$B76,Settings!$C$9+2)&amp;"",CHAR(10)," "),CHAR(160)," ")))</f>
        <v/>
      </c>
      <c r="I76">
        <f>IF(OR($B76="",NOT(ISNUMBER(Settings!$C$9))),"",TRIM(SUBSTITUTE(SUBSTITUTE(INDEX('INPUT - Roster'!$S$1:$SV$206,$B76,Settings!$C$9+3)&amp;"",CHAR(10)," "),CHAR(160)," ")))</f>
        <v/>
      </c>
      <c r="J76">
        <f>IF(OR($B76="",NOT(ISNUMBER(Settings!$C$9))),"",TRIM(SUBSTITUTE(SUBSTITUTE(INDEX('INPUT - Roster'!$S$1:$SV$206,$B76,Settings!$C$9+4)&amp;"",CHAR(10)," "),CHAR(160)," ")))</f>
        <v/>
      </c>
      <c r="K76">
        <f>IF(OR($B76="",NOT(ISNUMBER(Settings!$C$9))),"",TRIM(SUBSTITUTE(SUBSTITUTE(INDEX('INPUT - Roster'!$S$1:$SV$206,$B76,Settings!$C$9+5)&amp;"",CHAR(10)," "),CHAR(160)," ")))</f>
        <v/>
      </c>
      <c r="L76">
        <f>IF(OR($B76="",NOT(ISNUMBER(Settings!$C$9))),"",TRIM(SUBSTITUTE(SUBSTITUTE(INDEX('INPUT - Roster'!$S$1:$SV$206,$B76,Settings!$C$9+6)&amp;"",CHAR(10)," "),CHAR(160)," ")))</f>
        <v/>
      </c>
      <c r="M76">
        <f>IF(OR($B76="",NOT(ISNUMBER(Settings!$C$9))),"",TRIM(SUBSTITUTE(SUBSTITUTE(INDEX('INPUT - Roster'!$S$1:$SV$206,$B76,Settings!$C$9+7)&amp;"",CHAR(10)," "),CHAR(160)," ")))</f>
        <v/>
      </c>
      <c r="N76">
        <f>IF(OR($B76="",NOT(ISNUMBER(Settings!$C$9))),"",TRIM(SUBSTITUTE(SUBSTITUTE(INDEX('INPUT - Roster'!$S$1:$SV$206,$B76,Settings!$C$9+8)&amp;"",CHAR(10)," "),CHAR(160)," ")))</f>
        <v/>
      </c>
      <c r="O76">
        <f>IF(OR($B76="",NOT(ISNUMBER(Settings!$C$9))),"",TRIM(SUBSTITUTE(SUBSTITUTE(INDEX('INPUT - Roster'!$S$1:$SV$206,$B76,Settings!$C$9+9)&amp;"",CHAR(10)," "),CHAR(160)," ")))</f>
        <v/>
      </c>
      <c r="P76">
        <f>IF(OR($B76="",NOT(ISNUMBER(Settings!$C$9))),"",TRIM(SUBSTITUTE(SUBSTITUTE(INDEX('INPUT - Roster'!$S$1:$SV$206,$B76,Settings!$C$9+10)&amp;"",CHAR(10)," "),CHAR(160)," ")))</f>
        <v/>
      </c>
      <c r="Q76">
        <f>IF(OR($B76="",NOT(ISNUMBER(Settings!$C$9))),"",TRIM(SUBSTITUTE(SUBSTITUTE(INDEX('INPUT - Roster'!$S$1:$SV$206,$B76,Settings!$C$9+11)&amp;"",CHAR(10)," "),CHAR(160)," ")))</f>
        <v/>
      </c>
      <c r="R76">
        <f>IF(OR($B76="",NOT(ISNUMBER(Settings!$C$9))),"",TRIM(SUBSTITUTE(SUBSTITUTE(INDEX('INPUT - Roster'!$S$1:$SV$206,$B76,Settings!$C$9+12)&amp;"",CHAR(10)," "),CHAR(160)," ")))</f>
        <v/>
      </c>
      <c r="S76">
        <f>IF(OR($B76="",NOT(ISNUMBER(Settings!$C$9))),"",TRIM(SUBSTITUTE(SUBSTITUTE(INDEX('INPUT - Roster'!$S$1:$SV$206,$B76,Settings!$C$9+13)&amp;"",CHAR(10)," "),CHAR(160)," ")))</f>
        <v/>
      </c>
      <c r="T76">
        <f>IF(OR($B76="",NOT(ISNUMBER(Settings!$C$9))),"",TRIM(SUBSTITUTE(SUBSTITUTE(INDEX('INPUT - Roster'!$S$1:$SV$206,$B76,Settings!$C$9+14)&amp;"",CHAR(10)," "),CHAR(160)," ")))</f>
        <v/>
      </c>
      <c r="U76">
        <f>IF(OR($B76="",NOT(ISNUMBER(Settings!$C$9))),"",TRIM(SUBSTITUTE(SUBSTITUTE(INDEX('INPUT - Roster'!$S$1:$SV$206,$B76,Settings!$C$9+15)&amp;"",CHAR(10)," "),CHAR(160)," ")))</f>
        <v/>
      </c>
      <c r="V76">
        <f>IF(OR($B76="",NOT(ISNUMBER(Settings!$C$9))),"",TRIM(SUBSTITUTE(SUBSTITUTE(INDEX('INPUT - Roster'!$S$1:$SV$206,$B76,Settings!$C$9+16)&amp;"",CHAR(10)," "),CHAR(160)," ")))</f>
        <v/>
      </c>
      <c r="W76">
        <f>IF(OR($B76="",NOT(ISNUMBER(Settings!$C$9))),"",TRIM(SUBSTITUTE(SUBSTITUTE(INDEX('INPUT - Roster'!$S$1:$SV$206,$B76,Settings!$C$9+17)&amp;"",CHAR(10)," "),CHAR(160)," ")))</f>
        <v/>
      </c>
      <c r="X76">
        <f>IF(OR($B76="",NOT(ISNUMBER(Settings!$C$9))),"",TRIM(SUBSTITUTE(SUBSTITUTE(INDEX('INPUT - Roster'!$S$1:$SV$206,$B76,Settings!$C$9+18)&amp;"",CHAR(10)," "),CHAR(160)," ")))</f>
        <v/>
      </c>
      <c r="Y76">
        <f>IF(OR($B76="",NOT(ISNUMBER(Settings!$C$9))),"",TRIM(SUBSTITUTE(SUBSTITUTE(INDEX('INPUT - Roster'!$S$1:$SV$206,$B76,Settings!$C$9+19)&amp;"",CHAR(10)," "),CHAR(160)," ")))</f>
        <v/>
      </c>
      <c r="Z76">
        <f>IF(OR($B76="",NOT(ISNUMBER(Settings!$C$9))),"",TRIM(SUBSTITUTE(SUBSTITUTE(INDEX('INPUT - Roster'!$S$1:$SV$206,$B76,Settings!$C$9+20)&amp;"",CHAR(10)," "),CHAR(160)," ")))</f>
        <v/>
      </c>
      <c r="AA76">
        <f>IF(OR($B76="",NOT(ISNUMBER(Settings!$C$9))),"",TRIM(SUBSTITUTE(SUBSTITUTE(INDEX('INPUT - Roster'!$S$1:$SV$206,$B76,Settings!$C$9+21)&amp;"",CHAR(10)," "),CHAR(160)," ")))</f>
        <v/>
      </c>
      <c r="AB76">
        <f>IF(OR($B76="",NOT(ISNUMBER(Settings!$C$9))),"",TRIM(SUBSTITUTE(SUBSTITUTE(INDEX('INPUT - Roster'!$S$1:$SV$206,$B76,Settings!$C$9+22)&amp;"",CHAR(10)," "),CHAR(160)," ")))</f>
        <v/>
      </c>
      <c r="AC76">
        <f>IF(OR($B76="",NOT(ISNUMBER(Settings!$C$9))),"",TRIM(SUBSTITUTE(SUBSTITUTE(INDEX('INPUT - Roster'!$S$1:$SV$206,$B76,Settings!$C$9+23)&amp;"",CHAR(10)," "),CHAR(160)," ")))</f>
        <v/>
      </c>
      <c r="AD76">
        <f>IF(OR($B76="",NOT(ISNUMBER(Settings!$C$9))),"",TRIM(SUBSTITUTE(SUBSTITUTE(INDEX('INPUT - Roster'!$S$1:$SV$206,$B76,Settings!$C$9+24)&amp;"",CHAR(10)," "),CHAR(160)," ")))</f>
        <v/>
      </c>
      <c r="AE76">
        <f>IF(OR($B76="",NOT(ISNUMBER(Settings!$C$9))),"",TRIM(SUBSTITUTE(SUBSTITUTE(INDEX('INPUT - Roster'!$S$1:$SV$206,$B76,Settings!$C$9+25)&amp;"",CHAR(10)," "),CHAR(160)," ")))</f>
        <v/>
      </c>
      <c r="AF76">
        <f>IF(OR($B76="",NOT(ISNUMBER(Settings!$C$9))),"",TRIM(SUBSTITUTE(SUBSTITUTE(INDEX('INPUT - Roster'!$S$1:$SV$206,$B76,Settings!$C$9+26)&amp;"",CHAR(10)," "),CHAR(160)," ")))</f>
        <v/>
      </c>
      <c r="AG76">
        <f>IF(OR($B76="",NOT(ISNUMBER(Settings!$C$9))),"",TRIM(SUBSTITUTE(SUBSTITUTE(INDEX('INPUT - Roster'!$S$1:$SV$206,$B76,Settings!$C$9+27)&amp;"",CHAR(10)," "),CHAR(160)," ")))</f>
        <v/>
      </c>
      <c r="AI76">
        <f>IF($B76="","",IF(F76="","Not rostered",IFERROR(INDEX(Settings!$C$14:$C$33,MATCH(F76,Settings!$B$14:$B$33,0)),IFERROR(LOOKUP(2^15,SEARCH(Settings!$I$14:$I$83,F76)/(Settings!$I$14:$I$83&lt;&gt;""),Settings!$J$14:$J$83),"Other"))))</f>
        <v/>
      </c>
      <c r="AJ76">
        <f>IF($B76="","",IF(G76="","Not rostered",IFERROR(INDEX(Settings!$C$14:$C$33,MATCH(G76,Settings!$B$14:$B$33,0)),IFERROR(LOOKUP(2^15,SEARCH(Settings!$I$14:$I$83,G76)/(Settings!$I$14:$I$83&lt;&gt;""),Settings!$J$14:$J$83),"Other"))))</f>
        <v/>
      </c>
      <c r="AK76">
        <f>IF($B76="","",IF(H76="","Not rostered",IFERROR(INDEX(Settings!$C$14:$C$33,MATCH(H76,Settings!$B$14:$B$33,0)),IFERROR(LOOKUP(2^15,SEARCH(Settings!$I$14:$I$83,H76)/(Settings!$I$14:$I$83&lt;&gt;""),Settings!$J$14:$J$83),"Other"))))</f>
        <v/>
      </c>
      <c r="AL76">
        <f>IF($B76="","",IF(I76="","Not rostered",IFERROR(INDEX(Settings!$C$14:$C$33,MATCH(I76,Settings!$B$14:$B$33,0)),IFERROR(LOOKUP(2^15,SEARCH(Settings!$I$14:$I$83,I76)/(Settings!$I$14:$I$83&lt;&gt;""),Settings!$J$14:$J$83),"Other"))))</f>
        <v/>
      </c>
      <c r="AM76">
        <f>IF($B76="","",IF(J76="","Not rostered",IFERROR(INDEX(Settings!$C$14:$C$33,MATCH(J76,Settings!$B$14:$B$33,0)),IFERROR(LOOKUP(2^15,SEARCH(Settings!$I$14:$I$83,J76)/(Settings!$I$14:$I$83&lt;&gt;""),Settings!$J$14:$J$83),"Other"))))</f>
        <v/>
      </c>
      <c r="AN76">
        <f>IF($B76="","",IF(K76="","Not rostered",IFERROR(INDEX(Settings!$C$14:$C$33,MATCH(K76,Settings!$B$14:$B$33,0)),IFERROR(LOOKUP(2^15,SEARCH(Settings!$I$14:$I$83,K76)/(Settings!$I$14:$I$83&lt;&gt;""),Settings!$J$14:$J$83),"Other"))))</f>
        <v/>
      </c>
      <c r="AO76">
        <f>IF($B76="","",IF(L76="","Not rostered",IFERROR(INDEX(Settings!$C$14:$C$33,MATCH(L76,Settings!$B$14:$B$33,0)),IFERROR(LOOKUP(2^15,SEARCH(Settings!$I$14:$I$83,L76)/(Settings!$I$14:$I$83&lt;&gt;""),Settings!$J$14:$J$83),"Other"))))</f>
        <v/>
      </c>
      <c r="AP76">
        <f>IF($B76="","",IF(M76="","Not rostered",IFERROR(INDEX(Settings!$C$14:$C$33,MATCH(M76,Settings!$B$14:$B$33,0)),IFERROR(LOOKUP(2^15,SEARCH(Settings!$I$14:$I$83,M76)/(Settings!$I$14:$I$83&lt;&gt;""),Settings!$J$14:$J$83),"Other"))))</f>
        <v/>
      </c>
      <c r="AQ76">
        <f>IF($B76="","",IF(N76="","Not rostered",IFERROR(INDEX(Settings!$C$14:$C$33,MATCH(N76,Settings!$B$14:$B$33,0)),IFERROR(LOOKUP(2^15,SEARCH(Settings!$I$14:$I$83,N76)/(Settings!$I$14:$I$83&lt;&gt;""),Settings!$J$14:$J$83),"Other"))))</f>
        <v/>
      </c>
      <c r="AR76">
        <f>IF($B76="","",IF(O76="","Not rostered",IFERROR(INDEX(Settings!$C$14:$C$33,MATCH(O76,Settings!$B$14:$B$33,0)),IFERROR(LOOKUP(2^15,SEARCH(Settings!$I$14:$I$83,O76)/(Settings!$I$14:$I$83&lt;&gt;""),Settings!$J$14:$J$83),"Other"))))</f>
        <v/>
      </c>
      <c r="AS76">
        <f>IF($B76="","",IF(P76="","Not rostered",IFERROR(INDEX(Settings!$C$14:$C$33,MATCH(P76,Settings!$B$14:$B$33,0)),IFERROR(LOOKUP(2^15,SEARCH(Settings!$I$14:$I$83,P76)/(Settings!$I$14:$I$83&lt;&gt;""),Settings!$J$14:$J$83),"Other"))))</f>
        <v/>
      </c>
      <c r="AT76">
        <f>IF($B76="","",IF(Q76="","Not rostered",IFERROR(INDEX(Settings!$C$14:$C$33,MATCH(Q76,Settings!$B$14:$B$33,0)),IFERROR(LOOKUP(2^15,SEARCH(Settings!$I$14:$I$83,Q76)/(Settings!$I$14:$I$83&lt;&gt;""),Settings!$J$14:$J$83),"Other"))))</f>
        <v/>
      </c>
      <c r="AU76">
        <f>IF($B76="","",IF(R76="","Not rostered",IFERROR(INDEX(Settings!$C$14:$C$33,MATCH(R76,Settings!$B$14:$B$33,0)),IFERROR(LOOKUP(2^15,SEARCH(Settings!$I$14:$I$83,R76)/(Settings!$I$14:$I$83&lt;&gt;""),Settings!$J$14:$J$83),"Other"))))</f>
        <v/>
      </c>
      <c r="AV76">
        <f>IF($B76="","",IF(S76="","Not rostered",IFERROR(INDEX(Settings!$C$14:$C$33,MATCH(S76,Settings!$B$14:$B$33,0)),IFERROR(LOOKUP(2^15,SEARCH(Settings!$I$14:$I$83,S76)/(Settings!$I$14:$I$83&lt;&gt;""),Settings!$J$14:$J$83),"Other"))))</f>
        <v/>
      </c>
      <c r="AW76">
        <f>IF($B76="","",IF(T76="","Not rostered",IFERROR(INDEX(Settings!$C$14:$C$33,MATCH(T76,Settings!$B$14:$B$33,0)),IFERROR(LOOKUP(2^15,SEARCH(Settings!$I$14:$I$83,T76)/(Settings!$I$14:$I$83&lt;&gt;""),Settings!$J$14:$J$83),"Other"))))</f>
        <v/>
      </c>
      <c r="AX76">
        <f>IF($B76="","",IF(U76="","Not rostered",IFERROR(INDEX(Settings!$C$14:$C$33,MATCH(U76,Settings!$B$14:$B$33,0)),IFERROR(LOOKUP(2^15,SEARCH(Settings!$I$14:$I$83,U76)/(Settings!$I$14:$I$83&lt;&gt;""),Settings!$J$14:$J$83),"Other"))))</f>
        <v/>
      </c>
      <c r="AY76">
        <f>IF($B76="","",IF(V76="","Not rostered",IFERROR(INDEX(Settings!$C$14:$C$33,MATCH(V76,Settings!$B$14:$B$33,0)),IFERROR(LOOKUP(2^15,SEARCH(Settings!$I$14:$I$83,V76)/(Settings!$I$14:$I$83&lt;&gt;""),Settings!$J$14:$J$83),"Other"))))</f>
        <v/>
      </c>
      <c r="AZ76">
        <f>IF($B76="","",IF(W76="","Not rostered",IFERROR(INDEX(Settings!$C$14:$C$33,MATCH(W76,Settings!$B$14:$B$33,0)),IFERROR(LOOKUP(2^15,SEARCH(Settings!$I$14:$I$83,W76)/(Settings!$I$14:$I$83&lt;&gt;""),Settings!$J$14:$J$83),"Other"))))</f>
        <v/>
      </c>
      <c r="BA76">
        <f>IF($B76="","",IF(X76="","Not rostered",IFERROR(INDEX(Settings!$C$14:$C$33,MATCH(X76,Settings!$B$14:$B$33,0)),IFERROR(LOOKUP(2^15,SEARCH(Settings!$I$14:$I$83,X76)/(Settings!$I$14:$I$83&lt;&gt;""),Settings!$J$14:$J$83),"Other"))))</f>
        <v/>
      </c>
      <c r="BB76">
        <f>IF($B76="","",IF(Y76="","Not rostered",IFERROR(INDEX(Settings!$C$14:$C$33,MATCH(Y76,Settings!$B$14:$B$33,0)),IFERROR(LOOKUP(2^15,SEARCH(Settings!$I$14:$I$83,Y76)/(Settings!$I$14:$I$83&lt;&gt;""),Settings!$J$14:$J$83),"Other"))))</f>
        <v/>
      </c>
      <c r="BC76">
        <f>IF($B76="","",IF(Z76="","Not rostered",IFERROR(INDEX(Settings!$C$14:$C$33,MATCH(Z76,Settings!$B$14:$B$33,0)),IFERROR(LOOKUP(2^15,SEARCH(Settings!$I$14:$I$83,Z76)/(Settings!$I$14:$I$83&lt;&gt;""),Settings!$J$14:$J$83),"Other"))))</f>
        <v/>
      </c>
      <c r="BD76">
        <f>IF($B76="","",IF(AA76="","Not rostered",IFERROR(INDEX(Settings!$C$14:$C$33,MATCH(AA76,Settings!$B$14:$B$33,0)),IFERROR(LOOKUP(2^15,SEARCH(Settings!$I$14:$I$83,AA76)/(Settings!$I$14:$I$83&lt;&gt;""),Settings!$J$14:$J$83),"Other"))))</f>
        <v/>
      </c>
      <c r="BE76">
        <f>IF($B76="","",IF(AB76="","Not rostered",IFERROR(INDEX(Settings!$C$14:$C$33,MATCH(AB76,Settings!$B$14:$B$33,0)),IFERROR(LOOKUP(2^15,SEARCH(Settings!$I$14:$I$83,AB76)/(Settings!$I$14:$I$83&lt;&gt;""),Settings!$J$14:$J$83),"Other"))))</f>
        <v/>
      </c>
      <c r="BF76">
        <f>IF($B76="","",IF(AC76="","Not rostered",IFERROR(INDEX(Settings!$C$14:$C$33,MATCH(AC76,Settings!$B$14:$B$33,0)),IFERROR(LOOKUP(2^15,SEARCH(Settings!$I$14:$I$83,AC76)/(Settings!$I$14:$I$83&lt;&gt;""),Settings!$J$14:$J$83),"Other"))))</f>
        <v/>
      </c>
      <c r="BG76">
        <f>IF($B76="","",IF(AD76="","Not rostered",IFERROR(INDEX(Settings!$C$14:$C$33,MATCH(AD76,Settings!$B$14:$B$33,0)),IFERROR(LOOKUP(2^15,SEARCH(Settings!$I$14:$I$83,AD76)/(Settings!$I$14:$I$83&lt;&gt;""),Settings!$J$14:$J$83),"Other"))))</f>
        <v/>
      </c>
      <c r="BH76">
        <f>IF($B76="","",IF(AE76="","Not rostered",IFERROR(INDEX(Settings!$C$14:$C$33,MATCH(AE76,Settings!$B$14:$B$33,0)),IFERROR(LOOKUP(2^15,SEARCH(Settings!$I$14:$I$83,AE76)/(Settings!$I$14:$I$83&lt;&gt;""),Settings!$J$14:$J$83),"Other"))))</f>
        <v/>
      </c>
      <c r="BI76">
        <f>IF($B76="","",IF(AF76="","Not rostered",IFERROR(INDEX(Settings!$C$14:$C$33,MATCH(AF76,Settings!$B$14:$B$33,0)),IFERROR(LOOKUP(2^15,SEARCH(Settings!$I$14:$I$83,AF76)/(Settings!$I$14:$I$83&lt;&gt;""),Settings!$J$14:$J$83),"Other"))))</f>
        <v/>
      </c>
      <c r="BJ76">
        <f>IF($B76="","",IF(AG76="","Not rostered",IFERROR(INDEX(Settings!$C$14:$C$33,MATCH(AG76,Settings!$B$14:$B$33,0)),IFERROR(LOOKUP(2^15,SEARCH(Settings!$I$14:$I$83,AG76)/(Settings!$I$14:$I$83&lt;&gt;""),Settings!$J$14:$J$83),"Other"))))</f>
        <v/>
      </c>
      <c r="BL76">
        <f>IF(OR($B76="",F76=""),"",IFERROR(INDEX(Settings!$D$14:$D$33,MATCH(F76,Settings!$B$14:$B$33,0))&amp;"",IFERROR(LOOKUP(2^15,SEARCH(Settings!$F$14:$F$43,F76)/(Settings!$F$14:$F$43&lt;&gt;""),Settings!$G$14:$G$43),"")))</f>
        <v/>
      </c>
      <c r="BM76">
        <f>IF(OR($B76="",G76=""),"",IFERROR(INDEX(Settings!$D$14:$D$33,MATCH(G76,Settings!$B$14:$B$33,0))&amp;"",IFERROR(LOOKUP(2^15,SEARCH(Settings!$F$14:$F$43,G76)/(Settings!$F$14:$F$43&lt;&gt;""),Settings!$G$14:$G$43),"")))</f>
        <v/>
      </c>
      <c r="BN76">
        <f>IF(OR($B76="",H76=""),"",IFERROR(INDEX(Settings!$D$14:$D$33,MATCH(H76,Settings!$B$14:$B$33,0))&amp;"",IFERROR(LOOKUP(2^15,SEARCH(Settings!$F$14:$F$43,H76)/(Settings!$F$14:$F$43&lt;&gt;""),Settings!$G$14:$G$43),"")))</f>
        <v/>
      </c>
      <c r="BO76">
        <f>IF(OR($B76="",I76=""),"",IFERROR(INDEX(Settings!$D$14:$D$33,MATCH(I76,Settings!$B$14:$B$33,0))&amp;"",IFERROR(LOOKUP(2^15,SEARCH(Settings!$F$14:$F$43,I76)/(Settings!$F$14:$F$43&lt;&gt;""),Settings!$G$14:$G$43),"")))</f>
        <v/>
      </c>
      <c r="BP76">
        <f>IF(OR($B76="",J76=""),"",IFERROR(INDEX(Settings!$D$14:$D$33,MATCH(J76,Settings!$B$14:$B$33,0))&amp;"",IFERROR(LOOKUP(2^15,SEARCH(Settings!$F$14:$F$43,J76)/(Settings!$F$14:$F$43&lt;&gt;""),Settings!$G$14:$G$43),"")))</f>
        <v/>
      </c>
      <c r="BQ76">
        <f>IF(OR($B76="",K76=""),"",IFERROR(INDEX(Settings!$D$14:$D$33,MATCH(K76,Settings!$B$14:$B$33,0))&amp;"",IFERROR(LOOKUP(2^15,SEARCH(Settings!$F$14:$F$43,K76)/(Settings!$F$14:$F$43&lt;&gt;""),Settings!$G$14:$G$43),"")))</f>
        <v/>
      </c>
      <c r="BR76">
        <f>IF(OR($B76="",L76=""),"",IFERROR(INDEX(Settings!$D$14:$D$33,MATCH(L76,Settings!$B$14:$B$33,0))&amp;"",IFERROR(LOOKUP(2^15,SEARCH(Settings!$F$14:$F$43,L76)/(Settings!$F$14:$F$43&lt;&gt;""),Settings!$G$14:$G$43),"")))</f>
        <v/>
      </c>
      <c r="BS76">
        <f>IF(OR($B76="",M76=""),"",IFERROR(INDEX(Settings!$D$14:$D$33,MATCH(M76,Settings!$B$14:$B$33,0))&amp;"",IFERROR(LOOKUP(2^15,SEARCH(Settings!$F$14:$F$43,M76)/(Settings!$F$14:$F$43&lt;&gt;""),Settings!$G$14:$G$43),"")))</f>
        <v/>
      </c>
      <c r="BT76">
        <f>IF(OR($B76="",N76=""),"",IFERROR(INDEX(Settings!$D$14:$D$33,MATCH(N76,Settings!$B$14:$B$33,0))&amp;"",IFERROR(LOOKUP(2^15,SEARCH(Settings!$F$14:$F$43,N76)/(Settings!$F$14:$F$43&lt;&gt;""),Settings!$G$14:$G$43),"")))</f>
        <v/>
      </c>
      <c r="BU76">
        <f>IF(OR($B76="",O76=""),"",IFERROR(INDEX(Settings!$D$14:$D$33,MATCH(O76,Settings!$B$14:$B$33,0))&amp;"",IFERROR(LOOKUP(2^15,SEARCH(Settings!$F$14:$F$43,O76)/(Settings!$F$14:$F$43&lt;&gt;""),Settings!$G$14:$G$43),"")))</f>
        <v/>
      </c>
      <c r="BV76">
        <f>IF(OR($B76="",P76=""),"",IFERROR(INDEX(Settings!$D$14:$D$33,MATCH(P76,Settings!$B$14:$B$33,0))&amp;"",IFERROR(LOOKUP(2^15,SEARCH(Settings!$F$14:$F$43,P76)/(Settings!$F$14:$F$43&lt;&gt;""),Settings!$G$14:$G$43),"")))</f>
        <v/>
      </c>
      <c r="BW76">
        <f>IF(OR($B76="",Q76=""),"",IFERROR(INDEX(Settings!$D$14:$D$33,MATCH(Q76,Settings!$B$14:$B$33,0))&amp;"",IFERROR(LOOKUP(2^15,SEARCH(Settings!$F$14:$F$43,Q76)/(Settings!$F$14:$F$43&lt;&gt;""),Settings!$G$14:$G$43),"")))</f>
        <v/>
      </c>
      <c r="BX76">
        <f>IF(OR($B76="",R76=""),"",IFERROR(INDEX(Settings!$D$14:$D$33,MATCH(R76,Settings!$B$14:$B$33,0))&amp;"",IFERROR(LOOKUP(2^15,SEARCH(Settings!$F$14:$F$43,R76)/(Settings!$F$14:$F$43&lt;&gt;""),Settings!$G$14:$G$43),"")))</f>
        <v/>
      </c>
      <c r="BY76">
        <f>IF(OR($B76="",S76=""),"",IFERROR(INDEX(Settings!$D$14:$D$33,MATCH(S76,Settings!$B$14:$B$33,0))&amp;"",IFERROR(LOOKUP(2^15,SEARCH(Settings!$F$14:$F$43,S76)/(Settings!$F$14:$F$43&lt;&gt;""),Settings!$G$14:$G$43),"")))</f>
        <v/>
      </c>
      <c r="BZ76">
        <f>IF(OR($B76="",T76=""),"",IFERROR(INDEX(Settings!$D$14:$D$33,MATCH(T76,Settings!$B$14:$B$33,0))&amp;"",IFERROR(LOOKUP(2^15,SEARCH(Settings!$F$14:$F$43,T76)/(Settings!$F$14:$F$43&lt;&gt;""),Settings!$G$14:$G$43),"")))</f>
        <v/>
      </c>
      <c r="CA76">
        <f>IF(OR($B76="",U76=""),"",IFERROR(INDEX(Settings!$D$14:$D$33,MATCH(U76,Settings!$B$14:$B$33,0))&amp;"",IFERROR(LOOKUP(2^15,SEARCH(Settings!$F$14:$F$43,U76)/(Settings!$F$14:$F$43&lt;&gt;""),Settings!$G$14:$G$43),"")))</f>
        <v/>
      </c>
      <c r="CB76">
        <f>IF(OR($B76="",V76=""),"",IFERROR(INDEX(Settings!$D$14:$D$33,MATCH(V76,Settings!$B$14:$B$33,0))&amp;"",IFERROR(LOOKUP(2^15,SEARCH(Settings!$F$14:$F$43,V76)/(Settings!$F$14:$F$43&lt;&gt;""),Settings!$G$14:$G$43),"")))</f>
        <v/>
      </c>
      <c r="CC76">
        <f>IF(OR($B76="",W76=""),"",IFERROR(INDEX(Settings!$D$14:$D$33,MATCH(W76,Settings!$B$14:$B$33,0))&amp;"",IFERROR(LOOKUP(2^15,SEARCH(Settings!$F$14:$F$43,W76)/(Settings!$F$14:$F$43&lt;&gt;""),Settings!$G$14:$G$43),"")))</f>
        <v/>
      </c>
      <c r="CD76">
        <f>IF(OR($B76="",X76=""),"",IFERROR(INDEX(Settings!$D$14:$D$33,MATCH(X76,Settings!$B$14:$B$33,0))&amp;"",IFERROR(LOOKUP(2^15,SEARCH(Settings!$F$14:$F$43,X76)/(Settings!$F$14:$F$43&lt;&gt;""),Settings!$G$14:$G$43),"")))</f>
        <v/>
      </c>
      <c r="CE76">
        <f>IF(OR($B76="",Y76=""),"",IFERROR(INDEX(Settings!$D$14:$D$33,MATCH(Y76,Settings!$B$14:$B$33,0))&amp;"",IFERROR(LOOKUP(2^15,SEARCH(Settings!$F$14:$F$43,Y76)/(Settings!$F$14:$F$43&lt;&gt;""),Settings!$G$14:$G$43),"")))</f>
        <v/>
      </c>
      <c r="CF76">
        <f>IF(OR($B76="",Z76=""),"",IFERROR(INDEX(Settings!$D$14:$D$33,MATCH(Z76,Settings!$B$14:$B$33,0))&amp;"",IFERROR(LOOKUP(2^15,SEARCH(Settings!$F$14:$F$43,Z76)/(Settings!$F$14:$F$43&lt;&gt;""),Settings!$G$14:$G$43),"")))</f>
        <v/>
      </c>
      <c r="CG76">
        <f>IF(OR($B76="",AA76=""),"",IFERROR(INDEX(Settings!$D$14:$D$33,MATCH(AA76,Settings!$B$14:$B$33,0))&amp;"",IFERROR(LOOKUP(2^15,SEARCH(Settings!$F$14:$F$43,AA76)/(Settings!$F$14:$F$43&lt;&gt;""),Settings!$G$14:$G$43),"")))</f>
        <v/>
      </c>
      <c r="CH76">
        <f>IF(OR($B76="",AB76=""),"",IFERROR(INDEX(Settings!$D$14:$D$33,MATCH(AB76,Settings!$B$14:$B$33,0))&amp;"",IFERROR(LOOKUP(2^15,SEARCH(Settings!$F$14:$F$43,AB76)/(Settings!$F$14:$F$43&lt;&gt;""),Settings!$G$14:$G$43),"")))</f>
        <v/>
      </c>
      <c r="CI76">
        <f>IF(OR($B76="",AC76=""),"",IFERROR(INDEX(Settings!$D$14:$D$33,MATCH(AC76,Settings!$B$14:$B$33,0))&amp;"",IFERROR(LOOKUP(2^15,SEARCH(Settings!$F$14:$F$43,AC76)/(Settings!$F$14:$F$43&lt;&gt;""),Settings!$G$14:$G$43),"")))</f>
        <v/>
      </c>
      <c r="CJ76">
        <f>IF(OR($B76="",AD76=""),"",IFERROR(INDEX(Settings!$D$14:$D$33,MATCH(AD76,Settings!$B$14:$B$33,0))&amp;"",IFERROR(LOOKUP(2^15,SEARCH(Settings!$F$14:$F$43,AD76)/(Settings!$F$14:$F$43&lt;&gt;""),Settings!$G$14:$G$43),"")))</f>
        <v/>
      </c>
      <c r="CK76">
        <f>IF(OR($B76="",AE76=""),"",IFERROR(INDEX(Settings!$D$14:$D$33,MATCH(AE76,Settings!$B$14:$B$33,0))&amp;"",IFERROR(LOOKUP(2^15,SEARCH(Settings!$F$14:$F$43,AE76)/(Settings!$F$14:$F$43&lt;&gt;""),Settings!$G$14:$G$43),"")))</f>
        <v/>
      </c>
      <c r="CL76">
        <f>IF(OR($B76="",AF76=""),"",IFERROR(INDEX(Settings!$D$14:$D$33,MATCH(AF76,Settings!$B$14:$B$33,0))&amp;"",IFERROR(LOOKUP(2^15,SEARCH(Settings!$F$14:$F$43,AF76)/(Settings!$F$14:$F$43&lt;&gt;""),Settings!$G$14:$G$43),"")))</f>
        <v/>
      </c>
      <c r="CM76">
        <f>IF(OR($B76="",AG76=""),"",IFERROR(INDEX(Settings!$D$14:$D$33,MATCH(AG76,Settings!$B$14:$B$33,0))&amp;"",IFERROR(LOOKUP(2^15,SEARCH(Settings!$F$14:$F$43,AG76)/(Settings!$F$14:$F$43&lt;&gt;""),Settings!$G$14:$G$43),"")))</f>
        <v/>
      </c>
    </row>
    <row r="77">
      <c r="A77" t="n">
        <v>75</v>
      </c>
      <c r="B77">
        <f>IFERROR(INDEX(Index!$A$2:$A$202,MATCH(A77,Index!$E$2:$E$202,0)),"")</f>
        <v/>
      </c>
      <c r="D77">
        <f>IF($B77="","",IFERROR(MATCH("Travel*",AI77:BJ77,0),""))</f>
        <v/>
      </c>
      <c r="F77">
        <f>IF(OR($B77="",NOT(ISNUMBER(Settings!$C$9))),"",TRIM(SUBSTITUTE(SUBSTITUTE(INDEX('INPUT - Roster'!$S$1:$SV$206,$B77,Settings!$C$9+0)&amp;"",CHAR(10)," "),CHAR(160)," ")))</f>
        <v/>
      </c>
      <c r="G77">
        <f>IF(OR($B77="",NOT(ISNUMBER(Settings!$C$9))),"",TRIM(SUBSTITUTE(SUBSTITUTE(INDEX('INPUT - Roster'!$S$1:$SV$206,$B77,Settings!$C$9+1)&amp;"",CHAR(10)," "),CHAR(160)," ")))</f>
        <v/>
      </c>
      <c r="H77">
        <f>IF(OR($B77="",NOT(ISNUMBER(Settings!$C$9))),"",TRIM(SUBSTITUTE(SUBSTITUTE(INDEX('INPUT - Roster'!$S$1:$SV$206,$B77,Settings!$C$9+2)&amp;"",CHAR(10)," "),CHAR(160)," ")))</f>
        <v/>
      </c>
      <c r="I77">
        <f>IF(OR($B77="",NOT(ISNUMBER(Settings!$C$9))),"",TRIM(SUBSTITUTE(SUBSTITUTE(INDEX('INPUT - Roster'!$S$1:$SV$206,$B77,Settings!$C$9+3)&amp;"",CHAR(10)," "),CHAR(160)," ")))</f>
        <v/>
      </c>
      <c r="J77">
        <f>IF(OR($B77="",NOT(ISNUMBER(Settings!$C$9))),"",TRIM(SUBSTITUTE(SUBSTITUTE(INDEX('INPUT - Roster'!$S$1:$SV$206,$B77,Settings!$C$9+4)&amp;"",CHAR(10)," "),CHAR(160)," ")))</f>
        <v/>
      </c>
      <c r="K77">
        <f>IF(OR($B77="",NOT(ISNUMBER(Settings!$C$9))),"",TRIM(SUBSTITUTE(SUBSTITUTE(INDEX('INPUT - Roster'!$S$1:$SV$206,$B77,Settings!$C$9+5)&amp;"",CHAR(10)," "),CHAR(160)," ")))</f>
        <v/>
      </c>
      <c r="L77">
        <f>IF(OR($B77="",NOT(ISNUMBER(Settings!$C$9))),"",TRIM(SUBSTITUTE(SUBSTITUTE(INDEX('INPUT - Roster'!$S$1:$SV$206,$B77,Settings!$C$9+6)&amp;"",CHAR(10)," "),CHAR(160)," ")))</f>
        <v/>
      </c>
      <c r="M77">
        <f>IF(OR($B77="",NOT(ISNUMBER(Settings!$C$9))),"",TRIM(SUBSTITUTE(SUBSTITUTE(INDEX('INPUT - Roster'!$S$1:$SV$206,$B77,Settings!$C$9+7)&amp;"",CHAR(10)," "),CHAR(160)," ")))</f>
        <v/>
      </c>
      <c r="N77">
        <f>IF(OR($B77="",NOT(ISNUMBER(Settings!$C$9))),"",TRIM(SUBSTITUTE(SUBSTITUTE(INDEX('INPUT - Roster'!$S$1:$SV$206,$B77,Settings!$C$9+8)&amp;"",CHAR(10)," "),CHAR(160)," ")))</f>
        <v/>
      </c>
      <c r="O77">
        <f>IF(OR($B77="",NOT(ISNUMBER(Settings!$C$9))),"",TRIM(SUBSTITUTE(SUBSTITUTE(INDEX('INPUT - Roster'!$S$1:$SV$206,$B77,Settings!$C$9+9)&amp;"",CHAR(10)," "),CHAR(160)," ")))</f>
        <v/>
      </c>
      <c r="P77">
        <f>IF(OR($B77="",NOT(ISNUMBER(Settings!$C$9))),"",TRIM(SUBSTITUTE(SUBSTITUTE(INDEX('INPUT - Roster'!$S$1:$SV$206,$B77,Settings!$C$9+10)&amp;"",CHAR(10)," "),CHAR(160)," ")))</f>
        <v/>
      </c>
      <c r="Q77">
        <f>IF(OR($B77="",NOT(ISNUMBER(Settings!$C$9))),"",TRIM(SUBSTITUTE(SUBSTITUTE(INDEX('INPUT - Roster'!$S$1:$SV$206,$B77,Settings!$C$9+11)&amp;"",CHAR(10)," "),CHAR(160)," ")))</f>
        <v/>
      </c>
      <c r="R77">
        <f>IF(OR($B77="",NOT(ISNUMBER(Settings!$C$9))),"",TRIM(SUBSTITUTE(SUBSTITUTE(INDEX('INPUT - Roster'!$S$1:$SV$206,$B77,Settings!$C$9+12)&amp;"",CHAR(10)," "),CHAR(160)," ")))</f>
        <v/>
      </c>
      <c r="S77">
        <f>IF(OR($B77="",NOT(ISNUMBER(Settings!$C$9))),"",TRIM(SUBSTITUTE(SUBSTITUTE(INDEX('INPUT - Roster'!$S$1:$SV$206,$B77,Settings!$C$9+13)&amp;"",CHAR(10)," "),CHAR(160)," ")))</f>
        <v/>
      </c>
      <c r="T77">
        <f>IF(OR($B77="",NOT(ISNUMBER(Settings!$C$9))),"",TRIM(SUBSTITUTE(SUBSTITUTE(INDEX('INPUT - Roster'!$S$1:$SV$206,$B77,Settings!$C$9+14)&amp;"",CHAR(10)," "),CHAR(160)," ")))</f>
        <v/>
      </c>
      <c r="U77">
        <f>IF(OR($B77="",NOT(ISNUMBER(Settings!$C$9))),"",TRIM(SUBSTITUTE(SUBSTITUTE(INDEX('INPUT - Roster'!$S$1:$SV$206,$B77,Settings!$C$9+15)&amp;"",CHAR(10)," "),CHAR(160)," ")))</f>
        <v/>
      </c>
      <c r="V77">
        <f>IF(OR($B77="",NOT(ISNUMBER(Settings!$C$9))),"",TRIM(SUBSTITUTE(SUBSTITUTE(INDEX('INPUT - Roster'!$S$1:$SV$206,$B77,Settings!$C$9+16)&amp;"",CHAR(10)," "),CHAR(160)," ")))</f>
        <v/>
      </c>
      <c r="W77">
        <f>IF(OR($B77="",NOT(ISNUMBER(Settings!$C$9))),"",TRIM(SUBSTITUTE(SUBSTITUTE(INDEX('INPUT - Roster'!$S$1:$SV$206,$B77,Settings!$C$9+17)&amp;"",CHAR(10)," "),CHAR(160)," ")))</f>
        <v/>
      </c>
      <c r="X77">
        <f>IF(OR($B77="",NOT(ISNUMBER(Settings!$C$9))),"",TRIM(SUBSTITUTE(SUBSTITUTE(INDEX('INPUT - Roster'!$S$1:$SV$206,$B77,Settings!$C$9+18)&amp;"",CHAR(10)," "),CHAR(160)," ")))</f>
        <v/>
      </c>
      <c r="Y77">
        <f>IF(OR($B77="",NOT(ISNUMBER(Settings!$C$9))),"",TRIM(SUBSTITUTE(SUBSTITUTE(INDEX('INPUT - Roster'!$S$1:$SV$206,$B77,Settings!$C$9+19)&amp;"",CHAR(10)," "),CHAR(160)," ")))</f>
        <v/>
      </c>
      <c r="Z77">
        <f>IF(OR($B77="",NOT(ISNUMBER(Settings!$C$9))),"",TRIM(SUBSTITUTE(SUBSTITUTE(INDEX('INPUT - Roster'!$S$1:$SV$206,$B77,Settings!$C$9+20)&amp;"",CHAR(10)," "),CHAR(160)," ")))</f>
        <v/>
      </c>
      <c r="AA77">
        <f>IF(OR($B77="",NOT(ISNUMBER(Settings!$C$9))),"",TRIM(SUBSTITUTE(SUBSTITUTE(INDEX('INPUT - Roster'!$S$1:$SV$206,$B77,Settings!$C$9+21)&amp;"",CHAR(10)," "),CHAR(160)," ")))</f>
        <v/>
      </c>
      <c r="AB77">
        <f>IF(OR($B77="",NOT(ISNUMBER(Settings!$C$9))),"",TRIM(SUBSTITUTE(SUBSTITUTE(INDEX('INPUT - Roster'!$S$1:$SV$206,$B77,Settings!$C$9+22)&amp;"",CHAR(10)," "),CHAR(160)," ")))</f>
        <v/>
      </c>
      <c r="AC77">
        <f>IF(OR($B77="",NOT(ISNUMBER(Settings!$C$9))),"",TRIM(SUBSTITUTE(SUBSTITUTE(INDEX('INPUT - Roster'!$S$1:$SV$206,$B77,Settings!$C$9+23)&amp;"",CHAR(10)," "),CHAR(160)," ")))</f>
        <v/>
      </c>
      <c r="AD77">
        <f>IF(OR($B77="",NOT(ISNUMBER(Settings!$C$9))),"",TRIM(SUBSTITUTE(SUBSTITUTE(INDEX('INPUT - Roster'!$S$1:$SV$206,$B77,Settings!$C$9+24)&amp;"",CHAR(10)," "),CHAR(160)," ")))</f>
        <v/>
      </c>
      <c r="AE77">
        <f>IF(OR($B77="",NOT(ISNUMBER(Settings!$C$9))),"",TRIM(SUBSTITUTE(SUBSTITUTE(INDEX('INPUT - Roster'!$S$1:$SV$206,$B77,Settings!$C$9+25)&amp;"",CHAR(10)," "),CHAR(160)," ")))</f>
        <v/>
      </c>
      <c r="AF77">
        <f>IF(OR($B77="",NOT(ISNUMBER(Settings!$C$9))),"",TRIM(SUBSTITUTE(SUBSTITUTE(INDEX('INPUT - Roster'!$S$1:$SV$206,$B77,Settings!$C$9+26)&amp;"",CHAR(10)," "),CHAR(160)," ")))</f>
        <v/>
      </c>
      <c r="AG77">
        <f>IF(OR($B77="",NOT(ISNUMBER(Settings!$C$9))),"",TRIM(SUBSTITUTE(SUBSTITUTE(INDEX('INPUT - Roster'!$S$1:$SV$206,$B77,Settings!$C$9+27)&amp;"",CHAR(10)," "),CHAR(160)," ")))</f>
        <v/>
      </c>
      <c r="AI77">
        <f>IF($B77="","",IF(F77="","Not rostered",IFERROR(INDEX(Settings!$C$14:$C$33,MATCH(F77,Settings!$B$14:$B$33,0)),IFERROR(LOOKUP(2^15,SEARCH(Settings!$I$14:$I$83,F77)/(Settings!$I$14:$I$83&lt;&gt;""),Settings!$J$14:$J$83),"Other"))))</f>
        <v/>
      </c>
      <c r="AJ77">
        <f>IF($B77="","",IF(G77="","Not rostered",IFERROR(INDEX(Settings!$C$14:$C$33,MATCH(G77,Settings!$B$14:$B$33,0)),IFERROR(LOOKUP(2^15,SEARCH(Settings!$I$14:$I$83,G77)/(Settings!$I$14:$I$83&lt;&gt;""),Settings!$J$14:$J$83),"Other"))))</f>
        <v/>
      </c>
      <c r="AK77">
        <f>IF($B77="","",IF(H77="","Not rostered",IFERROR(INDEX(Settings!$C$14:$C$33,MATCH(H77,Settings!$B$14:$B$33,0)),IFERROR(LOOKUP(2^15,SEARCH(Settings!$I$14:$I$83,H77)/(Settings!$I$14:$I$83&lt;&gt;""),Settings!$J$14:$J$83),"Other"))))</f>
        <v/>
      </c>
      <c r="AL77">
        <f>IF($B77="","",IF(I77="","Not rostered",IFERROR(INDEX(Settings!$C$14:$C$33,MATCH(I77,Settings!$B$14:$B$33,0)),IFERROR(LOOKUP(2^15,SEARCH(Settings!$I$14:$I$83,I77)/(Settings!$I$14:$I$83&lt;&gt;""),Settings!$J$14:$J$83),"Other"))))</f>
        <v/>
      </c>
      <c r="AM77">
        <f>IF($B77="","",IF(J77="","Not rostered",IFERROR(INDEX(Settings!$C$14:$C$33,MATCH(J77,Settings!$B$14:$B$33,0)),IFERROR(LOOKUP(2^15,SEARCH(Settings!$I$14:$I$83,J77)/(Settings!$I$14:$I$83&lt;&gt;""),Settings!$J$14:$J$83),"Other"))))</f>
        <v/>
      </c>
      <c r="AN77">
        <f>IF($B77="","",IF(K77="","Not rostered",IFERROR(INDEX(Settings!$C$14:$C$33,MATCH(K77,Settings!$B$14:$B$33,0)),IFERROR(LOOKUP(2^15,SEARCH(Settings!$I$14:$I$83,K77)/(Settings!$I$14:$I$83&lt;&gt;""),Settings!$J$14:$J$83),"Other"))))</f>
        <v/>
      </c>
      <c r="AO77">
        <f>IF($B77="","",IF(L77="","Not rostered",IFERROR(INDEX(Settings!$C$14:$C$33,MATCH(L77,Settings!$B$14:$B$33,0)),IFERROR(LOOKUP(2^15,SEARCH(Settings!$I$14:$I$83,L77)/(Settings!$I$14:$I$83&lt;&gt;""),Settings!$J$14:$J$83),"Other"))))</f>
        <v/>
      </c>
      <c r="AP77">
        <f>IF($B77="","",IF(M77="","Not rostered",IFERROR(INDEX(Settings!$C$14:$C$33,MATCH(M77,Settings!$B$14:$B$33,0)),IFERROR(LOOKUP(2^15,SEARCH(Settings!$I$14:$I$83,M77)/(Settings!$I$14:$I$83&lt;&gt;""),Settings!$J$14:$J$83),"Other"))))</f>
        <v/>
      </c>
      <c r="AQ77">
        <f>IF($B77="","",IF(N77="","Not rostered",IFERROR(INDEX(Settings!$C$14:$C$33,MATCH(N77,Settings!$B$14:$B$33,0)),IFERROR(LOOKUP(2^15,SEARCH(Settings!$I$14:$I$83,N77)/(Settings!$I$14:$I$83&lt;&gt;""),Settings!$J$14:$J$83),"Other"))))</f>
        <v/>
      </c>
      <c r="AR77">
        <f>IF($B77="","",IF(O77="","Not rostered",IFERROR(INDEX(Settings!$C$14:$C$33,MATCH(O77,Settings!$B$14:$B$33,0)),IFERROR(LOOKUP(2^15,SEARCH(Settings!$I$14:$I$83,O77)/(Settings!$I$14:$I$83&lt;&gt;""),Settings!$J$14:$J$83),"Other"))))</f>
        <v/>
      </c>
      <c r="AS77">
        <f>IF($B77="","",IF(P77="","Not rostered",IFERROR(INDEX(Settings!$C$14:$C$33,MATCH(P77,Settings!$B$14:$B$33,0)),IFERROR(LOOKUP(2^15,SEARCH(Settings!$I$14:$I$83,P77)/(Settings!$I$14:$I$83&lt;&gt;""),Settings!$J$14:$J$83),"Other"))))</f>
        <v/>
      </c>
      <c r="AT77">
        <f>IF($B77="","",IF(Q77="","Not rostered",IFERROR(INDEX(Settings!$C$14:$C$33,MATCH(Q77,Settings!$B$14:$B$33,0)),IFERROR(LOOKUP(2^15,SEARCH(Settings!$I$14:$I$83,Q77)/(Settings!$I$14:$I$83&lt;&gt;""),Settings!$J$14:$J$83),"Other"))))</f>
        <v/>
      </c>
      <c r="AU77">
        <f>IF($B77="","",IF(R77="","Not rostered",IFERROR(INDEX(Settings!$C$14:$C$33,MATCH(R77,Settings!$B$14:$B$33,0)),IFERROR(LOOKUP(2^15,SEARCH(Settings!$I$14:$I$83,R77)/(Settings!$I$14:$I$83&lt;&gt;""),Settings!$J$14:$J$83),"Other"))))</f>
        <v/>
      </c>
      <c r="AV77">
        <f>IF($B77="","",IF(S77="","Not rostered",IFERROR(INDEX(Settings!$C$14:$C$33,MATCH(S77,Settings!$B$14:$B$33,0)),IFERROR(LOOKUP(2^15,SEARCH(Settings!$I$14:$I$83,S77)/(Settings!$I$14:$I$83&lt;&gt;""),Settings!$J$14:$J$83),"Other"))))</f>
        <v/>
      </c>
      <c r="AW77">
        <f>IF($B77="","",IF(T77="","Not rostered",IFERROR(INDEX(Settings!$C$14:$C$33,MATCH(T77,Settings!$B$14:$B$33,0)),IFERROR(LOOKUP(2^15,SEARCH(Settings!$I$14:$I$83,T77)/(Settings!$I$14:$I$83&lt;&gt;""),Settings!$J$14:$J$83),"Other"))))</f>
        <v/>
      </c>
      <c r="AX77">
        <f>IF($B77="","",IF(U77="","Not rostered",IFERROR(INDEX(Settings!$C$14:$C$33,MATCH(U77,Settings!$B$14:$B$33,0)),IFERROR(LOOKUP(2^15,SEARCH(Settings!$I$14:$I$83,U77)/(Settings!$I$14:$I$83&lt;&gt;""),Settings!$J$14:$J$83),"Other"))))</f>
        <v/>
      </c>
      <c r="AY77">
        <f>IF($B77="","",IF(V77="","Not rostered",IFERROR(INDEX(Settings!$C$14:$C$33,MATCH(V77,Settings!$B$14:$B$33,0)),IFERROR(LOOKUP(2^15,SEARCH(Settings!$I$14:$I$83,V77)/(Settings!$I$14:$I$83&lt;&gt;""),Settings!$J$14:$J$83),"Other"))))</f>
        <v/>
      </c>
      <c r="AZ77">
        <f>IF($B77="","",IF(W77="","Not rostered",IFERROR(INDEX(Settings!$C$14:$C$33,MATCH(W77,Settings!$B$14:$B$33,0)),IFERROR(LOOKUP(2^15,SEARCH(Settings!$I$14:$I$83,W77)/(Settings!$I$14:$I$83&lt;&gt;""),Settings!$J$14:$J$83),"Other"))))</f>
        <v/>
      </c>
      <c r="BA77">
        <f>IF($B77="","",IF(X77="","Not rostered",IFERROR(INDEX(Settings!$C$14:$C$33,MATCH(X77,Settings!$B$14:$B$33,0)),IFERROR(LOOKUP(2^15,SEARCH(Settings!$I$14:$I$83,X77)/(Settings!$I$14:$I$83&lt;&gt;""),Settings!$J$14:$J$83),"Other"))))</f>
        <v/>
      </c>
      <c r="BB77">
        <f>IF($B77="","",IF(Y77="","Not rostered",IFERROR(INDEX(Settings!$C$14:$C$33,MATCH(Y77,Settings!$B$14:$B$33,0)),IFERROR(LOOKUP(2^15,SEARCH(Settings!$I$14:$I$83,Y77)/(Settings!$I$14:$I$83&lt;&gt;""),Settings!$J$14:$J$83),"Other"))))</f>
        <v/>
      </c>
      <c r="BC77">
        <f>IF($B77="","",IF(Z77="","Not rostered",IFERROR(INDEX(Settings!$C$14:$C$33,MATCH(Z77,Settings!$B$14:$B$33,0)),IFERROR(LOOKUP(2^15,SEARCH(Settings!$I$14:$I$83,Z77)/(Settings!$I$14:$I$83&lt;&gt;""),Settings!$J$14:$J$83),"Other"))))</f>
        <v/>
      </c>
      <c r="BD77">
        <f>IF($B77="","",IF(AA77="","Not rostered",IFERROR(INDEX(Settings!$C$14:$C$33,MATCH(AA77,Settings!$B$14:$B$33,0)),IFERROR(LOOKUP(2^15,SEARCH(Settings!$I$14:$I$83,AA77)/(Settings!$I$14:$I$83&lt;&gt;""),Settings!$J$14:$J$83),"Other"))))</f>
        <v/>
      </c>
      <c r="BE77">
        <f>IF($B77="","",IF(AB77="","Not rostered",IFERROR(INDEX(Settings!$C$14:$C$33,MATCH(AB77,Settings!$B$14:$B$33,0)),IFERROR(LOOKUP(2^15,SEARCH(Settings!$I$14:$I$83,AB77)/(Settings!$I$14:$I$83&lt;&gt;""),Settings!$J$14:$J$83),"Other"))))</f>
        <v/>
      </c>
      <c r="BF77">
        <f>IF($B77="","",IF(AC77="","Not rostered",IFERROR(INDEX(Settings!$C$14:$C$33,MATCH(AC77,Settings!$B$14:$B$33,0)),IFERROR(LOOKUP(2^15,SEARCH(Settings!$I$14:$I$83,AC77)/(Settings!$I$14:$I$83&lt;&gt;""),Settings!$J$14:$J$83),"Other"))))</f>
        <v/>
      </c>
      <c r="BG77">
        <f>IF($B77="","",IF(AD77="","Not rostered",IFERROR(INDEX(Settings!$C$14:$C$33,MATCH(AD77,Settings!$B$14:$B$33,0)),IFERROR(LOOKUP(2^15,SEARCH(Settings!$I$14:$I$83,AD77)/(Settings!$I$14:$I$83&lt;&gt;""),Settings!$J$14:$J$83),"Other"))))</f>
        <v/>
      </c>
      <c r="BH77">
        <f>IF($B77="","",IF(AE77="","Not rostered",IFERROR(INDEX(Settings!$C$14:$C$33,MATCH(AE77,Settings!$B$14:$B$33,0)),IFERROR(LOOKUP(2^15,SEARCH(Settings!$I$14:$I$83,AE77)/(Settings!$I$14:$I$83&lt;&gt;""),Settings!$J$14:$J$83),"Other"))))</f>
        <v/>
      </c>
      <c r="BI77">
        <f>IF($B77="","",IF(AF77="","Not rostered",IFERROR(INDEX(Settings!$C$14:$C$33,MATCH(AF77,Settings!$B$14:$B$33,0)),IFERROR(LOOKUP(2^15,SEARCH(Settings!$I$14:$I$83,AF77)/(Settings!$I$14:$I$83&lt;&gt;""),Settings!$J$14:$J$83),"Other"))))</f>
        <v/>
      </c>
      <c r="BJ77">
        <f>IF($B77="","",IF(AG77="","Not rostered",IFERROR(INDEX(Settings!$C$14:$C$33,MATCH(AG77,Settings!$B$14:$B$33,0)),IFERROR(LOOKUP(2^15,SEARCH(Settings!$I$14:$I$83,AG77)/(Settings!$I$14:$I$83&lt;&gt;""),Settings!$J$14:$J$83),"Other"))))</f>
        <v/>
      </c>
      <c r="BL77">
        <f>IF(OR($B77="",F77=""),"",IFERROR(INDEX(Settings!$D$14:$D$33,MATCH(F77,Settings!$B$14:$B$33,0))&amp;"",IFERROR(LOOKUP(2^15,SEARCH(Settings!$F$14:$F$43,F77)/(Settings!$F$14:$F$43&lt;&gt;""),Settings!$G$14:$G$43),"")))</f>
        <v/>
      </c>
      <c r="BM77">
        <f>IF(OR($B77="",G77=""),"",IFERROR(INDEX(Settings!$D$14:$D$33,MATCH(G77,Settings!$B$14:$B$33,0))&amp;"",IFERROR(LOOKUP(2^15,SEARCH(Settings!$F$14:$F$43,G77)/(Settings!$F$14:$F$43&lt;&gt;""),Settings!$G$14:$G$43),"")))</f>
        <v/>
      </c>
      <c r="BN77">
        <f>IF(OR($B77="",H77=""),"",IFERROR(INDEX(Settings!$D$14:$D$33,MATCH(H77,Settings!$B$14:$B$33,0))&amp;"",IFERROR(LOOKUP(2^15,SEARCH(Settings!$F$14:$F$43,H77)/(Settings!$F$14:$F$43&lt;&gt;""),Settings!$G$14:$G$43),"")))</f>
        <v/>
      </c>
      <c r="BO77">
        <f>IF(OR($B77="",I77=""),"",IFERROR(INDEX(Settings!$D$14:$D$33,MATCH(I77,Settings!$B$14:$B$33,0))&amp;"",IFERROR(LOOKUP(2^15,SEARCH(Settings!$F$14:$F$43,I77)/(Settings!$F$14:$F$43&lt;&gt;""),Settings!$G$14:$G$43),"")))</f>
        <v/>
      </c>
      <c r="BP77">
        <f>IF(OR($B77="",J77=""),"",IFERROR(INDEX(Settings!$D$14:$D$33,MATCH(J77,Settings!$B$14:$B$33,0))&amp;"",IFERROR(LOOKUP(2^15,SEARCH(Settings!$F$14:$F$43,J77)/(Settings!$F$14:$F$43&lt;&gt;""),Settings!$G$14:$G$43),"")))</f>
        <v/>
      </c>
      <c r="BQ77">
        <f>IF(OR($B77="",K77=""),"",IFERROR(INDEX(Settings!$D$14:$D$33,MATCH(K77,Settings!$B$14:$B$33,0))&amp;"",IFERROR(LOOKUP(2^15,SEARCH(Settings!$F$14:$F$43,K77)/(Settings!$F$14:$F$43&lt;&gt;""),Settings!$G$14:$G$43),"")))</f>
        <v/>
      </c>
      <c r="BR77">
        <f>IF(OR($B77="",L77=""),"",IFERROR(INDEX(Settings!$D$14:$D$33,MATCH(L77,Settings!$B$14:$B$33,0))&amp;"",IFERROR(LOOKUP(2^15,SEARCH(Settings!$F$14:$F$43,L77)/(Settings!$F$14:$F$43&lt;&gt;""),Settings!$G$14:$G$43),"")))</f>
        <v/>
      </c>
      <c r="BS77">
        <f>IF(OR($B77="",M77=""),"",IFERROR(INDEX(Settings!$D$14:$D$33,MATCH(M77,Settings!$B$14:$B$33,0))&amp;"",IFERROR(LOOKUP(2^15,SEARCH(Settings!$F$14:$F$43,M77)/(Settings!$F$14:$F$43&lt;&gt;""),Settings!$G$14:$G$43),"")))</f>
        <v/>
      </c>
      <c r="BT77">
        <f>IF(OR($B77="",N77=""),"",IFERROR(INDEX(Settings!$D$14:$D$33,MATCH(N77,Settings!$B$14:$B$33,0))&amp;"",IFERROR(LOOKUP(2^15,SEARCH(Settings!$F$14:$F$43,N77)/(Settings!$F$14:$F$43&lt;&gt;""),Settings!$G$14:$G$43),"")))</f>
        <v/>
      </c>
      <c r="BU77">
        <f>IF(OR($B77="",O77=""),"",IFERROR(INDEX(Settings!$D$14:$D$33,MATCH(O77,Settings!$B$14:$B$33,0))&amp;"",IFERROR(LOOKUP(2^15,SEARCH(Settings!$F$14:$F$43,O77)/(Settings!$F$14:$F$43&lt;&gt;""),Settings!$G$14:$G$43),"")))</f>
        <v/>
      </c>
      <c r="BV77">
        <f>IF(OR($B77="",P77=""),"",IFERROR(INDEX(Settings!$D$14:$D$33,MATCH(P77,Settings!$B$14:$B$33,0))&amp;"",IFERROR(LOOKUP(2^15,SEARCH(Settings!$F$14:$F$43,P77)/(Settings!$F$14:$F$43&lt;&gt;""),Settings!$G$14:$G$43),"")))</f>
        <v/>
      </c>
      <c r="BW77">
        <f>IF(OR($B77="",Q77=""),"",IFERROR(INDEX(Settings!$D$14:$D$33,MATCH(Q77,Settings!$B$14:$B$33,0))&amp;"",IFERROR(LOOKUP(2^15,SEARCH(Settings!$F$14:$F$43,Q77)/(Settings!$F$14:$F$43&lt;&gt;""),Settings!$G$14:$G$43),"")))</f>
        <v/>
      </c>
      <c r="BX77">
        <f>IF(OR($B77="",R77=""),"",IFERROR(INDEX(Settings!$D$14:$D$33,MATCH(R77,Settings!$B$14:$B$33,0))&amp;"",IFERROR(LOOKUP(2^15,SEARCH(Settings!$F$14:$F$43,R77)/(Settings!$F$14:$F$43&lt;&gt;""),Settings!$G$14:$G$43),"")))</f>
        <v/>
      </c>
      <c r="BY77">
        <f>IF(OR($B77="",S77=""),"",IFERROR(INDEX(Settings!$D$14:$D$33,MATCH(S77,Settings!$B$14:$B$33,0))&amp;"",IFERROR(LOOKUP(2^15,SEARCH(Settings!$F$14:$F$43,S77)/(Settings!$F$14:$F$43&lt;&gt;""),Settings!$G$14:$G$43),"")))</f>
        <v/>
      </c>
      <c r="BZ77">
        <f>IF(OR($B77="",T77=""),"",IFERROR(INDEX(Settings!$D$14:$D$33,MATCH(T77,Settings!$B$14:$B$33,0))&amp;"",IFERROR(LOOKUP(2^15,SEARCH(Settings!$F$14:$F$43,T77)/(Settings!$F$14:$F$43&lt;&gt;""),Settings!$G$14:$G$43),"")))</f>
        <v/>
      </c>
      <c r="CA77">
        <f>IF(OR($B77="",U77=""),"",IFERROR(INDEX(Settings!$D$14:$D$33,MATCH(U77,Settings!$B$14:$B$33,0))&amp;"",IFERROR(LOOKUP(2^15,SEARCH(Settings!$F$14:$F$43,U77)/(Settings!$F$14:$F$43&lt;&gt;""),Settings!$G$14:$G$43),"")))</f>
        <v/>
      </c>
      <c r="CB77">
        <f>IF(OR($B77="",V77=""),"",IFERROR(INDEX(Settings!$D$14:$D$33,MATCH(V77,Settings!$B$14:$B$33,0))&amp;"",IFERROR(LOOKUP(2^15,SEARCH(Settings!$F$14:$F$43,V77)/(Settings!$F$14:$F$43&lt;&gt;""),Settings!$G$14:$G$43),"")))</f>
        <v/>
      </c>
      <c r="CC77">
        <f>IF(OR($B77="",W77=""),"",IFERROR(INDEX(Settings!$D$14:$D$33,MATCH(W77,Settings!$B$14:$B$33,0))&amp;"",IFERROR(LOOKUP(2^15,SEARCH(Settings!$F$14:$F$43,W77)/(Settings!$F$14:$F$43&lt;&gt;""),Settings!$G$14:$G$43),"")))</f>
        <v/>
      </c>
      <c r="CD77">
        <f>IF(OR($B77="",X77=""),"",IFERROR(INDEX(Settings!$D$14:$D$33,MATCH(X77,Settings!$B$14:$B$33,0))&amp;"",IFERROR(LOOKUP(2^15,SEARCH(Settings!$F$14:$F$43,X77)/(Settings!$F$14:$F$43&lt;&gt;""),Settings!$G$14:$G$43),"")))</f>
        <v/>
      </c>
      <c r="CE77">
        <f>IF(OR($B77="",Y77=""),"",IFERROR(INDEX(Settings!$D$14:$D$33,MATCH(Y77,Settings!$B$14:$B$33,0))&amp;"",IFERROR(LOOKUP(2^15,SEARCH(Settings!$F$14:$F$43,Y77)/(Settings!$F$14:$F$43&lt;&gt;""),Settings!$G$14:$G$43),"")))</f>
        <v/>
      </c>
      <c r="CF77">
        <f>IF(OR($B77="",Z77=""),"",IFERROR(INDEX(Settings!$D$14:$D$33,MATCH(Z77,Settings!$B$14:$B$33,0))&amp;"",IFERROR(LOOKUP(2^15,SEARCH(Settings!$F$14:$F$43,Z77)/(Settings!$F$14:$F$43&lt;&gt;""),Settings!$G$14:$G$43),"")))</f>
        <v/>
      </c>
      <c r="CG77">
        <f>IF(OR($B77="",AA77=""),"",IFERROR(INDEX(Settings!$D$14:$D$33,MATCH(AA77,Settings!$B$14:$B$33,0))&amp;"",IFERROR(LOOKUP(2^15,SEARCH(Settings!$F$14:$F$43,AA77)/(Settings!$F$14:$F$43&lt;&gt;""),Settings!$G$14:$G$43),"")))</f>
        <v/>
      </c>
      <c r="CH77">
        <f>IF(OR($B77="",AB77=""),"",IFERROR(INDEX(Settings!$D$14:$D$33,MATCH(AB77,Settings!$B$14:$B$33,0))&amp;"",IFERROR(LOOKUP(2^15,SEARCH(Settings!$F$14:$F$43,AB77)/(Settings!$F$14:$F$43&lt;&gt;""),Settings!$G$14:$G$43),"")))</f>
        <v/>
      </c>
      <c r="CI77">
        <f>IF(OR($B77="",AC77=""),"",IFERROR(INDEX(Settings!$D$14:$D$33,MATCH(AC77,Settings!$B$14:$B$33,0))&amp;"",IFERROR(LOOKUP(2^15,SEARCH(Settings!$F$14:$F$43,AC77)/(Settings!$F$14:$F$43&lt;&gt;""),Settings!$G$14:$G$43),"")))</f>
        <v/>
      </c>
      <c r="CJ77">
        <f>IF(OR($B77="",AD77=""),"",IFERROR(INDEX(Settings!$D$14:$D$33,MATCH(AD77,Settings!$B$14:$B$33,0))&amp;"",IFERROR(LOOKUP(2^15,SEARCH(Settings!$F$14:$F$43,AD77)/(Settings!$F$14:$F$43&lt;&gt;""),Settings!$G$14:$G$43),"")))</f>
        <v/>
      </c>
      <c r="CK77">
        <f>IF(OR($B77="",AE77=""),"",IFERROR(INDEX(Settings!$D$14:$D$33,MATCH(AE77,Settings!$B$14:$B$33,0))&amp;"",IFERROR(LOOKUP(2^15,SEARCH(Settings!$F$14:$F$43,AE77)/(Settings!$F$14:$F$43&lt;&gt;""),Settings!$G$14:$G$43),"")))</f>
        <v/>
      </c>
      <c r="CL77">
        <f>IF(OR($B77="",AF77=""),"",IFERROR(INDEX(Settings!$D$14:$D$33,MATCH(AF77,Settings!$B$14:$B$33,0))&amp;"",IFERROR(LOOKUP(2^15,SEARCH(Settings!$F$14:$F$43,AF77)/(Settings!$F$14:$F$43&lt;&gt;""),Settings!$G$14:$G$43),"")))</f>
        <v/>
      </c>
      <c r="CM77">
        <f>IF(OR($B77="",AG77=""),"",IFERROR(INDEX(Settings!$D$14:$D$33,MATCH(AG77,Settings!$B$14:$B$33,0))&amp;"",IFERROR(LOOKUP(2^15,SEARCH(Settings!$F$14:$F$43,AG77)/(Settings!$F$14:$F$43&lt;&gt;""),Settings!$G$14:$G$43),"")))</f>
        <v/>
      </c>
    </row>
    <row r="78">
      <c r="A78" t="n">
        <v>76</v>
      </c>
      <c r="B78">
        <f>IFERROR(INDEX(Index!$A$2:$A$202,MATCH(A78,Index!$E$2:$E$202,0)),"")</f>
        <v/>
      </c>
      <c r="D78">
        <f>IF($B78="","",IFERROR(MATCH("Travel*",AI78:BJ78,0),""))</f>
        <v/>
      </c>
      <c r="F78">
        <f>IF(OR($B78="",NOT(ISNUMBER(Settings!$C$9))),"",TRIM(SUBSTITUTE(SUBSTITUTE(INDEX('INPUT - Roster'!$S$1:$SV$206,$B78,Settings!$C$9+0)&amp;"",CHAR(10)," "),CHAR(160)," ")))</f>
        <v/>
      </c>
      <c r="G78">
        <f>IF(OR($B78="",NOT(ISNUMBER(Settings!$C$9))),"",TRIM(SUBSTITUTE(SUBSTITUTE(INDEX('INPUT - Roster'!$S$1:$SV$206,$B78,Settings!$C$9+1)&amp;"",CHAR(10)," "),CHAR(160)," ")))</f>
        <v/>
      </c>
      <c r="H78">
        <f>IF(OR($B78="",NOT(ISNUMBER(Settings!$C$9))),"",TRIM(SUBSTITUTE(SUBSTITUTE(INDEX('INPUT - Roster'!$S$1:$SV$206,$B78,Settings!$C$9+2)&amp;"",CHAR(10)," "),CHAR(160)," ")))</f>
        <v/>
      </c>
      <c r="I78">
        <f>IF(OR($B78="",NOT(ISNUMBER(Settings!$C$9))),"",TRIM(SUBSTITUTE(SUBSTITUTE(INDEX('INPUT - Roster'!$S$1:$SV$206,$B78,Settings!$C$9+3)&amp;"",CHAR(10)," "),CHAR(160)," ")))</f>
        <v/>
      </c>
      <c r="J78">
        <f>IF(OR($B78="",NOT(ISNUMBER(Settings!$C$9))),"",TRIM(SUBSTITUTE(SUBSTITUTE(INDEX('INPUT - Roster'!$S$1:$SV$206,$B78,Settings!$C$9+4)&amp;"",CHAR(10)," "),CHAR(160)," ")))</f>
        <v/>
      </c>
      <c r="K78">
        <f>IF(OR($B78="",NOT(ISNUMBER(Settings!$C$9))),"",TRIM(SUBSTITUTE(SUBSTITUTE(INDEX('INPUT - Roster'!$S$1:$SV$206,$B78,Settings!$C$9+5)&amp;"",CHAR(10)," "),CHAR(160)," ")))</f>
        <v/>
      </c>
      <c r="L78">
        <f>IF(OR($B78="",NOT(ISNUMBER(Settings!$C$9))),"",TRIM(SUBSTITUTE(SUBSTITUTE(INDEX('INPUT - Roster'!$S$1:$SV$206,$B78,Settings!$C$9+6)&amp;"",CHAR(10)," "),CHAR(160)," ")))</f>
        <v/>
      </c>
      <c r="M78">
        <f>IF(OR($B78="",NOT(ISNUMBER(Settings!$C$9))),"",TRIM(SUBSTITUTE(SUBSTITUTE(INDEX('INPUT - Roster'!$S$1:$SV$206,$B78,Settings!$C$9+7)&amp;"",CHAR(10)," "),CHAR(160)," ")))</f>
        <v/>
      </c>
      <c r="N78">
        <f>IF(OR($B78="",NOT(ISNUMBER(Settings!$C$9))),"",TRIM(SUBSTITUTE(SUBSTITUTE(INDEX('INPUT - Roster'!$S$1:$SV$206,$B78,Settings!$C$9+8)&amp;"",CHAR(10)," "),CHAR(160)," ")))</f>
        <v/>
      </c>
      <c r="O78">
        <f>IF(OR($B78="",NOT(ISNUMBER(Settings!$C$9))),"",TRIM(SUBSTITUTE(SUBSTITUTE(INDEX('INPUT - Roster'!$S$1:$SV$206,$B78,Settings!$C$9+9)&amp;"",CHAR(10)," "),CHAR(160)," ")))</f>
        <v/>
      </c>
      <c r="P78">
        <f>IF(OR($B78="",NOT(ISNUMBER(Settings!$C$9))),"",TRIM(SUBSTITUTE(SUBSTITUTE(INDEX('INPUT - Roster'!$S$1:$SV$206,$B78,Settings!$C$9+10)&amp;"",CHAR(10)," "),CHAR(160)," ")))</f>
        <v/>
      </c>
      <c r="Q78">
        <f>IF(OR($B78="",NOT(ISNUMBER(Settings!$C$9))),"",TRIM(SUBSTITUTE(SUBSTITUTE(INDEX('INPUT - Roster'!$S$1:$SV$206,$B78,Settings!$C$9+11)&amp;"",CHAR(10)," "),CHAR(160)," ")))</f>
        <v/>
      </c>
      <c r="R78">
        <f>IF(OR($B78="",NOT(ISNUMBER(Settings!$C$9))),"",TRIM(SUBSTITUTE(SUBSTITUTE(INDEX('INPUT - Roster'!$S$1:$SV$206,$B78,Settings!$C$9+12)&amp;"",CHAR(10)," "),CHAR(160)," ")))</f>
        <v/>
      </c>
      <c r="S78">
        <f>IF(OR($B78="",NOT(ISNUMBER(Settings!$C$9))),"",TRIM(SUBSTITUTE(SUBSTITUTE(INDEX('INPUT - Roster'!$S$1:$SV$206,$B78,Settings!$C$9+13)&amp;"",CHAR(10)," "),CHAR(160)," ")))</f>
        <v/>
      </c>
      <c r="T78">
        <f>IF(OR($B78="",NOT(ISNUMBER(Settings!$C$9))),"",TRIM(SUBSTITUTE(SUBSTITUTE(INDEX('INPUT - Roster'!$S$1:$SV$206,$B78,Settings!$C$9+14)&amp;"",CHAR(10)," "),CHAR(160)," ")))</f>
        <v/>
      </c>
      <c r="U78">
        <f>IF(OR($B78="",NOT(ISNUMBER(Settings!$C$9))),"",TRIM(SUBSTITUTE(SUBSTITUTE(INDEX('INPUT - Roster'!$S$1:$SV$206,$B78,Settings!$C$9+15)&amp;"",CHAR(10)," "),CHAR(160)," ")))</f>
        <v/>
      </c>
      <c r="V78">
        <f>IF(OR($B78="",NOT(ISNUMBER(Settings!$C$9))),"",TRIM(SUBSTITUTE(SUBSTITUTE(INDEX('INPUT - Roster'!$S$1:$SV$206,$B78,Settings!$C$9+16)&amp;"",CHAR(10)," "),CHAR(160)," ")))</f>
        <v/>
      </c>
      <c r="W78">
        <f>IF(OR($B78="",NOT(ISNUMBER(Settings!$C$9))),"",TRIM(SUBSTITUTE(SUBSTITUTE(INDEX('INPUT - Roster'!$S$1:$SV$206,$B78,Settings!$C$9+17)&amp;"",CHAR(10)," "),CHAR(160)," ")))</f>
        <v/>
      </c>
      <c r="X78">
        <f>IF(OR($B78="",NOT(ISNUMBER(Settings!$C$9))),"",TRIM(SUBSTITUTE(SUBSTITUTE(INDEX('INPUT - Roster'!$S$1:$SV$206,$B78,Settings!$C$9+18)&amp;"",CHAR(10)," "),CHAR(160)," ")))</f>
        <v/>
      </c>
      <c r="Y78">
        <f>IF(OR($B78="",NOT(ISNUMBER(Settings!$C$9))),"",TRIM(SUBSTITUTE(SUBSTITUTE(INDEX('INPUT - Roster'!$S$1:$SV$206,$B78,Settings!$C$9+19)&amp;"",CHAR(10)," "),CHAR(160)," ")))</f>
        <v/>
      </c>
      <c r="Z78">
        <f>IF(OR($B78="",NOT(ISNUMBER(Settings!$C$9))),"",TRIM(SUBSTITUTE(SUBSTITUTE(INDEX('INPUT - Roster'!$S$1:$SV$206,$B78,Settings!$C$9+20)&amp;"",CHAR(10)," "),CHAR(160)," ")))</f>
        <v/>
      </c>
      <c r="AA78">
        <f>IF(OR($B78="",NOT(ISNUMBER(Settings!$C$9))),"",TRIM(SUBSTITUTE(SUBSTITUTE(INDEX('INPUT - Roster'!$S$1:$SV$206,$B78,Settings!$C$9+21)&amp;"",CHAR(10)," "),CHAR(160)," ")))</f>
        <v/>
      </c>
      <c r="AB78">
        <f>IF(OR($B78="",NOT(ISNUMBER(Settings!$C$9))),"",TRIM(SUBSTITUTE(SUBSTITUTE(INDEX('INPUT - Roster'!$S$1:$SV$206,$B78,Settings!$C$9+22)&amp;"",CHAR(10)," "),CHAR(160)," ")))</f>
        <v/>
      </c>
      <c r="AC78">
        <f>IF(OR($B78="",NOT(ISNUMBER(Settings!$C$9))),"",TRIM(SUBSTITUTE(SUBSTITUTE(INDEX('INPUT - Roster'!$S$1:$SV$206,$B78,Settings!$C$9+23)&amp;"",CHAR(10)," "),CHAR(160)," ")))</f>
        <v/>
      </c>
      <c r="AD78">
        <f>IF(OR($B78="",NOT(ISNUMBER(Settings!$C$9))),"",TRIM(SUBSTITUTE(SUBSTITUTE(INDEX('INPUT - Roster'!$S$1:$SV$206,$B78,Settings!$C$9+24)&amp;"",CHAR(10)," "),CHAR(160)," ")))</f>
        <v/>
      </c>
      <c r="AE78">
        <f>IF(OR($B78="",NOT(ISNUMBER(Settings!$C$9))),"",TRIM(SUBSTITUTE(SUBSTITUTE(INDEX('INPUT - Roster'!$S$1:$SV$206,$B78,Settings!$C$9+25)&amp;"",CHAR(10)," "),CHAR(160)," ")))</f>
        <v/>
      </c>
      <c r="AF78">
        <f>IF(OR($B78="",NOT(ISNUMBER(Settings!$C$9))),"",TRIM(SUBSTITUTE(SUBSTITUTE(INDEX('INPUT - Roster'!$S$1:$SV$206,$B78,Settings!$C$9+26)&amp;"",CHAR(10)," "),CHAR(160)," ")))</f>
        <v/>
      </c>
      <c r="AG78">
        <f>IF(OR($B78="",NOT(ISNUMBER(Settings!$C$9))),"",TRIM(SUBSTITUTE(SUBSTITUTE(INDEX('INPUT - Roster'!$S$1:$SV$206,$B78,Settings!$C$9+27)&amp;"",CHAR(10)," "),CHAR(160)," ")))</f>
        <v/>
      </c>
      <c r="AI78">
        <f>IF($B78="","",IF(F78="","Not rostered",IFERROR(INDEX(Settings!$C$14:$C$33,MATCH(F78,Settings!$B$14:$B$33,0)),IFERROR(LOOKUP(2^15,SEARCH(Settings!$I$14:$I$83,F78)/(Settings!$I$14:$I$83&lt;&gt;""),Settings!$J$14:$J$83),"Other"))))</f>
        <v/>
      </c>
      <c r="AJ78">
        <f>IF($B78="","",IF(G78="","Not rostered",IFERROR(INDEX(Settings!$C$14:$C$33,MATCH(G78,Settings!$B$14:$B$33,0)),IFERROR(LOOKUP(2^15,SEARCH(Settings!$I$14:$I$83,G78)/(Settings!$I$14:$I$83&lt;&gt;""),Settings!$J$14:$J$83),"Other"))))</f>
        <v/>
      </c>
      <c r="AK78">
        <f>IF($B78="","",IF(H78="","Not rostered",IFERROR(INDEX(Settings!$C$14:$C$33,MATCH(H78,Settings!$B$14:$B$33,0)),IFERROR(LOOKUP(2^15,SEARCH(Settings!$I$14:$I$83,H78)/(Settings!$I$14:$I$83&lt;&gt;""),Settings!$J$14:$J$83),"Other"))))</f>
        <v/>
      </c>
      <c r="AL78">
        <f>IF($B78="","",IF(I78="","Not rostered",IFERROR(INDEX(Settings!$C$14:$C$33,MATCH(I78,Settings!$B$14:$B$33,0)),IFERROR(LOOKUP(2^15,SEARCH(Settings!$I$14:$I$83,I78)/(Settings!$I$14:$I$83&lt;&gt;""),Settings!$J$14:$J$83),"Other"))))</f>
        <v/>
      </c>
      <c r="AM78">
        <f>IF($B78="","",IF(J78="","Not rostered",IFERROR(INDEX(Settings!$C$14:$C$33,MATCH(J78,Settings!$B$14:$B$33,0)),IFERROR(LOOKUP(2^15,SEARCH(Settings!$I$14:$I$83,J78)/(Settings!$I$14:$I$83&lt;&gt;""),Settings!$J$14:$J$83),"Other"))))</f>
        <v/>
      </c>
      <c r="AN78">
        <f>IF($B78="","",IF(K78="","Not rostered",IFERROR(INDEX(Settings!$C$14:$C$33,MATCH(K78,Settings!$B$14:$B$33,0)),IFERROR(LOOKUP(2^15,SEARCH(Settings!$I$14:$I$83,K78)/(Settings!$I$14:$I$83&lt;&gt;""),Settings!$J$14:$J$83),"Other"))))</f>
        <v/>
      </c>
      <c r="AO78">
        <f>IF($B78="","",IF(L78="","Not rostered",IFERROR(INDEX(Settings!$C$14:$C$33,MATCH(L78,Settings!$B$14:$B$33,0)),IFERROR(LOOKUP(2^15,SEARCH(Settings!$I$14:$I$83,L78)/(Settings!$I$14:$I$83&lt;&gt;""),Settings!$J$14:$J$83),"Other"))))</f>
        <v/>
      </c>
      <c r="AP78">
        <f>IF($B78="","",IF(M78="","Not rostered",IFERROR(INDEX(Settings!$C$14:$C$33,MATCH(M78,Settings!$B$14:$B$33,0)),IFERROR(LOOKUP(2^15,SEARCH(Settings!$I$14:$I$83,M78)/(Settings!$I$14:$I$83&lt;&gt;""),Settings!$J$14:$J$83),"Other"))))</f>
        <v/>
      </c>
      <c r="AQ78">
        <f>IF($B78="","",IF(N78="","Not rostered",IFERROR(INDEX(Settings!$C$14:$C$33,MATCH(N78,Settings!$B$14:$B$33,0)),IFERROR(LOOKUP(2^15,SEARCH(Settings!$I$14:$I$83,N78)/(Settings!$I$14:$I$83&lt;&gt;""),Settings!$J$14:$J$83),"Other"))))</f>
        <v/>
      </c>
      <c r="AR78">
        <f>IF($B78="","",IF(O78="","Not rostered",IFERROR(INDEX(Settings!$C$14:$C$33,MATCH(O78,Settings!$B$14:$B$33,0)),IFERROR(LOOKUP(2^15,SEARCH(Settings!$I$14:$I$83,O78)/(Settings!$I$14:$I$83&lt;&gt;""),Settings!$J$14:$J$83),"Other"))))</f>
        <v/>
      </c>
      <c r="AS78">
        <f>IF($B78="","",IF(P78="","Not rostered",IFERROR(INDEX(Settings!$C$14:$C$33,MATCH(P78,Settings!$B$14:$B$33,0)),IFERROR(LOOKUP(2^15,SEARCH(Settings!$I$14:$I$83,P78)/(Settings!$I$14:$I$83&lt;&gt;""),Settings!$J$14:$J$83),"Other"))))</f>
        <v/>
      </c>
      <c r="AT78">
        <f>IF($B78="","",IF(Q78="","Not rostered",IFERROR(INDEX(Settings!$C$14:$C$33,MATCH(Q78,Settings!$B$14:$B$33,0)),IFERROR(LOOKUP(2^15,SEARCH(Settings!$I$14:$I$83,Q78)/(Settings!$I$14:$I$83&lt;&gt;""),Settings!$J$14:$J$83),"Other"))))</f>
        <v/>
      </c>
      <c r="AU78">
        <f>IF($B78="","",IF(R78="","Not rostered",IFERROR(INDEX(Settings!$C$14:$C$33,MATCH(R78,Settings!$B$14:$B$33,0)),IFERROR(LOOKUP(2^15,SEARCH(Settings!$I$14:$I$83,R78)/(Settings!$I$14:$I$83&lt;&gt;""),Settings!$J$14:$J$83),"Other"))))</f>
        <v/>
      </c>
      <c r="AV78">
        <f>IF($B78="","",IF(S78="","Not rostered",IFERROR(INDEX(Settings!$C$14:$C$33,MATCH(S78,Settings!$B$14:$B$33,0)),IFERROR(LOOKUP(2^15,SEARCH(Settings!$I$14:$I$83,S78)/(Settings!$I$14:$I$83&lt;&gt;""),Settings!$J$14:$J$83),"Other"))))</f>
        <v/>
      </c>
      <c r="AW78">
        <f>IF($B78="","",IF(T78="","Not rostered",IFERROR(INDEX(Settings!$C$14:$C$33,MATCH(T78,Settings!$B$14:$B$33,0)),IFERROR(LOOKUP(2^15,SEARCH(Settings!$I$14:$I$83,T78)/(Settings!$I$14:$I$83&lt;&gt;""),Settings!$J$14:$J$83),"Other"))))</f>
        <v/>
      </c>
      <c r="AX78">
        <f>IF($B78="","",IF(U78="","Not rostered",IFERROR(INDEX(Settings!$C$14:$C$33,MATCH(U78,Settings!$B$14:$B$33,0)),IFERROR(LOOKUP(2^15,SEARCH(Settings!$I$14:$I$83,U78)/(Settings!$I$14:$I$83&lt;&gt;""),Settings!$J$14:$J$83),"Other"))))</f>
        <v/>
      </c>
      <c r="AY78">
        <f>IF($B78="","",IF(V78="","Not rostered",IFERROR(INDEX(Settings!$C$14:$C$33,MATCH(V78,Settings!$B$14:$B$33,0)),IFERROR(LOOKUP(2^15,SEARCH(Settings!$I$14:$I$83,V78)/(Settings!$I$14:$I$83&lt;&gt;""),Settings!$J$14:$J$83),"Other"))))</f>
        <v/>
      </c>
      <c r="AZ78">
        <f>IF($B78="","",IF(W78="","Not rostered",IFERROR(INDEX(Settings!$C$14:$C$33,MATCH(W78,Settings!$B$14:$B$33,0)),IFERROR(LOOKUP(2^15,SEARCH(Settings!$I$14:$I$83,W78)/(Settings!$I$14:$I$83&lt;&gt;""),Settings!$J$14:$J$83),"Other"))))</f>
        <v/>
      </c>
      <c r="BA78">
        <f>IF($B78="","",IF(X78="","Not rostered",IFERROR(INDEX(Settings!$C$14:$C$33,MATCH(X78,Settings!$B$14:$B$33,0)),IFERROR(LOOKUP(2^15,SEARCH(Settings!$I$14:$I$83,X78)/(Settings!$I$14:$I$83&lt;&gt;""),Settings!$J$14:$J$83),"Other"))))</f>
        <v/>
      </c>
      <c r="BB78">
        <f>IF($B78="","",IF(Y78="","Not rostered",IFERROR(INDEX(Settings!$C$14:$C$33,MATCH(Y78,Settings!$B$14:$B$33,0)),IFERROR(LOOKUP(2^15,SEARCH(Settings!$I$14:$I$83,Y78)/(Settings!$I$14:$I$83&lt;&gt;""),Settings!$J$14:$J$83),"Other"))))</f>
        <v/>
      </c>
      <c r="BC78">
        <f>IF($B78="","",IF(Z78="","Not rostered",IFERROR(INDEX(Settings!$C$14:$C$33,MATCH(Z78,Settings!$B$14:$B$33,0)),IFERROR(LOOKUP(2^15,SEARCH(Settings!$I$14:$I$83,Z78)/(Settings!$I$14:$I$83&lt;&gt;""),Settings!$J$14:$J$83),"Other"))))</f>
        <v/>
      </c>
      <c r="BD78">
        <f>IF($B78="","",IF(AA78="","Not rostered",IFERROR(INDEX(Settings!$C$14:$C$33,MATCH(AA78,Settings!$B$14:$B$33,0)),IFERROR(LOOKUP(2^15,SEARCH(Settings!$I$14:$I$83,AA78)/(Settings!$I$14:$I$83&lt;&gt;""),Settings!$J$14:$J$83),"Other"))))</f>
        <v/>
      </c>
      <c r="BE78">
        <f>IF($B78="","",IF(AB78="","Not rostered",IFERROR(INDEX(Settings!$C$14:$C$33,MATCH(AB78,Settings!$B$14:$B$33,0)),IFERROR(LOOKUP(2^15,SEARCH(Settings!$I$14:$I$83,AB78)/(Settings!$I$14:$I$83&lt;&gt;""),Settings!$J$14:$J$83),"Other"))))</f>
        <v/>
      </c>
      <c r="BF78">
        <f>IF($B78="","",IF(AC78="","Not rostered",IFERROR(INDEX(Settings!$C$14:$C$33,MATCH(AC78,Settings!$B$14:$B$33,0)),IFERROR(LOOKUP(2^15,SEARCH(Settings!$I$14:$I$83,AC78)/(Settings!$I$14:$I$83&lt;&gt;""),Settings!$J$14:$J$83),"Other"))))</f>
        <v/>
      </c>
      <c r="BG78">
        <f>IF($B78="","",IF(AD78="","Not rostered",IFERROR(INDEX(Settings!$C$14:$C$33,MATCH(AD78,Settings!$B$14:$B$33,0)),IFERROR(LOOKUP(2^15,SEARCH(Settings!$I$14:$I$83,AD78)/(Settings!$I$14:$I$83&lt;&gt;""),Settings!$J$14:$J$83),"Other"))))</f>
        <v/>
      </c>
      <c r="BH78">
        <f>IF($B78="","",IF(AE78="","Not rostered",IFERROR(INDEX(Settings!$C$14:$C$33,MATCH(AE78,Settings!$B$14:$B$33,0)),IFERROR(LOOKUP(2^15,SEARCH(Settings!$I$14:$I$83,AE78)/(Settings!$I$14:$I$83&lt;&gt;""),Settings!$J$14:$J$83),"Other"))))</f>
        <v/>
      </c>
      <c r="BI78">
        <f>IF($B78="","",IF(AF78="","Not rostered",IFERROR(INDEX(Settings!$C$14:$C$33,MATCH(AF78,Settings!$B$14:$B$33,0)),IFERROR(LOOKUP(2^15,SEARCH(Settings!$I$14:$I$83,AF78)/(Settings!$I$14:$I$83&lt;&gt;""),Settings!$J$14:$J$83),"Other"))))</f>
        <v/>
      </c>
      <c r="BJ78">
        <f>IF($B78="","",IF(AG78="","Not rostered",IFERROR(INDEX(Settings!$C$14:$C$33,MATCH(AG78,Settings!$B$14:$B$33,0)),IFERROR(LOOKUP(2^15,SEARCH(Settings!$I$14:$I$83,AG78)/(Settings!$I$14:$I$83&lt;&gt;""),Settings!$J$14:$J$83),"Other"))))</f>
        <v/>
      </c>
      <c r="BL78">
        <f>IF(OR($B78="",F78=""),"",IFERROR(INDEX(Settings!$D$14:$D$33,MATCH(F78,Settings!$B$14:$B$33,0))&amp;"",IFERROR(LOOKUP(2^15,SEARCH(Settings!$F$14:$F$43,F78)/(Settings!$F$14:$F$43&lt;&gt;""),Settings!$G$14:$G$43),"")))</f>
        <v/>
      </c>
      <c r="BM78">
        <f>IF(OR($B78="",G78=""),"",IFERROR(INDEX(Settings!$D$14:$D$33,MATCH(G78,Settings!$B$14:$B$33,0))&amp;"",IFERROR(LOOKUP(2^15,SEARCH(Settings!$F$14:$F$43,G78)/(Settings!$F$14:$F$43&lt;&gt;""),Settings!$G$14:$G$43),"")))</f>
        <v/>
      </c>
      <c r="BN78">
        <f>IF(OR($B78="",H78=""),"",IFERROR(INDEX(Settings!$D$14:$D$33,MATCH(H78,Settings!$B$14:$B$33,0))&amp;"",IFERROR(LOOKUP(2^15,SEARCH(Settings!$F$14:$F$43,H78)/(Settings!$F$14:$F$43&lt;&gt;""),Settings!$G$14:$G$43),"")))</f>
        <v/>
      </c>
      <c r="BO78">
        <f>IF(OR($B78="",I78=""),"",IFERROR(INDEX(Settings!$D$14:$D$33,MATCH(I78,Settings!$B$14:$B$33,0))&amp;"",IFERROR(LOOKUP(2^15,SEARCH(Settings!$F$14:$F$43,I78)/(Settings!$F$14:$F$43&lt;&gt;""),Settings!$G$14:$G$43),"")))</f>
        <v/>
      </c>
      <c r="BP78">
        <f>IF(OR($B78="",J78=""),"",IFERROR(INDEX(Settings!$D$14:$D$33,MATCH(J78,Settings!$B$14:$B$33,0))&amp;"",IFERROR(LOOKUP(2^15,SEARCH(Settings!$F$14:$F$43,J78)/(Settings!$F$14:$F$43&lt;&gt;""),Settings!$G$14:$G$43),"")))</f>
        <v/>
      </c>
      <c r="BQ78">
        <f>IF(OR($B78="",K78=""),"",IFERROR(INDEX(Settings!$D$14:$D$33,MATCH(K78,Settings!$B$14:$B$33,0))&amp;"",IFERROR(LOOKUP(2^15,SEARCH(Settings!$F$14:$F$43,K78)/(Settings!$F$14:$F$43&lt;&gt;""),Settings!$G$14:$G$43),"")))</f>
        <v/>
      </c>
      <c r="BR78">
        <f>IF(OR($B78="",L78=""),"",IFERROR(INDEX(Settings!$D$14:$D$33,MATCH(L78,Settings!$B$14:$B$33,0))&amp;"",IFERROR(LOOKUP(2^15,SEARCH(Settings!$F$14:$F$43,L78)/(Settings!$F$14:$F$43&lt;&gt;""),Settings!$G$14:$G$43),"")))</f>
        <v/>
      </c>
      <c r="BS78">
        <f>IF(OR($B78="",M78=""),"",IFERROR(INDEX(Settings!$D$14:$D$33,MATCH(M78,Settings!$B$14:$B$33,0))&amp;"",IFERROR(LOOKUP(2^15,SEARCH(Settings!$F$14:$F$43,M78)/(Settings!$F$14:$F$43&lt;&gt;""),Settings!$G$14:$G$43),"")))</f>
        <v/>
      </c>
      <c r="BT78">
        <f>IF(OR($B78="",N78=""),"",IFERROR(INDEX(Settings!$D$14:$D$33,MATCH(N78,Settings!$B$14:$B$33,0))&amp;"",IFERROR(LOOKUP(2^15,SEARCH(Settings!$F$14:$F$43,N78)/(Settings!$F$14:$F$43&lt;&gt;""),Settings!$G$14:$G$43),"")))</f>
        <v/>
      </c>
      <c r="BU78">
        <f>IF(OR($B78="",O78=""),"",IFERROR(INDEX(Settings!$D$14:$D$33,MATCH(O78,Settings!$B$14:$B$33,0))&amp;"",IFERROR(LOOKUP(2^15,SEARCH(Settings!$F$14:$F$43,O78)/(Settings!$F$14:$F$43&lt;&gt;""),Settings!$G$14:$G$43),"")))</f>
        <v/>
      </c>
      <c r="BV78">
        <f>IF(OR($B78="",P78=""),"",IFERROR(INDEX(Settings!$D$14:$D$33,MATCH(P78,Settings!$B$14:$B$33,0))&amp;"",IFERROR(LOOKUP(2^15,SEARCH(Settings!$F$14:$F$43,P78)/(Settings!$F$14:$F$43&lt;&gt;""),Settings!$G$14:$G$43),"")))</f>
        <v/>
      </c>
      <c r="BW78">
        <f>IF(OR($B78="",Q78=""),"",IFERROR(INDEX(Settings!$D$14:$D$33,MATCH(Q78,Settings!$B$14:$B$33,0))&amp;"",IFERROR(LOOKUP(2^15,SEARCH(Settings!$F$14:$F$43,Q78)/(Settings!$F$14:$F$43&lt;&gt;""),Settings!$G$14:$G$43),"")))</f>
        <v/>
      </c>
      <c r="BX78">
        <f>IF(OR($B78="",R78=""),"",IFERROR(INDEX(Settings!$D$14:$D$33,MATCH(R78,Settings!$B$14:$B$33,0))&amp;"",IFERROR(LOOKUP(2^15,SEARCH(Settings!$F$14:$F$43,R78)/(Settings!$F$14:$F$43&lt;&gt;""),Settings!$G$14:$G$43),"")))</f>
        <v/>
      </c>
      <c r="BY78">
        <f>IF(OR($B78="",S78=""),"",IFERROR(INDEX(Settings!$D$14:$D$33,MATCH(S78,Settings!$B$14:$B$33,0))&amp;"",IFERROR(LOOKUP(2^15,SEARCH(Settings!$F$14:$F$43,S78)/(Settings!$F$14:$F$43&lt;&gt;""),Settings!$G$14:$G$43),"")))</f>
        <v/>
      </c>
      <c r="BZ78">
        <f>IF(OR($B78="",T78=""),"",IFERROR(INDEX(Settings!$D$14:$D$33,MATCH(T78,Settings!$B$14:$B$33,0))&amp;"",IFERROR(LOOKUP(2^15,SEARCH(Settings!$F$14:$F$43,T78)/(Settings!$F$14:$F$43&lt;&gt;""),Settings!$G$14:$G$43),"")))</f>
        <v/>
      </c>
      <c r="CA78">
        <f>IF(OR($B78="",U78=""),"",IFERROR(INDEX(Settings!$D$14:$D$33,MATCH(U78,Settings!$B$14:$B$33,0))&amp;"",IFERROR(LOOKUP(2^15,SEARCH(Settings!$F$14:$F$43,U78)/(Settings!$F$14:$F$43&lt;&gt;""),Settings!$G$14:$G$43),"")))</f>
        <v/>
      </c>
      <c r="CB78">
        <f>IF(OR($B78="",V78=""),"",IFERROR(INDEX(Settings!$D$14:$D$33,MATCH(V78,Settings!$B$14:$B$33,0))&amp;"",IFERROR(LOOKUP(2^15,SEARCH(Settings!$F$14:$F$43,V78)/(Settings!$F$14:$F$43&lt;&gt;""),Settings!$G$14:$G$43),"")))</f>
        <v/>
      </c>
      <c r="CC78">
        <f>IF(OR($B78="",W78=""),"",IFERROR(INDEX(Settings!$D$14:$D$33,MATCH(W78,Settings!$B$14:$B$33,0))&amp;"",IFERROR(LOOKUP(2^15,SEARCH(Settings!$F$14:$F$43,W78)/(Settings!$F$14:$F$43&lt;&gt;""),Settings!$G$14:$G$43),"")))</f>
        <v/>
      </c>
      <c r="CD78">
        <f>IF(OR($B78="",X78=""),"",IFERROR(INDEX(Settings!$D$14:$D$33,MATCH(X78,Settings!$B$14:$B$33,0))&amp;"",IFERROR(LOOKUP(2^15,SEARCH(Settings!$F$14:$F$43,X78)/(Settings!$F$14:$F$43&lt;&gt;""),Settings!$G$14:$G$43),"")))</f>
        <v/>
      </c>
      <c r="CE78">
        <f>IF(OR($B78="",Y78=""),"",IFERROR(INDEX(Settings!$D$14:$D$33,MATCH(Y78,Settings!$B$14:$B$33,0))&amp;"",IFERROR(LOOKUP(2^15,SEARCH(Settings!$F$14:$F$43,Y78)/(Settings!$F$14:$F$43&lt;&gt;""),Settings!$G$14:$G$43),"")))</f>
        <v/>
      </c>
      <c r="CF78">
        <f>IF(OR($B78="",Z78=""),"",IFERROR(INDEX(Settings!$D$14:$D$33,MATCH(Z78,Settings!$B$14:$B$33,0))&amp;"",IFERROR(LOOKUP(2^15,SEARCH(Settings!$F$14:$F$43,Z78)/(Settings!$F$14:$F$43&lt;&gt;""),Settings!$G$14:$G$43),"")))</f>
        <v/>
      </c>
      <c r="CG78">
        <f>IF(OR($B78="",AA78=""),"",IFERROR(INDEX(Settings!$D$14:$D$33,MATCH(AA78,Settings!$B$14:$B$33,0))&amp;"",IFERROR(LOOKUP(2^15,SEARCH(Settings!$F$14:$F$43,AA78)/(Settings!$F$14:$F$43&lt;&gt;""),Settings!$G$14:$G$43),"")))</f>
        <v/>
      </c>
      <c r="CH78">
        <f>IF(OR($B78="",AB78=""),"",IFERROR(INDEX(Settings!$D$14:$D$33,MATCH(AB78,Settings!$B$14:$B$33,0))&amp;"",IFERROR(LOOKUP(2^15,SEARCH(Settings!$F$14:$F$43,AB78)/(Settings!$F$14:$F$43&lt;&gt;""),Settings!$G$14:$G$43),"")))</f>
        <v/>
      </c>
      <c r="CI78">
        <f>IF(OR($B78="",AC78=""),"",IFERROR(INDEX(Settings!$D$14:$D$33,MATCH(AC78,Settings!$B$14:$B$33,0))&amp;"",IFERROR(LOOKUP(2^15,SEARCH(Settings!$F$14:$F$43,AC78)/(Settings!$F$14:$F$43&lt;&gt;""),Settings!$G$14:$G$43),"")))</f>
        <v/>
      </c>
      <c r="CJ78">
        <f>IF(OR($B78="",AD78=""),"",IFERROR(INDEX(Settings!$D$14:$D$33,MATCH(AD78,Settings!$B$14:$B$33,0))&amp;"",IFERROR(LOOKUP(2^15,SEARCH(Settings!$F$14:$F$43,AD78)/(Settings!$F$14:$F$43&lt;&gt;""),Settings!$G$14:$G$43),"")))</f>
        <v/>
      </c>
      <c r="CK78">
        <f>IF(OR($B78="",AE78=""),"",IFERROR(INDEX(Settings!$D$14:$D$33,MATCH(AE78,Settings!$B$14:$B$33,0))&amp;"",IFERROR(LOOKUP(2^15,SEARCH(Settings!$F$14:$F$43,AE78)/(Settings!$F$14:$F$43&lt;&gt;""),Settings!$G$14:$G$43),"")))</f>
        <v/>
      </c>
      <c r="CL78">
        <f>IF(OR($B78="",AF78=""),"",IFERROR(INDEX(Settings!$D$14:$D$33,MATCH(AF78,Settings!$B$14:$B$33,0))&amp;"",IFERROR(LOOKUP(2^15,SEARCH(Settings!$F$14:$F$43,AF78)/(Settings!$F$14:$F$43&lt;&gt;""),Settings!$G$14:$G$43),"")))</f>
        <v/>
      </c>
      <c r="CM78">
        <f>IF(OR($B78="",AG78=""),"",IFERROR(INDEX(Settings!$D$14:$D$33,MATCH(AG78,Settings!$B$14:$B$33,0))&amp;"",IFERROR(LOOKUP(2^15,SEARCH(Settings!$F$14:$F$43,AG78)/(Settings!$F$14:$F$43&lt;&gt;""),Settings!$G$14:$G$43),"")))</f>
        <v/>
      </c>
    </row>
    <row r="79">
      <c r="A79" t="n">
        <v>77</v>
      </c>
      <c r="B79">
        <f>IFERROR(INDEX(Index!$A$2:$A$202,MATCH(A79,Index!$E$2:$E$202,0)),"")</f>
        <v/>
      </c>
      <c r="D79">
        <f>IF($B79="","",IFERROR(MATCH("Travel*",AI79:BJ79,0),""))</f>
        <v/>
      </c>
      <c r="F79">
        <f>IF(OR($B79="",NOT(ISNUMBER(Settings!$C$9))),"",TRIM(SUBSTITUTE(SUBSTITUTE(INDEX('INPUT - Roster'!$S$1:$SV$206,$B79,Settings!$C$9+0)&amp;"",CHAR(10)," "),CHAR(160)," ")))</f>
        <v/>
      </c>
      <c r="G79">
        <f>IF(OR($B79="",NOT(ISNUMBER(Settings!$C$9))),"",TRIM(SUBSTITUTE(SUBSTITUTE(INDEX('INPUT - Roster'!$S$1:$SV$206,$B79,Settings!$C$9+1)&amp;"",CHAR(10)," "),CHAR(160)," ")))</f>
        <v/>
      </c>
      <c r="H79">
        <f>IF(OR($B79="",NOT(ISNUMBER(Settings!$C$9))),"",TRIM(SUBSTITUTE(SUBSTITUTE(INDEX('INPUT - Roster'!$S$1:$SV$206,$B79,Settings!$C$9+2)&amp;"",CHAR(10)," "),CHAR(160)," ")))</f>
        <v/>
      </c>
      <c r="I79">
        <f>IF(OR($B79="",NOT(ISNUMBER(Settings!$C$9))),"",TRIM(SUBSTITUTE(SUBSTITUTE(INDEX('INPUT - Roster'!$S$1:$SV$206,$B79,Settings!$C$9+3)&amp;"",CHAR(10)," "),CHAR(160)," ")))</f>
        <v/>
      </c>
      <c r="J79">
        <f>IF(OR($B79="",NOT(ISNUMBER(Settings!$C$9))),"",TRIM(SUBSTITUTE(SUBSTITUTE(INDEX('INPUT - Roster'!$S$1:$SV$206,$B79,Settings!$C$9+4)&amp;"",CHAR(10)," "),CHAR(160)," ")))</f>
        <v/>
      </c>
      <c r="K79">
        <f>IF(OR($B79="",NOT(ISNUMBER(Settings!$C$9))),"",TRIM(SUBSTITUTE(SUBSTITUTE(INDEX('INPUT - Roster'!$S$1:$SV$206,$B79,Settings!$C$9+5)&amp;"",CHAR(10)," "),CHAR(160)," ")))</f>
        <v/>
      </c>
      <c r="L79">
        <f>IF(OR($B79="",NOT(ISNUMBER(Settings!$C$9))),"",TRIM(SUBSTITUTE(SUBSTITUTE(INDEX('INPUT - Roster'!$S$1:$SV$206,$B79,Settings!$C$9+6)&amp;"",CHAR(10)," "),CHAR(160)," ")))</f>
        <v/>
      </c>
      <c r="M79">
        <f>IF(OR($B79="",NOT(ISNUMBER(Settings!$C$9))),"",TRIM(SUBSTITUTE(SUBSTITUTE(INDEX('INPUT - Roster'!$S$1:$SV$206,$B79,Settings!$C$9+7)&amp;"",CHAR(10)," "),CHAR(160)," ")))</f>
        <v/>
      </c>
      <c r="N79">
        <f>IF(OR($B79="",NOT(ISNUMBER(Settings!$C$9))),"",TRIM(SUBSTITUTE(SUBSTITUTE(INDEX('INPUT - Roster'!$S$1:$SV$206,$B79,Settings!$C$9+8)&amp;"",CHAR(10)," "),CHAR(160)," ")))</f>
        <v/>
      </c>
      <c r="O79">
        <f>IF(OR($B79="",NOT(ISNUMBER(Settings!$C$9))),"",TRIM(SUBSTITUTE(SUBSTITUTE(INDEX('INPUT - Roster'!$S$1:$SV$206,$B79,Settings!$C$9+9)&amp;"",CHAR(10)," "),CHAR(160)," ")))</f>
        <v/>
      </c>
      <c r="P79">
        <f>IF(OR($B79="",NOT(ISNUMBER(Settings!$C$9))),"",TRIM(SUBSTITUTE(SUBSTITUTE(INDEX('INPUT - Roster'!$S$1:$SV$206,$B79,Settings!$C$9+10)&amp;"",CHAR(10)," "),CHAR(160)," ")))</f>
        <v/>
      </c>
      <c r="Q79">
        <f>IF(OR($B79="",NOT(ISNUMBER(Settings!$C$9))),"",TRIM(SUBSTITUTE(SUBSTITUTE(INDEX('INPUT - Roster'!$S$1:$SV$206,$B79,Settings!$C$9+11)&amp;"",CHAR(10)," "),CHAR(160)," ")))</f>
        <v/>
      </c>
      <c r="R79">
        <f>IF(OR($B79="",NOT(ISNUMBER(Settings!$C$9))),"",TRIM(SUBSTITUTE(SUBSTITUTE(INDEX('INPUT - Roster'!$S$1:$SV$206,$B79,Settings!$C$9+12)&amp;"",CHAR(10)," "),CHAR(160)," ")))</f>
        <v/>
      </c>
      <c r="S79">
        <f>IF(OR($B79="",NOT(ISNUMBER(Settings!$C$9))),"",TRIM(SUBSTITUTE(SUBSTITUTE(INDEX('INPUT - Roster'!$S$1:$SV$206,$B79,Settings!$C$9+13)&amp;"",CHAR(10)," "),CHAR(160)," ")))</f>
        <v/>
      </c>
      <c r="T79">
        <f>IF(OR($B79="",NOT(ISNUMBER(Settings!$C$9))),"",TRIM(SUBSTITUTE(SUBSTITUTE(INDEX('INPUT - Roster'!$S$1:$SV$206,$B79,Settings!$C$9+14)&amp;"",CHAR(10)," "),CHAR(160)," ")))</f>
        <v/>
      </c>
      <c r="U79">
        <f>IF(OR($B79="",NOT(ISNUMBER(Settings!$C$9))),"",TRIM(SUBSTITUTE(SUBSTITUTE(INDEX('INPUT - Roster'!$S$1:$SV$206,$B79,Settings!$C$9+15)&amp;"",CHAR(10)," "),CHAR(160)," ")))</f>
        <v/>
      </c>
      <c r="V79">
        <f>IF(OR($B79="",NOT(ISNUMBER(Settings!$C$9))),"",TRIM(SUBSTITUTE(SUBSTITUTE(INDEX('INPUT - Roster'!$S$1:$SV$206,$B79,Settings!$C$9+16)&amp;"",CHAR(10)," "),CHAR(160)," ")))</f>
        <v/>
      </c>
      <c r="W79">
        <f>IF(OR($B79="",NOT(ISNUMBER(Settings!$C$9))),"",TRIM(SUBSTITUTE(SUBSTITUTE(INDEX('INPUT - Roster'!$S$1:$SV$206,$B79,Settings!$C$9+17)&amp;"",CHAR(10)," "),CHAR(160)," ")))</f>
        <v/>
      </c>
      <c r="X79">
        <f>IF(OR($B79="",NOT(ISNUMBER(Settings!$C$9))),"",TRIM(SUBSTITUTE(SUBSTITUTE(INDEX('INPUT - Roster'!$S$1:$SV$206,$B79,Settings!$C$9+18)&amp;"",CHAR(10)," "),CHAR(160)," ")))</f>
        <v/>
      </c>
      <c r="Y79">
        <f>IF(OR($B79="",NOT(ISNUMBER(Settings!$C$9))),"",TRIM(SUBSTITUTE(SUBSTITUTE(INDEX('INPUT - Roster'!$S$1:$SV$206,$B79,Settings!$C$9+19)&amp;"",CHAR(10)," "),CHAR(160)," ")))</f>
        <v/>
      </c>
      <c r="Z79">
        <f>IF(OR($B79="",NOT(ISNUMBER(Settings!$C$9))),"",TRIM(SUBSTITUTE(SUBSTITUTE(INDEX('INPUT - Roster'!$S$1:$SV$206,$B79,Settings!$C$9+20)&amp;"",CHAR(10)," "),CHAR(160)," ")))</f>
        <v/>
      </c>
      <c r="AA79">
        <f>IF(OR($B79="",NOT(ISNUMBER(Settings!$C$9))),"",TRIM(SUBSTITUTE(SUBSTITUTE(INDEX('INPUT - Roster'!$S$1:$SV$206,$B79,Settings!$C$9+21)&amp;"",CHAR(10)," "),CHAR(160)," ")))</f>
        <v/>
      </c>
      <c r="AB79">
        <f>IF(OR($B79="",NOT(ISNUMBER(Settings!$C$9))),"",TRIM(SUBSTITUTE(SUBSTITUTE(INDEX('INPUT - Roster'!$S$1:$SV$206,$B79,Settings!$C$9+22)&amp;"",CHAR(10)," "),CHAR(160)," ")))</f>
        <v/>
      </c>
      <c r="AC79">
        <f>IF(OR($B79="",NOT(ISNUMBER(Settings!$C$9))),"",TRIM(SUBSTITUTE(SUBSTITUTE(INDEX('INPUT - Roster'!$S$1:$SV$206,$B79,Settings!$C$9+23)&amp;"",CHAR(10)," "),CHAR(160)," ")))</f>
        <v/>
      </c>
      <c r="AD79">
        <f>IF(OR($B79="",NOT(ISNUMBER(Settings!$C$9))),"",TRIM(SUBSTITUTE(SUBSTITUTE(INDEX('INPUT - Roster'!$S$1:$SV$206,$B79,Settings!$C$9+24)&amp;"",CHAR(10)," "),CHAR(160)," ")))</f>
        <v/>
      </c>
      <c r="AE79">
        <f>IF(OR($B79="",NOT(ISNUMBER(Settings!$C$9))),"",TRIM(SUBSTITUTE(SUBSTITUTE(INDEX('INPUT - Roster'!$S$1:$SV$206,$B79,Settings!$C$9+25)&amp;"",CHAR(10)," "),CHAR(160)," ")))</f>
        <v/>
      </c>
      <c r="AF79">
        <f>IF(OR($B79="",NOT(ISNUMBER(Settings!$C$9))),"",TRIM(SUBSTITUTE(SUBSTITUTE(INDEX('INPUT - Roster'!$S$1:$SV$206,$B79,Settings!$C$9+26)&amp;"",CHAR(10)," "),CHAR(160)," ")))</f>
        <v/>
      </c>
      <c r="AG79">
        <f>IF(OR($B79="",NOT(ISNUMBER(Settings!$C$9))),"",TRIM(SUBSTITUTE(SUBSTITUTE(INDEX('INPUT - Roster'!$S$1:$SV$206,$B79,Settings!$C$9+27)&amp;"",CHAR(10)," "),CHAR(160)," ")))</f>
        <v/>
      </c>
      <c r="AI79">
        <f>IF($B79="","",IF(F79="","Not rostered",IFERROR(INDEX(Settings!$C$14:$C$33,MATCH(F79,Settings!$B$14:$B$33,0)),IFERROR(LOOKUP(2^15,SEARCH(Settings!$I$14:$I$83,F79)/(Settings!$I$14:$I$83&lt;&gt;""),Settings!$J$14:$J$83),"Other"))))</f>
        <v/>
      </c>
      <c r="AJ79">
        <f>IF($B79="","",IF(G79="","Not rostered",IFERROR(INDEX(Settings!$C$14:$C$33,MATCH(G79,Settings!$B$14:$B$33,0)),IFERROR(LOOKUP(2^15,SEARCH(Settings!$I$14:$I$83,G79)/(Settings!$I$14:$I$83&lt;&gt;""),Settings!$J$14:$J$83),"Other"))))</f>
        <v/>
      </c>
      <c r="AK79">
        <f>IF($B79="","",IF(H79="","Not rostered",IFERROR(INDEX(Settings!$C$14:$C$33,MATCH(H79,Settings!$B$14:$B$33,0)),IFERROR(LOOKUP(2^15,SEARCH(Settings!$I$14:$I$83,H79)/(Settings!$I$14:$I$83&lt;&gt;""),Settings!$J$14:$J$83),"Other"))))</f>
        <v/>
      </c>
      <c r="AL79">
        <f>IF($B79="","",IF(I79="","Not rostered",IFERROR(INDEX(Settings!$C$14:$C$33,MATCH(I79,Settings!$B$14:$B$33,0)),IFERROR(LOOKUP(2^15,SEARCH(Settings!$I$14:$I$83,I79)/(Settings!$I$14:$I$83&lt;&gt;""),Settings!$J$14:$J$83),"Other"))))</f>
        <v/>
      </c>
      <c r="AM79">
        <f>IF($B79="","",IF(J79="","Not rostered",IFERROR(INDEX(Settings!$C$14:$C$33,MATCH(J79,Settings!$B$14:$B$33,0)),IFERROR(LOOKUP(2^15,SEARCH(Settings!$I$14:$I$83,J79)/(Settings!$I$14:$I$83&lt;&gt;""),Settings!$J$14:$J$83),"Other"))))</f>
        <v/>
      </c>
      <c r="AN79">
        <f>IF($B79="","",IF(K79="","Not rostered",IFERROR(INDEX(Settings!$C$14:$C$33,MATCH(K79,Settings!$B$14:$B$33,0)),IFERROR(LOOKUP(2^15,SEARCH(Settings!$I$14:$I$83,K79)/(Settings!$I$14:$I$83&lt;&gt;""),Settings!$J$14:$J$83),"Other"))))</f>
        <v/>
      </c>
      <c r="AO79">
        <f>IF($B79="","",IF(L79="","Not rostered",IFERROR(INDEX(Settings!$C$14:$C$33,MATCH(L79,Settings!$B$14:$B$33,0)),IFERROR(LOOKUP(2^15,SEARCH(Settings!$I$14:$I$83,L79)/(Settings!$I$14:$I$83&lt;&gt;""),Settings!$J$14:$J$83),"Other"))))</f>
        <v/>
      </c>
      <c r="AP79">
        <f>IF($B79="","",IF(M79="","Not rostered",IFERROR(INDEX(Settings!$C$14:$C$33,MATCH(M79,Settings!$B$14:$B$33,0)),IFERROR(LOOKUP(2^15,SEARCH(Settings!$I$14:$I$83,M79)/(Settings!$I$14:$I$83&lt;&gt;""),Settings!$J$14:$J$83),"Other"))))</f>
        <v/>
      </c>
      <c r="AQ79">
        <f>IF($B79="","",IF(N79="","Not rostered",IFERROR(INDEX(Settings!$C$14:$C$33,MATCH(N79,Settings!$B$14:$B$33,0)),IFERROR(LOOKUP(2^15,SEARCH(Settings!$I$14:$I$83,N79)/(Settings!$I$14:$I$83&lt;&gt;""),Settings!$J$14:$J$83),"Other"))))</f>
        <v/>
      </c>
      <c r="AR79">
        <f>IF($B79="","",IF(O79="","Not rostered",IFERROR(INDEX(Settings!$C$14:$C$33,MATCH(O79,Settings!$B$14:$B$33,0)),IFERROR(LOOKUP(2^15,SEARCH(Settings!$I$14:$I$83,O79)/(Settings!$I$14:$I$83&lt;&gt;""),Settings!$J$14:$J$83),"Other"))))</f>
        <v/>
      </c>
      <c r="AS79">
        <f>IF($B79="","",IF(P79="","Not rostered",IFERROR(INDEX(Settings!$C$14:$C$33,MATCH(P79,Settings!$B$14:$B$33,0)),IFERROR(LOOKUP(2^15,SEARCH(Settings!$I$14:$I$83,P79)/(Settings!$I$14:$I$83&lt;&gt;""),Settings!$J$14:$J$83),"Other"))))</f>
        <v/>
      </c>
      <c r="AT79">
        <f>IF($B79="","",IF(Q79="","Not rostered",IFERROR(INDEX(Settings!$C$14:$C$33,MATCH(Q79,Settings!$B$14:$B$33,0)),IFERROR(LOOKUP(2^15,SEARCH(Settings!$I$14:$I$83,Q79)/(Settings!$I$14:$I$83&lt;&gt;""),Settings!$J$14:$J$83),"Other"))))</f>
        <v/>
      </c>
      <c r="AU79">
        <f>IF($B79="","",IF(R79="","Not rostered",IFERROR(INDEX(Settings!$C$14:$C$33,MATCH(R79,Settings!$B$14:$B$33,0)),IFERROR(LOOKUP(2^15,SEARCH(Settings!$I$14:$I$83,R79)/(Settings!$I$14:$I$83&lt;&gt;""),Settings!$J$14:$J$83),"Other"))))</f>
        <v/>
      </c>
      <c r="AV79">
        <f>IF($B79="","",IF(S79="","Not rostered",IFERROR(INDEX(Settings!$C$14:$C$33,MATCH(S79,Settings!$B$14:$B$33,0)),IFERROR(LOOKUP(2^15,SEARCH(Settings!$I$14:$I$83,S79)/(Settings!$I$14:$I$83&lt;&gt;""),Settings!$J$14:$J$83),"Other"))))</f>
        <v/>
      </c>
      <c r="AW79">
        <f>IF($B79="","",IF(T79="","Not rostered",IFERROR(INDEX(Settings!$C$14:$C$33,MATCH(T79,Settings!$B$14:$B$33,0)),IFERROR(LOOKUP(2^15,SEARCH(Settings!$I$14:$I$83,T79)/(Settings!$I$14:$I$83&lt;&gt;""),Settings!$J$14:$J$83),"Other"))))</f>
        <v/>
      </c>
      <c r="AX79">
        <f>IF($B79="","",IF(U79="","Not rostered",IFERROR(INDEX(Settings!$C$14:$C$33,MATCH(U79,Settings!$B$14:$B$33,0)),IFERROR(LOOKUP(2^15,SEARCH(Settings!$I$14:$I$83,U79)/(Settings!$I$14:$I$83&lt;&gt;""),Settings!$J$14:$J$83),"Other"))))</f>
        <v/>
      </c>
      <c r="AY79">
        <f>IF($B79="","",IF(V79="","Not rostered",IFERROR(INDEX(Settings!$C$14:$C$33,MATCH(V79,Settings!$B$14:$B$33,0)),IFERROR(LOOKUP(2^15,SEARCH(Settings!$I$14:$I$83,V79)/(Settings!$I$14:$I$83&lt;&gt;""),Settings!$J$14:$J$83),"Other"))))</f>
        <v/>
      </c>
      <c r="AZ79">
        <f>IF($B79="","",IF(W79="","Not rostered",IFERROR(INDEX(Settings!$C$14:$C$33,MATCH(W79,Settings!$B$14:$B$33,0)),IFERROR(LOOKUP(2^15,SEARCH(Settings!$I$14:$I$83,W79)/(Settings!$I$14:$I$83&lt;&gt;""),Settings!$J$14:$J$83),"Other"))))</f>
        <v/>
      </c>
      <c r="BA79">
        <f>IF($B79="","",IF(X79="","Not rostered",IFERROR(INDEX(Settings!$C$14:$C$33,MATCH(X79,Settings!$B$14:$B$33,0)),IFERROR(LOOKUP(2^15,SEARCH(Settings!$I$14:$I$83,X79)/(Settings!$I$14:$I$83&lt;&gt;""),Settings!$J$14:$J$83),"Other"))))</f>
        <v/>
      </c>
      <c r="BB79">
        <f>IF($B79="","",IF(Y79="","Not rostered",IFERROR(INDEX(Settings!$C$14:$C$33,MATCH(Y79,Settings!$B$14:$B$33,0)),IFERROR(LOOKUP(2^15,SEARCH(Settings!$I$14:$I$83,Y79)/(Settings!$I$14:$I$83&lt;&gt;""),Settings!$J$14:$J$83),"Other"))))</f>
        <v/>
      </c>
      <c r="BC79">
        <f>IF($B79="","",IF(Z79="","Not rostered",IFERROR(INDEX(Settings!$C$14:$C$33,MATCH(Z79,Settings!$B$14:$B$33,0)),IFERROR(LOOKUP(2^15,SEARCH(Settings!$I$14:$I$83,Z79)/(Settings!$I$14:$I$83&lt;&gt;""),Settings!$J$14:$J$83),"Other"))))</f>
        <v/>
      </c>
      <c r="BD79">
        <f>IF($B79="","",IF(AA79="","Not rostered",IFERROR(INDEX(Settings!$C$14:$C$33,MATCH(AA79,Settings!$B$14:$B$33,0)),IFERROR(LOOKUP(2^15,SEARCH(Settings!$I$14:$I$83,AA79)/(Settings!$I$14:$I$83&lt;&gt;""),Settings!$J$14:$J$83),"Other"))))</f>
        <v/>
      </c>
      <c r="BE79">
        <f>IF($B79="","",IF(AB79="","Not rostered",IFERROR(INDEX(Settings!$C$14:$C$33,MATCH(AB79,Settings!$B$14:$B$33,0)),IFERROR(LOOKUP(2^15,SEARCH(Settings!$I$14:$I$83,AB79)/(Settings!$I$14:$I$83&lt;&gt;""),Settings!$J$14:$J$83),"Other"))))</f>
        <v/>
      </c>
      <c r="BF79">
        <f>IF($B79="","",IF(AC79="","Not rostered",IFERROR(INDEX(Settings!$C$14:$C$33,MATCH(AC79,Settings!$B$14:$B$33,0)),IFERROR(LOOKUP(2^15,SEARCH(Settings!$I$14:$I$83,AC79)/(Settings!$I$14:$I$83&lt;&gt;""),Settings!$J$14:$J$83),"Other"))))</f>
        <v/>
      </c>
      <c r="BG79">
        <f>IF($B79="","",IF(AD79="","Not rostered",IFERROR(INDEX(Settings!$C$14:$C$33,MATCH(AD79,Settings!$B$14:$B$33,0)),IFERROR(LOOKUP(2^15,SEARCH(Settings!$I$14:$I$83,AD79)/(Settings!$I$14:$I$83&lt;&gt;""),Settings!$J$14:$J$83),"Other"))))</f>
        <v/>
      </c>
      <c r="BH79">
        <f>IF($B79="","",IF(AE79="","Not rostered",IFERROR(INDEX(Settings!$C$14:$C$33,MATCH(AE79,Settings!$B$14:$B$33,0)),IFERROR(LOOKUP(2^15,SEARCH(Settings!$I$14:$I$83,AE79)/(Settings!$I$14:$I$83&lt;&gt;""),Settings!$J$14:$J$83),"Other"))))</f>
        <v/>
      </c>
      <c r="BI79">
        <f>IF($B79="","",IF(AF79="","Not rostered",IFERROR(INDEX(Settings!$C$14:$C$33,MATCH(AF79,Settings!$B$14:$B$33,0)),IFERROR(LOOKUP(2^15,SEARCH(Settings!$I$14:$I$83,AF79)/(Settings!$I$14:$I$83&lt;&gt;""),Settings!$J$14:$J$83),"Other"))))</f>
        <v/>
      </c>
      <c r="BJ79">
        <f>IF($B79="","",IF(AG79="","Not rostered",IFERROR(INDEX(Settings!$C$14:$C$33,MATCH(AG79,Settings!$B$14:$B$33,0)),IFERROR(LOOKUP(2^15,SEARCH(Settings!$I$14:$I$83,AG79)/(Settings!$I$14:$I$83&lt;&gt;""),Settings!$J$14:$J$83),"Other"))))</f>
        <v/>
      </c>
      <c r="BL79">
        <f>IF(OR($B79="",F79=""),"",IFERROR(INDEX(Settings!$D$14:$D$33,MATCH(F79,Settings!$B$14:$B$33,0))&amp;"",IFERROR(LOOKUP(2^15,SEARCH(Settings!$F$14:$F$43,F79)/(Settings!$F$14:$F$43&lt;&gt;""),Settings!$G$14:$G$43),"")))</f>
        <v/>
      </c>
      <c r="BM79">
        <f>IF(OR($B79="",G79=""),"",IFERROR(INDEX(Settings!$D$14:$D$33,MATCH(G79,Settings!$B$14:$B$33,0))&amp;"",IFERROR(LOOKUP(2^15,SEARCH(Settings!$F$14:$F$43,G79)/(Settings!$F$14:$F$43&lt;&gt;""),Settings!$G$14:$G$43),"")))</f>
        <v/>
      </c>
      <c r="BN79">
        <f>IF(OR($B79="",H79=""),"",IFERROR(INDEX(Settings!$D$14:$D$33,MATCH(H79,Settings!$B$14:$B$33,0))&amp;"",IFERROR(LOOKUP(2^15,SEARCH(Settings!$F$14:$F$43,H79)/(Settings!$F$14:$F$43&lt;&gt;""),Settings!$G$14:$G$43),"")))</f>
        <v/>
      </c>
      <c r="BO79">
        <f>IF(OR($B79="",I79=""),"",IFERROR(INDEX(Settings!$D$14:$D$33,MATCH(I79,Settings!$B$14:$B$33,0))&amp;"",IFERROR(LOOKUP(2^15,SEARCH(Settings!$F$14:$F$43,I79)/(Settings!$F$14:$F$43&lt;&gt;""),Settings!$G$14:$G$43),"")))</f>
        <v/>
      </c>
      <c r="BP79">
        <f>IF(OR($B79="",J79=""),"",IFERROR(INDEX(Settings!$D$14:$D$33,MATCH(J79,Settings!$B$14:$B$33,0))&amp;"",IFERROR(LOOKUP(2^15,SEARCH(Settings!$F$14:$F$43,J79)/(Settings!$F$14:$F$43&lt;&gt;""),Settings!$G$14:$G$43),"")))</f>
        <v/>
      </c>
      <c r="BQ79">
        <f>IF(OR($B79="",K79=""),"",IFERROR(INDEX(Settings!$D$14:$D$33,MATCH(K79,Settings!$B$14:$B$33,0))&amp;"",IFERROR(LOOKUP(2^15,SEARCH(Settings!$F$14:$F$43,K79)/(Settings!$F$14:$F$43&lt;&gt;""),Settings!$G$14:$G$43),"")))</f>
        <v/>
      </c>
      <c r="BR79">
        <f>IF(OR($B79="",L79=""),"",IFERROR(INDEX(Settings!$D$14:$D$33,MATCH(L79,Settings!$B$14:$B$33,0))&amp;"",IFERROR(LOOKUP(2^15,SEARCH(Settings!$F$14:$F$43,L79)/(Settings!$F$14:$F$43&lt;&gt;""),Settings!$G$14:$G$43),"")))</f>
        <v/>
      </c>
      <c r="BS79">
        <f>IF(OR($B79="",M79=""),"",IFERROR(INDEX(Settings!$D$14:$D$33,MATCH(M79,Settings!$B$14:$B$33,0))&amp;"",IFERROR(LOOKUP(2^15,SEARCH(Settings!$F$14:$F$43,M79)/(Settings!$F$14:$F$43&lt;&gt;""),Settings!$G$14:$G$43),"")))</f>
        <v/>
      </c>
      <c r="BT79">
        <f>IF(OR($B79="",N79=""),"",IFERROR(INDEX(Settings!$D$14:$D$33,MATCH(N79,Settings!$B$14:$B$33,0))&amp;"",IFERROR(LOOKUP(2^15,SEARCH(Settings!$F$14:$F$43,N79)/(Settings!$F$14:$F$43&lt;&gt;""),Settings!$G$14:$G$43),"")))</f>
        <v/>
      </c>
      <c r="BU79">
        <f>IF(OR($B79="",O79=""),"",IFERROR(INDEX(Settings!$D$14:$D$33,MATCH(O79,Settings!$B$14:$B$33,0))&amp;"",IFERROR(LOOKUP(2^15,SEARCH(Settings!$F$14:$F$43,O79)/(Settings!$F$14:$F$43&lt;&gt;""),Settings!$G$14:$G$43),"")))</f>
        <v/>
      </c>
      <c r="BV79">
        <f>IF(OR($B79="",P79=""),"",IFERROR(INDEX(Settings!$D$14:$D$33,MATCH(P79,Settings!$B$14:$B$33,0))&amp;"",IFERROR(LOOKUP(2^15,SEARCH(Settings!$F$14:$F$43,P79)/(Settings!$F$14:$F$43&lt;&gt;""),Settings!$G$14:$G$43),"")))</f>
        <v/>
      </c>
      <c r="BW79">
        <f>IF(OR($B79="",Q79=""),"",IFERROR(INDEX(Settings!$D$14:$D$33,MATCH(Q79,Settings!$B$14:$B$33,0))&amp;"",IFERROR(LOOKUP(2^15,SEARCH(Settings!$F$14:$F$43,Q79)/(Settings!$F$14:$F$43&lt;&gt;""),Settings!$G$14:$G$43),"")))</f>
        <v/>
      </c>
      <c r="BX79">
        <f>IF(OR($B79="",R79=""),"",IFERROR(INDEX(Settings!$D$14:$D$33,MATCH(R79,Settings!$B$14:$B$33,0))&amp;"",IFERROR(LOOKUP(2^15,SEARCH(Settings!$F$14:$F$43,R79)/(Settings!$F$14:$F$43&lt;&gt;""),Settings!$G$14:$G$43),"")))</f>
        <v/>
      </c>
      <c r="BY79">
        <f>IF(OR($B79="",S79=""),"",IFERROR(INDEX(Settings!$D$14:$D$33,MATCH(S79,Settings!$B$14:$B$33,0))&amp;"",IFERROR(LOOKUP(2^15,SEARCH(Settings!$F$14:$F$43,S79)/(Settings!$F$14:$F$43&lt;&gt;""),Settings!$G$14:$G$43),"")))</f>
        <v/>
      </c>
      <c r="BZ79">
        <f>IF(OR($B79="",T79=""),"",IFERROR(INDEX(Settings!$D$14:$D$33,MATCH(T79,Settings!$B$14:$B$33,0))&amp;"",IFERROR(LOOKUP(2^15,SEARCH(Settings!$F$14:$F$43,T79)/(Settings!$F$14:$F$43&lt;&gt;""),Settings!$G$14:$G$43),"")))</f>
        <v/>
      </c>
      <c r="CA79">
        <f>IF(OR($B79="",U79=""),"",IFERROR(INDEX(Settings!$D$14:$D$33,MATCH(U79,Settings!$B$14:$B$33,0))&amp;"",IFERROR(LOOKUP(2^15,SEARCH(Settings!$F$14:$F$43,U79)/(Settings!$F$14:$F$43&lt;&gt;""),Settings!$G$14:$G$43),"")))</f>
        <v/>
      </c>
      <c r="CB79">
        <f>IF(OR($B79="",V79=""),"",IFERROR(INDEX(Settings!$D$14:$D$33,MATCH(V79,Settings!$B$14:$B$33,0))&amp;"",IFERROR(LOOKUP(2^15,SEARCH(Settings!$F$14:$F$43,V79)/(Settings!$F$14:$F$43&lt;&gt;""),Settings!$G$14:$G$43),"")))</f>
        <v/>
      </c>
      <c r="CC79">
        <f>IF(OR($B79="",W79=""),"",IFERROR(INDEX(Settings!$D$14:$D$33,MATCH(W79,Settings!$B$14:$B$33,0))&amp;"",IFERROR(LOOKUP(2^15,SEARCH(Settings!$F$14:$F$43,W79)/(Settings!$F$14:$F$43&lt;&gt;""),Settings!$G$14:$G$43),"")))</f>
        <v/>
      </c>
      <c r="CD79">
        <f>IF(OR($B79="",X79=""),"",IFERROR(INDEX(Settings!$D$14:$D$33,MATCH(X79,Settings!$B$14:$B$33,0))&amp;"",IFERROR(LOOKUP(2^15,SEARCH(Settings!$F$14:$F$43,X79)/(Settings!$F$14:$F$43&lt;&gt;""),Settings!$G$14:$G$43),"")))</f>
        <v/>
      </c>
      <c r="CE79">
        <f>IF(OR($B79="",Y79=""),"",IFERROR(INDEX(Settings!$D$14:$D$33,MATCH(Y79,Settings!$B$14:$B$33,0))&amp;"",IFERROR(LOOKUP(2^15,SEARCH(Settings!$F$14:$F$43,Y79)/(Settings!$F$14:$F$43&lt;&gt;""),Settings!$G$14:$G$43),"")))</f>
        <v/>
      </c>
      <c r="CF79">
        <f>IF(OR($B79="",Z79=""),"",IFERROR(INDEX(Settings!$D$14:$D$33,MATCH(Z79,Settings!$B$14:$B$33,0))&amp;"",IFERROR(LOOKUP(2^15,SEARCH(Settings!$F$14:$F$43,Z79)/(Settings!$F$14:$F$43&lt;&gt;""),Settings!$G$14:$G$43),"")))</f>
        <v/>
      </c>
      <c r="CG79">
        <f>IF(OR($B79="",AA79=""),"",IFERROR(INDEX(Settings!$D$14:$D$33,MATCH(AA79,Settings!$B$14:$B$33,0))&amp;"",IFERROR(LOOKUP(2^15,SEARCH(Settings!$F$14:$F$43,AA79)/(Settings!$F$14:$F$43&lt;&gt;""),Settings!$G$14:$G$43),"")))</f>
        <v/>
      </c>
      <c r="CH79">
        <f>IF(OR($B79="",AB79=""),"",IFERROR(INDEX(Settings!$D$14:$D$33,MATCH(AB79,Settings!$B$14:$B$33,0))&amp;"",IFERROR(LOOKUP(2^15,SEARCH(Settings!$F$14:$F$43,AB79)/(Settings!$F$14:$F$43&lt;&gt;""),Settings!$G$14:$G$43),"")))</f>
        <v/>
      </c>
      <c r="CI79">
        <f>IF(OR($B79="",AC79=""),"",IFERROR(INDEX(Settings!$D$14:$D$33,MATCH(AC79,Settings!$B$14:$B$33,0))&amp;"",IFERROR(LOOKUP(2^15,SEARCH(Settings!$F$14:$F$43,AC79)/(Settings!$F$14:$F$43&lt;&gt;""),Settings!$G$14:$G$43),"")))</f>
        <v/>
      </c>
      <c r="CJ79">
        <f>IF(OR($B79="",AD79=""),"",IFERROR(INDEX(Settings!$D$14:$D$33,MATCH(AD79,Settings!$B$14:$B$33,0))&amp;"",IFERROR(LOOKUP(2^15,SEARCH(Settings!$F$14:$F$43,AD79)/(Settings!$F$14:$F$43&lt;&gt;""),Settings!$G$14:$G$43),"")))</f>
        <v/>
      </c>
      <c r="CK79">
        <f>IF(OR($B79="",AE79=""),"",IFERROR(INDEX(Settings!$D$14:$D$33,MATCH(AE79,Settings!$B$14:$B$33,0))&amp;"",IFERROR(LOOKUP(2^15,SEARCH(Settings!$F$14:$F$43,AE79)/(Settings!$F$14:$F$43&lt;&gt;""),Settings!$G$14:$G$43),"")))</f>
        <v/>
      </c>
      <c r="CL79">
        <f>IF(OR($B79="",AF79=""),"",IFERROR(INDEX(Settings!$D$14:$D$33,MATCH(AF79,Settings!$B$14:$B$33,0))&amp;"",IFERROR(LOOKUP(2^15,SEARCH(Settings!$F$14:$F$43,AF79)/(Settings!$F$14:$F$43&lt;&gt;""),Settings!$G$14:$G$43),"")))</f>
        <v/>
      </c>
      <c r="CM79">
        <f>IF(OR($B79="",AG79=""),"",IFERROR(INDEX(Settings!$D$14:$D$33,MATCH(AG79,Settings!$B$14:$B$33,0))&amp;"",IFERROR(LOOKUP(2^15,SEARCH(Settings!$F$14:$F$43,AG79)/(Settings!$F$14:$F$43&lt;&gt;""),Settings!$G$14:$G$43),"")))</f>
        <v/>
      </c>
    </row>
    <row r="80">
      <c r="A80" t="n">
        <v>78</v>
      </c>
      <c r="B80">
        <f>IFERROR(INDEX(Index!$A$2:$A$202,MATCH(A80,Index!$E$2:$E$202,0)),"")</f>
        <v/>
      </c>
      <c r="D80">
        <f>IF($B80="","",IFERROR(MATCH("Travel*",AI80:BJ80,0),""))</f>
        <v/>
      </c>
      <c r="F80">
        <f>IF(OR($B80="",NOT(ISNUMBER(Settings!$C$9))),"",TRIM(SUBSTITUTE(SUBSTITUTE(INDEX('INPUT - Roster'!$S$1:$SV$206,$B80,Settings!$C$9+0)&amp;"",CHAR(10)," "),CHAR(160)," ")))</f>
        <v/>
      </c>
      <c r="G80">
        <f>IF(OR($B80="",NOT(ISNUMBER(Settings!$C$9))),"",TRIM(SUBSTITUTE(SUBSTITUTE(INDEX('INPUT - Roster'!$S$1:$SV$206,$B80,Settings!$C$9+1)&amp;"",CHAR(10)," "),CHAR(160)," ")))</f>
        <v/>
      </c>
      <c r="H80">
        <f>IF(OR($B80="",NOT(ISNUMBER(Settings!$C$9))),"",TRIM(SUBSTITUTE(SUBSTITUTE(INDEX('INPUT - Roster'!$S$1:$SV$206,$B80,Settings!$C$9+2)&amp;"",CHAR(10)," "),CHAR(160)," ")))</f>
        <v/>
      </c>
      <c r="I80">
        <f>IF(OR($B80="",NOT(ISNUMBER(Settings!$C$9))),"",TRIM(SUBSTITUTE(SUBSTITUTE(INDEX('INPUT - Roster'!$S$1:$SV$206,$B80,Settings!$C$9+3)&amp;"",CHAR(10)," "),CHAR(160)," ")))</f>
        <v/>
      </c>
      <c r="J80">
        <f>IF(OR($B80="",NOT(ISNUMBER(Settings!$C$9))),"",TRIM(SUBSTITUTE(SUBSTITUTE(INDEX('INPUT - Roster'!$S$1:$SV$206,$B80,Settings!$C$9+4)&amp;"",CHAR(10)," "),CHAR(160)," ")))</f>
        <v/>
      </c>
      <c r="K80">
        <f>IF(OR($B80="",NOT(ISNUMBER(Settings!$C$9))),"",TRIM(SUBSTITUTE(SUBSTITUTE(INDEX('INPUT - Roster'!$S$1:$SV$206,$B80,Settings!$C$9+5)&amp;"",CHAR(10)," "),CHAR(160)," ")))</f>
        <v/>
      </c>
      <c r="L80">
        <f>IF(OR($B80="",NOT(ISNUMBER(Settings!$C$9))),"",TRIM(SUBSTITUTE(SUBSTITUTE(INDEX('INPUT - Roster'!$S$1:$SV$206,$B80,Settings!$C$9+6)&amp;"",CHAR(10)," "),CHAR(160)," ")))</f>
        <v/>
      </c>
      <c r="M80">
        <f>IF(OR($B80="",NOT(ISNUMBER(Settings!$C$9))),"",TRIM(SUBSTITUTE(SUBSTITUTE(INDEX('INPUT - Roster'!$S$1:$SV$206,$B80,Settings!$C$9+7)&amp;"",CHAR(10)," "),CHAR(160)," ")))</f>
        <v/>
      </c>
      <c r="N80">
        <f>IF(OR($B80="",NOT(ISNUMBER(Settings!$C$9))),"",TRIM(SUBSTITUTE(SUBSTITUTE(INDEX('INPUT - Roster'!$S$1:$SV$206,$B80,Settings!$C$9+8)&amp;"",CHAR(10)," "),CHAR(160)," ")))</f>
        <v/>
      </c>
      <c r="O80">
        <f>IF(OR($B80="",NOT(ISNUMBER(Settings!$C$9))),"",TRIM(SUBSTITUTE(SUBSTITUTE(INDEX('INPUT - Roster'!$S$1:$SV$206,$B80,Settings!$C$9+9)&amp;"",CHAR(10)," "),CHAR(160)," ")))</f>
        <v/>
      </c>
      <c r="P80">
        <f>IF(OR($B80="",NOT(ISNUMBER(Settings!$C$9))),"",TRIM(SUBSTITUTE(SUBSTITUTE(INDEX('INPUT - Roster'!$S$1:$SV$206,$B80,Settings!$C$9+10)&amp;"",CHAR(10)," "),CHAR(160)," ")))</f>
        <v/>
      </c>
      <c r="Q80">
        <f>IF(OR($B80="",NOT(ISNUMBER(Settings!$C$9))),"",TRIM(SUBSTITUTE(SUBSTITUTE(INDEX('INPUT - Roster'!$S$1:$SV$206,$B80,Settings!$C$9+11)&amp;"",CHAR(10)," "),CHAR(160)," ")))</f>
        <v/>
      </c>
      <c r="R80">
        <f>IF(OR($B80="",NOT(ISNUMBER(Settings!$C$9))),"",TRIM(SUBSTITUTE(SUBSTITUTE(INDEX('INPUT - Roster'!$S$1:$SV$206,$B80,Settings!$C$9+12)&amp;"",CHAR(10)," "),CHAR(160)," ")))</f>
        <v/>
      </c>
      <c r="S80">
        <f>IF(OR($B80="",NOT(ISNUMBER(Settings!$C$9))),"",TRIM(SUBSTITUTE(SUBSTITUTE(INDEX('INPUT - Roster'!$S$1:$SV$206,$B80,Settings!$C$9+13)&amp;"",CHAR(10)," "),CHAR(160)," ")))</f>
        <v/>
      </c>
      <c r="T80">
        <f>IF(OR($B80="",NOT(ISNUMBER(Settings!$C$9))),"",TRIM(SUBSTITUTE(SUBSTITUTE(INDEX('INPUT - Roster'!$S$1:$SV$206,$B80,Settings!$C$9+14)&amp;"",CHAR(10)," "),CHAR(160)," ")))</f>
        <v/>
      </c>
      <c r="U80">
        <f>IF(OR($B80="",NOT(ISNUMBER(Settings!$C$9))),"",TRIM(SUBSTITUTE(SUBSTITUTE(INDEX('INPUT - Roster'!$S$1:$SV$206,$B80,Settings!$C$9+15)&amp;"",CHAR(10)," "),CHAR(160)," ")))</f>
        <v/>
      </c>
      <c r="V80">
        <f>IF(OR($B80="",NOT(ISNUMBER(Settings!$C$9))),"",TRIM(SUBSTITUTE(SUBSTITUTE(INDEX('INPUT - Roster'!$S$1:$SV$206,$B80,Settings!$C$9+16)&amp;"",CHAR(10)," "),CHAR(160)," ")))</f>
        <v/>
      </c>
      <c r="W80">
        <f>IF(OR($B80="",NOT(ISNUMBER(Settings!$C$9))),"",TRIM(SUBSTITUTE(SUBSTITUTE(INDEX('INPUT - Roster'!$S$1:$SV$206,$B80,Settings!$C$9+17)&amp;"",CHAR(10)," "),CHAR(160)," ")))</f>
        <v/>
      </c>
      <c r="X80">
        <f>IF(OR($B80="",NOT(ISNUMBER(Settings!$C$9))),"",TRIM(SUBSTITUTE(SUBSTITUTE(INDEX('INPUT - Roster'!$S$1:$SV$206,$B80,Settings!$C$9+18)&amp;"",CHAR(10)," "),CHAR(160)," ")))</f>
        <v/>
      </c>
      <c r="Y80">
        <f>IF(OR($B80="",NOT(ISNUMBER(Settings!$C$9))),"",TRIM(SUBSTITUTE(SUBSTITUTE(INDEX('INPUT - Roster'!$S$1:$SV$206,$B80,Settings!$C$9+19)&amp;"",CHAR(10)," "),CHAR(160)," ")))</f>
        <v/>
      </c>
      <c r="Z80">
        <f>IF(OR($B80="",NOT(ISNUMBER(Settings!$C$9))),"",TRIM(SUBSTITUTE(SUBSTITUTE(INDEX('INPUT - Roster'!$S$1:$SV$206,$B80,Settings!$C$9+20)&amp;"",CHAR(10)," "),CHAR(160)," ")))</f>
        <v/>
      </c>
      <c r="AA80">
        <f>IF(OR($B80="",NOT(ISNUMBER(Settings!$C$9))),"",TRIM(SUBSTITUTE(SUBSTITUTE(INDEX('INPUT - Roster'!$S$1:$SV$206,$B80,Settings!$C$9+21)&amp;"",CHAR(10)," "),CHAR(160)," ")))</f>
        <v/>
      </c>
      <c r="AB80">
        <f>IF(OR($B80="",NOT(ISNUMBER(Settings!$C$9))),"",TRIM(SUBSTITUTE(SUBSTITUTE(INDEX('INPUT - Roster'!$S$1:$SV$206,$B80,Settings!$C$9+22)&amp;"",CHAR(10)," "),CHAR(160)," ")))</f>
        <v/>
      </c>
      <c r="AC80">
        <f>IF(OR($B80="",NOT(ISNUMBER(Settings!$C$9))),"",TRIM(SUBSTITUTE(SUBSTITUTE(INDEX('INPUT - Roster'!$S$1:$SV$206,$B80,Settings!$C$9+23)&amp;"",CHAR(10)," "),CHAR(160)," ")))</f>
        <v/>
      </c>
      <c r="AD80">
        <f>IF(OR($B80="",NOT(ISNUMBER(Settings!$C$9))),"",TRIM(SUBSTITUTE(SUBSTITUTE(INDEX('INPUT - Roster'!$S$1:$SV$206,$B80,Settings!$C$9+24)&amp;"",CHAR(10)," "),CHAR(160)," ")))</f>
        <v/>
      </c>
      <c r="AE80">
        <f>IF(OR($B80="",NOT(ISNUMBER(Settings!$C$9))),"",TRIM(SUBSTITUTE(SUBSTITUTE(INDEX('INPUT - Roster'!$S$1:$SV$206,$B80,Settings!$C$9+25)&amp;"",CHAR(10)," "),CHAR(160)," ")))</f>
        <v/>
      </c>
      <c r="AF80">
        <f>IF(OR($B80="",NOT(ISNUMBER(Settings!$C$9))),"",TRIM(SUBSTITUTE(SUBSTITUTE(INDEX('INPUT - Roster'!$S$1:$SV$206,$B80,Settings!$C$9+26)&amp;"",CHAR(10)," "),CHAR(160)," ")))</f>
        <v/>
      </c>
      <c r="AG80">
        <f>IF(OR($B80="",NOT(ISNUMBER(Settings!$C$9))),"",TRIM(SUBSTITUTE(SUBSTITUTE(INDEX('INPUT - Roster'!$S$1:$SV$206,$B80,Settings!$C$9+27)&amp;"",CHAR(10)," "),CHAR(160)," ")))</f>
        <v/>
      </c>
      <c r="AI80">
        <f>IF($B80="","",IF(F80="","Not rostered",IFERROR(INDEX(Settings!$C$14:$C$33,MATCH(F80,Settings!$B$14:$B$33,0)),IFERROR(LOOKUP(2^15,SEARCH(Settings!$I$14:$I$83,F80)/(Settings!$I$14:$I$83&lt;&gt;""),Settings!$J$14:$J$83),"Other"))))</f>
        <v/>
      </c>
      <c r="AJ80">
        <f>IF($B80="","",IF(G80="","Not rostered",IFERROR(INDEX(Settings!$C$14:$C$33,MATCH(G80,Settings!$B$14:$B$33,0)),IFERROR(LOOKUP(2^15,SEARCH(Settings!$I$14:$I$83,G80)/(Settings!$I$14:$I$83&lt;&gt;""),Settings!$J$14:$J$83),"Other"))))</f>
        <v/>
      </c>
      <c r="AK80">
        <f>IF($B80="","",IF(H80="","Not rostered",IFERROR(INDEX(Settings!$C$14:$C$33,MATCH(H80,Settings!$B$14:$B$33,0)),IFERROR(LOOKUP(2^15,SEARCH(Settings!$I$14:$I$83,H80)/(Settings!$I$14:$I$83&lt;&gt;""),Settings!$J$14:$J$83),"Other"))))</f>
        <v/>
      </c>
      <c r="AL80">
        <f>IF($B80="","",IF(I80="","Not rostered",IFERROR(INDEX(Settings!$C$14:$C$33,MATCH(I80,Settings!$B$14:$B$33,0)),IFERROR(LOOKUP(2^15,SEARCH(Settings!$I$14:$I$83,I80)/(Settings!$I$14:$I$83&lt;&gt;""),Settings!$J$14:$J$83),"Other"))))</f>
        <v/>
      </c>
      <c r="AM80">
        <f>IF($B80="","",IF(J80="","Not rostered",IFERROR(INDEX(Settings!$C$14:$C$33,MATCH(J80,Settings!$B$14:$B$33,0)),IFERROR(LOOKUP(2^15,SEARCH(Settings!$I$14:$I$83,J80)/(Settings!$I$14:$I$83&lt;&gt;""),Settings!$J$14:$J$83),"Other"))))</f>
        <v/>
      </c>
      <c r="AN80">
        <f>IF($B80="","",IF(K80="","Not rostered",IFERROR(INDEX(Settings!$C$14:$C$33,MATCH(K80,Settings!$B$14:$B$33,0)),IFERROR(LOOKUP(2^15,SEARCH(Settings!$I$14:$I$83,K80)/(Settings!$I$14:$I$83&lt;&gt;""),Settings!$J$14:$J$83),"Other"))))</f>
        <v/>
      </c>
      <c r="AO80">
        <f>IF($B80="","",IF(L80="","Not rostered",IFERROR(INDEX(Settings!$C$14:$C$33,MATCH(L80,Settings!$B$14:$B$33,0)),IFERROR(LOOKUP(2^15,SEARCH(Settings!$I$14:$I$83,L80)/(Settings!$I$14:$I$83&lt;&gt;""),Settings!$J$14:$J$83),"Other"))))</f>
        <v/>
      </c>
      <c r="AP80">
        <f>IF($B80="","",IF(M80="","Not rostered",IFERROR(INDEX(Settings!$C$14:$C$33,MATCH(M80,Settings!$B$14:$B$33,0)),IFERROR(LOOKUP(2^15,SEARCH(Settings!$I$14:$I$83,M80)/(Settings!$I$14:$I$83&lt;&gt;""),Settings!$J$14:$J$83),"Other"))))</f>
        <v/>
      </c>
      <c r="AQ80">
        <f>IF($B80="","",IF(N80="","Not rostered",IFERROR(INDEX(Settings!$C$14:$C$33,MATCH(N80,Settings!$B$14:$B$33,0)),IFERROR(LOOKUP(2^15,SEARCH(Settings!$I$14:$I$83,N80)/(Settings!$I$14:$I$83&lt;&gt;""),Settings!$J$14:$J$83),"Other"))))</f>
        <v/>
      </c>
      <c r="AR80">
        <f>IF($B80="","",IF(O80="","Not rostered",IFERROR(INDEX(Settings!$C$14:$C$33,MATCH(O80,Settings!$B$14:$B$33,0)),IFERROR(LOOKUP(2^15,SEARCH(Settings!$I$14:$I$83,O80)/(Settings!$I$14:$I$83&lt;&gt;""),Settings!$J$14:$J$83),"Other"))))</f>
        <v/>
      </c>
      <c r="AS80">
        <f>IF($B80="","",IF(P80="","Not rostered",IFERROR(INDEX(Settings!$C$14:$C$33,MATCH(P80,Settings!$B$14:$B$33,0)),IFERROR(LOOKUP(2^15,SEARCH(Settings!$I$14:$I$83,P80)/(Settings!$I$14:$I$83&lt;&gt;""),Settings!$J$14:$J$83),"Other"))))</f>
        <v/>
      </c>
      <c r="AT80">
        <f>IF($B80="","",IF(Q80="","Not rostered",IFERROR(INDEX(Settings!$C$14:$C$33,MATCH(Q80,Settings!$B$14:$B$33,0)),IFERROR(LOOKUP(2^15,SEARCH(Settings!$I$14:$I$83,Q80)/(Settings!$I$14:$I$83&lt;&gt;""),Settings!$J$14:$J$83),"Other"))))</f>
        <v/>
      </c>
      <c r="AU80">
        <f>IF($B80="","",IF(R80="","Not rostered",IFERROR(INDEX(Settings!$C$14:$C$33,MATCH(R80,Settings!$B$14:$B$33,0)),IFERROR(LOOKUP(2^15,SEARCH(Settings!$I$14:$I$83,R80)/(Settings!$I$14:$I$83&lt;&gt;""),Settings!$J$14:$J$83),"Other"))))</f>
        <v/>
      </c>
      <c r="AV80">
        <f>IF($B80="","",IF(S80="","Not rostered",IFERROR(INDEX(Settings!$C$14:$C$33,MATCH(S80,Settings!$B$14:$B$33,0)),IFERROR(LOOKUP(2^15,SEARCH(Settings!$I$14:$I$83,S80)/(Settings!$I$14:$I$83&lt;&gt;""),Settings!$J$14:$J$83),"Other"))))</f>
        <v/>
      </c>
      <c r="AW80">
        <f>IF($B80="","",IF(T80="","Not rostered",IFERROR(INDEX(Settings!$C$14:$C$33,MATCH(T80,Settings!$B$14:$B$33,0)),IFERROR(LOOKUP(2^15,SEARCH(Settings!$I$14:$I$83,T80)/(Settings!$I$14:$I$83&lt;&gt;""),Settings!$J$14:$J$83),"Other"))))</f>
        <v/>
      </c>
      <c r="AX80">
        <f>IF($B80="","",IF(U80="","Not rostered",IFERROR(INDEX(Settings!$C$14:$C$33,MATCH(U80,Settings!$B$14:$B$33,0)),IFERROR(LOOKUP(2^15,SEARCH(Settings!$I$14:$I$83,U80)/(Settings!$I$14:$I$83&lt;&gt;""),Settings!$J$14:$J$83),"Other"))))</f>
        <v/>
      </c>
      <c r="AY80">
        <f>IF($B80="","",IF(V80="","Not rostered",IFERROR(INDEX(Settings!$C$14:$C$33,MATCH(V80,Settings!$B$14:$B$33,0)),IFERROR(LOOKUP(2^15,SEARCH(Settings!$I$14:$I$83,V80)/(Settings!$I$14:$I$83&lt;&gt;""),Settings!$J$14:$J$83),"Other"))))</f>
        <v/>
      </c>
      <c r="AZ80">
        <f>IF($B80="","",IF(W80="","Not rostered",IFERROR(INDEX(Settings!$C$14:$C$33,MATCH(W80,Settings!$B$14:$B$33,0)),IFERROR(LOOKUP(2^15,SEARCH(Settings!$I$14:$I$83,W80)/(Settings!$I$14:$I$83&lt;&gt;""),Settings!$J$14:$J$83),"Other"))))</f>
        <v/>
      </c>
      <c r="BA80">
        <f>IF($B80="","",IF(X80="","Not rostered",IFERROR(INDEX(Settings!$C$14:$C$33,MATCH(X80,Settings!$B$14:$B$33,0)),IFERROR(LOOKUP(2^15,SEARCH(Settings!$I$14:$I$83,X80)/(Settings!$I$14:$I$83&lt;&gt;""),Settings!$J$14:$J$83),"Other"))))</f>
        <v/>
      </c>
      <c r="BB80">
        <f>IF($B80="","",IF(Y80="","Not rostered",IFERROR(INDEX(Settings!$C$14:$C$33,MATCH(Y80,Settings!$B$14:$B$33,0)),IFERROR(LOOKUP(2^15,SEARCH(Settings!$I$14:$I$83,Y80)/(Settings!$I$14:$I$83&lt;&gt;""),Settings!$J$14:$J$83),"Other"))))</f>
        <v/>
      </c>
      <c r="BC80">
        <f>IF($B80="","",IF(Z80="","Not rostered",IFERROR(INDEX(Settings!$C$14:$C$33,MATCH(Z80,Settings!$B$14:$B$33,0)),IFERROR(LOOKUP(2^15,SEARCH(Settings!$I$14:$I$83,Z80)/(Settings!$I$14:$I$83&lt;&gt;""),Settings!$J$14:$J$83),"Other"))))</f>
        <v/>
      </c>
      <c r="BD80">
        <f>IF($B80="","",IF(AA80="","Not rostered",IFERROR(INDEX(Settings!$C$14:$C$33,MATCH(AA80,Settings!$B$14:$B$33,0)),IFERROR(LOOKUP(2^15,SEARCH(Settings!$I$14:$I$83,AA80)/(Settings!$I$14:$I$83&lt;&gt;""),Settings!$J$14:$J$83),"Other"))))</f>
        <v/>
      </c>
      <c r="BE80">
        <f>IF($B80="","",IF(AB80="","Not rostered",IFERROR(INDEX(Settings!$C$14:$C$33,MATCH(AB80,Settings!$B$14:$B$33,0)),IFERROR(LOOKUP(2^15,SEARCH(Settings!$I$14:$I$83,AB80)/(Settings!$I$14:$I$83&lt;&gt;""),Settings!$J$14:$J$83),"Other"))))</f>
        <v/>
      </c>
      <c r="BF80">
        <f>IF($B80="","",IF(AC80="","Not rostered",IFERROR(INDEX(Settings!$C$14:$C$33,MATCH(AC80,Settings!$B$14:$B$33,0)),IFERROR(LOOKUP(2^15,SEARCH(Settings!$I$14:$I$83,AC80)/(Settings!$I$14:$I$83&lt;&gt;""),Settings!$J$14:$J$83),"Other"))))</f>
        <v/>
      </c>
      <c r="BG80">
        <f>IF($B80="","",IF(AD80="","Not rostered",IFERROR(INDEX(Settings!$C$14:$C$33,MATCH(AD80,Settings!$B$14:$B$33,0)),IFERROR(LOOKUP(2^15,SEARCH(Settings!$I$14:$I$83,AD80)/(Settings!$I$14:$I$83&lt;&gt;""),Settings!$J$14:$J$83),"Other"))))</f>
        <v/>
      </c>
      <c r="BH80">
        <f>IF($B80="","",IF(AE80="","Not rostered",IFERROR(INDEX(Settings!$C$14:$C$33,MATCH(AE80,Settings!$B$14:$B$33,0)),IFERROR(LOOKUP(2^15,SEARCH(Settings!$I$14:$I$83,AE80)/(Settings!$I$14:$I$83&lt;&gt;""),Settings!$J$14:$J$83),"Other"))))</f>
        <v/>
      </c>
      <c r="BI80">
        <f>IF($B80="","",IF(AF80="","Not rostered",IFERROR(INDEX(Settings!$C$14:$C$33,MATCH(AF80,Settings!$B$14:$B$33,0)),IFERROR(LOOKUP(2^15,SEARCH(Settings!$I$14:$I$83,AF80)/(Settings!$I$14:$I$83&lt;&gt;""),Settings!$J$14:$J$83),"Other"))))</f>
        <v/>
      </c>
      <c r="BJ80">
        <f>IF($B80="","",IF(AG80="","Not rostered",IFERROR(INDEX(Settings!$C$14:$C$33,MATCH(AG80,Settings!$B$14:$B$33,0)),IFERROR(LOOKUP(2^15,SEARCH(Settings!$I$14:$I$83,AG80)/(Settings!$I$14:$I$83&lt;&gt;""),Settings!$J$14:$J$83),"Other"))))</f>
        <v/>
      </c>
      <c r="BL80">
        <f>IF(OR($B80="",F80=""),"",IFERROR(INDEX(Settings!$D$14:$D$33,MATCH(F80,Settings!$B$14:$B$33,0))&amp;"",IFERROR(LOOKUP(2^15,SEARCH(Settings!$F$14:$F$43,F80)/(Settings!$F$14:$F$43&lt;&gt;""),Settings!$G$14:$G$43),"")))</f>
        <v/>
      </c>
      <c r="BM80">
        <f>IF(OR($B80="",G80=""),"",IFERROR(INDEX(Settings!$D$14:$D$33,MATCH(G80,Settings!$B$14:$B$33,0))&amp;"",IFERROR(LOOKUP(2^15,SEARCH(Settings!$F$14:$F$43,G80)/(Settings!$F$14:$F$43&lt;&gt;""),Settings!$G$14:$G$43),"")))</f>
        <v/>
      </c>
      <c r="BN80">
        <f>IF(OR($B80="",H80=""),"",IFERROR(INDEX(Settings!$D$14:$D$33,MATCH(H80,Settings!$B$14:$B$33,0))&amp;"",IFERROR(LOOKUP(2^15,SEARCH(Settings!$F$14:$F$43,H80)/(Settings!$F$14:$F$43&lt;&gt;""),Settings!$G$14:$G$43),"")))</f>
        <v/>
      </c>
      <c r="BO80">
        <f>IF(OR($B80="",I80=""),"",IFERROR(INDEX(Settings!$D$14:$D$33,MATCH(I80,Settings!$B$14:$B$33,0))&amp;"",IFERROR(LOOKUP(2^15,SEARCH(Settings!$F$14:$F$43,I80)/(Settings!$F$14:$F$43&lt;&gt;""),Settings!$G$14:$G$43),"")))</f>
        <v/>
      </c>
      <c r="BP80">
        <f>IF(OR($B80="",J80=""),"",IFERROR(INDEX(Settings!$D$14:$D$33,MATCH(J80,Settings!$B$14:$B$33,0))&amp;"",IFERROR(LOOKUP(2^15,SEARCH(Settings!$F$14:$F$43,J80)/(Settings!$F$14:$F$43&lt;&gt;""),Settings!$G$14:$G$43),"")))</f>
        <v/>
      </c>
      <c r="BQ80">
        <f>IF(OR($B80="",K80=""),"",IFERROR(INDEX(Settings!$D$14:$D$33,MATCH(K80,Settings!$B$14:$B$33,0))&amp;"",IFERROR(LOOKUP(2^15,SEARCH(Settings!$F$14:$F$43,K80)/(Settings!$F$14:$F$43&lt;&gt;""),Settings!$G$14:$G$43),"")))</f>
        <v/>
      </c>
      <c r="BR80">
        <f>IF(OR($B80="",L80=""),"",IFERROR(INDEX(Settings!$D$14:$D$33,MATCH(L80,Settings!$B$14:$B$33,0))&amp;"",IFERROR(LOOKUP(2^15,SEARCH(Settings!$F$14:$F$43,L80)/(Settings!$F$14:$F$43&lt;&gt;""),Settings!$G$14:$G$43),"")))</f>
        <v/>
      </c>
      <c r="BS80">
        <f>IF(OR($B80="",M80=""),"",IFERROR(INDEX(Settings!$D$14:$D$33,MATCH(M80,Settings!$B$14:$B$33,0))&amp;"",IFERROR(LOOKUP(2^15,SEARCH(Settings!$F$14:$F$43,M80)/(Settings!$F$14:$F$43&lt;&gt;""),Settings!$G$14:$G$43),"")))</f>
        <v/>
      </c>
      <c r="BT80">
        <f>IF(OR($B80="",N80=""),"",IFERROR(INDEX(Settings!$D$14:$D$33,MATCH(N80,Settings!$B$14:$B$33,0))&amp;"",IFERROR(LOOKUP(2^15,SEARCH(Settings!$F$14:$F$43,N80)/(Settings!$F$14:$F$43&lt;&gt;""),Settings!$G$14:$G$43),"")))</f>
        <v/>
      </c>
      <c r="BU80">
        <f>IF(OR($B80="",O80=""),"",IFERROR(INDEX(Settings!$D$14:$D$33,MATCH(O80,Settings!$B$14:$B$33,0))&amp;"",IFERROR(LOOKUP(2^15,SEARCH(Settings!$F$14:$F$43,O80)/(Settings!$F$14:$F$43&lt;&gt;""),Settings!$G$14:$G$43),"")))</f>
        <v/>
      </c>
      <c r="BV80">
        <f>IF(OR($B80="",P80=""),"",IFERROR(INDEX(Settings!$D$14:$D$33,MATCH(P80,Settings!$B$14:$B$33,0))&amp;"",IFERROR(LOOKUP(2^15,SEARCH(Settings!$F$14:$F$43,P80)/(Settings!$F$14:$F$43&lt;&gt;""),Settings!$G$14:$G$43),"")))</f>
        <v/>
      </c>
      <c r="BW80">
        <f>IF(OR($B80="",Q80=""),"",IFERROR(INDEX(Settings!$D$14:$D$33,MATCH(Q80,Settings!$B$14:$B$33,0))&amp;"",IFERROR(LOOKUP(2^15,SEARCH(Settings!$F$14:$F$43,Q80)/(Settings!$F$14:$F$43&lt;&gt;""),Settings!$G$14:$G$43),"")))</f>
        <v/>
      </c>
      <c r="BX80">
        <f>IF(OR($B80="",R80=""),"",IFERROR(INDEX(Settings!$D$14:$D$33,MATCH(R80,Settings!$B$14:$B$33,0))&amp;"",IFERROR(LOOKUP(2^15,SEARCH(Settings!$F$14:$F$43,R80)/(Settings!$F$14:$F$43&lt;&gt;""),Settings!$G$14:$G$43),"")))</f>
        <v/>
      </c>
      <c r="BY80">
        <f>IF(OR($B80="",S80=""),"",IFERROR(INDEX(Settings!$D$14:$D$33,MATCH(S80,Settings!$B$14:$B$33,0))&amp;"",IFERROR(LOOKUP(2^15,SEARCH(Settings!$F$14:$F$43,S80)/(Settings!$F$14:$F$43&lt;&gt;""),Settings!$G$14:$G$43),"")))</f>
        <v/>
      </c>
      <c r="BZ80">
        <f>IF(OR($B80="",T80=""),"",IFERROR(INDEX(Settings!$D$14:$D$33,MATCH(T80,Settings!$B$14:$B$33,0))&amp;"",IFERROR(LOOKUP(2^15,SEARCH(Settings!$F$14:$F$43,T80)/(Settings!$F$14:$F$43&lt;&gt;""),Settings!$G$14:$G$43),"")))</f>
        <v/>
      </c>
      <c r="CA80">
        <f>IF(OR($B80="",U80=""),"",IFERROR(INDEX(Settings!$D$14:$D$33,MATCH(U80,Settings!$B$14:$B$33,0))&amp;"",IFERROR(LOOKUP(2^15,SEARCH(Settings!$F$14:$F$43,U80)/(Settings!$F$14:$F$43&lt;&gt;""),Settings!$G$14:$G$43),"")))</f>
        <v/>
      </c>
      <c r="CB80">
        <f>IF(OR($B80="",V80=""),"",IFERROR(INDEX(Settings!$D$14:$D$33,MATCH(V80,Settings!$B$14:$B$33,0))&amp;"",IFERROR(LOOKUP(2^15,SEARCH(Settings!$F$14:$F$43,V80)/(Settings!$F$14:$F$43&lt;&gt;""),Settings!$G$14:$G$43),"")))</f>
        <v/>
      </c>
      <c r="CC80">
        <f>IF(OR($B80="",W80=""),"",IFERROR(INDEX(Settings!$D$14:$D$33,MATCH(W80,Settings!$B$14:$B$33,0))&amp;"",IFERROR(LOOKUP(2^15,SEARCH(Settings!$F$14:$F$43,W80)/(Settings!$F$14:$F$43&lt;&gt;""),Settings!$G$14:$G$43),"")))</f>
        <v/>
      </c>
      <c r="CD80">
        <f>IF(OR($B80="",X80=""),"",IFERROR(INDEX(Settings!$D$14:$D$33,MATCH(X80,Settings!$B$14:$B$33,0))&amp;"",IFERROR(LOOKUP(2^15,SEARCH(Settings!$F$14:$F$43,X80)/(Settings!$F$14:$F$43&lt;&gt;""),Settings!$G$14:$G$43),"")))</f>
        <v/>
      </c>
      <c r="CE80">
        <f>IF(OR($B80="",Y80=""),"",IFERROR(INDEX(Settings!$D$14:$D$33,MATCH(Y80,Settings!$B$14:$B$33,0))&amp;"",IFERROR(LOOKUP(2^15,SEARCH(Settings!$F$14:$F$43,Y80)/(Settings!$F$14:$F$43&lt;&gt;""),Settings!$G$14:$G$43),"")))</f>
        <v/>
      </c>
      <c r="CF80">
        <f>IF(OR($B80="",Z80=""),"",IFERROR(INDEX(Settings!$D$14:$D$33,MATCH(Z80,Settings!$B$14:$B$33,0))&amp;"",IFERROR(LOOKUP(2^15,SEARCH(Settings!$F$14:$F$43,Z80)/(Settings!$F$14:$F$43&lt;&gt;""),Settings!$G$14:$G$43),"")))</f>
        <v/>
      </c>
      <c r="CG80">
        <f>IF(OR($B80="",AA80=""),"",IFERROR(INDEX(Settings!$D$14:$D$33,MATCH(AA80,Settings!$B$14:$B$33,0))&amp;"",IFERROR(LOOKUP(2^15,SEARCH(Settings!$F$14:$F$43,AA80)/(Settings!$F$14:$F$43&lt;&gt;""),Settings!$G$14:$G$43),"")))</f>
        <v/>
      </c>
      <c r="CH80">
        <f>IF(OR($B80="",AB80=""),"",IFERROR(INDEX(Settings!$D$14:$D$33,MATCH(AB80,Settings!$B$14:$B$33,0))&amp;"",IFERROR(LOOKUP(2^15,SEARCH(Settings!$F$14:$F$43,AB80)/(Settings!$F$14:$F$43&lt;&gt;""),Settings!$G$14:$G$43),"")))</f>
        <v/>
      </c>
      <c r="CI80">
        <f>IF(OR($B80="",AC80=""),"",IFERROR(INDEX(Settings!$D$14:$D$33,MATCH(AC80,Settings!$B$14:$B$33,0))&amp;"",IFERROR(LOOKUP(2^15,SEARCH(Settings!$F$14:$F$43,AC80)/(Settings!$F$14:$F$43&lt;&gt;""),Settings!$G$14:$G$43),"")))</f>
        <v/>
      </c>
      <c r="CJ80">
        <f>IF(OR($B80="",AD80=""),"",IFERROR(INDEX(Settings!$D$14:$D$33,MATCH(AD80,Settings!$B$14:$B$33,0))&amp;"",IFERROR(LOOKUP(2^15,SEARCH(Settings!$F$14:$F$43,AD80)/(Settings!$F$14:$F$43&lt;&gt;""),Settings!$G$14:$G$43),"")))</f>
        <v/>
      </c>
      <c r="CK80">
        <f>IF(OR($B80="",AE80=""),"",IFERROR(INDEX(Settings!$D$14:$D$33,MATCH(AE80,Settings!$B$14:$B$33,0))&amp;"",IFERROR(LOOKUP(2^15,SEARCH(Settings!$F$14:$F$43,AE80)/(Settings!$F$14:$F$43&lt;&gt;""),Settings!$G$14:$G$43),"")))</f>
        <v/>
      </c>
      <c r="CL80">
        <f>IF(OR($B80="",AF80=""),"",IFERROR(INDEX(Settings!$D$14:$D$33,MATCH(AF80,Settings!$B$14:$B$33,0))&amp;"",IFERROR(LOOKUP(2^15,SEARCH(Settings!$F$14:$F$43,AF80)/(Settings!$F$14:$F$43&lt;&gt;""),Settings!$G$14:$G$43),"")))</f>
        <v/>
      </c>
      <c r="CM80">
        <f>IF(OR($B80="",AG80=""),"",IFERROR(INDEX(Settings!$D$14:$D$33,MATCH(AG80,Settings!$B$14:$B$33,0))&amp;"",IFERROR(LOOKUP(2^15,SEARCH(Settings!$F$14:$F$43,AG80)/(Settings!$F$14:$F$43&lt;&gt;""),Settings!$G$14:$G$43),"")))</f>
        <v/>
      </c>
    </row>
    <row r="81">
      <c r="A81" t="n">
        <v>79</v>
      </c>
      <c r="B81">
        <f>IFERROR(INDEX(Index!$A$2:$A$202,MATCH(A81,Index!$E$2:$E$202,0)),"")</f>
        <v/>
      </c>
      <c r="D81">
        <f>IF($B81="","",IFERROR(MATCH("Travel*",AI81:BJ81,0),""))</f>
        <v/>
      </c>
      <c r="F81">
        <f>IF(OR($B81="",NOT(ISNUMBER(Settings!$C$9))),"",TRIM(SUBSTITUTE(SUBSTITUTE(INDEX('INPUT - Roster'!$S$1:$SV$206,$B81,Settings!$C$9+0)&amp;"",CHAR(10)," "),CHAR(160)," ")))</f>
        <v/>
      </c>
      <c r="G81">
        <f>IF(OR($B81="",NOT(ISNUMBER(Settings!$C$9))),"",TRIM(SUBSTITUTE(SUBSTITUTE(INDEX('INPUT - Roster'!$S$1:$SV$206,$B81,Settings!$C$9+1)&amp;"",CHAR(10)," "),CHAR(160)," ")))</f>
        <v/>
      </c>
      <c r="H81">
        <f>IF(OR($B81="",NOT(ISNUMBER(Settings!$C$9))),"",TRIM(SUBSTITUTE(SUBSTITUTE(INDEX('INPUT - Roster'!$S$1:$SV$206,$B81,Settings!$C$9+2)&amp;"",CHAR(10)," "),CHAR(160)," ")))</f>
        <v/>
      </c>
      <c r="I81">
        <f>IF(OR($B81="",NOT(ISNUMBER(Settings!$C$9))),"",TRIM(SUBSTITUTE(SUBSTITUTE(INDEX('INPUT - Roster'!$S$1:$SV$206,$B81,Settings!$C$9+3)&amp;"",CHAR(10)," "),CHAR(160)," ")))</f>
        <v/>
      </c>
      <c r="J81">
        <f>IF(OR($B81="",NOT(ISNUMBER(Settings!$C$9))),"",TRIM(SUBSTITUTE(SUBSTITUTE(INDEX('INPUT - Roster'!$S$1:$SV$206,$B81,Settings!$C$9+4)&amp;"",CHAR(10)," "),CHAR(160)," ")))</f>
        <v/>
      </c>
      <c r="K81">
        <f>IF(OR($B81="",NOT(ISNUMBER(Settings!$C$9))),"",TRIM(SUBSTITUTE(SUBSTITUTE(INDEX('INPUT - Roster'!$S$1:$SV$206,$B81,Settings!$C$9+5)&amp;"",CHAR(10)," "),CHAR(160)," ")))</f>
        <v/>
      </c>
      <c r="L81">
        <f>IF(OR($B81="",NOT(ISNUMBER(Settings!$C$9))),"",TRIM(SUBSTITUTE(SUBSTITUTE(INDEX('INPUT - Roster'!$S$1:$SV$206,$B81,Settings!$C$9+6)&amp;"",CHAR(10)," "),CHAR(160)," ")))</f>
        <v/>
      </c>
      <c r="M81">
        <f>IF(OR($B81="",NOT(ISNUMBER(Settings!$C$9))),"",TRIM(SUBSTITUTE(SUBSTITUTE(INDEX('INPUT - Roster'!$S$1:$SV$206,$B81,Settings!$C$9+7)&amp;"",CHAR(10)," "),CHAR(160)," ")))</f>
        <v/>
      </c>
      <c r="N81">
        <f>IF(OR($B81="",NOT(ISNUMBER(Settings!$C$9))),"",TRIM(SUBSTITUTE(SUBSTITUTE(INDEX('INPUT - Roster'!$S$1:$SV$206,$B81,Settings!$C$9+8)&amp;"",CHAR(10)," "),CHAR(160)," ")))</f>
        <v/>
      </c>
      <c r="O81">
        <f>IF(OR($B81="",NOT(ISNUMBER(Settings!$C$9))),"",TRIM(SUBSTITUTE(SUBSTITUTE(INDEX('INPUT - Roster'!$S$1:$SV$206,$B81,Settings!$C$9+9)&amp;"",CHAR(10)," "),CHAR(160)," ")))</f>
        <v/>
      </c>
      <c r="P81">
        <f>IF(OR($B81="",NOT(ISNUMBER(Settings!$C$9))),"",TRIM(SUBSTITUTE(SUBSTITUTE(INDEX('INPUT - Roster'!$S$1:$SV$206,$B81,Settings!$C$9+10)&amp;"",CHAR(10)," "),CHAR(160)," ")))</f>
        <v/>
      </c>
      <c r="Q81">
        <f>IF(OR($B81="",NOT(ISNUMBER(Settings!$C$9))),"",TRIM(SUBSTITUTE(SUBSTITUTE(INDEX('INPUT - Roster'!$S$1:$SV$206,$B81,Settings!$C$9+11)&amp;"",CHAR(10)," "),CHAR(160)," ")))</f>
        <v/>
      </c>
      <c r="R81">
        <f>IF(OR($B81="",NOT(ISNUMBER(Settings!$C$9))),"",TRIM(SUBSTITUTE(SUBSTITUTE(INDEX('INPUT - Roster'!$S$1:$SV$206,$B81,Settings!$C$9+12)&amp;"",CHAR(10)," "),CHAR(160)," ")))</f>
        <v/>
      </c>
      <c r="S81">
        <f>IF(OR($B81="",NOT(ISNUMBER(Settings!$C$9))),"",TRIM(SUBSTITUTE(SUBSTITUTE(INDEX('INPUT - Roster'!$S$1:$SV$206,$B81,Settings!$C$9+13)&amp;"",CHAR(10)," "),CHAR(160)," ")))</f>
        <v/>
      </c>
      <c r="T81">
        <f>IF(OR($B81="",NOT(ISNUMBER(Settings!$C$9))),"",TRIM(SUBSTITUTE(SUBSTITUTE(INDEX('INPUT - Roster'!$S$1:$SV$206,$B81,Settings!$C$9+14)&amp;"",CHAR(10)," "),CHAR(160)," ")))</f>
        <v/>
      </c>
      <c r="U81">
        <f>IF(OR($B81="",NOT(ISNUMBER(Settings!$C$9))),"",TRIM(SUBSTITUTE(SUBSTITUTE(INDEX('INPUT - Roster'!$S$1:$SV$206,$B81,Settings!$C$9+15)&amp;"",CHAR(10)," "),CHAR(160)," ")))</f>
        <v/>
      </c>
      <c r="V81">
        <f>IF(OR($B81="",NOT(ISNUMBER(Settings!$C$9))),"",TRIM(SUBSTITUTE(SUBSTITUTE(INDEX('INPUT - Roster'!$S$1:$SV$206,$B81,Settings!$C$9+16)&amp;"",CHAR(10)," "),CHAR(160)," ")))</f>
        <v/>
      </c>
      <c r="W81">
        <f>IF(OR($B81="",NOT(ISNUMBER(Settings!$C$9))),"",TRIM(SUBSTITUTE(SUBSTITUTE(INDEX('INPUT - Roster'!$S$1:$SV$206,$B81,Settings!$C$9+17)&amp;"",CHAR(10)," "),CHAR(160)," ")))</f>
        <v/>
      </c>
      <c r="X81">
        <f>IF(OR($B81="",NOT(ISNUMBER(Settings!$C$9))),"",TRIM(SUBSTITUTE(SUBSTITUTE(INDEX('INPUT - Roster'!$S$1:$SV$206,$B81,Settings!$C$9+18)&amp;"",CHAR(10)," "),CHAR(160)," ")))</f>
        <v/>
      </c>
      <c r="Y81">
        <f>IF(OR($B81="",NOT(ISNUMBER(Settings!$C$9))),"",TRIM(SUBSTITUTE(SUBSTITUTE(INDEX('INPUT - Roster'!$S$1:$SV$206,$B81,Settings!$C$9+19)&amp;"",CHAR(10)," "),CHAR(160)," ")))</f>
        <v/>
      </c>
      <c r="Z81">
        <f>IF(OR($B81="",NOT(ISNUMBER(Settings!$C$9))),"",TRIM(SUBSTITUTE(SUBSTITUTE(INDEX('INPUT - Roster'!$S$1:$SV$206,$B81,Settings!$C$9+20)&amp;"",CHAR(10)," "),CHAR(160)," ")))</f>
        <v/>
      </c>
      <c r="AA81">
        <f>IF(OR($B81="",NOT(ISNUMBER(Settings!$C$9))),"",TRIM(SUBSTITUTE(SUBSTITUTE(INDEX('INPUT - Roster'!$S$1:$SV$206,$B81,Settings!$C$9+21)&amp;"",CHAR(10)," "),CHAR(160)," ")))</f>
        <v/>
      </c>
      <c r="AB81">
        <f>IF(OR($B81="",NOT(ISNUMBER(Settings!$C$9))),"",TRIM(SUBSTITUTE(SUBSTITUTE(INDEX('INPUT - Roster'!$S$1:$SV$206,$B81,Settings!$C$9+22)&amp;"",CHAR(10)," "),CHAR(160)," ")))</f>
        <v/>
      </c>
      <c r="AC81">
        <f>IF(OR($B81="",NOT(ISNUMBER(Settings!$C$9))),"",TRIM(SUBSTITUTE(SUBSTITUTE(INDEX('INPUT - Roster'!$S$1:$SV$206,$B81,Settings!$C$9+23)&amp;"",CHAR(10)," "),CHAR(160)," ")))</f>
        <v/>
      </c>
      <c r="AD81">
        <f>IF(OR($B81="",NOT(ISNUMBER(Settings!$C$9))),"",TRIM(SUBSTITUTE(SUBSTITUTE(INDEX('INPUT - Roster'!$S$1:$SV$206,$B81,Settings!$C$9+24)&amp;"",CHAR(10)," "),CHAR(160)," ")))</f>
        <v/>
      </c>
      <c r="AE81">
        <f>IF(OR($B81="",NOT(ISNUMBER(Settings!$C$9))),"",TRIM(SUBSTITUTE(SUBSTITUTE(INDEX('INPUT - Roster'!$S$1:$SV$206,$B81,Settings!$C$9+25)&amp;"",CHAR(10)," "),CHAR(160)," ")))</f>
        <v/>
      </c>
      <c r="AF81">
        <f>IF(OR($B81="",NOT(ISNUMBER(Settings!$C$9))),"",TRIM(SUBSTITUTE(SUBSTITUTE(INDEX('INPUT - Roster'!$S$1:$SV$206,$B81,Settings!$C$9+26)&amp;"",CHAR(10)," "),CHAR(160)," ")))</f>
        <v/>
      </c>
      <c r="AG81">
        <f>IF(OR($B81="",NOT(ISNUMBER(Settings!$C$9))),"",TRIM(SUBSTITUTE(SUBSTITUTE(INDEX('INPUT - Roster'!$S$1:$SV$206,$B81,Settings!$C$9+27)&amp;"",CHAR(10)," "),CHAR(160)," ")))</f>
        <v/>
      </c>
      <c r="AI81">
        <f>IF($B81="","",IF(F81="","Not rostered",IFERROR(INDEX(Settings!$C$14:$C$33,MATCH(F81,Settings!$B$14:$B$33,0)),IFERROR(LOOKUP(2^15,SEARCH(Settings!$I$14:$I$83,F81)/(Settings!$I$14:$I$83&lt;&gt;""),Settings!$J$14:$J$83),"Other"))))</f>
        <v/>
      </c>
      <c r="AJ81">
        <f>IF($B81="","",IF(G81="","Not rostered",IFERROR(INDEX(Settings!$C$14:$C$33,MATCH(G81,Settings!$B$14:$B$33,0)),IFERROR(LOOKUP(2^15,SEARCH(Settings!$I$14:$I$83,G81)/(Settings!$I$14:$I$83&lt;&gt;""),Settings!$J$14:$J$83),"Other"))))</f>
        <v/>
      </c>
      <c r="AK81">
        <f>IF($B81="","",IF(H81="","Not rostered",IFERROR(INDEX(Settings!$C$14:$C$33,MATCH(H81,Settings!$B$14:$B$33,0)),IFERROR(LOOKUP(2^15,SEARCH(Settings!$I$14:$I$83,H81)/(Settings!$I$14:$I$83&lt;&gt;""),Settings!$J$14:$J$83),"Other"))))</f>
        <v/>
      </c>
      <c r="AL81">
        <f>IF($B81="","",IF(I81="","Not rostered",IFERROR(INDEX(Settings!$C$14:$C$33,MATCH(I81,Settings!$B$14:$B$33,0)),IFERROR(LOOKUP(2^15,SEARCH(Settings!$I$14:$I$83,I81)/(Settings!$I$14:$I$83&lt;&gt;""),Settings!$J$14:$J$83),"Other"))))</f>
        <v/>
      </c>
      <c r="AM81">
        <f>IF($B81="","",IF(J81="","Not rostered",IFERROR(INDEX(Settings!$C$14:$C$33,MATCH(J81,Settings!$B$14:$B$33,0)),IFERROR(LOOKUP(2^15,SEARCH(Settings!$I$14:$I$83,J81)/(Settings!$I$14:$I$83&lt;&gt;""),Settings!$J$14:$J$83),"Other"))))</f>
        <v/>
      </c>
      <c r="AN81">
        <f>IF($B81="","",IF(K81="","Not rostered",IFERROR(INDEX(Settings!$C$14:$C$33,MATCH(K81,Settings!$B$14:$B$33,0)),IFERROR(LOOKUP(2^15,SEARCH(Settings!$I$14:$I$83,K81)/(Settings!$I$14:$I$83&lt;&gt;""),Settings!$J$14:$J$83),"Other"))))</f>
        <v/>
      </c>
      <c r="AO81">
        <f>IF($B81="","",IF(L81="","Not rostered",IFERROR(INDEX(Settings!$C$14:$C$33,MATCH(L81,Settings!$B$14:$B$33,0)),IFERROR(LOOKUP(2^15,SEARCH(Settings!$I$14:$I$83,L81)/(Settings!$I$14:$I$83&lt;&gt;""),Settings!$J$14:$J$83),"Other"))))</f>
        <v/>
      </c>
      <c r="AP81">
        <f>IF($B81="","",IF(M81="","Not rostered",IFERROR(INDEX(Settings!$C$14:$C$33,MATCH(M81,Settings!$B$14:$B$33,0)),IFERROR(LOOKUP(2^15,SEARCH(Settings!$I$14:$I$83,M81)/(Settings!$I$14:$I$83&lt;&gt;""),Settings!$J$14:$J$83),"Other"))))</f>
        <v/>
      </c>
      <c r="AQ81">
        <f>IF($B81="","",IF(N81="","Not rostered",IFERROR(INDEX(Settings!$C$14:$C$33,MATCH(N81,Settings!$B$14:$B$33,0)),IFERROR(LOOKUP(2^15,SEARCH(Settings!$I$14:$I$83,N81)/(Settings!$I$14:$I$83&lt;&gt;""),Settings!$J$14:$J$83),"Other"))))</f>
        <v/>
      </c>
      <c r="AR81">
        <f>IF($B81="","",IF(O81="","Not rostered",IFERROR(INDEX(Settings!$C$14:$C$33,MATCH(O81,Settings!$B$14:$B$33,0)),IFERROR(LOOKUP(2^15,SEARCH(Settings!$I$14:$I$83,O81)/(Settings!$I$14:$I$83&lt;&gt;""),Settings!$J$14:$J$83),"Other"))))</f>
        <v/>
      </c>
      <c r="AS81">
        <f>IF($B81="","",IF(P81="","Not rostered",IFERROR(INDEX(Settings!$C$14:$C$33,MATCH(P81,Settings!$B$14:$B$33,0)),IFERROR(LOOKUP(2^15,SEARCH(Settings!$I$14:$I$83,P81)/(Settings!$I$14:$I$83&lt;&gt;""),Settings!$J$14:$J$83),"Other"))))</f>
        <v/>
      </c>
      <c r="AT81">
        <f>IF($B81="","",IF(Q81="","Not rostered",IFERROR(INDEX(Settings!$C$14:$C$33,MATCH(Q81,Settings!$B$14:$B$33,0)),IFERROR(LOOKUP(2^15,SEARCH(Settings!$I$14:$I$83,Q81)/(Settings!$I$14:$I$83&lt;&gt;""),Settings!$J$14:$J$83),"Other"))))</f>
        <v/>
      </c>
      <c r="AU81">
        <f>IF($B81="","",IF(R81="","Not rostered",IFERROR(INDEX(Settings!$C$14:$C$33,MATCH(R81,Settings!$B$14:$B$33,0)),IFERROR(LOOKUP(2^15,SEARCH(Settings!$I$14:$I$83,R81)/(Settings!$I$14:$I$83&lt;&gt;""),Settings!$J$14:$J$83),"Other"))))</f>
        <v/>
      </c>
      <c r="AV81">
        <f>IF($B81="","",IF(S81="","Not rostered",IFERROR(INDEX(Settings!$C$14:$C$33,MATCH(S81,Settings!$B$14:$B$33,0)),IFERROR(LOOKUP(2^15,SEARCH(Settings!$I$14:$I$83,S81)/(Settings!$I$14:$I$83&lt;&gt;""),Settings!$J$14:$J$83),"Other"))))</f>
        <v/>
      </c>
      <c r="AW81">
        <f>IF($B81="","",IF(T81="","Not rostered",IFERROR(INDEX(Settings!$C$14:$C$33,MATCH(T81,Settings!$B$14:$B$33,0)),IFERROR(LOOKUP(2^15,SEARCH(Settings!$I$14:$I$83,T81)/(Settings!$I$14:$I$83&lt;&gt;""),Settings!$J$14:$J$83),"Other"))))</f>
        <v/>
      </c>
      <c r="AX81">
        <f>IF($B81="","",IF(U81="","Not rostered",IFERROR(INDEX(Settings!$C$14:$C$33,MATCH(U81,Settings!$B$14:$B$33,0)),IFERROR(LOOKUP(2^15,SEARCH(Settings!$I$14:$I$83,U81)/(Settings!$I$14:$I$83&lt;&gt;""),Settings!$J$14:$J$83),"Other"))))</f>
        <v/>
      </c>
      <c r="AY81">
        <f>IF($B81="","",IF(V81="","Not rostered",IFERROR(INDEX(Settings!$C$14:$C$33,MATCH(V81,Settings!$B$14:$B$33,0)),IFERROR(LOOKUP(2^15,SEARCH(Settings!$I$14:$I$83,V81)/(Settings!$I$14:$I$83&lt;&gt;""),Settings!$J$14:$J$83),"Other"))))</f>
        <v/>
      </c>
      <c r="AZ81">
        <f>IF($B81="","",IF(W81="","Not rostered",IFERROR(INDEX(Settings!$C$14:$C$33,MATCH(W81,Settings!$B$14:$B$33,0)),IFERROR(LOOKUP(2^15,SEARCH(Settings!$I$14:$I$83,W81)/(Settings!$I$14:$I$83&lt;&gt;""),Settings!$J$14:$J$83),"Other"))))</f>
        <v/>
      </c>
      <c r="BA81">
        <f>IF($B81="","",IF(X81="","Not rostered",IFERROR(INDEX(Settings!$C$14:$C$33,MATCH(X81,Settings!$B$14:$B$33,0)),IFERROR(LOOKUP(2^15,SEARCH(Settings!$I$14:$I$83,X81)/(Settings!$I$14:$I$83&lt;&gt;""),Settings!$J$14:$J$83),"Other"))))</f>
        <v/>
      </c>
      <c r="BB81">
        <f>IF($B81="","",IF(Y81="","Not rostered",IFERROR(INDEX(Settings!$C$14:$C$33,MATCH(Y81,Settings!$B$14:$B$33,0)),IFERROR(LOOKUP(2^15,SEARCH(Settings!$I$14:$I$83,Y81)/(Settings!$I$14:$I$83&lt;&gt;""),Settings!$J$14:$J$83),"Other"))))</f>
        <v/>
      </c>
      <c r="BC81">
        <f>IF($B81="","",IF(Z81="","Not rostered",IFERROR(INDEX(Settings!$C$14:$C$33,MATCH(Z81,Settings!$B$14:$B$33,0)),IFERROR(LOOKUP(2^15,SEARCH(Settings!$I$14:$I$83,Z81)/(Settings!$I$14:$I$83&lt;&gt;""),Settings!$J$14:$J$83),"Other"))))</f>
        <v/>
      </c>
      <c r="BD81">
        <f>IF($B81="","",IF(AA81="","Not rostered",IFERROR(INDEX(Settings!$C$14:$C$33,MATCH(AA81,Settings!$B$14:$B$33,0)),IFERROR(LOOKUP(2^15,SEARCH(Settings!$I$14:$I$83,AA81)/(Settings!$I$14:$I$83&lt;&gt;""),Settings!$J$14:$J$83),"Other"))))</f>
        <v/>
      </c>
      <c r="BE81">
        <f>IF($B81="","",IF(AB81="","Not rostered",IFERROR(INDEX(Settings!$C$14:$C$33,MATCH(AB81,Settings!$B$14:$B$33,0)),IFERROR(LOOKUP(2^15,SEARCH(Settings!$I$14:$I$83,AB81)/(Settings!$I$14:$I$83&lt;&gt;""),Settings!$J$14:$J$83),"Other"))))</f>
        <v/>
      </c>
      <c r="BF81">
        <f>IF($B81="","",IF(AC81="","Not rostered",IFERROR(INDEX(Settings!$C$14:$C$33,MATCH(AC81,Settings!$B$14:$B$33,0)),IFERROR(LOOKUP(2^15,SEARCH(Settings!$I$14:$I$83,AC81)/(Settings!$I$14:$I$83&lt;&gt;""),Settings!$J$14:$J$83),"Other"))))</f>
        <v/>
      </c>
      <c r="BG81">
        <f>IF($B81="","",IF(AD81="","Not rostered",IFERROR(INDEX(Settings!$C$14:$C$33,MATCH(AD81,Settings!$B$14:$B$33,0)),IFERROR(LOOKUP(2^15,SEARCH(Settings!$I$14:$I$83,AD81)/(Settings!$I$14:$I$83&lt;&gt;""),Settings!$J$14:$J$83),"Other"))))</f>
        <v/>
      </c>
      <c r="BH81">
        <f>IF($B81="","",IF(AE81="","Not rostered",IFERROR(INDEX(Settings!$C$14:$C$33,MATCH(AE81,Settings!$B$14:$B$33,0)),IFERROR(LOOKUP(2^15,SEARCH(Settings!$I$14:$I$83,AE81)/(Settings!$I$14:$I$83&lt;&gt;""),Settings!$J$14:$J$83),"Other"))))</f>
        <v/>
      </c>
      <c r="BI81">
        <f>IF($B81="","",IF(AF81="","Not rostered",IFERROR(INDEX(Settings!$C$14:$C$33,MATCH(AF81,Settings!$B$14:$B$33,0)),IFERROR(LOOKUP(2^15,SEARCH(Settings!$I$14:$I$83,AF81)/(Settings!$I$14:$I$83&lt;&gt;""),Settings!$J$14:$J$83),"Other"))))</f>
        <v/>
      </c>
      <c r="BJ81">
        <f>IF($B81="","",IF(AG81="","Not rostered",IFERROR(INDEX(Settings!$C$14:$C$33,MATCH(AG81,Settings!$B$14:$B$33,0)),IFERROR(LOOKUP(2^15,SEARCH(Settings!$I$14:$I$83,AG81)/(Settings!$I$14:$I$83&lt;&gt;""),Settings!$J$14:$J$83),"Other"))))</f>
        <v/>
      </c>
      <c r="BL81">
        <f>IF(OR($B81="",F81=""),"",IFERROR(INDEX(Settings!$D$14:$D$33,MATCH(F81,Settings!$B$14:$B$33,0))&amp;"",IFERROR(LOOKUP(2^15,SEARCH(Settings!$F$14:$F$43,F81)/(Settings!$F$14:$F$43&lt;&gt;""),Settings!$G$14:$G$43),"")))</f>
        <v/>
      </c>
      <c r="BM81">
        <f>IF(OR($B81="",G81=""),"",IFERROR(INDEX(Settings!$D$14:$D$33,MATCH(G81,Settings!$B$14:$B$33,0))&amp;"",IFERROR(LOOKUP(2^15,SEARCH(Settings!$F$14:$F$43,G81)/(Settings!$F$14:$F$43&lt;&gt;""),Settings!$G$14:$G$43),"")))</f>
        <v/>
      </c>
      <c r="BN81">
        <f>IF(OR($B81="",H81=""),"",IFERROR(INDEX(Settings!$D$14:$D$33,MATCH(H81,Settings!$B$14:$B$33,0))&amp;"",IFERROR(LOOKUP(2^15,SEARCH(Settings!$F$14:$F$43,H81)/(Settings!$F$14:$F$43&lt;&gt;""),Settings!$G$14:$G$43),"")))</f>
        <v/>
      </c>
      <c r="BO81">
        <f>IF(OR($B81="",I81=""),"",IFERROR(INDEX(Settings!$D$14:$D$33,MATCH(I81,Settings!$B$14:$B$33,0))&amp;"",IFERROR(LOOKUP(2^15,SEARCH(Settings!$F$14:$F$43,I81)/(Settings!$F$14:$F$43&lt;&gt;""),Settings!$G$14:$G$43),"")))</f>
        <v/>
      </c>
      <c r="BP81">
        <f>IF(OR($B81="",J81=""),"",IFERROR(INDEX(Settings!$D$14:$D$33,MATCH(J81,Settings!$B$14:$B$33,0))&amp;"",IFERROR(LOOKUP(2^15,SEARCH(Settings!$F$14:$F$43,J81)/(Settings!$F$14:$F$43&lt;&gt;""),Settings!$G$14:$G$43),"")))</f>
        <v/>
      </c>
      <c r="BQ81">
        <f>IF(OR($B81="",K81=""),"",IFERROR(INDEX(Settings!$D$14:$D$33,MATCH(K81,Settings!$B$14:$B$33,0))&amp;"",IFERROR(LOOKUP(2^15,SEARCH(Settings!$F$14:$F$43,K81)/(Settings!$F$14:$F$43&lt;&gt;""),Settings!$G$14:$G$43),"")))</f>
        <v/>
      </c>
      <c r="BR81">
        <f>IF(OR($B81="",L81=""),"",IFERROR(INDEX(Settings!$D$14:$D$33,MATCH(L81,Settings!$B$14:$B$33,0))&amp;"",IFERROR(LOOKUP(2^15,SEARCH(Settings!$F$14:$F$43,L81)/(Settings!$F$14:$F$43&lt;&gt;""),Settings!$G$14:$G$43),"")))</f>
        <v/>
      </c>
      <c r="BS81">
        <f>IF(OR($B81="",M81=""),"",IFERROR(INDEX(Settings!$D$14:$D$33,MATCH(M81,Settings!$B$14:$B$33,0))&amp;"",IFERROR(LOOKUP(2^15,SEARCH(Settings!$F$14:$F$43,M81)/(Settings!$F$14:$F$43&lt;&gt;""),Settings!$G$14:$G$43),"")))</f>
        <v/>
      </c>
      <c r="BT81">
        <f>IF(OR($B81="",N81=""),"",IFERROR(INDEX(Settings!$D$14:$D$33,MATCH(N81,Settings!$B$14:$B$33,0))&amp;"",IFERROR(LOOKUP(2^15,SEARCH(Settings!$F$14:$F$43,N81)/(Settings!$F$14:$F$43&lt;&gt;""),Settings!$G$14:$G$43),"")))</f>
        <v/>
      </c>
      <c r="BU81">
        <f>IF(OR($B81="",O81=""),"",IFERROR(INDEX(Settings!$D$14:$D$33,MATCH(O81,Settings!$B$14:$B$33,0))&amp;"",IFERROR(LOOKUP(2^15,SEARCH(Settings!$F$14:$F$43,O81)/(Settings!$F$14:$F$43&lt;&gt;""),Settings!$G$14:$G$43),"")))</f>
        <v/>
      </c>
      <c r="BV81">
        <f>IF(OR($B81="",P81=""),"",IFERROR(INDEX(Settings!$D$14:$D$33,MATCH(P81,Settings!$B$14:$B$33,0))&amp;"",IFERROR(LOOKUP(2^15,SEARCH(Settings!$F$14:$F$43,P81)/(Settings!$F$14:$F$43&lt;&gt;""),Settings!$G$14:$G$43),"")))</f>
        <v/>
      </c>
      <c r="BW81">
        <f>IF(OR($B81="",Q81=""),"",IFERROR(INDEX(Settings!$D$14:$D$33,MATCH(Q81,Settings!$B$14:$B$33,0))&amp;"",IFERROR(LOOKUP(2^15,SEARCH(Settings!$F$14:$F$43,Q81)/(Settings!$F$14:$F$43&lt;&gt;""),Settings!$G$14:$G$43),"")))</f>
        <v/>
      </c>
      <c r="BX81">
        <f>IF(OR($B81="",R81=""),"",IFERROR(INDEX(Settings!$D$14:$D$33,MATCH(R81,Settings!$B$14:$B$33,0))&amp;"",IFERROR(LOOKUP(2^15,SEARCH(Settings!$F$14:$F$43,R81)/(Settings!$F$14:$F$43&lt;&gt;""),Settings!$G$14:$G$43),"")))</f>
        <v/>
      </c>
      <c r="BY81">
        <f>IF(OR($B81="",S81=""),"",IFERROR(INDEX(Settings!$D$14:$D$33,MATCH(S81,Settings!$B$14:$B$33,0))&amp;"",IFERROR(LOOKUP(2^15,SEARCH(Settings!$F$14:$F$43,S81)/(Settings!$F$14:$F$43&lt;&gt;""),Settings!$G$14:$G$43),"")))</f>
        <v/>
      </c>
      <c r="BZ81">
        <f>IF(OR($B81="",T81=""),"",IFERROR(INDEX(Settings!$D$14:$D$33,MATCH(T81,Settings!$B$14:$B$33,0))&amp;"",IFERROR(LOOKUP(2^15,SEARCH(Settings!$F$14:$F$43,T81)/(Settings!$F$14:$F$43&lt;&gt;""),Settings!$G$14:$G$43),"")))</f>
        <v/>
      </c>
      <c r="CA81">
        <f>IF(OR($B81="",U81=""),"",IFERROR(INDEX(Settings!$D$14:$D$33,MATCH(U81,Settings!$B$14:$B$33,0))&amp;"",IFERROR(LOOKUP(2^15,SEARCH(Settings!$F$14:$F$43,U81)/(Settings!$F$14:$F$43&lt;&gt;""),Settings!$G$14:$G$43),"")))</f>
        <v/>
      </c>
      <c r="CB81">
        <f>IF(OR($B81="",V81=""),"",IFERROR(INDEX(Settings!$D$14:$D$33,MATCH(V81,Settings!$B$14:$B$33,0))&amp;"",IFERROR(LOOKUP(2^15,SEARCH(Settings!$F$14:$F$43,V81)/(Settings!$F$14:$F$43&lt;&gt;""),Settings!$G$14:$G$43),"")))</f>
        <v/>
      </c>
      <c r="CC81">
        <f>IF(OR($B81="",W81=""),"",IFERROR(INDEX(Settings!$D$14:$D$33,MATCH(W81,Settings!$B$14:$B$33,0))&amp;"",IFERROR(LOOKUP(2^15,SEARCH(Settings!$F$14:$F$43,W81)/(Settings!$F$14:$F$43&lt;&gt;""),Settings!$G$14:$G$43),"")))</f>
        <v/>
      </c>
      <c r="CD81">
        <f>IF(OR($B81="",X81=""),"",IFERROR(INDEX(Settings!$D$14:$D$33,MATCH(X81,Settings!$B$14:$B$33,0))&amp;"",IFERROR(LOOKUP(2^15,SEARCH(Settings!$F$14:$F$43,X81)/(Settings!$F$14:$F$43&lt;&gt;""),Settings!$G$14:$G$43),"")))</f>
        <v/>
      </c>
      <c r="CE81">
        <f>IF(OR($B81="",Y81=""),"",IFERROR(INDEX(Settings!$D$14:$D$33,MATCH(Y81,Settings!$B$14:$B$33,0))&amp;"",IFERROR(LOOKUP(2^15,SEARCH(Settings!$F$14:$F$43,Y81)/(Settings!$F$14:$F$43&lt;&gt;""),Settings!$G$14:$G$43),"")))</f>
        <v/>
      </c>
      <c r="CF81">
        <f>IF(OR($B81="",Z81=""),"",IFERROR(INDEX(Settings!$D$14:$D$33,MATCH(Z81,Settings!$B$14:$B$33,0))&amp;"",IFERROR(LOOKUP(2^15,SEARCH(Settings!$F$14:$F$43,Z81)/(Settings!$F$14:$F$43&lt;&gt;""),Settings!$G$14:$G$43),"")))</f>
        <v/>
      </c>
      <c r="CG81">
        <f>IF(OR($B81="",AA81=""),"",IFERROR(INDEX(Settings!$D$14:$D$33,MATCH(AA81,Settings!$B$14:$B$33,0))&amp;"",IFERROR(LOOKUP(2^15,SEARCH(Settings!$F$14:$F$43,AA81)/(Settings!$F$14:$F$43&lt;&gt;""),Settings!$G$14:$G$43),"")))</f>
        <v/>
      </c>
      <c r="CH81">
        <f>IF(OR($B81="",AB81=""),"",IFERROR(INDEX(Settings!$D$14:$D$33,MATCH(AB81,Settings!$B$14:$B$33,0))&amp;"",IFERROR(LOOKUP(2^15,SEARCH(Settings!$F$14:$F$43,AB81)/(Settings!$F$14:$F$43&lt;&gt;""),Settings!$G$14:$G$43),"")))</f>
        <v/>
      </c>
      <c r="CI81">
        <f>IF(OR($B81="",AC81=""),"",IFERROR(INDEX(Settings!$D$14:$D$33,MATCH(AC81,Settings!$B$14:$B$33,0))&amp;"",IFERROR(LOOKUP(2^15,SEARCH(Settings!$F$14:$F$43,AC81)/(Settings!$F$14:$F$43&lt;&gt;""),Settings!$G$14:$G$43),"")))</f>
        <v/>
      </c>
      <c r="CJ81">
        <f>IF(OR($B81="",AD81=""),"",IFERROR(INDEX(Settings!$D$14:$D$33,MATCH(AD81,Settings!$B$14:$B$33,0))&amp;"",IFERROR(LOOKUP(2^15,SEARCH(Settings!$F$14:$F$43,AD81)/(Settings!$F$14:$F$43&lt;&gt;""),Settings!$G$14:$G$43),"")))</f>
        <v/>
      </c>
      <c r="CK81">
        <f>IF(OR($B81="",AE81=""),"",IFERROR(INDEX(Settings!$D$14:$D$33,MATCH(AE81,Settings!$B$14:$B$33,0))&amp;"",IFERROR(LOOKUP(2^15,SEARCH(Settings!$F$14:$F$43,AE81)/(Settings!$F$14:$F$43&lt;&gt;""),Settings!$G$14:$G$43),"")))</f>
        <v/>
      </c>
      <c r="CL81">
        <f>IF(OR($B81="",AF81=""),"",IFERROR(INDEX(Settings!$D$14:$D$33,MATCH(AF81,Settings!$B$14:$B$33,0))&amp;"",IFERROR(LOOKUP(2^15,SEARCH(Settings!$F$14:$F$43,AF81)/(Settings!$F$14:$F$43&lt;&gt;""),Settings!$G$14:$G$43),"")))</f>
        <v/>
      </c>
      <c r="CM81">
        <f>IF(OR($B81="",AG81=""),"",IFERROR(INDEX(Settings!$D$14:$D$33,MATCH(AG81,Settings!$B$14:$B$33,0))&amp;"",IFERROR(LOOKUP(2^15,SEARCH(Settings!$F$14:$F$43,AG81)/(Settings!$F$14:$F$43&lt;&gt;""),Settings!$G$14:$G$43),"")))</f>
        <v/>
      </c>
    </row>
    <row r="82">
      <c r="A82" t="n">
        <v>80</v>
      </c>
      <c r="B82">
        <f>IFERROR(INDEX(Index!$A$2:$A$202,MATCH(A82,Index!$E$2:$E$202,0)),"")</f>
        <v/>
      </c>
      <c r="D82">
        <f>IF($B82="","",IFERROR(MATCH("Travel*",AI82:BJ82,0),""))</f>
        <v/>
      </c>
      <c r="F82">
        <f>IF(OR($B82="",NOT(ISNUMBER(Settings!$C$9))),"",TRIM(SUBSTITUTE(SUBSTITUTE(INDEX('INPUT - Roster'!$S$1:$SV$206,$B82,Settings!$C$9+0)&amp;"",CHAR(10)," "),CHAR(160)," ")))</f>
        <v/>
      </c>
      <c r="G82">
        <f>IF(OR($B82="",NOT(ISNUMBER(Settings!$C$9))),"",TRIM(SUBSTITUTE(SUBSTITUTE(INDEX('INPUT - Roster'!$S$1:$SV$206,$B82,Settings!$C$9+1)&amp;"",CHAR(10)," "),CHAR(160)," ")))</f>
        <v/>
      </c>
      <c r="H82">
        <f>IF(OR($B82="",NOT(ISNUMBER(Settings!$C$9))),"",TRIM(SUBSTITUTE(SUBSTITUTE(INDEX('INPUT - Roster'!$S$1:$SV$206,$B82,Settings!$C$9+2)&amp;"",CHAR(10)," "),CHAR(160)," ")))</f>
        <v/>
      </c>
      <c r="I82">
        <f>IF(OR($B82="",NOT(ISNUMBER(Settings!$C$9))),"",TRIM(SUBSTITUTE(SUBSTITUTE(INDEX('INPUT - Roster'!$S$1:$SV$206,$B82,Settings!$C$9+3)&amp;"",CHAR(10)," "),CHAR(160)," ")))</f>
        <v/>
      </c>
      <c r="J82">
        <f>IF(OR($B82="",NOT(ISNUMBER(Settings!$C$9))),"",TRIM(SUBSTITUTE(SUBSTITUTE(INDEX('INPUT - Roster'!$S$1:$SV$206,$B82,Settings!$C$9+4)&amp;"",CHAR(10)," "),CHAR(160)," ")))</f>
        <v/>
      </c>
      <c r="K82">
        <f>IF(OR($B82="",NOT(ISNUMBER(Settings!$C$9))),"",TRIM(SUBSTITUTE(SUBSTITUTE(INDEX('INPUT - Roster'!$S$1:$SV$206,$B82,Settings!$C$9+5)&amp;"",CHAR(10)," "),CHAR(160)," ")))</f>
        <v/>
      </c>
      <c r="L82">
        <f>IF(OR($B82="",NOT(ISNUMBER(Settings!$C$9))),"",TRIM(SUBSTITUTE(SUBSTITUTE(INDEX('INPUT - Roster'!$S$1:$SV$206,$B82,Settings!$C$9+6)&amp;"",CHAR(10)," "),CHAR(160)," ")))</f>
        <v/>
      </c>
      <c r="M82">
        <f>IF(OR($B82="",NOT(ISNUMBER(Settings!$C$9))),"",TRIM(SUBSTITUTE(SUBSTITUTE(INDEX('INPUT - Roster'!$S$1:$SV$206,$B82,Settings!$C$9+7)&amp;"",CHAR(10)," "),CHAR(160)," ")))</f>
        <v/>
      </c>
      <c r="N82">
        <f>IF(OR($B82="",NOT(ISNUMBER(Settings!$C$9))),"",TRIM(SUBSTITUTE(SUBSTITUTE(INDEX('INPUT - Roster'!$S$1:$SV$206,$B82,Settings!$C$9+8)&amp;"",CHAR(10)," "),CHAR(160)," ")))</f>
        <v/>
      </c>
      <c r="O82">
        <f>IF(OR($B82="",NOT(ISNUMBER(Settings!$C$9))),"",TRIM(SUBSTITUTE(SUBSTITUTE(INDEX('INPUT - Roster'!$S$1:$SV$206,$B82,Settings!$C$9+9)&amp;"",CHAR(10)," "),CHAR(160)," ")))</f>
        <v/>
      </c>
      <c r="P82">
        <f>IF(OR($B82="",NOT(ISNUMBER(Settings!$C$9))),"",TRIM(SUBSTITUTE(SUBSTITUTE(INDEX('INPUT - Roster'!$S$1:$SV$206,$B82,Settings!$C$9+10)&amp;"",CHAR(10)," "),CHAR(160)," ")))</f>
        <v/>
      </c>
      <c r="Q82">
        <f>IF(OR($B82="",NOT(ISNUMBER(Settings!$C$9))),"",TRIM(SUBSTITUTE(SUBSTITUTE(INDEX('INPUT - Roster'!$S$1:$SV$206,$B82,Settings!$C$9+11)&amp;"",CHAR(10)," "),CHAR(160)," ")))</f>
        <v/>
      </c>
      <c r="R82">
        <f>IF(OR($B82="",NOT(ISNUMBER(Settings!$C$9))),"",TRIM(SUBSTITUTE(SUBSTITUTE(INDEX('INPUT - Roster'!$S$1:$SV$206,$B82,Settings!$C$9+12)&amp;"",CHAR(10)," "),CHAR(160)," ")))</f>
        <v/>
      </c>
      <c r="S82">
        <f>IF(OR($B82="",NOT(ISNUMBER(Settings!$C$9))),"",TRIM(SUBSTITUTE(SUBSTITUTE(INDEX('INPUT - Roster'!$S$1:$SV$206,$B82,Settings!$C$9+13)&amp;"",CHAR(10)," "),CHAR(160)," ")))</f>
        <v/>
      </c>
      <c r="T82">
        <f>IF(OR($B82="",NOT(ISNUMBER(Settings!$C$9))),"",TRIM(SUBSTITUTE(SUBSTITUTE(INDEX('INPUT - Roster'!$S$1:$SV$206,$B82,Settings!$C$9+14)&amp;"",CHAR(10)," "),CHAR(160)," ")))</f>
        <v/>
      </c>
      <c r="U82">
        <f>IF(OR($B82="",NOT(ISNUMBER(Settings!$C$9))),"",TRIM(SUBSTITUTE(SUBSTITUTE(INDEX('INPUT - Roster'!$S$1:$SV$206,$B82,Settings!$C$9+15)&amp;"",CHAR(10)," "),CHAR(160)," ")))</f>
        <v/>
      </c>
      <c r="V82">
        <f>IF(OR($B82="",NOT(ISNUMBER(Settings!$C$9))),"",TRIM(SUBSTITUTE(SUBSTITUTE(INDEX('INPUT - Roster'!$S$1:$SV$206,$B82,Settings!$C$9+16)&amp;"",CHAR(10)," "),CHAR(160)," ")))</f>
        <v/>
      </c>
      <c r="W82">
        <f>IF(OR($B82="",NOT(ISNUMBER(Settings!$C$9))),"",TRIM(SUBSTITUTE(SUBSTITUTE(INDEX('INPUT - Roster'!$S$1:$SV$206,$B82,Settings!$C$9+17)&amp;"",CHAR(10)," "),CHAR(160)," ")))</f>
        <v/>
      </c>
      <c r="X82">
        <f>IF(OR($B82="",NOT(ISNUMBER(Settings!$C$9))),"",TRIM(SUBSTITUTE(SUBSTITUTE(INDEX('INPUT - Roster'!$S$1:$SV$206,$B82,Settings!$C$9+18)&amp;"",CHAR(10)," "),CHAR(160)," ")))</f>
        <v/>
      </c>
      <c r="Y82">
        <f>IF(OR($B82="",NOT(ISNUMBER(Settings!$C$9))),"",TRIM(SUBSTITUTE(SUBSTITUTE(INDEX('INPUT - Roster'!$S$1:$SV$206,$B82,Settings!$C$9+19)&amp;"",CHAR(10)," "),CHAR(160)," ")))</f>
        <v/>
      </c>
      <c r="Z82">
        <f>IF(OR($B82="",NOT(ISNUMBER(Settings!$C$9))),"",TRIM(SUBSTITUTE(SUBSTITUTE(INDEX('INPUT - Roster'!$S$1:$SV$206,$B82,Settings!$C$9+20)&amp;"",CHAR(10)," "),CHAR(160)," ")))</f>
        <v/>
      </c>
      <c r="AA82">
        <f>IF(OR($B82="",NOT(ISNUMBER(Settings!$C$9))),"",TRIM(SUBSTITUTE(SUBSTITUTE(INDEX('INPUT - Roster'!$S$1:$SV$206,$B82,Settings!$C$9+21)&amp;"",CHAR(10)," "),CHAR(160)," ")))</f>
        <v/>
      </c>
      <c r="AB82">
        <f>IF(OR($B82="",NOT(ISNUMBER(Settings!$C$9))),"",TRIM(SUBSTITUTE(SUBSTITUTE(INDEX('INPUT - Roster'!$S$1:$SV$206,$B82,Settings!$C$9+22)&amp;"",CHAR(10)," "),CHAR(160)," ")))</f>
        <v/>
      </c>
      <c r="AC82">
        <f>IF(OR($B82="",NOT(ISNUMBER(Settings!$C$9))),"",TRIM(SUBSTITUTE(SUBSTITUTE(INDEX('INPUT - Roster'!$S$1:$SV$206,$B82,Settings!$C$9+23)&amp;"",CHAR(10)," "),CHAR(160)," ")))</f>
        <v/>
      </c>
      <c r="AD82">
        <f>IF(OR($B82="",NOT(ISNUMBER(Settings!$C$9))),"",TRIM(SUBSTITUTE(SUBSTITUTE(INDEX('INPUT - Roster'!$S$1:$SV$206,$B82,Settings!$C$9+24)&amp;"",CHAR(10)," "),CHAR(160)," ")))</f>
        <v/>
      </c>
      <c r="AE82">
        <f>IF(OR($B82="",NOT(ISNUMBER(Settings!$C$9))),"",TRIM(SUBSTITUTE(SUBSTITUTE(INDEX('INPUT - Roster'!$S$1:$SV$206,$B82,Settings!$C$9+25)&amp;"",CHAR(10)," "),CHAR(160)," ")))</f>
        <v/>
      </c>
      <c r="AF82">
        <f>IF(OR($B82="",NOT(ISNUMBER(Settings!$C$9))),"",TRIM(SUBSTITUTE(SUBSTITUTE(INDEX('INPUT - Roster'!$S$1:$SV$206,$B82,Settings!$C$9+26)&amp;"",CHAR(10)," "),CHAR(160)," ")))</f>
        <v/>
      </c>
      <c r="AG82">
        <f>IF(OR($B82="",NOT(ISNUMBER(Settings!$C$9))),"",TRIM(SUBSTITUTE(SUBSTITUTE(INDEX('INPUT - Roster'!$S$1:$SV$206,$B82,Settings!$C$9+27)&amp;"",CHAR(10)," "),CHAR(160)," ")))</f>
        <v/>
      </c>
      <c r="AI82">
        <f>IF($B82="","",IF(F82="","Not rostered",IFERROR(INDEX(Settings!$C$14:$C$33,MATCH(F82,Settings!$B$14:$B$33,0)),IFERROR(LOOKUP(2^15,SEARCH(Settings!$I$14:$I$83,F82)/(Settings!$I$14:$I$83&lt;&gt;""),Settings!$J$14:$J$83),"Other"))))</f>
        <v/>
      </c>
      <c r="AJ82">
        <f>IF($B82="","",IF(G82="","Not rostered",IFERROR(INDEX(Settings!$C$14:$C$33,MATCH(G82,Settings!$B$14:$B$33,0)),IFERROR(LOOKUP(2^15,SEARCH(Settings!$I$14:$I$83,G82)/(Settings!$I$14:$I$83&lt;&gt;""),Settings!$J$14:$J$83),"Other"))))</f>
        <v/>
      </c>
      <c r="AK82">
        <f>IF($B82="","",IF(H82="","Not rostered",IFERROR(INDEX(Settings!$C$14:$C$33,MATCH(H82,Settings!$B$14:$B$33,0)),IFERROR(LOOKUP(2^15,SEARCH(Settings!$I$14:$I$83,H82)/(Settings!$I$14:$I$83&lt;&gt;""),Settings!$J$14:$J$83),"Other"))))</f>
        <v/>
      </c>
      <c r="AL82">
        <f>IF($B82="","",IF(I82="","Not rostered",IFERROR(INDEX(Settings!$C$14:$C$33,MATCH(I82,Settings!$B$14:$B$33,0)),IFERROR(LOOKUP(2^15,SEARCH(Settings!$I$14:$I$83,I82)/(Settings!$I$14:$I$83&lt;&gt;""),Settings!$J$14:$J$83),"Other"))))</f>
        <v/>
      </c>
      <c r="AM82">
        <f>IF($B82="","",IF(J82="","Not rostered",IFERROR(INDEX(Settings!$C$14:$C$33,MATCH(J82,Settings!$B$14:$B$33,0)),IFERROR(LOOKUP(2^15,SEARCH(Settings!$I$14:$I$83,J82)/(Settings!$I$14:$I$83&lt;&gt;""),Settings!$J$14:$J$83),"Other"))))</f>
        <v/>
      </c>
      <c r="AN82">
        <f>IF($B82="","",IF(K82="","Not rostered",IFERROR(INDEX(Settings!$C$14:$C$33,MATCH(K82,Settings!$B$14:$B$33,0)),IFERROR(LOOKUP(2^15,SEARCH(Settings!$I$14:$I$83,K82)/(Settings!$I$14:$I$83&lt;&gt;""),Settings!$J$14:$J$83),"Other"))))</f>
        <v/>
      </c>
      <c r="AO82">
        <f>IF($B82="","",IF(L82="","Not rostered",IFERROR(INDEX(Settings!$C$14:$C$33,MATCH(L82,Settings!$B$14:$B$33,0)),IFERROR(LOOKUP(2^15,SEARCH(Settings!$I$14:$I$83,L82)/(Settings!$I$14:$I$83&lt;&gt;""),Settings!$J$14:$J$83),"Other"))))</f>
        <v/>
      </c>
      <c r="AP82">
        <f>IF($B82="","",IF(M82="","Not rostered",IFERROR(INDEX(Settings!$C$14:$C$33,MATCH(M82,Settings!$B$14:$B$33,0)),IFERROR(LOOKUP(2^15,SEARCH(Settings!$I$14:$I$83,M82)/(Settings!$I$14:$I$83&lt;&gt;""),Settings!$J$14:$J$83),"Other"))))</f>
        <v/>
      </c>
      <c r="AQ82">
        <f>IF($B82="","",IF(N82="","Not rostered",IFERROR(INDEX(Settings!$C$14:$C$33,MATCH(N82,Settings!$B$14:$B$33,0)),IFERROR(LOOKUP(2^15,SEARCH(Settings!$I$14:$I$83,N82)/(Settings!$I$14:$I$83&lt;&gt;""),Settings!$J$14:$J$83),"Other"))))</f>
        <v/>
      </c>
      <c r="AR82">
        <f>IF($B82="","",IF(O82="","Not rostered",IFERROR(INDEX(Settings!$C$14:$C$33,MATCH(O82,Settings!$B$14:$B$33,0)),IFERROR(LOOKUP(2^15,SEARCH(Settings!$I$14:$I$83,O82)/(Settings!$I$14:$I$83&lt;&gt;""),Settings!$J$14:$J$83),"Other"))))</f>
        <v/>
      </c>
      <c r="AS82">
        <f>IF($B82="","",IF(P82="","Not rostered",IFERROR(INDEX(Settings!$C$14:$C$33,MATCH(P82,Settings!$B$14:$B$33,0)),IFERROR(LOOKUP(2^15,SEARCH(Settings!$I$14:$I$83,P82)/(Settings!$I$14:$I$83&lt;&gt;""),Settings!$J$14:$J$83),"Other"))))</f>
        <v/>
      </c>
      <c r="AT82">
        <f>IF($B82="","",IF(Q82="","Not rostered",IFERROR(INDEX(Settings!$C$14:$C$33,MATCH(Q82,Settings!$B$14:$B$33,0)),IFERROR(LOOKUP(2^15,SEARCH(Settings!$I$14:$I$83,Q82)/(Settings!$I$14:$I$83&lt;&gt;""),Settings!$J$14:$J$83),"Other"))))</f>
        <v/>
      </c>
      <c r="AU82">
        <f>IF($B82="","",IF(R82="","Not rostered",IFERROR(INDEX(Settings!$C$14:$C$33,MATCH(R82,Settings!$B$14:$B$33,0)),IFERROR(LOOKUP(2^15,SEARCH(Settings!$I$14:$I$83,R82)/(Settings!$I$14:$I$83&lt;&gt;""),Settings!$J$14:$J$83),"Other"))))</f>
        <v/>
      </c>
      <c r="AV82">
        <f>IF($B82="","",IF(S82="","Not rostered",IFERROR(INDEX(Settings!$C$14:$C$33,MATCH(S82,Settings!$B$14:$B$33,0)),IFERROR(LOOKUP(2^15,SEARCH(Settings!$I$14:$I$83,S82)/(Settings!$I$14:$I$83&lt;&gt;""),Settings!$J$14:$J$83),"Other"))))</f>
        <v/>
      </c>
      <c r="AW82">
        <f>IF($B82="","",IF(T82="","Not rostered",IFERROR(INDEX(Settings!$C$14:$C$33,MATCH(T82,Settings!$B$14:$B$33,0)),IFERROR(LOOKUP(2^15,SEARCH(Settings!$I$14:$I$83,T82)/(Settings!$I$14:$I$83&lt;&gt;""),Settings!$J$14:$J$83),"Other"))))</f>
        <v/>
      </c>
      <c r="AX82">
        <f>IF($B82="","",IF(U82="","Not rostered",IFERROR(INDEX(Settings!$C$14:$C$33,MATCH(U82,Settings!$B$14:$B$33,0)),IFERROR(LOOKUP(2^15,SEARCH(Settings!$I$14:$I$83,U82)/(Settings!$I$14:$I$83&lt;&gt;""),Settings!$J$14:$J$83),"Other"))))</f>
        <v/>
      </c>
      <c r="AY82">
        <f>IF($B82="","",IF(V82="","Not rostered",IFERROR(INDEX(Settings!$C$14:$C$33,MATCH(V82,Settings!$B$14:$B$33,0)),IFERROR(LOOKUP(2^15,SEARCH(Settings!$I$14:$I$83,V82)/(Settings!$I$14:$I$83&lt;&gt;""),Settings!$J$14:$J$83),"Other"))))</f>
        <v/>
      </c>
      <c r="AZ82">
        <f>IF($B82="","",IF(W82="","Not rostered",IFERROR(INDEX(Settings!$C$14:$C$33,MATCH(W82,Settings!$B$14:$B$33,0)),IFERROR(LOOKUP(2^15,SEARCH(Settings!$I$14:$I$83,W82)/(Settings!$I$14:$I$83&lt;&gt;""),Settings!$J$14:$J$83),"Other"))))</f>
        <v/>
      </c>
      <c r="BA82">
        <f>IF($B82="","",IF(X82="","Not rostered",IFERROR(INDEX(Settings!$C$14:$C$33,MATCH(X82,Settings!$B$14:$B$33,0)),IFERROR(LOOKUP(2^15,SEARCH(Settings!$I$14:$I$83,X82)/(Settings!$I$14:$I$83&lt;&gt;""),Settings!$J$14:$J$83),"Other"))))</f>
        <v/>
      </c>
      <c r="BB82">
        <f>IF($B82="","",IF(Y82="","Not rostered",IFERROR(INDEX(Settings!$C$14:$C$33,MATCH(Y82,Settings!$B$14:$B$33,0)),IFERROR(LOOKUP(2^15,SEARCH(Settings!$I$14:$I$83,Y82)/(Settings!$I$14:$I$83&lt;&gt;""),Settings!$J$14:$J$83),"Other"))))</f>
        <v/>
      </c>
      <c r="BC82">
        <f>IF($B82="","",IF(Z82="","Not rostered",IFERROR(INDEX(Settings!$C$14:$C$33,MATCH(Z82,Settings!$B$14:$B$33,0)),IFERROR(LOOKUP(2^15,SEARCH(Settings!$I$14:$I$83,Z82)/(Settings!$I$14:$I$83&lt;&gt;""),Settings!$J$14:$J$83),"Other"))))</f>
        <v/>
      </c>
      <c r="BD82">
        <f>IF($B82="","",IF(AA82="","Not rostered",IFERROR(INDEX(Settings!$C$14:$C$33,MATCH(AA82,Settings!$B$14:$B$33,0)),IFERROR(LOOKUP(2^15,SEARCH(Settings!$I$14:$I$83,AA82)/(Settings!$I$14:$I$83&lt;&gt;""),Settings!$J$14:$J$83),"Other"))))</f>
        <v/>
      </c>
      <c r="BE82">
        <f>IF($B82="","",IF(AB82="","Not rostered",IFERROR(INDEX(Settings!$C$14:$C$33,MATCH(AB82,Settings!$B$14:$B$33,0)),IFERROR(LOOKUP(2^15,SEARCH(Settings!$I$14:$I$83,AB82)/(Settings!$I$14:$I$83&lt;&gt;""),Settings!$J$14:$J$83),"Other"))))</f>
        <v/>
      </c>
      <c r="BF82">
        <f>IF($B82="","",IF(AC82="","Not rostered",IFERROR(INDEX(Settings!$C$14:$C$33,MATCH(AC82,Settings!$B$14:$B$33,0)),IFERROR(LOOKUP(2^15,SEARCH(Settings!$I$14:$I$83,AC82)/(Settings!$I$14:$I$83&lt;&gt;""),Settings!$J$14:$J$83),"Other"))))</f>
        <v/>
      </c>
      <c r="BG82">
        <f>IF($B82="","",IF(AD82="","Not rostered",IFERROR(INDEX(Settings!$C$14:$C$33,MATCH(AD82,Settings!$B$14:$B$33,0)),IFERROR(LOOKUP(2^15,SEARCH(Settings!$I$14:$I$83,AD82)/(Settings!$I$14:$I$83&lt;&gt;""),Settings!$J$14:$J$83),"Other"))))</f>
        <v/>
      </c>
      <c r="BH82">
        <f>IF($B82="","",IF(AE82="","Not rostered",IFERROR(INDEX(Settings!$C$14:$C$33,MATCH(AE82,Settings!$B$14:$B$33,0)),IFERROR(LOOKUP(2^15,SEARCH(Settings!$I$14:$I$83,AE82)/(Settings!$I$14:$I$83&lt;&gt;""),Settings!$J$14:$J$83),"Other"))))</f>
        <v/>
      </c>
      <c r="BI82">
        <f>IF($B82="","",IF(AF82="","Not rostered",IFERROR(INDEX(Settings!$C$14:$C$33,MATCH(AF82,Settings!$B$14:$B$33,0)),IFERROR(LOOKUP(2^15,SEARCH(Settings!$I$14:$I$83,AF82)/(Settings!$I$14:$I$83&lt;&gt;""),Settings!$J$14:$J$83),"Other"))))</f>
        <v/>
      </c>
      <c r="BJ82">
        <f>IF($B82="","",IF(AG82="","Not rostered",IFERROR(INDEX(Settings!$C$14:$C$33,MATCH(AG82,Settings!$B$14:$B$33,0)),IFERROR(LOOKUP(2^15,SEARCH(Settings!$I$14:$I$83,AG82)/(Settings!$I$14:$I$83&lt;&gt;""),Settings!$J$14:$J$83),"Other"))))</f>
        <v/>
      </c>
      <c r="BL82">
        <f>IF(OR($B82="",F82=""),"",IFERROR(INDEX(Settings!$D$14:$D$33,MATCH(F82,Settings!$B$14:$B$33,0))&amp;"",IFERROR(LOOKUP(2^15,SEARCH(Settings!$F$14:$F$43,F82)/(Settings!$F$14:$F$43&lt;&gt;""),Settings!$G$14:$G$43),"")))</f>
        <v/>
      </c>
      <c r="BM82">
        <f>IF(OR($B82="",G82=""),"",IFERROR(INDEX(Settings!$D$14:$D$33,MATCH(G82,Settings!$B$14:$B$33,0))&amp;"",IFERROR(LOOKUP(2^15,SEARCH(Settings!$F$14:$F$43,G82)/(Settings!$F$14:$F$43&lt;&gt;""),Settings!$G$14:$G$43),"")))</f>
        <v/>
      </c>
      <c r="BN82">
        <f>IF(OR($B82="",H82=""),"",IFERROR(INDEX(Settings!$D$14:$D$33,MATCH(H82,Settings!$B$14:$B$33,0))&amp;"",IFERROR(LOOKUP(2^15,SEARCH(Settings!$F$14:$F$43,H82)/(Settings!$F$14:$F$43&lt;&gt;""),Settings!$G$14:$G$43),"")))</f>
        <v/>
      </c>
      <c r="BO82">
        <f>IF(OR($B82="",I82=""),"",IFERROR(INDEX(Settings!$D$14:$D$33,MATCH(I82,Settings!$B$14:$B$33,0))&amp;"",IFERROR(LOOKUP(2^15,SEARCH(Settings!$F$14:$F$43,I82)/(Settings!$F$14:$F$43&lt;&gt;""),Settings!$G$14:$G$43),"")))</f>
        <v/>
      </c>
      <c r="BP82">
        <f>IF(OR($B82="",J82=""),"",IFERROR(INDEX(Settings!$D$14:$D$33,MATCH(J82,Settings!$B$14:$B$33,0))&amp;"",IFERROR(LOOKUP(2^15,SEARCH(Settings!$F$14:$F$43,J82)/(Settings!$F$14:$F$43&lt;&gt;""),Settings!$G$14:$G$43),"")))</f>
        <v/>
      </c>
      <c r="BQ82">
        <f>IF(OR($B82="",K82=""),"",IFERROR(INDEX(Settings!$D$14:$D$33,MATCH(K82,Settings!$B$14:$B$33,0))&amp;"",IFERROR(LOOKUP(2^15,SEARCH(Settings!$F$14:$F$43,K82)/(Settings!$F$14:$F$43&lt;&gt;""),Settings!$G$14:$G$43),"")))</f>
        <v/>
      </c>
      <c r="BR82">
        <f>IF(OR($B82="",L82=""),"",IFERROR(INDEX(Settings!$D$14:$D$33,MATCH(L82,Settings!$B$14:$B$33,0))&amp;"",IFERROR(LOOKUP(2^15,SEARCH(Settings!$F$14:$F$43,L82)/(Settings!$F$14:$F$43&lt;&gt;""),Settings!$G$14:$G$43),"")))</f>
        <v/>
      </c>
      <c r="BS82">
        <f>IF(OR($B82="",M82=""),"",IFERROR(INDEX(Settings!$D$14:$D$33,MATCH(M82,Settings!$B$14:$B$33,0))&amp;"",IFERROR(LOOKUP(2^15,SEARCH(Settings!$F$14:$F$43,M82)/(Settings!$F$14:$F$43&lt;&gt;""),Settings!$G$14:$G$43),"")))</f>
        <v/>
      </c>
      <c r="BT82">
        <f>IF(OR($B82="",N82=""),"",IFERROR(INDEX(Settings!$D$14:$D$33,MATCH(N82,Settings!$B$14:$B$33,0))&amp;"",IFERROR(LOOKUP(2^15,SEARCH(Settings!$F$14:$F$43,N82)/(Settings!$F$14:$F$43&lt;&gt;""),Settings!$G$14:$G$43),"")))</f>
        <v/>
      </c>
      <c r="BU82">
        <f>IF(OR($B82="",O82=""),"",IFERROR(INDEX(Settings!$D$14:$D$33,MATCH(O82,Settings!$B$14:$B$33,0))&amp;"",IFERROR(LOOKUP(2^15,SEARCH(Settings!$F$14:$F$43,O82)/(Settings!$F$14:$F$43&lt;&gt;""),Settings!$G$14:$G$43),"")))</f>
        <v/>
      </c>
      <c r="BV82">
        <f>IF(OR($B82="",P82=""),"",IFERROR(INDEX(Settings!$D$14:$D$33,MATCH(P82,Settings!$B$14:$B$33,0))&amp;"",IFERROR(LOOKUP(2^15,SEARCH(Settings!$F$14:$F$43,P82)/(Settings!$F$14:$F$43&lt;&gt;""),Settings!$G$14:$G$43),"")))</f>
        <v/>
      </c>
      <c r="BW82">
        <f>IF(OR($B82="",Q82=""),"",IFERROR(INDEX(Settings!$D$14:$D$33,MATCH(Q82,Settings!$B$14:$B$33,0))&amp;"",IFERROR(LOOKUP(2^15,SEARCH(Settings!$F$14:$F$43,Q82)/(Settings!$F$14:$F$43&lt;&gt;""),Settings!$G$14:$G$43),"")))</f>
        <v/>
      </c>
      <c r="BX82">
        <f>IF(OR($B82="",R82=""),"",IFERROR(INDEX(Settings!$D$14:$D$33,MATCH(R82,Settings!$B$14:$B$33,0))&amp;"",IFERROR(LOOKUP(2^15,SEARCH(Settings!$F$14:$F$43,R82)/(Settings!$F$14:$F$43&lt;&gt;""),Settings!$G$14:$G$43),"")))</f>
        <v/>
      </c>
      <c r="BY82">
        <f>IF(OR($B82="",S82=""),"",IFERROR(INDEX(Settings!$D$14:$D$33,MATCH(S82,Settings!$B$14:$B$33,0))&amp;"",IFERROR(LOOKUP(2^15,SEARCH(Settings!$F$14:$F$43,S82)/(Settings!$F$14:$F$43&lt;&gt;""),Settings!$G$14:$G$43),"")))</f>
        <v/>
      </c>
      <c r="BZ82">
        <f>IF(OR($B82="",T82=""),"",IFERROR(INDEX(Settings!$D$14:$D$33,MATCH(T82,Settings!$B$14:$B$33,0))&amp;"",IFERROR(LOOKUP(2^15,SEARCH(Settings!$F$14:$F$43,T82)/(Settings!$F$14:$F$43&lt;&gt;""),Settings!$G$14:$G$43),"")))</f>
        <v/>
      </c>
      <c r="CA82">
        <f>IF(OR($B82="",U82=""),"",IFERROR(INDEX(Settings!$D$14:$D$33,MATCH(U82,Settings!$B$14:$B$33,0))&amp;"",IFERROR(LOOKUP(2^15,SEARCH(Settings!$F$14:$F$43,U82)/(Settings!$F$14:$F$43&lt;&gt;""),Settings!$G$14:$G$43),"")))</f>
        <v/>
      </c>
      <c r="CB82">
        <f>IF(OR($B82="",V82=""),"",IFERROR(INDEX(Settings!$D$14:$D$33,MATCH(V82,Settings!$B$14:$B$33,0))&amp;"",IFERROR(LOOKUP(2^15,SEARCH(Settings!$F$14:$F$43,V82)/(Settings!$F$14:$F$43&lt;&gt;""),Settings!$G$14:$G$43),"")))</f>
        <v/>
      </c>
      <c r="CC82">
        <f>IF(OR($B82="",W82=""),"",IFERROR(INDEX(Settings!$D$14:$D$33,MATCH(W82,Settings!$B$14:$B$33,0))&amp;"",IFERROR(LOOKUP(2^15,SEARCH(Settings!$F$14:$F$43,W82)/(Settings!$F$14:$F$43&lt;&gt;""),Settings!$G$14:$G$43),"")))</f>
        <v/>
      </c>
      <c r="CD82">
        <f>IF(OR($B82="",X82=""),"",IFERROR(INDEX(Settings!$D$14:$D$33,MATCH(X82,Settings!$B$14:$B$33,0))&amp;"",IFERROR(LOOKUP(2^15,SEARCH(Settings!$F$14:$F$43,X82)/(Settings!$F$14:$F$43&lt;&gt;""),Settings!$G$14:$G$43),"")))</f>
        <v/>
      </c>
      <c r="CE82">
        <f>IF(OR($B82="",Y82=""),"",IFERROR(INDEX(Settings!$D$14:$D$33,MATCH(Y82,Settings!$B$14:$B$33,0))&amp;"",IFERROR(LOOKUP(2^15,SEARCH(Settings!$F$14:$F$43,Y82)/(Settings!$F$14:$F$43&lt;&gt;""),Settings!$G$14:$G$43),"")))</f>
        <v/>
      </c>
      <c r="CF82">
        <f>IF(OR($B82="",Z82=""),"",IFERROR(INDEX(Settings!$D$14:$D$33,MATCH(Z82,Settings!$B$14:$B$33,0))&amp;"",IFERROR(LOOKUP(2^15,SEARCH(Settings!$F$14:$F$43,Z82)/(Settings!$F$14:$F$43&lt;&gt;""),Settings!$G$14:$G$43),"")))</f>
        <v/>
      </c>
      <c r="CG82">
        <f>IF(OR($B82="",AA82=""),"",IFERROR(INDEX(Settings!$D$14:$D$33,MATCH(AA82,Settings!$B$14:$B$33,0))&amp;"",IFERROR(LOOKUP(2^15,SEARCH(Settings!$F$14:$F$43,AA82)/(Settings!$F$14:$F$43&lt;&gt;""),Settings!$G$14:$G$43),"")))</f>
        <v/>
      </c>
      <c r="CH82">
        <f>IF(OR($B82="",AB82=""),"",IFERROR(INDEX(Settings!$D$14:$D$33,MATCH(AB82,Settings!$B$14:$B$33,0))&amp;"",IFERROR(LOOKUP(2^15,SEARCH(Settings!$F$14:$F$43,AB82)/(Settings!$F$14:$F$43&lt;&gt;""),Settings!$G$14:$G$43),"")))</f>
        <v/>
      </c>
      <c r="CI82">
        <f>IF(OR($B82="",AC82=""),"",IFERROR(INDEX(Settings!$D$14:$D$33,MATCH(AC82,Settings!$B$14:$B$33,0))&amp;"",IFERROR(LOOKUP(2^15,SEARCH(Settings!$F$14:$F$43,AC82)/(Settings!$F$14:$F$43&lt;&gt;""),Settings!$G$14:$G$43),"")))</f>
        <v/>
      </c>
      <c r="CJ82">
        <f>IF(OR($B82="",AD82=""),"",IFERROR(INDEX(Settings!$D$14:$D$33,MATCH(AD82,Settings!$B$14:$B$33,0))&amp;"",IFERROR(LOOKUP(2^15,SEARCH(Settings!$F$14:$F$43,AD82)/(Settings!$F$14:$F$43&lt;&gt;""),Settings!$G$14:$G$43),"")))</f>
        <v/>
      </c>
      <c r="CK82">
        <f>IF(OR($B82="",AE82=""),"",IFERROR(INDEX(Settings!$D$14:$D$33,MATCH(AE82,Settings!$B$14:$B$33,0))&amp;"",IFERROR(LOOKUP(2^15,SEARCH(Settings!$F$14:$F$43,AE82)/(Settings!$F$14:$F$43&lt;&gt;""),Settings!$G$14:$G$43),"")))</f>
        <v/>
      </c>
      <c r="CL82">
        <f>IF(OR($B82="",AF82=""),"",IFERROR(INDEX(Settings!$D$14:$D$33,MATCH(AF82,Settings!$B$14:$B$33,0))&amp;"",IFERROR(LOOKUP(2^15,SEARCH(Settings!$F$14:$F$43,AF82)/(Settings!$F$14:$F$43&lt;&gt;""),Settings!$G$14:$G$43),"")))</f>
        <v/>
      </c>
      <c r="CM82">
        <f>IF(OR($B82="",AG82=""),"",IFERROR(INDEX(Settings!$D$14:$D$33,MATCH(AG82,Settings!$B$14:$B$33,0))&amp;"",IFERROR(LOOKUP(2^15,SEARCH(Settings!$F$14:$F$43,AG82)/(Settings!$F$14:$F$43&lt;&gt;""),Settings!$G$14:$G$43),"")))</f>
        <v/>
      </c>
    </row>
    <row r="83">
      <c r="A83" t="n">
        <v>81</v>
      </c>
      <c r="B83">
        <f>IFERROR(INDEX(Index!$A$2:$A$202,MATCH(A83,Index!$E$2:$E$202,0)),"")</f>
        <v/>
      </c>
      <c r="D83">
        <f>IF($B83="","",IFERROR(MATCH("Travel*",AI83:BJ83,0),""))</f>
        <v/>
      </c>
      <c r="F83">
        <f>IF(OR($B83="",NOT(ISNUMBER(Settings!$C$9))),"",TRIM(SUBSTITUTE(SUBSTITUTE(INDEX('INPUT - Roster'!$S$1:$SV$206,$B83,Settings!$C$9+0)&amp;"",CHAR(10)," "),CHAR(160)," ")))</f>
        <v/>
      </c>
      <c r="G83">
        <f>IF(OR($B83="",NOT(ISNUMBER(Settings!$C$9))),"",TRIM(SUBSTITUTE(SUBSTITUTE(INDEX('INPUT - Roster'!$S$1:$SV$206,$B83,Settings!$C$9+1)&amp;"",CHAR(10)," "),CHAR(160)," ")))</f>
        <v/>
      </c>
      <c r="H83">
        <f>IF(OR($B83="",NOT(ISNUMBER(Settings!$C$9))),"",TRIM(SUBSTITUTE(SUBSTITUTE(INDEX('INPUT - Roster'!$S$1:$SV$206,$B83,Settings!$C$9+2)&amp;"",CHAR(10)," "),CHAR(160)," ")))</f>
        <v/>
      </c>
      <c r="I83">
        <f>IF(OR($B83="",NOT(ISNUMBER(Settings!$C$9))),"",TRIM(SUBSTITUTE(SUBSTITUTE(INDEX('INPUT - Roster'!$S$1:$SV$206,$B83,Settings!$C$9+3)&amp;"",CHAR(10)," "),CHAR(160)," ")))</f>
        <v/>
      </c>
      <c r="J83">
        <f>IF(OR($B83="",NOT(ISNUMBER(Settings!$C$9))),"",TRIM(SUBSTITUTE(SUBSTITUTE(INDEX('INPUT - Roster'!$S$1:$SV$206,$B83,Settings!$C$9+4)&amp;"",CHAR(10)," "),CHAR(160)," ")))</f>
        <v/>
      </c>
      <c r="K83">
        <f>IF(OR($B83="",NOT(ISNUMBER(Settings!$C$9))),"",TRIM(SUBSTITUTE(SUBSTITUTE(INDEX('INPUT - Roster'!$S$1:$SV$206,$B83,Settings!$C$9+5)&amp;"",CHAR(10)," "),CHAR(160)," ")))</f>
        <v/>
      </c>
      <c r="L83">
        <f>IF(OR($B83="",NOT(ISNUMBER(Settings!$C$9))),"",TRIM(SUBSTITUTE(SUBSTITUTE(INDEX('INPUT - Roster'!$S$1:$SV$206,$B83,Settings!$C$9+6)&amp;"",CHAR(10)," "),CHAR(160)," ")))</f>
        <v/>
      </c>
      <c r="M83">
        <f>IF(OR($B83="",NOT(ISNUMBER(Settings!$C$9))),"",TRIM(SUBSTITUTE(SUBSTITUTE(INDEX('INPUT - Roster'!$S$1:$SV$206,$B83,Settings!$C$9+7)&amp;"",CHAR(10)," "),CHAR(160)," ")))</f>
        <v/>
      </c>
      <c r="N83">
        <f>IF(OR($B83="",NOT(ISNUMBER(Settings!$C$9))),"",TRIM(SUBSTITUTE(SUBSTITUTE(INDEX('INPUT - Roster'!$S$1:$SV$206,$B83,Settings!$C$9+8)&amp;"",CHAR(10)," "),CHAR(160)," ")))</f>
        <v/>
      </c>
      <c r="O83">
        <f>IF(OR($B83="",NOT(ISNUMBER(Settings!$C$9))),"",TRIM(SUBSTITUTE(SUBSTITUTE(INDEX('INPUT - Roster'!$S$1:$SV$206,$B83,Settings!$C$9+9)&amp;"",CHAR(10)," "),CHAR(160)," ")))</f>
        <v/>
      </c>
      <c r="P83">
        <f>IF(OR($B83="",NOT(ISNUMBER(Settings!$C$9))),"",TRIM(SUBSTITUTE(SUBSTITUTE(INDEX('INPUT - Roster'!$S$1:$SV$206,$B83,Settings!$C$9+10)&amp;"",CHAR(10)," "),CHAR(160)," ")))</f>
        <v/>
      </c>
      <c r="Q83">
        <f>IF(OR($B83="",NOT(ISNUMBER(Settings!$C$9))),"",TRIM(SUBSTITUTE(SUBSTITUTE(INDEX('INPUT - Roster'!$S$1:$SV$206,$B83,Settings!$C$9+11)&amp;"",CHAR(10)," "),CHAR(160)," ")))</f>
        <v/>
      </c>
      <c r="R83">
        <f>IF(OR($B83="",NOT(ISNUMBER(Settings!$C$9))),"",TRIM(SUBSTITUTE(SUBSTITUTE(INDEX('INPUT - Roster'!$S$1:$SV$206,$B83,Settings!$C$9+12)&amp;"",CHAR(10)," "),CHAR(160)," ")))</f>
        <v/>
      </c>
      <c r="S83">
        <f>IF(OR($B83="",NOT(ISNUMBER(Settings!$C$9))),"",TRIM(SUBSTITUTE(SUBSTITUTE(INDEX('INPUT - Roster'!$S$1:$SV$206,$B83,Settings!$C$9+13)&amp;"",CHAR(10)," "),CHAR(160)," ")))</f>
        <v/>
      </c>
      <c r="T83">
        <f>IF(OR($B83="",NOT(ISNUMBER(Settings!$C$9))),"",TRIM(SUBSTITUTE(SUBSTITUTE(INDEX('INPUT - Roster'!$S$1:$SV$206,$B83,Settings!$C$9+14)&amp;"",CHAR(10)," "),CHAR(160)," ")))</f>
        <v/>
      </c>
      <c r="U83">
        <f>IF(OR($B83="",NOT(ISNUMBER(Settings!$C$9))),"",TRIM(SUBSTITUTE(SUBSTITUTE(INDEX('INPUT - Roster'!$S$1:$SV$206,$B83,Settings!$C$9+15)&amp;"",CHAR(10)," "),CHAR(160)," ")))</f>
        <v/>
      </c>
      <c r="V83">
        <f>IF(OR($B83="",NOT(ISNUMBER(Settings!$C$9))),"",TRIM(SUBSTITUTE(SUBSTITUTE(INDEX('INPUT - Roster'!$S$1:$SV$206,$B83,Settings!$C$9+16)&amp;"",CHAR(10)," "),CHAR(160)," ")))</f>
        <v/>
      </c>
      <c r="W83">
        <f>IF(OR($B83="",NOT(ISNUMBER(Settings!$C$9))),"",TRIM(SUBSTITUTE(SUBSTITUTE(INDEX('INPUT - Roster'!$S$1:$SV$206,$B83,Settings!$C$9+17)&amp;"",CHAR(10)," "),CHAR(160)," ")))</f>
        <v/>
      </c>
      <c r="X83">
        <f>IF(OR($B83="",NOT(ISNUMBER(Settings!$C$9))),"",TRIM(SUBSTITUTE(SUBSTITUTE(INDEX('INPUT - Roster'!$S$1:$SV$206,$B83,Settings!$C$9+18)&amp;"",CHAR(10)," "),CHAR(160)," ")))</f>
        <v/>
      </c>
      <c r="Y83">
        <f>IF(OR($B83="",NOT(ISNUMBER(Settings!$C$9))),"",TRIM(SUBSTITUTE(SUBSTITUTE(INDEX('INPUT - Roster'!$S$1:$SV$206,$B83,Settings!$C$9+19)&amp;"",CHAR(10)," "),CHAR(160)," ")))</f>
        <v/>
      </c>
      <c r="Z83">
        <f>IF(OR($B83="",NOT(ISNUMBER(Settings!$C$9))),"",TRIM(SUBSTITUTE(SUBSTITUTE(INDEX('INPUT - Roster'!$S$1:$SV$206,$B83,Settings!$C$9+20)&amp;"",CHAR(10)," "),CHAR(160)," ")))</f>
        <v/>
      </c>
      <c r="AA83">
        <f>IF(OR($B83="",NOT(ISNUMBER(Settings!$C$9))),"",TRIM(SUBSTITUTE(SUBSTITUTE(INDEX('INPUT - Roster'!$S$1:$SV$206,$B83,Settings!$C$9+21)&amp;"",CHAR(10)," "),CHAR(160)," ")))</f>
        <v/>
      </c>
      <c r="AB83">
        <f>IF(OR($B83="",NOT(ISNUMBER(Settings!$C$9))),"",TRIM(SUBSTITUTE(SUBSTITUTE(INDEX('INPUT - Roster'!$S$1:$SV$206,$B83,Settings!$C$9+22)&amp;"",CHAR(10)," "),CHAR(160)," ")))</f>
        <v/>
      </c>
      <c r="AC83">
        <f>IF(OR($B83="",NOT(ISNUMBER(Settings!$C$9))),"",TRIM(SUBSTITUTE(SUBSTITUTE(INDEX('INPUT - Roster'!$S$1:$SV$206,$B83,Settings!$C$9+23)&amp;"",CHAR(10)," "),CHAR(160)," ")))</f>
        <v/>
      </c>
      <c r="AD83">
        <f>IF(OR($B83="",NOT(ISNUMBER(Settings!$C$9))),"",TRIM(SUBSTITUTE(SUBSTITUTE(INDEX('INPUT - Roster'!$S$1:$SV$206,$B83,Settings!$C$9+24)&amp;"",CHAR(10)," "),CHAR(160)," ")))</f>
        <v/>
      </c>
      <c r="AE83">
        <f>IF(OR($B83="",NOT(ISNUMBER(Settings!$C$9))),"",TRIM(SUBSTITUTE(SUBSTITUTE(INDEX('INPUT - Roster'!$S$1:$SV$206,$B83,Settings!$C$9+25)&amp;"",CHAR(10)," "),CHAR(160)," ")))</f>
        <v/>
      </c>
      <c r="AF83">
        <f>IF(OR($B83="",NOT(ISNUMBER(Settings!$C$9))),"",TRIM(SUBSTITUTE(SUBSTITUTE(INDEX('INPUT - Roster'!$S$1:$SV$206,$B83,Settings!$C$9+26)&amp;"",CHAR(10)," "),CHAR(160)," ")))</f>
        <v/>
      </c>
      <c r="AG83">
        <f>IF(OR($B83="",NOT(ISNUMBER(Settings!$C$9))),"",TRIM(SUBSTITUTE(SUBSTITUTE(INDEX('INPUT - Roster'!$S$1:$SV$206,$B83,Settings!$C$9+27)&amp;"",CHAR(10)," "),CHAR(160)," ")))</f>
        <v/>
      </c>
      <c r="AI83">
        <f>IF($B83="","",IF(F83="","Not rostered",IFERROR(INDEX(Settings!$C$14:$C$33,MATCH(F83,Settings!$B$14:$B$33,0)),IFERROR(LOOKUP(2^15,SEARCH(Settings!$I$14:$I$83,F83)/(Settings!$I$14:$I$83&lt;&gt;""),Settings!$J$14:$J$83),"Other"))))</f>
        <v/>
      </c>
      <c r="AJ83">
        <f>IF($B83="","",IF(G83="","Not rostered",IFERROR(INDEX(Settings!$C$14:$C$33,MATCH(G83,Settings!$B$14:$B$33,0)),IFERROR(LOOKUP(2^15,SEARCH(Settings!$I$14:$I$83,G83)/(Settings!$I$14:$I$83&lt;&gt;""),Settings!$J$14:$J$83),"Other"))))</f>
        <v/>
      </c>
      <c r="AK83">
        <f>IF($B83="","",IF(H83="","Not rostered",IFERROR(INDEX(Settings!$C$14:$C$33,MATCH(H83,Settings!$B$14:$B$33,0)),IFERROR(LOOKUP(2^15,SEARCH(Settings!$I$14:$I$83,H83)/(Settings!$I$14:$I$83&lt;&gt;""),Settings!$J$14:$J$83),"Other"))))</f>
        <v/>
      </c>
      <c r="AL83">
        <f>IF($B83="","",IF(I83="","Not rostered",IFERROR(INDEX(Settings!$C$14:$C$33,MATCH(I83,Settings!$B$14:$B$33,0)),IFERROR(LOOKUP(2^15,SEARCH(Settings!$I$14:$I$83,I83)/(Settings!$I$14:$I$83&lt;&gt;""),Settings!$J$14:$J$83),"Other"))))</f>
        <v/>
      </c>
      <c r="AM83">
        <f>IF($B83="","",IF(J83="","Not rostered",IFERROR(INDEX(Settings!$C$14:$C$33,MATCH(J83,Settings!$B$14:$B$33,0)),IFERROR(LOOKUP(2^15,SEARCH(Settings!$I$14:$I$83,J83)/(Settings!$I$14:$I$83&lt;&gt;""),Settings!$J$14:$J$83),"Other"))))</f>
        <v/>
      </c>
      <c r="AN83">
        <f>IF($B83="","",IF(K83="","Not rostered",IFERROR(INDEX(Settings!$C$14:$C$33,MATCH(K83,Settings!$B$14:$B$33,0)),IFERROR(LOOKUP(2^15,SEARCH(Settings!$I$14:$I$83,K83)/(Settings!$I$14:$I$83&lt;&gt;""),Settings!$J$14:$J$83),"Other"))))</f>
        <v/>
      </c>
      <c r="AO83">
        <f>IF($B83="","",IF(L83="","Not rostered",IFERROR(INDEX(Settings!$C$14:$C$33,MATCH(L83,Settings!$B$14:$B$33,0)),IFERROR(LOOKUP(2^15,SEARCH(Settings!$I$14:$I$83,L83)/(Settings!$I$14:$I$83&lt;&gt;""),Settings!$J$14:$J$83),"Other"))))</f>
        <v/>
      </c>
      <c r="AP83">
        <f>IF($B83="","",IF(M83="","Not rostered",IFERROR(INDEX(Settings!$C$14:$C$33,MATCH(M83,Settings!$B$14:$B$33,0)),IFERROR(LOOKUP(2^15,SEARCH(Settings!$I$14:$I$83,M83)/(Settings!$I$14:$I$83&lt;&gt;""),Settings!$J$14:$J$83),"Other"))))</f>
        <v/>
      </c>
      <c r="AQ83">
        <f>IF($B83="","",IF(N83="","Not rostered",IFERROR(INDEX(Settings!$C$14:$C$33,MATCH(N83,Settings!$B$14:$B$33,0)),IFERROR(LOOKUP(2^15,SEARCH(Settings!$I$14:$I$83,N83)/(Settings!$I$14:$I$83&lt;&gt;""),Settings!$J$14:$J$83),"Other"))))</f>
        <v/>
      </c>
      <c r="AR83">
        <f>IF($B83="","",IF(O83="","Not rostered",IFERROR(INDEX(Settings!$C$14:$C$33,MATCH(O83,Settings!$B$14:$B$33,0)),IFERROR(LOOKUP(2^15,SEARCH(Settings!$I$14:$I$83,O83)/(Settings!$I$14:$I$83&lt;&gt;""),Settings!$J$14:$J$83),"Other"))))</f>
        <v/>
      </c>
      <c r="AS83">
        <f>IF($B83="","",IF(P83="","Not rostered",IFERROR(INDEX(Settings!$C$14:$C$33,MATCH(P83,Settings!$B$14:$B$33,0)),IFERROR(LOOKUP(2^15,SEARCH(Settings!$I$14:$I$83,P83)/(Settings!$I$14:$I$83&lt;&gt;""),Settings!$J$14:$J$83),"Other"))))</f>
        <v/>
      </c>
      <c r="AT83">
        <f>IF($B83="","",IF(Q83="","Not rostered",IFERROR(INDEX(Settings!$C$14:$C$33,MATCH(Q83,Settings!$B$14:$B$33,0)),IFERROR(LOOKUP(2^15,SEARCH(Settings!$I$14:$I$83,Q83)/(Settings!$I$14:$I$83&lt;&gt;""),Settings!$J$14:$J$83),"Other"))))</f>
        <v/>
      </c>
      <c r="AU83">
        <f>IF($B83="","",IF(R83="","Not rostered",IFERROR(INDEX(Settings!$C$14:$C$33,MATCH(R83,Settings!$B$14:$B$33,0)),IFERROR(LOOKUP(2^15,SEARCH(Settings!$I$14:$I$83,R83)/(Settings!$I$14:$I$83&lt;&gt;""),Settings!$J$14:$J$83),"Other"))))</f>
        <v/>
      </c>
      <c r="AV83">
        <f>IF($B83="","",IF(S83="","Not rostered",IFERROR(INDEX(Settings!$C$14:$C$33,MATCH(S83,Settings!$B$14:$B$33,0)),IFERROR(LOOKUP(2^15,SEARCH(Settings!$I$14:$I$83,S83)/(Settings!$I$14:$I$83&lt;&gt;""),Settings!$J$14:$J$83),"Other"))))</f>
        <v/>
      </c>
      <c r="AW83">
        <f>IF($B83="","",IF(T83="","Not rostered",IFERROR(INDEX(Settings!$C$14:$C$33,MATCH(T83,Settings!$B$14:$B$33,0)),IFERROR(LOOKUP(2^15,SEARCH(Settings!$I$14:$I$83,T83)/(Settings!$I$14:$I$83&lt;&gt;""),Settings!$J$14:$J$83),"Other"))))</f>
        <v/>
      </c>
      <c r="AX83">
        <f>IF($B83="","",IF(U83="","Not rostered",IFERROR(INDEX(Settings!$C$14:$C$33,MATCH(U83,Settings!$B$14:$B$33,0)),IFERROR(LOOKUP(2^15,SEARCH(Settings!$I$14:$I$83,U83)/(Settings!$I$14:$I$83&lt;&gt;""),Settings!$J$14:$J$83),"Other"))))</f>
        <v/>
      </c>
      <c r="AY83">
        <f>IF($B83="","",IF(V83="","Not rostered",IFERROR(INDEX(Settings!$C$14:$C$33,MATCH(V83,Settings!$B$14:$B$33,0)),IFERROR(LOOKUP(2^15,SEARCH(Settings!$I$14:$I$83,V83)/(Settings!$I$14:$I$83&lt;&gt;""),Settings!$J$14:$J$83),"Other"))))</f>
        <v/>
      </c>
      <c r="AZ83">
        <f>IF($B83="","",IF(W83="","Not rostered",IFERROR(INDEX(Settings!$C$14:$C$33,MATCH(W83,Settings!$B$14:$B$33,0)),IFERROR(LOOKUP(2^15,SEARCH(Settings!$I$14:$I$83,W83)/(Settings!$I$14:$I$83&lt;&gt;""),Settings!$J$14:$J$83),"Other"))))</f>
        <v/>
      </c>
      <c r="BA83">
        <f>IF($B83="","",IF(X83="","Not rostered",IFERROR(INDEX(Settings!$C$14:$C$33,MATCH(X83,Settings!$B$14:$B$33,0)),IFERROR(LOOKUP(2^15,SEARCH(Settings!$I$14:$I$83,X83)/(Settings!$I$14:$I$83&lt;&gt;""),Settings!$J$14:$J$83),"Other"))))</f>
        <v/>
      </c>
      <c r="BB83">
        <f>IF($B83="","",IF(Y83="","Not rostered",IFERROR(INDEX(Settings!$C$14:$C$33,MATCH(Y83,Settings!$B$14:$B$33,0)),IFERROR(LOOKUP(2^15,SEARCH(Settings!$I$14:$I$83,Y83)/(Settings!$I$14:$I$83&lt;&gt;""),Settings!$J$14:$J$83),"Other"))))</f>
        <v/>
      </c>
      <c r="BC83">
        <f>IF($B83="","",IF(Z83="","Not rostered",IFERROR(INDEX(Settings!$C$14:$C$33,MATCH(Z83,Settings!$B$14:$B$33,0)),IFERROR(LOOKUP(2^15,SEARCH(Settings!$I$14:$I$83,Z83)/(Settings!$I$14:$I$83&lt;&gt;""),Settings!$J$14:$J$83),"Other"))))</f>
        <v/>
      </c>
      <c r="BD83">
        <f>IF($B83="","",IF(AA83="","Not rostered",IFERROR(INDEX(Settings!$C$14:$C$33,MATCH(AA83,Settings!$B$14:$B$33,0)),IFERROR(LOOKUP(2^15,SEARCH(Settings!$I$14:$I$83,AA83)/(Settings!$I$14:$I$83&lt;&gt;""),Settings!$J$14:$J$83),"Other"))))</f>
        <v/>
      </c>
      <c r="BE83">
        <f>IF($B83="","",IF(AB83="","Not rostered",IFERROR(INDEX(Settings!$C$14:$C$33,MATCH(AB83,Settings!$B$14:$B$33,0)),IFERROR(LOOKUP(2^15,SEARCH(Settings!$I$14:$I$83,AB83)/(Settings!$I$14:$I$83&lt;&gt;""),Settings!$J$14:$J$83),"Other"))))</f>
        <v/>
      </c>
      <c r="BF83">
        <f>IF($B83="","",IF(AC83="","Not rostered",IFERROR(INDEX(Settings!$C$14:$C$33,MATCH(AC83,Settings!$B$14:$B$33,0)),IFERROR(LOOKUP(2^15,SEARCH(Settings!$I$14:$I$83,AC83)/(Settings!$I$14:$I$83&lt;&gt;""),Settings!$J$14:$J$83),"Other"))))</f>
        <v/>
      </c>
      <c r="BG83">
        <f>IF($B83="","",IF(AD83="","Not rostered",IFERROR(INDEX(Settings!$C$14:$C$33,MATCH(AD83,Settings!$B$14:$B$33,0)),IFERROR(LOOKUP(2^15,SEARCH(Settings!$I$14:$I$83,AD83)/(Settings!$I$14:$I$83&lt;&gt;""),Settings!$J$14:$J$83),"Other"))))</f>
        <v/>
      </c>
      <c r="BH83">
        <f>IF($B83="","",IF(AE83="","Not rostered",IFERROR(INDEX(Settings!$C$14:$C$33,MATCH(AE83,Settings!$B$14:$B$33,0)),IFERROR(LOOKUP(2^15,SEARCH(Settings!$I$14:$I$83,AE83)/(Settings!$I$14:$I$83&lt;&gt;""),Settings!$J$14:$J$83),"Other"))))</f>
        <v/>
      </c>
      <c r="BI83">
        <f>IF($B83="","",IF(AF83="","Not rostered",IFERROR(INDEX(Settings!$C$14:$C$33,MATCH(AF83,Settings!$B$14:$B$33,0)),IFERROR(LOOKUP(2^15,SEARCH(Settings!$I$14:$I$83,AF83)/(Settings!$I$14:$I$83&lt;&gt;""),Settings!$J$14:$J$83),"Other"))))</f>
        <v/>
      </c>
      <c r="BJ83">
        <f>IF($B83="","",IF(AG83="","Not rostered",IFERROR(INDEX(Settings!$C$14:$C$33,MATCH(AG83,Settings!$B$14:$B$33,0)),IFERROR(LOOKUP(2^15,SEARCH(Settings!$I$14:$I$83,AG83)/(Settings!$I$14:$I$83&lt;&gt;""),Settings!$J$14:$J$83),"Other"))))</f>
        <v/>
      </c>
      <c r="BL83">
        <f>IF(OR($B83="",F83=""),"",IFERROR(INDEX(Settings!$D$14:$D$33,MATCH(F83,Settings!$B$14:$B$33,0))&amp;"",IFERROR(LOOKUP(2^15,SEARCH(Settings!$F$14:$F$43,F83)/(Settings!$F$14:$F$43&lt;&gt;""),Settings!$G$14:$G$43),"")))</f>
        <v/>
      </c>
      <c r="BM83">
        <f>IF(OR($B83="",G83=""),"",IFERROR(INDEX(Settings!$D$14:$D$33,MATCH(G83,Settings!$B$14:$B$33,0))&amp;"",IFERROR(LOOKUP(2^15,SEARCH(Settings!$F$14:$F$43,G83)/(Settings!$F$14:$F$43&lt;&gt;""),Settings!$G$14:$G$43),"")))</f>
        <v/>
      </c>
      <c r="BN83">
        <f>IF(OR($B83="",H83=""),"",IFERROR(INDEX(Settings!$D$14:$D$33,MATCH(H83,Settings!$B$14:$B$33,0))&amp;"",IFERROR(LOOKUP(2^15,SEARCH(Settings!$F$14:$F$43,H83)/(Settings!$F$14:$F$43&lt;&gt;""),Settings!$G$14:$G$43),"")))</f>
        <v/>
      </c>
      <c r="BO83">
        <f>IF(OR($B83="",I83=""),"",IFERROR(INDEX(Settings!$D$14:$D$33,MATCH(I83,Settings!$B$14:$B$33,0))&amp;"",IFERROR(LOOKUP(2^15,SEARCH(Settings!$F$14:$F$43,I83)/(Settings!$F$14:$F$43&lt;&gt;""),Settings!$G$14:$G$43),"")))</f>
        <v/>
      </c>
      <c r="BP83">
        <f>IF(OR($B83="",J83=""),"",IFERROR(INDEX(Settings!$D$14:$D$33,MATCH(J83,Settings!$B$14:$B$33,0))&amp;"",IFERROR(LOOKUP(2^15,SEARCH(Settings!$F$14:$F$43,J83)/(Settings!$F$14:$F$43&lt;&gt;""),Settings!$G$14:$G$43),"")))</f>
        <v/>
      </c>
      <c r="BQ83">
        <f>IF(OR($B83="",K83=""),"",IFERROR(INDEX(Settings!$D$14:$D$33,MATCH(K83,Settings!$B$14:$B$33,0))&amp;"",IFERROR(LOOKUP(2^15,SEARCH(Settings!$F$14:$F$43,K83)/(Settings!$F$14:$F$43&lt;&gt;""),Settings!$G$14:$G$43),"")))</f>
        <v/>
      </c>
      <c r="BR83">
        <f>IF(OR($B83="",L83=""),"",IFERROR(INDEX(Settings!$D$14:$D$33,MATCH(L83,Settings!$B$14:$B$33,0))&amp;"",IFERROR(LOOKUP(2^15,SEARCH(Settings!$F$14:$F$43,L83)/(Settings!$F$14:$F$43&lt;&gt;""),Settings!$G$14:$G$43),"")))</f>
        <v/>
      </c>
      <c r="BS83">
        <f>IF(OR($B83="",M83=""),"",IFERROR(INDEX(Settings!$D$14:$D$33,MATCH(M83,Settings!$B$14:$B$33,0))&amp;"",IFERROR(LOOKUP(2^15,SEARCH(Settings!$F$14:$F$43,M83)/(Settings!$F$14:$F$43&lt;&gt;""),Settings!$G$14:$G$43),"")))</f>
        <v/>
      </c>
      <c r="BT83">
        <f>IF(OR($B83="",N83=""),"",IFERROR(INDEX(Settings!$D$14:$D$33,MATCH(N83,Settings!$B$14:$B$33,0))&amp;"",IFERROR(LOOKUP(2^15,SEARCH(Settings!$F$14:$F$43,N83)/(Settings!$F$14:$F$43&lt;&gt;""),Settings!$G$14:$G$43),"")))</f>
        <v/>
      </c>
      <c r="BU83">
        <f>IF(OR($B83="",O83=""),"",IFERROR(INDEX(Settings!$D$14:$D$33,MATCH(O83,Settings!$B$14:$B$33,0))&amp;"",IFERROR(LOOKUP(2^15,SEARCH(Settings!$F$14:$F$43,O83)/(Settings!$F$14:$F$43&lt;&gt;""),Settings!$G$14:$G$43),"")))</f>
        <v/>
      </c>
      <c r="BV83">
        <f>IF(OR($B83="",P83=""),"",IFERROR(INDEX(Settings!$D$14:$D$33,MATCH(P83,Settings!$B$14:$B$33,0))&amp;"",IFERROR(LOOKUP(2^15,SEARCH(Settings!$F$14:$F$43,P83)/(Settings!$F$14:$F$43&lt;&gt;""),Settings!$G$14:$G$43),"")))</f>
        <v/>
      </c>
      <c r="BW83">
        <f>IF(OR($B83="",Q83=""),"",IFERROR(INDEX(Settings!$D$14:$D$33,MATCH(Q83,Settings!$B$14:$B$33,0))&amp;"",IFERROR(LOOKUP(2^15,SEARCH(Settings!$F$14:$F$43,Q83)/(Settings!$F$14:$F$43&lt;&gt;""),Settings!$G$14:$G$43),"")))</f>
        <v/>
      </c>
      <c r="BX83">
        <f>IF(OR($B83="",R83=""),"",IFERROR(INDEX(Settings!$D$14:$D$33,MATCH(R83,Settings!$B$14:$B$33,0))&amp;"",IFERROR(LOOKUP(2^15,SEARCH(Settings!$F$14:$F$43,R83)/(Settings!$F$14:$F$43&lt;&gt;""),Settings!$G$14:$G$43),"")))</f>
        <v/>
      </c>
      <c r="BY83">
        <f>IF(OR($B83="",S83=""),"",IFERROR(INDEX(Settings!$D$14:$D$33,MATCH(S83,Settings!$B$14:$B$33,0))&amp;"",IFERROR(LOOKUP(2^15,SEARCH(Settings!$F$14:$F$43,S83)/(Settings!$F$14:$F$43&lt;&gt;""),Settings!$G$14:$G$43),"")))</f>
        <v/>
      </c>
      <c r="BZ83">
        <f>IF(OR($B83="",T83=""),"",IFERROR(INDEX(Settings!$D$14:$D$33,MATCH(T83,Settings!$B$14:$B$33,0))&amp;"",IFERROR(LOOKUP(2^15,SEARCH(Settings!$F$14:$F$43,T83)/(Settings!$F$14:$F$43&lt;&gt;""),Settings!$G$14:$G$43),"")))</f>
        <v/>
      </c>
      <c r="CA83">
        <f>IF(OR($B83="",U83=""),"",IFERROR(INDEX(Settings!$D$14:$D$33,MATCH(U83,Settings!$B$14:$B$33,0))&amp;"",IFERROR(LOOKUP(2^15,SEARCH(Settings!$F$14:$F$43,U83)/(Settings!$F$14:$F$43&lt;&gt;""),Settings!$G$14:$G$43),"")))</f>
        <v/>
      </c>
      <c r="CB83">
        <f>IF(OR($B83="",V83=""),"",IFERROR(INDEX(Settings!$D$14:$D$33,MATCH(V83,Settings!$B$14:$B$33,0))&amp;"",IFERROR(LOOKUP(2^15,SEARCH(Settings!$F$14:$F$43,V83)/(Settings!$F$14:$F$43&lt;&gt;""),Settings!$G$14:$G$43),"")))</f>
        <v/>
      </c>
      <c r="CC83">
        <f>IF(OR($B83="",W83=""),"",IFERROR(INDEX(Settings!$D$14:$D$33,MATCH(W83,Settings!$B$14:$B$33,0))&amp;"",IFERROR(LOOKUP(2^15,SEARCH(Settings!$F$14:$F$43,W83)/(Settings!$F$14:$F$43&lt;&gt;""),Settings!$G$14:$G$43),"")))</f>
        <v/>
      </c>
      <c r="CD83">
        <f>IF(OR($B83="",X83=""),"",IFERROR(INDEX(Settings!$D$14:$D$33,MATCH(X83,Settings!$B$14:$B$33,0))&amp;"",IFERROR(LOOKUP(2^15,SEARCH(Settings!$F$14:$F$43,X83)/(Settings!$F$14:$F$43&lt;&gt;""),Settings!$G$14:$G$43),"")))</f>
        <v/>
      </c>
      <c r="CE83">
        <f>IF(OR($B83="",Y83=""),"",IFERROR(INDEX(Settings!$D$14:$D$33,MATCH(Y83,Settings!$B$14:$B$33,0))&amp;"",IFERROR(LOOKUP(2^15,SEARCH(Settings!$F$14:$F$43,Y83)/(Settings!$F$14:$F$43&lt;&gt;""),Settings!$G$14:$G$43),"")))</f>
        <v/>
      </c>
      <c r="CF83">
        <f>IF(OR($B83="",Z83=""),"",IFERROR(INDEX(Settings!$D$14:$D$33,MATCH(Z83,Settings!$B$14:$B$33,0))&amp;"",IFERROR(LOOKUP(2^15,SEARCH(Settings!$F$14:$F$43,Z83)/(Settings!$F$14:$F$43&lt;&gt;""),Settings!$G$14:$G$43),"")))</f>
        <v/>
      </c>
      <c r="CG83">
        <f>IF(OR($B83="",AA83=""),"",IFERROR(INDEX(Settings!$D$14:$D$33,MATCH(AA83,Settings!$B$14:$B$33,0))&amp;"",IFERROR(LOOKUP(2^15,SEARCH(Settings!$F$14:$F$43,AA83)/(Settings!$F$14:$F$43&lt;&gt;""),Settings!$G$14:$G$43),"")))</f>
        <v/>
      </c>
      <c r="CH83">
        <f>IF(OR($B83="",AB83=""),"",IFERROR(INDEX(Settings!$D$14:$D$33,MATCH(AB83,Settings!$B$14:$B$33,0))&amp;"",IFERROR(LOOKUP(2^15,SEARCH(Settings!$F$14:$F$43,AB83)/(Settings!$F$14:$F$43&lt;&gt;""),Settings!$G$14:$G$43),"")))</f>
        <v/>
      </c>
      <c r="CI83">
        <f>IF(OR($B83="",AC83=""),"",IFERROR(INDEX(Settings!$D$14:$D$33,MATCH(AC83,Settings!$B$14:$B$33,0))&amp;"",IFERROR(LOOKUP(2^15,SEARCH(Settings!$F$14:$F$43,AC83)/(Settings!$F$14:$F$43&lt;&gt;""),Settings!$G$14:$G$43),"")))</f>
        <v/>
      </c>
      <c r="CJ83">
        <f>IF(OR($B83="",AD83=""),"",IFERROR(INDEX(Settings!$D$14:$D$33,MATCH(AD83,Settings!$B$14:$B$33,0))&amp;"",IFERROR(LOOKUP(2^15,SEARCH(Settings!$F$14:$F$43,AD83)/(Settings!$F$14:$F$43&lt;&gt;""),Settings!$G$14:$G$43),"")))</f>
        <v/>
      </c>
      <c r="CK83">
        <f>IF(OR($B83="",AE83=""),"",IFERROR(INDEX(Settings!$D$14:$D$33,MATCH(AE83,Settings!$B$14:$B$33,0))&amp;"",IFERROR(LOOKUP(2^15,SEARCH(Settings!$F$14:$F$43,AE83)/(Settings!$F$14:$F$43&lt;&gt;""),Settings!$G$14:$G$43),"")))</f>
        <v/>
      </c>
      <c r="CL83">
        <f>IF(OR($B83="",AF83=""),"",IFERROR(INDEX(Settings!$D$14:$D$33,MATCH(AF83,Settings!$B$14:$B$33,0))&amp;"",IFERROR(LOOKUP(2^15,SEARCH(Settings!$F$14:$F$43,AF83)/(Settings!$F$14:$F$43&lt;&gt;""),Settings!$G$14:$G$43),"")))</f>
        <v/>
      </c>
      <c r="CM83">
        <f>IF(OR($B83="",AG83=""),"",IFERROR(INDEX(Settings!$D$14:$D$33,MATCH(AG83,Settings!$B$14:$B$33,0))&amp;"",IFERROR(LOOKUP(2^15,SEARCH(Settings!$F$14:$F$43,AG83)/(Settings!$F$14:$F$43&lt;&gt;""),Settings!$G$14:$G$43),"")))</f>
        <v/>
      </c>
    </row>
    <row r="84">
      <c r="A84" t="n">
        <v>82</v>
      </c>
      <c r="B84">
        <f>IFERROR(INDEX(Index!$A$2:$A$202,MATCH(A84,Index!$E$2:$E$202,0)),"")</f>
        <v/>
      </c>
      <c r="D84">
        <f>IF($B84="","",IFERROR(MATCH("Travel*",AI84:BJ84,0),""))</f>
        <v/>
      </c>
      <c r="F84">
        <f>IF(OR($B84="",NOT(ISNUMBER(Settings!$C$9))),"",TRIM(SUBSTITUTE(SUBSTITUTE(INDEX('INPUT - Roster'!$S$1:$SV$206,$B84,Settings!$C$9+0)&amp;"",CHAR(10)," "),CHAR(160)," ")))</f>
        <v/>
      </c>
      <c r="G84">
        <f>IF(OR($B84="",NOT(ISNUMBER(Settings!$C$9))),"",TRIM(SUBSTITUTE(SUBSTITUTE(INDEX('INPUT - Roster'!$S$1:$SV$206,$B84,Settings!$C$9+1)&amp;"",CHAR(10)," "),CHAR(160)," ")))</f>
        <v/>
      </c>
      <c r="H84">
        <f>IF(OR($B84="",NOT(ISNUMBER(Settings!$C$9))),"",TRIM(SUBSTITUTE(SUBSTITUTE(INDEX('INPUT - Roster'!$S$1:$SV$206,$B84,Settings!$C$9+2)&amp;"",CHAR(10)," "),CHAR(160)," ")))</f>
        <v/>
      </c>
      <c r="I84">
        <f>IF(OR($B84="",NOT(ISNUMBER(Settings!$C$9))),"",TRIM(SUBSTITUTE(SUBSTITUTE(INDEX('INPUT - Roster'!$S$1:$SV$206,$B84,Settings!$C$9+3)&amp;"",CHAR(10)," "),CHAR(160)," ")))</f>
        <v/>
      </c>
      <c r="J84">
        <f>IF(OR($B84="",NOT(ISNUMBER(Settings!$C$9))),"",TRIM(SUBSTITUTE(SUBSTITUTE(INDEX('INPUT - Roster'!$S$1:$SV$206,$B84,Settings!$C$9+4)&amp;"",CHAR(10)," "),CHAR(160)," ")))</f>
        <v/>
      </c>
      <c r="K84">
        <f>IF(OR($B84="",NOT(ISNUMBER(Settings!$C$9))),"",TRIM(SUBSTITUTE(SUBSTITUTE(INDEX('INPUT - Roster'!$S$1:$SV$206,$B84,Settings!$C$9+5)&amp;"",CHAR(10)," "),CHAR(160)," ")))</f>
        <v/>
      </c>
      <c r="L84">
        <f>IF(OR($B84="",NOT(ISNUMBER(Settings!$C$9))),"",TRIM(SUBSTITUTE(SUBSTITUTE(INDEX('INPUT - Roster'!$S$1:$SV$206,$B84,Settings!$C$9+6)&amp;"",CHAR(10)," "),CHAR(160)," ")))</f>
        <v/>
      </c>
      <c r="M84">
        <f>IF(OR($B84="",NOT(ISNUMBER(Settings!$C$9))),"",TRIM(SUBSTITUTE(SUBSTITUTE(INDEX('INPUT - Roster'!$S$1:$SV$206,$B84,Settings!$C$9+7)&amp;"",CHAR(10)," "),CHAR(160)," ")))</f>
        <v/>
      </c>
      <c r="N84">
        <f>IF(OR($B84="",NOT(ISNUMBER(Settings!$C$9))),"",TRIM(SUBSTITUTE(SUBSTITUTE(INDEX('INPUT - Roster'!$S$1:$SV$206,$B84,Settings!$C$9+8)&amp;"",CHAR(10)," "),CHAR(160)," ")))</f>
        <v/>
      </c>
      <c r="O84">
        <f>IF(OR($B84="",NOT(ISNUMBER(Settings!$C$9))),"",TRIM(SUBSTITUTE(SUBSTITUTE(INDEX('INPUT - Roster'!$S$1:$SV$206,$B84,Settings!$C$9+9)&amp;"",CHAR(10)," "),CHAR(160)," ")))</f>
        <v/>
      </c>
      <c r="P84">
        <f>IF(OR($B84="",NOT(ISNUMBER(Settings!$C$9))),"",TRIM(SUBSTITUTE(SUBSTITUTE(INDEX('INPUT - Roster'!$S$1:$SV$206,$B84,Settings!$C$9+10)&amp;"",CHAR(10)," "),CHAR(160)," ")))</f>
        <v/>
      </c>
      <c r="Q84">
        <f>IF(OR($B84="",NOT(ISNUMBER(Settings!$C$9))),"",TRIM(SUBSTITUTE(SUBSTITUTE(INDEX('INPUT - Roster'!$S$1:$SV$206,$B84,Settings!$C$9+11)&amp;"",CHAR(10)," "),CHAR(160)," ")))</f>
        <v/>
      </c>
      <c r="R84">
        <f>IF(OR($B84="",NOT(ISNUMBER(Settings!$C$9))),"",TRIM(SUBSTITUTE(SUBSTITUTE(INDEX('INPUT - Roster'!$S$1:$SV$206,$B84,Settings!$C$9+12)&amp;"",CHAR(10)," "),CHAR(160)," ")))</f>
        <v/>
      </c>
      <c r="S84">
        <f>IF(OR($B84="",NOT(ISNUMBER(Settings!$C$9))),"",TRIM(SUBSTITUTE(SUBSTITUTE(INDEX('INPUT - Roster'!$S$1:$SV$206,$B84,Settings!$C$9+13)&amp;"",CHAR(10)," "),CHAR(160)," ")))</f>
        <v/>
      </c>
      <c r="T84">
        <f>IF(OR($B84="",NOT(ISNUMBER(Settings!$C$9))),"",TRIM(SUBSTITUTE(SUBSTITUTE(INDEX('INPUT - Roster'!$S$1:$SV$206,$B84,Settings!$C$9+14)&amp;"",CHAR(10)," "),CHAR(160)," ")))</f>
        <v/>
      </c>
      <c r="U84">
        <f>IF(OR($B84="",NOT(ISNUMBER(Settings!$C$9))),"",TRIM(SUBSTITUTE(SUBSTITUTE(INDEX('INPUT - Roster'!$S$1:$SV$206,$B84,Settings!$C$9+15)&amp;"",CHAR(10)," "),CHAR(160)," ")))</f>
        <v/>
      </c>
      <c r="V84">
        <f>IF(OR($B84="",NOT(ISNUMBER(Settings!$C$9))),"",TRIM(SUBSTITUTE(SUBSTITUTE(INDEX('INPUT - Roster'!$S$1:$SV$206,$B84,Settings!$C$9+16)&amp;"",CHAR(10)," "),CHAR(160)," ")))</f>
        <v/>
      </c>
      <c r="W84">
        <f>IF(OR($B84="",NOT(ISNUMBER(Settings!$C$9))),"",TRIM(SUBSTITUTE(SUBSTITUTE(INDEX('INPUT - Roster'!$S$1:$SV$206,$B84,Settings!$C$9+17)&amp;"",CHAR(10)," "),CHAR(160)," ")))</f>
        <v/>
      </c>
      <c r="X84">
        <f>IF(OR($B84="",NOT(ISNUMBER(Settings!$C$9))),"",TRIM(SUBSTITUTE(SUBSTITUTE(INDEX('INPUT - Roster'!$S$1:$SV$206,$B84,Settings!$C$9+18)&amp;"",CHAR(10)," "),CHAR(160)," ")))</f>
        <v/>
      </c>
      <c r="Y84">
        <f>IF(OR($B84="",NOT(ISNUMBER(Settings!$C$9))),"",TRIM(SUBSTITUTE(SUBSTITUTE(INDEX('INPUT - Roster'!$S$1:$SV$206,$B84,Settings!$C$9+19)&amp;"",CHAR(10)," "),CHAR(160)," ")))</f>
        <v/>
      </c>
      <c r="Z84">
        <f>IF(OR($B84="",NOT(ISNUMBER(Settings!$C$9))),"",TRIM(SUBSTITUTE(SUBSTITUTE(INDEX('INPUT - Roster'!$S$1:$SV$206,$B84,Settings!$C$9+20)&amp;"",CHAR(10)," "),CHAR(160)," ")))</f>
        <v/>
      </c>
      <c r="AA84">
        <f>IF(OR($B84="",NOT(ISNUMBER(Settings!$C$9))),"",TRIM(SUBSTITUTE(SUBSTITUTE(INDEX('INPUT - Roster'!$S$1:$SV$206,$B84,Settings!$C$9+21)&amp;"",CHAR(10)," "),CHAR(160)," ")))</f>
        <v/>
      </c>
      <c r="AB84">
        <f>IF(OR($B84="",NOT(ISNUMBER(Settings!$C$9))),"",TRIM(SUBSTITUTE(SUBSTITUTE(INDEX('INPUT - Roster'!$S$1:$SV$206,$B84,Settings!$C$9+22)&amp;"",CHAR(10)," "),CHAR(160)," ")))</f>
        <v/>
      </c>
      <c r="AC84">
        <f>IF(OR($B84="",NOT(ISNUMBER(Settings!$C$9))),"",TRIM(SUBSTITUTE(SUBSTITUTE(INDEX('INPUT - Roster'!$S$1:$SV$206,$B84,Settings!$C$9+23)&amp;"",CHAR(10)," "),CHAR(160)," ")))</f>
        <v/>
      </c>
      <c r="AD84">
        <f>IF(OR($B84="",NOT(ISNUMBER(Settings!$C$9))),"",TRIM(SUBSTITUTE(SUBSTITUTE(INDEX('INPUT - Roster'!$S$1:$SV$206,$B84,Settings!$C$9+24)&amp;"",CHAR(10)," "),CHAR(160)," ")))</f>
        <v/>
      </c>
      <c r="AE84">
        <f>IF(OR($B84="",NOT(ISNUMBER(Settings!$C$9))),"",TRIM(SUBSTITUTE(SUBSTITUTE(INDEX('INPUT - Roster'!$S$1:$SV$206,$B84,Settings!$C$9+25)&amp;"",CHAR(10)," "),CHAR(160)," ")))</f>
        <v/>
      </c>
      <c r="AF84">
        <f>IF(OR($B84="",NOT(ISNUMBER(Settings!$C$9))),"",TRIM(SUBSTITUTE(SUBSTITUTE(INDEX('INPUT - Roster'!$S$1:$SV$206,$B84,Settings!$C$9+26)&amp;"",CHAR(10)," "),CHAR(160)," ")))</f>
        <v/>
      </c>
      <c r="AG84">
        <f>IF(OR($B84="",NOT(ISNUMBER(Settings!$C$9))),"",TRIM(SUBSTITUTE(SUBSTITUTE(INDEX('INPUT - Roster'!$S$1:$SV$206,$B84,Settings!$C$9+27)&amp;"",CHAR(10)," "),CHAR(160)," ")))</f>
        <v/>
      </c>
      <c r="AI84">
        <f>IF($B84="","",IF(F84="","Not rostered",IFERROR(INDEX(Settings!$C$14:$C$33,MATCH(F84,Settings!$B$14:$B$33,0)),IFERROR(LOOKUP(2^15,SEARCH(Settings!$I$14:$I$83,F84)/(Settings!$I$14:$I$83&lt;&gt;""),Settings!$J$14:$J$83),"Other"))))</f>
        <v/>
      </c>
      <c r="AJ84">
        <f>IF($B84="","",IF(G84="","Not rostered",IFERROR(INDEX(Settings!$C$14:$C$33,MATCH(G84,Settings!$B$14:$B$33,0)),IFERROR(LOOKUP(2^15,SEARCH(Settings!$I$14:$I$83,G84)/(Settings!$I$14:$I$83&lt;&gt;""),Settings!$J$14:$J$83),"Other"))))</f>
        <v/>
      </c>
      <c r="AK84">
        <f>IF($B84="","",IF(H84="","Not rostered",IFERROR(INDEX(Settings!$C$14:$C$33,MATCH(H84,Settings!$B$14:$B$33,0)),IFERROR(LOOKUP(2^15,SEARCH(Settings!$I$14:$I$83,H84)/(Settings!$I$14:$I$83&lt;&gt;""),Settings!$J$14:$J$83),"Other"))))</f>
        <v/>
      </c>
      <c r="AL84">
        <f>IF($B84="","",IF(I84="","Not rostered",IFERROR(INDEX(Settings!$C$14:$C$33,MATCH(I84,Settings!$B$14:$B$33,0)),IFERROR(LOOKUP(2^15,SEARCH(Settings!$I$14:$I$83,I84)/(Settings!$I$14:$I$83&lt;&gt;""),Settings!$J$14:$J$83),"Other"))))</f>
        <v/>
      </c>
      <c r="AM84">
        <f>IF($B84="","",IF(J84="","Not rostered",IFERROR(INDEX(Settings!$C$14:$C$33,MATCH(J84,Settings!$B$14:$B$33,0)),IFERROR(LOOKUP(2^15,SEARCH(Settings!$I$14:$I$83,J84)/(Settings!$I$14:$I$83&lt;&gt;""),Settings!$J$14:$J$83),"Other"))))</f>
        <v/>
      </c>
      <c r="AN84">
        <f>IF($B84="","",IF(K84="","Not rostered",IFERROR(INDEX(Settings!$C$14:$C$33,MATCH(K84,Settings!$B$14:$B$33,0)),IFERROR(LOOKUP(2^15,SEARCH(Settings!$I$14:$I$83,K84)/(Settings!$I$14:$I$83&lt;&gt;""),Settings!$J$14:$J$83),"Other"))))</f>
        <v/>
      </c>
      <c r="AO84">
        <f>IF($B84="","",IF(L84="","Not rostered",IFERROR(INDEX(Settings!$C$14:$C$33,MATCH(L84,Settings!$B$14:$B$33,0)),IFERROR(LOOKUP(2^15,SEARCH(Settings!$I$14:$I$83,L84)/(Settings!$I$14:$I$83&lt;&gt;""),Settings!$J$14:$J$83),"Other"))))</f>
        <v/>
      </c>
      <c r="AP84">
        <f>IF($B84="","",IF(M84="","Not rostered",IFERROR(INDEX(Settings!$C$14:$C$33,MATCH(M84,Settings!$B$14:$B$33,0)),IFERROR(LOOKUP(2^15,SEARCH(Settings!$I$14:$I$83,M84)/(Settings!$I$14:$I$83&lt;&gt;""),Settings!$J$14:$J$83),"Other"))))</f>
        <v/>
      </c>
      <c r="AQ84">
        <f>IF($B84="","",IF(N84="","Not rostered",IFERROR(INDEX(Settings!$C$14:$C$33,MATCH(N84,Settings!$B$14:$B$33,0)),IFERROR(LOOKUP(2^15,SEARCH(Settings!$I$14:$I$83,N84)/(Settings!$I$14:$I$83&lt;&gt;""),Settings!$J$14:$J$83),"Other"))))</f>
        <v/>
      </c>
      <c r="AR84">
        <f>IF($B84="","",IF(O84="","Not rostered",IFERROR(INDEX(Settings!$C$14:$C$33,MATCH(O84,Settings!$B$14:$B$33,0)),IFERROR(LOOKUP(2^15,SEARCH(Settings!$I$14:$I$83,O84)/(Settings!$I$14:$I$83&lt;&gt;""),Settings!$J$14:$J$83),"Other"))))</f>
        <v/>
      </c>
      <c r="AS84">
        <f>IF($B84="","",IF(P84="","Not rostered",IFERROR(INDEX(Settings!$C$14:$C$33,MATCH(P84,Settings!$B$14:$B$33,0)),IFERROR(LOOKUP(2^15,SEARCH(Settings!$I$14:$I$83,P84)/(Settings!$I$14:$I$83&lt;&gt;""),Settings!$J$14:$J$83),"Other"))))</f>
        <v/>
      </c>
      <c r="AT84">
        <f>IF($B84="","",IF(Q84="","Not rostered",IFERROR(INDEX(Settings!$C$14:$C$33,MATCH(Q84,Settings!$B$14:$B$33,0)),IFERROR(LOOKUP(2^15,SEARCH(Settings!$I$14:$I$83,Q84)/(Settings!$I$14:$I$83&lt;&gt;""),Settings!$J$14:$J$83),"Other"))))</f>
        <v/>
      </c>
      <c r="AU84">
        <f>IF($B84="","",IF(R84="","Not rostered",IFERROR(INDEX(Settings!$C$14:$C$33,MATCH(R84,Settings!$B$14:$B$33,0)),IFERROR(LOOKUP(2^15,SEARCH(Settings!$I$14:$I$83,R84)/(Settings!$I$14:$I$83&lt;&gt;""),Settings!$J$14:$J$83),"Other"))))</f>
        <v/>
      </c>
      <c r="AV84">
        <f>IF($B84="","",IF(S84="","Not rostered",IFERROR(INDEX(Settings!$C$14:$C$33,MATCH(S84,Settings!$B$14:$B$33,0)),IFERROR(LOOKUP(2^15,SEARCH(Settings!$I$14:$I$83,S84)/(Settings!$I$14:$I$83&lt;&gt;""),Settings!$J$14:$J$83),"Other"))))</f>
        <v/>
      </c>
      <c r="AW84">
        <f>IF($B84="","",IF(T84="","Not rostered",IFERROR(INDEX(Settings!$C$14:$C$33,MATCH(T84,Settings!$B$14:$B$33,0)),IFERROR(LOOKUP(2^15,SEARCH(Settings!$I$14:$I$83,T84)/(Settings!$I$14:$I$83&lt;&gt;""),Settings!$J$14:$J$83),"Other"))))</f>
        <v/>
      </c>
      <c r="AX84">
        <f>IF($B84="","",IF(U84="","Not rostered",IFERROR(INDEX(Settings!$C$14:$C$33,MATCH(U84,Settings!$B$14:$B$33,0)),IFERROR(LOOKUP(2^15,SEARCH(Settings!$I$14:$I$83,U84)/(Settings!$I$14:$I$83&lt;&gt;""),Settings!$J$14:$J$83),"Other"))))</f>
        <v/>
      </c>
      <c r="AY84">
        <f>IF($B84="","",IF(V84="","Not rostered",IFERROR(INDEX(Settings!$C$14:$C$33,MATCH(V84,Settings!$B$14:$B$33,0)),IFERROR(LOOKUP(2^15,SEARCH(Settings!$I$14:$I$83,V84)/(Settings!$I$14:$I$83&lt;&gt;""),Settings!$J$14:$J$83),"Other"))))</f>
        <v/>
      </c>
      <c r="AZ84">
        <f>IF($B84="","",IF(W84="","Not rostered",IFERROR(INDEX(Settings!$C$14:$C$33,MATCH(W84,Settings!$B$14:$B$33,0)),IFERROR(LOOKUP(2^15,SEARCH(Settings!$I$14:$I$83,W84)/(Settings!$I$14:$I$83&lt;&gt;""),Settings!$J$14:$J$83),"Other"))))</f>
        <v/>
      </c>
      <c r="BA84">
        <f>IF($B84="","",IF(X84="","Not rostered",IFERROR(INDEX(Settings!$C$14:$C$33,MATCH(X84,Settings!$B$14:$B$33,0)),IFERROR(LOOKUP(2^15,SEARCH(Settings!$I$14:$I$83,X84)/(Settings!$I$14:$I$83&lt;&gt;""),Settings!$J$14:$J$83),"Other"))))</f>
        <v/>
      </c>
      <c r="BB84">
        <f>IF($B84="","",IF(Y84="","Not rostered",IFERROR(INDEX(Settings!$C$14:$C$33,MATCH(Y84,Settings!$B$14:$B$33,0)),IFERROR(LOOKUP(2^15,SEARCH(Settings!$I$14:$I$83,Y84)/(Settings!$I$14:$I$83&lt;&gt;""),Settings!$J$14:$J$83),"Other"))))</f>
        <v/>
      </c>
      <c r="BC84">
        <f>IF($B84="","",IF(Z84="","Not rostered",IFERROR(INDEX(Settings!$C$14:$C$33,MATCH(Z84,Settings!$B$14:$B$33,0)),IFERROR(LOOKUP(2^15,SEARCH(Settings!$I$14:$I$83,Z84)/(Settings!$I$14:$I$83&lt;&gt;""),Settings!$J$14:$J$83),"Other"))))</f>
        <v/>
      </c>
      <c r="BD84">
        <f>IF($B84="","",IF(AA84="","Not rostered",IFERROR(INDEX(Settings!$C$14:$C$33,MATCH(AA84,Settings!$B$14:$B$33,0)),IFERROR(LOOKUP(2^15,SEARCH(Settings!$I$14:$I$83,AA84)/(Settings!$I$14:$I$83&lt;&gt;""),Settings!$J$14:$J$83),"Other"))))</f>
        <v/>
      </c>
      <c r="BE84">
        <f>IF($B84="","",IF(AB84="","Not rostered",IFERROR(INDEX(Settings!$C$14:$C$33,MATCH(AB84,Settings!$B$14:$B$33,0)),IFERROR(LOOKUP(2^15,SEARCH(Settings!$I$14:$I$83,AB84)/(Settings!$I$14:$I$83&lt;&gt;""),Settings!$J$14:$J$83),"Other"))))</f>
        <v/>
      </c>
      <c r="BF84">
        <f>IF($B84="","",IF(AC84="","Not rostered",IFERROR(INDEX(Settings!$C$14:$C$33,MATCH(AC84,Settings!$B$14:$B$33,0)),IFERROR(LOOKUP(2^15,SEARCH(Settings!$I$14:$I$83,AC84)/(Settings!$I$14:$I$83&lt;&gt;""),Settings!$J$14:$J$83),"Other"))))</f>
        <v/>
      </c>
      <c r="BG84">
        <f>IF($B84="","",IF(AD84="","Not rostered",IFERROR(INDEX(Settings!$C$14:$C$33,MATCH(AD84,Settings!$B$14:$B$33,0)),IFERROR(LOOKUP(2^15,SEARCH(Settings!$I$14:$I$83,AD84)/(Settings!$I$14:$I$83&lt;&gt;""),Settings!$J$14:$J$83),"Other"))))</f>
        <v/>
      </c>
      <c r="BH84">
        <f>IF($B84="","",IF(AE84="","Not rostered",IFERROR(INDEX(Settings!$C$14:$C$33,MATCH(AE84,Settings!$B$14:$B$33,0)),IFERROR(LOOKUP(2^15,SEARCH(Settings!$I$14:$I$83,AE84)/(Settings!$I$14:$I$83&lt;&gt;""),Settings!$J$14:$J$83),"Other"))))</f>
        <v/>
      </c>
      <c r="BI84">
        <f>IF($B84="","",IF(AF84="","Not rostered",IFERROR(INDEX(Settings!$C$14:$C$33,MATCH(AF84,Settings!$B$14:$B$33,0)),IFERROR(LOOKUP(2^15,SEARCH(Settings!$I$14:$I$83,AF84)/(Settings!$I$14:$I$83&lt;&gt;""),Settings!$J$14:$J$83),"Other"))))</f>
        <v/>
      </c>
      <c r="BJ84">
        <f>IF($B84="","",IF(AG84="","Not rostered",IFERROR(INDEX(Settings!$C$14:$C$33,MATCH(AG84,Settings!$B$14:$B$33,0)),IFERROR(LOOKUP(2^15,SEARCH(Settings!$I$14:$I$83,AG84)/(Settings!$I$14:$I$83&lt;&gt;""),Settings!$J$14:$J$83),"Other"))))</f>
        <v/>
      </c>
      <c r="BL84">
        <f>IF(OR($B84="",F84=""),"",IFERROR(INDEX(Settings!$D$14:$D$33,MATCH(F84,Settings!$B$14:$B$33,0))&amp;"",IFERROR(LOOKUP(2^15,SEARCH(Settings!$F$14:$F$43,F84)/(Settings!$F$14:$F$43&lt;&gt;""),Settings!$G$14:$G$43),"")))</f>
        <v/>
      </c>
      <c r="BM84">
        <f>IF(OR($B84="",G84=""),"",IFERROR(INDEX(Settings!$D$14:$D$33,MATCH(G84,Settings!$B$14:$B$33,0))&amp;"",IFERROR(LOOKUP(2^15,SEARCH(Settings!$F$14:$F$43,G84)/(Settings!$F$14:$F$43&lt;&gt;""),Settings!$G$14:$G$43),"")))</f>
        <v/>
      </c>
      <c r="BN84">
        <f>IF(OR($B84="",H84=""),"",IFERROR(INDEX(Settings!$D$14:$D$33,MATCH(H84,Settings!$B$14:$B$33,0))&amp;"",IFERROR(LOOKUP(2^15,SEARCH(Settings!$F$14:$F$43,H84)/(Settings!$F$14:$F$43&lt;&gt;""),Settings!$G$14:$G$43),"")))</f>
        <v/>
      </c>
      <c r="BO84">
        <f>IF(OR($B84="",I84=""),"",IFERROR(INDEX(Settings!$D$14:$D$33,MATCH(I84,Settings!$B$14:$B$33,0))&amp;"",IFERROR(LOOKUP(2^15,SEARCH(Settings!$F$14:$F$43,I84)/(Settings!$F$14:$F$43&lt;&gt;""),Settings!$G$14:$G$43),"")))</f>
        <v/>
      </c>
      <c r="BP84">
        <f>IF(OR($B84="",J84=""),"",IFERROR(INDEX(Settings!$D$14:$D$33,MATCH(J84,Settings!$B$14:$B$33,0))&amp;"",IFERROR(LOOKUP(2^15,SEARCH(Settings!$F$14:$F$43,J84)/(Settings!$F$14:$F$43&lt;&gt;""),Settings!$G$14:$G$43),"")))</f>
        <v/>
      </c>
      <c r="BQ84">
        <f>IF(OR($B84="",K84=""),"",IFERROR(INDEX(Settings!$D$14:$D$33,MATCH(K84,Settings!$B$14:$B$33,0))&amp;"",IFERROR(LOOKUP(2^15,SEARCH(Settings!$F$14:$F$43,K84)/(Settings!$F$14:$F$43&lt;&gt;""),Settings!$G$14:$G$43),"")))</f>
        <v/>
      </c>
      <c r="BR84">
        <f>IF(OR($B84="",L84=""),"",IFERROR(INDEX(Settings!$D$14:$D$33,MATCH(L84,Settings!$B$14:$B$33,0))&amp;"",IFERROR(LOOKUP(2^15,SEARCH(Settings!$F$14:$F$43,L84)/(Settings!$F$14:$F$43&lt;&gt;""),Settings!$G$14:$G$43),"")))</f>
        <v/>
      </c>
      <c r="BS84">
        <f>IF(OR($B84="",M84=""),"",IFERROR(INDEX(Settings!$D$14:$D$33,MATCH(M84,Settings!$B$14:$B$33,0))&amp;"",IFERROR(LOOKUP(2^15,SEARCH(Settings!$F$14:$F$43,M84)/(Settings!$F$14:$F$43&lt;&gt;""),Settings!$G$14:$G$43),"")))</f>
        <v/>
      </c>
      <c r="BT84">
        <f>IF(OR($B84="",N84=""),"",IFERROR(INDEX(Settings!$D$14:$D$33,MATCH(N84,Settings!$B$14:$B$33,0))&amp;"",IFERROR(LOOKUP(2^15,SEARCH(Settings!$F$14:$F$43,N84)/(Settings!$F$14:$F$43&lt;&gt;""),Settings!$G$14:$G$43),"")))</f>
        <v/>
      </c>
      <c r="BU84">
        <f>IF(OR($B84="",O84=""),"",IFERROR(INDEX(Settings!$D$14:$D$33,MATCH(O84,Settings!$B$14:$B$33,0))&amp;"",IFERROR(LOOKUP(2^15,SEARCH(Settings!$F$14:$F$43,O84)/(Settings!$F$14:$F$43&lt;&gt;""),Settings!$G$14:$G$43),"")))</f>
        <v/>
      </c>
      <c r="BV84">
        <f>IF(OR($B84="",P84=""),"",IFERROR(INDEX(Settings!$D$14:$D$33,MATCH(P84,Settings!$B$14:$B$33,0))&amp;"",IFERROR(LOOKUP(2^15,SEARCH(Settings!$F$14:$F$43,P84)/(Settings!$F$14:$F$43&lt;&gt;""),Settings!$G$14:$G$43),"")))</f>
        <v/>
      </c>
      <c r="BW84">
        <f>IF(OR($B84="",Q84=""),"",IFERROR(INDEX(Settings!$D$14:$D$33,MATCH(Q84,Settings!$B$14:$B$33,0))&amp;"",IFERROR(LOOKUP(2^15,SEARCH(Settings!$F$14:$F$43,Q84)/(Settings!$F$14:$F$43&lt;&gt;""),Settings!$G$14:$G$43),"")))</f>
        <v/>
      </c>
      <c r="BX84">
        <f>IF(OR($B84="",R84=""),"",IFERROR(INDEX(Settings!$D$14:$D$33,MATCH(R84,Settings!$B$14:$B$33,0))&amp;"",IFERROR(LOOKUP(2^15,SEARCH(Settings!$F$14:$F$43,R84)/(Settings!$F$14:$F$43&lt;&gt;""),Settings!$G$14:$G$43),"")))</f>
        <v/>
      </c>
      <c r="BY84">
        <f>IF(OR($B84="",S84=""),"",IFERROR(INDEX(Settings!$D$14:$D$33,MATCH(S84,Settings!$B$14:$B$33,0))&amp;"",IFERROR(LOOKUP(2^15,SEARCH(Settings!$F$14:$F$43,S84)/(Settings!$F$14:$F$43&lt;&gt;""),Settings!$G$14:$G$43),"")))</f>
        <v/>
      </c>
      <c r="BZ84">
        <f>IF(OR($B84="",T84=""),"",IFERROR(INDEX(Settings!$D$14:$D$33,MATCH(T84,Settings!$B$14:$B$33,0))&amp;"",IFERROR(LOOKUP(2^15,SEARCH(Settings!$F$14:$F$43,T84)/(Settings!$F$14:$F$43&lt;&gt;""),Settings!$G$14:$G$43),"")))</f>
        <v/>
      </c>
      <c r="CA84">
        <f>IF(OR($B84="",U84=""),"",IFERROR(INDEX(Settings!$D$14:$D$33,MATCH(U84,Settings!$B$14:$B$33,0))&amp;"",IFERROR(LOOKUP(2^15,SEARCH(Settings!$F$14:$F$43,U84)/(Settings!$F$14:$F$43&lt;&gt;""),Settings!$G$14:$G$43),"")))</f>
        <v/>
      </c>
      <c r="CB84">
        <f>IF(OR($B84="",V84=""),"",IFERROR(INDEX(Settings!$D$14:$D$33,MATCH(V84,Settings!$B$14:$B$33,0))&amp;"",IFERROR(LOOKUP(2^15,SEARCH(Settings!$F$14:$F$43,V84)/(Settings!$F$14:$F$43&lt;&gt;""),Settings!$G$14:$G$43),"")))</f>
        <v/>
      </c>
      <c r="CC84">
        <f>IF(OR($B84="",W84=""),"",IFERROR(INDEX(Settings!$D$14:$D$33,MATCH(W84,Settings!$B$14:$B$33,0))&amp;"",IFERROR(LOOKUP(2^15,SEARCH(Settings!$F$14:$F$43,W84)/(Settings!$F$14:$F$43&lt;&gt;""),Settings!$G$14:$G$43),"")))</f>
        <v/>
      </c>
      <c r="CD84">
        <f>IF(OR($B84="",X84=""),"",IFERROR(INDEX(Settings!$D$14:$D$33,MATCH(X84,Settings!$B$14:$B$33,0))&amp;"",IFERROR(LOOKUP(2^15,SEARCH(Settings!$F$14:$F$43,X84)/(Settings!$F$14:$F$43&lt;&gt;""),Settings!$G$14:$G$43),"")))</f>
        <v/>
      </c>
      <c r="CE84">
        <f>IF(OR($B84="",Y84=""),"",IFERROR(INDEX(Settings!$D$14:$D$33,MATCH(Y84,Settings!$B$14:$B$33,0))&amp;"",IFERROR(LOOKUP(2^15,SEARCH(Settings!$F$14:$F$43,Y84)/(Settings!$F$14:$F$43&lt;&gt;""),Settings!$G$14:$G$43),"")))</f>
        <v/>
      </c>
      <c r="CF84">
        <f>IF(OR($B84="",Z84=""),"",IFERROR(INDEX(Settings!$D$14:$D$33,MATCH(Z84,Settings!$B$14:$B$33,0))&amp;"",IFERROR(LOOKUP(2^15,SEARCH(Settings!$F$14:$F$43,Z84)/(Settings!$F$14:$F$43&lt;&gt;""),Settings!$G$14:$G$43),"")))</f>
        <v/>
      </c>
      <c r="CG84">
        <f>IF(OR($B84="",AA84=""),"",IFERROR(INDEX(Settings!$D$14:$D$33,MATCH(AA84,Settings!$B$14:$B$33,0))&amp;"",IFERROR(LOOKUP(2^15,SEARCH(Settings!$F$14:$F$43,AA84)/(Settings!$F$14:$F$43&lt;&gt;""),Settings!$G$14:$G$43),"")))</f>
        <v/>
      </c>
      <c r="CH84">
        <f>IF(OR($B84="",AB84=""),"",IFERROR(INDEX(Settings!$D$14:$D$33,MATCH(AB84,Settings!$B$14:$B$33,0))&amp;"",IFERROR(LOOKUP(2^15,SEARCH(Settings!$F$14:$F$43,AB84)/(Settings!$F$14:$F$43&lt;&gt;""),Settings!$G$14:$G$43),"")))</f>
        <v/>
      </c>
      <c r="CI84">
        <f>IF(OR($B84="",AC84=""),"",IFERROR(INDEX(Settings!$D$14:$D$33,MATCH(AC84,Settings!$B$14:$B$33,0))&amp;"",IFERROR(LOOKUP(2^15,SEARCH(Settings!$F$14:$F$43,AC84)/(Settings!$F$14:$F$43&lt;&gt;""),Settings!$G$14:$G$43),"")))</f>
        <v/>
      </c>
      <c r="CJ84">
        <f>IF(OR($B84="",AD84=""),"",IFERROR(INDEX(Settings!$D$14:$D$33,MATCH(AD84,Settings!$B$14:$B$33,0))&amp;"",IFERROR(LOOKUP(2^15,SEARCH(Settings!$F$14:$F$43,AD84)/(Settings!$F$14:$F$43&lt;&gt;""),Settings!$G$14:$G$43),"")))</f>
        <v/>
      </c>
      <c r="CK84">
        <f>IF(OR($B84="",AE84=""),"",IFERROR(INDEX(Settings!$D$14:$D$33,MATCH(AE84,Settings!$B$14:$B$33,0))&amp;"",IFERROR(LOOKUP(2^15,SEARCH(Settings!$F$14:$F$43,AE84)/(Settings!$F$14:$F$43&lt;&gt;""),Settings!$G$14:$G$43),"")))</f>
        <v/>
      </c>
      <c r="CL84">
        <f>IF(OR($B84="",AF84=""),"",IFERROR(INDEX(Settings!$D$14:$D$33,MATCH(AF84,Settings!$B$14:$B$33,0))&amp;"",IFERROR(LOOKUP(2^15,SEARCH(Settings!$F$14:$F$43,AF84)/(Settings!$F$14:$F$43&lt;&gt;""),Settings!$G$14:$G$43),"")))</f>
        <v/>
      </c>
      <c r="CM84">
        <f>IF(OR($B84="",AG84=""),"",IFERROR(INDEX(Settings!$D$14:$D$33,MATCH(AG84,Settings!$B$14:$B$33,0))&amp;"",IFERROR(LOOKUP(2^15,SEARCH(Settings!$F$14:$F$43,AG84)/(Settings!$F$14:$F$43&lt;&gt;""),Settings!$G$14:$G$43),"")))</f>
        <v/>
      </c>
    </row>
    <row r="85">
      <c r="A85" t="n">
        <v>83</v>
      </c>
      <c r="B85">
        <f>IFERROR(INDEX(Index!$A$2:$A$202,MATCH(A85,Index!$E$2:$E$202,0)),"")</f>
        <v/>
      </c>
      <c r="D85">
        <f>IF($B85="","",IFERROR(MATCH("Travel*",AI85:BJ85,0),""))</f>
        <v/>
      </c>
      <c r="F85">
        <f>IF(OR($B85="",NOT(ISNUMBER(Settings!$C$9))),"",TRIM(SUBSTITUTE(SUBSTITUTE(INDEX('INPUT - Roster'!$S$1:$SV$206,$B85,Settings!$C$9+0)&amp;"",CHAR(10)," "),CHAR(160)," ")))</f>
        <v/>
      </c>
      <c r="G85">
        <f>IF(OR($B85="",NOT(ISNUMBER(Settings!$C$9))),"",TRIM(SUBSTITUTE(SUBSTITUTE(INDEX('INPUT - Roster'!$S$1:$SV$206,$B85,Settings!$C$9+1)&amp;"",CHAR(10)," "),CHAR(160)," ")))</f>
        <v/>
      </c>
      <c r="H85">
        <f>IF(OR($B85="",NOT(ISNUMBER(Settings!$C$9))),"",TRIM(SUBSTITUTE(SUBSTITUTE(INDEX('INPUT - Roster'!$S$1:$SV$206,$B85,Settings!$C$9+2)&amp;"",CHAR(10)," "),CHAR(160)," ")))</f>
        <v/>
      </c>
      <c r="I85">
        <f>IF(OR($B85="",NOT(ISNUMBER(Settings!$C$9))),"",TRIM(SUBSTITUTE(SUBSTITUTE(INDEX('INPUT - Roster'!$S$1:$SV$206,$B85,Settings!$C$9+3)&amp;"",CHAR(10)," "),CHAR(160)," ")))</f>
        <v/>
      </c>
      <c r="J85">
        <f>IF(OR($B85="",NOT(ISNUMBER(Settings!$C$9))),"",TRIM(SUBSTITUTE(SUBSTITUTE(INDEX('INPUT - Roster'!$S$1:$SV$206,$B85,Settings!$C$9+4)&amp;"",CHAR(10)," "),CHAR(160)," ")))</f>
        <v/>
      </c>
      <c r="K85">
        <f>IF(OR($B85="",NOT(ISNUMBER(Settings!$C$9))),"",TRIM(SUBSTITUTE(SUBSTITUTE(INDEX('INPUT - Roster'!$S$1:$SV$206,$B85,Settings!$C$9+5)&amp;"",CHAR(10)," "),CHAR(160)," ")))</f>
        <v/>
      </c>
      <c r="L85">
        <f>IF(OR($B85="",NOT(ISNUMBER(Settings!$C$9))),"",TRIM(SUBSTITUTE(SUBSTITUTE(INDEX('INPUT - Roster'!$S$1:$SV$206,$B85,Settings!$C$9+6)&amp;"",CHAR(10)," "),CHAR(160)," ")))</f>
        <v/>
      </c>
      <c r="M85">
        <f>IF(OR($B85="",NOT(ISNUMBER(Settings!$C$9))),"",TRIM(SUBSTITUTE(SUBSTITUTE(INDEX('INPUT - Roster'!$S$1:$SV$206,$B85,Settings!$C$9+7)&amp;"",CHAR(10)," "),CHAR(160)," ")))</f>
        <v/>
      </c>
      <c r="N85">
        <f>IF(OR($B85="",NOT(ISNUMBER(Settings!$C$9))),"",TRIM(SUBSTITUTE(SUBSTITUTE(INDEX('INPUT - Roster'!$S$1:$SV$206,$B85,Settings!$C$9+8)&amp;"",CHAR(10)," "),CHAR(160)," ")))</f>
        <v/>
      </c>
      <c r="O85">
        <f>IF(OR($B85="",NOT(ISNUMBER(Settings!$C$9))),"",TRIM(SUBSTITUTE(SUBSTITUTE(INDEX('INPUT - Roster'!$S$1:$SV$206,$B85,Settings!$C$9+9)&amp;"",CHAR(10)," "),CHAR(160)," ")))</f>
        <v/>
      </c>
      <c r="P85">
        <f>IF(OR($B85="",NOT(ISNUMBER(Settings!$C$9))),"",TRIM(SUBSTITUTE(SUBSTITUTE(INDEX('INPUT - Roster'!$S$1:$SV$206,$B85,Settings!$C$9+10)&amp;"",CHAR(10)," "),CHAR(160)," ")))</f>
        <v/>
      </c>
      <c r="Q85">
        <f>IF(OR($B85="",NOT(ISNUMBER(Settings!$C$9))),"",TRIM(SUBSTITUTE(SUBSTITUTE(INDEX('INPUT - Roster'!$S$1:$SV$206,$B85,Settings!$C$9+11)&amp;"",CHAR(10)," "),CHAR(160)," ")))</f>
        <v/>
      </c>
      <c r="R85">
        <f>IF(OR($B85="",NOT(ISNUMBER(Settings!$C$9))),"",TRIM(SUBSTITUTE(SUBSTITUTE(INDEX('INPUT - Roster'!$S$1:$SV$206,$B85,Settings!$C$9+12)&amp;"",CHAR(10)," "),CHAR(160)," ")))</f>
        <v/>
      </c>
      <c r="S85">
        <f>IF(OR($B85="",NOT(ISNUMBER(Settings!$C$9))),"",TRIM(SUBSTITUTE(SUBSTITUTE(INDEX('INPUT - Roster'!$S$1:$SV$206,$B85,Settings!$C$9+13)&amp;"",CHAR(10)," "),CHAR(160)," ")))</f>
        <v/>
      </c>
      <c r="T85">
        <f>IF(OR($B85="",NOT(ISNUMBER(Settings!$C$9))),"",TRIM(SUBSTITUTE(SUBSTITUTE(INDEX('INPUT - Roster'!$S$1:$SV$206,$B85,Settings!$C$9+14)&amp;"",CHAR(10)," "),CHAR(160)," ")))</f>
        <v/>
      </c>
      <c r="U85">
        <f>IF(OR($B85="",NOT(ISNUMBER(Settings!$C$9))),"",TRIM(SUBSTITUTE(SUBSTITUTE(INDEX('INPUT - Roster'!$S$1:$SV$206,$B85,Settings!$C$9+15)&amp;"",CHAR(10)," "),CHAR(160)," ")))</f>
        <v/>
      </c>
      <c r="V85">
        <f>IF(OR($B85="",NOT(ISNUMBER(Settings!$C$9))),"",TRIM(SUBSTITUTE(SUBSTITUTE(INDEX('INPUT - Roster'!$S$1:$SV$206,$B85,Settings!$C$9+16)&amp;"",CHAR(10)," "),CHAR(160)," ")))</f>
        <v/>
      </c>
      <c r="W85">
        <f>IF(OR($B85="",NOT(ISNUMBER(Settings!$C$9))),"",TRIM(SUBSTITUTE(SUBSTITUTE(INDEX('INPUT - Roster'!$S$1:$SV$206,$B85,Settings!$C$9+17)&amp;"",CHAR(10)," "),CHAR(160)," ")))</f>
        <v/>
      </c>
      <c r="X85">
        <f>IF(OR($B85="",NOT(ISNUMBER(Settings!$C$9))),"",TRIM(SUBSTITUTE(SUBSTITUTE(INDEX('INPUT - Roster'!$S$1:$SV$206,$B85,Settings!$C$9+18)&amp;"",CHAR(10)," "),CHAR(160)," ")))</f>
        <v/>
      </c>
      <c r="Y85">
        <f>IF(OR($B85="",NOT(ISNUMBER(Settings!$C$9))),"",TRIM(SUBSTITUTE(SUBSTITUTE(INDEX('INPUT - Roster'!$S$1:$SV$206,$B85,Settings!$C$9+19)&amp;"",CHAR(10)," "),CHAR(160)," ")))</f>
        <v/>
      </c>
      <c r="Z85">
        <f>IF(OR($B85="",NOT(ISNUMBER(Settings!$C$9))),"",TRIM(SUBSTITUTE(SUBSTITUTE(INDEX('INPUT - Roster'!$S$1:$SV$206,$B85,Settings!$C$9+20)&amp;"",CHAR(10)," "),CHAR(160)," ")))</f>
        <v/>
      </c>
      <c r="AA85">
        <f>IF(OR($B85="",NOT(ISNUMBER(Settings!$C$9))),"",TRIM(SUBSTITUTE(SUBSTITUTE(INDEX('INPUT - Roster'!$S$1:$SV$206,$B85,Settings!$C$9+21)&amp;"",CHAR(10)," "),CHAR(160)," ")))</f>
        <v/>
      </c>
      <c r="AB85">
        <f>IF(OR($B85="",NOT(ISNUMBER(Settings!$C$9))),"",TRIM(SUBSTITUTE(SUBSTITUTE(INDEX('INPUT - Roster'!$S$1:$SV$206,$B85,Settings!$C$9+22)&amp;"",CHAR(10)," "),CHAR(160)," ")))</f>
        <v/>
      </c>
      <c r="AC85">
        <f>IF(OR($B85="",NOT(ISNUMBER(Settings!$C$9))),"",TRIM(SUBSTITUTE(SUBSTITUTE(INDEX('INPUT - Roster'!$S$1:$SV$206,$B85,Settings!$C$9+23)&amp;"",CHAR(10)," "),CHAR(160)," ")))</f>
        <v/>
      </c>
      <c r="AD85">
        <f>IF(OR($B85="",NOT(ISNUMBER(Settings!$C$9))),"",TRIM(SUBSTITUTE(SUBSTITUTE(INDEX('INPUT - Roster'!$S$1:$SV$206,$B85,Settings!$C$9+24)&amp;"",CHAR(10)," "),CHAR(160)," ")))</f>
        <v/>
      </c>
      <c r="AE85">
        <f>IF(OR($B85="",NOT(ISNUMBER(Settings!$C$9))),"",TRIM(SUBSTITUTE(SUBSTITUTE(INDEX('INPUT - Roster'!$S$1:$SV$206,$B85,Settings!$C$9+25)&amp;"",CHAR(10)," "),CHAR(160)," ")))</f>
        <v/>
      </c>
      <c r="AF85">
        <f>IF(OR($B85="",NOT(ISNUMBER(Settings!$C$9))),"",TRIM(SUBSTITUTE(SUBSTITUTE(INDEX('INPUT - Roster'!$S$1:$SV$206,$B85,Settings!$C$9+26)&amp;"",CHAR(10)," "),CHAR(160)," ")))</f>
        <v/>
      </c>
      <c r="AG85">
        <f>IF(OR($B85="",NOT(ISNUMBER(Settings!$C$9))),"",TRIM(SUBSTITUTE(SUBSTITUTE(INDEX('INPUT - Roster'!$S$1:$SV$206,$B85,Settings!$C$9+27)&amp;"",CHAR(10)," "),CHAR(160)," ")))</f>
        <v/>
      </c>
      <c r="AI85">
        <f>IF($B85="","",IF(F85="","Not rostered",IFERROR(INDEX(Settings!$C$14:$C$33,MATCH(F85,Settings!$B$14:$B$33,0)),IFERROR(LOOKUP(2^15,SEARCH(Settings!$I$14:$I$83,F85)/(Settings!$I$14:$I$83&lt;&gt;""),Settings!$J$14:$J$83),"Other"))))</f>
        <v/>
      </c>
      <c r="AJ85">
        <f>IF($B85="","",IF(G85="","Not rostered",IFERROR(INDEX(Settings!$C$14:$C$33,MATCH(G85,Settings!$B$14:$B$33,0)),IFERROR(LOOKUP(2^15,SEARCH(Settings!$I$14:$I$83,G85)/(Settings!$I$14:$I$83&lt;&gt;""),Settings!$J$14:$J$83),"Other"))))</f>
        <v/>
      </c>
      <c r="AK85">
        <f>IF($B85="","",IF(H85="","Not rostered",IFERROR(INDEX(Settings!$C$14:$C$33,MATCH(H85,Settings!$B$14:$B$33,0)),IFERROR(LOOKUP(2^15,SEARCH(Settings!$I$14:$I$83,H85)/(Settings!$I$14:$I$83&lt;&gt;""),Settings!$J$14:$J$83),"Other"))))</f>
        <v/>
      </c>
      <c r="AL85">
        <f>IF($B85="","",IF(I85="","Not rostered",IFERROR(INDEX(Settings!$C$14:$C$33,MATCH(I85,Settings!$B$14:$B$33,0)),IFERROR(LOOKUP(2^15,SEARCH(Settings!$I$14:$I$83,I85)/(Settings!$I$14:$I$83&lt;&gt;""),Settings!$J$14:$J$83),"Other"))))</f>
        <v/>
      </c>
      <c r="AM85">
        <f>IF($B85="","",IF(J85="","Not rostered",IFERROR(INDEX(Settings!$C$14:$C$33,MATCH(J85,Settings!$B$14:$B$33,0)),IFERROR(LOOKUP(2^15,SEARCH(Settings!$I$14:$I$83,J85)/(Settings!$I$14:$I$83&lt;&gt;""),Settings!$J$14:$J$83),"Other"))))</f>
        <v/>
      </c>
      <c r="AN85">
        <f>IF($B85="","",IF(K85="","Not rostered",IFERROR(INDEX(Settings!$C$14:$C$33,MATCH(K85,Settings!$B$14:$B$33,0)),IFERROR(LOOKUP(2^15,SEARCH(Settings!$I$14:$I$83,K85)/(Settings!$I$14:$I$83&lt;&gt;""),Settings!$J$14:$J$83),"Other"))))</f>
        <v/>
      </c>
      <c r="AO85">
        <f>IF($B85="","",IF(L85="","Not rostered",IFERROR(INDEX(Settings!$C$14:$C$33,MATCH(L85,Settings!$B$14:$B$33,0)),IFERROR(LOOKUP(2^15,SEARCH(Settings!$I$14:$I$83,L85)/(Settings!$I$14:$I$83&lt;&gt;""),Settings!$J$14:$J$83),"Other"))))</f>
        <v/>
      </c>
      <c r="AP85">
        <f>IF($B85="","",IF(M85="","Not rostered",IFERROR(INDEX(Settings!$C$14:$C$33,MATCH(M85,Settings!$B$14:$B$33,0)),IFERROR(LOOKUP(2^15,SEARCH(Settings!$I$14:$I$83,M85)/(Settings!$I$14:$I$83&lt;&gt;""),Settings!$J$14:$J$83),"Other"))))</f>
        <v/>
      </c>
      <c r="AQ85">
        <f>IF($B85="","",IF(N85="","Not rostered",IFERROR(INDEX(Settings!$C$14:$C$33,MATCH(N85,Settings!$B$14:$B$33,0)),IFERROR(LOOKUP(2^15,SEARCH(Settings!$I$14:$I$83,N85)/(Settings!$I$14:$I$83&lt;&gt;""),Settings!$J$14:$J$83),"Other"))))</f>
        <v/>
      </c>
      <c r="AR85">
        <f>IF($B85="","",IF(O85="","Not rostered",IFERROR(INDEX(Settings!$C$14:$C$33,MATCH(O85,Settings!$B$14:$B$33,0)),IFERROR(LOOKUP(2^15,SEARCH(Settings!$I$14:$I$83,O85)/(Settings!$I$14:$I$83&lt;&gt;""),Settings!$J$14:$J$83),"Other"))))</f>
        <v/>
      </c>
      <c r="AS85">
        <f>IF($B85="","",IF(P85="","Not rostered",IFERROR(INDEX(Settings!$C$14:$C$33,MATCH(P85,Settings!$B$14:$B$33,0)),IFERROR(LOOKUP(2^15,SEARCH(Settings!$I$14:$I$83,P85)/(Settings!$I$14:$I$83&lt;&gt;""),Settings!$J$14:$J$83),"Other"))))</f>
        <v/>
      </c>
      <c r="AT85">
        <f>IF($B85="","",IF(Q85="","Not rostered",IFERROR(INDEX(Settings!$C$14:$C$33,MATCH(Q85,Settings!$B$14:$B$33,0)),IFERROR(LOOKUP(2^15,SEARCH(Settings!$I$14:$I$83,Q85)/(Settings!$I$14:$I$83&lt;&gt;""),Settings!$J$14:$J$83),"Other"))))</f>
        <v/>
      </c>
      <c r="AU85">
        <f>IF($B85="","",IF(R85="","Not rostered",IFERROR(INDEX(Settings!$C$14:$C$33,MATCH(R85,Settings!$B$14:$B$33,0)),IFERROR(LOOKUP(2^15,SEARCH(Settings!$I$14:$I$83,R85)/(Settings!$I$14:$I$83&lt;&gt;""),Settings!$J$14:$J$83),"Other"))))</f>
        <v/>
      </c>
      <c r="AV85">
        <f>IF($B85="","",IF(S85="","Not rostered",IFERROR(INDEX(Settings!$C$14:$C$33,MATCH(S85,Settings!$B$14:$B$33,0)),IFERROR(LOOKUP(2^15,SEARCH(Settings!$I$14:$I$83,S85)/(Settings!$I$14:$I$83&lt;&gt;""),Settings!$J$14:$J$83),"Other"))))</f>
        <v/>
      </c>
      <c r="AW85">
        <f>IF($B85="","",IF(T85="","Not rostered",IFERROR(INDEX(Settings!$C$14:$C$33,MATCH(T85,Settings!$B$14:$B$33,0)),IFERROR(LOOKUP(2^15,SEARCH(Settings!$I$14:$I$83,T85)/(Settings!$I$14:$I$83&lt;&gt;""),Settings!$J$14:$J$83),"Other"))))</f>
        <v/>
      </c>
      <c r="AX85">
        <f>IF($B85="","",IF(U85="","Not rostered",IFERROR(INDEX(Settings!$C$14:$C$33,MATCH(U85,Settings!$B$14:$B$33,0)),IFERROR(LOOKUP(2^15,SEARCH(Settings!$I$14:$I$83,U85)/(Settings!$I$14:$I$83&lt;&gt;""),Settings!$J$14:$J$83),"Other"))))</f>
        <v/>
      </c>
      <c r="AY85">
        <f>IF($B85="","",IF(V85="","Not rostered",IFERROR(INDEX(Settings!$C$14:$C$33,MATCH(V85,Settings!$B$14:$B$33,0)),IFERROR(LOOKUP(2^15,SEARCH(Settings!$I$14:$I$83,V85)/(Settings!$I$14:$I$83&lt;&gt;""),Settings!$J$14:$J$83),"Other"))))</f>
        <v/>
      </c>
      <c r="AZ85">
        <f>IF($B85="","",IF(W85="","Not rostered",IFERROR(INDEX(Settings!$C$14:$C$33,MATCH(W85,Settings!$B$14:$B$33,0)),IFERROR(LOOKUP(2^15,SEARCH(Settings!$I$14:$I$83,W85)/(Settings!$I$14:$I$83&lt;&gt;""),Settings!$J$14:$J$83),"Other"))))</f>
        <v/>
      </c>
      <c r="BA85">
        <f>IF($B85="","",IF(X85="","Not rostered",IFERROR(INDEX(Settings!$C$14:$C$33,MATCH(X85,Settings!$B$14:$B$33,0)),IFERROR(LOOKUP(2^15,SEARCH(Settings!$I$14:$I$83,X85)/(Settings!$I$14:$I$83&lt;&gt;""),Settings!$J$14:$J$83),"Other"))))</f>
        <v/>
      </c>
      <c r="BB85">
        <f>IF($B85="","",IF(Y85="","Not rostered",IFERROR(INDEX(Settings!$C$14:$C$33,MATCH(Y85,Settings!$B$14:$B$33,0)),IFERROR(LOOKUP(2^15,SEARCH(Settings!$I$14:$I$83,Y85)/(Settings!$I$14:$I$83&lt;&gt;""),Settings!$J$14:$J$83),"Other"))))</f>
        <v/>
      </c>
      <c r="BC85">
        <f>IF($B85="","",IF(Z85="","Not rostered",IFERROR(INDEX(Settings!$C$14:$C$33,MATCH(Z85,Settings!$B$14:$B$33,0)),IFERROR(LOOKUP(2^15,SEARCH(Settings!$I$14:$I$83,Z85)/(Settings!$I$14:$I$83&lt;&gt;""),Settings!$J$14:$J$83),"Other"))))</f>
        <v/>
      </c>
      <c r="BD85">
        <f>IF($B85="","",IF(AA85="","Not rostered",IFERROR(INDEX(Settings!$C$14:$C$33,MATCH(AA85,Settings!$B$14:$B$33,0)),IFERROR(LOOKUP(2^15,SEARCH(Settings!$I$14:$I$83,AA85)/(Settings!$I$14:$I$83&lt;&gt;""),Settings!$J$14:$J$83),"Other"))))</f>
        <v/>
      </c>
      <c r="BE85">
        <f>IF($B85="","",IF(AB85="","Not rostered",IFERROR(INDEX(Settings!$C$14:$C$33,MATCH(AB85,Settings!$B$14:$B$33,0)),IFERROR(LOOKUP(2^15,SEARCH(Settings!$I$14:$I$83,AB85)/(Settings!$I$14:$I$83&lt;&gt;""),Settings!$J$14:$J$83),"Other"))))</f>
        <v/>
      </c>
      <c r="BF85">
        <f>IF($B85="","",IF(AC85="","Not rostered",IFERROR(INDEX(Settings!$C$14:$C$33,MATCH(AC85,Settings!$B$14:$B$33,0)),IFERROR(LOOKUP(2^15,SEARCH(Settings!$I$14:$I$83,AC85)/(Settings!$I$14:$I$83&lt;&gt;""),Settings!$J$14:$J$83),"Other"))))</f>
        <v/>
      </c>
      <c r="BG85">
        <f>IF($B85="","",IF(AD85="","Not rostered",IFERROR(INDEX(Settings!$C$14:$C$33,MATCH(AD85,Settings!$B$14:$B$33,0)),IFERROR(LOOKUP(2^15,SEARCH(Settings!$I$14:$I$83,AD85)/(Settings!$I$14:$I$83&lt;&gt;""),Settings!$J$14:$J$83),"Other"))))</f>
        <v/>
      </c>
      <c r="BH85">
        <f>IF($B85="","",IF(AE85="","Not rostered",IFERROR(INDEX(Settings!$C$14:$C$33,MATCH(AE85,Settings!$B$14:$B$33,0)),IFERROR(LOOKUP(2^15,SEARCH(Settings!$I$14:$I$83,AE85)/(Settings!$I$14:$I$83&lt;&gt;""),Settings!$J$14:$J$83),"Other"))))</f>
        <v/>
      </c>
      <c r="BI85">
        <f>IF($B85="","",IF(AF85="","Not rostered",IFERROR(INDEX(Settings!$C$14:$C$33,MATCH(AF85,Settings!$B$14:$B$33,0)),IFERROR(LOOKUP(2^15,SEARCH(Settings!$I$14:$I$83,AF85)/(Settings!$I$14:$I$83&lt;&gt;""),Settings!$J$14:$J$83),"Other"))))</f>
        <v/>
      </c>
      <c r="BJ85">
        <f>IF($B85="","",IF(AG85="","Not rostered",IFERROR(INDEX(Settings!$C$14:$C$33,MATCH(AG85,Settings!$B$14:$B$33,0)),IFERROR(LOOKUP(2^15,SEARCH(Settings!$I$14:$I$83,AG85)/(Settings!$I$14:$I$83&lt;&gt;""),Settings!$J$14:$J$83),"Other"))))</f>
        <v/>
      </c>
      <c r="BL85">
        <f>IF(OR($B85="",F85=""),"",IFERROR(INDEX(Settings!$D$14:$D$33,MATCH(F85,Settings!$B$14:$B$33,0))&amp;"",IFERROR(LOOKUP(2^15,SEARCH(Settings!$F$14:$F$43,F85)/(Settings!$F$14:$F$43&lt;&gt;""),Settings!$G$14:$G$43),"")))</f>
        <v/>
      </c>
      <c r="BM85">
        <f>IF(OR($B85="",G85=""),"",IFERROR(INDEX(Settings!$D$14:$D$33,MATCH(G85,Settings!$B$14:$B$33,0))&amp;"",IFERROR(LOOKUP(2^15,SEARCH(Settings!$F$14:$F$43,G85)/(Settings!$F$14:$F$43&lt;&gt;""),Settings!$G$14:$G$43),"")))</f>
        <v/>
      </c>
      <c r="BN85">
        <f>IF(OR($B85="",H85=""),"",IFERROR(INDEX(Settings!$D$14:$D$33,MATCH(H85,Settings!$B$14:$B$33,0))&amp;"",IFERROR(LOOKUP(2^15,SEARCH(Settings!$F$14:$F$43,H85)/(Settings!$F$14:$F$43&lt;&gt;""),Settings!$G$14:$G$43),"")))</f>
        <v/>
      </c>
      <c r="BO85">
        <f>IF(OR($B85="",I85=""),"",IFERROR(INDEX(Settings!$D$14:$D$33,MATCH(I85,Settings!$B$14:$B$33,0))&amp;"",IFERROR(LOOKUP(2^15,SEARCH(Settings!$F$14:$F$43,I85)/(Settings!$F$14:$F$43&lt;&gt;""),Settings!$G$14:$G$43),"")))</f>
        <v/>
      </c>
      <c r="BP85">
        <f>IF(OR($B85="",J85=""),"",IFERROR(INDEX(Settings!$D$14:$D$33,MATCH(J85,Settings!$B$14:$B$33,0))&amp;"",IFERROR(LOOKUP(2^15,SEARCH(Settings!$F$14:$F$43,J85)/(Settings!$F$14:$F$43&lt;&gt;""),Settings!$G$14:$G$43),"")))</f>
        <v/>
      </c>
      <c r="BQ85">
        <f>IF(OR($B85="",K85=""),"",IFERROR(INDEX(Settings!$D$14:$D$33,MATCH(K85,Settings!$B$14:$B$33,0))&amp;"",IFERROR(LOOKUP(2^15,SEARCH(Settings!$F$14:$F$43,K85)/(Settings!$F$14:$F$43&lt;&gt;""),Settings!$G$14:$G$43),"")))</f>
        <v/>
      </c>
      <c r="BR85">
        <f>IF(OR($B85="",L85=""),"",IFERROR(INDEX(Settings!$D$14:$D$33,MATCH(L85,Settings!$B$14:$B$33,0))&amp;"",IFERROR(LOOKUP(2^15,SEARCH(Settings!$F$14:$F$43,L85)/(Settings!$F$14:$F$43&lt;&gt;""),Settings!$G$14:$G$43),"")))</f>
        <v/>
      </c>
      <c r="BS85">
        <f>IF(OR($B85="",M85=""),"",IFERROR(INDEX(Settings!$D$14:$D$33,MATCH(M85,Settings!$B$14:$B$33,0))&amp;"",IFERROR(LOOKUP(2^15,SEARCH(Settings!$F$14:$F$43,M85)/(Settings!$F$14:$F$43&lt;&gt;""),Settings!$G$14:$G$43),"")))</f>
        <v/>
      </c>
      <c r="BT85">
        <f>IF(OR($B85="",N85=""),"",IFERROR(INDEX(Settings!$D$14:$D$33,MATCH(N85,Settings!$B$14:$B$33,0))&amp;"",IFERROR(LOOKUP(2^15,SEARCH(Settings!$F$14:$F$43,N85)/(Settings!$F$14:$F$43&lt;&gt;""),Settings!$G$14:$G$43),"")))</f>
        <v/>
      </c>
      <c r="BU85">
        <f>IF(OR($B85="",O85=""),"",IFERROR(INDEX(Settings!$D$14:$D$33,MATCH(O85,Settings!$B$14:$B$33,0))&amp;"",IFERROR(LOOKUP(2^15,SEARCH(Settings!$F$14:$F$43,O85)/(Settings!$F$14:$F$43&lt;&gt;""),Settings!$G$14:$G$43),"")))</f>
        <v/>
      </c>
      <c r="BV85">
        <f>IF(OR($B85="",P85=""),"",IFERROR(INDEX(Settings!$D$14:$D$33,MATCH(P85,Settings!$B$14:$B$33,0))&amp;"",IFERROR(LOOKUP(2^15,SEARCH(Settings!$F$14:$F$43,P85)/(Settings!$F$14:$F$43&lt;&gt;""),Settings!$G$14:$G$43),"")))</f>
        <v/>
      </c>
      <c r="BW85">
        <f>IF(OR($B85="",Q85=""),"",IFERROR(INDEX(Settings!$D$14:$D$33,MATCH(Q85,Settings!$B$14:$B$33,0))&amp;"",IFERROR(LOOKUP(2^15,SEARCH(Settings!$F$14:$F$43,Q85)/(Settings!$F$14:$F$43&lt;&gt;""),Settings!$G$14:$G$43),"")))</f>
        <v/>
      </c>
      <c r="BX85">
        <f>IF(OR($B85="",R85=""),"",IFERROR(INDEX(Settings!$D$14:$D$33,MATCH(R85,Settings!$B$14:$B$33,0))&amp;"",IFERROR(LOOKUP(2^15,SEARCH(Settings!$F$14:$F$43,R85)/(Settings!$F$14:$F$43&lt;&gt;""),Settings!$G$14:$G$43),"")))</f>
        <v/>
      </c>
      <c r="BY85">
        <f>IF(OR($B85="",S85=""),"",IFERROR(INDEX(Settings!$D$14:$D$33,MATCH(S85,Settings!$B$14:$B$33,0))&amp;"",IFERROR(LOOKUP(2^15,SEARCH(Settings!$F$14:$F$43,S85)/(Settings!$F$14:$F$43&lt;&gt;""),Settings!$G$14:$G$43),"")))</f>
        <v/>
      </c>
      <c r="BZ85">
        <f>IF(OR($B85="",T85=""),"",IFERROR(INDEX(Settings!$D$14:$D$33,MATCH(T85,Settings!$B$14:$B$33,0))&amp;"",IFERROR(LOOKUP(2^15,SEARCH(Settings!$F$14:$F$43,T85)/(Settings!$F$14:$F$43&lt;&gt;""),Settings!$G$14:$G$43),"")))</f>
        <v/>
      </c>
      <c r="CA85">
        <f>IF(OR($B85="",U85=""),"",IFERROR(INDEX(Settings!$D$14:$D$33,MATCH(U85,Settings!$B$14:$B$33,0))&amp;"",IFERROR(LOOKUP(2^15,SEARCH(Settings!$F$14:$F$43,U85)/(Settings!$F$14:$F$43&lt;&gt;""),Settings!$G$14:$G$43),"")))</f>
        <v/>
      </c>
      <c r="CB85">
        <f>IF(OR($B85="",V85=""),"",IFERROR(INDEX(Settings!$D$14:$D$33,MATCH(V85,Settings!$B$14:$B$33,0))&amp;"",IFERROR(LOOKUP(2^15,SEARCH(Settings!$F$14:$F$43,V85)/(Settings!$F$14:$F$43&lt;&gt;""),Settings!$G$14:$G$43),"")))</f>
        <v/>
      </c>
      <c r="CC85">
        <f>IF(OR($B85="",W85=""),"",IFERROR(INDEX(Settings!$D$14:$D$33,MATCH(W85,Settings!$B$14:$B$33,0))&amp;"",IFERROR(LOOKUP(2^15,SEARCH(Settings!$F$14:$F$43,W85)/(Settings!$F$14:$F$43&lt;&gt;""),Settings!$G$14:$G$43),"")))</f>
        <v/>
      </c>
      <c r="CD85">
        <f>IF(OR($B85="",X85=""),"",IFERROR(INDEX(Settings!$D$14:$D$33,MATCH(X85,Settings!$B$14:$B$33,0))&amp;"",IFERROR(LOOKUP(2^15,SEARCH(Settings!$F$14:$F$43,X85)/(Settings!$F$14:$F$43&lt;&gt;""),Settings!$G$14:$G$43),"")))</f>
        <v/>
      </c>
      <c r="CE85">
        <f>IF(OR($B85="",Y85=""),"",IFERROR(INDEX(Settings!$D$14:$D$33,MATCH(Y85,Settings!$B$14:$B$33,0))&amp;"",IFERROR(LOOKUP(2^15,SEARCH(Settings!$F$14:$F$43,Y85)/(Settings!$F$14:$F$43&lt;&gt;""),Settings!$G$14:$G$43),"")))</f>
        <v/>
      </c>
      <c r="CF85">
        <f>IF(OR($B85="",Z85=""),"",IFERROR(INDEX(Settings!$D$14:$D$33,MATCH(Z85,Settings!$B$14:$B$33,0))&amp;"",IFERROR(LOOKUP(2^15,SEARCH(Settings!$F$14:$F$43,Z85)/(Settings!$F$14:$F$43&lt;&gt;""),Settings!$G$14:$G$43),"")))</f>
        <v/>
      </c>
      <c r="CG85">
        <f>IF(OR($B85="",AA85=""),"",IFERROR(INDEX(Settings!$D$14:$D$33,MATCH(AA85,Settings!$B$14:$B$33,0))&amp;"",IFERROR(LOOKUP(2^15,SEARCH(Settings!$F$14:$F$43,AA85)/(Settings!$F$14:$F$43&lt;&gt;""),Settings!$G$14:$G$43),"")))</f>
        <v/>
      </c>
      <c r="CH85">
        <f>IF(OR($B85="",AB85=""),"",IFERROR(INDEX(Settings!$D$14:$D$33,MATCH(AB85,Settings!$B$14:$B$33,0))&amp;"",IFERROR(LOOKUP(2^15,SEARCH(Settings!$F$14:$F$43,AB85)/(Settings!$F$14:$F$43&lt;&gt;""),Settings!$G$14:$G$43),"")))</f>
        <v/>
      </c>
      <c r="CI85">
        <f>IF(OR($B85="",AC85=""),"",IFERROR(INDEX(Settings!$D$14:$D$33,MATCH(AC85,Settings!$B$14:$B$33,0))&amp;"",IFERROR(LOOKUP(2^15,SEARCH(Settings!$F$14:$F$43,AC85)/(Settings!$F$14:$F$43&lt;&gt;""),Settings!$G$14:$G$43),"")))</f>
        <v/>
      </c>
      <c r="CJ85">
        <f>IF(OR($B85="",AD85=""),"",IFERROR(INDEX(Settings!$D$14:$D$33,MATCH(AD85,Settings!$B$14:$B$33,0))&amp;"",IFERROR(LOOKUP(2^15,SEARCH(Settings!$F$14:$F$43,AD85)/(Settings!$F$14:$F$43&lt;&gt;""),Settings!$G$14:$G$43),"")))</f>
        <v/>
      </c>
      <c r="CK85">
        <f>IF(OR($B85="",AE85=""),"",IFERROR(INDEX(Settings!$D$14:$D$33,MATCH(AE85,Settings!$B$14:$B$33,0))&amp;"",IFERROR(LOOKUP(2^15,SEARCH(Settings!$F$14:$F$43,AE85)/(Settings!$F$14:$F$43&lt;&gt;""),Settings!$G$14:$G$43),"")))</f>
        <v/>
      </c>
      <c r="CL85">
        <f>IF(OR($B85="",AF85=""),"",IFERROR(INDEX(Settings!$D$14:$D$33,MATCH(AF85,Settings!$B$14:$B$33,0))&amp;"",IFERROR(LOOKUP(2^15,SEARCH(Settings!$F$14:$F$43,AF85)/(Settings!$F$14:$F$43&lt;&gt;""),Settings!$G$14:$G$43),"")))</f>
        <v/>
      </c>
      <c r="CM85">
        <f>IF(OR($B85="",AG85=""),"",IFERROR(INDEX(Settings!$D$14:$D$33,MATCH(AG85,Settings!$B$14:$B$33,0))&amp;"",IFERROR(LOOKUP(2^15,SEARCH(Settings!$F$14:$F$43,AG85)/(Settings!$F$14:$F$43&lt;&gt;""),Settings!$G$14:$G$43),"")))</f>
        <v/>
      </c>
    </row>
    <row r="86">
      <c r="A86" t="n">
        <v>84</v>
      </c>
      <c r="B86">
        <f>IFERROR(INDEX(Index!$A$2:$A$202,MATCH(A86,Index!$E$2:$E$202,0)),"")</f>
        <v/>
      </c>
      <c r="D86">
        <f>IF($B86="","",IFERROR(MATCH("Travel*",AI86:BJ86,0),""))</f>
        <v/>
      </c>
      <c r="F86">
        <f>IF(OR($B86="",NOT(ISNUMBER(Settings!$C$9))),"",TRIM(SUBSTITUTE(SUBSTITUTE(INDEX('INPUT - Roster'!$S$1:$SV$206,$B86,Settings!$C$9+0)&amp;"",CHAR(10)," "),CHAR(160)," ")))</f>
        <v/>
      </c>
      <c r="G86">
        <f>IF(OR($B86="",NOT(ISNUMBER(Settings!$C$9))),"",TRIM(SUBSTITUTE(SUBSTITUTE(INDEX('INPUT - Roster'!$S$1:$SV$206,$B86,Settings!$C$9+1)&amp;"",CHAR(10)," "),CHAR(160)," ")))</f>
        <v/>
      </c>
      <c r="H86">
        <f>IF(OR($B86="",NOT(ISNUMBER(Settings!$C$9))),"",TRIM(SUBSTITUTE(SUBSTITUTE(INDEX('INPUT - Roster'!$S$1:$SV$206,$B86,Settings!$C$9+2)&amp;"",CHAR(10)," "),CHAR(160)," ")))</f>
        <v/>
      </c>
      <c r="I86">
        <f>IF(OR($B86="",NOT(ISNUMBER(Settings!$C$9))),"",TRIM(SUBSTITUTE(SUBSTITUTE(INDEX('INPUT - Roster'!$S$1:$SV$206,$B86,Settings!$C$9+3)&amp;"",CHAR(10)," "),CHAR(160)," ")))</f>
        <v/>
      </c>
      <c r="J86">
        <f>IF(OR($B86="",NOT(ISNUMBER(Settings!$C$9))),"",TRIM(SUBSTITUTE(SUBSTITUTE(INDEX('INPUT - Roster'!$S$1:$SV$206,$B86,Settings!$C$9+4)&amp;"",CHAR(10)," "),CHAR(160)," ")))</f>
        <v/>
      </c>
      <c r="K86">
        <f>IF(OR($B86="",NOT(ISNUMBER(Settings!$C$9))),"",TRIM(SUBSTITUTE(SUBSTITUTE(INDEX('INPUT - Roster'!$S$1:$SV$206,$B86,Settings!$C$9+5)&amp;"",CHAR(10)," "),CHAR(160)," ")))</f>
        <v/>
      </c>
      <c r="L86">
        <f>IF(OR($B86="",NOT(ISNUMBER(Settings!$C$9))),"",TRIM(SUBSTITUTE(SUBSTITUTE(INDEX('INPUT - Roster'!$S$1:$SV$206,$B86,Settings!$C$9+6)&amp;"",CHAR(10)," "),CHAR(160)," ")))</f>
        <v/>
      </c>
      <c r="M86">
        <f>IF(OR($B86="",NOT(ISNUMBER(Settings!$C$9))),"",TRIM(SUBSTITUTE(SUBSTITUTE(INDEX('INPUT - Roster'!$S$1:$SV$206,$B86,Settings!$C$9+7)&amp;"",CHAR(10)," "),CHAR(160)," ")))</f>
        <v/>
      </c>
      <c r="N86">
        <f>IF(OR($B86="",NOT(ISNUMBER(Settings!$C$9))),"",TRIM(SUBSTITUTE(SUBSTITUTE(INDEX('INPUT - Roster'!$S$1:$SV$206,$B86,Settings!$C$9+8)&amp;"",CHAR(10)," "),CHAR(160)," ")))</f>
        <v/>
      </c>
      <c r="O86">
        <f>IF(OR($B86="",NOT(ISNUMBER(Settings!$C$9))),"",TRIM(SUBSTITUTE(SUBSTITUTE(INDEX('INPUT - Roster'!$S$1:$SV$206,$B86,Settings!$C$9+9)&amp;"",CHAR(10)," "),CHAR(160)," ")))</f>
        <v/>
      </c>
      <c r="P86">
        <f>IF(OR($B86="",NOT(ISNUMBER(Settings!$C$9))),"",TRIM(SUBSTITUTE(SUBSTITUTE(INDEX('INPUT - Roster'!$S$1:$SV$206,$B86,Settings!$C$9+10)&amp;"",CHAR(10)," "),CHAR(160)," ")))</f>
        <v/>
      </c>
      <c r="Q86">
        <f>IF(OR($B86="",NOT(ISNUMBER(Settings!$C$9))),"",TRIM(SUBSTITUTE(SUBSTITUTE(INDEX('INPUT - Roster'!$S$1:$SV$206,$B86,Settings!$C$9+11)&amp;"",CHAR(10)," "),CHAR(160)," ")))</f>
        <v/>
      </c>
      <c r="R86">
        <f>IF(OR($B86="",NOT(ISNUMBER(Settings!$C$9))),"",TRIM(SUBSTITUTE(SUBSTITUTE(INDEX('INPUT - Roster'!$S$1:$SV$206,$B86,Settings!$C$9+12)&amp;"",CHAR(10)," "),CHAR(160)," ")))</f>
        <v/>
      </c>
      <c r="S86">
        <f>IF(OR($B86="",NOT(ISNUMBER(Settings!$C$9))),"",TRIM(SUBSTITUTE(SUBSTITUTE(INDEX('INPUT - Roster'!$S$1:$SV$206,$B86,Settings!$C$9+13)&amp;"",CHAR(10)," "),CHAR(160)," ")))</f>
        <v/>
      </c>
      <c r="T86">
        <f>IF(OR($B86="",NOT(ISNUMBER(Settings!$C$9))),"",TRIM(SUBSTITUTE(SUBSTITUTE(INDEX('INPUT - Roster'!$S$1:$SV$206,$B86,Settings!$C$9+14)&amp;"",CHAR(10)," "),CHAR(160)," ")))</f>
        <v/>
      </c>
      <c r="U86">
        <f>IF(OR($B86="",NOT(ISNUMBER(Settings!$C$9))),"",TRIM(SUBSTITUTE(SUBSTITUTE(INDEX('INPUT - Roster'!$S$1:$SV$206,$B86,Settings!$C$9+15)&amp;"",CHAR(10)," "),CHAR(160)," ")))</f>
        <v/>
      </c>
      <c r="V86">
        <f>IF(OR($B86="",NOT(ISNUMBER(Settings!$C$9))),"",TRIM(SUBSTITUTE(SUBSTITUTE(INDEX('INPUT - Roster'!$S$1:$SV$206,$B86,Settings!$C$9+16)&amp;"",CHAR(10)," "),CHAR(160)," ")))</f>
        <v/>
      </c>
      <c r="W86">
        <f>IF(OR($B86="",NOT(ISNUMBER(Settings!$C$9))),"",TRIM(SUBSTITUTE(SUBSTITUTE(INDEX('INPUT - Roster'!$S$1:$SV$206,$B86,Settings!$C$9+17)&amp;"",CHAR(10)," "),CHAR(160)," ")))</f>
        <v/>
      </c>
      <c r="X86">
        <f>IF(OR($B86="",NOT(ISNUMBER(Settings!$C$9))),"",TRIM(SUBSTITUTE(SUBSTITUTE(INDEX('INPUT - Roster'!$S$1:$SV$206,$B86,Settings!$C$9+18)&amp;"",CHAR(10)," "),CHAR(160)," ")))</f>
        <v/>
      </c>
      <c r="Y86">
        <f>IF(OR($B86="",NOT(ISNUMBER(Settings!$C$9))),"",TRIM(SUBSTITUTE(SUBSTITUTE(INDEX('INPUT - Roster'!$S$1:$SV$206,$B86,Settings!$C$9+19)&amp;"",CHAR(10)," "),CHAR(160)," ")))</f>
        <v/>
      </c>
      <c r="Z86">
        <f>IF(OR($B86="",NOT(ISNUMBER(Settings!$C$9))),"",TRIM(SUBSTITUTE(SUBSTITUTE(INDEX('INPUT - Roster'!$S$1:$SV$206,$B86,Settings!$C$9+20)&amp;"",CHAR(10)," "),CHAR(160)," ")))</f>
        <v/>
      </c>
      <c r="AA86">
        <f>IF(OR($B86="",NOT(ISNUMBER(Settings!$C$9))),"",TRIM(SUBSTITUTE(SUBSTITUTE(INDEX('INPUT - Roster'!$S$1:$SV$206,$B86,Settings!$C$9+21)&amp;"",CHAR(10)," "),CHAR(160)," ")))</f>
        <v/>
      </c>
      <c r="AB86">
        <f>IF(OR($B86="",NOT(ISNUMBER(Settings!$C$9))),"",TRIM(SUBSTITUTE(SUBSTITUTE(INDEX('INPUT - Roster'!$S$1:$SV$206,$B86,Settings!$C$9+22)&amp;"",CHAR(10)," "),CHAR(160)," ")))</f>
        <v/>
      </c>
      <c r="AC86">
        <f>IF(OR($B86="",NOT(ISNUMBER(Settings!$C$9))),"",TRIM(SUBSTITUTE(SUBSTITUTE(INDEX('INPUT - Roster'!$S$1:$SV$206,$B86,Settings!$C$9+23)&amp;"",CHAR(10)," "),CHAR(160)," ")))</f>
        <v/>
      </c>
      <c r="AD86">
        <f>IF(OR($B86="",NOT(ISNUMBER(Settings!$C$9))),"",TRIM(SUBSTITUTE(SUBSTITUTE(INDEX('INPUT - Roster'!$S$1:$SV$206,$B86,Settings!$C$9+24)&amp;"",CHAR(10)," "),CHAR(160)," ")))</f>
        <v/>
      </c>
      <c r="AE86">
        <f>IF(OR($B86="",NOT(ISNUMBER(Settings!$C$9))),"",TRIM(SUBSTITUTE(SUBSTITUTE(INDEX('INPUT - Roster'!$S$1:$SV$206,$B86,Settings!$C$9+25)&amp;"",CHAR(10)," "),CHAR(160)," ")))</f>
        <v/>
      </c>
      <c r="AF86">
        <f>IF(OR($B86="",NOT(ISNUMBER(Settings!$C$9))),"",TRIM(SUBSTITUTE(SUBSTITUTE(INDEX('INPUT - Roster'!$S$1:$SV$206,$B86,Settings!$C$9+26)&amp;"",CHAR(10)," "),CHAR(160)," ")))</f>
        <v/>
      </c>
      <c r="AG86">
        <f>IF(OR($B86="",NOT(ISNUMBER(Settings!$C$9))),"",TRIM(SUBSTITUTE(SUBSTITUTE(INDEX('INPUT - Roster'!$S$1:$SV$206,$B86,Settings!$C$9+27)&amp;"",CHAR(10)," "),CHAR(160)," ")))</f>
        <v/>
      </c>
      <c r="AI86">
        <f>IF($B86="","",IF(F86="","Not rostered",IFERROR(INDEX(Settings!$C$14:$C$33,MATCH(F86,Settings!$B$14:$B$33,0)),IFERROR(LOOKUP(2^15,SEARCH(Settings!$I$14:$I$83,F86)/(Settings!$I$14:$I$83&lt;&gt;""),Settings!$J$14:$J$83),"Other"))))</f>
        <v/>
      </c>
      <c r="AJ86">
        <f>IF($B86="","",IF(G86="","Not rostered",IFERROR(INDEX(Settings!$C$14:$C$33,MATCH(G86,Settings!$B$14:$B$33,0)),IFERROR(LOOKUP(2^15,SEARCH(Settings!$I$14:$I$83,G86)/(Settings!$I$14:$I$83&lt;&gt;""),Settings!$J$14:$J$83),"Other"))))</f>
        <v/>
      </c>
      <c r="AK86">
        <f>IF($B86="","",IF(H86="","Not rostered",IFERROR(INDEX(Settings!$C$14:$C$33,MATCH(H86,Settings!$B$14:$B$33,0)),IFERROR(LOOKUP(2^15,SEARCH(Settings!$I$14:$I$83,H86)/(Settings!$I$14:$I$83&lt;&gt;""),Settings!$J$14:$J$83),"Other"))))</f>
        <v/>
      </c>
      <c r="AL86">
        <f>IF($B86="","",IF(I86="","Not rostered",IFERROR(INDEX(Settings!$C$14:$C$33,MATCH(I86,Settings!$B$14:$B$33,0)),IFERROR(LOOKUP(2^15,SEARCH(Settings!$I$14:$I$83,I86)/(Settings!$I$14:$I$83&lt;&gt;""),Settings!$J$14:$J$83),"Other"))))</f>
        <v/>
      </c>
      <c r="AM86">
        <f>IF($B86="","",IF(J86="","Not rostered",IFERROR(INDEX(Settings!$C$14:$C$33,MATCH(J86,Settings!$B$14:$B$33,0)),IFERROR(LOOKUP(2^15,SEARCH(Settings!$I$14:$I$83,J86)/(Settings!$I$14:$I$83&lt;&gt;""),Settings!$J$14:$J$83),"Other"))))</f>
        <v/>
      </c>
      <c r="AN86">
        <f>IF($B86="","",IF(K86="","Not rostered",IFERROR(INDEX(Settings!$C$14:$C$33,MATCH(K86,Settings!$B$14:$B$33,0)),IFERROR(LOOKUP(2^15,SEARCH(Settings!$I$14:$I$83,K86)/(Settings!$I$14:$I$83&lt;&gt;""),Settings!$J$14:$J$83),"Other"))))</f>
        <v/>
      </c>
      <c r="AO86">
        <f>IF($B86="","",IF(L86="","Not rostered",IFERROR(INDEX(Settings!$C$14:$C$33,MATCH(L86,Settings!$B$14:$B$33,0)),IFERROR(LOOKUP(2^15,SEARCH(Settings!$I$14:$I$83,L86)/(Settings!$I$14:$I$83&lt;&gt;""),Settings!$J$14:$J$83),"Other"))))</f>
        <v/>
      </c>
      <c r="AP86">
        <f>IF($B86="","",IF(M86="","Not rostered",IFERROR(INDEX(Settings!$C$14:$C$33,MATCH(M86,Settings!$B$14:$B$33,0)),IFERROR(LOOKUP(2^15,SEARCH(Settings!$I$14:$I$83,M86)/(Settings!$I$14:$I$83&lt;&gt;""),Settings!$J$14:$J$83),"Other"))))</f>
        <v/>
      </c>
      <c r="AQ86">
        <f>IF($B86="","",IF(N86="","Not rostered",IFERROR(INDEX(Settings!$C$14:$C$33,MATCH(N86,Settings!$B$14:$B$33,0)),IFERROR(LOOKUP(2^15,SEARCH(Settings!$I$14:$I$83,N86)/(Settings!$I$14:$I$83&lt;&gt;""),Settings!$J$14:$J$83),"Other"))))</f>
        <v/>
      </c>
      <c r="AR86">
        <f>IF($B86="","",IF(O86="","Not rostered",IFERROR(INDEX(Settings!$C$14:$C$33,MATCH(O86,Settings!$B$14:$B$33,0)),IFERROR(LOOKUP(2^15,SEARCH(Settings!$I$14:$I$83,O86)/(Settings!$I$14:$I$83&lt;&gt;""),Settings!$J$14:$J$83),"Other"))))</f>
        <v/>
      </c>
      <c r="AS86">
        <f>IF($B86="","",IF(P86="","Not rostered",IFERROR(INDEX(Settings!$C$14:$C$33,MATCH(P86,Settings!$B$14:$B$33,0)),IFERROR(LOOKUP(2^15,SEARCH(Settings!$I$14:$I$83,P86)/(Settings!$I$14:$I$83&lt;&gt;""),Settings!$J$14:$J$83),"Other"))))</f>
        <v/>
      </c>
      <c r="AT86">
        <f>IF($B86="","",IF(Q86="","Not rostered",IFERROR(INDEX(Settings!$C$14:$C$33,MATCH(Q86,Settings!$B$14:$B$33,0)),IFERROR(LOOKUP(2^15,SEARCH(Settings!$I$14:$I$83,Q86)/(Settings!$I$14:$I$83&lt;&gt;""),Settings!$J$14:$J$83),"Other"))))</f>
        <v/>
      </c>
      <c r="AU86">
        <f>IF($B86="","",IF(R86="","Not rostered",IFERROR(INDEX(Settings!$C$14:$C$33,MATCH(R86,Settings!$B$14:$B$33,0)),IFERROR(LOOKUP(2^15,SEARCH(Settings!$I$14:$I$83,R86)/(Settings!$I$14:$I$83&lt;&gt;""),Settings!$J$14:$J$83),"Other"))))</f>
        <v/>
      </c>
      <c r="AV86">
        <f>IF($B86="","",IF(S86="","Not rostered",IFERROR(INDEX(Settings!$C$14:$C$33,MATCH(S86,Settings!$B$14:$B$33,0)),IFERROR(LOOKUP(2^15,SEARCH(Settings!$I$14:$I$83,S86)/(Settings!$I$14:$I$83&lt;&gt;""),Settings!$J$14:$J$83),"Other"))))</f>
        <v/>
      </c>
      <c r="AW86">
        <f>IF($B86="","",IF(T86="","Not rostered",IFERROR(INDEX(Settings!$C$14:$C$33,MATCH(T86,Settings!$B$14:$B$33,0)),IFERROR(LOOKUP(2^15,SEARCH(Settings!$I$14:$I$83,T86)/(Settings!$I$14:$I$83&lt;&gt;""),Settings!$J$14:$J$83),"Other"))))</f>
        <v/>
      </c>
      <c r="AX86">
        <f>IF($B86="","",IF(U86="","Not rostered",IFERROR(INDEX(Settings!$C$14:$C$33,MATCH(U86,Settings!$B$14:$B$33,0)),IFERROR(LOOKUP(2^15,SEARCH(Settings!$I$14:$I$83,U86)/(Settings!$I$14:$I$83&lt;&gt;""),Settings!$J$14:$J$83),"Other"))))</f>
        <v/>
      </c>
      <c r="AY86">
        <f>IF($B86="","",IF(V86="","Not rostered",IFERROR(INDEX(Settings!$C$14:$C$33,MATCH(V86,Settings!$B$14:$B$33,0)),IFERROR(LOOKUP(2^15,SEARCH(Settings!$I$14:$I$83,V86)/(Settings!$I$14:$I$83&lt;&gt;""),Settings!$J$14:$J$83),"Other"))))</f>
        <v/>
      </c>
      <c r="AZ86">
        <f>IF($B86="","",IF(W86="","Not rostered",IFERROR(INDEX(Settings!$C$14:$C$33,MATCH(W86,Settings!$B$14:$B$33,0)),IFERROR(LOOKUP(2^15,SEARCH(Settings!$I$14:$I$83,W86)/(Settings!$I$14:$I$83&lt;&gt;""),Settings!$J$14:$J$83),"Other"))))</f>
        <v/>
      </c>
      <c r="BA86">
        <f>IF($B86="","",IF(X86="","Not rostered",IFERROR(INDEX(Settings!$C$14:$C$33,MATCH(X86,Settings!$B$14:$B$33,0)),IFERROR(LOOKUP(2^15,SEARCH(Settings!$I$14:$I$83,X86)/(Settings!$I$14:$I$83&lt;&gt;""),Settings!$J$14:$J$83),"Other"))))</f>
        <v/>
      </c>
      <c r="BB86">
        <f>IF($B86="","",IF(Y86="","Not rostered",IFERROR(INDEX(Settings!$C$14:$C$33,MATCH(Y86,Settings!$B$14:$B$33,0)),IFERROR(LOOKUP(2^15,SEARCH(Settings!$I$14:$I$83,Y86)/(Settings!$I$14:$I$83&lt;&gt;""),Settings!$J$14:$J$83),"Other"))))</f>
        <v/>
      </c>
      <c r="BC86">
        <f>IF($B86="","",IF(Z86="","Not rostered",IFERROR(INDEX(Settings!$C$14:$C$33,MATCH(Z86,Settings!$B$14:$B$33,0)),IFERROR(LOOKUP(2^15,SEARCH(Settings!$I$14:$I$83,Z86)/(Settings!$I$14:$I$83&lt;&gt;""),Settings!$J$14:$J$83),"Other"))))</f>
        <v/>
      </c>
      <c r="BD86">
        <f>IF($B86="","",IF(AA86="","Not rostered",IFERROR(INDEX(Settings!$C$14:$C$33,MATCH(AA86,Settings!$B$14:$B$33,0)),IFERROR(LOOKUP(2^15,SEARCH(Settings!$I$14:$I$83,AA86)/(Settings!$I$14:$I$83&lt;&gt;""),Settings!$J$14:$J$83),"Other"))))</f>
        <v/>
      </c>
      <c r="BE86">
        <f>IF($B86="","",IF(AB86="","Not rostered",IFERROR(INDEX(Settings!$C$14:$C$33,MATCH(AB86,Settings!$B$14:$B$33,0)),IFERROR(LOOKUP(2^15,SEARCH(Settings!$I$14:$I$83,AB86)/(Settings!$I$14:$I$83&lt;&gt;""),Settings!$J$14:$J$83),"Other"))))</f>
        <v/>
      </c>
      <c r="BF86">
        <f>IF($B86="","",IF(AC86="","Not rostered",IFERROR(INDEX(Settings!$C$14:$C$33,MATCH(AC86,Settings!$B$14:$B$33,0)),IFERROR(LOOKUP(2^15,SEARCH(Settings!$I$14:$I$83,AC86)/(Settings!$I$14:$I$83&lt;&gt;""),Settings!$J$14:$J$83),"Other"))))</f>
        <v/>
      </c>
      <c r="BG86">
        <f>IF($B86="","",IF(AD86="","Not rostered",IFERROR(INDEX(Settings!$C$14:$C$33,MATCH(AD86,Settings!$B$14:$B$33,0)),IFERROR(LOOKUP(2^15,SEARCH(Settings!$I$14:$I$83,AD86)/(Settings!$I$14:$I$83&lt;&gt;""),Settings!$J$14:$J$83),"Other"))))</f>
        <v/>
      </c>
      <c r="BH86">
        <f>IF($B86="","",IF(AE86="","Not rostered",IFERROR(INDEX(Settings!$C$14:$C$33,MATCH(AE86,Settings!$B$14:$B$33,0)),IFERROR(LOOKUP(2^15,SEARCH(Settings!$I$14:$I$83,AE86)/(Settings!$I$14:$I$83&lt;&gt;""),Settings!$J$14:$J$83),"Other"))))</f>
        <v/>
      </c>
      <c r="BI86">
        <f>IF($B86="","",IF(AF86="","Not rostered",IFERROR(INDEX(Settings!$C$14:$C$33,MATCH(AF86,Settings!$B$14:$B$33,0)),IFERROR(LOOKUP(2^15,SEARCH(Settings!$I$14:$I$83,AF86)/(Settings!$I$14:$I$83&lt;&gt;""),Settings!$J$14:$J$83),"Other"))))</f>
        <v/>
      </c>
      <c r="BJ86">
        <f>IF($B86="","",IF(AG86="","Not rostered",IFERROR(INDEX(Settings!$C$14:$C$33,MATCH(AG86,Settings!$B$14:$B$33,0)),IFERROR(LOOKUP(2^15,SEARCH(Settings!$I$14:$I$83,AG86)/(Settings!$I$14:$I$83&lt;&gt;""),Settings!$J$14:$J$83),"Other"))))</f>
        <v/>
      </c>
      <c r="BL86">
        <f>IF(OR($B86="",F86=""),"",IFERROR(INDEX(Settings!$D$14:$D$33,MATCH(F86,Settings!$B$14:$B$33,0))&amp;"",IFERROR(LOOKUP(2^15,SEARCH(Settings!$F$14:$F$43,F86)/(Settings!$F$14:$F$43&lt;&gt;""),Settings!$G$14:$G$43),"")))</f>
        <v/>
      </c>
      <c r="BM86">
        <f>IF(OR($B86="",G86=""),"",IFERROR(INDEX(Settings!$D$14:$D$33,MATCH(G86,Settings!$B$14:$B$33,0))&amp;"",IFERROR(LOOKUP(2^15,SEARCH(Settings!$F$14:$F$43,G86)/(Settings!$F$14:$F$43&lt;&gt;""),Settings!$G$14:$G$43),"")))</f>
        <v/>
      </c>
      <c r="BN86">
        <f>IF(OR($B86="",H86=""),"",IFERROR(INDEX(Settings!$D$14:$D$33,MATCH(H86,Settings!$B$14:$B$33,0))&amp;"",IFERROR(LOOKUP(2^15,SEARCH(Settings!$F$14:$F$43,H86)/(Settings!$F$14:$F$43&lt;&gt;""),Settings!$G$14:$G$43),"")))</f>
        <v/>
      </c>
      <c r="BO86">
        <f>IF(OR($B86="",I86=""),"",IFERROR(INDEX(Settings!$D$14:$D$33,MATCH(I86,Settings!$B$14:$B$33,0))&amp;"",IFERROR(LOOKUP(2^15,SEARCH(Settings!$F$14:$F$43,I86)/(Settings!$F$14:$F$43&lt;&gt;""),Settings!$G$14:$G$43),"")))</f>
        <v/>
      </c>
      <c r="BP86">
        <f>IF(OR($B86="",J86=""),"",IFERROR(INDEX(Settings!$D$14:$D$33,MATCH(J86,Settings!$B$14:$B$33,0))&amp;"",IFERROR(LOOKUP(2^15,SEARCH(Settings!$F$14:$F$43,J86)/(Settings!$F$14:$F$43&lt;&gt;""),Settings!$G$14:$G$43),"")))</f>
        <v/>
      </c>
      <c r="BQ86">
        <f>IF(OR($B86="",K86=""),"",IFERROR(INDEX(Settings!$D$14:$D$33,MATCH(K86,Settings!$B$14:$B$33,0))&amp;"",IFERROR(LOOKUP(2^15,SEARCH(Settings!$F$14:$F$43,K86)/(Settings!$F$14:$F$43&lt;&gt;""),Settings!$G$14:$G$43),"")))</f>
        <v/>
      </c>
      <c r="BR86">
        <f>IF(OR($B86="",L86=""),"",IFERROR(INDEX(Settings!$D$14:$D$33,MATCH(L86,Settings!$B$14:$B$33,0))&amp;"",IFERROR(LOOKUP(2^15,SEARCH(Settings!$F$14:$F$43,L86)/(Settings!$F$14:$F$43&lt;&gt;""),Settings!$G$14:$G$43),"")))</f>
        <v/>
      </c>
      <c r="BS86">
        <f>IF(OR($B86="",M86=""),"",IFERROR(INDEX(Settings!$D$14:$D$33,MATCH(M86,Settings!$B$14:$B$33,0))&amp;"",IFERROR(LOOKUP(2^15,SEARCH(Settings!$F$14:$F$43,M86)/(Settings!$F$14:$F$43&lt;&gt;""),Settings!$G$14:$G$43),"")))</f>
        <v/>
      </c>
      <c r="BT86">
        <f>IF(OR($B86="",N86=""),"",IFERROR(INDEX(Settings!$D$14:$D$33,MATCH(N86,Settings!$B$14:$B$33,0))&amp;"",IFERROR(LOOKUP(2^15,SEARCH(Settings!$F$14:$F$43,N86)/(Settings!$F$14:$F$43&lt;&gt;""),Settings!$G$14:$G$43),"")))</f>
        <v/>
      </c>
      <c r="BU86">
        <f>IF(OR($B86="",O86=""),"",IFERROR(INDEX(Settings!$D$14:$D$33,MATCH(O86,Settings!$B$14:$B$33,0))&amp;"",IFERROR(LOOKUP(2^15,SEARCH(Settings!$F$14:$F$43,O86)/(Settings!$F$14:$F$43&lt;&gt;""),Settings!$G$14:$G$43),"")))</f>
        <v/>
      </c>
      <c r="BV86">
        <f>IF(OR($B86="",P86=""),"",IFERROR(INDEX(Settings!$D$14:$D$33,MATCH(P86,Settings!$B$14:$B$33,0))&amp;"",IFERROR(LOOKUP(2^15,SEARCH(Settings!$F$14:$F$43,P86)/(Settings!$F$14:$F$43&lt;&gt;""),Settings!$G$14:$G$43),"")))</f>
        <v/>
      </c>
      <c r="BW86">
        <f>IF(OR($B86="",Q86=""),"",IFERROR(INDEX(Settings!$D$14:$D$33,MATCH(Q86,Settings!$B$14:$B$33,0))&amp;"",IFERROR(LOOKUP(2^15,SEARCH(Settings!$F$14:$F$43,Q86)/(Settings!$F$14:$F$43&lt;&gt;""),Settings!$G$14:$G$43),"")))</f>
        <v/>
      </c>
      <c r="BX86">
        <f>IF(OR($B86="",R86=""),"",IFERROR(INDEX(Settings!$D$14:$D$33,MATCH(R86,Settings!$B$14:$B$33,0))&amp;"",IFERROR(LOOKUP(2^15,SEARCH(Settings!$F$14:$F$43,R86)/(Settings!$F$14:$F$43&lt;&gt;""),Settings!$G$14:$G$43),"")))</f>
        <v/>
      </c>
      <c r="BY86">
        <f>IF(OR($B86="",S86=""),"",IFERROR(INDEX(Settings!$D$14:$D$33,MATCH(S86,Settings!$B$14:$B$33,0))&amp;"",IFERROR(LOOKUP(2^15,SEARCH(Settings!$F$14:$F$43,S86)/(Settings!$F$14:$F$43&lt;&gt;""),Settings!$G$14:$G$43),"")))</f>
        <v/>
      </c>
      <c r="BZ86">
        <f>IF(OR($B86="",T86=""),"",IFERROR(INDEX(Settings!$D$14:$D$33,MATCH(T86,Settings!$B$14:$B$33,0))&amp;"",IFERROR(LOOKUP(2^15,SEARCH(Settings!$F$14:$F$43,T86)/(Settings!$F$14:$F$43&lt;&gt;""),Settings!$G$14:$G$43),"")))</f>
        <v/>
      </c>
      <c r="CA86">
        <f>IF(OR($B86="",U86=""),"",IFERROR(INDEX(Settings!$D$14:$D$33,MATCH(U86,Settings!$B$14:$B$33,0))&amp;"",IFERROR(LOOKUP(2^15,SEARCH(Settings!$F$14:$F$43,U86)/(Settings!$F$14:$F$43&lt;&gt;""),Settings!$G$14:$G$43),"")))</f>
        <v/>
      </c>
      <c r="CB86">
        <f>IF(OR($B86="",V86=""),"",IFERROR(INDEX(Settings!$D$14:$D$33,MATCH(V86,Settings!$B$14:$B$33,0))&amp;"",IFERROR(LOOKUP(2^15,SEARCH(Settings!$F$14:$F$43,V86)/(Settings!$F$14:$F$43&lt;&gt;""),Settings!$G$14:$G$43),"")))</f>
        <v/>
      </c>
      <c r="CC86">
        <f>IF(OR($B86="",W86=""),"",IFERROR(INDEX(Settings!$D$14:$D$33,MATCH(W86,Settings!$B$14:$B$33,0))&amp;"",IFERROR(LOOKUP(2^15,SEARCH(Settings!$F$14:$F$43,W86)/(Settings!$F$14:$F$43&lt;&gt;""),Settings!$G$14:$G$43),"")))</f>
        <v/>
      </c>
      <c r="CD86">
        <f>IF(OR($B86="",X86=""),"",IFERROR(INDEX(Settings!$D$14:$D$33,MATCH(X86,Settings!$B$14:$B$33,0))&amp;"",IFERROR(LOOKUP(2^15,SEARCH(Settings!$F$14:$F$43,X86)/(Settings!$F$14:$F$43&lt;&gt;""),Settings!$G$14:$G$43),"")))</f>
        <v/>
      </c>
      <c r="CE86">
        <f>IF(OR($B86="",Y86=""),"",IFERROR(INDEX(Settings!$D$14:$D$33,MATCH(Y86,Settings!$B$14:$B$33,0))&amp;"",IFERROR(LOOKUP(2^15,SEARCH(Settings!$F$14:$F$43,Y86)/(Settings!$F$14:$F$43&lt;&gt;""),Settings!$G$14:$G$43),"")))</f>
        <v/>
      </c>
      <c r="CF86">
        <f>IF(OR($B86="",Z86=""),"",IFERROR(INDEX(Settings!$D$14:$D$33,MATCH(Z86,Settings!$B$14:$B$33,0))&amp;"",IFERROR(LOOKUP(2^15,SEARCH(Settings!$F$14:$F$43,Z86)/(Settings!$F$14:$F$43&lt;&gt;""),Settings!$G$14:$G$43),"")))</f>
        <v/>
      </c>
      <c r="CG86">
        <f>IF(OR($B86="",AA86=""),"",IFERROR(INDEX(Settings!$D$14:$D$33,MATCH(AA86,Settings!$B$14:$B$33,0))&amp;"",IFERROR(LOOKUP(2^15,SEARCH(Settings!$F$14:$F$43,AA86)/(Settings!$F$14:$F$43&lt;&gt;""),Settings!$G$14:$G$43),"")))</f>
        <v/>
      </c>
      <c r="CH86">
        <f>IF(OR($B86="",AB86=""),"",IFERROR(INDEX(Settings!$D$14:$D$33,MATCH(AB86,Settings!$B$14:$B$33,0))&amp;"",IFERROR(LOOKUP(2^15,SEARCH(Settings!$F$14:$F$43,AB86)/(Settings!$F$14:$F$43&lt;&gt;""),Settings!$G$14:$G$43),"")))</f>
        <v/>
      </c>
      <c r="CI86">
        <f>IF(OR($B86="",AC86=""),"",IFERROR(INDEX(Settings!$D$14:$D$33,MATCH(AC86,Settings!$B$14:$B$33,0))&amp;"",IFERROR(LOOKUP(2^15,SEARCH(Settings!$F$14:$F$43,AC86)/(Settings!$F$14:$F$43&lt;&gt;""),Settings!$G$14:$G$43),"")))</f>
        <v/>
      </c>
      <c r="CJ86">
        <f>IF(OR($B86="",AD86=""),"",IFERROR(INDEX(Settings!$D$14:$D$33,MATCH(AD86,Settings!$B$14:$B$33,0))&amp;"",IFERROR(LOOKUP(2^15,SEARCH(Settings!$F$14:$F$43,AD86)/(Settings!$F$14:$F$43&lt;&gt;""),Settings!$G$14:$G$43),"")))</f>
        <v/>
      </c>
      <c r="CK86">
        <f>IF(OR($B86="",AE86=""),"",IFERROR(INDEX(Settings!$D$14:$D$33,MATCH(AE86,Settings!$B$14:$B$33,0))&amp;"",IFERROR(LOOKUP(2^15,SEARCH(Settings!$F$14:$F$43,AE86)/(Settings!$F$14:$F$43&lt;&gt;""),Settings!$G$14:$G$43),"")))</f>
        <v/>
      </c>
      <c r="CL86">
        <f>IF(OR($B86="",AF86=""),"",IFERROR(INDEX(Settings!$D$14:$D$33,MATCH(AF86,Settings!$B$14:$B$33,0))&amp;"",IFERROR(LOOKUP(2^15,SEARCH(Settings!$F$14:$F$43,AF86)/(Settings!$F$14:$F$43&lt;&gt;""),Settings!$G$14:$G$43),"")))</f>
        <v/>
      </c>
      <c r="CM86">
        <f>IF(OR($B86="",AG86=""),"",IFERROR(INDEX(Settings!$D$14:$D$33,MATCH(AG86,Settings!$B$14:$B$33,0))&amp;"",IFERROR(LOOKUP(2^15,SEARCH(Settings!$F$14:$F$43,AG86)/(Settings!$F$14:$F$43&lt;&gt;""),Settings!$G$14:$G$43),"")))</f>
        <v/>
      </c>
    </row>
    <row r="87">
      <c r="A87" t="n">
        <v>85</v>
      </c>
      <c r="B87">
        <f>IFERROR(INDEX(Index!$A$2:$A$202,MATCH(A87,Index!$E$2:$E$202,0)),"")</f>
        <v/>
      </c>
      <c r="D87">
        <f>IF($B87="","",IFERROR(MATCH("Travel*",AI87:BJ87,0),""))</f>
        <v/>
      </c>
      <c r="F87">
        <f>IF(OR($B87="",NOT(ISNUMBER(Settings!$C$9))),"",TRIM(SUBSTITUTE(SUBSTITUTE(INDEX('INPUT - Roster'!$S$1:$SV$206,$B87,Settings!$C$9+0)&amp;"",CHAR(10)," "),CHAR(160)," ")))</f>
        <v/>
      </c>
      <c r="G87">
        <f>IF(OR($B87="",NOT(ISNUMBER(Settings!$C$9))),"",TRIM(SUBSTITUTE(SUBSTITUTE(INDEX('INPUT - Roster'!$S$1:$SV$206,$B87,Settings!$C$9+1)&amp;"",CHAR(10)," "),CHAR(160)," ")))</f>
        <v/>
      </c>
      <c r="H87">
        <f>IF(OR($B87="",NOT(ISNUMBER(Settings!$C$9))),"",TRIM(SUBSTITUTE(SUBSTITUTE(INDEX('INPUT - Roster'!$S$1:$SV$206,$B87,Settings!$C$9+2)&amp;"",CHAR(10)," "),CHAR(160)," ")))</f>
        <v/>
      </c>
      <c r="I87">
        <f>IF(OR($B87="",NOT(ISNUMBER(Settings!$C$9))),"",TRIM(SUBSTITUTE(SUBSTITUTE(INDEX('INPUT - Roster'!$S$1:$SV$206,$B87,Settings!$C$9+3)&amp;"",CHAR(10)," "),CHAR(160)," ")))</f>
        <v/>
      </c>
      <c r="J87">
        <f>IF(OR($B87="",NOT(ISNUMBER(Settings!$C$9))),"",TRIM(SUBSTITUTE(SUBSTITUTE(INDEX('INPUT - Roster'!$S$1:$SV$206,$B87,Settings!$C$9+4)&amp;"",CHAR(10)," "),CHAR(160)," ")))</f>
        <v/>
      </c>
      <c r="K87">
        <f>IF(OR($B87="",NOT(ISNUMBER(Settings!$C$9))),"",TRIM(SUBSTITUTE(SUBSTITUTE(INDEX('INPUT - Roster'!$S$1:$SV$206,$B87,Settings!$C$9+5)&amp;"",CHAR(10)," "),CHAR(160)," ")))</f>
        <v/>
      </c>
      <c r="L87">
        <f>IF(OR($B87="",NOT(ISNUMBER(Settings!$C$9))),"",TRIM(SUBSTITUTE(SUBSTITUTE(INDEX('INPUT - Roster'!$S$1:$SV$206,$B87,Settings!$C$9+6)&amp;"",CHAR(10)," "),CHAR(160)," ")))</f>
        <v/>
      </c>
      <c r="M87">
        <f>IF(OR($B87="",NOT(ISNUMBER(Settings!$C$9))),"",TRIM(SUBSTITUTE(SUBSTITUTE(INDEX('INPUT - Roster'!$S$1:$SV$206,$B87,Settings!$C$9+7)&amp;"",CHAR(10)," "),CHAR(160)," ")))</f>
        <v/>
      </c>
      <c r="N87">
        <f>IF(OR($B87="",NOT(ISNUMBER(Settings!$C$9))),"",TRIM(SUBSTITUTE(SUBSTITUTE(INDEX('INPUT - Roster'!$S$1:$SV$206,$B87,Settings!$C$9+8)&amp;"",CHAR(10)," "),CHAR(160)," ")))</f>
        <v/>
      </c>
      <c r="O87">
        <f>IF(OR($B87="",NOT(ISNUMBER(Settings!$C$9))),"",TRIM(SUBSTITUTE(SUBSTITUTE(INDEX('INPUT - Roster'!$S$1:$SV$206,$B87,Settings!$C$9+9)&amp;"",CHAR(10)," "),CHAR(160)," ")))</f>
        <v/>
      </c>
      <c r="P87">
        <f>IF(OR($B87="",NOT(ISNUMBER(Settings!$C$9))),"",TRIM(SUBSTITUTE(SUBSTITUTE(INDEX('INPUT - Roster'!$S$1:$SV$206,$B87,Settings!$C$9+10)&amp;"",CHAR(10)," "),CHAR(160)," ")))</f>
        <v/>
      </c>
      <c r="Q87">
        <f>IF(OR($B87="",NOT(ISNUMBER(Settings!$C$9))),"",TRIM(SUBSTITUTE(SUBSTITUTE(INDEX('INPUT - Roster'!$S$1:$SV$206,$B87,Settings!$C$9+11)&amp;"",CHAR(10)," "),CHAR(160)," ")))</f>
        <v/>
      </c>
      <c r="R87">
        <f>IF(OR($B87="",NOT(ISNUMBER(Settings!$C$9))),"",TRIM(SUBSTITUTE(SUBSTITUTE(INDEX('INPUT - Roster'!$S$1:$SV$206,$B87,Settings!$C$9+12)&amp;"",CHAR(10)," "),CHAR(160)," ")))</f>
        <v/>
      </c>
      <c r="S87">
        <f>IF(OR($B87="",NOT(ISNUMBER(Settings!$C$9))),"",TRIM(SUBSTITUTE(SUBSTITUTE(INDEX('INPUT - Roster'!$S$1:$SV$206,$B87,Settings!$C$9+13)&amp;"",CHAR(10)," "),CHAR(160)," ")))</f>
        <v/>
      </c>
      <c r="T87">
        <f>IF(OR($B87="",NOT(ISNUMBER(Settings!$C$9))),"",TRIM(SUBSTITUTE(SUBSTITUTE(INDEX('INPUT - Roster'!$S$1:$SV$206,$B87,Settings!$C$9+14)&amp;"",CHAR(10)," "),CHAR(160)," ")))</f>
        <v/>
      </c>
      <c r="U87">
        <f>IF(OR($B87="",NOT(ISNUMBER(Settings!$C$9))),"",TRIM(SUBSTITUTE(SUBSTITUTE(INDEX('INPUT - Roster'!$S$1:$SV$206,$B87,Settings!$C$9+15)&amp;"",CHAR(10)," "),CHAR(160)," ")))</f>
        <v/>
      </c>
      <c r="V87">
        <f>IF(OR($B87="",NOT(ISNUMBER(Settings!$C$9))),"",TRIM(SUBSTITUTE(SUBSTITUTE(INDEX('INPUT - Roster'!$S$1:$SV$206,$B87,Settings!$C$9+16)&amp;"",CHAR(10)," "),CHAR(160)," ")))</f>
        <v/>
      </c>
      <c r="W87">
        <f>IF(OR($B87="",NOT(ISNUMBER(Settings!$C$9))),"",TRIM(SUBSTITUTE(SUBSTITUTE(INDEX('INPUT - Roster'!$S$1:$SV$206,$B87,Settings!$C$9+17)&amp;"",CHAR(10)," "),CHAR(160)," ")))</f>
        <v/>
      </c>
      <c r="X87">
        <f>IF(OR($B87="",NOT(ISNUMBER(Settings!$C$9))),"",TRIM(SUBSTITUTE(SUBSTITUTE(INDEX('INPUT - Roster'!$S$1:$SV$206,$B87,Settings!$C$9+18)&amp;"",CHAR(10)," "),CHAR(160)," ")))</f>
        <v/>
      </c>
      <c r="Y87">
        <f>IF(OR($B87="",NOT(ISNUMBER(Settings!$C$9))),"",TRIM(SUBSTITUTE(SUBSTITUTE(INDEX('INPUT - Roster'!$S$1:$SV$206,$B87,Settings!$C$9+19)&amp;"",CHAR(10)," "),CHAR(160)," ")))</f>
        <v/>
      </c>
      <c r="Z87">
        <f>IF(OR($B87="",NOT(ISNUMBER(Settings!$C$9))),"",TRIM(SUBSTITUTE(SUBSTITUTE(INDEX('INPUT - Roster'!$S$1:$SV$206,$B87,Settings!$C$9+20)&amp;"",CHAR(10)," "),CHAR(160)," ")))</f>
        <v/>
      </c>
      <c r="AA87">
        <f>IF(OR($B87="",NOT(ISNUMBER(Settings!$C$9))),"",TRIM(SUBSTITUTE(SUBSTITUTE(INDEX('INPUT - Roster'!$S$1:$SV$206,$B87,Settings!$C$9+21)&amp;"",CHAR(10)," "),CHAR(160)," ")))</f>
        <v/>
      </c>
      <c r="AB87">
        <f>IF(OR($B87="",NOT(ISNUMBER(Settings!$C$9))),"",TRIM(SUBSTITUTE(SUBSTITUTE(INDEX('INPUT - Roster'!$S$1:$SV$206,$B87,Settings!$C$9+22)&amp;"",CHAR(10)," "),CHAR(160)," ")))</f>
        <v/>
      </c>
      <c r="AC87">
        <f>IF(OR($B87="",NOT(ISNUMBER(Settings!$C$9))),"",TRIM(SUBSTITUTE(SUBSTITUTE(INDEX('INPUT - Roster'!$S$1:$SV$206,$B87,Settings!$C$9+23)&amp;"",CHAR(10)," "),CHAR(160)," ")))</f>
        <v/>
      </c>
      <c r="AD87">
        <f>IF(OR($B87="",NOT(ISNUMBER(Settings!$C$9))),"",TRIM(SUBSTITUTE(SUBSTITUTE(INDEX('INPUT - Roster'!$S$1:$SV$206,$B87,Settings!$C$9+24)&amp;"",CHAR(10)," "),CHAR(160)," ")))</f>
        <v/>
      </c>
      <c r="AE87">
        <f>IF(OR($B87="",NOT(ISNUMBER(Settings!$C$9))),"",TRIM(SUBSTITUTE(SUBSTITUTE(INDEX('INPUT - Roster'!$S$1:$SV$206,$B87,Settings!$C$9+25)&amp;"",CHAR(10)," "),CHAR(160)," ")))</f>
        <v/>
      </c>
      <c r="AF87">
        <f>IF(OR($B87="",NOT(ISNUMBER(Settings!$C$9))),"",TRIM(SUBSTITUTE(SUBSTITUTE(INDEX('INPUT - Roster'!$S$1:$SV$206,$B87,Settings!$C$9+26)&amp;"",CHAR(10)," "),CHAR(160)," ")))</f>
        <v/>
      </c>
      <c r="AG87">
        <f>IF(OR($B87="",NOT(ISNUMBER(Settings!$C$9))),"",TRIM(SUBSTITUTE(SUBSTITUTE(INDEX('INPUT - Roster'!$S$1:$SV$206,$B87,Settings!$C$9+27)&amp;"",CHAR(10)," "),CHAR(160)," ")))</f>
        <v/>
      </c>
      <c r="AI87">
        <f>IF($B87="","",IF(F87="","Not rostered",IFERROR(INDEX(Settings!$C$14:$C$33,MATCH(F87,Settings!$B$14:$B$33,0)),IFERROR(LOOKUP(2^15,SEARCH(Settings!$I$14:$I$83,F87)/(Settings!$I$14:$I$83&lt;&gt;""),Settings!$J$14:$J$83),"Other"))))</f>
        <v/>
      </c>
      <c r="AJ87">
        <f>IF($B87="","",IF(G87="","Not rostered",IFERROR(INDEX(Settings!$C$14:$C$33,MATCH(G87,Settings!$B$14:$B$33,0)),IFERROR(LOOKUP(2^15,SEARCH(Settings!$I$14:$I$83,G87)/(Settings!$I$14:$I$83&lt;&gt;""),Settings!$J$14:$J$83),"Other"))))</f>
        <v/>
      </c>
      <c r="AK87">
        <f>IF($B87="","",IF(H87="","Not rostered",IFERROR(INDEX(Settings!$C$14:$C$33,MATCH(H87,Settings!$B$14:$B$33,0)),IFERROR(LOOKUP(2^15,SEARCH(Settings!$I$14:$I$83,H87)/(Settings!$I$14:$I$83&lt;&gt;""),Settings!$J$14:$J$83),"Other"))))</f>
        <v/>
      </c>
      <c r="AL87">
        <f>IF($B87="","",IF(I87="","Not rostered",IFERROR(INDEX(Settings!$C$14:$C$33,MATCH(I87,Settings!$B$14:$B$33,0)),IFERROR(LOOKUP(2^15,SEARCH(Settings!$I$14:$I$83,I87)/(Settings!$I$14:$I$83&lt;&gt;""),Settings!$J$14:$J$83),"Other"))))</f>
        <v/>
      </c>
      <c r="AM87">
        <f>IF($B87="","",IF(J87="","Not rostered",IFERROR(INDEX(Settings!$C$14:$C$33,MATCH(J87,Settings!$B$14:$B$33,0)),IFERROR(LOOKUP(2^15,SEARCH(Settings!$I$14:$I$83,J87)/(Settings!$I$14:$I$83&lt;&gt;""),Settings!$J$14:$J$83),"Other"))))</f>
        <v/>
      </c>
      <c r="AN87">
        <f>IF($B87="","",IF(K87="","Not rostered",IFERROR(INDEX(Settings!$C$14:$C$33,MATCH(K87,Settings!$B$14:$B$33,0)),IFERROR(LOOKUP(2^15,SEARCH(Settings!$I$14:$I$83,K87)/(Settings!$I$14:$I$83&lt;&gt;""),Settings!$J$14:$J$83),"Other"))))</f>
        <v/>
      </c>
      <c r="AO87">
        <f>IF($B87="","",IF(L87="","Not rostered",IFERROR(INDEX(Settings!$C$14:$C$33,MATCH(L87,Settings!$B$14:$B$33,0)),IFERROR(LOOKUP(2^15,SEARCH(Settings!$I$14:$I$83,L87)/(Settings!$I$14:$I$83&lt;&gt;""),Settings!$J$14:$J$83),"Other"))))</f>
        <v/>
      </c>
      <c r="AP87">
        <f>IF($B87="","",IF(M87="","Not rostered",IFERROR(INDEX(Settings!$C$14:$C$33,MATCH(M87,Settings!$B$14:$B$33,0)),IFERROR(LOOKUP(2^15,SEARCH(Settings!$I$14:$I$83,M87)/(Settings!$I$14:$I$83&lt;&gt;""),Settings!$J$14:$J$83),"Other"))))</f>
        <v/>
      </c>
      <c r="AQ87">
        <f>IF($B87="","",IF(N87="","Not rostered",IFERROR(INDEX(Settings!$C$14:$C$33,MATCH(N87,Settings!$B$14:$B$33,0)),IFERROR(LOOKUP(2^15,SEARCH(Settings!$I$14:$I$83,N87)/(Settings!$I$14:$I$83&lt;&gt;""),Settings!$J$14:$J$83),"Other"))))</f>
        <v/>
      </c>
      <c r="AR87">
        <f>IF($B87="","",IF(O87="","Not rostered",IFERROR(INDEX(Settings!$C$14:$C$33,MATCH(O87,Settings!$B$14:$B$33,0)),IFERROR(LOOKUP(2^15,SEARCH(Settings!$I$14:$I$83,O87)/(Settings!$I$14:$I$83&lt;&gt;""),Settings!$J$14:$J$83),"Other"))))</f>
        <v/>
      </c>
      <c r="AS87">
        <f>IF($B87="","",IF(P87="","Not rostered",IFERROR(INDEX(Settings!$C$14:$C$33,MATCH(P87,Settings!$B$14:$B$33,0)),IFERROR(LOOKUP(2^15,SEARCH(Settings!$I$14:$I$83,P87)/(Settings!$I$14:$I$83&lt;&gt;""),Settings!$J$14:$J$83),"Other"))))</f>
        <v/>
      </c>
      <c r="AT87">
        <f>IF($B87="","",IF(Q87="","Not rostered",IFERROR(INDEX(Settings!$C$14:$C$33,MATCH(Q87,Settings!$B$14:$B$33,0)),IFERROR(LOOKUP(2^15,SEARCH(Settings!$I$14:$I$83,Q87)/(Settings!$I$14:$I$83&lt;&gt;""),Settings!$J$14:$J$83),"Other"))))</f>
        <v/>
      </c>
      <c r="AU87">
        <f>IF($B87="","",IF(R87="","Not rostered",IFERROR(INDEX(Settings!$C$14:$C$33,MATCH(R87,Settings!$B$14:$B$33,0)),IFERROR(LOOKUP(2^15,SEARCH(Settings!$I$14:$I$83,R87)/(Settings!$I$14:$I$83&lt;&gt;""),Settings!$J$14:$J$83),"Other"))))</f>
        <v/>
      </c>
      <c r="AV87">
        <f>IF($B87="","",IF(S87="","Not rostered",IFERROR(INDEX(Settings!$C$14:$C$33,MATCH(S87,Settings!$B$14:$B$33,0)),IFERROR(LOOKUP(2^15,SEARCH(Settings!$I$14:$I$83,S87)/(Settings!$I$14:$I$83&lt;&gt;""),Settings!$J$14:$J$83),"Other"))))</f>
        <v/>
      </c>
      <c r="AW87">
        <f>IF($B87="","",IF(T87="","Not rostered",IFERROR(INDEX(Settings!$C$14:$C$33,MATCH(T87,Settings!$B$14:$B$33,0)),IFERROR(LOOKUP(2^15,SEARCH(Settings!$I$14:$I$83,T87)/(Settings!$I$14:$I$83&lt;&gt;""),Settings!$J$14:$J$83),"Other"))))</f>
        <v/>
      </c>
      <c r="AX87">
        <f>IF($B87="","",IF(U87="","Not rostered",IFERROR(INDEX(Settings!$C$14:$C$33,MATCH(U87,Settings!$B$14:$B$33,0)),IFERROR(LOOKUP(2^15,SEARCH(Settings!$I$14:$I$83,U87)/(Settings!$I$14:$I$83&lt;&gt;""),Settings!$J$14:$J$83),"Other"))))</f>
        <v/>
      </c>
      <c r="AY87">
        <f>IF($B87="","",IF(V87="","Not rostered",IFERROR(INDEX(Settings!$C$14:$C$33,MATCH(V87,Settings!$B$14:$B$33,0)),IFERROR(LOOKUP(2^15,SEARCH(Settings!$I$14:$I$83,V87)/(Settings!$I$14:$I$83&lt;&gt;""),Settings!$J$14:$J$83),"Other"))))</f>
        <v/>
      </c>
      <c r="AZ87">
        <f>IF($B87="","",IF(W87="","Not rostered",IFERROR(INDEX(Settings!$C$14:$C$33,MATCH(W87,Settings!$B$14:$B$33,0)),IFERROR(LOOKUP(2^15,SEARCH(Settings!$I$14:$I$83,W87)/(Settings!$I$14:$I$83&lt;&gt;""),Settings!$J$14:$J$83),"Other"))))</f>
        <v/>
      </c>
      <c r="BA87">
        <f>IF($B87="","",IF(X87="","Not rostered",IFERROR(INDEX(Settings!$C$14:$C$33,MATCH(X87,Settings!$B$14:$B$33,0)),IFERROR(LOOKUP(2^15,SEARCH(Settings!$I$14:$I$83,X87)/(Settings!$I$14:$I$83&lt;&gt;""),Settings!$J$14:$J$83),"Other"))))</f>
        <v/>
      </c>
      <c r="BB87">
        <f>IF($B87="","",IF(Y87="","Not rostered",IFERROR(INDEX(Settings!$C$14:$C$33,MATCH(Y87,Settings!$B$14:$B$33,0)),IFERROR(LOOKUP(2^15,SEARCH(Settings!$I$14:$I$83,Y87)/(Settings!$I$14:$I$83&lt;&gt;""),Settings!$J$14:$J$83),"Other"))))</f>
        <v/>
      </c>
      <c r="BC87">
        <f>IF($B87="","",IF(Z87="","Not rostered",IFERROR(INDEX(Settings!$C$14:$C$33,MATCH(Z87,Settings!$B$14:$B$33,0)),IFERROR(LOOKUP(2^15,SEARCH(Settings!$I$14:$I$83,Z87)/(Settings!$I$14:$I$83&lt;&gt;""),Settings!$J$14:$J$83),"Other"))))</f>
        <v/>
      </c>
      <c r="BD87">
        <f>IF($B87="","",IF(AA87="","Not rostered",IFERROR(INDEX(Settings!$C$14:$C$33,MATCH(AA87,Settings!$B$14:$B$33,0)),IFERROR(LOOKUP(2^15,SEARCH(Settings!$I$14:$I$83,AA87)/(Settings!$I$14:$I$83&lt;&gt;""),Settings!$J$14:$J$83),"Other"))))</f>
        <v/>
      </c>
      <c r="BE87">
        <f>IF($B87="","",IF(AB87="","Not rostered",IFERROR(INDEX(Settings!$C$14:$C$33,MATCH(AB87,Settings!$B$14:$B$33,0)),IFERROR(LOOKUP(2^15,SEARCH(Settings!$I$14:$I$83,AB87)/(Settings!$I$14:$I$83&lt;&gt;""),Settings!$J$14:$J$83),"Other"))))</f>
        <v/>
      </c>
      <c r="BF87">
        <f>IF($B87="","",IF(AC87="","Not rostered",IFERROR(INDEX(Settings!$C$14:$C$33,MATCH(AC87,Settings!$B$14:$B$33,0)),IFERROR(LOOKUP(2^15,SEARCH(Settings!$I$14:$I$83,AC87)/(Settings!$I$14:$I$83&lt;&gt;""),Settings!$J$14:$J$83),"Other"))))</f>
        <v/>
      </c>
      <c r="BG87">
        <f>IF($B87="","",IF(AD87="","Not rostered",IFERROR(INDEX(Settings!$C$14:$C$33,MATCH(AD87,Settings!$B$14:$B$33,0)),IFERROR(LOOKUP(2^15,SEARCH(Settings!$I$14:$I$83,AD87)/(Settings!$I$14:$I$83&lt;&gt;""),Settings!$J$14:$J$83),"Other"))))</f>
        <v/>
      </c>
      <c r="BH87">
        <f>IF($B87="","",IF(AE87="","Not rostered",IFERROR(INDEX(Settings!$C$14:$C$33,MATCH(AE87,Settings!$B$14:$B$33,0)),IFERROR(LOOKUP(2^15,SEARCH(Settings!$I$14:$I$83,AE87)/(Settings!$I$14:$I$83&lt;&gt;""),Settings!$J$14:$J$83),"Other"))))</f>
        <v/>
      </c>
      <c r="BI87">
        <f>IF($B87="","",IF(AF87="","Not rostered",IFERROR(INDEX(Settings!$C$14:$C$33,MATCH(AF87,Settings!$B$14:$B$33,0)),IFERROR(LOOKUP(2^15,SEARCH(Settings!$I$14:$I$83,AF87)/(Settings!$I$14:$I$83&lt;&gt;""),Settings!$J$14:$J$83),"Other"))))</f>
        <v/>
      </c>
      <c r="BJ87">
        <f>IF($B87="","",IF(AG87="","Not rostered",IFERROR(INDEX(Settings!$C$14:$C$33,MATCH(AG87,Settings!$B$14:$B$33,0)),IFERROR(LOOKUP(2^15,SEARCH(Settings!$I$14:$I$83,AG87)/(Settings!$I$14:$I$83&lt;&gt;""),Settings!$J$14:$J$83),"Other"))))</f>
        <v/>
      </c>
      <c r="BL87">
        <f>IF(OR($B87="",F87=""),"",IFERROR(INDEX(Settings!$D$14:$D$33,MATCH(F87,Settings!$B$14:$B$33,0))&amp;"",IFERROR(LOOKUP(2^15,SEARCH(Settings!$F$14:$F$43,F87)/(Settings!$F$14:$F$43&lt;&gt;""),Settings!$G$14:$G$43),"")))</f>
        <v/>
      </c>
      <c r="BM87">
        <f>IF(OR($B87="",G87=""),"",IFERROR(INDEX(Settings!$D$14:$D$33,MATCH(G87,Settings!$B$14:$B$33,0))&amp;"",IFERROR(LOOKUP(2^15,SEARCH(Settings!$F$14:$F$43,G87)/(Settings!$F$14:$F$43&lt;&gt;""),Settings!$G$14:$G$43),"")))</f>
        <v/>
      </c>
      <c r="BN87">
        <f>IF(OR($B87="",H87=""),"",IFERROR(INDEX(Settings!$D$14:$D$33,MATCH(H87,Settings!$B$14:$B$33,0))&amp;"",IFERROR(LOOKUP(2^15,SEARCH(Settings!$F$14:$F$43,H87)/(Settings!$F$14:$F$43&lt;&gt;""),Settings!$G$14:$G$43),"")))</f>
        <v/>
      </c>
      <c r="BO87">
        <f>IF(OR($B87="",I87=""),"",IFERROR(INDEX(Settings!$D$14:$D$33,MATCH(I87,Settings!$B$14:$B$33,0))&amp;"",IFERROR(LOOKUP(2^15,SEARCH(Settings!$F$14:$F$43,I87)/(Settings!$F$14:$F$43&lt;&gt;""),Settings!$G$14:$G$43),"")))</f>
        <v/>
      </c>
      <c r="BP87">
        <f>IF(OR($B87="",J87=""),"",IFERROR(INDEX(Settings!$D$14:$D$33,MATCH(J87,Settings!$B$14:$B$33,0))&amp;"",IFERROR(LOOKUP(2^15,SEARCH(Settings!$F$14:$F$43,J87)/(Settings!$F$14:$F$43&lt;&gt;""),Settings!$G$14:$G$43),"")))</f>
        <v/>
      </c>
      <c r="BQ87">
        <f>IF(OR($B87="",K87=""),"",IFERROR(INDEX(Settings!$D$14:$D$33,MATCH(K87,Settings!$B$14:$B$33,0))&amp;"",IFERROR(LOOKUP(2^15,SEARCH(Settings!$F$14:$F$43,K87)/(Settings!$F$14:$F$43&lt;&gt;""),Settings!$G$14:$G$43),"")))</f>
        <v/>
      </c>
      <c r="BR87">
        <f>IF(OR($B87="",L87=""),"",IFERROR(INDEX(Settings!$D$14:$D$33,MATCH(L87,Settings!$B$14:$B$33,0))&amp;"",IFERROR(LOOKUP(2^15,SEARCH(Settings!$F$14:$F$43,L87)/(Settings!$F$14:$F$43&lt;&gt;""),Settings!$G$14:$G$43),"")))</f>
        <v/>
      </c>
      <c r="BS87">
        <f>IF(OR($B87="",M87=""),"",IFERROR(INDEX(Settings!$D$14:$D$33,MATCH(M87,Settings!$B$14:$B$33,0))&amp;"",IFERROR(LOOKUP(2^15,SEARCH(Settings!$F$14:$F$43,M87)/(Settings!$F$14:$F$43&lt;&gt;""),Settings!$G$14:$G$43),"")))</f>
        <v/>
      </c>
      <c r="BT87">
        <f>IF(OR($B87="",N87=""),"",IFERROR(INDEX(Settings!$D$14:$D$33,MATCH(N87,Settings!$B$14:$B$33,0))&amp;"",IFERROR(LOOKUP(2^15,SEARCH(Settings!$F$14:$F$43,N87)/(Settings!$F$14:$F$43&lt;&gt;""),Settings!$G$14:$G$43),"")))</f>
        <v/>
      </c>
      <c r="BU87">
        <f>IF(OR($B87="",O87=""),"",IFERROR(INDEX(Settings!$D$14:$D$33,MATCH(O87,Settings!$B$14:$B$33,0))&amp;"",IFERROR(LOOKUP(2^15,SEARCH(Settings!$F$14:$F$43,O87)/(Settings!$F$14:$F$43&lt;&gt;""),Settings!$G$14:$G$43),"")))</f>
        <v/>
      </c>
      <c r="BV87">
        <f>IF(OR($B87="",P87=""),"",IFERROR(INDEX(Settings!$D$14:$D$33,MATCH(P87,Settings!$B$14:$B$33,0))&amp;"",IFERROR(LOOKUP(2^15,SEARCH(Settings!$F$14:$F$43,P87)/(Settings!$F$14:$F$43&lt;&gt;""),Settings!$G$14:$G$43),"")))</f>
        <v/>
      </c>
      <c r="BW87">
        <f>IF(OR($B87="",Q87=""),"",IFERROR(INDEX(Settings!$D$14:$D$33,MATCH(Q87,Settings!$B$14:$B$33,0))&amp;"",IFERROR(LOOKUP(2^15,SEARCH(Settings!$F$14:$F$43,Q87)/(Settings!$F$14:$F$43&lt;&gt;""),Settings!$G$14:$G$43),"")))</f>
        <v/>
      </c>
      <c r="BX87">
        <f>IF(OR($B87="",R87=""),"",IFERROR(INDEX(Settings!$D$14:$D$33,MATCH(R87,Settings!$B$14:$B$33,0))&amp;"",IFERROR(LOOKUP(2^15,SEARCH(Settings!$F$14:$F$43,R87)/(Settings!$F$14:$F$43&lt;&gt;""),Settings!$G$14:$G$43),"")))</f>
        <v/>
      </c>
      <c r="BY87">
        <f>IF(OR($B87="",S87=""),"",IFERROR(INDEX(Settings!$D$14:$D$33,MATCH(S87,Settings!$B$14:$B$33,0))&amp;"",IFERROR(LOOKUP(2^15,SEARCH(Settings!$F$14:$F$43,S87)/(Settings!$F$14:$F$43&lt;&gt;""),Settings!$G$14:$G$43),"")))</f>
        <v/>
      </c>
      <c r="BZ87">
        <f>IF(OR($B87="",T87=""),"",IFERROR(INDEX(Settings!$D$14:$D$33,MATCH(T87,Settings!$B$14:$B$33,0))&amp;"",IFERROR(LOOKUP(2^15,SEARCH(Settings!$F$14:$F$43,T87)/(Settings!$F$14:$F$43&lt;&gt;""),Settings!$G$14:$G$43),"")))</f>
        <v/>
      </c>
      <c r="CA87">
        <f>IF(OR($B87="",U87=""),"",IFERROR(INDEX(Settings!$D$14:$D$33,MATCH(U87,Settings!$B$14:$B$33,0))&amp;"",IFERROR(LOOKUP(2^15,SEARCH(Settings!$F$14:$F$43,U87)/(Settings!$F$14:$F$43&lt;&gt;""),Settings!$G$14:$G$43),"")))</f>
        <v/>
      </c>
      <c r="CB87">
        <f>IF(OR($B87="",V87=""),"",IFERROR(INDEX(Settings!$D$14:$D$33,MATCH(V87,Settings!$B$14:$B$33,0))&amp;"",IFERROR(LOOKUP(2^15,SEARCH(Settings!$F$14:$F$43,V87)/(Settings!$F$14:$F$43&lt;&gt;""),Settings!$G$14:$G$43),"")))</f>
        <v/>
      </c>
      <c r="CC87">
        <f>IF(OR($B87="",W87=""),"",IFERROR(INDEX(Settings!$D$14:$D$33,MATCH(W87,Settings!$B$14:$B$33,0))&amp;"",IFERROR(LOOKUP(2^15,SEARCH(Settings!$F$14:$F$43,W87)/(Settings!$F$14:$F$43&lt;&gt;""),Settings!$G$14:$G$43),"")))</f>
        <v/>
      </c>
      <c r="CD87">
        <f>IF(OR($B87="",X87=""),"",IFERROR(INDEX(Settings!$D$14:$D$33,MATCH(X87,Settings!$B$14:$B$33,0))&amp;"",IFERROR(LOOKUP(2^15,SEARCH(Settings!$F$14:$F$43,X87)/(Settings!$F$14:$F$43&lt;&gt;""),Settings!$G$14:$G$43),"")))</f>
        <v/>
      </c>
      <c r="CE87">
        <f>IF(OR($B87="",Y87=""),"",IFERROR(INDEX(Settings!$D$14:$D$33,MATCH(Y87,Settings!$B$14:$B$33,0))&amp;"",IFERROR(LOOKUP(2^15,SEARCH(Settings!$F$14:$F$43,Y87)/(Settings!$F$14:$F$43&lt;&gt;""),Settings!$G$14:$G$43),"")))</f>
        <v/>
      </c>
      <c r="CF87">
        <f>IF(OR($B87="",Z87=""),"",IFERROR(INDEX(Settings!$D$14:$D$33,MATCH(Z87,Settings!$B$14:$B$33,0))&amp;"",IFERROR(LOOKUP(2^15,SEARCH(Settings!$F$14:$F$43,Z87)/(Settings!$F$14:$F$43&lt;&gt;""),Settings!$G$14:$G$43),"")))</f>
        <v/>
      </c>
      <c r="CG87">
        <f>IF(OR($B87="",AA87=""),"",IFERROR(INDEX(Settings!$D$14:$D$33,MATCH(AA87,Settings!$B$14:$B$33,0))&amp;"",IFERROR(LOOKUP(2^15,SEARCH(Settings!$F$14:$F$43,AA87)/(Settings!$F$14:$F$43&lt;&gt;""),Settings!$G$14:$G$43),"")))</f>
        <v/>
      </c>
      <c r="CH87">
        <f>IF(OR($B87="",AB87=""),"",IFERROR(INDEX(Settings!$D$14:$D$33,MATCH(AB87,Settings!$B$14:$B$33,0))&amp;"",IFERROR(LOOKUP(2^15,SEARCH(Settings!$F$14:$F$43,AB87)/(Settings!$F$14:$F$43&lt;&gt;""),Settings!$G$14:$G$43),"")))</f>
        <v/>
      </c>
      <c r="CI87">
        <f>IF(OR($B87="",AC87=""),"",IFERROR(INDEX(Settings!$D$14:$D$33,MATCH(AC87,Settings!$B$14:$B$33,0))&amp;"",IFERROR(LOOKUP(2^15,SEARCH(Settings!$F$14:$F$43,AC87)/(Settings!$F$14:$F$43&lt;&gt;""),Settings!$G$14:$G$43),"")))</f>
        <v/>
      </c>
      <c r="CJ87">
        <f>IF(OR($B87="",AD87=""),"",IFERROR(INDEX(Settings!$D$14:$D$33,MATCH(AD87,Settings!$B$14:$B$33,0))&amp;"",IFERROR(LOOKUP(2^15,SEARCH(Settings!$F$14:$F$43,AD87)/(Settings!$F$14:$F$43&lt;&gt;""),Settings!$G$14:$G$43),"")))</f>
        <v/>
      </c>
      <c r="CK87">
        <f>IF(OR($B87="",AE87=""),"",IFERROR(INDEX(Settings!$D$14:$D$33,MATCH(AE87,Settings!$B$14:$B$33,0))&amp;"",IFERROR(LOOKUP(2^15,SEARCH(Settings!$F$14:$F$43,AE87)/(Settings!$F$14:$F$43&lt;&gt;""),Settings!$G$14:$G$43),"")))</f>
        <v/>
      </c>
      <c r="CL87">
        <f>IF(OR($B87="",AF87=""),"",IFERROR(INDEX(Settings!$D$14:$D$33,MATCH(AF87,Settings!$B$14:$B$33,0))&amp;"",IFERROR(LOOKUP(2^15,SEARCH(Settings!$F$14:$F$43,AF87)/(Settings!$F$14:$F$43&lt;&gt;""),Settings!$G$14:$G$43),"")))</f>
        <v/>
      </c>
      <c r="CM87">
        <f>IF(OR($B87="",AG87=""),"",IFERROR(INDEX(Settings!$D$14:$D$33,MATCH(AG87,Settings!$B$14:$B$33,0))&amp;"",IFERROR(LOOKUP(2^15,SEARCH(Settings!$F$14:$F$43,AG87)/(Settings!$F$14:$F$43&lt;&gt;""),Settings!$G$14:$G$43),"")))</f>
        <v/>
      </c>
    </row>
    <row r="88">
      <c r="A88" t="n">
        <v>86</v>
      </c>
      <c r="B88">
        <f>IFERROR(INDEX(Index!$A$2:$A$202,MATCH(A88,Index!$E$2:$E$202,0)),"")</f>
        <v/>
      </c>
      <c r="D88">
        <f>IF($B88="","",IFERROR(MATCH("Travel*",AI88:BJ88,0),""))</f>
        <v/>
      </c>
      <c r="F88">
        <f>IF(OR($B88="",NOT(ISNUMBER(Settings!$C$9))),"",TRIM(SUBSTITUTE(SUBSTITUTE(INDEX('INPUT - Roster'!$S$1:$SV$206,$B88,Settings!$C$9+0)&amp;"",CHAR(10)," "),CHAR(160)," ")))</f>
        <v/>
      </c>
      <c r="G88">
        <f>IF(OR($B88="",NOT(ISNUMBER(Settings!$C$9))),"",TRIM(SUBSTITUTE(SUBSTITUTE(INDEX('INPUT - Roster'!$S$1:$SV$206,$B88,Settings!$C$9+1)&amp;"",CHAR(10)," "),CHAR(160)," ")))</f>
        <v/>
      </c>
      <c r="H88">
        <f>IF(OR($B88="",NOT(ISNUMBER(Settings!$C$9))),"",TRIM(SUBSTITUTE(SUBSTITUTE(INDEX('INPUT - Roster'!$S$1:$SV$206,$B88,Settings!$C$9+2)&amp;"",CHAR(10)," "),CHAR(160)," ")))</f>
        <v/>
      </c>
      <c r="I88">
        <f>IF(OR($B88="",NOT(ISNUMBER(Settings!$C$9))),"",TRIM(SUBSTITUTE(SUBSTITUTE(INDEX('INPUT - Roster'!$S$1:$SV$206,$B88,Settings!$C$9+3)&amp;"",CHAR(10)," "),CHAR(160)," ")))</f>
        <v/>
      </c>
      <c r="J88">
        <f>IF(OR($B88="",NOT(ISNUMBER(Settings!$C$9))),"",TRIM(SUBSTITUTE(SUBSTITUTE(INDEX('INPUT - Roster'!$S$1:$SV$206,$B88,Settings!$C$9+4)&amp;"",CHAR(10)," "),CHAR(160)," ")))</f>
        <v/>
      </c>
      <c r="K88">
        <f>IF(OR($B88="",NOT(ISNUMBER(Settings!$C$9))),"",TRIM(SUBSTITUTE(SUBSTITUTE(INDEX('INPUT - Roster'!$S$1:$SV$206,$B88,Settings!$C$9+5)&amp;"",CHAR(10)," "),CHAR(160)," ")))</f>
        <v/>
      </c>
      <c r="L88">
        <f>IF(OR($B88="",NOT(ISNUMBER(Settings!$C$9))),"",TRIM(SUBSTITUTE(SUBSTITUTE(INDEX('INPUT - Roster'!$S$1:$SV$206,$B88,Settings!$C$9+6)&amp;"",CHAR(10)," "),CHAR(160)," ")))</f>
        <v/>
      </c>
      <c r="M88">
        <f>IF(OR($B88="",NOT(ISNUMBER(Settings!$C$9))),"",TRIM(SUBSTITUTE(SUBSTITUTE(INDEX('INPUT - Roster'!$S$1:$SV$206,$B88,Settings!$C$9+7)&amp;"",CHAR(10)," "),CHAR(160)," ")))</f>
        <v/>
      </c>
      <c r="N88">
        <f>IF(OR($B88="",NOT(ISNUMBER(Settings!$C$9))),"",TRIM(SUBSTITUTE(SUBSTITUTE(INDEX('INPUT - Roster'!$S$1:$SV$206,$B88,Settings!$C$9+8)&amp;"",CHAR(10)," "),CHAR(160)," ")))</f>
        <v/>
      </c>
      <c r="O88">
        <f>IF(OR($B88="",NOT(ISNUMBER(Settings!$C$9))),"",TRIM(SUBSTITUTE(SUBSTITUTE(INDEX('INPUT - Roster'!$S$1:$SV$206,$B88,Settings!$C$9+9)&amp;"",CHAR(10)," "),CHAR(160)," ")))</f>
        <v/>
      </c>
      <c r="P88">
        <f>IF(OR($B88="",NOT(ISNUMBER(Settings!$C$9))),"",TRIM(SUBSTITUTE(SUBSTITUTE(INDEX('INPUT - Roster'!$S$1:$SV$206,$B88,Settings!$C$9+10)&amp;"",CHAR(10)," "),CHAR(160)," ")))</f>
        <v/>
      </c>
      <c r="Q88">
        <f>IF(OR($B88="",NOT(ISNUMBER(Settings!$C$9))),"",TRIM(SUBSTITUTE(SUBSTITUTE(INDEX('INPUT - Roster'!$S$1:$SV$206,$B88,Settings!$C$9+11)&amp;"",CHAR(10)," "),CHAR(160)," ")))</f>
        <v/>
      </c>
      <c r="R88">
        <f>IF(OR($B88="",NOT(ISNUMBER(Settings!$C$9))),"",TRIM(SUBSTITUTE(SUBSTITUTE(INDEX('INPUT - Roster'!$S$1:$SV$206,$B88,Settings!$C$9+12)&amp;"",CHAR(10)," "),CHAR(160)," ")))</f>
        <v/>
      </c>
      <c r="S88">
        <f>IF(OR($B88="",NOT(ISNUMBER(Settings!$C$9))),"",TRIM(SUBSTITUTE(SUBSTITUTE(INDEX('INPUT - Roster'!$S$1:$SV$206,$B88,Settings!$C$9+13)&amp;"",CHAR(10)," "),CHAR(160)," ")))</f>
        <v/>
      </c>
      <c r="T88">
        <f>IF(OR($B88="",NOT(ISNUMBER(Settings!$C$9))),"",TRIM(SUBSTITUTE(SUBSTITUTE(INDEX('INPUT - Roster'!$S$1:$SV$206,$B88,Settings!$C$9+14)&amp;"",CHAR(10)," "),CHAR(160)," ")))</f>
        <v/>
      </c>
      <c r="U88">
        <f>IF(OR($B88="",NOT(ISNUMBER(Settings!$C$9))),"",TRIM(SUBSTITUTE(SUBSTITUTE(INDEX('INPUT - Roster'!$S$1:$SV$206,$B88,Settings!$C$9+15)&amp;"",CHAR(10)," "),CHAR(160)," ")))</f>
        <v/>
      </c>
      <c r="V88">
        <f>IF(OR($B88="",NOT(ISNUMBER(Settings!$C$9))),"",TRIM(SUBSTITUTE(SUBSTITUTE(INDEX('INPUT - Roster'!$S$1:$SV$206,$B88,Settings!$C$9+16)&amp;"",CHAR(10)," "),CHAR(160)," ")))</f>
        <v/>
      </c>
      <c r="W88">
        <f>IF(OR($B88="",NOT(ISNUMBER(Settings!$C$9))),"",TRIM(SUBSTITUTE(SUBSTITUTE(INDEX('INPUT - Roster'!$S$1:$SV$206,$B88,Settings!$C$9+17)&amp;"",CHAR(10)," "),CHAR(160)," ")))</f>
        <v/>
      </c>
      <c r="X88">
        <f>IF(OR($B88="",NOT(ISNUMBER(Settings!$C$9))),"",TRIM(SUBSTITUTE(SUBSTITUTE(INDEX('INPUT - Roster'!$S$1:$SV$206,$B88,Settings!$C$9+18)&amp;"",CHAR(10)," "),CHAR(160)," ")))</f>
        <v/>
      </c>
      <c r="Y88">
        <f>IF(OR($B88="",NOT(ISNUMBER(Settings!$C$9))),"",TRIM(SUBSTITUTE(SUBSTITUTE(INDEX('INPUT - Roster'!$S$1:$SV$206,$B88,Settings!$C$9+19)&amp;"",CHAR(10)," "),CHAR(160)," ")))</f>
        <v/>
      </c>
      <c r="Z88">
        <f>IF(OR($B88="",NOT(ISNUMBER(Settings!$C$9))),"",TRIM(SUBSTITUTE(SUBSTITUTE(INDEX('INPUT - Roster'!$S$1:$SV$206,$B88,Settings!$C$9+20)&amp;"",CHAR(10)," "),CHAR(160)," ")))</f>
        <v/>
      </c>
      <c r="AA88">
        <f>IF(OR($B88="",NOT(ISNUMBER(Settings!$C$9))),"",TRIM(SUBSTITUTE(SUBSTITUTE(INDEX('INPUT - Roster'!$S$1:$SV$206,$B88,Settings!$C$9+21)&amp;"",CHAR(10)," "),CHAR(160)," ")))</f>
        <v/>
      </c>
      <c r="AB88">
        <f>IF(OR($B88="",NOT(ISNUMBER(Settings!$C$9))),"",TRIM(SUBSTITUTE(SUBSTITUTE(INDEX('INPUT - Roster'!$S$1:$SV$206,$B88,Settings!$C$9+22)&amp;"",CHAR(10)," "),CHAR(160)," ")))</f>
        <v/>
      </c>
      <c r="AC88">
        <f>IF(OR($B88="",NOT(ISNUMBER(Settings!$C$9))),"",TRIM(SUBSTITUTE(SUBSTITUTE(INDEX('INPUT - Roster'!$S$1:$SV$206,$B88,Settings!$C$9+23)&amp;"",CHAR(10)," "),CHAR(160)," ")))</f>
        <v/>
      </c>
      <c r="AD88">
        <f>IF(OR($B88="",NOT(ISNUMBER(Settings!$C$9))),"",TRIM(SUBSTITUTE(SUBSTITUTE(INDEX('INPUT - Roster'!$S$1:$SV$206,$B88,Settings!$C$9+24)&amp;"",CHAR(10)," "),CHAR(160)," ")))</f>
        <v/>
      </c>
      <c r="AE88">
        <f>IF(OR($B88="",NOT(ISNUMBER(Settings!$C$9))),"",TRIM(SUBSTITUTE(SUBSTITUTE(INDEX('INPUT - Roster'!$S$1:$SV$206,$B88,Settings!$C$9+25)&amp;"",CHAR(10)," "),CHAR(160)," ")))</f>
        <v/>
      </c>
      <c r="AF88">
        <f>IF(OR($B88="",NOT(ISNUMBER(Settings!$C$9))),"",TRIM(SUBSTITUTE(SUBSTITUTE(INDEX('INPUT - Roster'!$S$1:$SV$206,$B88,Settings!$C$9+26)&amp;"",CHAR(10)," "),CHAR(160)," ")))</f>
        <v/>
      </c>
      <c r="AG88">
        <f>IF(OR($B88="",NOT(ISNUMBER(Settings!$C$9))),"",TRIM(SUBSTITUTE(SUBSTITUTE(INDEX('INPUT - Roster'!$S$1:$SV$206,$B88,Settings!$C$9+27)&amp;"",CHAR(10)," "),CHAR(160)," ")))</f>
        <v/>
      </c>
      <c r="AI88">
        <f>IF($B88="","",IF(F88="","Not rostered",IFERROR(INDEX(Settings!$C$14:$C$33,MATCH(F88,Settings!$B$14:$B$33,0)),IFERROR(LOOKUP(2^15,SEARCH(Settings!$I$14:$I$83,F88)/(Settings!$I$14:$I$83&lt;&gt;""),Settings!$J$14:$J$83),"Other"))))</f>
        <v/>
      </c>
      <c r="AJ88">
        <f>IF($B88="","",IF(G88="","Not rostered",IFERROR(INDEX(Settings!$C$14:$C$33,MATCH(G88,Settings!$B$14:$B$33,0)),IFERROR(LOOKUP(2^15,SEARCH(Settings!$I$14:$I$83,G88)/(Settings!$I$14:$I$83&lt;&gt;""),Settings!$J$14:$J$83),"Other"))))</f>
        <v/>
      </c>
      <c r="AK88">
        <f>IF($B88="","",IF(H88="","Not rostered",IFERROR(INDEX(Settings!$C$14:$C$33,MATCH(H88,Settings!$B$14:$B$33,0)),IFERROR(LOOKUP(2^15,SEARCH(Settings!$I$14:$I$83,H88)/(Settings!$I$14:$I$83&lt;&gt;""),Settings!$J$14:$J$83),"Other"))))</f>
        <v/>
      </c>
      <c r="AL88">
        <f>IF($B88="","",IF(I88="","Not rostered",IFERROR(INDEX(Settings!$C$14:$C$33,MATCH(I88,Settings!$B$14:$B$33,0)),IFERROR(LOOKUP(2^15,SEARCH(Settings!$I$14:$I$83,I88)/(Settings!$I$14:$I$83&lt;&gt;""),Settings!$J$14:$J$83),"Other"))))</f>
        <v/>
      </c>
      <c r="AM88">
        <f>IF($B88="","",IF(J88="","Not rostered",IFERROR(INDEX(Settings!$C$14:$C$33,MATCH(J88,Settings!$B$14:$B$33,0)),IFERROR(LOOKUP(2^15,SEARCH(Settings!$I$14:$I$83,J88)/(Settings!$I$14:$I$83&lt;&gt;""),Settings!$J$14:$J$83),"Other"))))</f>
        <v/>
      </c>
      <c r="AN88">
        <f>IF($B88="","",IF(K88="","Not rostered",IFERROR(INDEX(Settings!$C$14:$C$33,MATCH(K88,Settings!$B$14:$B$33,0)),IFERROR(LOOKUP(2^15,SEARCH(Settings!$I$14:$I$83,K88)/(Settings!$I$14:$I$83&lt;&gt;""),Settings!$J$14:$J$83),"Other"))))</f>
        <v/>
      </c>
      <c r="AO88">
        <f>IF($B88="","",IF(L88="","Not rostered",IFERROR(INDEX(Settings!$C$14:$C$33,MATCH(L88,Settings!$B$14:$B$33,0)),IFERROR(LOOKUP(2^15,SEARCH(Settings!$I$14:$I$83,L88)/(Settings!$I$14:$I$83&lt;&gt;""),Settings!$J$14:$J$83),"Other"))))</f>
        <v/>
      </c>
      <c r="AP88">
        <f>IF($B88="","",IF(M88="","Not rostered",IFERROR(INDEX(Settings!$C$14:$C$33,MATCH(M88,Settings!$B$14:$B$33,0)),IFERROR(LOOKUP(2^15,SEARCH(Settings!$I$14:$I$83,M88)/(Settings!$I$14:$I$83&lt;&gt;""),Settings!$J$14:$J$83),"Other"))))</f>
        <v/>
      </c>
      <c r="AQ88">
        <f>IF($B88="","",IF(N88="","Not rostered",IFERROR(INDEX(Settings!$C$14:$C$33,MATCH(N88,Settings!$B$14:$B$33,0)),IFERROR(LOOKUP(2^15,SEARCH(Settings!$I$14:$I$83,N88)/(Settings!$I$14:$I$83&lt;&gt;""),Settings!$J$14:$J$83),"Other"))))</f>
        <v/>
      </c>
      <c r="AR88">
        <f>IF($B88="","",IF(O88="","Not rostered",IFERROR(INDEX(Settings!$C$14:$C$33,MATCH(O88,Settings!$B$14:$B$33,0)),IFERROR(LOOKUP(2^15,SEARCH(Settings!$I$14:$I$83,O88)/(Settings!$I$14:$I$83&lt;&gt;""),Settings!$J$14:$J$83),"Other"))))</f>
        <v/>
      </c>
      <c r="AS88">
        <f>IF($B88="","",IF(P88="","Not rostered",IFERROR(INDEX(Settings!$C$14:$C$33,MATCH(P88,Settings!$B$14:$B$33,0)),IFERROR(LOOKUP(2^15,SEARCH(Settings!$I$14:$I$83,P88)/(Settings!$I$14:$I$83&lt;&gt;""),Settings!$J$14:$J$83),"Other"))))</f>
        <v/>
      </c>
      <c r="AT88">
        <f>IF($B88="","",IF(Q88="","Not rostered",IFERROR(INDEX(Settings!$C$14:$C$33,MATCH(Q88,Settings!$B$14:$B$33,0)),IFERROR(LOOKUP(2^15,SEARCH(Settings!$I$14:$I$83,Q88)/(Settings!$I$14:$I$83&lt;&gt;""),Settings!$J$14:$J$83),"Other"))))</f>
        <v/>
      </c>
      <c r="AU88">
        <f>IF($B88="","",IF(R88="","Not rostered",IFERROR(INDEX(Settings!$C$14:$C$33,MATCH(R88,Settings!$B$14:$B$33,0)),IFERROR(LOOKUP(2^15,SEARCH(Settings!$I$14:$I$83,R88)/(Settings!$I$14:$I$83&lt;&gt;""),Settings!$J$14:$J$83),"Other"))))</f>
        <v/>
      </c>
      <c r="AV88">
        <f>IF($B88="","",IF(S88="","Not rostered",IFERROR(INDEX(Settings!$C$14:$C$33,MATCH(S88,Settings!$B$14:$B$33,0)),IFERROR(LOOKUP(2^15,SEARCH(Settings!$I$14:$I$83,S88)/(Settings!$I$14:$I$83&lt;&gt;""),Settings!$J$14:$J$83),"Other"))))</f>
        <v/>
      </c>
      <c r="AW88">
        <f>IF($B88="","",IF(T88="","Not rostered",IFERROR(INDEX(Settings!$C$14:$C$33,MATCH(T88,Settings!$B$14:$B$33,0)),IFERROR(LOOKUP(2^15,SEARCH(Settings!$I$14:$I$83,T88)/(Settings!$I$14:$I$83&lt;&gt;""),Settings!$J$14:$J$83),"Other"))))</f>
        <v/>
      </c>
      <c r="AX88">
        <f>IF($B88="","",IF(U88="","Not rostered",IFERROR(INDEX(Settings!$C$14:$C$33,MATCH(U88,Settings!$B$14:$B$33,0)),IFERROR(LOOKUP(2^15,SEARCH(Settings!$I$14:$I$83,U88)/(Settings!$I$14:$I$83&lt;&gt;""),Settings!$J$14:$J$83),"Other"))))</f>
        <v/>
      </c>
      <c r="AY88">
        <f>IF($B88="","",IF(V88="","Not rostered",IFERROR(INDEX(Settings!$C$14:$C$33,MATCH(V88,Settings!$B$14:$B$33,0)),IFERROR(LOOKUP(2^15,SEARCH(Settings!$I$14:$I$83,V88)/(Settings!$I$14:$I$83&lt;&gt;""),Settings!$J$14:$J$83),"Other"))))</f>
        <v/>
      </c>
      <c r="AZ88">
        <f>IF($B88="","",IF(W88="","Not rostered",IFERROR(INDEX(Settings!$C$14:$C$33,MATCH(W88,Settings!$B$14:$B$33,0)),IFERROR(LOOKUP(2^15,SEARCH(Settings!$I$14:$I$83,W88)/(Settings!$I$14:$I$83&lt;&gt;""),Settings!$J$14:$J$83),"Other"))))</f>
        <v/>
      </c>
      <c r="BA88">
        <f>IF($B88="","",IF(X88="","Not rostered",IFERROR(INDEX(Settings!$C$14:$C$33,MATCH(X88,Settings!$B$14:$B$33,0)),IFERROR(LOOKUP(2^15,SEARCH(Settings!$I$14:$I$83,X88)/(Settings!$I$14:$I$83&lt;&gt;""),Settings!$J$14:$J$83),"Other"))))</f>
        <v/>
      </c>
      <c r="BB88">
        <f>IF($B88="","",IF(Y88="","Not rostered",IFERROR(INDEX(Settings!$C$14:$C$33,MATCH(Y88,Settings!$B$14:$B$33,0)),IFERROR(LOOKUP(2^15,SEARCH(Settings!$I$14:$I$83,Y88)/(Settings!$I$14:$I$83&lt;&gt;""),Settings!$J$14:$J$83),"Other"))))</f>
        <v/>
      </c>
      <c r="BC88">
        <f>IF($B88="","",IF(Z88="","Not rostered",IFERROR(INDEX(Settings!$C$14:$C$33,MATCH(Z88,Settings!$B$14:$B$33,0)),IFERROR(LOOKUP(2^15,SEARCH(Settings!$I$14:$I$83,Z88)/(Settings!$I$14:$I$83&lt;&gt;""),Settings!$J$14:$J$83),"Other"))))</f>
        <v/>
      </c>
      <c r="BD88">
        <f>IF($B88="","",IF(AA88="","Not rostered",IFERROR(INDEX(Settings!$C$14:$C$33,MATCH(AA88,Settings!$B$14:$B$33,0)),IFERROR(LOOKUP(2^15,SEARCH(Settings!$I$14:$I$83,AA88)/(Settings!$I$14:$I$83&lt;&gt;""),Settings!$J$14:$J$83),"Other"))))</f>
        <v/>
      </c>
      <c r="BE88">
        <f>IF($B88="","",IF(AB88="","Not rostered",IFERROR(INDEX(Settings!$C$14:$C$33,MATCH(AB88,Settings!$B$14:$B$33,0)),IFERROR(LOOKUP(2^15,SEARCH(Settings!$I$14:$I$83,AB88)/(Settings!$I$14:$I$83&lt;&gt;""),Settings!$J$14:$J$83),"Other"))))</f>
        <v/>
      </c>
      <c r="BF88">
        <f>IF($B88="","",IF(AC88="","Not rostered",IFERROR(INDEX(Settings!$C$14:$C$33,MATCH(AC88,Settings!$B$14:$B$33,0)),IFERROR(LOOKUP(2^15,SEARCH(Settings!$I$14:$I$83,AC88)/(Settings!$I$14:$I$83&lt;&gt;""),Settings!$J$14:$J$83),"Other"))))</f>
        <v/>
      </c>
      <c r="BG88">
        <f>IF($B88="","",IF(AD88="","Not rostered",IFERROR(INDEX(Settings!$C$14:$C$33,MATCH(AD88,Settings!$B$14:$B$33,0)),IFERROR(LOOKUP(2^15,SEARCH(Settings!$I$14:$I$83,AD88)/(Settings!$I$14:$I$83&lt;&gt;""),Settings!$J$14:$J$83),"Other"))))</f>
        <v/>
      </c>
      <c r="BH88">
        <f>IF($B88="","",IF(AE88="","Not rostered",IFERROR(INDEX(Settings!$C$14:$C$33,MATCH(AE88,Settings!$B$14:$B$33,0)),IFERROR(LOOKUP(2^15,SEARCH(Settings!$I$14:$I$83,AE88)/(Settings!$I$14:$I$83&lt;&gt;""),Settings!$J$14:$J$83),"Other"))))</f>
        <v/>
      </c>
      <c r="BI88">
        <f>IF($B88="","",IF(AF88="","Not rostered",IFERROR(INDEX(Settings!$C$14:$C$33,MATCH(AF88,Settings!$B$14:$B$33,0)),IFERROR(LOOKUP(2^15,SEARCH(Settings!$I$14:$I$83,AF88)/(Settings!$I$14:$I$83&lt;&gt;""),Settings!$J$14:$J$83),"Other"))))</f>
        <v/>
      </c>
      <c r="BJ88">
        <f>IF($B88="","",IF(AG88="","Not rostered",IFERROR(INDEX(Settings!$C$14:$C$33,MATCH(AG88,Settings!$B$14:$B$33,0)),IFERROR(LOOKUP(2^15,SEARCH(Settings!$I$14:$I$83,AG88)/(Settings!$I$14:$I$83&lt;&gt;""),Settings!$J$14:$J$83),"Other"))))</f>
        <v/>
      </c>
      <c r="BL88">
        <f>IF(OR($B88="",F88=""),"",IFERROR(INDEX(Settings!$D$14:$D$33,MATCH(F88,Settings!$B$14:$B$33,0))&amp;"",IFERROR(LOOKUP(2^15,SEARCH(Settings!$F$14:$F$43,F88)/(Settings!$F$14:$F$43&lt;&gt;""),Settings!$G$14:$G$43),"")))</f>
        <v/>
      </c>
      <c r="BM88">
        <f>IF(OR($B88="",G88=""),"",IFERROR(INDEX(Settings!$D$14:$D$33,MATCH(G88,Settings!$B$14:$B$33,0))&amp;"",IFERROR(LOOKUP(2^15,SEARCH(Settings!$F$14:$F$43,G88)/(Settings!$F$14:$F$43&lt;&gt;""),Settings!$G$14:$G$43),"")))</f>
        <v/>
      </c>
      <c r="BN88">
        <f>IF(OR($B88="",H88=""),"",IFERROR(INDEX(Settings!$D$14:$D$33,MATCH(H88,Settings!$B$14:$B$33,0))&amp;"",IFERROR(LOOKUP(2^15,SEARCH(Settings!$F$14:$F$43,H88)/(Settings!$F$14:$F$43&lt;&gt;""),Settings!$G$14:$G$43),"")))</f>
        <v/>
      </c>
      <c r="BO88">
        <f>IF(OR($B88="",I88=""),"",IFERROR(INDEX(Settings!$D$14:$D$33,MATCH(I88,Settings!$B$14:$B$33,0))&amp;"",IFERROR(LOOKUP(2^15,SEARCH(Settings!$F$14:$F$43,I88)/(Settings!$F$14:$F$43&lt;&gt;""),Settings!$G$14:$G$43),"")))</f>
        <v/>
      </c>
      <c r="BP88">
        <f>IF(OR($B88="",J88=""),"",IFERROR(INDEX(Settings!$D$14:$D$33,MATCH(J88,Settings!$B$14:$B$33,0))&amp;"",IFERROR(LOOKUP(2^15,SEARCH(Settings!$F$14:$F$43,J88)/(Settings!$F$14:$F$43&lt;&gt;""),Settings!$G$14:$G$43),"")))</f>
        <v/>
      </c>
      <c r="BQ88">
        <f>IF(OR($B88="",K88=""),"",IFERROR(INDEX(Settings!$D$14:$D$33,MATCH(K88,Settings!$B$14:$B$33,0))&amp;"",IFERROR(LOOKUP(2^15,SEARCH(Settings!$F$14:$F$43,K88)/(Settings!$F$14:$F$43&lt;&gt;""),Settings!$G$14:$G$43),"")))</f>
        <v/>
      </c>
      <c r="BR88">
        <f>IF(OR($B88="",L88=""),"",IFERROR(INDEX(Settings!$D$14:$D$33,MATCH(L88,Settings!$B$14:$B$33,0))&amp;"",IFERROR(LOOKUP(2^15,SEARCH(Settings!$F$14:$F$43,L88)/(Settings!$F$14:$F$43&lt;&gt;""),Settings!$G$14:$G$43),"")))</f>
        <v/>
      </c>
      <c r="BS88">
        <f>IF(OR($B88="",M88=""),"",IFERROR(INDEX(Settings!$D$14:$D$33,MATCH(M88,Settings!$B$14:$B$33,0))&amp;"",IFERROR(LOOKUP(2^15,SEARCH(Settings!$F$14:$F$43,M88)/(Settings!$F$14:$F$43&lt;&gt;""),Settings!$G$14:$G$43),"")))</f>
        <v/>
      </c>
      <c r="BT88">
        <f>IF(OR($B88="",N88=""),"",IFERROR(INDEX(Settings!$D$14:$D$33,MATCH(N88,Settings!$B$14:$B$33,0))&amp;"",IFERROR(LOOKUP(2^15,SEARCH(Settings!$F$14:$F$43,N88)/(Settings!$F$14:$F$43&lt;&gt;""),Settings!$G$14:$G$43),"")))</f>
        <v/>
      </c>
      <c r="BU88">
        <f>IF(OR($B88="",O88=""),"",IFERROR(INDEX(Settings!$D$14:$D$33,MATCH(O88,Settings!$B$14:$B$33,0))&amp;"",IFERROR(LOOKUP(2^15,SEARCH(Settings!$F$14:$F$43,O88)/(Settings!$F$14:$F$43&lt;&gt;""),Settings!$G$14:$G$43),"")))</f>
        <v/>
      </c>
      <c r="BV88">
        <f>IF(OR($B88="",P88=""),"",IFERROR(INDEX(Settings!$D$14:$D$33,MATCH(P88,Settings!$B$14:$B$33,0))&amp;"",IFERROR(LOOKUP(2^15,SEARCH(Settings!$F$14:$F$43,P88)/(Settings!$F$14:$F$43&lt;&gt;""),Settings!$G$14:$G$43),"")))</f>
        <v/>
      </c>
      <c r="BW88">
        <f>IF(OR($B88="",Q88=""),"",IFERROR(INDEX(Settings!$D$14:$D$33,MATCH(Q88,Settings!$B$14:$B$33,0))&amp;"",IFERROR(LOOKUP(2^15,SEARCH(Settings!$F$14:$F$43,Q88)/(Settings!$F$14:$F$43&lt;&gt;""),Settings!$G$14:$G$43),"")))</f>
        <v/>
      </c>
      <c r="BX88">
        <f>IF(OR($B88="",R88=""),"",IFERROR(INDEX(Settings!$D$14:$D$33,MATCH(R88,Settings!$B$14:$B$33,0))&amp;"",IFERROR(LOOKUP(2^15,SEARCH(Settings!$F$14:$F$43,R88)/(Settings!$F$14:$F$43&lt;&gt;""),Settings!$G$14:$G$43),"")))</f>
        <v/>
      </c>
      <c r="BY88">
        <f>IF(OR($B88="",S88=""),"",IFERROR(INDEX(Settings!$D$14:$D$33,MATCH(S88,Settings!$B$14:$B$33,0))&amp;"",IFERROR(LOOKUP(2^15,SEARCH(Settings!$F$14:$F$43,S88)/(Settings!$F$14:$F$43&lt;&gt;""),Settings!$G$14:$G$43),"")))</f>
        <v/>
      </c>
      <c r="BZ88">
        <f>IF(OR($B88="",T88=""),"",IFERROR(INDEX(Settings!$D$14:$D$33,MATCH(T88,Settings!$B$14:$B$33,0))&amp;"",IFERROR(LOOKUP(2^15,SEARCH(Settings!$F$14:$F$43,T88)/(Settings!$F$14:$F$43&lt;&gt;""),Settings!$G$14:$G$43),"")))</f>
        <v/>
      </c>
      <c r="CA88">
        <f>IF(OR($B88="",U88=""),"",IFERROR(INDEX(Settings!$D$14:$D$33,MATCH(U88,Settings!$B$14:$B$33,0))&amp;"",IFERROR(LOOKUP(2^15,SEARCH(Settings!$F$14:$F$43,U88)/(Settings!$F$14:$F$43&lt;&gt;""),Settings!$G$14:$G$43),"")))</f>
        <v/>
      </c>
      <c r="CB88">
        <f>IF(OR($B88="",V88=""),"",IFERROR(INDEX(Settings!$D$14:$D$33,MATCH(V88,Settings!$B$14:$B$33,0))&amp;"",IFERROR(LOOKUP(2^15,SEARCH(Settings!$F$14:$F$43,V88)/(Settings!$F$14:$F$43&lt;&gt;""),Settings!$G$14:$G$43),"")))</f>
        <v/>
      </c>
      <c r="CC88">
        <f>IF(OR($B88="",W88=""),"",IFERROR(INDEX(Settings!$D$14:$D$33,MATCH(W88,Settings!$B$14:$B$33,0))&amp;"",IFERROR(LOOKUP(2^15,SEARCH(Settings!$F$14:$F$43,W88)/(Settings!$F$14:$F$43&lt;&gt;""),Settings!$G$14:$G$43),"")))</f>
        <v/>
      </c>
      <c r="CD88">
        <f>IF(OR($B88="",X88=""),"",IFERROR(INDEX(Settings!$D$14:$D$33,MATCH(X88,Settings!$B$14:$B$33,0))&amp;"",IFERROR(LOOKUP(2^15,SEARCH(Settings!$F$14:$F$43,X88)/(Settings!$F$14:$F$43&lt;&gt;""),Settings!$G$14:$G$43),"")))</f>
        <v/>
      </c>
      <c r="CE88">
        <f>IF(OR($B88="",Y88=""),"",IFERROR(INDEX(Settings!$D$14:$D$33,MATCH(Y88,Settings!$B$14:$B$33,0))&amp;"",IFERROR(LOOKUP(2^15,SEARCH(Settings!$F$14:$F$43,Y88)/(Settings!$F$14:$F$43&lt;&gt;""),Settings!$G$14:$G$43),"")))</f>
        <v/>
      </c>
      <c r="CF88">
        <f>IF(OR($B88="",Z88=""),"",IFERROR(INDEX(Settings!$D$14:$D$33,MATCH(Z88,Settings!$B$14:$B$33,0))&amp;"",IFERROR(LOOKUP(2^15,SEARCH(Settings!$F$14:$F$43,Z88)/(Settings!$F$14:$F$43&lt;&gt;""),Settings!$G$14:$G$43),"")))</f>
        <v/>
      </c>
      <c r="CG88">
        <f>IF(OR($B88="",AA88=""),"",IFERROR(INDEX(Settings!$D$14:$D$33,MATCH(AA88,Settings!$B$14:$B$33,0))&amp;"",IFERROR(LOOKUP(2^15,SEARCH(Settings!$F$14:$F$43,AA88)/(Settings!$F$14:$F$43&lt;&gt;""),Settings!$G$14:$G$43),"")))</f>
        <v/>
      </c>
      <c r="CH88">
        <f>IF(OR($B88="",AB88=""),"",IFERROR(INDEX(Settings!$D$14:$D$33,MATCH(AB88,Settings!$B$14:$B$33,0))&amp;"",IFERROR(LOOKUP(2^15,SEARCH(Settings!$F$14:$F$43,AB88)/(Settings!$F$14:$F$43&lt;&gt;""),Settings!$G$14:$G$43),"")))</f>
        <v/>
      </c>
      <c r="CI88">
        <f>IF(OR($B88="",AC88=""),"",IFERROR(INDEX(Settings!$D$14:$D$33,MATCH(AC88,Settings!$B$14:$B$33,0))&amp;"",IFERROR(LOOKUP(2^15,SEARCH(Settings!$F$14:$F$43,AC88)/(Settings!$F$14:$F$43&lt;&gt;""),Settings!$G$14:$G$43),"")))</f>
        <v/>
      </c>
      <c r="CJ88">
        <f>IF(OR($B88="",AD88=""),"",IFERROR(INDEX(Settings!$D$14:$D$33,MATCH(AD88,Settings!$B$14:$B$33,0))&amp;"",IFERROR(LOOKUP(2^15,SEARCH(Settings!$F$14:$F$43,AD88)/(Settings!$F$14:$F$43&lt;&gt;""),Settings!$G$14:$G$43),"")))</f>
        <v/>
      </c>
      <c r="CK88">
        <f>IF(OR($B88="",AE88=""),"",IFERROR(INDEX(Settings!$D$14:$D$33,MATCH(AE88,Settings!$B$14:$B$33,0))&amp;"",IFERROR(LOOKUP(2^15,SEARCH(Settings!$F$14:$F$43,AE88)/(Settings!$F$14:$F$43&lt;&gt;""),Settings!$G$14:$G$43),"")))</f>
        <v/>
      </c>
      <c r="CL88">
        <f>IF(OR($B88="",AF88=""),"",IFERROR(INDEX(Settings!$D$14:$D$33,MATCH(AF88,Settings!$B$14:$B$33,0))&amp;"",IFERROR(LOOKUP(2^15,SEARCH(Settings!$F$14:$F$43,AF88)/(Settings!$F$14:$F$43&lt;&gt;""),Settings!$G$14:$G$43),"")))</f>
        <v/>
      </c>
      <c r="CM88">
        <f>IF(OR($B88="",AG88=""),"",IFERROR(INDEX(Settings!$D$14:$D$33,MATCH(AG88,Settings!$B$14:$B$33,0))&amp;"",IFERROR(LOOKUP(2^15,SEARCH(Settings!$F$14:$F$43,AG88)/(Settings!$F$14:$F$43&lt;&gt;""),Settings!$G$14:$G$43),"")))</f>
        <v/>
      </c>
    </row>
    <row r="89">
      <c r="A89" t="n">
        <v>87</v>
      </c>
      <c r="B89">
        <f>IFERROR(INDEX(Index!$A$2:$A$202,MATCH(A89,Index!$E$2:$E$202,0)),"")</f>
        <v/>
      </c>
      <c r="D89">
        <f>IF($B89="","",IFERROR(MATCH("Travel*",AI89:BJ89,0),""))</f>
        <v/>
      </c>
      <c r="F89">
        <f>IF(OR($B89="",NOT(ISNUMBER(Settings!$C$9))),"",TRIM(SUBSTITUTE(SUBSTITUTE(INDEX('INPUT - Roster'!$S$1:$SV$206,$B89,Settings!$C$9+0)&amp;"",CHAR(10)," "),CHAR(160)," ")))</f>
        <v/>
      </c>
      <c r="G89">
        <f>IF(OR($B89="",NOT(ISNUMBER(Settings!$C$9))),"",TRIM(SUBSTITUTE(SUBSTITUTE(INDEX('INPUT - Roster'!$S$1:$SV$206,$B89,Settings!$C$9+1)&amp;"",CHAR(10)," "),CHAR(160)," ")))</f>
        <v/>
      </c>
      <c r="H89">
        <f>IF(OR($B89="",NOT(ISNUMBER(Settings!$C$9))),"",TRIM(SUBSTITUTE(SUBSTITUTE(INDEX('INPUT - Roster'!$S$1:$SV$206,$B89,Settings!$C$9+2)&amp;"",CHAR(10)," "),CHAR(160)," ")))</f>
        <v/>
      </c>
      <c r="I89">
        <f>IF(OR($B89="",NOT(ISNUMBER(Settings!$C$9))),"",TRIM(SUBSTITUTE(SUBSTITUTE(INDEX('INPUT - Roster'!$S$1:$SV$206,$B89,Settings!$C$9+3)&amp;"",CHAR(10)," "),CHAR(160)," ")))</f>
        <v/>
      </c>
      <c r="J89">
        <f>IF(OR($B89="",NOT(ISNUMBER(Settings!$C$9))),"",TRIM(SUBSTITUTE(SUBSTITUTE(INDEX('INPUT - Roster'!$S$1:$SV$206,$B89,Settings!$C$9+4)&amp;"",CHAR(10)," "),CHAR(160)," ")))</f>
        <v/>
      </c>
      <c r="K89">
        <f>IF(OR($B89="",NOT(ISNUMBER(Settings!$C$9))),"",TRIM(SUBSTITUTE(SUBSTITUTE(INDEX('INPUT - Roster'!$S$1:$SV$206,$B89,Settings!$C$9+5)&amp;"",CHAR(10)," "),CHAR(160)," ")))</f>
        <v/>
      </c>
      <c r="L89">
        <f>IF(OR($B89="",NOT(ISNUMBER(Settings!$C$9))),"",TRIM(SUBSTITUTE(SUBSTITUTE(INDEX('INPUT - Roster'!$S$1:$SV$206,$B89,Settings!$C$9+6)&amp;"",CHAR(10)," "),CHAR(160)," ")))</f>
        <v/>
      </c>
      <c r="M89">
        <f>IF(OR($B89="",NOT(ISNUMBER(Settings!$C$9))),"",TRIM(SUBSTITUTE(SUBSTITUTE(INDEX('INPUT - Roster'!$S$1:$SV$206,$B89,Settings!$C$9+7)&amp;"",CHAR(10)," "),CHAR(160)," ")))</f>
        <v/>
      </c>
      <c r="N89">
        <f>IF(OR($B89="",NOT(ISNUMBER(Settings!$C$9))),"",TRIM(SUBSTITUTE(SUBSTITUTE(INDEX('INPUT - Roster'!$S$1:$SV$206,$B89,Settings!$C$9+8)&amp;"",CHAR(10)," "),CHAR(160)," ")))</f>
        <v/>
      </c>
      <c r="O89">
        <f>IF(OR($B89="",NOT(ISNUMBER(Settings!$C$9))),"",TRIM(SUBSTITUTE(SUBSTITUTE(INDEX('INPUT - Roster'!$S$1:$SV$206,$B89,Settings!$C$9+9)&amp;"",CHAR(10)," "),CHAR(160)," ")))</f>
        <v/>
      </c>
      <c r="P89">
        <f>IF(OR($B89="",NOT(ISNUMBER(Settings!$C$9))),"",TRIM(SUBSTITUTE(SUBSTITUTE(INDEX('INPUT - Roster'!$S$1:$SV$206,$B89,Settings!$C$9+10)&amp;"",CHAR(10)," "),CHAR(160)," ")))</f>
        <v/>
      </c>
      <c r="Q89">
        <f>IF(OR($B89="",NOT(ISNUMBER(Settings!$C$9))),"",TRIM(SUBSTITUTE(SUBSTITUTE(INDEX('INPUT - Roster'!$S$1:$SV$206,$B89,Settings!$C$9+11)&amp;"",CHAR(10)," "),CHAR(160)," ")))</f>
        <v/>
      </c>
      <c r="R89">
        <f>IF(OR($B89="",NOT(ISNUMBER(Settings!$C$9))),"",TRIM(SUBSTITUTE(SUBSTITUTE(INDEX('INPUT - Roster'!$S$1:$SV$206,$B89,Settings!$C$9+12)&amp;"",CHAR(10)," "),CHAR(160)," ")))</f>
        <v/>
      </c>
      <c r="S89">
        <f>IF(OR($B89="",NOT(ISNUMBER(Settings!$C$9))),"",TRIM(SUBSTITUTE(SUBSTITUTE(INDEX('INPUT - Roster'!$S$1:$SV$206,$B89,Settings!$C$9+13)&amp;"",CHAR(10)," "),CHAR(160)," ")))</f>
        <v/>
      </c>
      <c r="T89">
        <f>IF(OR($B89="",NOT(ISNUMBER(Settings!$C$9))),"",TRIM(SUBSTITUTE(SUBSTITUTE(INDEX('INPUT - Roster'!$S$1:$SV$206,$B89,Settings!$C$9+14)&amp;"",CHAR(10)," "),CHAR(160)," ")))</f>
        <v/>
      </c>
      <c r="U89">
        <f>IF(OR($B89="",NOT(ISNUMBER(Settings!$C$9))),"",TRIM(SUBSTITUTE(SUBSTITUTE(INDEX('INPUT - Roster'!$S$1:$SV$206,$B89,Settings!$C$9+15)&amp;"",CHAR(10)," "),CHAR(160)," ")))</f>
        <v/>
      </c>
      <c r="V89">
        <f>IF(OR($B89="",NOT(ISNUMBER(Settings!$C$9))),"",TRIM(SUBSTITUTE(SUBSTITUTE(INDEX('INPUT - Roster'!$S$1:$SV$206,$B89,Settings!$C$9+16)&amp;"",CHAR(10)," "),CHAR(160)," ")))</f>
        <v/>
      </c>
      <c r="W89">
        <f>IF(OR($B89="",NOT(ISNUMBER(Settings!$C$9))),"",TRIM(SUBSTITUTE(SUBSTITUTE(INDEX('INPUT - Roster'!$S$1:$SV$206,$B89,Settings!$C$9+17)&amp;"",CHAR(10)," "),CHAR(160)," ")))</f>
        <v/>
      </c>
      <c r="X89">
        <f>IF(OR($B89="",NOT(ISNUMBER(Settings!$C$9))),"",TRIM(SUBSTITUTE(SUBSTITUTE(INDEX('INPUT - Roster'!$S$1:$SV$206,$B89,Settings!$C$9+18)&amp;"",CHAR(10)," "),CHAR(160)," ")))</f>
        <v/>
      </c>
      <c r="Y89">
        <f>IF(OR($B89="",NOT(ISNUMBER(Settings!$C$9))),"",TRIM(SUBSTITUTE(SUBSTITUTE(INDEX('INPUT - Roster'!$S$1:$SV$206,$B89,Settings!$C$9+19)&amp;"",CHAR(10)," "),CHAR(160)," ")))</f>
        <v/>
      </c>
      <c r="Z89">
        <f>IF(OR($B89="",NOT(ISNUMBER(Settings!$C$9))),"",TRIM(SUBSTITUTE(SUBSTITUTE(INDEX('INPUT - Roster'!$S$1:$SV$206,$B89,Settings!$C$9+20)&amp;"",CHAR(10)," "),CHAR(160)," ")))</f>
        <v/>
      </c>
      <c r="AA89">
        <f>IF(OR($B89="",NOT(ISNUMBER(Settings!$C$9))),"",TRIM(SUBSTITUTE(SUBSTITUTE(INDEX('INPUT - Roster'!$S$1:$SV$206,$B89,Settings!$C$9+21)&amp;"",CHAR(10)," "),CHAR(160)," ")))</f>
        <v/>
      </c>
      <c r="AB89">
        <f>IF(OR($B89="",NOT(ISNUMBER(Settings!$C$9))),"",TRIM(SUBSTITUTE(SUBSTITUTE(INDEX('INPUT - Roster'!$S$1:$SV$206,$B89,Settings!$C$9+22)&amp;"",CHAR(10)," "),CHAR(160)," ")))</f>
        <v/>
      </c>
      <c r="AC89">
        <f>IF(OR($B89="",NOT(ISNUMBER(Settings!$C$9))),"",TRIM(SUBSTITUTE(SUBSTITUTE(INDEX('INPUT - Roster'!$S$1:$SV$206,$B89,Settings!$C$9+23)&amp;"",CHAR(10)," "),CHAR(160)," ")))</f>
        <v/>
      </c>
      <c r="AD89">
        <f>IF(OR($B89="",NOT(ISNUMBER(Settings!$C$9))),"",TRIM(SUBSTITUTE(SUBSTITUTE(INDEX('INPUT - Roster'!$S$1:$SV$206,$B89,Settings!$C$9+24)&amp;"",CHAR(10)," "),CHAR(160)," ")))</f>
        <v/>
      </c>
      <c r="AE89">
        <f>IF(OR($B89="",NOT(ISNUMBER(Settings!$C$9))),"",TRIM(SUBSTITUTE(SUBSTITUTE(INDEX('INPUT - Roster'!$S$1:$SV$206,$B89,Settings!$C$9+25)&amp;"",CHAR(10)," "),CHAR(160)," ")))</f>
        <v/>
      </c>
      <c r="AF89">
        <f>IF(OR($B89="",NOT(ISNUMBER(Settings!$C$9))),"",TRIM(SUBSTITUTE(SUBSTITUTE(INDEX('INPUT - Roster'!$S$1:$SV$206,$B89,Settings!$C$9+26)&amp;"",CHAR(10)," "),CHAR(160)," ")))</f>
        <v/>
      </c>
      <c r="AG89">
        <f>IF(OR($B89="",NOT(ISNUMBER(Settings!$C$9))),"",TRIM(SUBSTITUTE(SUBSTITUTE(INDEX('INPUT - Roster'!$S$1:$SV$206,$B89,Settings!$C$9+27)&amp;"",CHAR(10)," "),CHAR(160)," ")))</f>
        <v/>
      </c>
      <c r="AI89">
        <f>IF($B89="","",IF(F89="","Not rostered",IFERROR(INDEX(Settings!$C$14:$C$33,MATCH(F89,Settings!$B$14:$B$33,0)),IFERROR(LOOKUP(2^15,SEARCH(Settings!$I$14:$I$83,F89)/(Settings!$I$14:$I$83&lt;&gt;""),Settings!$J$14:$J$83),"Other"))))</f>
        <v/>
      </c>
      <c r="AJ89">
        <f>IF($B89="","",IF(G89="","Not rostered",IFERROR(INDEX(Settings!$C$14:$C$33,MATCH(G89,Settings!$B$14:$B$33,0)),IFERROR(LOOKUP(2^15,SEARCH(Settings!$I$14:$I$83,G89)/(Settings!$I$14:$I$83&lt;&gt;""),Settings!$J$14:$J$83),"Other"))))</f>
        <v/>
      </c>
      <c r="AK89">
        <f>IF($B89="","",IF(H89="","Not rostered",IFERROR(INDEX(Settings!$C$14:$C$33,MATCH(H89,Settings!$B$14:$B$33,0)),IFERROR(LOOKUP(2^15,SEARCH(Settings!$I$14:$I$83,H89)/(Settings!$I$14:$I$83&lt;&gt;""),Settings!$J$14:$J$83),"Other"))))</f>
        <v/>
      </c>
      <c r="AL89">
        <f>IF($B89="","",IF(I89="","Not rostered",IFERROR(INDEX(Settings!$C$14:$C$33,MATCH(I89,Settings!$B$14:$B$33,0)),IFERROR(LOOKUP(2^15,SEARCH(Settings!$I$14:$I$83,I89)/(Settings!$I$14:$I$83&lt;&gt;""),Settings!$J$14:$J$83),"Other"))))</f>
        <v/>
      </c>
      <c r="AM89">
        <f>IF($B89="","",IF(J89="","Not rostered",IFERROR(INDEX(Settings!$C$14:$C$33,MATCH(J89,Settings!$B$14:$B$33,0)),IFERROR(LOOKUP(2^15,SEARCH(Settings!$I$14:$I$83,J89)/(Settings!$I$14:$I$83&lt;&gt;""),Settings!$J$14:$J$83),"Other"))))</f>
        <v/>
      </c>
      <c r="AN89">
        <f>IF($B89="","",IF(K89="","Not rostered",IFERROR(INDEX(Settings!$C$14:$C$33,MATCH(K89,Settings!$B$14:$B$33,0)),IFERROR(LOOKUP(2^15,SEARCH(Settings!$I$14:$I$83,K89)/(Settings!$I$14:$I$83&lt;&gt;""),Settings!$J$14:$J$83),"Other"))))</f>
        <v/>
      </c>
      <c r="AO89">
        <f>IF($B89="","",IF(L89="","Not rostered",IFERROR(INDEX(Settings!$C$14:$C$33,MATCH(L89,Settings!$B$14:$B$33,0)),IFERROR(LOOKUP(2^15,SEARCH(Settings!$I$14:$I$83,L89)/(Settings!$I$14:$I$83&lt;&gt;""),Settings!$J$14:$J$83),"Other"))))</f>
        <v/>
      </c>
      <c r="AP89">
        <f>IF($B89="","",IF(M89="","Not rostered",IFERROR(INDEX(Settings!$C$14:$C$33,MATCH(M89,Settings!$B$14:$B$33,0)),IFERROR(LOOKUP(2^15,SEARCH(Settings!$I$14:$I$83,M89)/(Settings!$I$14:$I$83&lt;&gt;""),Settings!$J$14:$J$83),"Other"))))</f>
        <v/>
      </c>
      <c r="AQ89">
        <f>IF($B89="","",IF(N89="","Not rostered",IFERROR(INDEX(Settings!$C$14:$C$33,MATCH(N89,Settings!$B$14:$B$33,0)),IFERROR(LOOKUP(2^15,SEARCH(Settings!$I$14:$I$83,N89)/(Settings!$I$14:$I$83&lt;&gt;""),Settings!$J$14:$J$83),"Other"))))</f>
        <v/>
      </c>
      <c r="AR89">
        <f>IF($B89="","",IF(O89="","Not rostered",IFERROR(INDEX(Settings!$C$14:$C$33,MATCH(O89,Settings!$B$14:$B$33,0)),IFERROR(LOOKUP(2^15,SEARCH(Settings!$I$14:$I$83,O89)/(Settings!$I$14:$I$83&lt;&gt;""),Settings!$J$14:$J$83),"Other"))))</f>
        <v/>
      </c>
      <c r="AS89">
        <f>IF($B89="","",IF(P89="","Not rostered",IFERROR(INDEX(Settings!$C$14:$C$33,MATCH(P89,Settings!$B$14:$B$33,0)),IFERROR(LOOKUP(2^15,SEARCH(Settings!$I$14:$I$83,P89)/(Settings!$I$14:$I$83&lt;&gt;""),Settings!$J$14:$J$83),"Other"))))</f>
        <v/>
      </c>
      <c r="AT89">
        <f>IF($B89="","",IF(Q89="","Not rostered",IFERROR(INDEX(Settings!$C$14:$C$33,MATCH(Q89,Settings!$B$14:$B$33,0)),IFERROR(LOOKUP(2^15,SEARCH(Settings!$I$14:$I$83,Q89)/(Settings!$I$14:$I$83&lt;&gt;""),Settings!$J$14:$J$83),"Other"))))</f>
        <v/>
      </c>
      <c r="AU89">
        <f>IF($B89="","",IF(R89="","Not rostered",IFERROR(INDEX(Settings!$C$14:$C$33,MATCH(R89,Settings!$B$14:$B$33,0)),IFERROR(LOOKUP(2^15,SEARCH(Settings!$I$14:$I$83,R89)/(Settings!$I$14:$I$83&lt;&gt;""),Settings!$J$14:$J$83),"Other"))))</f>
        <v/>
      </c>
      <c r="AV89">
        <f>IF($B89="","",IF(S89="","Not rostered",IFERROR(INDEX(Settings!$C$14:$C$33,MATCH(S89,Settings!$B$14:$B$33,0)),IFERROR(LOOKUP(2^15,SEARCH(Settings!$I$14:$I$83,S89)/(Settings!$I$14:$I$83&lt;&gt;""),Settings!$J$14:$J$83),"Other"))))</f>
        <v/>
      </c>
      <c r="AW89">
        <f>IF($B89="","",IF(T89="","Not rostered",IFERROR(INDEX(Settings!$C$14:$C$33,MATCH(T89,Settings!$B$14:$B$33,0)),IFERROR(LOOKUP(2^15,SEARCH(Settings!$I$14:$I$83,T89)/(Settings!$I$14:$I$83&lt;&gt;""),Settings!$J$14:$J$83),"Other"))))</f>
        <v/>
      </c>
      <c r="AX89">
        <f>IF($B89="","",IF(U89="","Not rostered",IFERROR(INDEX(Settings!$C$14:$C$33,MATCH(U89,Settings!$B$14:$B$33,0)),IFERROR(LOOKUP(2^15,SEARCH(Settings!$I$14:$I$83,U89)/(Settings!$I$14:$I$83&lt;&gt;""),Settings!$J$14:$J$83),"Other"))))</f>
        <v/>
      </c>
      <c r="AY89">
        <f>IF($B89="","",IF(V89="","Not rostered",IFERROR(INDEX(Settings!$C$14:$C$33,MATCH(V89,Settings!$B$14:$B$33,0)),IFERROR(LOOKUP(2^15,SEARCH(Settings!$I$14:$I$83,V89)/(Settings!$I$14:$I$83&lt;&gt;""),Settings!$J$14:$J$83),"Other"))))</f>
        <v/>
      </c>
      <c r="AZ89">
        <f>IF($B89="","",IF(W89="","Not rostered",IFERROR(INDEX(Settings!$C$14:$C$33,MATCH(W89,Settings!$B$14:$B$33,0)),IFERROR(LOOKUP(2^15,SEARCH(Settings!$I$14:$I$83,W89)/(Settings!$I$14:$I$83&lt;&gt;""),Settings!$J$14:$J$83),"Other"))))</f>
        <v/>
      </c>
      <c r="BA89">
        <f>IF($B89="","",IF(X89="","Not rostered",IFERROR(INDEX(Settings!$C$14:$C$33,MATCH(X89,Settings!$B$14:$B$33,0)),IFERROR(LOOKUP(2^15,SEARCH(Settings!$I$14:$I$83,X89)/(Settings!$I$14:$I$83&lt;&gt;""),Settings!$J$14:$J$83),"Other"))))</f>
        <v/>
      </c>
      <c r="BB89">
        <f>IF($B89="","",IF(Y89="","Not rostered",IFERROR(INDEX(Settings!$C$14:$C$33,MATCH(Y89,Settings!$B$14:$B$33,0)),IFERROR(LOOKUP(2^15,SEARCH(Settings!$I$14:$I$83,Y89)/(Settings!$I$14:$I$83&lt;&gt;""),Settings!$J$14:$J$83),"Other"))))</f>
        <v/>
      </c>
      <c r="BC89">
        <f>IF($B89="","",IF(Z89="","Not rostered",IFERROR(INDEX(Settings!$C$14:$C$33,MATCH(Z89,Settings!$B$14:$B$33,0)),IFERROR(LOOKUP(2^15,SEARCH(Settings!$I$14:$I$83,Z89)/(Settings!$I$14:$I$83&lt;&gt;""),Settings!$J$14:$J$83),"Other"))))</f>
        <v/>
      </c>
      <c r="BD89">
        <f>IF($B89="","",IF(AA89="","Not rostered",IFERROR(INDEX(Settings!$C$14:$C$33,MATCH(AA89,Settings!$B$14:$B$33,0)),IFERROR(LOOKUP(2^15,SEARCH(Settings!$I$14:$I$83,AA89)/(Settings!$I$14:$I$83&lt;&gt;""),Settings!$J$14:$J$83),"Other"))))</f>
        <v/>
      </c>
      <c r="BE89">
        <f>IF($B89="","",IF(AB89="","Not rostered",IFERROR(INDEX(Settings!$C$14:$C$33,MATCH(AB89,Settings!$B$14:$B$33,0)),IFERROR(LOOKUP(2^15,SEARCH(Settings!$I$14:$I$83,AB89)/(Settings!$I$14:$I$83&lt;&gt;""),Settings!$J$14:$J$83),"Other"))))</f>
        <v/>
      </c>
      <c r="BF89">
        <f>IF($B89="","",IF(AC89="","Not rostered",IFERROR(INDEX(Settings!$C$14:$C$33,MATCH(AC89,Settings!$B$14:$B$33,0)),IFERROR(LOOKUP(2^15,SEARCH(Settings!$I$14:$I$83,AC89)/(Settings!$I$14:$I$83&lt;&gt;""),Settings!$J$14:$J$83),"Other"))))</f>
        <v/>
      </c>
      <c r="BG89">
        <f>IF($B89="","",IF(AD89="","Not rostered",IFERROR(INDEX(Settings!$C$14:$C$33,MATCH(AD89,Settings!$B$14:$B$33,0)),IFERROR(LOOKUP(2^15,SEARCH(Settings!$I$14:$I$83,AD89)/(Settings!$I$14:$I$83&lt;&gt;""),Settings!$J$14:$J$83),"Other"))))</f>
        <v/>
      </c>
      <c r="BH89">
        <f>IF($B89="","",IF(AE89="","Not rostered",IFERROR(INDEX(Settings!$C$14:$C$33,MATCH(AE89,Settings!$B$14:$B$33,0)),IFERROR(LOOKUP(2^15,SEARCH(Settings!$I$14:$I$83,AE89)/(Settings!$I$14:$I$83&lt;&gt;""),Settings!$J$14:$J$83),"Other"))))</f>
        <v/>
      </c>
      <c r="BI89">
        <f>IF($B89="","",IF(AF89="","Not rostered",IFERROR(INDEX(Settings!$C$14:$C$33,MATCH(AF89,Settings!$B$14:$B$33,0)),IFERROR(LOOKUP(2^15,SEARCH(Settings!$I$14:$I$83,AF89)/(Settings!$I$14:$I$83&lt;&gt;""),Settings!$J$14:$J$83),"Other"))))</f>
        <v/>
      </c>
      <c r="BJ89">
        <f>IF($B89="","",IF(AG89="","Not rostered",IFERROR(INDEX(Settings!$C$14:$C$33,MATCH(AG89,Settings!$B$14:$B$33,0)),IFERROR(LOOKUP(2^15,SEARCH(Settings!$I$14:$I$83,AG89)/(Settings!$I$14:$I$83&lt;&gt;""),Settings!$J$14:$J$83),"Other"))))</f>
        <v/>
      </c>
      <c r="BL89">
        <f>IF(OR($B89="",F89=""),"",IFERROR(INDEX(Settings!$D$14:$D$33,MATCH(F89,Settings!$B$14:$B$33,0))&amp;"",IFERROR(LOOKUP(2^15,SEARCH(Settings!$F$14:$F$43,F89)/(Settings!$F$14:$F$43&lt;&gt;""),Settings!$G$14:$G$43),"")))</f>
        <v/>
      </c>
      <c r="BM89">
        <f>IF(OR($B89="",G89=""),"",IFERROR(INDEX(Settings!$D$14:$D$33,MATCH(G89,Settings!$B$14:$B$33,0))&amp;"",IFERROR(LOOKUP(2^15,SEARCH(Settings!$F$14:$F$43,G89)/(Settings!$F$14:$F$43&lt;&gt;""),Settings!$G$14:$G$43),"")))</f>
        <v/>
      </c>
      <c r="BN89">
        <f>IF(OR($B89="",H89=""),"",IFERROR(INDEX(Settings!$D$14:$D$33,MATCH(H89,Settings!$B$14:$B$33,0))&amp;"",IFERROR(LOOKUP(2^15,SEARCH(Settings!$F$14:$F$43,H89)/(Settings!$F$14:$F$43&lt;&gt;""),Settings!$G$14:$G$43),"")))</f>
        <v/>
      </c>
      <c r="BO89">
        <f>IF(OR($B89="",I89=""),"",IFERROR(INDEX(Settings!$D$14:$D$33,MATCH(I89,Settings!$B$14:$B$33,0))&amp;"",IFERROR(LOOKUP(2^15,SEARCH(Settings!$F$14:$F$43,I89)/(Settings!$F$14:$F$43&lt;&gt;""),Settings!$G$14:$G$43),"")))</f>
        <v/>
      </c>
      <c r="BP89">
        <f>IF(OR($B89="",J89=""),"",IFERROR(INDEX(Settings!$D$14:$D$33,MATCH(J89,Settings!$B$14:$B$33,0))&amp;"",IFERROR(LOOKUP(2^15,SEARCH(Settings!$F$14:$F$43,J89)/(Settings!$F$14:$F$43&lt;&gt;""),Settings!$G$14:$G$43),"")))</f>
        <v/>
      </c>
      <c r="BQ89">
        <f>IF(OR($B89="",K89=""),"",IFERROR(INDEX(Settings!$D$14:$D$33,MATCH(K89,Settings!$B$14:$B$33,0))&amp;"",IFERROR(LOOKUP(2^15,SEARCH(Settings!$F$14:$F$43,K89)/(Settings!$F$14:$F$43&lt;&gt;""),Settings!$G$14:$G$43),"")))</f>
        <v/>
      </c>
      <c r="BR89">
        <f>IF(OR($B89="",L89=""),"",IFERROR(INDEX(Settings!$D$14:$D$33,MATCH(L89,Settings!$B$14:$B$33,0))&amp;"",IFERROR(LOOKUP(2^15,SEARCH(Settings!$F$14:$F$43,L89)/(Settings!$F$14:$F$43&lt;&gt;""),Settings!$G$14:$G$43),"")))</f>
        <v/>
      </c>
      <c r="BS89">
        <f>IF(OR($B89="",M89=""),"",IFERROR(INDEX(Settings!$D$14:$D$33,MATCH(M89,Settings!$B$14:$B$33,0))&amp;"",IFERROR(LOOKUP(2^15,SEARCH(Settings!$F$14:$F$43,M89)/(Settings!$F$14:$F$43&lt;&gt;""),Settings!$G$14:$G$43),"")))</f>
        <v/>
      </c>
      <c r="BT89">
        <f>IF(OR($B89="",N89=""),"",IFERROR(INDEX(Settings!$D$14:$D$33,MATCH(N89,Settings!$B$14:$B$33,0))&amp;"",IFERROR(LOOKUP(2^15,SEARCH(Settings!$F$14:$F$43,N89)/(Settings!$F$14:$F$43&lt;&gt;""),Settings!$G$14:$G$43),"")))</f>
        <v/>
      </c>
      <c r="BU89">
        <f>IF(OR($B89="",O89=""),"",IFERROR(INDEX(Settings!$D$14:$D$33,MATCH(O89,Settings!$B$14:$B$33,0))&amp;"",IFERROR(LOOKUP(2^15,SEARCH(Settings!$F$14:$F$43,O89)/(Settings!$F$14:$F$43&lt;&gt;""),Settings!$G$14:$G$43),"")))</f>
        <v/>
      </c>
      <c r="BV89">
        <f>IF(OR($B89="",P89=""),"",IFERROR(INDEX(Settings!$D$14:$D$33,MATCH(P89,Settings!$B$14:$B$33,0))&amp;"",IFERROR(LOOKUP(2^15,SEARCH(Settings!$F$14:$F$43,P89)/(Settings!$F$14:$F$43&lt;&gt;""),Settings!$G$14:$G$43),"")))</f>
        <v/>
      </c>
      <c r="BW89">
        <f>IF(OR($B89="",Q89=""),"",IFERROR(INDEX(Settings!$D$14:$D$33,MATCH(Q89,Settings!$B$14:$B$33,0))&amp;"",IFERROR(LOOKUP(2^15,SEARCH(Settings!$F$14:$F$43,Q89)/(Settings!$F$14:$F$43&lt;&gt;""),Settings!$G$14:$G$43),"")))</f>
        <v/>
      </c>
      <c r="BX89">
        <f>IF(OR($B89="",R89=""),"",IFERROR(INDEX(Settings!$D$14:$D$33,MATCH(R89,Settings!$B$14:$B$33,0))&amp;"",IFERROR(LOOKUP(2^15,SEARCH(Settings!$F$14:$F$43,R89)/(Settings!$F$14:$F$43&lt;&gt;""),Settings!$G$14:$G$43),"")))</f>
        <v/>
      </c>
      <c r="BY89">
        <f>IF(OR($B89="",S89=""),"",IFERROR(INDEX(Settings!$D$14:$D$33,MATCH(S89,Settings!$B$14:$B$33,0))&amp;"",IFERROR(LOOKUP(2^15,SEARCH(Settings!$F$14:$F$43,S89)/(Settings!$F$14:$F$43&lt;&gt;""),Settings!$G$14:$G$43),"")))</f>
        <v/>
      </c>
      <c r="BZ89">
        <f>IF(OR($B89="",T89=""),"",IFERROR(INDEX(Settings!$D$14:$D$33,MATCH(T89,Settings!$B$14:$B$33,0))&amp;"",IFERROR(LOOKUP(2^15,SEARCH(Settings!$F$14:$F$43,T89)/(Settings!$F$14:$F$43&lt;&gt;""),Settings!$G$14:$G$43),"")))</f>
        <v/>
      </c>
      <c r="CA89">
        <f>IF(OR($B89="",U89=""),"",IFERROR(INDEX(Settings!$D$14:$D$33,MATCH(U89,Settings!$B$14:$B$33,0))&amp;"",IFERROR(LOOKUP(2^15,SEARCH(Settings!$F$14:$F$43,U89)/(Settings!$F$14:$F$43&lt;&gt;""),Settings!$G$14:$G$43),"")))</f>
        <v/>
      </c>
      <c r="CB89">
        <f>IF(OR($B89="",V89=""),"",IFERROR(INDEX(Settings!$D$14:$D$33,MATCH(V89,Settings!$B$14:$B$33,0))&amp;"",IFERROR(LOOKUP(2^15,SEARCH(Settings!$F$14:$F$43,V89)/(Settings!$F$14:$F$43&lt;&gt;""),Settings!$G$14:$G$43),"")))</f>
        <v/>
      </c>
      <c r="CC89">
        <f>IF(OR($B89="",W89=""),"",IFERROR(INDEX(Settings!$D$14:$D$33,MATCH(W89,Settings!$B$14:$B$33,0))&amp;"",IFERROR(LOOKUP(2^15,SEARCH(Settings!$F$14:$F$43,W89)/(Settings!$F$14:$F$43&lt;&gt;""),Settings!$G$14:$G$43),"")))</f>
        <v/>
      </c>
      <c r="CD89">
        <f>IF(OR($B89="",X89=""),"",IFERROR(INDEX(Settings!$D$14:$D$33,MATCH(X89,Settings!$B$14:$B$33,0))&amp;"",IFERROR(LOOKUP(2^15,SEARCH(Settings!$F$14:$F$43,X89)/(Settings!$F$14:$F$43&lt;&gt;""),Settings!$G$14:$G$43),"")))</f>
        <v/>
      </c>
      <c r="CE89">
        <f>IF(OR($B89="",Y89=""),"",IFERROR(INDEX(Settings!$D$14:$D$33,MATCH(Y89,Settings!$B$14:$B$33,0))&amp;"",IFERROR(LOOKUP(2^15,SEARCH(Settings!$F$14:$F$43,Y89)/(Settings!$F$14:$F$43&lt;&gt;""),Settings!$G$14:$G$43),"")))</f>
        <v/>
      </c>
      <c r="CF89">
        <f>IF(OR($B89="",Z89=""),"",IFERROR(INDEX(Settings!$D$14:$D$33,MATCH(Z89,Settings!$B$14:$B$33,0))&amp;"",IFERROR(LOOKUP(2^15,SEARCH(Settings!$F$14:$F$43,Z89)/(Settings!$F$14:$F$43&lt;&gt;""),Settings!$G$14:$G$43),"")))</f>
        <v/>
      </c>
      <c r="CG89">
        <f>IF(OR($B89="",AA89=""),"",IFERROR(INDEX(Settings!$D$14:$D$33,MATCH(AA89,Settings!$B$14:$B$33,0))&amp;"",IFERROR(LOOKUP(2^15,SEARCH(Settings!$F$14:$F$43,AA89)/(Settings!$F$14:$F$43&lt;&gt;""),Settings!$G$14:$G$43),"")))</f>
        <v/>
      </c>
      <c r="CH89">
        <f>IF(OR($B89="",AB89=""),"",IFERROR(INDEX(Settings!$D$14:$D$33,MATCH(AB89,Settings!$B$14:$B$33,0))&amp;"",IFERROR(LOOKUP(2^15,SEARCH(Settings!$F$14:$F$43,AB89)/(Settings!$F$14:$F$43&lt;&gt;""),Settings!$G$14:$G$43),"")))</f>
        <v/>
      </c>
      <c r="CI89">
        <f>IF(OR($B89="",AC89=""),"",IFERROR(INDEX(Settings!$D$14:$D$33,MATCH(AC89,Settings!$B$14:$B$33,0))&amp;"",IFERROR(LOOKUP(2^15,SEARCH(Settings!$F$14:$F$43,AC89)/(Settings!$F$14:$F$43&lt;&gt;""),Settings!$G$14:$G$43),"")))</f>
        <v/>
      </c>
      <c r="CJ89">
        <f>IF(OR($B89="",AD89=""),"",IFERROR(INDEX(Settings!$D$14:$D$33,MATCH(AD89,Settings!$B$14:$B$33,0))&amp;"",IFERROR(LOOKUP(2^15,SEARCH(Settings!$F$14:$F$43,AD89)/(Settings!$F$14:$F$43&lt;&gt;""),Settings!$G$14:$G$43),"")))</f>
        <v/>
      </c>
      <c r="CK89">
        <f>IF(OR($B89="",AE89=""),"",IFERROR(INDEX(Settings!$D$14:$D$33,MATCH(AE89,Settings!$B$14:$B$33,0))&amp;"",IFERROR(LOOKUP(2^15,SEARCH(Settings!$F$14:$F$43,AE89)/(Settings!$F$14:$F$43&lt;&gt;""),Settings!$G$14:$G$43),"")))</f>
        <v/>
      </c>
      <c r="CL89">
        <f>IF(OR($B89="",AF89=""),"",IFERROR(INDEX(Settings!$D$14:$D$33,MATCH(AF89,Settings!$B$14:$B$33,0))&amp;"",IFERROR(LOOKUP(2^15,SEARCH(Settings!$F$14:$F$43,AF89)/(Settings!$F$14:$F$43&lt;&gt;""),Settings!$G$14:$G$43),"")))</f>
        <v/>
      </c>
      <c r="CM89">
        <f>IF(OR($B89="",AG89=""),"",IFERROR(INDEX(Settings!$D$14:$D$33,MATCH(AG89,Settings!$B$14:$B$33,0))&amp;"",IFERROR(LOOKUP(2^15,SEARCH(Settings!$F$14:$F$43,AG89)/(Settings!$F$14:$F$43&lt;&gt;""),Settings!$G$14:$G$43),"")))</f>
        <v/>
      </c>
    </row>
    <row r="90">
      <c r="A90" t="n">
        <v>88</v>
      </c>
      <c r="B90">
        <f>IFERROR(INDEX(Index!$A$2:$A$202,MATCH(A90,Index!$E$2:$E$202,0)),"")</f>
        <v/>
      </c>
      <c r="D90">
        <f>IF($B90="","",IFERROR(MATCH("Travel*",AI90:BJ90,0),""))</f>
        <v/>
      </c>
      <c r="F90">
        <f>IF(OR($B90="",NOT(ISNUMBER(Settings!$C$9))),"",TRIM(SUBSTITUTE(SUBSTITUTE(INDEX('INPUT - Roster'!$S$1:$SV$206,$B90,Settings!$C$9+0)&amp;"",CHAR(10)," "),CHAR(160)," ")))</f>
        <v/>
      </c>
      <c r="G90">
        <f>IF(OR($B90="",NOT(ISNUMBER(Settings!$C$9))),"",TRIM(SUBSTITUTE(SUBSTITUTE(INDEX('INPUT - Roster'!$S$1:$SV$206,$B90,Settings!$C$9+1)&amp;"",CHAR(10)," "),CHAR(160)," ")))</f>
        <v/>
      </c>
      <c r="H90">
        <f>IF(OR($B90="",NOT(ISNUMBER(Settings!$C$9))),"",TRIM(SUBSTITUTE(SUBSTITUTE(INDEX('INPUT - Roster'!$S$1:$SV$206,$B90,Settings!$C$9+2)&amp;"",CHAR(10)," "),CHAR(160)," ")))</f>
        <v/>
      </c>
      <c r="I90">
        <f>IF(OR($B90="",NOT(ISNUMBER(Settings!$C$9))),"",TRIM(SUBSTITUTE(SUBSTITUTE(INDEX('INPUT - Roster'!$S$1:$SV$206,$B90,Settings!$C$9+3)&amp;"",CHAR(10)," "),CHAR(160)," ")))</f>
        <v/>
      </c>
      <c r="J90">
        <f>IF(OR($B90="",NOT(ISNUMBER(Settings!$C$9))),"",TRIM(SUBSTITUTE(SUBSTITUTE(INDEX('INPUT - Roster'!$S$1:$SV$206,$B90,Settings!$C$9+4)&amp;"",CHAR(10)," "),CHAR(160)," ")))</f>
        <v/>
      </c>
      <c r="K90">
        <f>IF(OR($B90="",NOT(ISNUMBER(Settings!$C$9))),"",TRIM(SUBSTITUTE(SUBSTITUTE(INDEX('INPUT - Roster'!$S$1:$SV$206,$B90,Settings!$C$9+5)&amp;"",CHAR(10)," "),CHAR(160)," ")))</f>
        <v/>
      </c>
      <c r="L90">
        <f>IF(OR($B90="",NOT(ISNUMBER(Settings!$C$9))),"",TRIM(SUBSTITUTE(SUBSTITUTE(INDEX('INPUT - Roster'!$S$1:$SV$206,$B90,Settings!$C$9+6)&amp;"",CHAR(10)," "),CHAR(160)," ")))</f>
        <v/>
      </c>
      <c r="M90">
        <f>IF(OR($B90="",NOT(ISNUMBER(Settings!$C$9))),"",TRIM(SUBSTITUTE(SUBSTITUTE(INDEX('INPUT - Roster'!$S$1:$SV$206,$B90,Settings!$C$9+7)&amp;"",CHAR(10)," "),CHAR(160)," ")))</f>
        <v/>
      </c>
      <c r="N90">
        <f>IF(OR($B90="",NOT(ISNUMBER(Settings!$C$9))),"",TRIM(SUBSTITUTE(SUBSTITUTE(INDEX('INPUT - Roster'!$S$1:$SV$206,$B90,Settings!$C$9+8)&amp;"",CHAR(10)," "),CHAR(160)," ")))</f>
        <v/>
      </c>
      <c r="O90">
        <f>IF(OR($B90="",NOT(ISNUMBER(Settings!$C$9))),"",TRIM(SUBSTITUTE(SUBSTITUTE(INDEX('INPUT - Roster'!$S$1:$SV$206,$B90,Settings!$C$9+9)&amp;"",CHAR(10)," "),CHAR(160)," ")))</f>
        <v/>
      </c>
      <c r="P90">
        <f>IF(OR($B90="",NOT(ISNUMBER(Settings!$C$9))),"",TRIM(SUBSTITUTE(SUBSTITUTE(INDEX('INPUT - Roster'!$S$1:$SV$206,$B90,Settings!$C$9+10)&amp;"",CHAR(10)," "),CHAR(160)," ")))</f>
        <v/>
      </c>
      <c r="Q90">
        <f>IF(OR($B90="",NOT(ISNUMBER(Settings!$C$9))),"",TRIM(SUBSTITUTE(SUBSTITUTE(INDEX('INPUT - Roster'!$S$1:$SV$206,$B90,Settings!$C$9+11)&amp;"",CHAR(10)," "),CHAR(160)," ")))</f>
        <v/>
      </c>
      <c r="R90">
        <f>IF(OR($B90="",NOT(ISNUMBER(Settings!$C$9))),"",TRIM(SUBSTITUTE(SUBSTITUTE(INDEX('INPUT - Roster'!$S$1:$SV$206,$B90,Settings!$C$9+12)&amp;"",CHAR(10)," "),CHAR(160)," ")))</f>
        <v/>
      </c>
      <c r="S90">
        <f>IF(OR($B90="",NOT(ISNUMBER(Settings!$C$9))),"",TRIM(SUBSTITUTE(SUBSTITUTE(INDEX('INPUT - Roster'!$S$1:$SV$206,$B90,Settings!$C$9+13)&amp;"",CHAR(10)," "),CHAR(160)," ")))</f>
        <v/>
      </c>
      <c r="T90">
        <f>IF(OR($B90="",NOT(ISNUMBER(Settings!$C$9))),"",TRIM(SUBSTITUTE(SUBSTITUTE(INDEX('INPUT - Roster'!$S$1:$SV$206,$B90,Settings!$C$9+14)&amp;"",CHAR(10)," "),CHAR(160)," ")))</f>
        <v/>
      </c>
      <c r="U90">
        <f>IF(OR($B90="",NOT(ISNUMBER(Settings!$C$9))),"",TRIM(SUBSTITUTE(SUBSTITUTE(INDEX('INPUT - Roster'!$S$1:$SV$206,$B90,Settings!$C$9+15)&amp;"",CHAR(10)," "),CHAR(160)," ")))</f>
        <v/>
      </c>
      <c r="V90">
        <f>IF(OR($B90="",NOT(ISNUMBER(Settings!$C$9))),"",TRIM(SUBSTITUTE(SUBSTITUTE(INDEX('INPUT - Roster'!$S$1:$SV$206,$B90,Settings!$C$9+16)&amp;"",CHAR(10)," "),CHAR(160)," ")))</f>
        <v/>
      </c>
      <c r="W90">
        <f>IF(OR($B90="",NOT(ISNUMBER(Settings!$C$9))),"",TRIM(SUBSTITUTE(SUBSTITUTE(INDEX('INPUT - Roster'!$S$1:$SV$206,$B90,Settings!$C$9+17)&amp;"",CHAR(10)," "),CHAR(160)," ")))</f>
        <v/>
      </c>
      <c r="X90">
        <f>IF(OR($B90="",NOT(ISNUMBER(Settings!$C$9))),"",TRIM(SUBSTITUTE(SUBSTITUTE(INDEX('INPUT - Roster'!$S$1:$SV$206,$B90,Settings!$C$9+18)&amp;"",CHAR(10)," "),CHAR(160)," ")))</f>
        <v/>
      </c>
      <c r="Y90">
        <f>IF(OR($B90="",NOT(ISNUMBER(Settings!$C$9))),"",TRIM(SUBSTITUTE(SUBSTITUTE(INDEX('INPUT - Roster'!$S$1:$SV$206,$B90,Settings!$C$9+19)&amp;"",CHAR(10)," "),CHAR(160)," ")))</f>
        <v/>
      </c>
      <c r="Z90">
        <f>IF(OR($B90="",NOT(ISNUMBER(Settings!$C$9))),"",TRIM(SUBSTITUTE(SUBSTITUTE(INDEX('INPUT - Roster'!$S$1:$SV$206,$B90,Settings!$C$9+20)&amp;"",CHAR(10)," "),CHAR(160)," ")))</f>
        <v/>
      </c>
      <c r="AA90">
        <f>IF(OR($B90="",NOT(ISNUMBER(Settings!$C$9))),"",TRIM(SUBSTITUTE(SUBSTITUTE(INDEX('INPUT - Roster'!$S$1:$SV$206,$B90,Settings!$C$9+21)&amp;"",CHAR(10)," "),CHAR(160)," ")))</f>
        <v/>
      </c>
      <c r="AB90">
        <f>IF(OR($B90="",NOT(ISNUMBER(Settings!$C$9))),"",TRIM(SUBSTITUTE(SUBSTITUTE(INDEX('INPUT - Roster'!$S$1:$SV$206,$B90,Settings!$C$9+22)&amp;"",CHAR(10)," "),CHAR(160)," ")))</f>
        <v/>
      </c>
      <c r="AC90">
        <f>IF(OR($B90="",NOT(ISNUMBER(Settings!$C$9))),"",TRIM(SUBSTITUTE(SUBSTITUTE(INDEX('INPUT - Roster'!$S$1:$SV$206,$B90,Settings!$C$9+23)&amp;"",CHAR(10)," "),CHAR(160)," ")))</f>
        <v/>
      </c>
      <c r="AD90">
        <f>IF(OR($B90="",NOT(ISNUMBER(Settings!$C$9))),"",TRIM(SUBSTITUTE(SUBSTITUTE(INDEX('INPUT - Roster'!$S$1:$SV$206,$B90,Settings!$C$9+24)&amp;"",CHAR(10)," "),CHAR(160)," ")))</f>
        <v/>
      </c>
      <c r="AE90">
        <f>IF(OR($B90="",NOT(ISNUMBER(Settings!$C$9))),"",TRIM(SUBSTITUTE(SUBSTITUTE(INDEX('INPUT - Roster'!$S$1:$SV$206,$B90,Settings!$C$9+25)&amp;"",CHAR(10)," "),CHAR(160)," ")))</f>
        <v/>
      </c>
      <c r="AF90">
        <f>IF(OR($B90="",NOT(ISNUMBER(Settings!$C$9))),"",TRIM(SUBSTITUTE(SUBSTITUTE(INDEX('INPUT - Roster'!$S$1:$SV$206,$B90,Settings!$C$9+26)&amp;"",CHAR(10)," "),CHAR(160)," ")))</f>
        <v/>
      </c>
      <c r="AG90">
        <f>IF(OR($B90="",NOT(ISNUMBER(Settings!$C$9))),"",TRIM(SUBSTITUTE(SUBSTITUTE(INDEX('INPUT - Roster'!$S$1:$SV$206,$B90,Settings!$C$9+27)&amp;"",CHAR(10)," "),CHAR(160)," ")))</f>
        <v/>
      </c>
      <c r="AI90">
        <f>IF($B90="","",IF(F90="","Not rostered",IFERROR(INDEX(Settings!$C$14:$C$33,MATCH(F90,Settings!$B$14:$B$33,0)),IFERROR(LOOKUP(2^15,SEARCH(Settings!$I$14:$I$83,F90)/(Settings!$I$14:$I$83&lt;&gt;""),Settings!$J$14:$J$83),"Other"))))</f>
        <v/>
      </c>
      <c r="AJ90">
        <f>IF($B90="","",IF(G90="","Not rostered",IFERROR(INDEX(Settings!$C$14:$C$33,MATCH(G90,Settings!$B$14:$B$33,0)),IFERROR(LOOKUP(2^15,SEARCH(Settings!$I$14:$I$83,G90)/(Settings!$I$14:$I$83&lt;&gt;""),Settings!$J$14:$J$83),"Other"))))</f>
        <v/>
      </c>
      <c r="AK90">
        <f>IF($B90="","",IF(H90="","Not rostered",IFERROR(INDEX(Settings!$C$14:$C$33,MATCH(H90,Settings!$B$14:$B$33,0)),IFERROR(LOOKUP(2^15,SEARCH(Settings!$I$14:$I$83,H90)/(Settings!$I$14:$I$83&lt;&gt;""),Settings!$J$14:$J$83),"Other"))))</f>
        <v/>
      </c>
      <c r="AL90">
        <f>IF($B90="","",IF(I90="","Not rostered",IFERROR(INDEX(Settings!$C$14:$C$33,MATCH(I90,Settings!$B$14:$B$33,0)),IFERROR(LOOKUP(2^15,SEARCH(Settings!$I$14:$I$83,I90)/(Settings!$I$14:$I$83&lt;&gt;""),Settings!$J$14:$J$83),"Other"))))</f>
        <v/>
      </c>
      <c r="AM90">
        <f>IF($B90="","",IF(J90="","Not rostered",IFERROR(INDEX(Settings!$C$14:$C$33,MATCH(J90,Settings!$B$14:$B$33,0)),IFERROR(LOOKUP(2^15,SEARCH(Settings!$I$14:$I$83,J90)/(Settings!$I$14:$I$83&lt;&gt;""),Settings!$J$14:$J$83),"Other"))))</f>
        <v/>
      </c>
      <c r="AN90">
        <f>IF($B90="","",IF(K90="","Not rostered",IFERROR(INDEX(Settings!$C$14:$C$33,MATCH(K90,Settings!$B$14:$B$33,0)),IFERROR(LOOKUP(2^15,SEARCH(Settings!$I$14:$I$83,K90)/(Settings!$I$14:$I$83&lt;&gt;""),Settings!$J$14:$J$83),"Other"))))</f>
        <v/>
      </c>
      <c r="AO90">
        <f>IF($B90="","",IF(L90="","Not rostered",IFERROR(INDEX(Settings!$C$14:$C$33,MATCH(L90,Settings!$B$14:$B$33,0)),IFERROR(LOOKUP(2^15,SEARCH(Settings!$I$14:$I$83,L90)/(Settings!$I$14:$I$83&lt;&gt;""),Settings!$J$14:$J$83),"Other"))))</f>
        <v/>
      </c>
      <c r="AP90">
        <f>IF($B90="","",IF(M90="","Not rostered",IFERROR(INDEX(Settings!$C$14:$C$33,MATCH(M90,Settings!$B$14:$B$33,0)),IFERROR(LOOKUP(2^15,SEARCH(Settings!$I$14:$I$83,M90)/(Settings!$I$14:$I$83&lt;&gt;""),Settings!$J$14:$J$83),"Other"))))</f>
        <v/>
      </c>
      <c r="AQ90">
        <f>IF($B90="","",IF(N90="","Not rostered",IFERROR(INDEX(Settings!$C$14:$C$33,MATCH(N90,Settings!$B$14:$B$33,0)),IFERROR(LOOKUP(2^15,SEARCH(Settings!$I$14:$I$83,N90)/(Settings!$I$14:$I$83&lt;&gt;""),Settings!$J$14:$J$83),"Other"))))</f>
        <v/>
      </c>
      <c r="AR90">
        <f>IF($B90="","",IF(O90="","Not rostered",IFERROR(INDEX(Settings!$C$14:$C$33,MATCH(O90,Settings!$B$14:$B$33,0)),IFERROR(LOOKUP(2^15,SEARCH(Settings!$I$14:$I$83,O90)/(Settings!$I$14:$I$83&lt;&gt;""),Settings!$J$14:$J$83),"Other"))))</f>
        <v/>
      </c>
      <c r="AS90">
        <f>IF($B90="","",IF(P90="","Not rostered",IFERROR(INDEX(Settings!$C$14:$C$33,MATCH(P90,Settings!$B$14:$B$33,0)),IFERROR(LOOKUP(2^15,SEARCH(Settings!$I$14:$I$83,P90)/(Settings!$I$14:$I$83&lt;&gt;""),Settings!$J$14:$J$83),"Other"))))</f>
        <v/>
      </c>
      <c r="AT90">
        <f>IF($B90="","",IF(Q90="","Not rostered",IFERROR(INDEX(Settings!$C$14:$C$33,MATCH(Q90,Settings!$B$14:$B$33,0)),IFERROR(LOOKUP(2^15,SEARCH(Settings!$I$14:$I$83,Q90)/(Settings!$I$14:$I$83&lt;&gt;""),Settings!$J$14:$J$83),"Other"))))</f>
        <v/>
      </c>
      <c r="AU90">
        <f>IF($B90="","",IF(R90="","Not rostered",IFERROR(INDEX(Settings!$C$14:$C$33,MATCH(R90,Settings!$B$14:$B$33,0)),IFERROR(LOOKUP(2^15,SEARCH(Settings!$I$14:$I$83,R90)/(Settings!$I$14:$I$83&lt;&gt;""),Settings!$J$14:$J$83),"Other"))))</f>
        <v/>
      </c>
      <c r="AV90">
        <f>IF($B90="","",IF(S90="","Not rostered",IFERROR(INDEX(Settings!$C$14:$C$33,MATCH(S90,Settings!$B$14:$B$33,0)),IFERROR(LOOKUP(2^15,SEARCH(Settings!$I$14:$I$83,S90)/(Settings!$I$14:$I$83&lt;&gt;""),Settings!$J$14:$J$83),"Other"))))</f>
        <v/>
      </c>
      <c r="AW90">
        <f>IF($B90="","",IF(T90="","Not rostered",IFERROR(INDEX(Settings!$C$14:$C$33,MATCH(T90,Settings!$B$14:$B$33,0)),IFERROR(LOOKUP(2^15,SEARCH(Settings!$I$14:$I$83,T90)/(Settings!$I$14:$I$83&lt;&gt;""),Settings!$J$14:$J$83),"Other"))))</f>
        <v/>
      </c>
      <c r="AX90">
        <f>IF($B90="","",IF(U90="","Not rostered",IFERROR(INDEX(Settings!$C$14:$C$33,MATCH(U90,Settings!$B$14:$B$33,0)),IFERROR(LOOKUP(2^15,SEARCH(Settings!$I$14:$I$83,U90)/(Settings!$I$14:$I$83&lt;&gt;""),Settings!$J$14:$J$83),"Other"))))</f>
        <v/>
      </c>
      <c r="AY90">
        <f>IF($B90="","",IF(V90="","Not rostered",IFERROR(INDEX(Settings!$C$14:$C$33,MATCH(V90,Settings!$B$14:$B$33,0)),IFERROR(LOOKUP(2^15,SEARCH(Settings!$I$14:$I$83,V90)/(Settings!$I$14:$I$83&lt;&gt;""),Settings!$J$14:$J$83),"Other"))))</f>
        <v/>
      </c>
      <c r="AZ90">
        <f>IF($B90="","",IF(W90="","Not rostered",IFERROR(INDEX(Settings!$C$14:$C$33,MATCH(W90,Settings!$B$14:$B$33,0)),IFERROR(LOOKUP(2^15,SEARCH(Settings!$I$14:$I$83,W90)/(Settings!$I$14:$I$83&lt;&gt;""),Settings!$J$14:$J$83),"Other"))))</f>
        <v/>
      </c>
      <c r="BA90">
        <f>IF($B90="","",IF(X90="","Not rostered",IFERROR(INDEX(Settings!$C$14:$C$33,MATCH(X90,Settings!$B$14:$B$33,0)),IFERROR(LOOKUP(2^15,SEARCH(Settings!$I$14:$I$83,X90)/(Settings!$I$14:$I$83&lt;&gt;""),Settings!$J$14:$J$83),"Other"))))</f>
        <v/>
      </c>
      <c r="BB90">
        <f>IF($B90="","",IF(Y90="","Not rostered",IFERROR(INDEX(Settings!$C$14:$C$33,MATCH(Y90,Settings!$B$14:$B$33,0)),IFERROR(LOOKUP(2^15,SEARCH(Settings!$I$14:$I$83,Y90)/(Settings!$I$14:$I$83&lt;&gt;""),Settings!$J$14:$J$83),"Other"))))</f>
        <v/>
      </c>
      <c r="BC90">
        <f>IF($B90="","",IF(Z90="","Not rostered",IFERROR(INDEX(Settings!$C$14:$C$33,MATCH(Z90,Settings!$B$14:$B$33,0)),IFERROR(LOOKUP(2^15,SEARCH(Settings!$I$14:$I$83,Z90)/(Settings!$I$14:$I$83&lt;&gt;""),Settings!$J$14:$J$83),"Other"))))</f>
        <v/>
      </c>
      <c r="BD90">
        <f>IF($B90="","",IF(AA90="","Not rostered",IFERROR(INDEX(Settings!$C$14:$C$33,MATCH(AA90,Settings!$B$14:$B$33,0)),IFERROR(LOOKUP(2^15,SEARCH(Settings!$I$14:$I$83,AA90)/(Settings!$I$14:$I$83&lt;&gt;""),Settings!$J$14:$J$83),"Other"))))</f>
        <v/>
      </c>
      <c r="BE90">
        <f>IF($B90="","",IF(AB90="","Not rostered",IFERROR(INDEX(Settings!$C$14:$C$33,MATCH(AB90,Settings!$B$14:$B$33,0)),IFERROR(LOOKUP(2^15,SEARCH(Settings!$I$14:$I$83,AB90)/(Settings!$I$14:$I$83&lt;&gt;""),Settings!$J$14:$J$83),"Other"))))</f>
        <v/>
      </c>
      <c r="BF90">
        <f>IF($B90="","",IF(AC90="","Not rostered",IFERROR(INDEX(Settings!$C$14:$C$33,MATCH(AC90,Settings!$B$14:$B$33,0)),IFERROR(LOOKUP(2^15,SEARCH(Settings!$I$14:$I$83,AC90)/(Settings!$I$14:$I$83&lt;&gt;""),Settings!$J$14:$J$83),"Other"))))</f>
        <v/>
      </c>
      <c r="BG90">
        <f>IF($B90="","",IF(AD90="","Not rostered",IFERROR(INDEX(Settings!$C$14:$C$33,MATCH(AD90,Settings!$B$14:$B$33,0)),IFERROR(LOOKUP(2^15,SEARCH(Settings!$I$14:$I$83,AD90)/(Settings!$I$14:$I$83&lt;&gt;""),Settings!$J$14:$J$83),"Other"))))</f>
        <v/>
      </c>
      <c r="BH90">
        <f>IF($B90="","",IF(AE90="","Not rostered",IFERROR(INDEX(Settings!$C$14:$C$33,MATCH(AE90,Settings!$B$14:$B$33,0)),IFERROR(LOOKUP(2^15,SEARCH(Settings!$I$14:$I$83,AE90)/(Settings!$I$14:$I$83&lt;&gt;""),Settings!$J$14:$J$83),"Other"))))</f>
        <v/>
      </c>
      <c r="BI90">
        <f>IF($B90="","",IF(AF90="","Not rostered",IFERROR(INDEX(Settings!$C$14:$C$33,MATCH(AF90,Settings!$B$14:$B$33,0)),IFERROR(LOOKUP(2^15,SEARCH(Settings!$I$14:$I$83,AF90)/(Settings!$I$14:$I$83&lt;&gt;""),Settings!$J$14:$J$83),"Other"))))</f>
        <v/>
      </c>
      <c r="BJ90">
        <f>IF($B90="","",IF(AG90="","Not rostered",IFERROR(INDEX(Settings!$C$14:$C$33,MATCH(AG90,Settings!$B$14:$B$33,0)),IFERROR(LOOKUP(2^15,SEARCH(Settings!$I$14:$I$83,AG90)/(Settings!$I$14:$I$83&lt;&gt;""),Settings!$J$14:$J$83),"Other"))))</f>
        <v/>
      </c>
      <c r="BL90">
        <f>IF(OR($B90="",F90=""),"",IFERROR(INDEX(Settings!$D$14:$D$33,MATCH(F90,Settings!$B$14:$B$33,0))&amp;"",IFERROR(LOOKUP(2^15,SEARCH(Settings!$F$14:$F$43,F90)/(Settings!$F$14:$F$43&lt;&gt;""),Settings!$G$14:$G$43),"")))</f>
        <v/>
      </c>
      <c r="BM90">
        <f>IF(OR($B90="",G90=""),"",IFERROR(INDEX(Settings!$D$14:$D$33,MATCH(G90,Settings!$B$14:$B$33,0))&amp;"",IFERROR(LOOKUP(2^15,SEARCH(Settings!$F$14:$F$43,G90)/(Settings!$F$14:$F$43&lt;&gt;""),Settings!$G$14:$G$43),"")))</f>
        <v/>
      </c>
      <c r="BN90">
        <f>IF(OR($B90="",H90=""),"",IFERROR(INDEX(Settings!$D$14:$D$33,MATCH(H90,Settings!$B$14:$B$33,0))&amp;"",IFERROR(LOOKUP(2^15,SEARCH(Settings!$F$14:$F$43,H90)/(Settings!$F$14:$F$43&lt;&gt;""),Settings!$G$14:$G$43),"")))</f>
        <v/>
      </c>
      <c r="BO90">
        <f>IF(OR($B90="",I90=""),"",IFERROR(INDEX(Settings!$D$14:$D$33,MATCH(I90,Settings!$B$14:$B$33,0))&amp;"",IFERROR(LOOKUP(2^15,SEARCH(Settings!$F$14:$F$43,I90)/(Settings!$F$14:$F$43&lt;&gt;""),Settings!$G$14:$G$43),"")))</f>
        <v/>
      </c>
      <c r="BP90">
        <f>IF(OR($B90="",J90=""),"",IFERROR(INDEX(Settings!$D$14:$D$33,MATCH(J90,Settings!$B$14:$B$33,0))&amp;"",IFERROR(LOOKUP(2^15,SEARCH(Settings!$F$14:$F$43,J90)/(Settings!$F$14:$F$43&lt;&gt;""),Settings!$G$14:$G$43),"")))</f>
        <v/>
      </c>
      <c r="BQ90">
        <f>IF(OR($B90="",K90=""),"",IFERROR(INDEX(Settings!$D$14:$D$33,MATCH(K90,Settings!$B$14:$B$33,0))&amp;"",IFERROR(LOOKUP(2^15,SEARCH(Settings!$F$14:$F$43,K90)/(Settings!$F$14:$F$43&lt;&gt;""),Settings!$G$14:$G$43),"")))</f>
        <v/>
      </c>
      <c r="BR90">
        <f>IF(OR($B90="",L90=""),"",IFERROR(INDEX(Settings!$D$14:$D$33,MATCH(L90,Settings!$B$14:$B$33,0))&amp;"",IFERROR(LOOKUP(2^15,SEARCH(Settings!$F$14:$F$43,L90)/(Settings!$F$14:$F$43&lt;&gt;""),Settings!$G$14:$G$43),"")))</f>
        <v/>
      </c>
      <c r="BS90">
        <f>IF(OR($B90="",M90=""),"",IFERROR(INDEX(Settings!$D$14:$D$33,MATCH(M90,Settings!$B$14:$B$33,0))&amp;"",IFERROR(LOOKUP(2^15,SEARCH(Settings!$F$14:$F$43,M90)/(Settings!$F$14:$F$43&lt;&gt;""),Settings!$G$14:$G$43),"")))</f>
        <v/>
      </c>
      <c r="BT90">
        <f>IF(OR($B90="",N90=""),"",IFERROR(INDEX(Settings!$D$14:$D$33,MATCH(N90,Settings!$B$14:$B$33,0))&amp;"",IFERROR(LOOKUP(2^15,SEARCH(Settings!$F$14:$F$43,N90)/(Settings!$F$14:$F$43&lt;&gt;""),Settings!$G$14:$G$43),"")))</f>
        <v/>
      </c>
      <c r="BU90">
        <f>IF(OR($B90="",O90=""),"",IFERROR(INDEX(Settings!$D$14:$D$33,MATCH(O90,Settings!$B$14:$B$33,0))&amp;"",IFERROR(LOOKUP(2^15,SEARCH(Settings!$F$14:$F$43,O90)/(Settings!$F$14:$F$43&lt;&gt;""),Settings!$G$14:$G$43),"")))</f>
        <v/>
      </c>
      <c r="BV90">
        <f>IF(OR($B90="",P90=""),"",IFERROR(INDEX(Settings!$D$14:$D$33,MATCH(P90,Settings!$B$14:$B$33,0))&amp;"",IFERROR(LOOKUP(2^15,SEARCH(Settings!$F$14:$F$43,P90)/(Settings!$F$14:$F$43&lt;&gt;""),Settings!$G$14:$G$43),"")))</f>
        <v/>
      </c>
      <c r="BW90">
        <f>IF(OR($B90="",Q90=""),"",IFERROR(INDEX(Settings!$D$14:$D$33,MATCH(Q90,Settings!$B$14:$B$33,0))&amp;"",IFERROR(LOOKUP(2^15,SEARCH(Settings!$F$14:$F$43,Q90)/(Settings!$F$14:$F$43&lt;&gt;""),Settings!$G$14:$G$43),"")))</f>
        <v/>
      </c>
      <c r="BX90">
        <f>IF(OR($B90="",R90=""),"",IFERROR(INDEX(Settings!$D$14:$D$33,MATCH(R90,Settings!$B$14:$B$33,0))&amp;"",IFERROR(LOOKUP(2^15,SEARCH(Settings!$F$14:$F$43,R90)/(Settings!$F$14:$F$43&lt;&gt;""),Settings!$G$14:$G$43),"")))</f>
        <v/>
      </c>
      <c r="BY90">
        <f>IF(OR($B90="",S90=""),"",IFERROR(INDEX(Settings!$D$14:$D$33,MATCH(S90,Settings!$B$14:$B$33,0))&amp;"",IFERROR(LOOKUP(2^15,SEARCH(Settings!$F$14:$F$43,S90)/(Settings!$F$14:$F$43&lt;&gt;""),Settings!$G$14:$G$43),"")))</f>
        <v/>
      </c>
      <c r="BZ90">
        <f>IF(OR($B90="",T90=""),"",IFERROR(INDEX(Settings!$D$14:$D$33,MATCH(T90,Settings!$B$14:$B$33,0))&amp;"",IFERROR(LOOKUP(2^15,SEARCH(Settings!$F$14:$F$43,T90)/(Settings!$F$14:$F$43&lt;&gt;""),Settings!$G$14:$G$43),"")))</f>
        <v/>
      </c>
      <c r="CA90">
        <f>IF(OR($B90="",U90=""),"",IFERROR(INDEX(Settings!$D$14:$D$33,MATCH(U90,Settings!$B$14:$B$33,0))&amp;"",IFERROR(LOOKUP(2^15,SEARCH(Settings!$F$14:$F$43,U90)/(Settings!$F$14:$F$43&lt;&gt;""),Settings!$G$14:$G$43),"")))</f>
        <v/>
      </c>
      <c r="CB90">
        <f>IF(OR($B90="",V90=""),"",IFERROR(INDEX(Settings!$D$14:$D$33,MATCH(V90,Settings!$B$14:$B$33,0))&amp;"",IFERROR(LOOKUP(2^15,SEARCH(Settings!$F$14:$F$43,V90)/(Settings!$F$14:$F$43&lt;&gt;""),Settings!$G$14:$G$43),"")))</f>
        <v/>
      </c>
      <c r="CC90">
        <f>IF(OR($B90="",W90=""),"",IFERROR(INDEX(Settings!$D$14:$D$33,MATCH(W90,Settings!$B$14:$B$33,0))&amp;"",IFERROR(LOOKUP(2^15,SEARCH(Settings!$F$14:$F$43,W90)/(Settings!$F$14:$F$43&lt;&gt;""),Settings!$G$14:$G$43),"")))</f>
        <v/>
      </c>
      <c r="CD90">
        <f>IF(OR($B90="",X90=""),"",IFERROR(INDEX(Settings!$D$14:$D$33,MATCH(X90,Settings!$B$14:$B$33,0))&amp;"",IFERROR(LOOKUP(2^15,SEARCH(Settings!$F$14:$F$43,X90)/(Settings!$F$14:$F$43&lt;&gt;""),Settings!$G$14:$G$43),"")))</f>
        <v/>
      </c>
      <c r="CE90">
        <f>IF(OR($B90="",Y90=""),"",IFERROR(INDEX(Settings!$D$14:$D$33,MATCH(Y90,Settings!$B$14:$B$33,0))&amp;"",IFERROR(LOOKUP(2^15,SEARCH(Settings!$F$14:$F$43,Y90)/(Settings!$F$14:$F$43&lt;&gt;""),Settings!$G$14:$G$43),"")))</f>
        <v/>
      </c>
      <c r="CF90">
        <f>IF(OR($B90="",Z90=""),"",IFERROR(INDEX(Settings!$D$14:$D$33,MATCH(Z90,Settings!$B$14:$B$33,0))&amp;"",IFERROR(LOOKUP(2^15,SEARCH(Settings!$F$14:$F$43,Z90)/(Settings!$F$14:$F$43&lt;&gt;""),Settings!$G$14:$G$43),"")))</f>
        <v/>
      </c>
      <c r="CG90">
        <f>IF(OR($B90="",AA90=""),"",IFERROR(INDEX(Settings!$D$14:$D$33,MATCH(AA90,Settings!$B$14:$B$33,0))&amp;"",IFERROR(LOOKUP(2^15,SEARCH(Settings!$F$14:$F$43,AA90)/(Settings!$F$14:$F$43&lt;&gt;""),Settings!$G$14:$G$43),"")))</f>
        <v/>
      </c>
      <c r="CH90">
        <f>IF(OR($B90="",AB90=""),"",IFERROR(INDEX(Settings!$D$14:$D$33,MATCH(AB90,Settings!$B$14:$B$33,0))&amp;"",IFERROR(LOOKUP(2^15,SEARCH(Settings!$F$14:$F$43,AB90)/(Settings!$F$14:$F$43&lt;&gt;""),Settings!$G$14:$G$43),"")))</f>
        <v/>
      </c>
      <c r="CI90">
        <f>IF(OR($B90="",AC90=""),"",IFERROR(INDEX(Settings!$D$14:$D$33,MATCH(AC90,Settings!$B$14:$B$33,0))&amp;"",IFERROR(LOOKUP(2^15,SEARCH(Settings!$F$14:$F$43,AC90)/(Settings!$F$14:$F$43&lt;&gt;""),Settings!$G$14:$G$43),"")))</f>
        <v/>
      </c>
      <c r="CJ90">
        <f>IF(OR($B90="",AD90=""),"",IFERROR(INDEX(Settings!$D$14:$D$33,MATCH(AD90,Settings!$B$14:$B$33,0))&amp;"",IFERROR(LOOKUP(2^15,SEARCH(Settings!$F$14:$F$43,AD90)/(Settings!$F$14:$F$43&lt;&gt;""),Settings!$G$14:$G$43),"")))</f>
        <v/>
      </c>
      <c r="CK90">
        <f>IF(OR($B90="",AE90=""),"",IFERROR(INDEX(Settings!$D$14:$D$33,MATCH(AE90,Settings!$B$14:$B$33,0))&amp;"",IFERROR(LOOKUP(2^15,SEARCH(Settings!$F$14:$F$43,AE90)/(Settings!$F$14:$F$43&lt;&gt;""),Settings!$G$14:$G$43),"")))</f>
        <v/>
      </c>
      <c r="CL90">
        <f>IF(OR($B90="",AF90=""),"",IFERROR(INDEX(Settings!$D$14:$D$33,MATCH(AF90,Settings!$B$14:$B$33,0))&amp;"",IFERROR(LOOKUP(2^15,SEARCH(Settings!$F$14:$F$43,AF90)/(Settings!$F$14:$F$43&lt;&gt;""),Settings!$G$14:$G$43),"")))</f>
        <v/>
      </c>
      <c r="CM90">
        <f>IF(OR($B90="",AG90=""),"",IFERROR(INDEX(Settings!$D$14:$D$33,MATCH(AG90,Settings!$B$14:$B$33,0))&amp;"",IFERROR(LOOKUP(2^15,SEARCH(Settings!$F$14:$F$43,AG90)/(Settings!$F$14:$F$43&lt;&gt;""),Settings!$G$14:$G$43),"")))</f>
        <v/>
      </c>
    </row>
    <row r="91">
      <c r="A91" t="n">
        <v>89</v>
      </c>
      <c r="B91">
        <f>IFERROR(INDEX(Index!$A$2:$A$202,MATCH(A91,Index!$E$2:$E$202,0)),"")</f>
        <v/>
      </c>
      <c r="D91">
        <f>IF($B91="","",IFERROR(MATCH("Travel*",AI91:BJ91,0),""))</f>
        <v/>
      </c>
      <c r="F91">
        <f>IF(OR($B91="",NOT(ISNUMBER(Settings!$C$9))),"",TRIM(SUBSTITUTE(SUBSTITUTE(INDEX('INPUT - Roster'!$S$1:$SV$206,$B91,Settings!$C$9+0)&amp;"",CHAR(10)," "),CHAR(160)," ")))</f>
        <v/>
      </c>
      <c r="G91">
        <f>IF(OR($B91="",NOT(ISNUMBER(Settings!$C$9))),"",TRIM(SUBSTITUTE(SUBSTITUTE(INDEX('INPUT - Roster'!$S$1:$SV$206,$B91,Settings!$C$9+1)&amp;"",CHAR(10)," "),CHAR(160)," ")))</f>
        <v/>
      </c>
      <c r="H91">
        <f>IF(OR($B91="",NOT(ISNUMBER(Settings!$C$9))),"",TRIM(SUBSTITUTE(SUBSTITUTE(INDEX('INPUT - Roster'!$S$1:$SV$206,$B91,Settings!$C$9+2)&amp;"",CHAR(10)," "),CHAR(160)," ")))</f>
        <v/>
      </c>
      <c r="I91">
        <f>IF(OR($B91="",NOT(ISNUMBER(Settings!$C$9))),"",TRIM(SUBSTITUTE(SUBSTITUTE(INDEX('INPUT - Roster'!$S$1:$SV$206,$B91,Settings!$C$9+3)&amp;"",CHAR(10)," "),CHAR(160)," ")))</f>
        <v/>
      </c>
      <c r="J91">
        <f>IF(OR($B91="",NOT(ISNUMBER(Settings!$C$9))),"",TRIM(SUBSTITUTE(SUBSTITUTE(INDEX('INPUT - Roster'!$S$1:$SV$206,$B91,Settings!$C$9+4)&amp;"",CHAR(10)," "),CHAR(160)," ")))</f>
        <v/>
      </c>
      <c r="K91">
        <f>IF(OR($B91="",NOT(ISNUMBER(Settings!$C$9))),"",TRIM(SUBSTITUTE(SUBSTITUTE(INDEX('INPUT - Roster'!$S$1:$SV$206,$B91,Settings!$C$9+5)&amp;"",CHAR(10)," "),CHAR(160)," ")))</f>
        <v/>
      </c>
      <c r="L91">
        <f>IF(OR($B91="",NOT(ISNUMBER(Settings!$C$9))),"",TRIM(SUBSTITUTE(SUBSTITUTE(INDEX('INPUT - Roster'!$S$1:$SV$206,$B91,Settings!$C$9+6)&amp;"",CHAR(10)," "),CHAR(160)," ")))</f>
        <v/>
      </c>
      <c r="M91">
        <f>IF(OR($B91="",NOT(ISNUMBER(Settings!$C$9))),"",TRIM(SUBSTITUTE(SUBSTITUTE(INDEX('INPUT - Roster'!$S$1:$SV$206,$B91,Settings!$C$9+7)&amp;"",CHAR(10)," "),CHAR(160)," ")))</f>
        <v/>
      </c>
      <c r="N91">
        <f>IF(OR($B91="",NOT(ISNUMBER(Settings!$C$9))),"",TRIM(SUBSTITUTE(SUBSTITUTE(INDEX('INPUT - Roster'!$S$1:$SV$206,$B91,Settings!$C$9+8)&amp;"",CHAR(10)," "),CHAR(160)," ")))</f>
        <v/>
      </c>
      <c r="O91">
        <f>IF(OR($B91="",NOT(ISNUMBER(Settings!$C$9))),"",TRIM(SUBSTITUTE(SUBSTITUTE(INDEX('INPUT - Roster'!$S$1:$SV$206,$B91,Settings!$C$9+9)&amp;"",CHAR(10)," "),CHAR(160)," ")))</f>
        <v/>
      </c>
      <c r="P91">
        <f>IF(OR($B91="",NOT(ISNUMBER(Settings!$C$9))),"",TRIM(SUBSTITUTE(SUBSTITUTE(INDEX('INPUT - Roster'!$S$1:$SV$206,$B91,Settings!$C$9+10)&amp;"",CHAR(10)," "),CHAR(160)," ")))</f>
        <v/>
      </c>
      <c r="Q91">
        <f>IF(OR($B91="",NOT(ISNUMBER(Settings!$C$9))),"",TRIM(SUBSTITUTE(SUBSTITUTE(INDEX('INPUT - Roster'!$S$1:$SV$206,$B91,Settings!$C$9+11)&amp;"",CHAR(10)," "),CHAR(160)," ")))</f>
        <v/>
      </c>
      <c r="R91">
        <f>IF(OR($B91="",NOT(ISNUMBER(Settings!$C$9))),"",TRIM(SUBSTITUTE(SUBSTITUTE(INDEX('INPUT - Roster'!$S$1:$SV$206,$B91,Settings!$C$9+12)&amp;"",CHAR(10)," "),CHAR(160)," ")))</f>
        <v/>
      </c>
      <c r="S91">
        <f>IF(OR($B91="",NOT(ISNUMBER(Settings!$C$9))),"",TRIM(SUBSTITUTE(SUBSTITUTE(INDEX('INPUT - Roster'!$S$1:$SV$206,$B91,Settings!$C$9+13)&amp;"",CHAR(10)," "),CHAR(160)," ")))</f>
        <v/>
      </c>
      <c r="T91">
        <f>IF(OR($B91="",NOT(ISNUMBER(Settings!$C$9))),"",TRIM(SUBSTITUTE(SUBSTITUTE(INDEX('INPUT - Roster'!$S$1:$SV$206,$B91,Settings!$C$9+14)&amp;"",CHAR(10)," "),CHAR(160)," ")))</f>
        <v/>
      </c>
      <c r="U91">
        <f>IF(OR($B91="",NOT(ISNUMBER(Settings!$C$9))),"",TRIM(SUBSTITUTE(SUBSTITUTE(INDEX('INPUT - Roster'!$S$1:$SV$206,$B91,Settings!$C$9+15)&amp;"",CHAR(10)," "),CHAR(160)," ")))</f>
        <v/>
      </c>
      <c r="V91">
        <f>IF(OR($B91="",NOT(ISNUMBER(Settings!$C$9))),"",TRIM(SUBSTITUTE(SUBSTITUTE(INDEX('INPUT - Roster'!$S$1:$SV$206,$B91,Settings!$C$9+16)&amp;"",CHAR(10)," "),CHAR(160)," ")))</f>
        <v/>
      </c>
      <c r="W91">
        <f>IF(OR($B91="",NOT(ISNUMBER(Settings!$C$9))),"",TRIM(SUBSTITUTE(SUBSTITUTE(INDEX('INPUT - Roster'!$S$1:$SV$206,$B91,Settings!$C$9+17)&amp;"",CHAR(10)," "),CHAR(160)," ")))</f>
        <v/>
      </c>
      <c r="X91">
        <f>IF(OR($B91="",NOT(ISNUMBER(Settings!$C$9))),"",TRIM(SUBSTITUTE(SUBSTITUTE(INDEX('INPUT - Roster'!$S$1:$SV$206,$B91,Settings!$C$9+18)&amp;"",CHAR(10)," "),CHAR(160)," ")))</f>
        <v/>
      </c>
      <c r="Y91">
        <f>IF(OR($B91="",NOT(ISNUMBER(Settings!$C$9))),"",TRIM(SUBSTITUTE(SUBSTITUTE(INDEX('INPUT - Roster'!$S$1:$SV$206,$B91,Settings!$C$9+19)&amp;"",CHAR(10)," "),CHAR(160)," ")))</f>
        <v/>
      </c>
      <c r="Z91">
        <f>IF(OR($B91="",NOT(ISNUMBER(Settings!$C$9))),"",TRIM(SUBSTITUTE(SUBSTITUTE(INDEX('INPUT - Roster'!$S$1:$SV$206,$B91,Settings!$C$9+20)&amp;"",CHAR(10)," "),CHAR(160)," ")))</f>
        <v/>
      </c>
      <c r="AA91">
        <f>IF(OR($B91="",NOT(ISNUMBER(Settings!$C$9))),"",TRIM(SUBSTITUTE(SUBSTITUTE(INDEX('INPUT - Roster'!$S$1:$SV$206,$B91,Settings!$C$9+21)&amp;"",CHAR(10)," "),CHAR(160)," ")))</f>
        <v/>
      </c>
      <c r="AB91">
        <f>IF(OR($B91="",NOT(ISNUMBER(Settings!$C$9))),"",TRIM(SUBSTITUTE(SUBSTITUTE(INDEX('INPUT - Roster'!$S$1:$SV$206,$B91,Settings!$C$9+22)&amp;"",CHAR(10)," "),CHAR(160)," ")))</f>
        <v/>
      </c>
      <c r="AC91">
        <f>IF(OR($B91="",NOT(ISNUMBER(Settings!$C$9))),"",TRIM(SUBSTITUTE(SUBSTITUTE(INDEX('INPUT - Roster'!$S$1:$SV$206,$B91,Settings!$C$9+23)&amp;"",CHAR(10)," "),CHAR(160)," ")))</f>
        <v/>
      </c>
      <c r="AD91">
        <f>IF(OR($B91="",NOT(ISNUMBER(Settings!$C$9))),"",TRIM(SUBSTITUTE(SUBSTITUTE(INDEX('INPUT - Roster'!$S$1:$SV$206,$B91,Settings!$C$9+24)&amp;"",CHAR(10)," "),CHAR(160)," ")))</f>
        <v/>
      </c>
      <c r="AE91">
        <f>IF(OR($B91="",NOT(ISNUMBER(Settings!$C$9))),"",TRIM(SUBSTITUTE(SUBSTITUTE(INDEX('INPUT - Roster'!$S$1:$SV$206,$B91,Settings!$C$9+25)&amp;"",CHAR(10)," "),CHAR(160)," ")))</f>
        <v/>
      </c>
      <c r="AF91">
        <f>IF(OR($B91="",NOT(ISNUMBER(Settings!$C$9))),"",TRIM(SUBSTITUTE(SUBSTITUTE(INDEX('INPUT - Roster'!$S$1:$SV$206,$B91,Settings!$C$9+26)&amp;"",CHAR(10)," "),CHAR(160)," ")))</f>
        <v/>
      </c>
      <c r="AG91">
        <f>IF(OR($B91="",NOT(ISNUMBER(Settings!$C$9))),"",TRIM(SUBSTITUTE(SUBSTITUTE(INDEX('INPUT - Roster'!$S$1:$SV$206,$B91,Settings!$C$9+27)&amp;"",CHAR(10)," "),CHAR(160)," ")))</f>
        <v/>
      </c>
      <c r="AI91">
        <f>IF($B91="","",IF(F91="","Not rostered",IFERROR(INDEX(Settings!$C$14:$C$33,MATCH(F91,Settings!$B$14:$B$33,0)),IFERROR(LOOKUP(2^15,SEARCH(Settings!$I$14:$I$83,F91)/(Settings!$I$14:$I$83&lt;&gt;""),Settings!$J$14:$J$83),"Other"))))</f>
        <v/>
      </c>
      <c r="AJ91">
        <f>IF($B91="","",IF(G91="","Not rostered",IFERROR(INDEX(Settings!$C$14:$C$33,MATCH(G91,Settings!$B$14:$B$33,0)),IFERROR(LOOKUP(2^15,SEARCH(Settings!$I$14:$I$83,G91)/(Settings!$I$14:$I$83&lt;&gt;""),Settings!$J$14:$J$83),"Other"))))</f>
        <v/>
      </c>
      <c r="AK91">
        <f>IF($B91="","",IF(H91="","Not rostered",IFERROR(INDEX(Settings!$C$14:$C$33,MATCH(H91,Settings!$B$14:$B$33,0)),IFERROR(LOOKUP(2^15,SEARCH(Settings!$I$14:$I$83,H91)/(Settings!$I$14:$I$83&lt;&gt;""),Settings!$J$14:$J$83),"Other"))))</f>
        <v/>
      </c>
      <c r="AL91">
        <f>IF($B91="","",IF(I91="","Not rostered",IFERROR(INDEX(Settings!$C$14:$C$33,MATCH(I91,Settings!$B$14:$B$33,0)),IFERROR(LOOKUP(2^15,SEARCH(Settings!$I$14:$I$83,I91)/(Settings!$I$14:$I$83&lt;&gt;""),Settings!$J$14:$J$83),"Other"))))</f>
        <v/>
      </c>
      <c r="AM91">
        <f>IF($B91="","",IF(J91="","Not rostered",IFERROR(INDEX(Settings!$C$14:$C$33,MATCH(J91,Settings!$B$14:$B$33,0)),IFERROR(LOOKUP(2^15,SEARCH(Settings!$I$14:$I$83,J91)/(Settings!$I$14:$I$83&lt;&gt;""),Settings!$J$14:$J$83),"Other"))))</f>
        <v/>
      </c>
      <c r="AN91">
        <f>IF($B91="","",IF(K91="","Not rostered",IFERROR(INDEX(Settings!$C$14:$C$33,MATCH(K91,Settings!$B$14:$B$33,0)),IFERROR(LOOKUP(2^15,SEARCH(Settings!$I$14:$I$83,K91)/(Settings!$I$14:$I$83&lt;&gt;""),Settings!$J$14:$J$83),"Other"))))</f>
        <v/>
      </c>
      <c r="AO91">
        <f>IF($B91="","",IF(L91="","Not rostered",IFERROR(INDEX(Settings!$C$14:$C$33,MATCH(L91,Settings!$B$14:$B$33,0)),IFERROR(LOOKUP(2^15,SEARCH(Settings!$I$14:$I$83,L91)/(Settings!$I$14:$I$83&lt;&gt;""),Settings!$J$14:$J$83),"Other"))))</f>
        <v/>
      </c>
      <c r="AP91">
        <f>IF($B91="","",IF(M91="","Not rostered",IFERROR(INDEX(Settings!$C$14:$C$33,MATCH(M91,Settings!$B$14:$B$33,0)),IFERROR(LOOKUP(2^15,SEARCH(Settings!$I$14:$I$83,M91)/(Settings!$I$14:$I$83&lt;&gt;""),Settings!$J$14:$J$83),"Other"))))</f>
        <v/>
      </c>
      <c r="AQ91">
        <f>IF($B91="","",IF(N91="","Not rostered",IFERROR(INDEX(Settings!$C$14:$C$33,MATCH(N91,Settings!$B$14:$B$33,0)),IFERROR(LOOKUP(2^15,SEARCH(Settings!$I$14:$I$83,N91)/(Settings!$I$14:$I$83&lt;&gt;""),Settings!$J$14:$J$83),"Other"))))</f>
        <v/>
      </c>
      <c r="AR91">
        <f>IF($B91="","",IF(O91="","Not rostered",IFERROR(INDEX(Settings!$C$14:$C$33,MATCH(O91,Settings!$B$14:$B$33,0)),IFERROR(LOOKUP(2^15,SEARCH(Settings!$I$14:$I$83,O91)/(Settings!$I$14:$I$83&lt;&gt;""),Settings!$J$14:$J$83),"Other"))))</f>
        <v/>
      </c>
      <c r="AS91">
        <f>IF($B91="","",IF(P91="","Not rostered",IFERROR(INDEX(Settings!$C$14:$C$33,MATCH(P91,Settings!$B$14:$B$33,0)),IFERROR(LOOKUP(2^15,SEARCH(Settings!$I$14:$I$83,P91)/(Settings!$I$14:$I$83&lt;&gt;""),Settings!$J$14:$J$83),"Other"))))</f>
        <v/>
      </c>
      <c r="AT91">
        <f>IF($B91="","",IF(Q91="","Not rostered",IFERROR(INDEX(Settings!$C$14:$C$33,MATCH(Q91,Settings!$B$14:$B$33,0)),IFERROR(LOOKUP(2^15,SEARCH(Settings!$I$14:$I$83,Q91)/(Settings!$I$14:$I$83&lt;&gt;""),Settings!$J$14:$J$83),"Other"))))</f>
        <v/>
      </c>
      <c r="AU91">
        <f>IF($B91="","",IF(R91="","Not rostered",IFERROR(INDEX(Settings!$C$14:$C$33,MATCH(R91,Settings!$B$14:$B$33,0)),IFERROR(LOOKUP(2^15,SEARCH(Settings!$I$14:$I$83,R91)/(Settings!$I$14:$I$83&lt;&gt;""),Settings!$J$14:$J$83),"Other"))))</f>
        <v/>
      </c>
      <c r="AV91">
        <f>IF($B91="","",IF(S91="","Not rostered",IFERROR(INDEX(Settings!$C$14:$C$33,MATCH(S91,Settings!$B$14:$B$33,0)),IFERROR(LOOKUP(2^15,SEARCH(Settings!$I$14:$I$83,S91)/(Settings!$I$14:$I$83&lt;&gt;""),Settings!$J$14:$J$83),"Other"))))</f>
        <v/>
      </c>
      <c r="AW91">
        <f>IF($B91="","",IF(T91="","Not rostered",IFERROR(INDEX(Settings!$C$14:$C$33,MATCH(T91,Settings!$B$14:$B$33,0)),IFERROR(LOOKUP(2^15,SEARCH(Settings!$I$14:$I$83,T91)/(Settings!$I$14:$I$83&lt;&gt;""),Settings!$J$14:$J$83),"Other"))))</f>
        <v/>
      </c>
      <c r="AX91">
        <f>IF($B91="","",IF(U91="","Not rostered",IFERROR(INDEX(Settings!$C$14:$C$33,MATCH(U91,Settings!$B$14:$B$33,0)),IFERROR(LOOKUP(2^15,SEARCH(Settings!$I$14:$I$83,U91)/(Settings!$I$14:$I$83&lt;&gt;""),Settings!$J$14:$J$83),"Other"))))</f>
        <v/>
      </c>
      <c r="AY91">
        <f>IF($B91="","",IF(V91="","Not rostered",IFERROR(INDEX(Settings!$C$14:$C$33,MATCH(V91,Settings!$B$14:$B$33,0)),IFERROR(LOOKUP(2^15,SEARCH(Settings!$I$14:$I$83,V91)/(Settings!$I$14:$I$83&lt;&gt;""),Settings!$J$14:$J$83),"Other"))))</f>
        <v/>
      </c>
      <c r="AZ91">
        <f>IF($B91="","",IF(W91="","Not rostered",IFERROR(INDEX(Settings!$C$14:$C$33,MATCH(W91,Settings!$B$14:$B$33,0)),IFERROR(LOOKUP(2^15,SEARCH(Settings!$I$14:$I$83,W91)/(Settings!$I$14:$I$83&lt;&gt;""),Settings!$J$14:$J$83),"Other"))))</f>
        <v/>
      </c>
      <c r="BA91">
        <f>IF($B91="","",IF(X91="","Not rostered",IFERROR(INDEX(Settings!$C$14:$C$33,MATCH(X91,Settings!$B$14:$B$33,0)),IFERROR(LOOKUP(2^15,SEARCH(Settings!$I$14:$I$83,X91)/(Settings!$I$14:$I$83&lt;&gt;""),Settings!$J$14:$J$83),"Other"))))</f>
        <v/>
      </c>
      <c r="BB91">
        <f>IF($B91="","",IF(Y91="","Not rostered",IFERROR(INDEX(Settings!$C$14:$C$33,MATCH(Y91,Settings!$B$14:$B$33,0)),IFERROR(LOOKUP(2^15,SEARCH(Settings!$I$14:$I$83,Y91)/(Settings!$I$14:$I$83&lt;&gt;""),Settings!$J$14:$J$83),"Other"))))</f>
        <v/>
      </c>
      <c r="BC91">
        <f>IF($B91="","",IF(Z91="","Not rostered",IFERROR(INDEX(Settings!$C$14:$C$33,MATCH(Z91,Settings!$B$14:$B$33,0)),IFERROR(LOOKUP(2^15,SEARCH(Settings!$I$14:$I$83,Z91)/(Settings!$I$14:$I$83&lt;&gt;""),Settings!$J$14:$J$83),"Other"))))</f>
        <v/>
      </c>
      <c r="BD91">
        <f>IF($B91="","",IF(AA91="","Not rostered",IFERROR(INDEX(Settings!$C$14:$C$33,MATCH(AA91,Settings!$B$14:$B$33,0)),IFERROR(LOOKUP(2^15,SEARCH(Settings!$I$14:$I$83,AA91)/(Settings!$I$14:$I$83&lt;&gt;""),Settings!$J$14:$J$83),"Other"))))</f>
        <v/>
      </c>
      <c r="BE91">
        <f>IF($B91="","",IF(AB91="","Not rostered",IFERROR(INDEX(Settings!$C$14:$C$33,MATCH(AB91,Settings!$B$14:$B$33,0)),IFERROR(LOOKUP(2^15,SEARCH(Settings!$I$14:$I$83,AB91)/(Settings!$I$14:$I$83&lt;&gt;""),Settings!$J$14:$J$83),"Other"))))</f>
        <v/>
      </c>
      <c r="BF91">
        <f>IF($B91="","",IF(AC91="","Not rostered",IFERROR(INDEX(Settings!$C$14:$C$33,MATCH(AC91,Settings!$B$14:$B$33,0)),IFERROR(LOOKUP(2^15,SEARCH(Settings!$I$14:$I$83,AC91)/(Settings!$I$14:$I$83&lt;&gt;""),Settings!$J$14:$J$83),"Other"))))</f>
        <v/>
      </c>
      <c r="BG91">
        <f>IF($B91="","",IF(AD91="","Not rostered",IFERROR(INDEX(Settings!$C$14:$C$33,MATCH(AD91,Settings!$B$14:$B$33,0)),IFERROR(LOOKUP(2^15,SEARCH(Settings!$I$14:$I$83,AD91)/(Settings!$I$14:$I$83&lt;&gt;""),Settings!$J$14:$J$83),"Other"))))</f>
        <v/>
      </c>
      <c r="BH91">
        <f>IF($B91="","",IF(AE91="","Not rostered",IFERROR(INDEX(Settings!$C$14:$C$33,MATCH(AE91,Settings!$B$14:$B$33,0)),IFERROR(LOOKUP(2^15,SEARCH(Settings!$I$14:$I$83,AE91)/(Settings!$I$14:$I$83&lt;&gt;""),Settings!$J$14:$J$83),"Other"))))</f>
        <v/>
      </c>
      <c r="BI91">
        <f>IF($B91="","",IF(AF91="","Not rostered",IFERROR(INDEX(Settings!$C$14:$C$33,MATCH(AF91,Settings!$B$14:$B$33,0)),IFERROR(LOOKUP(2^15,SEARCH(Settings!$I$14:$I$83,AF91)/(Settings!$I$14:$I$83&lt;&gt;""),Settings!$J$14:$J$83),"Other"))))</f>
        <v/>
      </c>
      <c r="BJ91">
        <f>IF($B91="","",IF(AG91="","Not rostered",IFERROR(INDEX(Settings!$C$14:$C$33,MATCH(AG91,Settings!$B$14:$B$33,0)),IFERROR(LOOKUP(2^15,SEARCH(Settings!$I$14:$I$83,AG91)/(Settings!$I$14:$I$83&lt;&gt;""),Settings!$J$14:$J$83),"Other"))))</f>
        <v/>
      </c>
      <c r="BL91">
        <f>IF(OR($B91="",F91=""),"",IFERROR(INDEX(Settings!$D$14:$D$33,MATCH(F91,Settings!$B$14:$B$33,0))&amp;"",IFERROR(LOOKUP(2^15,SEARCH(Settings!$F$14:$F$43,F91)/(Settings!$F$14:$F$43&lt;&gt;""),Settings!$G$14:$G$43),"")))</f>
        <v/>
      </c>
      <c r="BM91">
        <f>IF(OR($B91="",G91=""),"",IFERROR(INDEX(Settings!$D$14:$D$33,MATCH(G91,Settings!$B$14:$B$33,0))&amp;"",IFERROR(LOOKUP(2^15,SEARCH(Settings!$F$14:$F$43,G91)/(Settings!$F$14:$F$43&lt;&gt;""),Settings!$G$14:$G$43),"")))</f>
        <v/>
      </c>
      <c r="BN91">
        <f>IF(OR($B91="",H91=""),"",IFERROR(INDEX(Settings!$D$14:$D$33,MATCH(H91,Settings!$B$14:$B$33,0))&amp;"",IFERROR(LOOKUP(2^15,SEARCH(Settings!$F$14:$F$43,H91)/(Settings!$F$14:$F$43&lt;&gt;""),Settings!$G$14:$G$43),"")))</f>
        <v/>
      </c>
      <c r="BO91">
        <f>IF(OR($B91="",I91=""),"",IFERROR(INDEX(Settings!$D$14:$D$33,MATCH(I91,Settings!$B$14:$B$33,0))&amp;"",IFERROR(LOOKUP(2^15,SEARCH(Settings!$F$14:$F$43,I91)/(Settings!$F$14:$F$43&lt;&gt;""),Settings!$G$14:$G$43),"")))</f>
        <v/>
      </c>
      <c r="BP91">
        <f>IF(OR($B91="",J91=""),"",IFERROR(INDEX(Settings!$D$14:$D$33,MATCH(J91,Settings!$B$14:$B$33,0))&amp;"",IFERROR(LOOKUP(2^15,SEARCH(Settings!$F$14:$F$43,J91)/(Settings!$F$14:$F$43&lt;&gt;""),Settings!$G$14:$G$43),"")))</f>
        <v/>
      </c>
      <c r="BQ91">
        <f>IF(OR($B91="",K91=""),"",IFERROR(INDEX(Settings!$D$14:$D$33,MATCH(K91,Settings!$B$14:$B$33,0))&amp;"",IFERROR(LOOKUP(2^15,SEARCH(Settings!$F$14:$F$43,K91)/(Settings!$F$14:$F$43&lt;&gt;""),Settings!$G$14:$G$43),"")))</f>
        <v/>
      </c>
      <c r="BR91">
        <f>IF(OR($B91="",L91=""),"",IFERROR(INDEX(Settings!$D$14:$D$33,MATCH(L91,Settings!$B$14:$B$33,0))&amp;"",IFERROR(LOOKUP(2^15,SEARCH(Settings!$F$14:$F$43,L91)/(Settings!$F$14:$F$43&lt;&gt;""),Settings!$G$14:$G$43),"")))</f>
        <v/>
      </c>
      <c r="BS91">
        <f>IF(OR($B91="",M91=""),"",IFERROR(INDEX(Settings!$D$14:$D$33,MATCH(M91,Settings!$B$14:$B$33,0))&amp;"",IFERROR(LOOKUP(2^15,SEARCH(Settings!$F$14:$F$43,M91)/(Settings!$F$14:$F$43&lt;&gt;""),Settings!$G$14:$G$43),"")))</f>
        <v/>
      </c>
      <c r="BT91">
        <f>IF(OR($B91="",N91=""),"",IFERROR(INDEX(Settings!$D$14:$D$33,MATCH(N91,Settings!$B$14:$B$33,0))&amp;"",IFERROR(LOOKUP(2^15,SEARCH(Settings!$F$14:$F$43,N91)/(Settings!$F$14:$F$43&lt;&gt;""),Settings!$G$14:$G$43),"")))</f>
        <v/>
      </c>
      <c r="BU91">
        <f>IF(OR($B91="",O91=""),"",IFERROR(INDEX(Settings!$D$14:$D$33,MATCH(O91,Settings!$B$14:$B$33,0))&amp;"",IFERROR(LOOKUP(2^15,SEARCH(Settings!$F$14:$F$43,O91)/(Settings!$F$14:$F$43&lt;&gt;""),Settings!$G$14:$G$43),"")))</f>
        <v/>
      </c>
      <c r="BV91">
        <f>IF(OR($B91="",P91=""),"",IFERROR(INDEX(Settings!$D$14:$D$33,MATCH(P91,Settings!$B$14:$B$33,0))&amp;"",IFERROR(LOOKUP(2^15,SEARCH(Settings!$F$14:$F$43,P91)/(Settings!$F$14:$F$43&lt;&gt;""),Settings!$G$14:$G$43),"")))</f>
        <v/>
      </c>
      <c r="BW91">
        <f>IF(OR($B91="",Q91=""),"",IFERROR(INDEX(Settings!$D$14:$D$33,MATCH(Q91,Settings!$B$14:$B$33,0))&amp;"",IFERROR(LOOKUP(2^15,SEARCH(Settings!$F$14:$F$43,Q91)/(Settings!$F$14:$F$43&lt;&gt;""),Settings!$G$14:$G$43),"")))</f>
        <v/>
      </c>
      <c r="BX91">
        <f>IF(OR($B91="",R91=""),"",IFERROR(INDEX(Settings!$D$14:$D$33,MATCH(R91,Settings!$B$14:$B$33,0))&amp;"",IFERROR(LOOKUP(2^15,SEARCH(Settings!$F$14:$F$43,R91)/(Settings!$F$14:$F$43&lt;&gt;""),Settings!$G$14:$G$43),"")))</f>
        <v/>
      </c>
      <c r="BY91">
        <f>IF(OR($B91="",S91=""),"",IFERROR(INDEX(Settings!$D$14:$D$33,MATCH(S91,Settings!$B$14:$B$33,0))&amp;"",IFERROR(LOOKUP(2^15,SEARCH(Settings!$F$14:$F$43,S91)/(Settings!$F$14:$F$43&lt;&gt;""),Settings!$G$14:$G$43),"")))</f>
        <v/>
      </c>
      <c r="BZ91">
        <f>IF(OR($B91="",T91=""),"",IFERROR(INDEX(Settings!$D$14:$D$33,MATCH(T91,Settings!$B$14:$B$33,0))&amp;"",IFERROR(LOOKUP(2^15,SEARCH(Settings!$F$14:$F$43,T91)/(Settings!$F$14:$F$43&lt;&gt;""),Settings!$G$14:$G$43),"")))</f>
        <v/>
      </c>
      <c r="CA91">
        <f>IF(OR($B91="",U91=""),"",IFERROR(INDEX(Settings!$D$14:$D$33,MATCH(U91,Settings!$B$14:$B$33,0))&amp;"",IFERROR(LOOKUP(2^15,SEARCH(Settings!$F$14:$F$43,U91)/(Settings!$F$14:$F$43&lt;&gt;""),Settings!$G$14:$G$43),"")))</f>
        <v/>
      </c>
      <c r="CB91">
        <f>IF(OR($B91="",V91=""),"",IFERROR(INDEX(Settings!$D$14:$D$33,MATCH(V91,Settings!$B$14:$B$33,0))&amp;"",IFERROR(LOOKUP(2^15,SEARCH(Settings!$F$14:$F$43,V91)/(Settings!$F$14:$F$43&lt;&gt;""),Settings!$G$14:$G$43),"")))</f>
        <v/>
      </c>
      <c r="CC91">
        <f>IF(OR($B91="",W91=""),"",IFERROR(INDEX(Settings!$D$14:$D$33,MATCH(W91,Settings!$B$14:$B$33,0))&amp;"",IFERROR(LOOKUP(2^15,SEARCH(Settings!$F$14:$F$43,W91)/(Settings!$F$14:$F$43&lt;&gt;""),Settings!$G$14:$G$43),"")))</f>
        <v/>
      </c>
      <c r="CD91">
        <f>IF(OR($B91="",X91=""),"",IFERROR(INDEX(Settings!$D$14:$D$33,MATCH(X91,Settings!$B$14:$B$33,0))&amp;"",IFERROR(LOOKUP(2^15,SEARCH(Settings!$F$14:$F$43,X91)/(Settings!$F$14:$F$43&lt;&gt;""),Settings!$G$14:$G$43),"")))</f>
        <v/>
      </c>
      <c r="CE91">
        <f>IF(OR($B91="",Y91=""),"",IFERROR(INDEX(Settings!$D$14:$D$33,MATCH(Y91,Settings!$B$14:$B$33,0))&amp;"",IFERROR(LOOKUP(2^15,SEARCH(Settings!$F$14:$F$43,Y91)/(Settings!$F$14:$F$43&lt;&gt;""),Settings!$G$14:$G$43),"")))</f>
        <v/>
      </c>
      <c r="CF91">
        <f>IF(OR($B91="",Z91=""),"",IFERROR(INDEX(Settings!$D$14:$D$33,MATCH(Z91,Settings!$B$14:$B$33,0))&amp;"",IFERROR(LOOKUP(2^15,SEARCH(Settings!$F$14:$F$43,Z91)/(Settings!$F$14:$F$43&lt;&gt;""),Settings!$G$14:$G$43),"")))</f>
        <v/>
      </c>
      <c r="CG91">
        <f>IF(OR($B91="",AA91=""),"",IFERROR(INDEX(Settings!$D$14:$D$33,MATCH(AA91,Settings!$B$14:$B$33,0))&amp;"",IFERROR(LOOKUP(2^15,SEARCH(Settings!$F$14:$F$43,AA91)/(Settings!$F$14:$F$43&lt;&gt;""),Settings!$G$14:$G$43),"")))</f>
        <v/>
      </c>
      <c r="CH91">
        <f>IF(OR($B91="",AB91=""),"",IFERROR(INDEX(Settings!$D$14:$D$33,MATCH(AB91,Settings!$B$14:$B$33,0))&amp;"",IFERROR(LOOKUP(2^15,SEARCH(Settings!$F$14:$F$43,AB91)/(Settings!$F$14:$F$43&lt;&gt;""),Settings!$G$14:$G$43),"")))</f>
        <v/>
      </c>
      <c r="CI91">
        <f>IF(OR($B91="",AC91=""),"",IFERROR(INDEX(Settings!$D$14:$D$33,MATCH(AC91,Settings!$B$14:$B$33,0))&amp;"",IFERROR(LOOKUP(2^15,SEARCH(Settings!$F$14:$F$43,AC91)/(Settings!$F$14:$F$43&lt;&gt;""),Settings!$G$14:$G$43),"")))</f>
        <v/>
      </c>
      <c r="CJ91">
        <f>IF(OR($B91="",AD91=""),"",IFERROR(INDEX(Settings!$D$14:$D$33,MATCH(AD91,Settings!$B$14:$B$33,0))&amp;"",IFERROR(LOOKUP(2^15,SEARCH(Settings!$F$14:$F$43,AD91)/(Settings!$F$14:$F$43&lt;&gt;""),Settings!$G$14:$G$43),"")))</f>
        <v/>
      </c>
      <c r="CK91">
        <f>IF(OR($B91="",AE91=""),"",IFERROR(INDEX(Settings!$D$14:$D$33,MATCH(AE91,Settings!$B$14:$B$33,0))&amp;"",IFERROR(LOOKUP(2^15,SEARCH(Settings!$F$14:$F$43,AE91)/(Settings!$F$14:$F$43&lt;&gt;""),Settings!$G$14:$G$43),"")))</f>
        <v/>
      </c>
      <c r="CL91">
        <f>IF(OR($B91="",AF91=""),"",IFERROR(INDEX(Settings!$D$14:$D$33,MATCH(AF91,Settings!$B$14:$B$33,0))&amp;"",IFERROR(LOOKUP(2^15,SEARCH(Settings!$F$14:$F$43,AF91)/(Settings!$F$14:$F$43&lt;&gt;""),Settings!$G$14:$G$43),"")))</f>
        <v/>
      </c>
      <c r="CM91">
        <f>IF(OR($B91="",AG91=""),"",IFERROR(INDEX(Settings!$D$14:$D$33,MATCH(AG91,Settings!$B$14:$B$33,0))&amp;"",IFERROR(LOOKUP(2^15,SEARCH(Settings!$F$14:$F$43,AG91)/(Settings!$F$14:$F$43&lt;&gt;""),Settings!$G$14:$G$43),"")))</f>
        <v/>
      </c>
    </row>
    <row r="92">
      <c r="A92" t="n">
        <v>90</v>
      </c>
      <c r="B92">
        <f>IFERROR(INDEX(Index!$A$2:$A$202,MATCH(A92,Index!$E$2:$E$202,0)),"")</f>
        <v/>
      </c>
      <c r="D92">
        <f>IF($B92="","",IFERROR(MATCH("Travel*",AI92:BJ92,0),""))</f>
        <v/>
      </c>
      <c r="F92">
        <f>IF(OR($B92="",NOT(ISNUMBER(Settings!$C$9))),"",TRIM(SUBSTITUTE(SUBSTITUTE(INDEX('INPUT - Roster'!$S$1:$SV$206,$B92,Settings!$C$9+0)&amp;"",CHAR(10)," "),CHAR(160)," ")))</f>
        <v/>
      </c>
      <c r="G92">
        <f>IF(OR($B92="",NOT(ISNUMBER(Settings!$C$9))),"",TRIM(SUBSTITUTE(SUBSTITUTE(INDEX('INPUT - Roster'!$S$1:$SV$206,$B92,Settings!$C$9+1)&amp;"",CHAR(10)," "),CHAR(160)," ")))</f>
        <v/>
      </c>
      <c r="H92">
        <f>IF(OR($B92="",NOT(ISNUMBER(Settings!$C$9))),"",TRIM(SUBSTITUTE(SUBSTITUTE(INDEX('INPUT - Roster'!$S$1:$SV$206,$B92,Settings!$C$9+2)&amp;"",CHAR(10)," "),CHAR(160)," ")))</f>
        <v/>
      </c>
      <c r="I92">
        <f>IF(OR($B92="",NOT(ISNUMBER(Settings!$C$9))),"",TRIM(SUBSTITUTE(SUBSTITUTE(INDEX('INPUT - Roster'!$S$1:$SV$206,$B92,Settings!$C$9+3)&amp;"",CHAR(10)," "),CHAR(160)," ")))</f>
        <v/>
      </c>
      <c r="J92">
        <f>IF(OR($B92="",NOT(ISNUMBER(Settings!$C$9))),"",TRIM(SUBSTITUTE(SUBSTITUTE(INDEX('INPUT - Roster'!$S$1:$SV$206,$B92,Settings!$C$9+4)&amp;"",CHAR(10)," "),CHAR(160)," ")))</f>
        <v/>
      </c>
      <c r="K92">
        <f>IF(OR($B92="",NOT(ISNUMBER(Settings!$C$9))),"",TRIM(SUBSTITUTE(SUBSTITUTE(INDEX('INPUT - Roster'!$S$1:$SV$206,$B92,Settings!$C$9+5)&amp;"",CHAR(10)," "),CHAR(160)," ")))</f>
        <v/>
      </c>
      <c r="L92">
        <f>IF(OR($B92="",NOT(ISNUMBER(Settings!$C$9))),"",TRIM(SUBSTITUTE(SUBSTITUTE(INDEX('INPUT - Roster'!$S$1:$SV$206,$B92,Settings!$C$9+6)&amp;"",CHAR(10)," "),CHAR(160)," ")))</f>
        <v/>
      </c>
      <c r="M92">
        <f>IF(OR($B92="",NOT(ISNUMBER(Settings!$C$9))),"",TRIM(SUBSTITUTE(SUBSTITUTE(INDEX('INPUT - Roster'!$S$1:$SV$206,$B92,Settings!$C$9+7)&amp;"",CHAR(10)," "),CHAR(160)," ")))</f>
        <v/>
      </c>
      <c r="N92">
        <f>IF(OR($B92="",NOT(ISNUMBER(Settings!$C$9))),"",TRIM(SUBSTITUTE(SUBSTITUTE(INDEX('INPUT - Roster'!$S$1:$SV$206,$B92,Settings!$C$9+8)&amp;"",CHAR(10)," "),CHAR(160)," ")))</f>
        <v/>
      </c>
      <c r="O92">
        <f>IF(OR($B92="",NOT(ISNUMBER(Settings!$C$9))),"",TRIM(SUBSTITUTE(SUBSTITUTE(INDEX('INPUT - Roster'!$S$1:$SV$206,$B92,Settings!$C$9+9)&amp;"",CHAR(10)," "),CHAR(160)," ")))</f>
        <v/>
      </c>
      <c r="P92">
        <f>IF(OR($B92="",NOT(ISNUMBER(Settings!$C$9))),"",TRIM(SUBSTITUTE(SUBSTITUTE(INDEX('INPUT - Roster'!$S$1:$SV$206,$B92,Settings!$C$9+10)&amp;"",CHAR(10)," "),CHAR(160)," ")))</f>
        <v/>
      </c>
      <c r="Q92">
        <f>IF(OR($B92="",NOT(ISNUMBER(Settings!$C$9))),"",TRIM(SUBSTITUTE(SUBSTITUTE(INDEX('INPUT - Roster'!$S$1:$SV$206,$B92,Settings!$C$9+11)&amp;"",CHAR(10)," "),CHAR(160)," ")))</f>
        <v/>
      </c>
      <c r="R92">
        <f>IF(OR($B92="",NOT(ISNUMBER(Settings!$C$9))),"",TRIM(SUBSTITUTE(SUBSTITUTE(INDEX('INPUT - Roster'!$S$1:$SV$206,$B92,Settings!$C$9+12)&amp;"",CHAR(10)," "),CHAR(160)," ")))</f>
        <v/>
      </c>
      <c r="S92">
        <f>IF(OR($B92="",NOT(ISNUMBER(Settings!$C$9))),"",TRIM(SUBSTITUTE(SUBSTITUTE(INDEX('INPUT - Roster'!$S$1:$SV$206,$B92,Settings!$C$9+13)&amp;"",CHAR(10)," "),CHAR(160)," ")))</f>
        <v/>
      </c>
      <c r="T92">
        <f>IF(OR($B92="",NOT(ISNUMBER(Settings!$C$9))),"",TRIM(SUBSTITUTE(SUBSTITUTE(INDEX('INPUT - Roster'!$S$1:$SV$206,$B92,Settings!$C$9+14)&amp;"",CHAR(10)," "),CHAR(160)," ")))</f>
        <v/>
      </c>
      <c r="U92">
        <f>IF(OR($B92="",NOT(ISNUMBER(Settings!$C$9))),"",TRIM(SUBSTITUTE(SUBSTITUTE(INDEX('INPUT - Roster'!$S$1:$SV$206,$B92,Settings!$C$9+15)&amp;"",CHAR(10)," "),CHAR(160)," ")))</f>
        <v/>
      </c>
      <c r="V92">
        <f>IF(OR($B92="",NOT(ISNUMBER(Settings!$C$9))),"",TRIM(SUBSTITUTE(SUBSTITUTE(INDEX('INPUT - Roster'!$S$1:$SV$206,$B92,Settings!$C$9+16)&amp;"",CHAR(10)," "),CHAR(160)," ")))</f>
        <v/>
      </c>
      <c r="W92">
        <f>IF(OR($B92="",NOT(ISNUMBER(Settings!$C$9))),"",TRIM(SUBSTITUTE(SUBSTITUTE(INDEX('INPUT - Roster'!$S$1:$SV$206,$B92,Settings!$C$9+17)&amp;"",CHAR(10)," "),CHAR(160)," ")))</f>
        <v/>
      </c>
      <c r="X92">
        <f>IF(OR($B92="",NOT(ISNUMBER(Settings!$C$9))),"",TRIM(SUBSTITUTE(SUBSTITUTE(INDEX('INPUT - Roster'!$S$1:$SV$206,$B92,Settings!$C$9+18)&amp;"",CHAR(10)," "),CHAR(160)," ")))</f>
        <v/>
      </c>
      <c r="Y92">
        <f>IF(OR($B92="",NOT(ISNUMBER(Settings!$C$9))),"",TRIM(SUBSTITUTE(SUBSTITUTE(INDEX('INPUT - Roster'!$S$1:$SV$206,$B92,Settings!$C$9+19)&amp;"",CHAR(10)," "),CHAR(160)," ")))</f>
        <v/>
      </c>
      <c r="Z92">
        <f>IF(OR($B92="",NOT(ISNUMBER(Settings!$C$9))),"",TRIM(SUBSTITUTE(SUBSTITUTE(INDEX('INPUT - Roster'!$S$1:$SV$206,$B92,Settings!$C$9+20)&amp;"",CHAR(10)," "),CHAR(160)," ")))</f>
        <v/>
      </c>
      <c r="AA92">
        <f>IF(OR($B92="",NOT(ISNUMBER(Settings!$C$9))),"",TRIM(SUBSTITUTE(SUBSTITUTE(INDEX('INPUT - Roster'!$S$1:$SV$206,$B92,Settings!$C$9+21)&amp;"",CHAR(10)," "),CHAR(160)," ")))</f>
        <v/>
      </c>
      <c r="AB92">
        <f>IF(OR($B92="",NOT(ISNUMBER(Settings!$C$9))),"",TRIM(SUBSTITUTE(SUBSTITUTE(INDEX('INPUT - Roster'!$S$1:$SV$206,$B92,Settings!$C$9+22)&amp;"",CHAR(10)," "),CHAR(160)," ")))</f>
        <v/>
      </c>
      <c r="AC92">
        <f>IF(OR($B92="",NOT(ISNUMBER(Settings!$C$9))),"",TRIM(SUBSTITUTE(SUBSTITUTE(INDEX('INPUT - Roster'!$S$1:$SV$206,$B92,Settings!$C$9+23)&amp;"",CHAR(10)," "),CHAR(160)," ")))</f>
        <v/>
      </c>
      <c r="AD92">
        <f>IF(OR($B92="",NOT(ISNUMBER(Settings!$C$9))),"",TRIM(SUBSTITUTE(SUBSTITUTE(INDEX('INPUT - Roster'!$S$1:$SV$206,$B92,Settings!$C$9+24)&amp;"",CHAR(10)," "),CHAR(160)," ")))</f>
        <v/>
      </c>
      <c r="AE92">
        <f>IF(OR($B92="",NOT(ISNUMBER(Settings!$C$9))),"",TRIM(SUBSTITUTE(SUBSTITUTE(INDEX('INPUT - Roster'!$S$1:$SV$206,$B92,Settings!$C$9+25)&amp;"",CHAR(10)," "),CHAR(160)," ")))</f>
        <v/>
      </c>
      <c r="AF92">
        <f>IF(OR($B92="",NOT(ISNUMBER(Settings!$C$9))),"",TRIM(SUBSTITUTE(SUBSTITUTE(INDEX('INPUT - Roster'!$S$1:$SV$206,$B92,Settings!$C$9+26)&amp;"",CHAR(10)," "),CHAR(160)," ")))</f>
        <v/>
      </c>
      <c r="AG92">
        <f>IF(OR($B92="",NOT(ISNUMBER(Settings!$C$9))),"",TRIM(SUBSTITUTE(SUBSTITUTE(INDEX('INPUT - Roster'!$S$1:$SV$206,$B92,Settings!$C$9+27)&amp;"",CHAR(10)," "),CHAR(160)," ")))</f>
        <v/>
      </c>
      <c r="AI92">
        <f>IF($B92="","",IF(F92="","Not rostered",IFERROR(INDEX(Settings!$C$14:$C$33,MATCH(F92,Settings!$B$14:$B$33,0)),IFERROR(LOOKUP(2^15,SEARCH(Settings!$I$14:$I$83,F92)/(Settings!$I$14:$I$83&lt;&gt;""),Settings!$J$14:$J$83),"Other"))))</f>
        <v/>
      </c>
      <c r="AJ92">
        <f>IF($B92="","",IF(G92="","Not rostered",IFERROR(INDEX(Settings!$C$14:$C$33,MATCH(G92,Settings!$B$14:$B$33,0)),IFERROR(LOOKUP(2^15,SEARCH(Settings!$I$14:$I$83,G92)/(Settings!$I$14:$I$83&lt;&gt;""),Settings!$J$14:$J$83),"Other"))))</f>
        <v/>
      </c>
      <c r="AK92">
        <f>IF($B92="","",IF(H92="","Not rostered",IFERROR(INDEX(Settings!$C$14:$C$33,MATCH(H92,Settings!$B$14:$B$33,0)),IFERROR(LOOKUP(2^15,SEARCH(Settings!$I$14:$I$83,H92)/(Settings!$I$14:$I$83&lt;&gt;""),Settings!$J$14:$J$83),"Other"))))</f>
        <v/>
      </c>
      <c r="AL92">
        <f>IF($B92="","",IF(I92="","Not rostered",IFERROR(INDEX(Settings!$C$14:$C$33,MATCH(I92,Settings!$B$14:$B$33,0)),IFERROR(LOOKUP(2^15,SEARCH(Settings!$I$14:$I$83,I92)/(Settings!$I$14:$I$83&lt;&gt;""),Settings!$J$14:$J$83),"Other"))))</f>
        <v/>
      </c>
      <c r="AM92">
        <f>IF($B92="","",IF(J92="","Not rostered",IFERROR(INDEX(Settings!$C$14:$C$33,MATCH(J92,Settings!$B$14:$B$33,0)),IFERROR(LOOKUP(2^15,SEARCH(Settings!$I$14:$I$83,J92)/(Settings!$I$14:$I$83&lt;&gt;""),Settings!$J$14:$J$83),"Other"))))</f>
        <v/>
      </c>
      <c r="AN92">
        <f>IF($B92="","",IF(K92="","Not rostered",IFERROR(INDEX(Settings!$C$14:$C$33,MATCH(K92,Settings!$B$14:$B$33,0)),IFERROR(LOOKUP(2^15,SEARCH(Settings!$I$14:$I$83,K92)/(Settings!$I$14:$I$83&lt;&gt;""),Settings!$J$14:$J$83),"Other"))))</f>
        <v/>
      </c>
      <c r="AO92">
        <f>IF($B92="","",IF(L92="","Not rostered",IFERROR(INDEX(Settings!$C$14:$C$33,MATCH(L92,Settings!$B$14:$B$33,0)),IFERROR(LOOKUP(2^15,SEARCH(Settings!$I$14:$I$83,L92)/(Settings!$I$14:$I$83&lt;&gt;""),Settings!$J$14:$J$83),"Other"))))</f>
        <v/>
      </c>
      <c r="AP92">
        <f>IF($B92="","",IF(M92="","Not rostered",IFERROR(INDEX(Settings!$C$14:$C$33,MATCH(M92,Settings!$B$14:$B$33,0)),IFERROR(LOOKUP(2^15,SEARCH(Settings!$I$14:$I$83,M92)/(Settings!$I$14:$I$83&lt;&gt;""),Settings!$J$14:$J$83),"Other"))))</f>
        <v/>
      </c>
      <c r="AQ92">
        <f>IF($B92="","",IF(N92="","Not rostered",IFERROR(INDEX(Settings!$C$14:$C$33,MATCH(N92,Settings!$B$14:$B$33,0)),IFERROR(LOOKUP(2^15,SEARCH(Settings!$I$14:$I$83,N92)/(Settings!$I$14:$I$83&lt;&gt;""),Settings!$J$14:$J$83),"Other"))))</f>
        <v/>
      </c>
      <c r="AR92">
        <f>IF($B92="","",IF(O92="","Not rostered",IFERROR(INDEX(Settings!$C$14:$C$33,MATCH(O92,Settings!$B$14:$B$33,0)),IFERROR(LOOKUP(2^15,SEARCH(Settings!$I$14:$I$83,O92)/(Settings!$I$14:$I$83&lt;&gt;""),Settings!$J$14:$J$83),"Other"))))</f>
        <v/>
      </c>
      <c r="AS92">
        <f>IF($B92="","",IF(P92="","Not rostered",IFERROR(INDEX(Settings!$C$14:$C$33,MATCH(P92,Settings!$B$14:$B$33,0)),IFERROR(LOOKUP(2^15,SEARCH(Settings!$I$14:$I$83,P92)/(Settings!$I$14:$I$83&lt;&gt;""),Settings!$J$14:$J$83),"Other"))))</f>
        <v/>
      </c>
      <c r="AT92">
        <f>IF($B92="","",IF(Q92="","Not rostered",IFERROR(INDEX(Settings!$C$14:$C$33,MATCH(Q92,Settings!$B$14:$B$33,0)),IFERROR(LOOKUP(2^15,SEARCH(Settings!$I$14:$I$83,Q92)/(Settings!$I$14:$I$83&lt;&gt;""),Settings!$J$14:$J$83),"Other"))))</f>
        <v/>
      </c>
      <c r="AU92">
        <f>IF($B92="","",IF(R92="","Not rostered",IFERROR(INDEX(Settings!$C$14:$C$33,MATCH(R92,Settings!$B$14:$B$33,0)),IFERROR(LOOKUP(2^15,SEARCH(Settings!$I$14:$I$83,R92)/(Settings!$I$14:$I$83&lt;&gt;""),Settings!$J$14:$J$83),"Other"))))</f>
        <v/>
      </c>
      <c r="AV92">
        <f>IF($B92="","",IF(S92="","Not rostered",IFERROR(INDEX(Settings!$C$14:$C$33,MATCH(S92,Settings!$B$14:$B$33,0)),IFERROR(LOOKUP(2^15,SEARCH(Settings!$I$14:$I$83,S92)/(Settings!$I$14:$I$83&lt;&gt;""),Settings!$J$14:$J$83),"Other"))))</f>
        <v/>
      </c>
      <c r="AW92">
        <f>IF($B92="","",IF(T92="","Not rostered",IFERROR(INDEX(Settings!$C$14:$C$33,MATCH(T92,Settings!$B$14:$B$33,0)),IFERROR(LOOKUP(2^15,SEARCH(Settings!$I$14:$I$83,T92)/(Settings!$I$14:$I$83&lt;&gt;""),Settings!$J$14:$J$83),"Other"))))</f>
        <v/>
      </c>
      <c r="AX92">
        <f>IF($B92="","",IF(U92="","Not rostered",IFERROR(INDEX(Settings!$C$14:$C$33,MATCH(U92,Settings!$B$14:$B$33,0)),IFERROR(LOOKUP(2^15,SEARCH(Settings!$I$14:$I$83,U92)/(Settings!$I$14:$I$83&lt;&gt;""),Settings!$J$14:$J$83),"Other"))))</f>
        <v/>
      </c>
      <c r="AY92">
        <f>IF($B92="","",IF(V92="","Not rostered",IFERROR(INDEX(Settings!$C$14:$C$33,MATCH(V92,Settings!$B$14:$B$33,0)),IFERROR(LOOKUP(2^15,SEARCH(Settings!$I$14:$I$83,V92)/(Settings!$I$14:$I$83&lt;&gt;""),Settings!$J$14:$J$83),"Other"))))</f>
        <v/>
      </c>
      <c r="AZ92">
        <f>IF($B92="","",IF(W92="","Not rostered",IFERROR(INDEX(Settings!$C$14:$C$33,MATCH(W92,Settings!$B$14:$B$33,0)),IFERROR(LOOKUP(2^15,SEARCH(Settings!$I$14:$I$83,W92)/(Settings!$I$14:$I$83&lt;&gt;""),Settings!$J$14:$J$83),"Other"))))</f>
        <v/>
      </c>
      <c r="BA92">
        <f>IF($B92="","",IF(X92="","Not rostered",IFERROR(INDEX(Settings!$C$14:$C$33,MATCH(X92,Settings!$B$14:$B$33,0)),IFERROR(LOOKUP(2^15,SEARCH(Settings!$I$14:$I$83,X92)/(Settings!$I$14:$I$83&lt;&gt;""),Settings!$J$14:$J$83),"Other"))))</f>
        <v/>
      </c>
      <c r="BB92">
        <f>IF($B92="","",IF(Y92="","Not rostered",IFERROR(INDEX(Settings!$C$14:$C$33,MATCH(Y92,Settings!$B$14:$B$33,0)),IFERROR(LOOKUP(2^15,SEARCH(Settings!$I$14:$I$83,Y92)/(Settings!$I$14:$I$83&lt;&gt;""),Settings!$J$14:$J$83),"Other"))))</f>
        <v/>
      </c>
      <c r="BC92">
        <f>IF($B92="","",IF(Z92="","Not rostered",IFERROR(INDEX(Settings!$C$14:$C$33,MATCH(Z92,Settings!$B$14:$B$33,0)),IFERROR(LOOKUP(2^15,SEARCH(Settings!$I$14:$I$83,Z92)/(Settings!$I$14:$I$83&lt;&gt;""),Settings!$J$14:$J$83),"Other"))))</f>
        <v/>
      </c>
      <c r="BD92">
        <f>IF($B92="","",IF(AA92="","Not rostered",IFERROR(INDEX(Settings!$C$14:$C$33,MATCH(AA92,Settings!$B$14:$B$33,0)),IFERROR(LOOKUP(2^15,SEARCH(Settings!$I$14:$I$83,AA92)/(Settings!$I$14:$I$83&lt;&gt;""),Settings!$J$14:$J$83),"Other"))))</f>
        <v/>
      </c>
      <c r="BE92">
        <f>IF($B92="","",IF(AB92="","Not rostered",IFERROR(INDEX(Settings!$C$14:$C$33,MATCH(AB92,Settings!$B$14:$B$33,0)),IFERROR(LOOKUP(2^15,SEARCH(Settings!$I$14:$I$83,AB92)/(Settings!$I$14:$I$83&lt;&gt;""),Settings!$J$14:$J$83),"Other"))))</f>
        <v/>
      </c>
      <c r="BF92">
        <f>IF($B92="","",IF(AC92="","Not rostered",IFERROR(INDEX(Settings!$C$14:$C$33,MATCH(AC92,Settings!$B$14:$B$33,0)),IFERROR(LOOKUP(2^15,SEARCH(Settings!$I$14:$I$83,AC92)/(Settings!$I$14:$I$83&lt;&gt;""),Settings!$J$14:$J$83),"Other"))))</f>
        <v/>
      </c>
      <c r="BG92">
        <f>IF($B92="","",IF(AD92="","Not rostered",IFERROR(INDEX(Settings!$C$14:$C$33,MATCH(AD92,Settings!$B$14:$B$33,0)),IFERROR(LOOKUP(2^15,SEARCH(Settings!$I$14:$I$83,AD92)/(Settings!$I$14:$I$83&lt;&gt;""),Settings!$J$14:$J$83),"Other"))))</f>
        <v/>
      </c>
      <c r="BH92">
        <f>IF($B92="","",IF(AE92="","Not rostered",IFERROR(INDEX(Settings!$C$14:$C$33,MATCH(AE92,Settings!$B$14:$B$33,0)),IFERROR(LOOKUP(2^15,SEARCH(Settings!$I$14:$I$83,AE92)/(Settings!$I$14:$I$83&lt;&gt;""),Settings!$J$14:$J$83),"Other"))))</f>
        <v/>
      </c>
      <c r="BI92">
        <f>IF($B92="","",IF(AF92="","Not rostered",IFERROR(INDEX(Settings!$C$14:$C$33,MATCH(AF92,Settings!$B$14:$B$33,0)),IFERROR(LOOKUP(2^15,SEARCH(Settings!$I$14:$I$83,AF92)/(Settings!$I$14:$I$83&lt;&gt;""),Settings!$J$14:$J$83),"Other"))))</f>
        <v/>
      </c>
      <c r="BJ92">
        <f>IF($B92="","",IF(AG92="","Not rostered",IFERROR(INDEX(Settings!$C$14:$C$33,MATCH(AG92,Settings!$B$14:$B$33,0)),IFERROR(LOOKUP(2^15,SEARCH(Settings!$I$14:$I$83,AG92)/(Settings!$I$14:$I$83&lt;&gt;""),Settings!$J$14:$J$83),"Other"))))</f>
        <v/>
      </c>
      <c r="BL92">
        <f>IF(OR($B92="",F92=""),"",IFERROR(INDEX(Settings!$D$14:$D$33,MATCH(F92,Settings!$B$14:$B$33,0))&amp;"",IFERROR(LOOKUP(2^15,SEARCH(Settings!$F$14:$F$43,F92)/(Settings!$F$14:$F$43&lt;&gt;""),Settings!$G$14:$G$43),"")))</f>
        <v/>
      </c>
      <c r="BM92">
        <f>IF(OR($B92="",G92=""),"",IFERROR(INDEX(Settings!$D$14:$D$33,MATCH(G92,Settings!$B$14:$B$33,0))&amp;"",IFERROR(LOOKUP(2^15,SEARCH(Settings!$F$14:$F$43,G92)/(Settings!$F$14:$F$43&lt;&gt;""),Settings!$G$14:$G$43),"")))</f>
        <v/>
      </c>
      <c r="BN92">
        <f>IF(OR($B92="",H92=""),"",IFERROR(INDEX(Settings!$D$14:$D$33,MATCH(H92,Settings!$B$14:$B$33,0))&amp;"",IFERROR(LOOKUP(2^15,SEARCH(Settings!$F$14:$F$43,H92)/(Settings!$F$14:$F$43&lt;&gt;""),Settings!$G$14:$G$43),"")))</f>
        <v/>
      </c>
      <c r="BO92">
        <f>IF(OR($B92="",I92=""),"",IFERROR(INDEX(Settings!$D$14:$D$33,MATCH(I92,Settings!$B$14:$B$33,0))&amp;"",IFERROR(LOOKUP(2^15,SEARCH(Settings!$F$14:$F$43,I92)/(Settings!$F$14:$F$43&lt;&gt;""),Settings!$G$14:$G$43),"")))</f>
        <v/>
      </c>
      <c r="BP92">
        <f>IF(OR($B92="",J92=""),"",IFERROR(INDEX(Settings!$D$14:$D$33,MATCH(J92,Settings!$B$14:$B$33,0))&amp;"",IFERROR(LOOKUP(2^15,SEARCH(Settings!$F$14:$F$43,J92)/(Settings!$F$14:$F$43&lt;&gt;""),Settings!$G$14:$G$43),"")))</f>
        <v/>
      </c>
      <c r="BQ92">
        <f>IF(OR($B92="",K92=""),"",IFERROR(INDEX(Settings!$D$14:$D$33,MATCH(K92,Settings!$B$14:$B$33,0))&amp;"",IFERROR(LOOKUP(2^15,SEARCH(Settings!$F$14:$F$43,K92)/(Settings!$F$14:$F$43&lt;&gt;""),Settings!$G$14:$G$43),"")))</f>
        <v/>
      </c>
      <c r="BR92">
        <f>IF(OR($B92="",L92=""),"",IFERROR(INDEX(Settings!$D$14:$D$33,MATCH(L92,Settings!$B$14:$B$33,0))&amp;"",IFERROR(LOOKUP(2^15,SEARCH(Settings!$F$14:$F$43,L92)/(Settings!$F$14:$F$43&lt;&gt;""),Settings!$G$14:$G$43),"")))</f>
        <v/>
      </c>
      <c r="BS92">
        <f>IF(OR($B92="",M92=""),"",IFERROR(INDEX(Settings!$D$14:$D$33,MATCH(M92,Settings!$B$14:$B$33,0))&amp;"",IFERROR(LOOKUP(2^15,SEARCH(Settings!$F$14:$F$43,M92)/(Settings!$F$14:$F$43&lt;&gt;""),Settings!$G$14:$G$43),"")))</f>
        <v/>
      </c>
      <c r="BT92">
        <f>IF(OR($B92="",N92=""),"",IFERROR(INDEX(Settings!$D$14:$D$33,MATCH(N92,Settings!$B$14:$B$33,0))&amp;"",IFERROR(LOOKUP(2^15,SEARCH(Settings!$F$14:$F$43,N92)/(Settings!$F$14:$F$43&lt;&gt;""),Settings!$G$14:$G$43),"")))</f>
        <v/>
      </c>
      <c r="BU92">
        <f>IF(OR($B92="",O92=""),"",IFERROR(INDEX(Settings!$D$14:$D$33,MATCH(O92,Settings!$B$14:$B$33,0))&amp;"",IFERROR(LOOKUP(2^15,SEARCH(Settings!$F$14:$F$43,O92)/(Settings!$F$14:$F$43&lt;&gt;""),Settings!$G$14:$G$43),"")))</f>
        <v/>
      </c>
      <c r="BV92">
        <f>IF(OR($B92="",P92=""),"",IFERROR(INDEX(Settings!$D$14:$D$33,MATCH(P92,Settings!$B$14:$B$33,0))&amp;"",IFERROR(LOOKUP(2^15,SEARCH(Settings!$F$14:$F$43,P92)/(Settings!$F$14:$F$43&lt;&gt;""),Settings!$G$14:$G$43),"")))</f>
        <v/>
      </c>
      <c r="BW92">
        <f>IF(OR($B92="",Q92=""),"",IFERROR(INDEX(Settings!$D$14:$D$33,MATCH(Q92,Settings!$B$14:$B$33,0))&amp;"",IFERROR(LOOKUP(2^15,SEARCH(Settings!$F$14:$F$43,Q92)/(Settings!$F$14:$F$43&lt;&gt;""),Settings!$G$14:$G$43),"")))</f>
        <v/>
      </c>
      <c r="BX92">
        <f>IF(OR($B92="",R92=""),"",IFERROR(INDEX(Settings!$D$14:$D$33,MATCH(R92,Settings!$B$14:$B$33,0))&amp;"",IFERROR(LOOKUP(2^15,SEARCH(Settings!$F$14:$F$43,R92)/(Settings!$F$14:$F$43&lt;&gt;""),Settings!$G$14:$G$43),"")))</f>
        <v/>
      </c>
      <c r="BY92">
        <f>IF(OR($B92="",S92=""),"",IFERROR(INDEX(Settings!$D$14:$D$33,MATCH(S92,Settings!$B$14:$B$33,0))&amp;"",IFERROR(LOOKUP(2^15,SEARCH(Settings!$F$14:$F$43,S92)/(Settings!$F$14:$F$43&lt;&gt;""),Settings!$G$14:$G$43),"")))</f>
        <v/>
      </c>
      <c r="BZ92">
        <f>IF(OR($B92="",T92=""),"",IFERROR(INDEX(Settings!$D$14:$D$33,MATCH(T92,Settings!$B$14:$B$33,0))&amp;"",IFERROR(LOOKUP(2^15,SEARCH(Settings!$F$14:$F$43,T92)/(Settings!$F$14:$F$43&lt;&gt;""),Settings!$G$14:$G$43),"")))</f>
        <v/>
      </c>
      <c r="CA92">
        <f>IF(OR($B92="",U92=""),"",IFERROR(INDEX(Settings!$D$14:$D$33,MATCH(U92,Settings!$B$14:$B$33,0))&amp;"",IFERROR(LOOKUP(2^15,SEARCH(Settings!$F$14:$F$43,U92)/(Settings!$F$14:$F$43&lt;&gt;""),Settings!$G$14:$G$43),"")))</f>
        <v/>
      </c>
      <c r="CB92">
        <f>IF(OR($B92="",V92=""),"",IFERROR(INDEX(Settings!$D$14:$D$33,MATCH(V92,Settings!$B$14:$B$33,0))&amp;"",IFERROR(LOOKUP(2^15,SEARCH(Settings!$F$14:$F$43,V92)/(Settings!$F$14:$F$43&lt;&gt;""),Settings!$G$14:$G$43),"")))</f>
        <v/>
      </c>
      <c r="CC92">
        <f>IF(OR($B92="",W92=""),"",IFERROR(INDEX(Settings!$D$14:$D$33,MATCH(W92,Settings!$B$14:$B$33,0))&amp;"",IFERROR(LOOKUP(2^15,SEARCH(Settings!$F$14:$F$43,W92)/(Settings!$F$14:$F$43&lt;&gt;""),Settings!$G$14:$G$43),"")))</f>
        <v/>
      </c>
      <c r="CD92">
        <f>IF(OR($B92="",X92=""),"",IFERROR(INDEX(Settings!$D$14:$D$33,MATCH(X92,Settings!$B$14:$B$33,0))&amp;"",IFERROR(LOOKUP(2^15,SEARCH(Settings!$F$14:$F$43,X92)/(Settings!$F$14:$F$43&lt;&gt;""),Settings!$G$14:$G$43),"")))</f>
        <v/>
      </c>
      <c r="CE92">
        <f>IF(OR($B92="",Y92=""),"",IFERROR(INDEX(Settings!$D$14:$D$33,MATCH(Y92,Settings!$B$14:$B$33,0))&amp;"",IFERROR(LOOKUP(2^15,SEARCH(Settings!$F$14:$F$43,Y92)/(Settings!$F$14:$F$43&lt;&gt;""),Settings!$G$14:$G$43),"")))</f>
        <v/>
      </c>
      <c r="CF92">
        <f>IF(OR($B92="",Z92=""),"",IFERROR(INDEX(Settings!$D$14:$D$33,MATCH(Z92,Settings!$B$14:$B$33,0))&amp;"",IFERROR(LOOKUP(2^15,SEARCH(Settings!$F$14:$F$43,Z92)/(Settings!$F$14:$F$43&lt;&gt;""),Settings!$G$14:$G$43),"")))</f>
        <v/>
      </c>
      <c r="CG92">
        <f>IF(OR($B92="",AA92=""),"",IFERROR(INDEX(Settings!$D$14:$D$33,MATCH(AA92,Settings!$B$14:$B$33,0))&amp;"",IFERROR(LOOKUP(2^15,SEARCH(Settings!$F$14:$F$43,AA92)/(Settings!$F$14:$F$43&lt;&gt;""),Settings!$G$14:$G$43),"")))</f>
        <v/>
      </c>
      <c r="CH92">
        <f>IF(OR($B92="",AB92=""),"",IFERROR(INDEX(Settings!$D$14:$D$33,MATCH(AB92,Settings!$B$14:$B$33,0))&amp;"",IFERROR(LOOKUP(2^15,SEARCH(Settings!$F$14:$F$43,AB92)/(Settings!$F$14:$F$43&lt;&gt;""),Settings!$G$14:$G$43),"")))</f>
        <v/>
      </c>
      <c r="CI92">
        <f>IF(OR($B92="",AC92=""),"",IFERROR(INDEX(Settings!$D$14:$D$33,MATCH(AC92,Settings!$B$14:$B$33,0))&amp;"",IFERROR(LOOKUP(2^15,SEARCH(Settings!$F$14:$F$43,AC92)/(Settings!$F$14:$F$43&lt;&gt;""),Settings!$G$14:$G$43),"")))</f>
        <v/>
      </c>
      <c r="CJ92">
        <f>IF(OR($B92="",AD92=""),"",IFERROR(INDEX(Settings!$D$14:$D$33,MATCH(AD92,Settings!$B$14:$B$33,0))&amp;"",IFERROR(LOOKUP(2^15,SEARCH(Settings!$F$14:$F$43,AD92)/(Settings!$F$14:$F$43&lt;&gt;""),Settings!$G$14:$G$43),"")))</f>
        <v/>
      </c>
      <c r="CK92">
        <f>IF(OR($B92="",AE92=""),"",IFERROR(INDEX(Settings!$D$14:$D$33,MATCH(AE92,Settings!$B$14:$B$33,0))&amp;"",IFERROR(LOOKUP(2^15,SEARCH(Settings!$F$14:$F$43,AE92)/(Settings!$F$14:$F$43&lt;&gt;""),Settings!$G$14:$G$43),"")))</f>
        <v/>
      </c>
      <c r="CL92">
        <f>IF(OR($B92="",AF92=""),"",IFERROR(INDEX(Settings!$D$14:$D$33,MATCH(AF92,Settings!$B$14:$B$33,0))&amp;"",IFERROR(LOOKUP(2^15,SEARCH(Settings!$F$14:$F$43,AF92)/(Settings!$F$14:$F$43&lt;&gt;""),Settings!$G$14:$G$43),"")))</f>
        <v/>
      </c>
      <c r="CM92">
        <f>IF(OR($B92="",AG92=""),"",IFERROR(INDEX(Settings!$D$14:$D$33,MATCH(AG92,Settings!$B$14:$B$33,0))&amp;"",IFERROR(LOOKUP(2^15,SEARCH(Settings!$F$14:$F$43,AG92)/(Settings!$F$14:$F$43&lt;&gt;""),Settings!$G$14:$G$43),"")))</f>
        <v/>
      </c>
    </row>
    <row r="93">
      <c r="A93" t="n">
        <v>91</v>
      </c>
      <c r="B93">
        <f>IFERROR(INDEX(Index!$A$2:$A$202,MATCH(A93,Index!$E$2:$E$202,0)),"")</f>
        <v/>
      </c>
      <c r="D93">
        <f>IF($B93="","",IFERROR(MATCH("Travel*",AI93:BJ93,0),""))</f>
        <v/>
      </c>
      <c r="F93">
        <f>IF(OR($B93="",NOT(ISNUMBER(Settings!$C$9))),"",TRIM(SUBSTITUTE(SUBSTITUTE(INDEX('INPUT - Roster'!$S$1:$SV$206,$B93,Settings!$C$9+0)&amp;"",CHAR(10)," "),CHAR(160)," ")))</f>
        <v/>
      </c>
      <c r="G93">
        <f>IF(OR($B93="",NOT(ISNUMBER(Settings!$C$9))),"",TRIM(SUBSTITUTE(SUBSTITUTE(INDEX('INPUT - Roster'!$S$1:$SV$206,$B93,Settings!$C$9+1)&amp;"",CHAR(10)," "),CHAR(160)," ")))</f>
        <v/>
      </c>
      <c r="H93">
        <f>IF(OR($B93="",NOT(ISNUMBER(Settings!$C$9))),"",TRIM(SUBSTITUTE(SUBSTITUTE(INDEX('INPUT - Roster'!$S$1:$SV$206,$B93,Settings!$C$9+2)&amp;"",CHAR(10)," "),CHAR(160)," ")))</f>
        <v/>
      </c>
      <c r="I93">
        <f>IF(OR($B93="",NOT(ISNUMBER(Settings!$C$9))),"",TRIM(SUBSTITUTE(SUBSTITUTE(INDEX('INPUT - Roster'!$S$1:$SV$206,$B93,Settings!$C$9+3)&amp;"",CHAR(10)," "),CHAR(160)," ")))</f>
        <v/>
      </c>
      <c r="J93">
        <f>IF(OR($B93="",NOT(ISNUMBER(Settings!$C$9))),"",TRIM(SUBSTITUTE(SUBSTITUTE(INDEX('INPUT - Roster'!$S$1:$SV$206,$B93,Settings!$C$9+4)&amp;"",CHAR(10)," "),CHAR(160)," ")))</f>
        <v/>
      </c>
      <c r="K93">
        <f>IF(OR($B93="",NOT(ISNUMBER(Settings!$C$9))),"",TRIM(SUBSTITUTE(SUBSTITUTE(INDEX('INPUT - Roster'!$S$1:$SV$206,$B93,Settings!$C$9+5)&amp;"",CHAR(10)," "),CHAR(160)," ")))</f>
        <v/>
      </c>
      <c r="L93">
        <f>IF(OR($B93="",NOT(ISNUMBER(Settings!$C$9))),"",TRIM(SUBSTITUTE(SUBSTITUTE(INDEX('INPUT - Roster'!$S$1:$SV$206,$B93,Settings!$C$9+6)&amp;"",CHAR(10)," "),CHAR(160)," ")))</f>
        <v/>
      </c>
      <c r="M93">
        <f>IF(OR($B93="",NOT(ISNUMBER(Settings!$C$9))),"",TRIM(SUBSTITUTE(SUBSTITUTE(INDEX('INPUT - Roster'!$S$1:$SV$206,$B93,Settings!$C$9+7)&amp;"",CHAR(10)," "),CHAR(160)," ")))</f>
        <v/>
      </c>
      <c r="N93">
        <f>IF(OR($B93="",NOT(ISNUMBER(Settings!$C$9))),"",TRIM(SUBSTITUTE(SUBSTITUTE(INDEX('INPUT - Roster'!$S$1:$SV$206,$B93,Settings!$C$9+8)&amp;"",CHAR(10)," "),CHAR(160)," ")))</f>
        <v/>
      </c>
      <c r="O93">
        <f>IF(OR($B93="",NOT(ISNUMBER(Settings!$C$9))),"",TRIM(SUBSTITUTE(SUBSTITUTE(INDEX('INPUT - Roster'!$S$1:$SV$206,$B93,Settings!$C$9+9)&amp;"",CHAR(10)," "),CHAR(160)," ")))</f>
        <v/>
      </c>
      <c r="P93">
        <f>IF(OR($B93="",NOT(ISNUMBER(Settings!$C$9))),"",TRIM(SUBSTITUTE(SUBSTITUTE(INDEX('INPUT - Roster'!$S$1:$SV$206,$B93,Settings!$C$9+10)&amp;"",CHAR(10)," "),CHAR(160)," ")))</f>
        <v/>
      </c>
      <c r="Q93">
        <f>IF(OR($B93="",NOT(ISNUMBER(Settings!$C$9))),"",TRIM(SUBSTITUTE(SUBSTITUTE(INDEX('INPUT - Roster'!$S$1:$SV$206,$B93,Settings!$C$9+11)&amp;"",CHAR(10)," "),CHAR(160)," ")))</f>
        <v/>
      </c>
      <c r="R93">
        <f>IF(OR($B93="",NOT(ISNUMBER(Settings!$C$9))),"",TRIM(SUBSTITUTE(SUBSTITUTE(INDEX('INPUT - Roster'!$S$1:$SV$206,$B93,Settings!$C$9+12)&amp;"",CHAR(10)," "),CHAR(160)," ")))</f>
        <v/>
      </c>
      <c r="S93">
        <f>IF(OR($B93="",NOT(ISNUMBER(Settings!$C$9))),"",TRIM(SUBSTITUTE(SUBSTITUTE(INDEX('INPUT - Roster'!$S$1:$SV$206,$B93,Settings!$C$9+13)&amp;"",CHAR(10)," "),CHAR(160)," ")))</f>
        <v/>
      </c>
      <c r="T93">
        <f>IF(OR($B93="",NOT(ISNUMBER(Settings!$C$9))),"",TRIM(SUBSTITUTE(SUBSTITUTE(INDEX('INPUT - Roster'!$S$1:$SV$206,$B93,Settings!$C$9+14)&amp;"",CHAR(10)," "),CHAR(160)," ")))</f>
        <v/>
      </c>
      <c r="U93">
        <f>IF(OR($B93="",NOT(ISNUMBER(Settings!$C$9))),"",TRIM(SUBSTITUTE(SUBSTITUTE(INDEX('INPUT - Roster'!$S$1:$SV$206,$B93,Settings!$C$9+15)&amp;"",CHAR(10)," "),CHAR(160)," ")))</f>
        <v/>
      </c>
      <c r="V93">
        <f>IF(OR($B93="",NOT(ISNUMBER(Settings!$C$9))),"",TRIM(SUBSTITUTE(SUBSTITUTE(INDEX('INPUT - Roster'!$S$1:$SV$206,$B93,Settings!$C$9+16)&amp;"",CHAR(10)," "),CHAR(160)," ")))</f>
        <v/>
      </c>
      <c r="W93">
        <f>IF(OR($B93="",NOT(ISNUMBER(Settings!$C$9))),"",TRIM(SUBSTITUTE(SUBSTITUTE(INDEX('INPUT - Roster'!$S$1:$SV$206,$B93,Settings!$C$9+17)&amp;"",CHAR(10)," "),CHAR(160)," ")))</f>
        <v/>
      </c>
      <c r="X93">
        <f>IF(OR($B93="",NOT(ISNUMBER(Settings!$C$9))),"",TRIM(SUBSTITUTE(SUBSTITUTE(INDEX('INPUT - Roster'!$S$1:$SV$206,$B93,Settings!$C$9+18)&amp;"",CHAR(10)," "),CHAR(160)," ")))</f>
        <v/>
      </c>
      <c r="Y93">
        <f>IF(OR($B93="",NOT(ISNUMBER(Settings!$C$9))),"",TRIM(SUBSTITUTE(SUBSTITUTE(INDEX('INPUT - Roster'!$S$1:$SV$206,$B93,Settings!$C$9+19)&amp;"",CHAR(10)," "),CHAR(160)," ")))</f>
        <v/>
      </c>
      <c r="Z93">
        <f>IF(OR($B93="",NOT(ISNUMBER(Settings!$C$9))),"",TRIM(SUBSTITUTE(SUBSTITUTE(INDEX('INPUT - Roster'!$S$1:$SV$206,$B93,Settings!$C$9+20)&amp;"",CHAR(10)," "),CHAR(160)," ")))</f>
        <v/>
      </c>
      <c r="AA93">
        <f>IF(OR($B93="",NOT(ISNUMBER(Settings!$C$9))),"",TRIM(SUBSTITUTE(SUBSTITUTE(INDEX('INPUT - Roster'!$S$1:$SV$206,$B93,Settings!$C$9+21)&amp;"",CHAR(10)," "),CHAR(160)," ")))</f>
        <v/>
      </c>
      <c r="AB93">
        <f>IF(OR($B93="",NOT(ISNUMBER(Settings!$C$9))),"",TRIM(SUBSTITUTE(SUBSTITUTE(INDEX('INPUT - Roster'!$S$1:$SV$206,$B93,Settings!$C$9+22)&amp;"",CHAR(10)," "),CHAR(160)," ")))</f>
        <v/>
      </c>
      <c r="AC93">
        <f>IF(OR($B93="",NOT(ISNUMBER(Settings!$C$9))),"",TRIM(SUBSTITUTE(SUBSTITUTE(INDEX('INPUT - Roster'!$S$1:$SV$206,$B93,Settings!$C$9+23)&amp;"",CHAR(10)," "),CHAR(160)," ")))</f>
        <v/>
      </c>
      <c r="AD93">
        <f>IF(OR($B93="",NOT(ISNUMBER(Settings!$C$9))),"",TRIM(SUBSTITUTE(SUBSTITUTE(INDEX('INPUT - Roster'!$S$1:$SV$206,$B93,Settings!$C$9+24)&amp;"",CHAR(10)," "),CHAR(160)," ")))</f>
        <v/>
      </c>
      <c r="AE93">
        <f>IF(OR($B93="",NOT(ISNUMBER(Settings!$C$9))),"",TRIM(SUBSTITUTE(SUBSTITUTE(INDEX('INPUT - Roster'!$S$1:$SV$206,$B93,Settings!$C$9+25)&amp;"",CHAR(10)," "),CHAR(160)," ")))</f>
        <v/>
      </c>
      <c r="AF93">
        <f>IF(OR($B93="",NOT(ISNUMBER(Settings!$C$9))),"",TRIM(SUBSTITUTE(SUBSTITUTE(INDEX('INPUT - Roster'!$S$1:$SV$206,$B93,Settings!$C$9+26)&amp;"",CHAR(10)," "),CHAR(160)," ")))</f>
        <v/>
      </c>
      <c r="AG93">
        <f>IF(OR($B93="",NOT(ISNUMBER(Settings!$C$9))),"",TRIM(SUBSTITUTE(SUBSTITUTE(INDEX('INPUT - Roster'!$S$1:$SV$206,$B93,Settings!$C$9+27)&amp;"",CHAR(10)," "),CHAR(160)," ")))</f>
        <v/>
      </c>
      <c r="AI93">
        <f>IF($B93="","",IF(F93="","Not rostered",IFERROR(INDEX(Settings!$C$14:$C$33,MATCH(F93,Settings!$B$14:$B$33,0)),IFERROR(LOOKUP(2^15,SEARCH(Settings!$I$14:$I$83,F93)/(Settings!$I$14:$I$83&lt;&gt;""),Settings!$J$14:$J$83),"Other"))))</f>
        <v/>
      </c>
      <c r="AJ93">
        <f>IF($B93="","",IF(G93="","Not rostered",IFERROR(INDEX(Settings!$C$14:$C$33,MATCH(G93,Settings!$B$14:$B$33,0)),IFERROR(LOOKUP(2^15,SEARCH(Settings!$I$14:$I$83,G93)/(Settings!$I$14:$I$83&lt;&gt;""),Settings!$J$14:$J$83),"Other"))))</f>
        <v/>
      </c>
      <c r="AK93">
        <f>IF($B93="","",IF(H93="","Not rostered",IFERROR(INDEX(Settings!$C$14:$C$33,MATCH(H93,Settings!$B$14:$B$33,0)),IFERROR(LOOKUP(2^15,SEARCH(Settings!$I$14:$I$83,H93)/(Settings!$I$14:$I$83&lt;&gt;""),Settings!$J$14:$J$83),"Other"))))</f>
        <v/>
      </c>
      <c r="AL93">
        <f>IF($B93="","",IF(I93="","Not rostered",IFERROR(INDEX(Settings!$C$14:$C$33,MATCH(I93,Settings!$B$14:$B$33,0)),IFERROR(LOOKUP(2^15,SEARCH(Settings!$I$14:$I$83,I93)/(Settings!$I$14:$I$83&lt;&gt;""),Settings!$J$14:$J$83),"Other"))))</f>
        <v/>
      </c>
      <c r="AM93">
        <f>IF($B93="","",IF(J93="","Not rostered",IFERROR(INDEX(Settings!$C$14:$C$33,MATCH(J93,Settings!$B$14:$B$33,0)),IFERROR(LOOKUP(2^15,SEARCH(Settings!$I$14:$I$83,J93)/(Settings!$I$14:$I$83&lt;&gt;""),Settings!$J$14:$J$83),"Other"))))</f>
        <v/>
      </c>
      <c r="AN93">
        <f>IF($B93="","",IF(K93="","Not rostered",IFERROR(INDEX(Settings!$C$14:$C$33,MATCH(K93,Settings!$B$14:$B$33,0)),IFERROR(LOOKUP(2^15,SEARCH(Settings!$I$14:$I$83,K93)/(Settings!$I$14:$I$83&lt;&gt;""),Settings!$J$14:$J$83),"Other"))))</f>
        <v/>
      </c>
      <c r="AO93">
        <f>IF($B93="","",IF(L93="","Not rostered",IFERROR(INDEX(Settings!$C$14:$C$33,MATCH(L93,Settings!$B$14:$B$33,0)),IFERROR(LOOKUP(2^15,SEARCH(Settings!$I$14:$I$83,L93)/(Settings!$I$14:$I$83&lt;&gt;""),Settings!$J$14:$J$83),"Other"))))</f>
        <v/>
      </c>
      <c r="AP93">
        <f>IF($B93="","",IF(M93="","Not rostered",IFERROR(INDEX(Settings!$C$14:$C$33,MATCH(M93,Settings!$B$14:$B$33,0)),IFERROR(LOOKUP(2^15,SEARCH(Settings!$I$14:$I$83,M93)/(Settings!$I$14:$I$83&lt;&gt;""),Settings!$J$14:$J$83),"Other"))))</f>
        <v/>
      </c>
      <c r="AQ93">
        <f>IF($B93="","",IF(N93="","Not rostered",IFERROR(INDEX(Settings!$C$14:$C$33,MATCH(N93,Settings!$B$14:$B$33,0)),IFERROR(LOOKUP(2^15,SEARCH(Settings!$I$14:$I$83,N93)/(Settings!$I$14:$I$83&lt;&gt;""),Settings!$J$14:$J$83),"Other"))))</f>
        <v/>
      </c>
      <c r="AR93">
        <f>IF($B93="","",IF(O93="","Not rostered",IFERROR(INDEX(Settings!$C$14:$C$33,MATCH(O93,Settings!$B$14:$B$33,0)),IFERROR(LOOKUP(2^15,SEARCH(Settings!$I$14:$I$83,O93)/(Settings!$I$14:$I$83&lt;&gt;""),Settings!$J$14:$J$83),"Other"))))</f>
        <v/>
      </c>
      <c r="AS93">
        <f>IF($B93="","",IF(P93="","Not rostered",IFERROR(INDEX(Settings!$C$14:$C$33,MATCH(P93,Settings!$B$14:$B$33,0)),IFERROR(LOOKUP(2^15,SEARCH(Settings!$I$14:$I$83,P93)/(Settings!$I$14:$I$83&lt;&gt;""),Settings!$J$14:$J$83),"Other"))))</f>
        <v/>
      </c>
      <c r="AT93">
        <f>IF($B93="","",IF(Q93="","Not rostered",IFERROR(INDEX(Settings!$C$14:$C$33,MATCH(Q93,Settings!$B$14:$B$33,0)),IFERROR(LOOKUP(2^15,SEARCH(Settings!$I$14:$I$83,Q93)/(Settings!$I$14:$I$83&lt;&gt;""),Settings!$J$14:$J$83),"Other"))))</f>
        <v/>
      </c>
      <c r="AU93">
        <f>IF($B93="","",IF(R93="","Not rostered",IFERROR(INDEX(Settings!$C$14:$C$33,MATCH(R93,Settings!$B$14:$B$33,0)),IFERROR(LOOKUP(2^15,SEARCH(Settings!$I$14:$I$83,R93)/(Settings!$I$14:$I$83&lt;&gt;""),Settings!$J$14:$J$83),"Other"))))</f>
        <v/>
      </c>
      <c r="AV93">
        <f>IF($B93="","",IF(S93="","Not rostered",IFERROR(INDEX(Settings!$C$14:$C$33,MATCH(S93,Settings!$B$14:$B$33,0)),IFERROR(LOOKUP(2^15,SEARCH(Settings!$I$14:$I$83,S93)/(Settings!$I$14:$I$83&lt;&gt;""),Settings!$J$14:$J$83),"Other"))))</f>
        <v/>
      </c>
      <c r="AW93">
        <f>IF($B93="","",IF(T93="","Not rostered",IFERROR(INDEX(Settings!$C$14:$C$33,MATCH(T93,Settings!$B$14:$B$33,0)),IFERROR(LOOKUP(2^15,SEARCH(Settings!$I$14:$I$83,T93)/(Settings!$I$14:$I$83&lt;&gt;""),Settings!$J$14:$J$83),"Other"))))</f>
        <v/>
      </c>
      <c r="AX93">
        <f>IF($B93="","",IF(U93="","Not rostered",IFERROR(INDEX(Settings!$C$14:$C$33,MATCH(U93,Settings!$B$14:$B$33,0)),IFERROR(LOOKUP(2^15,SEARCH(Settings!$I$14:$I$83,U93)/(Settings!$I$14:$I$83&lt;&gt;""),Settings!$J$14:$J$83),"Other"))))</f>
        <v/>
      </c>
      <c r="AY93">
        <f>IF($B93="","",IF(V93="","Not rostered",IFERROR(INDEX(Settings!$C$14:$C$33,MATCH(V93,Settings!$B$14:$B$33,0)),IFERROR(LOOKUP(2^15,SEARCH(Settings!$I$14:$I$83,V93)/(Settings!$I$14:$I$83&lt;&gt;""),Settings!$J$14:$J$83),"Other"))))</f>
        <v/>
      </c>
      <c r="AZ93">
        <f>IF($B93="","",IF(W93="","Not rostered",IFERROR(INDEX(Settings!$C$14:$C$33,MATCH(W93,Settings!$B$14:$B$33,0)),IFERROR(LOOKUP(2^15,SEARCH(Settings!$I$14:$I$83,W93)/(Settings!$I$14:$I$83&lt;&gt;""),Settings!$J$14:$J$83),"Other"))))</f>
        <v/>
      </c>
      <c r="BA93">
        <f>IF($B93="","",IF(X93="","Not rostered",IFERROR(INDEX(Settings!$C$14:$C$33,MATCH(X93,Settings!$B$14:$B$33,0)),IFERROR(LOOKUP(2^15,SEARCH(Settings!$I$14:$I$83,X93)/(Settings!$I$14:$I$83&lt;&gt;""),Settings!$J$14:$J$83),"Other"))))</f>
        <v/>
      </c>
      <c r="BB93">
        <f>IF($B93="","",IF(Y93="","Not rostered",IFERROR(INDEX(Settings!$C$14:$C$33,MATCH(Y93,Settings!$B$14:$B$33,0)),IFERROR(LOOKUP(2^15,SEARCH(Settings!$I$14:$I$83,Y93)/(Settings!$I$14:$I$83&lt;&gt;""),Settings!$J$14:$J$83),"Other"))))</f>
        <v/>
      </c>
      <c r="BC93">
        <f>IF($B93="","",IF(Z93="","Not rostered",IFERROR(INDEX(Settings!$C$14:$C$33,MATCH(Z93,Settings!$B$14:$B$33,0)),IFERROR(LOOKUP(2^15,SEARCH(Settings!$I$14:$I$83,Z93)/(Settings!$I$14:$I$83&lt;&gt;""),Settings!$J$14:$J$83),"Other"))))</f>
        <v/>
      </c>
      <c r="BD93">
        <f>IF($B93="","",IF(AA93="","Not rostered",IFERROR(INDEX(Settings!$C$14:$C$33,MATCH(AA93,Settings!$B$14:$B$33,0)),IFERROR(LOOKUP(2^15,SEARCH(Settings!$I$14:$I$83,AA93)/(Settings!$I$14:$I$83&lt;&gt;""),Settings!$J$14:$J$83),"Other"))))</f>
        <v/>
      </c>
      <c r="BE93">
        <f>IF($B93="","",IF(AB93="","Not rostered",IFERROR(INDEX(Settings!$C$14:$C$33,MATCH(AB93,Settings!$B$14:$B$33,0)),IFERROR(LOOKUP(2^15,SEARCH(Settings!$I$14:$I$83,AB93)/(Settings!$I$14:$I$83&lt;&gt;""),Settings!$J$14:$J$83),"Other"))))</f>
        <v/>
      </c>
      <c r="BF93">
        <f>IF($B93="","",IF(AC93="","Not rostered",IFERROR(INDEX(Settings!$C$14:$C$33,MATCH(AC93,Settings!$B$14:$B$33,0)),IFERROR(LOOKUP(2^15,SEARCH(Settings!$I$14:$I$83,AC93)/(Settings!$I$14:$I$83&lt;&gt;""),Settings!$J$14:$J$83),"Other"))))</f>
        <v/>
      </c>
      <c r="BG93">
        <f>IF($B93="","",IF(AD93="","Not rostered",IFERROR(INDEX(Settings!$C$14:$C$33,MATCH(AD93,Settings!$B$14:$B$33,0)),IFERROR(LOOKUP(2^15,SEARCH(Settings!$I$14:$I$83,AD93)/(Settings!$I$14:$I$83&lt;&gt;""),Settings!$J$14:$J$83),"Other"))))</f>
        <v/>
      </c>
      <c r="BH93">
        <f>IF($B93="","",IF(AE93="","Not rostered",IFERROR(INDEX(Settings!$C$14:$C$33,MATCH(AE93,Settings!$B$14:$B$33,0)),IFERROR(LOOKUP(2^15,SEARCH(Settings!$I$14:$I$83,AE93)/(Settings!$I$14:$I$83&lt;&gt;""),Settings!$J$14:$J$83),"Other"))))</f>
        <v/>
      </c>
      <c r="BI93">
        <f>IF($B93="","",IF(AF93="","Not rostered",IFERROR(INDEX(Settings!$C$14:$C$33,MATCH(AF93,Settings!$B$14:$B$33,0)),IFERROR(LOOKUP(2^15,SEARCH(Settings!$I$14:$I$83,AF93)/(Settings!$I$14:$I$83&lt;&gt;""),Settings!$J$14:$J$83),"Other"))))</f>
        <v/>
      </c>
      <c r="BJ93">
        <f>IF($B93="","",IF(AG93="","Not rostered",IFERROR(INDEX(Settings!$C$14:$C$33,MATCH(AG93,Settings!$B$14:$B$33,0)),IFERROR(LOOKUP(2^15,SEARCH(Settings!$I$14:$I$83,AG93)/(Settings!$I$14:$I$83&lt;&gt;""),Settings!$J$14:$J$83),"Other"))))</f>
        <v/>
      </c>
      <c r="BL93">
        <f>IF(OR($B93="",F93=""),"",IFERROR(INDEX(Settings!$D$14:$D$33,MATCH(F93,Settings!$B$14:$B$33,0))&amp;"",IFERROR(LOOKUP(2^15,SEARCH(Settings!$F$14:$F$43,F93)/(Settings!$F$14:$F$43&lt;&gt;""),Settings!$G$14:$G$43),"")))</f>
        <v/>
      </c>
      <c r="BM93">
        <f>IF(OR($B93="",G93=""),"",IFERROR(INDEX(Settings!$D$14:$D$33,MATCH(G93,Settings!$B$14:$B$33,0))&amp;"",IFERROR(LOOKUP(2^15,SEARCH(Settings!$F$14:$F$43,G93)/(Settings!$F$14:$F$43&lt;&gt;""),Settings!$G$14:$G$43),"")))</f>
        <v/>
      </c>
      <c r="BN93">
        <f>IF(OR($B93="",H93=""),"",IFERROR(INDEX(Settings!$D$14:$D$33,MATCH(H93,Settings!$B$14:$B$33,0))&amp;"",IFERROR(LOOKUP(2^15,SEARCH(Settings!$F$14:$F$43,H93)/(Settings!$F$14:$F$43&lt;&gt;""),Settings!$G$14:$G$43),"")))</f>
        <v/>
      </c>
      <c r="BO93">
        <f>IF(OR($B93="",I93=""),"",IFERROR(INDEX(Settings!$D$14:$D$33,MATCH(I93,Settings!$B$14:$B$33,0))&amp;"",IFERROR(LOOKUP(2^15,SEARCH(Settings!$F$14:$F$43,I93)/(Settings!$F$14:$F$43&lt;&gt;""),Settings!$G$14:$G$43),"")))</f>
        <v/>
      </c>
      <c r="BP93">
        <f>IF(OR($B93="",J93=""),"",IFERROR(INDEX(Settings!$D$14:$D$33,MATCH(J93,Settings!$B$14:$B$33,0))&amp;"",IFERROR(LOOKUP(2^15,SEARCH(Settings!$F$14:$F$43,J93)/(Settings!$F$14:$F$43&lt;&gt;""),Settings!$G$14:$G$43),"")))</f>
        <v/>
      </c>
      <c r="BQ93">
        <f>IF(OR($B93="",K93=""),"",IFERROR(INDEX(Settings!$D$14:$D$33,MATCH(K93,Settings!$B$14:$B$33,0))&amp;"",IFERROR(LOOKUP(2^15,SEARCH(Settings!$F$14:$F$43,K93)/(Settings!$F$14:$F$43&lt;&gt;""),Settings!$G$14:$G$43),"")))</f>
        <v/>
      </c>
      <c r="BR93">
        <f>IF(OR($B93="",L93=""),"",IFERROR(INDEX(Settings!$D$14:$D$33,MATCH(L93,Settings!$B$14:$B$33,0))&amp;"",IFERROR(LOOKUP(2^15,SEARCH(Settings!$F$14:$F$43,L93)/(Settings!$F$14:$F$43&lt;&gt;""),Settings!$G$14:$G$43),"")))</f>
        <v/>
      </c>
      <c r="BS93">
        <f>IF(OR($B93="",M93=""),"",IFERROR(INDEX(Settings!$D$14:$D$33,MATCH(M93,Settings!$B$14:$B$33,0))&amp;"",IFERROR(LOOKUP(2^15,SEARCH(Settings!$F$14:$F$43,M93)/(Settings!$F$14:$F$43&lt;&gt;""),Settings!$G$14:$G$43),"")))</f>
        <v/>
      </c>
      <c r="BT93">
        <f>IF(OR($B93="",N93=""),"",IFERROR(INDEX(Settings!$D$14:$D$33,MATCH(N93,Settings!$B$14:$B$33,0))&amp;"",IFERROR(LOOKUP(2^15,SEARCH(Settings!$F$14:$F$43,N93)/(Settings!$F$14:$F$43&lt;&gt;""),Settings!$G$14:$G$43),"")))</f>
        <v/>
      </c>
      <c r="BU93">
        <f>IF(OR($B93="",O93=""),"",IFERROR(INDEX(Settings!$D$14:$D$33,MATCH(O93,Settings!$B$14:$B$33,0))&amp;"",IFERROR(LOOKUP(2^15,SEARCH(Settings!$F$14:$F$43,O93)/(Settings!$F$14:$F$43&lt;&gt;""),Settings!$G$14:$G$43),"")))</f>
        <v/>
      </c>
      <c r="BV93">
        <f>IF(OR($B93="",P93=""),"",IFERROR(INDEX(Settings!$D$14:$D$33,MATCH(P93,Settings!$B$14:$B$33,0))&amp;"",IFERROR(LOOKUP(2^15,SEARCH(Settings!$F$14:$F$43,P93)/(Settings!$F$14:$F$43&lt;&gt;""),Settings!$G$14:$G$43),"")))</f>
        <v/>
      </c>
      <c r="BW93">
        <f>IF(OR($B93="",Q93=""),"",IFERROR(INDEX(Settings!$D$14:$D$33,MATCH(Q93,Settings!$B$14:$B$33,0))&amp;"",IFERROR(LOOKUP(2^15,SEARCH(Settings!$F$14:$F$43,Q93)/(Settings!$F$14:$F$43&lt;&gt;""),Settings!$G$14:$G$43),"")))</f>
        <v/>
      </c>
      <c r="BX93">
        <f>IF(OR($B93="",R93=""),"",IFERROR(INDEX(Settings!$D$14:$D$33,MATCH(R93,Settings!$B$14:$B$33,0))&amp;"",IFERROR(LOOKUP(2^15,SEARCH(Settings!$F$14:$F$43,R93)/(Settings!$F$14:$F$43&lt;&gt;""),Settings!$G$14:$G$43),"")))</f>
        <v/>
      </c>
      <c r="BY93">
        <f>IF(OR($B93="",S93=""),"",IFERROR(INDEX(Settings!$D$14:$D$33,MATCH(S93,Settings!$B$14:$B$33,0))&amp;"",IFERROR(LOOKUP(2^15,SEARCH(Settings!$F$14:$F$43,S93)/(Settings!$F$14:$F$43&lt;&gt;""),Settings!$G$14:$G$43),"")))</f>
        <v/>
      </c>
      <c r="BZ93">
        <f>IF(OR($B93="",T93=""),"",IFERROR(INDEX(Settings!$D$14:$D$33,MATCH(T93,Settings!$B$14:$B$33,0))&amp;"",IFERROR(LOOKUP(2^15,SEARCH(Settings!$F$14:$F$43,T93)/(Settings!$F$14:$F$43&lt;&gt;""),Settings!$G$14:$G$43),"")))</f>
        <v/>
      </c>
      <c r="CA93">
        <f>IF(OR($B93="",U93=""),"",IFERROR(INDEX(Settings!$D$14:$D$33,MATCH(U93,Settings!$B$14:$B$33,0))&amp;"",IFERROR(LOOKUP(2^15,SEARCH(Settings!$F$14:$F$43,U93)/(Settings!$F$14:$F$43&lt;&gt;""),Settings!$G$14:$G$43),"")))</f>
        <v/>
      </c>
      <c r="CB93">
        <f>IF(OR($B93="",V93=""),"",IFERROR(INDEX(Settings!$D$14:$D$33,MATCH(V93,Settings!$B$14:$B$33,0))&amp;"",IFERROR(LOOKUP(2^15,SEARCH(Settings!$F$14:$F$43,V93)/(Settings!$F$14:$F$43&lt;&gt;""),Settings!$G$14:$G$43),"")))</f>
        <v/>
      </c>
      <c r="CC93">
        <f>IF(OR($B93="",W93=""),"",IFERROR(INDEX(Settings!$D$14:$D$33,MATCH(W93,Settings!$B$14:$B$33,0))&amp;"",IFERROR(LOOKUP(2^15,SEARCH(Settings!$F$14:$F$43,W93)/(Settings!$F$14:$F$43&lt;&gt;""),Settings!$G$14:$G$43),"")))</f>
        <v/>
      </c>
      <c r="CD93">
        <f>IF(OR($B93="",X93=""),"",IFERROR(INDEX(Settings!$D$14:$D$33,MATCH(X93,Settings!$B$14:$B$33,0))&amp;"",IFERROR(LOOKUP(2^15,SEARCH(Settings!$F$14:$F$43,X93)/(Settings!$F$14:$F$43&lt;&gt;""),Settings!$G$14:$G$43),"")))</f>
        <v/>
      </c>
      <c r="CE93">
        <f>IF(OR($B93="",Y93=""),"",IFERROR(INDEX(Settings!$D$14:$D$33,MATCH(Y93,Settings!$B$14:$B$33,0))&amp;"",IFERROR(LOOKUP(2^15,SEARCH(Settings!$F$14:$F$43,Y93)/(Settings!$F$14:$F$43&lt;&gt;""),Settings!$G$14:$G$43),"")))</f>
        <v/>
      </c>
      <c r="CF93">
        <f>IF(OR($B93="",Z93=""),"",IFERROR(INDEX(Settings!$D$14:$D$33,MATCH(Z93,Settings!$B$14:$B$33,0))&amp;"",IFERROR(LOOKUP(2^15,SEARCH(Settings!$F$14:$F$43,Z93)/(Settings!$F$14:$F$43&lt;&gt;""),Settings!$G$14:$G$43),"")))</f>
        <v/>
      </c>
      <c r="CG93">
        <f>IF(OR($B93="",AA93=""),"",IFERROR(INDEX(Settings!$D$14:$D$33,MATCH(AA93,Settings!$B$14:$B$33,0))&amp;"",IFERROR(LOOKUP(2^15,SEARCH(Settings!$F$14:$F$43,AA93)/(Settings!$F$14:$F$43&lt;&gt;""),Settings!$G$14:$G$43),"")))</f>
        <v/>
      </c>
      <c r="CH93">
        <f>IF(OR($B93="",AB93=""),"",IFERROR(INDEX(Settings!$D$14:$D$33,MATCH(AB93,Settings!$B$14:$B$33,0))&amp;"",IFERROR(LOOKUP(2^15,SEARCH(Settings!$F$14:$F$43,AB93)/(Settings!$F$14:$F$43&lt;&gt;""),Settings!$G$14:$G$43),"")))</f>
        <v/>
      </c>
      <c r="CI93">
        <f>IF(OR($B93="",AC93=""),"",IFERROR(INDEX(Settings!$D$14:$D$33,MATCH(AC93,Settings!$B$14:$B$33,0))&amp;"",IFERROR(LOOKUP(2^15,SEARCH(Settings!$F$14:$F$43,AC93)/(Settings!$F$14:$F$43&lt;&gt;""),Settings!$G$14:$G$43),"")))</f>
        <v/>
      </c>
      <c r="CJ93">
        <f>IF(OR($B93="",AD93=""),"",IFERROR(INDEX(Settings!$D$14:$D$33,MATCH(AD93,Settings!$B$14:$B$33,0))&amp;"",IFERROR(LOOKUP(2^15,SEARCH(Settings!$F$14:$F$43,AD93)/(Settings!$F$14:$F$43&lt;&gt;""),Settings!$G$14:$G$43),"")))</f>
        <v/>
      </c>
      <c r="CK93">
        <f>IF(OR($B93="",AE93=""),"",IFERROR(INDEX(Settings!$D$14:$D$33,MATCH(AE93,Settings!$B$14:$B$33,0))&amp;"",IFERROR(LOOKUP(2^15,SEARCH(Settings!$F$14:$F$43,AE93)/(Settings!$F$14:$F$43&lt;&gt;""),Settings!$G$14:$G$43),"")))</f>
        <v/>
      </c>
      <c r="CL93">
        <f>IF(OR($B93="",AF93=""),"",IFERROR(INDEX(Settings!$D$14:$D$33,MATCH(AF93,Settings!$B$14:$B$33,0))&amp;"",IFERROR(LOOKUP(2^15,SEARCH(Settings!$F$14:$F$43,AF93)/(Settings!$F$14:$F$43&lt;&gt;""),Settings!$G$14:$G$43),"")))</f>
        <v/>
      </c>
      <c r="CM93">
        <f>IF(OR($B93="",AG93=""),"",IFERROR(INDEX(Settings!$D$14:$D$33,MATCH(AG93,Settings!$B$14:$B$33,0))&amp;"",IFERROR(LOOKUP(2^15,SEARCH(Settings!$F$14:$F$43,AG93)/(Settings!$F$14:$F$43&lt;&gt;""),Settings!$G$14:$G$43),"")))</f>
        <v/>
      </c>
    </row>
    <row r="94">
      <c r="A94" t="n">
        <v>92</v>
      </c>
      <c r="B94">
        <f>IFERROR(INDEX(Index!$A$2:$A$202,MATCH(A94,Index!$E$2:$E$202,0)),"")</f>
        <v/>
      </c>
      <c r="D94">
        <f>IF($B94="","",IFERROR(MATCH("Travel*",AI94:BJ94,0),""))</f>
        <v/>
      </c>
      <c r="F94">
        <f>IF(OR($B94="",NOT(ISNUMBER(Settings!$C$9))),"",TRIM(SUBSTITUTE(SUBSTITUTE(INDEX('INPUT - Roster'!$S$1:$SV$206,$B94,Settings!$C$9+0)&amp;"",CHAR(10)," "),CHAR(160)," ")))</f>
        <v/>
      </c>
      <c r="G94">
        <f>IF(OR($B94="",NOT(ISNUMBER(Settings!$C$9))),"",TRIM(SUBSTITUTE(SUBSTITUTE(INDEX('INPUT - Roster'!$S$1:$SV$206,$B94,Settings!$C$9+1)&amp;"",CHAR(10)," "),CHAR(160)," ")))</f>
        <v/>
      </c>
      <c r="H94">
        <f>IF(OR($B94="",NOT(ISNUMBER(Settings!$C$9))),"",TRIM(SUBSTITUTE(SUBSTITUTE(INDEX('INPUT - Roster'!$S$1:$SV$206,$B94,Settings!$C$9+2)&amp;"",CHAR(10)," "),CHAR(160)," ")))</f>
        <v/>
      </c>
      <c r="I94">
        <f>IF(OR($B94="",NOT(ISNUMBER(Settings!$C$9))),"",TRIM(SUBSTITUTE(SUBSTITUTE(INDEX('INPUT - Roster'!$S$1:$SV$206,$B94,Settings!$C$9+3)&amp;"",CHAR(10)," "),CHAR(160)," ")))</f>
        <v/>
      </c>
      <c r="J94">
        <f>IF(OR($B94="",NOT(ISNUMBER(Settings!$C$9))),"",TRIM(SUBSTITUTE(SUBSTITUTE(INDEX('INPUT - Roster'!$S$1:$SV$206,$B94,Settings!$C$9+4)&amp;"",CHAR(10)," "),CHAR(160)," ")))</f>
        <v/>
      </c>
      <c r="K94">
        <f>IF(OR($B94="",NOT(ISNUMBER(Settings!$C$9))),"",TRIM(SUBSTITUTE(SUBSTITUTE(INDEX('INPUT - Roster'!$S$1:$SV$206,$B94,Settings!$C$9+5)&amp;"",CHAR(10)," "),CHAR(160)," ")))</f>
        <v/>
      </c>
      <c r="L94">
        <f>IF(OR($B94="",NOT(ISNUMBER(Settings!$C$9))),"",TRIM(SUBSTITUTE(SUBSTITUTE(INDEX('INPUT - Roster'!$S$1:$SV$206,$B94,Settings!$C$9+6)&amp;"",CHAR(10)," "),CHAR(160)," ")))</f>
        <v/>
      </c>
      <c r="M94">
        <f>IF(OR($B94="",NOT(ISNUMBER(Settings!$C$9))),"",TRIM(SUBSTITUTE(SUBSTITUTE(INDEX('INPUT - Roster'!$S$1:$SV$206,$B94,Settings!$C$9+7)&amp;"",CHAR(10)," "),CHAR(160)," ")))</f>
        <v/>
      </c>
      <c r="N94">
        <f>IF(OR($B94="",NOT(ISNUMBER(Settings!$C$9))),"",TRIM(SUBSTITUTE(SUBSTITUTE(INDEX('INPUT - Roster'!$S$1:$SV$206,$B94,Settings!$C$9+8)&amp;"",CHAR(10)," "),CHAR(160)," ")))</f>
        <v/>
      </c>
      <c r="O94">
        <f>IF(OR($B94="",NOT(ISNUMBER(Settings!$C$9))),"",TRIM(SUBSTITUTE(SUBSTITUTE(INDEX('INPUT - Roster'!$S$1:$SV$206,$B94,Settings!$C$9+9)&amp;"",CHAR(10)," "),CHAR(160)," ")))</f>
        <v/>
      </c>
      <c r="P94">
        <f>IF(OR($B94="",NOT(ISNUMBER(Settings!$C$9))),"",TRIM(SUBSTITUTE(SUBSTITUTE(INDEX('INPUT - Roster'!$S$1:$SV$206,$B94,Settings!$C$9+10)&amp;"",CHAR(10)," "),CHAR(160)," ")))</f>
        <v/>
      </c>
      <c r="Q94">
        <f>IF(OR($B94="",NOT(ISNUMBER(Settings!$C$9))),"",TRIM(SUBSTITUTE(SUBSTITUTE(INDEX('INPUT - Roster'!$S$1:$SV$206,$B94,Settings!$C$9+11)&amp;"",CHAR(10)," "),CHAR(160)," ")))</f>
        <v/>
      </c>
      <c r="R94">
        <f>IF(OR($B94="",NOT(ISNUMBER(Settings!$C$9))),"",TRIM(SUBSTITUTE(SUBSTITUTE(INDEX('INPUT - Roster'!$S$1:$SV$206,$B94,Settings!$C$9+12)&amp;"",CHAR(10)," "),CHAR(160)," ")))</f>
        <v/>
      </c>
      <c r="S94">
        <f>IF(OR($B94="",NOT(ISNUMBER(Settings!$C$9))),"",TRIM(SUBSTITUTE(SUBSTITUTE(INDEX('INPUT - Roster'!$S$1:$SV$206,$B94,Settings!$C$9+13)&amp;"",CHAR(10)," "),CHAR(160)," ")))</f>
        <v/>
      </c>
      <c r="T94">
        <f>IF(OR($B94="",NOT(ISNUMBER(Settings!$C$9))),"",TRIM(SUBSTITUTE(SUBSTITUTE(INDEX('INPUT - Roster'!$S$1:$SV$206,$B94,Settings!$C$9+14)&amp;"",CHAR(10)," "),CHAR(160)," ")))</f>
        <v/>
      </c>
      <c r="U94">
        <f>IF(OR($B94="",NOT(ISNUMBER(Settings!$C$9))),"",TRIM(SUBSTITUTE(SUBSTITUTE(INDEX('INPUT - Roster'!$S$1:$SV$206,$B94,Settings!$C$9+15)&amp;"",CHAR(10)," "),CHAR(160)," ")))</f>
        <v/>
      </c>
      <c r="V94">
        <f>IF(OR($B94="",NOT(ISNUMBER(Settings!$C$9))),"",TRIM(SUBSTITUTE(SUBSTITUTE(INDEX('INPUT - Roster'!$S$1:$SV$206,$B94,Settings!$C$9+16)&amp;"",CHAR(10)," "),CHAR(160)," ")))</f>
        <v/>
      </c>
      <c r="W94">
        <f>IF(OR($B94="",NOT(ISNUMBER(Settings!$C$9))),"",TRIM(SUBSTITUTE(SUBSTITUTE(INDEX('INPUT - Roster'!$S$1:$SV$206,$B94,Settings!$C$9+17)&amp;"",CHAR(10)," "),CHAR(160)," ")))</f>
        <v/>
      </c>
      <c r="X94">
        <f>IF(OR($B94="",NOT(ISNUMBER(Settings!$C$9))),"",TRIM(SUBSTITUTE(SUBSTITUTE(INDEX('INPUT - Roster'!$S$1:$SV$206,$B94,Settings!$C$9+18)&amp;"",CHAR(10)," "),CHAR(160)," ")))</f>
        <v/>
      </c>
      <c r="Y94">
        <f>IF(OR($B94="",NOT(ISNUMBER(Settings!$C$9))),"",TRIM(SUBSTITUTE(SUBSTITUTE(INDEX('INPUT - Roster'!$S$1:$SV$206,$B94,Settings!$C$9+19)&amp;"",CHAR(10)," "),CHAR(160)," ")))</f>
        <v/>
      </c>
      <c r="Z94">
        <f>IF(OR($B94="",NOT(ISNUMBER(Settings!$C$9))),"",TRIM(SUBSTITUTE(SUBSTITUTE(INDEX('INPUT - Roster'!$S$1:$SV$206,$B94,Settings!$C$9+20)&amp;"",CHAR(10)," "),CHAR(160)," ")))</f>
        <v/>
      </c>
      <c r="AA94">
        <f>IF(OR($B94="",NOT(ISNUMBER(Settings!$C$9))),"",TRIM(SUBSTITUTE(SUBSTITUTE(INDEX('INPUT - Roster'!$S$1:$SV$206,$B94,Settings!$C$9+21)&amp;"",CHAR(10)," "),CHAR(160)," ")))</f>
        <v/>
      </c>
      <c r="AB94">
        <f>IF(OR($B94="",NOT(ISNUMBER(Settings!$C$9))),"",TRIM(SUBSTITUTE(SUBSTITUTE(INDEX('INPUT - Roster'!$S$1:$SV$206,$B94,Settings!$C$9+22)&amp;"",CHAR(10)," "),CHAR(160)," ")))</f>
        <v/>
      </c>
      <c r="AC94">
        <f>IF(OR($B94="",NOT(ISNUMBER(Settings!$C$9))),"",TRIM(SUBSTITUTE(SUBSTITUTE(INDEX('INPUT - Roster'!$S$1:$SV$206,$B94,Settings!$C$9+23)&amp;"",CHAR(10)," "),CHAR(160)," ")))</f>
        <v/>
      </c>
      <c r="AD94">
        <f>IF(OR($B94="",NOT(ISNUMBER(Settings!$C$9))),"",TRIM(SUBSTITUTE(SUBSTITUTE(INDEX('INPUT - Roster'!$S$1:$SV$206,$B94,Settings!$C$9+24)&amp;"",CHAR(10)," "),CHAR(160)," ")))</f>
        <v/>
      </c>
      <c r="AE94">
        <f>IF(OR($B94="",NOT(ISNUMBER(Settings!$C$9))),"",TRIM(SUBSTITUTE(SUBSTITUTE(INDEX('INPUT - Roster'!$S$1:$SV$206,$B94,Settings!$C$9+25)&amp;"",CHAR(10)," "),CHAR(160)," ")))</f>
        <v/>
      </c>
      <c r="AF94">
        <f>IF(OR($B94="",NOT(ISNUMBER(Settings!$C$9))),"",TRIM(SUBSTITUTE(SUBSTITUTE(INDEX('INPUT - Roster'!$S$1:$SV$206,$B94,Settings!$C$9+26)&amp;"",CHAR(10)," "),CHAR(160)," ")))</f>
        <v/>
      </c>
      <c r="AG94">
        <f>IF(OR($B94="",NOT(ISNUMBER(Settings!$C$9))),"",TRIM(SUBSTITUTE(SUBSTITUTE(INDEX('INPUT - Roster'!$S$1:$SV$206,$B94,Settings!$C$9+27)&amp;"",CHAR(10)," "),CHAR(160)," ")))</f>
        <v/>
      </c>
      <c r="AI94">
        <f>IF($B94="","",IF(F94="","Not rostered",IFERROR(INDEX(Settings!$C$14:$C$33,MATCH(F94,Settings!$B$14:$B$33,0)),IFERROR(LOOKUP(2^15,SEARCH(Settings!$I$14:$I$83,F94)/(Settings!$I$14:$I$83&lt;&gt;""),Settings!$J$14:$J$83),"Other"))))</f>
        <v/>
      </c>
      <c r="AJ94">
        <f>IF($B94="","",IF(G94="","Not rostered",IFERROR(INDEX(Settings!$C$14:$C$33,MATCH(G94,Settings!$B$14:$B$33,0)),IFERROR(LOOKUP(2^15,SEARCH(Settings!$I$14:$I$83,G94)/(Settings!$I$14:$I$83&lt;&gt;""),Settings!$J$14:$J$83),"Other"))))</f>
        <v/>
      </c>
      <c r="AK94">
        <f>IF($B94="","",IF(H94="","Not rostered",IFERROR(INDEX(Settings!$C$14:$C$33,MATCH(H94,Settings!$B$14:$B$33,0)),IFERROR(LOOKUP(2^15,SEARCH(Settings!$I$14:$I$83,H94)/(Settings!$I$14:$I$83&lt;&gt;""),Settings!$J$14:$J$83),"Other"))))</f>
        <v/>
      </c>
      <c r="AL94">
        <f>IF($B94="","",IF(I94="","Not rostered",IFERROR(INDEX(Settings!$C$14:$C$33,MATCH(I94,Settings!$B$14:$B$33,0)),IFERROR(LOOKUP(2^15,SEARCH(Settings!$I$14:$I$83,I94)/(Settings!$I$14:$I$83&lt;&gt;""),Settings!$J$14:$J$83),"Other"))))</f>
        <v/>
      </c>
      <c r="AM94">
        <f>IF($B94="","",IF(J94="","Not rostered",IFERROR(INDEX(Settings!$C$14:$C$33,MATCH(J94,Settings!$B$14:$B$33,0)),IFERROR(LOOKUP(2^15,SEARCH(Settings!$I$14:$I$83,J94)/(Settings!$I$14:$I$83&lt;&gt;""),Settings!$J$14:$J$83),"Other"))))</f>
        <v/>
      </c>
      <c r="AN94">
        <f>IF($B94="","",IF(K94="","Not rostered",IFERROR(INDEX(Settings!$C$14:$C$33,MATCH(K94,Settings!$B$14:$B$33,0)),IFERROR(LOOKUP(2^15,SEARCH(Settings!$I$14:$I$83,K94)/(Settings!$I$14:$I$83&lt;&gt;""),Settings!$J$14:$J$83),"Other"))))</f>
        <v/>
      </c>
      <c r="AO94">
        <f>IF($B94="","",IF(L94="","Not rostered",IFERROR(INDEX(Settings!$C$14:$C$33,MATCH(L94,Settings!$B$14:$B$33,0)),IFERROR(LOOKUP(2^15,SEARCH(Settings!$I$14:$I$83,L94)/(Settings!$I$14:$I$83&lt;&gt;""),Settings!$J$14:$J$83),"Other"))))</f>
        <v/>
      </c>
      <c r="AP94">
        <f>IF($B94="","",IF(M94="","Not rostered",IFERROR(INDEX(Settings!$C$14:$C$33,MATCH(M94,Settings!$B$14:$B$33,0)),IFERROR(LOOKUP(2^15,SEARCH(Settings!$I$14:$I$83,M94)/(Settings!$I$14:$I$83&lt;&gt;""),Settings!$J$14:$J$83),"Other"))))</f>
        <v/>
      </c>
      <c r="AQ94">
        <f>IF($B94="","",IF(N94="","Not rostered",IFERROR(INDEX(Settings!$C$14:$C$33,MATCH(N94,Settings!$B$14:$B$33,0)),IFERROR(LOOKUP(2^15,SEARCH(Settings!$I$14:$I$83,N94)/(Settings!$I$14:$I$83&lt;&gt;""),Settings!$J$14:$J$83),"Other"))))</f>
        <v/>
      </c>
      <c r="AR94">
        <f>IF($B94="","",IF(O94="","Not rostered",IFERROR(INDEX(Settings!$C$14:$C$33,MATCH(O94,Settings!$B$14:$B$33,0)),IFERROR(LOOKUP(2^15,SEARCH(Settings!$I$14:$I$83,O94)/(Settings!$I$14:$I$83&lt;&gt;""),Settings!$J$14:$J$83),"Other"))))</f>
        <v/>
      </c>
      <c r="AS94">
        <f>IF($B94="","",IF(P94="","Not rostered",IFERROR(INDEX(Settings!$C$14:$C$33,MATCH(P94,Settings!$B$14:$B$33,0)),IFERROR(LOOKUP(2^15,SEARCH(Settings!$I$14:$I$83,P94)/(Settings!$I$14:$I$83&lt;&gt;""),Settings!$J$14:$J$83),"Other"))))</f>
        <v/>
      </c>
      <c r="AT94">
        <f>IF($B94="","",IF(Q94="","Not rostered",IFERROR(INDEX(Settings!$C$14:$C$33,MATCH(Q94,Settings!$B$14:$B$33,0)),IFERROR(LOOKUP(2^15,SEARCH(Settings!$I$14:$I$83,Q94)/(Settings!$I$14:$I$83&lt;&gt;""),Settings!$J$14:$J$83),"Other"))))</f>
        <v/>
      </c>
      <c r="AU94">
        <f>IF($B94="","",IF(R94="","Not rostered",IFERROR(INDEX(Settings!$C$14:$C$33,MATCH(R94,Settings!$B$14:$B$33,0)),IFERROR(LOOKUP(2^15,SEARCH(Settings!$I$14:$I$83,R94)/(Settings!$I$14:$I$83&lt;&gt;""),Settings!$J$14:$J$83),"Other"))))</f>
        <v/>
      </c>
      <c r="AV94">
        <f>IF($B94="","",IF(S94="","Not rostered",IFERROR(INDEX(Settings!$C$14:$C$33,MATCH(S94,Settings!$B$14:$B$33,0)),IFERROR(LOOKUP(2^15,SEARCH(Settings!$I$14:$I$83,S94)/(Settings!$I$14:$I$83&lt;&gt;""),Settings!$J$14:$J$83),"Other"))))</f>
        <v/>
      </c>
      <c r="AW94">
        <f>IF($B94="","",IF(T94="","Not rostered",IFERROR(INDEX(Settings!$C$14:$C$33,MATCH(T94,Settings!$B$14:$B$33,0)),IFERROR(LOOKUP(2^15,SEARCH(Settings!$I$14:$I$83,T94)/(Settings!$I$14:$I$83&lt;&gt;""),Settings!$J$14:$J$83),"Other"))))</f>
        <v/>
      </c>
      <c r="AX94">
        <f>IF($B94="","",IF(U94="","Not rostered",IFERROR(INDEX(Settings!$C$14:$C$33,MATCH(U94,Settings!$B$14:$B$33,0)),IFERROR(LOOKUP(2^15,SEARCH(Settings!$I$14:$I$83,U94)/(Settings!$I$14:$I$83&lt;&gt;""),Settings!$J$14:$J$83),"Other"))))</f>
        <v/>
      </c>
      <c r="AY94">
        <f>IF($B94="","",IF(V94="","Not rostered",IFERROR(INDEX(Settings!$C$14:$C$33,MATCH(V94,Settings!$B$14:$B$33,0)),IFERROR(LOOKUP(2^15,SEARCH(Settings!$I$14:$I$83,V94)/(Settings!$I$14:$I$83&lt;&gt;""),Settings!$J$14:$J$83),"Other"))))</f>
        <v/>
      </c>
      <c r="AZ94">
        <f>IF($B94="","",IF(W94="","Not rostered",IFERROR(INDEX(Settings!$C$14:$C$33,MATCH(W94,Settings!$B$14:$B$33,0)),IFERROR(LOOKUP(2^15,SEARCH(Settings!$I$14:$I$83,W94)/(Settings!$I$14:$I$83&lt;&gt;""),Settings!$J$14:$J$83),"Other"))))</f>
        <v/>
      </c>
      <c r="BA94">
        <f>IF($B94="","",IF(X94="","Not rostered",IFERROR(INDEX(Settings!$C$14:$C$33,MATCH(X94,Settings!$B$14:$B$33,0)),IFERROR(LOOKUP(2^15,SEARCH(Settings!$I$14:$I$83,X94)/(Settings!$I$14:$I$83&lt;&gt;""),Settings!$J$14:$J$83),"Other"))))</f>
        <v/>
      </c>
      <c r="BB94">
        <f>IF($B94="","",IF(Y94="","Not rostered",IFERROR(INDEX(Settings!$C$14:$C$33,MATCH(Y94,Settings!$B$14:$B$33,0)),IFERROR(LOOKUP(2^15,SEARCH(Settings!$I$14:$I$83,Y94)/(Settings!$I$14:$I$83&lt;&gt;""),Settings!$J$14:$J$83),"Other"))))</f>
        <v/>
      </c>
      <c r="BC94">
        <f>IF($B94="","",IF(Z94="","Not rostered",IFERROR(INDEX(Settings!$C$14:$C$33,MATCH(Z94,Settings!$B$14:$B$33,0)),IFERROR(LOOKUP(2^15,SEARCH(Settings!$I$14:$I$83,Z94)/(Settings!$I$14:$I$83&lt;&gt;""),Settings!$J$14:$J$83),"Other"))))</f>
        <v/>
      </c>
      <c r="BD94">
        <f>IF($B94="","",IF(AA94="","Not rostered",IFERROR(INDEX(Settings!$C$14:$C$33,MATCH(AA94,Settings!$B$14:$B$33,0)),IFERROR(LOOKUP(2^15,SEARCH(Settings!$I$14:$I$83,AA94)/(Settings!$I$14:$I$83&lt;&gt;""),Settings!$J$14:$J$83),"Other"))))</f>
        <v/>
      </c>
      <c r="BE94">
        <f>IF($B94="","",IF(AB94="","Not rostered",IFERROR(INDEX(Settings!$C$14:$C$33,MATCH(AB94,Settings!$B$14:$B$33,0)),IFERROR(LOOKUP(2^15,SEARCH(Settings!$I$14:$I$83,AB94)/(Settings!$I$14:$I$83&lt;&gt;""),Settings!$J$14:$J$83),"Other"))))</f>
        <v/>
      </c>
      <c r="BF94">
        <f>IF($B94="","",IF(AC94="","Not rostered",IFERROR(INDEX(Settings!$C$14:$C$33,MATCH(AC94,Settings!$B$14:$B$33,0)),IFERROR(LOOKUP(2^15,SEARCH(Settings!$I$14:$I$83,AC94)/(Settings!$I$14:$I$83&lt;&gt;""),Settings!$J$14:$J$83),"Other"))))</f>
        <v/>
      </c>
      <c r="BG94">
        <f>IF($B94="","",IF(AD94="","Not rostered",IFERROR(INDEX(Settings!$C$14:$C$33,MATCH(AD94,Settings!$B$14:$B$33,0)),IFERROR(LOOKUP(2^15,SEARCH(Settings!$I$14:$I$83,AD94)/(Settings!$I$14:$I$83&lt;&gt;""),Settings!$J$14:$J$83),"Other"))))</f>
        <v/>
      </c>
      <c r="BH94">
        <f>IF($B94="","",IF(AE94="","Not rostered",IFERROR(INDEX(Settings!$C$14:$C$33,MATCH(AE94,Settings!$B$14:$B$33,0)),IFERROR(LOOKUP(2^15,SEARCH(Settings!$I$14:$I$83,AE94)/(Settings!$I$14:$I$83&lt;&gt;""),Settings!$J$14:$J$83),"Other"))))</f>
        <v/>
      </c>
      <c r="BI94">
        <f>IF($B94="","",IF(AF94="","Not rostered",IFERROR(INDEX(Settings!$C$14:$C$33,MATCH(AF94,Settings!$B$14:$B$33,0)),IFERROR(LOOKUP(2^15,SEARCH(Settings!$I$14:$I$83,AF94)/(Settings!$I$14:$I$83&lt;&gt;""),Settings!$J$14:$J$83),"Other"))))</f>
        <v/>
      </c>
      <c r="BJ94">
        <f>IF($B94="","",IF(AG94="","Not rostered",IFERROR(INDEX(Settings!$C$14:$C$33,MATCH(AG94,Settings!$B$14:$B$33,0)),IFERROR(LOOKUP(2^15,SEARCH(Settings!$I$14:$I$83,AG94)/(Settings!$I$14:$I$83&lt;&gt;""),Settings!$J$14:$J$83),"Other"))))</f>
        <v/>
      </c>
      <c r="BL94">
        <f>IF(OR($B94="",F94=""),"",IFERROR(INDEX(Settings!$D$14:$D$33,MATCH(F94,Settings!$B$14:$B$33,0))&amp;"",IFERROR(LOOKUP(2^15,SEARCH(Settings!$F$14:$F$43,F94)/(Settings!$F$14:$F$43&lt;&gt;""),Settings!$G$14:$G$43),"")))</f>
        <v/>
      </c>
      <c r="BM94">
        <f>IF(OR($B94="",G94=""),"",IFERROR(INDEX(Settings!$D$14:$D$33,MATCH(G94,Settings!$B$14:$B$33,0))&amp;"",IFERROR(LOOKUP(2^15,SEARCH(Settings!$F$14:$F$43,G94)/(Settings!$F$14:$F$43&lt;&gt;""),Settings!$G$14:$G$43),"")))</f>
        <v/>
      </c>
      <c r="BN94">
        <f>IF(OR($B94="",H94=""),"",IFERROR(INDEX(Settings!$D$14:$D$33,MATCH(H94,Settings!$B$14:$B$33,0))&amp;"",IFERROR(LOOKUP(2^15,SEARCH(Settings!$F$14:$F$43,H94)/(Settings!$F$14:$F$43&lt;&gt;""),Settings!$G$14:$G$43),"")))</f>
        <v/>
      </c>
      <c r="BO94">
        <f>IF(OR($B94="",I94=""),"",IFERROR(INDEX(Settings!$D$14:$D$33,MATCH(I94,Settings!$B$14:$B$33,0))&amp;"",IFERROR(LOOKUP(2^15,SEARCH(Settings!$F$14:$F$43,I94)/(Settings!$F$14:$F$43&lt;&gt;""),Settings!$G$14:$G$43),"")))</f>
        <v/>
      </c>
      <c r="BP94">
        <f>IF(OR($B94="",J94=""),"",IFERROR(INDEX(Settings!$D$14:$D$33,MATCH(J94,Settings!$B$14:$B$33,0))&amp;"",IFERROR(LOOKUP(2^15,SEARCH(Settings!$F$14:$F$43,J94)/(Settings!$F$14:$F$43&lt;&gt;""),Settings!$G$14:$G$43),"")))</f>
        <v/>
      </c>
      <c r="BQ94">
        <f>IF(OR($B94="",K94=""),"",IFERROR(INDEX(Settings!$D$14:$D$33,MATCH(K94,Settings!$B$14:$B$33,0))&amp;"",IFERROR(LOOKUP(2^15,SEARCH(Settings!$F$14:$F$43,K94)/(Settings!$F$14:$F$43&lt;&gt;""),Settings!$G$14:$G$43),"")))</f>
        <v/>
      </c>
      <c r="BR94">
        <f>IF(OR($B94="",L94=""),"",IFERROR(INDEX(Settings!$D$14:$D$33,MATCH(L94,Settings!$B$14:$B$33,0))&amp;"",IFERROR(LOOKUP(2^15,SEARCH(Settings!$F$14:$F$43,L94)/(Settings!$F$14:$F$43&lt;&gt;""),Settings!$G$14:$G$43),"")))</f>
        <v/>
      </c>
      <c r="BS94">
        <f>IF(OR($B94="",M94=""),"",IFERROR(INDEX(Settings!$D$14:$D$33,MATCH(M94,Settings!$B$14:$B$33,0))&amp;"",IFERROR(LOOKUP(2^15,SEARCH(Settings!$F$14:$F$43,M94)/(Settings!$F$14:$F$43&lt;&gt;""),Settings!$G$14:$G$43),"")))</f>
        <v/>
      </c>
      <c r="BT94">
        <f>IF(OR($B94="",N94=""),"",IFERROR(INDEX(Settings!$D$14:$D$33,MATCH(N94,Settings!$B$14:$B$33,0))&amp;"",IFERROR(LOOKUP(2^15,SEARCH(Settings!$F$14:$F$43,N94)/(Settings!$F$14:$F$43&lt;&gt;""),Settings!$G$14:$G$43),"")))</f>
        <v/>
      </c>
      <c r="BU94">
        <f>IF(OR($B94="",O94=""),"",IFERROR(INDEX(Settings!$D$14:$D$33,MATCH(O94,Settings!$B$14:$B$33,0))&amp;"",IFERROR(LOOKUP(2^15,SEARCH(Settings!$F$14:$F$43,O94)/(Settings!$F$14:$F$43&lt;&gt;""),Settings!$G$14:$G$43),"")))</f>
        <v/>
      </c>
      <c r="BV94">
        <f>IF(OR($B94="",P94=""),"",IFERROR(INDEX(Settings!$D$14:$D$33,MATCH(P94,Settings!$B$14:$B$33,0))&amp;"",IFERROR(LOOKUP(2^15,SEARCH(Settings!$F$14:$F$43,P94)/(Settings!$F$14:$F$43&lt;&gt;""),Settings!$G$14:$G$43),"")))</f>
        <v/>
      </c>
      <c r="BW94">
        <f>IF(OR($B94="",Q94=""),"",IFERROR(INDEX(Settings!$D$14:$D$33,MATCH(Q94,Settings!$B$14:$B$33,0))&amp;"",IFERROR(LOOKUP(2^15,SEARCH(Settings!$F$14:$F$43,Q94)/(Settings!$F$14:$F$43&lt;&gt;""),Settings!$G$14:$G$43),"")))</f>
        <v/>
      </c>
      <c r="BX94">
        <f>IF(OR($B94="",R94=""),"",IFERROR(INDEX(Settings!$D$14:$D$33,MATCH(R94,Settings!$B$14:$B$33,0))&amp;"",IFERROR(LOOKUP(2^15,SEARCH(Settings!$F$14:$F$43,R94)/(Settings!$F$14:$F$43&lt;&gt;""),Settings!$G$14:$G$43),"")))</f>
        <v/>
      </c>
      <c r="BY94">
        <f>IF(OR($B94="",S94=""),"",IFERROR(INDEX(Settings!$D$14:$D$33,MATCH(S94,Settings!$B$14:$B$33,0))&amp;"",IFERROR(LOOKUP(2^15,SEARCH(Settings!$F$14:$F$43,S94)/(Settings!$F$14:$F$43&lt;&gt;""),Settings!$G$14:$G$43),"")))</f>
        <v/>
      </c>
      <c r="BZ94">
        <f>IF(OR($B94="",T94=""),"",IFERROR(INDEX(Settings!$D$14:$D$33,MATCH(T94,Settings!$B$14:$B$33,0))&amp;"",IFERROR(LOOKUP(2^15,SEARCH(Settings!$F$14:$F$43,T94)/(Settings!$F$14:$F$43&lt;&gt;""),Settings!$G$14:$G$43),"")))</f>
        <v/>
      </c>
      <c r="CA94">
        <f>IF(OR($B94="",U94=""),"",IFERROR(INDEX(Settings!$D$14:$D$33,MATCH(U94,Settings!$B$14:$B$33,0))&amp;"",IFERROR(LOOKUP(2^15,SEARCH(Settings!$F$14:$F$43,U94)/(Settings!$F$14:$F$43&lt;&gt;""),Settings!$G$14:$G$43),"")))</f>
        <v/>
      </c>
      <c r="CB94">
        <f>IF(OR($B94="",V94=""),"",IFERROR(INDEX(Settings!$D$14:$D$33,MATCH(V94,Settings!$B$14:$B$33,0))&amp;"",IFERROR(LOOKUP(2^15,SEARCH(Settings!$F$14:$F$43,V94)/(Settings!$F$14:$F$43&lt;&gt;""),Settings!$G$14:$G$43),"")))</f>
        <v/>
      </c>
      <c r="CC94">
        <f>IF(OR($B94="",W94=""),"",IFERROR(INDEX(Settings!$D$14:$D$33,MATCH(W94,Settings!$B$14:$B$33,0))&amp;"",IFERROR(LOOKUP(2^15,SEARCH(Settings!$F$14:$F$43,W94)/(Settings!$F$14:$F$43&lt;&gt;""),Settings!$G$14:$G$43),"")))</f>
        <v/>
      </c>
      <c r="CD94">
        <f>IF(OR($B94="",X94=""),"",IFERROR(INDEX(Settings!$D$14:$D$33,MATCH(X94,Settings!$B$14:$B$33,0))&amp;"",IFERROR(LOOKUP(2^15,SEARCH(Settings!$F$14:$F$43,X94)/(Settings!$F$14:$F$43&lt;&gt;""),Settings!$G$14:$G$43),"")))</f>
        <v/>
      </c>
      <c r="CE94">
        <f>IF(OR($B94="",Y94=""),"",IFERROR(INDEX(Settings!$D$14:$D$33,MATCH(Y94,Settings!$B$14:$B$33,0))&amp;"",IFERROR(LOOKUP(2^15,SEARCH(Settings!$F$14:$F$43,Y94)/(Settings!$F$14:$F$43&lt;&gt;""),Settings!$G$14:$G$43),"")))</f>
        <v/>
      </c>
      <c r="CF94">
        <f>IF(OR($B94="",Z94=""),"",IFERROR(INDEX(Settings!$D$14:$D$33,MATCH(Z94,Settings!$B$14:$B$33,0))&amp;"",IFERROR(LOOKUP(2^15,SEARCH(Settings!$F$14:$F$43,Z94)/(Settings!$F$14:$F$43&lt;&gt;""),Settings!$G$14:$G$43),"")))</f>
        <v/>
      </c>
      <c r="CG94">
        <f>IF(OR($B94="",AA94=""),"",IFERROR(INDEX(Settings!$D$14:$D$33,MATCH(AA94,Settings!$B$14:$B$33,0))&amp;"",IFERROR(LOOKUP(2^15,SEARCH(Settings!$F$14:$F$43,AA94)/(Settings!$F$14:$F$43&lt;&gt;""),Settings!$G$14:$G$43),"")))</f>
        <v/>
      </c>
      <c r="CH94">
        <f>IF(OR($B94="",AB94=""),"",IFERROR(INDEX(Settings!$D$14:$D$33,MATCH(AB94,Settings!$B$14:$B$33,0))&amp;"",IFERROR(LOOKUP(2^15,SEARCH(Settings!$F$14:$F$43,AB94)/(Settings!$F$14:$F$43&lt;&gt;""),Settings!$G$14:$G$43),"")))</f>
        <v/>
      </c>
      <c r="CI94">
        <f>IF(OR($B94="",AC94=""),"",IFERROR(INDEX(Settings!$D$14:$D$33,MATCH(AC94,Settings!$B$14:$B$33,0))&amp;"",IFERROR(LOOKUP(2^15,SEARCH(Settings!$F$14:$F$43,AC94)/(Settings!$F$14:$F$43&lt;&gt;""),Settings!$G$14:$G$43),"")))</f>
        <v/>
      </c>
      <c r="CJ94">
        <f>IF(OR($B94="",AD94=""),"",IFERROR(INDEX(Settings!$D$14:$D$33,MATCH(AD94,Settings!$B$14:$B$33,0))&amp;"",IFERROR(LOOKUP(2^15,SEARCH(Settings!$F$14:$F$43,AD94)/(Settings!$F$14:$F$43&lt;&gt;""),Settings!$G$14:$G$43),"")))</f>
        <v/>
      </c>
      <c r="CK94">
        <f>IF(OR($B94="",AE94=""),"",IFERROR(INDEX(Settings!$D$14:$D$33,MATCH(AE94,Settings!$B$14:$B$33,0))&amp;"",IFERROR(LOOKUP(2^15,SEARCH(Settings!$F$14:$F$43,AE94)/(Settings!$F$14:$F$43&lt;&gt;""),Settings!$G$14:$G$43),"")))</f>
        <v/>
      </c>
      <c r="CL94">
        <f>IF(OR($B94="",AF94=""),"",IFERROR(INDEX(Settings!$D$14:$D$33,MATCH(AF94,Settings!$B$14:$B$33,0))&amp;"",IFERROR(LOOKUP(2^15,SEARCH(Settings!$F$14:$F$43,AF94)/(Settings!$F$14:$F$43&lt;&gt;""),Settings!$G$14:$G$43),"")))</f>
        <v/>
      </c>
      <c r="CM94">
        <f>IF(OR($B94="",AG94=""),"",IFERROR(INDEX(Settings!$D$14:$D$33,MATCH(AG94,Settings!$B$14:$B$33,0))&amp;"",IFERROR(LOOKUP(2^15,SEARCH(Settings!$F$14:$F$43,AG94)/(Settings!$F$14:$F$43&lt;&gt;""),Settings!$G$14:$G$43),"")))</f>
        <v/>
      </c>
    </row>
    <row r="95">
      <c r="A95" t="n">
        <v>93</v>
      </c>
      <c r="B95">
        <f>IFERROR(INDEX(Index!$A$2:$A$202,MATCH(A95,Index!$E$2:$E$202,0)),"")</f>
        <v/>
      </c>
      <c r="D95">
        <f>IF($B95="","",IFERROR(MATCH("Travel*",AI95:BJ95,0),""))</f>
        <v/>
      </c>
      <c r="F95">
        <f>IF(OR($B95="",NOT(ISNUMBER(Settings!$C$9))),"",TRIM(SUBSTITUTE(SUBSTITUTE(INDEX('INPUT - Roster'!$S$1:$SV$206,$B95,Settings!$C$9+0)&amp;"",CHAR(10)," "),CHAR(160)," ")))</f>
        <v/>
      </c>
      <c r="G95">
        <f>IF(OR($B95="",NOT(ISNUMBER(Settings!$C$9))),"",TRIM(SUBSTITUTE(SUBSTITUTE(INDEX('INPUT - Roster'!$S$1:$SV$206,$B95,Settings!$C$9+1)&amp;"",CHAR(10)," "),CHAR(160)," ")))</f>
        <v/>
      </c>
      <c r="H95">
        <f>IF(OR($B95="",NOT(ISNUMBER(Settings!$C$9))),"",TRIM(SUBSTITUTE(SUBSTITUTE(INDEX('INPUT - Roster'!$S$1:$SV$206,$B95,Settings!$C$9+2)&amp;"",CHAR(10)," "),CHAR(160)," ")))</f>
        <v/>
      </c>
      <c r="I95">
        <f>IF(OR($B95="",NOT(ISNUMBER(Settings!$C$9))),"",TRIM(SUBSTITUTE(SUBSTITUTE(INDEX('INPUT - Roster'!$S$1:$SV$206,$B95,Settings!$C$9+3)&amp;"",CHAR(10)," "),CHAR(160)," ")))</f>
        <v/>
      </c>
      <c r="J95">
        <f>IF(OR($B95="",NOT(ISNUMBER(Settings!$C$9))),"",TRIM(SUBSTITUTE(SUBSTITUTE(INDEX('INPUT - Roster'!$S$1:$SV$206,$B95,Settings!$C$9+4)&amp;"",CHAR(10)," "),CHAR(160)," ")))</f>
        <v/>
      </c>
      <c r="K95">
        <f>IF(OR($B95="",NOT(ISNUMBER(Settings!$C$9))),"",TRIM(SUBSTITUTE(SUBSTITUTE(INDEX('INPUT - Roster'!$S$1:$SV$206,$B95,Settings!$C$9+5)&amp;"",CHAR(10)," "),CHAR(160)," ")))</f>
        <v/>
      </c>
      <c r="L95">
        <f>IF(OR($B95="",NOT(ISNUMBER(Settings!$C$9))),"",TRIM(SUBSTITUTE(SUBSTITUTE(INDEX('INPUT - Roster'!$S$1:$SV$206,$B95,Settings!$C$9+6)&amp;"",CHAR(10)," "),CHAR(160)," ")))</f>
        <v/>
      </c>
      <c r="M95">
        <f>IF(OR($B95="",NOT(ISNUMBER(Settings!$C$9))),"",TRIM(SUBSTITUTE(SUBSTITUTE(INDEX('INPUT - Roster'!$S$1:$SV$206,$B95,Settings!$C$9+7)&amp;"",CHAR(10)," "),CHAR(160)," ")))</f>
        <v/>
      </c>
      <c r="N95">
        <f>IF(OR($B95="",NOT(ISNUMBER(Settings!$C$9))),"",TRIM(SUBSTITUTE(SUBSTITUTE(INDEX('INPUT - Roster'!$S$1:$SV$206,$B95,Settings!$C$9+8)&amp;"",CHAR(10)," "),CHAR(160)," ")))</f>
        <v/>
      </c>
      <c r="O95">
        <f>IF(OR($B95="",NOT(ISNUMBER(Settings!$C$9))),"",TRIM(SUBSTITUTE(SUBSTITUTE(INDEX('INPUT - Roster'!$S$1:$SV$206,$B95,Settings!$C$9+9)&amp;"",CHAR(10)," "),CHAR(160)," ")))</f>
        <v/>
      </c>
      <c r="P95">
        <f>IF(OR($B95="",NOT(ISNUMBER(Settings!$C$9))),"",TRIM(SUBSTITUTE(SUBSTITUTE(INDEX('INPUT - Roster'!$S$1:$SV$206,$B95,Settings!$C$9+10)&amp;"",CHAR(10)," "),CHAR(160)," ")))</f>
        <v/>
      </c>
      <c r="Q95">
        <f>IF(OR($B95="",NOT(ISNUMBER(Settings!$C$9))),"",TRIM(SUBSTITUTE(SUBSTITUTE(INDEX('INPUT - Roster'!$S$1:$SV$206,$B95,Settings!$C$9+11)&amp;"",CHAR(10)," "),CHAR(160)," ")))</f>
        <v/>
      </c>
      <c r="R95">
        <f>IF(OR($B95="",NOT(ISNUMBER(Settings!$C$9))),"",TRIM(SUBSTITUTE(SUBSTITUTE(INDEX('INPUT - Roster'!$S$1:$SV$206,$B95,Settings!$C$9+12)&amp;"",CHAR(10)," "),CHAR(160)," ")))</f>
        <v/>
      </c>
      <c r="S95">
        <f>IF(OR($B95="",NOT(ISNUMBER(Settings!$C$9))),"",TRIM(SUBSTITUTE(SUBSTITUTE(INDEX('INPUT - Roster'!$S$1:$SV$206,$B95,Settings!$C$9+13)&amp;"",CHAR(10)," "),CHAR(160)," ")))</f>
        <v/>
      </c>
      <c r="T95">
        <f>IF(OR($B95="",NOT(ISNUMBER(Settings!$C$9))),"",TRIM(SUBSTITUTE(SUBSTITUTE(INDEX('INPUT - Roster'!$S$1:$SV$206,$B95,Settings!$C$9+14)&amp;"",CHAR(10)," "),CHAR(160)," ")))</f>
        <v/>
      </c>
      <c r="U95">
        <f>IF(OR($B95="",NOT(ISNUMBER(Settings!$C$9))),"",TRIM(SUBSTITUTE(SUBSTITUTE(INDEX('INPUT - Roster'!$S$1:$SV$206,$B95,Settings!$C$9+15)&amp;"",CHAR(10)," "),CHAR(160)," ")))</f>
        <v/>
      </c>
      <c r="V95">
        <f>IF(OR($B95="",NOT(ISNUMBER(Settings!$C$9))),"",TRIM(SUBSTITUTE(SUBSTITUTE(INDEX('INPUT - Roster'!$S$1:$SV$206,$B95,Settings!$C$9+16)&amp;"",CHAR(10)," "),CHAR(160)," ")))</f>
        <v/>
      </c>
      <c r="W95">
        <f>IF(OR($B95="",NOT(ISNUMBER(Settings!$C$9))),"",TRIM(SUBSTITUTE(SUBSTITUTE(INDEX('INPUT - Roster'!$S$1:$SV$206,$B95,Settings!$C$9+17)&amp;"",CHAR(10)," "),CHAR(160)," ")))</f>
        <v/>
      </c>
      <c r="X95">
        <f>IF(OR($B95="",NOT(ISNUMBER(Settings!$C$9))),"",TRIM(SUBSTITUTE(SUBSTITUTE(INDEX('INPUT - Roster'!$S$1:$SV$206,$B95,Settings!$C$9+18)&amp;"",CHAR(10)," "),CHAR(160)," ")))</f>
        <v/>
      </c>
      <c r="Y95">
        <f>IF(OR($B95="",NOT(ISNUMBER(Settings!$C$9))),"",TRIM(SUBSTITUTE(SUBSTITUTE(INDEX('INPUT - Roster'!$S$1:$SV$206,$B95,Settings!$C$9+19)&amp;"",CHAR(10)," "),CHAR(160)," ")))</f>
        <v/>
      </c>
      <c r="Z95">
        <f>IF(OR($B95="",NOT(ISNUMBER(Settings!$C$9))),"",TRIM(SUBSTITUTE(SUBSTITUTE(INDEX('INPUT - Roster'!$S$1:$SV$206,$B95,Settings!$C$9+20)&amp;"",CHAR(10)," "),CHAR(160)," ")))</f>
        <v/>
      </c>
      <c r="AA95">
        <f>IF(OR($B95="",NOT(ISNUMBER(Settings!$C$9))),"",TRIM(SUBSTITUTE(SUBSTITUTE(INDEX('INPUT - Roster'!$S$1:$SV$206,$B95,Settings!$C$9+21)&amp;"",CHAR(10)," "),CHAR(160)," ")))</f>
        <v/>
      </c>
      <c r="AB95">
        <f>IF(OR($B95="",NOT(ISNUMBER(Settings!$C$9))),"",TRIM(SUBSTITUTE(SUBSTITUTE(INDEX('INPUT - Roster'!$S$1:$SV$206,$B95,Settings!$C$9+22)&amp;"",CHAR(10)," "),CHAR(160)," ")))</f>
        <v/>
      </c>
      <c r="AC95">
        <f>IF(OR($B95="",NOT(ISNUMBER(Settings!$C$9))),"",TRIM(SUBSTITUTE(SUBSTITUTE(INDEX('INPUT - Roster'!$S$1:$SV$206,$B95,Settings!$C$9+23)&amp;"",CHAR(10)," "),CHAR(160)," ")))</f>
        <v/>
      </c>
      <c r="AD95">
        <f>IF(OR($B95="",NOT(ISNUMBER(Settings!$C$9))),"",TRIM(SUBSTITUTE(SUBSTITUTE(INDEX('INPUT - Roster'!$S$1:$SV$206,$B95,Settings!$C$9+24)&amp;"",CHAR(10)," "),CHAR(160)," ")))</f>
        <v/>
      </c>
      <c r="AE95">
        <f>IF(OR($B95="",NOT(ISNUMBER(Settings!$C$9))),"",TRIM(SUBSTITUTE(SUBSTITUTE(INDEX('INPUT - Roster'!$S$1:$SV$206,$B95,Settings!$C$9+25)&amp;"",CHAR(10)," "),CHAR(160)," ")))</f>
        <v/>
      </c>
      <c r="AF95">
        <f>IF(OR($B95="",NOT(ISNUMBER(Settings!$C$9))),"",TRIM(SUBSTITUTE(SUBSTITUTE(INDEX('INPUT - Roster'!$S$1:$SV$206,$B95,Settings!$C$9+26)&amp;"",CHAR(10)," "),CHAR(160)," ")))</f>
        <v/>
      </c>
      <c r="AG95">
        <f>IF(OR($B95="",NOT(ISNUMBER(Settings!$C$9))),"",TRIM(SUBSTITUTE(SUBSTITUTE(INDEX('INPUT - Roster'!$S$1:$SV$206,$B95,Settings!$C$9+27)&amp;"",CHAR(10)," "),CHAR(160)," ")))</f>
        <v/>
      </c>
      <c r="AI95">
        <f>IF($B95="","",IF(F95="","Not rostered",IFERROR(INDEX(Settings!$C$14:$C$33,MATCH(F95,Settings!$B$14:$B$33,0)),IFERROR(LOOKUP(2^15,SEARCH(Settings!$I$14:$I$83,F95)/(Settings!$I$14:$I$83&lt;&gt;""),Settings!$J$14:$J$83),"Other"))))</f>
        <v/>
      </c>
      <c r="AJ95">
        <f>IF($B95="","",IF(G95="","Not rostered",IFERROR(INDEX(Settings!$C$14:$C$33,MATCH(G95,Settings!$B$14:$B$33,0)),IFERROR(LOOKUP(2^15,SEARCH(Settings!$I$14:$I$83,G95)/(Settings!$I$14:$I$83&lt;&gt;""),Settings!$J$14:$J$83),"Other"))))</f>
        <v/>
      </c>
      <c r="AK95">
        <f>IF($B95="","",IF(H95="","Not rostered",IFERROR(INDEX(Settings!$C$14:$C$33,MATCH(H95,Settings!$B$14:$B$33,0)),IFERROR(LOOKUP(2^15,SEARCH(Settings!$I$14:$I$83,H95)/(Settings!$I$14:$I$83&lt;&gt;""),Settings!$J$14:$J$83),"Other"))))</f>
        <v/>
      </c>
      <c r="AL95">
        <f>IF($B95="","",IF(I95="","Not rostered",IFERROR(INDEX(Settings!$C$14:$C$33,MATCH(I95,Settings!$B$14:$B$33,0)),IFERROR(LOOKUP(2^15,SEARCH(Settings!$I$14:$I$83,I95)/(Settings!$I$14:$I$83&lt;&gt;""),Settings!$J$14:$J$83),"Other"))))</f>
        <v/>
      </c>
      <c r="AM95">
        <f>IF($B95="","",IF(J95="","Not rostered",IFERROR(INDEX(Settings!$C$14:$C$33,MATCH(J95,Settings!$B$14:$B$33,0)),IFERROR(LOOKUP(2^15,SEARCH(Settings!$I$14:$I$83,J95)/(Settings!$I$14:$I$83&lt;&gt;""),Settings!$J$14:$J$83),"Other"))))</f>
        <v/>
      </c>
      <c r="AN95">
        <f>IF($B95="","",IF(K95="","Not rostered",IFERROR(INDEX(Settings!$C$14:$C$33,MATCH(K95,Settings!$B$14:$B$33,0)),IFERROR(LOOKUP(2^15,SEARCH(Settings!$I$14:$I$83,K95)/(Settings!$I$14:$I$83&lt;&gt;""),Settings!$J$14:$J$83),"Other"))))</f>
        <v/>
      </c>
      <c r="AO95">
        <f>IF($B95="","",IF(L95="","Not rostered",IFERROR(INDEX(Settings!$C$14:$C$33,MATCH(L95,Settings!$B$14:$B$33,0)),IFERROR(LOOKUP(2^15,SEARCH(Settings!$I$14:$I$83,L95)/(Settings!$I$14:$I$83&lt;&gt;""),Settings!$J$14:$J$83),"Other"))))</f>
        <v/>
      </c>
      <c r="AP95">
        <f>IF($B95="","",IF(M95="","Not rostered",IFERROR(INDEX(Settings!$C$14:$C$33,MATCH(M95,Settings!$B$14:$B$33,0)),IFERROR(LOOKUP(2^15,SEARCH(Settings!$I$14:$I$83,M95)/(Settings!$I$14:$I$83&lt;&gt;""),Settings!$J$14:$J$83),"Other"))))</f>
        <v/>
      </c>
      <c r="AQ95">
        <f>IF($B95="","",IF(N95="","Not rostered",IFERROR(INDEX(Settings!$C$14:$C$33,MATCH(N95,Settings!$B$14:$B$33,0)),IFERROR(LOOKUP(2^15,SEARCH(Settings!$I$14:$I$83,N95)/(Settings!$I$14:$I$83&lt;&gt;""),Settings!$J$14:$J$83),"Other"))))</f>
        <v/>
      </c>
      <c r="AR95">
        <f>IF($B95="","",IF(O95="","Not rostered",IFERROR(INDEX(Settings!$C$14:$C$33,MATCH(O95,Settings!$B$14:$B$33,0)),IFERROR(LOOKUP(2^15,SEARCH(Settings!$I$14:$I$83,O95)/(Settings!$I$14:$I$83&lt;&gt;""),Settings!$J$14:$J$83),"Other"))))</f>
        <v/>
      </c>
      <c r="AS95">
        <f>IF($B95="","",IF(P95="","Not rostered",IFERROR(INDEX(Settings!$C$14:$C$33,MATCH(P95,Settings!$B$14:$B$33,0)),IFERROR(LOOKUP(2^15,SEARCH(Settings!$I$14:$I$83,P95)/(Settings!$I$14:$I$83&lt;&gt;""),Settings!$J$14:$J$83),"Other"))))</f>
        <v/>
      </c>
      <c r="AT95">
        <f>IF($B95="","",IF(Q95="","Not rostered",IFERROR(INDEX(Settings!$C$14:$C$33,MATCH(Q95,Settings!$B$14:$B$33,0)),IFERROR(LOOKUP(2^15,SEARCH(Settings!$I$14:$I$83,Q95)/(Settings!$I$14:$I$83&lt;&gt;""),Settings!$J$14:$J$83),"Other"))))</f>
        <v/>
      </c>
      <c r="AU95">
        <f>IF($B95="","",IF(R95="","Not rostered",IFERROR(INDEX(Settings!$C$14:$C$33,MATCH(R95,Settings!$B$14:$B$33,0)),IFERROR(LOOKUP(2^15,SEARCH(Settings!$I$14:$I$83,R95)/(Settings!$I$14:$I$83&lt;&gt;""),Settings!$J$14:$J$83),"Other"))))</f>
        <v/>
      </c>
      <c r="AV95">
        <f>IF($B95="","",IF(S95="","Not rostered",IFERROR(INDEX(Settings!$C$14:$C$33,MATCH(S95,Settings!$B$14:$B$33,0)),IFERROR(LOOKUP(2^15,SEARCH(Settings!$I$14:$I$83,S95)/(Settings!$I$14:$I$83&lt;&gt;""),Settings!$J$14:$J$83),"Other"))))</f>
        <v/>
      </c>
      <c r="AW95">
        <f>IF($B95="","",IF(T95="","Not rostered",IFERROR(INDEX(Settings!$C$14:$C$33,MATCH(T95,Settings!$B$14:$B$33,0)),IFERROR(LOOKUP(2^15,SEARCH(Settings!$I$14:$I$83,T95)/(Settings!$I$14:$I$83&lt;&gt;""),Settings!$J$14:$J$83),"Other"))))</f>
        <v/>
      </c>
      <c r="AX95">
        <f>IF($B95="","",IF(U95="","Not rostered",IFERROR(INDEX(Settings!$C$14:$C$33,MATCH(U95,Settings!$B$14:$B$33,0)),IFERROR(LOOKUP(2^15,SEARCH(Settings!$I$14:$I$83,U95)/(Settings!$I$14:$I$83&lt;&gt;""),Settings!$J$14:$J$83),"Other"))))</f>
        <v/>
      </c>
      <c r="AY95">
        <f>IF($B95="","",IF(V95="","Not rostered",IFERROR(INDEX(Settings!$C$14:$C$33,MATCH(V95,Settings!$B$14:$B$33,0)),IFERROR(LOOKUP(2^15,SEARCH(Settings!$I$14:$I$83,V95)/(Settings!$I$14:$I$83&lt;&gt;""),Settings!$J$14:$J$83),"Other"))))</f>
        <v/>
      </c>
      <c r="AZ95">
        <f>IF($B95="","",IF(W95="","Not rostered",IFERROR(INDEX(Settings!$C$14:$C$33,MATCH(W95,Settings!$B$14:$B$33,0)),IFERROR(LOOKUP(2^15,SEARCH(Settings!$I$14:$I$83,W95)/(Settings!$I$14:$I$83&lt;&gt;""),Settings!$J$14:$J$83),"Other"))))</f>
        <v/>
      </c>
      <c r="BA95">
        <f>IF($B95="","",IF(X95="","Not rostered",IFERROR(INDEX(Settings!$C$14:$C$33,MATCH(X95,Settings!$B$14:$B$33,0)),IFERROR(LOOKUP(2^15,SEARCH(Settings!$I$14:$I$83,X95)/(Settings!$I$14:$I$83&lt;&gt;""),Settings!$J$14:$J$83),"Other"))))</f>
        <v/>
      </c>
      <c r="BB95">
        <f>IF($B95="","",IF(Y95="","Not rostered",IFERROR(INDEX(Settings!$C$14:$C$33,MATCH(Y95,Settings!$B$14:$B$33,0)),IFERROR(LOOKUP(2^15,SEARCH(Settings!$I$14:$I$83,Y95)/(Settings!$I$14:$I$83&lt;&gt;""),Settings!$J$14:$J$83),"Other"))))</f>
        <v/>
      </c>
      <c r="BC95">
        <f>IF($B95="","",IF(Z95="","Not rostered",IFERROR(INDEX(Settings!$C$14:$C$33,MATCH(Z95,Settings!$B$14:$B$33,0)),IFERROR(LOOKUP(2^15,SEARCH(Settings!$I$14:$I$83,Z95)/(Settings!$I$14:$I$83&lt;&gt;""),Settings!$J$14:$J$83),"Other"))))</f>
        <v/>
      </c>
      <c r="BD95">
        <f>IF($B95="","",IF(AA95="","Not rostered",IFERROR(INDEX(Settings!$C$14:$C$33,MATCH(AA95,Settings!$B$14:$B$33,0)),IFERROR(LOOKUP(2^15,SEARCH(Settings!$I$14:$I$83,AA95)/(Settings!$I$14:$I$83&lt;&gt;""),Settings!$J$14:$J$83),"Other"))))</f>
        <v/>
      </c>
      <c r="BE95">
        <f>IF($B95="","",IF(AB95="","Not rostered",IFERROR(INDEX(Settings!$C$14:$C$33,MATCH(AB95,Settings!$B$14:$B$33,0)),IFERROR(LOOKUP(2^15,SEARCH(Settings!$I$14:$I$83,AB95)/(Settings!$I$14:$I$83&lt;&gt;""),Settings!$J$14:$J$83),"Other"))))</f>
        <v/>
      </c>
      <c r="BF95">
        <f>IF($B95="","",IF(AC95="","Not rostered",IFERROR(INDEX(Settings!$C$14:$C$33,MATCH(AC95,Settings!$B$14:$B$33,0)),IFERROR(LOOKUP(2^15,SEARCH(Settings!$I$14:$I$83,AC95)/(Settings!$I$14:$I$83&lt;&gt;""),Settings!$J$14:$J$83),"Other"))))</f>
        <v/>
      </c>
      <c r="BG95">
        <f>IF($B95="","",IF(AD95="","Not rostered",IFERROR(INDEX(Settings!$C$14:$C$33,MATCH(AD95,Settings!$B$14:$B$33,0)),IFERROR(LOOKUP(2^15,SEARCH(Settings!$I$14:$I$83,AD95)/(Settings!$I$14:$I$83&lt;&gt;""),Settings!$J$14:$J$83),"Other"))))</f>
        <v/>
      </c>
      <c r="BH95">
        <f>IF($B95="","",IF(AE95="","Not rostered",IFERROR(INDEX(Settings!$C$14:$C$33,MATCH(AE95,Settings!$B$14:$B$33,0)),IFERROR(LOOKUP(2^15,SEARCH(Settings!$I$14:$I$83,AE95)/(Settings!$I$14:$I$83&lt;&gt;""),Settings!$J$14:$J$83),"Other"))))</f>
        <v/>
      </c>
      <c r="BI95">
        <f>IF($B95="","",IF(AF95="","Not rostered",IFERROR(INDEX(Settings!$C$14:$C$33,MATCH(AF95,Settings!$B$14:$B$33,0)),IFERROR(LOOKUP(2^15,SEARCH(Settings!$I$14:$I$83,AF95)/(Settings!$I$14:$I$83&lt;&gt;""),Settings!$J$14:$J$83),"Other"))))</f>
        <v/>
      </c>
      <c r="BJ95">
        <f>IF($B95="","",IF(AG95="","Not rostered",IFERROR(INDEX(Settings!$C$14:$C$33,MATCH(AG95,Settings!$B$14:$B$33,0)),IFERROR(LOOKUP(2^15,SEARCH(Settings!$I$14:$I$83,AG95)/(Settings!$I$14:$I$83&lt;&gt;""),Settings!$J$14:$J$83),"Other"))))</f>
        <v/>
      </c>
      <c r="BL95">
        <f>IF(OR($B95="",F95=""),"",IFERROR(INDEX(Settings!$D$14:$D$33,MATCH(F95,Settings!$B$14:$B$33,0))&amp;"",IFERROR(LOOKUP(2^15,SEARCH(Settings!$F$14:$F$43,F95)/(Settings!$F$14:$F$43&lt;&gt;""),Settings!$G$14:$G$43),"")))</f>
        <v/>
      </c>
      <c r="BM95">
        <f>IF(OR($B95="",G95=""),"",IFERROR(INDEX(Settings!$D$14:$D$33,MATCH(G95,Settings!$B$14:$B$33,0))&amp;"",IFERROR(LOOKUP(2^15,SEARCH(Settings!$F$14:$F$43,G95)/(Settings!$F$14:$F$43&lt;&gt;""),Settings!$G$14:$G$43),"")))</f>
        <v/>
      </c>
      <c r="BN95">
        <f>IF(OR($B95="",H95=""),"",IFERROR(INDEX(Settings!$D$14:$D$33,MATCH(H95,Settings!$B$14:$B$33,0))&amp;"",IFERROR(LOOKUP(2^15,SEARCH(Settings!$F$14:$F$43,H95)/(Settings!$F$14:$F$43&lt;&gt;""),Settings!$G$14:$G$43),"")))</f>
        <v/>
      </c>
      <c r="BO95">
        <f>IF(OR($B95="",I95=""),"",IFERROR(INDEX(Settings!$D$14:$D$33,MATCH(I95,Settings!$B$14:$B$33,0))&amp;"",IFERROR(LOOKUP(2^15,SEARCH(Settings!$F$14:$F$43,I95)/(Settings!$F$14:$F$43&lt;&gt;""),Settings!$G$14:$G$43),"")))</f>
        <v/>
      </c>
      <c r="BP95">
        <f>IF(OR($B95="",J95=""),"",IFERROR(INDEX(Settings!$D$14:$D$33,MATCH(J95,Settings!$B$14:$B$33,0))&amp;"",IFERROR(LOOKUP(2^15,SEARCH(Settings!$F$14:$F$43,J95)/(Settings!$F$14:$F$43&lt;&gt;""),Settings!$G$14:$G$43),"")))</f>
        <v/>
      </c>
      <c r="BQ95">
        <f>IF(OR($B95="",K95=""),"",IFERROR(INDEX(Settings!$D$14:$D$33,MATCH(K95,Settings!$B$14:$B$33,0))&amp;"",IFERROR(LOOKUP(2^15,SEARCH(Settings!$F$14:$F$43,K95)/(Settings!$F$14:$F$43&lt;&gt;""),Settings!$G$14:$G$43),"")))</f>
        <v/>
      </c>
      <c r="BR95">
        <f>IF(OR($B95="",L95=""),"",IFERROR(INDEX(Settings!$D$14:$D$33,MATCH(L95,Settings!$B$14:$B$33,0))&amp;"",IFERROR(LOOKUP(2^15,SEARCH(Settings!$F$14:$F$43,L95)/(Settings!$F$14:$F$43&lt;&gt;""),Settings!$G$14:$G$43),"")))</f>
        <v/>
      </c>
      <c r="BS95">
        <f>IF(OR($B95="",M95=""),"",IFERROR(INDEX(Settings!$D$14:$D$33,MATCH(M95,Settings!$B$14:$B$33,0))&amp;"",IFERROR(LOOKUP(2^15,SEARCH(Settings!$F$14:$F$43,M95)/(Settings!$F$14:$F$43&lt;&gt;""),Settings!$G$14:$G$43),"")))</f>
        <v/>
      </c>
      <c r="BT95">
        <f>IF(OR($B95="",N95=""),"",IFERROR(INDEX(Settings!$D$14:$D$33,MATCH(N95,Settings!$B$14:$B$33,0))&amp;"",IFERROR(LOOKUP(2^15,SEARCH(Settings!$F$14:$F$43,N95)/(Settings!$F$14:$F$43&lt;&gt;""),Settings!$G$14:$G$43),"")))</f>
        <v/>
      </c>
      <c r="BU95">
        <f>IF(OR($B95="",O95=""),"",IFERROR(INDEX(Settings!$D$14:$D$33,MATCH(O95,Settings!$B$14:$B$33,0))&amp;"",IFERROR(LOOKUP(2^15,SEARCH(Settings!$F$14:$F$43,O95)/(Settings!$F$14:$F$43&lt;&gt;""),Settings!$G$14:$G$43),"")))</f>
        <v/>
      </c>
      <c r="BV95">
        <f>IF(OR($B95="",P95=""),"",IFERROR(INDEX(Settings!$D$14:$D$33,MATCH(P95,Settings!$B$14:$B$33,0))&amp;"",IFERROR(LOOKUP(2^15,SEARCH(Settings!$F$14:$F$43,P95)/(Settings!$F$14:$F$43&lt;&gt;""),Settings!$G$14:$G$43),"")))</f>
        <v/>
      </c>
      <c r="BW95">
        <f>IF(OR($B95="",Q95=""),"",IFERROR(INDEX(Settings!$D$14:$D$33,MATCH(Q95,Settings!$B$14:$B$33,0))&amp;"",IFERROR(LOOKUP(2^15,SEARCH(Settings!$F$14:$F$43,Q95)/(Settings!$F$14:$F$43&lt;&gt;""),Settings!$G$14:$G$43),"")))</f>
        <v/>
      </c>
      <c r="BX95">
        <f>IF(OR($B95="",R95=""),"",IFERROR(INDEX(Settings!$D$14:$D$33,MATCH(R95,Settings!$B$14:$B$33,0))&amp;"",IFERROR(LOOKUP(2^15,SEARCH(Settings!$F$14:$F$43,R95)/(Settings!$F$14:$F$43&lt;&gt;""),Settings!$G$14:$G$43),"")))</f>
        <v/>
      </c>
      <c r="BY95">
        <f>IF(OR($B95="",S95=""),"",IFERROR(INDEX(Settings!$D$14:$D$33,MATCH(S95,Settings!$B$14:$B$33,0))&amp;"",IFERROR(LOOKUP(2^15,SEARCH(Settings!$F$14:$F$43,S95)/(Settings!$F$14:$F$43&lt;&gt;""),Settings!$G$14:$G$43),"")))</f>
        <v/>
      </c>
      <c r="BZ95">
        <f>IF(OR($B95="",T95=""),"",IFERROR(INDEX(Settings!$D$14:$D$33,MATCH(T95,Settings!$B$14:$B$33,0))&amp;"",IFERROR(LOOKUP(2^15,SEARCH(Settings!$F$14:$F$43,T95)/(Settings!$F$14:$F$43&lt;&gt;""),Settings!$G$14:$G$43),"")))</f>
        <v/>
      </c>
      <c r="CA95">
        <f>IF(OR($B95="",U95=""),"",IFERROR(INDEX(Settings!$D$14:$D$33,MATCH(U95,Settings!$B$14:$B$33,0))&amp;"",IFERROR(LOOKUP(2^15,SEARCH(Settings!$F$14:$F$43,U95)/(Settings!$F$14:$F$43&lt;&gt;""),Settings!$G$14:$G$43),"")))</f>
        <v/>
      </c>
      <c r="CB95">
        <f>IF(OR($B95="",V95=""),"",IFERROR(INDEX(Settings!$D$14:$D$33,MATCH(V95,Settings!$B$14:$B$33,0))&amp;"",IFERROR(LOOKUP(2^15,SEARCH(Settings!$F$14:$F$43,V95)/(Settings!$F$14:$F$43&lt;&gt;""),Settings!$G$14:$G$43),"")))</f>
        <v/>
      </c>
      <c r="CC95">
        <f>IF(OR($B95="",W95=""),"",IFERROR(INDEX(Settings!$D$14:$D$33,MATCH(W95,Settings!$B$14:$B$33,0))&amp;"",IFERROR(LOOKUP(2^15,SEARCH(Settings!$F$14:$F$43,W95)/(Settings!$F$14:$F$43&lt;&gt;""),Settings!$G$14:$G$43),"")))</f>
        <v/>
      </c>
      <c r="CD95">
        <f>IF(OR($B95="",X95=""),"",IFERROR(INDEX(Settings!$D$14:$D$33,MATCH(X95,Settings!$B$14:$B$33,0))&amp;"",IFERROR(LOOKUP(2^15,SEARCH(Settings!$F$14:$F$43,X95)/(Settings!$F$14:$F$43&lt;&gt;""),Settings!$G$14:$G$43),"")))</f>
        <v/>
      </c>
      <c r="CE95">
        <f>IF(OR($B95="",Y95=""),"",IFERROR(INDEX(Settings!$D$14:$D$33,MATCH(Y95,Settings!$B$14:$B$33,0))&amp;"",IFERROR(LOOKUP(2^15,SEARCH(Settings!$F$14:$F$43,Y95)/(Settings!$F$14:$F$43&lt;&gt;""),Settings!$G$14:$G$43),"")))</f>
        <v/>
      </c>
      <c r="CF95">
        <f>IF(OR($B95="",Z95=""),"",IFERROR(INDEX(Settings!$D$14:$D$33,MATCH(Z95,Settings!$B$14:$B$33,0))&amp;"",IFERROR(LOOKUP(2^15,SEARCH(Settings!$F$14:$F$43,Z95)/(Settings!$F$14:$F$43&lt;&gt;""),Settings!$G$14:$G$43),"")))</f>
        <v/>
      </c>
      <c r="CG95">
        <f>IF(OR($B95="",AA95=""),"",IFERROR(INDEX(Settings!$D$14:$D$33,MATCH(AA95,Settings!$B$14:$B$33,0))&amp;"",IFERROR(LOOKUP(2^15,SEARCH(Settings!$F$14:$F$43,AA95)/(Settings!$F$14:$F$43&lt;&gt;""),Settings!$G$14:$G$43),"")))</f>
        <v/>
      </c>
      <c r="CH95">
        <f>IF(OR($B95="",AB95=""),"",IFERROR(INDEX(Settings!$D$14:$D$33,MATCH(AB95,Settings!$B$14:$B$33,0))&amp;"",IFERROR(LOOKUP(2^15,SEARCH(Settings!$F$14:$F$43,AB95)/(Settings!$F$14:$F$43&lt;&gt;""),Settings!$G$14:$G$43),"")))</f>
        <v/>
      </c>
      <c r="CI95">
        <f>IF(OR($B95="",AC95=""),"",IFERROR(INDEX(Settings!$D$14:$D$33,MATCH(AC95,Settings!$B$14:$B$33,0))&amp;"",IFERROR(LOOKUP(2^15,SEARCH(Settings!$F$14:$F$43,AC95)/(Settings!$F$14:$F$43&lt;&gt;""),Settings!$G$14:$G$43),"")))</f>
        <v/>
      </c>
      <c r="CJ95">
        <f>IF(OR($B95="",AD95=""),"",IFERROR(INDEX(Settings!$D$14:$D$33,MATCH(AD95,Settings!$B$14:$B$33,0))&amp;"",IFERROR(LOOKUP(2^15,SEARCH(Settings!$F$14:$F$43,AD95)/(Settings!$F$14:$F$43&lt;&gt;""),Settings!$G$14:$G$43),"")))</f>
        <v/>
      </c>
      <c r="CK95">
        <f>IF(OR($B95="",AE95=""),"",IFERROR(INDEX(Settings!$D$14:$D$33,MATCH(AE95,Settings!$B$14:$B$33,0))&amp;"",IFERROR(LOOKUP(2^15,SEARCH(Settings!$F$14:$F$43,AE95)/(Settings!$F$14:$F$43&lt;&gt;""),Settings!$G$14:$G$43),"")))</f>
        <v/>
      </c>
      <c r="CL95">
        <f>IF(OR($B95="",AF95=""),"",IFERROR(INDEX(Settings!$D$14:$D$33,MATCH(AF95,Settings!$B$14:$B$33,0))&amp;"",IFERROR(LOOKUP(2^15,SEARCH(Settings!$F$14:$F$43,AF95)/(Settings!$F$14:$F$43&lt;&gt;""),Settings!$G$14:$G$43),"")))</f>
        <v/>
      </c>
      <c r="CM95">
        <f>IF(OR($B95="",AG95=""),"",IFERROR(INDEX(Settings!$D$14:$D$33,MATCH(AG95,Settings!$B$14:$B$33,0))&amp;"",IFERROR(LOOKUP(2^15,SEARCH(Settings!$F$14:$F$43,AG95)/(Settings!$F$14:$F$43&lt;&gt;""),Settings!$G$14:$G$43),"")))</f>
        <v/>
      </c>
    </row>
    <row r="96">
      <c r="A96" t="n">
        <v>94</v>
      </c>
      <c r="B96">
        <f>IFERROR(INDEX(Index!$A$2:$A$202,MATCH(A96,Index!$E$2:$E$202,0)),"")</f>
        <v/>
      </c>
      <c r="D96">
        <f>IF($B96="","",IFERROR(MATCH("Travel*",AI96:BJ96,0),""))</f>
        <v/>
      </c>
      <c r="F96">
        <f>IF(OR($B96="",NOT(ISNUMBER(Settings!$C$9))),"",TRIM(SUBSTITUTE(SUBSTITUTE(INDEX('INPUT - Roster'!$S$1:$SV$206,$B96,Settings!$C$9+0)&amp;"",CHAR(10)," "),CHAR(160)," ")))</f>
        <v/>
      </c>
      <c r="G96">
        <f>IF(OR($B96="",NOT(ISNUMBER(Settings!$C$9))),"",TRIM(SUBSTITUTE(SUBSTITUTE(INDEX('INPUT - Roster'!$S$1:$SV$206,$B96,Settings!$C$9+1)&amp;"",CHAR(10)," "),CHAR(160)," ")))</f>
        <v/>
      </c>
      <c r="H96">
        <f>IF(OR($B96="",NOT(ISNUMBER(Settings!$C$9))),"",TRIM(SUBSTITUTE(SUBSTITUTE(INDEX('INPUT - Roster'!$S$1:$SV$206,$B96,Settings!$C$9+2)&amp;"",CHAR(10)," "),CHAR(160)," ")))</f>
        <v/>
      </c>
      <c r="I96">
        <f>IF(OR($B96="",NOT(ISNUMBER(Settings!$C$9))),"",TRIM(SUBSTITUTE(SUBSTITUTE(INDEX('INPUT - Roster'!$S$1:$SV$206,$B96,Settings!$C$9+3)&amp;"",CHAR(10)," "),CHAR(160)," ")))</f>
        <v/>
      </c>
      <c r="J96">
        <f>IF(OR($B96="",NOT(ISNUMBER(Settings!$C$9))),"",TRIM(SUBSTITUTE(SUBSTITUTE(INDEX('INPUT - Roster'!$S$1:$SV$206,$B96,Settings!$C$9+4)&amp;"",CHAR(10)," "),CHAR(160)," ")))</f>
        <v/>
      </c>
      <c r="K96">
        <f>IF(OR($B96="",NOT(ISNUMBER(Settings!$C$9))),"",TRIM(SUBSTITUTE(SUBSTITUTE(INDEX('INPUT - Roster'!$S$1:$SV$206,$B96,Settings!$C$9+5)&amp;"",CHAR(10)," "),CHAR(160)," ")))</f>
        <v/>
      </c>
      <c r="L96">
        <f>IF(OR($B96="",NOT(ISNUMBER(Settings!$C$9))),"",TRIM(SUBSTITUTE(SUBSTITUTE(INDEX('INPUT - Roster'!$S$1:$SV$206,$B96,Settings!$C$9+6)&amp;"",CHAR(10)," "),CHAR(160)," ")))</f>
        <v/>
      </c>
      <c r="M96">
        <f>IF(OR($B96="",NOT(ISNUMBER(Settings!$C$9))),"",TRIM(SUBSTITUTE(SUBSTITUTE(INDEX('INPUT - Roster'!$S$1:$SV$206,$B96,Settings!$C$9+7)&amp;"",CHAR(10)," "),CHAR(160)," ")))</f>
        <v/>
      </c>
      <c r="N96">
        <f>IF(OR($B96="",NOT(ISNUMBER(Settings!$C$9))),"",TRIM(SUBSTITUTE(SUBSTITUTE(INDEX('INPUT - Roster'!$S$1:$SV$206,$B96,Settings!$C$9+8)&amp;"",CHAR(10)," "),CHAR(160)," ")))</f>
        <v/>
      </c>
      <c r="O96">
        <f>IF(OR($B96="",NOT(ISNUMBER(Settings!$C$9))),"",TRIM(SUBSTITUTE(SUBSTITUTE(INDEX('INPUT - Roster'!$S$1:$SV$206,$B96,Settings!$C$9+9)&amp;"",CHAR(10)," "),CHAR(160)," ")))</f>
        <v/>
      </c>
      <c r="P96">
        <f>IF(OR($B96="",NOT(ISNUMBER(Settings!$C$9))),"",TRIM(SUBSTITUTE(SUBSTITUTE(INDEX('INPUT - Roster'!$S$1:$SV$206,$B96,Settings!$C$9+10)&amp;"",CHAR(10)," "),CHAR(160)," ")))</f>
        <v/>
      </c>
      <c r="Q96">
        <f>IF(OR($B96="",NOT(ISNUMBER(Settings!$C$9))),"",TRIM(SUBSTITUTE(SUBSTITUTE(INDEX('INPUT - Roster'!$S$1:$SV$206,$B96,Settings!$C$9+11)&amp;"",CHAR(10)," "),CHAR(160)," ")))</f>
        <v/>
      </c>
      <c r="R96">
        <f>IF(OR($B96="",NOT(ISNUMBER(Settings!$C$9))),"",TRIM(SUBSTITUTE(SUBSTITUTE(INDEX('INPUT - Roster'!$S$1:$SV$206,$B96,Settings!$C$9+12)&amp;"",CHAR(10)," "),CHAR(160)," ")))</f>
        <v/>
      </c>
      <c r="S96">
        <f>IF(OR($B96="",NOT(ISNUMBER(Settings!$C$9))),"",TRIM(SUBSTITUTE(SUBSTITUTE(INDEX('INPUT - Roster'!$S$1:$SV$206,$B96,Settings!$C$9+13)&amp;"",CHAR(10)," "),CHAR(160)," ")))</f>
        <v/>
      </c>
      <c r="T96">
        <f>IF(OR($B96="",NOT(ISNUMBER(Settings!$C$9))),"",TRIM(SUBSTITUTE(SUBSTITUTE(INDEX('INPUT - Roster'!$S$1:$SV$206,$B96,Settings!$C$9+14)&amp;"",CHAR(10)," "),CHAR(160)," ")))</f>
        <v/>
      </c>
      <c r="U96">
        <f>IF(OR($B96="",NOT(ISNUMBER(Settings!$C$9))),"",TRIM(SUBSTITUTE(SUBSTITUTE(INDEX('INPUT - Roster'!$S$1:$SV$206,$B96,Settings!$C$9+15)&amp;"",CHAR(10)," "),CHAR(160)," ")))</f>
        <v/>
      </c>
      <c r="V96">
        <f>IF(OR($B96="",NOT(ISNUMBER(Settings!$C$9))),"",TRIM(SUBSTITUTE(SUBSTITUTE(INDEX('INPUT - Roster'!$S$1:$SV$206,$B96,Settings!$C$9+16)&amp;"",CHAR(10)," "),CHAR(160)," ")))</f>
        <v/>
      </c>
      <c r="W96">
        <f>IF(OR($B96="",NOT(ISNUMBER(Settings!$C$9))),"",TRIM(SUBSTITUTE(SUBSTITUTE(INDEX('INPUT - Roster'!$S$1:$SV$206,$B96,Settings!$C$9+17)&amp;"",CHAR(10)," "),CHAR(160)," ")))</f>
        <v/>
      </c>
      <c r="X96">
        <f>IF(OR($B96="",NOT(ISNUMBER(Settings!$C$9))),"",TRIM(SUBSTITUTE(SUBSTITUTE(INDEX('INPUT - Roster'!$S$1:$SV$206,$B96,Settings!$C$9+18)&amp;"",CHAR(10)," "),CHAR(160)," ")))</f>
        <v/>
      </c>
      <c r="Y96">
        <f>IF(OR($B96="",NOT(ISNUMBER(Settings!$C$9))),"",TRIM(SUBSTITUTE(SUBSTITUTE(INDEX('INPUT - Roster'!$S$1:$SV$206,$B96,Settings!$C$9+19)&amp;"",CHAR(10)," "),CHAR(160)," ")))</f>
        <v/>
      </c>
      <c r="Z96">
        <f>IF(OR($B96="",NOT(ISNUMBER(Settings!$C$9))),"",TRIM(SUBSTITUTE(SUBSTITUTE(INDEX('INPUT - Roster'!$S$1:$SV$206,$B96,Settings!$C$9+20)&amp;"",CHAR(10)," "),CHAR(160)," ")))</f>
        <v/>
      </c>
      <c r="AA96">
        <f>IF(OR($B96="",NOT(ISNUMBER(Settings!$C$9))),"",TRIM(SUBSTITUTE(SUBSTITUTE(INDEX('INPUT - Roster'!$S$1:$SV$206,$B96,Settings!$C$9+21)&amp;"",CHAR(10)," "),CHAR(160)," ")))</f>
        <v/>
      </c>
      <c r="AB96">
        <f>IF(OR($B96="",NOT(ISNUMBER(Settings!$C$9))),"",TRIM(SUBSTITUTE(SUBSTITUTE(INDEX('INPUT - Roster'!$S$1:$SV$206,$B96,Settings!$C$9+22)&amp;"",CHAR(10)," "),CHAR(160)," ")))</f>
        <v/>
      </c>
      <c r="AC96">
        <f>IF(OR($B96="",NOT(ISNUMBER(Settings!$C$9))),"",TRIM(SUBSTITUTE(SUBSTITUTE(INDEX('INPUT - Roster'!$S$1:$SV$206,$B96,Settings!$C$9+23)&amp;"",CHAR(10)," "),CHAR(160)," ")))</f>
        <v/>
      </c>
      <c r="AD96">
        <f>IF(OR($B96="",NOT(ISNUMBER(Settings!$C$9))),"",TRIM(SUBSTITUTE(SUBSTITUTE(INDEX('INPUT - Roster'!$S$1:$SV$206,$B96,Settings!$C$9+24)&amp;"",CHAR(10)," "),CHAR(160)," ")))</f>
        <v/>
      </c>
      <c r="AE96">
        <f>IF(OR($B96="",NOT(ISNUMBER(Settings!$C$9))),"",TRIM(SUBSTITUTE(SUBSTITUTE(INDEX('INPUT - Roster'!$S$1:$SV$206,$B96,Settings!$C$9+25)&amp;"",CHAR(10)," "),CHAR(160)," ")))</f>
        <v/>
      </c>
      <c r="AF96">
        <f>IF(OR($B96="",NOT(ISNUMBER(Settings!$C$9))),"",TRIM(SUBSTITUTE(SUBSTITUTE(INDEX('INPUT - Roster'!$S$1:$SV$206,$B96,Settings!$C$9+26)&amp;"",CHAR(10)," "),CHAR(160)," ")))</f>
        <v/>
      </c>
      <c r="AG96">
        <f>IF(OR($B96="",NOT(ISNUMBER(Settings!$C$9))),"",TRIM(SUBSTITUTE(SUBSTITUTE(INDEX('INPUT - Roster'!$S$1:$SV$206,$B96,Settings!$C$9+27)&amp;"",CHAR(10)," "),CHAR(160)," ")))</f>
        <v/>
      </c>
      <c r="AI96">
        <f>IF($B96="","",IF(F96="","Not rostered",IFERROR(INDEX(Settings!$C$14:$C$33,MATCH(F96,Settings!$B$14:$B$33,0)),IFERROR(LOOKUP(2^15,SEARCH(Settings!$I$14:$I$83,F96)/(Settings!$I$14:$I$83&lt;&gt;""),Settings!$J$14:$J$83),"Other"))))</f>
        <v/>
      </c>
      <c r="AJ96">
        <f>IF($B96="","",IF(G96="","Not rostered",IFERROR(INDEX(Settings!$C$14:$C$33,MATCH(G96,Settings!$B$14:$B$33,0)),IFERROR(LOOKUP(2^15,SEARCH(Settings!$I$14:$I$83,G96)/(Settings!$I$14:$I$83&lt;&gt;""),Settings!$J$14:$J$83),"Other"))))</f>
        <v/>
      </c>
      <c r="AK96">
        <f>IF($B96="","",IF(H96="","Not rostered",IFERROR(INDEX(Settings!$C$14:$C$33,MATCH(H96,Settings!$B$14:$B$33,0)),IFERROR(LOOKUP(2^15,SEARCH(Settings!$I$14:$I$83,H96)/(Settings!$I$14:$I$83&lt;&gt;""),Settings!$J$14:$J$83),"Other"))))</f>
        <v/>
      </c>
      <c r="AL96">
        <f>IF($B96="","",IF(I96="","Not rostered",IFERROR(INDEX(Settings!$C$14:$C$33,MATCH(I96,Settings!$B$14:$B$33,0)),IFERROR(LOOKUP(2^15,SEARCH(Settings!$I$14:$I$83,I96)/(Settings!$I$14:$I$83&lt;&gt;""),Settings!$J$14:$J$83),"Other"))))</f>
        <v/>
      </c>
      <c r="AM96">
        <f>IF($B96="","",IF(J96="","Not rostered",IFERROR(INDEX(Settings!$C$14:$C$33,MATCH(J96,Settings!$B$14:$B$33,0)),IFERROR(LOOKUP(2^15,SEARCH(Settings!$I$14:$I$83,J96)/(Settings!$I$14:$I$83&lt;&gt;""),Settings!$J$14:$J$83),"Other"))))</f>
        <v/>
      </c>
      <c r="AN96">
        <f>IF($B96="","",IF(K96="","Not rostered",IFERROR(INDEX(Settings!$C$14:$C$33,MATCH(K96,Settings!$B$14:$B$33,0)),IFERROR(LOOKUP(2^15,SEARCH(Settings!$I$14:$I$83,K96)/(Settings!$I$14:$I$83&lt;&gt;""),Settings!$J$14:$J$83),"Other"))))</f>
        <v/>
      </c>
      <c r="AO96">
        <f>IF($B96="","",IF(L96="","Not rostered",IFERROR(INDEX(Settings!$C$14:$C$33,MATCH(L96,Settings!$B$14:$B$33,0)),IFERROR(LOOKUP(2^15,SEARCH(Settings!$I$14:$I$83,L96)/(Settings!$I$14:$I$83&lt;&gt;""),Settings!$J$14:$J$83),"Other"))))</f>
        <v/>
      </c>
      <c r="AP96">
        <f>IF($B96="","",IF(M96="","Not rostered",IFERROR(INDEX(Settings!$C$14:$C$33,MATCH(M96,Settings!$B$14:$B$33,0)),IFERROR(LOOKUP(2^15,SEARCH(Settings!$I$14:$I$83,M96)/(Settings!$I$14:$I$83&lt;&gt;""),Settings!$J$14:$J$83),"Other"))))</f>
        <v/>
      </c>
      <c r="AQ96">
        <f>IF($B96="","",IF(N96="","Not rostered",IFERROR(INDEX(Settings!$C$14:$C$33,MATCH(N96,Settings!$B$14:$B$33,0)),IFERROR(LOOKUP(2^15,SEARCH(Settings!$I$14:$I$83,N96)/(Settings!$I$14:$I$83&lt;&gt;""),Settings!$J$14:$J$83),"Other"))))</f>
        <v/>
      </c>
      <c r="AR96">
        <f>IF($B96="","",IF(O96="","Not rostered",IFERROR(INDEX(Settings!$C$14:$C$33,MATCH(O96,Settings!$B$14:$B$33,0)),IFERROR(LOOKUP(2^15,SEARCH(Settings!$I$14:$I$83,O96)/(Settings!$I$14:$I$83&lt;&gt;""),Settings!$J$14:$J$83),"Other"))))</f>
        <v/>
      </c>
      <c r="AS96">
        <f>IF($B96="","",IF(P96="","Not rostered",IFERROR(INDEX(Settings!$C$14:$C$33,MATCH(P96,Settings!$B$14:$B$33,0)),IFERROR(LOOKUP(2^15,SEARCH(Settings!$I$14:$I$83,P96)/(Settings!$I$14:$I$83&lt;&gt;""),Settings!$J$14:$J$83),"Other"))))</f>
        <v/>
      </c>
      <c r="AT96">
        <f>IF($B96="","",IF(Q96="","Not rostered",IFERROR(INDEX(Settings!$C$14:$C$33,MATCH(Q96,Settings!$B$14:$B$33,0)),IFERROR(LOOKUP(2^15,SEARCH(Settings!$I$14:$I$83,Q96)/(Settings!$I$14:$I$83&lt;&gt;""),Settings!$J$14:$J$83),"Other"))))</f>
        <v/>
      </c>
      <c r="AU96">
        <f>IF($B96="","",IF(R96="","Not rostered",IFERROR(INDEX(Settings!$C$14:$C$33,MATCH(R96,Settings!$B$14:$B$33,0)),IFERROR(LOOKUP(2^15,SEARCH(Settings!$I$14:$I$83,R96)/(Settings!$I$14:$I$83&lt;&gt;""),Settings!$J$14:$J$83),"Other"))))</f>
        <v/>
      </c>
      <c r="AV96">
        <f>IF($B96="","",IF(S96="","Not rostered",IFERROR(INDEX(Settings!$C$14:$C$33,MATCH(S96,Settings!$B$14:$B$33,0)),IFERROR(LOOKUP(2^15,SEARCH(Settings!$I$14:$I$83,S96)/(Settings!$I$14:$I$83&lt;&gt;""),Settings!$J$14:$J$83),"Other"))))</f>
        <v/>
      </c>
      <c r="AW96">
        <f>IF($B96="","",IF(T96="","Not rostered",IFERROR(INDEX(Settings!$C$14:$C$33,MATCH(T96,Settings!$B$14:$B$33,0)),IFERROR(LOOKUP(2^15,SEARCH(Settings!$I$14:$I$83,T96)/(Settings!$I$14:$I$83&lt;&gt;""),Settings!$J$14:$J$83),"Other"))))</f>
        <v/>
      </c>
      <c r="AX96">
        <f>IF($B96="","",IF(U96="","Not rostered",IFERROR(INDEX(Settings!$C$14:$C$33,MATCH(U96,Settings!$B$14:$B$33,0)),IFERROR(LOOKUP(2^15,SEARCH(Settings!$I$14:$I$83,U96)/(Settings!$I$14:$I$83&lt;&gt;""),Settings!$J$14:$J$83),"Other"))))</f>
        <v/>
      </c>
      <c r="AY96">
        <f>IF($B96="","",IF(V96="","Not rostered",IFERROR(INDEX(Settings!$C$14:$C$33,MATCH(V96,Settings!$B$14:$B$33,0)),IFERROR(LOOKUP(2^15,SEARCH(Settings!$I$14:$I$83,V96)/(Settings!$I$14:$I$83&lt;&gt;""),Settings!$J$14:$J$83),"Other"))))</f>
        <v/>
      </c>
      <c r="AZ96">
        <f>IF($B96="","",IF(W96="","Not rostered",IFERROR(INDEX(Settings!$C$14:$C$33,MATCH(W96,Settings!$B$14:$B$33,0)),IFERROR(LOOKUP(2^15,SEARCH(Settings!$I$14:$I$83,W96)/(Settings!$I$14:$I$83&lt;&gt;""),Settings!$J$14:$J$83),"Other"))))</f>
        <v/>
      </c>
      <c r="BA96">
        <f>IF($B96="","",IF(X96="","Not rostered",IFERROR(INDEX(Settings!$C$14:$C$33,MATCH(X96,Settings!$B$14:$B$33,0)),IFERROR(LOOKUP(2^15,SEARCH(Settings!$I$14:$I$83,X96)/(Settings!$I$14:$I$83&lt;&gt;""),Settings!$J$14:$J$83),"Other"))))</f>
        <v/>
      </c>
      <c r="BB96">
        <f>IF($B96="","",IF(Y96="","Not rostered",IFERROR(INDEX(Settings!$C$14:$C$33,MATCH(Y96,Settings!$B$14:$B$33,0)),IFERROR(LOOKUP(2^15,SEARCH(Settings!$I$14:$I$83,Y96)/(Settings!$I$14:$I$83&lt;&gt;""),Settings!$J$14:$J$83),"Other"))))</f>
        <v/>
      </c>
      <c r="BC96">
        <f>IF($B96="","",IF(Z96="","Not rostered",IFERROR(INDEX(Settings!$C$14:$C$33,MATCH(Z96,Settings!$B$14:$B$33,0)),IFERROR(LOOKUP(2^15,SEARCH(Settings!$I$14:$I$83,Z96)/(Settings!$I$14:$I$83&lt;&gt;""),Settings!$J$14:$J$83),"Other"))))</f>
        <v/>
      </c>
      <c r="BD96">
        <f>IF($B96="","",IF(AA96="","Not rostered",IFERROR(INDEX(Settings!$C$14:$C$33,MATCH(AA96,Settings!$B$14:$B$33,0)),IFERROR(LOOKUP(2^15,SEARCH(Settings!$I$14:$I$83,AA96)/(Settings!$I$14:$I$83&lt;&gt;""),Settings!$J$14:$J$83),"Other"))))</f>
        <v/>
      </c>
      <c r="BE96">
        <f>IF($B96="","",IF(AB96="","Not rostered",IFERROR(INDEX(Settings!$C$14:$C$33,MATCH(AB96,Settings!$B$14:$B$33,0)),IFERROR(LOOKUP(2^15,SEARCH(Settings!$I$14:$I$83,AB96)/(Settings!$I$14:$I$83&lt;&gt;""),Settings!$J$14:$J$83),"Other"))))</f>
        <v/>
      </c>
      <c r="BF96">
        <f>IF($B96="","",IF(AC96="","Not rostered",IFERROR(INDEX(Settings!$C$14:$C$33,MATCH(AC96,Settings!$B$14:$B$33,0)),IFERROR(LOOKUP(2^15,SEARCH(Settings!$I$14:$I$83,AC96)/(Settings!$I$14:$I$83&lt;&gt;""),Settings!$J$14:$J$83),"Other"))))</f>
        <v/>
      </c>
      <c r="BG96">
        <f>IF($B96="","",IF(AD96="","Not rostered",IFERROR(INDEX(Settings!$C$14:$C$33,MATCH(AD96,Settings!$B$14:$B$33,0)),IFERROR(LOOKUP(2^15,SEARCH(Settings!$I$14:$I$83,AD96)/(Settings!$I$14:$I$83&lt;&gt;""),Settings!$J$14:$J$83),"Other"))))</f>
        <v/>
      </c>
      <c r="BH96">
        <f>IF($B96="","",IF(AE96="","Not rostered",IFERROR(INDEX(Settings!$C$14:$C$33,MATCH(AE96,Settings!$B$14:$B$33,0)),IFERROR(LOOKUP(2^15,SEARCH(Settings!$I$14:$I$83,AE96)/(Settings!$I$14:$I$83&lt;&gt;""),Settings!$J$14:$J$83),"Other"))))</f>
        <v/>
      </c>
      <c r="BI96">
        <f>IF($B96="","",IF(AF96="","Not rostered",IFERROR(INDEX(Settings!$C$14:$C$33,MATCH(AF96,Settings!$B$14:$B$33,0)),IFERROR(LOOKUP(2^15,SEARCH(Settings!$I$14:$I$83,AF96)/(Settings!$I$14:$I$83&lt;&gt;""),Settings!$J$14:$J$83),"Other"))))</f>
        <v/>
      </c>
      <c r="BJ96">
        <f>IF($B96="","",IF(AG96="","Not rostered",IFERROR(INDEX(Settings!$C$14:$C$33,MATCH(AG96,Settings!$B$14:$B$33,0)),IFERROR(LOOKUP(2^15,SEARCH(Settings!$I$14:$I$83,AG96)/(Settings!$I$14:$I$83&lt;&gt;""),Settings!$J$14:$J$83),"Other"))))</f>
        <v/>
      </c>
      <c r="BL96">
        <f>IF(OR($B96="",F96=""),"",IFERROR(INDEX(Settings!$D$14:$D$33,MATCH(F96,Settings!$B$14:$B$33,0))&amp;"",IFERROR(LOOKUP(2^15,SEARCH(Settings!$F$14:$F$43,F96)/(Settings!$F$14:$F$43&lt;&gt;""),Settings!$G$14:$G$43),"")))</f>
        <v/>
      </c>
      <c r="BM96">
        <f>IF(OR($B96="",G96=""),"",IFERROR(INDEX(Settings!$D$14:$D$33,MATCH(G96,Settings!$B$14:$B$33,0))&amp;"",IFERROR(LOOKUP(2^15,SEARCH(Settings!$F$14:$F$43,G96)/(Settings!$F$14:$F$43&lt;&gt;""),Settings!$G$14:$G$43),"")))</f>
        <v/>
      </c>
      <c r="BN96">
        <f>IF(OR($B96="",H96=""),"",IFERROR(INDEX(Settings!$D$14:$D$33,MATCH(H96,Settings!$B$14:$B$33,0))&amp;"",IFERROR(LOOKUP(2^15,SEARCH(Settings!$F$14:$F$43,H96)/(Settings!$F$14:$F$43&lt;&gt;""),Settings!$G$14:$G$43),"")))</f>
        <v/>
      </c>
      <c r="BO96">
        <f>IF(OR($B96="",I96=""),"",IFERROR(INDEX(Settings!$D$14:$D$33,MATCH(I96,Settings!$B$14:$B$33,0))&amp;"",IFERROR(LOOKUP(2^15,SEARCH(Settings!$F$14:$F$43,I96)/(Settings!$F$14:$F$43&lt;&gt;""),Settings!$G$14:$G$43),"")))</f>
        <v/>
      </c>
      <c r="BP96">
        <f>IF(OR($B96="",J96=""),"",IFERROR(INDEX(Settings!$D$14:$D$33,MATCH(J96,Settings!$B$14:$B$33,0))&amp;"",IFERROR(LOOKUP(2^15,SEARCH(Settings!$F$14:$F$43,J96)/(Settings!$F$14:$F$43&lt;&gt;""),Settings!$G$14:$G$43),"")))</f>
        <v/>
      </c>
      <c r="BQ96">
        <f>IF(OR($B96="",K96=""),"",IFERROR(INDEX(Settings!$D$14:$D$33,MATCH(K96,Settings!$B$14:$B$33,0))&amp;"",IFERROR(LOOKUP(2^15,SEARCH(Settings!$F$14:$F$43,K96)/(Settings!$F$14:$F$43&lt;&gt;""),Settings!$G$14:$G$43),"")))</f>
        <v/>
      </c>
      <c r="BR96">
        <f>IF(OR($B96="",L96=""),"",IFERROR(INDEX(Settings!$D$14:$D$33,MATCH(L96,Settings!$B$14:$B$33,0))&amp;"",IFERROR(LOOKUP(2^15,SEARCH(Settings!$F$14:$F$43,L96)/(Settings!$F$14:$F$43&lt;&gt;""),Settings!$G$14:$G$43),"")))</f>
        <v/>
      </c>
      <c r="BS96">
        <f>IF(OR($B96="",M96=""),"",IFERROR(INDEX(Settings!$D$14:$D$33,MATCH(M96,Settings!$B$14:$B$33,0))&amp;"",IFERROR(LOOKUP(2^15,SEARCH(Settings!$F$14:$F$43,M96)/(Settings!$F$14:$F$43&lt;&gt;""),Settings!$G$14:$G$43),"")))</f>
        <v/>
      </c>
      <c r="BT96">
        <f>IF(OR($B96="",N96=""),"",IFERROR(INDEX(Settings!$D$14:$D$33,MATCH(N96,Settings!$B$14:$B$33,0))&amp;"",IFERROR(LOOKUP(2^15,SEARCH(Settings!$F$14:$F$43,N96)/(Settings!$F$14:$F$43&lt;&gt;""),Settings!$G$14:$G$43),"")))</f>
        <v/>
      </c>
      <c r="BU96">
        <f>IF(OR($B96="",O96=""),"",IFERROR(INDEX(Settings!$D$14:$D$33,MATCH(O96,Settings!$B$14:$B$33,0))&amp;"",IFERROR(LOOKUP(2^15,SEARCH(Settings!$F$14:$F$43,O96)/(Settings!$F$14:$F$43&lt;&gt;""),Settings!$G$14:$G$43),"")))</f>
        <v/>
      </c>
      <c r="BV96">
        <f>IF(OR($B96="",P96=""),"",IFERROR(INDEX(Settings!$D$14:$D$33,MATCH(P96,Settings!$B$14:$B$33,0))&amp;"",IFERROR(LOOKUP(2^15,SEARCH(Settings!$F$14:$F$43,P96)/(Settings!$F$14:$F$43&lt;&gt;""),Settings!$G$14:$G$43),"")))</f>
        <v/>
      </c>
      <c r="BW96">
        <f>IF(OR($B96="",Q96=""),"",IFERROR(INDEX(Settings!$D$14:$D$33,MATCH(Q96,Settings!$B$14:$B$33,0))&amp;"",IFERROR(LOOKUP(2^15,SEARCH(Settings!$F$14:$F$43,Q96)/(Settings!$F$14:$F$43&lt;&gt;""),Settings!$G$14:$G$43),"")))</f>
        <v/>
      </c>
      <c r="BX96">
        <f>IF(OR($B96="",R96=""),"",IFERROR(INDEX(Settings!$D$14:$D$33,MATCH(R96,Settings!$B$14:$B$33,0))&amp;"",IFERROR(LOOKUP(2^15,SEARCH(Settings!$F$14:$F$43,R96)/(Settings!$F$14:$F$43&lt;&gt;""),Settings!$G$14:$G$43),"")))</f>
        <v/>
      </c>
      <c r="BY96">
        <f>IF(OR($B96="",S96=""),"",IFERROR(INDEX(Settings!$D$14:$D$33,MATCH(S96,Settings!$B$14:$B$33,0))&amp;"",IFERROR(LOOKUP(2^15,SEARCH(Settings!$F$14:$F$43,S96)/(Settings!$F$14:$F$43&lt;&gt;""),Settings!$G$14:$G$43),"")))</f>
        <v/>
      </c>
      <c r="BZ96">
        <f>IF(OR($B96="",T96=""),"",IFERROR(INDEX(Settings!$D$14:$D$33,MATCH(T96,Settings!$B$14:$B$33,0))&amp;"",IFERROR(LOOKUP(2^15,SEARCH(Settings!$F$14:$F$43,T96)/(Settings!$F$14:$F$43&lt;&gt;""),Settings!$G$14:$G$43),"")))</f>
        <v/>
      </c>
      <c r="CA96">
        <f>IF(OR($B96="",U96=""),"",IFERROR(INDEX(Settings!$D$14:$D$33,MATCH(U96,Settings!$B$14:$B$33,0))&amp;"",IFERROR(LOOKUP(2^15,SEARCH(Settings!$F$14:$F$43,U96)/(Settings!$F$14:$F$43&lt;&gt;""),Settings!$G$14:$G$43),"")))</f>
        <v/>
      </c>
      <c r="CB96">
        <f>IF(OR($B96="",V96=""),"",IFERROR(INDEX(Settings!$D$14:$D$33,MATCH(V96,Settings!$B$14:$B$33,0))&amp;"",IFERROR(LOOKUP(2^15,SEARCH(Settings!$F$14:$F$43,V96)/(Settings!$F$14:$F$43&lt;&gt;""),Settings!$G$14:$G$43),"")))</f>
        <v/>
      </c>
      <c r="CC96">
        <f>IF(OR($B96="",W96=""),"",IFERROR(INDEX(Settings!$D$14:$D$33,MATCH(W96,Settings!$B$14:$B$33,0))&amp;"",IFERROR(LOOKUP(2^15,SEARCH(Settings!$F$14:$F$43,W96)/(Settings!$F$14:$F$43&lt;&gt;""),Settings!$G$14:$G$43),"")))</f>
        <v/>
      </c>
      <c r="CD96">
        <f>IF(OR($B96="",X96=""),"",IFERROR(INDEX(Settings!$D$14:$D$33,MATCH(X96,Settings!$B$14:$B$33,0))&amp;"",IFERROR(LOOKUP(2^15,SEARCH(Settings!$F$14:$F$43,X96)/(Settings!$F$14:$F$43&lt;&gt;""),Settings!$G$14:$G$43),"")))</f>
        <v/>
      </c>
      <c r="CE96">
        <f>IF(OR($B96="",Y96=""),"",IFERROR(INDEX(Settings!$D$14:$D$33,MATCH(Y96,Settings!$B$14:$B$33,0))&amp;"",IFERROR(LOOKUP(2^15,SEARCH(Settings!$F$14:$F$43,Y96)/(Settings!$F$14:$F$43&lt;&gt;""),Settings!$G$14:$G$43),"")))</f>
        <v/>
      </c>
      <c r="CF96">
        <f>IF(OR($B96="",Z96=""),"",IFERROR(INDEX(Settings!$D$14:$D$33,MATCH(Z96,Settings!$B$14:$B$33,0))&amp;"",IFERROR(LOOKUP(2^15,SEARCH(Settings!$F$14:$F$43,Z96)/(Settings!$F$14:$F$43&lt;&gt;""),Settings!$G$14:$G$43),"")))</f>
        <v/>
      </c>
      <c r="CG96">
        <f>IF(OR($B96="",AA96=""),"",IFERROR(INDEX(Settings!$D$14:$D$33,MATCH(AA96,Settings!$B$14:$B$33,0))&amp;"",IFERROR(LOOKUP(2^15,SEARCH(Settings!$F$14:$F$43,AA96)/(Settings!$F$14:$F$43&lt;&gt;""),Settings!$G$14:$G$43),"")))</f>
        <v/>
      </c>
      <c r="CH96">
        <f>IF(OR($B96="",AB96=""),"",IFERROR(INDEX(Settings!$D$14:$D$33,MATCH(AB96,Settings!$B$14:$B$33,0))&amp;"",IFERROR(LOOKUP(2^15,SEARCH(Settings!$F$14:$F$43,AB96)/(Settings!$F$14:$F$43&lt;&gt;""),Settings!$G$14:$G$43),"")))</f>
        <v/>
      </c>
      <c r="CI96">
        <f>IF(OR($B96="",AC96=""),"",IFERROR(INDEX(Settings!$D$14:$D$33,MATCH(AC96,Settings!$B$14:$B$33,0))&amp;"",IFERROR(LOOKUP(2^15,SEARCH(Settings!$F$14:$F$43,AC96)/(Settings!$F$14:$F$43&lt;&gt;""),Settings!$G$14:$G$43),"")))</f>
        <v/>
      </c>
      <c r="CJ96">
        <f>IF(OR($B96="",AD96=""),"",IFERROR(INDEX(Settings!$D$14:$D$33,MATCH(AD96,Settings!$B$14:$B$33,0))&amp;"",IFERROR(LOOKUP(2^15,SEARCH(Settings!$F$14:$F$43,AD96)/(Settings!$F$14:$F$43&lt;&gt;""),Settings!$G$14:$G$43),"")))</f>
        <v/>
      </c>
      <c r="CK96">
        <f>IF(OR($B96="",AE96=""),"",IFERROR(INDEX(Settings!$D$14:$D$33,MATCH(AE96,Settings!$B$14:$B$33,0))&amp;"",IFERROR(LOOKUP(2^15,SEARCH(Settings!$F$14:$F$43,AE96)/(Settings!$F$14:$F$43&lt;&gt;""),Settings!$G$14:$G$43),"")))</f>
        <v/>
      </c>
      <c r="CL96">
        <f>IF(OR($B96="",AF96=""),"",IFERROR(INDEX(Settings!$D$14:$D$33,MATCH(AF96,Settings!$B$14:$B$33,0))&amp;"",IFERROR(LOOKUP(2^15,SEARCH(Settings!$F$14:$F$43,AF96)/(Settings!$F$14:$F$43&lt;&gt;""),Settings!$G$14:$G$43),"")))</f>
        <v/>
      </c>
      <c r="CM96">
        <f>IF(OR($B96="",AG96=""),"",IFERROR(INDEX(Settings!$D$14:$D$33,MATCH(AG96,Settings!$B$14:$B$33,0))&amp;"",IFERROR(LOOKUP(2^15,SEARCH(Settings!$F$14:$F$43,AG96)/(Settings!$F$14:$F$43&lt;&gt;""),Settings!$G$14:$G$43),"")))</f>
        <v/>
      </c>
    </row>
    <row r="97">
      <c r="A97" t="n">
        <v>95</v>
      </c>
      <c r="B97">
        <f>IFERROR(INDEX(Index!$A$2:$A$202,MATCH(A97,Index!$E$2:$E$202,0)),"")</f>
        <v/>
      </c>
      <c r="D97">
        <f>IF($B97="","",IFERROR(MATCH("Travel*",AI97:BJ97,0),""))</f>
        <v/>
      </c>
      <c r="F97">
        <f>IF(OR($B97="",NOT(ISNUMBER(Settings!$C$9))),"",TRIM(SUBSTITUTE(SUBSTITUTE(INDEX('INPUT - Roster'!$S$1:$SV$206,$B97,Settings!$C$9+0)&amp;"",CHAR(10)," "),CHAR(160)," ")))</f>
        <v/>
      </c>
      <c r="G97">
        <f>IF(OR($B97="",NOT(ISNUMBER(Settings!$C$9))),"",TRIM(SUBSTITUTE(SUBSTITUTE(INDEX('INPUT - Roster'!$S$1:$SV$206,$B97,Settings!$C$9+1)&amp;"",CHAR(10)," "),CHAR(160)," ")))</f>
        <v/>
      </c>
      <c r="H97">
        <f>IF(OR($B97="",NOT(ISNUMBER(Settings!$C$9))),"",TRIM(SUBSTITUTE(SUBSTITUTE(INDEX('INPUT - Roster'!$S$1:$SV$206,$B97,Settings!$C$9+2)&amp;"",CHAR(10)," "),CHAR(160)," ")))</f>
        <v/>
      </c>
      <c r="I97">
        <f>IF(OR($B97="",NOT(ISNUMBER(Settings!$C$9))),"",TRIM(SUBSTITUTE(SUBSTITUTE(INDEX('INPUT - Roster'!$S$1:$SV$206,$B97,Settings!$C$9+3)&amp;"",CHAR(10)," "),CHAR(160)," ")))</f>
        <v/>
      </c>
      <c r="J97">
        <f>IF(OR($B97="",NOT(ISNUMBER(Settings!$C$9))),"",TRIM(SUBSTITUTE(SUBSTITUTE(INDEX('INPUT - Roster'!$S$1:$SV$206,$B97,Settings!$C$9+4)&amp;"",CHAR(10)," "),CHAR(160)," ")))</f>
        <v/>
      </c>
      <c r="K97">
        <f>IF(OR($B97="",NOT(ISNUMBER(Settings!$C$9))),"",TRIM(SUBSTITUTE(SUBSTITUTE(INDEX('INPUT - Roster'!$S$1:$SV$206,$B97,Settings!$C$9+5)&amp;"",CHAR(10)," "),CHAR(160)," ")))</f>
        <v/>
      </c>
      <c r="L97">
        <f>IF(OR($B97="",NOT(ISNUMBER(Settings!$C$9))),"",TRIM(SUBSTITUTE(SUBSTITUTE(INDEX('INPUT - Roster'!$S$1:$SV$206,$B97,Settings!$C$9+6)&amp;"",CHAR(10)," "),CHAR(160)," ")))</f>
        <v/>
      </c>
      <c r="M97">
        <f>IF(OR($B97="",NOT(ISNUMBER(Settings!$C$9))),"",TRIM(SUBSTITUTE(SUBSTITUTE(INDEX('INPUT - Roster'!$S$1:$SV$206,$B97,Settings!$C$9+7)&amp;"",CHAR(10)," "),CHAR(160)," ")))</f>
        <v/>
      </c>
      <c r="N97">
        <f>IF(OR($B97="",NOT(ISNUMBER(Settings!$C$9))),"",TRIM(SUBSTITUTE(SUBSTITUTE(INDEX('INPUT - Roster'!$S$1:$SV$206,$B97,Settings!$C$9+8)&amp;"",CHAR(10)," "),CHAR(160)," ")))</f>
        <v/>
      </c>
      <c r="O97">
        <f>IF(OR($B97="",NOT(ISNUMBER(Settings!$C$9))),"",TRIM(SUBSTITUTE(SUBSTITUTE(INDEX('INPUT - Roster'!$S$1:$SV$206,$B97,Settings!$C$9+9)&amp;"",CHAR(10)," "),CHAR(160)," ")))</f>
        <v/>
      </c>
      <c r="P97">
        <f>IF(OR($B97="",NOT(ISNUMBER(Settings!$C$9))),"",TRIM(SUBSTITUTE(SUBSTITUTE(INDEX('INPUT - Roster'!$S$1:$SV$206,$B97,Settings!$C$9+10)&amp;"",CHAR(10)," "),CHAR(160)," ")))</f>
        <v/>
      </c>
      <c r="Q97">
        <f>IF(OR($B97="",NOT(ISNUMBER(Settings!$C$9))),"",TRIM(SUBSTITUTE(SUBSTITUTE(INDEX('INPUT - Roster'!$S$1:$SV$206,$B97,Settings!$C$9+11)&amp;"",CHAR(10)," "),CHAR(160)," ")))</f>
        <v/>
      </c>
      <c r="R97">
        <f>IF(OR($B97="",NOT(ISNUMBER(Settings!$C$9))),"",TRIM(SUBSTITUTE(SUBSTITUTE(INDEX('INPUT - Roster'!$S$1:$SV$206,$B97,Settings!$C$9+12)&amp;"",CHAR(10)," "),CHAR(160)," ")))</f>
        <v/>
      </c>
      <c r="S97">
        <f>IF(OR($B97="",NOT(ISNUMBER(Settings!$C$9))),"",TRIM(SUBSTITUTE(SUBSTITUTE(INDEX('INPUT - Roster'!$S$1:$SV$206,$B97,Settings!$C$9+13)&amp;"",CHAR(10)," "),CHAR(160)," ")))</f>
        <v/>
      </c>
      <c r="T97">
        <f>IF(OR($B97="",NOT(ISNUMBER(Settings!$C$9))),"",TRIM(SUBSTITUTE(SUBSTITUTE(INDEX('INPUT - Roster'!$S$1:$SV$206,$B97,Settings!$C$9+14)&amp;"",CHAR(10)," "),CHAR(160)," ")))</f>
        <v/>
      </c>
      <c r="U97">
        <f>IF(OR($B97="",NOT(ISNUMBER(Settings!$C$9))),"",TRIM(SUBSTITUTE(SUBSTITUTE(INDEX('INPUT - Roster'!$S$1:$SV$206,$B97,Settings!$C$9+15)&amp;"",CHAR(10)," "),CHAR(160)," ")))</f>
        <v/>
      </c>
      <c r="V97">
        <f>IF(OR($B97="",NOT(ISNUMBER(Settings!$C$9))),"",TRIM(SUBSTITUTE(SUBSTITUTE(INDEX('INPUT - Roster'!$S$1:$SV$206,$B97,Settings!$C$9+16)&amp;"",CHAR(10)," "),CHAR(160)," ")))</f>
        <v/>
      </c>
      <c r="W97">
        <f>IF(OR($B97="",NOT(ISNUMBER(Settings!$C$9))),"",TRIM(SUBSTITUTE(SUBSTITUTE(INDEX('INPUT - Roster'!$S$1:$SV$206,$B97,Settings!$C$9+17)&amp;"",CHAR(10)," "),CHAR(160)," ")))</f>
        <v/>
      </c>
      <c r="X97">
        <f>IF(OR($B97="",NOT(ISNUMBER(Settings!$C$9))),"",TRIM(SUBSTITUTE(SUBSTITUTE(INDEX('INPUT - Roster'!$S$1:$SV$206,$B97,Settings!$C$9+18)&amp;"",CHAR(10)," "),CHAR(160)," ")))</f>
        <v/>
      </c>
      <c r="Y97">
        <f>IF(OR($B97="",NOT(ISNUMBER(Settings!$C$9))),"",TRIM(SUBSTITUTE(SUBSTITUTE(INDEX('INPUT - Roster'!$S$1:$SV$206,$B97,Settings!$C$9+19)&amp;"",CHAR(10)," "),CHAR(160)," ")))</f>
        <v/>
      </c>
      <c r="Z97">
        <f>IF(OR($B97="",NOT(ISNUMBER(Settings!$C$9))),"",TRIM(SUBSTITUTE(SUBSTITUTE(INDEX('INPUT - Roster'!$S$1:$SV$206,$B97,Settings!$C$9+20)&amp;"",CHAR(10)," "),CHAR(160)," ")))</f>
        <v/>
      </c>
      <c r="AA97">
        <f>IF(OR($B97="",NOT(ISNUMBER(Settings!$C$9))),"",TRIM(SUBSTITUTE(SUBSTITUTE(INDEX('INPUT - Roster'!$S$1:$SV$206,$B97,Settings!$C$9+21)&amp;"",CHAR(10)," "),CHAR(160)," ")))</f>
        <v/>
      </c>
      <c r="AB97">
        <f>IF(OR($B97="",NOT(ISNUMBER(Settings!$C$9))),"",TRIM(SUBSTITUTE(SUBSTITUTE(INDEX('INPUT - Roster'!$S$1:$SV$206,$B97,Settings!$C$9+22)&amp;"",CHAR(10)," "),CHAR(160)," ")))</f>
        <v/>
      </c>
      <c r="AC97">
        <f>IF(OR($B97="",NOT(ISNUMBER(Settings!$C$9))),"",TRIM(SUBSTITUTE(SUBSTITUTE(INDEX('INPUT - Roster'!$S$1:$SV$206,$B97,Settings!$C$9+23)&amp;"",CHAR(10)," "),CHAR(160)," ")))</f>
        <v/>
      </c>
      <c r="AD97">
        <f>IF(OR($B97="",NOT(ISNUMBER(Settings!$C$9))),"",TRIM(SUBSTITUTE(SUBSTITUTE(INDEX('INPUT - Roster'!$S$1:$SV$206,$B97,Settings!$C$9+24)&amp;"",CHAR(10)," "),CHAR(160)," ")))</f>
        <v/>
      </c>
      <c r="AE97">
        <f>IF(OR($B97="",NOT(ISNUMBER(Settings!$C$9))),"",TRIM(SUBSTITUTE(SUBSTITUTE(INDEX('INPUT - Roster'!$S$1:$SV$206,$B97,Settings!$C$9+25)&amp;"",CHAR(10)," "),CHAR(160)," ")))</f>
        <v/>
      </c>
      <c r="AF97">
        <f>IF(OR($B97="",NOT(ISNUMBER(Settings!$C$9))),"",TRIM(SUBSTITUTE(SUBSTITUTE(INDEX('INPUT - Roster'!$S$1:$SV$206,$B97,Settings!$C$9+26)&amp;"",CHAR(10)," "),CHAR(160)," ")))</f>
        <v/>
      </c>
      <c r="AG97">
        <f>IF(OR($B97="",NOT(ISNUMBER(Settings!$C$9))),"",TRIM(SUBSTITUTE(SUBSTITUTE(INDEX('INPUT - Roster'!$S$1:$SV$206,$B97,Settings!$C$9+27)&amp;"",CHAR(10)," "),CHAR(160)," ")))</f>
        <v/>
      </c>
      <c r="AI97">
        <f>IF($B97="","",IF(F97="","Not rostered",IFERROR(INDEX(Settings!$C$14:$C$33,MATCH(F97,Settings!$B$14:$B$33,0)),IFERROR(LOOKUP(2^15,SEARCH(Settings!$I$14:$I$83,F97)/(Settings!$I$14:$I$83&lt;&gt;""),Settings!$J$14:$J$83),"Other"))))</f>
        <v/>
      </c>
      <c r="AJ97">
        <f>IF($B97="","",IF(G97="","Not rostered",IFERROR(INDEX(Settings!$C$14:$C$33,MATCH(G97,Settings!$B$14:$B$33,0)),IFERROR(LOOKUP(2^15,SEARCH(Settings!$I$14:$I$83,G97)/(Settings!$I$14:$I$83&lt;&gt;""),Settings!$J$14:$J$83),"Other"))))</f>
        <v/>
      </c>
      <c r="AK97">
        <f>IF($B97="","",IF(H97="","Not rostered",IFERROR(INDEX(Settings!$C$14:$C$33,MATCH(H97,Settings!$B$14:$B$33,0)),IFERROR(LOOKUP(2^15,SEARCH(Settings!$I$14:$I$83,H97)/(Settings!$I$14:$I$83&lt;&gt;""),Settings!$J$14:$J$83),"Other"))))</f>
        <v/>
      </c>
      <c r="AL97">
        <f>IF($B97="","",IF(I97="","Not rostered",IFERROR(INDEX(Settings!$C$14:$C$33,MATCH(I97,Settings!$B$14:$B$33,0)),IFERROR(LOOKUP(2^15,SEARCH(Settings!$I$14:$I$83,I97)/(Settings!$I$14:$I$83&lt;&gt;""),Settings!$J$14:$J$83),"Other"))))</f>
        <v/>
      </c>
      <c r="AM97">
        <f>IF($B97="","",IF(J97="","Not rostered",IFERROR(INDEX(Settings!$C$14:$C$33,MATCH(J97,Settings!$B$14:$B$33,0)),IFERROR(LOOKUP(2^15,SEARCH(Settings!$I$14:$I$83,J97)/(Settings!$I$14:$I$83&lt;&gt;""),Settings!$J$14:$J$83),"Other"))))</f>
        <v/>
      </c>
      <c r="AN97">
        <f>IF($B97="","",IF(K97="","Not rostered",IFERROR(INDEX(Settings!$C$14:$C$33,MATCH(K97,Settings!$B$14:$B$33,0)),IFERROR(LOOKUP(2^15,SEARCH(Settings!$I$14:$I$83,K97)/(Settings!$I$14:$I$83&lt;&gt;""),Settings!$J$14:$J$83),"Other"))))</f>
        <v/>
      </c>
      <c r="AO97">
        <f>IF($B97="","",IF(L97="","Not rostered",IFERROR(INDEX(Settings!$C$14:$C$33,MATCH(L97,Settings!$B$14:$B$33,0)),IFERROR(LOOKUP(2^15,SEARCH(Settings!$I$14:$I$83,L97)/(Settings!$I$14:$I$83&lt;&gt;""),Settings!$J$14:$J$83),"Other"))))</f>
        <v/>
      </c>
      <c r="AP97">
        <f>IF($B97="","",IF(M97="","Not rostered",IFERROR(INDEX(Settings!$C$14:$C$33,MATCH(M97,Settings!$B$14:$B$33,0)),IFERROR(LOOKUP(2^15,SEARCH(Settings!$I$14:$I$83,M97)/(Settings!$I$14:$I$83&lt;&gt;""),Settings!$J$14:$J$83),"Other"))))</f>
        <v/>
      </c>
      <c r="AQ97">
        <f>IF($B97="","",IF(N97="","Not rostered",IFERROR(INDEX(Settings!$C$14:$C$33,MATCH(N97,Settings!$B$14:$B$33,0)),IFERROR(LOOKUP(2^15,SEARCH(Settings!$I$14:$I$83,N97)/(Settings!$I$14:$I$83&lt;&gt;""),Settings!$J$14:$J$83),"Other"))))</f>
        <v/>
      </c>
      <c r="AR97">
        <f>IF($B97="","",IF(O97="","Not rostered",IFERROR(INDEX(Settings!$C$14:$C$33,MATCH(O97,Settings!$B$14:$B$33,0)),IFERROR(LOOKUP(2^15,SEARCH(Settings!$I$14:$I$83,O97)/(Settings!$I$14:$I$83&lt;&gt;""),Settings!$J$14:$J$83),"Other"))))</f>
        <v/>
      </c>
      <c r="AS97">
        <f>IF($B97="","",IF(P97="","Not rostered",IFERROR(INDEX(Settings!$C$14:$C$33,MATCH(P97,Settings!$B$14:$B$33,0)),IFERROR(LOOKUP(2^15,SEARCH(Settings!$I$14:$I$83,P97)/(Settings!$I$14:$I$83&lt;&gt;""),Settings!$J$14:$J$83),"Other"))))</f>
        <v/>
      </c>
      <c r="AT97">
        <f>IF($B97="","",IF(Q97="","Not rostered",IFERROR(INDEX(Settings!$C$14:$C$33,MATCH(Q97,Settings!$B$14:$B$33,0)),IFERROR(LOOKUP(2^15,SEARCH(Settings!$I$14:$I$83,Q97)/(Settings!$I$14:$I$83&lt;&gt;""),Settings!$J$14:$J$83),"Other"))))</f>
        <v/>
      </c>
      <c r="AU97">
        <f>IF($B97="","",IF(R97="","Not rostered",IFERROR(INDEX(Settings!$C$14:$C$33,MATCH(R97,Settings!$B$14:$B$33,0)),IFERROR(LOOKUP(2^15,SEARCH(Settings!$I$14:$I$83,R97)/(Settings!$I$14:$I$83&lt;&gt;""),Settings!$J$14:$J$83),"Other"))))</f>
        <v/>
      </c>
      <c r="AV97">
        <f>IF($B97="","",IF(S97="","Not rostered",IFERROR(INDEX(Settings!$C$14:$C$33,MATCH(S97,Settings!$B$14:$B$33,0)),IFERROR(LOOKUP(2^15,SEARCH(Settings!$I$14:$I$83,S97)/(Settings!$I$14:$I$83&lt;&gt;""),Settings!$J$14:$J$83),"Other"))))</f>
        <v/>
      </c>
      <c r="AW97">
        <f>IF($B97="","",IF(T97="","Not rostered",IFERROR(INDEX(Settings!$C$14:$C$33,MATCH(T97,Settings!$B$14:$B$33,0)),IFERROR(LOOKUP(2^15,SEARCH(Settings!$I$14:$I$83,T97)/(Settings!$I$14:$I$83&lt;&gt;""),Settings!$J$14:$J$83),"Other"))))</f>
        <v/>
      </c>
      <c r="AX97">
        <f>IF($B97="","",IF(U97="","Not rostered",IFERROR(INDEX(Settings!$C$14:$C$33,MATCH(U97,Settings!$B$14:$B$33,0)),IFERROR(LOOKUP(2^15,SEARCH(Settings!$I$14:$I$83,U97)/(Settings!$I$14:$I$83&lt;&gt;""),Settings!$J$14:$J$83),"Other"))))</f>
        <v/>
      </c>
      <c r="AY97">
        <f>IF($B97="","",IF(V97="","Not rostered",IFERROR(INDEX(Settings!$C$14:$C$33,MATCH(V97,Settings!$B$14:$B$33,0)),IFERROR(LOOKUP(2^15,SEARCH(Settings!$I$14:$I$83,V97)/(Settings!$I$14:$I$83&lt;&gt;""),Settings!$J$14:$J$83),"Other"))))</f>
        <v/>
      </c>
      <c r="AZ97">
        <f>IF($B97="","",IF(W97="","Not rostered",IFERROR(INDEX(Settings!$C$14:$C$33,MATCH(W97,Settings!$B$14:$B$33,0)),IFERROR(LOOKUP(2^15,SEARCH(Settings!$I$14:$I$83,W97)/(Settings!$I$14:$I$83&lt;&gt;""),Settings!$J$14:$J$83),"Other"))))</f>
        <v/>
      </c>
      <c r="BA97">
        <f>IF($B97="","",IF(X97="","Not rostered",IFERROR(INDEX(Settings!$C$14:$C$33,MATCH(X97,Settings!$B$14:$B$33,0)),IFERROR(LOOKUP(2^15,SEARCH(Settings!$I$14:$I$83,X97)/(Settings!$I$14:$I$83&lt;&gt;""),Settings!$J$14:$J$83),"Other"))))</f>
        <v/>
      </c>
      <c r="BB97">
        <f>IF($B97="","",IF(Y97="","Not rostered",IFERROR(INDEX(Settings!$C$14:$C$33,MATCH(Y97,Settings!$B$14:$B$33,0)),IFERROR(LOOKUP(2^15,SEARCH(Settings!$I$14:$I$83,Y97)/(Settings!$I$14:$I$83&lt;&gt;""),Settings!$J$14:$J$83),"Other"))))</f>
        <v/>
      </c>
      <c r="BC97">
        <f>IF($B97="","",IF(Z97="","Not rostered",IFERROR(INDEX(Settings!$C$14:$C$33,MATCH(Z97,Settings!$B$14:$B$33,0)),IFERROR(LOOKUP(2^15,SEARCH(Settings!$I$14:$I$83,Z97)/(Settings!$I$14:$I$83&lt;&gt;""),Settings!$J$14:$J$83),"Other"))))</f>
        <v/>
      </c>
      <c r="BD97">
        <f>IF($B97="","",IF(AA97="","Not rostered",IFERROR(INDEX(Settings!$C$14:$C$33,MATCH(AA97,Settings!$B$14:$B$33,0)),IFERROR(LOOKUP(2^15,SEARCH(Settings!$I$14:$I$83,AA97)/(Settings!$I$14:$I$83&lt;&gt;""),Settings!$J$14:$J$83),"Other"))))</f>
        <v/>
      </c>
      <c r="BE97">
        <f>IF($B97="","",IF(AB97="","Not rostered",IFERROR(INDEX(Settings!$C$14:$C$33,MATCH(AB97,Settings!$B$14:$B$33,0)),IFERROR(LOOKUP(2^15,SEARCH(Settings!$I$14:$I$83,AB97)/(Settings!$I$14:$I$83&lt;&gt;""),Settings!$J$14:$J$83),"Other"))))</f>
        <v/>
      </c>
      <c r="BF97">
        <f>IF($B97="","",IF(AC97="","Not rostered",IFERROR(INDEX(Settings!$C$14:$C$33,MATCH(AC97,Settings!$B$14:$B$33,0)),IFERROR(LOOKUP(2^15,SEARCH(Settings!$I$14:$I$83,AC97)/(Settings!$I$14:$I$83&lt;&gt;""),Settings!$J$14:$J$83),"Other"))))</f>
        <v/>
      </c>
      <c r="BG97">
        <f>IF($B97="","",IF(AD97="","Not rostered",IFERROR(INDEX(Settings!$C$14:$C$33,MATCH(AD97,Settings!$B$14:$B$33,0)),IFERROR(LOOKUP(2^15,SEARCH(Settings!$I$14:$I$83,AD97)/(Settings!$I$14:$I$83&lt;&gt;""),Settings!$J$14:$J$83),"Other"))))</f>
        <v/>
      </c>
      <c r="BH97">
        <f>IF($B97="","",IF(AE97="","Not rostered",IFERROR(INDEX(Settings!$C$14:$C$33,MATCH(AE97,Settings!$B$14:$B$33,0)),IFERROR(LOOKUP(2^15,SEARCH(Settings!$I$14:$I$83,AE97)/(Settings!$I$14:$I$83&lt;&gt;""),Settings!$J$14:$J$83),"Other"))))</f>
        <v/>
      </c>
      <c r="BI97">
        <f>IF($B97="","",IF(AF97="","Not rostered",IFERROR(INDEX(Settings!$C$14:$C$33,MATCH(AF97,Settings!$B$14:$B$33,0)),IFERROR(LOOKUP(2^15,SEARCH(Settings!$I$14:$I$83,AF97)/(Settings!$I$14:$I$83&lt;&gt;""),Settings!$J$14:$J$83),"Other"))))</f>
        <v/>
      </c>
      <c r="BJ97">
        <f>IF($B97="","",IF(AG97="","Not rostered",IFERROR(INDEX(Settings!$C$14:$C$33,MATCH(AG97,Settings!$B$14:$B$33,0)),IFERROR(LOOKUP(2^15,SEARCH(Settings!$I$14:$I$83,AG97)/(Settings!$I$14:$I$83&lt;&gt;""),Settings!$J$14:$J$83),"Other"))))</f>
        <v/>
      </c>
      <c r="BL97">
        <f>IF(OR($B97="",F97=""),"",IFERROR(INDEX(Settings!$D$14:$D$33,MATCH(F97,Settings!$B$14:$B$33,0))&amp;"",IFERROR(LOOKUP(2^15,SEARCH(Settings!$F$14:$F$43,F97)/(Settings!$F$14:$F$43&lt;&gt;""),Settings!$G$14:$G$43),"")))</f>
        <v/>
      </c>
      <c r="BM97">
        <f>IF(OR($B97="",G97=""),"",IFERROR(INDEX(Settings!$D$14:$D$33,MATCH(G97,Settings!$B$14:$B$33,0))&amp;"",IFERROR(LOOKUP(2^15,SEARCH(Settings!$F$14:$F$43,G97)/(Settings!$F$14:$F$43&lt;&gt;""),Settings!$G$14:$G$43),"")))</f>
        <v/>
      </c>
      <c r="BN97">
        <f>IF(OR($B97="",H97=""),"",IFERROR(INDEX(Settings!$D$14:$D$33,MATCH(H97,Settings!$B$14:$B$33,0))&amp;"",IFERROR(LOOKUP(2^15,SEARCH(Settings!$F$14:$F$43,H97)/(Settings!$F$14:$F$43&lt;&gt;""),Settings!$G$14:$G$43),"")))</f>
        <v/>
      </c>
      <c r="BO97">
        <f>IF(OR($B97="",I97=""),"",IFERROR(INDEX(Settings!$D$14:$D$33,MATCH(I97,Settings!$B$14:$B$33,0))&amp;"",IFERROR(LOOKUP(2^15,SEARCH(Settings!$F$14:$F$43,I97)/(Settings!$F$14:$F$43&lt;&gt;""),Settings!$G$14:$G$43),"")))</f>
        <v/>
      </c>
      <c r="BP97">
        <f>IF(OR($B97="",J97=""),"",IFERROR(INDEX(Settings!$D$14:$D$33,MATCH(J97,Settings!$B$14:$B$33,0))&amp;"",IFERROR(LOOKUP(2^15,SEARCH(Settings!$F$14:$F$43,J97)/(Settings!$F$14:$F$43&lt;&gt;""),Settings!$G$14:$G$43),"")))</f>
        <v/>
      </c>
      <c r="BQ97">
        <f>IF(OR($B97="",K97=""),"",IFERROR(INDEX(Settings!$D$14:$D$33,MATCH(K97,Settings!$B$14:$B$33,0))&amp;"",IFERROR(LOOKUP(2^15,SEARCH(Settings!$F$14:$F$43,K97)/(Settings!$F$14:$F$43&lt;&gt;""),Settings!$G$14:$G$43),"")))</f>
        <v/>
      </c>
      <c r="BR97">
        <f>IF(OR($B97="",L97=""),"",IFERROR(INDEX(Settings!$D$14:$D$33,MATCH(L97,Settings!$B$14:$B$33,0))&amp;"",IFERROR(LOOKUP(2^15,SEARCH(Settings!$F$14:$F$43,L97)/(Settings!$F$14:$F$43&lt;&gt;""),Settings!$G$14:$G$43),"")))</f>
        <v/>
      </c>
      <c r="BS97">
        <f>IF(OR($B97="",M97=""),"",IFERROR(INDEX(Settings!$D$14:$D$33,MATCH(M97,Settings!$B$14:$B$33,0))&amp;"",IFERROR(LOOKUP(2^15,SEARCH(Settings!$F$14:$F$43,M97)/(Settings!$F$14:$F$43&lt;&gt;""),Settings!$G$14:$G$43),"")))</f>
        <v/>
      </c>
      <c r="BT97">
        <f>IF(OR($B97="",N97=""),"",IFERROR(INDEX(Settings!$D$14:$D$33,MATCH(N97,Settings!$B$14:$B$33,0))&amp;"",IFERROR(LOOKUP(2^15,SEARCH(Settings!$F$14:$F$43,N97)/(Settings!$F$14:$F$43&lt;&gt;""),Settings!$G$14:$G$43),"")))</f>
        <v/>
      </c>
      <c r="BU97">
        <f>IF(OR($B97="",O97=""),"",IFERROR(INDEX(Settings!$D$14:$D$33,MATCH(O97,Settings!$B$14:$B$33,0))&amp;"",IFERROR(LOOKUP(2^15,SEARCH(Settings!$F$14:$F$43,O97)/(Settings!$F$14:$F$43&lt;&gt;""),Settings!$G$14:$G$43),"")))</f>
        <v/>
      </c>
      <c r="BV97">
        <f>IF(OR($B97="",P97=""),"",IFERROR(INDEX(Settings!$D$14:$D$33,MATCH(P97,Settings!$B$14:$B$33,0))&amp;"",IFERROR(LOOKUP(2^15,SEARCH(Settings!$F$14:$F$43,P97)/(Settings!$F$14:$F$43&lt;&gt;""),Settings!$G$14:$G$43),"")))</f>
        <v/>
      </c>
      <c r="BW97">
        <f>IF(OR($B97="",Q97=""),"",IFERROR(INDEX(Settings!$D$14:$D$33,MATCH(Q97,Settings!$B$14:$B$33,0))&amp;"",IFERROR(LOOKUP(2^15,SEARCH(Settings!$F$14:$F$43,Q97)/(Settings!$F$14:$F$43&lt;&gt;""),Settings!$G$14:$G$43),"")))</f>
        <v/>
      </c>
      <c r="BX97">
        <f>IF(OR($B97="",R97=""),"",IFERROR(INDEX(Settings!$D$14:$D$33,MATCH(R97,Settings!$B$14:$B$33,0))&amp;"",IFERROR(LOOKUP(2^15,SEARCH(Settings!$F$14:$F$43,R97)/(Settings!$F$14:$F$43&lt;&gt;""),Settings!$G$14:$G$43),"")))</f>
        <v/>
      </c>
      <c r="BY97">
        <f>IF(OR($B97="",S97=""),"",IFERROR(INDEX(Settings!$D$14:$D$33,MATCH(S97,Settings!$B$14:$B$33,0))&amp;"",IFERROR(LOOKUP(2^15,SEARCH(Settings!$F$14:$F$43,S97)/(Settings!$F$14:$F$43&lt;&gt;""),Settings!$G$14:$G$43),"")))</f>
        <v/>
      </c>
      <c r="BZ97">
        <f>IF(OR($B97="",T97=""),"",IFERROR(INDEX(Settings!$D$14:$D$33,MATCH(T97,Settings!$B$14:$B$33,0))&amp;"",IFERROR(LOOKUP(2^15,SEARCH(Settings!$F$14:$F$43,T97)/(Settings!$F$14:$F$43&lt;&gt;""),Settings!$G$14:$G$43),"")))</f>
        <v/>
      </c>
      <c r="CA97">
        <f>IF(OR($B97="",U97=""),"",IFERROR(INDEX(Settings!$D$14:$D$33,MATCH(U97,Settings!$B$14:$B$33,0))&amp;"",IFERROR(LOOKUP(2^15,SEARCH(Settings!$F$14:$F$43,U97)/(Settings!$F$14:$F$43&lt;&gt;""),Settings!$G$14:$G$43),"")))</f>
        <v/>
      </c>
      <c r="CB97">
        <f>IF(OR($B97="",V97=""),"",IFERROR(INDEX(Settings!$D$14:$D$33,MATCH(V97,Settings!$B$14:$B$33,0))&amp;"",IFERROR(LOOKUP(2^15,SEARCH(Settings!$F$14:$F$43,V97)/(Settings!$F$14:$F$43&lt;&gt;""),Settings!$G$14:$G$43),"")))</f>
        <v/>
      </c>
      <c r="CC97">
        <f>IF(OR($B97="",W97=""),"",IFERROR(INDEX(Settings!$D$14:$D$33,MATCH(W97,Settings!$B$14:$B$33,0))&amp;"",IFERROR(LOOKUP(2^15,SEARCH(Settings!$F$14:$F$43,W97)/(Settings!$F$14:$F$43&lt;&gt;""),Settings!$G$14:$G$43),"")))</f>
        <v/>
      </c>
      <c r="CD97">
        <f>IF(OR($B97="",X97=""),"",IFERROR(INDEX(Settings!$D$14:$D$33,MATCH(X97,Settings!$B$14:$B$33,0))&amp;"",IFERROR(LOOKUP(2^15,SEARCH(Settings!$F$14:$F$43,X97)/(Settings!$F$14:$F$43&lt;&gt;""),Settings!$G$14:$G$43),"")))</f>
        <v/>
      </c>
      <c r="CE97">
        <f>IF(OR($B97="",Y97=""),"",IFERROR(INDEX(Settings!$D$14:$D$33,MATCH(Y97,Settings!$B$14:$B$33,0))&amp;"",IFERROR(LOOKUP(2^15,SEARCH(Settings!$F$14:$F$43,Y97)/(Settings!$F$14:$F$43&lt;&gt;""),Settings!$G$14:$G$43),"")))</f>
        <v/>
      </c>
      <c r="CF97">
        <f>IF(OR($B97="",Z97=""),"",IFERROR(INDEX(Settings!$D$14:$D$33,MATCH(Z97,Settings!$B$14:$B$33,0))&amp;"",IFERROR(LOOKUP(2^15,SEARCH(Settings!$F$14:$F$43,Z97)/(Settings!$F$14:$F$43&lt;&gt;""),Settings!$G$14:$G$43),"")))</f>
        <v/>
      </c>
      <c r="CG97">
        <f>IF(OR($B97="",AA97=""),"",IFERROR(INDEX(Settings!$D$14:$D$33,MATCH(AA97,Settings!$B$14:$B$33,0))&amp;"",IFERROR(LOOKUP(2^15,SEARCH(Settings!$F$14:$F$43,AA97)/(Settings!$F$14:$F$43&lt;&gt;""),Settings!$G$14:$G$43),"")))</f>
        <v/>
      </c>
      <c r="CH97">
        <f>IF(OR($B97="",AB97=""),"",IFERROR(INDEX(Settings!$D$14:$D$33,MATCH(AB97,Settings!$B$14:$B$33,0))&amp;"",IFERROR(LOOKUP(2^15,SEARCH(Settings!$F$14:$F$43,AB97)/(Settings!$F$14:$F$43&lt;&gt;""),Settings!$G$14:$G$43),"")))</f>
        <v/>
      </c>
      <c r="CI97">
        <f>IF(OR($B97="",AC97=""),"",IFERROR(INDEX(Settings!$D$14:$D$33,MATCH(AC97,Settings!$B$14:$B$33,0))&amp;"",IFERROR(LOOKUP(2^15,SEARCH(Settings!$F$14:$F$43,AC97)/(Settings!$F$14:$F$43&lt;&gt;""),Settings!$G$14:$G$43),"")))</f>
        <v/>
      </c>
      <c r="CJ97">
        <f>IF(OR($B97="",AD97=""),"",IFERROR(INDEX(Settings!$D$14:$D$33,MATCH(AD97,Settings!$B$14:$B$33,0))&amp;"",IFERROR(LOOKUP(2^15,SEARCH(Settings!$F$14:$F$43,AD97)/(Settings!$F$14:$F$43&lt;&gt;""),Settings!$G$14:$G$43),"")))</f>
        <v/>
      </c>
      <c r="CK97">
        <f>IF(OR($B97="",AE97=""),"",IFERROR(INDEX(Settings!$D$14:$D$33,MATCH(AE97,Settings!$B$14:$B$33,0))&amp;"",IFERROR(LOOKUP(2^15,SEARCH(Settings!$F$14:$F$43,AE97)/(Settings!$F$14:$F$43&lt;&gt;""),Settings!$G$14:$G$43),"")))</f>
        <v/>
      </c>
      <c r="CL97">
        <f>IF(OR($B97="",AF97=""),"",IFERROR(INDEX(Settings!$D$14:$D$33,MATCH(AF97,Settings!$B$14:$B$33,0))&amp;"",IFERROR(LOOKUP(2^15,SEARCH(Settings!$F$14:$F$43,AF97)/(Settings!$F$14:$F$43&lt;&gt;""),Settings!$G$14:$G$43),"")))</f>
        <v/>
      </c>
      <c r="CM97">
        <f>IF(OR($B97="",AG97=""),"",IFERROR(INDEX(Settings!$D$14:$D$33,MATCH(AG97,Settings!$B$14:$B$33,0))&amp;"",IFERROR(LOOKUP(2^15,SEARCH(Settings!$F$14:$F$43,AG97)/(Settings!$F$14:$F$43&lt;&gt;""),Settings!$G$14:$G$43),"")))</f>
        <v/>
      </c>
    </row>
    <row r="98">
      <c r="A98" t="n">
        <v>96</v>
      </c>
      <c r="B98">
        <f>IFERROR(INDEX(Index!$A$2:$A$202,MATCH(A98,Index!$E$2:$E$202,0)),"")</f>
        <v/>
      </c>
      <c r="D98">
        <f>IF($B98="","",IFERROR(MATCH("Travel*",AI98:BJ98,0),""))</f>
        <v/>
      </c>
      <c r="F98">
        <f>IF(OR($B98="",NOT(ISNUMBER(Settings!$C$9))),"",TRIM(SUBSTITUTE(SUBSTITUTE(INDEX('INPUT - Roster'!$S$1:$SV$206,$B98,Settings!$C$9+0)&amp;"",CHAR(10)," "),CHAR(160)," ")))</f>
        <v/>
      </c>
      <c r="G98">
        <f>IF(OR($B98="",NOT(ISNUMBER(Settings!$C$9))),"",TRIM(SUBSTITUTE(SUBSTITUTE(INDEX('INPUT - Roster'!$S$1:$SV$206,$B98,Settings!$C$9+1)&amp;"",CHAR(10)," "),CHAR(160)," ")))</f>
        <v/>
      </c>
      <c r="H98">
        <f>IF(OR($B98="",NOT(ISNUMBER(Settings!$C$9))),"",TRIM(SUBSTITUTE(SUBSTITUTE(INDEX('INPUT - Roster'!$S$1:$SV$206,$B98,Settings!$C$9+2)&amp;"",CHAR(10)," "),CHAR(160)," ")))</f>
        <v/>
      </c>
      <c r="I98">
        <f>IF(OR($B98="",NOT(ISNUMBER(Settings!$C$9))),"",TRIM(SUBSTITUTE(SUBSTITUTE(INDEX('INPUT - Roster'!$S$1:$SV$206,$B98,Settings!$C$9+3)&amp;"",CHAR(10)," "),CHAR(160)," ")))</f>
        <v/>
      </c>
      <c r="J98">
        <f>IF(OR($B98="",NOT(ISNUMBER(Settings!$C$9))),"",TRIM(SUBSTITUTE(SUBSTITUTE(INDEX('INPUT - Roster'!$S$1:$SV$206,$B98,Settings!$C$9+4)&amp;"",CHAR(10)," "),CHAR(160)," ")))</f>
        <v/>
      </c>
      <c r="K98">
        <f>IF(OR($B98="",NOT(ISNUMBER(Settings!$C$9))),"",TRIM(SUBSTITUTE(SUBSTITUTE(INDEX('INPUT - Roster'!$S$1:$SV$206,$B98,Settings!$C$9+5)&amp;"",CHAR(10)," "),CHAR(160)," ")))</f>
        <v/>
      </c>
      <c r="L98">
        <f>IF(OR($B98="",NOT(ISNUMBER(Settings!$C$9))),"",TRIM(SUBSTITUTE(SUBSTITUTE(INDEX('INPUT - Roster'!$S$1:$SV$206,$B98,Settings!$C$9+6)&amp;"",CHAR(10)," "),CHAR(160)," ")))</f>
        <v/>
      </c>
      <c r="M98">
        <f>IF(OR($B98="",NOT(ISNUMBER(Settings!$C$9))),"",TRIM(SUBSTITUTE(SUBSTITUTE(INDEX('INPUT - Roster'!$S$1:$SV$206,$B98,Settings!$C$9+7)&amp;"",CHAR(10)," "),CHAR(160)," ")))</f>
        <v/>
      </c>
      <c r="N98">
        <f>IF(OR($B98="",NOT(ISNUMBER(Settings!$C$9))),"",TRIM(SUBSTITUTE(SUBSTITUTE(INDEX('INPUT - Roster'!$S$1:$SV$206,$B98,Settings!$C$9+8)&amp;"",CHAR(10)," "),CHAR(160)," ")))</f>
        <v/>
      </c>
      <c r="O98">
        <f>IF(OR($B98="",NOT(ISNUMBER(Settings!$C$9))),"",TRIM(SUBSTITUTE(SUBSTITUTE(INDEX('INPUT - Roster'!$S$1:$SV$206,$B98,Settings!$C$9+9)&amp;"",CHAR(10)," "),CHAR(160)," ")))</f>
        <v/>
      </c>
      <c r="P98">
        <f>IF(OR($B98="",NOT(ISNUMBER(Settings!$C$9))),"",TRIM(SUBSTITUTE(SUBSTITUTE(INDEX('INPUT - Roster'!$S$1:$SV$206,$B98,Settings!$C$9+10)&amp;"",CHAR(10)," "),CHAR(160)," ")))</f>
        <v/>
      </c>
      <c r="Q98">
        <f>IF(OR($B98="",NOT(ISNUMBER(Settings!$C$9))),"",TRIM(SUBSTITUTE(SUBSTITUTE(INDEX('INPUT - Roster'!$S$1:$SV$206,$B98,Settings!$C$9+11)&amp;"",CHAR(10)," "),CHAR(160)," ")))</f>
        <v/>
      </c>
      <c r="R98">
        <f>IF(OR($B98="",NOT(ISNUMBER(Settings!$C$9))),"",TRIM(SUBSTITUTE(SUBSTITUTE(INDEX('INPUT - Roster'!$S$1:$SV$206,$B98,Settings!$C$9+12)&amp;"",CHAR(10)," "),CHAR(160)," ")))</f>
        <v/>
      </c>
      <c r="S98">
        <f>IF(OR($B98="",NOT(ISNUMBER(Settings!$C$9))),"",TRIM(SUBSTITUTE(SUBSTITUTE(INDEX('INPUT - Roster'!$S$1:$SV$206,$B98,Settings!$C$9+13)&amp;"",CHAR(10)," "),CHAR(160)," ")))</f>
        <v/>
      </c>
      <c r="T98">
        <f>IF(OR($B98="",NOT(ISNUMBER(Settings!$C$9))),"",TRIM(SUBSTITUTE(SUBSTITUTE(INDEX('INPUT - Roster'!$S$1:$SV$206,$B98,Settings!$C$9+14)&amp;"",CHAR(10)," "),CHAR(160)," ")))</f>
        <v/>
      </c>
      <c r="U98">
        <f>IF(OR($B98="",NOT(ISNUMBER(Settings!$C$9))),"",TRIM(SUBSTITUTE(SUBSTITUTE(INDEX('INPUT - Roster'!$S$1:$SV$206,$B98,Settings!$C$9+15)&amp;"",CHAR(10)," "),CHAR(160)," ")))</f>
        <v/>
      </c>
      <c r="V98">
        <f>IF(OR($B98="",NOT(ISNUMBER(Settings!$C$9))),"",TRIM(SUBSTITUTE(SUBSTITUTE(INDEX('INPUT - Roster'!$S$1:$SV$206,$B98,Settings!$C$9+16)&amp;"",CHAR(10)," "),CHAR(160)," ")))</f>
        <v/>
      </c>
      <c r="W98">
        <f>IF(OR($B98="",NOT(ISNUMBER(Settings!$C$9))),"",TRIM(SUBSTITUTE(SUBSTITUTE(INDEX('INPUT - Roster'!$S$1:$SV$206,$B98,Settings!$C$9+17)&amp;"",CHAR(10)," "),CHAR(160)," ")))</f>
        <v/>
      </c>
      <c r="X98">
        <f>IF(OR($B98="",NOT(ISNUMBER(Settings!$C$9))),"",TRIM(SUBSTITUTE(SUBSTITUTE(INDEX('INPUT - Roster'!$S$1:$SV$206,$B98,Settings!$C$9+18)&amp;"",CHAR(10)," "),CHAR(160)," ")))</f>
        <v/>
      </c>
      <c r="Y98">
        <f>IF(OR($B98="",NOT(ISNUMBER(Settings!$C$9))),"",TRIM(SUBSTITUTE(SUBSTITUTE(INDEX('INPUT - Roster'!$S$1:$SV$206,$B98,Settings!$C$9+19)&amp;"",CHAR(10)," "),CHAR(160)," ")))</f>
        <v/>
      </c>
      <c r="Z98">
        <f>IF(OR($B98="",NOT(ISNUMBER(Settings!$C$9))),"",TRIM(SUBSTITUTE(SUBSTITUTE(INDEX('INPUT - Roster'!$S$1:$SV$206,$B98,Settings!$C$9+20)&amp;"",CHAR(10)," "),CHAR(160)," ")))</f>
        <v/>
      </c>
      <c r="AA98">
        <f>IF(OR($B98="",NOT(ISNUMBER(Settings!$C$9))),"",TRIM(SUBSTITUTE(SUBSTITUTE(INDEX('INPUT - Roster'!$S$1:$SV$206,$B98,Settings!$C$9+21)&amp;"",CHAR(10)," "),CHAR(160)," ")))</f>
        <v/>
      </c>
      <c r="AB98">
        <f>IF(OR($B98="",NOT(ISNUMBER(Settings!$C$9))),"",TRIM(SUBSTITUTE(SUBSTITUTE(INDEX('INPUT - Roster'!$S$1:$SV$206,$B98,Settings!$C$9+22)&amp;"",CHAR(10)," "),CHAR(160)," ")))</f>
        <v/>
      </c>
      <c r="AC98">
        <f>IF(OR($B98="",NOT(ISNUMBER(Settings!$C$9))),"",TRIM(SUBSTITUTE(SUBSTITUTE(INDEX('INPUT - Roster'!$S$1:$SV$206,$B98,Settings!$C$9+23)&amp;"",CHAR(10)," "),CHAR(160)," ")))</f>
        <v/>
      </c>
      <c r="AD98">
        <f>IF(OR($B98="",NOT(ISNUMBER(Settings!$C$9))),"",TRIM(SUBSTITUTE(SUBSTITUTE(INDEX('INPUT - Roster'!$S$1:$SV$206,$B98,Settings!$C$9+24)&amp;"",CHAR(10)," "),CHAR(160)," ")))</f>
        <v/>
      </c>
      <c r="AE98">
        <f>IF(OR($B98="",NOT(ISNUMBER(Settings!$C$9))),"",TRIM(SUBSTITUTE(SUBSTITUTE(INDEX('INPUT - Roster'!$S$1:$SV$206,$B98,Settings!$C$9+25)&amp;"",CHAR(10)," "),CHAR(160)," ")))</f>
        <v/>
      </c>
      <c r="AF98">
        <f>IF(OR($B98="",NOT(ISNUMBER(Settings!$C$9))),"",TRIM(SUBSTITUTE(SUBSTITUTE(INDEX('INPUT - Roster'!$S$1:$SV$206,$B98,Settings!$C$9+26)&amp;"",CHAR(10)," "),CHAR(160)," ")))</f>
        <v/>
      </c>
      <c r="AG98">
        <f>IF(OR($B98="",NOT(ISNUMBER(Settings!$C$9))),"",TRIM(SUBSTITUTE(SUBSTITUTE(INDEX('INPUT - Roster'!$S$1:$SV$206,$B98,Settings!$C$9+27)&amp;"",CHAR(10)," "),CHAR(160)," ")))</f>
        <v/>
      </c>
      <c r="AI98">
        <f>IF($B98="","",IF(F98="","Not rostered",IFERROR(INDEX(Settings!$C$14:$C$33,MATCH(F98,Settings!$B$14:$B$33,0)),IFERROR(LOOKUP(2^15,SEARCH(Settings!$I$14:$I$83,F98)/(Settings!$I$14:$I$83&lt;&gt;""),Settings!$J$14:$J$83),"Other"))))</f>
        <v/>
      </c>
      <c r="AJ98">
        <f>IF($B98="","",IF(G98="","Not rostered",IFERROR(INDEX(Settings!$C$14:$C$33,MATCH(G98,Settings!$B$14:$B$33,0)),IFERROR(LOOKUP(2^15,SEARCH(Settings!$I$14:$I$83,G98)/(Settings!$I$14:$I$83&lt;&gt;""),Settings!$J$14:$J$83),"Other"))))</f>
        <v/>
      </c>
      <c r="AK98">
        <f>IF($B98="","",IF(H98="","Not rostered",IFERROR(INDEX(Settings!$C$14:$C$33,MATCH(H98,Settings!$B$14:$B$33,0)),IFERROR(LOOKUP(2^15,SEARCH(Settings!$I$14:$I$83,H98)/(Settings!$I$14:$I$83&lt;&gt;""),Settings!$J$14:$J$83),"Other"))))</f>
        <v/>
      </c>
      <c r="AL98">
        <f>IF($B98="","",IF(I98="","Not rostered",IFERROR(INDEX(Settings!$C$14:$C$33,MATCH(I98,Settings!$B$14:$B$33,0)),IFERROR(LOOKUP(2^15,SEARCH(Settings!$I$14:$I$83,I98)/(Settings!$I$14:$I$83&lt;&gt;""),Settings!$J$14:$J$83),"Other"))))</f>
        <v/>
      </c>
      <c r="AM98">
        <f>IF($B98="","",IF(J98="","Not rostered",IFERROR(INDEX(Settings!$C$14:$C$33,MATCH(J98,Settings!$B$14:$B$33,0)),IFERROR(LOOKUP(2^15,SEARCH(Settings!$I$14:$I$83,J98)/(Settings!$I$14:$I$83&lt;&gt;""),Settings!$J$14:$J$83),"Other"))))</f>
        <v/>
      </c>
      <c r="AN98">
        <f>IF($B98="","",IF(K98="","Not rostered",IFERROR(INDEX(Settings!$C$14:$C$33,MATCH(K98,Settings!$B$14:$B$33,0)),IFERROR(LOOKUP(2^15,SEARCH(Settings!$I$14:$I$83,K98)/(Settings!$I$14:$I$83&lt;&gt;""),Settings!$J$14:$J$83),"Other"))))</f>
        <v/>
      </c>
      <c r="AO98">
        <f>IF($B98="","",IF(L98="","Not rostered",IFERROR(INDEX(Settings!$C$14:$C$33,MATCH(L98,Settings!$B$14:$B$33,0)),IFERROR(LOOKUP(2^15,SEARCH(Settings!$I$14:$I$83,L98)/(Settings!$I$14:$I$83&lt;&gt;""),Settings!$J$14:$J$83),"Other"))))</f>
        <v/>
      </c>
      <c r="AP98">
        <f>IF($B98="","",IF(M98="","Not rostered",IFERROR(INDEX(Settings!$C$14:$C$33,MATCH(M98,Settings!$B$14:$B$33,0)),IFERROR(LOOKUP(2^15,SEARCH(Settings!$I$14:$I$83,M98)/(Settings!$I$14:$I$83&lt;&gt;""),Settings!$J$14:$J$83),"Other"))))</f>
        <v/>
      </c>
      <c r="AQ98">
        <f>IF($B98="","",IF(N98="","Not rostered",IFERROR(INDEX(Settings!$C$14:$C$33,MATCH(N98,Settings!$B$14:$B$33,0)),IFERROR(LOOKUP(2^15,SEARCH(Settings!$I$14:$I$83,N98)/(Settings!$I$14:$I$83&lt;&gt;""),Settings!$J$14:$J$83),"Other"))))</f>
        <v/>
      </c>
      <c r="AR98">
        <f>IF($B98="","",IF(O98="","Not rostered",IFERROR(INDEX(Settings!$C$14:$C$33,MATCH(O98,Settings!$B$14:$B$33,0)),IFERROR(LOOKUP(2^15,SEARCH(Settings!$I$14:$I$83,O98)/(Settings!$I$14:$I$83&lt;&gt;""),Settings!$J$14:$J$83),"Other"))))</f>
        <v/>
      </c>
      <c r="AS98">
        <f>IF($B98="","",IF(P98="","Not rostered",IFERROR(INDEX(Settings!$C$14:$C$33,MATCH(P98,Settings!$B$14:$B$33,0)),IFERROR(LOOKUP(2^15,SEARCH(Settings!$I$14:$I$83,P98)/(Settings!$I$14:$I$83&lt;&gt;""),Settings!$J$14:$J$83),"Other"))))</f>
        <v/>
      </c>
      <c r="AT98">
        <f>IF($B98="","",IF(Q98="","Not rostered",IFERROR(INDEX(Settings!$C$14:$C$33,MATCH(Q98,Settings!$B$14:$B$33,0)),IFERROR(LOOKUP(2^15,SEARCH(Settings!$I$14:$I$83,Q98)/(Settings!$I$14:$I$83&lt;&gt;""),Settings!$J$14:$J$83),"Other"))))</f>
        <v/>
      </c>
      <c r="AU98">
        <f>IF($B98="","",IF(R98="","Not rostered",IFERROR(INDEX(Settings!$C$14:$C$33,MATCH(R98,Settings!$B$14:$B$33,0)),IFERROR(LOOKUP(2^15,SEARCH(Settings!$I$14:$I$83,R98)/(Settings!$I$14:$I$83&lt;&gt;""),Settings!$J$14:$J$83),"Other"))))</f>
        <v/>
      </c>
      <c r="AV98">
        <f>IF($B98="","",IF(S98="","Not rostered",IFERROR(INDEX(Settings!$C$14:$C$33,MATCH(S98,Settings!$B$14:$B$33,0)),IFERROR(LOOKUP(2^15,SEARCH(Settings!$I$14:$I$83,S98)/(Settings!$I$14:$I$83&lt;&gt;""),Settings!$J$14:$J$83),"Other"))))</f>
        <v/>
      </c>
      <c r="AW98">
        <f>IF($B98="","",IF(T98="","Not rostered",IFERROR(INDEX(Settings!$C$14:$C$33,MATCH(T98,Settings!$B$14:$B$33,0)),IFERROR(LOOKUP(2^15,SEARCH(Settings!$I$14:$I$83,T98)/(Settings!$I$14:$I$83&lt;&gt;""),Settings!$J$14:$J$83),"Other"))))</f>
        <v/>
      </c>
      <c r="AX98">
        <f>IF($B98="","",IF(U98="","Not rostered",IFERROR(INDEX(Settings!$C$14:$C$33,MATCH(U98,Settings!$B$14:$B$33,0)),IFERROR(LOOKUP(2^15,SEARCH(Settings!$I$14:$I$83,U98)/(Settings!$I$14:$I$83&lt;&gt;""),Settings!$J$14:$J$83),"Other"))))</f>
        <v/>
      </c>
      <c r="AY98">
        <f>IF($B98="","",IF(V98="","Not rostered",IFERROR(INDEX(Settings!$C$14:$C$33,MATCH(V98,Settings!$B$14:$B$33,0)),IFERROR(LOOKUP(2^15,SEARCH(Settings!$I$14:$I$83,V98)/(Settings!$I$14:$I$83&lt;&gt;""),Settings!$J$14:$J$83),"Other"))))</f>
        <v/>
      </c>
      <c r="AZ98">
        <f>IF($B98="","",IF(W98="","Not rostered",IFERROR(INDEX(Settings!$C$14:$C$33,MATCH(W98,Settings!$B$14:$B$33,0)),IFERROR(LOOKUP(2^15,SEARCH(Settings!$I$14:$I$83,W98)/(Settings!$I$14:$I$83&lt;&gt;""),Settings!$J$14:$J$83),"Other"))))</f>
        <v/>
      </c>
      <c r="BA98">
        <f>IF($B98="","",IF(X98="","Not rostered",IFERROR(INDEX(Settings!$C$14:$C$33,MATCH(X98,Settings!$B$14:$B$33,0)),IFERROR(LOOKUP(2^15,SEARCH(Settings!$I$14:$I$83,X98)/(Settings!$I$14:$I$83&lt;&gt;""),Settings!$J$14:$J$83),"Other"))))</f>
        <v/>
      </c>
      <c r="BB98">
        <f>IF($B98="","",IF(Y98="","Not rostered",IFERROR(INDEX(Settings!$C$14:$C$33,MATCH(Y98,Settings!$B$14:$B$33,0)),IFERROR(LOOKUP(2^15,SEARCH(Settings!$I$14:$I$83,Y98)/(Settings!$I$14:$I$83&lt;&gt;""),Settings!$J$14:$J$83),"Other"))))</f>
        <v/>
      </c>
      <c r="BC98">
        <f>IF($B98="","",IF(Z98="","Not rostered",IFERROR(INDEX(Settings!$C$14:$C$33,MATCH(Z98,Settings!$B$14:$B$33,0)),IFERROR(LOOKUP(2^15,SEARCH(Settings!$I$14:$I$83,Z98)/(Settings!$I$14:$I$83&lt;&gt;""),Settings!$J$14:$J$83),"Other"))))</f>
        <v/>
      </c>
      <c r="BD98">
        <f>IF($B98="","",IF(AA98="","Not rostered",IFERROR(INDEX(Settings!$C$14:$C$33,MATCH(AA98,Settings!$B$14:$B$33,0)),IFERROR(LOOKUP(2^15,SEARCH(Settings!$I$14:$I$83,AA98)/(Settings!$I$14:$I$83&lt;&gt;""),Settings!$J$14:$J$83),"Other"))))</f>
        <v/>
      </c>
      <c r="BE98">
        <f>IF($B98="","",IF(AB98="","Not rostered",IFERROR(INDEX(Settings!$C$14:$C$33,MATCH(AB98,Settings!$B$14:$B$33,0)),IFERROR(LOOKUP(2^15,SEARCH(Settings!$I$14:$I$83,AB98)/(Settings!$I$14:$I$83&lt;&gt;""),Settings!$J$14:$J$83),"Other"))))</f>
        <v/>
      </c>
      <c r="BF98">
        <f>IF($B98="","",IF(AC98="","Not rostered",IFERROR(INDEX(Settings!$C$14:$C$33,MATCH(AC98,Settings!$B$14:$B$33,0)),IFERROR(LOOKUP(2^15,SEARCH(Settings!$I$14:$I$83,AC98)/(Settings!$I$14:$I$83&lt;&gt;""),Settings!$J$14:$J$83),"Other"))))</f>
        <v/>
      </c>
      <c r="BG98">
        <f>IF($B98="","",IF(AD98="","Not rostered",IFERROR(INDEX(Settings!$C$14:$C$33,MATCH(AD98,Settings!$B$14:$B$33,0)),IFERROR(LOOKUP(2^15,SEARCH(Settings!$I$14:$I$83,AD98)/(Settings!$I$14:$I$83&lt;&gt;""),Settings!$J$14:$J$83),"Other"))))</f>
        <v/>
      </c>
      <c r="BH98">
        <f>IF($B98="","",IF(AE98="","Not rostered",IFERROR(INDEX(Settings!$C$14:$C$33,MATCH(AE98,Settings!$B$14:$B$33,0)),IFERROR(LOOKUP(2^15,SEARCH(Settings!$I$14:$I$83,AE98)/(Settings!$I$14:$I$83&lt;&gt;""),Settings!$J$14:$J$83),"Other"))))</f>
        <v/>
      </c>
      <c r="BI98">
        <f>IF($B98="","",IF(AF98="","Not rostered",IFERROR(INDEX(Settings!$C$14:$C$33,MATCH(AF98,Settings!$B$14:$B$33,0)),IFERROR(LOOKUP(2^15,SEARCH(Settings!$I$14:$I$83,AF98)/(Settings!$I$14:$I$83&lt;&gt;""),Settings!$J$14:$J$83),"Other"))))</f>
        <v/>
      </c>
      <c r="BJ98">
        <f>IF($B98="","",IF(AG98="","Not rostered",IFERROR(INDEX(Settings!$C$14:$C$33,MATCH(AG98,Settings!$B$14:$B$33,0)),IFERROR(LOOKUP(2^15,SEARCH(Settings!$I$14:$I$83,AG98)/(Settings!$I$14:$I$83&lt;&gt;""),Settings!$J$14:$J$83),"Other"))))</f>
        <v/>
      </c>
      <c r="BL98">
        <f>IF(OR($B98="",F98=""),"",IFERROR(INDEX(Settings!$D$14:$D$33,MATCH(F98,Settings!$B$14:$B$33,0))&amp;"",IFERROR(LOOKUP(2^15,SEARCH(Settings!$F$14:$F$43,F98)/(Settings!$F$14:$F$43&lt;&gt;""),Settings!$G$14:$G$43),"")))</f>
        <v/>
      </c>
      <c r="BM98">
        <f>IF(OR($B98="",G98=""),"",IFERROR(INDEX(Settings!$D$14:$D$33,MATCH(G98,Settings!$B$14:$B$33,0))&amp;"",IFERROR(LOOKUP(2^15,SEARCH(Settings!$F$14:$F$43,G98)/(Settings!$F$14:$F$43&lt;&gt;""),Settings!$G$14:$G$43),"")))</f>
        <v/>
      </c>
      <c r="BN98">
        <f>IF(OR($B98="",H98=""),"",IFERROR(INDEX(Settings!$D$14:$D$33,MATCH(H98,Settings!$B$14:$B$33,0))&amp;"",IFERROR(LOOKUP(2^15,SEARCH(Settings!$F$14:$F$43,H98)/(Settings!$F$14:$F$43&lt;&gt;""),Settings!$G$14:$G$43),"")))</f>
        <v/>
      </c>
      <c r="BO98">
        <f>IF(OR($B98="",I98=""),"",IFERROR(INDEX(Settings!$D$14:$D$33,MATCH(I98,Settings!$B$14:$B$33,0))&amp;"",IFERROR(LOOKUP(2^15,SEARCH(Settings!$F$14:$F$43,I98)/(Settings!$F$14:$F$43&lt;&gt;""),Settings!$G$14:$G$43),"")))</f>
        <v/>
      </c>
      <c r="BP98">
        <f>IF(OR($B98="",J98=""),"",IFERROR(INDEX(Settings!$D$14:$D$33,MATCH(J98,Settings!$B$14:$B$33,0))&amp;"",IFERROR(LOOKUP(2^15,SEARCH(Settings!$F$14:$F$43,J98)/(Settings!$F$14:$F$43&lt;&gt;""),Settings!$G$14:$G$43),"")))</f>
        <v/>
      </c>
      <c r="BQ98">
        <f>IF(OR($B98="",K98=""),"",IFERROR(INDEX(Settings!$D$14:$D$33,MATCH(K98,Settings!$B$14:$B$33,0))&amp;"",IFERROR(LOOKUP(2^15,SEARCH(Settings!$F$14:$F$43,K98)/(Settings!$F$14:$F$43&lt;&gt;""),Settings!$G$14:$G$43),"")))</f>
        <v/>
      </c>
      <c r="BR98">
        <f>IF(OR($B98="",L98=""),"",IFERROR(INDEX(Settings!$D$14:$D$33,MATCH(L98,Settings!$B$14:$B$33,0))&amp;"",IFERROR(LOOKUP(2^15,SEARCH(Settings!$F$14:$F$43,L98)/(Settings!$F$14:$F$43&lt;&gt;""),Settings!$G$14:$G$43),"")))</f>
        <v/>
      </c>
      <c r="BS98">
        <f>IF(OR($B98="",M98=""),"",IFERROR(INDEX(Settings!$D$14:$D$33,MATCH(M98,Settings!$B$14:$B$33,0))&amp;"",IFERROR(LOOKUP(2^15,SEARCH(Settings!$F$14:$F$43,M98)/(Settings!$F$14:$F$43&lt;&gt;""),Settings!$G$14:$G$43),"")))</f>
        <v/>
      </c>
      <c r="BT98">
        <f>IF(OR($B98="",N98=""),"",IFERROR(INDEX(Settings!$D$14:$D$33,MATCH(N98,Settings!$B$14:$B$33,0))&amp;"",IFERROR(LOOKUP(2^15,SEARCH(Settings!$F$14:$F$43,N98)/(Settings!$F$14:$F$43&lt;&gt;""),Settings!$G$14:$G$43),"")))</f>
        <v/>
      </c>
      <c r="BU98">
        <f>IF(OR($B98="",O98=""),"",IFERROR(INDEX(Settings!$D$14:$D$33,MATCH(O98,Settings!$B$14:$B$33,0))&amp;"",IFERROR(LOOKUP(2^15,SEARCH(Settings!$F$14:$F$43,O98)/(Settings!$F$14:$F$43&lt;&gt;""),Settings!$G$14:$G$43),"")))</f>
        <v/>
      </c>
      <c r="BV98">
        <f>IF(OR($B98="",P98=""),"",IFERROR(INDEX(Settings!$D$14:$D$33,MATCH(P98,Settings!$B$14:$B$33,0))&amp;"",IFERROR(LOOKUP(2^15,SEARCH(Settings!$F$14:$F$43,P98)/(Settings!$F$14:$F$43&lt;&gt;""),Settings!$G$14:$G$43),"")))</f>
        <v/>
      </c>
      <c r="BW98">
        <f>IF(OR($B98="",Q98=""),"",IFERROR(INDEX(Settings!$D$14:$D$33,MATCH(Q98,Settings!$B$14:$B$33,0))&amp;"",IFERROR(LOOKUP(2^15,SEARCH(Settings!$F$14:$F$43,Q98)/(Settings!$F$14:$F$43&lt;&gt;""),Settings!$G$14:$G$43),"")))</f>
        <v/>
      </c>
      <c r="BX98">
        <f>IF(OR($B98="",R98=""),"",IFERROR(INDEX(Settings!$D$14:$D$33,MATCH(R98,Settings!$B$14:$B$33,0))&amp;"",IFERROR(LOOKUP(2^15,SEARCH(Settings!$F$14:$F$43,R98)/(Settings!$F$14:$F$43&lt;&gt;""),Settings!$G$14:$G$43),"")))</f>
        <v/>
      </c>
      <c r="BY98">
        <f>IF(OR($B98="",S98=""),"",IFERROR(INDEX(Settings!$D$14:$D$33,MATCH(S98,Settings!$B$14:$B$33,0))&amp;"",IFERROR(LOOKUP(2^15,SEARCH(Settings!$F$14:$F$43,S98)/(Settings!$F$14:$F$43&lt;&gt;""),Settings!$G$14:$G$43),"")))</f>
        <v/>
      </c>
      <c r="BZ98">
        <f>IF(OR($B98="",T98=""),"",IFERROR(INDEX(Settings!$D$14:$D$33,MATCH(T98,Settings!$B$14:$B$33,0))&amp;"",IFERROR(LOOKUP(2^15,SEARCH(Settings!$F$14:$F$43,T98)/(Settings!$F$14:$F$43&lt;&gt;""),Settings!$G$14:$G$43),"")))</f>
        <v/>
      </c>
      <c r="CA98">
        <f>IF(OR($B98="",U98=""),"",IFERROR(INDEX(Settings!$D$14:$D$33,MATCH(U98,Settings!$B$14:$B$33,0))&amp;"",IFERROR(LOOKUP(2^15,SEARCH(Settings!$F$14:$F$43,U98)/(Settings!$F$14:$F$43&lt;&gt;""),Settings!$G$14:$G$43),"")))</f>
        <v/>
      </c>
      <c r="CB98">
        <f>IF(OR($B98="",V98=""),"",IFERROR(INDEX(Settings!$D$14:$D$33,MATCH(V98,Settings!$B$14:$B$33,0))&amp;"",IFERROR(LOOKUP(2^15,SEARCH(Settings!$F$14:$F$43,V98)/(Settings!$F$14:$F$43&lt;&gt;""),Settings!$G$14:$G$43),"")))</f>
        <v/>
      </c>
      <c r="CC98">
        <f>IF(OR($B98="",W98=""),"",IFERROR(INDEX(Settings!$D$14:$D$33,MATCH(W98,Settings!$B$14:$B$33,0))&amp;"",IFERROR(LOOKUP(2^15,SEARCH(Settings!$F$14:$F$43,W98)/(Settings!$F$14:$F$43&lt;&gt;""),Settings!$G$14:$G$43),"")))</f>
        <v/>
      </c>
      <c r="CD98">
        <f>IF(OR($B98="",X98=""),"",IFERROR(INDEX(Settings!$D$14:$D$33,MATCH(X98,Settings!$B$14:$B$33,0))&amp;"",IFERROR(LOOKUP(2^15,SEARCH(Settings!$F$14:$F$43,X98)/(Settings!$F$14:$F$43&lt;&gt;""),Settings!$G$14:$G$43),"")))</f>
        <v/>
      </c>
      <c r="CE98">
        <f>IF(OR($B98="",Y98=""),"",IFERROR(INDEX(Settings!$D$14:$D$33,MATCH(Y98,Settings!$B$14:$B$33,0))&amp;"",IFERROR(LOOKUP(2^15,SEARCH(Settings!$F$14:$F$43,Y98)/(Settings!$F$14:$F$43&lt;&gt;""),Settings!$G$14:$G$43),"")))</f>
        <v/>
      </c>
      <c r="CF98">
        <f>IF(OR($B98="",Z98=""),"",IFERROR(INDEX(Settings!$D$14:$D$33,MATCH(Z98,Settings!$B$14:$B$33,0))&amp;"",IFERROR(LOOKUP(2^15,SEARCH(Settings!$F$14:$F$43,Z98)/(Settings!$F$14:$F$43&lt;&gt;""),Settings!$G$14:$G$43),"")))</f>
        <v/>
      </c>
      <c r="CG98">
        <f>IF(OR($B98="",AA98=""),"",IFERROR(INDEX(Settings!$D$14:$D$33,MATCH(AA98,Settings!$B$14:$B$33,0))&amp;"",IFERROR(LOOKUP(2^15,SEARCH(Settings!$F$14:$F$43,AA98)/(Settings!$F$14:$F$43&lt;&gt;""),Settings!$G$14:$G$43),"")))</f>
        <v/>
      </c>
      <c r="CH98">
        <f>IF(OR($B98="",AB98=""),"",IFERROR(INDEX(Settings!$D$14:$D$33,MATCH(AB98,Settings!$B$14:$B$33,0))&amp;"",IFERROR(LOOKUP(2^15,SEARCH(Settings!$F$14:$F$43,AB98)/(Settings!$F$14:$F$43&lt;&gt;""),Settings!$G$14:$G$43),"")))</f>
        <v/>
      </c>
      <c r="CI98">
        <f>IF(OR($B98="",AC98=""),"",IFERROR(INDEX(Settings!$D$14:$D$33,MATCH(AC98,Settings!$B$14:$B$33,0))&amp;"",IFERROR(LOOKUP(2^15,SEARCH(Settings!$F$14:$F$43,AC98)/(Settings!$F$14:$F$43&lt;&gt;""),Settings!$G$14:$G$43),"")))</f>
        <v/>
      </c>
      <c r="CJ98">
        <f>IF(OR($B98="",AD98=""),"",IFERROR(INDEX(Settings!$D$14:$D$33,MATCH(AD98,Settings!$B$14:$B$33,0))&amp;"",IFERROR(LOOKUP(2^15,SEARCH(Settings!$F$14:$F$43,AD98)/(Settings!$F$14:$F$43&lt;&gt;""),Settings!$G$14:$G$43),"")))</f>
        <v/>
      </c>
      <c r="CK98">
        <f>IF(OR($B98="",AE98=""),"",IFERROR(INDEX(Settings!$D$14:$D$33,MATCH(AE98,Settings!$B$14:$B$33,0))&amp;"",IFERROR(LOOKUP(2^15,SEARCH(Settings!$F$14:$F$43,AE98)/(Settings!$F$14:$F$43&lt;&gt;""),Settings!$G$14:$G$43),"")))</f>
        <v/>
      </c>
      <c r="CL98">
        <f>IF(OR($B98="",AF98=""),"",IFERROR(INDEX(Settings!$D$14:$D$33,MATCH(AF98,Settings!$B$14:$B$33,0))&amp;"",IFERROR(LOOKUP(2^15,SEARCH(Settings!$F$14:$F$43,AF98)/(Settings!$F$14:$F$43&lt;&gt;""),Settings!$G$14:$G$43),"")))</f>
        <v/>
      </c>
      <c r="CM98">
        <f>IF(OR($B98="",AG98=""),"",IFERROR(INDEX(Settings!$D$14:$D$33,MATCH(AG98,Settings!$B$14:$B$33,0))&amp;"",IFERROR(LOOKUP(2^15,SEARCH(Settings!$F$14:$F$43,AG98)/(Settings!$F$14:$F$43&lt;&gt;""),Settings!$G$14:$G$43),"")))</f>
        <v/>
      </c>
    </row>
    <row r="99">
      <c r="A99" t="n">
        <v>97</v>
      </c>
      <c r="B99">
        <f>IFERROR(INDEX(Index!$A$2:$A$202,MATCH(A99,Index!$E$2:$E$202,0)),"")</f>
        <v/>
      </c>
      <c r="D99">
        <f>IF($B99="","",IFERROR(MATCH("Travel*",AI99:BJ99,0),""))</f>
        <v/>
      </c>
      <c r="F99">
        <f>IF(OR($B99="",NOT(ISNUMBER(Settings!$C$9))),"",TRIM(SUBSTITUTE(SUBSTITUTE(INDEX('INPUT - Roster'!$S$1:$SV$206,$B99,Settings!$C$9+0)&amp;"",CHAR(10)," "),CHAR(160)," ")))</f>
        <v/>
      </c>
      <c r="G99">
        <f>IF(OR($B99="",NOT(ISNUMBER(Settings!$C$9))),"",TRIM(SUBSTITUTE(SUBSTITUTE(INDEX('INPUT - Roster'!$S$1:$SV$206,$B99,Settings!$C$9+1)&amp;"",CHAR(10)," "),CHAR(160)," ")))</f>
        <v/>
      </c>
      <c r="H99">
        <f>IF(OR($B99="",NOT(ISNUMBER(Settings!$C$9))),"",TRIM(SUBSTITUTE(SUBSTITUTE(INDEX('INPUT - Roster'!$S$1:$SV$206,$B99,Settings!$C$9+2)&amp;"",CHAR(10)," "),CHAR(160)," ")))</f>
        <v/>
      </c>
      <c r="I99">
        <f>IF(OR($B99="",NOT(ISNUMBER(Settings!$C$9))),"",TRIM(SUBSTITUTE(SUBSTITUTE(INDEX('INPUT - Roster'!$S$1:$SV$206,$B99,Settings!$C$9+3)&amp;"",CHAR(10)," "),CHAR(160)," ")))</f>
        <v/>
      </c>
      <c r="J99">
        <f>IF(OR($B99="",NOT(ISNUMBER(Settings!$C$9))),"",TRIM(SUBSTITUTE(SUBSTITUTE(INDEX('INPUT - Roster'!$S$1:$SV$206,$B99,Settings!$C$9+4)&amp;"",CHAR(10)," "),CHAR(160)," ")))</f>
        <v/>
      </c>
      <c r="K99">
        <f>IF(OR($B99="",NOT(ISNUMBER(Settings!$C$9))),"",TRIM(SUBSTITUTE(SUBSTITUTE(INDEX('INPUT - Roster'!$S$1:$SV$206,$B99,Settings!$C$9+5)&amp;"",CHAR(10)," "),CHAR(160)," ")))</f>
        <v/>
      </c>
      <c r="L99">
        <f>IF(OR($B99="",NOT(ISNUMBER(Settings!$C$9))),"",TRIM(SUBSTITUTE(SUBSTITUTE(INDEX('INPUT - Roster'!$S$1:$SV$206,$B99,Settings!$C$9+6)&amp;"",CHAR(10)," "),CHAR(160)," ")))</f>
        <v/>
      </c>
      <c r="M99">
        <f>IF(OR($B99="",NOT(ISNUMBER(Settings!$C$9))),"",TRIM(SUBSTITUTE(SUBSTITUTE(INDEX('INPUT - Roster'!$S$1:$SV$206,$B99,Settings!$C$9+7)&amp;"",CHAR(10)," "),CHAR(160)," ")))</f>
        <v/>
      </c>
      <c r="N99">
        <f>IF(OR($B99="",NOT(ISNUMBER(Settings!$C$9))),"",TRIM(SUBSTITUTE(SUBSTITUTE(INDEX('INPUT - Roster'!$S$1:$SV$206,$B99,Settings!$C$9+8)&amp;"",CHAR(10)," "),CHAR(160)," ")))</f>
        <v/>
      </c>
      <c r="O99">
        <f>IF(OR($B99="",NOT(ISNUMBER(Settings!$C$9))),"",TRIM(SUBSTITUTE(SUBSTITUTE(INDEX('INPUT - Roster'!$S$1:$SV$206,$B99,Settings!$C$9+9)&amp;"",CHAR(10)," "),CHAR(160)," ")))</f>
        <v/>
      </c>
      <c r="P99">
        <f>IF(OR($B99="",NOT(ISNUMBER(Settings!$C$9))),"",TRIM(SUBSTITUTE(SUBSTITUTE(INDEX('INPUT - Roster'!$S$1:$SV$206,$B99,Settings!$C$9+10)&amp;"",CHAR(10)," "),CHAR(160)," ")))</f>
        <v/>
      </c>
      <c r="Q99">
        <f>IF(OR($B99="",NOT(ISNUMBER(Settings!$C$9))),"",TRIM(SUBSTITUTE(SUBSTITUTE(INDEX('INPUT - Roster'!$S$1:$SV$206,$B99,Settings!$C$9+11)&amp;"",CHAR(10)," "),CHAR(160)," ")))</f>
        <v/>
      </c>
      <c r="R99">
        <f>IF(OR($B99="",NOT(ISNUMBER(Settings!$C$9))),"",TRIM(SUBSTITUTE(SUBSTITUTE(INDEX('INPUT - Roster'!$S$1:$SV$206,$B99,Settings!$C$9+12)&amp;"",CHAR(10)," "),CHAR(160)," ")))</f>
        <v/>
      </c>
      <c r="S99">
        <f>IF(OR($B99="",NOT(ISNUMBER(Settings!$C$9))),"",TRIM(SUBSTITUTE(SUBSTITUTE(INDEX('INPUT - Roster'!$S$1:$SV$206,$B99,Settings!$C$9+13)&amp;"",CHAR(10)," "),CHAR(160)," ")))</f>
        <v/>
      </c>
      <c r="T99">
        <f>IF(OR($B99="",NOT(ISNUMBER(Settings!$C$9))),"",TRIM(SUBSTITUTE(SUBSTITUTE(INDEX('INPUT - Roster'!$S$1:$SV$206,$B99,Settings!$C$9+14)&amp;"",CHAR(10)," "),CHAR(160)," ")))</f>
        <v/>
      </c>
      <c r="U99">
        <f>IF(OR($B99="",NOT(ISNUMBER(Settings!$C$9))),"",TRIM(SUBSTITUTE(SUBSTITUTE(INDEX('INPUT - Roster'!$S$1:$SV$206,$B99,Settings!$C$9+15)&amp;"",CHAR(10)," "),CHAR(160)," ")))</f>
        <v/>
      </c>
      <c r="V99">
        <f>IF(OR($B99="",NOT(ISNUMBER(Settings!$C$9))),"",TRIM(SUBSTITUTE(SUBSTITUTE(INDEX('INPUT - Roster'!$S$1:$SV$206,$B99,Settings!$C$9+16)&amp;"",CHAR(10)," "),CHAR(160)," ")))</f>
        <v/>
      </c>
      <c r="W99">
        <f>IF(OR($B99="",NOT(ISNUMBER(Settings!$C$9))),"",TRIM(SUBSTITUTE(SUBSTITUTE(INDEX('INPUT - Roster'!$S$1:$SV$206,$B99,Settings!$C$9+17)&amp;"",CHAR(10)," "),CHAR(160)," ")))</f>
        <v/>
      </c>
      <c r="X99">
        <f>IF(OR($B99="",NOT(ISNUMBER(Settings!$C$9))),"",TRIM(SUBSTITUTE(SUBSTITUTE(INDEX('INPUT - Roster'!$S$1:$SV$206,$B99,Settings!$C$9+18)&amp;"",CHAR(10)," "),CHAR(160)," ")))</f>
        <v/>
      </c>
      <c r="Y99">
        <f>IF(OR($B99="",NOT(ISNUMBER(Settings!$C$9))),"",TRIM(SUBSTITUTE(SUBSTITUTE(INDEX('INPUT - Roster'!$S$1:$SV$206,$B99,Settings!$C$9+19)&amp;"",CHAR(10)," "),CHAR(160)," ")))</f>
        <v/>
      </c>
      <c r="Z99">
        <f>IF(OR($B99="",NOT(ISNUMBER(Settings!$C$9))),"",TRIM(SUBSTITUTE(SUBSTITUTE(INDEX('INPUT - Roster'!$S$1:$SV$206,$B99,Settings!$C$9+20)&amp;"",CHAR(10)," "),CHAR(160)," ")))</f>
        <v/>
      </c>
      <c r="AA99">
        <f>IF(OR($B99="",NOT(ISNUMBER(Settings!$C$9))),"",TRIM(SUBSTITUTE(SUBSTITUTE(INDEX('INPUT - Roster'!$S$1:$SV$206,$B99,Settings!$C$9+21)&amp;"",CHAR(10)," "),CHAR(160)," ")))</f>
        <v/>
      </c>
      <c r="AB99">
        <f>IF(OR($B99="",NOT(ISNUMBER(Settings!$C$9))),"",TRIM(SUBSTITUTE(SUBSTITUTE(INDEX('INPUT - Roster'!$S$1:$SV$206,$B99,Settings!$C$9+22)&amp;"",CHAR(10)," "),CHAR(160)," ")))</f>
        <v/>
      </c>
      <c r="AC99">
        <f>IF(OR($B99="",NOT(ISNUMBER(Settings!$C$9))),"",TRIM(SUBSTITUTE(SUBSTITUTE(INDEX('INPUT - Roster'!$S$1:$SV$206,$B99,Settings!$C$9+23)&amp;"",CHAR(10)," "),CHAR(160)," ")))</f>
        <v/>
      </c>
      <c r="AD99">
        <f>IF(OR($B99="",NOT(ISNUMBER(Settings!$C$9))),"",TRIM(SUBSTITUTE(SUBSTITUTE(INDEX('INPUT - Roster'!$S$1:$SV$206,$B99,Settings!$C$9+24)&amp;"",CHAR(10)," "),CHAR(160)," ")))</f>
        <v/>
      </c>
      <c r="AE99">
        <f>IF(OR($B99="",NOT(ISNUMBER(Settings!$C$9))),"",TRIM(SUBSTITUTE(SUBSTITUTE(INDEX('INPUT - Roster'!$S$1:$SV$206,$B99,Settings!$C$9+25)&amp;"",CHAR(10)," "),CHAR(160)," ")))</f>
        <v/>
      </c>
      <c r="AF99">
        <f>IF(OR($B99="",NOT(ISNUMBER(Settings!$C$9))),"",TRIM(SUBSTITUTE(SUBSTITUTE(INDEX('INPUT - Roster'!$S$1:$SV$206,$B99,Settings!$C$9+26)&amp;"",CHAR(10)," "),CHAR(160)," ")))</f>
        <v/>
      </c>
      <c r="AG99">
        <f>IF(OR($B99="",NOT(ISNUMBER(Settings!$C$9))),"",TRIM(SUBSTITUTE(SUBSTITUTE(INDEX('INPUT - Roster'!$S$1:$SV$206,$B99,Settings!$C$9+27)&amp;"",CHAR(10)," "),CHAR(160)," ")))</f>
        <v/>
      </c>
      <c r="AI99">
        <f>IF($B99="","",IF(F99="","Not rostered",IFERROR(INDEX(Settings!$C$14:$C$33,MATCH(F99,Settings!$B$14:$B$33,0)),IFERROR(LOOKUP(2^15,SEARCH(Settings!$I$14:$I$83,F99)/(Settings!$I$14:$I$83&lt;&gt;""),Settings!$J$14:$J$83),"Other"))))</f>
        <v/>
      </c>
      <c r="AJ99">
        <f>IF($B99="","",IF(G99="","Not rostered",IFERROR(INDEX(Settings!$C$14:$C$33,MATCH(G99,Settings!$B$14:$B$33,0)),IFERROR(LOOKUP(2^15,SEARCH(Settings!$I$14:$I$83,G99)/(Settings!$I$14:$I$83&lt;&gt;""),Settings!$J$14:$J$83),"Other"))))</f>
        <v/>
      </c>
      <c r="AK99">
        <f>IF($B99="","",IF(H99="","Not rostered",IFERROR(INDEX(Settings!$C$14:$C$33,MATCH(H99,Settings!$B$14:$B$33,0)),IFERROR(LOOKUP(2^15,SEARCH(Settings!$I$14:$I$83,H99)/(Settings!$I$14:$I$83&lt;&gt;""),Settings!$J$14:$J$83),"Other"))))</f>
        <v/>
      </c>
      <c r="AL99">
        <f>IF($B99="","",IF(I99="","Not rostered",IFERROR(INDEX(Settings!$C$14:$C$33,MATCH(I99,Settings!$B$14:$B$33,0)),IFERROR(LOOKUP(2^15,SEARCH(Settings!$I$14:$I$83,I99)/(Settings!$I$14:$I$83&lt;&gt;""),Settings!$J$14:$J$83),"Other"))))</f>
        <v/>
      </c>
      <c r="AM99">
        <f>IF($B99="","",IF(J99="","Not rostered",IFERROR(INDEX(Settings!$C$14:$C$33,MATCH(J99,Settings!$B$14:$B$33,0)),IFERROR(LOOKUP(2^15,SEARCH(Settings!$I$14:$I$83,J99)/(Settings!$I$14:$I$83&lt;&gt;""),Settings!$J$14:$J$83),"Other"))))</f>
        <v/>
      </c>
      <c r="AN99">
        <f>IF($B99="","",IF(K99="","Not rostered",IFERROR(INDEX(Settings!$C$14:$C$33,MATCH(K99,Settings!$B$14:$B$33,0)),IFERROR(LOOKUP(2^15,SEARCH(Settings!$I$14:$I$83,K99)/(Settings!$I$14:$I$83&lt;&gt;""),Settings!$J$14:$J$83),"Other"))))</f>
        <v/>
      </c>
      <c r="AO99">
        <f>IF($B99="","",IF(L99="","Not rostered",IFERROR(INDEX(Settings!$C$14:$C$33,MATCH(L99,Settings!$B$14:$B$33,0)),IFERROR(LOOKUP(2^15,SEARCH(Settings!$I$14:$I$83,L99)/(Settings!$I$14:$I$83&lt;&gt;""),Settings!$J$14:$J$83),"Other"))))</f>
        <v/>
      </c>
      <c r="AP99">
        <f>IF($B99="","",IF(M99="","Not rostered",IFERROR(INDEX(Settings!$C$14:$C$33,MATCH(M99,Settings!$B$14:$B$33,0)),IFERROR(LOOKUP(2^15,SEARCH(Settings!$I$14:$I$83,M99)/(Settings!$I$14:$I$83&lt;&gt;""),Settings!$J$14:$J$83),"Other"))))</f>
        <v/>
      </c>
      <c r="AQ99">
        <f>IF($B99="","",IF(N99="","Not rostered",IFERROR(INDEX(Settings!$C$14:$C$33,MATCH(N99,Settings!$B$14:$B$33,0)),IFERROR(LOOKUP(2^15,SEARCH(Settings!$I$14:$I$83,N99)/(Settings!$I$14:$I$83&lt;&gt;""),Settings!$J$14:$J$83),"Other"))))</f>
        <v/>
      </c>
      <c r="AR99">
        <f>IF($B99="","",IF(O99="","Not rostered",IFERROR(INDEX(Settings!$C$14:$C$33,MATCH(O99,Settings!$B$14:$B$33,0)),IFERROR(LOOKUP(2^15,SEARCH(Settings!$I$14:$I$83,O99)/(Settings!$I$14:$I$83&lt;&gt;""),Settings!$J$14:$J$83),"Other"))))</f>
        <v/>
      </c>
      <c r="AS99">
        <f>IF($B99="","",IF(P99="","Not rostered",IFERROR(INDEX(Settings!$C$14:$C$33,MATCH(P99,Settings!$B$14:$B$33,0)),IFERROR(LOOKUP(2^15,SEARCH(Settings!$I$14:$I$83,P99)/(Settings!$I$14:$I$83&lt;&gt;""),Settings!$J$14:$J$83),"Other"))))</f>
        <v/>
      </c>
      <c r="AT99">
        <f>IF($B99="","",IF(Q99="","Not rostered",IFERROR(INDEX(Settings!$C$14:$C$33,MATCH(Q99,Settings!$B$14:$B$33,0)),IFERROR(LOOKUP(2^15,SEARCH(Settings!$I$14:$I$83,Q99)/(Settings!$I$14:$I$83&lt;&gt;""),Settings!$J$14:$J$83),"Other"))))</f>
        <v/>
      </c>
      <c r="AU99">
        <f>IF($B99="","",IF(R99="","Not rostered",IFERROR(INDEX(Settings!$C$14:$C$33,MATCH(R99,Settings!$B$14:$B$33,0)),IFERROR(LOOKUP(2^15,SEARCH(Settings!$I$14:$I$83,R99)/(Settings!$I$14:$I$83&lt;&gt;""),Settings!$J$14:$J$83),"Other"))))</f>
        <v/>
      </c>
      <c r="AV99">
        <f>IF($B99="","",IF(S99="","Not rostered",IFERROR(INDEX(Settings!$C$14:$C$33,MATCH(S99,Settings!$B$14:$B$33,0)),IFERROR(LOOKUP(2^15,SEARCH(Settings!$I$14:$I$83,S99)/(Settings!$I$14:$I$83&lt;&gt;""),Settings!$J$14:$J$83),"Other"))))</f>
        <v/>
      </c>
      <c r="AW99">
        <f>IF($B99="","",IF(T99="","Not rostered",IFERROR(INDEX(Settings!$C$14:$C$33,MATCH(T99,Settings!$B$14:$B$33,0)),IFERROR(LOOKUP(2^15,SEARCH(Settings!$I$14:$I$83,T99)/(Settings!$I$14:$I$83&lt;&gt;""),Settings!$J$14:$J$83),"Other"))))</f>
        <v/>
      </c>
      <c r="AX99">
        <f>IF($B99="","",IF(U99="","Not rostered",IFERROR(INDEX(Settings!$C$14:$C$33,MATCH(U99,Settings!$B$14:$B$33,0)),IFERROR(LOOKUP(2^15,SEARCH(Settings!$I$14:$I$83,U99)/(Settings!$I$14:$I$83&lt;&gt;""),Settings!$J$14:$J$83),"Other"))))</f>
        <v/>
      </c>
      <c r="AY99">
        <f>IF($B99="","",IF(V99="","Not rostered",IFERROR(INDEX(Settings!$C$14:$C$33,MATCH(V99,Settings!$B$14:$B$33,0)),IFERROR(LOOKUP(2^15,SEARCH(Settings!$I$14:$I$83,V99)/(Settings!$I$14:$I$83&lt;&gt;""),Settings!$J$14:$J$83),"Other"))))</f>
        <v/>
      </c>
      <c r="AZ99">
        <f>IF($B99="","",IF(W99="","Not rostered",IFERROR(INDEX(Settings!$C$14:$C$33,MATCH(W99,Settings!$B$14:$B$33,0)),IFERROR(LOOKUP(2^15,SEARCH(Settings!$I$14:$I$83,W99)/(Settings!$I$14:$I$83&lt;&gt;""),Settings!$J$14:$J$83),"Other"))))</f>
        <v/>
      </c>
      <c r="BA99">
        <f>IF($B99="","",IF(X99="","Not rostered",IFERROR(INDEX(Settings!$C$14:$C$33,MATCH(X99,Settings!$B$14:$B$33,0)),IFERROR(LOOKUP(2^15,SEARCH(Settings!$I$14:$I$83,X99)/(Settings!$I$14:$I$83&lt;&gt;""),Settings!$J$14:$J$83),"Other"))))</f>
        <v/>
      </c>
      <c r="BB99">
        <f>IF($B99="","",IF(Y99="","Not rostered",IFERROR(INDEX(Settings!$C$14:$C$33,MATCH(Y99,Settings!$B$14:$B$33,0)),IFERROR(LOOKUP(2^15,SEARCH(Settings!$I$14:$I$83,Y99)/(Settings!$I$14:$I$83&lt;&gt;""),Settings!$J$14:$J$83),"Other"))))</f>
        <v/>
      </c>
      <c r="BC99">
        <f>IF($B99="","",IF(Z99="","Not rostered",IFERROR(INDEX(Settings!$C$14:$C$33,MATCH(Z99,Settings!$B$14:$B$33,0)),IFERROR(LOOKUP(2^15,SEARCH(Settings!$I$14:$I$83,Z99)/(Settings!$I$14:$I$83&lt;&gt;""),Settings!$J$14:$J$83),"Other"))))</f>
        <v/>
      </c>
      <c r="BD99">
        <f>IF($B99="","",IF(AA99="","Not rostered",IFERROR(INDEX(Settings!$C$14:$C$33,MATCH(AA99,Settings!$B$14:$B$33,0)),IFERROR(LOOKUP(2^15,SEARCH(Settings!$I$14:$I$83,AA99)/(Settings!$I$14:$I$83&lt;&gt;""),Settings!$J$14:$J$83),"Other"))))</f>
        <v/>
      </c>
      <c r="BE99">
        <f>IF($B99="","",IF(AB99="","Not rostered",IFERROR(INDEX(Settings!$C$14:$C$33,MATCH(AB99,Settings!$B$14:$B$33,0)),IFERROR(LOOKUP(2^15,SEARCH(Settings!$I$14:$I$83,AB99)/(Settings!$I$14:$I$83&lt;&gt;""),Settings!$J$14:$J$83),"Other"))))</f>
        <v/>
      </c>
      <c r="BF99">
        <f>IF($B99="","",IF(AC99="","Not rostered",IFERROR(INDEX(Settings!$C$14:$C$33,MATCH(AC99,Settings!$B$14:$B$33,0)),IFERROR(LOOKUP(2^15,SEARCH(Settings!$I$14:$I$83,AC99)/(Settings!$I$14:$I$83&lt;&gt;""),Settings!$J$14:$J$83),"Other"))))</f>
        <v/>
      </c>
      <c r="BG99">
        <f>IF($B99="","",IF(AD99="","Not rostered",IFERROR(INDEX(Settings!$C$14:$C$33,MATCH(AD99,Settings!$B$14:$B$33,0)),IFERROR(LOOKUP(2^15,SEARCH(Settings!$I$14:$I$83,AD99)/(Settings!$I$14:$I$83&lt;&gt;""),Settings!$J$14:$J$83),"Other"))))</f>
        <v/>
      </c>
      <c r="BH99">
        <f>IF($B99="","",IF(AE99="","Not rostered",IFERROR(INDEX(Settings!$C$14:$C$33,MATCH(AE99,Settings!$B$14:$B$33,0)),IFERROR(LOOKUP(2^15,SEARCH(Settings!$I$14:$I$83,AE99)/(Settings!$I$14:$I$83&lt;&gt;""),Settings!$J$14:$J$83),"Other"))))</f>
        <v/>
      </c>
      <c r="BI99">
        <f>IF($B99="","",IF(AF99="","Not rostered",IFERROR(INDEX(Settings!$C$14:$C$33,MATCH(AF99,Settings!$B$14:$B$33,0)),IFERROR(LOOKUP(2^15,SEARCH(Settings!$I$14:$I$83,AF99)/(Settings!$I$14:$I$83&lt;&gt;""),Settings!$J$14:$J$83),"Other"))))</f>
        <v/>
      </c>
      <c r="BJ99">
        <f>IF($B99="","",IF(AG99="","Not rostered",IFERROR(INDEX(Settings!$C$14:$C$33,MATCH(AG99,Settings!$B$14:$B$33,0)),IFERROR(LOOKUP(2^15,SEARCH(Settings!$I$14:$I$83,AG99)/(Settings!$I$14:$I$83&lt;&gt;""),Settings!$J$14:$J$83),"Other"))))</f>
        <v/>
      </c>
      <c r="BL99">
        <f>IF(OR($B99="",F99=""),"",IFERROR(INDEX(Settings!$D$14:$D$33,MATCH(F99,Settings!$B$14:$B$33,0))&amp;"",IFERROR(LOOKUP(2^15,SEARCH(Settings!$F$14:$F$43,F99)/(Settings!$F$14:$F$43&lt;&gt;""),Settings!$G$14:$G$43),"")))</f>
        <v/>
      </c>
      <c r="BM99">
        <f>IF(OR($B99="",G99=""),"",IFERROR(INDEX(Settings!$D$14:$D$33,MATCH(G99,Settings!$B$14:$B$33,0))&amp;"",IFERROR(LOOKUP(2^15,SEARCH(Settings!$F$14:$F$43,G99)/(Settings!$F$14:$F$43&lt;&gt;""),Settings!$G$14:$G$43),"")))</f>
        <v/>
      </c>
      <c r="BN99">
        <f>IF(OR($B99="",H99=""),"",IFERROR(INDEX(Settings!$D$14:$D$33,MATCH(H99,Settings!$B$14:$B$33,0))&amp;"",IFERROR(LOOKUP(2^15,SEARCH(Settings!$F$14:$F$43,H99)/(Settings!$F$14:$F$43&lt;&gt;""),Settings!$G$14:$G$43),"")))</f>
        <v/>
      </c>
      <c r="BO99">
        <f>IF(OR($B99="",I99=""),"",IFERROR(INDEX(Settings!$D$14:$D$33,MATCH(I99,Settings!$B$14:$B$33,0))&amp;"",IFERROR(LOOKUP(2^15,SEARCH(Settings!$F$14:$F$43,I99)/(Settings!$F$14:$F$43&lt;&gt;""),Settings!$G$14:$G$43),"")))</f>
        <v/>
      </c>
      <c r="BP99">
        <f>IF(OR($B99="",J99=""),"",IFERROR(INDEX(Settings!$D$14:$D$33,MATCH(J99,Settings!$B$14:$B$33,0))&amp;"",IFERROR(LOOKUP(2^15,SEARCH(Settings!$F$14:$F$43,J99)/(Settings!$F$14:$F$43&lt;&gt;""),Settings!$G$14:$G$43),"")))</f>
        <v/>
      </c>
      <c r="BQ99">
        <f>IF(OR($B99="",K99=""),"",IFERROR(INDEX(Settings!$D$14:$D$33,MATCH(K99,Settings!$B$14:$B$33,0))&amp;"",IFERROR(LOOKUP(2^15,SEARCH(Settings!$F$14:$F$43,K99)/(Settings!$F$14:$F$43&lt;&gt;""),Settings!$G$14:$G$43),"")))</f>
        <v/>
      </c>
      <c r="BR99">
        <f>IF(OR($B99="",L99=""),"",IFERROR(INDEX(Settings!$D$14:$D$33,MATCH(L99,Settings!$B$14:$B$33,0))&amp;"",IFERROR(LOOKUP(2^15,SEARCH(Settings!$F$14:$F$43,L99)/(Settings!$F$14:$F$43&lt;&gt;""),Settings!$G$14:$G$43),"")))</f>
        <v/>
      </c>
      <c r="BS99">
        <f>IF(OR($B99="",M99=""),"",IFERROR(INDEX(Settings!$D$14:$D$33,MATCH(M99,Settings!$B$14:$B$33,0))&amp;"",IFERROR(LOOKUP(2^15,SEARCH(Settings!$F$14:$F$43,M99)/(Settings!$F$14:$F$43&lt;&gt;""),Settings!$G$14:$G$43),"")))</f>
        <v/>
      </c>
      <c r="BT99">
        <f>IF(OR($B99="",N99=""),"",IFERROR(INDEX(Settings!$D$14:$D$33,MATCH(N99,Settings!$B$14:$B$33,0))&amp;"",IFERROR(LOOKUP(2^15,SEARCH(Settings!$F$14:$F$43,N99)/(Settings!$F$14:$F$43&lt;&gt;""),Settings!$G$14:$G$43),"")))</f>
        <v/>
      </c>
      <c r="BU99">
        <f>IF(OR($B99="",O99=""),"",IFERROR(INDEX(Settings!$D$14:$D$33,MATCH(O99,Settings!$B$14:$B$33,0))&amp;"",IFERROR(LOOKUP(2^15,SEARCH(Settings!$F$14:$F$43,O99)/(Settings!$F$14:$F$43&lt;&gt;""),Settings!$G$14:$G$43),"")))</f>
        <v/>
      </c>
      <c r="BV99">
        <f>IF(OR($B99="",P99=""),"",IFERROR(INDEX(Settings!$D$14:$D$33,MATCH(P99,Settings!$B$14:$B$33,0))&amp;"",IFERROR(LOOKUP(2^15,SEARCH(Settings!$F$14:$F$43,P99)/(Settings!$F$14:$F$43&lt;&gt;""),Settings!$G$14:$G$43),"")))</f>
        <v/>
      </c>
      <c r="BW99">
        <f>IF(OR($B99="",Q99=""),"",IFERROR(INDEX(Settings!$D$14:$D$33,MATCH(Q99,Settings!$B$14:$B$33,0))&amp;"",IFERROR(LOOKUP(2^15,SEARCH(Settings!$F$14:$F$43,Q99)/(Settings!$F$14:$F$43&lt;&gt;""),Settings!$G$14:$G$43),"")))</f>
        <v/>
      </c>
      <c r="BX99">
        <f>IF(OR($B99="",R99=""),"",IFERROR(INDEX(Settings!$D$14:$D$33,MATCH(R99,Settings!$B$14:$B$33,0))&amp;"",IFERROR(LOOKUP(2^15,SEARCH(Settings!$F$14:$F$43,R99)/(Settings!$F$14:$F$43&lt;&gt;""),Settings!$G$14:$G$43),"")))</f>
        <v/>
      </c>
      <c r="BY99">
        <f>IF(OR($B99="",S99=""),"",IFERROR(INDEX(Settings!$D$14:$D$33,MATCH(S99,Settings!$B$14:$B$33,0))&amp;"",IFERROR(LOOKUP(2^15,SEARCH(Settings!$F$14:$F$43,S99)/(Settings!$F$14:$F$43&lt;&gt;""),Settings!$G$14:$G$43),"")))</f>
        <v/>
      </c>
      <c r="BZ99">
        <f>IF(OR($B99="",T99=""),"",IFERROR(INDEX(Settings!$D$14:$D$33,MATCH(T99,Settings!$B$14:$B$33,0))&amp;"",IFERROR(LOOKUP(2^15,SEARCH(Settings!$F$14:$F$43,T99)/(Settings!$F$14:$F$43&lt;&gt;""),Settings!$G$14:$G$43),"")))</f>
        <v/>
      </c>
      <c r="CA99">
        <f>IF(OR($B99="",U99=""),"",IFERROR(INDEX(Settings!$D$14:$D$33,MATCH(U99,Settings!$B$14:$B$33,0))&amp;"",IFERROR(LOOKUP(2^15,SEARCH(Settings!$F$14:$F$43,U99)/(Settings!$F$14:$F$43&lt;&gt;""),Settings!$G$14:$G$43),"")))</f>
        <v/>
      </c>
      <c r="CB99">
        <f>IF(OR($B99="",V99=""),"",IFERROR(INDEX(Settings!$D$14:$D$33,MATCH(V99,Settings!$B$14:$B$33,0))&amp;"",IFERROR(LOOKUP(2^15,SEARCH(Settings!$F$14:$F$43,V99)/(Settings!$F$14:$F$43&lt;&gt;""),Settings!$G$14:$G$43),"")))</f>
        <v/>
      </c>
      <c r="CC99">
        <f>IF(OR($B99="",W99=""),"",IFERROR(INDEX(Settings!$D$14:$D$33,MATCH(W99,Settings!$B$14:$B$33,0))&amp;"",IFERROR(LOOKUP(2^15,SEARCH(Settings!$F$14:$F$43,W99)/(Settings!$F$14:$F$43&lt;&gt;""),Settings!$G$14:$G$43),"")))</f>
        <v/>
      </c>
      <c r="CD99">
        <f>IF(OR($B99="",X99=""),"",IFERROR(INDEX(Settings!$D$14:$D$33,MATCH(X99,Settings!$B$14:$B$33,0))&amp;"",IFERROR(LOOKUP(2^15,SEARCH(Settings!$F$14:$F$43,X99)/(Settings!$F$14:$F$43&lt;&gt;""),Settings!$G$14:$G$43),"")))</f>
        <v/>
      </c>
      <c r="CE99">
        <f>IF(OR($B99="",Y99=""),"",IFERROR(INDEX(Settings!$D$14:$D$33,MATCH(Y99,Settings!$B$14:$B$33,0))&amp;"",IFERROR(LOOKUP(2^15,SEARCH(Settings!$F$14:$F$43,Y99)/(Settings!$F$14:$F$43&lt;&gt;""),Settings!$G$14:$G$43),"")))</f>
        <v/>
      </c>
      <c r="CF99">
        <f>IF(OR($B99="",Z99=""),"",IFERROR(INDEX(Settings!$D$14:$D$33,MATCH(Z99,Settings!$B$14:$B$33,0))&amp;"",IFERROR(LOOKUP(2^15,SEARCH(Settings!$F$14:$F$43,Z99)/(Settings!$F$14:$F$43&lt;&gt;""),Settings!$G$14:$G$43),"")))</f>
        <v/>
      </c>
      <c r="CG99">
        <f>IF(OR($B99="",AA99=""),"",IFERROR(INDEX(Settings!$D$14:$D$33,MATCH(AA99,Settings!$B$14:$B$33,0))&amp;"",IFERROR(LOOKUP(2^15,SEARCH(Settings!$F$14:$F$43,AA99)/(Settings!$F$14:$F$43&lt;&gt;""),Settings!$G$14:$G$43),"")))</f>
        <v/>
      </c>
      <c r="CH99">
        <f>IF(OR($B99="",AB99=""),"",IFERROR(INDEX(Settings!$D$14:$D$33,MATCH(AB99,Settings!$B$14:$B$33,0))&amp;"",IFERROR(LOOKUP(2^15,SEARCH(Settings!$F$14:$F$43,AB99)/(Settings!$F$14:$F$43&lt;&gt;""),Settings!$G$14:$G$43),"")))</f>
        <v/>
      </c>
      <c r="CI99">
        <f>IF(OR($B99="",AC99=""),"",IFERROR(INDEX(Settings!$D$14:$D$33,MATCH(AC99,Settings!$B$14:$B$33,0))&amp;"",IFERROR(LOOKUP(2^15,SEARCH(Settings!$F$14:$F$43,AC99)/(Settings!$F$14:$F$43&lt;&gt;""),Settings!$G$14:$G$43),"")))</f>
        <v/>
      </c>
      <c r="CJ99">
        <f>IF(OR($B99="",AD99=""),"",IFERROR(INDEX(Settings!$D$14:$D$33,MATCH(AD99,Settings!$B$14:$B$33,0))&amp;"",IFERROR(LOOKUP(2^15,SEARCH(Settings!$F$14:$F$43,AD99)/(Settings!$F$14:$F$43&lt;&gt;""),Settings!$G$14:$G$43),"")))</f>
        <v/>
      </c>
      <c r="CK99">
        <f>IF(OR($B99="",AE99=""),"",IFERROR(INDEX(Settings!$D$14:$D$33,MATCH(AE99,Settings!$B$14:$B$33,0))&amp;"",IFERROR(LOOKUP(2^15,SEARCH(Settings!$F$14:$F$43,AE99)/(Settings!$F$14:$F$43&lt;&gt;""),Settings!$G$14:$G$43),"")))</f>
        <v/>
      </c>
      <c r="CL99">
        <f>IF(OR($B99="",AF99=""),"",IFERROR(INDEX(Settings!$D$14:$D$33,MATCH(AF99,Settings!$B$14:$B$33,0))&amp;"",IFERROR(LOOKUP(2^15,SEARCH(Settings!$F$14:$F$43,AF99)/(Settings!$F$14:$F$43&lt;&gt;""),Settings!$G$14:$G$43),"")))</f>
        <v/>
      </c>
      <c r="CM99">
        <f>IF(OR($B99="",AG99=""),"",IFERROR(INDEX(Settings!$D$14:$D$33,MATCH(AG99,Settings!$B$14:$B$33,0))&amp;"",IFERROR(LOOKUP(2^15,SEARCH(Settings!$F$14:$F$43,AG99)/(Settings!$F$14:$F$43&lt;&gt;""),Settings!$G$14:$G$43),"")))</f>
        <v/>
      </c>
    </row>
    <row r="100">
      <c r="A100" t="n">
        <v>98</v>
      </c>
      <c r="B100">
        <f>IFERROR(INDEX(Index!$A$2:$A$202,MATCH(A100,Index!$E$2:$E$202,0)),"")</f>
        <v/>
      </c>
      <c r="D100">
        <f>IF($B100="","",IFERROR(MATCH("Travel*",AI100:BJ100,0),""))</f>
        <v/>
      </c>
      <c r="F100">
        <f>IF(OR($B100="",NOT(ISNUMBER(Settings!$C$9))),"",TRIM(SUBSTITUTE(SUBSTITUTE(INDEX('INPUT - Roster'!$S$1:$SV$206,$B100,Settings!$C$9+0)&amp;"",CHAR(10)," "),CHAR(160)," ")))</f>
        <v/>
      </c>
      <c r="G100">
        <f>IF(OR($B100="",NOT(ISNUMBER(Settings!$C$9))),"",TRIM(SUBSTITUTE(SUBSTITUTE(INDEX('INPUT - Roster'!$S$1:$SV$206,$B100,Settings!$C$9+1)&amp;"",CHAR(10)," "),CHAR(160)," ")))</f>
        <v/>
      </c>
      <c r="H100">
        <f>IF(OR($B100="",NOT(ISNUMBER(Settings!$C$9))),"",TRIM(SUBSTITUTE(SUBSTITUTE(INDEX('INPUT - Roster'!$S$1:$SV$206,$B100,Settings!$C$9+2)&amp;"",CHAR(10)," "),CHAR(160)," ")))</f>
        <v/>
      </c>
      <c r="I100">
        <f>IF(OR($B100="",NOT(ISNUMBER(Settings!$C$9))),"",TRIM(SUBSTITUTE(SUBSTITUTE(INDEX('INPUT - Roster'!$S$1:$SV$206,$B100,Settings!$C$9+3)&amp;"",CHAR(10)," "),CHAR(160)," ")))</f>
        <v/>
      </c>
      <c r="J100">
        <f>IF(OR($B100="",NOT(ISNUMBER(Settings!$C$9))),"",TRIM(SUBSTITUTE(SUBSTITUTE(INDEX('INPUT - Roster'!$S$1:$SV$206,$B100,Settings!$C$9+4)&amp;"",CHAR(10)," "),CHAR(160)," ")))</f>
        <v/>
      </c>
      <c r="K100">
        <f>IF(OR($B100="",NOT(ISNUMBER(Settings!$C$9))),"",TRIM(SUBSTITUTE(SUBSTITUTE(INDEX('INPUT - Roster'!$S$1:$SV$206,$B100,Settings!$C$9+5)&amp;"",CHAR(10)," "),CHAR(160)," ")))</f>
        <v/>
      </c>
      <c r="L100">
        <f>IF(OR($B100="",NOT(ISNUMBER(Settings!$C$9))),"",TRIM(SUBSTITUTE(SUBSTITUTE(INDEX('INPUT - Roster'!$S$1:$SV$206,$B100,Settings!$C$9+6)&amp;"",CHAR(10)," "),CHAR(160)," ")))</f>
        <v/>
      </c>
      <c r="M100">
        <f>IF(OR($B100="",NOT(ISNUMBER(Settings!$C$9))),"",TRIM(SUBSTITUTE(SUBSTITUTE(INDEX('INPUT - Roster'!$S$1:$SV$206,$B100,Settings!$C$9+7)&amp;"",CHAR(10)," "),CHAR(160)," ")))</f>
        <v/>
      </c>
      <c r="N100">
        <f>IF(OR($B100="",NOT(ISNUMBER(Settings!$C$9))),"",TRIM(SUBSTITUTE(SUBSTITUTE(INDEX('INPUT - Roster'!$S$1:$SV$206,$B100,Settings!$C$9+8)&amp;"",CHAR(10)," "),CHAR(160)," ")))</f>
        <v/>
      </c>
      <c r="O100">
        <f>IF(OR($B100="",NOT(ISNUMBER(Settings!$C$9))),"",TRIM(SUBSTITUTE(SUBSTITUTE(INDEX('INPUT - Roster'!$S$1:$SV$206,$B100,Settings!$C$9+9)&amp;"",CHAR(10)," "),CHAR(160)," ")))</f>
        <v/>
      </c>
      <c r="P100">
        <f>IF(OR($B100="",NOT(ISNUMBER(Settings!$C$9))),"",TRIM(SUBSTITUTE(SUBSTITUTE(INDEX('INPUT - Roster'!$S$1:$SV$206,$B100,Settings!$C$9+10)&amp;"",CHAR(10)," "),CHAR(160)," ")))</f>
        <v/>
      </c>
      <c r="Q100">
        <f>IF(OR($B100="",NOT(ISNUMBER(Settings!$C$9))),"",TRIM(SUBSTITUTE(SUBSTITUTE(INDEX('INPUT - Roster'!$S$1:$SV$206,$B100,Settings!$C$9+11)&amp;"",CHAR(10)," "),CHAR(160)," ")))</f>
        <v/>
      </c>
      <c r="R100">
        <f>IF(OR($B100="",NOT(ISNUMBER(Settings!$C$9))),"",TRIM(SUBSTITUTE(SUBSTITUTE(INDEX('INPUT - Roster'!$S$1:$SV$206,$B100,Settings!$C$9+12)&amp;"",CHAR(10)," "),CHAR(160)," ")))</f>
        <v/>
      </c>
      <c r="S100">
        <f>IF(OR($B100="",NOT(ISNUMBER(Settings!$C$9))),"",TRIM(SUBSTITUTE(SUBSTITUTE(INDEX('INPUT - Roster'!$S$1:$SV$206,$B100,Settings!$C$9+13)&amp;"",CHAR(10)," "),CHAR(160)," ")))</f>
        <v/>
      </c>
      <c r="T100">
        <f>IF(OR($B100="",NOT(ISNUMBER(Settings!$C$9))),"",TRIM(SUBSTITUTE(SUBSTITUTE(INDEX('INPUT - Roster'!$S$1:$SV$206,$B100,Settings!$C$9+14)&amp;"",CHAR(10)," "),CHAR(160)," ")))</f>
        <v/>
      </c>
      <c r="U100">
        <f>IF(OR($B100="",NOT(ISNUMBER(Settings!$C$9))),"",TRIM(SUBSTITUTE(SUBSTITUTE(INDEX('INPUT - Roster'!$S$1:$SV$206,$B100,Settings!$C$9+15)&amp;"",CHAR(10)," "),CHAR(160)," ")))</f>
        <v/>
      </c>
      <c r="V100">
        <f>IF(OR($B100="",NOT(ISNUMBER(Settings!$C$9))),"",TRIM(SUBSTITUTE(SUBSTITUTE(INDEX('INPUT - Roster'!$S$1:$SV$206,$B100,Settings!$C$9+16)&amp;"",CHAR(10)," "),CHAR(160)," ")))</f>
        <v/>
      </c>
      <c r="W100">
        <f>IF(OR($B100="",NOT(ISNUMBER(Settings!$C$9))),"",TRIM(SUBSTITUTE(SUBSTITUTE(INDEX('INPUT - Roster'!$S$1:$SV$206,$B100,Settings!$C$9+17)&amp;"",CHAR(10)," "),CHAR(160)," ")))</f>
        <v/>
      </c>
      <c r="X100">
        <f>IF(OR($B100="",NOT(ISNUMBER(Settings!$C$9))),"",TRIM(SUBSTITUTE(SUBSTITUTE(INDEX('INPUT - Roster'!$S$1:$SV$206,$B100,Settings!$C$9+18)&amp;"",CHAR(10)," "),CHAR(160)," ")))</f>
        <v/>
      </c>
      <c r="Y100">
        <f>IF(OR($B100="",NOT(ISNUMBER(Settings!$C$9))),"",TRIM(SUBSTITUTE(SUBSTITUTE(INDEX('INPUT - Roster'!$S$1:$SV$206,$B100,Settings!$C$9+19)&amp;"",CHAR(10)," "),CHAR(160)," ")))</f>
        <v/>
      </c>
      <c r="Z100">
        <f>IF(OR($B100="",NOT(ISNUMBER(Settings!$C$9))),"",TRIM(SUBSTITUTE(SUBSTITUTE(INDEX('INPUT - Roster'!$S$1:$SV$206,$B100,Settings!$C$9+20)&amp;"",CHAR(10)," "),CHAR(160)," ")))</f>
        <v/>
      </c>
      <c r="AA100">
        <f>IF(OR($B100="",NOT(ISNUMBER(Settings!$C$9))),"",TRIM(SUBSTITUTE(SUBSTITUTE(INDEX('INPUT - Roster'!$S$1:$SV$206,$B100,Settings!$C$9+21)&amp;"",CHAR(10)," "),CHAR(160)," ")))</f>
        <v/>
      </c>
      <c r="AB100">
        <f>IF(OR($B100="",NOT(ISNUMBER(Settings!$C$9))),"",TRIM(SUBSTITUTE(SUBSTITUTE(INDEX('INPUT - Roster'!$S$1:$SV$206,$B100,Settings!$C$9+22)&amp;"",CHAR(10)," "),CHAR(160)," ")))</f>
        <v/>
      </c>
      <c r="AC100">
        <f>IF(OR($B100="",NOT(ISNUMBER(Settings!$C$9))),"",TRIM(SUBSTITUTE(SUBSTITUTE(INDEX('INPUT - Roster'!$S$1:$SV$206,$B100,Settings!$C$9+23)&amp;"",CHAR(10)," "),CHAR(160)," ")))</f>
        <v/>
      </c>
      <c r="AD100">
        <f>IF(OR($B100="",NOT(ISNUMBER(Settings!$C$9))),"",TRIM(SUBSTITUTE(SUBSTITUTE(INDEX('INPUT - Roster'!$S$1:$SV$206,$B100,Settings!$C$9+24)&amp;"",CHAR(10)," "),CHAR(160)," ")))</f>
        <v/>
      </c>
      <c r="AE100">
        <f>IF(OR($B100="",NOT(ISNUMBER(Settings!$C$9))),"",TRIM(SUBSTITUTE(SUBSTITUTE(INDEX('INPUT - Roster'!$S$1:$SV$206,$B100,Settings!$C$9+25)&amp;"",CHAR(10)," "),CHAR(160)," ")))</f>
        <v/>
      </c>
      <c r="AF100">
        <f>IF(OR($B100="",NOT(ISNUMBER(Settings!$C$9))),"",TRIM(SUBSTITUTE(SUBSTITUTE(INDEX('INPUT - Roster'!$S$1:$SV$206,$B100,Settings!$C$9+26)&amp;"",CHAR(10)," "),CHAR(160)," ")))</f>
        <v/>
      </c>
      <c r="AG100">
        <f>IF(OR($B100="",NOT(ISNUMBER(Settings!$C$9))),"",TRIM(SUBSTITUTE(SUBSTITUTE(INDEX('INPUT - Roster'!$S$1:$SV$206,$B100,Settings!$C$9+27)&amp;"",CHAR(10)," "),CHAR(160)," ")))</f>
        <v/>
      </c>
      <c r="AI100">
        <f>IF($B100="","",IF(F100="","Not rostered",IFERROR(INDEX(Settings!$C$14:$C$33,MATCH(F100,Settings!$B$14:$B$33,0)),IFERROR(LOOKUP(2^15,SEARCH(Settings!$I$14:$I$83,F100)/(Settings!$I$14:$I$83&lt;&gt;""),Settings!$J$14:$J$83),"Other"))))</f>
        <v/>
      </c>
      <c r="AJ100">
        <f>IF($B100="","",IF(G100="","Not rostered",IFERROR(INDEX(Settings!$C$14:$C$33,MATCH(G100,Settings!$B$14:$B$33,0)),IFERROR(LOOKUP(2^15,SEARCH(Settings!$I$14:$I$83,G100)/(Settings!$I$14:$I$83&lt;&gt;""),Settings!$J$14:$J$83),"Other"))))</f>
        <v/>
      </c>
      <c r="AK100">
        <f>IF($B100="","",IF(H100="","Not rostered",IFERROR(INDEX(Settings!$C$14:$C$33,MATCH(H100,Settings!$B$14:$B$33,0)),IFERROR(LOOKUP(2^15,SEARCH(Settings!$I$14:$I$83,H100)/(Settings!$I$14:$I$83&lt;&gt;""),Settings!$J$14:$J$83),"Other"))))</f>
        <v/>
      </c>
      <c r="AL100">
        <f>IF($B100="","",IF(I100="","Not rostered",IFERROR(INDEX(Settings!$C$14:$C$33,MATCH(I100,Settings!$B$14:$B$33,0)),IFERROR(LOOKUP(2^15,SEARCH(Settings!$I$14:$I$83,I100)/(Settings!$I$14:$I$83&lt;&gt;""),Settings!$J$14:$J$83),"Other"))))</f>
        <v/>
      </c>
      <c r="AM100">
        <f>IF($B100="","",IF(J100="","Not rostered",IFERROR(INDEX(Settings!$C$14:$C$33,MATCH(J100,Settings!$B$14:$B$33,0)),IFERROR(LOOKUP(2^15,SEARCH(Settings!$I$14:$I$83,J100)/(Settings!$I$14:$I$83&lt;&gt;""),Settings!$J$14:$J$83),"Other"))))</f>
        <v/>
      </c>
      <c r="AN100">
        <f>IF($B100="","",IF(K100="","Not rostered",IFERROR(INDEX(Settings!$C$14:$C$33,MATCH(K100,Settings!$B$14:$B$33,0)),IFERROR(LOOKUP(2^15,SEARCH(Settings!$I$14:$I$83,K100)/(Settings!$I$14:$I$83&lt;&gt;""),Settings!$J$14:$J$83),"Other"))))</f>
        <v/>
      </c>
      <c r="AO100">
        <f>IF($B100="","",IF(L100="","Not rostered",IFERROR(INDEX(Settings!$C$14:$C$33,MATCH(L100,Settings!$B$14:$B$33,0)),IFERROR(LOOKUP(2^15,SEARCH(Settings!$I$14:$I$83,L100)/(Settings!$I$14:$I$83&lt;&gt;""),Settings!$J$14:$J$83),"Other"))))</f>
        <v/>
      </c>
      <c r="AP100">
        <f>IF($B100="","",IF(M100="","Not rostered",IFERROR(INDEX(Settings!$C$14:$C$33,MATCH(M100,Settings!$B$14:$B$33,0)),IFERROR(LOOKUP(2^15,SEARCH(Settings!$I$14:$I$83,M100)/(Settings!$I$14:$I$83&lt;&gt;""),Settings!$J$14:$J$83),"Other"))))</f>
        <v/>
      </c>
      <c r="AQ100">
        <f>IF($B100="","",IF(N100="","Not rostered",IFERROR(INDEX(Settings!$C$14:$C$33,MATCH(N100,Settings!$B$14:$B$33,0)),IFERROR(LOOKUP(2^15,SEARCH(Settings!$I$14:$I$83,N100)/(Settings!$I$14:$I$83&lt;&gt;""),Settings!$J$14:$J$83),"Other"))))</f>
        <v/>
      </c>
      <c r="AR100">
        <f>IF($B100="","",IF(O100="","Not rostered",IFERROR(INDEX(Settings!$C$14:$C$33,MATCH(O100,Settings!$B$14:$B$33,0)),IFERROR(LOOKUP(2^15,SEARCH(Settings!$I$14:$I$83,O100)/(Settings!$I$14:$I$83&lt;&gt;""),Settings!$J$14:$J$83),"Other"))))</f>
        <v/>
      </c>
      <c r="AS100">
        <f>IF($B100="","",IF(P100="","Not rostered",IFERROR(INDEX(Settings!$C$14:$C$33,MATCH(P100,Settings!$B$14:$B$33,0)),IFERROR(LOOKUP(2^15,SEARCH(Settings!$I$14:$I$83,P100)/(Settings!$I$14:$I$83&lt;&gt;""),Settings!$J$14:$J$83),"Other"))))</f>
        <v/>
      </c>
      <c r="AT100">
        <f>IF($B100="","",IF(Q100="","Not rostered",IFERROR(INDEX(Settings!$C$14:$C$33,MATCH(Q100,Settings!$B$14:$B$33,0)),IFERROR(LOOKUP(2^15,SEARCH(Settings!$I$14:$I$83,Q100)/(Settings!$I$14:$I$83&lt;&gt;""),Settings!$J$14:$J$83),"Other"))))</f>
        <v/>
      </c>
      <c r="AU100">
        <f>IF($B100="","",IF(R100="","Not rostered",IFERROR(INDEX(Settings!$C$14:$C$33,MATCH(R100,Settings!$B$14:$B$33,0)),IFERROR(LOOKUP(2^15,SEARCH(Settings!$I$14:$I$83,R100)/(Settings!$I$14:$I$83&lt;&gt;""),Settings!$J$14:$J$83),"Other"))))</f>
        <v/>
      </c>
      <c r="AV100">
        <f>IF($B100="","",IF(S100="","Not rostered",IFERROR(INDEX(Settings!$C$14:$C$33,MATCH(S100,Settings!$B$14:$B$33,0)),IFERROR(LOOKUP(2^15,SEARCH(Settings!$I$14:$I$83,S100)/(Settings!$I$14:$I$83&lt;&gt;""),Settings!$J$14:$J$83),"Other"))))</f>
        <v/>
      </c>
      <c r="AW100">
        <f>IF($B100="","",IF(T100="","Not rostered",IFERROR(INDEX(Settings!$C$14:$C$33,MATCH(T100,Settings!$B$14:$B$33,0)),IFERROR(LOOKUP(2^15,SEARCH(Settings!$I$14:$I$83,T100)/(Settings!$I$14:$I$83&lt;&gt;""),Settings!$J$14:$J$83),"Other"))))</f>
        <v/>
      </c>
      <c r="AX100">
        <f>IF($B100="","",IF(U100="","Not rostered",IFERROR(INDEX(Settings!$C$14:$C$33,MATCH(U100,Settings!$B$14:$B$33,0)),IFERROR(LOOKUP(2^15,SEARCH(Settings!$I$14:$I$83,U100)/(Settings!$I$14:$I$83&lt;&gt;""),Settings!$J$14:$J$83),"Other"))))</f>
        <v/>
      </c>
      <c r="AY100">
        <f>IF($B100="","",IF(V100="","Not rostered",IFERROR(INDEX(Settings!$C$14:$C$33,MATCH(V100,Settings!$B$14:$B$33,0)),IFERROR(LOOKUP(2^15,SEARCH(Settings!$I$14:$I$83,V100)/(Settings!$I$14:$I$83&lt;&gt;""),Settings!$J$14:$J$83),"Other"))))</f>
        <v/>
      </c>
      <c r="AZ100">
        <f>IF($B100="","",IF(W100="","Not rostered",IFERROR(INDEX(Settings!$C$14:$C$33,MATCH(W100,Settings!$B$14:$B$33,0)),IFERROR(LOOKUP(2^15,SEARCH(Settings!$I$14:$I$83,W100)/(Settings!$I$14:$I$83&lt;&gt;""),Settings!$J$14:$J$83),"Other"))))</f>
        <v/>
      </c>
      <c r="BA100">
        <f>IF($B100="","",IF(X100="","Not rostered",IFERROR(INDEX(Settings!$C$14:$C$33,MATCH(X100,Settings!$B$14:$B$33,0)),IFERROR(LOOKUP(2^15,SEARCH(Settings!$I$14:$I$83,X100)/(Settings!$I$14:$I$83&lt;&gt;""),Settings!$J$14:$J$83),"Other"))))</f>
        <v/>
      </c>
      <c r="BB100">
        <f>IF($B100="","",IF(Y100="","Not rostered",IFERROR(INDEX(Settings!$C$14:$C$33,MATCH(Y100,Settings!$B$14:$B$33,0)),IFERROR(LOOKUP(2^15,SEARCH(Settings!$I$14:$I$83,Y100)/(Settings!$I$14:$I$83&lt;&gt;""),Settings!$J$14:$J$83),"Other"))))</f>
        <v/>
      </c>
      <c r="BC100">
        <f>IF($B100="","",IF(Z100="","Not rostered",IFERROR(INDEX(Settings!$C$14:$C$33,MATCH(Z100,Settings!$B$14:$B$33,0)),IFERROR(LOOKUP(2^15,SEARCH(Settings!$I$14:$I$83,Z100)/(Settings!$I$14:$I$83&lt;&gt;""),Settings!$J$14:$J$83),"Other"))))</f>
        <v/>
      </c>
      <c r="BD100">
        <f>IF($B100="","",IF(AA100="","Not rostered",IFERROR(INDEX(Settings!$C$14:$C$33,MATCH(AA100,Settings!$B$14:$B$33,0)),IFERROR(LOOKUP(2^15,SEARCH(Settings!$I$14:$I$83,AA100)/(Settings!$I$14:$I$83&lt;&gt;""),Settings!$J$14:$J$83),"Other"))))</f>
        <v/>
      </c>
      <c r="BE100">
        <f>IF($B100="","",IF(AB100="","Not rostered",IFERROR(INDEX(Settings!$C$14:$C$33,MATCH(AB100,Settings!$B$14:$B$33,0)),IFERROR(LOOKUP(2^15,SEARCH(Settings!$I$14:$I$83,AB100)/(Settings!$I$14:$I$83&lt;&gt;""),Settings!$J$14:$J$83),"Other"))))</f>
        <v/>
      </c>
      <c r="BF100">
        <f>IF($B100="","",IF(AC100="","Not rostered",IFERROR(INDEX(Settings!$C$14:$C$33,MATCH(AC100,Settings!$B$14:$B$33,0)),IFERROR(LOOKUP(2^15,SEARCH(Settings!$I$14:$I$83,AC100)/(Settings!$I$14:$I$83&lt;&gt;""),Settings!$J$14:$J$83),"Other"))))</f>
        <v/>
      </c>
      <c r="BG100">
        <f>IF($B100="","",IF(AD100="","Not rostered",IFERROR(INDEX(Settings!$C$14:$C$33,MATCH(AD100,Settings!$B$14:$B$33,0)),IFERROR(LOOKUP(2^15,SEARCH(Settings!$I$14:$I$83,AD100)/(Settings!$I$14:$I$83&lt;&gt;""),Settings!$J$14:$J$83),"Other"))))</f>
        <v/>
      </c>
      <c r="BH100">
        <f>IF($B100="","",IF(AE100="","Not rostered",IFERROR(INDEX(Settings!$C$14:$C$33,MATCH(AE100,Settings!$B$14:$B$33,0)),IFERROR(LOOKUP(2^15,SEARCH(Settings!$I$14:$I$83,AE100)/(Settings!$I$14:$I$83&lt;&gt;""),Settings!$J$14:$J$83),"Other"))))</f>
        <v/>
      </c>
      <c r="BI100">
        <f>IF($B100="","",IF(AF100="","Not rostered",IFERROR(INDEX(Settings!$C$14:$C$33,MATCH(AF100,Settings!$B$14:$B$33,0)),IFERROR(LOOKUP(2^15,SEARCH(Settings!$I$14:$I$83,AF100)/(Settings!$I$14:$I$83&lt;&gt;""),Settings!$J$14:$J$83),"Other"))))</f>
        <v/>
      </c>
      <c r="BJ100">
        <f>IF($B100="","",IF(AG100="","Not rostered",IFERROR(INDEX(Settings!$C$14:$C$33,MATCH(AG100,Settings!$B$14:$B$33,0)),IFERROR(LOOKUP(2^15,SEARCH(Settings!$I$14:$I$83,AG100)/(Settings!$I$14:$I$83&lt;&gt;""),Settings!$J$14:$J$83),"Other"))))</f>
        <v/>
      </c>
      <c r="BL100">
        <f>IF(OR($B100="",F100=""),"",IFERROR(INDEX(Settings!$D$14:$D$33,MATCH(F100,Settings!$B$14:$B$33,0))&amp;"",IFERROR(LOOKUP(2^15,SEARCH(Settings!$F$14:$F$43,F100)/(Settings!$F$14:$F$43&lt;&gt;""),Settings!$G$14:$G$43),"")))</f>
        <v/>
      </c>
      <c r="BM100">
        <f>IF(OR($B100="",G100=""),"",IFERROR(INDEX(Settings!$D$14:$D$33,MATCH(G100,Settings!$B$14:$B$33,0))&amp;"",IFERROR(LOOKUP(2^15,SEARCH(Settings!$F$14:$F$43,G100)/(Settings!$F$14:$F$43&lt;&gt;""),Settings!$G$14:$G$43),"")))</f>
        <v/>
      </c>
      <c r="BN100">
        <f>IF(OR($B100="",H100=""),"",IFERROR(INDEX(Settings!$D$14:$D$33,MATCH(H100,Settings!$B$14:$B$33,0))&amp;"",IFERROR(LOOKUP(2^15,SEARCH(Settings!$F$14:$F$43,H100)/(Settings!$F$14:$F$43&lt;&gt;""),Settings!$G$14:$G$43),"")))</f>
        <v/>
      </c>
      <c r="BO100">
        <f>IF(OR($B100="",I100=""),"",IFERROR(INDEX(Settings!$D$14:$D$33,MATCH(I100,Settings!$B$14:$B$33,0))&amp;"",IFERROR(LOOKUP(2^15,SEARCH(Settings!$F$14:$F$43,I100)/(Settings!$F$14:$F$43&lt;&gt;""),Settings!$G$14:$G$43),"")))</f>
        <v/>
      </c>
      <c r="BP100">
        <f>IF(OR($B100="",J100=""),"",IFERROR(INDEX(Settings!$D$14:$D$33,MATCH(J100,Settings!$B$14:$B$33,0))&amp;"",IFERROR(LOOKUP(2^15,SEARCH(Settings!$F$14:$F$43,J100)/(Settings!$F$14:$F$43&lt;&gt;""),Settings!$G$14:$G$43),"")))</f>
        <v/>
      </c>
      <c r="BQ100">
        <f>IF(OR($B100="",K100=""),"",IFERROR(INDEX(Settings!$D$14:$D$33,MATCH(K100,Settings!$B$14:$B$33,0))&amp;"",IFERROR(LOOKUP(2^15,SEARCH(Settings!$F$14:$F$43,K100)/(Settings!$F$14:$F$43&lt;&gt;""),Settings!$G$14:$G$43),"")))</f>
        <v/>
      </c>
      <c r="BR100">
        <f>IF(OR($B100="",L100=""),"",IFERROR(INDEX(Settings!$D$14:$D$33,MATCH(L100,Settings!$B$14:$B$33,0))&amp;"",IFERROR(LOOKUP(2^15,SEARCH(Settings!$F$14:$F$43,L100)/(Settings!$F$14:$F$43&lt;&gt;""),Settings!$G$14:$G$43),"")))</f>
        <v/>
      </c>
      <c r="BS100">
        <f>IF(OR($B100="",M100=""),"",IFERROR(INDEX(Settings!$D$14:$D$33,MATCH(M100,Settings!$B$14:$B$33,0))&amp;"",IFERROR(LOOKUP(2^15,SEARCH(Settings!$F$14:$F$43,M100)/(Settings!$F$14:$F$43&lt;&gt;""),Settings!$G$14:$G$43),"")))</f>
        <v/>
      </c>
      <c r="BT100">
        <f>IF(OR($B100="",N100=""),"",IFERROR(INDEX(Settings!$D$14:$D$33,MATCH(N100,Settings!$B$14:$B$33,0))&amp;"",IFERROR(LOOKUP(2^15,SEARCH(Settings!$F$14:$F$43,N100)/(Settings!$F$14:$F$43&lt;&gt;""),Settings!$G$14:$G$43),"")))</f>
        <v/>
      </c>
      <c r="BU100">
        <f>IF(OR($B100="",O100=""),"",IFERROR(INDEX(Settings!$D$14:$D$33,MATCH(O100,Settings!$B$14:$B$33,0))&amp;"",IFERROR(LOOKUP(2^15,SEARCH(Settings!$F$14:$F$43,O100)/(Settings!$F$14:$F$43&lt;&gt;""),Settings!$G$14:$G$43),"")))</f>
        <v/>
      </c>
      <c r="BV100">
        <f>IF(OR($B100="",P100=""),"",IFERROR(INDEX(Settings!$D$14:$D$33,MATCH(P100,Settings!$B$14:$B$33,0))&amp;"",IFERROR(LOOKUP(2^15,SEARCH(Settings!$F$14:$F$43,P100)/(Settings!$F$14:$F$43&lt;&gt;""),Settings!$G$14:$G$43),"")))</f>
        <v/>
      </c>
      <c r="BW100">
        <f>IF(OR($B100="",Q100=""),"",IFERROR(INDEX(Settings!$D$14:$D$33,MATCH(Q100,Settings!$B$14:$B$33,0))&amp;"",IFERROR(LOOKUP(2^15,SEARCH(Settings!$F$14:$F$43,Q100)/(Settings!$F$14:$F$43&lt;&gt;""),Settings!$G$14:$G$43),"")))</f>
        <v/>
      </c>
      <c r="BX100">
        <f>IF(OR($B100="",R100=""),"",IFERROR(INDEX(Settings!$D$14:$D$33,MATCH(R100,Settings!$B$14:$B$33,0))&amp;"",IFERROR(LOOKUP(2^15,SEARCH(Settings!$F$14:$F$43,R100)/(Settings!$F$14:$F$43&lt;&gt;""),Settings!$G$14:$G$43),"")))</f>
        <v/>
      </c>
      <c r="BY100">
        <f>IF(OR($B100="",S100=""),"",IFERROR(INDEX(Settings!$D$14:$D$33,MATCH(S100,Settings!$B$14:$B$33,0))&amp;"",IFERROR(LOOKUP(2^15,SEARCH(Settings!$F$14:$F$43,S100)/(Settings!$F$14:$F$43&lt;&gt;""),Settings!$G$14:$G$43),"")))</f>
        <v/>
      </c>
      <c r="BZ100">
        <f>IF(OR($B100="",T100=""),"",IFERROR(INDEX(Settings!$D$14:$D$33,MATCH(T100,Settings!$B$14:$B$33,0))&amp;"",IFERROR(LOOKUP(2^15,SEARCH(Settings!$F$14:$F$43,T100)/(Settings!$F$14:$F$43&lt;&gt;""),Settings!$G$14:$G$43),"")))</f>
        <v/>
      </c>
      <c r="CA100">
        <f>IF(OR($B100="",U100=""),"",IFERROR(INDEX(Settings!$D$14:$D$33,MATCH(U100,Settings!$B$14:$B$33,0))&amp;"",IFERROR(LOOKUP(2^15,SEARCH(Settings!$F$14:$F$43,U100)/(Settings!$F$14:$F$43&lt;&gt;""),Settings!$G$14:$G$43),"")))</f>
        <v/>
      </c>
      <c r="CB100">
        <f>IF(OR($B100="",V100=""),"",IFERROR(INDEX(Settings!$D$14:$D$33,MATCH(V100,Settings!$B$14:$B$33,0))&amp;"",IFERROR(LOOKUP(2^15,SEARCH(Settings!$F$14:$F$43,V100)/(Settings!$F$14:$F$43&lt;&gt;""),Settings!$G$14:$G$43),"")))</f>
        <v/>
      </c>
      <c r="CC100">
        <f>IF(OR($B100="",W100=""),"",IFERROR(INDEX(Settings!$D$14:$D$33,MATCH(W100,Settings!$B$14:$B$33,0))&amp;"",IFERROR(LOOKUP(2^15,SEARCH(Settings!$F$14:$F$43,W100)/(Settings!$F$14:$F$43&lt;&gt;""),Settings!$G$14:$G$43),"")))</f>
        <v/>
      </c>
      <c r="CD100">
        <f>IF(OR($B100="",X100=""),"",IFERROR(INDEX(Settings!$D$14:$D$33,MATCH(X100,Settings!$B$14:$B$33,0))&amp;"",IFERROR(LOOKUP(2^15,SEARCH(Settings!$F$14:$F$43,X100)/(Settings!$F$14:$F$43&lt;&gt;""),Settings!$G$14:$G$43),"")))</f>
        <v/>
      </c>
      <c r="CE100">
        <f>IF(OR($B100="",Y100=""),"",IFERROR(INDEX(Settings!$D$14:$D$33,MATCH(Y100,Settings!$B$14:$B$33,0))&amp;"",IFERROR(LOOKUP(2^15,SEARCH(Settings!$F$14:$F$43,Y100)/(Settings!$F$14:$F$43&lt;&gt;""),Settings!$G$14:$G$43),"")))</f>
        <v/>
      </c>
      <c r="CF100">
        <f>IF(OR($B100="",Z100=""),"",IFERROR(INDEX(Settings!$D$14:$D$33,MATCH(Z100,Settings!$B$14:$B$33,0))&amp;"",IFERROR(LOOKUP(2^15,SEARCH(Settings!$F$14:$F$43,Z100)/(Settings!$F$14:$F$43&lt;&gt;""),Settings!$G$14:$G$43),"")))</f>
        <v/>
      </c>
      <c r="CG100">
        <f>IF(OR($B100="",AA100=""),"",IFERROR(INDEX(Settings!$D$14:$D$33,MATCH(AA100,Settings!$B$14:$B$33,0))&amp;"",IFERROR(LOOKUP(2^15,SEARCH(Settings!$F$14:$F$43,AA100)/(Settings!$F$14:$F$43&lt;&gt;""),Settings!$G$14:$G$43),"")))</f>
        <v/>
      </c>
      <c r="CH100">
        <f>IF(OR($B100="",AB100=""),"",IFERROR(INDEX(Settings!$D$14:$D$33,MATCH(AB100,Settings!$B$14:$B$33,0))&amp;"",IFERROR(LOOKUP(2^15,SEARCH(Settings!$F$14:$F$43,AB100)/(Settings!$F$14:$F$43&lt;&gt;""),Settings!$G$14:$G$43),"")))</f>
        <v/>
      </c>
      <c r="CI100">
        <f>IF(OR($B100="",AC100=""),"",IFERROR(INDEX(Settings!$D$14:$D$33,MATCH(AC100,Settings!$B$14:$B$33,0))&amp;"",IFERROR(LOOKUP(2^15,SEARCH(Settings!$F$14:$F$43,AC100)/(Settings!$F$14:$F$43&lt;&gt;""),Settings!$G$14:$G$43),"")))</f>
        <v/>
      </c>
      <c r="CJ100">
        <f>IF(OR($B100="",AD100=""),"",IFERROR(INDEX(Settings!$D$14:$D$33,MATCH(AD100,Settings!$B$14:$B$33,0))&amp;"",IFERROR(LOOKUP(2^15,SEARCH(Settings!$F$14:$F$43,AD100)/(Settings!$F$14:$F$43&lt;&gt;""),Settings!$G$14:$G$43),"")))</f>
        <v/>
      </c>
      <c r="CK100">
        <f>IF(OR($B100="",AE100=""),"",IFERROR(INDEX(Settings!$D$14:$D$33,MATCH(AE100,Settings!$B$14:$B$33,0))&amp;"",IFERROR(LOOKUP(2^15,SEARCH(Settings!$F$14:$F$43,AE100)/(Settings!$F$14:$F$43&lt;&gt;""),Settings!$G$14:$G$43),"")))</f>
        <v/>
      </c>
      <c r="CL100">
        <f>IF(OR($B100="",AF100=""),"",IFERROR(INDEX(Settings!$D$14:$D$33,MATCH(AF100,Settings!$B$14:$B$33,0))&amp;"",IFERROR(LOOKUP(2^15,SEARCH(Settings!$F$14:$F$43,AF100)/(Settings!$F$14:$F$43&lt;&gt;""),Settings!$G$14:$G$43),"")))</f>
        <v/>
      </c>
      <c r="CM100">
        <f>IF(OR($B100="",AG100=""),"",IFERROR(INDEX(Settings!$D$14:$D$33,MATCH(AG100,Settings!$B$14:$B$33,0))&amp;"",IFERROR(LOOKUP(2^15,SEARCH(Settings!$F$14:$F$43,AG100)/(Settings!$F$14:$F$43&lt;&gt;""),Settings!$G$14:$G$43),"")))</f>
        <v/>
      </c>
    </row>
    <row r="101">
      <c r="A101" t="n">
        <v>99</v>
      </c>
      <c r="B101">
        <f>IFERROR(INDEX(Index!$A$2:$A$202,MATCH(A101,Index!$E$2:$E$202,0)),"")</f>
        <v/>
      </c>
      <c r="D101">
        <f>IF($B101="","",IFERROR(MATCH("Travel*",AI101:BJ101,0),""))</f>
        <v/>
      </c>
      <c r="F101">
        <f>IF(OR($B101="",NOT(ISNUMBER(Settings!$C$9))),"",TRIM(SUBSTITUTE(SUBSTITUTE(INDEX('INPUT - Roster'!$S$1:$SV$206,$B101,Settings!$C$9+0)&amp;"",CHAR(10)," "),CHAR(160)," ")))</f>
        <v/>
      </c>
      <c r="G101">
        <f>IF(OR($B101="",NOT(ISNUMBER(Settings!$C$9))),"",TRIM(SUBSTITUTE(SUBSTITUTE(INDEX('INPUT - Roster'!$S$1:$SV$206,$B101,Settings!$C$9+1)&amp;"",CHAR(10)," "),CHAR(160)," ")))</f>
        <v/>
      </c>
      <c r="H101">
        <f>IF(OR($B101="",NOT(ISNUMBER(Settings!$C$9))),"",TRIM(SUBSTITUTE(SUBSTITUTE(INDEX('INPUT - Roster'!$S$1:$SV$206,$B101,Settings!$C$9+2)&amp;"",CHAR(10)," "),CHAR(160)," ")))</f>
        <v/>
      </c>
      <c r="I101">
        <f>IF(OR($B101="",NOT(ISNUMBER(Settings!$C$9))),"",TRIM(SUBSTITUTE(SUBSTITUTE(INDEX('INPUT - Roster'!$S$1:$SV$206,$B101,Settings!$C$9+3)&amp;"",CHAR(10)," "),CHAR(160)," ")))</f>
        <v/>
      </c>
      <c r="J101">
        <f>IF(OR($B101="",NOT(ISNUMBER(Settings!$C$9))),"",TRIM(SUBSTITUTE(SUBSTITUTE(INDEX('INPUT - Roster'!$S$1:$SV$206,$B101,Settings!$C$9+4)&amp;"",CHAR(10)," "),CHAR(160)," ")))</f>
        <v/>
      </c>
      <c r="K101">
        <f>IF(OR($B101="",NOT(ISNUMBER(Settings!$C$9))),"",TRIM(SUBSTITUTE(SUBSTITUTE(INDEX('INPUT - Roster'!$S$1:$SV$206,$B101,Settings!$C$9+5)&amp;"",CHAR(10)," "),CHAR(160)," ")))</f>
        <v/>
      </c>
      <c r="L101">
        <f>IF(OR($B101="",NOT(ISNUMBER(Settings!$C$9))),"",TRIM(SUBSTITUTE(SUBSTITUTE(INDEX('INPUT - Roster'!$S$1:$SV$206,$B101,Settings!$C$9+6)&amp;"",CHAR(10)," "),CHAR(160)," ")))</f>
        <v/>
      </c>
      <c r="M101">
        <f>IF(OR($B101="",NOT(ISNUMBER(Settings!$C$9))),"",TRIM(SUBSTITUTE(SUBSTITUTE(INDEX('INPUT - Roster'!$S$1:$SV$206,$B101,Settings!$C$9+7)&amp;"",CHAR(10)," "),CHAR(160)," ")))</f>
        <v/>
      </c>
      <c r="N101">
        <f>IF(OR($B101="",NOT(ISNUMBER(Settings!$C$9))),"",TRIM(SUBSTITUTE(SUBSTITUTE(INDEX('INPUT - Roster'!$S$1:$SV$206,$B101,Settings!$C$9+8)&amp;"",CHAR(10)," "),CHAR(160)," ")))</f>
        <v/>
      </c>
      <c r="O101">
        <f>IF(OR($B101="",NOT(ISNUMBER(Settings!$C$9))),"",TRIM(SUBSTITUTE(SUBSTITUTE(INDEX('INPUT - Roster'!$S$1:$SV$206,$B101,Settings!$C$9+9)&amp;"",CHAR(10)," "),CHAR(160)," ")))</f>
        <v/>
      </c>
      <c r="P101">
        <f>IF(OR($B101="",NOT(ISNUMBER(Settings!$C$9))),"",TRIM(SUBSTITUTE(SUBSTITUTE(INDEX('INPUT - Roster'!$S$1:$SV$206,$B101,Settings!$C$9+10)&amp;"",CHAR(10)," "),CHAR(160)," ")))</f>
        <v/>
      </c>
      <c r="Q101">
        <f>IF(OR($B101="",NOT(ISNUMBER(Settings!$C$9))),"",TRIM(SUBSTITUTE(SUBSTITUTE(INDEX('INPUT - Roster'!$S$1:$SV$206,$B101,Settings!$C$9+11)&amp;"",CHAR(10)," "),CHAR(160)," ")))</f>
        <v/>
      </c>
      <c r="R101">
        <f>IF(OR($B101="",NOT(ISNUMBER(Settings!$C$9))),"",TRIM(SUBSTITUTE(SUBSTITUTE(INDEX('INPUT - Roster'!$S$1:$SV$206,$B101,Settings!$C$9+12)&amp;"",CHAR(10)," "),CHAR(160)," ")))</f>
        <v/>
      </c>
      <c r="S101">
        <f>IF(OR($B101="",NOT(ISNUMBER(Settings!$C$9))),"",TRIM(SUBSTITUTE(SUBSTITUTE(INDEX('INPUT - Roster'!$S$1:$SV$206,$B101,Settings!$C$9+13)&amp;"",CHAR(10)," "),CHAR(160)," ")))</f>
        <v/>
      </c>
      <c r="T101">
        <f>IF(OR($B101="",NOT(ISNUMBER(Settings!$C$9))),"",TRIM(SUBSTITUTE(SUBSTITUTE(INDEX('INPUT - Roster'!$S$1:$SV$206,$B101,Settings!$C$9+14)&amp;"",CHAR(10)," "),CHAR(160)," ")))</f>
        <v/>
      </c>
      <c r="U101">
        <f>IF(OR($B101="",NOT(ISNUMBER(Settings!$C$9))),"",TRIM(SUBSTITUTE(SUBSTITUTE(INDEX('INPUT - Roster'!$S$1:$SV$206,$B101,Settings!$C$9+15)&amp;"",CHAR(10)," "),CHAR(160)," ")))</f>
        <v/>
      </c>
      <c r="V101">
        <f>IF(OR($B101="",NOT(ISNUMBER(Settings!$C$9))),"",TRIM(SUBSTITUTE(SUBSTITUTE(INDEX('INPUT - Roster'!$S$1:$SV$206,$B101,Settings!$C$9+16)&amp;"",CHAR(10)," "),CHAR(160)," ")))</f>
        <v/>
      </c>
      <c r="W101">
        <f>IF(OR($B101="",NOT(ISNUMBER(Settings!$C$9))),"",TRIM(SUBSTITUTE(SUBSTITUTE(INDEX('INPUT - Roster'!$S$1:$SV$206,$B101,Settings!$C$9+17)&amp;"",CHAR(10)," "),CHAR(160)," ")))</f>
        <v/>
      </c>
      <c r="X101">
        <f>IF(OR($B101="",NOT(ISNUMBER(Settings!$C$9))),"",TRIM(SUBSTITUTE(SUBSTITUTE(INDEX('INPUT - Roster'!$S$1:$SV$206,$B101,Settings!$C$9+18)&amp;"",CHAR(10)," "),CHAR(160)," ")))</f>
        <v/>
      </c>
      <c r="Y101">
        <f>IF(OR($B101="",NOT(ISNUMBER(Settings!$C$9))),"",TRIM(SUBSTITUTE(SUBSTITUTE(INDEX('INPUT - Roster'!$S$1:$SV$206,$B101,Settings!$C$9+19)&amp;"",CHAR(10)," "),CHAR(160)," ")))</f>
        <v/>
      </c>
      <c r="Z101">
        <f>IF(OR($B101="",NOT(ISNUMBER(Settings!$C$9))),"",TRIM(SUBSTITUTE(SUBSTITUTE(INDEX('INPUT - Roster'!$S$1:$SV$206,$B101,Settings!$C$9+20)&amp;"",CHAR(10)," "),CHAR(160)," ")))</f>
        <v/>
      </c>
      <c r="AA101">
        <f>IF(OR($B101="",NOT(ISNUMBER(Settings!$C$9))),"",TRIM(SUBSTITUTE(SUBSTITUTE(INDEX('INPUT - Roster'!$S$1:$SV$206,$B101,Settings!$C$9+21)&amp;"",CHAR(10)," "),CHAR(160)," ")))</f>
        <v/>
      </c>
      <c r="AB101">
        <f>IF(OR($B101="",NOT(ISNUMBER(Settings!$C$9))),"",TRIM(SUBSTITUTE(SUBSTITUTE(INDEX('INPUT - Roster'!$S$1:$SV$206,$B101,Settings!$C$9+22)&amp;"",CHAR(10)," "),CHAR(160)," ")))</f>
        <v/>
      </c>
      <c r="AC101">
        <f>IF(OR($B101="",NOT(ISNUMBER(Settings!$C$9))),"",TRIM(SUBSTITUTE(SUBSTITUTE(INDEX('INPUT - Roster'!$S$1:$SV$206,$B101,Settings!$C$9+23)&amp;"",CHAR(10)," "),CHAR(160)," ")))</f>
        <v/>
      </c>
      <c r="AD101">
        <f>IF(OR($B101="",NOT(ISNUMBER(Settings!$C$9))),"",TRIM(SUBSTITUTE(SUBSTITUTE(INDEX('INPUT - Roster'!$S$1:$SV$206,$B101,Settings!$C$9+24)&amp;"",CHAR(10)," "),CHAR(160)," ")))</f>
        <v/>
      </c>
      <c r="AE101">
        <f>IF(OR($B101="",NOT(ISNUMBER(Settings!$C$9))),"",TRIM(SUBSTITUTE(SUBSTITUTE(INDEX('INPUT - Roster'!$S$1:$SV$206,$B101,Settings!$C$9+25)&amp;"",CHAR(10)," "),CHAR(160)," ")))</f>
        <v/>
      </c>
      <c r="AF101">
        <f>IF(OR($B101="",NOT(ISNUMBER(Settings!$C$9))),"",TRIM(SUBSTITUTE(SUBSTITUTE(INDEX('INPUT - Roster'!$S$1:$SV$206,$B101,Settings!$C$9+26)&amp;"",CHAR(10)," "),CHAR(160)," ")))</f>
        <v/>
      </c>
      <c r="AG101">
        <f>IF(OR($B101="",NOT(ISNUMBER(Settings!$C$9))),"",TRIM(SUBSTITUTE(SUBSTITUTE(INDEX('INPUT - Roster'!$S$1:$SV$206,$B101,Settings!$C$9+27)&amp;"",CHAR(10)," "),CHAR(160)," ")))</f>
        <v/>
      </c>
      <c r="AI101">
        <f>IF($B101="","",IF(F101="","Not rostered",IFERROR(INDEX(Settings!$C$14:$C$33,MATCH(F101,Settings!$B$14:$B$33,0)),IFERROR(LOOKUP(2^15,SEARCH(Settings!$I$14:$I$83,F101)/(Settings!$I$14:$I$83&lt;&gt;""),Settings!$J$14:$J$83),"Other"))))</f>
        <v/>
      </c>
      <c r="AJ101">
        <f>IF($B101="","",IF(G101="","Not rostered",IFERROR(INDEX(Settings!$C$14:$C$33,MATCH(G101,Settings!$B$14:$B$33,0)),IFERROR(LOOKUP(2^15,SEARCH(Settings!$I$14:$I$83,G101)/(Settings!$I$14:$I$83&lt;&gt;""),Settings!$J$14:$J$83),"Other"))))</f>
        <v/>
      </c>
      <c r="AK101">
        <f>IF($B101="","",IF(H101="","Not rostered",IFERROR(INDEX(Settings!$C$14:$C$33,MATCH(H101,Settings!$B$14:$B$33,0)),IFERROR(LOOKUP(2^15,SEARCH(Settings!$I$14:$I$83,H101)/(Settings!$I$14:$I$83&lt;&gt;""),Settings!$J$14:$J$83),"Other"))))</f>
        <v/>
      </c>
      <c r="AL101">
        <f>IF($B101="","",IF(I101="","Not rostered",IFERROR(INDEX(Settings!$C$14:$C$33,MATCH(I101,Settings!$B$14:$B$33,0)),IFERROR(LOOKUP(2^15,SEARCH(Settings!$I$14:$I$83,I101)/(Settings!$I$14:$I$83&lt;&gt;""),Settings!$J$14:$J$83),"Other"))))</f>
        <v/>
      </c>
      <c r="AM101">
        <f>IF($B101="","",IF(J101="","Not rostered",IFERROR(INDEX(Settings!$C$14:$C$33,MATCH(J101,Settings!$B$14:$B$33,0)),IFERROR(LOOKUP(2^15,SEARCH(Settings!$I$14:$I$83,J101)/(Settings!$I$14:$I$83&lt;&gt;""),Settings!$J$14:$J$83),"Other"))))</f>
        <v/>
      </c>
      <c r="AN101">
        <f>IF($B101="","",IF(K101="","Not rostered",IFERROR(INDEX(Settings!$C$14:$C$33,MATCH(K101,Settings!$B$14:$B$33,0)),IFERROR(LOOKUP(2^15,SEARCH(Settings!$I$14:$I$83,K101)/(Settings!$I$14:$I$83&lt;&gt;""),Settings!$J$14:$J$83),"Other"))))</f>
        <v/>
      </c>
      <c r="AO101">
        <f>IF($B101="","",IF(L101="","Not rostered",IFERROR(INDEX(Settings!$C$14:$C$33,MATCH(L101,Settings!$B$14:$B$33,0)),IFERROR(LOOKUP(2^15,SEARCH(Settings!$I$14:$I$83,L101)/(Settings!$I$14:$I$83&lt;&gt;""),Settings!$J$14:$J$83),"Other"))))</f>
        <v/>
      </c>
      <c r="AP101">
        <f>IF($B101="","",IF(M101="","Not rostered",IFERROR(INDEX(Settings!$C$14:$C$33,MATCH(M101,Settings!$B$14:$B$33,0)),IFERROR(LOOKUP(2^15,SEARCH(Settings!$I$14:$I$83,M101)/(Settings!$I$14:$I$83&lt;&gt;""),Settings!$J$14:$J$83),"Other"))))</f>
        <v/>
      </c>
      <c r="AQ101">
        <f>IF($B101="","",IF(N101="","Not rostered",IFERROR(INDEX(Settings!$C$14:$C$33,MATCH(N101,Settings!$B$14:$B$33,0)),IFERROR(LOOKUP(2^15,SEARCH(Settings!$I$14:$I$83,N101)/(Settings!$I$14:$I$83&lt;&gt;""),Settings!$J$14:$J$83),"Other"))))</f>
        <v/>
      </c>
      <c r="AR101">
        <f>IF($B101="","",IF(O101="","Not rostered",IFERROR(INDEX(Settings!$C$14:$C$33,MATCH(O101,Settings!$B$14:$B$33,0)),IFERROR(LOOKUP(2^15,SEARCH(Settings!$I$14:$I$83,O101)/(Settings!$I$14:$I$83&lt;&gt;""),Settings!$J$14:$J$83),"Other"))))</f>
        <v/>
      </c>
      <c r="AS101">
        <f>IF($B101="","",IF(P101="","Not rostered",IFERROR(INDEX(Settings!$C$14:$C$33,MATCH(P101,Settings!$B$14:$B$33,0)),IFERROR(LOOKUP(2^15,SEARCH(Settings!$I$14:$I$83,P101)/(Settings!$I$14:$I$83&lt;&gt;""),Settings!$J$14:$J$83),"Other"))))</f>
        <v/>
      </c>
      <c r="AT101">
        <f>IF($B101="","",IF(Q101="","Not rostered",IFERROR(INDEX(Settings!$C$14:$C$33,MATCH(Q101,Settings!$B$14:$B$33,0)),IFERROR(LOOKUP(2^15,SEARCH(Settings!$I$14:$I$83,Q101)/(Settings!$I$14:$I$83&lt;&gt;""),Settings!$J$14:$J$83),"Other"))))</f>
        <v/>
      </c>
      <c r="AU101">
        <f>IF($B101="","",IF(R101="","Not rostered",IFERROR(INDEX(Settings!$C$14:$C$33,MATCH(R101,Settings!$B$14:$B$33,0)),IFERROR(LOOKUP(2^15,SEARCH(Settings!$I$14:$I$83,R101)/(Settings!$I$14:$I$83&lt;&gt;""),Settings!$J$14:$J$83),"Other"))))</f>
        <v/>
      </c>
      <c r="AV101">
        <f>IF($B101="","",IF(S101="","Not rostered",IFERROR(INDEX(Settings!$C$14:$C$33,MATCH(S101,Settings!$B$14:$B$33,0)),IFERROR(LOOKUP(2^15,SEARCH(Settings!$I$14:$I$83,S101)/(Settings!$I$14:$I$83&lt;&gt;""),Settings!$J$14:$J$83),"Other"))))</f>
        <v/>
      </c>
      <c r="AW101">
        <f>IF($B101="","",IF(T101="","Not rostered",IFERROR(INDEX(Settings!$C$14:$C$33,MATCH(T101,Settings!$B$14:$B$33,0)),IFERROR(LOOKUP(2^15,SEARCH(Settings!$I$14:$I$83,T101)/(Settings!$I$14:$I$83&lt;&gt;""),Settings!$J$14:$J$83),"Other"))))</f>
        <v/>
      </c>
      <c r="AX101">
        <f>IF($B101="","",IF(U101="","Not rostered",IFERROR(INDEX(Settings!$C$14:$C$33,MATCH(U101,Settings!$B$14:$B$33,0)),IFERROR(LOOKUP(2^15,SEARCH(Settings!$I$14:$I$83,U101)/(Settings!$I$14:$I$83&lt;&gt;""),Settings!$J$14:$J$83),"Other"))))</f>
        <v/>
      </c>
      <c r="AY101">
        <f>IF($B101="","",IF(V101="","Not rostered",IFERROR(INDEX(Settings!$C$14:$C$33,MATCH(V101,Settings!$B$14:$B$33,0)),IFERROR(LOOKUP(2^15,SEARCH(Settings!$I$14:$I$83,V101)/(Settings!$I$14:$I$83&lt;&gt;""),Settings!$J$14:$J$83),"Other"))))</f>
        <v/>
      </c>
      <c r="AZ101">
        <f>IF($B101="","",IF(W101="","Not rostered",IFERROR(INDEX(Settings!$C$14:$C$33,MATCH(W101,Settings!$B$14:$B$33,0)),IFERROR(LOOKUP(2^15,SEARCH(Settings!$I$14:$I$83,W101)/(Settings!$I$14:$I$83&lt;&gt;""),Settings!$J$14:$J$83),"Other"))))</f>
        <v/>
      </c>
      <c r="BA101">
        <f>IF($B101="","",IF(X101="","Not rostered",IFERROR(INDEX(Settings!$C$14:$C$33,MATCH(X101,Settings!$B$14:$B$33,0)),IFERROR(LOOKUP(2^15,SEARCH(Settings!$I$14:$I$83,X101)/(Settings!$I$14:$I$83&lt;&gt;""),Settings!$J$14:$J$83),"Other"))))</f>
        <v/>
      </c>
      <c r="BB101">
        <f>IF($B101="","",IF(Y101="","Not rostered",IFERROR(INDEX(Settings!$C$14:$C$33,MATCH(Y101,Settings!$B$14:$B$33,0)),IFERROR(LOOKUP(2^15,SEARCH(Settings!$I$14:$I$83,Y101)/(Settings!$I$14:$I$83&lt;&gt;""),Settings!$J$14:$J$83),"Other"))))</f>
        <v/>
      </c>
      <c r="BC101">
        <f>IF($B101="","",IF(Z101="","Not rostered",IFERROR(INDEX(Settings!$C$14:$C$33,MATCH(Z101,Settings!$B$14:$B$33,0)),IFERROR(LOOKUP(2^15,SEARCH(Settings!$I$14:$I$83,Z101)/(Settings!$I$14:$I$83&lt;&gt;""),Settings!$J$14:$J$83),"Other"))))</f>
        <v/>
      </c>
      <c r="BD101">
        <f>IF($B101="","",IF(AA101="","Not rostered",IFERROR(INDEX(Settings!$C$14:$C$33,MATCH(AA101,Settings!$B$14:$B$33,0)),IFERROR(LOOKUP(2^15,SEARCH(Settings!$I$14:$I$83,AA101)/(Settings!$I$14:$I$83&lt;&gt;""),Settings!$J$14:$J$83),"Other"))))</f>
        <v/>
      </c>
      <c r="BE101">
        <f>IF($B101="","",IF(AB101="","Not rostered",IFERROR(INDEX(Settings!$C$14:$C$33,MATCH(AB101,Settings!$B$14:$B$33,0)),IFERROR(LOOKUP(2^15,SEARCH(Settings!$I$14:$I$83,AB101)/(Settings!$I$14:$I$83&lt;&gt;""),Settings!$J$14:$J$83),"Other"))))</f>
        <v/>
      </c>
      <c r="BF101">
        <f>IF($B101="","",IF(AC101="","Not rostered",IFERROR(INDEX(Settings!$C$14:$C$33,MATCH(AC101,Settings!$B$14:$B$33,0)),IFERROR(LOOKUP(2^15,SEARCH(Settings!$I$14:$I$83,AC101)/(Settings!$I$14:$I$83&lt;&gt;""),Settings!$J$14:$J$83),"Other"))))</f>
        <v/>
      </c>
      <c r="BG101">
        <f>IF($B101="","",IF(AD101="","Not rostered",IFERROR(INDEX(Settings!$C$14:$C$33,MATCH(AD101,Settings!$B$14:$B$33,0)),IFERROR(LOOKUP(2^15,SEARCH(Settings!$I$14:$I$83,AD101)/(Settings!$I$14:$I$83&lt;&gt;""),Settings!$J$14:$J$83),"Other"))))</f>
        <v/>
      </c>
      <c r="BH101">
        <f>IF($B101="","",IF(AE101="","Not rostered",IFERROR(INDEX(Settings!$C$14:$C$33,MATCH(AE101,Settings!$B$14:$B$33,0)),IFERROR(LOOKUP(2^15,SEARCH(Settings!$I$14:$I$83,AE101)/(Settings!$I$14:$I$83&lt;&gt;""),Settings!$J$14:$J$83),"Other"))))</f>
        <v/>
      </c>
      <c r="BI101">
        <f>IF($B101="","",IF(AF101="","Not rostered",IFERROR(INDEX(Settings!$C$14:$C$33,MATCH(AF101,Settings!$B$14:$B$33,0)),IFERROR(LOOKUP(2^15,SEARCH(Settings!$I$14:$I$83,AF101)/(Settings!$I$14:$I$83&lt;&gt;""),Settings!$J$14:$J$83),"Other"))))</f>
        <v/>
      </c>
      <c r="BJ101">
        <f>IF($B101="","",IF(AG101="","Not rostered",IFERROR(INDEX(Settings!$C$14:$C$33,MATCH(AG101,Settings!$B$14:$B$33,0)),IFERROR(LOOKUP(2^15,SEARCH(Settings!$I$14:$I$83,AG101)/(Settings!$I$14:$I$83&lt;&gt;""),Settings!$J$14:$J$83),"Other"))))</f>
        <v/>
      </c>
      <c r="BL101">
        <f>IF(OR($B101="",F101=""),"",IFERROR(INDEX(Settings!$D$14:$D$33,MATCH(F101,Settings!$B$14:$B$33,0))&amp;"",IFERROR(LOOKUP(2^15,SEARCH(Settings!$F$14:$F$43,F101)/(Settings!$F$14:$F$43&lt;&gt;""),Settings!$G$14:$G$43),"")))</f>
        <v/>
      </c>
      <c r="BM101">
        <f>IF(OR($B101="",G101=""),"",IFERROR(INDEX(Settings!$D$14:$D$33,MATCH(G101,Settings!$B$14:$B$33,0))&amp;"",IFERROR(LOOKUP(2^15,SEARCH(Settings!$F$14:$F$43,G101)/(Settings!$F$14:$F$43&lt;&gt;""),Settings!$G$14:$G$43),"")))</f>
        <v/>
      </c>
      <c r="BN101">
        <f>IF(OR($B101="",H101=""),"",IFERROR(INDEX(Settings!$D$14:$D$33,MATCH(H101,Settings!$B$14:$B$33,0))&amp;"",IFERROR(LOOKUP(2^15,SEARCH(Settings!$F$14:$F$43,H101)/(Settings!$F$14:$F$43&lt;&gt;""),Settings!$G$14:$G$43),"")))</f>
        <v/>
      </c>
      <c r="BO101">
        <f>IF(OR($B101="",I101=""),"",IFERROR(INDEX(Settings!$D$14:$D$33,MATCH(I101,Settings!$B$14:$B$33,0))&amp;"",IFERROR(LOOKUP(2^15,SEARCH(Settings!$F$14:$F$43,I101)/(Settings!$F$14:$F$43&lt;&gt;""),Settings!$G$14:$G$43),"")))</f>
        <v/>
      </c>
      <c r="BP101">
        <f>IF(OR($B101="",J101=""),"",IFERROR(INDEX(Settings!$D$14:$D$33,MATCH(J101,Settings!$B$14:$B$33,0))&amp;"",IFERROR(LOOKUP(2^15,SEARCH(Settings!$F$14:$F$43,J101)/(Settings!$F$14:$F$43&lt;&gt;""),Settings!$G$14:$G$43),"")))</f>
        <v/>
      </c>
      <c r="BQ101">
        <f>IF(OR($B101="",K101=""),"",IFERROR(INDEX(Settings!$D$14:$D$33,MATCH(K101,Settings!$B$14:$B$33,0))&amp;"",IFERROR(LOOKUP(2^15,SEARCH(Settings!$F$14:$F$43,K101)/(Settings!$F$14:$F$43&lt;&gt;""),Settings!$G$14:$G$43),"")))</f>
        <v/>
      </c>
      <c r="BR101">
        <f>IF(OR($B101="",L101=""),"",IFERROR(INDEX(Settings!$D$14:$D$33,MATCH(L101,Settings!$B$14:$B$33,0))&amp;"",IFERROR(LOOKUP(2^15,SEARCH(Settings!$F$14:$F$43,L101)/(Settings!$F$14:$F$43&lt;&gt;""),Settings!$G$14:$G$43),"")))</f>
        <v/>
      </c>
      <c r="BS101">
        <f>IF(OR($B101="",M101=""),"",IFERROR(INDEX(Settings!$D$14:$D$33,MATCH(M101,Settings!$B$14:$B$33,0))&amp;"",IFERROR(LOOKUP(2^15,SEARCH(Settings!$F$14:$F$43,M101)/(Settings!$F$14:$F$43&lt;&gt;""),Settings!$G$14:$G$43),"")))</f>
        <v/>
      </c>
      <c r="BT101">
        <f>IF(OR($B101="",N101=""),"",IFERROR(INDEX(Settings!$D$14:$D$33,MATCH(N101,Settings!$B$14:$B$33,0))&amp;"",IFERROR(LOOKUP(2^15,SEARCH(Settings!$F$14:$F$43,N101)/(Settings!$F$14:$F$43&lt;&gt;""),Settings!$G$14:$G$43),"")))</f>
        <v/>
      </c>
      <c r="BU101">
        <f>IF(OR($B101="",O101=""),"",IFERROR(INDEX(Settings!$D$14:$D$33,MATCH(O101,Settings!$B$14:$B$33,0))&amp;"",IFERROR(LOOKUP(2^15,SEARCH(Settings!$F$14:$F$43,O101)/(Settings!$F$14:$F$43&lt;&gt;""),Settings!$G$14:$G$43),"")))</f>
        <v/>
      </c>
      <c r="BV101">
        <f>IF(OR($B101="",P101=""),"",IFERROR(INDEX(Settings!$D$14:$D$33,MATCH(P101,Settings!$B$14:$B$33,0))&amp;"",IFERROR(LOOKUP(2^15,SEARCH(Settings!$F$14:$F$43,P101)/(Settings!$F$14:$F$43&lt;&gt;""),Settings!$G$14:$G$43),"")))</f>
        <v/>
      </c>
      <c r="BW101">
        <f>IF(OR($B101="",Q101=""),"",IFERROR(INDEX(Settings!$D$14:$D$33,MATCH(Q101,Settings!$B$14:$B$33,0))&amp;"",IFERROR(LOOKUP(2^15,SEARCH(Settings!$F$14:$F$43,Q101)/(Settings!$F$14:$F$43&lt;&gt;""),Settings!$G$14:$G$43),"")))</f>
        <v/>
      </c>
      <c r="BX101">
        <f>IF(OR($B101="",R101=""),"",IFERROR(INDEX(Settings!$D$14:$D$33,MATCH(R101,Settings!$B$14:$B$33,0))&amp;"",IFERROR(LOOKUP(2^15,SEARCH(Settings!$F$14:$F$43,R101)/(Settings!$F$14:$F$43&lt;&gt;""),Settings!$G$14:$G$43),"")))</f>
        <v/>
      </c>
      <c r="BY101">
        <f>IF(OR($B101="",S101=""),"",IFERROR(INDEX(Settings!$D$14:$D$33,MATCH(S101,Settings!$B$14:$B$33,0))&amp;"",IFERROR(LOOKUP(2^15,SEARCH(Settings!$F$14:$F$43,S101)/(Settings!$F$14:$F$43&lt;&gt;""),Settings!$G$14:$G$43),"")))</f>
        <v/>
      </c>
      <c r="BZ101">
        <f>IF(OR($B101="",T101=""),"",IFERROR(INDEX(Settings!$D$14:$D$33,MATCH(T101,Settings!$B$14:$B$33,0))&amp;"",IFERROR(LOOKUP(2^15,SEARCH(Settings!$F$14:$F$43,T101)/(Settings!$F$14:$F$43&lt;&gt;""),Settings!$G$14:$G$43),"")))</f>
        <v/>
      </c>
      <c r="CA101">
        <f>IF(OR($B101="",U101=""),"",IFERROR(INDEX(Settings!$D$14:$D$33,MATCH(U101,Settings!$B$14:$B$33,0))&amp;"",IFERROR(LOOKUP(2^15,SEARCH(Settings!$F$14:$F$43,U101)/(Settings!$F$14:$F$43&lt;&gt;""),Settings!$G$14:$G$43),"")))</f>
        <v/>
      </c>
      <c r="CB101">
        <f>IF(OR($B101="",V101=""),"",IFERROR(INDEX(Settings!$D$14:$D$33,MATCH(V101,Settings!$B$14:$B$33,0))&amp;"",IFERROR(LOOKUP(2^15,SEARCH(Settings!$F$14:$F$43,V101)/(Settings!$F$14:$F$43&lt;&gt;""),Settings!$G$14:$G$43),"")))</f>
        <v/>
      </c>
      <c r="CC101">
        <f>IF(OR($B101="",W101=""),"",IFERROR(INDEX(Settings!$D$14:$D$33,MATCH(W101,Settings!$B$14:$B$33,0))&amp;"",IFERROR(LOOKUP(2^15,SEARCH(Settings!$F$14:$F$43,W101)/(Settings!$F$14:$F$43&lt;&gt;""),Settings!$G$14:$G$43),"")))</f>
        <v/>
      </c>
      <c r="CD101">
        <f>IF(OR($B101="",X101=""),"",IFERROR(INDEX(Settings!$D$14:$D$33,MATCH(X101,Settings!$B$14:$B$33,0))&amp;"",IFERROR(LOOKUP(2^15,SEARCH(Settings!$F$14:$F$43,X101)/(Settings!$F$14:$F$43&lt;&gt;""),Settings!$G$14:$G$43),"")))</f>
        <v/>
      </c>
      <c r="CE101">
        <f>IF(OR($B101="",Y101=""),"",IFERROR(INDEX(Settings!$D$14:$D$33,MATCH(Y101,Settings!$B$14:$B$33,0))&amp;"",IFERROR(LOOKUP(2^15,SEARCH(Settings!$F$14:$F$43,Y101)/(Settings!$F$14:$F$43&lt;&gt;""),Settings!$G$14:$G$43),"")))</f>
        <v/>
      </c>
      <c r="CF101">
        <f>IF(OR($B101="",Z101=""),"",IFERROR(INDEX(Settings!$D$14:$D$33,MATCH(Z101,Settings!$B$14:$B$33,0))&amp;"",IFERROR(LOOKUP(2^15,SEARCH(Settings!$F$14:$F$43,Z101)/(Settings!$F$14:$F$43&lt;&gt;""),Settings!$G$14:$G$43),"")))</f>
        <v/>
      </c>
      <c r="CG101">
        <f>IF(OR($B101="",AA101=""),"",IFERROR(INDEX(Settings!$D$14:$D$33,MATCH(AA101,Settings!$B$14:$B$33,0))&amp;"",IFERROR(LOOKUP(2^15,SEARCH(Settings!$F$14:$F$43,AA101)/(Settings!$F$14:$F$43&lt;&gt;""),Settings!$G$14:$G$43),"")))</f>
        <v/>
      </c>
      <c r="CH101">
        <f>IF(OR($B101="",AB101=""),"",IFERROR(INDEX(Settings!$D$14:$D$33,MATCH(AB101,Settings!$B$14:$B$33,0))&amp;"",IFERROR(LOOKUP(2^15,SEARCH(Settings!$F$14:$F$43,AB101)/(Settings!$F$14:$F$43&lt;&gt;""),Settings!$G$14:$G$43),"")))</f>
        <v/>
      </c>
      <c r="CI101">
        <f>IF(OR($B101="",AC101=""),"",IFERROR(INDEX(Settings!$D$14:$D$33,MATCH(AC101,Settings!$B$14:$B$33,0))&amp;"",IFERROR(LOOKUP(2^15,SEARCH(Settings!$F$14:$F$43,AC101)/(Settings!$F$14:$F$43&lt;&gt;""),Settings!$G$14:$G$43),"")))</f>
        <v/>
      </c>
      <c r="CJ101">
        <f>IF(OR($B101="",AD101=""),"",IFERROR(INDEX(Settings!$D$14:$D$33,MATCH(AD101,Settings!$B$14:$B$33,0))&amp;"",IFERROR(LOOKUP(2^15,SEARCH(Settings!$F$14:$F$43,AD101)/(Settings!$F$14:$F$43&lt;&gt;""),Settings!$G$14:$G$43),"")))</f>
        <v/>
      </c>
      <c r="CK101">
        <f>IF(OR($B101="",AE101=""),"",IFERROR(INDEX(Settings!$D$14:$D$33,MATCH(AE101,Settings!$B$14:$B$33,0))&amp;"",IFERROR(LOOKUP(2^15,SEARCH(Settings!$F$14:$F$43,AE101)/(Settings!$F$14:$F$43&lt;&gt;""),Settings!$G$14:$G$43),"")))</f>
        <v/>
      </c>
      <c r="CL101">
        <f>IF(OR($B101="",AF101=""),"",IFERROR(INDEX(Settings!$D$14:$D$33,MATCH(AF101,Settings!$B$14:$B$33,0))&amp;"",IFERROR(LOOKUP(2^15,SEARCH(Settings!$F$14:$F$43,AF101)/(Settings!$F$14:$F$43&lt;&gt;""),Settings!$G$14:$G$43),"")))</f>
        <v/>
      </c>
      <c r="CM101">
        <f>IF(OR($B101="",AG101=""),"",IFERROR(INDEX(Settings!$D$14:$D$33,MATCH(AG101,Settings!$B$14:$B$33,0))&amp;"",IFERROR(LOOKUP(2^15,SEARCH(Settings!$F$14:$F$43,AG101)/(Settings!$F$14:$F$43&lt;&gt;""),Settings!$G$14:$G$43),"")))</f>
        <v/>
      </c>
    </row>
    <row r="102">
      <c r="A102" t="n">
        <v>100</v>
      </c>
      <c r="B102">
        <f>IFERROR(INDEX(Index!$A$2:$A$202,MATCH(A102,Index!$E$2:$E$202,0)),"")</f>
        <v/>
      </c>
      <c r="D102">
        <f>IF($B102="","",IFERROR(MATCH("Travel*",AI102:BJ102,0),""))</f>
        <v/>
      </c>
      <c r="F102">
        <f>IF(OR($B102="",NOT(ISNUMBER(Settings!$C$9))),"",TRIM(SUBSTITUTE(SUBSTITUTE(INDEX('INPUT - Roster'!$S$1:$SV$206,$B102,Settings!$C$9+0)&amp;"",CHAR(10)," "),CHAR(160)," ")))</f>
        <v/>
      </c>
      <c r="G102">
        <f>IF(OR($B102="",NOT(ISNUMBER(Settings!$C$9))),"",TRIM(SUBSTITUTE(SUBSTITUTE(INDEX('INPUT - Roster'!$S$1:$SV$206,$B102,Settings!$C$9+1)&amp;"",CHAR(10)," "),CHAR(160)," ")))</f>
        <v/>
      </c>
      <c r="H102">
        <f>IF(OR($B102="",NOT(ISNUMBER(Settings!$C$9))),"",TRIM(SUBSTITUTE(SUBSTITUTE(INDEX('INPUT - Roster'!$S$1:$SV$206,$B102,Settings!$C$9+2)&amp;"",CHAR(10)," "),CHAR(160)," ")))</f>
        <v/>
      </c>
      <c r="I102">
        <f>IF(OR($B102="",NOT(ISNUMBER(Settings!$C$9))),"",TRIM(SUBSTITUTE(SUBSTITUTE(INDEX('INPUT - Roster'!$S$1:$SV$206,$B102,Settings!$C$9+3)&amp;"",CHAR(10)," "),CHAR(160)," ")))</f>
        <v/>
      </c>
      <c r="J102">
        <f>IF(OR($B102="",NOT(ISNUMBER(Settings!$C$9))),"",TRIM(SUBSTITUTE(SUBSTITUTE(INDEX('INPUT - Roster'!$S$1:$SV$206,$B102,Settings!$C$9+4)&amp;"",CHAR(10)," "),CHAR(160)," ")))</f>
        <v/>
      </c>
      <c r="K102">
        <f>IF(OR($B102="",NOT(ISNUMBER(Settings!$C$9))),"",TRIM(SUBSTITUTE(SUBSTITUTE(INDEX('INPUT - Roster'!$S$1:$SV$206,$B102,Settings!$C$9+5)&amp;"",CHAR(10)," "),CHAR(160)," ")))</f>
        <v/>
      </c>
      <c r="L102">
        <f>IF(OR($B102="",NOT(ISNUMBER(Settings!$C$9))),"",TRIM(SUBSTITUTE(SUBSTITUTE(INDEX('INPUT - Roster'!$S$1:$SV$206,$B102,Settings!$C$9+6)&amp;"",CHAR(10)," "),CHAR(160)," ")))</f>
        <v/>
      </c>
      <c r="M102">
        <f>IF(OR($B102="",NOT(ISNUMBER(Settings!$C$9))),"",TRIM(SUBSTITUTE(SUBSTITUTE(INDEX('INPUT - Roster'!$S$1:$SV$206,$B102,Settings!$C$9+7)&amp;"",CHAR(10)," "),CHAR(160)," ")))</f>
        <v/>
      </c>
      <c r="N102">
        <f>IF(OR($B102="",NOT(ISNUMBER(Settings!$C$9))),"",TRIM(SUBSTITUTE(SUBSTITUTE(INDEX('INPUT - Roster'!$S$1:$SV$206,$B102,Settings!$C$9+8)&amp;"",CHAR(10)," "),CHAR(160)," ")))</f>
        <v/>
      </c>
      <c r="O102">
        <f>IF(OR($B102="",NOT(ISNUMBER(Settings!$C$9))),"",TRIM(SUBSTITUTE(SUBSTITUTE(INDEX('INPUT - Roster'!$S$1:$SV$206,$B102,Settings!$C$9+9)&amp;"",CHAR(10)," "),CHAR(160)," ")))</f>
        <v/>
      </c>
      <c r="P102">
        <f>IF(OR($B102="",NOT(ISNUMBER(Settings!$C$9))),"",TRIM(SUBSTITUTE(SUBSTITUTE(INDEX('INPUT - Roster'!$S$1:$SV$206,$B102,Settings!$C$9+10)&amp;"",CHAR(10)," "),CHAR(160)," ")))</f>
        <v/>
      </c>
      <c r="Q102">
        <f>IF(OR($B102="",NOT(ISNUMBER(Settings!$C$9))),"",TRIM(SUBSTITUTE(SUBSTITUTE(INDEX('INPUT - Roster'!$S$1:$SV$206,$B102,Settings!$C$9+11)&amp;"",CHAR(10)," "),CHAR(160)," ")))</f>
        <v/>
      </c>
      <c r="R102">
        <f>IF(OR($B102="",NOT(ISNUMBER(Settings!$C$9))),"",TRIM(SUBSTITUTE(SUBSTITUTE(INDEX('INPUT - Roster'!$S$1:$SV$206,$B102,Settings!$C$9+12)&amp;"",CHAR(10)," "),CHAR(160)," ")))</f>
        <v/>
      </c>
      <c r="S102">
        <f>IF(OR($B102="",NOT(ISNUMBER(Settings!$C$9))),"",TRIM(SUBSTITUTE(SUBSTITUTE(INDEX('INPUT - Roster'!$S$1:$SV$206,$B102,Settings!$C$9+13)&amp;"",CHAR(10)," "),CHAR(160)," ")))</f>
        <v/>
      </c>
      <c r="T102">
        <f>IF(OR($B102="",NOT(ISNUMBER(Settings!$C$9))),"",TRIM(SUBSTITUTE(SUBSTITUTE(INDEX('INPUT - Roster'!$S$1:$SV$206,$B102,Settings!$C$9+14)&amp;"",CHAR(10)," "),CHAR(160)," ")))</f>
        <v/>
      </c>
      <c r="U102">
        <f>IF(OR($B102="",NOT(ISNUMBER(Settings!$C$9))),"",TRIM(SUBSTITUTE(SUBSTITUTE(INDEX('INPUT - Roster'!$S$1:$SV$206,$B102,Settings!$C$9+15)&amp;"",CHAR(10)," "),CHAR(160)," ")))</f>
        <v/>
      </c>
      <c r="V102">
        <f>IF(OR($B102="",NOT(ISNUMBER(Settings!$C$9))),"",TRIM(SUBSTITUTE(SUBSTITUTE(INDEX('INPUT - Roster'!$S$1:$SV$206,$B102,Settings!$C$9+16)&amp;"",CHAR(10)," "),CHAR(160)," ")))</f>
        <v/>
      </c>
      <c r="W102">
        <f>IF(OR($B102="",NOT(ISNUMBER(Settings!$C$9))),"",TRIM(SUBSTITUTE(SUBSTITUTE(INDEX('INPUT - Roster'!$S$1:$SV$206,$B102,Settings!$C$9+17)&amp;"",CHAR(10)," "),CHAR(160)," ")))</f>
        <v/>
      </c>
      <c r="X102">
        <f>IF(OR($B102="",NOT(ISNUMBER(Settings!$C$9))),"",TRIM(SUBSTITUTE(SUBSTITUTE(INDEX('INPUT - Roster'!$S$1:$SV$206,$B102,Settings!$C$9+18)&amp;"",CHAR(10)," "),CHAR(160)," ")))</f>
        <v/>
      </c>
      <c r="Y102">
        <f>IF(OR($B102="",NOT(ISNUMBER(Settings!$C$9))),"",TRIM(SUBSTITUTE(SUBSTITUTE(INDEX('INPUT - Roster'!$S$1:$SV$206,$B102,Settings!$C$9+19)&amp;"",CHAR(10)," "),CHAR(160)," ")))</f>
        <v/>
      </c>
      <c r="Z102">
        <f>IF(OR($B102="",NOT(ISNUMBER(Settings!$C$9))),"",TRIM(SUBSTITUTE(SUBSTITUTE(INDEX('INPUT - Roster'!$S$1:$SV$206,$B102,Settings!$C$9+20)&amp;"",CHAR(10)," "),CHAR(160)," ")))</f>
        <v/>
      </c>
      <c r="AA102">
        <f>IF(OR($B102="",NOT(ISNUMBER(Settings!$C$9))),"",TRIM(SUBSTITUTE(SUBSTITUTE(INDEX('INPUT - Roster'!$S$1:$SV$206,$B102,Settings!$C$9+21)&amp;"",CHAR(10)," "),CHAR(160)," ")))</f>
        <v/>
      </c>
      <c r="AB102">
        <f>IF(OR($B102="",NOT(ISNUMBER(Settings!$C$9))),"",TRIM(SUBSTITUTE(SUBSTITUTE(INDEX('INPUT - Roster'!$S$1:$SV$206,$B102,Settings!$C$9+22)&amp;"",CHAR(10)," "),CHAR(160)," ")))</f>
        <v/>
      </c>
      <c r="AC102">
        <f>IF(OR($B102="",NOT(ISNUMBER(Settings!$C$9))),"",TRIM(SUBSTITUTE(SUBSTITUTE(INDEX('INPUT - Roster'!$S$1:$SV$206,$B102,Settings!$C$9+23)&amp;"",CHAR(10)," "),CHAR(160)," ")))</f>
        <v/>
      </c>
      <c r="AD102">
        <f>IF(OR($B102="",NOT(ISNUMBER(Settings!$C$9))),"",TRIM(SUBSTITUTE(SUBSTITUTE(INDEX('INPUT - Roster'!$S$1:$SV$206,$B102,Settings!$C$9+24)&amp;"",CHAR(10)," "),CHAR(160)," ")))</f>
        <v/>
      </c>
      <c r="AE102">
        <f>IF(OR($B102="",NOT(ISNUMBER(Settings!$C$9))),"",TRIM(SUBSTITUTE(SUBSTITUTE(INDEX('INPUT - Roster'!$S$1:$SV$206,$B102,Settings!$C$9+25)&amp;"",CHAR(10)," "),CHAR(160)," ")))</f>
        <v/>
      </c>
      <c r="AF102">
        <f>IF(OR($B102="",NOT(ISNUMBER(Settings!$C$9))),"",TRIM(SUBSTITUTE(SUBSTITUTE(INDEX('INPUT - Roster'!$S$1:$SV$206,$B102,Settings!$C$9+26)&amp;"",CHAR(10)," "),CHAR(160)," ")))</f>
        <v/>
      </c>
      <c r="AG102">
        <f>IF(OR($B102="",NOT(ISNUMBER(Settings!$C$9))),"",TRIM(SUBSTITUTE(SUBSTITUTE(INDEX('INPUT - Roster'!$S$1:$SV$206,$B102,Settings!$C$9+27)&amp;"",CHAR(10)," "),CHAR(160)," ")))</f>
        <v/>
      </c>
      <c r="AI102">
        <f>IF($B102="","",IF(F102="","Not rostered",IFERROR(INDEX(Settings!$C$14:$C$33,MATCH(F102,Settings!$B$14:$B$33,0)),IFERROR(LOOKUP(2^15,SEARCH(Settings!$I$14:$I$83,F102)/(Settings!$I$14:$I$83&lt;&gt;""),Settings!$J$14:$J$83),"Other"))))</f>
        <v/>
      </c>
      <c r="AJ102">
        <f>IF($B102="","",IF(G102="","Not rostered",IFERROR(INDEX(Settings!$C$14:$C$33,MATCH(G102,Settings!$B$14:$B$33,0)),IFERROR(LOOKUP(2^15,SEARCH(Settings!$I$14:$I$83,G102)/(Settings!$I$14:$I$83&lt;&gt;""),Settings!$J$14:$J$83),"Other"))))</f>
        <v/>
      </c>
      <c r="AK102">
        <f>IF($B102="","",IF(H102="","Not rostered",IFERROR(INDEX(Settings!$C$14:$C$33,MATCH(H102,Settings!$B$14:$B$33,0)),IFERROR(LOOKUP(2^15,SEARCH(Settings!$I$14:$I$83,H102)/(Settings!$I$14:$I$83&lt;&gt;""),Settings!$J$14:$J$83),"Other"))))</f>
        <v/>
      </c>
      <c r="AL102">
        <f>IF($B102="","",IF(I102="","Not rostered",IFERROR(INDEX(Settings!$C$14:$C$33,MATCH(I102,Settings!$B$14:$B$33,0)),IFERROR(LOOKUP(2^15,SEARCH(Settings!$I$14:$I$83,I102)/(Settings!$I$14:$I$83&lt;&gt;""),Settings!$J$14:$J$83),"Other"))))</f>
        <v/>
      </c>
      <c r="AM102">
        <f>IF($B102="","",IF(J102="","Not rostered",IFERROR(INDEX(Settings!$C$14:$C$33,MATCH(J102,Settings!$B$14:$B$33,0)),IFERROR(LOOKUP(2^15,SEARCH(Settings!$I$14:$I$83,J102)/(Settings!$I$14:$I$83&lt;&gt;""),Settings!$J$14:$J$83),"Other"))))</f>
        <v/>
      </c>
      <c r="AN102">
        <f>IF($B102="","",IF(K102="","Not rostered",IFERROR(INDEX(Settings!$C$14:$C$33,MATCH(K102,Settings!$B$14:$B$33,0)),IFERROR(LOOKUP(2^15,SEARCH(Settings!$I$14:$I$83,K102)/(Settings!$I$14:$I$83&lt;&gt;""),Settings!$J$14:$J$83),"Other"))))</f>
        <v/>
      </c>
      <c r="AO102">
        <f>IF($B102="","",IF(L102="","Not rostered",IFERROR(INDEX(Settings!$C$14:$C$33,MATCH(L102,Settings!$B$14:$B$33,0)),IFERROR(LOOKUP(2^15,SEARCH(Settings!$I$14:$I$83,L102)/(Settings!$I$14:$I$83&lt;&gt;""),Settings!$J$14:$J$83),"Other"))))</f>
        <v/>
      </c>
      <c r="AP102">
        <f>IF($B102="","",IF(M102="","Not rostered",IFERROR(INDEX(Settings!$C$14:$C$33,MATCH(M102,Settings!$B$14:$B$33,0)),IFERROR(LOOKUP(2^15,SEARCH(Settings!$I$14:$I$83,M102)/(Settings!$I$14:$I$83&lt;&gt;""),Settings!$J$14:$J$83),"Other"))))</f>
        <v/>
      </c>
      <c r="AQ102">
        <f>IF($B102="","",IF(N102="","Not rostered",IFERROR(INDEX(Settings!$C$14:$C$33,MATCH(N102,Settings!$B$14:$B$33,0)),IFERROR(LOOKUP(2^15,SEARCH(Settings!$I$14:$I$83,N102)/(Settings!$I$14:$I$83&lt;&gt;""),Settings!$J$14:$J$83),"Other"))))</f>
        <v/>
      </c>
      <c r="AR102">
        <f>IF($B102="","",IF(O102="","Not rostered",IFERROR(INDEX(Settings!$C$14:$C$33,MATCH(O102,Settings!$B$14:$B$33,0)),IFERROR(LOOKUP(2^15,SEARCH(Settings!$I$14:$I$83,O102)/(Settings!$I$14:$I$83&lt;&gt;""),Settings!$J$14:$J$83),"Other"))))</f>
        <v/>
      </c>
      <c r="AS102">
        <f>IF($B102="","",IF(P102="","Not rostered",IFERROR(INDEX(Settings!$C$14:$C$33,MATCH(P102,Settings!$B$14:$B$33,0)),IFERROR(LOOKUP(2^15,SEARCH(Settings!$I$14:$I$83,P102)/(Settings!$I$14:$I$83&lt;&gt;""),Settings!$J$14:$J$83),"Other"))))</f>
        <v/>
      </c>
      <c r="AT102">
        <f>IF($B102="","",IF(Q102="","Not rostered",IFERROR(INDEX(Settings!$C$14:$C$33,MATCH(Q102,Settings!$B$14:$B$33,0)),IFERROR(LOOKUP(2^15,SEARCH(Settings!$I$14:$I$83,Q102)/(Settings!$I$14:$I$83&lt;&gt;""),Settings!$J$14:$J$83),"Other"))))</f>
        <v/>
      </c>
      <c r="AU102">
        <f>IF($B102="","",IF(R102="","Not rostered",IFERROR(INDEX(Settings!$C$14:$C$33,MATCH(R102,Settings!$B$14:$B$33,0)),IFERROR(LOOKUP(2^15,SEARCH(Settings!$I$14:$I$83,R102)/(Settings!$I$14:$I$83&lt;&gt;""),Settings!$J$14:$J$83),"Other"))))</f>
        <v/>
      </c>
      <c r="AV102">
        <f>IF($B102="","",IF(S102="","Not rostered",IFERROR(INDEX(Settings!$C$14:$C$33,MATCH(S102,Settings!$B$14:$B$33,0)),IFERROR(LOOKUP(2^15,SEARCH(Settings!$I$14:$I$83,S102)/(Settings!$I$14:$I$83&lt;&gt;""),Settings!$J$14:$J$83),"Other"))))</f>
        <v/>
      </c>
      <c r="AW102">
        <f>IF($B102="","",IF(T102="","Not rostered",IFERROR(INDEX(Settings!$C$14:$C$33,MATCH(T102,Settings!$B$14:$B$33,0)),IFERROR(LOOKUP(2^15,SEARCH(Settings!$I$14:$I$83,T102)/(Settings!$I$14:$I$83&lt;&gt;""),Settings!$J$14:$J$83),"Other"))))</f>
        <v/>
      </c>
      <c r="AX102">
        <f>IF($B102="","",IF(U102="","Not rostered",IFERROR(INDEX(Settings!$C$14:$C$33,MATCH(U102,Settings!$B$14:$B$33,0)),IFERROR(LOOKUP(2^15,SEARCH(Settings!$I$14:$I$83,U102)/(Settings!$I$14:$I$83&lt;&gt;""),Settings!$J$14:$J$83),"Other"))))</f>
        <v/>
      </c>
      <c r="AY102">
        <f>IF($B102="","",IF(V102="","Not rostered",IFERROR(INDEX(Settings!$C$14:$C$33,MATCH(V102,Settings!$B$14:$B$33,0)),IFERROR(LOOKUP(2^15,SEARCH(Settings!$I$14:$I$83,V102)/(Settings!$I$14:$I$83&lt;&gt;""),Settings!$J$14:$J$83),"Other"))))</f>
        <v/>
      </c>
      <c r="AZ102">
        <f>IF($B102="","",IF(W102="","Not rostered",IFERROR(INDEX(Settings!$C$14:$C$33,MATCH(W102,Settings!$B$14:$B$33,0)),IFERROR(LOOKUP(2^15,SEARCH(Settings!$I$14:$I$83,W102)/(Settings!$I$14:$I$83&lt;&gt;""),Settings!$J$14:$J$83),"Other"))))</f>
        <v/>
      </c>
      <c r="BA102">
        <f>IF($B102="","",IF(X102="","Not rostered",IFERROR(INDEX(Settings!$C$14:$C$33,MATCH(X102,Settings!$B$14:$B$33,0)),IFERROR(LOOKUP(2^15,SEARCH(Settings!$I$14:$I$83,X102)/(Settings!$I$14:$I$83&lt;&gt;""),Settings!$J$14:$J$83),"Other"))))</f>
        <v/>
      </c>
      <c r="BB102">
        <f>IF($B102="","",IF(Y102="","Not rostered",IFERROR(INDEX(Settings!$C$14:$C$33,MATCH(Y102,Settings!$B$14:$B$33,0)),IFERROR(LOOKUP(2^15,SEARCH(Settings!$I$14:$I$83,Y102)/(Settings!$I$14:$I$83&lt;&gt;""),Settings!$J$14:$J$83),"Other"))))</f>
        <v/>
      </c>
      <c r="BC102">
        <f>IF($B102="","",IF(Z102="","Not rostered",IFERROR(INDEX(Settings!$C$14:$C$33,MATCH(Z102,Settings!$B$14:$B$33,0)),IFERROR(LOOKUP(2^15,SEARCH(Settings!$I$14:$I$83,Z102)/(Settings!$I$14:$I$83&lt;&gt;""),Settings!$J$14:$J$83),"Other"))))</f>
        <v/>
      </c>
      <c r="BD102">
        <f>IF($B102="","",IF(AA102="","Not rostered",IFERROR(INDEX(Settings!$C$14:$C$33,MATCH(AA102,Settings!$B$14:$B$33,0)),IFERROR(LOOKUP(2^15,SEARCH(Settings!$I$14:$I$83,AA102)/(Settings!$I$14:$I$83&lt;&gt;""),Settings!$J$14:$J$83),"Other"))))</f>
        <v/>
      </c>
      <c r="BE102">
        <f>IF($B102="","",IF(AB102="","Not rostered",IFERROR(INDEX(Settings!$C$14:$C$33,MATCH(AB102,Settings!$B$14:$B$33,0)),IFERROR(LOOKUP(2^15,SEARCH(Settings!$I$14:$I$83,AB102)/(Settings!$I$14:$I$83&lt;&gt;""),Settings!$J$14:$J$83),"Other"))))</f>
        <v/>
      </c>
      <c r="BF102">
        <f>IF($B102="","",IF(AC102="","Not rostered",IFERROR(INDEX(Settings!$C$14:$C$33,MATCH(AC102,Settings!$B$14:$B$33,0)),IFERROR(LOOKUP(2^15,SEARCH(Settings!$I$14:$I$83,AC102)/(Settings!$I$14:$I$83&lt;&gt;""),Settings!$J$14:$J$83),"Other"))))</f>
        <v/>
      </c>
      <c r="BG102">
        <f>IF($B102="","",IF(AD102="","Not rostered",IFERROR(INDEX(Settings!$C$14:$C$33,MATCH(AD102,Settings!$B$14:$B$33,0)),IFERROR(LOOKUP(2^15,SEARCH(Settings!$I$14:$I$83,AD102)/(Settings!$I$14:$I$83&lt;&gt;""),Settings!$J$14:$J$83),"Other"))))</f>
        <v/>
      </c>
      <c r="BH102">
        <f>IF($B102="","",IF(AE102="","Not rostered",IFERROR(INDEX(Settings!$C$14:$C$33,MATCH(AE102,Settings!$B$14:$B$33,0)),IFERROR(LOOKUP(2^15,SEARCH(Settings!$I$14:$I$83,AE102)/(Settings!$I$14:$I$83&lt;&gt;""),Settings!$J$14:$J$83),"Other"))))</f>
        <v/>
      </c>
      <c r="BI102">
        <f>IF($B102="","",IF(AF102="","Not rostered",IFERROR(INDEX(Settings!$C$14:$C$33,MATCH(AF102,Settings!$B$14:$B$33,0)),IFERROR(LOOKUP(2^15,SEARCH(Settings!$I$14:$I$83,AF102)/(Settings!$I$14:$I$83&lt;&gt;""),Settings!$J$14:$J$83),"Other"))))</f>
        <v/>
      </c>
      <c r="BJ102">
        <f>IF($B102="","",IF(AG102="","Not rostered",IFERROR(INDEX(Settings!$C$14:$C$33,MATCH(AG102,Settings!$B$14:$B$33,0)),IFERROR(LOOKUP(2^15,SEARCH(Settings!$I$14:$I$83,AG102)/(Settings!$I$14:$I$83&lt;&gt;""),Settings!$J$14:$J$83),"Other"))))</f>
        <v/>
      </c>
      <c r="BL102">
        <f>IF(OR($B102="",F102=""),"",IFERROR(INDEX(Settings!$D$14:$D$33,MATCH(F102,Settings!$B$14:$B$33,0))&amp;"",IFERROR(LOOKUP(2^15,SEARCH(Settings!$F$14:$F$43,F102)/(Settings!$F$14:$F$43&lt;&gt;""),Settings!$G$14:$G$43),"")))</f>
        <v/>
      </c>
      <c r="BM102">
        <f>IF(OR($B102="",G102=""),"",IFERROR(INDEX(Settings!$D$14:$D$33,MATCH(G102,Settings!$B$14:$B$33,0))&amp;"",IFERROR(LOOKUP(2^15,SEARCH(Settings!$F$14:$F$43,G102)/(Settings!$F$14:$F$43&lt;&gt;""),Settings!$G$14:$G$43),"")))</f>
        <v/>
      </c>
      <c r="BN102">
        <f>IF(OR($B102="",H102=""),"",IFERROR(INDEX(Settings!$D$14:$D$33,MATCH(H102,Settings!$B$14:$B$33,0))&amp;"",IFERROR(LOOKUP(2^15,SEARCH(Settings!$F$14:$F$43,H102)/(Settings!$F$14:$F$43&lt;&gt;""),Settings!$G$14:$G$43),"")))</f>
        <v/>
      </c>
      <c r="BO102">
        <f>IF(OR($B102="",I102=""),"",IFERROR(INDEX(Settings!$D$14:$D$33,MATCH(I102,Settings!$B$14:$B$33,0))&amp;"",IFERROR(LOOKUP(2^15,SEARCH(Settings!$F$14:$F$43,I102)/(Settings!$F$14:$F$43&lt;&gt;""),Settings!$G$14:$G$43),"")))</f>
        <v/>
      </c>
      <c r="BP102">
        <f>IF(OR($B102="",J102=""),"",IFERROR(INDEX(Settings!$D$14:$D$33,MATCH(J102,Settings!$B$14:$B$33,0))&amp;"",IFERROR(LOOKUP(2^15,SEARCH(Settings!$F$14:$F$43,J102)/(Settings!$F$14:$F$43&lt;&gt;""),Settings!$G$14:$G$43),"")))</f>
        <v/>
      </c>
      <c r="BQ102">
        <f>IF(OR($B102="",K102=""),"",IFERROR(INDEX(Settings!$D$14:$D$33,MATCH(K102,Settings!$B$14:$B$33,0))&amp;"",IFERROR(LOOKUP(2^15,SEARCH(Settings!$F$14:$F$43,K102)/(Settings!$F$14:$F$43&lt;&gt;""),Settings!$G$14:$G$43),"")))</f>
        <v/>
      </c>
      <c r="BR102">
        <f>IF(OR($B102="",L102=""),"",IFERROR(INDEX(Settings!$D$14:$D$33,MATCH(L102,Settings!$B$14:$B$33,0))&amp;"",IFERROR(LOOKUP(2^15,SEARCH(Settings!$F$14:$F$43,L102)/(Settings!$F$14:$F$43&lt;&gt;""),Settings!$G$14:$G$43),"")))</f>
        <v/>
      </c>
      <c r="BS102">
        <f>IF(OR($B102="",M102=""),"",IFERROR(INDEX(Settings!$D$14:$D$33,MATCH(M102,Settings!$B$14:$B$33,0))&amp;"",IFERROR(LOOKUP(2^15,SEARCH(Settings!$F$14:$F$43,M102)/(Settings!$F$14:$F$43&lt;&gt;""),Settings!$G$14:$G$43),"")))</f>
        <v/>
      </c>
      <c r="BT102">
        <f>IF(OR($B102="",N102=""),"",IFERROR(INDEX(Settings!$D$14:$D$33,MATCH(N102,Settings!$B$14:$B$33,0))&amp;"",IFERROR(LOOKUP(2^15,SEARCH(Settings!$F$14:$F$43,N102)/(Settings!$F$14:$F$43&lt;&gt;""),Settings!$G$14:$G$43),"")))</f>
        <v/>
      </c>
      <c r="BU102">
        <f>IF(OR($B102="",O102=""),"",IFERROR(INDEX(Settings!$D$14:$D$33,MATCH(O102,Settings!$B$14:$B$33,0))&amp;"",IFERROR(LOOKUP(2^15,SEARCH(Settings!$F$14:$F$43,O102)/(Settings!$F$14:$F$43&lt;&gt;""),Settings!$G$14:$G$43),"")))</f>
        <v/>
      </c>
      <c r="BV102">
        <f>IF(OR($B102="",P102=""),"",IFERROR(INDEX(Settings!$D$14:$D$33,MATCH(P102,Settings!$B$14:$B$33,0))&amp;"",IFERROR(LOOKUP(2^15,SEARCH(Settings!$F$14:$F$43,P102)/(Settings!$F$14:$F$43&lt;&gt;""),Settings!$G$14:$G$43),"")))</f>
        <v/>
      </c>
      <c r="BW102">
        <f>IF(OR($B102="",Q102=""),"",IFERROR(INDEX(Settings!$D$14:$D$33,MATCH(Q102,Settings!$B$14:$B$33,0))&amp;"",IFERROR(LOOKUP(2^15,SEARCH(Settings!$F$14:$F$43,Q102)/(Settings!$F$14:$F$43&lt;&gt;""),Settings!$G$14:$G$43),"")))</f>
        <v/>
      </c>
      <c r="BX102">
        <f>IF(OR($B102="",R102=""),"",IFERROR(INDEX(Settings!$D$14:$D$33,MATCH(R102,Settings!$B$14:$B$33,0))&amp;"",IFERROR(LOOKUP(2^15,SEARCH(Settings!$F$14:$F$43,R102)/(Settings!$F$14:$F$43&lt;&gt;""),Settings!$G$14:$G$43),"")))</f>
        <v/>
      </c>
      <c r="BY102">
        <f>IF(OR($B102="",S102=""),"",IFERROR(INDEX(Settings!$D$14:$D$33,MATCH(S102,Settings!$B$14:$B$33,0))&amp;"",IFERROR(LOOKUP(2^15,SEARCH(Settings!$F$14:$F$43,S102)/(Settings!$F$14:$F$43&lt;&gt;""),Settings!$G$14:$G$43),"")))</f>
        <v/>
      </c>
      <c r="BZ102">
        <f>IF(OR($B102="",T102=""),"",IFERROR(INDEX(Settings!$D$14:$D$33,MATCH(T102,Settings!$B$14:$B$33,0))&amp;"",IFERROR(LOOKUP(2^15,SEARCH(Settings!$F$14:$F$43,T102)/(Settings!$F$14:$F$43&lt;&gt;""),Settings!$G$14:$G$43),"")))</f>
        <v/>
      </c>
      <c r="CA102">
        <f>IF(OR($B102="",U102=""),"",IFERROR(INDEX(Settings!$D$14:$D$33,MATCH(U102,Settings!$B$14:$B$33,0))&amp;"",IFERROR(LOOKUP(2^15,SEARCH(Settings!$F$14:$F$43,U102)/(Settings!$F$14:$F$43&lt;&gt;""),Settings!$G$14:$G$43),"")))</f>
        <v/>
      </c>
      <c r="CB102">
        <f>IF(OR($B102="",V102=""),"",IFERROR(INDEX(Settings!$D$14:$D$33,MATCH(V102,Settings!$B$14:$B$33,0))&amp;"",IFERROR(LOOKUP(2^15,SEARCH(Settings!$F$14:$F$43,V102)/(Settings!$F$14:$F$43&lt;&gt;""),Settings!$G$14:$G$43),"")))</f>
        <v/>
      </c>
      <c r="CC102">
        <f>IF(OR($B102="",W102=""),"",IFERROR(INDEX(Settings!$D$14:$D$33,MATCH(W102,Settings!$B$14:$B$33,0))&amp;"",IFERROR(LOOKUP(2^15,SEARCH(Settings!$F$14:$F$43,W102)/(Settings!$F$14:$F$43&lt;&gt;""),Settings!$G$14:$G$43),"")))</f>
        <v/>
      </c>
      <c r="CD102">
        <f>IF(OR($B102="",X102=""),"",IFERROR(INDEX(Settings!$D$14:$D$33,MATCH(X102,Settings!$B$14:$B$33,0))&amp;"",IFERROR(LOOKUP(2^15,SEARCH(Settings!$F$14:$F$43,X102)/(Settings!$F$14:$F$43&lt;&gt;""),Settings!$G$14:$G$43),"")))</f>
        <v/>
      </c>
      <c r="CE102">
        <f>IF(OR($B102="",Y102=""),"",IFERROR(INDEX(Settings!$D$14:$D$33,MATCH(Y102,Settings!$B$14:$B$33,0))&amp;"",IFERROR(LOOKUP(2^15,SEARCH(Settings!$F$14:$F$43,Y102)/(Settings!$F$14:$F$43&lt;&gt;""),Settings!$G$14:$G$43),"")))</f>
        <v/>
      </c>
      <c r="CF102">
        <f>IF(OR($B102="",Z102=""),"",IFERROR(INDEX(Settings!$D$14:$D$33,MATCH(Z102,Settings!$B$14:$B$33,0))&amp;"",IFERROR(LOOKUP(2^15,SEARCH(Settings!$F$14:$F$43,Z102)/(Settings!$F$14:$F$43&lt;&gt;""),Settings!$G$14:$G$43),"")))</f>
        <v/>
      </c>
      <c r="CG102">
        <f>IF(OR($B102="",AA102=""),"",IFERROR(INDEX(Settings!$D$14:$D$33,MATCH(AA102,Settings!$B$14:$B$33,0))&amp;"",IFERROR(LOOKUP(2^15,SEARCH(Settings!$F$14:$F$43,AA102)/(Settings!$F$14:$F$43&lt;&gt;""),Settings!$G$14:$G$43),"")))</f>
        <v/>
      </c>
      <c r="CH102">
        <f>IF(OR($B102="",AB102=""),"",IFERROR(INDEX(Settings!$D$14:$D$33,MATCH(AB102,Settings!$B$14:$B$33,0))&amp;"",IFERROR(LOOKUP(2^15,SEARCH(Settings!$F$14:$F$43,AB102)/(Settings!$F$14:$F$43&lt;&gt;""),Settings!$G$14:$G$43),"")))</f>
        <v/>
      </c>
      <c r="CI102">
        <f>IF(OR($B102="",AC102=""),"",IFERROR(INDEX(Settings!$D$14:$D$33,MATCH(AC102,Settings!$B$14:$B$33,0))&amp;"",IFERROR(LOOKUP(2^15,SEARCH(Settings!$F$14:$F$43,AC102)/(Settings!$F$14:$F$43&lt;&gt;""),Settings!$G$14:$G$43),"")))</f>
        <v/>
      </c>
      <c r="CJ102">
        <f>IF(OR($B102="",AD102=""),"",IFERROR(INDEX(Settings!$D$14:$D$33,MATCH(AD102,Settings!$B$14:$B$33,0))&amp;"",IFERROR(LOOKUP(2^15,SEARCH(Settings!$F$14:$F$43,AD102)/(Settings!$F$14:$F$43&lt;&gt;""),Settings!$G$14:$G$43),"")))</f>
        <v/>
      </c>
      <c r="CK102">
        <f>IF(OR($B102="",AE102=""),"",IFERROR(INDEX(Settings!$D$14:$D$33,MATCH(AE102,Settings!$B$14:$B$33,0))&amp;"",IFERROR(LOOKUP(2^15,SEARCH(Settings!$F$14:$F$43,AE102)/(Settings!$F$14:$F$43&lt;&gt;""),Settings!$G$14:$G$43),"")))</f>
        <v/>
      </c>
      <c r="CL102">
        <f>IF(OR($B102="",AF102=""),"",IFERROR(INDEX(Settings!$D$14:$D$33,MATCH(AF102,Settings!$B$14:$B$33,0))&amp;"",IFERROR(LOOKUP(2^15,SEARCH(Settings!$F$14:$F$43,AF102)/(Settings!$F$14:$F$43&lt;&gt;""),Settings!$G$14:$G$43),"")))</f>
        <v/>
      </c>
      <c r="CM102">
        <f>IF(OR($B102="",AG102=""),"",IFERROR(INDEX(Settings!$D$14:$D$33,MATCH(AG102,Settings!$B$14:$B$33,0))&amp;"",IFERROR(LOOKUP(2^15,SEARCH(Settings!$F$14:$F$43,AG102)/(Settings!$F$14:$F$43&lt;&gt;""),Settings!$G$14:$G$43),"")))</f>
        <v/>
      </c>
    </row>
    <row r="103">
      <c r="A103" t="n">
        <v>101</v>
      </c>
      <c r="B103">
        <f>IFERROR(INDEX(Index!$A$2:$A$202,MATCH(A103,Index!$E$2:$E$202,0)),"")</f>
        <v/>
      </c>
      <c r="D103">
        <f>IF($B103="","",IFERROR(MATCH("Travel*",AI103:BJ103,0),""))</f>
        <v/>
      </c>
      <c r="F103">
        <f>IF(OR($B103="",NOT(ISNUMBER(Settings!$C$9))),"",TRIM(SUBSTITUTE(SUBSTITUTE(INDEX('INPUT - Roster'!$S$1:$SV$206,$B103,Settings!$C$9+0)&amp;"",CHAR(10)," "),CHAR(160)," ")))</f>
        <v/>
      </c>
      <c r="G103">
        <f>IF(OR($B103="",NOT(ISNUMBER(Settings!$C$9))),"",TRIM(SUBSTITUTE(SUBSTITUTE(INDEX('INPUT - Roster'!$S$1:$SV$206,$B103,Settings!$C$9+1)&amp;"",CHAR(10)," "),CHAR(160)," ")))</f>
        <v/>
      </c>
      <c r="H103">
        <f>IF(OR($B103="",NOT(ISNUMBER(Settings!$C$9))),"",TRIM(SUBSTITUTE(SUBSTITUTE(INDEX('INPUT - Roster'!$S$1:$SV$206,$B103,Settings!$C$9+2)&amp;"",CHAR(10)," "),CHAR(160)," ")))</f>
        <v/>
      </c>
      <c r="I103">
        <f>IF(OR($B103="",NOT(ISNUMBER(Settings!$C$9))),"",TRIM(SUBSTITUTE(SUBSTITUTE(INDEX('INPUT - Roster'!$S$1:$SV$206,$B103,Settings!$C$9+3)&amp;"",CHAR(10)," "),CHAR(160)," ")))</f>
        <v/>
      </c>
      <c r="J103">
        <f>IF(OR($B103="",NOT(ISNUMBER(Settings!$C$9))),"",TRIM(SUBSTITUTE(SUBSTITUTE(INDEX('INPUT - Roster'!$S$1:$SV$206,$B103,Settings!$C$9+4)&amp;"",CHAR(10)," "),CHAR(160)," ")))</f>
        <v/>
      </c>
      <c r="K103">
        <f>IF(OR($B103="",NOT(ISNUMBER(Settings!$C$9))),"",TRIM(SUBSTITUTE(SUBSTITUTE(INDEX('INPUT - Roster'!$S$1:$SV$206,$B103,Settings!$C$9+5)&amp;"",CHAR(10)," "),CHAR(160)," ")))</f>
        <v/>
      </c>
      <c r="L103">
        <f>IF(OR($B103="",NOT(ISNUMBER(Settings!$C$9))),"",TRIM(SUBSTITUTE(SUBSTITUTE(INDEX('INPUT - Roster'!$S$1:$SV$206,$B103,Settings!$C$9+6)&amp;"",CHAR(10)," "),CHAR(160)," ")))</f>
        <v/>
      </c>
      <c r="M103">
        <f>IF(OR($B103="",NOT(ISNUMBER(Settings!$C$9))),"",TRIM(SUBSTITUTE(SUBSTITUTE(INDEX('INPUT - Roster'!$S$1:$SV$206,$B103,Settings!$C$9+7)&amp;"",CHAR(10)," "),CHAR(160)," ")))</f>
        <v/>
      </c>
      <c r="N103">
        <f>IF(OR($B103="",NOT(ISNUMBER(Settings!$C$9))),"",TRIM(SUBSTITUTE(SUBSTITUTE(INDEX('INPUT - Roster'!$S$1:$SV$206,$B103,Settings!$C$9+8)&amp;"",CHAR(10)," "),CHAR(160)," ")))</f>
        <v/>
      </c>
      <c r="O103">
        <f>IF(OR($B103="",NOT(ISNUMBER(Settings!$C$9))),"",TRIM(SUBSTITUTE(SUBSTITUTE(INDEX('INPUT - Roster'!$S$1:$SV$206,$B103,Settings!$C$9+9)&amp;"",CHAR(10)," "),CHAR(160)," ")))</f>
        <v/>
      </c>
      <c r="P103">
        <f>IF(OR($B103="",NOT(ISNUMBER(Settings!$C$9))),"",TRIM(SUBSTITUTE(SUBSTITUTE(INDEX('INPUT - Roster'!$S$1:$SV$206,$B103,Settings!$C$9+10)&amp;"",CHAR(10)," "),CHAR(160)," ")))</f>
        <v/>
      </c>
      <c r="Q103">
        <f>IF(OR($B103="",NOT(ISNUMBER(Settings!$C$9))),"",TRIM(SUBSTITUTE(SUBSTITUTE(INDEX('INPUT - Roster'!$S$1:$SV$206,$B103,Settings!$C$9+11)&amp;"",CHAR(10)," "),CHAR(160)," ")))</f>
        <v/>
      </c>
      <c r="R103">
        <f>IF(OR($B103="",NOT(ISNUMBER(Settings!$C$9))),"",TRIM(SUBSTITUTE(SUBSTITUTE(INDEX('INPUT - Roster'!$S$1:$SV$206,$B103,Settings!$C$9+12)&amp;"",CHAR(10)," "),CHAR(160)," ")))</f>
        <v/>
      </c>
      <c r="S103">
        <f>IF(OR($B103="",NOT(ISNUMBER(Settings!$C$9))),"",TRIM(SUBSTITUTE(SUBSTITUTE(INDEX('INPUT - Roster'!$S$1:$SV$206,$B103,Settings!$C$9+13)&amp;"",CHAR(10)," "),CHAR(160)," ")))</f>
        <v/>
      </c>
      <c r="T103">
        <f>IF(OR($B103="",NOT(ISNUMBER(Settings!$C$9))),"",TRIM(SUBSTITUTE(SUBSTITUTE(INDEX('INPUT - Roster'!$S$1:$SV$206,$B103,Settings!$C$9+14)&amp;"",CHAR(10)," "),CHAR(160)," ")))</f>
        <v/>
      </c>
      <c r="U103">
        <f>IF(OR($B103="",NOT(ISNUMBER(Settings!$C$9))),"",TRIM(SUBSTITUTE(SUBSTITUTE(INDEX('INPUT - Roster'!$S$1:$SV$206,$B103,Settings!$C$9+15)&amp;"",CHAR(10)," "),CHAR(160)," ")))</f>
        <v/>
      </c>
      <c r="V103">
        <f>IF(OR($B103="",NOT(ISNUMBER(Settings!$C$9))),"",TRIM(SUBSTITUTE(SUBSTITUTE(INDEX('INPUT - Roster'!$S$1:$SV$206,$B103,Settings!$C$9+16)&amp;"",CHAR(10)," "),CHAR(160)," ")))</f>
        <v/>
      </c>
      <c r="W103">
        <f>IF(OR($B103="",NOT(ISNUMBER(Settings!$C$9))),"",TRIM(SUBSTITUTE(SUBSTITUTE(INDEX('INPUT - Roster'!$S$1:$SV$206,$B103,Settings!$C$9+17)&amp;"",CHAR(10)," "),CHAR(160)," ")))</f>
        <v/>
      </c>
      <c r="X103">
        <f>IF(OR($B103="",NOT(ISNUMBER(Settings!$C$9))),"",TRIM(SUBSTITUTE(SUBSTITUTE(INDEX('INPUT - Roster'!$S$1:$SV$206,$B103,Settings!$C$9+18)&amp;"",CHAR(10)," "),CHAR(160)," ")))</f>
        <v/>
      </c>
      <c r="Y103">
        <f>IF(OR($B103="",NOT(ISNUMBER(Settings!$C$9))),"",TRIM(SUBSTITUTE(SUBSTITUTE(INDEX('INPUT - Roster'!$S$1:$SV$206,$B103,Settings!$C$9+19)&amp;"",CHAR(10)," "),CHAR(160)," ")))</f>
        <v/>
      </c>
      <c r="Z103">
        <f>IF(OR($B103="",NOT(ISNUMBER(Settings!$C$9))),"",TRIM(SUBSTITUTE(SUBSTITUTE(INDEX('INPUT - Roster'!$S$1:$SV$206,$B103,Settings!$C$9+20)&amp;"",CHAR(10)," "),CHAR(160)," ")))</f>
        <v/>
      </c>
      <c r="AA103">
        <f>IF(OR($B103="",NOT(ISNUMBER(Settings!$C$9))),"",TRIM(SUBSTITUTE(SUBSTITUTE(INDEX('INPUT - Roster'!$S$1:$SV$206,$B103,Settings!$C$9+21)&amp;"",CHAR(10)," "),CHAR(160)," ")))</f>
        <v/>
      </c>
      <c r="AB103">
        <f>IF(OR($B103="",NOT(ISNUMBER(Settings!$C$9))),"",TRIM(SUBSTITUTE(SUBSTITUTE(INDEX('INPUT - Roster'!$S$1:$SV$206,$B103,Settings!$C$9+22)&amp;"",CHAR(10)," "),CHAR(160)," ")))</f>
        <v/>
      </c>
      <c r="AC103">
        <f>IF(OR($B103="",NOT(ISNUMBER(Settings!$C$9))),"",TRIM(SUBSTITUTE(SUBSTITUTE(INDEX('INPUT - Roster'!$S$1:$SV$206,$B103,Settings!$C$9+23)&amp;"",CHAR(10)," "),CHAR(160)," ")))</f>
        <v/>
      </c>
      <c r="AD103">
        <f>IF(OR($B103="",NOT(ISNUMBER(Settings!$C$9))),"",TRIM(SUBSTITUTE(SUBSTITUTE(INDEX('INPUT - Roster'!$S$1:$SV$206,$B103,Settings!$C$9+24)&amp;"",CHAR(10)," "),CHAR(160)," ")))</f>
        <v/>
      </c>
      <c r="AE103">
        <f>IF(OR($B103="",NOT(ISNUMBER(Settings!$C$9))),"",TRIM(SUBSTITUTE(SUBSTITUTE(INDEX('INPUT - Roster'!$S$1:$SV$206,$B103,Settings!$C$9+25)&amp;"",CHAR(10)," "),CHAR(160)," ")))</f>
        <v/>
      </c>
      <c r="AF103">
        <f>IF(OR($B103="",NOT(ISNUMBER(Settings!$C$9))),"",TRIM(SUBSTITUTE(SUBSTITUTE(INDEX('INPUT - Roster'!$S$1:$SV$206,$B103,Settings!$C$9+26)&amp;"",CHAR(10)," "),CHAR(160)," ")))</f>
        <v/>
      </c>
      <c r="AG103">
        <f>IF(OR($B103="",NOT(ISNUMBER(Settings!$C$9))),"",TRIM(SUBSTITUTE(SUBSTITUTE(INDEX('INPUT - Roster'!$S$1:$SV$206,$B103,Settings!$C$9+27)&amp;"",CHAR(10)," "),CHAR(160)," ")))</f>
        <v/>
      </c>
      <c r="AI103">
        <f>IF($B103="","",IF(F103="","Not rostered",IFERROR(INDEX(Settings!$C$14:$C$33,MATCH(F103,Settings!$B$14:$B$33,0)),IFERROR(LOOKUP(2^15,SEARCH(Settings!$I$14:$I$83,F103)/(Settings!$I$14:$I$83&lt;&gt;""),Settings!$J$14:$J$83),"Other"))))</f>
        <v/>
      </c>
      <c r="AJ103">
        <f>IF($B103="","",IF(G103="","Not rostered",IFERROR(INDEX(Settings!$C$14:$C$33,MATCH(G103,Settings!$B$14:$B$33,0)),IFERROR(LOOKUP(2^15,SEARCH(Settings!$I$14:$I$83,G103)/(Settings!$I$14:$I$83&lt;&gt;""),Settings!$J$14:$J$83),"Other"))))</f>
        <v/>
      </c>
      <c r="AK103">
        <f>IF($B103="","",IF(H103="","Not rostered",IFERROR(INDEX(Settings!$C$14:$C$33,MATCH(H103,Settings!$B$14:$B$33,0)),IFERROR(LOOKUP(2^15,SEARCH(Settings!$I$14:$I$83,H103)/(Settings!$I$14:$I$83&lt;&gt;""),Settings!$J$14:$J$83),"Other"))))</f>
        <v/>
      </c>
      <c r="AL103">
        <f>IF($B103="","",IF(I103="","Not rostered",IFERROR(INDEX(Settings!$C$14:$C$33,MATCH(I103,Settings!$B$14:$B$33,0)),IFERROR(LOOKUP(2^15,SEARCH(Settings!$I$14:$I$83,I103)/(Settings!$I$14:$I$83&lt;&gt;""),Settings!$J$14:$J$83),"Other"))))</f>
        <v/>
      </c>
      <c r="AM103">
        <f>IF($B103="","",IF(J103="","Not rostered",IFERROR(INDEX(Settings!$C$14:$C$33,MATCH(J103,Settings!$B$14:$B$33,0)),IFERROR(LOOKUP(2^15,SEARCH(Settings!$I$14:$I$83,J103)/(Settings!$I$14:$I$83&lt;&gt;""),Settings!$J$14:$J$83),"Other"))))</f>
        <v/>
      </c>
      <c r="AN103">
        <f>IF($B103="","",IF(K103="","Not rostered",IFERROR(INDEX(Settings!$C$14:$C$33,MATCH(K103,Settings!$B$14:$B$33,0)),IFERROR(LOOKUP(2^15,SEARCH(Settings!$I$14:$I$83,K103)/(Settings!$I$14:$I$83&lt;&gt;""),Settings!$J$14:$J$83),"Other"))))</f>
        <v/>
      </c>
      <c r="AO103">
        <f>IF($B103="","",IF(L103="","Not rostered",IFERROR(INDEX(Settings!$C$14:$C$33,MATCH(L103,Settings!$B$14:$B$33,0)),IFERROR(LOOKUP(2^15,SEARCH(Settings!$I$14:$I$83,L103)/(Settings!$I$14:$I$83&lt;&gt;""),Settings!$J$14:$J$83),"Other"))))</f>
        <v/>
      </c>
      <c r="AP103">
        <f>IF($B103="","",IF(M103="","Not rostered",IFERROR(INDEX(Settings!$C$14:$C$33,MATCH(M103,Settings!$B$14:$B$33,0)),IFERROR(LOOKUP(2^15,SEARCH(Settings!$I$14:$I$83,M103)/(Settings!$I$14:$I$83&lt;&gt;""),Settings!$J$14:$J$83),"Other"))))</f>
        <v/>
      </c>
      <c r="AQ103">
        <f>IF($B103="","",IF(N103="","Not rostered",IFERROR(INDEX(Settings!$C$14:$C$33,MATCH(N103,Settings!$B$14:$B$33,0)),IFERROR(LOOKUP(2^15,SEARCH(Settings!$I$14:$I$83,N103)/(Settings!$I$14:$I$83&lt;&gt;""),Settings!$J$14:$J$83),"Other"))))</f>
        <v/>
      </c>
      <c r="AR103">
        <f>IF($B103="","",IF(O103="","Not rostered",IFERROR(INDEX(Settings!$C$14:$C$33,MATCH(O103,Settings!$B$14:$B$33,0)),IFERROR(LOOKUP(2^15,SEARCH(Settings!$I$14:$I$83,O103)/(Settings!$I$14:$I$83&lt;&gt;""),Settings!$J$14:$J$83),"Other"))))</f>
        <v/>
      </c>
      <c r="AS103">
        <f>IF($B103="","",IF(P103="","Not rostered",IFERROR(INDEX(Settings!$C$14:$C$33,MATCH(P103,Settings!$B$14:$B$33,0)),IFERROR(LOOKUP(2^15,SEARCH(Settings!$I$14:$I$83,P103)/(Settings!$I$14:$I$83&lt;&gt;""),Settings!$J$14:$J$83),"Other"))))</f>
        <v/>
      </c>
      <c r="AT103">
        <f>IF($B103="","",IF(Q103="","Not rostered",IFERROR(INDEX(Settings!$C$14:$C$33,MATCH(Q103,Settings!$B$14:$B$33,0)),IFERROR(LOOKUP(2^15,SEARCH(Settings!$I$14:$I$83,Q103)/(Settings!$I$14:$I$83&lt;&gt;""),Settings!$J$14:$J$83),"Other"))))</f>
        <v/>
      </c>
      <c r="AU103">
        <f>IF($B103="","",IF(R103="","Not rostered",IFERROR(INDEX(Settings!$C$14:$C$33,MATCH(R103,Settings!$B$14:$B$33,0)),IFERROR(LOOKUP(2^15,SEARCH(Settings!$I$14:$I$83,R103)/(Settings!$I$14:$I$83&lt;&gt;""),Settings!$J$14:$J$83),"Other"))))</f>
        <v/>
      </c>
      <c r="AV103">
        <f>IF($B103="","",IF(S103="","Not rostered",IFERROR(INDEX(Settings!$C$14:$C$33,MATCH(S103,Settings!$B$14:$B$33,0)),IFERROR(LOOKUP(2^15,SEARCH(Settings!$I$14:$I$83,S103)/(Settings!$I$14:$I$83&lt;&gt;""),Settings!$J$14:$J$83),"Other"))))</f>
        <v/>
      </c>
      <c r="AW103">
        <f>IF($B103="","",IF(T103="","Not rostered",IFERROR(INDEX(Settings!$C$14:$C$33,MATCH(T103,Settings!$B$14:$B$33,0)),IFERROR(LOOKUP(2^15,SEARCH(Settings!$I$14:$I$83,T103)/(Settings!$I$14:$I$83&lt;&gt;""),Settings!$J$14:$J$83),"Other"))))</f>
        <v/>
      </c>
      <c r="AX103">
        <f>IF($B103="","",IF(U103="","Not rostered",IFERROR(INDEX(Settings!$C$14:$C$33,MATCH(U103,Settings!$B$14:$B$33,0)),IFERROR(LOOKUP(2^15,SEARCH(Settings!$I$14:$I$83,U103)/(Settings!$I$14:$I$83&lt;&gt;""),Settings!$J$14:$J$83),"Other"))))</f>
        <v/>
      </c>
      <c r="AY103">
        <f>IF($B103="","",IF(V103="","Not rostered",IFERROR(INDEX(Settings!$C$14:$C$33,MATCH(V103,Settings!$B$14:$B$33,0)),IFERROR(LOOKUP(2^15,SEARCH(Settings!$I$14:$I$83,V103)/(Settings!$I$14:$I$83&lt;&gt;""),Settings!$J$14:$J$83),"Other"))))</f>
        <v/>
      </c>
      <c r="AZ103">
        <f>IF($B103="","",IF(W103="","Not rostered",IFERROR(INDEX(Settings!$C$14:$C$33,MATCH(W103,Settings!$B$14:$B$33,0)),IFERROR(LOOKUP(2^15,SEARCH(Settings!$I$14:$I$83,W103)/(Settings!$I$14:$I$83&lt;&gt;""),Settings!$J$14:$J$83),"Other"))))</f>
        <v/>
      </c>
      <c r="BA103">
        <f>IF($B103="","",IF(X103="","Not rostered",IFERROR(INDEX(Settings!$C$14:$C$33,MATCH(X103,Settings!$B$14:$B$33,0)),IFERROR(LOOKUP(2^15,SEARCH(Settings!$I$14:$I$83,X103)/(Settings!$I$14:$I$83&lt;&gt;""),Settings!$J$14:$J$83),"Other"))))</f>
        <v/>
      </c>
      <c r="BB103">
        <f>IF($B103="","",IF(Y103="","Not rostered",IFERROR(INDEX(Settings!$C$14:$C$33,MATCH(Y103,Settings!$B$14:$B$33,0)),IFERROR(LOOKUP(2^15,SEARCH(Settings!$I$14:$I$83,Y103)/(Settings!$I$14:$I$83&lt;&gt;""),Settings!$J$14:$J$83),"Other"))))</f>
        <v/>
      </c>
      <c r="BC103">
        <f>IF($B103="","",IF(Z103="","Not rostered",IFERROR(INDEX(Settings!$C$14:$C$33,MATCH(Z103,Settings!$B$14:$B$33,0)),IFERROR(LOOKUP(2^15,SEARCH(Settings!$I$14:$I$83,Z103)/(Settings!$I$14:$I$83&lt;&gt;""),Settings!$J$14:$J$83),"Other"))))</f>
        <v/>
      </c>
      <c r="BD103">
        <f>IF($B103="","",IF(AA103="","Not rostered",IFERROR(INDEX(Settings!$C$14:$C$33,MATCH(AA103,Settings!$B$14:$B$33,0)),IFERROR(LOOKUP(2^15,SEARCH(Settings!$I$14:$I$83,AA103)/(Settings!$I$14:$I$83&lt;&gt;""),Settings!$J$14:$J$83),"Other"))))</f>
        <v/>
      </c>
      <c r="BE103">
        <f>IF($B103="","",IF(AB103="","Not rostered",IFERROR(INDEX(Settings!$C$14:$C$33,MATCH(AB103,Settings!$B$14:$B$33,0)),IFERROR(LOOKUP(2^15,SEARCH(Settings!$I$14:$I$83,AB103)/(Settings!$I$14:$I$83&lt;&gt;""),Settings!$J$14:$J$83),"Other"))))</f>
        <v/>
      </c>
      <c r="BF103">
        <f>IF($B103="","",IF(AC103="","Not rostered",IFERROR(INDEX(Settings!$C$14:$C$33,MATCH(AC103,Settings!$B$14:$B$33,0)),IFERROR(LOOKUP(2^15,SEARCH(Settings!$I$14:$I$83,AC103)/(Settings!$I$14:$I$83&lt;&gt;""),Settings!$J$14:$J$83),"Other"))))</f>
        <v/>
      </c>
      <c r="BG103">
        <f>IF($B103="","",IF(AD103="","Not rostered",IFERROR(INDEX(Settings!$C$14:$C$33,MATCH(AD103,Settings!$B$14:$B$33,0)),IFERROR(LOOKUP(2^15,SEARCH(Settings!$I$14:$I$83,AD103)/(Settings!$I$14:$I$83&lt;&gt;""),Settings!$J$14:$J$83),"Other"))))</f>
        <v/>
      </c>
      <c r="BH103">
        <f>IF($B103="","",IF(AE103="","Not rostered",IFERROR(INDEX(Settings!$C$14:$C$33,MATCH(AE103,Settings!$B$14:$B$33,0)),IFERROR(LOOKUP(2^15,SEARCH(Settings!$I$14:$I$83,AE103)/(Settings!$I$14:$I$83&lt;&gt;""),Settings!$J$14:$J$83),"Other"))))</f>
        <v/>
      </c>
      <c r="BI103">
        <f>IF($B103="","",IF(AF103="","Not rostered",IFERROR(INDEX(Settings!$C$14:$C$33,MATCH(AF103,Settings!$B$14:$B$33,0)),IFERROR(LOOKUP(2^15,SEARCH(Settings!$I$14:$I$83,AF103)/(Settings!$I$14:$I$83&lt;&gt;""),Settings!$J$14:$J$83),"Other"))))</f>
        <v/>
      </c>
      <c r="BJ103">
        <f>IF($B103="","",IF(AG103="","Not rostered",IFERROR(INDEX(Settings!$C$14:$C$33,MATCH(AG103,Settings!$B$14:$B$33,0)),IFERROR(LOOKUP(2^15,SEARCH(Settings!$I$14:$I$83,AG103)/(Settings!$I$14:$I$83&lt;&gt;""),Settings!$J$14:$J$83),"Other"))))</f>
        <v/>
      </c>
      <c r="BL103">
        <f>IF(OR($B103="",F103=""),"",IFERROR(INDEX(Settings!$D$14:$D$33,MATCH(F103,Settings!$B$14:$B$33,0))&amp;"",IFERROR(LOOKUP(2^15,SEARCH(Settings!$F$14:$F$43,F103)/(Settings!$F$14:$F$43&lt;&gt;""),Settings!$G$14:$G$43),"")))</f>
        <v/>
      </c>
      <c r="BM103">
        <f>IF(OR($B103="",G103=""),"",IFERROR(INDEX(Settings!$D$14:$D$33,MATCH(G103,Settings!$B$14:$B$33,0))&amp;"",IFERROR(LOOKUP(2^15,SEARCH(Settings!$F$14:$F$43,G103)/(Settings!$F$14:$F$43&lt;&gt;""),Settings!$G$14:$G$43),"")))</f>
        <v/>
      </c>
      <c r="BN103">
        <f>IF(OR($B103="",H103=""),"",IFERROR(INDEX(Settings!$D$14:$D$33,MATCH(H103,Settings!$B$14:$B$33,0))&amp;"",IFERROR(LOOKUP(2^15,SEARCH(Settings!$F$14:$F$43,H103)/(Settings!$F$14:$F$43&lt;&gt;""),Settings!$G$14:$G$43),"")))</f>
        <v/>
      </c>
      <c r="BO103">
        <f>IF(OR($B103="",I103=""),"",IFERROR(INDEX(Settings!$D$14:$D$33,MATCH(I103,Settings!$B$14:$B$33,0))&amp;"",IFERROR(LOOKUP(2^15,SEARCH(Settings!$F$14:$F$43,I103)/(Settings!$F$14:$F$43&lt;&gt;""),Settings!$G$14:$G$43),"")))</f>
        <v/>
      </c>
      <c r="BP103">
        <f>IF(OR($B103="",J103=""),"",IFERROR(INDEX(Settings!$D$14:$D$33,MATCH(J103,Settings!$B$14:$B$33,0))&amp;"",IFERROR(LOOKUP(2^15,SEARCH(Settings!$F$14:$F$43,J103)/(Settings!$F$14:$F$43&lt;&gt;""),Settings!$G$14:$G$43),"")))</f>
        <v/>
      </c>
      <c r="BQ103">
        <f>IF(OR($B103="",K103=""),"",IFERROR(INDEX(Settings!$D$14:$D$33,MATCH(K103,Settings!$B$14:$B$33,0))&amp;"",IFERROR(LOOKUP(2^15,SEARCH(Settings!$F$14:$F$43,K103)/(Settings!$F$14:$F$43&lt;&gt;""),Settings!$G$14:$G$43),"")))</f>
        <v/>
      </c>
      <c r="BR103">
        <f>IF(OR($B103="",L103=""),"",IFERROR(INDEX(Settings!$D$14:$D$33,MATCH(L103,Settings!$B$14:$B$33,0))&amp;"",IFERROR(LOOKUP(2^15,SEARCH(Settings!$F$14:$F$43,L103)/(Settings!$F$14:$F$43&lt;&gt;""),Settings!$G$14:$G$43),"")))</f>
        <v/>
      </c>
      <c r="BS103">
        <f>IF(OR($B103="",M103=""),"",IFERROR(INDEX(Settings!$D$14:$D$33,MATCH(M103,Settings!$B$14:$B$33,0))&amp;"",IFERROR(LOOKUP(2^15,SEARCH(Settings!$F$14:$F$43,M103)/(Settings!$F$14:$F$43&lt;&gt;""),Settings!$G$14:$G$43),"")))</f>
        <v/>
      </c>
      <c r="BT103">
        <f>IF(OR($B103="",N103=""),"",IFERROR(INDEX(Settings!$D$14:$D$33,MATCH(N103,Settings!$B$14:$B$33,0))&amp;"",IFERROR(LOOKUP(2^15,SEARCH(Settings!$F$14:$F$43,N103)/(Settings!$F$14:$F$43&lt;&gt;""),Settings!$G$14:$G$43),"")))</f>
        <v/>
      </c>
      <c r="BU103">
        <f>IF(OR($B103="",O103=""),"",IFERROR(INDEX(Settings!$D$14:$D$33,MATCH(O103,Settings!$B$14:$B$33,0))&amp;"",IFERROR(LOOKUP(2^15,SEARCH(Settings!$F$14:$F$43,O103)/(Settings!$F$14:$F$43&lt;&gt;""),Settings!$G$14:$G$43),"")))</f>
        <v/>
      </c>
      <c r="BV103">
        <f>IF(OR($B103="",P103=""),"",IFERROR(INDEX(Settings!$D$14:$D$33,MATCH(P103,Settings!$B$14:$B$33,0))&amp;"",IFERROR(LOOKUP(2^15,SEARCH(Settings!$F$14:$F$43,P103)/(Settings!$F$14:$F$43&lt;&gt;""),Settings!$G$14:$G$43),"")))</f>
        <v/>
      </c>
      <c r="BW103">
        <f>IF(OR($B103="",Q103=""),"",IFERROR(INDEX(Settings!$D$14:$D$33,MATCH(Q103,Settings!$B$14:$B$33,0))&amp;"",IFERROR(LOOKUP(2^15,SEARCH(Settings!$F$14:$F$43,Q103)/(Settings!$F$14:$F$43&lt;&gt;""),Settings!$G$14:$G$43),"")))</f>
        <v/>
      </c>
      <c r="BX103">
        <f>IF(OR($B103="",R103=""),"",IFERROR(INDEX(Settings!$D$14:$D$33,MATCH(R103,Settings!$B$14:$B$33,0))&amp;"",IFERROR(LOOKUP(2^15,SEARCH(Settings!$F$14:$F$43,R103)/(Settings!$F$14:$F$43&lt;&gt;""),Settings!$G$14:$G$43),"")))</f>
        <v/>
      </c>
      <c r="BY103">
        <f>IF(OR($B103="",S103=""),"",IFERROR(INDEX(Settings!$D$14:$D$33,MATCH(S103,Settings!$B$14:$B$33,0))&amp;"",IFERROR(LOOKUP(2^15,SEARCH(Settings!$F$14:$F$43,S103)/(Settings!$F$14:$F$43&lt;&gt;""),Settings!$G$14:$G$43),"")))</f>
        <v/>
      </c>
      <c r="BZ103">
        <f>IF(OR($B103="",T103=""),"",IFERROR(INDEX(Settings!$D$14:$D$33,MATCH(T103,Settings!$B$14:$B$33,0))&amp;"",IFERROR(LOOKUP(2^15,SEARCH(Settings!$F$14:$F$43,T103)/(Settings!$F$14:$F$43&lt;&gt;""),Settings!$G$14:$G$43),"")))</f>
        <v/>
      </c>
      <c r="CA103">
        <f>IF(OR($B103="",U103=""),"",IFERROR(INDEX(Settings!$D$14:$D$33,MATCH(U103,Settings!$B$14:$B$33,0))&amp;"",IFERROR(LOOKUP(2^15,SEARCH(Settings!$F$14:$F$43,U103)/(Settings!$F$14:$F$43&lt;&gt;""),Settings!$G$14:$G$43),"")))</f>
        <v/>
      </c>
      <c r="CB103">
        <f>IF(OR($B103="",V103=""),"",IFERROR(INDEX(Settings!$D$14:$D$33,MATCH(V103,Settings!$B$14:$B$33,0))&amp;"",IFERROR(LOOKUP(2^15,SEARCH(Settings!$F$14:$F$43,V103)/(Settings!$F$14:$F$43&lt;&gt;""),Settings!$G$14:$G$43),"")))</f>
        <v/>
      </c>
      <c r="CC103">
        <f>IF(OR($B103="",W103=""),"",IFERROR(INDEX(Settings!$D$14:$D$33,MATCH(W103,Settings!$B$14:$B$33,0))&amp;"",IFERROR(LOOKUP(2^15,SEARCH(Settings!$F$14:$F$43,W103)/(Settings!$F$14:$F$43&lt;&gt;""),Settings!$G$14:$G$43),"")))</f>
        <v/>
      </c>
      <c r="CD103">
        <f>IF(OR($B103="",X103=""),"",IFERROR(INDEX(Settings!$D$14:$D$33,MATCH(X103,Settings!$B$14:$B$33,0))&amp;"",IFERROR(LOOKUP(2^15,SEARCH(Settings!$F$14:$F$43,X103)/(Settings!$F$14:$F$43&lt;&gt;""),Settings!$G$14:$G$43),"")))</f>
        <v/>
      </c>
      <c r="CE103">
        <f>IF(OR($B103="",Y103=""),"",IFERROR(INDEX(Settings!$D$14:$D$33,MATCH(Y103,Settings!$B$14:$B$33,0))&amp;"",IFERROR(LOOKUP(2^15,SEARCH(Settings!$F$14:$F$43,Y103)/(Settings!$F$14:$F$43&lt;&gt;""),Settings!$G$14:$G$43),"")))</f>
        <v/>
      </c>
      <c r="CF103">
        <f>IF(OR($B103="",Z103=""),"",IFERROR(INDEX(Settings!$D$14:$D$33,MATCH(Z103,Settings!$B$14:$B$33,0))&amp;"",IFERROR(LOOKUP(2^15,SEARCH(Settings!$F$14:$F$43,Z103)/(Settings!$F$14:$F$43&lt;&gt;""),Settings!$G$14:$G$43),"")))</f>
        <v/>
      </c>
      <c r="CG103">
        <f>IF(OR($B103="",AA103=""),"",IFERROR(INDEX(Settings!$D$14:$D$33,MATCH(AA103,Settings!$B$14:$B$33,0))&amp;"",IFERROR(LOOKUP(2^15,SEARCH(Settings!$F$14:$F$43,AA103)/(Settings!$F$14:$F$43&lt;&gt;""),Settings!$G$14:$G$43),"")))</f>
        <v/>
      </c>
      <c r="CH103">
        <f>IF(OR($B103="",AB103=""),"",IFERROR(INDEX(Settings!$D$14:$D$33,MATCH(AB103,Settings!$B$14:$B$33,0))&amp;"",IFERROR(LOOKUP(2^15,SEARCH(Settings!$F$14:$F$43,AB103)/(Settings!$F$14:$F$43&lt;&gt;""),Settings!$G$14:$G$43),"")))</f>
        <v/>
      </c>
      <c r="CI103">
        <f>IF(OR($B103="",AC103=""),"",IFERROR(INDEX(Settings!$D$14:$D$33,MATCH(AC103,Settings!$B$14:$B$33,0))&amp;"",IFERROR(LOOKUP(2^15,SEARCH(Settings!$F$14:$F$43,AC103)/(Settings!$F$14:$F$43&lt;&gt;""),Settings!$G$14:$G$43),"")))</f>
        <v/>
      </c>
      <c r="CJ103">
        <f>IF(OR($B103="",AD103=""),"",IFERROR(INDEX(Settings!$D$14:$D$33,MATCH(AD103,Settings!$B$14:$B$33,0))&amp;"",IFERROR(LOOKUP(2^15,SEARCH(Settings!$F$14:$F$43,AD103)/(Settings!$F$14:$F$43&lt;&gt;""),Settings!$G$14:$G$43),"")))</f>
        <v/>
      </c>
      <c r="CK103">
        <f>IF(OR($B103="",AE103=""),"",IFERROR(INDEX(Settings!$D$14:$D$33,MATCH(AE103,Settings!$B$14:$B$33,0))&amp;"",IFERROR(LOOKUP(2^15,SEARCH(Settings!$F$14:$F$43,AE103)/(Settings!$F$14:$F$43&lt;&gt;""),Settings!$G$14:$G$43),"")))</f>
        <v/>
      </c>
      <c r="CL103">
        <f>IF(OR($B103="",AF103=""),"",IFERROR(INDEX(Settings!$D$14:$D$33,MATCH(AF103,Settings!$B$14:$B$33,0))&amp;"",IFERROR(LOOKUP(2^15,SEARCH(Settings!$F$14:$F$43,AF103)/(Settings!$F$14:$F$43&lt;&gt;""),Settings!$G$14:$G$43),"")))</f>
        <v/>
      </c>
      <c r="CM103">
        <f>IF(OR($B103="",AG103=""),"",IFERROR(INDEX(Settings!$D$14:$D$33,MATCH(AG103,Settings!$B$14:$B$33,0))&amp;"",IFERROR(LOOKUP(2^15,SEARCH(Settings!$F$14:$F$43,AG103)/(Settings!$F$14:$F$43&lt;&gt;""),Settings!$G$14:$G$43),"")))</f>
        <v/>
      </c>
    </row>
    <row r="104">
      <c r="A104" t="n">
        <v>102</v>
      </c>
      <c r="B104">
        <f>IFERROR(INDEX(Index!$A$2:$A$202,MATCH(A104,Index!$E$2:$E$202,0)),"")</f>
        <v/>
      </c>
      <c r="D104">
        <f>IF($B104="","",IFERROR(MATCH("Travel*",AI104:BJ104,0),""))</f>
        <v/>
      </c>
      <c r="F104">
        <f>IF(OR($B104="",NOT(ISNUMBER(Settings!$C$9))),"",TRIM(SUBSTITUTE(SUBSTITUTE(INDEX('INPUT - Roster'!$S$1:$SV$206,$B104,Settings!$C$9+0)&amp;"",CHAR(10)," "),CHAR(160)," ")))</f>
        <v/>
      </c>
      <c r="G104">
        <f>IF(OR($B104="",NOT(ISNUMBER(Settings!$C$9))),"",TRIM(SUBSTITUTE(SUBSTITUTE(INDEX('INPUT - Roster'!$S$1:$SV$206,$B104,Settings!$C$9+1)&amp;"",CHAR(10)," "),CHAR(160)," ")))</f>
        <v/>
      </c>
      <c r="H104">
        <f>IF(OR($B104="",NOT(ISNUMBER(Settings!$C$9))),"",TRIM(SUBSTITUTE(SUBSTITUTE(INDEX('INPUT - Roster'!$S$1:$SV$206,$B104,Settings!$C$9+2)&amp;"",CHAR(10)," "),CHAR(160)," ")))</f>
        <v/>
      </c>
      <c r="I104">
        <f>IF(OR($B104="",NOT(ISNUMBER(Settings!$C$9))),"",TRIM(SUBSTITUTE(SUBSTITUTE(INDEX('INPUT - Roster'!$S$1:$SV$206,$B104,Settings!$C$9+3)&amp;"",CHAR(10)," "),CHAR(160)," ")))</f>
        <v/>
      </c>
      <c r="J104">
        <f>IF(OR($B104="",NOT(ISNUMBER(Settings!$C$9))),"",TRIM(SUBSTITUTE(SUBSTITUTE(INDEX('INPUT - Roster'!$S$1:$SV$206,$B104,Settings!$C$9+4)&amp;"",CHAR(10)," "),CHAR(160)," ")))</f>
        <v/>
      </c>
      <c r="K104">
        <f>IF(OR($B104="",NOT(ISNUMBER(Settings!$C$9))),"",TRIM(SUBSTITUTE(SUBSTITUTE(INDEX('INPUT - Roster'!$S$1:$SV$206,$B104,Settings!$C$9+5)&amp;"",CHAR(10)," "),CHAR(160)," ")))</f>
        <v/>
      </c>
      <c r="L104">
        <f>IF(OR($B104="",NOT(ISNUMBER(Settings!$C$9))),"",TRIM(SUBSTITUTE(SUBSTITUTE(INDEX('INPUT - Roster'!$S$1:$SV$206,$B104,Settings!$C$9+6)&amp;"",CHAR(10)," "),CHAR(160)," ")))</f>
        <v/>
      </c>
      <c r="M104">
        <f>IF(OR($B104="",NOT(ISNUMBER(Settings!$C$9))),"",TRIM(SUBSTITUTE(SUBSTITUTE(INDEX('INPUT - Roster'!$S$1:$SV$206,$B104,Settings!$C$9+7)&amp;"",CHAR(10)," "),CHAR(160)," ")))</f>
        <v/>
      </c>
      <c r="N104">
        <f>IF(OR($B104="",NOT(ISNUMBER(Settings!$C$9))),"",TRIM(SUBSTITUTE(SUBSTITUTE(INDEX('INPUT - Roster'!$S$1:$SV$206,$B104,Settings!$C$9+8)&amp;"",CHAR(10)," "),CHAR(160)," ")))</f>
        <v/>
      </c>
      <c r="O104">
        <f>IF(OR($B104="",NOT(ISNUMBER(Settings!$C$9))),"",TRIM(SUBSTITUTE(SUBSTITUTE(INDEX('INPUT - Roster'!$S$1:$SV$206,$B104,Settings!$C$9+9)&amp;"",CHAR(10)," "),CHAR(160)," ")))</f>
        <v/>
      </c>
      <c r="P104">
        <f>IF(OR($B104="",NOT(ISNUMBER(Settings!$C$9))),"",TRIM(SUBSTITUTE(SUBSTITUTE(INDEX('INPUT - Roster'!$S$1:$SV$206,$B104,Settings!$C$9+10)&amp;"",CHAR(10)," "),CHAR(160)," ")))</f>
        <v/>
      </c>
      <c r="Q104">
        <f>IF(OR($B104="",NOT(ISNUMBER(Settings!$C$9))),"",TRIM(SUBSTITUTE(SUBSTITUTE(INDEX('INPUT - Roster'!$S$1:$SV$206,$B104,Settings!$C$9+11)&amp;"",CHAR(10)," "),CHAR(160)," ")))</f>
        <v/>
      </c>
      <c r="R104">
        <f>IF(OR($B104="",NOT(ISNUMBER(Settings!$C$9))),"",TRIM(SUBSTITUTE(SUBSTITUTE(INDEX('INPUT - Roster'!$S$1:$SV$206,$B104,Settings!$C$9+12)&amp;"",CHAR(10)," "),CHAR(160)," ")))</f>
        <v/>
      </c>
      <c r="S104">
        <f>IF(OR($B104="",NOT(ISNUMBER(Settings!$C$9))),"",TRIM(SUBSTITUTE(SUBSTITUTE(INDEX('INPUT - Roster'!$S$1:$SV$206,$B104,Settings!$C$9+13)&amp;"",CHAR(10)," "),CHAR(160)," ")))</f>
        <v/>
      </c>
      <c r="T104">
        <f>IF(OR($B104="",NOT(ISNUMBER(Settings!$C$9))),"",TRIM(SUBSTITUTE(SUBSTITUTE(INDEX('INPUT - Roster'!$S$1:$SV$206,$B104,Settings!$C$9+14)&amp;"",CHAR(10)," "),CHAR(160)," ")))</f>
        <v/>
      </c>
      <c r="U104">
        <f>IF(OR($B104="",NOT(ISNUMBER(Settings!$C$9))),"",TRIM(SUBSTITUTE(SUBSTITUTE(INDEX('INPUT - Roster'!$S$1:$SV$206,$B104,Settings!$C$9+15)&amp;"",CHAR(10)," "),CHAR(160)," ")))</f>
        <v/>
      </c>
      <c r="V104">
        <f>IF(OR($B104="",NOT(ISNUMBER(Settings!$C$9))),"",TRIM(SUBSTITUTE(SUBSTITUTE(INDEX('INPUT - Roster'!$S$1:$SV$206,$B104,Settings!$C$9+16)&amp;"",CHAR(10)," "),CHAR(160)," ")))</f>
        <v/>
      </c>
      <c r="W104">
        <f>IF(OR($B104="",NOT(ISNUMBER(Settings!$C$9))),"",TRIM(SUBSTITUTE(SUBSTITUTE(INDEX('INPUT - Roster'!$S$1:$SV$206,$B104,Settings!$C$9+17)&amp;"",CHAR(10)," "),CHAR(160)," ")))</f>
        <v/>
      </c>
      <c r="X104">
        <f>IF(OR($B104="",NOT(ISNUMBER(Settings!$C$9))),"",TRIM(SUBSTITUTE(SUBSTITUTE(INDEX('INPUT - Roster'!$S$1:$SV$206,$B104,Settings!$C$9+18)&amp;"",CHAR(10)," "),CHAR(160)," ")))</f>
        <v/>
      </c>
      <c r="Y104">
        <f>IF(OR($B104="",NOT(ISNUMBER(Settings!$C$9))),"",TRIM(SUBSTITUTE(SUBSTITUTE(INDEX('INPUT - Roster'!$S$1:$SV$206,$B104,Settings!$C$9+19)&amp;"",CHAR(10)," "),CHAR(160)," ")))</f>
        <v/>
      </c>
      <c r="Z104">
        <f>IF(OR($B104="",NOT(ISNUMBER(Settings!$C$9))),"",TRIM(SUBSTITUTE(SUBSTITUTE(INDEX('INPUT - Roster'!$S$1:$SV$206,$B104,Settings!$C$9+20)&amp;"",CHAR(10)," "),CHAR(160)," ")))</f>
        <v/>
      </c>
      <c r="AA104">
        <f>IF(OR($B104="",NOT(ISNUMBER(Settings!$C$9))),"",TRIM(SUBSTITUTE(SUBSTITUTE(INDEX('INPUT - Roster'!$S$1:$SV$206,$B104,Settings!$C$9+21)&amp;"",CHAR(10)," "),CHAR(160)," ")))</f>
        <v/>
      </c>
      <c r="AB104">
        <f>IF(OR($B104="",NOT(ISNUMBER(Settings!$C$9))),"",TRIM(SUBSTITUTE(SUBSTITUTE(INDEX('INPUT - Roster'!$S$1:$SV$206,$B104,Settings!$C$9+22)&amp;"",CHAR(10)," "),CHAR(160)," ")))</f>
        <v/>
      </c>
      <c r="AC104">
        <f>IF(OR($B104="",NOT(ISNUMBER(Settings!$C$9))),"",TRIM(SUBSTITUTE(SUBSTITUTE(INDEX('INPUT - Roster'!$S$1:$SV$206,$B104,Settings!$C$9+23)&amp;"",CHAR(10)," "),CHAR(160)," ")))</f>
        <v/>
      </c>
      <c r="AD104">
        <f>IF(OR($B104="",NOT(ISNUMBER(Settings!$C$9))),"",TRIM(SUBSTITUTE(SUBSTITUTE(INDEX('INPUT - Roster'!$S$1:$SV$206,$B104,Settings!$C$9+24)&amp;"",CHAR(10)," "),CHAR(160)," ")))</f>
        <v/>
      </c>
      <c r="AE104">
        <f>IF(OR($B104="",NOT(ISNUMBER(Settings!$C$9))),"",TRIM(SUBSTITUTE(SUBSTITUTE(INDEX('INPUT - Roster'!$S$1:$SV$206,$B104,Settings!$C$9+25)&amp;"",CHAR(10)," "),CHAR(160)," ")))</f>
        <v/>
      </c>
      <c r="AF104">
        <f>IF(OR($B104="",NOT(ISNUMBER(Settings!$C$9))),"",TRIM(SUBSTITUTE(SUBSTITUTE(INDEX('INPUT - Roster'!$S$1:$SV$206,$B104,Settings!$C$9+26)&amp;"",CHAR(10)," "),CHAR(160)," ")))</f>
        <v/>
      </c>
      <c r="AG104">
        <f>IF(OR($B104="",NOT(ISNUMBER(Settings!$C$9))),"",TRIM(SUBSTITUTE(SUBSTITUTE(INDEX('INPUT - Roster'!$S$1:$SV$206,$B104,Settings!$C$9+27)&amp;"",CHAR(10)," "),CHAR(160)," ")))</f>
        <v/>
      </c>
      <c r="AI104">
        <f>IF($B104="","",IF(F104="","Not rostered",IFERROR(INDEX(Settings!$C$14:$C$33,MATCH(F104,Settings!$B$14:$B$33,0)),IFERROR(LOOKUP(2^15,SEARCH(Settings!$I$14:$I$83,F104)/(Settings!$I$14:$I$83&lt;&gt;""),Settings!$J$14:$J$83),"Other"))))</f>
        <v/>
      </c>
      <c r="AJ104">
        <f>IF($B104="","",IF(G104="","Not rostered",IFERROR(INDEX(Settings!$C$14:$C$33,MATCH(G104,Settings!$B$14:$B$33,0)),IFERROR(LOOKUP(2^15,SEARCH(Settings!$I$14:$I$83,G104)/(Settings!$I$14:$I$83&lt;&gt;""),Settings!$J$14:$J$83),"Other"))))</f>
        <v/>
      </c>
      <c r="AK104">
        <f>IF($B104="","",IF(H104="","Not rostered",IFERROR(INDEX(Settings!$C$14:$C$33,MATCH(H104,Settings!$B$14:$B$33,0)),IFERROR(LOOKUP(2^15,SEARCH(Settings!$I$14:$I$83,H104)/(Settings!$I$14:$I$83&lt;&gt;""),Settings!$J$14:$J$83),"Other"))))</f>
        <v/>
      </c>
      <c r="AL104">
        <f>IF($B104="","",IF(I104="","Not rostered",IFERROR(INDEX(Settings!$C$14:$C$33,MATCH(I104,Settings!$B$14:$B$33,0)),IFERROR(LOOKUP(2^15,SEARCH(Settings!$I$14:$I$83,I104)/(Settings!$I$14:$I$83&lt;&gt;""),Settings!$J$14:$J$83),"Other"))))</f>
        <v/>
      </c>
      <c r="AM104">
        <f>IF($B104="","",IF(J104="","Not rostered",IFERROR(INDEX(Settings!$C$14:$C$33,MATCH(J104,Settings!$B$14:$B$33,0)),IFERROR(LOOKUP(2^15,SEARCH(Settings!$I$14:$I$83,J104)/(Settings!$I$14:$I$83&lt;&gt;""),Settings!$J$14:$J$83),"Other"))))</f>
        <v/>
      </c>
      <c r="AN104">
        <f>IF($B104="","",IF(K104="","Not rostered",IFERROR(INDEX(Settings!$C$14:$C$33,MATCH(K104,Settings!$B$14:$B$33,0)),IFERROR(LOOKUP(2^15,SEARCH(Settings!$I$14:$I$83,K104)/(Settings!$I$14:$I$83&lt;&gt;""),Settings!$J$14:$J$83),"Other"))))</f>
        <v/>
      </c>
      <c r="AO104">
        <f>IF($B104="","",IF(L104="","Not rostered",IFERROR(INDEX(Settings!$C$14:$C$33,MATCH(L104,Settings!$B$14:$B$33,0)),IFERROR(LOOKUP(2^15,SEARCH(Settings!$I$14:$I$83,L104)/(Settings!$I$14:$I$83&lt;&gt;""),Settings!$J$14:$J$83),"Other"))))</f>
        <v/>
      </c>
      <c r="AP104">
        <f>IF($B104="","",IF(M104="","Not rostered",IFERROR(INDEX(Settings!$C$14:$C$33,MATCH(M104,Settings!$B$14:$B$33,0)),IFERROR(LOOKUP(2^15,SEARCH(Settings!$I$14:$I$83,M104)/(Settings!$I$14:$I$83&lt;&gt;""),Settings!$J$14:$J$83),"Other"))))</f>
        <v/>
      </c>
      <c r="AQ104">
        <f>IF($B104="","",IF(N104="","Not rostered",IFERROR(INDEX(Settings!$C$14:$C$33,MATCH(N104,Settings!$B$14:$B$33,0)),IFERROR(LOOKUP(2^15,SEARCH(Settings!$I$14:$I$83,N104)/(Settings!$I$14:$I$83&lt;&gt;""),Settings!$J$14:$J$83),"Other"))))</f>
        <v/>
      </c>
      <c r="AR104">
        <f>IF($B104="","",IF(O104="","Not rostered",IFERROR(INDEX(Settings!$C$14:$C$33,MATCH(O104,Settings!$B$14:$B$33,0)),IFERROR(LOOKUP(2^15,SEARCH(Settings!$I$14:$I$83,O104)/(Settings!$I$14:$I$83&lt;&gt;""),Settings!$J$14:$J$83),"Other"))))</f>
        <v/>
      </c>
      <c r="AS104">
        <f>IF($B104="","",IF(P104="","Not rostered",IFERROR(INDEX(Settings!$C$14:$C$33,MATCH(P104,Settings!$B$14:$B$33,0)),IFERROR(LOOKUP(2^15,SEARCH(Settings!$I$14:$I$83,P104)/(Settings!$I$14:$I$83&lt;&gt;""),Settings!$J$14:$J$83),"Other"))))</f>
        <v/>
      </c>
      <c r="AT104">
        <f>IF($B104="","",IF(Q104="","Not rostered",IFERROR(INDEX(Settings!$C$14:$C$33,MATCH(Q104,Settings!$B$14:$B$33,0)),IFERROR(LOOKUP(2^15,SEARCH(Settings!$I$14:$I$83,Q104)/(Settings!$I$14:$I$83&lt;&gt;""),Settings!$J$14:$J$83),"Other"))))</f>
        <v/>
      </c>
      <c r="AU104">
        <f>IF($B104="","",IF(R104="","Not rostered",IFERROR(INDEX(Settings!$C$14:$C$33,MATCH(R104,Settings!$B$14:$B$33,0)),IFERROR(LOOKUP(2^15,SEARCH(Settings!$I$14:$I$83,R104)/(Settings!$I$14:$I$83&lt;&gt;""),Settings!$J$14:$J$83),"Other"))))</f>
        <v/>
      </c>
      <c r="AV104">
        <f>IF($B104="","",IF(S104="","Not rostered",IFERROR(INDEX(Settings!$C$14:$C$33,MATCH(S104,Settings!$B$14:$B$33,0)),IFERROR(LOOKUP(2^15,SEARCH(Settings!$I$14:$I$83,S104)/(Settings!$I$14:$I$83&lt;&gt;""),Settings!$J$14:$J$83),"Other"))))</f>
        <v/>
      </c>
      <c r="AW104">
        <f>IF($B104="","",IF(T104="","Not rostered",IFERROR(INDEX(Settings!$C$14:$C$33,MATCH(T104,Settings!$B$14:$B$33,0)),IFERROR(LOOKUP(2^15,SEARCH(Settings!$I$14:$I$83,T104)/(Settings!$I$14:$I$83&lt;&gt;""),Settings!$J$14:$J$83),"Other"))))</f>
        <v/>
      </c>
      <c r="AX104">
        <f>IF($B104="","",IF(U104="","Not rostered",IFERROR(INDEX(Settings!$C$14:$C$33,MATCH(U104,Settings!$B$14:$B$33,0)),IFERROR(LOOKUP(2^15,SEARCH(Settings!$I$14:$I$83,U104)/(Settings!$I$14:$I$83&lt;&gt;""),Settings!$J$14:$J$83),"Other"))))</f>
        <v/>
      </c>
      <c r="AY104">
        <f>IF($B104="","",IF(V104="","Not rostered",IFERROR(INDEX(Settings!$C$14:$C$33,MATCH(V104,Settings!$B$14:$B$33,0)),IFERROR(LOOKUP(2^15,SEARCH(Settings!$I$14:$I$83,V104)/(Settings!$I$14:$I$83&lt;&gt;""),Settings!$J$14:$J$83),"Other"))))</f>
        <v/>
      </c>
      <c r="AZ104">
        <f>IF($B104="","",IF(W104="","Not rostered",IFERROR(INDEX(Settings!$C$14:$C$33,MATCH(W104,Settings!$B$14:$B$33,0)),IFERROR(LOOKUP(2^15,SEARCH(Settings!$I$14:$I$83,W104)/(Settings!$I$14:$I$83&lt;&gt;""),Settings!$J$14:$J$83),"Other"))))</f>
        <v/>
      </c>
      <c r="BA104">
        <f>IF($B104="","",IF(X104="","Not rostered",IFERROR(INDEX(Settings!$C$14:$C$33,MATCH(X104,Settings!$B$14:$B$33,0)),IFERROR(LOOKUP(2^15,SEARCH(Settings!$I$14:$I$83,X104)/(Settings!$I$14:$I$83&lt;&gt;""),Settings!$J$14:$J$83),"Other"))))</f>
        <v/>
      </c>
      <c r="BB104">
        <f>IF($B104="","",IF(Y104="","Not rostered",IFERROR(INDEX(Settings!$C$14:$C$33,MATCH(Y104,Settings!$B$14:$B$33,0)),IFERROR(LOOKUP(2^15,SEARCH(Settings!$I$14:$I$83,Y104)/(Settings!$I$14:$I$83&lt;&gt;""),Settings!$J$14:$J$83),"Other"))))</f>
        <v/>
      </c>
      <c r="BC104">
        <f>IF($B104="","",IF(Z104="","Not rostered",IFERROR(INDEX(Settings!$C$14:$C$33,MATCH(Z104,Settings!$B$14:$B$33,0)),IFERROR(LOOKUP(2^15,SEARCH(Settings!$I$14:$I$83,Z104)/(Settings!$I$14:$I$83&lt;&gt;""),Settings!$J$14:$J$83),"Other"))))</f>
        <v/>
      </c>
      <c r="BD104">
        <f>IF($B104="","",IF(AA104="","Not rostered",IFERROR(INDEX(Settings!$C$14:$C$33,MATCH(AA104,Settings!$B$14:$B$33,0)),IFERROR(LOOKUP(2^15,SEARCH(Settings!$I$14:$I$83,AA104)/(Settings!$I$14:$I$83&lt;&gt;""),Settings!$J$14:$J$83),"Other"))))</f>
        <v/>
      </c>
      <c r="BE104">
        <f>IF($B104="","",IF(AB104="","Not rostered",IFERROR(INDEX(Settings!$C$14:$C$33,MATCH(AB104,Settings!$B$14:$B$33,0)),IFERROR(LOOKUP(2^15,SEARCH(Settings!$I$14:$I$83,AB104)/(Settings!$I$14:$I$83&lt;&gt;""),Settings!$J$14:$J$83),"Other"))))</f>
        <v/>
      </c>
      <c r="BF104">
        <f>IF($B104="","",IF(AC104="","Not rostered",IFERROR(INDEX(Settings!$C$14:$C$33,MATCH(AC104,Settings!$B$14:$B$33,0)),IFERROR(LOOKUP(2^15,SEARCH(Settings!$I$14:$I$83,AC104)/(Settings!$I$14:$I$83&lt;&gt;""),Settings!$J$14:$J$83),"Other"))))</f>
        <v/>
      </c>
      <c r="BG104">
        <f>IF($B104="","",IF(AD104="","Not rostered",IFERROR(INDEX(Settings!$C$14:$C$33,MATCH(AD104,Settings!$B$14:$B$33,0)),IFERROR(LOOKUP(2^15,SEARCH(Settings!$I$14:$I$83,AD104)/(Settings!$I$14:$I$83&lt;&gt;""),Settings!$J$14:$J$83),"Other"))))</f>
        <v/>
      </c>
      <c r="BH104">
        <f>IF($B104="","",IF(AE104="","Not rostered",IFERROR(INDEX(Settings!$C$14:$C$33,MATCH(AE104,Settings!$B$14:$B$33,0)),IFERROR(LOOKUP(2^15,SEARCH(Settings!$I$14:$I$83,AE104)/(Settings!$I$14:$I$83&lt;&gt;""),Settings!$J$14:$J$83),"Other"))))</f>
        <v/>
      </c>
      <c r="BI104">
        <f>IF($B104="","",IF(AF104="","Not rostered",IFERROR(INDEX(Settings!$C$14:$C$33,MATCH(AF104,Settings!$B$14:$B$33,0)),IFERROR(LOOKUP(2^15,SEARCH(Settings!$I$14:$I$83,AF104)/(Settings!$I$14:$I$83&lt;&gt;""),Settings!$J$14:$J$83),"Other"))))</f>
        <v/>
      </c>
      <c r="BJ104">
        <f>IF($B104="","",IF(AG104="","Not rostered",IFERROR(INDEX(Settings!$C$14:$C$33,MATCH(AG104,Settings!$B$14:$B$33,0)),IFERROR(LOOKUP(2^15,SEARCH(Settings!$I$14:$I$83,AG104)/(Settings!$I$14:$I$83&lt;&gt;""),Settings!$J$14:$J$83),"Other"))))</f>
        <v/>
      </c>
      <c r="BL104">
        <f>IF(OR($B104="",F104=""),"",IFERROR(INDEX(Settings!$D$14:$D$33,MATCH(F104,Settings!$B$14:$B$33,0))&amp;"",IFERROR(LOOKUP(2^15,SEARCH(Settings!$F$14:$F$43,F104)/(Settings!$F$14:$F$43&lt;&gt;""),Settings!$G$14:$G$43),"")))</f>
        <v/>
      </c>
      <c r="BM104">
        <f>IF(OR($B104="",G104=""),"",IFERROR(INDEX(Settings!$D$14:$D$33,MATCH(G104,Settings!$B$14:$B$33,0))&amp;"",IFERROR(LOOKUP(2^15,SEARCH(Settings!$F$14:$F$43,G104)/(Settings!$F$14:$F$43&lt;&gt;""),Settings!$G$14:$G$43),"")))</f>
        <v/>
      </c>
      <c r="BN104">
        <f>IF(OR($B104="",H104=""),"",IFERROR(INDEX(Settings!$D$14:$D$33,MATCH(H104,Settings!$B$14:$B$33,0))&amp;"",IFERROR(LOOKUP(2^15,SEARCH(Settings!$F$14:$F$43,H104)/(Settings!$F$14:$F$43&lt;&gt;""),Settings!$G$14:$G$43),"")))</f>
        <v/>
      </c>
      <c r="BO104">
        <f>IF(OR($B104="",I104=""),"",IFERROR(INDEX(Settings!$D$14:$D$33,MATCH(I104,Settings!$B$14:$B$33,0))&amp;"",IFERROR(LOOKUP(2^15,SEARCH(Settings!$F$14:$F$43,I104)/(Settings!$F$14:$F$43&lt;&gt;""),Settings!$G$14:$G$43),"")))</f>
        <v/>
      </c>
      <c r="BP104">
        <f>IF(OR($B104="",J104=""),"",IFERROR(INDEX(Settings!$D$14:$D$33,MATCH(J104,Settings!$B$14:$B$33,0))&amp;"",IFERROR(LOOKUP(2^15,SEARCH(Settings!$F$14:$F$43,J104)/(Settings!$F$14:$F$43&lt;&gt;""),Settings!$G$14:$G$43),"")))</f>
        <v/>
      </c>
      <c r="BQ104">
        <f>IF(OR($B104="",K104=""),"",IFERROR(INDEX(Settings!$D$14:$D$33,MATCH(K104,Settings!$B$14:$B$33,0))&amp;"",IFERROR(LOOKUP(2^15,SEARCH(Settings!$F$14:$F$43,K104)/(Settings!$F$14:$F$43&lt;&gt;""),Settings!$G$14:$G$43),"")))</f>
        <v/>
      </c>
      <c r="BR104">
        <f>IF(OR($B104="",L104=""),"",IFERROR(INDEX(Settings!$D$14:$D$33,MATCH(L104,Settings!$B$14:$B$33,0))&amp;"",IFERROR(LOOKUP(2^15,SEARCH(Settings!$F$14:$F$43,L104)/(Settings!$F$14:$F$43&lt;&gt;""),Settings!$G$14:$G$43),"")))</f>
        <v/>
      </c>
      <c r="BS104">
        <f>IF(OR($B104="",M104=""),"",IFERROR(INDEX(Settings!$D$14:$D$33,MATCH(M104,Settings!$B$14:$B$33,0))&amp;"",IFERROR(LOOKUP(2^15,SEARCH(Settings!$F$14:$F$43,M104)/(Settings!$F$14:$F$43&lt;&gt;""),Settings!$G$14:$G$43),"")))</f>
        <v/>
      </c>
      <c r="BT104">
        <f>IF(OR($B104="",N104=""),"",IFERROR(INDEX(Settings!$D$14:$D$33,MATCH(N104,Settings!$B$14:$B$33,0))&amp;"",IFERROR(LOOKUP(2^15,SEARCH(Settings!$F$14:$F$43,N104)/(Settings!$F$14:$F$43&lt;&gt;""),Settings!$G$14:$G$43),"")))</f>
        <v/>
      </c>
      <c r="BU104">
        <f>IF(OR($B104="",O104=""),"",IFERROR(INDEX(Settings!$D$14:$D$33,MATCH(O104,Settings!$B$14:$B$33,0))&amp;"",IFERROR(LOOKUP(2^15,SEARCH(Settings!$F$14:$F$43,O104)/(Settings!$F$14:$F$43&lt;&gt;""),Settings!$G$14:$G$43),"")))</f>
        <v/>
      </c>
      <c r="BV104">
        <f>IF(OR($B104="",P104=""),"",IFERROR(INDEX(Settings!$D$14:$D$33,MATCH(P104,Settings!$B$14:$B$33,0))&amp;"",IFERROR(LOOKUP(2^15,SEARCH(Settings!$F$14:$F$43,P104)/(Settings!$F$14:$F$43&lt;&gt;""),Settings!$G$14:$G$43),"")))</f>
        <v/>
      </c>
      <c r="BW104">
        <f>IF(OR($B104="",Q104=""),"",IFERROR(INDEX(Settings!$D$14:$D$33,MATCH(Q104,Settings!$B$14:$B$33,0))&amp;"",IFERROR(LOOKUP(2^15,SEARCH(Settings!$F$14:$F$43,Q104)/(Settings!$F$14:$F$43&lt;&gt;""),Settings!$G$14:$G$43),"")))</f>
        <v/>
      </c>
      <c r="BX104">
        <f>IF(OR($B104="",R104=""),"",IFERROR(INDEX(Settings!$D$14:$D$33,MATCH(R104,Settings!$B$14:$B$33,0))&amp;"",IFERROR(LOOKUP(2^15,SEARCH(Settings!$F$14:$F$43,R104)/(Settings!$F$14:$F$43&lt;&gt;""),Settings!$G$14:$G$43),"")))</f>
        <v/>
      </c>
      <c r="BY104">
        <f>IF(OR($B104="",S104=""),"",IFERROR(INDEX(Settings!$D$14:$D$33,MATCH(S104,Settings!$B$14:$B$33,0))&amp;"",IFERROR(LOOKUP(2^15,SEARCH(Settings!$F$14:$F$43,S104)/(Settings!$F$14:$F$43&lt;&gt;""),Settings!$G$14:$G$43),"")))</f>
        <v/>
      </c>
      <c r="BZ104">
        <f>IF(OR($B104="",T104=""),"",IFERROR(INDEX(Settings!$D$14:$D$33,MATCH(T104,Settings!$B$14:$B$33,0))&amp;"",IFERROR(LOOKUP(2^15,SEARCH(Settings!$F$14:$F$43,T104)/(Settings!$F$14:$F$43&lt;&gt;""),Settings!$G$14:$G$43),"")))</f>
        <v/>
      </c>
      <c r="CA104">
        <f>IF(OR($B104="",U104=""),"",IFERROR(INDEX(Settings!$D$14:$D$33,MATCH(U104,Settings!$B$14:$B$33,0))&amp;"",IFERROR(LOOKUP(2^15,SEARCH(Settings!$F$14:$F$43,U104)/(Settings!$F$14:$F$43&lt;&gt;""),Settings!$G$14:$G$43),"")))</f>
        <v/>
      </c>
      <c r="CB104">
        <f>IF(OR($B104="",V104=""),"",IFERROR(INDEX(Settings!$D$14:$D$33,MATCH(V104,Settings!$B$14:$B$33,0))&amp;"",IFERROR(LOOKUP(2^15,SEARCH(Settings!$F$14:$F$43,V104)/(Settings!$F$14:$F$43&lt;&gt;""),Settings!$G$14:$G$43),"")))</f>
        <v/>
      </c>
      <c r="CC104">
        <f>IF(OR($B104="",W104=""),"",IFERROR(INDEX(Settings!$D$14:$D$33,MATCH(W104,Settings!$B$14:$B$33,0))&amp;"",IFERROR(LOOKUP(2^15,SEARCH(Settings!$F$14:$F$43,W104)/(Settings!$F$14:$F$43&lt;&gt;""),Settings!$G$14:$G$43),"")))</f>
        <v/>
      </c>
      <c r="CD104">
        <f>IF(OR($B104="",X104=""),"",IFERROR(INDEX(Settings!$D$14:$D$33,MATCH(X104,Settings!$B$14:$B$33,0))&amp;"",IFERROR(LOOKUP(2^15,SEARCH(Settings!$F$14:$F$43,X104)/(Settings!$F$14:$F$43&lt;&gt;""),Settings!$G$14:$G$43),"")))</f>
        <v/>
      </c>
      <c r="CE104">
        <f>IF(OR($B104="",Y104=""),"",IFERROR(INDEX(Settings!$D$14:$D$33,MATCH(Y104,Settings!$B$14:$B$33,0))&amp;"",IFERROR(LOOKUP(2^15,SEARCH(Settings!$F$14:$F$43,Y104)/(Settings!$F$14:$F$43&lt;&gt;""),Settings!$G$14:$G$43),"")))</f>
        <v/>
      </c>
      <c r="CF104">
        <f>IF(OR($B104="",Z104=""),"",IFERROR(INDEX(Settings!$D$14:$D$33,MATCH(Z104,Settings!$B$14:$B$33,0))&amp;"",IFERROR(LOOKUP(2^15,SEARCH(Settings!$F$14:$F$43,Z104)/(Settings!$F$14:$F$43&lt;&gt;""),Settings!$G$14:$G$43),"")))</f>
        <v/>
      </c>
      <c r="CG104">
        <f>IF(OR($B104="",AA104=""),"",IFERROR(INDEX(Settings!$D$14:$D$33,MATCH(AA104,Settings!$B$14:$B$33,0))&amp;"",IFERROR(LOOKUP(2^15,SEARCH(Settings!$F$14:$F$43,AA104)/(Settings!$F$14:$F$43&lt;&gt;""),Settings!$G$14:$G$43),"")))</f>
        <v/>
      </c>
      <c r="CH104">
        <f>IF(OR($B104="",AB104=""),"",IFERROR(INDEX(Settings!$D$14:$D$33,MATCH(AB104,Settings!$B$14:$B$33,0))&amp;"",IFERROR(LOOKUP(2^15,SEARCH(Settings!$F$14:$F$43,AB104)/(Settings!$F$14:$F$43&lt;&gt;""),Settings!$G$14:$G$43),"")))</f>
        <v/>
      </c>
      <c r="CI104">
        <f>IF(OR($B104="",AC104=""),"",IFERROR(INDEX(Settings!$D$14:$D$33,MATCH(AC104,Settings!$B$14:$B$33,0))&amp;"",IFERROR(LOOKUP(2^15,SEARCH(Settings!$F$14:$F$43,AC104)/(Settings!$F$14:$F$43&lt;&gt;""),Settings!$G$14:$G$43),"")))</f>
        <v/>
      </c>
      <c r="CJ104">
        <f>IF(OR($B104="",AD104=""),"",IFERROR(INDEX(Settings!$D$14:$D$33,MATCH(AD104,Settings!$B$14:$B$33,0))&amp;"",IFERROR(LOOKUP(2^15,SEARCH(Settings!$F$14:$F$43,AD104)/(Settings!$F$14:$F$43&lt;&gt;""),Settings!$G$14:$G$43),"")))</f>
        <v/>
      </c>
      <c r="CK104">
        <f>IF(OR($B104="",AE104=""),"",IFERROR(INDEX(Settings!$D$14:$D$33,MATCH(AE104,Settings!$B$14:$B$33,0))&amp;"",IFERROR(LOOKUP(2^15,SEARCH(Settings!$F$14:$F$43,AE104)/(Settings!$F$14:$F$43&lt;&gt;""),Settings!$G$14:$G$43),"")))</f>
        <v/>
      </c>
      <c r="CL104">
        <f>IF(OR($B104="",AF104=""),"",IFERROR(INDEX(Settings!$D$14:$D$33,MATCH(AF104,Settings!$B$14:$B$33,0))&amp;"",IFERROR(LOOKUP(2^15,SEARCH(Settings!$F$14:$F$43,AF104)/(Settings!$F$14:$F$43&lt;&gt;""),Settings!$G$14:$G$43),"")))</f>
        <v/>
      </c>
      <c r="CM104">
        <f>IF(OR($B104="",AG104=""),"",IFERROR(INDEX(Settings!$D$14:$D$33,MATCH(AG104,Settings!$B$14:$B$33,0))&amp;"",IFERROR(LOOKUP(2^15,SEARCH(Settings!$F$14:$F$43,AG104)/(Settings!$F$14:$F$43&lt;&gt;""),Settings!$G$14:$G$43),"")))</f>
        <v/>
      </c>
    </row>
    <row r="105">
      <c r="A105" t="n">
        <v>103</v>
      </c>
      <c r="B105">
        <f>IFERROR(INDEX(Index!$A$2:$A$202,MATCH(A105,Index!$E$2:$E$202,0)),"")</f>
        <v/>
      </c>
      <c r="D105">
        <f>IF($B105="","",IFERROR(MATCH("Travel*",AI105:BJ105,0),""))</f>
        <v/>
      </c>
      <c r="F105">
        <f>IF(OR($B105="",NOT(ISNUMBER(Settings!$C$9))),"",TRIM(SUBSTITUTE(SUBSTITUTE(INDEX('INPUT - Roster'!$S$1:$SV$206,$B105,Settings!$C$9+0)&amp;"",CHAR(10)," "),CHAR(160)," ")))</f>
        <v/>
      </c>
      <c r="G105">
        <f>IF(OR($B105="",NOT(ISNUMBER(Settings!$C$9))),"",TRIM(SUBSTITUTE(SUBSTITUTE(INDEX('INPUT - Roster'!$S$1:$SV$206,$B105,Settings!$C$9+1)&amp;"",CHAR(10)," "),CHAR(160)," ")))</f>
        <v/>
      </c>
      <c r="H105">
        <f>IF(OR($B105="",NOT(ISNUMBER(Settings!$C$9))),"",TRIM(SUBSTITUTE(SUBSTITUTE(INDEX('INPUT - Roster'!$S$1:$SV$206,$B105,Settings!$C$9+2)&amp;"",CHAR(10)," "),CHAR(160)," ")))</f>
        <v/>
      </c>
      <c r="I105">
        <f>IF(OR($B105="",NOT(ISNUMBER(Settings!$C$9))),"",TRIM(SUBSTITUTE(SUBSTITUTE(INDEX('INPUT - Roster'!$S$1:$SV$206,$B105,Settings!$C$9+3)&amp;"",CHAR(10)," "),CHAR(160)," ")))</f>
        <v/>
      </c>
      <c r="J105">
        <f>IF(OR($B105="",NOT(ISNUMBER(Settings!$C$9))),"",TRIM(SUBSTITUTE(SUBSTITUTE(INDEX('INPUT - Roster'!$S$1:$SV$206,$B105,Settings!$C$9+4)&amp;"",CHAR(10)," "),CHAR(160)," ")))</f>
        <v/>
      </c>
      <c r="K105">
        <f>IF(OR($B105="",NOT(ISNUMBER(Settings!$C$9))),"",TRIM(SUBSTITUTE(SUBSTITUTE(INDEX('INPUT - Roster'!$S$1:$SV$206,$B105,Settings!$C$9+5)&amp;"",CHAR(10)," "),CHAR(160)," ")))</f>
        <v/>
      </c>
      <c r="L105">
        <f>IF(OR($B105="",NOT(ISNUMBER(Settings!$C$9))),"",TRIM(SUBSTITUTE(SUBSTITUTE(INDEX('INPUT - Roster'!$S$1:$SV$206,$B105,Settings!$C$9+6)&amp;"",CHAR(10)," "),CHAR(160)," ")))</f>
        <v/>
      </c>
      <c r="M105">
        <f>IF(OR($B105="",NOT(ISNUMBER(Settings!$C$9))),"",TRIM(SUBSTITUTE(SUBSTITUTE(INDEX('INPUT - Roster'!$S$1:$SV$206,$B105,Settings!$C$9+7)&amp;"",CHAR(10)," "),CHAR(160)," ")))</f>
        <v/>
      </c>
      <c r="N105">
        <f>IF(OR($B105="",NOT(ISNUMBER(Settings!$C$9))),"",TRIM(SUBSTITUTE(SUBSTITUTE(INDEX('INPUT - Roster'!$S$1:$SV$206,$B105,Settings!$C$9+8)&amp;"",CHAR(10)," "),CHAR(160)," ")))</f>
        <v/>
      </c>
      <c r="O105">
        <f>IF(OR($B105="",NOT(ISNUMBER(Settings!$C$9))),"",TRIM(SUBSTITUTE(SUBSTITUTE(INDEX('INPUT - Roster'!$S$1:$SV$206,$B105,Settings!$C$9+9)&amp;"",CHAR(10)," "),CHAR(160)," ")))</f>
        <v/>
      </c>
      <c r="P105">
        <f>IF(OR($B105="",NOT(ISNUMBER(Settings!$C$9))),"",TRIM(SUBSTITUTE(SUBSTITUTE(INDEX('INPUT - Roster'!$S$1:$SV$206,$B105,Settings!$C$9+10)&amp;"",CHAR(10)," "),CHAR(160)," ")))</f>
        <v/>
      </c>
      <c r="Q105">
        <f>IF(OR($B105="",NOT(ISNUMBER(Settings!$C$9))),"",TRIM(SUBSTITUTE(SUBSTITUTE(INDEX('INPUT - Roster'!$S$1:$SV$206,$B105,Settings!$C$9+11)&amp;"",CHAR(10)," "),CHAR(160)," ")))</f>
        <v/>
      </c>
      <c r="R105">
        <f>IF(OR($B105="",NOT(ISNUMBER(Settings!$C$9))),"",TRIM(SUBSTITUTE(SUBSTITUTE(INDEX('INPUT - Roster'!$S$1:$SV$206,$B105,Settings!$C$9+12)&amp;"",CHAR(10)," "),CHAR(160)," ")))</f>
        <v/>
      </c>
      <c r="S105">
        <f>IF(OR($B105="",NOT(ISNUMBER(Settings!$C$9))),"",TRIM(SUBSTITUTE(SUBSTITUTE(INDEX('INPUT - Roster'!$S$1:$SV$206,$B105,Settings!$C$9+13)&amp;"",CHAR(10)," "),CHAR(160)," ")))</f>
        <v/>
      </c>
      <c r="T105">
        <f>IF(OR($B105="",NOT(ISNUMBER(Settings!$C$9))),"",TRIM(SUBSTITUTE(SUBSTITUTE(INDEX('INPUT - Roster'!$S$1:$SV$206,$B105,Settings!$C$9+14)&amp;"",CHAR(10)," "),CHAR(160)," ")))</f>
        <v/>
      </c>
      <c r="U105">
        <f>IF(OR($B105="",NOT(ISNUMBER(Settings!$C$9))),"",TRIM(SUBSTITUTE(SUBSTITUTE(INDEX('INPUT - Roster'!$S$1:$SV$206,$B105,Settings!$C$9+15)&amp;"",CHAR(10)," "),CHAR(160)," ")))</f>
        <v/>
      </c>
      <c r="V105">
        <f>IF(OR($B105="",NOT(ISNUMBER(Settings!$C$9))),"",TRIM(SUBSTITUTE(SUBSTITUTE(INDEX('INPUT - Roster'!$S$1:$SV$206,$B105,Settings!$C$9+16)&amp;"",CHAR(10)," "),CHAR(160)," ")))</f>
        <v/>
      </c>
      <c r="W105">
        <f>IF(OR($B105="",NOT(ISNUMBER(Settings!$C$9))),"",TRIM(SUBSTITUTE(SUBSTITUTE(INDEX('INPUT - Roster'!$S$1:$SV$206,$B105,Settings!$C$9+17)&amp;"",CHAR(10)," "),CHAR(160)," ")))</f>
        <v/>
      </c>
      <c r="X105">
        <f>IF(OR($B105="",NOT(ISNUMBER(Settings!$C$9))),"",TRIM(SUBSTITUTE(SUBSTITUTE(INDEX('INPUT - Roster'!$S$1:$SV$206,$B105,Settings!$C$9+18)&amp;"",CHAR(10)," "),CHAR(160)," ")))</f>
        <v/>
      </c>
      <c r="Y105">
        <f>IF(OR($B105="",NOT(ISNUMBER(Settings!$C$9))),"",TRIM(SUBSTITUTE(SUBSTITUTE(INDEX('INPUT - Roster'!$S$1:$SV$206,$B105,Settings!$C$9+19)&amp;"",CHAR(10)," "),CHAR(160)," ")))</f>
        <v/>
      </c>
      <c r="Z105">
        <f>IF(OR($B105="",NOT(ISNUMBER(Settings!$C$9))),"",TRIM(SUBSTITUTE(SUBSTITUTE(INDEX('INPUT - Roster'!$S$1:$SV$206,$B105,Settings!$C$9+20)&amp;"",CHAR(10)," "),CHAR(160)," ")))</f>
        <v/>
      </c>
      <c r="AA105">
        <f>IF(OR($B105="",NOT(ISNUMBER(Settings!$C$9))),"",TRIM(SUBSTITUTE(SUBSTITUTE(INDEX('INPUT - Roster'!$S$1:$SV$206,$B105,Settings!$C$9+21)&amp;"",CHAR(10)," "),CHAR(160)," ")))</f>
        <v/>
      </c>
      <c r="AB105">
        <f>IF(OR($B105="",NOT(ISNUMBER(Settings!$C$9))),"",TRIM(SUBSTITUTE(SUBSTITUTE(INDEX('INPUT - Roster'!$S$1:$SV$206,$B105,Settings!$C$9+22)&amp;"",CHAR(10)," "),CHAR(160)," ")))</f>
        <v/>
      </c>
      <c r="AC105">
        <f>IF(OR($B105="",NOT(ISNUMBER(Settings!$C$9))),"",TRIM(SUBSTITUTE(SUBSTITUTE(INDEX('INPUT - Roster'!$S$1:$SV$206,$B105,Settings!$C$9+23)&amp;"",CHAR(10)," "),CHAR(160)," ")))</f>
        <v/>
      </c>
      <c r="AD105">
        <f>IF(OR($B105="",NOT(ISNUMBER(Settings!$C$9))),"",TRIM(SUBSTITUTE(SUBSTITUTE(INDEX('INPUT - Roster'!$S$1:$SV$206,$B105,Settings!$C$9+24)&amp;"",CHAR(10)," "),CHAR(160)," ")))</f>
        <v/>
      </c>
      <c r="AE105">
        <f>IF(OR($B105="",NOT(ISNUMBER(Settings!$C$9))),"",TRIM(SUBSTITUTE(SUBSTITUTE(INDEX('INPUT - Roster'!$S$1:$SV$206,$B105,Settings!$C$9+25)&amp;"",CHAR(10)," "),CHAR(160)," ")))</f>
        <v/>
      </c>
      <c r="AF105">
        <f>IF(OR($B105="",NOT(ISNUMBER(Settings!$C$9))),"",TRIM(SUBSTITUTE(SUBSTITUTE(INDEX('INPUT - Roster'!$S$1:$SV$206,$B105,Settings!$C$9+26)&amp;"",CHAR(10)," "),CHAR(160)," ")))</f>
        <v/>
      </c>
      <c r="AG105">
        <f>IF(OR($B105="",NOT(ISNUMBER(Settings!$C$9))),"",TRIM(SUBSTITUTE(SUBSTITUTE(INDEX('INPUT - Roster'!$S$1:$SV$206,$B105,Settings!$C$9+27)&amp;"",CHAR(10)," "),CHAR(160)," ")))</f>
        <v/>
      </c>
      <c r="AI105">
        <f>IF($B105="","",IF(F105="","Not rostered",IFERROR(INDEX(Settings!$C$14:$C$33,MATCH(F105,Settings!$B$14:$B$33,0)),IFERROR(LOOKUP(2^15,SEARCH(Settings!$I$14:$I$83,F105)/(Settings!$I$14:$I$83&lt;&gt;""),Settings!$J$14:$J$83),"Other"))))</f>
        <v/>
      </c>
      <c r="AJ105">
        <f>IF($B105="","",IF(G105="","Not rostered",IFERROR(INDEX(Settings!$C$14:$C$33,MATCH(G105,Settings!$B$14:$B$33,0)),IFERROR(LOOKUP(2^15,SEARCH(Settings!$I$14:$I$83,G105)/(Settings!$I$14:$I$83&lt;&gt;""),Settings!$J$14:$J$83),"Other"))))</f>
        <v/>
      </c>
      <c r="AK105">
        <f>IF($B105="","",IF(H105="","Not rostered",IFERROR(INDEX(Settings!$C$14:$C$33,MATCH(H105,Settings!$B$14:$B$33,0)),IFERROR(LOOKUP(2^15,SEARCH(Settings!$I$14:$I$83,H105)/(Settings!$I$14:$I$83&lt;&gt;""),Settings!$J$14:$J$83),"Other"))))</f>
        <v/>
      </c>
      <c r="AL105">
        <f>IF($B105="","",IF(I105="","Not rostered",IFERROR(INDEX(Settings!$C$14:$C$33,MATCH(I105,Settings!$B$14:$B$33,0)),IFERROR(LOOKUP(2^15,SEARCH(Settings!$I$14:$I$83,I105)/(Settings!$I$14:$I$83&lt;&gt;""),Settings!$J$14:$J$83),"Other"))))</f>
        <v/>
      </c>
      <c r="AM105">
        <f>IF($B105="","",IF(J105="","Not rostered",IFERROR(INDEX(Settings!$C$14:$C$33,MATCH(J105,Settings!$B$14:$B$33,0)),IFERROR(LOOKUP(2^15,SEARCH(Settings!$I$14:$I$83,J105)/(Settings!$I$14:$I$83&lt;&gt;""),Settings!$J$14:$J$83),"Other"))))</f>
        <v/>
      </c>
      <c r="AN105">
        <f>IF($B105="","",IF(K105="","Not rostered",IFERROR(INDEX(Settings!$C$14:$C$33,MATCH(K105,Settings!$B$14:$B$33,0)),IFERROR(LOOKUP(2^15,SEARCH(Settings!$I$14:$I$83,K105)/(Settings!$I$14:$I$83&lt;&gt;""),Settings!$J$14:$J$83),"Other"))))</f>
        <v/>
      </c>
      <c r="AO105">
        <f>IF($B105="","",IF(L105="","Not rostered",IFERROR(INDEX(Settings!$C$14:$C$33,MATCH(L105,Settings!$B$14:$B$33,0)),IFERROR(LOOKUP(2^15,SEARCH(Settings!$I$14:$I$83,L105)/(Settings!$I$14:$I$83&lt;&gt;""),Settings!$J$14:$J$83),"Other"))))</f>
        <v/>
      </c>
      <c r="AP105">
        <f>IF($B105="","",IF(M105="","Not rostered",IFERROR(INDEX(Settings!$C$14:$C$33,MATCH(M105,Settings!$B$14:$B$33,0)),IFERROR(LOOKUP(2^15,SEARCH(Settings!$I$14:$I$83,M105)/(Settings!$I$14:$I$83&lt;&gt;""),Settings!$J$14:$J$83),"Other"))))</f>
        <v/>
      </c>
      <c r="AQ105">
        <f>IF($B105="","",IF(N105="","Not rostered",IFERROR(INDEX(Settings!$C$14:$C$33,MATCH(N105,Settings!$B$14:$B$33,0)),IFERROR(LOOKUP(2^15,SEARCH(Settings!$I$14:$I$83,N105)/(Settings!$I$14:$I$83&lt;&gt;""),Settings!$J$14:$J$83),"Other"))))</f>
        <v/>
      </c>
      <c r="AR105">
        <f>IF($B105="","",IF(O105="","Not rostered",IFERROR(INDEX(Settings!$C$14:$C$33,MATCH(O105,Settings!$B$14:$B$33,0)),IFERROR(LOOKUP(2^15,SEARCH(Settings!$I$14:$I$83,O105)/(Settings!$I$14:$I$83&lt;&gt;""),Settings!$J$14:$J$83),"Other"))))</f>
        <v/>
      </c>
      <c r="AS105">
        <f>IF($B105="","",IF(P105="","Not rostered",IFERROR(INDEX(Settings!$C$14:$C$33,MATCH(P105,Settings!$B$14:$B$33,0)),IFERROR(LOOKUP(2^15,SEARCH(Settings!$I$14:$I$83,P105)/(Settings!$I$14:$I$83&lt;&gt;""),Settings!$J$14:$J$83),"Other"))))</f>
        <v/>
      </c>
      <c r="AT105">
        <f>IF($B105="","",IF(Q105="","Not rostered",IFERROR(INDEX(Settings!$C$14:$C$33,MATCH(Q105,Settings!$B$14:$B$33,0)),IFERROR(LOOKUP(2^15,SEARCH(Settings!$I$14:$I$83,Q105)/(Settings!$I$14:$I$83&lt;&gt;""),Settings!$J$14:$J$83),"Other"))))</f>
        <v/>
      </c>
      <c r="AU105">
        <f>IF($B105="","",IF(R105="","Not rostered",IFERROR(INDEX(Settings!$C$14:$C$33,MATCH(R105,Settings!$B$14:$B$33,0)),IFERROR(LOOKUP(2^15,SEARCH(Settings!$I$14:$I$83,R105)/(Settings!$I$14:$I$83&lt;&gt;""),Settings!$J$14:$J$83),"Other"))))</f>
        <v/>
      </c>
      <c r="AV105">
        <f>IF($B105="","",IF(S105="","Not rostered",IFERROR(INDEX(Settings!$C$14:$C$33,MATCH(S105,Settings!$B$14:$B$33,0)),IFERROR(LOOKUP(2^15,SEARCH(Settings!$I$14:$I$83,S105)/(Settings!$I$14:$I$83&lt;&gt;""),Settings!$J$14:$J$83),"Other"))))</f>
        <v/>
      </c>
      <c r="AW105">
        <f>IF($B105="","",IF(T105="","Not rostered",IFERROR(INDEX(Settings!$C$14:$C$33,MATCH(T105,Settings!$B$14:$B$33,0)),IFERROR(LOOKUP(2^15,SEARCH(Settings!$I$14:$I$83,T105)/(Settings!$I$14:$I$83&lt;&gt;""),Settings!$J$14:$J$83),"Other"))))</f>
        <v/>
      </c>
      <c r="AX105">
        <f>IF($B105="","",IF(U105="","Not rostered",IFERROR(INDEX(Settings!$C$14:$C$33,MATCH(U105,Settings!$B$14:$B$33,0)),IFERROR(LOOKUP(2^15,SEARCH(Settings!$I$14:$I$83,U105)/(Settings!$I$14:$I$83&lt;&gt;""),Settings!$J$14:$J$83),"Other"))))</f>
        <v/>
      </c>
      <c r="AY105">
        <f>IF($B105="","",IF(V105="","Not rostered",IFERROR(INDEX(Settings!$C$14:$C$33,MATCH(V105,Settings!$B$14:$B$33,0)),IFERROR(LOOKUP(2^15,SEARCH(Settings!$I$14:$I$83,V105)/(Settings!$I$14:$I$83&lt;&gt;""),Settings!$J$14:$J$83),"Other"))))</f>
        <v/>
      </c>
      <c r="AZ105">
        <f>IF($B105="","",IF(W105="","Not rostered",IFERROR(INDEX(Settings!$C$14:$C$33,MATCH(W105,Settings!$B$14:$B$33,0)),IFERROR(LOOKUP(2^15,SEARCH(Settings!$I$14:$I$83,W105)/(Settings!$I$14:$I$83&lt;&gt;""),Settings!$J$14:$J$83),"Other"))))</f>
        <v/>
      </c>
      <c r="BA105">
        <f>IF($B105="","",IF(X105="","Not rostered",IFERROR(INDEX(Settings!$C$14:$C$33,MATCH(X105,Settings!$B$14:$B$33,0)),IFERROR(LOOKUP(2^15,SEARCH(Settings!$I$14:$I$83,X105)/(Settings!$I$14:$I$83&lt;&gt;""),Settings!$J$14:$J$83),"Other"))))</f>
        <v/>
      </c>
      <c r="BB105">
        <f>IF($B105="","",IF(Y105="","Not rostered",IFERROR(INDEX(Settings!$C$14:$C$33,MATCH(Y105,Settings!$B$14:$B$33,0)),IFERROR(LOOKUP(2^15,SEARCH(Settings!$I$14:$I$83,Y105)/(Settings!$I$14:$I$83&lt;&gt;""),Settings!$J$14:$J$83),"Other"))))</f>
        <v/>
      </c>
      <c r="BC105">
        <f>IF($B105="","",IF(Z105="","Not rostered",IFERROR(INDEX(Settings!$C$14:$C$33,MATCH(Z105,Settings!$B$14:$B$33,0)),IFERROR(LOOKUP(2^15,SEARCH(Settings!$I$14:$I$83,Z105)/(Settings!$I$14:$I$83&lt;&gt;""),Settings!$J$14:$J$83),"Other"))))</f>
        <v/>
      </c>
      <c r="BD105">
        <f>IF($B105="","",IF(AA105="","Not rostered",IFERROR(INDEX(Settings!$C$14:$C$33,MATCH(AA105,Settings!$B$14:$B$33,0)),IFERROR(LOOKUP(2^15,SEARCH(Settings!$I$14:$I$83,AA105)/(Settings!$I$14:$I$83&lt;&gt;""),Settings!$J$14:$J$83),"Other"))))</f>
        <v/>
      </c>
      <c r="BE105">
        <f>IF($B105="","",IF(AB105="","Not rostered",IFERROR(INDEX(Settings!$C$14:$C$33,MATCH(AB105,Settings!$B$14:$B$33,0)),IFERROR(LOOKUP(2^15,SEARCH(Settings!$I$14:$I$83,AB105)/(Settings!$I$14:$I$83&lt;&gt;""),Settings!$J$14:$J$83),"Other"))))</f>
        <v/>
      </c>
      <c r="BF105">
        <f>IF($B105="","",IF(AC105="","Not rostered",IFERROR(INDEX(Settings!$C$14:$C$33,MATCH(AC105,Settings!$B$14:$B$33,0)),IFERROR(LOOKUP(2^15,SEARCH(Settings!$I$14:$I$83,AC105)/(Settings!$I$14:$I$83&lt;&gt;""),Settings!$J$14:$J$83),"Other"))))</f>
        <v/>
      </c>
      <c r="BG105">
        <f>IF($B105="","",IF(AD105="","Not rostered",IFERROR(INDEX(Settings!$C$14:$C$33,MATCH(AD105,Settings!$B$14:$B$33,0)),IFERROR(LOOKUP(2^15,SEARCH(Settings!$I$14:$I$83,AD105)/(Settings!$I$14:$I$83&lt;&gt;""),Settings!$J$14:$J$83),"Other"))))</f>
        <v/>
      </c>
      <c r="BH105">
        <f>IF($B105="","",IF(AE105="","Not rostered",IFERROR(INDEX(Settings!$C$14:$C$33,MATCH(AE105,Settings!$B$14:$B$33,0)),IFERROR(LOOKUP(2^15,SEARCH(Settings!$I$14:$I$83,AE105)/(Settings!$I$14:$I$83&lt;&gt;""),Settings!$J$14:$J$83),"Other"))))</f>
        <v/>
      </c>
      <c r="BI105">
        <f>IF($B105="","",IF(AF105="","Not rostered",IFERROR(INDEX(Settings!$C$14:$C$33,MATCH(AF105,Settings!$B$14:$B$33,0)),IFERROR(LOOKUP(2^15,SEARCH(Settings!$I$14:$I$83,AF105)/(Settings!$I$14:$I$83&lt;&gt;""),Settings!$J$14:$J$83),"Other"))))</f>
        <v/>
      </c>
      <c r="BJ105">
        <f>IF($B105="","",IF(AG105="","Not rostered",IFERROR(INDEX(Settings!$C$14:$C$33,MATCH(AG105,Settings!$B$14:$B$33,0)),IFERROR(LOOKUP(2^15,SEARCH(Settings!$I$14:$I$83,AG105)/(Settings!$I$14:$I$83&lt;&gt;""),Settings!$J$14:$J$83),"Other"))))</f>
        <v/>
      </c>
      <c r="BL105">
        <f>IF(OR($B105="",F105=""),"",IFERROR(INDEX(Settings!$D$14:$D$33,MATCH(F105,Settings!$B$14:$B$33,0))&amp;"",IFERROR(LOOKUP(2^15,SEARCH(Settings!$F$14:$F$43,F105)/(Settings!$F$14:$F$43&lt;&gt;""),Settings!$G$14:$G$43),"")))</f>
        <v/>
      </c>
      <c r="BM105">
        <f>IF(OR($B105="",G105=""),"",IFERROR(INDEX(Settings!$D$14:$D$33,MATCH(G105,Settings!$B$14:$B$33,0))&amp;"",IFERROR(LOOKUP(2^15,SEARCH(Settings!$F$14:$F$43,G105)/(Settings!$F$14:$F$43&lt;&gt;""),Settings!$G$14:$G$43),"")))</f>
        <v/>
      </c>
      <c r="BN105">
        <f>IF(OR($B105="",H105=""),"",IFERROR(INDEX(Settings!$D$14:$D$33,MATCH(H105,Settings!$B$14:$B$33,0))&amp;"",IFERROR(LOOKUP(2^15,SEARCH(Settings!$F$14:$F$43,H105)/(Settings!$F$14:$F$43&lt;&gt;""),Settings!$G$14:$G$43),"")))</f>
        <v/>
      </c>
      <c r="BO105">
        <f>IF(OR($B105="",I105=""),"",IFERROR(INDEX(Settings!$D$14:$D$33,MATCH(I105,Settings!$B$14:$B$33,0))&amp;"",IFERROR(LOOKUP(2^15,SEARCH(Settings!$F$14:$F$43,I105)/(Settings!$F$14:$F$43&lt;&gt;""),Settings!$G$14:$G$43),"")))</f>
        <v/>
      </c>
      <c r="BP105">
        <f>IF(OR($B105="",J105=""),"",IFERROR(INDEX(Settings!$D$14:$D$33,MATCH(J105,Settings!$B$14:$B$33,0))&amp;"",IFERROR(LOOKUP(2^15,SEARCH(Settings!$F$14:$F$43,J105)/(Settings!$F$14:$F$43&lt;&gt;""),Settings!$G$14:$G$43),"")))</f>
        <v/>
      </c>
      <c r="BQ105">
        <f>IF(OR($B105="",K105=""),"",IFERROR(INDEX(Settings!$D$14:$D$33,MATCH(K105,Settings!$B$14:$B$33,0))&amp;"",IFERROR(LOOKUP(2^15,SEARCH(Settings!$F$14:$F$43,K105)/(Settings!$F$14:$F$43&lt;&gt;""),Settings!$G$14:$G$43),"")))</f>
        <v/>
      </c>
      <c r="BR105">
        <f>IF(OR($B105="",L105=""),"",IFERROR(INDEX(Settings!$D$14:$D$33,MATCH(L105,Settings!$B$14:$B$33,0))&amp;"",IFERROR(LOOKUP(2^15,SEARCH(Settings!$F$14:$F$43,L105)/(Settings!$F$14:$F$43&lt;&gt;""),Settings!$G$14:$G$43),"")))</f>
        <v/>
      </c>
      <c r="BS105">
        <f>IF(OR($B105="",M105=""),"",IFERROR(INDEX(Settings!$D$14:$D$33,MATCH(M105,Settings!$B$14:$B$33,0))&amp;"",IFERROR(LOOKUP(2^15,SEARCH(Settings!$F$14:$F$43,M105)/(Settings!$F$14:$F$43&lt;&gt;""),Settings!$G$14:$G$43),"")))</f>
        <v/>
      </c>
      <c r="BT105">
        <f>IF(OR($B105="",N105=""),"",IFERROR(INDEX(Settings!$D$14:$D$33,MATCH(N105,Settings!$B$14:$B$33,0))&amp;"",IFERROR(LOOKUP(2^15,SEARCH(Settings!$F$14:$F$43,N105)/(Settings!$F$14:$F$43&lt;&gt;""),Settings!$G$14:$G$43),"")))</f>
        <v/>
      </c>
      <c r="BU105">
        <f>IF(OR($B105="",O105=""),"",IFERROR(INDEX(Settings!$D$14:$D$33,MATCH(O105,Settings!$B$14:$B$33,0))&amp;"",IFERROR(LOOKUP(2^15,SEARCH(Settings!$F$14:$F$43,O105)/(Settings!$F$14:$F$43&lt;&gt;""),Settings!$G$14:$G$43),"")))</f>
        <v/>
      </c>
      <c r="BV105">
        <f>IF(OR($B105="",P105=""),"",IFERROR(INDEX(Settings!$D$14:$D$33,MATCH(P105,Settings!$B$14:$B$33,0))&amp;"",IFERROR(LOOKUP(2^15,SEARCH(Settings!$F$14:$F$43,P105)/(Settings!$F$14:$F$43&lt;&gt;""),Settings!$G$14:$G$43),"")))</f>
        <v/>
      </c>
      <c r="BW105">
        <f>IF(OR($B105="",Q105=""),"",IFERROR(INDEX(Settings!$D$14:$D$33,MATCH(Q105,Settings!$B$14:$B$33,0))&amp;"",IFERROR(LOOKUP(2^15,SEARCH(Settings!$F$14:$F$43,Q105)/(Settings!$F$14:$F$43&lt;&gt;""),Settings!$G$14:$G$43),"")))</f>
        <v/>
      </c>
      <c r="BX105">
        <f>IF(OR($B105="",R105=""),"",IFERROR(INDEX(Settings!$D$14:$D$33,MATCH(R105,Settings!$B$14:$B$33,0))&amp;"",IFERROR(LOOKUP(2^15,SEARCH(Settings!$F$14:$F$43,R105)/(Settings!$F$14:$F$43&lt;&gt;""),Settings!$G$14:$G$43),"")))</f>
        <v/>
      </c>
      <c r="BY105">
        <f>IF(OR($B105="",S105=""),"",IFERROR(INDEX(Settings!$D$14:$D$33,MATCH(S105,Settings!$B$14:$B$33,0))&amp;"",IFERROR(LOOKUP(2^15,SEARCH(Settings!$F$14:$F$43,S105)/(Settings!$F$14:$F$43&lt;&gt;""),Settings!$G$14:$G$43),"")))</f>
        <v/>
      </c>
      <c r="BZ105">
        <f>IF(OR($B105="",T105=""),"",IFERROR(INDEX(Settings!$D$14:$D$33,MATCH(T105,Settings!$B$14:$B$33,0))&amp;"",IFERROR(LOOKUP(2^15,SEARCH(Settings!$F$14:$F$43,T105)/(Settings!$F$14:$F$43&lt;&gt;""),Settings!$G$14:$G$43),"")))</f>
        <v/>
      </c>
      <c r="CA105">
        <f>IF(OR($B105="",U105=""),"",IFERROR(INDEX(Settings!$D$14:$D$33,MATCH(U105,Settings!$B$14:$B$33,0))&amp;"",IFERROR(LOOKUP(2^15,SEARCH(Settings!$F$14:$F$43,U105)/(Settings!$F$14:$F$43&lt;&gt;""),Settings!$G$14:$G$43),"")))</f>
        <v/>
      </c>
      <c r="CB105">
        <f>IF(OR($B105="",V105=""),"",IFERROR(INDEX(Settings!$D$14:$D$33,MATCH(V105,Settings!$B$14:$B$33,0))&amp;"",IFERROR(LOOKUP(2^15,SEARCH(Settings!$F$14:$F$43,V105)/(Settings!$F$14:$F$43&lt;&gt;""),Settings!$G$14:$G$43),"")))</f>
        <v/>
      </c>
      <c r="CC105">
        <f>IF(OR($B105="",W105=""),"",IFERROR(INDEX(Settings!$D$14:$D$33,MATCH(W105,Settings!$B$14:$B$33,0))&amp;"",IFERROR(LOOKUP(2^15,SEARCH(Settings!$F$14:$F$43,W105)/(Settings!$F$14:$F$43&lt;&gt;""),Settings!$G$14:$G$43),"")))</f>
        <v/>
      </c>
      <c r="CD105">
        <f>IF(OR($B105="",X105=""),"",IFERROR(INDEX(Settings!$D$14:$D$33,MATCH(X105,Settings!$B$14:$B$33,0))&amp;"",IFERROR(LOOKUP(2^15,SEARCH(Settings!$F$14:$F$43,X105)/(Settings!$F$14:$F$43&lt;&gt;""),Settings!$G$14:$G$43),"")))</f>
        <v/>
      </c>
      <c r="CE105">
        <f>IF(OR($B105="",Y105=""),"",IFERROR(INDEX(Settings!$D$14:$D$33,MATCH(Y105,Settings!$B$14:$B$33,0))&amp;"",IFERROR(LOOKUP(2^15,SEARCH(Settings!$F$14:$F$43,Y105)/(Settings!$F$14:$F$43&lt;&gt;""),Settings!$G$14:$G$43),"")))</f>
        <v/>
      </c>
      <c r="CF105">
        <f>IF(OR($B105="",Z105=""),"",IFERROR(INDEX(Settings!$D$14:$D$33,MATCH(Z105,Settings!$B$14:$B$33,0))&amp;"",IFERROR(LOOKUP(2^15,SEARCH(Settings!$F$14:$F$43,Z105)/(Settings!$F$14:$F$43&lt;&gt;""),Settings!$G$14:$G$43),"")))</f>
        <v/>
      </c>
      <c r="CG105">
        <f>IF(OR($B105="",AA105=""),"",IFERROR(INDEX(Settings!$D$14:$D$33,MATCH(AA105,Settings!$B$14:$B$33,0))&amp;"",IFERROR(LOOKUP(2^15,SEARCH(Settings!$F$14:$F$43,AA105)/(Settings!$F$14:$F$43&lt;&gt;""),Settings!$G$14:$G$43),"")))</f>
        <v/>
      </c>
      <c r="CH105">
        <f>IF(OR($B105="",AB105=""),"",IFERROR(INDEX(Settings!$D$14:$D$33,MATCH(AB105,Settings!$B$14:$B$33,0))&amp;"",IFERROR(LOOKUP(2^15,SEARCH(Settings!$F$14:$F$43,AB105)/(Settings!$F$14:$F$43&lt;&gt;""),Settings!$G$14:$G$43),"")))</f>
        <v/>
      </c>
      <c r="CI105">
        <f>IF(OR($B105="",AC105=""),"",IFERROR(INDEX(Settings!$D$14:$D$33,MATCH(AC105,Settings!$B$14:$B$33,0))&amp;"",IFERROR(LOOKUP(2^15,SEARCH(Settings!$F$14:$F$43,AC105)/(Settings!$F$14:$F$43&lt;&gt;""),Settings!$G$14:$G$43),"")))</f>
        <v/>
      </c>
      <c r="CJ105">
        <f>IF(OR($B105="",AD105=""),"",IFERROR(INDEX(Settings!$D$14:$D$33,MATCH(AD105,Settings!$B$14:$B$33,0))&amp;"",IFERROR(LOOKUP(2^15,SEARCH(Settings!$F$14:$F$43,AD105)/(Settings!$F$14:$F$43&lt;&gt;""),Settings!$G$14:$G$43),"")))</f>
        <v/>
      </c>
      <c r="CK105">
        <f>IF(OR($B105="",AE105=""),"",IFERROR(INDEX(Settings!$D$14:$D$33,MATCH(AE105,Settings!$B$14:$B$33,0))&amp;"",IFERROR(LOOKUP(2^15,SEARCH(Settings!$F$14:$F$43,AE105)/(Settings!$F$14:$F$43&lt;&gt;""),Settings!$G$14:$G$43),"")))</f>
        <v/>
      </c>
      <c r="CL105">
        <f>IF(OR($B105="",AF105=""),"",IFERROR(INDEX(Settings!$D$14:$D$33,MATCH(AF105,Settings!$B$14:$B$33,0))&amp;"",IFERROR(LOOKUP(2^15,SEARCH(Settings!$F$14:$F$43,AF105)/(Settings!$F$14:$F$43&lt;&gt;""),Settings!$G$14:$G$43),"")))</f>
        <v/>
      </c>
      <c r="CM105">
        <f>IF(OR($B105="",AG105=""),"",IFERROR(INDEX(Settings!$D$14:$D$33,MATCH(AG105,Settings!$B$14:$B$33,0))&amp;"",IFERROR(LOOKUP(2^15,SEARCH(Settings!$F$14:$F$43,AG105)/(Settings!$F$14:$F$43&lt;&gt;""),Settings!$G$14:$G$43),"")))</f>
        <v/>
      </c>
    </row>
    <row r="106">
      <c r="A106" t="n">
        <v>104</v>
      </c>
      <c r="B106">
        <f>IFERROR(INDEX(Index!$A$2:$A$202,MATCH(A106,Index!$E$2:$E$202,0)),"")</f>
        <v/>
      </c>
      <c r="D106">
        <f>IF($B106="","",IFERROR(MATCH("Travel*",AI106:BJ106,0),""))</f>
        <v/>
      </c>
      <c r="F106">
        <f>IF(OR($B106="",NOT(ISNUMBER(Settings!$C$9))),"",TRIM(SUBSTITUTE(SUBSTITUTE(INDEX('INPUT - Roster'!$S$1:$SV$206,$B106,Settings!$C$9+0)&amp;"",CHAR(10)," "),CHAR(160)," ")))</f>
        <v/>
      </c>
      <c r="G106">
        <f>IF(OR($B106="",NOT(ISNUMBER(Settings!$C$9))),"",TRIM(SUBSTITUTE(SUBSTITUTE(INDEX('INPUT - Roster'!$S$1:$SV$206,$B106,Settings!$C$9+1)&amp;"",CHAR(10)," "),CHAR(160)," ")))</f>
        <v/>
      </c>
      <c r="H106">
        <f>IF(OR($B106="",NOT(ISNUMBER(Settings!$C$9))),"",TRIM(SUBSTITUTE(SUBSTITUTE(INDEX('INPUT - Roster'!$S$1:$SV$206,$B106,Settings!$C$9+2)&amp;"",CHAR(10)," "),CHAR(160)," ")))</f>
        <v/>
      </c>
      <c r="I106">
        <f>IF(OR($B106="",NOT(ISNUMBER(Settings!$C$9))),"",TRIM(SUBSTITUTE(SUBSTITUTE(INDEX('INPUT - Roster'!$S$1:$SV$206,$B106,Settings!$C$9+3)&amp;"",CHAR(10)," "),CHAR(160)," ")))</f>
        <v/>
      </c>
      <c r="J106">
        <f>IF(OR($B106="",NOT(ISNUMBER(Settings!$C$9))),"",TRIM(SUBSTITUTE(SUBSTITUTE(INDEX('INPUT - Roster'!$S$1:$SV$206,$B106,Settings!$C$9+4)&amp;"",CHAR(10)," "),CHAR(160)," ")))</f>
        <v/>
      </c>
      <c r="K106">
        <f>IF(OR($B106="",NOT(ISNUMBER(Settings!$C$9))),"",TRIM(SUBSTITUTE(SUBSTITUTE(INDEX('INPUT - Roster'!$S$1:$SV$206,$B106,Settings!$C$9+5)&amp;"",CHAR(10)," "),CHAR(160)," ")))</f>
        <v/>
      </c>
      <c r="L106">
        <f>IF(OR($B106="",NOT(ISNUMBER(Settings!$C$9))),"",TRIM(SUBSTITUTE(SUBSTITUTE(INDEX('INPUT - Roster'!$S$1:$SV$206,$B106,Settings!$C$9+6)&amp;"",CHAR(10)," "),CHAR(160)," ")))</f>
        <v/>
      </c>
      <c r="M106">
        <f>IF(OR($B106="",NOT(ISNUMBER(Settings!$C$9))),"",TRIM(SUBSTITUTE(SUBSTITUTE(INDEX('INPUT - Roster'!$S$1:$SV$206,$B106,Settings!$C$9+7)&amp;"",CHAR(10)," "),CHAR(160)," ")))</f>
        <v/>
      </c>
      <c r="N106">
        <f>IF(OR($B106="",NOT(ISNUMBER(Settings!$C$9))),"",TRIM(SUBSTITUTE(SUBSTITUTE(INDEX('INPUT - Roster'!$S$1:$SV$206,$B106,Settings!$C$9+8)&amp;"",CHAR(10)," "),CHAR(160)," ")))</f>
        <v/>
      </c>
      <c r="O106">
        <f>IF(OR($B106="",NOT(ISNUMBER(Settings!$C$9))),"",TRIM(SUBSTITUTE(SUBSTITUTE(INDEX('INPUT - Roster'!$S$1:$SV$206,$B106,Settings!$C$9+9)&amp;"",CHAR(10)," "),CHAR(160)," ")))</f>
        <v/>
      </c>
      <c r="P106">
        <f>IF(OR($B106="",NOT(ISNUMBER(Settings!$C$9))),"",TRIM(SUBSTITUTE(SUBSTITUTE(INDEX('INPUT - Roster'!$S$1:$SV$206,$B106,Settings!$C$9+10)&amp;"",CHAR(10)," "),CHAR(160)," ")))</f>
        <v/>
      </c>
      <c r="Q106">
        <f>IF(OR($B106="",NOT(ISNUMBER(Settings!$C$9))),"",TRIM(SUBSTITUTE(SUBSTITUTE(INDEX('INPUT - Roster'!$S$1:$SV$206,$B106,Settings!$C$9+11)&amp;"",CHAR(10)," "),CHAR(160)," ")))</f>
        <v/>
      </c>
      <c r="R106">
        <f>IF(OR($B106="",NOT(ISNUMBER(Settings!$C$9))),"",TRIM(SUBSTITUTE(SUBSTITUTE(INDEX('INPUT - Roster'!$S$1:$SV$206,$B106,Settings!$C$9+12)&amp;"",CHAR(10)," "),CHAR(160)," ")))</f>
        <v/>
      </c>
      <c r="S106">
        <f>IF(OR($B106="",NOT(ISNUMBER(Settings!$C$9))),"",TRIM(SUBSTITUTE(SUBSTITUTE(INDEX('INPUT - Roster'!$S$1:$SV$206,$B106,Settings!$C$9+13)&amp;"",CHAR(10)," "),CHAR(160)," ")))</f>
        <v/>
      </c>
      <c r="T106">
        <f>IF(OR($B106="",NOT(ISNUMBER(Settings!$C$9))),"",TRIM(SUBSTITUTE(SUBSTITUTE(INDEX('INPUT - Roster'!$S$1:$SV$206,$B106,Settings!$C$9+14)&amp;"",CHAR(10)," "),CHAR(160)," ")))</f>
        <v/>
      </c>
      <c r="U106">
        <f>IF(OR($B106="",NOT(ISNUMBER(Settings!$C$9))),"",TRIM(SUBSTITUTE(SUBSTITUTE(INDEX('INPUT - Roster'!$S$1:$SV$206,$B106,Settings!$C$9+15)&amp;"",CHAR(10)," "),CHAR(160)," ")))</f>
        <v/>
      </c>
      <c r="V106">
        <f>IF(OR($B106="",NOT(ISNUMBER(Settings!$C$9))),"",TRIM(SUBSTITUTE(SUBSTITUTE(INDEX('INPUT - Roster'!$S$1:$SV$206,$B106,Settings!$C$9+16)&amp;"",CHAR(10)," "),CHAR(160)," ")))</f>
        <v/>
      </c>
      <c r="W106">
        <f>IF(OR($B106="",NOT(ISNUMBER(Settings!$C$9))),"",TRIM(SUBSTITUTE(SUBSTITUTE(INDEX('INPUT - Roster'!$S$1:$SV$206,$B106,Settings!$C$9+17)&amp;"",CHAR(10)," "),CHAR(160)," ")))</f>
        <v/>
      </c>
      <c r="X106">
        <f>IF(OR($B106="",NOT(ISNUMBER(Settings!$C$9))),"",TRIM(SUBSTITUTE(SUBSTITUTE(INDEX('INPUT - Roster'!$S$1:$SV$206,$B106,Settings!$C$9+18)&amp;"",CHAR(10)," "),CHAR(160)," ")))</f>
        <v/>
      </c>
      <c r="Y106">
        <f>IF(OR($B106="",NOT(ISNUMBER(Settings!$C$9))),"",TRIM(SUBSTITUTE(SUBSTITUTE(INDEX('INPUT - Roster'!$S$1:$SV$206,$B106,Settings!$C$9+19)&amp;"",CHAR(10)," "),CHAR(160)," ")))</f>
        <v/>
      </c>
      <c r="Z106">
        <f>IF(OR($B106="",NOT(ISNUMBER(Settings!$C$9))),"",TRIM(SUBSTITUTE(SUBSTITUTE(INDEX('INPUT - Roster'!$S$1:$SV$206,$B106,Settings!$C$9+20)&amp;"",CHAR(10)," "),CHAR(160)," ")))</f>
        <v/>
      </c>
      <c r="AA106">
        <f>IF(OR($B106="",NOT(ISNUMBER(Settings!$C$9))),"",TRIM(SUBSTITUTE(SUBSTITUTE(INDEX('INPUT - Roster'!$S$1:$SV$206,$B106,Settings!$C$9+21)&amp;"",CHAR(10)," "),CHAR(160)," ")))</f>
        <v/>
      </c>
      <c r="AB106">
        <f>IF(OR($B106="",NOT(ISNUMBER(Settings!$C$9))),"",TRIM(SUBSTITUTE(SUBSTITUTE(INDEX('INPUT - Roster'!$S$1:$SV$206,$B106,Settings!$C$9+22)&amp;"",CHAR(10)," "),CHAR(160)," ")))</f>
        <v/>
      </c>
      <c r="AC106">
        <f>IF(OR($B106="",NOT(ISNUMBER(Settings!$C$9))),"",TRIM(SUBSTITUTE(SUBSTITUTE(INDEX('INPUT - Roster'!$S$1:$SV$206,$B106,Settings!$C$9+23)&amp;"",CHAR(10)," "),CHAR(160)," ")))</f>
        <v/>
      </c>
      <c r="AD106">
        <f>IF(OR($B106="",NOT(ISNUMBER(Settings!$C$9))),"",TRIM(SUBSTITUTE(SUBSTITUTE(INDEX('INPUT - Roster'!$S$1:$SV$206,$B106,Settings!$C$9+24)&amp;"",CHAR(10)," "),CHAR(160)," ")))</f>
        <v/>
      </c>
      <c r="AE106">
        <f>IF(OR($B106="",NOT(ISNUMBER(Settings!$C$9))),"",TRIM(SUBSTITUTE(SUBSTITUTE(INDEX('INPUT - Roster'!$S$1:$SV$206,$B106,Settings!$C$9+25)&amp;"",CHAR(10)," "),CHAR(160)," ")))</f>
        <v/>
      </c>
      <c r="AF106">
        <f>IF(OR($B106="",NOT(ISNUMBER(Settings!$C$9))),"",TRIM(SUBSTITUTE(SUBSTITUTE(INDEX('INPUT - Roster'!$S$1:$SV$206,$B106,Settings!$C$9+26)&amp;"",CHAR(10)," "),CHAR(160)," ")))</f>
        <v/>
      </c>
      <c r="AG106">
        <f>IF(OR($B106="",NOT(ISNUMBER(Settings!$C$9))),"",TRIM(SUBSTITUTE(SUBSTITUTE(INDEX('INPUT - Roster'!$S$1:$SV$206,$B106,Settings!$C$9+27)&amp;"",CHAR(10)," "),CHAR(160)," ")))</f>
        <v/>
      </c>
      <c r="AI106">
        <f>IF($B106="","",IF(F106="","Not rostered",IFERROR(INDEX(Settings!$C$14:$C$33,MATCH(F106,Settings!$B$14:$B$33,0)),IFERROR(LOOKUP(2^15,SEARCH(Settings!$I$14:$I$83,F106)/(Settings!$I$14:$I$83&lt;&gt;""),Settings!$J$14:$J$83),"Other"))))</f>
        <v/>
      </c>
      <c r="AJ106">
        <f>IF($B106="","",IF(G106="","Not rostered",IFERROR(INDEX(Settings!$C$14:$C$33,MATCH(G106,Settings!$B$14:$B$33,0)),IFERROR(LOOKUP(2^15,SEARCH(Settings!$I$14:$I$83,G106)/(Settings!$I$14:$I$83&lt;&gt;""),Settings!$J$14:$J$83),"Other"))))</f>
        <v/>
      </c>
      <c r="AK106">
        <f>IF($B106="","",IF(H106="","Not rostered",IFERROR(INDEX(Settings!$C$14:$C$33,MATCH(H106,Settings!$B$14:$B$33,0)),IFERROR(LOOKUP(2^15,SEARCH(Settings!$I$14:$I$83,H106)/(Settings!$I$14:$I$83&lt;&gt;""),Settings!$J$14:$J$83),"Other"))))</f>
        <v/>
      </c>
      <c r="AL106">
        <f>IF($B106="","",IF(I106="","Not rostered",IFERROR(INDEX(Settings!$C$14:$C$33,MATCH(I106,Settings!$B$14:$B$33,0)),IFERROR(LOOKUP(2^15,SEARCH(Settings!$I$14:$I$83,I106)/(Settings!$I$14:$I$83&lt;&gt;""),Settings!$J$14:$J$83),"Other"))))</f>
        <v/>
      </c>
      <c r="AM106">
        <f>IF($B106="","",IF(J106="","Not rostered",IFERROR(INDEX(Settings!$C$14:$C$33,MATCH(J106,Settings!$B$14:$B$33,0)),IFERROR(LOOKUP(2^15,SEARCH(Settings!$I$14:$I$83,J106)/(Settings!$I$14:$I$83&lt;&gt;""),Settings!$J$14:$J$83),"Other"))))</f>
        <v/>
      </c>
      <c r="AN106">
        <f>IF($B106="","",IF(K106="","Not rostered",IFERROR(INDEX(Settings!$C$14:$C$33,MATCH(K106,Settings!$B$14:$B$33,0)),IFERROR(LOOKUP(2^15,SEARCH(Settings!$I$14:$I$83,K106)/(Settings!$I$14:$I$83&lt;&gt;""),Settings!$J$14:$J$83),"Other"))))</f>
        <v/>
      </c>
      <c r="AO106">
        <f>IF($B106="","",IF(L106="","Not rostered",IFERROR(INDEX(Settings!$C$14:$C$33,MATCH(L106,Settings!$B$14:$B$33,0)),IFERROR(LOOKUP(2^15,SEARCH(Settings!$I$14:$I$83,L106)/(Settings!$I$14:$I$83&lt;&gt;""),Settings!$J$14:$J$83),"Other"))))</f>
        <v/>
      </c>
      <c r="AP106">
        <f>IF($B106="","",IF(M106="","Not rostered",IFERROR(INDEX(Settings!$C$14:$C$33,MATCH(M106,Settings!$B$14:$B$33,0)),IFERROR(LOOKUP(2^15,SEARCH(Settings!$I$14:$I$83,M106)/(Settings!$I$14:$I$83&lt;&gt;""),Settings!$J$14:$J$83),"Other"))))</f>
        <v/>
      </c>
      <c r="AQ106">
        <f>IF($B106="","",IF(N106="","Not rostered",IFERROR(INDEX(Settings!$C$14:$C$33,MATCH(N106,Settings!$B$14:$B$33,0)),IFERROR(LOOKUP(2^15,SEARCH(Settings!$I$14:$I$83,N106)/(Settings!$I$14:$I$83&lt;&gt;""),Settings!$J$14:$J$83),"Other"))))</f>
        <v/>
      </c>
      <c r="AR106">
        <f>IF($B106="","",IF(O106="","Not rostered",IFERROR(INDEX(Settings!$C$14:$C$33,MATCH(O106,Settings!$B$14:$B$33,0)),IFERROR(LOOKUP(2^15,SEARCH(Settings!$I$14:$I$83,O106)/(Settings!$I$14:$I$83&lt;&gt;""),Settings!$J$14:$J$83),"Other"))))</f>
        <v/>
      </c>
      <c r="AS106">
        <f>IF($B106="","",IF(P106="","Not rostered",IFERROR(INDEX(Settings!$C$14:$C$33,MATCH(P106,Settings!$B$14:$B$33,0)),IFERROR(LOOKUP(2^15,SEARCH(Settings!$I$14:$I$83,P106)/(Settings!$I$14:$I$83&lt;&gt;""),Settings!$J$14:$J$83),"Other"))))</f>
        <v/>
      </c>
      <c r="AT106">
        <f>IF($B106="","",IF(Q106="","Not rostered",IFERROR(INDEX(Settings!$C$14:$C$33,MATCH(Q106,Settings!$B$14:$B$33,0)),IFERROR(LOOKUP(2^15,SEARCH(Settings!$I$14:$I$83,Q106)/(Settings!$I$14:$I$83&lt;&gt;""),Settings!$J$14:$J$83),"Other"))))</f>
        <v/>
      </c>
      <c r="AU106">
        <f>IF($B106="","",IF(R106="","Not rostered",IFERROR(INDEX(Settings!$C$14:$C$33,MATCH(R106,Settings!$B$14:$B$33,0)),IFERROR(LOOKUP(2^15,SEARCH(Settings!$I$14:$I$83,R106)/(Settings!$I$14:$I$83&lt;&gt;""),Settings!$J$14:$J$83),"Other"))))</f>
        <v/>
      </c>
      <c r="AV106">
        <f>IF($B106="","",IF(S106="","Not rostered",IFERROR(INDEX(Settings!$C$14:$C$33,MATCH(S106,Settings!$B$14:$B$33,0)),IFERROR(LOOKUP(2^15,SEARCH(Settings!$I$14:$I$83,S106)/(Settings!$I$14:$I$83&lt;&gt;""),Settings!$J$14:$J$83),"Other"))))</f>
        <v/>
      </c>
      <c r="AW106">
        <f>IF($B106="","",IF(T106="","Not rostered",IFERROR(INDEX(Settings!$C$14:$C$33,MATCH(T106,Settings!$B$14:$B$33,0)),IFERROR(LOOKUP(2^15,SEARCH(Settings!$I$14:$I$83,T106)/(Settings!$I$14:$I$83&lt;&gt;""),Settings!$J$14:$J$83),"Other"))))</f>
        <v/>
      </c>
      <c r="AX106">
        <f>IF($B106="","",IF(U106="","Not rostered",IFERROR(INDEX(Settings!$C$14:$C$33,MATCH(U106,Settings!$B$14:$B$33,0)),IFERROR(LOOKUP(2^15,SEARCH(Settings!$I$14:$I$83,U106)/(Settings!$I$14:$I$83&lt;&gt;""),Settings!$J$14:$J$83),"Other"))))</f>
        <v/>
      </c>
      <c r="AY106">
        <f>IF($B106="","",IF(V106="","Not rostered",IFERROR(INDEX(Settings!$C$14:$C$33,MATCH(V106,Settings!$B$14:$B$33,0)),IFERROR(LOOKUP(2^15,SEARCH(Settings!$I$14:$I$83,V106)/(Settings!$I$14:$I$83&lt;&gt;""),Settings!$J$14:$J$83),"Other"))))</f>
        <v/>
      </c>
      <c r="AZ106">
        <f>IF($B106="","",IF(W106="","Not rostered",IFERROR(INDEX(Settings!$C$14:$C$33,MATCH(W106,Settings!$B$14:$B$33,0)),IFERROR(LOOKUP(2^15,SEARCH(Settings!$I$14:$I$83,W106)/(Settings!$I$14:$I$83&lt;&gt;""),Settings!$J$14:$J$83),"Other"))))</f>
        <v/>
      </c>
      <c r="BA106">
        <f>IF($B106="","",IF(X106="","Not rostered",IFERROR(INDEX(Settings!$C$14:$C$33,MATCH(X106,Settings!$B$14:$B$33,0)),IFERROR(LOOKUP(2^15,SEARCH(Settings!$I$14:$I$83,X106)/(Settings!$I$14:$I$83&lt;&gt;""),Settings!$J$14:$J$83),"Other"))))</f>
        <v/>
      </c>
      <c r="BB106">
        <f>IF($B106="","",IF(Y106="","Not rostered",IFERROR(INDEX(Settings!$C$14:$C$33,MATCH(Y106,Settings!$B$14:$B$33,0)),IFERROR(LOOKUP(2^15,SEARCH(Settings!$I$14:$I$83,Y106)/(Settings!$I$14:$I$83&lt;&gt;""),Settings!$J$14:$J$83),"Other"))))</f>
        <v/>
      </c>
      <c r="BC106">
        <f>IF($B106="","",IF(Z106="","Not rostered",IFERROR(INDEX(Settings!$C$14:$C$33,MATCH(Z106,Settings!$B$14:$B$33,0)),IFERROR(LOOKUP(2^15,SEARCH(Settings!$I$14:$I$83,Z106)/(Settings!$I$14:$I$83&lt;&gt;""),Settings!$J$14:$J$83),"Other"))))</f>
        <v/>
      </c>
      <c r="BD106">
        <f>IF($B106="","",IF(AA106="","Not rostered",IFERROR(INDEX(Settings!$C$14:$C$33,MATCH(AA106,Settings!$B$14:$B$33,0)),IFERROR(LOOKUP(2^15,SEARCH(Settings!$I$14:$I$83,AA106)/(Settings!$I$14:$I$83&lt;&gt;""),Settings!$J$14:$J$83),"Other"))))</f>
        <v/>
      </c>
      <c r="BE106">
        <f>IF($B106="","",IF(AB106="","Not rostered",IFERROR(INDEX(Settings!$C$14:$C$33,MATCH(AB106,Settings!$B$14:$B$33,0)),IFERROR(LOOKUP(2^15,SEARCH(Settings!$I$14:$I$83,AB106)/(Settings!$I$14:$I$83&lt;&gt;""),Settings!$J$14:$J$83),"Other"))))</f>
        <v/>
      </c>
      <c r="BF106">
        <f>IF($B106="","",IF(AC106="","Not rostered",IFERROR(INDEX(Settings!$C$14:$C$33,MATCH(AC106,Settings!$B$14:$B$33,0)),IFERROR(LOOKUP(2^15,SEARCH(Settings!$I$14:$I$83,AC106)/(Settings!$I$14:$I$83&lt;&gt;""),Settings!$J$14:$J$83),"Other"))))</f>
        <v/>
      </c>
      <c r="BG106">
        <f>IF($B106="","",IF(AD106="","Not rostered",IFERROR(INDEX(Settings!$C$14:$C$33,MATCH(AD106,Settings!$B$14:$B$33,0)),IFERROR(LOOKUP(2^15,SEARCH(Settings!$I$14:$I$83,AD106)/(Settings!$I$14:$I$83&lt;&gt;""),Settings!$J$14:$J$83),"Other"))))</f>
        <v/>
      </c>
      <c r="BH106">
        <f>IF($B106="","",IF(AE106="","Not rostered",IFERROR(INDEX(Settings!$C$14:$C$33,MATCH(AE106,Settings!$B$14:$B$33,0)),IFERROR(LOOKUP(2^15,SEARCH(Settings!$I$14:$I$83,AE106)/(Settings!$I$14:$I$83&lt;&gt;""),Settings!$J$14:$J$83),"Other"))))</f>
        <v/>
      </c>
      <c r="BI106">
        <f>IF($B106="","",IF(AF106="","Not rostered",IFERROR(INDEX(Settings!$C$14:$C$33,MATCH(AF106,Settings!$B$14:$B$33,0)),IFERROR(LOOKUP(2^15,SEARCH(Settings!$I$14:$I$83,AF106)/(Settings!$I$14:$I$83&lt;&gt;""),Settings!$J$14:$J$83),"Other"))))</f>
        <v/>
      </c>
      <c r="BJ106">
        <f>IF($B106="","",IF(AG106="","Not rostered",IFERROR(INDEX(Settings!$C$14:$C$33,MATCH(AG106,Settings!$B$14:$B$33,0)),IFERROR(LOOKUP(2^15,SEARCH(Settings!$I$14:$I$83,AG106)/(Settings!$I$14:$I$83&lt;&gt;""),Settings!$J$14:$J$83),"Other"))))</f>
        <v/>
      </c>
      <c r="BL106">
        <f>IF(OR($B106="",F106=""),"",IFERROR(INDEX(Settings!$D$14:$D$33,MATCH(F106,Settings!$B$14:$B$33,0))&amp;"",IFERROR(LOOKUP(2^15,SEARCH(Settings!$F$14:$F$43,F106)/(Settings!$F$14:$F$43&lt;&gt;""),Settings!$G$14:$G$43),"")))</f>
        <v/>
      </c>
      <c r="BM106">
        <f>IF(OR($B106="",G106=""),"",IFERROR(INDEX(Settings!$D$14:$D$33,MATCH(G106,Settings!$B$14:$B$33,0))&amp;"",IFERROR(LOOKUP(2^15,SEARCH(Settings!$F$14:$F$43,G106)/(Settings!$F$14:$F$43&lt;&gt;""),Settings!$G$14:$G$43),"")))</f>
        <v/>
      </c>
      <c r="BN106">
        <f>IF(OR($B106="",H106=""),"",IFERROR(INDEX(Settings!$D$14:$D$33,MATCH(H106,Settings!$B$14:$B$33,0))&amp;"",IFERROR(LOOKUP(2^15,SEARCH(Settings!$F$14:$F$43,H106)/(Settings!$F$14:$F$43&lt;&gt;""),Settings!$G$14:$G$43),"")))</f>
        <v/>
      </c>
      <c r="BO106">
        <f>IF(OR($B106="",I106=""),"",IFERROR(INDEX(Settings!$D$14:$D$33,MATCH(I106,Settings!$B$14:$B$33,0))&amp;"",IFERROR(LOOKUP(2^15,SEARCH(Settings!$F$14:$F$43,I106)/(Settings!$F$14:$F$43&lt;&gt;""),Settings!$G$14:$G$43),"")))</f>
        <v/>
      </c>
      <c r="BP106">
        <f>IF(OR($B106="",J106=""),"",IFERROR(INDEX(Settings!$D$14:$D$33,MATCH(J106,Settings!$B$14:$B$33,0))&amp;"",IFERROR(LOOKUP(2^15,SEARCH(Settings!$F$14:$F$43,J106)/(Settings!$F$14:$F$43&lt;&gt;""),Settings!$G$14:$G$43),"")))</f>
        <v/>
      </c>
      <c r="BQ106">
        <f>IF(OR($B106="",K106=""),"",IFERROR(INDEX(Settings!$D$14:$D$33,MATCH(K106,Settings!$B$14:$B$33,0))&amp;"",IFERROR(LOOKUP(2^15,SEARCH(Settings!$F$14:$F$43,K106)/(Settings!$F$14:$F$43&lt;&gt;""),Settings!$G$14:$G$43),"")))</f>
        <v/>
      </c>
      <c r="BR106">
        <f>IF(OR($B106="",L106=""),"",IFERROR(INDEX(Settings!$D$14:$D$33,MATCH(L106,Settings!$B$14:$B$33,0))&amp;"",IFERROR(LOOKUP(2^15,SEARCH(Settings!$F$14:$F$43,L106)/(Settings!$F$14:$F$43&lt;&gt;""),Settings!$G$14:$G$43),"")))</f>
        <v/>
      </c>
      <c r="BS106">
        <f>IF(OR($B106="",M106=""),"",IFERROR(INDEX(Settings!$D$14:$D$33,MATCH(M106,Settings!$B$14:$B$33,0))&amp;"",IFERROR(LOOKUP(2^15,SEARCH(Settings!$F$14:$F$43,M106)/(Settings!$F$14:$F$43&lt;&gt;""),Settings!$G$14:$G$43),"")))</f>
        <v/>
      </c>
      <c r="BT106">
        <f>IF(OR($B106="",N106=""),"",IFERROR(INDEX(Settings!$D$14:$D$33,MATCH(N106,Settings!$B$14:$B$33,0))&amp;"",IFERROR(LOOKUP(2^15,SEARCH(Settings!$F$14:$F$43,N106)/(Settings!$F$14:$F$43&lt;&gt;""),Settings!$G$14:$G$43),"")))</f>
        <v/>
      </c>
      <c r="BU106">
        <f>IF(OR($B106="",O106=""),"",IFERROR(INDEX(Settings!$D$14:$D$33,MATCH(O106,Settings!$B$14:$B$33,0))&amp;"",IFERROR(LOOKUP(2^15,SEARCH(Settings!$F$14:$F$43,O106)/(Settings!$F$14:$F$43&lt;&gt;""),Settings!$G$14:$G$43),"")))</f>
        <v/>
      </c>
      <c r="BV106">
        <f>IF(OR($B106="",P106=""),"",IFERROR(INDEX(Settings!$D$14:$D$33,MATCH(P106,Settings!$B$14:$B$33,0))&amp;"",IFERROR(LOOKUP(2^15,SEARCH(Settings!$F$14:$F$43,P106)/(Settings!$F$14:$F$43&lt;&gt;""),Settings!$G$14:$G$43),"")))</f>
        <v/>
      </c>
      <c r="BW106">
        <f>IF(OR($B106="",Q106=""),"",IFERROR(INDEX(Settings!$D$14:$D$33,MATCH(Q106,Settings!$B$14:$B$33,0))&amp;"",IFERROR(LOOKUP(2^15,SEARCH(Settings!$F$14:$F$43,Q106)/(Settings!$F$14:$F$43&lt;&gt;""),Settings!$G$14:$G$43),"")))</f>
        <v/>
      </c>
      <c r="BX106">
        <f>IF(OR($B106="",R106=""),"",IFERROR(INDEX(Settings!$D$14:$D$33,MATCH(R106,Settings!$B$14:$B$33,0))&amp;"",IFERROR(LOOKUP(2^15,SEARCH(Settings!$F$14:$F$43,R106)/(Settings!$F$14:$F$43&lt;&gt;""),Settings!$G$14:$G$43),"")))</f>
        <v/>
      </c>
      <c r="BY106">
        <f>IF(OR($B106="",S106=""),"",IFERROR(INDEX(Settings!$D$14:$D$33,MATCH(S106,Settings!$B$14:$B$33,0))&amp;"",IFERROR(LOOKUP(2^15,SEARCH(Settings!$F$14:$F$43,S106)/(Settings!$F$14:$F$43&lt;&gt;""),Settings!$G$14:$G$43),"")))</f>
        <v/>
      </c>
      <c r="BZ106">
        <f>IF(OR($B106="",T106=""),"",IFERROR(INDEX(Settings!$D$14:$D$33,MATCH(T106,Settings!$B$14:$B$33,0))&amp;"",IFERROR(LOOKUP(2^15,SEARCH(Settings!$F$14:$F$43,T106)/(Settings!$F$14:$F$43&lt;&gt;""),Settings!$G$14:$G$43),"")))</f>
        <v/>
      </c>
      <c r="CA106">
        <f>IF(OR($B106="",U106=""),"",IFERROR(INDEX(Settings!$D$14:$D$33,MATCH(U106,Settings!$B$14:$B$33,0))&amp;"",IFERROR(LOOKUP(2^15,SEARCH(Settings!$F$14:$F$43,U106)/(Settings!$F$14:$F$43&lt;&gt;""),Settings!$G$14:$G$43),"")))</f>
        <v/>
      </c>
      <c r="CB106">
        <f>IF(OR($B106="",V106=""),"",IFERROR(INDEX(Settings!$D$14:$D$33,MATCH(V106,Settings!$B$14:$B$33,0))&amp;"",IFERROR(LOOKUP(2^15,SEARCH(Settings!$F$14:$F$43,V106)/(Settings!$F$14:$F$43&lt;&gt;""),Settings!$G$14:$G$43),"")))</f>
        <v/>
      </c>
      <c r="CC106">
        <f>IF(OR($B106="",W106=""),"",IFERROR(INDEX(Settings!$D$14:$D$33,MATCH(W106,Settings!$B$14:$B$33,0))&amp;"",IFERROR(LOOKUP(2^15,SEARCH(Settings!$F$14:$F$43,W106)/(Settings!$F$14:$F$43&lt;&gt;""),Settings!$G$14:$G$43),"")))</f>
        <v/>
      </c>
      <c r="CD106">
        <f>IF(OR($B106="",X106=""),"",IFERROR(INDEX(Settings!$D$14:$D$33,MATCH(X106,Settings!$B$14:$B$33,0))&amp;"",IFERROR(LOOKUP(2^15,SEARCH(Settings!$F$14:$F$43,X106)/(Settings!$F$14:$F$43&lt;&gt;""),Settings!$G$14:$G$43),"")))</f>
        <v/>
      </c>
      <c r="CE106">
        <f>IF(OR($B106="",Y106=""),"",IFERROR(INDEX(Settings!$D$14:$D$33,MATCH(Y106,Settings!$B$14:$B$33,0))&amp;"",IFERROR(LOOKUP(2^15,SEARCH(Settings!$F$14:$F$43,Y106)/(Settings!$F$14:$F$43&lt;&gt;""),Settings!$G$14:$G$43),"")))</f>
        <v/>
      </c>
      <c r="CF106">
        <f>IF(OR($B106="",Z106=""),"",IFERROR(INDEX(Settings!$D$14:$D$33,MATCH(Z106,Settings!$B$14:$B$33,0))&amp;"",IFERROR(LOOKUP(2^15,SEARCH(Settings!$F$14:$F$43,Z106)/(Settings!$F$14:$F$43&lt;&gt;""),Settings!$G$14:$G$43),"")))</f>
        <v/>
      </c>
      <c r="CG106">
        <f>IF(OR($B106="",AA106=""),"",IFERROR(INDEX(Settings!$D$14:$D$33,MATCH(AA106,Settings!$B$14:$B$33,0))&amp;"",IFERROR(LOOKUP(2^15,SEARCH(Settings!$F$14:$F$43,AA106)/(Settings!$F$14:$F$43&lt;&gt;""),Settings!$G$14:$G$43),"")))</f>
        <v/>
      </c>
      <c r="CH106">
        <f>IF(OR($B106="",AB106=""),"",IFERROR(INDEX(Settings!$D$14:$D$33,MATCH(AB106,Settings!$B$14:$B$33,0))&amp;"",IFERROR(LOOKUP(2^15,SEARCH(Settings!$F$14:$F$43,AB106)/(Settings!$F$14:$F$43&lt;&gt;""),Settings!$G$14:$G$43),"")))</f>
        <v/>
      </c>
      <c r="CI106">
        <f>IF(OR($B106="",AC106=""),"",IFERROR(INDEX(Settings!$D$14:$D$33,MATCH(AC106,Settings!$B$14:$B$33,0))&amp;"",IFERROR(LOOKUP(2^15,SEARCH(Settings!$F$14:$F$43,AC106)/(Settings!$F$14:$F$43&lt;&gt;""),Settings!$G$14:$G$43),"")))</f>
        <v/>
      </c>
      <c r="CJ106">
        <f>IF(OR($B106="",AD106=""),"",IFERROR(INDEX(Settings!$D$14:$D$33,MATCH(AD106,Settings!$B$14:$B$33,0))&amp;"",IFERROR(LOOKUP(2^15,SEARCH(Settings!$F$14:$F$43,AD106)/(Settings!$F$14:$F$43&lt;&gt;""),Settings!$G$14:$G$43),"")))</f>
        <v/>
      </c>
      <c r="CK106">
        <f>IF(OR($B106="",AE106=""),"",IFERROR(INDEX(Settings!$D$14:$D$33,MATCH(AE106,Settings!$B$14:$B$33,0))&amp;"",IFERROR(LOOKUP(2^15,SEARCH(Settings!$F$14:$F$43,AE106)/(Settings!$F$14:$F$43&lt;&gt;""),Settings!$G$14:$G$43),"")))</f>
        <v/>
      </c>
      <c r="CL106">
        <f>IF(OR($B106="",AF106=""),"",IFERROR(INDEX(Settings!$D$14:$D$33,MATCH(AF106,Settings!$B$14:$B$33,0))&amp;"",IFERROR(LOOKUP(2^15,SEARCH(Settings!$F$14:$F$43,AF106)/(Settings!$F$14:$F$43&lt;&gt;""),Settings!$G$14:$G$43),"")))</f>
        <v/>
      </c>
      <c r="CM106">
        <f>IF(OR($B106="",AG106=""),"",IFERROR(INDEX(Settings!$D$14:$D$33,MATCH(AG106,Settings!$B$14:$B$33,0))&amp;"",IFERROR(LOOKUP(2^15,SEARCH(Settings!$F$14:$F$43,AG106)/(Settings!$F$14:$F$43&lt;&gt;""),Settings!$G$14:$G$43),"")))</f>
        <v/>
      </c>
    </row>
    <row r="107">
      <c r="A107" t="n">
        <v>105</v>
      </c>
      <c r="B107">
        <f>IFERROR(INDEX(Index!$A$2:$A$202,MATCH(A107,Index!$E$2:$E$202,0)),"")</f>
        <v/>
      </c>
      <c r="D107">
        <f>IF($B107="","",IFERROR(MATCH("Travel*",AI107:BJ107,0),""))</f>
        <v/>
      </c>
      <c r="F107">
        <f>IF(OR($B107="",NOT(ISNUMBER(Settings!$C$9))),"",TRIM(SUBSTITUTE(SUBSTITUTE(INDEX('INPUT - Roster'!$S$1:$SV$206,$B107,Settings!$C$9+0)&amp;"",CHAR(10)," "),CHAR(160)," ")))</f>
        <v/>
      </c>
      <c r="G107">
        <f>IF(OR($B107="",NOT(ISNUMBER(Settings!$C$9))),"",TRIM(SUBSTITUTE(SUBSTITUTE(INDEX('INPUT - Roster'!$S$1:$SV$206,$B107,Settings!$C$9+1)&amp;"",CHAR(10)," "),CHAR(160)," ")))</f>
        <v/>
      </c>
      <c r="H107">
        <f>IF(OR($B107="",NOT(ISNUMBER(Settings!$C$9))),"",TRIM(SUBSTITUTE(SUBSTITUTE(INDEX('INPUT - Roster'!$S$1:$SV$206,$B107,Settings!$C$9+2)&amp;"",CHAR(10)," "),CHAR(160)," ")))</f>
        <v/>
      </c>
      <c r="I107">
        <f>IF(OR($B107="",NOT(ISNUMBER(Settings!$C$9))),"",TRIM(SUBSTITUTE(SUBSTITUTE(INDEX('INPUT - Roster'!$S$1:$SV$206,$B107,Settings!$C$9+3)&amp;"",CHAR(10)," "),CHAR(160)," ")))</f>
        <v/>
      </c>
      <c r="J107">
        <f>IF(OR($B107="",NOT(ISNUMBER(Settings!$C$9))),"",TRIM(SUBSTITUTE(SUBSTITUTE(INDEX('INPUT - Roster'!$S$1:$SV$206,$B107,Settings!$C$9+4)&amp;"",CHAR(10)," "),CHAR(160)," ")))</f>
        <v/>
      </c>
      <c r="K107">
        <f>IF(OR($B107="",NOT(ISNUMBER(Settings!$C$9))),"",TRIM(SUBSTITUTE(SUBSTITUTE(INDEX('INPUT - Roster'!$S$1:$SV$206,$B107,Settings!$C$9+5)&amp;"",CHAR(10)," "),CHAR(160)," ")))</f>
        <v/>
      </c>
      <c r="L107">
        <f>IF(OR($B107="",NOT(ISNUMBER(Settings!$C$9))),"",TRIM(SUBSTITUTE(SUBSTITUTE(INDEX('INPUT - Roster'!$S$1:$SV$206,$B107,Settings!$C$9+6)&amp;"",CHAR(10)," "),CHAR(160)," ")))</f>
        <v/>
      </c>
      <c r="M107">
        <f>IF(OR($B107="",NOT(ISNUMBER(Settings!$C$9))),"",TRIM(SUBSTITUTE(SUBSTITUTE(INDEX('INPUT - Roster'!$S$1:$SV$206,$B107,Settings!$C$9+7)&amp;"",CHAR(10)," "),CHAR(160)," ")))</f>
        <v/>
      </c>
      <c r="N107">
        <f>IF(OR($B107="",NOT(ISNUMBER(Settings!$C$9))),"",TRIM(SUBSTITUTE(SUBSTITUTE(INDEX('INPUT - Roster'!$S$1:$SV$206,$B107,Settings!$C$9+8)&amp;"",CHAR(10)," "),CHAR(160)," ")))</f>
        <v/>
      </c>
      <c r="O107">
        <f>IF(OR($B107="",NOT(ISNUMBER(Settings!$C$9))),"",TRIM(SUBSTITUTE(SUBSTITUTE(INDEX('INPUT - Roster'!$S$1:$SV$206,$B107,Settings!$C$9+9)&amp;"",CHAR(10)," "),CHAR(160)," ")))</f>
        <v/>
      </c>
      <c r="P107">
        <f>IF(OR($B107="",NOT(ISNUMBER(Settings!$C$9))),"",TRIM(SUBSTITUTE(SUBSTITUTE(INDEX('INPUT - Roster'!$S$1:$SV$206,$B107,Settings!$C$9+10)&amp;"",CHAR(10)," "),CHAR(160)," ")))</f>
        <v/>
      </c>
      <c r="Q107">
        <f>IF(OR($B107="",NOT(ISNUMBER(Settings!$C$9))),"",TRIM(SUBSTITUTE(SUBSTITUTE(INDEX('INPUT - Roster'!$S$1:$SV$206,$B107,Settings!$C$9+11)&amp;"",CHAR(10)," "),CHAR(160)," ")))</f>
        <v/>
      </c>
      <c r="R107">
        <f>IF(OR($B107="",NOT(ISNUMBER(Settings!$C$9))),"",TRIM(SUBSTITUTE(SUBSTITUTE(INDEX('INPUT - Roster'!$S$1:$SV$206,$B107,Settings!$C$9+12)&amp;"",CHAR(10)," "),CHAR(160)," ")))</f>
        <v/>
      </c>
      <c r="S107">
        <f>IF(OR($B107="",NOT(ISNUMBER(Settings!$C$9))),"",TRIM(SUBSTITUTE(SUBSTITUTE(INDEX('INPUT - Roster'!$S$1:$SV$206,$B107,Settings!$C$9+13)&amp;"",CHAR(10)," "),CHAR(160)," ")))</f>
        <v/>
      </c>
      <c r="T107">
        <f>IF(OR($B107="",NOT(ISNUMBER(Settings!$C$9))),"",TRIM(SUBSTITUTE(SUBSTITUTE(INDEX('INPUT - Roster'!$S$1:$SV$206,$B107,Settings!$C$9+14)&amp;"",CHAR(10)," "),CHAR(160)," ")))</f>
        <v/>
      </c>
      <c r="U107">
        <f>IF(OR($B107="",NOT(ISNUMBER(Settings!$C$9))),"",TRIM(SUBSTITUTE(SUBSTITUTE(INDEX('INPUT - Roster'!$S$1:$SV$206,$B107,Settings!$C$9+15)&amp;"",CHAR(10)," "),CHAR(160)," ")))</f>
        <v/>
      </c>
      <c r="V107">
        <f>IF(OR($B107="",NOT(ISNUMBER(Settings!$C$9))),"",TRIM(SUBSTITUTE(SUBSTITUTE(INDEX('INPUT - Roster'!$S$1:$SV$206,$B107,Settings!$C$9+16)&amp;"",CHAR(10)," "),CHAR(160)," ")))</f>
        <v/>
      </c>
      <c r="W107">
        <f>IF(OR($B107="",NOT(ISNUMBER(Settings!$C$9))),"",TRIM(SUBSTITUTE(SUBSTITUTE(INDEX('INPUT - Roster'!$S$1:$SV$206,$B107,Settings!$C$9+17)&amp;"",CHAR(10)," "),CHAR(160)," ")))</f>
        <v/>
      </c>
      <c r="X107">
        <f>IF(OR($B107="",NOT(ISNUMBER(Settings!$C$9))),"",TRIM(SUBSTITUTE(SUBSTITUTE(INDEX('INPUT - Roster'!$S$1:$SV$206,$B107,Settings!$C$9+18)&amp;"",CHAR(10)," "),CHAR(160)," ")))</f>
        <v/>
      </c>
      <c r="Y107">
        <f>IF(OR($B107="",NOT(ISNUMBER(Settings!$C$9))),"",TRIM(SUBSTITUTE(SUBSTITUTE(INDEX('INPUT - Roster'!$S$1:$SV$206,$B107,Settings!$C$9+19)&amp;"",CHAR(10)," "),CHAR(160)," ")))</f>
        <v/>
      </c>
      <c r="Z107">
        <f>IF(OR($B107="",NOT(ISNUMBER(Settings!$C$9))),"",TRIM(SUBSTITUTE(SUBSTITUTE(INDEX('INPUT - Roster'!$S$1:$SV$206,$B107,Settings!$C$9+20)&amp;"",CHAR(10)," "),CHAR(160)," ")))</f>
        <v/>
      </c>
      <c r="AA107">
        <f>IF(OR($B107="",NOT(ISNUMBER(Settings!$C$9))),"",TRIM(SUBSTITUTE(SUBSTITUTE(INDEX('INPUT - Roster'!$S$1:$SV$206,$B107,Settings!$C$9+21)&amp;"",CHAR(10)," "),CHAR(160)," ")))</f>
        <v/>
      </c>
      <c r="AB107">
        <f>IF(OR($B107="",NOT(ISNUMBER(Settings!$C$9))),"",TRIM(SUBSTITUTE(SUBSTITUTE(INDEX('INPUT - Roster'!$S$1:$SV$206,$B107,Settings!$C$9+22)&amp;"",CHAR(10)," "),CHAR(160)," ")))</f>
        <v/>
      </c>
      <c r="AC107">
        <f>IF(OR($B107="",NOT(ISNUMBER(Settings!$C$9))),"",TRIM(SUBSTITUTE(SUBSTITUTE(INDEX('INPUT - Roster'!$S$1:$SV$206,$B107,Settings!$C$9+23)&amp;"",CHAR(10)," "),CHAR(160)," ")))</f>
        <v/>
      </c>
      <c r="AD107">
        <f>IF(OR($B107="",NOT(ISNUMBER(Settings!$C$9))),"",TRIM(SUBSTITUTE(SUBSTITUTE(INDEX('INPUT - Roster'!$S$1:$SV$206,$B107,Settings!$C$9+24)&amp;"",CHAR(10)," "),CHAR(160)," ")))</f>
        <v/>
      </c>
      <c r="AE107">
        <f>IF(OR($B107="",NOT(ISNUMBER(Settings!$C$9))),"",TRIM(SUBSTITUTE(SUBSTITUTE(INDEX('INPUT - Roster'!$S$1:$SV$206,$B107,Settings!$C$9+25)&amp;"",CHAR(10)," "),CHAR(160)," ")))</f>
        <v/>
      </c>
      <c r="AF107">
        <f>IF(OR($B107="",NOT(ISNUMBER(Settings!$C$9))),"",TRIM(SUBSTITUTE(SUBSTITUTE(INDEX('INPUT - Roster'!$S$1:$SV$206,$B107,Settings!$C$9+26)&amp;"",CHAR(10)," "),CHAR(160)," ")))</f>
        <v/>
      </c>
      <c r="AG107">
        <f>IF(OR($B107="",NOT(ISNUMBER(Settings!$C$9))),"",TRIM(SUBSTITUTE(SUBSTITUTE(INDEX('INPUT - Roster'!$S$1:$SV$206,$B107,Settings!$C$9+27)&amp;"",CHAR(10)," "),CHAR(160)," ")))</f>
        <v/>
      </c>
      <c r="AI107">
        <f>IF($B107="","",IF(F107="","Not rostered",IFERROR(INDEX(Settings!$C$14:$C$33,MATCH(F107,Settings!$B$14:$B$33,0)),IFERROR(LOOKUP(2^15,SEARCH(Settings!$I$14:$I$83,F107)/(Settings!$I$14:$I$83&lt;&gt;""),Settings!$J$14:$J$83),"Other"))))</f>
        <v/>
      </c>
      <c r="AJ107">
        <f>IF($B107="","",IF(G107="","Not rostered",IFERROR(INDEX(Settings!$C$14:$C$33,MATCH(G107,Settings!$B$14:$B$33,0)),IFERROR(LOOKUP(2^15,SEARCH(Settings!$I$14:$I$83,G107)/(Settings!$I$14:$I$83&lt;&gt;""),Settings!$J$14:$J$83),"Other"))))</f>
        <v/>
      </c>
      <c r="AK107">
        <f>IF($B107="","",IF(H107="","Not rostered",IFERROR(INDEX(Settings!$C$14:$C$33,MATCH(H107,Settings!$B$14:$B$33,0)),IFERROR(LOOKUP(2^15,SEARCH(Settings!$I$14:$I$83,H107)/(Settings!$I$14:$I$83&lt;&gt;""),Settings!$J$14:$J$83),"Other"))))</f>
        <v/>
      </c>
      <c r="AL107">
        <f>IF($B107="","",IF(I107="","Not rostered",IFERROR(INDEX(Settings!$C$14:$C$33,MATCH(I107,Settings!$B$14:$B$33,0)),IFERROR(LOOKUP(2^15,SEARCH(Settings!$I$14:$I$83,I107)/(Settings!$I$14:$I$83&lt;&gt;""),Settings!$J$14:$J$83),"Other"))))</f>
        <v/>
      </c>
      <c r="AM107">
        <f>IF($B107="","",IF(J107="","Not rostered",IFERROR(INDEX(Settings!$C$14:$C$33,MATCH(J107,Settings!$B$14:$B$33,0)),IFERROR(LOOKUP(2^15,SEARCH(Settings!$I$14:$I$83,J107)/(Settings!$I$14:$I$83&lt;&gt;""),Settings!$J$14:$J$83),"Other"))))</f>
        <v/>
      </c>
      <c r="AN107">
        <f>IF($B107="","",IF(K107="","Not rostered",IFERROR(INDEX(Settings!$C$14:$C$33,MATCH(K107,Settings!$B$14:$B$33,0)),IFERROR(LOOKUP(2^15,SEARCH(Settings!$I$14:$I$83,K107)/(Settings!$I$14:$I$83&lt;&gt;""),Settings!$J$14:$J$83),"Other"))))</f>
        <v/>
      </c>
      <c r="AO107">
        <f>IF($B107="","",IF(L107="","Not rostered",IFERROR(INDEX(Settings!$C$14:$C$33,MATCH(L107,Settings!$B$14:$B$33,0)),IFERROR(LOOKUP(2^15,SEARCH(Settings!$I$14:$I$83,L107)/(Settings!$I$14:$I$83&lt;&gt;""),Settings!$J$14:$J$83),"Other"))))</f>
        <v/>
      </c>
      <c r="AP107">
        <f>IF($B107="","",IF(M107="","Not rostered",IFERROR(INDEX(Settings!$C$14:$C$33,MATCH(M107,Settings!$B$14:$B$33,0)),IFERROR(LOOKUP(2^15,SEARCH(Settings!$I$14:$I$83,M107)/(Settings!$I$14:$I$83&lt;&gt;""),Settings!$J$14:$J$83),"Other"))))</f>
        <v/>
      </c>
      <c r="AQ107">
        <f>IF($B107="","",IF(N107="","Not rostered",IFERROR(INDEX(Settings!$C$14:$C$33,MATCH(N107,Settings!$B$14:$B$33,0)),IFERROR(LOOKUP(2^15,SEARCH(Settings!$I$14:$I$83,N107)/(Settings!$I$14:$I$83&lt;&gt;""),Settings!$J$14:$J$83),"Other"))))</f>
        <v/>
      </c>
      <c r="AR107">
        <f>IF($B107="","",IF(O107="","Not rostered",IFERROR(INDEX(Settings!$C$14:$C$33,MATCH(O107,Settings!$B$14:$B$33,0)),IFERROR(LOOKUP(2^15,SEARCH(Settings!$I$14:$I$83,O107)/(Settings!$I$14:$I$83&lt;&gt;""),Settings!$J$14:$J$83),"Other"))))</f>
        <v/>
      </c>
      <c r="AS107">
        <f>IF($B107="","",IF(P107="","Not rostered",IFERROR(INDEX(Settings!$C$14:$C$33,MATCH(P107,Settings!$B$14:$B$33,0)),IFERROR(LOOKUP(2^15,SEARCH(Settings!$I$14:$I$83,P107)/(Settings!$I$14:$I$83&lt;&gt;""),Settings!$J$14:$J$83),"Other"))))</f>
        <v/>
      </c>
      <c r="AT107">
        <f>IF($B107="","",IF(Q107="","Not rostered",IFERROR(INDEX(Settings!$C$14:$C$33,MATCH(Q107,Settings!$B$14:$B$33,0)),IFERROR(LOOKUP(2^15,SEARCH(Settings!$I$14:$I$83,Q107)/(Settings!$I$14:$I$83&lt;&gt;""),Settings!$J$14:$J$83),"Other"))))</f>
        <v/>
      </c>
      <c r="AU107">
        <f>IF($B107="","",IF(R107="","Not rostered",IFERROR(INDEX(Settings!$C$14:$C$33,MATCH(R107,Settings!$B$14:$B$33,0)),IFERROR(LOOKUP(2^15,SEARCH(Settings!$I$14:$I$83,R107)/(Settings!$I$14:$I$83&lt;&gt;""),Settings!$J$14:$J$83),"Other"))))</f>
        <v/>
      </c>
      <c r="AV107">
        <f>IF($B107="","",IF(S107="","Not rostered",IFERROR(INDEX(Settings!$C$14:$C$33,MATCH(S107,Settings!$B$14:$B$33,0)),IFERROR(LOOKUP(2^15,SEARCH(Settings!$I$14:$I$83,S107)/(Settings!$I$14:$I$83&lt;&gt;""),Settings!$J$14:$J$83),"Other"))))</f>
        <v/>
      </c>
      <c r="AW107">
        <f>IF($B107="","",IF(T107="","Not rostered",IFERROR(INDEX(Settings!$C$14:$C$33,MATCH(T107,Settings!$B$14:$B$33,0)),IFERROR(LOOKUP(2^15,SEARCH(Settings!$I$14:$I$83,T107)/(Settings!$I$14:$I$83&lt;&gt;""),Settings!$J$14:$J$83),"Other"))))</f>
        <v/>
      </c>
      <c r="AX107">
        <f>IF($B107="","",IF(U107="","Not rostered",IFERROR(INDEX(Settings!$C$14:$C$33,MATCH(U107,Settings!$B$14:$B$33,0)),IFERROR(LOOKUP(2^15,SEARCH(Settings!$I$14:$I$83,U107)/(Settings!$I$14:$I$83&lt;&gt;""),Settings!$J$14:$J$83),"Other"))))</f>
        <v/>
      </c>
      <c r="AY107">
        <f>IF($B107="","",IF(V107="","Not rostered",IFERROR(INDEX(Settings!$C$14:$C$33,MATCH(V107,Settings!$B$14:$B$33,0)),IFERROR(LOOKUP(2^15,SEARCH(Settings!$I$14:$I$83,V107)/(Settings!$I$14:$I$83&lt;&gt;""),Settings!$J$14:$J$83),"Other"))))</f>
        <v/>
      </c>
      <c r="AZ107">
        <f>IF($B107="","",IF(W107="","Not rostered",IFERROR(INDEX(Settings!$C$14:$C$33,MATCH(W107,Settings!$B$14:$B$33,0)),IFERROR(LOOKUP(2^15,SEARCH(Settings!$I$14:$I$83,W107)/(Settings!$I$14:$I$83&lt;&gt;""),Settings!$J$14:$J$83),"Other"))))</f>
        <v/>
      </c>
      <c r="BA107">
        <f>IF($B107="","",IF(X107="","Not rostered",IFERROR(INDEX(Settings!$C$14:$C$33,MATCH(X107,Settings!$B$14:$B$33,0)),IFERROR(LOOKUP(2^15,SEARCH(Settings!$I$14:$I$83,X107)/(Settings!$I$14:$I$83&lt;&gt;""),Settings!$J$14:$J$83),"Other"))))</f>
        <v/>
      </c>
      <c r="BB107">
        <f>IF($B107="","",IF(Y107="","Not rostered",IFERROR(INDEX(Settings!$C$14:$C$33,MATCH(Y107,Settings!$B$14:$B$33,0)),IFERROR(LOOKUP(2^15,SEARCH(Settings!$I$14:$I$83,Y107)/(Settings!$I$14:$I$83&lt;&gt;""),Settings!$J$14:$J$83),"Other"))))</f>
        <v/>
      </c>
      <c r="BC107">
        <f>IF($B107="","",IF(Z107="","Not rostered",IFERROR(INDEX(Settings!$C$14:$C$33,MATCH(Z107,Settings!$B$14:$B$33,0)),IFERROR(LOOKUP(2^15,SEARCH(Settings!$I$14:$I$83,Z107)/(Settings!$I$14:$I$83&lt;&gt;""),Settings!$J$14:$J$83),"Other"))))</f>
        <v/>
      </c>
      <c r="BD107">
        <f>IF($B107="","",IF(AA107="","Not rostered",IFERROR(INDEX(Settings!$C$14:$C$33,MATCH(AA107,Settings!$B$14:$B$33,0)),IFERROR(LOOKUP(2^15,SEARCH(Settings!$I$14:$I$83,AA107)/(Settings!$I$14:$I$83&lt;&gt;""),Settings!$J$14:$J$83),"Other"))))</f>
        <v/>
      </c>
      <c r="BE107">
        <f>IF($B107="","",IF(AB107="","Not rostered",IFERROR(INDEX(Settings!$C$14:$C$33,MATCH(AB107,Settings!$B$14:$B$33,0)),IFERROR(LOOKUP(2^15,SEARCH(Settings!$I$14:$I$83,AB107)/(Settings!$I$14:$I$83&lt;&gt;""),Settings!$J$14:$J$83),"Other"))))</f>
        <v/>
      </c>
      <c r="BF107">
        <f>IF($B107="","",IF(AC107="","Not rostered",IFERROR(INDEX(Settings!$C$14:$C$33,MATCH(AC107,Settings!$B$14:$B$33,0)),IFERROR(LOOKUP(2^15,SEARCH(Settings!$I$14:$I$83,AC107)/(Settings!$I$14:$I$83&lt;&gt;""),Settings!$J$14:$J$83),"Other"))))</f>
        <v/>
      </c>
      <c r="BG107">
        <f>IF($B107="","",IF(AD107="","Not rostered",IFERROR(INDEX(Settings!$C$14:$C$33,MATCH(AD107,Settings!$B$14:$B$33,0)),IFERROR(LOOKUP(2^15,SEARCH(Settings!$I$14:$I$83,AD107)/(Settings!$I$14:$I$83&lt;&gt;""),Settings!$J$14:$J$83),"Other"))))</f>
        <v/>
      </c>
      <c r="BH107">
        <f>IF($B107="","",IF(AE107="","Not rostered",IFERROR(INDEX(Settings!$C$14:$C$33,MATCH(AE107,Settings!$B$14:$B$33,0)),IFERROR(LOOKUP(2^15,SEARCH(Settings!$I$14:$I$83,AE107)/(Settings!$I$14:$I$83&lt;&gt;""),Settings!$J$14:$J$83),"Other"))))</f>
        <v/>
      </c>
      <c r="BI107">
        <f>IF($B107="","",IF(AF107="","Not rostered",IFERROR(INDEX(Settings!$C$14:$C$33,MATCH(AF107,Settings!$B$14:$B$33,0)),IFERROR(LOOKUP(2^15,SEARCH(Settings!$I$14:$I$83,AF107)/(Settings!$I$14:$I$83&lt;&gt;""),Settings!$J$14:$J$83),"Other"))))</f>
        <v/>
      </c>
      <c r="BJ107">
        <f>IF($B107="","",IF(AG107="","Not rostered",IFERROR(INDEX(Settings!$C$14:$C$33,MATCH(AG107,Settings!$B$14:$B$33,0)),IFERROR(LOOKUP(2^15,SEARCH(Settings!$I$14:$I$83,AG107)/(Settings!$I$14:$I$83&lt;&gt;""),Settings!$J$14:$J$83),"Other"))))</f>
        <v/>
      </c>
      <c r="BL107">
        <f>IF(OR($B107="",F107=""),"",IFERROR(INDEX(Settings!$D$14:$D$33,MATCH(F107,Settings!$B$14:$B$33,0))&amp;"",IFERROR(LOOKUP(2^15,SEARCH(Settings!$F$14:$F$43,F107)/(Settings!$F$14:$F$43&lt;&gt;""),Settings!$G$14:$G$43),"")))</f>
        <v/>
      </c>
      <c r="BM107">
        <f>IF(OR($B107="",G107=""),"",IFERROR(INDEX(Settings!$D$14:$D$33,MATCH(G107,Settings!$B$14:$B$33,0))&amp;"",IFERROR(LOOKUP(2^15,SEARCH(Settings!$F$14:$F$43,G107)/(Settings!$F$14:$F$43&lt;&gt;""),Settings!$G$14:$G$43),"")))</f>
        <v/>
      </c>
      <c r="BN107">
        <f>IF(OR($B107="",H107=""),"",IFERROR(INDEX(Settings!$D$14:$D$33,MATCH(H107,Settings!$B$14:$B$33,0))&amp;"",IFERROR(LOOKUP(2^15,SEARCH(Settings!$F$14:$F$43,H107)/(Settings!$F$14:$F$43&lt;&gt;""),Settings!$G$14:$G$43),"")))</f>
        <v/>
      </c>
      <c r="BO107">
        <f>IF(OR($B107="",I107=""),"",IFERROR(INDEX(Settings!$D$14:$D$33,MATCH(I107,Settings!$B$14:$B$33,0))&amp;"",IFERROR(LOOKUP(2^15,SEARCH(Settings!$F$14:$F$43,I107)/(Settings!$F$14:$F$43&lt;&gt;""),Settings!$G$14:$G$43),"")))</f>
        <v/>
      </c>
      <c r="BP107">
        <f>IF(OR($B107="",J107=""),"",IFERROR(INDEX(Settings!$D$14:$D$33,MATCH(J107,Settings!$B$14:$B$33,0))&amp;"",IFERROR(LOOKUP(2^15,SEARCH(Settings!$F$14:$F$43,J107)/(Settings!$F$14:$F$43&lt;&gt;""),Settings!$G$14:$G$43),"")))</f>
        <v/>
      </c>
      <c r="BQ107">
        <f>IF(OR($B107="",K107=""),"",IFERROR(INDEX(Settings!$D$14:$D$33,MATCH(K107,Settings!$B$14:$B$33,0))&amp;"",IFERROR(LOOKUP(2^15,SEARCH(Settings!$F$14:$F$43,K107)/(Settings!$F$14:$F$43&lt;&gt;""),Settings!$G$14:$G$43),"")))</f>
        <v/>
      </c>
      <c r="BR107">
        <f>IF(OR($B107="",L107=""),"",IFERROR(INDEX(Settings!$D$14:$D$33,MATCH(L107,Settings!$B$14:$B$33,0))&amp;"",IFERROR(LOOKUP(2^15,SEARCH(Settings!$F$14:$F$43,L107)/(Settings!$F$14:$F$43&lt;&gt;""),Settings!$G$14:$G$43),"")))</f>
        <v/>
      </c>
      <c r="BS107">
        <f>IF(OR($B107="",M107=""),"",IFERROR(INDEX(Settings!$D$14:$D$33,MATCH(M107,Settings!$B$14:$B$33,0))&amp;"",IFERROR(LOOKUP(2^15,SEARCH(Settings!$F$14:$F$43,M107)/(Settings!$F$14:$F$43&lt;&gt;""),Settings!$G$14:$G$43),"")))</f>
        <v/>
      </c>
      <c r="BT107">
        <f>IF(OR($B107="",N107=""),"",IFERROR(INDEX(Settings!$D$14:$D$33,MATCH(N107,Settings!$B$14:$B$33,0))&amp;"",IFERROR(LOOKUP(2^15,SEARCH(Settings!$F$14:$F$43,N107)/(Settings!$F$14:$F$43&lt;&gt;""),Settings!$G$14:$G$43),"")))</f>
        <v/>
      </c>
      <c r="BU107">
        <f>IF(OR($B107="",O107=""),"",IFERROR(INDEX(Settings!$D$14:$D$33,MATCH(O107,Settings!$B$14:$B$33,0))&amp;"",IFERROR(LOOKUP(2^15,SEARCH(Settings!$F$14:$F$43,O107)/(Settings!$F$14:$F$43&lt;&gt;""),Settings!$G$14:$G$43),"")))</f>
        <v/>
      </c>
      <c r="BV107">
        <f>IF(OR($B107="",P107=""),"",IFERROR(INDEX(Settings!$D$14:$D$33,MATCH(P107,Settings!$B$14:$B$33,0))&amp;"",IFERROR(LOOKUP(2^15,SEARCH(Settings!$F$14:$F$43,P107)/(Settings!$F$14:$F$43&lt;&gt;""),Settings!$G$14:$G$43),"")))</f>
        <v/>
      </c>
      <c r="BW107">
        <f>IF(OR($B107="",Q107=""),"",IFERROR(INDEX(Settings!$D$14:$D$33,MATCH(Q107,Settings!$B$14:$B$33,0))&amp;"",IFERROR(LOOKUP(2^15,SEARCH(Settings!$F$14:$F$43,Q107)/(Settings!$F$14:$F$43&lt;&gt;""),Settings!$G$14:$G$43),"")))</f>
        <v/>
      </c>
      <c r="BX107">
        <f>IF(OR($B107="",R107=""),"",IFERROR(INDEX(Settings!$D$14:$D$33,MATCH(R107,Settings!$B$14:$B$33,0))&amp;"",IFERROR(LOOKUP(2^15,SEARCH(Settings!$F$14:$F$43,R107)/(Settings!$F$14:$F$43&lt;&gt;""),Settings!$G$14:$G$43),"")))</f>
        <v/>
      </c>
      <c r="BY107">
        <f>IF(OR($B107="",S107=""),"",IFERROR(INDEX(Settings!$D$14:$D$33,MATCH(S107,Settings!$B$14:$B$33,0))&amp;"",IFERROR(LOOKUP(2^15,SEARCH(Settings!$F$14:$F$43,S107)/(Settings!$F$14:$F$43&lt;&gt;""),Settings!$G$14:$G$43),"")))</f>
        <v/>
      </c>
      <c r="BZ107">
        <f>IF(OR($B107="",T107=""),"",IFERROR(INDEX(Settings!$D$14:$D$33,MATCH(T107,Settings!$B$14:$B$33,0))&amp;"",IFERROR(LOOKUP(2^15,SEARCH(Settings!$F$14:$F$43,T107)/(Settings!$F$14:$F$43&lt;&gt;""),Settings!$G$14:$G$43),"")))</f>
        <v/>
      </c>
      <c r="CA107">
        <f>IF(OR($B107="",U107=""),"",IFERROR(INDEX(Settings!$D$14:$D$33,MATCH(U107,Settings!$B$14:$B$33,0))&amp;"",IFERROR(LOOKUP(2^15,SEARCH(Settings!$F$14:$F$43,U107)/(Settings!$F$14:$F$43&lt;&gt;""),Settings!$G$14:$G$43),"")))</f>
        <v/>
      </c>
      <c r="CB107">
        <f>IF(OR($B107="",V107=""),"",IFERROR(INDEX(Settings!$D$14:$D$33,MATCH(V107,Settings!$B$14:$B$33,0))&amp;"",IFERROR(LOOKUP(2^15,SEARCH(Settings!$F$14:$F$43,V107)/(Settings!$F$14:$F$43&lt;&gt;""),Settings!$G$14:$G$43),"")))</f>
        <v/>
      </c>
      <c r="CC107">
        <f>IF(OR($B107="",W107=""),"",IFERROR(INDEX(Settings!$D$14:$D$33,MATCH(W107,Settings!$B$14:$B$33,0))&amp;"",IFERROR(LOOKUP(2^15,SEARCH(Settings!$F$14:$F$43,W107)/(Settings!$F$14:$F$43&lt;&gt;""),Settings!$G$14:$G$43),"")))</f>
        <v/>
      </c>
      <c r="CD107">
        <f>IF(OR($B107="",X107=""),"",IFERROR(INDEX(Settings!$D$14:$D$33,MATCH(X107,Settings!$B$14:$B$33,0))&amp;"",IFERROR(LOOKUP(2^15,SEARCH(Settings!$F$14:$F$43,X107)/(Settings!$F$14:$F$43&lt;&gt;""),Settings!$G$14:$G$43),"")))</f>
        <v/>
      </c>
      <c r="CE107">
        <f>IF(OR($B107="",Y107=""),"",IFERROR(INDEX(Settings!$D$14:$D$33,MATCH(Y107,Settings!$B$14:$B$33,0))&amp;"",IFERROR(LOOKUP(2^15,SEARCH(Settings!$F$14:$F$43,Y107)/(Settings!$F$14:$F$43&lt;&gt;""),Settings!$G$14:$G$43),"")))</f>
        <v/>
      </c>
      <c r="CF107">
        <f>IF(OR($B107="",Z107=""),"",IFERROR(INDEX(Settings!$D$14:$D$33,MATCH(Z107,Settings!$B$14:$B$33,0))&amp;"",IFERROR(LOOKUP(2^15,SEARCH(Settings!$F$14:$F$43,Z107)/(Settings!$F$14:$F$43&lt;&gt;""),Settings!$G$14:$G$43),"")))</f>
        <v/>
      </c>
      <c r="CG107">
        <f>IF(OR($B107="",AA107=""),"",IFERROR(INDEX(Settings!$D$14:$D$33,MATCH(AA107,Settings!$B$14:$B$33,0))&amp;"",IFERROR(LOOKUP(2^15,SEARCH(Settings!$F$14:$F$43,AA107)/(Settings!$F$14:$F$43&lt;&gt;""),Settings!$G$14:$G$43),"")))</f>
        <v/>
      </c>
      <c r="CH107">
        <f>IF(OR($B107="",AB107=""),"",IFERROR(INDEX(Settings!$D$14:$D$33,MATCH(AB107,Settings!$B$14:$B$33,0))&amp;"",IFERROR(LOOKUP(2^15,SEARCH(Settings!$F$14:$F$43,AB107)/(Settings!$F$14:$F$43&lt;&gt;""),Settings!$G$14:$G$43),"")))</f>
        <v/>
      </c>
      <c r="CI107">
        <f>IF(OR($B107="",AC107=""),"",IFERROR(INDEX(Settings!$D$14:$D$33,MATCH(AC107,Settings!$B$14:$B$33,0))&amp;"",IFERROR(LOOKUP(2^15,SEARCH(Settings!$F$14:$F$43,AC107)/(Settings!$F$14:$F$43&lt;&gt;""),Settings!$G$14:$G$43),"")))</f>
        <v/>
      </c>
      <c r="CJ107">
        <f>IF(OR($B107="",AD107=""),"",IFERROR(INDEX(Settings!$D$14:$D$33,MATCH(AD107,Settings!$B$14:$B$33,0))&amp;"",IFERROR(LOOKUP(2^15,SEARCH(Settings!$F$14:$F$43,AD107)/(Settings!$F$14:$F$43&lt;&gt;""),Settings!$G$14:$G$43),"")))</f>
        <v/>
      </c>
      <c r="CK107">
        <f>IF(OR($B107="",AE107=""),"",IFERROR(INDEX(Settings!$D$14:$D$33,MATCH(AE107,Settings!$B$14:$B$33,0))&amp;"",IFERROR(LOOKUP(2^15,SEARCH(Settings!$F$14:$F$43,AE107)/(Settings!$F$14:$F$43&lt;&gt;""),Settings!$G$14:$G$43),"")))</f>
        <v/>
      </c>
      <c r="CL107">
        <f>IF(OR($B107="",AF107=""),"",IFERROR(INDEX(Settings!$D$14:$D$33,MATCH(AF107,Settings!$B$14:$B$33,0))&amp;"",IFERROR(LOOKUP(2^15,SEARCH(Settings!$F$14:$F$43,AF107)/(Settings!$F$14:$F$43&lt;&gt;""),Settings!$G$14:$G$43),"")))</f>
        <v/>
      </c>
      <c r="CM107">
        <f>IF(OR($B107="",AG107=""),"",IFERROR(INDEX(Settings!$D$14:$D$33,MATCH(AG107,Settings!$B$14:$B$33,0))&amp;"",IFERROR(LOOKUP(2^15,SEARCH(Settings!$F$14:$F$43,AG107)/(Settings!$F$14:$F$43&lt;&gt;""),Settings!$G$14:$G$43),"")))</f>
        <v/>
      </c>
    </row>
    <row r="108">
      <c r="A108" t="n">
        <v>106</v>
      </c>
      <c r="B108">
        <f>IFERROR(INDEX(Index!$A$2:$A$202,MATCH(A108,Index!$E$2:$E$202,0)),"")</f>
        <v/>
      </c>
      <c r="D108">
        <f>IF($B108="","",IFERROR(MATCH("Travel*",AI108:BJ108,0),""))</f>
        <v/>
      </c>
      <c r="F108">
        <f>IF(OR($B108="",NOT(ISNUMBER(Settings!$C$9))),"",TRIM(SUBSTITUTE(SUBSTITUTE(INDEX('INPUT - Roster'!$S$1:$SV$206,$B108,Settings!$C$9+0)&amp;"",CHAR(10)," "),CHAR(160)," ")))</f>
        <v/>
      </c>
      <c r="G108">
        <f>IF(OR($B108="",NOT(ISNUMBER(Settings!$C$9))),"",TRIM(SUBSTITUTE(SUBSTITUTE(INDEX('INPUT - Roster'!$S$1:$SV$206,$B108,Settings!$C$9+1)&amp;"",CHAR(10)," "),CHAR(160)," ")))</f>
        <v/>
      </c>
      <c r="H108">
        <f>IF(OR($B108="",NOT(ISNUMBER(Settings!$C$9))),"",TRIM(SUBSTITUTE(SUBSTITUTE(INDEX('INPUT - Roster'!$S$1:$SV$206,$B108,Settings!$C$9+2)&amp;"",CHAR(10)," "),CHAR(160)," ")))</f>
        <v/>
      </c>
      <c r="I108">
        <f>IF(OR($B108="",NOT(ISNUMBER(Settings!$C$9))),"",TRIM(SUBSTITUTE(SUBSTITUTE(INDEX('INPUT - Roster'!$S$1:$SV$206,$B108,Settings!$C$9+3)&amp;"",CHAR(10)," "),CHAR(160)," ")))</f>
        <v/>
      </c>
      <c r="J108">
        <f>IF(OR($B108="",NOT(ISNUMBER(Settings!$C$9))),"",TRIM(SUBSTITUTE(SUBSTITUTE(INDEX('INPUT - Roster'!$S$1:$SV$206,$B108,Settings!$C$9+4)&amp;"",CHAR(10)," "),CHAR(160)," ")))</f>
        <v/>
      </c>
      <c r="K108">
        <f>IF(OR($B108="",NOT(ISNUMBER(Settings!$C$9))),"",TRIM(SUBSTITUTE(SUBSTITUTE(INDEX('INPUT - Roster'!$S$1:$SV$206,$B108,Settings!$C$9+5)&amp;"",CHAR(10)," "),CHAR(160)," ")))</f>
        <v/>
      </c>
      <c r="L108">
        <f>IF(OR($B108="",NOT(ISNUMBER(Settings!$C$9))),"",TRIM(SUBSTITUTE(SUBSTITUTE(INDEX('INPUT - Roster'!$S$1:$SV$206,$B108,Settings!$C$9+6)&amp;"",CHAR(10)," "),CHAR(160)," ")))</f>
        <v/>
      </c>
      <c r="M108">
        <f>IF(OR($B108="",NOT(ISNUMBER(Settings!$C$9))),"",TRIM(SUBSTITUTE(SUBSTITUTE(INDEX('INPUT - Roster'!$S$1:$SV$206,$B108,Settings!$C$9+7)&amp;"",CHAR(10)," "),CHAR(160)," ")))</f>
        <v/>
      </c>
      <c r="N108">
        <f>IF(OR($B108="",NOT(ISNUMBER(Settings!$C$9))),"",TRIM(SUBSTITUTE(SUBSTITUTE(INDEX('INPUT - Roster'!$S$1:$SV$206,$B108,Settings!$C$9+8)&amp;"",CHAR(10)," "),CHAR(160)," ")))</f>
        <v/>
      </c>
      <c r="O108">
        <f>IF(OR($B108="",NOT(ISNUMBER(Settings!$C$9))),"",TRIM(SUBSTITUTE(SUBSTITUTE(INDEX('INPUT - Roster'!$S$1:$SV$206,$B108,Settings!$C$9+9)&amp;"",CHAR(10)," "),CHAR(160)," ")))</f>
        <v/>
      </c>
      <c r="P108">
        <f>IF(OR($B108="",NOT(ISNUMBER(Settings!$C$9))),"",TRIM(SUBSTITUTE(SUBSTITUTE(INDEX('INPUT - Roster'!$S$1:$SV$206,$B108,Settings!$C$9+10)&amp;"",CHAR(10)," "),CHAR(160)," ")))</f>
        <v/>
      </c>
      <c r="Q108">
        <f>IF(OR($B108="",NOT(ISNUMBER(Settings!$C$9))),"",TRIM(SUBSTITUTE(SUBSTITUTE(INDEX('INPUT - Roster'!$S$1:$SV$206,$B108,Settings!$C$9+11)&amp;"",CHAR(10)," "),CHAR(160)," ")))</f>
        <v/>
      </c>
      <c r="R108">
        <f>IF(OR($B108="",NOT(ISNUMBER(Settings!$C$9))),"",TRIM(SUBSTITUTE(SUBSTITUTE(INDEX('INPUT - Roster'!$S$1:$SV$206,$B108,Settings!$C$9+12)&amp;"",CHAR(10)," "),CHAR(160)," ")))</f>
        <v/>
      </c>
      <c r="S108">
        <f>IF(OR($B108="",NOT(ISNUMBER(Settings!$C$9))),"",TRIM(SUBSTITUTE(SUBSTITUTE(INDEX('INPUT - Roster'!$S$1:$SV$206,$B108,Settings!$C$9+13)&amp;"",CHAR(10)," "),CHAR(160)," ")))</f>
        <v/>
      </c>
      <c r="T108">
        <f>IF(OR($B108="",NOT(ISNUMBER(Settings!$C$9))),"",TRIM(SUBSTITUTE(SUBSTITUTE(INDEX('INPUT - Roster'!$S$1:$SV$206,$B108,Settings!$C$9+14)&amp;"",CHAR(10)," "),CHAR(160)," ")))</f>
        <v/>
      </c>
      <c r="U108">
        <f>IF(OR($B108="",NOT(ISNUMBER(Settings!$C$9))),"",TRIM(SUBSTITUTE(SUBSTITUTE(INDEX('INPUT - Roster'!$S$1:$SV$206,$B108,Settings!$C$9+15)&amp;"",CHAR(10)," "),CHAR(160)," ")))</f>
        <v/>
      </c>
      <c r="V108">
        <f>IF(OR($B108="",NOT(ISNUMBER(Settings!$C$9))),"",TRIM(SUBSTITUTE(SUBSTITUTE(INDEX('INPUT - Roster'!$S$1:$SV$206,$B108,Settings!$C$9+16)&amp;"",CHAR(10)," "),CHAR(160)," ")))</f>
        <v/>
      </c>
      <c r="W108">
        <f>IF(OR($B108="",NOT(ISNUMBER(Settings!$C$9))),"",TRIM(SUBSTITUTE(SUBSTITUTE(INDEX('INPUT - Roster'!$S$1:$SV$206,$B108,Settings!$C$9+17)&amp;"",CHAR(10)," "),CHAR(160)," ")))</f>
        <v/>
      </c>
      <c r="X108">
        <f>IF(OR($B108="",NOT(ISNUMBER(Settings!$C$9))),"",TRIM(SUBSTITUTE(SUBSTITUTE(INDEX('INPUT - Roster'!$S$1:$SV$206,$B108,Settings!$C$9+18)&amp;"",CHAR(10)," "),CHAR(160)," ")))</f>
        <v/>
      </c>
      <c r="Y108">
        <f>IF(OR($B108="",NOT(ISNUMBER(Settings!$C$9))),"",TRIM(SUBSTITUTE(SUBSTITUTE(INDEX('INPUT - Roster'!$S$1:$SV$206,$B108,Settings!$C$9+19)&amp;"",CHAR(10)," "),CHAR(160)," ")))</f>
        <v/>
      </c>
      <c r="Z108">
        <f>IF(OR($B108="",NOT(ISNUMBER(Settings!$C$9))),"",TRIM(SUBSTITUTE(SUBSTITUTE(INDEX('INPUT - Roster'!$S$1:$SV$206,$B108,Settings!$C$9+20)&amp;"",CHAR(10)," "),CHAR(160)," ")))</f>
        <v/>
      </c>
      <c r="AA108">
        <f>IF(OR($B108="",NOT(ISNUMBER(Settings!$C$9))),"",TRIM(SUBSTITUTE(SUBSTITUTE(INDEX('INPUT - Roster'!$S$1:$SV$206,$B108,Settings!$C$9+21)&amp;"",CHAR(10)," "),CHAR(160)," ")))</f>
        <v/>
      </c>
      <c r="AB108">
        <f>IF(OR($B108="",NOT(ISNUMBER(Settings!$C$9))),"",TRIM(SUBSTITUTE(SUBSTITUTE(INDEX('INPUT - Roster'!$S$1:$SV$206,$B108,Settings!$C$9+22)&amp;"",CHAR(10)," "),CHAR(160)," ")))</f>
        <v/>
      </c>
      <c r="AC108">
        <f>IF(OR($B108="",NOT(ISNUMBER(Settings!$C$9))),"",TRIM(SUBSTITUTE(SUBSTITUTE(INDEX('INPUT - Roster'!$S$1:$SV$206,$B108,Settings!$C$9+23)&amp;"",CHAR(10)," "),CHAR(160)," ")))</f>
        <v/>
      </c>
      <c r="AD108">
        <f>IF(OR($B108="",NOT(ISNUMBER(Settings!$C$9))),"",TRIM(SUBSTITUTE(SUBSTITUTE(INDEX('INPUT - Roster'!$S$1:$SV$206,$B108,Settings!$C$9+24)&amp;"",CHAR(10)," "),CHAR(160)," ")))</f>
        <v/>
      </c>
      <c r="AE108">
        <f>IF(OR($B108="",NOT(ISNUMBER(Settings!$C$9))),"",TRIM(SUBSTITUTE(SUBSTITUTE(INDEX('INPUT - Roster'!$S$1:$SV$206,$B108,Settings!$C$9+25)&amp;"",CHAR(10)," "),CHAR(160)," ")))</f>
        <v/>
      </c>
      <c r="AF108">
        <f>IF(OR($B108="",NOT(ISNUMBER(Settings!$C$9))),"",TRIM(SUBSTITUTE(SUBSTITUTE(INDEX('INPUT - Roster'!$S$1:$SV$206,$B108,Settings!$C$9+26)&amp;"",CHAR(10)," "),CHAR(160)," ")))</f>
        <v/>
      </c>
      <c r="AG108">
        <f>IF(OR($B108="",NOT(ISNUMBER(Settings!$C$9))),"",TRIM(SUBSTITUTE(SUBSTITUTE(INDEX('INPUT - Roster'!$S$1:$SV$206,$B108,Settings!$C$9+27)&amp;"",CHAR(10)," "),CHAR(160)," ")))</f>
        <v/>
      </c>
      <c r="AI108">
        <f>IF($B108="","",IF(F108="","Not rostered",IFERROR(INDEX(Settings!$C$14:$C$33,MATCH(F108,Settings!$B$14:$B$33,0)),IFERROR(LOOKUP(2^15,SEARCH(Settings!$I$14:$I$83,F108)/(Settings!$I$14:$I$83&lt;&gt;""),Settings!$J$14:$J$83),"Other"))))</f>
        <v/>
      </c>
      <c r="AJ108">
        <f>IF($B108="","",IF(G108="","Not rostered",IFERROR(INDEX(Settings!$C$14:$C$33,MATCH(G108,Settings!$B$14:$B$33,0)),IFERROR(LOOKUP(2^15,SEARCH(Settings!$I$14:$I$83,G108)/(Settings!$I$14:$I$83&lt;&gt;""),Settings!$J$14:$J$83),"Other"))))</f>
        <v/>
      </c>
      <c r="AK108">
        <f>IF($B108="","",IF(H108="","Not rostered",IFERROR(INDEX(Settings!$C$14:$C$33,MATCH(H108,Settings!$B$14:$B$33,0)),IFERROR(LOOKUP(2^15,SEARCH(Settings!$I$14:$I$83,H108)/(Settings!$I$14:$I$83&lt;&gt;""),Settings!$J$14:$J$83),"Other"))))</f>
        <v/>
      </c>
      <c r="AL108">
        <f>IF($B108="","",IF(I108="","Not rostered",IFERROR(INDEX(Settings!$C$14:$C$33,MATCH(I108,Settings!$B$14:$B$33,0)),IFERROR(LOOKUP(2^15,SEARCH(Settings!$I$14:$I$83,I108)/(Settings!$I$14:$I$83&lt;&gt;""),Settings!$J$14:$J$83),"Other"))))</f>
        <v/>
      </c>
      <c r="AM108">
        <f>IF($B108="","",IF(J108="","Not rostered",IFERROR(INDEX(Settings!$C$14:$C$33,MATCH(J108,Settings!$B$14:$B$33,0)),IFERROR(LOOKUP(2^15,SEARCH(Settings!$I$14:$I$83,J108)/(Settings!$I$14:$I$83&lt;&gt;""),Settings!$J$14:$J$83),"Other"))))</f>
        <v/>
      </c>
      <c r="AN108">
        <f>IF($B108="","",IF(K108="","Not rostered",IFERROR(INDEX(Settings!$C$14:$C$33,MATCH(K108,Settings!$B$14:$B$33,0)),IFERROR(LOOKUP(2^15,SEARCH(Settings!$I$14:$I$83,K108)/(Settings!$I$14:$I$83&lt;&gt;""),Settings!$J$14:$J$83),"Other"))))</f>
        <v/>
      </c>
      <c r="AO108">
        <f>IF($B108="","",IF(L108="","Not rostered",IFERROR(INDEX(Settings!$C$14:$C$33,MATCH(L108,Settings!$B$14:$B$33,0)),IFERROR(LOOKUP(2^15,SEARCH(Settings!$I$14:$I$83,L108)/(Settings!$I$14:$I$83&lt;&gt;""),Settings!$J$14:$J$83),"Other"))))</f>
        <v/>
      </c>
      <c r="AP108">
        <f>IF($B108="","",IF(M108="","Not rostered",IFERROR(INDEX(Settings!$C$14:$C$33,MATCH(M108,Settings!$B$14:$B$33,0)),IFERROR(LOOKUP(2^15,SEARCH(Settings!$I$14:$I$83,M108)/(Settings!$I$14:$I$83&lt;&gt;""),Settings!$J$14:$J$83),"Other"))))</f>
        <v/>
      </c>
      <c r="AQ108">
        <f>IF($B108="","",IF(N108="","Not rostered",IFERROR(INDEX(Settings!$C$14:$C$33,MATCH(N108,Settings!$B$14:$B$33,0)),IFERROR(LOOKUP(2^15,SEARCH(Settings!$I$14:$I$83,N108)/(Settings!$I$14:$I$83&lt;&gt;""),Settings!$J$14:$J$83),"Other"))))</f>
        <v/>
      </c>
      <c r="AR108">
        <f>IF($B108="","",IF(O108="","Not rostered",IFERROR(INDEX(Settings!$C$14:$C$33,MATCH(O108,Settings!$B$14:$B$33,0)),IFERROR(LOOKUP(2^15,SEARCH(Settings!$I$14:$I$83,O108)/(Settings!$I$14:$I$83&lt;&gt;""),Settings!$J$14:$J$83),"Other"))))</f>
        <v/>
      </c>
      <c r="AS108">
        <f>IF($B108="","",IF(P108="","Not rostered",IFERROR(INDEX(Settings!$C$14:$C$33,MATCH(P108,Settings!$B$14:$B$33,0)),IFERROR(LOOKUP(2^15,SEARCH(Settings!$I$14:$I$83,P108)/(Settings!$I$14:$I$83&lt;&gt;""),Settings!$J$14:$J$83),"Other"))))</f>
        <v/>
      </c>
      <c r="AT108">
        <f>IF($B108="","",IF(Q108="","Not rostered",IFERROR(INDEX(Settings!$C$14:$C$33,MATCH(Q108,Settings!$B$14:$B$33,0)),IFERROR(LOOKUP(2^15,SEARCH(Settings!$I$14:$I$83,Q108)/(Settings!$I$14:$I$83&lt;&gt;""),Settings!$J$14:$J$83),"Other"))))</f>
        <v/>
      </c>
      <c r="AU108">
        <f>IF($B108="","",IF(R108="","Not rostered",IFERROR(INDEX(Settings!$C$14:$C$33,MATCH(R108,Settings!$B$14:$B$33,0)),IFERROR(LOOKUP(2^15,SEARCH(Settings!$I$14:$I$83,R108)/(Settings!$I$14:$I$83&lt;&gt;""),Settings!$J$14:$J$83),"Other"))))</f>
        <v/>
      </c>
      <c r="AV108">
        <f>IF($B108="","",IF(S108="","Not rostered",IFERROR(INDEX(Settings!$C$14:$C$33,MATCH(S108,Settings!$B$14:$B$33,0)),IFERROR(LOOKUP(2^15,SEARCH(Settings!$I$14:$I$83,S108)/(Settings!$I$14:$I$83&lt;&gt;""),Settings!$J$14:$J$83),"Other"))))</f>
        <v/>
      </c>
      <c r="AW108">
        <f>IF($B108="","",IF(T108="","Not rostered",IFERROR(INDEX(Settings!$C$14:$C$33,MATCH(T108,Settings!$B$14:$B$33,0)),IFERROR(LOOKUP(2^15,SEARCH(Settings!$I$14:$I$83,T108)/(Settings!$I$14:$I$83&lt;&gt;""),Settings!$J$14:$J$83),"Other"))))</f>
        <v/>
      </c>
      <c r="AX108">
        <f>IF($B108="","",IF(U108="","Not rostered",IFERROR(INDEX(Settings!$C$14:$C$33,MATCH(U108,Settings!$B$14:$B$33,0)),IFERROR(LOOKUP(2^15,SEARCH(Settings!$I$14:$I$83,U108)/(Settings!$I$14:$I$83&lt;&gt;""),Settings!$J$14:$J$83),"Other"))))</f>
        <v/>
      </c>
      <c r="AY108">
        <f>IF($B108="","",IF(V108="","Not rostered",IFERROR(INDEX(Settings!$C$14:$C$33,MATCH(V108,Settings!$B$14:$B$33,0)),IFERROR(LOOKUP(2^15,SEARCH(Settings!$I$14:$I$83,V108)/(Settings!$I$14:$I$83&lt;&gt;""),Settings!$J$14:$J$83),"Other"))))</f>
        <v/>
      </c>
      <c r="AZ108">
        <f>IF($B108="","",IF(W108="","Not rostered",IFERROR(INDEX(Settings!$C$14:$C$33,MATCH(W108,Settings!$B$14:$B$33,0)),IFERROR(LOOKUP(2^15,SEARCH(Settings!$I$14:$I$83,W108)/(Settings!$I$14:$I$83&lt;&gt;""),Settings!$J$14:$J$83),"Other"))))</f>
        <v/>
      </c>
      <c r="BA108">
        <f>IF($B108="","",IF(X108="","Not rostered",IFERROR(INDEX(Settings!$C$14:$C$33,MATCH(X108,Settings!$B$14:$B$33,0)),IFERROR(LOOKUP(2^15,SEARCH(Settings!$I$14:$I$83,X108)/(Settings!$I$14:$I$83&lt;&gt;""),Settings!$J$14:$J$83),"Other"))))</f>
        <v/>
      </c>
      <c r="BB108">
        <f>IF($B108="","",IF(Y108="","Not rostered",IFERROR(INDEX(Settings!$C$14:$C$33,MATCH(Y108,Settings!$B$14:$B$33,0)),IFERROR(LOOKUP(2^15,SEARCH(Settings!$I$14:$I$83,Y108)/(Settings!$I$14:$I$83&lt;&gt;""),Settings!$J$14:$J$83),"Other"))))</f>
        <v/>
      </c>
      <c r="BC108">
        <f>IF($B108="","",IF(Z108="","Not rostered",IFERROR(INDEX(Settings!$C$14:$C$33,MATCH(Z108,Settings!$B$14:$B$33,0)),IFERROR(LOOKUP(2^15,SEARCH(Settings!$I$14:$I$83,Z108)/(Settings!$I$14:$I$83&lt;&gt;""),Settings!$J$14:$J$83),"Other"))))</f>
        <v/>
      </c>
      <c r="BD108">
        <f>IF($B108="","",IF(AA108="","Not rostered",IFERROR(INDEX(Settings!$C$14:$C$33,MATCH(AA108,Settings!$B$14:$B$33,0)),IFERROR(LOOKUP(2^15,SEARCH(Settings!$I$14:$I$83,AA108)/(Settings!$I$14:$I$83&lt;&gt;""),Settings!$J$14:$J$83),"Other"))))</f>
        <v/>
      </c>
      <c r="BE108">
        <f>IF($B108="","",IF(AB108="","Not rostered",IFERROR(INDEX(Settings!$C$14:$C$33,MATCH(AB108,Settings!$B$14:$B$33,0)),IFERROR(LOOKUP(2^15,SEARCH(Settings!$I$14:$I$83,AB108)/(Settings!$I$14:$I$83&lt;&gt;""),Settings!$J$14:$J$83),"Other"))))</f>
        <v/>
      </c>
      <c r="BF108">
        <f>IF($B108="","",IF(AC108="","Not rostered",IFERROR(INDEX(Settings!$C$14:$C$33,MATCH(AC108,Settings!$B$14:$B$33,0)),IFERROR(LOOKUP(2^15,SEARCH(Settings!$I$14:$I$83,AC108)/(Settings!$I$14:$I$83&lt;&gt;""),Settings!$J$14:$J$83),"Other"))))</f>
        <v/>
      </c>
      <c r="BG108">
        <f>IF($B108="","",IF(AD108="","Not rostered",IFERROR(INDEX(Settings!$C$14:$C$33,MATCH(AD108,Settings!$B$14:$B$33,0)),IFERROR(LOOKUP(2^15,SEARCH(Settings!$I$14:$I$83,AD108)/(Settings!$I$14:$I$83&lt;&gt;""),Settings!$J$14:$J$83),"Other"))))</f>
        <v/>
      </c>
      <c r="BH108">
        <f>IF($B108="","",IF(AE108="","Not rostered",IFERROR(INDEX(Settings!$C$14:$C$33,MATCH(AE108,Settings!$B$14:$B$33,0)),IFERROR(LOOKUP(2^15,SEARCH(Settings!$I$14:$I$83,AE108)/(Settings!$I$14:$I$83&lt;&gt;""),Settings!$J$14:$J$83),"Other"))))</f>
        <v/>
      </c>
      <c r="BI108">
        <f>IF($B108="","",IF(AF108="","Not rostered",IFERROR(INDEX(Settings!$C$14:$C$33,MATCH(AF108,Settings!$B$14:$B$33,0)),IFERROR(LOOKUP(2^15,SEARCH(Settings!$I$14:$I$83,AF108)/(Settings!$I$14:$I$83&lt;&gt;""),Settings!$J$14:$J$83),"Other"))))</f>
        <v/>
      </c>
      <c r="BJ108">
        <f>IF($B108="","",IF(AG108="","Not rostered",IFERROR(INDEX(Settings!$C$14:$C$33,MATCH(AG108,Settings!$B$14:$B$33,0)),IFERROR(LOOKUP(2^15,SEARCH(Settings!$I$14:$I$83,AG108)/(Settings!$I$14:$I$83&lt;&gt;""),Settings!$J$14:$J$83),"Other"))))</f>
        <v/>
      </c>
      <c r="BL108">
        <f>IF(OR($B108="",F108=""),"",IFERROR(INDEX(Settings!$D$14:$D$33,MATCH(F108,Settings!$B$14:$B$33,0))&amp;"",IFERROR(LOOKUP(2^15,SEARCH(Settings!$F$14:$F$43,F108)/(Settings!$F$14:$F$43&lt;&gt;""),Settings!$G$14:$G$43),"")))</f>
        <v/>
      </c>
      <c r="BM108">
        <f>IF(OR($B108="",G108=""),"",IFERROR(INDEX(Settings!$D$14:$D$33,MATCH(G108,Settings!$B$14:$B$33,0))&amp;"",IFERROR(LOOKUP(2^15,SEARCH(Settings!$F$14:$F$43,G108)/(Settings!$F$14:$F$43&lt;&gt;""),Settings!$G$14:$G$43),"")))</f>
        <v/>
      </c>
      <c r="BN108">
        <f>IF(OR($B108="",H108=""),"",IFERROR(INDEX(Settings!$D$14:$D$33,MATCH(H108,Settings!$B$14:$B$33,0))&amp;"",IFERROR(LOOKUP(2^15,SEARCH(Settings!$F$14:$F$43,H108)/(Settings!$F$14:$F$43&lt;&gt;""),Settings!$G$14:$G$43),"")))</f>
        <v/>
      </c>
      <c r="BO108">
        <f>IF(OR($B108="",I108=""),"",IFERROR(INDEX(Settings!$D$14:$D$33,MATCH(I108,Settings!$B$14:$B$33,0))&amp;"",IFERROR(LOOKUP(2^15,SEARCH(Settings!$F$14:$F$43,I108)/(Settings!$F$14:$F$43&lt;&gt;""),Settings!$G$14:$G$43),"")))</f>
        <v/>
      </c>
      <c r="BP108">
        <f>IF(OR($B108="",J108=""),"",IFERROR(INDEX(Settings!$D$14:$D$33,MATCH(J108,Settings!$B$14:$B$33,0))&amp;"",IFERROR(LOOKUP(2^15,SEARCH(Settings!$F$14:$F$43,J108)/(Settings!$F$14:$F$43&lt;&gt;""),Settings!$G$14:$G$43),"")))</f>
        <v/>
      </c>
      <c r="BQ108">
        <f>IF(OR($B108="",K108=""),"",IFERROR(INDEX(Settings!$D$14:$D$33,MATCH(K108,Settings!$B$14:$B$33,0))&amp;"",IFERROR(LOOKUP(2^15,SEARCH(Settings!$F$14:$F$43,K108)/(Settings!$F$14:$F$43&lt;&gt;""),Settings!$G$14:$G$43),"")))</f>
        <v/>
      </c>
      <c r="BR108">
        <f>IF(OR($B108="",L108=""),"",IFERROR(INDEX(Settings!$D$14:$D$33,MATCH(L108,Settings!$B$14:$B$33,0))&amp;"",IFERROR(LOOKUP(2^15,SEARCH(Settings!$F$14:$F$43,L108)/(Settings!$F$14:$F$43&lt;&gt;""),Settings!$G$14:$G$43),"")))</f>
        <v/>
      </c>
      <c r="BS108">
        <f>IF(OR($B108="",M108=""),"",IFERROR(INDEX(Settings!$D$14:$D$33,MATCH(M108,Settings!$B$14:$B$33,0))&amp;"",IFERROR(LOOKUP(2^15,SEARCH(Settings!$F$14:$F$43,M108)/(Settings!$F$14:$F$43&lt;&gt;""),Settings!$G$14:$G$43),"")))</f>
        <v/>
      </c>
      <c r="BT108">
        <f>IF(OR($B108="",N108=""),"",IFERROR(INDEX(Settings!$D$14:$D$33,MATCH(N108,Settings!$B$14:$B$33,0))&amp;"",IFERROR(LOOKUP(2^15,SEARCH(Settings!$F$14:$F$43,N108)/(Settings!$F$14:$F$43&lt;&gt;""),Settings!$G$14:$G$43),"")))</f>
        <v/>
      </c>
      <c r="BU108">
        <f>IF(OR($B108="",O108=""),"",IFERROR(INDEX(Settings!$D$14:$D$33,MATCH(O108,Settings!$B$14:$B$33,0))&amp;"",IFERROR(LOOKUP(2^15,SEARCH(Settings!$F$14:$F$43,O108)/(Settings!$F$14:$F$43&lt;&gt;""),Settings!$G$14:$G$43),"")))</f>
        <v/>
      </c>
      <c r="BV108">
        <f>IF(OR($B108="",P108=""),"",IFERROR(INDEX(Settings!$D$14:$D$33,MATCH(P108,Settings!$B$14:$B$33,0))&amp;"",IFERROR(LOOKUP(2^15,SEARCH(Settings!$F$14:$F$43,P108)/(Settings!$F$14:$F$43&lt;&gt;""),Settings!$G$14:$G$43),"")))</f>
        <v/>
      </c>
      <c r="BW108">
        <f>IF(OR($B108="",Q108=""),"",IFERROR(INDEX(Settings!$D$14:$D$33,MATCH(Q108,Settings!$B$14:$B$33,0))&amp;"",IFERROR(LOOKUP(2^15,SEARCH(Settings!$F$14:$F$43,Q108)/(Settings!$F$14:$F$43&lt;&gt;""),Settings!$G$14:$G$43),"")))</f>
        <v/>
      </c>
      <c r="BX108">
        <f>IF(OR($B108="",R108=""),"",IFERROR(INDEX(Settings!$D$14:$D$33,MATCH(R108,Settings!$B$14:$B$33,0))&amp;"",IFERROR(LOOKUP(2^15,SEARCH(Settings!$F$14:$F$43,R108)/(Settings!$F$14:$F$43&lt;&gt;""),Settings!$G$14:$G$43),"")))</f>
        <v/>
      </c>
      <c r="BY108">
        <f>IF(OR($B108="",S108=""),"",IFERROR(INDEX(Settings!$D$14:$D$33,MATCH(S108,Settings!$B$14:$B$33,0))&amp;"",IFERROR(LOOKUP(2^15,SEARCH(Settings!$F$14:$F$43,S108)/(Settings!$F$14:$F$43&lt;&gt;""),Settings!$G$14:$G$43),"")))</f>
        <v/>
      </c>
      <c r="BZ108">
        <f>IF(OR($B108="",T108=""),"",IFERROR(INDEX(Settings!$D$14:$D$33,MATCH(T108,Settings!$B$14:$B$33,0))&amp;"",IFERROR(LOOKUP(2^15,SEARCH(Settings!$F$14:$F$43,T108)/(Settings!$F$14:$F$43&lt;&gt;""),Settings!$G$14:$G$43),"")))</f>
        <v/>
      </c>
      <c r="CA108">
        <f>IF(OR($B108="",U108=""),"",IFERROR(INDEX(Settings!$D$14:$D$33,MATCH(U108,Settings!$B$14:$B$33,0))&amp;"",IFERROR(LOOKUP(2^15,SEARCH(Settings!$F$14:$F$43,U108)/(Settings!$F$14:$F$43&lt;&gt;""),Settings!$G$14:$G$43),"")))</f>
        <v/>
      </c>
      <c r="CB108">
        <f>IF(OR($B108="",V108=""),"",IFERROR(INDEX(Settings!$D$14:$D$33,MATCH(V108,Settings!$B$14:$B$33,0))&amp;"",IFERROR(LOOKUP(2^15,SEARCH(Settings!$F$14:$F$43,V108)/(Settings!$F$14:$F$43&lt;&gt;""),Settings!$G$14:$G$43),"")))</f>
        <v/>
      </c>
      <c r="CC108">
        <f>IF(OR($B108="",W108=""),"",IFERROR(INDEX(Settings!$D$14:$D$33,MATCH(W108,Settings!$B$14:$B$33,0))&amp;"",IFERROR(LOOKUP(2^15,SEARCH(Settings!$F$14:$F$43,W108)/(Settings!$F$14:$F$43&lt;&gt;""),Settings!$G$14:$G$43),"")))</f>
        <v/>
      </c>
      <c r="CD108">
        <f>IF(OR($B108="",X108=""),"",IFERROR(INDEX(Settings!$D$14:$D$33,MATCH(X108,Settings!$B$14:$B$33,0))&amp;"",IFERROR(LOOKUP(2^15,SEARCH(Settings!$F$14:$F$43,X108)/(Settings!$F$14:$F$43&lt;&gt;""),Settings!$G$14:$G$43),"")))</f>
        <v/>
      </c>
      <c r="CE108">
        <f>IF(OR($B108="",Y108=""),"",IFERROR(INDEX(Settings!$D$14:$D$33,MATCH(Y108,Settings!$B$14:$B$33,0))&amp;"",IFERROR(LOOKUP(2^15,SEARCH(Settings!$F$14:$F$43,Y108)/(Settings!$F$14:$F$43&lt;&gt;""),Settings!$G$14:$G$43),"")))</f>
        <v/>
      </c>
      <c r="CF108">
        <f>IF(OR($B108="",Z108=""),"",IFERROR(INDEX(Settings!$D$14:$D$33,MATCH(Z108,Settings!$B$14:$B$33,0))&amp;"",IFERROR(LOOKUP(2^15,SEARCH(Settings!$F$14:$F$43,Z108)/(Settings!$F$14:$F$43&lt;&gt;""),Settings!$G$14:$G$43),"")))</f>
        <v/>
      </c>
      <c r="CG108">
        <f>IF(OR($B108="",AA108=""),"",IFERROR(INDEX(Settings!$D$14:$D$33,MATCH(AA108,Settings!$B$14:$B$33,0))&amp;"",IFERROR(LOOKUP(2^15,SEARCH(Settings!$F$14:$F$43,AA108)/(Settings!$F$14:$F$43&lt;&gt;""),Settings!$G$14:$G$43),"")))</f>
        <v/>
      </c>
      <c r="CH108">
        <f>IF(OR($B108="",AB108=""),"",IFERROR(INDEX(Settings!$D$14:$D$33,MATCH(AB108,Settings!$B$14:$B$33,0))&amp;"",IFERROR(LOOKUP(2^15,SEARCH(Settings!$F$14:$F$43,AB108)/(Settings!$F$14:$F$43&lt;&gt;""),Settings!$G$14:$G$43),"")))</f>
        <v/>
      </c>
      <c r="CI108">
        <f>IF(OR($B108="",AC108=""),"",IFERROR(INDEX(Settings!$D$14:$D$33,MATCH(AC108,Settings!$B$14:$B$33,0))&amp;"",IFERROR(LOOKUP(2^15,SEARCH(Settings!$F$14:$F$43,AC108)/(Settings!$F$14:$F$43&lt;&gt;""),Settings!$G$14:$G$43),"")))</f>
        <v/>
      </c>
      <c r="CJ108">
        <f>IF(OR($B108="",AD108=""),"",IFERROR(INDEX(Settings!$D$14:$D$33,MATCH(AD108,Settings!$B$14:$B$33,0))&amp;"",IFERROR(LOOKUP(2^15,SEARCH(Settings!$F$14:$F$43,AD108)/(Settings!$F$14:$F$43&lt;&gt;""),Settings!$G$14:$G$43),"")))</f>
        <v/>
      </c>
      <c r="CK108">
        <f>IF(OR($B108="",AE108=""),"",IFERROR(INDEX(Settings!$D$14:$D$33,MATCH(AE108,Settings!$B$14:$B$33,0))&amp;"",IFERROR(LOOKUP(2^15,SEARCH(Settings!$F$14:$F$43,AE108)/(Settings!$F$14:$F$43&lt;&gt;""),Settings!$G$14:$G$43),"")))</f>
        <v/>
      </c>
      <c r="CL108">
        <f>IF(OR($B108="",AF108=""),"",IFERROR(INDEX(Settings!$D$14:$D$33,MATCH(AF108,Settings!$B$14:$B$33,0))&amp;"",IFERROR(LOOKUP(2^15,SEARCH(Settings!$F$14:$F$43,AF108)/(Settings!$F$14:$F$43&lt;&gt;""),Settings!$G$14:$G$43),"")))</f>
        <v/>
      </c>
      <c r="CM108">
        <f>IF(OR($B108="",AG108=""),"",IFERROR(INDEX(Settings!$D$14:$D$33,MATCH(AG108,Settings!$B$14:$B$33,0))&amp;"",IFERROR(LOOKUP(2^15,SEARCH(Settings!$F$14:$F$43,AG108)/(Settings!$F$14:$F$43&lt;&gt;""),Settings!$G$14:$G$43),"")))</f>
        <v/>
      </c>
    </row>
    <row r="109">
      <c r="A109" t="n">
        <v>107</v>
      </c>
      <c r="B109">
        <f>IFERROR(INDEX(Index!$A$2:$A$202,MATCH(A109,Index!$E$2:$E$202,0)),"")</f>
        <v/>
      </c>
      <c r="D109">
        <f>IF($B109="","",IFERROR(MATCH("Travel*",AI109:BJ109,0),""))</f>
        <v/>
      </c>
      <c r="F109">
        <f>IF(OR($B109="",NOT(ISNUMBER(Settings!$C$9))),"",TRIM(SUBSTITUTE(SUBSTITUTE(INDEX('INPUT - Roster'!$S$1:$SV$206,$B109,Settings!$C$9+0)&amp;"",CHAR(10)," "),CHAR(160)," ")))</f>
        <v/>
      </c>
      <c r="G109">
        <f>IF(OR($B109="",NOT(ISNUMBER(Settings!$C$9))),"",TRIM(SUBSTITUTE(SUBSTITUTE(INDEX('INPUT - Roster'!$S$1:$SV$206,$B109,Settings!$C$9+1)&amp;"",CHAR(10)," "),CHAR(160)," ")))</f>
        <v/>
      </c>
      <c r="H109">
        <f>IF(OR($B109="",NOT(ISNUMBER(Settings!$C$9))),"",TRIM(SUBSTITUTE(SUBSTITUTE(INDEX('INPUT - Roster'!$S$1:$SV$206,$B109,Settings!$C$9+2)&amp;"",CHAR(10)," "),CHAR(160)," ")))</f>
        <v/>
      </c>
      <c r="I109">
        <f>IF(OR($B109="",NOT(ISNUMBER(Settings!$C$9))),"",TRIM(SUBSTITUTE(SUBSTITUTE(INDEX('INPUT - Roster'!$S$1:$SV$206,$B109,Settings!$C$9+3)&amp;"",CHAR(10)," "),CHAR(160)," ")))</f>
        <v/>
      </c>
      <c r="J109">
        <f>IF(OR($B109="",NOT(ISNUMBER(Settings!$C$9))),"",TRIM(SUBSTITUTE(SUBSTITUTE(INDEX('INPUT - Roster'!$S$1:$SV$206,$B109,Settings!$C$9+4)&amp;"",CHAR(10)," "),CHAR(160)," ")))</f>
        <v/>
      </c>
      <c r="K109">
        <f>IF(OR($B109="",NOT(ISNUMBER(Settings!$C$9))),"",TRIM(SUBSTITUTE(SUBSTITUTE(INDEX('INPUT - Roster'!$S$1:$SV$206,$B109,Settings!$C$9+5)&amp;"",CHAR(10)," "),CHAR(160)," ")))</f>
        <v/>
      </c>
      <c r="L109">
        <f>IF(OR($B109="",NOT(ISNUMBER(Settings!$C$9))),"",TRIM(SUBSTITUTE(SUBSTITUTE(INDEX('INPUT - Roster'!$S$1:$SV$206,$B109,Settings!$C$9+6)&amp;"",CHAR(10)," "),CHAR(160)," ")))</f>
        <v/>
      </c>
      <c r="M109">
        <f>IF(OR($B109="",NOT(ISNUMBER(Settings!$C$9))),"",TRIM(SUBSTITUTE(SUBSTITUTE(INDEX('INPUT - Roster'!$S$1:$SV$206,$B109,Settings!$C$9+7)&amp;"",CHAR(10)," "),CHAR(160)," ")))</f>
        <v/>
      </c>
      <c r="N109">
        <f>IF(OR($B109="",NOT(ISNUMBER(Settings!$C$9))),"",TRIM(SUBSTITUTE(SUBSTITUTE(INDEX('INPUT - Roster'!$S$1:$SV$206,$B109,Settings!$C$9+8)&amp;"",CHAR(10)," "),CHAR(160)," ")))</f>
        <v/>
      </c>
      <c r="O109">
        <f>IF(OR($B109="",NOT(ISNUMBER(Settings!$C$9))),"",TRIM(SUBSTITUTE(SUBSTITUTE(INDEX('INPUT - Roster'!$S$1:$SV$206,$B109,Settings!$C$9+9)&amp;"",CHAR(10)," "),CHAR(160)," ")))</f>
        <v/>
      </c>
      <c r="P109">
        <f>IF(OR($B109="",NOT(ISNUMBER(Settings!$C$9))),"",TRIM(SUBSTITUTE(SUBSTITUTE(INDEX('INPUT - Roster'!$S$1:$SV$206,$B109,Settings!$C$9+10)&amp;"",CHAR(10)," "),CHAR(160)," ")))</f>
        <v/>
      </c>
      <c r="Q109">
        <f>IF(OR($B109="",NOT(ISNUMBER(Settings!$C$9))),"",TRIM(SUBSTITUTE(SUBSTITUTE(INDEX('INPUT - Roster'!$S$1:$SV$206,$B109,Settings!$C$9+11)&amp;"",CHAR(10)," "),CHAR(160)," ")))</f>
        <v/>
      </c>
      <c r="R109">
        <f>IF(OR($B109="",NOT(ISNUMBER(Settings!$C$9))),"",TRIM(SUBSTITUTE(SUBSTITUTE(INDEX('INPUT - Roster'!$S$1:$SV$206,$B109,Settings!$C$9+12)&amp;"",CHAR(10)," "),CHAR(160)," ")))</f>
        <v/>
      </c>
      <c r="S109">
        <f>IF(OR($B109="",NOT(ISNUMBER(Settings!$C$9))),"",TRIM(SUBSTITUTE(SUBSTITUTE(INDEX('INPUT - Roster'!$S$1:$SV$206,$B109,Settings!$C$9+13)&amp;"",CHAR(10)," "),CHAR(160)," ")))</f>
        <v/>
      </c>
      <c r="T109">
        <f>IF(OR($B109="",NOT(ISNUMBER(Settings!$C$9))),"",TRIM(SUBSTITUTE(SUBSTITUTE(INDEX('INPUT - Roster'!$S$1:$SV$206,$B109,Settings!$C$9+14)&amp;"",CHAR(10)," "),CHAR(160)," ")))</f>
        <v/>
      </c>
      <c r="U109">
        <f>IF(OR($B109="",NOT(ISNUMBER(Settings!$C$9))),"",TRIM(SUBSTITUTE(SUBSTITUTE(INDEX('INPUT - Roster'!$S$1:$SV$206,$B109,Settings!$C$9+15)&amp;"",CHAR(10)," "),CHAR(160)," ")))</f>
        <v/>
      </c>
      <c r="V109">
        <f>IF(OR($B109="",NOT(ISNUMBER(Settings!$C$9))),"",TRIM(SUBSTITUTE(SUBSTITUTE(INDEX('INPUT - Roster'!$S$1:$SV$206,$B109,Settings!$C$9+16)&amp;"",CHAR(10)," "),CHAR(160)," ")))</f>
        <v/>
      </c>
      <c r="W109">
        <f>IF(OR($B109="",NOT(ISNUMBER(Settings!$C$9))),"",TRIM(SUBSTITUTE(SUBSTITUTE(INDEX('INPUT - Roster'!$S$1:$SV$206,$B109,Settings!$C$9+17)&amp;"",CHAR(10)," "),CHAR(160)," ")))</f>
        <v/>
      </c>
      <c r="X109">
        <f>IF(OR($B109="",NOT(ISNUMBER(Settings!$C$9))),"",TRIM(SUBSTITUTE(SUBSTITUTE(INDEX('INPUT - Roster'!$S$1:$SV$206,$B109,Settings!$C$9+18)&amp;"",CHAR(10)," "),CHAR(160)," ")))</f>
        <v/>
      </c>
      <c r="Y109">
        <f>IF(OR($B109="",NOT(ISNUMBER(Settings!$C$9))),"",TRIM(SUBSTITUTE(SUBSTITUTE(INDEX('INPUT - Roster'!$S$1:$SV$206,$B109,Settings!$C$9+19)&amp;"",CHAR(10)," "),CHAR(160)," ")))</f>
        <v/>
      </c>
      <c r="Z109">
        <f>IF(OR($B109="",NOT(ISNUMBER(Settings!$C$9))),"",TRIM(SUBSTITUTE(SUBSTITUTE(INDEX('INPUT - Roster'!$S$1:$SV$206,$B109,Settings!$C$9+20)&amp;"",CHAR(10)," "),CHAR(160)," ")))</f>
        <v/>
      </c>
      <c r="AA109">
        <f>IF(OR($B109="",NOT(ISNUMBER(Settings!$C$9))),"",TRIM(SUBSTITUTE(SUBSTITUTE(INDEX('INPUT - Roster'!$S$1:$SV$206,$B109,Settings!$C$9+21)&amp;"",CHAR(10)," "),CHAR(160)," ")))</f>
        <v/>
      </c>
      <c r="AB109">
        <f>IF(OR($B109="",NOT(ISNUMBER(Settings!$C$9))),"",TRIM(SUBSTITUTE(SUBSTITUTE(INDEX('INPUT - Roster'!$S$1:$SV$206,$B109,Settings!$C$9+22)&amp;"",CHAR(10)," "),CHAR(160)," ")))</f>
        <v/>
      </c>
      <c r="AC109">
        <f>IF(OR($B109="",NOT(ISNUMBER(Settings!$C$9))),"",TRIM(SUBSTITUTE(SUBSTITUTE(INDEX('INPUT - Roster'!$S$1:$SV$206,$B109,Settings!$C$9+23)&amp;"",CHAR(10)," "),CHAR(160)," ")))</f>
        <v/>
      </c>
      <c r="AD109">
        <f>IF(OR($B109="",NOT(ISNUMBER(Settings!$C$9))),"",TRIM(SUBSTITUTE(SUBSTITUTE(INDEX('INPUT - Roster'!$S$1:$SV$206,$B109,Settings!$C$9+24)&amp;"",CHAR(10)," "),CHAR(160)," ")))</f>
        <v/>
      </c>
      <c r="AE109">
        <f>IF(OR($B109="",NOT(ISNUMBER(Settings!$C$9))),"",TRIM(SUBSTITUTE(SUBSTITUTE(INDEX('INPUT - Roster'!$S$1:$SV$206,$B109,Settings!$C$9+25)&amp;"",CHAR(10)," "),CHAR(160)," ")))</f>
        <v/>
      </c>
      <c r="AF109">
        <f>IF(OR($B109="",NOT(ISNUMBER(Settings!$C$9))),"",TRIM(SUBSTITUTE(SUBSTITUTE(INDEX('INPUT - Roster'!$S$1:$SV$206,$B109,Settings!$C$9+26)&amp;"",CHAR(10)," "),CHAR(160)," ")))</f>
        <v/>
      </c>
      <c r="AG109">
        <f>IF(OR($B109="",NOT(ISNUMBER(Settings!$C$9))),"",TRIM(SUBSTITUTE(SUBSTITUTE(INDEX('INPUT - Roster'!$S$1:$SV$206,$B109,Settings!$C$9+27)&amp;"",CHAR(10)," "),CHAR(160)," ")))</f>
        <v/>
      </c>
      <c r="AI109">
        <f>IF($B109="","",IF(F109="","Not rostered",IFERROR(INDEX(Settings!$C$14:$C$33,MATCH(F109,Settings!$B$14:$B$33,0)),IFERROR(LOOKUP(2^15,SEARCH(Settings!$I$14:$I$83,F109)/(Settings!$I$14:$I$83&lt;&gt;""),Settings!$J$14:$J$83),"Other"))))</f>
        <v/>
      </c>
      <c r="AJ109">
        <f>IF($B109="","",IF(G109="","Not rostered",IFERROR(INDEX(Settings!$C$14:$C$33,MATCH(G109,Settings!$B$14:$B$33,0)),IFERROR(LOOKUP(2^15,SEARCH(Settings!$I$14:$I$83,G109)/(Settings!$I$14:$I$83&lt;&gt;""),Settings!$J$14:$J$83),"Other"))))</f>
        <v/>
      </c>
      <c r="AK109">
        <f>IF($B109="","",IF(H109="","Not rostered",IFERROR(INDEX(Settings!$C$14:$C$33,MATCH(H109,Settings!$B$14:$B$33,0)),IFERROR(LOOKUP(2^15,SEARCH(Settings!$I$14:$I$83,H109)/(Settings!$I$14:$I$83&lt;&gt;""),Settings!$J$14:$J$83),"Other"))))</f>
        <v/>
      </c>
      <c r="AL109">
        <f>IF($B109="","",IF(I109="","Not rostered",IFERROR(INDEX(Settings!$C$14:$C$33,MATCH(I109,Settings!$B$14:$B$33,0)),IFERROR(LOOKUP(2^15,SEARCH(Settings!$I$14:$I$83,I109)/(Settings!$I$14:$I$83&lt;&gt;""),Settings!$J$14:$J$83),"Other"))))</f>
        <v/>
      </c>
      <c r="AM109">
        <f>IF($B109="","",IF(J109="","Not rostered",IFERROR(INDEX(Settings!$C$14:$C$33,MATCH(J109,Settings!$B$14:$B$33,0)),IFERROR(LOOKUP(2^15,SEARCH(Settings!$I$14:$I$83,J109)/(Settings!$I$14:$I$83&lt;&gt;""),Settings!$J$14:$J$83),"Other"))))</f>
        <v/>
      </c>
      <c r="AN109">
        <f>IF($B109="","",IF(K109="","Not rostered",IFERROR(INDEX(Settings!$C$14:$C$33,MATCH(K109,Settings!$B$14:$B$33,0)),IFERROR(LOOKUP(2^15,SEARCH(Settings!$I$14:$I$83,K109)/(Settings!$I$14:$I$83&lt;&gt;""),Settings!$J$14:$J$83),"Other"))))</f>
        <v/>
      </c>
      <c r="AO109">
        <f>IF($B109="","",IF(L109="","Not rostered",IFERROR(INDEX(Settings!$C$14:$C$33,MATCH(L109,Settings!$B$14:$B$33,0)),IFERROR(LOOKUP(2^15,SEARCH(Settings!$I$14:$I$83,L109)/(Settings!$I$14:$I$83&lt;&gt;""),Settings!$J$14:$J$83),"Other"))))</f>
        <v/>
      </c>
      <c r="AP109">
        <f>IF($B109="","",IF(M109="","Not rostered",IFERROR(INDEX(Settings!$C$14:$C$33,MATCH(M109,Settings!$B$14:$B$33,0)),IFERROR(LOOKUP(2^15,SEARCH(Settings!$I$14:$I$83,M109)/(Settings!$I$14:$I$83&lt;&gt;""),Settings!$J$14:$J$83),"Other"))))</f>
        <v/>
      </c>
      <c r="AQ109">
        <f>IF($B109="","",IF(N109="","Not rostered",IFERROR(INDEX(Settings!$C$14:$C$33,MATCH(N109,Settings!$B$14:$B$33,0)),IFERROR(LOOKUP(2^15,SEARCH(Settings!$I$14:$I$83,N109)/(Settings!$I$14:$I$83&lt;&gt;""),Settings!$J$14:$J$83),"Other"))))</f>
        <v/>
      </c>
      <c r="AR109">
        <f>IF($B109="","",IF(O109="","Not rostered",IFERROR(INDEX(Settings!$C$14:$C$33,MATCH(O109,Settings!$B$14:$B$33,0)),IFERROR(LOOKUP(2^15,SEARCH(Settings!$I$14:$I$83,O109)/(Settings!$I$14:$I$83&lt;&gt;""),Settings!$J$14:$J$83),"Other"))))</f>
        <v/>
      </c>
      <c r="AS109">
        <f>IF($B109="","",IF(P109="","Not rostered",IFERROR(INDEX(Settings!$C$14:$C$33,MATCH(P109,Settings!$B$14:$B$33,0)),IFERROR(LOOKUP(2^15,SEARCH(Settings!$I$14:$I$83,P109)/(Settings!$I$14:$I$83&lt;&gt;""),Settings!$J$14:$J$83),"Other"))))</f>
        <v/>
      </c>
      <c r="AT109">
        <f>IF($B109="","",IF(Q109="","Not rostered",IFERROR(INDEX(Settings!$C$14:$C$33,MATCH(Q109,Settings!$B$14:$B$33,0)),IFERROR(LOOKUP(2^15,SEARCH(Settings!$I$14:$I$83,Q109)/(Settings!$I$14:$I$83&lt;&gt;""),Settings!$J$14:$J$83),"Other"))))</f>
        <v/>
      </c>
      <c r="AU109">
        <f>IF($B109="","",IF(R109="","Not rostered",IFERROR(INDEX(Settings!$C$14:$C$33,MATCH(R109,Settings!$B$14:$B$33,0)),IFERROR(LOOKUP(2^15,SEARCH(Settings!$I$14:$I$83,R109)/(Settings!$I$14:$I$83&lt;&gt;""),Settings!$J$14:$J$83),"Other"))))</f>
        <v/>
      </c>
      <c r="AV109">
        <f>IF($B109="","",IF(S109="","Not rostered",IFERROR(INDEX(Settings!$C$14:$C$33,MATCH(S109,Settings!$B$14:$B$33,0)),IFERROR(LOOKUP(2^15,SEARCH(Settings!$I$14:$I$83,S109)/(Settings!$I$14:$I$83&lt;&gt;""),Settings!$J$14:$J$83),"Other"))))</f>
        <v/>
      </c>
      <c r="AW109">
        <f>IF($B109="","",IF(T109="","Not rostered",IFERROR(INDEX(Settings!$C$14:$C$33,MATCH(T109,Settings!$B$14:$B$33,0)),IFERROR(LOOKUP(2^15,SEARCH(Settings!$I$14:$I$83,T109)/(Settings!$I$14:$I$83&lt;&gt;""),Settings!$J$14:$J$83),"Other"))))</f>
        <v/>
      </c>
      <c r="AX109">
        <f>IF($B109="","",IF(U109="","Not rostered",IFERROR(INDEX(Settings!$C$14:$C$33,MATCH(U109,Settings!$B$14:$B$33,0)),IFERROR(LOOKUP(2^15,SEARCH(Settings!$I$14:$I$83,U109)/(Settings!$I$14:$I$83&lt;&gt;""),Settings!$J$14:$J$83),"Other"))))</f>
        <v/>
      </c>
      <c r="AY109">
        <f>IF($B109="","",IF(V109="","Not rostered",IFERROR(INDEX(Settings!$C$14:$C$33,MATCH(V109,Settings!$B$14:$B$33,0)),IFERROR(LOOKUP(2^15,SEARCH(Settings!$I$14:$I$83,V109)/(Settings!$I$14:$I$83&lt;&gt;""),Settings!$J$14:$J$83),"Other"))))</f>
        <v/>
      </c>
      <c r="AZ109">
        <f>IF($B109="","",IF(W109="","Not rostered",IFERROR(INDEX(Settings!$C$14:$C$33,MATCH(W109,Settings!$B$14:$B$33,0)),IFERROR(LOOKUP(2^15,SEARCH(Settings!$I$14:$I$83,W109)/(Settings!$I$14:$I$83&lt;&gt;""),Settings!$J$14:$J$83),"Other"))))</f>
        <v/>
      </c>
      <c r="BA109">
        <f>IF($B109="","",IF(X109="","Not rostered",IFERROR(INDEX(Settings!$C$14:$C$33,MATCH(X109,Settings!$B$14:$B$33,0)),IFERROR(LOOKUP(2^15,SEARCH(Settings!$I$14:$I$83,X109)/(Settings!$I$14:$I$83&lt;&gt;""),Settings!$J$14:$J$83),"Other"))))</f>
        <v/>
      </c>
      <c r="BB109">
        <f>IF($B109="","",IF(Y109="","Not rostered",IFERROR(INDEX(Settings!$C$14:$C$33,MATCH(Y109,Settings!$B$14:$B$33,0)),IFERROR(LOOKUP(2^15,SEARCH(Settings!$I$14:$I$83,Y109)/(Settings!$I$14:$I$83&lt;&gt;""),Settings!$J$14:$J$83),"Other"))))</f>
        <v/>
      </c>
      <c r="BC109">
        <f>IF($B109="","",IF(Z109="","Not rostered",IFERROR(INDEX(Settings!$C$14:$C$33,MATCH(Z109,Settings!$B$14:$B$33,0)),IFERROR(LOOKUP(2^15,SEARCH(Settings!$I$14:$I$83,Z109)/(Settings!$I$14:$I$83&lt;&gt;""),Settings!$J$14:$J$83),"Other"))))</f>
        <v/>
      </c>
      <c r="BD109">
        <f>IF($B109="","",IF(AA109="","Not rostered",IFERROR(INDEX(Settings!$C$14:$C$33,MATCH(AA109,Settings!$B$14:$B$33,0)),IFERROR(LOOKUP(2^15,SEARCH(Settings!$I$14:$I$83,AA109)/(Settings!$I$14:$I$83&lt;&gt;""),Settings!$J$14:$J$83),"Other"))))</f>
        <v/>
      </c>
      <c r="BE109">
        <f>IF($B109="","",IF(AB109="","Not rostered",IFERROR(INDEX(Settings!$C$14:$C$33,MATCH(AB109,Settings!$B$14:$B$33,0)),IFERROR(LOOKUP(2^15,SEARCH(Settings!$I$14:$I$83,AB109)/(Settings!$I$14:$I$83&lt;&gt;""),Settings!$J$14:$J$83),"Other"))))</f>
        <v/>
      </c>
      <c r="BF109">
        <f>IF($B109="","",IF(AC109="","Not rostered",IFERROR(INDEX(Settings!$C$14:$C$33,MATCH(AC109,Settings!$B$14:$B$33,0)),IFERROR(LOOKUP(2^15,SEARCH(Settings!$I$14:$I$83,AC109)/(Settings!$I$14:$I$83&lt;&gt;""),Settings!$J$14:$J$83),"Other"))))</f>
        <v/>
      </c>
      <c r="BG109">
        <f>IF($B109="","",IF(AD109="","Not rostered",IFERROR(INDEX(Settings!$C$14:$C$33,MATCH(AD109,Settings!$B$14:$B$33,0)),IFERROR(LOOKUP(2^15,SEARCH(Settings!$I$14:$I$83,AD109)/(Settings!$I$14:$I$83&lt;&gt;""),Settings!$J$14:$J$83),"Other"))))</f>
        <v/>
      </c>
      <c r="BH109">
        <f>IF($B109="","",IF(AE109="","Not rostered",IFERROR(INDEX(Settings!$C$14:$C$33,MATCH(AE109,Settings!$B$14:$B$33,0)),IFERROR(LOOKUP(2^15,SEARCH(Settings!$I$14:$I$83,AE109)/(Settings!$I$14:$I$83&lt;&gt;""),Settings!$J$14:$J$83),"Other"))))</f>
        <v/>
      </c>
      <c r="BI109">
        <f>IF($B109="","",IF(AF109="","Not rostered",IFERROR(INDEX(Settings!$C$14:$C$33,MATCH(AF109,Settings!$B$14:$B$33,0)),IFERROR(LOOKUP(2^15,SEARCH(Settings!$I$14:$I$83,AF109)/(Settings!$I$14:$I$83&lt;&gt;""),Settings!$J$14:$J$83),"Other"))))</f>
        <v/>
      </c>
      <c r="BJ109">
        <f>IF($B109="","",IF(AG109="","Not rostered",IFERROR(INDEX(Settings!$C$14:$C$33,MATCH(AG109,Settings!$B$14:$B$33,0)),IFERROR(LOOKUP(2^15,SEARCH(Settings!$I$14:$I$83,AG109)/(Settings!$I$14:$I$83&lt;&gt;""),Settings!$J$14:$J$83),"Other"))))</f>
        <v/>
      </c>
      <c r="BL109">
        <f>IF(OR($B109="",F109=""),"",IFERROR(INDEX(Settings!$D$14:$D$33,MATCH(F109,Settings!$B$14:$B$33,0))&amp;"",IFERROR(LOOKUP(2^15,SEARCH(Settings!$F$14:$F$43,F109)/(Settings!$F$14:$F$43&lt;&gt;""),Settings!$G$14:$G$43),"")))</f>
        <v/>
      </c>
      <c r="BM109">
        <f>IF(OR($B109="",G109=""),"",IFERROR(INDEX(Settings!$D$14:$D$33,MATCH(G109,Settings!$B$14:$B$33,0))&amp;"",IFERROR(LOOKUP(2^15,SEARCH(Settings!$F$14:$F$43,G109)/(Settings!$F$14:$F$43&lt;&gt;""),Settings!$G$14:$G$43),"")))</f>
        <v/>
      </c>
      <c r="BN109">
        <f>IF(OR($B109="",H109=""),"",IFERROR(INDEX(Settings!$D$14:$D$33,MATCH(H109,Settings!$B$14:$B$33,0))&amp;"",IFERROR(LOOKUP(2^15,SEARCH(Settings!$F$14:$F$43,H109)/(Settings!$F$14:$F$43&lt;&gt;""),Settings!$G$14:$G$43),"")))</f>
        <v/>
      </c>
      <c r="BO109">
        <f>IF(OR($B109="",I109=""),"",IFERROR(INDEX(Settings!$D$14:$D$33,MATCH(I109,Settings!$B$14:$B$33,0))&amp;"",IFERROR(LOOKUP(2^15,SEARCH(Settings!$F$14:$F$43,I109)/(Settings!$F$14:$F$43&lt;&gt;""),Settings!$G$14:$G$43),"")))</f>
        <v/>
      </c>
      <c r="BP109">
        <f>IF(OR($B109="",J109=""),"",IFERROR(INDEX(Settings!$D$14:$D$33,MATCH(J109,Settings!$B$14:$B$33,0))&amp;"",IFERROR(LOOKUP(2^15,SEARCH(Settings!$F$14:$F$43,J109)/(Settings!$F$14:$F$43&lt;&gt;""),Settings!$G$14:$G$43),"")))</f>
        <v/>
      </c>
      <c r="BQ109">
        <f>IF(OR($B109="",K109=""),"",IFERROR(INDEX(Settings!$D$14:$D$33,MATCH(K109,Settings!$B$14:$B$33,0))&amp;"",IFERROR(LOOKUP(2^15,SEARCH(Settings!$F$14:$F$43,K109)/(Settings!$F$14:$F$43&lt;&gt;""),Settings!$G$14:$G$43),"")))</f>
        <v/>
      </c>
      <c r="BR109">
        <f>IF(OR($B109="",L109=""),"",IFERROR(INDEX(Settings!$D$14:$D$33,MATCH(L109,Settings!$B$14:$B$33,0))&amp;"",IFERROR(LOOKUP(2^15,SEARCH(Settings!$F$14:$F$43,L109)/(Settings!$F$14:$F$43&lt;&gt;""),Settings!$G$14:$G$43),"")))</f>
        <v/>
      </c>
      <c r="BS109">
        <f>IF(OR($B109="",M109=""),"",IFERROR(INDEX(Settings!$D$14:$D$33,MATCH(M109,Settings!$B$14:$B$33,0))&amp;"",IFERROR(LOOKUP(2^15,SEARCH(Settings!$F$14:$F$43,M109)/(Settings!$F$14:$F$43&lt;&gt;""),Settings!$G$14:$G$43),"")))</f>
        <v/>
      </c>
      <c r="BT109">
        <f>IF(OR($B109="",N109=""),"",IFERROR(INDEX(Settings!$D$14:$D$33,MATCH(N109,Settings!$B$14:$B$33,0))&amp;"",IFERROR(LOOKUP(2^15,SEARCH(Settings!$F$14:$F$43,N109)/(Settings!$F$14:$F$43&lt;&gt;""),Settings!$G$14:$G$43),"")))</f>
        <v/>
      </c>
      <c r="BU109">
        <f>IF(OR($B109="",O109=""),"",IFERROR(INDEX(Settings!$D$14:$D$33,MATCH(O109,Settings!$B$14:$B$33,0))&amp;"",IFERROR(LOOKUP(2^15,SEARCH(Settings!$F$14:$F$43,O109)/(Settings!$F$14:$F$43&lt;&gt;""),Settings!$G$14:$G$43),"")))</f>
        <v/>
      </c>
      <c r="BV109">
        <f>IF(OR($B109="",P109=""),"",IFERROR(INDEX(Settings!$D$14:$D$33,MATCH(P109,Settings!$B$14:$B$33,0))&amp;"",IFERROR(LOOKUP(2^15,SEARCH(Settings!$F$14:$F$43,P109)/(Settings!$F$14:$F$43&lt;&gt;""),Settings!$G$14:$G$43),"")))</f>
        <v/>
      </c>
      <c r="BW109">
        <f>IF(OR($B109="",Q109=""),"",IFERROR(INDEX(Settings!$D$14:$D$33,MATCH(Q109,Settings!$B$14:$B$33,0))&amp;"",IFERROR(LOOKUP(2^15,SEARCH(Settings!$F$14:$F$43,Q109)/(Settings!$F$14:$F$43&lt;&gt;""),Settings!$G$14:$G$43),"")))</f>
        <v/>
      </c>
      <c r="BX109">
        <f>IF(OR($B109="",R109=""),"",IFERROR(INDEX(Settings!$D$14:$D$33,MATCH(R109,Settings!$B$14:$B$33,0))&amp;"",IFERROR(LOOKUP(2^15,SEARCH(Settings!$F$14:$F$43,R109)/(Settings!$F$14:$F$43&lt;&gt;""),Settings!$G$14:$G$43),"")))</f>
        <v/>
      </c>
      <c r="BY109">
        <f>IF(OR($B109="",S109=""),"",IFERROR(INDEX(Settings!$D$14:$D$33,MATCH(S109,Settings!$B$14:$B$33,0))&amp;"",IFERROR(LOOKUP(2^15,SEARCH(Settings!$F$14:$F$43,S109)/(Settings!$F$14:$F$43&lt;&gt;""),Settings!$G$14:$G$43),"")))</f>
        <v/>
      </c>
      <c r="BZ109">
        <f>IF(OR($B109="",T109=""),"",IFERROR(INDEX(Settings!$D$14:$D$33,MATCH(T109,Settings!$B$14:$B$33,0))&amp;"",IFERROR(LOOKUP(2^15,SEARCH(Settings!$F$14:$F$43,T109)/(Settings!$F$14:$F$43&lt;&gt;""),Settings!$G$14:$G$43),"")))</f>
        <v/>
      </c>
      <c r="CA109">
        <f>IF(OR($B109="",U109=""),"",IFERROR(INDEX(Settings!$D$14:$D$33,MATCH(U109,Settings!$B$14:$B$33,0))&amp;"",IFERROR(LOOKUP(2^15,SEARCH(Settings!$F$14:$F$43,U109)/(Settings!$F$14:$F$43&lt;&gt;""),Settings!$G$14:$G$43),"")))</f>
        <v/>
      </c>
      <c r="CB109">
        <f>IF(OR($B109="",V109=""),"",IFERROR(INDEX(Settings!$D$14:$D$33,MATCH(V109,Settings!$B$14:$B$33,0))&amp;"",IFERROR(LOOKUP(2^15,SEARCH(Settings!$F$14:$F$43,V109)/(Settings!$F$14:$F$43&lt;&gt;""),Settings!$G$14:$G$43),"")))</f>
        <v/>
      </c>
      <c r="CC109">
        <f>IF(OR($B109="",W109=""),"",IFERROR(INDEX(Settings!$D$14:$D$33,MATCH(W109,Settings!$B$14:$B$33,0))&amp;"",IFERROR(LOOKUP(2^15,SEARCH(Settings!$F$14:$F$43,W109)/(Settings!$F$14:$F$43&lt;&gt;""),Settings!$G$14:$G$43),"")))</f>
        <v/>
      </c>
      <c r="CD109">
        <f>IF(OR($B109="",X109=""),"",IFERROR(INDEX(Settings!$D$14:$D$33,MATCH(X109,Settings!$B$14:$B$33,0))&amp;"",IFERROR(LOOKUP(2^15,SEARCH(Settings!$F$14:$F$43,X109)/(Settings!$F$14:$F$43&lt;&gt;""),Settings!$G$14:$G$43),"")))</f>
        <v/>
      </c>
      <c r="CE109">
        <f>IF(OR($B109="",Y109=""),"",IFERROR(INDEX(Settings!$D$14:$D$33,MATCH(Y109,Settings!$B$14:$B$33,0))&amp;"",IFERROR(LOOKUP(2^15,SEARCH(Settings!$F$14:$F$43,Y109)/(Settings!$F$14:$F$43&lt;&gt;""),Settings!$G$14:$G$43),"")))</f>
        <v/>
      </c>
      <c r="CF109">
        <f>IF(OR($B109="",Z109=""),"",IFERROR(INDEX(Settings!$D$14:$D$33,MATCH(Z109,Settings!$B$14:$B$33,0))&amp;"",IFERROR(LOOKUP(2^15,SEARCH(Settings!$F$14:$F$43,Z109)/(Settings!$F$14:$F$43&lt;&gt;""),Settings!$G$14:$G$43),"")))</f>
        <v/>
      </c>
      <c r="CG109">
        <f>IF(OR($B109="",AA109=""),"",IFERROR(INDEX(Settings!$D$14:$D$33,MATCH(AA109,Settings!$B$14:$B$33,0))&amp;"",IFERROR(LOOKUP(2^15,SEARCH(Settings!$F$14:$F$43,AA109)/(Settings!$F$14:$F$43&lt;&gt;""),Settings!$G$14:$G$43),"")))</f>
        <v/>
      </c>
      <c r="CH109">
        <f>IF(OR($B109="",AB109=""),"",IFERROR(INDEX(Settings!$D$14:$D$33,MATCH(AB109,Settings!$B$14:$B$33,0))&amp;"",IFERROR(LOOKUP(2^15,SEARCH(Settings!$F$14:$F$43,AB109)/(Settings!$F$14:$F$43&lt;&gt;""),Settings!$G$14:$G$43),"")))</f>
        <v/>
      </c>
      <c r="CI109">
        <f>IF(OR($B109="",AC109=""),"",IFERROR(INDEX(Settings!$D$14:$D$33,MATCH(AC109,Settings!$B$14:$B$33,0))&amp;"",IFERROR(LOOKUP(2^15,SEARCH(Settings!$F$14:$F$43,AC109)/(Settings!$F$14:$F$43&lt;&gt;""),Settings!$G$14:$G$43),"")))</f>
        <v/>
      </c>
      <c r="CJ109">
        <f>IF(OR($B109="",AD109=""),"",IFERROR(INDEX(Settings!$D$14:$D$33,MATCH(AD109,Settings!$B$14:$B$33,0))&amp;"",IFERROR(LOOKUP(2^15,SEARCH(Settings!$F$14:$F$43,AD109)/(Settings!$F$14:$F$43&lt;&gt;""),Settings!$G$14:$G$43),"")))</f>
        <v/>
      </c>
      <c r="CK109">
        <f>IF(OR($B109="",AE109=""),"",IFERROR(INDEX(Settings!$D$14:$D$33,MATCH(AE109,Settings!$B$14:$B$33,0))&amp;"",IFERROR(LOOKUP(2^15,SEARCH(Settings!$F$14:$F$43,AE109)/(Settings!$F$14:$F$43&lt;&gt;""),Settings!$G$14:$G$43),"")))</f>
        <v/>
      </c>
      <c r="CL109">
        <f>IF(OR($B109="",AF109=""),"",IFERROR(INDEX(Settings!$D$14:$D$33,MATCH(AF109,Settings!$B$14:$B$33,0))&amp;"",IFERROR(LOOKUP(2^15,SEARCH(Settings!$F$14:$F$43,AF109)/(Settings!$F$14:$F$43&lt;&gt;""),Settings!$G$14:$G$43),"")))</f>
        <v/>
      </c>
      <c r="CM109">
        <f>IF(OR($B109="",AG109=""),"",IFERROR(INDEX(Settings!$D$14:$D$33,MATCH(AG109,Settings!$B$14:$B$33,0))&amp;"",IFERROR(LOOKUP(2^15,SEARCH(Settings!$F$14:$F$43,AG109)/(Settings!$F$14:$F$43&lt;&gt;""),Settings!$G$14:$G$43),"")))</f>
        <v/>
      </c>
    </row>
    <row r="110">
      <c r="A110" t="n">
        <v>108</v>
      </c>
      <c r="B110">
        <f>IFERROR(INDEX(Index!$A$2:$A$202,MATCH(A110,Index!$E$2:$E$202,0)),"")</f>
        <v/>
      </c>
      <c r="D110">
        <f>IF($B110="","",IFERROR(MATCH("Travel*",AI110:BJ110,0),""))</f>
        <v/>
      </c>
      <c r="F110">
        <f>IF(OR($B110="",NOT(ISNUMBER(Settings!$C$9))),"",TRIM(SUBSTITUTE(SUBSTITUTE(INDEX('INPUT - Roster'!$S$1:$SV$206,$B110,Settings!$C$9+0)&amp;"",CHAR(10)," "),CHAR(160)," ")))</f>
        <v/>
      </c>
      <c r="G110">
        <f>IF(OR($B110="",NOT(ISNUMBER(Settings!$C$9))),"",TRIM(SUBSTITUTE(SUBSTITUTE(INDEX('INPUT - Roster'!$S$1:$SV$206,$B110,Settings!$C$9+1)&amp;"",CHAR(10)," "),CHAR(160)," ")))</f>
        <v/>
      </c>
      <c r="H110">
        <f>IF(OR($B110="",NOT(ISNUMBER(Settings!$C$9))),"",TRIM(SUBSTITUTE(SUBSTITUTE(INDEX('INPUT - Roster'!$S$1:$SV$206,$B110,Settings!$C$9+2)&amp;"",CHAR(10)," "),CHAR(160)," ")))</f>
        <v/>
      </c>
      <c r="I110">
        <f>IF(OR($B110="",NOT(ISNUMBER(Settings!$C$9))),"",TRIM(SUBSTITUTE(SUBSTITUTE(INDEX('INPUT - Roster'!$S$1:$SV$206,$B110,Settings!$C$9+3)&amp;"",CHAR(10)," "),CHAR(160)," ")))</f>
        <v/>
      </c>
      <c r="J110">
        <f>IF(OR($B110="",NOT(ISNUMBER(Settings!$C$9))),"",TRIM(SUBSTITUTE(SUBSTITUTE(INDEX('INPUT - Roster'!$S$1:$SV$206,$B110,Settings!$C$9+4)&amp;"",CHAR(10)," "),CHAR(160)," ")))</f>
        <v/>
      </c>
      <c r="K110">
        <f>IF(OR($B110="",NOT(ISNUMBER(Settings!$C$9))),"",TRIM(SUBSTITUTE(SUBSTITUTE(INDEX('INPUT - Roster'!$S$1:$SV$206,$B110,Settings!$C$9+5)&amp;"",CHAR(10)," "),CHAR(160)," ")))</f>
        <v/>
      </c>
      <c r="L110">
        <f>IF(OR($B110="",NOT(ISNUMBER(Settings!$C$9))),"",TRIM(SUBSTITUTE(SUBSTITUTE(INDEX('INPUT - Roster'!$S$1:$SV$206,$B110,Settings!$C$9+6)&amp;"",CHAR(10)," "),CHAR(160)," ")))</f>
        <v/>
      </c>
      <c r="M110">
        <f>IF(OR($B110="",NOT(ISNUMBER(Settings!$C$9))),"",TRIM(SUBSTITUTE(SUBSTITUTE(INDEX('INPUT - Roster'!$S$1:$SV$206,$B110,Settings!$C$9+7)&amp;"",CHAR(10)," "),CHAR(160)," ")))</f>
        <v/>
      </c>
      <c r="N110">
        <f>IF(OR($B110="",NOT(ISNUMBER(Settings!$C$9))),"",TRIM(SUBSTITUTE(SUBSTITUTE(INDEX('INPUT - Roster'!$S$1:$SV$206,$B110,Settings!$C$9+8)&amp;"",CHAR(10)," "),CHAR(160)," ")))</f>
        <v/>
      </c>
      <c r="O110">
        <f>IF(OR($B110="",NOT(ISNUMBER(Settings!$C$9))),"",TRIM(SUBSTITUTE(SUBSTITUTE(INDEX('INPUT - Roster'!$S$1:$SV$206,$B110,Settings!$C$9+9)&amp;"",CHAR(10)," "),CHAR(160)," ")))</f>
        <v/>
      </c>
      <c r="P110">
        <f>IF(OR($B110="",NOT(ISNUMBER(Settings!$C$9))),"",TRIM(SUBSTITUTE(SUBSTITUTE(INDEX('INPUT - Roster'!$S$1:$SV$206,$B110,Settings!$C$9+10)&amp;"",CHAR(10)," "),CHAR(160)," ")))</f>
        <v/>
      </c>
      <c r="Q110">
        <f>IF(OR($B110="",NOT(ISNUMBER(Settings!$C$9))),"",TRIM(SUBSTITUTE(SUBSTITUTE(INDEX('INPUT - Roster'!$S$1:$SV$206,$B110,Settings!$C$9+11)&amp;"",CHAR(10)," "),CHAR(160)," ")))</f>
        <v/>
      </c>
      <c r="R110">
        <f>IF(OR($B110="",NOT(ISNUMBER(Settings!$C$9))),"",TRIM(SUBSTITUTE(SUBSTITUTE(INDEX('INPUT - Roster'!$S$1:$SV$206,$B110,Settings!$C$9+12)&amp;"",CHAR(10)," "),CHAR(160)," ")))</f>
        <v/>
      </c>
      <c r="S110">
        <f>IF(OR($B110="",NOT(ISNUMBER(Settings!$C$9))),"",TRIM(SUBSTITUTE(SUBSTITUTE(INDEX('INPUT - Roster'!$S$1:$SV$206,$B110,Settings!$C$9+13)&amp;"",CHAR(10)," "),CHAR(160)," ")))</f>
        <v/>
      </c>
      <c r="T110">
        <f>IF(OR($B110="",NOT(ISNUMBER(Settings!$C$9))),"",TRIM(SUBSTITUTE(SUBSTITUTE(INDEX('INPUT - Roster'!$S$1:$SV$206,$B110,Settings!$C$9+14)&amp;"",CHAR(10)," "),CHAR(160)," ")))</f>
        <v/>
      </c>
      <c r="U110">
        <f>IF(OR($B110="",NOT(ISNUMBER(Settings!$C$9))),"",TRIM(SUBSTITUTE(SUBSTITUTE(INDEX('INPUT - Roster'!$S$1:$SV$206,$B110,Settings!$C$9+15)&amp;"",CHAR(10)," "),CHAR(160)," ")))</f>
        <v/>
      </c>
      <c r="V110">
        <f>IF(OR($B110="",NOT(ISNUMBER(Settings!$C$9))),"",TRIM(SUBSTITUTE(SUBSTITUTE(INDEX('INPUT - Roster'!$S$1:$SV$206,$B110,Settings!$C$9+16)&amp;"",CHAR(10)," "),CHAR(160)," ")))</f>
        <v/>
      </c>
      <c r="W110">
        <f>IF(OR($B110="",NOT(ISNUMBER(Settings!$C$9))),"",TRIM(SUBSTITUTE(SUBSTITUTE(INDEX('INPUT - Roster'!$S$1:$SV$206,$B110,Settings!$C$9+17)&amp;"",CHAR(10)," "),CHAR(160)," ")))</f>
        <v/>
      </c>
      <c r="X110">
        <f>IF(OR($B110="",NOT(ISNUMBER(Settings!$C$9))),"",TRIM(SUBSTITUTE(SUBSTITUTE(INDEX('INPUT - Roster'!$S$1:$SV$206,$B110,Settings!$C$9+18)&amp;"",CHAR(10)," "),CHAR(160)," ")))</f>
        <v/>
      </c>
      <c r="Y110">
        <f>IF(OR($B110="",NOT(ISNUMBER(Settings!$C$9))),"",TRIM(SUBSTITUTE(SUBSTITUTE(INDEX('INPUT - Roster'!$S$1:$SV$206,$B110,Settings!$C$9+19)&amp;"",CHAR(10)," "),CHAR(160)," ")))</f>
        <v/>
      </c>
      <c r="Z110">
        <f>IF(OR($B110="",NOT(ISNUMBER(Settings!$C$9))),"",TRIM(SUBSTITUTE(SUBSTITUTE(INDEX('INPUT - Roster'!$S$1:$SV$206,$B110,Settings!$C$9+20)&amp;"",CHAR(10)," "),CHAR(160)," ")))</f>
        <v/>
      </c>
      <c r="AA110">
        <f>IF(OR($B110="",NOT(ISNUMBER(Settings!$C$9))),"",TRIM(SUBSTITUTE(SUBSTITUTE(INDEX('INPUT - Roster'!$S$1:$SV$206,$B110,Settings!$C$9+21)&amp;"",CHAR(10)," "),CHAR(160)," ")))</f>
        <v/>
      </c>
      <c r="AB110">
        <f>IF(OR($B110="",NOT(ISNUMBER(Settings!$C$9))),"",TRIM(SUBSTITUTE(SUBSTITUTE(INDEX('INPUT - Roster'!$S$1:$SV$206,$B110,Settings!$C$9+22)&amp;"",CHAR(10)," "),CHAR(160)," ")))</f>
        <v/>
      </c>
      <c r="AC110">
        <f>IF(OR($B110="",NOT(ISNUMBER(Settings!$C$9))),"",TRIM(SUBSTITUTE(SUBSTITUTE(INDEX('INPUT - Roster'!$S$1:$SV$206,$B110,Settings!$C$9+23)&amp;"",CHAR(10)," "),CHAR(160)," ")))</f>
        <v/>
      </c>
      <c r="AD110">
        <f>IF(OR($B110="",NOT(ISNUMBER(Settings!$C$9))),"",TRIM(SUBSTITUTE(SUBSTITUTE(INDEX('INPUT - Roster'!$S$1:$SV$206,$B110,Settings!$C$9+24)&amp;"",CHAR(10)," "),CHAR(160)," ")))</f>
        <v/>
      </c>
      <c r="AE110">
        <f>IF(OR($B110="",NOT(ISNUMBER(Settings!$C$9))),"",TRIM(SUBSTITUTE(SUBSTITUTE(INDEX('INPUT - Roster'!$S$1:$SV$206,$B110,Settings!$C$9+25)&amp;"",CHAR(10)," "),CHAR(160)," ")))</f>
        <v/>
      </c>
      <c r="AF110">
        <f>IF(OR($B110="",NOT(ISNUMBER(Settings!$C$9))),"",TRIM(SUBSTITUTE(SUBSTITUTE(INDEX('INPUT - Roster'!$S$1:$SV$206,$B110,Settings!$C$9+26)&amp;"",CHAR(10)," "),CHAR(160)," ")))</f>
        <v/>
      </c>
      <c r="AG110">
        <f>IF(OR($B110="",NOT(ISNUMBER(Settings!$C$9))),"",TRIM(SUBSTITUTE(SUBSTITUTE(INDEX('INPUT - Roster'!$S$1:$SV$206,$B110,Settings!$C$9+27)&amp;"",CHAR(10)," "),CHAR(160)," ")))</f>
        <v/>
      </c>
      <c r="AI110">
        <f>IF($B110="","",IF(F110="","Not rostered",IFERROR(INDEX(Settings!$C$14:$C$33,MATCH(F110,Settings!$B$14:$B$33,0)),IFERROR(LOOKUP(2^15,SEARCH(Settings!$I$14:$I$83,F110)/(Settings!$I$14:$I$83&lt;&gt;""),Settings!$J$14:$J$83),"Other"))))</f>
        <v/>
      </c>
      <c r="AJ110">
        <f>IF($B110="","",IF(G110="","Not rostered",IFERROR(INDEX(Settings!$C$14:$C$33,MATCH(G110,Settings!$B$14:$B$33,0)),IFERROR(LOOKUP(2^15,SEARCH(Settings!$I$14:$I$83,G110)/(Settings!$I$14:$I$83&lt;&gt;""),Settings!$J$14:$J$83),"Other"))))</f>
        <v/>
      </c>
      <c r="AK110">
        <f>IF($B110="","",IF(H110="","Not rostered",IFERROR(INDEX(Settings!$C$14:$C$33,MATCH(H110,Settings!$B$14:$B$33,0)),IFERROR(LOOKUP(2^15,SEARCH(Settings!$I$14:$I$83,H110)/(Settings!$I$14:$I$83&lt;&gt;""),Settings!$J$14:$J$83),"Other"))))</f>
        <v/>
      </c>
      <c r="AL110">
        <f>IF($B110="","",IF(I110="","Not rostered",IFERROR(INDEX(Settings!$C$14:$C$33,MATCH(I110,Settings!$B$14:$B$33,0)),IFERROR(LOOKUP(2^15,SEARCH(Settings!$I$14:$I$83,I110)/(Settings!$I$14:$I$83&lt;&gt;""),Settings!$J$14:$J$83),"Other"))))</f>
        <v/>
      </c>
      <c r="AM110">
        <f>IF($B110="","",IF(J110="","Not rostered",IFERROR(INDEX(Settings!$C$14:$C$33,MATCH(J110,Settings!$B$14:$B$33,0)),IFERROR(LOOKUP(2^15,SEARCH(Settings!$I$14:$I$83,J110)/(Settings!$I$14:$I$83&lt;&gt;""),Settings!$J$14:$J$83),"Other"))))</f>
        <v/>
      </c>
      <c r="AN110">
        <f>IF($B110="","",IF(K110="","Not rostered",IFERROR(INDEX(Settings!$C$14:$C$33,MATCH(K110,Settings!$B$14:$B$33,0)),IFERROR(LOOKUP(2^15,SEARCH(Settings!$I$14:$I$83,K110)/(Settings!$I$14:$I$83&lt;&gt;""),Settings!$J$14:$J$83),"Other"))))</f>
        <v/>
      </c>
      <c r="AO110">
        <f>IF($B110="","",IF(L110="","Not rostered",IFERROR(INDEX(Settings!$C$14:$C$33,MATCH(L110,Settings!$B$14:$B$33,0)),IFERROR(LOOKUP(2^15,SEARCH(Settings!$I$14:$I$83,L110)/(Settings!$I$14:$I$83&lt;&gt;""),Settings!$J$14:$J$83),"Other"))))</f>
        <v/>
      </c>
      <c r="AP110">
        <f>IF($B110="","",IF(M110="","Not rostered",IFERROR(INDEX(Settings!$C$14:$C$33,MATCH(M110,Settings!$B$14:$B$33,0)),IFERROR(LOOKUP(2^15,SEARCH(Settings!$I$14:$I$83,M110)/(Settings!$I$14:$I$83&lt;&gt;""),Settings!$J$14:$J$83),"Other"))))</f>
        <v/>
      </c>
      <c r="AQ110">
        <f>IF($B110="","",IF(N110="","Not rostered",IFERROR(INDEX(Settings!$C$14:$C$33,MATCH(N110,Settings!$B$14:$B$33,0)),IFERROR(LOOKUP(2^15,SEARCH(Settings!$I$14:$I$83,N110)/(Settings!$I$14:$I$83&lt;&gt;""),Settings!$J$14:$J$83),"Other"))))</f>
        <v/>
      </c>
      <c r="AR110">
        <f>IF($B110="","",IF(O110="","Not rostered",IFERROR(INDEX(Settings!$C$14:$C$33,MATCH(O110,Settings!$B$14:$B$33,0)),IFERROR(LOOKUP(2^15,SEARCH(Settings!$I$14:$I$83,O110)/(Settings!$I$14:$I$83&lt;&gt;""),Settings!$J$14:$J$83),"Other"))))</f>
        <v/>
      </c>
      <c r="AS110">
        <f>IF($B110="","",IF(P110="","Not rostered",IFERROR(INDEX(Settings!$C$14:$C$33,MATCH(P110,Settings!$B$14:$B$33,0)),IFERROR(LOOKUP(2^15,SEARCH(Settings!$I$14:$I$83,P110)/(Settings!$I$14:$I$83&lt;&gt;""),Settings!$J$14:$J$83),"Other"))))</f>
        <v/>
      </c>
      <c r="AT110">
        <f>IF($B110="","",IF(Q110="","Not rostered",IFERROR(INDEX(Settings!$C$14:$C$33,MATCH(Q110,Settings!$B$14:$B$33,0)),IFERROR(LOOKUP(2^15,SEARCH(Settings!$I$14:$I$83,Q110)/(Settings!$I$14:$I$83&lt;&gt;""),Settings!$J$14:$J$83),"Other"))))</f>
        <v/>
      </c>
      <c r="AU110">
        <f>IF($B110="","",IF(R110="","Not rostered",IFERROR(INDEX(Settings!$C$14:$C$33,MATCH(R110,Settings!$B$14:$B$33,0)),IFERROR(LOOKUP(2^15,SEARCH(Settings!$I$14:$I$83,R110)/(Settings!$I$14:$I$83&lt;&gt;""),Settings!$J$14:$J$83),"Other"))))</f>
        <v/>
      </c>
      <c r="AV110">
        <f>IF($B110="","",IF(S110="","Not rostered",IFERROR(INDEX(Settings!$C$14:$C$33,MATCH(S110,Settings!$B$14:$B$33,0)),IFERROR(LOOKUP(2^15,SEARCH(Settings!$I$14:$I$83,S110)/(Settings!$I$14:$I$83&lt;&gt;""),Settings!$J$14:$J$83),"Other"))))</f>
        <v/>
      </c>
      <c r="AW110">
        <f>IF($B110="","",IF(T110="","Not rostered",IFERROR(INDEX(Settings!$C$14:$C$33,MATCH(T110,Settings!$B$14:$B$33,0)),IFERROR(LOOKUP(2^15,SEARCH(Settings!$I$14:$I$83,T110)/(Settings!$I$14:$I$83&lt;&gt;""),Settings!$J$14:$J$83),"Other"))))</f>
        <v/>
      </c>
      <c r="AX110">
        <f>IF($B110="","",IF(U110="","Not rostered",IFERROR(INDEX(Settings!$C$14:$C$33,MATCH(U110,Settings!$B$14:$B$33,0)),IFERROR(LOOKUP(2^15,SEARCH(Settings!$I$14:$I$83,U110)/(Settings!$I$14:$I$83&lt;&gt;""),Settings!$J$14:$J$83),"Other"))))</f>
        <v/>
      </c>
      <c r="AY110">
        <f>IF($B110="","",IF(V110="","Not rostered",IFERROR(INDEX(Settings!$C$14:$C$33,MATCH(V110,Settings!$B$14:$B$33,0)),IFERROR(LOOKUP(2^15,SEARCH(Settings!$I$14:$I$83,V110)/(Settings!$I$14:$I$83&lt;&gt;""),Settings!$J$14:$J$83),"Other"))))</f>
        <v/>
      </c>
      <c r="AZ110">
        <f>IF($B110="","",IF(W110="","Not rostered",IFERROR(INDEX(Settings!$C$14:$C$33,MATCH(W110,Settings!$B$14:$B$33,0)),IFERROR(LOOKUP(2^15,SEARCH(Settings!$I$14:$I$83,W110)/(Settings!$I$14:$I$83&lt;&gt;""),Settings!$J$14:$J$83),"Other"))))</f>
        <v/>
      </c>
      <c r="BA110">
        <f>IF($B110="","",IF(X110="","Not rostered",IFERROR(INDEX(Settings!$C$14:$C$33,MATCH(X110,Settings!$B$14:$B$33,0)),IFERROR(LOOKUP(2^15,SEARCH(Settings!$I$14:$I$83,X110)/(Settings!$I$14:$I$83&lt;&gt;""),Settings!$J$14:$J$83),"Other"))))</f>
        <v/>
      </c>
      <c r="BB110">
        <f>IF($B110="","",IF(Y110="","Not rostered",IFERROR(INDEX(Settings!$C$14:$C$33,MATCH(Y110,Settings!$B$14:$B$33,0)),IFERROR(LOOKUP(2^15,SEARCH(Settings!$I$14:$I$83,Y110)/(Settings!$I$14:$I$83&lt;&gt;""),Settings!$J$14:$J$83),"Other"))))</f>
        <v/>
      </c>
      <c r="BC110">
        <f>IF($B110="","",IF(Z110="","Not rostered",IFERROR(INDEX(Settings!$C$14:$C$33,MATCH(Z110,Settings!$B$14:$B$33,0)),IFERROR(LOOKUP(2^15,SEARCH(Settings!$I$14:$I$83,Z110)/(Settings!$I$14:$I$83&lt;&gt;""),Settings!$J$14:$J$83),"Other"))))</f>
        <v/>
      </c>
      <c r="BD110">
        <f>IF($B110="","",IF(AA110="","Not rostered",IFERROR(INDEX(Settings!$C$14:$C$33,MATCH(AA110,Settings!$B$14:$B$33,0)),IFERROR(LOOKUP(2^15,SEARCH(Settings!$I$14:$I$83,AA110)/(Settings!$I$14:$I$83&lt;&gt;""),Settings!$J$14:$J$83),"Other"))))</f>
        <v/>
      </c>
      <c r="BE110">
        <f>IF($B110="","",IF(AB110="","Not rostered",IFERROR(INDEX(Settings!$C$14:$C$33,MATCH(AB110,Settings!$B$14:$B$33,0)),IFERROR(LOOKUP(2^15,SEARCH(Settings!$I$14:$I$83,AB110)/(Settings!$I$14:$I$83&lt;&gt;""),Settings!$J$14:$J$83),"Other"))))</f>
        <v/>
      </c>
      <c r="BF110">
        <f>IF($B110="","",IF(AC110="","Not rostered",IFERROR(INDEX(Settings!$C$14:$C$33,MATCH(AC110,Settings!$B$14:$B$33,0)),IFERROR(LOOKUP(2^15,SEARCH(Settings!$I$14:$I$83,AC110)/(Settings!$I$14:$I$83&lt;&gt;""),Settings!$J$14:$J$83),"Other"))))</f>
        <v/>
      </c>
      <c r="BG110">
        <f>IF($B110="","",IF(AD110="","Not rostered",IFERROR(INDEX(Settings!$C$14:$C$33,MATCH(AD110,Settings!$B$14:$B$33,0)),IFERROR(LOOKUP(2^15,SEARCH(Settings!$I$14:$I$83,AD110)/(Settings!$I$14:$I$83&lt;&gt;""),Settings!$J$14:$J$83),"Other"))))</f>
        <v/>
      </c>
      <c r="BH110">
        <f>IF($B110="","",IF(AE110="","Not rostered",IFERROR(INDEX(Settings!$C$14:$C$33,MATCH(AE110,Settings!$B$14:$B$33,0)),IFERROR(LOOKUP(2^15,SEARCH(Settings!$I$14:$I$83,AE110)/(Settings!$I$14:$I$83&lt;&gt;""),Settings!$J$14:$J$83),"Other"))))</f>
        <v/>
      </c>
      <c r="BI110">
        <f>IF($B110="","",IF(AF110="","Not rostered",IFERROR(INDEX(Settings!$C$14:$C$33,MATCH(AF110,Settings!$B$14:$B$33,0)),IFERROR(LOOKUP(2^15,SEARCH(Settings!$I$14:$I$83,AF110)/(Settings!$I$14:$I$83&lt;&gt;""),Settings!$J$14:$J$83),"Other"))))</f>
        <v/>
      </c>
      <c r="BJ110">
        <f>IF($B110="","",IF(AG110="","Not rostered",IFERROR(INDEX(Settings!$C$14:$C$33,MATCH(AG110,Settings!$B$14:$B$33,0)),IFERROR(LOOKUP(2^15,SEARCH(Settings!$I$14:$I$83,AG110)/(Settings!$I$14:$I$83&lt;&gt;""),Settings!$J$14:$J$83),"Other"))))</f>
        <v/>
      </c>
      <c r="BL110">
        <f>IF(OR($B110="",F110=""),"",IFERROR(INDEX(Settings!$D$14:$D$33,MATCH(F110,Settings!$B$14:$B$33,0))&amp;"",IFERROR(LOOKUP(2^15,SEARCH(Settings!$F$14:$F$43,F110)/(Settings!$F$14:$F$43&lt;&gt;""),Settings!$G$14:$G$43),"")))</f>
        <v/>
      </c>
      <c r="BM110">
        <f>IF(OR($B110="",G110=""),"",IFERROR(INDEX(Settings!$D$14:$D$33,MATCH(G110,Settings!$B$14:$B$33,0))&amp;"",IFERROR(LOOKUP(2^15,SEARCH(Settings!$F$14:$F$43,G110)/(Settings!$F$14:$F$43&lt;&gt;""),Settings!$G$14:$G$43),"")))</f>
        <v/>
      </c>
      <c r="BN110">
        <f>IF(OR($B110="",H110=""),"",IFERROR(INDEX(Settings!$D$14:$D$33,MATCH(H110,Settings!$B$14:$B$33,0))&amp;"",IFERROR(LOOKUP(2^15,SEARCH(Settings!$F$14:$F$43,H110)/(Settings!$F$14:$F$43&lt;&gt;""),Settings!$G$14:$G$43),"")))</f>
        <v/>
      </c>
      <c r="BO110">
        <f>IF(OR($B110="",I110=""),"",IFERROR(INDEX(Settings!$D$14:$D$33,MATCH(I110,Settings!$B$14:$B$33,0))&amp;"",IFERROR(LOOKUP(2^15,SEARCH(Settings!$F$14:$F$43,I110)/(Settings!$F$14:$F$43&lt;&gt;""),Settings!$G$14:$G$43),"")))</f>
        <v/>
      </c>
      <c r="BP110">
        <f>IF(OR($B110="",J110=""),"",IFERROR(INDEX(Settings!$D$14:$D$33,MATCH(J110,Settings!$B$14:$B$33,0))&amp;"",IFERROR(LOOKUP(2^15,SEARCH(Settings!$F$14:$F$43,J110)/(Settings!$F$14:$F$43&lt;&gt;""),Settings!$G$14:$G$43),"")))</f>
        <v/>
      </c>
      <c r="BQ110">
        <f>IF(OR($B110="",K110=""),"",IFERROR(INDEX(Settings!$D$14:$D$33,MATCH(K110,Settings!$B$14:$B$33,0))&amp;"",IFERROR(LOOKUP(2^15,SEARCH(Settings!$F$14:$F$43,K110)/(Settings!$F$14:$F$43&lt;&gt;""),Settings!$G$14:$G$43),"")))</f>
        <v/>
      </c>
      <c r="BR110">
        <f>IF(OR($B110="",L110=""),"",IFERROR(INDEX(Settings!$D$14:$D$33,MATCH(L110,Settings!$B$14:$B$33,0))&amp;"",IFERROR(LOOKUP(2^15,SEARCH(Settings!$F$14:$F$43,L110)/(Settings!$F$14:$F$43&lt;&gt;""),Settings!$G$14:$G$43),"")))</f>
        <v/>
      </c>
      <c r="BS110">
        <f>IF(OR($B110="",M110=""),"",IFERROR(INDEX(Settings!$D$14:$D$33,MATCH(M110,Settings!$B$14:$B$33,0))&amp;"",IFERROR(LOOKUP(2^15,SEARCH(Settings!$F$14:$F$43,M110)/(Settings!$F$14:$F$43&lt;&gt;""),Settings!$G$14:$G$43),"")))</f>
        <v/>
      </c>
      <c r="BT110">
        <f>IF(OR($B110="",N110=""),"",IFERROR(INDEX(Settings!$D$14:$D$33,MATCH(N110,Settings!$B$14:$B$33,0))&amp;"",IFERROR(LOOKUP(2^15,SEARCH(Settings!$F$14:$F$43,N110)/(Settings!$F$14:$F$43&lt;&gt;""),Settings!$G$14:$G$43),"")))</f>
        <v/>
      </c>
      <c r="BU110">
        <f>IF(OR($B110="",O110=""),"",IFERROR(INDEX(Settings!$D$14:$D$33,MATCH(O110,Settings!$B$14:$B$33,0))&amp;"",IFERROR(LOOKUP(2^15,SEARCH(Settings!$F$14:$F$43,O110)/(Settings!$F$14:$F$43&lt;&gt;""),Settings!$G$14:$G$43),"")))</f>
        <v/>
      </c>
      <c r="BV110">
        <f>IF(OR($B110="",P110=""),"",IFERROR(INDEX(Settings!$D$14:$D$33,MATCH(P110,Settings!$B$14:$B$33,0))&amp;"",IFERROR(LOOKUP(2^15,SEARCH(Settings!$F$14:$F$43,P110)/(Settings!$F$14:$F$43&lt;&gt;""),Settings!$G$14:$G$43),"")))</f>
        <v/>
      </c>
      <c r="BW110">
        <f>IF(OR($B110="",Q110=""),"",IFERROR(INDEX(Settings!$D$14:$D$33,MATCH(Q110,Settings!$B$14:$B$33,0))&amp;"",IFERROR(LOOKUP(2^15,SEARCH(Settings!$F$14:$F$43,Q110)/(Settings!$F$14:$F$43&lt;&gt;""),Settings!$G$14:$G$43),"")))</f>
        <v/>
      </c>
      <c r="BX110">
        <f>IF(OR($B110="",R110=""),"",IFERROR(INDEX(Settings!$D$14:$D$33,MATCH(R110,Settings!$B$14:$B$33,0))&amp;"",IFERROR(LOOKUP(2^15,SEARCH(Settings!$F$14:$F$43,R110)/(Settings!$F$14:$F$43&lt;&gt;""),Settings!$G$14:$G$43),"")))</f>
        <v/>
      </c>
      <c r="BY110">
        <f>IF(OR($B110="",S110=""),"",IFERROR(INDEX(Settings!$D$14:$D$33,MATCH(S110,Settings!$B$14:$B$33,0))&amp;"",IFERROR(LOOKUP(2^15,SEARCH(Settings!$F$14:$F$43,S110)/(Settings!$F$14:$F$43&lt;&gt;""),Settings!$G$14:$G$43),"")))</f>
        <v/>
      </c>
      <c r="BZ110">
        <f>IF(OR($B110="",T110=""),"",IFERROR(INDEX(Settings!$D$14:$D$33,MATCH(T110,Settings!$B$14:$B$33,0))&amp;"",IFERROR(LOOKUP(2^15,SEARCH(Settings!$F$14:$F$43,T110)/(Settings!$F$14:$F$43&lt;&gt;""),Settings!$G$14:$G$43),"")))</f>
        <v/>
      </c>
      <c r="CA110">
        <f>IF(OR($B110="",U110=""),"",IFERROR(INDEX(Settings!$D$14:$D$33,MATCH(U110,Settings!$B$14:$B$33,0))&amp;"",IFERROR(LOOKUP(2^15,SEARCH(Settings!$F$14:$F$43,U110)/(Settings!$F$14:$F$43&lt;&gt;""),Settings!$G$14:$G$43),"")))</f>
        <v/>
      </c>
      <c r="CB110">
        <f>IF(OR($B110="",V110=""),"",IFERROR(INDEX(Settings!$D$14:$D$33,MATCH(V110,Settings!$B$14:$B$33,0))&amp;"",IFERROR(LOOKUP(2^15,SEARCH(Settings!$F$14:$F$43,V110)/(Settings!$F$14:$F$43&lt;&gt;""),Settings!$G$14:$G$43),"")))</f>
        <v/>
      </c>
      <c r="CC110">
        <f>IF(OR($B110="",W110=""),"",IFERROR(INDEX(Settings!$D$14:$D$33,MATCH(W110,Settings!$B$14:$B$33,0))&amp;"",IFERROR(LOOKUP(2^15,SEARCH(Settings!$F$14:$F$43,W110)/(Settings!$F$14:$F$43&lt;&gt;""),Settings!$G$14:$G$43),"")))</f>
        <v/>
      </c>
      <c r="CD110">
        <f>IF(OR($B110="",X110=""),"",IFERROR(INDEX(Settings!$D$14:$D$33,MATCH(X110,Settings!$B$14:$B$33,0))&amp;"",IFERROR(LOOKUP(2^15,SEARCH(Settings!$F$14:$F$43,X110)/(Settings!$F$14:$F$43&lt;&gt;""),Settings!$G$14:$G$43),"")))</f>
        <v/>
      </c>
      <c r="CE110">
        <f>IF(OR($B110="",Y110=""),"",IFERROR(INDEX(Settings!$D$14:$D$33,MATCH(Y110,Settings!$B$14:$B$33,0))&amp;"",IFERROR(LOOKUP(2^15,SEARCH(Settings!$F$14:$F$43,Y110)/(Settings!$F$14:$F$43&lt;&gt;""),Settings!$G$14:$G$43),"")))</f>
        <v/>
      </c>
      <c r="CF110">
        <f>IF(OR($B110="",Z110=""),"",IFERROR(INDEX(Settings!$D$14:$D$33,MATCH(Z110,Settings!$B$14:$B$33,0))&amp;"",IFERROR(LOOKUP(2^15,SEARCH(Settings!$F$14:$F$43,Z110)/(Settings!$F$14:$F$43&lt;&gt;""),Settings!$G$14:$G$43),"")))</f>
        <v/>
      </c>
      <c r="CG110">
        <f>IF(OR($B110="",AA110=""),"",IFERROR(INDEX(Settings!$D$14:$D$33,MATCH(AA110,Settings!$B$14:$B$33,0))&amp;"",IFERROR(LOOKUP(2^15,SEARCH(Settings!$F$14:$F$43,AA110)/(Settings!$F$14:$F$43&lt;&gt;""),Settings!$G$14:$G$43),"")))</f>
        <v/>
      </c>
      <c r="CH110">
        <f>IF(OR($B110="",AB110=""),"",IFERROR(INDEX(Settings!$D$14:$D$33,MATCH(AB110,Settings!$B$14:$B$33,0))&amp;"",IFERROR(LOOKUP(2^15,SEARCH(Settings!$F$14:$F$43,AB110)/(Settings!$F$14:$F$43&lt;&gt;""),Settings!$G$14:$G$43),"")))</f>
        <v/>
      </c>
      <c r="CI110">
        <f>IF(OR($B110="",AC110=""),"",IFERROR(INDEX(Settings!$D$14:$D$33,MATCH(AC110,Settings!$B$14:$B$33,0))&amp;"",IFERROR(LOOKUP(2^15,SEARCH(Settings!$F$14:$F$43,AC110)/(Settings!$F$14:$F$43&lt;&gt;""),Settings!$G$14:$G$43),"")))</f>
        <v/>
      </c>
      <c r="CJ110">
        <f>IF(OR($B110="",AD110=""),"",IFERROR(INDEX(Settings!$D$14:$D$33,MATCH(AD110,Settings!$B$14:$B$33,0))&amp;"",IFERROR(LOOKUP(2^15,SEARCH(Settings!$F$14:$F$43,AD110)/(Settings!$F$14:$F$43&lt;&gt;""),Settings!$G$14:$G$43),"")))</f>
        <v/>
      </c>
      <c r="CK110">
        <f>IF(OR($B110="",AE110=""),"",IFERROR(INDEX(Settings!$D$14:$D$33,MATCH(AE110,Settings!$B$14:$B$33,0))&amp;"",IFERROR(LOOKUP(2^15,SEARCH(Settings!$F$14:$F$43,AE110)/(Settings!$F$14:$F$43&lt;&gt;""),Settings!$G$14:$G$43),"")))</f>
        <v/>
      </c>
      <c r="CL110">
        <f>IF(OR($B110="",AF110=""),"",IFERROR(INDEX(Settings!$D$14:$D$33,MATCH(AF110,Settings!$B$14:$B$33,0))&amp;"",IFERROR(LOOKUP(2^15,SEARCH(Settings!$F$14:$F$43,AF110)/(Settings!$F$14:$F$43&lt;&gt;""),Settings!$G$14:$G$43),"")))</f>
        <v/>
      </c>
      <c r="CM110">
        <f>IF(OR($B110="",AG110=""),"",IFERROR(INDEX(Settings!$D$14:$D$33,MATCH(AG110,Settings!$B$14:$B$33,0))&amp;"",IFERROR(LOOKUP(2^15,SEARCH(Settings!$F$14:$F$43,AG110)/(Settings!$F$14:$F$43&lt;&gt;""),Settings!$G$14:$G$43),"")))</f>
        <v/>
      </c>
    </row>
    <row r="111">
      <c r="A111" t="n">
        <v>109</v>
      </c>
      <c r="B111">
        <f>IFERROR(INDEX(Index!$A$2:$A$202,MATCH(A111,Index!$E$2:$E$202,0)),"")</f>
        <v/>
      </c>
      <c r="D111">
        <f>IF($B111="","",IFERROR(MATCH("Travel*",AI111:BJ111,0),""))</f>
        <v/>
      </c>
      <c r="F111">
        <f>IF(OR($B111="",NOT(ISNUMBER(Settings!$C$9))),"",TRIM(SUBSTITUTE(SUBSTITUTE(INDEX('INPUT - Roster'!$S$1:$SV$206,$B111,Settings!$C$9+0)&amp;"",CHAR(10)," "),CHAR(160)," ")))</f>
        <v/>
      </c>
      <c r="G111">
        <f>IF(OR($B111="",NOT(ISNUMBER(Settings!$C$9))),"",TRIM(SUBSTITUTE(SUBSTITUTE(INDEX('INPUT - Roster'!$S$1:$SV$206,$B111,Settings!$C$9+1)&amp;"",CHAR(10)," "),CHAR(160)," ")))</f>
        <v/>
      </c>
      <c r="H111">
        <f>IF(OR($B111="",NOT(ISNUMBER(Settings!$C$9))),"",TRIM(SUBSTITUTE(SUBSTITUTE(INDEX('INPUT - Roster'!$S$1:$SV$206,$B111,Settings!$C$9+2)&amp;"",CHAR(10)," "),CHAR(160)," ")))</f>
        <v/>
      </c>
      <c r="I111">
        <f>IF(OR($B111="",NOT(ISNUMBER(Settings!$C$9))),"",TRIM(SUBSTITUTE(SUBSTITUTE(INDEX('INPUT - Roster'!$S$1:$SV$206,$B111,Settings!$C$9+3)&amp;"",CHAR(10)," "),CHAR(160)," ")))</f>
        <v/>
      </c>
      <c r="J111">
        <f>IF(OR($B111="",NOT(ISNUMBER(Settings!$C$9))),"",TRIM(SUBSTITUTE(SUBSTITUTE(INDEX('INPUT - Roster'!$S$1:$SV$206,$B111,Settings!$C$9+4)&amp;"",CHAR(10)," "),CHAR(160)," ")))</f>
        <v/>
      </c>
      <c r="K111">
        <f>IF(OR($B111="",NOT(ISNUMBER(Settings!$C$9))),"",TRIM(SUBSTITUTE(SUBSTITUTE(INDEX('INPUT - Roster'!$S$1:$SV$206,$B111,Settings!$C$9+5)&amp;"",CHAR(10)," "),CHAR(160)," ")))</f>
        <v/>
      </c>
      <c r="L111">
        <f>IF(OR($B111="",NOT(ISNUMBER(Settings!$C$9))),"",TRIM(SUBSTITUTE(SUBSTITUTE(INDEX('INPUT - Roster'!$S$1:$SV$206,$B111,Settings!$C$9+6)&amp;"",CHAR(10)," "),CHAR(160)," ")))</f>
        <v/>
      </c>
      <c r="M111">
        <f>IF(OR($B111="",NOT(ISNUMBER(Settings!$C$9))),"",TRIM(SUBSTITUTE(SUBSTITUTE(INDEX('INPUT - Roster'!$S$1:$SV$206,$B111,Settings!$C$9+7)&amp;"",CHAR(10)," "),CHAR(160)," ")))</f>
        <v/>
      </c>
      <c r="N111">
        <f>IF(OR($B111="",NOT(ISNUMBER(Settings!$C$9))),"",TRIM(SUBSTITUTE(SUBSTITUTE(INDEX('INPUT - Roster'!$S$1:$SV$206,$B111,Settings!$C$9+8)&amp;"",CHAR(10)," "),CHAR(160)," ")))</f>
        <v/>
      </c>
      <c r="O111">
        <f>IF(OR($B111="",NOT(ISNUMBER(Settings!$C$9))),"",TRIM(SUBSTITUTE(SUBSTITUTE(INDEX('INPUT - Roster'!$S$1:$SV$206,$B111,Settings!$C$9+9)&amp;"",CHAR(10)," "),CHAR(160)," ")))</f>
        <v/>
      </c>
      <c r="P111">
        <f>IF(OR($B111="",NOT(ISNUMBER(Settings!$C$9))),"",TRIM(SUBSTITUTE(SUBSTITUTE(INDEX('INPUT - Roster'!$S$1:$SV$206,$B111,Settings!$C$9+10)&amp;"",CHAR(10)," "),CHAR(160)," ")))</f>
        <v/>
      </c>
      <c r="Q111">
        <f>IF(OR($B111="",NOT(ISNUMBER(Settings!$C$9))),"",TRIM(SUBSTITUTE(SUBSTITUTE(INDEX('INPUT - Roster'!$S$1:$SV$206,$B111,Settings!$C$9+11)&amp;"",CHAR(10)," "),CHAR(160)," ")))</f>
        <v/>
      </c>
      <c r="R111">
        <f>IF(OR($B111="",NOT(ISNUMBER(Settings!$C$9))),"",TRIM(SUBSTITUTE(SUBSTITUTE(INDEX('INPUT - Roster'!$S$1:$SV$206,$B111,Settings!$C$9+12)&amp;"",CHAR(10)," "),CHAR(160)," ")))</f>
        <v/>
      </c>
      <c r="S111">
        <f>IF(OR($B111="",NOT(ISNUMBER(Settings!$C$9))),"",TRIM(SUBSTITUTE(SUBSTITUTE(INDEX('INPUT - Roster'!$S$1:$SV$206,$B111,Settings!$C$9+13)&amp;"",CHAR(10)," "),CHAR(160)," ")))</f>
        <v/>
      </c>
      <c r="T111">
        <f>IF(OR($B111="",NOT(ISNUMBER(Settings!$C$9))),"",TRIM(SUBSTITUTE(SUBSTITUTE(INDEX('INPUT - Roster'!$S$1:$SV$206,$B111,Settings!$C$9+14)&amp;"",CHAR(10)," "),CHAR(160)," ")))</f>
        <v/>
      </c>
      <c r="U111">
        <f>IF(OR($B111="",NOT(ISNUMBER(Settings!$C$9))),"",TRIM(SUBSTITUTE(SUBSTITUTE(INDEX('INPUT - Roster'!$S$1:$SV$206,$B111,Settings!$C$9+15)&amp;"",CHAR(10)," "),CHAR(160)," ")))</f>
        <v/>
      </c>
      <c r="V111">
        <f>IF(OR($B111="",NOT(ISNUMBER(Settings!$C$9))),"",TRIM(SUBSTITUTE(SUBSTITUTE(INDEX('INPUT - Roster'!$S$1:$SV$206,$B111,Settings!$C$9+16)&amp;"",CHAR(10)," "),CHAR(160)," ")))</f>
        <v/>
      </c>
      <c r="W111">
        <f>IF(OR($B111="",NOT(ISNUMBER(Settings!$C$9))),"",TRIM(SUBSTITUTE(SUBSTITUTE(INDEX('INPUT - Roster'!$S$1:$SV$206,$B111,Settings!$C$9+17)&amp;"",CHAR(10)," "),CHAR(160)," ")))</f>
        <v/>
      </c>
      <c r="X111">
        <f>IF(OR($B111="",NOT(ISNUMBER(Settings!$C$9))),"",TRIM(SUBSTITUTE(SUBSTITUTE(INDEX('INPUT - Roster'!$S$1:$SV$206,$B111,Settings!$C$9+18)&amp;"",CHAR(10)," "),CHAR(160)," ")))</f>
        <v/>
      </c>
      <c r="Y111">
        <f>IF(OR($B111="",NOT(ISNUMBER(Settings!$C$9))),"",TRIM(SUBSTITUTE(SUBSTITUTE(INDEX('INPUT - Roster'!$S$1:$SV$206,$B111,Settings!$C$9+19)&amp;"",CHAR(10)," "),CHAR(160)," ")))</f>
        <v/>
      </c>
      <c r="Z111">
        <f>IF(OR($B111="",NOT(ISNUMBER(Settings!$C$9))),"",TRIM(SUBSTITUTE(SUBSTITUTE(INDEX('INPUT - Roster'!$S$1:$SV$206,$B111,Settings!$C$9+20)&amp;"",CHAR(10)," "),CHAR(160)," ")))</f>
        <v/>
      </c>
      <c r="AA111">
        <f>IF(OR($B111="",NOT(ISNUMBER(Settings!$C$9))),"",TRIM(SUBSTITUTE(SUBSTITUTE(INDEX('INPUT - Roster'!$S$1:$SV$206,$B111,Settings!$C$9+21)&amp;"",CHAR(10)," "),CHAR(160)," ")))</f>
        <v/>
      </c>
      <c r="AB111">
        <f>IF(OR($B111="",NOT(ISNUMBER(Settings!$C$9))),"",TRIM(SUBSTITUTE(SUBSTITUTE(INDEX('INPUT - Roster'!$S$1:$SV$206,$B111,Settings!$C$9+22)&amp;"",CHAR(10)," "),CHAR(160)," ")))</f>
        <v/>
      </c>
      <c r="AC111">
        <f>IF(OR($B111="",NOT(ISNUMBER(Settings!$C$9))),"",TRIM(SUBSTITUTE(SUBSTITUTE(INDEX('INPUT - Roster'!$S$1:$SV$206,$B111,Settings!$C$9+23)&amp;"",CHAR(10)," "),CHAR(160)," ")))</f>
        <v/>
      </c>
      <c r="AD111">
        <f>IF(OR($B111="",NOT(ISNUMBER(Settings!$C$9))),"",TRIM(SUBSTITUTE(SUBSTITUTE(INDEX('INPUT - Roster'!$S$1:$SV$206,$B111,Settings!$C$9+24)&amp;"",CHAR(10)," "),CHAR(160)," ")))</f>
        <v/>
      </c>
      <c r="AE111">
        <f>IF(OR($B111="",NOT(ISNUMBER(Settings!$C$9))),"",TRIM(SUBSTITUTE(SUBSTITUTE(INDEX('INPUT - Roster'!$S$1:$SV$206,$B111,Settings!$C$9+25)&amp;"",CHAR(10)," "),CHAR(160)," ")))</f>
        <v/>
      </c>
      <c r="AF111">
        <f>IF(OR($B111="",NOT(ISNUMBER(Settings!$C$9))),"",TRIM(SUBSTITUTE(SUBSTITUTE(INDEX('INPUT - Roster'!$S$1:$SV$206,$B111,Settings!$C$9+26)&amp;"",CHAR(10)," "),CHAR(160)," ")))</f>
        <v/>
      </c>
      <c r="AG111">
        <f>IF(OR($B111="",NOT(ISNUMBER(Settings!$C$9))),"",TRIM(SUBSTITUTE(SUBSTITUTE(INDEX('INPUT - Roster'!$S$1:$SV$206,$B111,Settings!$C$9+27)&amp;"",CHAR(10)," "),CHAR(160)," ")))</f>
        <v/>
      </c>
      <c r="AI111">
        <f>IF($B111="","",IF(F111="","Not rostered",IFERROR(INDEX(Settings!$C$14:$C$33,MATCH(F111,Settings!$B$14:$B$33,0)),IFERROR(LOOKUP(2^15,SEARCH(Settings!$I$14:$I$83,F111)/(Settings!$I$14:$I$83&lt;&gt;""),Settings!$J$14:$J$83),"Other"))))</f>
        <v/>
      </c>
      <c r="AJ111">
        <f>IF($B111="","",IF(G111="","Not rostered",IFERROR(INDEX(Settings!$C$14:$C$33,MATCH(G111,Settings!$B$14:$B$33,0)),IFERROR(LOOKUP(2^15,SEARCH(Settings!$I$14:$I$83,G111)/(Settings!$I$14:$I$83&lt;&gt;""),Settings!$J$14:$J$83),"Other"))))</f>
        <v/>
      </c>
      <c r="AK111">
        <f>IF($B111="","",IF(H111="","Not rostered",IFERROR(INDEX(Settings!$C$14:$C$33,MATCH(H111,Settings!$B$14:$B$33,0)),IFERROR(LOOKUP(2^15,SEARCH(Settings!$I$14:$I$83,H111)/(Settings!$I$14:$I$83&lt;&gt;""),Settings!$J$14:$J$83),"Other"))))</f>
        <v/>
      </c>
      <c r="AL111">
        <f>IF($B111="","",IF(I111="","Not rostered",IFERROR(INDEX(Settings!$C$14:$C$33,MATCH(I111,Settings!$B$14:$B$33,0)),IFERROR(LOOKUP(2^15,SEARCH(Settings!$I$14:$I$83,I111)/(Settings!$I$14:$I$83&lt;&gt;""),Settings!$J$14:$J$83),"Other"))))</f>
        <v/>
      </c>
      <c r="AM111">
        <f>IF($B111="","",IF(J111="","Not rostered",IFERROR(INDEX(Settings!$C$14:$C$33,MATCH(J111,Settings!$B$14:$B$33,0)),IFERROR(LOOKUP(2^15,SEARCH(Settings!$I$14:$I$83,J111)/(Settings!$I$14:$I$83&lt;&gt;""),Settings!$J$14:$J$83),"Other"))))</f>
        <v/>
      </c>
      <c r="AN111">
        <f>IF($B111="","",IF(K111="","Not rostered",IFERROR(INDEX(Settings!$C$14:$C$33,MATCH(K111,Settings!$B$14:$B$33,0)),IFERROR(LOOKUP(2^15,SEARCH(Settings!$I$14:$I$83,K111)/(Settings!$I$14:$I$83&lt;&gt;""),Settings!$J$14:$J$83),"Other"))))</f>
        <v/>
      </c>
      <c r="AO111">
        <f>IF($B111="","",IF(L111="","Not rostered",IFERROR(INDEX(Settings!$C$14:$C$33,MATCH(L111,Settings!$B$14:$B$33,0)),IFERROR(LOOKUP(2^15,SEARCH(Settings!$I$14:$I$83,L111)/(Settings!$I$14:$I$83&lt;&gt;""),Settings!$J$14:$J$83),"Other"))))</f>
        <v/>
      </c>
      <c r="AP111">
        <f>IF($B111="","",IF(M111="","Not rostered",IFERROR(INDEX(Settings!$C$14:$C$33,MATCH(M111,Settings!$B$14:$B$33,0)),IFERROR(LOOKUP(2^15,SEARCH(Settings!$I$14:$I$83,M111)/(Settings!$I$14:$I$83&lt;&gt;""),Settings!$J$14:$J$83),"Other"))))</f>
        <v/>
      </c>
      <c r="AQ111">
        <f>IF($B111="","",IF(N111="","Not rostered",IFERROR(INDEX(Settings!$C$14:$C$33,MATCH(N111,Settings!$B$14:$B$33,0)),IFERROR(LOOKUP(2^15,SEARCH(Settings!$I$14:$I$83,N111)/(Settings!$I$14:$I$83&lt;&gt;""),Settings!$J$14:$J$83),"Other"))))</f>
        <v/>
      </c>
      <c r="AR111">
        <f>IF($B111="","",IF(O111="","Not rostered",IFERROR(INDEX(Settings!$C$14:$C$33,MATCH(O111,Settings!$B$14:$B$33,0)),IFERROR(LOOKUP(2^15,SEARCH(Settings!$I$14:$I$83,O111)/(Settings!$I$14:$I$83&lt;&gt;""),Settings!$J$14:$J$83),"Other"))))</f>
        <v/>
      </c>
      <c r="AS111">
        <f>IF($B111="","",IF(P111="","Not rostered",IFERROR(INDEX(Settings!$C$14:$C$33,MATCH(P111,Settings!$B$14:$B$33,0)),IFERROR(LOOKUP(2^15,SEARCH(Settings!$I$14:$I$83,P111)/(Settings!$I$14:$I$83&lt;&gt;""),Settings!$J$14:$J$83),"Other"))))</f>
        <v/>
      </c>
      <c r="AT111">
        <f>IF($B111="","",IF(Q111="","Not rostered",IFERROR(INDEX(Settings!$C$14:$C$33,MATCH(Q111,Settings!$B$14:$B$33,0)),IFERROR(LOOKUP(2^15,SEARCH(Settings!$I$14:$I$83,Q111)/(Settings!$I$14:$I$83&lt;&gt;""),Settings!$J$14:$J$83),"Other"))))</f>
        <v/>
      </c>
      <c r="AU111">
        <f>IF($B111="","",IF(R111="","Not rostered",IFERROR(INDEX(Settings!$C$14:$C$33,MATCH(R111,Settings!$B$14:$B$33,0)),IFERROR(LOOKUP(2^15,SEARCH(Settings!$I$14:$I$83,R111)/(Settings!$I$14:$I$83&lt;&gt;""),Settings!$J$14:$J$83),"Other"))))</f>
        <v/>
      </c>
      <c r="AV111">
        <f>IF($B111="","",IF(S111="","Not rostered",IFERROR(INDEX(Settings!$C$14:$C$33,MATCH(S111,Settings!$B$14:$B$33,0)),IFERROR(LOOKUP(2^15,SEARCH(Settings!$I$14:$I$83,S111)/(Settings!$I$14:$I$83&lt;&gt;""),Settings!$J$14:$J$83),"Other"))))</f>
        <v/>
      </c>
      <c r="AW111">
        <f>IF($B111="","",IF(T111="","Not rostered",IFERROR(INDEX(Settings!$C$14:$C$33,MATCH(T111,Settings!$B$14:$B$33,0)),IFERROR(LOOKUP(2^15,SEARCH(Settings!$I$14:$I$83,T111)/(Settings!$I$14:$I$83&lt;&gt;""),Settings!$J$14:$J$83),"Other"))))</f>
        <v/>
      </c>
      <c r="AX111">
        <f>IF($B111="","",IF(U111="","Not rostered",IFERROR(INDEX(Settings!$C$14:$C$33,MATCH(U111,Settings!$B$14:$B$33,0)),IFERROR(LOOKUP(2^15,SEARCH(Settings!$I$14:$I$83,U111)/(Settings!$I$14:$I$83&lt;&gt;""),Settings!$J$14:$J$83),"Other"))))</f>
        <v/>
      </c>
      <c r="AY111">
        <f>IF($B111="","",IF(V111="","Not rostered",IFERROR(INDEX(Settings!$C$14:$C$33,MATCH(V111,Settings!$B$14:$B$33,0)),IFERROR(LOOKUP(2^15,SEARCH(Settings!$I$14:$I$83,V111)/(Settings!$I$14:$I$83&lt;&gt;""),Settings!$J$14:$J$83),"Other"))))</f>
        <v/>
      </c>
      <c r="AZ111">
        <f>IF($B111="","",IF(W111="","Not rostered",IFERROR(INDEX(Settings!$C$14:$C$33,MATCH(W111,Settings!$B$14:$B$33,0)),IFERROR(LOOKUP(2^15,SEARCH(Settings!$I$14:$I$83,W111)/(Settings!$I$14:$I$83&lt;&gt;""),Settings!$J$14:$J$83),"Other"))))</f>
        <v/>
      </c>
      <c r="BA111">
        <f>IF($B111="","",IF(X111="","Not rostered",IFERROR(INDEX(Settings!$C$14:$C$33,MATCH(X111,Settings!$B$14:$B$33,0)),IFERROR(LOOKUP(2^15,SEARCH(Settings!$I$14:$I$83,X111)/(Settings!$I$14:$I$83&lt;&gt;""),Settings!$J$14:$J$83),"Other"))))</f>
        <v/>
      </c>
      <c r="BB111">
        <f>IF($B111="","",IF(Y111="","Not rostered",IFERROR(INDEX(Settings!$C$14:$C$33,MATCH(Y111,Settings!$B$14:$B$33,0)),IFERROR(LOOKUP(2^15,SEARCH(Settings!$I$14:$I$83,Y111)/(Settings!$I$14:$I$83&lt;&gt;""),Settings!$J$14:$J$83),"Other"))))</f>
        <v/>
      </c>
      <c r="BC111">
        <f>IF($B111="","",IF(Z111="","Not rostered",IFERROR(INDEX(Settings!$C$14:$C$33,MATCH(Z111,Settings!$B$14:$B$33,0)),IFERROR(LOOKUP(2^15,SEARCH(Settings!$I$14:$I$83,Z111)/(Settings!$I$14:$I$83&lt;&gt;""),Settings!$J$14:$J$83),"Other"))))</f>
        <v/>
      </c>
      <c r="BD111">
        <f>IF($B111="","",IF(AA111="","Not rostered",IFERROR(INDEX(Settings!$C$14:$C$33,MATCH(AA111,Settings!$B$14:$B$33,0)),IFERROR(LOOKUP(2^15,SEARCH(Settings!$I$14:$I$83,AA111)/(Settings!$I$14:$I$83&lt;&gt;""),Settings!$J$14:$J$83),"Other"))))</f>
        <v/>
      </c>
      <c r="BE111">
        <f>IF($B111="","",IF(AB111="","Not rostered",IFERROR(INDEX(Settings!$C$14:$C$33,MATCH(AB111,Settings!$B$14:$B$33,0)),IFERROR(LOOKUP(2^15,SEARCH(Settings!$I$14:$I$83,AB111)/(Settings!$I$14:$I$83&lt;&gt;""),Settings!$J$14:$J$83),"Other"))))</f>
        <v/>
      </c>
      <c r="BF111">
        <f>IF($B111="","",IF(AC111="","Not rostered",IFERROR(INDEX(Settings!$C$14:$C$33,MATCH(AC111,Settings!$B$14:$B$33,0)),IFERROR(LOOKUP(2^15,SEARCH(Settings!$I$14:$I$83,AC111)/(Settings!$I$14:$I$83&lt;&gt;""),Settings!$J$14:$J$83),"Other"))))</f>
        <v/>
      </c>
      <c r="BG111">
        <f>IF($B111="","",IF(AD111="","Not rostered",IFERROR(INDEX(Settings!$C$14:$C$33,MATCH(AD111,Settings!$B$14:$B$33,0)),IFERROR(LOOKUP(2^15,SEARCH(Settings!$I$14:$I$83,AD111)/(Settings!$I$14:$I$83&lt;&gt;""),Settings!$J$14:$J$83),"Other"))))</f>
        <v/>
      </c>
      <c r="BH111">
        <f>IF($B111="","",IF(AE111="","Not rostered",IFERROR(INDEX(Settings!$C$14:$C$33,MATCH(AE111,Settings!$B$14:$B$33,0)),IFERROR(LOOKUP(2^15,SEARCH(Settings!$I$14:$I$83,AE111)/(Settings!$I$14:$I$83&lt;&gt;""),Settings!$J$14:$J$83),"Other"))))</f>
        <v/>
      </c>
      <c r="BI111">
        <f>IF($B111="","",IF(AF111="","Not rostered",IFERROR(INDEX(Settings!$C$14:$C$33,MATCH(AF111,Settings!$B$14:$B$33,0)),IFERROR(LOOKUP(2^15,SEARCH(Settings!$I$14:$I$83,AF111)/(Settings!$I$14:$I$83&lt;&gt;""),Settings!$J$14:$J$83),"Other"))))</f>
        <v/>
      </c>
      <c r="BJ111">
        <f>IF($B111="","",IF(AG111="","Not rostered",IFERROR(INDEX(Settings!$C$14:$C$33,MATCH(AG111,Settings!$B$14:$B$33,0)),IFERROR(LOOKUP(2^15,SEARCH(Settings!$I$14:$I$83,AG111)/(Settings!$I$14:$I$83&lt;&gt;""),Settings!$J$14:$J$83),"Other"))))</f>
        <v/>
      </c>
      <c r="BL111">
        <f>IF(OR($B111="",F111=""),"",IFERROR(INDEX(Settings!$D$14:$D$33,MATCH(F111,Settings!$B$14:$B$33,0))&amp;"",IFERROR(LOOKUP(2^15,SEARCH(Settings!$F$14:$F$43,F111)/(Settings!$F$14:$F$43&lt;&gt;""),Settings!$G$14:$G$43),"")))</f>
        <v/>
      </c>
      <c r="BM111">
        <f>IF(OR($B111="",G111=""),"",IFERROR(INDEX(Settings!$D$14:$D$33,MATCH(G111,Settings!$B$14:$B$33,0))&amp;"",IFERROR(LOOKUP(2^15,SEARCH(Settings!$F$14:$F$43,G111)/(Settings!$F$14:$F$43&lt;&gt;""),Settings!$G$14:$G$43),"")))</f>
        <v/>
      </c>
      <c r="BN111">
        <f>IF(OR($B111="",H111=""),"",IFERROR(INDEX(Settings!$D$14:$D$33,MATCH(H111,Settings!$B$14:$B$33,0))&amp;"",IFERROR(LOOKUP(2^15,SEARCH(Settings!$F$14:$F$43,H111)/(Settings!$F$14:$F$43&lt;&gt;""),Settings!$G$14:$G$43),"")))</f>
        <v/>
      </c>
      <c r="BO111">
        <f>IF(OR($B111="",I111=""),"",IFERROR(INDEX(Settings!$D$14:$D$33,MATCH(I111,Settings!$B$14:$B$33,0))&amp;"",IFERROR(LOOKUP(2^15,SEARCH(Settings!$F$14:$F$43,I111)/(Settings!$F$14:$F$43&lt;&gt;""),Settings!$G$14:$G$43),"")))</f>
        <v/>
      </c>
      <c r="BP111">
        <f>IF(OR($B111="",J111=""),"",IFERROR(INDEX(Settings!$D$14:$D$33,MATCH(J111,Settings!$B$14:$B$33,0))&amp;"",IFERROR(LOOKUP(2^15,SEARCH(Settings!$F$14:$F$43,J111)/(Settings!$F$14:$F$43&lt;&gt;""),Settings!$G$14:$G$43),"")))</f>
        <v/>
      </c>
      <c r="BQ111">
        <f>IF(OR($B111="",K111=""),"",IFERROR(INDEX(Settings!$D$14:$D$33,MATCH(K111,Settings!$B$14:$B$33,0))&amp;"",IFERROR(LOOKUP(2^15,SEARCH(Settings!$F$14:$F$43,K111)/(Settings!$F$14:$F$43&lt;&gt;""),Settings!$G$14:$G$43),"")))</f>
        <v/>
      </c>
      <c r="BR111">
        <f>IF(OR($B111="",L111=""),"",IFERROR(INDEX(Settings!$D$14:$D$33,MATCH(L111,Settings!$B$14:$B$33,0))&amp;"",IFERROR(LOOKUP(2^15,SEARCH(Settings!$F$14:$F$43,L111)/(Settings!$F$14:$F$43&lt;&gt;""),Settings!$G$14:$G$43),"")))</f>
        <v/>
      </c>
      <c r="BS111">
        <f>IF(OR($B111="",M111=""),"",IFERROR(INDEX(Settings!$D$14:$D$33,MATCH(M111,Settings!$B$14:$B$33,0))&amp;"",IFERROR(LOOKUP(2^15,SEARCH(Settings!$F$14:$F$43,M111)/(Settings!$F$14:$F$43&lt;&gt;""),Settings!$G$14:$G$43),"")))</f>
        <v/>
      </c>
      <c r="BT111">
        <f>IF(OR($B111="",N111=""),"",IFERROR(INDEX(Settings!$D$14:$D$33,MATCH(N111,Settings!$B$14:$B$33,0))&amp;"",IFERROR(LOOKUP(2^15,SEARCH(Settings!$F$14:$F$43,N111)/(Settings!$F$14:$F$43&lt;&gt;""),Settings!$G$14:$G$43),"")))</f>
        <v/>
      </c>
      <c r="BU111">
        <f>IF(OR($B111="",O111=""),"",IFERROR(INDEX(Settings!$D$14:$D$33,MATCH(O111,Settings!$B$14:$B$33,0))&amp;"",IFERROR(LOOKUP(2^15,SEARCH(Settings!$F$14:$F$43,O111)/(Settings!$F$14:$F$43&lt;&gt;""),Settings!$G$14:$G$43),"")))</f>
        <v/>
      </c>
      <c r="BV111">
        <f>IF(OR($B111="",P111=""),"",IFERROR(INDEX(Settings!$D$14:$D$33,MATCH(P111,Settings!$B$14:$B$33,0))&amp;"",IFERROR(LOOKUP(2^15,SEARCH(Settings!$F$14:$F$43,P111)/(Settings!$F$14:$F$43&lt;&gt;""),Settings!$G$14:$G$43),"")))</f>
        <v/>
      </c>
      <c r="BW111">
        <f>IF(OR($B111="",Q111=""),"",IFERROR(INDEX(Settings!$D$14:$D$33,MATCH(Q111,Settings!$B$14:$B$33,0))&amp;"",IFERROR(LOOKUP(2^15,SEARCH(Settings!$F$14:$F$43,Q111)/(Settings!$F$14:$F$43&lt;&gt;""),Settings!$G$14:$G$43),"")))</f>
        <v/>
      </c>
      <c r="BX111">
        <f>IF(OR($B111="",R111=""),"",IFERROR(INDEX(Settings!$D$14:$D$33,MATCH(R111,Settings!$B$14:$B$33,0))&amp;"",IFERROR(LOOKUP(2^15,SEARCH(Settings!$F$14:$F$43,R111)/(Settings!$F$14:$F$43&lt;&gt;""),Settings!$G$14:$G$43),"")))</f>
        <v/>
      </c>
      <c r="BY111">
        <f>IF(OR($B111="",S111=""),"",IFERROR(INDEX(Settings!$D$14:$D$33,MATCH(S111,Settings!$B$14:$B$33,0))&amp;"",IFERROR(LOOKUP(2^15,SEARCH(Settings!$F$14:$F$43,S111)/(Settings!$F$14:$F$43&lt;&gt;""),Settings!$G$14:$G$43),"")))</f>
        <v/>
      </c>
      <c r="BZ111">
        <f>IF(OR($B111="",T111=""),"",IFERROR(INDEX(Settings!$D$14:$D$33,MATCH(T111,Settings!$B$14:$B$33,0))&amp;"",IFERROR(LOOKUP(2^15,SEARCH(Settings!$F$14:$F$43,T111)/(Settings!$F$14:$F$43&lt;&gt;""),Settings!$G$14:$G$43),"")))</f>
        <v/>
      </c>
      <c r="CA111">
        <f>IF(OR($B111="",U111=""),"",IFERROR(INDEX(Settings!$D$14:$D$33,MATCH(U111,Settings!$B$14:$B$33,0))&amp;"",IFERROR(LOOKUP(2^15,SEARCH(Settings!$F$14:$F$43,U111)/(Settings!$F$14:$F$43&lt;&gt;""),Settings!$G$14:$G$43),"")))</f>
        <v/>
      </c>
      <c r="CB111">
        <f>IF(OR($B111="",V111=""),"",IFERROR(INDEX(Settings!$D$14:$D$33,MATCH(V111,Settings!$B$14:$B$33,0))&amp;"",IFERROR(LOOKUP(2^15,SEARCH(Settings!$F$14:$F$43,V111)/(Settings!$F$14:$F$43&lt;&gt;""),Settings!$G$14:$G$43),"")))</f>
        <v/>
      </c>
      <c r="CC111">
        <f>IF(OR($B111="",W111=""),"",IFERROR(INDEX(Settings!$D$14:$D$33,MATCH(W111,Settings!$B$14:$B$33,0))&amp;"",IFERROR(LOOKUP(2^15,SEARCH(Settings!$F$14:$F$43,W111)/(Settings!$F$14:$F$43&lt;&gt;""),Settings!$G$14:$G$43),"")))</f>
        <v/>
      </c>
      <c r="CD111">
        <f>IF(OR($B111="",X111=""),"",IFERROR(INDEX(Settings!$D$14:$D$33,MATCH(X111,Settings!$B$14:$B$33,0))&amp;"",IFERROR(LOOKUP(2^15,SEARCH(Settings!$F$14:$F$43,X111)/(Settings!$F$14:$F$43&lt;&gt;""),Settings!$G$14:$G$43),"")))</f>
        <v/>
      </c>
      <c r="CE111">
        <f>IF(OR($B111="",Y111=""),"",IFERROR(INDEX(Settings!$D$14:$D$33,MATCH(Y111,Settings!$B$14:$B$33,0))&amp;"",IFERROR(LOOKUP(2^15,SEARCH(Settings!$F$14:$F$43,Y111)/(Settings!$F$14:$F$43&lt;&gt;""),Settings!$G$14:$G$43),"")))</f>
        <v/>
      </c>
      <c r="CF111">
        <f>IF(OR($B111="",Z111=""),"",IFERROR(INDEX(Settings!$D$14:$D$33,MATCH(Z111,Settings!$B$14:$B$33,0))&amp;"",IFERROR(LOOKUP(2^15,SEARCH(Settings!$F$14:$F$43,Z111)/(Settings!$F$14:$F$43&lt;&gt;""),Settings!$G$14:$G$43),"")))</f>
        <v/>
      </c>
      <c r="CG111">
        <f>IF(OR($B111="",AA111=""),"",IFERROR(INDEX(Settings!$D$14:$D$33,MATCH(AA111,Settings!$B$14:$B$33,0))&amp;"",IFERROR(LOOKUP(2^15,SEARCH(Settings!$F$14:$F$43,AA111)/(Settings!$F$14:$F$43&lt;&gt;""),Settings!$G$14:$G$43),"")))</f>
        <v/>
      </c>
      <c r="CH111">
        <f>IF(OR($B111="",AB111=""),"",IFERROR(INDEX(Settings!$D$14:$D$33,MATCH(AB111,Settings!$B$14:$B$33,0))&amp;"",IFERROR(LOOKUP(2^15,SEARCH(Settings!$F$14:$F$43,AB111)/(Settings!$F$14:$F$43&lt;&gt;""),Settings!$G$14:$G$43),"")))</f>
        <v/>
      </c>
      <c r="CI111">
        <f>IF(OR($B111="",AC111=""),"",IFERROR(INDEX(Settings!$D$14:$D$33,MATCH(AC111,Settings!$B$14:$B$33,0))&amp;"",IFERROR(LOOKUP(2^15,SEARCH(Settings!$F$14:$F$43,AC111)/(Settings!$F$14:$F$43&lt;&gt;""),Settings!$G$14:$G$43),"")))</f>
        <v/>
      </c>
      <c r="CJ111">
        <f>IF(OR($B111="",AD111=""),"",IFERROR(INDEX(Settings!$D$14:$D$33,MATCH(AD111,Settings!$B$14:$B$33,0))&amp;"",IFERROR(LOOKUP(2^15,SEARCH(Settings!$F$14:$F$43,AD111)/(Settings!$F$14:$F$43&lt;&gt;""),Settings!$G$14:$G$43),"")))</f>
        <v/>
      </c>
      <c r="CK111">
        <f>IF(OR($B111="",AE111=""),"",IFERROR(INDEX(Settings!$D$14:$D$33,MATCH(AE111,Settings!$B$14:$B$33,0))&amp;"",IFERROR(LOOKUP(2^15,SEARCH(Settings!$F$14:$F$43,AE111)/(Settings!$F$14:$F$43&lt;&gt;""),Settings!$G$14:$G$43),"")))</f>
        <v/>
      </c>
      <c r="CL111">
        <f>IF(OR($B111="",AF111=""),"",IFERROR(INDEX(Settings!$D$14:$D$33,MATCH(AF111,Settings!$B$14:$B$33,0))&amp;"",IFERROR(LOOKUP(2^15,SEARCH(Settings!$F$14:$F$43,AF111)/(Settings!$F$14:$F$43&lt;&gt;""),Settings!$G$14:$G$43),"")))</f>
        <v/>
      </c>
      <c r="CM111">
        <f>IF(OR($B111="",AG111=""),"",IFERROR(INDEX(Settings!$D$14:$D$33,MATCH(AG111,Settings!$B$14:$B$33,0))&amp;"",IFERROR(LOOKUP(2^15,SEARCH(Settings!$F$14:$F$43,AG111)/(Settings!$F$14:$F$43&lt;&gt;""),Settings!$G$14:$G$43),"")))</f>
        <v/>
      </c>
    </row>
    <row r="112">
      <c r="A112" t="n">
        <v>110</v>
      </c>
      <c r="B112">
        <f>IFERROR(INDEX(Index!$A$2:$A$202,MATCH(A112,Index!$E$2:$E$202,0)),"")</f>
        <v/>
      </c>
      <c r="D112">
        <f>IF($B112="","",IFERROR(MATCH("Travel*",AI112:BJ112,0),""))</f>
        <v/>
      </c>
      <c r="F112">
        <f>IF(OR($B112="",NOT(ISNUMBER(Settings!$C$9))),"",TRIM(SUBSTITUTE(SUBSTITUTE(INDEX('INPUT - Roster'!$S$1:$SV$206,$B112,Settings!$C$9+0)&amp;"",CHAR(10)," "),CHAR(160)," ")))</f>
        <v/>
      </c>
      <c r="G112">
        <f>IF(OR($B112="",NOT(ISNUMBER(Settings!$C$9))),"",TRIM(SUBSTITUTE(SUBSTITUTE(INDEX('INPUT - Roster'!$S$1:$SV$206,$B112,Settings!$C$9+1)&amp;"",CHAR(10)," "),CHAR(160)," ")))</f>
        <v/>
      </c>
      <c r="H112">
        <f>IF(OR($B112="",NOT(ISNUMBER(Settings!$C$9))),"",TRIM(SUBSTITUTE(SUBSTITUTE(INDEX('INPUT - Roster'!$S$1:$SV$206,$B112,Settings!$C$9+2)&amp;"",CHAR(10)," "),CHAR(160)," ")))</f>
        <v/>
      </c>
      <c r="I112">
        <f>IF(OR($B112="",NOT(ISNUMBER(Settings!$C$9))),"",TRIM(SUBSTITUTE(SUBSTITUTE(INDEX('INPUT - Roster'!$S$1:$SV$206,$B112,Settings!$C$9+3)&amp;"",CHAR(10)," "),CHAR(160)," ")))</f>
        <v/>
      </c>
      <c r="J112">
        <f>IF(OR($B112="",NOT(ISNUMBER(Settings!$C$9))),"",TRIM(SUBSTITUTE(SUBSTITUTE(INDEX('INPUT - Roster'!$S$1:$SV$206,$B112,Settings!$C$9+4)&amp;"",CHAR(10)," "),CHAR(160)," ")))</f>
        <v/>
      </c>
      <c r="K112">
        <f>IF(OR($B112="",NOT(ISNUMBER(Settings!$C$9))),"",TRIM(SUBSTITUTE(SUBSTITUTE(INDEX('INPUT - Roster'!$S$1:$SV$206,$B112,Settings!$C$9+5)&amp;"",CHAR(10)," "),CHAR(160)," ")))</f>
        <v/>
      </c>
      <c r="L112">
        <f>IF(OR($B112="",NOT(ISNUMBER(Settings!$C$9))),"",TRIM(SUBSTITUTE(SUBSTITUTE(INDEX('INPUT - Roster'!$S$1:$SV$206,$B112,Settings!$C$9+6)&amp;"",CHAR(10)," "),CHAR(160)," ")))</f>
        <v/>
      </c>
      <c r="M112">
        <f>IF(OR($B112="",NOT(ISNUMBER(Settings!$C$9))),"",TRIM(SUBSTITUTE(SUBSTITUTE(INDEX('INPUT - Roster'!$S$1:$SV$206,$B112,Settings!$C$9+7)&amp;"",CHAR(10)," "),CHAR(160)," ")))</f>
        <v/>
      </c>
      <c r="N112">
        <f>IF(OR($B112="",NOT(ISNUMBER(Settings!$C$9))),"",TRIM(SUBSTITUTE(SUBSTITUTE(INDEX('INPUT - Roster'!$S$1:$SV$206,$B112,Settings!$C$9+8)&amp;"",CHAR(10)," "),CHAR(160)," ")))</f>
        <v/>
      </c>
      <c r="O112">
        <f>IF(OR($B112="",NOT(ISNUMBER(Settings!$C$9))),"",TRIM(SUBSTITUTE(SUBSTITUTE(INDEX('INPUT - Roster'!$S$1:$SV$206,$B112,Settings!$C$9+9)&amp;"",CHAR(10)," "),CHAR(160)," ")))</f>
        <v/>
      </c>
      <c r="P112">
        <f>IF(OR($B112="",NOT(ISNUMBER(Settings!$C$9))),"",TRIM(SUBSTITUTE(SUBSTITUTE(INDEX('INPUT - Roster'!$S$1:$SV$206,$B112,Settings!$C$9+10)&amp;"",CHAR(10)," "),CHAR(160)," ")))</f>
        <v/>
      </c>
      <c r="Q112">
        <f>IF(OR($B112="",NOT(ISNUMBER(Settings!$C$9))),"",TRIM(SUBSTITUTE(SUBSTITUTE(INDEX('INPUT - Roster'!$S$1:$SV$206,$B112,Settings!$C$9+11)&amp;"",CHAR(10)," "),CHAR(160)," ")))</f>
        <v/>
      </c>
      <c r="R112">
        <f>IF(OR($B112="",NOT(ISNUMBER(Settings!$C$9))),"",TRIM(SUBSTITUTE(SUBSTITUTE(INDEX('INPUT - Roster'!$S$1:$SV$206,$B112,Settings!$C$9+12)&amp;"",CHAR(10)," "),CHAR(160)," ")))</f>
        <v/>
      </c>
      <c r="S112">
        <f>IF(OR($B112="",NOT(ISNUMBER(Settings!$C$9))),"",TRIM(SUBSTITUTE(SUBSTITUTE(INDEX('INPUT - Roster'!$S$1:$SV$206,$B112,Settings!$C$9+13)&amp;"",CHAR(10)," "),CHAR(160)," ")))</f>
        <v/>
      </c>
      <c r="T112">
        <f>IF(OR($B112="",NOT(ISNUMBER(Settings!$C$9))),"",TRIM(SUBSTITUTE(SUBSTITUTE(INDEX('INPUT - Roster'!$S$1:$SV$206,$B112,Settings!$C$9+14)&amp;"",CHAR(10)," "),CHAR(160)," ")))</f>
        <v/>
      </c>
      <c r="U112">
        <f>IF(OR($B112="",NOT(ISNUMBER(Settings!$C$9))),"",TRIM(SUBSTITUTE(SUBSTITUTE(INDEX('INPUT - Roster'!$S$1:$SV$206,$B112,Settings!$C$9+15)&amp;"",CHAR(10)," "),CHAR(160)," ")))</f>
        <v/>
      </c>
      <c r="V112">
        <f>IF(OR($B112="",NOT(ISNUMBER(Settings!$C$9))),"",TRIM(SUBSTITUTE(SUBSTITUTE(INDEX('INPUT - Roster'!$S$1:$SV$206,$B112,Settings!$C$9+16)&amp;"",CHAR(10)," "),CHAR(160)," ")))</f>
        <v/>
      </c>
      <c r="W112">
        <f>IF(OR($B112="",NOT(ISNUMBER(Settings!$C$9))),"",TRIM(SUBSTITUTE(SUBSTITUTE(INDEX('INPUT - Roster'!$S$1:$SV$206,$B112,Settings!$C$9+17)&amp;"",CHAR(10)," "),CHAR(160)," ")))</f>
        <v/>
      </c>
      <c r="X112">
        <f>IF(OR($B112="",NOT(ISNUMBER(Settings!$C$9))),"",TRIM(SUBSTITUTE(SUBSTITUTE(INDEX('INPUT - Roster'!$S$1:$SV$206,$B112,Settings!$C$9+18)&amp;"",CHAR(10)," "),CHAR(160)," ")))</f>
        <v/>
      </c>
      <c r="Y112">
        <f>IF(OR($B112="",NOT(ISNUMBER(Settings!$C$9))),"",TRIM(SUBSTITUTE(SUBSTITUTE(INDEX('INPUT - Roster'!$S$1:$SV$206,$B112,Settings!$C$9+19)&amp;"",CHAR(10)," "),CHAR(160)," ")))</f>
        <v/>
      </c>
      <c r="Z112">
        <f>IF(OR($B112="",NOT(ISNUMBER(Settings!$C$9))),"",TRIM(SUBSTITUTE(SUBSTITUTE(INDEX('INPUT - Roster'!$S$1:$SV$206,$B112,Settings!$C$9+20)&amp;"",CHAR(10)," "),CHAR(160)," ")))</f>
        <v/>
      </c>
      <c r="AA112">
        <f>IF(OR($B112="",NOT(ISNUMBER(Settings!$C$9))),"",TRIM(SUBSTITUTE(SUBSTITUTE(INDEX('INPUT - Roster'!$S$1:$SV$206,$B112,Settings!$C$9+21)&amp;"",CHAR(10)," "),CHAR(160)," ")))</f>
        <v/>
      </c>
      <c r="AB112">
        <f>IF(OR($B112="",NOT(ISNUMBER(Settings!$C$9))),"",TRIM(SUBSTITUTE(SUBSTITUTE(INDEX('INPUT - Roster'!$S$1:$SV$206,$B112,Settings!$C$9+22)&amp;"",CHAR(10)," "),CHAR(160)," ")))</f>
        <v/>
      </c>
      <c r="AC112">
        <f>IF(OR($B112="",NOT(ISNUMBER(Settings!$C$9))),"",TRIM(SUBSTITUTE(SUBSTITUTE(INDEX('INPUT - Roster'!$S$1:$SV$206,$B112,Settings!$C$9+23)&amp;"",CHAR(10)," "),CHAR(160)," ")))</f>
        <v/>
      </c>
      <c r="AD112">
        <f>IF(OR($B112="",NOT(ISNUMBER(Settings!$C$9))),"",TRIM(SUBSTITUTE(SUBSTITUTE(INDEX('INPUT - Roster'!$S$1:$SV$206,$B112,Settings!$C$9+24)&amp;"",CHAR(10)," "),CHAR(160)," ")))</f>
        <v/>
      </c>
      <c r="AE112">
        <f>IF(OR($B112="",NOT(ISNUMBER(Settings!$C$9))),"",TRIM(SUBSTITUTE(SUBSTITUTE(INDEX('INPUT - Roster'!$S$1:$SV$206,$B112,Settings!$C$9+25)&amp;"",CHAR(10)," "),CHAR(160)," ")))</f>
        <v/>
      </c>
      <c r="AF112">
        <f>IF(OR($B112="",NOT(ISNUMBER(Settings!$C$9))),"",TRIM(SUBSTITUTE(SUBSTITUTE(INDEX('INPUT - Roster'!$S$1:$SV$206,$B112,Settings!$C$9+26)&amp;"",CHAR(10)," "),CHAR(160)," ")))</f>
        <v/>
      </c>
      <c r="AG112">
        <f>IF(OR($B112="",NOT(ISNUMBER(Settings!$C$9))),"",TRIM(SUBSTITUTE(SUBSTITUTE(INDEX('INPUT - Roster'!$S$1:$SV$206,$B112,Settings!$C$9+27)&amp;"",CHAR(10)," "),CHAR(160)," ")))</f>
        <v/>
      </c>
      <c r="AI112">
        <f>IF($B112="","",IF(F112="","Not rostered",IFERROR(INDEX(Settings!$C$14:$C$33,MATCH(F112,Settings!$B$14:$B$33,0)),IFERROR(LOOKUP(2^15,SEARCH(Settings!$I$14:$I$83,F112)/(Settings!$I$14:$I$83&lt;&gt;""),Settings!$J$14:$J$83),"Other"))))</f>
        <v/>
      </c>
      <c r="AJ112">
        <f>IF($B112="","",IF(G112="","Not rostered",IFERROR(INDEX(Settings!$C$14:$C$33,MATCH(G112,Settings!$B$14:$B$33,0)),IFERROR(LOOKUP(2^15,SEARCH(Settings!$I$14:$I$83,G112)/(Settings!$I$14:$I$83&lt;&gt;""),Settings!$J$14:$J$83),"Other"))))</f>
        <v/>
      </c>
      <c r="AK112">
        <f>IF($B112="","",IF(H112="","Not rostered",IFERROR(INDEX(Settings!$C$14:$C$33,MATCH(H112,Settings!$B$14:$B$33,0)),IFERROR(LOOKUP(2^15,SEARCH(Settings!$I$14:$I$83,H112)/(Settings!$I$14:$I$83&lt;&gt;""),Settings!$J$14:$J$83),"Other"))))</f>
        <v/>
      </c>
      <c r="AL112">
        <f>IF($B112="","",IF(I112="","Not rostered",IFERROR(INDEX(Settings!$C$14:$C$33,MATCH(I112,Settings!$B$14:$B$33,0)),IFERROR(LOOKUP(2^15,SEARCH(Settings!$I$14:$I$83,I112)/(Settings!$I$14:$I$83&lt;&gt;""),Settings!$J$14:$J$83),"Other"))))</f>
        <v/>
      </c>
      <c r="AM112">
        <f>IF($B112="","",IF(J112="","Not rostered",IFERROR(INDEX(Settings!$C$14:$C$33,MATCH(J112,Settings!$B$14:$B$33,0)),IFERROR(LOOKUP(2^15,SEARCH(Settings!$I$14:$I$83,J112)/(Settings!$I$14:$I$83&lt;&gt;""),Settings!$J$14:$J$83),"Other"))))</f>
        <v/>
      </c>
      <c r="AN112">
        <f>IF($B112="","",IF(K112="","Not rostered",IFERROR(INDEX(Settings!$C$14:$C$33,MATCH(K112,Settings!$B$14:$B$33,0)),IFERROR(LOOKUP(2^15,SEARCH(Settings!$I$14:$I$83,K112)/(Settings!$I$14:$I$83&lt;&gt;""),Settings!$J$14:$J$83),"Other"))))</f>
        <v/>
      </c>
      <c r="AO112">
        <f>IF($B112="","",IF(L112="","Not rostered",IFERROR(INDEX(Settings!$C$14:$C$33,MATCH(L112,Settings!$B$14:$B$33,0)),IFERROR(LOOKUP(2^15,SEARCH(Settings!$I$14:$I$83,L112)/(Settings!$I$14:$I$83&lt;&gt;""),Settings!$J$14:$J$83),"Other"))))</f>
        <v/>
      </c>
      <c r="AP112">
        <f>IF($B112="","",IF(M112="","Not rostered",IFERROR(INDEX(Settings!$C$14:$C$33,MATCH(M112,Settings!$B$14:$B$33,0)),IFERROR(LOOKUP(2^15,SEARCH(Settings!$I$14:$I$83,M112)/(Settings!$I$14:$I$83&lt;&gt;""),Settings!$J$14:$J$83),"Other"))))</f>
        <v/>
      </c>
      <c r="AQ112">
        <f>IF($B112="","",IF(N112="","Not rostered",IFERROR(INDEX(Settings!$C$14:$C$33,MATCH(N112,Settings!$B$14:$B$33,0)),IFERROR(LOOKUP(2^15,SEARCH(Settings!$I$14:$I$83,N112)/(Settings!$I$14:$I$83&lt;&gt;""),Settings!$J$14:$J$83),"Other"))))</f>
        <v/>
      </c>
      <c r="AR112">
        <f>IF($B112="","",IF(O112="","Not rostered",IFERROR(INDEX(Settings!$C$14:$C$33,MATCH(O112,Settings!$B$14:$B$33,0)),IFERROR(LOOKUP(2^15,SEARCH(Settings!$I$14:$I$83,O112)/(Settings!$I$14:$I$83&lt;&gt;""),Settings!$J$14:$J$83),"Other"))))</f>
        <v/>
      </c>
      <c r="AS112">
        <f>IF($B112="","",IF(P112="","Not rostered",IFERROR(INDEX(Settings!$C$14:$C$33,MATCH(P112,Settings!$B$14:$B$33,0)),IFERROR(LOOKUP(2^15,SEARCH(Settings!$I$14:$I$83,P112)/(Settings!$I$14:$I$83&lt;&gt;""),Settings!$J$14:$J$83),"Other"))))</f>
        <v/>
      </c>
      <c r="AT112">
        <f>IF($B112="","",IF(Q112="","Not rostered",IFERROR(INDEX(Settings!$C$14:$C$33,MATCH(Q112,Settings!$B$14:$B$33,0)),IFERROR(LOOKUP(2^15,SEARCH(Settings!$I$14:$I$83,Q112)/(Settings!$I$14:$I$83&lt;&gt;""),Settings!$J$14:$J$83),"Other"))))</f>
        <v/>
      </c>
      <c r="AU112">
        <f>IF($B112="","",IF(R112="","Not rostered",IFERROR(INDEX(Settings!$C$14:$C$33,MATCH(R112,Settings!$B$14:$B$33,0)),IFERROR(LOOKUP(2^15,SEARCH(Settings!$I$14:$I$83,R112)/(Settings!$I$14:$I$83&lt;&gt;""),Settings!$J$14:$J$83),"Other"))))</f>
        <v/>
      </c>
      <c r="AV112">
        <f>IF($B112="","",IF(S112="","Not rostered",IFERROR(INDEX(Settings!$C$14:$C$33,MATCH(S112,Settings!$B$14:$B$33,0)),IFERROR(LOOKUP(2^15,SEARCH(Settings!$I$14:$I$83,S112)/(Settings!$I$14:$I$83&lt;&gt;""),Settings!$J$14:$J$83),"Other"))))</f>
        <v/>
      </c>
      <c r="AW112">
        <f>IF($B112="","",IF(T112="","Not rostered",IFERROR(INDEX(Settings!$C$14:$C$33,MATCH(T112,Settings!$B$14:$B$33,0)),IFERROR(LOOKUP(2^15,SEARCH(Settings!$I$14:$I$83,T112)/(Settings!$I$14:$I$83&lt;&gt;""),Settings!$J$14:$J$83),"Other"))))</f>
        <v/>
      </c>
      <c r="AX112">
        <f>IF($B112="","",IF(U112="","Not rostered",IFERROR(INDEX(Settings!$C$14:$C$33,MATCH(U112,Settings!$B$14:$B$33,0)),IFERROR(LOOKUP(2^15,SEARCH(Settings!$I$14:$I$83,U112)/(Settings!$I$14:$I$83&lt;&gt;""),Settings!$J$14:$J$83),"Other"))))</f>
        <v/>
      </c>
      <c r="AY112">
        <f>IF($B112="","",IF(V112="","Not rostered",IFERROR(INDEX(Settings!$C$14:$C$33,MATCH(V112,Settings!$B$14:$B$33,0)),IFERROR(LOOKUP(2^15,SEARCH(Settings!$I$14:$I$83,V112)/(Settings!$I$14:$I$83&lt;&gt;""),Settings!$J$14:$J$83),"Other"))))</f>
        <v/>
      </c>
      <c r="AZ112">
        <f>IF($B112="","",IF(W112="","Not rostered",IFERROR(INDEX(Settings!$C$14:$C$33,MATCH(W112,Settings!$B$14:$B$33,0)),IFERROR(LOOKUP(2^15,SEARCH(Settings!$I$14:$I$83,W112)/(Settings!$I$14:$I$83&lt;&gt;""),Settings!$J$14:$J$83),"Other"))))</f>
        <v/>
      </c>
      <c r="BA112">
        <f>IF($B112="","",IF(X112="","Not rostered",IFERROR(INDEX(Settings!$C$14:$C$33,MATCH(X112,Settings!$B$14:$B$33,0)),IFERROR(LOOKUP(2^15,SEARCH(Settings!$I$14:$I$83,X112)/(Settings!$I$14:$I$83&lt;&gt;""),Settings!$J$14:$J$83),"Other"))))</f>
        <v/>
      </c>
      <c r="BB112">
        <f>IF($B112="","",IF(Y112="","Not rostered",IFERROR(INDEX(Settings!$C$14:$C$33,MATCH(Y112,Settings!$B$14:$B$33,0)),IFERROR(LOOKUP(2^15,SEARCH(Settings!$I$14:$I$83,Y112)/(Settings!$I$14:$I$83&lt;&gt;""),Settings!$J$14:$J$83),"Other"))))</f>
        <v/>
      </c>
      <c r="BC112">
        <f>IF($B112="","",IF(Z112="","Not rostered",IFERROR(INDEX(Settings!$C$14:$C$33,MATCH(Z112,Settings!$B$14:$B$33,0)),IFERROR(LOOKUP(2^15,SEARCH(Settings!$I$14:$I$83,Z112)/(Settings!$I$14:$I$83&lt;&gt;""),Settings!$J$14:$J$83),"Other"))))</f>
        <v/>
      </c>
      <c r="BD112">
        <f>IF($B112="","",IF(AA112="","Not rostered",IFERROR(INDEX(Settings!$C$14:$C$33,MATCH(AA112,Settings!$B$14:$B$33,0)),IFERROR(LOOKUP(2^15,SEARCH(Settings!$I$14:$I$83,AA112)/(Settings!$I$14:$I$83&lt;&gt;""),Settings!$J$14:$J$83),"Other"))))</f>
        <v/>
      </c>
      <c r="BE112">
        <f>IF($B112="","",IF(AB112="","Not rostered",IFERROR(INDEX(Settings!$C$14:$C$33,MATCH(AB112,Settings!$B$14:$B$33,0)),IFERROR(LOOKUP(2^15,SEARCH(Settings!$I$14:$I$83,AB112)/(Settings!$I$14:$I$83&lt;&gt;""),Settings!$J$14:$J$83),"Other"))))</f>
        <v/>
      </c>
      <c r="BF112">
        <f>IF($B112="","",IF(AC112="","Not rostered",IFERROR(INDEX(Settings!$C$14:$C$33,MATCH(AC112,Settings!$B$14:$B$33,0)),IFERROR(LOOKUP(2^15,SEARCH(Settings!$I$14:$I$83,AC112)/(Settings!$I$14:$I$83&lt;&gt;""),Settings!$J$14:$J$83),"Other"))))</f>
        <v/>
      </c>
      <c r="BG112">
        <f>IF($B112="","",IF(AD112="","Not rostered",IFERROR(INDEX(Settings!$C$14:$C$33,MATCH(AD112,Settings!$B$14:$B$33,0)),IFERROR(LOOKUP(2^15,SEARCH(Settings!$I$14:$I$83,AD112)/(Settings!$I$14:$I$83&lt;&gt;""),Settings!$J$14:$J$83),"Other"))))</f>
        <v/>
      </c>
      <c r="BH112">
        <f>IF($B112="","",IF(AE112="","Not rostered",IFERROR(INDEX(Settings!$C$14:$C$33,MATCH(AE112,Settings!$B$14:$B$33,0)),IFERROR(LOOKUP(2^15,SEARCH(Settings!$I$14:$I$83,AE112)/(Settings!$I$14:$I$83&lt;&gt;""),Settings!$J$14:$J$83),"Other"))))</f>
        <v/>
      </c>
      <c r="BI112">
        <f>IF($B112="","",IF(AF112="","Not rostered",IFERROR(INDEX(Settings!$C$14:$C$33,MATCH(AF112,Settings!$B$14:$B$33,0)),IFERROR(LOOKUP(2^15,SEARCH(Settings!$I$14:$I$83,AF112)/(Settings!$I$14:$I$83&lt;&gt;""),Settings!$J$14:$J$83),"Other"))))</f>
        <v/>
      </c>
      <c r="BJ112">
        <f>IF($B112="","",IF(AG112="","Not rostered",IFERROR(INDEX(Settings!$C$14:$C$33,MATCH(AG112,Settings!$B$14:$B$33,0)),IFERROR(LOOKUP(2^15,SEARCH(Settings!$I$14:$I$83,AG112)/(Settings!$I$14:$I$83&lt;&gt;""),Settings!$J$14:$J$83),"Other"))))</f>
        <v/>
      </c>
      <c r="BL112">
        <f>IF(OR($B112="",F112=""),"",IFERROR(INDEX(Settings!$D$14:$D$33,MATCH(F112,Settings!$B$14:$B$33,0))&amp;"",IFERROR(LOOKUP(2^15,SEARCH(Settings!$F$14:$F$43,F112)/(Settings!$F$14:$F$43&lt;&gt;""),Settings!$G$14:$G$43),"")))</f>
        <v/>
      </c>
      <c r="BM112">
        <f>IF(OR($B112="",G112=""),"",IFERROR(INDEX(Settings!$D$14:$D$33,MATCH(G112,Settings!$B$14:$B$33,0))&amp;"",IFERROR(LOOKUP(2^15,SEARCH(Settings!$F$14:$F$43,G112)/(Settings!$F$14:$F$43&lt;&gt;""),Settings!$G$14:$G$43),"")))</f>
        <v/>
      </c>
      <c r="BN112">
        <f>IF(OR($B112="",H112=""),"",IFERROR(INDEX(Settings!$D$14:$D$33,MATCH(H112,Settings!$B$14:$B$33,0))&amp;"",IFERROR(LOOKUP(2^15,SEARCH(Settings!$F$14:$F$43,H112)/(Settings!$F$14:$F$43&lt;&gt;""),Settings!$G$14:$G$43),"")))</f>
        <v/>
      </c>
      <c r="BO112">
        <f>IF(OR($B112="",I112=""),"",IFERROR(INDEX(Settings!$D$14:$D$33,MATCH(I112,Settings!$B$14:$B$33,0))&amp;"",IFERROR(LOOKUP(2^15,SEARCH(Settings!$F$14:$F$43,I112)/(Settings!$F$14:$F$43&lt;&gt;""),Settings!$G$14:$G$43),"")))</f>
        <v/>
      </c>
      <c r="BP112">
        <f>IF(OR($B112="",J112=""),"",IFERROR(INDEX(Settings!$D$14:$D$33,MATCH(J112,Settings!$B$14:$B$33,0))&amp;"",IFERROR(LOOKUP(2^15,SEARCH(Settings!$F$14:$F$43,J112)/(Settings!$F$14:$F$43&lt;&gt;""),Settings!$G$14:$G$43),"")))</f>
        <v/>
      </c>
      <c r="BQ112">
        <f>IF(OR($B112="",K112=""),"",IFERROR(INDEX(Settings!$D$14:$D$33,MATCH(K112,Settings!$B$14:$B$33,0))&amp;"",IFERROR(LOOKUP(2^15,SEARCH(Settings!$F$14:$F$43,K112)/(Settings!$F$14:$F$43&lt;&gt;""),Settings!$G$14:$G$43),"")))</f>
        <v/>
      </c>
      <c r="BR112">
        <f>IF(OR($B112="",L112=""),"",IFERROR(INDEX(Settings!$D$14:$D$33,MATCH(L112,Settings!$B$14:$B$33,0))&amp;"",IFERROR(LOOKUP(2^15,SEARCH(Settings!$F$14:$F$43,L112)/(Settings!$F$14:$F$43&lt;&gt;""),Settings!$G$14:$G$43),"")))</f>
        <v/>
      </c>
      <c r="BS112">
        <f>IF(OR($B112="",M112=""),"",IFERROR(INDEX(Settings!$D$14:$D$33,MATCH(M112,Settings!$B$14:$B$33,0))&amp;"",IFERROR(LOOKUP(2^15,SEARCH(Settings!$F$14:$F$43,M112)/(Settings!$F$14:$F$43&lt;&gt;""),Settings!$G$14:$G$43),"")))</f>
        <v/>
      </c>
      <c r="BT112">
        <f>IF(OR($B112="",N112=""),"",IFERROR(INDEX(Settings!$D$14:$D$33,MATCH(N112,Settings!$B$14:$B$33,0))&amp;"",IFERROR(LOOKUP(2^15,SEARCH(Settings!$F$14:$F$43,N112)/(Settings!$F$14:$F$43&lt;&gt;""),Settings!$G$14:$G$43),"")))</f>
        <v/>
      </c>
      <c r="BU112">
        <f>IF(OR($B112="",O112=""),"",IFERROR(INDEX(Settings!$D$14:$D$33,MATCH(O112,Settings!$B$14:$B$33,0))&amp;"",IFERROR(LOOKUP(2^15,SEARCH(Settings!$F$14:$F$43,O112)/(Settings!$F$14:$F$43&lt;&gt;""),Settings!$G$14:$G$43),"")))</f>
        <v/>
      </c>
      <c r="BV112">
        <f>IF(OR($B112="",P112=""),"",IFERROR(INDEX(Settings!$D$14:$D$33,MATCH(P112,Settings!$B$14:$B$33,0))&amp;"",IFERROR(LOOKUP(2^15,SEARCH(Settings!$F$14:$F$43,P112)/(Settings!$F$14:$F$43&lt;&gt;""),Settings!$G$14:$G$43),"")))</f>
        <v/>
      </c>
      <c r="BW112">
        <f>IF(OR($B112="",Q112=""),"",IFERROR(INDEX(Settings!$D$14:$D$33,MATCH(Q112,Settings!$B$14:$B$33,0))&amp;"",IFERROR(LOOKUP(2^15,SEARCH(Settings!$F$14:$F$43,Q112)/(Settings!$F$14:$F$43&lt;&gt;""),Settings!$G$14:$G$43),"")))</f>
        <v/>
      </c>
      <c r="BX112">
        <f>IF(OR($B112="",R112=""),"",IFERROR(INDEX(Settings!$D$14:$D$33,MATCH(R112,Settings!$B$14:$B$33,0))&amp;"",IFERROR(LOOKUP(2^15,SEARCH(Settings!$F$14:$F$43,R112)/(Settings!$F$14:$F$43&lt;&gt;""),Settings!$G$14:$G$43),"")))</f>
        <v/>
      </c>
      <c r="BY112">
        <f>IF(OR($B112="",S112=""),"",IFERROR(INDEX(Settings!$D$14:$D$33,MATCH(S112,Settings!$B$14:$B$33,0))&amp;"",IFERROR(LOOKUP(2^15,SEARCH(Settings!$F$14:$F$43,S112)/(Settings!$F$14:$F$43&lt;&gt;""),Settings!$G$14:$G$43),"")))</f>
        <v/>
      </c>
      <c r="BZ112">
        <f>IF(OR($B112="",T112=""),"",IFERROR(INDEX(Settings!$D$14:$D$33,MATCH(T112,Settings!$B$14:$B$33,0))&amp;"",IFERROR(LOOKUP(2^15,SEARCH(Settings!$F$14:$F$43,T112)/(Settings!$F$14:$F$43&lt;&gt;""),Settings!$G$14:$G$43),"")))</f>
        <v/>
      </c>
      <c r="CA112">
        <f>IF(OR($B112="",U112=""),"",IFERROR(INDEX(Settings!$D$14:$D$33,MATCH(U112,Settings!$B$14:$B$33,0))&amp;"",IFERROR(LOOKUP(2^15,SEARCH(Settings!$F$14:$F$43,U112)/(Settings!$F$14:$F$43&lt;&gt;""),Settings!$G$14:$G$43),"")))</f>
        <v/>
      </c>
      <c r="CB112">
        <f>IF(OR($B112="",V112=""),"",IFERROR(INDEX(Settings!$D$14:$D$33,MATCH(V112,Settings!$B$14:$B$33,0))&amp;"",IFERROR(LOOKUP(2^15,SEARCH(Settings!$F$14:$F$43,V112)/(Settings!$F$14:$F$43&lt;&gt;""),Settings!$G$14:$G$43),"")))</f>
        <v/>
      </c>
      <c r="CC112">
        <f>IF(OR($B112="",W112=""),"",IFERROR(INDEX(Settings!$D$14:$D$33,MATCH(W112,Settings!$B$14:$B$33,0))&amp;"",IFERROR(LOOKUP(2^15,SEARCH(Settings!$F$14:$F$43,W112)/(Settings!$F$14:$F$43&lt;&gt;""),Settings!$G$14:$G$43),"")))</f>
        <v/>
      </c>
      <c r="CD112">
        <f>IF(OR($B112="",X112=""),"",IFERROR(INDEX(Settings!$D$14:$D$33,MATCH(X112,Settings!$B$14:$B$33,0))&amp;"",IFERROR(LOOKUP(2^15,SEARCH(Settings!$F$14:$F$43,X112)/(Settings!$F$14:$F$43&lt;&gt;""),Settings!$G$14:$G$43),"")))</f>
        <v/>
      </c>
      <c r="CE112">
        <f>IF(OR($B112="",Y112=""),"",IFERROR(INDEX(Settings!$D$14:$D$33,MATCH(Y112,Settings!$B$14:$B$33,0))&amp;"",IFERROR(LOOKUP(2^15,SEARCH(Settings!$F$14:$F$43,Y112)/(Settings!$F$14:$F$43&lt;&gt;""),Settings!$G$14:$G$43),"")))</f>
        <v/>
      </c>
      <c r="CF112">
        <f>IF(OR($B112="",Z112=""),"",IFERROR(INDEX(Settings!$D$14:$D$33,MATCH(Z112,Settings!$B$14:$B$33,0))&amp;"",IFERROR(LOOKUP(2^15,SEARCH(Settings!$F$14:$F$43,Z112)/(Settings!$F$14:$F$43&lt;&gt;""),Settings!$G$14:$G$43),"")))</f>
        <v/>
      </c>
      <c r="CG112">
        <f>IF(OR($B112="",AA112=""),"",IFERROR(INDEX(Settings!$D$14:$D$33,MATCH(AA112,Settings!$B$14:$B$33,0))&amp;"",IFERROR(LOOKUP(2^15,SEARCH(Settings!$F$14:$F$43,AA112)/(Settings!$F$14:$F$43&lt;&gt;""),Settings!$G$14:$G$43),"")))</f>
        <v/>
      </c>
      <c r="CH112">
        <f>IF(OR($B112="",AB112=""),"",IFERROR(INDEX(Settings!$D$14:$D$33,MATCH(AB112,Settings!$B$14:$B$33,0))&amp;"",IFERROR(LOOKUP(2^15,SEARCH(Settings!$F$14:$F$43,AB112)/(Settings!$F$14:$F$43&lt;&gt;""),Settings!$G$14:$G$43),"")))</f>
        <v/>
      </c>
      <c r="CI112">
        <f>IF(OR($B112="",AC112=""),"",IFERROR(INDEX(Settings!$D$14:$D$33,MATCH(AC112,Settings!$B$14:$B$33,0))&amp;"",IFERROR(LOOKUP(2^15,SEARCH(Settings!$F$14:$F$43,AC112)/(Settings!$F$14:$F$43&lt;&gt;""),Settings!$G$14:$G$43),"")))</f>
        <v/>
      </c>
      <c r="CJ112">
        <f>IF(OR($B112="",AD112=""),"",IFERROR(INDEX(Settings!$D$14:$D$33,MATCH(AD112,Settings!$B$14:$B$33,0))&amp;"",IFERROR(LOOKUP(2^15,SEARCH(Settings!$F$14:$F$43,AD112)/(Settings!$F$14:$F$43&lt;&gt;""),Settings!$G$14:$G$43),"")))</f>
        <v/>
      </c>
      <c r="CK112">
        <f>IF(OR($B112="",AE112=""),"",IFERROR(INDEX(Settings!$D$14:$D$33,MATCH(AE112,Settings!$B$14:$B$33,0))&amp;"",IFERROR(LOOKUP(2^15,SEARCH(Settings!$F$14:$F$43,AE112)/(Settings!$F$14:$F$43&lt;&gt;""),Settings!$G$14:$G$43),"")))</f>
        <v/>
      </c>
      <c r="CL112">
        <f>IF(OR($B112="",AF112=""),"",IFERROR(INDEX(Settings!$D$14:$D$33,MATCH(AF112,Settings!$B$14:$B$33,0))&amp;"",IFERROR(LOOKUP(2^15,SEARCH(Settings!$F$14:$F$43,AF112)/(Settings!$F$14:$F$43&lt;&gt;""),Settings!$G$14:$G$43),"")))</f>
        <v/>
      </c>
      <c r="CM112">
        <f>IF(OR($B112="",AG112=""),"",IFERROR(INDEX(Settings!$D$14:$D$33,MATCH(AG112,Settings!$B$14:$B$33,0))&amp;"",IFERROR(LOOKUP(2^15,SEARCH(Settings!$F$14:$F$43,AG112)/(Settings!$F$14:$F$43&lt;&gt;""),Settings!$G$14:$G$43),"")))</f>
        <v/>
      </c>
    </row>
    <row r="113">
      <c r="A113" t="n">
        <v>111</v>
      </c>
      <c r="B113">
        <f>IFERROR(INDEX(Index!$A$2:$A$202,MATCH(A113,Index!$E$2:$E$202,0)),"")</f>
        <v/>
      </c>
      <c r="D113">
        <f>IF($B113="","",IFERROR(MATCH("Travel*",AI113:BJ113,0),""))</f>
        <v/>
      </c>
      <c r="F113">
        <f>IF(OR($B113="",NOT(ISNUMBER(Settings!$C$9))),"",TRIM(SUBSTITUTE(SUBSTITUTE(INDEX('INPUT - Roster'!$S$1:$SV$206,$B113,Settings!$C$9+0)&amp;"",CHAR(10)," "),CHAR(160)," ")))</f>
        <v/>
      </c>
      <c r="G113">
        <f>IF(OR($B113="",NOT(ISNUMBER(Settings!$C$9))),"",TRIM(SUBSTITUTE(SUBSTITUTE(INDEX('INPUT - Roster'!$S$1:$SV$206,$B113,Settings!$C$9+1)&amp;"",CHAR(10)," "),CHAR(160)," ")))</f>
        <v/>
      </c>
      <c r="H113">
        <f>IF(OR($B113="",NOT(ISNUMBER(Settings!$C$9))),"",TRIM(SUBSTITUTE(SUBSTITUTE(INDEX('INPUT - Roster'!$S$1:$SV$206,$B113,Settings!$C$9+2)&amp;"",CHAR(10)," "),CHAR(160)," ")))</f>
        <v/>
      </c>
      <c r="I113">
        <f>IF(OR($B113="",NOT(ISNUMBER(Settings!$C$9))),"",TRIM(SUBSTITUTE(SUBSTITUTE(INDEX('INPUT - Roster'!$S$1:$SV$206,$B113,Settings!$C$9+3)&amp;"",CHAR(10)," "),CHAR(160)," ")))</f>
        <v/>
      </c>
      <c r="J113">
        <f>IF(OR($B113="",NOT(ISNUMBER(Settings!$C$9))),"",TRIM(SUBSTITUTE(SUBSTITUTE(INDEX('INPUT - Roster'!$S$1:$SV$206,$B113,Settings!$C$9+4)&amp;"",CHAR(10)," "),CHAR(160)," ")))</f>
        <v/>
      </c>
      <c r="K113">
        <f>IF(OR($B113="",NOT(ISNUMBER(Settings!$C$9))),"",TRIM(SUBSTITUTE(SUBSTITUTE(INDEX('INPUT - Roster'!$S$1:$SV$206,$B113,Settings!$C$9+5)&amp;"",CHAR(10)," "),CHAR(160)," ")))</f>
        <v/>
      </c>
      <c r="L113">
        <f>IF(OR($B113="",NOT(ISNUMBER(Settings!$C$9))),"",TRIM(SUBSTITUTE(SUBSTITUTE(INDEX('INPUT - Roster'!$S$1:$SV$206,$B113,Settings!$C$9+6)&amp;"",CHAR(10)," "),CHAR(160)," ")))</f>
        <v/>
      </c>
      <c r="M113">
        <f>IF(OR($B113="",NOT(ISNUMBER(Settings!$C$9))),"",TRIM(SUBSTITUTE(SUBSTITUTE(INDEX('INPUT - Roster'!$S$1:$SV$206,$B113,Settings!$C$9+7)&amp;"",CHAR(10)," "),CHAR(160)," ")))</f>
        <v/>
      </c>
      <c r="N113">
        <f>IF(OR($B113="",NOT(ISNUMBER(Settings!$C$9))),"",TRIM(SUBSTITUTE(SUBSTITUTE(INDEX('INPUT - Roster'!$S$1:$SV$206,$B113,Settings!$C$9+8)&amp;"",CHAR(10)," "),CHAR(160)," ")))</f>
        <v/>
      </c>
      <c r="O113">
        <f>IF(OR($B113="",NOT(ISNUMBER(Settings!$C$9))),"",TRIM(SUBSTITUTE(SUBSTITUTE(INDEX('INPUT - Roster'!$S$1:$SV$206,$B113,Settings!$C$9+9)&amp;"",CHAR(10)," "),CHAR(160)," ")))</f>
        <v/>
      </c>
      <c r="P113">
        <f>IF(OR($B113="",NOT(ISNUMBER(Settings!$C$9))),"",TRIM(SUBSTITUTE(SUBSTITUTE(INDEX('INPUT - Roster'!$S$1:$SV$206,$B113,Settings!$C$9+10)&amp;"",CHAR(10)," "),CHAR(160)," ")))</f>
        <v/>
      </c>
      <c r="Q113">
        <f>IF(OR($B113="",NOT(ISNUMBER(Settings!$C$9))),"",TRIM(SUBSTITUTE(SUBSTITUTE(INDEX('INPUT - Roster'!$S$1:$SV$206,$B113,Settings!$C$9+11)&amp;"",CHAR(10)," "),CHAR(160)," ")))</f>
        <v/>
      </c>
      <c r="R113">
        <f>IF(OR($B113="",NOT(ISNUMBER(Settings!$C$9))),"",TRIM(SUBSTITUTE(SUBSTITUTE(INDEX('INPUT - Roster'!$S$1:$SV$206,$B113,Settings!$C$9+12)&amp;"",CHAR(10)," "),CHAR(160)," ")))</f>
        <v/>
      </c>
      <c r="S113">
        <f>IF(OR($B113="",NOT(ISNUMBER(Settings!$C$9))),"",TRIM(SUBSTITUTE(SUBSTITUTE(INDEX('INPUT - Roster'!$S$1:$SV$206,$B113,Settings!$C$9+13)&amp;"",CHAR(10)," "),CHAR(160)," ")))</f>
        <v/>
      </c>
      <c r="T113">
        <f>IF(OR($B113="",NOT(ISNUMBER(Settings!$C$9))),"",TRIM(SUBSTITUTE(SUBSTITUTE(INDEX('INPUT - Roster'!$S$1:$SV$206,$B113,Settings!$C$9+14)&amp;"",CHAR(10)," "),CHAR(160)," ")))</f>
        <v/>
      </c>
      <c r="U113">
        <f>IF(OR($B113="",NOT(ISNUMBER(Settings!$C$9))),"",TRIM(SUBSTITUTE(SUBSTITUTE(INDEX('INPUT - Roster'!$S$1:$SV$206,$B113,Settings!$C$9+15)&amp;"",CHAR(10)," "),CHAR(160)," ")))</f>
        <v/>
      </c>
      <c r="V113">
        <f>IF(OR($B113="",NOT(ISNUMBER(Settings!$C$9))),"",TRIM(SUBSTITUTE(SUBSTITUTE(INDEX('INPUT - Roster'!$S$1:$SV$206,$B113,Settings!$C$9+16)&amp;"",CHAR(10)," "),CHAR(160)," ")))</f>
        <v/>
      </c>
      <c r="W113">
        <f>IF(OR($B113="",NOT(ISNUMBER(Settings!$C$9))),"",TRIM(SUBSTITUTE(SUBSTITUTE(INDEX('INPUT - Roster'!$S$1:$SV$206,$B113,Settings!$C$9+17)&amp;"",CHAR(10)," "),CHAR(160)," ")))</f>
        <v/>
      </c>
      <c r="X113">
        <f>IF(OR($B113="",NOT(ISNUMBER(Settings!$C$9))),"",TRIM(SUBSTITUTE(SUBSTITUTE(INDEX('INPUT - Roster'!$S$1:$SV$206,$B113,Settings!$C$9+18)&amp;"",CHAR(10)," "),CHAR(160)," ")))</f>
        <v/>
      </c>
      <c r="Y113">
        <f>IF(OR($B113="",NOT(ISNUMBER(Settings!$C$9))),"",TRIM(SUBSTITUTE(SUBSTITUTE(INDEX('INPUT - Roster'!$S$1:$SV$206,$B113,Settings!$C$9+19)&amp;"",CHAR(10)," "),CHAR(160)," ")))</f>
        <v/>
      </c>
      <c r="Z113">
        <f>IF(OR($B113="",NOT(ISNUMBER(Settings!$C$9))),"",TRIM(SUBSTITUTE(SUBSTITUTE(INDEX('INPUT - Roster'!$S$1:$SV$206,$B113,Settings!$C$9+20)&amp;"",CHAR(10)," "),CHAR(160)," ")))</f>
        <v/>
      </c>
      <c r="AA113">
        <f>IF(OR($B113="",NOT(ISNUMBER(Settings!$C$9))),"",TRIM(SUBSTITUTE(SUBSTITUTE(INDEX('INPUT - Roster'!$S$1:$SV$206,$B113,Settings!$C$9+21)&amp;"",CHAR(10)," "),CHAR(160)," ")))</f>
        <v/>
      </c>
      <c r="AB113">
        <f>IF(OR($B113="",NOT(ISNUMBER(Settings!$C$9))),"",TRIM(SUBSTITUTE(SUBSTITUTE(INDEX('INPUT - Roster'!$S$1:$SV$206,$B113,Settings!$C$9+22)&amp;"",CHAR(10)," "),CHAR(160)," ")))</f>
        <v/>
      </c>
      <c r="AC113">
        <f>IF(OR($B113="",NOT(ISNUMBER(Settings!$C$9))),"",TRIM(SUBSTITUTE(SUBSTITUTE(INDEX('INPUT - Roster'!$S$1:$SV$206,$B113,Settings!$C$9+23)&amp;"",CHAR(10)," "),CHAR(160)," ")))</f>
        <v/>
      </c>
      <c r="AD113">
        <f>IF(OR($B113="",NOT(ISNUMBER(Settings!$C$9))),"",TRIM(SUBSTITUTE(SUBSTITUTE(INDEX('INPUT - Roster'!$S$1:$SV$206,$B113,Settings!$C$9+24)&amp;"",CHAR(10)," "),CHAR(160)," ")))</f>
        <v/>
      </c>
      <c r="AE113">
        <f>IF(OR($B113="",NOT(ISNUMBER(Settings!$C$9))),"",TRIM(SUBSTITUTE(SUBSTITUTE(INDEX('INPUT - Roster'!$S$1:$SV$206,$B113,Settings!$C$9+25)&amp;"",CHAR(10)," "),CHAR(160)," ")))</f>
        <v/>
      </c>
      <c r="AF113">
        <f>IF(OR($B113="",NOT(ISNUMBER(Settings!$C$9))),"",TRIM(SUBSTITUTE(SUBSTITUTE(INDEX('INPUT - Roster'!$S$1:$SV$206,$B113,Settings!$C$9+26)&amp;"",CHAR(10)," "),CHAR(160)," ")))</f>
        <v/>
      </c>
      <c r="AG113">
        <f>IF(OR($B113="",NOT(ISNUMBER(Settings!$C$9))),"",TRIM(SUBSTITUTE(SUBSTITUTE(INDEX('INPUT - Roster'!$S$1:$SV$206,$B113,Settings!$C$9+27)&amp;"",CHAR(10)," "),CHAR(160)," ")))</f>
        <v/>
      </c>
      <c r="AI113">
        <f>IF($B113="","",IF(F113="","Not rostered",IFERROR(INDEX(Settings!$C$14:$C$33,MATCH(F113,Settings!$B$14:$B$33,0)),IFERROR(LOOKUP(2^15,SEARCH(Settings!$I$14:$I$83,F113)/(Settings!$I$14:$I$83&lt;&gt;""),Settings!$J$14:$J$83),"Other"))))</f>
        <v/>
      </c>
      <c r="AJ113">
        <f>IF($B113="","",IF(G113="","Not rostered",IFERROR(INDEX(Settings!$C$14:$C$33,MATCH(G113,Settings!$B$14:$B$33,0)),IFERROR(LOOKUP(2^15,SEARCH(Settings!$I$14:$I$83,G113)/(Settings!$I$14:$I$83&lt;&gt;""),Settings!$J$14:$J$83),"Other"))))</f>
        <v/>
      </c>
      <c r="AK113">
        <f>IF($B113="","",IF(H113="","Not rostered",IFERROR(INDEX(Settings!$C$14:$C$33,MATCH(H113,Settings!$B$14:$B$33,0)),IFERROR(LOOKUP(2^15,SEARCH(Settings!$I$14:$I$83,H113)/(Settings!$I$14:$I$83&lt;&gt;""),Settings!$J$14:$J$83),"Other"))))</f>
        <v/>
      </c>
      <c r="AL113">
        <f>IF($B113="","",IF(I113="","Not rostered",IFERROR(INDEX(Settings!$C$14:$C$33,MATCH(I113,Settings!$B$14:$B$33,0)),IFERROR(LOOKUP(2^15,SEARCH(Settings!$I$14:$I$83,I113)/(Settings!$I$14:$I$83&lt;&gt;""),Settings!$J$14:$J$83),"Other"))))</f>
        <v/>
      </c>
      <c r="AM113">
        <f>IF($B113="","",IF(J113="","Not rostered",IFERROR(INDEX(Settings!$C$14:$C$33,MATCH(J113,Settings!$B$14:$B$33,0)),IFERROR(LOOKUP(2^15,SEARCH(Settings!$I$14:$I$83,J113)/(Settings!$I$14:$I$83&lt;&gt;""),Settings!$J$14:$J$83),"Other"))))</f>
        <v/>
      </c>
      <c r="AN113">
        <f>IF($B113="","",IF(K113="","Not rostered",IFERROR(INDEX(Settings!$C$14:$C$33,MATCH(K113,Settings!$B$14:$B$33,0)),IFERROR(LOOKUP(2^15,SEARCH(Settings!$I$14:$I$83,K113)/(Settings!$I$14:$I$83&lt;&gt;""),Settings!$J$14:$J$83),"Other"))))</f>
        <v/>
      </c>
      <c r="AO113">
        <f>IF($B113="","",IF(L113="","Not rostered",IFERROR(INDEX(Settings!$C$14:$C$33,MATCH(L113,Settings!$B$14:$B$33,0)),IFERROR(LOOKUP(2^15,SEARCH(Settings!$I$14:$I$83,L113)/(Settings!$I$14:$I$83&lt;&gt;""),Settings!$J$14:$J$83),"Other"))))</f>
        <v/>
      </c>
      <c r="AP113">
        <f>IF($B113="","",IF(M113="","Not rostered",IFERROR(INDEX(Settings!$C$14:$C$33,MATCH(M113,Settings!$B$14:$B$33,0)),IFERROR(LOOKUP(2^15,SEARCH(Settings!$I$14:$I$83,M113)/(Settings!$I$14:$I$83&lt;&gt;""),Settings!$J$14:$J$83),"Other"))))</f>
        <v/>
      </c>
      <c r="AQ113">
        <f>IF($B113="","",IF(N113="","Not rostered",IFERROR(INDEX(Settings!$C$14:$C$33,MATCH(N113,Settings!$B$14:$B$33,0)),IFERROR(LOOKUP(2^15,SEARCH(Settings!$I$14:$I$83,N113)/(Settings!$I$14:$I$83&lt;&gt;""),Settings!$J$14:$J$83),"Other"))))</f>
        <v/>
      </c>
      <c r="AR113">
        <f>IF($B113="","",IF(O113="","Not rostered",IFERROR(INDEX(Settings!$C$14:$C$33,MATCH(O113,Settings!$B$14:$B$33,0)),IFERROR(LOOKUP(2^15,SEARCH(Settings!$I$14:$I$83,O113)/(Settings!$I$14:$I$83&lt;&gt;""),Settings!$J$14:$J$83),"Other"))))</f>
        <v/>
      </c>
      <c r="AS113">
        <f>IF($B113="","",IF(P113="","Not rostered",IFERROR(INDEX(Settings!$C$14:$C$33,MATCH(P113,Settings!$B$14:$B$33,0)),IFERROR(LOOKUP(2^15,SEARCH(Settings!$I$14:$I$83,P113)/(Settings!$I$14:$I$83&lt;&gt;""),Settings!$J$14:$J$83),"Other"))))</f>
        <v/>
      </c>
      <c r="AT113">
        <f>IF($B113="","",IF(Q113="","Not rostered",IFERROR(INDEX(Settings!$C$14:$C$33,MATCH(Q113,Settings!$B$14:$B$33,0)),IFERROR(LOOKUP(2^15,SEARCH(Settings!$I$14:$I$83,Q113)/(Settings!$I$14:$I$83&lt;&gt;""),Settings!$J$14:$J$83),"Other"))))</f>
        <v/>
      </c>
      <c r="AU113">
        <f>IF($B113="","",IF(R113="","Not rostered",IFERROR(INDEX(Settings!$C$14:$C$33,MATCH(R113,Settings!$B$14:$B$33,0)),IFERROR(LOOKUP(2^15,SEARCH(Settings!$I$14:$I$83,R113)/(Settings!$I$14:$I$83&lt;&gt;""),Settings!$J$14:$J$83),"Other"))))</f>
        <v/>
      </c>
      <c r="AV113">
        <f>IF($B113="","",IF(S113="","Not rostered",IFERROR(INDEX(Settings!$C$14:$C$33,MATCH(S113,Settings!$B$14:$B$33,0)),IFERROR(LOOKUP(2^15,SEARCH(Settings!$I$14:$I$83,S113)/(Settings!$I$14:$I$83&lt;&gt;""),Settings!$J$14:$J$83),"Other"))))</f>
        <v/>
      </c>
      <c r="AW113">
        <f>IF($B113="","",IF(T113="","Not rostered",IFERROR(INDEX(Settings!$C$14:$C$33,MATCH(T113,Settings!$B$14:$B$33,0)),IFERROR(LOOKUP(2^15,SEARCH(Settings!$I$14:$I$83,T113)/(Settings!$I$14:$I$83&lt;&gt;""),Settings!$J$14:$J$83),"Other"))))</f>
        <v/>
      </c>
      <c r="AX113">
        <f>IF($B113="","",IF(U113="","Not rostered",IFERROR(INDEX(Settings!$C$14:$C$33,MATCH(U113,Settings!$B$14:$B$33,0)),IFERROR(LOOKUP(2^15,SEARCH(Settings!$I$14:$I$83,U113)/(Settings!$I$14:$I$83&lt;&gt;""),Settings!$J$14:$J$83),"Other"))))</f>
        <v/>
      </c>
      <c r="AY113">
        <f>IF($B113="","",IF(V113="","Not rostered",IFERROR(INDEX(Settings!$C$14:$C$33,MATCH(V113,Settings!$B$14:$B$33,0)),IFERROR(LOOKUP(2^15,SEARCH(Settings!$I$14:$I$83,V113)/(Settings!$I$14:$I$83&lt;&gt;""),Settings!$J$14:$J$83),"Other"))))</f>
        <v/>
      </c>
      <c r="AZ113">
        <f>IF($B113="","",IF(W113="","Not rostered",IFERROR(INDEX(Settings!$C$14:$C$33,MATCH(W113,Settings!$B$14:$B$33,0)),IFERROR(LOOKUP(2^15,SEARCH(Settings!$I$14:$I$83,W113)/(Settings!$I$14:$I$83&lt;&gt;""),Settings!$J$14:$J$83),"Other"))))</f>
        <v/>
      </c>
      <c r="BA113">
        <f>IF($B113="","",IF(X113="","Not rostered",IFERROR(INDEX(Settings!$C$14:$C$33,MATCH(X113,Settings!$B$14:$B$33,0)),IFERROR(LOOKUP(2^15,SEARCH(Settings!$I$14:$I$83,X113)/(Settings!$I$14:$I$83&lt;&gt;""),Settings!$J$14:$J$83),"Other"))))</f>
        <v/>
      </c>
      <c r="BB113">
        <f>IF($B113="","",IF(Y113="","Not rostered",IFERROR(INDEX(Settings!$C$14:$C$33,MATCH(Y113,Settings!$B$14:$B$33,0)),IFERROR(LOOKUP(2^15,SEARCH(Settings!$I$14:$I$83,Y113)/(Settings!$I$14:$I$83&lt;&gt;""),Settings!$J$14:$J$83),"Other"))))</f>
        <v/>
      </c>
      <c r="BC113">
        <f>IF($B113="","",IF(Z113="","Not rostered",IFERROR(INDEX(Settings!$C$14:$C$33,MATCH(Z113,Settings!$B$14:$B$33,0)),IFERROR(LOOKUP(2^15,SEARCH(Settings!$I$14:$I$83,Z113)/(Settings!$I$14:$I$83&lt;&gt;""),Settings!$J$14:$J$83),"Other"))))</f>
        <v/>
      </c>
      <c r="BD113">
        <f>IF($B113="","",IF(AA113="","Not rostered",IFERROR(INDEX(Settings!$C$14:$C$33,MATCH(AA113,Settings!$B$14:$B$33,0)),IFERROR(LOOKUP(2^15,SEARCH(Settings!$I$14:$I$83,AA113)/(Settings!$I$14:$I$83&lt;&gt;""),Settings!$J$14:$J$83),"Other"))))</f>
        <v/>
      </c>
      <c r="BE113">
        <f>IF($B113="","",IF(AB113="","Not rostered",IFERROR(INDEX(Settings!$C$14:$C$33,MATCH(AB113,Settings!$B$14:$B$33,0)),IFERROR(LOOKUP(2^15,SEARCH(Settings!$I$14:$I$83,AB113)/(Settings!$I$14:$I$83&lt;&gt;""),Settings!$J$14:$J$83),"Other"))))</f>
        <v/>
      </c>
      <c r="BF113">
        <f>IF($B113="","",IF(AC113="","Not rostered",IFERROR(INDEX(Settings!$C$14:$C$33,MATCH(AC113,Settings!$B$14:$B$33,0)),IFERROR(LOOKUP(2^15,SEARCH(Settings!$I$14:$I$83,AC113)/(Settings!$I$14:$I$83&lt;&gt;""),Settings!$J$14:$J$83),"Other"))))</f>
        <v/>
      </c>
      <c r="BG113">
        <f>IF($B113="","",IF(AD113="","Not rostered",IFERROR(INDEX(Settings!$C$14:$C$33,MATCH(AD113,Settings!$B$14:$B$33,0)),IFERROR(LOOKUP(2^15,SEARCH(Settings!$I$14:$I$83,AD113)/(Settings!$I$14:$I$83&lt;&gt;""),Settings!$J$14:$J$83),"Other"))))</f>
        <v/>
      </c>
      <c r="BH113">
        <f>IF($B113="","",IF(AE113="","Not rostered",IFERROR(INDEX(Settings!$C$14:$C$33,MATCH(AE113,Settings!$B$14:$B$33,0)),IFERROR(LOOKUP(2^15,SEARCH(Settings!$I$14:$I$83,AE113)/(Settings!$I$14:$I$83&lt;&gt;""),Settings!$J$14:$J$83),"Other"))))</f>
        <v/>
      </c>
      <c r="BI113">
        <f>IF($B113="","",IF(AF113="","Not rostered",IFERROR(INDEX(Settings!$C$14:$C$33,MATCH(AF113,Settings!$B$14:$B$33,0)),IFERROR(LOOKUP(2^15,SEARCH(Settings!$I$14:$I$83,AF113)/(Settings!$I$14:$I$83&lt;&gt;""),Settings!$J$14:$J$83),"Other"))))</f>
        <v/>
      </c>
      <c r="BJ113">
        <f>IF($B113="","",IF(AG113="","Not rostered",IFERROR(INDEX(Settings!$C$14:$C$33,MATCH(AG113,Settings!$B$14:$B$33,0)),IFERROR(LOOKUP(2^15,SEARCH(Settings!$I$14:$I$83,AG113)/(Settings!$I$14:$I$83&lt;&gt;""),Settings!$J$14:$J$83),"Other"))))</f>
        <v/>
      </c>
      <c r="BL113">
        <f>IF(OR($B113="",F113=""),"",IFERROR(INDEX(Settings!$D$14:$D$33,MATCH(F113,Settings!$B$14:$B$33,0))&amp;"",IFERROR(LOOKUP(2^15,SEARCH(Settings!$F$14:$F$43,F113)/(Settings!$F$14:$F$43&lt;&gt;""),Settings!$G$14:$G$43),"")))</f>
        <v/>
      </c>
      <c r="BM113">
        <f>IF(OR($B113="",G113=""),"",IFERROR(INDEX(Settings!$D$14:$D$33,MATCH(G113,Settings!$B$14:$B$33,0))&amp;"",IFERROR(LOOKUP(2^15,SEARCH(Settings!$F$14:$F$43,G113)/(Settings!$F$14:$F$43&lt;&gt;""),Settings!$G$14:$G$43),"")))</f>
        <v/>
      </c>
      <c r="BN113">
        <f>IF(OR($B113="",H113=""),"",IFERROR(INDEX(Settings!$D$14:$D$33,MATCH(H113,Settings!$B$14:$B$33,0))&amp;"",IFERROR(LOOKUP(2^15,SEARCH(Settings!$F$14:$F$43,H113)/(Settings!$F$14:$F$43&lt;&gt;""),Settings!$G$14:$G$43),"")))</f>
        <v/>
      </c>
      <c r="BO113">
        <f>IF(OR($B113="",I113=""),"",IFERROR(INDEX(Settings!$D$14:$D$33,MATCH(I113,Settings!$B$14:$B$33,0))&amp;"",IFERROR(LOOKUP(2^15,SEARCH(Settings!$F$14:$F$43,I113)/(Settings!$F$14:$F$43&lt;&gt;""),Settings!$G$14:$G$43),"")))</f>
        <v/>
      </c>
      <c r="BP113">
        <f>IF(OR($B113="",J113=""),"",IFERROR(INDEX(Settings!$D$14:$D$33,MATCH(J113,Settings!$B$14:$B$33,0))&amp;"",IFERROR(LOOKUP(2^15,SEARCH(Settings!$F$14:$F$43,J113)/(Settings!$F$14:$F$43&lt;&gt;""),Settings!$G$14:$G$43),"")))</f>
        <v/>
      </c>
      <c r="BQ113">
        <f>IF(OR($B113="",K113=""),"",IFERROR(INDEX(Settings!$D$14:$D$33,MATCH(K113,Settings!$B$14:$B$33,0))&amp;"",IFERROR(LOOKUP(2^15,SEARCH(Settings!$F$14:$F$43,K113)/(Settings!$F$14:$F$43&lt;&gt;""),Settings!$G$14:$G$43),"")))</f>
        <v/>
      </c>
      <c r="BR113">
        <f>IF(OR($B113="",L113=""),"",IFERROR(INDEX(Settings!$D$14:$D$33,MATCH(L113,Settings!$B$14:$B$33,0))&amp;"",IFERROR(LOOKUP(2^15,SEARCH(Settings!$F$14:$F$43,L113)/(Settings!$F$14:$F$43&lt;&gt;""),Settings!$G$14:$G$43),"")))</f>
        <v/>
      </c>
      <c r="BS113">
        <f>IF(OR($B113="",M113=""),"",IFERROR(INDEX(Settings!$D$14:$D$33,MATCH(M113,Settings!$B$14:$B$33,0))&amp;"",IFERROR(LOOKUP(2^15,SEARCH(Settings!$F$14:$F$43,M113)/(Settings!$F$14:$F$43&lt;&gt;""),Settings!$G$14:$G$43),"")))</f>
        <v/>
      </c>
      <c r="BT113">
        <f>IF(OR($B113="",N113=""),"",IFERROR(INDEX(Settings!$D$14:$D$33,MATCH(N113,Settings!$B$14:$B$33,0))&amp;"",IFERROR(LOOKUP(2^15,SEARCH(Settings!$F$14:$F$43,N113)/(Settings!$F$14:$F$43&lt;&gt;""),Settings!$G$14:$G$43),"")))</f>
        <v/>
      </c>
      <c r="BU113">
        <f>IF(OR($B113="",O113=""),"",IFERROR(INDEX(Settings!$D$14:$D$33,MATCH(O113,Settings!$B$14:$B$33,0))&amp;"",IFERROR(LOOKUP(2^15,SEARCH(Settings!$F$14:$F$43,O113)/(Settings!$F$14:$F$43&lt;&gt;""),Settings!$G$14:$G$43),"")))</f>
        <v/>
      </c>
      <c r="BV113">
        <f>IF(OR($B113="",P113=""),"",IFERROR(INDEX(Settings!$D$14:$D$33,MATCH(P113,Settings!$B$14:$B$33,0))&amp;"",IFERROR(LOOKUP(2^15,SEARCH(Settings!$F$14:$F$43,P113)/(Settings!$F$14:$F$43&lt;&gt;""),Settings!$G$14:$G$43),"")))</f>
        <v/>
      </c>
      <c r="BW113">
        <f>IF(OR($B113="",Q113=""),"",IFERROR(INDEX(Settings!$D$14:$D$33,MATCH(Q113,Settings!$B$14:$B$33,0))&amp;"",IFERROR(LOOKUP(2^15,SEARCH(Settings!$F$14:$F$43,Q113)/(Settings!$F$14:$F$43&lt;&gt;""),Settings!$G$14:$G$43),"")))</f>
        <v/>
      </c>
      <c r="BX113">
        <f>IF(OR($B113="",R113=""),"",IFERROR(INDEX(Settings!$D$14:$D$33,MATCH(R113,Settings!$B$14:$B$33,0))&amp;"",IFERROR(LOOKUP(2^15,SEARCH(Settings!$F$14:$F$43,R113)/(Settings!$F$14:$F$43&lt;&gt;""),Settings!$G$14:$G$43),"")))</f>
        <v/>
      </c>
      <c r="BY113">
        <f>IF(OR($B113="",S113=""),"",IFERROR(INDEX(Settings!$D$14:$D$33,MATCH(S113,Settings!$B$14:$B$33,0))&amp;"",IFERROR(LOOKUP(2^15,SEARCH(Settings!$F$14:$F$43,S113)/(Settings!$F$14:$F$43&lt;&gt;""),Settings!$G$14:$G$43),"")))</f>
        <v/>
      </c>
      <c r="BZ113">
        <f>IF(OR($B113="",T113=""),"",IFERROR(INDEX(Settings!$D$14:$D$33,MATCH(T113,Settings!$B$14:$B$33,0))&amp;"",IFERROR(LOOKUP(2^15,SEARCH(Settings!$F$14:$F$43,T113)/(Settings!$F$14:$F$43&lt;&gt;""),Settings!$G$14:$G$43),"")))</f>
        <v/>
      </c>
      <c r="CA113">
        <f>IF(OR($B113="",U113=""),"",IFERROR(INDEX(Settings!$D$14:$D$33,MATCH(U113,Settings!$B$14:$B$33,0))&amp;"",IFERROR(LOOKUP(2^15,SEARCH(Settings!$F$14:$F$43,U113)/(Settings!$F$14:$F$43&lt;&gt;""),Settings!$G$14:$G$43),"")))</f>
        <v/>
      </c>
      <c r="CB113">
        <f>IF(OR($B113="",V113=""),"",IFERROR(INDEX(Settings!$D$14:$D$33,MATCH(V113,Settings!$B$14:$B$33,0))&amp;"",IFERROR(LOOKUP(2^15,SEARCH(Settings!$F$14:$F$43,V113)/(Settings!$F$14:$F$43&lt;&gt;""),Settings!$G$14:$G$43),"")))</f>
        <v/>
      </c>
      <c r="CC113">
        <f>IF(OR($B113="",W113=""),"",IFERROR(INDEX(Settings!$D$14:$D$33,MATCH(W113,Settings!$B$14:$B$33,0))&amp;"",IFERROR(LOOKUP(2^15,SEARCH(Settings!$F$14:$F$43,W113)/(Settings!$F$14:$F$43&lt;&gt;""),Settings!$G$14:$G$43),"")))</f>
        <v/>
      </c>
      <c r="CD113">
        <f>IF(OR($B113="",X113=""),"",IFERROR(INDEX(Settings!$D$14:$D$33,MATCH(X113,Settings!$B$14:$B$33,0))&amp;"",IFERROR(LOOKUP(2^15,SEARCH(Settings!$F$14:$F$43,X113)/(Settings!$F$14:$F$43&lt;&gt;""),Settings!$G$14:$G$43),"")))</f>
        <v/>
      </c>
      <c r="CE113">
        <f>IF(OR($B113="",Y113=""),"",IFERROR(INDEX(Settings!$D$14:$D$33,MATCH(Y113,Settings!$B$14:$B$33,0))&amp;"",IFERROR(LOOKUP(2^15,SEARCH(Settings!$F$14:$F$43,Y113)/(Settings!$F$14:$F$43&lt;&gt;""),Settings!$G$14:$G$43),"")))</f>
        <v/>
      </c>
      <c r="CF113">
        <f>IF(OR($B113="",Z113=""),"",IFERROR(INDEX(Settings!$D$14:$D$33,MATCH(Z113,Settings!$B$14:$B$33,0))&amp;"",IFERROR(LOOKUP(2^15,SEARCH(Settings!$F$14:$F$43,Z113)/(Settings!$F$14:$F$43&lt;&gt;""),Settings!$G$14:$G$43),"")))</f>
        <v/>
      </c>
      <c r="CG113">
        <f>IF(OR($B113="",AA113=""),"",IFERROR(INDEX(Settings!$D$14:$D$33,MATCH(AA113,Settings!$B$14:$B$33,0))&amp;"",IFERROR(LOOKUP(2^15,SEARCH(Settings!$F$14:$F$43,AA113)/(Settings!$F$14:$F$43&lt;&gt;""),Settings!$G$14:$G$43),"")))</f>
        <v/>
      </c>
      <c r="CH113">
        <f>IF(OR($B113="",AB113=""),"",IFERROR(INDEX(Settings!$D$14:$D$33,MATCH(AB113,Settings!$B$14:$B$33,0))&amp;"",IFERROR(LOOKUP(2^15,SEARCH(Settings!$F$14:$F$43,AB113)/(Settings!$F$14:$F$43&lt;&gt;""),Settings!$G$14:$G$43),"")))</f>
        <v/>
      </c>
      <c r="CI113">
        <f>IF(OR($B113="",AC113=""),"",IFERROR(INDEX(Settings!$D$14:$D$33,MATCH(AC113,Settings!$B$14:$B$33,0))&amp;"",IFERROR(LOOKUP(2^15,SEARCH(Settings!$F$14:$F$43,AC113)/(Settings!$F$14:$F$43&lt;&gt;""),Settings!$G$14:$G$43),"")))</f>
        <v/>
      </c>
      <c r="CJ113">
        <f>IF(OR($B113="",AD113=""),"",IFERROR(INDEX(Settings!$D$14:$D$33,MATCH(AD113,Settings!$B$14:$B$33,0))&amp;"",IFERROR(LOOKUP(2^15,SEARCH(Settings!$F$14:$F$43,AD113)/(Settings!$F$14:$F$43&lt;&gt;""),Settings!$G$14:$G$43),"")))</f>
        <v/>
      </c>
      <c r="CK113">
        <f>IF(OR($B113="",AE113=""),"",IFERROR(INDEX(Settings!$D$14:$D$33,MATCH(AE113,Settings!$B$14:$B$33,0))&amp;"",IFERROR(LOOKUP(2^15,SEARCH(Settings!$F$14:$F$43,AE113)/(Settings!$F$14:$F$43&lt;&gt;""),Settings!$G$14:$G$43),"")))</f>
        <v/>
      </c>
      <c r="CL113">
        <f>IF(OR($B113="",AF113=""),"",IFERROR(INDEX(Settings!$D$14:$D$33,MATCH(AF113,Settings!$B$14:$B$33,0))&amp;"",IFERROR(LOOKUP(2^15,SEARCH(Settings!$F$14:$F$43,AF113)/(Settings!$F$14:$F$43&lt;&gt;""),Settings!$G$14:$G$43),"")))</f>
        <v/>
      </c>
      <c r="CM113">
        <f>IF(OR($B113="",AG113=""),"",IFERROR(INDEX(Settings!$D$14:$D$33,MATCH(AG113,Settings!$B$14:$B$33,0))&amp;"",IFERROR(LOOKUP(2^15,SEARCH(Settings!$F$14:$F$43,AG113)/(Settings!$F$14:$F$43&lt;&gt;""),Settings!$G$14:$G$43),"")))</f>
        <v/>
      </c>
    </row>
    <row r="114">
      <c r="A114" t="n">
        <v>112</v>
      </c>
      <c r="B114">
        <f>IFERROR(INDEX(Index!$A$2:$A$202,MATCH(A114,Index!$E$2:$E$202,0)),"")</f>
        <v/>
      </c>
      <c r="D114">
        <f>IF($B114="","",IFERROR(MATCH("Travel*",AI114:BJ114,0),""))</f>
        <v/>
      </c>
      <c r="F114">
        <f>IF(OR($B114="",NOT(ISNUMBER(Settings!$C$9))),"",TRIM(SUBSTITUTE(SUBSTITUTE(INDEX('INPUT - Roster'!$S$1:$SV$206,$B114,Settings!$C$9+0)&amp;"",CHAR(10)," "),CHAR(160)," ")))</f>
        <v/>
      </c>
      <c r="G114">
        <f>IF(OR($B114="",NOT(ISNUMBER(Settings!$C$9))),"",TRIM(SUBSTITUTE(SUBSTITUTE(INDEX('INPUT - Roster'!$S$1:$SV$206,$B114,Settings!$C$9+1)&amp;"",CHAR(10)," "),CHAR(160)," ")))</f>
        <v/>
      </c>
      <c r="H114">
        <f>IF(OR($B114="",NOT(ISNUMBER(Settings!$C$9))),"",TRIM(SUBSTITUTE(SUBSTITUTE(INDEX('INPUT - Roster'!$S$1:$SV$206,$B114,Settings!$C$9+2)&amp;"",CHAR(10)," "),CHAR(160)," ")))</f>
        <v/>
      </c>
      <c r="I114">
        <f>IF(OR($B114="",NOT(ISNUMBER(Settings!$C$9))),"",TRIM(SUBSTITUTE(SUBSTITUTE(INDEX('INPUT - Roster'!$S$1:$SV$206,$B114,Settings!$C$9+3)&amp;"",CHAR(10)," "),CHAR(160)," ")))</f>
        <v/>
      </c>
      <c r="J114">
        <f>IF(OR($B114="",NOT(ISNUMBER(Settings!$C$9))),"",TRIM(SUBSTITUTE(SUBSTITUTE(INDEX('INPUT - Roster'!$S$1:$SV$206,$B114,Settings!$C$9+4)&amp;"",CHAR(10)," "),CHAR(160)," ")))</f>
        <v/>
      </c>
      <c r="K114">
        <f>IF(OR($B114="",NOT(ISNUMBER(Settings!$C$9))),"",TRIM(SUBSTITUTE(SUBSTITUTE(INDEX('INPUT - Roster'!$S$1:$SV$206,$B114,Settings!$C$9+5)&amp;"",CHAR(10)," "),CHAR(160)," ")))</f>
        <v/>
      </c>
      <c r="L114">
        <f>IF(OR($B114="",NOT(ISNUMBER(Settings!$C$9))),"",TRIM(SUBSTITUTE(SUBSTITUTE(INDEX('INPUT - Roster'!$S$1:$SV$206,$B114,Settings!$C$9+6)&amp;"",CHAR(10)," "),CHAR(160)," ")))</f>
        <v/>
      </c>
      <c r="M114">
        <f>IF(OR($B114="",NOT(ISNUMBER(Settings!$C$9))),"",TRIM(SUBSTITUTE(SUBSTITUTE(INDEX('INPUT - Roster'!$S$1:$SV$206,$B114,Settings!$C$9+7)&amp;"",CHAR(10)," "),CHAR(160)," ")))</f>
        <v/>
      </c>
      <c r="N114">
        <f>IF(OR($B114="",NOT(ISNUMBER(Settings!$C$9))),"",TRIM(SUBSTITUTE(SUBSTITUTE(INDEX('INPUT - Roster'!$S$1:$SV$206,$B114,Settings!$C$9+8)&amp;"",CHAR(10)," "),CHAR(160)," ")))</f>
        <v/>
      </c>
      <c r="O114">
        <f>IF(OR($B114="",NOT(ISNUMBER(Settings!$C$9))),"",TRIM(SUBSTITUTE(SUBSTITUTE(INDEX('INPUT - Roster'!$S$1:$SV$206,$B114,Settings!$C$9+9)&amp;"",CHAR(10)," "),CHAR(160)," ")))</f>
        <v/>
      </c>
      <c r="P114">
        <f>IF(OR($B114="",NOT(ISNUMBER(Settings!$C$9))),"",TRIM(SUBSTITUTE(SUBSTITUTE(INDEX('INPUT - Roster'!$S$1:$SV$206,$B114,Settings!$C$9+10)&amp;"",CHAR(10)," "),CHAR(160)," ")))</f>
        <v/>
      </c>
      <c r="Q114">
        <f>IF(OR($B114="",NOT(ISNUMBER(Settings!$C$9))),"",TRIM(SUBSTITUTE(SUBSTITUTE(INDEX('INPUT - Roster'!$S$1:$SV$206,$B114,Settings!$C$9+11)&amp;"",CHAR(10)," "),CHAR(160)," ")))</f>
        <v/>
      </c>
      <c r="R114">
        <f>IF(OR($B114="",NOT(ISNUMBER(Settings!$C$9))),"",TRIM(SUBSTITUTE(SUBSTITUTE(INDEX('INPUT - Roster'!$S$1:$SV$206,$B114,Settings!$C$9+12)&amp;"",CHAR(10)," "),CHAR(160)," ")))</f>
        <v/>
      </c>
      <c r="S114">
        <f>IF(OR($B114="",NOT(ISNUMBER(Settings!$C$9))),"",TRIM(SUBSTITUTE(SUBSTITUTE(INDEX('INPUT - Roster'!$S$1:$SV$206,$B114,Settings!$C$9+13)&amp;"",CHAR(10)," "),CHAR(160)," ")))</f>
        <v/>
      </c>
      <c r="T114">
        <f>IF(OR($B114="",NOT(ISNUMBER(Settings!$C$9))),"",TRIM(SUBSTITUTE(SUBSTITUTE(INDEX('INPUT - Roster'!$S$1:$SV$206,$B114,Settings!$C$9+14)&amp;"",CHAR(10)," "),CHAR(160)," ")))</f>
        <v/>
      </c>
      <c r="U114">
        <f>IF(OR($B114="",NOT(ISNUMBER(Settings!$C$9))),"",TRIM(SUBSTITUTE(SUBSTITUTE(INDEX('INPUT - Roster'!$S$1:$SV$206,$B114,Settings!$C$9+15)&amp;"",CHAR(10)," "),CHAR(160)," ")))</f>
        <v/>
      </c>
      <c r="V114">
        <f>IF(OR($B114="",NOT(ISNUMBER(Settings!$C$9))),"",TRIM(SUBSTITUTE(SUBSTITUTE(INDEX('INPUT - Roster'!$S$1:$SV$206,$B114,Settings!$C$9+16)&amp;"",CHAR(10)," "),CHAR(160)," ")))</f>
        <v/>
      </c>
      <c r="W114">
        <f>IF(OR($B114="",NOT(ISNUMBER(Settings!$C$9))),"",TRIM(SUBSTITUTE(SUBSTITUTE(INDEX('INPUT - Roster'!$S$1:$SV$206,$B114,Settings!$C$9+17)&amp;"",CHAR(10)," "),CHAR(160)," ")))</f>
        <v/>
      </c>
      <c r="X114">
        <f>IF(OR($B114="",NOT(ISNUMBER(Settings!$C$9))),"",TRIM(SUBSTITUTE(SUBSTITUTE(INDEX('INPUT - Roster'!$S$1:$SV$206,$B114,Settings!$C$9+18)&amp;"",CHAR(10)," "),CHAR(160)," ")))</f>
        <v/>
      </c>
      <c r="Y114">
        <f>IF(OR($B114="",NOT(ISNUMBER(Settings!$C$9))),"",TRIM(SUBSTITUTE(SUBSTITUTE(INDEX('INPUT - Roster'!$S$1:$SV$206,$B114,Settings!$C$9+19)&amp;"",CHAR(10)," "),CHAR(160)," ")))</f>
        <v/>
      </c>
      <c r="Z114">
        <f>IF(OR($B114="",NOT(ISNUMBER(Settings!$C$9))),"",TRIM(SUBSTITUTE(SUBSTITUTE(INDEX('INPUT - Roster'!$S$1:$SV$206,$B114,Settings!$C$9+20)&amp;"",CHAR(10)," "),CHAR(160)," ")))</f>
        <v/>
      </c>
      <c r="AA114">
        <f>IF(OR($B114="",NOT(ISNUMBER(Settings!$C$9))),"",TRIM(SUBSTITUTE(SUBSTITUTE(INDEX('INPUT - Roster'!$S$1:$SV$206,$B114,Settings!$C$9+21)&amp;"",CHAR(10)," "),CHAR(160)," ")))</f>
        <v/>
      </c>
      <c r="AB114">
        <f>IF(OR($B114="",NOT(ISNUMBER(Settings!$C$9))),"",TRIM(SUBSTITUTE(SUBSTITUTE(INDEX('INPUT - Roster'!$S$1:$SV$206,$B114,Settings!$C$9+22)&amp;"",CHAR(10)," "),CHAR(160)," ")))</f>
        <v/>
      </c>
      <c r="AC114">
        <f>IF(OR($B114="",NOT(ISNUMBER(Settings!$C$9))),"",TRIM(SUBSTITUTE(SUBSTITUTE(INDEX('INPUT - Roster'!$S$1:$SV$206,$B114,Settings!$C$9+23)&amp;"",CHAR(10)," "),CHAR(160)," ")))</f>
        <v/>
      </c>
      <c r="AD114">
        <f>IF(OR($B114="",NOT(ISNUMBER(Settings!$C$9))),"",TRIM(SUBSTITUTE(SUBSTITUTE(INDEX('INPUT - Roster'!$S$1:$SV$206,$B114,Settings!$C$9+24)&amp;"",CHAR(10)," "),CHAR(160)," ")))</f>
        <v/>
      </c>
      <c r="AE114">
        <f>IF(OR($B114="",NOT(ISNUMBER(Settings!$C$9))),"",TRIM(SUBSTITUTE(SUBSTITUTE(INDEX('INPUT - Roster'!$S$1:$SV$206,$B114,Settings!$C$9+25)&amp;"",CHAR(10)," "),CHAR(160)," ")))</f>
        <v/>
      </c>
      <c r="AF114">
        <f>IF(OR($B114="",NOT(ISNUMBER(Settings!$C$9))),"",TRIM(SUBSTITUTE(SUBSTITUTE(INDEX('INPUT - Roster'!$S$1:$SV$206,$B114,Settings!$C$9+26)&amp;"",CHAR(10)," "),CHAR(160)," ")))</f>
        <v/>
      </c>
      <c r="AG114">
        <f>IF(OR($B114="",NOT(ISNUMBER(Settings!$C$9))),"",TRIM(SUBSTITUTE(SUBSTITUTE(INDEX('INPUT - Roster'!$S$1:$SV$206,$B114,Settings!$C$9+27)&amp;"",CHAR(10)," "),CHAR(160)," ")))</f>
        <v/>
      </c>
      <c r="AI114">
        <f>IF($B114="","",IF(F114="","Not rostered",IFERROR(INDEX(Settings!$C$14:$C$33,MATCH(F114,Settings!$B$14:$B$33,0)),IFERROR(LOOKUP(2^15,SEARCH(Settings!$I$14:$I$83,F114)/(Settings!$I$14:$I$83&lt;&gt;""),Settings!$J$14:$J$83),"Other"))))</f>
        <v/>
      </c>
      <c r="AJ114">
        <f>IF($B114="","",IF(G114="","Not rostered",IFERROR(INDEX(Settings!$C$14:$C$33,MATCH(G114,Settings!$B$14:$B$33,0)),IFERROR(LOOKUP(2^15,SEARCH(Settings!$I$14:$I$83,G114)/(Settings!$I$14:$I$83&lt;&gt;""),Settings!$J$14:$J$83),"Other"))))</f>
        <v/>
      </c>
      <c r="AK114">
        <f>IF($B114="","",IF(H114="","Not rostered",IFERROR(INDEX(Settings!$C$14:$C$33,MATCH(H114,Settings!$B$14:$B$33,0)),IFERROR(LOOKUP(2^15,SEARCH(Settings!$I$14:$I$83,H114)/(Settings!$I$14:$I$83&lt;&gt;""),Settings!$J$14:$J$83),"Other"))))</f>
        <v/>
      </c>
      <c r="AL114">
        <f>IF($B114="","",IF(I114="","Not rostered",IFERROR(INDEX(Settings!$C$14:$C$33,MATCH(I114,Settings!$B$14:$B$33,0)),IFERROR(LOOKUP(2^15,SEARCH(Settings!$I$14:$I$83,I114)/(Settings!$I$14:$I$83&lt;&gt;""),Settings!$J$14:$J$83),"Other"))))</f>
        <v/>
      </c>
      <c r="AM114">
        <f>IF($B114="","",IF(J114="","Not rostered",IFERROR(INDEX(Settings!$C$14:$C$33,MATCH(J114,Settings!$B$14:$B$33,0)),IFERROR(LOOKUP(2^15,SEARCH(Settings!$I$14:$I$83,J114)/(Settings!$I$14:$I$83&lt;&gt;""),Settings!$J$14:$J$83),"Other"))))</f>
        <v/>
      </c>
      <c r="AN114">
        <f>IF($B114="","",IF(K114="","Not rostered",IFERROR(INDEX(Settings!$C$14:$C$33,MATCH(K114,Settings!$B$14:$B$33,0)),IFERROR(LOOKUP(2^15,SEARCH(Settings!$I$14:$I$83,K114)/(Settings!$I$14:$I$83&lt;&gt;""),Settings!$J$14:$J$83),"Other"))))</f>
        <v/>
      </c>
      <c r="AO114">
        <f>IF($B114="","",IF(L114="","Not rostered",IFERROR(INDEX(Settings!$C$14:$C$33,MATCH(L114,Settings!$B$14:$B$33,0)),IFERROR(LOOKUP(2^15,SEARCH(Settings!$I$14:$I$83,L114)/(Settings!$I$14:$I$83&lt;&gt;""),Settings!$J$14:$J$83),"Other"))))</f>
        <v/>
      </c>
      <c r="AP114">
        <f>IF($B114="","",IF(M114="","Not rostered",IFERROR(INDEX(Settings!$C$14:$C$33,MATCH(M114,Settings!$B$14:$B$33,0)),IFERROR(LOOKUP(2^15,SEARCH(Settings!$I$14:$I$83,M114)/(Settings!$I$14:$I$83&lt;&gt;""),Settings!$J$14:$J$83),"Other"))))</f>
        <v/>
      </c>
      <c r="AQ114">
        <f>IF($B114="","",IF(N114="","Not rostered",IFERROR(INDEX(Settings!$C$14:$C$33,MATCH(N114,Settings!$B$14:$B$33,0)),IFERROR(LOOKUP(2^15,SEARCH(Settings!$I$14:$I$83,N114)/(Settings!$I$14:$I$83&lt;&gt;""),Settings!$J$14:$J$83),"Other"))))</f>
        <v/>
      </c>
      <c r="AR114">
        <f>IF($B114="","",IF(O114="","Not rostered",IFERROR(INDEX(Settings!$C$14:$C$33,MATCH(O114,Settings!$B$14:$B$33,0)),IFERROR(LOOKUP(2^15,SEARCH(Settings!$I$14:$I$83,O114)/(Settings!$I$14:$I$83&lt;&gt;""),Settings!$J$14:$J$83),"Other"))))</f>
        <v/>
      </c>
      <c r="AS114">
        <f>IF($B114="","",IF(P114="","Not rostered",IFERROR(INDEX(Settings!$C$14:$C$33,MATCH(P114,Settings!$B$14:$B$33,0)),IFERROR(LOOKUP(2^15,SEARCH(Settings!$I$14:$I$83,P114)/(Settings!$I$14:$I$83&lt;&gt;""),Settings!$J$14:$J$83),"Other"))))</f>
        <v/>
      </c>
      <c r="AT114">
        <f>IF($B114="","",IF(Q114="","Not rostered",IFERROR(INDEX(Settings!$C$14:$C$33,MATCH(Q114,Settings!$B$14:$B$33,0)),IFERROR(LOOKUP(2^15,SEARCH(Settings!$I$14:$I$83,Q114)/(Settings!$I$14:$I$83&lt;&gt;""),Settings!$J$14:$J$83),"Other"))))</f>
        <v/>
      </c>
      <c r="AU114">
        <f>IF($B114="","",IF(R114="","Not rostered",IFERROR(INDEX(Settings!$C$14:$C$33,MATCH(R114,Settings!$B$14:$B$33,0)),IFERROR(LOOKUP(2^15,SEARCH(Settings!$I$14:$I$83,R114)/(Settings!$I$14:$I$83&lt;&gt;""),Settings!$J$14:$J$83),"Other"))))</f>
        <v/>
      </c>
      <c r="AV114">
        <f>IF($B114="","",IF(S114="","Not rostered",IFERROR(INDEX(Settings!$C$14:$C$33,MATCH(S114,Settings!$B$14:$B$33,0)),IFERROR(LOOKUP(2^15,SEARCH(Settings!$I$14:$I$83,S114)/(Settings!$I$14:$I$83&lt;&gt;""),Settings!$J$14:$J$83),"Other"))))</f>
        <v/>
      </c>
      <c r="AW114">
        <f>IF($B114="","",IF(T114="","Not rostered",IFERROR(INDEX(Settings!$C$14:$C$33,MATCH(T114,Settings!$B$14:$B$33,0)),IFERROR(LOOKUP(2^15,SEARCH(Settings!$I$14:$I$83,T114)/(Settings!$I$14:$I$83&lt;&gt;""),Settings!$J$14:$J$83),"Other"))))</f>
        <v/>
      </c>
      <c r="AX114">
        <f>IF($B114="","",IF(U114="","Not rostered",IFERROR(INDEX(Settings!$C$14:$C$33,MATCH(U114,Settings!$B$14:$B$33,0)),IFERROR(LOOKUP(2^15,SEARCH(Settings!$I$14:$I$83,U114)/(Settings!$I$14:$I$83&lt;&gt;""),Settings!$J$14:$J$83),"Other"))))</f>
        <v/>
      </c>
      <c r="AY114">
        <f>IF($B114="","",IF(V114="","Not rostered",IFERROR(INDEX(Settings!$C$14:$C$33,MATCH(V114,Settings!$B$14:$B$33,0)),IFERROR(LOOKUP(2^15,SEARCH(Settings!$I$14:$I$83,V114)/(Settings!$I$14:$I$83&lt;&gt;""),Settings!$J$14:$J$83),"Other"))))</f>
        <v/>
      </c>
      <c r="AZ114">
        <f>IF($B114="","",IF(W114="","Not rostered",IFERROR(INDEX(Settings!$C$14:$C$33,MATCH(W114,Settings!$B$14:$B$33,0)),IFERROR(LOOKUP(2^15,SEARCH(Settings!$I$14:$I$83,W114)/(Settings!$I$14:$I$83&lt;&gt;""),Settings!$J$14:$J$83),"Other"))))</f>
        <v/>
      </c>
      <c r="BA114">
        <f>IF($B114="","",IF(X114="","Not rostered",IFERROR(INDEX(Settings!$C$14:$C$33,MATCH(X114,Settings!$B$14:$B$33,0)),IFERROR(LOOKUP(2^15,SEARCH(Settings!$I$14:$I$83,X114)/(Settings!$I$14:$I$83&lt;&gt;""),Settings!$J$14:$J$83),"Other"))))</f>
        <v/>
      </c>
      <c r="BB114">
        <f>IF($B114="","",IF(Y114="","Not rostered",IFERROR(INDEX(Settings!$C$14:$C$33,MATCH(Y114,Settings!$B$14:$B$33,0)),IFERROR(LOOKUP(2^15,SEARCH(Settings!$I$14:$I$83,Y114)/(Settings!$I$14:$I$83&lt;&gt;""),Settings!$J$14:$J$83),"Other"))))</f>
        <v/>
      </c>
      <c r="BC114">
        <f>IF($B114="","",IF(Z114="","Not rostered",IFERROR(INDEX(Settings!$C$14:$C$33,MATCH(Z114,Settings!$B$14:$B$33,0)),IFERROR(LOOKUP(2^15,SEARCH(Settings!$I$14:$I$83,Z114)/(Settings!$I$14:$I$83&lt;&gt;""),Settings!$J$14:$J$83),"Other"))))</f>
        <v/>
      </c>
      <c r="BD114">
        <f>IF($B114="","",IF(AA114="","Not rostered",IFERROR(INDEX(Settings!$C$14:$C$33,MATCH(AA114,Settings!$B$14:$B$33,0)),IFERROR(LOOKUP(2^15,SEARCH(Settings!$I$14:$I$83,AA114)/(Settings!$I$14:$I$83&lt;&gt;""),Settings!$J$14:$J$83),"Other"))))</f>
        <v/>
      </c>
      <c r="BE114">
        <f>IF($B114="","",IF(AB114="","Not rostered",IFERROR(INDEX(Settings!$C$14:$C$33,MATCH(AB114,Settings!$B$14:$B$33,0)),IFERROR(LOOKUP(2^15,SEARCH(Settings!$I$14:$I$83,AB114)/(Settings!$I$14:$I$83&lt;&gt;""),Settings!$J$14:$J$83),"Other"))))</f>
        <v/>
      </c>
      <c r="BF114">
        <f>IF($B114="","",IF(AC114="","Not rostered",IFERROR(INDEX(Settings!$C$14:$C$33,MATCH(AC114,Settings!$B$14:$B$33,0)),IFERROR(LOOKUP(2^15,SEARCH(Settings!$I$14:$I$83,AC114)/(Settings!$I$14:$I$83&lt;&gt;""),Settings!$J$14:$J$83),"Other"))))</f>
        <v/>
      </c>
      <c r="BG114">
        <f>IF($B114="","",IF(AD114="","Not rostered",IFERROR(INDEX(Settings!$C$14:$C$33,MATCH(AD114,Settings!$B$14:$B$33,0)),IFERROR(LOOKUP(2^15,SEARCH(Settings!$I$14:$I$83,AD114)/(Settings!$I$14:$I$83&lt;&gt;""),Settings!$J$14:$J$83),"Other"))))</f>
        <v/>
      </c>
      <c r="BH114">
        <f>IF($B114="","",IF(AE114="","Not rostered",IFERROR(INDEX(Settings!$C$14:$C$33,MATCH(AE114,Settings!$B$14:$B$33,0)),IFERROR(LOOKUP(2^15,SEARCH(Settings!$I$14:$I$83,AE114)/(Settings!$I$14:$I$83&lt;&gt;""),Settings!$J$14:$J$83),"Other"))))</f>
        <v/>
      </c>
      <c r="BI114">
        <f>IF($B114="","",IF(AF114="","Not rostered",IFERROR(INDEX(Settings!$C$14:$C$33,MATCH(AF114,Settings!$B$14:$B$33,0)),IFERROR(LOOKUP(2^15,SEARCH(Settings!$I$14:$I$83,AF114)/(Settings!$I$14:$I$83&lt;&gt;""),Settings!$J$14:$J$83),"Other"))))</f>
        <v/>
      </c>
      <c r="BJ114">
        <f>IF($B114="","",IF(AG114="","Not rostered",IFERROR(INDEX(Settings!$C$14:$C$33,MATCH(AG114,Settings!$B$14:$B$33,0)),IFERROR(LOOKUP(2^15,SEARCH(Settings!$I$14:$I$83,AG114)/(Settings!$I$14:$I$83&lt;&gt;""),Settings!$J$14:$J$83),"Other"))))</f>
        <v/>
      </c>
      <c r="BL114">
        <f>IF(OR($B114="",F114=""),"",IFERROR(INDEX(Settings!$D$14:$D$33,MATCH(F114,Settings!$B$14:$B$33,0))&amp;"",IFERROR(LOOKUP(2^15,SEARCH(Settings!$F$14:$F$43,F114)/(Settings!$F$14:$F$43&lt;&gt;""),Settings!$G$14:$G$43),"")))</f>
        <v/>
      </c>
      <c r="BM114">
        <f>IF(OR($B114="",G114=""),"",IFERROR(INDEX(Settings!$D$14:$D$33,MATCH(G114,Settings!$B$14:$B$33,0))&amp;"",IFERROR(LOOKUP(2^15,SEARCH(Settings!$F$14:$F$43,G114)/(Settings!$F$14:$F$43&lt;&gt;""),Settings!$G$14:$G$43),"")))</f>
        <v/>
      </c>
      <c r="BN114">
        <f>IF(OR($B114="",H114=""),"",IFERROR(INDEX(Settings!$D$14:$D$33,MATCH(H114,Settings!$B$14:$B$33,0))&amp;"",IFERROR(LOOKUP(2^15,SEARCH(Settings!$F$14:$F$43,H114)/(Settings!$F$14:$F$43&lt;&gt;""),Settings!$G$14:$G$43),"")))</f>
        <v/>
      </c>
      <c r="BO114">
        <f>IF(OR($B114="",I114=""),"",IFERROR(INDEX(Settings!$D$14:$D$33,MATCH(I114,Settings!$B$14:$B$33,0))&amp;"",IFERROR(LOOKUP(2^15,SEARCH(Settings!$F$14:$F$43,I114)/(Settings!$F$14:$F$43&lt;&gt;""),Settings!$G$14:$G$43),"")))</f>
        <v/>
      </c>
      <c r="BP114">
        <f>IF(OR($B114="",J114=""),"",IFERROR(INDEX(Settings!$D$14:$D$33,MATCH(J114,Settings!$B$14:$B$33,0))&amp;"",IFERROR(LOOKUP(2^15,SEARCH(Settings!$F$14:$F$43,J114)/(Settings!$F$14:$F$43&lt;&gt;""),Settings!$G$14:$G$43),"")))</f>
        <v/>
      </c>
      <c r="BQ114">
        <f>IF(OR($B114="",K114=""),"",IFERROR(INDEX(Settings!$D$14:$D$33,MATCH(K114,Settings!$B$14:$B$33,0))&amp;"",IFERROR(LOOKUP(2^15,SEARCH(Settings!$F$14:$F$43,K114)/(Settings!$F$14:$F$43&lt;&gt;""),Settings!$G$14:$G$43),"")))</f>
        <v/>
      </c>
      <c r="BR114">
        <f>IF(OR($B114="",L114=""),"",IFERROR(INDEX(Settings!$D$14:$D$33,MATCH(L114,Settings!$B$14:$B$33,0))&amp;"",IFERROR(LOOKUP(2^15,SEARCH(Settings!$F$14:$F$43,L114)/(Settings!$F$14:$F$43&lt;&gt;""),Settings!$G$14:$G$43),"")))</f>
        <v/>
      </c>
      <c r="BS114">
        <f>IF(OR($B114="",M114=""),"",IFERROR(INDEX(Settings!$D$14:$D$33,MATCH(M114,Settings!$B$14:$B$33,0))&amp;"",IFERROR(LOOKUP(2^15,SEARCH(Settings!$F$14:$F$43,M114)/(Settings!$F$14:$F$43&lt;&gt;""),Settings!$G$14:$G$43),"")))</f>
        <v/>
      </c>
      <c r="BT114">
        <f>IF(OR($B114="",N114=""),"",IFERROR(INDEX(Settings!$D$14:$D$33,MATCH(N114,Settings!$B$14:$B$33,0))&amp;"",IFERROR(LOOKUP(2^15,SEARCH(Settings!$F$14:$F$43,N114)/(Settings!$F$14:$F$43&lt;&gt;""),Settings!$G$14:$G$43),"")))</f>
        <v/>
      </c>
      <c r="BU114">
        <f>IF(OR($B114="",O114=""),"",IFERROR(INDEX(Settings!$D$14:$D$33,MATCH(O114,Settings!$B$14:$B$33,0))&amp;"",IFERROR(LOOKUP(2^15,SEARCH(Settings!$F$14:$F$43,O114)/(Settings!$F$14:$F$43&lt;&gt;""),Settings!$G$14:$G$43),"")))</f>
        <v/>
      </c>
      <c r="BV114">
        <f>IF(OR($B114="",P114=""),"",IFERROR(INDEX(Settings!$D$14:$D$33,MATCH(P114,Settings!$B$14:$B$33,0))&amp;"",IFERROR(LOOKUP(2^15,SEARCH(Settings!$F$14:$F$43,P114)/(Settings!$F$14:$F$43&lt;&gt;""),Settings!$G$14:$G$43),"")))</f>
        <v/>
      </c>
      <c r="BW114">
        <f>IF(OR($B114="",Q114=""),"",IFERROR(INDEX(Settings!$D$14:$D$33,MATCH(Q114,Settings!$B$14:$B$33,0))&amp;"",IFERROR(LOOKUP(2^15,SEARCH(Settings!$F$14:$F$43,Q114)/(Settings!$F$14:$F$43&lt;&gt;""),Settings!$G$14:$G$43),"")))</f>
        <v/>
      </c>
      <c r="BX114">
        <f>IF(OR($B114="",R114=""),"",IFERROR(INDEX(Settings!$D$14:$D$33,MATCH(R114,Settings!$B$14:$B$33,0))&amp;"",IFERROR(LOOKUP(2^15,SEARCH(Settings!$F$14:$F$43,R114)/(Settings!$F$14:$F$43&lt;&gt;""),Settings!$G$14:$G$43),"")))</f>
        <v/>
      </c>
      <c r="BY114">
        <f>IF(OR($B114="",S114=""),"",IFERROR(INDEX(Settings!$D$14:$D$33,MATCH(S114,Settings!$B$14:$B$33,0))&amp;"",IFERROR(LOOKUP(2^15,SEARCH(Settings!$F$14:$F$43,S114)/(Settings!$F$14:$F$43&lt;&gt;""),Settings!$G$14:$G$43),"")))</f>
        <v/>
      </c>
      <c r="BZ114">
        <f>IF(OR($B114="",T114=""),"",IFERROR(INDEX(Settings!$D$14:$D$33,MATCH(T114,Settings!$B$14:$B$33,0))&amp;"",IFERROR(LOOKUP(2^15,SEARCH(Settings!$F$14:$F$43,T114)/(Settings!$F$14:$F$43&lt;&gt;""),Settings!$G$14:$G$43),"")))</f>
        <v/>
      </c>
      <c r="CA114">
        <f>IF(OR($B114="",U114=""),"",IFERROR(INDEX(Settings!$D$14:$D$33,MATCH(U114,Settings!$B$14:$B$33,0))&amp;"",IFERROR(LOOKUP(2^15,SEARCH(Settings!$F$14:$F$43,U114)/(Settings!$F$14:$F$43&lt;&gt;""),Settings!$G$14:$G$43),"")))</f>
        <v/>
      </c>
      <c r="CB114">
        <f>IF(OR($B114="",V114=""),"",IFERROR(INDEX(Settings!$D$14:$D$33,MATCH(V114,Settings!$B$14:$B$33,0))&amp;"",IFERROR(LOOKUP(2^15,SEARCH(Settings!$F$14:$F$43,V114)/(Settings!$F$14:$F$43&lt;&gt;""),Settings!$G$14:$G$43),"")))</f>
        <v/>
      </c>
      <c r="CC114">
        <f>IF(OR($B114="",W114=""),"",IFERROR(INDEX(Settings!$D$14:$D$33,MATCH(W114,Settings!$B$14:$B$33,0))&amp;"",IFERROR(LOOKUP(2^15,SEARCH(Settings!$F$14:$F$43,W114)/(Settings!$F$14:$F$43&lt;&gt;""),Settings!$G$14:$G$43),"")))</f>
        <v/>
      </c>
      <c r="CD114">
        <f>IF(OR($B114="",X114=""),"",IFERROR(INDEX(Settings!$D$14:$D$33,MATCH(X114,Settings!$B$14:$B$33,0))&amp;"",IFERROR(LOOKUP(2^15,SEARCH(Settings!$F$14:$F$43,X114)/(Settings!$F$14:$F$43&lt;&gt;""),Settings!$G$14:$G$43),"")))</f>
        <v/>
      </c>
      <c r="CE114">
        <f>IF(OR($B114="",Y114=""),"",IFERROR(INDEX(Settings!$D$14:$D$33,MATCH(Y114,Settings!$B$14:$B$33,0))&amp;"",IFERROR(LOOKUP(2^15,SEARCH(Settings!$F$14:$F$43,Y114)/(Settings!$F$14:$F$43&lt;&gt;""),Settings!$G$14:$G$43),"")))</f>
        <v/>
      </c>
      <c r="CF114">
        <f>IF(OR($B114="",Z114=""),"",IFERROR(INDEX(Settings!$D$14:$D$33,MATCH(Z114,Settings!$B$14:$B$33,0))&amp;"",IFERROR(LOOKUP(2^15,SEARCH(Settings!$F$14:$F$43,Z114)/(Settings!$F$14:$F$43&lt;&gt;""),Settings!$G$14:$G$43),"")))</f>
        <v/>
      </c>
      <c r="CG114">
        <f>IF(OR($B114="",AA114=""),"",IFERROR(INDEX(Settings!$D$14:$D$33,MATCH(AA114,Settings!$B$14:$B$33,0))&amp;"",IFERROR(LOOKUP(2^15,SEARCH(Settings!$F$14:$F$43,AA114)/(Settings!$F$14:$F$43&lt;&gt;""),Settings!$G$14:$G$43),"")))</f>
        <v/>
      </c>
      <c r="CH114">
        <f>IF(OR($B114="",AB114=""),"",IFERROR(INDEX(Settings!$D$14:$D$33,MATCH(AB114,Settings!$B$14:$B$33,0))&amp;"",IFERROR(LOOKUP(2^15,SEARCH(Settings!$F$14:$F$43,AB114)/(Settings!$F$14:$F$43&lt;&gt;""),Settings!$G$14:$G$43),"")))</f>
        <v/>
      </c>
      <c r="CI114">
        <f>IF(OR($B114="",AC114=""),"",IFERROR(INDEX(Settings!$D$14:$D$33,MATCH(AC114,Settings!$B$14:$B$33,0))&amp;"",IFERROR(LOOKUP(2^15,SEARCH(Settings!$F$14:$F$43,AC114)/(Settings!$F$14:$F$43&lt;&gt;""),Settings!$G$14:$G$43),"")))</f>
        <v/>
      </c>
      <c r="CJ114">
        <f>IF(OR($B114="",AD114=""),"",IFERROR(INDEX(Settings!$D$14:$D$33,MATCH(AD114,Settings!$B$14:$B$33,0))&amp;"",IFERROR(LOOKUP(2^15,SEARCH(Settings!$F$14:$F$43,AD114)/(Settings!$F$14:$F$43&lt;&gt;""),Settings!$G$14:$G$43),"")))</f>
        <v/>
      </c>
      <c r="CK114">
        <f>IF(OR($B114="",AE114=""),"",IFERROR(INDEX(Settings!$D$14:$D$33,MATCH(AE114,Settings!$B$14:$B$33,0))&amp;"",IFERROR(LOOKUP(2^15,SEARCH(Settings!$F$14:$F$43,AE114)/(Settings!$F$14:$F$43&lt;&gt;""),Settings!$G$14:$G$43),"")))</f>
        <v/>
      </c>
      <c r="CL114">
        <f>IF(OR($B114="",AF114=""),"",IFERROR(INDEX(Settings!$D$14:$D$33,MATCH(AF114,Settings!$B$14:$B$33,0))&amp;"",IFERROR(LOOKUP(2^15,SEARCH(Settings!$F$14:$F$43,AF114)/(Settings!$F$14:$F$43&lt;&gt;""),Settings!$G$14:$G$43),"")))</f>
        <v/>
      </c>
      <c r="CM114">
        <f>IF(OR($B114="",AG114=""),"",IFERROR(INDEX(Settings!$D$14:$D$33,MATCH(AG114,Settings!$B$14:$B$33,0))&amp;"",IFERROR(LOOKUP(2^15,SEARCH(Settings!$F$14:$F$43,AG114)/(Settings!$F$14:$F$43&lt;&gt;""),Settings!$G$14:$G$43),"")))</f>
        <v/>
      </c>
    </row>
    <row r="115">
      <c r="A115" t="n">
        <v>113</v>
      </c>
      <c r="B115">
        <f>IFERROR(INDEX(Index!$A$2:$A$202,MATCH(A115,Index!$E$2:$E$202,0)),"")</f>
        <v/>
      </c>
      <c r="D115">
        <f>IF($B115="","",IFERROR(MATCH("Travel*",AI115:BJ115,0),""))</f>
        <v/>
      </c>
      <c r="F115">
        <f>IF(OR($B115="",NOT(ISNUMBER(Settings!$C$9))),"",TRIM(SUBSTITUTE(SUBSTITUTE(INDEX('INPUT - Roster'!$S$1:$SV$206,$B115,Settings!$C$9+0)&amp;"",CHAR(10)," "),CHAR(160)," ")))</f>
        <v/>
      </c>
      <c r="G115">
        <f>IF(OR($B115="",NOT(ISNUMBER(Settings!$C$9))),"",TRIM(SUBSTITUTE(SUBSTITUTE(INDEX('INPUT - Roster'!$S$1:$SV$206,$B115,Settings!$C$9+1)&amp;"",CHAR(10)," "),CHAR(160)," ")))</f>
        <v/>
      </c>
      <c r="H115">
        <f>IF(OR($B115="",NOT(ISNUMBER(Settings!$C$9))),"",TRIM(SUBSTITUTE(SUBSTITUTE(INDEX('INPUT - Roster'!$S$1:$SV$206,$B115,Settings!$C$9+2)&amp;"",CHAR(10)," "),CHAR(160)," ")))</f>
        <v/>
      </c>
      <c r="I115">
        <f>IF(OR($B115="",NOT(ISNUMBER(Settings!$C$9))),"",TRIM(SUBSTITUTE(SUBSTITUTE(INDEX('INPUT - Roster'!$S$1:$SV$206,$B115,Settings!$C$9+3)&amp;"",CHAR(10)," "),CHAR(160)," ")))</f>
        <v/>
      </c>
      <c r="J115">
        <f>IF(OR($B115="",NOT(ISNUMBER(Settings!$C$9))),"",TRIM(SUBSTITUTE(SUBSTITUTE(INDEX('INPUT - Roster'!$S$1:$SV$206,$B115,Settings!$C$9+4)&amp;"",CHAR(10)," "),CHAR(160)," ")))</f>
        <v/>
      </c>
      <c r="K115">
        <f>IF(OR($B115="",NOT(ISNUMBER(Settings!$C$9))),"",TRIM(SUBSTITUTE(SUBSTITUTE(INDEX('INPUT - Roster'!$S$1:$SV$206,$B115,Settings!$C$9+5)&amp;"",CHAR(10)," "),CHAR(160)," ")))</f>
        <v/>
      </c>
      <c r="L115">
        <f>IF(OR($B115="",NOT(ISNUMBER(Settings!$C$9))),"",TRIM(SUBSTITUTE(SUBSTITUTE(INDEX('INPUT - Roster'!$S$1:$SV$206,$B115,Settings!$C$9+6)&amp;"",CHAR(10)," "),CHAR(160)," ")))</f>
        <v/>
      </c>
      <c r="M115">
        <f>IF(OR($B115="",NOT(ISNUMBER(Settings!$C$9))),"",TRIM(SUBSTITUTE(SUBSTITUTE(INDEX('INPUT - Roster'!$S$1:$SV$206,$B115,Settings!$C$9+7)&amp;"",CHAR(10)," "),CHAR(160)," ")))</f>
        <v/>
      </c>
      <c r="N115">
        <f>IF(OR($B115="",NOT(ISNUMBER(Settings!$C$9))),"",TRIM(SUBSTITUTE(SUBSTITUTE(INDEX('INPUT - Roster'!$S$1:$SV$206,$B115,Settings!$C$9+8)&amp;"",CHAR(10)," "),CHAR(160)," ")))</f>
        <v/>
      </c>
      <c r="O115">
        <f>IF(OR($B115="",NOT(ISNUMBER(Settings!$C$9))),"",TRIM(SUBSTITUTE(SUBSTITUTE(INDEX('INPUT - Roster'!$S$1:$SV$206,$B115,Settings!$C$9+9)&amp;"",CHAR(10)," "),CHAR(160)," ")))</f>
        <v/>
      </c>
      <c r="P115">
        <f>IF(OR($B115="",NOT(ISNUMBER(Settings!$C$9))),"",TRIM(SUBSTITUTE(SUBSTITUTE(INDEX('INPUT - Roster'!$S$1:$SV$206,$B115,Settings!$C$9+10)&amp;"",CHAR(10)," "),CHAR(160)," ")))</f>
        <v/>
      </c>
      <c r="Q115">
        <f>IF(OR($B115="",NOT(ISNUMBER(Settings!$C$9))),"",TRIM(SUBSTITUTE(SUBSTITUTE(INDEX('INPUT - Roster'!$S$1:$SV$206,$B115,Settings!$C$9+11)&amp;"",CHAR(10)," "),CHAR(160)," ")))</f>
        <v/>
      </c>
      <c r="R115">
        <f>IF(OR($B115="",NOT(ISNUMBER(Settings!$C$9))),"",TRIM(SUBSTITUTE(SUBSTITUTE(INDEX('INPUT - Roster'!$S$1:$SV$206,$B115,Settings!$C$9+12)&amp;"",CHAR(10)," "),CHAR(160)," ")))</f>
        <v/>
      </c>
      <c r="S115">
        <f>IF(OR($B115="",NOT(ISNUMBER(Settings!$C$9))),"",TRIM(SUBSTITUTE(SUBSTITUTE(INDEX('INPUT - Roster'!$S$1:$SV$206,$B115,Settings!$C$9+13)&amp;"",CHAR(10)," "),CHAR(160)," ")))</f>
        <v/>
      </c>
      <c r="T115">
        <f>IF(OR($B115="",NOT(ISNUMBER(Settings!$C$9))),"",TRIM(SUBSTITUTE(SUBSTITUTE(INDEX('INPUT - Roster'!$S$1:$SV$206,$B115,Settings!$C$9+14)&amp;"",CHAR(10)," "),CHAR(160)," ")))</f>
        <v/>
      </c>
      <c r="U115">
        <f>IF(OR($B115="",NOT(ISNUMBER(Settings!$C$9))),"",TRIM(SUBSTITUTE(SUBSTITUTE(INDEX('INPUT - Roster'!$S$1:$SV$206,$B115,Settings!$C$9+15)&amp;"",CHAR(10)," "),CHAR(160)," ")))</f>
        <v/>
      </c>
      <c r="V115">
        <f>IF(OR($B115="",NOT(ISNUMBER(Settings!$C$9))),"",TRIM(SUBSTITUTE(SUBSTITUTE(INDEX('INPUT - Roster'!$S$1:$SV$206,$B115,Settings!$C$9+16)&amp;"",CHAR(10)," "),CHAR(160)," ")))</f>
        <v/>
      </c>
      <c r="W115">
        <f>IF(OR($B115="",NOT(ISNUMBER(Settings!$C$9))),"",TRIM(SUBSTITUTE(SUBSTITUTE(INDEX('INPUT - Roster'!$S$1:$SV$206,$B115,Settings!$C$9+17)&amp;"",CHAR(10)," "),CHAR(160)," ")))</f>
        <v/>
      </c>
      <c r="X115">
        <f>IF(OR($B115="",NOT(ISNUMBER(Settings!$C$9))),"",TRIM(SUBSTITUTE(SUBSTITUTE(INDEX('INPUT - Roster'!$S$1:$SV$206,$B115,Settings!$C$9+18)&amp;"",CHAR(10)," "),CHAR(160)," ")))</f>
        <v/>
      </c>
      <c r="Y115">
        <f>IF(OR($B115="",NOT(ISNUMBER(Settings!$C$9))),"",TRIM(SUBSTITUTE(SUBSTITUTE(INDEX('INPUT - Roster'!$S$1:$SV$206,$B115,Settings!$C$9+19)&amp;"",CHAR(10)," "),CHAR(160)," ")))</f>
        <v/>
      </c>
      <c r="Z115">
        <f>IF(OR($B115="",NOT(ISNUMBER(Settings!$C$9))),"",TRIM(SUBSTITUTE(SUBSTITUTE(INDEX('INPUT - Roster'!$S$1:$SV$206,$B115,Settings!$C$9+20)&amp;"",CHAR(10)," "),CHAR(160)," ")))</f>
        <v/>
      </c>
      <c r="AA115">
        <f>IF(OR($B115="",NOT(ISNUMBER(Settings!$C$9))),"",TRIM(SUBSTITUTE(SUBSTITUTE(INDEX('INPUT - Roster'!$S$1:$SV$206,$B115,Settings!$C$9+21)&amp;"",CHAR(10)," "),CHAR(160)," ")))</f>
        <v/>
      </c>
      <c r="AB115">
        <f>IF(OR($B115="",NOT(ISNUMBER(Settings!$C$9))),"",TRIM(SUBSTITUTE(SUBSTITUTE(INDEX('INPUT - Roster'!$S$1:$SV$206,$B115,Settings!$C$9+22)&amp;"",CHAR(10)," "),CHAR(160)," ")))</f>
        <v/>
      </c>
      <c r="AC115">
        <f>IF(OR($B115="",NOT(ISNUMBER(Settings!$C$9))),"",TRIM(SUBSTITUTE(SUBSTITUTE(INDEX('INPUT - Roster'!$S$1:$SV$206,$B115,Settings!$C$9+23)&amp;"",CHAR(10)," "),CHAR(160)," ")))</f>
        <v/>
      </c>
      <c r="AD115">
        <f>IF(OR($B115="",NOT(ISNUMBER(Settings!$C$9))),"",TRIM(SUBSTITUTE(SUBSTITUTE(INDEX('INPUT - Roster'!$S$1:$SV$206,$B115,Settings!$C$9+24)&amp;"",CHAR(10)," "),CHAR(160)," ")))</f>
        <v/>
      </c>
      <c r="AE115">
        <f>IF(OR($B115="",NOT(ISNUMBER(Settings!$C$9))),"",TRIM(SUBSTITUTE(SUBSTITUTE(INDEX('INPUT - Roster'!$S$1:$SV$206,$B115,Settings!$C$9+25)&amp;"",CHAR(10)," "),CHAR(160)," ")))</f>
        <v/>
      </c>
      <c r="AF115">
        <f>IF(OR($B115="",NOT(ISNUMBER(Settings!$C$9))),"",TRIM(SUBSTITUTE(SUBSTITUTE(INDEX('INPUT - Roster'!$S$1:$SV$206,$B115,Settings!$C$9+26)&amp;"",CHAR(10)," "),CHAR(160)," ")))</f>
        <v/>
      </c>
      <c r="AG115">
        <f>IF(OR($B115="",NOT(ISNUMBER(Settings!$C$9))),"",TRIM(SUBSTITUTE(SUBSTITUTE(INDEX('INPUT - Roster'!$S$1:$SV$206,$B115,Settings!$C$9+27)&amp;"",CHAR(10)," "),CHAR(160)," ")))</f>
        <v/>
      </c>
      <c r="AI115">
        <f>IF($B115="","",IF(F115="","Not rostered",IFERROR(INDEX(Settings!$C$14:$C$33,MATCH(F115,Settings!$B$14:$B$33,0)),IFERROR(LOOKUP(2^15,SEARCH(Settings!$I$14:$I$83,F115)/(Settings!$I$14:$I$83&lt;&gt;""),Settings!$J$14:$J$83),"Other"))))</f>
        <v/>
      </c>
      <c r="AJ115">
        <f>IF($B115="","",IF(G115="","Not rostered",IFERROR(INDEX(Settings!$C$14:$C$33,MATCH(G115,Settings!$B$14:$B$33,0)),IFERROR(LOOKUP(2^15,SEARCH(Settings!$I$14:$I$83,G115)/(Settings!$I$14:$I$83&lt;&gt;""),Settings!$J$14:$J$83),"Other"))))</f>
        <v/>
      </c>
      <c r="AK115">
        <f>IF($B115="","",IF(H115="","Not rostered",IFERROR(INDEX(Settings!$C$14:$C$33,MATCH(H115,Settings!$B$14:$B$33,0)),IFERROR(LOOKUP(2^15,SEARCH(Settings!$I$14:$I$83,H115)/(Settings!$I$14:$I$83&lt;&gt;""),Settings!$J$14:$J$83),"Other"))))</f>
        <v/>
      </c>
      <c r="AL115">
        <f>IF($B115="","",IF(I115="","Not rostered",IFERROR(INDEX(Settings!$C$14:$C$33,MATCH(I115,Settings!$B$14:$B$33,0)),IFERROR(LOOKUP(2^15,SEARCH(Settings!$I$14:$I$83,I115)/(Settings!$I$14:$I$83&lt;&gt;""),Settings!$J$14:$J$83),"Other"))))</f>
        <v/>
      </c>
      <c r="AM115">
        <f>IF($B115="","",IF(J115="","Not rostered",IFERROR(INDEX(Settings!$C$14:$C$33,MATCH(J115,Settings!$B$14:$B$33,0)),IFERROR(LOOKUP(2^15,SEARCH(Settings!$I$14:$I$83,J115)/(Settings!$I$14:$I$83&lt;&gt;""),Settings!$J$14:$J$83),"Other"))))</f>
        <v/>
      </c>
      <c r="AN115">
        <f>IF($B115="","",IF(K115="","Not rostered",IFERROR(INDEX(Settings!$C$14:$C$33,MATCH(K115,Settings!$B$14:$B$33,0)),IFERROR(LOOKUP(2^15,SEARCH(Settings!$I$14:$I$83,K115)/(Settings!$I$14:$I$83&lt;&gt;""),Settings!$J$14:$J$83),"Other"))))</f>
        <v/>
      </c>
      <c r="AO115">
        <f>IF($B115="","",IF(L115="","Not rostered",IFERROR(INDEX(Settings!$C$14:$C$33,MATCH(L115,Settings!$B$14:$B$33,0)),IFERROR(LOOKUP(2^15,SEARCH(Settings!$I$14:$I$83,L115)/(Settings!$I$14:$I$83&lt;&gt;""),Settings!$J$14:$J$83),"Other"))))</f>
        <v/>
      </c>
      <c r="AP115">
        <f>IF($B115="","",IF(M115="","Not rostered",IFERROR(INDEX(Settings!$C$14:$C$33,MATCH(M115,Settings!$B$14:$B$33,0)),IFERROR(LOOKUP(2^15,SEARCH(Settings!$I$14:$I$83,M115)/(Settings!$I$14:$I$83&lt;&gt;""),Settings!$J$14:$J$83),"Other"))))</f>
        <v/>
      </c>
      <c r="AQ115">
        <f>IF($B115="","",IF(N115="","Not rostered",IFERROR(INDEX(Settings!$C$14:$C$33,MATCH(N115,Settings!$B$14:$B$33,0)),IFERROR(LOOKUP(2^15,SEARCH(Settings!$I$14:$I$83,N115)/(Settings!$I$14:$I$83&lt;&gt;""),Settings!$J$14:$J$83),"Other"))))</f>
        <v/>
      </c>
      <c r="AR115">
        <f>IF($B115="","",IF(O115="","Not rostered",IFERROR(INDEX(Settings!$C$14:$C$33,MATCH(O115,Settings!$B$14:$B$33,0)),IFERROR(LOOKUP(2^15,SEARCH(Settings!$I$14:$I$83,O115)/(Settings!$I$14:$I$83&lt;&gt;""),Settings!$J$14:$J$83),"Other"))))</f>
        <v/>
      </c>
      <c r="AS115">
        <f>IF($B115="","",IF(P115="","Not rostered",IFERROR(INDEX(Settings!$C$14:$C$33,MATCH(P115,Settings!$B$14:$B$33,0)),IFERROR(LOOKUP(2^15,SEARCH(Settings!$I$14:$I$83,P115)/(Settings!$I$14:$I$83&lt;&gt;""),Settings!$J$14:$J$83),"Other"))))</f>
        <v/>
      </c>
      <c r="AT115">
        <f>IF($B115="","",IF(Q115="","Not rostered",IFERROR(INDEX(Settings!$C$14:$C$33,MATCH(Q115,Settings!$B$14:$B$33,0)),IFERROR(LOOKUP(2^15,SEARCH(Settings!$I$14:$I$83,Q115)/(Settings!$I$14:$I$83&lt;&gt;""),Settings!$J$14:$J$83),"Other"))))</f>
        <v/>
      </c>
      <c r="AU115">
        <f>IF($B115="","",IF(R115="","Not rostered",IFERROR(INDEX(Settings!$C$14:$C$33,MATCH(R115,Settings!$B$14:$B$33,0)),IFERROR(LOOKUP(2^15,SEARCH(Settings!$I$14:$I$83,R115)/(Settings!$I$14:$I$83&lt;&gt;""),Settings!$J$14:$J$83),"Other"))))</f>
        <v/>
      </c>
      <c r="AV115">
        <f>IF($B115="","",IF(S115="","Not rostered",IFERROR(INDEX(Settings!$C$14:$C$33,MATCH(S115,Settings!$B$14:$B$33,0)),IFERROR(LOOKUP(2^15,SEARCH(Settings!$I$14:$I$83,S115)/(Settings!$I$14:$I$83&lt;&gt;""),Settings!$J$14:$J$83),"Other"))))</f>
        <v/>
      </c>
      <c r="AW115">
        <f>IF($B115="","",IF(T115="","Not rostered",IFERROR(INDEX(Settings!$C$14:$C$33,MATCH(T115,Settings!$B$14:$B$33,0)),IFERROR(LOOKUP(2^15,SEARCH(Settings!$I$14:$I$83,T115)/(Settings!$I$14:$I$83&lt;&gt;""),Settings!$J$14:$J$83),"Other"))))</f>
        <v/>
      </c>
      <c r="AX115">
        <f>IF($B115="","",IF(U115="","Not rostered",IFERROR(INDEX(Settings!$C$14:$C$33,MATCH(U115,Settings!$B$14:$B$33,0)),IFERROR(LOOKUP(2^15,SEARCH(Settings!$I$14:$I$83,U115)/(Settings!$I$14:$I$83&lt;&gt;""),Settings!$J$14:$J$83),"Other"))))</f>
        <v/>
      </c>
      <c r="AY115">
        <f>IF($B115="","",IF(V115="","Not rostered",IFERROR(INDEX(Settings!$C$14:$C$33,MATCH(V115,Settings!$B$14:$B$33,0)),IFERROR(LOOKUP(2^15,SEARCH(Settings!$I$14:$I$83,V115)/(Settings!$I$14:$I$83&lt;&gt;""),Settings!$J$14:$J$83),"Other"))))</f>
        <v/>
      </c>
      <c r="AZ115">
        <f>IF($B115="","",IF(W115="","Not rostered",IFERROR(INDEX(Settings!$C$14:$C$33,MATCH(W115,Settings!$B$14:$B$33,0)),IFERROR(LOOKUP(2^15,SEARCH(Settings!$I$14:$I$83,W115)/(Settings!$I$14:$I$83&lt;&gt;""),Settings!$J$14:$J$83),"Other"))))</f>
        <v/>
      </c>
      <c r="BA115">
        <f>IF($B115="","",IF(X115="","Not rostered",IFERROR(INDEX(Settings!$C$14:$C$33,MATCH(X115,Settings!$B$14:$B$33,0)),IFERROR(LOOKUP(2^15,SEARCH(Settings!$I$14:$I$83,X115)/(Settings!$I$14:$I$83&lt;&gt;""),Settings!$J$14:$J$83),"Other"))))</f>
        <v/>
      </c>
      <c r="BB115">
        <f>IF($B115="","",IF(Y115="","Not rostered",IFERROR(INDEX(Settings!$C$14:$C$33,MATCH(Y115,Settings!$B$14:$B$33,0)),IFERROR(LOOKUP(2^15,SEARCH(Settings!$I$14:$I$83,Y115)/(Settings!$I$14:$I$83&lt;&gt;""),Settings!$J$14:$J$83),"Other"))))</f>
        <v/>
      </c>
      <c r="BC115">
        <f>IF($B115="","",IF(Z115="","Not rostered",IFERROR(INDEX(Settings!$C$14:$C$33,MATCH(Z115,Settings!$B$14:$B$33,0)),IFERROR(LOOKUP(2^15,SEARCH(Settings!$I$14:$I$83,Z115)/(Settings!$I$14:$I$83&lt;&gt;""),Settings!$J$14:$J$83),"Other"))))</f>
        <v/>
      </c>
      <c r="BD115">
        <f>IF($B115="","",IF(AA115="","Not rostered",IFERROR(INDEX(Settings!$C$14:$C$33,MATCH(AA115,Settings!$B$14:$B$33,0)),IFERROR(LOOKUP(2^15,SEARCH(Settings!$I$14:$I$83,AA115)/(Settings!$I$14:$I$83&lt;&gt;""),Settings!$J$14:$J$83),"Other"))))</f>
        <v/>
      </c>
      <c r="BE115">
        <f>IF($B115="","",IF(AB115="","Not rostered",IFERROR(INDEX(Settings!$C$14:$C$33,MATCH(AB115,Settings!$B$14:$B$33,0)),IFERROR(LOOKUP(2^15,SEARCH(Settings!$I$14:$I$83,AB115)/(Settings!$I$14:$I$83&lt;&gt;""),Settings!$J$14:$J$83),"Other"))))</f>
        <v/>
      </c>
      <c r="BF115">
        <f>IF($B115="","",IF(AC115="","Not rostered",IFERROR(INDEX(Settings!$C$14:$C$33,MATCH(AC115,Settings!$B$14:$B$33,0)),IFERROR(LOOKUP(2^15,SEARCH(Settings!$I$14:$I$83,AC115)/(Settings!$I$14:$I$83&lt;&gt;""),Settings!$J$14:$J$83),"Other"))))</f>
        <v/>
      </c>
      <c r="BG115">
        <f>IF($B115="","",IF(AD115="","Not rostered",IFERROR(INDEX(Settings!$C$14:$C$33,MATCH(AD115,Settings!$B$14:$B$33,0)),IFERROR(LOOKUP(2^15,SEARCH(Settings!$I$14:$I$83,AD115)/(Settings!$I$14:$I$83&lt;&gt;""),Settings!$J$14:$J$83),"Other"))))</f>
        <v/>
      </c>
      <c r="BH115">
        <f>IF($B115="","",IF(AE115="","Not rostered",IFERROR(INDEX(Settings!$C$14:$C$33,MATCH(AE115,Settings!$B$14:$B$33,0)),IFERROR(LOOKUP(2^15,SEARCH(Settings!$I$14:$I$83,AE115)/(Settings!$I$14:$I$83&lt;&gt;""),Settings!$J$14:$J$83),"Other"))))</f>
        <v/>
      </c>
      <c r="BI115">
        <f>IF($B115="","",IF(AF115="","Not rostered",IFERROR(INDEX(Settings!$C$14:$C$33,MATCH(AF115,Settings!$B$14:$B$33,0)),IFERROR(LOOKUP(2^15,SEARCH(Settings!$I$14:$I$83,AF115)/(Settings!$I$14:$I$83&lt;&gt;""),Settings!$J$14:$J$83),"Other"))))</f>
        <v/>
      </c>
      <c r="BJ115">
        <f>IF($B115="","",IF(AG115="","Not rostered",IFERROR(INDEX(Settings!$C$14:$C$33,MATCH(AG115,Settings!$B$14:$B$33,0)),IFERROR(LOOKUP(2^15,SEARCH(Settings!$I$14:$I$83,AG115)/(Settings!$I$14:$I$83&lt;&gt;""),Settings!$J$14:$J$83),"Other"))))</f>
        <v/>
      </c>
      <c r="BL115">
        <f>IF(OR($B115="",F115=""),"",IFERROR(INDEX(Settings!$D$14:$D$33,MATCH(F115,Settings!$B$14:$B$33,0))&amp;"",IFERROR(LOOKUP(2^15,SEARCH(Settings!$F$14:$F$43,F115)/(Settings!$F$14:$F$43&lt;&gt;""),Settings!$G$14:$G$43),"")))</f>
        <v/>
      </c>
      <c r="BM115">
        <f>IF(OR($B115="",G115=""),"",IFERROR(INDEX(Settings!$D$14:$D$33,MATCH(G115,Settings!$B$14:$B$33,0))&amp;"",IFERROR(LOOKUP(2^15,SEARCH(Settings!$F$14:$F$43,G115)/(Settings!$F$14:$F$43&lt;&gt;""),Settings!$G$14:$G$43),"")))</f>
        <v/>
      </c>
      <c r="BN115">
        <f>IF(OR($B115="",H115=""),"",IFERROR(INDEX(Settings!$D$14:$D$33,MATCH(H115,Settings!$B$14:$B$33,0))&amp;"",IFERROR(LOOKUP(2^15,SEARCH(Settings!$F$14:$F$43,H115)/(Settings!$F$14:$F$43&lt;&gt;""),Settings!$G$14:$G$43),"")))</f>
        <v/>
      </c>
      <c r="BO115">
        <f>IF(OR($B115="",I115=""),"",IFERROR(INDEX(Settings!$D$14:$D$33,MATCH(I115,Settings!$B$14:$B$33,0))&amp;"",IFERROR(LOOKUP(2^15,SEARCH(Settings!$F$14:$F$43,I115)/(Settings!$F$14:$F$43&lt;&gt;""),Settings!$G$14:$G$43),"")))</f>
        <v/>
      </c>
      <c r="BP115">
        <f>IF(OR($B115="",J115=""),"",IFERROR(INDEX(Settings!$D$14:$D$33,MATCH(J115,Settings!$B$14:$B$33,0))&amp;"",IFERROR(LOOKUP(2^15,SEARCH(Settings!$F$14:$F$43,J115)/(Settings!$F$14:$F$43&lt;&gt;""),Settings!$G$14:$G$43),"")))</f>
        <v/>
      </c>
      <c r="BQ115">
        <f>IF(OR($B115="",K115=""),"",IFERROR(INDEX(Settings!$D$14:$D$33,MATCH(K115,Settings!$B$14:$B$33,0))&amp;"",IFERROR(LOOKUP(2^15,SEARCH(Settings!$F$14:$F$43,K115)/(Settings!$F$14:$F$43&lt;&gt;""),Settings!$G$14:$G$43),"")))</f>
        <v/>
      </c>
      <c r="BR115">
        <f>IF(OR($B115="",L115=""),"",IFERROR(INDEX(Settings!$D$14:$D$33,MATCH(L115,Settings!$B$14:$B$33,0))&amp;"",IFERROR(LOOKUP(2^15,SEARCH(Settings!$F$14:$F$43,L115)/(Settings!$F$14:$F$43&lt;&gt;""),Settings!$G$14:$G$43),"")))</f>
        <v/>
      </c>
      <c r="BS115">
        <f>IF(OR($B115="",M115=""),"",IFERROR(INDEX(Settings!$D$14:$D$33,MATCH(M115,Settings!$B$14:$B$33,0))&amp;"",IFERROR(LOOKUP(2^15,SEARCH(Settings!$F$14:$F$43,M115)/(Settings!$F$14:$F$43&lt;&gt;""),Settings!$G$14:$G$43),"")))</f>
        <v/>
      </c>
      <c r="BT115">
        <f>IF(OR($B115="",N115=""),"",IFERROR(INDEX(Settings!$D$14:$D$33,MATCH(N115,Settings!$B$14:$B$33,0))&amp;"",IFERROR(LOOKUP(2^15,SEARCH(Settings!$F$14:$F$43,N115)/(Settings!$F$14:$F$43&lt;&gt;""),Settings!$G$14:$G$43),"")))</f>
        <v/>
      </c>
      <c r="BU115">
        <f>IF(OR($B115="",O115=""),"",IFERROR(INDEX(Settings!$D$14:$D$33,MATCH(O115,Settings!$B$14:$B$33,0))&amp;"",IFERROR(LOOKUP(2^15,SEARCH(Settings!$F$14:$F$43,O115)/(Settings!$F$14:$F$43&lt;&gt;""),Settings!$G$14:$G$43),"")))</f>
        <v/>
      </c>
      <c r="BV115">
        <f>IF(OR($B115="",P115=""),"",IFERROR(INDEX(Settings!$D$14:$D$33,MATCH(P115,Settings!$B$14:$B$33,0))&amp;"",IFERROR(LOOKUP(2^15,SEARCH(Settings!$F$14:$F$43,P115)/(Settings!$F$14:$F$43&lt;&gt;""),Settings!$G$14:$G$43),"")))</f>
        <v/>
      </c>
      <c r="BW115">
        <f>IF(OR($B115="",Q115=""),"",IFERROR(INDEX(Settings!$D$14:$D$33,MATCH(Q115,Settings!$B$14:$B$33,0))&amp;"",IFERROR(LOOKUP(2^15,SEARCH(Settings!$F$14:$F$43,Q115)/(Settings!$F$14:$F$43&lt;&gt;""),Settings!$G$14:$G$43),"")))</f>
        <v/>
      </c>
      <c r="BX115">
        <f>IF(OR($B115="",R115=""),"",IFERROR(INDEX(Settings!$D$14:$D$33,MATCH(R115,Settings!$B$14:$B$33,0))&amp;"",IFERROR(LOOKUP(2^15,SEARCH(Settings!$F$14:$F$43,R115)/(Settings!$F$14:$F$43&lt;&gt;""),Settings!$G$14:$G$43),"")))</f>
        <v/>
      </c>
      <c r="BY115">
        <f>IF(OR($B115="",S115=""),"",IFERROR(INDEX(Settings!$D$14:$D$33,MATCH(S115,Settings!$B$14:$B$33,0))&amp;"",IFERROR(LOOKUP(2^15,SEARCH(Settings!$F$14:$F$43,S115)/(Settings!$F$14:$F$43&lt;&gt;""),Settings!$G$14:$G$43),"")))</f>
        <v/>
      </c>
      <c r="BZ115">
        <f>IF(OR($B115="",T115=""),"",IFERROR(INDEX(Settings!$D$14:$D$33,MATCH(T115,Settings!$B$14:$B$33,0))&amp;"",IFERROR(LOOKUP(2^15,SEARCH(Settings!$F$14:$F$43,T115)/(Settings!$F$14:$F$43&lt;&gt;""),Settings!$G$14:$G$43),"")))</f>
        <v/>
      </c>
      <c r="CA115">
        <f>IF(OR($B115="",U115=""),"",IFERROR(INDEX(Settings!$D$14:$D$33,MATCH(U115,Settings!$B$14:$B$33,0))&amp;"",IFERROR(LOOKUP(2^15,SEARCH(Settings!$F$14:$F$43,U115)/(Settings!$F$14:$F$43&lt;&gt;""),Settings!$G$14:$G$43),"")))</f>
        <v/>
      </c>
      <c r="CB115">
        <f>IF(OR($B115="",V115=""),"",IFERROR(INDEX(Settings!$D$14:$D$33,MATCH(V115,Settings!$B$14:$B$33,0))&amp;"",IFERROR(LOOKUP(2^15,SEARCH(Settings!$F$14:$F$43,V115)/(Settings!$F$14:$F$43&lt;&gt;""),Settings!$G$14:$G$43),"")))</f>
        <v/>
      </c>
      <c r="CC115">
        <f>IF(OR($B115="",W115=""),"",IFERROR(INDEX(Settings!$D$14:$D$33,MATCH(W115,Settings!$B$14:$B$33,0))&amp;"",IFERROR(LOOKUP(2^15,SEARCH(Settings!$F$14:$F$43,W115)/(Settings!$F$14:$F$43&lt;&gt;""),Settings!$G$14:$G$43),"")))</f>
        <v/>
      </c>
      <c r="CD115">
        <f>IF(OR($B115="",X115=""),"",IFERROR(INDEX(Settings!$D$14:$D$33,MATCH(X115,Settings!$B$14:$B$33,0))&amp;"",IFERROR(LOOKUP(2^15,SEARCH(Settings!$F$14:$F$43,X115)/(Settings!$F$14:$F$43&lt;&gt;""),Settings!$G$14:$G$43),"")))</f>
        <v/>
      </c>
      <c r="CE115">
        <f>IF(OR($B115="",Y115=""),"",IFERROR(INDEX(Settings!$D$14:$D$33,MATCH(Y115,Settings!$B$14:$B$33,0))&amp;"",IFERROR(LOOKUP(2^15,SEARCH(Settings!$F$14:$F$43,Y115)/(Settings!$F$14:$F$43&lt;&gt;""),Settings!$G$14:$G$43),"")))</f>
        <v/>
      </c>
      <c r="CF115">
        <f>IF(OR($B115="",Z115=""),"",IFERROR(INDEX(Settings!$D$14:$D$33,MATCH(Z115,Settings!$B$14:$B$33,0))&amp;"",IFERROR(LOOKUP(2^15,SEARCH(Settings!$F$14:$F$43,Z115)/(Settings!$F$14:$F$43&lt;&gt;""),Settings!$G$14:$G$43),"")))</f>
        <v/>
      </c>
      <c r="CG115">
        <f>IF(OR($B115="",AA115=""),"",IFERROR(INDEX(Settings!$D$14:$D$33,MATCH(AA115,Settings!$B$14:$B$33,0))&amp;"",IFERROR(LOOKUP(2^15,SEARCH(Settings!$F$14:$F$43,AA115)/(Settings!$F$14:$F$43&lt;&gt;""),Settings!$G$14:$G$43),"")))</f>
        <v/>
      </c>
      <c r="CH115">
        <f>IF(OR($B115="",AB115=""),"",IFERROR(INDEX(Settings!$D$14:$D$33,MATCH(AB115,Settings!$B$14:$B$33,0))&amp;"",IFERROR(LOOKUP(2^15,SEARCH(Settings!$F$14:$F$43,AB115)/(Settings!$F$14:$F$43&lt;&gt;""),Settings!$G$14:$G$43),"")))</f>
        <v/>
      </c>
      <c r="CI115">
        <f>IF(OR($B115="",AC115=""),"",IFERROR(INDEX(Settings!$D$14:$D$33,MATCH(AC115,Settings!$B$14:$B$33,0))&amp;"",IFERROR(LOOKUP(2^15,SEARCH(Settings!$F$14:$F$43,AC115)/(Settings!$F$14:$F$43&lt;&gt;""),Settings!$G$14:$G$43),"")))</f>
        <v/>
      </c>
      <c r="CJ115">
        <f>IF(OR($B115="",AD115=""),"",IFERROR(INDEX(Settings!$D$14:$D$33,MATCH(AD115,Settings!$B$14:$B$33,0))&amp;"",IFERROR(LOOKUP(2^15,SEARCH(Settings!$F$14:$F$43,AD115)/(Settings!$F$14:$F$43&lt;&gt;""),Settings!$G$14:$G$43),"")))</f>
        <v/>
      </c>
      <c r="CK115">
        <f>IF(OR($B115="",AE115=""),"",IFERROR(INDEX(Settings!$D$14:$D$33,MATCH(AE115,Settings!$B$14:$B$33,0))&amp;"",IFERROR(LOOKUP(2^15,SEARCH(Settings!$F$14:$F$43,AE115)/(Settings!$F$14:$F$43&lt;&gt;""),Settings!$G$14:$G$43),"")))</f>
        <v/>
      </c>
      <c r="CL115">
        <f>IF(OR($B115="",AF115=""),"",IFERROR(INDEX(Settings!$D$14:$D$33,MATCH(AF115,Settings!$B$14:$B$33,0))&amp;"",IFERROR(LOOKUP(2^15,SEARCH(Settings!$F$14:$F$43,AF115)/(Settings!$F$14:$F$43&lt;&gt;""),Settings!$G$14:$G$43),"")))</f>
        <v/>
      </c>
      <c r="CM115">
        <f>IF(OR($B115="",AG115=""),"",IFERROR(INDEX(Settings!$D$14:$D$33,MATCH(AG115,Settings!$B$14:$B$33,0))&amp;"",IFERROR(LOOKUP(2^15,SEARCH(Settings!$F$14:$F$43,AG115)/(Settings!$F$14:$F$43&lt;&gt;""),Settings!$G$14:$G$43),"")))</f>
        <v/>
      </c>
    </row>
    <row r="116">
      <c r="A116" t="n">
        <v>114</v>
      </c>
      <c r="B116">
        <f>IFERROR(INDEX(Index!$A$2:$A$202,MATCH(A116,Index!$E$2:$E$202,0)),"")</f>
        <v/>
      </c>
      <c r="D116">
        <f>IF($B116="","",IFERROR(MATCH("Travel*",AI116:BJ116,0),""))</f>
        <v/>
      </c>
      <c r="F116">
        <f>IF(OR($B116="",NOT(ISNUMBER(Settings!$C$9))),"",TRIM(SUBSTITUTE(SUBSTITUTE(INDEX('INPUT - Roster'!$S$1:$SV$206,$B116,Settings!$C$9+0)&amp;"",CHAR(10)," "),CHAR(160)," ")))</f>
        <v/>
      </c>
      <c r="G116">
        <f>IF(OR($B116="",NOT(ISNUMBER(Settings!$C$9))),"",TRIM(SUBSTITUTE(SUBSTITUTE(INDEX('INPUT - Roster'!$S$1:$SV$206,$B116,Settings!$C$9+1)&amp;"",CHAR(10)," "),CHAR(160)," ")))</f>
        <v/>
      </c>
      <c r="H116">
        <f>IF(OR($B116="",NOT(ISNUMBER(Settings!$C$9))),"",TRIM(SUBSTITUTE(SUBSTITUTE(INDEX('INPUT - Roster'!$S$1:$SV$206,$B116,Settings!$C$9+2)&amp;"",CHAR(10)," "),CHAR(160)," ")))</f>
        <v/>
      </c>
      <c r="I116">
        <f>IF(OR($B116="",NOT(ISNUMBER(Settings!$C$9))),"",TRIM(SUBSTITUTE(SUBSTITUTE(INDEX('INPUT - Roster'!$S$1:$SV$206,$B116,Settings!$C$9+3)&amp;"",CHAR(10)," "),CHAR(160)," ")))</f>
        <v/>
      </c>
      <c r="J116">
        <f>IF(OR($B116="",NOT(ISNUMBER(Settings!$C$9))),"",TRIM(SUBSTITUTE(SUBSTITUTE(INDEX('INPUT - Roster'!$S$1:$SV$206,$B116,Settings!$C$9+4)&amp;"",CHAR(10)," "),CHAR(160)," ")))</f>
        <v/>
      </c>
      <c r="K116">
        <f>IF(OR($B116="",NOT(ISNUMBER(Settings!$C$9))),"",TRIM(SUBSTITUTE(SUBSTITUTE(INDEX('INPUT - Roster'!$S$1:$SV$206,$B116,Settings!$C$9+5)&amp;"",CHAR(10)," "),CHAR(160)," ")))</f>
        <v/>
      </c>
      <c r="L116">
        <f>IF(OR($B116="",NOT(ISNUMBER(Settings!$C$9))),"",TRIM(SUBSTITUTE(SUBSTITUTE(INDEX('INPUT - Roster'!$S$1:$SV$206,$B116,Settings!$C$9+6)&amp;"",CHAR(10)," "),CHAR(160)," ")))</f>
        <v/>
      </c>
      <c r="M116">
        <f>IF(OR($B116="",NOT(ISNUMBER(Settings!$C$9))),"",TRIM(SUBSTITUTE(SUBSTITUTE(INDEX('INPUT - Roster'!$S$1:$SV$206,$B116,Settings!$C$9+7)&amp;"",CHAR(10)," "),CHAR(160)," ")))</f>
        <v/>
      </c>
      <c r="N116">
        <f>IF(OR($B116="",NOT(ISNUMBER(Settings!$C$9))),"",TRIM(SUBSTITUTE(SUBSTITUTE(INDEX('INPUT - Roster'!$S$1:$SV$206,$B116,Settings!$C$9+8)&amp;"",CHAR(10)," "),CHAR(160)," ")))</f>
        <v/>
      </c>
      <c r="O116">
        <f>IF(OR($B116="",NOT(ISNUMBER(Settings!$C$9))),"",TRIM(SUBSTITUTE(SUBSTITUTE(INDEX('INPUT - Roster'!$S$1:$SV$206,$B116,Settings!$C$9+9)&amp;"",CHAR(10)," "),CHAR(160)," ")))</f>
        <v/>
      </c>
      <c r="P116">
        <f>IF(OR($B116="",NOT(ISNUMBER(Settings!$C$9))),"",TRIM(SUBSTITUTE(SUBSTITUTE(INDEX('INPUT - Roster'!$S$1:$SV$206,$B116,Settings!$C$9+10)&amp;"",CHAR(10)," "),CHAR(160)," ")))</f>
        <v/>
      </c>
      <c r="Q116">
        <f>IF(OR($B116="",NOT(ISNUMBER(Settings!$C$9))),"",TRIM(SUBSTITUTE(SUBSTITUTE(INDEX('INPUT - Roster'!$S$1:$SV$206,$B116,Settings!$C$9+11)&amp;"",CHAR(10)," "),CHAR(160)," ")))</f>
        <v/>
      </c>
      <c r="R116">
        <f>IF(OR($B116="",NOT(ISNUMBER(Settings!$C$9))),"",TRIM(SUBSTITUTE(SUBSTITUTE(INDEX('INPUT - Roster'!$S$1:$SV$206,$B116,Settings!$C$9+12)&amp;"",CHAR(10)," "),CHAR(160)," ")))</f>
        <v/>
      </c>
      <c r="S116">
        <f>IF(OR($B116="",NOT(ISNUMBER(Settings!$C$9))),"",TRIM(SUBSTITUTE(SUBSTITUTE(INDEX('INPUT - Roster'!$S$1:$SV$206,$B116,Settings!$C$9+13)&amp;"",CHAR(10)," "),CHAR(160)," ")))</f>
        <v/>
      </c>
      <c r="T116">
        <f>IF(OR($B116="",NOT(ISNUMBER(Settings!$C$9))),"",TRIM(SUBSTITUTE(SUBSTITUTE(INDEX('INPUT - Roster'!$S$1:$SV$206,$B116,Settings!$C$9+14)&amp;"",CHAR(10)," "),CHAR(160)," ")))</f>
        <v/>
      </c>
      <c r="U116">
        <f>IF(OR($B116="",NOT(ISNUMBER(Settings!$C$9))),"",TRIM(SUBSTITUTE(SUBSTITUTE(INDEX('INPUT - Roster'!$S$1:$SV$206,$B116,Settings!$C$9+15)&amp;"",CHAR(10)," "),CHAR(160)," ")))</f>
        <v/>
      </c>
      <c r="V116">
        <f>IF(OR($B116="",NOT(ISNUMBER(Settings!$C$9))),"",TRIM(SUBSTITUTE(SUBSTITUTE(INDEX('INPUT - Roster'!$S$1:$SV$206,$B116,Settings!$C$9+16)&amp;"",CHAR(10)," "),CHAR(160)," ")))</f>
        <v/>
      </c>
      <c r="W116">
        <f>IF(OR($B116="",NOT(ISNUMBER(Settings!$C$9))),"",TRIM(SUBSTITUTE(SUBSTITUTE(INDEX('INPUT - Roster'!$S$1:$SV$206,$B116,Settings!$C$9+17)&amp;"",CHAR(10)," "),CHAR(160)," ")))</f>
        <v/>
      </c>
      <c r="X116">
        <f>IF(OR($B116="",NOT(ISNUMBER(Settings!$C$9))),"",TRIM(SUBSTITUTE(SUBSTITUTE(INDEX('INPUT - Roster'!$S$1:$SV$206,$B116,Settings!$C$9+18)&amp;"",CHAR(10)," "),CHAR(160)," ")))</f>
        <v/>
      </c>
      <c r="Y116">
        <f>IF(OR($B116="",NOT(ISNUMBER(Settings!$C$9))),"",TRIM(SUBSTITUTE(SUBSTITUTE(INDEX('INPUT - Roster'!$S$1:$SV$206,$B116,Settings!$C$9+19)&amp;"",CHAR(10)," "),CHAR(160)," ")))</f>
        <v/>
      </c>
      <c r="Z116">
        <f>IF(OR($B116="",NOT(ISNUMBER(Settings!$C$9))),"",TRIM(SUBSTITUTE(SUBSTITUTE(INDEX('INPUT - Roster'!$S$1:$SV$206,$B116,Settings!$C$9+20)&amp;"",CHAR(10)," "),CHAR(160)," ")))</f>
        <v/>
      </c>
      <c r="AA116">
        <f>IF(OR($B116="",NOT(ISNUMBER(Settings!$C$9))),"",TRIM(SUBSTITUTE(SUBSTITUTE(INDEX('INPUT - Roster'!$S$1:$SV$206,$B116,Settings!$C$9+21)&amp;"",CHAR(10)," "),CHAR(160)," ")))</f>
        <v/>
      </c>
      <c r="AB116">
        <f>IF(OR($B116="",NOT(ISNUMBER(Settings!$C$9))),"",TRIM(SUBSTITUTE(SUBSTITUTE(INDEX('INPUT - Roster'!$S$1:$SV$206,$B116,Settings!$C$9+22)&amp;"",CHAR(10)," "),CHAR(160)," ")))</f>
        <v/>
      </c>
      <c r="AC116">
        <f>IF(OR($B116="",NOT(ISNUMBER(Settings!$C$9))),"",TRIM(SUBSTITUTE(SUBSTITUTE(INDEX('INPUT - Roster'!$S$1:$SV$206,$B116,Settings!$C$9+23)&amp;"",CHAR(10)," "),CHAR(160)," ")))</f>
        <v/>
      </c>
      <c r="AD116">
        <f>IF(OR($B116="",NOT(ISNUMBER(Settings!$C$9))),"",TRIM(SUBSTITUTE(SUBSTITUTE(INDEX('INPUT - Roster'!$S$1:$SV$206,$B116,Settings!$C$9+24)&amp;"",CHAR(10)," "),CHAR(160)," ")))</f>
        <v/>
      </c>
      <c r="AE116">
        <f>IF(OR($B116="",NOT(ISNUMBER(Settings!$C$9))),"",TRIM(SUBSTITUTE(SUBSTITUTE(INDEX('INPUT - Roster'!$S$1:$SV$206,$B116,Settings!$C$9+25)&amp;"",CHAR(10)," "),CHAR(160)," ")))</f>
        <v/>
      </c>
      <c r="AF116">
        <f>IF(OR($B116="",NOT(ISNUMBER(Settings!$C$9))),"",TRIM(SUBSTITUTE(SUBSTITUTE(INDEX('INPUT - Roster'!$S$1:$SV$206,$B116,Settings!$C$9+26)&amp;"",CHAR(10)," "),CHAR(160)," ")))</f>
        <v/>
      </c>
      <c r="AG116">
        <f>IF(OR($B116="",NOT(ISNUMBER(Settings!$C$9))),"",TRIM(SUBSTITUTE(SUBSTITUTE(INDEX('INPUT - Roster'!$S$1:$SV$206,$B116,Settings!$C$9+27)&amp;"",CHAR(10)," "),CHAR(160)," ")))</f>
        <v/>
      </c>
      <c r="AI116">
        <f>IF($B116="","",IF(F116="","Not rostered",IFERROR(INDEX(Settings!$C$14:$C$33,MATCH(F116,Settings!$B$14:$B$33,0)),IFERROR(LOOKUP(2^15,SEARCH(Settings!$I$14:$I$83,F116)/(Settings!$I$14:$I$83&lt;&gt;""),Settings!$J$14:$J$83),"Other"))))</f>
        <v/>
      </c>
      <c r="AJ116">
        <f>IF($B116="","",IF(G116="","Not rostered",IFERROR(INDEX(Settings!$C$14:$C$33,MATCH(G116,Settings!$B$14:$B$33,0)),IFERROR(LOOKUP(2^15,SEARCH(Settings!$I$14:$I$83,G116)/(Settings!$I$14:$I$83&lt;&gt;""),Settings!$J$14:$J$83),"Other"))))</f>
        <v/>
      </c>
      <c r="AK116">
        <f>IF($B116="","",IF(H116="","Not rostered",IFERROR(INDEX(Settings!$C$14:$C$33,MATCH(H116,Settings!$B$14:$B$33,0)),IFERROR(LOOKUP(2^15,SEARCH(Settings!$I$14:$I$83,H116)/(Settings!$I$14:$I$83&lt;&gt;""),Settings!$J$14:$J$83),"Other"))))</f>
        <v/>
      </c>
      <c r="AL116">
        <f>IF($B116="","",IF(I116="","Not rostered",IFERROR(INDEX(Settings!$C$14:$C$33,MATCH(I116,Settings!$B$14:$B$33,0)),IFERROR(LOOKUP(2^15,SEARCH(Settings!$I$14:$I$83,I116)/(Settings!$I$14:$I$83&lt;&gt;""),Settings!$J$14:$J$83),"Other"))))</f>
        <v/>
      </c>
      <c r="AM116">
        <f>IF($B116="","",IF(J116="","Not rostered",IFERROR(INDEX(Settings!$C$14:$C$33,MATCH(J116,Settings!$B$14:$B$33,0)),IFERROR(LOOKUP(2^15,SEARCH(Settings!$I$14:$I$83,J116)/(Settings!$I$14:$I$83&lt;&gt;""),Settings!$J$14:$J$83),"Other"))))</f>
        <v/>
      </c>
      <c r="AN116">
        <f>IF($B116="","",IF(K116="","Not rostered",IFERROR(INDEX(Settings!$C$14:$C$33,MATCH(K116,Settings!$B$14:$B$33,0)),IFERROR(LOOKUP(2^15,SEARCH(Settings!$I$14:$I$83,K116)/(Settings!$I$14:$I$83&lt;&gt;""),Settings!$J$14:$J$83),"Other"))))</f>
        <v/>
      </c>
      <c r="AO116">
        <f>IF($B116="","",IF(L116="","Not rostered",IFERROR(INDEX(Settings!$C$14:$C$33,MATCH(L116,Settings!$B$14:$B$33,0)),IFERROR(LOOKUP(2^15,SEARCH(Settings!$I$14:$I$83,L116)/(Settings!$I$14:$I$83&lt;&gt;""),Settings!$J$14:$J$83),"Other"))))</f>
        <v/>
      </c>
      <c r="AP116">
        <f>IF($B116="","",IF(M116="","Not rostered",IFERROR(INDEX(Settings!$C$14:$C$33,MATCH(M116,Settings!$B$14:$B$33,0)),IFERROR(LOOKUP(2^15,SEARCH(Settings!$I$14:$I$83,M116)/(Settings!$I$14:$I$83&lt;&gt;""),Settings!$J$14:$J$83),"Other"))))</f>
        <v/>
      </c>
      <c r="AQ116">
        <f>IF($B116="","",IF(N116="","Not rostered",IFERROR(INDEX(Settings!$C$14:$C$33,MATCH(N116,Settings!$B$14:$B$33,0)),IFERROR(LOOKUP(2^15,SEARCH(Settings!$I$14:$I$83,N116)/(Settings!$I$14:$I$83&lt;&gt;""),Settings!$J$14:$J$83),"Other"))))</f>
        <v/>
      </c>
      <c r="AR116">
        <f>IF($B116="","",IF(O116="","Not rostered",IFERROR(INDEX(Settings!$C$14:$C$33,MATCH(O116,Settings!$B$14:$B$33,0)),IFERROR(LOOKUP(2^15,SEARCH(Settings!$I$14:$I$83,O116)/(Settings!$I$14:$I$83&lt;&gt;""),Settings!$J$14:$J$83),"Other"))))</f>
        <v/>
      </c>
      <c r="AS116">
        <f>IF($B116="","",IF(P116="","Not rostered",IFERROR(INDEX(Settings!$C$14:$C$33,MATCH(P116,Settings!$B$14:$B$33,0)),IFERROR(LOOKUP(2^15,SEARCH(Settings!$I$14:$I$83,P116)/(Settings!$I$14:$I$83&lt;&gt;""),Settings!$J$14:$J$83),"Other"))))</f>
        <v/>
      </c>
      <c r="AT116">
        <f>IF($B116="","",IF(Q116="","Not rostered",IFERROR(INDEX(Settings!$C$14:$C$33,MATCH(Q116,Settings!$B$14:$B$33,0)),IFERROR(LOOKUP(2^15,SEARCH(Settings!$I$14:$I$83,Q116)/(Settings!$I$14:$I$83&lt;&gt;""),Settings!$J$14:$J$83),"Other"))))</f>
        <v/>
      </c>
      <c r="AU116">
        <f>IF($B116="","",IF(R116="","Not rostered",IFERROR(INDEX(Settings!$C$14:$C$33,MATCH(R116,Settings!$B$14:$B$33,0)),IFERROR(LOOKUP(2^15,SEARCH(Settings!$I$14:$I$83,R116)/(Settings!$I$14:$I$83&lt;&gt;""),Settings!$J$14:$J$83),"Other"))))</f>
        <v/>
      </c>
      <c r="AV116">
        <f>IF($B116="","",IF(S116="","Not rostered",IFERROR(INDEX(Settings!$C$14:$C$33,MATCH(S116,Settings!$B$14:$B$33,0)),IFERROR(LOOKUP(2^15,SEARCH(Settings!$I$14:$I$83,S116)/(Settings!$I$14:$I$83&lt;&gt;""),Settings!$J$14:$J$83),"Other"))))</f>
        <v/>
      </c>
      <c r="AW116">
        <f>IF($B116="","",IF(T116="","Not rostered",IFERROR(INDEX(Settings!$C$14:$C$33,MATCH(T116,Settings!$B$14:$B$33,0)),IFERROR(LOOKUP(2^15,SEARCH(Settings!$I$14:$I$83,T116)/(Settings!$I$14:$I$83&lt;&gt;""),Settings!$J$14:$J$83),"Other"))))</f>
        <v/>
      </c>
      <c r="AX116">
        <f>IF($B116="","",IF(U116="","Not rostered",IFERROR(INDEX(Settings!$C$14:$C$33,MATCH(U116,Settings!$B$14:$B$33,0)),IFERROR(LOOKUP(2^15,SEARCH(Settings!$I$14:$I$83,U116)/(Settings!$I$14:$I$83&lt;&gt;""),Settings!$J$14:$J$83),"Other"))))</f>
        <v/>
      </c>
      <c r="AY116">
        <f>IF($B116="","",IF(V116="","Not rostered",IFERROR(INDEX(Settings!$C$14:$C$33,MATCH(V116,Settings!$B$14:$B$33,0)),IFERROR(LOOKUP(2^15,SEARCH(Settings!$I$14:$I$83,V116)/(Settings!$I$14:$I$83&lt;&gt;""),Settings!$J$14:$J$83),"Other"))))</f>
        <v/>
      </c>
      <c r="AZ116">
        <f>IF($B116="","",IF(W116="","Not rostered",IFERROR(INDEX(Settings!$C$14:$C$33,MATCH(W116,Settings!$B$14:$B$33,0)),IFERROR(LOOKUP(2^15,SEARCH(Settings!$I$14:$I$83,W116)/(Settings!$I$14:$I$83&lt;&gt;""),Settings!$J$14:$J$83),"Other"))))</f>
        <v/>
      </c>
      <c r="BA116">
        <f>IF($B116="","",IF(X116="","Not rostered",IFERROR(INDEX(Settings!$C$14:$C$33,MATCH(X116,Settings!$B$14:$B$33,0)),IFERROR(LOOKUP(2^15,SEARCH(Settings!$I$14:$I$83,X116)/(Settings!$I$14:$I$83&lt;&gt;""),Settings!$J$14:$J$83),"Other"))))</f>
        <v/>
      </c>
      <c r="BB116">
        <f>IF($B116="","",IF(Y116="","Not rostered",IFERROR(INDEX(Settings!$C$14:$C$33,MATCH(Y116,Settings!$B$14:$B$33,0)),IFERROR(LOOKUP(2^15,SEARCH(Settings!$I$14:$I$83,Y116)/(Settings!$I$14:$I$83&lt;&gt;""),Settings!$J$14:$J$83),"Other"))))</f>
        <v/>
      </c>
      <c r="BC116">
        <f>IF($B116="","",IF(Z116="","Not rostered",IFERROR(INDEX(Settings!$C$14:$C$33,MATCH(Z116,Settings!$B$14:$B$33,0)),IFERROR(LOOKUP(2^15,SEARCH(Settings!$I$14:$I$83,Z116)/(Settings!$I$14:$I$83&lt;&gt;""),Settings!$J$14:$J$83),"Other"))))</f>
        <v/>
      </c>
      <c r="BD116">
        <f>IF($B116="","",IF(AA116="","Not rostered",IFERROR(INDEX(Settings!$C$14:$C$33,MATCH(AA116,Settings!$B$14:$B$33,0)),IFERROR(LOOKUP(2^15,SEARCH(Settings!$I$14:$I$83,AA116)/(Settings!$I$14:$I$83&lt;&gt;""),Settings!$J$14:$J$83),"Other"))))</f>
        <v/>
      </c>
      <c r="BE116">
        <f>IF($B116="","",IF(AB116="","Not rostered",IFERROR(INDEX(Settings!$C$14:$C$33,MATCH(AB116,Settings!$B$14:$B$33,0)),IFERROR(LOOKUP(2^15,SEARCH(Settings!$I$14:$I$83,AB116)/(Settings!$I$14:$I$83&lt;&gt;""),Settings!$J$14:$J$83),"Other"))))</f>
        <v/>
      </c>
      <c r="BF116">
        <f>IF($B116="","",IF(AC116="","Not rostered",IFERROR(INDEX(Settings!$C$14:$C$33,MATCH(AC116,Settings!$B$14:$B$33,0)),IFERROR(LOOKUP(2^15,SEARCH(Settings!$I$14:$I$83,AC116)/(Settings!$I$14:$I$83&lt;&gt;""),Settings!$J$14:$J$83),"Other"))))</f>
        <v/>
      </c>
      <c r="BG116">
        <f>IF($B116="","",IF(AD116="","Not rostered",IFERROR(INDEX(Settings!$C$14:$C$33,MATCH(AD116,Settings!$B$14:$B$33,0)),IFERROR(LOOKUP(2^15,SEARCH(Settings!$I$14:$I$83,AD116)/(Settings!$I$14:$I$83&lt;&gt;""),Settings!$J$14:$J$83),"Other"))))</f>
        <v/>
      </c>
      <c r="BH116">
        <f>IF($B116="","",IF(AE116="","Not rostered",IFERROR(INDEX(Settings!$C$14:$C$33,MATCH(AE116,Settings!$B$14:$B$33,0)),IFERROR(LOOKUP(2^15,SEARCH(Settings!$I$14:$I$83,AE116)/(Settings!$I$14:$I$83&lt;&gt;""),Settings!$J$14:$J$83),"Other"))))</f>
        <v/>
      </c>
      <c r="BI116">
        <f>IF($B116="","",IF(AF116="","Not rostered",IFERROR(INDEX(Settings!$C$14:$C$33,MATCH(AF116,Settings!$B$14:$B$33,0)),IFERROR(LOOKUP(2^15,SEARCH(Settings!$I$14:$I$83,AF116)/(Settings!$I$14:$I$83&lt;&gt;""),Settings!$J$14:$J$83),"Other"))))</f>
        <v/>
      </c>
      <c r="BJ116">
        <f>IF($B116="","",IF(AG116="","Not rostered",IFERROR(INDEX(Settings!$C$14:$C$33,MATCH(AG116,Settings!$B$14:$B$33,0)),IFERROR(LOOKUP(2^15,SEARCH(Settings!$I$14:$I$83,AG116)/(Settings!$I$14:$I$83&lt;&gt;""),Settings!$J$14:$J$83),"Other"))))</f>
        <v/>
      </c>
      <c r="BL116">
        <f>IF(OR($B116="",F116=""),"",IFERROR(INDEX(Settings!$D$14:$D$33,MATCH(F116,Settings!$B$14:$B$33,0))&amp;"",IFERROR(LOOKUP(2^15,SEARCH(Settings!$F$14:$F$43,F116)/(Settings!$F$14:$F$43&lt;&gt;""),Settings!$G$14:$G$43),"")))</f>
        <v/>
      </c>
      <c r="BM116">
        <f>IF(OR($B116="",G116=""),"",IFERROR(INDEX(Settings!$D$14:$D$33,MATCH(G116,Settings!$B$14:$B$33,0))&amp;"",IFERROR(LOOKUP(2^15,SEARCH(Settings!$F$14:$F$43,G116)/(Settings!$F$14:$F$43&lt;&gt;""),Settings!$G$14:$G$43),"")))</f>
        <v/>
      </c>
      <c r="BN116">
        <f>IF(OR($B116="",H116=""),"",IFERROR(INDEX(Settings!$D$14:$D$33,MATCH(H116,Settings!$B$14:$B$33,0))&amp;"",IFERROR(LOOKUP(2^15,SEARCH(Settings!$F$14:$F$43,H116)/(Settings!$F$14:$F$43&lt;&gt;""),Settings!$G$14:$G$43),"")))</f>
        <v/>
      </c>
      <c r="BO116">
        <f>IF(OR($B116="",I116=""),"",IFERROR(INDEX(Settings!$D$14:$D$33,MATCH(I116,Settings!$B$14:$B$33,0))&amp;"",IFERROR(LOOKUP(2^15,SEARCH(Settings!$F$14:$F$43,I116)/(Settings!$F$14:$F$43&lt;&gt;""),Settings!$G$14:$G$43),"")))</f>
        <v/>
      </c>
      <c r="BP116">
        <f>IF(OR($B116="",J116=""),"",IFERROR(INDEX(Settings!$D$14:$D$33,MATCH(J116,Settings!$B$14:$B$33,0))&amp;"",IFERROR(LOOKUP(2^15,SEARCH(Settings!$F$14:$F$43,J116)/(Settings!$F$14:$F$43&lt;&gt;""),Settings!$G$14:$G$43),"")))</f>
        <v/>
      </c>
      <c r="BQ116">
        <f>IF(OR($B116="",K116=""),"",IFERROR(INDEX(Settings!$D$14:$D$33,MATCH(K116,Settings!$B$14:$B$33,0))&amp;"",IFERROR(LOOKUP(2^15,SEARCH(Settings!$F$14:$F$43,K116)/(Settings!$F$14:$F$43&lt;&gt;""),Settings!$G$14:$G$43),"")))</f>
        <v/>
      </c>
      <c r="BR116">
        <f>IF(OR($B116="",L116=""),"",IFERROR(INDEX(Settings!$D$14:$D$33,MATCH(L116,Settings!$B$14:$B$33,0))&amp;"",IFERROR(LOOKUP(2^15,SEARCH(Settings!$F$14:$F$43,L116)/(Settings!$F$14:$F$43&lt;&gt;""),Settings!$G$14:$G$43),"")))</f>
        <v/>
      </c>
      <c r="BS116">
        <f>IF(OR($B116="",M116=""),"",IFERROR(INDEX(Settings!$D$14:$D$33,MATCH(M116,Settings!$B$14:$B$33,0))&amp;"",IFERROR(LOOKUP(2^15,SEARCH(Settings!$F$14:$F$43,M116)/(Settings!$F$14:$F$43&lt;&gt;""),Settings!$G$14:$G$43),"")))</f>
        <v/>
      </c>
      <c r="BT116">
        <f>IF(OR($B116="",N116=""),"",IFERROR(INDEX(Settings!$D$14:$D$33,MATCH(N116,Settings!$B$14:$B$33,0))&amp;"",IFERROR(LOOKUP(2^15,SEARCH(Settings!$F$14:$F$43,N116)/(Settings!$F$14:$F$43&lt;&gt;""),Settings!$G$14:$G$43),"")))</f>
        <v/>
      </c>
      <c r="BU116">
        <f>IF(OR($B116="",O116=""),"",IFERROR(INDEX(Settings!$D$14:$D$33,MATCH(O116,Settings!$B$14:$B$33,0))&amp;"",IFERROR(LOOKUP(2^15,SEARCH(Settings!$F$14:$F$43,O116)/(Settings!$F$14:$F$43&lt;&gt;""),Settings!$G$14:$G$43),"")))</f>
        <v/>
      </c>
      <c r="BV116">
        <f>IF(OR($B116="",P116=""),"",IFERROR(INDEX(Settings!$D$14:$D$33,MATCH(P116,Settings!$B$14:$B$33,0))&amp;"",IFERROR(LOOKUP(2^15,SEARCH(Settings!$F$14:$F$43,P116)/(Settings!$F$14:$F$43&lt;&gt;""),Settings!$G$14:$G$43),"")))</f>
        <v/>
      </c>
      <c r="BW116">
        <f>IF(OR($B116="",Q116=""),"",IFERROR(INDEX(Settings!$D$14:$D$33,MATCH(Q116,Settings!$B$14:$B$33,0))&amp;"",IFERROR(LOOKUP(2^15,SEARCH(Settings!$F$14:$F$43,Q116)/(Settings!$F$14:$F$43&lt;&gt;""),Settings!$G$14:$G$43),"")))</f>
        <v/>
      </c>
      <c r="BX116">
        <f>IF(OR($B116="",R116=""),"",IFERROR(INDEX(Settings!$D$14:$D$33,MATCH(R116,Settings!$B$14:$B$33,0))&amp;"",IFERROR(LOOKUP(2^15,SEARCH(Settings!$F$14:$F$43,R116)/(Settings!$F$14:$F$43&lt;&gt;""),Settings!$G$14:$G$43),"")))</f>
        <v/>
      </c>
      <c r="BY116">
        <f>IF(OR($B116="",S116=""),"",IFERROR(INDEX(Settings!$D$14:$D$33,MATCH(S116,Settings!$B$14:$B$33,0))&amp;"",IFERROR(LOOKUP(2^15,SEARCH(Settings!$F$14:$F$43,S116)/(Settings!$F$14:$F$43&lt;&gt;""),Settings!$G$14:$G$43),"")))</f>
        <v/>
      </c>
      <c r="BZ116">
        <f>IF(OR($B116="",T116=""),"",IFERROR(INDEX(Settings!$D$14:$D$33,MATCH(T116,Settings!$B$14:$B$33,0))&amp;"",IFERROR(LOOKUP(2^15,SEARCH(Settings!$F$14:$F$43,T116)/(Settings!$F$14:$F$43&lt;&gt;""),Settings!$G$14:$G$43),"")))</f>
        <v/>
      </c>
      <c r="CA116">
        <f>IF(OR($B116="",U116=""),"",IFERROR(INDEX(Settings!$D$14:$D$33,MATCH(U116,Settings!$B$14:$B$33,0))&amp;"",IFERROR(LOOKUP(2^15,SEARCH(Settings!$F$14:$F$43,U116)/(Settings!$F$14:$F$43&lt;&gt;""),Settings!$G$14:$G$43),"")))</f>
        <v/>
      </c>
      <c r="CB116">
        <f>IF(OR($B116="",V116=""),"",IFERROR(INDEX(Settings!$D$14:$D$33,MATCH(V116,Settings!$B$14:$B$33,0))&amp;"",IFERROR(LOOKUP(2^15,SEARCH(Settings!$F$14:$F$43,V116)/(Settings!$F$14:$F$43&lt;&gt;""),Settings!$G$14:$G$43),"")))</f>
        <v/>
      </c>
      <c r="CC116">
        <f>IF(OR($B116="",W116=""),"",IFERROR(INDEX(Settings!$D$14:$D$33,MATCH(W116,Settings!$B$14:$B$33,0))&amp;"",IFERROR(LOOKUP(2^15,SEARCH(Settings!$F$14:$F$43,W116)/(Settings!$F$14:$F$43&lt;&gt;""),Settings!$G$14:$G$43),"")))</f>
        <v/>
      </c>
      <c r="CD116">
        <f>IF(OR($B116="",X116=""),"",IFERROR(INDEX(Settings!$D$14:$D$33,MATCH(X116,Settings!$B$14:$B$33,0))&amp;"",IFERROR(LOOKUP(2^15,SEARCH(Settings!$F$14:$F$43,X116)/(Settings!$F$14:$F$43&lt;&gt;""),Settings!$G$14:$G$43),"")))</f>
        <v/>
      </c>
      <c r="CE116">
        <f>IF(OR($B116="",Y116=""),"",IFERROR(INDEX(Settings!$D$14:$D$33,MATCH(Y116,Settings!$B$14:$B$33,0))&amp;"",IFERROR(LOOKUP(2^15,SEARCH(Settings!$F$14:$F$43,Y116)/(Settings!$F$14:$F$43&lt;&gt;""),Settings!$G$14:$G$43),"")))</f>
        <v/>
      </c>
      <c r="CF116">
        <f>IF(OR($B116="",Z116=""),"",IFERROR(INDEX(Settings!$D$14:$D$33,MATCH(Z116,Settings!$B$14:$B$33,0))&amp;"",IFERROR(LOOKUP(2^15,SEARCH(Settings!$F$14:$F$43,Z116)/(Settings!$F$14:$F$43&lt;&gt;""),Settings!$G$14:$G$43),"")))</f>
        <v/>
      </c>
      <c r="CG116">
        <f>IF(OR($B116="",AA116=""),"",IFERROR(INDEX(Settings!$D$14:$D$33,MATCH(AA116,Settings!$B$14:$B$33,0))&amp;"",IFERROR(LOOKUP(2^15,SEARCH(Settings!$F$14:$F$43,AA116)/(Settings!$F$14:$F$43&lt;&gt;""),Settings!$G$14:$G$43),"")))</f>
        <v/>
      </c>
      <c r="CH116">
        <f>IF(OR($B116="",AB116=""),"",IFERROR(INDEX(Settings!$D$14:$D$33,MATCH(AB116,Settings!$B$14:$B$33,0))&amp;"",IFERROR(LOOKUP(2^15,SEARCH(Settings!$F$14:$F$43,AB116)/(Settings!$F$14:$F$43&lt;&gt;""),Settings!$G$14:$G$43),"")))</f>
        <v/>
      </c>
      <c r="CI116">
        <f>IF(OR($B116="",AC116=""),"",IFERROR(INDEX(Settings!$D$14:$D$33,MATCH(AC116,Settings!$B$14:$B$33,0))&amp;"",IFERROR(LOOKUP(2^15,SEARCH(Settings!$F$14:$F$43,AC116)/(Settings!$F$14:$F$43&lt;&gt;""),Settings!$G$14:$G$43),"")))</f>
        <v/>
      </c>
      <c r="CJ116">
        <f>IF(OR($B116="",AD116=""),"",IFERROR(INDEX(Settings!$D$14:$D$33,MATCH(AD116,Settings!$B$14:$B$33,0))&amp;"",IFERROR(LOOKUP(2^15,SEARCH(Settings!$F$14:$F$43,AD116)/(Settings!$F$14:$F$43&lt;&gt;""),Settings!$G$14:$G$43),"")))</f>
        <v/>
      </c>
      <c r="CK116">
        <f>IF(OR($B116="",AE116=""),"",IFERROR(INDEX(Settings!$D$14:$D$33,MATCH(AE116,Settings!$B$14:$B$33,0))&amp;"",IFERROR(LOOKUP(2^15,SEARCH(Settings!$F$14:$F$43,AE116)/(Settings!$F$14:$F$43&lt;&gt;""),Settings!$G$14:$G$43),"")))</f>
        <v/>
      </c>
      <c r="CL116">
        <f>IF(OR($B116="",AF116=""),"",IFERROR(INDEX(Settings!$D$14:$D$33,MATCH(AF116,Settings!$B$14:$B$33,0))&amp;"",IFERROR(LOOKUP(2^15,SEARCH(Settings!$F$14:$F$43,AF116)/(Settings!$F$14:$F$43&lt;&gt;""),Settings!$G$14:$G$43),"")))</f>
        <v/>
      </c>
      <c r="CM116">
        <f>IF(OR($B116="",AG116=""),"",IFERROR(INDEX(Settings!$D$14:$D$33,MATCH(AG116,Settings!$B$14:$B$33,0))&amp;"",IFERROR(LOOKUP(2^15,SEARCH(Settings!$F$14:$F$43,AG116)/(Settings!$F$14:$F$43&lt;&gt;""),Settings!$G$14:$G$43),"")))</f>
        <v/>
      </c>
    </row>
    <row r="117">
      <c r="A117" t="n">
        <v>115</v>
      </c>
      <c r="B117">
        <f>IFERROR(INDEX(Index!$A$2:$A$202,MATCH(A117,Index!$E$2:$E$202,0)),"")</f>
        <v/>
      </c>
      <c r="D117">
        <f>IF($B117="","",IFERROR(MATCH("Travel*",AI117:BJ117,0),""))</f>
        <v/>
      </c>
      <c r="F117">
        <f>IF(OR($B117="",NOT(ISNUMBER(Settings!$C$9))),"",TRIM(SUBSTITUTE(SUBSTITUTE(INDEX('INPUT - Roster'!$S$1:$SV$206,$B117,Settings!$C$9+0)&amp;"",CHAR(10)," "),CHAR(160)," ")))</f>
        <v/>
      </c>
      <c r="G117">
        <f>IF(OR($B117="",NOT(ISNUMBER(Settings!$C$9))),"",TRIM(SUBSTITUTE(SUBSTITUTE(INDEX('INPUT - Roster'!$S$1:$SV$206,$B117,Settings!$C$9+1)&amp;"",CHAR(10)," "),CHAR(160)," ")))</f>
        <v/>
      </c>
      <c r="H117">
        <f>IF(OR($B117="",NOT(ISNUMBER(Settings!$C$9))),"",TRIM(SUBSTITUTE(SUBSTITUTE(INDEX('INPUT - Roster'!$S$1:$SV$206,$B117,Settings!$C$9+2)&amp;"",CHAR(10)," "),CHAR(160)," ")))</f>
        <v/>
      </c>
      <c r="I117">
        <f>IF(OR($B117="",NOT(ISNUMBER(Settings!$C$9))),"",TRIM(SUBSTITUTE(SUBSTITUTE(INDEX('INPUT - Roster'!$S$1:$SV$206,$B117,Settings!$C$9+3)&amp;"",CHAR(10)," "),CHAR(160)," ")))</f>
        <v/>
      </c>
      <c r="J117">
        <f>IF(OR($B117="",NOT(ISNUMBER(Settings!$C$9))),"",TRIM(SUBSTITUTE(SUBSTITUTE(INDEX('INPUT - Roster'!$S$1:$SV$206,$B117,Settings!$C$9+4)&amp;"",CHAR(10)," "),CHAR(160)," ")))</f>
        <v/>
      </c>
      <c r="K117">
        <f>IF(OR($B117="",NOT(ISNUMBER(Settings!$C$9))),"",TRIM(SUBSTITUTE(SUBSTITUTE(INDEX('INPUT - Roster'!$S$1:$SV$206,$B117,Settings!$C$9+5)&amp;"",CHAR(10)," "),CHAR(160)," ")))</f>
        <v/>
      </c>
      <c r="L117">
        <f>IF(OR($B117="",NOT(ISNUMBER(Settings!$C$9))),"",TRIM(SUBSTITUTE(SUBSTITUTE(INDEX('INPUT - Roster'!$S$1:$SV$206,$B117,Settings!$C$9+6)&amp;"",CHAR(10)," "),CHAR(160)," ")))</f>
        <v/>
      </c>
      <c r="M117">
        <f>IF(OR($B117="",NOT(ISNUMBER(Settings!$C$9))),"",TRIM(SUBSTITUTE(SUBSTITUTE(INDEX('INPUT - Roster'!$S$1:$SV$206,$B117,Settings!$C$9+7)&amp;"",CHAR(10)," "),CHAR(160)," ")))</f>
        <v/>
      </c>
      <c r="N117">
        <f>IF(OR($B117="",NOT(ISNUMBER(Settings!$C$9))),"",TRIM(SUBSTITUTE(SUBSTITUTE(INDEX('INPUT - Roster'!$S$1:$SV$206,$B117,Settings!$C$9+8)&amp;"",CHAR(10)," "),CHAR(160)," ")))</f>
        <v/>
      </c>
      <c r="O117">
        <f>IF(OR($B117="",NOT(ISNUMBER(Settings!$C$9))),"",TRIM(SUBSTITUTE(SUBSTITUTE(INDEX('INPUT - Roster'!$S$1:$SV$206,$B117,Settings!$C$9+9)&amp;"",CHAR(10)," "),CHAR(160)," ")))</f>
        <v/>
      </c>
      <c r="P117">
        <f>IF(OR($B117="",NOT(ISNUMBER(Settings!$C$9))),"",TRIM(SUBSTITUTE(SUBSTITUTE(INDEX('INPUT - Roster'!$S$1:$SV$206,$B117,Settings!$C$9+10)&amp;"",CHAR(10)," "),CHAR(160)," ")))</f>
        <v/>
      </c>
      <c r="Q117">
        <f>IF(OR($B117="",NOT(ISNUMBER(Settings!$C$9))),"",TRIM(SUBSTITUTE(SUBSTITUTE(INDEX('INPUT - Roster'!$S$1:$SV$206,$B117,Settings!$C$9+11)&amp;"",CHAR(10)," "),CHAR(160)," ")))</f>
        <v/>
      </c>
      <c r="R117">
        <f>IF(OR($B117="",NOT(ISNUMBER(Settings!$C$9))),"",TRIM(SUBSTITUTE(SUBSTITUTE(INDEX('INPUT - Roster'!$S$1:$SV$206,$B117,Settings!$C$9+12)&amp;"",CHAR(10)," "),CHAR(160)," ")))</f>
        <v/>
      </c>
      <c r="S117">
        <f>IF(OR($B117="",NOT(ISNUMBER(Settings!$C$9))),"",TRIM(SUBSTITUTE(SUBSTITUTE(INDEX('INPUT - Roster'!$S$1:$SV$206,$B117,Settings!$C$9+13)&amp;"",CHAR(10)," "),CHAR(160)," ")))</f>
        <v/>
      </c>
      <c r="T117">
        <f>IF(OR($B117="",NOT(ISNUMBER(Settings!$C$9))),"",TRIM(SUBSTITUTE(SUBSTITUTE(INDEX('INPUT - Roster'!$S$1:$SV$206,$B117,Settings!$C$9+14)&amp;"",CHAR(10)," "),CHAR(160)," ")))</f>
        <v/>
      </c>
      <c r="U117">
        <f>IF(OR($B117="",NOT(ISNUMBER(Settings!$C$9))),"",TRIM(SUBSTITUTE(SUBSTITUTE(INDEX('INPUT - Roster'!$S$1:$SV$206,$B117,Settings!$C$9+15)&amp;"",CHAR(10)," "),CHAR(160)," ")))</f>
        <v/>
      </c>
      <c r="V117">
        <f>IF(OR($B117="",NOT(ISNUMBER(Settings!$C$9))),"",TRIM(SUBSTITUTE(SUBSTITUTE(INDEX('INPUT - Roster'!$S$1:$SV$206,$B117,Settings!$C$9+16)&amp;"",CHAR(10)," "),CHAR(160)," ")))</f>
        <v/>
      </c>
      <c r="W117">
        <f>IF(OR($B117="",NOT(ISNUMBER(Settings!$C$9))),"",TRIM(SUBSTITUTE(SUBSTITUTE(INDEX('INPUT - Roster'!$S$1:$SV$206,$B117,Settings!$C$9+17)&amp;"",CHAR(10)," "),CHAR(160)," ")))</f>
        <v/>
      </c>
      <c r="X117">
        <f>IF(OR($B117="",NOT(ISNUMBER(Settings!$C$9))),"",TRIM(SUBSTITUTE(SUBSTITUTE(INDEX('INPUT - Roster'!$S$1:$SV$206,$B117,Settings!$C$9+18)&amp;"",CHAR(10)," "),CHAR(160)," ")))</f>
        <v/>
      </c>
      <c r="Y117">
        <f>IF(OR($B117="",NOT(ISNUMBER(Settings!$C$9))),"",TRIM(SUBSTITUTE(SUBSTITUTE(INDEX('INPUT - Roster'!$S$1:$SV$206,$B117,Settings!$C$9+19)&amp;"",CHAR(10)," "),CHAR(160)," ")))</f>
        <v/>
      </c>
      <c r="Z117">
        <f>IF(OR($B117="",NOT(ISNUMBER(Settings!$C$9))),"",TRIM(SUBSTITUTE(SUBSTITUTE(INDEX('INPUT - Roster'!$S$1:$SV$206,$B117,Settings!$C$9+20)&amp;"",CHAR(10)," "),CHAR(160)," ")))</f>
        <v/>
      </c>
      <c r="AA117">
        <f>IF(OR($B117="",NOT(ISNUMBER(Settings!$C$9))),"",TRIM(SUBSTITUTE(SUBSTITUTE(INDEX('INPUT - Roster'!$S$1:$SV$206,$B117,Settings!$C$9+21)&amp;"",CHAR(10)," "),CHAR(160)," ")))</f>
        <v/>
      </c>
      <c r="AB117">
        <f>IF(OR($B117="",NOT(ISNUMBER(Settings!$C$9))),"",TRIM(SUBSTITUTE(SUBSTITUTE(INDEX('INPUT - Roster'!$S$1:$SV$206,$B117,Settings!$C$9+22)&amp;"",CHAR(10)," "),CHAR(160)," ")))</f>
        <v/>
      </c>
      <c r="AC117">
        <f>IF(OR($B117="",NOT(ISNUMBER(Settings!$C$9))),"",TRIM(SUBSTITUTE(SUBSTITUTE(INDEX('INPUT - Roster'!$S$1:$SV$206,$B117,Settings!$C$9+23)&amp;"",CHAR(10)," "),CHAR(160)," ")))</f>
        <v/>
      </c>
      <c r="AD117">
        <f>IF(OR($B117="",NOT(ISNUMBER(Settings!$C$9))),"",TRIM(SUBSTITUTE(SUBSTITUTE(INDEX('INPUT - Roster'!$S$1:$SV$206,$B117,Settings!$C$9+24)&amp;"",CHAR(10)," "),CHAR(160)," ")))</f>
        <v/>
      </c>
      <c r="AE117">
        <f>IF(OR($B117="",NOT(ISNUMBER(Settings!$C$9))),"",TRIM(SUBSTITUTE(SUBSTITUTE(INDEX('INPUT - Roster'!$S$1:$SV$206,$B117,Settings!$C$9+25)&amp;"",CHAR(10)," "),CHAR(160)," ")))</f>
        <v/>
      </c>
      <c r="AF117">
        <f>IF(OR($B117="",NOT(ISNUMBER(Settings!$C$9))),"",TRIM(SUBSTITUTE(SUBSTITUTE(INDEX('INPUT - Roster'!$S$1:$SV$206,$B117,Settings!$C$9+26)&amp;"",CHAR(10)," "),CHAR(160)," ")))</f>
        <v/>
      </c>
      <c r="AG117">
        <f>IF(OR($B117="",NOT(ISNUMBER(Settings!$C$9))),"",TRIM(SUBSTITUTE(SUBSTITUTE(INDEX('INPUT - Roster'!$S$1:$SV$206,$B117,Settings!$C$9+27)&amp;"",CHAR(10)," "),CHAR(160)," ")))</f>
        <v/>
      </c>
      <c r="AI117">
        <f>IF($B117="","",IF(F117="","Not rostered",IFERROR(INDEX(Settings!$C$14:$C$33,MATCH(F117,Settings!$B$14:$B$33,0)),IFERROR(LOOKUP(2^15,SEARCH(Settings!$I$14:$I$83,F117)/(Settings!$I$14:$I$83&lt;&gt;""),Settings!$J$14:$J$83),"Other"))))</f>
        <v/>
      </c>
      <c r="AJ117">
        <f>IF($B117="","",IF(G117="","Not rostered",IFERROR(INDEX(Settings!$C$14:$C$33,MATCH(G117,Settings!$B$14:$B$33,0)),IFERROR(LOOKUP(2^15,SEARCH(Settings!$I$14:$I$83,G117)/(Settings!$I$14:$I$83&lt;&gt;""),Settings!$J$14:$J$83),"Other"))))</f>
        <v/>
      </c>
      <c r="AK117">
        <f>IF($B117="","",IF(H117="","Not rostered",IFERROR(INDEX(Settings!$C$14:$C$33,MATCH(H117,Settings!$B$14:$B$33,0)),IFERROR(LOOKUP(2^15,SEARCH(Settings!$I$14:$I$83,H117)/(Settings!$I$14:$I$83&lt;&gt;""),Settings!$J$14:$J$83),"Other"))))</f>
        <v/>
      </c>
      <c r="AL117">
        <f>IF($B117="","",IF(I117="","Not rostered",IFERROR(INDEX(Settings!$C$14:$C$33,MATCH(I117,Settings!$B$14:$B$33,0)),IFERROR(LOOKUP(2^15,SEARCH(Settings!$I$14:$I$83,I117)/(Settings!$I$14:$I$83&lt;&gt;""),Settings!$J$14:$J$83),"Other"))))</f>
        <v/>
      </c>
      <c r="AM117">
        <f>IF($B117="","",IF(J117="","Not rostered",IFERROR(INDEX(Settings!$C$14:$C$33,MATCH(J117,Settings!$B$14:$B$33,0)),IFERROR(LOOKUP(2^15,SEARCH(Settings!$I$14:$I$83,J117)/(Settings!$I$14:$I$83&lt;&gt;""),Settings!$J$14:$J$83),"Other"))))</f>
        <v/>
      </c>
      <c r="AN117">
        <f>IF($B117="","",IF(K117="","Not rostered",IFERROR(INDEX(Settings!$C$14:$C$33,MATCH(K117,Settings!$B$14:$B$33,0)),IFERROR(LOOKUP(2^15,SEARCH(Settings!$I$14:$I$83,K117)/(Settings!$I$14:$I$83&lt;&gt;""),Settings!$J$14:$J$83),"Other"))))</f>
        <v/>
      </c>
      <c r="AO117">
        <f>IF($B117="","",IF(L117="","Not rostered",IFERROR(INDEX(Settings!$C$14:$C$33,MATCH(L117,Settings!$B$14:$B$33,0)),IFERROR(LOOKUP(2^15,SEARCH(Settings!$I$14:$I$83,L117)/(Settings!$I$14:$I$83&lt;&gt;""),Settings!$J$14:$J$83),"Other"))))</f>
        <v/>
      </c>
      <c r="AP117">
        <f>IF($B117="","",IF(M117="","Not rostered",IFERROR(INDEX(Settings!$C$14:$C$33,MATCH(M117,Settings!$B$14:$B$33,0)),IFERROR(LOOKUP(2^15,SEARCH(Settings!$I$14:$I$83,M117)/(Settings!$I$14:$I$83&lt;&gt;""),Settings!$J$14:$J$83),"Other"))))</f>
        <v/>
      </c>
      <c r="AQ117">
        <f>IF($B117="","",IF(N117="","Not rostered",IFERROR(INDEX(Settings!$C$14:$C$33,MATCH(N117,Settings!$B$14:$B$33,0)),IFERROR(LOOKUP(2^15,SEARCH(Settings!$I$14:$I$83,N117)/(Settings!$I$14:$I$83&lt;&gt;""),Settings!$J$14:$J$83),"Other"))))</f>
        <v/>
      </c>
      <c r="AR117">
        <f>IF($B117="","",IF(O117="","Not rostered",IFERROR(INDEX(Settings!$C$14:$C$33,MATCH(O117,Settings!$B$14:$B$33,0)),IFERROR(LOOKUP(2^15,SEARCH(Settings!$I$14:$I$83,O117)/(Settings!$I$14:$I$83&lt;&gt;""),Settings!$J$14:$J$83),"Other"))))</f>
        <v/>
      </c>
      <c r="AS117">
        <f>IF($B117="","",IF(P117="","Not rostered",IFERROR(INDEX(Settings!$C$14:$C$33,MATCH(P117,Settings!$B$14:$B$33,0)),IFERROR(LOOKUP(2^15,SEARCH(Settings!$I$14:$I$83,P117)/(Settings!$I$14:$I$83&lt;&gt;""),Settings!$J$14:$J$83),"Other"))))</f>
        <v/>
      </c>
      <c r="AT117">
        <f>IF($B117="","",IF(Q117="","Not rostered",IFERROR(INDEX(Settings!$C$14:$C$33,MATCH(Q117,Settings!$B$14:$B$33,0)),IFERROR(LOOKUP(2^15,SEARCH(Settings!$I$14:$I$83,Q117)/(Settings!$I$14:$I$83&lt;&gt;""),Settings!$J$14:$J$83),"Other"))))</f>
        <v/>
      </c>
      <c r="AU117">
        <f>IF($B117="","",IF(R117="","Not rostered",IFERROR(INDEX(Settings!$C$14:$C$33,MATCH(R117,Settings!$B$14:$B$33,0)),IFERROR(LOOKUP(2^15,SEARCH(Settings!$I$14:$I$83,R117)/(Settings!$I$14:$I$83&lt;&gt;""),Settings!$J$14:$J$83),"Other"))))</f>
        <v/>
      </c>
      <c r="AV117">
        <f>IF($B117="","",IF(S117="","Not rostered",IFERROR(INDEX(Settings!$C$14:$C$33,MATCH(S117,Settings!$B$14:$B$33,0)),IFERROR(LOOKUP(2^15,SEARCH(Settings!$I$14:$I$83,S117)/(Settings!$I$14:$I$83&lt;&gt;""),Settings!$J$14:$J$83),"Other"))))</f>
        <v/>
      </c>
      <c r="AW117">
        <f>IF($B117="","",IF(T117="","Not rostered",IFERROR(INDEX(Settings!$C$14:$C$33,MATCH(T117,Settings!$B$14:$B$33,0)),IFERROR(LOOKUP(2^15,SEARCH(Settings!$I$14:$I$83,T117)/(Settings!$I$14:$I$83&lt;&gt;""),Settings!$J$14:$J$83),"Other"))))</f>
        <v/>
      </c>
      <c r="AX117">
        <f>IF($B117="","",IF(U117="","Not rostered",IFERROR(INDEX(Settings!$C$14:$C$33,MATCH(U117,Settings!$B$14:$B$33,0)),IFERROR(LOOKUP(2^15,SEARCH(Settings!$I$14:$I$83,U117)/(Settings!$I$14:$I$83&lt;&gt;""),Settings!$J$14:$J$83),"Other"))))</f>
        <v/>
      </c>
      <c r="AY117">
        <f>IF($B117="","",IF(V117="","Not rostered",IFERROR(INDEX(Settings!$C$14:$C$33,MATCH(V117,Settings!$B$14:$B$33,0)),IFERROR(LOOKUP(2^15,SEARCH(Settings!$I$14:$I$83,V117)/(Settings!$I$14:$I$83&lt;&gt;""),Settings!$J$14:$J$83),"Other"))))</f>
        <v/>
      </c>
      <c r="AZ117">
        <f>IF($B117="","",IF(W117="","Not rostered",IFERROR(INDEX(Settings!$C$14:$C$33,MATCH(W117,Settings!$B$14:$B$33,0)),IFERROR(LOOKUP(2^15,SEARCH(Settings!$I$14:$I$83,W117)/(Settings!$I$14:$I$83&lt;&gt;""),Settings!$J$14:$J$83),"Other"))))</f>
        <v/>
      </c>
      <c r="BA117">
        <f>IF($B117="","",IF(X117="","Not rostered",IFERROR(INDEX(Settings!$C$14:$C$33,MATCH(X117,Settings!$B$14:$B$33,0)),IFERROR(LOOKUP(2^15,SEARCH(Settings!$I$14:$I$83,X117)/(Settings!$I$14:$I$83&lt;&gt;""),Settings!$J$14:$J$83),"Other"))))</f>
        <v/>
      </c>
      <c r="BB117">
        <f>IF($B117="","",IF(Y117="","Not rostered",IFERROR(INDEX(Settings!$C$14:$C$33,MATCH(Y117,Settings!$B$14:$B$33,0)),IFERROR(LOOKUP(2^15,SEARCH(Settings!$I$14:$I$83,Y117)/(Settings!$I$14:$I$83&lt;&gt;""),Settings!$J$14:$J$83),"Other"))))</f>
        <v/>
      </c>
      <c r="BC117">
        <f>IF($B117="","",IF(Z117="","Not rostered",IFERROR(INDEX(Settings!$C$14:$C$33,MATCH(Z117,Settings!$B$14:$B$33,0)),IFERROR(LOOKUP(2^15,SEARCH(Settings!$I$14:$I$83,Z117)/(Settings!$I$14:$I$83&lt;&gt;""),Settings!$J$14:$J$83),"Other"))))</f>
        <v/>
      </c>
      <c r="BD117">
        <f>IF($B117="","",IF(AA117="","Not rostered",IFERROR(INDEX(Settings!$C$14:$C$33,MATCH(AA117,Settings!$B$14:$B$33,0)),IFERROR(LOOKUP(2^15,SEARCH(Settings!$I$14:$I$83,AA117)/(Settings!$I$14:$I$83&lt;&gt;""),Settings!$J$14:$J$83),"Other"))))</f>
        <v/>
      </c>
      <c r="BE117">
        <f>IF($B117="","",IF(AB117="","Not rostered",IFERROR(INDEX(Settings!$C$14:$C$33,MATCH(AB117,Settings!$B$14:$B$33,0)),IFERROR(LOOKUP(2^15,SEARCH(Settings!$I$14:$I$83,AB117)/(Settings!$I$14:$I$83&lt;&gt;""),Settings!$J$14:$J$83),"Other"))))</f>
        <v/>
      </c>
      <c r="BF117">
        <f>IF($B117="","",IF(AC117="","Not rostered",IFERROR(INDEX(Settings!$C$14:$C$33,MATCH(AC117,Settings!$B$14:$B$33,0)),IFERROR(LOOKUP(2^15,SEARCH(Settings!$I$14:$I$83,AC117)/(Settings!$I$14:$I$83&lt;&gt;""),Settings!$J$14:$J$83),"Other"))))</f>
        <v/>
      </c>
      <c r="BG117">
        <f>IF($B117="","",IF(AD117="","Not rostered",IFERROR(INDEX(Settings!$C$14:$C$33,MATCH(AD117,Settings!$B$14:$B$33,0)),IFERROR(LOOKUP(2^15,SEARCH(Settings!$I$14:$I$83,AD117)/(Settings!$I$14:$I$83&lt;&gt;""),Settings!$J$14:$J$83),"Other"))))</f>
        <v/>
      </c>
      <c r="BH117">
        <f>IF($B117="","",IF(AE117="","Not rostered",IFERROR(INDEX(Settings!$C$14:$C$33,MATCH(AE117,Settings!$B$14:$B$33,0)),IFERROR(LOOKUP(2^15,SEARCH(Settings!$I$14:$I$83,AE117)/(Settings!$I$14:$I$83&lt;&gt;""),Settings!$J$14:$J$83),"Other"))))</f>
        <v/>
      </c>
      <c r="BI117">
        <f>IF($B117="","",IF(AF117="","Not rostered",IFERROR(INDEX(Settings!$C$14:$C$33,MATCH(AF117,Settings!$B$14:$B$33,0)),IFERROR(LOOKUP(2^15,SEARCH(Settings!$I$14:$I$83,AF117)/(Settings!$I$14:$I$83&lt;&gt;""),Settings!$J$14:$J$83),"Other"))))</f>
        <v/>
      </c>
      <c r="BJ117">
        <f>IF($B117="","",IF(AG117="","Not rostered",IFERROR(INDEX(Settings!$C$14:$C$33,MATCH(AG117,Settings!$B$14:$B$33,0)),IFERROR(LOOKUP(2^15,SEARCH(Settings!$I$14:$I$83,AG117)/(Settings!$I$14:$I$83&lt;&gt;""),Settings!$J$14:$J$83),"Other"))))</f>
        <v/>
      </c>
      <c r="BL117">
        <f>IF(OR($B117="",F117=""),"",IFERROR(INDEX(Settings!$D$14:$D$33,MATCH(F117,Settings!$B$14:$B$33,0))&amp;"",IFERROR(LOOKUP(2^15,SEARCH(Settings!$F$14:$F$43,F117)/(Settings!$F$14:$F$43&lt;&gt;""),Settings!$G$14:$G$43),"")))</f>
        <v/>
      </c>
      <c r="BM117">
        <f>IF(OR($B117="",G117=""),"",IFERROR(INDEX(Settings!$D$14:$D$33,MATCH(G117,Settings!$B$14:$B$33,0))&amp;"",IFERROR(LOOKUP(2^15,SEARCH(Settings!$F$14:$F$43,G117)/(Settings!$F$14:$F$43&lt;&gt;""),Settings!$G$14:$G$43),"")))</f>
        <v/>
      </c>
      <c r="BN117">
        <f>IF(OR($B117="",H117=""),"",IFERROR(INDEX(Settings!$D$14:$D$33,MATCH(H117,Settings!$B$14:$B$33,0))&amp;"",IFERROR(LOOKUP(2^15,SEARCH(Settings!$F$14:$F$43,H117)/(Settings!$F$14:$F$43&lt;&gt;""),Settings!$G$14:$G$43),"")))</f>
        <v/>
      </c>
      <c r="BO117">
        <f>IF(OR($B117="",I117=""),"",IFERROR(INDEX(Settings!$D$14:$D$33,MATCH(I117,Settings!$B$14:$B$33,0))&amp;"",IFERROR(LOOKUP(2^15,SEARCH(Settings!$F$14:$F$43,I117)/(Settings!$F$14:$F$43&lt;&gt;""),Settings!$G$14:$G$43),"")))</f>
        <v/>
      </c>
      <c r="BP117">
        <f>IF(OR($B117="",J117=""),"",IFERROR(INDEX(Settings!$D$14:$D$33,MATCH(J117,Settings!$B$14:$B$33,0))&amp;"",IFERROR(LOOKUP(2^15,SEARCH(Settings!$F$14:$F$43,J117)/(Settings!$F$14:$F$43&lt;&gt;""),Settings!$G$14:$G$43),"")))</f>
        <v/>
      </c>
      <c r="BQ117">
        <f>IF(OR($B117="",K117=""),"",IFERROR(INDEX(Settings!$D$14:$D$33,MATCH(K117,Settings!$B$14:$B$33,0))&amp;"",IFERROR(LOOKUP(2^15,SEARCH(Settings!$F$14:$F$43,K117)/(Settings!$F$14:$F$43&lt;&gt;""),Settings!$G$14:$G$43),"")))</f>
        <v/>
      </c>
      <c r="BR117">
        <f>IF(OR($B117="",L117=""),"",IFERROR(INDEX(Settings!$D$14:$D$33,MATCH(L117,Settings!$B$14:$B$33,0))&amp;"",IFERROR(LOOKUP(2^15,SEARCH(Settings!$F$14:$F$43,L117)/(Settings!$F$14:$F$43&lt;&gt;""),Settings!$G$14:$G$43),"")))</f>
        <v/>
      </c>
      <c r="BS117">
        <f>IF(OR($B117="",M117=""),"",IFERROR(INDEX(Settings!$D$14:$D$33,MATCH(M117,Settings!$B$14:$B$33,0))&amp;"",IFERROR(LOOKUP(2^15,SEARCH(Settings!$F$14:$F$43,M117)/(Settings!$F$14:$F$43&lt;&gt;""),Settings!$G$14:$G$43),"")))</f>
        <v/>
      </c>
      <c r="BT117">
        <f>IF(OR($B117="",N117=""),"",IFERROR(INDEX(Settings!$D$14:$D$33,MATCH(N117,Settings!$B$14:$B$33,0))&amp;"",IFERROR(LOOKUP(2^15,SEARCH(Settings!$F$14:$F$43,N117)/(Settings!$F$14:$F$43&lt;&gt;""),Settings!$G$14:$G$43),"")))</f>
        <v/>
      </c>
      <c r="BU117">
        <f>IF(OR($B117="",O117=""),"",IFERROR(INDEX(Settings!$D$14:$D$33,MATCH(O117,Settings!$B$14:$B$33,0))&amp;"",IFERROR(LOOKUP(2^15,SEARCH(Settings!$F$14:$F$43,O117)/(Settings!$F$14:$F$43&lt;&gt;""),Settings!$G$14:$G$43),"")))</f>
        <v/>
      </c>
      <c r="BV117">
        <f>IF(OR($B117="",P117=""),"",IFERROR(INDEX(Settings!$D$14:$D$33,MATCH(P117,Settings!$B$14:$B$33,0))&amp;"",IFERROR(LOOKUP(2^15,SEARCH(Settings!$F$14:$F$43,P117)/(Settings!$F$14:$F$43&lt;&gt;""),Settings!$G$14:$G$43),"")))</f>
        <v/>
      </c>
      <c r="BW117">
        <f>IF(OR($B117="",Q117=""),"",IFERROR(INDEX(Settings!$D$14:$D$33,MATCH(Q117,Settings!$B$14:$B$33,0))&amp;"",IFERROR(LOOKUP(2^15,SEARCH(Settings!$F$14:$F$43,Q117)/(Settings!$F$14:$F$43&lt;&gt;""),Settings!$G$14:$G$43),"")))</f>
        <v/>
      </c>
      <c r="BX117">
        <f>IF(OR($B117="",R117=""),"",IFERROR(INDEX(Settings!$D$14:$D$33,MATCH(R117,Settings!$B$14:$B$33,0))&amp;"",IFERROR(LOOKUP(2^15,SEARCH(Settings!$F$14:$F$43,R117)/(Settings!$F$14:$F$43&lt;&gt;""),Settings!$G$14:$G$43),"")))</f>
        <v/>
      </c>
      <c r="BY117">
        <f>IF(OR($B117="",S117=""),"",IFERROR(INDEX(Settings!$D$14:$D$33,MATCH(S117,Settings!$B$14:$B$33,0))&amp;"",IFERROR(LOOKUP(2^15,SEARCH(Settings!$F$14:$F$43,S117)/(Settings!$F$14:$F$43&lt;&gt;""),Settings!$G$14:$G$43),"")))</f>
        <v/>
      </c>
      <c r="BZ117">
        <f>IF(OR($B117="",T117=""),"",IFERROR(INDEX(Settings!$D$14:$D$33,MATCH(T117,Settings!$B$14:$B$33,0))&amp;"",IFERROR(LOOKUP(2^15,SEARCH(Settings!$F$14:$F$43,T117)/(Settings!$F$14:$F$43&lt;&gt;""),Settings!$G$14:$G$43),"")))</f>
        <v/>
      </c>
      <c r="CA117">
        <f>IF(OR($B117="",U117=""),"",IFERROR(INDEX(Settings!$D$14:$D$33,MATCH(U117,Settings!$B$14:$B$33,0))&amp;"",IFERROR(LOOKUP(2^15,SEARCH(Settings!$F$14:$F$43,U117)/(Settings!$F$14:$F$43&lt;&gt;""),Settings!$G$14:$G$43),"")))</f>
        <v/>
      </c>
      <c r="CB117">
        <f>IF(OR($B117="",V117=""),"",IFERROR(INDEX(Settings!$D$14:$D$33,MATCH(V117,Settings!$B$14:$B$33,0))&amp;"",IFERROR(LOOKUP(2^15,SEARCH(Settings!$F$14:$F$43,V117)/(Settings!$F$14:$F$43&lt;&gt;""),Settings!$G$14:$G$43),"")))</f>
        <v/>
      </c>
      <c r="CC117">
        <f>IF(OR($B117="",W117=""),"",IFERROR(INDEX(Settings!$D$14:$D$33,MATCH(W117,Settings!$B$14:$B$33,0))&amp;"",IFERROR(LOOKUP(2^15,SEARCH(Settings!$F$14:$F$43,W117)/(Settings!$F$14:$F$43&lt;&gt;""),Settings!$G$14:$G$43),"")))</f>
        <v/>
      </c>
      <c r="CD117">
        <f>IF(OR($B117="",X117=""),"",IFERROR(INDEX(Settings!$D$14:$D$33,MATCH(X117,Settings!$B$14:$B$33,0))&amp;"",IFERROR(LOOKUP(2^15,SEARCH(Settings!$F$14:$F$43,X117)/(Settings!$F$14:$F$43&lt;&gt;""),Settings!$G$14:$G$43),"")))</f>
        <v/>
      </c>
      <c r="CE117">
        <f>IF(OR($B117="",Y117=""),"",IFERROR(INDEX(Settings!$D$14:$D$33,MATCH(Y117,Settings!$B$14:$B$33,0))&amp;"",IFERROR(LOOKUP(2^15,SEARCH(Settings!$F$14:$F$43,Y117)/(Settings!$F$14:$F$43&lt;&gt;""),Settings!$G$14:$G$43),"")))</f>
        <v/>
      </c>
      <c r="CF117">
        <f>IF(OR($B117="",Z117=""),"",IFERROR(INDEX(Settings!$D$14:$D$33,MATCH(Z117,Settings!$B$14:$B$33,0))&amp;"",IFERROR(LOOKUP(2^15,SEARCH(Settings!$F$14:$F$43,Z117)/(Settings!$F$14:$F$43&lt;&gt;""),Settings!$G$14:$G$43),"")))</f>
        <v/>
      </c>
      <c r="CG117">
        <f>IF(OR($B117="",AA117=""),"",IFERROR(INDEX(Settings!$D$14:$D$33,MATCH(AA117,Settings!$B$14:$B$33,0))&amp;"",IFERROR(LOOKUP(2^15,SEARCH(Settings!$F$14:$F$43,AA117)/(Settings!$F$14:$F$43&lt;&gt;""),Settings!$G$14:$G$43),"")))</f>
        <v/>
      </c>
      <c r="CH117">
        <f>IF(OR($B117="",AB117=""),"",IFERROR(INDEX(Settings!$D$14:$D$33,MATCH(AB117,Settings!$B$14:$B$33,0))&amp;"",IFERROR(LOOKUP(2^15,SEARCH(Settings!$F$14:$F$43,AB117)/(Settings!$F$14:$F$43&lt;&gt;""),Settings!$G$14:$G$43),"")))</f>
        <v/>
      </c>
      <c r="CI117">
        <f>IF(OR($B117="",AC117=""),"",IFERROR(INDEX(Settings!$D$14:$D$33,MATCH(AC117,Settings!$B$14:$B$33,0))&amp;"",IFERROR(LOOKUP(2^15,SEARCH(Settings!$F$14:$F$43,AC117)/(Settings!$F$14:$F$43&lt;&gt;""),Settings!$G$14:$G$43),"")))</f>
        <v/>
      </c>
      <c r="CJ117">
        <f>IF(OR($B117="",AD117=""),"",IFERROR(INDEX(Settings!$D$14:$D$33,MATCH(AD117,Settings!$B$14:$B$33,0))&amp;"",IFERROR(LOOKUP(2^15,SEARCH(Settings!$F$14:$F$43,AD117)/(Settings!$F$14:$F$43&lt;&gt;""),Settings!$G$14:$G$43),"")))</f>
        <v/>
      </c>
      <c r="CK117">
        <f>IF(OR($B117="",AE117=""),"",IFERROR(INDEX(Settings!$D$14:$D$33,MATCH(AE117,Settings!$B$14:$B$33,0))&amp;"",IFERROR(LOOKUP(2^15,SEARCH(Settings!$F$14:$F$43,AE117)/(Settings!$F$14:$F$43&lt;&gt;""),Settings!$G$14:$G$43),"")))</f>
        <v/>
      </c>
      <c r="CL117">
        <f>IF(OR($B117="",AF117=""),"",IFERROR(INDEX(Settings!$D$14:$D$33,MATCH(AF117,Settings!$B$14:$B$33,0))&amp;"",IFERROR(LOOKUP(2^15,SEARCH(Settings!$F$14:$F$43,AF117)/(Settings!$F$14:$F$43&lt;&gt;""),Settings!$G$14:$G$43),"")))</f>
        <v/>
      </c>
      <c r="CM117">
        <f>IF(OR($B117="",AG117=""),"",IFERROR(INDEX(Settings!$D$14:$D$33,MATCH(AG117,Settings!$B$14:$B$33,0))&amp;"",IFERROR(LOOKUP(2^15,SEARCH(Settings!$F$14:$F$43,AG117)/(Settings!$F$14:$F$43&lt;&gt;""),Settings!$G$14:$G$43),"")))</f>
        <v/>
      </c>
    </row>
    <row r="118">
      <c r="A118" t="n">
        <v>116</v>
      </c>
      <c r="B118">
        <f>IFERROR(INDEX(Index!$A$2:$A$202,MATCH(A118,Index!$E$2:$E$202,0)),"")</f>
        <v/>
      </c>
      <c r="D118">
        <f>IF($B118="","",IFERROR(MATCH("Travel*",AI118:BJ118,0),""))</f>
        <v/>
      </c>
      <c r="F118">
        <f>IF(OR($B118="",NOT(ISNUMBER(Settings!$C$9))),"",TRIM(SUBSTITUTE(SUBSTITUTE(INDEX('INPUT - Roster'!$S$1:$SV$206,$B118,Settings!$C$9+0)&amp;"",CHAR(10)," "),CHAR(160)," ")))</f>
        <v/>
      </c>
      <c r="G118">
        <f>IF(OR($B118="",NOT(ISNUMBER(Settings!$C$9))),"",TRIM(SUBSTITUTE(SUBSTITUTE(INDEX('INPUT - Roster'!$S$1:$SV$206,$B118,Settings!$C$9+1)&amp;"",CHAR(10)," "),CHAR(160)," ")))</f>
        <v/>
      </c>
      <c r="H118">
        <f>IF(OR($B118="",NOT(ISNUMBER(Settings!$C$9))),"",TRIM(SUBSTITUTE(SUBSTITUTE(INDEX('INPUT - Roster'!$S$1:$SV$206,$B118,Settings!$C$9+2)&amp;"",CHAR(10)," "),CHAR(160)," ")))</f>
        <v/>
      </c>
      <c r="I118">
        <f>IF(OR($B118="",NOT(ISNUMBER(Settings!$C$9))),"",TRIM(SUBSTITUTE(SUBSTITUTE(INDEX('INPUT - Roster'!$S$1:$SV$206,$B118,Settings!$C$9+3)&amp;"",CHAR(10)," "),CHAR(160)," ")))</f>
        <v/>
      </c>
      <c r="J118">
        <f>IF(OR($B118="",NOT(ISNUMBER(Settings!$C$9))),"",TRIM(SUBSTITUTE(SUBSTITUTE(INDEX('INPUT - Roster'!$S$1:$SV$206,$B118,Settings!$C$9+4)&amp;"",CHAR(10)," "),CHAR(160)," ")))</f>
        <v/>
      </c>
      <c r="K118">
        <f>IF(OR($B118="",NOT(ISNUMBER(Settings!$C$9))),"",TRIM(SUBSTITUTE(SUBSTITUTE(INDEX('INPUT - Roster'!$S$1:$SV$206,$B118,Settings!$C$9+5)&amp;"",CHAR(10)," "),CHAR(160)," ")))</f>
        <v/>
      </c>
      <c r="L118">
        <f>IF(OR($B118="",NOT(ISNUMBER(Settings!$C$9))),"",TRIM(SUBSTITUTE(SUBSTITUTE(INDEX('INPUT - Roster'!$S$1:$SV$206,$B118,Settings!$C$9+6)&amp;"",CHAR(10)," "),CHAR(160)," ")))</f>
        <v/>
      </c>
      <c r="M118">
        <f>IF(OR($B118="",NOT(ISNUMBER(Settings!$C$9))),"",TRIM(SUBSTITUTE(SUBSTITUTE(INDEX('INPUT - Roster'!$S$1:$SV$206,$B118,Settings!$C$9+7)&amp;"",CHAR(10)," "),CHAR(160)," ")))</f>
        <v/>
      </c>
      <c r="N118">
        <f>IF(OR($B118="",NOT(ISNUMBER(Settings!$C$9))),"",TRIM(SUBSTITUTE(SUBSTITUTE(INDEX('INPUT - Roster'!$S$1:$SV$206,$B118,Settings!$C$9+8)&amp;"",CHAR(10)," "),CHAR(160)," ")))</f>
        <v/>
      </c>
      <c r="O118">
        <f>IF(OR($B118="",NOT(ISNUMBER(Settings!$C$9))),"",TRIM(SUBSTITUTE(SUBSTITUTE(INDEX('INPUT - Roster'!$S$1:$SV$206,$B118,Settings!$C$9+9)&amp;"",CHAR(10)," "),CHAR(160)," ")))</f>
        <v/>
      </c>
      <c r="P118">
        <f>IF(OR($B118="",NOT(ISNUMBER(Settings!$C$9))),"",TRIM(SUBSTITUTE(SUBSTITUTE(INDEX('INPUT - Roster'!$S$1:$SV$206,$B118,Settings!$C$9+10)&amp;"",CHAR(10)," "),CHAR(160)," ")))</f>
        <v/>
      </c>
      <c r="Q118">
        <f>IF(OR($B118="",NOT(ISNUMBER(Settings!$C$9))),"",TRIM(SUBSTITUTE(SUBSTITUTE(INDEX('INPUT - Roster'!$S$1:$SV$206,$B118,Settings!$C$9+11)&amp;"",CHAR(10)," "),CHAR(160)," ")))</f>
        <v/>
      </c>
      <c r="R118">
        <f>IF(OR($B118="",NOT(ISNUMBER(Settings!$C$9))),"",TRIM(SUBSTITUTE(SUBSTITUTE(INDEX('INPUT - Roster'!$S$1:$SV$206,$B118,Settings!$C$9+12)&amp;"",CHAR(10)," "),CHAR(160)," ")))</f>
        <v/>
      </c>
      <c r="S118">
        <f>IF(OR($B118="",NOT(ISNUMBER(Settings!$C$9))),"",TRIM(SUBSTITUTE(SUBSTITUTE(INDEX('INPUT - Roster'!$S$1:$SV$206,$B118,Settings!$C$9+13)&amp;"",CHAR(10)," "),CHAR(160)," ")))</f>
        <v/>
      </c>
      <c r="T118">
        <f>IF(OR($B118="",NOT(ISNUMBER(Settings!$C$9))),"",TRIM(SUBSTITUTE(SUBSTITUTE(INDEX('INPUT - Roster'!$S$1:$SV$206,$B118,Settings!$C$9+14)&amp;"",CHAR(10)," "),CHAR(160)," ")))</f>
        <v/>
      </c>
      <c r="U118">
        <f>IF(OR($B118="",NOT(ISNUMBER(Settings!$C$9))),"",TRIM(SUBSTITUTE(SUBSTITUTE(INDEX('INPUT - Roster'!$S$1:$SV$206,$B118,Settings!$C$9+15)&amp;"",CHAR(10)," "),CHAR(160)," ")))</f>
        <v/>
      </c>
      <c r="V118">
        <f>IF(OR($B118="",NOT(ISNUMBER(Settings!$C$9))),"",TRIM(SUBSTITUTE(SUBSTITUTE(INDEX('INPUT - Roster'!$S$1:$SV$206,$B118,Settings!$C$9+16)&amp;"",CHAR(10)," "),CHAR(160)," ")))</f>
        <v/>
      </c>
      <c r="W118">
        <f>IF(OR($B118="",NOT(ISNUMBER(Settings!$C$9))),"",TRIM(SUBSTITUTE(SUBSTITUTE(INDEX('INPUT - Roster'!$S$1:$SV$206,$B118,Settings!$C$9+17)&amp;"",CHAR(10)," "),CHAR(160)," ")))</f>
        <v/>
      </c>
      <c r="X118">
        <f>IF(OR($B118="",NOT(ISNUMBER(Settings!$C$9))),"",TRIM(SUBSTITUTE(SUBSTITUTE(INDEX('INPUT - Roster'!$S$1:$SV$206,$B118,Settings!$C$9+18)&amp;"",CHAR(10)," "),CHAR(160)," ")))</f>
        <v/>
      </c>
      <c r="Y118">
        <f>IF(OR($B118="",NOT(ISNUMBER(Settings!$C$9))),"",TRIM(SUBSTITUTE(SUBSTITUTE(INDEX('INPUT - Roster'!$S$1:$SV$206,$B118,Settings!$C$9+19)&amp;"",CHAR(10)," "),CHAR(160)," ")))</f>
        <v/>
      </c>
      <c r="Z118">
        <f>IF(OR($B118="",NOT(ISNUMBER(Settings!$C$9))),"",TRIM(SUBSTITUTE(SUBSTITUTE(INDEX('INPUT - Roster'!$S$1:$SV$206,$B118,Settings!$C$9+20)&amp;"",CHAR(10)," "),CHAR(160)," ")))</f>
        <v/>
      </c>
      <c r="AA118">
        <f>IF(OR($B118="",NOT(ISNUMBER(Settings!$C$9))),"",TRIM(SUBSTITUTE(SUBSTITUTE(INDEX('INPUT - Roster'!$S$1:$SV$206,$B118,Settings!$C$9+21)&amp;"",CHAR(10)," "),CHAR(160)," ")))</f>
        <v/>
      </c>
      <c r="AB118">
        <f>IF(OR($B118="",NOT(ISNUMBER(Settings!$C$9))),"",TRIM(SUBSTITUTE(SUBSTITUTE(INDEX('INPUT - Roster'!$S$1:$SV$206,$B118,Settings!$C$9+22)&amp;"",CHAR(10)," "),CHAR(160)," ")))</f>
        <v/>
      </c>
      <c r="AC118">
        <f>IF(OR($B118="",NOT(ISNUMBER(Settings!$C$9))),"",TRIM(SUBSTITUTE(SUBSTITUTE(INDEX('INPUT - Roster'!$S$1:$SV$206,$B118,Settings!$C$9+23)&amp;"",CHAR(10)," "),CHAR(160)," ")))</f>
        <v/>
      </c>
      <c r="AD118">
        <f>IF(OR($B118="",NOT(ISNUMBER(Settings!$C$9))),"",TRIM(SUBSTITUTE(SUBSTITUTE(INDEX('INPUT - Roster'!$S$1:$SV$206,$B118,Settings!$C$9+24)&amp;"",CHAR(10)," "),CHAR(160)," ")))</f>
        <v/>
      </c>
      <c r="AE118">
        <f>IF(OR($B118="",NOT(ISNUMBER(Settings!$C$9))),"",TRIM(SUBSTITUTE(SUBSTITUTE(INDEX('INPUT - Roster'!$S$1:$SV$206,$B118,Settings!$C$9+25)&amp;"",CHAR(10)," "),CHAR(160)," ")))</f>
        <v/>
      </c>
      <c r="AF118">
        <f>IF(OR($B118="",NOT(ISNUMBER(Settings!$C$9))),"",TRIM(SUBSTITUTE(SUBSTITUTE(INDEX('INPUT - Roster'!$S$1:$SV$206,$B118,Settings!$C$9+26)&amp;"",CHAR(10)," "),CHAR(160)," ")))</f>
        <v/>
      </c>
      <c r="AG118">
        <f>IF(OR($B118="",NOT(ISNUMBER(Settings!$C$9))),"",TRIM(SUBSTITUTE(SUBSTITUTE(INDEX('INPUT - Roster'!$S$1:$SV$206,$B118,Settings!$C$9+27)&amp;"",CHAR(10)," "),CHAR(160)," ")))</f>
        <v/>
      </c>
      <c r="AI118">
        <f>IF($B118="","",IF(F118="","Not rostered",IFERROR(INDEX(Settings!$C$14:$C$33,MATCH(F118,Settings!$B$14:$B$33,0)),IFERROR(LOOKUP(2^15,SEARCH(Settings!$I$14:$I$83,F118)/(Settings!$I$14:$I$83&lt;&gt;""),Settings!$J$14:$J$83),"Other"))))</f>
        <v/>
      </c>
      <c r="AJ118">
        <f>IF($B118="","",IF(G118="","Not rostered",IFERROR(INDEX(Settings!$C$14:$C$33,MATCH(G118,Settings!$B$14:$B$33,0)),IFERROR(LOOKUP(2^15,SEARCH(Settings!$I$14:$I$83,G118)/(Settings!$I$14:$I$83&lt;&gt;""),Settings!$J$14:$J$83),"Other"))))</f>
        <v/>
      </c>
      <c r="AK118">
        <f>IF($B118="","",IF(H118="","Not rostered",IFERROR(INDEX(Settings!$C$14:$C$33,MATCH(H118,Settings!$B$14:$B$33,0)),IFERROR(LOOKUP(2^15,SEARCH(Settings!$I$14:$I$83,H118)/(Settings!$I$14:$I$83&lt;&gt;""),Settings!$J$14:$J$83),"Other"))))</f>
        <v/>
      </c>
      <c r="AL118">
        <f>IF($B118="","",IF(I118="","Not rostered",IFERROR(INDEX(Settings!$C$14:$C$33,MATCH(I118,Settings!$B$14:$B$33,0)),IFERROR(LOOKUP(2^15,SEARCH(Settings!$I$14:$I$83,I118)/(Settings!$I$14:$I$83&lt;&gt;""),Settings!$J$14:$J$83),"Other"))))</f>
        <v/>
      </c>
      <c r="AM118">
        <f>IF($B118="","",IF(J118="","Not rostered",IFERROR(INDEX(Settings!$C$14:$C$33,MATCH(J118,Settings!$B$14:$B$33,0)),IFERROR(LOOKUP(2^15,SEARCH(Settings!$I$14:$I$83,J118)/(Settings!$I$14:$I$83&lt;&gt;""),Settings!$J$14:$J$83),"Other"))))</f>
        <v/>
      </c>
      <c r="AN118">
        <f>IF($B118="","",IF(K118="","Not rostered",IFERROR(INDEX(Settings!$C$14:$C$33,MATCH(K118,Settings!$B$14:$B$33,0)),IFERROR(LOOKUP(2^15,SEARCH(Settings!$I$14:$I$83,K118)/(Settings!$I$14:$I$83&lt;&gt;""),Settings!$J$14:$J$83),"Other"))))</f>
        <v/>
      </c>
      <c r="AO118">
        <f>IF($B118="","",IF(L118="","Not rostered",IFERROR(INDEX(Settings!$C$14:$C$33,MATCH(L118,Settings!$B$14:$B$33,0)),IFERROR(LOOKUP(2^15,SEARCH(Settings!$I$14:$I$83,L118)/(Settings!$I$14:$I$83&lt;&gt;""),Settings!$J$14:$J$83),"Other"))))</f>
        <v/>
      </c>
      <c r="AP118">
        <f>IF($B118="","",IF(M118="","Not rostered",IFERROR(INDEX(Settings!$C$14:$C$33,MATCH(M118,Settings!$B$14:$B$33,0)),IFERROR(LOOKUP(2^15,SEARCH(Settings!$I$14:$I$83,M118)/(Settings!$I$14:$I$83&lt;&gt;""),Settings!$J$14:$J$83),"Other"))))</f>
        <v/>
      </c>
      <c r="AQ118">
        <f>IF($B118="","",IF(N118="","Not rostered",IFERROR(INDEX(Settings!$C$14:$C$33,MATCH(N118,Settings!$B$14:$B$33,0)),IFERROR(LOOKUP(2^15,SEARCH(Settings!$I$14:$I$83,N118)/(Settings!$I$14:$I$83&lt;&gt;""),Settings!$J$14:$J$83),"Other"))))</f>
        <v/>
      </c>
      <c r="AR118">
        <f>IF($B118="","",IF(O118="","Not rostered",IFERROR(INDEX(Settings!$C$14:$C$33,MATCH(O118,Settings!$B$14:$B$33,0)),IFERROR(LOOKUP(2^15,SEARCH(Settings!$I$14:$I$83,O118)/(Settings!$I$14:$I$83&lt;&gt;""),Settings!$J$14:$J$83),"Other"))))</f>
        <v/>
      </c>
      <c r="AS118">
        <f>IF($B118="","",IF(P118="","Not rostered",IFERROR(INDEX(Settings!$C$14:$C$33,MATCH(P118,Settings!$B$14:$B$33,0)),IFERROR(LOOKUP(2^15,SEARCH(Settings!$I$14:$I$83,P118)/(Settings!$I$14:$I$83&lt;&gt;""),Settings!$J$14:$J$83),"Other"))))</f>
        <v/>
      </c>
      <c r="AT118">
        <f>IF($B118="","",IF(Q118="","Not rostered",IFERROR(INDEX(Settings!$C$14:$C$33,MATCH(Q118,Settings!$B$14:$B$33,0)),IFERROR(LOOKUP(2^15,SEARCH(Settings!$I$14:$I$83,Q118)/(Settings!$I$14:$I$83&lt;&gt;""),Settings!$J$14:$J$83),"Other"))))</f>
        <v/>
      </c>
      <c r="AU118">
        <f>IF($B118="","",IF(R118="","Not rostered",IFERROR(INDEX(Settings!$C$14:$C$33,MATCH(R118,Settings!$B$14:$B$33,0)),IFERROR(LOOKUP(2^15,SEARCH(Settings!$I$14:$I$83,R118)/(Settings!$I$14:$I$83&lt;&gt;""),Settings!$J$14:$J$83),"Other"))))</f>
        <v/>
      </c>
      <c r="AV118">
        <f>IF($B118="","",IF(S118="","Not rostered",IFERROR(INDEX(Settings!$C$14:$C$33,MATCH(S118,Settings!$B$14:$B$33,0)),IFERROR(LOOKUP(2^15,SEARCH(Settings!$I$14:$I$83,S118)/(Settings!$I$14:$I$83&lt;&gt;""),Settings!$J$14:$J$83),"Other"))))</f>
        <v/>
      </c>
      <c r="AW118">
        <f>IF($B118="","",IF(T118="","Not rostered",IFERROR(INDEX(Settings!$C$14:$C$33,MATCH(T118,Settings!$B$14:$B$33,0)),IFERROR(LOOKUP(2^15,SEARCH(Settings!$I$14:$I$83,T118)/(Settings!$I$14:$I$83&lt;&gt;""),Settings!$J$14:$J$83),"Other"))))</f>
        <v/>
      </c>
      <c r="AX118">
        <f>IF($B118="","",IF(U118="","Not rostered",IFERROR(INDEX(Settings!$C$14:$C$33,MATCH(U118,Settings!$B$14:$B$33,0)),IFERROR(LOOKUP(2^15,SEARCH(Settings!$I$14:$I$83,U118)/(Settings!$I$14:$I$83&lt;&gt;""),Settings!$J$14:$J$83),"Other"))))</f>
        <v/>
      </c>
      <c r="AY118">
        <f>IF($B118="","",IF(V118="","Not rostered",IFERROR(INDEX(Settings!$C$14:$C$33,MATCH(V118,Settings!$B$14:$B$33,0)),IFERROR(LOOKUP(2^15,SEARCH(Settings!$I$14:$I$83,V118)/(Settings!$I$14:$I$83&lt;&gt;""),Settings!$J$14:$J$83),"Other"))))</f>
        <v/>
      </c>
      <c r="AZ118">
        <f>IF($B118="","",IF(W118="","Not rostered",IFERROR(INDEX(Settings!$C$14:$C$33,MATCH(W118,Settings!$B$14:$B$33,0)),IFERROR(LOOKUP(2^15,SEARCH(Settings!$I$14:$I$83,W118)/(Settings!$I$14:$I$83&lt;&gt;""),Settings!$J$14:$J$83),"Other"))))</f>
        <v/>
      </c>
      <c r="BA118">
        <f>IF($B118="","",IF(X118="","Not rostered",IFERROR(INDEX(Settings!$C$14:$C$33,MATCH(X118,Settings!$B$14:$B$33,0)),IFERROR(LOOKUP(2^15,SEARCH(Settings!$I$14:$I$83,X118)/(Settings!$I$14:$I$83&lt;&gt;""),Settings!$J$14:$J$83),"Other"))))</f>
        <v/>
      </c>
      <c r="BB118">
        <f>IF($B118="","",IF(Y118="","Not rostered",IFERROR(INDEX(Settings!$C$14:$C$33,MATCH(Y118,Settings!$B$14:$B$33,0)),IFERROR(LOOKUP(2^15,SEARCH(Settings!$I$14:$I$83,Y118)/(Settings!$I$14:$I$83&lt;&gt;""),Settings!$J$14:$J$83),"Other"))))</f>
        <v/>
      </c>
      <c r="BC118">
        <f>IF($B118="","",IF(Z118="","Not rostered",IFERROR(INDEX(Settings!$C$14:$C$33,MATCH(Z118,Settings!$B$14:$B$33,0)),IFERROR(LOOKUP(2^15,SEARCH(Settings!$I$14:$I$83,Z118)/(Settings!$I$14:$I$83&lt;&gt;""),Settings!$J$14:$J$83),"Other"))))</f>
        <v/>
      </c>
      <c r="BD118">
        <f>IF($B118="","",IF(AA118="","Not rostered",IFERROR(INDEX(Settings!$C$14:$C$33,MATCH(AA118,Settings!$B$14:$B$33,0)),IFERROR(LOOKUP(2^15,SEARCH(Settings!$I$14:$I$83,AA118)/(Settings!$I$14:$I$83&lt;&gt;""),Settings!$J$14:$J$83),"Other"))))</f>
        <v/>
      </c>
      <c r="BE118">
        <f>IF($B118="","",IF(AB118="","Not rostered",IFERROR(INDEX(Settings!$C$14:$C$33,MATCH(AB118,Settings!$B$14:$B$33,0)),IFERROR(LOOKUP(2^15,SEARCH(Settings!$I$14:$I$83,AB118)/(Settings!$I$14:$I$83&lt;&gt;""),Settings!$J$14:$J$83),"Other"))))</f>
        <v/>
      </c>
      <c r="BF118">
        <f>IF($B118="","",IF(AC118="","Not rostered",IFERROR(INDEX(Settings!$C$14:$C$33,MATCH(AC118,Settings!$B$14:$B$33,0)),IFERROR(LOOKUP(2^15,SEARCH(Settings!$I$14:$I$83,AC118)/(Settings!$I$14:$I$83&lt;&gt;""),Settings!$J$14:$J$83),"Other"))))</f>
        <v/>
      </c>
      <c r="BG118">
        <f>IF($B118="","",IF(AD118="","Not rostered",IFERROR(INDEX(Settings!$C$14:$C$33,MATCH(AD118,Settings!$B$14:$B$33,0)),IFERROR(LOOKUP(2^15,SEARCH(Settings!$I$14:$I$83,AD118)/(Settings!$I$14:$I$83&lt;&gt;""),Settings!$J$14:$J$83),"Other"))))</f>
        <v/>
      </c>
      <c r="BH118">
        <f>IF($B118="","",IF(AE118="","Not rostered",IFERROR(INDEX(Settings!$C$14:$C$33,MATCH(AE118,Settings!$B$14:$B$33,0)),IFERROR(LOOKUP(2^15,SEARCH(Settings!$I$14:$I$83,AE118)/(Settings!$I$14:$I$83&lt;&gt;""),Settings!$J$14:$J$83),"Other"))))</f>
        <v/>
      </c>
      <c r="BI118">
        <f>IF($B118="","",IF(AF118="","Not rostered",IFERROR(INDEX(Settings!$C$14:$C$33,MATCH(AF118,Settings!$B$14:$B$33,0)),IFERROR(LOOKUP(2^15,SEARCH(Settings!$I$14:$I$83,AF118)/(Settings!$I$14:$I$83&lt;&gt;""),Settings!$J$14:$J$83),"Other"))))</f>
        <v/>
      </c>
      <c r="BJ118">
        <f>IF($B118="","",IF(AG118="","Not rostered",IFERROR(INDEX(Settings!$C$14:$C$33,MATCH(AG118,Settings!$B$14:$B$33,0)),IFERROR(LOOKUP(2^15,SEARCH(Settings!$I$14:$I$83,AG118)/(Settings!$I$14:$I$83&lt;&gt;""),Settings!$J$14:$J$83),"Other"))))</f>
        <v/>
      </c>
      <c r="BL118">
        <f>IF(OR($B118="",F118=""),"",IFERROR(INDEX(Settings!$D$14:$D$33,MATCH(F118,Settings!$B$14:$B$33,0))&amp;"",IFERROR(LOOKUP(2^15,SEARCH(Settings!$F$14:$F$43,F118)/(Settings!$F$14:$F$43&lt;&gt;""),Settings!$G$14:$G$43),"")))</f>
        <v/>
      </c>
      <c r="BM118">
        <f>IF(OR($B118="",G118=""),"",IFERROR(INDEX(Settings!$D$14:$D$33,MATCH(G118,Settings!$B$14:$B$33,0))&amp;"",IFERROR(LOOKUP(2^15,SEARCH(Settings!$F$14:$F$43,G118)/(Settings!$F$14:$F$43&lt;&gt;""),Settings!$G$14:$G$43),"")))</f>
        <v/>
      </c>
      <c r="BN118">
        <f>IF(OR($B118="",H118=""),"",IFERROR(INDEX(Settings!$D$14:$D$33,MATCH(H118,Settings!$B$14:$B$33,0))&amp;"",IFERROR(LOOKUP(2^15,SEARCH(Settings!$F$14:$F$43,H118)/(Settings!$F$14:$F$43&lt;&gt;""),Settings!$G$14:$G$43),"")))</f>
        <v/>
      </c>
      <c r="BO118">
        <f>IF(OR($B118="",I118=""),"",IFERROR(INDEX(Settings!$D$14:$D$33,MATCH(I118,Settings!$B$14:$B$33,0))&amp;"",IFERROR(LOOKUP(2^15,SEARCH(Settings!$F$14:$F$43,I118)/(Settings!$F$14:$F$43&lt;&gt;""),Settings!$G$14:$G$43),"")))</f>
        <v/>
      </c>
      <c r="BP118">
        <f>IF(OR($B118="",J118=""),"",IFERROR(INDEX(Settings!$D$14:$D$33,MATCH(J118,Settings!$B$14:$B$33,0))&amp;"",IFERROR(LOOKUP(2^15,SEARCH(Settings!$F$14:$F$43,J118)/(Settings!$F$14:$F$43&lt;&gt;""),Settings!$G$14:$G$43),"")))</f>
        <v/>
      </c>
      <c r="BQ118">
        <f>IF(OR($B118="",K118=""),"",IFERROR(INDEX(Settings!$D$14:$D$33,MATCH(K118,Settings!$B$14:$B$33,0))&amp;"",IFERROR(LOOKUP(2^15,SEARCH(Settings!$F$14:$F$43,K118)/(Settings!$F$14:$F$43&lt;&gt;""),Settings!$G$14:$G$43),"")))</f>
        <v/>
      </c>
      <c r="BR118">
        <f>IF(OR($B118="",L118=""),"",IFERROR(INDEX(Settings!$D$14:$D$33,MATCH(L118,Settings!$B$14:$B$33,0))&amp;"",IFERROR(LOOKUP(2^15,SEARCH(Settings!$F$14:$F$43,L118)/(Settings!$F$14:$F$43&lt;&gt;""),Settings!$G$14:$G$43),"")))</f>
        <v/>
      </c>
      <c r="BS118">
        <f>IF(OR($B118="",M118=""),"",IFERROR(INDEX(Settings!$D$14:$D$33,MATCH(M118,Settings!$B$14:$B$33,0))&amp;"",IFERROR(LOOKUP(2^15,SEARCH(Settings!$F$14:$F$43,M118)/(Settings!$F$14:$F$43&lt;&gt;""),Settings!$G$14:$G$43),"")))</f>
        <v/>
      </c>
      <c r="BT118">
        <f>IF(OR($B118="",N118=""),"",IFERROR(INDEX(Settings!$D$14:$D$33,MATCH(N118,Settings!$B$14:$B$33,0))&amp;"",IFERROR(LOOKUP(2^15,SEARCH(Settings!$F$14:$F$43,N118)/(Settings!$F$14:$F$43&lt;&gt;""),Settings!$G$14:$G$43),"")))</f>
        <v/>
      </c>
      <c r="BU118">
        <f>IF(OR($B118="",O118=""),"",IFERROR(INDEX(Settings!$D$14:$D$33,MATCH(O118,Settings!$B$14:$B$33,0))&amp;"",IFERROR(LOOKUP(2^15,SEARCH(Settings!$F$14:$F$43,O118)/(Settings!$F$14:$F$43&lt;&gt;""),Settings!$G$14:$G$43),"")))</f>
        <v/>
      </c>
      <c r="BV118">
        <f>IF(OR($B118="",P118=""),"",IFERROR(INDEX(Settings!$D$14:$D$33,MATCH(P118,Settings!$B$14:$B$33,0))&amp;"",IFERROR(LOOKUP(2^15,SEARCH(Settings!$F$14:$F$43,P118)/(Settings!$F$14:$F$43&lt;&gt;""),Settings!$G$14:$G$43),"")))</f>
        <v/>
      </c>
      <c r="BW118">
        <f>IF(OR($B118="",Q118=""),"",IFERROR(INDEX(Settings!$D$14:$D$33,MATCH(Q118,Settings!$B$14:$B$33,0))&amp;"",IFERROR(LOOKUP(2^15,SEARCH(Settings!$F$14:$F$43,Q118)/(Settings!$F$14:$F$43&lt;&gt;""),Settings!$G$14:$G$43),"")))</f>
        <v/>
      </c>
      <c r="BX118">
        <f>IF(OR($B118="",R118=""),"",IFERROR(INDEX(Settings!$D$14:$D$33,MATCH(R118,Settings!$B$14:$B$33,0))&amp;"",IFERROR(LOOKUP(2^15,SEARCH(Settings!$F$14:$F$43,R118)/(Settings!$F$14:$F$43&lt;&gt;""),Settings!$G$14:$G$43),"")))</f>
        <v/>
      </c>
      <c r="BY118">
        <f>IF(OR($B118="",S118=""),"",IFERROR(INDEX(Settings!$D$14:$D$33,MATCH(S118,Settings!$B$14:$B$33,0))&amp;"",IFERROR(LOOKUP(2^15,SEARCH(Settings!$F$14:$F$43,S118)/(Settings!$F$14:$F$43&lt;&gt;""),Settings!$G$14:$G$43),"")))</f>
        <v/>
      </c>
      <c r="BZ118">
        <f>IF(OR($B118="",T118=""),"",IFERROR(INDEX(Settings!$D$14:$D$33,MATCH(T118,Settings!$B$14:$B$33,0))&amp;"",IFERROR(LOOKUP(2^15,SEARCH(Settings!$F$14:$F$43,T118)/(Settings!$F$14:$F$43&lt;&gt;""),Settings!$G$14:$G$43),"")))</f>
        <v/>
      </c>
      <c r="CA118">
        <f>IF(OR($B118="",U118=""),"",IFERROR(INDEX(Settings!$D$14:$D$33,MATCH(U118,Settings!$B$14:$B$33,0))&amp;"",IFERROR(LOOKUP(2^15,SEARCH(Settings!$F$14:$F$43,U118)/(Settings!$F$14:$F$43&lt;&gt;""),Settings!$G$14:$G$43),"")))</f>
        <v/>
      </c>
      <c r="CB118">
        <f>IF(OR($B118="",V118=""),"",IFERROR(INDEX(Settings!$D$14:$D$33,MATCH(V118,Settings!$B$14:$B$33,0))&amp;"",IFERROR(LOOKUP(2^15,SEARCH(Settings!$F$14:$F$43,V118)/(Settings!$F$14:$F$43&lt;&gt;""),Settings!$G$14:$G$43),"")))</f>
        <v/>
      </c>
      <c r="CC118">
        <f>IF(OR($B118="",W118=""),"",IFERROR(INDEX(Settings!$D$14:$D$33,MATCH(W118,Settings!$B$14:$B$33,0))&amp;"",IFERROR(LOOKUP(2^15,SEARCH(Settings!$F$14:$F$43,W118)/(Settings!$F$14:$F$43&lt;&gt;""),Settings!$G$14:$G$43),"")))</f>
        <v/>
      </c>
      <c r="CD118">
        <f>IF(OR($B118="",X118=""),"",IFERROR(INDEX(Settings!$D$14:$D$33,MATCH(X118,Settings!$B$14:$B$33,0))&amp;"",IFERROR(LOOKUP(2^15,SEARCH(Settings!$F$14:$F$43,X118)/(Settings!$F$14:$F$43&lt;&gt;""),Settings!$G$14:$G$43),"")))</f>
        <v/>
      </c>
      <c r="CE118">
        <f>IF(OR($B118="",Y118=""),"",IFERROR(INDEX(Settings!$D$14:$D$33,MATCH(Y118,Settings!$B$14:$B$33,0))&amp;"",IFERROR(LOOKUP(2^15,SEARCH(Settings!$F$14:$F$43,Y118)/(Settings!$F$14:$F$43&lt;&gt;""),Settings!$G$14:$G$43),"")))</f>
        <v/>
      </c>
      <c r="CF118">
        <f>IF(OR($B118="",Z118=""),"",IFERROR(INDEX(Settings!$D$14:$D$33,MATCH(Z118,Settings!$B$14:$B$33,0))&amp;"",IFERROR(LOOKUP(2^15,SEARCH(Settings!$F$14:$F$43,Z118)/(Settings!$F$14:$F$43&lt;&gt;""),Settings!$G$14:$G$43),"")))</f>
        <v/>
      </c>
      <c r="CG118">
        <f>IF(OR($B118="",AA118=""),"",IFERROR(INDEX(Settings!$D$14:$D$33,MATCH(AA118,Settings!$B$14:$B$33,0))&amp;"",IFERROR(LOOKUP(2^15,SEARCH(Settings!$F$14:$F$43,AA118)/(Settings!$F$14:$F$43&lt;&gt;""),Settings!$G$14:$G$43),"")))</f>
        <v/>
      </c>
      <c r="CH118">
        <f>IF(OR($B118="",AB118=""),"",IFERROR(INDEX(Settings!$D$14:$D$33,MATCH(AB118,Settings!$B$14:$B$33,0))&amp;"",IFERROR(LOOKUP(2^15,SEARCH(Settings!$F$14:$F$43,AB118)/(Settings!$F$14:$F$43&lt;&gt;""),Settings!$G$14:$G$43),"")))</f>
        <v/>
      </c>
      <c r="CI118">
        <f>IF(OR($B118="",AC118=""),"",IFERROR(INDEX(Settings!$D$14:$D$33,MATCH(AC118,Settings!$B$14:$B$33,0))&amp;"",IFERROR(LOOKUP(2^15,SEARCH(Settings!$F$14:$F$43,AC118)/(Settings!$F$14:$F$43&lt;&gt;""),Settings!$G$14:$G$43),"")))</f>
        <v/>
      </c>
      <c r="CJ118">
        <f>IF(OR($B118="",AD118=""),"",IFERROR(INDEX(Settings!$D$14:$D$33,MATCH(AD118,Settings!$B$14:$B$33,0))&amp;"",IFERROR(LOOKUP(2^15,SEARCH(Settings!$F$14:$F$43,AD118)/(Settings!$F$14:$F$43&lt;&gt;""),Settings!$G$14:$G$43),"")))</f>
        <v/>
      </c>
      <c r="CK118">
        <f>IF(OR($B118="",AE118=""),"",IFERROR(INDEX(Settings!$D$14:$D$33,MATCH(AE118,Settings!$B$14:$B$33,0))&amp;"",IFERROR(LOOKUP(2^15,SEARCH(Settings!$F$14:$F$43,AE118)/(Settings!$F$14:$F$43&lt;&gt;""),Settings!$G$14:$G$43),"")))</f>
        <v/>
      </c>
      <c r="CL118">
        <f>IF(OR($B118="",AF118=""),"",IFERROR(INDEX(Settings!$D$14:$D$33,MATCH(AF118,Settings!$B$14:$B$33,0))&amp;"",IFERROR(LOOKUP(2^15,SEARCH(Settings!$F$14:$F$43,AF118)/(Settings!$F$14:$F$43&lt;&gt;""),Settings!$G$14:$G$43),"")))</f>
        <v/>
      </c>
      <c r="CM118">
        <f>IF(OR($B118="",AG118=""),"",IFERROR(INDEX(Settings!$D$14:$D$33,MATCH(AG118,Settings!$B$14:$B$33,0))&amp;"",IFERROR(LOOKUP(2^15,SEARCH(Settings!$F$14:$F$43,AG118)/(Settings!$F$14:$F$43&lt;&gt;""),Settings!$G$14:$G$43),"")))</f>
        <v/>
      </c>
    </row>
    <row r="119">
      <c r="A119" t="n">
        <v>117</v>
      </c>
      <c r="B119">
        <f>IFERROR(INDEX(Index!$A$2:$A$202,MATCH(A119,Index!$E$2:$E$202,0)),"")</f>
        <v/>
      </c>
      <c r="D119">
        <f>IF($B119="","",IFERROR(MATCH("Travel*",AI119:BJ119,0),""))</f>
        <v/>
      </c>
      <c r="F119">
        <f>IF(OR($B119="",NOT(ISNUMBER(Settings!$C$9))),"",TRIM(SUBSTITUTE(SUBSTITUTE(INDEX('INPUT - Roster'!$S$1:$SV$206,$B119,Settings!$C$9+0)&amp;"",CHAR(10)," "),CHAR(160)," ")))</f>
        <v/>
      </c>
      <c r="G119">
        <f>IF(OR($B119="",NOT(ISNUMBER(Settings!$C$9))),"",TRIM(SUBSTITUTE(SUBSTITUTE(INDEX('INPUT - Roster'!$S$1:$SV$206,$B119,Settings!$C$9+1)&amp;"",CHAR(10)," "),CHAR(160)," ")))</f>
        <v/>
      </c>
      <c r="H119">
        <f>IF(OR($B119="",NOT(ISNUMBER(Settings!$C$9))),"",TRIM(SUBSTITUTE(SUBSTITUTE(INDEX('INPUT - Roster'!$S$1:$SV$206,$B119,Settings!$C$9+2)&amp;"",CHAR(10)," "),CHAR(160)," ")))</f>
        <v/>
      </c>
      <c r="I119">
        <f>IF(OR($B119="",NOT(ISNUMBER(Settings!$C$9))),"",TRIM(SUBSTITUTE(SUBSTITUTE(INDEX('INPUT - Roster'!$S$1:$SV$206,$B119,Settings!$C$9+3)&amp;"",CHAR(10)," "),CHAR(160)," ")))</f>
        <v/>
      </c>
      <c r="J119">
        <f>IF(OR($B119="",NOT(ISNUMBER(Settings!$C$9))),"",TRIM(SUBSTITUTE(SUBSTITUTE(INDEX('INPUT - Roster'!$S$1:$SV$206,$B119,Settings!$C$9+4)&amp;"",CHAR(10)," "),CHAR(160)," ")))</f>
        <v/>
      </c>
      <c r="K119">
        <f>IF(OR($B119="",NOT(ISNUMBER(Settings!$C$9))),"",TRIM(SUBSTITUTE(SUBSTITUTE(INDEX('INPUT - Roster'!$S$1:$SV$206,$B119,Settings!$C$9+5)&amp;"",CHAR(10)," "),CHAR(160)," ")))</f>
        <v/>
      </c>
      <c r="L119">
        <f>IF(OR($B119="",NOT(ISNUMBER(Settings!$C$9))),"",TRIM(SUBSTITUTE(SUBSTITUTE(INDEX('INPUT - Roster'!$S$1:$SV$206,$B119,Settings!$C$9+6)&amp;"",CHAR(10)," "),CHAR(160)," ")))</f>
        <v/>
      </c>
      <c r="M119">
        <f>IF(OR($B119="",NOT(ISNUMBER(Settings!$C$9))),"",TRIM(SUBSTITUTE(SUBSTITUTE(INDEX('INPUT - Roster'!$S$1:$SV$206,$B119,Settings!$C$9+7)&amp;"",CHAR(10)," "),CHAR(160)," ")))</f>
        <v/>
      </c>
      <c r="N119">
        <f>IF(OR($B119="",NOT(ISNUMBER(Settings!$C$9))),"",TRIM(SUBSTITUTE(SUBSTITUTE(INDEX('INPUT - Roster'!$S$1:$SV$206,$B119,Settings!$C$9+8)&amp;"",CHAR(10)," "),CHAR(160)," ")))</f>
        <v/>
      </c>
      <c r="O119">
        <f>IF(OR($B119="",NOT(ISNUMBER(Settings!$C$9))),"",TRIM(SUBSTITUTE(SUBSTITUTE(INDEX('INPUT - Roster'!$S$1:$SV$206,$B119,Settings!$C$9+9)&amp;"",CHAR(10)," "),CHAR(160)," ")))</f>
        <v/>
      </c>
      <c r="P119">
        <f>IF(OR($B119="",NOT(ISNUMBER(Settings!$C$9))),"",TRIM(SUBSTITUTE(SUBSTITUTE(INDEX('INPUT - Roster'!$S$1:$SV$206,$B119,Settings!$C$9+10)&amp;"",CHAR(10)," "),CHAR(160)," ")))</f>
        <v/>
      </c>
      <c r="Q119">
        <f>IF(OR($B119="",NOT(ISNUMBER(Settings!$C$9))),"",TRIM(SUBSTITUTE(SUBSTITUTE(INDEX('INPUT - Roster'!$S$1:$SV$206,$B119,Settings!$C$9+11)&amp;"",CHAR(10)," "),CHAR(160)," ")))</f>
        <v/>
      </c>
      <c r="R119">
        <f>IF(OR($B119="",NOT(ISNUMBER(Settings!$C$9))),"",TRIM(SUBSTITUTE(SUBSTITUTE(INDEX('INPUT - Roster'!$S$1:$SV$206,$B119,Settings!$C$9+12)&amp;"",CHAR(10)," "),CHAR(160)," ")))</f>
        <v/>
      </c>
      <c r="S119">
        <f>IF(OR($B119="",NOT(ISNUMBER(Settings!$C$9))),"",TRIM(SUBSTITUTE(SUBSTITUTE(INDEX('INPUT - Roster'!$S$1:$SV$206,$B119,Settings!$C$9+13)&amp;"",CHAR(10)," "),CHAR(160)," ")))</f>
        <v/>
      </c>
      <c r="T119">
        <f>IF(OR($B119="",NOT(ISNUMBER(Settings!$C$9))),"",TRIM(SUBSTITUTE(SUBSTITUTE(INDEX('INPUT - Roster'!$S$1:$SV$206,$B119,Settings!$C$9+14)&amp;"",CHAR(10)," "),CHAR(160)," ")))</f>
        <v/>
      </c>
      <c r="U119">
        <f>IF(OR($B119="",NOT(ISNUMBER(Settings!$C$9))),"",TRIM(SUBSTITUTE(SUBSTITUTE(INDEX('INPUT - Roster'!$S$1:$SV$206,$B119,Settings!$C$9+15)&amp;"",CHAR(10)," "),CHAR(160)," ")))</f>
        <v/>
      </c>
      <c r="V119">
        <f>IF(OR($B119="",NOT(ISNUMBER(Settings!$C$9))),"",TRIM(SUBSTITUTE(SUBSTITUTE(INDEX('INPUT - Roster'!$S$1:$SV$206,$B119,Settings!$C$9+16)&amp;"",CHAR(10)," "),CHAR(160)," ")))</f>
        <v/>
      </c>
      <c r="W119">
        <f>IF(OR($B119="",NOT(ISNUMBER(Settings!$C$9))),"",TRIM(SUBSTITUTE(SUBSTITUTE(INDEX('INPUT - Roster'!$S$1:$SV$206,$B119,Settings!$C$9+17)&amp;"",CHAR(10)," "),CHAR(160)," ")))</f>
        <v/>
      </c>
      <c r="X119">
        <f>IF(OR($B119="",NOT(ISNUMBER(Settings!$C$9))),"",TRIM(SUBSTITUTE(SUBSTITUTE(INDEX('INPUT - Roster'!$S$1:$SV$206,$B119,Settings!$C$9+18)&amp;"",CHAR(10)," "),CHAR(160)," ")))</f>
        <v/>
      </c>
      <c r="Y119">
        <f>IF(OR($B119="",NOT(ISNUMBER(Settings!$C$9))),"",TRIM(SUBSTITUTE(SUBSTITUTE(INDEX('INPUT - Roster'!$S$1:$SV$206,$B119,Settings!$C$9+19)&amp;"",CHAR(10)," "),CHAR(160)," ")))</f>
        <v/>
      </c>
      <c r="Z119">
        <f>IF(OR($B119="",NOT(ISNUMBER(Settings!$C$9))),"",TRIM(SUBSTITUTE(SUBSTITUTE(INDEX('INPUT - Roster'!$S$1:$SV$206,$B119,Settings!$C$9+20)&amp;"",CHAR(10)," "),CHAR(160)," ")))</f>
        <v/>
      </c>
      <c r="AA119">
        <f>IF(OR($B119="",NOT(ISNUMBER(Settings!$C$9))),"",TRIM(SUBSTITUTE(SUBSTITUTE(INDEX('INPUT - Roster'!$S$1:$SV$206,$B119,Settings!$C$9+21)&amp;"",CHAR(10)," "),CHAR(160)," ")))</f>
        <v/>
      </c>
      <c r="AB119">
        <f>IF(OR($B119="",NOT(ISNUMBER(Settings!$C$9))),"",TRIM(SUBSTITUTE(SUBSTITUTE(INDEX('INPUT - Roster'!$S$1:$SV$206,$B119,Settings!$C$9+22)&amp;"",CHAR(10)," "),CHAR(160)," ")))</f>
        <v/>
      </c>
      <c r="AC119">
        <f>IF(OR($B119="",NOT(ISNUMBER(Settings!$C$9))),"",TRIM(SUBSTITUTE(SUBSTITUTE(INDEX('INPUT - Roster'!$S$1:$SV$206,$B119,Settings!$C$9+23)&amp;"",CHAR(10)," "),CHAR(160)," ")))</f>
        <v/>
      </c>
      <c r="AD119">
        <f>IF(OR($B119="",NOT(ISNUMBER(Settings!$C$9))),"",TRIM(SUBSTITUTE(SUBSTITUTE(INDEX('INPUT - Roster'!$S$1:$SV$206,$B119,Settings!$C$9+24)&amp;"",CHAR(10)," "),CHAR(160)," ")))</f>
        <v/>
      </c>
      <c r="AE119">
        <f>IF(OR($B119="",NOT(ISNUMBER(Settings!$C$9))),"",TRIM(SUBSTITUTE(SUBSTITUTE(INDEX('INPUT - Roster'!$S$1:$SV$206,$B119,Settings!$C$9+25)&amp;"",CHAR(10)," "),CHAR(160)," ")))</f>
        <v/>
      </c>
      <c r="AF119">
        <f>IF(OR($B119="",NOT(ISNUMBER(Settings!$C$9))),"",TRIM(SUBSTITUTE(SUBSTITUTE(INDEX('INPUT - Roster'!$S$1:$SV$206,$B119,Settings!$C$9+26)&amp;"",CHAR(10)," "),CHAR(160)," ")))</f>
        <v/>
      </c>
      <c r="AG119">
        <f>IF(OR($B119="",NOT(ISNUMBER(Settings!$C$9))),"",TRIM(SUBSTITUTE(SUBSTITUTE(INDEX('INPUT - Roster'!$S$1:$SV$206,$B119,Settings!$C$9+27)&amp;"",CHAR(10)," "),CHAR(160)," ")))</f>
        <v/>
      </c>
      <c r="AI119">
        <f>IF($B119="","",IF(F119="","Not rostered",IFERROR(INDEX(Settings!$C$14:$C$33,MATCH(F119,Settings!$B$14:$B$33,0)),IFERROR(LOOKUP(2^15,SEARCH(Settings!$I$14:$I$83,F119)/(Settings!$I$14:$I$83&lt;&gt;""),Settings!$J$14:$J$83),"Other"))))</f>
        <v/>
      </c>
      <c r="AJ119">
        <f>IF($B119="","",IF(G119="","Not rostered",IFERROR(INDEX(Settings!$C$14:$C$33,MATCH(G119,Settings!$B$14:$B$33,0)),IFERROR(LOOKUP(2^15,SEARCH(Settings!$I$14:$I$83,G119)/(Settings!$I$14:$I$83&lt;&gt;""),Settings!$J$14:$J$83),"Other"))))</f>
        <v/>
      </c>
      <c r="AK119">
        <f>IF($B119="","",IF(H119="","Not rostered",IFERROR(INDEX(Settings!$C$14:$C$33,MATCH(H119,Settings!$B$14:$B$33,0)),IFERROR(LOOKUP(2^15,SEARCH(Settings!$I$14:$I$83,H119)/(Settings!$I$14:$I$83&lt;&gt;""),Settings!$J$14:$J$83),"Other"))))</f>
        <v/>
      </c>
      <c r="AL119">
        <f>IF($B119="","",IF(I119="","Not rostered",IFERROR(INDEX(Settings!$C$14:$C$33,MATCH(I119,Settings!$B$14:$B$33,0)),IFERROR(LOOKUP(2^15,SEARCH(Settings!$I$14:$I$83,I119)/(Settings!$I$14:$I$83&lt;&gt;""),Settings!$J$14:$J$83),"Other"))))</f>
        <v/>
      </c>
      <c r="AM119">
        <f>IF($B119="","",IF(J119="","Not rostered",IFERROR(INDEX(Settings!$C$14:$C$33,MATCH(J119,Settings!$B$14:$B$33,0)),IFERROR(LOOKUP(2^15,SEARCH(Settings!$I$14:$I$83,J119)/(Settings!$I$14:$I$83&lt;&gt;""),Settings!$J$14:$J$83),"Other"))))</f>
        <v/>
      </c>
      <c r="AN119">
        <f>IF($B119="","",IF(K119="","Not rostered",IFERROR(INDEX(Settings!$C$14:$C$33,MATCH(K119,Settings!$B$14:$B$33,0)),IFERROR(LOOKUP(2^15,SEARCH(Settings!$I$14:$I$83,K119)/(Settings!$I$14:$I$83&lt;&gt;""),Settings!$J$14:$J$83),"Other"))))</f>
        <v/>
      </c>
      <c r="AO119">
        <f>IF($B119="","",IF(L119="","Not rostered",IFERROR(INDEX(Settings!$C$14:$C$33,MATCH(L119,Settings!$B$14:$B$33,0)),IFERROR(LOOKUP(2^15,SEARCH(Settings!$I$14:$I$83,L119)/(Settings!$I$14:$I$83&lt;&gt;""),Settings!$J$14:$J$83),"Other"))))</f>
        <v/>
      </c>
      <c r="AP119">
        <f>IF($B119="","",IF(M119="","Not rostered",IFERROR(INDEX(Settings!$C$14:$C$33,MATCH(M119,Settings!$B$14:$B$33,0)),IFERROR(LOOKUP(2^15,SEARCH(Settings!$I$14:$I$83,M119)/(Settings!$I$14:$I$83&lt;&gt;""),Settings!$J$14:$J$83),"Other"))))</f>
        <v/>
      </c>
      <c r="AQ119">
        <f>IF($B119="","",IF(N119="","Not rostered",IFERROR(INDEX(Settings!$C$14:$C$33,MATCH(N119,Settings!$B$14:$B$33,0)),IFERROR(LOOKUP(2^15,SEARCH(Settings!$I$14:$I$83,N119)/(Settings!$I$14:$I$83&lt;&gt;""),Settings!$J$14:$J$83),"Other"))))</f>
        <v/>
      </c>
      <c r="AR119">
        <f>IF($B119="","",IF(O119="","Not rostered",IFERROR(INDEX(Settings!$C$14:$C$33,MATCH(O119,Settings!$B$14:$B$33,0)),IFERROR(LOOKUP(2^15,SEARCH(Settings!$I$14:$I$83,O119)/(Settings!$I$14:$I$83&lt;&gt;""),Settings!$J$14:$J$83),"Other"))))</f>
        <v/>
      </c>
      <c r="AS119">
        <f>IF($B119="","",IF(P119="","Not rostered",IFERROR(INDEX(Settings!$C$14:$C$33,MATCH(P119,Settings!$B$14:$B$33,0)),IFERROR(LOOKUP(2^15,SEARCH(Settings!$I$14:$I$83,P119)/(Settings!$I$14:$I$83&lt;&gt;""),Settings!$J$14:$J$83),"Other"))))</f>
        <v/>
      </c>
      <c r="AT119">
        <f>IF($B119="","",IF(Q119="","Not rostered",IFERROR(INDEX(Settings!$C$14:$C$33,MATCH(Q119,Settings!$B$14:$B$33,0)),IFERROR(LOOKUP(2^15,SEARCH(Settings!$I$14:$I$83,Q119)/(Settings!$I$14:$I$83&lt;&gt;""),Settings!$J$14:$J$83),"Other"))))</f>
        <v/>
      </c>
      <c r="AU119">
        <f>IF($B119="","",IF(R119="","Not rostered",IFERROR(INDEX(Settings!$C$14:$C$33,MATCH(R119,Settings!$B$14:$B$33,0)),IFERROR(LOOKUP(2^15,SEARCH(Settings!$I$14:$I$83,R119)/(Settings!$I$14:$I$83&lt;&gt;""),Settings!$J$14:$J$83),"Other"))))</f>
        <v/>
      </c>
      <c r="AV119">
        <f>IF($B119="","",IF(S119="","Not rostered",IFERROR(INDEX(Settings!$C$14:$C$33,MATCH(S119,Settings!$B$14:$B$33,0)),IFERROR(LOOKUP(2^15,SEARCH(Settings!$I$14:$I$83,S119)/(Settings!$I$14:$I$83&lt;&gt;""),Settings!$J$14:$J$83),"Other"))))</f>
        <v/>
      </c>
      <c r="AW119">
        <f>IF($B119="","",IF(T119="","Not rostered",IFERROR(INDEX(Settings!$C$14:$C$33,MATCH(T119,Settings!$B$14:$B$33,0)),IFERROR(LOOKUP(2^15,SEARCH(Settings!$I$14:$I$83,T119)/(Settings!$I$14:$I$83&lt;&gt;""),Settings!$J$14:$J$83),"Other"))))</f>
        <v/>
      </c>
      <c r="AX119">
        <f>IF($B119="","",IF(U119="","Not rostered",IFERROR(INDEX(Settings!$C$14:$C$33,MATCH(U119,Settings!$B$14:$B$33,0)),IFERROR(LOOKUP(2^15,SEARCH(Settings!$I$14:$I$83,U119)/(Settings!$I$14:$I$83&lt;&gt;""),Settings!$J$14:$J$83),"Other"))))</f>
        <v/>
      </c>
      <c r="AY119">
        <f>IF($B119="","",IF(V119="","Not rostered",IFERROR(INDEX(Settings!$C$14:$C$33,MATCH(V119,Settings!$B$14:$B$33,0)),IFERROR(LOOKUP(2^15,SEARCH(Settings!$I$14:$I$83,V119)/(Settings!$I$14:$I$83&lt;&gt;""),Settings!$J$14:$J$83),"Other"))))</f>
        <v/>
      </c>
      <c r="AZ119">
        <f>IF($B119="","",IF(W119="","Not rostered",IFERROR(INDEX(Settings!$C$14:$C$33,MATCH(W119,Settings!$B$14:$B$33,0)),IFERROR(LOOKUP(2^15,SEARCH(Settings!$I$14:$I$83,W119)/(Settings!$I$14:$I$83&lt;&gt;""),Settings!$J$14:$J$83),"Other"))))</f>
        <v/>
      </c>
      <c r="BA119">
        <f>IF($B119="","",IF(X119="","Not rostered",IFERROR(INDEX(Settings!$C$14:$C$33,MATCH(X119,Settings!$B$14:$B$33,0)),IFERROR(LOOKUP(2^15,SEARCH(Settings!$I$14:$I$83,X119)/(Settings!$I$14:$I$83&lt;&gt;""),Settings!$J$14:$J$83),"Other"))))</f>
        <v/>
      </c>
      <c r="BB119">
        <f>IF($B119="","",IF(Y119="","Not rostered",IFERROR(INDEX(Settings!$C$14:$C$33,MATCH(Y119,Settings!$B$14:$B$33,0)),IFERROR(LOOKUP(2^15,SEARCH(Settings!$I$14:$I$83,Y119)/(Settings!$I$14:$I$83&lt;&gt;""),Settings!$J$14:$J$83),"Other"))))</f>
        <v/>
      </c>
      <c r="BC119">
        <f>IF($B119="","",IF(Z119="","Not rostered",IFERROR(INDEX(Settings!$C$14:$C$33,MATCH(Z119,Settings!$B$14:$B$33,0)),IFERROR(LOOKUP(2^15,SEARCH(Settings!$I$14:$I$83,Z119)/(Settings!$I$14:$I$83&lt;&gt;""),Settings!$J$14:$J$83),"Other"))))</f>
        <v/>
      </c>
      <c r="BD119">
        <f>IF($B119="","",IF(AA119="","Not rostered",IFERROR(INDEX(Settings!$C$14:$C$33,MATCH(AA119,Settings!$B$14:$B$33,0)),IFERROR(LOOKUP(2^15,SEARCH(Settings!$I$14:$I$83,AA119)/(Settings!$I$14:$I$83&lt;&gt;""),Settings!$J$14:$J$83),"Other"))))</f>
        <v/>
      </c>
      <c r="BE119">
        <f>IF($B119="","",IF(AB119="","Not rostered",IFERROR(INDEX(Settings!$C$14:$C$33,MATCH(AB119,Settings!$B$14:$B$33,0)),IFERROR(LOOKUP(2^15,SEARCH(Settings!$I$14:$I$83,AB119)/(Settings!$I$14:$I$83&lt;&gt;""),Settings!$J$14:$J$83),"Other"))))</f>
        <v/>
      </c>
      <c r="BF119">
        <f>IF($B119="","",IF(AC119="","Not rostered",IFERROR(INDEX(Settings!$C$14:$C$33,MATCH(AC119,Settings!$B$14:$B$33,0)),IFERROR(LOOKUP(2^15,SEARCH(Settings!$I$14:$I$83,AC119)/(Settings!$I$14:$I$83&lt;&gt;""),Settings!$J$14:$J$83),"Other"))))</f>
        <v/>
      </c>
      <c r="BG119">
        <f>IF($B119="","",IF(AD119="","Not rostered",IFERROR(INDEX(Settings!$C$14:$C$33,MATCH(AD119,Settings!$B$14:$B$33,0)),IFERROR(LOOKUP(2^15,SEARCH(Settings!$I$14:$I$83,AD119)/(Settings!$I$14:$I$83&lt;&gt;""),Settings!$J$14:$J$83),"Other"))))</f>
        <v/>
      </c>
      <c r="BH119">
        <f>IF($B119="","",IF(AE119="","Not rostered",IFERROR(INDEX(Settings!$C$14:$C$33,MATCH(AE119,Settings!$B$14:$B$33,0)),IFERROR(LOOKUP(2^15,SEARCH(Settings!$I$14:$I$83,AE119)/(Settings!$I$14:$I$83&lt;&gt;""),Settings!$J$14:$J$83),"Other"))))</f>
        <v/>
      </c>
      <c r="BI119">
        <f>IF($B119="","",IF(AF119="","Not rostered",IFERROR(INDEX(Settings!$C$14:$C$33,MATCH(AF119,Settings!$B$14:$B$33,0)),IFERROR(LOOKUP(2^15,SEARCH(Settings!$I$14:$I$83,AF119)/(Settings!$I$14:$I$83&lt;&gt;""),Settings!$J$14:$J$83),"Other"))))</f>
        <v/>
      </c>
      <c r="BJ119">
        <f>IF($B119="","",IF(AG119="","Not rostered",IFERROR(INDEX(Settings!$C$14:$C$33,MATCH(AG119,Settings!$B$14:$B$33,0)),IFERROR(LOOKUP(2^15,SEARCH(Settings!$I$14:$I$83,AG119)/(Settings!$I$14:$I$83&lt;&gt;""),Settings!$J$14:$J$83),"Other"))))</f>
        <v/>
      </c>
      <c r="BL119">
        <f>IF(OR($B119="",F119=""),"",IFERROR(INDEX(Settings!$D$14:$D$33,MATCH(F119,Settings!$B$14:$B$33,0))&amp;"",IFERROR(LOOKUP(2^15,SEARCH(Settings!$F$14:$F$43,F119)/(Settings!$F$14:$F$43&lt;&gt;""),Settings!$G$14:$G$43),"")))</f>
        <v/>
      </c>
      <c r="BM119">
        <f>IF(OR($B119="",G119=""),"",IFERROR(INDEX(Settings!$D$14:$D$33,MATCH(G119,Settings!$B$14:$B$33,0))&amp;"",IFERROR(LOOKUP(2^15,SEARCH(Settings!$F$14:$F$43,G119)/(Settings!$F$14:$F$43&lt;&gt;""),Settings!$G$14:$G$43),"")))</f>
        <v/>
      </c>
      <c r="BN119">
        <f>IF(OR($B119="",H119=""),"",IFERROR(INDEX(Settings!$D$14:$D$33,MATCH(H119,Settings!$B$14:$B$33,0))&amp;"",IFERROR(LOOKUP(2^15,SEARCH(Settings!$F$14:$F$43,H119)/(Settings!$F$14:$F$43&lt;&gt;""),Settings!$G$14:$G$43),"")))</f>
        <v/>
      </c>
      <c r="BO119">
        <f>IF(OR($B119="",I119=""),"",IFERROR(INDEX(Settings!$D$14:$D$33,MATCH(I119,Settings!$B$14:$B$33,0))&amp;"",IFERROR(LOOKUP(2^15,SEARCH(Settings!$F$14:$F$43,I119)/(Settings!$F$14:$F$43&lt;&gt;""),Settings!$G$14:$G$43),"")))</f>
        <v/>
      </c>
      <c r="BP119">
        <f>IF(OR($B119="",J119=""),"",IFERROR(INDEX(Settings!$D$14:$D$33,MATCH(J119,Settings!$B$14:$B$33,0))&amp;"",IFERROR(LOOKUP(2^15,SEARCH(Settings!$F$14:$F$43,J119)/(Settings!$F$14:$F$43&lt;&gt;""),Settings!$G$14:$G$43),"")))</f>
        <v/>
      </c>
      <c r="BQ119">
        <f>IF(OR($B119="",K119=""),"",IFERROR(INDEX(Settings!$D$14:$D$33,MATCH(K119,Settings!$B$14:$B$33,0))&amp;"",IFERROR(LOOKUP(2^15,SEARCH(Settings!$F$14:$F$43,K119)/(Settings!$F$14:$F$43&lt;&gt;""),Settings!$G$14:$G$43),"")))</f>
        <v/>
      </c>
      <c r="BR119">
        <f>IF(OR($B119="",L119=""),"",IFERROR(INDEX(Settings!$D$14:$D$33,MATCH(L119,Settings!$B$14:$B$33,0))&amp;"",IFERROR(LOOKUP(2^15,SEARCH(Settings!$F$14:$F$43,L119)/(Settings!$F$14:$F$43&lt;&gt;""),Settings!$G$14:$G$43),"")))</f>
        <v/>
      </c>
      <c r="BS119">
        <f>IF(OR($B119="",M119=""),"",IFERROR(INDEX(Settings!$D$14:$D$33,MATCH(M119,Settings!$B$14:$B$33,0))&amp;"",IFERROR(LOOKUP(2^15,SEARCH(Settings!$F$14:$F$43,M119)/(Settings!$F$14:$F$43&lt;&gt;""),Settings!$G$14:$G$43),"")))</f>
        <v/>
      </c>
      <c r="BT119">
        <f>IF(OR($B119="",N119=""),"",IFERROR(INDEX(Settings!$D$14:$D$33,MATCH(N119,Settings!$B$14:$B$33,0))&amp;"",IFERROR(LOOKUP(2^15,SEARCH(Settings!$F$14:$F$43,N119)/(Settings!$F$14:$F$43&lt;&gt;""),Settings!$G$14:$G$43),"")))</f>
        <v/>
      </c>
      <c r="BU119">
        <f>IF(OR($B119="",O119=""),"",IFERROR(INDEX(Settings!$D$14:$D$33,MATCH(O119,Settings!$B$14:$B$33,0))&amp;"",IFERROR(LOOKUP(2^15,SEARCH(Settings!$F$14:$F$43,O119)/(Settings!$F$14:$F$43&lt;&gt;""),Settings!$G$14:$G$43),"")))</f>
        <v/>
      </c>
      <c r="BV119">
        <f>IF(OR($B119="",P119=""),"",IFERROR(INDEX(Settings!$D$14:$D$33,MATCH(P119,Settings!$B$14:$B$33,0))&amp;"",IFERROR(LOOKUP(2^15,SEARCH(Settings!$F$14:$F$43,P119)/(Settings!$F$14:$F$43&lt;&gt;""),Settings!$G$14:$G$43),"")))</f>
        <v/>
      </c>
      <c r="BW119">
        <f>IF(OR($B119="",Q119=""),"",IFERROR(INDEX(Settings!$D$14:$D$33,MATCH(Q119,Settings!$B$14:$B$33,0))&amp;"",IFERROR(LOOKUP(2^15,SEARCH(Settings!$F$14:$F$43,Q119)/(Settings!$F$14:$F$43&lt;&gt;""),Settings!$G$14:$G$43),"")))</f>
        <v/>
      </c>
      <c r="BX119">
        <f>IF(OR($B119="",R119=""),"",IFERROR(INDEX(Settings!$D$14:$D$33,MATCH(R119,Settings!$B$14:$B$33,0))&amp;"",IFERROR(LOOKUP(2^15,SEARCH(Settings!$F$14:$F$43,R119)/(Settings!$F$14:$F$43&lt;&gt;""),Settings!$G$14:$G$43),"")))</f>
        <v/>
      </c>
      <c r="BY119">
        <f>IF(OR($B119="",S119=""),"",IFERROR(INDEX(Settings!$D$14:$D$33,MATCH(S119,Settings!$B$14:$B$33,0))&amp;"",IFERROR(LOOKUP(2^15,SEARCH(Settings!$F$14:$F$43,S119)/(Settings!$F$14:$F$43&lt;&gt;""),Settings!$G$14:$G$43),"")))</f>
        <v/>
      </c>
      <c r="BZ119">
        <f>IF(OR($B119="",T119=""),"",IFERROR(INDEX(Settings!$D$14:$D$33,MATCH(T119,Settings!$B$14:$B$33,0))&amp;"",IFERROR(LOOKUP(2^15,SEARCH(Settings!$F$14:$F$43,T119)/(Settings!$F$14:$F$43&lt;&gt;""),Settings!$G$14:$G$43),"")))</f>
        <v/>
      </c>
      <c r="CA119">
        <f>IF(OR($B119="",U119=""),"",IFERROR(INDEX(Settings!$D$14:$D$33,MATCH(U119,Settings!$B$14:$B$33,0))&amp;"",IFERROR(LOOKUP(2^15,SEARCH(Settings!$F$14:$F$43,U119)/(Settings!$F$14:$F$43&lt;&gt;""),Settings!$G$14:$G$43),"")))</f>
        <v/>
      </c>
      <c r="CB119">
        <f>IF(OR($B119="",V119=""),"",IFERROR(INDEX(Settings!$D$14:$D$33,MATCH(V119,Settings!$B$14:$B$33,0))&amp;"",IFERROR(LOOKUP(2^15,SEARCH(Settings!$F$14:$F$43,V119)/(Settings!$F$14:$F$43&lt;&gt;""),Settings!$G$14:$G$43),"")))</f>
        <v/>
      </c>
      <c r="CC119">
        <f>IF(OR($B119="",W119=""),"",IFERROR(INDEX(Settings!$D$14:$D$33,MATCH(W119,Settings!$B$14:$B$33,0))&amp;"",IFERROR(LOOKUP(2^15,SEARCH(Settings!$F$14:$F$43,W119)/(Settings!$F$14:$F$43&lt;&gt;""),Settings!$G$14:$G$43),"")))</f>
        <v/>
      </c>
      <c r="CD119">
        <f>IF(OR($B119="",X119=""),"",IFERROR(INDEX(Settings!$D$14:$D$33,MATCH(X119,Settings!$B$14:$B$33,0))&amp;"",IFERROR(LOOKUP(2^15,SEARCH(Settings!$F$14:$F$43,X119)/(Settings!$F$14:$F$43&lt;&gt;""),Settings!$G$14:$G$43),"")))</f>
        <v/>
      </c>
      <c r="CE119">
        <f>IF(OR($B119="",Y119=""),"",IFERROR(INDEX(Settings!$D$14:$D$33,MATCH(Y119,Settings!$B$14:$B$33,0))&amp;"",IFERROR(LOOKUP(2^15,SEARCH(Settings!$F$14:$F$43,Y119)/(Settings!$F$14:$F$43&lt;&gt;""),Settings!$G$14:$G$43),"")))</f>
        <v/>
      </c>
      <c r="CF119">
        <f>IF(OR($B119="",Z119=""),"",IFERROR(INDEX(Settings!$D$14:$D$33,MATCH(Z119,Settings!$B$14:$B$33,0))&amp;"",IFERROR(LOOKUP(2^15,SEARCH(Settings!$F$14:$F$43,Z119)/(Settings!$F$14:$F$43&lt;&gt;""),Settings!$G$14:$G$43),"")))</f>
        <v/>
      </c>
      <c r="CG119">
        <f>IF(OR($B119="",AA119=""),"",IFERROR(INDEX(Settings!$D$14:$D$33,MATCH(AA119,Settings!$B$14:$B$33,0))&amp;"",IFERROR(LOOKUP(2^15,SEARCH(Settings!$F$14:$F$43,AA119)/(Settings!$F$14:$F$43&lt;&gt;""),Settings!$G$14:$G$43),"")))</f>
        <v/>
      </c>
      <c r="CH119">
        <f>IF(OR($B119="",AB119=""),"",IFERROR(INDEX(Settings!$D$14:$D$33,MATCH(AB119,Settings!$B$14:$B$33,0))&amp;"",IFERROR(LOOKUP(2^15,SEARCH(Settings!$F$14:$F$43,AB119)/(Settings!$F$14:$F$43&lt;&gt;""),Settings!$G$14:$G$43),"")))</f>
        <v/>
      </c>
      <c r="CI119">
        <f>IF(OR($B119="",AC119=""),"",IFERROR(INDEX(Settings!$D$14:$D$33,MATCH(AC119,Settings!$B$14:$B$33,0))&amp;"",IFERROR(LOOKUP(2^15,SEARCH(Settings!$F$14:$F$43,AC119)/(Settings!$F$14:$F$43&lt;&gt;""),Settings!$G$14:$G$43),"")))</f>
        <v/>
      </c>
      <c r="CJ119">
        <f>IF(OR($B119="",AD119=""),"",IFERROR(INDEX(Settings!$D$14:$D$33,MATCH(AD119,Settings!$B$14:$B$33,0))&amp;"",IFERROR(LOOKUP(2^15,SEARCH(Settings!$F$14:$F$43,AD119)/(Settings!$F$14:$F$43&lt;&gt;""),Settings!$G$14:$G$43),"")))</f>
        <v/>
      </c>
      <c r="CK119">
        <f>IF(OR($B119="",AE119=""),"",IFERROR(INDEX(Settings!$D$14:$D$33,MATCH(AE119,Settings!$B$14:$B$33,0))&amp;"",IFERROR(LOOKUP(2^15,SEARCH(Settings!$F$14:$F$43,AE119)/(Settings!$F$14:$F$43&lt;&gt;""),Settings!$G$14:$G$43),"")))</f>
        <v/>
      </c>
      <c r="CL119">
        <f>IF(OR($B119="",AF119=""),"",IFERROR(INDEX(Settings!$D$14:$D$33,MATCH(AF119,Settings!$B$14:$B$33,0))&amp;"",IFERROR(LOOKUP(2^15,SEARCH(Settings!$F$14:$F$43,AF119)/(Settings!$F$14:$F$43&lt;&gt;""),Settings!$G$14:$G$43),"")))</f>
        <v/>
      </c>
      <c r="CM119">
        <f>IF(OR($B119="",AG119=""),"",IFERROR(INDEX(Settings!$D$14:$D$33,MATCH(AG119,Settings!$B$14:$B$33,0))&amp;"",IFERROR(LOOKUP(2^15,SEARCH(Settings!$F$14:$F$43,AG119)/(Settings!$F$14:$F$43&lt;&gt;""),Settings!$G$14:$G$43),"")))</f>
        <v/>
      </c>
    </row>
    <row r="120">
      <c r="A120" t="n">
        <v>118</v>
      </c>
      <c r="B120">
        <f>IFERROR(INDEX(Index!$A$2:$A$202,MATCH(A120,Index!$E$2:$E$202,0)),"")</f>
        <v/>
      </c>
      <c r="D120">
        <f>IF($B120="","",IFERROR(MATCH("Travel*",AI120:BJ120,0),""))</f>
        <v/>
      </c>
      <c r="F120">
        <f>IF(OR($B120="",NOT(ISNUMBER(Settings!$C$9))),"",TRIM(SUBSTITUTE(SUBSTITUTE(INDEX('INPUT - Roster'!$S$1:$SV$206,$B120,Settings!$C$9+0)&amp;"",CHAR(10)," "),CHAR(160)," ")))</f>
        <v/>
      </c>
      <c r="G120">
        <f>IF(OR($B120="",NOT(ISNUMBER(Settings!$C$9))),"",TRIM(SUBSTITUTE(SUBSTITUTE(INDEX('INPUT - Roster'!$S$1:$SV$206,$B120,Settings!$C$9+1)&amp;"",CHAR(10)," "),CHAR(160)," ")))</f>
        <v/>
      </c>
      <c r="H120">
        <f>IF(OR($B120="",NOT(ISNUMBER(Settings!$C$9))),"",TRIM(SUBSTITUTE(SUBSTITUTE(INDEX('INPUT - Roster'!$S$1:$SV$206,$B120,Settings!$C$9+2)&amp;"",CHAR(10)," "),CHAR(160)," ")))</f>
        <v/>
      </c>
      <c r="I120">
        <f>IF(OR($B120="",NOT(ISNUMBER(Settings!$C$9))),"",TRIM(SUBSTITUTE(SUBSTITUTE(INDEX('INPUT - Roster'!$S$1:$SV$206,$B120,Settings!$C$9+3)&amp;"",CHAR(10)," "),CHAR(160)," ")))</f>
        <v/>
      </c>
      <c r="J120">
        <f>IF(OR($B120="",NOT(ISNUMBER(Settings!$C$9))),"",TRIM(SUBSTITUTE(SUBSTITUTE(INDEX('INPUT - Roster'!$S$1:$SV$206,$B120,Settings!$C$9+4)&amp;"",CHAR(10)," "),CHAR(160)," ")))</f>
        <v/>
      </c>
      <c r="K120">
        <f>IF(OR($B120="",NOT(ISNUMBER(Settings!$C$9))),"",TRIM(SUBSTITUTE(SUBSTITUTE(INDEX('INPUT - Roster'!$S$1:$SV$206,$B120,Settings!$C$9+5)&amp;"",CHAR(10)," "),CHAR(160)," ")))</f>
        <v/>
      </c>
      <c r="L120">
        <f>IF(OR($B120="",NOT(ISNUMBER(Settings!$C$9))),"",TRIM(SUBSTITUTE(SUBSTITUTE(INDEX('INPUT - Roster'!$S$1:$SV$206,$B120,Settings!$C$9+6)&amp;"",CHAR(10)," "),CHAR(160)," ")))</f>
        <v/>
      </c>
      <c r="M120">
        <f>IF(OR($B120="",NOT(ISNUMBER(Settings!$C$9))),"",TRIM(SUBSTITUTE(SUBSTITUTE(INDEX('INPUT - Roster'!$S$1:$SV$206,$B120,Settings!$C$9+7)&amp;"",CHAR(10)," "),CHAR(160)," ")))</f>
        <v/>
      </c>
      <c r="N120">
        <f>IF(OR($B120="",NOT(ISNUMBER(Settings!$C$9))),"",TRIM(SUBSTITUTE(SUBSTITUTE(INDEX('INPUT - Roster'!$S$1:$SV$206,$B120,Settings!$C$9+8)&amp;"",CHAR(10)," "),CHAR(160)," ")))</f>
        <v/>
      </c>
      <c r="O120">
        <f>IF(OR($B120="",NOT(ISNUMBER(Settings!$C$9))),"",TRIM(SUBSTITUTE(SUBSTITUTE(INDEX('INPUT - Roster'!$S$1:$SV$206,$B120,Settings!$C$9+9)&amp;"",CHAR(10)," "),CHAR(160)," ")))</f>
        <v/>
      </c>
      <c r="P120">
        <f>IF(OR($B120="",NOT(ISNUMBER(Settings!$C$9))),"",TRIM(SUBSTITUTE(SUBSTITUTE(INDEX('INPUT - Roster'!$S$1:$SV$206,$B120,Settings!$C$9+10)&amp;"",CHAR(10)," "),CHAR(160)," ")))</f>
        <v/>
      </c>
      <c r="Q120">
        <f>IF(OR($B120="",NOT(ISNUMBER(Settings!$C$9))),"",TRIM(SUBSTITUTE(SUBSTITUTE(INDEX('INPUT - Roster'!$S$1:$SV$206,$B120,Settings!$C$9+11)&amp;"",CHAR(10)," "),CHAR(160)," ")))</f>
        <v/>
      </c>
      <c r="R120">
        <f>IF(OR($B120="",NOT(ISNUMBER(Settings!$C$9))),"",TRIM(SUBSTITUTE(SUBSTITUTE(INDEX('INPUT - Roster'!$S$1:$SV$206,$B120,Settings!$C$9+12)&amp;"",CHAR(10)," "),CHAR(160)," ")))</f>
        <v/>
      </c>
      <c r="S120">
        <f>IF(OR($B120="",NOT(ISNUMBER(Settings!$C$9))),"",TRIM(SUBSTITUTE(SUBSTITUTE(INDEX('INPUT - Roster'!$S$1:$SV$206,$B120,Settings!$C$9+13)&amp;"",CHAR(10)," "),CHAR(160)," ")))</f>
        <v/>
      </c>
      <c r="T120">
        <f>IF(OR($B120="",NOT(ISNUMBER(Settings!$C$9))),"",TRIM(SUBSTITUTE(SUBSTITUTE(INDEX('INPUT - Roster'!$S$1:$SV$206,$B120,Settings!$C$9+14)&amp;"",CHAR(10)," "),CHAR(160)," ")))</f>
        <v/>
      </c>
      <c r="U120">
        <f>IF(OR($B120="",NOT(ISNUMBER(Settings!$C$9))),"",TRIM(SUBSTITUTE(SUBSTITUTE(INDEX('INPUT - Roster'!$S$1:$SV$206,$B120,Settings!$C$9+15)&amp;"",CHAR(10)," "),CHAR(160)," ")))</f>
        <v/>
      </c>
      <c r="V120">
        <f>IF(OR($B120="",NOT(ISNUMBER(Settings!$C$9))),"",TRIM(SUBSTITUTE(SUBSTITUTE(INDEX('INPUT - Roster'!$S$1:$SV$206,$B120,Settings!$C$9+16)&amp;"",CHAR(10)," "),CHAR(160)," ")))</f>
        <v/>
      </c>
      <c r="W120">
        <f>IF(OR($B120="",NOT(ISNUMBER(Settings!$C$9))),"",TRIM(SUBSTITUTE(SUBSTITUTE(INDEX('INPUT - Roster'!$S$1:$SV$206,$B120,Settings!$C$9+17)&amp;"",CHAR(10)," "),CHAR(160)," ")))</f>
        <v/>
      </c>
      <c r="X120">
        <f>IF(OR($B120="",NOT(ISNUMBER(Settings!$C$9))),"",TRIM(SUBSTITUTE(SUBSTITUTE(INDEX('INPUT - Roster'!$S$1:$SV$206,$B120,Settings!$C$9+18)&amp;"",CHAR(10)," "),CHAR(160)," ")))</f>
        <v/>
      </c>
      <c r="Y120">
        <f>IF(OR($B120="",NOT(ISNUMBER(Settings!$C$9))),"",TRIM(SUBSTITUTE(SUBSTITUTE(INDEX('INPUT - Roster'!$S$1:$SV$206,$B120,Settings!$C$9+19)&amp;"",CHAR(10)," "),CHAR(160)," ")))</f>
        <v/>
      </c>
      <c r="Z120">
        <f>IF(OR($B120="",NOT(ISNUMBER(Settings!$C$9))),"",TRIM(SUBSTITUTE(SUBSTITUTE(INDEX('INPUT - Roster'!$S$1:$SV$206,$B120,Settings!$C$9+20)&amp;"",CHAR(10)," "),CHAR(160)," ")))</f>
        <v/>
      </c>
      <c r="AA120">
        <f>IF(OR($B120="",NOT(ISNUMBER(Settings!$C$9))),"",TRIM(SUBSTITUTE(SUBSTITUTE(INDEX('INPUT - Roster'!$S$1:$SV$206,$B120,Settings!$C$9+21)&amp;"",CHAR(10)," "),CHAR(160)," ")))</f>
        <v/>
      </c>
      <c r="AB120">
        <f>IF(OR($B120="",NOT(ISNUMBER(Settings!$C$9))),"",TRIM(SUBSTITUTE(SUBSTITUTE(INDEX('INPUT - Roster'!$S$1:$SV$206,$B120,Settings!$C$9+22)&amp;"",CHAR(10)," "),CHAR(160)," ")))</f>
        <v/>
      </c>
      <c r="AC120">
        <f>IF(OR($B120="",NOT(ISNUMBER(Settings!$C$9))),"",TRIM(SUBSTITUTE(SUBSTITUTE(INDEX('INPUT - Roster'!$S$1:$SV$206,$B120,Settings!$C$9+23)&amp;"",CHAR(10)," "),CHAR(160)," ")))</f>
        <v/>
      </c>
      <c r="AD120">
        <f>IF(OR($B120="",NOT(ISNUMBER(Settings!$C$9))),"",TRIM(SUBSTITUTE(SUBSTITUTE(INDEX('INPUT - Roster'!$S$1:$SV$206,$B120,Settings!$C$9+24)&amp;"",CHAR(10)," "),CHAR(160)," ")))</f>
        <v/>
      </c>
      <c r="AE120">
        <f>IF(OR($B120="",NOT(ISNUMBER(Settings!$C$9))),"",TRIM(SUBSTITUTE(SUBSTITUTE(INDEX('INPUT - Roster'!$S$1:$SV$206,$B120,Settings!$C$9+25)&amp;"",CHAR(10)," "),CHAR(160)," ")))</f>
        <v/>
      </c>
      <c r="AF120">
        <f>IF(OR($B120="",NOT(ISNUMBER(Settings!$C$9))),"",TRIM(SUBSTITUTE(SUBSTITUTE(INDEX('INPUT - Roster'!$S$1:$SV$206,$B120,Settings!$C$9+26)&amp;"",CHAR(10)," "),CHAR(160)," ")))</f>
        <v/>
      </c>
      <c r="AG120">
        <f>IF(OR($B120="",NOT(ISNUMBER(Settings!$C$9))),"",TRIM(SUBSTITUTE(SUBSTITUTE(INDEX('INPUT - Roster'!$S$1:$SV$206,$B120,Settings!$C$9+27)&amp;"",CHAR(10)," "),CHAR(160)," ")))</f>
        <v/>
      </c>
      <c r="AI120">
        <f>IF($B120="","",IF(F120="","Not rostered",IFERROR(INDEX(Settings!$C$14:$C$33,MATCH(F120,Settings!$B$14:$B$33,0)),IFERROR(LOOKUP(2^15,SEARCH(Settings!$I$14:$I$83,F120)/(Settings!$I$14:$I$83&lt;&gt;""),Settings!$J$14:$J$83),"Other"))))</f>
        <v/>
      </c>
      <c r="AJ120">
        <f>IF($B120="","",IF(G120="","Not rostered",IFERROR(INDEX(Settings!$C$14:$C$33,MATCH(G120,Settings!$B$14:$B$33,0)),IFERROR(LOOKUP(2^15,SEARCH(Settings!$I$14:$I$83,G120)/(Settings!$I$14:$I$83&lt;&gt;""),Settings!$J$14:$J$83),"Other"))))</f>
        <v/>
      </c>
      <c r="AK120">
        <f>IF($B120="","",IF(H120="","Not rostered",IFERROR(INDEX(Settings!$C$14:$C$33,MATCH(H120,Settings!$B$14:$B$33,0)),IFERROR(LOOKUP(2^15,SEARCH(Settings!$I$14:$I$83,H120)/(Settings!$I$14:$I$83&lt;&gt;""),Settings!$J$14:$J$83),"Other"))))</f>
        <v/>
      </c>
      <c r="AL120">
        <f>IF($B120="","",IF(I120="","Not rostered",IFERROR(INDEX(Settings!$C$14:$C$33,MATCH(I120,Settings!$B$14:$B$33,0)),IFERROR(LOOKUP(2^15,SEARCH(Settings!$I$14:$I$83,I120)/(Settings!$I$14:$I$83&lt;&gt;""),Settings!$J$14:$J$83),"Other"))))</f>
        <v/>
      </c>
      <c r="AM120">
        <f>IF($B120="","",IF(J120="","Not rostered",IFERROR(INDEX(Settings!$C$14:$C$33,MATCH(J120,Settings!$B$14:$B$33,0)),IFERROR(LOOKUP(2^15,SEARCH(Settings!$I$14:$I$83,J120)/(Settings!$I$14:$I$83&lt;&gt;""),Settings!$J$14:$J$83),"Other"))))</f>
        <v/>
      </c>
      <c r="AN120">
        <f>IF($B120="","",IF(K120="","Not rostered",IFERROR(INDEX(Settings!$C$14:$C$33,MATCH(K120,Settings!$B$14:$B$33,0)),IFERROR(LOOKUP(2^15,SEARCH(Settings!$I$14:$I$83,K120)/(Settings!$I$14:$I$83&lt;&gt;""),Settings!$J$14:$J$83),"Other"))))</f>
        <v/>
      </c>
      <c r="AO120">
        <f>IF($B120="","",IF(L120="","Not rostered",IFERROR(INDEX(Settings!$C$14:$C$33,MATCH(L120,Settings!$B$14:$B$33,0)),IFERROR(LOOKUP(2^15,SEARCH(Settings!$I$14:$I$83,L120)/(Settings!$I$14:$I$83&lt;&gt;""),Settings!$J$14:$J$83),"Other"))))</f>
        <v/>
      </c>
      <c r="AP120">
        <f>IF($B120="","",IF(M120="","Not rostered",IFERROR(INDEX(Settings!$C$14:$C$33,MATCH(M120,Settings!$B$14:$B$33,0)),IFERROR(LOOKUP(2^15,SEARCH(Settings!$I$14:$I$83,M120)/(Settings!$I$14:$I$83&lt;&gt;""),Settings!$J$14:$J$83),"Other"))))</f>
        <v/>
      </c>
      <c r="AQ120">
        <f>IF($B120="","",IF(N120="","Not rostered",IFERROR(INDEX(Settings!$C$14:$C$33,MATCH(N120,Settings!$B$14:$B$33,0)),IFERROR(LOOKUP(2^15,SEARCH(Settings!$I$14:$I$83,N120)/(Settings!$I$14:$I$83&lt;&gt;""),Settings!$J$14:$J$83),"Other"))))</f>
        <v/>
      </c>
      <c r="AR120">
        <f>IF($B120="","",IF(O120="","Not rostered",IFERROR(INDEX(Settings!$C$14:$C$33,MATCH(O120,Settings!$B$14:$B$33,0)),IFERROR(LOOKUP(2^15,SEARCH(Settings!$I$14:$I$83,O120)/(Settings!$I$14:$I$83&lt;&gt;""),Settings!$J$14:$J$83),"Other"))))</f>
        <v/>
      </c>
      <c r="AS120">
        <f>IF($B120="","",IF(P120="","Not rostered",IFERROR(INDEX(Settings!$C$14:$C$33,MATCH(P120,Settings!$B$14:$B$33,0)),IFERROR(LOOKUP(2^15,SEARCH(Settings!$I$14:$I$83,P120)/(Settings!$I$14:$I$83&lt;&gt;""),Settings!$J$14:$J$83),"Other"))))</f>
        <v/>
      </c>
      <c r="AT120">
        <f>IF($B120="","",IF(Q120="","Not rostered",IFERROR(INDEX(Settings!$C$14:$C$33,MATCH(Q120,Settings!$B$14:$B$33,0)),IFERROR(LOOKUP(2^15,SEARCH(Settings!$I$14:$I$83,Q120)/(Settings!$I$14:$I$83&lt;&gt;""),Settings!$J$14:$J$83),"Other"))))</f>
        <v/>
      </c>
      <c r="AU120">
        <f>IF($B120="","",IF(R120="","Not rostered",IFERROR(INDEX(Settings!$C$14:$C$33,MATCH(R120,Settings!$B$14:$B$33,0)),IFERROR(LOOKUP(2^15,SEARCH(Settings!$I$14:$I$83,R120)/(Settings!$I$14:$I$83&lt;&gt;""),Settings!$J$14:$J$83),"Other"))))</f>
        <v/>
      </c>
      <c r="AV120">
        <f>IF($B120="","",IF(S120="","Not rostered",IFERROR(INDEX(Settings!$C$14:$C$33,MATCH(S120,Settings!$B$14:$B$33,0)),IFERROR(LOOKUP(2^15,SEARCH(Settings!$I$14:$I$83,S120)/(Settings!$I$14:$I$83&lt;&gt;""),Settings!$J$14:$J$83),"Other"))))</f>
        <v/>
      </c>
      <c r="AW120">
        <f>IF($B120="","",IF(T120="","Not rostered",IFERROR(INDEX(Settings!$C$14:$C$33,MATCH(T120,Settings!$B$14:$B$33,0)),IFERROR(LOOKUP(2^15,SEARCH(Settings!$I$14:$I$83,T120)/(Settings!$I$14:$I$83&lt;&gt;""),Settings!$J$14:$J$83),"Other"))))</f>
        <v/>
      </c>
      <c r="AX120">
        <f>IF($B120="","",IF(U120="","Not rostered",IFERROR(INDEX(Settings!$C$14:$C$33,MATCH(U120,Settings!$B$14:$B$33,0)),IFERROR(LOOKUP(2^15,SEARCH(Settings!$I$14:$I$83,U120)/(Settings!$I$14:$I$83&lt;&gt;""),Settings!$J$14:$J$83),"Other"))))</f>
        <v/>
      </c>
      <c r="AY120">
        <f>IF($B120="","",IF(V120="","Not rostered",IFERROR(INDEX(Settings!$C$14:$C$33,MATCH(V120,Settings!$B$14:$B$33,0)),IFERROR(LOOKUP(2^15,SEARCH(Settings!$I$14:$I$83,V120)/(Settings!$I$14:$I$83&lt;&gt;""),Settings!$J$14:$J$83),"Other"))))</f>
        <v/>
      </c>
      <c r="AZ120">
        <f>IF($B120="","",IF(W120="","Not rostered",IFERROR(INDEX(Settings!$C$14:$C$33,MATCH(W120,Settings!$B$14:$B$33,0)),IFERROR(LOOKUP(2^15,SEARCH(Settings!$I$14:$I$83,W120)/(Settings!$I$14:$I$83&lt;&gt;""),Settings!$J$14:$J$83),"Other"))))</f>
        <v/>
      </c>
      <c r="BA120">
        <f>IF($B120="","",IF(X120="","Not rostered",IFERROR(INDEX(Settings!$C$14:$C$33,MATCH(X120,Settings!$B$14:$B$33,0)),IFERROR(LOOKUP(2^15,SEARCH(Settings!$I$14:$I$83,X120)/(Settings!$I$14:$I$83&lt;&gt;""),Settings!$J$14:$J$83),"Other"))))</f>
        <v/>
      </c>
      <c r="BB120">
        <f>IF($B120="","",IF(Y120="","Not rostered",IFERROR(INDEX(Settings!$C$14:$C$33,MATCH(Y120,Settings!$B$14:$B$33,0)),IFERROR(LOOKUP(2^15,SEARCH(Settings!$I$14:$I$83,Y120)/(Settings!$I$14:$I$83&lt;&gt;""),Settings!$J$14:$J$83),"Other"))))</f>
        <v/>
      </c>
      <c r="BC120">
        <f>IF($B120="","",IF(Z120="","Not rostered",IFERROR(INDEX(Settings!$C$14:$C$33,MATCH(Z120,Settings!$B$14:$B$33,0)),IFERROR(LOOKUP(2^15,SEARCH(Settings!$I$14:$I$83,Z120)/(Settings!$I$14:$I$83&lt;&gt;""),Settings!$J$14:$J$83),"Other"))))</f>
        <v/>
      </c>
      <c r="BD120">
        <f>IF($B120="","",IF(AA120="","Not rostered",IFERROR(INDEX(Settings!$C$14:$C$33,MATCH(AA120,Settings!$B$14:$B$33,0)),IFERROR(LOOKUP(2^15,SEARCH(Settings!$I$14:$I$83,AA120)/(Settings!$I$14:$I$83&lt;&gt;""),Settings!$J$14:$J$83),"Other"))))</f>
        <v/>
      </c>
      <c r="BE120">
        <f>IF($B120="","",IF(AB120="","Not rostered",IFERROR(INDEX(Settings!$C$14:$C$33,MATCH(AB120,Settings!$B$14:$B$33,0)),IFERROR(LOOKUP(2^15,SEARCH(Settings!$I$14:$I$83,AB120)/(Settings!$I$14:$I$83&lt;&gt;""),Settings!$J$14:$J$83),"Other"))))</f>
        <v/>
      </c>
      <c r="BF120">
        <f>IF($B120="","",IF(AC120="","Not rostered",IFERROR(INDEX(Settings!$C$14:$C$33,MATCH(AC120,Settings!$B$14:$B$33,0)),IFERROR(LOOKUP(2^15,SEARCH(Settings!$I$14:$I$83,AC120)/(Settings!$I$14:$I$83&lt;&gt;""),Settings!$J$14:$J$83),"Other"))))</f>
        <v/>
      </c>
      <c r="BG120">
        <f>IF($B120="","",IF(AD120="","Not rostered",IFERROR(INDEX(Settings!$C$14:$C$33,MATCH(AD120,Settings!$B$14:$B$33,0)),IFERROR(LOOKUP(2^15,SEARCH(Settings!$I$14:$I$83,AD120)/(Settings!$I$14:$I$83&lt;&gt;""),Settings!$J$14:$J$83),"Other"))))</f>
        <v/>
      </c>
      <c r="BH120">
        <f>IF($B120="","",IF(AE120="","Not rostered",IFERROR(INDEX(Settings!$C$14:$C$33,MATCH(AE120,Settings!$B$14:$B$33,0)),IFERROR(LOOKUP(2^15,SEARCH(Settings!$I$14:$I$83,AE120)/(Settings!$I$14:$I$83&lt;&gt;""),Settings!$J$14:$J$83),"Other"))))</f>
        <v/>
      </c>
      <c r="BI120">
        <f>IF($B120="","",IF(AF120="","Not rostered",IFERROR(INDEX(Settings!$C$14:$C$33,MATCH(AF120,Settings!$B$14:$B$33,0)),IFERROR(LOOKUP(2^15,SEARCH(Settings!$I$14:$I$83,AF120)/(Settings!$I$14:$I$83&lt;&gt;""),Settings!$J$14:$J$83),"Other"))))</f>
        <v/>
      </c>
      <c r="BJ120">
        <f>IF($B120="","",IF(AG120="","Not rostered",IFERROR(INDEX(Settings!$C$14:$C$33,MATCH(AG120,Settings!$B$14:$B$33,0)),IFERROR(LOOKUP(2^15,SEARCH(Settings!$I$14:$I$83,AG120)/(Settings!$I$14:$I$83&lt;&gt;""),Settings!$J$14:$J$83),"Other"))))</f>
        <v/>
      </c>
      <c r="BL120">
        <f>IF(OR($B120="",F120=""),"",IFERROR(INDEX(Settings!$D$14:$D$33,MATCH(F120,Settings!$B$14:$B$33,0))&amp;"",IFERROR(LOOKUP(2^15,SEARCH(Settings!$F$14:$F$43,F120)/(Settings!$F$14:$F$43&lt;&gt;""),Settings!$G$14:$G$43),"")))</f>
        <v/>
      </c>
      <c r="BM120">
        <f>IF(OR($B120="",G120=""),"",IFERROR(INDEX(Settings!$D$14:$D$33,MATCH(G120,Settings!$B$14:$B$33,0))&amp;"",IFERROR(LOOKUP(2^15,SEARCH(Settings!$F$14:$F$43,G120)/(Settings!$F$14:$F$43&lt;&gt;""),Settings!$G$14:$G$43),"")))</f>
        <v/>
      </c>
      <c r="BN120">
        <f>IF(OR($B120="",H120=""),"",IFERROR(INDEX(Settings!$D$14:$D$33,MATCH(H120,Settings!$B$14:$B$33,0))&amp;"",IFERROR(LOOKUP(2^15,SEARCH(Settings!$F$14:$F$43,H120)/(Settings!$F$14:$F$43&lt;&gt;""),Settings!$G$14:$G$43),"")))</f>
        <v/>
      </c>
      <c r="BO120">
        <f>IF(OR($B120="",I120=""),"",IFERROR(INDEX(Settings!$D$14:$D$33,MATCH(I120,Settings!$B$14:$B$33,0))&amp;"",IFERROR(LOOKUP(2^15,SEARCH(Settings!$F$14:$F$43,I120)/(Settings!$F$14:$F$43&lt;&gt;""),Settings!$G$14:$G$43),"")))</f>
        <v/>
      </c>
      <c r="BP120">
        <f>IF(OR($B120="",J120=""),"",IFERROR(INDEX(Settings!$D$14:$D$33,MATCH(J120,Settings!$B$14:$B$33,0))&amp;"",IFERROR(LOOKUP(2^15,SEARCH(Settings!$F$14:$F$43,J120)/(Settings!$F$14:$F$43&lt;&gt;""),Settings!$G$14:$G$43),"")))</f>
        <v/>
      </c>
      <c r="BQ120">
        <f>IF(OR($B120="",K120=""),"",IFERROR(INDEX(Settings!$D$14:$D$33,MATCH(K120,Settings!$B$14:$B$33,0))&amp;"",IFERROR(LOOKUP(2^15,SEARCH(Settings!$F$14:$F$43,K120)/(Settings!$F$14:$F$43&lt;&gt;""),Settings!$G$14:$G$43),"")))</f>
        <v/>
      </c>
      <c r="BR120">
        <f>IF(OR($B120="",L120=""),"",IFERROR(INDEX(Settings!$D$14:$D$33,MATCH(L120,Settings!$B$14:$B$33,0))&amp;"",IFERROR(LOOKUP(2^15,SEARCH(Settings!$F$14:$F$43,L120)/(Settings!$F$14:$F$43&lt;&gt;""),Settings!$G$14:$G$43),"")))</f>
        <v/>
      </c>
      <c r="BS120">
        <f>IF(OR($B120="",M120=""),"",IFERROR(INDEX(Settings!$D$14:$D$33,MATCH(M120,Settings!$B$14:$B$33,0))&amp;"",IFERROR(LOOKUP(2^15,SEARCH(Settings!$F$14:$F$43,M120)/(Settings!$F$14:$F$43&lt;&gt;""),Settings!$G$14:$G$43),"")))</f>
        <v/>
      </c>
      <c r="BT120">
        <f>IF(OR($B120="",N120=""),"",IFERROR(INDEX(Settings!$D$14:$D$33,MATCH(N120,Settings!$B$14:$B$33,0))&amp;"",IFERROR(LOOKUP(2^15,SEARCH(Settings!$F$14:$F$43,N120)/(Settings!$F$14:$F$43&lt;&gt;""),Settings!$G$14:$G$43),"")))</f>
        <v/>
      </c>
      <c r="BU120">
        <f>IF(OR($B120="",O120=""),"",IFERROR(INDEX(Settings!$D$14:$D$33,MATCH(O120,Settings!$B$14:$B$33,0))&amp;"",IFERROR(LOOKUP(2^15,SEARCH(Settings!$F$14:$F$43,O120)/(Settings!$F$14:$F$43&lt;&gt;""),Settings!$G$14:$G$43),"")))</f>
        <v/>
      </c>
      <c r="BV120">
        <f>IF(OR($B120="",P120=""),"",IFERROR(INDEX(Settings!$D$14:$D$33,MATCH(P120,Settings!$B$14:$B$33,0))&amp;"",IFERROR(LOOKUP(2^15,SEARCH(Settings!$F$14:$F$43,P120)/(Settings!$F$14:$F$43&lt;&gt;""),Settings!$G$14:$G$43),"")))</f>
        <v/>
      </c>
      <c r="BW120">
        <f>IF(OR($B120="",Q120=""),"",IFERROR(INDEX(Settings!$D$14:$D$33,MATCH(Q120,Settings!$B$14:$B$33,0))&amp;"",IFERROR(LOOKUP(2^15,SEARCH(Settings!$F$14:$F$43,Q120)/(Settings!$F$14:$F$43&lt;&gt;""),Settings!$G$14:$G$43),"")))</f>
        <v/>
      </c>
      <c r="BX120">
        <f>IF(OR($B120="",R120=""),"",IFERROR(INDEX(Settings!$D$14:$D$33,MATCH(R120,Settings!$B$14:$B$33,0))&amp;"",IFERROR(LOOKUP(2^15,SEARCH(Settings!$F$14:$F$43,R120)/(Settings!$F$14:$F$43&lt;&gt;""),Settings!$G$14:$G$43),"")))</f>
        <v/>
      </c>
      <c r="BY120">
        <f>IF(OR($B120="",S120=""),"",IFERROR(INDEX(Settings!$D$14:$D$33,MATCH(S120,Settings!$B$14:$B$33,0))&amp;"",IFERROR(LOOKUP(2^15,SEARCH(Settings!$F$14:$F$43,S120)/(Settings!$F$14:$F$43&lt;&gt;""),Settings!$G$14:$G$43),"")))</f>
        <v/>
      </c>
      <c r="BZ120">
        <f>IF(OR($B120="",T120=""),"",IFERROR(INDEX(Settings!$D$14:$D$33,MATCH(T120,Settings!$B$14:$B$33,0))&amp;"",IFERROR(LOOKUP(2^15,SEARCH(Settings!$F$14:$F$43,T120)/(Settings!$F$14:$F$43&lt;&gt;""),Settings!$G$14:$G$43),"")))</f>
        <v/>
      </c>
      <c r="CA120">
        <f>IF(OR($B120="",U120=""),"",IFERROR(INDEX(Settings!$D$14:$D$33,MATCH(U120,Settings!$B$14:$B$33,0))&amp;"",IFERROR(LOOKUP(2^15,SEARCH(Settings!$F$14:$F$43,U120)/(Settings!$F$14:$F$43&lt;&gt;""),Settings!$G$14:$G$43),"")))</f>
        <v/>
      </c>
      <c r="CB120">
        <f>IF(OR($B120="",V120=""),"",IFERROR(INDEX(Settings!$D$14:$D$33,MATCH(V120,Settings!$B$14:$B$33,0))&amp;"",IFERROR(LOOKUP(2^15,SEARCH(Settings!$F$14:$F$43,V120)/(Settings!$F$14:$F$43&lt;&gt;""),Settings!$G$14:$G$43),"")))</f>
        <v/>
      </c>
      <c r="CC120">
        <f>IF(OR($B120="",W120=""),"",IFERROR(INDEX(Settings!$D$14:$D$33,MATCH(W120,Settings!$B$14:$B$33,0))&amp;"",IFERROR(LOOKUP(2^15,SEARCH(Settings!$F$14:$F$43,W120)/(Settings!$F$14:$F$43&lt;&gt;""),Settings!$G$14:$G$43),"")))</f>
        <v/>
      </c>
      <c r="CD120">
        <f>IF(OR($B120="",X120=""),"",IFERROR(INDEX(Settings!$D$14:$D$33,MATCH(X120,Settings!$B$14:$B$33,0))&amp;"",IFERROR(LOOKUP(2^15,SEARCH(Settings!$F$14:$F$43,X120)/(Settings!$F$14:$F$43&lt;&gt;""),Settings!$G$14:$G$43),"")))</f>
        <v/>
      </c>
      <c r="CE120">
        <f>IF(OR($B120="",Y120=""),"",IFERROR(INDEX(Settings!$D$14:$D$33,MATCH(Y120,Settings!$B$14:$B$33,0))&amp;"",IFERROR(LOOKUP(2^15,SEARCH(Settings!$F$14:$F$43,Y120)/(Settings!$F$14:$F$43&lt;&gt;""),Settings!$G$14:$G$43),"")))</f>
        <v/>
      </c>
      <c r="CF120">
        <f>IF(OR($B120="",Z120=""),"",IFERROR(INDEX(Settings!$D$14:$D$33,MATCH(Z120,Settings!$B$14:$B$33,0))&amp;"",IFERROR(LOOKUP(2^15,SEARCH(Settings!$F$14:$F$43,Z120)/(Settings!$F$14:$F$43&lt;&gt;""),Settings!$G$14:$G$43),"")))</f>
        <v/>
      </c>
      <c r="CG120">
        <f>IF(OR($B120="",AA120=""),"",IFERROR(INDEX(Settings!$D$14:$D$33,MATCH(AA120,Settings!$B$14:$B$33,0))&amp;"",IFERROR(LOOKUP(2^15,SEARCH(Settings!$F$14:$F$43,AA120)/(Settings!$F$14:$F$43&lt;&gt;""),Settings!$G$14:$G$43),"")))</f>
        <v/>
      </c>
      <c r="CH120">
        <f>IF(OR($B120="",AB120=""),"",IFERROR(INDEX(Settings!$D$14:$D$33,MATCH(AB120,Settings!$B$14:$B$33,0))&amp;"",IFERROR(LOOKUP(2^15,SEARCH(Settings!$F$14:$F$43,AB120)/(Settings!$F$14:$F$43&lt;&gt;""),Settings!$G$14:$G$43),"")))</f>
        <v/>
      </c>
      <c r="CI120">
        <f>IF(OR($B120="",AC120=""),"",IFERROR(INDEX(Settings!$D$14:$D$33,MATCH(AC120,Settings!$B$14:$B$33,0))&amp;"",IFERROR(LOOKUP(2^15,SEARCH(Settings!$F$14:$F$43,AC120)/(Settings!$F$14:$F$43&lt;&gt;""),Settings!$G$14:$G$43),"")))</f>
        <v/>
      </c>
      <c r="CJ120">
        <f>IF(OR($B120="",AD120=""),"",IFERROR(INDEX(Settings!$D$14:$D$33,MATCH(AD120,Settings!$B$14:$B$33,0))&amp;"",IFERROR(LOOKUP(2^15,SEARCH(Settings!$F$14:$F$43,AD120)/(Settings!$F$14:$F$43&lt;&gt;""),Settings!$G$14:$G$43),"")))</f>
        <v/>
      </c>
      <c r="CK120">
        <f>IF(OR($B120="",AE120=""),"",IFERROR(INDEX(Settings!$D$14:$D$33,MATCH(AE120,Settings!$B$14:$B$33,0))&amp;"",IFERROR(LOOKUP(2^15,SEARCH(Settings!$F$14:$F$43,AE120)/(Settings!$F$14:$F$43&lt;&gt;""),Settings!$G$14:$G$43),"")))</f>
        <v/>
      </c>
      <c r="CL120">
        <f>IF(OR($B120="",AF120=""),"",IFERROR(INDEX(Settings!$D$14:$D$33,MATCH(AF120,Settings!$B$14:$B$33,0))&amp;"",IFERROR(LOOKUP(2^15,SEARCH(Settings!$F$14:$F$43,AF120)/(Settings!$F$14:$F$43&lt;&gt;""),Settings!$G$14:$G$43),"")))</f>
        <v/>
      </c>
      <c r="CM120">
        <f>IF(OR($B120="",AG120=""),"",IFERROR(INDEX(Settings!$D$14:$D$33,MATCH(AG120,Settings!$B$14:$B$33,0))&amp;"",IFERROR(LOOKUP(2^15,SEARCH(Settings!$F$14:$F$43,AG120)/(Settings!$F$14:$F$43&lt;&gt;""),Settings!$G$14:$G$43),"")))</f>
        <v/>
      </c>
    </row>
    <row r="121">
      <c r="A121" t="n">
        <v>119</v>
      </c>
      <c r="B121">
        <f>IFERROR(INDEX(Index!$A$2:$A$202,MATCH(A121,Index!$E$2:$E$202,0)),"")</f>
        <v/>
      </c>
      <c r="D121">
        <f>IF($B121="","",IFERROR(MATCH("Travel*",AI121:BJ121,0),""))</f>
        <v/>
      </c>
      <c r="F121">
        <f>IF(OR($B121="",NOT(ISNUMBER(Settings!$C$9))),"",TRIM(SUBSTITUTE(SUBSTITUTE(INDEX('INPUT - Roster'!$S$1:$SV$206,$B121,Settings!$C$9+0)&amp;"",CHAR(10)," "),CHAR(160)," ")))</f>
        <v/>
      </c>
      <c r="G121">
        <f>IF(OR($B121="",NOT(ISNUMBER(Settings!$C$9))),"",TRIM(SUBSTITUTE(SUBSTITUTE(INDEX('INPUT - Roster'!$S$1:$SV$206,$B121,Settings!$C$9+1)&amp;"",CHAR(10)," "),CHAR(160)," ")))</f>
        <v/>
      </c>
      <c r="H121">
        <f>IF(OR($B121="",NOT(ISNUMBER(Settings!$C$9))),"",TRIM(SUBSTITUTE(SUBSTITUTE(INDEX('INPUT - Roster'!$S$1:$SV$206,$B121,Settings!$C$9+2)&amp;"",CHAR(10)," "),CHAR(160)," ")))</f>
        <v/>
      </c>
      <c r="I121">
        <f>IF(OR($B121="",NOT(ISNUMBER(Settings!$C$9))),"",TRIM(SUBSTITUTE(SUBSTITUTE(INDEX('INPUT - Roster'!$S$1:$SV$206,$B121,Settings!$C$9+3)&amp;"",CHAR(10)," "),CHAR(160)," ")))</f>
        <v/>
      </c>
      <c r="J121">
        <f>IF(OR($B121="",NOT(ISNUMBER(Settings!$C$9))),"",TRIM(SUBSTITUTE(SUBSTITUTE(INDEX('INPUT - Roster'!$S$1:$SV$206,$B121,Settings!$C$9+4)&amp;"",CHAR(10)," "),CHAR(160)," ")))</f>
        <v/>
      </c>
      <c r="K121">
        <f>IF(OR($B121="",NOT(ISNUMBER(Settings!$C$9))),"",TRIM(SUBSTITUTE(SUBSTITUTE(INDEX('INPUT - Roster'!$S$1:$SV$206,$B121,Settings!$C$9+5)&amp;"",CHAR(10)," "),CHAR(160)," ")))</f>
        <v/>
      </c>
      <c r="L121">
        <f>IF(OR($B121="",NOT(ISNUMBER(Settings!$C$9))),"",TRIM(SUBSTITUTE(SUBSTITUTE(INDEX('INPUT - Roster'!$S$1:$SV$206,$B121,Settings!$C$9+6)&amp;"",CHAR(10)," "),CHAR(160)," ")))</f>
        <v/>
      </c>
      <c r="M121">
        <f>IF(OR($B121="",NOT(ISNUMBER(Settings!$C$9))),"",TRIM(SUBSTITUTE(SUBSTITUTE(INDEX('INPUT - Roster'!$S$1:$SV$206,$B121,Settings!$C$9+7)&amp;"",CHAR(10)," "),CHAR(160)," ")))</f>
        <v/>
      </c>
      <c r="N121">
        <f>IF(OR($B121="",NOT(ISNUMBER(Settings!$C$9))),"",TRIM(SUBSTITUTE(SUBSTITUTE(INDEX('INPUT - Roster'!$S$1:$SV$206,$B121,Settings!$C$9+8)&amp;"",CHAR(10)," "),CHAR(160)," ")))</f>
        <v/>
      </c>
      <c r="O121">
        <f>IF(OR($B121="",NOT(ISNUMBER(Settings!$C$9))),"",TRIM(SUBSTITUTE(SUBSTITUTE(INDEX('INPUT - Roster'!$S$1:$SV$206,$B121,Settings!$C$9+9)&amp;"",CHAR(10)," "),CHAR(160)," ")))</f>
        <v/>
      </c>
      <c r="P121">
        <f>IF(OR($B121="",NOT(ISNUMBER(Settings!$C$9))),"",TRIM(SUBSTITUTE(SUBSTITUTE(INDEX('INPUT - Roster'!$S$1:$SV$206,$B121,Settings!$C$9+10)&amp;"",CHAR(10)," "),CHAR(160)," ")))</f>
        <v/>
      </c>
      <c r="Q121">
        <f>IF(OR($B121="",NOT(ISNUMBER(Settings!$C$9))),"",TRIM(SUBSTITUTE(SUBSTITUTE(INDEX('INPUT - Roster'!$S$1:$SV$206,$B121,Settings!$C$9+11)&amp;"",CHAR(10)," "),CHAR(160)," ")))</f>
        <v/>
      </c>
      <c r="R121">
        <f>IF(OR($B121="",NOT(ISNUMBER(Settings!$C$9))),"",TRIM(SUBSTITUTE(SUBSTITUTE(INDEX('INPUT - Roster'!$S$1:$SV$206,$B121,Settings!$C$9+12)&amp;"",CHAR(10)," "),CHAR(160)," ")))</f>
        <v/>
      </c>
      <c r="S121">
        <f>IF(OR($B121="",NOT(ISNUMBER(Settings!$C$9))),"",TRIM(SUBSTITUTE(SUBSTITUTE(INDEX('INPUT - Roster'!$S$1:$SV$206,$B121,Settings!$C$9+13)&amp;"",CHAR(10)," "),CHAR(160)," ")))</f>
        <v/>
      </c>
      <c r="T121">
        <f>IF(OR($B121="",NOT(ISNUMBER(Settings!$C$9))),"",TRIM(SUBSTITUTE(SUBSTITUTE(INDEX('INPUT - Roster'!$S$1:$SV$206,$B121,Settings!$C$9+14)&amp;"",CHAR(10)," "),CHAR(160)," ")))</f>
        <v/>
      </c>
      <c r="U121">
        <f>IF(OR($B121="",NOT(ISNUMBER(Settings!$C$9))),"",TRIM(SUBSTITUTE(SUBSTITUTE(INDEX('INPUT - Roster'!$S$1:$SV$206,$B121,Settings!$C$9+15)&amp;"",CHAR(10)," "),CHAR(160)," ")))</f>
        <v/>
      </c>
      <c r="V121">
        <f>IF(OR($B121="",NOT(ISNUMBER(Settings!$C$9))),"",TRIM(SUBSTITUTE(SUBSTITUTE(INDEX('INPUT - Roster'!$S$1:$SV$206,$B121,Settings!$C$9+16)&amp;"",CHAR(10)," "),CHAR(160)," ")))</f>
        <v/>
      </c>
      <c r="W121">
        <f>IF(OR($B121="",NOT(ISNUMBER(Settings!$C$9))),"",TRIM(SUBSTITUTE(SUBSTITUTE(INDEX('INPUT - Roster'!$S$1:$SV$206,$B121,Settings!$C$9+17)&amp;"",CHAR(10)," "),CHAR(160)," ")))</f>
        <v/>
      </c>
      <c r="X121">
        <f>IF(OR($B121="",NOT(ISNUMBER(Settings!$C$9))),"",TRIM(SUBSTITUTE(SUBSTITUTE(INDEX('INPUT - Roster'!$S$1:$SV$206,$B121,Settings!$C$9+18)&amp;"",CHAR(10)," "),CHAR(160)," ")))</f>
        <v/>
      </c>
      <c r="Y121">
        <f>IF(OR($B121="",NOT(ISNUMBER(Settings!$C$9))),"",TRIM(SUBSTITUTE(SUBSTITUTE(INDEX('INPUT - Roster'!$S$1:$SV$206,$B121,Settings!$C$9+19)&amp;"",CHAR(10)," "),CHAR(160)," ")))</f>
        <v/>
      </c>
      <c r="Z121">
        <f>IF(OR($B121="",NOT(ISNUMBER(Settings!$C$9))),"",TRIM(SUBSTITUTE(SUBSTITUTE(INDEX('INPUT - Roster'!$S$1:$SV$206,$B121,Settings!$C$9+20)&amp;"",CHAR(10)," "),CHAR(160)," ")))</f>
        <v/>
      </c>
      <c r="AA121">
        <f>IF(OR($B121="",NOT(ISNUMBER(Settings!$C$9))),"",TRIM(SUBSTITUTE(SUBSTITUTE(INDEX('INPUT - Roster'!$S$1:$SV$206,$B121,Settings!$C$9+21)&amp;"",CHAR(10)," "),CHAR(160)," ")))</f>
        <v/>
      </c>
      <c r="AB121">
        <f>IF(OR($B121="",NOT(ISNUMBER(Settings!$C$9))),"",TRIM(SUBSTITUTE(SUBSTITUTE(INDEX('INPUT - Roster'!$S$1:$SV$206,$B121,Settings!$C$9+22)&amp;"",CHAR(10)," "),CHAR(160)," ")))</f>
        <v/>
      </c>
      <c r="AC121">
        <f>IF(OR($B121="",NOT(ISNUMBER(Settings!$C$9))),"",TRIM(SUBSTITUTE(SUBSTITUTE(INDEX('INPUT - Roster'!$S$1:$SV$206,$B121,Settings!$C$9+23)&amp;"",CHAR(10)," "),CHAR(160)," ")))</f>
        <v/>
      </c>
      <c r="AD121">
        <f>IF(OR($B121="",NOT(ISNUMBER(Settings!$C$9))),"",TRIM(SUBSTITUTE(SUBSTITUTE(INDEX('INPUT - Roster'!$S$1:$SV$206,$B121,Settings!$C$9+24)&amp;"",CHAR(10)," "),CHAR(160)," ")))</f>
        <v/>
      </c>
      <c r="AE121">
        <f>IF(OR($B121="",NOT(ISNUMBER(Settings!$C$9))),"",TRIM(SUBSTITUTE(SUBSTITUTE(INDEX('INPUT - Roster'!$S$1:$SV$206,$B121,Settings!$C$9+25)&amp;"",CHAR(10)," "),CHAR(160)," ")))</f>
        <v/>
      </c>
      <c r="AF121">
        <f>IF(OR($B121="",NOT(ISNUMBER(Settings!$C$9))),"",TRIM(SUBSTITUTE(SUBSTITUTE(INDEX('INPUT - Roster'!$S$1:$SV$206,$B121,Settings!$C$9+26)&amp;"",CHAR(10)," "),CHAR(160)," ")))</f>
        <v/>
      </c>
      <c r="AG121">
        <f>IF(OR($B121="",NOT(ISNUMBER(Settings!$C$9))),"",TRIM(SUBSTITUTE(SUBSTITUTE(INDEX('INPUT - Roster'!$S$1:$SV$206,$B121,Settings!$C$9+27)&amp;"",CHAR(10)," "),CHAR(160)," ")))</f>
        <v/>
      </c>
      <c r="AI121">
        <f>IF($B121="","",IF(F121="","Not rostered",IFERROR(INDEX(Settings!$C$14:$C$33,MATCH(F121,Settings!$B$14:$B$33,0)),IFERROR(LOOKUP(2^15,SEARCH(Settings!$I$14:$I$83,F121)/(Settings!$I$14:$I$83&lt;&gt;""),Settings!$J$14:$J$83),"Other"))))</f>
        <v/>
      </c>
      <c r="AJ121">
        <f>IF($B121="","",IF(G121="","Not rostered",IFERROR(INDEX(Settings!$C$14:$C$33,MATCH(G121,Settings!$B$14:$B$33,0)),IFERROR(LOOKUP(2^15,SEARCH(Settings!$I$14:$I$83,G121)/(Settings!$I$14:$I$83&lt;&gt;""),Settings!$J$14:$J$83),"Other"))))</f>
        <v/>
      </c>
      <c r="AK121">
        <f>IF($B121="","",IF(H121="","Not rostered",IFERROR(INDEX(Settings!$C$14:$C$33,MATCH(H121,Settings!$B$14:$B$33,0)),IFERROR(LOOKUP(2^15,SEARCH(Settings!$I$14:$I$83,H121)/(Settings!$I$14:$I$83&lt;&gt;""),Settings!$J$14:$J$83),"Other"))))</f>
        <v/>
      </c>
      <c r="AL121">
        <f>IF($B121="","",IF(I121="","Not rostered",IFERROR(INDEX(Settings!$C$14:$C$33,MATCH(I121,Settings!$B$14:$B$33,0)),IFERROR(LOOKUP(2^15,SEARCH(Settings!$I$14:$I$83,I121)/(Settings!$I$14:$I$83&lt;&gt;""),Settings!$J$14:$J$83),"Other"))))</f>
        <v/>
      </c>
      <c r="AM121">
        <f>IF($B121="","",IF(J121="","Not rostered",IFERROR(INDEX(Settings!$C$14:$C$33,MATCH(J121,Settings!$B$14:$B$33,0)),IFERROR(LOOKUP(2^15,SEARCH(Settings!$I$14:$I$83,J121)/(Settings!$I$14:$I$83&lt;&gt;""),Settings!$J$14:$J$83),"Other"))))</f>
        <v/>
      </c>
      <c r="AN121">
        <f>IF($B121="","",IF(K121="","Not rostered",IFERROR(INDEX(Settings!$C$14:$C$33,MATCH(K121,Settings!$B$14:$B$33,0)),IFERROR(LOOKUP(2^15,SEARCH(Settings!$I$14:$I$83,K121)/(Settings!$I$14:$I$83&lt;&gt;""),Settings!$J$14:$J$83),"Other"))))</f>
        <v/>
      </c>
      <c r="AO121">
        <f>IF($B121="","",IF(L121="","Not rostered",IFERROR(INDEX(Settings!$C$14:$C$33,MATCH(L121,Settings!$B$14:$B$33,0)),IFERROR(LOOKUP(2^15,SEARCH(Settings!$I$14:$I$83,L121)/(Settings!$I$14:$I$83&lt;&gt;""),Settings!$J$14:$J$83),"Other"))))</f>
        <v/>
      </c>
      <c r="AP121">
        <f>IF($B121="","",IF(M121="","Not rostered",IFERROR(INDEX(Settings!$C$14:$C$33,MATCH(M121,Settings!$B$14:$B$33,0)),IFERROR(LOOKUP(2^15,SEARCH(Settings!$I$14:$I$83,M121)/(Settings!$I$14:$I$83&lt;&gt;""),Settings!$J$14:$J$83),"Other"))))</f>
        <v/>
      </c>
      <c r="AQ121">
        <f>IF($B121="","",IF(N121="","Not rostered",IFERROR(INDEX(Settings!$C$14:$C$33,MATCH(N121,Settings!$B$14:$B$33,0)),IFERROR(LOOKUP(2^15,SEARCH(Settings!$I$14:$I$83,N121)/(Settings!$I$14:$I$83&lt;&gt;""),Settings!$J$14:$J$83),"Other"))))</f>
        <v/>
      </c>
      <c r="AR121">
        <f>IF($B121="","",IF(O121="","Not rostered",IFERROR(INDEX(Settings!$C$14:$C$33,MATCH(O121,Settings!$B$14:$B$33,0)),IFERROR(LOOKUP(2^15,SEARCH(Settings!$I$14:$I$83,O121)/(Settings!$I$14:$I$83&lt;&gt;""),Settings!$J$14:$J$83),"Other"))))</f>
        <v/>
      </c>
      <c r="AS121">
        <f>IF($B121="","",IF(P121="","Not rostered",IFERROR(INDEX(Settings!$C$14:$C$33,MATCH(P121,Settings!$B$14:$B$33,0)),IFERROR(LOOKUP(2^15,SEARCH(Settings!$I$14:$I$83,P121)/(Settings!$I$14:$I$83&lt;&gt;""),Settings!$J$14:$J$83),"Other"))))</f>
        <v/>
      </c>
      <c r="AT121">
        <f>IF($B121="","",IF(Q121="","Not rostered",IFERROR(INDEX(Settings!$C$14:$C$33,MATCH(Q121,Settings!$B$14:$B$33,0)),IFERROR(LOOKUP(2^15,SEARCH(Settings!$I$14:$I$83,Q121)/(Settings!$I$14:$I$83&lt;&gt;""),Settings!$J$14:$J$83),"Other"))))</f>
        <v/>
      </c>
      <c r="AU121">
        <f>IF($B121="","",IF(R121="","Not rostered",IFERROR(INDEX(Settings!$C$14:$C$33,MATCH(R121,Settings!$B$14:$B$33,0)),IFERROR(LOOKUP(2^15,SEARCH(Settings!$I$14:$I$83,R121)/(Settings!$I$14:$I$83&lt;&gt;""),Settings!$J$14:$J$83),"Other"))))</f>
        <v/>
      </c>
      <c r="AV121">
        <f>IF($B121="","",IF(S121="","Not rostered",IFERROR(INDEX(Settings!$C$14:$C$33,MATCH(S121,Settings!$B$14:$B$33,0)),IFERROR(LOOKUP(2^15,SEARCH(Settings!$I$14:$I$83,S121)/(Settings!$I$14:$I$83&lt;&gt;""),Settings!$J$14:$J$83),"Other"))))</f>
        <v/>
      </c>
      <c r="AW121">
        <f>IF($B121="","",IF(T121="","Not rostered",IFERROR(INDEX(Settings!$C$14:$C$33,MATCH(T121,Settings!$B$14:$B$33,0)),IFERROR(LOOKUP(2^15,SEARCH(Settings!$I$14:$I$83,T121)/(Settings!$I$14:$I$83&lt;&gt;""),Settings!$J$14:$J$83),"Other"))))</f>
        <v/>
      </c>
      <c r="AX121">
        <f>IF($B121="","",IF(U121="","Not rostered",IFERROR(INDEX(Settings!$C$14:$C$33,MATCH(U121,Settings!$B$14:$B$33,0)),IFERROR(LOOKUP(2^15,SEARCH(Settings!$I$14:$I$83,U121)/(Settings!$I$14:$I$83&lt;&gt;""),Settings!$J$14:$J$83),"Other"))))</f>
        <v/>
      </c>
      <c r="AY121">
        <f>IF($B121="","",IF(V121="","Not rostered",IFERROR(INDEX(Settings!$C$14:$C$33,MATCH(V121,Settings!$B$14:$B$33,0)),IFERROR(LOOKUP(2^15,SEARCH(Settings!$I$14:$I$83,V121)/(Settings!$I$14:$I$83&lt;&gt;""),Settings!$J$14:$J$83),"Other"))))</f>
        <v/>
      </c>
      <c r="AZ121">
        <f>IF($B121="","",IF(W121="","Not rostered",IFERROR(INDEX(Settings!$C$14:$C$33,MATCH(W121,Settings!$B$14:$B$33,0)),IFERROR(LOOKUP(2^15,SEARCH(Settings!$I$14:$I$83,W121)/(Settings!$I$14:$I$83&lt;&gt;""),Settings!$J$14:$J$83),"Other"))))</f>
        <v/>
      </c>
      <c r="BA121">
        <f>IF($B121="","",IF(X121="","Not rostered",IFERROR(INDEX(Settings!$C$14:$C$33,MATCH(X121,Settings!$B$14:$B$33,0)),IFERROR(LOOKUP(2^15,SEARCH(Settings!$I$14:$I$83,X121)/(Settings!$I$14:$I$83&lt;&gt;""),Settings!$J$14:$J$83),"Other"))))</f>
        <v/>
      </c>
      <c r="BB121">
        <f>IF($B121="","",IF(Y121="","Not rostered",IFERROR(INDEX(Settings!$C$14:$C$33,MATCH(Y121,Settings!$B$14:$B$33,0)),IFERROR(LOOKUP(2^15,SEARCH(Settings!$I$14:$I$83,Y121)/(Settings!$I$14:$I$83&lt;&gt;""),Settings!$J$14:$J$83),"Other"))))</f>
        <v/>
      </c>
      <c r="BC121">
        <f>IF($B121="","",IF(Z121="","Not rostered",IFERROR(INDEX(Settings!$C$14:$C$33,MATCH(Z121,Settings!$B$14:$B$33,0)),IFERROR(LOOKUP(2^15,SEARCH(Settings!$I$14:$I$83,Z121)/(Settings!$I$14:$I$83&lt;&gt;""),Settings!$J$14:$J$83),"Other"))))</f>
        <v/>
      </c>
      <c r="BD121">
        <f>IF($B121="","",IF(AA121="","Not rostered",IFERROR(INDEX(Settings!$C$14:$C$33,MATCH(AA121,Settings!$B$14:$B$33,0)),IFERROR(LOOKUP(2^15,SEARCH(Settings!$I$14:$I$83,AA121)/(Settings!$I$14:$I$83&lt;&gt;""),Settings!$J$14:$J$83),"Other"))))</f>
        <v/>
      </c>
      <c r="BE121">
        <f>IF($B121="","",IF(AB121="","Not rostered",IFERROR(INDEX(Settings!$C$14:$C$33,MATCH(AB121,Settings!$B$14:$B$33,0)),IFERROR(LOOKUP(2^15,SEARCH(Settings!$I$14:$I$83,AB121)/(Settings!$I$14:$I$83&lt;&gt;""),Settings!$J$14:$J$83),"Other"))))</f>
        <v/>
      </c>
      <c r="BF121">
        <f>IF($B121="","",IF(AC121="","Not rostered",IFERROR(INDEX(Settings!$C$14:$C$33,MATCH(AC121,Settings!$B$14:$B$33,0)),IFERROR(LOOKUP(2^15,SEARCH(Settings!$I$14:$I$83,AC121)/(Settings!$I$14:$I$83&lt;&gt;""),Settings!$J$14:$J$83),"Other"))))</f>
        <v/>
      </c>
      <c r="BG121">
        <f>IF($B121="","",IF(AD121="","Not rostered",IFERROR(INDEX(Settings!$C$14:$C$33,MATCH(AD121,Settings!$B$14:$B$33,0)),IFERROR(LOOKUP(2^15,SEARCH(Settings!$I$14:$I$83,AD121)/(Settings!$I$14:$I$83&lt;&gt;""),Settings!$J$14:$J$83),"Other"))))</f>
        <v/>
      </c>
      <c r="BH121">
        <f>IF($B121="","",IF(AE121="","Not rostered",IFERROR(INDEX(Settings!$C$14:$C$33,MATCH(AE121,Settings!$B$14:$B$33,0)),IFERROR(LOOKUP(2^15,SEARCH(Settings!$I$14:$I$83,AE121)/(Settings!$I$14:$I$83&lt;&gt;""),Settings!$J$14:$J$83),"Other"))))</f>
        <v/>
      </c>
      <c r="BI121">
        <f>IF($B121="","",IF(AF121="","Not rostered",IFERROR(INDEX(Settings!$C$14:$C$33,MATCH(AF121,Settings!$B$14:$B$33,0)),IFERROR(LOOKUP(2^15,SEARCH(Settings!$I$14:$I$83,AF121)/(Settings!$I$14:$I$83&lt;&gt;""),Settings!$J$14:$J$83),"Other"))))</f>
        <v/>
      </c>
      <c r="BJ121">
        <f>IF($B121="","",IF(AG121="","Not rostered",IFERROR(INDEX(Settings!$C$14:$C$33,MATCH(AG121,Settings!$B$14:$B$33,0)),IFERROR(LOOKUP(2^15,SEARCH(Settings!$I$14:$I$83,AG121)/(Settings!$I$14:$I$83&lt;&gt;""),Settings!$J$14:$J$83),"Other"))))</f>
        <v/>
      </c>
      <c r="BL121">
        <f>IF(OR($B121="",F121=""),"",IFERROR(INDEX(Settings!$D$14:$D$33,MATCH(F121,Settings!$B$14:$B$33,0))&amp;"",IFERROR(LOOKUP(2^15,SEARCH(Settings!$F$14:$F$43,F121)/(Settings!$F$14:$F$43&lt;&gt;""),Settings!$G$14:$G$43),"")))</f>
        <v/>
      </c>
      <c r="BM121">
        <f>IF(OR($B121="",G121=""),"",IFERROR(INDEX(Settings!$D$14:$D$33,MATCH(G121,Settings!$B$14:$B$33,0))&amp;"",IFERROR(LOOKUP(2^15,SEARCH(Settings!$F$14:$F$43,G121)/(Settings!$F$14:$F$43&lt;&gt;""),Settings!$G$14:$G$43),"")))</f>
        <v/>
      </c>
      <c r="BN121">
        <f>IF(OR($B121="",H121=""),"",IFERROR(INDEX(Settings!$D$14:$D$33,MATCH(H121,Settings!$B$14:$B$33,0))&amp;"",IFERROR(LOOKUP(2^15,SEARCH(Settings!$F$14:$F$43,H121)/(Settings!$F$14:$F$43&lt;&gt;""),Settings!$G$14:$G$43),"")))</f>
        <v/>
      </c>
      <c r="BO121">
        <f>IF(OR($B121="",I121=""),"",IFERROR(INDEX(Settings!$D$14:$D$33,MATCH(I121,Settings!$B$14:$B$33,0))&amp;"",IFERROR(LOOKUP(2^15,SEARCH(Settings!$F$14:$F$43,I121)/(Settings!$F$14:$F$43&lt;&gt;""),Settings!$G$14:$G$43),"")))</f>
        <v/>
      </c>
      <c r="BP121">
        <f>IF(OR($B121="",J121=""),"",IFERROR(INDEX(Settings!$D$14:$D$33,MATCH(J121,Settings!$B$14:$B$33,0))&amp;"",IFERROR(LOOKUP(2^15,SEARCH(Settings!$F$14:$F$43,J121)/(Settings!$F$14:$F$43&lt;&gt;""),Settings!$G$14:$G$43),"")))</f>
        <v/>
      </c>
      <c r="BQ121">
        <f>IF(OR($B121="",K121=""),"",IFERROR(INDEX(Settings!$D$14:$D$33,MATCH(K121,Settings!$B$14:$B$33,0))&amp;"",IFERROR(LOOKUP(2^15,SEARCH(Settings!$F$14:$F$43,K121)/(Settings!$F$14:$F$43&lt;&gt;""),Settings!$G$14:$G$43),"")))</f>
        <v/>
      </c>
      <c r="BR121">
        <f>IF(OR($B121="",L121=""),"",IFERROR(INDEX(Settings!$D$14:$D$33,MATCH(L121,Settings!$B$14:$B$33,0))&amp;"",IFERROR(LOOKUP(2^15,SEARCH(Settings!$F$14:$F$43,L121)/(Settings!$F$14:$F$43&lt;&gt;""),Settings!$G$14:$G$43),"")))</f>
        <v/>
      </c>
      <c r="BS121">
        <f>IF(OR($B121="",M121=""),"",IFERROR(INDEX(Settings!$D$14:$D$33,MATCH(M121,Settings!$B$14:$B$33,0))&amp;"",IFERROR(LOOKUP(2^15,SEARCH(Settings!$F$14:$F$43,M121)/(Settings!$F$14:$F$43&lt;&gt;""),Settings!$G$14:$G$43),"")))</f>
        <v/>
      </c>
      <c r="BT121">
        <f>IF(OR($B121="",N121=""),"",IFERROR(INDEX(Settings!$D$14:$D$33,MATCH(N121,Settings!$B$14:$B$33,0))&amp;"",IFERROR(LOOKUP(2^15,SEARCH(Settings!$F$14:$F$43,N121)/(Settings!$F$14:$F$43&lt;&gt;""),Settings!$G$14:$G$43),"")))</f>
        <v/>
      </c>
      <c r="BU121">
        <f>IF(OR($B121="",O121=""),"",IFERROR(INDEX(Settings!$D$14:$D$33,MATCH(O121,Settings!$B$14:$B$33,0))&amp;"",IFERROR(LOOKUP(2^15,SEARCH(Settings!$F$14:$F$43,O121)/(Settings!$F$14:$F$43&lt;&gt;""),Settings!$G$14:$G$43),"")))</f>
        <v/>
      </c>
      <c r="BV121">
        <f>IF(OR($B121="",P121=""),"",IFERROR(INDEX(Settings!$D$14:$D$33,MATCH(P121,Settings!$B$14:$B$33,0))&amp;"",IFERROR(LOOKUP(2^15,SEARCH(Settings!$F$14:$F$43,P121)/(Settings!$F$14:$F$43&lt;&gt;""),Settings!$G$14:$G$43),"")))</f>
        <v/>
      </c>
      <c r="BW121">
        <f>IF(OR($B121="",Q121=""),"",IFERROR(INDEX(Settings!$D$14:$D$33,MATCH(Q121,Settings!$B$14:$B$33,0))&amp;"",IFERROR(LOOKUP(2^15,SEARCH(Settings!$F$14:$F$43,Q121)/(Settings!$F$14:$F$43&lt;&gt;""),Settings!$G$14:$G$43),"")))</f>
        <v/>
      </c>
      <c r="BX121">
        <f>IF(OR($B121="",R121=""),"",IFERROR(INDEX(Settings!$D$14:$D$33,MATCH(R121,Settings!$B$14:$B$33,0))&amp;"",IFERROR(LOOKUP(2^15,SEARCH(Settings!$F$14:$F$43,R121)/(Settings!$F$14:$F$43&lt;&gt;""),Settings!$G$14:$G$43),"")))</f>
        <v/>
      </c>
      <c r="BY121">
        <f>IF(OR($B121="",S121=""),"",IFERROR(INDEX(Settings!$D$14:$D$33,MATCH(S121,Settings!$B$14:$B$33,0))&amp;"",IFERROR(LOOKUP(2^15,SEARCH(Settings!$F$14:$F$43,S121)/(Settings!$F$14:$F$43&lt;&gt;""),Settings!$G$14:$G$43),"")))</f>
        <v/>
      </c>
      <c r="BZ121">
        <f>IF(OR($B121="",T121=""),"",IFERROR(INDEX(Settings!$D$14:$D$33,MATCH(T121,Settings!$B$14:$B$33,0))&amp;"",IFERROR(LOOKUP(2^15,SEARCH(Settings!$F$14:$F$43,T121)/(Settings!$F$14:$F$43&lt;&gt;""),Settings!$G$14:$G$43),"")))</f>
        <v/>
      </c>
      <c r="CA121">
        <f>IF(OR($B121="",U121=""),"",IFERROR(INDEX(Settings!$D$14:$D$33,MATCH(U121,Settings!$B$14:$B$33,0))&amp;"",IFERROR(LOOKUP(2^15,SEARCH(Settings!$F$14:$F$43,U121)/(Settings!$F$14:$F$43&lt;&gt;""),Settings!$G$14:$G$43),"")))</f>
        <v/>
      </c>
      <c r="CB121">
        <f>IF(OR($B121="",V121=""),"",IFERROR(INDEX(Settings!$D$14:$D$33,MATCH(V121,Settings!$B$14:$B$33,0))&amp;"",IFERROR(LOOKUP(2^15,SEARCH(Settings!$F$14:$F$43,V121)/(Settings!$F$14:$F$43&lt;&gt;""),Settings!$G$14:$G$43),"")))</f>
        <v/>
      </c>
      <c r="CC121">
        <f>IF(OR($B121="",W121=""),"",IFERROR(INDEX(Settings!$D$14:$D$33,MATCH(W121,Settings!$B$14:$B$33,0))&amp;"",IFERROR(LOOKUP(2^15,SEARCH(Settings!$F$14:$F$43,W121)/(Settings!$F$14:$F$43&lt;&gt;""),Settings!$G$14:$G$43),"")))</f>
        <v/>
      </c>
      <c r="CD121">
        <f>IF(OR($B121="",X121=""),"",IFERROR(INDEX(Settings!$D$14:$D$33,MATCH(X121,Settings!$B$14:$B$33,0))&amp;"",IFERROR(LOOKUP(2^15,SEARCH(Settings!$F$14:$F$43,X121)/(Settings!$F$14:$F$43&lt;&gt;""),Settings!$G$14:$G$43),"")))</f>
        <v/>
      </c>
      <c r="CE121">
        <f>IF(OR($B121="",Y121=""),"",IFERROR(INDEX(Settings!$D$14:$D$33,MATCH(Y121,Settings!$B$14:$B$33,0))&amp;"",IFERROR(LOOKUP(2^15,SEARCH(Settings!$F$14:$F$43,Y121)/(Settings!$F$14:$F$43&lt;&gt;""),Settings!$G$14:$G$43),"")))</f>
        <v/>
      </c>
      <c r="CF121">
        <f>IF(OR($B121="",Z121=""),"",IFERROR(INDEX(Settings!$D$14:$D$33,MATCH(Z121,Settings!$B$14:$B$33,0))&amp;"",IFERROR(LOOKUP(2^15,SEARCH(Settings!$F$14:$F$43,Z121)/(Settings!$F$14:$F$43&lt;&gt;""),Settings!$G$14:$G$43),"")))</f>
        <v/>
      </c>
      <c r="CG121">
        <f>IF(OR($B121="",AA121=""),"",IFERROR(INDEX(Settings!$D$14:$D$33,MATCH(AA121,Settings!$B$14:$B$33,0))&amp;"",IFERROR(LOOKUP(2^15,SEARCH(Settings!$F$14:$F$43,AA121)/(Settings!$F$14:$F$43&lt;&gt;""),Settings!$G$14:$G$43),"")))</f>
        <v/>
      </c>
      <c r="CH121">
        <f>IF(OR($B121="",AB121=""),"",IFERROR(INDEX(Settings!$D$14:$D$33,MATCH(AB121,Settings!$B$14:$B$33,0))&amp;"",IFERROR(LOOKUP(2^15,SEARCH(Settings!$F$14:$F$43,AB121)/(Settings!$F$14:$F$43&lt;&gt;""),Settings!$G$14:$G$43),"")))</f>
        <v/>
      </c>
      <c r="CI121">
        <f>IF(OR($B121="",AC121=""),"",IFERROR(INDEX(Settings!$D$14:$D$33,MATCH(AC121,Settings!$B$14:$B$33,0))&amp;"",IFERROR(LOOKUP(2^15,SEARCH(Settings!$F$14:$F$43,AC121)/(Settings!$F$14:$F$43&lt;&gt;""),Settings!$G$14:$G$43),"")))</f>
        <v/>
      </c>
      <c r="CJ121">
        <f>IF(OR($B121="",AD121=""),"",IFERROR(INDEX(Settings!$D$14:$D$33,MATCH(AD121,Settings!$B$14:$B$33,0))&amp;"",IFERROR(LOOKUP(2^15,SEARCH(Settings!$F$14:$F$43,AD121)/(Settings!$F$14:$F$43&lt;&gt;""),Settings!$G$14:$G$43),"")))</f>
        <v/>
      </c>
      <c r="CK121">
        <f>IF(OR($B121="",AE121=""),"",IFERROR(INDEX(Settings!$D$14:$D$33,MATCH(AE121,Settings!$B$14:$B$33,0))&amp;"",IFERROR(LOOKUP(2^15,SEARCH(Settings!$F$14:$F$43,AE121)/(Settings!$F$14:$F$43&lt;&gt;""),Settings!$G$14:$G$43),"")))</f>
        <v/>
      </c>
      <c r="CL121">
        <f>IF(OR($B121="",AF121=""),"",IFERROR(INDEX(Settings!$D$14:$D$33,MATCH(AF121,Settings!$B$14:$B$33,0))&amp;"",IFERROR(LOOKUP(2^15,SEARCH(Settings!$F$14:$F$43,AF121)/(Settings!$F$14:$F$43&lt;&gt;""),Settings!$G$14:$G$43),"")))</f>
        <v/>
      </c>
      <c r="CM121">
        <f>IF(OR($B121="",AG121=""),"",IFERROR(INDEX(Settings!$D$14:$D$33,MATCH(AG121,Settings!$B$14:$B$33,0))&amp;"",IFERROR(LOOKUP(2^15,SEARCH(Settings!$F$14:$F$43,AG121)/(Settings!$F$14:$F$43&lt;&gt;""),Settings!$G$14:$G$43),"")))</f>
        <v/>
      </c>
    </row>
    <row r="122">
      <c r="A122" t="n">
        <v>120</v>
      </c>
      <c r="B122">
        <f>IFERROR(INDEX(Index!$A$2:$A$202,MATCH(A122,Index!$E$2:$E$202,0)),"")</f>
        <v/>
      </c>
      <c r="D122">
        <f>IF($B122="","",IFERROR(MATCH("Travel*",AI122:BJ122,0),""))</f>
        <v/>
      </c>
      <c r="F122">
        <f>IF(OR($B122="",NOT(ISNUMBER(Settings!$C$9))),"",TRIM(SUBSTITUTE(SUBSTITUTE(INDEX('INPUT - Roster'!$S$1:$SV$206,$B122,Settings!$C$9+0)&amp;"",CHAR(10)," "),CHAR(160)," ")))</f>
        <v/>
      </c>
      <c r="G122">
        <f>IF(OR($B122="",NOT(ISNUMBER(Settings!$C$9))),"",TRIM(SUBSTITUTE(SUBSTITUTE(INDEX('INPUT - Roster'!$S$1:$SV$206,$B122,Settings!$C$9+1)&amp;"",CHAR(10)," "),CHAR(160)," ")))</f>
        <v/>
      </c>
      <c r="H122">
        <f>IF(OR($B122="",NOT(ISNUMBER(Settings!$C$9))),"",TRIM(SUBSTITUTE(SUBSTITUTE(INDEX('INPUT - Roster'!$S$1:$SV$206,$B122,Settings!$C$9+2)&amp;"",CHAR(10)," "),CHAR(160)," ")))</f>
        <v/>
      </c>
      <c r="I122">
        <f>IF(OR($B122="",NOT(ISNUMBER(Settings!$C$9))),"",TRIM(SUBSTITUTE(SUBSTITUTE(INDEX('INPUT - Roster'!$S$1:$SV$206,$B122,Settings!$C$9+3)&amp;"",CHAR(10)," "),CHAR(160)," ")))</f>
        <v/>
      </c>
      <c r="J122">
        <f>IF(OR($B122="",NOT(ISNUMBER(Settings!$C$9))),"",TRIM(SUBSTITUTE(SUBSTITUTE(INDEX('INPUT - Roster'!$S$1:$SV$206,$B122,Settings!$C$9+4)&amp;"",CHAR(10)," "),CHAR(160)," ")))</f>
        <v/>
      </c>
      <c r="K122">
        <f>IF(OR($B122="",NOT(ISNUMBER(Settings!$C$9))),"",TRIM(SUBSTITUTE(SUBSTITUTE(INDEX('INPUT - Roster'!$S$1:$SV$206,$B122,Settings!$C$9+5)&amp;"",CHAR(10)," "),CHAR(160)," ")))</f>
        <v/>
      </c>
      <c r="L122">
        <f>IF(OR($B122="",NOT(ISNUMBER(Settings!$C$9))),"",TRIM(SUBSTITUTE(SUBSTITUTE(INDEX('INPUT - Roster'!$S$1:$SV$206,$B122,Settings!$C$9+6)&amp;"",CHAR(10)," "),CHAR(160)," ")))</f>
        <v/>
      </c>
      <c r="M122">
        <f>IF(OR($B122="",NOT(ISNUMBER(Settings!$C$9))),"",TRIM(SUBSTITUTE(SUBSTITUTE(INDEX('INPUT - Roster'!$S$1:$SV$206,$B122,Settings!$C$9+7)&amp;"",CHAR(10)," "),CHAR(160)," ")))</f>
        <v/>
      </c>
      <c r="N122">
        <f>IF(OR($B122="",NOT(ISNUMBER(Settings!$C$9))),"",TRIM(SUBSTITUTE(SUBSTITUTE(INDEX('INPUT - Roster'!$S$1:$SV$206,$B122,Settings!$C$9+8)&amp;"",CHAR(10)," "),CHAR(160)," ")))</f>
        <v/>
      </c>
      <c r="O122">
        <f>IF(OR($B122="",NOT(ISNUMBER(Settings!$C$9))),"",TRIM(SUBSTITUTE(SUBSTITUTE(INDEX('INPUT - Roster'!$S$1:$SV$206,$B122,Settings!$C$9+9)&amp;"",CHAR(10)," "),CHAR(160)," ")))</f>
        <v/>
      </c>
      <c r="P122">
        <f>IF(OR($B122="",NOT(ISNUMBER(Settings!$C$9))),"",TRIM(SUBSTITUTE(SUBSTITUTE(INDEX('INPUT - Roster'!$S$1:$SV$206,$B122,Settings!$C$9+10)&amp;"",CHAR(10)," "),CHAR(160)," ")))</f>
        <v/>
      </c>
      <c r="Q122">
        <f>IF(OR($B122="",NOT(ISNUMBER(Settings!$C$9))),"",TRIM(SUBSTITUTE(SUBSTITUTE(INDEX('INPUT - Roster'!$S$1:$SV$206,$B122,Settings!$C$9+11)&amp;"",CHAR(10)," "),CHAR(160)," ")))</f>
        <v/>
      </c>
      <c r="R122">
        <f>IF(OR($B122="",NOT(ISNUMBER(Settings!$C$9))),"",TRIM(SUBSTITUTE(SUBSTITUTE(INDEX('INPUT - Roster'!$S$1:$SV$206,$B122,Settings!$C$9+12)&amp;"",CHAR(10)," "),CHAR(160)," ")))</f>
        <v/>
      </c>
      <c r="S122">
        <f>IF(OR($B122="",NOT(ISNUMBER(Settings!$C$9))),"",TRIM(SUBSTITUTE(SUBSTITUTE(INDEX('INPUT - Roster'!$S$1:$SV$206,$B122,Settings!$C$9+13)&amp;"",CHAR(10)," "),CHAR(160)," ")))</f>
        <v/>
      </c>
      <c r="T122">
        <f>IF(OR($B122="",NOT(ISNUMBER(Settings!$C$9))),"",TRIM(SUBSTITUTE(SUBSTITUTE(INDEX('INPUT - Roster'!$S$1:$SV$206,$B122,Settings!$C$9+14)&amp;"",CHAR(10)," "),CHAR(160)," ")))</f>
        <v/>
      </c>
      <c r="U122">
        <f>IF(OR($B122="",NOT(ISNUMBER(Settings!$C$9))),"",TRIM(SUBSTITUTE(SUBSTITUTE(INDEX('INPUT - Roster'!$S$1:$SV$206,$B122,Settings!$C$9+15)&amp;"",CHAR(10)," "),CHAR(160)," ")))</f>
        <v/>
      </c>
      <c r="V122">
        <f>IF(OR($B122="",NOT(ISNUMBER(Settings!$C$9))),"",TRIM(SUBSTITUTE(SUBSTITUTE(INDEX('INPUT - Roster'!$S$1:$SV$206,$B122,Settings!$C$9+16)&amp;"",CHAR(10)," "),CHAR(160)," ")))</f>
        <v/>
      </c>
      <c r="W122">
        <f>IF(OR($B122="",NOT(ISNUMBER(Settings!$C$9))),"",TRIM(SUBSTITUTE(SUBSTITUTE(INDEX('INPUT - Roster'!$S$1:$SV$206,$B122,Settings!$C$9+17)&amp;"",CHAR(10)," "),CHAR(160)," ")))</f>
        <v/>
      </c>
      <c r="X122">
        <f>IF(OR($B122="",NOT(ISNUMBER(Settings!$C$9))),"",TRIM(SUBSTITUTE(SUBSTITUTE(INDEX('INPUT - Roster'!$S$1:$SV$206,$B122,Settings!$C$9+18)&amp;"",CHAR(10)," "),CHAR(160)," ")))</f>
        <v/>
      </c>
      <c r="Y122">
        <f>IF(OR($B122="",NOT(ISNUMBER(Settings!$C$9))),"",TRIM(SUBSTITUTE(SUBSTITUTE(INDEX('INPUT - Roster'!$S$1:$SV$206,$B122,Settings!$C$9+19)&amp;"",CHAR(10)," "),CHAR(160)," ")))</f>
        <v/>
      </c>
      <c r="Z122">
        <f>IF(OR($B122="",NOT(ISNUMBER(Settings!$C$9))),"",TRIM(SUBSTITUTE(SUBSTITUTE(INDEX('INPUT - Roster'!$S$1:$SV$206,$B122,Settings!$C$9+20)&amp;"",CHAR(10)," "),CHAR(160)," ")))</f>
        <v/>
      </c>
      <c r="AA122">
        <f>IF(OR($B122="",NOT(ISNUMBER(Settings!$C$9))),"",TRIM(SUBSTITUTE(SUBSTITUTE(INDEX('INPUT - Roster'!$S$1:$SV$206,$B122,Settings!$C$9+21)&amp;"",CHAR(10)," "),CHAR(160)," ")))</f>
        <v/>
      </c>
      <c r="AB122">
        <f>IF(OR($B122="",NOT(ISNUMBER(Settings!$C$9))),"",TRIM(SUBSTITUTE(SUBSTITUTE(INDEX('INPUT - Roster'!$S$1:$SV$206,$B122,Settings!$C$9+22)&amp;"",CHAR(10)," "),CHAR(160)," ")))</f>
        <v/>
      </c>
      <c r="AC122">
        <f>IF(OR($B122="",NOT(ISNUMBER(Settings!$C$9))),"",TRIM(SUBSTITUTE(SUBSTITUTE(INDEX('INPUT - Roster'!$S$1:$SV$206,$B122,Settings!$C$9+23)&amp;"",CHAR(10)," "),CHAR(160)," ")))</f>
        <v/>
      </c>
      <c r="AD122">
        <f>IF(OR($B122="",NOT(ISNUMBER(Settings!$C$9))),"",TRIM(SUBSTITUTE(SUBSTITUTE(INDEX('INPUT - Roster'!$S$1:$SV$206,$B122,Settings!$C$9+24)&amp;"",CHAR(10)," "),CHAR(160)," ")))</f>
        <v/>
      </c>
      <c r="AE122">
        <f>IF(OR($B122="",NOT(ISNUMBER(Settings!$C$9))),"",TRIM(SUBSTITUTE(SUBSTITUTE(INDEX('INPUT - Roster'!$S$1:$SV$206,$B122,Settings!$C$9+25)&amp;"",CHAR(10)," "),CHAR(160)," ")))</f>
        <v/>
      </c>
      <c r="AF122">
        <f>IF(OR($B122="",NOT(ISNUMBER(Settings!$C$9))),"",TRIM(SUBSTITUTE(SUBSTITUTE(INDEX('INPUT - Roster'!$S$1:$SV$206,$B122,Settings!$C$9+26)&amp;"",CHAR(10)," "),CHAR(160)," ")))</f>
        <v/>
      </c>
      <c r="AG122">
        <f>IF(OR($B122="",NOT(ISNUMBER(Settings!$C$9))),"",TRIM(SUBSTITUTE(SUBSTITUTE(INDEX('INPUT - Roster'!$S$1:$SV$206,$B122,Settings!$C$9+27)&amp;"",CHAR(10)," "),CHAR(160)," ")))</f>
        <v/>
      </c>
      <c r="AI122">
        <f>IF($B122="","",IF(F122="","Not rostered",IFERROR(INDEX(Settings!$C$14:$C$33,MATCH(F122,Settings!$B$14:$B$33,0)),IFERROR(LOOKUP(2^15,SEARCH(Settings!$I$14:$I$83,F122)/(Settings!$I$14:$I$83&lt;&gt;""),Settings!$J$14:$J$83),"Other"))))</f>
        <v/>
      </c>
      <c r="AJ122">
        <f>IF($B122="","",IF(G122="","Not rostered",IFERROR(INDEX(Settings!$C$14:$C$33,MATCH(G122,Settings!$B$14:$B$33,0)),IFERROR(LOOKUP(2^15,SEARCH(Settings!$I$14:$I$83,G122)/(Settings!$I$14:$I$83&lt;&gt;""),Settings!$J$14:$J$83),"Other"))))</f>
        <v/>
      </c>
      <c r="AK122">
        <f>IF($B122="","",IF(H122="","Not rostered",IFERROR(INDEX(Settings!$C$14:$C$33,MATCH(H122,Settings!$B$14:$B$33,0)),IFERROR(LOOKUP(2^15,SEARCH(Settings!$I$14:$I$83,H122)/(Settings!$I$14:$I$83&lt;&gt;""),Settings!$J$14:$J$83),"Other"))))</f>
        <v/>
      </c>
      <c r="AL122">
        <f>IF($B122="","",IF(I122="","Not rostered",IFERROR(INDEX(Settings!$C$14:$C$33,MATCH(I122,Settings!$B$14:$B$33,0)),IFERROR(LOOKUP(2^15,SEARCH(Settings!$I$14:$I$83,I122)/(Settings!$I$14:$I$83&lt;&gt;""),Settings!$J$14:$J$83),"Other"))))</f>
        <v/>
      </c>
      <c r="AM122">
        <f>IF($B122="","",IF(J122="","Not rostered",IFERROR(INDEX(Settings!$C$14:$C$33,MATCH(J122,Settings!$B$14:$B$33,0)),IFERROR(LOOKUP(2^15,SEARCH(Settings!$I$14:$I$83,J122)/(Settings!$I$14:$I$83&lt;&gt;""),Settings!$J$14:$J$83),"Other"))))</f>
        <v/>
      </c>
      <c r="AN122">
        <f>IF($B122="","",IF(K122="","Not rostered",IFERROR(INDEX(Settings!$C$14:$C$33,MATCH(K122,Settings!$B$14:$B$33,0)),IFERROR(LOOKUP(2^15,SEARCH(Settings!$I$14:$I$83,K122)/(Settings!$I$14:$I$83&lt;&gt;""),Settings!$J$14:$J$83),"Other"))))</f>
        <v/>
      </c>
      <c r="AO122">
        <f>IF($B122="","",IF(L122="","Not rostered",IFERROR(INDEX(Settings!$C$14:$C$33,MATCH(L122,Settings!$B$14:$B$33,0)),IFERROR(LOOKUP(2^15,SEARCH(Settings!$I$14:$I$83,L122)/(Settings!$I$14:$I$83&lt;&gt;""),Settings!$J$14:$J$83),"Other"))))</f>
        <v/>
      </c>
      <c r="AP122">
        <f>IF($B122="","",IF(M122="","Not rostered",IFERROR(INDEX(Settings!$C$14:$C$33,MATCH(M122,Settings!$B$14:$B$33,0)),IFERROR(LOOKUP(2^15,SEARCH(Settings!$I$14:$I$83,M122)/(Settings!$I$14:$I$83&lt;&gt;""),Settings!$J$14:$J$83),"Other"))))</f>
        <v/>
      </c>
      <c r="AQ122">
        <f>IF($B122="","",IF(N122="","Not rostered",IFERROR(INDEX(Settings!$C$14:$C$33,MATCH(N122,Settings!$B$14:$B$33,0)),IFERROR(LOOKUP(2^15,SEARCH(Settings!$I$14:$I$83,N122)/(Settings!$I$14:$I$83&lt;&gt;""),Settings!$J$14:$J$83),"Other"))))</f>
        <v/>
      </c>
      <c r="AR122">
        <f>IF($B122="","",IF(O122="","Not rostered",IFERROR(INDEX(Settings!$C$14:$C$33,MATCH(O122,Settings!$B$14:$B$33,0)),IFERROR(LOOKUP(2^15,SEARCH(Settings!$I$14:$I$83,O122)/(Settings!$I$14:$I$83&lt;&gt;""),Settings!$J$14:$J$83),"Other"))))</f>
        <v/>
      </c>
      <c r="AS122">
        <f>IF($B122="","",IF(P122="","Not rostered",IFERROR(INDEX(Settings!$C$14:$C$33,MATCH(P122,Settings!$B$14:$B$33,0)),IFERROR(LOOKUP(2^15,SEARCH(Settings!$I$14:$I$83,P122)/(Settings!$I$14:$I$83&lt;&gt;""),Settings!$J$14:$J$83),"Other"))))</f>
        <v/>
      </c>
      <c r="AT122">
        <f>IF($B122="","",IF(Q122="","Not rostered",IFERROR(INDEX(Settings!$C$14:$C$33,MATCH(Q122,Settings!$B$14:$B$33,0)),IFERROR(LOOKUP(2^15,SEARCH(Settings!$I$14:$I$83,Q122)/(Settings!$I$14:$I$83&lt;&gt;""),Settings!$J$14:$J$83),"Other"))))</f>
        <v/>
      </c>
      <c r="AU122">
        <f>IF($B122="","",IF(R122="","Not rostered",IFERROR(INDEX(Settings!$C$14:$C$33,MATCH(R122,Settings!$B$14:$B$33,0)),IFERROR(LOOKUP(2^15,SEARCH(Settings!$I$14:$I$83,R122)/(Settings!$I$14:$I$83&lt;&gt;""),Settings!$J$14:$J$83),"Other"))))</f>
        <v/>
      </c>
      <c r="AV122">
        <f>IF($B122="","",IF(S122="","Not rostered",IFERROR(INDEX(Settings!$C$14:$C$33,MATCH(S122,Settings!$B$14:$B$33,0)),IFERROR(LOOKUP(2^15,SEARCH(Settings!$I$14:$I$83,S122)/(Settings!$I$14:$I$83&lt;&gt;""),Settings!$J$14:$J$83),"Other"))))</f>
        <v/>
      </c>
      <c r="AW122">
        <f>IF($B122="","",IF(T122="","Not rostered",IFERROR(INDEX(Settings!$C$14:$C$33,MATCH(T122,Settings!$B$14:$B$33,0)),IFERROR(LOOKUP(2^15,SEARCH(Settings!$I$14:$I$83,T122)/(Settings!$I$14:$I$83&lt;&gt;""),Settings!$J$14:$J$83),"Other"))))</f>
        <v/>
      </c>
      <c r="AX122">
        <f>IF($B122="","",IF(U122="","Not rostered",IFERROR(INDEX(Settings!$C$14:$C$33,MATCH(U122,Settings!$B$14:$B$33,0)),IFERROR(LOOKUP(2^15,SEARCH(Settings!$I$14:$I$83,U122)/(Settings!$I$14:$I$83&lt;&gt;""),Settings!$J$14:$J$83),"Other"))))</f>
        <v/>
      </c>
      <c r="AY122">
        <f>IF($B122="","",IF(V122="","Not rostered",IFERROR(INDEX(Settings!$C$14:$C$33,MATCH(V122,Settings!$B$14:$B$33,0)),IFERROR(LOOKUP(2^15,SEARCH(Settings!$I$14:$I$83,V122)/(Settings!$I$14:$I$83&lt;&gt;""),Settings!$J$14:$J$83),"Other"))))</f>
        <v/>
      </c>
      <c r="AZ122">
        <f>IF($B122="","",IF(W122="","Not rostered",IFERROR(INDEX(Settings!$C$14:$C$33,MATCH(W122,Settings!$B$14:$B$33,0)),IFERROR(LOOKUP(2^15,SEARCH(Settings!$I$14:$I$83,W122)/(Settings!$I$14:$I$83&lt;&gt;""),Settings!$J$14:$J$83),"Other"))))</f>
        <v/>
      </c>
      <c r="BA122">
        <f>IF($B122="","",IF(X122="","Not rostered",IFERROR(INDEX(Settings!$C$14:$C$33,MATCH(X122,Settings!$B$14:$B$33,0)),IFERROR(LOOKUP(2^15,SEARCH(Settings!$I$14:$I$83,X122)/(Settings!$I$14:$I$83&lt;&gt;""),Settings!$J$14:$J$83),"Other"))))</f>
        <v/>
      </c>
      <c r="BB122">
        <f>IF($B122="","",IF(Y122="","Not rostered",IFERROR(INDEX(Settings!$C$14:$C$33,MATCH(Y122,Settings!$B$14:$B$33,0)),IFERROR(LOOKUP(2^15,SEARCH(Settings!$I$14:$I$83,Y122)/(Settings!$I$14:$I$83&lt;&gt;""),Settings!$J$14:$J$83),"Other"))))</f>
        <v/>
      </c>
      <c r="BC122">
        <f>IF($B122="","",IF(Z122="","Not rostered",IFERROR(INDEX(Settings!$C$14:$C$33,MATCH(Z122,Settings!$B$14:$B$33,0)),IFERROR(LOOKUP(2^15,SEARCH(Settings!$I$14:$I$83,Z122)/(Settings!$I$14:$I$83&lt;&gt;""),Settings!$J$14:$J$83),"Other"))))</f>
        <v/>
      </c>
      <c r="BD122">
        <f>IF($B122="","",IF(AA122="","Not rostered",IFERROR(INDEX(Settings!$C$14:$C$33,MATCH(AA122,Settings!$B$14:$B$33,0)),IFERROR(LOOKUP(2^15,SEARCH(Settings!$I$14:$I$83,AA122)/(Settings!$I$14:$I$83&lt;&gt;""),Settings!$J$14:$J$83),"Other"))))</f>
        <v/>
      </c>
      <c r="BE122">
        <f>IF($B122="","",IF(AB122="","Not rostered",IFERROR(INDEX(Settings!$C$14:$C$33,MATCH(AB122,Settings!$B$14:$B$33,0)),IFERROR(LOOKUP(2^15,SEARCH(Settings!$I$14:$I$83,AB122)/(Settings!$I$14:$I$83&lt;&gt;""),Settings!$J$14:$J$83),"Other"))))</f>
        <v/>
      </c>
      <c r="BF122">
        <f>IF($B122="","",IF(AC122="","Not rostered",IFERROR(INDEX(Settings!$C$14:$C$33,MATCH(AC122,Settings!$B$14:$B$33,0)),IFERROR(LOOKUP(2^15,SEARCH(Settings!$I$14:$I$83,AC122)/(Settings!$I$14:$I$83&lt;&gt;""),Settings!$J$14:$J$83),"Other"))))</f>
        <v/>
      </c>
      <c r="BG122">
        <f>IF($B122="","",IF(AD122="","Not rostered",IFERROR(INDEX(Settings!$C$14:$C$33,MATCH(AD122,Settings!$B$14:$B$33,0)),IFERROR(LOOKUP(2^15,SEARCH(Settings!$I$14:$I$83,AD122)/(Settings!$I$14:$I$83&lt;&gt;""),Settings!$J$14:$J$83),"Other"))))</f>
        <v/>
      </c>
      <c r="BH122">
        <f>IF($B122="","",IF(AE122="","Not rostered",IFERROR(INDEX(Settings!$C$14:$C$33,MATCH(AE122,Settings!$B$14:$B$33,0)),IFERROR(LOOKUP(2^15,SEARCH(Settings!$I$14:$I$83,AE122)/(Settings!$I$14:$I$83&lt;&gt;""),Settings!$J$14:$J$83),"Other"))))</f>
        <v/>
      </c>
      <c r="BI122">
        <f>IF($B122="","",IF(AF122="","Not rostered",IFERROR(INDEX(Settings!$C$14:$C$33,MATCH(AF122,Settings!$B$14:$B$33,0)),IFERROR(LOOKUP(2^15,SEARCH(Settings!$I$14:$I$83,AF122)/(Settings!$I$14:$I$83&lt;&gt;""),Settings!$J$14:$J$83),"Other"))))</f>
        <v/>
      </c>
      <c r="BJ122">
        <f>IF($B122="","",IF(AG122="","Not rostered",IFERROR(INDEX(Settings!$C$14:$C$33,MATCH(AG122,Settings!$B$14:$B$33,0)),IFERROR(LOOKUP(2^15,SEARCH(Settings!$I$14:$I$83,AG122)/(Settings!$I$14:$I$83&lt;&gt;""),Settings!$J$14:$J$83),"Other"))))</f>
        <v/>
      </c>
      <c r="BL122">
        <f>IF(OR($B122="",F122=""),"",IFERROR(INDEX(Settings!$D$14:$D$33,MATCH(F122,Settings!$B$14:$B$33,0))&amp;"",IFERROR(LOOKUP(2^15,SEARCH(Settings!$F$14:$F$43,F122)/(Settings!$F$14:$F$43&lt;&gt;""),Settings!$G$14:$G$43),"")))</f>
        <v/>
      </c>
      <c r="BM122">
        <f>IF(OR($B122="",G122=""),"",IFERROR(INDEX(Settings!$D$14:$D$33,MATCH(G122,Settings!$B$14:$B$33,0))&amp;"",IFERROR(LOOKUP(2^15,SEARCH(Settings!$F$14:$F$43,G122)/(Settings!$F$14:$F$43&lt;&gt;""),Settings!$G$14:$G$43),"")))</f>
        <v/>
      </c>
      <c r="BN122">
        <f>IF(OR($B122="",H122=""),"",IFERROR(INDEX(Settings!$D$14:$D$33,MATCH(H122,Settings!$B$14:$B$33,0))&amp;"",IFERROR(LOOKUP(2^15,SEARCH(Settings!$F$14:$F$43,H122)/(Settings!$F$14:$F$43&lt;&gt;""),Settings!$G$14:$G$43),"")))</f>
        <v/>
      </c>
      <c r="BO122">
        <f>IF(OR($B122="",I122=""),"",IFERROR(INDEX(Settings!$D$14:$D$33,MATCH(I122,Settings!$B$14:$B$33,0))&amp;"",IFERROR(LOOKUP(2^15,SEARCH(Settings!$F$14:$F$43,I122)/(Settings!$F$14:$F$43&lt;&gt;""),Settings!$G$14:$G$43),"")))</f>
        <v/>
      </c>
      <c r="BP122">
        <f>IF(OR($B122="",J122=""),"",IFERROR(INDEX(Settings!$D$14:$D$33,MATCH(J122,Settings!$B$14:$B$33,0))&amp;"",IFERROR(LOOKUP(2^15,SEARCH(Settings!$F$14:$F$43,J122)/(Settings!$F$14:$F$43&lt;&gt;""),Settings!$G$14:$G$43),"")))</f>
        <v/>
      </c>
      <c r="BQ122">
        <f>IF(OR($B122="",K122=""),"",IFERROR(INDEX(Settings!$D$14:$D$33,MATCH(K122,Settings!$B$14:$B$33,0))&amp;"",IFERROR(LOOKUP(2^15,SEARCH(Settings!$F$14:$F$43,K122)/(Settings!$F$14:$F$43&lt;&gt;""),Settings!$G$14:$G$43),"")))</f>
        <v/>
      </c>
      <c r="BR122">
        <f>IF(OR($B122="",L122=""),"",IFERROR(INDEX(Settings!$D$14:$D$33,MATCH(L122,Settings!$B$14:$B$33,0))&amp;"",IFERROR(LOOKUP(2^15,SEARCH(Settings!$F$14:$F$43,L122)/(Settings!$F$14:$F$43&lt;&gt;""),Settings!$G$14:$G$43),"")))</f>
        <v/>
      </c>
      <c r="BS122">
        <f>IF(OR($B122="",M122=""),"",IFERROR(INDEX(Settings!$D$14:$D$33,MATCH(M122,Settings!$B$14:$B$33,0))&amp;"",IFERROR(LOOKUP(2^15,SEARCH(Settings!$F$14:$F$43,M122)/(Settings!$F$14:$F$43&lt;&gt;""),Settings!$G$14:$G$43),"")))</f>
        <v/>
      </c>
      <c r="BT122">
        <f>IF(OR($B122="",N122=""),"",IFERROR(INDEX(Settings!$D$14:$D$33,MATCH(N122,Settings!$B$14:$B$33,0))&amp;"",IFERROR(LOOKUP(2^15,SEARCH(Settings!$F$14:$F$43,N122)/(Settings!$F$14:$F$43&lt;&gt;""),Settings!$G$14:$G$43),"")))</f>
        <v/>
      </c>
      <c r="BU122">
        <f>IF(OR($B122="",O122=""),"",IFERROR(INDEX(Settings!$D$14:$D$33,MATCH(O122,Settings!$B$14:$B$33,0))&amp;"",IFERROR(LOOKUP(2^15,SEARCH(Settings!$F$14:$F$43,O122)/(Settings!$F$14:$F$43&lt;&gt;""),Settings!$G$14:$G$43),"")))</f>
        <v/>
      </c>
      <c r="BV122">
        <f>IF(OR($B122="",P122=""),"",IFERROR(INDEX(Settings!$D$14:$D$33,MATCH(P122,Settings!$B$14:$B$33,0))&amp;"",IFERROR(LOOKUP(2^15,SEARCH(Settings!$F$14:$F$43,P122)/(Settings!$F$14:$F$43&lt;&gt;""),Settings!$G$14:$G$43),"")))</f>
        <v/>
      </c>
      <c r="BW122">
        <f>IF(OR($B122="",Q122=""),"",IFERROR(INDEX(Settings!$D$14:$D$33,MATCH(Q122,Settings!$B$14:$B$33,0))&amp;"",IFERROR(LOOKUP(2^15,SEARCH(Settings!$F$14:$F$43,Q122)/(Settings!$F$14:$F$43&lt;&gt;""),Settings!$G$14:$G$43),"")))</f>
        <v/>
      </c>
      <c r="BX122">
        <f>IF(OR($B122="",R122=""),"",IFERROR(INDEX(Settings!$D$14:$D$33,MATCH(R122,Settings!$B$14:$B$33,0))&amp;"",IFERROR(LOOKUP(2^15,SEARCH(Settings!$F$14:$F$43,R122)/(Settings!$F$14:$F$43&lt;&gt;""),Settings!$G$14:$G$43),"")))</f>
        <v/>
      </c>
      <c r="BY122">
        <f>IF(OR($B122="",S122=""),"",IFERROR(INDEX(Settings!$D$14:$D$33,MATCH(S122,Settings!$B$14:$B$33,0))&amp;"",IFERROR(LOOKUP(2^15,SEARCH(Settings!$F$14:$F$43,S122)/(Settings!$F$14:$F$43&lt;&gt;""),Settings!$G$14:$G$43),"")))</f>
        <v/>
      </c>
      <c r="BZ122">
        <f>IF(OR($B122="",T122=""),"",IFERROR(INDEX(Settings!$D$14:$D$33,MATCH(T122,Settings!$B$14:$B$33,0))&amp;"",IFERROR(LOOKUP(2^15,SEARCH(Settings!$F$14:$F$43,T122)/(Settings!$F$14:$F$43&lt;&gt;""),Settings!$G$14:$G$43),"")))</f>
        <v/>
      </c>
      <c r="CA122">
        <f>IF(OR($B122="",U122=""),"",IFERROR(INDEX(Settings!$D$14:$D$33,MATCH(U122,Settings!$B$14:$B$33,0))&amp;"",IFERROR(LOOKUP(2^15,SEARCH(Settings!$F$14:$F$43,U122)/(Settings!$F$14:$F$43&lt;&gt;""),Settings!$G$14:$G$43),"")))</f>
        <v/>
      </c>
      <c r="CB122">
        <f>IF(OR($B122="",V122=""),"",IFERROR(INDEX(Settings!$D$14:$D$33,MATCH(V122,Settings!$B$14:$B$33,0))&amp;"",IFERROR(LOOKUP(2^15,SEARCH(Settings!$F$14:$F$43,V122)/(Settings!$F$14:$F$43&lt;&gt;""),Settings!$G$14:$G$43),"")))</f>
        <v/>
      </c>
      <c r="CC122">
        <f>IF(OR($B122="",W122=""),"",IFERROR(INDEX(Settings!$D$14:$D$33,MATCH(W122,Settings!$B$14:$B$33,0))&amp;"",IFERROR(LOOKUP(2^15,SEARCH(Settings!$F$14:$F$43,W122)/(Settings!$F$14:$F$43&lt;&gt;""),Settings!$G$14:$G$43),"")))</f>
        <v/>
      </c>
      <c r="CD122">
        <f>IF(OR($B122="",X122=""),"",IFERROR(INDEX(Settings!$D$14:$D$33,MATCH(X122,Settings!$B$14:$B$33,0))&amp;"",IFERROR(LOOKUP(2^15,SEARCH(Settings!$F$14:$F$43,X122)/(Settings!$F$14:$F$43&lt;&gt;""),Settings!$G$14:$G$43),"")))</f>
        <v/>
      </c>
      <c r="CE122">
        <f>IF(OR($B122="",Y122=""),"",IFERROR(INDEX(Settings!$D$14:$D$33,MATCH(Y122,Settings!$B$14:$B$33,0))&amp;"",IFERROR(LOOKUP(2^15,SEARCH(Settings!$F$14:$F$43,Y122)/(Settings!$F$14:$F$43&lt;&gt;""),Settings!$G$14:$G$43),"")))</f>
        <v/>
      </c>
      <c r="CF122">
        <f>IF(OR($B122="",Z122=""),"",IFERROR(INDEX(Settings!$D$14:$D$33,MATCH(Z122,Settings!$B$14:$B$33,0))&amp;"",IFERROR(LOOKUP(2^15,SEARCH(Settings!$F$14:$F$43,Z122)/(Settings!$F$14:$F$43&lt;&gt;""),Settings!$G$14:$G$43),"")))</f>
        <v/>
      </c>
      <c r="CG122">
        <f>IF(OR($B122="",AA122=""),"",IFERROR(INDEX(Settings!$D$14:$D$33,MATCH(AA122,Settings!$B$14:$B$33,0))&amp;"",IFERROR(LOOKUP(2^15,SEARCH(Settings!$F$14:$F$43,AA122)/(Settings!$F$14:$F$43&lt;&gt;""),Settings!$G$14:$G$43),"")))</f>
        <v/>
      </c>
      <c r="CH122">
        <f>IF(OR($B122="",AB122=""),"",IFERROR(INDEX(Settings!$D$14:$D$33,MATCH(AB122,Settings!$B$14:$B$33,0))&amp;"",IFERROR(LOOKUP(2^15,SEARCH(Settings!$F$14:$F$43,AB122)/(Settings!$F$14:$F$43&lt;&gt;""),Settings!$G$14:$G$43),"")))</f>
        <v/>
      </c>
      <c r="CI122">
        <f>IF(OR($B122="",AC122=""),"",IFERROR(INDEX(Settings!$D$14:$D$33,MATCH(AC122,Settings!$B$14:$B$33,0))&amp;"",IFERROR(LOOKUP(2^15,SEARCH(Settings!$F$14:$F$43,AC122)/(Settings!$F$14:$F$43&lt;&gt;""),Settings!$G$14:$G$43),"")))</f>
        <v/>
      </c>
      <c r="CJ122">
        <f>IF(OR($B122="",AD122=""),"",IFERROR(INDEX(Settings!$D$14:$D$33,MATCH(AD122,Settings!$B$14:$B$33,0))&amp;"",IFERROR(LOOKUP(2^15,SEARCH(Settings!$F$14:$F$43,AD122)/(Settings!$F$14:$F$43&lt;&gt;""),Settings!$G$14:$G$43),"")))</f>
        <v/>
      </c>
      <c r="CK122">
        <f>IF(OR($B122="",AE122=""),"",IFERROR(INDEX(Settings!$D$14:$D$33,MATCH(AE122,Settings!$B$14:$B$33,0))&amp;"",IFERROR(LOOKUP(2^15,SEARCH(Settings!$F$14:$F$43,AE122)/(Settings!$F$14:$F$43&lt;&gt;""),Settings!$G$14:$G$43),"")))</f>
        <v/>
      </c>
      <c r="CL122">
        <f>IF(OR($B122="",AF122=""),"",IFERROR(INDEX(Settings!$D$14:$D$33,MATCH(AF122,Settings!$B$14:$B$33,0))&amp;"",IFERROR(LOOKUP(2^15,SEARCH(Settings!$F$14:$F$43,AF122)/(Settings!$F$14:$F$43&lt;&gt;""),Settings!$G$14:$G$43),"")))</f>
        <v/>
      </c>
      <c r="CM122">
        <f>IF(OR($B122="",AG122=""),"",IFERROR(INDEX(Settings!$D$14:$D$33,MATCH(AG122,Settings!$B$14:$B$33,0))&amp;"",IFERROR(LOOKUP(2^15,SEARCH(Settings!$F$14:$F$43,AG122)/(Settings!$F$14:$F$43&lt;&gt;""),Settings!$G$14:$G$43),"")))</f>
        <v/>
      </c>
    </row>
    <row r="123">
      <c r="A123" t="n">
        <v>121</v>
      </c>
      <c r="B123">
        <f>IFERROR(INDEX(Index!$A$2:$A$202,MATCH(A123,Index!$E$2:$E$202,0)),"")</f>
        <v/>
      </c>
      <c r="D123">
        <f>IF($B123="","",IFERROR(MATCH("Travel*",AI123:BJ123,0),""))</f>
        <v/>
      </c>
      <c r="F123">
        <f>IF(OR($B123="",NOT(ISNUMBER(Settings!$C$9))),"",TRIM(SUBSTITUTE(SUBSTITUTE(INDEX('INPUT - Roster'!$S$1:$SV$206,$B123,Settings!$C$9+0)&amp;"",CHAR(10)," "),CHAR(160)," ")))</f>
        <v/>
      </c>
      <c r="G123">
        <f>IF(OR($B123="",NOT(ISNUMBER(Settings!$C$9))),"",TRIM(SUBSTITUTE(SUBSTITUTE(INDEX('INPUT - Roster'!$S$1:$SV$206,$B123,Settings!$C$9+1)&amp;"",CHAR(10)," "),CHAR(160)," ")))</f>
        <v/>
      </c>
      <c r="H123">
        <f>IF(OR($B123="",NOT(ISNUMBER(Settings!$C$9))),"",TRIM(SUBSTITUTE(SUBSTITUTE(INDEX('INPUT - Roster'!$S$1:$SV$206,$B123,Settings!$C$9+2)&amp;"",CHAR(10)," "),CHAR(160)," ")))</f>
        <v/>
      </c>
      <c r="I123">
        <f>IF(OR($B123="",NOT(ISNUMBER(Settings!$C$9))),"",TRIM(SUBSTITUTE(SUBSTITUTE(INDEX('INPUT - Roster'!$S$1:$SV$206,$B123,Settings!$C$9+3)&amp;"",CHAR(10)," "),CHAR(160)," ")))</f>
        <v/>
      </c>
      <c r="J123">
        <f>IF(OR($B123="",NOT(ISNUMBER(Settings!$C$9))),"",TRIM(SUBSTITUTE(SUBSTITUTE(INDEX('INPUT - Roster'!$S$1:$SV$206,$B123,Settings!$C$9+4)&amp;"",CHAR(10)," "),CHAR(160)," ")))</f>
        <v/>
      </c>
      <c r="K123">
        <f>IF(OR($B123="",NOT(ISNUMBER(Settings!$C$9))),"",TRIM(SUBSTITUTE(SUBSTITUTE(INDEX('INPUT - Roster'!$S$1:$SV$206,$B123,Settings!$C$9+5)&amp;"",CHAR(10)," "),CHAR(160)," ")))</f>
        <v/>
      </c>
      <c r="L123">
        <f>IF(OR($B123="",NOT(ISNUMBER(Settings!$C$9))),"",TRIM(SUBSTITUTE(SUBSTITUTE(INDEX('INPUT - Roster'!$S$1:$SV$206,$B123,Settings!$C$9+6)&amp;"",CHAR(10)," "),CHAR(160)," ")))</f>
        <v/>
      </c>
      <c r="M123">
        <f>IF(OR($B123="",NOT(ISNUMBER(Settings!$C$9))),"",TRIM(SUBSTITUTE(SUBSTITUTE(INDEX('INPUT - Roster'!$S$1:$SV$206,$B123,Settings!$C$9+7)&amp;"",CHAR(10)," "),CHAR(160)," ")))</f>
        <v/>
      </c>
      <c r="N123">
        <f>IF(OR($B123="",NOT(ISNUMBER(Settings!$C$9))),"",TRIM(SUBSTITUTE(SUBSTITUTE(INDEX('INPUT - Roster'!$S$1:$SV$206,$B123,Settings!$C$9+8)&amp;"",CHAR(10)," "),CHAR(160)," ")))</f>
        <v/>
      </c>
      <c r="O123">
        <f>IF(OR($B123="",NOT(ISNUMBER(Settings!$C$9))),"",TRIM(SUBSTITUTE(SUBSTITUTE(INDEX('INPUT - Roster'!$S$1:$SV$206,$B123,Settings!$C$9+9)&amp;"",CHAR(10)," "),CHAR(160)," ")))</f>
        <v/>
      </c>
      <c r="P123">
        <f>IF(OR($B123="",NOT(ISNUMBER(Settings!$C$9))),"",TRIM(SUBSTITUTE(SUBSTITUTE(INDEX('INPUT - Roster'!$S$1:$SV$206,$B123,Settings!$C$9+10)&amp;"",CHAR(10)," "),CHAR(160)," ")))</f>
        <v/>
      </c>
      <c r="Q123">
        <f>IF(OR($B123="",NOT(ISNUMBER(Settings!$C$9))),"",TRIM(SUBSTITUTE(SUBSTITUTE(INDEX('INPUT - Roster'!$S$1:$SV$206,$B123,Settings!$C$9+11)&amp;"",CHAR(10)," "),CHAR(160)," ")))</f>
        <v/>
      </c>
      <c r="R123">
        <f>IF(OR($B123="",NOT(ISNUMBER(Settings!$C$9))),"",TRIM(SUBSTITUTE(SUBSTITUTE(INDEX('INPUT - Roster'!$S$1:$SV$206,$B123,Settings!$C$9+12)&amp;"",CHAR(10)," "),CHAR(160)," ")))</f>
        <v/>
      </c>
      <c r="S123">
        <f>IF(OR($B123="",NOT(ISNUMBER(Settings!$C$9))),"",TRIM(SUBSTITUTE(SUBSTITUTE(INDEX('INPUT - Roster'!$S$1:$SV$206,$B123,Settings!$C$9+13)&amp;"",CHAR(10)," "),CHAR(160)," ")))</f>
        <v/>
      </c>
      <c r="T123">
        <f>IF(OR($B123="",NOT(ISNUMBER(Settings!$C$9))),"",TRIM(SUBSTITUTE(SUBSTITUTE(INDEX('INPUT - Roster'!$S$1:$SV$206,$B123,Settings!$C$9+14)&amp;"",CHAR(10)," "),CHAR(160)," ")))</f>
        <v/>
      </c>
      <c r="U123">
        <f>IF(OR($B123="",NOT(ISNUMBER(Settings!$C$9))),"",TRIM(SUBSTITUTE(SUBSTITUTE(INDEX('INPUT - Roster'!$S$1:$SV$206,$B123,Settings!$C$9+15)&amp;"",CHAR(10)," "),CHAR(160)," ")))</f>
        <v/>
      </c>
      <c r="V123">
        <f>IF(OR($B123="",NOT(ISNUMBER(Settings!$C$9))),"",TRIM(SUBSTITUTE(SUBSTITUTE(INDEX('INPUT - Roster'!$S$1:$SV$206,$B123,Settings!$C$9+16)&amp;"",CHAR(10)," "),CHAR(160)," ")))</f>
        <v/>
      </c>
      <c r="W123">
        <f>IF(OR($B123="",NOT(ISNUMBER(Settings!$C$9))),"",TRIM(SUBSTITUTE(SUBSTITUTE(INDEX('INPUT - Roster'!$S$1:$SV$206,$B123,Settings!$C$9+17)&amp;"",CHAR(10)," "),CHAR(160)," ")))</f>
        <v/>
      </c>
      <c r="X123">
        <f>IF(OR($B123="",NOT(ISNUMBER(Settings!$C$9))),"",TRIM(SUBSTITUTE(SUBSTITUTE(INDEX('INPUT - Roster'!$S$1:$SV$206,$B123,Settings!$C$9+18)&amp;"",CHAR(10)," "),CHAR(160)," ")))</f>
        <v/>
      </c>
      <c r="Y123">
        <f>IF(OR($B123="",NOT(ISNUMBER(Settings!$C$9))),"",TRIM(SUBSTITUTE(SUBSTITUTE(INDEX('INPUT - Roster'!$S$1:$SV$206,$B123,Settings!$C$9+19)&amp;"",CHAR(10)," "),CHAR(160)," ")))</f>
        <v/>
      </c>
      <c r="Z123">
        <f>IF(OR($B123="",NOT(ISNUMBER(Settings!$C$9))),"",TRIM(SUBSTITUTE(SUBSTITUTE(INDEX('INPUT - Roster'!$S$1:$SV$206,$B123,Settings!$C$9+20)&amp;"",CHAR(10)," "),CHAR(160)," ")))</f>
        <v/>
      </c>
      <c r="AA123">
        <f>IF(OR($B123="",NOT(ISNUMBER(Settings!$C$9))),"",TRIM(SUBSTITUTE(SUBSTITUTE(INDEX('INPUT - Roster'!$S$1:$SV$206,$B123,Settings!$C$9+21)&amp;"",CHAR(10)," "),CHAR(160)," ")))</f>
        <v/>
      </c>
      <c r="AB123">
        <f>IF(OR($B123="",NOT(ISNUMBER(Settings!$C$9))),"",TRIM(SUBSTITUTE(SUBSTITUTE(INDEX('INPUT - Roster'!$S$1:$SV$206,$B123,Settings!$C$9+22)&amp;"",CHAR(10)," "),CHAR(160)," ")))</f>
        <v/>
      </c>
      <c r="AC123">
        <f>IF(OR($B123="",NOT(ISNUMBER(Settings!$C$9))),"",TRIM(SUBSTITUTE(SUBSTITUTE(INDEX('INPUT - Roster'!$S$1:$SV$206,$B123,Settings!$C$9+23)&amp;"",CHAR(10)," "),CHAR(160)," ")))</f>
        <v/>
      </c>
      <c r="AD123">
        <f>IF(OR($B123="",NOT(ISNUMBER(Settings!$C$9))),"",TRIM(SUBSTITUTE(SUBSTITUTE(INDEX('INPUT - Roster'!$S$1:$SV$206,$B123,Settings!$C$9+24)&amp;"",CHAR(10)," "),CHAR(160)," ")))</f>
        <v/>
      </c>
      <c r="AE123">
        <f>IF(OR($B123="",NOT(ISNUMBER(Settings!$C$9))),"",TRIM(SUBSTITUTE(SUBSTITUTE(INDEX('INPUT - Roster'!$S$1:$SV$206,$B123,Settings!$C$9+25)&amp;"",CHAR(10)," "),CHAR(160)," ")))</f>
        <v/>
      </c>
      <c r="AF123">
        <f>IF(OR($B123="",NOT(ISNUMBER(Settings!$C$9))),"",TRIM(SUBSTITUTE(SUBSTITUTE(INDEX('INPUT - Roster'!$S$1:$SV$206,$B123,Settings!$C$9+26)&amp;"",CHAR(10)," "),CHAR(160)," ")))</f>
        <v/>
      </c>
      <c r="AG123">
        <f>IF(OR($B123="",NOT(ISNUMBER(Settings!$C$9))),"",TRIM(SUBSTITUTE(SUBSTITUTE(INDEX('INPUT - Roster'!$S$1:$SV$206,$B123,Settings!$C$9+27)&amp;"",CHAR(10)," "),CHAR(160)," ")))</f>
        <v/>
      </c>
      <c r="AI123">
        <f>IF($B123="","",IF(F123="","Not rostered",IFERROR(INDEX(Settings!$C$14:$C$33,MATCH(F123,Settings!$B$14:$B$33,0)),IFERROR(LOOKUP(2^15,SEARCH(Settings!$I$14:$I$83,F123)/(Settings!$I$14:$I$83&lt;&gt;""),Settings!$J$14:$J$83),"Other"))))</f>
        <v/>
      </c>
      <c r="AJ123">
        <f>IF($B123="","",IF(G123="","Not rostered",IFERROR(INDEX(Settings!$C$14:$C$33,MATCH(G123,Settings!$B$14:$B$33,0)),IFERROR(LOOKUP(2^15,SEARCH(Settings!$I$14:$I$83,G123)/(Settings!$I$14:$I$83&lt;&gt;""),Settings!$J$14:$J$83),"Other"))))</f>
        <v/>
      </c>
      <c r="AK123">
        <f>IF($B123="","",IF(H123="","Not rostered",IFERROR(INDEX(Settings!$C$14:$C$33,MATCH(H123,Settings!$B$14:$B$33,0)),IFERROR(LOOKUP(2^15,SEARCH(Settings!$I$14:$I$83,H123)/(Settings!$I$14:$I$83&lt;&gt;""),Settings!$J$14:$J$83),"Other"))))</f>
        <v/>
      </c>
      <c r="AL123">
        <f>IF($B123="","",IF(I123="","Not rostered",IFERROR(INDEX(Settings!$C$14:$C$33,MATCH(I123,Settings!$B$14:$B$33,0)),IFERROR(LOOKUP(2^15,SEARCH(Settings!$I$14:$I$83,I123)/(Settings!$I$14:$I$83&lt;&gt;""),Settings!$J$14:$J$83),"Other"))))</f>
        <v/>
      </c>
      <c r="AM123">
        <f>IF($B123="","",IF(J123="","Not rostered",IFERROR(INDEX(Settings!$C$14:$C$33,MATCH(J123,Settings!$B$14:$B$33,0)),IFERROR(LOOKUP(2^15,SEARCH(Settings!$I$14:$I$83,J123)/(Settings!$I$14:$I$83&lt;&gt;""),Settings!$J$14:$J$83),"Other"))))</f>
        <v/>
      </c>
      <c r="AN123">
        <f>IF($B123="","",IF(K123="","Not rostered",IFERROR(INDEX(Settings!$C$14:$C$33,MATCH(K123,Settings!$B$14:$B$33,0)),IFERROR(LOOKUP(2^15,SEARCH(Settings!$I$14:$I$83,K123)/(Settings!$I$14:$I$83&lt;&gt;""),Settings!$J$14:$J$83),"Other"))))</f>
        <v/>
      </c>
      <c r="AO123">
        <f>IF($B123="","",IF(L123="","Not rostered",IFERROR(INDEX(Settings!$C$14:$C$33,MATCH(L123,Settings!$B$14:$B$33,0)),IFERROR(LOOKUP(2^15,SEARCH(Settings!$I$14:$I$83,L123)/(Settings!$I$14:$I$83&lt;&gt;""),Settings!$J$14:$J$83),"Other"))))</f>
        <v/>
      </c>
      <c r="AP123">
        <f>IF($B123="","",IF(M123="","Not rostered",IFERROR(INDEX(Settings!$C$14:$C$33,MATCH(M123,Settings!$B$14:$B$33,0)),IFERROR(LOOKUP(2^15,SEARCH(Settings!$I$14:$I$83,M123)/(Settings!$I$14:$I$83&lt;&gt;""),Settings!$J$14:$J$83),"Other"))))</f>
        <v/>
      </c>
      <c r="AQ123">
        <f>IF($B123="","",IF(N123="","Not rostered",IFERROR(INDEX(Settings!$C$14:$C$33,MATCH(N123,Settings!$B$14:$B$33,0)),IFERROR(LOOKUP(2^15,SEARCH(Settings!$I$14:$I$83,N123)/(Settings!$I$14:$I$83&lt;&gt;""),Settings!$J$14:$J$83),"Other"))))</f>
        <v/>
      </c>
      <c r="AR123">
        <f>IF($B123="","",IF(O123="","Not rostered",IFERROR(INDEX(Settings!$C$14:$C$33,MATCH(O123,Settings!$B$14:$B$33,0)),IFERROR(LOOKUP(2^15,SEARCH(Settings!$I$14:$I$83,O123)/(Settings!$I$14:$I$83&lt;&gt;""),Settings!$J$14:$J$83),"Other"))))</f>
        <v/>
      </c>
      <c r="AS123">
        <f>IF($B123="","",IF(P123="","Not rostered",IFERROR(INDEX(Settings!$C$14:$C$33,MATCH(P123,Settings!$B$14:$B$33,0)),IFERROR(LOOKUP(2^15,SEARCH(Settings!$I$14:$I$83,P123)/(Settings!$I$14:$I$83&lt;&gt;""),Settings!$J$14:$J$83),"Other"))))</f>
        <v/>
      </c>
      <c r="AT123">
        <f>IF($B123="","",IF(Q123="","Not rostered",IFERROR(INDEX(Settings!$C$14:$C$33,MATCH(Q123,Settings!$B$14:$B$33,0)),IFERROR(LOOKUP(2^15,SEARCH(Settings!$I$14:$I$83,Q123)/(Settings!$I$14:$I$83&lt;&gt;""),Settings!$J$14:$J$83),"Other"))))</f>
        <v/>
      </c>
      <c r="AU123">
        <f>IF($B123="","",IF(R123="","Not rostered",IFERROR(INDEX(Settings!$C$14:$C$33,MATCH(R123,Settings!$B$14:$B$33,0)),IFERROR(LOOKUP(2^15,SEARCH(Settings!$I$14:$I$83,R123)/(Settings!$I$14:$I$83&lt;&gt;""),Settings!$J$14:$J$83),"Other"))))</f>
        <v/>
      </c>
      <c r="AV123">
        <f>IF($B123="","",IF(S123="","Not rostered",IFERROR(INDEX(Settings!$C$14:$C$33,MATCH(S123,Settings!$B$14:$B$33,0)),IFERROR(LOOKUP(2^15,SEARCH(Settings!$I$14:$I$83,S123)/(Settings!$I$14:$I$83&lt;&gt;""),Settings!$J$14:$J$83),"Other"))))</f>
        <v/>
      </c>
      <c r="AW123">
        <f>IF($B123="","",IF(T123="","Not rostered",IFERROR(INDEX(Settings!$C$14:$C$33,MATCH(T123,Settings!$B$14:$B$33,0)),IFERROR(LOOKUP(2^15,SEARCH(Settings!$I$14:$I$83,T123)/(Settings!$I$14:$I$83&lt;&gt;""),Settings!$J$14:$J$83),"Other"))))</f>
        <v/>
      </c>
      <c r="AX123">
        <f>IF($B123="","",IF(U123="","Not rostered",IFERROR(INDEX(Settings!$C$14:$C$33,MATCH(U123,Settings!$B$14:$B$33,0)),IFERROR(LOOKUP(2^15,SEARCH(Settings!$I$14:$I$83,U123)/(Settings!$I$14:$I$83&lt;&gt;""),Settings!$J$14:$J$83),"Other"))))</f>
        <v/>
      </c>
      <c r="AY123">
        <f>IF($B123="","",IF(V123="","Not rostered",IFERROR(INDEX(Settings!$C$14:$C$33,MATCH(V123,Settings!$B$14:$B$33,0)),IFERROR(LOOKUP(2^15,SEARCH(Settings!$I$14:$I$83,V123)/(Settings!$I$14:$I$83&lt;&gt;""),Settings!$J$14:$J$83),"Other"))))</f>
        <v/>
      </c>
      <c r="AZ123">
        <f>IF($B123="","",IF(W123="","Not rostered",IFERROR(INDEX(Settings!$C$14:$C$33,MATCH(W123,Settings!$B$14:$B$33,0)),IFERROR(LOOKUP(2^15,SEARCH(Settings!$I$14:$I$83,W123)/(Settings!$I$14:$I$83&lt;&gt;""),Settings!$J$14:$J$83),"Other"))))</f>
        <v/>
      </c>
      <c r="BA123">
        <f>IF($B123="","",IF(X123="","Not rostered",IFERROR(INDEX(Settings!$C$14:$C$33,MATCH(X123,Settings!$B$14:$B$33,0)),IFERROR(LOOKUP(2^15,SEARCH(Settings!$I$14:$I$83,X123)/(Settings!$I$14:$I$83&lt;&gt;""),Settings!$J$14:$J$83),"Other"))))</f>
        <v/>
      </c>
      <c r="BB123">
        <f>IF($B123="","",IF(Y123="","Not rostered",IFERROR(INDEX(Settings!$C$14:$C$33,MATCH(Y123,Settings!$B$14:$B$33,0)),IFERROR(LOOKUP(2^15,SEARCH(Settings!$I$14:$I$83,Y123)/(Settings!$I$14:$I$83&lt;&gt;""),Settings!$J$14:$J$83),"Other"))))</f>
        <v/>
      </c>
      <c r="BC123">
        <f>IF($B123="","",IF(Z123="","Not rostered",IFERROR(INDEX(Settings!$C$14:$C$33,MATCH(Z123,Settings!$B$14:$B$33,0)),IFERROR(LOOKUP(2^15,SEARCH(Settings!$I$14:$I$83,Z123)/(Settings!$I$14:$I$83&lt;&gt;""),Settings!$J$14:$J$83),"Other"))))</f>
        <v/>
      </c>
      <c r="BD123">
        <f>IF($B123="","",IF(AA123="","Not rostered",IFERROR(INDEX(Settings!$C$14:$C$33,MATCH(AA123,Settings!$B$14:$B$33,0)),IFERROR(LOOKUP(2^15,SEARCH(Settings!$I$14:$I$83,AA123)/(Settings!$I$14:$I$83&lt;&gt;""),Settings!$J$14:$J$83),"Other"))))</f>
        <v/>
      </c>
      <c r="BE123">
        <f>IF($B123="","",IF(AB123="","Not rostered",IFERROR(INDEX(Settings!$C$14:$C$33,MATCH(AB123,Settings!$B$14:$B$33,0)),IFERROR(LOOKUP(2^15,SEARCH(Settings!$I$14:$I$83,AB123)/(Settings!$I$14:$I$83&lt;&gt;""),Settings!$J$14:$J$83),"Other"))))</f>
        <v/>
      </c>
      <c r="BF123">
        <f>IF($B123="","",IF(AC123="","Not rostered",IFERROR(INDEX(Settings!$C$14:$C$33,MATCH(AC123,Settings!$B$14:$B$33,0)),IFERROR(LOOKUP(2^15,SEARCH(Settings!$I$14:$I$83,AC123)/(Settings!$I$14:$I$83&lt;&gt;""),Settings!$J$14:$J$83),"Other"))))</f>
        <v/>
      </c>
      <c r="BG123">
        <f>IF($B123="","",IF(AD123="","Not rostered",IFERROR(INDEX(Settings!$C$14:$C$33,MATCH(AD123,Settings!$B$14:$B$33,0)),IFERROR(LOOKUP(2^15,SEARCH(Settings!$I$14:$I$83,AD123)/(Settings!$I$14:$I$83&lt;&gt;""),Settings!$J$14:$J$83),"Other"))))</f>
        <v/>
      </c>
      <c r="BH123">
        <f>IF($B123="","",IF(AE123="","Not rostered",IFERROR(INDEX(Settings!$C$14:$C$33,MATCH(AE123,Settings!$B$14:$B$33,0)),IFERROR(LOOKUP(2^15,SEARCH(Settings!$I$14:$I$83,AE123)/(Settings!$I$14:$I$83&lt;&gt;""),Settings!$J$14:$J$83),"Other"))))</f>
        <v/>
      </c>
      <c r="BI123">
        <f>IF($B123="","",IF(AF123="","Not rostered",IFERROR(INDEX(Settings!$C$14:$C$33,MATCH(AF123,Settings!$B$14:$B$33,0)),IFERROR(LOOKUP(2^15,SEARCH(Settings!$I$14:$I$83,AF123)/(Settings!$I$14:$I$83&lt;&gt;""),Settings!$J$14:$J$83),"Other"))))</f>
        <v/>
      </c>
      <c r="BJ123">
        <f>IF($B123="","",IF(AG123="","Not rostered",IFERROR(INDEX(Settings!$C$14:$C$33,MATCH(AG123,Settings!$B$14:$B$33,0)),IFERROR(LOOKUP(2^15,SEARCH(Settings!$I$14:$I$83,AG123)/(Settings!$I$14:$I$83&lt;&gt;""),Settings!$J$14:$J$83),"Other"))))</f>
        <v/>
      </c>
      <c r="BL123">
        <f>IF(OR($B123="",F123=""),"",IFERROR(INDEX(Settings!$D$14:$D$33,MATCH(F123,Settings!$B$14:$B$33,0))&amp;"",IFERROR(LOOKUP(2^15,SEARCH(Settings!$F$14:$F$43,F123)/(Settings!$F$14:$F$43&lt;&gt;""),Settings!$G$14:$G$43),"")))</f>
        <v/>
      </c>
      <c r="BM123">
        <f>IF(OR($B123="",G123=""),"",IFERROR(INDEX(Settings!$D$14:$D$33,MATCH(G123,Settings!$B$14:$B$33,0))&amp;"",IFERROR(LOOKUP(2^15,SEARCH(Settings!$F$14:$F$43,G123)/(Settings!$F$14:$F$43&lt;&gt;""),Settings!$G$14:$G$43),"")))</f>
        <v/>
      </c>
      <c r="BN123">
        <f>IF(OR($B123="",H123=""),"",IFERROR(INDEX(Settings!$D$14:$D$33,MATCH(H123,Settings!$B$14:$B$33,0))&amp;"",IFERROR(LOOKUP(2^15,SEARCH(Settings!$F$14:$F$43,H123)/(Settings!$F$14:$F$43&lt;&gt;""),Settings!$G$14:$G$43),"")))</f>
        <v/>
      </c>
      <c r="BO123">
        <f>IF(OR($B123="",I123=""),"",IFERROR(INDEX(Settings!$D$14:$D$33,MATCH(I123,Settings!$B$14:$B$33,0))&amp;"",IFERROR(LOOKUP(2^15,SEARCH(Settings!$F$14:$F$43,I123)/(Settings!$F$14:$F$43&lt;&gt;""),Settings!$G$14:$G$43),"")))</f>
        <v/>
      </c>
      <c r="BP123">
        <f>IF(OR($B123="",J123=""),"",IFERROR(INDEX(Settings!$D$14:$D$33,MATCH(J123,Settings!$B$14:$B$33,0))&amp;"",IFERROR(LOOKUP(2^15,SEARCH(Settings!$F$14:$F$43,J123)/(Settings!$F$14:$F$43&lt;&gt;""),Settings!$G$14:$G$43),"")))</f>
        <v/>
      </c>
      <c r="BQ123">
        <f>IF(OR($B123="",K123=""),"",IFERROR(INDEX(Settings!$D$14:$D$33,MATCH(K123,Settings!$B$14:$B$33,0))&amp;"",IFERROR(LOOKUP(2^15,SEARCH(Settings!$F$14:$F$43,K123)/(Settings!$F$14:$F$43&lt;&gt;""),Settings!$G$14:$G$43),"")))</f>
        <v/>
      </c>
      <c r="BR123">
        <f>IF(OR($B123="",L123=""),"",IFERROR(INDEX(Settings!$D$14:$D$33,MATCH(L123,Settings!$B$14:$B$33,0))&amp;"",IFERROR(LOOKUP(2^15,SEARCH(Settings!$F$14:$F$43,L123)/(Settings!$F$14:$F$43&lt;&gt;""),Settings!$G$14:$G$43),"")))</f>
        <v/>
      </c>
      <c r="BS123">
        <f>IF(OR($B123="",M123=""),"",IFERROR(INDEX(Settings!$D$14:$D$33,MATCH(M123,Settings!$B$14:$B$33,0))&amp;"",IFERROR(LOOKUP(2^15,SEARCH(Settings!$F$14:$F$43,M123)/(Settings!$F$14:$F$43&lt;&gt;""),Settings!$G$14:$G$43),"")))</f>
        <v/>
      </c>
      <c r="BT123">
        <f>IF(OR($B123="",N123=""),"",IFERROR(INDEX(Settings!$D$14:$D$33,MATCH(N123,Settings!$B$14:$B$33,0))&amp;"",IFERROR(LOOKUP(2^15,SEARCH(Settings!$F$14:$F$43,N123)/(Settings!$F$14:$F$43&lt;&gt;""),Settings!$G$14:$G$43),"")))</f>
        <v/>
      </c>
      <c r="BU123">
        <f>IF(OR($B123="",O123=""),"",IFERROR(INDEX(Settings!$D$14:$D$33,MATCH(O123,Settings!$B$14:$B$33,0))&amp;"",IFERROR(LOOKUP(2^15,SEARCH(Settings!$F$14:$F$43,O123)/(Settings!$F$14:$F$43&lt;&gt;""),Settings!$G$14:$G$43),"")))</f>
        <v/>
      </c>
      <c r="BV123">
        <f>IF(OR($B123="",P123=""),"",IFERROR(INDEX(Settings!$D$14:$D$33,MATCH(P123,Settings!$B$14:$B$33,0))&amp;"",IFERROR(LOOKUP(2^15,SEARCH(Settings!$F$14:$F$43,P123)/(Settings!$F$14:$F$43&lt;&gt;""),Settings!$G$14:$G$43),"")))</f>
        <v/>
      </c>
      <c r="BW123">
        <f>IF(OR($B123="",Q123=""),"",IFERROR(INDEX(Settings!$D$14:$D$33,MATCH(Q123,Settings!$B$14:$B$33,0))&amp;"",IFERROR(LOOKUP(2^15,SEARCH(Settings!$F$14:$F$43,Q123)/(Settings!$F$14:$F$43&lt;&gt;""),Settings!$G$14:$G$43),"")))</f>
        <v/>
      </c>
      <c r="BX123">
        <f>IF(OR($B123="",R123=""),"",IFERROR(INDEX(Settings!$D$14:$D$33,MATCH(R123,Settings!$B$14:$B$33,0))&amp;"",IFERROR(LOOKUP(2^15,SEARCH(Settings!$F$14:$F$43,R123)/(Settings!$F$14:$F$43&lt;&gt;""),Settings!$G$14:$G$43),"")))</f>
        <v/>
      </c>
      <c r="BY123">
        <f>IF(OR($B123="",S123=""),"",IFERROR(INDEX(Settings!$D$14:$D$33,MATCH(S123,Settings!$B$14:$B$33,0))&amp;"",IFERROR(LOOKUP(2^15,SEARCH(Settings!$F$14:$F$43,S123)/(Settings!$F$14:$F$43&lt;&gt;""),Settings!$G$14:$G$43),"")))</f>
        <v/>
      </c>
      <c r="BZ123">
        <f>IF(OR($B123="",T123=""),"",IFERROR(INDEX(Settings!$D$14:$D$33,MATCH(T123,Settings!$B$14:$B$33,0))&amp;"",IFERROR(LOOKUP(2^15,SEARCH(Settings!$F$14:$F$43,T123)/(Settings!$F$14:$F$43&lt;&gt;""),Settings!$G$14:$G$43),"")))</f>
        <v/>
      </c>
      <c r="CA123">
        <f>IF(OR($B123="",U123=""),"",IFERROR(INDEX(Settings!$D$14:$D$33,MATCH(U123,Settings!$B$14:$B$33,0))&amp;"",IFERROR(LOOKUP(2^15,SEARCH(Settings!$F$14:$F$43,U123)/(Settings!$F$14:$F$43&lt;&gt;""),Settings!$G$14:$G$43),"")))</f>
        <v/>
      </c>
      <c r="CB123">
        <f>IF(OR($B123="",V123=""),"",IFERROR(INDEX(Settings!$D$14:$D$33,MATCH(V123,Settings!$B$14:$B$33,0))&amp;"",IFERROR(LOOKUP(2^15,SEARCH(Settings!$F$14:$F$43,V123)/(Settings!$F$14:$F$43&lt;&gt;""),Settings!$G$14:$G$43),"")))</f>
        <v/>
      </c>
      <c r="CC123">
        <f>IF(OR($B123="",W123=""),"",IFERROR(INDEX(Settings!$D$14:$D$33,MATCH(W123,Settings!$B$14:$B$33,0))&amp;"",IFERROR(LOOKUP(2^15,SEARCH(Settings!$F$14:$F$43,W123)/(Settings!$F$14:$F$43&lt;&gt;""),Settings!$G$14:$G$43),"")))</f>
        <v/>
      </c>
      <c r="CD123">
        <f>IF(OR($B123="",X123=""),"",IFERROR(INDEX(Settings!$D$14:$D$33,MATCH(X123,Settings!$B$14:$B$33,0))&amp;"",IFERROR(LOOKUP(2^15,SEARCH(Settings!$F$14:$F$43,X123)/(Settings!$F$14:$F$43&lt;&gt;""),Settings!$G$14:$G$43),"")))</f>
        <v/>
      </c>
      <c r="CE123">
        <f>IF(OR($B123="",Y123=""),"",IFERROR(INDEX(Settings!$D$14:$D$33,MATCH(Y123,Settings!$B$14:$B$33,0))&amp;"",IFERROR(LOOKUP(2^15,SEARCH(Settings!$F$14:$F$43,Y123)/(Settings!$F$14:$F$43&lt;&gt;""),Settings!$G$14:$G$43),"")))</f>
        <v/>
      </c>
      <c r="CF123">
        <f>IF(OR($B123="",Z123=""),"",IFERROR(INDEX(Settings!$D$14:$D$33,MATCH(Z123,Settings!$B$14:$B$33,0))&amp;"",IFERROR(LOOKUP(2^15,SEARCH(Settings!$F$14:$F$43,Z123)/(Settings!$F$14:$F$43&lt;&gt;""),Settings!$G$14:$G$43),"")))</f>
        <v/>
      </c>
      <c r="CG123">
        <f>IF(OR($B123="",AA123=""),"",IFERROR(INDEX(Settings!$D$14:$D$33,MATCH(AA123,Settings!$B$14:$B$33,0))&amp;"",IFERROR(LOOKUP(2^15,SEARCH(Settings!$F$14:$F$43,AA123)/(Settings!$F$14:$F$43&lt;&gt;""),Settings!$G$14:$G$43),"")))</f>
        <v/>
      </c>
      <c r="CH123">
        <f>IF(OR($B123="",AB123=""),"",IFERROR(INDEX(Settings!$D$14:$D$33,MATCH(AB123,Settings!$B$14:$B$33,0))&amp;"",IFERROR(LOOKUP(2^15,SEARCH(Settings!$F$14:$F$43,AB123)/(Settings!$F$14:$F$43&lt;&gt;""),Settings!$G$14:$G$43),"")))</f>
        <v/>
      </c>
      <c r="CI123">
        <f>IF(OR($B123="",AC123=""),"",IFERROR(INDEX(Settings!$D$14:$D$33,MATCH(AC123,Settings!$B$14:$B$33,0))&amp;"",IFERROR(LOOKUP(2^15,SEARCH(Settings!$F$14:$F$43,AC123)/(Settings!$F$14:$F$43&lt;&gt;""),Settings!$G$14:$G$43),"")))</f>
        <v/>
      </c>
      <c r="CJ123">
        <f>IF(OR($B123="",AD123=""),"",IFERROR(INDEX(Settings!$D$14:$D$33,MATCH(AD123,Settings!$B$14:$B$33,0))&amp;"",IFERROR(LOOKUP(2^15,SEARCH(Settings!$F$14:$F$43,AD123)/(Settings!$F$14:$F$43&lt;&gt;""),Settings!$G$14:$G$43),"")))</f>
        <v/>
      </c>
      <c r="CK123">
        <f>IF(OR($B123="",AE123=""),"",IFERROR(INDEX(Settings!$D$14:$D$33,MATCH(AE123,Settings!$B$14:$B$33,0))&amp;"",IFERROR(LOOKUP(2^15,SEARCH(Settings!$F$14:$F$43,AE123)/(Settings!$F$14:$F$43&lt;&gt;""),Settings!$G$14:$G$43),"")))</f>
        <v/>
      </c>
      <c r="CL123">
        <f>IF(OR($B123="",AF123=""),"",IFERROR(INDEX(Settings!$D$14:$D$33,MATCH(AF123,Settings!$B$14:$B$33,0))&amp;"",IFERROR(LOOKUP(2^15,SEARCH(Settings!$F$14:$F$43,AF123)/(Settings!$F$14:$F$43&lt;&gt;""),Settings!$G$14:$G$43),"")))</f>
        <v/>
      </c>
      <c r="CM123">
        <f>IF(OR($B123="",AG123=""),"",IFERROR(INDEX(Settings!$D$14:$D$33,MATCH(AG123,Settings!$B$14:$B$33,0))&amp;"",IFERROR(LOOKUP(2^15,SEARCH(Settings!$F$14:$F$43,AG123)/(Settings!$F$14:$F$43&lt;&gt;""),Settings!$G$14:$G$43),"")))</f>
        <v/>
      </c>
    </row>
    <row r="124">
      <c r="A124" t="n">
        <v>122</v>
      </c>
      <c r="B124">
        <f>IFERROR(INDEX(Index!$A$2:$A$202,MATCH(A124,Index!$E$2:$E$202,0)),"")</f>
        <v/>
      </c>
      <c r="D124">
        <f>IF($B124="","",IFERROR(MATCH("Travel*",AI124:BJ124,0),""))</f>
        <v/>
      </c>
      <c r="F124">
        <f>IF(OR($B124="",NOT(ISNUMBER(Settings!$C$9))),"",TRIM(SUBSTITUTE(SUBSTITUTE(INDEX('INPUT - Roster'!$S$1:$SV$206,$B124,Settings!$C$9+0)&amp;"",CHAR(10)," "),CHAR(160)," ")))</f>
        <v/>
      </c>
      <c r="G124">
        <f>IF(OR($B124="",NOT(ISNUMBER(Settings!$C$9))),"",TRIM(SUBSTITUTE(SUBSTITUTE(INDEX('INPUT - Roster'!$S$1:$SV$206,$B124,Settings!$C$9+1)&amp;"",CHAR(10)," "),CHAR(160)," ")))</f>
        <v/>
      </c>
      <c r="H124">
        <f>IF(OR($B124="",NOT(ISNUMBER(Settings!$C$9))),"",TRIM(SUBSTITUTE(SUBSTITUTE(INDEX('INPUT - Roster'!$S$1:$SV$206,$B124,Settings!$C$9+2)&amp;"",CHAR(10)," "),CHAR(160)," ")))</f>
        <v/>
      </c>
      <c r="I124">
        <f>IF(OR($B124="",NOT(ISNUMBER(Settings!$C$9))),"",TRIM(SUBSTITUTE(SUBSTITUTE(INDEX('INPUT - Roster'!$S$1:$SV$206,$B124,Settings!$C$9+3)&amp;"",CHAR(10)," "),CHAR(160)," ")))</f>
        <v/>
      </c>
      <c r="J124">
        <f>IF(OR($B124="",NOT(ISNUMBER(Settings!$C$9))),"",TRIM(SUBSTITUTE(SUBSTITUTE(INDEX('INPUT - Roster'!$S$1:$SV$206,$B124,Settings!$C$9+4)&amp;"",CHAR(10)," "),CHAR(160)," ")))</f>
        <v/>
      </c>
      <c r="K124">
        <f>IF(OR($B124="",NOT(ISNUMBER(Settings!$C$9))),"",TRIM(SUBSTITUTE(SUBSTITUTE(INDEX('INPUT - Roster'!$S$1:$SV$206,$B124,Settings!$C$9+5)&amp;"",CHAR(10)," "),CHAR(160)," ")))</f>
        <v/>
      </c>
      <c r="L124">
        <f>IF(OR($B124="",NOT(ISNUMBER(Settings!$C$9))),"",TRIM(SUBSTITUTE(SUBSTITUTE(INDEX('INPUT - Roster'!$S$1:$SV$206,$B124,Settings!$C$9+6)&amp;"",CHAR(10)," "),CHAR(160)," ")))</f>
        <v/>
      </c>
      <c r="M124">
        <f>IF(OR($B124="",NOT(ISNUMBER(Settings!$C$9))),"",TRIM(SUBSTITUTE(SUBSTITUTE(INDEX('INPUT - Roster'!$S$1:$SV$206,$B124,Settings!$C$9+7)&amp;"",CHAR(10)," "),CHAR(160)," ")))</f>
        <v/>
      </c>
      <c r="N124">
        <f>IF(OR($B124="",NOT(ISNUMBER(Settings!$C$9))),"",TRIM(SUBSTITUTE(SUBSTITUTE(INDEX('INPUT - Roster'!$S$1:$SV$206,$B124,Settings!$C$9+8)&amp;"",CHAR(10)," "),CHAR(160)," ")))</f>
        <v/>
      </c>
      <c r="O124">
        <f>IF(OR($B124="",NOT(ISNUMBER(Settings!$C$9))),"",TRIM(SUBSTITUTE(SUBSTITUTE(INDEX('INPUT - Roster'!$S$1:$SV$206,$B124,Settings!$C$9+9)&amp;"",CHAR(10)," "),CHAR(160)," ")))</f>
        <v/>
      </c>
      <c r="P124">
        <f>IF(OR($B124="",NOT(ISNUMBER(Settings!$C$9))),"",TRIM(SUBSTITUTE(SUBSTITUTE(INDEX('INPUT - Roster'!$S$1:$SV$206,$B124,Settings!$C$9+10)&amp;"",CHAR(10)," "),CHAR(160)," ")))</f>
        <v/>
      </c>
      <c r="Q124">
        <f>IF(OR($B124="",NOT(ISNUMBER(Settings!$C$9))),"",TRIM(SUBSTITUTE(SUBSTITUTE(INDEX('INPUT - Roster'!$S$1:$SV$206,$B124,Settings!$C$9+11)&amp;"",CHAR(10)," "),CHAR(160)," ")))</f>
        <v/>
      </c>
      <c r="R124">
        <f>IF(OR($B124="",NOT(ISNUMBER(Settings!$C$9))),"",TRIM(SUBSTITUTE(SUBSTITUTE(INDEX('INPUT - Roster'!$S$1:$SV$206,$B124,Settings!$C$9+12)&amp;"",CHAR(10)," "),CHAR(160)," ")))</f>
        <v/>
      </c>
      <c r="S124">
        <f>IF(OR($B124="",NOT(ISNUMBER(Settings!$C$9))),"",TRIM(SUBSTITUTE(SUBSTITUTE(INDEX('INPUT - Roster'!$S$1:$SV$206,$B124,Settings!$C$9+13)&amp;"",CHAR(10)," "),CHAR(160)," ")))</f>
        <v/>
      </c>
      <c r="T124">
        <f>IF(OR($B124="",NOT(ISNUMBER(Settings!$C$9))),"",TRIM(SUBSTITUTE(SUBSTITUTE(INDEX('INPUT - Roster'!$S$1:$SV$206,$B124,Settings!$C$9+14)&amp;"",CHAR(10)," "),CHAR(160)," ")))</f>
        <v/>
      </c>
      <c r="U124">
        <f>IF(OR($B124="",NOT(ISNUMBER(Settings!$C$9))),"",TRIM(SUBSTITUTE(SUBSTITUTE(INDEX('INPUT - Roster'!$S$1:$SV$206,$B124,Settings!$C$9+15)&amp;"",CHAR(10)," "),CHAR(160)," ")))</f>
        <v/>
      </c>
      <c r="V124">
        <f>IF(OR($B124="",NOT(ISNUMBER(Settings!$C$9))),"",TRIM(SUBSTITUTE(SUBSTITUTE(INDEX('INPUT - Roster'!$S$1:$SV$206,$B124,Settings!$C$9+16)&amp;"",CHAR(10)," "),CHAR(160)," ")))</f>
        <v/>
      </c>
      <c r="W124">
        <f>IF(OR($B124="",NOT(ISNUMBER(Settings!$C$9))),"",TRIM(SUBSTITUTE(SUBSTITUTE(INDEX('INPUT - Roster'!$S$1:$SV$206,$B124,Settings!$C$9+17)&amp;"",CHAR(10)," "),CHAR(160)," ")))</f>
        <v/>
      </c>
      <c r="X124">
        <f>IF(OR($B124="",NOT(ISNUMBER(Settings!$C$9))),"",TRIM(SUBSTITUTE(SUBSTITUTE(INDEX('INPUT - Roster'!$S$1:$SV$206,$B124,Settings!$C$9+18)&amp;"",CHAR(10)," "),CHAR(160)," ")))</f>
        <v/>
      </c>
      <c r="Y124">
        <f>IF(OR($B124="",NOT(ISNUMBER(Settings!$C$9))),"",TRIM(SUBSTITUTE(SUBSTITUTE(INDEX('INPUT - Roster'!$S$1:$SV$206,$B124,Settings!$C$9+19)&amp;"",CHAR(10)," "),CHAR(160)," ")))</f>
        <v/>
      </c>
      <c r="Z124">
        <f>IF(OR($B124="",NOT(ISNUMBER(Settings!$C$9))),"",TRIM(SUBSTITUTE(SUBSTITUTE(INDEX('INPUT - Roster'!$S$1:$SV$206,$B124,Settings!$C$9+20)&amp;"",CHAR(10)," "),CHAR(160)," ")))</f>
        <v/>
      </c>
      <c r="AA124">
        <f>IF(OR($B124="",NOT(ISNUMBER(Settings!$C$9))),"",TRIM(SUBSTITUTE(SUBSTITUTE(INDEX('INPUT - Roster'!$S$1:$SV$206,$B124,Settings!$C$9+21)&amp;"",CHAR(10)," "),CHAR(160)," ")))</f>
        <v/>
      </c>
      <c r="AB124">
        <f>IF(OR($B124="",NOT(ISNUMBER(Settings!$C$9))),"",TRIM(SUBSTITUTE(SUBSTITUTE(INDEX('INPUT - Roster'!$S$1:$SV$206,$B124,Settings!$C$9+22)&amp;"",CHAR(10)," "),CHAR(160)," ")))</f>
        <v/>
      </c>
      <c r="AC124">
        <f>IF(OR($B124="",NOT(ISNUMBER(Settings!$C$9))),"",TRIM(SUBSTITUTE(SUBSTITUTE(INDEX('INPUT - Roster'!$S$1:$SV$206,$B124,Settings!$C$9+23)&amp;"",CHAR(10)," "),CHAR(160)," ")))</f>
        <v/>
      </c>
      <c r="AD124">
        <f>IF(OR($B124="",NOT(ISNUMBER(Settings!$C$9))),"",TRIM(SUBSTITUTE(SUBSTITUTE(INDEX('INPUT - Roster'!$S$1:$SV$206,$B124,Settings!$C$9+24)&amp;"",CHAR(10)," "),CHAR(160)," ")))</f>
        <v/>
      </c>
      <c r="AE124">
        <f>IF(OR($B124="",NOT(ISNUMBER(Settings!$C$9))),"",TRIM(SUBSTITUTE(SUBSTITUTE(INDEX('INPUT - Roster'!$S$1:$SV$206,$B124,Settings!$C$9+25)&amp;"",CHAR(10)," "),CHAR(160)," ")))</f>
        <v/>
      </c>
      <c r="AF124">
        <f>IF(OR($B124="",NOT(ISNUMBER(Settings!$C$9))),"",TRIM(SUBSTITUTE(SUBSTITUTE(INDEX('INPUT - Roster'!$S$1:$SV$206,$B124,Settings!$C$9+26)&amp;"",CHAR(10)," "),CHAR(160)," ")))</f>
        <v/>
      </c>
      <c r="AG124">
        <f>IF(OR($B124="",NOT(ISNUMBER(Settings!$C$9))),"",TRIM(SUBSTITUTE(SUBSTITUTE(INDEX('INPUT - Roster'!$S$1:$SV$206,$B124,Settings!$C$9+27)&amp;"",CHAR(10)," "),CHAR(160)," ")))</f>
        <v/>
      </c>
      <c r="AI124">
        <f>IF($B124="","",IF(F124="","Not rostered",IFERROR(INDEX(Settings!$C$14:$C$33,MATCH(F124,Settings!$B$14:$B$33,0)),IFERROR(LOOKUP(2^15,SEARCH(Settings!$I$14:$I$83,F124)/(Settings!$I$14:$I$83&lt;&gt;""),Settings!$J$14:$J$83),"Other"))))</f>
        <v/>
      </c>
      <c r="AJ124">
        <f>IF($B124="","",IF(G124="","Not rostered",IFERROR(INDEX(Settings!$C$14:$C$33,MATCH(G124,Settings!$B$14:$B$33,0)),IFERROR(LOOKUP(2^15,SEARCH(Settings!$I$14:$I$83,G124)/(Settings!$I$14:$I$83&lt;&gt;""),Settings!$J$14:$J$83),"Other"))))</f>
        <v/>
      </c>
      <c r="AK124">
        <f>IF($B124="","",IF(H124="","Not rostered",IFERROR(INDEX(Settings!$C$14:$C$33,MATCH(H124,Settings!$B$14:$B$33,0)),IFERROR(LOOKUP(2^15,SEARCH(Settings!$I$14:$I$83,H124)/(Settings!$I$14:$I$83&lt;&gt;""),Settings!$J$14:$J$83),"Other"))))</f>
        <v/>
      </c>
      <c r="AL124">
        <f>IF($B124="","",IF(I124="","Not rostered",IFERROR(INDEX(Settings!$C$14:$C$33,MATCH(I124,Settings!$B$14:$B$33,0)),IFERROR(LOOKUP(2^15,SEARCH(Settings!$I$14:$I$83,I124)/(Settings!$I$14:$I$83&lt;&gt;""),Settings!$J$14:$J$83),"Other"))))</f>
        <v/>
      </c>
      <c r="AM124">
        <f>IF($B124="","",IF(J124="","Not rostered",IFERROR(INDEX(Settings!$C$14:$C$33,MATCH(J124,Settings!$B$14:$B$33,0)),IFERROR(LOOKUP(2^15,SEARCH(Settings!$I$14:$I$83,J124)/(Settings!$I$14:$I$83&lt;&gt;""),Settings!$J$14:$J$83),"Other"))))</f>
        <v/>
      </c>
      <c r="AN124">
        <f>IF($B124="","",IF(K124="","Not rostered",IFERROR(INDEX(Settings!$C$14:$C$33,MATCH(K124,Settings!$B$14:$B$33,0)),IFERROR(LOOKUP(2^15,SEARCH(Settings!$I$14:$I$83,K124)/(Settings!$I$14:$I$83&lt;&gt;""),Settings!$J$14:$J$83),"Other"))))</f>
        <v/>
      </c>
      <c r="AO124">
        <f>IF($B124="","",IF(L124="","Not rostered",IFERROR(INDEX(Settings!$C$14:$C$33,MATCH(L124,Settings!$B$14:$B$33,0)),IFERROR(LOOKUP(2^15,SEARCH(Settings!$I$14:$I$83,L124)/(Settings!$I$14:$I$83&lt;&gt;""),Settings!$J$14:$J$83),"Other"))))</f>
        <v/>
      </c>
      <c r="AP124">
        <f>IF($B124="","",IF(M124="","Not rostered",IFERROR(INDEX(Settings!$C$14:$C$33,MATCH(M124,Settings!$B$14:$B$33,0)),IFERROR(LOOKUP(2^15,SEARCH(Settings!$I$14:$I$83,M124)/(Settings!$I$14:$I$83&lt;&gt;""),Settings!$J$14:$J$83),"Other"))))</f>
        <v/>
      </c>
      <c r="AQ124">
        <f>IF($B124="","",IF(N124="","Not rostered",IFERROR(INDEX(Settings!$C$14:$C$33,MATCH(N124,Settings!$B$14:$B$33,0)),IFERROR(LOOKUP(2^15,SEARCH(Settings!$I$14:$I$83,N124)/(Settings!$I$14:$I$83&lt;&gt;""),Settings!$J$14:$J$83),"Other"))))</f>
        <v/>
      </c>
      <c r="AR124">
        <f>IF($B124="","",IF(O124="","Not rostered",IFERROR(INDEX(Settings!$C$14:$C$33,MATCH(O124,Settings!$B$14:$B$33,0)),IFERROR(LOOKUP(2^15,SEARCH(Settings!$I$14:$I$83,O124)/(Settings!$I$14:$I$83&lt;&gt;""),Settings!$J$14:$J$83),"Other"))))</f>
        <v/>
      </c>
      <c r="AS124">
        <f>IF($B124="","",IF(P124="","Not rostered",IFERROR(INDEX(Settings!$C$14:$C$33,MATCH(P124,Settings!$B$14:$B$33,0)),IFERROR(LOOKUP(2^15,SEARCH(Settings!$I$14:$I$83,P124)/(Settings!$I$14:$I$83&lt;&gt;""),Settings!$J$14:$J$83),"Other"))))</f>
        <v/>
      </c>
      <c r="AT124">
        <f>IF($B124="","",IF(Q124="","Not rostered",IFERROR(INDEX(Settings!$C$14:$C$33,MATCH(Q124,Settings!$B$14:$B$33,0)),IFERROR(LOOKUP(2^15,SEARCH(Settings!$I$14:$I$83,Q124)/(Settings!$I$14:$I$83&lt;&gt;""),Settings!$J$14:$J$83),"Other"))))</f>
        <v/>
      </c>
      <c r="AU124">
        <f>IF($B124="","",IF(R124="","Not rostered",IFERROR(INDEX(Settings!$C$14:$C$33,MATCH(R124,Settings!$B$14:$B$33,0)),IFERROR(LOOKUP(2^15,SEARCH(Settings!$I$14:$I$83,R124)/(Settings!$I$14:$I$83&lt;&gt;""),Settings!$J$14:$J$83),"Other"))))</f>
        <v/>
      </c>
      <c r="AV124">
        <f>IF($B124="","",IF(S124="","Not rostered",IFERROR(INDEX(Settings!$C$14:$C$33,MATCH(S124,Settings!$B$14:$B$33,0)),IFERROR(LOOKUP(2^15,SEARCH(Settings!$I$14:$I$83,S124)/(Settings!$I$14:$I$83&lt;&gt;""),Settings!$J$14:$J$83),"Other"))))</f>
        <v/>
      </c>
      <c r="AW124">
        <f>IF($B124="","",IF(T124="","Not rostered",IFERROR(INDEX(Settings!$C$14:$C$33,MATCH(T124,Settings!$B$14:$B$33,0)),IFERROR(LOOKUP(2^15,SEARCH(Settings!$I$14:$I$83,T124)/(Settings!$I$14:$I$83&lt;&gt;""),Settings!$J$14:$J$83),"Other"))))</f>
        <v/>
      </c>
      <c r="AX124">
        <f>IF($B124="","",IF(U124="","Not rostered",IFERROR(INDEX(Settings!$C$14:$C$33,MATCH(U124,Settings!$B$14:$B$33,0)),IFERROR(LOOKUP(2^15,SEARCH(Settings!$I$14:$I$83,U124)/(Settings!$I$14:$I$83&lt;&gt;""),Settings!$J$14:$J$83),"Other"))))</f>
        <v/>
      </c>
      <c r="AY124">
        <f>IF($B124="","",IF(V124="","Not rostered",IFERROR(INDEX(Settings!$C$14:$C$33,MATCH(V124,Settings!$B$14:$B$33,0)),IFERROR(LOOKUP(2^15,SEARCH(Settings!$I$14:$I$83,V124)/(Settings!$I$14:$I$83&lt;&gt;""),Settings!$J$14:$J$83),"Other"))))</f>
        <v/>
      </c>
      <c r="AZ124">
        <f>IF($B124="","",IF(W124="","Not rostered",IFERROR(INDEX(Settings!$C$14:$C$33,MATCH(W124,Settings!$B$14:$B$33,0)),IFERROR(LOOKUP(2^15,SEARCH(Settings!$I$14:$I$83,W124)/(Settings!$I$14:$I$83&lt;&gt;""),Settings!$J$14:$J$83),"Other"))))</f>
        <v/>
      </c>
      <c r="BA124">
        <f>IF($B124="","",IF(X124="","Not rostered",IFERROR(INDEX(Settings!$C$14:$C$33,MATCH(X124,Settings!$B$14:$B$33,0)),IFERROR(LOOKUP(2^15,SEARCH(Settings!$I$14:$I$83,X124)/(Settings!$I$14:$I$83&lt;&gt;""),Settings!$J$14:$J$83),"Other"))))</f>
        <v/>
      </c>
      <c r="BB124">
        <f>IF($B124="","",IF(Y124="","Not rostered",IFERROR(INDEX(Settings!$C$14:$C$33,MATCH(Y124,Settings!$B$14:$B$33,0)),IFERROR(LOOKUP(2^15,SEARCH(Settings!$I$14:$I$83,Y124)/(Settings!$I$14:$I$83&lt;&gt;""),Settings!$J$14:$J$83),"Other"))))</f>
        <v/>
      </c>
      <c r="BC124">
        <f>IF($B124="","",IF(Z124="","Not rostered",IFERROR(INDEX(Settings!$C$14:$C$33,MATCH(Z124,Settings!$B$14:$B$33,0)),IFERROR(LOOKUP(2^15,SEARCH(Settings!$I$14:$I$83,Z124)/(Settings!$I$14:$I$83&lt;&gt;""),Settings!$J$14:$J$83),"Other"))))</f>
        <v/>
      </c>
      <c r="BD124">
        <f>IF($B124="","",IF(AA124="","Not rostered",IFERROR(INDEX(Settings!$C$14:$C$33,MATCH(AA124,Settings!$B$14:$B$33,0)),IFERROR(LOOKUP(2^15,SEARCH(Settings!$I$14:$I$83,AA124)/(Settings!$I$14:$I$83&lt;&gt;""),Settings!$J$14:$J$83),"Other"))))</f>
        <v/>
      </c>
      <c r="BE124">
        <f>IF($B124="","",IF(AB124="","Not rostered",IFERROR(INDEX(Settings!$C$14:$C$33,MATCH(AB124,Settings!$B$14:$B$33,0)),IFERROR(LOOKUP(2^15,SEARCH(Settings!$I$14:$I$83,AB124)/(Settings!$I$14:$I$83&lt;&gt;""),Settings!$J$14:$J$83),"Other"))))</f>
        <v/>
      </c>
      <c r="BF124">
        <f>IF($B124="","",IF(AC124="","Not rostered",IFERROR(INDEX(Settings!$C$14:$C$33,MATCH(AC124,Settings!$B$14:$B$33,0)),IFERROR(LOOKUP(2^15,SEARCH(Settings!$I$14:$I$83,AC124)/(Settings!$I$14:$I$83&lt;&gt;""),Settings!$J$14:$J$83),"Other"))))</f>
        <v/>
      </c>
      <c r="BG124">
        <f>IF($B124="","",IF(AD124="","Not rostered",IFERROR(INDEX(Settings!$C$14:$C$33,MATCH(AD124,Settings!$B$14:$B$33,0)),IFERROR(LOOKUP(2^15,SEARCH(Settings!$I$14:$I$83,AD124)/(Settings!$I$14:$I$83&lt;&gt;""),Settings!$J$14:$J$83),"Other"))))</f>
        <v/>
      </c>
      <c r="BH124">
        <f>IF($B124="","",IF(AE124="","Not rostered",IFERROR(INDEX(Settings!$C$14:$C$33,MATCH(AE124,Settings!$B$14:$B$33,0)),IFERROR(LOOKUP(2^15,SEARCH(Settings!$I$14:$I$83,AE124)/(Settings!$I$14:$I$83&lt;&gt;""),Settings!$J$14:$J$83),"Other"))))</f>
        <v/>
      </c>
      <c r="BI124">
        <f>IF($B124="","",IF(AF124="","Not rostered",IFERROR(INDEX(Settings!$C$14:$C$33,MATCH(AF124,Settings!$B$14:$B$33,0)),IFERROR(LOOKUP(2^15,SEARCH(Settings!$I$14:$I$83,AF124)/(Settings!$I$14:$I$83&lt;&gt;""),Settings!$J$14:$J$83),"Other"))))</f>
        <v/>
      </c>
      <c r="BJ124">
        <f>IF($B124="","",IF(AG124="","Not rostered",IFERROR(INDEX(Settings!$C$14:$C$33,MATCH(AG124,Settings!$B$14:$B$33,0)),IFERROR(LOOKUP(2^15,SEARCH(Settings!$I$14:$I$83,AG124)/(Settings!$I$14:$I$83&lt;&gt;""),Settings!$J$14:$J$83),"Other"))))</f>
        <v/>
      </c>
      <c r="BL124">
        <f>IF(OR($B124="",F124=""),"",IFERROR(INDEX(Settings!$D$14:$D$33,MATCH(F124,Settings!$B$14:$B$33,0))&amp;"",IFERROR(LOOKUP(2^15,SEARCH(Settings!$F$14:$F$43,F124)/(Settings!$F$14:$F$43&lt;&gt;""),Settings!$G$14:$G$43),"")))</f>
        <v/>
      </c>
      <c r="BM124">
        <f>IF(OR($B124="",G124=""),"",IFERROR(INDEX(Settings!$D$14:$D$33,MATCH(G124,Settings!$B$14:$B$33,0))&amp;"",IFERROR(LOOKUP(2^15,SEARCH(Settings!$F$14:$F$43,G124)/(Settings!$F$14:$F$43&lt;&gt;""),Settings!$G$14:$G$43),"")))</f>
        <v/>
      </c>
      <c r="BN124">
        <f>IF(OR($B124="",H124=""),"",IFERROR(INDEX(Settings!$D$14:$D$33,MATCH(H124,Settings!$B$14:$B$33,0))&amp;"",IFERROR(LOOKUP(2^15,SEARCH(Settings!$F$14:$F$43,H124)/(Settings!$F$14:$F$43&lt;&gt;""),Settings!$G$14:$G$43),"")))</f>
        <v/>
      </c>
      <c r="BO124">
        <f>IF(OR($B124="",I124=""),"",IFERROR(INDEX(Settings!$D$14:$D$33,MATCH(I124,Settings!$B$14:$B$33,0))&amp;"",IFERROR(LOOKUP(2^15,SEARCH(Settings!$F$14:$F$43,I124)/(Settings!$F$14:$F$43&lt;&gt;""),Settings!$G$14:$G$43),"")))</f>
        <v/>
      </c>
      <c r="BP124">
        <f>IF(OR($B124="",J124=""),"",IFERROR(INDEX(Settings!$D$14:$D$33,MATCH(J124,Settings!$B$14:$B$33,0))&amp;"",IFERROR(LOOKUP(2^15,SEARCH(Settings!$F$14:$F$43,J124)/(Settings!$F$14:$F$43&lt;&gt;""),Settings!$G$14:$G$43),"")))</f>
        <v/>
      </c>
      <c r="BQ124">
        <f>IF(OR($B124="",K124=""),"",IFERROR(INDEX(Settings!$D$14:$D$33,MATCH(K124,Settings!$B$14:$B$33,0))&amp;"",IFERROR(LOOKUP(2^15,SEARCH(Settings!$F$14:$F$43,K124)/(Settings!$F$14:$F$43&lt;&gt;""),Settings!$G$14:$G$43),"")))</f>
        <v/>
      </c>
      <c r="BR124">
        <f>IF(OR($B124="",L124=""),"",IFERROR(INDEX(Settings!$D$14:$D$33,MATCH(L124,Settings!$B$14:$B$33,0))&amp;"",IFERROR(LOOKUP(2^15,SEARCH(Settings!$F$14:$F$43,L124)/(Settings!$F$14:$F$43&lt;&gt;""),Settings!$G$14:$G$43),"")))</f>
        <v/>
      </c>
      <c r="BS124">
        <f>IF(OR($B124="",M124=""),"",IFERROR(INDEX(Settings!$D$14:$D$33,MATCH(M124,Settings!$B$14:$B$33,0))&amp;"",IFERROR(LOOKUP(2^15,SEARCH(Settings!$F$14:$F$43,M124)/(Settings!$F$14:$F$43&lt;&gt;""),Settings!$G$14:$G$43),"")))</f>
        <v/>
      </c>
      <c r="BT124">
        <f>IF(OR($B124="",N124=""),"",IFERROR(INDEX(Settings!$D$14:$D$33,MATCH(N124,Settings!$B$14:$B$33,0))&amp;"",IFERROR(LOOKUP(2^15,SEARCH(Settings!$F$14:$F$43,N124)/(Settings!$F$14:$F$43&lt;&gt;""),Settings!$G$14:$G$43),"")))</f>
        <v/>
      </c>
      <c r="BU124">
        <f>IF(OR($B124="",O124=""),"",IFERROR(INDEX(Settings!$D$14:$D$33,MATCH(O124,Settings!$B$14:$B$33,0))&amp;"",IFERROR(LOOKUP(2^15,SEARCH(Settings!$F$14:$F$43,O124)/(Settings!$F$14:$F$43&lt;&gt;""),Settings!$G$14:$G$43),"")))</f>
        <v/>
      </c>
      <c r="BV124">
        <f>IF(OR($B124="",P124=""),"",IFERROR(INDEX(Settings!$D$14:$D$33,MATCH(P124,Settings!$B$14:$B$33,0))&amp;"",IFERROR(LOOKUP(2^15,SEARCH(Settings!$F$14:$F$43,P124)/(Settings!$F$14:$F$43&lt;&gt;""),Settings!$G$14:$G$43),"")))</f>
        <v/>
      </c>
      <c r="BW124">
        <f>IF(OR($B124="",Q124=""),"",IFERROR(INDEX(Settings!$D$14:$D$33,MATCH(Q124,Settings!$B$14:$B$33,0))&amp;"",IFERROR(LOOKUP(2^15,SEARCH(Settings!$F$14:$F$43,Q124)/(Settings!$F$14:$F$43&lt;&gt;""),Settings!$G$14:$G$43),"")))</f>
        <v/>
      </c>
      <c r="BX124">
        <f>IF(OR($B124="",R124=""),"",IFERROR(INDEX(Settings!$D$14:$D$33,MATCH(R124,Settings!$B$14:$B$33,0))&amp;"",IFERROR(LOOKUP(2^15,SEARCH(Settings!$F$14:$F$43,R124)/(Settings!$F$14:$F$43&lt;&gt;""),Settings!$G$14:$G$43),"")))</f>
        <v/>
      </c>
      <c r="BY124">
        <f>IF(OR($B124="",S124=""),"",IFERROR(INDEX(Settings!$D$14:$D$33,MATCH(S124,Settings!$B$14:$B$33,0))&amp;"",IFERROR(LOOKUP(2^15,SEARCH(Settings!$F$14:$F$43,S124)/(Settings!$F$14:$F$43&lt;&gt;""),Settings!$G$14:$G$43),"")))</f>
        <v/>
      </c>
      <c r="BZ124">
        <f>IF(OR($B124="",T124=""),"",IFERROR(INDEX(Settings!$D$14:$D$33,MATCH(T124,Settings!$B$14:$B$33,0))&amp;"",IFERROR(LOOKUP(2^15,SEARCH(Settings!$F$14:$F$43,T124)/(Settings!$F$14:$F$43&lt;&gt;""),Settings!$G$14:$G$43),"")))</f>
        <v/>
      </c>
      <c r="CA124">
        <f>IF(OR($B124="",U124=""),"",IFERROR(INDEX(Settings!$D$14:$D$33,MATCH(U124,Settings!$B$14:$B$33,0))&amp;"",IFERROR(LOOKUP(2^15,SEARCH(Settings!$F$14:$F$43,U124)/(Settings!$F$14:$F$43&lt;&gt;""),Settings!$G$14:$G$43),"")))</f>
        <v/>
      </c>
      <c r="CB124">
        <f>IF(OR($B124="",V124=""),"",IFERROR(INDEX(Settings!$D$14:$D$33,MATCH(V124,Settings!$B$14:$B$33,0))&amp;"",IFERROR(LOOKUP(2^15,SEARCH(Settings!$F$14:$F$43,V124)/(Settings!$F$14:$F$43&lt;&gt;""),Settings!$G$14:$G$43),"")))</f>
        <v/>
      </c>
      <c r="CC124">
        <f>IF(OR($B124="",W124=""),"",IFERROR(INDEX(Settings!$D$14:$D$33,MATCH(W124,Settings!$B$14:$B$33,0))&amp;"",IFERROR(LOOKUP(2^15,SEARCH(Settings!$F$14:$F$43,W124)/(Settings!$F$14:$F$43&lt;&gt;""),Settings!$G$14:$G$43),"")))</f>
        <v/>
      </c>
      <c r="CD124">
        <f>IF(OR($B124="",X124=""),"",IFERROR(INDEX(Settings!$D$14:$D$33,MATCH(X124,Settings!$B$14:$B$33,0))&amp;"",IFERROR(LOOKUP(2^15,SEARCH(Settings!$F$14:$F$43,X124)/(Settings!$F$14:$F$43&lt;&gt;""),Settings!$G$14:$G$43),"")))</f>
        <v/>
      </c>
      <c r="CE124">
        <f>IF(OR($B124="",Y124=""),"",IFERROR(INDEX(Settings!$D$14:$D$33,MATCH(Y124,Settings!$B$14:$B$33,0))&amp;"",IFERROR(LOOKUP(2^15,SEARCH(Settings!$F$14:$F$43,Y124)/(Settings!$F$14:$F$43&lt;&gt;""),Settings!$G$14:$G$43),"")))</f>
        <v/>
      </c>
      <c r="CF124">
        <f>IF(OR($B124="",Z124=""),"",IFERROR(INDEX(Settings!$D$14:$D$33,MATCH(Z124,Settings!$B$14:$B$33,0))&amp;"",IFERROR(LOOKUP(2^15,SEARCH(Settings!$F$14:$F$43,Z124)/(Settings!$F$14:$F$43&lt;&gt;""),Settings!$G$14:$G$43),"")))</f>
        <v/>
      </c>
      <c r="CG124">
        <f>IF(OR($B124="",AA124=""),"",IFERROR(INDEX(Settings!$D$14:$D$33,MATCH(AA124,Settings!$B$14:$B$33,0))&amp;"",IFERROR(LOOKUP(2^15,SEARCH(Settings!$F$14:$F$43,AA124)/(Settings!$F$14:$F$43&lt;&gt;""),Settings!$G$14:$G$43),"")))</f>
        <v/>
      </c>
      <c r="CH124">
        <f>IF(OR($B124="",AB124=""),"",IFERROR(INDEX(Settings!$D$14:$D$33,MATCH(AB124,Settings!$B$14:$B$33,0))&amp;"",IFERROR(LOOKUP(2^15,SEARCH(Settings!$F$14:$F$43,AB124)/(Settings!$F$14:$F$43&lt;&gt;""),Settings!$G$14:$G$43),"")))</f>
        <v/>
      </c>
      <c r="CI124">
        <f>IF(OR($B124="",AC124=""),"",IFERROR(INDEX(Settings!$D$14:$D$33,MATCH(AC124,Settings!$B$14:$B$33,0))&amp;"",IFERROR(LOOKUP(2^15,SEARCH(Settings!$F$14:$F$43,AC124)/(Settings!$F$14:$F$43&lt;&gt;""),Settings!$G$14:$G$43),"")))</f>
        <v/>
      </c>
      <c r="CJ124">
        <f>IF(OR($B124="",AD124=""),"",IFERROR(INDEX(Settings!$D$14:$D$33,MATCH(AD124,Settings!$B$14:$B$33,0))&amp;"",IFERROR(LOOKUP(2^15,SEARCH(Settings!$F$14:$F$43,AD124)/(Settings!$F$14:$F$43&lt;&gt;""),Settings!$G$14:$G$43),"")))</f>
        <v/>
      </c>
      <c r="CK124">
        <f>IF(OR($B124="",AE124=""),"",IFERROR(INDEX(Settings!$D$14:$D$33,MATCH(AE124,Settings!$B$14:$B$33,0))&amp;"",IFERROR(LOOKUP(2^15,SEARCH(Settings!$F$14:$F$43,AE124)/(Settings!$F$14:$F$43&lt;&gt;""),Settings!$G$14:$G$43),"")))</f>
        <v/>
      </c>
      <c r="CL124">
        <f>IF(OR($B124="",AF124=""),"",IFERROR(INDEX(Settings!$D$14:$D$33,MATCH(AF124,Settings!$B$14:$B$33,0))&amp;"",IFERROR(LOOKUP(2^15,SEARCH(Settings!$F$14:$F$43,AF124)/(Settings!$F$14:$F$43&lt;&gt;""),Settings!$G$14:$G$43),"")))</f>
        <v/>
      </c>
      <c r="CM124">
        <f>IF(OR($B124="",AG124=""),"",IFERROR(INDEX(Settings!$D$14:$D$33,MATCH(AG124,Settings!$B$14:$B$33,0))&amp;"",IFERROR(LOOKUP(2^15,SEARCH(Settings!$F$14:$F$43,AG124)/(Settings!$F$14:$F$43&lt;&gt;""),Settings!$G$14:$G$43),"")))</f>
        <v/>
      </c>
    </row>
    <row r="125">
      <c r="A125" t="n">
        <v>123</v>
      </c>
      <c r="B125">
        <f>IFERROR(INDEX(Index!$A$2:$A$202,MATCH(A125,Index!$E$2:$E$202,0)),"")</f>
        <v/>
      </c>
      <c r="D125">
        <f>IF($B125="","",IFERROR(MATCH("Travel*",AI125:BJ125,0),""))</f>
        <v/>
      </c>
      <c r="F125">
        <f>IF(OR($B125="",NOT(ISNUMBER(Settings!$C$9))),"",TRIM(SUBSTITUTE(SUBSTITUTE(INDEX('INPUT - Roster'!$S$1:$SV$206,$B125,Settings!$C$9+0)&amp;"",CHAR(10)," "),CHAR(160)," ")))</f>
        <v/>
      </c>
      <c r="G125">
        <f>IF(OR($B125="",NOT(ISNUMBER(Settings!$C$9))),"",TRIM(SUBSTITUTE(SUBSTITUTE(INDEX('INPUT - Roster'!$S$1:$SV$206,$B125,Settings!$C$9+1)&amp;"",CHAR(10)," "),CHAR(160)," ")))</f>
        <v/>
      </c>
      <c r="H125">
        <f>IF(OR($B125="",NOT(ISNUMBER(Settings!$C$9))),"",TRIM(SUBSTITUTE(SUBSTITUTE(INDEX('INPUT - Roster'!$S$1:$SV$206,$B125,Settings!$C$9+2)&amp;"",CHAR(10)," "),CHAR(160)," ")))</f>
        <v/>
      </c>
      <c r="I125">
        <f>IF(OR($B125="",NOT(ISNUMBER(Settings!$C$9))),"",TRIM(SUBSTITUTE(SUBSTITUTE(INDEX('INPUT - Roster'!$S$1:$SV$206,$B125,Settings!$C$9+3)&amp;"",CHAR(10)," "),CHAR(160)," ")))</f>
        <v/>
      </c>
      <c r="J125">
        <f>IF(OR($B125="",NOT(ISNUMBER(Settings!$C$9))),"",TRIM(SUBSTITUTE(SUBSTITUTE(INDEX('INPUT - Roster'!$S$1:$SV$206,$B125,Settings!$C$9+4)&amp;"",CHAR(10)," "),CHAR(160)," ")))</f>
        <v/>
      </c>
      <c r="K125">
        <f>IF(OR($B125="",NOT(ISNUMBER(Settings!$C$9))),"",TRIM(SUBSTITUTE(SUBSTITUTE(INDEX('INPUT - Roster'!$S$1:$SV$206,$B125,Settings!$C$9+5)&amp;"",CHAR(10)," "),CHAR(160)," ")))</f>
        <v/>
      </c>
      <c r="L125">
        <f>IF(OR($B125="",NOT(ISNUMBER(Settings!$C$9))),"",TRIM(SUBSTITUTE(SUBSTITUTE(INDEX('INPUT - Roster'!$S$1:$SV$206,$B125,Settings!$C$9+6)&amp;"",CHAR(10)," "),CHAR(160)," ")))</f>
        <v/>
      </c>
      <c r="M125">
        <f>IF(OR($B125="",NOT(ISNUMBER(Settings!$C$9))),"",TRIM(SUBSTITUTE(SUBSTITUTE(INDEX('INPUT - Roster'!$S$1:$SV$206,$B125,Settings!$C$9+7)&amp;"",CHAR(10)," "),CHAR(160)," ")))</f>
        <v/>
      </c>
      <c r="N125">
        <f>IF(OR($B125="",NOT(ISNUMBER(Settings!$C$9))),"",TRIM(SUBSTITUTE(SUBSTITUTE(INDEX('INPUT - Roster'!$S$1:$SV$206,$B125,Settings!$C$9+8)&amp;"",CHAR(10)," "),CHAR(160)," ")))</f>
        <v/>
      </c>
      <c r="O125">
        <f>IF(OR($B125="",NOT(ISNUMBER(Settings!$C$9))),"",TRIM(SUBSTITUTE(SUBSTITUTE(INDEX('INPUT - Roster'!$S$1:$SV$206,$B125,Settings!$C$9+9)&amp;"",CHAR(10)," "),CHAR(160)," ")))</f>
        <v/>
      </c>
      <c r="P125">
        <f>IF(OR($B125="",NOT(ISNUMBER(Settings!$C$9))),"",TRIM(SUBSTITUTE(SUBSTITUTE(INDEX('INPUT - Roster'!$S$1:$SV$206,$B125,Settings!$C$9+10)&amp;"",CHAR(10)," "),CHAR(160)," ")))</f>
        <v/>
      </c>
      <c r="Q125">
        <f>IF(OR($B125="",NOT(ISNUMBER(Settings!$C$9))),"",TRIM(SUBSTITUTE(SUBSTITUTE(INDEX('INPUT - Roster'!$S$1:$SV$206,$B125,Settings!$C$9+11)&amp;"",CHAR(10)," "),CHAR(160)," ")))</f>
        <v/>
      </c>
      <c r="R125">
        <f>IF(OR($B125="",NOT(ISNUMBER(Settings!$C$9))),"",TRIM(SUBSTITUTE(SUBSTITUTE(INDEX('INPUT - Roster'!$S$1:$SV$206,$B125,Settings!$C$9+12)&amp;"",CHAR(10)," "),CHAR(160)," ")))</f>
        <v/>
      </c>
      <c r="S125">
        <f>IF(OR($B125="",NOT(ISNUMBER(Settings!$C$9))),"",TRIM(SUBSTITUTE(SUBSTITUTE(INDEX('INPUT - Roster'!$S$1:$SV$206,$B125,Settings!$C$9+13)&amp;"",CHAR(10)," "),CHAR(160)," ")))</f>
        <v/>
      </c>
      <c r="T125">
        <f>IF(OR($B125="",NOT(ISNUMBER(Settings!$C$9))),"",TRIM(SUBSTITUTE(SUBSTITUTE(INDEX('INPUT - Roster'!$S$1:$SV$206,$B125,Settings!$C$9+14)&amp;"",CHAR(10)," "),CHAR(160)," ")))</f>
        <v/>
      </c>
      <c r="U125">
        <f>IF(OR($B125="",NOT(ISNUMBER(Settings!$C$9))),"",TRIM(SUBSTITUTE(SUBSTITUTE(INDEX('INPUT - Roster'!$S$1:$SV$206,$B125,Settings!$C$9+15)&amp;"",CHAR(10)," "),CHAR(160)," ")))</f>
        <v/>
      </c>
      <c r="V125">
        <f>IF(OR($B125="",NOT(ISNUMBER(Settings!$C$9))),"",TRIM(SUBSTITUTE(SUBSTITUTE(INDEX('INPUT - Roster'!$S$1:$SV$206,$B125,Settings!$C$9+16)&amp;"",CHAR(10)," "),CHAR(160)," ")))</f>
        <v/>
      </c>
      <c r="W125">
        <f>IF(OR($B125="",NOT(ISNUMBER(Settings!$C$9))),"",TRIM(SUBSTITUTE(SUBSTITUTE(INDEX('INPUT - Roster'!$S$1:$SV$206,$B125,Settings!$C$9+17)&amp;"",CHAR(10)," "),CHAR(160)," ")))</f>
        <v/>
      </c>
      <c r="X125">
        <f>IF(OR($B125="",NOT(ISNUMBER(Settings!$C$9))),"",TRIM(SUBSTITUTE(SUBSTITUTE(INDEX('INPUT - Roster'!$S$1:$SV$206,$B125,Settings!$C$9+18)&amp;"",CHAR(10)," "),CHAR(160)," ")))</f>
        <v/>
      </c>
      <c r="Y125">
        <f>IF(OR($B125="",NOT(ISNUMBER(Settings!$C$9))),"",TRIM(SUBSTITUTE(SUBSTITUTE(INDEX('INPUT - Roster'!$S$1:$SV$206,$B125,Settings!$C$9+19)&amp;"",CHAR(10)," "),CHAR(160)," ")))</f>
        <v/>
      </c>
      <c r="Z125">
        <f>IF(OR($B125="",NOT(ISNUMBER(Settings!$C$9))),"",TRIM(SUBSTITUTE(SUBSTITUTE(INDEX('INPUT - Roster'!$S$1:$SV$206,$B125,Settings!$C$9+20)&amp;"",CHAR(10)," "),CHAR(160)," ")))</f>
        <v/>
      </c>
      <c r="AA125">
        <f>IF(OR($B125="",NOT(ISNUMBER(Settings!$C$9))),"",TRIM(SUBSTITUTE(SUBSTITUTE(INDEX('INPUT - Roster'!$S$1:$SV$206,$B125,Settings!$C$9+21)&amp;"",CHAR(10)," "),CHAR(160)," ")))</f>
        <v/>
      </c>
      <c r="AB125">
        <f>IF(OR($B125="",NOT(ISNUMBER(Settings!$C$9))),"",TRIM(SUBSTITUTE(SUBSTITUTE(INDEX('INPUT - Roster'!$S$1:$SV$206,$B125,Settings!$C$9+22)&amp;"",CHAR(10)," "),CHAR(160)," ")))</f>
        <v/>
      </c>
      <c r="AC125">
        <f>IF(OR($B125="",NOT(ISNUMBER(Settings!$C$9))),"",TRIM(SUBSTITUTE(SUBSTITUTE(INDEX('INPUT - Roster'!$S$1:$SV$206,$B125,Settings!$C$9+23)&amp;"",CHAR(10)," "),CHAR(160)," ")))</f>
        <v/>
      </c>
      <c r="AD125">
        <f>IF(OR($B125="",NOT(ISNUMBER(Settings!$C$9))),"",TRIM(SUBSTITUTE(SUBSTITUTE(INDEX('INPUT - Roster'!$S$1:$SV$206,$B125,Settings!$C$9+24)&amp;"",CHAR(10)," "),CHAR(160)," ")))</f>
        <v/>
      </c>
      <c r="AE125">
        <f>IF(OR($B125="",NOT(ISNUMBER(Settings!$C$9))),"",TRIM(SUBSTITUTE(SUBSTITUTE(INDEX('INPUT - Roster'!$S$1:$SV$206,$B125,Settings!$C$9+25)&amp;"",CHAR(10)," "),CHAR(160)," ")))</f>
        <v/>
      </c>
      <c r="AF125">
        <f>IF(OR($B125="",NOT(ISNUMBER(Settings!$C$9))),"",TRIM(SUBSTITUTE(SUBSTITUTE(INDEX('INPUT - Roster'!$S$1:$SV$206,$B125,Settings!$C$9+26)&amp;"",CHAR(10)," "),CHAR(160)," ")))</f>
        <v/>
      </c>
      <c r="AG125">
        <f>IF(OR($B125="",NOT(ISNUMBER(Settings!$C$9))),"",TRIM(SUBSTITUTE(SUBSTITUTE(INDEX('INPUT - Roster'!$S$1:$SV$206,$B125,Settings!$C$9+27)&amp;"",CHAR(10)," "),CHAR(160)," ")))</f>
        <v/>
      </c>
      <c r="AI125">
        <f>IF($B125="","",IF(F125="","Not rostered",IFERROR(INDEX(Settings!$C$14:$C$33,MATCH(F125,Settings!$B$14:$B$33,0)),IFERROR(LOOKUP(2^15,SEARCH(Settings!$I$14:$I$83,F125)/(Settings!$I$14:$I$83&lt;&gt;""),Settings!$J$14:$J$83),"Other"))))</f>
        <v/>
      </c>
      <c r="AJ125">
        <f>IF($B125="","",IF(G125="","Not rostered",IFERROR(INDEX(Settings!$C$14:$C$33,MATCH(G125,Settings!$B$14:$B$33,0)),IFERROR(LOOKUP(2^15,SEARCH(Settings!$I$14:$I$83,G125)/(Settings!$I$14:$I$83&lt;&gt;""),Settings!$J$14:$J$83),"Other"))))</f>
        <v/>
      </c>
      <c r="AK125">
        <f>IF($B125="","",IF(H125="","Not rostered",IFERROR(INDEX(Settings!$C$14:$C$33,MATCH(H125,Settings!$B$14:$B$33,0)),IFERROR(LOOKUP(2^15,SEARCH(Settings!$I$14:$I$83,H125)/(Settings!$I$14:$I$83&lt;&gt;""),Settings!$J$14:$J$83),"Other"))))</f>
        <v/>
      </c>
      <c r="AL125">
        <f>IF($B125="","",IF(I125="","Not rostered",IFERROR(INDEX(Settings!$C$14:$C$33,MATCH(I125,Settings!$B$14:$B$33,0)),IFERROR(LOOKUP(2^15,SEARCH(Settings!$I$14:$I$83,I125)/(Settings!$I$14:$I$83&lt;&gt;""),Settings!$J$14:$J$83),"Other"))))</f>
        <v/>
      </c>
      <c r="AM125">
        <f>IF($B125="","",IF(J125="","Not rostered",IFERROR(INDEX(Settings!$C$14:$C$33,MATCH(J125,Settings!$B$14:$B$33,0)),IFERROR(LOOKUP(2^15,SEARCH(Settings!$I$14:$I$83,J125)/(Settings!$I$14:$I$83&lt;&gt;""),Settings!$J$14:$J$83),"Other"))))</f>
        <v/>
      </c>
      <c r="AN125">
        <f>IF($B125="","",IF(K125="","Not rostered",IFERROR(INDEX(Settings!$C$14:$C$33,MATCH(K125,Settings!$B$14:$B$33,0)),IFERROR(LOOKUP(2^15,SEARCH(Settings!$I$14:$I$83,K125)/(Settings!$I$14:$I$83&lt;&gt;""),Settings!$J$14:$J$83),"Other"))))</f>
        <v/>
      </c>
      <c r="AO125">
        <f>IF($B125="","",IF(L125="","Not rostered",IFERROR(INDEX(Settings!$C$14:$C$33,MATCH(L125,Settings!$B$14:$B$33,0)),IFERROR(LOOKUP(2^15,SEARCH(Settings!$I$14:$I$83,L125)/(Settings!$I$14:$I$83&lt;&gt;""),Settings!$J$14:$J$83),"Other"))))</f>
        <v/>
      </c>
      <c r="AP125">
        <f>IF($B125="","",IF(M125="","Not rostered",IFERROR(INDEX(Settings!$C$14:$C$33,MATCH(M125,Settings!$B$14:$B$33,0)),IFERROR(LOOKUP(2^15,SEARCH(Settings!$I$14:$I$83,M125)/(Settings!$I$14:$I$83&lt;&gt;""),Settings!$J$14:$J$83),"Other"))))</f>
        <v/>
      </c>
      <c r="AQ125">
        <f>IF($B125="","",IF(N125="","Not rostered",IFERROR(INDEX(Settings!$C$14:$C$33,MATCH(N125,Settings!$B$14:$B$33,0)),IFERROR(LOOKUP(2^15,SEARCH(Settings!$I$14:$I$83,N125)/(Settings!$I$14:$I$83&lt;&gt;""),Settings!$J$14:$J$83),"Other"))))</f>
        <v/>
      </c>
      <c r="AR125">
        <f>IF($B125="","",IF(O125="","Not rostered",IFERROR(INDEX(Settings!$C$14:$C$33,MATCH(O125,Settings!$B$14:$B$33,0)),IFERROR(LOOKUP(2^15,SEARCH(Settings!$I$14:$I$83,O125)/(Settings!$I$14:$I$83&lt;&gt;""),Settings!$J$14:$J$83),"Other"))))</f>
        <v/>
      </c>
      <c r="AS125">
        <f>IF($B125="","",IF(P125="","Not rostered",IFERROR(INDEX(Settings!$C$14:$C$33,MATCH(P125,Settings!$B$14:$B$33,0)),IFERROR(LOOKUP(2^15,SEARCH(Settings!$I$14:$I$83,P125)/(Settings!$I$14:$I$83&lt;&gt;""),Settings!$J$14:$J$83),"Other"))))</f>
        <v/>
      </c>
      <c r="AT125">
        <f>IF($B125="","",IF(Q125="","Not rostered",IFERROR(INDEX(Settings!$C$14:$C$33,MATCH(Q125,Settings!$B$14:$B$33,0)),IFERROR(LOOKUP(2^15,SEARCH(Settings!$I$14:$I$83,Q125)/(Settings!$I$14:$I$83&lt;&gt;""),Settings!$J$14:$J$83),"Other"))))</f>
        <v/>
      </c>
      <c r="AU125">
        <f>IF($B125="","",IF(R125="","Not rostered",IFERROR(INDEX(Settings!$C$14:$C$33,MATCH(R125,Settings!$B$14:$B$33,0)),IFERROR(LOOKUP(2^15,SEARCH(Settings!$I$14:$I$83,R125)/(Settings!$I$14:$I$83&lt;&gt;""),Settings!$J$14:$J$83),"Other"))))</f>
        <v/>
      </c>
      <c r="AV125">
        <f>IF($B125="","",IF(S125="","Not rostered",IFERROR(INDEX(Settings!$C$14:$C$33,MATCH(S125,Settings!$B$14:$B$33,0)),IFERROR(LOOKUP(2^15,SEARCH(Settings!$I$14:$I$83,S125)/(Settings!$I$14:$I$83&lt;&gt;""),Settings!$J$14:$J$83),"Other"))))</f>
        <v/>
      </c>
      <c r="AW125">
        <f>IF($B125="","",IF(T125="","Not rostered",IFERROR(INDEX(Settings!$C$14:$C$33,MATCH(T125,Settings!$B$14:$B$33,0)),IFERROR(LOOKUP(2^15,SEARCH(Settings!$I$14:$I$83,T125)/(Settings!$I$14:$I$83&lt;&gt;""),Settings!$J$14:$J$83),"Other"))))</f>
        <v/>
      </c>
      <c r="AX125">
        <f>IF($B125="","",IF(U125="","Not rostered",IFERROR(INDEX(Settings!$C$14:$C$33,MATCH(U125,Settings!$B$14:$B$33,0)),IFERROR(LOOKUP(2^15,SEARCH(Settings!$I$14:$I$83,U125)/(Settings!$I$14:$I$83&lt;&gt;""),Settings!$J$14:$J$83),"Other"))))</f>
        <v/>
      </c>
      <c r="AY125">
        <f>IF($B125="","",IF(V125="","Not rostered",IFERROR(INDEX(Settings!$C$14:$C$33,MATCH(V125,Settings!$B$14:$B$33,0)),IFERROR(LOOKUP(2^15,SEARCH(Settings!$I$14:$I$83,V125)/(Settings!$I$14:$I$83&lt;&gt;""),Settings!$J$14:$J$83),"Other"))))</f>
        <v/>
      </c>
      <c r="AZ125">
        <f>IF($B125="","",IF(W125="","Not rostered",IFERROR(INDEX(Settings!$C$14:$C$33,MATCH(W125,Settings!$B$14:$B$33,0)),IFERROR(LOOKUP(2^15,SEARCH(Settings!$I$14:$I$83,W125)/(Settings!$I$14:$I$83&lt;&gt;""),Settings!$J$14:$J$83),"Other"))))</f>
        <v/>
      </c>
      <c r="BA125">
        <f>IF($B125="","",IF(X125="","Not rostered",IFERROR(INDEX(Settings!$C$14:$C$33,MATCH(X125,Settings!$B$14:$B$33,0)),IFERROR(LOOKUP(2^15,SEARCH(Settings!$I$14:$I$83,X125)/(Settings!$I$14:$I$83&lt;&gt;""),Settings!$J$14:$J$83),"Other"))))</f>
        <v/>
      </c>
      <c r="BB125">
        <f>IF($B125="","",IF(Y125="","Not rostered",IFERROR(INDEX(Settings!$C$14:$C$33,MATCH(Y125,Settings!$B$14:$B$33,0)),IFERROR(LOOKUP(2^15,SEARCH(Settings!$I$14:$I$83,Y125)/(Settings!$I$14:$I$83&lt;&gt;""),Settings!$J$14:$J$83),"Other"))))</f>
        <v/>
      </c>
      <c r="BC125">
        <f>IF($B125="","",IF(Z125="","Not rostered",IFERROR(INDEX(Settings!$C$14:$C$33,MATCH(Z125,Settings!$B$14:$B$33,0)),IFERROR(LOOKUP(2^15,SEARCH(Settings!$I$14:$I$83,Z125)/(Settings!$I$14:$I$83&lt;&gt;""),Settings!$J$14:$J$83),"Other"))))</f>
        <v/>
      </c>
      <c r="BD125">
        <f>IF($B125="","",IF(AA125="","Not rostered",IFERROR(INDEX(Settings!$C$14:$C$33,MATCH(AA125,Settings!$B$14:$B$33,0)),IFERROR(LOOKUP(2^15,SEARCH(Settings!$I$14:$I$83,AA125)/(Settings!$I$14:$I$83&lt;&gt;""),Settings!$J$14:$J$83),"Other"))))</f>
        <v/>
      </c>
      <c r="BE125">
        <f>IF($B125="","",IF(AB125="","Not rostered",IFERROR(INDEX(Settings!$C$14:$C$33,MATCH(AB125,Settings!$B$14:$B$33,0)),IFERROR(LOOKUP(2^15,SEARCH(Settings!$I$14:$I$83,AB125)/(Settings!$I$14:$I$83&lt;&gt;""),Settings!$J$14:$J$83),"Other"))))</f>
        <v/>
      </c>
      <c r="BF125">
        <f>IF($B125="","",IF(AC125="","Not rostered",IFERROR(INDEX(Settings!$C$14:$C$33,MATCH(AC125,Settings!$B$14:$B$33,0)),IFERROR(LOOKUP(2^15,SEARCH(Settings!$I$14:$I$83,AC125)/(Settings!$I$14:$I$83&lt;&gt;""),Settings!$J$14:$J$83),"Other"))))</f>
        <v/>
      </c>
      <c r="BG125">
        <f>IF($B125="","",IF(AD125="","Not rostered",IFERROR(INDEX(Settings!$C$14:$C$33,MATCH(AD125,Settings!$B$14:$B$33,0)),IFERROR(LOOKUP(2^15,SEARCH(Settings!$I$14:$I$83,AD125)/(Settings!$I$14:$I$83&lt;&gt;""),Settings!$J$14:$J$83),"Other"))))</f>
        <v/>
      </c>
      <c r="BH125">
        <f>IF($B125="","",IF(AE125="","Not rostered",IFERROR(INDEX(Settings!$C$14:$C$33,MATCH(AE125,Settings!$B$14:$B$33,0)),IFERROR(LOOKUP(2^15,SEARCH(Settings!$I$14:$I$83,AE125)/(Settings!$I$14:$I$83&lt;&gt;""),Settings!$J$14:$J$83),"Other"))))</f>
        <v/>
      </c>
      <c r="BI125">
        <f>IF($B125="","",IF(AF125="","Not rostered",IFERROR(INDEX(Settings!$C$14:$C$33,MATCH(AF125,Settings!$B$14:$B$33,0)),IFERROR(LOOKUP(2^15,SEARCH(Settings!$I$14:$I$83,AF125)/(Settings!$I$14:$I$83&lt;&gt;""),Settings!$J$14:$J$83),"Other"))))</f>
        <v/>
      </c>
      <c r="BJ125">
        <f>IF($B125="","",IF(AG125="","Not rostered",IFERROR(INDEX(Settings!$C$14:$C$33,MATCH(AG125,Settings!$B$14:$B$33,0)),IFERROR(LOOKUP(2^15,SEARCH(Settings!$I$14:$I$83,AG125)/(Settings!$I$14:$I$83&lt;&gt;""),Settings!$J$14:$J$83),"Other"))))</f>
        <v/>
      </c>
      <c r="BL125">
        <f>IF(OR($B125="",F125=""),"",IFERROR(INDEX(Settings!$D$14:$D$33,MATCH(F125,Settings!$B$14:$B$33,0))&amp;"",IFERROR(LOOKUP(2^15,SEARCH(Settings!$F$14:$F$43,F125)/(Settings!$F$14:$F$43&lt;&gt;""),Settings!$G$14:$G$43),"")))</f>
        <v/>
      </c>
      <c r="BM125">
        <f>IF(OR($B125="",G125=""),"",IFERROR(INDEX(Settings!$D$14:$D$33,MATCH(G125,Settings!$B$14:$B$33,0))&amp;"",IFERROR(LOOKUP(2^15,SEARCH(Settings!$F$14:$F$43,G125)/(Settings!$F$14:$F$43&lt;&gt;""),Settings!$G$14:$G$43),"")))</f>
        <v/>
      </c>
      <c r="BN125">
        <f>IF(OR($B125="",H125=""),"",IFERROR(INDEX(Settings!$D$14:$D$33,MATCH(H125,Settings!$B$14:$B$33,0))&amp;"",IFERROR(LOOKUP(2^15,SEARCH(Settings!$F$14:$F$43,H125)/(Settings!$F$14:$F$43&lt;&gt;""),Settings!$G$14:$G$43),"")))</f>
        <v/>
      </c>
      <c r="BO125">
        <f>IF(OR($B125="",I125=""),"",IFERROR(INDEX(Settings!$D$14:$D$33,MATCH(I125,Settings!$B$14:$B$33,0))&amp;"",IFERROR(LOOKUP(2^15,SEARCH(Settings!$F$14:$F$43,I125)/(Settings!$F$14:$F$43&lt;&gt;""),Settings!$G$14:$G$43),"")))</f>
        <v/>
      </c>
      <c r="BP125">
        <f>IF(OR($B125="",J125=""),"",IFERROR(INDEX(Settings!$D$14:$D$33,MATCH(J125,Settings!$B$14:$B$33,0))&amp;"",IFERROR(LOOKUP(2^15,SEARCH(Settings!$F$14:$F$43,J125)/(Settings!$F$14:$F$43&lt;&gt;""),Settings!$G$14:$G$43),"")))</f>
        <v/>
      </c>
      <c r="BQ125">
        <f>IF(OR($B125="",K125=""),"",IFERROR(INDEX(Settings!$D$14:$D$33,MATCH(K125,Settings!$B$14:$B$33,0))&amp;"",IFERROR(LOOKUP(2^15,SEARCH(Settings!$F$14:$F$43,K125)/(Settings!$F$14:$F$43&lt;&gt;""),Settings!$G$14:$G$43),"")))</f>
        <v/>
      </c>
      <c r="BR125">
        <f>IF(OR($B125="",L125=""),"",IFERROR(INDEX(Settings!$D$14:$D$33,MATCH(L125,Settings!$B$14:$B$33,0))&amp;"",IFERROR(LOOKUP(2^15,SEARCH(Settings!$F$14:$F$43,L125)/(Settings!$F$14:$F$43&lt;&gt;""),Settings!$G$14:$G$43),"")))</f>
        <v/>
      </c>
      <c r="BS125">
        <f>IF(OR($B125="",M125=""),"",IFERROR(INDEX(Settings!$D$14:$D$33,MATCH(M125,Settings!$B$14:$B$33,0))&amp;"",IFERROR(LOOKUP(2^15,SEARCH(Settings!$F$14:$F$43,M125)/(Settings!$F$14:$F$43&lt;&gt;""),Settings!$G$14:$G$43),"")))</f>
        <v/>
      </c>
      <c r="BT125">
        <f>IF(OR($B125="",N125=""),"",IFERROR(INDEX(Settings!$D$14:$D$33,MATCH(N125,Settings!$B$14:$B$33,0))&amp;"",IFERROR(LOOKUP(2^15,SEARCH(Settings!$F$14:$F$43,N125)/(Settings!$F$14:$F$43&lt;&gt;""),Settings!$G$14:$G$43),"")))</f>
        <v/>
      </c>
      <c r="BU125">
        <f>IF(OR($B125="",O125=""),"",IFERROR(INDEX(Settings!$D$14:$D$33,MATCH(O125,Settings!$B$14:$B$33,0))&amp;"",IFERROR(LOOKUP(2^15,SEARCH(Settings!$F$14:$F$43,O125)/(Settings!$F$14:$F$43&lt;&gt;""),Settings!$G$14:$G$43),"")))</f>
        <v/>
      </c>
      <c r="BV125">
        <f>IF(OR($B125="",P125=""),"",IFERROR(INDEX(Settings!$D$14:$D$33,MATCH(P125,Settings!$B$14:$B$33,0))&amp;"",IFERROR(LOOKUP(2^15,SEARCH(Settings!$F$14:$F$43,P125)/(Settings!$F$14:$F$43&lt;&gt;""),Settings!$G$14:$G$43),"")))</f>
        <v/>
      </c>
      <c r="BW125">
        <f>IF(OR($B125="",Q125=""),"",IFERROR(INDEX(Settings!$D$14:$D$33,MATCH(Q125,Settings!$B$14:$B$33,0))&amp;"",IFERROR(LOOKUP(2^15,SEARCH(Settings!$F$14:$F$43,Q125)/(Settings!$F$14:$F$43&lt;&gt;""),Settings!$G$14:$G$43),"")))</f>
        <v/>
      </c>
      <c r="BX125">
        <f>IF(OR($B125="",R125=""),"",IFERROR(INDEX(Settings!$D$14:$D$33,MATCH(R125,Settings!$B$14:$B$33,0))&amp;"",IFERROR(LOOKUP(2^15,SEARCH(Settings!$F$14:$F$43,R125)/(Settings!$F$14:$F$43&lt;&gt;""),Settings!$G$14:$G$43),"")))</f>
        <v/>
      </c>
      <c r="BY125">
        <f>IF(OR($B125="",S125=""),"",IFERROR(INDEX(Settings!$D$14:$D$33,MATCH(S125,Settings!$B$14:$B$33,0))&amp;"",IFERROR(LOOKUP(2^15,SEARCH(Settings!$F$14:$F$43,S125)/(Settings!$F$14:$F$43&lt;&gt;""),Settings!$G$14:$G$43),"")))</f>
        <v/>
      </c>
      <c r="BZ125">
        <f>IF(OR($B125="",T125=""),"",IFERROR(INDEX(Settings!$D$14:$D$33,MATCH(T125,Settings!$B$14:$B$33,0))&amp;"",IFERROR(LOOKUP(2^15,SEARCH(Settings!$F$14:$F$43,T125)/(Settings!$F$14:$F$43&lt;&gt;""),Settings!$G$14:$G$43),"")))</f>
        <v/>
      </c>
      <c r="CA125">
        <f>IF(OR($B125="",U125=""),"",IFERROR(INDEX(Settings!$D$14:$D$33,MATCH(U125,Settings!$B$14:$B$33,0))&amp;"",IFERROR(LOOKUP(2^15,SEARCH(Settings!$F$14:$F$43,U125)/(Settings!$F$14:$F$43&lt;&gt;""),Settings!$G$14:$G$43),"")))</f>
        <v/>
      </c>
      <c r="CB125">
        <f>IF(OR($B125="",V125=""),"",IFERROR(INDEX(Settings!$D$14:$D$33,MATCH(V125,Settings!$B$14:$B$33,0))&amp;"",IFERROR(LOOKUP(2^15,SEARCH(Settings!$F$14:$F$43,V125)/(Settings!$F$14:$F$43&lt;&gt;""),Settings!$G$14:$G$43),"")))</f>
        <v/>
      </c>
      <c r="CC125">
        <f>IF(OR($B125="",W125=""),"",IFERROR(INDEX(Settings!$D$14:$D$33,MATCH(W125,Settings!$B$14:$B$33,0))&amp;"",IFERROR(LOOKUP(2^15,SEARCH(Settings!$F$14:$F$43,W125)/(Settings!$F$14:$F$43&lt;&gt;""),Settings!$G$14:$G$43),"")))</f>
        <v/>
      </c>
      <c r="CD125">
        <f>IF(OR($B125="",X125=""),"",IFERROR(INDEX(Settings!$D$14:$D$33,MATCH(X125,Settings!$B$14:$B$33,0))&amp;"",IFERROR(LOOKUP(2^15,SEARCH(Settings!$F$14:$F$43,X125)/(Settings!$F$14:$F$43&lt;&gt;""),Settings!$G$14:$G$43),"")))</f>
        <v/>
      </c>
      <c r="CE125">
        <f>IF(OR($B125="",Y125=""),"",IFERROR(INDEX(Settings!$D$14:$D$33,MATCH(Y125,Settings!$B$14:$B$33,0))&amp;"",IFERROR(LOOKUP(2^15,SEARCH(Settings!$F$14:$F$43,Y125)/(Settings!$F$14:$F$43&lt;&gt;""),Settings!$G$14:$G$43),"")))</f>
        <v/>
      </c>
      <c r="CF125">
        <f>IF(OR($B125="",Z125=""),"",IFERROR(INDEX(Settings!$D$14:$D$33,MATCH(Z125,Settings!$B$14:$B$33,0))&amp;"",IFERROR(LOOKUP(2^15,SEARCH(Settings!$F$14:$F$43,Z125)/(Settings!$F$14:$F$43&lt;&gt;""),Settings!$G$14:$G$43),"")))</f>
        <v/>
      </c>
      <c r="CG125">
        <f>IF(OR($B125="",AA125=""),"",IFERROR(INDEX(Settings!$D$14:$D$33,MATCH(AA125,Settings!$B$14:$B$33,0))&amp;"",IFERROR(LOOKUP(2^15,SEARCH(Settings!$F$14:$F$43,AA125)/(Settings!$F$14:$F$43&lt;&gt;""),Settings!$G$14:$G$43),"")))</f>
        <v/>
      </c>
      <c r="CH125">
        <f>IF(OR($B125="",AB125=""),"",IFERROR(INDEX(Settings!$D$14:$D$33,MATCH(AB125,Settings!$B$14:$B$33,0))&amp;"",IFERROR(LOOKUP(2^15,SEARCH(Settings!$F$14:$F$43,AB125)/(Settings!$F$14:$F$43&lt;&gt;""),Settings!$G$14:$G$43),"")))</f>
        <v/>
      </c>
      <c r="CI125">
        <f>IF(OR($B125="",AC125=""),"",IFERROR(INDEX(Settings!$D$14:$D$33,MATCH(AC125,Settings!$B$14:$B$33,0))&amp;"",IFERROR(LOOKUP(2^15,SEARCH(Settings!$F$14:$F$43,AC125)/(Settings!$F$14:$F$43&lt;&gt;""),Settings!$G$14:$G$43),"")))</f>
        <v/>
      </c>
      <c r="CJ125">
        <f>IF(OR($B125="",AD125=""),"",IFERROR(INDEX(Settings!$D$14:$D$33,MATCH(AD125,Settings!$B$14:$B$33,0))&amp;"",IFERROR(LOOKUP(2^15,SEARCH(Settings!$F$14:$F$43,AD125)/(Settings!$F$14:$F$43&lt;&gt;""),Settings!$G$14:$G$43),"")))</f>
        <v/>
      </c>
      <c r="CK125">
        <f>IF(OR($B125="",AE125=""),"",IFERROR(INDEX(Settings!$D$14:$D$33,MATCH(AE125,Settings!$B$14:$B$33,0))&amp;"",IFERROR(LOOKUP(2^15,SEARCH(Settings!$F$14:$F$43,AE125)/(Settings!$F$14:$F$43&lt;&gt;""),Settings!$G$14:$G$43),"")))</f>
        <v/>
      </c>
      <c r="CL125">
        <f>IF(OR($B125="",AF125=""),"",IFERROR(INDEX(Settings!$D$14:$D$33,MATCH(AF125,Settings!$B$14:$B$33,0))&amp;"",IFERROR(LOOKUP(2^15,SEARCH(Settings!$F$14:$F$43,AF125)/(Settings!$F$14:$F$43&lt;&gt;""),Settings!$G$14:$G$43),"")))</f>
        <v/>
      </c>
      <c r="CM125">
        <f>IF(OR($B125="",AG125=""),"",IFERROR(INDEX(Settings!$D$14:$D$33,MATCH(AG125,Settings!$B$14:$B$33,0))&amp;"",IFERROR(LOOKUP(2^15,SEARCH(Settings!$F$14:$F$43,AG125)/(Settings!$F$14:$F$43&lt;&gt;""),Settings!$G$14:$G$43),"")))</f>
        <v/>
      </c>
    </row>
    <row r="126">
      <c r="A126" t="n">
        <v>124</v>
      </c>
      <c r="B126">
        <f>IFERROR(INDEX(Index!$A$2:$A$202,MATCH(A126,Index!$E$2:$E$202,0)),"")</f>
        <v/>
      </c>
      <c r="D126">
        <f>IF($B126="","",IFERROR(MATCH("Travel*",AI126:BJ126,0),""))</f>
        <v/>
      </c>
      <c r="F126">
        <f>IF(OR($B126="",NOT(ISNUMBER(Settings!$C$9))),"",TRIM(SUBSTITUTE(SUBSTITUTE(INDEX('INPUT - Roster'!$S$1:$SV$206,$B126,Settings!$C$9+0)&amp;"",CHAR(10)," "),CHAR(160)," ")))</f>
        <v/>
      </c>
      <c r="G126">
        <f>IF(OR($B126="",NOT(ISNUMBER(Settings!$C$9))),"",TRIM(SUBSTITUTE(SUBSTITUTE(INDEX('INPUT - Roster'!$S$1:$SV$206,$B126,Settings!$C$9+1)&amp;"",CHAR(10)," "),CHAR(160)," ")))</f>
        <v/>
      </c>
      <c r="H126">
        <f>IF(OR($B126="",NOT(ISNUMBER(Settings!$C$9))),"",TRIM(SUBSTITUTE(SUBSTITUTE(INDEX('INPUT - Roster'!$S$1:$SV$206,$B126,Settings!$C$9+2)&amp;"",CHAR(10)," "),CHAR(160)," ")))</f>
        <v/>
      </c>
      <c r="I126">
        <f>IF(OR($B126="",NOT(ISNUMBER(Settings!$C$9))),"",TRIM(SUBSTITUTE(SUBSTITUTE(INDEX('INPUT - Roster'!$S$1:$SV$206,$B126,Settings!$C$9+3)&amp;"",CHAR(10)," "),CHAR(160)," ")))</f>
        <v/>
      </c>
      <c r="J126">
        <f>IF(OR($B126="",NOT(ISNUMBER(Settings!$C$9))),"",TRIM(SUBSTITUTE(SUBSTITUTE(INDEX('INPUT - Roster'!$S$1:$SV$206,$B126,Settings!$C$9+4)&amp;"",CHAR(10)," "),CHAR(160)," ")))</f>
        <v/>
      </c>
      <c r="K126">
        <f>IF(OR($B126="",NOT(ISNUMBER(Settings!$C$9))),"",TRIM(SUBSTITUTE(SUBSTITUTE(INDEX('INPUT - Roster'!$S$1:$SV$206,$B126,Settings!$C$9+5)&amp;"",CHAR(10)," "),CHAR(160)," ")))</f>
        <v/>
      </c>
      <c r="L126">
        <f>IF(OR($B126="",NOT(ISNUMBER(Settings!$C$9))),"",TRIM(SUBSTITUTE(SUBSTITUTE(INDEX('INPUT - Roster'!$S$1:$SV$206,$B126,Settings!$C$9+6)&amp;"",CHAR(10)," "),CHAR(160)," ")))</f>
        <v/>
      </c>
      <c r="M126">
        <f>IF(OR($B126="",NOT(ISNUMBER(Settings!$C$9))),"",TRIM(SUBSTITUTE(SUBSTITUTE(INDEX('INPUT - Roster'!$S$1:$SV$206,$B126,Settings!$C$9+7)&amp;"",CHAR(10)," "),CHAR(160)," ")))</f>
        <v/>
      </c>
      <c r="N126">
        <f>IF(OR($B126="",NOT(ISNUMBER(Settings!$C$9))),"",TRIM(SUBSTITUTE(SUBSTITUTE(INDEX('INPUT - Roster'!$S$1:$SV$206,$B126,Settings!$C$9+8)&amp;"",CHAR(10)," "),CHAR(160)," ")))</f>
        <v/>
      </c>
      <c r="O126">
        <f>IF(OR($B126="",NOT(ISNUMBER(Settings!$C$9))),"",TRIM(SUBSTITUTE(SUBSTITUTE(INDEX('INPUT - Roster'!$S$1:$SV$206,$B126,Settings!$C$9+9)&amp;"",CHAR(10)," "),CHAR(160)," ")))</f>
        <v/>
      </c>
      <c r="P126">
        <f>IF(OR($B126="",NOT(ISNUMBER(Settings!$C$9))),"",TRIM(SUBSTITUTE(SUBSTITUTE(INDEX('INPUT - Roster'!$S$1:$SV$206,$B126,Settings!$C$9+10)&amp;"",CHAR(10)," "),CHAR(160)," ")))</f>
        <v/>
      </c>
      <c r="Q126">
        <f>IF(OR($B126="",NOT(ISNUMBER(Settings!$C$9))),"",TRIM(SUBSTITUTE(SUBSTITUTE(INDEX('INPUT - Roster'!$S$1:$SV$206,$B126,Settings!$C$9+11)&amp;"",CHAR(10)," "),CHAR(160)," ")))</f>
        <v/>
      </c>
      <c r="R126">
        <f>IF(OR($B126="",NOT(ISNUMBER(Settings!$C$9))),"",TRIM(SUBSTITUTE(SUBSTITUTE(INDEX('INPUT - Roster'!$S$1:$SV$206,$B126,Settings!$C$9+12)&amp;"",CHAR(10)," "),CHAR(160)," ")))</f>
        <v/>
      </c>
      <c r="S126">
        <f>IF(OR($B126="",NOT(ISNUMBER(Settings!$C$9))),"",TRIM(SUBSTITUTE(SUBSTITUTE(INDEX('INPUT - Roster'!$S$1:$SV$206,$B126,Settings!$C$9+13)&amp;"",CHAR(10)," "),CHAR(160)," ")))</f>
        <v/>
      </c>
      <c r="T126">
        <f>IF(OR($B126="",NOT(ISNUMBER(Settings!$C$9))),"",TRIM(SUBSTITUTE(SUBSTITUTE(INDEX('INPUT - Roster'!$S$1:$SV$206,$B126,Settings!$C$9+14)&amp;"",CHAR(10)," "),CHAR(160)," ")))</f>
        <v/>
      </c>
      <c r="U126">
        <f>IF(OR($B126="",NOT(ISNUMBER(Settings!$C$9))),"",TRIM(SUBSTITUTE(SUBSTITUTE(INDEX('INPUT - Roster'!$S$1:$SV$206,$B126,Settings!$C$9+15)&amp;"",CHAR(10)," "),CHAR(160)," ")))</f>
        <v/>
      </c>
      <c r="V126">
        <f>IF(OR($B126="",NOT(ISNUMBER(Settings!$C$9))),"",TRIM(SUBSTITUTE(SUBSTITUTE(INDEX('INPUT - Roster'!$S$1:$SV$206,$B126,Settings!$C$9+16)&amp;"",CHAR(10)," "),CHAR(160)," ")))</f>
        <v/>
      </c>
      <c r="W126">
        <f>IF(OR($B126="",NOT(ISNUMBER(Settings!$C$9))),"",TRIM(SUBSTITUTE(SUBSTITUTE(INDEX('INPUT - Roster'!$S$1:$SV$206,$B126,Settings!$C$9+17)&amp;"",CHAR(10)," "),CHAR(160)," ")))</f>
        <v/>
      </c>
      <c r="X126">
        <f>IF(OR($B126="",NOT(ISNUMBER(Settings!$C$9))),"",TRIM(SUBSTITUTE(SUBSTITUTE(INDEX('INPUT - Roster'!$S$1:$SV$206,$B126,Settings!$C$9+18)&amp;"",CHAR(10)," "),CHAR(160)," ")))</f>
        <v/>
      </c>
      <c r="Y126">
        <f>IF(OR($B126="",NOT(ISNUMBER(Settings!$C$9))),"",TRIM(SUBSTITUTE(SUBSTITUTE(INDEX('INPUT - Roster'!$S$1:$SV$206,$B126,Settings!$C$9+19)&amp;"",CHAR(10)," "),CHAR(160)," ")))</f>
        <v/>
      </c>
      <c r="Z126">
        <f>IF(OR($B126="",NOT(ISNUMBER(Settings!$C$9))),"",TRIM(SUBSTITUTE(SUBSTITUTE(INDEX('INPUT - Roster'!$S$1:$SV$206,$B126,Settings!$C$9+20)&amp;"",CHAR(10)," "),CHAR(160)," ")))</f>
        <v/>
      </c>
      <c r="AA126">
        <f>IF(OR($B126="",NOT(ISNUMBER(Settings!$C$9))),"",TRIM(SUBSTITUTE(SUBSTITUTE(INDEX('INPUT - Roster'!$S$1:$SV$206,$B126,Settings!$C$9+21)&amp;"",CHAR(10)," "),CHAR(160)," ")))</f>
        <v/>
      </c>
      <c r="AB126">
        <f>IF(OR($B126="",NOT(ISNUMBER(Settings!$C$9))),"",TRIM(SUBSTITUTE(SUBSTITUTE(INDEX('INPUT - Roster'!$S$1:$SV$206,$B126,Settings!$C$9+22)&amp;"",CHAR(10)," "),CHAR(160)," ")))</f>
        <v/>
      </c>
      <c r="AC126">
        <f>IF(OR($B126="",NOT(ISNUMBER(Settings!$C$9))),"",TRIM(SUBSTITUTE(SUBSTITUTE(INDEX('INPUT - Roster'!$S$1:$SV$206,$B126,Settings!$C$9+23)&amp;"",CHAR(10)," "),CHAR(160)," ")))</f>
        <v/>
      </c>
      <c r="AD126">
        <f>IF(OR($B126="",NOT(ISNUMBER(Settings!$C$9))),"",TRIM(SUBSTITUTE(SUBSTITUTE(INDEX('INPUT - Roster'!$S$1:$SV$206,$B126,Settings!$C$9+24)&amp;"",CHAR(10)," "),CHAR(160)," ")))</f>
        <v/>
      </c>
      <c r="AE126">
        <f>IF(OR($B126="",NOT(ISNUMBER(Settings!$C$9))),"",TRIM(SUBSTITUTE(SUBSTITUTE(INDEX('INPUT - Roster'!$S$1:$SV$206,$B126,Settings!$C$9+25)&amp;"",CHAR(10)," "),CHAR(160)," ")))</f>
        <v/>
      </c>
      <c r="AF126">
        <f>IF(OR($B126="",NOT(ISNUMBER(Settings!$C$9))),"",TRIM(SUBSTITUTE(SUBSTITUTE(INDEX('INPUT - Roster'!$S$1:$SV$206,$B126,Settings!$C$9+26)&amp;"",CHAR(10)," "),CHAR(160)," ")))</f>
        <v/>
      </c>
      <c r="AG126">
        <f>IF(OR($B126="",NOT(ISNUMBER(Settings!$C$9))),"",TRIM(SUBSTITUTE(SUBSTITUTE(INDEX('INPUT - Roster'!$S$1:$SV$206,$B126,Settings!$C$9+27)&amp;"",CHAR(10)," "),CHAR(160)," ")))</f>
        <v/>
      </c>
      <c r="AI126">
        <f>IF($B126="","",IF(F126="","Not rostered",IFERROR(INDEX(Settings!$C$14:$C$33,MATCH(F126,Settings!$B$14:$B$33,0)),IFERROR(LOOKUP(2^15,SEARCH(Settings!$I$14:$I$83,F126)/(Settings!$I$14:$I$83&lt;&gt;""),Settings!$J$14:$J$83),"Other"))))</f>
        <v/>
      </c>
      <c r="AJ126">
        <f>IF($B126="","",IF(G126="","Not rostered",IFERROR(INDEX(Settings!$C$14:$C$33,MATCH(G126,Settings!$B$14:$B$33,0)),IFERROR(LOOKUP(2^15,SEARCH(Settings!$I$14:$I$83,G126)/(Settings!$I$14:$I$83&lt;&gt;""),Settings!$J$14:$J$83),"Other"))))</f>
        <v/>
      </c>
      <c r="AK126">
        <f>IF($B126="","",IF(H126="","Not rostered",IFERROR(INDEX(Settings!$C$14:$C$33,MATCH(H126,Settings!$B$14:$B$33,0)),IFERROR(LOOKUP(2^15,SEARCH(Settings!$I$14:$I$83,H126)/(Settings!$I$14:$I$83&lt;&gt;""),Settings!$J$14:$J$83),"Other"))))</f>
        <v/>
      </c>
      <c r="AL126">
        <f>IF($B126="","",IF(I126="","Not rostered",IFERROR(INDEX(Settings!$C$14:$C$33,MATCH(I126,Settings!$B$14:$B$33,0)),IFERROR(LOOKUP(2^15,SEARCH(Settings!$I$14:$I$83,I126)/(Settings!$I$14:$I$83&lt;&gt;""),Settings!$J$14:$J$83),"Other"))))</f>
        <v/>
      </c>
      <c r="AM126">
        <f>IF($B126="","",IF(J126="","Not rostered",IFERROR(INDEX(Settings!$C$14:$C$33,MATCH(J126,Settings!$B$14:$B$33,0)),IFERROR(LOOKUP(2^15,SEARCH(Settings!$I$14:$I$83,J126)/(Settings!$I$14:$I$83&lt;&gt;""),Settings!$J$14:$J$83),"Other"))))</f>
        <v/>
      </c>
      <c r="AN126">
        <f>IF($B126="","",IF(K126="","Not rostered",IFERROR(INDEX(Settings!$C$14:$C$33,MATCH(K126,Settings!$B$14:$B$33,0)),IFERROR(LOOKUP(2^15,SEARCH(Settings!$I$14:$I$83,K126)/(Settings!$I$14:$I$83&lt;&gt;""),Settings!$J$14:$J$83),"Other"))))</f>
        <v/>
      </c>
      <c r="AO126">
        <f>IF($B126="","",IF(L126="","Not rostered",IFERROR(INDEX(Settings!$C$14:$C$33,MATCH(L126,Settings!$B$14:$B$33,0)),IFERROR(LOOKUP(2^15,SEARCH(Settings!$I$14:$I$83,L126)/(Settings!$I$14:$I$83&lt;&gt;""),Settings!$J$14:$J$83),"Other"))))</f>
        <v/>
      </c>
      <c r="AP126">
        <f>IF($B126="","",IF(M126="","Not rostered",IFERROR(INDEX(Settings!$C$14:$C$33,MATCH(M126,Settings!$B$14:$B$33,0)),IFERROR(LOOKUP(2^15,SEARCH(Settings!$I$14:$I$83,M126)/(Settings!$I$14:$I$83&lt;&gt;""),Settings!$J$14:$J$83),"Other"))))</f>
        <v/>
      </c>
      <c r="AQ126">
        <f>IF($B126="","",IF(N126="","Not rostered",IFERROR(INDEX(Settings!$C$14:$C$33,MATCH(N126,Settings!$B$14:$B$33,0)),IFERROR(LOOKUP(2^15,SEARCH(Settings!$I$14:$I$83,N126)/(Settings!$I$14:$I$83&lt;&gt;""),Settings!$J$14:$J$83),"Other"))))</f>
        <v/>
      </c>
      <c r="AR126">
        <f>IF($B126="","",IF(O126="","Not rostered",IFERROR(INDEX(Settings!$C$14:$C$33,MATCH(O126,Settings!$B$14:$B$33,0)),IFERROR(LOOKUP(2^15,SEARCH(Settings!$I$14:$I$83,O126)/(Settings!$I$14:$I$83&lt;&gt;""),Settings!$J$14:$J$83),"Other"))))</f>
        <v/>
      </c>
      <c r="AS126">
        <f>IF($B126="","",IF(P126="","Not rostered",IFERROR(INDEX(Settings!$C$14:$C$33,MATCH(P126,Settings!$B$14:$B$33,0)),IFERROR(LOOKUP(2^15,SEARCH(Settings!$I$14:$I$83,P126)/(Settings!$I$14:$I$83&lt;&gt;""),Settings!$J$14:$J$83),"Other"))))</f>
        <v/>
      </c>
      <c r="AT126">
        <f>IF($B126="","",IF(Q126="","Not rostered",IFERROR(INDEX(Settings!$C$14:$C$33,MATCH(Q126,Settings!$B$14:$B$33,0)),IFERROR(LOOKUP(2^15,SEARCH(Settings!$I$14:$I$83,Q126)/(Settings!$I$14:$I$83&lt;&gt;""),Settings!$J$14:$J$83),"Other"))))</f>
        <v/>
      </c>
      <c r="AU126">
        <f>IF($B126="","",IF(R126="","Not rostered",IFERROR(INDEX(Settings!$C$14:$C$33,MATCH(R126,Settings!$B$14:$B$33,0)),IFERROR(LOOKUP(2^15,SEARCH(Settings!$I$14:$I$83,R126)/(Settings!$I$14:$I$83&lt;&gt;""),Settings!$J$14:$J$83),"Other"))))</f>
        <v/>
      </c>
      <c r="AV126">
        <f>IF($B126="","",IF(S126="","Not rostered",IFERROR(INDEX(Settings!$C$14:$C$33,MATCH(S126,Settings!$B$14:$B$33,0)),IFERROR(LOOKUP(2^15,SEARCH(Settings!$I$14:$I$83,S126)/(Settings!$I$14:$I$83&lt;&gt;""),Settings!$J$14:$J$83),"Other"))))</f>
        <v/>
      </c>
      <c r="AW126">
        <f>IF($B126="","",IF(T126="","Not rostered",IFERROR(INDEX(Settings!$C$14:$C$33,MATCH(T126,Settings!$B$14:$B$33,0)),IFERROR(LOOKUP(2^15,SEARCH(Settings!$I$14:$I$83,T126)/(Settings!$I$14:$I$83&lt;&gt;""),Settings!$J$14:$J$83),"Other"))))</f>
        <v/>
      </c>
      <c r="AX126">
        <f>IF($B126="","",IF(U126="","Not rostered",IFERROR(INDEX(Settings!$C$14:$C$33,MATCH(U126,Settings!$B$14:$B$33,0)),IFERROR(LOOKUP(2^15,SEARCH(Settings!$I$14:$I$83,U126)/(Settings!$I$14:$I$83&lt;&gt;""),Settings!$J$14:$J$83),"Other"))))</f>
        <v/>
      </c>
      <c r="AY126">
        <f>IF($B126="","",IF(V126="","Not rostered",IFERROR(INDEX(Settings!$C$14:$C$33,MATCH(V126,Settings!$B$14:$B$33,0)),IFERROR(LOOKUP(2^15,SEARCH(Settings!$I$14:$I$83,V126)/(Settings!$I$14:$I$83&lt;&gt;""),Settings!$J$14:$J$83),"Other"))))</f>
        <v/>
      </c>
      <c r="AZ126">
        <f>IF($B126="","",IF(W126="","Not rostered",IFERROR(INDEX(Settings!$C$14:$C$33,MATCH(W126,Settings!$B$14:$B$33,0)),IFERROR(LOOKUP(2^15,SEARCH(Settings!$I$14:$I$83,W126)/(Settings!$I$14:$I$83&lt;&gt;""),Settings!$J$14:$J$83),"Other"))))</f>
        <v/>
      </c>
      <c r="BA126">
        <f>IF($B126="","",IF(X126="","Not rostered",IFERROR(INDEX(Settings!$C$14:$C$33,MATCH(X126,Settings!$B$14:$B$33,0)),IFERROR(LOOKUP(2^15,SEARCH(Settings!$I$14:$I$83,X126)/(Settings!$I$14:$I$83&lt;&gt;""),Settings!$J$14:$J$83),"Other"))))</f>
        <v/>
      </c>
      <c r="BB126">
        <f>IF($B126="","",IF(Y126="","Not rostered",IFERROR(INDEX(Settings!$C$14:$C$33,MATCH(Y126,Settings!$B$14:$B$33,0)),IFERROR(LOOKUP(2^15,SEARCH(Settings!$I$14:$I$83,Y126)/(Settings!$I$14:$I$83&lt;&gt;""),Settings!$J$14:$J$83),"Other"))))</f>
        <v/>
      </c>
      <c r="BC126">
        <f>IF($B126="","",IF(Z126="","Not rostered",IFERROR(INDEX(Settings!$C$14:$C$33,MATCH(Z126,Settings!$B$14:$B$33,0)),IFERROR(LOOKUP(2^15,SEARCH(Settings!$I$14:$I$83,Z126)/(Settings!$I$14:$I$83&lt;&gt;""),Settings!$J$14:$J$83),"Other"))))</f>
        <v/>
      </c>
      <c r="BD126">
        <f>IF($B126="","",IF(AA126="","Not rostered",IFERROR(INDEX(Settings!$C$14:$C$33,MATCH(AA126,Settings!$B$14:$B$33,0)),IFERROR(LOOKUP(2^15,SEARCH(Settings!$I$14:$I$83,AA126)/(Settings!$I$14:$I$83&lt;&gt;""),Settings!$J$14:$J$83),"Other"))))</f>
        <v/>
      </c>
      <c r="BE126">
        <f>IF($B126="","",IF(AB126="","Not rostered",IFERROR(INDEX(Settings!$C$14:$C$33,MATCH(AB126,Settings!$B$14:$B$33,0)),IFERROR(LOOKUP(2^15,SEARCH(Settings!$I$14:$I$83,AB126)/(Settings!$I$14:$I$83&lt;&gt;""),Settings!$J$14:$J$83),"Other"))))</f>
        <v/>
      </c>
      <c r="BF126">
        <f>IF($B126="","",IF(AC126="","Not rostered",IFERROR(INDEX(Settings!$C$14:$C$33,MATCH(AC126,Settings!$B$14:$B$33,0)),IFERROR(LOOKUP(2^15,SEARCH(Settings!$I$14:$I$83,AC126)/(Settings!$I$14:$I$83&lt;&gt;""),Settings!$J$14:$J$83),"Other"))))</f>
        <v/>
      </c>
      <c r="BG126">
        <f>IF($B126="","",IF(AD126="","Not rostered",IFERROR(INDEX(Settings!$C$14:$C$33,MATCH(AD126,Settings!$B$14:$B$33,0)),IFERROR(LOOKUP(2^15,SEARCH(Settings!$I$14:$I$83,AD126)/(Settings!$I$14:$I$83&lt;&gt;""),Settings!$J$14:$J$83),"Other"))))</f>
        <v/>
      </c>
      <c r="BH126">
        <f>IF($B126="","",IF(AE126="","Not rostered",IFERROR(INDEX(Settings!$C$14:$C$33,MATCH(AE126,Settings!$B$14:$B$33,0)),IFERROR(LOOKUP(2^15,SEARCH(Settings!$I$14:$I$83,AE126)/(Settings!$I$14:$I$83&lt;&gt;""),Settings!$J$14:$J$83),"Other"))))</f>
        <v/>
      </c>
      <c r="BI126">
        <f>IF($B126="","",IF(AF126="","Not rostered",IFERROR(INDEX(Settings!$C$14:$C$33,MATCH(AF126,Settings!$B$14:$B$33,0)),IFERROR(LOOKUP(2^15,SEARCH(Settings!$I$14:$I$83,AF126)/(Settings!$I$14:$I$83&lt;&gt;""),Settings!$J$14:$J$83),"Other"))))</f>
        <v/>
      </c>
      <c r="BJ126">
        <f>IF($B126="","",IF(AG126="","Not rostered",IFERROR(INDEX(Settings!$C$14:$C$33,MATCH(AG126,Settings!$B$14:$B$33,0)),IFERROR(LOOKUP(2^15,SEARCH(Settings!$I$14:$I$83,AG126)/(Settings!$I$14:$I$83&lt;&gt;""),Settings!$J$14:$J$83),"Other"))))</f>
        <v/>
      </c>
      <c r="BL126">
        <f>IF(OR($B126="",F126=""),"",IFERROR(INDEX(Settings!$D$14:$D$33,MATCH(F126,Settings!$B$14:$B$33,0))&amp;"",IFERROR(LOOKUP(2^15,SEARCH(Settings!$F$14:$F$43,F126)/(Settings!$F$14:$F$43&lt;&gt;""),Settings!$G$14:$G$43),"")))</f>
        <v/>
      </c>
      <c r="BM126">
        <f>IF(OR($B126="",G126=""),"",IFERROR(INDEX(Settings!$D$14:$D$33,MATCH(G126,Settings!$B$14:$B$33,0))&amp;"",IFERROR(LOOKUP(2^15,SEARCH(Settings!$F$14:$F$43,G126)/(Settings!$F$14:$F$43&lt;&gt;""),Settings!$G$14:$G$43),"")))</f>
        <v/>
      </c>
      <c r="BN126">
        <f>IF(OR($B126="",H126=""),"",IFERROR(INDEX(Settings!$D$14:$D$33,MATCH(H126,Settings!$B$14:$B$33,0))&amp;"",IFERROR(LOOKUP(2^15,SEARCH(Settings!$F$14:$F$43,H126)/(Settings!$F$14:$F$43&lt;&gt;""),Settings!$G$14:$G$43),"")))</f>
        <v/>
      </c>
      <c r="BO126">
        <f>IF(OR($B126="",I126=""),"",IFERROR(INDEX(Settings!$D$14:$D$33,MATCH(I126,Settings!$B$14:$B$33,0))&amp;"",IFERROR(LOOKUP(2^15,SEARCH(Settings!$F$14:$F$43,I126)/(Settings!$F$14:$F$43&lt;&gt;""),Settings!$G$14:$G$43),"")))</f>
        <v/>
      </c>
      <c r="BP126">
        <f>IF(OR($B126="",J126=""),"",IFERROR(INDEX(Settings!$D$14:$D$33,MATCH(J126,Settings!$B$14:$B$33,0))&amp;"",IFERROR(LOOKUP(2^15,SEARCH(Settings!$F$14:$F$43,J126)/(Settings!$F$14:$F$43&lt;&gt;""),Settings!$G$14:$G$43),"")))</f>
        <v/>
      </c>
      <c r="BQ126">
        <f>IF(OR($B126="",K126=""),"",IFERROR(INDEX(Settings!$D$14:$D$33,MATCH(K126,Settings!$B$14:$B$33,0))&amp;"",IFERROR(LOOKUP(2^15,SEARCH(Settings!$F$14:$F$43,K126)/(Settings!$F$14:$F$43&lt;&gt;""),Settings!$G$14:$G$43),"")))</f>
        <v/>
      </c>
      <c r="BR126">
        <f>IF(OR($B126="",L126=""),"",IFERROR(INDEX(Settings!$D$14:$D$33,MATCH(L126,Settings!$B$14:$B$33,0))&amp;"",IFERROR(LOOKUP(2^15,SEARCH(Settings!$F$14:$F$43,L126)/(Settings!$F$14:$F$43&lt;&gt;""),Settings!$G$14:$G$43),"")))</f>
        <v/>
      </c>
      <c r="BS126">
        <f>IF(OR($B126="",M126=""),"",IFERROR(INDEX(Settings!$D$14:$D$33,MATCH(M126,Settings!$B$14:$B$33,0))&amp;"",IFERROR(LOOKUP(2^15,SEARCH(Settings!$F$14:$F$43,M126)/(Settings!$F$14:$F$43&lt;&gt;""),Settings!$G$14:$G$43),"")))</f>
        <v/>
      </c>
      <c r="BT126">
        <f>IF(OR($B126="",N126=""),"",IFERROR(INDEX(Settings!$D$14:$D$33,MATCH(N126,Settings!$B$14:$B$33,0))&amp;"",IFERROR(LOOKUP(2^15,SEARCH(Settings!$F$14:$F$43,N126)/(Settings!$F$14:$F$43&lt;&gt;""),Settings!$G$14:$G$43),"")))</f>
        <v/>
      </c>
      <c r="BU126">
        <f>IF(OR($B126="",O126=""),"",IFERROR(INDEX(Settings!$D$14:$D$33,MATCH(O126,Settings!$B$14:$B$33,0))&amp;"",IFERROR(LOOKUP(2^15,SEARCH(Settings!$F$14:$F$43,O126)/(Settings!$F$14:$F$43&lt;&gt;""),Settings!$G$14:$G$43),"")))</f>
        <v/>
      </c>
      <c r="BV126">
        <f>IF(OR($B126="",P126=""),"",IFERROR(INDEX(Settings!$D$14:$D$33,MATCH(P126,Settings!$B$14:$B$33,0))&amp;"",IFERROR(LOOKUP(2^15,SEARCH(Settings!$F$14:$F$43,P126)/(Settings!$F$14:$F$43&lt;&gt;""),Settings!$G$14:$G$43),"")))</f>
        <v/>
      </c>
      <c r="BW126">
        <f>IF(OR($B126="",Q126=""),"",IFERROR(INDEX(Settings!$D$14:$D$33,MATCH(Q126,Settings!$B$14:$B$33,0))&amp;"",IFERROR(LOOKUP(2^15,SEARCH(Settings!$F$14:$F$43,Q126)/(Settings!$F$14:$F$43&lt;&gt;""),Settings!$G$14:$G$43),"")))</f>
        <v/>
      </c>
      <c r="BX126">
        <f>IF(OR($B126="",R126=""),"",IFERROR(INDEX(Settings!$D$14:$D$33,MATCH(R126,Settings!$B$14:$B$33,0))&amp;"",IFERROR(LOOKUP(2^15,SEARCH(Settings!$F$14:$F$43,R126)/(Settings!$F$14:$F$43&lt;&gt;""),Settings!$G$14:$G$43),"")))</f>
        <v/>
      </c>
      <c r="BY126">
        <f>IF(OR($B126="",S126=""),"",IFERROR(INDEX(Settings!$D$14:$D$33,MATCH(S126,Settings!$B$14:$B$33,0))&amp;"",IFERROR(LOOKUP(2^15,SEARCH(Settings!$F$14:$F$43,S126)/(Settings!$F$14:$F$43&lt;&gt;""),Settings!$G$14:$G$43),"")))</f>
        <v/>
      </c>
      <c r="BZ126">
        <f>IF(OR($B126="",T126=""),"",IFERROR(INDEX(Settings!$D$14:$D$33,MATCH(T126,Settings!$B$14:$B$33,0))&amp;"",IFERROR(LOOKUP(2^15,SEARCH(Settings!$F$14:$F$43,T126)/(Settings!$F$14:$F$43&lt;&gt;""),Settings!$G$14:$G$43),"")))</f>
        <v/>
      </c>
      <c r="CA126">
        <f>IF(OR($B126="",U126=""),"",IFERROR(INDEX(Settings!$D$14:$D$33,MATCH(U126,Settings!$B$14:$B$33,0))&amp;"",IFERROR(LOOKUP(2^15,SEARCH(Settings!$F$14:$F$43,U126)/(Settings!$F$14:$F$43&lt;&gt;""),Settings!$G$14:$G$43),"")))</f>
        <v/>
      </c>
      <c r="CB126">
        <f>IF(OR($B126="",V126=""),"",IFERROR(INDEX(Settings!$D$14:$D$33,MATCH(V126,Settings!$B$14:$B$33,0))&amp;"",IFERROR(LOOKUP(2^15,SEARCH(Settings!$F$14:$F$43,V126)/(Settings!$F$14:$F$43&lt;&gt;""),Settings!$G$14:$G$43),"")))</f>
        <v/>
      </c>
      <c r="CC126">
        <f>IF(OR($B126="",W126=""),"",IFERROR(INDEX(Settings!$D$14:$D$33,MATCH(W126,Settings!$B$14:$B$33,0))&amp;"",IFERROR(LOOKUP(2^15,SEARCH(Settings!$F$14:$F$43,W126)/(Settings!$F$14:$F$43&lt;&gt;""),Settings!$G$14:$G$43),"")))</f>
        <v/>
      </c>
      <c r="CD126">
        <f>IF(OR($B126="",X126=""),"",IFERROR(INDEX(Settings!$D$14:$D$33,MATCH(X126,Settings!$B$14:$B$33,0))&amp;"",IFERROR(LOOKUP(2^15,SEARCH(Settings!$F$14:$F$43,X126)/(Settings!$F$14:$F$43&lt;&gt;""),Settings!$G$14:$G$43),"")))</f>
        <v/>
      </c>
      <c r="CE126">
        <f>IF(OR($B126="",Y126=""),"",IFERROR(INDEX(Settings!$D$14:$D$33,MATCH(Y126,Settings!$B$14:$B$33,0))&amp;"",IFERROR(LOOKUP(2^15,SEARCH(Settings!$F$14:$F$43,Y126)/(Settings!$F$14:$F$43&lt;&gt;""),Settings!$G$14:$G$43),"")))</f>
        <v/>
      </c>
      <c r="CF126">
        <f>IF(OR($B126="",Z126=""),"",IFERROR(INDEX(Settings!$D$14:$D$33,MATCH(Z126,Settings!$B$14:$B$33,0))&amp;"",IFERROR(LOOKUP(2^15,SEARCH(Settings!$F$14:$F$43,Z126)/(Settings!$F$14:$F$43&lt;&gt;""),Settings!$G$14:$G$43),"")))</f>
        <v/>
      </c>
      <c r="CG126">
        <f>IF(OR($B126="",AA126=""),"",IFERROR(INDEX(Settings!$D$14:$D$33,MATCH(AA126,Settings!$B$14:$B$33,0))&amp;"",IFERROR(LOOKUP(2^15,SEARCH(Settings!$F$14:$F$43,AA126)/(Settings!$F$14:$F$43&lt;&gt;""),Settings!$G$14:$G$43),"")))</f>
        <v/>
      </c>
      <c r="CH126">
        <f>IF(OR($B126="",AB126=""),"",IFERROR(INDEX(Settings!$D$14:$D$33,MATCH(AB126,Settings!$B$14:$B$33,0))&amp;"",IFERROR(LOOKUP(2^15,SEARCH(Settings!$F$14:$F$43,AB126)/(Settings!$F$14:$F$43&lt;&gt;""),Settings!$G$14:$G$43),"")))</f>
        <v/>
      </c>
      <c r="CI126">
        <f>IF(OR($B126="",AC126=""),"",IFERROR(INDEX(Settings!$D$14:$D$33,MATCH(AC126,Settings!$B$14:$B$33,0))&amp;"",IFERROR(LOOKUP(2^15,SEARCH(Settings!$F$14:$F$43,AC126)/(Settings!$F$14:$F$43&lt;&gt;""),Settings!$G$14:$G$43),"")))</f>
        <v/>
      </c>
      <c r="CJ126">
        <f>IF(OR($B126="",AD126=""),"",IFERROR(INDEX(Settings!$D$14:$D$33,MATCH(AD126,Settings!$B$14:$B$33,0))&amp;"",IFERROR(LOOKUP(2^15,SEARCH(Settings!$F$14:$F$43,AD126)/(Settings!$F$14:$F$43&lt;&gt;""),Settings!$G$14:$G$43),"")))</f>
        <v/>
      </c>
      <c r="CK126">
        <f>IF(OR($B126="",AE126=""),"",IFERROR(INDEX(Settings!$D$14:$D$33,MATCH(AE126,Settings!$B$14:$B$33,0))&amp;"",IFERROR(LOOKUP(2^15,SEARCH(Settings!$F$14:$F$43,AE126)/(Settings!$F$14:$F$43&lt;&gt;""),Settings!$G$14:$G$43),"")))</f>
        <v/>
      </c>
      <c r="CL126">
        <f>IF(OR($B126="",AF126=""),"",IFERROR(INDEX(Settings!$D$14:$D$33,MATCH(AF126,Settings!$B$14:$B$33,0))&amp;"",IFERROR(LOOKUP(2^15,SEARCH(Settings!$F$14:$F$43,AF126)/(Settings!$F$14:$F$43&lt;&gt;""),Settings!$G$14:$G$43),"")))</f>
        <v/>
      </c>
      <c r="CM126">
        <f>IF(OR($B126="",AG126=""),"",IFERROR(INDEX(Settings!$D$14:$D$33,MATCH(AG126,Settings!$B$14:$B$33,0))&amp;"",IFERROR(LOOKUP(2^15,SEARCH(Settings!$F$14:$F$43,AG126)/(Settings!$F$14:$F$43&lt;&gt;""),Settings!$G$14:$G$43),"")))</f>
        <v/>
      </c>
    </row>
    <row r="127">
      <c r="A127" t="n">
        <v>125</v>
      </c>
      <c r="B127">
        <f>IFERROR(INDEX(Index!$A$2:$A$202,MATCH(A127,Index!$E$2:$E$202,0)),"")</f>
        <v/>
      </c>
      <c r="D127">
        <f>IF($B127="","",IFERROR(MATCH("Travel*",AI127:BJ127,0),""))</f>
        <v/>
      </c>
      <c r="F127">
        <f>IF(OR($B127="",NOT(ISNUMBER(Settings!$C$9))),"",TRIM(SUBSTITUTE(SUBSTITUTE(INDEX('INPUT - Roster'!$S$1:$SV$206,$B127,Settings!$C$9+0)&amp;"",CHAR(10)," "),CHAR(160)," ")))</f>
        <v/>
      </c>
      <c r="G127">
        <f>IF(OR($B127="",NOT(ISNUMBER(Settings!$C$9))),"",TRIM(SUBSTITUTE(SUBSTITUTE(INDEX('INPUT - Roster'!$S$1:$SV$206,$B127,Settings!$C$9+1)&amp;"",CHAR(10)," "),CHAR(160)," ")))</f>
        <v/>
      </c>
      <c r="H127">
        <f>IF(OR($B127="",NOT(ISNUMBER(Settings!$C$9))),"",TRIM(SUBSTITUTE(SUBSTITUTE(INDEX('INPUT - Roster'!$S$1:$SV$206,$B127,Settings!$C$9+2)&amp;"",CHAR(10)," "),CHAR(160)," ")))</f>
        <v/>
      </c>
      <c r="I127">
        <f>IF(OR($B127="",NOT(ISNUMBER(Settings!$C$9))),"",TRIM(SUBSTITUTE(SUBSTITUTE(INDEX('INPUT - Roster'!$S$1:$SV$206,$B127,Settings!$C$9+3)&amp;"",CHAR(10)," "),CHAR(160)," ")))</f>
        <v/>
      </c>
      <c r="J127">
        <f>IF(OR($B127="",NOT(ISNUMBER(Settings!$C$9))),"",TRIM(SUBSTITUTE(SUBSTITUTE(INDEX('INPUT - Roster'!$S$1:$SV$206,$B127,Settings!$C$9+4)&amp;"",CHAR(10)," "),CHAR(160)," ")))</f>
        <v/>
      </c>
      <c r="K127">
        <f>IF(OR($B127="",NOT(ISNUMBER(Settings!$C$9))),"",TRIM(SUBSTITUTE(SUBSTITUTE(INDEX('INPUT - Roster'!$S$1:$SV$206,$B127,Settings!$C$9+5)&amp;"",CHAR(10)," "),CHAR(160)," ")))</f>
        <v/>
      </c>
      <c r="L127">
        <f>IF(OR($B127="",NOT(ISNUMBER(Settings!$C$9))),"",TRIM(SUBSTITUTE(SUBSTITUTE(INDEX('INPUT - Roster'!$S$1:$SV$206,$B127,Settings!$C$9+6)&amp;"",CHAR(10)," "),CHAR(160)," ")))</f>
        <v/>
      </c>
      <c r="M127">
        <f>IF(OR($B127="",NOT(ISNUMBER(Settings!$C$9))),"",TRIM(SUBSTITUTE(SUBSTITUTE(INDEX('INPUT - Roster'!$S$1:$SV$206,$B127,Settings!$C$9+7)&amp;"",CHAR(10)," "),CHAR(160)," ")))</f>
        <v/>
      </c>
      <c r="N127">
        <f>IF(OR($B127="",NOT(ISNUMBER(Settings!$C$9))),"",TRIM(SUBSTITUTE(SUBSTITUTE(INDEX('INPUT - Roster'!$S$1:$SV$206,$B127,Settings!$C$9+8)&amp;"",CHAR(10)," "),CHAR(160)," ")))</f>
        <v/>
      </c>
      <c r="O127">
        <f>IF(OR($B127="",NOT(ISNUMBER(Settings!$C$9))),"",TRIM(SUBSTITUTE(SUBSTITUTE(INDEX('INPUT - Roster'!$S$1:$SV$206,$B127,Settings!$C$9+9)&amp;"",CHAR(10)," "),CHAR(160)," ")))</f>
        <v/>
      </c>
      <c r="P127">
        <f>IF(OR($B127="",NOT(ISNUMBER(Settings!$C$9))),"",TRIM(SUBSTITUTE(SUBSTITUTE(INDEX('INPUT - Roster'!$S$1:$SV$206,$B127,Settings!$C$9+10)&amp;"",CHAR(10)," "),CHAR(160)," ")))</f>
        <v/>
      </c>
      <c r="Q127">
        <f>IF(OR($B127="",NOT(ISNUMBER(Settings!$C$9))),"",TRIM(SUBSTITUTE(SUBSTITUTE(INDEX('INPUT - Roster'!$S$1:$SV$206,$B127,Settings!$C$9+11)&amp;"",CHAR(10)," "),CHAR(160)," ")))</f>
        <v/>
      </c>
      <c r="R127">
        <f>IF(OR($B127="",NOT(ISNUMBER(Settings!$C$9))),"",TRIM(SUBSTITUTE(SUBSTITUTE(INDEX('INPUT - Roster'!$S$1:$SV$206,$B127,Settings!$C$9+12)&amp;"",CHAR(10)," "),CHAR(160)," ")))</f>
        <v/>
      </c>
      <c r="S127">
        <f>IF(OR($B127="",NOT(ISNUMBER(Settings!$C$9))),"",TRIM(SUBSTITUTE(SUBSTITUTE(INDEX('INPUT - Roster'!$S$1:$SV$206,$B127,Settings!$C$9+13)&amp;"",CHAR(10)," "),CHAR(160)," ")))</f>
        <v/>
      </c>
      <c r="T127">
        <f>IF(OR($B127="",NOT(ISNUMBER(Settings!$C$9))),"",TRIM(SUBSTITUTE(SUBSTITUTE(INDEX('INPUT - Roster'!$S$1:$SV$206,$B127,Settings!$C$9+14)&amp;"",CHAR(10)," "),CHAR(160)," ")))</f>
        <v/>
      </c>
      <c r="U127">
        <f>IF(OR($B127="",NOT(ISNUMBER(Settings!$C$9))),"",TRIM(SUBSTITUTE(SUBSTITUTE(INDEX('INPUT - Roster'!$S$1:$SV$206,$B127,Settings!$C$9+15)&amp;"",CHAR(10)," "),CHAR(160)," ")))</f>
        <v/>
      </c>
      <c r="V127">
        <f>IF(OR($B127="",NOT(ISNUMBER(Settings!$C$9))),"",TRIM(SUBSTITUTE(SUBSTITUTE(INDEX('INPUT - Roster'!$S$1:$SV$206,$B127,Settings!$C$9+16)&amp;"",CHAR(10)," "),CHAR(160)," ")))</f>
        <v/>
      </c>
      <c r="W127">
        <f>IF(OR($B127="",NOT(ISNUMBER(Settings!$C$9))),"",TRIM(SUBSTITUTE(SUBSTITUTE(INDEX('INPUT - Roster'!$S$1:$SV$206,$B127,Settings!$C$9+17)&amp;"",CHAR(10)," "),CHAR(160)," ")))</f>
        <v/>
      </c>
      <c r="X127">
        <f>IF(OR($B127="",NOT(ISNUMBER(Settings!$C$9))),"",TRIM(SUBSTITUTE(SUBSTITUTE(INDEX('INPUT - Roster'!$S$1:$SV$206,$B127,Settings!$C$9+18)&amp;"",CHAR(10)," "),CHAR(160)," ")))</f>
        <v/>
      </c>
      <c r="Y127">
        <f>IF(OR($B127="",NOT(ISNUMBER(Settings!$C$9))),"",TRIM(SUBSTITUTE(SUBSTITUTE(INDEX('INPUT - Roster'!$S$1:$SV$206,$B127,Settings!$C$9+19)&amp;"",CHAR(10)," "),CHAR(160)," ")))</f>
        <v/>
      </c>
      <c r="Z127">
        <f>IF(OR($B127="",NOT(ISNUMBER(Settings!$C$9))),"",TRIM(SUBSTITUTE(SUBSTITUTE(INDEX('INPUT - Roster'!$S$1:$SV$206,$B127,Settings!$C$9+20)&amp;"",CHAR(10)," "),CHAR(160)," ")))</f>
        <v/>
      </c>
      <c r="AA127">
        <f>IF(OR($B127="",NOT(ISNUMBER(Settings!$C$9))),"",TRIM(SUBSTITUTE(SUBSTITUTE(INDEX('INPUT - Roster'!$S$1:$SV$206,$B127,Settings!$C$9+21)&amp;"",CHAR(10)," "),CHAR(160)," ")))</f>
        <v/>
      </c>
      <c r="AB127">
        <f>IF(OR($B127="",NOT(ISNUMBER(Settings!$C$9))),"",TRIM(SUBSTITUTE(SUBSTITUTE(INDEX('INPUT - Roster'!$S$1:$SV$206,$B127,Settings!$C$9+22)&amp;"",CHAR(10)," "),CHAR(160)," ")))</f>
        <v/>
      </c>
      <c r="AC127">
        <f>IF(OR($B127="",NOT(ISNUMBER(Settings!$C$9))),"",TRIM(SUBSTITUTE(SUBSTITUTE(INDEX('INPUT - Roster'!$S$1:$SV$206,$B127,Settings!$C$9+23)&amp;"",CHAR(10)," "),CHAR(160)," ")))</f>
        <v/>
      </c>
      <c r="AD127">
        <f>IF(OR($B127="",NOT(ISNUMBER(Settings!$C$9))),"",TRIM(SUBSTITUTE(SUBSTITUTE(INDEX('INPUT - Roster'!$S$1:$SV$206,$B127,Settings!$C$9+24)&amp;"",CHAR(10)," "),CHAR(160)," ")))</f>
        <v/>
      </c>
      <c r="AE127">
        <f>IF(OR($B127="",NOT(ISNUMBER(Settings!$C$9))),"",TRIM(SUBSTITUTE(SUBSTITUTE(INDEX('INPUT - Roster'!$S$1:$SV$206,$B127,Settings!$C$9+25)&amp;"",CHAR(10)," "),CHAR(160)," ")))</f>
        <v/>
      </c>
      <c r="AF127">
        <f>IF(OR($B127="",NOT(ISNUMBER(Settings!$C$9))),"",TRIM(SUBSTITUTE(SUBSTITUTE(INDEX('INPUT - Roster'!$S$1:$SV$206,$B127,Settings!$C$9+26)&amp;"",CHAR(10)," "),CHAR(160)," ")))</f>
        <v/>
      </c>
      <c r="AG127">
        <f>IF(OR($B127="",NOT(ISNUMBER(Settings!$C$9))),"",TRIM(SUBSTITUTE(SUBSTITUTE(INDEX('INPUT - Roster'!$S$1:$SV$206,$B127,Settings!$C$9+27)&amp;"",CHAR(10)," "),CHAR(160)," ")))</f>
        <v/>
      </c>
      <c r="AI127">
        <f>IF($B127="","",IF(F127="","Not rostered",IFERROR(INDEX(Settings!$C$14:$C$33,MATCH(F127,Settings!$B$14:$B$33,0)),IFERROR(LOOKUP(2^15,SEARCH(Settings!$I$14:$I$83,F127)/(Settings!$I$14:$I$83&lt;&gt;""),Settings!$J$14:$J$83),"Other"))))</f>
        <v/>
      </c>
      <c r="AJ127">
        <f>IF($B127="","",IF(G127="","Not rostered",IFERROR(INDEX(Settings!$C$14:$C$33,MATCH(G127,Settings!$B$14:$B$33,0)),IFERROR(LOOKUP(2^15,SEARCH(Settings!$I$14:$I$83,G127)/(Settings!$I$14:$I$83&lt;&gt;""),Settings!$J$14:$J$83),"Other"))))</f>
        <v/>
      </c>
      <c r="AK127">
        <f>IF($B127="","",IF(H127="","Not rostered",IFERROR(INDEX(Settings!$C$14:$C$33,MATCH(H127,Settings!$B$14:$B$33,0)),IFERROR(LOOKUP(2^15,SEARCH(Settings!$I$14:$I$83,H127)/(Settings!$I$14:$I$83&lt;&gt;""),Settings!$J$14:$J$83),"Other"))))</f>
        <v/>
      </c>
      <c r="AL127">
        <f>IF($B127="","",IF(I127="","Not rostered",IFERROR(INDEX(Settings!$C$14:$C$33,MATCH(I127,Settings!$B$14:$B$33,0)),IFERROR(LOOKUP(2^15,SEARCH(Settings!$I$14:$I$83,I127)/(Settings!$I$14:$I$83&lt;&gt;""),Settings!$J$14:$J$83),"Other"))))</f>
        <v/>
      </c>
      <c r="AM127">
        <f>IF($B127="","",IF(J127="","Not rostered",IFERROR(INDEX(Settings!$C$14:$C$33,MATCH(J127,Settings!$B$14:$B$33,0)),IFERROR(LOOKUP(2^15,SEARCH(Settings!$I$14:$I$83,J127)/(Settings!$I$14:$I$83&lt;&gt;""),Settings!$J$14:$J$83),"Other"))))</f>
        <v/>
      </c>
      <c r="AN127">
        <f>IF($B127="","",IF(K127="","Not rostered",IFERROR(INDEX(Settings!$C$14:$C$33,MATCH(K127,Settings!$B$14:$B$33,0)),IFERROR(LOOKUP(2^15,SEARCH(Settings!$I$14:$I$83,K127)/(Settings!$I$14:$I$83&lt;&gt;""),Settings!$J$14:$J$83),"Other"))))</f>
        <v/>
      </c>
      <c r="AO127">
        <f>IF($B127="","",IF(L127="","Not rostered",IFERROR(INDEX(Settings!$C$14:$C$33,MATCH(L127,Settings!$B$14:$B$33,0)),IFERROR(LOOKUP(2^15,SEARCH(Settings!$I$14:$I$83,L127)/(Settings!$I$14:$I$83&lt;&gt;""),Settings!$J$14:$J$83),"Other"))))</f>
        <v/>
      </c>
      <c r="AP127">
        <f>IF($B127="","",IF(M127="","Not rostered",IFERROR(INDEX(Settings!$C$14:$C$33,MATCH(M127,Settings!$B$14:$B$33,0)),IFERROR(LOOKUP(2^15,SEARCH(Settings!$I$14:$I$83,M127)/(Settings!$I$14:$I$83&lt;&gt;""),Settings!$J$14:$J$83),"Other"))))</f>
        <v/>
      </c>
      <c r="AQ127">
        <f>IF($B127="","",IF(N127="","Not rostered",IFERROR(INDEX(Settings!$C$14:$C$33,MATCH(N127,Settings!$B$14:$B$33,0)),IFERROR(LOOKUP(2^15,SEARCH(Settings!$I$14:$I$83,N127)/(Settings!$I$14:$I$83&lt;&gt;""),Settings!$J$14:$J$83),"Other"))))</f>
        <v/>
      </c>
      <c r="AR127">
        <f>IF($B127="","",IF(O127="","Not rostered",IFERROR(INDEX(Settings!$C$14:$C$33,MATCH(O127,Settings!$B$14:$B$33,0)),IFERROR(LOOKUP(2^15,SEARCH(Settings!$I$14:$I$83,O127)/(Settings!$I$14:$I$83&lt;&gt;""),Settings!$J$14:$J$83),"Other"))))</f>
        <v/>
      </c>
      <c r="AS127">
        <f>IF($B127="","",IF(P127="","Not rostered",IFERROR(INDEX(Settings!$C$14:$C$33,MATCH(P127,Settings!$B$14:$B$33,0)),IFERROR(LOOKUP(2^15,SEARCH(Settings!$I$14:$I$83,P127)/(Settings!$I$14:$I$83&lt;&gt;""),Settings!$J$14:$J$83),"Other"))))</f>
        <v/>
      </c>
      <c r="AT127">
        <f>IF($B127="","",IF(Q127="","Not rostered",IFERROR(INDEX(Settings!$C$14:$C$33,MATCH(Q127,Settings!$B$14:$B$33,0)),IFERROR(LOOKUP(2^15,SEARCH(Settings!$I$14:$I$83,Q127)/(Settings!$I$14:$I$83&lt;&gt;""),Settings!$J$14:$J$83),"Other"))))</f>
        <v/>
      </c>
      <c r="AU127">
        <f>IF($B127="","",IF(R127="","Not rostered",IFERROR(INDEX(Settings!$C$14:$C$33,MATCH(R127,Settings!$B$14:$B$33,0)),IFERROR(LOOKUP(2^15,SEARCH(Settings!$I$14:$I$83,R127)/(Settings!$I$14:$I$83&lt;&gt;""),Settings!$J$14:$J$83),"Other"))))</f>
        <v/>
      </c>
      <c r="AV127">
        <f>IF($B127="","",IF(S127="","Not rostered",IFERROR(INDEX(Settings!$C$14:$C$33,MATCH(S127,Settings!$B$14:$B$33,0)),IFERROR(LOOKUP(2^15,SEARCH(Settings!$I$14:$I$83,S127)/(Settings!$I$14:$I$83&lt;&gt;""),Settings!$J$14:$J$83),"Other"))))</f>
        <v/>
      </c>
      <c r="AW127">
        <f>IF($B127="","",IF(T127="","Not rostered",IFERROR(INDEX(Settings!$C$14:$C$33,MATCH(T127,Settings!$B$14:$B$33,0)),IFERROR(LOOKUP(2^15,SEARCH(Settings!$I$14:$I$83,T127)/(Settings!$I$14:$I$83&lt;&gt;""),Settings!$J$14:$J$83),"Other"))))</f>
        <v/>
      </c>
      <c r="AX127">
        <f>IF($B127="","",IF(U127="","Not rostered",IFERROR(INDEX(Settings!$C$14:$C$33,MATCH(U127,Settings!$B$14:$B$33,0)),IFERROR(LOOKUP(2^15,SEARCH(Settings!$I$14:$I$83,U127)/(Settings!$I$14:$I$83&lt;&gt;""),Settings!$J$14:$J$83),"Other"))))</f>
        <v/>
      </c>
      <c r="AY127">
        <f>IF($B127="","",IF(V127="","Not rostered",IFERROR(INDEX(Settings!$C$14:$C$33,MATCH(V127,Settings!$B$14:$B$33,0)),IFERROR(LOOKUP(2^15,SEARCH(Settings!$I$14:$I$83,V127)/(Settings!$I$14:$I$83&lt;&gt;""),Settings!$J$14:$J$83),"Other"))))</f>
        <v/>
      </c>
      <c r="AZ127">
        <f>IF($B127="","",IF(W127="","Not rostered",IFERROR(INDEX(Settings!$C$14:$C$33,MATCH(W127,Settings!$B$14:$B$33,0)),IFERROR(LOOKUP(2^15,SEARCH(Settings!$I$14:$I$83,W127)/(Settings!$I$14:$I$83&lt;&gt;""),Settings!$J$14:$J$83),"Other"))))</f>
        <v/>
      </c>
      <c r="BA127">
        <f>IF($B127="","",IF(X127="","Not rostered",IFERROR(INDEX(Settings!$C$14:$C$33,MATCH(X127,Settings!$B$14:$B$33,0)),IFERROR(LOOKUP(2^15,SEARCH(Settings!$I$14:$I$83,X127)/(Settings!$I$14:$I$83&lt;&gt;""),Settings!$J$14:$J$83),"Other"))))</f>
        <v/>
      </c>
      <c r="BB127">
        <f>IF($B127="","",IF(Y127="","Not rostered",IFERROR(INDEX(Settings!$C$14:$C$33,MATCH(Y127,Settings!$B$14:$B$33,0)),IFERROR(LOOKUP(2^15,SEARCH(Settings!$I$14:$I$83,Y127)/(Settings!$I$14:$I$83&lt;&gt;""),Settings!$J$14:$J$83),"Other"))))</f>
        <v/>
      </c>
      <c r="BC127">
        <f>IF($B127="","",IF(Z127="","Not rostered",IFERROR(INDEX(Settings!$C$14:$C$33,MATCH(Z127,Settings!$B$14:$B$33,0)),IFERROR(LOOKUP(2^15,SEARCH(Settings!$I$14:$I$83,Z127)/(Settings!$I$14:$I$83&lt;&gt;""),Settings!$J$14:$J$83),"Other"))))</f>
        <v/>
      </c>
      <c r="BD127">
        <f>IF($B127="","",IF(AA127="","Not rostered",IFERROR(INDEX(Settings!$C$14:$C$33,MATCH(AA127,Settings!$B$14:$B$33,0)),IFERROR(LOOKUP(2^15,SEARCH(Settings!$I$14:$I$83,AA127)/(Settings!$I$14:$I$83&lt;&gt;""),Settings!$J$14:$J$83),"Other"))))</f>
        <v/>
      </c>
      <c r="BE127">
        <f>IF($B127="","",IF(AB127="","Not rostered",IFERROR(INDEX(Settings!$C$14:$C$33,MATCH(AB127,Settings!$B$14:$B$33,0)),IFERROR(LOOKUP(2^15,SEARCH(Settings!$I$14:$I$83,AB127)/(Settings!$I$14:$I$83&lt;&gt;""),Settings!$J$14:$J$83),"Other"))))</f>
        <v/>
      </c>
      <c r="BF127">
        <f>IF($B127="","",IF(AC127="","Not rostered",IFERROR(INDEX(Settings!$C$14:$C$33,MATCH(AC127,Settings!$B$14:$B$33,0)),IFERROR(LOOKUP(2^15,SEARCH(Settings!$I$14:$I$83,AC127)/(Settings!$I$14:$I$83&lt;&gt;""),Settings!$J$14:$J$83),"Other"))))</f>
        <v/>
      </c>
      <c r="BG127">
        <f>IF($B127="","",IF(AD127="","Not rostered",IFERROR(INDEX(Settings!$C$14:$C$33,MATCH(AD127,Settings!$B$14:$B$33,0)),IFERROR(LOOKUP(2^15,SEARCH(Settings!$I$14:$I$83,AD127)/(Settings!$I$14:$I$83&lt;&gt;""),Settings!$J$14:$J$83),"Other"))))</f>
        <v/>
      </c>
      <c r="BH127">
        <f>IF($B127="","",IF(AE127="","Not rostered",IFERROR(INDEX(Settings!$C$14:$C$33,MATCH(AE127,Settings!$B$14:$B$33,0)),IFERROR(LOOKUP(2^15,SEARCH(Settings!$I$14:$I$83,AE127)/(Settings!$I$14:$I$83&lt;&gt;""),Settings!$J$14:$J$83),"Other"))))</f>
        <v/>
      </c>
      <c r="BI127">
        <f>IF($B127="","",IF(AF127="","Not rostered",IFERROR(INDEX(Settings!$C$14:$C$33,MATCH(AF127,Settings!$B$14:$B$33,0)),IFERROR(LOOKUP(2^15,SEARCH(Settings!$I$14:$I$83,AF127)/(Settings!$I$14:$I$83&lt;&gt;""),Settings!$J$14:$J$83),"Other"))))</f>
        <v/>
      </c>
      <c r="BJ127">
        <f>IF($B127="","",IF(AG127="","Not rostered",IFERROR(INDEX(Settings!$C$14:$C$33,MATCH(AG127,Settings!$B$14:$B$33,0)),IFERROR(LOOKUP(2^15,SEARCH(Settings!$I$14:$I$83,AG127)/(Settings!$I$14:$I$83&lt;&gt;""),Settings!$J$14:$J$83),"Other"))))</f>
        <v/>
      </c>
      <c r="BL127">
        <f>IF(OR($B127="",F127=""),"",IFERROR(INDEX(Settings!$D$14:$D$33,MATCH(F127,Settings!$B$14:$B$33,0))&amp;"",IFERROR(LOOKUP(2^15,SEARCH(Settings!$F$14:$F$43,F127)/(Settings!$F$14:$F$43&lt;&gt;""),Settings!$G$14:$G$43),"")))</f>
        <v/>
      </c>
      <c r="BM127">
        <f>IF(OR($B127="",G127=""),"",IFERROR(INDEX(Settings!$D$14:$D$33,MATCH(G127,Settings!$B$14:$B$33,0))&amp;"",IFERROR(LOOKUP(2^15,SEARCH(Settings!$F$14:$F$43,G127)/(Settings!$F$14:$F$43&lt;&gt;""),Settings!$G$14:$G$43),"")))</f>
        <v/>
      </c>
      <c r="BN127">
        <f>IF(OR($B127="",H127=""),"",IFERROR(INDEX(Settings!$D$14:$D$33,MATCH(H127,Settings!$B$14:$B$33,0))&amp;"",IFERROR(LOOKUP(2^15,SEARCH(Settings!$F$14:$F$43,H127)/(Settings!$F$14:$F$43&lt;&gt;""),Settings!$G$14:$G$43),"")))</f>
        <v/>
      </c>
      <c r="BO127">
        <f>IF(OR($B127="",I127=""),"",IFERROR(INDEX(Settings!$D$14:$D$33,MATCH(I127,Settings!$B$14:$B$33,0))&amp;"",IFERROR(LOOKUP(2^15,SEARCH(Settings!$F$14:$F$43,I127)/(Settings!$F$14:$F$43&lt;&gt;""),Settings!$G$14:$G$43),"")))</f>
        <v/>
      </c>
      <c r="BP127">
        <f>IF(OR($B127="",J127=""),"",IFERROR(INDEX(Settings!$D$14:$D$33,MATCH(J127,Settings!$B$14:$B$33,0))&amp;"",IFERROR(LOOKUP(2^15,SEARCH(Settings!$F$14:$F$43,J127)/(Settings!$F$14:$F$43&lt;&gt;""),Settings!$G$14:$G$43),"")))</f>
        <v/>
      </c>
      <c r="BQ127">
        <f>IF(OR($B127="",K127=""),"",IFERROR(INDEX(Settings!$D$14:$D$33,MATCH(K127,Settings!$B$14:$B$33,0))&amp;"",IFERROR(LOOKUP(2^15,SEARCH(Settings!$F$14:$F$43,K127)/(Settings!$F$14:$F$43&lt;&gt;""),Settings!$G$14:$G$43),"")))</f>
        <v/>
      </c>
      <c r="BR127">
        <f>IF(OR($B127="",L127=""),"",IFERROR(INDEX(Settings!$D$14:$D$33,MATCH(L127,Settings!$B$14:$B$33,0))&amp;"",IFERROR(LOOKUP(2^15,SEARCH(Settings!$F$14:$F$43,L127)/(Settings!$F$14:$F$43&lt;&gt;""),Settings!$G$14:$G$43),"")))</f>
        <v/>
      </c>
      <c r="BS127">
        <f>IF(OR($B127="",M127=""),"",IFERROR(INDEX(Settings!$D$14:$D$33,MATCH(M127,Settings!$B$14:$B$33,0))&amp;"",IFERROR(LOOKUP(2^15,SEARCH(Settings!$F$14:$F$43,M127)/(Settings!$F$14:$F$43&lt;&gt;""),Settings!$G$14:$G$43),"")))</f>
        <v/>
      </c>
      <c r="BT127">
        <f>IF(OR($B127="",N127=""),"",IFERROR(INDEX(Settings!$D$14:$D$33,MATCH(N127,Settings!$B$14:$B$33,0))&amp;"",IFERROR(LOOKUP(2^15,SEARCH(Settings!$F$14:$F$43,N127)/(Settings!$F$14:$F$43&lt;&gt;""),Settings!$G$14:$G$43),"")))</f>
        <v/>
      </c>
      <c r="BU127">
        <f>IF(OR($B127="",O127=""),"",IFERROR(INDEX(Settings!$D$14:$D$33,MATCH(O127,Settings!$B$14:$B$33,0))&amp;"",IFERROR(LOOKUP(2^15,SEARCH(Settings!$F$14:$F$43,O127)/(Settings!$F$14:$F$43&lt;&gt;""),Settings!$G$14:$G$43),"")))</f>
        <v/>
      </c>
      <c r="BV127">
        <f>IF(OR($B127="",P127=""),"",IFERROR(INDEX(Settings!$D$14:$D$33,MATCH(P127,Settings!$B$14:$B$33,0))&amp;"",IFERROR(LOOKUP(2^15,SEARCH(Settings!$F$14:$F$43,P127)/(Settings!$F$14:$F$43&lt;&gt;""),Settings!$G$14:$G$43),"")))</f>
        <v/>
      </c>
      <c r="BW127">
        <f>IF(OR($B127="",Q127=""),"",IFERROR(INDEX(Settings!$D$14:$D$33,MATCH(Q127,Settings!$B$14:$B$33,0))&amp;"",IFERROR(LOOKUP(2^15,SEARCH(Settings!$F$14:$F$43,Q127)/(Settings!$F$14:$F$43&lt;&gt;""),Settings!$G$14:$G$43),"")))</f>
        <v/>
      </c>
      <c r="BX127">
        <f>IF(OR($B127="",R127=""),"",IFERROR(INDEX(Settings!$D$14:$D$33,MATCH(R127,Settings!$B$14:$B$33,0))&amp;"",IFERROR(LOOKUP(2^15,SEARCH(Settings!$F$14:$F$43,R127)/(Settings!$F$14:$F$43&lt;&gt;""),Settings!$G$14:$G$43),"")))</f>
        <v/>
      </c>
      <c r="BY127">
        <f>IF(OR($B127="",S127=""),"",IFERROR(INDEX(Settings!$D$14:$D$33,MATCH(S127,Settings!$B$14:$B$33,0))&amp;"",IFERROR(LOOKUP(2^15,SEARCH(Settings!$F$14:$F$43,S127)/(Settings!$F$14:$F$43&lt;&gt;""),Settings!$G$14:$G$43),"")))</f>
        <v/>
      </c>
      <c r="BZ127">
        <f>IF(OR($B127="",T127=""),"",IFERROR(INDEX(Settings!$D$14:$D$33,MATCH(T127,Settings!$B$14:$B$33,0))&amp;"",IFERROR(LOOKUP(2^15,SEARCH(Settings!$F$14:$F$43,T127)/(Settings!$F$14:$F$43&lt;&gt;""),Settings!$G$14:$G$43),"")))</f>
        <v/>
      </c>
      <c r="CA127">
        <f>IF(OR($B127="",U127=""),"",IFERROR(INDEX(Settings!$D$14:$D$33,MATCH(U127,Settings!$B$14:$B$33,0))&amp;"",IFERROR(LOOKUP(2^15,SEARCH(Settings!$F$14:$F$43,U127)/(Settings!$F$14:$F$43&lt;&gt;""),Settings!$G$14:$G$43),"")))</f>
        <v/>
      </c>
      <c r="CB127">
        <f>IF(OR($B127="",V127=""),"",IFERROR(INDEX(Settings!$D$14:$D$33,MATCH(V127,Settings!$B$14:$B$33,0))&amp;"",IFERROR(LOOKUP(2^15,SEARCH(Settings!$F$14:$F$43,V127)/(Settings!$F$14:$F$43&lt;&gt;""),Settings!$G$14:$G$43),"")))</f>
        <v/>
      </c>
      <c r="CC127">
        <f>IF(OR($B127="",W127=""),"",IFERROR(INDEX(Settings!$D$14:$D$33,MATCH(W127,Settings!$B$14:$B$33,0))&amp;"",IFERROR(LOOKUP(2^15,SEARCH(Settings!$F$14:$F$43,W127)/(Settings!$F$14:$F$43&lt;&gt;""),Settings!$G$14:$G$43),"")))</f>
        <v/>
      </c>
      <c r="CD127">
        <f>IF(OR($B127="",X127=""),"",IFERROR(INDEX(Settings!$D$14:$D$33,MATCH(X127,Settings!$B$14:$B$33,0))&amp;"",IFERROR(LOOKUP(2^15,SEARCH(Settings!$F$14:$F$43,X127)/(Settings!$F$14:$F$43&lt;&gt;""),Settings!$G$14:$G$43),"")))</f>
        <v/>
      </c>
      <c r="CE127">
        <f>IF(OR($B127="",Y127=""),"",IFERROR(INDEX(Settings!$D$14:$D$33,MATCH(Y127,Settings!$B$14:$B$33,0))&amp;"",IFERROR(LOOKUP(2^15,SEARCH(Settings!$F$14:$F$43,Y127)/(Settings!$F$14:$F$43&lt;&gt;""),Settings!$G$14:$G$43),"")))</f>
        <v/>
      </c>
      <c r="CF127">
        <f>IF(OR($B127="",Z127=""),"",IFERROR(INDEX(Settings!$D$14:$D$33,MATCH(Z127,Settings!$B$14:$B$33,0))&amp;"",IFERROR(LOOKUP(2^15,SEARCH(Settings!$F$14:$F$43,Z127)/(Settings!$F$14:$F$43&lt;&gt;""),Settings!$G$14:$G$43),"")))</f>
        <v/>
      </c>
      <c r="CG127">
        <f>IF(OR($B127="",AA127=""),"",IFERROR(INDEX(Settings!$D$14:$D$33,MATCH(AA127,Settings!$B$14:$B$33,0))&amp;"",IFERROR(LOOKUP(2^15,SEARCH(Settings!$F$14:$F$43,AA127)/(Settings!$F$14:$F$43&lt;&gt;""),Settings!$G$14:$G$43),"")))</f>
        <v/>
      </c>
      <c r="CH127">
        <f>IF(OR($B127="",AB127=""),"",IFERROR(INDEX(Settings!$D$14:$D$33,MATCH(AB127,Settings!$B$14:$B$33,0))&amp;"",IFERROR(LOOKUP(2^15,SEARCH(Settings!$F$14:$F$43,AB127)/(Settings!$F$14:$F$43&lt;&gt;""),Settings!$G$14:$G$43),"")))</f>
        <v/>
      </c>
      <c r="CI127">
        <f>IF(OR($B127="",AC127=""),"",IFERROR(INDEX(Settings!$D$14:$D$33,MATCH(AC127,Settings!$B$14:$B$33,0))&amp;"",IFERROR(LOOKUP(2^15,SEARCH(Settings!$F$14:$F$43,AC127)/(Settings!$F$14:$F$43&lt;&gt;""),Settings!$G$14:$G$43),"")))</f>
        <v/>
      </c>
      <c r="CJ127">
        <f>IF(OR($B127="",AD127=""),"",IFERROR(INDEX(Settings!$D$14:$D$33,MATCH(AD127,Settings!$B$14:$B$33,0))&amp;"",IFERROR(LOOKUP(2^15,SEARCH(Settings!$F$14:$F$43,AD127)/(Settings!$F$14:$F$43&lt;&gt;""),Settings!$G$14:$G$43),"")))</f>
        <v/>
      </c>
      <c r="CK127">
        <f>IF(OR($B127="",AE127=""),"",IFERROR(INDEX(Settings!$D$14:$D$33,MATCH(AE127,Settings!$B$14:$B$33,0))&amp;"",IFERROR(LOOKUP(2^15,SEARCH(Settings!$F$14:$F$43,AE127)/(Settings!$F$14:$F$43&lt;&gt;""),Settings!$G$14:$G$43),"")))</f>
        <v/>
      </c>
      <c r="CL127">
        <f>IF(OR($B127="",AF127=""),"",IFERROR(INDEX(Settings!$D$14:$D$33,MATCH(AF127,Settings!$B$14:$B$33,0))&amp;"",IFERROR(LOOKUP(2^15,SEARCH(Settings!$F$14:$F$43,AF127)/(Settings!$F$14:$F$43&lt;&gt;""),Settings!$G$14:$G$43),"")))</f>
        <v/>
      </c>
      <c r="CM127">
        <f>IF(OR($B127="",AG127=""),"",IFERROR(INDEX(Settings!$D$14:$D$33,MATCH(AG127,Settings!$B$14:$B$33,0))&amp;"",IFERROR(LOOKUP(2^15,SEARCH(Settings!$F$14:$F$43,AG127)/(Settings!$F$14:$F$43&lt;&gt;""),Settings!$G$14:$G$43),"")))</f>
        <v/>
      </c>
    </row>
    <row r="128">
      <c r="A128" t="n">
        <v>126</v>
      </c>
      <c r="B128">
        <f>IFERROR(INDEX(Index!$A$2:$A$202,MATCH(A128,Index!$E$2:$E$202,0)),"")</f>
        <v/>
      </c>
      <c r="D128">
        <f>IF($B128="","",IFERROR(MATCH("Travel*",AI128:BJ128,0),""))</f>
        <v/>
      </c>
      <c r="F128">
        <f>IF(OR($B128="",NOT(ISNUMBER(Settings!$C$9))),"",TRIM(SUBSTITUTE(SUBSTITUTE(INDEX('INPUT - Roster'!$S$1:$SV$206,$B128,Settings!$C$9+0)&amp;"",CHAR(10)," "),CHAR(160)," ")))</f>
        <v/>
      </c>
      <c r="G128">
        <f>IF(OR($B128="",NOT(ISNUMBER(Settings!$C$9))),"",TRIM(SUBSTITUTE(SUBSTITUTE(INDEX('INPUT - Roster'!$S$1:$SV$206,$B128,Settings!$C$9+1)&amp;"",CHAR(10)," "),CHAR(160)," ")))</f>
        <v/>
      </c>
      <c r="H128">
        <f>IF(OR($B128="",NOT(ISNUMBER(Settings!$C$9))),"",TRIM(SUBSTITUTE(SUBSTITUTE(INDEX('INPUT - Roster'!$S$1:$SV$206,$B128,Settings!$C$9+2)&amp;"",CHAR(10)," "),CHAR(160)," ")))</f>
        <v/>
      </c>
      <c r="I128">
        <f>IF(OR($B128="",NOT(ISNUMBER(Settings!$C$9))),"",TRIM(SUBSTITUTE(SUBSTITUTE(INDEX('INPUT - Roster'!$S$1:$SV$206,$B128,Settings!$C$9+3)&amp;"",CHAR(10)," "),CHAR(160)," ")))</f>
        <v/>
      </c>
      <c r="J128">
        <f>IF(OR($B128="",NOT(ISNUMBER(Settings!$C$9))),"",TRIM(SUBSTITUTE(SUBSTITUTE(INDEX('INPUT - Roster'!$S$1:$SV$206,$B128,Settings!$C$9+4)&amp;"",CHAR(10)," "),CHAR(160)," ")))</f>
        <v/>
      </c>
      <c r="K128">
        <f>IF(OR($B128="",NOT(ISNUMBER(Settings!$C$9))),"",TRIM(SUBSTITUTE(SUBSTITUTE(INDEX('INPUT - Roster'!$S$1:$SV$206,$B128,Settings!$C$9+5)&amp;"",CHAR(10)," "),CHAR(160)," ")))</f>
        <v/>
      </c>
      <c r="L128">
        <f>IF(OR($B128="",NOT(ISNUMBER(Settings!$C$9))),"",TRIM(SUBSTITUTE(SUBSTITUTE(INDEX('INPUT - Roster'!$S$1:$SV$206,$B128,Settings!$C$9+6)&amp;"",CHAR(10)," "),CHAR(160)," ")))</f>
        <v/>
      </c>
      <c r="M128">
        <f>IF(OR($B128="",NOT(ISNUMBER(Settings!$C$9))),"",TRIM(SUBSTITUTE(SUBSTITUTE(INDEX('INPUT - Roster'!$S$1:$SV$206,$B128,Settings!$C$9+7)&amp;"",CHAR(10)," "),CHAR(160)," ")))</f>
        <v/>
      </c>
      <c r="N128">
        <f>IF(OR($B128="",NOT(ISNUMBER(Settings!$C$9))),"",TRIM(SUBSTITUTE(SUBSTITUTE(INDEX('INPUT - Roster'!$S$1:$SV$206,$B128,Settings!$C$9+8)&amp;"",CHAR(10)," "),CHAR(160)," ")))</f>
        <v/>
      </c>
      <c r="O128">
        <f>IF(OR($B128="",NOT(ISNUMBER(Settings!$C$9))),"",TRIM(SUBSTITUTE(SUBSTITUTE(INDEX('INPUT - Roster'!$S$1:$SV$206,$B128,Settings!$C$9+9)&amp;"",CHAR(10)," "),CHAR(160)," ")))</f>
        <v/>
      </c>
      <c r="P128">
        <f>IF(OR($B128="",NOT(ISNUMBER(Settings!$C$9))),"",TRIM(SUBSTITUTE(SUBSTITUTE(INDEX('INPUT - Roster'!$S$1:$SV$206,$B128,Settings!$C$9+10)&amp;"",CHAR(10)," "),CHAR(160)," ")))</f>
        <v/>
      </c>
      <c r="Q128">
        <f>IF(OR($B128="",NOT(ISNUMBER(Settings!$C$9))),"",TRIM(SUBSTITUTE(SUBSTITUTE(INDEX('INPUT - Roster'!$S$1:$SV$206,$B128,Settings!$C$9+11)&amp;"",CHAR(10)," "),CHAR(160)," ")))</f>
        <v/>
      </c>
      <c r="R128">
        <f>IF(OR($B128="",NOT(ISNUMBER(Settings!$C$9))),"",TRIM(SUBSTITUTE(SUBSTITUTE(INDEX('INPUT - Roster'!$S$1:$SV$206,$B128,Settings!$C$9+12)&amp;"",CHAR(10)," "),CHAR(160)," ")))</f>
        <v/>
      </c>
      <c r="S128">
        <f>IF(OR($B128="",NOT(ISNUMBER(Settings!$C$9))),"",TRIM(SUBSTITUTE(SUBSTITUTE(INDEX('INPUT - Roster'!$S$1:$SV$206,$B128,Settings!$C$9+13)&amp;"",CHAR(10)," "),CHAR(160)," ")))</f>
        <v/>
      </c>
      <c r="T128">
        <f>IF(OR($B128="",NOT(ISNUMBER(Settings!$C$9))),"",TRIM(SUBSTITUTE(SUBSTITUTE(INDEX('INPUT - Roster'!$S$1:$SV$206,$B128,Settings!$C$9+14)&amp;"",CHAR(10)," "),CHAR(160)," ")))</f>
        <v/>
      </c>
      <c r="U128">
        <f>IF(OR($B128="",NOT(ISNUMBER(Settings!$C$9))),"",TRIM(SUBSTITUTE(SUBSTITUTE(INDEX('INPUT - Roster'!$S$1:$SV$206,$B128,Settings!$C$9+15)&amp;"",CHAR(10)," "),CHAR(160)," ")))</f>
        <v/>
      </c>
      <c r="V128">
        <f>IF(OR($B128="",NOT(ISNUMBER(Settings!$C$9))),"",TRIM(SUBSTITUTE(SUBSTITUTE(INDEX('INPUT - Roster'!$S$1:$SV$206,$B128,Settings!$C$9+16)&amp;"",CHAR(10)," "),CHAR(160)," ")))</f>
        <v/>
      </c>
      <c r="W128">
        <f>IF(OR($B128="",NOT(ISNUMBER(Settings!$C$9))),"",TRIM(SUBSTITUTE(SUBSTITUTE(INDEX('INPUT - Roster'!$S$1:$SV$206,$B128,Settings!$C$9+17)&amp;"",CHAR(10)," "),CHAR(160)," ")))</f>
        <v/>
      </c>
      <c r="X128">
        <f>IF(OR($B128="",NOT(ISNUMBER(Settings!$C$9))),"",TRIM(SUBSTITUTE(SUBSTITUTE(INDEX('INPUT - Roster'!$S$1:$SV$206,$B128,Settings!$C$9+18)&amp;"",CHAR(10)," "),CHAR(160)," ")))</f>
        <v/>
      </c>
      <c r="Y128">
        <f>IF(OR($B128="",NOT(ISNUMBER(Settings!$C$9))),"",TRIM(SUBSTITUTE(SUBSTITUTE(INDEX('INPUT - Roster'!$S$1:$SV$206,$B128,Settings!$C$9+19)&amp;"",CHAR(10)," "),CHAR(160)," ")))</f>
        <v/>
      </c>
      <c r="Z128">
        <f>IF(OR($B128="",NOT(ISNUMBER(Settings!$C$9))),"",TRIM(SUBSTITUTE(SUBSTITUTE(INDEX('INPUT - Roster'!$S$1:$SV$206,$B128,Settings!$C$9+20)&amp;"",CHAR(10)," "),CHAR(160)," ")))</f>
        <v/>
      </c>
      <c r="AA128">
        <f>IF(OR($B128="",NOT(ISNUMBER(Settings!$C$9))),"",TRIM(SUBSTITUTE(SUBSTITUTE(INDEX('INPUT - Roster'!$S$1:$SV$206,$B128,Settings!$C$9+21)&amp;"",CHAR(10)," "),CHAR(160)," ")))</f>
        <v/>
      </c>
      <c r="AB128">
        <f>IF(OR($B128="",NOT(ISNUMBER(Settings!$C$9))),"",TRIM(SUBSTITUTE(SUBSTITUTE(INDEX('INPUT - Roster'!$S$1:$SV$206,$B128,Settings!$C$9+22)&amp;"",CHAR(10)," "),CHAR(160)," ")))</f>
        <v/>
      </c>
      <c r="AC128">
        <f>IF(OR($B128="",NOT(ISNUMBER(Settings!$C$9))),"",TRIM(SUBSTITUTE(SUBSTITUTE(INDEX('INPUT - Roster'!$S$1:$SV$206,$B128,Settings!$C$9+23)&amp;"",CHAR(10)," "),CHAR(160)," ")))</f>
        <v/>
      </c>
      <c r="AD128">
        <f>IF(OR($B128="",NOT(ISNUMBER(Settings!$C$9))),"",TRIM(SUBSTITUTE(SUBSTITUTE(INDEX('INPUT - Roster'!$S$1:$SV$206,$B128,Settings!$C$9+24)&amp;"",CHAR(10)," "),CHAR(160)," ")))</f>
        <v/>
      </c>
      <c r="AE128">
        <f>IF(OR($B128="",NOT(ISNUMBER(Settings!$C$9))),"",TRIM(SUBSTITUTE(SUBSTITUTE(INDEX('INPUT - Roster'!$S$1:$SV$206,$B128,Settings!$C$9+25)&amp;"",CHAR(10)," "),CHAR(160)," ")))</f>
        <v/>
      </c>
      <c r="AF128">
        <f>IF(OR($B128="",NOT(ISNUMBER(Settings!$C$9))),"",TRIM(SUBSTITUTE(SUBSTITUTE(INDEX('INPUT - Roster'!$S$1:$SV$206,$B128,Settings!$C$9+26)&amp;"",CHAR(10)," "),CHAR(160)," ")))</f>
        <v/>
      </c>
      <c r="AG128">
        <f>IF(OR($B128="",NOT(ISNUMBER(Settings!$C$9))),"",TRIM(SUBSTITUTE(SUBSTITUTE(INDEX('INPUT - Roster'!$S$1:$SV$206,$B128,Settings!$C$9+27)&amp;"",CHAR(10)," "),CHAR(160)," ")))</f>
        <v/>
      </c>
      <c r="AI128">
        <f>IF($B128="","",IF(F128="","Not rostered",IFERROR(INDEX(Settings!$C$14:$C$33,MATCH(F128,Settings!$B$14:$B$33,0)),IFERROR(LOOKUP(2^15,SEARCH(Settings!$I$14:$I$83,F128)/(Settings!$I$14:$I$83&lt;&gt;""),Settings!$J$14:$J$83),"Other"))))</f>
        <v/>
      </c>
      <c r="AJ128">
        <f>IF($B128="","",IF(G128="","Not rostered",IFERROR(INDEX(Settings!$C$14:$C$33,MATCH(G128,Settings!$B$14:$B$33,0)),IFERROR(LOOKUP(2^15,SEARCH(Settings!$I$14:$I$83,G128)/(Settings!$I$14:$I$83&lt;&gt;""),Settings!$J$14:$J$83),"Other"))))</f>
        <v/>
      </c>
      <c r="AK128">
        <f>IF($B128="","",IF(H128="","Not rostered",IFERROR(INDEX(Settings!$C$14:$C$33,MATCH(H128,Settings!$B$14:$B$33,0)),IFERROR(LOOKUP(2^15,SEARCH(Settings!$I$14:$I$83,H128)/(Settings!$I$14:$I$83&lt;&gt;""),Settings!$J$14:$J$83),"Other"))))</f>
        <v/>
      </c>
      <c r="AL128">
        <f>IF($B128="","",IF(I128="","Not rostered",IFERROR(INDEX(Settings!$C$14:$C$33,MATCH(I128,Settings!$B$14:$B$33,0)),IFERROR(LOOKUP(2^15,SEARCH(Settings!$I$14:$I$83,I128)/(Settings!$I$14:$I$83&lt;&gt;""),Settings!$J$14:$J$83),"Other"))))</f>
        <v/>
      </c>
      <c r="AM128">
        <f>IF($B128="","",IF(J128="","Not rostered",IFERROR(INDEX(Settings!$C$14:$C$33,MATCH(J128,Settings!$B$14:$B$33,0)),IFERROR(LOOKUP(2^15,SEARCH(Settings!$I$14:$I$83,J128)/(Settings!$I$14:$I$83&lt;&gt;""),Settings!$J$14:$J$83),"Other"))))</f>
        <v/>
      </c>
      <c r="AN128">
        <f>IF($B128="","",IF(K128="","Not rostered",IFERROR(INDEX(Settings!$C$14:$C$33,MATCH(K128,Settings!$B$14:$B$33,0)),IFERROR(LOOKUP(2^15,SEARCH(Settings!$I$14:$I$83,K128)/(Settings!$I$14:$I$83&lt;&gt;""),Settings!$J$14:$J$83),"Other"))))</f>
        <v/>
      </c>
      <c r="AO128">
        <f>IF($B128="","",IF(L128="","Not rostered",IFERROR(INDEX(Settings!$C$14:$C$33,MATCH(L128,Settings!$B$14:$B$33,0)),IFERROR(LOOKUP(2^15,SEARCH(Settings!$I$14:$I$83,L128)/(Settings!$I$14:$I$83&lt;&gt;""),Settings!$J$14:$J$83),"Other"))))</f>
        <v/>
      </c>
      <c r="AP128">
        <f>IF($B128="","",IF(M128="","Not rostered",IFERROR(INDEX(Settings!$C$14:$C$33,MATCH(M128,Settings!$B$14:$B$33,0)),IFERROR(LOOKUP(2^15,SEARCH(Settings!$I$14:$I$83,M128)/(Settings!$I$14:$I$83&lt;&gt;""),Settings!$J$14:$J$83),"Other"))))</f>
        <v/>
      </c>
      <c r="AQ128">
        <f>IF($B128="","",IF(N128="","Not rostered",IFERROR(INDEX(Settings!$C$14:$C$33,MATCH(N128,Settings!$B$14:$B$33,0)),IFERROR(LOOKUP(2^15,SEARCH(Settings!$I$14:$I$83,N128)/(Settings!$I$14:$I$83&lt;&gt;""),Settings!$J$14:$J$83),"Other"))))</f>
        <v/>
      </c>
      <c r="AR128">
        <f>IF($B128="","",IF(O128="","Not rostered",IFERROR(INDEX(Settings!$C$14:$C$33,MATCH(O128,Settings!$B$14:$B$33,0)),IFERROR(LOOKUP(2^15,SEARCH(Settings!$I$14:$I$83,O128)/(Settings!$I$14:$I$83&lt;&gt;""),Settings!$J$14:$J$83),"Other"))))</f>
        <v/>
      </c>
      <c r="AS128">
        <f>IF($B128="","",IF(P128="","Not rostered",IFERROR(INDEX(Settings!$C$14:$C$33,MATCH(P128,Settings!$B$14:$B$33,0)),IFERROR(LOOKUP(2^15,SEARCH(Settings!$I$14:$I$83,P128)/(Settings!$I$14:$I$83&lt;&gt;""),Settings!$J$14:$J$83),"Other"))))</f>
        <v/>
      </c>
      <c r="AT128">
        <f>IF($B128="","",IF(Q128="","Not rostered",IFERROR(INDEX(Settings!$C$14:$C$33,MATCH(Q128,Settings!$B$14:$B$33,0)),IFERROR(LOOKUP(2^15,SEARCH(Settings!$I$14:$I$83,Q128)/(Settings!$I$14:$I$83&lt;&gt;""),Settings!$J$14:$J$83),"Other"))))</f>
        <v/>
      </c>
      <c r="AU128">
        <f>IF($B128="","",IF(R128="","Not rostered",IFERROR(INDEX(Settings!$C$14:$C$33,MATCH(R128,Settings!$B$14:$B$33,0)),IFERROR(LOOKUP(2^15,SEARCH(Settings!$I$14:$I$83,R128)/(Settings!$I$14:$I$83&lt;&gt;""),Settings!$J$14:$J$83),"Other"))))</f>
        <v/>
      </c>
      <c r="AV128">
        <f>IF($B128="","",IF(S128="","Not rostered",IFERROR(INDEX(Settings!$C$14:$C$33,MATCH(S128,Settings!$B$14:$B$33,0)),IFERROR(LOOKUP(2^15,SEARCH(Settings!$I$14:$I$83,S128)/(Settings!$I$14:$I$83&lt;&gt;""),Settings!$J$14:$J$83),"Other"))))</f>
        <v/>
      </c>
      <c r="AW128">
        <f>IF($B128="","",IF(T128="","Not rostered",IFERROR(INDEX(Settings!$C$14:$C$33,MATCH(T128,Settings!$B$14:$B$33,0)),IFERROR(LOOKUP(2^15,SEARCH(Settings!$I$14:$I$83,T128)/(Settings!$I$14:$I$83&lt;&gt;""),Settings!$J$14:$J$83),"Other"))))</f>
        <v/>
      </c>
      <c r="AX128">
        <f>IF($B128="","",IF(U128="","Not rostered",IFERROR(INDEX(Settings!$C$14:$C$33,MATCH(U128,Settings!$B$14:$B$33,0)),IFERROR(LOOKUP(2^15,SEARCH(Settings!$I$14:$I$83,U128)/(Settings!$I$14:$I$83&lt;&gt;""),Settings!$J$14:$J$83),"Other"))))</f>
        <v/>
      </c>
      <c r="AY128">
        <f>IF($B128="","",IF(V128="","Not rostered",IFERROR(INDEX(Settings!$C$14:$C$33,MATCH(V128,Settings!$B$14:$B$33,0)),IFERROR(LOOKUP(2^15,SEARCH(Settings!$I$14:$I$83,V128)/(Settings!$I$14:$I$83&lt;&gt;""),Settings!$J$14:$J$83),"Other"))))</f>
        <v/>
      </c>
      <c r="AZ128">
        <f>IF($B128="","",IF(W128="","Not rostered",IFERROR(INDEX(Settings!$C$14:$C$33,MATCH(W128,Settings!$B$14:$B$33,0)),IFERROR(LOOKUP(2^15,SEARCH(Settings!$I$14:$I$83,W128)/(Settings!$I$14:$I$83&lt;&gt;""),Settings!$J$14:$J$83),"Other"))))</f>
        <v/>
      </c>
      <c r="BA128">
        <f>IF($B128="","",IF(X128="","Not rostered",IFERROR(INDEX(Settings!$C$14:$C$33,MATCH(X128,Settings!$B$14:$B$33,0)),IFERROR(LOOKUP(2^15,SEARCH(Settings!$I$14:$I$83,X128)/(Settings!$I$14:$I$83&lt;&gt;""),Settings!$J$14:$J$83),"Other"))))</f>
        <v/>
      </c>
      <c r="BB128">
        <f>IF($B128="","",IF(Y128="","Not rostered",IFERROR(INDEX(Settings!$C$14:$C$33,MATCH(Y128,Settings!$B$14:$B$33,0)),IFERROR(LOOKUP(2^15,SEARCH(Settings!$I$14:$I$83,Y128)/(Settings!$I$14:$I$83&lt;&gt;""),Settings!$J$14:$J$83),"Other"))))</f>
        <v/>
      </c>
      <c r="BC128">
        <f>IF($B128="","",IF(Z128="","Not rostered",IFERROR(INDEX(Settings!$C$14:$C$33,MATCH(Z128,Settings!$B$14:$B$33,0)),IFERROR(LOOKUP(2^15,SEARCH(Settings!$I$14:$I$83,Z128)/(Settings!$I$14:$I$83&lt;&gt;""),Settings!$J$14:$J$83),"Other"))))</f>
        <v/>
      </c>
      <c r="BD128">
        <f>IF($B128="","",IF(AA128="","Not rostered",IFERROR(INDEX(Settings!$C$14:$C$33,MATCH(AA128,Settings!$B$14:$B$33,0)),IFERROR(LOOKUP(2^15,SEARCH(Settings!$I$14:$I$83,AA128)/(Settings!$I$14:$I$83&lt;&gt;""),Settings!$J$14:$J$83),"Other"))))</f>
        <v/>
      </c>
      <c r="BE128">
        <f>IF($B128="","",IF(AB128="","Not rostered",IFERROR(INDEX(Settings!$C$14:$C$33,MATCH(AB128,Settings!$B$14:$B$33,0)),IFERROR(LOOKUP(2^15,SEARCH(Settings!$I$14:$I$83,AB128)/(Settings!$I$14:$I$83&lt;&gt;""),Settings!$J$14:$J$83),"Other"))))</f>
        <v/>
      </c>
      <c r="BF128">
        <f>IF($B128="","",IF(AC128="","Not rostered",IFERROR(INDEX(Settings!$C$14:$C$33,MATCH(AC128,Settings!$B$14:$B$33,0)),IFERROR(LOOKUP(2^15,SEARCH(Settings!$I$14:$I$83,AC128)/(Settings!$I$14:$I$83&lt;&gt;""),Settings!$J$14:$J$83),"Other"))))</f>
        <v/>
      </c>
      <c r="BG128">
        <f>IF($B128="","",IF(AD128="","Not rostered",IFERROR(INDEX(Settings!$C$14:$C$33,MATCH(AD128,Settings!$B$14:$B$33,0)),IFERROR(LOOKUP(2^15,SEARCH(Settings!$I$14:$I$83,AD128)/(Settings!$I$14:$I$83&lt;&gt;""),Settings!$J$14:$J$83),"Other"))))</f>
        <v/>
      </c>
      <c r="BH128">
        <f>IF($B128="","",IF(AE128="","Not rostered",IFERROR(INDEX(Settings!$C$14:$C$33,MATCH(AE128,Settings!$B$14:$B$33,0)),IFERROR(LOOKUP(2^15,SEARCH(Settings!$I$14:$I$83,AE128)/(Settings!$I$14:$I$83&lt;&gt;""),Settings!$J$14:$J$83),"Other"))))</f>
        <v/>
      </c>
      <c r="BI128">
        <f>IF($B128="","",IF(AF128="","Not rostered",IFERROR(INDEX(Settings!$C$14:$C$33,MATCH(AF128,Settings!$B$14:$B$33,0)),IFERROR(LOOKUP(2^15,SEARCH(Settings!$I$14:$I$83,AF128)/(Settings!$I$14:$I$83&lt;&gt;""),Settings!$J$14:$J$83),"Other"))))</f>
        <v/>
      </c>
      <c r="BJ128">
        <f>IF($B128="","",IF(AG128="","Not rostered",IFERROR(INDEX(Settings!$C$14:$C$33,MATCH(AG128,Settings!$B$14:$B$33,0)),IFERROR(LOOKUP(2^15,SEARCH(Settings!$I$14:$I$83,AG128)/(Settings!$I$14:$I$83&lt;&gt;""),Settings!$J$14:$J$83),"Other"))))</f>
        <v/>
      </c>
      <c r="BL128">
        <f>IF(OR($B128="",F128=""),"",IFERROR(INDEX(Settings!$D$14:$D$33,MATCH(F128,Settings!$B$14:$B$33,0))&amp;"",IFERROR(LOOKUP(2^15,SEARCH(Settings!$F$14:$F$43,F128)/(Settings!$F$14:$F$43&lt;&gt;""),Settings!$G$14:$G$43),"")))</f>
        <v/>
      </c>
      <c r="BM128">
        <f>IF(OR($B128="",G128=""),"",IFERROR(INDEX(Settings!$D$14:$D$33,MATCH(G128,Settings!$B$14:$B$33,0))&amp;"",IFERROR(LOOKUP(2^15,SEARCH(Settings!$F$14:$F$43,G128)/(Settings!$F$14:$F$43&lt;&gt;""),Settings!$G$14:$G$43),"")))</f>
        <v/>
      </c>
      <c r="BN128">
        <f>IF(OR($B128="",H128=""),"",IFERROR(INDEX(Settings!$D$14:$D$33,MATCH(H128,Settings!$B$14:$B$33,0))&amp;"",IFERROR(LOOKUP(2^15,SEARCH(Settings!$F$14:$F$43,H128)/(Settings!$F$14:$F$43&lt;&gt;""),Settings!$G$14:$G$43),"")))</f>
        <v/>
      </c>
      <c r="BO128">
        <f>IF(OR($B128="",I128=""),"",IFERROR(INDEX(Settings!$D$14:$D$33,MATCH(I128,Settings!$B$14:$B$33,0))&amp;"",IFERROR(LOOKUP(2^15,SEARCH(Settings!$F$14:$F$43,I128)/(Settings!$F$14:$F$43&lt;&gt;""),Settings!$G$14:$G$43),"")))</f>
        <v/>
      </c>
      <c r="BP128">
        <f>IF(OR($B128="",J128=""),"",IFERROR(INDEX(Settings!$D$14:$D$33,MATCH(J128,Settings!$B$14:$B$33,0))&amp;"",IFERROR(LOOKUP(2^15,SEARCH(Settings!$F$14:$F$43,J128)/(Settings!$F$14:$F$43&lt;&gt;""),Settings!$G$14:$G$43),"")))</f>
        <v/>
      </c>
      <c r="BQ128">
        <f>IF(OR($B128="",K128=""),"",IFERROR(INDEX(Settings!$D$14:$D$33,MATCH(K128,Settings!$B$14:$B$33,0))&amp;"",IFERROR(LOOKUP(2^15,SEARCH(Settings!$F$14:$F$43,K128)/(Settings!$F$14:$F$43&lt;&gt;""),Settings!$G$14:$G$43),"")))</f>
        <v/>
      </c>
      <c r="BR128">
        <f>IF(OR($B128="",L128=""),"",IFERROR(INDEX(Settings!$D$14:$D$33,MATCH(L128,Settings!$B$14:$B$33,0))&amp;"",IFERROR(LOOKUP(2^15,SEARCH(Settings!$F$14:$F$43,L128)/(Settings!$F$14:$F$43&lt;&gt;""),Settings!$G$14:$G$43),"")))</f>
        <v/>
      </c>
      <c r="BS128">
        <f>IF(OR($B128="",M128=""),"",IFERROR(INDEX(Settings!$D$14:$D$33,MATCH(M128,Settings!$B$14:$B$33,0))&amp;"",IFERROR(LOOKUP(2^15,SEARCH(Settings!$F$14:$F$43,M128)/(Settings!$F$14:$F$43&lt;&gt;""),Settings!$G$14:$G$43),"")))</f>
        <v/>
      </c>
      <c r="BT128">
        <f>IF(OR($B128="",N128=""),"",IFERROR(INDEX(Settings!$D$14:$D$33,MATCH(N128,Settings!$B$14:$B$33,0))&amp;"",IFERROR(LOOKUP(2^15,SEARCH(Settings!$F$14:$F$43,N128)/(Settings!$F$14:$F$43&lt;&gt;""),Settings!$G$14:$G$43),"")))</f>
        <v/>
      </c>
      <c r="BU128">
        <f>IF(OR($B128="",O128=""),"",IFERROR(INDEX(Settings!$D$14:$D$33,MATCH(O128,Settings!$B$14:$B$33,0))&amp;"",IFERROR(LOOKUP(2^15,SEARCH(Settings!$F$14:$F$43,O128)/(Settings!$F$14:$F$43&lt;&gt;""),Settings!$G$14:$G$43),"")))</f>
        <v/>
      </c>
      <c r="BV128">
        <f>IF(OR($B128="",P128=""),"",IFERROR(INDEX(Settings!$D$14:$D$33,MATCH(P128,Settings!$B$14:$B$33,0))&amp;"",IFERROR(LOOKUP(2^15,SEARCH(Settings!$F$14:$F$43,P128)/(Settings!$F$14:$F$43&lt;&gt;""),Settings!$G$14:$G$43),"")))</f>
        <v/>
      </c>
      <c r="BW128">
        <f>IF(OR($B128="",Q128=""),"",IFERROR(INDEX(Settings!$D$14:$D$33,MATCH(Q128,Settings!$B$14:$B$33,0))&amp;"",IFERROR(LOOKUP(2^15,SEARCH(Settings!$F$14:$F$43,Q128)/(Settings!$F$14:$F$43&lt;&gt;""),Settings!$G$14:$G$43),"")))</f>
        <v/>
      </c>
      <c r="BX128">
        <f>IF(OR($B128="",R128=""),"",IFERROR(INDEX(Settings!$D$14:$D$33,MATCH(R128,Settings!$B$14:$B$33,0))&amp;"",IFERROR(LOOKUP(2^15,SEARCH(Settings!$F$14:$F$43,R128)/(Settings!$F$14:$F$43&lt;&gt;""),Settings!$G$14:$G$43),"")))</f>
        <v/>
      </c>
      <c r="BY128">
        <f>IF(OR($B128="",S128=""),"",IFERROR(INDEX(Settings!$D$14:$D$33,MATCH(S128,Settings!$B$14:$B$33,0))&amp;"",IFERROR(LOOKUP(2^15,SEARCH(Settings!$F$14:$F$43,S128)/(Settings!$F$14:$F$43&lt;&gt;""),Settings!$G$14:$G$43),"")))</f>
        <v/>
      </c>
      <c r="BZ128">
        <f>IF(OR($B128="",T128=""),"",IFERROR(INDEX(Settings!$D$14:$D$33,MATCH(T128,Settings!$B$14:$B$33,0))&amp;"",IFERROR(LOOKUP(2^15,SEARCH(Settings!$F$14:$F$43,T128)/(Settings!$F$14:$F$43&lt;&gt;""),Settings!$G$14:$G$43),"")))</f>
        <v/>
      </c>
      <c r="CA128">
        <f>IF(OR($B128="",U128=""),"",IFERROR(INDEX(Settings!$D$14:$D$33,MATCH(U128,Settings!$B$14:$B$33,0))&amp;"",IFERROR(LOOKUP(2^15,SEARCH(Settings!$F$14:$F$43,U128)/(Settings!$F$14:$F$43&lt;&gt;""),Settings!$G$14:$G$43),"")))</f>
        <v/>
      </c>
      <c r="CB128">
        <f>IF(OR($B128="",V128=""),"",IFERROR(INDEX(Settings!$D$14:$D$33,MATCH(V128,Settings!$B$14:$B$33,0))&amp;"",IFERROR(LOOKUP(2^15,SEARCH(Settings!$F$14:$F$43,V128)/(Settings!$F$14:$F$43&lt;&gt;""),Settings!$G$14:$G$43),"")))</f>
        <v/>
      </c>
      <c r="CC128">
        <f>IF(OR($B128="",W128=""),"",IFERROR(INDEX(Settings!$D$14:$D$33,MATCH(W128,Settings!$B$14:$B$33,0))&amp;"",IFERROR(LOOKUP(2^15,SEARCH(Settings!$F$14:$F$43,W128)/(Settings!$F$14:$F$43&lt;&gt;""),Settings!$G$14:$G$43),"")))</f>
        <v/>
      </c>
      <c r="CD128">
        <f>IF(OR($B128="",X128=""),"",IFERROR(INDEX(Settings!$D$14:$D$33,MATCH(X128,Settings!$B$14:$B$33,0))&amp;"",IFERROR(LOOKUP(2^15,SEARCH(Settings!$F$14:$F$43,X128)/(Settings!$F$14:$F$43&lt;&gt;""),Settings!$G$14:$G$43),"")))</f>
        <v/>
      </c>
      <c r="CE128">
        <f>IF(OR($B128="",Y128=""),"",IFERROR(INDEX(Settings!$D$14:$D$33,MATCH(Y128,Settings!$B$14:$B$33,0))&amp;"",IFERROR(LOOKUP(2^15,SEARCH(Settings!$F$14:$F$43,Y128)/(Settings!$F$14:$F$43&lt;&gt;""),Settings!$G$14:$G$43),"")))</f>
        <v/>
      </c>
      <c r="CF128">
        <f>IF(OR($B128="",Z128=""),"",IFERROR(INDEX(Settings!$D$14:$D$33,MATCH(Z128,Settings!$B$14:$B$33,0))&amp;"",IFERROR(LOOKUP(2^15,SEARCH(Settings!$F$14:$F$43,Z128)/(Settings!$F$14:$F$43&lt;&gt;""),Settings!$G$14:$G$43),"")))</f>
        <v/>
      </c>
      <c r="CG128">
        <f>IF(OR($B128="",AA128=""),"",IFERROR(INDEX(Settings!$D$14:$D$33,MATCH(AA128,Settings!$B$14:$B$33,0))&amp;"",IFERROR(LOOKUP(2^15,SEARCH(Settings!$F$14:$F$43,AA128)/(Settings!$F$14:$F$43&lt;&gt;""),Settings!$G$14:$G$43),"")))</f>
        <v/>
      </c>
      <c r="CH128">
        <f>IF(OR($B128="",AB128=""),"",IFERROR(INDEX(Settings!$D$14:$D$33,MATCH(AB128,Settings!$B$14:$B$33,0))&amp;"",IFERROR(LOOKUP(2^15,SEARCH(Settings!$F$14:$F$43,AB128)/(Settings!$F$14:$F$43&lt;&gt;""),Settings!$G$14:$G$43),"")))</f>
        <v/>
      </c>
      <c r="CI128">
        <f>IF(OR($B128="",AC128=""),"",IFERROR(INDEX(Settings!$D$14:$D$33,MATCH(AC128,Settings!$B$14:$B$33,0))&amp;"",IFERROR(LOOKUP(2^15,SEARCH(Settings!$F$14:$F$43,AC128)/(Settings!$F$14:$F$43&lt;&gt;""),Settings!$G$14:$G$43),"")))</f>
        <v/>
      </c>
      <c r="CJ128">
        <f>IF(OR($B128="",AD128=""),"",IFERROR(INDEX(Settings!$D$14:$D$33,MATCH(AD128,Settings!$B$14:$B$33,0))&amp;"",IFERROR(LOOKUP(2^15,SEARCH(Settings!$F$14:$F$43,AD128)/(Settings!$F$14:$F$43&lt;&gt;""),Settings!$G$14:$G$43),"")))</f>
        <v/>
      </c>
      <c r="CK128">
        <f>IF(OR($B128="",AE128=""),"",IFERROR(INDEX(Settings!$D$14:$D$33,MATCH(AE128,Settings!$B$14:$B$33,0))&amp;"",IFERROR(LOOKUP(2^15,SEARCH(Settings!$F$14:$F$43,AE128)/(Settings!$F$14:$F$43&lt;&gt;""),Settings!$G$14:$G$43),"")))</f>
        <v/>
      </c>
      <c r="CL128">
        <f>IF(OR($B128="",AF128=""),"",IFERROR(INDEX(Settings!$D$14:$D$33,MATCH(AF128,Settings!$B$14:$B$33,0))&amp;"",IFERROR(LOOKUP(2^15,SEARCH(Settings!$F$14:$F$43,AF128)/(Settings!$F$14:$F$43&lt;&gt;""),Settings!$G$14:$G$43),"")))</f>
        <v/>
      </c>
      <c r="CM128">
        <f>IF(OR($B128="",AG128=""),"",IFERROR(INDEX(Settings!$D$14:$D$33,MATCH(AG128,Settings!$B$14:$B$33,0))&amp;"",IFERROR(LOOKUP(2^15,SEARCH(Settings!$F$14:$F$43,AG128)/(Settings!$F$14:$F$43&lt;&gt;""),Settings!$G$14:$G$43),"")))</f>
        <v/>
      </c>
    </row>
    <row r="129">
      <c r="A129" t="n">
        <v>127</v>
      </c>
      <c r="B129">
        <f>IFERROR(INDEX(Index!$A$2:$A$202,MATCH(A129,Index!$E$2:$E$202,0)),"")</f>
        <v/>
      </c>
      <c r="D129">
        <f>IF($B129="","",IFERROR(MATCH("Travel*",AI129:BJ129,0),""))</f>
        <v/>
      </c>
      <c r="F129">
        <f>IF(OR($B129="",NOT(ISNUMBER(Settings!$C$9))),"",TRIM(SUBSTITUTE(SUBSTITUTE(INDEX('INPUT - Roster'!$S$1:$SV$206,$B129,Settings!$C$9+0)&amp;"",CHAR(10)," "),CHAR(160)," ")))</f>
        <v/>
      </c>
      <c r="G129">
        <f>IF(OR($B129="",NOT(ISNUMBER(Settings!$C$9))),"",TRIM(SUBSTITUTE(SUBSTITUTE(INDEX('INPUT - Roster'!$S$1:$SV$206,$B129,Settings!$C$9+1)&amp;"",CHAR(10)," "),CHAR(160)," ")))</f>
        <v/>
      </c>
      <c r="H129">
        <f>IF(OR($B129="",NOT(ISNUMBER(Settings!$C$9))),"",TRIM(SUBSTITUTE(SUBSTITUTE(INDEX('INPUT - Roster'!$S$1:$SV$206,$B129,Settings!$C$9+2)&amp;"",CHAR(10)," "),CHAR(160)," ")))</f>
        <v/>
      </c>
      <c r="I129">
        <f>IF(OR($B129="",NOT(ISNUMBER(Settings!$C$9))),"",TRIM(SUBSTITUTE(SUBSTITUTE(INDEX('INPUT - Roster'!$S$1:$SV$206,$B129,Settings!$C$9+3)&amp;"",CHAR(10)," "),CHAR(160)," ")))</f>
        <v/>
      </c>
      <c r="J129">
        <f>IF(OR($B129="",NOT(ISNUMBER(Settings!$C$9))),"",TRIM(SUBSTITUTE(SUBSTITUTE(INDEX('INPUT - Roster'!$S$1:$SV$206,$B129,Settings!$C$9+4)&amp;"",CHAR(10)," "),CHAR(160)," ")))</f>
        <v/>
      </c>
      <c r="K129">
        <f>IF(OR($B129="",NOT(ISNUMBER(Settings!$C$9))),"",TRIM(SUBSTITUTE(SUBSTITUTE(INDEX('INPUT - Roster'!$S$1:$SV$206,$B129,Settings!$C$9+5)&amp;"",CHAR(10)," "),CHAR(160)," ")))</f>
        <v/>
      </c>
      <c r="L129">
        <f>IF(OR($B129="",NOT(ISNUMBER(Settings!$C$9))),"",TRIM(SUBSTITUTE(SUBSTITUTE(INDEX('INPUT - Roster'!$S$1:$SV$206,$B129,Settings!$C$9+6)&amp;"",CHAR(10)," "),CHAR(160)," ")))</f>
        <v/>
      </c>
      <c r="M129">
        <f>IF(OR($B129="",NOT(ISNUMBER(Settings!$C$9))),"",TRIM(SUBSTITUTE(SUBSTITUTE(INDEX('INPUT - Roster'!$S$1:$SV$206,$B129,Settings!$C$9+7)&amp;"",CHAR(10)," "),CHAR(160)," ")))</f>
        <v/>
      </c>
      <c r="N129">
        <f>IF(OR($B129="",NOT(ISNUMBER(Settings!$C$9))),"",TRIM(SUBSTITUTE(SUBSTITUTE(INDEX('INPUT - Roster'!$S$1:$SV$206,$B129,Settings!$C$9+8)&amp;"",CHAR(10)," "),CHAR(160)," ")))</f>
        <v/>
      </c>
      <c r="O129">
        <f>IF(OR($B129="",NOT(ISNUMBER(Settings!$C$9))),"",TRIM(SUBSTITUTE(SUBSTITUTE(INDEX('INPUT - Roster'!$S$1:$SV$206,$B129,Settings!$C$9+9)&amp;"",CHAR(10)," "),CHAR(160)," ")))</f>
        <v/>
      </c>
      <c r="P129">
        <f>IF(OR($B129="",NOT(ISNUMBER(Settings!$C$9))),"",TRIM(SUBSTITUTE(SUBSTITUTE(INDEX('INPUT - Roster'!$S$1:$SV$206,$B129,Settings!$C$9+10)&amp;"",CHAR(10)," "),CHAR(160)," ")))</f>
        <v/>
      </c>
      <c r="Q129">
        <f>IF(OR($B129="",NOT(ISNUMBER(Settings!$C$9))),"",TRIM(SUBSTITUTE(SUBSTITUTE(INDEX('INPUT - Roster'!$S$1:$SV$206,$B129,Settings!$C$9+11)&amp;"",CHAR(10)," "),CHAR(160)," ")))</f>
        <v/>
      </c>
      <c r="R129">
        <f>IF(OR($B129="",NOT(ISNUMBER(Settings!$C$9))),"",TRIM(SUBSTITUTE(SUBSTITUTE(INDEX('INPUT - Roster'!$S$1:$SV$206,$B129,Settings!$C$9+12)&amp;"",CHAR(10)," "),CHAR(160)," ")))</f>
        <v/>
      </c>
      <c r="S129">
        <f>IF(OR($B129="",NOT(ISNUMBER(Settings!$C$9))),"",TRIM(SUBSTITUTE(SUBSTITUTE(INDEX('INPUT - Roster'!$S$1:$SV$206,$B129,Settings!$C$9+13)&amp;"",CHAR(10)," "),CHAR(160)," ")))</f>
        <v/>
      </c>
      <c r="T129">
        <f>IF(OR($B129="",NOT(ISNUMBER(Settings!$C$9))),"",TRIM(SUBSTITUTE(SUBSTITUTE(INDEX('INPUT - Roster'!$S$1:$SV$206,$B129,Settings!$C$9+14)&amp;"",CHAR(10)," "),CHAR(160)," ")))</f>
        <v/>
      </c>
      <c r="U129">
        <f>IF(OR($B129="",NOT(ISNUMBER(Settings!$C$9))),"",TRIM(SUBSTITUTE(SUBSTITUTE(INDEX('INPUT - Roster'!$S$1:$SV$206,$B129,Settings!$C$9+15)&amp;"",CHAR(10)," "),CHAR(160)," ")))</f>
        <v/>
      </c>
      <c r="V129">
        <f>IF(OR($B129="",NOT(ISNUMBER(Settings!$C$9))),"",TRIM(SUBSTITUTE(SUBSTITUTE(INDEX('INPUT - Roster'!$S$1:$SV$206,$B129,Settings!$C$9+16)&amp;"",CHAR(10)," "),CHAR(160)," ")))</f>
        <v/>
      </c>
      <c r="W129">
        <f>IF(OR($B129="",NOT(ISNUMBER(Settings!$C$9))),"",TRIM(SUBSTITUTE(SUBSTITUTE(INDEX('INPUT - Roster'!$S$1:$SV$206,$B129,Settings!$C$9+17)&amp;"",CHAR(10)," "),CHAR(160)," ")))</f>
        <v/>
      </c>
      <c r="X129">
        <f>IF(OR($B129="",NOT(ISNUMBER(Settings!$C$9))),"",TRIM(SUBSTITUTE(SUBSTITUTE(INDEX('INPUT - Roster'!$S$1:$SV$206,$B129,Settings!$C$9+18)&amp;"",CHAR(10)," "),CHAR(160)," ")))</f>
        <v/>
      </c>
      <c r="Y129">
        <f>IF(OR($B129="",NOT(ISNUMBER(Settings!$C$9))),"",TRIM(SUBSTITUTE(SUBSTITUTE(INDEX('INPUT - Roster'!$S$1:$SV$206,$B129,Settings!$C$9+19)&amp;"",CHAR(10)," "),CHAR(160)," ")))</f>
        <v/>
      </c>
      <c r="Z129">
        <f>IF(OR($B129="",NOT(ISNUMBER(Settings!$C$9))),"",TRIM(SUBSTITUTE(SUBSTITUTE(INDEX('INPUT - Roster'!$S$1:$SV$206,$B129,Settings!$C$9+20)&amp;"",CHAR(10)," "),CHAR(160)," ")))</f>
        <v/>
      </c>
      <c r="AA129">
        <f>IF(OR($B129="",NOT(ISNUMBER(Settings!$C$9))),"",TRIM(SUBSTITUTE(SUBSTITUTE(INDEX('INPUT - Roster'!$S$1:$SV$206,$B129,Settings!$C$9+21)&amp;"",CHAR(10)," "),CHAR(160)," ")))</f>
        <v/>
      </c>
      <c r="AB129">
        <f>IF(OR($B129="",NOT(ISNUMBER(Settings!$C$9))),"",TRIM(SUBSTITUTE(SUBSTITUTE(INDEX('INPUT - Roster'!$S$1:$SV$206,$B129,Settings!$C$9+22)&amp;"",CHAR(10)," "),CHAR(160)," ")))</f>
        <v/>
      </c>
      <c r="AC129">
        <f>IF(OR($B129="",NOT(ISNUMBER(Settings!$C$9))),"",TRIM(SUBSTITUTE(SUBSTITUTE(INDEX('INPUT - Roster'!$S$1:$SV$206,$B129,Settings!$C$9+23)&amp;"",CHAR(10)," "),CHAR(160)," ")))</f>
        <v/>
      </c>
      <c r="AD129">
        <f>IF(OR($B129="",NOT(ISNUMBER(Settings!$C$9))),"",TRIM(SUBSTITUTE(SUBSTITUTE(INDEX('INPUT - Roster'!$S$1:$SV$206,$B129,Settings!$C$9+24)&amp;"",CHAR(10)," "),CHAR(160)," ")))</f>
        <v/>
      </c>
      <c r="AE129">
        <f>IF(OR($B129="",NOT(ISNUMBER(Settings!$C$9))),"",TRIM(SUBSTITUTE(SUBSTITUTE(INDEX('INPUT - Roster'!$S$1:$SV$206,$B129,Settings!$C$9+25)&amp;"",CHAR(10)," "),CHAR(160)," ")))</f>
        <v/>
      </c>
      <c r="AF129">
        <f>IF(OR($B129="",NOT(ISNUMBER(Settings!$C$9))),"",TRIM(SUBSTITUTE(SUBSTITUTE(INDEX('INPUT - Roster'!$S$1:$SV$206,$B129,Settings!$C$9+26)&amp;"",CHAR(10)," "),CHAR(160)," ")))</f>
        <v/>
      </c>
      <c r="AG129">
        <f>IF(OR($B129="",NOT(ISNUMBER(Settings!$C$9))),"",TRIM(SUBSTITUTE(SUBSTITUTE(INDEX('INPUT - Roster'!$S$1:$SV$206,$B129,Settings!$C$9+27)&amp;"",CHAR(10)," "),CHAR(160)," ")))</f>
        <v/>
      </c>
      <c r="AI129">
        <f>IF($B129="","",IF(F129="","Not rostered",IFERROR(INDEX(Settings!$C$14:$C$33,MATCH(F129,Settings!$B$14:$B$33,0)),IFERROR(LOOKUP(2^15,SEARCH(Settings!$I$14:$I$83,F129)/(Settings!$I$14:$I$83&lt;&gt;""),Settings!$J$14:$J$83),"Other"))))</f>
        <v/>
      </c>
      <c r="AJ129">
        <f>IF($B129="","",IF(G129="","Not rostered",IFERROR(INDEX(Settings!$C$14:$C$33,MATCH(G129,Settings!$B$14:$B$33,0)),IFERROR(LOOKUP(2^15,SEARCH(Settings!$I$14:$I$83,G129)/(Settings!$I$14:$I$83&lt;&gt;""),Settings!$J$14:$J$83),"Other"))))</f>
        <v/>
      </c>
      <c r="AK129">
        <f>IF($B129="","",IF(H129="","Not rostered",IFERROR(INDEX(Settings!$C$14:$C$33,MATCH(H129,Settings!$B$14:$B$33,0)),IFERROR(LOOKUP(2^15,SEARCH(Settings!$I$14:$I$83,H129)/(Settings!$I$14:$I$83&lt;&gt;""),Settings!$J$14:$J$83),"Other"))))</f>
        <v/>
      </c>
      <c r="AL129">
        <f>IF($B129="","",IF(I129="","Not rostered",IFERROR(INDEX(Settings!$C$14:$C$33,MATCH(I129,Settings!$B$14:$B$33,0)),IFERROR(LOOKUP(2^15,SEARCH(Settings!$I$14:$I$83,I129)/(Settings!$I$14:$I$83&lt;&gt;""),Settings!$J$14:$J$83),"Other"))))</f>
        <v/>
      </c>
      <c r="AM129">
        <f>IF($B129="","",IF(J129="","Not rostered",IFERROR(INDEX(Settings!$C$14:$C$33,MATCH(J129,Settings!$B$14:$B$33,0)),IFERROR(LOOKUP(2^15,SEARCH(Settings!$I$14:$I$83,J129)/(Settings!$I$14:$I$83&lt;&gt;""),Settings!$J$14:$J$83),"Other"))))</f>
        <v/>
      </c>
      <c r="AN129">
        <f>IF($B129="","",IF(K129="","Not rostered",IFERROR(INDEX(Settings!$C$14:$C$33,MATCH(K129,Settings!$B$14:$B$33,0)),IFERROR(LOOKUP(2^15,SEARCH(Settings!$I$14:$I$83,K129)/(Settings!$I$14:$I$83&lt;&gt;""),Settings!$J$14:$J$83),"Other"))))</f>
        <v/>
      </c>
      <c r="AO129">
        <f>IF($B129="","",IF(L129="","Not rostered",IFERROR(INDEX(Settings!$C$14:$C$33,MATCH(L129,Settings!$B$14:$B$33,0)),IFERROR(LOOKUP(2^15,SEARCH(Settings!$I$14:$I$83,L129)/(Settings!$I$14:$I$83&lt;&gt;""),Settings!$J$14:$J$83),"Other"))))</f>
        <v/>
      </c>
      <c r="AP129">
        <f>IF($B129="","",IF(M129="","Not rostered",IFERROR(INDEX(Settings!$C$14:$C$33,MATCH(M129,Settings!$B$14:$B$33,0)),IFERROR(LOOKUP(2^15,SEARCH(Settings!$I$14:$I$83,M129)/(Settings!$I$14:$I$83&lt;&gt;""),Settings!$J$14:$J$83),"Other"))))</f>
        <v/>
      </c>
      <c r="AQ129">
        <f>IF($B129="","",IF(N129="","Not rostered",IFERROR(INDEX(Settings!$C$14:$C$33,MATCH(N129,Settings!$B$14:$B$33,0)),IFERROR(LOOKUP(2^15,SEARCH(Settings!$I$14:$I$83,N129)/(Settings!$I$14:$I$83&lt;&gt;""),Settings!$J$14:$J$83),"Other"))))</f>
        <v/>
      </c>
      <c r="AR129">
        <f>IF($B129="","",IF(O129="","Not rostered",IFERROR(INDEX(Settings!$C$14:$C$33,MATCH(O129,Settings!$B$14:$B$33,0)),IFERROR(LOOKUP(2^15,SEARCH(Settings!$I$14:$I$83,O129)/(Settings!$I$14:$I$83&lt;&gt;""),Settings!$J$14:$J$83),"Other"))))</f>
        <v/>
      </c>
      <c r="AS129">
        <f>IF($B129="","",IF(P129="","Not rostered",IFERROR(INDEX(Settings!$C$14:$C$33,MATCH(P129,Settings!$B$14:$B$33,0)),IFERROR(LOOKUP(2^15,SEARCH(Settings!$I$14:$I$83,P129)/(Settings!$I$14:$I$83&lt;&gt;""),Settings!$J$14:$J$83),"Other"))))</f>
        <v/>
      </c>
      <c r="AT129">
        <f>IF($B129="","",IF(Q129="","Not rostered",IFERROR(INDEX(Settings!$C$14:$C$33,MATCH(Q129,Settings!$B$14:$B$33,0)),IFERROR(LOOKUP(2^15,SEARCH(Settings!$I$14:$I$83,Q129)/(Settings!$I$14:$I$83&lt;&gt;""),Settings!$J$14:$J$83),"Other"))))</f>
        <v/>
      </c>
      <c r="AU129">
        <f>IF($B129="","",IF(R129="","Not rostered",IFERROR(INDEX(Settings!$C$14:$C$33,MATCH(R129,Settings!$B$14:$B$33,0)),IFERROR(LOOKUP(2^15,SEARCH(Settings!$I$14:$I$83,R129)/(Settings!$I$14:$I$83&lt;&gt;""),Settings!$J$14:$J$83),"Other"))))</f>
        <v/>
      </c>
      <c r="AV129">
        <f>IF($B129="","",IF(S129="","Not rostered",IFERROR(INDEX(Settings!$C$14:$C$33,MATCH(S129,Settings!$B$14:$B$33,0)),IFERROR(LOOKUP(2^15,SEARCH(Settings!$I$14:$I$83,S129)/(Settings!$I$14:$I$83&lt;&gt;""),Settings!$J$14:$J$83),"Other"))))</f>
        <v/>
      </c>
      <c r="AW129">
        <f>IF($B129="","",IF(T129="","Not rostered",IFERROR(INDEX(Settings!$C$14:$C$33,MATCH(T129,Settings!$B$14:$B$33,0)),IFERROR(LOOKUP(2^15,SEARCH(Settings!$I$14:$I$83,T129)/(Settings!$I$14:$I$83&lt;&gt;""),Settings!$J$14:$J$83),"Other"))))</f>
        <v/>
      </c>
      <c r="AX129">
        <f>IF($B129="","",IF(U129="","Not rostered",IFERROR(INDEX(Settings!$C$14:$C$33,MATCH(U129,Settings!$B$14:$B$33,0)),IFERROR(LOOKUP(2^15,SEARCH(Settings!$I$14:$I$83,U129)/(Settings!$I$14:$I$83&lt;&gt;""),Settings!$J$14:$J$83),"Other"))))</f>
        <v/>
      </c>
      <c r="AY129">
        <f>IF($B129="","",IF(V129="","Not rostered",IFERROR(INDEX(Settings!$C$14:$C$33,MATCH(V129,Settings!$B$14:$B$33,0)),IFERROR(LOOKUP(2^15,SEARCH(Settings!$I$14:$I$83,V129)/(Settings!$I$14:$I$83&lt;&gt;""),Settings!$J$14:$J$83),"Other"))))</f>
        <v/>
      </c>
      <c r="AZ129">
        <f>IF($B129="","",IF(W129="","Not rostered",IFERROR(INDEX(Settings!$C$14:$C$33,MATCH(W129,Settings!$B$14:$B$33,0)),IFERROR(LOOKUP(2^15,SEARCH(Settings!$I$14:$I$83,W129)/(Settings!$I$14:$I$83&lt;&gt;""),Settings!$J$14:$J$83),"Other"))))</f>
        <v/>
      </c>
      <c r="BA129">
        <f>IF($B129="","",IF(X129="","Not rostered",IFERROR(INDEX(Settings!$C$14:$C$33,MATCH(X129,Settings!$B$14:$B$33,0)),IFERROR(LOOKUP(2^15,SEARCH(Settings!$I$14:$I$83,X129)/(Settings!$I$14:$I$83&lt;&gt;""),Settings!$J$14:$J$83),"Other"))))</f>
        <v/>
      </c>
      <c r="BB129">
        <f>IF($B129="","",IF(Y129="","Not rostered",IFERROR(INDEX(Settings!$C$14:$C$33,MATCH(Y129,Settings!$B$14:$B$33,0)),IFERROR(LOOKUP(2^15,SEARCH(Settings!$I$14:$I$83,Y129)/(Settings!$I$14:$I$83&lt;&gt;""),Settings!$J$14:$J$83),"Other"))))</f>
        <v/>
      </c>
      <c r="BC129">
        <f>IF($B129="","",IF(Z129="","Not rostered",IFERROR(INDEX(Settings!$C$14:$C$33,MATCH(Z129,Settings!$B$14:$B$33,0)),IFERROR(LOOKUP(2^15,SEARCH(Settings!$I$14:$I$83,Z129)/(Settings!$I$14:$I$83&lt;&gt;""),Settings!$J$14:$J$83),"Other"))))</f>
        <v/>
      </c>
      <c r="BD129">
        <f>IF($B129="","",IF(AA129="","Not rostered",IFERROR(INDEX(Settings!$C$14:$C$33,MATCH(AA129,Settings!$B$14:$B$33,0)),IFERROR(LOOKUP(2^15,SEARCH(Settings!$I$14:$I$83,AA129)/(Settings!$I$14:$I$83&lt;&gt;""),Settings!$J$14:$J$83),"Other"))))</f>
        <v/>
      </c>
      <c r="BE129">
        <f>IF($B129="","",IF(AB129="","Not rostered",IFERROR(INDEX(Settings!$C$14:$C$33,MATCH(AB129,Settings!$B$14:$B$33,0)),IFERROR(LOOKUP(2^15,SEARCH(Settings!$I$14:$I$83,AB129)/(Settings!$I$14:$I$83&lt;&gt;""),Settings!$J$14:$J$83),"Other"))))</f>
        <v/>
      </c>
      <c r="BF129">
        <f>IF($B129="","",IF(AC129="","Not rostered",IFERROR(INDEX(Settings!$C$14:$C$33,MATCH(AC129,Settings!$B$14:$B$33,0)),IFERROR(LOOKUP(2^15,SEARCH(Settings!$I$14:$I$83,AC129)/(Settings!$I$14:$I$83&lt;&gt;""),Settings!$J$14:$J$83),"Other"))))</f>
        <v/>
      </c>
      <c r="BG129">
        <f>IF($B129="","",IF(AD129="","Not rostered",IFERROR(INDEX(Settings!$C$14:$C$33,MATCH(AD129,Settings!$B$14:$B$33,0)),IFERROR(LOOKUP(2^15,SEARCH(Settings!$I$14:$I$83,AD129)/(Settings!$I$14:$I$83&lt;&gt;""),Settings!$J$14:$J$83),"Other"))))</f>
        <v/>
      </c>
      <c r="BH129">
        <f>IF($B129="","",IF(AE129="","Not rostered",IFERROR(INDEX(Settings!$C$14:$C$33,MATCH(AE129,Settings!$B$14:$B$33,0)),IFERROR(LOOKUP(2^15,SEARCH(Settings!$I$14:$I$83,AE129)/(Settings!$I$14:$I$83&lt;&gt;""),Settings!$J$14:$J$83),"Other"))))</f>
        <v/>
      </c>
      <c r="BI129">
        <f>IF($B129="","",IF(AF129="","Not rostered",IFERROR(INDEX(Settings!$C$14:$C$33,MATCH(AF129,Settings!$B$14:$B$33,0)),IFERROR(LOOKUP(2^15,SEARCH(Settings!$I$14:$I$83,AF129)/(Settings!$I$14:$I$83&lt;&gt;""),Settings!$J$14:$J$83),"Other"))))</f>
        <v/>
      </c>
      <c r="BJ129">
        <f>IF($B129="","",IF(AG129="","Not rostered",IFERROR(INDEX(Settings!$C$14:$C$33,MATCH(AG129,Settings!$B$14:$B$33,0)),IFERROR(LOOKUP(2^15,SEARCH(Settings!$I$14:$I$83,AG129)/(Settings!$I$14:$I$83&lt;&gt;""),Settings!$J$14:$J$83),"Other"))))</f>
        <v/>
      </c>
      <c r="BL129">
        <f>IF(OR($B129="",F129=""),"",IFERROR(INDEX(Settings!$D$14:$D$33,MATCH(F129,Settings!$B$14:$B$33,0))&amp;"",IFERROR(LOOKUP(2^15,SEARCH(Settings!$F$14:$F$43,F129)/(Settings!$F$14:$F$43&lt;&gt;""),Settings!$G$14:$G$43),"")))</f>
        <v/>
      </c>
      <c r="BM129">
        <f>IF(OR($B129="",G129=""),"",IFERROR(INDEX(Settings!$D$14:$D$33,MATCH(G129,Settings!$B$14:$B$33,0))&amp;"",IFERROR(LOOKUP(2^15,SEARCH(Settings!$F$14:$F$43,G129)/(Settings!$F$14:$F$43&lt;&gt;""),Settings!$G$14:$G$43),"")))</f>
        <v/>
      </c>
      <c r="BN129">
        <f>IF(OR($B129="",H129=""),"",IFERROR(INDEX(Settings!$D$14:$D$33,MATCH(H129,Settings!$B$14:$B$33,0))&amp;"",IFERROR(LOOKUP(2^15,SEARCH(Settings!$F$14:$F$43,H129)/(Settings!$F$14:$F$43&lt;&gt;""),Settings!$G$14:$G$43),"")))</f>
        <v/>
      </c>
      <c r="BO129">
        <f>IF(OR($B129="",I129=""),"",IFERROR(INDEX(Settings!$D$14:$D$33,MATCH(I129,Settings!$B$14:$B$33,0))&amp;"",IFERROR(LOOKUP(2^15,SEARCH(Settings!$F$14:$F$43,I129)/(Settings!$F$14:$F$43&lt;&gt;""),Settings!$G$14:$G$43),"")))</f>
        <v/>
      </c>
      <c r="BP129">
        <f>IF(OR($B129="",J129=""),"",IFERROR(INDEX(Settings!$D$14:$D$33,MATCH(J129,Settings!$B$14:$B$33,0))&amp;"",IFERROR(LOOKUP(2^15,SEARCH(Settings!$F$14:$F$43,J129)/(Settings!$F$14:$F$43&lt;&gt;""),Settings!$G$14:$G$43),"")))</f>
        <v/>
      </c>
      <c r="BQ129">
        <f>IF(OR($B129="",K129=""),"",IFERROR(INDEX(Settings!$D$14:$D$33,MATCH(K129,Settings!$B$14:$B$33,0))&amp;"",IFERROR(LOOKUP(2^15,SEARCH(Settings!$F$14:$F$43,K129)/(Settings!$F$14:$F$43&lt;&gt;""),Settings!$G$14:$G$43),"")))</f>
        <v/>
      </c>
      <c r="BR129">
        <f>IF(OR($B129="",L129=""),"",IFERROR(INDEX(Settings!$D$14:$D$33,MATCH(L129,Settings!$B$14:$B$33,0))&amp;"",IFERROR(LOOKUP(2^15,SEARCH(Settings!$F$14:$F$43,L129)/(Settings!$F$14:$F$43&lt;&gt;""),Settings!$G$14:$G$43),"")))</f>
        <v/>
      </c>
      <c r="BS129">
        <f>IF(OR($B129="",M129=""),"",IFERROR(INDEX(Settings!$D$14:$D$33,MATCH(M129,Settings!$B$14:$B$33,0))&amp;"",IFERROR(LOOKUP(2^15,SEARCH(Settings!$F$14:$F$43,M129)/(Settings!$F$14:$F$43&lt;&gt;""),Settings!$G$14:$G$43),"")))</f>
        <v/>
      </c>
      <c r="BT129">
        <f>IF(OR($B129="",N129=""),"",IFERROR(INDEX(Settings!$D$14:$D$33,MATCH(N129,Settings!$B$14:$B$33,0))&amp;"",IFERROR(LOOKUP(2^15,SEARCH(Settings!$F$14:$F$43,N129)/(Settings!$F$14:$F$43&lt;&gt;""),Settings!$G$14:$G$43),"")))</f>
        <v/>
      </c>
      <c r="BU129">
        <f>IF(OR($B129="",O129=""),"",IFERROR(INDEX(Settings!$D$14:$D$33,MATCH(O129,Settings!$B$14:$B$33,0))&amp;"",IFERROR(LOOKUP(2^15,SEARCH(Settings!$F$14:$F$43,O129)/(Settings!$F$14:$F$43&lt;&gt;""),Settings!$G$14:$G$43),"")))</f>
        <v/>
      </c>
      <c r="BV129">
        <f>IF(OR($B129="",P129=""),"",IFERROR(INDEX(Settings!$D$14:$D$33,MATCH(P129,Settings!$B$14:$B$33,0))&amp;"",IFERROR(LOOKUP(2^15,SEARCH(Settings!$F$14:$F$43,P129)/(Settings!$F$14:$F$43&lt;&gt;""),Settings!$G$14:$G$43),"")))</f>
        <v/>
      </c>
      <c r="BW129">
        <f>IF(OR($B129="",Q129=""),"",IFERROR(INDEX(Settings!$D$14:$D$33,MATCH(Q129,Settings!$B$14:$B$33,0))&amp;"",IFERROR(LOOKUP(2^15,SEARCH(Settings!$F$14:$F$43,Q129)/(Settings!$F$14:$F$43&lt;&gt;""),Settings!$G$14:$G$43),"")))</f>
        <v/>
      </c>
      <c r="BX129">
        <f>IF(OR($B129="",R129=""),"",IFERROR(INDEX(Settings!$D$14:$D$33,MATCH(R129,Settings!$B$14:$B$33,0))&amp;"",IFERROR(LOOKUP(2^15,SEARCH(Settings!$F$14:$F$43,R129)/(Settings!$F$14:$F$43&lt;&gt;""),Settings!$G$14:$G$43),"")))</f>
        <v/>
      </c>
      <c r="BY129">
        <f>IF(OR($B129="",S129=""),"",IFERROR(INDEX(Settings!$D$14:$D$33,MATCH(S129,Settings!$B$14:$B$33,0))&amp;"",IFERROR(LOOKUP(2^15,SEARCH(Settings!$F$14:$F$43,S129)/(Settings!$F$14:$F$43&lt;&gt;""),Settings!$G$14:$G$43),"")))</f>
        <v/>
      </c>
      <c r="BZ129">
        <f>IF(OR($B129="",T129=""),"",IFERROR(INDEX(Settings!$D$14:$D$33,MATCH(T129,Settings!$B$14:$B$33,0))&amp;"",IFERROR(LOOKUP(2^15,SEARCH(Settings!$F$14:$F$43,T129)/(Settings!$F$14:$F$43&lt;&gt;""),Settings!$G$14:$G$43),"")))</f>
        <v/>
      </c>
      <c r="CA129">
        <f>IF(OR($B129="",U129=""),"",IFERROR(INDEX(Settings!$D$14:$D$33,MATCH(U129,Settings!$B$14:$B$33,0))&amp;"",IFERROR(LOOKUP(2^15,SEARCH(Settings!$F$14:$F$43,U129)/(Settings!$F$14:$F$43&lt;&gt;""),Settings!$G$14:$G$43),"")))</f>
        <v/>
      </c>
      <c r="CB129">
        <f>IF(OR($B129="",V129=""),"",IFERROR(INDEX(Settings!$D$14:$D$33,MATCH(V129,Settings!$B$14:$B$33,0))&amp;"",IFERROR(LOOKUP(2^15,SEARCH(Settings!$F$14:$F$43,V129)/(Settings!$F$14:$F$43&lt;&gt;""),Settings!$G$14:$G$43),"")))</f>
        <v/>
      </c>
      <c r="CC129">
        <f>IF(OR($B129="",W129=""),"",IFERROR(INDEX(Settings!$D$14:$D$33,MATCH(W129,Settings!$B$14:$B$33,0))&amp;"",IFERROR(LOOKUP(2^15,SEARCH(Settings!$F$14:$F$43,W129)/(Settings!$F$14:$F$43&lt;&gt;""),Settings!$G$14:$G$43),"")))</f>
        <v/>
      </c>
      <c r="CD129">
        <f>IF(OR($B129="",X129=""),"",IFERROR(INDEX(Settings!$D$14:$D$33,MATCH(X129,Settings!$B$14:$B$33,0))&amp;"",IFERROR(LOOKUP(2^15,SEARCH(Settings!$F$14:$F$43,X129)/(Settings!$F$14:$F$43&lt;&gt;""),Settings!$G$14:$G$43),"")))</f>
        <v/>
      </c>
      <c r="CE129">
        <f>IF(OR($B129="",Y129=""),"",IFERROR(INDEX(Settings!$D$14:$D$33,MATCH(Y129,Settings!$B$14:$B$33,0))&amp;"",IFERROR(LOOKUP(2^15,SEARCH(Settings!$F$14:$F$43,Y129)/(Settings!$F$14:$F$43&lt;&gt;""),Settings!$G$14:$G$43),"")))</f>
        <v/>
      </c>
      <c r="CF129">
        <f>IF(OR($B129="",Z129=""),"",IFERROR(INDEX(Settings!$D$14:$D$33,MATCH(Z129,Settings!$B$14:$B$33,0))&amp;"",IFERROR(LOOKUP(2^15,SEARCH(Settings!$F$14:$F$43,Z129)/(Settings!$F$14:$F$43&lt;&gt;""),Settings!$G$14:$G$43),"")))</f>
        <v/>
      </c>
      <c r="CG129">
        <f>IF(OR($B129="",AA129=""),"",IFERROR(INDEX(Settings!$D$14:$D$33,MATCH(AA129,Settings!$B$14:$B$33,0))&amp;"",IFERROR(LOOKUP(2^15,SEARCH(Settings!$F$14:$F$43,AA129)/(Settings!$F$14:$F$43&lt;&gt;""),Settings!$G$14:$G$43),"")))</f>
        <v/>
      </c>
      <c r="CH129">
        <f>IF(OR($B129="",AB129=""),"",IFERROR(INDEX(Settings!$D$14:$D$33,MATCH(AB129,Settings!$B$14:$B$33,0))&amp;"",IFERROR(LOOKUP(2^15,SEARCH(Settings!$F$14:$F$43,AB129)/(Settings!$F$14:$F$43&lt;&gt;""),Settings!$G$14:$G$43),"")))</f>
        <v/>
      </c>
      <c r="CI129">
        <f>IF(OR($B129="",AC129=""),"",IFERROR(INDEX(Settings!$D$14:$D$33,MATCH(AC129,Settings!$B$14:$B$33,0))&amp;"",IFERROR(LOOKUP(2^15,SEARCH(Settings!$F$14:$F$43,AC129)/(Settings!$F$14:$F$43&lt;&gt;""),Settings!$G$14:$G$43),"")))</f>
        <v/>
      </c>
      <c r="CJ129">
        <f>IF(OR($B129="",AD129=""),"",IFERROR(INDEX(Settings!$D$14:$D$33,MATCH(AD129,Settings!$B$14:$B$33,0))&amp;"",IFERROR(LOOKUP(2^15,SEARCH(Settings!$F$14:$F$43,AD129)/(Settings!$F$14:$F$43&lt;&gt;""),Settings!$G$14:$G$43),"")))</f>
        <v/>
      </c>
      <c r="CK129">
        <f>IF(OR($B129="",AE129=""),"",IFERROR(INDEX(Settings!$D$14:$D$33,MATCH(AE129,Settings!$B$14:$B$33,0))&amp;"",IFERROR(LOOKUP(2^15,SEARCH(Settings!$F$14:$F$43,AE129)/(Settings!$F$14:$F$43&lt;&gt;""),Settings!$G$14:$G$43),"")))</f>
        <v/>
      </c>
      <c r="CL129">
        <f>IF(OR($B129="",AF129=""),"",IFERROR(INDEX(Settings!$D$14:$D$33,MATCH(AF129,Settings!$B$14:$B$33,0))&amp;"",IFERROR(LOOKUP(2^15,SEARCH(Settings!$F$14:$F$43,AF129)/(Settings!$F$14:$F$43&lt;&gt;""),Settings!$G$14:$G$43),"")))</f>
        <v/>
      </c>
      <c r="CM129">
        <f>IF(OR($B129="",AG129=""),"",IFERROR(INDEX(Settings!$D$14:$D$33,MATCH(AG129,Settings!$B$14:$B$33,0))&amp;"",IFERROR(LOOKUP(2^15,SEARCH(Settings!$F$14:$F$43,AG129)/(Settings!$F$14:$F$43&lt;&gt;""),Settings!$G$14:$G$43),"")))</f>
        <v/>
      </c>
    </row>
    <row r="130">
      <c r="A130" t="n">
        <v>128</v>
      </c>
      <c r="B130">
        <f>IFERROR(INDEX(Index!$A$2:$A$202,MATCH(A130,Index!$E$2:$E$202,0)),"")</f>
        <v/>
      </c>
      <c r="D130">
        <f>IF($B130="","",IFERROR(MATCH("Travel*",AI130:BJ130,0),""))</f>
        <v/>
      </c>
      <c r="F130">
        <f>IF(OR($B130="",NOT(ISNUMBER(Settings!$C$9))),"",TRIM(SUBSTITUTE(SUBSTITUTE(INDEX('INPUT - Roster'!$S$1:$SV$206,$B130,Settings!$C$9+0)&amp;"",CHAR(10)," "),CHAR(160)," ")))</f>
        <v/>
      </c>
      <c r="G130">
        <f>IF(OR($B130="",NOT(ISNUMBER(Settings!$C$9))),"",TRIM(SUBSTITUTE(SUBSTITUTE(INDEX('INPUT - Roster'!$S$1:$SV$206,$B130,Settings!$C$9+1)&amp;"",CHAR(10)," "),CHAR(160)," ")))</f>
        <v/>
      </c>
      <c r="H130">
        <f>IF(OR($B130="",NOT(ISNUMBER(Settings!$C$9))),"",TRIM(SUBSTITUTE(SUBSTITUTE(INDEX('INPUT - Roster'!$S$1:$SV$206,$B130,Settings!$C$9+2)&amp;"",CHAR(10)," "),CHAR(160)," ")))</f>
        <v/>
      </c>
      <c r="I130">
        <f>IF(OR($B130="",NOT(ISNUMBER(Settings!$C$9))),"",TRIM(SUBSTITUTE(SUBSTITUTE(INDEX('INPUT - Roster'!$S$1:$SV$206,$B130,Settings!$C$9+3)&amp;"",CHAR(10)," "),CHAR(160)," ")))</f>
        <v/>
      </c>
      <c r="J130">
        <f>IF(OR($B130="",NOT(ISNUMBER(Settings!$C$9))),"",TRIM(SUBSTITUTE(SUBSTITUTE(INDEX('INPUT - Roster'!$S$1:$SV$206,$B130,Settings!$C$9+4)&amp;"",CHAR(10)," "),CHAR(160)," ")))</f>
        <v/>
      </c>
      <c r="K130">
        <f>IF(OR($B130="",NOT(ISNUMBER(Settings!$C$9))),"",TRIM(SUBSTITUTE(SUBSTITUTE(INDEX('INPUT - Roster'!$S$1:$SV$206,$B130,Settings!$C$9+5)&amp;"",CHAR(10)," "),CHAR(160)," ")))</f>
        <v/>
      </c>
      <c r="L130">
        <f>IF(OR($B130="",NOT(ISNUMBER(Settings!$C$9))),"",TRIM(SUBSTITUTE(SUBSTITUTE(INDEX('INPUT - Roster'!$S$1:$SV$206,$B130,Settings!$C$9+6)&amp;"",CHAR(10)," "),CHAR(160)," ")))</f>
        <v/>
      </c>
      <c r="M130">
        <f>IF(OR($B130="",NOT(ISNUMBER(Settings!$C$9))),"",TRIM(SUBSTITUTE(SUBSTITUTE(INDEX('INPUT - Roster'!$S$1:$SV$206,$B130,Settings!$C$9+7)&amp;"",CHAR(10)," "),CHAR(160)," ")))</f>
        <v/>
      </c>
      <c r="N130">
        <f>IF(OR($B130="",NOT(ISNUMBER(Settings!$C$9))),"",TRIM(SUBSTITUTE(SUBSTITUTE(INDEX('INPUT - Roster'!$S$1:$SV$206,$B130,Settings!$C$9+8)&amp;"",CHAR(10)," "),CHAR(160)," ")))</f>
        <v/>
      </c>
      <c r="O130">
        <f>IF(OR($B130="",NOT(ISNUMBER(Settings!$C$9))),"",TRIM(SUBSTITUTE(SUBSTITUTE(INDEX('INPUT - Roster'!$S$1:$SV$206,$B130,Settings!$C$9+9)&amp;"",CHAR(10)," "),CHAR(160)," ")))</f>
        <v/>
      </c>
      <c r="P130">
        <f>IF(OR($B130="",NOT(ISNUMBER(Settings!$C$9))),"",TRIM(SUBSTITUTE(SUBSTITUTE(INDEX('INPUT - Roster'!$S$1:$SV$206,$B130,Settings!$C$9+10)&amp;"",CHAR(10)," "),CHAR(160)," ")))</f>
        <v/>
      </c>
      <c r="Q130">
        <f>IF(OR($B130="",NOT(ISNUMBER(Settings!$C$9))),"",TRIM(SUBSTITUTE(SUBSTITUTE(INDEX('INPUT - Roster'!$S$1:$SV$206,$B130,Settings!$C$9+11)&amp;"",CHAR(10)," "),CHAR(160)," ")))</f>
        <v/>
      </c>
      <c r="R130">
        <f>IF(OR($B130="",NOT(ISNUMBER(Settings!$C$9))),"",TRIM(SUBSTITUTE(SUBSTITUTE(INDEX('INPUT - Roster'!$S$1:$SV$206,$B130,Settings!$C$9+12)&amp;"",CHAR(10)," "),CHAR(160)," ")))</f>
        <v/>
      </c>
      <c r="S130">
        <f>IF(OR($B130="",NOT(ISNUMBER(Settings!$C$9))),"",TRIM(SUBSTITUTE(SUBSTITUTE(INDEX('INPUT - Roster'!$S$1:$SV$206,$B130,Settings!$C$9+13)&amp;"",CHAR(10)," "),CHAR(160)," ")))</f>
        <v/>
      </c>
      <c r="T130">
        <f>IF(OR($B130="",NOT(ISNUMBER(Settings!$C$9))),"",TRIM(SUBSTITUTE(SUBSTITUTE(INDEX('INPUT - Roster'!$S$1:$SV$206,$B130,Settings!$C$9+14)&amp;"",CHAR(10)," "),CHAR(160)," ")))</f>
        <v/>
      </c>
      <c r="U130">
        <f>IF(OR($B130="",NOT(ISNUMBER(Settings!$C$9))),"",TRIM(SUBSTITUTE(SUBSTITUTE(INDEX('INPUT - Roster'!$S$1:$SV$206,$B130,Settings!$C$9+15)&amp;"",CHAR(10)," "),CHAR(160)," ")))</f>
        <v/>
      </c>
      <c r="V130">
        <f>IF(OR($B130="",NOT(ISNUMBER(Settings!$C$9))),"",TRIM(SUBSTITUTE(SUBSTITUTE(INDEX('INPUT - Roster'!$S$1:$SV$206,$B130,Settings!$C$9+16)&amp;"",CHAR(10)," "),CHAR(160)," ")))</f>
        <v/>
      </c>
      <c r="W130">
        <f>IF(OR($B130="",NOT(ISNUMBER(Settings!$C$9))),"",TRIM(SUBSTITUTE(SUBSTITUTE(INDEX('INPUT - Roster'!$S$1:$SV$206,$B130,Settings!$C$9+17)&amp;"",CHAR(10)," "),CHAR(160)," ")))</f>
        <v/>
      </c>
      <c r="X130">
        <f>IF(OR($B130="",NOT(ISNUMBER(Settings!$C$9))),"",TRIM(SUBSTITUTE(SUBSTITUTE(INDEX('INPUT - Roster'!$S$1:$SV$206,$B130,Settings!$C$9+18)&amp;"",CHAR(10)," "),CHAR(160)," ")))</f>
        <v/>
      </c>
      <c r="Y130">
        <f>IF(OR($B130="",NOT(ISNUMBER(Settings!$C$9))),"",TRIM(SUBSTITUTE(SUBSTITUTE(INDEX('INPUT - Roster'!$S$1:$SV$206,$B130,Settings!$C$9+19)&amp;"",CHAR(10)," "),CHAR(160)," ")))</f>
        <v/>
      </c>
      <c r="Z130">
        <f>IF(OR($B130="",NOT(ISNUMBER(Settings!$C$9))),"",TRIM(SUBSTITUTE(SUBSTITUTE(INDEX('INPUT - Roster'!$S$1:$SV$206,$B130,Settings!$C$9+20)&amp;"",CHAR(10)," "),CHAR(160)," ")))</f>
        <v/>
      </c>
      <c r="AA130">
        <f>IF(OR($B130="",NOT(ISNUMBER(Settings!$C$9))),"",TRIM(SUBSTITUTE(SUBSTITUTE(INDEX('INPUT - Roster'!$S$1:$SV$206,$B130,Settings!$C$9+21)&amp;"",CHAR(10)," "),CHAR(160)," ")))</f>
        <v/>
      </c>
      <c r="AB130">
        <f>IF(OR($B130="",NOT(ISNUMBER(Settings!$C$9))),"",TRIM(SUBSTITUTE(SUBSTITUTE(INDEX('INPUT - Roster'!$S$1:$SV$206,$B130,Settings!$C$9+22)&amp;"",CHAR(10)," "),CHAR(160)," ")))</f>
        <v/>
      </c>
      <c r="AC130">
        <f>IF(OR($B130="",NOT(ISNUMBER(Settings!$C$9))),"",TRIM(SUBSTITUTE(SUBSTITUTE(INDEX('INPUT - Roster'!$S$1:$SV$206,$B130,Settings!$C$9+23)&amp;"",CHAR(10)," "),CHAR(160)," ")))</f>
        <v/>
      </c>
      <c r="AD130">
        <f>IF(OR($B130="",NOT(ISNUMBER(Settings!$C$9))),"",TRIM(SUBSTITUTE(SUBSTITUTE(INDEX('INPUT - Roster'!$S$1:$SV$206,$B130,Settings!$C$9+24)&amp;"",CHAR(10)," "),CHAR(160)," ")))</f>
        <v/>
      </c>
      <c r="AE130">
        <f>IF(OR($B130="",NOT(ISNUMBER(Settings!$C$9))),"",TRIM(SUBSTITUTE(SUBSTITUTE(INDEX('INPUT - Roster'!$S$1:$SV$206,$B130,Settings!$C$9+25)&amp;"",CHAR(10)," "),CHAR(160)," ")))</f>
        <v/>
      </c>
      <c r="AF130">
        <f>IF(OR($B130="",NOT(ISNUMBER(Settings!$C$9))),"",TRIM(SUBSTITUTE(SUBSTITUTE(INDEX('INPUT - Roster'!$S$1:$SV$206,$B130,Settings!$C$9+26)&amp;"",CHAR(10)," "),CHAR(160)," ")))</f>
        <v/>
      </c>
      <c r="AG130">
        <f>IF(OR($B130="",NOT(ISNUMBER(Settings!$C$9))),"",TRIM(SUBSTITUTE(SUBSTITUTE(INDEX('INPUT - Roster'!$S$1:$SV$206,$B130,Settings!$C$9+27)&amp;"",CHAR(10)," "),CHAR(160)," ")))</f>
        <v/>
      </c>
      <c r="AI130">
        <f>IF($B130="","",IF(F130="","Not rostered",IFERROR(INDEX(Settings!$C$14:$C$33,MATCH(F130,Settings!$B$14:$B$33,0)),IFERROR(LOOKUP(2^15,SEARCH(Settings!$I$14:$I$83,F130)/(Settings!$I$14:$I$83&lt;&gt;""),Settings!$J$14:$J$83),"Other"))))</f>
        <v/>
      </c>
      <c r="AJ130">
        <f>IF($B130="","",IF(G130="","Not rostered",IFERROR(INDEX(Settings!$C$14:$C$33,MATCH(G130,Settings!$B$14:$B$33,0)),IFERROR(LOOKUP(2^15,SEARCH(Settings!$I$14:$I$83,G130)/(Settings!$I$14:$I$83&lt;&gt;""),Settings!$J$14:$J$83),"Other"))))</f>
        <v/>
      </c>
      <c r="AK130">
        <f>IF($B130="","",IF(H130="","Not rostered",IFERROR(INDEX(Settings!$C$14:$C$33,MATCH(H130,Settings!$B$14:$B$33,0)),IFERROR(LOOKUP(2^15,SEARCH(Settings!$I$14:$I$83,H130)/(Settings!$I$14:$I$83&lt;&gt;""),Settings!$J$14:$J$83),"Other"))))</f>
        <v/>
      </c>
      <c r="AL130">
        <f>IF($B130="","",IF(I130="","Not rostered",IFERROR(INDEX(Settings!$C$14:$C$33,MATCH(I130,Settings!$B$14:$B$33,0)),IFERROR(LOOKUP(2^15,SEARCH(Settings!$I$14:$I$83,I130)/(Settings!$I$14:$I$83&lt;&gt;""),Settings!$J$14:$J$83),"Other"))))</f>
        <v/>
      </c>
      <c r="AM130">
        <f>IF($B130="","",IF(J130="","Not rostered",IFERROR(INDEX(Settings!$C$14:$C$33,MATCH(J130,Settings!$B$14:$B$33,0)),IFERROR(LOOKUP(2^15,SEARCH(Settings!$I$14:$I$83,J130)/(Settings!$I$14:$I$83&lt;&gt;""),Settings!$J$14:$J$83),"Other"))))</f>
        <v/>
      </c>
      <c r="AN130">
        <f>IF($B130="","",IF(K130="","Not rostered",IFERROR(INDEX(Settings!$C$14:$C$33,MATCH(K130,Settings!$B$14:$B$33,0)),IFERROR(LOOKUP(2^15,SEARCH(Settings!$I$14:$I$83,K130)/(Settings!$I$14:$I$83&lt;&gt;""),Settings!$J$14:$J$83),"Other"))))</f>
        <v/>
      </c>
      <c r="AO130">
        <f>IF($B130="","",IF(L130="","Not rostered",IFERROR(INDEX(Settings!$C$14:$C$33,MATCH(L130,Settings!$B$14:$B$33,0)),IFERROR(LOOKUP(2^15,SEARCH(Settings!$I$14:$I$83,L130)/(Settings!$I$14:$I$83&lt;&gt;""),Settings!$J$14:$J$83),"Other"))))</f>
        <v/>
      </c>
      <c r="AP130">
        <f>IF($B130="","",IF(M130="","Not rostered",IFERROR(INDEX(Settings!$C$14:$C$33,MATCH(M130,Settings!$B$14:$B$33,0)),IFERROR(LOOKUP(2^15,SEARCH(Settings!$I$14:$I$83,M130)/(Settings!$I$14:$I$83&lt;&gt;""),Settings!$J$14:$J$83),"Other"))))</f>
        <v/>
      </c>
      <c r="AQ130">
        <f>IF($B130="","",IF(N130="","Not rostered",IFERROR(INDEX(Settings!$C$14:$C$33,MATCH(N130,Settings!$B$14:$B$33,0)),IFERROR(LOOKUP(2^15,SEARCH(Settings!$I$14:$I$83,N130)/(Settings!$I$14:$I$83&lt;&gt;""),Settings!$J$14:$J$83),"Other"))))</f>
        <v/>
      </c>
      <c r="AR130">
        <f>IF($B130="","",IF(O130="","Not rostered",IFERROR(INDEX(Settings!$C$14:$C$33,MATCH(O130,Settings!$B$14:$B$33,0)),IFERROR(LOOKUP(2^15,SEARCH(Settings!$I$14:$I$83,O130)/(Settings!$I$14:$I$83&lt;&gt;""),Settings!$J$14:$J$83),"Other"))))</f>
        <v/>
      </c>
      <c r="AS130">
        <f>IF($B130="","",IF(P130="","Not rostered",IFERROR(INDEX(Settings!$C$14:$C$33,MATCH(P130,Settings!$B$14:$B$33,0)),IFERROR(LOOKUP(2^15,SEARCH(Settings!$I$14:$I$83,P130)/(Settings!$I$14:$I$83&lt;&gt;""),Settings!$J$14:$J$83),"Other"))))</f>
        <v/>
      </c>
      <c r="AT130">
        <f>IF($B130="","",IF(Q130="","Not rostered",IFERROR(INDEX(Settings!$C$14:$C$33,MATCH(Q130,Settings!$B$14:$B$33,0)),IFERROR(LOOKUP(2^15,SEARCH(Settings!$I$14:$I$83,Q130)/(Settings!$I$14:$I$83&lt;&gt;""),Settings!$J$14:$J$83),"Other"))))</f>
        <v/>
      </c>
      <c r="AU130">
        <f>IF($B130="","",IF(R130="","Not rostered",IFERROR(INDEX(Settings!$C$14:$C$33,MATCH(R130,Settings!$B$14:$B$33,0)),IFERROR(LOOKUP(2^15,SEARCH(Settings!$I$14:$I$83,R130)/(Settings!$I$14:$I$83&lt;&gt;""),Settings!$J$14:$J$83),"Other"))))</f>
        <v/>
      </c>
      <c r="AV130">
        <f>IF($B130="","",IF(S130="","Not rostered",IFERROR(INDEX(Settings!$C$14:$C$33,MATCH(S130,Settings!$B$14:$B$33,0)),IFERROR(LOOKUP(2^15,SEARCH(Settings!$I$14:$I$83,S130)/(Settings!$I$14:$I$83&lt;&gt;""),Settings!$J$14:$J$83),"Other"))))</f>
        <v/>
      </c>
      <c r="AW130">
        <f>IF($B130="","",IF(T130="","Not rostered",IFERROR(INDEX(Settings!$C$14:$C$33,MATCH(T130,Settings!$B$14:$B$33,0)),IFERROR(LOOKUP(2^15,SEARCH(Settings!$I$14:$I$83,T130)/(Settings!$I$14:$I$83&lt;&gt;""),Settings!$J$14:$J$83),"Other"))))</f>
        <v/>
      </c>
      <c r="AX130">
        <f>IF($B130="","",IF(U130="","Not rostered",IFERROR(INDEX(Settings!$C$14:$C$33,MATCH(U130,Settings!$B$14:$B$33,0)),IFERROR(LOOKUP(2^15,SEARCH(Settings!$I$14:$I$83,U130)/(Settings!$I$14:$I$83&lt;&gt;""),Settings!$J$14:$J$83),"Other"))))</f>
        <v/>
      </c>
      <c r="AY130">
        <f>IF($B130="","",IF(V130="","Not rostered",IFERROR(INDEX(Settings!$C$14:$C$33,MATCH(V130,Settings!$B$14:$B$33,0)),IFERROR(LOOKUP(2^15,SEARCH(Settings!$I$14:$I$83,V130)/(Settings!$I$14:$I$83&lt;&gt;""),Settings!$J$14:$J$83),"Other"))))</f>
        <v/>
      </c>
      <c r="AZ130">
        <f>IF($B130="","",IF(W130="","Not rostered",IFERROR(INDEX(Settings!$C$14:$C$33,MATCH(W130,Settings!$B$14:$B$33,0)),IFERROR(LOOKUP(2^15,SEARCH(Settings!$I$14:$I$83,W130)/(Settings!$I$14:$I$83&lt;&gt;""),Settings!$J$14:$J$83),"Other"))))</f>
        <v/>
      </c>
      <c r="BA130">
        <f>IF($B130="","",IF(X130="","Not rostered",IFERROR(INDEX(Settings!$C$14:$C$33,MATCH(X130,Settings!$B$14:$B$33,0)),IFERROR(LOOKUP(2^15,SEARCH(Settings!$I$14:$I$83,X130)/(Settings!$I$14:$I$83&lt;&gt;""),Settings!$J$14:$J$83),"Other"))))</f>
        <v/>
      </c>
      <c r="BB130">
        <f>IF($B130="","",IF(Y130="","Not rostered",IFERROR(INDEX(Settings!$C$14:$C$33,MATCH(Y130,Settings!$B$14:$B$33,0)),IFERROR(LOOKUP(2^15,SEARCH(Settings!$I$14:$I$83,Y130)/(Settings!$I$14:$I$83&lt;&gt;""),Settings!$J$14:$J$83),"Other"))))</f>
        <v/>
      </c>
      <c r="BC130">
        <f>IF($B130="","",IF(Z130="","Not rostered",IFERROR(INDEX(Settings!$C$14:$C$33,MATCH(Z130,Settings!$B$14:$B$33,0)),IFERROR(LOOKUP(2^15,SEARCH(Settings!$I$14:$I$83,Z130)/(Settings!$I$14:$I$83&lt;&gt;""),Settings!$J$14:$J$83),"Other"))))</f>
        <v/>
      </c>
      <c r="BD130">
        <f>IF($B130="","",IF(AA130="","Not rostered",IFERROR(INDEX(Settings!$C$14:$C$33,MATCH(AA130,Settings!$B$14:$B$33,0)),IFERROR(LOOKUP(2^15,SEARCH(Settings!$I$14:$I$83,AA130)/(Settings!$I$14:$I$83&lt;&gt;""),Settings!$J$14:$J$83),"Other"))))</f>
        <v/>
      </c>
      <c r="BE130">
        <f>IF($B130="","",IF(AB130="","Not rostered",IFERROR(INDEX(Settings!$C$14:$C$33,MATCH(AB130,Settings!$B$14:$B$33,0)),IFERROR(LOOKUP(2^15,SEARCH(Settings!$I$14:$I$83,AB130)/(Settings!$I$14:$I$83&lt;&gt;""),Settings!$J$14:$J$83),"Other"))))</f>
        <v/>
      </c>
      <c r="BF130">
        <f>IF($B130="","",IF(AC130="","Not rostered",IFERROR(INDEX(Settings!$C$14:$C$33,MATCH(AC130,Settings!$B$14:$B$33,0)),IFERROR(LOOKUP(2^15,SEARCH(Settings!$I$14:$I$83,AC130)/(Settings!$I$14:$I$83&lt;&gt;""),Settings!$J$14:$J$83),"Other"))))</f>
        <v/>
      </c>
      <c r="BG130">
        <f>IF($B130="","",IF(AD130="","Not rostered",IFERROR(INDEX(Settings!$C$14:$C$33,MATCH(AD130,Settings!$B$14:$B$33,0)),IFERROR(LOOKUP(2^15,SEARCH(Settings!$I$14:$I$83,AD130)/(Settings!$I$14:$I$83&lt;&gt;""),Settings!$J$14:$J$83),"Other"))))</f>
        <v/>
      </c>
      <c r="BH130">
        <f>IF($B130="","",IF(AE130="","Not rostered",IFERROR(INDEX(Settings!$C$14:$C$33,MATCH(AE130,Settings!$B$14:$B$33,0)),IFERROR(LOOKUP(2^15,SEARCH(Settings!$I$14:$I$83,AE130)/(Settings!$I$14:$I$83&lt;&gt;""),Settings!$J$14:$J$83),"Other"))))</f>
        <v/>
      </c>
      <c r="BI130">
        <f>IF($B130="","",IF(AF130="","Not rostered",IFERROR(INDEX(Settings!$C$14:$C$33,MATCH(AF130,Settings!$B$14:$B$33,0)),IFERROR(LOOKUP(2^15,SEARCH(Settings!$I$14:$I$83,AF130)/(Settings!$I$14:$I$83&lt;&gt;""),Settings!$J$14:$J$83),"Other"))))</f>
        <v/>
      </c>
      <c r="BJ130">
        <f>IF($B130="","",IF(AG130="","Not rostered",IFERROR(INDEX(Settings!$C$14:$C$33,MATCH(AG130,Settings!$B$14:$B$33,0)),IFERROR(LOOKUP(2^15,SEARCH(Settings!$I$14:$I$83,AG130)/(Settings!$I$14:$I$83&lt;&gt;""),Settings!$J$14:$J$83),"Other"))))</f>
        <v/>
      </c>
      <c r="BL130">
        <f>IF(OR($B130="",F130=""),"",IFERROR(INDEX(Settings!$D$14:$D$33,MATCH(F130,Settings!$B$14:$B$33,0))&amp;"",IFERROR(LOOKUP(2^15,SEARCH(Settings!$F$14:$F$43,F130)/(Settings!$F$14:$F$43&lt;&gt;""),Settings!$G$14:$G$43),"")))</f>
        <v/>
      </c>
      <c r="BM130">
        <f>IF(OR($B130="",G130=""),"",IFERROR(INDEX(Settings!$D$14:$D$33,MATCH(G130,Settings!$B$14:$B$33,0))&amp;"",IFERROR(LOOKUP(2^15,SEARCH(Settings!$F$14:$F$43,G130)/(Settings!$F$14:$F$43&lt;&gt;""),Settings!$G$14:$G$43),"")))</f>
        <v/>
      </c>
      <c r="BN130">
        <f>IF(OR($B130="",H130=""),"",IFERROR(INDEX(Settings!$D$14:$D$33,MATCH(H130,Settings!$B$14:$B$33,0))&amp;"",IFERROR(LOOKUP(2^15,SEARCH(Settings!$F$14:$F$43,H130)/(Settings!$F$14:$F$43&lt;&gt;""),Settings!$G$14:$G$43),"")))</f>
        <v/>
      </c>
      <c r="BO130">
        <f>IF(OR($B130="",I130=""),"",IFERROR(INDEX(Settings!$D$14:$D$33,MATCH(I130,Settings!$B$14:$B$33,0))&amp;"",IFERROR(LOOKUP(2^15,SEARCH(Settings!$F$14:$F$43,I130)/(Settings!$F$14:$F$43&lt;&gt;""),Settings!$G$14:$G$43),"")))</f>
        <v/>
      </c>
      <c r="BP130">
        <f>IF(OR($B130="",J130=""),"",IFERROR(INDEX(Settings!$D$14:$D$33,MATCH(J130,Settings!$B$14:$B$33,0))&amp;"",IFERROR(LOOKUP(2^15,SEARCH(Settings!$F$14:$F$43,J130)/(Settings!$F$14:$F$43&lt;&gt;""),Settings!$G$14:$G$43),"")))</f>
        <v/>
      </c>
      <c r="BQ130">
        <f>IF(OR($B130="",K130=""),"",IFERROR(INDEX(Settings!$D$14:$D$33,MATCH(K130,Settings!$B$14:$B$33,0))&amp;"",IFERROR(LOOKUP(2^15,SEARCH(Settings!$F$14:$F$43,K130)/(Settings!$F$14:$F$43&lt;&gt;""),Settings!$G$14:$G$43),"")))</f>
        <v/>
      </c>
      <c r="BR130">
        <f>IF(OR($B130="",L130=""),"",IFERROR(INDEX(Settings!$D$14:$D$33,MATCH(L130,Settings!$B$14:$B$33,0))&amp;"",IFERROR(LOOKUP(2^15,SEARCH(Settings!$F$14:$F$43,L130)/(Settings!$F$14:$F$43&lt;&gt;""),Settings!$G$14:$G$43),"")))</f>
        <v/>
      </c>
      <c r="BS130">
        <f>IF(OR($B130="",M130=""),"",IFERROR(INDEX(Settings!$D$14:$D$33,MATCH(M130,Settings!$B$14:$B$33,0))&amp;"",IFERROR(LOOKUP(2^15,SEARCH(Settings!$F$14:$F$43,M130)/(Settings!$F$14:$F$43&lt;&gt;""),Settings!$G$14:$G$43),"")))</f>
        <v/>
      </c>
      <c r="BT130">
        <f>IF(OR($B130="",N130=""),"",IFERROR(INDEX(Settings!$D$14:$D$33,MATCH(N130,Settings!$B$14:$B$33,0))&amp;"",IFERROR(LOOKUP(2^15,SEARCH(Settings!$F$14:$F$43,N130)/(Settings!$F$14:$F$43&lt;&gt;""),Settings!$G$14:$G$43),"")))</f>
        <v/>
      </c>
      <c r="BU130">
        <f>IF(OR($B130="",O130=""),"",IFERROR(INDEX(Settings!$D$14:$D$33,MATCH(O130,Settings!$B$14:$B$33,0))&amp;"",IFERROR(LOOKUP(2^15,SEARCH(Settings!$F$14:$F$43,O130)/(Settings!$F$14:$F$43&lt;&gt;""),Settings!$G$14:$G$43),"")))</f>
        <v/>
      </c>
      <c r="BV130">
        <f>IF(OR($B130="",P130=""),"",IFERROR(INDEX(Settings!$D$14:$D$33,MATCH(P130,Settings!$B$14:$B$33,0))&amp;"",IFERROR(LOOKUP(2^15,SEARCH(Settings!$F$14:$F$43,P130)/(Settings!$F$14:$F$43&lt;&gt;""),Settings!$G$14:$G$43),"")))</f>
        <v/>
      </c>
      <c r="BW130">
        <f>IF(OR($B130="",Q130=""),"",IFERROR(INDEX(Settings!$D$14:$D$33,MATCH(Q130,Settings!$B$14:$B$33,0))&amp;"",IFERROR(LOOKUP(2^15,SEARCH(Settings!$F$14:$F$43,Q130)/(Settings!$F$14:$F$43&lt;&gt;""),Settings!$G$14:$G$43),"")))</f>
        <v/>
      </c>
      <c r="BX130">
        <f>IF(OR($B130="",R130=""),"",IFERROR(INDEX(Settings!$D$14:$D$33,MATCH(R130,Settings!$B$14:$B$33,0))&amp;"",IFERROR(LOOKUP(2^15,SEARCH(Settings!$F$14:$F$43,R130)/(Settings!$F$14:$F$43&lt;&gt;""),Settings!$G$14:$G$43),"")))</f>
        <v/>
      </c>
      <c r="BY130">
        <f>IF(OR($B130="",S130=""),"",IFERROR(INDEX(Settings!$D$14:$D$33,MATCH(S130,Settings!$B$14:$B$33,0))&amp;"",IFERROR(LOOKUP(2^15,SEARCH(Settings!$F$14:$F$43,S130)/(Settings!$F$14:$F$43&lt;&gt;""),Settings!$G$14:$G$43),"")))</f>
        <v/>
      </c>
      <c r="BZ130">
        <f>IF(OR($B130="",T130=""),"",IFERROR(INDEX(Settings!$D$14:$D$33,MATCH(T130,Settings!$B$14:$B$33,0))&amp;"",IFERROR(LOOKUP(2^15,SEARCH(Settings!$F$14:$F$43,T130)/(Settings!$F$14:$F$43&lt;&gt;""),Settings!$G$14:$G$43),"")))</f>
        <v/>
      </c>
      <c r="CA130">
        <f>IF(OR($B130="",U130=""),"",IFERROR(INDEX(Settings!$D$14:$D$33,MATCH(U130,Settings!$B$14:$B$33,0))&amp;"",IFERROR(LOOKUP(2^15,SEARCH(Settings!$F$14:$F$43,U130)/(Settings!$F$14:$F$43&lt;&gt;""),Settings!$G$14:$G$43),"")))</f>
        <v/>
      </c>
      <c r="CB130">
        <f>IF(OR($B130="",V130=""),"",IFERROR(INDEX(Settings!$D$14:$D$33,MATCH(V130,Settings!$B$14:$B$33,0))&amp;"",IFERROR(LOOKUP(2^15,SEARCH(Settings!$F$14:$F$43,V130)/(Settings!$F$14:$F$43&lt;&gt;""),Settings!$G$14:$G$43),"")))</f>
        <v/>
      </c>
      <c r="CC130">
        <f>IF(OR($B130="",W130=""),"",IFERROR(INDEX(Settings!$D$14:$D$33,MATCH(W130,Settings!$B$14:$B$33,0))&amp;"",IFERROR(LOOKUP(2^15,SEARCH(Settings!$F$14:$F$43,W130)/(Settings!$F$14:$F$43&lt;&gt;""),Settings!$G$14:$G$43),"")))</f>
        <v/>
      </c>
      <c r="CD130">
        <f>IF(OR($B130="",X130=""),"",IFERROR(INDEX(Settings!$D$14:$D$33,MATCH(X130,Settings!$B$14:$B$33,0))&amp;"",IFERROR(LOOKUP(2^15,SEARCH(Settings!$F$14:$F$43,X130)/(Settings!$F$14:$F$43&lt;&gt;""),Settings!$G$14:$G$43),"")))</f>
        <v/>
      </c>
      <c r="CE130">
        <f>IF(OR($B130="",Y130=""),"",IFERROR(INDEX(Settings!$D$14:$D$33,MATCH(Y130,Settings!$B$14:$B$33,0))&amp;"",IFERROR(LOOKUP(2^15,SEARCH(Settings!$F$14:$F$43,Y130)/(Settings!$F$14:$F$43&lt;&gt;""),Settings!$G$14:$G$43),"")))</f>
        <v/>
      </c>
      <c r="CF130">
        <f>IF(OR($B130="",Z130=""),"",IFERROR(INDEX(Settings!$D$14:$D$33,MATCH(Z130,Settings!$B$14:$B$33,0))&amp;"",IFERROR(LOOKUP(2^15,SEARCH(Settings!$F$14:$F$43,Z130)/(Settings!$F$14:$F$43&lt;&gt;""),Settings!$G$14:$G$43),"")))</f>
        <v/>
      </c>
      <c r="CG130">
        <f>IF(OR($B130="",AA130=""),"",IFERROR(INDEX(Settings!$D$14:$D$33,MATCH(AA130,Settings!$B$14:$B$33,0))&amp;"",IFERROR(LOOKUP(2^15,SEARCH(Settings!$F$14:$F$43,AA130)/(Settings!$F$14:$F$43&lt;&gt;""),Settings!$G$14:$G$43),"")))</f>
        <v/>
      </c>
      <c r="CH130">
        <f>IF(OR($B130="",AB130=""),"",IFERROR(INDEX(Settings!$D$14:$D$33,MATCH(AB130,Settings!$B$14:$B$33,0))&amp;"",IFERROR(LOOKUP(2^15,SEARCH(Settings!$F$14:$F$43,AB130)/(Settings!$F$14:$F$43&lt;&gt;""),Settings!$G$14:$G$43),"")))</f>
        <v/>
      </c>
      <c r="CI130">
        <f>IF(OR($B130="",AC130=""),"",IFERROR(INDEX(Settings!$D$14:$D$33,MATCH(AC130,Settings!$B$14:$B$33,0))&amp;"",IFERROR(LOOKUP(2^15,SEARCH(Settings!$F$14:$F$43,AC130)/(Settings!$F$14:$F$43&lt;&gt;""),Settings!$G$14:$G$43),"")))</f>
        <v/>
      </c>
      <c r="CJ130">
        <f>IF(OR($B130="",AD130=""),"",IFERROR(INDEX(Settings!$D$14:$D$33,MATCH(AD130,Settings!$B$14:$B$33,0))&amp;"",IFERROR(LOOKUP(2^15,SEARCH(Settings!$F$14:$F$43,AD130)/(Settings!$F$14:$F$43&lt;&gt;""),Settings!$G$14:$G$43),"")))</f>
        <v/>
      </c>
      <c r="CK130">
        <f>IF(OR($B130="",AE130=""),"",IFERROR(INDEX(Settings!$D$14:$D$33,MATCH(AE130,Settings!$B$14:$B$33,0))&amp;"",IFERROR(LOOKUP(2^15,SEARCH(Settings!$F$14:$F$43,AE130)/(Settings!$F$14:$F$43&lt;&gt;""),Settings!$G$14:$G$43),"")))</f>
        <v/>
      </c>
      <c r="CL130">
        <f>IF(OR($B130="",AF130=""),"",IFERROR(INDEX(Settings!$D$14:$D$33,MATCH(AF130,Settings!$B$14:$B$33,0))&amp;"",IFERROR(LOOKUP(2^15,SEARCH(Settings!$F$14:$F$43,AF130)/(Settings!$F$14:$F$43&lt;&gt;""),Settings!$G$14:$G$43),"")))</f>
        <v/>
      </c>
      <c r="CM130">
        <f>IF(OR($B130="",AG130=""),"",IFERROR(INDEX(Settings!$D$14:$D$33,MATCH(AG130,Settings!$B$14:$B$33,0))&amp;"",IFERROR(LOOKUP(2^15,SEARCH(Settings!$F$14:$F$43,AG130)/(Settings!$F$14:$F$43&lt;&gt;""),Settings!$G$14:$G$43),"")))</f>
        <v/>
      </c>
    </row>
    <row r="131">
      <c r="A131" t="n">
        <v>129</v>
      </c>
      <c r="B131">
        <f>IFERROR(INDEX(Index!$A$2:$A$202,MATCH(A131,Index!$E$2:$E$202,0)),"")</f>
        <v/>
      </c>
      <c r="D131">
        <f>IF($B131="","",IFERROR(MATCH("Travel*",AI131:BJ131,0),""))</f>
        <v/>
      </c>
      <c r="F131">
        <f>IF(OR($B131="",NOT(ISNUMBER(Settings!$C$9))),"",TRIM(SUBSTITUTE(SUBSTITUTE(INDEX('INPUT - Roster'!$S$1:$SV$206,$B131,Settings!$C$9+0)&amp;"",CHAR(10)," "),CHAR(160)," ")))</f>
        <v/>
      </c>
      <c r="G131">
        <f>IF(OR($B131="",NOT(ISNUMBER(Settings!$C$9))),"",TRIM(SUBSTITUTE(SUBSTITUTE(INDEX('INPUT - Roster'!$S$1:$SV$206,$B131,Settings!$C$9+1)&amp;"",CHAR(10)," "),CHAR(160)," ")))</f>
        <v/>
      </c>
      <c r="H131">
        <f>IF(OR($B131="",NOT(ISNUMBER(Settings!$C$9))),"",TRIM(SUBSTITUTE(SUBSTITUTE(INDEX('INPUT - Roster'!$S$1:$SV$206,$B131,Settings!$C$9+2)&amp;"",CHAR(10)," "),CHAR(160)," ")))</f>
        <v/>
      </c>
      <c r="I131">
        <f>IF(OR($B131="",NOT(ISNUMBER(Settings!$C$9))),"",TRIM(SUBSTITUTE(SUBSTITUTE(INDEX('INPUT - Roster'!$S$1:$SV$206,$B131,Settings!$C$9+3)&amp;"",CHAR(10)," "),CHAR(160)," ")))</f>
        <v/>
      </c>
      <c r="J131">
        <f>IF(OR($B131="",NOT(ISNUMBER(Settings!$C$9))),"",TRIM(SUBSTITUTE(SUBSTITUTE(INDEX('INPUT - Roster'!$S$1:$SV$206,$B131,Settings!$C$9+4)&amp;"",CHAR(10)," "),CHAR(160)," ")))</f>
        <v/>
      </c>
      <c r="K131">
        <f>IF(OR($B131="",NOT(ISNUMBER(Settings!$C$9))),"",TRIM(SUBSTITUTE(SUBSTITUTE(INDEX('INPUT - Roster'!$S$1:$SV$206,$B131,Settings!$C$9+5)&amp;"",CHAR(10)," "),CHAR(160)," ")))</f>
        <v/>
      </c>
      <c r="L131">
        <f>IF(OR($B131="",NOT(ISNUMBER(Settings!$C$9))),"",TRIM(SUBSTITUTE(SUBSTITUTE(INDEX('INPUT - Roster'!$S$1:$SV$206,$B131,Settings!$C$9+6)&amp;"",CHAR(10)," "),CHAR(160)," ")))</f>
        <v/>
      </c>
      <c r="M131">
        <f>IF(OR($B131="",NOT(ISNUMBER(Settings!$C$9))),"",TRIM(SUBSTITUTE(SUBSTITUTE(INDEX('INPUT - Roster'!$S$1:$SV$206,$B131,Settings!$C$9+7)&amp;"",CHAR(10)," "),CHAR(160)," ")))</f>
        <v/>
      </c>
      <c r="N131">
        <f>IF(OR($B131="",NOT(ISNUMBER(Settings!$C$9))),"",TRIM(SUBSTITUTE(SUBSTITUTE(INDEX('INPUT - Roster'!$S$1:$SV$206,$B131,Settings!$C$9+8)&amp;"",CHAR(10)," "),CHAR(160)," ")))</f>
        <v/>
      </c>
      <c r="O131">
        <f>IF(OR($B131="",NOT(ISNUMBER(Settings!$C$9))),"",TRIM(SUBSTITUTE(SUBSTITUTE(INDEX('INPUT - Roster'!$S$1:$SV$206,$B131,Settings!$C$9+9)&amp;"",CHAR(10)," "),CHAR(160)," ")))</f>
        <v/>
      </c>
      <c r="P131">
        <f>IF(OR($B131="",NOT(ISNUMBER(Settings!$C$9))),"",TRIM(SUBSTITUTE(SUBSTITUTE(INDEX('INPUT - Roster'!$S$1:$SV$206,$B131,Settings!$C$9+10)&amp;"",CHAR(10)," "),CHAR(160)," ")))</f>
        <v/>
      </c>
      <c r="Q131">
        <f>IF(OR($B131="",NOT(ISNUMBER(Settings!$C$9))),"",TRIM(SUBSTITUTE(SUBSTITUTE(INDEX('INPUT - Roster'!$S$1:$SV$206,$B131,Settings!$C$9+11)&amp;"",CHAR(10)," "),CHAR(160)," ")))</f>
        <v/>
      </c>
      <c r="R131">
        <f>IF(OR($B131="",NOT(ISNUMBER(Settings!$C$9))),"",TRIM(SUBSTITUTE(SUBSTITUTE(INDEX('INPUT - Roster'!$S$1:$SV$206,$B131,Settings!$C$9+12)&amp;"",CHAR(10)," "),CHAR(160)," ")))</f>
        <v/>
      </c>
      <c r="S131">
        <f>IF(OR($B131="",NOT(ISNUMBER(Settings!$C$9))),"",TRIM(SUBSTITUTE(SUBSTITUTE(INDEX('INPUT - Roster'!$S$1:$SV$206,$B131,Settings!$C$9+13)&amp;"",CHAR(10)," "),CHAR(160)," ")))</f>
        <v/>
      </c>
      <c r="T131">
        <f>IF(OR($B131="",NOT(ISNUMBER(Settings!$C$9))),"",TRIM(SUBSTITUTE(SUBSTITUTE(INDEX('INPUT - Roster'!$S$1:$SV$206,$B131,Settings!$C$9+14)&amp;"",CHAR(10)," "),CHAR(160)," ")))</f>
        <v/>
      </c>
      <c r="U131">
        <f>IF(OR($B131="",NOT(ISNUMBER(Settings!$C$9))),"",TRIM(SUBSTITUTE(SUBSTITUTE(INDEX('INPUT - Roster'!$S$1:$SV$206,$B131,Settings!$C$9+15)&amp;"",CHAR(10)," "),CHAR(160)," ")))</f>
        <v/>
      </c>
      <c r="V131">
        <f>IF(OR($B131="",NOT(ISNUMBER(Settings!$C$9))),"",TRIM(SUBSTITUTE(SUBSTITUTE(INDEX('INPUT - Roster'!$S$1:$SV$206,$B131,Settings!$C$9+16)&amp;"",CHAR(10)," "),CHAR(160)," ")))</f>
        <v/>
      </c>
      <c r="W131">
        <f>IF(OR($B131="",NOT(ISNUMBER(Settings!$C$9))),"",TRIM(SUBSTITUTE(SUBSTITUTE(INDEX('INPUT - Roster'!$S$1:$SV$206,$B131,Settings!$C$9+17)&amp;"",CHAR(10)," "),CHAR(160)," ")))</f>
        <v/>
      </c>
      <c r="X131">
        <f>IF(OR($B131="",NOT(ISNUMBER(Settings!$C$9))),"",TRIM(SUBSTITUTE(SUBSTITUTE(INDEX('INPUT - Roster'!$S$1:$SV$206,$B131,Settings!$C$9+18)&amp;"",CHAR(10)," "),CHAR(160)," ")))</f>
        <v/>
      </c>
      <c r="Y131">
        <f>IF(OR($B131="",NOT(ISNUMBER(Settings!$C$9))),"",TRIM(SUBSTITUTE(SUBSTITUTE(INDEX('INPUT - Roster'!$S$1:$SV$206,$B131,Settings!$C$9+19)&amp;"",CHAR(10)," "),CHAR(160)," ")))</f>
        <v/>
      </c>
      <c r="Z131">
        <f>IF(OR($B131="",NOT(ISNUMBER(Settings!$C$9))),"",TRIM(SUBSTITUTE(SUBSTITUTE(INDEX('INPUT - Roster'!$S$1:$SV$206,$B131,Settings!$C$9+20)&amp;"",CHAR(10)," "),CHAR(160)," ")))</f>
        <v/>
      </c>
      <c r="AA131">
        <f>IF(OR($B131="",NOT(ISNUMBER(Settings!$C$9))),"",TRIM(SUBSTITUTE(SUBSTITUTE(INDEX('INPUT - Roster'!$S$1:$SV$206,$B131,Settings!$C$9+21)&amp;"",CHAR(10)," "),CHAR(160)," ")))</f>
        <v/>
      </c>
      <c r="AB131">
        <f>IF(OR($B131="",NOT(ISNUMBER(Settings!$C$9))),"",TRIM(SUBSTITUTE(SUBSTITUTE(INDEX('INPUT - Roster'!$S$1:$SV$206,$B131,Settings!$C$9+22)&amp;"",CHAR(10)," "),CHAR(160)," ")))</f>
        <v/>
      </c>
      <c r="AC131">
        <f>IF(OR($B131="",NOT(ISNUMBER(Settings!$C$9))),"",TRIM(SUBSTITUTE(SUBSTITUTE(INDEX('INPUT - Roster'!$S$1:$SV$206,$B131,Settings!$C$9+23)&amp;"",CHAR(10)," "),CHAR(160)," ")))</f>
        <v/>
      </c>
      <c r="AD131">
        <f>IF(OR($B131="",NOT(ISNUMBER(Settings!$C$9))),"",TRIM(SUBSTITUTE(SUBSTITUTE(INDEX('INPUT - Roster'!$S$1:$SV$206,$B131,Settings!$C$9+24)&amp;"",CHAR(10)," "),CHAR(160)," ")))</f>
        <v/>
      </c>
      <c r="AE131">
        <f>IF(OR($B131="",NOT(ISNUMBER(Settings!$C$9))),"",TRIM(SUBSTITUTE(SUBSTITUTE(INDEX('INPUT - Roster'!$S$1:$SV$206,$B131,Settings!$C$9+25)&amp;"",CHAR(10)," "),CHAR(160)," ")))</f>
        <v/>
      </c>
      <c r="AF131">
        <f>IF(OR($B131="",NOT(ISNUMBER(Settings!$C$9))),"",TRIM(SUBSTITUTE(SUBSTITUTE(INDEX('INPUT - Roster'!$S$1:$SV$206,$B131,Settings!$C$9+26)&amp;"",CHAR(10)," "),CHAR(160)," ")))</f>
        <v/>
      </c>
      <c r="AG131">
        <f>IF(OR($B131="",NOT(ISNUMBER(Settings!$C$9))),"",TRIM(SUBSTITUTE(SUBSTITUTE(INDEX('INPUT - Roster'!$S$1:$SV$206,$B131,Settings!$C$9+27)&amp;"",CHAR(10)," "),CHAR(160)," ")))</f>
        <v/>
      </c>
      <c r="AI131">
        <f>IF($B131="","",IF(F131="","Not rostered",IFERROR(INDEX(Settings!$C$14:$C$33,MATCH(F131,Settings!$B$14:$B$33,0)),IFERROR(LOOKUP(2^15,SEARCH(Settings!$I$14:$I$83,F131)/(Settings!$I$14:$I$83&lt;&gt;""),Settings!$J$14:$J$83),"Other"))))</f>
        <v/>
      </c>
      <c r="AJ131">
        <f>IF($B131="","",IF(G131="","Not rostered",IFERROR(INDEX(Settings!$C$14:$C$33,MATCH(G131,Settings!$B$14:$B$33,0)),IFERROR(LOOKUP(2^15,SEARCH(Settings!$I$14:$I$83,G131)/(Settings!$I$14:$I$83&lt;&gt;""),Settings!$J$14:$J$83),"Other"))))</f>
        <v/>
      </c>
      <c r="AK131">
        <f>IF($B131="","",IF(H131="","Not rostered",IFERROR(INDEX(Settings!$C$14:$C$33,MATCH(H131,Settings!$B$14:$B$33,0)),IFERROR(LOOKUP(2^15,SEARCH(Settings!$I$14:$I$83,H131)/(Settings!$I$14:$I$83&lt;&gt;""),Settings!$J$14:$J$83),"Other"))))</f>
        <v/>
      </c>
      <c r="AL131">
        <f>IF($B131="","",IF(I131="","Not rostered",IFERROR(INDEX(Settings!$C$14:$C$33,MATCH(I131,Settings!$B$14:$B$33,0)),IFERROR(LOOKUP(2^15,SEARCH(Settings!$I$14:$I$83,I131)/(Settings!$I$14:$I$83&lt;&gt;""),Settings!$J$14:$J$83),"Other"))))</f>
        <v/>
      </c>
      <c r="AM131">
        <f>IF($B131="","",IF(J131="","Not rostered",IFERROR(INDEX(Settings!$C$14:$C$33,MATCH(J131,Settings!$B$14:$B$33,0)),IFERROR(LOOKUP(2^15,SEARCH(Settings!$I$14:$I$83,J131)/(Settings!$I$14:$I$83&lt;&gt;""),Settings!$J$14:$J$83),"Other"))))</f>
        <v/>
      </c>
      <c r="AN131">
        <f>IF($B131="","",IF(K131="","Not rostered",IFERROR(INDEX(Settings!$C$14:$C$33,MATCH(K131,Settings!$B$14:$B$33,0)),IFERROR(LOOKUP(2^15,SEARCH(Settings!$I$14:$I$83,K131)/(Settings!$I$14:$I$83&lt;&gt;""),Settings!$J$14:$J$83),"Other"))))</f>
        <v/>
      </c>
      <c r="AO131">
        <f>IF($B131="","",IF(L131="","Not rostered",IFERROR(INDEX(Settings!$C$14:$C$33,MATCH(L131,Settings!$B$14:$B$33,0)),IFERROR(LOOKUP(2^15,SEARCH(Settings!$I$14:$I$83,L131)/(Settings!$I$14:$I$83&lt;&gt;""),Settings!$J$14:$J$83),"Other"))))</f>
        <v/>
      </c>
      <c r="AP131">
        <f>IF($B131="","",IF(M131="","Not rostered",IFERROR(INDEX(Settings!$C$14:$C$33,MATCH(M131,Settings!$B$14:$B$33,0)),IFERROR(LOOKUP(2^15,SEARCH(Settings!$I$14:$I$83,M131)/(Settings!$I$14:$I$83&lt;&gt;""),Settings!$J$14:$J$83),"Other"))))</f>
        <v/>
      </c>
      <c r="AQ131">
        <f>IF($B131="","",IF(N131="","Not rostered",IFERROR(INDEX(Settings!$C$14:$C$33,MATCH(N131,Settings!$B$14:$B$33,0)),IFERROR(LOOKUP(2^15,SEARCH(Settings!$I$14:$I$83,N131)/(Settings!$I$14:$I$83&lt;&gt;""),Settings!$J$14:$J$83),"Other"))))</f>
        <v/>
      </c>
      <c r="AR131">
        <f>IF($B131="","",IF(O131="","Not rostered",IFERROR(INDEX(Settings!$C$14:$C$33,MATCH(O131,Settings!$B$14:$B$33,0)),IFERROR(LOOKUP(2^15,SEARCH(Settings!$I$14:$I$83,O131)/(Settings!$I$14:$I$83&lt;&gt;""),Settings!$J$14:$J$83),"Other"))))</f>
        <v/>
      </c>
      <c r="AS131">
        <f>IF($B131="","",IF(P131="","Not rostered",IFERROR(INDEX(Settings!$C$14:$C$33,MATCH(P131,Settings!$B$14:$B$33,0)),IFERROR(LOOKUP(2^15,SEARCH(Settings!$I$14:$I$83,P131)/(Settings!$I$14:$I$83&lt;&gt;""),Settings!$J$14:$J$83),"Other"))))</f>
        <v/>
      </c>
      <c r="AT131">
        <f>IF($B131="","",IF(Q131="","Not rostered",IFERROR(INDEX(Settings!$C$14:$C$33,MATCH(Q131,Settings!$B$14:$B$33,0)),IFERROR(LOOKUP(2^15,SEARCH(Settings!$I$14:$I$83,Q131)/(Settings!$I$14:$I$83&lt;&gt;""),Settings!$J$14:$J$83),"Other"))))</f>
        <v/>
      </c>
      <c r="AU131">
        <f>IF($B131="","",IF(R131="","Not rostered",IFERROR(INDEX(Settings!$C$14:$C$33,MATCH(R131,Settings!$B$14:$B$33,0)),IFERROR(LOOKUP(2^15,SEARCH(Settings!$I$14:$I$83,R131)/(Settings!$I$14:$I$83&lt;&gt;""),Settings!$J$14:$J$83),"Other"))))</f>
        <v/>
      </c>
      <c r="AV131">
        <f>IF($B131="","",IF(S131="","Not rostered",IFERROR(INDEX(Settings!$C$14:$C$33,MATCH(S131,Settings!$B$14:$B$33,0)),IFERROR(LOOKUP(2^15,SEARCH(Settings!$I$14:$I$83,S131)/(Settings!$I$14:$I$83&lt;&gt;""),Settings!$J$14:$J$83),"Other"))))</f>
        <v/>
      </c>
      <c r="AW131">
        <f>IF($B131="","",IF(T131="","Not rostered",IFERROR(INDEX(Settings!$C$14:$C$33,MATCH(T131,Settings!$B$14:$B$33,0)),IFERROR(LOOKUP(2^15,SEARCH(Settings!$I$14:$I$83,T131)/(Settings!$I$14:$I$83&lt;&gt;""),Settings!$J$14:$J$83),"Other"))))</f>
        <v/>
      </c>
      <c r="AX131">
        <f>IF($B131="","",IF(U131="","Not rostered",IFERROR(INDEX(Settings!$C$14:$C$33,MATCH(U131,Settings!$B$14:$B$33,0)),IFERROR(LOOKUP(2^15,SEARCH(Settings!$I$14:$I$83,U131)/(Settings!$I$14:$I$83&lt;&gt;""),Settings!$J$14:$J$83),"Other"))))</f>
        <v/>
      </c>
      <c r="AY131">
        <f>IF($B131="","",IF(V131="","Not rostered",IFERROR(INDEX(Settings!$C$14:$C$33,MATCH(V131,Settings!$B$14:$B$33,0)),IFERROR(LOOKUP(2^15,SEARCH(Settings!$I$14:$I$83,V131)/(Settings!$I$14:$I$83&lt;&gt;""),Settings!$J$14:$J$83),"Other"))))</f>
        <v/>
      </c>
      <c r="AZ131">
        <f>IF($B131="","",IF(W131="","Not rostered",IFERROR(INDEX(Settings!$C$14:$C$33,MATCH(W131,Settings!$B$14:$B$33,0)),IFERROR(LOOKUP(2^15,SEARCH(Settings!$I$14:$I$83,W131)/(Settings!$I$14:$I$83&lt;&gt;""),Settings!$J$14:$J$83),"Other"))))</f>
        <v/>
      </c>
      <c r="BA131">
        <f>IF($B131="","",IF(X131="","Not rostered",IFERROR(INDEX(Settings!$C$14:$C$33,MATCH(X131,Settings!$B$14:$B$33,0)),IFERROR(LOOKUP(2^15,SEARCH(Settings!$I$14:$I$83,X131)/(Settings!$I$14:$I$83&lt;&gt;""),Settings!$J$14:$J$83),"Other"))))</f>
        <v/>
      </c>
      <c r="BB131">
        <f>IF($B131="","",IF(Y131="","Not rostered",IFERROR(INDEX(Settings!$C$14:$C$33,MATCH(Y131,Settings!$B$14:$B$33,0)),IFERROR(LOOKUP(2^15,SEARCH(Settings!$I$14:$I$83,Y131)/(Settings!$I$14:$I$83&lt;&gt;""),Settings!$J$14:$J$83),"Other"))))</f>
        <v/>
      </c>
      <c r="BC131">
        <f>IF($B131="","",IF(Z131="","Not rostered",IFERROR(INDEX(Settings!$C$14:$C$33,MATCH(Z131,Settings!$B$14:$B$33,0)),IFERROR(LOOKUP(2^15,SEARCH(Settings!$I$14:$I$83,Z131)/(Settings!$I$14:$I$83&lt;&gt;""),Settings!$J$14:$J$83),"Other"))))</f>
        <v/>
      </c>
      <c r="BD131">
        <f>IF($B131="","",IF(AA131="","Not rostered",IFERROR(INDEX(Settings!$C$14:$C$33,MATCH(AA131,Settings!$B$14:$B$33,0)),IFERROR(LOOKUP(2^15,SEARCH(Settings!$I$14:$I$83,AA131)/(Settings!$I$14:$I$83&lt;&gt;""),Settings!$J$14:$J$83),"Other"))))</f>
        <v/>
      </c>
      <c r="BE131">
        <f>IF($B131="","",IF(AB131="","Not rostered",IFERROR(INDEX(Settings!$C$14:$C$33,MATCH(AB131,Settings!$B$14:$B$33,0)),IFERROR(LOOKUP(2^15,SEARCH(Settings!$I$14:$I$83,AB131)/(Settings!$I$14:$I$83&lt;&gt;""),Settings!$J$14:$J$83),"Other"))))</f>
        <v/>
      </c>
      <c r="BF131">
        <f>IF($B131="","",IF(AC131="","Not rostered",IFERROR(INDEX(Settings!$C$14:$C$33,MATCH(AC131,Settings!$B$14:$B$33,0)),IFERROR(LOOKUP(2^15,SEARCH(Settings!$I$14:$I$83,AC131)/(Settings!$I$14:$I$83&lt;&gt;""),Settings!$J$14:$J$83),"Other"))))</f>
        <v/>
      </c>
      <c r="BG131">
        <f>IF($B131="","",IF(AD131="","Not rostered",IFERROR(INDEX(Settings!$C$14:$C$33,MATCH(AD131,Settings!$B$14:$B$33,0)),IFERROR(LOOKUP(2^15,SEARCH(Settings!$I$14:$I$83,AD131)/(Settings!$I$14:$I$83&lt;&gt;""),Settings!$J$14:$J$83),"Other"))))</f>
        <v/>
      </c>
      <c r="BH131">
        <f>IF($B131="","",IF(AE131="","Not rostered",IFERROR(INDEX(Settings!$C$14:$C$33,MATCH(AE131,Settings!$B$14:$B$33,0)),IFERROR(LOOKUP(2^15,SEARCH(Settings!$I$14:$I$83,AE131)/(Settings!$I$14:$I$83&lt;&gt;""),Settings!$J$14:$J$83),"Other"))))</f>
        <v/>
      </c>
      <c r="BI131">
        <f>IF($B131="","",IF(AF131="","Not rostered",IFERROR(INDEX(Settings!$C$14:$C$33,MATCH(AF131,Settings!$B$14:$B$33,0)),IFERROR(LOOKUP(2^15,SEARCH(Settings!$I$14:$I$83,AF131)/(Settings!$I$14:$I$83&lt;&gt;""),Settings!$J$14:$J$83),"Other"))))</f>
        <v/>
      </c>
      <c r="BJ131">
        <f>IF($B131="","",IF(AG131="","Not rostered",IFERROR(INDEX(Settings!$C$14:$C$33,MATCH(AG131,Settings!$B$14:$B$33,0)),IFERROR(LOOKUP(2^15,SEARCH(Settings!$I$14:$I$83,AG131)/(Settings!$I$14:$I$83&lt;&gt;""),Settings!$J$14:$J$83),"Other"))))</f>
        <v/>
      </c>
      <c r="BL131">
        <f>IF(OR($B131="",F131=""),"",IFERROR(INDEX(Settings!$D$14:$D$33,MATCH(F131,Settings!$B$14:$B$33,0))&amp;"",IFERROR(LOOKUP(2^15,SEARCH(Settings!$F$14:$F$43,F131)/(Settings!$F$14:$F$43&lt;&gt;""),Settings!$G$14:$G$43),"")))</f>
        <v/>
      </c>
      <c r="BM131">
        <f>IF(OR($B131="",G131=""),"",IFERROR(INDEX(Settings!$D$14:$D$33,MATCH(G131,Settings!$B$14:$B$33,0))&amp;"",IFERROR(LOOKUP(2^15,SEARCH(Settings!$F$14:$F$43,G131)/(Settings!$F$14:$F$43&lt;&gt;""),Settings!$G$14:$G$43),"")))</f>
        <v/>
      </c>
      <c r="BN131">
        <f>IF(OR($B131="",H131=""),"",IFERROR(INDEX(Settings!$D$14:$D$33,MATCH(H131,Settings!$B$14:$B$33,0))&amp;"",IFERROR(LOOKUP(2^15,SEARCH(Settings!$F$14:$F$43,H131)/(Settings!$F$14:$F$43&lt;&gt;""),Settings!$G$14:$G$43),"")))</f>
        <v/>
      </c>
      <c r="BO131">
        <f>IF(OR($B131="",I131=""),"",IFERROR(INDEX(Settings!$D$14:$D$33,MATCH(I131,Settings!$B$14:$B$33,0))&amp;"",IFERROR(LOOKUP(2^15,SEARCH(Settings!$F$14:$F$43,I131)/(Settings!$F$14:$F$43&lt;&gt;""),Settings!$G$14:$G$43),"")))</f>
        <v/>
      </c>
      <c r="BP131">
        <f>IF(OR($B131="",J131=""),"",IFERROR(INDEX(Settings!$D$14:$D$33,MATCH(J131,Settings!$B$14:$B$33,0))&amp;"",IFERROR(LOOKUP(2^15,SEARCH(Settings!$F$14:$F$43,J131)/(Settings!$F$14:$F$43&lt;&gt;""),Settings!$G$14:$G$43),"")))</f>
        <v/>
      </c>
      <c r="BQ131">
        <f>IF(OR($B131="",K131=""),"",IFERROR(INDEX(Settings!$D$14:$D$33,MATCH(K131,Settings!$B$14:$B$33,0))&amp;"",IFERROR(LOOKUP(2^15,SEARCH(Settings!$F$14:$F$43,K131)/(Settings!$F$14:$F$43&lt;&gt;""),Settings!$G$14:$G$43),"")))</f>
        <v/>
      </c>
      <c r="BR131">
        <f>IF(OR($B131="",L131=""),"",IFERROR(INDEX(Settings!$D$14:$D$33,MATCH(L131,Settings!$B$14:$B$33,0))&amp;"",IFERROR(LOOKUP(2^15,SEARCH(Settings!$F$14:$F$43,L131)/(Settings!$F$14:$F$43&lt;&gt;""),Settings!$G$14:$G$43),"")))</f>
        <v/>
      </c>
      <c r="BS131">
        <f>IF(OR($B131="",M131=""),"",IFERROR(INDEX(Settings!$D$14:$D$33,MATCH(M131,Settings!$B$14:$B$33,0))&amp;"",IFERROR(LOOKUP(2^15,SEARCH(Settings!$F$14:$F$43,M131)/(Settings!$F$14:$F$43&lt;&gt;""),Settings!$G$14:$G$43),"")))</f>
        <v/>
      </c>
      <c r="BT131">
        <f>IF(OR($B131="",N131=""),"",IFERROR(INDEX(Settings!$D$14:$D$33,MATCH(N131,Settings!$B$14:$B$33,0))&amp;"",IFERROR(LOOKUP(2^15,SEARCH(Settings!$F$14:$F$43,N131)/(Settings!$F$14:$F$43&lt;&gt;""),Settings!$G$14:$G$43),"")))</f>
        <v/>
      </c>
      <c r="BU131">
        <f>IF(OR($B131="",O131=""),"",IFERROR(INDEX(Settings!$D$14:$D$33,MATCH(O131,Settings!$B$14:$B$33,0))&amp;"",IFERROR(LOOKUP(2^15,SEARCH(Settings!$F$14:$F$43,O131)/(Settings!$F$14:$F$43&lt;&gt;""),Settings!$G$14:$G$43),"")))</f>
        <v/>
      </c>
      <c r="BV131">
        <f>IF(OR($B131="",P131=""),"",IFERROR(INDEX(Settings!$D$14:$D$33,MATCH(P131,Settings!$B$14:$B$33,0))&amp;"",IFERROR(LOOKUP(2^15,SEARCH(Settings!$F$14:$F$43,P131)/(Settings!$F$14:$F$43&lt;&gt;""),Settings!$G$14:$G$43),"")))</f>
        <v/>
      </c>
      <c r="BW131">
        <f>IF(OR($B131="",Q131=""),"",IFERROR(INDEX(Settings!$D$14:$D$33,MATCH(Q131,Settings!$B$14:$B$33,0))&amp;"",IFERROR(LOOKUP(2^15,SEARCH(Settings!$F$14:$F$43,Q131)/(Settings!$F$14:$F$43&lt;&gt;""),Settings!$G$14:$G$43),"")))</f>
        <v/>
      </c>
      <c r="BX131">
        <f>IF(OR($B131="",R131=""),"",IFERROR(INDEX(Settings!$D$14:$D$33,MATCH(R131,Settings!$B$14:$B$33,0))&amp;"",IFERROR(LOOKUP(2^15,SEARCH(Settings!$F$14:$F$43,R131)/(Settings!$F$14:$F$43&lt;&gt;""),Settings!$G$14:$G$43),"")))</f>
        <v/>
      </c>
      <c r="BY131">
        <f>IF(OR($B131="",S131=""),"",IFERROR(INDEX(Settings!$D$14:$D$33,MATCH(S131,Settings!$B$14:$B$33,0))&amp;"",IFERROR(LOOKUP(2^15,SEARCH(Settings!$F$14:$F$43,S131)/(Settings!$F$14:$F$43&lt;&gt;""),Settings!$G$14:$G$43),"")))</f>
        <v/>
      </c>
      <c r="BZ131">
        <f>IF(OR($B131="",T131=""),"",IFERROR(INDEX(Settings!$D$14:$D$33,MATCH(T131,Settings!$B$14:$B$33,0))&amp;"",IFERROR(LOOKUP(2^15,SEARCH(Settings!$F$14:$F$43,T131)/(Settings!$F$14:$F$43&lt;&gt;""),Settings!$G$14:$G$43),"")))</f>
        <v/>
      </c>
      <c r="CA131">
        <f>IF(OR($B131="",U131=""),"",IFERROR(INDEX(Settings!$D$14:$D$33,MATCH(U131,Settings!$B$14:$B$33,0))&amp;"",IFERROR(LOOKUP(2^15,SEARCH(Settings!$F$14:$F$43,U131)/(Settings!$F$14:$F$43&lt;&gt;""),Settings!$G$14:$G$43),"")))</f>
        <v/>
      </c>
      <c r="CB131">
        <f>IF(OR($B131="",V131=""),"",IFERROR(INDEX(Settings!$D$14:$D$33,MATCH(V131,Settings!$B$14:$B$33,0))&amp;"",IFERROR(LOOKUP(2^15,SEARCH(Settings!$F$14:$F$43,V131)/(Settings!$F$14:$F$43&lt;&gt;""),Settings!$G$14:$G$43),"")))</f>
        <v/>
      </c>
      <c r="CC131">
        <f>IF(OR($B131="",W131=""),"",IFERROR(INDEX(Settings!$D$14:$D$33,MATCH(W131,Settings!$B$14:$B$33,0))&amp;"",IFERROR(LOOKUP(2^15,SEARCH(Settings!$F$14:$F$43,W131)/(Settings!$F$14:$F$43&lt;&gt;""),Settings!$G$14:$G$43),"")))</f>
        <v/>
      </c>
      <c r="CD131">
        <f>IF(OR($B131="",X131=""),"",IFERROR(INDEX(Settings!$D$14:$D$33,MATCH(X131,Settings!$B$14:$B$33,0))&amp;"",IFERROR(LOOKUP(2^15,SEARCH(Settings!$F$14:$F$43,X131)/(Settings!$F$14:$F$43&lt;&gt;""),Settings!$G$14:$G$43),"")))</f>
        <v/>
      </c>
      <c r="CE131">
        <f>IF(OR($B131="",Y131=""),"",IFERROR(INDEX(Settings!$D$14:$D$33,MATCH(Y131,Settings!$B$14:$B$33,0))&amp;"",IFERROR(LOOKUP(2^15,SEARCH(Settings!$F$14:$F$43,Y131)/(Settings!$F$14:$F$43&lt;&gt;""),Settings!$G$14:$G$43),"")))</f>
        <v/>
      </c>
      <c r="CF131">
        <f>IF(OR($B131="",Z131=""),"",IFERROR(INDEX(Settings!$D$14:$D$33,MATCH(Z131,Settings!$B$14:$B$33,0))&amp;"",IFERROR(LOOKUP(2^15,SEARCH(Settings!$F$14:$F$43,Z131)/(Settings!$F$14:$F$43&lt;&gt;""),Settings!$G$14:$G$43),"")))</f>
        <v/>
      </c>
      <c r="CG131">
        <f>IF(OR($B131="",AA131=""),"",IFERROR(INDEX(Settings!$D$14:$D$33,MATCH(AA131,Settings!$B$14:$B$33,0))&amp;"",IFERROR(LOOKUP(2^15,SEARCH(Settings!$F$14:$F$43,AA131)/(Settings!$F$14:$F$43&lt;&gt;""),Settings!$G$14:$G$43),"")))</f>
        <v/>
      </c>
      <c r="CH131">
        <f>IF(OR($B131="",AB131=""),"",IFERROR(INDEX(Settings!$D$14:$D$33,MATCH(AB131,Settings!$B$14:$B$33,0))&amp;"",IFERROR(LOOKUP(2^15,SEARCH(Settings!$F$14:$F$43,AB131)/(Settings!$F$14:$F$43&lt;&gt;""),Settings!$G$14:$G$43),"")))</f>
        <v/>
      </c>
      <c r="CI131">
        <f>IF(OR($B131="",AC131=""),"",IFERROR(INDEX(Settings!$D$14:$D$33,MATCH(AC131,Settings!$B$14:$B$33,0))&amp;"",IFERROR(LOOKUP(2^15,SEARCH(Settings!$F$14:$F$43,AC131)/(Settings!$F$14:$F$43&lt;&gt;""),Settings!$G$14:$G$43),"")))</f>
        <v/>
      </c>
      <c r="CJ131">
        <f>IF(OR($B131="",AD131=""),"",IFERROR(INDEX(Settings!$D$14:$D$33,MATCH(AD131,Settings!$B$14:$B$33,0))&amp;"",IFERROR(LOOKUP(2^15,SEARCH(Settings!$F$14:$F$43,AD131)/(Settings!$F$14:$F$43&lt;&gt;""),Settings!$G$14:$G$43),"")))</f>
        <v/>
      </c>
      <c r="CK131">
        <f>IF(OR($B131="",AE131=""),"",IFERROR(INDEX(Settings!$D$14:$D$33,MATCH(AE131,Settings!$B$14:$B$33,0))&amp;"",IFERROR(LOOKUP(2^15,SEARCH(Settings!$F$14:$F$43,AE131)/(Settings!$F$14:$F$43&lt;&gt;""),Settings!$G$14:$G$43),"")))</f>
        <v/>
      </c>
      <c r="CL131">
        <f>IF(OR($B131="",AF131=""),"",IFERROR(INDEX(Settings!$D$14:$D$33,MATCH(AF131,Settings!$B$14:$B$33,0))&amp;"",IFERROR(LOOKUP(2^15,SEARCH(Settings!$F$14:$F$43,AF131)/(Settings!$F$14:$F$43&lt;&gt;""),Settings!$G$14:$G$43),"")))</f>
        <v/>
      </c>
      <c r="CM131">
        <f>IF(OR($B131="",AG131=""),"",IFERROR(INDEX(Settings!$D$14:$D$33,MATCH(AG131,Settings!$B$14:$B$33,0))&amp;"",IFERROR(LOOKUP(2^15,SEARCH(Settings!$F$14:$F$43,AG131)/(Settings!$F$14:$F$43&lt;&gt;""),Settings!$G$14:$G$43),"")))</f>
        <v/>
      </c>
    </row>
    <row r="132">
      <c r="A132" t="n">
        <v>130</v>
      </c>
      <c r="B132">
        <f>IFERROR(INDEX(Index!$A$2:$A$202,MATCH(A132,Index!$E$2:$E$202,0)),"")</f>
        <v/>
      </c>
      <c r="D132">
        <f>IF($B132="","",IFERROR(MATCH("Travel*",AI132:BJ132,0),""))</f>
        <v/>
      </c>
      <c r="F132">
        <f>IF(OR($B132="",NOT(ISNUMBER(Settings!$C$9))),"",TRIM(SUBSTITUTE(SUBSTITUTE(INDEX('INPUT - Roster'!$S$1:$SV$206,$B132,Settings!$C$9+0)&amp;"",CHAR(10)," "),CHAR(160)," ")))</f>
        <v/>
      </c>
      <c r="G132">
        <f>IF(OR($B132="",NOT(ISNUMBER(Settings!$C$9))),"",TRIM(SUBSTITUTE(SUBSTITUTE(INDEX('INPUT - Roster'!$S$1:$SV$206,$B132,Settings!$C$9+1)&amp;"",CHAR(10)," "),CHAR(160)," ")))</f>
        <v/>
      </c>
      <c r="H132">
        <f>IF(OR($B132="",NOT(ISNUMBER(Settings!$C$9))),"",TRIM(SUBSTITUTE(SUBSTITUTE(INDEX('INPUT - Roster'!$S$1:$SV$206,$B132,Settings!$C$9+2)&amp;"",CHAR(10)," "),CHAR(160)," ")))</f>
        <v/>
      </c>
      <c r="I132">
        <f>IF(OR($B132="",NOT(ISNUMBER(Settings!$C$9))),"",TRIM(SUBSTITUTE(SUBSTITUTE(INDEX('INPUT - Roster'!$S$1:$SV$206,$B132,Settings!$C$9+3)&amp;"",CHAR(10)," "),CHAR(160)," ")))</f>
        <v/>
      </c>
      <c r="J132">
        <f>IF(OR($B132="",NOT(ISNUMBER(Settings!$C$9))),"",TRIM(SUBSTITUTE(SUBSTITUTE(INDEX('INPUT - Roster'!$S$1:$SV$206,$B132,Settings!$C$9+4)&amp;"",CHAR(10)," "),CHAR(160)," ")))</f>
        <v/>
      </c>
      <c r="K132">
        <f>IF(OR($B132="",NOT(ISNUMBER(Settings!$C$9))),"",TRIM(SUBSTITUTE(SUBSTITUTE(INDEX('INPUT - Roster'!$S$1:$SV$206,$B132,Settings!$C$9+5)&amp;"",CHAR(10)," "),CHAR(160)," ")))</f>
        <v/>
      </c>
      <c r="L132">
        <f>IF(OR($B132="",NOT(ISNUMBER(Settings!$C$9))),"",TRIM(SUBSTITUTE(SUBSTITUTE(INDEX('INPUT - Roster'!$S$1:$SV$206,$B132,Settings!$C$9+6)&amp;"",CHAR(10)," "),CHAR(160)," ")))</f>
        <v/>
      </c>
      <c r="M132">
        <f>IF(OR($B132="",NOT(ISNUMBER(Settings!$C$9))),"",TRIM(SUBSTITUTE(SUBSTITUTE(INDEX('INPUT - Roster'!$S$1:$SV$206,$B132,Settings!$C$9+7)&amp;"",CHAR(10)," "),CHAR(160)," ")))</f>
        <v/>
      </c>
      <c r="N132">
        <f>IF(OR($B132="",NOT(ISNUMBER(Settings!$C$9))),"",TRIM(SUBSTITUTE(SUBSTITUTE(INDEX('INPUT - Roster'!$S$1:$SV$206,$B132,Settings!$C$9+8)&amp;"",CHAR(10)," "),CHAR(160)," ")))</f>
        <v/>
      </c>
      <c r="O132">
        <f>IF(OR($B132="",NOT(ISNUMBER(Settings!$C$9))),"",TRIM(SUBSTITUTE(SUBSTITUTE(INDEX('INPUT - Roster'!$S$1:$SV$206,$B132,Settings!$C$9+9)&amp;"",CHAR(10)," "),CHAR(160)," ")))</f>
        <v/>
      </c>
      <c r="P132">
        <f>IF(OR($B132="",NOT(ISNUMBER(Settings!$C$9))),"",TRIM(SUBSTITUTE(SUBSTITUTE(INDEX('INPUT - Roster'!$S$1:$SV$206,$B132,Settings!$C$9+10)&amp;"",CHAR(10)," "),CHAR(160)," ")))</f>
        <v/>
      </c>
      <c r="Q132">
        <f>IF(OR($B132="",NOT(ISNUMBER(Settings!$C$9))),"",TRIM(SUBSTITUTE(SUBSTITUTE(INDEX('INPUT - Roster'!$S$1:$SV$206,$B132,Settings!$C$9+11)&amp;"",CHAR(10)," "),CHAR(160)," ")))</f>
        <v/>
      </c>
      <c r="R132">
        <f>IF(OR($B132="",NOT(ISNUMBER(Settings!$C$9))),"",TRIM(SUBSTITUTE(SUBSTITUTE(INDEX('INPUT - Roster'!$S$1:$SV$206,$B132,Settings!$C$9+12)&amp;"",CHAR(10)," "),CHAR(160)," ")))</f>
        <v/>
      </c>
      <c r="S132">
        <f>IF(OR($B132="",NOT(ISNUMBER(Settings!$C$9))),"",TRIM(SUBSTITUTE(SUBSTITUTE(INDEX('INPUT - Roster'!$S$1:$SV$206,$B132,Settings!$C$9+13)&amp;"",CHAR(10)," "),CHAR(160)," ")))</f>
        <v/>
      </c>
      <c r="T132">
        <f>IF(OR($B132="",NOT(ISNUMBER(Settings!$C$9))),"",TRIM(SUBSTITUTE(SUBSTITUTE(INDEX('INPUT - Roster'!$S$1:$SV$206,$B132,Settings!$C$9+14)&amp;"",CHAR(10)," "),CHAR(160)," ")))</f>
        <v/>
      </c>
      <c r="U132">
        <f>IF(OR($B132="",NOT(ISNUMBER(Settings!$C$9))),"",TRIM(SUBSTITUTE(SUBSTITUTE(INDEX('INPUT - Roster'!$S$1:$SV$206,$B132,Settings!$C$9+15)&amp;"",CHAR(10)," "),CHAR(160)," ")))</f>
        <v/>
      </c>
      <c r="V132">
        <f>IF(OR($B132="",NOT(ISNUMBER(Settings!$C$9))),"",TRIM(SUBSTITUTE(SUBSTITUTE(INDEX('INPUT - Roster'!$S$1:$SV$206,$B132,Settings!$C$9+16)&amp;"",CHAR(10)," "),CHAR(160)," ")))</f>
        <v/>
      </c>
      <c r="W132">
        <f>IF(OR($B132="",NOT(ISNUMBER(Settings!$C$9))),"",TRIM(SUBSTITUTE(SUBSTITUTE(INDEX('INPUT - Roster'!$S$1:$SV$206,$B132,Settings!$C$9+17)&amp;"",CHAR(10)," "),CHAR(160)," ")))</f>
        <v/>
      </c>
      <c r="X132">
        <f>IF(OR($B132="",NOT(ISNUMBER(Settings!$C$9))),"",TRIM(SUBSTITUTE(SUBSTITUTE(INDEX('INPUT - Roster'!$S$1:$SV$206,$B132,Settings!$C$9+18)&amp;"",CHAR(10)," "),CHAR(160)," ")))</f>
        <v/>
      </c>
      <c r="Y132">
        <f>IF(OR($B132="",NOT(ISNUMBER(Settings!$C$9))),"",TRIM(SUBSTITUTE(SUBSTITUTE(INDEX('INPUT - Roster'!$S$1:$SV$206,$B132,Settings!$C$9+19)&amp;"",CHAR(10)," "),CHAR(160)," ")))</f>
        <v/>
      </c>
      <c r="Z132">
        <f>IF(OR($B132="",NOT(ISNUMBER(Settings!$C$9))),"",TRIM(SUBSTITUTE(SUBSTITUTE(INDEX('INPUT - Roster'!$S$1:$SV$206,$B132,Settings!$C$9+20)&amp;"",CHAR(10)," "),CHAR(160)," ")))</f>
        <v/>
      </c>
      <c r="AA132">
        <f>IF(OR($B132="",NOT(ISNUMBER(Settings!$C$9))),"",TRIM(SUBSTITUTE(SUBSTITUTE(INDEX('INPUT - Roster'!$S$1:$SV$206,$B132,Settings!$C$9+21)&amp;"",CHAR(10)," "),CHAR(160)," ")))</f>
        <v/>
      </c>
      <c r="AB132">
        <f>IF(OR($B132="",NOT(ISNUMBER(Settings!$C$9))),"",TRIM(SUBSTITUTE(SUBSTITUTE(INDEX('INPUT - Roster'!$S$1:$SV$206,$B132,Settings!$C$9+22)&amp;"",CHAR(10)," "),CHAR(160)," ")))</f>
        <v/>
      </c>
      <c r="AC132">
        <f>IF(OR($B132="",NOT(ISNUMBER(Settings!$C$9))),"",TRIM(SUBSTITUTE(SUBSTITUTE(INDEX('INPUT - Roster'!$S$1:$SV$206,$B132,Settings!$C$9+23)&amp;"",CHAR(10)," "),CHAR(160)," ")))</f>
        <v/>
      </c>
      <c r="AD132">
        <f>IF(OR($B132="",NOT(ISNUMBER(Settings!$C$9))),"",TRIM(SUBSTITUTE(SUBSTITUTE(INDEX('INPUT - Roster'!$S$1:$SV$206,$B132,Settings!$C$9+24)&amp;"",CHAR(10)," "),CHAR(160)," ")))</f>
        <v/>
      </c>
      <c r="AE132">
        <f>IF(OR($B132="",NOT(ISNUMBER(Settings!$C$9))),"",TRIM(SUBSTITUTE(SUBSTITUTE(INDEX('INPUT - Roster'!$S$1:$SV$206,$B132,Settings!$C$9+25)&amp;"",CHAR(10)," "),CHAR(160)," ")))</f>
        <v/>
      </c>
      <c r="AF132">
        <f>IF(OR($B132="",NOT(ISNUMBER(Settings!$C$9))),"",TRIM(SUBSTITUTE(SUBSTITUTE(INDEX('INPUT - Roster'!$S$1:$SV$206,$B132,Settings!$C$9+26)&amp;"",CHAR(10)," "),CHAR(160)," ")))</f>
        <v/>
      </c>
      <c r="AG132">
        <f>IF(OR($B132="",NOT(ISNUMBER(Settings!$C$9))),"",TRIM(SUBSTITUTE(SUBSTITUTE(INDEX('INPUT - Roster'!$S$1:$SV$206,$B132,Settings!$C$9+27)&amp;"",CHAR(10)," "),CHAR(160)," ")))</f>
        <v/>
      </c>
      <c r="AI132">
        <f>IF($B132="","",IF(F132="","Not rostered",IFERROR(INDEX(Settings!$C$14:$C$33,MATCH(F132,Settings!$B$14:$B$33,0)),IFERROR(LOOKUP(2^15,SEARCH(Settings!$I$14:$I$83,F132)/(Settings!$I$14:$I$83&lt;&gt;""),Settings!$J$14:$J$83),"Other"))))</f>
        <v/>
      </c>
      <c r="AJ132">
        <f>IF($B132="","",IF(G132="","Not rostered",IFERROR(INDEX(Settings!$C$14:$C$33,MATCH(G132,Settings!$B$14:$B$33,0)),IFERROR(LOOKUP(2^15,SEARCH(Settings!$I$14:$I$83,G132)/(Settings!$I$14:$I$83&lt;&gt;""),Settings!$J$14:$J$83),"Other"))))</f>
        <v/>
      </c>
      <c r="AK132">
        <f>IF($B132="","",IF(H132="","Not rostered",IFERROR(INDEX(Settings!$C$14:$C$33,MATCH(H132,Settings!$B$14:$B$33,0)),IFERROR(LOOKUP(2^15,SEARCH(Settings!$I$14:$I$83,H132)/(Settings!$I$14:$I$83&lt;&gt;""),Settings!$J$14:$J$83),"Other"))))</f>
        <v/>
      </c>
      <c r="AL132">
        <f>IF($B132="","",IF(I132="","Not rostered",IFERROR(INDEX(Settings!$C$14:$C$33,MATCH(I132,Settings!$B$14:$B$33,0)),IFERROR(LOOKUP(2^15,SEARCH(Settings!$I$14:$I$83,I132)/(Settings!$I$14:$I$83&lt;&gt;""),Settings!$J$14:$J$83),"Other"))))</f>
        <v/>
      </c>
      <c r="AM132">
        <f>IF($B132="","",IF(J132="","Not rostered",IFERROR(INDEX(Settings!$C$14:$C$33,MATCH(J132,Settings!$B$14:$B$33,0)),IFERROR(LOOKUP(2^15,SEARCH(Settings!$I$14:$I$83,J132)/(Settings!$I$14:$I$83&lt;&gt;""),Settings!$J$14:$J$83),"Other"))))</f>
        <v/>
      </c>
      <c r="AN132">
        <f>IF($B132="","",IF(K132="","Not rostered",IFERROR(INDEX(Settings!$C$14:$C$33,MATCH(K132,Settings!$B$14:$B$33,0)),IFERROR(LOOKUP(2^15,SEARCH(Settings!$I$14:$I$83,K132)/(Settings!$I$14:$I$83&lt;&gt;""),Settings!$J$14:$J$83),"Other"))))</f>
        <v/>
      </c>
      <c r="AO132">
        <f>IF($B132="","",IF(L132="","Not rostered",IFERROR(INDEX(Settings!$C$14:$C$33,MATCH(L132,Settings!$B$14:$B$33,0)),IFERROR(LOOKUP(2^15,SEARCH(Settings!$I$14:$I$83,L132)/(Settings!$I$14:$I$83&lt;&gt;""),Settings!$J$14:$J$83),"Other"))))</f>
        <v/>
      </c>
      <c r="AP132">
        <f>IF($B132="","",IF(M132="","Not rostered",IFERROR(INDEX(Settings!$C$14:$C$33,MATCH(M132,Settings!$B$14:$B$33,0)),IFERROR(LOOKUP(2^15,SEARCH(Settings!$I$14:$I$83,M132)/(Settings!$I$14:$I$83&lt;&gt;""),Settings!$J$14:$J$83),"Other"))))</f>
        <v/>
      </c>
      <c r="AQ132">
        <f>IF($B132="","",IF(N132="","Not rostered",IFERROR(INDEX(Settings!$C$14:$C$33,MATCH(N132,Settings!$B$14:$B$33,0)),IFERROR(LOOKUP(2^15,SEARCH(Settings!$I$14:$I$83,N132)/(Settings!$I$14:$I$83&lt;&gt;""),Settings!$J$14:$J$83),"Other"))))</f>
        <v/>
      </c>
      <c r="AR132">
        <f>IF($B132="","",IF(O132="","Not rostered",IFERROR(INDEX(Settings!$C$14:$C$33,MATCH(O132,Settings!$B$14:$B$33,0)),IFERROR(LOOKUP(2^15,SEARCH(Settings!$I$14:$I$83,O132)/(Settings!$I$14:$I$83&lt;&gt;""),Settings!$J$14:$J$83),"Other"))))</f>
        <v/>
      </c>
      <c r="AS132">
        <f>IF($B132="","",IF(P132="","Not rostered",IFERROR(INDEX(Settings!$C$14:$C$33,MATCH(P132,Settings!$B$14:$B$33,0)),IFERROR(LOOKUP(2^15,SEARCH(Settings!$I$14:$I$83,P132)/(Settings!$I$14:$I$83&lt;&gt;""),Settings!$J$14:$J$83),"Other"))))</f>
        <v/>
      </c>
      <c r="AT132">
        <f>IF($B132="","",IF(Q132="","Not rostered",IFERROR(INDEX(Settings!$C$14:$C$33,MATCH(Q132,Settings!$B$14:$B$33,0)),IFERROR(LOOKUP(2^15,SEARCH(Settings!$I$14:$I$83,Q132)/(Settings!$I$14:$I$83&lt;&gt;""),Settings!$J$14:$J$83),"Other"))))</f>
        <v/>
      </c>
      <c r="AU132">
        <f>IF($B132="","",IF(R132="","Not rostered",IFERROR(INDEX(Settings!$C$14:$C$33,MATCH(R132,Settings!$B$14:$B$33,0)),IFERROR(LOOKUP(2^15,SEARCH(Settings!$I$14:$I$83,R132)/(Settings!$I$14:$I$83&lt;&gt;""),Settings!$J$14:$J$83),"Other"))))</f>
        <v/>
      </c>
      <c r="AV132">
        <f>IF($B132="","",IF(S132="","Not rostered",IFERROR(INDEX(Settings!$C$14:$C$33,MATCH(S132,Settings!$B$14:$B$33,0)),IFERROR(LOOKUP(2^15,SEARCH(Settings!$I$14:$I$83,S132)/(Settings!$I$14:$I$83&lt;&gt;""),Settings!$J$14:$J$83),"Other"))))</f>
        <v/>
      </c>
      <c r="AW132">
        <f>IF($B132="","",IF(T132="","Not rostered",IFERROR(INDEX(Settings!$C$14:$C$33,MATCH(T132,Settings!$B$14:$B$33,0)),IFERROR(LOOKUP(2^15,SEARCH(Settings!$I$14:$I$83,T132)/(Settings!$I$14:$I$83&lt;&gt;""),Settings!$J$14:$J$83),"Other"))))</f>
        <v/>
      </c>
      <c r="AX132">
        <f>IF($B132="","",IF(U132="","Not rostered",IFERROR(INDEX(Settings!$C$14:$C$33,MATCH(U132,Settings!$B$14:$B$33,0)),IFERROR(LOOKUP(2^15,SEARCH(Settings!$I$14:$I$83,U132)/(Settings!$I$14:$I$83&lt;&gt;""),Settings!$J$14:$J$83),"Other"))))</f>
        <v/>
      </c>
      <c r="AY132">
        <f>IF($B132="","",IF(V132="","Not rostered",IFERROR(INDEX(Settings!$C$14:$C$33,MATCH(V132,Settings!$B$14:$B$33,0)),IFERROR(LOOKUP(2^15,SEARCH(Settings!$I$14:$I$83,V132)/(Settings!$I$14:$I$83&lt;&gt;""),Settings!$J$14:$J$83),"Other"))))</f>
        <v/>
      </c>
      <c r="AZ132">
        <f>IF($B132="","",IF(W132="","Not rostered",IFERROR(INDEX(Settings!$C$14:$C$33,MATCH(W132,Settings!$B$14:$B$33,0)),IFERROR(LOOKUP(2^15,SEARCH(Settings!$I$14:$I$83,W132)/(Settings!$I$14:$I$83&lt;&gt;""),Settings!$J$14:$J$83),"Other"))))</f>
        <v/>
      </c>
      <c r="BA132">
        <f>IF($B132="","",IF(X132="","Not rostered",IFERROR(INDEX(Settings!$C$14:$C$33,MATCH(X132,Settings!$B$14:$B$33,0)),IFERROR(LOOKUP(2^15,SEARCH(Settings!$I$14:$I$83,X132)/(Settings!$I$14:$I$83&lt;&gt;""),Settings!$J$14:$J$83),"Other"))))</f>
        <v/>
      </c>
      <c r="BB132">
        <f>IF($B132="","",IF(Y132="","Not rostered",IFERROR(INDEX(Settings!$C$14:$C$33,MATCH(Y132,Settings!$B$14:$B$33,0)),IFERROR(LOOKUP(2^15,SEARCH(Settings!$I$14:$I$83,Y132)/(Settings!$I$14:$I$83&lt;&gt;""),Settings!$J$14:$J$83),"Other"))))</f>
        <v/>
      </c>
      <c r="BC132">
        <f>IF($B132="","",IF(Z132="","Not rostered",IFERROR(INDEX(Settings!$C$14:$C$33,MATCH(Z132,Settings!$B$14:$B$33,0)),IFERROR(LOOKUP(2^15,SEARCH(Settings!$I$14:$I$83,Z132)/(Settings!$I$14:$I$83&lt;&gt;""),Settings!$J$14:$J$83),"Other"))))</f>
        <v/>
      </c>
      <c r="BD132">
        <f>IF($B132="","",IF(AA132="","Not rostered",IFERROR(INDEX(Settings!$C$14:$C$33,MATCH(AA132,Settings!$B$14:$B$33,0)),IFERROR(LOOKUP(2^15,SEARCH(Settings!$I$14:$I$83,AA132)/(Settings!$I$14:$I$83&lt;&gt;""),Settings!$J$14:$J$83),"Other"))))</f>
        <v/>
      </c>
      <c r="BE132">
        <f>IF($B132="","",IF(AB132="","Not rostered",IFERROR(INDEX(Settings!$C$14:$C$33,MATCH(AB132,Settings!$B$14:$B$33,0)),IFERROR(LOOKUP(2^15,SEARCH(Settings!$I$14:$I$83,AB132)/(Settings!$I$14:$I$83&lt;&gt;""),Settings!$J$14:$J$83),"Other"))))</f>
        <v/>
      </c>
      <c r="BF132">
        <f>IF($B132="","",IF(AC132="","Not rostered",IFERROR(INDEX(Settings!$C$14:$C$33,MATCH(AC132,Settings!$B$14:$B$33,0)),IFERROR(LOOKUP(2^15,SEARCH(Settings!$I$14:$I$83,AC132)/(Settings!$I$14:$I$83&lt;&gt;""),Settings!$J$14:$J$83),"Other"))))</f>
        <v/>
      </c>
      <c r="BG132">
        <f>IF($B132="","",IF(AD132="","Not rostered",IFERROR(INDEX(Settings!$C$14:$C$33,MATCH(AD132,Settings!$B$14:$B$33,0)),IFERROR(LOOKUP(2^15,SEARCH(Settings!$I$14:$I$83,AD132)/(Settings!$I$14:$I$83&lt;&gt;""),Settings!$J$14:$J$83),"Other"))))</f>
        <v/>
      </c>
      <c r="BH132">
        <f>IF($B132="","",IF(AE132="","Not rostered",IFERROR(INDEX(Settings!$C$14:$C$33,MATCH(AE132,Settings!$B$14:$B$33,0)),IFERROR(LOOKUP(2^15,SEARCH(Settings!$I$14:$I$83,AE132)/(Settings!$I$14:$I$83&lt;&gt;""),Settings!$J$14:$J$83),"Other"))))</f>
        <v/>
      </c>
      <c r="BI132">
        <f>IF($B132="","",IF(AF132="","Not rostered",IFERROR(INDEX(Settings!$C$14:$C$33,MATCH(AF132,Settings!$B$14:$B$33,0)),IFERROR(LOOKUP(2^15,SEARCH(Settings!$I$14:$I$83,AF132)/(Settings!$I$14:$I$83&lt;&gt;""),Settings!$J$14:$J$83),"Other"))))</f>
        <v/>
      </c>
      <c r="BJ132">
        <f>IF($B132="","",IF(AG132="","Not rostered",IFERROR(INDEX(Settings!$C$14:$C$33,MATCH(AG132,Settings!$B$14:$B$33,0)),IFERROR(LOOKUP(2^15,SEARCH(Settings!$I$14:$I$83,AG132)/(Settings!$I$14:$I$83&lt;&gt;""),Settings!$J$14:$J$83),"Other"))))</f>
        <v/>
      </c>
      <c r="BL132">
        <f>IF(OR($B132="",F132=""),"",IFERROR(INDEX(Settings!$D$14:$D$33,MATCH(F132,Settings!$B$14:$B$33,0))&amp;"",IFERROR(LOOKUP(2^15,SEARCH(Settings!$F$14:$F$43,F132)/(Settings!$F$14:$F$43&lt;&gt;""),Settings!$G$14:$G$43),"")))</f>
        <v/>
      </c>
      <c r="BM132">
        <f>IF(OR($B132="",G132=""),"",IFERROR(INDEX(Settings!$D$14:$D$33,MATCH(G132,Settings!$B$14:$B$33,0))&amp;"",IFERROR(LOOKUP(2^15,SEARCH(Settings!$F$14:$F$43,G132)/(Settings!$F$14:$F$43&lt;&gt;""),Settings!$G$14:$G$43),"")))</f>
        <v/>
      </c>
      <c r="BN132">
        <f>IF(OR($B132="",H132=""),"",IFERROR(INDEX(Settings!$D$14:$D$33,MATCH(H132,Settings!$B$14:$B$33,0))&amp;"",IFERROR(LOOKUP(2^15,SEARCH(Settings!$F$14:$F$43,H132)/(Settings!$F$14:$F$43&lt;&gt;""),Settings!$G$14:$G$43),"")))</f>
        <v/>
      </c>
      <c r="BO132">
        <f>IF(OR($B132="",I132=""),"",IFERROR(INDEX(Settings!$D$14:$D$33,MATCH(I132,Settings!$B$14:$B$33,0))&amp;"",IFERROR(LOOKUP(2^15,SEARCH(Settings!$F$14:$F$43,I132)/(Settings!$F$14:$F$43&lt;&gt;""),Settings!$G$14:$G$43),"")))</f>
        <v/>
      </c>
      <c r="BP132">
        <f>IF(OR($B132="",J132=""),"",IFERROR(INDEX(Settings!$D$14:$D$33,MATCH(J132,Settings!$B$14:$B$33,0))&amp;"",IFERROR(LOOKUP(2^15,SEARCH(Settings!$F$14:$F$43,J132)/(Settings!$F$14:$F$43&lt;&gt;""),Settings!$G$14:$G$43),"")))</f>
        <v/>
      </c>
      <c r="BQ132">
        <f>IF(OR($B132="",K132=""),"",IFERROR(INDEX(Settings!$D$14:$D$33,MATCH(K132,Settings!$B$14:$B$33,0))&amp;"",IFERROR(LOOKUP(2^15,SEARCH(Settings!$F$14:$F$43,K132)/(Settings!$F$14:$F$43&lt;&gt;""),Settings!$G$14:$G$43),"")))</f>
        <v/>
      </c>
      <c r="BR132">
        <f>IF(OR($B132="",L132=""),"",IFERROR(INDEX(Settings!$D$14:$D$33,MATCH(L132,Settings!$B$14:$B$33,0))&amp;"",IFERROR(LOOKUP(2^15,SEARCH(Settings!$F$14:$F$43,L132)/(Settings!$F$14:$F$43&lt;&gt;""),Settings!$G$14:$G$43),"")))</f>
        <v/>
      </c>
      <c r="BS132">
        <f>IF(OR($B132="",M132=""),"",IFERROR(INDEX(Settings!$D$14:$D$33,MATCH(M132,Settings!$B$14:$B$33,0))&amp;"",IFERROR(LOOKUP(2^15,SEARCH(Settings!$F$14:$F$43,M132)/(Settings!$F$14:$F$43&lt;&gt;""),Settings!$G$14:$G$43),"")))</f>
        <v/>
      </c>
      <c r="BT132">
        <f>IF(OR($B132="",N132=""),"",IFERROR(INDEX(Settings!$D$14:$D$33,MATCH(N132,Settings!$B$14:$B$33,0))&amp;"",IFERROR(LOOKUP(2^15,SEARCH(Settings!$F$14:$F$43,N132)/(Settings!$F$14:$F$43&lt;&gt;""),Settings!$G$14:$G$43),"")))</f>
        <v/>
      </c>
      <c r="BU132">
        <f>IF(OR($B132="",O132=""),"",IFERROR(INDEX(Settings!$D$14:$D$33,MATCH(O132,Settings!$B$14:$B$33,0))&amp;"",IFERROR(LOOKUP(2^15,SEARCH(Settings!$F$14:$F$43,O132)/(Settings!$F$14:$F$43&lt;&gt;""),Settings!$G$14:$G$43),"")))</f>
        <v/>
      </c>
      <c r="BV132">
        <f>IF(OR($B132="",P132=""),"",IFERROR(INDEX(Settings!$D$14:$D$33,MATCH(P132,Settings!$B$14:$B$33,0))&amp;"",IFERROR(LOOKUP(2^15,SEARCH(Settings!$F$14:$F$43,P132)/(Settings!$F$14:$F$43&lt;&gt;""),Settings!$G$14:$G$43),"")))</f>
        <v/>
      </c>
      <c r="BW132">
        <f>IF(OR($B132="",Q132=""),"",IFERROR(INDEX(Settings!$D$14:$D$33,MATCH(Q132,Settings!$B$14:$B$33,0))&amp;"",IFERROR(LOOKUP(2^15,SEARCH(Settings!$F$14:$F$43,Q132)/(Settings!$F$14:$F$43&lt;&gt;""),Settings!$G$14:$G$43),"")))</f>
        <v/>
      </c>
      <c r="BX132">
        <f>IF(OR($B132="",R132=""),"",IFERROR(INDEX(Settings!$D$14:$D$33,MATCH(R132,Settings!$B$14:$B$33,0))&amp;"",IFERROR(LOOKUP(2^15,SEARCH(Settings!$F$14:$F$43,R132)/(Settings!$F$14:$F$43&lt;&gt;""),Settings!$G$14:$G$43),"")))</f>
        <v/>
      </c>
      <c r="BY132">
        <f>IF(OR($B132="",S132=""),"",IFERROR(INDEX(Settings!$D$14:$D$33,MATCH(S132,Settings!$B$14:$B$33,0))&amp;"",IFERROR(LOOKUP(2^15,SEARCH(Settings!$F$14:$F$43,S132)/(Settings!$F$14:$F$43&lt;&gt;""),Settings!$G$14:$G$43),"")))</f>
        <v/>
      </c>
      <c r="BZ132">
        <f>IF(OR($B132="",T132=""),"",IFERROR(INDEX(Settings!$D$14:$D$33,MATCH(T132,Settings!$B$14:$B$33,0))&amp;"",IFERROR(LOOKUP(2^15,SEARCH(Settings!$F$14:$F$43,T132)/(Settings!$F$14:$F$43&lt;&gt;""),Settings!$G$14:$G$43),"")))</f>
        <v/>
      </c>
      <c r="CA132">
        <f>IF(OR($B132="",U132=""),"",IFERROR(INDEX(Settings!$D$14:$D$33,MATCH(U132,Settings!$B$14:$B$33,0))&amp;"",IFERROR(LOOKUP(2^15,SEARCH(Settings!$F$14:$F$43,U132)/(Settings!$F$14:$F$43&lt;&gt;""),Settings!$G$14:$G$43),"")))</f>
        <v/>
      </c>
      <c r="CB132">
        <f>IF(OR($B132="",V132=""),"",IFERROR(INDEX(Settings!$D$14:$D$33,MATCH(V132,Settings!$B$14:$B$33,0))&amp;"",IFERROR(LOOKUP(2^15,SEARCH(Settings!$F$14:$F$43,V132)/(Settings!$F$14:$F$43&lt;&gt;""),Settings!$G$14:$G$43),"")))</f>
        <v/>
      </c>
      <c r="CC132">
        <f>IF(OR($B132="",W132=""),"",IFERROR(INDEX(Settings!$D$14:$D$33,MATCH(W132,Settings!$B$14:$B$33,0))&amp;"",IFERROR(LOOKUP(2^15,SEARCH(Settings!$F$14:$F$43,W132)/(Settings!$F$14:$F$43&lt;&gt;""),Settings!$G$14:$G$43),"")))</f>
        <v/>
      </c>
      <c r="CD132">
        <f>IF(OR($B132="",X132=""),"",IFERROR(INDEX(Settings!$D$14:$D$33,MATCH(X132,Settings!$B$14:$B$33,0))&amp;"",IFERROR(LOOKUP(2^15,SEARCH(Settings!$F$14:$F$43,X132)/(Settings!$F$14:$F$43&lt;&gt;""),Settings!$G$14:$G$43),"")))</f>
        <v/>
      </c>
      <c r="CE132">
        <f>IF(OR($B132="",Y132=""),"",IFERROR(INDEX(Settings!$D$14:$D$33,MATCH(Y132,Settings!$B$14:$B$33,0))&amp;"",IFERROR(LOOKUP(2^15,SEARCH(Settings!$F$14:$F$43,Y132)/(Settings!$F$14:$F$43&lt;&gt;""),Settings!$G$14:$G$43),"")))</f>
        <v/>
      </c>
      <c r="CF132">
        <f>IF(OR($B132="",Z132=""),"",IFERROR(INDEX(Settings!$D$14:$D$33,MATCH(Z132,Settings!$B$14:$B$33,0))&amp;"",IFERROR(LOOKUP(2^15,SEARCH(Settings!$F$14:$F$43,Z132)/(Settings!$F$14:$F$43&lt;&gt;""),Settings!$G$14:$G$43),"")))</f>
        <v/>
      </c>
      <c r="CG132">
        <f>IF(OR($B132="",AA132=""),"",IFERROR(INDEX(Settings!$D$14:$D$33,MATCH(AA132,Settings!$B$14:$B$33,0))&amp;"",IFERROR(LOOKUP(2^15,SEARCH(Settings!$F$14:$F$43,AA132)/(Settings!$F$14:$F$43&lt;&gt;""),Settings!$G$14:$G$43),"")))</f>
        <v/>
      </c>
      <c r="CH132">
        <f>IF(OR($B132="",AB132=""),"",IFERROR(INDEX(Settings!$D$14:$D$33,MATCH(AB132,Settings!$B$14:$B$33,0))&amp;"",IFERROR(LOOKUP(2^15,SEARCH(Settings!$F$14:$F$43,AB132)/(Settings!$F$14:$F$43&lt;&gt;""),Settings!$G$14:$G$43),"")))</f>
        <v/>
      </c>
      <c r="CI132">
        <f>IF(OR($B132="",AC132=""),"",IFERROR(INDEX(Settings!$D$14:$D$33,MATCH(AC132,Settings!$B$14:$B$33,0))&amp;"",IFERROR(LOOKUP(2^15,SEARCH(Settings!$F$14:$F$43,AC132)/(Settings!$F$14:$F$43&lt;&gt;""),Settings!$G$14:$G$43),"")))</f>
        <v/>
      </c>
      <c r="CJ132">
        <f>IF(OR($B132="",AD132=""),"",IFERROR(INDEX(Settings!$D$14:$D$33,MATCH(AD132,Settings!$B$14:$B$33,0))&amp;"",IFERROR(LOOKUP(2^15,SEARCH(Settings!$F$14:$F$43,AD132)/(Settings!$F$14:$F$43&lt;&gt;""),Settings!$G$14:$G$43),"")))</f>
        <v/>
      </c>
      <c r="CK132">
        <f>IF(OR($B132="",AE132=""),"",IFERROR(INDEX(Settings!$D$14:$D$33,MATCH(AE132,Settings!$B$14:$B$33,0))&amp;"",IFERROR(LOOKUP(2^15,SEARCH(Settings!$F$14:$F$43,AE132)/(Settings!$F$14:$F$43&lt;&gt;""),Settings!$G$14:$G$43),"")))</f>
        <v/>
      </c>
      <c r="CL132">
        <f>IF(OR($B132="",AF132=""),"",IFERROR(INDEX(Settings!$D$14:$D$33,MATCH(AF132,Settings!$B$14:$B$33,0))&amp;"",IFERROR(LOOKUP(2^15,SEARCH(Settings!$F$14:$F$43,AF132)/(Settings!$F$14:$F$43&lt;&gt;""),Settings!$G$14:$G$43),"")))</f>
        <v/>
      </c>
      <c r="CM132">
        <f>IF(OR($B132="",AG132=""),"",IFERROR(INDEX(Settings!$D$14:$D$33,MATCH(AG132,Settings!$B$14:$B$33,0))&amp;"",IFERROR(LOOKUP(2^15,SEARCH(Settings!$F$14:$F$43,AG132)/(Settings!$F$14:$F$43&lt;&gt;""),Settings!$G$14:$G$43),"")))</f>
        <v/>
      </c>
    </row>
    <row r="133">
      <c r="A133" t="n">
        <v>131</v>
      </c>
      <c r="B133">
        <f>IFERROR(INDEX(Index!$A$2:$A$202,MATCH(A133,Index!$E$2:$E$202,0)),"")</f>
        <v/>
      </c>
      <c r="D133">
        <f>IF($B133="","",IFERROR(MATCH("Travel*",AI133:BJ133,0),""))</f>
        <v/>
      </c>
      <c r="F133">
        <f>IF(OR($B133="",NOT(ISNUMBER(Settings!$C$9))),"",TRIM(SUBSTITUTE(SUBSTITUTE(INDEX('INPUT - Roster'!$S$1:$SV$206,$B133,Settings!$C$9+0)&amp;"",CHAR(10)," "),CHAR(160)," ")))</f>
        <v/>
      </c>
      <c r="G133">
        <f>IF(OR($B133="",NOT(ISNUMBER(Settings!$C$9))),"",TRIM(SUBSTITUTE(SUBSTITUTE(INDEX('INPUT - Roster'!$S$1:$SV$206,$B133,Settings!$C$9+1)&amp;"",CHAR(10)," "),CHAR(160)," ")))</f>
        <v/>
      </c>
      <c r="H133">
        <f>IF(OR($B133="",NOT(ISNUMBER(Settings!$C$9))),"",TRIM(SUBSTITUTE(SUBSTITUTE(INDEX('INPUT - Roster'!$S$1:$SV$206,$B133,Settings!$C$9+2)&amp;"",CHAR(10)," "),CHAR(160)," ")))</f>
        <v/>
      </c>
      <c r="I133">
        <f>IF(OR($B133="",NOT(ISNUMBER(Settings!$C$9))),"",TRIM(SUBSTITUTE(SUBSTITUTE(INDEX('INPUT - Roster'!$S$1:$SV$206,$B133,Settings!$C$9+3)&amp;"",CHAR(10)," "),CHAR(160)," ")))</f>
        <v/>
      </c>
      <c r="J133">
        <f>IF(OR($B133="",NOT(ISNUMBER(Settings!$C$9))),"",TRIM(SUBSTITUTE(SUBSTITUTE(INDEX('INPUT - Roster'!$S$1:$SV$206,$B133,Settings!$C$9+4)&amp;"",CHAR(10)," "),CHAR(160)," ")))</f>
        <v/>
      </c>
      <c r="K133">
        <f>IF(OR($B133="",NOT(ISNUMBER(Settings!$C$9))),"",TRIM(SUBSTITUTE(SUBSTITUTE(INDEX('INPUT - Roster'!$S$1:$SV$206,$B133,Settings!$C$9+5)&amp;"",CHAR(10)," "),CHAR(160)," ")))</f>
        <v/>
      </c>
      <c r="L133">
        <f>IF(OR($B133="",NOT(ISNUMBER(Settings!$C$9))),"",TRIM(SUBSTITUTE(SUBSTITUTE(INDEX('INPUT - Roster'!$S$1:$SV$206,$B133,Settings!$C$9+6)&amp;"",CHAR(10)," "),CHAR(160)," ")))</f>
        <v/>
      </c>
      <c r="M133">
        <f>IF(OR($B133="",NOT(ISNUMBER(Settings!$C$9))),"",TRIM(SUBSTITUTE(SUBSTITUTE(INDEX('INPUT - Roster'!$S$1:$SV$206,$B133,Settings!$C$9+7)&amp;"",CHAR(10)," "),CHAR(160)," ")))</f>
        <v/>
      </c>
      <c r="N133">
        <f>IF(OR($B133="",NOT(ISNUMBER(Settings!$C$9))),"",TRIM(SUBSTITUTE(SUBSTITUTE(INDEX('INPUT - Roster'!$S$1:$SV$206,$B133,Settings!$C$9+8)&amp;"",CHAR(10)," "),CHAR(160)," ")))</f>
        <v/>
      </c>
      <c r="O133">
        <f>IF(OR($B133="",NOT(ISNUMBER(Settings!$C$9))),"",TRIM(SUBSTITUTE(SUBSTITUTE(INDEX('INPUT - Roster'!$S$1:$SV$206,$B133,Settings!$C$9+9)&amp;"",CHAR(10)," "),CHAR(160)," ")))</f>
        <v/>
      </c>
      <c r="P133">
        <f>IF(OR($B133="",NOT(ISNUMBER(Settings!$C$9))),"",TRIM(SUBSTITUTE(SUBSTITUTE(INDEX('INPUT - Roster'!$S$1:$SV$206,$B133,Settings!$C$9+10)&amp;"",CHAR(10)," "),CHAR(160)," ")))</f>
        <v/>
      </c>
      <c r="Q133">
        <f>IF(OR($B133="",NOT(ISNUMBER(Settings!$C$9))),"",TRIM(SUBSTITUTE(SUBSTITUTE(INDEX('INPUT - Roster'!$S$1:$SV$206,$B133,Settings!$C$9+11)&amp;"",CHAR(10)," "),CHAR(160)," ")))</f>
        <v/>
      </c>
      <c r="R133">
        <f>IF(OR($B133="",NOT(ISNUMBER(Settings!$C$9))),"",TRIM(SUBSTITUTE(SUBSTITUTE(INDEX('INPUT - Roster'!$S$1:$SV$206,$B133,Settings!$C$9+12)&amp;"",CHAR(10)," "),CHAR(160)," ")))</f>
        <v/>
      </c>
      <c r="S133">
        <f>IF(OR($B133="",NOT(ISNUMBER(Settings!$C$9))),"",TRIM(SUBSTITUTE(SUBSTITUTE(INDEX('INPUT - Roster'!$S$1:$SV$206,$B133,Settings!$C$9+13)&amp;"",CHAR(10)," "),CHAR(160)," ")))</f>
        <v/>
      </c>
      <c r="T133">
        <f>IF(OR($B133="",NOT(ISNUMBER(Settings!$C$9))),"",TRIM(SUBSTITUTE(SUBSTITUTE(INDEX('INPUT - Roster'!$S$1:$SV$206,$B133,Settings!$C$9+14)&amp;"",CHAR(10)," "),CHAR(160)," ")))</f>
        <v/>
      </c>
      <c r="U133">
        <f>IF(OR($B133="",NOT(ISNUMBER(Settings!$C$9))),"",TRIM(SUBSTITUTE(SUBSTITUTE(INDEX('INPUT - Roster'!$S$1:$SV$206,$B133,Settings!$C$9+15)&amp;"",CHAR(10)," "),CHAR(160)," ")))</f>
        <v/>
      </c>
      <c r="V133">
        <f>IF(OR($B133="",NOT(ISNUMBER(Settings!$C$9))),"",TRIM(SUBSTITUTE(SUBSTITUTE(INDEX('INPUT - Roster'!$S$1:$SV$206,$B133,Settings!$C$9+16)&amp;"",CHAR(10)," "),CHAR(160)," ")))</f>
        <v/>
      </c>
      <c r="W133">
        <f>IF(OR($B133="",NOT(ISNUMBER(Settings!$C$9))),"",TRIM(SUBSTITUTE(SUBSTITUTE(INDEX('INPUT - Roster'!$S$1:$SV$206,$B133,Settings!$C$9+17)&amp;"",CHAR(10)," "),CHAR(160)," ")))</f>
        <v/>
      </c>
      <c r="X133">
        <f>IF(OR($B133="",NOT(ISNUMBER(Settings!$C$9))),"",TRIM(SUBSTITUTE(SUBSTITUTE(INDEX('INPUT - Roster'!$S$1:$SV$206,$B133,Settings!$C$9+18)&amp;"",CHAR(10)," "),CHAR(160)," ")))</f>
        <v/>
      </c>
      <c r="Y133">
        <f>IF(OR($B133="",NOT(ISNUMBER(Settings!$C$9))),"",TRIM(SUBSTITUTE(SUBSTITUTE(INDEX('INPUT - Roster'!$S$1:$SV$206,$B133,Settings!$C$9+19)&amp;"",CHAR(10)," "),CHAR(160)," ")))</f>
        <v/>
      </c>
      <c r="Z133">
        <f>IF(OR($B133="",NOT(ISNUMBER(Settings!$C$9))),"",TRIM(SUBSTITUTE(SUBSTITUTE(INDEX('INPUT - Roster'!$S$1:$SV$206,$B133,Settings!$C$9+20)&amp;"",CHAR(10)," "),CHAR(160)," ")))</f>
        <v/>
      </c>
      <c r="AA133">
        <f>IF(OR($B133="",NOT(ISNUMBER(Settings!$C$9))),"",TRIM(SUBSTITUTE(SUBSTITUTE(INDEX('INPUT - Roster'!$S$1:$SV$206,$B133,Settings!$C$9+21)&amp;"",CHAR(10)," "),CHAR(160)," ")))</f>
        <v/>
      </c>
      <c r="AB133">
        <f>IF(OR($B133="",NOT(ISNUMBER(Settings!$C$9))),"",TRIM(SUBSTITUTE(SUBSTITUTE(INDEX('INPUT - Roster'!$S$1:$SV$206,$B133,Settings!$C$9+22)&amp;"",CHAR(10)," "),CHAR(160)," ")))</f>
        <v/>
      </c>
      <c r="AC133">
        <f>IF(OR($B133="",NOT(ISNUMBER(Settings!$C$9))),"",TRIM(SUBSTITUTE(SUBSTITUTE(INDEX('INPUT - Roster'!$S$1:$SV$206,$B133,Settings!$C$9+23)&amp;"",CHAR(10)," "),CHAR(160)," ")))</f>
        <v/>
      </c>
      <c r="AD133">
        <f>IF(OR($B133="",NOT(ISNUMBER(Settings!$C$9))),"",TRIM(SUBSTITUTE(SUBSTITUTE(INDEX('INPUT - Roster'!$S$1:$SV$206,$B133,Settings!$C$9+24)&amp;"",CHAR(10)," "),CHAR(160)," ")))</f>
        <v/>
      </c>
      <c r="AE133">
        <f>IF(OR($B133="",NOT(ISNUMBER(Settings!$C$9))),"",TRIM(SUBSTITUTE(SUBSTITUTE(INDEX('INPUT - Roster'!$S$1:$SV$206,$B133,Settings!$C$9+25)&amp;"",CHAR(10)," "),CHAR(160)," ")))</f>
        <v/>
      </c>
      <c r="AF133">
        <f>IF(OR($B133="",NOT(ISNUMBER(Settings!$C$9))),"",TRIM(SUBSTITUTE(SUBSTITUTE(INDEX('INPUT - Roster'!$S$1:$SV$206,$B133,Settings!$C$9+26)&amp;"",CHAR(10)," "),CHAR(160)," ")))</f>
        <v/>
      </c>
      <c r="AG133">
        <f>IF(OR($B133="",NOT(ISNUMBER(Settings!$C$9))),"",TRIM(SUBSTITUTE(SUBSTITUTE(INDEX('INPUT - Roster'!$S$1:$SV$206,$B133,Settings!$C$9+27)&amp;"",CHAR(10)," "),CHAR(160)," ")))</f>
        <v/>
      </c>
      <c r="AI133">
        <f>IF($B133="","",IF(F133="","Not rostered",IFERROR(INDEX(Settings!$C$14:$C$33,MATCH(F133,Settings!$B$14:$B$33,0)),IFERROR(LOOKUP(2^15,SEARCH(Settings!$I$14:$I$83,F133)/(Settings!$I$14:$I$83&lt;&gt;""),Settings!$J$14:$J$83),"Other"))))</f>
        <v/>
      </c>
      <c r="AJ133">
        <f>IF($B133="","",IF(G133="","Not rostered",IFERROR(INDEX(Settings!$C$14:$C$33,MATCH(G133,Settings!$B$14:$B$33,0)),IFERROR(LOOKUP(2^15,SEARCH(Settings!$I$14:$I$83,G133)/(Settings!$I$14:$I$83&lt;&gt;""),Settings!$J$14:$J$83),"Other"))))</f>
        <v/>
      </c>
      <c r="AK133">
        <f>IF($B133="","",IF(H133="","Not rostered",IFERROR(INDEX(Settings!$C$14:$C$33,MATCH(H133,Settings!$B$14:$B$33,0)),IFERROR(LOOKUP(2^15,SEARCH(Settings!$I$14:$I$83,H133)/(Settings!$I$14:$I$83&lt;&gt;""),Settings!$J$14:$J$83),"Other"))))</f>
        <v/>
      </c>
      <c r="AL133">
        <f>IF($B133="","",IF(I133="","Not rostered",IFERROR(INDEX(Settings!$C$14:$C$33,MATCH(I133,Settings!$B$14:$B$33,0)),IFERROR(LOOKUP(2^15,SEARCH(Settings!$I$14:$I$83,I133)/(Settings!$I$14:$I$83&lt;&gt;""),Settings!$J$14:$J$83),"Other"))))</f>
        <v/>
      </c>
      <c r="AM133">
        <f>IF($B133="","",IF(J133="","Not rostered",IFERROR(INDEX(Settings!$C$14:$C$33,MATCH(J133,Settings!$B$14:$B$33,0)),IFERROR(LOOKUP(2^15,SEARCH(Settings!$I$14:$I$83,J133)/(Settings!$I$14:$I$83&lt;&gt;""),Settings!$J$14:$J$83),"Other"))))</f>
        <v/>
      </c>
      <c r="AN133">
        <f>IF($B133="","",IF(K133="","Not rostered",IFERROR(INDEX(Settings!$C$14:$C$33,MATCH(K133,Settings!$B$14:$B$33,0)),IFERROR(LOOKUP(2^15,SEARCH(Settings!$I$14:$I$83,K133)/(Settings!$I$14:$I$83&lt;&gt;""),Settings!$J$14:$J$83),"Other"))))</f>
        <v/>
      </c>
      <c r="AO133">
        <f>IF($B133="","",IF(L133="","Not rostered",IFERROR(INDEX(Settings!$C$14:$C$33,MATCH(L133,Settings!$B$14:$B$33,0)),IFERROR(LOOKUP(2^15,SEARCH(Settings!$I$14:$I$83,L133)/(Settings!$I$14:$I$83&lt;&gt;""),Settings!$J$14:$J$83),"Other"))))</f>
        <v/>
      </c>
      <c r="AP133">
        <f>IF($B133="","",IF(M133="","Not rostered",IFERROR(INDEX(Settings!$C$14:$C$33,MATCH(M133,Settings!$B$14:$B$33,0)),IFERROR(LOOKUP(2^15,SEARCH(Settings!$I$14:$I$83,M133)/(Settings!$I$14:$I$83&lt;&gt;""),Settings!$J$14:$J$83),"Other"))))</f>
        <v/>
      </c>
      <c r="AQ133">
        <f>IF($B133="","",IF(N133="","Not rostered",IFERROR(INDEX(Settings!$C$14:$C$33,MATCH(N133,Settings!$B$14:$B$33,0)),IFERROR(LOOKUP(2^15,SEARCH(Settings!$I$14:$I$83,N133)/(Settings!$I$14:$I$83&lt;&gt;""),Settings!$J$14:$J$83),"Other"))))</f>
        <v/>
      </c>
      <c r="AR133">
        <f>IF($B133="","",IF(O133="","Not rostered",IFERROR(INDEX(Settings!$C$14:$C$33,MATCH(O133,Settings!$B$14:$B$33,0)),IFERROR(LOOKUP(2^15,SEARCH(Settings!$I$14:$I$83,O133)/(Settings!$I$14:$I$83&lt;&gt;""),Settings!$J$14:$J$83),"Other"))))</f>
        <v/>
      </c>
      <c r="AS133">
        <f>IF($B133="","",IF(P133="","Not rostered",IFERROR(INDEX(Settings!$C$14:$C$33,MATCH(P133,Settings!$B$14:$B$33,0)),IFERROR(LOOKUP(2^15,SEARCH(Settings!$I$14:$I$83,P133)/(Settings!$I$14:$I$83&lt;&gt;""),Settings!$J$14:$J$83),"Other"))))</f>
        <v/>
      </c>
      <c r="AT133">
        <f>IF($B133="","",IF(Q133="","Not rostered",IFERROR(INDEX(Settings!$C$14:$C$33,MATCH(Q133,Settings!$B$14:$B$33,0)),IFERROR(LOOKUP(2^15,SEARCH(Settings!$I$14:$I$83,Q133)/(Settings!$I$14:$I$83&lt;&gt;""),Settings!$J$14:$J$83),"Other"))))</f>
        <v/>
      </c>
      <c r="AU133">
        <f>IF($B133="","",IF(R133="","Not rostered",IFERROR(INDEX(Settings!$C$14:$C$33,MATCH(R133,Settings!$B$14:$B$33,0)),IFERROR(LOOKUP(2^15,SEARCH(Settings!$I$14:$I$83,R133)/(Settings!$I$14:$I$83&lt;&gt;""),Settings!$J$14:$J$83),"Other"))))</f>
        <v/>
      </c>
      <c r="AV133">
        <f>IF($B133="","",IF(S133="","Not rostered",IFERROR(INDEX(Settings!$C$14:$C$33,MATCH(S133,Settings!$B$14:$B$33,0)),IFERROR(LOOKUP(2^15,SEARCH(Settings!$I$14:$I$83,S133)/(Settings!$I$14:$I$83&lt;&gt;""),Settings!$J$14:$J$83),"Other"))))</f>
        <v/>
      </c>
      <c r="AW133">
        <f>IF($B133="","",IF(T133="","Not rostered",IFERROR(INDEX(Settings!$C$14:$C$33,MATCH(T133,Settings!$B$14:$B$33,0)),IFERROR(LOOKUP(2^15,SEARCH(Settings!$I$14:$I$83,T133)/(Settings!$I$14:$I$83&lt;&gt;""),Settings!$J$14:$J$83),"Other"))))</f>
        <v/>
      </c>
      <c r="AX133">
        <f>IF($B133="","",IF(U133="","Not rostered",IFERROR(INDEX(Settings!$C$14:$C$33,MATCH(U133,Settings!$B$14:$B$33,0)),IFERROR(LOOKUP(2^15,SEARCH(Settings!$I$14:$I$83,U133)/(Settings!$I$14:$I$83&lt;&gt;""),Settings!$J$14:$J$83),"Other"))))</f>
        <v/>
      </c>
      <c r="AY133">
        <f>IF($B133="","",IF(V133="","Not rostered",IFERROR(INDEX(Settings!$C$14:$C$33,MATCH(V133,Settings!$B$14:$B$33,0)),IFERROR(LOOKUP(2^15,SEARCH(Settings!$I$14:$I$83,V133)/(Settings!$I$14:$I$83&lt;&gt;""),Settings!$J$14:$J$83),"Other"))))</f>
        <v/>
      </c>
      <c r="AZ133">
        <f>IF($B133="","",IF(W133="","Not rostered",IFERROR(INDEX(Settings!$C$14:$C$33,MATCH(W133,Settings!$B$14:$B$33,0)),IFERROR(LOOKUP(2^15,SEARCH(Settings!$I$14:$I$83,W133)/(Settings!$I$14:$I$83&lt;&gt;""),Settings!$J$14:$J$83),"Other"))))</f>
        <v/>
      </c>
      <c r="BA133">
        <f>IF($B133="","",IF(X133="","Not rostered",IFERROR(INDEX(Settings!$C$14:$C$33,MATCH(X133,Settings!$B$14:$B$33,0)),IFERROR(LOOKUP(2^15,SEARCH(Settings!$I$14:$I$83,X133)/(Settings!$I$14:$I$83&lt;&gt;""),Settings!$J$14:$J$83),"Other"))))</f>
        <v/>
      </c>
      <c r="BB133">
        <f>IF($B133="","",IF(Y133="","Not rostered",IFERROR(INDEX(Settings!$C$14:$C$33,MATCH(Y133,Settings!$B$14:$B$33,0)),IFERROR(LOOKUP(2^15,SEARCH(Settings!$I$14:$I$83,Y133)/(Settings!$I$14:$I$83&lt;&gt;""),Settings!$J$14:$J$83),"Other"))))</f>
        <v/>
      </c>
      <c r="BC133">
        <f>IF($B133="","",IF(Z133="","Not rostered",IFERROR(INDEX(Settings!$C$14:$C$33,MATCH(Z133,Settings!$B$14:$B$33,0)),IFERROR(LOOKUP(2^15,SEARCH(Settings!$I$14:$I$83,Z133)/(Settings!$I$14:$I$83&lt;&gt;""),Settings!$J$14:$J$83),"Other"))))</f>
        <v/>
      </c>
      <c r="BD133">
        <f>IF($B133="","",IF(AA133="","Not rostered",IFERROR(INDEX(Settings!$C$14:$C$33,MATCH(AA133,Settings!$B$14:$B$33,0)),IFERROR(LOOKUP(2^15,SEARCH(Settings!$I$14:$I$83,AA133)/(Settings!$I$14:$I$83&lt;&gt;""),Settings!$J$14:$J$83),"Other"))))</f>
        <v/>
      </c>
      <c r="BE133">
        <f>IF($B133="","",IF(AB133="","Not rostered",IFERROR(INDEX(Settings!$C$14:$C$33,MATCH(AB133,Settings!$B$14:$B$33,0)),IFERROR(LOOKUP(2^15,SEARCH(Settings!$I$14:$I$83,AB133)/(Settings!$I$14:$I$83&lt;&gt;""),Settings!$J$14:$J$83),"Other"))))</f>
        <v/>
      </c>
      <c r="BF133">
        <f>IF($B133="","",IF(AC133="","Not rostered",IFERROR(INDEX(Settings!$C$14:$C$33,MATCH(AC133,Settings!$B$14:$B$33,0)),IFERROR(LOOKUP(2^15,SEARCH(Settings!$I$14:$I$83,AC133)/(Settings!$I$14:$I$83&lt;&gt;""),Settings!$J$14:$J$83),"Other"))))</f>
        <v/>
      </c>
      <c r="BG133">
        <f>IF($B133="","",IF(AD133="","Not rostered",IFERROR(INDEX(Settings!$C$14:$C$33,MATCH(AD133,Settings!$B$14:$B$33,0)),IFERROR(LOOKUP(2^15,SEARCH(Settings!$I$14:$I$83,AD133)/(Settings!$I$14:$I$83&lt;&gt;""),Settings!$J$14:$J$83),"Other"))))</f>
        <v/>
      </c>
      <c r="BH133">
        <f>IF($B133="","",IF(AE133="","Not rostered",IFERROR(INDEX(Settings!$C$14:$C$33,MATCH(AE133,Settings!$B$14:$B$33,0)),IFERROR(LOOKUP(2^15,SEARCH(Settings!$I$14:$I$83,AE133)/(Settings!$I$14:$I$83&lt;&gt;""),Settings!$J$14:$J$83),"Other"))))</f>
        <v/>
      </c>
      <c r="BI133">
        <f>IF($B133="","",IF(AF133="","Not rostered",IFERROR(INDEX(Settings!$C$14:$C$33,MATCH(AF133,Settings!$B$14:$B$33,0)),IFERROR(LOOKUP(2^15,SEARCH(Settings!$I$14:$I$83,AF133)/(Settings!$I$14:$I$83&lt;&gt;""),Settings!$J$14:$J$83),"Other"))))</f>
        <v/>
      </c>
      <c r="BJ133">
        <f>IF($B133="","",IF(AG133="","Not rostered",IFERROR(INDEX(Settings!$C$14:$C$33,MATCH(AG133,Settings!$B$14:$B$33,0)),IFERROR(LOOKUP(2^15,SEARCH(Settings!$I$14:$I$83,AG133)/(Settings!$I$14:$I$83&lt;&gt;""),Settings!$J$14:$J$83),"Other"))))</f>
        <v/>
      </c>
      <c r="BL133">
        <f>IF(OR($B133="",F133=""),"",IFERROR(INDEX(Settings!$D$14:$D$33,MATCH(F133,Settings!$B$14:$B$33,0))&amp;"",IFERROR(LOOKUP(2^15,SEARCH(Settings!$F$14:$F$43,F133)/(Settings!$F$14:$F$43&lt;&gt;""),Settings!$G$14:$G$43),"")))</f>
        <v/>
      </c>
      <c r="BM133">
        <f>IF(OR($B133="",G133=""),"",IFERROR(INDEX(Settings!$D$14:$D$33,MATCH(G133,Settings!$B$14:$B$33,0))&amp;"",IFERROR(LOOKUP(2^15,SEARCH(Settings!$F$14:$F$43,G133)/(Settings!$F$14:$F$43&lt;&gt;""),Settings!$G$14:$G$43),"")))</f>
        <v/>
      </c>
      <c r="BN133">
        <f>IF(OR($B133="",H133=""),"",IFERROR(INDEX(Settings!$D$14:$D$33,MATCH(H133,Settings!$B$14:$B$33,0))&amp;"",IFERROR(LOOKUP(2^15,SEARCH(Settings!$F$14:$F$43,H133)/(Settings!$F$14:$F$43&lt;&gt;""),Settings!$G$14:$G$43),"")))</f>
        <v/>
      </c>
      <c r="BO133">
        <f>IF(OR($B133="",I133=""),"",IFERROR(INDEX(Settings!$D$14:$D$33,MATCH(I133,Settings!$B$14:$B$33,0))&amp;"",IFERROR(LOOKUP(2^15,SEARCH(Settings!$F$14:$F$43,I133)/(Settings!$F$14:$F$43&lt;&gt;""),Settings!$G$14:$G$43),"")))</f>
        <v/>
      </c>
      <c r="BP133">
        <f>IF(OR($B133="",J133=""),"",IFERROR(INDEX(Settings!$D$14:$D$33,MATCH(J133,Settings!$B$14:$B$33,0))&amp;"",IFERROR(LOOKUP(2^15,SEARCH(Settings!$F$14:$F$43,J133)/(Settings!$F$14:$F$43&lt;&gt;""),Settings!$G$14:$G$43),"")))</f>
        <v/>
      </c>
      <c r="BQ133">
        <f>IF(OR($B133="",K133=""),"",IFERROR(INDEX(Settings!$D$14:$D$33,MATCH(K133,Settings!$B$14:$B$33,0))&amp;"",IFERROR(LOOKUP(2^15,SEARCH(Settings!$F$14:$F$43,K133)/(Settings!$F$14:$F$43&lt;&gt;""),Settings!$G$14:$G$43),"")))</f>
        <v/>
      </c>
      <c r="BR133">
        <f>IF(OR($B133="",L133=""),"",IFERROR(INDEX(Settings!$D$14:$D$33,MATCH(L133,Settings!$B$14:$B$33,0))&amp;"",IFERROR(LOOKUP(2^15,SEARCH(Settings!$F$14:$F$43,L133)/(Settings!$F$14:$F$43&lt;&gt;""),Settings!$G$14:$G$43),"")))</f>
        <v/>
      </c>
      <c r="BS133">
        <f>IF(OR($B133="",M133=""),"",IFERROR(INDEX(Settings!$D$14:$D$33,MATCH(M133,Settings!$B$14:$B$33,0))&amp;"",IFERROR(LOOKUP(2^15,SEARCH(Settings!$F$14:$F$43,M133)/(Settings!$F$14:$F$43&lt;&gt;""),Settings!$G$14:$G$43),"")))</f>
        <v/>
      </c>
      <c r="BT133">
        <f>IF(OR($B133="",N133=""),"",IFERROR(INDEX(Settings!$D$14:$D$33,MATCH(N133,Settings!$B$14:$B$33,0))&amp;"",IFERROR(LOOKUP(2^15,SEARCH(Settings!$F$14:$F$43,N133)/(Settings!$F$14:$F$43&lt;&gt;""),Settings!$G$14:$G$43),"")))</f>
        <v/>
      </c>
      <c r="BU133">
        <f>IF(OR($B133="",O133=""),"",IFERROR(INDEX(Settings!$D$14:$D$33,MATCH(O133,Settings!$B$14:$B$33,0))&amp;"",IFERROR(LOOKUP(2^15,SEARCH(Settings!$F$14:$F$43,O133)/(Settings!$F$14:$F$43&lt;&gt;""),Settings!$G$14:$G$43),"")))</f>
        <v/>
      </c>
      <c r="BV133">
        <f>IF(OR($B133="",P133=""),"",IFERROR(INDEX(Settings!$D$14:$D$33,MATCH(P133,Settings!$B$14:$B$33,0))&amp;"",IFERROR(LOOKUP(2^15,SEARCH(Settings!$F$14:$F$43,P133)/(Settings!$F$14:$F$43&lt;&gt;""),Settings!$G$14:$G$43),"")))</f>
        <v/>
      </c>
      <c r="BW133">
        <f>IF(OR($B133="",Q133=""),"",IFERROR(INDEX(Settings!$D$14:$D$33,MATCH(Q133,Settings!$B$14:$B$33,0))&amp;"",IFERROR(LOOKUP(2^15,SEARCH(Settings!$F$14:$F$43,Q133)/(Settings!$F$14:$F$43&lt;&gt;""),Settings!$G$14:$G$43),"")))</f>
        <v/>
      </c>
      <c r="BX133">
        <f>IF(OR($B133="",R133=""),"",IFERROR(INDEX(Settings!$D$14:$D$33,MATCH(R133,Settings!$B$14:$B$33,0))&amp;"",IFERROR(LOOKUP(2^15,SEARCH(Settings!$F$14:$F$43,R133)/(Settings!$F$14:$F$43&lt;&gt;""),Settings!$G$14:$G$43),"")))</f>
        <v/>
      </c>
      <c r="BY133">
        <f>IF(OR($B133="",S133=""),"",IFERROR(INDEX(Settings!$D$14:$D$33,MATCH(S133,Settings!$B$14:$B$33,0))&amp;"",IFERROR(LOOKUP(2^15,SEARCH(Settings!$F$14:$F$43,S133)/(Settings!$F$14:$F$43&lt;&gt;""),Settings!$G$14:$G$43),"")))</f>
        <v/>
      </c>
      <c r="BZ133">
        <f>IF(OR($B133="",T133=""),"",IFERROR(INDEX(Settings!$D$14:$D$33,MATCH(T133,Settings!$B$14:$B$33,0))&amp;"",IFERROR(LOOKUP(2^15,SEARCH(Settings!$F$14:$F$43,T133)/(Settings!$F$14:$F$43&lt;&gt;""),Settings!$G$14:$G$43),"")))</f>
        <v/>
      </c>
      <c r="CA133">
        <f>IF(OR($B133="",U133=""),"",IFERROR(INDEX(Settings!$D$14:$D$33,MATCH(U133,Settings!$B$14:$B$33,0))&amp;"",IFERROR(LOOKUP(2^15,SEARCH(Settings!$F$14:$F$43,U133)/(Settings!$F$14:$F$43&lt;&gt;""),Settings!$G$14:$G$43),"")))</f>
        <v/>
      </c>
      <c r="CB133">
        <f>IF(OR($B133="",V133=""),"",IFERROR(INDEX(Settings!$D$14:$D$33,MATCH(V133,Settings!$B$14:$B$33,0))&amp;"",IFERROR(LOOKUP(2^15,SEARCH(Settings!$F$14:$F$43,V133)/(Settings!$F$14:$F$43&lt;&gt;""),Settings!$G$14:$G$43),"")))</f>
        <v/>
      </c>
      <c r="CC133">
        <f>IF(OR($B133="",W133=""),"",IFERROR(INDEX(Settings!$D$14:$D$33,MATCH(W133,Settings!$B$14:$B$33,0))&amp;"",IFERROR(LOOKUP(2^15,SEARCH(Settings!$F$14:$F$43,W133)/(Settings!$F$14:$F$43&lt;&gt;""),Settings!$G$14:$G$43),"")))</f>
        <v/>
      </c>
      <c r="CD133">
        <f>IF(OR($B133="",X133=""),"",IFERROR(INDEX(Settings!$D$14:$D$33,MATCH(X133,Settings!$B$14:$B$33,0))&amp;"",IFERROR(LOOKUP(2^15,SEARCH(Settings!$F$14:$F$43,X133)/(Settings!$F$14:$F$43&lt;&gt;""),Settings!$G$14:$G$43),"")))</f>
        <v/>
      </c>
      <c r="CE133">
        <f>IF(OR($B133="",Y133=""),"",IFERROR(INDEX(Settings!$D$14:$D$33,MATCH(Y133,Settings!$B$14:$B$33,0))&amp;"",IFERROR(LOOKUP(2^15,SEARCH(Settings!$F$14:$F$43,Y133)/(Settings!$F$14:$F$43&lt;&gt;""),Settings!$G$14:$G$43),"")))</f>
        <v/>
      </c>
      <c r="CF133">
        <f>IF(OR($B133="",Z133=""),"",IFERROR(INDEX(Settings!$D$14:$D$33,MATCH(Z133,Settings!$B$14:$B$33,0))&amp;"",IFERROR(LOOKUP(2^15,SEARCH(Settings!$F$14:$F$43,Z133)/(Settings!$F$14:$F$43&lt;&gt;""),Settings!$G$14:$G$43),"")))</f>
        <v/>
      </c>
      <c r="CG133">
        <f>IF(OR($B133="",AA133=""),"",IFERROR(INDEX(Settings!$D$14:$D$33,MATCH(AA133,Settings!$B$14:$B$33,0))&amp;"",IFERROR(LOOKUP(2^15,SEARCH(Settings!$F$14:$F$43,AA133)/(Settings!$F$14:$F$43&lt;&gt;""),Settings!$G$14:$G$43),"")))</f>
        <v/>
      </c>
      <c r="CH133">
        <f>IF(OR($B133="",AB133=""),"",IFERROR(INDEX(Settings!$D$14:$D$33,MATCH(AB133,Settings!$B$14:$B$33,0))&amp;"",IFERROR(LOOKUP(2^15,SEARCH(Settings!$F$14:$F$43,AB133)/(Settings!$F$14:$F$43&lt;&gt;""),Settings!$G$14:$G$43),"")))</f>
        <v/>
      </c>
      <c r="CI133">
        <f>IF(OR($B133="",AC133=""),"",IFERROR(INDEX(Settings!$D$14:$D$33,MATCH(AC133,Settings!$B$14:$B$33,0))&amp;"",IFERROR(LOOKUP(2^15,SEARCH(Settings!$F$14:$F$43,AC133)/(Settings!$F$14:$F$43&lt;&gt;""),Settings!$G$14:$G$43),"")))</f>
        <v/>
      </c>
      <c r="CJ133">
        <f>IF(OR($B133="",AD133=""),"",IFERROR(INDEX(Settings!$D$14:$D$33,MATCH(AD133,Settings!$B$14:$B$33,0))&amp;"",IFERROR(LOOKUP(2^15,SEARCH(Settings!$F$14:$F$43,AD133)/(Settings!$F$14:$F$43&lt;&gt;""),Settings!$G$14:$G$43),"")))</f>
        <v/>
      </c>
      <c r="CK133">
        <f>IF(OR($B133="",AE133=""),"",IFERROR(INDEX(Settings!$D$14:$D$33,MATCH(AE133,Settings!$B$14:$B$33,0))&amp;"",IFERROR(LOOKUP(2^15,SEARCH(Settings!$F$14:$F$43,AE133)/(Settings!$F$14:$F$43&lt;&gt;""),Settings!$G$14:$G$43),"")))</f>
        <v/>
      </c>
      <c r="CL133">
        <f>IF(OR($B133="",AF133=""),"",IFERROR(INDEX(Settings!$D$14:$D$33,MATCH(AF133,Settings!$B$14:$B$33,0))&amp;"",IFERROR(LOOKUP(2^15,SEARCH(Settings!$F$14:$F$43,AF133)/(Settings!$F$14:$F$43&lt;&gt;""),Settings!$G$14:$G$43),"")))</f>
        <v/>
      </c>
      <c r="CM133">
        <f>IF(OR($B133="",AG133=""),"",IFERROR(INDEX(Settings!$D$14:$D$33,MATCH(AG133,Settings!$B$14:$B$33,0))&amp;"",IFERROR(LOOKUP(2^15,SEARCH(Settings!$F$14:$F$43,AG133)/(Settings!$F$14:$F$43&lt;&gt;""),Settings!$G$14:$G$43),"")))</f>
        <v/>
      </c>
    </row>
    <row r="134">
      <c r="A134" t="n">
        <v>132</v>
      </c>
      <c r="B134">
        <f>IFERROR(INDEX(Index!$A$2:$A$202,MATCH(A134,Index!$E$2:$E$202,0)),"")</f>
        <v/>
      </c>
      <c r="D134">
        <f>IF($B134="","",IFERROR(MATCH("Travel*",AI134:BJ134,0),""))</f>
        <v/>
      </c>
      <c r="F134">
        <f>IF(OR($B134="",NOT(ISNUMBER(Settings!$C$9))),"",TRIM(SUBSTITUTE(SUBSTITUTE(INDEX('INPUT - Roster'!$S$1:$SV$206,$B134,Settings!$C$9+0)&amp;"",CHAR(10)," "),CHAR(160)," ")))</f>
        <v/>
      </c>
      <c r="G134">
        <f>IF(OR($B134="",NOT(ISNUMBER(Settings!$C$9))),"",TRIM(SUBSTITUTE(SUBSTITUTE(INDEX('INPUT - Roster'!$S$1:$SV$206,$B134,Settings!$C$9+1)&amp;"",CHAR(10)," "),CHAR(160)," ")))</f>
        <v/>
      </c>
      <c r="H134">
        <f>IF(OR($B134="",NOT(ISNUMBER(Settings!$C$9))),"",TRIM(SUBSTITUTE(SUBSTITUTE(INDEX('INPUT - Roster'!$S$1:$SV$206,$B134,Settings!$C$9+2)&amp;"",CHAR(10)," "),CHAR(160)," ")))</f>
        <v/>
      </c>
      <c r="I134">
        <f>IF(OR($B134="",NOT(ISNUMBER(Settings!$C$9))),"",TRIM(SUBSTITUTE(SUBSTITUTE(INDEX('INPUT - Roster'!$S$1:$SV$206,$B134,Settings!$C$9+3)&amp;"",CHAR(10)," "),CHAR(160)," ")))</f>
        <v/>
      </c>
      <c r="J134">
        <f>IF(OR($B134="",NOT(ISNUMBER(Settings!$C$9))),"",TRIM(SUBSTITUTE(SUBSTITUTE(INDEX('INPUT - Roster'!$S$1:$SV$206,$B134,Settings!$C$9+4)&amp;"",CHAR(10)," "),CHAR(160)," ")))</f>
        <v/>
      </c>
      <c r="K134">
        <f>IF(OR($B134="",NOT(ISNUMBER(Settings!$C$9))),"",TRIM(SUBSTITUTE(SUBSTITUTE(INDEX('INPUT - Roster'!$S$1:$SV$206,$B134,Settings!$C$9+5)&amp;"",CHAR(10)," "),CHAR(160)," ")))</f>
        <v/>
      </c>
      <c r="L134">
        <f>IF(OR($B134="",NOT(ISNUMBER(Settings!$C$9))),"",TRIM(SUBSTITUTE(SUBSTITUTE(INDEX('INPUT - Roster'!$S$1:$SV$206,$B134,Settings!$C$9+6)&amp;"",CHAR(10)," "),CHAR(160)," ")))</f>
        <v/>
      </c>
      <c r="M134">
        <f>IF(OR($B134="",NOT(ISNUMBER(Settings!$C$9))),"",TRIM(SUBSTITUTE(SUBSTITUTE(INDEX('INPUT - Roster'!$S$1:$SV$206,$B134,Settings!$C$9+7)&amp;"",CHAR(10)," "),CHAR(160)," ")))</f>
        <v/>
      </c>
      <c r="N134">
        <f>IF(OR($B134="",NOT(ISNUMBER(Settings!$C$9))),"",TRIM(SUBSTITUTE(SUBSTITUTE(INDEX('INPUT - Roster'!$S$1:$SV$206,$B134,Settings!$C$9+8)&amp;"",CHAR(10)," "),CHAR(160)," ")))</f>
        <v/>
      </c>
      <c r="O134">
        <f>IF(OR($B134="",NOT(ISNUMBER(Settings!$C$9))),"",TRIM(SUBSTITUTE(SUBSTITUTE(INDEX('INPUT - Roster'!$S$1:$SV$206,$B134,Settings!$C$9+9)&amp;"",CHAR(10)," "),CHAR(160)," ")))</f>
        <v/>
      </c>
      <c r="P134">
        <f>IF(OR($B134="",NOT(ISNUMBER(Settings!$C$9))),"",TRIM(SUBSTITUTE(SUBSTITUTE(INDEX('INPUT - Roster'!$S$1:$SV$206,$B134,Settings!$C$9+10)&amp;"",CHAR(10)," "),CHAR(160)," ")))</f>
        <v/>
      </c>
      <c r="Q134">
        <f>IF(OR($B134="",NOT(ISNUMBER(Settings!$C$9))),"",TRIM(SUBSTITUTE(SUBSTITUTE(INDEX('INPUT - Roster'!$S$1:$SV$206,$B134,Settings!$C$9+11)&amp;"",CHAR(10)," "),CHAR(160)," ")))</f>
        <v/>
      </c>
      <c r="R134">
        <f>IF(OR($B134="",NOT(ISNUMBER(Settings!$C$9))),"",TRIM(SUBSTITUTE(SUBSTITUTE(INDEX('INPUT - Roster'!$S$1:$SV$206,$B134,Settings!$C$9+12)&amp;"",CHAR(10)," "),CHAR(160)," ")))</f>
        <v/>
      </c>
      <c r="S134">
        <f>IF(OR($B134="",NOT(ISNUMBER(Settings!$C$9))),"",TRIM(SUBSTITUTE(SUBSTITUTE(INDEX('INPUT - Roster'!$S$1:$SV$206,$B134,Settings!$C$9+13)&amp;"",CHAR(10)," "),CHAR(160)," ")))</f>
        <v/>
      </c>
      <c r="T134">
        <f>IF(OR($B134="",NOT(ISNUMBER(Settings!$C$9))),"",TRIM(SUBSTITUTE(SUBSTITUTE(INDEX('INPUT - Roster'!$S$1:$SV$206,$B134,Settings!$C$9+14)&amp;"",CHAR(10)," "),CHAR(160)," ")))</f>
        <v/>
      </c>
      <c r="U134">
        <f>IF(OR($B134="",NOT(ISNUMBER(Settings!$C$9))),"",TRIM(SUBSTITUTE(SUBSTITUTE(INDEX('INPUT - Roster'!$S$1:$SV$206,$B134,Settings!$C$9+15)&amp;"",CHAR(10)," "),CHAR(160)," ")))</f>
        <v/>
      </c>
      <c r="V134">
        <f>IF(OR($B134="",NOT(ISNUMBER(Settings!$C$9))),"",TRIM(SUBSTITUTE(SUBSTITUTE(INDEX('INPUT - Roster'!$S$1:$SV$206,$B134,Settings!$C$9+16)&amp;"",CHAR(10)," "),CHAR(160)," ")))</f>
        <v/>
      </c>
      <c r="W134">
        <f>IF(OR($B134="",NOT(ISNUMBER(Settings!$C$9))),"",TRIM(SUBSTITUTE(SUBSTITUTE(INDEX('INPUT - Roster'!$S$1:$SV$206,$B134,Settings!$C$9+17)&amp;"",CHAR(10)," "),CHAR(160)," ")))</f>
        <v/>
      </c>
      <c r="X134">
        <f>IF(OR($B134="",NOT(ISNUMBER(Settings!$C$9))),"",TRIM(SUBSTITUTE(SUBSTITUTE(INDEX('INPUT - Roster'!$S$1:$SV$206,$B134,Settings!$C$9+18)&amp;"",CHAR(10)," "),CHAR(160)," ")))</f>
        <v/>
      </c>
      <c r="Y134">
        <f>IF(OR($B134="",NOT(ISNUMBER(Settings!$C$9))),"",TRIM(SUBSTITUTE(SUBSTITUTE(INDEX('INPUT - Roster'!$S$1:$SV$206,$B134,Settings!$C$9+19)&amp;"",CHAR(10)," "),CHAR(160)," ")))</f>
        <v/>
      </c>
      <c r="Z134">
        <f>IF(OR($B134="",NOT(ISNUMBER(Settings!$C$9))),"",TRIM(SUBSTITUTE(SUBSTITUTE(INDEX('INPUT - Roster'!$S$1:$SV$206,$B134,Settings!$C$9+20)&amp;"",CHAR(10)," "),CHAR(160)," ")))</f>
        <v/>
      </c>
      <c r="AA134">
        <f>IF(OR($B134="",NOT(ISNUMBER(Settings!$C$9))),"",TRIM(SUBSTITUTE(SUBSTITUTE(INDEX('INPUT - Roster'!$S$1:$SV$206,$B134,Settings!$C$9+21)&amp;"",CHAR(10)," "),CHAR(160)," ")))</f>
        <v/>
      </c>
      <c r="AB134">
        <f>IF(OR($B134="",NOT(ISNUMBER(Settings!$C$9))),"",TRIM(SUBSTITUTE(SUBSTITUTE(INDEX('INPUT - Roster'!$S$1:$SV$206,$B134,Settings!$C$9+22)&amp;"",CHAR(10)," "),CHAR(160)," ")))</f>
        <v/>
      </c>
      <c r="AC134">
        <f>IF(OR($B134="",NOT(ISNUMBER(Settings!$C$9))),"",TRIM(SUBSTITUTE(SUBSTITUTE(INDEX('INPUT - Roster'!$S$1:$SV$206,$B134,Settings!$C$9+23)&amp;"",CHAR(10)," "),CHAR(160)," ")))</f>
        <v/>
      </c>
      <c r="AD134">
        <f>IF(OR($B134="",NOT(ISNUMBER(Settings!$C$9))),"",TRIM(SUBSTITUTE(SUBSTITUTE(INDEX('INPUT - Roster'!$S$1:$SV$206,$B134,Settings!$C$9+24)&amp;"",CHAR(10)," "),CHAR(160)," ")))</f>
        <v/>
      </c>
      <c r="AE134">
        <f>IF(OR($B134="",NOT(ISNUMBER(Settings!$C$9))),"",TRIM(SUBSTITUTE(SUBSTITUTE(INDEX('INPUT - Roster'!$S$1:$SV$206,$B134,Settings!$C$9+25)&amp;"",CHAR(10)," "),CHAR(160)," ")))</f>
        <v/>
      </c>
      <c r="AF134">
        <f>IF(OR($B134="",NOT(ISNUMBER(Settings!$C$9))),"",TRIM(SUBSTITUTE(SUBSTITUTE(INDEX('INPUT - Roster'!$S$1:$SV$206,$B134,Settings!$C$9+26)&amp;"",CHAR(10)," "),CHAR(160)," ")))</f>
        <v/>
      </c>
      <c r="AG134">
        <f>IF(OR($B134="",NOT(ISNUMBER(Settings!$C$9))),"",TRIM(SUBSTITUTE(SUBSTITUTE(INDEX('INPUT - Roster'!$S$1:$SV$206,$B134,Settings!$C$9+27)&amp;"",CHAR(10)," "),CHAR(160)," ")))</f>
        <v/>
      </c>
      <c r="AI134">
        <f>IF($B134="","",IF(F134="","Not rostered",IFERROR(INDEX(Settings!$C$14:$C$33,MATCH(F134,Settings!$B$14:$B$33,0)),IFERROR(LOOKUP(2^15,SEARCH(Settings!$I$14:$I$83,F134)/(Settings!$I$14:$I$83&lt;&gt;""),Settings!$J$14:$J$83),"Other"))))</f>
        <v/>
      </c>
      <c r="AJ134">
        <f>IF($B134="","",IF(G134="","Not rostered",IFERROR(INDEX(Settings!$C$14:$C$33,MATCH(G134,Settings!$B$14:$B$33,0)),IFERROR(LOOKUP(2^15,SEARCH(Settings!$I$14:$I$83,G134)/(Settings!$I$14:$I$83&lt;&gt;""),Settings!$J$14:$J$83),"Other"))))</f>
        <v/>
      </c>
      <c r="AK134">
        <f>IF($B134="","",IF(H134="","Not rostered",IFERROR(INDEX(Settings!$C$14:$C$33,MATCH(H134,Settings!$B$14:$B$33,0)),IFERROR(LOOKUP(2^15,SEARCH(Settings!$I$14:$I$83,H134)/(Settings!$I$14:$I$83&lt;&gt;""),Settings!$J$14:$J$83),"Other"))))</f>
        <v/>
      </c>
      <c r="AL134">
        <f>IF($B134="","",IF(I134="","Not rostered",IFERROR(INDEX(Settings!$C$14:$C$33,MATCH(I134,Settings!$B$14:$B$33,0)),IFERROR(LOOKUP(2^15,SEARCH(Settings!$I$14:$I$83,I134)/(Settings!$I$14:$I$83&lt;&gt;""),Settings!$J$14:$J$83),"Other"))))</f>
        <v/>
      </c>
      <c r="AM134">
        <f>IF($B134="","",IF(J134="","Not rostered",IFERROR(INDEX(Settings!$C$14:$C$33,MATCH(J134,Settings!$B$14:$B$33,0)),IFERROR(LOOKUP(2^15,SEARCH(Settings!$I$14:$I$83,J134)/(Settings!$I$14:$I$83&lt;&gt;""),Settings!$J$14:$J$83),"Other"))))</f>
        <v/>
      </c>
      <c r="AN134">
        <f>IF($B134="","",IF(K134="","Not rostered",IFERROR(INDEX(Settings!$C$14:$C$33,MATCH(K134,Settings!$B$14:$B$33,0)),IFERROR(LOOKUP(2^15,SEARCH(Settings!$I$14:$I$83,K134)/(Settings!$I$14:$I$83&lt;&gt;""),Settings!$J$14:$J$83),"Other"))))</f>
        <v/>
      </c>
      <c r="AO134">
        <f>IF($B134="","",IF(L134="","Not rostered",IFERROR(INDEX(Settings!$C$14:$C$33,MATCH(L134,Settings!$B$14:$B$33,0)),IFERROR(LOOKUP(2^15,SEARCH(Settings!$I$14:$I$83,L134)/(Settings!$I$14:$I$83&lt;&gt;""),Settings!$J$14:$J$83),"Other"))))</f>
        <v/>
      </c>
      <c r="AP134">
        <f>IF($B134="","",IF(M134="","Not rostered",IFERROR(INDEX(Settings!$C$14:$C$33,MATCH(M134,Settings!$B$14:$B$33,0)),IFERROR(LOOKUP(2^15,SEARCH(Settings!$I$14:$I$83,M134)/(Settings!$I$14:$I$83&lt;&gt;""),Settings!$J$14:$J$83),"Other"))))</f>
        <v/>
      </c>
      <c r="AQ134">
        <f>IF($B134="","",IF(N134="","Not rostered",IFERROR(INDEX(Settings!$C$14:$C$33,MATCH(N134,Settings!$B$14:$B$33,0)),IFERROR(LOOKUP(2^15,SEARCH(Settings!$I$14:$I$83,N134)/(Settings!$I$14:$I$83&lt;&gt;""),Settings!$J$14:$J$83),"Other"))))</f>
        <v/>
      </c>
      <c r="AR134">
        <f>IF($B134="","",IF(O134="","Not rostered",IFERROR(INDEX(Settings!$C$14:$C$33,MATCH(O134,Settings!$B$14:$B$33,0)),IFERROR(LOOKUP(2^15,SEARCH(Settings!$I$14:$I$83,O134)/(Settings!$I$14:$I$83&lt;&gt;""),Settings!$J$14:$J$83),"Other"))))</f>
        <v/>
      </c>
      <c r="AS134">
        <f>IF($B134="","",IF(P134="","Not rostered",IFERROR(INDEX(Settings!$C$14:$C$33,MATCH(P134,Settings!$B$14:$B$33,0)),IFERROR(LOOKUP(2^15,SEARCH(Settings!$I$14:$I$83,P134)/(Settings!$I$14:$I$83&lt;&gt;""),Settings!$J$14:$J$83),"Other"))))</f>
        <v/>
      </c>
      <c r="AT134">
        <f>IF($B134="","",IF(Q134="","Not rostered",IFERROR(INDEX(Settings!$C$14:$C$33,MATCH(Q134,Settings!$B$14:$B$33,0)),IFERROR(LOOKUP(2^15,SEARCH(Settings!$I$14:$I$83,Q134)/(Settings!$I$14:$I$83&lt;&gt;""),Settings!$J$14:$J$83),"Other"))))</f>
        <v/>
      </c>
      <c r="AU134">
        <f>IF($B134="","",IF(R134="","Not rostered",IFERROR(INDEX(Settings!$C$14:$C$33,MATCH(R134,Settings!$B$14:$B$33,0)),IFERROR(LOOKUP(2^15,SEARCH(Settings!$I$14:$I$83,R134)/(Settings!$I$14:$I$83&lt;&gt;""),Settings!$J$14:$J$83),"Other"))))</f>
        <v/>
      </c>
      <c r="AV134">
        <f>IF($B134="","",IF(S134="","Not rostered",IFERROR(INDEX(Settings!$C$14:$C$33,MATCH(S134,Settings!$B$14:$B$33,0)),IFERROR(LOOKUP(2^15,SEARCH(Settings!$I$14:$I$83,S134)/(Settings!$I$14:$I$83&lt;&gt;""),Settings!$J$14:$J$83),"Other"))))</f>
        <v/>
      </c>
      <c r="AW134">
        <f>IF($B134="","",IF(T134="","Not rostered",IFERROR(INDEX(Settings!$C$14:$C$33,MATCH(T134,Settings!$B$14:$B$33,0)),IFERROR(LOOKUP(2^15,SEARCH(Settings!$I$14:$I$83,T134)/(Settings!$I$14:$I$83&lt;&gt;""),Settings!$J$14:$J$83),"Other"))))</f>
        <v/>
      </c>
      <c r="AX134">
        <f>IF($B134="","",IF(U134="","Not rostered",IFERROR(INDEX(Settings!$C$14:$C$33,MATCH(U134,Settings!$B$14:$B$33,0)),IFERROR(LOOKUP(2^15,SEARCH(Settings!$I$14:$I$83,U134)/(Settings!$I$14:$I$83&lt;&gt;""),Settings!$J$14:$J$83),"Other"))))</f>
        <v/>
      </c>
      <c r="AY134">
        <f>IF($B134="","",IF(V134="","Not rostered",IFERROR(INDEX(Settings!$C$14:$C$33,MATCH(V134,Settings!$B$14:$B$33,0)),IFERROR(LOOKUP(2^15,SEARCH(Settings!$I$14:$I$83,V134)/(Settings!$I$14:$I$83&lt;&gt;""),Settings!$J$14:$J$83),"Other"))))</f>
        <v/>
      </c>
      <c r="AZ134">
        <f>IF($B134="","",IF(W134="","Not rostered",IFERROR(INDEX(Settings!$C$14:$C$33,MATCH(W134,Settings!$B$14:$B$33,0)),IFERROR(LOOKUP(2^15,SEARCH(Settings!$I$14:$I$83,W134)/(Settings!$I$14:$I$83&lt;&gt;""),Settings!$J$14:$J$83),"Other"))))</f>
        <v/>
      </c>
      <c r="BA134">
        <f>IF($B134="","",IF(X134="","Not rostered",IFERROR(INDEX(Settings!$C$14:$C$33,MATCH(X134,Settings!$B$14:$B$33,0)),IFERROR(LOOKUP(2^15,SEARCH(Settings!$I$14:$I$83,X134)/(Settings!$I$14:$I$83&lt;&gt;""),Settings!$J$14:$J$83),"Other"))))</f>
        <v/>
      </c>
      <c r="BB134">
        <f>IF($B134="","",IF(Y134="","Not rostered",IFERROR(INDEX(Settings!$C$14:$C$33,MATCH(Y134,Settings!$B$14:$B$33,0)),IFERROR(LOOKUP(2^15,SEARCH(Settings!$I$14:$I$83,Y134)/(Settings!$I$14:$I$83&lt;&gt;""),Settings!$J$14:$J$83),"Other"))))</f>
        <v/>
      </c>
      <c r="BC134">
        <f>IF($B134="","",IF(Z134="","Not rostered",IFERROR(INDEX(Settings!$C$14:$C$33,MATCH(Z134,Settings!$B$14:$B$33,0)),IFERROR(LOOKUP(2^15,SEARCH(Settings!$I$14:$I$83,Z134)/(Settings!$I$14:$I$83&lt;&gt;""),Settings!$J$14:$J$83),"Other"))))</f>
        <v/>
      </c>
      <c r="BD134">
        <f>IF($B134="","",IF(AA134="","Not rostered",IFERROR(INDEX(Settings!$C$14:$C$33,MATCH(AA134,Settings!$B$14:$B$33,0)),IFERROR(LOOKUP(2^15,SEARCH(Settings!$I$14:$I$83,AA134)/(Settings!$I$14:$I$83&lt;&gt;""),Settings!$J$14:$J$83),"Other"))))</f>
        <v/>
      </c>
      <c r="BE134">
        <f>IF($B134="","",IF(AB134="","Not rostered",IFERROR(INDEX(Settings!$C$14:$C$33,MATCH(AB134,Settings!$B$14:$B$33,0)),IFERROR(LOOKUP(2^15,SEARCH(Settings!$I$14:$I$83,AB134)/(Settings!$I$14:$I$83&lt;&gt;""),Settings!$J$14:$J$83),"Other"))))</f>
        <v/>
      </c>
      <c r="BF134">
        <f>IF($B134="","",IF(AC134="","Not rostered",IFERROR(INDEX(Settings!$C$14:$C$33,MATCH(AC134,Settings!$B$14:$B$33,0)),IFERROR(LOOKUP(2^15,SEARCH(Settings!$I$14:$I$83,AC134)/(Settings!$I$14:$I$83&lt;&gt;""),Settings!$J$14:$J$83),"Other"))))</f>
        <v/>
      </c>
      <c r="BG134">
        <f>IF($B134="","",IF(AD134="","Not rostered",IFERROR(INDEX(Settings!$C$14:$C$33,MATCH(AD134,Settings!$B$14:$B$33,0)),IFERROR(LOOKUP(2^15,SEARCH(Settings!$I$14:$I$83,AD134)/(Settings!$I$14:$I$83&lt;&gt;""),Settings!$J$14:$J$83),"Other"))))</f>
        <v/>
      </c>
      <c r="BH134">
        <f>IF($B134="","",IF(AE134="","Not rostered",IFERROR(INDEX(Settings!$C$14:$C$33,MATCH(AE134,Settings!$B$14:$B$33,0)),IFERROR(LOOKUP(2^15,SEARCH(Settings!$I$14:$I$83,AE134)/(Settings!$I$14:$I$83&lt;&gt;""),Settings!$J$14:$J$83),"Other"))))</f>
        <v/>
      </c>
      <c r="BI134">
        <f>IF($B134="","",IF(AF134="","Not rostered",IFERROR(INDEX(Settings!$C$14:$C$33,MATCH(AF134,Settings!$B$14:$B$33,0)),IFERROR(LOOKUP(2^15,SEARCH(Settings!$I$14:$I$83,AF134)/(Settings!$I$14:$I$83&lt;&gt;""),Settings!$J$14:$J$83),"Other"))))</f>
        <v/>
      </c>
      <c r="BJ134">
        <f>IF($B134="","",IF(AG134="","Not rostered",IFERROR(INDEX(Settings!$C$14:$C$33,MATCH(AG134,Settings!$B$14:$B$33,0)),IFERROR(LOOKUP(2^15,SEARCH(Settings!$I$14:$I$83,AG134)/(Settings!$I$14:$I$83&lt;&gt;""),Settings!$J$14:$J$83),"Other"))))</f>
        <v/>
      </c>
      <c r="BL134">
        <f>IF(OR($B134="",F134=""),"",IFERROR(INDEX(Settings!$D$14:$D$33,MATCH(F134,Settings!$B$14:$B$33,0))&amp;"",IFERROR(LOOKUP(2^15,SEARCH(Settings!$F$14:$F$43,F134)/(Settings!$F$14:$F$43&lt;&gt;""),Settings!$G$14:$G$43),"")))</f>
        <v/>
      </c>
      <c r="BM134">
        <f>IF(OR($B134="",G134=""),"",IFERROR(INDEX(Settings!$D$14:$D$33,MATCH(G134,Settings!$B$14:$B$33,0))&amp;"",IFERROR(LOOKUP(2^15,SEARCH(Settings!$F$14:$F$43,G134)/(Settings!$F$14:$F$43&lt;&gt;""),Settings!$G$14:$G$43),"")))</f>
        <v/>
      </c>
      <c r="BN134">
        <f>IF(OR($B134="",H134=""),"",IFERROR(INDEX(Settings!$D$14:$D$33,MATCH(H134,Settings!$B$14:$B$33,0))&amp;"",IFERROR(LOOKUP(2^15,SEARCH(Settings!$F$14:$F$43,H134)/(Settings!$F$14:$F$43&lt;&gt;""),Settings!$G$14:$G$43),"")))</f>
        <v/>
      </c>
      <c r="BO134">
        <f>IF(OR($B134="",I134=""),"",IFERROR(INDEX(Settings!$D$14:$D$33,MATCH(I134,Settings!$B$14:$B$33,0))&amp;"",IFERROR(LOOKUP(2^15,SEARCH(Settings!$F$14:$F$43,I134)/(Settings!$F$14:$F$43&lt;&gt;""),Settings!$G$14:$G$43),"")))</f>
        <v/>
      </c>
      <c r="BP134">
        <f>IF(OR($B134="",J134=""),"",IFERROR(INDEX(Settings!$D$14:$D$33,MATCH(J134,Settings!$B$14:$B$33,0))&amp;"",IFERROR(LOOKUP(2^15,SEARCH(Settings!$F$14:$F$43,J134)/(Settings!$F$14:$F$43&lt;&gt;""),Settings!$G$14:$G$43),"")))</f>
        <v/>
      </c>
      <c r="BQ134">
        <f>IF(OR($B134="",K134=""),"",IFERROR(INDEX(Settings!$D$14:$D$33,MATCH(K134,Settings!$B$14:$B$33,0))&amp;"",IFERROR(LOOKUP(2^15,SEARCH(Settings!$F$14:$F$43,K134)/(Settings!$F$14:$F$43&lt;&gt;""),Settings!$G$14:$G$43),"")))</f>
        <v/>
      </c>
      <c r="BR134">
        <f>IF(OR($B134="",L134=""),"",IFERROR(INDEX(Settings!$D$14:$D$33,MATCH(L134,Settings!$B$14:$B$33,0))&amp;"",IFERROR(LOOKUP(2^15,SEARCH(Settings!$F$14:$F$43,L134)/(Settings!$F$14:$F$43&lt;&gt;""),Settings!$G$14:$G$43),"")))</f>
        <v/>
      </c>
      <c r="BS134">
        <f>IF(OR($B134="",M134=""),"",IFERROR(INDEX(Settings!$D$14:$D$33,MATCH(M134,Settings!$B$14:$B$33,0))&amp;"",IFERROR(LOOKUP(2^15,SEARCH(Settings!$F$14:$F$43,M134)/(Settings!$F$14:$F$43&lt;&gt;""),Settings!$G$14:$G$43),"")))</f>
        <v/>
      </c>
      <c r="BT134">
        <f>IF(OR($B134="",N134=""),"",IFERROR(INDEX(Settings!$D$14:$D$33,MATCH(N134,Settings!$B$14:$B$33,0))&amp;"",IFERROR(LOOKUP(2^15,SEARCH(Settings!$F$14:$F$43,N134)/(Settings!$F$14:$F$43&lt;&gt;""),Settings!$G$14:$G$43),"")))</f>
        <v/>
      </c>
      <c r="BU134">
        <f>IF(OR($B134="",O134=""),"",IFERROR(INDEX(Settings!$D$14:$D$33,MATCH(O134,Settings!$B$14:$B$33,0))&amp;"",IFERROR(LOOKUP(2^15,SEARCH(Settings!$F$14:$F$43,O134)/(Settings!$F$14:$F$43&lt;&gt;""),Settings!$G$14:$G$43),"")))</f>
        <v/>
      </c>
      <c r="BV134">
        <f>IF(OR($B134="",P134=""),"",IFERROR(INDEX(Settings!$D$14:$D$33,MATCH(P134,Settings!$B$14:$B$33,0))&amp;"",IFERROR(LOOKUP(2^15,SEARCH(Settings!$F$14:$F$43,P134)/(Settings!$F$14:$F$43&lt;&gt;""),Settings!$G$14:$G$43),"")))</f>
        <v/>
      </c>
      <c r="BW134">
        <f>IF(OR($B134="",Q134=""),"",IFERROR(INDEX(Settings!$D$14:$D$33,MATCH(Q134,Settings!$B$14:$B$33,0))&amp;"",IFERROR(LOOKUP(2^15,SEARCH(Settings!$F$14:$F$43,Q134)/(Settings!$F$14:$F$43&lt;&gt;""),Settings!$G$14:$G$43),"")))</f>
        <v/>
      </c>
      <c r="BX134">
        <f>IF(OR($B134="",R134=""),"",IFERROR(INDEX(Settings!$D$14:$D$33,MATCH(R134,Settings!$B$14:$B$33,0))&amp;"",IFERROR(LOOKUP(2^15,SEARCH(Settings!$F$14:$F$43,R134)/(Settings!$F$14:$F$43&lt;&gt;""),Settings!$G$14:$G$43),"")))</f>
        <v/>
      </c>
      <c r="BY134">
        <f>IF(OR($B134="",S134=""),"",IFERROR(INDEX(Settings!$D$14:$D$33,MATCH(S134,Settings!$B$14:$B$33,0))&amp;"",IFERROR(LOOKUP(2^15,SEARCH(Settings!$F$14:$F$43,S134)/(Settings!$F$14:$F$43&lt;&gt;""),Settings!$G$14:$G$43),"")))</f>
        <v/>
      </c>
      <c r="BZ134">
        <f>IF(OR($B134="",T134=""),"",IFERROR(INDEX(Settings!$D$14:$D$33,MATCH(T134,Settings!$B$14:$B$33,0))&amp;"",IFERROR(LOOKUP(2^15,SEARCH(Settings!$F$14:$F$43,T134)/(Settings!$F$14:$F$43&lt;&gt;""),Settings!$G$14:$G$43),"")))</f>
        <v/>
      </c>
      <c r="CA134">
        <f>IF(OR($B134="",U134=""),"",IFERROR(INDEX(Settings!$D$14:$D$33,MATCH(U134,Settings!$B$14:$B$33,0))&amp;"",IFERROR(LOOKUP(2^15,SEARCH(Settings!$F$14:$F$43,U134)/(Settings!$F$14:$F$43&lt;&gt;""),Settings!$G$14:$G$43),"")))</f>
        <v/>
      </c>
      <c r="CB134">
        <f>IF(OR($B134="",V134=""),"",IFERROR(INDEX(Settings!$D$14:$D$33,MATCH(V134,Settings!$B$14:$B$33,0))&amp;"",IFERROR(LOOKUP(2^15,SEARCH(Settings!$F$14:$F$43,V134)/(Settings!$F$14:$F$43&lt;&gt;""),Settings!$G$14:$G$43),"")))</f>
        <v/>
      </c>
      <c r="CC134">
        <f>IF(OR($B134="",W134=""),"",IFERROR(INDEX(Settings!$D$14:$D$33,MATCH(W134,Settings!$B$14:$B$33,0))&amp;"",IFERROR(LOOKUP(2^15,SEARCH(Settings!$F$14:$F$43,W134)/(Settings!$F$14:$F$43&lt;&gt;""),Settings!$G$14:$G$43),"")))</f>
        <v/>
      </c>
      <c r="CD134">
        <f>IF(OR($B134="",X134=""),"",IFERROR(INDEX(Settings!$D$14:$D$33,MATCH(X134,Settings!$B$14:$B$33,0))&amp;"",IFERROR(LOOKUP(2^15,SEARCH(Settings!$F$14:$F$43,X134)/(Settings!$F$14:$F$43&lt;&gt;""),Settings!$G$14:$G$43),"")))</f>
        <v/>
      </c>
      <c r="CE134">
        <f>IF(OR($B134="",Y134=""),"",IFERROR(INDEX(Settings!$D$14:$D$33,MATCH(Y134,Settings!$B$14:$B$33,0))&amp;"",IFERROR(LOOKUP(2^15,SEARCH(Settings!$F$14:$F$43,Y134)/(Settings!$F$14:$F$43&lt;&gt;""),Settings!$G$14:$G$43),"")))</f>
        <v/>
      </c>
      <c r="CF134">
        <f>IF(OR($B134="",Z134=""),"",IFERROR(INDEX(Settings!$D$14:$D$33,MATCH(Z134,Settings!$B$14:$B$33,0))&amp;"",IFERROR(LOOKUP(2^15,SEARCH(Settings!$F$14:$F$43,Z134)/(Settings!$F$14:$F$43&lt;&gt;""),Settings!$G$14:$G$43),"")))</f>
        <v/>
      </c>
      <c r="CG134">
        <f>IF(OR($B134="",AA134=""),"",IFERROR(INDEX(Settings!$D$14:$D$33,MATCH(AA134,Settings!$B$14:$B$33,0))&amp;"",IFERROR(LOOKUP(2^15,SEARCH(Settings!$F$14:$F$43,AA134)/(Settings!$F$14:$F$43&lt;&gt;""),Settings!$G$14:$G$43),"")))</f>
        <v/>
      </c>
      <c r="CH134">
        <f>IF(OR($B134="",AB134=""),"",IFERROR(INDEX(Settings!$D$14:$D$33,MATCH(AB134,Settings!$B$14:$B$33,0))&amp;"",IFERROR(LOOKUP(2^15,SEARCH(Settings!$F$14:$F$43,AB134)/(Settings!$F$14:$F$43&lt;&gt;""),Settings!$G$14:$G$43),"")))</f>
        <v/>
      </c>
      <c r="CI134">
        <f>IF(OR($B134="",AC134=""),"",IFERROR(INDEX(Settings!$D$14:$D$33,MATCH(AC134,Settings!$B$14:$B$33,0))&amp;"",IFERROR(LOOKUP(2^15,SEARCH(Settings!$F$14:$F$43,AC134)/(Settings!$F$14:$F$43&lt;&gt;""),Settings!$G$14:$G$43),"")))</f>
        <v/>
      </c>
      <c r="CJ134">
        <f>IF(OR($B134="",AD134=""),"",IFERROR(INDEX(Settings!$D$14:$D$33,MATCH(AD134,Settings!$B$14:$B$33,0))&amp;"",IFERROR(LOOKUP(2^15,SEARCH(Settings!$F$14:$F$43,AD134)/(Settings!$F$14:$F$43&lt;&gt;""),Settings!$G$14:$G$43),"")))</f>
        <v/>
      </c>
      <c r="CK134">
        <f>IF(OR($B134="",AE134=""),"",IFERROR(INDEX(Settings!$D$14:$D$33,MATCH(AE134,Settings!$B$14:$B$33,0))&amp;"",IFERROR(LOOKUP(2^15,SEARCH(Settings!$F$14:$F$43,AE134)/(Settings!$F$14:$F$43&lt;&gt;""),Settings!$G$14:$G$43),"")))</f>
        <v/>
      </c>
      <c r="CL134">
        <f>IF(OR($B134="",AF134=""),"",IFERROR(INDEX(Settings!$D$14:$D$33,MATCH(AF134,Settings!$B$14:$B$33,0))&amp;"",IFERROR(LOOKUP(2^15,SEARCH(Settings!$F$14:$F$43,AF134)/(Settings!$F$14:$F$43&lt;&gt;""),Settings!$G$14:$G$43),"")))</f>
        <v/>
      </c>
      <c r="CM134">
        <f>IF(OR($B134="",AG134=""),"",IFERROR(INDEX(Settings!$D$14:$D$33,MATCH(AG134,Settings!$B$14:$B$33,0))&amp;"",IFERROR(LOOKUP(2^15,SEARCH(Settings!$F$14:$F$43,AG134)/(Settings!$F$14:$F$43&lt;&gt;""),Settings!$G$14:$G$43),"")))</f>
        <v/>
      </c>
    </row>
    <row r="135">
      <c r="A135" t="n">
        <v>133</v>
      </c>
      <c r="B135">
        <f>IFERROR(INDEX(Index!$A$2:$A$202,MATCH(A135,Index!$E$2:$E$202,0)),"")</f>
        <v/>
      </c>
      <c r="D135">
        <f>IF($B135="","",IFERROR(MATCH("Travel*",AI135:BJ135,0),""))</f>
        <v/>
      </c>
      <c r="F135">
        <f>IF(OR($B135="",NOT(ISNUMBER(Settings!$C$9))),"",TRIM(SUBSTITUTE(SUBSTITUTE(INDEX('INPUT - Roster'!$S$1:$SV$206,$B135,Settings!$C$9+0)&amp;"",CHAR(10)," "),CHAR(160)," ")))</f>
        <v/>
      </c>
      <c r="G135">
        <f>IF(OR($B135="",NOT(ISNUMBER(Settings!$C$9))),"",TRIM(SUBSTITUTE(SUBSTITUTE(INDEX('INPUT - Roster'!$S$1:$SV$206,$B135,Settings!$C$9+1)&amp;"",CHAR(10)," "),CHAR(160)," ")))</f>
        <v/>
      </c>
      <c r="H135">
        <f>IF(OR($B135="",NOT(ISNUMBER(Settings!$C$9))),"",TRIM(SUBSTITUTE(SUBSTITUTE(INDEX('INPUT - Roster'!$S$1:$SV$206,$B135,Settings!$C$9+2)&amp;"",CHAR(10)," "),CHAR(160)," ")))</f>
        <v/>
      </c>
      <c r="I135">
        <f>IF(OR($B135="",NOT(ISNUMBER(Settings!$C$9))),"",TRIM(SUBSTITUTE(SUBSTITUTE(INDEX('INPUT - Roster'!$S$1:$SV$206,$B135,Settings!$C$9+3)&amp;"",CHAR(10)," "),CHAR(160)," ")))</f>
        <v/>
      </c>
      <c r="J135">
        <f>IF(OR($B135="",NOT(ISNUMBER(Settings!$C$9))),"",TRIM(SUBSTITUTE(SUBSTITUTE(INDEX('INPUT - Roster'!$S$1:$SV$206,$B135,Settings!$C$9+4)&amp;"",CHAR(10)," "),CHAR(160)," ")))</f>
        <v/>
      </c>
      <c r="K135">
        <f>IF(OR($B135="",NOT(ISNUMBER(Settings!$C$9))),"",TRIM(SUBSTITUTE(SUBSTITUTE(INDEX('INPUT - Roster'!$S$1:$SV$206,$B135,Settings!$C$9+5)&amp;"",CHAR(10)," "),CHAR(160)," ")))</f>
        <v/>
      </c>
      <c r="L135">
        <f>IF(OR($B135="",NOT(ISNUMBER(Settings!$C$9))),"",TRIM(SUBSTITUTE(SUBSTITUTE(INDEX('INPUT - Roster'!$S$1:$SV$206,$B135,Settings!$C$9+6)&amp;"",CHAR(10)," "),CHAR(160)," ")))</f>
        <v/>
      </c>
      <c r="M135">
        <f>IF(OR($B135="",NOT(ISNUMBER(Settings!$C$9))),"",TRIM(SUBSTITUTE(SUBSTITUTE(INDEX('INPUT - Roster'!$S$1:$SV$206,$B135,Settings!$C$9+7)&amp;"",CHAR(10)," "),CHAR(160)," ")))</f>
        <v/>
      </c>
      <c r="N135">
        <f>IF(OR($B135="",NOT(ISNUMBER(Settings!$C$9))),"",TRIM(SUBSTITUTE(SUBSTITUTE(INDEX('INPUT - Roster'!$S$1:$SV$206,$B135,Settings!$C$9+8)&amp;"",CHAR(10)," "),CHAR(160)," ")))</f>
        <v/>
      </c>
      <c r="O135">
        <f>IF(OR($B135="",NOT(ISNUMBER(Settings!$C$9))),"",TRIM(SUBSTITUTE(SUBSTITUTE(INDEX('INPUT - Roster'!$S$1:$SV$206,$B135,Settings!$C$9+9)&amp;"",CHAR(10)," "),CHAR(160)," ")))</f>
        <v/>
      </c>
      <c r="P135">
        <f>IF(OR($B135="",NOT(ISNUMBER(Settings!$C$9))),"",TRIM(SUBSTITUTE(SUBSTITUTE(INDEX('INPUT - Roster'!$S$1:$SV$206,$B135,Settings!$C$9+10)&amp;"",CHAR(10)," "),CHAR(160)," ")))</f>
        <v/>
      </c>
      <c r="Q135">
        <f>IF(OR($B135="",NOT(ISNUMBER(Settings!$C$9))),"",TRIM(SUBSTITUTE(SUBSTITUTE(INDEX('INPUT - Roster'!$S$1:$SV$206,$B135,Settings!$C$9+11)&amp;"",CHAR(10)," "),CHAR(160)," ")))</f>
        <v/>
      </c>
      <c r="R135">
        <f>IF(OR($B135="",NOT(ISNUMBER(Settings!$C$9))),"",TRIM(SUBSTITUTE(SUBSTITUTE(INDEX('INPUT - Roster'!$S$1:$SV$206,$B135,Settings!$C$9+12)&amp;"",CHAR(10)," "),CHAR(160)," ")))</f>
        <v/>
      </c>
      <c r="S135">
        <f>IF(OR($B135="",NOT(ISNUMBER(Settings!$C$9))),"",TRIM(SUBSTITUTE(SUBSTITUTE(INDEX('INPUT - Roster'!$S$1:$SV$206,$B135,Settings!$C$9+13)&amp;"",CHAR(10)," "),CHAR(160)," ")))</f>
        <v/>
      </c>
      <c r="T135">
        <f>IF(OR($B135="",NOT(ISNUMBER(Settings!$C$9))),"",TRIM(SUBSTITUTE(SUBSTITUTE(INDEX('INPUT - Roster'!$S$1:$SV$206,$B135,Settings!$C$9+14)&amp;"",CHAR(10)," "),CHAR(160)," ")))</f>
        <v/>
      </c>
      <c r="U135">
        <f>IF(OR($B135="",NOT(ISNUMBER(Settings!$C$9))),"",TRIM(SUBSTITUTE(SUBSTITUTE(INDEX('INPUT - Roster'!$S$1:$SV$206,$B135,Settings!$C$9+15)&amp;"",CHAR(10)," "),CHAR(160)," ")))</f>
        <v/>
      </c>
      <c r="V135">
        <f>IF(OR($B135="",NOT(ISNUMBER(Settings!$C$9))),"",TRIM(SUBSTITUTE(SUBSTITUTE(INDEX('INPUT - Roster'!$S$1:$SV$206,$B135,Settings!$C$9+16)&amp;"",CHAR(10)," "),CHAR(160)," ")))</f>
        <v/>
      </c>
      <c r="W135">
        <f>IF(OR($B135="",NOT(ISNUMBER(Settings!$C$9))),"",TRIM(SUBSTITUTE(SUBSTITUTE(INDEX('INPUT - Roster'!$S$1:$SV$206,$B135,Settings!$C$9+17)&amp;"",CHAR(10)," "),CHAR(160)," ")))</f>
        <v/>
      </c>
      <c r="X135">
        <f>IF(OR($B135="",NOT(ISNUMBER(Settings!$C$9))),"",TRIM(SUBSTITUTE(SUBSTITUTE(INDEX('INPUT - Roster'!$S$1:$SV$206,$B135,Settings!$C$9+18)&amp;"",CHAR(10)," "),CHAR(160)," ")))</f>
        <v/>
      </c>
      <c r="Y135">
        <f>IF(OR($B135="",NOT(ISNUMBER(Settings!$C$9))),"",TRIM(SUBSTITUTE(SUBSTITUTE(INDEX('INPUT - Roster'!$S$1:$SV$206,$B135,Settings!$C$9+19)&amp;"",CHAR(10)," "),CHAR(160)," ")))</f>
        <v/>
      </c>
      <c r="Z135">
        <f>IF(OR($B135="",NOT(ISNUMBER(Settings!$C$9))),"",TRIM(SUBSTITUTE(SUBSTITUTE(INDEX('INPUT - Roster'!$S$1:$SV$206,$B135,Settings!$C$9+20)&amp;"",CHAR(10)," "),CHAR(160)," ")))</f>
        <v/>
      </c>
      <c r="AA135">
        <f>IF(OR($B135="",NOT(ISNUMBER(Settings!$C$9))),"",TRIM(SUBSTITUTE(SUBSTITUTE(INDEX('INPUT - Roster'!$S$1:$SV$206,$B135,Settings!$C$9+21)&amp;"",CHAR(10)," "),CHAR(160)," ")))</f>
        <v/>
      </c>
      <c r="AB135">
        <f>IF(OR($B135="",NOT(ISNUMBER(Settings!$C$9))),"",TRIM(SUBSTITUTE(SUBSTITUTE(INDEX('INPUT - Roster'!$S$1:$SV$206,$B135,Settings!$C$9+22)&amp;"",CHAR(10)," "),CHAR(160)," ")))</f>
        <v/>
      </c>
      <c r="AC135">
        <f>IF(OR($B135="",NOT(ISNUMBER(Settings!$C$9))),"",TRIM(SUBSTITUTE(SUBSTITUTE(INDEX('INPUT - Roster'!$S$1:$SV$206,$B135,Settings!$C$9+23)&amp;"",CHAR(10)," "),CHAR(160)," ")))</f>
        <v/>
      </c>
      <c r="AD135">
        <f>IF(OR($B135="",NOT(ISNUMBER(Settings!$C$9))),"",TRIM(SUBSTITUTE(SUBSTITUTE(INDEX('INPUT - Roster'!$S$1:$SV$206,$B135,Settings!$C$9+24)&amp;"",CHAR(10)," "),CHAR(160)," ")))</f>
        <v/>
      </c>
      <c r="AE135">
        <f>IF(OR($B135="",NOT(ISNUMBER(Settings!$C$9))),"",TRIM(SUBSTITUTE(SUBSTITUTE(INDEX('INPUT - Roster'!$S$1:$SV$206,$B135,Settings!$C$9+25)&amp;"",CHAR(10)," "),CHAR(160)," ")))</f>
        <v/>
      </c>
      <c r="AF135">
        <f>IF(OR($B135="",NOT(ISNUMBER(Settings!$C$9))),"",TRIM(SUBSTITUTE(SUBSTITUTE(INDEX('INPUT - Roster'!$S$1:$SV$206,$B135,Settings!$C$9+26)&amp;"",CHAR(10)," "),CHAR(160)," ")))</f>
        <v/>
      </c>
      <c r="AG135">
        <f>IF(OR($B135="",NOT(ISNUMBER(Settings!$C$9))),"",TRIM(SUBSTITUTE(SUBSTITUTE(INDEX('INPUT - Roster'!$S$1:$SV$206,$B135,Settings!$C$9+27)&amp;"",CHAR(10)," "),CHAR(160)," ")))</f>
        <v/>
      </c>
      <c r="AI135">
        <f>IF($B135="","",IF(F135="","Not rostered",IFERROR(INDEX(Settings!$C$14:$C$33,MATCH(F135,Settings!$B$14:$B$33,0)),IFERROR(LOOKUP(2^15,SEARCH(Settings!$I$14:$I$83,F135)/(Settings!$I$14:$I$83&lt;&gt;""),Settings!$J$14:$J$83),"Other"))))</f>
        <v/>
      </c>
      <c r="AJ135">
        <f>IF($B135="","",IF(G135="","Not rostered",IFERROR(INDEX(Settings!$C$14:$C$33,MATCH(G135,Settings!$B$14:$B$33,0)),IFERROR(LOOKUP(2^15,SEARCH(Settings!$I$14:$I$83,G135)/(Settings!$I$14:$I$83&lt;&gt;""),Settings!$J$14:$J$83),"Other"))))</f>
        <v/>
      </c>
      <c r="AK135">
        <f>IF($B135="","",IF(H135="","Not rostered",IFERROR(INDEX(Settings!$C$14:$C$33,MATCH(H135,Settings!$B$14:$B$33,0)),IFERROR(LOOKUP(2^15,SEARCH(Settings!$I$14:$I$83,H135)/(Settings!$I$14:$I$83&lt;&gt;""),Settings!$J$14:$J$83),"Other"))))</f>
        <v/>
      </c>
      <c r="AL135">
        <f>IF($B135="","",IF(I135="","Not rostered",IFERROR(INDEX(Settings!$C$14:$C$33,MATCH(I135,Settings!$B$14:$B$33,0)),IFERROR(LOOKUP(2^15,SEARCH(Settings!$I$14:$I$83,I135)/(Settings!$I$14:$I$83&lt;&gt;""),Settings!$J$14:$J$83),"Other"))))</f>
        <v/>
      </c>
      <c r="AM135">
        <f>IF($B135="","",IF(J135="","Not rostered",IFERROR(INDEX(Settings!$C$14:$C$33,MATCH(J135,Settings!$B$14:$B$33,0)),IFERROR(LOOKUP(2^15,SEARCH(Settings!$I$14:$I$83,J135)/(Settings!$I$14:$I$83&lt;&gt;""),Settings!$J$14:$J$83),"Other"))))</f>
        <v/>
      </c>
      <c r="AN135">
        <f>IF($B135="","",IF(K135="","Not rostered",IFERROR(INDEX(Settings!$C$14:$C$33,MATCH(K135,Settings!$B$14:$B$33,0)),IFERROR(LOOKUP(2^15,SEARCH(Settings!$I$14:$I$83,K135)/(Settings!$I$14:$I$83&lt;&gt;""),Settings!$J$14:$J$83),"Other"))))</f>
        <v/>
      </c>
      <c r="AO135">
        <f>IF($B135="","",IF(L135="","Not rostered",IFERROR(INDEX(Settings!$C$14:$C$33,MATCH(L135,Settings!$B$14:$B$33,0)),IFERROR(LOOKUP(2^15,SEARCH(Settings!$I$14:$I$83,L135)/(Settings!$I$14:$I$83&lt;&gt;""),Settings!$J$14:$J$83),"Other"))))</f>
        <v/>
      </c>
      <c r="AP135">
        <f>IF($B135="","",IF(M135="","Not rostered",IFERROR(INDEX(Settings!$C$14:$C$33,MATCH(M135,Settings!$B$14:$B$33,0)),IFERROR(LOOKUP(2^15,SEARCH(Settings!$I$14:$I$83,M135)/(Settings!$I$14:$I$83&lt;&gt;""),Settings!$J$14:$J$83),"Other"))))</f>
        <v/>
      </c>
      <c r="AQ135">
        <f>IF($B135="","",IF(N135="","Not rostered",IFERROR(INDEX(Settings!$C$14:$C$33,MATCH(N135,Settings!$B$14:$B$33,0)),IFERROR(LOOKUP(2^15,SEARCH(Settings!$I$14:$I$83,N135)/(Settings!$I$14:$I$83&lt;&gt;""),Settings!$J$14:$J$83),"Other"))))</f>
        <v/>
      </c>
      <c r="AR135">
        <f>IF($B135="","",IF(O135="","Not rostered",IFERROR(INDEX(Settings!$C$14:$C$33,MATCH(O135,Settings!$B$14:$B$33,0)),IFERROR(LOOKUP(2^15,SEARCH(Settings!$I$14:$I$83,O135)/(Settings!$I$14:$I$83&lt;&gt;""),Settings!$J$14:$J$83),"Other"))))</f>
        <v/>
      </c>
      <c r="AS135">
        <f>IF($B135="","",IF(P135="","Not rostered",IFERROR(INDEX(Settings!$C$14:$C$33,MATCH(P135,Settings!$B$14:$B$33,0)),IFERROR(LOOKUP(2^15,SEARCH(Settings!$I$14:$I$83,P135)/(Settings!$I$14:$I$83&lt;&gt;""),Settings!$J$14:$J$83),"Other"))))</f>
        <v/>
      </c>
      <c r="AT135">
        <f>IF($B135="","",IF(Q135="","Not rostered",IFERROR(INDEX(Settings!$C$14:$C$33,MATCH(Q135,Settings!$B$14:$B$33,0)),IFERROR(LOOKUP(2^15,SEARCH(Settings!$I$14:$I$83,Q135)/(Settings!$I$14:$I$83&lt;&gt;""),Settings!$J$14:$J$83),"Other"))))</f>
        <v/>
      </c>
      <c r="AU135">
        <f>IF($B135="","",IF(R135="","Not rostered",IFERROR(INDEX(Settings!$C$14:$C$33,MATCH(R135,Settings!$B$14:$B$33,0)),IFERROR(LOOKUP(2^15,SEARCH(Settings!$I$14:$I$83,R135)/(Settings!$I$14:$I$83&lt;&gt;""),Settings!$J$14:$J$83),"Other"))))</f>
        <v/>
      </c>
      <c r="AV135">
        <f>IF($B135="","",IF(S135="","Not rostered",IFERROR(INDEX(Settings!$C$14:$C$33,MATCH(S135,Settings!$B$14:$B$33,0)),IFERROR(LOOKUP(2^15,SEARCH(Settings!$I$14:$I$83,S135)/(Settings!$I$14:$I$83&lt;&gt;""),Settings!$J$14:$J$83),"Other"))))</f>
        <v/>
      </c>
      <c r="AW135">
        <f>IF($B135="","",IF(T135="","Not rostered",IFERROR(INDEX(Settings!$C$14:$C$33,MATCH(T135,Settings!$B$14:$B$33,0)),IFERROR(LOOKUP(2^15,SEARCH(Settings!$I$14:$I$83,T135)/(Settings!$I$14:$I$83&lt;&gt;""),Settings!$J$14:$J$83),"Other"))))</f>
        <v/>
      </c>
      <c r="AX135">
        <f>IF($B135="","",IF(U135="","Not rostered",IFERROR(INDEX(Settings!$C$14:$C$33,MATCH(U135,Settings!$B$14:$B$33,0)),IFERROR(LOOKUP(2^15,SEARCH(Settings!$I$14:$I$83,U135)/(Settings!$I$14:$I$83&lt;&gt;""),Settings!$J$14:$J$83),"Other"))))</f>
        <v/>
      </c>
      <c r="AY135">
        <f>IF($B135="","",IF(V135="","Not rostered",IFERROR(INDEX(Settings!$C$14:$C$33,MATCH(V135,Settings!$B$14:$B$33,0)),IFERROR(LOOKUP(2^15,SEARCH(Settings!$I$14:$I$83,V135)/(Settings!$I$14:$I$83&lt;&gt;""),Settings!$J$14:$J$83),"Other"))))</f>
        <v/>
      </c>
      <c r="AZ135">
        <f>IF($B135="","",IF(W135="","Not rostered",IFERROR(INDEX(Settings!$C$14:$C$33,MATCH(W135,Settings!$B$14:$B$33,0)),IFERROR(LOOKUP(2^15,SEARCH(Settings!$I$14:$I$83,W135)/(Settings!$I$14:$I$83&lt;&gt;""),Settings!$J$14:$J$83),"Other"))))</f>
        <v/>
      </c>
      <c r="BA135">
        <f>IF($B135="","",IF(X135="","Not rostered",IFERROR(INDEX(Settings!$C$14:$C$33,MATCH(X135,Settings!$B$14:$B$33,0)),IFERROR(LOOKUP(2^15,SEARCH(Settings!$I$14:$I$83,X135)/(Settings!$I$14:$I$83&lt;&gt;""),Settings!$J$14:$J$83),"Other"))))</f>
        <v/>
      </c>
      <c r="BB135">
        <f>IF($B135="","",IF(Y135="","Not rostered",IFERROR(INDEX(Settings!$C$14:$C$33,MATCH(Y135,Settings!$B$14:$B$33,0)),IFERROR(LOOKUP(2^15,SEARCH(Settings!$I$14:$I$83,Y135)/(Settings!$I$14:$I$83&lt;&gt;""),Settings!$J$14:$J$83),"Other"))))</f>
        <v/>
      </c>
      <c r="BC135">
        <f>IF($B135="","",IF(Z135="","Not rostered",IFERROR(INDEX(Settings!$C$14:$C$33,MATCH(Z135,Settings!$B$14:$B$33,0)),IFERROR(LOOKUP(2^15,SEARCH(Settings!$I$14:$I$83,Z135)/(Settings!$I$14:$I$83&lt;&gt;""),Settings!$J$14:$J$83),"Other"))))</f>
        <v/>
      </c>
      <c r="BD135">
        <f>IF($B135="","",IF(AA135="","Not rostered",IFERROR(INDEX(Settings!$C$14:$C$33,MATCH(AA135,Settings!$B$14:$B$33,0)),IFERROR(LOOKUP(2^15,SEARCH(Settings!$I$14:$I$83,AA135)/(Settings!$I$14:$I$83&lt;&gt;""),Settings!$J$14:$J$83),"Other"))))</f>
        <v/>
      </c>
      <c r="BE135">
        <f>IF($B135="","",IF(AB135="","Not rostered",IFERROR(INDEX(Settings!$C$14:$C$33,MATCH(AB135,Settings!$B$14:$B$33,0)),IFERROR(LOOKUP(2^15,SEARCH(Settings!$I$14:$I$83,AB135)/(Settings!$I$14:$I$83&lt;&gt;""),Settings!$J$14:$J$83),"Other"))))</f>
        <v/>
      </c>
      <c r="BF135">
        <f>IF($B135="","",IF(AC135="","Not rostered",IFERROR(INDEX(Settings!$C$14:$C$33,MATCH(AC135,Settings!$B$14:$B$33,0)),IFERROR(LOOKUP(2^15,SEARCH(Settings!$I$14:$I$83,AC135)/(Settings!$I$14:$I$83&lt;&gt;""),Settings!$J$14:$J$83),"Other"))))</f>
        <v/>
      </c>
      <c r="BG135">
        <f>IF($B135="","",IF(AD135="","Not rostered",IFERROR(INDEX(Settings!$C$14:$C$33,MATCH(AD135,Settings!$B$14:$B$33,0)),IFERROR(LOOKUP(2^15,SEARCH(Settings!$I$14:$I$83,AD135)/(Settings!$I$14:$I$83&lt;&gt;""),Settings!$J$14:$J$83),"Other"))))</f>
        <v/>
      </c>
      <c r="BH135">
        <f>IF($B135="","",IF(AE135="","Not rostered",IFERROR(INDEX(Settings!$C$14:$C$33,MATCH(AE135,Settings!$B$14:$B$33,0)),IFERROR(LOOKUP(2^15,SEARCH(Settings!$I$14:$I$83,AE135)/(Settings!$I$14:$I$83&lt;&gt;""),Settings!$J$14:$J$83),"Other"))))</f>
        <v/>
      </c>
      <c r="BI135">
        <f>IF($B135="","",IF(AF135="","Not rostered",IFERROR(INDEX(Settings!$C$14:$C$33,MATCH(AF135,Settings!$B$14:$B$33,0)),IFERROR(LOOKUP(2^15,SEARCH(Settings!$I$14:$I$83,AF135)/(Settings!$I$14:$I$83&lt;&gt;""),Settings!$J$14:$J$83),"Other"))))</f>
        <v/>
      </c>
      <c r="BJ135">
        <f>IF($B135="","",IF(AG135="","Not rostered",IFERROR(INDEX(Settings!$C$14:$C$33,MATCH(AG135,Settings!$B$14:$B$33,0)),IFERROR(LOOKUP(2^15,SEARCH(Settings!$I$14:$I$83,AG135)/(Settings!$I$14:$I$83&lt;&gt;""),Settings!$J$14:$J$83),"Other"))))</f>
        <v/>
      </c>
      <c r="BL135">
        <f>IF(OR($B135="",F135=""),"",IFERROR(INDEX(Settings!$D$14:$D$33,MATCH(F135,Settings!$B$14:$B$33,0))&amp;"",IFERROR(LOOKUP(2^15,SEARCH(Settings!$F$14:$F$43,F135)/(Settings!$F$14:$F$43&lt;&gt;""),Settings!$G$14:$G$43),"")))</f>
        <v/>
      </c>
      <c r="BM135">
        <f>IF(OR($B135="",G135=""),"",IFERROR(INDEX(Settings!$D$14:$D$33,MATCH(G135,Settings!$B$14:$B$33,0))&amp;"",IFERROR(LOOKUP(2^15,SEARCH(Settings!$F$14:$F$43,G135)/(Settings!$F$14:$F$43&lt;&gt;""),Settings!$G$14:$G$43),"")))</f>
        <v/>
      </c>
      <c r="BN135">
        <f>IF(OR($B135="",H135=""),"",IFERROR(INDEX(Settings!$D$14:$D$33,MATCH(H135,Settings!$B$14:$B$33,0))&amp;"",IFERROR(LOOKUP(2^15,SEARCH(Settings!$F$14:$F$43,H135)/(Settings!$F$14:$F$43&lt;&gt;""),Settings!$G$14:$G$43),"")))</f>
        <v/>
      </c>
      <c r="BO135">
        <f>IF(OR($B135="",I135=""),"",IFERROR(INDEX(Settings!$D$14:$D$33,MATCH(I135,Settings!$B$14:$B$33,0))&amp;"",IFERROR(LOOKUP(2^15,SEARCH(Settings!$F$14:$F$43,I135)/(Settings!$F$14:$F$43&lt;&gt;""),Settings!$G$14:$G$43),"")))</f>
        <v/>
      </c>
      <c r="BP135">
        <f>IF(OR($B135="",J135=""),"",IFERROR(INDEX(Settings!$D$14:$D$33,MATCH(J135,Settings!$B$14:$B$33,0))&amp;"",IFERROR(LOOKUP(2^15,SEARCH(Settings!$F$14:$F$43,J135)/(Settings!$F$14:$F$43&lt;&gt;""),Settings!$G$14:$G$43),"")))</f>
        <v/>
      </c>
      <c r="BQ135">
        <f>IF(OR($B135="",K135=""),"",IFERROR(INDEX(Settings!$D$14:$D$33,MATCH(K135,Settings!$B$14:$B$33,0))&amp;"",IFERROR(LOOKUP(2^15,SEARCH(Settings!$F$14:$F$43,K135)/(Settings!$F$14:$F$43&lt;&gt;""),Settings!$G$14:$G$43),"")))</f>
        <v/>
      </c>
      <c r="BR135">
        <f>IF(OR($B135="",L135=""),"",IFERROR(INDEX(Settings!$D$14:$D$33,MATCH(L135,Settings!$B$14:$B$33,0))&amp;"",IFERROR(LOOKUP(2^15,SEARCH(Settings!$F$14:$F$43,L135)/(Settings!$F$14:$F$43&lt;&gt;""),Settings!$G$14:$G$43),"")))</f>
        <v/>
      </c>
      <c r="BS135">
        <f>IF(OR($B135="",M135=""),"",IFERROR(INDEX(Settings!$D$14:$D$33,MATCH(M135,Settings!$B$14:$B$33,0))&amp;"",IFERROR(LOOKUP(2^15,SEARCH(Settings!$F$14:$F$43,M135)/(Settings!$F$14:$F$43&lt;&gt;""),Settings!$G$14:$G$43),"")))</f>
        <v/>
      </c>
      <c r="BT135">
        <f>IF(OR($B135="",N135=""),"",IFERROR(INDEX(Settings!$D$14:$D$33,MATCH(N135,Settings!$B$14:$B$33,0))&amp;"",IFERROR(LOOKUP(2^15,SEARCH(Settings!$F$14:$F$43,N135)/(Settings!$F$14:$F$43&lt;&gt;""),Settings!$G$14:$G$43),"")))</f>
        <v/>
      </c>
      <c r="BU135">
        <f>IF(OR($B135="",O135=""),"",IFERROR(INDEX(Settings!$D$14:$D$33,MATCH(O135,Settings!$B$14:$B$33,0))&amp;"",IFERROR(LOOKUP(2^15,SEARCH(Settings!$F$14:$F$43,O135)/(Settings!$F$14:$F$43&lt;&gt;""),Settings!$G$14:$G$43),"")))</f>
        <v/>
      </c>
      <c r="BV135">
        <f>IF(OR($B135="",P135=""),"",IFERROR(INDEX(Settings!$D$14:$D$33,MATCH(P135,Settings!$B$14:$B$33,0))&amp;"",IFERROR(LOOKUP(2^15,SEARCH(Settings!$F$14:$F$43,P135)/(Settings!$F$14:$F$43&lt;&gt;""),Settings!$G$14:$G$43),"")))</f>
        <v/>
      </c>
      <c r="BW135">
        <f>IF(OR($B135="",Q135=""),"",IFERROR(INDEX(Settings!$D$14:$D$33,MATCH(Q135,Settings!$B$14:$B$33,0))&amp;"",IFERROR(LOOKUP(2^15,SEARCH(Settings!$F$14:$F$43,Q135)/(Settings!$F$14:$F$43&lt;&gt;""),Settings!$G$14:$G$43),"")))</f>
        <v/>
      </c>
      <c r="BX135">
        <f>IF(OR($B135="",R135=""),"",IFERROR(INDEX(Settings!$D$14:$D$33,MATCH(R135,Settings!$B$14:$B$33,0))&amp;"",IFERROR(LOOKUP(2^15,SEARCH(Settings!$F$14:$F$43,R135)/(Settings!$F$14:$F$43&lt;&gt;""),Settings!$G$14:$G$43),"")))</f>
        <v/>
      </c>
      <c r="BY135">
        <f>IF(OR($B135="",S135=""),"",IFERROR(INDEX(Settings!$D$14:$D$33,MATCH(S135,Settings!$B$14:$B$33,0))&amp;"",IFERROR(LOOKUP(2^15,SEARCH(Settings!$F$14:$F$43,S135)/(Settings!$F$14:$F$43&lt;&gt;""),Settings!$G$14:$G$43),"")))</f>
        <v/>
      </c>
      <c r="BZ135">
        <f>IF(OR($B135="",T135=""),"",IFERROR(INDEX(Settings!$D$14:$D$33,MATCH(T135,Settings!$B$14:$B$33,0))&amp;"",IFERROR(LOOKUP(2^15,SEARCH(Settings!$F$14:$F$43,T135)/(Settings!$F$14:$F$43&lt;&gt;""),Settings!$G$14:$G$43),"")))</f>
        <v/>
      </c>
      <c r="CA135">
        <f>IF(OR($B135="",U135=""),"",IFERROR(INDEX(Settings!$D$14:$D$33,MATCH(U135,Settings!$B$14:$B$33,0))&amp;"",IFERROR(LOOKUP(2^15,SEARCH(Settings!$F$14:$F$43,U135)/(Settings!$F$14:$F$43&lt;&gt;""),Settings!$G$14:$G$43),"")))</f>
        <v/>
      </c>
      <c r="CB135">
        <f>IF(OR($B135="",V135=""),"",IFERROR(INDEX(Settings!$D$14:$D$33,MATCH(V135,Settings!$B$14:$B$33,0))&amp;"",IFERROR(LOOKUP(2^15,SEARCH(Settings!$F$14:$F$43,V135)/(Settings!$F$14:$F$43&lt;&gt;""),Settings!$G$14:$G$43),"")))</f>
        <v/>
      </c>
      <c r="CC135">
        <f>IF(OR($B135="",W135=""),"",IFERROR(INDEX(Settings!$D$14:$D$33,MATCH(W135,Settings!$B$14:$B$33,0))&amp;"",IFERROR(LOOKUP(2^15,SEARCH(Settings!$F$14:$F$43,W135)/(Settings!$F$14:$F$43&lt;&gt;""),Settings!$G$14:$G$43),"")))</f>
        <v/>
      </c>
      <c r="CD135">
        <f>IF(OR($B135="",X135=""),"",IFERROR(INDEX(Settings!$D$14:$D$33,MATCH(X135,Settings!$B$14:$B$33,0))&amp;"",IFERROR(LOOKUP(2^15,SEARCH(Settings!$F$14:$F$43,X135)/(Settings!$F$14:$F$43&lt;&gt;""),Settings!$G$14:$G$43),"")))</f>
        <v/>
      </c>
      <c r="CE135">
        <f>IF(OR($B135="",Y135=""),"",IFERROR(INDEX(Settings!$D$14:$D$33,MATCH(Y135,Settings!$B$14:$B$33,0))&amp;"",IFERROR(LOOKUP(2^15,SEARCH(Settings!$F$14:$F$43,Y135)/(Settings!$F$14:$F$43&lt;&gt;""),Settings!$G$14:$G$43),"")))</f>
        <v/>
      </c>
      <c r="CF135">
        <f>IF(OR($B135="",Z135=""),"",IFERROR(INDEX(Settings!$D$14:$D$33,MATCH(Z135,Settings!$B$14:$B$33,0))&amp;"",IFERROR(LOOKUP(2^15,SEARCH(Settings!$F$14:$F$43,Z135)/(Settings!$F$14:$F$43&lt;&gt;""),Settings!$G$14:$G$43),"")))</f>
        <v/>
      </c>
      <c r="CG135">
        <f>IF(OR($B135="",AA135=""),"",IFERROR(INDEX(Settings!$D$14:$D$33,MATCH(AA135,Settings!$B$14:$B$33,0))&amp;"",IFERROR(LOOKUP(2^15,SEARCH(Settings!$F$14:$F$43,AA135)/(Settings!$F$14:$F$43&lt;&gt;""),Settings!$G$14:$G$43),"")))</f>
        <v/>
      </c>
      <c r="CH135">
        <f>IF(OR($B135="",AB135=""),"",IFERROR(INDEX(Settings!$D$14:$D$33,MATCH(AB135,Settings!$B$14:$B$33,0))&amp;"",IFERROR(LOOKUP(2^15,SEARCH(Settings!$F$14:$F$43,AB135)/(Settings!$F$14:$F$43&lt;&gt;""),Settings!$G$14:$G$43),"")))</f>
        <v/>
      </c>
      <c r="CI135">
        <f>IF(OR($B135="",AC135=""),"",IFERROR(INDEX(Settings!$D$14:$D$33,MATCH(AC135,Settings!$B$14:$B$33,0))&amp;"",IFERROR(LOOKUP(2^15,SEARCH(Settings!$F$14:$F$43,AC135)/(Settings!$F$14:$F$43&lt;&gt;""),Settings!$G$14:$G$43),"")))</f>
        <v/>
      </c>
      <c r="CJ135">
        <f>IF(OR($B135="",AD135=""),"",IFERROR(INDEX(Settings!$D$14:$D$33,MATCH(AD135,Settings!$B$14:$B$33,0))&amp;"",IFERROR(LOOKUP(2^15,SEARCH(Settings!$F$14:$F$43,AD135)/(Settings!$F$14:$F$43&lt;&gt;""),Settings!$G$14:$G$43),"")))</f>
        <v/>
      </c>
      <c r="CK135">
        <f>IF(OR($B135="",AE135=""),"",IFERROR(INDEX(Settings!$D$14:$D$33,MATCH(AE135,Settings!$B$14:$B$33,0))&amp;"",IFERROR(LOOKUP(2^15,SEARCH(Settings!$F$14:$F$43,AE135)/(Settings!$F$14:$F$43&lt;&gt;""),Settings!$G$14:$G$43),"")))</f>
        <v/>
      </c>
      <c r="CL135">
        <f>IF(OR($B135="",AF135=""),"",IFERROR(INDEX(Settings!$D$14:$D$33,MATCH(AF135,Settings!$B$14:$B$33,0))&amp;"",IFERROR(LOOKUP(2^15,SEARCH(Settings!$F$14:$F$43,AF135)/(Settings!$F$14:$F$43&lt;&gt;""),Settings!$G$14:$G$43),"")))</f>
        <v/>
      </c>
      <c r="CM135">
        <f>IF(OR($B135="",AG135=""),"",IFERROR(INDEX(Settings!$D$14:$D$33,MATCH(AG135,Settings!$B$14:$B$33,0))&amp;"",IFERROR(LOOKUP(2^15,SEARCH(Settings!$F$14:$F$43,AG135)/(Settings!$F$14:$F$43&lt;&gt;""),Settings!$G$14:$G$43),"")))</f>
        <v/>
      </c>
    </row>
    <row r="136">
      <c r="A136" t="n">
        <v>134</v>
      </c>
      <c r="B136">
        <f>IFERROR(INDEX(Index!$A$2:$A$202,MATCH(A136,Index!$E$2:$E$202,0)),"")</f>
        <v/>
      </c>
      <c r="D136">
        <f>IF($B136="","",IFERROR(MATCH("Travel*",AI136:BJ136,0),""))</f>
        <v/>
      </c>
      <c r="F136">
        <f>IF(OR($B136="",NOT(ISNUMBER(Settings!$C$9))),"",TRIM(SUBSTITUTE(SUBSTITUTE(INDEX('INPUT - Roster'!$S$1:$SV$206,$B136,Settings!$C$9+0)&amp;"",CHAR(10)," "),CHAR(160)," ")))</f>
        <v/>
      </c>
      <c r="G136">
        <f>IF(OR($B136="",NOT(ISNUMBER(Settings!$C$9))),"",TRIM(SUBSTITUTE(SUBSTITUTE(INDEX('INPUT - Roster'!$S$1:$SV$206,$B136,Settings!$C$9+1)&amp;"",CHAR(10)," "),CHAR(160)," ")))</f>
        <v/>
      </c>
      <c r="H136">
        <f>IF(OR($B136="",NOT(ISNUMBER(Settings!$C$9))),"",TRIM(SUBSTITUTE(SUBSTITUTE(INDEX('INPUT - Roster'!$S$1:$SV$206,$B136,Settings!$C$9+2)&amp;"",CHAR(10)," "),CHAR(160)," ")))</f>
        <v/>
      </c>
      <c r="I136">
        <f>IF(OR($B136="",NOT(ISNUMBER(Settings!$C$9))),"",TRIM(SUBSTITUTE(SUBSTITUTE(INDEX('INPUT - Roster'!$S$1:$SV$206,$B136,Settings!$C$9+3)&amp;"",CHAR(10)," "),CHAR(160)," ")))</f>
        <v/>
      </c>
      <c r="J136">
        <f>IF(OR($B136="",NOT(ISNUMBER(Settings!$C$9))),"",TRIM(SUBSTITUTE(SUBSTITUTE(INDEX('INPUT - Roster'!$S$1:$SV$206,$B136,Settings!$C$9+4)&amp;"",CHAR(10)," "),CHAR(160)," ")))</f>
        <v/>
      </c>
      <c r="K136">
        <f>IF(OR($B136="",NOT(ISNUMBER(Settings!$C$9))),"",TRIM(SUBSTITUTE(SUBSTITUTE(INDEX('INPUT - Roster'!$S$1:$SV$206,$B136,Settings!$C$9+5)&amp;"",CHAR(10)," "),CHAR(160)," ")))</f>
        <v/>
      </c>
      <c r="L136">
        <f>IF(OR($B136="",NOT(ISNUMBER(Settings!$C$9))),"",TRIM(SUBSTITUTE(SUBSTITUTE(INDEX('INPUT - Roster'!$S$1:$SV$206,$B136,Settings!$C$9+6)&amp;"",CHAR(10)," "),CHAR(160)," ")))</f>
        <v/>
      </c>
      <c r="M136">
        <f>IF(OR($B136="",NOT(ISNUMBER(Settings!$C$9))),"",TRIM(SUBSTITUTE(SUBSTITUTE(INDEX('INPUT - Roster'!$S$1:$SV$206,$B136,Settings!$C$9+7)&amp;"",CHAR(10)," "),CHAR(160)," ")))</f>
        <v/>
      </c>
      <c r="N136">
        <f>IF(OR($B136="",NOT(ISNUMBER(Settings!$C$9))),"",TRIM(SUBSTITUTE(SUBSTITUTE(INDEX('INPUT - Roster'!$S$1:$SV$206,$B136,Settings!$C$9+8)&amp;"",CHAR(10)," "),CHAR(160)," ")))</f>
        <v/>
      </c>
      <c r="O136">
        <f>IF(OR($B136="",NOT(ISNUMBER(Settings!$C$9))),"",TRIM(SUBSTITUTE(SUBSTITUTE(INDEX('INPUT - Roster'!$S$1:$SV$206,$B136,Settings!$C$9+9)&amp;"",CHAR(10)," "),CHAR(160)," ")))</f>
        <v/>
      </c>
      <c r="P136">
        <f>IF(OR($B136="",NOT(ISNUMBER(Settings!$C$9))),"",TRIM(SUBSTITUTE(SUBSTITUTE(INDEX('INPUT - Roster'!$S$1:$SV$206,$B136,Settings!$C$9+10)&amp;"",CHAR(10)," "),CHAR(160)," ")))</f>
        <v/>
      </c>
      <c r="Q136">
        <f>IF(OR($B136="",NOT(ISNUMBER(Settings!$C$9))),"",TRIM(SUBSTITUTE(SUBSTITUTE(INDEX('INPUT - Roster'!$S$1:$SV$206,$B136,Settings!$C$9+11)&amp;"",CHAR(10)," "),CHAR(160)," ")))</f>
        <v/>
      </c>
      <c r="R136">
        <f>IF(OR($B136="",NOT(ISNUMBER(Settings!$C$9))),"",TRIM(SUBSTITUTE(SUBSTITUTE(INDEX('INPUT - Roster'!$S$1:$SV$206,$B136,Settings!$C$9+12)&amp;"",CHAR(10)," "),CHAR(160)," ")))</f>
        <v/>
      </c>
      <c r="S136">
        <f>IF(OR($B136="",NOT(ISNUMBER(Settings!$C$9))),"",TRIM(SUBSTITUTE(SUBSTITUTE(INDEX('INPUT - Roster'!$S$1:$SV$206,$B136,Settings!$C$9+13)&amp;"",CHAR(10)," "),CHAR(160)," ")))</f>
        <v/>
      </c>
      <c r="T136">
        <f>IF(OR($B136="",NOT(ISNUMBER(Settings!$C$9))),"",TRIM(SUBSTITUTE(SUBSTITUTE(INDEX('INPUT - Roster'!$S$1:$SV$206,$B136,Settings!$C$9+14)&amp;"",CHAR(10)," "),CHAR(160)," ")))</f>
        <v/>
      </c>
      <c r="U136">
        <f>IF(OR($B136="",NOT(ISNUMBER(Settings!$C$9))),"",TRIM(SUBSTITUTE(SUBSTITUTE(INDEX('INPUT - Roster'!$S$1:$SV$206,$B136,Settings!$C$9+15)&amp;"",CHAR(10)," "),CHAR(160)," ")))</f>
        <v/>
      </c>
      <c r="V136">
        <f>IF(OR($B136="",NOT(ISNUMBER(Settings!$C$9))),"",TRIM(SUBSTITUTE(SUBSTITUTE(INDEX('INPUT - Roster'!$S$1:$SV$206,$B136,Settings!$C$9+16)&amp;"",CHAR(10)," "),CHAR(160)," ")))</f>
        <v/>
      </c>
      <c r="W136">
        <f>IF(OR($B136="",NOT(ISNUMBER(Settings!$C$9))),"",TRIM(SUBSTITUTE(SUBSTITUTE(INDEX('INPUT - Roster'!$S$1:$SV$206,$B136,Settings!$C$9+17)&amp;"",CHAR(10)," "),CHAR(160)," ")))</f>
        <v/>
      </c>
      <c r="X136">
        <f>IF(OR($B136="",NOT(ISNUMBER(Settings!$C$9))),"",TRIM(SUBSTITUTE(SUBSTITUTE(INDEX('INPUT - Roster'!$S$1:$SV$206,$B136,Settings!$C$9+18)&amp;"",CHAR(10)," "),CHAR(160)," ")))</f>
        <v/>
      </c>
      <c r="Y136">
        <f>IF(OR($B136="",NOT(ISNUMBER(Settings!$C$9))),"",TRIM(SUBSTITUTE(SUBSTITUTE(INDEX('INPUT - Roster'!$S$1:$SV$206,$B136,Settings!$C$9+19)&amp;"",CHAR(10)," "),CHAR(160)," ")))</f>
        <v/>
      </c>
      <c r="Z136">
        <f>IF(OR($B136="",NOT(ISNUMBER(Settings!$C$9))),"",TRIM(SUBSTITUTE(SUBSTITUTE(INDEX('INPUT - Roster'!$S$1:$SV$206,$B136,Settings!$C$9+20)&amp;"",CHAR(10)," "),CHAR(160)," ")))</f>
        <v/>
      </c>
      <c r="AA136">
        <f>IF(OR($B136="",NOT(ISNUMBER(Settings!$C$9))),"",TRIM(SUBSTITUTE(SUBSTITUTE(INDEX('INPUT - Roster'!$S$1:$SV$206,$B136,Settings!$C$9+21)&amp;"",CHAR(10)," "),CHAR(160)," ")))</f>
        <v/>
      </c>
      <c r="AB136">
        <f>IF(OR($B136="",NOT(ISNUMBER(Settings!$C$9))),"",TRIM(SUBSTITUTE(SUBSTITUTE(INDEX('INPUT - Roster'!$S$1:$SV$206,$B136,Settings!$C$9+22)&amp;"",CHAR(10)," "),CHAR(160)," ")))</f>
        <v/>
      </c>
      <c r="AC136">
        <f>IF(OR($B136="",NOT(ISNUMBER(Settings!$C$9))),"",TRIM(SUBSTITUTE(SUBSTITUTE(INDEX('INPUT - Roster'!$S$1:$SV$206,$B136,Settings!$C$9+23)&amp;"",CHAR(10)," "),CHAR(160)," ")))</f>
        <v/>
      </c>
      <c r="AD136">
        <f>IF(OR($B136="",NOT(ISNUMBER(Settings!$C$9))),"",TRIM(SUBSTITUTE(SUBSTITUTE(INDEX('INPUT - Roster'!$S$1:$SV$206,$B136,Settings!$C$9+24)&amp;"",CHAR(10)," "),CHAR(160)," ")))</f>
        <v/>
      </c>
      <c r="AE136">
        <f>IF(OR($B136="",NOT(ISNUMBER(Settings!$C$9))),"",TRIM(SUBSTITUTE(SUBSTITUTE(INDEX('INPUT - Roster'!$S$1:$SV$206,$B136,Settings!$C$9+25)&amp;"",CHAR(10)," "),CHAR(160)," ")))</f>
        <v/>
      </c>
      <c r="AF136">
        <f>IF(OR($B136="",NOT(ISNUMBER(Settings!$C$9))),"",TRIM(SUBSTITUTE(SUBSTITUTE(INDEX('INPUT - Roster'!$S$1:$SV$206,$B136,Settings!$C$9+26)&amp;"",CHAR(10)," "),CHAR(160)," ")))</f>
        <v/>
      </c>
      <c r="AG136">
        <f>IF(OR($B136="",NOT(ISNUMBER(Settings!$C$9))),"",TRIM(SUBSTITUTE(SUBSTITUTE(INDEX('INPUT - Roster'!$S$1:$SV$206,$B136,Settings!$C$9+27)&amp;"",CHAR(10)," "),CHAR(160)," ")))</f>
        <v/>
      </c>
      <c r="AI136">
        <f>IF($B136="","",IF(F136="","Not rostered",IFERROR(INDEX(Settings!$C$14:$C$33,MATCH(F136,Settings!$B$14:$B$33,0)),IFERROR(LOOKUP(2^15,SEARCH(Settings!$I$14:$I$83,F136)/(Settings!$I$14:$I$83&lt;&gt;""),Settings!$J$14:$J$83),"Other"))))</f>
        <v/>
      </c>
      <c r="AJ136">
        <f>IF($B136="","",IF(G136="","Not rostered",IFERROR(INDEX(Settings!$C$14:$C$33,MATCH(G136,Settings!$B$14:$B$33,0)),IFERROR(LOOKUP(2^15,SEARCH(Settings!$I$14:$I$83,G136)/(Settings!$I$14:$I$83&lt;&gt;""),Settings!$J$14:$J$83),"Other"))))</f>
        <v/>
      </c>
      <c r="AK136">
        <f>IF($B136="","",IF(H136="","Not rostered",IFERROR(INDEX(Settings!$C$14:$C$33,MATCH(H136,Settings!$B$14:$B$33,0)),IFERROR(LOOKUP(2^15,SEARCH(Settings!$I$14:$I$83,H136)/(Settings!$I$14:$I$83&lt;&gt;""),Settings!$J$14:$J$83),"Other"))))</f>
        <v/>
      </c>
      <c r="AL136">
        <f>IF($B136="","",IF(I136="","Not rostered",IFERROR(INDEX(Settings!$C$14:$C$33,MATCH(I136,Settings!$B$14:$B$33,0)),IFERROR(LOOKUP(2^15,SEARCH(Settings!$I$14:$I$83,I136)/(Settings!$I$14:$I$83&lt;&gt;""),Settings!$J$14:$J$83),"Other"))))</f>
        <v/>
      </c>
      <c r="AM136">
        <f>IF($B136="","",IF(J136="","Not rostered",IFERROR(INDEX(Settings!$C$14:$C$33,MATCH(J136,Settings!$B$14:$B$33,0)),IFERROR(LOOKUP(2^15,SEARCH(Settings!$I$14:$I$83,J136)/(Settings!$I$14:$I$83&lt;&gt;""),Settings!$J$14:$J$83),"Other"))))</f>
        <v/>
      </c>
      <c r="AN136">
        <f>IF($B136="","",IF(K136="","Not rostered",IFERROR(INDEX(Settings!$C$14:$C$33,MATCH(K136,Settings!$B$14:$B$33,0)),IFERROR(LOOKUP(2^15,SEARCH(Settings!$I$14:$I$83,K136)/(Settings!$I$14:$I$83&lt;&gt;""),Settings!$J$14:$J$83),"Other"))))</f>
        <v/>
      </c>
      <c r="AO136">
        <f>IF($B136="","",IF(L136="","Not rostered",IFERROR(INDEX(Settings!$C$14:$C$33,MATCH(L136,Settings!$B$14:$B$33,0)),IFERROR(LOOKUP(2^15,SEARCH(Settings!$I$14:$I$83,L136)/(Settings!$I$14:$I$83&lt;&gt;""),Settings!$J$14:$J$83),"Other"))))</f>
        <v/>
      </c>
      <c r="AP136">
        <f>IF($B136="","",IF(M136="","Not rostered",IFERROR(INDEX(Settings!$C$14:$C$33,MATCH(M136,Settings!$B$14:$B$33,0)),IFERROR(LOOKUP(2^15,SEARCH(Settings!$I$14:$I$83,M136)/(Settings!$I$14:$I$83&lt;&gt;""),Settings!$J$14:$J$83),"Other"))))</f>
        <v/>
      </c>
      <c r="AQ136">
        <f>IF($B136="","",IF(N136="","Not rostered",IFERROR(INDEX(Settings!$C$14:$C$33,MATCH(N136,Settings!$B$14:$B$33,0)),IFERROR(LOOKUP(2^15,SEARCH(Settings!$I$14:$I$83,N136)/(Settings!$I$14:$I$83&lt;&gt;""),Settings!$J$14:$J$83),"Other"))))</f>
        <v/>
      </c>
      <c r="AR136">
        <f>IF($B136="","",IF(O136="","Not rostered",IFERROR(INDEX(Settings!$C$14:$C$33,MATCH(O136,Settings!$B$14:$B$33,0)),IFERROR(LOOKUP(2^15,SEARCH(Settings!$I$14:$I$83,O136)/(Settings!$I$14:$I$83&lt;&gt;""),Settings!$J$14:$J$83),"Other"))))</f>
        <v/>
      </c>
      <c r="AS136">
        <f>IF($B136="","",IF(P136="","Not rostered",IFERROR(INDEX(Settings!$C$14:$C$33,MATCH(P136,Settings!$B$14:$B$33,0)),IFERROR(LOOKUP(2^15,SEARCH(Settings!$I$14:$I$83,P136)/(Settings!$I$14:$I$83&lt;&gt;""),Settings!$J$14:$J$83),"Other"))))</f>
        <v/>
      </c>
      <c r="AT136">
        <f>IF($B136="","",IF(Q136="","Not rostered",IFERROR(INDEX(Settings!$C$14:$C$33,MATCH(Q136,Settings!$B$14:$B$33,0)),IFERROR(LOOKUP(2^15,SEARCH(Settings!$I$14:$I$83,Q136)/(Settings!$I$14:$I$83&lt;&gt;""),Settings!$J$14:$J$83),"Other"))))</f>
        <v/>
      </c>
      <c r="AU136">
        <f>IF($B136="","",IF(R136="","Not rostered",IFERROR(INDEX(Settings!$C$14:$C$33,MATCH(R136,Settings!$B$14:$B$33,0)),IFERROR(LOOKUP(2^15,SEARCH(Settings!$I$14:$I$83,R136)/(Settings!$I$14:$I$83&lt;&gt;""),Settings!$J$14:$J$83),"Other"))))</f>
        <v/>
      </c>
      <c r="AV136">
        <f>IF($B136="","",IF(S136="","Not rostered",IFERROR(INDEX(Settings!$C$14:$C$33,MATCH(S136,Settings!$B$14:$B$33,0)),IFERROR(LOOKUP(2^15,SEARCH(Settings!$I$14:$I$83,S136)/(Settings!$I$14:$I$83&lt;&gt;""),Settings!$J$14:$J$83),"Other"))))</f>
        <v/>
      </c>
      <c r="AW136">
        <f>IF($B136="","",IF(T136="","Not rostered",IFERROR(INDEX(Settings!$C$14:$C$33,MATCH(T136,Settings!$B$14:$B$33,0)),IFERROR(LOOKUP(2^15,SEARCH(Settings!$I$14:$I$83,T136)/(Settings!$I$14:$I$83&lt;&gt;""),Settings!$J$14:$J$83),"Other"))))</f>
        <v/>
      </c>
      <c r="AX136">
        <f>IF($B136="","",IF(U136="","Not rostered",IFERROR(INDEX(Settings!$C$14:$C$33,MATCH(U136,Settings!$B$14:$B$33,0)),IFERROR(LOOKUP(2^15,SEARCH(Settings!$I$14:$I$83,U136)/(Settings!$I$14:$I$83&lt;&gt;""),Settings!$J$14:$J$83),"Other"))))</f>
        <v/>
      </c>
      <c r="AY136">
        <f>IF($B136="","",IF(V136="","Not rostered",IFERROR(INDEX(Settings!$C$14:$C$33,MATCH(V136,Settings!$B$14:$B$33,0)),IFERROR(LOOKUP(2^15,SEARCH(Settings!$I$14:$I$83,V136)/(Settings!$I$14:$I$83&lt;&gt;""),Settings!$J$14:$J$83),"Other"))))</f>
        <v/>
      </c>
      <c r="AZ136">
        <f>IF($B136="","",IF(W136="","Not rostered",IFERROR(INDEX(Settings!$C$14:$C$33,MATCH(W136,Settings!$B$14:$B$33,0)),IFERROR(LOOKUP(2^15,SEARCH(Settings!$I$14:$I$83,W136)/(Settings!$I$14:$I$83&lt;&gt;""),Settings!$J$14:$J$83),"Other"))))</f>
        <v/>
      </c>
      <c r="BA136">
        <f>IF($B136="","",IF(X136="","Not rostered",IFERROR(INDEX(Settings!$C$14:$C$33,MATCH(X136,Settings!$B$14:$B$33,0)),IFERROR(LOOKUP(2^15,SEARCH(Settings!$I$14:$I$83,X136)/(Settings!$I$14:$I$83&lt;&gt;""),Settings!$J$14:$J$83),"Other"))))</f>
        <v/>
      </c>
      <c r="BB136">
        <f>IF($B136="","",IF(Y136="","Not rostered",IFERROR(INDEX(Settings!$C$14:$C$33,MATCH(Y136,Settings!$B$14:$B$33,0)),IFERROR(LOOKUP(2^15,SEARCH(Settings!$I$14:$I$83,Y136)/(Settings!$I$14:$I$83&lt;&gt;""),Settings!$J$14:$J$83),"Other"))))</f>
        <v/>
      </c>
      <c r="BC136">
        <f>IF($B136="","",IF(Z136="","Not rostered",IFERROR(INDEX(Settings!$C$14:$C$33,MATCH(Z136,Settings!$B$14:$B$33,0)),IFERROR(LOOKUP(2^15,SEARCH(Settings!$I$14:$I$83,Z136)/(Settings!$I$14:$I$83&lt;&gt;""),Settings!$J$14:$J$83),"Other"))))</f>
        <v/>
      </c>
      <c r="BD136">
        <f>IF($B136="","",IF(AA136="","Not rostered",IFERROR(INDEX(Settings!$C$14:$C$33,MATCH(AA136,Settings!$B$14:$B$33,0)),IFERROR(LOOKUP(2^15,SEARCH(Settings!$I$14:$I$83,AA136)/(Settings!$I$14:$I$83&lt;&gt;""),Settings!$J$14:$J$83),"Other"))))</f>
        <v/>
      </c>
      <c r="BE136">
        <f>IF($B136="","",IF(AB136="","Not rostered",IFERROR(INDEX(Settings!$C$14:$C$33,MATCH(AB136,Settings!$B$14:$B$33,0)),IFERROR(LOOKUP(2^15,SEARCH(Settings!$I$14:$I$83,AB136)/(Settings!$I$14:$I$83&lt;&gt;""),Settings!$J$14:$J$83),"Other"))))</f>
        <v/>
      </c>
      <c r="BF136">
        <f>IF($B136="","",IF(AC136="","Not rostered",IFERROR(INDEX(Settings!$C$14:$C$33,MATCH(AC136,Settings!$B$14:$B$33,0)),IFERROR(LOOKUP(2^15,SEARCH(Settings!$I$14:$I$83,AC136)/(Settings!$I$14:$I$83&lt;&gt;""),Settings!$J$14:$J$83),"Other"))))</f>
        <v/>
      </c>
      <c r="BG136">
        <f>IF($B136="","",IF(AD136="","Not rostered",IFERROR(INDEX(Settings!$C$14:$C$33,MATCH(AD136,Settings!$B$14:$B$33,0)),IFERROR(LOOKUP(2^15,SEARCH(Settings!$I$14:$I$83,AD136)/(Settings!$I$14:$I$83&lt;&gt;""),Settings!$J$14:$J$83),"Other"))))</f>
        <v/>
      </c>
      <c r="BH136">
        <f>IF($B136="","",IF(AE136="","Not rostered",IFERROR(INDEX(Settings!$C$14:$C$33,MATCH(AE136,Settings!$B$14:$B$33,0)),IFERROR(LOOKUP(2^15,SEARCH(Settings!$I$14:$I$83,AE136)/(Settings!$I$14:$I$83&lt;&gt;""),Settings!$J$14:$J$83),"Other"))))</f>
        <v/>
      </c>
      <c r="BI136">
        <f>IF($B136="","",IF(AF136="","Not rostered",IFERROR(INDEX(Settings!$C$14:$C$33,MATCH(AF136,Settings!$B$14:$B$33,0)),IFERROR(LOOKUP(2^15,SEARCH(Settings!$I$14:$I$83,AF136)/(Settings!$I$14:$I$83&lt;&gt;""),Settings!$J$14:$J$83),"Other"))))</f>
        <v/>
      </c>
      <c r="BJ136">
        <f>IF($B136="","",IF(AG136="","Not rostered",IFERROR(INDEX(Settings!$C$14:$C$33,MATCH(AG136,Settings!$B$14:$B$33,0)),IFERROR(LOOKUP(2^15,SEARCH(Settings!$I$14:$I$83,AG136)/(Settings!$I$14:$I$83&lt;&gt;""),Settings!$J$14:$J$83),"Other"))))</f>
        <v/>
      </c>
      <c r="BL136">
        <f>IF(OR($B136="",F136=""),"",IFERROR(INDEX(Settings!$D$14:$D$33,MATCH(F136,Settings!$B$14:$B$33,0))&amp;"",IFERROR(LOOKUP(2^15,SEARCH(Settings!$F$14:$F$43,F136)/(Settings!$F$14:$F$43&lt;&gt;""),Settings!$G$14:$G$43),"")))</f>
        <v/>
      </c>
      <c r="BM136">
        <f>IF(OR($B136="",G136=""),"",IFERROR(INDEX(Settings!$D$14:$D$33,MATCH(G136,Settings!$B$14:$B$33,0))&amp;"",IFERROR(LOOKUP(2^15,SEARCH(Settings!$F$14:$F$43,G136)/(Settings!$F$14:$F$43&lt;&gt;""),Settings!$G$14:$G$43),"")))</f>
        <v/>
      </c>
      <c r="BN136">
        <f>IF(OR($B136="",H136=""),"",IFERROR(INDEX(Settings!$D$14:$D$33,MATCH(H136,Settings!$B$14:$B$33,0))&amp;"",IFERROR(LOOKUP(2^15,SEARCH(Settings!$F$14:$F$43,H136)/(Settings!$F$14:$F$43&lt;&gt;""),Settings!$G$14:$G$43),"")))</f>
        <v/>
      </c>
      <c r="BO136">
        <f>IF(OR($B136="",I136=""),"",IFERROR(INDEX(Settings!$D$14:$D$33,MATCH(I136,Settings!$B$14:$B$33,0))&amp;"",IFERROR(LOOKUP(2^15,SEARCH(Settings!$F$14:$F$43,I136)/(Settings!$F$14:$F$43&lt;&gt;""),Settings!$G$14:$G$43),"")))</f>
        <v/>
      </c>
      <c r="BP136">
        <f>IF(OR($B136="",J136=""),"",IFERROR(INDEX(Settings!$D$14:$D$33,MATCH(J136,Settings!$B$14:$B$33,0))&amp;"",IFERROR(LOOKUP(2^15,SEARCH(Settings!$F$14:$F$43,J136)/(Settings!$F$14:$F$43&lt;&gt;""),Settings!$G$14:$G$43),"")))</f>
        <v/>
      </c>
      <c r="BQ136">
        <f>IF(OR($B136="",K136=""),"",IFERROR(INDEX(Settings!$D$14:$D$33,MATCH(K136,Settings!$B$14:$B$33,0))&amp;"",IFERROR(LOOKUP(2^15,SEARCH(Settings!$F$14:$F$43,K136)/(Settings!$F$14:$F$43&lt;&gt;""),Settings!$G$14:$G$43),"")))</f>
        <v/>
      </c>
      <c r="BR136">
        <f>IF(OR($B136="",L136=""),"",IFERROR(INDEX(Settings!$D$14:$D$33,MATCH(L136,Settings!$B$14:$B$33,0))&amp;"",IFERROR(LOOKUP(2^15,SEARCH(Settings!$F$14:$F$43,L136)/(Settings!$F$14:$F$43&lt;&gt;""),Settings!$G$14:$G$43),"")))</f>
        <v/>
      </c>
      <c r="BS136">
        <f>IF(OR($B136="",M136=""),"",IFERROR(INDEX(Settings!$D$14:$D$33,MATCH(M136,Settings!$B$14:$B$33,0))&amp;"",IFERROR(LOOKUP(2^15,SEARCH(Settings!$F$14:$F$43,M136)/(Settings!$F$14:$F$43&lt;&gt;""),Settings!$G$14:$G$43),"")))</f>
        <v/>
      </c>
      <c r="BT136">
        <f>IF(OR($B136="",N136=""),"",IFERROR(INDEX(Settings!$D$14:$D$33,MATCH(N136,Settings!$B$14:$B$33,0))&amp;"",IFERROR(LOOKUP(2^15,SEARCH(Settings!$F$14:$F$43,N136)/(Settings!$F$14:$F$43&lt;&gt;""),Settings!$G$14:$G$43),"")))</f>
        <v/>
      </c>
      <c r="BU136">
        <f>IF(OR($B136="",O136=""),"",IFERROR(INDEX(Settings!$D$14:$D$33,MATCH(O136,Settings!$B$14:$B$33,0))&amp;"",IFERROR(LOOKUP(2^15,SEARCH(Settings!$F$14:$F$43,O136)/(Settings!$F$14:$F$43&lt;&gt;""),Settings!$G$14:$G$43),"")))</f>
        <v/>
      </c>
      <c r="BV136">
        <f>IF(OR($B136="",P136=""),"",IFERROR(INDEX(Settings!$D$14:$D$33,MATCH(P136,Settings!$B$14:$B$33,0))&amp;"",IFERROR(LOOKUP(2^15,SEARCH(Settings!$F$14:$F$43,P136)/(Settings!$F$14:$F$43&lt;&gt;""),Settings!$G$14:$G$43),"")))</f>
        <v/>
      </c>
      <c r="BW136">
        <f>IF(OR($B136="",Q136=""),"",IFERROR(INDEX(Settings!$D$14:$D$33,MATCH(Q136,Settings!$B$14:$B$33,0))&amp;"",IFERROR(LOOKUP(2^15,SEARCH(Settings!$F$14:$F$43,Q136)/(Settings!$F$14:$F$43&lt;&gt;""),Settings!$G$14:$G$43),"")))</f>
        <v/>
      </c>
      <c r="BX136">
        <f>IF(OR($B136="",R136=""),"",IFERROR(INDEX(Settings!$D$14:$D$33,MATCH(R136,Settings!$B$14:$B$33,0))&amp;"",IFERROR(LOOKUP(2^15,SEARCH(Settings!$F$14:$F$43,R136)/(Settings!$F$14:$F$43&lt;&gt;""),Settings!$G$14:$G$43),"")))</f>
        <v/>
      </c>
      <c r="BY136">
        <f>IF(OR($B136="",S136=""),"",IFERROR(INDEX(Settings!$D$14:$D$33,MATCH(S136,Settings!$B$14:$B$33,0))&amp;"",IFERROR(LOOKUP(2^15,SEARCH(Settings!$F$14:$F$43,S136)/(Settings!$F$14:$F$43&lt;&gt;""),Settings!$G$14:$G$43),"")))</f>
        <v/>
      </c>
      <c r="BZ136">
        <f>IF(OR($B136="",T136=""),"",IFERROR(INDEX(Settings!$D$14:$D$33,MATCH(T136,Settings!$B$14:$B$33,0))&amp;"",IFERROR(LOOKUP(2^15,SEARCH(Settings!$F$14:$F$43,T136)/(Settings!$F$14:$F$43&lt;&gt;""),Settings!$G$14:$G$43),"")))</f>
        <v/>
      </c>
      <c r="CA136">
        <f>IF(OR($B136="",U136=""),"",IFERROR(INDEX(Settings!$D$14:$D$33,MATCH(U136,Settings!$B$14:$B$33,0))&amp;"",IFERROR(LOOKUP(2^15,SEARCH(Settings!$F$14:$F$43,U136)/(Settings!$F$14:$F$43&lt;&gt;""),Settings!$G$14:$G$43),"")))</f>
        <v/>
      </c>
      <c r="CB136">
        <f>IF(OR($B136="",V136=""),"",IFERROR(INDEX(Settings!$D$14:$D$33,MATCH(V136,Settings!$B$14:$B$33,0))&amp;"",IFERROR(LOOKUP(2^15,SEARCH(Settings!$F$14:$F$43,V136)/(Settings!$F$14:$F$43&lt;&gt;""),Settings!$G$14:$G$43),"")))</f>
        <v/>
      </c>
      <c r="CC136">
        <f>IF(OR($B136="",W136=""),"",IFERROR(INDEX(Settings!$D$14:$D$33,MATCH(W136,Settings!$B$14:$B$33,0))&amp;"",IFERROR(LOOKUP(2^15,SEARCH(Settings!$F$14:$F$43,W136)/(Settings!$F$14:$F$43&lt;&gt;""),Settings!$G$14:$G$43),"")))</f>
        <v/>
      </c>
      <c r="CD136">
        <f>IF(OR($B136="",X136=""),"",IFERROR(INDEX(Settings!$D$14:$D$33,MATCH(X136,Settings!$B$14:$B$33,0))&amp;"",IFERROR(LOOKUP(2^15,SEARCH(Settings!$F$14:$F$43,X136)/(Settings!$F$14:$F$43&lt;&gt;""),Settings!$G$14:$G$43),"")))</f>
        <v/>
      </c>
      <c r="CE136">
        <f>IF(OR($B136="",Y136=""),"",IFERROR(INDEX(Settings!$D$14:$D$33,MATCH(Y136,Settings!$B$14:$B$33,0))&amp;"",IFERROR(LOOKUP(2^15,SEARCH(Settings!$F$14:$F$43,Y136)/(Settings!$F$14:$F$43&lt;&gt;""),Settings!$G$14:$G$43),"")))</f>
        <v/>
      </c>
      <c r="CF136">
        <f>IF(OR($B136="",Z136=""),"",IFERROR(INDEX(Settings!$D$14:$D$33,MATCH(Z136,Settings!$B$14:$B$33,0))&amp;"",IFERROR(LOOKUP(2^15,SEARCH(Settings!$F$14:$F$43,Z136)/(Settings!$F$14:$F$43&lt;&gt;""),Settings!$G$14:$G$43),"")))</f>
        <v/>
      </c>
      <c r="CG136">
        <f>IF(OR($B136="",AA136=""),"",IFERROR(INDEX(Settings!$D$14:$D$33,MATCH(AA136,Settings!$B$14:$B$33,0))&amp;"",IFERROR(LOOKUP(2^15,SEARCH(Settings!$F$14:$F$43,AA136)/(Settings!$F$14:$F$43&lt;&gt;""),Settings!$G$14:$G$43),"")))</f>
        <v/>
      </c>
      <c r="CH136">
        <f>IF(OR($B136="",AB136=""),"",IFERROR(INDEX(Settings!$D$14:$D$33,MATCH(AB136,Settings!$B$14:$B$33,0))&amp;"",IFERROR(LOOKUP(2^15,SEARCH(Settings!$F$14:$F$43,AB136)/(Settings!$F$14:$F$43&lt;&gt;""),Settings!$G$14:$G$43),"")))</f>
        <v/>
      </c>
      <c r="CI136">
        <f>IF(OR($B136="",AC136=""),"",IFERROR(INDEX(Settings!$D$14:$D$33,MATCH(AC136,Settings!$B$14:$B$33,0))&amp;"",IFERROR(LOOKUP(2^15,SEARCH(Settings!$F$14:$F$43,AC136)/(Settings!$F$14:$F$43&lt;&gt;""),Settings!$G$14:$G$43),"")))</f>
        <v/>
      </c>
      <c r="CJ136">
        <f>IF(OR($B136="",AD136=""),"",IFERROR(INDEX(Settings!$D$14:$D$33,MATCH(AD136,Settings!$B$14:$B$33,0))&amp;"",IFERROR(LOOKUP(2^15,SEARCH(Settings!$F$14:$F$43,AD136)/(Settings!$F$14:$F$43&lt;&gt;""),Settings!$G$14:$G$43),"")))</f>
        <v/>
      </c>
      <c r="CK136">
        <f>IF(OR($B136="",AE136=""),"",IFERROR(INDEX(Settings!$D$14:$D$33,MATCH(AE136,Settings!$B$14:$B$33,0))&amp;"",IFERROR(LOOKUP(2^15,SEARCH(Settings!$F$14:$F$43,AE136)/(Settings!$F$14:$F$43&lt;&gt;""),Settings!$G$14:$G$43),"")))</f>
        <v/>
      </c>
      <c r="CL136">
        <f>IF(OR($B136="",AF136=""),"",IFERROR(INDEX(Settings!$D$14:$D$33,MATCH(AF136,Settings!$B$14:$B$33,0))&amp;"",IFERROR(LOOKUP(2^15,SEARCH(Settings!$F$14:$F$43,AF136)/(Settings!$F$14:$F$43&lt;&gt;""),Settings!$G$14:$G$43),"")))</f>
        <v/>
      </c>
      <c r="CM136">
        <f>IF(OR($B136="",AG136=""),"",IFERROR(INDEX(Settings!$D$14:$D$33,MATCH(AG136,Settings!$B$14:$B$33,0))&amp;"",IFERROR(LOOKUP(2^15,SEARCH(Settings!$F$14:$F$43,AG136)/(Settings!$F$14:$F$43&lt;&gt;""),Settings!$G$14:$G$43),"")))</f>
        <v/>
      </c>
    </row>
    <row r="137">
      <c r="A137" t="n">
        <v>135</v>
      </c>
      <c r="B137">
        <f>IFERROR(INDEX(Index!$A$2:$A$202,MATCH(A137,Index!$E$2:$E$202,0)),"")</f>
        <v/>
      </c>
      <c r="D137">
        <f>IF($B137="","",IFERROR(MATCH("Travel*",AI137:BJ137,0),""))</f>
        <v/>
      </c>
      <c r="F137">
        <f>IF(OR($B137="",NOT(ISNUMBER(Settings!$C$9))),"",TRIM(SUBSTITUTE(SUBSTITUTE(INDEX('INPUT - Roster'!$S$1:$SV$206,$B137,Settings!$C$9+0)&amp;"",CHAR(10)," "),CHAR(160)," ")))</f>
        <v/>
      </c>
      <c r="G137">
        <f>IF(OR($B137="",NOT(ISNUMBER(Settings!$C$9))),"",TRIM(SUBSTITUTE(SUBSTITUTE(INDEX('INPUT - Roster'!$S$1:$SV$206,$B137,Settings!$C$9+1)&amp;"",CHAR(10)," "),CHAR(160)," ")))</f>
        <v/>
      </c>
      <c r="H137">
        <f>IF(OR($B137="",NOT(ISNUMBER(Settings!$C$9))),"",TRIM(SUBSTITUTE(SUBSTITUTE(INDEX('INPUT - Roster'!$S$1:$SV$206,$B137,Settings!$C$9+2)&amp;"",CHAR(10)," "),CHAR(160)," ")))</f>
        <v/>
      </c>
      <c r="I137">
        <f>IF(OR($B137="",NOT(ISNUMBER(Settings!$C$9))),"",TRIM(SUBSTITUTE(SUBSTITUTE(INDEX('INPUT - Roster'!$S$1:$SV$206,$B137,Settings!$C$9+3)&amp;"",CHAR(10)," "),CHAR(160)," ")))</f>
        <v/>
      </c>
      <c r="J137">
        <f>IF(OR($B137="",NOT(ISNUMBER(Settings!$C$9))),"",TRIM(SUBSTITUTE(SUBSTITUTE(INDEX('INPUT - Roster'!$S$1:$SV$206,$B137,Settings!$C$9+4)&amp;"",CHAR(10)," "),CHAR(160)," ")))</f>
        <v/>
      </c>
      <c r="K137">
        <f>IF(OR($B137="",NOT(ISNUMBER(Settings!$C$9))),"",TRIM(SUBSTITUTE(SUBSTITUTE(INDEX('INPUT - Roster'!$S$1:$SV$206,$B137,Settings!$C$9+5)&amp;"",CHAR(10)," "),CHAR(160)," ")))</f>
        <v/>
      </c>
      <c r="L137">
        <f>IF(OR($B137="",NOT(ISNUMBER(Settings!$C$9))),"",TRIM(SUBSTITUTE(SUBSTITUTE(INDEX('INPUT - Roster'!$S$1:$SV$206,$B137,Settings!$C$9+6)&amp;"",CHAR(10)," "),CHAR(160)," ")))</f>
        <v/>
      </c>
      <c r="M137">
        <f>IF(OR($B137="",NOT(ISNUMBER(Settings!$C$9))),"",TRIM(SUBSTITUTE(SUBSTITUTE(INDEX('INPUT - Roster'!$S$1:$SV$206,$B137,Settings!$C$9+7)&amp;"",CHAR(10)," "),CHAR(160)," ")))</f>
        <v/>
      </c>
      <c r="N137">
        <f>IF(OR($B137="",NOT(ISNUMBER(Settings!$C$9))),"",TRIM(SUBSTITUTE(SUBSTITUTE(INDEX('INPUT - Roster'!$S$1:$SV$206,$B137,Settings!$C$9+8)&amp;"",CHAR(10)," "),CHAR(160)," ")))</f>
        <v/>
      </c>
      <c r="O137">
        <f>IF(OR($B137="",NOT(ISNUMBER(Settings!$C$9))),"",TRIM(SUBSTITUTE(SUBSTITUTE(INDEX('INPUT - Roster'!$S$1:$SV$206,$B137,Settings!$C$9+9)&amp;"",CHAR(10)," "),CHAR(160)," ")))</f>
        <v/>
      </c>
      <c r="P137">
        <f>IF(OR($B137="",NOT(ISNUMBER(Settings!$C$9))),"",TRIM(SUBSTITUTE(SUBSTITUTE(INDEX('INPUT - Roster'!$S$1:$SV$206,$B137,Settings!$C$9+10)&amp;"",CHAR(10)," "),CHAR(160)," ")))</f>
        <v/>
      </c>
      <c r="Q137">
        <f>IF(OR($B137="",NOT(ISNUMBER(Settings!$C$9))),"",TRIM(SUBSTITUTE(SUBSTITUTE(INDEX('INPUT - Roster'!$S$1:$SV$206,$B137,Settings!$C$9+11)&amp;"",CHAR(10)," "),CHAR(160)," ")))</f>
        <v/>
      </c>
      <c r="R137">
        <f>IF(OR($B137="",NOT(ISNUMBER(Settings!$C$9))),"",TRIM(SUBSTITUTE(SUBSTITUTE(INDEX('INPUT - Roster'!$S$1:$SV$206,$B137,Settings!$C$9+12)&amp;"",CHAR(10)," "),CHAR(160)," ")))</f>
        <v/>
      </c>
      <c r="S137">
        <f>IF(OR($B137="",NOT(ISNUMBER(Settings!$C$9))),"",TRIM(SUBSTITUTE(SUBSTITUTE(INDEX('INPUT - Roster'!$S$1:$SV$206,$B137,Settings!$C$9+13)&amp;"",CHAR(10)," "),CHAR(160)," ")))</f>
        <v/>
      </c>
      <c r="T137">
        <f>IF(OR($B137="",NOT(ISNUMBER(Settings!$C$9))),"",TRIM(SUBSTITUTE(SUBSTITUTE(INDEX('INPUT - Roster'!$S$1:$SV$206,$B137,Settings!$C$9+14)&amp;"",CHAR(10)," "),CHAR(160)," ")))</f>
        <v/>
      </c>
      <c r="U137">
        <f>IF(OR($B137="",NOT(ISNUMBER(Settings!$C$9))),"",TRIM(SUBSTITUTE(SUBSTITUTE(INDEX('INPUT - Roster'!$S$1:$SV$206,$B137,Settings!$C$9+15)&amp;"",CHAR(10)," "),CHAR(160)," ")))</f>
        <v/>
      </c>
      <c r="V137">
        <f>IF(OR($B137="",NOT(ISNUMBER(Settings!$C$9))),"",TRIM(SUBSTITUTE(SUBSTITUTE(INDEX('INPUT - Roster'!$S$1:$SV$206,$B137,Settings!$C$9+16)&amp;"",CHAR(10)," "),CHAR(160)," ")))</f>
        <v/>
      </c>
      <c r="W137">
        <f>IF(OR($B137="",NOT(ISNUMBER(Settings!$C$9))),"",TRIM(SUBSTITUTE(SUBSTITUTE(INDEX('INPUT - Roster'!$S$1:$SV$206,$B137,Settings!$C$9+17)&amp;"",CHAR(10)," "),CHAR(160)," ")))</f>
        <v/>
      </c>
      <c r="X137">
        <f>IF(OR($B137="",NOT(ISNUMBER(Settings!$C$9))),"",TRIM(SUBSTITUTE(SUBSTITUTE(INDEX('INPUT - Roster'!$S$1:$SV$206,$B137,Settings!$C$9+18)&amp;"",CHAR(10)," "),CHAR(160)," ")))</f>
        <v/>
      </c>
      <c r="Y137">
        <f>IF(OR($B137="",NOT(ISNUMBER(Settings!$C$9))),"",TRIM(SUBSTITUTE(SUBSTITUTE(INDEX('INPUT - Roster'!$S$1:$SV$206,$B137,Settings!$C$9+19)&amp;"",CHAR(10)," "),CHAR(160)," ")))</f>
        <v/>
      </c>
      <c r="Z137">
        <f>IF(OR($B137="",NOT(ISNUMBER(Settings!$C$9))),"",TRIM(SUBSTITUTE(SUBSTITUTE(INDEX('INPUT - Roster'!$S$1:$SV$206,$B137,Settings!$C$9+20)&amp;"",CHAR(10)," "),CHAR(160)," ")))</f>
        <v/>
      </c>
      <c r="AA137">
        <f>IF(OR($B137="",NOT(ISNUMBER(Settings!$C$9))),"",TRIM(SUBSTITUTE(SUBSTITUTE(INDEX('INPUT - Roster'!$S$1:$SV$206,$B137,Settings!$C$9+21)&amp;"",CHAR(10)," "),CHAR(160)," ")))</f>
        <v/>
      </c>
      <c r="AB137">
        <f>IF(OR($B137="",NOT(ISNUMBER(Settings!$C$9))),"",TRIM(SUBSTITUTE(SUBSTITUTE(INDEX('INPUT - Roster'!$S$1:$SV$206,$B137,Settings!$C$9+22)&amp;"",CHAR(10)," "),CHAR(160)," ")))</f>
        <v/>
      </c>
      <c r="AC137">
        <f>IF(OR($B137="",NOT(ISNUMBER(Settings!$C$9))),"",TRIM(SUBSTITUTE(SUBSTITUTE(INDEX('INPUT - Roster'!$S$1:$SV$206,$B137,Settings!$C$9+23)&amp;"",CHAR(10)," "),CHAR(160)," ")))</f>
        <v/>
      </c>
      <c r="AD137">
        <f>IF(OR($B137="",NOT(ISNUMBER(Settings!$C$9))),"",TRIM(SUBSTITUTE(SUBSTITUTE(INDEX('INPUT - Roster'!$S$1:$SV$206,$B137,Settings!$C$9+24)&amp;"",CHAR(10)," "),CHAR(160)," ")))</f>
        <v/>
      </c>
      <c r="AE137">
        <f>IF(OR($B137="",NOT(ISNUMBER(Settings!$C$9))),"",TRIM(SUBSTITUTE(SUBSTITUTE(INDEX('INPUT - Roster'!$S$1:$SV$206,$B137,Settings!$C$9+25)&amp;"",CHAR(10)," "),CHAR(160)," ")))</f>
        <v/>
      </c>
      <c r="AF137">
        <f>IF(OR($B137="",NOT(ISNUMBER(Settings!$C$9))),"",TRIM(SUBSTITUTE(SUBSTITUTE(INDEX('INPUT - Roster'!$S$1:$SV$206,$B137,Settings!$C$9+26)&amp;"",CHAR(10)," "),CHAR(160)," ")))</f>
        <v/>
      </c>
      <c r="AG137">
        <f>IF(OR($B137="",NOT(ISNUMBER(Settings!$C$9))),"",TRIM(SUBSTITUTE(SUBSTITUTE(INDEX('INPUT - Roster'!$S$1:$SV$206,$B137,Settings!$C$9+27)&amp;"",CHAR(10)," "),CHAR(160)," ")))</f>
        <v/>
      </c>
      <c r="AI137">
        <f>IF($B137="","",IF(F137="","Not rostered",IFERROR(INDEX(Settings!$C$14:$C$33,MATCH(F137,Settings!$B$14:$B$33,0)),IFERROR(LOOKUP(2^15,SEARCH(Settings!$I$14:$I$83,F137)/(Settings!$I$14:$I$83&lt;&gt;""),Settings!$J$14:$J$83),"Other"))))</f>
        <v/>
      </c>
      <c r="AJ137">
        <f>IF($B137="","",IF(G137="","Not rostered",IFERROR(INDEX(Settings!$C$14:$C$33,MATCH(G137,Settings!$B$14:$B$33,0)),IFERROR(LOOKUP(2^15,SEARCH(Settings!$I$14:$I$83,G137)/(Settings!$I$14:$I$83&lt;&gt;""),Settings!$J$14:$J$83),"Other"))))</f>
        <v/>
      </c>
      <c r="AK137">
        <f>IF($B137="","",IF(H137="","Not rostered",IFERROR(INDEX(Settings!$C$14:$C$33,MATCH(H137,Settings!$B$14:$B$33,0)),IFERROR(LOOKUP(2^15,SEARCH(Settings!$I$14:$I$83,H137)/(Settings!$I$14:$I$83&lt;&gt;""),Settings!$J$14:$J$83),"Other"))))</f>
        <v/>
      </c>
      <c r="AL137">
        <f>IF($B137="","",IF(I137="","Not rostered",IFERROR(INDEX(Settings!$C$14:$C$33,MATCH(I137,Settings!$B$14:$B$33,0)),IFERROR(LOOKUP(2^15,SEARCH(Settings!$I$14:$I$83,I137)/(Settings!$I$14:$I$83&lt;&gt;""),Settings!$J$14:$J$83),"Other"))))</f>
        <v/>
      </c>
      <c r="AM137">
        <f>IF($B137="","",IF(J137="","Not rostered",IFERROR(INDEX(Settings!$C$14:$C$33,MATCH(J137,Settings!$B$14:$B$33,0)),IFERROR(LOOKUP(2^15,SEARCH(Settings!$I$14:$I$83,J137)/(Settings!$I$14:$I$83&lt;&gt;""),Settings!$J$14:$J$83),"Other"))))</f>
        <v/>
      </c>
      <c r="AN137">
        <f>IF($B137="","",IF(K137="","Not rostered",IFERROR(INDEX(Settings!$C$14:$C$33,MATCH(K137,Settings!$B$14:$B$33,0)),IFERROR(LOOKUP(2^15,SEARCH(Settings!$I$14:$I$83,K137)/(Settings!$I$14:$I$83&lt;&gt;""),Settings!$J$14:$J$83),"Other"))))</f>
        <v/>
      </c>
      <c r="AO137">
        <f>IF($B137="","",IF(L137="","Not rostered",IFERROR(INDEX(Settings!$C$14:$C$33,MATCH(L137,Settings!$B$14:$B$33,0)),IFERROR(LOOKUP(2^15,SEARCH(Settings!$I$14:$I$83,L137)/(Settings!$I$14:$I$83&lt;&gt;""),Settings!$J$14:$J$83),"Other"))))</f>
        <v/>
      </c>
      <c r="AP137">
        <f>IF($B137="","",IF(M137="","Not rostered",IFERROR(INDEX(Settings!$C$14:$C$33,MATCH(M137,Settings!$B$14:$B$33,0)),IFERROR(LOOKUP(2^15,SEARCH(Settings!$I$14:$I$83,M137)/(Settings!$I$14:$I$83&lt;&gt;""),Settings!$J$14:$J$83),"Other"))))</f>
        <v/>
      </c>
      <c r="AQ137">
        <f>IF($B137="","",IF(N137="","Not rostered",IFERROR(INDEX(Settings!$C$14:$C$33,MATCH(N137,Settings!$B$14:$B$33,0)),IFERROR(LOOKUP(2^15,SEARCH(Settings!$I$14:$I$83,N137)/(Settings!$I$14:$I$83&lt;&gt;""),Settings!$J$14:$J$83),"Other"))))</f>
        <v/>
      </c>
      <c r="AR137">
        <f>IF($B137="","",IF(O137="","Not rostered",IFERROR(INDEX(Settings!$C$14:$C$33,MATCH(O137,Settings!$B$14:$B$33,0)),IFERROR(LOOKUP(2^15,SEARCH(Settings!$I$14:$I$83,O137)/(Settings!$I$14:$I$83&lt;&gt;""),Settings!$J$14:$J$83),"Other"))))</f>
        <v/>
      </c>
      <c r="AS137">
        <f>IF($B137="","",IF(P137="","Not rostered",IFERROR(INDEX(Settings!$C$14:$C$33,MATCH(P137,Settings!$B$14:$B$33,0)),IFERROR(LOOKUP(2^15,SEARCH(Settings!$I$14:$I$83,P137)/(Settings!$I$14:$I$83&lt;&gt;""),Settings!$J$14:$J$83),"Other"))))</f>
        <v/>
      </c>
      <c r="AT137">
        <f>IF($B137="","",IF(Q137="","Not rostered",IFERROR(INDEX(Settings!$C$14:$C$33,MATCH(Q137,Settings!$B$14:$B$33,0)),IFERROR(LOOKUP(2^15,SEARCH(Settings!$I$14:$I$83,Q137)/(Settings!$I$14:$I$83&lt;&gt;""),Settings!$J$14:$J$83),"Other"))))</f>
        <v/>
      </c>
      <c r="AU137">
        <f>IF($B137="","",IF(R137="","Not rostered",IFERROR(INDEX(Settings!$C$14:$C$33,MATCH(R137,Settings!$B$14:$B$33,0)),IFERROR(LOOKUP(2^15,SEARCH(Settings!$I$14:$I$83,R137)/(Settings!$I$14:$I$83&lt;&gt;""),Settings!$J$14:$J$83),"Other"))))</f>
        <v/>
      </c>
      <c r="AV137">
        <f>IF($B137="","",IF(S137="","Not rostered",IFERROR(INDEX(Settings!$C$14:$C$33,MATCH(S137,Settings!$B$14:$B$33,0)),IFERROR(LOOKUP(2^15,SEARCH(Settings!$I$14:$I$83,S137)/(Settings!$I$14:$I$83&lt;&gt;""),Settings!$J$14:$J$83),"Other"))))</f>
        <v/>
      </c>
      <c r="AW137">
        <f>IF($B137="","",IF(T137="","Not rostered",IFERROR(INDEX(Settings!$C$14:$C$33,MATCH(T137,Settings!$B$14:$B$33,0)),IFERROR(LOOKUP(2^15,SEARCH(Settings!$I$14:$I$83,T137)/(Settings!$I$14:$I$83&lt;&gt;""),Settings!$J$14:$J$83),"Other"))))</f>
        <v/>
      </c>
      <c r="AX137">
        <f>IF($B137="","",IF(U137="","Not rostered",IFERROR(INDEX(Settings!$C$14:$C$33,MATCH(U137,Settings!$B$14:$B$33,0)),IFERROR(LOOKUP(2^15,SEARCH(Settings!$I$14:$I$83,U137)/(Settings!$I$14:$I$83&lt;&gt;""),Settings!$J$14:$J$83),"Other"))))</f>
        <v/>
      </c>
      <c r="AY137">
        <f>IF($B137="","",IF(V137="","Not rostered",IFERROR(INDEX(Settings!$C$14:$C$33,MATCH(V137,Settings!$B$14:$B$33,0)),IFERROR(LOOKUP(2^15,SEARCH(Settings!$I$14:$I$83,V137)/(Settings!$I$14:$I$83&lt;&gt;""),Settings!$J$14:$J$83),"Other"))))</f>
        <v/>
      </c>
      <c r="AZ137">
        <f>IF($B137="","",IF(W137="","Not rostered",IFERROR(INDEX(Settings!$C$14:$C$33,MATCH(W137,Settings!$B$14:$B$33,0)),IFERROR(LOOKUP(2^15,SEARCH(Settings!$I$14:$I$83,W137)/(Settings!$I$14:$I$83&lt;&gt;""),Settings!$J$14:$J$83),"Other"))))</f>
        <v/>
      </c>
      <c r="BA137">
        <f>IF($B137="","",IF(X137="","Not rostered",IFERROR(INDEX(Settings!$C$14:$C$33,MATCH(X137,Settings!$B$14:$B$33,0)),IFERROR(LOOKUP(2^15,SEARCH(Settings!$I$14:$I$83,X137)/(Settings!$I$14:$I$83&lt;&gt;""),Settings!$J$14:$J$83),"Other"))))</f>
        <v/>
      </c>
      <c r="BB137">
        <f>IF($B137="","",IF(Y137="","Not rostered",IFERROR(INDEX(Settings!$C$14:$C$33,MATCH(Y137,Settings!$B$14:$B$33,0)),IFERROR(LOOKUP(2^15,SEARCH(Settings!$I$14:$I$83,Y137)/(Settings!$I$14:$I$83&lt;&gt;""),Settings!$J$14:$J$83),"Other"))))</f>
        <v/>
      </c>
      <c r="BC137">
        <f>IF($B137="","",IF(Z137="","Not rostered",IFERROR(INDEX(Settings!$C$14:$C$33,MATCH(Z137,Settings!$B$14:$B$33,0)),IFERROR(LOOKUP(2^15,SEARCH(Settings!$I$14:$I$83,Z137)/(Settings!$I$14:$I$83&lt;&gt;""),Settings!$J$14:$J$83),"Other"))))</f>
        <v/>
      </c>
      <c r="BD137">
        <f>IF($B137="","",IF(AA137="","Not rostered",IFERROR(INDEX(Settings!$C$14:$C$33,MATCH(AA137,Settings!$B$14:$B$33,0)),IFERROR(LOOKUP(2^15,SEARCH(Settings!$I$14:$I$83,AA137)/(Settings!$I$14:$I$83&lt;&gt;""),Settings!$J$14:$J$83),"Other"))))</f>
        <v/>
      </c>
      <c r="BE137">
        <f>IF($B137="","",IF(AB137="","Not rostered",IFERROR(INDEX(Settings!$C$14:$C$33,MATCH(AB137,Settings!$B$14:$B$33,0)),IFERROR(LOOKUP(2^15,SEARCH(Settings!$I$14:$I$83,AB137)/(Settings!$I$14:$I$83&lt;&gt;""),Settings!$J$14:$J$83),"Other"))))</f>
        <v/>
      </c>
      <c r="BF137">
        <f>IF($B137="","",IF(AC137="","Not rostered",IFERROR(INDEX(Settings!$C$14:$C$33,MATCH(AC137,Settings!$B$14:$B$33,0)),IFERROR(LOOKUP(2^15,SEARCH(Settings!$I$14:$I$83,AC137)/(Settings!$I$14:$I$83&lt;&gt;""),Settings!$J$14:$J$83),"Other"))))</f>
        <v/>
      </c>
      <c r="BG137">
        <f>IF($B137="","",IF(AD137="","Not rostered",IFERROR(INDEX(Settings!$C$14:$C$33,MATCH(AD137,Settings!$B$14:$B$33,0)),IFERROR(LOOKUP(2^15,SEARCH(Settings!$I$14:$I$83,AD137)/(Settings!$I$14:$I$83&lt;&gt;""),Settings!$J$14:$J$83),"Other"))))</f>
        <v/>
      </c>
      <c r="BH137">
        <f>IF($B137="","",IF(AE137="","Not rostered",IFERROR(INDEX(Settings!$C$14:$C$33,MATCH(AE137,Settings!$B$14:$B$33,0)),IFERROR(LOOKUP(2^15,SEARCH(Settings!$I$14:$I$83,AE137)/(Settings!$I$14:$I$83&lt;&gt;""),Settings!$J$14:$J$83),"Other"))))</f>
        <v/>
      </c>
      <c r="BI137">
        <f>IF($B137="","",IF(AF137="","Not rostered",IFERROR(INDEX(Settings!$C$14:$C$33,MATCH(AF137,Settings!$B$14:$B$33,0)),IFERROR(LOOKUP(2^15,SEARCH(Settings!$I$14:$I$83,AF137)/(Settings!$I$14:$I$83&lt;&gt;""),Settings!$J$14:$J$83),"Other"))))</f>
        <v/>
      </c>
      <c r="BJ137">
        <f>IF($B137="","",IF(AG137="","Not rostered",IFERROR(INDEX(Settings!$C$14:$C$33,MATCH(AG137,Settings!$B$14:$B$33,0)),IFERROR(LOOKUP(2^15,SEARCH(Settings!$I$14:$I$83,AG137)/(Settings!$I$14:$I$83&lt;&gt;""),Settings!$J$14:$J$83),"Other"))))</f>
        <v/>
      </c>
      <c r="BL137">
        <f>IF(OR($B137="",F137=""),"",IFERROR(INDEX(Settings!$D$14:$D$33,MATCH(F137,Settings!$B$14:$B$33,0))&amp;"",IFERROR(LOOKUP(2^15,SEARCH(Settings!$F$14:$F$43,F137)/(Settings!$F$14:$F$43&lt;&gt;""),Settings!$G$14:$G$43),"")))</f>
        <v/>
      </c>
      <c r="BM137">
        <f>IF(OR($B137="",G137=""),"",IFERROR(INDEX(Settings!$D$14:$D$33,MATCH(G137,Settings!$B$14:$B$33,0))&amp;"",IFERROR(LOOKUP(2^15,SEARCH(Settings!$F$14:$F$43,G137)/(Settings!$F$14:$F$43&lt;&gt;""),Settings!$G$14:$G$43),"")))</f>
        <v/>
      </c>
      <c r="BN137">
        <f>IF(OR($B137="",H137=""),"",IFERROR(INDEX(Settings!$D$14:$D$33,MATCH(H137,Settings!$B$14:$B$33,0))&amp;"",IFERROR(LOOKUP(2^15,SEARCH(Settings!$F$14:$F$43,H137)/(Settings!$F$14:$F$43&lt;&gt;""),Settings!$G$14:$G$43),"")))</f>
        <v/>
      </c>
      <c r="BO137">
        <f>IF(OR($B137="",I137=""),"",IFERROR(INDEX(Settings!$D$14:$D$33,MATCH(I137,Settings!$B$14:$B$33,0))&amp;"",IFERROR(LOOKUP(2^15,SEARCH(Settings!$F$14:$F$43,I137)/(Settings!$F$14:$F$43&lt;&gt;""),Settings!$G$14:$G$43),"")))</f>
        <v/>
      </c>
      <c r="BP137">
        <f>IF(OR($B137="",J137=""),"",IFERROR(INDEX(Settings!$D$14:$D$33,MATCH(J137,Settings!$B$14:$B$33,0))&amp;"",IFERROR(LOOKUP(2^15,SEARCH(Settings!$F$14:$F$43,J137)/(Settings!$F$14:$F$43&lt;&gt;""),Settings!$G$14:$G$43),"")))</f>
        <v/>
      </c>
      <c r="BQ137">
        <f>IF(OR($B137="",K137=""),"",IFERROR(INDEX(Settings!$D$14:$D$33,MATCH(K137,Settings!$B$14:$B$33,0))&amp;"",IFERROR(LOOKUP(2^15,SEARCH(Settings!$F$14:$F$43,K137)/(Settings!$F$14:$F$43&lt;&gt;""),Settings!$G$14:$G$43),"")))</f>
        <v/>
      </c>
      <c r="BR137">
        <f>IF(OR($B137="",L137=""),"",IFERROR(INDEX(Settings!$D$14:$D$33,MATCH(L137,Settings!$B$14:$B$33,0))&amp;"",IFERROR(LOOKUP(2^15,SEARCH(Settings!$F$14:$F$43,L137)/(Settings!$F$14:$F$43&lt;&gt;""),Settings!$G$14:$G$43),"")))</f>
        <v/>
      </c>
      <c r="BS137">
        <f>IF(OR($B137="",M137=""),"",IFERROR(INDEX(Settings!$D$14:$D$33,MATCH(M137,Settings!$B$14:$B$33,0))&amp;"",IFERROR(LOOKUP(2^15,SEARCH(Settings!$F$14:$F$43,M137)/(Settings!$F$14:$F$43&lt;&gt;""),Settings!$G$14:$G$43),"")))</f>
        <v/>
      </c>
      <c r="BT137">
        <f>IF(OR($B137="",N137=""),"",IFERROR(INDEX(Settings!$D$14:$D$33,MATCH(N137,Settings!$B$14:$B$33,0))&amp;"",IFERROR(LOOKUP(2^15,SEARCH(Settings!$F$14:$F$43,N137)/(Settings!$F$14:$F$43&lt;&gt;""),Settings!$G$14:$G$43),"")))</f>
        <v/>
      </c>
      <c r="BU137">
        <f>IF(OR($B137="",O137=""),"",IFERROR(INDEX(Settings!$D$14:$D$33,MATCH(O137,Settings!$B$14:$B$33,0))&amp;"",IFERROR(LOOKUP(2^15,SEARCH(Settings!$F$14:$F$43,O137)/(Settings!$F$14:$F$43&lt;&gt;""),Settings!$G$14:$G$43),"")))</f>
        <v/>
      </c>
      <c r="BV137">
        <f>IF(OR($B137="",P137=""),"",IFERROR(INDEX(Settings!$D$14:$D$33,MATCH(P137,Settings!$B$14:$B$33,0))&amp;"",IFERROR(LOOKUP(2^15,SEARCH(Settings!$F$14:$F$43,P137)/(Settings!$F$14:$F$43&lt;&gt;""),Settings!$G$14:$G$43),"")))</f>
        <v/>
      </c>
      <c r="BW137">
        <f>IF(OR($B137="",Q137=""),"",IFERROR(INDEX(Settings!$D$14:$D$33,MATCH(Q137,Settings!$B$14:$B$33,0))&amp;"",IFERROR(LOOKUP(2^15,SEARCH(Settings!$F$14:$F$43,Q137)/(Settings!$F$14:$F$43&lt;&gt;""),Settings!$G$14:$G$43),"")))</f>
        <v/>
      </c>
      <c r="BX137">
        <f>IF(OR($B137="",R137=""),"",IFERROR(INDEX(Settings!$D$14:$D$33,MATCH(R137,Settings!$B$14:$B$33,0))&amp;"",IFERROR(LOOKUP(2^15,SEARCH(Settings!$F$14:$F$43,R137)/(Settings!$F$14:$F$43&lt;&gt;""),Settings!$G$14:$G$43),"")))</f>
        <v/>
      </c>
      <c r="BY137">
        <f>IF(OR($B137="",S137=""),"",IFERROR(INDEX(Settings!$D$14:$D$33,MATCH(S137,Settings!$B$14:$B$33,0))&amp;"",IFERROR(LOOKUP(2^15,SEARCH(Settings!$F$14:$F$43,S137)/(Settings!$F$14:$F$43&lt;&gt;""),Settings!$G$14:$G$43),"")))</f>
        <v/>
      </c>
      <c r="BZ137">
        <f>IF(OR($B137="",T137=""),"",IFERROR(INDEX(Settings!$D$14:$D$33,MATCH(T137,Settings!$B$14:$B$33,0))&amp;"",IFERROR(LOOKUP(2^15,SEARCH(Settings!$F$14:$F$43,T137)/(Settings!$F$14:$F$43&lt;&gt;""),Settings!$G$14:$G$43),"")))</f>
        <v/>
      </c>
      <c r="CA137">
        <f>IF(OR($B137="",U137=""),"",IFERROR(INDEX(Settings!$D$14:$D$33,MATCH(U137,Settings!$B$14:$B$33,0))&amp;"",IFERROR(LOOKUP(2^15,SEARCH(Settings!$F$14:$F$43,U137)/(Settings!$F$14:$F$43&lt;&gt;""),Settings!$G$14:$G$43),"")))</f>
        <v/>
      </c>
      <c r="CB137">
        <f>IF(OR($B137="",V137=""),"",IFERROR(INDEX(Settings!$D$14:$D$33,MATCH(V137,Settings!$B$14:$B$33,0))&amp;"",IFERROR(LOOKUP(2^15,SEARCH(Settings!$F$14:$F$43,V137)/(Settings!$F$14:$F$43&lt;&gt;""),Settings!$G$14:$G$43),"")))</f>
        <v/>
      </c>
      <c r="CC137">
        <f>IF(OR($B137="",W137=""),"",IFERROR(INDEX(Settings!$D$14:$D$33,MATCH(W137,Settings!$B$14:$B$33,0))&amp;"",IFERROR(LOOKUP(2^15,SEARCH(Settings!$F$14:$F$43,W137)/(Settings!$F$14:$F$43&lt;&gt;""),Settings!$G$14:$G$43),"")))</f>
        <v/>
      </c>
      <c r="CD137">
        <f>IF(OR($B137="",X137=""),"",IFERROR(INDEX(Settings!$D$14:$D$33,MATCH(X137,Settings!$B$14:$B$33,0))&amp;"",IFERROR(LOOKUP(2^15,SEARCH(Settings!$F$14:$F$43,X137)/(Settings!$F$14:$F$43&lt;&gt;""),Settings!$G$14:$G$43),"")))</f>
        <v/>
      </c>
      <c r="CE137">
        <f>IF(OR($B137="",Y137=""),"",IFERROR(INDEX(Settings!$D$14:$D$33,MATCH(Y137,Settings!$B$14:$B$33,0))&amp;"",IFERROR(LOOKUP(2^15,SEARCH(Settings!$F$14:$F$43,Y137)/(Settings!$F$14:$F$43&lt;&gt;""),Settings!$G$14:$G$43),"")))</f>
        <v/>
      </c>
      <c r="CF137">
        <f>IF(OR($B137="",Z137=""),"",IFERROR(INDEX(Settings!$D$14:$D$33,MATCH(Z137,Settings!$B$14:$B$33,0))&amp;"",IFERROR(LOOKUP(2^15,SEARCH(Settings!$F$14:$F$43,Z137)/(Settings!$F$14:$F$43&lt;&gt;""),Settings!$G$14:$G$43),"")))</f>
        <v/>
      </c>
      <c r="CG137">
        <f>IF(OR($B137="",AA137=""),"",IFERROR(INDEX(Settings!$D$14:$D$33,MATCH(AA137,Settings!$B$14:$B$33,0))&amp;"",IFERROR(LOOKUP(2^15,SEARCH(Settings!$F$14:$F$43,AA137)/(Settings!$F$14:$F$43&lt;&gt;""),Settings!$G$14:$G$43),"")))</f>
        <v/>
      </c>
      <c r="CH137">
        <f>IF(OR($B137="",AB137=""),"",IFERROR(INDEX(Settings!$D$14:$D$33,MATCH(AB137,Settings!$B$14:$B$33,0))&amp;"",IFERROR(LOOKUP(2^15,SEARCH(Settings!$F$14:$F$43,AB137)/(Settings!$F$14:$F$43&lt;&gt;""),Settings!$G$14:$G$43),"")))</f>
        <v/>
      </c>
      <c r="CI137">
        <f>IF(OR($B137="",AC137=""),"",IFERROR(INDEX(Settings!$D$14:$D$33,MATCH(AC137,Settings!$B$14:$B$33,0))&amp;"",IFERROR(LOOKUP(2^15,SEARCH(Settings!$F$14:$F$43,AC137)/(Settings!$F$14:$F$43&lt;&gt;""),Settings!$G$14:$G$43),"")))</f>
        <v/>
      </c>
      <c r="CJ137">
        <f>IF(OR($B137="",AD137=""),"",IFERROR(INDEX(Settings!$D$14:$D$33,MATCH(AD137,Settings!$B$14:$B$33,0))&amp;"",IFERROR(LOOKUP(2^15,SEARCH(Settings!$F$14:$F$43,AD137)/(Settings!$F$14:$F$43&lt;&gt;""),Settings!$G$14:$G$43),"")))</f>
        <v/>
      </c>
      <c r="CK137">
        <f>IF(OR($B137="",AE137=""),"",IFERROR(INDEX(Settings!$D$14:$D$33,MATCH(AE137,Settings!$B$14:$B$33,0))&amp;"",IFERROR(LOOKUP(2^15,SEARCH(Settings!$F$14:$F$43,AE137)/(Settings!$F$14:$F$43&lt;&gt;""),Settings!$G$14:$G$43),"")))</f>
        <v/>
      </c>
      <c r="CL137">
        <f>IF(OR($B137="",AF137=""),"",IFERROR(INDEX(Settings!$D$14:$D$33,MATCH(AF137,Settings!$B$14:$B$33,0))&amp;"",IFERROR(LOOKUP(2^15,SEARCH(Settings!$F$14:$F$43,AF137)/(Settings!$F$14:$F$43&lt;&gt;""),Settings!$G$14:$G$43),"")))</f>
        <v/>
      </c>
      <c r="CM137">
        <f>IF(OR($B137="",AG137=""),"",IFERROR(INDEX(Settings!$D$14:$D$33,MATCH(AG137,Settings!$B$14:$B$33,0))&amp;"",IFERROR(LOOKUP(2^15,SEARCH(Settings!$F$14:$F$43,AG137)/(Settings!$F$14:$F$43&lt;&gt;""),Settings!$G$14:$G$43),"")))</f>
        <v/>
      </c>
    </row>
    <row r="138">
      <c r="A138" t="n">
        <v>136</v>
      </c>
      <c r="B138">
        <f>IFERROR(INDEX(Index!$A$2:$A$202,MATCH(A138,Index!$E$2:$E$202,0)),"")</f>
        <v/>
      </c>
      <c r="D138">
        <f>IF($B138="","",IFERROR(MATCH("Travel*",AI138:BJ138,0),""))</f>
        <v/>
      </c>
      <c r="F138">
        <f>IF(OR($B138="",NOT(ISNUMBER(Settings!$C$9))),"",TRIM(SUBSTITUTE(SUBSTITUTE(INDEX('INPUT - Roster'!$S$1:$SV$206,$B138,Settings!$C$9+0)&amp;"",CHAR(10)," "),CHAR(160)," ")))</f>
        <v/>
      </c>
      <c r="G138">
        <f>IF(OR($B138="",NOT(ISNUMBER(Settings!$C$9))),"",TRIM(SUBSTITUTE(SUBSTITUTE(INDEX('INPUT - Roster'!$S$1:$SV$206,$B138,Settings!$C$9+1)&amp;"",CHAR(10)," "),CHAR(160)," ")))</f>
        <v/>
      </c>
      <c r="H138">
        <f>IF(OR($B138="",NOT(ISNUMBER(Settings!$C$9))),"",TRIM(SUBSTITUTE(SUBSTITUTE(INDEX('INPUT - Roster'!$S$1:$SV$206,$B138,Settings!$C$9+2)&amp;"",CHAR(10)," "),CHAR(160)," ")))</f>
        <v/>
      </c>
      <c r="I138">
        <f>IF(OR($B138="",NOT(ISNUMBER(Settings!$C$9))),"",TRIM(SUBSTITUTE(SUBSTITUTE(INDEX('INPUT - Roster'!$S$1:$SV$206,$B138,Settings!$C$9+3)&amp;"",CHAR(10)," "),CHAR(160)," ")))</f>
        <v/>
      </c>
      <c r="J138">
        <f>IF(OR($B138="",NOT(ISNUMBER(Settings!$C$9))),"",TRIM(SUBSTITUTE(SUBSTITUTE(INDEX('INPUT - Roster'!$S$1:$SV$206,$B138,Settings!$C$9+4)&amp;"",CHAR(10)," "),CHAR(160)," ")))</f>
        <v/>
      </c>
      <c r="K138">
        <f>IF(OR($B138="",NOT(ISNUMBER(Settings!$C$9))),"",TRIM(SUBSTITUTE(SUBSTITUTE(INDEX('INPUT - Roster'!$S$1:$SV$206,$B138,Settings!$C$9+5)&amp;"",CHAR(10)," "),CHAR(160)," ")))</f>
        <v/>
      </c>
      <c r="L138">
        <f>IF(OR($B138="",NOT(ISNUMBER(Settings!$C$9))),"",TRIM(SUBSTITUTE(SUBSTITUTE(INDEX('INPUT - Roster'!$S$1:$SV$206,$B138,Settings!$C$9+6)&amp;"",CHAR(10)," "),CHAR(160)," ")))</f>
        <v/>
      </c>
      <c r="M138">
        <f>IF(OR($B138="",NOT(ISNUMBER(Settings!$C$9))),"",TRIM(SUBSTITUTE(SUBSTITUTE(INDEX('INPUT - Roster'!$S$1:$SV$206,$B138,Settings!$C$9+7)&amp;"",CHAR(10)," "),CHAR(160)," ")))</f>
        <v/>
      </c>
      <c r="N138">
        <f>IF(OR($B138="",NOT(ISNUMBER(Settings!$C$9))),"",TRIM(SUBSTITUTE(SUBSTITUTE(INDEX('INPUT - Roster'!$S$1:$SV$206,$B138,Settings!$C$9+8)&amp;"",CHAR(10)," "),CHAR(160)," ")))</f>
        <v/>
      </c>
      <c r="O138">
        <f>IF(OR($B138="",NOT(ISNUMBER(Settings!$C$9))),"",TRIM(SUBSTITUTE(SUBSTITUTE(INDEX('INPUT - Roster'!$S$1:$SV$206,$B138,Settings!$C$9+9)&amp;"",CHAR(10)," "),CHAR(160)," ")))</f>
        <v/>
      </c>
      <c r="P138">
        <f>IF(OR($B138="",NOT(ISNUMBER(Settings!$C$9))),"",TRIM(SUBSTITUTE(SUBSTITUTE(INDEX('INPUT - Roster'!$S$1:$SV$206,$B138,Settings!$C$9+10)&amp;"",CHAR(10)," "),CHAR(160)," ")))</f>
        <v/>
      </c>
      <c r="Q138">
        <f>IF(OR($B138="",NOT(ISNUMBER(Settings!$C$9))),"",TRIM(SUBSTITUTE(SUBSTITUTE(INDEX('INPUT - Roster'!$S$1:$SV$206,$B138,Settings!$C$9+11)&amp;"",CHAR(10)," "),CHAR(160)," ")))</f>
        <v/>
      </c>
      <c r="R138">
        <f>IF(OR($B138="",NOT(ISNUMBER(Settings!$C$9))),"",TRIM(SUBSTITUTE(SUBSTITUTE(INDEX('INPUT - Roster'!$S$1:$SV$206,$B138,Settings!$C$9+12)&amp;"",CHAR(10)," "),CHAR(160)," ")))</f>
        <v/>
      </c>
      <c r="S138">
        <f>IF(OR($B138="",NOT(ISNUMBER(Settings!$C$9))),"",TRIM(SUBSTITUTE(SUBSTITUTE(INDEX('INPUT - Roster'!$S$1:$SV$206,$B138,Settings!$C$9+13)&amp;"",CHAR(10)," "),CHAR(160)," ")))</f>
        <v/>
      </c>
      <c r="T138">
        <f>IF(OR($B138="",NOT(ISNUMBER(Settings!$C$9))),"",TRIM(SUBSTITUTE(SUBSTITUTE(INDEX('INPUT - Roster'!$S$1:$SV$206,$B138,Settings!$C$9+14)&amp;"",CHAR(10)," "),CHAR(160)," ")))</f>
        <v/>
      </c>
      <c r="U138">
        <f>IF(OR($B138="",NOT(ISNUMBER(Settings!$C$9))),"",TRIM(SUBSTITUTE(SUBSTITUTE(INDEX('INPUT - Roster'!$S$1:$SV$206,$B138,Settings!$C$9+15)&amp;"",CHAR(10)," "),CHAR(160)," ")))</f>
        <v/>
      </c>
      <c r="V138">
        <f>IF(OR($B138="",NOT(ISNUMBER(Settings!$C$9))),"",TRIM(SUBSTITUTE(SUBSTITUTE(INDEX('INPUT - Roster'!$S$1:$SV$206,$B138,Settings!$C$9+16)&amp;"",CHAR(10)," "),CHAR(160)," ")))</f>
        <v/>
      </c>
      <c r="W138">
        <f>IF(OR($B138="",NOT(ISNUMBER(Settings!$C$9))),"",TRIM(SUBSTITUTE(SUBSTITUTE(INDEX('INPUT - Roster'!$S$1:$SV$206,$B138,Settings!$C$9+17)&amp;"",CHAR(10)," "),CHAR(160)," ")))</f>
        <v/>
      </c>
      <c r="X138">
        <f>IF(OR($B138="",NOT(ISNUMBER(Settings!$C$9))),"",TRIM(SUBSTITUTE(SUBSTITUTE(INDEX('INPUT - Roster'!$S$1:$SV$206,$B138,Settings!$C$9+18)&amp;"",CHAR(10)," "),CHAR(160)," ")))</f>
        <v/>
      </c>
      <c r="Y138">
        <f>IF(OR($B138="",NOT(ISNUMBER(Settings!$C$9))),"",TRIM(SUBSTITUTE(SUBSTITUTE(INDEX('INPUT - Roster'!$S$1:$SV$206,$B138,Settings!$C$9+19)&amp;"",CHAR(10)," "),CHAR(160)," ")))</f>
        <v/>
      </c>
      <c r="Z138">
        <f>IF(OR($B138="",NOT(ISNUMBER(Settings!$C$9))),"",TRIM(SUBSTITUTE(SUBSTITUTE(INDEX('INPUT - Roster'!$S$1:$SV$206,$B138,Settings!$C$9+20)&amp;"",CHAR(10)," "),CHAR(160)," ")))</f>
        <v/>
      </c>
      <c r="AA138">
        <f>IF(OR($B138="",NOT(ISNUMBER(Settings!$C$9))),"",TRIM(SUBSTITUTE(SUBSTITUTE(INDEX('INPUT - Roster'!$S$1:$SV$206,$B138,Settings!$C$9+21)&amp;"",CHAR(10)," "),CHAR(160)," ")))</f>
        <v/>
      </c>
      <c r="AB138">
        <f>IF(OR($B138="",NOT(ISNUMBER(Settings!$C$9))),"",TRIM(SUBSTITUTE(SUBSTITUTE(INDEX('INPUT - Roster'!$S$1:$SV$206,$B138,Settings!$C$9+22)&amp;"",CHAR(10)," "),CHAR(160)," ")))</f>
        <v/>
      </c>
      <c r="AC138">
        <f>IF(OR($B138="",NOT(ISNUMBER(Settings!$C$9))),"",TRIM(SUBSTITUTE(SUBSTITUTE(INDEX('INPUT - Roster'!$S$1:$SV$206,$B138,Settings!$C$9+23)&amp;"",CHAR(10)," "),CHAR(160)," ")))</f>
        <v/>
      </c>
      <c r="AD138">
        <f>IF(OR($B138="",NOT(ISNUMBER(Settings!$C$9))),"",TRIM(SUBSTITUTE(SUBSTITUTE(INDEX('INPUT - Roster'!$S$1:$SV$206,$B138,Settings!$C$9+24)&amp;"",CHAR(10)," "),CHAR(160)," ")))</f>
        <v/>
      </c>
      <c r="AE138">
        <f>IF(OR($B138="",NOT(ISNUMBER(Settings!$C$9))),"",TRIM(SUBSTITUTE(SUBSTITUTE(INDEX('INPUT - Roster'!$S$1:$SV$206,$B138,Settings!$C$9+25)&amp;"",CHAR(10)," "),CHAR(160)," ")))</f>
        <v/>
      </c>
      <c r="AF138">
        <f>IF(OR($B138="",NOT(ISNUMBER(Settings!$C$9))),"",TRIM(SUBSTITUTE(SUBSTITUTE(INDEX('INPUT - Roster'!$S$1:$SV$206,$B138,Settings!$C$9+26)&amp;"",CHAR(10)," "),CHAR(160)," ")))</f>
        <v/>
      </c>
      <c r="AG138">
        <f>IF(OR($B138="",NOT(ISNUMBER(Settings!$C$9))),"",TRIM(SUBSTITUTE(SUBSTITUTE(INDEX('INPUT - Roster'!$S$1:$SV$206,$B138,Settings!$C$9+27)&amp;"",CHAR(10)," "),CHAR(160)," ")))</f>
        <v/>
      </c>
      <c r="AI138">
        <f>IF($B138="","",IF(F138="","Not rostered",IFERROR(INDEX(Settings!$C$14:$C$33,MATCH(F138,Settings!$B$14:$B$33,0)),IFERROR(LOOKUP(2^15,SEARCH(Settings!$I$14:$I$83,F138)/(Settings!$I$14:$I$83&lt;&gt;""),Settings!$J$14:$J$83),"Other"))))</f>
        <v/>
      </c>
      <c r="AJ138">
        <f>IF($B138="","",IF(G138="","Not rostered",IFERROR(INDEX(Settings!$C$14:$C$33,MATCH(G138,Settings!$B$14:$B$33,0)),IFERROR(LOOKUP(2^15,SEARCH(Settings!$I$14:$I$83,G138)/(Settings!$I$14:$I$83&lt;&gt;""),Settings!$J$14:$J$83),"Other"))))</f>
        <v/>
      </c>
      <c r="AK138">
        <f>IF($B138="","",IF(H138="","Not rostered",IFERROR(INDEX(Settings!$C$14:$C$33,MATCH(H138,Settings!$B$14:$B$33,0)),IFERROR(LOOKUP(2^15,SEARCH(Settings!$I$14:$I$83,H138)/(Settings!$I$14:$I$83&lt;&gt;""),Settings!$J$14:$J$83),"Other"))))</f>
        <v/>
      </c>
      <c r="AL138">
        <f>IF($B138="","",IF(I138="","Not rostered",IFERROR(INDEX(Settings!$C$14:$C$33,MATCH(I138,Settings!$B$14:$B$33,0)),IFERROR(LOOKUP(2^15,SEARCH(Settings!$I$14:$I$83,I138)/(Settings!$I$14:$I$83&lt;&gt;""),Settings!$J$14:$J$83),"Other"))))</f>
        <v/>
      </c>
      <c r="AM138">
        <f>IF($B138="","",IF(J138="","Not rostered",IFERROR(INDEX(Settings!$C$14:$C$33,MATCH(J138,Settings!$B$14:$B$33,0)),IFERROR(LOOKUP(2^15,SEARCH(Settings!$I$14:$I$83,J138)/(Settings!$I$14:$I$83&lt;&gt;""),Settings!$J$14:$J$83),"Other"))))</f>
        <v/>
      </c>
      <c r="AN138">
        <f>IF($B138="","",IF(K138="","Not rostered",IFERROR(INDEX(Settings!$C$14:$C$33,MATCH(K138,Settings!$B$14:$B$33,0)),IFERROR(LOOKUP(2^15,SEARCH(Settings!$I$14:$I$83,K138)/(Settings!$I$14:$I$83&lt;&gt;""),Settings!$J$14:$J$83),"Other"))))</f>
        <v/>
      </c>
      <c r="AO138">
        <f>IF($B138="","",IF(L138="","Not rostered",IFERROR(INDEX(Settings!$C$14:$C$33,MATCH(L138,Settings!$B$14:$B$33,0)),IFERROR(LOOKUP(2^15,SEARCH(Settings!$I$14:$I$83,L138)/(Settings!$I$14:$I$83&lt;&gt;""),Settings!$J$14:$J$83),"Other"))))</f>
        <v/>
      </c>
      <c r="AP138">
        <f>IF($B138="","",IF(M138="","Not rostered",IFERROR(INDEX(Settings!$C$14:$C$33,MATCH(M138,Settings!$B$14:$B$33,0)),IFERROR(LOOKUP(2^15,SEARCH(Settings!$I$14:$I$83,M138)/(Settings!$I$14:$I$83&lt;&gt;""),Settings!$J$14:$J$83),"Other"))))</f>
        <v/>
      </c>
      <c r="AQ138">
        <f>IF($B138="","",IF(N138="","Not rostered",IFERROR(INDEX(Settings!$C$14:$C$33,MATCH(N138,Settings!$B$14:$B$33,0)),IFERROR(LOOKUP(2^15,SEARCH(Settings!$I$14:$I$83,N138)/(Settings!$I$14:$I$83&lt;&gt;""),Settings!$J$14:$J$83),"Other"))))</f>
        <v/>
      </c>
      <c r="AR138">
        <f>IF($B138="","",IF(O138="","Not rostered",IFERROR(INDEX(Settings!$C$14:$C$33,MATCH(O138,Settings!$B$14:$B$33,0)),IFERROR(LOOKUP(2^15,SEARCH(Settings!$I$14:$I$83,O138)/(Settings!$I$14:$I$83&lt;&gt;""),Settings!$J$14:$J$83),"Other"))))</f>
        <v/>
      </c>
      <c r="AS138">
        <f>IF($B138="","",IF(P138="","Not rostered",IFERROR(INDEX(Settings!$C$14:$C$33,MATCH(P138,Settings!$B$14:$B$33,0)),IFERROR(LOOKUP(2^15,SEARCH(Settings!$I$14:$I$83,P138)/(Settings!$I$14:$I$83&lt;&gt;""),Settings!$J$14:$J$83),"Other"))))</f>
        <v/>
      </c>
      <c r="AT138">
        <f>IF($B138="","",IF(Q138="","Not rostered",IFERROR(INDEX(Settings!$C$14:$C$33,MATCH(Q138,Settings!$B$14:$B$33,0)),IFERROR(LOOKUP(2^15,SEARCH(Settings!$I$14:$I$83,Q138)/(Settings!$I$14:$I$83&lt;&gt;""),Settings!$J$14:$J$83),"Other"))))</f>
        <v/>
      </c>
      <c r="AU138">
        <f>IF($B138="","",IF(R138="","Not rostered",IFERROR(INDEX(Settings!$C$14:$C$33,MATCH(R138,Settings!$B$14:$B$33,0)),IFERROR(LOOKUP(2^15,SEARCH(Settings!$I$14:$I$83,R138)/(Settings!$I$14:$I$83&lt;&gt;""),Settings!$J$14:$J$83),"Other"))))</f>
        <v/>
      </c>
      <c r="AV138">
        <f>IF($B138="","",IF(S138="","Not rostered",IFERROR(INDEX(Settings!$C$14:$C$33,MATCH(S138,Settings!$B$14:$B$33,0)),IFERROR(LOOKUP(2^15,SEARCH(Settings!$I$14:$I$83,S138)/(Settings!$I$14:$I$83&lt;&gt;""),Settings!$J$14:$J$83),"Other"))))</f>
        <v/>
      </c>
      <c r="AW138">
        <f>IF($B138="","",IF(T138="","Not rostered",IFERROR(INDEX(Settings!$C$14:$C$33,MATCH(T138,Settings!$B$14:$B$33,0)),IFERROR(LOOKUP(2^15,SEARCH(Settings!$I$14:$I$83,T138)/(Settings!$I$14:$I$83&lt;&gt;""),Settings!$J$14:$J$83),"Other"))))</f>
        <v/>
      </c>
      <c r="AX138">
        <f>IF($B138="","",IF(U138="","Not rostered",IFERROR(INDEX(Settings!$C$14:$C$33,MATCH(U138,Settings!$B$14:$B$33,0)),IFERROR(LOOKUP(2^15,SEARCH(Settings!$I$14:$I$83,U138)/(Settings!$I$14:$I$83&lt;&gt;""),Settings!$J$14:$J$83),"Other"))))</f>
        <v/>
      </c>
      <c r="AY138">
        <f>IF($B138="","",IF(V138="","Not rostered",IFERROR(INDEX(Settings!$C$14:$C$33,MATCH(V138,Settings!$B$14:$B$33,0)),IFERROR(LOOKUP(2^15,SEARCH(Settings!$I$14:$I$83,V138)/(Settings!$I$14:$I$83&lt;&gt;""),Settings!$J$14:$J$83),"Other"))))</f>
        <v/>
      </c>
      <c r="AZ138">
        <f>IF($B138="","",IF(W138="","Not rostered",IFERROR(INDEX(Settings!$C$14:$C$33,MATCH(W138,Settings!$B$14:$B$33,0)),IFERROR(LOOKUP(2^15,SEARCH(Settings!$I$14:$I$83,W138)/(Settings!$I$14:$I$83&lt;&gt;""),Settings!$J$14:$J$83),"Other"))))</f>
        <v/>
      </c>
      <c r="BA138">
        <f>IF($B138="","",IF(X138="","Not rostered",IFERROR(INDEX(Settings!$C$14:$C$33,MATCH(X138,Settings!$B$14:$B$33,0)),IFERROR(LOOKUP(2^15,SEARCH(Settings!$I$14:$I$83,X138)/(Settings!$I$14:$I$83&lt;&gt;""),Settings!$J$14:$J$83),"Other"))))</f>
        <v/>
      </c>
      <c r="BB138">
        <f>IF($B138="","",IF(Y138="","Not rostered",IFERROR(INDEX(Settings!$C$14:$C$33,MATCH(Y138,Settings!$B$14:$B$33,0)),IFERROR(LOOKUP(2^15,SEARCH(Settings!$I$14:$I$83,Y138)/(Settings!$I$14:$I$83&lt;&gt;""),Settings!$J$14:$J$83),"Other"))))</f>
        <v/>
      </c>
      <c r="BC138">
        <f>IF($B138="","",IF(Z138="","Not rostered",IFERROR(INDEX(Settings!$C$14:$C$33,MATCH(Z138,Settings!$B$14:$B$33,0)),IFERROR(LOOKUP(2^15,SEARCH(Settings!$I$14:$I$83,Z138)/(Settings!$I$14:$I$83&lt;&gt;""),Settings!$J$14:$J$83),"Other"))))</f>
        <v/>
      </c>
      <c r="BD138">
        <f>IF($B138="","",IF(AA138="","Not rostered",IFERROR(INDEX(Settings!$C$14:$C$33,MATCH(AA138,Settings!$B$14:$B$33,0)),IFERROR(LOOKUP(2^15,SEARCH(Settings!$I$14:$I$83,AA138)/(Settings!$I$14:$I$83&lt;&gt;""),Settings!$J$14:$J$83),"Other"))))</f>
        <v/>
      </c>
      <c r="BE138">
        <f>IF($B138="","",IF(AB138="","Not rostered",IFERROR(INDEX(Settings!$C$14:$C$33,MATCH(AB138,Settings!$B$14:$B$33,0)),IFERROR(LOOKUP(2^15,SEARCH(Settings!$I$14:$I$83,AB138)/(Settings!$I$14:$I$83&lt;&gt;""),Settings!$J$14:$J$83),"Other"))))</f>
        <v/>
      </c>
      <c r="BF138">
        <f>IF($B138="","",IF(AC138="","Not rostered",IFERROR(INDEX(Settings!$C$14:$C$33,MATCH(AC138,Settings!$B$14:$B$33,0)),IFERROR(LOOKUP(2^15,SEARCH(Settings!$I$14:$I$83,AC138)/(Settings!$I$14:$I$83&lt;&gt;""),Settings!$J$14:$J$83),"Other"))))</f>
        <v/>
      </c>
      <c r="BG138">
        <f>IF($B138="","",IF(AD138="","Not rostered",IFERROR(INDEX(Settings!$C$14:$C$33,MATCH(AD138,Settings!$B$14:$B$33,0)),IFERROR(LOOKUP(2^15,SEARCH(Settings!$I$14:$I$83,AD138)/(Settings!$I$14:$I$83&lt;&gt;""),Settings!$J$14:$J$83),"Other"))))</f>
        <v/>
      </c>
      <c r="BH138">
        <f>IF($B138="","",IF(AE138="","Not rostered",IFERROR(INDEX(Settings!$C$14:$C$33,MATCH(AE138,Settings!$B$14:$B$33,0)),IFERROR(LOOKUP(2^15,SEARCH(Settings!$I$14:$I$83,AE138)/(Settings!$I$14:$I$83&lt;&gt;""),Settings!$J$14:$J$83),"Other"))))</f>
        <v/>
      </c>
      <c r="BI138">
        <f>IF($B138="","",IF(AF138="","Not rostered",IFERROR(INDEX(Settings!$C$14:$C$33,MATCH(AF138,Settings!$B$14:$B$33,0)),IFERROR(LOOKUP(2^15,SEARCH(Settings!$I$14:$I$83,AF138)/(Settings!$I$14:$I$83&lt;&gt;""),Settings!$J$14:$J$83),"Other"))))</f>
        <v/>
      </c>
      <c r="BJ138">
        <f>IF($B138="","",IF(AG138="","Not rostered",IFERROR(INDEX(Settings!$C$14:$C$33,MATCH(AG138,Settings!$B$14:$B$33,0)),IFERROR(LOOKUP(2^15,SEARCH(Settings!$I$14:$I$83,AG138)/(Settings!$I$14:$I$83&lt;&gt;""),Settings!$J$14:$J$83),"Other"))))</f>
        <v/>
      </c>
      <c r="BL138">
        <f>IF(OR($B138="",F138=""),"",IFERROR(INDEX(Settings!$D$14:$D$33,MATCH(F138,Settings!$B$14:$B$33,0))&amp;"",IFERROR(LOOKUP(2^15,SEARCH(Settings!$F$14:$F$43,F138)/(Settings!$F$14:$F$43&lt;&gt;""),Settings!$G$14:$G$43),"")))</f>
        <v/>
      </c>
      <c r="BM138">
        <f>IF(OR($B138="",G138=""),"",IFERROR(INDEX(Settings!$D$14:$D$33,MATCH(G138,Settings!$B$14:$B$33,0))&amp;"",IFERROR(LOOKUP(2^15,SEARCH(Settings!$F$14:$F$43,G138)/(Settings!$F$14:$F$43&lt;&gt;""),Settings!$G$14:$G$43),"")))</f>
        <v/>
      </c>
      <c r="BN138">
        <f>IF(OR($B138="",H138=""),"",IFERROR(INDEX(Settings!$D$14:$D$33,MATCH(H138,Settings!$B$14:$B$33,0))&amp;"",IFERROR(LOOKUP(2^15,SEARCH(Settings!$F$14:$F$43,H138)/(Settings!$F$14:$F$43&lt;&gt;""),Settings!$G$14:$G$43),"")))</f>
        <v/>
      </c>
      <c r="BO138">
        <f>IF(OR($B138="",I138=""),"",IFERROR(INDEX(Settings!$D$14:$D$33,MATCH(I138,Settings!$B$14:$B$33,0))&amp;"",IFERROR(LOOKUP(2^15,SEARCH(Settings!$F$14:$F$43,I138)/(Settings!$F$14:$F$43&lt;&gt;""),Settings!$G$14:$G$43),"")))</f>
        <v/>
      </c>
      <c r="BP138">
        <f>IF(OR($B138="",J138=""),"",IFERROR(INDEX(Settings!$D$14:$D$33,MATCH(J138,Settings!$B$14:$B$33,0))&amp;"",IFERROR(LOOKUP(2^15,SEARCH(Settings!$F$14:$F$43,J138)/(Settings!$F$14:$F$43&lt;&gt;""),Settings!$G$14:$G$43),"")))</f>
        <v/>
      </c>
      <c r="BQ138">
        <f>IF(OR($B138="",K138=""),"",IFERROR(INDEX(Settings!$D$14:$D$33,MATCH(K138,Settings!$B$14:$B$33,0))&amp;"",IFERROR(LOOKUP(2^15,SEARCH(Settings!$F$14:$F$43,K138)/(Settings!$F$14:$F$43&lt;&gt;""),Settings!$G$14:$G$43),"")))</f>
        <v/>
      </c>
      <c r="BR138">
        <f>IF(OR($B138="",L138=""),"",IFERROR(INDEX(Settings!$D$14:$D$33,MATCH(L138,Settings!$B$14:$B$33,0))&amp;"",IFERROR(LOOKUP(2^15,SEARCH(Settings!$F$14:$F$43,L138)/(Settings!$F$14:$F$43&lt;&gt;""),Settings!$G$14:$G$43),"")))</f>
        <v/>
      </c>
      <c r="BS138">
        <f>IF(OR($B138="",M138=""),"",IFERROR(INDEX(Settings!$D$14:$D$33,MATCH(M138,Settings!$B$14:$B$33,0))&amp;"",IFERROR(LOOKUP(2^15,SEARCH(Settings!$F$14:$F$43,M138)/(Settings!$F$14:$F$43&lt;&gt;""),Settings!$G$14:$G$43),"")))</f>
        <v/>
      </c>
      <c r="BT138">
        <f>IF(OR($B138="",N138=""),"",IFERROR(INDEX(Settings!$D$14:$D$33,MATCH(N138,Settings!$B$14:$B$33,0))&amp;"",IFERROR(LOOKUP(2^15,SEARCH(Settings!$F$14:$F$43,N138)/(Settings!$F$14:$F$43&lt;&gt;""),Settings!$G$14:$G$43),"")))</f>
        <v/>
      </c>
      <c r="BU138">
        <f>IF(OR($B138="",O138=""),"",IFERROR(INDEX(Settings!$D$14:$D$33,MATCH(O138,Settings!$B$14:$B$33,0))&amp;"",IFERROR(LOOKUP(2^15,SEARCH(Settings!$F$14:$F$43,O138)/(Settings!$F$14:$F$43&lt;&gt;""),Settings!$G$14:$G$43),"")))</f>
        <v/>
      </c>
      <c r="BV138">
        <f>IF(OR($B138="",P138=""),"",IFERROR(INDEX(Settings!$D$14:$D$33,MATCH(P138,Settings!$B$14:$B$33,0))&amp;"",IFERROR(LOOKUP(2^15,SEARCH(Settings!$F$14:$F$43,P138)/(Settings!$F$14:$F$43&lt;&gt;""),Settings!$G$14:$G$43),"")))</f>
        <v/>
      </c>
      <c r="BW138">
        <f>IF(OR($B138="",Q138=""),"",IFERROR(INDEX(Settings!$D$14:$D$33,MATCH(Q138,Settings!$B$14:$B$33,0))&amp;"",IFERROR(LOOKUP(2^15,SEARCH(Settings!$F$14:$F$43,Q138)/(Settings!$F$14:$F$43&lt;&gt;""),Settings!$G$14:$G$43),"")))</f>
        <v/>
      </c>
      <c r="BX138">
        <f>IF(OR($B138="",R138=""),"",IFERROR(INDEX(Settings!$D$14:$D$33,MATCH(R138,Settings!$B$14:$B$33,0))&amp;"",IFERROR(LOOKUP(2^15,SEARCH(Settings!$F$14:$F$43,R138)/(Settings!$F$14:$F$43&lt;&gt;""),Settings!$G$14:$G$43),"")))</f>
        <v/>
      </c>
      <c r="BY138">
        <f>IF(OR($B138="",S138=""),"",IFERROR(INDEX(Settings!$D$14:$D$33,MATCH(S138,Settings!$B$14:$B$33,0))&amp;"",IFERROR(LOOKUP(2^15,SEARCH(Settings!$F$14:$F$43,S138)/(Settings!$F$14:$F$43&lt;&gt;""),Settings!$G$14:$G$43),"")))</f>
        <v/>
      </c>
      <c r="BZ138">
        <f>IF(OR($B138="",T138=""),"",IFERROR(INDEX(Settings!$D$14:$D$33,MATCH(T138,Settings!$B$14:$B$33,0))&amp;"",IFERROR(LOOKUP(2^15,SEARCH(Settings!$F$14:$F$43,T138)/(Settings!$F$14:$F$43&lt;&gt;""),Settings!$G$14:$G$43),"")))</f>
        <v/>
      </c>
      <c r="CA138">
        <f>IF(OR($B138="",U138=""),"",IFERROR(INDEX(Settings!$D$14:$D$33,MATCH(U138,Settings!$B$14:$B$33,0))&amp;"",IFERROR(LOOKUP(2^15,SEARCH(Settings!$F$14:$F$43,U138)/(Settings!$F$14:$F$43&lt;&gt;""),Settings!$G$14:$G$43),"")))</f>
        <v/>
      </c>
      <c r="CB138">
        <f>IF(OR($B138="",V138=""),"",IFERROR(INDEX(Settings!$D$14:$D$33,MATCH(V138,Settings!$B$14:$B$33,0))&amp;"",IFERROR(LOOKUP(2^15,SEARCH(Settings!$F$14:$F$43,V138)/(Settings!$F$14:$F$43&lt;&gt;""),Settings!$G$14:$G$43),"")))</f>
        <v/>
      </c>
      <c r="CC138">
        <f>IF(OR($B138="",W138=""),"",IFERROR(INDEX(Settings!$D$14:$D$33,MATCH(W138,Settings!$B$14:$B$33,0))&amp;"",IFERROR(LOOKUP(2^15,SEARCH(Settings!$F$14:$F$43,W138)/(Settings!$F$14:$F$43&lt;&gt;""),Settings!$G$14:$G$43),"")))</f>
        <v/>
      </c>
      <c r="CD138">
        <f>IF(OR($B138="",X138=""),"",IFERROR(INDEX(Settings!$D$14:$D$33,MATCH(X138,Settings!$B$14:$B$33,0))&amp;"",IFERROR(LOOKUP(2^15,SEARCH(Settings!$F$14:$F$43,X138)/(Settings!$F$14:$F$43&lt;&gt;""),Settings!$G$14:$G$43),"")))</f>
        <v/>
      </c>
      <c r="CE138">
        <f>IF(OR($B138="",Y138=""),"",IFERROR(INDEX(Settings!$D$14:$D$33,MATCH(Y138,Settings!$B$14:$B$33,0))&amp;"",IFERROR(LOOKUP(2^15,SEARCH(Settings!$F$14:$F$43,Y138)/(Settings!$F$14:$F$43&lt;&gt;""),Settings!$G$14:$G$43),"")))</f>
        <v/>
      </c>
      <c r="CF138">
        <f>IF(OR($B138="",Z138=""),"",IFERROR(INDEX(Settings!$D$14:$D$33,MATCH(Z138,Settings!$B$14:$B$33,0))&amp;"",IFERROR(LOOKUP(2^15,SEARCH(Settings!$F$14:$F$43,Z138)/(Settings!$F$14:$F$43&lt;&gt;""),Settings!$G$14:$G$43),"")))</f>
        <v/>
      </c>
      <c r="CG138">
        <f>IF(OR($B138="",AA138=""),"",IFERROR(INDEX(Settings!$D$14:$D$33,MATCH(AA138,Settings!$B$14:$B$33,0))&amp;"",IFERROR(LOOKUP(2^15,SEARCH(Settings!$F$14:$F$43,AA138)/(Settings!$F$14:$F$43&lt;&gt;""),Settings!$G$14:$G$43),"")))</f>
        <v/>
      </c>
      <c r="CH138">
        <f>IF(OR($B138="",AB138=""),"",IFERROR(INDEX(Settings!$D$14:$D$33,MATCH(AB138,Settings!$B$14:$B$33,0))&amp;"",IFERROR(LOOKUP(2^15,SEARCH(Settings!$F$14:$F$43,AB138)/(Settings!$F$14:$F$43&lt;&gt;""),Settings!$G$14:$G$43),"")))</f>
        <v/>
      </c>
      <c r="CI138">
        <f>IF(OR($B138="",AC138=""),"",IFERROR(INDEX(Settings!$D$14:$D$33,MATCH(AC138,Settings!$B$14:$B$33,0))&amp;"",IFERROR(LOOKUP(2^15,SEARCH(Settings!$F$14:$F$43,AC138)/(Settings!$F$14:$F$43&lt;&gt;""),Settings!$G$14:$G$43),"")))</f>
        <v/>
      </c>
      <c r="CJ138">
        <f>IF(OR($B138="",AD138=""),"",IFERROR(INDEX(Settings!$D$14:$D$33,MATCH(AD138,Settings!$B$14:$B$33,0))&amp;"",IFERROR(LOOKUP(2^15,SEARCH(Settings!$F$14:$F$43,AD138)/(Settings!$F$14:$F$43&lt;&gt;""),Settings!$G$14:$G$43),"")))</f>
        <v/>
      </c>
      <c r="CK138">
        <f>IF(OR($B138="",AE138=""),"",IFERROR(INDEX(Settings!$D$14:$D$33,MATCH(AE138,Settings!$B$14:$B$33,0))&amp;"",IFERROR(LOOKUP(2^15,SEARCH(Settings!$F$14:$F$43,AE138)/(Settings!$F$14:$F$43&lt;&gt;""),Settings!$G$14:$G$43),"")))</f>
        <v/>
      </c>
      <c r="CL138">
        <f>IF(OR($B138="",AF138=""),"",IFERROR(INDEX(Settings!$D$14:$D$33,MATCH(AF138,Settings!$B$14:$B$33,0))&amp;"",IFERROR(LOOKUP(2^15,SEARCH(Settings!$F$14:$F$43,AF138)/(Settings!$F$14:$F$43&lt;&gt;""),Settings!$G$14:$G$43),"")))</f>
        <v/>
      </c>
      <c r="CM138">
        <f>IF(OR($B138="",AG138=""),"",IFERROR(INDEX(Settings!$D$14:$D$33,MATCH(AG138,Settings!$B$14:$B$33,0))&amp;"",IFERROR(LOOKUP(2^15,SEARCH(Settings!$F$14:$F$43,AG138)/(Settings!$F$14:$F$43&lt;&gt;""),Settings!$G$14:$G$43),"")))</f>
        <v/>
      </c>
    </row>
    <row r="139">
      <c r="A139" t="n">
        <v>137</v>
      </c>
      <c r="B139">
        <f>IFERROR(INDEX(Index!$A$2:$A$202,MATCH(A139,Index!$E$2:$E$202,0)),"")</f>
        <v/>
      </c>
      <c r="D139">
        <f>IF($B139="","",IFERROR(MATCH("Travel*",AI139:BJ139,0),""))</f>
        <v/>
      </c>
      <c r="F139">
        <f>IF(OR($B139="",NOT(ISNUMBER(Settings!$C$9))),"",TRIM(SUBSTITUTE(SUBSTITUTE(INDEX('INPUT - Roster'!$S$1:$SV$206,$B139,Settings!$C$9+0)&amp;"",CHAR(10)," "),CHAR(160)," ")))</f>
        <v/>
      </c>
      <c r="G139">
        <f>IF(OR($B139="",NOT(ISNUMBER(Settings!$C$9))),"",TRIM(SUBSTITUTE(SUBSTITUTE(INDEX('INPUT - Roster'!$S$1:$SV$206,$B139,Settings!$C$9+1)&amp;"",CHAR(10)," "),CHAR(160)," ")))</f>
        <v/>
      </c>
      <c r="H139">
        <f>IF(OR($B139="",NOT(ISNUMBER(Settings!$C$9))),"",TRIM(SUBSTITUTE(SUBSTITUTE(INDEX('INPUT - Roster'!$S$1:$SV$206,$B139,Settings!$C$9+2)&amp;"",CHAR(10)," "),CHAR(160)," ")))</f>
        <v/>
      </c>
      <c r="I139">
        <f>IF(OR($B139="",NOT(ISNUMBER(Settings!$C$9))),"",TRIM(SUBSTITUTE(SUBSTITUTE(INDEX('INPUT - Roster'!$S$1:$SV$206,$B139,Settings!$C$9+3)&amp;"",CHAR(10)," "),CHAR(160)," ")))</f>
        <v/>
      </c>
      <c r="J139">
        <f>IF(OR($B139="",NOT(ISNUMBER(Settings!$C$9))),"",TRIM(SUBSTITUTE(SUBSTITUTE(INDEX('INPUT - Roster'!$S$1:$SV$206,$B139,Settings!$C$9+4)&amp;"",CHAR(10)," "),CHAR(160)," ")))</f>
        <v/>
      </c>
      <c r="K139">
        <f>IF(OR($B139="",NOT(ISNUMBER(Settings!$C$9))),"",TRIM(SUBSTITUTE(SUBSTITUTE(INDEX('INPUT - Roster'!$S$1:$SV$206,$B139,Settings!$C$9+5)&amp;"",CHAR(10)," "),CHAR(160)," ")))</f>
        <v/>
      </c>
      <c r="L139">
        <f>IF(OR($B139="",NOT(ISNUMBER(Settings!$C$9))),"",TRIM(SUBSTITUTE(SUBSTITUTE(INDEX('INPUT - Roster'!$S$1:$SV$206,$B139,Settings!$C$9+6)&amp;"",CHAR(10)," "),CHAR(160)," ")))</f>
        <v/>
      </c>
      <c r="M139">
        <f>IF(OR($B139="",NOT(ISNUMBER(Settings!$C$9))),"",TRIM(SUBSTITUTE(SUBSTITUTE(INDEX('INPUT - Roster'!$S$1:$SV$206,$B139,Settings!$C$9+7)&amp;"",CHAR(10)," "),CHAR(160)," ")))</f>
        <v/>
      </c>
      <c r="N139">
        <f>IF(OR($B139="",NOT(ISNUMBER(Settings!$C$9))),"",TRIM(SUBSTITUTE(SUBSTITUTE(INDEX('INPUT - Roster'!$S$1:$SV$206,$B139,Settings!$C$9+8)&amp;"",CHAR(10)," "),CHAR(160)," ")))</f>
        <v/>
      </c>
      <c r="O139">
        <f>IF(OR($B139="",NOT(ISNUMBER(Settings!$C$9))),"",TRIM(SUBSTITUTE(SUBSTITUTE(INDEX('INPUT - Roster'!$S$1:$SV$206,$B139,Settings!$C$9+9)&amp;"",CHAR(10)," "),CHAR(160)," ")))</f>
        <v/>
      </c>
      <c r="P139">
        <f>IF(OR($B139="",NOT(ISNUMBER(Settings!$C$9))),"",TRIM(SUBSTITUTE(SUBSTITUTE(INDEX('INPUT - Roster'!$S$1:$SV$206,$B139,Settings!$C$9+10)&amp;"",CHAR(10)," "),CHAR(160)," ")))</f>
        <v/>
      </c>
      <c r="Q139">
        <f>IF(OR($B139="",NOT(ISNUMBER(Settings!$C$9))),"",TRIM(SUBSTITUTE(SUBSTITUTE(INDEX('INPUT - Roster'!$S$1:$SV$206,$B139,Settings!$C$9+11)&amp;"",CHAR(10)," "),CHAR(160)," ")))</f>
        <v/>
      </c>
      <c r="R139">
        <f>IF(OR($B139="",NOT(ISNUMBER(Settings!$C$9))),"",TRIM(SUBSTITUTE(SUBSTITUTE(INDEX('INPUT - Roster'!$S$1:$SV$206,$B139,Settings!$C$9+12)&amp;"",CHAR(10)," "),CHAR(160)," ")))</f>
        <v/>
      </c>
      <c r="S139">
        <f>IF(OR($B139="",NOT(ISNUMBER(Settings!$C$9))),"",TRIM(SUBSTITUTE(SUBSTITUTE(INDEX('INPUT - Roster'!$S$1:$SV$206,$B139,Settings!$C$9+13)&amp;"",CHAR(10)," "),CHAR(160)," ")))</f>
        <v/>
      </c>
      <c r="T139">
        <f>IF(OR($B139="",NOT(ISNUMBER(Settings!$C$9))),"",TRIM(SUBSTITUTE(SUBSTITUTE(INDEX('INPUT - Roster'!$S$1:$SV$206,$B139,Settings!$C$9+14)&amp;"",CHAR(10)," "),CHAR(160)," ")))</f>
        <v/>
      </c>
      <c r="U139">
        <f>IF(OR($B139="",NOT(ISNUMBER(Settings!$C$9))),"",TRIM(SUBSTITUTE(SUBSTITUTE(INDEX('INPUT - Roster'!$S$1:$SV$206,$B139,Settings!$C$9+15)&amp;"",CHAR(10)," "),CHAR(160)," ")))</f>
        <v/>
      </c>
      <c r="V139">
        <f>IF(OR($B139="",NOT(ISNUMBER(Settings!$C$9))),"",TRIM(SUBSTITUTE(SUBSTITUTE(INDEX('INPUT - Roster'!$S$1:$SV$206,$B139,Settings!$C$9+16)&amp;"",CHAR(10)," "),CHAR(160)," ")))</f>
        <v/>
      </c>
      <c r="W139">
        <f>IF(OR($B139="",NOT(ISNUMBER(Settings!$C$9))),"",TRIM(SUBSTITUTE(SUBSTITUTE(INDEX('INPUT - Roster'!$S$1:$SV$206,$B139,Settings!$C$9+17)&amp;"",CHAR(10)," "),CHAR(160)," ")))</f>
        <v/>
      </c>
      <c r="X139">
        <f>IF(OR($B139="",NOT(ISNUMBER(Settings!$C$9))),"",TRIM(SUBSTITUTE(SUBSTITUTE(INDEX('INPUT - Roster'!$S$1:$SV$206,$B139,Settings!$C$9+18)&amp;"",CHAR(10)," "),CHAR(160)," ")))</f>
        <v/>
      </c>
      <c r="Y139">
        <f>IF(OR($B139="",NOT(ISNUMBER(Settings!$C$9))),"",TRIM(SUBSTITUTE(SUBSTITUTE(INDEX('INPUT - Roster'!$S$1:$SV$206,$B139,Settings!$C$9+19)&amp;"",CHAR(10)," "),CHAR(160)," ")))</f>
        <v/>
      </c>
      <c r="Z139">
        <f>IF(OR($B139="",NOT(ISNUMBER(Settings!$C$9))),"",TRIM(SUBSTITUTE(SUBSTITUTE(INDEX('INPUT - Roster'!$S$1:$SV$206,$B139,Settings!$C$9+20)&amp;"",CHAR(10)," "),CHAR(160)," ")))</f>
        <v/>
      </c>
      <c r="AA139">
        <f>IF(OR($B139="",NOT(ISNUMBER(Settings!$C$9))),"",TRIM(SUBSTITUTE(SUBSTITUTE(INDEX('INPUT - Roster'!$S$1:$SV$206,$B139,Settings!$C$9+21)&amp;"",CHAR(10)," "),CHAR(160)," ")))</f>
        <v/>
      </c>
      <c r="AB139">
        <f>IF(OR($B139="",NOT(ISNUMBER(Settings!$C$9))),"",TRIM(SUBSTITUTE(SUBSTITUTE(INDEX('INPUT - Roster'!$S$1:$SV$206,$B139,Settings!$C$9+22)&amp;"",CHAR(10)," "),CHAR(160)," ")))</f>
        <v/>
      </c>
      <c r="AC139">
        <f>IF(OR($B139="",NOT(ISNUMBER(Settings!$C$9))),"",TRIM(SUBSTITUTE(SUBSTITUTE(INDEX('INPUT - Roster'!$S$1:$SV$206,$B139,Settings!$C$9+23)&amp;"",CHAR(10)," "),CHAR(160)," ")))</f>
        <v/>
      </c>
      <c r="AD139">
        <f>IF(OR($B139="",NOT(ISNUMBER(Settings!$C$9))),"",TRIM(SUBSTITUTE(SUBSTITUTE(INDEX('INPUT - Roster'!$S$1:$SV$206,$B139,Settings!$C$9+24)&amp;"",CHAR(10)," "),CHAR(160)," ")))</f>
        <v/>
      </c>
      <c r="AE139">
        <f>IF(OR($B139="",NOT(ISNUMBER(Settings!$C$9))),"",TRIM(SUBSTITUTE(SUBSTITUTE(INDEX('INPUT - Roster'!$S$1:$SV$206,$B139,Settings!$C$9+25)&amp;"",CHAR(10)," "),CHAR(160)," ")))</f>
        <v/>
      </c>
      <c r="AF139">
        <f>IF(OR($B139="",NOT(ISNUMBER(Settings!$C$9))),"",TRIM(SUBSTITUTE(SUBSTITUTE(INDEX('INPUT - Roster'!$S$1:$SV$206,$B139,Settings!$C$9+26)&amp;"",CHAR(10)," "),CHAR(160)," ")))</f>
        <v/>
      </c>
      <c r="AG139">
        <f>IF(OR($B139="",NOT(ISNUMBER(Settings!$C$9))),"",TRIM(SUBSTITUTE(SUBSTITUTE(INDEX('INPUT - Roster'!$S$1:$SV$206,$B139,Settings!$C$9+27)&amp;"",CHAR(10)," "),CHAR(160)," ")))</f>
        <v/>
      </c>
      <c r="AI139">
        <f>IF($B139="","",IF(F139="","Not rostered",IFERROR(INDEX(Settings!$C$14:$C$33,MATCH(F139,Settings!$B$14:$B$33,0)),IFERROR(LOOKUP(2^15,SEARCH(Settings!$I$14:$I$83,F139)/(Settings!$I$14:$I$83&lt;&gt;""),Settings!$J$14:$J$83),"Other"))))</f>
        <v/>
      </c>
      <c r="AJ139">
        <f>IF($B139="","",IF(G139="","Not rostered",IFERROR(INDEX(Settings!$C$14:$C$33,MATCH(G139,Settings!$B$14:$B$33,0)),IFERROR(LOOKUP(2^15,SEARCH(Settings!$I$14:$I$83,G139)/(Settings!$I$14:$I$83&lt;&gt;""),Settings!$J$14:$J$83),"Other"))))</f>
        <v/>
      </c>
      <c r="AK139">
        <f>IF($B139="","",IF(H139="","Not rostered",IFERROR(INDEX(Settings!$C$14:$C$33,MATCH(H139,Settings!$B$14:$B$33,0)),IFERROR(LOOKUP(2^15,SEARCH(Settings!$I$14:$I$83,H139)/(Settings!$I$14:$I$83&lt;&gt;""),Settings!$J$14:$J$83),"Other"))))</f>
        <v/>
      </c>
      <c r="AL139">
        <f>IF($B139="","",IF(I139="","Not rostered",IFERROR(INDEX(Settings!$C$14:$C$33,MATCH(I139,Settings!$B$14:$B$33,0)),IFERROR(LOOKUP(2^15,SEARCH(Settings!$I$14:$I$83,I139)/(Settings!$I$14:$I$83&lt;&gt;""),Settings!$J$14:$J$83),"Other"))))</f>
        <v/>
      </c>
      <c r="AM139">
        <f>IF($B139="","",IF(J139="","Not rostered",IFERROR(INDEX(Settings!$C$14:$C$33,MATCH(J139,Settings!$B$14:$B$33,0)),IFERROR(LOOKUP(2^15,SEARCH(Settings!$I$14:$I$83,J139)/(Settings!$I$14:$I$83&lt;&gt;""),Settings!$J$14:$J$83),"Other"))))</f>
        <v/>
      </c>
      <c r="AN139">
        <f>IF($B139="","",IF(K139="","Not rostered",IFERROR(INDEX(Settings!$C$14:$C$33,MATCH(K139,Settings!$B$14:$B$33,0)),IFERROR(LOOKUP(2^15,SEARCH(Settings!$I$14:$I$83,K139)/(Settings!$I$14:$I$83&lt;&gt;""),Settings!$J$14:$J$83),"Other"))))</f>
        <v/>
      </c>
      <c r="AO139">
        <f>IF($B139="","",IF(L139="","Not rostered",IFERROR(INDEX(Settings!$C$14:$C$33,MATCH(L139,Settings!$B$14:$B$33,0)),IFERROR(LOOKUP(2^15,SEARCH(Settings!$I$14:$I$83,L139)/(Settings!$I$14:$I$83&lt;&gt;""),Settings!$J$14:$J$83),"Other"))))</f>
        <v/>
      </c>
      <c r="AP139">
        <f>IF($B139="","",IF(M139="","Not rostered",IFERROR(INDEX(Settings!$C$14:$C$33,MATCH(M139,Settings!$B$14:$B$33,0)),IFERROR(LOOKUP(2^15,SEARCH(Settings!$I$14:$I$83,M139)/(Settings!$I$14:$I$83&lt;&gt;""),Settings!$J$14:$J$83),"Other"))))</f>
        <v/>
      </c>
      <c r="AQ139">
        <f>IF($B139="","",IF(N139="","Not rostered",IFERROR(INDEX(Settings!$C$14:$C$33,MATCH(N139,Settings!$B$14:$B$33,0)),IFERROR(LOOKUP(2^15,SEARCH(Settings!$I$14:$I$83,N139)/(Settings!$I$14:$I$83&lt;&gt;""),Settings!$J$14:$J$83),"Other"))))</f>
        <v/>
      </c>
      <c r="AR139">
        <f>IF($B139="","",IF(O139="","Not rostered",IFERROR(INDEX(Settings!$C$14:$C$33,MATCH(O139,Settings!$B$14:$B$33,0)),IFERROR(LOOKUP(2^15,SEARCH(Settings!$I$14:$I$83,O139)/(Settings!$I$14:$I$83&lt;&gt;""),Settings!$J$14:$J$83),"Other"))))</f>
        <v/>
      </c>
      <c r="AS139">
        <f>IF($B139="","",IF(P139="","Not rostered",IFERROR(INDEX(Settings!$C$14:$C$33,MATCH(P139,Settings!$B$14:$B$33,0)),IFERROR(LOOKUP(2^15,SEARCH(Settings!$I$14:$I$83,P139)/(Settings!$I$14:$I$83&lt;&gt;""),Settings!$J$14:$J$83),"Other"))))</f>
        <v/>
      </c>
      <c r="AT139">
        <f>IF($B139="","",IF(Q139="","Not rostered",IFERROR(INDEX(Settings!$C$14:$C$33,MATCH(Q139,Settings!$B$14:$B$33,0)),IFERROR(LOOKUP(2^15,SEARCH(Settings!$I$14:$I$83,Q139)/(Settings!$I$14:$I$83&lt;&gt;""),Settings!$J$14:$J$83),"Other"))))</f>
        <v/>
      </c>
      <c r="AU139">
        <f>IF($B139="","",IF(R139="","Not rostered",IFERROR(INDEX(Settings!$C$14:$C$33,MATCH(R139,Settings!$B$14:$B$33,0)),IFERROR(LOOKUP(2^15,SEARCH(Settings!$I$14:$I$83,R139)/(Settings!$I$14:$I$83&lt;&gt;""),Settings!$J$14:$J$83),"Other"))))</f>
        <v/>
      </c>
      <c r="AV139">
        <f>IF($B139="","",IF(S139="","Not rostered",IFERROR(INDEX(Settings!$C$14:$C$33,MATCH(S139,Settings!$B$14:$B$33,0)),IFERROR(LOOKUP(2^15,SEARCH(Settings!$I$14:$I$83,S139)/(Settings!$I$14:$I$83&lt;&gt;""),Settings!$J$14:$J$83),"Other"))))</f>
        <v/>
      </c>
      <c r="AW139">
        <f>IF($B139="","",IF(T139="","Not rostered",IFERROR(INDEX(Settings!$C$14:$C$33,MATCH(T139,Settings!$B$14:$B$33,0)),IFERROR(LOOKUP(2^15,SEARCH(Settings!$I$14:$I$83,T139)/(Settings!$I$14:$I$83&lt;&gt;""),Settings!$J$14:$J$83),"Other"))))</f>
        <v/>
      </c>
      <c r="AX139">
        <f>IF($B139="","",IF(U139="","Not rostered",IFERROR(INDEX(Settings!$C$14:$C$33,MATCH(U139,Settings!$B$14:$B$33,0)),IFERROR(LOOKUP(2^15,SEARCH(Settings!$I$14:$I$83,U139)/(Settings!$I$14:$I$83&lt;&gt;""),Settings!$J$14:$J$83),"Other"))))</f>
        <v/>
      </c>
      <c r="AY139">
        <f>IF($B139="","",IF(V139="","Not rostered",IFERROR(INDEX(Settings!$C$14:$C$33,MATCH(V139,Settings!$B$14:$B$33,0)),IFERROR(LOOKUP(2^15,SEARCH(Settings!$I$14:$I$83,V139)/(Settings!$I$14:$I$83&lt;&gt;""),Settings!$J$14:$J$83),"Other"))))</f>
        <v/>
      </c>
      <c r="AZ139">
        <f>IF($B139="","",IF(W139="","Not rostered",IFERROR(INDEX(Settings!$C$14:$C$33,MATCH(W139,Settings!$B$14:$B$33,0)),IFERROR(LOOKUP(2^15,SEARCH(Settings!$I$14:$I$83,W139)/(Settings!$I$14:$I$83&lt;&gt;""),Settings!$J$14:$J$83),"Other"))))</f>
        <v/>
      </c>
      <c r="BA139">
        <f>IF($B139="","",IF(X139="","Not rostered",IFERROR(INDEX(Settings!$C$14:$C$33,MATCH(X139,Settings!$B$14:$B$33,0)),IFERROR(LOOKUP(2^15,SEARCH(Settings!$I$14:$I$83,X139)/(Settings!$I$14:$I$83&lt;&gt;""),Settings!$J$14:$J$83),"Other"))))</f>
        <v/>
      </c>
      <c r="BB139">
        <f>IF($B139="","",IF(Y139="","Not rostered",IFERROR(INDEX(Settings!$C$14:$C$33,MATCH(Y139,Settings!$B$14:$B$33,0)),IFERROR(LOOKUP(2^15,SEARCH(Settings!$I$14:$I$83,Y139)/(Settings!$I$14:$I$83&lt;&gt;""),Settings!$J$14:$J$83),"Other"))))</f>
        <v/>
      </c>
      <c r="BC139">
        <f>IF($B139="","",IF(Z139="","Not rostered",IFERROR(INDEX(Settings!$C$14:$C$33,MATCH(Z139,Settings!$B$14:$B$33,0)),IFERROR(LOOKUP(2^15,SEARCH(Settings!$I$14:$I$83,Z139)/(Settings!$I$14:$I$83&lt;&gt;""),Settings!$J$14:$J$83),"Other"))))</f>
        <v/>
      </c>
      <c r="BD139">
        <f>IF($B139="","",IF(AA139="","Not rostered",IFERROR(INDEX(Settings!$C$14:$C$33,MATCH(AA139,Settings!$B$14:$B$33,0)),IFERROR(LOOKUP(2^15,SEARCH(Settings!$I$14:$I$83,AA139)/(Settings!$I$14:$I$83&lt;&gt;""),Settings!$J$14:$J$83),"Other"))))</f>
        <v/>
      </c>
      <c r="BE139">
        <f>IF($B139="","",IF(AB139="","Not rostered",IFERROR(INDEX(Settings!$C$14:$C$33,MATCH(AB139,Settings!$B$14:$B$33,0)),IFERROR(LOOKUP(2^15,SEARCH(Settings!$I$14:$I$83,AB139)/(Settings!$I$14:$I$83&lt;&gt;""),Settings!$J$14:$J$83),"Other"))))</f>
        <v/>
      </c>
      <c r="BF139">
        <f>IF($B139="","",IF(AC139="","Not rostered",IFERROR(INDEX(Settings!$C$14:$C$33,MATCH(AC139,Settings!$B$14:$B$33,0)),IFERROR(LOOKUP(2^15,SEARCH(Settings!$I$14:$I$83,AC139)/(Settings!$I$14:$I$83&lt;&gt;""),Settings!$J$14:$J$83),"Other"))))</f>
        <v/>
      </c>
      <c r="BG139">
        <f>IF($B139="","",IF(AD139="","Not rostered",IFERROR(INDEX(Settings!$C$14:$C$33,MATCH(AD139,Settings!$B$14:$B$33,0)),IFERROR(LOOKUP(2^15,SEARCH(Settings!$I$14:$I$83,AD139)/(Settings!$I$14:$I$83&lt;&gt;""),Settings!$J$14:$J$83),"Other"))))</f>
        <v/>
      </c>
      <c r="BH139">
        <f>IF($B139="","",IF(AE139="","Not rostered",IFERROR(INDEX(Settings!$C$14:$C$33,MATCH(AE139,Settings!$B$14:$B$33,0)),IFERROR(LOOKUP(2^15,SEARCH(Settings!$I$14:$I$83,AE139)/(Settings!$I$14:$I$83&lt;&gt;""),Settings!$J$14:$J$83),"Other"))))</f>
        <v/>
      </c>
      <c r="BI139">
        <f>IF($B139="","",IF(AF139="","Not rostered",IFERROR(INDEX(Settings!$C$14:$C$33,MATCH(AF139,Settings!$B$14:$B$33,0)),IFERROR(LOOKUP(2^15,SEARCH(Settings!$I$14:$I$83,AF139)/(Settings!$I$14:$I$83&lt;&gt;""),Settings!$J$14:$J$83),"Other"))))</f>
        <v/>
      </c>
      <c r="BJ139">
        <f>IF($B139="","",IF(AG139="","Not rostered",IFERROR(INDEX(Settings!$C$14:$C$33,MATCH(AG139,Settings!$B$14:$B$33,0)),IFERROR(LOOKUP(2^15,SEARCH(Settings!$I$14:$I$83,AG139)/(Settings!$I$14:$I$83&lt;&gt;""),Settings!$J$14:$J$83),"Other"))))</f>
        <v/>
      </c>
      <c r="BL139">
        <f>IF(OR($B139="",F139=""),"",IFERROR(INDEX(Settings!$D$14:$D$33,MATCH(F139,Settings!$B$14:$B$33,0))&amp;"",IFERROR(LOOKUP(2^15,SEARCH(Settings!$F$14:$F$43,F139)/(Settings!$F$14:$F$43&lt;&gt;""),Settings!$G$14:$G$43),"")))</f>
        <v/>
      </c>
      <c r="BM139">
        <f>IF(OR($B139="",G139=""),"",IFERROR(INDEX(Settings!$D$14:$D$33,MATCH(G139,Settings!$B$14:$B$33,0))&amp;"",IFERROR(LOOKUP(2^15,SEARCH(Settings!$F$14:$F$43,G139)/(Settings!$F$14:$F$43&lt;&gt;""),Settings!$G$14:$G$43),"")))</f>
        <v/>
      </c>
      <c r="BN139">
        <f>IF(OR($B139="",H139=""),"",IFERROR(INDEX(Settings!$D$14:$D$33,MATCH(H139,Settings!$B$14:$B$33,0))&amp;"",IFERROR(LOOKUP(2^15,SEARCH(Settings!$F$14:$F$43,H139)/(Settings!$F$14:$F$43&lt;&gt;""),Settings!$G$14:$G$43),"")))</f>
        <v/>
      </c>
      <c r="BO139">
        <f>IF(OR($B139="",I139=""),"",IFERROR(INDEX(Settings!$D$14:$D$33,MATCH(I139,Settings!$B$14:$B$33,0))&amp;"",IFERROR(LOOKUP(2^15,SEARCH(Settings!$F$14:$F$43,I139)/(Settings!$F$14:$F$43&lt;&gt;""),Settings!$G$14:$G$43),"")))</f>
        <v/>
      </c>
      <c r="BP139">
        <f>IF(OR($B139="",J139=""),"",IFERROR(INDEX(Settings!$D$14:$D$33,MATCH(J139,Settings!$B$14:$B$33,0))&amp;"",IFERROR(LOOKUP(2^15,SEARCH(Settings!$F$14:$F$43,J139)/(Settings!$F$14:$F$43&lt;&gt;""),Settings!$G$14:$G$43),"")))</f>
        <v/>
      </c>
      <c r="BQ139">
        <f>IF(OR($B139="",K139=""),"",IFERROR(INDEX(Settings!$D$14:$D$33,MATCH(K139,Settings!$B$14:$B$33,0))&amp;"",IFERROR(LOOKUP(2^15,SEARCH(Settings!$F$14:$F$43,K139)/(Settings!$F$14:$F$43&lt;&gt;""),Settings!$G$14:$G$43),"")))</f>
        <v/>
      </c>
      <c r="BR139">
        <f>IF(OR($B139="",L139=""),"",IFERROR(INDEX(Settings!$D$14:$D$33,MATCH(L139,Settings!$B$14:$B$33,0))&amp;"",IFERROR(LOOKUP(2^15,SEARCH(Settings!$F$14:$F$43,L139)/(Settings!$F$14:$F$43&lt;&gt;""),Settings!$G$14:$G$43),"")))</f>
        <v/>
      </c>
      <c r="BS139">
        <f>IF(OR($B139="",M139=""),"",IFERROR(INDEX(Settings!$D$14:$D$33,MATCH(M139,Settings!$B$14:$B$33,0))&amp;"",IFERROR(LOOKUP(2^15,SEARCH(Settings!$F$14:$F$43,M139)/(Settings!$F$14:$F$43&lt;&gt;""),Settings!$G$14:$G$43),"")))</f>
        <v/>
      </c>
      <c r="BT139">
        <f>IF(OR($B139="",N139=""),"",IFERROR(INDEX(Settings!$D$14:$D$33,MATCH(N139,Settings!$B$14:$B$33,0))&amp;"",IFERROR(LOOKUP(2^15,SEARCH(Settings!$F$14:$F$43,N139)/(Settings!$F$14:$F$43&lt;&gt;""),Settings!$G$14:$G$43),"")))</f>
        <v/>
      </c>
      <c r="BU139">
        <f>IF(OR($B139="",O139=""),"",IFERROR(INDEX(Settings!$D$14:$D$33,MATCH(O139,Settings!$B$14:$B$33,0))&amp;"",IFERROR(LOOKUP(2^15,SEARCH(Settings!$F$14:$F$43,O139)/(Settings!$F$14:$F$43&lt;&gt;""),Settings!$G$14:$G$43),"")))</f>
        <v/>
      </c>
      <c r="BV139">
        <f>IF(OR($B139="",P139=""),"",IFERROR(INDEX(Settings!$D$14:$D$33,MATCH(P139,Settings!$B$14:$B$33,0))&amp;"",IFERROR(LOOKUP(2^15,SEARCH(Settings!$F$14:$F$43,P139)/(Settings!$F$14:$F$43&lt;&gt;""),Settings!$G$14:$G$43),"")))</f>
        <v/>
      </c>
      <c r="BW139">
        <f>IF(OR($B139="",Q139=""),"",IFERROR(INDEX(Settings!$D$14:$D$33,MATCH(Q139,Settings!$B$14:$B$33,0))&amp;"",IFERROR(LOOKUP(2^15,SEARCH(Settings!$F$14:$F$43,Q139)/(Settings!$F$14:$F$43&lt;&gt;""),Settings!$G$14:$G$43),"")))</f>
        <v/>
      </c>
      <c r="BX139">
        <f>IF(OR($B139="",R139=""),"",IFERROR(INDEX(Settings!$D$14:$D$33,MATCH(R139,Settings!$B$14:$B$33,0))&amp;"",IFERROR(LOOKUP(2^15,SEARCH(Settings!$F$14:$F$43,R139)/(Settings!$F$14:$F$43&lt;&gt;""),Settings!$G$14:$G$43),"")))</f>
        <v/>
      </c>
      <c r="BY139">
        <f>IF(OR($B139="",S139=""),"",IFERROR(INDEX(Settings!$D$14:$D$33,MATCH(S139,Settings!$B$14:$B$33,0))&amp;"",IFERROR(LOOKUP(2^15,SEARCH(Settings!$F$14:$F$43,S139)/(Settings!$F$14:$F$43&lt;&gt;""),Settings!$G$14:$G$43),"")))</f>
        <v/>
      </c>
      <c r="BZ139">
        <f>IF(OR($B139="",T139=""),"",IFERROR(INDEX(Settings!$D$14:$D$33,MATCH(T139,Settings!$B$14:$B$33,0))&amp;"",IFERROR(LOOKUP(2^15,SEARCH(Settings!$F$14:$F$43,T139)/(Settings!$F$14:$F$43&lt;&gt;""),Settings!$G$14:$G$43),"")))</f>
        <v/>
      </c>
      <c r="CA139">
        <f>IF(OR($B139="",U139=""),"",IFERROR(INDEX(Settings!$D$14:$D$33,MATCH(U139,Settings!$B$14:$B$33,0))&amp;"",IFERROR(LOOKUP(2^15,SEARCH(Settings!$F$14:$F$43,U139)/(Settings!$F$14:$F$43&lt;&gt;""),Settings!$G$14:$G$43),"")))</f>
        <v/>
      </c>
      <c r="CB139">
        <f>IF(OR($B139="",V139=""),"",IFERROR(INDEX(Settings!$D$14:$D$33,MATCH(V139,Settings!$B$14:$B$33,0))&amp;"",IFERROR(LOOKUP(2^15,SEARCH(Settings!$F$14:$F$43,V139)/(Settings!$F$14:$F$43&lt;&gt;""),Settings!$G$14:$G$43),"")))</f>
        <v/>
      </c>
      <c r="CC139">
        <f>IF(OR($B139="",W139=""),"",IFERROR(INDEX(Settings!$D$14:$D$33,MATCH(W139,Settings!$B$14:$B$33,0))&amp;"",IFERROR(LOOKUP(2^15,SEARCH(Settings!$F$14:$F$43,W139)/(Settings!$F$14:$F$43&lt;&gt;""),Settings!$G$14:$G$43),"")))</f>
        <v/>
      </c>
      <c r="CD139">
        <f>IF(OR($B139="",X139=""),"",IFERROR(INDEX(Settings!$D$14:$D$33,MATCH(X139,Settings!$B$14:$B$33,0))&amp;"",IFERROR(LOOKUP(2^15,SEARCH(Settings!$F$14:$F$43,X139)/(Settings!$F$14:$F$43&lt;&gt;""),Settings!$G$14:$G$43),"")))</f>
        <v/>
      </c>
      <c r="CE139">
        <f>IF(OR($B139="",Y139=""),"",IFERROR(INDEX(Settings!$D$14:$D$33,MATCH(Y139,Settings!$B$14:$B$33,0))&amp;"",IFERROR(LOOKUP(2^15,SEARCH(Settings!$F$14:$F$43,Y139)/(Settings!$F$14:$F$43&lt;&gt;""),Settings!$G$14:$G$43),"")))</f>
        <v/>
      </c>
      <c r="CF139">
        <f>IF(OR($B139="",Z139=""),"",IFERROR(INDEX(Settings!$D$14:$D$33,MATCH(Z139,Settings!$B$14:$B$33,0))&amp;"",IFERROR(LOOKUP(2^15,SEARCH(Settings!$F$14:$F$43,Z139)/(Settings!$F$14:$F$43&lt;&gt;""),Settings!$G$14:$G$43),"")))</f>
        <v/>
      </c>
      <c r="CG139">
        <f>IF(OR($B139="",AA139=""),"",IFERROR(INDEX(Settings!$D$14:$D$33,MATCH(AA139,Settings!$B$14:$B$33,0))&amp;"",IFERROR(LOOKUP(2^15,SEARCH(Settings!$F$14:$F$43,AA139)/(Settings!$F$14:$F$43&lt;&gt;""),Settings!$G$14:$G$43),"")))</f>
        <v/>
      </c>
      <c r="CH139">
        <f>IF(OR($B139="",AB139=""),"",IFERROR(INDEX(Settings!$D$14:$D$33,MATCH(AB139,Settings!$B$14:$B$33,0))&amp;"",IFERROR(LOOKUP(2^15,SEARCH(Settings!$F$14:$F$43,AB139)/(Settings!$F$14:$F$43&lt;&gt;""),Settings!$G$14:$G$43),"")))</f>
        <v/>
      </c>
      <c r="CI139">
        <f>IF(OR($B139="",AC139=""),"",IFERROR(INDEX(Settings!$D$14:$D$33,MATCH(AC139,Settings!$B$14:$B$33,0))&amp;"",IFERROR(LOOKUP(2^15,SEARCH(Settings!$F$14:$F$43,AC139)/(Settings!$F$14:$F$43&lt;&gt;""),Settings!$G$14:$G$43),"")))</f>
        <v/>
      </c>
      <c r="CJ139">
        <f>IF(OR($B139="",AD139=""),"",IFERROR(INDEX(Settings!$D$14:$D$33,MATCH(AD139,Settings!$B$14:$B$33,0))&amp;"",IFERROR(LOOKUP(2^15,SEARCH(Settings!$F$14:$F$43,AD139)/(Settings!$F$14:$F$43&lt;&gt;""),Settings!$G$14:$G$43),"")))</f>
        <v/>
      </c>
      <c r="CK139">
        <f>IF(OR($B139="",AE139=""),"",IFERROR(INDEX(Settings!$D$14:$D$33,MATCH(AE139,Settings!$B$14:$B$33,0))&amp;"",IFERROR(LOOKUP(2^15,SEARCH(Settings!$F$14:$F$43,AE139)/(Settings!$F$14:$F$43&lt;&gt;""),Settings!$G$14:$G$43),"")))</f>
        <v/>
      </c>
      <c r="CL139">
        <f>IF(OR($B139="",AF139=""),"",IFERROR(INDEX(Settings!$D$14:$D$33,MATCH(AF139,Settings!$B$14:$B$33,0))&amp;"",IFERROR(LOOKUP(2^15,SEARCH(Settings!$F$14:$F$43,AF139)/(Settings!$F$14:$F$43&lt;&gt;""),Settings!$G$14:$G$43),"")))</f>
        <v/>
      </c>
      <c r="CM139">
        <f>IF(OR($B139="",AG139=""),"",IFERROR(INDEX(Settings!$D$14:$D$33,MATCH(AG139,Settings!$B$14:$B$33,0))&amp;"",IFERROR(LOOKUP(2^15,SEARCH(Settings!$F$14:$F$43,AG139)/(Settings!$F$14:$F$43&lt;&gt;""),Settings!$G$14:$G$43),"")))</f>
        <v/>
      </c>
    </row>
    <row r="140">
      <c r="A140" t="n">
        <v>138</v>
      </c>
      <c r="B140">
        <f>IFERROR(INDEX(Index!$A$2:$A$202,MATCH(A140,Index!$E$2:$E$202,0)),"")</f>
        <v/>
      </c>
      <c r="D140">
        <f>IF($B140="","",IFERROR(MATCH("Travel*",AI140:BJ140,0),""))</f>
        <v/>
      </c>
      <c r="F140">
        <f>IF(OR($B140="",NOT(ISNUMBER(Settings!$C$9))),"",TRIM(SUBSTITUTE(SUBSTITUTE(INDEX('INPUT - Roster'!$S$1:$SV$206,$B140,Settings!$C$9+0)&amp;"",CHAR(10)," "),CHAR(160)," ")))</f>
        <v/>
      </c>
      <c r="G140">
        <f>IF(OR($B140="",NOT(ISNUMBER(Settings!$C$9))),"",TRIM(SUBSTITUTE(SUBSTITUTE(INDEX('INPUT - Roster'!$S$1:$SV$206,$B140,Settings!$C$9+1)&amp;"",CHAR(10)," "),CHAR(160)," ")))</f>
        <v/>
      </c>
      <c r="H140">
        <f>IF(OR($B140="",NOT(ISNUMBER(Settings!$C$9))),"",TRIM(SUBSTITUTE(SUBSTITUTE(INDEX('INPUT - Roster'!$S$1:$SV$206,$B140,Settings!$C$9+2)&amp;"",CHAR(10)," "),CHAR(160)," ")))</f>
        <v/>
      </c>
      <c r="I140">
        <f>IF(OR($B140="",NOT(ISNUMBER(Settings!$C$9))),"",TRIM(SUBSTITUTE(SUBSTITUTE(INDEX('INPUT - Roster'!$S$1:$SV$206,$B140,Settings!$C$9+3)&amp;"",CHAR(10)," "),CHAR(160)," ")))</f>
        <v/>
      </c>
      <c r="J140">
        <f>IF(OR($B140="",NOT(ISNUMBER(Settings!$C$9))),"",TRIM(SUBSTITUTE(SUBSTITUTE(INDEX('INPUT - Roster'!$S$1:$SV$206,$B140,Settings!$C$9+4)&amp;"",CHAR(10)," "),CHAR(160)," ")))</f>
        <v/>
      </c>
      <c r="K140">
        <f>IF(OR($B140="",NOT(ISNUMBER(Settings!$C$9))),"",TRIM(SUBSTITUTE(SUBSTITUTE(INDEX('INPUT - Roster'!$S$1:$SV$206,$B140,Settings!$C$9+5)&amp;"",CHAR(10)," "),CHAR(160)," ")))</f>
        <v/>
      </c>
      <c r="L140">
        <f>IF(OR($B140="",NOT(ISNUMBER(Settings!$C$9))),"",TRIM(SUBSTITUTE(SUBSTITUTE(INDEX('INPUT - Roster'!$S$1:$SV$206,$B140,Settings!$C$9+6)&amp;"",CHAR(10)," "),CHAR(160)," ")))</f>
        <v/>
      </c>
      <c r="M140">
        <f>IF(OR($B140="",NOT(ISNUMBER(Settings!$C$9))),"",TRIM(SUBSTITUTE(SUBSTITUTE(INDEX('INPUT - Roster'!$S$1:$SV$206,$B140,Settings!$C$9+7)&amp;"",CHAR(10)," "),CHAR(160)," ")))</f>
        <v/>
      </c>
      <c r="N140">
        <f>IF(OR($B140="",NOT(ISNUMBER(Settings!$C$9))),"",TRIM(SUBSTITUTE(SUBSTITUTE(INDEX('INPUT - Roster'!$S$1:$SV$206,$B140,Settings!$C$9+8)&amp;"",CHAR(10)," "),CHAR(160)," ")))</f>
        <v/>
      </c>
      <c r="O140">
        <f>IF(OR($B140="",NOT(ISNUMBER(Settings!$C$9))),"",TRIM(SUBSTITUTE(SUBSTITUTE(INDEX('INPUT - Roster'!$S$1:$SV$206,$B140,Settings!$C$9+9)&amp;"",CHAR(10)," "),CHAR(160)," ")))</f>
        <v/>
      </c>
      <c r="P140">
        <f>IF(OR($B140="",NOT(ISNUMBER(Settings!$C$9))),"",TRIM(SUBSTITUTE(SUBSTITUTE(INDEX('INPUT - Roster'!$S$1:$SV$206,$B140,Settings!$C$9+10)&amp;"",CHAR(10)," "),CHAR(160)," ")))</f>
        <v/>
      </c>
      <c r="Q140">
        <f>IF(OR($B140="",NOT(ISNUMBER(Settings!$C$9))),"",TRIM(SUBSTITUTE(SUBSTITUTE(INDEX('INPUT - Roster'!$S$1:$SV$206,$B140,Settings!$C$9+11)&amp;"",CHAR(10)," "),CHAR(160)," ")))</f>
        <v/>
      </c>
      <c r="R140">
        <f>IF(OR($B140="",NOT(ISNUMBER(Settings!$C$9))),"",TRIM(SUBSTITUTE(SUBSTITUTE(INDEX('INPUT - Roster'!$S$1:$SV$206,$B140,Settings!$C$9+12)&amp;"",CHAR(10)," "),CHAR(160)," ")))</f>
        <v/>
      </c>
      <c r="S140">
        <f>IF(OR($B140="",NOT(ISNUMBER(Settings!$C$9))),"",TRIM(SUBSTITUTE(SUBSTITUTE(INDEX('INPUT - Roster'!$S$1:$SV$206,$B140,Settings!$C$9+13)&amp;"",CHAR(10)," "),CHAR(160)," ")))</f>
        <v/>
      </c>
      <c r="T140">
        <f>IF(OR($B140="",NOT(ISNUMBER(Settings!$C$9))),"",TRIM(SUBSTITUTE(SUBSTITUTE(INDEX('INPUT - Roster'!$S$1:$SV$206,$B140,Settings!$C$9+14)&amp;"",CHAR(10)," "),CHAR(160)," ")))</f>
        <v/>
      </c>
      <c r="U140">
        <f>IF(OR($B140="",NOT(ISNUMBER(Settings!$C$9))),"",TRIM(SUBSTITUTE(SUBSTITUTE(INDEX('INPUT - Roster'!$S$1:$SV$206,$B140,Settings!$C$9+15)&amp;"",CHAR(10)," "),CHAR(160)," ")))</f>
        <v/>
      </c>
      <c r="V140">
        <f>IF(OR($B140="",NOT(ISNUMBER(Settings!$C$9))),"",TRIM(SUBSTITUTE(SUBSTITUTE(INDEX('INPUT - Roster'!$S$1:$SV$206,$B140,Settings!$C$9+16)&amp;"",CHAR(10)," "),CHAR(160)," ")))</f>
        <v/>
      </c>
      <c r="W140">
        <f>IF(OR($B140="",NOT(ISNUMBER(Settings!$C$9))),"",TRIM(SUBSTITUTE(SUBSTITUTE(INDEX('INPUT - Roster'!$S$1:$SV$206,$B140,Settings!$C$9+17)&amp;"",CHAR(10)," "),CHAR(160)," ")))</f>
        <v/>
      </c>
      <c r="X140">
        <f>IF(OR($B140="",NOT(ISNUMBER(Settings!$C$9))),"",TRIM(SUBSTITUTE(SUBSTITUTE(INDEX('INPUT - Roster'!$S$1:$SV$206,$B140,Settings!$C$9+18)&amp;"",CHAR(10)," "),CHAR(160)," ")))</f>
        <v/>
      </c>
      <c r="Y140">
        <f>IF(OR($B140="",NOT(ISNUMBER(Settings!$C$9))),"",TRIM(SUBSTITUTE(SUBSTITUTE(INDEX('INPUT - Roster'!$S$1:$SV$206,$B140,Settings!$C$9+19)&amp;"",CHAR(10)," "),CHAR(160)," ")))</f>
        <v/>
      </c>
      <c r="Z140">
        <f>IF(OR($B140="",NOT(ISNUMBER(Settings!$C$9))),"",TRIM(SUBSTITUTE(SUBSTITUTE(INDEX('INPUT - Roster'!$S$1:$SV$206,$B140,Settings!$C$9+20)&amp;"",CHAR(10)," "),CHAR(160)," ")))</f>
        <v/>
      </c>
      <c r="AA140">
        <f>IF(OR($B140="",NOT(ISNUMBER(Settings!$C$9))),"",TRIM(SUBSTITUTE(SUBSTITUTE(INDEX('INPUT - Roster'!$S$1:$SV$206,$B140,Settings!$C$9+21)&amp;"",CHAR(10)," "),CHAR(160)," ")))</f>
        <v/>
      </c>
      <c r="AB140">
        <f>IF(OR($B140="",NOT(ISNUMBER(Settings!$C$9))),"",TRIM(SUBSTITUTE(SUBSTITUTE(INDEX('INPUT - Roster'!$S$1:$SV$206,$B140,Settings!$C$9+22)&amp;"",CHAR(10)," "),CHAR(160)," ")))</f>
        <v/>
      </c>
      <c r="AC140">
        <f>IF(OR($B140="",NOT(ISNUMBER(Settings!$C$9))),"",TRIM(SUBSTITUTE(SUBSTITUTE(INDEX('INPUT - Roster'!$S$1:$SV$206,$B140,Settings!$C$9+23)&amp;"",CHAR(10)," "),CHAR(160)," ")))</f>
        <v/>
      </c>
      <c r="AD140">
        <f>IF(OR($B140="",NOT(ISNUMBER(Settings!$C$9))),"",TRIM(SUBSTITUTE(SUBSTITUTE(INDEX('INPUT - Roster'!$S$1:$SV$206,$B140,Settings!$C$9+24)&amp;"",CHAR(10)," "),CHAR(160)," ")))</f>
        <v/>
      </c>
      <c r="AE140">
        <f>IF(OR($B140="",NOT(ISNUMBER(Settings!$C$9))),"",TRIM(SUBSTITUTE(SUBSTITUTE(INDEX('INPUT - Roster'!$S$1:$SV$206,$B140,Settings!$C$9+25)&amp;"",CHAR(10)," "),CHAR(160)," ")))</f>
        <v/>
      </c>
      <c r="AF140">
        <f>IF(OR($B140="",NOT(ISNUMBER(Settings!$C$9))),"",TRIM(SUBSTITUTE(SUBSTITUTE(INDEX('INPUT - Roster'!$S$1:$SV$206,$B140,Settings!$C$9+26)&amp;"",CHAR(10)," "),CHAR(160)," ")))</f>
        <v/>
      </c>
      <c r="AG140">
        <f>IF(OR($B140="",NOT(ISNUMBER(Settings!$C$9))),"",TRIM(SUBSTITUTE(SUBSTITUTE(INDEX('INPUT - Roster'!$S$1:$SV$206,$B140,Settings!$C$9+27)&amp;"",CHAR(10)," "),CHAR(160)," ")))</f>
        <v/>
      </c>
      <c r="AI140">
        <f>IF($B140="","",IF(F140="","Not rostered",IFERROR(INDEX(Settings!$C$14:$C$33,MATCH(F140,Settings!$B$14:$B$33,0)),IFERROR(LOOKUP(2^15,SEARCH(Settings!$I$14:$I$83,F140)/(Settings!$I$14:$I$83&lt;&gt;""),Settings!$J$14:$J$83),"Other"))))</f>
        <v/>
      </c>
      <c r="AJ140">
        <f>IF($B140="","",IF(G140="","Not rostered",IFERROR(INDEX(Settings!$C$14:$C$33,MATCH(G140,Settings!$B$14:$B$33,0)),IFERROR(LOOKUP(2^15,SEARCH(Settings!$I$14:$I$83,G140)/(Settings!$I$14:$I$83&lt;&gt;""),Settings!$J$14:$J$83),"Other"))))</f>
        <v/>
      </c>
      <c r="AK140">
        <f>IF($B140="","",IF(H140="","Not rostered",IFERROR(INDEX(Settings!$C$14:$C$33,MATCH(H140,Settings!$B$14:$B$33,0)),IFERROR(LOOKUP(2^15,SEARCH(Settings!$I$14:$I$83,H140)/(Settings!$I$14:$I$83&lt;&gt;""),Settings!$J$14:$J$83),"Other"))))</f>
        <v/>
      </c>
      <c r="AL140">
        <f>IF($B140="","",IF(I140="","Not rostered",IFERROR(INDEX(Settings!$C$14:$C$33,MATCH(I140,Settings!$B$14:$B$33,0)),IFERROR(LOOKUP(2^15,SEARCH(Settings!$I$14:$I$83,I140)/(Settings!$I$14:$I$83&lt;&gt;""),Settings!$J$14:$J$83),"Other"))))</f>
        <v/>
      </c>
      <c r="AM140">
        <f>IF($B140="","",IF(J140="","Not rostered",IFERROR(INDEX(Settings!$C$14:$C$33,MATCH(J140,Settings!$B$14:$B$33,0)),IFERROR(LOOKUP(2^15,SEARCH(Settings!$I$14:$I$83,J140)/(Settings!$I$14:$I$83&lt;&gt;""),Settings!$J$14:$J$83),"Other"))))</f>
        <v/>
      </c>
      <c r="AN140">
        <f>IF($B140="","",IF(K140="","Not rostered",IFERROR(INDEX(Settings!$C$14:$C$33,MATCH(K140,Settings!$B$14:$B$33,0)),IFERROR(LOOKUP(2^15,SEARCH(Settings!$I$14:$I$83,K140)/(Settings!$I$14:$I$83&lt;&gt;""),Settings!$J$14:$J$83),"Other"))))</f>
        <v/>
      </c>
      <c r="AO140">
        <f>IF($B140="","",IF(L140="","Not rostered",IFERROR(INDEX(Settings!$C$14:$C$33,MATCH(L140,Settings!$B$14:$B$33,0)),IFERROR(LOOKUP(2^15,SEARCH(Settings!$I$14:$I$83,L140)/(Settings!$I$14:$I$83&lt;&gt;""),Settings!$J$14:$J$83),"Other"))))</f>
        <v/>
      </c>
      <c r="AP140">
        <f>IF($B140="","",IF(M140="","Not rostered",IFERROR(INDEX(Settings!$C$14:$C$33,MATCH(M140,Settings!$B$14:$B$33,0)),IFERROR(LOOKUP(2^15,SEARCH(Settings!$I$14:$I$83,M140)/(Settings!$I$14:$I$83&lt;&gt;""),Settings!$J$14:$J$83),"Other"))))</f>
        <v/>
      </c>
      <c r="AQ140">
        <f>IF($B140="","",IF(N140="","Not rostered",IFERROR(INDEX(Settings!$C$14:$C$33,MATCH(N140,Settings!$B$14:$B$33,0)),IFERROR(LOOKUP(2^15,SEARCH(Settings!$I$14:$I$83,N140)/(Settings!$I$14:$I$83&lt;&gt;""),Settings!$J$14:$J$83),"Other"))))</f>
        <v/>
      </c>
      <c r="AR140">
        <f>IF($B140="","",IF(O140="","Not rostered",IFERROR(INDEX(Settings!$C$14:$C$33,MATCH(O140,Settings!$B$14:$B$33,0)),IFERROR(LOOKUP(2^15,SEARCH(Settings!$I$14:$I$83,O140)/(Settings!$I$14:$I$83&lt;&gt;""),Settings!$J$14:$J$83),"Other"))))</f>
        <v/>
      </c>
      <c r="AS140">
        <f>IF($B140="","",IF(P140="","Not rostered",IFERROR(INDEX(Settings!$C$14:$C$33,MATCH(P140,Settings!$B$14:$B$33,0)),IFERROR(LOOKUP(2^15,SEARCH(Settings!$I$14:$I$83,P140)/(Settings!$I$14:$I$83&lt;&gt;""),Settings!$J$14:$J$83),"Other"))))</f>
        <v/>
      </c>
      <c r="AT140">
        <f>IF($B140="","",IF(Q140="","Not rostered",IFERROR(INDEX(Settings!$C$14:$C$33,MATCH(Q140,Settings!$B$14:$B$33,0)),IFERROR(LOOKUP(2^15,SEARCH(Settings!$I$14:$I$83,Q140)/(Settings!$I$14:$I$83&lt;&gt;""),Settings!$J$14:$J$83),"Other"))))</f>
        <v/>
      </c>
      <c r="AU140">
        <f>IF($B140="","",IF(R140="","Not rostered",IFERROR(INDEX(Settings!$C$14:$C$33,MATCH(R140,Settings!$B$14:$B$33,0)),IFERROR(LOOKUP(2^15,SEARCH(Settings!$I$14:$I$83,R140)/(Settings!$I$14:$I$83&lt;&gt;""),Settings!$J$14:$J$83),"Other"))))</f>
        <v/>
      </c>
      <c r="AV140">
        <f>IF($B140="","",IF(S140="","Not rostered",IFERROR(INDEX(Settings!$C$14:$C$33,MATCH(S140,Settings!$B$14:$B$33,0)),IFERROR(LOOKUP(2^15,SEARCH(Settings!$I$14:$I$83,S140)/(Settings!$I$14:$I$83&lt;&gt;""),Settings!$J$14:$J$83),"Other"))))</f>
        <v/>
      </c>
      <c r="AW140">
        <f>IF($B140="","",IF(T140="","Not rostered",IFERROR(INDEX(Settings!$C$14:$C$33,MATCH(T140,Settings!$B$14:$B$33,0)),IFERROR(LOOKUP(2^15,SEARCH(Settings!$I$14:$I$83,T140)/(Settings!$I$14:$I$83&lt;&gt;""),Settings!$J$14:$J$83),"Other"))))</f>
        <v/>
      </c>
      <c r="AX140">
        <f>IF($B140="","",IF(U140="","Not rostered",IFERROR(INDEX(Settings!$C$14:$C$33,MATCH(U140,Settings!$B$14:$B$33,0)),IFERROR(LOOKUP(2^15,SEARCH(Settings!$I$14:$I$83,U140)/(Settings!$I$14:$I$83&lt;&gt;""),Settings!$J$14:$J$83),"Other"))))</f>
        <v/>
      </c>
      <c r="AY140">
        <f>IF($B140="","",IF(V140="","Not rostered",IFERROR(INDEX(Settings!$C$14:$C$33,MATCH(V140,Settings!$B$14:$B$33,0)),IFERROR(LOOKUP(2^15,SEARCH(Settings!$I$14:$I$83,V140)/(Settings!$I$14:$I$83&lt;&gt;""),Settings!$J$14:$J$83),"Other"))))</f>
        <v/>
      </c>
      <c r="AZ140">
        <f>IF($B140="","",IF(W140="","Not rostered",IFERROR(INDEX(Settings!$C$14:$C$33,MATCH(W140,Settings!$B$14:$B$33,0)),IFERROR(LOOKUP(2^15,SEARCH(Settings!$I$14:$I$83,W140)/(Settings!$I$14:$I$83&lt;&gt;""),Settings!$J$14:$J$83),"Other"))))</f>
        <v/>
      </c>
      <c r="BA140">
        <f>IF($B140="","",IF(X140="","Not rostered",IFERROR(INDEX(Settings!$C$14:$C$33,MATCH(X140,Settings!$B$14:$B$33,0)),IFERROR(LOOKUP(2^15,SEARCH(Settings!$I$14:$I$83,X140)/(Settings!$I$14:$I$83&lt;&gt;""),Settings!$J$14:$J$83),"Other"))))</f>
        <v/>
      </c>
      <c r="BB140">
        <f>IF($B140="","",IF(Y140="","Not rostered",IFERROR(INDEX(Settings!$C$14:$C$33,MATCH(Y140,Settings!$B$14:$B$33,0)),IFERROR(LOOKUP(2^15,SEARCH(Settings!$I$14:$I$83,Y140)/(Settings!$I$14:$I$83&lt;&gt;""),Settings!$J$14:$J$83),"Other"))))</f>
        <v/>
      </c>
      <c r="BC140">
        <f>IF($B140="","",IF(Z140="","Not rostered",IFERROR(INDEX(Settings!$C$14:$C$33,MATCH(Z140,Settings!$B$14:$B$33,0)),IFERROR(LOOKUP(2^15,SEARCH(Settings!$I$14:$I$83,Z140)/(Settings!$I$14:$I$83&lt;&gt;""),Settings!$J$14:$J$83),"Other"))))</f>
        <v/>
      </c>
      <c r="BD140">
        <f>IF($B140="","",IF(AA140="","Not rostered",IFERROR(INDEX(Settings!$C$14:$C$33,MATCH(AA140,Settings!$B$14:$B$33,0)),IFERROR(LOOKUP(2^15,SEARCH(Settings!$I$14:$I$83,AA140)/(Settings!$I$14:$I$83&lt;&gt;""),Settings!$J$14:$J$83),"Other"))))</f>
        <v/>
      </c>
      <c r="BE140">
        <f>IF($B140="","",IF(AB140="","Not rostered",IFERROR(INDEX(Settings!$C$14:$C$33,MATCH(AB140,Settings!$B$14:$B$33,0)),IFERROR(LOOKUP(2^15,SEARCH(Settings!$I$14:$I$83,AB140)/(Settings!$I$14:$I$83&lt;&gt;""),Settings!$J$14:$J$83),"Other"))))</f>
        <v/>
      </c>
      <c r="BF140">
        <f>IF($B140="","",IF(AC140="","Not rostered",IFERROR(INDEX(Settings!$C$14:$C$33,MATCH(AC140,Settings!$B$14:$B$33,0)),IFERROR(LOOKUP(2^15,SEARCH(Settings!$I$14:$I$83,AC140)/(Settings!$I$14:$I$83&lt;&gt;""),Settings!$J$14:$J$83),"Other"))))</f>
        <v/>
      </c>
      <c r="BG140">
        <f>IF($B140="","",IF(AD140="","Not rostered",IFERROR(INDEX(Settings!$C$14:$C$33,MATCH(AD140,Settings!$B$14:$B$33,0)),IFERROR(LOOKUP(2^15,SEARCH(Settings!$I$14:$I$83,AD140)/(Settings!$I$14:$I$83&lt;&gt;""),Settings!$J$14:$J$83),"Other"))))</f>
        <v/>
      </c>
      <c r="BH140">
        <f>IF($B140="","",IF(AE140="","Not rostered",IFERROR(INDEX(Settings!$C$14:$C$33,MATCH(AE140,Settings!$B$14:$B$33,0)),IFERROR(LOOKUP(2^15,SEARCH(Settings!$I$14:$I$83,AE140)/(Settings!$I$14:$I$83&lt;&gt;""),Settings!$J$14:$J$83),"Other"))))</f>
        <v/>
      </c>
      <c r="BI140">
        <f>IF($B140="","",IF(AF140="","Not rostered",IFERROR(INDEX(Settings!$C$14:$C$33,MATCH(AF140,Settings!$B$14:$B$33,0)),IFERROR(LOOKUP(2^15,SEARCH(Settings!$I$14:$I$83,AF140)/(Settings!$I$14:$I$83&lt;&gt;""),Settings!$J$14:$J$83),"Other"))))</f>
        <v/>
      </c>
      <c r="BJ140">
        <f>IF($B140="","",IF(AG140="","Not rostered",IFERROR(INDEX(Settings!$C$14:$C$33,MATCH(AG140,Settings!$B$14:$B$33,0)),IFERROR(LOOKUP(2^15,SEARCH(Settings!$I$14:$I$83,AG140)/(Settings!$I$14:$I$83&lt;&gt;""),Settings!$J$14:$J$83),"Other"))))</f>
        <v/>
      </c>
      <c r="BL140">
        <f>IF(OR($B140="",F140=""),"",IFERROR(INDEX(Settings!$D$14:$D$33,MATCH(F140,Settings!$B$14:$B$33,0))&amp;"",IFERROR(LOOKUP(2^15,SEARCH(Settings!$F$14:$F$43,F140)/(Settings!$F$14:$F$43&lt;&gt;""),Settings!$G$14:$G$43),"")))</f>
        <v/>
      </c>
      <c r="BM140">
        <f>IF(OR($B140="",G140=""),"",IFERROR(INDEX(Settings!$D$14:$D$33,MATCH(G140,Settings!$B$14:$B$33,0))&amp;"",IFERROR(LOOKUP(2^15,SEARCH(Settings!$F$14:$F$43,G140)/(Settings!$F$14:$F$43&lt;&gt;""),Settings!$G$14:$G$43),"")))</f>
        <v/>
      </c>
      <c r="BN140">
        <f>IF(OR($B140="",H140=""),"",IFERROR(INDEX(Settings!$D$14:$D$33,MATCH(H140,Settings!$B$14:$B$33,0))&amp;"",IFERROR(LOOKUP(2^15,SEARCH(Settings!$F$14:$F$43,H140)/(Settings!$F$14:$F$43&lt;&gt;""),Settings!$G$14:$G$43),"")))</f>
        <v/>
      </c>
      <c r="BO140">
        <f>IF(OR($B140="",I140=""),"",IFERROR(INDEX(Settings!$D$14:$D$33,MATCH(I140,Settings!$B$14:$B$33,0))&amp;"",IFERROR(LOOKUP(2^15,SEARCH(Settings!$F$14:$F$43,I140)/(Settings!$F$14:$F$43&lt;&gt;""),Settings!$G$14:$G$43),"")))</f>
        <v/>
      </c>
      <c r="BP140">
        <f>IF(OR($B140="",J140=""),"",IFERROR(INDEX(Settings!$D$14:$D$33,MATCH(J140,Settings!$B$14:$B$33,0))&amp;"",IFERROR(LOOKUP(2^15,SEARCH(Settings!$F$14:$F$43,J140)/(Settings!$F$14:$F$43&lt;&gt;""),Settings!$G$14:$G$43),"")))</f>
        <v/>
      </c>
      <c r="BQ140">
        <f>IF(OR($B140="",K140=""),"",IFERROR(INDEX(Settings!$D$14:$D$33,MATCH(K140,Settings!$B$14:$B$33,0))&amp;"",IFERROR(LOOKUP(2^15,SEARCH(Settings!$F$14:$F$43,K140)/(Settings!$F$14:$F$43&lt;&gt;""),Settings!$G$14:$G$43),"")))</f>
        <v/>
      </c>
      <c r="BR140">
        <f>IF(OR($B140="",L140=""),"",IFERROR(INDEX(Settings!$D$14:$D$33,MATCH(L140,Settings!$B$14:$B$33,0))&amp;"",IFERROR(LOOKUP(2^15,SEARCH(Settings!$F$14:$F$43,L140)/(Settings!$F$14:$F$43&lt;&gt;""),Settings!$G$14:$G$43),"")))</f>
        <v/>
      </c>
      <c r="BS140">
        <f>IF(OR($B140="",M140=""),"",IFERROR(INDEX(Settings!$D$14:$D$33,MATCH(M140,Settings!$B$14:$B$33,0))&amp;"",IFERROR(LOOKUP(2^15,SEARCH(Settings!$F$14:$F$43,M140)/(Settings!$F$14:$F$43&lt;&gt;""),Settings!$G$14:$G$43),"")))</f>
        <v/>
      </c>
      <c r="BT140">
        <f>IF(OR($B140="",N140=""),"",IFERROR(INDEX(Settings!$D$14:$D$33,MATCH(N140,Settings!$B$14:$B$33,0))&amp;"",IFERROR(LOOKUP(2^15,SEARCH(Settings!$F$14:$F$43,N140)/(Settings!$F$14:$F$43&lt;&gt;""),Settings!$G$14:$G$43),"")))</f>
        <v/>
      </c>
      <c r="BU140">
        <f>IF(OR($B140="",O140=""),"",IFERROR(INDEX(Settings!$D$14:$D$33,MATCH(O140,Settings!$B$14:$B$33,0))&amp;"",IFERROR(LOOKUP(2^15,SEARCH(Settings!$F$14:$F$43,O140)/(Settings!$F$14:$F$43&lt;&gt;""),Settings!$G$14:$G$43),"")))</f>
        <v/>
      </c>
      <c r="BV140">
        <f>IF(OR($B140="",P140=""),"",IFERROR(INDEX(Settings!$D$14:$D$33,MATCH(P140,Settings!$B$14:$B$33,0))&amp;"",IFERROR(LOOKUP(2^15,SEARCH(Settings!$F$14:$F$43,P140)/(Settings!$F$14:$F$43&lt;&gt;""),Settings!$G$14:$G$43),"")))</f>
        <v/>
      </c>
      <c r="BW140">
        <f>IF(OR($B140="",Q140=""),"",IFERROR(INDEX(Settings!$D$14:$D$33,MATCH(Q140,Settings!$B$14:$B$33,0))&amp;"",IFERROR(LOOKUP(2^15,SEARCH(Settings!$F$14:$F$43,Q140)/(Settings!$F$14:$F$43&lt;&gt;""),Settings!$G$14:$G$43),"")))</f>
        <v/>
      </c>
      <c r="BX140">
        <f>IF(OR($B140="",R140=""),"",IFERROR(INDEX(Settings!$D$14:$D$33,MATCH(R140,Settings!$B$14:$B$33,0))&amp;"",IFERROR(LOOKUP(2^15,SEARCH(Settings!$F$14:$F$43,R140)/(Settings!$F$14:$F$43&lt;&gt;""),Settings!$G$14:$G$43),"")))</f>
        <v/>
      </c>
      <c r="BY140">
        <f>IF(OR($B140="",S140=""),"",IFERROR(INDEX(Settings!$D$14:$D$33,MATCH(S140,Settings!$B$14:$B$33,0))&amp;"",IFERROR(LOOKUP(2^15,SEARCH(Settings!$F$14:$F$43,S140)/(Settings!$F$14:$F$43&lt;&gt;""),Settings!$G$14:$G$43),"")))</f>
        <v/>
      </c>
      <c r="BZ140">
        <f>IF(OR($B140="",T140=""),"",IFERROR(INDEX(Settings!$D$14:$D$33,MATCH(T140,Settings!$B$14:$B$33,0))&amp;"",IFERROR(LOOKUP(2^15,SEARCH(Settings!$F$14:$F$43,T140)/(Settings!$F$14:$F$43&lt;&gt;""),Settings!$G$14:$G$43),"")))</f>
        <v/>
      </c>
      <c r="CA140">
        <f>IF(OR($B140="",U140=""),"",IFERROR(INDEX(Settings!$D$14:$D$33,MATCH(U140,Settings!$B$14:$B$33,0))&amp;"",IFERROR(LOOKUP(2^15,SEARCH(Settings!$F$14:$F$43,U140)/(Settings!$F$14:$F$43&lt;&gt;""),Settings!$G$14:$G$43),"")))</f>
        <v/>
      </c>
      <c r="CB140">
        <f>IF(OR($B140="",V140=""),"",IFERROR(INDEX(Settings!$D$14:$D$33,MATCH(V140,Settings!$B$14:$B$33,0))&amp;"",IFERROR(LOOKUP(2^15,SEARCH(Settings!$F$14:$F$43,V140)/(Settings!$F$14:$F$43&lt;&gt;""),Settings!$G$14:$G$43),"")))</f>
        <v/>
      </c>
      <c r="CC140">
        <f>IF(OR($B140="",W140=""),"",IFERROR(INDEX(Settings!$D$14:$D$33,MATCH(W140,Settings!$B$14:$B$33,0))&amp;"",IFERROR(LOOKUP(2^15,SEARCH(Settings!$F$14:$F$43,W140)/(Settings!$F$14:$F$43&lt;&gt;""),Settings!$G$14:$G$43),"")))</f>
        <v/>
      </c>
      <c r="CD140">
        <f>IF(OR($B140="",X140=""),"",IFERROR(INDEX(Settings!$D$14:$D$33,MATCH(X140,Settings!$B$14:$B$33,0))&amp;"",IFERROR(LOOKUP(2^15,SEARCH(Settings!$F$14:$F$43,X140)/(Settings!$F$14:$F$43&lt;&gt;""),Settings!$G$14:$G$43),"")))</f>
        <v/>
      </c>
      <c r="CE140">
        <f>IF(OR($B140="",Y140=""),"",IFERROR(INDEX(Settings!$D$14:$D$33,MATCH(Y140,Settings!$B$14:$B$33,0))&amp;"",IFERROR(LOOKUP(2^15,SEARCH(Settings!$F$14:$F$43,Y140)/(Settings!$F$14:$F$43&lt;&gt;""),Settings!$G$14:$G$43),"")))</f>
        <v/>
      </c>
      <c r="CF140">
        <f>IF(OR($B140="",Z140=""),"",IFERROR(INDEX(Settings!$D$14:$D$33,MATCH(Z140,Settings!$B$14:$B$33,0))&amp;"",IFERROR(LOOKUP(2^15,SEARCH(Settings!$F$14:$F$43,Z140)/(Settings!$F$14:$F$43&lt;&gt;""),Settings!$G$14:$G$43),"")))</f>
        <v/>
      </c>
      <c r="CG140">
        <f>IF(OR($B140="",AA140=""),"",IFERROR(INDEX(Settings!$D$14:$D$33,MATCH(AA140,Settings!$B$14:$B$33,0))&amp;"",IFERROR(LOOKUP(2^15,SEARCH(Settings!$F$14:$F$43,AA140)/(Settings!$F$14:$F$43&lt;&gt;""),Settings!$G$14:$G$43),"")))</f>
        <v/>
      </c>
      <c r="CH140">
        <f>IF(OR($B140="",AB140=""),"",IFERROR(INDEX(Settings!$D$14:$D$33,MATCH(AB140,Settings!$B$14:$B$33,0))&amp;"",IFERROR(LOOKUP(2^15,SEARCH(Settings!$F$14:$F$43,AB140)/(Settings!$F$14:$F$43&lt;&gt;""),Settings!$G$14:$G$43),"")))</f>
        <v/>
      </c>
      <c r="CI140">
        <f>IF(OR($B140="",AC140=""),"",IFERROR(INDEX(Settings!$D$14:$D$33,MATCH(AC140,Settings!$B$14:$B$33,0))&amp;"",IFERROR(LOOKUP(2^15,SEARCH(Settings!$F$14:$F$43,AC140)/(Settings!$F$14:$F$43&lt;&gt;""),Settings!$G$14:$G$43),"")))</f>
        <v/>
      </c>
      <c r="CJ140">
        <f>IF(OR($B140="",AD140=""),"",IFERROR(INDEX(Settings!$D$14:$D$33,MATCH(AD140,Settings!$B$14:$B$33,0))&amp;"",IFERROR(LOOKUP(2^15,SEARCH(Settings!$F$14:$F$43,AD140)/(Settings!$F$14:$F$43&lt;&gt;""),Settings!$G$14:$G$43),"")))</f>
        <v/>
      </c>
      <c r="CK140">
        <f>IF(OR($B140="",AE140=""),"",IFERROR(INDEX(Settings!$D$14:$D$33,MATCH(AE140,Settings!$B$14:$B$33,0))&amp;"",IFERROR(LOOKUP(2^15,SEARCH(Settings!$F$14:$F$43,AE140)/(Settings!$F$14:$F$43&lt;&gt;""),Settings!$G$14:$G$43),"")))</f>
        <v/>
      </c>
      <c r="CL140">
        <f>IF(OR($B140="",AF140=""),"",IFERROR(INDEX(Settings!$D$14:$D$33,MATCH(AF140,Settings!$B$14:$B$33,0))&amp;"",IFERROR(LOOKUP(2^15,SEARCH(Settings!$F$14:$F$43,AF140)/(Settings!$F$14:$F$43&lt;&gt;""),Settings!$G$14:$G$43),"")))</f>
        <v/>
      </c>
      <c r="CM140">
        <f>IF(OR($B140="",AG140=""),"",IFERROR(INDEX(Settings!$D$14:$D$33,MATCH(AG140,Settings!$B$14:$B$33,0))&amp;"",IFERROR(LOOKUP(2^15,SEARCH(Settings!$F$14:$F$43,AG140)/(Settings!$F$14:$F$43&lt;&gt;""),Settings!$G$14:$G$43),"")))</f>
        <v/>
      </c>
    </row>
    <row r="141">
      <c r="A141" t="n">
        <v>139</v>
      </c>
      <c r="B141">
        <f>IFERROR(INDEX(Index!$A$2:$A$202,MATCH(A141,Index!$E$2:$E$202,0)),"")</f>
        <v/>
      </c>
      <c r="D141">
        <f>IF($B141="","",IFERROR(MATCH("Travel*",AI141:BJ141,0),""))</f>
        <v/>
      </c>
      <c r="F141">
        <f>IF(OR($B141="",NOT(ISNUMBER(Settings!$C$9))),"",TRIM(SUBSTITUTE(SUBSTITUTE(INDEX('INPUT - Roster'!$S$1:$SV$206,$B141,Settings!$C$9+0)&amp;"",CHAR(10)," "),CHAR(160)," ")))</f>
        <v/>
      </c>
      <c r="G141">
        <f>IF(OR($B141="",NOT(ISNUMBER(Settings!$C$9))),"",TRIM(SUBSTITUTE(SUBSTITUTE(INDEX('INPUT - Roster'!$S$1:$SV$206,$B141,Settings!$C$9+1)&amp;"",CHAR(10)," "),CHAR(160)," ")))</f>
        <v/>
      </c>
      <c r="H141">
        <f>IF(OR($B141="",NOT(ISNUMBER(Settings!$C$9))),"",TRIM(SUBSTITUTE(SUBSTITUTE(INDEX('INPUT - Roster'!$S$1:$SV$206,$B141,Settings!$C$9+2)&amp;"",CHAR(10)," "),CHAR(160)," ")))</f>
        <v/>
      </c>
      <c r="I141">
        <f>IF(OR($B141="",NOT(ISNUMBER(Settings!$C$9))),"",TRIM(SUBSTITUTE(SUBSTITUTE(INDEX('INPUT - Roster'!$S$1:$SV$206,$B141,Settings!$C$9+3)&amp;"",CHAR(10)," "),CHAR(160)," ")))</f>
        <v/>
      </c>
      <c r="J141">
        <f>IF(OR($B141="",NOT(ISNUMBER(Settings!$C$9))),"",TRIM(SUBSTITUTE(SUBSTITUTE(INDEX('INPUT - Roster'!$S$1:$SV$206,$B141,Settings!$C$9+4)&amp;"",CHAR(10)," "),CHAR(160)," ")))</f>
        <v/>
      </c>
      <c r="K141">
        <f>IF(OR($B141="",NOT(ISNUMBER(Settings!$C$9))),"",TRIM(SUBSTITUTE(SUBSTITUTE(INDEX('INPUT - Roster'!$S$1:$SV$206,$B141,Settings!$C$9+5)&amp;"",CHAR(10)," "),CHAR(160)," ")))</f>
        <v/>
      </c>
      <c r="L141">
        <f>IF(OR($B141="",NOT(ISNUMBER(Settings!$C$9))),"",TRIM(SUBSTITUTE(SUBSTITUTE(INDEX('INPUT - Roster'!$S$1:$SV$206,$B141,Settings!$C$9+6)&amp;"",CHAR(10)," "),CHAR(160)," ")))</f>
        <v/>
      </c>
      <c r="M141">
        <f>IF(OR($B141="",NOT(ISNUMBER(Settings!$C$9))),"",TRIM(SUBSTITUTE(SUBSTITUTE(INDEX('INPUT - Roster'!$S$1:$SV$206,$B141,Settings!$C$9+7)&amp;"",CHAR(10)," "),CHAR(160)," ")))</f>
        <v/>
      </c>
      <c r="N141">
        <f>IF(OR($B141="",NOT(ISNUMBER(Settings!$C$9))),"",TRIM(SUBSTITUTE(SUBSTITUTE(INDEX('INPUT - Roster'!$S$1:$SV$206,$B141,Settings!$C$9+8)&amp;"",CHAR(10)," "),CHAR(160)," ")))</f>
        <v/>
      </c>
      <c r="O141">
        <f>IF(OR($B141="",NOT(ISNUMBER(Settings!$C$9))),"",TRIM(SUBSTITUTE(SUBSTITUTE(INDEX('INPUT - Roster'!$S$1:$SV$206,$B141,Settings!$C$9+9)&amp;"",CHAR(10)," "),CHAR(160)," ")))</f>
        <v/>
      </c>
      <c r="P141">
        <f>IF(OR($B141="",NOT(ISNUMBER(Settings!$C$9))),"",TRIM(SUBSTITUTE(SUBSTITUTE(INDEX('INPUT - Roster'!$S$1:$SV$206,$B141,Settings!$C$9+10)&amp;"",CHAR(10)," "),CHAR(160)," ")))</f>
        <v/>
      </c>
      <c r="Q141">
        <f>IF(OR($B141="",NOT(ISNUMBER(Settings!$C$9))),"",TRIM(SUBSTITUTE(SUBSTITUTE(INDEX('INPUT - Roster'!$S$1:$SV$206,$B141,Settings!$C$9+11)&amp;"",CHAR(10)," "),CHAR(160)," ")))</f>
        <v/>
      </c>
      <c r="R141">
        <f>IF(OR($B141="",NOT(ISNUMBER(Settings!$C$9))),"",TRIM(SUBSTITUTE(SUBSTITUTE(INDEX('INPUT - Roster'!$S$1:$SV$206,$B141,Settings!$C$9+12)&amp;"",CHAR(10)," "),CHAR(160)," ")))</f>
        <v/>
      </c>
      <c r="S141">
        <f>IF(OR($B141="",NOT(ISNUMBER(Settings!$C$9))),"",TRIM(SUBSTITUTE(SUBSTITUTE(INDEX('INPUT - Roster'!$S$1:$SV$206,$B141,Settings!$C$9+13)&amp;"",CHAR(10)," "),CHAR(160)," ")))</f>
        <v/>
      </c>
      <c r="T141">
        <f>IF(OR($B141="",NOT(ISNUMBER(Settings!$C$9))),"",TRIM(SUBSTITUTE(SUBSTITUTE(INDEX('INPUT - Roster'!$S$1:$SV$206,$B141,Settings!$C$9+14)&amp;"",CHAR(10)," "),CHAR(160)," ")))</f>
        <v/>
      </c>
      <c r="U141">
        <f>IF(OR($B141="",NOT(ISNUMBER(Settings!$C$9))),"",TRIM(SUBSTITUTE(SUBSTITUTE(INDEX('INPUT - Roster'!$S$1:$SV$206,$B141,Settings!$C$9+15)&amp;"",CHAR(10)," "),CHAR(160)," ")))</f>
        <v/>
      </c>
      <c r="V141">
        <f>IF(OR($B141="",NOT(ISNUMBER(Settings!$C$9))),"",TRIM(SUBSTITUTE(SUBSTITUTE(INDEX('INPUT - Roster'!$S$1:$SV$206,$B141,Settings!$C$9+16)&amp;"",CHAR(10)," "),CHAR(160)," ")))</f>
        <v/>
      </c>
      <c r="W141">
        <f>IF(OR($B141="",NOT(ISNUMBER(Settings!$C$9))),"",TRIM(SUBSTITUTE(SUBSTITUTE(INDEX('INPUT - Roster'!$S$1:$SV$206,$B141,Settings!$C$9+17)&amp;"",CHAR(10)," "),CHAR(160)," ")))</f>
        <v/>
      </c>
      <c r="X141">
        <f>IF(OR($B141="",NOT(ISNUMBER(Settings!$C$9))),"",TRIM(SUBSTITUTE(SUBSTITUTE(INDEX('INPUT - Roster'!$S$1:$SV$206,$B141,Settings!$C$9+18)&amp;"",CHAR(10)," "),CHAR(160)," ")))</f>
        <v/>
      </c>
      <c r="Y141">
        <f>IF(OR($B141="",NOT(ISNUMBER(Settings!$C$9))),"",TRIM(SUBSTITUTE(SUBSTITUTE(INDEX('INPUT - Roster'!$S$1:$SV$206,$B141,Settings!$C$9+19)&amp;"",CHAR(10)," "),CHAR(160)," ")))</f>
        <v/>
      </c>
      <c r="Z141">
        <f>IF(OR($B141="",NOT(ISNUMBER(Settings!$C$9))),"",TRIM(SUBSTITUTE(SUBSTITUTE(INDEX('INPUT - Roster'!$S$1:$SV$206,$B141,Settings!$C$9+20)&amp;"",CHAR(10)," "),CHAR(160)," ")))</f>
        <v/>
      </c>
      <c r="AA141">
        <f>IF(OR($B141="",NOT(ISNUMBER(Settings!$C$9))),"",TRIM(SUBSTITUTE(SUBSTITUTE(INDEX('INPUT - Roster'!$S$1:$SV$206,$B141,Settings!$C$9+21)&amp;"",CHAR(10)," "),CHAR(160)," ")))</f>
        <v/>
      </c>
      <c r="AB141">
        <f>IF(OR($B141="",NOT(ISNUMBER(Settings!$C$9))),"",TRIM(SUBSTITUTE(SUBSTITUTE(INDEX('INPUT - Roster'!$S$1:$SV$206,$B141,Settings!$C$9+22)&amp;"",CHAR(10)," "),CHAR(160)," ")))</f>
        <v/>
      </c>
      <c r="AC141">
        <f>IF(OR($B141="",NOT(ISNUMBER(Settings!$C$9))),"",TRIM(SUBSTITUTE(SUBSTITUTE(INDEX('INPUT - Roster'!$S$1:$SV$206,$B141,Settings!$C$9+23)&amp;"",CHAR(10)," "),CHAR(160)," ")))</f>
        <v/>
      </c>
      <c r="AD141">
        <f>IF(OR($B141="",NOT(ISNUMBER(Settings!$C$9))),"",TRIM(SUBSTITUTE(SUBSTITUTE(INDEX('INPUT - Roster'!$S$1:$SV$206,$B141,Settings!$C$9+24)&amp;"",CHAR(10)," "),CHAR(160)," ")))</f>
        <v/>
      </c>
      <c r="AE141">
        <f>IF(OR($B141="",NOT(ISNUMBER(Settings!$C$9))),"",TRIM(SUBSTITUTE(SUBSTITUTE(INDEX('INPUT - Roster'!$S$1:$SV$206,$B141,Settings!$C$9+25)&amp;"",CHAR(10)," "),CHAR(160)," ")))</f>
        <v/>
      </c>
      <c r="AF141">
        <f>IF(OR($B141="",NOT(ISNUMBER(Settings!$C$9))),"",TRIM(SUBSTITUTE(SUBSTITUTE(INDEX('INPUT - Roster'!$S$1:$SV$206,$B141,Settings!$C$9+26)&amp;"",CHAR(10)," "),CHAR(160)," ")))</f>
        <v/>
      </c>
      <c r="AG141">
        <f>IF(OR($B141="",NOT(ISNUMBER(Settings!$C$9))),"",TRIM(SUBSTITUTE(SUBSTITUTE(INDEX('INPUT - Roster'!$S$1:$SV$206,$B141,Settings!$C$9+27)&amp;"",CHAR(10)," "),CHAR(160)," ")))</f>
        <v/>
      </c>
      <c r="AI141">
        <f>IF($B141="","",IF(F141="","Not rostered",IFERROR(INDEX(Settings!$C$14:$C$33,MATCH(F141,Settings!$B$14:$B$33,0)),IFERROR(LOOKUP(2^15,SEARCH(Settings!$I$14:$I$83,F141)/(Settings!$I$14:$I$83&lt;&gt;""),Settings!$J$14:$J$83),"Other"))))</f>
        <v/>
      </c>
      <c r="AJ141">
        <f>IF($B141="","",IF(G141="","Not rostered",IFERROR(INDEX(Settings!$C$14:$C$33,MATCH(G141,Settings!$B$14:$B$33,0)),IFERROR(LOOKUP(2^15,SEARCH(Settings!$I$14:$I$83,G141)/(Settings!$I$14:$I$83&lt;&gt;""),Settings!$J$14:$J$83),"Other"))))</f>
        <v/>
      </c>
      <c r="AK141">
        <f>IF($B141="","",IF(H141="","Not rostered",IFERROR(INDEX(Settings!$C$14:$C$33,MATCH(H141,Settings!$B$14:$B$33,0)),IFERROR(LOOKUP(2^15,SEARCH(Settings!$I$14:$I$83,H141)/(Settings!$I$14:$I$83&lt;&gt;""),Settings!$J$14:$J$83),"Other"))))</f>
        <v/>
      </c>
      <c r="AL141">
        <f>IF($B141="","",IF(I141="","Not rostered",IFERROR(INDEX(Settings!$C$14:$C$33,MATCH(I141,Settings!$B$14:$B$33,0)),IFERROR(LOOKUP(2^15,SEARCH(Settings!$I$14:$I$83,I141)/(Settings!$I$14:$I$83&lt;&gt;""),Settings!$J$14:$J$83),"Other"))))</f>
        <v/>
      </c>
      <c r="AM141">
        <f>IF($B141="","",IF(J141="","Not rostered",IFERROR(INDEX(Settings!$C$14:$C$33,MATCH(J141,Settings!$B$14:$B$33,0)),IFERROR(LOOKUP(2^15,SEARCH(Settings!$I$14:$I$83,J141)/(Settings!$I$14:$I$83&lt;&gt;""),Settings!$J$14:$J$83),"Other"))))</f>
        <v/>
      </c>
      <c r="AN141">
        <f>IF($B141="","",IF(K141="","Not rostered",IFERROR(INDEX(Settings!$C$14:$C$33,MATCH(K141,Settings!$B$14:$B$33,0)),IFERROR(LOOKUP(2^15,SEARCH(Settings!$I$14:$I$83,K141)/(Settings!$I$14:$I$83&lt;&gt;""),Settings!$J$14:$J$83),"Other"))))</f>
        <v/>
      </c>
      <c r="AO141">
        <f>IF($B141="","",IF(L141="","Not rostered",IFERROR(INDEX(Settings!$C$14:$C$33,MATCH(L141,Settings!$B$14:$B$33,0)),IFERROR(LOOKUP(2^15,SEARCH(Settings!$I$14:$I$83,L141)/(Settings!$I$14:$I$83&lt;&gt;""),Settings!$J$14:$J$83),"Other"))))</f>
        <v/>
      </c>
      <c r="AP141">
        <f>IF($B141="","",IF(M141="","Not rostered",IFERROR(INDEX(Settings!$C$14:$C$33,MATCH(M141,Settings!$B$14:$B$33,0)),IFERROR(LOOKUP(2^15,SEARCH(Settings!$I$14:$I$83,M141)/(Settings!$I$14:$I$83&lt;&gt;""),Settings!$J$14:$J$83),"Other"))))</f>
        <v/>
      </c>
      <c r="AQ141">
        <f>IF($B141="","",IF(N141="","Not rostered",IFERROR(INDEX(Settings!$C$14:$C$33,MATCH(N141,Settings!$B$14:$B$33,0)),IFERROR(LOOKUP(2^15,SEARCH(Settings!$I$14:$I$83,N141)/(Settings!$I$14:$I$83&lt;&gt;""),Settings!$J$14:$J$83),"Other"))))</f>
        <v/>
      </c>
      <c r="AR141">
        <f>IF($B141="","",IF(O141="","Not rostered",IFERROR(INDEX(Settings!$C$14:$C$33,MATCH(O141,Settings!$B$14:$B$33,0)),IFERROR(LOOKUP(2^15,SEARCH(Settings!$I$14:$I$83,O141)/(Settings!$I$14:$I$83&lt;&gt;""),Settings!$J$14:$J$83),"Other"))))</f>
        <v/>
      </c>
      <c r="AS141">
        <f>IF($B141="","",IF(P141="","Not rostered",IFERROR(INDEX(Settings!$C$14:$C$33,MATCH(P141,Settings!$B$14:$B$33,0)),IFERROR(LOOKUP(2^15,SEARCH(Settings!$I$14:$I$83,P141)/(Settings!$I$14:$I$83&lt;&gt;""),Settings!$J$14:$J$83),"Other"))))</f>
        <v/>
      </c>
      <c r="AT141">
        <f>IF($B141="","",IF(Q141="","Not rostered",IFERROR(INDEX(Settings!$C$14:$C$33,MATCH(Q141,Settings!$B$14:$B$33,0)),IFERROR(LOOKUP(2^15,SEARCH(Settings!$I$14:$I$83,Q141)/(Settings!$I$14:$I$83&lt;&gt;""),Settings!$J$14:$J$83),"Other"))))</f>
        <v/>
      </c>
      <c r="AU141">
        <f>IF($B141="","",IF(R141="","Not rostered",IFERROR(INDEX(Settings!$C$14:$C$33,MATCH(R141,Settings!$B$14:$B$33,0)),IFERROR(LOOKUP(2^15,SEARCH(Settings!$I$14:$I$83,R141)/(Settings!$I$14:$I$83&lt;&gt;""),Settings!$J$14:$J$83),"Other"))))</f>
        <v/>
      </c>
      <c r="AV141">
        <f>IF($B141="","",IF(S141="","Not rostered",IFERROR(INDEX(Settings!$C$14:$C$33,MATCH(S141,Settings!$B$14:$B$33,0)),IFERROR(LOOKUP(2^15,SEARCH(Settings!$I$14:$I$83,S141)/(Settings!$I$14:$I$83&lt;&gt;""),Settings!$J$14:$J$83),"Other"))))</f>
        <v/>
      </c>
      <c r="AW141">
        <f>IF($B141="","",IF(T141="","Not rostered",IFERROR(INDEX(Settings!$C$14:$C$33,MATCH(T141,Settings!$B$14:$B$33,0)),IFERROR(LOOKUP(2^15,SEARCH(Settings!$I$14:$I$83,T141)/(Settings!$I$14:$I$83&lt;&gt;""),Settings!$J$14:$J$83),"Other"))))</f>
        <v/>
      </c>
      <c r="AX141">
        <f>IF($B141="","",IF(U141="","Not rostered",IFERROR(INDEX(Settings!$C$14:$C$33,MATCH(U141,Settings!$B$14:$B$33,0)),IFERROR(LOOKUP(2^15,SEARCH(Settings!$I$14:$I$83,U141)/(Settings!$I$14:$I$83&lt;&gt;""),Settings!$J$14:$J$83),"Other"))))</f>
        <v/>
      </c>
      <c r="AY141">
        <f>IF($B141="","",IF(V141="","Not rostered",IFERROR(INDEX(Settings!$C$14:$C$33,MATCH(V141,Settings!$B$14:$B$33,0)),IFERROR(LOOKUP(2^15,SEARCH(Settings!$I$14:$I$83,V141)/(Settings!$I$14:$I$83&lt;&gt;""),Settings!$J$14:$J$83),"Other"))))</f>
        <v/>
      </c>
      <c r="AZ141">
        <f>IF($B141="","",IF(W141="","Not rostered",IFERROR(INDEX(Settings!$C$14:$C$33,MATCH(W141,Settings!$B$14:$B$33,0)),IFERROR(LOOKUP(2^15,SEARCH(Settings!$I$14:$I$83,W141)/(Settings!$I$14:$I$83&lt;&gt;""),Settings!$J$14:$J$83),"Other"))))</f>
        <v/>
      </c>
      <c r="BA141">
        <f>IF($B141="","",IF(X141="","Not rostered",IFERROR(INDEX(Settings!$C$14:$C$33,MATCH(X141,Settings!$B$14:$B$33,0)),IFERROR(LOOKUP(2^15,SEARCH(Settings!$I$14:$I$83,X141)/(Settings!$I$14:$I$83&lt;&gt;""),Settings!$J$14:$J$83),"Other"))))</f>
        <v/>
      </c>
      <c r="BB141">
        <f>IF($B141="","",IF(Y141="","Not rostered",IFERROR(INDEX(Settings!$C$14:$C$33,MATCH(Y141,Settings!$B$14:$B$33,0)),IFERROR(LOOKUP(2^15,SEARCH(Settings!$I$14:$I$83,Y141)/(Settings!$I$14:$I$83&lt;&gt;""),Settings!$J$14:$J$83),"Other"))))</f>
        <v/>
      </c>
      <c r="BC141">
        <f>IF($B141="","",IF(Z141="","Not rostered",IFERROR(INDEX(Settings!$C$14:$C$33,MATCH(Z141,Settings!$B$14:$B$33,0)),IFERROR(LOOKUP(2^15,SEARCH(Settings!$I$14:$I$83,Z141)/(Settings!$I$14:$I$83&lt;&gt;""),Settings!$J$14:$J$83),"Other"))))</f>
        <v/>
      </c>
      <c r="BD141">
        <f>IF($B141="","",IF(AA141="","Not rostered",IFERROR(INDEX(Settings!$C$14:$C$33,MATCH(AA141,Settings!$B$14:$B$33,0)),IFERROR(LOOKUP(2^15,SEARCH(Settings!$I$14:$I$83,AA141)/(Settings!$I$14:$I$83&lt;&gt;""),Settings!$J$14:$J$83),"Other"))))</f>
        <v/>
      </c>
      <c r="BE141">
        <f>IF($B141="","",IF(AB141="","Not rostered",IFERROR(INDEX(Settings!$C$14:$C$33,MATCH(AB141,Settings!$B$14:$B$33,0)),IFERROR(LOOKUP(2^15,SEARCH(Settings!$I$14:$I$83,AB141)/(Settings!$I$14:$I$83&lt;&gt;""),Settings!$J$14:$J$83),"Other"))))</f>
        <v/>
      </c>
      <c r="BF141">
        <f>IF($B141="","",IF(AC141="","Not rostered",IFERROR(INDEX(Settings!$C$14:$C$33,MATCH(AC141,Settings!$B$14:$B$33,0)),IFERROR(LOOKUP(2^15,SEARCH(Settings!$I$14:$I$83,AC141)/(Settings!$I$14:$I$83&lt;&gt;""),Settings!$J$14:$J$83),"Other"))))</f>
        <v/>
      </c>
      <c r="BG141">
        <f>IF($B141="","",IF(AD141="","Not rostered",IFERROR(INDEX(Settings!$C$14:$C$33,MATCH(AD141,Settings!$B$14:$B$33,0)),IFERROR(LOOKUP(2^15,SEARCH(Settings!$I$14:$I$83,AD141)/(Settings!$I$14:$I$83&lt;&gt;""),Settings!$J$14:$J$83),"Other"))))</f>
        <v/>
      </c>
      <c r="BH141">
        <f>IF($B141="","",IF(AE141="","Not rostered",IFERROR(INDEX(Settings!$C$14:$C$33,MATCH(AE141,Settings!$B$14:$B$33,0)),IFERROR(LOOKUP(2^15,SEARCH(Settings!$I$14:$I$83,AE141)/(Settings!$I$14:$I$83&lt;&gt;""),Settings!$J$14:$J$83),"Other"))))</f>
        <v/>
      </c>
      <c r="BI141">
        <f>IF($B141="","",IF(AF141="","Not rostered",IFERROR(INDEX(Settings!$C$14:$C$33,MATCH(AF141,Settings!$B$14:$B$33,0)),IFERROR(LOOKUP(2^15,SEARCH(Settings!$I$14:$I$83,AF141)/(Settings!$I$14:$I$83&lt;&gt;""),Settings!$J$14:$J$83),"Other"))))</f>
        <v/>
      </c>
      <c r="BJ141">
        <f>IF($B141="","",IF(AG141="","Not rostered",IFERROR(INDEX(Settings!$C$14:$C$33,MATCH(AG141,Settings!$B$14:$B$33,0)),IFERROR(LOOKUP(2^15,SEARCH(Settings!$I$14:$I$83,AG141)/(Settings!$I$14:$I$83&lt;&gt;""),Settings!$J$14:$J$83),"Other"))))</f>
        <v/>
      </c>
      <c r="BL141">
        <f>IF(OR($B141="",F141=""),"",IFERROR(INDEX(Settings!$D$14:$D$33,MATCH(F141,Settings!$B$14:$B$33,0))&amp;"",IFERROR(LOOKUP(2^15,SEARCH(Settings!$F$14:$F$43,F141)/(Settings!$F$14:$F$43&lt;&gt;""),Settings!$G$14:$G$43),"")))</f>
        <v/>
      </c>
      <c r="BM141">
        <f>IF(OR($B141="",G141=""),"",IFERROR(INDEX(Settings!$D$14:$D$33,MATCH(G141,Settings!$B$14:$B$33,0))&amp;"",IFERROR(LOOKUP(2^15,SEARCH(Settings!$F$14:$F$43,G141)/(Settings!$F$14:$F$43&lt;&gt;""),Settings!$G$14:$G$43),"")))</f>
        <v/>
      </c>
      <c r="BN141">
        <f>IF(OR($B141="",H141=""),"",IFERROR(INDEX(Settings!$D$14:$D$33,MATCH(H141,Settings!$B$14:$B$33,0))&amp;"",IFERROR(LOOKUP(2^15,SEARCH(Settings!$F$14:$F$43,H141)/(Settings!$F$14:$F$43&lt;&gt;""),Settings!$G$14:$G$43),"")))</f>
        <v/>
      </c>
      <c r="BO141">
        <f>IF(OR($B141="",I141=""),"",IFERROR(INDEX(Settings!$D$14:$D$33,MATCH(I141,Settings!$B$14:$B$33,0))&amp;"",IFERROR(LOOKUP(2^15,SEARCH(Settings!$F$14:$F$43,I141)/(Settings!$F$14:$F$43&lt;&gt;""),Settings!$G$14:$G$43),"")))</f>
        <v/>
      </c>
      <c r="BP141">
        <f>IF(OR($B141="",J141=""),"",IFERROR(INDEX(Settings!$D$14:$D$33,MATCH(J141,Settings!$B$14:$B$33,0))&amp;"",IFERROR(LOOKUP(2^15,SEARCH(Settings!$F$14:$F$43,J141)/(Settings!$F$14:$F$43&lt;&gt;""),Settings!$G$14:$G$43),"")))</f>
        <v/>
      </c>
      <c r="BQ141">
        <f>IF(OR($B141="",K141=""),"",IFERROR(INDEX(Settings!$D$14:$D$33,MATCH(K141,Settings!$B$14:$B$33,0))&amp;"",IFERROR(LOOKUP(2^15,SEARCH(Settings!$F$14:$F$43,K141)/(Settings!$F$14:$F$43&lt;&gt;""),Settings!$G$14:$G$43),"")))</f>
        <v/>
      </c>
      <c r="BR141">
        <f>IF(OR($B141="",L141=""),"",IFERROR(INDEX(Settings!$D$14:$D$33,MATCH(L141,Settings!$B$14:$B$33,0))&amp;"",IFERROR(LOOKUP(2^15,SEARCH(Settings!$F$14:$F$43,L141)/(Settings!$F$14:$F$43&lt;&gt;""),Settings!$G$14:$G$43),"")))</f>
        <v/>
      </c>
      <c r="BS141">
        <f>IF(OR($B141="",M141=""),"",IFERROR(INDEX(Settings!$D$14:$D$33,MATCH(M141,Settings!$B$14:$B$33,0))&amp;"",IFERROR(LOOKUP(2^15,SEARCH(Settings!$F$14:$F$43,M141)/(Settings!$F$14:$F$43&lt;&gt;""),Settings!$G$14:$G$43),"")))</f>
        <v/>
      </c>
      <c r="BT141">
        <f>IF(OR($B141="",N141=""),"",IFERROR(INDEX(Settings!$D$14:$D$33,MATCH(N141,Settings!$B$14:$B$33,0))&amp;"",IFERROR(LOOKUP(2^15,SEARCH(Settings!$F$14:$F$43,N141)/(Settings!$F$14:$F$43&lt;&gt;""),Settings!$G$14:$G$43),"")))</f>
        <v/>
      </c>
      <c r="BU141">
        <f>IF(OR($B141="",O141=""),"",IFERROR(INDEX(Settings!$D$14:$D$33,MATCH(O141,Settings!$B$14:$B$33,0))&amp;"",IFERROR(LOOKUP(2^15,SEARCH(Settings!$F$14:$F$43,O141)/(Settings!$F$14:$F$43&lt;&gt;""),Settings!$G$14:$G$43),"")))</f>
        <v/>
      </c>
      <c r="BV141">
        <f>IF(OR($B141="",P141=""),"",IFERROR(INDEX(Settings!$D$14:$D$33,MATCH(P141,Settings!$B$14:$B$33,0))&amp;"",IFERROR(LOOKUP(2^15,SEARCH(Settings!$F$14:$F$43,P141)/(Settings!$F$14:$F$43&lt;&gt;""),Settings!$G$14:$G$43),"")))</f>
        <v/>
      </c>
      <c r="BW141">
        <f>IF(OR($B141="",Q141=""),"",IFERROR(INDEX(Settings!$D$14:$D$33,MATCH(Q141,Settings!$B$14:$B$33,0))&amp;"",IFERROR(LOOKUP(2^15,SEARCH(Settings!$F$14:$F$43,Q141)/(Settings!$F$14:$F$43&lt;&gt;""),Settings!$G$14:$G$43),"")))</f>
        <v/>
      </c>
      <c r="BX141">
        <f>IF(OR($B141="",R141=""),"",IFERROR(INDEX(Settings!$D$14:$D$33,MATCH(R141,Settings!$B$14:$B$33,0))&amp;"",IFERROR(LOOKUP(2^15,SEARCH(Settings!$F$14:$F$43,R141)/(Settings!$F$14:$F$43&lt;&gt;""),Settings!$G$14:$G$43),"")))</f>
        <v/>
      </c>
      <c r="BY141">
        <f>IF(OR($B141="",S141=""),"",IFERROR(INDEX(Settings!$D$14:$D$33,MATCH(S141,Settings!$B$14:$B$33,0))&amp;"",IFERROR(LOOKUP(2^15,SEARCH(Settings!$F$14:$F$43,S141)/(Settings!$F$14:$F$43&lt;&gt;""),Settings!$G$14:$G$43),"")))</f>
        <v/>
      </c>
      <c r="BZ141">
        <f>IF(OR($B141="",T141=""),"",IFERROR(INDEX(Settings!$D$14:$D$33,MATCH(T141,Settings!$B$14:$B$33,0))&amp;"",IFERROR(LOOKUP(2^15,SEARCH(Settings!$F$14:$F$43,T141)/(Settings!$F$14:$F$43&lt;&gt;""),Settings!$G$14:$G$43),"")))</f>
        <v/>
      </c>
      <c r="CA141">
        <f>IF(OR($B141="",U141=""),"",IFERROR(INDEX(Settings!$D$14:$D$33,MATCH(U141,Settings!$B$14:$B$33,0))&amp;"",IFERROR(LOOKUP(2^15,SEARCH(Settings!$F$14:$F$43,U141)/(Settings!$F$14:$F$43&lt;&gt;""),Settings!$G$14:$G$43),"")))</f>
        <v/>
      </c>
      <c r="CB141">
        <f>IF(OR($B141="",V141=""),"",IFERROR(INDEX(Settings!$D$14:$D$33,MATCH(V141,Settings!$B$14:$B$33,0))&amp;"",IFERROR(LOOKUP(2^15,SEARCH(Settings!$F$14:$F$43,V141)/(Settings!$F$14:$F$43&lt;&gt;""),Settings!$G$14:$G$43),"")))</f>
        <v/>
      </c>
      <c r="CC141">
        <f>IF(OR($B141="",W141=""),"",IFERROR(INDEX(Settings!$D$14:$D$33,MATCH(W141,Settings!$B$14:$B$33,0))&amp;"",IFERROR(LOOKUP(2^15,SEARCH(Settings!$F$14:$F$43,W141)/(Settings!$F$14:$F$43&lt;&gt;""),Settings!$G$14:$G$43),"")))</f>
        <v/>
      </c>
      <c r="CD141">
        <f>IF(OR($B141="",X141=""),"",IFERROR(INDEX(Settings!$D$14:$D$33,MATCH(X141,Settings!$B$14:$B$33,0))&amp;"",IFERROR(LOOKUP(2^15,SEARCH(Settings!$F$14:$F$43,X141)/(Settings!$F$14:$F$43&lt;&gt;""),Settings!$G$14:$G$43),"")))</f>
        <v/>
      </c>
      <c r="CE141">
        <f>IF(OR($B141="",Y141=""),"",IFERROR(INDEX(Settings!$D$14:$D$33,MATCH(Y141,Settings!$B$14:$B$33,0))&amp;"",IFERROR(LOOKUP(2^15,SEARCH(Settings!$F$14:$F$43,Y141)/(Settings!$F$14:$F$43&lt;&gt;""),Settings!$G$14:$G$43),"")))</f>
        <v/>
      </c>
      <c r="CF141">
        <f>IF(OR($B141="",Z141=""),"",IFERROR(INDEX(Settings!$D$14:$D$33,MATCH(Z141,Settings!$B$14:$B$33,0))&amp;"",IFERROR(LOOKUP(2^15,SEARCH(Settings!$F$14:$F$43,Z141)/(Settings!$F$14:$F$43&lt;&gt;""),Settings!$G$14:$G$43),"")))</f>
        <v/>
      </c>
      <c r="CG141">
        <f>IF(OR($B141="",AA141=""),"",IFERROR(INDEX(Settings!$D$14:$D$33,MATCH(AA141,Settings!$B$14:$B$33,0))&amp;"",IFERROR(LOOKUP(2^15,SEARCH(Settings!$F$14:$F$43,AA141)/(Settings!$F$14:$F$43&lt;&gt;""),Settings!$G$14:$G$43),"")))</f>
        <v/>
      </c>
      <c r="CH141">
        <f>IF(OR($B141="",AB141=""),"",IFERROR(INDEX(Settings!$D$14:$D$33,MATCH(AB141,Settings!$B$14:$B$33,0))&amp;"",IFERROR(LOOKUP(2^15,SEARCH(Settings!$F$14:$F$43,AB141)/(Settings!$F$14:$F$43&lt;&gt;""),Settings!$G$14:$G$43),"")))</f>
        <v/>
      </c>
      <c r="CI141">
        <f>IF(OR($B141="",AC141=""),"",IFERROR(INDEX(Settings!$D$14:$D$33,MATCH(AC141,Settings!$B$14:$B$33,0))&amp;"",IFERROR(LOOKUP(2^15,SEARCH(Settings!$F$14:$F$43,AC141)/(Settings!$F$14:$F$43&lt;&gt;""),Settings!$G$14:$G$43),"")))</f>
        <v/>
      </c>
      <c r="CJ141">
        <f>IF(OR($B141="",AD141=""),"",IFERROR(INDEX(Settings!$D$14:$D$33,MATCH(AD141,Settings!$B$14:$B$33,0))&amp;"",IFERROR(LOOKUP(2^15,SEARCH(Settings!$F$14:$F$43,AD141)/(Settings!$F$14:$F$43&lt;&gt;""),Settings!$G$14:$G$43),"")))</f>
        <v/>
      </c>
      <c r="CK141">
        <f>IF(OR($B141="",AE141=""),"",IFERROR(INDEX(Settings!$D$14:$D$33,MATCH(AE141,Settings!$B$14:$B$33,0))&amp;"",IFERROR(LOOKUP(2^15,SEARCH(Settings!$F$14:$F$43,AE141)/(Settings!$F$14:$F$43&lt;&gt;""),Settings!$G$14:$G$43),"")))</f>
        <v/>
      </c>
      <c r="CL141">
        <f>IF(OR($B141="",AF141=""),"",IFERROR(INDEX(Settings!$D$14:$D$33,MATCH(AF141,Settings!$B$14:$B$33,0))&amp;"",IFERROR(LOOKUP(2^15,SEARCH(Settings!$F$14:$F$43,AF141)/(Settings!$F$14:$F$43&lt;&gt;""),Settings!$G$14:$G$43),"")))</f>
        <v/>
      </c>
      <c r="CM141">
        <f>IF(OR($B141="",AG141=""),"",IFERROR(INDEX(Settings!$D$14:$D$33,MATCH(AG141,Settings!$B$14:$B$33,0))&amp;"",IFERROR(LOOKUP(2^15,SEARCH(Settings!$F$14:$F$43,AG141)/(Settings!$F$14:$F$43&lt;&gt;""),Settings!$G$14:$G$43),"")))</f>
        <v/>
      </c>
    </row>
    <row r="142">
      <c r="A142" t="n">
        <v>140</v>
      </c>
      <c r="B142">
        <f>IFERROR(INDEX(Index!$A$2:$A$202,MATCH(A142,Index!$E$2:$E$202,0)),"")</f>
        <v/>
      </c>
      <c r="D142">
        <f>IF($B142="","",IFERROR(MATCH("Travel*",AI142:BJ142,0),""))</f>
        <v/>
      </c>
      <c r="F142">
        <f>IF(OR($B142="",NOT(ISNUMBER(Settings!$C$9))),"",TRIM(SUBSTITUTE(SUBSTITUTE(INDEX('INPUT - Roster'!$S$1:$SV$206,$B142,Settings!$C$9+0)&amp;"",CHAR(10)," "),CHAR(160)," ")))</f>
        <v/>
      </c>
      <c r="G142">
        <f>IF(OR($B142="",NOT(ISNUMBER(Settings!$C$9))),"",TRIM(SUBSTITUTE(SUBSTITUTE(INDEX('INPUT - Roster'!$S$1:$SV$206,$B142,Settings!$C$9+1)&amp;"",CHAR(10)," "),CHAR(160)," ")))</f>
        <v/>
      </c>
      <c r="H142">
        <f>IF(OR($B142="",NOT(ISNUMBER(Settings!$C$9))),"",TRIM(SUBSTITUTE(SUBSTITUTE(INDEX('INPUT - Roster'!$S$1:$SV$206,$B142,Settings!$C$9+2)&amp;"",CHAR(10)," "),CHAR(160)," ")))</f>
        <v/>
      </c>
      <c r="I142">
        <f>IF(OR($B142="",NOT(ISNUMBER(Settings!$C$9))),"",TRIM(SUBSTITUTE(SUBSTITUTE(INDEX('INPUT - Roster'!$S$1:$SV$206,$B142,Settings!$C$9+3)&amp;"",CHAR(10)," "),CHAR(160)," ")))</f>
        <v/>
      </c>
      <c r="J142">
        <f>IF(OR($B142="",NOT(ISNUMBER(Settings!$C$9))),"",TRIM(SUBSTITUTE(SUBSTITUTE(INDEX('INPUT - Roster'!$S$1:$SV$206,$B142,Settings!$C$9+4)&amp;"",CHAR(10)," "),CHAR(160)," ")))</f>
        <v/>
      </c>
      <c r="K142">
        <f>IF(OR($B142="",NOT(ISNUMBER(Settings!$C$9))),"",TRIM(SUBSTITUTE(SUBSTITUTE(INDEX('INPUT - Roster'!$S$1:$SV$206,$B142,Settings!$C$9+5)&amp;"",CHAR(10)," "),CHAR(160)," ")))</f>
        <v/>
      </c>
      <c r="L142">
        <f>IF(OR($B142="",NOT(ISNUMBER(Settings!$C$9))),"",TRIM(SUBSTITUTE(SUBSTITUTE(INDEX('INPUT - Roster'!$S$1:$SV$206,$B142,Settings!$C$9+6)&amp;"",CHAR(10)," "),CHAR(160)," ")))</f>
        <v/>
      </c>
      <c r="M142">
        <f>IF(OR($B142="",NOT(ISNUMBER(Settings!$C$9))),"",TRIM(SUBSTITUTE(SUBSTITUTE(INDEX('INPUT - Roster'!$S$1:$SV$206,$B142,Settings!$C$9+7)&amp;"",CHAR(10)," "),CHAR(160)," ")))</f>
        <v/>
      </c>
      <c r="N142">
        <f>IF(OR($B142="",NOT(ISNUMBER(Settings!$C$9))),"",TRIM(SUBSTITUTE(SUBSTITUTE(INDEX('INPUT - Roster'!$S$1:$SV$206,$B142,Settings!$C$9+8)&amp;"",CHAR(10)," "),CHAR(160)," ")))</f>
        <v/>
      </c>
      <c r="O142">
        <f>IF(OR($B142="",NOT(ISNUMBER(Settings!$C$9))),"",TRIM(SUBSTITUTE(SUBSTITUTE(INDEX('INPUT - Roster'!$S$1:$SV$206,$B142,Settings!$C$9+9)&amp;"",CHAR(10)," "),CHAR(160)," ")))</f>
        <v/>
      </c>
      <c r="P142">
        <f>IF(OR($B142="",NOT(ISNUMBER(Settings!$C$9))),"",TRIM(SUBSTITUTE(SUBSTITUTE(INDEX('INPUT - Roster'!$S$1:$SV$206,$B142,Settings!$C$9+10)&amp;"",CHAR(10)," "),CHAR(160)," ")))</f>
        <v/>
      </c>
      <c r="Q142">
        <f>IF(OR($B142="",NOT(ISNUMBER(Settings!$C$9))),"",TRIM(SUBSTITUTE(SUBSTITUTE(INDEX('INPUT - Roster'!$S$1:$SV$206,$B142,Settings!$C$9+11)&amp;"",CHAR(10)," "),CHAR(160)," ")))</f>
        <v/>
      </c>
      <c r="R142">
        <f>IF(OR($B142="",NOT(ISNUMBER(Settings!$C$9))),"",TRIM(SUBSTITUTE(SUBSTITUTE(INDEX('INPUT - Roster'!$S$1:$SV$206,$B142,Settings!$C$9+12)&amp;"",CHAR(10)," "),CHAR(160)," ")))</f>
        <v/>
      </c>
      <c r="S142">
        <f>IF(OR($B142="",NOT(ISNUMBER(Settings!$C$9))),"",TRIM(SUBSTITUTE(SUBSTITUTE(INDEX('INPUT - Roster'!$S$1:$SV$206,$B142,Settings!$C$9+13)&amp;"",CHAR(10)," "),CHAR(160)," ")))</f>
        <v/>
      </c>
      <c r="T142">
        <f>IF(OR($B142="",NOT(ISNUMBER(Settings!$C$9))),"",TRIM(SUBSTITUTE(SUBSTITUTE(INDEX('INPUT - Roster'!$S$1:$SV$206,$B142,Settings!$C$9+14)&amp;"",CHAR(10)," "),CHAR(160)," ")))</f>
        <v/>
      </c>
      <c r="U142">
        <f>IF(OR($B142="",NOT(ISNUMBER(Settings!$C$9))),"",TRIM(SUBSTITUTE(SUBSTITUTE(INDEX('INPUT - Roster'!$S$1:$SV$206,$B142,Settings!$C$9+15)&amp;"",CHAR(10)," "),CHAR(160)," ")))</f>
        <v/>
      </c>
      <c r="V142">
        <f>IF(OR($B142="",NOT(ISNUMBER(Settings!$C$9))),"",TRIM(SUBSTITUTE(SUBSTITUTE(INDEX('INPUT - Roster'!$S$1:$SV$206,$B142,Settings!$C$9+16)&amp;"",CHAR(10)," "),CHAR(160)," ")))</f>
        <v/>
      </c>
      <c r="W142">
        <f>IF(OR($B142="",NOT(ISNUMBER(Settings!$C$9))),"",TRIM(SUBSTITUTE(SUBSTITUTE(INDEX('INPUT - Roster'!$S$1:$SV$206,$B142,Settings!$C$9+17)&amp;"",CHAR(10)," "),CHAR(160)," ")))</f>
        <v/>
      </c>
      <c r="X142">
        <f>IF(OR($B142="",NOT(ISNUMBER(Settings!$C$9))),"",TRIM(SUBSTITUTE(SUBSTITUTE(INDEX('INPUT - Roster'!$S$1:$SV$206,$B142,Settings!$C$9+18)&amp;"",CHAR(10)," "),CHAR(160)," ")))</f>
        <v/>
      </c>
      <c r="Y142">
        <f>IF(OR($B142="",NOT(ISNUMBER(Settings!$C$9))),"",TRIM(SUBSTITUTE(SUBSTITUTE(INDEX('INPUT - Roster'!$S$1:$SV$206,$B142,Settings!$C$9+19)&amp;"",CHAR(10)," "),CHAR(160)," ")))</f>
        <v/>
      </c>
      <c r="Z142">
        <f>IF(OR($B142="",NOT(ISNUMBER(Settings!$C$9))),"",TRIM(SUBSTITUTE(SUBSTITUTE(INDEX('INPUT - Roster'!$S$1:$SV$206,$B142,Settings!$C$9+20)&amp;"",CHAR(10)," "),CHAR(160)," ")))</f>
        <v/>
      </c>
      <c r="AA142">
        <f>IF(OR($B142="",NOT(ISNUMBER(Settings!$C$9))),"",TRIM(SUBSTITUTE(SUBSTITUTE(INDEX('INPUT - Roster'!$S$1:$SV$206,$B142,Settings!$C$9+21)&amp;"",CHAR(10)," "),CHAR(160)," ")))</f>
        <v/>
      </c>
      <c r="AB142">
        <f>IF(OR($B142="",NOT(ISNUMBER(Settings!$C$9))),"",TRIM(SUBSTITUTE(SUBSTITUTE(INDEX('INPUT - Roster'!$S$1:$SV$206,$B142,Settings!$C$9+22)&amp;"",CHAR(10)," "),CHAR(160)," ")))</f>
        <v/>
      </c>
      <c r="AC142">
        <f>IF(OR($B142="",NOT(ISNUMBER(Settings!$C$9))),"",TRIM(SUBSTITUTE(SUBSTITUTE(INDEX('INPUT - Roster'!$S$1:$SV$206,$B142,Settings!$C$9+23)&amp;"",CHAR(10)," "),CHAR(160)," ")))</f>
        <v/>
      </c>
      <c r="AD142">
        <f>IF(OR($B142="",NOT(ISNUMBER(Settings!$C$9))),"",TRIM(SUBSTITUTE(SUBSTITUTE(INDEX('INPUT - Roster'!$S$1:$SV$206,$B142,Settings!$C$9+24)&amp;"",CHAR(10)," "),CHAR(160)," ")))</f>
        <v/>
      </c>
      <c r="AE142">
        <f>IF(OR($B142="",NOT(ISNUMBER(Settings!$C$9))),"",TRIM(SUBSTITUTE(SUBSTITUTE(INDEX('INPUT - Roster'!$S$1:$SV$206,$B142,Settings!$C$9+25)&amp;"",CHAR(10)," "),CHAR(160)," ")))</f>
        <v/>
      </c>
      <c r="AF142">
        <f>IF(OR($B142="",NOT(ISNUMBER(Settings!$C$9))),"",TRIM(SUBSTITUTE(SUBSTITUTE(INDEX('INPUT - Roster'!$S$1:$SV$206,$B142,Settings!$C$9+26)&amp;"",CHAR(10)," "),CHAR(160)," ")))</f>
        <v/>
      </c>
      <c r="AG142">
        <f>IF(OR($B142="",NOT(ISNUMBER(Settings!$C$9))),"",TRIM(SUBSTITUTE(SUBSTITUTE(INDEX('INPUT - Roster'!$S$1:$SV$206,$B142,Settings!$C$9+27)&amp;"",CHAR(10)," "),CHAR(160)," ")))</f>
        <v/>
      </c>
      <c r="AI142">
        <f>IF($B142="","",IF(F142="","Not rostered",IFERROR(INDEX(Settings!$C$14:$C$33,MATCH(F142,Settings!$B$14:$B$33,0)),IFERROR(LOOKUP(2^15,SEARCH(Settings!$I$14:$I$83,F142)/(Settings!$I$14:$I$83&lt;&gt;""),Settings!$J$14:$J$83),"Other"))))</f>
        <v/>
      </c>
      <c r="AJ142">
        <f>IF($B142="","",IF(G142="","Not rostered",IFERROR(INDEX(Settings!$C$14:$C$33,MATCH(G142,Settings!$B$14:$B$33,0)),IFERROR(LOOKUP(2^15,SEARCH(Settings!$I$14:$I$83,G142)/(Settings!$I$14:$I$83&lt;&gt;""),Settings!$J$14:$J$83),"Other"))))</f>
        <v/>
      </c>
      <c r="AK142">
        <f>IF($B142="","",IF(H142="","Not rostered",IFERROR(INDEX(Settings!$C$14:$C$33,MATCH(H142,Settings!$B$14:$B$33,0)),IFERROR(LOOKUP(2^15,SEARCH(Settings!$I$14:$I$83,H142)/(Settings!$I$14:$I$83&lt;&gt;""),Settings!$J$14:$J$83),"Other"))))</f>
        <v/>
      </c>
      <c r="AL142">
        <f>IF($B142="","",IF(I142="","Not rostered",IFERROR(INDEX(Settings!$C$14:$C$33,MATCH(I142,Settings!$B$14:$B$33,0)),IFERROR(LOOKUP(2^15,SEARCH(Settings!$I$14:$I$83,I142)/(Settings!$I$14:$I$83&lt;&gt;""),Settings!$J$14:$J$83),"Other"))))</f>
        <v/>
      </c>
      <c r="AM142">
        <f>IF($B142="","",IF(J142="","Not rostered",IFERROR(INDEX(Settings!$C$14:$C$33,MATCH(J142,Settings!$B$14:$B$33,0)),IFERROR(LOOKUP(2^15,SEARCH(Settings!$I$14:$I$83,J142)/(Settings!$I$14:$I$83&lt;&gt;""),Settings!$J$14:$J$83),"Other"))))</f>
        <v/>
      </c>
      <c r="AN142">
        <f>IF($B142="","",IF(K142="","Not rostered",IFERROR(INDEX(Settings!$C$14:$C$33,MATCH(K142,Settings!$B$14:$B$33,0)),IFERROR(LOOKUP(2^15,SEARCH(Settings!$I$14:$I$83,K142)/(Settings!$I$14:$I$83&lt;&gt;""),Settings!$J$14:$J$83),"Other"))))</f>
        <v/>
      </c>
      <c r="AO142">
        <f>IF($B142="","",IF(L142="","Not rostered",IFERROR(INDEX(Settings!$C$14:$C$33,MATCH(L142,Settings!$B$14:$B$33,0)),IFERROR(LOOKUP(2^15,SEARCH(Settings!$I$14:$I$83,L142)/(Settings!$I$14:$I$83&lt;&gt;""),Settings!$J$14:$J$83),"Other"))))</f>
        <v/>
      </c>
      <c r="AP142">
        <f>IF($B142="","",IF(M142="","Not rostered",IFERROR(INDEX(Settings!$C$14:$C$33,MATCH(M142,Settings!$B$14:$B$33,0)),IFERROR(LOOKUP(2^15,SEARCH(Settings!$I$14:$I$83,M142)/(Settings!$I$14:$I$83&lt;&gt;""),Settings!$J$14:$J$83),"Other"))))</f>
        <v/>
      </c>
      <c r="AQ142">
        <f>IF($B142="","",IF(N142="","Not rostered",IFERROR(INDEX(Settings!$C$14:$C$33,MATCH(N142,Settings!$B$14:$B$33,0)),IFERROR(LOOKUP(2^15,SEARCH(Settings!$I$14:$I$83,N142)/(Settings!$I$14:$I$83&lt;&gt;""),Settings!$J$14:$J$83),"Other"))))</f>
        <v/>
      </c>
      <c r="AR142">
        <f>IF($B142="","",IF(O142="","Not rostered",IFERROR(INDEX(Settings!$C$14:$C$33,MATCH(O142,Settings!$B$14:$B$33,0)),IFERROR(LOOKUP(2^15,SEARCH(Settings!$I$14:$I$83,O142)/(Settings!$I$14:$I$83&lt;&gt;""),Settings!$J$14:$J$83),"Other"))))</f>
        <v/>
      </c>
      <c r="AS142">
        <f>IF($B142="","",IF(P142="","Not rostered",IFERROR(INDEX(Settings!$C$14:$C$33,MATCH(P142,Settings!$B$14:$B$33,0)),IFERROR(LOOKUP(2^15,SEARCH(Settings!$I$14:$I$83,P142)/(Settings!$I$14:$I$83&lt;&gt;""),Settings!$J$14:$J$83),"Other"))))</f>
        <v/>
      </c>
      <c r="AT142">
        <f>IF($B142="","",IF(Q142="","Not rostered",IFERROR(INDEX(Settings!$C$14:$C$33,MATCH(Q142,Settings!$B$14:$B$33,0)),IFERROR(LOOKUP(2^15,SEARCH(Settings!$I$14:$I$83,Q142)/(Settings!$I$14:$I$83&lt;&gt;""),Settings!$J$14:$J$83),"Other"))))</f>
        <v/>
      </c>
      <c r="AU142">
        <f>IF($B142="","",IF(R142="","Not rostered",IFERROR(INDEX(Settings!$C$14:$C$33,MATCH(R142,Settings!$B$14:$B$33,0)),IFERROR(LOOKUP(2^15,SEARCH(Settings!$I$14:$I$83,R142)/(Settings!$I$14:$I$83&lt;&gt;""),Settings!$J$14:$J$83),"Other"))))</f>
        <v/>
      </c>
      <c r="AV142">
        <f>IF($B142="","",IF(S142="","Not rostered",IFERROR(INDEX(Settings!$C$14:$C$33,MATCH(S142,Settings!$B$14:$B$33,0)),IFERROR(LOOKUP(2^15,SEARCH(Settings!$I$14:$I$83,S142)/(Settings!$I$14:$I$83&lt;&gt;""),Settings!$J$14:$J$83),"Other"))))</f>
        <v/>
      </c>
      <c r="AW142">
        <f>IF($B142="","",IF(T142="","Not rostered",IFERROR(INDEX(Settings!$C$14:$C$33,MATCH(T142,Settings!$B$14:$B$33,0)),IFERROR(LOOKUP(2^15,SEARCH(Settings!$I$14:$I$83,T142)/(Settings!$I$14:$I$83&lt;&gt;""),Settings!$J$14:$J$83),"Other"))))</f>
        <v/>
      </c>
      <c r="AX142">
        <f>IF($B142="","",IF(U142="","Not rostered",IFERROR(INDEX(Settings!$C$14:$C$33,MATCH(U142,Settings!$B$14:$B$33,0)),IFERROR(LOOKUP(2^15,SEARCH(Settings!$I$14:$I$83,U142)/(Settings!$I$14:$I$83&lt;&gt;""),Settings!$J$14:$J$83),"Other"))))</f>
        <v/>
      </c>
      <c r="AY142">
        <f>IF($B142="","",IF(V142="","Not rostered",IFERROR(INDEX(Settings!$C$14:$C$33,MATCH(V142,Settings!$B$14:$B$33,0)),IFERROR(LOOKUP(2^15,SEARCH(Settings!$I$14:$I$83,V142)/(Settings!$I$14:$I$83&lt;&gt;""),Settings!$J$14:$J$83),"Other"))))</f>
        <v/>
      </c>
      <c r="AZ142">
        <f>IF($B142="","",IF(W142="","Not rostered",IFERROR(INDEX(Settings!$C$14:$C$33,MATCH(W142,Settings!$B$14:$B$33,0)),IFERROR(LOOKUP(2^15,SEARCH(Settings!$I$14:$I$83,W142)/(Settings!$I$14:$I$83&lt;&gt;""),Settings!$J$14:$J$83),"Other"))))</f>
        <v/>
      </c>
      <c r="BA142">
        <f>IF($B142="","",IF(X142="","Not rostered",IFERROR(INDEX(Settings!$C$14:$C$33,MATCH(X142,Settings!$B$14:$B$33,0)),IFERROR(LOOKUP(2^15,SEARCH(Settings!$I$14:$I$83,X142)/(Settings!$I$14:$I$83&lt;&gt;""),Settings!$J$14:$J$83),"Other"))))</f>
        <v/>
      </c>
      <c r="BB142">
        <f>IF($B142="","",IF(Y142="","Not rostered",IFERROR(INDEX(Settings!$C$14:$C$33,MATCH(Y142,Settings!$B$14:$B$33,0)),IFERROR(LOOKUP(2^15,SEARCH(Settings!$I$14:$I$83,Y142)/(Settings!$I$14:$I$83&lt;&gt;""),Settings!$J$14:$J$83),"Other"))))</f>
        <v/>
      </c>
      <c r="BC142">
        <f>IF($B142="","",IF(Z142="","Not rostered",IFERROR(INDEX(Settings!$C$14:$C$33,MATCH(Z142,Settings!$B$14:$B$33,0)),IFERROR(LOOKUP(2^15,SEARCH(Settings!$I$14:$I$83,Z142)/(Settings!$I$14:$I$83&lt;&gt;""),Settings!$J$14:$J$83),"Other"))))</f>
        <v/>
      </c>
      <c r="BD142">
        <f>IF($B142="","",IF(AA142="","Not rostered",IFERROR(INDEX(Settings!$C$14:$C$33,MATCH(AA142,Settings!$B$14:$B$33,0)),IFERROR(LOOKUP(2^15,SEARCH(Settings!$I$14:$I$83,AA142)/(Settings!$I$14:$I$83&lt;&gt;""),Settings!$J$14:$J$83),"Other"))))</f>
        <v/>
      </c>
      <c r="BE142">
        <f>IF($B142="","",IF(AB142="","Not rostered",IFERROR(INDEX(Settings!$C$14:$C$33,MATCH(AB142,Settings!$B$14:$B$33,0)),IFERROR(LOOKUP(2^15,SEARCH(Settings!$I$14:$I$83,AB142)/(Settings!$I$14:$I$83&lt;&gt;""),Settings!$J$14:$J$83),"Other"))))</f>
        <v/>
      </c>
      <c r="BF142">
        <f>IF($B142="","",IF(AC142="","Not rostered",IFERROR(INDEX(Settings!$C$14:$C$33,MATCH(AC142,Settings!$B$14:$B$33,0)),IFERROR(LOOKUP(2^15,SEARCH(Settings!$I$14:$I$83,AC142)/(Settings!$I$14:$I$83&lt;&gt;""),Settings!$J$14:$J$83),"Other"))))</f>
        <v/>
      </c>
      <c r="BG142">
        <f>IF($B142="","",IF(AD142="","Not rostered",IFERROR(INDEX(Settings!$C$14:$C$33,MATCH(AD142,Settings!$B$14:$B$33,0)),IFERROR(LOOKUP(2^15,SEARCH(Settings!$I$14:$I$83,AD142)/(Settings!$I$14:$I$83&lt;&gt;""),Settings!$J$14:$J$83),"Other"))))</f>
        <v/>
      </c>
      <c r="BH142">
        <f>IF($B142="","",IF(AE142="","Not rostered",IFERROR(INDEX(Settings!$C$14:$C$33,MATCH(AE142,Settings!$B$14:$B$33,0)),IFERROR(LOOKUP(2^15,SEARCH(Settings!$I$14:$I$83,AE142)/(Settings!$I$14:$I$83&lt;&gt;""),Settings!$J$14:$J$83),"Other"))))</f>
        <v/>
      </c>
      <c r="BI142">
        <f>IF($B142="","",IF(AF142="","Not rostered",IFERROR(INDEX(Settings!$C$14:$C$33,MATCH(AF142,Settings!$B$14:$B$33,0)),IFERROR(LOOKUP(2^15,SEARCH(Settings!$I$14:$I$83,AF142)/(Settings!$I$14:$I$83&lt;&gt;""),Settings!$J$14:$J$83),"Other"))))</f>
        <v/>
      </c>
      <c r="BJ142">
        <f>IF($B142="","",IF(AG142="","Not rostered",IFERROR(INDEX(Settings!$C$14:$C$33,MATCH(AG142,Settings!$B$14:$B$33,0)),IFERROR(LOOKUP(2^15,SEARCH(Settings!$I$14:$I$83,AG142)/(Settings!$I$14:$I$83&lt;&gt;""),Settings!$J$14:$J$83),"Other"))))</f>
        <v/>
      </c>
      <c r="BL142">
        <f>IF(OR($B142="",F142=""),"",IFERROR(INDEX(Settings!$D$14:$D$33,MATCH(F142,Settings!$B$14:$B$33,0))&amp;"",IFERROR(LOOKUP(2^15,SEARCH(Settings!$F$14:$F$43,F142)/(Settings!$F$14:$F$43&lt;&gt;""),Settings!$G$14:$G$43),"")))</f>
        <v/>
      </c>
      <c r="BM142">
        <f>IF(OR($B142="",G142=""),"",IFERROR(INDEX(Settings!$D$14:$D$33,MATCH(G142,Settings!$B$14:$B$33,0))&amp;"",IFERROR(LOOKUP(2^15,SEARCH(Settings!$F$14:$F$43,G142)/(Settings!$F$14:$F$43&lt;&gt;""),Settings!$G$14:$G$43),"")))</f>
        <v/>
      </c>
      <c r="BN142">
        <f>IF(OR($B142="",H142=""),"",IFERROR(INDEX(Settings!$D$14:$D$33,MATCH(H142,Settings!$B$14:$B$33,0))&amp;"",IFERROR(LOOKUP(2^15,SEARCH(Settings!$F$14:$F$43,H142)/(Settings!$F$14:$F$43&lt;&gt;""),Settings!$G$14:$G$43),"")))</f>
        <v/>
      </c>
      <c r="BO142">
        <f>IF(OR($B142="",I142=""),"",IFERROR(INDEX(Settings!$D$14:$D$33,MATCH(I142,Settings!$B$14:$B$33,0))&amp;"",IFERROR(LOOKUP(2^15,SEARCH(Settings!$F$14:$F$43,I142)/(Settings!$F$14:$F$43&lt;&gt;""),Settings!$G$14:$G$43),"")))</f>
        <v/>
      </c>
      <c r="BP142">
        <f>IF(OR($B142="",J142=""),"",IFERROR(INDEX(Settings!$D$14:$D$33,MATCH(J142,Settings!$B$14:$B$33,0))&amp;"",IFERROR(LOOKUP(2^15,SEARCH(Settings!$F$14:$F$43,J142)/(Settings!$F$14:$F$43&lt;&gt;""),Settings!$G$14:$G$43),"")))</f>
        <v/>
      </c>
      <c r="BQ142">
        <f>IF(OR($B142="",K142=""),"",IFERROR(INDEX(Settings!$D$14:$D$33,MATCH(K142,Settings!$B$14:$B$33,0))&amp;"",IFERROR(LOOKUP(2^15,SEARCH(Settings!$F$14:$F$43,K142)/(Settings!$F$14:$F$43&lt;&gt;""),Settings!$G$14:$G$43),"")))</f>
        <v/>
      </c>
      <c r="BR142">
        <f>IF(OR($B142="",L142=""),"",IFERROR(INDEX(Settings!$D$14:$D$33,MATCH(L142,Settings!$B$14:$B$33,0))&amp;"",IFERROR(LOOKUP(2^15,SEARCH(Settings!$F$14:$F$43,L142)/(Settings!$F$14:$F$43&lt;&gt;""),Settings!$G$14:$G$43),"")))</f>
        <v/>
      </c>
      <c r="BS142">
        <f>IF(OR($B142="",M142=""),"",IFERROR(INDEX(Settings!$D$14:$D$33,MATCH(M142,Settings!$B$14:$B$33,0))&amp;"",IFERROR(LOOKUP(2^15,SEARCH(Settings!$F$14:$F$43,M142)/(Settings!$F$14:$F$43&lt;&gt;""),Settings!$G$14:$G$43),"")))</f>
        <v/>
      </c>
      <c r="BT142">
        <f>IF(OR($B142="",N142=""),"",IFERROR(INDEX(Settings!$D$14:$D$33,MATCH(N142,Settings!$B$14:$B$33,0))&amp;"",IFERROR(LOOKUP(2^15,SEARCH(Settings!$F$14:$F$43,N142)/(Settings!$F$14:$F$43&lt;&gt;""),Settings!$G$14:$G$43),"")))</f>
        <v/>
      </c>
      <c r="BU142">
        <f>IF(OR($B142="",O142=""),"",IFERROR(INDEX(Settings!$D$14:$D$33,MATCH(O142,Settings!$B$14:$B$33,0))&amp;"",IFERROR(LOOKUP(2^15,SEARCH(Settings!$F$14:$F$43,O142)/(Settings!$F$14:$F$43&lt;&gt;""),Settings!$G$14:$G$43),"")))</f>
        <v/>
      </c>
      <c r="BV142">
        <f>IF(OR($B142="",P142=""),"",IFERROR(INDEX(Settings!$D$14:$D$33,MATCH(P142,Settings!$B$14:$B$33,0))&amp;"",IFERROR(LOOKUP(2^15,SEARCH(Settings!$F$14:$F$43,P142)/(Settings!$F$14:$F$43&lt;&gt;""),Settings!$G$14:$G$43),"")))</f>
        <v/>
      </c>
      <c r="BW142">
        <f>IF(OR($B142="",Q142=""),"",IFERROR(INDEX(Settings!$D$14:$D$33,MATCH(Q142,Settings!$B$14:$B$33,0))&amp;"",IFERROR(LOOKUP(2^15,SEARCH(Settings!$F$14:$F$43,Q142)/(Settings!$F$14:$F$43&lt;&gt;""),Settings!$G$14:$G$43),"")))</f>
        <v/>
      </c>
      <c r="BX142">
        <f>IF(OR($B142="",R142=""),"",IFERROR(INDEX(Settings!$D$14:$D$33,MATCH(R142,Settings!$B$14:$B$33,0))&amp;"",IFERROR(LOOKUP(2^15,SEARCH(Settings!$F$14:$F$43,R142)/(Settings!$F$14:$F$43&lt;&gt;""),Settings!$G$14:$G$43),"")))</f>
        <v/>
      </c>
      <c r="BY142">
        <f>IF(OR($B142="",S142=""),"",IFERROR(INDEX(Settings!$D$14:$D$33,MATCH(S142,Settings!$B$14:$B$33,0))&amp;"",IFERROR(LOOKUP(2^15,SEARCH(Settings!$F$14:$F$43,S142)/(Settings!$F$14:$F$43&lt;&gt;""),Settings!$G$14:$G$43),"")))</f>
        <v/>
      </c>
      <c r="BZ142">
        <f>IF(OR($B142="",T142=""),"",IFERROR(INDEX(Settings!$D$14:$D$33,MATCH(T142,Settings!$B$14:$B$33,0))&amp;"",IFERROR(LOOKUP(2^15,SEARCH(Settings!$F$14:$F$43,T142)/(Settings!$F$14:$F$43&lt;&gt;""),Settings!$G$14:$G$43),"")))</f>
        <v/>
      </c>
      <c r="CA142">
        <f>IF(OR($B142="",U142=""),"",IFERROR(INDEX(Settings!$D$14:$D$33,MATCH(U142,Settings!$B$14:$B$33,0))&amp;"",IFERROR(LOOKUP(2^15,SEARCH(Settings!$F$14:$F$43,U142)/(Settings!$F$14:$F$43&lt;&gt;""),Settings!$G$14:$G$43),"")))</f>
        <v/>
      </c>
      <c r="CB142">
        <f>IF(OR($B142="",V142=""),"",IFERROR(INDEX(Settings!$D$14:$D$33,MATCH(V142,Settings!$B$14:$B$33,0))&amp;"",IFERROR(LOOKUP(2^15,SEARCH(Settings!$F$14:$F$43,V142)/(Settings!$F$14:$F$43&lt;&gt;""),Settings!$G$14:$G$43),"")))</f>
        <v/>
      </c>
      <c r="CC142">
        <f>IF(OR($B142="",W142=""),"",IFERROR(INDEX(Settings!$D$14:$D$33,MATCH(W142,Settings!$B$14:$B$33,0))&amp;"",IFERROR(LOOKUP(2^15,SEARCH(Settings!$F$14:$F$43,W142)/(Settings!$F$14:$F$43&lt;&gt;""),Settings!$G$14:$G$43),"")))</f>
        <v/>
      </c>
      <c r="CD142">
        <f>IF(OR($B142="",X142=""),"",IFERROR(INDEX(Settings!$D$14:$D$33,MATCH(X142,Settings!$B$14:$B$33,0))&amp;"",IFERROR(LOOKUP(2^15,SEARCH(Settings!$F$14:$F$43,X142)/(Settings!$F$14:$F$43&lt;&gt;""),Settings!$G$14:$G$43),"")))</f>
        <v/>
      </c>
      <c r="CE142">
        <f>IF(OR($B142="",Y142=""),"",IFERROR(INDEX(Settings!$D$14:$D$33,MATCH(Y142,Settings!$B$14:$B$33,0))&amp;"",IFERROR(LOOKUP(2^15,SEARCH(Settings!$F$14:$F$43,Y142)/(Settings!$F$14:$F$43&lt;&gt;""),Settings!$G$14:$G$43),"")))</f>
        <v/>
      </c>
      <c r="CF142">
        <f>IF(OR($B142="",Z142=""),"",IFERROR(INDEX(Settings!$D$14:$D$33,MATCH(Z142,Settings!$B$14:$B$33,0))&amp;"",IFERROR(LOOKUP(2^15,SEARCH(Settings!$F$14:$F$43,Z142)/(Settings!$F$14:$F$43&lt;&gt;""),Settings!$G$14:$G$43),"")))</f>
        <v/>
      </c>
      <c r="CG142">
        <f>IF(OR($B142="",AA142=""),"",IFERROR(INDEX(Settings!$D$14:$D$33,MATCH(AA142,Settings!$B$14:$B$33,0))&amp;"",IFERROR(LOOKUP(2^15,SEARCH(Settings!$F$14:$F$43,AA142)/(Settings!$F$14:$F$43&lt;&gt;""),Settings!$G$14:$G$43),"")))</f>
        <v/>
      </c>
      <c r="CH142">
        <f>IF(OR($B142="",AB142=""),"",IFERROR(INDEX(Settings!$D$14:$D$33,MATCH(AB142,Settings!$B$14:$B$33,0))&amp;"",IFERROR(LOOKUP(2^15,SEARCH(Settings!$F$14:$F$43,AB142)/(Settings!$F$14:$F$43&lt;&gt;""),Settings!$G$14:$G$43),"")))</f>
        <v/>
      </c>
      <c r="CI142">
        <f>IF(OR($B142="",AC142=""),"",IFERROR(INDEX(Settings!$D$14:$D$33,MATCH(AC142,Settings!$B$14:$B$33,0))&amp;"",IFERROR(LOOKUP(2^15,SEARCH(Settings!$F$14:$F$43,AC142)/(Settings!$F$14:$F$43&lt;&gt;""),Settings!$G$14:$G$43),"")))</f>
        <v/>
      </c>
      <c r="CJ142">
        <f>IF(OR($B142="",AD142=""),"",IFERROR(INDEX(Settings!$D$14:$D$33,MATCH(AD142,Settings!$B$14:$B$33,0))&amp;"",IFERROR(LOOKUP(2^15,SEARCH(Settings!$F$14:$F$43,AD142)/(Settings!$F$14:$F$43&lt;&gt;""),Settings!$G$14:$G$43),"")))</f>
        <v/>
      </c>
      <c r="CK142">
        <f>IF(OR($B142="",AE142=""),"",IFERROR(INDEX(Settings!$D$14:$D$33,MATCH(AE142,Settings!$B$14:$B$33,0))&amp;"",IFERROR(LOOKUP(2^15,SEARCH(Settings!$F$14:$F$43,AE142)/(Settings!$F$14:$F$43&lt;&gt;""),Settings!$G$14:$G$43),"")))</f>
        <v/>
      </c>
      <c r="CL142">
        <f>IF(OR($B142="",AF142=""),"",IFERROR(INDEX(Settings!$D$14:$D$33,MATCH(AF142,Settings!$B$14:$B$33,0))&amp;"",IFERROR(LOOKUP(2^15,SEARCH(Settings!$F$14:$F$43,AF142)/(Settings!$F$14:$F$43&lt;&gt;""),Settings!$G$14:$G$43),"")))</f>
        <v/>
      </c>
      <c r="CM142">
        <f>IF(OR($B142="",AG142=""),"",IFERROR(INDEX(Settings!$D$14:$D$33,MATCH(AG142,Settings!$B$14:$B$33,0))&amp;"",IFERROR(LOOKUP(2^15,SEARCH(Settings!$F$14:$F$43,AG142)/(Settings!$F$14:$F$43&lt;&gt;""),Settings!$G$14:$G$43),"")))</f>
        <v/>
      </c>
    </row>
    <row r="143">
      <c r="A143" t="n">
        <v>141</v>
      </c>
      <c r="B143">
        <f>IFERROR(INDEX(Index!$A$2:$A$202,MATCH(A143,Index!$E$2:$E$202,0)),"")</f>
        <v/>
      </c>
      <c r="D143">
        <f>IF($B143="","",IFERROR(MATCH("Travel*",AI143:BJ143,0),""))</f>
        <v/>
      </c>
      <c r="F143">
        <f>IF(OR($B143="",NOT(ISNUMBER(Settings!$C$9))),"",TRIM(SUBSTITUTE(SUBSTITUTE(INDEX('INPUT - Roster'!$S$1:$SV$206,$B143,Settings!$C$9+0)&amp;"",CHAR(10)," "),CHAR(160)," ")))</f>
        <v/>
      </c>
      <c r="G143">
        <f>IF(OR($B143="",NOT(ISNUMBER(Settings!$C$9))),"",TRIM(SUBSTITUTE(SUBSTITUTE(INDEX('INPUT - Roster'!$S$1:$SV$206,$B143,Settings!$C$9+1)&amp;"",CHAR(10)," "),CHAR(160)," ")))</f>
        <v/>
      </c>
      <c r="H143">
        <f>IF(OR($B143="",NOT(ISNUMBER(Settings!$C$9))),"",TRIM(SUBSTITUTE(SUBSTITUTE(INDEX('INPUT - Roster'!$S$1:$SV$206,$B143,Settings!$C$9+2)&amp;"",CHAR(10)," "),CHAR(160)," ")))</f>
        <v/>
      </c>
      <c r="I143">
        <f>IF(OR($B143="",NOT(ISNUMBER(Settings!$C$9))),"",TRIM(SUBSTITUTE(SUBSTITUTE(INDEX('INPUT - Roster'!$S$1:$SV$206,$B143,Settings!$C$9+3)&amp;"",CHAR(10)," "),CHAR(160)," ")))</f>
        <v/>
      </c>
      <c r="J143">
        <f>IF(OR($B143="",NOT(ISNUMBER(Settings!$C$9))),"",TRIM(SUBSTITUTE(SUBSTITUTE(INDEX('INPUT - Roster'!$S$1:$SV$206,$B143,Settings!$C$9+4)&amp;"",CHAR(10)," "),CHAR(160)," ")))</f>
        <v/>
      </c>
      <c r="K143">
        <f>IF(OR($B143="",NOT(ISNUMBER(Settings!$C$9))),"",TRIM(SUBSTITUTE(SUBSTITUTE(INDEX('INPUT - Roster'!$S$1:$SV$206,$B143,Settings!$C$9+5)&amp;"",CHAR(10)," "),CHAR(160)," ")))</f>
        <v/>
      </c>
      <c r="L143">
        <f>IF(OR($B143="",NOT(ISNUMBER(Settings!$C$9))),"",TRIM(SUBSTITUTE(SUBSTITUTE(INDEX('INPUT - Roster'!$S$1:$SV$206,$B143,Settings!$C$9+6)&amp;"",CHAR(10)," "),CHAR(160)," ")))</f>
        <v/>
      </c>
      <c r="M143">
        <f>IF(OR($B143="",NOT(ISNUMBER(Settings!$C$9))),"",TRIM(SUBSTITUTE(SUBSTITUTE(INDEX('INPUT - Roster'!$S$1:$SV$206,$B143,Settings!$C$9+7)&amp;"",CHAR(10)," "),CHAR(160)," ")))</f>
        <v/>
      </c>
      <c r="N143">
        <f>IF(OR($B143="",NOT(ISNUMBER(Settings!$C$9))),"",TRIM(SUBSTITUTE(SUBSTITUTE(INDEX('INPUT - Roster'!$S$1:$SV$206,$B143,Settings!$C$9+8)&amp;"",CHAR(10)," "),CHAR(160)," ")))</f>
        <v/>
      </c>
      <c r="O143">
        <f>IF(OR($B143="",NOT(ISNUMBER(Settings!$C$9))),"",TRIM(SUBSTITUTE(SUBSTITUTE(INDEX('INPUT - Roster'!$S$1:$SV$206,$B143,Settings!$C$9+9)&amp;"",CHAR(10)," "),CHAR(160)," ")))</f>
        <v/>
      </c>
      <c r="P143">
        <f>IF(OR($B143="",NOT(ISNUMBER(Settings!$C$9))),"",TRIM(SUBSTITUTE(SUBSTITUTE(INDEX('INPUT - Roster'!$S$1:$SV$206,$B143,Settings!$C$9+10)&amp;"",CHAR(10)," "),CHAR(160)," ")))</f>
        <v/>
      </c>
      <c r="Q143">
        <f>IF(OR($B143="",NOT(ISNUMBER(Settings!$C$9))),"",TRIM(SUBSTITUTE(SUBSTITUTE(INDEX('INPUT - Roster'!$S$1:$SV$206,$B143,Settings!$C$9+11)&amp;"",CHAR(10)," "),CHAR(160)," ")))</f>
        <v/>
      </c>
      <c r="R143">
        <f>IF(OR($B143="",NOT(ISNUMBER(Settings!$C$9))),"",TRIM(SUBSTITUTE(SUBSTITUTE(INDEX('INPUT - Roster'!$S$1:$SV$206,$B143,Settings!$C$9+12)&amp;"",CHAR(10)," "),CHAR(160)," ")))</f>
        <v/>
      </c>
      <c r="S143">
        <f>IF(OR($B143="",NOT(ISNUMBER(Settings!$C$9))),"",TRIM(SUBSTITUTE(SUBSTITUTE(INDEX('INPUT - Roster'!$S$1:$SV$206,$B143,Settings!$C$9+13)&amp;"",CHAR(10)," "),CHAR(160)," ")))</f>
        <v/>
      </c>
      <c r="T143">
        <f>IF(OR($B143="",NOT(ISNUMBER(Settings!$C$9))),"",TRIM(SUBSTITUTE(SUBSTITUTE(INDEX('INPUT - Roster'!$S$1:$SV$206,$B143,Settings!$C$9+14)&amp;"",CHAR(10)," "),CHAR(160)," ")))</f>
        <v/>
      </c>
      <c r="U143">
        <f>IF(OR($B143="",NOT(ISNUMBER(Settings!$C$9))),"",TRIM(SUBSTITUTE(SUBSTITUTE(INDEX('INPUT - Roster'!$S$1:$SV$206,$B143,Settings!$C$9+15)&amp;"",CHAR(10)," "),CHAR(160)," ")))</f>
        <v/>
      </c>
      <c r="V143">
        <f>IF(OR($B143="",NOT(ISNUMBER(Settings!$C$9))),"",TRIM(SUBSTITUTE(SUBSTITUTE(INDEX('INPUT - Roster'!$S$1:$SV$206,$B143,Settings!$C$9+16)&amp;"",CHAR(10)," "),CHAR(160)," ")))</f>
        <v/>
      </c>
      <c r="W143">
        <f>IF(OR($B143="",NOT(ISNUMBER(Settings!$C$9))),"",TRIM(SUBSTITUTE(SUBSTITUTE(INDEX('INPUT - Roster'!$S$1:$SV$206,$B143,Settings!$C$9+17)&amp;"",CHAR(10)," "),CHAR(160)," ")))</f>
        <v/>
      </c>
      <c r="X143">
        <f>IF(OR($B143="",NOT(ISNUMBER(Settings!$C$9))),"",TRIM(SUBSTITUTE(SUBSTITUTE(INDEX('INPUT - Roster'!$S$1:$SV$206,$B143,Settings!$C$9+18)&amp;"",CHAR(10)," "),CHAR(160)," ")))</f>
        <v/>
      </c>
      <c r="Y143">
        <f>IF(OR($B143="",NOT(ISNUMBER(Settings!$C$9))),"",TRIM(SUBSTITUTE(SUBSTITUTE(INDEX('INPUT - Roster'!$S$1:$SV$206,$B143,Settings!$C$9+19)&amp;"",CHAR(10)," "),CHAR(160)," ")))</f>
        <v/>
      </c>
      <c r="Z143">
        <f>IF(OR($B143="",NOT(ISNUMBER(Settings!$C$9))),"",TRIM(SUBSTITUTE(SUBSTITUTE(INDEX('INPUT - Roster'!$S$1:$SV$206,$B143,Settings!$C$9+20)&amp;"",CHAR(10)," "),CHAR(160)," ")))</f>
        <v/>
      </c>
      <c r="AA143">
        <f>IF(OR($B143="",NOT(ISNUMBER(Settings!$C$9))),"",TRIM(SUBSTITUTE(SUBSTITUTE(INDEX('INPUT - Roster'!$S$1:$SV$206,$B143,Settings!$C$9+21)&amp;"",CHAR(10)," "),CHAR(160)," ")))</f>
        <v/>
      </c>
      <c r="AB143">
        <f>IF(OR($B143="",NOT(ISNUMBER(Settings!$C$9))),"",TRIM(SUBSTITUTE(SUBSTITUTE(INDEX('INPUT - Roster'!$S$1:$SV$206,$B143,Settings!$C$9+22)&amp;"",CHAR(10)," "),CHAR(160)," ")))</f>
        <v/>
      </c>
      <c r="AC143">
        <f>IF(OR($B143="",NOT(ISNUMBER(Settings!$C$9))),"",TRIM(SUBSTITUTE(SUBSTITUTE(INDEX('INPUT - Roster'!$S$1:$SV$206,$B143,Settings!$C$9+23)&amp;"",CHAR(10)," "),CHAR(160)," ")))</f>
        <v/>
      </c>
      <c r="AD143">
        <f>IF(OR($B143="",NOT(ISNUMBER(Settings!$C$9))),"",TRIM(SUBSTITUTE(SUBSTITUTE(INDEX('INPUT - Roster'!$S$1:$SV$206,$B143,Settings!$C$9+24)&amp;"",CHAR(10)," "),CHAR(160)," ")))</f>
        <v/>
      </c>
      <c r="AE143">
        <f>IF(OR($B143="",NOT(ISNUMBER(Settings!$C$9))),"",TRIM(SUBSTITUTE(SUBSTITUTE(INDEX('INPUT - Roster'!$S$1:$SV$206,$B143,Settings!$C$9+25)&amp;"",CHAR(10)," "),CHAR(160)," ")))</f>
        <v/>
      </c>
      <c r="AF143">
        <f>IF(OR($B143="",NOT(ISNUMBER(Settings!$C$9))),"",TRIM(SUBSTITUTE(SUBSTITUTE(INDEX('INPUT - Roster'!$S$1:$SV$206,$B143,Settings!$C$9+26)&amp;"",CHAR(10)," "),CHAR(160)," ")))</f>
        <v/>
      </c>
      <c r="AG143">
        <f>IF(OR($B143="",NOT(ISNUMBER(Settings!$C$9))),"",TRIM(SUBSTITUTE(SUBSTITUTE(INDEX('INPUT - Roster'!$S$1:$SV$206,$B143,Settings!$C$9+27)&amp;"",CHAR(10)," "),CHAR(160)," ")))</f>
        <v/>
      </c>
      <c r="AI143">
        <f>IF($B143="","",IF(F143="","Not rostered",IFERROR(INDEX(Settings!$C$14:$C$33,MATCH(F143,Settings!$B$14:$B$33,0)),IFERROR(LOOKUP(2^15,SEARCH(Settings!$I$14:$I$83,F143)/(Settings!$I$14:$I$83&lt;&gt;""),Settings!$J$14:$J$83),"Other"))))</f>
        <v/>
      </c>
      <c r="AJ143">
        <f>IF($B143="","",IF(G143="","Not rostered",IFERROR(INDEX(Settings!$C$14:$C$33,MATCH(G143,Settings!$B$14:$B$33,0)),IFERROR(LOOKUP(2^15,SEARCH(Settings!$I$14:$I$83,G143)/(Settings!$I$14:$I$83&lt;&gt;""),Settings!$J$14:$J$83),"Other"))))</f>
        <v/>
      </c>
      <c r="AK143">
        <f>IF($B143="","",IF(H143="","Not rostered",IFERROR(INDEX(Settings!$C$14:$C$33,MATCH(H143,Settings!$B$14:$B$33,0)),IFERROR(LOOKUP(2^15,SEARCH(Settings!$I$14:$I$83,H143)/(Settings!$I$14:$I$83&lt;&gt;""),Settings!$J$14:$J$83),"Other"))))</f>
        <v/>
      </c>
      <c r="AL143">
        <f>IF($B143="","",IF(I143="","Not rostered",IFERROR(INDEX(Settings!$C$14:$C$33,MATCH(I143,Settings!$B$14:$B$33,0)),IFERROR(LOOKUP(2^15,SEARCH(Settings!$I$14:$I$83,I143)/(Settings!$I$14:$I$83&lt;&gt;""),Settings!$J$14:$J$83),"Other"))))</f>
        <v/>
      </c>
      <c r="AM143">
        <f>IF($B143="","",IF(J143="","Not rostered",IFERROR(INDEX(Settings!$C$14:$C$33,MATCH(J143,Settings!$B$14:$B$33,0)),IFERROR(LOOKUP(2^15,SEARCH(Settings!$I$14:$I$83,J143)/(Settings!$I$14:$I$83&lt;&gt;""),Settings!$J$14:$J$83),"Other"))))</f>
        <v/>
      </c>
      <c r="AN143">
        <f>IF($B143="","",IF(K143="","Not rostered",IFERROR(INDEX(Settings!$C$14:$C$33,MATCH(K143,Settings!$B$14:$B$33,0)),IFERROR(LOOKUP(2^15,SEARCH(Settings!$I$14:$I$83,K143)/(Settings!$I$14:$I$83&lt;&gt;""),Settings!$J$14:$J$83),"Other"))))</f>
        <v/>
      </c>
      <c r="AO143">
        <f>IF($B143="","",IF(L143="","Not rostered",IFERROR(INDEX(Settings!$C$14:$C$33,MATCH(L143,Settings!$B$14:$B$33,0)),IFERROR(LOOKUP(2^15,SEARCH(Settings!$I$14:$I$83,L143)/(Settings!$I$14:$I$83&lt;&gt;""),Settings!$J$14:$J$83),"Other"))))</f>
        <v/>
      </c>
      <c r="AP143">
        <f>IF($B143="","",IF(M143="","Not rostered",IFERROR(INDEX(Settings!$C$14:$C$33,MATCH(M143,Settings!$B$14:$B$33,0)),IFERROR(LOOKUP(2^15,SEARCH(Settings!$I$14:$I$83,M143)/(Settings!$I$14:$I$83&lt;&gt;""),Settings!$J$14:$J$83),"Other"))))</f>
        <v/>
      </c>
      <c r="AQ143">
        <f>IF($B143="","",IF(N143="","Not rostered",IFERROR(INDEX(Settings!$C$14:$C$33,MATCH(N143,Settings!$B$14:$B$33,0)),IFERROR(LOOKUP(2^15,SEARCH(Settings!$I$14:$I$83,N143)/(Settings!$I$14:$I$83&lt;&gt;""),Settings!$J$14:$J$83),"Other"))))</f>
        <v/>
      </c>
      <c r="AR143">
        <f>IF($B143="","",IF(O143="","Not rostered",IFERROR(INDEX(Settings!$C$14:$C$33,MATCH(O143,Settings!$B$14:$B$33,0)),IFERROR(LOOKUP(2^15,SEARCH(Settings!$I$14:$I$83,O143)/(Settings!$I$14:$I$83&lt;&gt;""),Settings!$J$14:$J$83),"Other"))))</f>
        <v/>
      </c>
      <c r="AS143">
        <f>IF($B143="","",IF(P143="","Not rostered",IFERROR(INDEX(Settings!$C$14:$C$33,MATCH(P143,Settings!$B$14:$B$33,0)),IFERROR(LOOKUP(2^15,SEARCH(Settings!$I$14:$I$83,P143)/(Settings!$I$14:$I$83&lt;&gt;""),Settings!$J$14:$J$83),"Other"))))</f>
        <v/>
      </c>
      <c r="AT143">
        <f>IF($B143="","",IF(Q143="","Not rostered",IFERROR(INDEX(Settings!$C$14:$C$33,MATCH(Q143,Settings!$B$14:$B$33,0)),IFERROR(LOOKUP(2^15,SEARCH(Settings!$I$14:$I$83,Q143)/(Settings!$I$14:$I$83&lt;&gt;""),Settings!$J$14:$J$83),"Other"))))</f>
        <v/>
      </c>
      <c r="AU143">
        <f>IF($B143="","",IF(R143="","Not rostered",IFERROR(INDEX(Settings!$C$14:$C$33,MATCH(R143,Settings!$B$14:$B$33,0)),IFERROR(LOOKUP(2^15,SEARCH(Settings!$I$14:$I$83,R143)/(Settings!$I$14:$I$83&lt;&gt;""),Settings!$J$14:$J$83),"Other"))))</f>
        <v/>
      </c>
      <c r="AV143">
        <f>IF($B143="","",IF(S143="","Not rostered",IFERROR(INDEX(Settings!$C$14:$C$33,MATCH(S143,Settings!$B$14:$B$33,0)),IFERROR(LOOKUP(2^15,SEARCH(Settings!$I$14:$I$83,S143)/(Settings!$I$14:$I$83&lt;&gt;""),Settings!$J$14:$J$83),"Other"))))</f>
        <v/>
      </c>
      <c r="AW143">
        <f>IF($B143="","",IF(T143="","Not rostered",IFERROR(INDEX(Settings!$C$14:$C$33,MATCH(T143,Settings!$B$14:$B$33,0)),IFERROR(LOOKUP(2^15,SEARCH(Settings!$I$14:$I$83,T143)/(Settings!$I$14:$I$83&lt;&gt;""),Settings!$J$14:$J$83),"Other"))))</f>
        <v/>
      </c>
      <c r="AX143">
        <f>IF($B143="","",IF(U143="","Not rostered",IFERROR(INDEX(Settings!$C$14:$C$33,MATCH(U143,Settings!$B$14:$B$33,0)),IFERROR(LOOKUP(2^15,SEARCH(Settings!$I$14:$I$83,U143)/(Settings!$I$14:$I$83&lt;&gt;""),Settings!$J$14:$J$83),"Other"))))</f>
        <v/>
      </c>
      <c r="AY143">
        <f>IF($B143="","",IF(V143="","Not rostered",IFERROR(INDEX(Settings!$C$14:$C$33,MATCH(V143,Settings!$B$14:$B$33,0)),IFERROR(LOOKUP(2^15,SEARCH(Settings!$I$14:$I$83,V143)/(Settings!$I$14:$I$83&lt;&gt;""),Settings!$J$14:$J$83),"Other"))))</f>
        <v/>
      </c>
      <c r="AZ143">
        <f>IF($B143="","",IF(W143="","Not rostered",IFERROR(INDEX(Settings!$C$14:$C$33,MATCH(W143,Settings!$B$14:$B$33,0)),IFERROR(LOOKUP(2^15,SEARCH(Settings!$I$14:$I$83,W143)/(Settings!$I$14:$I$83&lt;&gt;""),Settings!$J$14:$J$83),"Other"))))</f>
        <v/>
      </c>
      <c r="BA143">
        <f>IF($B143="","",IF(X143="","Not rostered",IFERROR(INDEX(Settings!$C$14:$C$33,MATCH(X143,Settings!$B$14:$B$33,0)),IFERROR(LOOKUP(2^15,SEARCH(Settings!$I$14:$I$83,X143)/(Settings!$I$14:$I$83&lt;&gt;""),Settings!$J$14:$J$83),"Other"))))</f>
        <v/>
      </c>
      <c r="BB143">
        <f>IF($B143="","",IF(Y143="","Not rostered",IFERROR(INDEX(Settings!$C$14:$C$33,MATCH(Y143,Settings!$B$14:$B$33,0)),IFERROR(LOOKUP(2^15,SEARCH(Settings!$I$14:$I$83,Y143)/(Settings!$I$14:$I$83&lt;&gt;""),Settings!$J$14:$J$83),"Other"))))</f>
        <v/>
      </c>
      <c r="BC143">
        <f>IF($B143="","",IF(Z143="","Not rostered",IFERROR(INDEX(Settings!$C$14:$C$33,MATCH(Z143,Settings!$B$14:$B$33,0)),IFERROR(LOOKUP(2^15,SEARCH(Settings!$I$14:$I$83,Z143)/(Settings!$I$14:$I$83&lt;&gt;""),Settings!$J$14:$J$83),"Other"))))</f>
        <v/>
      </c>
      <c r="BD143">
        <f>IF($B143="","",IF(AA143="","Not rostered",IFERROR(INDEX(Settings!$C$14:$C$33,MATCH(AA143,Settings!$B$14:$B$33,0)),IFERROR(LOOKUP(2^15,SEARCH(Settings!$I$14:$I$83,AA143)/(Settings!$I$14:$I$83&lt;&gt;""),Settings!$J$14:$J$83),"Other"))))</f>
        <v/>
      </c>
      <c r="BE143">
        <f>IF($B143="","",IF(AB143="","Not rostered",IFERROR(INDEX(Settings!$C$14:$C$33,MATCH(AB143,Settings!$B$14:$B$33,0)),IFERROR(LOOKUP(2^15,SEARCH(Settings!$I$14:$I$83,AB143)/(Settings!$I$14:$I$83&lt;&gt;""),Settings!$J$14:$J$83),"Other"))))</f>
        <v/>
      </c>
      <c r="BF143">
        <f>IF($B143="","",IF(AC143="","Not rostered",IFERROR(INDEX(Settings!$C$14:$C$33,MATCH(AC143,Settings!$B$14:$B$33,0)),IFERROR(LOOKUP(2^15,SEARCH(Settings!$I$14:$I$83,AC143)/(Settings!$I$14:$I$83&lt;&gt;""),Settings!$J$14:$J$83),"Other"))))</f>
        <v/>
      </c>
      <c r="BG143">
        <f>IF($B143="","",IF(AD143="","Not rostered",IFERROR(INDEX(Settings!$C$14:$C$33,MATCH(AD143,Settings!$B$14:$B$33,0)),IFERROR(LOOKUP(2^15,SEARCH(Settings!$I$14:$I$83,AD143)/(Settings!$I$14:$I$83&lt;&gt;""),Settings!$J$14:$J$83),"Other"))))</f>
        <v/>
      </c>
      <c r="BH143">
        <f>IF($B143="","",IF(AE143="","Not rostered",IFERROR(INDEX(Settings!$C$14:$C$33,MATCH(AE143,Settings!$B$14:$B$33,0)),IFERROR(LOOKUP(2^15,SEARCH(Settings!$I$14:$I$83,AE143)/(Settings!$I$14:$I$83&lt;&gt;""),Settings!$J$14:$J$83),"Other"))))</f>
        <v/>
      </c>
      <c r="BI143">
        <f>IF($B143="","",IF(AF143="","Not rostered",IFERROR(INDEX(Settings!$C$14:$C$33,MATCH(AF143,Settings!$B$14:$B$33,0)),IFERROR(LOOKUP(2^15,SEARCH(Settings!$I$14:$I$83,AF143)/(Settings!$I$14:$I$83&lt;&gt;""),Settings!$J$14:$J$83),"Other"))))</f>
        <v/>
      </c>
      <c r="BJ143">
        <f>IF($B143="","",IF(AG143="","Not rostered",IFERROR(INDEX(Settings!$C$14:$C$33,MATCH(AG143,Settings!$B$14:$B$33,0)),IFERROR(LOOKUP(2^15,SEARCH(Settings!$I$14:$I$83,AG143)/(Settings!$I$14:$I$83&lt;&gt;""),Settings!$J$14:$J$83),"Other"))))</f>
        <v/>
      </c>
      <c r="BL143">
        <f>IF(OR($B143="",F143=""),"",IFERROR(INDEX(Settings!$D$14:$D$33,MATCH(F143,Settings!$B$14:$B$33,0))&amp;"",IFERROR(LOOKUP(2^15,SEARCH(Settings!$F$14:$F$43,F143)/(Settings!$F$14:$F$43&lt;&gt;""),Settings!$G$14:$G$43),"")))</f>
        <v/>
      </c>
      <c r="BM143">
        <f>IF(OR($B143="",G143=""),"",IFERROR(INDEX(Settings!$D$14:$D$33,MATCH(G143,Settings!$B$14:$B$33,0))&amp;"",IFERROR(LOOKUP(2^15,SEARCH(Settings!$F$14:$F$43,G143)/(Settings!$F$14:$F$43&lt;&gt;""),Settings!$G$14:$G$43),"")))</f>
        <v/>
      </c>
      <c r="BN143">
        <f>IF(OR($B143="",H143=""),"",IFERROR(INDEX(Settings!$D$14:$D$33,MATCH(H143,Settings!$B$14:$B$33,0))&amp;"",IFERROR(LOOKUP(2^15,SEARCH(Settings!$F$14:$F$43,H143)/(Settings!$F$14:$F$43&lt;&gt;""),Settings!$G$14:$G$43),"")))</f>
        <v/>
      </c>
      <c r="BO143">
        <f>IF(OR($B143="",I143=""),"",IFERROR(INDEX(Settings!$D$14:$D$33,MATCH(I143,Settings!$B$14:$B$33,0))&amp;"",IFERROR(LOOKUP(2^15,SEARCH(Settings!$F$14:$F$43,I143)/(Settings!$F$14:$F$43&lt;&gt;""),Settings!$G$14:$G$43),"")))</f>
        <v/>
      </c>
      <c r="BP143">
        <f>IF(OR($B143="",J143=""),"",IFERROR(INDEX(Settings!$D$14:$D$33,MATCH(J143,Settings!$B$14:$B$33,0))&amp;"",IFERROR(LOOKUP(2^15,SEARCH(Settings!$F$14:$F$43,J143)/(Settings!$F$14:$F$43&lt;&gt;""),Settings!$G$14:$G$43),"")))</f>
        <v/>
      </c>
      <c r="BQ143">
        <f>IF(OR($B143="",K143=""),"",IFERROR(INDEX(Settings!$D$14:$D$33,MATCH(K143,Settings!$B$14:$B$33,0))&amp;"",IFERROR(LOOKUP(2^15,SEARCH(Settings!$F$14:$F$43,K143)/(Settings!$F$14:$F$43&lt;&gt;""),Settings!$G$14:$G$43),"")))</f>
        <v/>
      </c>
      <c r="BR143">
        <f>IF(OR($B143="",L143=""),"",IFERROR(INDEX(Settings!$D$14:$D$33,MATCH(L143,Settings!$B$14:$B$33,0))&amp;"",IFERROR(LOOKUP(2^15,SEARCH(Settings!$F$14:$F$43,L143)/(Settings!$F$14:$F$43&lt;&gt;""),Settings!$G$14:$G$43),"")))</f>
        <v/>
      </c>
      <c r="BS143">
        <f>IF(OR($B143="",M143=""),"",IFERROR(INDEX(Settings!$D$14:$D$33,MATCH(M143,Settings!$B$14:$B$33,0))&amp;"",IFERROR(LOOKUP(2^15,SEARCH(Settings!$F$14:$F$43,M143)/(Settings!$F$14:$F$43&lt;&gt;""),Settings!$G$14:$G$43),"")))</f>
        <v/>
      </c>
      <c r="BT143">
        <f>IF(OR($B143="",N143=""),"",IFERROR(INDEX(Settings!$D$14:$D$33,MATCH(N143,Settings!$B$14:$B$33,0))&amp;"",IFERROR(LOOKUP(2^15,SEARCH(Settings!$F$14:$F$43,N143)/(Settings!$F$14:$F$43&lt;&gt;""),Settings!$G$14:$G$43),"")))</f>
        <v/>
      </c>
      <c r="BU143">
        <f>IF(OR($B143="",O143=""),"",IFERROR(INDEX(Settings!$D$14:$D$33,MATCH(O143,Settings!$B$14:$B$33,0))&amp;"",IFERROR(LOOKUP(2^15,SEARCH(Settings!$F$14:$F$43,O143)/(Settings!$F$14:$F$43&lt;&gt;""),Settings!$G$14:$G$43),"")))</f>
        <v/>
      </c>
      <c r="BV143">
        <f>IF(OR($B143="",P143=""),"",IFERROR(INDEX(Settings!$D$14:$D$33,MATCH(P143,Settings!$B$14:$B$33,0))&amp;"",IFERROR(LOOKUP(2^15,SEARCH(Settings!$F$14:$F$43,P143)/(Settings!$F$14:$F$43&lt;&gt;""),Settings!$G$14:$G$43),"")))</f>
        <v/>
      </c>
      <c r="BW143">
        <f>IF(OR($B143="",Q143=""),"",IFERROR(INDEX(Settings!$D$14:$D$33,MATCH(Q143,Settings!$B$14:$B$33,0))&amp;"",IFERROR(LOOKUP(2^15,SEARCH(Settings!$F$14:$F$43,Q143)/(Settings!$F$14:$F$43&lt;&gt;""),Settings!$G$14:$G$43),"")))</f>
        <v/>
      </c>
      <c r="BX143">
        <f>IF(OR($B143="",R143=""),"",IFERROR(INDEX(Settings!$D$14:$D$33,MATCH(R143,Settings!$B$14:$B$33,0))&amp;"",IFERROR(LOOKUP(2^15,SEARCH(Settings!$F$14:$F$43,R143)/(Settings!$F$14:$F$43&lt;&gt;""),Settings!$G$14:$G$43),"")))</f>
        <v/>
      </c>
      <c r="BY143">
        <f>IF(OR($B143="",S143=""),"",IFERROR(INDEX(Settings!$D$14:$D$33,MATCH(S143,Settings!$B$14:$B$33,0))&amp;"",IFERROR(LOOKUP(2^15,SEARCH(Settings!$F$14:$F$43,S143)/(Settings!$F$14:$F$43&lt;&gt;""),Settings!$G$14:$G$43),"")))</f>
        <v/>
      </c>
      <c r="BZ143">
        <f>IF(OR($B143="",T143=""),"",IFERROR(INDEX(Settings!$D$14:$D$33,MATCH(T143,Settings!$B$14:$B$33,0))&amp;"",IFERROR(LOOKUP(2^15,SEARCH(Settings!$F$14:$F$43,T143)/(Settings!$F$14:$F$43&lt;&gt;""),Settings!$G$14:$G$43),"")))</f>
        <v/>
      </c>
      <c r="CA143">
        <f>IF(OR($B143="",U143=""),"",IFERROR(INDEX(Settings!$D$14:$D$33,MATCH(U143,Settings!$B$14:$B$33,0))&amp;"",IFERROR(LOOKUP(2^15,SEARCH(Settings!$F$14:$F$43,U143)/(Settings!$F$14:$F$43&lt;&gt;""),Settings!$G$14:$G$43),"")))</f>
        <v/>
      </c>
      <c r="CB143">
        <f>IF(OR($B143="",V143=""),"",IFERROR(INDEX(Settings!$D$14:$D$33,MATCH(V143,Settings!$B$14:$B$33,0))&amp;"",IFERROR(LOOKUP(2^15,SEARCH(Settings!$F$14:$F$43,V143)/(Settings!$F$14:$F$43&lt;&gt;""),Settings!$G$14:$G$43),"")))</f>
        <v/>
      </c>
      <c r="CC143">
        <f>IF(OR($B143="",W143=""),"",IFERROR(INDEX(Settings!$D$14:$D$33,MATCH(W143,Settings!$B$14:$B$33,0))&amp;"",IFERROR(LOOKUP(2^15,SEARCH(Settings!$F$14:$F$43,W143)/(Settings!$F$14:$F$43&lt;&gt;""),Settings!$G$14:$G$43),"")))</f>
        <v/>
      </c>
      <c r="CD143">
        <f>IF(OR($B143="",X143=""),"",IFERROR(INDEX(Settings!$D$14:$D$33,MATCH(X143,Settings!$B$14:$B$33,0))&amp;"",IFERROR(LOOKUP(2^15,SEARCH(Settings!$F$14:$F$43,X143)/(Settings!$F$14:$F$43&lt;&gt;""),Settings!$G$14:$G$43),"")))</f>
        <v/>
      </c>
      <c r="CE143">
        <f>IF(OR($B143="",Y143=""),"",IFERROR(INDEX(Settings!$D$14:$D$33,MATCH(Y143,Settings!$B$14:$B$33,0))&amp;"",IFERROR(LOOKUP(2^15,SEARCH(Settings!$F$14:$F$43,Y143)/(Settings!$F$14:$F$43&lt;&gt;""),Settings!$G$14:$G$43),"")))</f>
        <v/>
      </c>
      <c r="CF143">
        <f>IF(OR($B143="",Z143=""),"",IFERROR(INDEX(Settings!$D$14:$D$33,MATCH(Z143,Settings!$B$14:$B$33,0))&amp;"",IFERROR(LOOKUP(2^15,SEARCH(Settings!$F$14:$F$43,Z143)/(Settings!$F$14:$F$43&lt;&gt;""),Settings!$G$14:$G$43),"")))</f>
        <v/>
      </c>
      <c r="CG143">
        <f>IF(OR($B143="",AA143=""),"",IFERROR(INDEX(Settings!$D$14:$D$33,MATCH(AA143,Settings!$B$14:$B$33,0))&amp;"",IFERROR(LOOKUP(2^15,SEARCH(Settings!$F$14:$F$43,AA143)/(Settings!$F$14:$F$43&lt;&gt;""),Settings!$G$14:$G$43),"")))</f>
        <v/>
      </c>
      <c r="CH143">
        <f>IF(OR($B143="",AB143=""),"",IFERROR(INDEX(Settings!$D$14:$D$33,MATCH(AB143,Settings!$B$14:$B$33,0))&amp;"",IFERROR(LOOKUP(2^15,SEARCH(Settings!$F$14:$F$43,AB143)/(Settings!$F$14:$F$43&lt;&gt;""),Settings!$G$14:$G$43),"")))</f>
        <v/>
      </c>
      <c r="CI143">
        <f>IF(OR($B143="",AC143=""),"",IFERROR(INDEX(Settings!$D$14:$D$33,MATCH(AC143,Settings!$B$14:$B$33,0))&amp;"",IFERROR(LOOKUP(2^15,SEARCH(Settings!$F$14:$F$43,AC143)/(Settings!$F$14:$F$43&lt;&gt;""),Settings!$G$14:$G$43),"")))</f>
        <v/>
      </c>
      <c r="CJ143">
        <f>IF(OR($B143="",AD143=""),"",IFERROR(INDEX(Settings!$D$14:$D$33,MATCH(AD143,Settings!$B$14:$B$33,0))&amp;"",IFERROR(LOOKUP(2^15,SEARCH(Settings!$F$14:$F$43,AD143)/(Settings!$F$14:$F$43&lt;&gt;""),Settings!$G$14:$G$43),"")))</f>
        <v/>
      </c>
      <c r="CK143">
        <f>IF(OR($B143="",AE143=""),"",IFERROR(INDEX(Settings!$D$14:$D$33,MATCH(AE143,Settings!$B$14:$B$33,0))&amp;"",IFERROR(LOOKUP(2^15,SEARCH(Settings!$F$14:$F$43,AE143)/(Settings!$F$14:$F$43&lt;&gt;""),Settings!$G$14:$G$43),"")))</f>
        <v/>
      </c>
      <c r="CL143">
        <f>IF(OR($B143="",AF143=""),"",IFERROR(INDEX(Settings!$D$14:$D$33,MATCH(AF143,Settings!$B$14:$B$33,0))&amp;"",IFERROR(LOOKUP(2^15,SEARCH(Settings!$F$14:$F$43,AF143)/(Settings!$F$14:$F$43&lt;&gt;""),Settings!$G$14:$G$43),"")))</f>
        <v/>
      </c>
      <c r="CM143">
        <f>IF(OR($B143="",AG143=""),"",IFERROR(INDEX(Settings!$D$14:$D$33,MATCH(AG143,Settings!$B$14:$B$33,0))&amp;"",IFERROR(LOOKUP(2^15,SEARCH(Settings!$F$14:$F$43,AG143)/(Settings!$F$14:$F$43&lt;&gt;""),Settings!$G$14:$G$43),"")))</f>
        <v/>
      </c>
    </row>
    <row r="144">
      <c r="A144" t="n">
        <v>142</v>
      </c>
      <c r="B144">
        <f>IFERROR(INDEX(Index!$A$2:$A$202,MATCH(A144,Index!$E$2:$E$202,0)),"")</f>
        <v/>
      </c>
      <c r="D144">
        <f>IF($B144="","",IFERROR(MATCH("Travel*",AI144:BJ144,0),""))</f>
        <v/>
      </c>
      <c r="F144">
        <f>IF(OR($B144="",NOT(ISNUMBER(Settings!$C$9))),"",TRIM(SUBSTITUTE(SUBSTITUTE(INDEX('INPUT - Roster'!$S$1:$SV$206,$B144,Settings!$C$9+0)&amp;"",CHAR(10)," "),CHAR(160)," ")))</f>
        <v/>
      </c>
      <c r="G144">
        <f>IF(OR($B144="",NOT(ISNUMBER(Settings!$C$9))),"",TRIM(SUBSTITUTE(SUBSTITUTE(INDEX('INPUT - Roster'!$S$1:$SV$206,$B144,Settings!$C$9+1)&amp;"",CHAR(10)," "),CHAR(160)," ")))</f>
        <v/>
      </c>
      <c r="H144">
        <f>IF(OR($B144="",NOT(ISNUMBER(Settings!$C$9))),"",TRIM(SUBSTITUTE(SUBSTITUTE(INDEX('INPUT - Roster'!$S$1:$SV$206,$B144,Settings!$C$9+2)&amp;"",CHAR(10)," "),CHAR(160)," ")))</f>
        <v/>
      </c>
      <c r="I144">
        <f>IF(OR($B144="",NOT(ISNUMBER(Settings!$C$9))),"",TRIM(SUBSTITUTE(SUBSTITUTE(INDEX('INPUT - Roster'!$S$1:$SV$206,$B144,Settings!$C$9+3)&amp;"",CHAR(10)," "),CHAR(160)," ")))</f>
        <v/>
      </c>
      <c r="J144">
        <f>IF(OR($B144="",NOT(ISNUMBER(Settings!$C$9))),"",TRIM(SUBSTITUTE(SUBSTITUTE(INDEX('INPUT - Roster'!$S$1:$SV$206,$B144,Settings!$C$9+4)&amp;"",CHAR(10)," "),CHAR(160)," ")))</f>
        <v/>
      </c>
      <c r="K144">
        <f>IF(OR($B144="",NOT(ISNUMBER(Settings!$C$9))),"",TRIM(SUBSTITUTE(SUBSTITUTE(INDEX('INPUT - Roster'!$S$1:$SV$206,$B144,Settings!$C$9+5)&amp;"",CHAR(10)," "),CHAR(160)," ")))</f>
        <v/>
      </c>
      <c r="L144">
        <f>IF(OR($B144="",NOT(ISNUMBER(Settings!$C$9))),"",TRIM(SUBSTITUTE(SUBSTITUTE(INDEX('INPUT - Roster'!$S$1:$SV$206,$B144,Settings!$C$9+6)&amp;"",CHAR(10)," "),CHAR(160)," ")))</f>
        <v/>
      </c>
      <c r="M144">
        <f>IF(OR($B144="",NOT(ISNUMBER(Settings!$C$9))),"",TRIM(SUBSTITUTE(SUBSTITUTE(INDEX('INPUT - Roster'!$S$1:$SV$206,$B144,Settings!$C$9+7)&amp;"",CHAR(10)," "),CHAR(160)," ")))</f>
        <v/>
      </c>
      <c r="N144">
        <f>IF(OR($B144="",NOT(ISNUMBER(Settings!$C$9))),"",TRIM(SUBSTITUTE(SUBSTITUTE(INDEX('INPUT - Roster'!$S$1:$SV$206,$B144,Settings!$C$9+8)&amp;"",CHAR(10)," "),CHAR(160)," ")))</f>
        <v/>
      </c>
      <c r="O144">
        <f>IF(OR($B144="",NOT(ISNUMBER(Settings!$C$9))),"",TRIM(SUBSTITUTE(SUBSTITUTE(INDEX('INPUT - Roster'!$S$1:$SV$206,$B144,Settings!$C$9+9)&amp;"",CHAR(10)," "),CHAR(160)," ")))</f>
        <v/>
      </c>
      <c r="P144">
        <f>IF(OR($B144="",NOT(ISNUMBER(Settings!$C$9))),"",TRIM(SUBSTITUTE(SUBSTITUTE(INDEX('INPUT - Roster'!$S$1:$SV$206,$B144,Settings!$C$9+10)&amp;"",CHAR(10)," "),CHAR(160)," ")))</f>
        <v/>
      </c>
      <c r="Q144">
        <f>IF(OR($B144="",NOT(ISNUMBER(Settings!$C$9))),"",TRIM(SUBSTITUTE(SUBSTITUTE(INDEX('INPUT - Roster'!$S$1:$SV$206,$B144,Settings!$C$9+11)&amp;"",CHAR(10)," "),CHAR(160)," ")))</f>
        <v/>
      </c>
      <c r="R144">
        <f>IF(OR($B144="",NOT(ISNUMBER(Settings!$C$9))),"",TRIM(SUBSTITUTE(SUBSTITUTE(INDEX('INPUT - Roster'!$S$1:$SV$206,$B144,Settings!$C$9+12)&amp;"",CHAR(10)," "),CHAR(160)," ")))</f>
        <v/>
      </c>
      <c r="S144">
        <f>IF(OR($B144="",NOT(ISNUMBER(Settings!$C$9))),"",TRIM(SUBSTITUTE(SUBSTITUTE(INDEX('INPUT - Roster'!$S$1:$SV$206,$B144,Settings!$C$9+13)&amp;"",CHAR(10)," "),CHAR(160)," ")))</f>
        <v/>
      </c>
      <c r="T144">
        <f>IF(OR($B144="",NOT(ISNUMBER(Settings!$C$9))),"",TRIM(SUBSTITUTE(SUBSTITUTE(INDEX('INPUT - Roster'!$S$1:$SV$206,$B144,Settings!$C$9+14)&amp;"",CHAR(10)," "),CHAR(160)," ")))</f>
        <v/>
      </c>
      <c r="U144">
        <f>IF(OR($B144="",NOT(ISNUMBER(Settings!$C$9))),"",TRIM(SUBSTITUTE(SUBSTITUTE(INDEX('INPUT - Roster'!$S$1:$SV$206,$B144,Settings!$C$9+15)&amp;"",CHAR(10)," "),CHAR(160)," ")))</f>
        <v/>
      </c>
      <c r="V144">
        <f>IF(OR($B144="",NOT(ISNUMBER(Settings!$C$9))),"",TRIM(SUBSTITUTE(SUBSTITUTE(INDEX('INPUT - Roster'!$S$1:$SV$206,$B144,Settings!$C$9+16)&amp;"",CHAR(10)," "),CHAR(160)," ")))</f>
        <v/>
      </c>
      <c r="W144">
        <f>IF(OR($B144="",NOT(ISNUMBER(Settings!$C$9))),"",TRIM(SUBSTITUTE(SUBSTITUTE(INDEX('INPUT - Roster'!$S$1:$SV$206,$B144,Settings!$C$9+17)&amp;"",CHAR(10)," "),CHAR(160)," ")))</f>
        <v/>
      </c>
      <c r="X144">
        <f>IF(OR($B144="",NOT(ISNUMBER(Settings!$C$9))),"",TRIM(SUBSTITUTE(SUBSTITUTE(INDEX('INPUT - Roster'!$S$1:$SV$206,$B144,Settings!$C$9+18)&amp;"",CHAR(10)," "),CHAR(160)," ")))</f>
        <v/>
      </c>
      <c r="Y144">
        <f>IF(OR($B144="",NOT(ISNUMBER(Settings!$C$9))),"",TRIM(SUBSTITUTE(SUBSTITUTE(INDEX('INPUT - Roster'!$S$1:$SV$206,$B144,Settings!$C$9+19)&amp;"",CHAR(10)," "),CHAR(160)," ")))</f>
        <v/>
      </c>
      <c r="Z144">
        <f>IF(OR($B144="",NOT(ISNUMBER(Settings!$C$9))),"",TRIM(SUBSTITUTE(SUBSTITUTE(INDEX('INPUT - Roster'!$S$1:$SV$206,$B144,Settings!$C$9+20)&amp;"",CHAR(10)," "),CHAR(160)," ")))</f>
        <v/>
      </c>
      <c r="AA144">
        <f>IF(OR($B144="",NOT(ISNUMBER(Settings!$C$9))),"",TRIM(SUBSTITUTE(SUBSTITUTE(INDEX('INPUT - Roster'!$S$1:$SV$206,$B144,Settings!$C$9+21)&amp;"",CHAR(10)," "),CHAR(160)," ")))</f>
        <v/>
      </c>
      <c r="AB144">
        <f>IF(OR($B144="",NOT(ISNUMBER(Settings!$C$9))),"",TRIM(SUBSTITUTE(SUBSTITUTE(INDEX('INPUT - Roster'!$S$1:$SV$206,$B144,Settings!$C$9+22)&amp;"",CHAR(10)," "),CHAR(160)," ")))</f>
        <v/>
      </c>
      <c r="AC144">
        <f>IF(OR($B144="",NOT(ISNUMBER(Settings!$C$9))),"",TRIM(SUBSTITUTE(SUBSTITUTE(INDEX('INPUT - Roster'!$S$1:$SV$206,$B144,Settings!$C$9+23)&amp;"",CHAR(10)," "),CHAR(160)," ")))</f>
        <v/>
      </c>
      <c r="AD144">
        <f>IF(OR($B144="",NOT(ISNUMBER(Settings!$C$9))),"",TRIM(SUBSTITUTE(SUBSTITUTE(INDEX('INPUT - Roster'!$S$1:$SV$206,$B144,Settings!$C$9+24)&amp;"",CHAR(10)," "),CHAR(160)," ")))</f>
        <v/>
      </c>
      <c r="AE144">
        <f>IF(OR($B144="",NOT(ISNUMBER(Settings!$C$9))),"",TRIM(SUBSTITUTE(SUBSTITUTE(INDEX('INPUT - Roster'!$S$1:$SV$206,$B144,Settings!$C$9+25)&amp;"",CHAR(10)," "),CHAR(160)," ")))</f>
        <v/>
      </c>
      <c r="AF144">
        <f>IF(OR($B144="",NOT(ISNUMBER(Settings!$C$9))),"",TRIM(SUBSTITUTE(SUBSTITUTE(INDEX('INPUT - Roster'!$S$1:$SV$206,$B144,Settings!$C$9+26)&amp;"",CHAR(10)," "),CHAR(160)," ")))</f>
        <v/>
      </c>
      <c r="AG144">
        <f>IF(OR($B144="",NOT(ISNUMBER(Settings!$C$9))),"",TRIM(SUBSTITUTE(SUBSTITUTE(INDEX('INPUT - Roster'!$S$1:$SV$206,$B144,Settings!$C$9+27)&amp;"",CHAR(10)," "),CHAR(160)," ")))</f>
        <v/>
      </c>
      <c r="AI144">
        <f>IF($B144="","",IF(F144="","Not rostered",IFERROR(INDEX(Settings!$C$14:$C$33,MATCH(F144,Settings!$B$14:$B$33,0)),IFERROR(LOOKUP(2^15,SEARCH(Settings!$I$14:$I$83,F144)/(Settings!$I$14:$I$83&lt;&gt;""),Settings!$J$14:$J$83),"Other"))))</f>
        <v/>
      </c>
      <c r="AJ144">
        <f>IF($B144="","",IF(G144="","Not rostered",IFERROR(INDEX(Settings!$C$14:$C$33,MATCH(G144,Settings!$B$14:$B$33,0)),IFERROR(LOOKUP(2^15,SEARCH(Settings!$I$14:$I$83,G144)/(Settings!$I$14:$I$83&lt;&gt;""),Settings!$J$14:$J$83),"Other"))))</f>
        <v/>
      </c>
      <c r="AK144">
        <f>IF($B144="","",IF(H144="","Not rostered",IFERROR(INDEX(Settings!$C$14:$C$33,MATCH(H144,Settings!$B$14:$B$33,0)),IFERROR(LOOKUP(2^15,SEARCH(Settings!$I$14:$I$83,H144)/(Settings!$I$14:$I$83&lt;&gt;""),Settings!$J$14:$J$83),"Other"))))</f>
        <v/>
      </c>
      <c r="AL144">
        <f>IF($B144="","",IF(I144="","Not rostered",IFERROR(INDEX(Settings!$C$14:$C$33,MATCH(I144,Settings!$B$14:$B$33,0)),IFERROR(LOOKUP(2^15,SEARCH(Settings!$I$14:$I$83,I144)/(Settings!$I$14:$I$83&lt;&gt;""),Settings!$J$14:$J$83),"Other"))))</f>
        <v/>
      </c>
      <c r="AM144">
        <f>IF($B144="","",IF(J144="","Not rostered",IFERROR(INDEX(Settings!$C$14:$C$33,MATCH(J144,Settings!$B$14:$B$33,0)),IFERROR(LOOKUP(2^15,SEARCH(Settings!$I$14:$I$83,J144)/(Settings!$I$14:$I$83&lt;&gt;""),Settings!$J$14:$J$83),"Other"))))</f>
        <v/>
      </c>
      <c r="AN144">
        <f>IF($B144="","",IF(K144="","Not rostered",IFERROR(INDEX(Settings!$C$14:$C$33,MATCH(K144,Settings!$B$14:$B$33,0)),IFERROR(LOOKUP(2^15,SEARCH(Settings!$I$14:$I$83,K144)/(Settings!$I$14:$I$83&lt;&gt;""),Settings!$J$14:$J$83),"Other"))))</f>
        <v/>
      </c>
      <c r="AO144">
        <f>IF($B144="","",IF(L144="","Not rostered",IFERROR(INDEX(Settings!$C$14:$C$33,MATCH(L144,Settings!$B$14:$B$33,0)),IFERROR(LOOKUP(2^15,SEARCH(Settings!$I$14:$I$83,L144)/(Settings!$I$14:$I$83&lt;&gt;""),Settings!$J$14:$J$83),"Other"))))</f>
        <v/>
      </c>
      <c r="AP144">
        <f>IF($B144="","",IF(M144="","Not rostered",IFERROR(INDEX(Settings!$C$14:$C$33,MATCH(M144,Settings!$B$14:$B$33,0)),IFERROR(LOOKUP(2^15,SEARCH(Settings!$I$14:$I$83,M144)/(Settings!$I$14:$I$83&lt;&gt;""),Settings!$J$14:$J$83),"Other"))))</f>
        <v/>
      </c>
      <c r="AQ144">
        <f>IF($B144="","",IF(N144="","Not rostered",IFERROR(INDEX(Settings!$C$14:$C$33,MATCH(N144,Settings!$B$14:$B$33,0)),IFERROR(LOOKUP(2^15,SEARCH(Settings!$I$14:$I$83,N144)/(Settings!$I$14:$I$83&lt;&gt;""),Settings!$J$14:$J$83),"Other"))))</f>
        <v/>
      </c>
      <c r="AR144">
        <f>IF($B144="","",IF(O144="","Not rostered",IFERROR(INDEX(Settings!$C$14:$C$33,MATCH(O144,Settings!$B$14:$B$33,0)),IFERROR(LOOKUP(2^15,SEARCH(Settings!$I$14:$I$83,O144)/(Settings!$I$14:$I$83&lt;&gt;""),Settings!$J$14:$J$83),"Other"))))</f>
        <v/>
      </c>
      <c r="AS144">
        <f>IF($B144="","",IF(P144="","Not rostered",IFERROR(INDEX(Settings!$C$14:$C$33,MATCH(P144,Settings!$B$14:$B$33,0)),IFERROR(LOOKUP(2^15,SEARCH(Settings!$I$14:$I$83,P144)/(Settings!$I$14:$I$83&lt;&gt;""),Settings!$J$14:$J$83),"Other"))))</f>
        <v/>
      </c>
      <c r="AT144">
        <f>IF($B144="","",IF(Q144="","Not rostered",IFERROR(INDEX(Settings!$C$14:$C$33,MATCH(Q144,Settings!$B$14:$B$33,0)),IFERROR(LOOKUP(2^15,SEARCH(Settings!$I$14:$I$83,Q144)/(Settings!$I$14:$I$83&lt;&gt;""),Settings!$J$14:$J$83),"Other"))))</f>
        <v/>
      </c>
      <c r="AU144">
        <f>IF($B144="","",IF(R144="","Not rostered",IFERROR(INDEX(Settings!$C$14:$C$33,MATCH(R144,Settings!$B$14:$B$33,0)),IFERROR(LOOKUP(2^15,SEARCH(Settings!$I$14:$I$83,R144)/(Settings!$I$14:$I$83&lt;&gt;""),Settings!$J$14:$J$83),"Other"))))</f>
        <v/>
      </c>
      <c r="AV144">
        <f>IF($B144="","",IF(S144="","Not rostered",IFERROR(INDEX(Settings!$C$14:$C$33,MATCH(S144,Settings!$B$14:$B$33,0)),IFERROR(LOOKUP(2^15,SEARCH(Settings!$I$14:$I$83,S144)/(Settings!$I$14:$I$83&lt;&gt;""),Settings!$J$14:$J$83),"Other"))))</f>
        <v/>
      </c>
      <c r="AW144">
        <f>IF($B144="","",IF(T144="","Not rostered",IFERROR(INDEX(Settings!$C$14:$C$33,MATCH(T144,Settings!$B$14:$B$33,0)),IFERROR(LOOKUP(2^15,SEARCH(Settings!$I$14:$I$83,T144)/(Settings!$I$14:$I$83&lt;&gt;""),Settings!$J$14:$J$83),"Other"))))</f>
        <v/>
      </c>
      <c r="AX144">
        <f>IF($B144="","",IF(U144="","Not rostered",IFERROR(INDEX(Settings!$C$14:$C$33,MATCH(U144,Settings!$B$14:$B$33,0)),IFERROR(LOOKUP(2^15,SEARCH(Settings!$I$14:$I$83,U144)/(Settings!$I$14:$I$83&lt;&gt;""),Settings!$J$14:$J$83),"Other"))))</f>
        <v/>
      </c>
      <c r="AY144">
        <f>IF($B144="","",IF(V144="","Not rostered",IFERROR(INDEX(Settings!$C$14:$C$33,MATCH(V144,Settings!$B$14:$B$33,0)),IFERROR(LOOKUP(2^15,SEARCH(Settings!$I$14:$I$83,V144)/(Settings!$I$14:$I$83&lt;&gt;""),Settings!$J$14:$J$83),"Other"))))</f>
        <v/>
      </c>
      <c r="AZ144">
        <f>IF($B144="","",IF(W144="","Not rostered",IFERROR(INDEX(Settings!$C$14:$C$33,MATCH(W144,Settings!$B$14:$B$33,0)),IFERROR(LOOKUP(2^15,SEARCH(Settings!$I$14:$I$83,W144)/(Settings!$I$14:$I$83&lt;&gt;""),Settings!$J$14:$J$83),"Other"))))</f>
        <v/>
      </c>
      <c r="BA144">
        <f>IF($B144="","",IF(X144="","Not rostered",IFERROR(INDEX(Settings!$C$14:$C$33,MATCH(X144,Settings!$B$14:$B$33,0)),IFERROR(LOOKUP(2^15,SEARCH(Settings!$I$14:$I$83,X144)/(Settings!$I$14:$I$83&lt;&gt;""),Settings!$J$14:$J$83),"Other"))))</f>
        <v/>
      </c>
      <c r="BB144">
        <f>IF($B144="","",IF(Y144="","Not rostered",IFERROR(INDEX(Settings!$C$14:$C$33,MATCH(Y144,Settings!$B$14:$B$33,0)),IFERROR(LOOKUP(2^15,SEARCH(Settings!$I$14:$I$83,Y144)/(Settings!$I$14:$I$83&lt;&gt;""),Settings!$J$14:$J$83),"Other"))))</f>
        <v/>
      </c>
      <c r="BC144">
        <f>IF($B144="","",IF(Z144="","Not rostered",IFERROR(INDEX(Settings!$C$14:$C$33,MATCH(Z144,Settings!$B$14:$B$33,0)),IFERROR(LOOKUP(2^15,SEARCH(Settings!$I$14:$I$83,Z144)/(Settings!$I$14:$I$83&lt;&gt;""),Settings!$J$14:$J$83),"Other"))))</f>
        <v/>
      </c>
      <c r="BD144">
        <f>IF($B144="","",IF(AA144="","Not rostered",IFERROR(INDEX(Settings!$C$14:$C$33,MATCH(AA144,Settings!$B$14:$B$33,0)),IFERROR(LOOKUP(2^15,SEARCH(Settings!$I$14:$I$83,AA144)/(Settings!$I$14:$I$83&lt;&gt;""),Settings!$J$14:$J$83),"Other"))))</f>
        <v/>
      </c>
      <c r="BE144">
        <f>IF($B144="","",IF(AB144="","Not rostered",IFERROR(INDEX(Settings!$C$14:$C$33,MATCH(AB144,Settings!$B$14:$B$33,0)),IFERROR(LOOKUP(2^15,SEARCH(Settings!$I$14:$I$83,AB144)/(Settings!$I$14:$I$83&lt;&gt;""),Settings!$J$14:$J$83),"Other"))))</f>
        <v/>
      </c>
      <c r="BF144">
        <f>IF($B144="","",IF(AC144="","Not rostered",IFERROR(INDEX(Settings!$C$14:$C$33,MATCH(AC144,Settings!$B$14:$B$33,0)),IFERROR(LOOKUP(2^15,SEARCH(Settings!$I$14:$I$83,AC144)/(Settings!$I$14:$I$83&lt;&gt;""),Settings!$J$14:$J$83),"Other"))))</f>
        <v/>
      </c>
      <c r="BG144">
        <f>IF($B144="","",IF(AD144="","Not rostered",IFERROR(INDEX(Settings!$C$14:$C$33,MATCH(AD144,Settings!$B$14:$B$33,0)),IFERROR(LOOKUP(2^15,SEARCH(Settings!$I$14:$I$83,AD144)/(Settings!$I$14:$I$83&lt;&gt;""),Settings!$J$14:$J$83),"Other"))))</f>
        <v/>
      </c>
      <c r="BH144">
        <f>IF($B144="","",IF(AE144="","Not rostered",IFERROR(INDEX(Settings!$C$14:$C$33,MATCH(AE144,Settings!$B$14:$B$33,0)),IFERROR(LOOKUP(2^15,SEARCH(Settings!$I$14:$I$83,AE144)/(Settings!$I$14:$I$83&lt;&gt;""),Settings!$J$14:$J$83),"Other"))))</f>
        <v/>
      </c>
      <c r="BI144">
        <f>IF($B144="","",IF(AF144="","Not rostered",IFERROR(INDEX(Settings!$C$14:$C$33,MATCH(AF144,Settings!$B$14:$B$33,0)),IFERROR(LOOKUP(2^15,SEARCH(Settings!$I$14:$I$83,AF144)/(Settings!$I$14:$I$83&lt;&gt;""),Settings!$J$14:$J$83),"Other"))))</f>
        <v/>
      </c>
      <c r="BJ144">
        <f>IF($B144="","",IF(AG144="","Not rostered",IFERROR(INDEX(Settings!$C$14:$C$33,MATCH(AG144,Settings!$B$14:$B$33,0)),IFERROR(LOOKUP(2^15,SEARCH(Settings!$I$14:$I$83,AG144)/(Settings!$I$14:$I$83&lt;&gt;""),Settings!$J$14:$J$83),"Other"))))</f>
        <v/>
      </c>
      <c r="BL144">
        <f>IF(OR($B144="",F144=""),"",IFERROR(INDEX(Settings!$D$14:$D$33,MATCH(F144,Settings!$B$14:$B$33,0))&amp;"",IFERROR(LOOKUP(2^15,SEARCH(Settings!$F$14:$F$43,F144)/(Settings!$F$14:$F$43&lt;&gt;""),Settings!$G$14:$G$43),"")))</f>
        <v/>
      </c>
      <c r="BM144">
        <f>IF(OR($B144="",G144=""),"",IFERROR(INDEX(Settings!$D$14:$D$33,MATCH(G144,Settings!$B$14:$B$33,0))&amp;"",IFERROR(LOOKUP(2^15,SEARCH(Settings!$F$14:$F$43,G144)/(Settings!$F$14:$F$43&lt;&gt;""),Settings!$G$14:$G$43),"")))</f>
        <v/>
      </c>
      <c r="BN144">
        <f>IF(OR($B144="",H144=""),"",IFERROR(INDEX(Settings!$D$14:$D$33,MATCH(H144,Settings!$B$14:$B$33,0))&amp;"",IFERROR(LOOKUP(2^15,SEARCH(Settings!$F$14:$F$43,H144)/(Settings!$F$14:$F$43&lt;&gt;""),Settings!$G$14:$G$43),"")))</f>
        <v/>
      </c>
      <c r="BO144">
        <f>IF(OR($B144="",I144=""),"",IFERROR(INDEX(Settings!$D$14:$D$33,MATCH(I144,Settings!$B$14:$B$33,0))&amp;"",IFERROR(LOOKUP(2^15,SEARCH(Settings!$F$14:$F$43,I144)/(Settings!$F$14:$F$43&lt;&gt;""),Settings!$G$14:$G$43),"")))</f>
        <v/>
      </c>
      <c r="BP144">
        <f>IF(OR($B144="",J144=""),"",IFERROR(INDEX(Settings!$D$14:$D$33,MATCH(J144,Settings!$B$14:$B$33,0))&amp;"",IFERROR(LOOKUP(2^15,SEARCH(Settings!$F$14:$F$43,J144)/(Settings!$F$14:$F$43&lt;&gt;""),Settings!$G$14:$G$43),"")))</f>
        <v/>
      </c>
      <c r="BQ144">
        <f>IF(OR($B144="",K144=""),"",IFERROR(INDEX(Settings!$D$14:$D$33,MATCH(K144,Settings!$B$14:$B$33,0))&amp;"",IFERROR(LOOKUP(2^15,SEARCH(Settings!$F$14:$F$43,K144)/(Settings!$F$14:$F$43&lt;&gt;""),Settings!$G$14:$G$43),"")))</f>
        <v/>
      </c>
      <c r="BR144">
        <f>IF(OR($B144="",L144=""),"",IFERROR(INDEX(Settings!$D$14:$D$33,MATCH(L144,Settings!$B$14:$B$33,0))&amp;"",IFERROR(LOOKUP(2^15,SEARCH(Settings!$F$14:$F$43,L144)/(Settings!$F$14:$F$43&lt;&gt;""),Settings!$G$14:$G$43),"")))</f>
        <v/>
      </c>
      <c r="BS144">
        <f>IF(OR($B144="",M144=""),"",IFERROR(INDEX(Settings!$D$14:$D$33,MATCH(M144,Settings!$B$14:$B$33,0))&amp;"",IFERROR(LOOKUP(2^15,SEARCH(Settings!$F$14:$F$43,M144)/(Settings!$F$14:$F$43&lt;&gt;""),Settings!$G$14:$G$43),"")))</f>
        <v/>
      </c>
      <c r="BT144">
        <f>IF(OR($B144="",N144=""),"",IFERROR(INDEX(Settings!$D$14:$D$33,MATCH(N144,Settings!$B$14:$B$33,0))&amp;"",IFERROR(LOOKUP(2^15,SEARCH(Settings!$F$14:$F$43,N144)/(Settings!$F$14:$F$43&lt;&gt;""),Settings!$G$14:$G$43),"")))</f>
        <v/>
      </c>
      <c r="BU144">
        <f>IF(OR($B144="",O144=""),"",IFERROR(INDEX(Settings!$D$14:$D$33,MATCH(O144,Settings!$B$14:$B$33,0))&amp;"",IFERROR(LOOKUP(2^15,SEARCH(Settings!$F$14:$F$43,O144)/(Settings!$F$14:$F$43&lt;&gt;""),Settings!$G$14:$G$43),"")))</f>
        <v/>
      </c>
      <c r="BV144">
        <f>IF(OR($B144="",P144=""),"",IFERROR(INDEX(Settings!$D$14:$D$33,MATCH(P144,Settings!$B$14:$B$33,0))&amp;"",IFERROR(LOOKUP(2^15,SEARCH(Settings!$F$14:$F$43,P144)/(Settings!$F$14:$F$43&lt;&gt;""),Settings!$G$14:$G$43),"")))</f>
        <v/>
      </c>
      <c r="BW144">
        <f>IF(OR($B144="",Q144=""),"",IFERROR(INDEX(Settings!$D$14:$D$33,MATCH(Q144,Settings!$B$14:$B$33,0))&amp;"",IFERROR(LOOKUP(2^15,SEARCH(Settings!$F$14:$F$43,Q144)/(Settings!$F$14:$F$43&lt;&gt;""),Settings!$G$14:$G$43),"")))</f>
        <v/>
      </c>
      <c r="BX144">
        <f>IF(OR($B144="",R144=""),"",IFERROR(INDEX(Settings!$D$14:$D$33,MATCH(R144,Settings!$B$14:$B$33,0))&amp;"",IFERROR(LOOKUP(2^15,SEARCH(Settings!$F$14:$F$43,R144)/(Settings!$F$14:$F$43&lt;&gt;""),Settings!$G$14:$G$43),"")))</f>
        <v/>
      </c>
      <c r="BY144">
        <f>IF(OR($B144="",S144=""),"",IFERROR(INDEX(Settings!$D$14:$D$33,MATCH(S144,Settings!$B$14:$B$33,0))&amp;"",IFERROR(LOOKUP(2^15,SEARCH(Settings!$F$14:$F$43,S144)/(Settings!$F$14:$F$43&lt;&gt;""),Settings!$G$14:$G$43),"")))</f>
        <v/>
      </c>
      <c r="BZ144">
        <f>IF(OR($B144="",T144=""),"",IFERROR(INDEX(Settings!$D$14:$D$33,MATCH(T144,Settings!$B$14:$B$33,0))&amp;"",IFERROR(LOOKUP(2^15,SEARCH(Settings!$F$14:$F$43,T144)/(Settings!$F$14:$F$43&lt;&gt;""),Settings!$G$14:$G$43),"")))</f>
        <v/>
      </c>
      <c r="CA144">
        <f>IF(OR($B144="",U144=""),"",IFERROR(INDEX(Settings!$D$14:$D$33,MATCH(U144,Settings!$B$14:$B$33,0))&amp;"",IFERROR(LOOKUP(2^15,SEARCH(Settings!$F$14:$F$43,U144)/(Settings!$F$14:$F$43&lt;&gt;""),Settings!$G$14:$G$43),"")))</f>
        <v/>
      </c>
      <c r="CB144">
        <f>IF(OR($B144="",V144=""),"",IFERROR(INDEX(Settings!$D$14:$D$33,MATCH(V144,Settings!$B$14:$B$33,0))&amp;"",IFERROR(LOOKUP(2^15,SEARCH(Settings!$F$14:$F$43,V144)/(Settings!$F$14:$F$43&lt;&gt;""),Settings!$G$14:$G$43),"")))</f>
        <v/>
      </c>
      <c r="CC144">
        <f>IF(OR($B144="",W144=""),"",IFERROR(INDEX(Settings!$D$14:$D$33,MATCH(W144,Settings!$B$14:$B$33,0))&amp;"",IFERROR(LOOKUP(2^15,SEARCH(Settings!$F$14:$F$43,W144)/(Settings!$F$14:$F$43&lt;&gt;""),Settings!$G$14:$G$43),"")))</f>
        <v/>
      </c>
      <c r="CD144">
        <f>IF(OR($B144="",X144=""),"",IFERROR(INDEX(Settings!$D$14:$D$33,MATCH(X144,Settings!$B$14:$B$33,0))&amp;"",IFERROR(LOOKUP(2^15,SEARCH(Settings!$F$14:$F$43,X144)/(Settings!$F$14:$F$43&lt;&gt;""),Settings!$G$14:$G$43),"")))</f>
        <v/>
      </c>
      <c r="CE144">
        <f>IF(OR($B144="",Y144=""),"",IFERROR(INDEX(Settings!$D$14:$D$33,MATCH(Y144,Settings!$B$14:$B$33,0))&amp;"",IFERROR(LOOKUP(2^15,SEARCH(Settings!$F$14:$F$43,Y144)/(Settings!$F$14:$F$43&lt;&gt;""),Settings!$G$14:$G$43),"")))</f>
        <v/>
      </c>
      <c r="CF144">
        <f>IF(OR($B144="",Z144=""),"",IFERROR(INDEX(Settings!$D$14:$D$33,MATCH(Z144,Settings!$B$14:$B$33,0))&amp;"",IFERROR(LOOKUP(2^15,SEARCH(Settings!$F$14:$F$43,Z144)/(Settings!$F$14:$F$43&lt;&gt;""),Settings!$G$14:$G$43),"")))</f>
        <v/>
      </c>
      <c r="CG144">
        <f>IF(OR($B144="",AA144=""),"",IFERROR(INDEX(Settings!$D$14:$D$33,MATCH(AA144,Settings!$B$14:$B$33,0))&amp;"",IFERROR(LOOKUP(2^15,SEARCH(Settings!$F$14:$F$43,AA144)/(Settings!$F$14:$F$43&lt;&gt;""),Settings!$G$14:$G$43),"")))</f>
        <v/>
      </c>
      <c r="CH144">
        <f>IF(OR($B144="",AB144=""),"",IFERROR(INDEX(Settings!$D$14:$D$33,MATCH(AB144,Settings!$B$14:$B$33,0))&amp;"",IFERROR(LOOKUP(2^15,SEARCH(Settings!$F$14:$F$43,AB144)/(Settings!$F$14:$F$43&lt;&gt;""),Settings!$G$14:$G$43),"")))</f>
        <v/>
      </c>
      <c r="CI144">
        <f>IF(OR($B144="",AC144=""),"",IFERROR(INDEX(Settings!$D$14:$D$33,MATCH(AC144,Settings!$B$14:$B$33,0))&amp;"",IFERROR(LOOKUP(2^15,SEARCH(Settings!$F$14:$F$43,AC144)/(Settings!$F$14:$F$43&lt;&gt;""),Settings!$G$14:$G$43),"")))</f>
        <v/>
      </c>
      <c r="CJ144">
        <f>IF(OR($B144="",AD144=""),"",IFERROR(INDEX(Settings!$D$14:$D$33,MATCH(AD144,Settings!$B$14:$B$33,0))&amp;"",IFERROR(LOOKUP(2^15,SEARCH(Settings!$F$14:$F$43,AD144)/(Settings!$F$14:$F$43&lt;&gt;""),Settings!$G$14:$G$43),"")))</f>
        <v/>
      </c>
      <c r="CK144">
        <f>IF(OR($B144="",AE144=""),"",IFERROR(INDEX(Settings!$D$14:$D$33,MATCH(AE144,Settings!$B$14:$B$33,0))&amp;"",IFERROR(LOOKUP(2^15,SEARCH(Settings!$F$14:$F$43,AE144)/(Settings!$F$14:$F$43&lt;&gt;""),Settings!$G$14:$G$43),"")))</f>
        <v/>
      </c>
      <c r="CL144">
        <f>IF(OR($B144="",AF144=""),"",IFERROR(INDEX(Settings!$D$14:$D$33,MATCH(AF144,Settings!$B$14:$B$33,0))&amp;"",IFERROR(LOOKUP(2^15,SEARCH(Settings!$F$14:$F$43,AF144)/(Settings!$F$14:$F$43&lt;&gt;""),Settings!$G$14:$G$43),"")))</f>
        <v/>
      </c>
      <c r="CM144">
        <f>IF(OR($B144="",AG144=""),"",IFERROR(INDEX(Settings!$D$14:$D$33,MATCH(AG144,Settings!$B$14:$B$33,0))&amp;"",IFERROR(LOOKUP(2^15,SEARCH(Settings!$F$14:$F$43,AG144)/(Settings!$F$14:$F$43&lt;&gt;""),Settings!$G$14:$G$43),"")))</f>
        <v/>
      </c>
    </row>
    <row r="145">
      <c r="A145" t="n">
        <v>143</v>
      </c>
      <c r="B145">
        <f>IFERROR(INDEX(Index!$A$2:$A$202,MATCH(A145,Index!$E$2:$E$202,0)),"")</f>
        <v/>
      </c>
      <c r="D145">
        <f>IF($B145="","",IFERROR(MATCH("Travel*",AI145:BJ145,0),""))</f>
        <v/>
      </c>
      <c r="F145">
        <f>IF(OR($B145="",NOT(ISNUMBER(Settings!$C$9))),"",TRIM(SUBSTITUTE(SUBSTITUTE(INDEX('INPUT - Roster'!$S$1:$SV$206,$B145,Settings!$C$9+0)&amp;"",CHAR(10)," "),CHAR(160)," ")))</f>
        <v/>
      </c>
      <c r="G145">
        <f>IF(OR($B145="",NOT(ISNUMBER(Settings!$C$9))),"",TRIM(SUBSTITUTE(SUBSTITUTE(INDEX('INPUT - Roster'!$S$1:$SV$206,$B145,Settings!$C$9+1)&amp;"",CHAR(10)," "),CHAR(160)," ")))</f>
        <v/>
      </c>
      <c r="H145">
        <f>IF(OR($B145="",NOT(ISNUMBER(Settings!$C$9))),"",TRIM(SUBSTITUTE(SUBSTITUTE(INDEX('INPUT - Roster'!$S$1:$SV$206,$B145,Settings!$C$9+2)&amp;"",CHAR(10)," "),CHAR(160)," ")))</f>
        <v/>
      </c>
      <c r="I145">
        <f>IF(OR($B145="",NOT(ISNUMBER(Settings!$C$9))),"",TRIM(SUBSTITUTE(SUBSTITUTE(INDEX('INPUT - Roster'!$S$1:$SV$206,$B145,Settings!$C$9+3)&amp;"",CHAR(10)," "),CHAR(160)," ")))</f>
        <v/>
      </c>
      <c r="J145">
        <f>IF(OR($B145="",NOT(ISNUMBER(Settings!$C$9))),"",TRIM(SUBSTITUTE(SUBSTITUTE(INDEX('INPUT - Roster'!$S$1:$SV$206,$B145,Settings!$C$9+4)&amp;"",CHAR(10)," "),CHAR(160)," ")))</f>
        <v/>
      </c>
      <c r="K145">
        <f>IF(OR($B145="",NOT(ISNUMBER(Settings!$C$9))),"",TRIM(SUBSTITUTE(SUBSTITUTE(INDEX('INPUT - Roster'!$S$1:$SV$206,$B145,Settings!$C$9+5)&amp;"",CHAR(10)," "),CHAR(160)," ")))</f>
        <v/>
      </c>
      <c r="L145">
        <f>IF(OR($B145="",NOT(ISNUMBER(Settings!$C$9))),"",TRIM(SUBSTITUTE(SUBSTITUTE(INDEX('INPUT - Roster'!$S$1:$SV$206,$B145,Settings!$C$9+6)&amp;"",CHAR(10)," "),CHAR(160)," ")))</f>
        <v/>
      </c>
      <c r="M145">
        <f>IF(OR($B145="",NOT(ISNUMBER(Settings!$C$9))),"",TRIM(SUBSTITUTE(SUBSTITUTE(INDEX('INPUT - Roster'!$S$1:$SV$206,$B145,Settings!$C$9+7)&amp;"",CHAR(10)," "),CHAR(160)," ")))</f>
        <v/>
      </c>
      <c r="N145">
        <f>IF(OR($B145="",NOT(ISNUMBER(Settings!$C$9))),"",TRIM(SUBSTITUTE(SUBSTITUTE(INDEX('INPUT - Roster'!$S$1:$SV$206,$B145,Settings!$C$9+8)&amp;"",CHAR(10)," "),CHAR(160)," ")))</f>
        <v/>
      </c>
      <c r="O145">
        <f>IF(OR($B145="",NOT(ISNUMBER(Settings!$C$9))),"",TRIM(SUBSTITUTE(SUBSTITUTE(INDEX('INPUT - Roster'!$S$1:$SV$206,$B145,Settings!$C$9+9)&amp;"",CHAR(10)," "),CHAR(160)," ")))</f>
        <v/>
      </c>
      <c r="P145">
        <f>IF(OR($B145="",NOT(ISNUMBER(Settings!$C$9))),"",TRIM(SUBSTITUTE(SUBSTITUTE(INDEX('INPUT - Roster'!$S$1:$SV$206,$B145,Settings!$C$9+10)&amp;"",CHAR(10)," "),CHAR(160)," ")))</f>
        <v/>
      </c>
      <c r="Q145">
        <f>IF(OR($B145="",NOT(ISNUMBER(Settings!$C$9))),"",TRIM(SUBSTITUTE(SUBSTITUTE(INDEX('INPUT - Roster'!$S$1:$SV$206,$B145,Settings!$C$9+11)&amp;"",CHAR(10)," "),CHAR(160)," ")))</f>
        <v/>
      </c>
      <c r="R145">
        <f>IF(OR($B145="",NOT(ISNUMBER(Settings!$C$9))),"",TRIM(SUBSTITUTE(SUBSTITUTE(INDEX('INPUT - Roster'!$S$1:$SV$206,$B145,Settings!$C$9+12)&amp;"",CHAR(10)," "),CHAR(160)," ")))</f>
        <v/>
      </c>
      <c r="S145">
        <f>IF(OR($B145="",NOT(ISNUMBER(Settings!$C$9))),"",TRIM(SUBSTITUTE(SUBSTITUTE(INDEX('INPUT - Roster'!$S$1:$SV$206,$B145,Settings!$C$9+13)&amp;"",CHAR(10)," "),CHAR(160)," ")))</f>
        <v/>
      </c>
      <c r="T145">
        <f>IF(OR($B145="",NOT(ISNUMBER(Settings!$C$9))),"",TRIM(SUBSTITUTE(SUBSTITUTE(INDEX('INPUT - Roster'!$S$1:$SV$206,$B145,Settings!$C$9+14)&amp;"",CHAR(10)," "),CHAR(160)," ")))</f>
        <v/>
      </c>
      <c r="U145">
        <f>IF(OR($B145="",NOT(ISNUMBER(Settings!$C$9))),"",TRIM(SUBSTITUTE(SUBSTITUTE(INDEX('INPUT - Roster'!$S$1:$SV$206,$B145,Settings!$C$9+15)&amp;"",CHAR(10)," "),CHAR(160)," ")))</f>
        <v/>
      </c>
      <c r="V145">
        <f>IF(OR($B145="",NOT(ISNUMBER(Settings!$C$9))),"",TRIM(SUBSTITUTE(SUBSTITUTE(INDEX('INPUT - Roster'!$S$1:$SV$206,$B145,Settings!$C$9+16)&amp;"",CHAR(10)," "),CHAR(160)," ")))</f>
        <v/>
      </c>
      <c r="W145">
        <f>IF(OR($B145="",NOT(ISNUMBER(Settings!$C$9))),"",TRIM(SUBSTITUTE(SUBSTITUTE(INDEX('INPUT - Roster'!$S$1:$SV$206,$B145,Settings!$C$9+17)&amp;"",CHAR(10)," "),CHAR(160)," ")))</f>
        <v/>
      </c>
      <c r="X145">
        <f>IF(OR($B145="",NOT(ISNUMBER(Settings!$C$9))),"",TRIM(SUBSTITUTE(SUBSTITUTE(INDEX('INPUT - Roster'!$S$1:$SV$206,$B145,Settings!$C$9+18)&amp;"",CHAR(10)," "),CHAR(160)," ")))</f>
        <v/>
      </c>
      <c r="Y145">
        <f>IF(OR($B145="",NOT(ISNUMBER(Settings!$C$9))),"",TRIM(SUBSTITUTE(SUBSTITUTE(INDEX('INPUT - Roster'!$S$1:$SV$206,$B145,Settings!$C$9+19)&amp;"",CHAR(10)," "),CHAR(160)," ")))</f>
        <v/>
      </c>
      <c r="Z145">
        <f>IF(OR($B145="",NOT(ISNUMBER(Settings!$C$9))),"",TRIM(SUBSTITUTE(SUBSTITUTE(INDEX('INPUT - Roster'!$S$1:$SV$206,$B145,Settings!$C$9+20)&amp;"",CHAR(10)," "),CHAR(160)," ")))</f>
        <v/>
      </c>
      <c r="AA145">
        <f>IF(OR($B145="",NOT(ISNUMBER(Settings!$C$9))),"",TRIM(SUBSTITUTE(SUBSTITUTE(INDEX('INPUT - Roster'!$S$1:$SV$206,$B145,Settings!$C$9+21)&amp;"",CHAR(10)," "),CHAR(160)," ")))</f>
        <v/>
      </c>
      <c r="AB145">
        <f>IF(OR($B145="",NOT(ISNUMBER(Settings!$C$9))),"",TRIM(SUBSTITUTE(SUBSTITUTE(INDEX('INPUT - Roster'!$S$1:$SV$206,$B145,Settings!$C$9+22)&amp;"",CHAR(10)," "),CHAR(160)," ")))</f>
        <v/>
      </c>
      <c r="AC145">
        <f>IF(OR($B145="",NOT(ISNUMBER(Settings!$C$9))),"",TRIM(SUBSTITUTE(SUBSTITUTE(INDEX('INPUT - Roster'!$S$1:$SV$206,$B145,Settings!$C$9+23)&amp;"",CHAR(10)," "),CHAR(160)," ")))</f>
        <v/>
      </c>
      <c r="AD145">
        <f>IF(OR($B145="",NOT(ISNUMBER(Settings!$C$9))),"",TRIM(SUBSTITUTE(SUBSTITUTE(INDEX('INPUT - Roster'!$S$1:$SV$206,$B145,Settings!$C$9+24)&amp;"",CHAR(10)," "),CHAR(160)," ")))</f>
        <v/>
      </c>
      <c r="AE145">
        <f>IF(OR($B145="",NOT(ISNUMBER(Settings!$C$9))),"",TRIM(SUBSTITUTE(SUBSTITUTE(INDEX('INPUT - Roster'!$S$1:$SV$206,$B145,Settings!$C$9+25)&amp;"",CHAR(10)," "),CHAR(160)," ")))</f>
        <v/>
      </c>
      <c r="AF145">
        <f>IF(OR($B145="",NOT(ISNUMBER(Settings!$C$9))),"",TRIM(SUBSTITUTE(SUBSTITUTE(INDEX('INPUT - Roster'!$S$1:$SV$206,$B145,Settings!$C$9+26)&amp;"",CHAR(10)," "),CHAR(160)," ")))</f>
        <v/>
      </c>
      <c r="AG145">
        <f>IF(OR($B145="",NOT(ISNUMBER(Settings!$C$9))),"",TRIM(SUBSTITUTE(SUBSTITUTE(INDEX('INPUT - Roster'!$S$1:$SV$206,$B145,Settings!$C$9+27)&amp;"",CHAR(10)," "),CHAR(160)," ")))</f>
        <v/>
      </c>
      <c r="AI145">
        <f>IF($B145="","",IF(F145="","Not rostered",IFERROR(INDEX(Settings!$C$14:$C$33,MATCH(F145,Settings!$B$14:$B$33,0)),IFERROR(LOOKUP(2^15,SEARCH(Settings!$I$14:$I$83,F145)/(Settings!$I$14:$I$83&lt;&gt;""),Settings!$J$14:$J$83),"Other"))))</f>
        <v/>
      </c>
      <c r="AJ145">
        <f>IF($B145="","",IF(G145="","Not rostered",IFERROR(INDEX(Settings!$C$14:$C$33,MATCH(G145,Settings!$B$14:$B$33,0)),IFERROR(LOOKUP(2^15,SEARCH(Settings!$I$14:$I$83,G145)/(Settings!$I$14:$I$83&lt;&gt;""),Settings!$J$14:$J$83),"Other"))))</f>
        <v/>
      </c>
      <c r="AK145">
        <f>IF($B145="","",IF(H145="","Not rostered",IFERROR(INDEX(Settings!$C$14:$C$33,MATCH(H145,Settings!$B$14:$B$33,0)),IFERROR(LOOKUP(2^15,SEARCH(Settings!$I$14:$I$83,H145)/(Settings!$I$14:$I$83&lt;&gt;""),Settings!$J$14:$J$83),"Other"))))</f>
        <v/>
      </c>
      <c r="AL145">
        <f>IF($B145="","",IF(I145="","Not rostered",IFERROR(INDEX(Settings!$C$14:$C$33,MATCH(I145,Settings!$B$14:$B$33,0)),IFERROR(LOOKUP(2^15,SEARCH(Settings!$I$14:$I$83,I145)/(Settings!$I$14:$I$83&lt;&gt;""),Settings!$J$14:$J$83),"Other"))))</f>
        <v/>
      </c>
      <c r="AM145">
        <f>IF($B145="","",IF(J145="","Not rostered",IFERROR(INDEX(Settings!$C$14:$C$33,MATCH(J145,Settings!$B$14:$B$33,0)),IFERROR(LOOKUP(2^15,SEARCH(Settings!$I$14:$I$83,J145)/(Settings!$I$14:$I$83&lt;&gt;""),Settings!$J$14:$J$83),"Other"))))</f>
        <v/>
      </c>
      <c r="AN145">
        <f>IF($B145="","",IF(K145="","Not rostered",IFERROR(INDEX(Settings!$C$14:$C$33,MATCH(K145,Settings!$B$14:$B$33,0)),IFERROR(LOOKUP(2^15,SEARCH(Settings!$I$14:$I$83,K145)/(Settings!$I$14:$I$83&lt;&gt;""),Settings!$J$14:$J$83),"Other"))))</f>
        <v/>
      </c>
      <c r="AO145">
        <f>IF($B145="","",IF(L145="","Not rostered",IFERROR(INDEX(Settings!$C$14:$C$33,MATCH(L145,Settings!$B$14:$B$33,0)),IFERROR(LOOKUP(2^15,SEARCH(Settings!$I$14:$I$83,L145)/(Settings!$I$14:$I$83&lt;&gt;""),Settings!$J$14:$J$83),"Other"))))</f>
        <v/>
      </c>
      <c r="AP145">
        <f>IF($B145="","",IF(M145="","Not rostered",IFERROR(INDEX(Settings!$C$14:$C$33,MATCH(M145,Settings!$B$14:$B$33,0)),IFERROR(LOOKUP(2^15,SEARCH(Settings!$I$14:$I$83,M145)/(Settings!$I$14:$I$83&lt;&gt;""),Settings!$J$14:$J$83),"Other"))))</f>
        <v/>
      </c>
      <c r="AQ145">
        <f>IF($B145="","",IF(N145="","Not rostered",IFERROR(INDEX(Settings!$C$14:$C$33,MATCH(N145,Settings!$B$14:$B$33,0)),IFERROR(LOOKUP(2^15,SEARCH(Settings!$I$14:$I$83,N145)/(Settings!$I$14:$I$83&lt;&gt;""),Settings!$J$14:$J$83),"Other"))))</f>
        <v/>
      </c>
      <c r="AR145">
        <f>IF($B145="","",IF(O145="","Not rostered",IFERROR(INDEX(Settings!$C$14:$C$33,MATCH(O145,Settings!$B$14:$B$33,0)),IFERROR(LOOKUP(2^15,SEARCH(Settings!$I$14:$I$83,O145)/(Settings!$I$14:$I$83&lt;&gt;""),Settings!$J$14:$J$83),"Other"))))</f>
        <v/>
      </c>
      <c r="AS145">
        <f>IF($B145="","",IF(P145="","Not rostered",IFERROR(INDEX(Settings!$C$14:$C$33,MATCH(P145,Settings!$B$14:$B$33,0)),IFERROR(LOOKUP(2^15,SEARCH(Settings!$I$14:$I$83,P145)/(Settings!$I$14:$I$83&lt;&gt;""),Settings!$J$14:$J$83),"Other"))))</f>
        <v/>
      </c>
      <c r="AT145">
        <f>IF($B145="","",IF(Q145="","Not rostered",IFERROR(INDEX(Settings!$C$14:$C$33,MATCH(Q145,Settings!$B$14:$B$33,0)),IFERROR(LOOKUP(2^15,SEARCH(Settings!$I$14:$I$83,Q145)/(Settings!$I$14:$I$83&lt;&gt;""),Settings!$J$14:$J$83),"Other"))))</f>
        <v/>
      </c>
      <c r="AU145">
        <f>IF($B145="","",IF(R145="","Not rostered",IFERROR(INDEX(Settings!$C$14:$C$33,MATCH(R145,Settings!$B$14:$B$33,0)),IFERROR(LOOKUP(2^15,SEARCH(Settings!$I$14:$I$83,R145)/(Settings!$I$14:$I$83&lt;&gt;""),Settings!$J$14:$J$83),"Other"))))</f>
        <v/>
      </c>
      <c r="AV145">
        <f>IF($B145="","",IF(S145="","Not rostered",IFERROR(INDEX(Settings!$C$14:$C$33,MATCH(S145,Settings!$B$14:$B$33,0)),IFERROR(LOOKUP(2^15,SEARCH(Settings!$I$14:$I$83,S145)/(Settings!$I$14:$I$83&lt;&gt;""),Settings!$J$14:$J$83),"Other"))))</f>
        <v/>
      </c>
      <c r="AW145">
        <f>IF($B145="","",IF(T145="","Not rostered",IFERROR(INDEX(Settings!$C$14:$C$33,MATCH(T145,Settings!$B$14:$B$33,0)),IFERROR(LOOKUP(2^15,SEARCH(Settings!$I$14:$I$83,T145)/(Settings!$I$14:$I$83&lt;&gt;""),Settings!$J$14:$J$83),"Other"))))</f>
        <v/>
      </c>
      <c r="AX145">
        <f>IF($B145="","",IF(U145="","Not rostered",IFERROR(INDEX(Settings!$C$14:$C$33,MATCH(U145,Settings!$B$14:$B$33,0)),IFERROR(LOOKUP(2^15,SEARCH(Settings!$I$14:$I$83,U145)/(Settings!$I$14:$I$83&lt;&gt;""),Settings!$J$14:$J$83),"Other"))))</f>
        <v/>
      </c>
      <c r="AY145">
        <f>IF($B145="","",IF(V145="","Not rostered",IFERROR(INDEX(Settings!$C$14:$C$33,MATCH(V145,Settings!$B$14:$B$33,0)),IFERROR(LOOKUP(2^15,SEARCH(Settings!$I$14:$I$83,V145)/(Settings!$I$14:$I$83&lt;&gt;""),Settings!$J$14:$J$83),"Other"))))</f>
        <v/>
      </c>
      <c r="AZ145">
        <f>IF($B145="","",IF(W145="","Not rostered",IFERROR(INDEX(Settings!$C$14:$C$33,MATCH(W145,Settings!$B$14:$B$33,0)),IFERROR(LOOKUP(2^15,SEARCH(Settings!$I$14:$I$83,W145)/(Settings!$I$14:$I$83&lt;&gt;""),Settings!$J$14:$J$83),"Other"))))</f>
        <v/>
      </c>
      <c r="BA145">
        <f>IF($B145="","",IF(X145="","Not rostered",IFERROR(INDEX(Settings!$C$14:$C$33,MATCH(X145,Settings!$B$14:$B$33,0)),IFERROR(LOOKUP(2^15,SEARCH(Settings!$I$14:$I$83,X145)/(Settings!$I$14:$I$83&lt;&gt;""),Settings!$J$14:$J$83),"Other"))))</f>
        <v/>
      </c>
      <c r="BB145">
        <f>IF($B145="","",IF(Y145="","Not rostered",IFERROR(INDEX(Settings!$C$14:$C$33,MATCH(Y145,Settings!$B$14:$B$33,0)),IFERROR(LOOKUP(2^15,SEARCH(Settings!$I$14:$I$83,Y145)/(Settings!$I$14:$I$83&lt;&gt;""),Settings!$J$14:$J$83),"Other"))))</f>
        <v/>
      </c>
      <c r="BC145">
        <f>IF($B145="","",IF(Z145="","Not rostered",IFERROR(INDEX(Settings!$C$14:$C$33,MATCH(Z145,Settings!$B$14:$B$33,0)),IFERROR(LOOKUP(2^15,SEARCH(Settings!$I$14:$I$83,Z145)/(Settings!$I$14:$I$83&lt;&gt;""),Settings!$J$14:$J$83),"Other"))))</f>
        <v/>
      </c>
      <c r="BD145">
        <f>IF($B145="","",IF(AA145="","Not rostered",IFERROR(INDEX(Settings!$C$14:$C$33,MATCH(AA145,Settings!$B$14:$B$33,0)),IFERROR(LOOKUP(2^15,SEARCH(Settings!$I$14:$I$83,AA145)/(Settings!$I$14:$I$83&lt;&gt;""),Settings!$J$14:$J$83),"Other"))))</f>
        <v/>
      </c>
      <c r="BE145">
        <f>IF($B145="","",IF(AB145="","Not rostered",IFERROR(INDEX(Settings!$C$14:$C$33,MATCH(AB145,Settings!$B$14:$B$33,0)),IFERROR(LOOKUP(2^15,SEARCH(Settings!$I$14:$I$83,AB145)/(Settings!$I$14:$I$83&lt;&gt;""),Settings!$J$14:$J$83),"Other"))))</f>
        <v/>
      </c>
      <c r="BF145">
        <f>IF($B145="","",IF(AC145="","Not rostered",IFERROR(INDEX(Settings!$C$14:$C$33,MATCH(AC145,Settings!$B$14:$B$33,0)),IFERROR(LOOKUP(2^15,SEARCH(Settings!$I$14:$I$83,AC145)/(Settings!$I$14:$I$83&lt;&gt;""),Settings!$J$14:$J$83),"Other"))))</f>
        <v/>
      </c>
      <c r="BG145">
        <f>IF($B145="","",IF(AD145="","Not rostered",IFERROR(INDEX(Settings!$C$14:$C$33,MATCH(AD145,Settings!$B$14:$B$33,0)),IFERROR(LOOKUP(2^15,SEARCH(Settings!$I$14:$I$83,AD145)/(Settings!$I$14:$I$83&lt;&gt;""),Settings!$J$14:$J$83),"Other"))))</f>
        <v/>
      </c>
      <c r="BH145">
        <f>IF($B145="","",IF(AE145="","Not rostered",IFERROR(INDEX(Settings!$C$14:$C$33,MATCH(AE145,Settings!$B$14:$B$33,0)),IFERROR(LOOKUP(2^15,SEARCH(Settings!$I$14:$I$83,AE145)/(Settings!$I$14:$I$83&lt;&gt;""),Settings!$J$14:$J$83),"Other"))))</f>
        <v/>
      </c>
      <c r="BI145">
        <f>IF($B145="","",IF(AF145="","Not rostered",IFERROR(INDEX(Settings!$C$14:$C$33,MATCH(AF145,Settings!$B$14:$B$33,0)),IFERROR(LOOKUP(2^15,SEARCH(Settings!$I$14:$I$83,AF145)/(Settings!$I$14:$I$83&lt;&gt;""),Settings!$J$14:$J$83),"Other"))))</f>
        <v/>
      </c>
      <c r="BJ145">
        <f>IF($B145="","",IF(AG145="","Not rostered",IFERROR(INDEX(Settings!$C$14:$C$33,MATCH(AG145,Settings!$B$14:$B$33,0)),IFERROR(LOOKUP(2^15,SEARCH(Settings!$I$14:$I$83,AG145)/(Settings!$I$14:$I$83&lt;&gt;""),Settings!$J$14:$J$83),"Other"))))</f>
        <v/>
      </c>
      <c r="BL145">
        <f>IF(OR($B145="",F145=""),"",IFERROR(INDEX(Settings!$D$14:$D$33,MATCH(F145,Settings!$B$14:$B$33,0))&amp;"",IFERROR(LOOKUP(2^15,SEARCH(Settings!$F$14:$F$43,F145)/(Settings!$F$14:$F$43&lt;&gt;""),Settings!$G$14:$G$43),"")))</f>
        <v/>
      </c>
      <c r="BM145">
        <f>IF(OR($B145="",G145=""),"",IFERROR(INDEX(Settings!$D$14:$D$33,MATCH(G145,Settings!$B$14:$B$33,0))&amp;"",IFERROR(LOOKUP(2^15,SEARCH(Settings!$F$14:$F$43,G145)/(Settings!$F$14:$F$43&lt;&gt;""),Settings!$G$14:$G$43),"")))</f>
        <v/>
      </c>
      <c r="BN145">
        <f>IF(OR($B145="",H145=""),"",IFERROR(INDEX(Settings!$D$14:$D$33,MATCH(H145,Settings!$B$14:$B$33,0))&amp;"",IFERROR(LOOKUP(2^15,SEARCH(Settings!$F$14:$F$43,H145)/(Settings!$F$14:$F$43&lt;&gt;""),Settings!$G$14:$G$43),"")))</f>
        <v/>
      </c>
      <c r="BO145">
        <f>IF(OR($B145="",I145=""),"",IFERROR(INDEX(Settings!$D$14:$D$33,MATCH(I145,Settings!$B$14:$B$33,0))&amp;"",IFERROR(LOOKUP(2^15,SEARCH(Settings!$F$14:$F$43,I145)/(Settings!$F$14:$F$43&lt;&gt;""),Settings!$G$14:$G$43),"")))</f>
        <v/>
      </c>
      <c r="BP145">
        <f>IF(OR($B145="",J145=""),"",IFERROR(INDEX(Settings!$D$14:$D$33,MATCH(J145,Settings!$B$14:$B$33,0))&amp;"",IFERROR(LOOKUP(2^15,SEARCH(Settings!$F$14:$F$43,J145)/(Settings!$F$14:$F$43&lt;&gt;""),Settings!$G$14:$G$43),"")))</f>
        <v/>
      </c>
      <c r="BQ145">
        <f>IF(OR($B145="",K145=""),"",IFERROR(INDEX(Settings!$D$14:$D$33,MATCH(K145,Settings!$B$14:$B$33,0))&amp;"",IFERROR(LOOKUP(2^15,SEARCH(Settings!$F$14:$F$43,K145)/(Settings!$F$14:$F$43&lt;&gt;""),Settings!$G$14:$G$43),"")))</f>
        <v/>
      </c>
      <c r="BR145">
        <f>IF(OR($B145="",L145=""),"",IFERROR(INDEX(Settings!$D$14:$D$33,MATCH(L145,Settings!$B$14:$B$33,0))&amp;"",IFERROR(LOOKUP(2^15,SEARCH(Settings!$F$14:$F$43,L145)/(Settings!$F$14:$F$43&lt;&gt;""),Settings!$G$14:$G$43),"")))</f>
        <v/>
      </c>
      <c r="BS145">
        <f>IF(OR($B145="",M145=""),"",IFERROR(INDEX(Settings!$D$14:$D$33,MATCH(M145,Settings!$B$14:$B$33,0))&amp;"",IFERROR(LOOKUP(2^15,SEARCH(Settings!$F$14:$F$43,M145)/(Settings!$F$14:$F$43&lt;&gt;""),Settings!$G$14:$G$43),"")))</f>
        <v/>
      </c>
      <c r="BT145">
        <f>IF(OR($B145="",N145=""),"",IFERROR(INDEX(Settings!$D$14:$D$33,MATCH(N145,Settings!$B$14:$B$33,0))&amp;"",IFERROR(LOOKUP(2^15,SEARCH(Settings!$F$14:$F$43,N145)/(Settings!$F$14:$F$43&lt;&gt;""),Settings!$G$14:$G$43),"")))</f>
        <v/>
      </c>
      <c r="BU145">
        <f>IF(OR($B145="",O145=""),"",IFERROR(INDEX(Settings!$D$14:$D$33,MATCH(O145,Settings!$B$14:$B$33,0))&amp;"",IFERROR(LOOKUP(2^15,SEARCH(Settings!$F$14:$F$43,O145)/(Settings!$F$14:$F$43&lt;&gt;""),Settings!$G$14:$G$43),"")))</f>
        <v/>
      </c>
      <c r="BV145">
        <f>IF(OR($B145="",P145=""),"",IFERROR(INDEX(Settings!$D$14:$D$33,MATCH(P145,Settings!$B$14:$B$33,0))&amp;"",IFERROR(LOOKUP(2^15,SEARCH(Settings!$F$14:$F$43,P145)/(Settings!$F$14:$F$43&lt;&gt;""),Settings!$G$14:$G$43),"")))</f>
        <v/>
      </c>
      <c r="BW145">
        <f>IF(OR($B145="",Q145=""),"",IFERROR(INDEX(Settings!$D$14:$D$33,MATCH(Q145,Settings!$B$14:$B$33,0))&amp;"",IFERROR(LOOKUP(2^15,SEARCH(Settings!$F$14:$F$43,Q145)/(Settings!$F$14:$F$43&lt;&gt;""),Settings!$G$14:$G$43),"")))</f>
        <v/>
      </c>
      <c r="BX145">
        <f>IF(OR($B145="",R145=""),"",IFERROR(INDEX(Settings!$D$14:$D$33,MATCH(R145,Settings!$B$14:$B$33,0))&amp;"",IFERROR(LOOKUP(2^15,SEARCH(Settings!$F$14:$F$43,R145)/(Settings!$F$14:$F$43&lt;&gt;""),Settings!$G$14:$G$43),"")))</f>
        <v/>
      </c>
      <c r="BY145">
        <f>IF(OR($B145="",S145=""),"",IFERROR(INDEX(Settings!$D$14:$D$33,MATCH(S145,Settings!$B$14:$B$33,0))&amp;"",IFERROR(LOOKUP(2^15,SEARCH(Settings!$F$14:$F$43,S145)/(Settings!$F$14:$F$43&lt;&gt;""),Settings!$G$14:$G$43),"")))</f>
        <v/>
      </c>
      <c r="BZ145">
        <f>IF(OR($B145="",T145=""),"",IFERROR(INDEX(Settings!$D$14:$D$33,MATCH(T145,Settings!$B$14:$B$33,0))&amp;"",IFERROR(LOOKUP(2^15,SEARCH(Settings!$F$14:$F$43,T145)/(Settings!$F$14:$F$43&lt;&gt;""),Settings!$G$14:$G$43),"")))</f>
        <v/>
      </c>
      <c r="CA145">
        <f>IF(OR($B145="",U145=""),"",IFERROR(INDEX(Settings!$D$14:$D$33,MATCH(U145,Settings!$B$14:$B$33,0))&amp;"",IFERROR(LOOKUP(2^15,SEARCH(Settings!$F$14:$F$43,U145)/(Settings!$F$14:$F$43&lt;&gt;""),Settings!$G$14:$G$43),"")))</f>
        <v/>
      </c>
      <c r="CB145">
        <f>IF(OR($B145="",V145=""),"",IFERROR(INDEX(Settings!$D$14:$D$33,MATCH(V145,Settings!$B$14:$B$33,0))&amp;"",IFERROR(LOOKUP(2^15,SEARCH(Settings!$F$14:$F$43,V145)/(Settings!$F$14:$F$43&lt;&gt;""),Settings!$G$14:$G$43),"")))</f>
        <v/>
      </c>
      <c r="CC145">
        <f>IF(OR($B145="",W145=""),"",IFERROR(INDEX(Settings!$D$14:$D$33,MATCH(W145,Settings!$B$14:$B$33,0))&amp;"",IFERROR(LOOKUP(2^15,SEARCH(Settings!$F$14:$F$43,W145)/(Settings!$F$14:$F$43&lt;&gt;""),Settings!$G$14:$G$43),"")))</f>
        <v/>
      </c>
      <c r="CD145">
        <f>IF(OR($B145="",X145=""),"",IFERROR(INDEX(Settings!$D$14:$D$33,MATCH(X145,Settings!$B$14:$B$33,0))&amp;"",IFERROR(LOOKUP(2^15,SEARCH(Settings!$F$14:$F$43,X145)/(Settings!$F$14:$F$43&lt;&gt;""),Settings!$G$14:$G$43),"")))</f>
        <v/>
      </c>
      <c r="CE145">
        <f>IF(OR($B145="",Y145=""),"",IFERROR(INDEX(Settings!$D$14:$D$33,MATCH(Y145,Settings!$B$14:$B$33,0))&amp;"",IFERROR(LOOKUP(2^15,SEARCH(Settings!$F$14:$F$43,Y145)/(Settings!$F$14:$F$43&lt;&gt;""),Settings!$G$14:$G$43),"")))</f>
        <v/>
      </c>
      <c r="CF145">
        <f>IF(OR($B145="",Z145=""),"",IFERROR(INDEX(Settings!$D$14:$D$33,MATCH(Z145,Settings!$B$14:$B$33,0))&amp;"",IFERROR(LOOKUP(2^15,SEARCH(Settings!$F$14:$F$43,Z145)/(Settings!$F$14:$F$43&lt;&gt;""),Settings!$G$14:$G$43),"")))</f>
        <v/>
      </c>
      <c r="CG145">
        <f>IF(OR($B145="",AA145=""),"",IFERROR(INDEX(Settings!$D$14:$D$33,MATCH(AA145,Settings!$B$14:$B$33,0))&amp;"",IFERROR(LOOKUP(2^15,SEARCH(Settings!$F$14:$F$43,AA145)/(Settings!$F$14:$F$43&lt;&gt;""),Settings!$G$14:$G$43),"")))</f>
        <v/>
      </c>
      <c r="CH145">
        <f>IF(OR($B145="",AB145=""),"",IFERROR(INDEX(Settings!$D$14:$D$33,MATCH(AB145,Settings!$B$14:$B$33,0))&amp;"",IFERROR(LOOKUP(2^15,SEARCH(Settings!$F$14:$F$43,AB145)/(Settings!$F$14:$F$43&lt;&gt;""),Settings!$G$14:$G$43),"")))</f>
        <v/>
      </c>
      <c r="CI145">
        <f>IF(OR($B145="",AC145=""),"",IFERROR(INDEX(Settings!$D$14:$D$33,MATCH(AC145,Settings!$B$14:$B$33,0))&amp;"",IFERROR(LOOKUP(2^15,SEARCH(Settings!$F$14:$F$43,AC145)/(Settings!$F$14:$F$43&lt;&gt;""),Settings!$G$14:$G$43),"")))</f>
        <v/>
      </c>
      <c r="CJ145">
        <f>IF(OR($B145="",AD145=""),"",IFERROR(INDEX(Settings!$D$14:$D$33,MATCH(AD145,Settings!$B$14:$B$33,0))&amp;"",IFERROR(LOOKUP(2^15,SEARCH(Settings!$F$14:$F$43,AD145)/(Settings!$F$14:$F$43&lt;&gt;""),Settings!$G$14:$G$43),"")))</f>
        <v/>
      </c>
      <c r="CK145">
        <f>IF(OR($B145="",AE145=""),"",IFERROR(INDEX(Settings!$D$14:$D$33,MATCH(AE145,Settings!$B$14:$B$33,0))&amp;"",IFERROR(LOOKUP(2^15,SEARCH(Settings!$F$14:$F$43,AE145)/(Settings!$F$14:$F$43&lt;&gt;""),Settings!$G$14:$G$43),"")))</f>
        <v/>
      </c>
      <c r="CL145">
        <f>IF(OR($B145="",AF145=""),"",IFERROR(INDEX(Settings!$D$14:$D$33,MATCH(AF145,Settings!$B$14:$B$33,0))&amp;"",IFERROR(LOOKUP(2^15,SEARCH(Settings!$F$14:$F$43,AF145)/(Settings!$F$14:$F$43&lt;&gt;""),Settings!$G$14:$G$43),"")))</f>
        <v/>
      </c>
      <c r="CM145">
        <f>IF(OR($B145="",AG145=""),"",IFERROR(INDEX(Settings!$D$14:$D$33,MATCH(AG145,Settings!$B$14:$B$33,0))&amp;"",IFERROR(LOOKUP(2^15,SEARCH(Settings!$F$14:$F$43,AG145)/(Settings!$F$14:$F$43&lt;&gt;""),Settings!$G$14:$G$43),"")))</f>
        <v/>
      </c>
    </row>
    <row r="146">
      <c r="A146" t="n">
        <v>144</v>
      </c>
      <c r="B146">
        <f>IFERROR(INDEX(Index!$A$2:$A$202,MATCH(A146,Index!$E$2:$E$202,0)),"")</f>
        <v/>
      </c>
      <c r="D146">
        <f>IF($B146="","",IFERROR(MATCH("Travel*",AI146:BJ146,0),""))</f>
        <v/>
      </c>
      <c r="F146">
        <f>IF(OR($B146="",NOT(ISNUMBER(Settings!$C$9))),"",TRIM(SUBSTITUTE(SUBSTITUTE(INDEX('INPUT - Roster'!$S$1:$SV$206,$B146,Settings!$C$9+0)&amp;"",CHAR(10)," "),CHAR(160)," ")))</f>
        <v/>
      </c>
      <c r="G146">
        <f>IF(OR($B146="",NOT(ISNUMBER(Settings!$C$9))),"",TRIM(SUBSTITUTE(SUBSTITUTE(INDEX('INPUT - Roster'!$S$1:$SV$206,$B146,Settings!$C$9+1)&amp;"",CHAR(10)," "),CHAR(160)," ")))</f>
        <v/>
      </c>
      <c r="H146">
        <f>IF(OR($B146="",NOT(ISNUMBER(Settings!$C$9))),"",TRIM(SUBSTITUTE(SUBSTITUTE(INDEX('INPUT - Roster'!$S$1:$SV$206,$B146,Settings!$C$9+2)&amp;"",CHAR(10)," "),CHAR(160)," ")))</f>
        <v/>
      </c>
      <c r="I146">
        <f>IF(OR($B146="",NOT(ISNUMBER(Settings!$C$9))),"",TRIM(SUBSTITUTE(SUBSTITUTE(INDEX('INPUT - Roster'!$S$1:$SV$206,$B146,Settings!$C$9+3)&amp;"",CHAR(10)," "),CHAR(160)," ")))</f>
        <v/>
      </c>
      <c r="J146">
        <f>IF(OR($B146="",NOT(ISNUMBER(Settings!$C$9))),"",TRIM(SUBSTITUTE(SUBSTITUTE(INDEX('INPUT - Roster'!$S$1:$SV$206,$B146,Settings!$C$9+4)&amp;"",CHAR(10)," "),CHAR(160)," ")))</f>
        <v/>
      </c>
      <c r="K146">
        <f>IF(OR($B146="",NOT(ISNUMBER(Settings!$C$9))),"",TRIM(SUBSTITUTE(SUBSTITUTE(INDEX('INPUT - Roster'!$S$1:$SV$206,$B146,Settings!$C$9+5)&amp;"",CHAR(10)," "),CHAR(160)," ")))</f>
        <v/>
      </c>
      <c r="L146">
        <f>IF(OR($B146="",NOT(ISNUMBER(Settings!$C$9))),"",TRIM(SUBSTITUTE(SUBSTITUTE(INDEX('INPUT - Roster'!$S$1:$SV$206,$B146,Settings!$C$9+6)&amp;"",CHAR(10)," "),CHAR(160)," ")))</f>
        <v/>
      </c>
      <c r="M146">
        <f>IF(OR($B146="",NOT(ISNUMBER(Settings!$C$9))),"",TRIM(SUBSTITUTE(SUBSTITUTE(INDEX('INPUT - Roster'!$S$1:$SV$206,$B146,Settings!$C$9+7)&amp;"",CHAR(10)," "),CHAR(160)," ")))</f>
        <v/>
      </c>
      <c r="N146">
        <f>IF(OR($B146="",NOT(ISNUMBER(Settings!$C$9))),"",TRIM(SUBSTITUTE(SUBSTITUTE(INDEX('INPUT - Roster'!$S$1:$SV$206,$B146,Settings!$C$9+8)&amp;"",CHAR(10)," "),CHAR(160)," ")))</f>
        <v/>
      </c>
      <c r="O146">
        <f>IF(OR($B146="",NOT(ISNUMBER(Settings!$C$9))),"",TRIM(SUBSTITUTE(SUBSTITUTE(INDEX('INPUT - Roster'!$S$1:$SV$206,$B146,Settings!$C$9+9)&amp;"",CHAR(10)," "),CHAR(160)," ")))</f>
        <v/>
      </c>
      <c r="P146">
        <f>IF(OR($B146="",NOT(ISNUMBER(Settings!$C$9))),"",TRIM(SUBSTITUTE(SUBSTITUTE(INDEX('INPUT - Roster'!$S$1:$SV$206,$B146,Settings!$C$9+10)&amp;"",CHAR(10)," "),CHAR(160)," ")))</f>
        <v/>
      </c>
      <c r="Q146">
        <f>IF(OR($B146="",NOT(ISNUMBER(Settings!$C$9))),"",TRIM(SUBSTITUTE(SUBSTITUTE(INDEX('INPUT - Roster'!$S$1:$SV$206,$B146,Settings!$C$9+11)&amp;"",CHAR(10)," "),CHAR(160)," ")))</f>
        <v/>
      </c>
      <c r="R146">
        <f>IF(OR($B146="",NOT(ISNUMBER(Settings!$C$9))),"",TRIM(SUBSTITUTE(SUBSTITUTE(INDEX('INPUT - Roster'!$S$1:$SV$206,$B146,Settings!$C$9+12)&amp;"",CHAR(10)," "),CHAR(160)," ")))</f>
        <v/>
      </c>
      <c r="S146">
        <f>IF(OR($B146="",NOT(ISNUMBER(Settings!$C$9))),"",TRIM(SUBSTITUTE(SUBSTITUTE(INDEX('INPUT - Roster'!$S$1:$SV$206,$B146,Settings!$C$9+13)&amp;"",CHAR(10)," "),CHAR(160)," ")))</f>
        <v/>
      </c>
      <c r="T146">
        <f>IF(OR($B146="",NOT(ISNUMBER(Settings!$C$9))),"",TRIM(SUBSTITUTE(SUBSTITUTE(INDEX('INPUT - Roster'!$S$1:$SV$206,$B146,Settings!$C$9+14)&amp;"",CHAR(10)," "),CHAR(160)," ")))</f>
        <v/>
      </c>
      <c r="U146">
        <f>IF(OR($B146="",NOT(ISNUMBER(Settings!$C$9))),"",TRIM(SUBSTITUTE(SUBSTITUTE(INDEX('INPUT - Roster'!$S$1:$SV$206,$B146,Settings!$C$9+15)&amp;"",CHAR(10)," "),CHAR(160)," ")))</f>
        <v/>
      </c>
      <c r="V146">
        <f>IF(OR($B146="",NOT(ISNUMBER(Settings!$C$9))),"",TRIM(SUBSTITUTE(SUBSTITUTE(INDEX('INPUT - Roster'!$S$1:$SV$206,$B146,Settings!$C$9+16)&amp;"",CHAR(10)," "),CHAR(160)," ")))</f>
        <v/>
      </c>
      <c r="W146">
        <f>IF(OR($B146="",NOT(ISNUMBER(Settings!$C$9))),"",TRIM(SUBSTITUTE(SUBSTITUTE(INDEX('INPUT - Roster'!$S$1:$SV$206,$B146,Settings!$C$9+17)&amp;"",CHAR(10)," "),CHAR(160)," ")))</f>
        <v/>
      </c>
      <c r="X146">
        <f>IF(OR($B146="",NOT(ISNUMBER(Settings!$C$9))),"",TRIM(SUBSTITUTE(SUBSTITUTE(INDEX('INPUT - Roster'!$S$1:$SV$206,$B146,Settings!$C$9+18)&amp;"",CHAR(10)," "),CHAR(160)," ")))</f>
        <v/>
      </c>
      <c r="Y146">
        <f>IF(OR($B146="",NOT(ISNUMBER(Settings!$C$9))),"",TRIM(SUBSTITUTE(SUBSTITUTE(INDEX('INPUT - Roster'!$S$1:$SV$206,$B146,Settings!$C$9+19)&amp;"",CHAR(10)," "),CHAR(160)," ")))</f>
        <v/>
      </c>
      <c r="Z146">
        <f>IF(OR($B146="",NOT(ISNUMBER(Settings!$C$9))),"",TRIM(SUBSTITUTE(SUBSTITUTE(INDEX('INPUT - Roster'!$S$1:$SV$206,$B146,Settings!$C$9+20)&amp;"",CHAR(10)," "),CHAR(160)," ")))</f>
        <v/>
      </c>
      <c r="AA146">
        <f>IF(OR($B146="",NOT(ISNUMBER(Settings!$C$9))),"",TRIM(SUBSTITUTE(SUBSTITUTE(INDEX('INPUT - Roster'!$S$1:$SV$206,$B146,Settings!$C$9+21)&amp;"",CHAR(10)," "),CHAR(160)," ")))</f>
        <v/>
      </c>
      <c r="AB146">
        <f>IF(OR($B146="",NOT(ISNUMBER(Settings!$C$9))),"",TRIM(SUBSTITUTE(SUBSTITUTE(INDEX('INPUT - Roster'!$S$1:$SV$206,$B146,Settings!$C$9+22)&amp;"",CHAR(10)," "),CHAR(160)," ")))</f>
        <v/>
      </c>
      <c r="AC146">
        <f>IF(OR($B146="",NOT(ISNUMBER(Settings!$C$9))),"",TRIM(SUBSTITUTE(SUBSTITUTE(INDEX('INPUT - Roster'!$S$1:$SV$206,$B146,Settings!$C$9+23)&amp;"",CHAR(10)," "),CHAR(160)," ")))</f>
        <v/>
      </c>
      <c r="AD146">
        <f>IF(OR($B146="",NOT(ISNUMBER(Settings!$C$9))),"",TRIM(SUBSTITUTE(SUBSTITUTE(INDEX('INPUT - Roster'!$S$1:$SV$206,$B146,Settings!$C$9+24)&amp;"",CHAR(10)," "),CHAR(160)," ")))</f>
        <v/>
      </c>
      <c r="AE146">
        <f>IF(OR($B146="",NOT(ISNUMBER(Settings!$C$9))),"",TRIM(SUBSTITUTE(SUBSTITUTE(INDEX('INPUT - Roster'!$S$1:$SV$206,$B146,Settings!$C$9+25)&amp;"",CHAR(10)," "),CHAR(160)," ")))</f>
        <v/>
      </c>
      <c r="AF146">
        <f>IF(OR($B146="",NOT(ISNUMBER(Settings!$C$9))),"",TRIM(SUBSTITUTE(SUBSTITUTE(INDEX('INPUT - Roster'!$S$1:$SV$206,$B146,Settings!$C$9+26)&amp;"",CHAR(10)," "),CHAR(160)," ")))</f>
        <v/>
      </c>
      <c r="AG146">
        <f>IF(OR($B146="",NOT(ISNUMBER(Settings!$C$9))),"",TRIM(SUBSTITUTE(SUBSTITUTE(INDEX('INPUT - Roster'!$S$1:$SV$206,$B146,Settings!$C$9+27)&amp;"",CHAR(10)," "),CHAR(160)," ")))</f>
        <v/>
      </c>
      <c r="AI146">
        <f>IF($B146="","",IF(F146="","Not rostered",IFERROR(INDEX(Settings!$C$14:$C$33,MATCH(F146,Settings!$B$14:$B$33,0)),IFERROR(LOOKUP(2^15,SEARCH(Settings!$I$14:$I$83,F146)/(Settings!$I$14:$I$83&lt;&gt;""),Settings!$J$14:$J$83),"Other"))))</f>
        <v/>
      </c>
      <c r="AJ146">
        <f>IF($B146="","",IF(G146="","Not rostered",IFERROR(INDEX(Settings!$C$14:$C$33,MATCH(G146,Settings!$B$14:$B$33,0)),IFERROR(LOOKUP(2^15,SEARCH(Settings!$I$14:$I$83,G146)/(Settings!$I$14:$I$83&lt;&gt;""),Settings!$J$14:$J$83),"Other"))))</f>
        <v/>
      </c>
      <c r="AK146">
        <f>IF($B146="","",IF(H146="","Not rostered",IFERROR(INDEX(Settings!$C$14:$C$33,MATCH(H146,Settings!$B$14:$B$33,0)),IFERROR(LOOKUP(2^15,SEARCH(Settings!$I$14:$I$83,H146)/(Settings!$I$14:$I$83&lt;&gt;""),Settings!$J$14:$J$83),"Other"))))</f>
        <v/>
      </c>
      <c r="AL146">
        <f>IF($B146="","",IF(I146="","Not rostered",IFERROR(INDEX(Settings!$C$14:$C$33,MATCH(I146,Settings!$B$14:$B$33,0)),IFERROR(LOOKUP(2^15,SEARCH(Settings!$I$14:$I$83,I146)/(Settings!$I$14:$I$83&lt;&gt;""),Settings!$J$14:$J$83),"Other"))))</f>
        <v/>
      </c>
      <c r="AM146">
        <f>IF($B146="","",IF(J146="","Not rostered",IFERROR(INDEX(Settings!$C$14:$C$33,MATCH(J146,Settings!$B$14:$B$33,0)),IFERROR(LOOKUP(2^15,SEARCH(Settings!$I$14:$I$83,J146)/(Settings!$I$14:$I$83&lt;&gt;""),Settings!$J$14:$J$83),"Other"))))</f>
        <v/>
      </c>
      <c r="AN146">
        <f>IF($B146="","",IF(K146="","Not rostered",IFERROR(INDEX(Settings!$C$14:$C$33,MATCH(K146,Settings!$B$14:$B$33,0)),IFERROR(LOOKUP(2^15,SEARCH(Settings!$I$14:$I$83,K146)/(Settings!$I$14:$I$83&lt;&gt;""),Settings!$J$14:$J$83),"Other"))))</f>
        <v/>
      </c>
      <c r="AO146">
        <f>IF($B146="","",IF(L146="","Not rostered",IFERROR(INDEX(Settings!$C$14:$C$33,MATCH(L146,Settings!$B$14:$B$33,0)),IFERROR(LOOKUP(2^15,SEARCH(Settings!$I$14:$I$83,L146)/(Settings!$I$14:$I$83&lt;&gt;""),Settings!$J$14:$J$83),"Other"))))</f>
        <v/>
      </c>
      <c r="AP146">
        <f>IF($B146="","",IF(M146="","Not rostered",IFERROR(INDEX(Settings!$C$14:$C$33,MATCH(M146,Settings!$B$14:$B$33,0)),IFERROR(LOOKUP(2^15,SEARCH(Settings!$I$14:$I$83,M146)/(Settings!$I$14:$I$83&lt;&gt;""),Settings!$J$14:$J$83),"Other"))))</f>
        <v/>
      </c>
      <c r="AQ146">
        <f>IF($B146="","",IF(N146="","Not rostered",IFERROR(INDEX(Settings!$C$14:$C$33,MATCH(N146,Settings!$B$14:$B$33,0)),IFERROR(LOOKUP(2^15,SEARCH(Settings!$I$14:$I$83,N146)/(Settings!$I$14:$I$83&lt;&gt;""),Settings!$J$14:$J$83),"Other"))))</f>
        <v/>
      </c>
      <c r="AR146">
        <f>IF($B146="","",IF(O146="","Not rostered",IFERROR(INDEX(Settings!$C$14:$C$33,MATCH(O146,Settings!$B$14:$B$33,0)),IFERROR(LOOKUP(2^15,SEARCH(Settings!$I$14:$I$83,O146)/(Settings!$I$14:$I$83&lt;&gt;""),Settings!$J$14:$J$83),"Other"))))</f>
        <v/>
      </c>
      <c r="AS146">
        <f>IF($B146="","",IF(P146="","Not rostered",IFERROR(INDEX(Settings!$C$14:$C$33,MATCH(P146,Settings!$B$14:$B$33,0)),IFERROR(LOOKUP(2^15,SEARCH(Settings!$I$14:$I$83,P146)/(Settings!$I$14:$I$83&lt;&gt;""),Settings!$J$14:$J$83),"Other"))))</f>
        <v/>
      </c>
      <c r="AT146">
        <f>IF($B146="","",IF(Q146="","Not rostered",IFERROR(INDEX(Settings!$C$14:$C$33,MATCH(Q146,Settings!$B$14:$B$33,0)),IFERROR(LOOKUP(2^15,SEARCH(Settings!$I$14:$I$83,Q146)/(Settings!$I$14:$I$83&lt;&gt;""),Settings!$J$14:$J$83),"Other"))))</f>
        <v/>
      </c>
      <c r="AU146">
        <f>IF($B146="","",IF(R146="","Not rostered",IFERROR(INDEX(Settings!$C$14:$C$33,MATCH(R146,Settings!$B$14:$B$33,0)),IFERROR(LOOKUP(2^15,SEARCH(Settings!$I$14:$I$83,R146)/(Settings!$I$14:$I$83&lt;&gt;""),Settings!$J$14:$J$83),"Other"))))</f>
        <v/>
      </c>
      <c r="AV146">
        <f>IF($B146="","",IF(S146="","Not rostered",IFERROR(INDEX(Settings!$C$14:$C$33,MATCH(S146,Settings!$B$14:$B$33,0)),IFERROR(LOOKUP(2^15,SEARCH(Settings!$I$14:$I$83,S146)/(Settings!$I$14:$I$83&lt;&gt;""),Settings!$J$14:$J$83),"Other"))))</f>
        <v/>
      </c>
      <c r="AW146">
        <f>IF($B146="","",IF(T146="","Not rostered",IFERROR(INDEX(Settings!$C$14:$C$33,MATCH(T146,Settings!$B$14:$B$33,0)),IFERROR(LOOKUP(2^15,SEARCH(Settings!$I$14:$I$83,T146)/(Settings!$I$14:$I$83&lt;&gt;""),Settings!$J$14:$J$83),"Other"))))</f>
        <v/>
      </c>
      <c r="AX146">
        <f>IF($B146="","",IF(U146="","Not rostered",IFERROR(INDEX(Settings!$C$14:$C$33,MATCH(U146,Settings!$B$14:$B$33,0)),IFERROR(LOOKUP(2^15,SEARCH(Settings!$I$14:$I$83,U146)/(Settings!$I$14:$I$83&lt;&gt;""),Settings!$J$14:$J$83),"Other"))))</f>
        <v/>
      </c>
      <c r="AY146">
        <f>IF($B146="","",IF(V146="","Not rostered",IFERROR(INDEX(Settings!$C$14:$C$33,MATCH(V146,Settings!$B$14:$B$33,0)),IFERROR(LOOKUP(2^15,SEARCH(Settings!$I$14:$I$83,V146)/(Settings!$I$14:$I$83&lt;&gt;""),Settings!$J$14:$J$83),"Other"))))</f>
        <v/>
      </c>
      <c r="AZ146">
        <f>IF($B146="","",IF(W146="","Not rostered",IFERROR(INDEX(Settings!$C$14:$C$33,MATCH(W146,Settings!$B$14:$B$33,0)),IFERROR(LOOKUP(2^15,SEARCH(Settings!$I$14:$I$83,W146)/(Settings!$I$14:$I$83&lt;&gt;""),Settings!$J$14:$J$83),"Other"))))</f>
        <v/>
      </c>
      <c r="BA146">
        <f>IF($B146="","",IF(X146="","Not rostered",IFERROR(INDEX(Settings!$C$14:$C$33,MATCH(X146,Settings!$B$14:$B$33,0)),IFERROR(LOOKUP(2^15,SEARCH(Settings!$I$14:$I$83,X146)/(Settings!$I$14:$I$83&lt;&gt;""),Settings!$J$14:$J$83),"Other"))))</f>
        <v/>
      </c>
      <c r="BB146">
        <f>IF($B146="","",IF(Y146="","Not rostered",IFERROR(INDEX(Settings!$C$14:$C$33,MATCH(Y146,Settings!$B$14:$B$33,0)),IFERROR(LOOKUP(2^15,SEARCH(Settings!$I$14:$I$83,Y146)/(Settings!$I$14:$I$83&lt;&gt;""),Settings!$J$14:$J$83),"Other"))))</f>
        <v/>
      </c>
      <c r="BC146">
        <f>IF($B146="","",IF(Z146="","Not rostered",IFERROR(INDEX(Settings!$C$14:$C$33,MATCH(Z146,Settings!$B$14:$B$33,0)),IFERROR(LOOKUP(2^15,SEARCH(Settings!$I$14:$I$83,Z146)/(Settings!$I$14:$I$83&lt;&gt;""),Settings!$J$14:$J$83),"Other"))))</f>
        <v/>
      </c>
      <c r="BD146">
        <f>IF($B146="","",IF(AA146="","Not rostered",IFERROR(INDEX(Settings!$C$14:$C$33,MATCH(AA146,Settings!$B$14:$B$33,0)),IFERROR(LOOKUP(2^15,SEARCH(Settings!$I$14:$I$83,AA146)/(Settings!$I$14:$I$83&lt;&gt;""),Settings!$J$14:$J$83),"Other"))))</f>
        <v/>
      </c>
      <c r="BE146">
        <f>IF($B146="","",IF(AB146="","Not rostered",IFERROR(INDEX(Settings!$C$14:$C$33,MATCH(AB146,Settings!$B$14:$B$33,0)),IFERROR(LOOKUP(2^15,SEARCH(Settings!$I$14:$I$83,AB146)/(Settings!$I$14:$I$83&lt;&gt;""),Settings!$J$14:$J$83),"Other"))))</f>
        <v/>
      </c>
      <c r="BF146">
        <f>IF($B146="","",IF(AC146="","Not rostered",IFERROR(INDEX(Settings!$C$14:$C$33,MATCH(AC146,Settings!$B$14:$B$33,0)),IFERROR(LOOKUP(2^15,SEARCH(Settings!$I$14:$I$83,AC146)/(Settings!$I$14:$I$83&lt;&gt;""),Settings!$J$14:$J$83),"Other"))))</f>
        <v/>
      </c>
      <c r="BG146">
        <f>IF($B146="","",IF(AD146="","Not rostered",IFERROR(INDEX(Settings!$C$14:$C$33,MATCH(AD146,Settings!$B$14:$B$33,0)),IFERROR(LOOKUP(2^15,SEARCH(Settings!$I$14:$I$83,AD146)/(Settings!$I$14:$I$83&lt;&gt;""),Settings!$J$14:$J$83),"Other"))))</f>
        <v/>
      </c>
      <c r="BH146">
        <f>IF($B146="","",IF(AE146="","Not rostered",IFERROR(INDEX(Settings!$C$14:$C$33,MATCH(AE146,Settings!$B$14:$B$33,0)),IFERROR(LOOKUP(2^15,SEARCH(Settings!$I$14:$I$83,AE146)/(Settings!$I$14:$I$83&lt;&gt;""),Settings!$J$14:$J$83),"Other"))))</f>
        <v/>
      </c>
      <c r="BI146">
        <f>IF($B146="","",IF(AF146="","Not rostered",IFERROR(INDEX(Settings!$C$14:$C$33,MATCH(AF146,Settings!$B$14:$B$33,0)),IFERROR(LOOKUP(2^15,SEARCH(Settings!$I$14:$I$83,AF146)/(Settings!$I$14:$I$83&lt;&gt;""),Settings!$J$14:$J$83),"Other"))))</f>
        <v/>
      </c>
      <c r="BJ146">
        <f>IF($B146="","",IF(AG146="","Not rostered",IFERROR(INDEX(Settings!$C$14:$C$33,MATCH(AG146,Settings!$B$14:$B$33,0)),IFERROR(LOOKUP(2^15,SEARCH(Settings!$I$14:$I$83,AG146)/(Settings!$I$14:$I$83&lt;&gt;""),Settings!$J$14:$J$83),"Other"))))</f>
        <v/>
      </c>
      <c r="BL146">
        <f>IF(OR($B146="",F146=""),"",IFERROR(INDEX(Settings!$D$14:$D$33,MATCH(F146,Settings!$B$14:$B$33,0))&amp;"",IFERROR(LOOKUP(2^15,SEARCH(Settings!$F$14:$F$43,F146)/(Settings!$F$14:$F$43&lt;&gt;""),Settings!$G$14:$G$43),"")))</f>
        <v/>
      </c>
      <c r="BM146">
        <f>IF(OR($B146="",G146=""),"",IFERROR(INDEX(Settings!$D$14:$D$33,MATCH(G146,Settings!$B$14:$B$33,0))&amp;"",IFERROR(LOOKUP(2^15,SEARCH(Settings!$F$14:$F$43,G146)/(Settings!$F$14:$F$43&lt;&gt;""),Settings!$G$14:$G$43),"")))</f>
        <v/>
      </c>
      <c r="BN146">
        <f>IF(OR($B146="",H146=""),"",IFERROR(INDEX(Settings!$D$14:$D$33,MATCH(H146,Settings!$B$14:$B$33,0))&amp;"",IFERROR(LOOKUP(2^15,SEARCH(Settings!$F$14:$F$43,H146)/(Settings!$F$14:$F$43&lt;&gt;""),Settings!$G$14:$G$43),"")))</f>
        <v/>
      </c>
      <c r="BO146">
        <f>IF(OR($B146="",I146=""),"",IFERROR(INDEX(Settings!$D$14:$D$33,MATCH(I146,Settings!$B$14:$B$33,0))&amp;"",IFERROR(LOOKUP(2^15,SEARCH(Settings!$F$14:$F$43,I146)/(Settings!$F$14:$F$43&lt;&gt;""),Settings!$G$14:$G$43),"")))</f>
        <v/>
      </c>
      <c r="BP146">
        <f>IF(OR($B146="",J146=""),"",IFERROR(INDEX(Settings!$D$14:$D$33,MATCH(J146,Settings!$B$14:$B$33,0))&amp;"",IFERROR(LOOKUP(2^15,SEARCH(Settings!$F$14:$F$43,J146)/(Settings!$F$14:$F$43&lt;&gt;""),Settings!$G$14:$G$43),"")))</f>
        <v/>
      </c>
      <c r="BQ146">
        <f>IF(OR($B146="",K146=""),"",IFERROR(INDEX(Settings!$D$14:$D$33,MATCH(K146,Settings!$B$14:$B$33,0))&amp;"",IFERROR(LOOKUP(2^15,SEARCH(Settings!$F$14:$F$43,K146)/(Settings!$F$14:$F$43&lt;&gt;""),Settings!$G$14:$G$43),"")))</f>
        <v/>
      </c>
      <c r="BR146">
        <f>IF(OR($B146="",L146=""),"",IFERROR(INDEX(Settings!$D$14:$D$33,MATCH(L146,Settings!$B$14:$B$33,0))&amp;"",IFERROR(LOOKUP(2^15,SEARCH(Settings!$F$14:$F$43,L146)/(Settings!$F$14:$F$43&lt;&gt;""),Settings!$G$14:$G$43),"")))</f>
        <v/>
      </c>
      <c r="BS146">
        <f>IF(OR($B146="",M146=""),"",IFERROR(INDEX(Settings!$D$14:$D$33,MATCH(M146,Settings!$B$14:$B$33,0))&amp;"",IFERROR(LOOKUP(2^15,SEARCH(Settings!$F$14:$F$43,M146)/(Settings!$F$14:$F$43&lt;&gt;""),Settings!$G$14:$G$43),"")))</f>
        <v/>
      </c>
      <c r="BT146">
        <f>IF(OR($B146="",N146=""),"",IFERROR(INDEX(Settings!$D$14:$D$33,MATCH(N146,Settings!$B$14:$B$33,0))&amp;"",IFERROR(LOOKUP(2^15,SEARCH(Settings!$F$14:$F$43,N146)/(Settings!$F$14:$F$43&lt;&gt;""),Settings!$G$14:$G$43),"")))</f>
        <v/>
      </c>
      <c r="BU146">
        <f>IF(OR($B146="",O146=""),"",IFERROR(INDEX(Settings!$D$14:$D$33,MATCH(O146,Settings!$B$14:$B$33,0))&amp;"",IFERROR(LOOKUP(2^15,SEARCH(Settings!$F$14:$F$43,O146)/(Settings!$F$14:$F$43&lt;&gt;""),Settings!$G$14:$G$43),"")))</f>
        <v/>
      </c>
      <c r="BV146">
        <f>IF(OR($B146="",P146=""),"",IFERROR(INDEX(Settings!$D$14:$D$33,MATCH(P146,Settings!$B$14:$B$33,0))&amp;"",IFERROR(LOOKUP(2^15,SEARCH(Settings!$F$14:$F$43,P146)/(Settings!$F$14:$F$43&lt;&gt;""),Settings!$G$14:$G$43),"")))</f>
        <v/>
      </c>
      <c r="BW146">
        <f>IF(OR($B146="",Q146=""),"",IFERROR(INDEX(Settings!$D$14:$D$33,MATCH(Q146,Settings!$B$14:$B$33,0))&amp;"",IFERROR(LOOKUP(2^15,SEARCH(Settings!$F$14:$F$43,Q146)/(Settings!$F$14:$F$43&lt;&gt;""),Settings!$G$14:$G$43),"")))</f>
        <v/>
      </c>
      <c r="BX146">
        <f>IF(OR($B146="",R146=""),"",IFERROR(INDEX(Settings!$D$14:$D$33,MATCH(R146,Settings!$B$14:$B$33,0))&amp;"",IFERROR(LOOKUP(2^15,SEARCH(Settings!$F$14:$F$43,R146)/(Settings!$F$14:$F$43&lt;&gt;""),Settings!$G$14:$G$43),"")))</f>
        <v/>
      </c>
      <c r="BY146">
        <f>IF(OR($B146="",S146=""),"",IFERROR(INDEX(Settings!$D$14:$D$33,MATCH(S146,Settings!$B$14:$B$33,0))&amp;"",IFERROR(LOOKUP(2^15,SEARCH(Settings!$F$14:$F$43,S146)/(Settings!$F$14:$F$43&lt;&gt;""),Settings!$G$14:$G$43),"")))</f>
        <v/>
      </c>
      <c r="BZ146">
        <f>IF(OR($B146="",T146=""),"",IFERROR(INDEX(Settings!$D$14:$D$33,MATCH(T146,Settings!$B$14:$B$33,0))&amp;"",IFERROR(LOOKUP(2^15,SEARCH(Settings!$F$14:$F$43,T146)/(Settings!$F$14:$F$43&lt;&gt;""),Settings!$G$14:$G$43),"")))</f>
        <v/>
      </c>
      <c r="CA146">
        <f>IF(OR($B146="",U146=""),"",IFERROR(INDEX(Settings!$D$14:$D$33,MATCH(U146,Settings!$B$14:$B$33,0))&amp;"",IFERROR(LOOKUP(2^15,SEARCH(Settings!$F$14:$F$43,U146)/(Settings!$F$14:$F$43&lt;&gt;""),Settings!$G$14:$G$43),"")))</f>
        <v/>
      </c>
      <c r="CB146">
        <f>IF(OR($B146="",V146=""),"",IFERROR(INDEX(Settings!$D$14:$D$33,MATCH(V146,Settings!$B$14:$B$33,0))&amp;"",IFERROR(LOOKUP(2^15,SEARCH(Settings!$F$14:$F$43,V146)/(Settings!$F$14:$F$43&lt;&gt;""),Settings!$G$14:$G$43),"")))</f>
        <v/>
      </c>
      <c r="CC146">
        <f>IF(OR($B146="",W146=""),"",IFERROR(INDEX(Settings!$D$14:$D$33,MATCH(W146,Settings!$B$14:$B$33,0))&amp;"",IFERROR(LOOKUP(2^15,SEARCH(Settings!$F$14:$F$43,W146)/(Settings!$F$14:$F$43&lt;&gt;""),Settings!$G$14:$G$43),"")))</f>
        <v/>
      </c>
      <c r="CD146">
        <f>IF(OR($B146="",X146=""),"",IFERROR(INDEX(Settings!$D$14:$D$33,MATCH(X146,Settings!$B$14:$B$33,0))&amp;"",IFERROR(LOOKUP(2^15,SEARCH(Settings!$F$14:$F$43,X146)/(Settings!$F$14:$F$43&lt;&gt;""),Settings!$G$14:$G$43),"")))</f>
        <v/>
      </c>
      <c r="CE146">
        <f>IF(OR($B146="",Y146=""),"",IFERROR(INDEX(Settings!$D$14:$D$33,MATCH(Y146,Settings!$B$14:$B$33,0))&amp;"",IFERROR(LOOKUP(2^15,SEARCH(Settings!$F$14:$F$43,Y146)/(Settings!$F$14:$F$43&lt;&gt;""),Settings!$G$14:$G$43),"")))</f>
        <v/>
      </c>
      <c r="CF146">
        <f>IF(OR($B146="",Z146=""),"",IFERROR(INDEX(Settings!$D$14:$D$33,MATCH(Z146,Settings!$B$14:$B$33,0))&amp;"",IFERROR(LOOKUP(2^15,SEARCH(Settings!$F$14:$F$43,Z146)/(Settings!$F$14:$F$43&lt;&gt;""),Settings!$G$14:$G$43),"")))</f>
        <v/>
      </c>
      <c r="CG146">
        <f>IF(OR($B146="",AA146=""),"",IFERROR(INDEX(Settings!$D$14:$D$33,MATCH(AA146,Settings!$B$14:$B$33,0))&amp;"",IFERROR(LOOKUP(2^15,SEARCH(Settings!$F$14:$F$43,AA146)/(Settings!$F$14:$F$43&lt;&gt;""),Settings!$G$14:$G$43),"")))</f>
        <v/>
      </c>
      <c r="CH146">
        <f>IF(OR($B146="",AB146=""),"",IFERROR(INDEX(Settings!$D$14:$D$33,MATCH(AB146,Settings!$B$14:$B$33,0))&amp;"",IFERROR(LOOKUP(2^15,SEARCH(Settings!$F$14:$F$43,AB146)/(Settings!$F$14:$F$43&lt;&gt;""),Settings!$G$14:$G$43),"")))</f>
        <v/>
      </c>
      <c r="CI146">
        <f>IF(OR($B146="",AC146=""),"",IFERROR(INDEX(Settings!$D$14:$D$33,MATCH(AC146,Settings!$B$14:$B$33,0))&amp;"",IFERROR(LOOKUP(2^15,SEARCH(Settings!$F$14:$F$43,AC146)/(Settings!$F$14:$F$43&lt;&gt;""),Settings!$G$14:$G$43),"")))</f>
        <v/>
      </c>
      <c r="CJ146">
        <f>IF(OR($B146="",AD146=""),"",IFERROR(INDEX(Settings!$D$14:$D$33,MATCH(AD146,Settings!$B$14:$B$33,0))&amp;"",IFERROR(LOOKUP(2^15,SEARCH(Settings!$F$14:$F$43,AD146)/(Settings!$F$14:$F$43&lt;&gt;""),Settings!$G$14:$G$43),"")))</f>
        <v/>
      </c>
      <c r="CK146">
        <f>IF(OR($B146="",AE146=""),"",IFERROR(INDEX(Settings!$D$14:$D$33,MATCH(AE146,Settings!$B$14:$B$33,0))&amp;"",IFERROR(LOOKUP(2^15,SEARCH(Settings!$F$14:$F$43,AE146)/(Settings!$F$14:$F$43&lt;&gt;""),Settings!$G$14:$G$43),"")))</f>
        <v/>
      </c>
      <c r="CL146">
        <f>IF(OR($B146="",AF146=""),"",IFERROR(INDEX(Settings!$D$14:$D$33,MATCH(AF146,Settings!$B$14:$B$33,0))&amp;"",IFERROR(LOOKUP(2^15,SEARCH(Settings!$F$14:$F$43,AF146)/(Settings!$F$14:$F$43&lt;&gt;""),Settings!$G$14:$G$43),"")))</f>
        <v/>
      </c>
      <c r="CM146">
        <f>IF(OR($B146="",AG146=""),"",IFERROR(INDEX(Settings!$D$14:$D$33,MATCH(AG146,Settings!$B$14:$B$33,0))&amp;"",IFERROR(LOOKUP(2^15,SEARCH(Settings!$F$14:$F$43,AG146)/(Settings!$F$14:$F$43&lt;&gt;""),Settings!$G$14:$G$43),"")))</f>
        <v/>
      </c>
    </row>
    <row r="147">
      <c r="A147" t="n">
        <v>145</v>
      </c>
      <c r="B147">
        <f>IFERROR(INDEX(Index!$A$2:$A$202,MATCH(A147,Index!$E$2:$E$202,0)),"")</f>
        <v/>
      </c>
      <c r="D147">
        <f>IF($B147="","",IFERROR(MATCH("Travel*",AI147:BJ147,0),""))</f>
        <v/>
      </c>
      <c r="F147">
        <f>IF(OR($B147="",NOT(ISNUMBER(Settings!$C$9))),"",TRIM(SUBSTITUTE(SUBSTITUTE(INDEX('INPUT - Roster'!$S$1:$SV$206,$B147,Settings!$C$9+0)&amp;"",CHAR(10)," "),CHAR(160)," ")))</f>
        <v/>
      </c>
      <c r="G147">
        <f>IF(OR($B147="",NOT(ISNUMBER(Settings!$C$9))),"",TRIM(SUBSTITUTE(SUBSTITUTE(INDEX('INPUT - Roster'!$S$1:$SV$206,$B147,Settings!$C$9+1)&amp;"",CHAR(10)," "),CHAR(160)," ")))</f>
        <v/>
      </c>
      <c r="H147">
        <f>IF(OR($B147="",NOT(ISNUMBER(Settings!$C$9))),"",TRIM(SUBSTITUTE(SUBSTITUTE(INDEX('INPUT - Roster'!$S$1:$SV$206,$B147,Settings!$C$9+2)&amp;"",CHAR(10)," "),CHAR(160)," ")))</f>
        <v/>
      </c>
      <c r="I147">
        <f>IF(OR($B147="",NOT(ISNUMBER(Settings!$C$9))),"",TRIM(SUBSTITUTE(SUBSTITUTE(INDEX('INPUT - Roster'!$S$1:$SV$206,$B147,Settings!$C$9+3)&amp;"",CHAR(10)," "),CHAR(160)," ")))</f>
        <v/>
      </c>
      <c r="J147">
        <f>IF(OR($B147="",NOT(ISNUMBER(Settings!$C$9))),"",TRIM(SUBSTITUTE(SUBSTITUTE(INDEX('INPUT - Roster'!$S$1:$SV$206,$B147,Settings!$C$9+4)&amp;"",CHAR(10)," "),CHAR(160)," ")))</f>
        <v/>
      </c>
      <c r="K147">
        <f>IF(OR($B147="",NOT(ISNUMBER(Settings!$C$9))),"",TRIM(SUBSTITUTE(SUBSTITUTE(INDEX('INPUT - Roster'!$S$1:$SV$206,$B147,Settings!$C$9+5)&amp;"",CHAR(10)," "),CHAR(160)," ")))</f>
        <v/>
      </c>
      <c r="L147">
        <f>IF(OR($B147="",NOT(ISNUMBER(Settings!$C$9))),"",TRIM(SUBSTITUTE(SUBSTITUTE(INDEX('INPUT - Roster'!$S$1:$SV$206,$B147,Settings!$C$9+6)&amp;"",CHAR(10)," "),CHAR(160)," ")))</f>
        <v/>
      </c>
      <c r="M147">
        <f>IF(OR($B147="",NOT(ISNUMBER(Settings!$C$9))),"",TRIM(SUBSTITUTE(SUBSTITUTE(INDEX('INPUT - Roster'!$S$1:$SV$206,$B147,Settings!$C$9+7)&amp;"",CHAR(10)," "),CHAR(160)," ")))</f>
        <v/>
      </c>
      <c r="N147">
        <f>IF(OR($B147="",NOT(ISNUMBER(Settings!$C$9))),"",TRIM(SUBSTITUTE(SUBSTITUTE(INDEX('INPUT - Roster'!$S$1:$SV$206,$B147,Settings!$C$9+8)&amp;"",CHAR(10)," "),CHAR(160)," ")))</f>
        <v/>
      </c>
      <c r="O147">
        <f>IF(OR($B147="",NOT(ISNUMBER(Settings!$C$9))),"",TRIM(SUBSTITUTE(SUBSTITUTE(INDEX('INPUT - Roster'!$S$1:$SV$206,$B147,Settings!$C$9+9)&amp;"",CHAR(10)," "),CHAR(160)," ")))</f>
        <v/>
      </c>
      <c r="P147">
        <f>IF(OR($B147="",NOT(ISNUMBER(Settings!$C$9))),"",TRIM(SUBSTITUTE(SUBSTITUTE(INDEX('INPUT - Roster'!$S$1:$SV$206,$B147,Settings!$C$9+10)&amp;"",CHAR(10)," "),CHAR(160)," ")))</f>
        <v/>
      </c>
      <c r="Q147">
        <f>IF(OR($B147="",NOT(ISNUMBER(Settings!$C$9))),"",TRIM(SUBSTITUTE(SUBSTITUTE(INDEX('INPUT - Roster'!$S$1:$SV$206,$B147,Settings!$C$9+11)&amp;"",CHAR(10)," "),CHAR(160)," ")))</f>
        <v/>
      </c>
      <c r="R147">
        <f>IF(OR($B147="",NOT(ISNUMBER(Settings!$C$9))),"",TRIM(SUBSTITUTE(SUBSTITUTE(INDEX('INPUT - Roster'!$S$1:$SV$206,$B147,Settings!$C$9+12)&amp;"",CHAR(10)," "),CHAR(160)," ")))</f>
        <v/>
      </c>
      <c r="S147">
        <f>IF(OR($B147="",NOT(ISNUMBER(Settings!$C$9))),"",TRIM(SUBSTITUTE(SUBSTITUTE(INDEX('INPUT - Roster'!$S$1:$SV$206,$B147,Settings!$C$9+13)&amp;"",CHAR(10)," "),CHAR(160)," ")))</f>
        <v/>
      </c>
      <c r="T147">
        <f>IF(OR($B147="",NOT(ISNUMBER(Settings!$C$9))),"",TRIM(SUBSTITUTE(SUBSTITUTE(INDEX('INPUT - Roster'!$S$1:$SV$206,$B147,Settings!$C$9+14)&amp;"",CHAR(10)," "),CHAR(160)," ")))</f>
        <v/>
      </c>
      <c r="U147">
        <f>IF(OR($B147="",NOT(ISNUMBER(Settings!$C$9))),"",TRIM(SUBSTITUTE(SUBSTITUTE(INDEX('INPUT - Roster'!$S$1:$SV$206,$B147,Settings!$C$9+15)&amp;"",CHAR(10)," "),CHAR(160)," ")))</f>
        <v/>
      </c>
      <c r="V147">
        <f>IF(OR($B147="",NOT(ISNUMBER(Settings!$C$9))),"",TRIM(SUBSTITUTE(SUBSTITUTE(INDEX('INPUT - Roster'!$S$1:$SV$206,$B147,Settings!$C$9+16)&amp;"",CHAR(10)," "),CHAR(160)," ")))</f>
        <v/>
      </c>
      <c r="W147">
        <f>IF(OR($B147="",NOT(ISNUMBER(Settings!$C$9))),"",TRIM(SUBSTITUTE(SUBSTITUTE(INDEX('INPUT - Roster'!$S$1:$SV$206,$B147,Settings!$C$9+17)&amp;"",CHAR(10)," "),CHAR(160)," ")))</f>
        <v/>
      </c>
      <c r="X147">
        <f>IF(OR($B147="",NOT(ISNUMBER(Settings!$C$9))),"",TRIM(SUBSTITUTE(SUBSTITUTE(INDEX('INPUT - Roster'!$S$1:$SV$206,$B147,Settings!$C$9+18)&amp;"",CHAR(10)," "),CHAR(160)," ")))</f>
        <v/>
      </c>
      <c r="Y147">
        <f>IF(OR($B147="",NOT(ISNUMBER(Settings!$C$9))),"",TRIM(SUBSTITUTE(SUBSTITUTE(INDEX('INPUT - Roster'!$S$1:$SV$206,$B147,Settings!$C$9+19)&amp;"",CHAR(10)," "),CHAR(160)," ")))</f>
        <v/>
      </c>
      <c r="Z147">
        <f>IF(OR($B147="",NOT(ISNUMBER(Settings!$C$9))),"",TRIM(SUBSTITUTE(SUBSTITUTE(INDEX('INPUT - Roster'!$S$1:$SV$206,$B147,Settings!$C$9+20)&amp;"",CHAR(10)," "),CHAR(160)," ")))</f>
        <v/>
      </c>
      <c r="AA147">
        <f>IF(OR($B147="",NOT(ISNUMBER(Settings!$C$9))),"",TRIM(SUBSTITUTE(SUBSTITUTE(INDEX('INPUT - Roster'!$S$1:$SV$206,$B147,Settings!$C$9+21)&amp;"",CHAR(10)," "),CHAR(160)," ")))</f>
        <v/>
      </c>
      <c r="AB147">
        <f>IF(OR($B147="",NOT(ISNUMBER(Settings!$C$9))),"",TRIM(SUBSTITUTE(SUBSTITUTE(INDEX('INPUT - Roster'!$S$1:$SV$206,$B147,Settings!$C$9+22)&amp;"",CHAR(10)," "),CHAR(160)," ")))</f>
        <v/>
      </c>
      <c r="AC147">
        <f>IF(OR($B147="",NOT(ISNUMBER(Settings!$C$9))),"",TRIM(SUBSTITUTE(SUBSTITUTE(INDEX('INPUT - Roster'!$S$1:$SV$206,$B147,Settings!$C$9+23)&amp;"",CHAR(10)," "),CHAR(160)," ")))</f>
        <v/>
      </c>
      <c r="AD147">
        <f>IF(OR($B147="",NOT(ISNUMBER(Settings!$C$9))),"",TRIM(SUBSTITUTE(SUBSTITUTE(INDEX('INPUT - Roster'!$S$1:$SV$206,$B147,Settings!$C$9+24)&amp;"",CHAR(10)," "),CHAR(160)," ")))</f>
        <v/>
      </c>
      <c r="AE147">
        <f>IF(OR($B147="",NOT(ISNUMBER(Settings!$C$9))),"",TRIM(SUBSTITUTE(SUBSTITUTE(INDEX('INPUT - Roster'!$S$1:$SV$206,$B147,Settings!$C$9+25)&amp;"",CHAR(10)," "),CHAR(160)," ")))</f>
        <v/>
      </c>
      <c r="AF147">
        <f>IF(OR($B147="",NOT(ISNUMBER(Settings!$C$9))),"",TRIM(SUBSTITUTE(SUBSTITUTE(INDEX('INPUT - Roster'!$S$1:$SV$206,$B147,Settings!$C$9+26)&amp;"",CHAR(10)," "),CHAR(160)," ")))</f>
        <v/>
      </c>
      <c r="AG147">
        <f>IF(OR($B147="",NOT(ISNUMBER(Settings!$C$9))),"",TRIM(SUBSTITUTE(SUBSTITUTE(INDEX('INPUT - Roster'!$S$1:$SV$206,$B147,Settings!$C$9+27)&amp;"",CHAR(10)," "),CHAR(160)," ")))</f>
        <v/>
      </c>
      <c r="AI147">
        <f>IF($B147="","",IF(F147="","Not rostered",IFERROR(INDEX(Settings!$C$14:$C$33,MATCH(F147,Settings!$B$14:$B$33,0)),IFERROR(LOOKUP(2^15,SEARCH(Settings!$I$14:$I$83,F147)/(Settings!$I$14:$I$83&lt;&gt;""),Settings!$J$14:$J$83),"Other"))))</f>
        <v/>
      </c>
      <c r="AJ147">
        <f>IF($B147="","",IF(G147="","Not rostered",IFERROR(INDEX(Settings!$C$14:$C$33,MATCH(G147,Settings!$B$14:$B$33,0)),IFERROR(LOOKUP(2^15,SEARCH(Settings!$I$14:$I$83,G147)/(Settings!$I$14:$I$83&lt;&gt;""),Settings!$J$14:$J$83),"Other"))))</f>
        <v/>
      </c>
      <c r="AK147">
        <f>IF($B147="","",IF(H147="","Not rostered",IFERROR(INDEX(Settings!$C$14:$C$33,MATCH(H147,Settings!$B$14:$B$33,0)),IFERROR(LOOKUP(2^15,SEARCH(Settings!$I$14:$I$83,H147)/(Settings!$I$14:$I$83&lt;&gt;""),Settings!$J$14:$J$83),"Other"))))</f>
        <v/>
      </c>
      <c r="AL147">
        <f>IF($B147="","",IF(I147="","Not rostered",IFERROR(INDEX(Settings!$C$14:$C$33,MATCH(I147,Settings!$B$14:$B$33,0)),IFERROR(LOOKUP(2^15,SEARCH(Settings!$I$14:$I$83,I147)/(Settings!$I$14:$I$83&lt;&gt;""),Settings!$J$14:$J$83),"Other"))))</f>
        <v/>
      </c>
      <c r="AM147">
        <f>IF($B147="","",IF(J147="","Not rostered",IFERROR(INDEX(Settings!$C$14:$C$33,MATCH(J147,Settings!$B$14:$B$33,0)),IFERROR(LOOKUP(2^15,SEARCH(Settings!$I$14:$I$83,J147)/(Settings!$I$14:$I$83&lt;&gt;""),Settings!$J$14:$J$83),"Other"))))</f>
        <v/>
      </c>
      <c r="AN147">
        <f>IF($B147="","",IF(K147="","Not rostered",IFERROR(INDEX(Settings!$C$14:$C$33,MATCH(K147,Settings!$B$14:$B$33,0)),IFERROR(LOOKUP(2^15,SEARCH(Settings!$I$14:$I$83,K147)/(Settings!$I$14:$I$83&lt;&gt;""),Settings!$J$14:$J$83),"Other"))))</f>
        <v/>
      </c>
      <c r="AO147">
        <f>IF($B147="","",IF(L147="","Not rostered",IFERROR(INDEX(Settings!$C$14:$C$33,MATCH(L147,Settings!$B$14:$B$33,0)),IFERROR(LOOKUP(2^15,SEARCH(Settings!$I$14:$I$83,L147)/(Settings!$I$14:$I$83&lt;&gt;""),Settings!$J$14:$J$83),"Other"))))</f>
        <v/>
      </c>
      <c r="AP147">
        <f>IF($B147="","",IF(M147="","Not rostered",IFERROR(INDEX(Settings!$C$14:$C$33,MATCH(M147,Settings!$B$14:$B$33,0)),IFERROR(LOOKUP(2^15,SEARCH(Settings!$I$14:$I$83,M147)/(Settings!$I$14:$I$83&lt;&gt;""),Settings!$J$14:$J$83),"Other"))))</f>
        <v/>
      </c>
      <c r="AQ147">
        <f>IF($B147="","",IF(N147="","Not rostered",IFERROR(INDEX(Settings!$C$14:$C$33,MATCH(N147,Settings!$B$14:$B$33,0)),IFERROR(LOOKUP(2^15,SEARCH(Settings!$I$14:$I$83,N147)/(Settings!$I$14:$I$83&lt;&gt;""),Settings!$J$14:$J$83),"Other"))))</f>
        <v/>
      </c>
      <c r="AR147">
        <f>IF($B147="","",IF(O147="","Not rostered",IFERROR(INDEX(Settings!$C$14:$C$33,MATCH(O147,Settings!$B$14:$B$33,0)),IFERROR(LOOKUP(2^15,SEARCH(Settings!$I$14:$I$83,O147)/(Settings!$I$14:$I$83&lt;&gt;""),Settings!$J$14:$J$83),"Other"))))</f>
        <v/>
      </c>
      <c r="AS147">
        <f>IF($B147="","",IF(P147="","Not rostered",IFERROR(INDEX(Settings!$C$14:$C$33,MATCH(P147,Settings!$B$14:$B$33,0)),IFERROR(LOOKUP(2^15,SEARCH(Settings!$I$14:$I$83,P147)/(Settings!$I$14:$I$83&lt;&gt;""),Settings!$J$14:$J$83),"Other"))))</f>
        <v/>
      </c>
      <c r="AT147">
        <f>IF($B147="","",IF(Q147="","Not rostered",IFERROR(INDEX(Settings!$C$14:$C$33,MATCH(Q147,Settings!$B$14:$B$33,0)),IFERROR(LOOKUP(2^15,SEARCH(Settings!$I$14:$I$83,Q147)/(Settings!$I$14:$I$83&lt;&gt;""),Settings!$J$14:$J$83),"Other"))))</f>
        <v/>
      </c>
      <c r="AU147">
        <f>IF($B147="","",IF(R147="","Not rostered",IFERROR(INDEX(Settings!$C$14:$C$33,MATCH(R147,Settings!$B$14:$B$33,0)),IFERROR(LOOKUP(2^15,SEARCH(Settings!$I$14:$I$83,R147)/(Settings!$I$14:$I$83&lt;&gt;""),Settings!$J$14:$J$83),"Other"))))</f>
        <v/>
      </c>
      <c r="AV147">
        <f>IF($B147="","",IF(S147="","Not rostered",IFERROR(INDEX(Settings!$C$14:$C$33,MATCH(S147,Settings!$B$14:$B$33,0)),IFERROR(LOOKUP(2^15,SEARCH(Settings!$I$14:$I$83,S147)/(Settings!$I$14:$I$83&lt;&gt;""),Settings!$J$14:$J$83),"Other"))))</f>
        <v/>
      </c>
      <c r="AW147">
        <f>IF($B147="","",IF(T147="","Not rostered",IFERROR(INDEX(Settings!$C$14:$C$33,MATCH(T147,Settings!$B$14:$B$33,0)),IFERROR(LOOKUP(2^15,SEARCH(Settings!$I$14:$I$83,T147)/(Settings!$I$14:$I$83&lt;&gt;""),Settings!$J$14:$J$83),"Other"))))</f>
        <v/>
      </c>
      <c r="AX147">
        <f>IF($B147="","",IF(U147="","Not rostered",IFERROR(INDEX(Settings!$C$14:$C$33,MATCH(U147,Settings!$B$14:$B$33,0)),IFERROR(LOOKUP(2^15,SEARCH(Settings!$I$14:$I$83,U147)/(Settings!$I$14:$I$83&lt;&gt;""),Settings!$J$14:$J$83),"Other"))))</f>
        <v/>
      </c>
      <c r="AY147">
        <f>IF($B147="","",IF(V147="","Not rostered",IFERROR(INDEX(Settings!$C$14:$C$33,MATCH(V147,Settings!$B$14:$B$33,0)),IFERROR(LOOKUP(2^15,SEARCH(Settings!$I$14:$I$83,V147)/(Settings!$I$14:$I$83&lt;&gt;""),Settings!$J$14:$J$83),"Other"))))</f>
        <v/>
      </c>
      <c r="AZ147">
        <f>IF($B147="","",IF(W147="","Not rostered",IFERROR(INDEX(Settings!$C$14:$C$33,MATCH(W147,Settings!$B$14:$B$33,0)),IFERROR(LOOKUP(2^15,SEARCH(Settings!$I$14:$I$83,W147)/(Settings!$I$14:$I$83&lt;&gt;""),Settings!$J$14:$J$83),"Other"))))</f>
        <v/>
      </c>
      <c r="BA147">
        <f>IF($B147="","",IF(X147="","Not rostered",IFERROR(INDEX(Settings!$C$14:$C$33,MATCH(X147,Settings!$B$14:$B$33,0)),IFERROR(LOOKUP(2^15,SEARCH(Settings!$I$14:$I$83,X147)/(Settings!$I$14:$I$83&lt;&gt;""),Settings!$J$14:$J$83),"Other"))))</f>
        <v/>
      </c>
      <c r="BB147">
        <f>IF($B147="","",IF(Y147="","Not rostered",IFERROR(INDEX(Settings!$C$14:$C$33,MATCH(Y147,Settings!$B$14:$B$33,0)),IFERROR(LOOKUP(2^15,SEARCH(Settings!$I$14:$I$83,Y147)/(Settings!$I$14:$I$83&lt;&gt;""),Settings!$J$14:$J$83),"Other"))))</f>
        <v/>
      </c>
      <c r="BC147">
        <f>IF($B147="","",IF(Z147="","Not rostered",IFERROR(INDEX(Settings!$C$14:$C$33,MATCH(Z147,Settings!$B$14:$B$33,0)),IFERROR(LOOKUP(2^15,SEARCH(Settings!$I$14:$I$83,Z147)/(Settings!$I$14:$I$83&lt;&gt;""),Settings!$J$14:$J$83),"Other"))))</f>
        <v/>
      </c>
      <c r="BD147">
        <f>IF($B147="","",IF(AA147="","Not rostered",IFERROR(INDEX(Settings!$C$14:$C$33,MATCH(AA147,Settings!$B$14:$B$33,0)),IFERROR(LOOKUP(2^15,SEARCH(Settings!$I$14:$I$83,AA147)/(Settings!$I$14:$I$83&lt;&gt;""),Settings!$J$14:$J$83),"Other"))))</f>
        <v/>
      </c>
      <c r="BE147">
        <f>IF($B147="","",IF(AB147="","Not rostered",IFERROR(INDEX(Settings!$C$14:$C$33,MATCH(AB147,Settings!$B$14:$B$33,0)),IFERROR(LOOKUP(2^15,SEARCH(Settings!$I$14:$I$83,AB147)/(Settings!$I$14:$I$83&lt;&gt;""),Settings!$J$14:$J$83),"Other"))))</f>
        <v/>
      </c>
      <c r="BF147">
        <f>IF($B147="","",IF(AC147="","Not rostered",IFERROR(INDEX(Settings!$C$14:$C$33,MATCH(AC147,Settings!$B$14:$B$33,0)),IFERROR(LOOKUP(2^15,SEARCH(Settings!$I$14:$I$83,AC147)/(Settings!$I$14:$I$83&lt;&gt;""),Settings!$J$14:$J$83),"Other"))))</f>
        <v/>
      </c>
      <c r="BG147">
        <f>IF($B147="","",IF(AD147="","Not rostered",IFERROR(INDEX(Settings!$C$14:$C$33,MATCH(AD147,Settings!$B$14:$B$33,0)),IFERROR(LOOKUP(2^15,SEARCH(Settings!$I$14:$I$83,AD147)/(Settings!$I$14:$I$83&lt;&gt;""),Settings!$J$14:$J$83),"Other"))))</f>
        <v/>
      </c>
      <c r="BH147">
        <f>IF($B147="","",IF(AE147="","Not rostered",IFERROR(INDEX(Settings!$C$14:$C$33,MATCH(AE147,Settings!$B$14:$B$33,0)),IFERROR(LOOKUP(2^15,SEARCH(Settings!$I$14:$I$83,AE147)/(Settings!$I$14:$I$83&lt;&gt;""),Settings!$J$14:$J$83),"Other"))))</f>
        <v/>
      </c>
      <c r="BI147">
        <f>IF($B147="","",IF(AF147="","Not rostered",IFERROR(INDEX(Settings!$C$14:$C$33,MATCH(AF147,Settings!$B$14:$B$33,0)),IFERROR(LOOKUP(2^15,SEARCH(Settings!$I$14:$I$83,AF147)/(Settings!$I$14:$I$83&lt;&gt;""),Settings!$J$14:$J$83),"Other"))))</f>
        <v/>
      </c>
      <c r="BJ147">
        <f>IF($B147="","",IF(AG147="","Not rostered",IFERROR(INDEX(Settings!$C$14:$C$33,MATCH(AG147,Settings!$B$14:$B$33,0)),IFERROR(LOOKUP(2^15,SEARCH(Settings!$I$14:$I$83,AG147)/(Settings!$I$14:$I$83&lt;&gt;""),Settings!$J$14:$J$83),"Other"))))</f>
        <v/>
      </c>
      <c r="BL147">
        <f>IF(OR($B147="",F147=""),"",IFERROR(INDEX(Settings!$D$14:$D$33,MATCH(F147,Settings!$B$14:$B$33,0))&amp;"",IFERROR(LOOKUP(2^15,SEARCH(Settings!$F$14:$F$43,F147)/(Settings!$F$14:$F$43&lt;&gt;""),Settings!$G$14:$G$43),"")))</f>
        <v/>
      </c>
      <c r="BM147">
        <f>IF(OR($B147="",G147=""),"",IFERROR(INDEX(Settings!$D$14:$D$33,MATCH(G147,Settings!$B$14:$B$33,0))&amp;"",IFERROR(LOOKUP(2^15,SEARCH(Settings!$F$14:$F$43,G147)/(Settings!$F$14:$F$43&lt;&gt;""),Settings!$G$14:$G$43),"")))</f>
        <v/>
      </c>
      <c r="BN147">
        <f>IF(OR($B147="",H147=""),"",IFERROR(INDEX(Settings!$D$14:$D$33,MATCH(H147,Settings!$B$14:$B$33,0))&amp;"",IFERROR(LOOKUP(2^15,SEARCH(Settings!$F$14:$F$43,H147)/(Settings!$F$14:$F$43&lt;&gt;""),Settings!$G$14:$G$43),"")))</f>
        <v/>
      </c>
      <c r="BO147">
        <f>IF(OR($B147="",I147=""),"",IFERROR(INDEX(Settings!$D$14:$D$33,MATCH(I147,Settings!$B$14:$B$33,0))&amp;"",IFERROR(LOOKUP(2^15,SEARCH(Settings!$F$14:$F$43,I147)/(Settings!$F$14:$F$43&lt;&gt;""),Settings!$G$14:$G$43),"")))</f>
        <v/>
      </c>
      <c r="BP147">
        <f>IF(OR($B147="",J147=""),"",IFERROR(INDEX(Settings!$D$14:$D$33,MATCH(J147,Settings!$B$14:$B$33,0))&amp;"",IFERROR(LOOKUP(2^15,SEARCH(Settings!$F$14:$F$43,J147)/(Settings!$F$14:$F$43&lt;&gt;""),Settings!$G$14:$G$43),"")))</f>
        <v/>
      </c>
      <c r="BQ147">
        <f>IF(OR($B147="",K147=""),"",IFERROR(INDEX(Settings!$D$14:$D$33,MATCH(K147,Settings!$B$14:$B$33,0))&amp;"",IFERROR(LOOKUP(2^15,SEARCH(Settings!$F$14:$F$43,K147)/(Settings!$F$14:$F$43&lt;&gt;""),Settings!$G$14:$G$43),"")))</f>
        <v/>
      </c>
      <c r="BR147">
        <f>IF(OR($B147="",L147=""),"",IFERROR(INDEX(Settings!$D$14:$D$33,MATCH(L147,Settings!$B$14:$B$33,0))&amp;"",IFERROR(LOOKUP(2^15,SEARCH(Settings!$F$14:$F$43,L147)/(Settings!$F$14:$F$43&lt;&gt;""),Settings!$G$14:$G$43),"")))</f>
        <v/>
      </c>
      <c r="BS147">
        <f>IF(OR($B147="",M147=""),"",IFERROR(INDEX(Settings!$D$14:$D$33,MATCH(M147,Settings!$B$14:$B$33,0))&amp;"",IFERROR(LOOKUP(2^15,SEARCH(Settings!$F$14:$F$43,M147)/(Settings!$F$14:$F$43&lt;&gt;""),Settings!$G$14:$G$43),"")))</f>
        <v/>
      </c>
      <c r="BT147">
        <f>IF(OR($B147="",N147=""),"",IFERROR(INDEX(Settings!$D$14:$D$33,MATCH(N147,Settings!$B$14:$B$33,0))&amp;"",IFERROR(LOOKUP(2^15,SEARCH(Settings!$F$14:$F$43,N147)/(Settings!$F$14:$F$43&lt;&gt;""),Settings!$G$14:$G$43),"")))</f>
        <v/>
      </c>
      <c r="BU147">
        <f>IF(OR($B147="",O147=""),"",IFERROR(INDEX(Settings!$D$14:$D$33,MATCH(O147,Settings!$B$14:$B$33,0))&amp;"",IFERROR(LOOKUP(2^15,SEARCH(Settings!$F$14:$F$43,O147)/(Settings!$F$14:$F$43&lt;&gt;""),Settings!$G$14:$G$43),"")))</f>
        <v/>
      </c>
      <c r="BV147">
        <f>IF(OR($B147="",P147=""),"",IFERROR(INDEX(Settings!$D$14:$D$33,MATCH(P147,Settings!$B$14:$B$33,0))&amp;"",IFERROR(LOOKUP(2^15,SEARCH(Settings!$F$14:$F$43,P147)/(Settings!$F$14:$F$43&lt;&gt;""),Settings!$G$14:$G$43),"")))</f>
        <v/>
      </c>
      <c r="BW147">
        <f>IF(OR($B147="",Q147=""),"",IFERROR(INDEX(Settings!$D$14:$D$33,MATCH(Q147,Settings!$B$14:$B$33,0))&amp;"",IFERROR(LOOKUP(2^15,SEARCH(Settings!$F$14:$F$43,Q147)/(Settings!$F$14:$F$43&lt;&gt;""),Settings!$G$14:$G$43),"")))</f>
        <v/>
      </c>
      <c r="BX147">
        <f>IF(OR($B147="",R147=""),"",IFERROR(INDEX(Settings!$D$14:$D$33,MATCH(R147,Settings!$B$14:$B$33,0))&amp;"",IFERROR(LOOKUP(2^15,SEARCH(Settings!$F$14:$F$43,R147)/(Settings!$F$14:$F$43&lt;&gt;""),Settings!$G$14:$G$43),"")))</f>
        <v/>
      </c>
      <c r="BY147">
        <f>IF(OR($B147="",S147=""),"",IFERROR(INDEX(Settings!$D$14:$D$33,MATCH(S147,Settings!$B$14:$B$33,0))&amp;"",IFERROR(LOOKUP(2^15,SEARCH(Settings!$F$14:$F$43,S147)/(Settings!$F$14:$F$43&lt;&gt;""),Settings!$G$14:$G$43),"")))</f>
        <v/>
      </c>
      <c r="BZ147">
        <f>IF(OR($B147="",T147=""),"",IFERROR(INDEX(Settings!$D$14:$D$33,MATCH(T147,Settings!$B$14:$B$33,0))&amp;"",IFERROR(LOOKUP(2^15,SEARCH(Settings!$F$14:$F$43,T147)/(Settings!$F$14:$F$43&lt;&gt;""),Settings!$G$14:$G$43),"")))</f>
        <v/>
      </c>
      <c r="CA147">
        <f>IF(OR($B147="",U147=""),"",IFERROR(INDEX(Settings!$D$14:$D$33,MATCH(U147,Settings!$B$14:$B$33,0))&amp;"",IFERROR(LOOKUP(2^15,SEARCH(Settings!$F$14:$F$43,U147)/(Settings!$F$14:$F$43&lt;&gt;""),Settings!$G$14:$G$43),"")))</f>
        <v/>
      </c>
      <c r="CB147">
        <f>IF(OR($B147="",V147=""),"",IFERROR(INDEX(Settings!$D$14:$D$33,MATCH(V147,Settings!$B$14:$B$33,0))&amp;"",IFERROR(LOOKUP(2^15,SEARCH(Settings!$F$14:$F$43,V147)/(Settings!$F$14:$F$43&lt;&gt;""),Settings!$G$14:$G$43),"")))</f>
        <v/>
      </c>
      <c r="CC147">
        <f>IF(OR($B147="",W147=""),"",IFERROR(INDEX(Settings!$D$14:$D$33,MATCH(W147,Settings!$B$14:$B$33,0))&amp;"",IFERROR(LOOKUP(2^15,SEARCH(Settings!$F$14:$F$43,W147)/(Settings!$F$14:$F$43&lt;&gt;""),Settings!$G$14:$G$43),"")))</f>
        <v/>
      </c>
      <c r="CD147">
        <f>IF(OR($B147="",X147=""),"",IFERROR(INDEX(Settings!$D$14:$D$33,MATCH(X147,Settings!$B$14:$B$33,0))&amp;"",IFERROR(LOOKUP(2^15,SEARCH(Settings!$F$14:$F$43,X147)/(Settings!$F$14:$F$43&lt;&gt;""),Settings!$G$14:$G$43),"")))</f>
        <v/>
      </c>
      <c r="CE147">
        <f>IF(OR($B147="",Y147=""),"",IFERROR(INDEX(Settings!$D$14:$D$33,MATCH(Y147,Settings!$B$14:$B$33,0))&amp;"",IFERROR(LOOKUP(2^15,SEARCH(Settings!$F$14:$F$43,Y147)/(Settings!$F$14:$F$43&lt;&gt;""),Settings!$G$14:$G$43),"")))</f>
        <v/>
      </c>
      <c r="CF147">
        <f>IF(OR($B147="",Z147=""),"",IFERROR(INDEX(Settings!$D$14:$D$33,MATCH(Z147,Settings!$B$14:$B$33,0))&amp;"",IFERROR(LOOKUP(2^15,SEARCH(Settings!$F$14:$F$43,Z147)/(Settings!$F$14:$F$43&lt;&gt;""),Settings!$G$14:$G$43),"")))</f>
        <v/>
      </c>
      <c r="CG147">
        <f>IF(OR($B147="",AA147=""),"",IFERROR(INDEX(Settings!$D$14:$D$33,MATCH(AA147,Settings!$B$14:$B$33,0))&amp;"",IFERROR(LOOKUP(2^15,SEARCH(Settings!$F$14:$F$43,AA147)/(Settings!$F$14:$F$43&lt;&gt;""),Settings!$G$14:$G$43),"")))</f>
        <v/>
      </c>
      <c r="CH147">
        <f>IF(OR($B147="",AB147=""),"",IFERROR(INDEX(Settings!$D$14:$D$33,MATCH(AB147,Settings!$B$14:$B$33,0))&amp;"",IFERROR(LOOKUP(2^15,SEARCH(Settings!$F$14:$F$43,AB147)/(Settings!$F$14:$F$43&lt;&gt;""),Settings!$G$14:$G$43),"")))</f>
        <v/>
      </c>
      <c r="CI147">
        <f>IF(OR($B147="",AC147=""),"",IFERROR(INDEX(Settings!$D$14:$D$33,MATCH(AC147,Settings!$B$14:$B$33,0))&amp;"",IFERROR(LOOKUP(2^15,SEARCH(Settings!$F$14:$F$43,AC147)/(Settings!$F$14:$F$43&lt;&gt;""),Settings!$G$14:$G$43),"")))</f>
        <v/>
      </c>
      <c r="CJ147">
        <f>IF(OR($B147="",AD147=""),"",IFERROR(INDEX(Settings!$D$14:$D$33,MATCH(AD147,Settings!$B$14:$B$33,0))&amp;"",IFERROR(LOOKUP(2^15,SEARCH(Settings!$F$14:$F$43,AD147)/(Settings!$F$14:$F$43&lt;&gt;""),Settings!$G$14:$G$43),"")))</f>
        <v/>
      </c>
      <c r="CK147">
        <f>IF(OR($B147="",AE147=""),"",IFERROR(INDEX(Settings!$D$14:$D$33,MATCH(AE147,Settings!$B$14:$B$33,0))&amp;"",IFERROR(LOOKUP(2^15,SEARCH(Settings!$F$14:$F$43,AE147)/(Settings!$F$14:$F$43&lt;&gt;""),Settings!$G$14:$G$43),"")))</f>
        <v/>
      </c>
      <c r="CL147">
        <f>IF(OR($B147="",AF147=""),"",IFERROR(INDEX(Settings!$D$14:$D$33,MATCH(AF147,Settings!$B$14:$B$33,0))&amp;"",IFERROR(LOOKUP(2^15,SEARCH(Settings!$F$14:$F$43,AF147)/(Settings!$F$14:$F$43&lt;&gt;""),Settings!$G$14:$G$43),"")))</f>
        <v/>
      </c>
      <c r="CM147">
        <f>IF(OR($B147="",AG147=""),"",IFERROR(INDEX(Settings!$D$14:$D$33,MATCH(AG147,Settings!$B$14:$B$33,0))&amp;"",IFERROR(LOOKUP(2^15,SEARCH(Settings!$F$14:$F$43,AG147)/(Settings!$F$14:$F$43&lt;&gt;""),Settings!$G$14:$G$43),"")))</f>
        <v/>
      </c>
    </row>
    <row r="148">
      <c r="A148" t="n">
        <v>146</v>
      </c>
      <c r="B148">
        <f>IFERROR(INDEX(Index!$A$2:$A$202,MATCH(A148,Index!$E$2:$E$202,0)),"")</f>
        <v/>
      </c>
      <c r="D148">
        <f>IF($B148="","",IFERROR(MATCH("Travel*",AI148:BJ148,0),""))</f>
        <v/>
      </c>
      <c r="F148">
        <f>IF(OR($B148="",NOT(ISNUMBER(Settings!$C$9))),"",TRIM(SUBSTITUTE(SUBSTITUTE(INDEX('INPUT - Roster'!$S$1:$SV$206,$B148,Settings!$C$9+0)&amp;"",CHAR(10)," "),CHAR(160)," ")))</f>
        <v/>
      </c>
      <c r="G148">
        <f>IF(OR($B148="",NOT(ISNUMBER(Settings!$C$9))),"",TRIM(SUBSTITUTE(SUBSTITUTE(INDEX('INPUT - Roster'!$S$1:$SV$206,$B148,Settings!$C$9+1)&amp;"",CHAR(10)," "),CHAR(160)," ")))</f>
        <v/>
      </c>
      <c r="H148">
        <f>IF(OR($B148="",NOT(ISNUMBER(Settings!$C$9))),"",TRIM(SUBSTITUTE(SUBSTITUTE(INDEX('INPUT - Roster'!$S$1:$SV$206,$B148,Settings!$C$9+2)&amp;"",CHAR(10)," "),CHAR(160)," ")))</f>
        <v/>
      </c>
      <c r="I148">
        <f>IF(OR($B148="",NOT(ISNUMBER(Settings!$C$9))),"",TRIM(SUBSTITUTE(SUBSTITUTE(INDEX('INPUT - Roster'!$S$1:$SV$206,$B148,Settings!$C$9+3)&amp;"",CHAR(10)," "),CHAR(160)," ")))</f>
        <v/>
      </c>
      <c r="J148">
        <f>IF(OR($B148="",NOT(ISNUMBER(Settings!$C$9))),"",TRIM(SUBSTITUTE(SUBSTITUTE(INDEX('INPUT - Roster'!$S$1:$SV$206,$B148,Settings!$C$9+4)&amp;"",CHAR(10)," "),CHAR(160)," ")))</f>
        <v/>
      </c>
      <c r="K148">
        <f>IF(OR($B148="",NOT(ISNUMBER(Settings!$C$9))),"",TRIM(SUBSTITUTE(SUBSTITUTE(INDEX('INPUT - Roster'!$S$1:$SV$206,$B148,Settings!$C$9+5)&amp;"",CHAR(10)," "),CHAR(160)," ")))</f>
        <v/>
      </c>
      <c r="L148">
        <f>IF(OR($B148="",NOT(ISNUMBER(Settings!$C$9))),"",TRIM(SUBSTITUTE(SUBSTITUTE(INDEX('INPUT - Roster'!$S$1:$SV$206,$B148,Settings!$C$9+6)&amp;"",CHAR(10)," "),CHAR(160)," ")))</f>
        <v/>
      </c>
      <c r="M148">
        <f>IF(OR($B148="",NOT(ISNUMBER(Settings!$C$9))),"",TRIM(SUBSTITUTE(SUBSTITUTE(INDEX('INPUT - Roster'!$S$1:$SV$206,$B148,Settings!$C$9+7)&amp;"",CHAR(10)," "),CHAR(160)," ")))</f>
        <v/>
      </c>
      <c r="N148">
        <f>IF(OR($B148="",NOT(ISNUMBER(Settings!$C$9))),"",TRIM(SUBSTITUTE(SUBSTITUTE(INDEX('INPUT - Roster'!$S$1:$SV$206,$B148,Settings!$C$9+8)&amp;"",CHAR(10)," "),CHAR(160)," ")))</f>
        <v/>
      </c>
      <c r="O148">
        <f>IF(OR($B148="",NOT(ISNUMBER(Settings!$C$9))),"",TRIM(SUBSTITUTE(SUBSTITUTE(INDEX('INPUT - Roster'!$S$1:$SV$206,$B148,Settings!$C$9+9)&amp;"",CHAR(10)," "),CHAR(160)," ")))</f>
        <v/>
      </c>
      <c r="P148">
        <f>IF(OR($B148="",NOT(ISNUMBER(Settings!$C$9))),"",TRIM(SUBSTITUTE(SUBSTITUTE(INDEX('INPUT - Roster'!$S$1:$SV$206,$B148,Settings!$C$9+10)&amp;"",CHAR(10)," "),CHAR(160)," ")))</f>
        <v/>
      </c>
      <c r="Q148">
        <f>IF(OR($B148="",NOT(ISNUMBER(Settings!$C$9))),"",TRIM(SUBSTITUTE(SUBSTITUTE(INDEX('INPUT - Roster'!$S$1:$SV$206,$B148,Settings!$C$9+11)&amp;"",CHAR(10)," "),CHAR(160)," ")))</f>
        <v/>
      </c>
      <c r="R148">
        <f>IF(OR($B148="",NOT(ISNUMBER(Settings!$C$9))),"",TRIM(SUBSTITUTE(SUBSTITUTE(INDEX('INPUT - Roster'!$S$1:$SV$206,$B148,Settings!$C$9+12)&amp;"",CHAR(10)," "),CHAR(160)," ")))</f>
        <v/>
      </c>
      <c r="S148">
        <f>IF(OR($B148="",NOT(ISNUMBER(Settings!$C$9))),"",TRIM(SUBSTITUTE(SUBSTITUTE(INDEX('INPUT - Roster'!$S$1:$SV$206,$B148,Settings!$C$9+13)&amp;"",CHAR(10)," "),CHAR(160)," ")))</f>
        <v/>
      </c>
      <c r="T148">
        <f>IF(OR($B148="",NOT(ISNUMBER(Settings!$C$9))),"",TRIM(SUBSTITUTE(SUBSTITUTE(INDEX('INPUT - Roster'!$S$1:$SV$206,$B148,Settings!$C$9+14)&amp;"",CHAR(10)," "),CHAR(160)," ")))</f>
        <v/>
      </c>
      <c r="U148">
        <f>IF(OR($B148="",NOT(ISNUMBER(Settings!$C$9))),"",TRIM(SUBSTITUTE(SUBSTITUTE(INDEX('INPUT - Roster'!$S$1:$SV$206,$B148,Settings!$C$9+15)&amp;"",CHAR(10)," "),CHAR(160)," ")))</f>
        <v/>
      </c>
      <c r="V148">
        <f>IF(OR($B148="",NOT(ISNUMBER(Settings!$C$9))),"",TRIM(SUBSTITUTE(SUBSTITUTE(INDEX('INPUT - Roster'!$S$1:$SV$206,$B148,Settings!$C$9+16)&amp;"",CHAR(10)," "),CHAR(160)," ")))</f>
        <v/>
      </c>
      <c r="W148">
        <f>IF(OR($B148="",NOT(ISNUMBER(Settings!$C$9))),"",TRIM(SUBSTITUTE(SUBSTITUTE(INDEX('INPUT - Roster'!$S$1:$SV$206,$B148,Settings!$C$9+17)&amp;"",CHAR(10)," "),CHAR(160)," ")))</f>
        <v/>
      </c>
      <c r="X148">
        <f>IF(OR($B148="",NOT(ISNUMBER(Settings!$C$9))),"",TRIM(SUBSTITUTE(SUBSTITUTE(INDEX('INPUT - Roster'!$S$1:$SV$206,$B148,Settings!$C$9+18)&amp;"",CHAR(10)," "),CHAR(160)," ")))</f>
        <v/>
      </c>
      <c r="Y148">
        <f>IF(OR($B148="",NOT(ISNUMBER(Settings!$C$9))),"",TRIM(SUBSTITUTE(SUBSTITUTE(INDEX('INPUT - Roster'!$S$1:$SV$206,$B148,Settings!$C$9+19)&amp;"",CHAR(10)," "),CHAR(160)," ")))</f>
        <v/>
      </c>
      <c r="Z148">
        <f>IF(OR($B148="",NOT(ISNUMBER(Settings!$C$9))),"",TRIM(SUBSTITUTE(SUBSTITUTE(INDEX('INPUT - Roster'!$S$1:$SV$206,$B148,Settings!$C$9+20)&amp;"",CHAR(10)," "),CHAR(160)," ")))</f>
        <v/>
      </c>
      <c r="AA148">
        <f>IF(OR($B148="",NOT(ISNUMBER(Settings!$C$9))),"",TRIM(SUBSTITUTE(SUBSTITUTE(INDEX('INPUT - Roster'!$S$1:$SV$206,$B148,Settings!$C$9+21)&amp;"",CHAR(10)," "),CHAR(160)," ")))</f>
        <v/>
      </c>
      <c r="AB148">
        <f>IF(OR($B148="",NOT(ISNUMBER(Settings!$C$9))),"",TRIM(SUBSTITUTE(SUBSTITUTE(INDEX('INPUT - Roster'!$S$1:$SV$206,$B148,Settings!$C$9+22)&amp;"",CHAR(10)," "),CHAR(160)," ")))</f>
        <v/>
      </c>
      <c r="AC148">
        <f>IF(OR($B148="",NOT(ISNUMBER(Settings!$C$9))),"",TRIM(SUBSTITUTE(SUBSTITUTE(INDEX('INPUT - Roster'!$S$1:$SV$206,$B148,Settings!$C$9+23)&amp;"",CHAR(10)," "),CHAR(160)," ")))</f>
        <v/>
      </c>
      <c r="AD148">
        <f>IF(OR($B148="",NOT(ISNUMBER(Settings!$C$9))),"",TRIM(SUBSTITUTE(SUBSTITUTE(INDEX('INPUT - Roster'!$S$1:$SV$206,$B148,Settings!$C$9+24)&amp;"",CHAR(10)," "),CHAR(160)," ")))</f>
        <v/>
      </c>
      <c r="AE148">
        <f>IF(OR($B148="",NOT(ISNUMBER(Settings!$C$9))),"",TRIM(SUBSTITUTE(SUBSTITUTE(INDEX('INPUT - Roster'!$S$1:$SV$206,$B148,Settings!$C$9+25)&amp;"",CHAR(10)," "),CHAR(160)," ")))</f>
        <v/>
      </c>
      <c r="AF148">
        <f>IF(OR($B148="",NOT(ISNUMBER(Settings!$C$9))),"",TRIM(SUBSTITUTE(SUBSTITUTE(INDEX('INPUT - Roster'!$S$1:$SV$206,$B148,Settings!$C$9+26)&amp;"",CHAR(10)," "),CHAR(160)," ")))</f>
        <v/>
      </c>
      <c r="AG148">
        <f>IF(OR($B148="",NOT(ISNUMBER(Settings!$C$9))),"",TRIM(SUBSTITUTE(SUBSTITUTE(INDEX('INPUT - Roster'!$S$1:$SV$206,$B148,Settings!$C$9+27)&amp;"",CHAR(10)," "),CHAR(160)," ")))</f>
        <v/>
      </c>
      <c r="AI148">
        <f>IF($B148="","",IF(F148="","Not rostered",IFERROR(INDEX(Settings!$C$14:$C$33,MATCH(F148,Settings!$B$14:$B$33,0)),IFERROR(LOOKUP(2^15,SEARCH(Settings!$I$14:$I$83,F148)/(Settings!$I$14:$I$83&lt;&gt;""),Settings!$J$14:$J$83),"Other"))))</f>
        <v/>
      </c>
      <c r="AJ148">
        <f>IF($B148="","",IF(G148="","Not rostered",IFERROR(INDEX(Settings!$C$14:$C$33,MATCH(G148,Settings!$B$14:$B$33,0)),IFERROR(LOOKUP(2^15,SEARCH(Settings!$I$14:$I$83,G148)/(Settings!$I$14:$I$83&lt;&gt;""),Settings!$J$14:$J$83),"Other"))))</f>
        <v/>
      </c>
      <c r="AK148">
        <f>IF($B148="","",IF(H148="","Not rostered",IFERROR(INDEX(Settings!$C$14:$C$33,MATCH(H148,Settings!$B$14:$B$33,0)),IFERROR(LOOKUP(2^15,SEARCH(Settings!$I$14:$I$83,H148)/(Settings!$I$14:$I$83&lt;&gt;""),Settings!$J$14:$J$83),"Other"))))</f>
        <v/>
      </c>
      <c r="AL148">
        <f>IF($B148="","",IF(I148="","Not rostered",IFERROR(INDEX(Settings!$C$14:$C$33,MATCH(I148,Settings!$B$14:$B$33,0)),IFERROR(LOOKUP(2^15,SEARCH(Settings!$I$14:$I$83,I148)/(Settings!$I$14:$I$83&lt;&gt;""),Settings!$J$14:$J$83),"Other"))))</f>
        <v/>
      </c>
      <c r="AM148">
        <f>IF($B148="","",IF(J148="","Not rostered",IFERROR(INDEX(Settings!$C$14:$C$33,MATCH(J148,Settings!$B$14:$B$33,0)),IFERROR(LOOKUP(2^15,SEARCH(Settings!$I$14:$I$83,J148)/(Settings!$I$14:$I$83&lt;&gt;""),Settings!$J$14:$J$83),"Other"))))</f>
        <v/>
      </c>
      <c r="AN148">
        <f>IF($B148="","",IF(K148="","Not rostered",IFERROR(INDEX(Settings!$C$14:$C$33,MATCH(K148,Settings!$B$14:$B$33,0)),IFERROR(LOOKUP(2^15,SEARCH(Settings!$I$14:$I$83,K148)/(Settings!$I$14:$I$83&lt;&gt;""),Settings!$J$14:$J$83),"Other"))))</f>
        <v/>
      </c>
      <c r="AO148">
        <f>IF($B148="","",IF(L148="","Not rostered",IFERROR(INDEX(Settings!$C$14:$C$33,MATCH(L148,Settings!$B$14:$B$33,0)),IFERROR(LOOKUP(2^15,SEARCH(Settings!$I$14:$I$83,L148)/(Settings!$I$14:$I$83&lt;&gt;""),Settings!$J$14:$J$83),"Other"))))</f>
        <v/>
      </c>
      <c r="AP148">
        <f>IF($B148="","",IF(M148="","Not rostered",IFERROR(INDEX(Settings!$C$14:$C$33,MATCH(M148,Settings!$B$14:$B$33,0)),IFERROR(LOOKUP(2^15,SEARCH(Settings!$I$14:$I$83,M148)/(Settings!$I$14:$I$83&lt;&gt;""),Settings!$J$14:$J$83),"Other"))))</f>
        <v/>
      </c>
      <c r="AQ148">
        <f>IF($B148="","",IF(N148="","Not rostered",IFERROR(INDEX(Settings!$C$14:$C$33,MATCH(N148,Settings!$B$14:$B$33,0)),IFERROR(LOOKUP(2^15,SEARCH(Settings!$I$14:$I$83,N148)/(Settings!$I$14:$I$83&lt;&gt;""),Settings!$J$14:$J$83),"Other"))))</f>
        <v/>
      </c>
      <c r="AR148">
        <f>IF($B148="","",IF(O148="","Not rostered",IFERROR(INDEX(Settings!$C$14:$C$33,MATCH(O148,Settings!$B$14:$B$33,0)),IFERROR(LOOKUP(2^15,SEARCH(Settings!$I$14:$I$83,O148)/(Settings!$I$14:$I$83&lt;&gt;""),Settings!$J$14:$J$83),"Other"))))</f>
        <v/>
      </c>
      <c r="AS148">
        <f>IF($B148="","",IF(P148="","Not rostered",IFERROR(INDEX(Settings!$C$14:$C$33,MATCH(P148,Settings!$B$14:$B$33,0)),IFERROR(LOOKUP(2^15,SEARCH(Settings!$I$14:$I$83,P148)/(Settings!$I$14:$I$83&lt;&gt;""),Settings!$J$14:$J$83),"Other"))))</f>
        <v/>
      </c>
      <c r="AT148">
        <f>IF($B148="","",IF(Q148="","Not rostered",IFERROR(INDEX(Settings!$C$14:$C$33,MATCH(Q148,Settings!$B$14:$B$33,0)),IFERROR(LOOKUP(2^15,SEARCH(Settings!$I$14:$I$83,Q148)/(Settings!$I$14:$I$83&lt;&gt;""),Settings!$J$14:$J$83),"Other"))))</f>
        <v/>
      </c>
      <c r="AU148">
        <f>IF($B148="","",IF(R148="","Not rostered",IFERROR(INDEX(Settings!$C$14:$C$33,MATCH(R148,Settings!$B$14:$B$33,0)),IFERROR(LOOKUP(2^15,SEARCH(Settings!$I$14:$I$83,R148)/(Settings!$I$14:$I$83&lt;&gt;""),Settings!$J$14:$J$83),"Other"))))</f>
        <v/>
      </c>
      <c r="AV148">
        <f>IF($B148="","",IF(S148="","Not rostered",IFERROR(INDEX(Settings!$C$14:$C$33,MATCH(S148,Settings!$B$14:$B$33,0)),IFERROR(LOOKUP(2^15,SEARCH(Settings!$I$14:$I$83,S148)/(Settings!$I$14:$I$83&lt;&gt;""),Settings!$J$14:$J$83),"Other"))))</f>
        <v/>
      </c>
      <c r="AW148">
        <f>IF($B148="","",IF(T148="","Not rostered",IFERROR(INDEX(Settings!$C$14:$C$33,MATCH(T148,Settings!$B$14:$B$33,0)),IFERROR(LOOKUP(2^15,SEARCH(Settings!$I$14:$I$83,T148)/(Settings!$I$14:$I$83&lt;&gt;""),Settings!$J$14:$J$83),"Other"))))</f>
        <v/>
      </c>
      <c r="AX148">
        <f>IF($B148="","",IF(U148="","Not rostered",IFERROR(INDEX(Settings!$C$14:$C$33,MATCH(U148,Settings!$B$14:$B$33,0)),IFERROR(LOOKUP(2^15,SEARCH(Settings!$I$14:$I$83,U148)/(Settings!$I$14:$I$83&lt;&gt;""),Settings!$J$14:$J$83),"Other"))))</f>
        <v/>
      </c>
      <c r="AY148">
        <f>IF($B148="","",IF(V148="","Not rostered",IFERROR(INDEX(Settings!$C$14:$C$33,MATCH(V148,Settings!$B$14:$B$33,0)),IFERROR(LOOKUP(2^15,SEARCH(Settings!$I$14:$I$83,V148)/(Settings!$I$14:$I$83&lt;&gt;""),Settings!$J$14:$J$83),"Other"))))</f>
        <v/>
      </c>
      <c r="AZ148">
        <f>IF($B148="","",IF(W148="","Not rostered",IFERROR(INDEX(Settings!$C$14:$C$33,MATCH(W148,Settings!$B$14:$B$33,0)),IFERROR(LOOKUP(2^15,SEARCH(Settings!$I$14:$I$83,W148)/(Settings!$I$14:$I$83&lt;&gt;""),Settings!$J$14:$J$83),"Other"))))</f>
        <v/>
      </c>
      <c r="BA148">
        <f>IF($B148="","",IF(X148="","Not rostered",IFERROR(INDEX(Settings!$C$14:$C$33,MATCH(X148,Settings!$B$14:$B$33,0)),IFERROR(LOOKUP(2^15,SEARCH(Settings!$I$14:$I$83,X148)/(Settings!$I$14:$I$83&lt;&gt;""),Settings!$J$14:$J$83),"Other"))))</f>
        <v/>
      </c>
      <c r="BB148">
        <f>IF($B148="","",IF(Y148="","Not rostered",IFERROR(INDEX(Settings!$C$14:$C$33,MATCH(Y148,Settings!$B$14:$B$33,0)),IFERROR(LOOKUP(2^15,SEARCH(Settings!$I$14:$I$83,Y148)/(Settings!$I$14:$I$83&lt;&gt;""),Settings!$J$14:$J$83),"Other"))))</f>
        <v/>
      </c>
      <c r="BC148">
        <f>IF($B148="","",IF(Z148="","Not rostered",IFERROR(INDEX(Settings!$C$14:$C$33,MATCH(Z148,Settings!$B$14:$B$33,0)),IFERROR(LOOKUP(2^15,SEARCH(Settings!$I$14:$I$83,Z148)/(Settings!$I$14:$I$83&lt;&gt;""),Settings!$J$14:$J$83),"Other"))))</f>
        <v/>
      </c>
      <c r="BD148">
        <f>IF($B148="","",IF(AA148="","Not rostered",IFERROR(INDEX(Settings!$C$14:$C$33,MATCH(AA148,Settings!$B$14:$B$33,0)),IFERROR(LOOKUP(2^15,SEARCH(Settings!$I$14:$I$83,AA148)/(Settings!$I$14:$I$83&lt;&gt;""),Settings!$J$14:$J$83),"Other"))))</f>
        <v/>
      </c>
      <c r="BE148">
        <f>IF($B148="","",IF(AB148="","Not rostered",IFERROR(INDEX(Settings!$C$14:$C$33,MATCH(AB148,Settings!$B$14:$B$33,0)),IFERROR(LOOKUP(2^15,SEARCH(Settings!$I$14:$I$83,AB148)/(Settings!$I$14:$I$83&lt;&gt;""),Settings!$J$14:$J$83),"Other"))))</f>
        <v/>
      </c>
      <c r="BF148">
        <f>IF($B148="","",IF(AC148="","Not rostered",IFERROR(INDEX(Settings!$C$14:$C$33,MATCH(AC148,Settings!$B$14:$B$33,0)),IFERROR(LOOKUP(2^15,SEARCH(Settings!$I$14:$I$83,AC148)/(Settings!$I$14:$I$83&lt;&gt;""),Settings!$J$14:$J$83),"Other"))))</f>
        <v/>
      </c>
      <c r="BG148">
        <f>IF($B148="","",IF(AD148="","Not rostered",IFERROR(INDEX(Settings!$C$14:$C$33,MATCH(AD148,Settings!$B$14:$B$33,0)),IFERROR(LOOKUP(2^15,SEARCH(Settings!$I$14:$I$83,AD148)/(Settings!$I$14:$I$83&lt;&gt;""),Settings!$J$14:$J$83),"Other"))))</f>
        <v/>
      </c>
      <c r="BH148">
        <f>IF($B148="","",IF(AE148="","Not rostered",IFERROR(INDEX(Settings!$C$14:$C$33,MATCH(AE148,Settings!$B$14:$B$33,0)),IFERROR(LOOKUP(2^15,SEARCH(Settings!$I$14:$I$83,AE148)/(Settings!$I$14:$I$83&lt;&gt;""),Settings!$J$14:$J$83),"Other"))))</f>
        <v/>
      </c>
      <c r="BI148">
        <f>IF($B148="","",IF(AF148="","Not rostered",IFERROR(INDEX(Settings!$C$14:$C$33,MATCH(AF148,Settings!$B$14:$B$33,0)),IFERROR(LOOKUP(2^15,SEARCH(Settings!$I$14:$I$83,AF148)/(Settings!$I$14:$I$83&lt;&gt;""),Settings!$J$14:$J$83),"Other"))))</f>
        <v/>
      </c>
      <c r="BJ148">
        <f>IF($B148="","",IF(AG148="","Not rostered",IFERROR(INDEX(Settings!$C$14:$C$33,MATCH(AG148,Settings!$B$14:$B$33,0)),IFERROR(LOOKUP(2^15,SEARCH(Settings!$I$14:$I$83,AG148)/(Settings!$I$14:$I$83&lt;&gt;""),Settings!$J$14:$J$83),"Other"))))</f>
        <v/>
      </c>
      <c r="BL148">
        <f>IF(OR($B148="",F148=""),"",IFERROR(INDEX(Settings!$D$14:$D$33,MATCH(F148,Settings!$B$14:$B$33,0))&amp;"",IFERROR(LOOKUP(2^15,SEARCH(Settings!$F$14:$F$43,F148)/(Settings!$F$14:$F$43&lt;&gt;""),Settings!$G$14:$G$43),"")))</f>
        <v/>
      </c>
      <c r="BM148">
        <f>IF(OR($B148="",G148=""),"",IFERROR(INDEX(Settings!$D$14:$D$33,MATCH(G148,Settings!$B$14:$B$33,0))&amp;"",IFERROR(LOOKUP(2^15,SEARCH(Settings!$F$14:$F$43,G148)/(Settings!$F$14:$F$43&lt;&gt;""),Settings!$G$14:$G$43),"")))</f>
        <v/>
      </c>
      <c r="BN148">
        <f>IF(OR($B148="",H148=""),"",IFERROR(INDEX(Settings!$D$14:$D$33,MATCH(H148,Settings!$B$14:$B$33,0))&amp;"",IFERROR(LOOKUP(2^15,SEARCH(Settings!$F$14:$F$43,H148)/(Settings!$F$14:$F$43&lt;&gt;""),Settings!$G$14:$G$43),"")))</f>
        <v/>
      </c>
      <c r="BO148">
        <f>IF(OR($B148="",I148=""),"",IFERROR(INDEX(Settings!$D$14:$D$33,MATCH(I148,Settings!$B$14:$B$33,0))&amp;"",IFERROR(LOOKUP(2^15,SEARCH(Settings!$F$14:$F$43,I148)/(Settings!$F$14:$F$43&lt;&gt;""),Settings!$G$14:$G$43),"")))</f>
        <v/>
      </c>
      <c r="BP148">
        <f>IF(OR($B148="",J148=""),"",IFERROR(INDEX(Settings!$D$14:$D$33,MATCH(J148,Settings!$B$14:$B$33,0))&amp;"",IFERROR(LOOKUP(2^15,SEARCH(Settings!$F$14:$F$43,J148)/(Settings!$F$14:$F$43&lt;&gt;""),Settings!$G$14:$G$43),"")))</f>
        <v/>
      </c>
      <c r="BQ148">
        <f>IF(OR($B148="",K148=""),"",IFERROR(INDEX(Settings!$D$14:$D$33,MATCH(K148,Settings!$B$14:$B$33,0))&amp;"",IFERROR(LOOKUP(2^15,SEARCH(Settings!$F$14:$F$43,K148)/(Settings!$F$14:$F$43&lt;&gt;""),Settings!$G$14:$G$43),"")))</f>
        <v/>
      </c>
      <c r="BR148">
        <f>IF(OR($B148="",L148=""),"",IFERROR(INDEX(Settings!$D$14:$D$33,MATCH(L148,Settings!$B$14:$B$33,0))&amp;"",IFERROR(LOOKUP(2^15,SEARCH(Settings!$F$14:$F$43,L148)/(Settings!$F$14:$F$43&lt;&gt;""),Settings!$G$14:$G$43),"")))</f>
        <v/>
      </c>
      <c r="BS148">
        <f>IF(OR($B148="",M148=""),"",IFERROR(INDEX(Settings!$D$14:$D$33,MATCH(M148,Settings!$B$14:$B$33,0))&amp;"",IFERROR(LOOKUP(2^15,SEARCH(Settings!$F$14:$F$43,M148)/(Settings!$F$14:$F$43&lt;&gt;""),Settings!$G$14:$G$43),"")))</f>
        <v/>
      </c>
      <c r="BT148">
        <f>IF(OR($B148="",N148=""),"",IFERROR(INDEX(Settings!$D$14:$D$33,MATCH(N148,Settings!$B$14:$B$33,0))&amp;"",IFERROR(LOOKUP(2^15,SEARCH(Settings!$F$14:$F$43,N148)/(Settings!$F$14:$F$43&lt;&gt;""),Settings!$G$14:$G$43),"")))</f>
        <v/>
      </c>
      <c r="BU148">
        <f>IF(OR($B148="",O148=""),"",IFERROR(INDEX(Settings!$D$14:$D$33,MATCH(O148,Settings!$B$14:$B$33,0))&amp;"",IFERROR(LOOKUP(2^15,SEARCH(Settings!$F$14:$F$43,O148)/(Settings!$F$14:$F$43&lt;&gt;""),Settings!$G$14:$G$43),"")))</f>
        <v/>
      </c>
      <c r="BV148">
        <f>IF(OR($B148="",P148=""),"",IFERROR(INDEX(Settings!$D$14:$D$33,MATCH(P148,Settings!$B$14:$B$33,0))&amp;"",IFERROR(LOOKUP(2^15,SEARCH(Settings!$F$14:$F$43,P148)/(Settings!$F$14:$F$43&lt;&gt;""),Settings!$G$14:$G$43),"")))</f>
        <v/>
      </c>
      <c r="BW148">
        <f>IF(OR($B148="",Q148=""),"",IFERROR(INDEX(Settings!$D$14:$D$33,MATCH(Q148,Settings!$B$14:$B$33,0))&amp;"",IFERROR(LOOKUP(2^15,SEARCH(Settings!$F$14:$F$43,Q148)/(Settings!$F$14:$F$43&lt;&gt;""),Settings!$G$14:$G$43),"")))</f>
        <v/>
      </c>
      <c r="BX148">
        <f>IF(OR($B148="",R148=""),"",IFERROR(INDEX(Settings!$D$14:$D$33,MATCH(R148,Settings!$B$14:$B$33,0))&amp;"",IFERROR(LOOKUP(2^15,SEARCH(Settings!$F$14:$F$43,R148)/(Settings!$F$14:$F$43&lt;&gt;""),Settings!$G$14:$G$43),"")))</f>
        <v/>
      </c>
      <c r="BY148">
        <f>IF(OR($B148="",S148=""),"",IFERROR(INDEX(Settings!$D$14:$D$33,MATCH(S148,Settings!$B$14:$B$33,0))&amp;"",IFERROR(LOOKUP(2^15,SEARCH(Settings!$F$14:$F$43,S148)/(Settings!$F$14:$F$43&lt;&gt;""),Settings!$G$14:$G$43),"")))</f>
        <v/>
      </c>
      <c r="BZ148">
        <f>IF(OR($B148="",T148=""),"",IFERROR(INDEX(Settings!$D$14:$D$33,MATCH(T148,Settings!$B$14:$B$33,0))&amp;"",IFERROR(LOOKUP(2^15,SEARCH(Settings!$F$14:$F$43,T148)/(Settings!$F$14:$F$43&lt;&gt;""),Settings!$G$14:$G$43),"")))</f>
        <v/>
      </c>
      <c r="CA148">
        <f>IF(OR($B148="",U148=""),"",IFERROR(INDEX(Settings!$D$14:$D$33,MATCH(U148,Settings!$B$14:$B$33,0))&amp;"",IFERROR(LOOKUP(2^15,SEARCH(Settings!$F$14:$F$43,U148)/(Settings!$F$14:$F$43&lt;&gt;""),Settings!$G$14:$G$43),"")))</f>
        <v/>
      </c>
      <c r="CB148">
        <f>IF(OR($B148="",V148=""),"",IFERROR(INDEX(Settings!$D$14:$D$33,MATCH(V148,Settings!$B$14:$B$33,0))&amp;"",IFERROR(LOOKUP(2^15,SEARCH(Settings!$F$14:$F$43,V148)/(Settings!$F$14:$F$43&lt;&gt;""),Settings!$G$14:$G$43),"")))</f>
        <v/>
      </c>
      <c r="CC148">
        <f>IF(OR($B148="",W148=""),"",IFERROR(INDEX(Settings!$D$14:$D$33,MATCH(W148,Settings!$B$14:$B$33,0))&amp;"",IFERROR(LOOKUP(2^15,SEARCH(Settings!$F$14:$F$43,W148)/(Settings!$F$14:$F$43&lt;&gt;""),Settings!$G$14:$G$43),"")))</f>
        <v/>
      </c>
      <c r="CD148">
        <f>IF(OR($B148="",X148=""),"",IFERROR(INDEX(Settings!$D$14:$D$33,MATCH(X148,Settings!$B$14:$B$33,0))&amp;"",IFERROR(LOOKUP(2^15,SEARCH(Settings!$F$14:$F$43,X148)/(Settings!$F$14:$F$43&lt;&gt;""),Settings!$G$14:$G$43),"")))</f>
        <v/>
      </c>
      <c r="CE148">
        <f>IF(OR($B148="",Y148=""),"",IFERROR(INDEX(Settings!$D$14:$D$33,MATCH(Y148,Settings!$B$14:$B$33,0))&amp;"",IFERROR(LOOKUP(2^15,SEARCH(Settings!$F$14:$F$43,Y148)/(Settings!$F$14:$F$43&lt;&gt;""),Settings!$G$14:$G$43),"")))</f>
        <v/>
      </c>
      <c r="CF148">
        <f>IF(OR($B148="",Z148=""),"",IFERROR(INDEX(Settings!$D$14:$D$33,MATCH(Z148,Settings!$B$14:$B$33,0))&amp;"",IFERROR(LOOKUP(2^15,SEARCH(Settings!$F$14:$F$43,Z148)/(Settings!$F$14:$F$43&lt;&gt;""),Settings!$G$14:$G$43),"")))</f>
        <v/>
      </c>
      <c r="CG148">
        <f>IF(OR($B148="",AA148=""),"",IFERROR(INDEX(Settings!$D$14:$D$33,MATCH(AA148,Settings!$B$14:$B$33,0))&amp;"",IFERROR(LOOKUP(2^15,SEARCH(Settings!$F$14:$F$43,AA148)/(Settings!$F$14:$F$43&lt;&gt;""),Settings!$G$14:$G$43),"")))</f>
        <v/>
      </c>
      <c r="CH148">
        <f>IF(OR($B148="",AB148=""),"",IFERROR(INDEX(Settings!$D$14:$D$33,MATCH(AB148,Settings!$B$14:$B$33,0))&amp;"",IFERROR(LOOKUP(2^15,SEARCH(Settings!$F$14:$F$43,AB148)/(Settings!$F$14:$F$43&lt;&gt;""),Settings!$G$14:$G$43),"")))</f>
        <v/>
      </c>
      <c r="CI148">
        <f>IF(OR($B148="",AC148=""),"",IFERROR(INDEX(Settings!$D$14:$D$33,MATCH(AC148,Settings!$B$14:$B$33,0))&amp;"",IFERROR(LOOKUP(2^15,SEARCH(Settings!$F$14:$F$43,AC148)/(Settings!$F$14:$F$43&lt;&gt;""),Settings!$G$14:$G$43),"")))</f>
        <v/>
      </c>
      <c r="CJ148">
        <f>IF(OR($B148="",AD148=""),"",IFERROR(INDEX(Settings!$D$14:$D$33,MATCH(AD148,Settings!$B$14:$B$33,0))&amp;"",IFERROR(LOOKUP(2^15,SEARCH(Settings!$F$14:$F$43,AD148)/(Settings!$F$14:$F$43&lt;&gt;""),Settings!$G$14:$G$43),"")))</f>
        <v/>
      </c>
      <c r="CK148">
        <f>IF(OR($B148="",AE148=""),"",IFERROR(INDEX(Settings!$D$14:$D$33,MATCH(AE148,Settings!$B$14:$B$33,0))&amp;"",IFERROR(LOOKUP(2^15,SEARCH(Settings!$F$14:$F$43,AE148)/(Settings!$F$14:$F$43&lt;&gt;""),Settings!$G$14:$G$43),"")))</f>
        <v/>
      </c>
      <c r="CL148">
        <f>IF(OR($B148="",AF148=""),"",IFERROR(INDEX(Settings!$D$14:$D$33,MATCH(AF148,Settings!$B$14:$B$33,0))&amp;"",IFERROR(LOOKUP(2^15,SEARCH(Settings!$F$14:$F$43,AF148)/(Settings!$F$14:$F$43&lt;&gt;""),Settings!$G$14:$G$43),"")))</f>
        <v/>
      </c>
      <c r="CM148">
        <f>IF(OR($B148="",AG148=""),"",IFERROR(INDEX(Settings!$D$14:$D$33,MATCH(AG148,Settings!$B$14:$B$33,0))&amp;"",IFERROR(LOOKUP(2^15,SEARCH(Settings!$F$14:$F$43,AG148)/(Settings!$F$14:$F$43&lt;&gt;""),Settings!$G$14:$G$43),"")))</f>
        <v/>
      </c>
    </row>
    <row r="149">
      <c r="A149" t="n">
        <v>147</v>
      </c>
      <c r="B149">
        <f>IFERROR(INDEX(Index!$A$2:$A$202,MATCH(A149,Index!$E$2:$E$202,0)),"")</f>
        <v/>
      </c>
      <c r="D149">
        <f>IF($B149="","",IFERROR(MATCH("Travel*",AI149:BJ149,0),""))</f>
        <v/>
      </c>
      <c r="F149">
        <f>IF(OR($B149="",NOT(ISNUMBER(Settings!$C$9))),"",TRIM(SUBSTITUTE(SUBSTITUTE(INDEX('INPUT - Roster'!$S$1:$SV$206,$B149,Settings!$C$9+0)&amp;"",CHAR(10)," "),CHAR(160)," ")))</f>
        <v/>
      </c>
      <c r="G149">
        <f>IF(OR($B149="",NOT(ISNUMBER(Settings!$C$9))),"",TRIM(SUBSTITUTE(SUBSTITUTE(INDEX('INPUT - Roster'!$S$1:$SV$206,$B149,Settings!$C$9+1)&amp;"",CHAR(10)," "),CHAR(160)," ")))</f>
        <v/>
      </c>
      <c r="H149">
        <f>IF(OR($B149="",NOT(ISNUMBER(Settings!$C$9))),"",TRIM(SUBSTITUTE(SUBSTITUTE(INDEX('INPUT - Roster'!$S$1:$SV$206,$B149,Settings!$C$9+2)&amp;"",CHAR(10)," "),CHAR(160)," ")))</f>
        <v/>
      </c>
      <c r="I149">
        <f>IF(OR($B149="",NOT(ISNUMBER(Settings!$C$9))),"",TRIM(SUBSTITUTE(SUBSTITUTE(INDEX('INPUT - Roster'!$S$1:$SV$206,$B149,Settings!$C$9+3)&amp;"",CHAR(10)," "),CHAR(160)," ")))</f>
        <v/>
      </c>
      <c r="J149">
        <f>IF(OR($B149="",NOT(ISNUMBER(Settings!$C$9))),"",TRIM(SUBSTITUTE(SUBSTITUTE(INDEX('INPUT - Roster'!$S$1:$SV$206,$B149,Settings!$C$9+4)&amp;"",CHAR(10)," "),CHAR(160)," ")))</f>
        <v/>
      </c>
      <c r="K149">
        <f>IF(OR($B149="",NOT(ISNUMBER(Settings!$C$9))),"",TRIM(SUBSTITUTE(SUBSTITUTE(INDEX('INPUT - Roster'!$S$1:$SV$206,$B149,Settings!$C$9+5)&amp;"",CHAR(10)," "),CHAR(160)," ")))</f>
        <v/>
      </c>
      <c r="L149">
        <f>IF(OR($B149="",NOT(ISNUMBER(Settings!$C$9))),"",TRIM(SUBSTITUTE(SUBSTITUTE(INDEX('INPUT - Roster'!$S$1:$SV$206,$B149,Settings!$C$9+6)&amp;"",CHAR(10)," "),CHAR(160)," ")))</f>
        <v/>
      </c>
      <c r="M149">
        <f>IF(OR($B149="",NOT(ISNUMBER(Settings!$C$9))),"",TRIM(SUBSTITUTE(SUBSTITUTE(INDEX('INPUT - Roster'!$S$1:$SV$206,$B149,Settings!$C$9+7)&amp;"",CHAR(10)," "),CHAR(160)," ")))</f>
        <v/>
      </c>
      <c r="N149">
        <f>IF(OR($B149="",NOT(ISNUMBER(Settings!$C$9))),"",TRIM(SUBSTITUTE(SUBSTITUTE(INDEX('INPUT - Roster'!$S$1:$SV$206,$B149,Settings!$C$9+8)&amp;"",CHAR(10)," "),CHAR(160)," ")))</f>
        <v/>
      </c>
      <c r="O149">
        <f>IF(OR($B149="",NOT(ISNUMBER(Settings!$C$9))),"",TRIM(SUBSTITUTE(SUBSTITUTE(INDEX('INPUT - Roster'!$S$1:$SV$206,$B149,Settings!$C$9+9)&amp;"",CHAR(10)," "),CHAR(160)," ")))</f>
        <v/>
      </c>
      <c r="P149">
        <f>IF(OR($B149="",NOT(ISNUMBER(Settings!$C$9))),"",TRIM(SUBSTITUTE(SUBSTITUTE(INDEX('INPUT - Roster'!$S$1:$SV$206,$B149,Settings!$C$9+10)&amp;"",CHAR(10)," "),CHAR(160)," ")))</f>
        <v/>
      </c>
      <c r="Q149">
        <f>IF(OR($B149="",NOT(ISNUMBER(Settings!$C$9))),"",TRIM(SUBSTITUTE(SUBSTITUTE(INDEX('INPUT - Roster'!$S$1:$SV$206,$B149,Settings!$C$9+11)&amp;"",CHAR(10)," "),CHAR(160)," ")))</f>
        <v/>
      </c>
      <c r="R149">
        <f>IF(OR($B149="",NOT(ISNUMBER(Settings!$C$9))),"",TRIM(SUBSTITUTE(SUBSTITUTE(INDEX('INPUT - Roster'!$S$1:$SV$206,$B149,Settings!$C$9+12)&amp;"",CHAR(10)," "),CHAR(160)," ")))</f>
        <v/>
      </c>
      <c r="S149">
        <f>IF(OR($B149="",NOT(ISNUMBER(Settings!$C$9))),"",TRIM(SUBSTITUTE(SUBSTITUTE(INDEX('INPUT - Roster'!$S$1:$SV$206,$B149,Settings!$C$9+13)&amp;"",CHAR(10)," "),CHAR(160)," ")))</f>
        <v/>
      </c>
      <c r="T149">
        <f>IF(OR($B149="",NOT(ISNUMBER(Settings!$C$9))),"",TRIM(SUBSTITUTE(SUBSTITUTE(INDEX('INPUT - Roster'!$S$1:$SV$206,$B149,Settings!$C$9+14)&amp;"",CHAR(10)," "),CHAR(160)," ")))</f>
        <v/>
      </c>
      <c r="U149">
        <f>IF(OR($B149="",NOT(ISNUMBER(Settings!$C$9))),"",TRIM(SUBSTITUTE(SUBSTITUTE(INDEX('INPUT - Roster'!$S$1:$SV$206,$B149,Settings!$C$9+15)&amp;"",CHAR(10)," "),CHAR(160)," ")))</f>
        <v/>
      </c>
      <c r="V149">
        <f>IF(OR($B149="",NOT(ISNUMBER(Settings!$C$9))),"",TRIM(SUBSTITUTE(SUBSTITUTE(INDEX('INPUT - Roster'!$S$1:$SV$206,$B149,Settings!$C$9+16)&amp;"",CHAR(10)," "),CHAR(160)," ")))</f>
        <v/>
      </c>
      <c r="W149">
        <f>IF(OR($B149="",NOT(ISNUMBER(Settings!$C$9))),"",TRIM(SUBSTITUTE(SUBSTITUTE(INDEX('INPUT - Roster'!$S$1:$SV$206,$B149,Settings!$C$9+17)&amp;"",CHAR(10)," "),CHAR(160)," ")))</f>
        <v/>
      </c>
      <c r="X149">
        <f>IF(OR($B149="",NOT(ISNUMBER(Settings!$C$9))),"",TRIM(SUBSTITUTE(SUBSTITUTE(INDEX('INPUT - Roster'!$S$1:$SV$206,$B149,Settings!$C$9+18)&amp;"",CHAR(10)," "),CHAR(160)," ")))</f>
        <v/>
      </c>
      <c r="Y149">
        <f>IF(OR($B149="",NOT(ISNUMBER(Settings!$C$9))),"",TRIM(SUBSTITUTE(SUBSTITUTE(INDEX('INPUT - Roster'!$S$1:$SV$206,$B149,Settings!$C$9+19)&amp;"",CHAR(10)," "),CHAR(160)," ")))</f>
        <v/>
      </c>
      <c r="Z149">
        <f>IF(OR($B149="",NOT(ISNUMBER(Settings!$C$9))),"",TRIM(SUBSTITUTE(SUBSTITUTE(INDEX('INPUT - Roster'!$S$1:$SV$206,$B149,Settings!$C$9+20)&amp;"",CHAR(10)," "),CHAR(160)," ")))</f>
        <v/>
      </c>
      <c r="AA149">
        <f>IF(OR($B149="",NOT(ISNUMBER(Settings!$C$9))),"",TRIM(SUBSTITUTE(SUBSTITUTE(INDEX('INPUT - Roster'!$S$1:$SV$206,$B149,Settings!$C$9+21)&amp;"",CHAR(10)," "),CHAR(160)," ")))</f>
        <v/>
      </c>
      <c r="AB149">
        <f>IF(OR($B149="",NOT(ISNUMBER(Settings!$C$9))),"",TRIM(SUBSTITUTE(SUBSTITUTE(INDEX('INPUT - Roster'!$S$1:$SV$206,$B149,Settings!$C$9+22)&amp;"",CHAR(10)," "),CHAR(160)," ")))</f>
        <v/>
      </c>
      <c r="AC149">
        <f>IF(OR($B149="",NOT(ISNUMBER(Settings!$C$9))),"",TRIM(SUBSTITUTE(SUBSTITUTE(INDEX('INPUT - Roster'!$S$1:$SV$206,$B149,Settings!$C$9+23)&amp;"",CHAR(10)," "),CHAR(160)," ")))</f>
        <v/>
      </c>
      <c r="AD149">
        <f>IF(OR($B149="",NOT(ISNUMBER(Settings!$C$9))),"",TRIM(SUBSTITUTE(SUBSTITUTE(INDEX('INPUT - Roster'!$S$1:$SV$206,$B149,Settings!$C$9+24)&amp;"",CHAR(10)," "),CHAR(160)," ")))</f>
        <v/>
      </c>
      <c r="AE149">
        <f>IF(OR($B149="",NOT(ISNUMBER(Settings!$C$9))),"",TRIM(SUBSTITUTE(SUBSTITUTE(INDEX('INPUT - Roster'!$S$1:$SV$206,$B149,Settings!$C$9+25)&amp;"",CHAR(10)," "),CHAR(160)," ")))</f>
        <v/>
      </c>
      <c r="AF149">
        <f>IF(OR($B149="",NOT(ISNUMBER(Settings!$C$9))),"",TRIM(SUBSTITUTE(SUBSTITUTE(INDEX('INPUT - Roster'!$S$1:$SV$206,$B149,Settings!$C$9+26)&amp;"",CHAR(10)," "),CHAR(160)," ")))</f>
        <v/>
      </c>
      <c r="AG149">
        <f>IF(OR($B149="",NOT(ISNUMBER(Settings!$C$9))),"",TRIM(SUBSTITUTE(SUBSTITUTE(INDEX('INPUT - Roster'!$S$1:$SV$206,$B149,Settings!$C$9+27)&amp;"",CHAR(10)," "),CHAR(160)," ")))</f>
        <v/>
      </c>
      <c r="AI149">
        <f>IF($B149="","",IF(F149="","Not rostered",IFERROR(INDEX(Settings!$C$14:$C$33,MATCH(F149,Settings!$B$14:$B$33,0)),IFERROR(LOOKUP(2^15,SEARCH(Settings!$I$14:$I$83,F149)/(Settings!$I$14:$I$83&lt;&gt;""),Settings!$J$14:$J$83),"Other"))))</f>
        <v/>
      </c>
      <c r="AJ149">
        <f>IF($B149="","",IF(G149="","Not rostered",IFERROR(INDEX(Settings!$C$14:$C$33,MATCH(G149,Settings!$B$14:$B$33,0)),IFERROR(LOOKUP(2^15,SEARCH(Settings!$I$14:$I$83,G149)/(Settings!$I$14:$I$83&lt;&gt;""),Settings!$J$14:$J$83),"Other"))))</f>
        <v/>
      </c>
      <c r="AK149">
        <f>IF($B149="","",IF(H149="","Not rostered",IFERROR(INDEX(Settings!$C$14:$C$33,MATCH(H149,Settings!$B$14:$B$33,0)),IFERROR(LOOKUP(2^15,SEARCH(Settings!$I$14:$I$83,H149)/(Settings!$I$14:$I$83&lt;&gt;""),Settings!$J$14:$J$83),"Other"))))</f>
        <v/>
      </c>
      <c r="AL149">
        <f>IF($B149="","",IF(I149="","Not rostered",IFERROR(INDEX(Settings!$C$14:$C$33,MATCH(I149,Settings!$B$14:$B$33,0)),IFERROR(LOOKUP(2^15,SEARCH(Settings!$I$14:$I$83,I149)/(Settings!$I$14:$I$83&lt;&gt;""),Settings!$J$14:$J$83),"Other"))))</f>
        <v/>
      </c>
      <c r="AM149">
        <f>IF($B149="","",IF(J149="","Not rostered",IFERROR(INDEX(Settings!$C$14:$C$33,MATCH(J149,Settings!$B$14:$B$33,0)),IFERROR(LOOKUP(2^15,SEARCH(Settings!$I$14:$I$83,J149)/(Settings!$I$14:$I$83&lt;&gt;""),Settings!$J$14:$J$83),"Other"))))</f>
        <v/>
      </c>
      <c r="AN149">
        <f>IF($B149="","",IF(K149="","Not rostered",IFERROR(INDEX(Settings!$C$14:$C$33,MATCH(K149,Settings!$B$14:$B$33,0)),IFERROR(LOOKUP(2^15,SEARCH(Settings!$I$14:$I$83,K149)/(Settings!$I$14:$I$83&lt;&gt;""),Settings!$J$14:$J$83),"Other"))))</f>
        <v/>
      </c>
      <c r="AO149">
        <f>IF($B149="","",IF(L149="","Not rostered",IFERROR(INDEX(Settings!$C$14:$C$33,MATCH(L149,Settings!$B$14:$B$33,0)),IFERROR(LOOKUP(2^15,SEARCH(Settings!$I$14:$I$83,L149)/(Settings!$I$14:$I$83&lt;&gt;""),Settings!$J$14:$J$83),"Other"))))</f>
        <v/>
      </c>
      <c r="AP149">
        <f>IF($B149="","",IF(M149="","Not rostered",IFERROR(INDEX(Settings!$C$14:$C$33,MATCH(M149,Settings!$B$14:$B$33,0)),IFERROR(LOOKUP(2^15,SEARCH(Settings!$I$14:$I$83,M149)/(Settings!$I$14:$I$83&lt;&gt;""),Settings!$J$14:$J$83),"Other"))))</f>
        <v/>
      </c>
      <c r="AQ149">
        <f>IF($B149="","",IF(N149="","Not rostered",IFERROR(INDEX(Settings!$C$14:$C$33,MATCH(N149,Settings!$B$14:$B$33,0)),IFERROR(LOOKUP(2^15,SEARCH(Settings!$I$14:$I$83,N149)/(Settings!$I$14:$I$83&lt;&gt;""),Settings!$J$14:$J$83),"Other"))))</f>
        <v/>
      </c>
      <c r="AR149">
        <f>IF($B149="","",IF(O149="","Not rostered",IFERROR(INDEX(Settings!$C$14:$C$33,MATCH(O149,Settings!$B$14:$B$33,0)),IFERROR(LOOKUP(2^15,SEARCH(Settings!$I$14:$I$83,O149)/(Settings!$I$14:$I$83&lt;&gt;""),Settings!$J$14:$J$83),"Other"))))</f>
        <v/>
      </c>
      <c r="AS149">
        <f>IF($B149="","",IF(P149="","Not rostered",IFERROR(INDEX(Settings!$C$14:$C$33,MATCH(P149,Settings!$B$14:$B$33,0)),IFERROR(LOOKUP(2^15,SEARCH(Settings!$I$14:$I$83,P149)/(Settings!$I$14:$I$83&lt;&gt;""),Settings!$J$14:$J$83),"Other"))))</f>
        <v/>
      </c>
      <c r="AT149">
        <f>IF($B149="","",IF(Q149="","Not rostered",IFERROR(INDEX(Settings!$C$14:$C$33,MATCH(Q149,Settings!$B$14:$B$33,0)),IFERROR(LOOKUP(2^15,SEARCH(Settings!$I$14:$I$83,Q149)/(Settings!$I$14:$I$83&lt;&gt;""),Settings!$J$14:$J$83),"Other"))))</f>
        <v/>
      </c>
      <c r="AU149">
        <f>IF($B149="","",IF(R149="","Not rostered",IFERROR(INDEX(Settings!$C$14:$C$33,MATCH(R149,Settings!$B$14:$B$33,0)),IFERROR(LOOKUP(2^15,SEARCH(Settings!$I$14:$I$83,R149)/(Settings!$I$14:$I$83&lt;&gt;""),Settings!$J$14:$J$83),"Other"))))</f>
        <v/>
      </c>
      <c r="AV149">
        <f>IF($B149="","",IF(S149="","Not rostered",IFERROR(INDEX(Settings!$C$14:$C$33,MATCH(S149,Settings!$B$14:$B$33,0)),IFERROR(LOOKUP(2^15,SEARCH(Settings!$I$14:$I$83,S149)/(Settings!$I$14:$I$83&lt;&gt;""),Settings!$J$14:$J$83),"Other"))))</f>
        <v/>
      </c>
      <c r="AW149">
        <f>IF($B149="","",IF(T149="","Not rostered",IFERROR(INDEX(Settings!$C$14:$C$33,MATCH(T149,Settings!$B$14:$B$33,0)),IFERROR(LOOKUP(2^15,SEARCH(Settings!$I$14:$I$83,T149)/(Settings!$I$14:$I$83&lt;&gt;""),Settings!$J$14:$J$83),"Other"))))</f>
        <v/>
      </c>
      <c r="AX149">
        <f>IF($B149="","",IF(U149="","Not rostered",IFERROR(INDEX(Settings!$C$14:$C$33,MATCH(U149,Settings!$B$14:$B$33,0)),IFERROR(LOOKUP(2^15,SEARCH(Settings!$I$14:$I$83,U149)/(Settings!$I$14:$I$83&lt;&gt;""),Settings!$J$14:$J$83),"Other"))))</f>
        <v/>
      </c>
      <c r="AY149">
        <f>IF($B149="","",IF(V149="","Not rostered",IFERROR(INDEX(Settings!$C$14:$C$33,MATCH(V149,Settings!$B$14:$B$33,0)),IFERROR(LOOKUP(2^15,SEARCH(Settings!$I$14:$I$83,V149)/(Settings!$I$14:$I$83&lt;&gt;""),Settings!$J$14:$J$83),"Other"))))</f>
        <v/>
      </c>
      <c r="AZ149">
        <f>IF($B149="","",IF(W149="","Not rostered",IFERROR(INDEX(Settings!$C$14:$C$33,MATCH(W149,Settings!$B$14:$B$33,0)),IFERROR(LOOKUP(2^15,SEARCH(Settings!$I$14:$I$83,W149)/(Settings!$I$14:$I$83&lt;&gt;""),Settings!$J$14:$J$83),"Other"))))</f>
        <v/>
      </c>
      <c r="BA149">
        <f>IF($B149="","",IF(X149="","Not rostered",IFERROR(INDEX(Settings!$C$14:$C$33,MATCH(X149,Settings!$B$14:$B$33,0)),IFERROR(LOOKUP(2^15,SEARCH(Settings!$I$14:$I$83,X149)/(Settings!$I$14:$I$83&lt;&gt;""),Settings!$J$14:$J$83),"Other"))))</f>
        <v/>
      </c>
      <c r="BB149">
        <f>IF($B149="","",IF(Y149="","Not rostered",IFERROR(INDEX(Settings!$C$14:$C$33,MATCH(Y149,Settings!$B$14:$B$33,0)),IFERROR(LOOKUP(2^15,SEARCH(Settings!$I$14:$I$83,Y149)/(Settings!$I$14:$I$83&lt;&gt;""),Settings!$J$14:$J$83),"Other"))))</f>
        <v/>
      </c>
      <c r="BC149">
        <f>IF($B149="","",IF(Z149="","Not rostered",IFERROR(INDEX(Settings!$C$14:$C$33,MATCH(Z149,Settings!$B$14:$B$33,0)),IFERROR(LOOKUP(2^15,SEARCH(Settings!$I$14:$I$83,Z149)/(Settings!$I$14:$I$83&lt;&gt;""),Settings!$J$14:$J$83),"Other"))))</f>
        <v/>
      </c>
      <c r="BD149">
        <f>IF($B149="","",IF(AA149="","Not rostered",IFERROR(INDEX(Settings!$C$14:$C$33,MATCH(AA149,Settings!$B$14:$B$33,0)),IFERROR(LOOKUP(2^15,SEARCH(Settings!$I$14:$I$83,AA149)/(Settings!$I$14:$I$83&lt;&gt;""),Settings!$J$14:$J$83),"Other"))))</f>
        <v/>
      </c>
      <c r="BE149">
        <f>IF($B149="","",IF(AB149="","Not rostered",IFERROR(INDEX(Settings!$C$14:$C$33,MATCH(AB149,Settings!$B$14:$B$33,0)),IFERROR(LOOKUP(2^15,SEARCH(Settings!$I$14:$I$83,AB149)/(Settings!$I$14:$I$83&lt;&gt;""),Settings!$J$14:$J$83),"Other"))))</f>
        <v/>
      </c>
      <c r="BF149">
        <f>IF($B149="","",IF(AC149="","Not rostered",IFERROR(INDEX(Settings!$C$14:$C$33,MATCH(AC149,Settings!$B$14:$B$33,0)),IFERROR(LOOKUP(2^15,SEARCH(Settings!$I$14:$I$83,AC149)/(Settings!$I$14:$I$83&lt;&gt;""),Settings!$J$14:$J$83),"Other"))))</f>
        <v/>
      </c>
      <c r="BG149">
        <f>IF($B149="","",IF(AD149="","Not rostered",IFERROR(INDEX(Settings!$C$14:$C$33,MATCH(AD149,Settings!$B$14:$B$33,0)),IFERROR(LOOKUP(2^15,SEARCH(Settings!$I$14:$I$83,AD149)/(Settings!$I$14:$I$83&lt;&gt;""),Settings!$J$14:$J$83),"Other"))))</f>
        <v/>
      </c>
      <c r="BH149">
        <f>IF($B149="","",IF(AE149="","Not rostered",IFERROR(INDEX(Settings!$C$14:$C$33,MATCH(AE149,Settings!$B$14:$B$33,0)),IFERROR(LOOKUP(2^15,SEARCH(Settings!$I$14:$I$83,AE149)/(Settings!$I$14:$I$83&lt;&gt;""),Settings!$J$14:$J$83),"Other"))))</f>
        <v/>
      </c>
      <c r="BI149">
        <f>IF($B149="","",IF(AF149="","Not rostered",IFERROR(INDEX(Settings!$C$14:$C$33,MATCH(AF149,Settings!$B$14:$B$33,0)),IFERROR(LOOKUP(2^15,SEARCH(Settings!$I$14:$I$83,AF149)/(Settings!$I$14:$I$83&lt;&gt;""),Settings!$J$14:$J$83),"Other"))))</f>
        <v/>
      </c>
      <c r="BJ149">
        <f>IF($B149="","",IF(AG149="","Not rostered",IFERROR(INDEX(Settings!$C$14:$C$33,MATCH(AG149,Settings!$B$14:$B$33,0)),IFERROR(LOOKUP(2^15,SEARCH(Settings!$I$14:$I$83,AG149)/(Settings!$I$14:$I$83&lt;&gt;""),Settings!$J$14:$J$83),"Other"))))</f>
        <v/>
      </c>
      <c r="BL149">
        <f>IF(OR($B149="",F149=""),"",IFERROR(INDEX(Settings!$D$14:$D$33,MATCH(F149,Settings!$B$14:$B$33,0))&amp;"",IFERROR(LOOKUP(2^15,SEARCH(Settings!$F$14:$F$43,F149)/(Settings!$F$14:$F$43&lt;&gt;""),Settings!$G$14:$G$43),"")))</f>
        <v/>
      </c>
      <c r="BM149">
        <f>IF(OR($B149="",G149=""),"",IFERROR(INDEX(Settings!$D$14:$D$33,MATCH(G149,Settings!$B$14:$B$33,0))&amp;"",IFERROR(LOOKUP(2^15,SEARCH(Settings!$F$14:$F$43,G149)/(Settings!$F$14:$F$43&lt;&gt;""),Settings!$G$14:$G$43),"")))</f>
        <v/>
      </c>
      <c r="BN149">
        <f>IF(OR($B149="",H149=""),"",IFERROR(INDEX(Settings!$D$14:$D$33,MATCH(H149,Settings!$B$14:$B$33,0))&amp;"",IFERROR(LOOKUP(2^15,SEARCH(Settings!$F$14:$F$43,H149)/(Settings!$F$14:$F$43&lt;&gt;""),Settings!$G$14:$G$43),"")))</f>
        <v/>
      </c>
      <c r="BO149">
        <f>IF(OR($B149="",I149=""),"",IFERROR(INDEX(Settings!$D$14:$D$33,MATCH(I149,Settings!$B$14:$B$33,0))&amp;"",IFERROR(LOOKUP(2^15,SEARCH(Settings!$F$14:$F$43,I149)/(Settings!$F$14:$F$43&lt;&gt;""),Settings!$G$14:$G$43),"")))</f>
        <v/>
      </c>
      <c r="BP149">
        <f>IF(OR($B149="",J149=""),"",IFERROR(INDEX(Settings!$D$14:$D$33,MATCH(J149,Settings!$B$14:$B$33,0))&amp;"",IFERROR(LOOKUP(2^15,SEARCH(Settings!$F$14:$F$43,J149)/(Settings!$F$14:$F$43&lt;&gt;""),Settings!$G$14:$G$43),"")))</f>
        <v/>
      </c>
      <c r="BQ149">
        <f>IF(OR($B149="",K149=""),"",IFERROR(INDEX(Settings!$D$14:$D$33,MATCH(K149,Settings!$B$14:$B$33,0))&amp;"",IFERROR(LOOKUP(2^15,SEARCH(Settings!$F$14:$F$43,K149)/(Settings!$F$14:$F$43&lt;&gt;""),Settings!$G$14:$G$43),"")))</f>
        <v/>
      </c>
      <c r="BR149">
        <f>IF(OR($B149="",L149=""),"",IFERROR(INDEX(Settings!$D$14:$D$33,MATCH(L149,Settings!$B$14:$B$33,0))&amp;"",IFERROR(LOOKUP(2^15,SEARCH(Settings!$F$14:$F$43,L149)/(Settings!$F$14:$F$43&lt;&gt;""),Settings!$G$14:$G$43),"")))</f>
        <v/>
      </c>
      <c r="BS149">
        <f>IF(OR($B149="",M149=""),"",IFERROR(INDEX(Settings!$D$14:$D$33,MATCH(M149,Settings!$B$14:$B$33,0))&amp;"",IFERROR(LOOKUP(2^15,SEARCH(Settings!$F$14:$F$43,M149)/(Settings!$F$14:$F$43&lt;&gt;""),Settings!$G$14:$G$43),"")))</f>
        <v/>
      </c>
      <c r="BT149">
        <f>IF(OR($B149="",N149=""),"",IFERROR(INDEX(Settings!$D$14:$D$33,MATCH(N149,Settings!$B$14:$B$33,0))&amp;"",IFERROR(LOOKUP(2^15,SEARCH(Settings!$F$14:$F$43,N149)/(Settings!$F$14:$F$43&lt;&gt;""),Settings!$G$14:$G$43),"")))</f>
        <v/>
      </c>
      <c r="BU149">
        <f>IF(OR($B149="",O149=""),"",IFERROR(INDEX(Settings!$D$14:$D$33,MATCH(O149,Settings!$B$14:$B$33,0))&amp;"",IFERROR(LOOKUP(2^15,SEARCH(Settings!$F$14:$F$43,O149)/(Settings!$F$14:$F$43&lt;&gt;""),Settings!$G$14:$G$43),"")))</f>
        <v/>
      </c>
      <c r="BV149">
        <f>IF(OR($B149="",P149=""),"",IFERROR(INDEX(Settings!$D$14:$D$33,MATCH(P149,Settings!$B$14:$B$33,0))&amp;"",IFERROR(LOOKUP(2^15,SEARCH(Settings!$F$14:$F$43,P149)/(Settings!$F$14:$F$43&lt;&gt;""),Settings!$G$14:$G$43),"")))</f>
        <v/>
      </c>
      <c r="BW149">
        <f>IF(OR($B149="",Q149=""),"",IFERROR(INDEX(Settings!$D$14:$D$33,MATCH(Q149,Settings!$B$14:$B$33,0))&amp;"",IFERROR(LOOKUP(2^15,SEARCH(Settings!$F$14:$F$43,Q149)/(Settings!$F$14:$F$43&lt;&gt;""),Settings!$G$14:$G$43),"")))</f>
        <v/>
      </c>
      <c r="BX149">
        <f>IF(OR($B149="",R149=""),"",IFERROR(INDEX(Settings!$D$14:$D$33,MATCH(R149,Settings!$B$14:$B$33,0))&amp;"",IFERROR(LOOKUP(2^15,SEARCH(Settings!$F$14:$F$43,R149)/(Settings!$F$14:$F$43&lt;&gt;""),Settings!$G$14:$G$43),"")))</f>
        <v/>
      </c>
      <c r="BY149">
        <f>IF(OR($B149="",S149=""),"",IFERROR(INDEX(Settings!$D$14:$D$33,MATCH(S149,Settings!$B$14:$B$33,0))&amp;"",IFERROR(LOOKUP(2^15,SEARCH(Settings!$F$14:$F$43,S149)/(Settings!$F$14:$F$43&lt;&gt;""),Settings!$G$14:$G$43),"")))</f>
        <v/>
      </c>
      <c r="BZ149">
        <f>IF(OR($B149="",T149=""),"",IFERROR(INDEX(Settings!$D$14:$D$33,MATCH(T149,Settings!$B$14:$B$33,0))&amp;"",IFERROR(LOOKUP(2^15,SEARCH(Settings!$F$14:$F$43,T149)/(Settings!$F$14:$F$43&lt;&gt;""),Settings!$G$14:$G$43),"")))</f>
        <v/>
      </c>
      <c r="CA149">
        <f>IF(OR($B149="",U149=""),"",IFERROR(INDEX(Settings!$D$14:$D$33,MATCH(U149,Settings!$B$14:$B$33,0))&amp;"",IFERROR(LOOKUP(2^15,SEARCH(Settings!$F$14:$F$43,U149)/(Settings!$F$14:$F$43&lt;&gt;""),Settings!$G$14:$G$43),"")))</f>
        <v/>
      </c>
      <c r="CB149">
        <f>IF(OR($B149="",V149=""),"",IFERROR(INDEX(Settings!$D$14:$D$33,MATCH(V149,Settings!$B$14:$B$33,0))&amp;"",IFERROR(LOOKUP(2^15,SEARCH(Settings!$F$14:$F$43,V149)/(Settings!$F$14:$F$43&lt;&gt;""),Settings!$G$14:$G$43),"")))</f>
        <v/>
      </c>
      <c r="CC149">
        <f>IF(OR($B149="",W149=""),"",IFERROR(INDEX(Settings!$D$14:$D$33,MATCH(W149,Settings!$B$14:$B$33,0))&amp;"",IFERROR(LOOKUP(2^15,SEARCH(Settings!$F$14:$F$43,W149)/(Settings!$F$14:$F$43&lt;&gt;""),Settings!$G$14:$G$43),"")))</f>
        <v/>
      </c>
      <c r="CD149">
        <f>IF(OR($B149="",X149=""),"",IFERROR(INDEX(Settings!$D$14:$D$33,MATCH(X149,Settings!$B$14:$B$33,0))&amp;"",IFERROR(LOOKUP(2^15,SEARCH(Settings!$F$14:$F$43,X149)/(Settings!$F$14:$F$43&lt;&gt;""),Settings!$G$14:$G$43),"")))</f>
        <v/>
      </c>
      <c r="CE149">
        <f>IF(OR($B149="",Y149=""),"",IFERROR(INDEX(Settings!$D$14:$D$33,MATCH(Y149,Settings!$B$14:$B$33,0))&amp;"",IFERROR(LOOKUP(2^15,SEARCH(Settings!$F$14:$F$43,Y149)/(Settings!$F$14:$F$43&lt;&gt;""),Settings!$G$14:$G$43),"")))</f>
        <v/>
      </c>
      <c r="CF149">
        <f>IF(OR($B149="",Z149=""),"",IFERROR(INDEX(Settings!$D$14:$D$33,MATCH(Z149,Settings!$B$14:$B$33,0))&amp;"",IFERROR(LOOKUP(2^15,SEARCH(Settings!$F$14:$F$43,Z149)/(Settings!$F$14:$F$43&lt;&gt;""),Settings!$G$14:$G$43),"")))</f>
        <v/>
      </c>
      <c r="CG149">
        <f>IF(OR($B149="",AA149=""),"",IFERROR(INDEX(Settings!$D$14:$D$33,MATCH(AA149,Settings!$B$14:$B$33,0))&amp;"",IFERROR(LOOKUP(2^15,SEARCH(Settings!$F$14:$F$43,AA149)/(Settings!$F$14:$F$43&lt;&gt;""),Settings!$G$14:$G$43),"")))</f>
        <v/>
      </c>
      <c r="CH149">
        <f>IF(OR($B149="",AB149=""),"",IFERROR(INDEX(Settings!$D$14:$D$33,MATCH(AB149,Settings!$B$14:$B$33,0))&amp;"",IFERROR(LOOKUP(2^15,SEARCH(Settings!$F$14:$F$43,AB149)/(Settings!$F$14:$F$43&lt;&gt;""),Settings!$G$14:$G$43),"")))</f>
        <v/>
      </c>
      <c r="CI149">
        <f>IF(OR($B149="",AC149=""),"",IFERROR(INDEX(Settings!$D$14:$D$33,MATCH(AC149,Settings!$B$14:$B$33,0))&amp;"",IFERROR(LOOKUP(2^15,SEARCH(Settings!$F$14:$F$43,AC149)/(Settings!$F$14:$F$43&lt;&gt;""),Settings!$G$14:$G$43),"")))</f>
        <v/>
      </c>
      <c r="CJ149">
        <f>IF(OR($B149="",AD149=""),"",IFERROR(INDEX(Settings!$D$14:$D$33,MATCH(AD149,Settings!$B$14:$B$33,0))&amp;"",IFERROR(LOOKUP(2^15,SEARCH(Settings!$F$14:$F$43,AD149)/(Settings!$F$14:$F$43&lt;&gt;""),Settings!$G$14:$G$43),"")))</f>
        <v/>
      </c>
      <c r="CK149">
        <f>IF(OR($B149="",AE149=""),"",IFERROR(INDEX(Settings!$D$14:$D$33,MATCH(AE149,Settings!$B$14:$B$33,0))&amp;"",IFERROR(LOOKUP(2^15,SEARCH(Settings!$F$14:$F$43,AE149)/(Settings!$F$14:$F$43&lt;&gt;""),Settings!$G$14:$G$43),"")))</f>
        <v/>
      </c>
      <c r="CL149">
        <f>IF(OR($B149="",AF149=""),"",IFERROR(INDEX(Settings!$D$14:$D$33,MATCH(AF149,Settings!$B$14:$B$33,0))&amp;"",IFERROR(LOOKUP(2^15,SEARCH(Settings!$F$14:$F$43,AF149)/(Settings!$F$14:$F$43&lt;&gt;""),Settings!$G$14:$G$43),"")))</f>
        <v/>
      </c>
      <c r="CM149">
        <f>IF(OR($B149="",AG149=""),"",IFERROR(INDEX(Settings!$D$14:$D$33,MATCH(AG149,Settings!$B$14:$B$33,0))&amp;"",IFERROR(LOOKUP(2^15,SEARCH(Settings!$F$14:$F$43,AG149)/(Settings!$F$14:$F$43&lt;&gt;""),Settings!$G$14:$G$43),"")))</f>
        <v/>
      </c>
    </row>
    <row r="150">
      <c r="A150" t="n">
        <v>148</v>
      </c>
      <c r="B150">
        <f>IFERROR(INDEX(Index!$A$2:$A$202,MATCH(A150,Index!$E$2:$E$202,0)),"")</f>
        <v/>
      </c>
      <c r="D150">
        <f>IF($B150="","",IFERROR(MATCH("Travel*",AI150:BJ150,0),""))</f>
        <v/>
      </c>
      <c r="F150">
        <f>IF(OR($B150="",NOT(ISNUMBER(Settings!$C$9))),"",TRIM(SUBSTITUTE(SUBSTITUTE(INDEX('INPUT - Roster'!$S$1:$SV$206,$B150,Settings!$C$9+0)&amp;"",CHAR(10)," "),CHAR(160)," ")))</f>
        <v/>
      </c>
      <c r="G150">
        <f>IF(OR($B150="",NOT(ISNUMBER(Settings!$C$9))),"",TRIM(SUBSTITUTE(SUBSTITUTE(INDEX('INPUT - Roster'!$S$1:$SV$206,$B150,Settings!$C$9+1)&amp;"",CHAR(10)," "),CHAR(160)," ")))</f>
        <v/>
      </c>
      <c r="H150">
        <f>IF(OR($B150="",NOT(ISNUMBER(Settings!$C$9))),"",TRIM(SUBSTITUTE(SUBSTITUTE(INDEX('INPUT - Roster'!$S$1:$SV$206,$B150,Settings!$C$9+2)&amp;"",CHAR(10)," "),CHAR(160)," ")))</f>
        <v/>
      </c>
      <c r="I150">
        <f>IF(OR($B150="",NOT(ISNUMBER(Settings!$C$9))),"",TRIM(SUBSTITUTE(SUBSTITUTE(INDEX('INPUT - Roster'!$S$1:$SV$206,$B150,Settings!$C$9+3)&amp;"",CHAR(10)," "),CHAR(160)," ")))</f>
        <v/>
      </c>
      <c r="J150">
        <f>IF(OR($B150="",NOT(ISNUMBER(Settings!$C$9))),"",TRIM(SUBSTITUTE(SUBSTITUTE(INDEX('INPUT - Roster'!$S$1:$SV$206,$B150,Settings!$C$9+4)&amp;"",CHAR(10)," "),CHAR(160)," ")))</f>
        <v/>
      </c>
      <c r="K150">
        <f>IF(OR($B150="",NOT(ISNUMBER(Settings!$C$9))),"",TRIM(SUBSTITUTE(SUBSTITUTE(INDEX('INPUT - Roster'!$S$1:$SV$206,$B150,Settings!$C$9+5)&amp;"",CHAR(10)," "),CHAR(160)," ")))</f>
        <v/>
      </c>
      <c r="L150">
        <f>IF(OR($B150="",NOT(ISNUMBER(Settings!$C$9))),"",TRIM(SUBSTITUTE(SUBSTITUTE(INDEX('INPUT - Roster'!$S$1:$SV$206,$B150,Settings!$C$9+6)&amp;"",CHAR(10)," "),CHAR(160)," ")))</f>
        <v/>
      </c>
      <c r="M150">
        <f>IF(OR($B150="",NOT(ISNUMBER(Settings!$C$9))),"",TRIM(SUBSTITUTE(SUBSTITUTE(INDEX('INPUT - Roster'!$S$1:$SV$206,$B150,Settings!$C$9+7)&amp;"",CHAR(10)," "),CHAR(160)," ")))</f>
        <v/>
      </c>
      <c r="N150">
        <f>IF(OR($B150="",NOT(ISNUMBER(Settings!$C$9))),"",TRIM(SUBSTITUTE(SUBSTITUTE(INDEX('INPUT - Roster'!$S$1:$SV$206,$B150,Settings!$C$9+8)&amp;"",CHAR(10)," "),CHAR(160)," ")))</f>
        <v/>
      </c>
      <c r="O150">
        <f>IF(OR($B150="",NOT(ISNUMBER(Settings!$C$9))),"",TRIM(SUBSTITUTE(SUBSTITUTE(INDEX('INPUT - Roster'!$S$1:$SV$206,$B150,Settings!$C$9+9)&amp;"",CHAR(10)," "),CHAR(160)," ")))</f>
        <v/>
      </c>
      <c r="P150">
        <f>IF(OR($B150="",NOT(ISNUMBER(Settings!$C$9))),"",TRIM(SUBSTITUTE(SUBSTITUTE(INDEX('INPUT - Roster'!$S$1:$SV$206,$B150,Settings!$C$9+10)&amp;"",CHAR(10)," "),CHAR(160)," ")))</f>
        <v/>
      </c>
      <c r="Q150">
        <f>IF(OR($B150="",NOT(ISNUMBER(Settings!$C$9))),"",TRIM(SUBSTITUTE(SUBSTITUTE(INDEX('INPUT - Roster'!$S$1:$SV$206,$B150,Settings!$C$9+11)&amp;"",CHAR(10)," "),CHAR(160)," ")))</f>
        <v/>
      </c>
      <c r="R150">
        <f>IF(OR($B150="",NOT(ISNUMBER(Settings!$C$9))),"",TRIM(SUBSTITUTE(SUBSTITUTE(INDEX('INPUT - Roster'!$S$1:$SV$206,$B150,Settings!$C$9+12)&amp;"",CHAR(10)," "),CHAR(160)," ")))</f>
        <v/>
      </c>
      <c r="S150">
        <f>IF(OR($B150="",NOT(ISNUMBER(Settings!$C$9))),"",TRIM(SUBSTITUTE(SUBSTITUTE(INDEX('INPUT - Roster'!$S$1:$SV$206,$B150,Settings!$C$9+13)&amp;"",CHAR(10)," "),CHAR(160)," ")))</f>
        <v/>
      </c>
      <c r="T150">
        <f>IF(OR($B150="",NOT(ISNUMBER(Settings!$C$9))),"",TRIM(SUBSTITUTE(SUBSTITUTE(INDEX('INPUT - Roster'!$S$1:$SV$206,$B150,Settings!$C$9+14)&amp;"",CHAR(10)," "),CHAR(160)," ")))</f>
        <v/>
      </c>
      <c r="U150">
        <f>IF(OR($B150="",NOT(ISNUMBER(Settings!$C$9))),"",TRIM(SUBSTITUTE(SUBSTITUTE(INDEX('INPUT - Roster'!$S$1:$SV$206,$B150,Settings!$C$9+15)&amp;"",CHAR(10)," "),CHAR(160)," ")))</f>
        <v/>
      </c>
      <c r="V150">
        <f>IF(OR($B150="",NOT(ISNUMBER(Settings!$C$9))),"",TRIM(SUBSTITUTE(SUBSTITUTE(INDEX('INPUT - Roster'!$S$1:$SV$206,$B150,Settings!$C$9+16)&amp;"",CHAR(10)," "),CHAR(160)," ")))</f>
        <v/>
      </c>
      <c r="W150">
        <f>IF(OR($B150="",NOT(ISNUMBER(Settings!$C$9))),"",TRIM(SUBSTITUTE(SUBSTITUTE(INDEX('INPUT - Roster'!$S$1:$SV$206,$B150,Settings!$C$9+17)&amp;"",CHAR(10)," "),CHAR(160)," ")))</f>
        <v/>
      </c>
      <c r="X150">
        <f>IF(OR($B150="",NOT(ISNUMBER(Settings!$C$9))),"",TRIM(SUBSTITUTE(SUBSTITUTE(INDEX('INPUT - Roster'!$S$1:$SV$206,$B150,Settings!$C$9+18)&amp;"",CHAR(10)," "),CHAR(160)," ")))</f>
        <v/>
      </c>
      <c r="Y150">
        <f>IF(OR($B150="",NOT(ISNUMBER(Settings!$C$9))),"",TRIM(SUBSTITUTE(SUBSTITUTE(INDEX('INPUT - Roster'!$S$1:$SV$206,$B150,Settings!$C$9+19)&amp;"",CHAR(10)," "),CHAR(160)," ")))</f>
        <v/>
      </c>
      <c r="Z150">
        <f>IF(OR($B150="",NOT(ISNUMBER(Settings!$C$9))),"",TRIM(SUBSTITUTE(SUBSTITUTE(INDEX('INPUT - Roster'!$S$1:$SV$206,$B150,Settings!$C$9+20)&amp;"",CHAR(10)," "),CHAR(160)," ")))</f>
        <v/>
      </c>
      <c r="AA150">
        <f>IF(OR($B150="",NOT(ISNUMBER(Settings!$C$9))),"",TRIM(SUBSTITUTE(SUBSTITUTE(INDEX('INPUT - Roster'!$S$1:$SV$206,$B150,Settings!$C$9+21)&amp;"",CHAR(10)," "),CHAR(160)," ")))</f>
        <v/>
      </c>
      <c r="AB150">
        <f>IF(OR($B150="",NOT(ISNUMBER(Settings!$C$9))),"",TRIM(SUBSTITUTE(SUBSTITUTE(INDEX('INPUT - Roster'!$S$1:$SV$206,$B150,Settings!$C$9+22)&amp;"",CHAR(10)," "),CHAR(160)," ")))</f>
        <v/>
      </c>
      <c r="AC150">
        <f>IF(OR($B150="",NOT(ISNUMBER(Settings!$C$9))),"",TRIM(SUBSTITUTE(SUBSTITUTE(INDEX('INPUT - Roster'!$S$1:$SV$206,$B150,Settings!$C$9+23)&amp;"",CHAR(10)," "),CHAR(160)," ")))</f>
        <v/>
      </c>
      <c r="AD150">
        <f>IF(OR($B150="",NOT(ISNUMBER(Settings!$C$9))),"",TRIM(SUBSTITUTE(SUBSTITUTE(INDEX('INPUT - Roster'!$S$1:$SV$206,$B150,Settings!$C$9+24)&amp;"",CHAR(10)," "),CHAR(160)," ")))</f>
        <v/>
      </c>
      <c r="AE150">
        <f>IF(OR($B150="",NOT(ISNUMBER(Settings!$C$9))),"",TRIM(SUBSTITUTE(SUBSTITUTE(INDEX('INPUT - Roster'!$S$1:$SV$206,$B150,Settings!$C$9+25)&amp;"",CHAR(10)," "),CHAR(160)," ")))</f>
        <v/>
      </c>
      <c r="AF150">
        <f>IF(OR($B150="",NOT(ISNUMBER(Settings!$C$9))),"",TRIM(SUBSTITUTE(SUBSTITUTE(INDEX('INPUT - Roster'!$S$1:$SV$206,$B150,Settings!$C$9+26)&amp;"",CHAR(10)," "),CHAR(160)," ")))</f>
        <v/>
      </c>
      <c r="AG150">
        <f>IF(OR($B150="",NOT(ISNUMBER(Settings!$C$9))),"",TRIM(SUBSTITUTE(SUBSTITUTE(INDEX('INPUT - Roster'!$S$1:$SV$206,$B150,Settings!$C$9+27)&amp;"",CHAR(10)," "),CHAR(160)," ")))</f>
        <v/>
      </c>
      <c r="AI150">
        <f>IF($B150="","",IF(F150="","Not rostered",IFERROR(INDEX(Settings!$C$14:$C$33,MATCH(F150,Settings!$B$14:$B$33,0)),IFERROR(LOOKUP(2^15,SEARCH(Settings!$I$14:$I$83,F150)/(Settings!$I$14:$I$83&lt;&gt;""),Settings!$J$14:$J$83),"Other"))))</f>
        <v/>
      </c>
      <c r="AJ150">
        <f>IF($B150="","",IF(G150="","Not rostered",IFERROR(INDEX(Settings!$C$14:$C$33,MATCH(G150,Settings!$B$14:$B$33,0)),IFERROR(LOOKUP(2^15,SEARCH(Settings!$I$14:$I$83,G150)/(Settings!$I$14:$I$83&lt;&gt;""),Settings!$J$14:$J$83),"Other"))))</f>
        <v/>
      </c>
      <c r="AK150">
        <f>IF($B150="","",IF(H150="","Not rostered",IFERROR(INDEX(Settings!$C$14:$C$33,MATCH(H150,Settings!$B$14:$B$33,0)),IFERROR(LOOKUP(2^15,SEARCH(Settings!$I$14:$I$83,H150)/(Settings!$I$14:$I$83&lt;&gt;""),Settings!$J$14:$J$83),"Other"))))</f>
        <v/>
      </c>
      <c r="AL150">
        <f>IF($B150="","",IF(I150="","Not rostered",IFERROR(INDEX(Settings!$C$14:$C$33,MATCH(I150,Settings!$B$14:$B$33,0)),IFERROR(LOOKUP(2^15,SEARCH(Settings!$I$14:$I$83,I150)/(Settings!$I$14:$I$83&lt;&gt;""),Settings!$J$14:$J$83),"Other"))))</f>
        <v/>
      </c>
      <c r="AM150">
        <f>IF($B150="","",IF(J150="","Not rostered",IFERROR(INDEX(Settings!$C$14:$C$33,MATCH(J150,Settings!$B$14:$B$33,0)),IFERROR(LOOKUP(2^15,SEARCH(Settings!$I$14:$I$83,J150)/(Settings!$I$14:$I$83&lt;&gt;""),Settings!$J$14:$J$83),"Other"))))</f>
        <v/>
      </c>
      <c r="AN150">
        <f>IF($B150="","",IF(K150="","Not rostered",IFERROR(INDEX(Settings!$C$14:$C$33,MATCH(K150,Settings!$B$14:$B$33,0)),IFERROR(LOOKUP(2^15,SEARCH(Settings!$I$14:$I$83,K150)/(Settings!$I$14:$I$83&lt;&gt;""),Settings!$J$14:$J$83),"Other"))))</f>
        <v/>
      </c>
      <c r="AO150">
        <f>IF($B150="","",IF(L150="","Not rostered",IFERROR(INDEX(Settings!$C$14:$C$33,MATCH(L150,Settings!$B$14:$B$33,0)),IFERROR(LOOKUP(2^15,SEARCH(Settings!$I$14:$I$83,L150)/(Settings!$I$14:$I$83&lt;&gt;""),Settings!$J$14:$J$83),"Other"))))</f>
        <v/>
      </c>
      <c r="AP150">
        <f>IF($B150="","",IF(M150="","Not rostered",IFERROR(INDEX(Settings!$C$14:$C$33,MATCH(M150,Settings!$B$14:$B$33,0)),IFERROR(LOOKUP(2^15,SEARCH(Settings!$I$14:$I$83,M150)/(Settings!$I$14:$I$83&lt;&gt;""),Settings!$J$14:$J$83),"Other"))))</f>
        <v/>
      </c>
      <c r="AQ150">
        <f>IF($B150="","",IF(N150="","Not rostered",IFERROR(INDEX(Settings!$C$14:$C$33,MATCH(N150,Settings!$B$14:$B$33,0)),IFERROR(LOOKUP(2^15,SEARCH(Settings!$I$14:$I$83,N150)/(Settings!$I$14:$I$83&lt;&gt;""),Settings!$J$14:$J$83),"Other"))))</f>
        <v/>
      </c>
      <c r="AR150">
        <f>IF($B150="","",IF(O150="","Not rostered",IFERROR(INDEX(Settings!$C$14:$C$33,MATCH(O150,Settings!$B$14:$B$33,0)),IFERROR(LOOKUP(2^15,SEARCH(Settings!$I$14:$I$83,O150)/(Settings!$I$14:$I$83&lt;&gt;""),Settings!$J$14:$J$83),"Other"))))</f>
        <v/>
      </c>
      <c r="AS150">
        <f>IF($B150="","",IF(P150="","Not rostered",IFERROR(INDEX(Settings!$C$14:$C$33,MATCH(P150,Settings!$B$14:$B$33,0)),IFERROR(LOOKUP(2^15,SEARCH(Settings!$I$14:$I$83,P150)/(Settings!$I$14:$I$83&lt;&gt;""),Settings!$J$14:$J$83),"Other"))))</f>
        <v/>
      </c>
      <c r="AT150">
        <f>IF($B150="","",IF(Q150="","Not rostered",IFERROR(INDEX(Settings!$C$14:$C$33,MATCH(Q150,Settings!$B$14:$B$33,0)),IFERROR(LOOKUP(2^15,SEARCH(Settings!$I$14:$I$83,Q150)/(Settings!$I$14:$I$83&lt;&gt;""),Settings!$J$14:$J$83),"Other"))))</f>
        <v/>
      </c>
      <c r="AU150">
        <f>IF($B150="","",IF(R150="","Not rostered",IFERROR(INDEX(Settings!$C$14:$C$33,MATCH(R150,Settings!$B$14:$B$33,0)),IFERROR(LOOKUP(2^15,SEARCH(Settings!$I$14:$I$83,R150)/(Settings!$I$14:$I$83&lt;&gt;""),Settings!$J$14:$J$83),"Other"))))</f>
        <v/>
      </c>
      <c r="AV150">
        <f>IF($B150="","",IF(S150="","Not rostered",IFERROR(INDEX(Settings!$C$14:$C$33,MATCH(S150,Settings!$B$14:$B$33,0)),IFERROR(LOOKUP(2^15,SEARCH(Settings!$I$14:$I$83,S150)/(Settings!$I$14:$I$83&lt;&gt;""),Settings!$J$14:$J$83),"Other"))))</f>
        <v/>
      </c>
      <c r="AW150">
        <f>IF($B150="","",IF(T150="","Not rostered",IFERROR(INDEX(Settings!$C$14:$C$33,MATCH(T150,Settings!$B$14:$B$33,0)),IFERROR(LOOKUP(2^15,SEARCH(Settings!$I$14:$I$83,T150)/(Settings!$I$14:$I$83&lt;&gt;""),Settings!$J$14:$J$83),"Other"))))</f>
        <v/>
      </c>
      <c r="AX150">
        <f>IF($B150="","",IF(U150="","Not rostered",IFERROR(INDEX(Settings!$C$14:$C$33,MATCH(U150,Settings!$B$14:$B$33,0)),IFERROR(LOOKUP(2^15,SEARCH(Settings!$I$14:$I$83,U150)/(Settings!$I$14:$I$83&lt;&gt;""),Settings!$J$14:$J$83),"Other"))))</f>
        <v/>
      </c>
      <c r="AY150">
        <f>IF($B150="","",IF(V150="","Not rostered",IFERROR(INDEX(Settings!$C$14:$C$33,MATCH(V150,Settings!$B$14:$B$33,0)),IFERROR(LOOKUP(2^15,SEARCH(Settings!$I$14:$I$83,V150)/(Settings!$I$14:$I$83&lt;&gt;""),Settings!$J$14:$J$83),"Other"))))</f>
        <v/>
      </c>
      <c r="AZ150">
        <f>IF($B150="","",IF(W150="","Not rostered",IFERROR(INDEX(Settings!$C$14:$C$33,MATCH(W150,Settings!$B$14:$B$33,0)),IFERROR(LOOKUP(2^15,SEARCH(Settings!$I$14:$I$83,W150)/(Settings!$I$14:$I$83&lt;&gt;""),Settings!$J$14:$J$83),"Other"))))</f>
        <v/>
      </c>
      <c r="BA150">
        <f>IF($B150="","",IF(X150="","Not rostered",IFERROR(INDEX(Settings!$C$14:$C$33,MATCH(X150,Settings!$B$14:$B$33,0)),IFERROR(LOOKUP(2^15,SEARCH(Settings!$I$14:$I$83,X150)/(Settings!$I$14:$I$83&lt;&gt;""),Settings!$J$14:$J$83),"Other"))))</f>
        <v/>
      </c>
      <c r="BB150">
        <f>IF($B150="","",IF(Y150="","Not rostered",IFERROR(INDEX(Settings!$C$14:$C$33,MATCH(Y150,Settings!$B$14:$B$33,0)),IFERROR(LOOKUP(2^15,SEARCH(Settings!$I$14:$I$83,Y150)/(Settings!$I$14:$I$83&lt;&gt;""),Settings!$J$14:$J$83),"Other"))))</f>
        <v/>
      </c>
      <c r="BC150">
        <f>IF($B150="","",IF(Z150="","Not rostered",IFERROR(INDEX(Settings!$C$14:$C$33,MATCH(Z150,Settings!$B$14:$B$33,0)),IFERROR(LOOKUP(2^15,SEARCH(Settings!$I$14:$I$83,Z150)/(Settings!$I$14:$I$83&lt;&gt;""),Settings!$J$14:$J$83),"Other"))))</f>
        <v/>
      </c>
      <c r="BD150">
        <f>IF($B150="","",IF(AA150="","Not rostered",IFERROR(INDEX(Settings!$C$14:$C$33,MATCH(AA150,Settings!$B$14:$B$33,0)),IFERROR(LOOKUP(2^15,SEARCH(Settings!$I$14:$I$83,AA150)/(Settings!$I$14:$I$83&lt;&gt;""),Settings!$J$14:$J$83),"Other"))))</f>
        <v/>
      </c>
      <c r="BE150">
        <f>IF($B150="","",IF(AB150="","Not rostered",IFERROR(INDEX(Settings!$C$14:$C$33,MATCH(AB150,Settings!$B$14:$B$33,0)),IFERROR(LOOKUP(2^15,SEARCH(Settings!$I$14:$I$83,AB150)/(Settings!$I$14:$I$83&lt;&gt;""),Settings!$J$14:$J$83),"Other"))))</f>
        <v/>
      </c>
      <c r="BF150">
        <f>IF($B150="","",IF(AC150="","Not rostered",IFERROR(INDEX(Settings!$C$14:$C$33,MATCH(AC150,Settings!$B$14:$B$33,0)),IFERROR(LOOKUP(2^15,SEARCH(Settings!$I$14:$I$83,AC150)/(Settings!$I$14:$I$83&lt;&gt;""),Settings!$J$14:$J$83),"Other"))))</f>
        <v/>
      </c>
      <c r="BG150">
        <f>IF($B150="","",IF(AD150="","Not rostered",IFERROR(INDEX(Settings!$C$14:$C$33,MATCH(AD150,Settings!$B$14:$B$33,0)),IFERROR(LOOKUP(2^15,SEARCH(Settings!$I$14:$I$83,AD150)/(Settings!$I$14:$I$83&lt;&gt;""),Settings!$J$14:$J$83),"Other"))))</f>
        <v/>
      </c>
      <c r="BH150">
        <f>IF($B150="","",IF(AE150="","Not rostered",IFERROR(INDEX(Settings!$C$14:$C$33,MATCH(AE150,Settings!$B$14:$B$33,0)),IFERROR(LOOKUP(2^15,SEARCH(Settings!$I$14:$I$83,AE150)/(Settings!$I$14:$I$83&lt;&gt;""),Settings!$J$14:$J$83),"Other"))))</f>
        <v/>
      </c>
      <c r="BI150">
        <f>IF($B150="","",IF(AF150="","Not rostered",IFERROR(INDEX(Settings!$C$14:$C$33,MATCH(AF150,Settings!$B$14:$B$33,0)),IFERROR(LOOKUP(2^15,SEARCH(Settings!$I$14:$I$83,AF150)/(Settings!$I$14:$I$83&lt;&gt;""),Settings!$J$14:$J$83),"Other"))))</f>
        <v/>
      </c>
      <c r="BJ150">
        <f>IF($B150="","",IF(AG150="","Not rostered",IFERROR(INDEX(Settings!$C$14:$C$33,MATCH(AG150,Settings!$B$14:$B$33,0)),IFERROR(LOOKUP(2^15,SEARCH(Settings!$I$14:$I$83,AG150)/(Settings!$I$14:$I$83&lt;&gt;""),Settings!$J$14:$J$83),"Other"))))</f>
        <v/>
      </c>
      <c r="BL150">
        <f>IF(OR($B150="",F150=""),"",IFERROR(INDEX(Settings!$D$14:$D$33,MATCH(F150,Settings!$B$14:$B$33,0))&amp;"",IFERROR(LOOKUP(2^15,SEARCH(Settings!$F$14:$F$43,F150)/(Settings!$F$14:$F$43&lt;&gt;""),Settings!$G$14:$G$43),"")))</f>
        <v/>
      </c>
      <c r="BM150">
        <f>IF(OR($B150="",G150=""),"",IFERROR(INDEX(Settings!$D$14:$D$33,MATCH(G150,Settings!$B$14:$B$33,0))&amp;"",IFERROR(LOOKUP(2^15,SEARCH(Settings!$F$14:$F$43,G150)/(Settings!$F$14:$F$43&lt;&gt;""),Settings!$G$14:$G$43),"")))</f>
        <v/>
      </c>
      <c r="BN150">
        <f>IF(OR($B150="",H150=""),"",IFERROR(INDEX(Settings!$D$14:$D$33,MATCH(H150,Settings!$B$14:$B$33,0))&amp;"",IFERROR(LOOKUP(2^15,SEARCH(Settings!$F$14:$F$43,H150)/(Settings!$F$14:$F$43&lt;&gt;""),Settings!$G$14:$G$43),"")))</f>
        <v/>
      </c>
      <c r="BO150">
        <f>IF(OR($B150="",I150=""),"",IFERROR(INDEX(Settings!$D$14:$D$33,MATCH(I150,Settings!$B$14:$B$33,0))&amp;"",IFERROR(LOOKUP(2^15,SEARCH(Settings!$F$14:$F$43,I150)/(Settings!$F$14:$F$43&lt;&gt;""),Settings!$G$14:$G$43),"")))</f>
        <v/>
      </c>
      <c r="BP150">
        <f>IF(OR($B150="",J150=""),"",IFERROR(INDEX(Settings!$D$14:$D$33,MATCH(J150,Settings!$B$14:$B$33,0))&amp;"",IFERROR(LOOKUP(2^15,SEARCH(Settings!$F$14:$F$43,J150)/(Settings!$F$14:$F$43&lt;&gt;""),Settings!$G$14:$G$43),"")))</f>
        <v/>
      </c>
      <c r="BQ150">
        <f>IF(OR($B150="",K150=""),"",IFERROR(INDEX(Settings!$D$14:$D$33,MATCH(K150,Settings!$B$14:$B$33,0))&amp;"",IFERROR(LOOKUP(2^15,SEARCH(Settings!$F$14:$F$43,K150)/(Settings!$F$14:$F$43&lt;&gt;""),Settings!$G$14:$G$43),"")))</f>
        <v/>
      </c>
      <c r="BR150">
        <f>IF(OR($B150="",L150=""),"",IFERROR(INDEX(Settings!$D$14:$D$33,MATCH(L150,Settings!$B$14:$B$33,0))&amp;"",IFERROR(LOOKUP(2^15,SEARCH(Settings!$F$14:$F$43,L150)/(Settings!$F$14:$F$43&lt;&gt;""),Settings!$G$14:$G$43),"")))</f>
        <v/>
      </c>
      <c r="BS150">
        <f>IF(OR($B150="",M150=""),"",IFERROR(INDEX(Settings!$D$14:$D$33,MATCH(M150,Settings!$B$14:$B$33,0))&amp;"",IFERROR(LOOKUP(2^15,SEARCH(Settings!$F$14:$F$43,M150)/(Settings!$F$14:$F$43&lt;&gt;""),Settings!$G$14:$G$43),"")))</f>
        <v/>
      </c>
      <c r="BT150">
        <f>IF(OR($B150="",N150=""),"",IFERROR(INDEX(Settings!$D$14:$D$33,MATCH(N150,Settings!$B$14:$B$33,0))&amp;"",IFERROR(LOOKUP(2^15,SEARCH(Settings!$F$14:$F$43,N150)/(Settings!$F$14:$F$43&lt;&gt;""),Settings!$G$14:$G$43),"")))</f>
        <v/>
      </c>
      <c r="BU150">
        <f>IF(OR($B150="",O150=""),"",IFERROR(INDEX(Settings!$D$14:$D$33,MATCH(O150,Settings!$B$14:$B$33,0))&amp;"",IFERROR(LOOKUP(2^15,SEARCH(Settings!$F$14:$F$43,O150)/(Settings!$F$14:$F$43&lt;&gt;""),Settings!$G$14:$G$43),"")))</f>
        <v/>
      </c>
      <c r="BV150">
        <f>IF(OR($B150="",P150=""),"",IFERROR(INDEX(Settings!$D$14:$D$33,MATCH(P150,Settings!$B$14:$B$33,0))&amp;"",IFERROR(LOOKUP(2^15,SEARCH(Settings!$F$14:$F$43,P150)/(Settings!$F$14:$F$43&lt;&gt;""),Settings!$G$14:$G$43),"")))</f>
        <v/>
      </c>
      <c r="BW150">
        <f>IF(OR($B150="",Q150=""),"",IFERROR(INDEX(Settings!$D$14:$D$33,MATCH(Q150,Settings!$B$14:$B$33,0))&amp;"",IFERROR(LOOKUP(2^15,SEARCH(Settings!$F$14:$F$43,Q150)/(Settings!$F$14:$F$43&lt;&gt;""),Settings!$G$14:$G$43),"")))</f>
        <v/>
      </c>
      <c r="BX150">
        <f>IF(OR($B150="",R150=""),"",IFERROR(INDEX(Settings!$D$14:$D$33,MATCH(R150,Settings!$B$14:$B$33,0))&amp;"",IFERROR(LOOKUP(2^15,SEARCH(Settings!$F$14:$F$43,R150)/(Settings!$F$14:$F$43&lt;&gt;""),Settings!$G$14:$G$43),"")))</f>
        <v/>
      </c>
      <c r="BY150">
        <f>IF(OR($B150="",S150=""),"",IFERROR(INDEX(Settings!$D$14:$D$33,MATCH(S150,Settings!$B$14:$B$33,0))&amp;"",IFERROR(LOOKUP(2^15,SEARCH(Settings!$F$14:$F$43,S150)/(Settings!$F$14:$F$43&lt;&gt;""),Settings!$G$14:$G$43),"")))</f>
        <v/>
      </c>
      <c r="BZ150">
        <f>IF(OR($B150="",T150=""),"",IFERROR(INDEX(Settings!$D$14:$D$33,MATCH(T150,Settings!$B$14:$B$33,0))&amp;"",IFERROR(LOOKUP(2^15,SEARCH(Settings!$F$14:$F$43,T150)/(Settings!$F$14:$F$43&lt;&gt;""),Settings!$G$14:$G$43),"")))</f>
        <v/>
      </c>
      <c r="CA150">
        <f>IF(OR($B150="",U150=""),"",IFERROR(INDEX(Settings!$D$14:$D$33,MATCH(U150,Settings!$B$14:$B$33,0))&amp;"",IFERROR(LOOKUP(2^15,SEARCH(Settings!$F$14:$F$43,U150)/(Settings!$F$14:$F$43&lt;&gt;""),Settings!$G$14:$G$43),"")))</f>
        <v/>
      </c>
      <c r="CB150">
        <f>IF(OR($B150="",V150=""),"",IFERROR(INDEX(Settings!$D$14:$D$33,MATCH(V150,Settings!$B$14:$B$33,0))&amp;"",IFERROR(LOOKUP(2^15,SEARCH(Settings!$F$14:$F$43,V150)/(Settings!$F$14:$F$43&lt;&gt;""),Settings!$G$14:$G$43),"")))</f>
        <v/>
      </c>
      <c r="CC150">
        <f>IF(OR($B150="",W150=""),"",IFERROR(INDEX(Settings!$D$14:$D$33,MATCH(W150,Settings!$B$14:$B$33,0))&amp;"",IFERROR(LOOKUP(2^15,SEARCH(Settings!$F$14:$F$43,W150)/(Settings!$F$14:$F$43&lt;&gt;""),Settings!$G$14:$G$43),"")))</f>
        <v/>
      </c>
      <c r="CD150">
        <f>IF(OR($B150="",X150=""),"",IFERROR(INDEX(Settings!$D$14:$D$33,MATCH(X150,Settings!$B$14:$B$33,0))&amp;"",IFERROR(LOOKUP(2^15,SEARCH(Settings!$F$14:$F$43,X150)/(Settings!$F$14:$F$43&lt;&gt;""),Settings!$G$14:$G$43),"")))</f>
        <v/>
      </c>
      <c r="CE150">
        <f>IF(OR($B150="",Y150=""),"",IFERROR(INDEX(Settings!$D$14:$D$33,MATCH(Y150,Settings!$B$14:$B$33,0))&amp;"",IFERROR(LOOKUP(2^15,SEARCH(Settings!$F$14:$F$43,Y150)/(Settings!$F$14:$F$43&lt;&gt;""),Settings!$G$14:$G$43),"")))</f>
        <v/>
      </c>
      <c r="CF150">
        <f>IF(OR($B150="",Z150=""),"",IFERROR(INDEX(Settings!$D$14:$D$33,MATCH(Z150,Settings!$B$14:$B$33,0))&amp;"",IFERROR(LOOKUP(2^15,SEARCH(Settings!$F$14:$F$43,Z150)/(Settings!$F$14:$F$43&lt;&gt;""),Settings!$G$14:$G$43),"")))</f>
        <v/>
      </c>
      <c r="CG150">
        <f>IF(OR($B150="",AA150=""),"",IFERROR(INDEX(Settings!$D$14:$D$33,MATCH(AA150,Settings!$B$14:$B$33,0))&amp;"",IFERROR(LOOKUP(2^15,SEARCH(Settings!$F$14:$F$43,AA150)/(Settings!$F$14:$F$43&lt;&gt;""),Settings!$G$14:$G$43),"")))</f>
        <v/>
      </c>
      <c r="CH150">
        <f>IF(OR($B150="",AB150=""),"",IFERROR(INDEX(Settings!$D$14:$D$33,MATCH(AB150,Settings!$B$14:$B$33,0))&amp;"",IFERROR(LOOKUP(2^15,SEARCH(Settings!$F$14:$F$43,AB150)/(Settings!$F$14:$F$43&lt;&gt;""),Settings!$G$14:$G$43),"")))</f>
        <v/>
      </c>
      <c r="CI150">
        <f>IF(OR($B150="",AC150=""),"",IFERROR(INDEX(Settings!$D$14:$D$33,MATCH(AC150,Settings!$B$14:$B$33,0))&amp;"",IFERROR(LOOKUP(2^15,SEARCH(Settings!$F$14:$F$43,AC150)/(Settings!$F$14:$F$43&lt;&gt;""),Settings!$G$14:$G$43),"")))</f>
        <v/>
      </c>
      <c r="CJ150">
        <f>IF(OR($B150="",AD150=""),"",IFERROR(INDEX(Settings!$D$14:$D$33,MATCH(AD150,Settings!$B$14:$B$33,0))&amp;"",IFERROR(LOOKUP(2^15,SEARCH(Settings!$F$14:$F$43,AD150)/(Settings!$F$14:$F$43&lt;&gt;""),Settings!$G$14:$G$43),"")))</f>
        <v/>
      </c>
      <c r="CK150">
        <f>IF(OR($B150="",AE150=""),"",IFERROR(INDEX(Settings!$D$14:$D$33,MATCH(AE150,Settings!$B$14:$B$33,0))&amp;"",IFERROR(LOOKUP(2^15,SEARCH(Settings!$F$14:$F$43,AE150)/(Settings!$F$14:$F$43&lt;&gt;""),Settings!$G$14:$G$43),"")))</f>
        <v/>
      </c>
      <c r="CL150">
        <f>IF(OR($B150="",AF150=""),"",IFERROR(INDEX(Settings!$D$14:$D$33,MATCH(AF150,Settings!$B$14:$B$33,0))&amp;"",IFERROR(LOOKUP(2^15,SEARCH(Settings!$F$14:$F$43,AF150)/(Settings!$F$14:$F$43&lt;&gt;""),Settings!$G$14:$G$43),"")))</f>
        <v/>
      </c>
      <c r="CM150">
        <f>IF(OR($B150="",AG150=""),"",IFERROR(INDEX(Settings!$D$14:$D$33,MATCH(AG150,Settings!$B$14:$B$33,0))&amp;"",IFERROR(LOOKUP(2^15,SEARCH(Settings!$F$14:$F$43,AG150)/(Settings!$F$14:$F$43&lt;&gt;""),Settings!$G$14:$G$43),"")))</f>
        <v/>
      </c>
    </row>
    <row r="151">
      <c r="A151" t="n">
        <v>149</v>
      </c>
      <c r="B151">
        <f>IFERROR(INDEX(Index!$A$2:$A$202,MATCH(A151,Index!$E$2:$E$202,0)),"")</f>
        <v/>
      </c>
      <c r="D151">
        <f>IF($B151="","",IFERROR(MATCH("Travel*",AI151:BJ151,0),""))</f>
        <v/>
      </c>
      <c r="F151">
        <f>IF(OR($B151="",NOT(ISNUMBER(Settings!$C$9))),"",TRIM(SUBSTITUTE(SUBSTITUTE(INDEX('INPUT - Roster'!$S$1:$SV$206,$B151,Settings!$C$9+0)&amp;"",CHAR(10)," "),CHAR(160)," ")))</f>
        <v/>
      </c>
      <c r="G151">
        <f>IF(OR($B151="",NOT(ISNUMBER(Settings!$C$9))),"",TRIM(SUBSTITUTE(SUBSTITUTE(INDEX('INPUT - Roster'!$S$1:$SV$206,$B151,Settings!$C$9+1)&amp;"",CHAR(10)," "),CHAR(160)," ")))</f>
        <v/>
      </c>
      <c r="H151">
        <f>IF(OR($B151="",NOT(ISNUMBER(Settings!$C$9))),"",TRIM(SUBSTITUTE(SUBSTITUTE(INDEX('INPUT - Roster'!$S$1:$SV$206,$B151,Settings!$C$9+2)&amp;"",CHAR(10)," "),CHAR(160)," ")))</f>
        <v/>
      </c>
      <c r="I151">
        <f>IF(OR($B151="",NOT(ISNUMBER(Settings!$C$9))),"",TRIM(SUBSTITUTE(SUBSTITUTE(INDEX('INPUT - Roster'!$S$1:$SV$206,$B151,Settings!$C$9+3)&amp;"",CHAR(10)," "),CHAR(160)," ")))</f>
        <v/>
      </c>
      <c r="J151">
        <f>IF(OR($B151="",NOT(ISNUMBER(Settings!$C$9))),"",TRIM(SUBSTITUTE(SUBSTITUTE(INDEX('INPUT - Roster'!$S$1:$SV$206,$B151,Settings!$C$9+4)&amp;"",CHAR(10)," "),CHAR(160)," ")))</f>
        <v/>
      </c>
      <c r="K151">
        <f>IF(OR($B151="",NOT(ISNUMBER(Settings!$C$9))),"",TRIM(SUBSTITUTE(SUBSTITUTE(INDEX('INPUT - Roster'!$S$1:$SV$206,$B151,Settings!$C$9+5)&amp;"",CHAR(10)," "),CHAR(160)," ")))</f>
        <v/>
      </c>
      <c r="L151">
        <f>IF(OR($B151="",NOT(ISNUMBER(Settings!$C$9))),"",TRIM(SUBSTITUTE(SUBSTITUTE(INDEX('INPUT - Roster'!$S$1:$SV$206,$B151,Settings!$C$9+6)&amp;"",CHAR(10)," "),CHAR(160)," ")))</f>
        <v/>
      </c>
      <c r="M151">
        <f>IF(OR($B151="",NOT(ISNUMBER(Settings!$C$9))),"",TRIM(SUBSTITUTE(SUBSTITUTE(INDEX('INPUT - Roster'!$S$1:$SV$206,$B151,Settings!$C$9+7)&amp;"",CHAR(10)," "),CHAR(160)," ")))</f>
        <v/>
      </c>
      <c r="N151">
        <f>IF(OR($B151="",NOT(ISNUMBER(Settings!$C$9))),"",TRIM(SUBSTITUTE(SUBSTITUTE(INDEX('INPUT - Roster'!$S$1:$SV$206,$B151,Settings!$C$9+8)&amp;"",CHAR(10)," "),CHAR(160)," ")))</f>
        <v/>
      </c>
      <c r="O151">
        <f>IF(OR($B151="",NOT(ISNUMBER(Settings!$C$9))),"",TRIM(SUBSTITUTE(SUBSTITUTE(INDEX('INPUT - Roster'!$S$1:$SV$206,$B151,Settings!$C$9+9)&amp;"",CHAR(10)," "),CHAR(160)," ")))</f>
        <v/>
      </c>
      <c r="P151">
        <f>IF(OR($B151="",NOT(ISNUMBER(Settings!$C$9))),"",TRIM(SUBSTITUTE(SUBSTITUTE(INDEX('INPUT - Roster'!$S$1:$SV$206,$B151,Settings!$C$9+10)&amp;"",CHAR(10)," "),CHAR(160)," ")))</f>
        <v/>
      </c>
      <c r="Q151">
        <f>IF(OR($B151="",NOT(ISNUMBER(Settings!$C$9))),"",TRIM(SUBSTITUTE(SUBSTITUTE(INDEX('INPUT - Roster'!$S$1:$SV$206,$B151,Settings!$C$9+11)&amp;"",CHAR(10)," "),CHAR(160)," ")))</f>
        <v/>
      </c>
      <c r="R151">
        <f>IF(OR($B151="",NOT(ISNUMBER(Settings!$C$9))),"",TRIM(SUBSTITUTE(SUBSTITUTE(INDEX('INPUT - Roster'!$S$1:$SV$206,$B151,Settings!$C$9+12)&amp;"",CHAR(10)," "),CHAR(160)," ")))</f>
        <v/>
      </c>
      <c r="S151">
        <f>IF(OR($B151="",NOT(ISNUMBER(Settings!$C$9))),"",TRIM(SUBSTITUTE(SUBSTITUTE(INDEX('INPUT - Roster'!$S$1:$SV$206,$B151,Settings!$C$9+13)&amp;"",CHAR(10)," "),CHAR(160)," ")))</f>
        <v/>
      </c>
      <c r="T151">
        <f>IF(OR($B151="",NOT(ISNUMBER(Settings!$C$9))),"",TRIM(SUBSTITUTE(SUBSTITUTE(INDEX('INPUT - Roster'!$S$1:$SV$206,$B151,Settings!$C$9+14)&amp;"",CHAR(10)," "),CHAR(160)," ")))</f>
        <v/>
      </c>
      <c r="U151">
        <f>IF(OR($B151="",NOT(ISNUMBER(Settings!$C$9))),"",TRIM(SUBSTITUTE(SUBSTITUTE(INDEX('INPUT - Roster'!$S$1:$SV$206,$B151,Settings!$C$9+15)&amp;"",CHAR(10)," "),CHAR(160)," ")))</f>
        <v/>
      </c>
      <c r="V151">
        <f>IF(OR($B151="",NOT(ISNUMBER(Settings!$C$9))),"",TRIM(SUBSTITUTE(SUBSTITUTE(INDEX('INPUT - Roster'!$S$1:$SV$206,$B151,Settings!$C$9+16)&amp;"",CHAR(10)," "),CHAR(160)," ")))</f>
        <v/>
      </c>
      <c r="W151">
        <f>IF(OR($B151="",NOT(ISNUMBER(Settings!$C$9))),"",TRIM(SUBSTITUTE(SUBSTITUTE(INDEX('INPUT - Roster'!$S$1:$SV$206,$B151,Settings!$C$9+17)&amp;"",CHAR(10)," "),CHAR(160)," ")))</f>
        <v/>
      </c>
      <c r="X151">
        <f>IF(OR($B151="",NOT(ISNUMBER(Settings!$C$9))),"",TRIM(SUBSTITUTE(SUBSTITUTE(INDEX('INPUT - Roster'!$S$1:$SV$206,$B151,Settings!$C$9+18)&amp;"",CHAR(10)," "),CHAR(160)," ")))</f>
        <v/>
      </c>
      <c r="Y151">
        <f>IF(OR($B151="",NOT(ISNUMBER(Settings!$C$9))),"",TRIM(SUBSTITUTE(SUBSTITUTE(INDEX('INPUT - Roster'!$S$1:$SV$206,$B151,Settings!$C$9+19)&amp;"",CHAR(10)," "),CHAR(160)," ")))</f>
        <v/>
      </c>
      <c r="Z151">
        <f>IF(OR($B151="",NOT(ISNUMBER(Settings!$C$9))),"",TRIM(SUBSTITUTE(SUBSTITUTE(INDEX('INPUT - Roster'!$S$1:$SV$206,$B151,Settings!$C$9+20)&amp;"",CHAR(10)," "),CHAR(160)," ")))</f>
        <v/>
      </c>
      <c r="AA151">
        <f>IF(OR($B151="",NOT(ISNUMBER(Settings!$C$9))),"",TRIM(SUBSTITUTE(SUBSTITUTE(INDEX('INPUT - Roster'!$S$1:$SV$206,$B151,Settings!$C$9+21)&amp;"",CHAR(10)," "),CHAR(160)," ")))</f>
        <v/>
      </c>
      <c r="AB151">
        <f>IF(OR($B151="",NOT(ISNUMBER(Settings!$C$9))),"",TRIM(SUBSTITUTE(SUBSTITUTE(INDEX('INPUT - Roster'!$S$1:$SV$206,$B151,Settings!$C$9+22)&amp;"",CHAR(10)," "),CHAR(160)," ")))</f>
        <v/>
      </c>
      <c r="AC151">
        <f>IF(OR($B151="",NOT(ISNUMBER(Settings!$C$9))),"",TRIM(SUBSTITUTE(SUBSTITUTE(INDEX('INPUT - Roster'!$S$1:$SV$206,$B151,Settings!$C$9+23)&amp;"",CHAR(10)," "),CHAR(160)," ")))</f>
        <v/>
      </c>
      <c r="AD151">
        <f>IF(OR($B151="",NOT(ISNUMBER(Settings!$C$9))),"",TRIM(SUBSTITUTE(SUBSTITUTE(INDEX('INPUT - Roster'!$S$1:$SV$206,$B151,Settings!$C$9+24)&amp;"",CHAR(10)," "),CHAR(160)," ")))</f>
        <v/>
      </c>
      <c r="AE151">
        <f>IF(OR($B151="",NOT(ISNUMBER(Settings!$C$9))),"",TRIM(SUBSTITUTE(SUBSTITUTE(INDEX('INPUT - Roster'!$S$1:$SV$206,$B151,Settings!$C$9+25)&amp;"",CHAR(10)," "),CHAR(160)," ")))</f>
        <v/>
      </c>
      <c r="AF151">
        <f>IF(OR($B151="",NOT(ISNUMBER(Settings!$C$9))),"",TRIM(SUBSTITUTE(SUBSTITUTE(INDEX('INPUT - Roster'!$S$1:$SV$206,$B151,Settings!$C$9+26)&amp;"",CHAR(10)," "),CHAR(160)," ")))</f>
        <v/>
      </c>
      <c r="AG151">
        <f>IF(OR($B151="",NOT(ISNUMBER(Settings!$C$9))),"",TRIM(SUBSTITUTE(SUBSTITUTE(INDEX('INPUT - Roster'!$S$1:$SV$206,$B151,Settings!$C$9+27)&amp;"",CHAR(10)," "),CHAR(160)," ")))</f>
        <v/>
      </c>
      <c r="AI151">
        <f>IF($B151="","",IF(F151="","Not rostered",IFERROR(INDEX(Settings!$C$14:$C$33,MATCH(F151,Settings!$B$14:$B$33,0)),IFERROR(LOOKUP(2^15,SEARCH(Settings!$I$14:$I$83,F151)/(Settings!$I$14:$I$83&lt;&gt;""),Settings!$J$14:$J$83),"Other"))))</f>
        <v/>
      </c>
      <c r="AJ151">
        <f>IF($B151="","",IF(G151="","Not rostered",IFERROR(INDEX(Settings!$C$14:$C$33,MATCH(G151,Settings!$B$14:$B$33,0)),IFERROR(LOOKUP(2^15,SEARCH(Settings!$I$14:$I$83,G151)/(Settings!$I$14:$I$83&lt;&gt;""),Settings!$J$14:$J$83),"Other"))))</f>
        <v/>
      </c>
      <c r="AK151">
        <f>IF($B151="","",IF(H151="","Not rostered",IFERROR(INDEX(Settings!$C$14:$C$33,MATCH(H151,Settings!$B$14:$B$33,0)),IFERROR(LOOKUP(2^15,SEARCH(Settings!$I$14:$I$83,H151)/(Settings!$I$14:$I$83&lt;&gt;""),Settings!$J$14:$J$83),"Other"))))</f>
        <v/>
      </c>
      <c r="AL151">
        <f>IF($B151="","",IF(I151="","Not rostered",IFERROR(INDEX(Settings!$C$14:$C$33,MATCH(I151,Settings!$B$14:$B$33,0)),IFERROR(LOOKUP(2^15,SEARCH(Settings!$I$14:$I$83,I151)/(Settings!$I$14:$I$83&lt;&gt;""),Settings!$J$14:$J$83),"Other"))))</f>
        <v/>
      </c>
      <c r="AM151">
        <f>IF($B151="","",IF(J151="","Not rostered",IFERROR(INDEX(Settings!$C$14:$C$33,MATCH(J151,Settings!$B$14:$B$33,0)),IFERROR(LOOKUP(2^15,SEARCH(Settings!$I$14:$I$83,J151)/(Settings!$I$14:$I$83&lt;&gt;""),Settings!$J$14:$J$83),"Other"))))</f>
        <v/>
      </c>
      <c r="AN151">
        <f>IF($B151="","",IF(K151="","Not rostered",IFERROR(INDEX(Settings!$C$14:$C$33,MATCH(K151,Settings!$B$14:$B$33,0)),IFERROR(LOOKUP(2^15,SEARCH(Settings!$I$14:$I$83,K151)/(Settings!$I$14:$I$83&lt;&gt;""),Settings!$J$14:$J$83),"Other"))))</f>
        <v/>
      </c>
      <c r="AO151">
        <f>IF($B151="","",IF(L151="","Not rostered",IFERROR(INDEX(Settings!$C$14:$C$33,MATCH(L151,Settings!$B$14:$B$33,0)),IFERROR(LOOKUP(2^15,SEARCH(Settings!$I$14:$I$83,L151)/(Settings!$I$14:$I$83&lt;&gt;""),Settings!$J$14:$J$83),"Other"))))</f>
        <v/>
      </c>
      <c r="AP151">
        <f>IF($B151="","",IF(M151="","Not rostered",IFERROR(INDEX(Settings!$C$14:$C$33,MATCH(M151,Settings!$B$14:$B$33,0)),IFERROR(LOOKUP(2^15,SEARCH(Settings!$I$14:$I$83,M151)/(Settings!$I$14:$I$83&lt;&gt;""),Settings!$J$14:$J$83),"Other"))))</f>
        <v/>
      </c>
      <c r="AQ151">
        <f>IF($B151="","",IF(N151="","Not rostered",IFERROR(INDEX(Settings!$C$14:$C$33,MATCH(N151,Settings!$B$14:$B$33,0)),IFERROR(LOOKUP(2^15,SEARCH(Settings!$I$14:$I$83,N151)/(Settings!$I$14:$I$83&lt;&gt;""),Settings!$J$14:$J$83),"Other"))))</f>
        <v/>
      </c>
      <c r="AR151">
        <f>IF($B151="","",IF(O151="","Not rostered",IFERROR(INDEX(Settings!$C$14:$C$33,MATCH(O151,Settings!$B$14:$B$33,0)),IFERROR(LOOKUP(2^15,SEARCH(Settings!$I$14:$I$83,O151)/(Settings!$I$14:$I$83&lt;&gt;""),Settings!$J$14:$J$83),"Other"))))</f>
        <v/>
      </c>
      <c r="AS151">
        <f>IF($B151="","",IF(P151="","Not rostered",IFERROR(INDEX(Settings!$C$14:$C$33,MATCH(P151,Settings!$B$14:$B$33,0)),IFERROR(LOOKUP(2^15,SEARCH(Settings!$I$14:$I$83,P151)/(Settings!$I$14:$I$83&lt;&gt;""),Settings!$J$14:$J$83),"Other"))))</f>
        <v/>
      </c>
      <c r="AT151">
        <f>IF($B151="","",IF(Q151="","Not rostered",IFERROR(INDEX(Settings!$C$14:$C$33,MATCH(Q151,Settings!$B$14:$B$33,0)),IFERROR(LOOKUP(2^15,SEARCH(Settings!$I$14:$I$83,Q151)/(Settings!$I$14:$I$83&lt;&gt;""),Settings!$J$14:$J$83),"Other"))))</f>
        <v/>
      </c>
      <c r="AU151">
        <f>IF($B151="","",IF(R151="","Not rostered",IFERROR(INDEX(Settings!$C$14:$C$33,MATCH(R151,Settings!$B$14:$B$33,0)),IFERROR(LOOKUP(2^15,SEARCH(Settings!$I$14:$I$83,R151)/(Settings!$I$14:$I$83&lt;&gt;""),Settings!$J$14:$J$83),"Other"))))</f>
        <v/>
      </c>
      <c r="AV151">
        <f>IF($B151="","",IF(S151="","Not rostered",IFERROR(INDEX(Settings!$C$14:$C$33,MATCH(S151,Settings!$B$14:$B$33,0)),IFERROR(LOOKUP(2^15,SEARCH(Settings!$I$14:$I$83,S151)/(Settings!$I$14:$I$83&lt;&gt;""),Settings!$J$14:$J$83),"Other"))))</f>
        <v/>
      </c>
      <c r="AW151">
        <f>IF($B151="","",IF(T151="","Not rostered",IFERROR(INDEX(Settings!$C$14:$C$33,MATCH(T151,Settings!$B$14:$B$33,0)),IFERROR(LOOKUP(2^15,SEARCH(Settings!$I$14:$I$83,T151)/(Settings!$I$14:$I$83&lt;&gt;""),Settings!$J$14:$J$83),"Other"))))</f>
        <v/>
      </c>
      <c r="AX151">
        <f>IF($B151="","",IF(U151="","Not rostered",IFERROR(INDEX(Settings!$C$14:$C$33,MATCH(U151,Settings!$B$14:$B$33,0)),IFERROR(LOOKUP(2^15,SEARCH(Settings!$I$14:$I$83,U151)/(Settings!$I$14:$I$83&lt;&gt;""),Settings!$J$14:$J$83),"Other"))))</f>
        <v/>
      </c>
      <c r="AY151">
        <f>IF($B151="","",IF(V151="","Not rostered",IFERROR(INDEX(Settings!$C$14:$C$33,MATCH(V151,Settings!$B$14:$B$33,0)),IFERROR(LOOKUP(2^15,SEARCH(Settings!$I$14:$I$83,V151)/(Settings!$I$14:$I$83&lt;&gt;""),Settings!$J$14:$J$83),"Other"))))</f>
        <v/>
      </c>
      <c r="AZ151">
        <f>IF($B151="","",IF(W151="","Not rostered",IFERROR(INDEX(Settings!$C$14:$C$33,MATCH(W151,Settings!$B$14:$B$33,0)),IFERROR(LOOKUP(2^15,SEARCH(Settings!$I$14:$I$83,W151)/(Settings!$I$14:$I$83&lt;&gt;""),Settings!$J$14:$J$83),"Other"))))</f>
        <v/>
      </c>
      <c r="BA151">
        <f>IF($B151="","",IF(X151="","Not rostered",IFERROR(INDEX(Settings!$C$14:$C$33,MATCH(X151,Settings!$B$14:$B$33,0)),IFERROR(LOOKUP(2^15,SEARCH(Settings!$I$14:$I$83,X151)/(Settings!$I$14:$I$83&lt;&gt;""),Settings!$J$14:$J$83),"Other"))))</f>
        <v/>
      </c>
      <c r="BB151">
        <f>IF($B151="","",IF(Y151="","Not rostered",IFERROR(INDEX(Settings!$C$14:$C$33,MATCH(Y151,Settings!$B$14:$B$33,0)),IFERROR(LOOKUP(2^15,SEARCH(Settings!$I$14:$I$83,Y151)/(Settings!$I$14:$I$83&lt;&gt;""),Settings!$J$14:$J$83),"Other"))))</f>
        <v/>
      </c>
      <c r="BC151">
        <f>IF($B151="","",IF(Z151="","Not rostered",IFERROR(INDEX(Settings!$C$14:$C$33,MATCH(Z151,Settings!$B$14:$B$33,0)),IFERROR(LOOKUP(2^15,SEARCH(Settings!$I$14:$I$83,Z151)/(Settings!$I$14:$I$83&lt;&gt;""),Settings!$J$14:$J$83),"Other"))))</f>
        <v/>
      </c>
      <c r="BD151">
        <f>IF($B151="","",IF(AA151="","Not rostered",IFERROR(INDEX(Settings!$C$14:$C$33,MATCH(AA151,Settings!$B$14:$B$33,0)),IFERROR(LOOKUP(2^15,SEARCH(Settings!$I$14:$I$83,AA151)/(Settings!$I$14:$I$83&lt;&gt;""),Settings!$J$14:$J$83),"Other"))))</f>
        <v/>
      </c>
      <c r="BE151">
        <f>IF($B151="","",IF(AB151="","Not rostered",IFERROR(INDEX(Settings!$C$14:$C$33,MATCH(AB151,Settings!$B$14:$B$33,0)),IFERROR(LOOKUP(2^15,SEARCH(Settings!$I$14:$I$83,AB151)/(Settings!$I$14:$I$83&lt;&gt;""),Settings!$J$14:$J$83),"Other"))))</f>
        <v/>
      </c>
      <c r="BF151">
        <f>IF($B151="","",IF(AC151="","Not rostered",IFERROR(INDEX(Settings!$C$14:$C$33,MATCH(AC151,Settings!$B$14:$B$33,0)),IFERROR(LOOKUP(2^15,SEARCH(Settings!$I$14:$I$83,AC151)/(Settings!$I$14:$I$83&lt;&gt;""),Settings!$J$14:$J$83),"Other"))))</f>
        <v/>
      </c>
      <c r="BG151">
        <f>IF($B151="","",IF(AD151="","Not rostered",IFERROR(INDEX(Settings!$C$14:$C$33,MATCH(AD151,Settings!$B$14:$B$33,0)),IFERROR(LOOKUP(2^15,SEARCH(Settings!$I$14:$I$83,AD151)/(Settings!$I$14:$I$83&lt;&gt;""),Settings!$J$14:$J$83),"Other"))))</f>
        <v/>
      </c>
      <c r="BH151">
        <f>IF($B151="","",IF(AE151="","Not rostered",IFERROR(INDEX(Settings!$C$14:$C$33,MATCH(AE151,Settings!$B$14:$B$33,0)),IFERROR(LOOKUP(2^15,SEARCH(Settings!$I$14:$I$83,AE151)/(Settings!$I$14:$I$83&lt;&gt;""),Settings!$J$14:$J$83),"Other"))))</f>
        <v/>
      </c>
      <c r="BI151">
        <f>IF($B151="","",IF(AF151="","Not rostered",IFERROR(INDEX(Settings!$C$14:$C$33,MATCH(AF151,Settings!$B$14:$B$33,0)),IFERROR(LOOKUP(2^15,SEARCH(Settings!$I$14:$I$83,AF151)/(Settings!$I$14:$I$83&lt;&gt;""),Settings!$J$14:$J$83),"Other"))))</f>
        <v/>
      </c>
      <c r="BJ151">
        <f>IF($B151="","",IF(AG151="","Not rostered",IFERROR(INDEX(Settings!$C$14:$C$33,MATCH(AG151,Settings!$B$14:$B$33,0)),IFERROR(LOOKUP(2^15,SEARCH(Settings!$I$14:$I$83,AG151)/(Settings!$I$14:$I$83&lt;&gt;""),Settings!$J$14:$J$83),"Other"))))</f>
        <v/>
      </c>
      <c r="BL151">
        <f>IF(OR($B151="",F151=""),"",IFERROR(INDEX(Settings!$D$14:$D$33,MATCH(F151,Settings!$B$14:$B$33,0))&amp;"",IFERROR(LOOKUP(2^15,SEARCH(Settings!$F$14:$F$43,F151)/(Settings!$F$14:$F$43&lt;&gt;""),Settings!$G$14:$G$43),"")))</f>
        <v/>
      </c>
      <c r="BM151">
        <f>IF(OR($B151="",G151=""),"",IFERROR(INDEX(Settings!$D$14:$D$33,MATCH(G151,Settings!$B$14:$B$33,0))&amp;"",IFERROR(LOOKUP(2^15,SEARCH(Settings!$F$14:$F$43,G151)/(Settings!$F$14:$F$43&lt;&gt;""),Settings!$G$14:$G$43),"")))</f>
        <v/>
      </c>
      <c r="BN151">
        <f>IF(OR($B151="",H151=""),"",IFERROR(INDEX(Settings!$D$14:$D$33,MATCH(H151,Settings!$B$14:$B$33,0))&amp;"",IFERROR(LOOKUP(2^15,SEARCH(Settings!$F$14:$F$43,H151)/(Settings!$F$14:$F$43&lt;&gt;""),Settings!$G$14:$G$43),"")))</f>
        <v/>
      </c>
      <c r="BO151">
        <f>IF(OR($B151="",I151=""),"",IFERROR(INDEX(Settings!$D$14:$D$33,MATCH(I151,Settings!$B$14:$B$33,0))&amp;"",IFERROR(LOOKUP(2^15,SEARCH(Settings!$F$14:$F$43,I151)/(Settings!$F$14:$F$43&lt;&gt;""),Settings!$G$14:$G$43),"")))</f>
        <v/>
      </c>
      <c r="BP151">
        <f>IF(OR($B151="",J151=""),"",IFERROR(INDEX(Settings!$D$14:$D$33,MATCH(J151,Settings!$B$14:$B$33,0))&amp;"",IFERROR(LOOKUP(2^15,SEARCH(Settings!$F$14:$F$43,J151)/(Settings!$F$14:$F$43&lt;&gt;""),Settings!$G$14:$G$43),"")))</f>
        <v/>
      </c>
      <c r="BQ151">
        <f>IF(OR($B151="",K151=""),"",IFERROR(INDEX(Settings!$D$14:$D$33,MATCH(K151,Settings!$B$14:$B$33,0))&amp;"",IFERROR(LOOKUP(2^15,SEARCH(Settings!$F$14:$F$43,K151)/(Settings!$F$14:$F$43&lt;&gt;""),Settings!$G$14:$G$43),"")))</f>
        <v/>
      </c>
      <c r="BR151">
        <f>IF(OR($B151="",L151=""),"",IFERROR(INDEX(Settings!$D$14:$D$33,MATCH(L151,Settings!$B$14:$B$33,0))&amp;"",IFERROR(LOOKUP(2^15,SEARCH(Settings!$F$14:$F$43,L151)/(Settings!$F$14:$F$43&lt;&gt;""),Settings!$G$14:$G$43),"")))</f>
        <v/>
      </c>
      <c r="BS151">
        <f>IF(OR($B151="",M151=""),"",IFERROR(INDEX(Settings!$D$14:$D$33,MATCH(M151,Settings!$B$14:$B$33,0))&amp;"",IFERROR(LOOKUP(2^15,SEARCH(Settings!$F$14:$F$43,M151)/(Settings!$F$14:$F$43&lt;&gt;""),Settings!$G$14:$G$43),"")))</f>
        <v/>
      </c>
      <c r="BT151">
        <f>IF(OR($B151="",N151=""),"",IFERROR(INDEX(Settings!$D$14:$D$33,MATCH(N151,Settings!$B$14:$B$33,0))&amp;"",IFERROR(LOOKUP(2^15,SEARCH(Settings!$F$14:$F$43,N151)/(Settings!$F$14:$F$43&lt;&gt;""),Settings!$G$14:$G$43),"")))</f>
        <v/>
      </c>
      <c r="BU151">
        <f>IF(OR($B151="",O151=""),"",IFERROR(INDEX(Settings!$D$14:$D$33,MATCH(O151,Settings!$B$14:$B$33,0))&amp;"",IFERROR(LOOKUP(2^15,SEARCH(Settings!$F$14:$F$43,O151)/(Settings!$F$14:$F$43&lt;&gt;""),Settings!$G$14:$G$43),"")))</f>
        <v/>
      </c>
      <c r="BV151">
        <f>IF(OR($B151="",P151=""),"",IFERROR(INDEX(Settings!$D$14:$D$33,MATCH(P151,Settings!$B$14:$B$33,0))&amp;"",IFERROR(LOOKUP(2^15,SEARCH(Settings!$F$14:$F$43,P151)/(Settings!$F$14:$F$43&lt;&gt;""),Settings!$G$14:$G$43),"")))</f>
        <v/>
      </c>
      <c r="BW151">
        <f>IF(OR($B151="",Q151=""),"",IFERROR(INDEX(Settings!$D$14:$D$33,MATCH(Q151,Settings!$B$14:$B$33,0))&amp;"",IFERROR(LOOKUP(2^15,SEARCH(Settings!$F$14:$F$43,Q151)/(Settings!$F$14:$F$43&lt;&gt;""),Settings!$G$14:$G$43),"")))</f>
        <v/>
      </c>
      <c r="BX151">
        <f>IF(OR($B151="",R151=""),"",IFERROR(INDEX(Settings!$D$14:$D$33,MATCH(R151,Settings!$B$14:$B$33,0))&amp;"",IFERROR(LOOKUP(2^15,SEARCH(Settings!$F$14:$F$43,R151)/(Settings!$F$14:$F$43&lt;&gt;""),Settings!$G$14:$G$43),"")))</f>
        <v/>
      </c>
      <c r="BY151">
        <f>IF(OR($B151="",S151=""),"",IFERROR(INDEX(Settings!$D$14:$D$33,MATCH(S151,Settings!$B$14:$B$33,0))&amp;"",IFERROR(LOOKUP(2^15,SEARCH(Settings!$F$14:$F$43,S151)/(Settings!$F$14:$F$43&lt;&gt;""),Settings!$G$14:$G$43),"")))</f>
        <v/>
      </c>
      <c r="BZ151">
        <f>IF(OR($B151="",T151=""),"",IFERROR(INDEX(Settings!$D$14:$D$33,MATCH(T151,Settings!$B$14:$B$33,0))&amp;"",IFERROR(LOOKUP(2^15,SEARCH(Settings!$F$14:$F$43,T151)/(Settings!$F$14:$F$43&lt;&gt;""),Settings!$G$14:$G$43),"")))</f>
        <v/>
      </c>
      <c r="CA151">
        <f>IF(OR($B151="",U151=""),"",IFERROR(INDEX(Settings!$D$14:$D$33,MATCH(U151,Settings!$B$14:$B$33,0))&amp;"",IFERROR(LOOKUP(2^15,SEARCH(Settings!$F$14:$F$43,U151)/(Settings!$F$14:$F$43&lt;&gt;""),Settings!$G$14:$G$43),"")))</f>
        <v/>
      </c>
      <c r="CB151">
        <f>IF(OR($B151="",V151=""),"",IFERROR(INDEX(Settings!$D$14:$D$33,MATCH(V151,Settings!$B$14:$B$33,0))&amp;"",IFERROR(LOOKUP(2^15,SEARCH(Settings!$F$14:$F$43,V151)/(Settings!$F$14:$F$43&lt;&gt;""),Settings!$G$14:$G$43),"")))</f>
        <v/>
      </c>
      <c r="CC151">
        <f>IF(OR($B151="",W151=""),"",IFERROR(INDEX(Settings!$D$14:$D$33,MATCH(W151,Settings!$B$14:$B$33,0))&amp;"",IFERROR(LOOKUP(2^15,SEARCH(Settings!$F$14:$F$43,W151)/(Settings!$F$14:$F$43&lt;&gt;""),Settings!$G$14:$G$43),"")))</f>
        <v/>
      </c>
      <c r="CD151">
        <f>IF(OR($B151="",X151=""),"",IFERROR(INDEX(Settings!$D$14:$D$33,MATCH(X151,Settings!$B$14:$B$33,0))&amp;"",IFERROR(LOOKUP(2^15,SEARCH(Settings!$F$14:$F$43,X151)/(Settings!$F$14:$F$43&lt;&gt;""),Settings!$G$14:$G$43),"")))</f>
        <v/>
      </c>
      <c r="CE151">
        <f>IF(OR($B151="",Y151=""),"",IFERROR(INDEX(Settings!$D$14:$D$33,MATCH(Y151,Settings!$B$14:$B$33,0))&amp;"",IFERROR(LOOKUP(2^15,SEARCH(Settings!$F$14:$F$43,Y151)/(Settings!$F$14:$F$43&lt;&gt;""),Settings!$G$14:$G$43),"")))</f>
        <v/>
      </c>
      <c r="CF151">
        <f>IF(OR($B151="",Z151=""),"",IFERROR(INDEX(Settings!$D$14:$D$33,MATCH(Z151,Settings!$B$14:$B$33,0))&amp;"",IFERROR(LOOKUP(2^15,SEARCH(Settings!$F$14:$F$43,Z151)/(Settings!$F$14:$F$43&lt;&gt;""),Settings!$G$14:$G$43),"")))</f>
        <v/>
      </c>
      <c r="CG151">
        <f>IF(OR($B151="",AA151=""),"",IFERROR(INDEX(Settings!$D$14:$D$33,MATCH(AA151,Settings!$B$14:$B$33,0))&amp;"",IFERROR(LOOKUP(2^15,SEARCH(Settings!$F$14:$F$43,AA151)/(Settings!$F$14:$F$43&lt;&gt;""),Settings!$G$14:$G$43),"")))</f>
        <v/>
      </c>
      <c r="CH151">
        <f>IF(OR($B151="",AB151=""),"",IFERROR(INDEX(Settings!$D$14:$D$33,MATCH(AB151,Settings!$B$14:$B$33,0))&amp;"",IFERROR(LOOKUP(2^15,SEARCH(Settings!$F$14:$F$43,AB151)/(Settings!$F$14:$F$43&lt;&gt;""),Settings!$G$14:$G$43),"")))</f>
        <v/>
      </c>
      <c r="CI151">
        <f>IF(OR($B151="",AC151=""),"",IFERROR(INDEX(Settings!$D$14:$D$33,MATCH(AC151,Settings!$B$14:$B$33,0))&amp;"",IFERROR(LOOKUP(2^15,SEARCH(Settings!$F$14:$F$43,AC151)/(Settings!$F$14:$F$43&lt;&gt;""),Settings!$G$14:$G$43),"")))</f>
        <v/>
      </c>
      <c r="CJ151">
        <f>IF(OR($B151="",AD151=""),"",IFERROR(INDEX(Settings!$D$14:$D$33,MATCH(AD151,Settings!$B$14:$B$33,0))&amp;"",IFERROR(LOOKUP(2^15,SEARCH(Settings!$F$14:$F$43,AD151)/(Settings!$F$14:$F$43&lt;&gt;""),Settings!$G$14:$G$43),"")))</f>
        <v/>
      </c>
      <c r="CK151">
        <f>IF(OR($B151="",AE151=""),"",IFERROR(INDEX(Settings!$D$14:$D$33,MATCH(AE151,Settings!$B$14:$B$33,0))&amp;"",IFERROR(LOOKUP(2^15,SEARCH(Settings!$F$14:$F$43,AE151)/(Settings!$F$14:$F$43&lt;&gt;""),Settings!$G$14:$G$43),"")))</f>
        <v/>
      </c>
      <c r="CL151">
        <f>IF(OR($B151="",AF151=""),"",IFERROR(INDEX(Settings!$D$14:$D$33,MATCH(AF151,Settings!$B$14:$B$33,0))&amp;"",IFERROR(LOOKUP(2^15,SEARCH(Settings!$F$14:$F$43,AF151)/(Settings!$F$14:$F$43&lt;&gt;""),Settings!$G$14:$G$43),"")))</f>
        <v/>
      </c>
      <c r="CM151">
        <f>IF(OR($B151="",AG151=""),"",IFERROR(INDEX(Settings!$D$14:$D$33,MATCH(AG151,Settings!$B$14:$B$33,0))&amp;"",IFERROR(LOOKUP(2^15,SEARCH(Settings!$F$14:$F$43,AG151)/(Settings!$F$14:$F$43&lt;&gt;""),Settings!$G$14:$G$43),"")))</f>
        <v/>
      </c>
    </row>
    <row r="152">
      <c r="A152" t="n">
        <v>150</v>
      </c>
      <c r="B152">
        <f>IFERROR(INDEX(Index!$A$2:$A$202,MATCH(A152,Index!$E$2:$E$202,0)),"")</f>
        <v/>
      </c>
      <c r="D152">
        <f>IF($B152="","",IFERROR(MATCH("Travel*",AI152:BJ152,0),""))</f>
        <v/>
      </c>
      <c r="F152">
        <f>IF(OR($B152="",NOT(ISNUMBER(Settings!$C$9))),"",TRIM(SUBSTITUTE(SUBSTITUTE(INDEX('INPUT - Roster'!$S$1:$SV$206,$B152,Settings!$C$9+0)&amp;"",CHAR(10)," "),CHAR(160)," ")))</f>
        <v/>
      </c>
      <c r="G152">
        <f>IF(OR($B152="",NOT(ISNUMBER(Settings!$C$9))),"",TRIM(SUBSTITUTE(SUBSTITUTE(INDEX('INPUT - Roster'!$S$1:$SV$206,$B152,Settings!$C$9+1)&amp;"",CHAR(10)," "),CHAR(160)," ")))</f>
        <v/>
      </c>
      <c r="H152">
        <f>IF(OR($B152="",NOT(ISNUMBER(Settings!$C$9))),"",TRIM(SUBSTITUTE(SUBSTITUTE(INDEX('INPUT - Roster'!$S$1:$SV$206,$B152,Settings!$C$9+2)&amp;"",CHAR(10)," "),CHAR(160)," ")))</f>
        <v/>
      </c>
      <c r="I152">
        <f>IF(OR($B152="",NOT(ISNUMBER(Settings!$C$9))),"",TRIM(SUBSTITUTE(SUBSTITUTE(INDEX('INPUT - Roster'!$S$1:$SV$206,$B152,Settings!$C$9+3)&amp;"",CHAR(10)," "),CHAR(160)," ")))</f>
        <v/>
      </c>
      <c r="J152">
        <f>IF(OR($B152="",NOT(ISNUMBER(Settings!$C$9))),"",TRIM(SUBSTITUTE(SUBSTITUTE(INDEX('INPUT - Roster'!$S$1:$SV$206,$B152,Settings!$C$9+4)&amp;"",CHAR(10)," "),CHAR(160)," ")))</f>
        <v/>
      </c>
      <c r="K152">
        <f>IF(OR($B152="",NOT(ISNUMBER(Settings!$C$9))),"",TRIM(SUBSTITUTE(SUBSTITUTE(INDEX('INPUT - Roster'!$S$1:$SV$206,$B152,Settings!$C$9+5)&amp;"",CHAR(10)," "),CHAR(160)," ")))</f>
        <v/>
      </c>
      <c r="L152">
        <f>IF(OR($B152="",NOT(ISNUMBER(Settings!$C$9))),"",TRIM(SUBSTITUTE(SUBSTITUTE(INDEX('INPUT - Roster'!$S$1:$SV$206,$B152,Settings!$C$9+6)&amp;"",CHAR(10)," "),CHAR(160)," ")))</f>
        <v/>
      </c>
      <c r="M152">
        <f>IF(OR($B152="",NOT(ISNUMBER(Settings!$C$9))),"",TRIM(SUBSTITUTE(SUBSTITUTE(INDEX('INPUT - Roster'!$S$1:$SV$206,$B152,Settings!$C$9+7)&amp;"",CHAR(10)," "),CHAR(160)," ")))</f>
        <v/>
      </c>
      <c r="N152">
        <f>IF(OR($B152="",NOT(ISNUMBER(Settings!$C$9))),"",TRIM(SUBSTITUTE(SUBSTITUTE(INDEX('INPUT - Roster'!$S$1:$SV$206,$B152,Settings!$C$9+8)&amp;"",CHAR(10)," "),CHAR(160)," ")))</f>
        <v/>
      </c>
      <c r="O152">
        <f>IF(OR($B152="",NOT(ISNUMBER(Settings!$C$9))),"",TRIM(SUBSTITUTE(SUBSTITUTE(INDEX('INPUT - Roster'!$S$1:$SV$206,$B152,Settings!$C$9+9)&amp;"",CHAR(10)," "),CHAR(160)," ")))</f>
        <v/>
      </c>
      <c r="P152">
        <f>IF(OR($B152="",NOT(ISNUMBER(Settings!$C$9))),"",TRIM(SUBSTITUTE(SUBSTITUTE(INDEX('INPUT - Roster'!$S$1:$SV$206,$B152,Settings!$C$9+10)&amp;"",CHAR(10)," "),CHAR(160)," ")))</f>
        <v/>
      </c>
      <c r="Q152">
        <f>IF(OR($B152="",NOT(ISNUMBER(Settings!$C$9))),"",TRIM(SUBSTITUTE(SUBSTITUTE(INDEX('INPUT - Roster'!$S$1:$SV$206,$B152,Settings!$C$9+11)&amp;"",CHAR(10)," "),CHAR(160)," ")))</f>
        <v/>
      </c>
      <c r="R152">
        <f>IF(OR($B152="",NOT(ISNUMBER(Settings!$C$9))),"",TRIM(SUBSTITUTE(SUBSTITUTE(INDEX('INPUT - Roster'!$S$1:$SV$206,$B152,Settings!$C$9+12)&amp;"",CHAR(10)," "),CHAR(160)," ")))</f>
        <v/>
      </c>
      <c r="S152">
        <f>IF(OR($B152="",NOT(ISNUMBER(Settings!$C$9))),"",TRIM(SUBSTITUTE(SUBSTITUTE(INDEX('INPUT - Roster'!$S$1:$SV$206,$B152,Settings!$C$9+13)&amp;"",CHAR(10)," "),CHAR(160)," ")))</f>
        <v/>
      </c>
      <c r="T152">
        <f>IF(OR($B152="",NOT(ISNUMBER(Settings!$C$9))),"",TRIM(SUBSTITUTE(SUBSTITUTE(INDEX('INPUT - Roster'!$S$1:$SV$206,$B152,Settings!$C$9+14)&amp;"",CHAR(10)," "),CHAR(160)," ")))</f>
        <v/>
      </c>
      <c r="U152">
        <f>IF(OR($B152="",NOT(ISNUMBER(Settings!$C$9))),"",TRIM(SUBSTITUTE(SUBSTITUTE(INDEX('INPUT - Roster'!$S$1:$SV$206,$B152,Settings!$C$9+15)&amp;"",CHAR(10)," "),CHAR(160)," ")))</f>
        <v/>
      </c>
      <c r="V152">
        <f>IF(OR($B152="",NOT(ISNUMBER(Settings!$C$9))),"",TRIM(SUBSTITUTE(SUBSTITUTE(INDEX('INPUT - Roster'!$S$1:$SV$206,$B152,Settings!$C$9+16)&amp;"",CHAR(10)," "),CHAR(160)," ")))</f>
        <v/>
      </c>
      <c r="W152">
        <f>IF(OR($B152="",NOT(ISNUMBER(Settings!$C$9))),"",TRIM(SUBSTITUTE(SUBSTITUTE(INDEX('INPUT - Roster'!$S$1:$SV$206,$B152,Settings!$C$9+17)&amp;"",CHAR(10)," "),CHAR(160)," ")))</f>
        <v/>
      </c>
      <c r="X152">
        <f>IF(OR($B152="",NOT(ISNUMBER(Settings!$C$9))),"",TRIM(SUBSTITUTE(SUBSTITUTE(INDEX('INPUT - Roster'!$S$1:$SV$206,$B152,Settings!$C$9+18)&amp;"",CHAR(10)," "),CHAR(160)," ")))</f>
        <v/>
      </c>
      <c r="Y152">
        <f>IF(OR($B152="",NOT(ISNUMBER(Settings!$C$9))),"",TRIM(SUBSTITUTE(SUBSTITUTE(INDEX('INPUT - Roster'!$S$1:$SV$206,$B152,Settings!$C$9+19)&amp;"",CHAR(10)," "),CHAR(160)," ")))</f>
        <v/>
      </c>
      <c r="Z152">
        <f>IF(OR($B152="",NOT(ISNUMBER(Settings!$C$9))),"",TRIM(SUBSTITUTE(SUBSTITUTE(INDEX('INPUT - Roster'!$S$1:$SV$206,$B152,Settings!$C$9+20)&amp;"",CHAR(10)," "),CHAR(160)," ")))</f>
        <v/>
      </c>
      <c r="AA152">
        <f>IF(OR($B152="",NOT(ISNUMBER(Settings!$C$9))),"",TRIM(SUBSTITUTE(SUBSTITUTE(INDEX('INPUT - Roster'!$S$1:$SV$206,$B152,Settings!$C$9+21)&amp;"",CHAR(10)," "),CHAR(160)," ")))</f>
        <v/>
      </c>
      <c r="AB152">
        <f>IF(OR($B152="",NOT(ISNUMBER(Settings!$C$9))),"",TRIM(SUBSTITUTE(SUBSTITUTE(INDEX('INPUT - Roster'!$S$1:$SV$206,$B152,Settings!$C$9+22)&amp;"",CHAR(10)," "),CHAR(160)," ")))</f>
        <v/>
      </c>
      <c r="AC152">
        <f>IF(OR($B152="",NOT(ISNUMBER(Settings!$C$9))),"",TRIM(SUBSTITUTE(SUBSTITUTE(INDEX('INPUT - Roster'!$S$1:$SV$206,$B152,Settings!$C$9+23)&amp;"",CHAR(10)," "),CHAR(160)," ")))</f>
        <v/>
      </c>
      <c r="AD152">
        <f>IF(OR($B152="",NOT(ISNUMBER(Settings!$C$9))),"",TRIM(SUBSTITUTE(SUBSTITUTE(INDEX('INPUT - Roster'!$S$1:$SV$206,$B152,Settings!$C$9+24)&amp;"",CHAR(10)," "),CHAR(160)," ")))</f>
        <v/>
      </c>
      <c r="AE152">
        <f>IF(OR($B152="",NOT(ISNUMBER(Settings!$C$9))),"",TRIM(SUBSTITUTE(SUBSTITUTE(INDEX('INPUT - Roster'!$S$1:$SV$206,$B152,Settings!$C$9+25)&amp;"",CHAR(10)," "),CHAR(160)," ")))</f>
        <v/>
      </c>
      <c r="AF152">
        <f>IF(OR($B152="",NOT(ISNUMBER(Settings!$C$9))),"",TRIM(SUBSTITUTE(SUBSTITUTE(INDEX('INPUT - Roster'!$S$1:$SV$206,$B152,Settings!$C$9+26)&amp;"",CHAR(10)," "),CHAR(160)," ")))</f>
        <v/>
      </c>
      <c r="AG152">
        <f>IF(OR($B152="",NOT(ISNUMBER(Settings!$C$9))),"",TRIM(SUBSTITUTE(SUBSTITUTE(INDEX('INPUT - Roster'!$S$1:$SV$206,$B152,Settings!$C$9+27)&amp;"",CHAR(10)," "),CHAR(160)," ")))</f>
        <v/>
      </c>
      <c r="AI152">
        <f>IF($B152="","",IF(F152="","Not rostered",IFERROR(INDEX(Settings!$C$14:$C$33,MATCH(F152,Settings!$B$14:$B$33,0)),IFERROR(LOOKUP(2^15,SEARCH(Settings!$I$14:$I$83,F152)/(Settings!$I$14:$I$83&lt;&gt;""),Settings!$J$14:$J$83),"Other"))))</f>
        <v/>
      </c>
      <c r="AJ152">
        <f>IF($B152="","",IF(G152="","Not rostered",IFERROR(INDEX(Settings!$C$14:$C$33,MATCH(G152,Settings!$B$14:$B$33,0)),IFERROR(LOOKUP(2^15,SEARCH(Settings!$I$14:$I$83,G152)/(Settings!$I$14:$I$83&lt;&gt;""),Settings!$J$14:$J$83),"Other"))))</f>
        <v/>
      </c>
      <c r="AK152">
        <f>IF($B152="","",IF(H152="","Not rostered",IFERROR(INDEX(Settings!$C$14:$C$33,MATCH(H152,Settings!$B$14:$B$33,0)),IFERROR(LOOKUP(2^15,SEARCH(Settings!$I$14:$I$83,H152)/(Settings!$I$14:$I$83&lt;&gt;""),Settings!$J$14:$J$83),"Other"))))</f>
        <v/>
      </c>
      <c r="AL152">
        <f>IF($B152="","",IF(I152="","Not rostered",IFERROR(INDEX(Settings!$C$14:$C$33,MATCH(I152,Settings!$B$14:$B$33,0)),IFERROR(LOOKUP(2^15,SEARCH(Settings!$I$14:$I$83,I152)/(Settings!$I$14:$I$83&lt;&gt;""),Settings!$J$14:$J$83),"Other"))))</f>
        <v/>
      </c>
      <c r="AM152">
        <f>IF($B152="","",IF(J152="","Not rostered",IFERROR(INDEX(Settings!$C$14:$C$33,MATCH(J152,Settings!$B$14:$B$33,0)),IFERROR(LOOKUP(2^15,SEARCH(Settings!$I$14:$I$83,J152)/(Settings!$I$14:$I$83&lt;&gt;""),Settings!$J$14:$J$83),"Other"))))</f>
        <v/>
      </c>
      <c r="AN152">
        <f>IF($B152="","",IF(K152="","Not rostered",IFERROR(INDEX(Settings!$C$14:$C$33,MATCH(K152,Settings!$B$14:$B$33,0)),IFERROR(LOOKUP(2^15,SEARCH(Settings!$I$14:$I$83,K152)/(Settings!$I$14:$I$83&lt;&gt;""),Settings!$J$14:$J$83),"Other"))))</f>
        <v/>
      </c>
      <c r="AO152">
        <f>IF($B152="","",IF(L152="","Not rostered",IFERROR(INDEX(Settings!$C$14:$C$33,MATCH(L152,Settings!$B$14:$B$33,0)),IFERROR(LOOKUP(2^15,SEARCH(Settings!$I$14:$I$83,L152)/(Settings!$I$14:$I$83&lt;&gt;""),Settings!$J$14:$J$83),"Other"))))</f>
        <v/>
      </c>
      <c r="AP152">
        <f>IF($B152="","",IF(M152="","Not rostered",IFERROR(INDEX(Settings!$C$14:$C$33,MATCH(M152,Settings!$B$14:$B$33,0)),IFERROR(LOOKUP(2^15,SEARCH(Settings!$I$14:$I$83,M152)/(Settings!$I$14:$I$83&lt;&gt;""),Settings!$J$14:$J$83),"Other"))))</f>
        <v/>
      </c>
      <c r="AQ152">
        <f>IF($B152="","",IF(N152="","Not rostered",IFERROR(INDEX(Settings!$C$14:$C$33,MATCH(N152,Settings!$B$14:$B$33,0)),IFERROR(LOOKUP(2^15,SEARCH(Settings!$I$14:$I$83,N152)/(Settings!$I$14:$I$83&lt;&gt;""),Settings!$J$14:$J$83),"Other"))))</f>
        <v/>
      </c>
      <c r="AR152">
        <f>IF($B152="","",IF(O152="","Not rostered",IFERROR(INDEX(Settings!$C$14:$C$33,MATCH(O152,Settings!$B$14:$B$33,0)),IFERROR(LOOKUP(2^15,SEARCH(Settings!$I$14:$I$83,O152)/(Settings!$I$14:$I$83&lt;&gt;""),Settings!$J$14:$J$83),"Other"))))</f>
        <v/>
      </c>
      <c r="AS152">
        <f>IF($B152="","",IF(P152="","Not rostered",IFERROR(INDEX(Settings!$C$14:$C$33,MATCH(P152,Settings!$B$14:$B$33,0)),IFERROR(LOOKUP(2^15,SEARCH(Settings!$I$14:$I$83,P152)/(Settings!$I$14:$I$83&lt;&gt;""),Settings!$J$14:$J$83),"Other"))))</f>
        <v/>
      </c>
      <c r="AT152">
        <f>IF($B152="","",IF(Q152="","Not rostered",IFERROR(INDEX(Settings!$C$14:$C$33,MATCH(Q152,Settings!$B$14:$B$33,0)),IFERROR(LOOKUP(2^15,SEARCH(Settings!$I$14:$I$83,Q152)/(Settings!$I$14:$I$83&lt;&gt;""),Settings!$J$14:$J$83),"Other"))))</f>
        <v/>
      </c>
      <c r="AU152">
        <f>IF($B152="","",IF(R152="","Not rostered",IFERROR(INDEX(Settings!$C$14:$C$33,MATCH(R152,Settings!$B$14:$B$33,0)),IFERROR(LOOKUP(2^15,SEARCH(Settings!$I$14:$I$83,R152)/(Settings!$I$14:$I$83&lt;&gt;""),Settings!$J$14:$J$83),"Other"))))</f>
        <v/>
      </c>
      <c r="AV152">
        <f>IF($B152="","",IF(S152="","Not rostered",IFERROR(INDEX(Settings!$C$14:$C$33,MATCH(S152,Settings!$B$14:$B$33,0)),IFERROR(LOOKUP(2^15,SEARCH(Settings!$I$14:$I$83,S152)/(Settings!$I$14:$I$83&lt;&gt;""),Settings!$J$14:$J$83),"Other"))))</f>
        <v/>
      </c>
      <c r="AW152">
        <f>IF($B152="","",IF(T152="","Not rostered",IFERROR(INDEX(Settings!$C$14:$C$33,MATCH(T152,Settings!$B$14:$B$33,0)),IFERROR(LOOKUP(2^15,SEARCH(Settings!$I$14:$I$83,T152)/(Settings!$I$14:$I$83&lt;&gt;""),Settings!$J$14:$J$83),"Other"))))</f>
        <v/>
      </c>
      <c r="AX152">
        <f>IF($B152="","",IF(U152="","Not rostered",IFERROR(INDEX(Settings!$C$14:$C$33,MATCH(U152,Settings!$B$14:$B$33,0)),IFERROR(LOOKUP(2^15,SEARCH(Settings!$I$14:$I$83,U152)/(Settings!$I$14:$I$83&lt;&gt;""),Settings!$J$14:$J$83),"Other"))))</f>
        <v/>
      </c>
      <c r="AY152">
        <f>IF($B152="","",IF(V152="","Not rostered",IFERROR(INDEX(Settings!$C$14:$C$33,MATCH(V152,Settings!$B$14:$B$33,0)),IFERROR(LOOKUP(2^15,SEARCH(Settings!$I$14:$I$83,V152)/(Settings!$I$14:$I$83&lt;&gt;""),Settings!$J$14:$J$83),"Other"))))</f>
        <v/>
      </c>
      <c r="AZ152">
        <f>IF($B152="","",IF(W152="","Not rostered",IFERROR(INDEX(Settings!$C$14:$C$33,MATCH(W152,Settings!$B$14:$B$33,0)),IFERROR(LOOKUP(2^15,SEARCH(Settings!$I$14:$I$83,W152)/(Settings!$I$14:$I$83&lt;&gt;""),Settings!$J$14:$J$83),"Other"))))</f>
        <v/>
      </c>
      <c r="BA152">
        <f>IF($B152="","",IF(X152="","Not rostered",IFERROR(INDEX(Settings!$C$14:$C$33,MATCH(X152,Settings!$B$14:$B$33,0)),IFERROR(LOOKUP(2^15,SEARCH(Settings!$I$14:$I$83,X152)/(Settings!$I$14:$I$83&lt;&gt;""),Settings!$J$14:$J$83),"Other"))))</f>
        <v/>
      </c>
      <c r="BB152">
        <f>IF($B152="","",IF(Y152="","Not rostered",IFERROR(INDEX(Settings!$C$14:$C$33,MATCH(Y152,Settings!$B$14:$B$33,0)),IFERROR(LOOKUP(2^15,SEARCH(Settings!$I$14:$I$83,Y152)/(Settings!$I$14:$I$83&lt;&gt;""),Settings!$J$14:$J$83),"Other"))))</f>
        <v/>
      </c>
      <c r="BC152">
        <f>IF($B152="","",IF(Z152="","Not rostered",IFERROR(INDEX(Settings!$C$14:$C$33,MATCH(Z152,Settings!$B$14:$B$33,0)),IFERROR(LOOKUP(2^15,SEARCH(Settings!$I$14:$I$83,Z152)/(Settings!$I$14:$I$83&lt;&gt;""),Settings!$J$14:$J$83),"Other"))))</f>
        <v/>
      </c>
      <c r="BD152">
        <f>IF($B152="","",IF(AA152="","Not rostered",IFERROR(INDEX(Settings!$C$14:$C$33,MATCH(AA152,Settings!$B$14:$B$33,0)),IFERROR(LOOKUP(2^15,SEARCH(Settings!$I$14:$I$83,AA152)/(Settings!$I$14:$I$83&lt;&gt;""),Settings!$J$14:$J$83),"Other"))))</f>
        <v/>
      </c>
      <c r="BE152">
        <f>IF($B152="","",IF(AB152="","Not rostered",IFERROR(INDEX(Settings!$C$14:$C$33,MATCH(AB152,Settings!$B$14:$B$33,0)),IFERROR(LOOKUP(2^15,SEARCH(Settings!$I$14:$I$83,AB152)/(Settings!$I$14:$I$83&lt;&gt;""),Settings!$J$14:$J$83),"Other"))))</f>
        <v/>
      </c>
      <c r="BF152">
        <f>IF($B152="","",IF(AC152="","Not rostered",IFERROR(INDEX(Settings!$C$14:$C$33,MATCH(AC152,Settings!$B$14:$B$33,0)),IFERROR(LOOKUP(2^15,SEARCH(Settings!$I$14:$I$83,AC152)/(Settings!$I$14:$I$83&lt;&gt;""),Settings!$J$14:$J$83),"Other"))))</f>
        <v/>
      </c>
      <c r="BG152">
        <f>IF($B152="","",IF(AD152="","Not rostered",IFERROR(INDEX(Settings!$C$14:$C$33,MATCH(AD152,Settings!$B$14:$B$33,0)),IFERROR(LOOKUP(2^15,SEARCH(Settings!$I$14:$I$83,AD152)/(Settings!$I$14:$I$83&lt;&gt;""),Settings!$J$14:$J$83),"Other"))))</f>
        <v/>
      </c>
      <c r="BH152">
        <f>IF($B152="","",IF(AE152="","Not rostered",IFERROR(INDEX(Settings!$C$14:$C$33,MATCH(AE152,Settings!$B$14:$B$33,0)),IFERROR(LOOKUP(2^15,SEARCH(Settings!$I$14:$I$83,AE152)/(Settings!$I$14:$I$83&lt;&gt;""),Settings!$J$14:$J$83),"Other"))))</f>
        <v/>
      </c>
      <c r="BI152">
        <f>IF($B152="","",IF(AF152="","Not rostered",IFERROR(INDEX(Settings!$C$14:$C$33,MATCH(AF152,Settings!$B$14:$B$33,0)),IFERROR(LOOKUP(2^15,SEARCH(Settings!$I$14:$I$83,AF152)/(Settings!$I$14:$I$83&lt;&gt;""),Settings!$J$14:$J$83),"Other"))))</f>
        <v/>
      </c>
      <c r="BJ152">
        <f>IF($B152="","",IF(AG152="","Not rostered",IFERROR(INDEX(Settings!$C$14:$C$33,MATCH(AG152,Settings!$B$14:$B$33,0)),IFERROR(LOOKUP(2^15,SEARCH(Settings!$I$14:$I$83,AG152)/(Settings!$I$14:$I$83&lt;&gt;""),Settings!$J$14:$J$83),"Other"))))</f>
        <v/>
      </c>
      <c r="BL152">
        <f>IF(OR($B152="",F152=""),"",IFERROR(INDEX(Settings!$D$14:$D$33,MATCH(F152,Settings!$B$14:$B$33,0))&amp;"",IFERROR(LOOKUP(2^15,SEARCH(Settings!$F$14:$F$43,F152)/(Settings!$F$14:$F$43&lt;&gt;""),Settings!$G$14:$G$43),"")))</f>
        <v/>
      </c>
      <c r="BM152">
        <f>IF(OR($B152="",G152=""),"",IFERROR(INDEX(Settings!$D$14:$D$33,MATCH(G152,Settings!$B$14:$B$33,0))&amp;"",IFERROR(LOOKUP(2^15,SEARCH(Settings!$F$14:$F$43,G152)/(Settings!$F$14:$F$43&lt;&gt;""),Settings!$G$14:$G$43),"")))</f>
        <v/>
      </c>
      <c r="BN152">
        <f>IF(OR($B152="",H152=""),"",IFERROR(INDEX(Settings!$D$14:$D$33,MATCH(H152,Settings!$B$14:$B$33,0))&amp;"",IFERROR(LOOKUP(2^15,SEARCH(Settings!$F$14:$F$43,H152)/(Settings!$F$14:$F$43&lt;&gt;""),Settings!$G$14:$G$43),"")))</f>
        <v/>
      </c>
      <c r="BO152">
        <f>IF(OR($B152="",I152=""),"",IFERROR(INDEX(Settings!$D$14:$D$33,MATCH(I152,Settings!$B$14:$B$33,0))&amp;"",IFERROR(LOOKUP(2^15,SEARCH(Settings!$F$14:$F$43,I152)/(Settings!$F$14:$F$43&lt;&gt;""),Settings!$G$14:$G$43),"")))</f>
        <v/>
      </c>
      <c r="BP152">
        <f>IF(OR($B152="",J152=""),"",IFERROR(INDEX(Settings!$D$14:$D$33,MATCH(J152,Settings!$B$14:$B$33,0))&amp;"",IFERROR(LOOKUP(2^15,SEARCH(Settings!$F$14:$F$43,J152)/(Settings!$F$14:$F$43&lt;&gt;""),Settings!$G$14:$G$43),"")))</f>
        <v/>
      </c>
      <c r="BQ152">
        <f>IF(OR($B152="",K152=""),"",IFERROR(INDEX(Settings!$D$14:$D$33,MATCH(K152,Settings!$B$14:$B$33,0))&amp;"",IFERROR(LOOKUP(2^15,SEARCH(Settings!$F$14:$F$43,K152)/(Settings!$F$14:$F$43&lt;&gt;""),Settings!$G$14:$G$43),"")))</f>
        <v/>
      </c>
      <c r="BR152">
        <f>IF(OR($B152="",L152=""),"",IFERROR(INDEX(Settings!$D$14:$D$33,MATCH(L152,Settings!$B$14:$B$33,0))&amp;"",IFERROR(LOOKUP(2^15,SEARCH(Settings!$F$14:$F$43,L152)/(Settings!$F$14:$F$43&lt;&gt;""),Settings!$G$14:$G$43),"")))</f>
        <v/>
      </c>
      <c r="BS152">
        <f>IF(OR($B152="",M152=""),"",IFERROR(INDEX(Settings!$D$14:$D$33,MATCH(M152,Settings!$B$14:$B$33,0))&amp;"",IFERROR(LOOKUP(2^15,SEARCH(Settings!$F$14:$F$43,M152)/(Settings!$F$14:$F$43&lt;&gt;""),Settings!$G$14:$G$43),"")))</f>
        <v/>
      </c>
      <c r="BT152">
        <f>IF(OR($B152="",N152=""),"",IFERROR(INDEX(Settings!$D$14:$D$33,MATCH(N152,Settings!$B$14:$B$33,0))&amp;"",IFERROR(LOOKUP(2^15,SEARCH(Settings!$F$14:$F$43,N152)/(Settings!$F$14:$F$43&lt;&gt;""),Settings!$G$14:$G$43),"")))</f>
        <v/>
      </c>
      <c r="BU152">
        <f>IF(OR($B152="",O152=""),"",IFERROR(INDEX(Settings!$D$14:$D$33,MATCH(O152,Settings!$B$14:$B$33,0))&amp;"",IFERROR(LOOKUP(2^15,SEARCH(Settings!$F$14:$F$43,O152)/(Settings!$F$14:$F$43&lt;&gt;""),Settings!$G$14:$G$43),"")))</f>
        <v/>
      </c>
      <c r="BV152">
        <f>IF(OR($B152="",P152=""),"",IFERROR(INDEX(Settings!$D$14:$D$33,MATCH(P152,Settings!$B$14:$B$33,0))&amp;"",IFERROR(LOOKUP(2^15,SEARCH(Settings!$F$14:$F$43,P152)/(Settings!$F$14:$F$43&lt;&gt;""),Settings!$G$14:$G$43),"")))</f>
        <v/>
      </c>
      <c r="BW152">
        <f>IF(OR($B152="",Q152=""),"",IFERROR(INDEX(Settings!$D$14:$D$33,MATCH(Q152,Settings!$B$14:$B$33,0))&amp;"",IFERROR(LOOKUP(2^15,SEARCH(Settings!$F$14:$F$43,Q152)/(Settings!$F$14:$F$43&lt;&gt;""),Settings!$G$14:$G$43),"")))</f>
        <v/>
      </c>
      <c r="BX152">
        <f>IF(OR($B152="",R152=""),"",IFERROR(INDEX(Settings!$D$14:$D$33,MATCH(R152,Settings!$B$14:$B$33,0))&amp;"",IFERROR(LOOKUP(2^15,SEARCH(Settings!$F$14:$F$43,R152)/(Settings!$F$14:$F$43&lt;&gt;""),Settings!$G$14:$G$43),"")))</f>
        <v/>
      </c>
      <c r="BY152">
        <f>IF(OR($B152="",S152=""),"",IFERROR(INDEX(Settings!$D$14:$D$33,MATCH(S152,Settings!$B$14:$B$33,0))&amp;"",IFERROR(LOOKUP(2^15,SEARCH(Settings!$F$14:$F$43,S152)/(Settings!$F$14:$F$43&lt;&gt;""),Settings!$G$14:$G$43),"")))</f>
        <v/>
      </c>
      <c r="BZ152">
        <f>IF(OR($B152="",T152=""),"",IFERROR(INDEX(Settings!$D$14:$D$33,MATCH(T152,Settings!$B$14:$B$33,0))&amp;"",IFERROR(LOOKUP(2^15,SEARCH(Settings!$F$14:$F$43,T152)/(Settings!$F$14:$F$43&lt;&gt;""),Settings!$G$14:$G$43),"")))</f>
        <v/>
      </c>
      <c r="CA152">
        <f>IF(OR($B152="",U152=""),"",IFERROR(INDEX(Settings!$D$14:$D$33,MATCH(U152,Settings!$B$14:$B$33,0))&amp;"",IFERROR(LOOKUP(2^15,SEARCH(Settings!$F$14:$F$43,U152)/(Settings!$F$14:$F$43&lt;&gt;""),Settings!$G$14:$G$43),"")))</f>
        <v/>
      </c>
      <c r="CB152">
        <f>IF(OR($B152="",V152=""),"",IFERROR(INDEX(Settings!$D$14:$D$33,MATCH(V152,Settings!$B$14:$B$33,0))&amp;"",IFERROR(LOOKUP(2^15,SEARCH(Settings!$F$14:$F$43,V152)/(Settings!$F$14:$F$43&lt;&gt;""),Settings!$G$14:$G$43),"")))</f>
        <v/>
      </c>
      <c r="CC152">
        <f>IF(OR($B152="",W152=""),"",IFERROR(INDEX(Settings!$D$14:$D$33,MATCH(W152,Settings!$B$14:$B$33,0))&amp;"",IFERROR(LOOKUP(2^15,SEARCH(Settings!$F$14:$F$43,W152)/(Settings!$F$14:$F$43&lt;&gt;""),Settings!$G$14:$G$43),"")))</f>
        <v/>
      </c>
      <c r="CD152">
        <f>IF(OR($B152="",X152=""),"",IFERROR(INDEX(Settings!$D$14:$D$33,MATCH(X152,Settings!$B$14:$B$33,0))&amp;"",IFERROR(LOOKUP(2^15,SEARCH(Settings!$F$14:$F$43,X152)/(Settings!$F$14:$F$43&lt;&gt;""),Settings!$G$14:$G$43),"")))</f>
        <v/>
      </c>
      <c r="CE152">
        <f>IF(OR($B152="",Y152=""),"",IFERROR(INDEX(Settings!$D$14:$D$33,MATCH(Y152,Settings!$B$14:$B$33,0))&amp;"",IFERROR(LOOKUP(2^15,SEARCH(Settings!$F$14:$F$43,Y152)/(Settings!$F$14:$F$43&lt;&gt;""),Settings!$G$14:$G$43),"")))</f>
        <v/>
      </c>
      <c r="CF152">
        <f>IF(OR($B152="",Z152=""),"",IFERROR(INDEX(Settings!$D$14:$D$33,MATCH(Z152,Settings!$B$14:$B$33,0))&amp;"",IFERROR(LOOKUP(2^15,SEARCH(Settings!$F$14:$F$43,Z152)/(Settings!$F$14:$F$43&lt;&gt;""),Settings!$G$14:$G$43),"")))</f>
        <v/>
      </c>
      <c r="CG152">
        <f>IF(OR($B152="",AA152=""),"",IFERROR(INDEX(Settings!$D$14:$D$33,MATCH(AA152,Settings!$B$14:$B$33,0))&amp;"",IFERROR(LOOKUP(2^15,SEARCH(Settings!$F$14:$F$43,AA152)/(Settings!$F$14:$F$43&lt;&gt;""),Settings!$G$14:$G$43),"")))</f>
        <v/>
      </c>
      <c r="CH152">
        <f>IF(OR($B152="",AB152=""),"",IFERROR(INDEX(Settings!$D$14:$D$33,MATCH(AB152,Settings!$B$14:$B$33,0))&amp;"",IFERROR(LOOKUP(2^15,SEARCH(Settings!$F$14:$F$43,AB152)/(Settings!$F$14:$F$43&lt;&gt;""),Settings!$G$14:$G$43),"")))</f>
        <v/>
      </c>
      <c r="CI152">
        <f>IF(OR($B152="",AC152=""),"",IFERROR(INDEX(Settings!$D$14:$D$33,MATCH(AC152,Settings!$B$14:$B$33,0))&amp;"",IFERROR(LOOKUP(2^15,SEARCH(Settings!$F$14:$F$43,AC152)/(Settings!$F$14:$F$43&lt;&gt;""),Settings!$G$14:$G$43),"")))</f>
        <v/>
      </c>
      <c r="CJ152">
        <f>IF(OR($B152="",AD152=""),"",IFERROR(INDEX(Settings!$D$14:$D$33,MATCH(AD152,Settings!$B$14:$B$33,0))&amp;"",IFERROR(LOOKUP(2^15,SEARCH(Settings!$F$14:$F$43,AD152)/(Settings!$F$14:$F$43&lt;&gt;""),Settings!$G$14:$G$43),"")))</f>
        <v/>
      </c>
      <c r="CK152">
        <f>IF(OR($B152="",AE152=""),"",IFERROR(INDEX(Settings!$D$14:$D$33,MATCH(AE152,Settings!$B$14:$B$33,0))&amp;"",IFERROR(LOOKUP(2^15,SEARCH(Settings!$F$14:$F$43,AE152)/(Settings!$F$14:$F$43&lt;&gt;""),Settings!$G$14:$G$43),"")))</f>
        <v/>
      </c>
      <c r="CL152">
        <f>IF(OR($B152="",AF152=""),"",IFERROR(INDEX(Settings!$D$14:$D$33,MATCH(AF152,Settings!$B$14:$B$33,0))&amp;"",IFERROR(LOOKUP(2^15,SEARCH(Settings!$F$14:$F$43,AF152)/(Settings!$F$14:$F$43&lt;&gt;""),Settings!$G$14:$G$43),"")))</f>
        <v/>
      </c>
      <c r="CM152">
        <f>IF(OR($B152="",AG152=""),"",IFERROR(INDEX(Settings!$D$14:$D$33,MATCH(AG152,Settings!$B$14:$B$33,0))&amp;"",IFERROR(LOOKUP(2^15,SEARCH(Settings!$F$14:$F$43,AG152)/(Settings!$F$14:$F$43&lt;&gt;""),Settings!$G$14:$G$43),"")))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/>
  </sheetPr>
  <dimension ref="A1:F202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Roster row</t>
        </is>
      </c>
      <c r="B1" t="inlineStr">
        <is>
          <t>Heading?</t>
        </is>
      </c>
      <c r="C1" t="inlineStr">
        <is>
          <t>Crew</t>
        </is>
      </c>
      <c r="D1" t="inlineStr">
        <is>
          <t>Person?</t>
        </is>
      </c>
      <c r="E1" t="inlineStr">
        <is>
          <t>Seq</t>
        </is>
      </c>
      <c r="F1" t="inlineStr">
        <is>
          <t>Crew seq</t>
        </is>
      </c>
    </row>
    <row r="2">
      <c r="A2" t="n">
        <v>6</v>
      </c>
      <c r="B2">
        <f>IF(AND(TRIM('INPUT - Roster'!C6&amp;"")&lt;&gt;"",TRIM('INPUT - Roster'!D6&amp;"")="",TRIM('INPUT - Roster'!E6&amp;"")=""),1,0)</f>
        <v/>
      </c>
      <c r="C2">
        <f>IF(B2=1,TRIM('INPUT - Roster'!C6&amp;""),"")</f>
        <v/>
      </c>
      <c r="D2">
        <f>IF(AND(B2=0,TRIM('INPUT - Roster'!D6&amp;"")&lt;&gt;""),1,0)</f>
        <v/>
      </c>
      <c r="E2">
        <f>IF(D2=1,COUNTIF(D$2:D2,1),"")</f>
        <v/>
      </c>
      <c r="F2">
        <f>IF(B2=1,COUNTIF(B$2:B2,1),"")</f>
        <v/>
      </c>
    </row>
    <row r="3">
      <c r="A3" t="n">
        <v>7</v>
      </c>
      <c r="B3">
        <f>IF(AND(TRIM('INPUT - Roster'!C7&amp;"")&lt;&gt;"",TRIM('INPUT - Roster'!D7&amp;"")="",TRIM('INPUT - Roster'!E7&amp;"")=""),1,0)</f>
        <v/>
      </c>
      <c r="C3">
        <f>IF(B3=1,TRIM('INPUT - Roster'!C7&amp;""),C2)</f>
        <v/>
      </c>
      <c r="D3">
        <f>IF(AND(B3=0,TRIM('INPUT - Roster'!D7&amp;"")&lt;&gt;""),1,0)</f>
        <v/>
      </c>
      <c r="E3">
        <f>IF(D3=1,COUNTIF(D$2:D3,1),"")</f>
        <v/>
      </c>
      <c r="F3">
        <f>IF(B3=1,COUNTIF(B$2:B3,1),"")</f>
        <v/>
      </c>
    </row>
    <row r="4">
      <c r="A4" t="n">
        <v>8</v>
      </c>
      <c r="B4">
        <f>IF(AND(TRIM('INPUT - Roster'!C8&amp;"")&lt;&gt;"",TRIM('INPUT - Roster'!D8&amp;"")="",TRIM('INPUT - Roster'!E8&amp;"")=""),1,0)</f>
        <v/>
      </c>
      <c r="C4">
        <f>IF(B4=1,TRIM('INPUT - Roster'!C8&amp;""),C3)</f>
        <v/>
      </c>
      <c r="D4">
        <f>IF(AND(B4=0,TRIM('INPUT - Roster'!D8&amp;"")&lt;&gt;""),1,0)</f>
        <v/>
      </c>
      <c r="E4">
        <f>IF(D4=1,COUNTIF(D$2:D4,1),"")</f>
        <v/>
      </c>
      <c r="F4">
        <f>IF(B4=1,COUNTIF(B$2:B4,1),"")</f>
        <v/>
      </c>
    </row>
    <row r="5">
      <c r="A5" t="n">
        <v>9</v>
      </c>
      <c r="B5">
        <f>IF(AND(TRIM('INPUT - Roster'!C9&amp;"")&lt;&gt;"",TRIM('INPUT - Roster'!D9&amp;"")="",TRIM('INPUT - Roster'!E9&amp;"")=""),1,0)</f>
        <v/>
      </c>
      <c r="C5">
        <f>IF(B5=1,TRIM('INPUT - Roster'!C9&amp;""),C4)</f>
        <v/>
      </c>
      <c r="D5">
        <f>IF(AND(B5=0,TRIM('INPUT - Roster'!D9&amp;"")&lt;&gt;""),1,0)</f>
        <v/>
      </c>
      <c r="E5">
        <f>IF(D5=1,COUNTIF(D$2:D5,1),"")</f>
        <v/>
      </c>
      <c r="F5">
        <f>IF(B5=1,COUNTIF(B$2:B5,1),"")</f>
        <v/>
      </c>
    </row>
    <row r="6">
      <c r="A6" t="n">
        <v>10</v>
      </c>
      <c r="B6">
        <f>IF(AND(TRIM('INPUT - Roster'!C10&amp;"")&lt;&gt;"",TRIM('INPUT - Roster'!D10&amp;"")="",TRIM('INPUT - Roster'!E10&amp;"")=""),1,0)</f>
        <v/>
      </c>
      <c r="C6">
        <f>IF(B6=1,TRIM('INPUT - Roster'!C10&amp;""),C5)</f>
        <v/>
      </c>
      <c r="D6">
        <f>IF(AND(B6=0,TRIM('INPUT - Roster'!D10&amp;"")&lt;&gt;""),1,0)</f>
        <v/>
      </c>
      <c r="E6">
        <f>IF(D6=1,COUNTIF(D$2:D6,1),"")</f>
        <v/>
      </c>
      <c r="F6">
        <f>IF(B6=1,COUNTIF(B$2:B6,1),"")</f>
        <v/>
      </c>
    </row>
    <row r="7">
      <c r="A7" t="n">
        <v>11</v>
      </c>
      <c r="B7">
        <f>IF(AND(TRIM('INPUT - Roster'!C11&amp;"")&lt;&gt;"",TRIM('INPUT - Roster'!D11&amp;"")="",TRIM('INPUT - Roster'!E11&amp;"")=""),1,0)</f>
        <v/>
      </c>
      <c r="C7">
        <f>IF(B7=1,TRIM('INPUT - Roster'!C11&amp;""),C6)</f>
        <v/>
      </c>
      <c r="D7">
        <f>IF(AND(B7=0,TRIM('INPUT - Roster'!D11&amp;"")&lt;&gt;""),1,0)</f>
        <v/>
      </c>
      <c r="E7">
        <f>IF(D7=1,COUNTIF(D$2:D7,1),"")</f>
        <v/>
      </c>
      <c r="F7">
        <f>IF(B7=1,COUNTIF(B$2:B7,1),"")</f>
        <v/>
      </c>
    </row>
    <row r="8">
      <c r="A8" t="n">
        <v>12</v>
      </c>
      <c r="B8">
        <f>IF(AND(TRIM('INPUT - Roster'!C12&amp;"")&lt;&gt;"",TRIM('INPUT - Roster'!D12&amp;"")="",TRIM('INPUT - Roster'!E12&amp;"")=""),1,0)</f>
        <v/>
      </c>
      <c r="C8">
        <f>IF(B8=1,TRIM('INPUT - Roster'!C12&amp;""),C7)</f>
        <v/>
      </c>
      <c r="D8">
        <f>IF(AND(B8=0,TRIM('INPUT - Roster'!D12&amp;"")&lt;&gt;""),1,0)</f>
        <v/>
      </c>
      <c r="E8">
        <f>IF(D8=1,COUNTIF(D$2:D8,1),"")</f>
        <v/>
      </c>
      <c r="F8">
        <f>IF(B8=1,COUNTIF(B$2:B8,1),"")</f>
        <v/>
      </c>
    </row>
    <row r="9">
      <c r="A9" t="n">
        <v>13</v>
      </c>
      <c r="B9">
        <f>IF(AND(TRIM('INPUT - Roster'!C13&amp;"")&lt;&gt;"",TRIM('INPUT - Roster'!D13&amp;"")="",TRIM('INPUT - Roster'!E13&amp;"")=""),1,0)</f>
        <v/>
      </c>
      <c r="C9">
        <f>IF(B9=1,TRIM('INPUT - Roster'!C13&amp;""),C8)</f>
        <v/>
      </c>
      <c r="D9">
        <f>IF(AND(B9=0,TRIM('INPUT - Roster'!D13&amp;"")&lt;&gt;""),1,0)</f>
        <v/>
      </c>
      <c r="E9">
        <f>IF(D9=1,COUNTIF(D$2:D9,1),"")</f>
        <v/>
      </c>
      <c r="F9">
        <f>IF(B9=1,COUNTIF(B$2:B9,1),"")</f>
        <v/>
      </c>
    </row>
    <row r="10">
      <c r="A10" t="n">
        <v>14</v>
      </c>
      <c r="B10">
        <f>IF(AND(TRIM('INPUT - Roster'!C14&amp;"")&lt;&gt;"",TRIM('INPUT - Roster'!D14&amp;"")="",TRIM('INPUT - Roster'!E14&amp;"")=""),1,0)</f>
        <v/>
      </c>
      <c r="C10">
        <f>IF(B10=1,TRIM('INPUT - Roster'!C14&amp;""),C9)</f>
        <v/>
      </c>
      <c r="D10">
        <f>IF(AND(B10=0,TRIM('INPUT - Roster'!D14&amp;"")&lt;&gt;""),1,0)</f>
        <v/>
      </c>
      <c r="E10">
        <f>IF(D10=1,COUNTIF(D$2:D10,1),"")</f>
        <v/>
      </c>
      <c r="F10">
        <f>IF(B10=1,COUNTIF(B$2:B10,1),"")</f>
        <v/>
      </c>
    </row>
    <row r="11">
      <c r="A11" t="n">
        <v>15</v>
      </c>
      <c r="B11">
        <f>IF(AND(TRIM('INPUT - Roster'!C15&amp;"")&lt;&gt;"",TRIM('INPUT - Roster'!D15&amp;"")="",TRIM('INPUT - Roster'!E15&amp;"")=""),1,0)</f>
        <v/>
      </c>
      <c r="C11">
        <f>IF(B11=1,TRIM('INPUT - Roster'!C15&amp;""),C10)</f>
        <v/>
      </c>
      <c r="D11">
        <f>IF(AND(B11=0,TRIM('INPUT - Roster'!D15&amp;"")&lt;&gt;""),1,0)</f>
        <v/>
      </c>
      <c r="E11">
        <f>IF(D11=1,COUNTIF(D$2:D11,1),"")</f>
        <v/>
      </c>
      <c r="F11">
        <f>IF(B11=1,COUNTIF(B$2:B11,1),"")</f>
        <v/>
      </c>
    </row>
    <row r="12">
      <c r="A12" t="n">
        <v>16</v>
      </c>
      <c r="B12">
        <f>IF(AND(TRIM('INPUT - Roster'!C16&amp;"")&lt;&gt;"",TRIM('INPUT - Roster'!D16&amp;"")="",TRIM('INPUT - Roster'!E16&amp;"")=""),1,0)</f>
        <v/>
      </c>
      <c r="C12">
        <f>IF(B12=1,TRIM('INPUT - Roster'!C16&amp;""),C11)</f>
        <v/>
      </c>
      <c r="D12">
        <f>IF(AND(B12=0,TRIM('INPUT - Roster'!D16&amp;"")&lt;&gt;""),1,0)</f>
        <v/>
      </c>
      <c r="E12">
        <f>IF(D12=1,COUNTIF(D$2:D12,1),"")</f>
        <v/>
      </c>
      <c r="F12">
        <f>IF(B12=1,COUNTIF(B$2:B12,1),"")</f>
        <v/>
      </c>
    </row>
    <row r="13">
      <c r="A13" t="n">
        <v>17</v>
      </c>
      <c r="B13">
        <f>IF(AND(TRIM('INPUT - Roster'!C17&amp;"")&lt;&gt;"",TRIM('INPUT - Roster'!D17&amp;"")="",TRIM('INPUT - Roster'!E17&amp;"")=""),1,0)</f>
        <v/>
      </c>
      <c r="C13">
        <f>IF(B13=1,TRIM('INPUT - Roster'!C17&amp;""),C12)</f>
        <v/>
      </c>
      <c r="D13">
        <f>IF(AND(B13=0,TRIM('INPUT - Roster'!D17&amp;"")&lt;&gt;""),1,0)</f>
        <v/>
      </c>
      <c r="E13">
        <f>IF(D13=1,COUNTIF(D$2:D13,1),"")</f>
        <v/>
      </c>
      <c r="F13">
        <f>IF(B13=1,COUNTIF(B$2:B13,1),"")</f>
        <v/>
      </c>
    </row>
    <row r="14">
      <c r="A14" t="n">
        <v>18</v>
      </c>
      <c r="B14">
        <f>IF(AND(TRIM('INPUT - Roster'!C18&amp;"")&lt;&gt;"",TRIM('INPUT - Roster'!D18&amp;"")="",TRIM('INPUT - Roster'!E18&amp;"")=""),1,0)</f>
        <v/>
      </c>
      <c r="C14">
        <f>IF(B14=1,TRIM('INPUT - Roster'!C18&amp;""),C13)</f>
        <v/>
      </c>
      <c r="D14">
        <f>IF(AND(B14=0,TRIM('INPUT - Roster'!D18&amp;"")&lt;&gt;""),1,0)</f>
        <v/>
      </c>
      <c r="E14">
        <f>IF(D14=1,COUNTIF(D$2:D14,1),"")</f>
        <v/>
      </c>
      <c r="F14">
        <f>IF(B14=1,COUNTIF(B$2:B14,1),"")</f>
        <v/>
      </c>
    </row>
    <row r="15">
      <c r="A15" t="n">
        <v>19</v>
      </c>
      <c r="B15">
        <f>IF(AND(TRIM('INPUT - Roster'!C19&amp;"")&lt;&gt;"",TRIM('INPUT - Roster'!D19&amp;"")="",TRIM('INPUT - Roster'!E19&amp;"")=""),1,0)</f>
        <v/>
      </c>
      <c r="C15">
        <f>IF(B15=1,TRIM('INPUT - Roster'!C19&amp;""),C14)</f>
        <v/>
      </c>
      <c r="D15">
        <f>IF(AND(B15=0,TRIM('INPUT - Roster'!D19&amp;"")&lt;&gt;""),1,0)</f>
        <v/>
      </c>
      <c r="E15">
        <f>IF(D15=1,COUNTIF(D$2:D15,1),"")</f>
        <v/>
      </c>
      <c r="F15">
        <f>IF(B15=1,COUNTIF(B$2:B15,1),"")</f>
        <v/>
      </c>
    </row>
    <row r="16">
      <c r="A16" t="n">
        <v>20</v>
      </c>
      <c r="B16">
        <f>IF(AND(TRIM('INPUT - Roster'!C20&amp;"")&lt;&gt;"",TRIM('INPUT - Roster'!D20&amp;"")="",TRIM('INPUT - Roster'!E20&amp;"")=""),1,0)</f>
        <v/>
      </c>
      <c r="C16">
        <f>IF(B16=1,TRIM('INPUT - Roster'!C20&amp;""),C15)</f>
        <v/>
      </c>
      <c r="D16">
        <f>IF(AND(B16=0,TRIM('INPUT - Roster'!D20&amp;"")&lt;&gt;""),1,0)</f>
        <v/>
      </c>
      <c r="E16">
        <f>IF(D16=1,COUNTIF(D$2:D16,1),"")</f>
        <v/>
      </c>
      <c r="F16">
        <f>IF(B16=1,COUNTIF(B$2:B16,1),"")</f>
        <v/>
      </c>
    </row>
    <row r="17">
      <c r="A17" t="n">
        <v>21</v>
      </c>
      <c r="B17">
        <f>IF(AND(TRIM('INPUT - Roster'!C21&amp;"")&lt;&gt;"",TRIM('INPUT - Roster'!D21&amp;"")="",TRIM('INPUT - Roster'!E21&amp;"")=""),1,0)</f>
        <v/>
      </c>
      <c r="C17">
        <f>IF(B17=1,TRIM('INPUT - Roster'!C21&amp;""),C16)</f>
        <v/>
      </c>
      <c r="D17">
        <f>IF(AND(B17=0,TRIM('INPUT - Roster'!D21&amp;"")&lt;&gt;""),1,0)</f>
        <v/>
      </c>
      <c r="E17">
        <f>IF(D17=1,COUNTIF(D$2:D17,1),"")</f>
        <v/>
      </c>
      <c r="F17">
        <f>IF(B17=1,COUNTIF(B$2:B17,1),"")</f>
        <v/>
      </c>
    </row>
    <row r="18">
      <c r="A18" t="n">
        <v>22</v>
      </c>
      <c r="B18">
        <f>IF(AND(TRIM('INPUT - Roster'!C22&amp;"")&lt;&gt;"",TRIM('INPUT - Roster'!D22&amp;"")="",TRIM('INPUT - Roster'!E22&amp;"")=""),1,0)</f>
        <v/>
      </c>
      <c r="C18">
        <f>IF(B18=1,TRIM('INPUT - Roster'!C22&amp;""),C17)</f>
        <v/>
      </c>
      <c r="D18">
        <f>IF(AND(B18=0,TRIM('INPUT - Roster'!D22&amp;"")&lt;&gt;""),1,0)</f>
        <v/>
      </c>
      <c r="E18">
        <f>IF(D18=1,COUNTIF(D$2:D18,1),"")</f>
        <v/>
      </c>
      <c r="F18">
        <f>IF(B18=1,COUNTIF(B$2:B18,1),"")</f>
        <v/>
      </c>
    </row>
    <row r="19">
      <c r="A19" t="n">
        <v>23</v>
      </c>
      <c r="B19">
        <f>IF(AND(TRIM('INPUT - Roster'!C23&amp;"")&lt;&gt;"",TRIM('INPUT - Roster'!D23&amp;"")="",TRIM('INPUT - Roster'!E23&amp;"")=""),1,0)</f>
        <v/>
      </c>
      <c r="C19">
        <f>IF(B19=1,TRIM('INPUT - Roster'!C23&amp;""),C18)</f>
        <v/>
      </c>
      <c r="D19">
        <f>IF(AND(B19=0,TRIM('INPUT - Roster'!D23&amp;"")&lt;&gt;""),1,0)</f>
        <v/>
      </c>
      <c r="E19">
        <f>IF(D19=1,COUNTIF(D$2:D19,1),"")</f>
        <v/>
      </c>
      <c r="F19">
        <f>IF(B19=1,COUNTIF(B$2:B19,1),"")</f>
        <v/>
      </c>
    </row>
    <row r="20">
      <c r="A20" t="n">
        <v>24</v>
      </c>
      <c r="B20">
        <f>IF(AND(TRIM('INPUT - Roster'!C24&amp;"")&lt;&gt;"",TRIM('INPUT - Roster'!D24&amp;"")="",TRIM('INPUT - Roster'!E24&amp;"")=""),1,0)</f>
        <v/>
      </c>
      <c r="C20">
        <f>IF(B20=1,TRIM('INPUT - Roster'!C24&amp;""),C19)</f>
        <v/>
      </c>
      <c r="D20">
        <f>IF(AND(B20=0,TRIM('INPUT - Roster'!D24&amp;"")&lt;&gt;""),1,0)</f>
        <v/>
      </c>
      <c r="E20">
        <f>IF(D20=1,COUNTIF(D$2:D20,1),"")</f>
        <v/>
      </c>
      <c r="F20">
        <f>IF(B20=1,COUNTIF(B$2:B20,1),"")</f>
        <v/>
      </c>
    </row>
    <row r="21">
      <c r="A21" t="n">
        <v>25</v>
      </c>
      <c r="B21">
        <f>IF(AND(TRIM('INPUT - Roster'!C25&amp;"")&lt;&gt;"",TRIM('INPUT - Roster'!D25&amp;"")="",TRIM('INPUT - Roster'!E25&amp;"")=""),1,0)</f>
        <v/>
      </c>
      <c r="C21">
        <f>IF(B21=1,TRIM('INPUT - Roster'!C25&amp;""),C20)</f>
        <v/>
      </c>
      <c r="D21">
        <f>IF(AND(B21=0,TRIM('INPUT - Roster'!D25&amp;"")&lt;&gt;""),1,0)</f>
        <v/>
      </c>
      <c r="E21">
        <f>IF(D21=1,COUNTIF(D$2:D21,1),"")</f>
        <v/>
      </c>
      <c r="F21">
        <f>IF(B21=1,COUNTIF(B$2:B21,1),"")</f>
        <v/>
      </c>
    </row>
    <row r="22">
      <c r="A22" t="n">
        <v>26</v>
      </c>
      <c r="B22">
        <f>IF(AND(TRIM('INPUT - Roster'!C26&amp;"")&lt;&gt;"",TRIM('INPUT - Roster'!D26&amp;"")="",TRIM('INPUT - Roster'!E26&amp;"")=""),1,0)</f>
        <v/>
      </c>
      <c r="C22">
        <f>IF(B22=1,TRIM('INPUT - Roster'!C26&amp;""),C21)</f>
        <v/>
      </c>
      <c r="D22">
        <f>IF(AND(B22=0,TRIM('INPUT - Roster'!D26&amp;"")&lt;&gt;""),1,0)</f>
        <v/>
      </c>
      <c r="E22">
        <f>IF(D22=1,COUNTIF(D$2:D22,1),"")</f>
        <v/>
      </c>
      <c r="F22">
        <f>IF(B22=1,COUNTIF(B$2:B22,1),"")</f>
        <v/>
      </c>
    </row>
    <row r="23">
      <c r="A23" t="n">
        <v>27</v>
      </c>
      <c r="B23">
        <f>IF(AND(TRIM('INPUT - Roster'!C27&amp;"")&lt;&gt;"",TRIM('INPUT - Roster'!D27&amp;"")="",TRIM('INPUT - Roster'!E27&amp;"")=""),1,0)</f>
        <v/>
      </c>
      <c r="C23">
        <f>IF(B23=1,TRIM('INPUT - Roster'!C27&amp;""),C22)</f>
        <v/>
      </c>
      <c r="D23">
        <f>IF(AND(B23=0,TRIM('INPUT - Roster'!D27&amp;"")&lt;&gt;""),1,0)</f>
        <v/>
      </c>
      <c r="E23">
        <f>IF(D23=1,COUNTIF(D$2:D23,1),"")</f>
        <v/>
      </c>
      <c r="F23">
        <f>IF(B23=1,COUNTIF(B$2:B23,1),"")</f>
        <v/>
      </c>
    </row>
    <row r="24">
      <c r="A24" t="n">
        <v>28</v>
      </c>
      <c r="B24">
        <f>IF(AND(TRIM('INPUT - Roster'!C28&amp;"")&lt;&gt;"",TRIM('INPUT - Roster'!D28&amp;"")="",TRIM('INPUT - Roster'!E28&amp;"")=""),1,0)</f>
        <v/>
      </c>
      <c r="C24">
        <f>IF(B24=1,TRIM('INPUT - Roster'!C28&amp;""),C23)</f>
        <v/>
      </c>
      <c r="D24">
        <f>IF(AND(B24=0,TRIM('INPUT - Roster'!D28&amp;"")&lt;&gt;""),1,0)</f>
        <v/>
      </c>
      <c r="E24">
        <f>IF(D24=1,COUNTIF(D$2:D24,1),"")</f>
        <v/>
      </c>
      <c r="F24">
        <f>IF(B24=1,COUNTIF(B$2:B24,1),"")</f>
        <v/>
      </c>
    </row>
    <row r="25">
      <c r="A25" t="n">
        <v>29</v>
      </c>
      <c r="B25">
        <f>IF(AND(TRIM('INPUT - Roster'!C29&amp;"")&lt;&gt;"",TRIM('INPUT - Roster'!D29&amp;"")="",TRIM('INPUT - Roster'!E29&amp;"")=""),1,0)</f>
        <v/>
      </c>
      <c r="C25">
        <f>IF(B25=1,TRIM('INPUT - Roster'!C29&amp;""),C24)</f>
        <v/>
      </c>
      <c r="D25">
        <f>IF(AND(B25=0,TRIM('INPUT - Roster'!D29&amp;"")&lt;&gt;""),1,0)</f>
        <v/>
      </c>
      <c r="E25">
        <f>IF(D25=1,COUNTIF(D$2:D25,1),"")</f>
        <v/>
      </c>
      <c r="F25">
        <f>IF(B25=1,COUNTIF(B$2:B25,1),"")</f>
        <v/>
      </c>
    </row>
    <row r="26">
      <c r="A26" t="n">
        <v>30</v>
      </c>
      <c r="B26">
        <f>IF(AND(TRIM('INPUT - Roster'!C30&amp;"")&lt;&gt;"",TRIM('INPUT - Roster'!D30&amp;"")="",TRIM('INPUT - Roster'!E30&amp;"")=""),1,0)</f>
        <v/>
      </c>
      <c r="C26">
        <f>IF(B26=1,TRIM('INPUT - Roster'!C30&amp;""),C25)</f>
        <v/>
      </c>
      <c r="D26">
        <f>IF(AND(B26=0,TRIM('INPUT - Roster'!D30&amp;"")&lt;&gt;""),1,0)</f>
        <v/>
      </c>
      <c r="E26">
        <f>IF(D26=1,COUNTIF(D$2:D26,1),"")</f>
        <v/>
      </c>
      <c r="F26">
        <f>IF(B26=1,COUNTIF(B$2:B26,1),"")</f>
        <v/>
      </c>
    </row>
    <row r="27">
      <c r="A27" t="n">
        <v>31</v>
      </c>
      <c r="B27">
        <f>IF(AND(TRIM('INPUT - Roster'!C31&amp;"")&lt;&gt;"",TRIM('INPUT - Roster'!D31&amp;"")="",TRIM('INPUT - Roster'!E31&amp;"")=""),1,0)</f>
        <v/>
      </c>
      <c r="C27">
        <f>IF(B27=1,TRIM('INPUT - Roster'!C31&amp;""),C26)</f>
        <v/>
      </c>
      <c r="D27">
        <f>IF(AND(B27=0,TRIM('INPUT - Roster'!D31&amp;"")&lt;&gt;""),1,0)</f>
        <v/>
      </c>
      <c r="E27">
        <f>IF(D27=1,COUNTIF(D$2:D27,1),"")</f>
        <v/>
      </c>
      <c r="F27">
        <f>IF(B27=1,COUNTIF(B$2:B27,1),"")</f>
        <v/>
      </c>
    </row>
    <row r="28">
      <c r="A28" t="n">
        <v>32</v>
      </c>
      <c r="B28">
        <f>IF(AND(TRIM('INPUT - Roster'!C32&amp;"")&lt;&gt;"",TRIM('INPUT - Roster'!D32&amp;"")="",TRIM('INPUT - Roster'!E32&amp;"")=""),1,0)</f>
        <v/>
      </c>
      <c r="C28">
        <f>IF(B28=1,TRIM('INPUT - Roster'!C32&amp;""),C27)</f>
        <v/>
      </c>
      <c r="D28">
        <f>IF(AND(B28=0,TRIM('INPUT - Roster'!D32&amp;"")&lt;&gt;""),1,0)</f>
        <v/>
      </c>
      <c r="E28">
        <f>IF(D28=1,COUNTIF(D$2:D28,1),"")</f>
        <v/>
      </c>
      <c r="F28">
        <f>IF(B28=1,COUNTIF(B$2:B28,1),"")</f>
        <v/>
      </c>
    </row>
    <row r="29">
      <c r="A29" t="n">
        <v>33</v>
      </c>
      <c r="B29">
        <f>IF(AND(TRIM('INPUT - Roster'!C33&amp;"")&lt;&gt;"",TRIM('INPUT - Roster'!D33&amp;"")="",TRIM('INPUT - Roster'!E33&amp;"")=""),1,0)</f>
        <v/>
      </c>
      <c r="C29">
        <f>IF(B29=1,TRIM('INPUT - Roster'!C33&amp;""),C28)</f>
        <v/>
      </c>
      <c r="D29">
        <f>IF(AND(B29=0,TRIM('INPUT - Roster'!D33&amp;"")&lt;&gt;""),1,0)</f>
        <v/>
      </c>
      <c r="E29">
        <f>IF(D29=1,COUNTIF(D$2:D29,1),"")</f>
        <v/>
      </c>
      <c r="F29">
        <f>IF(B29=1,COUNTIF(B$2:B29,1),"")</f>
        <v/>
      </c>
    </row>
    <row r="30">
      <c r="A30" t="n">
        <v>34</v>
      </c>
      <c r="B30">
        <f>IF(AND(TRIM('INPUT - Roster'!C34&amp;"")&lt;&gt;"",TRIM('INPUT - Roster'!D34&amp;"")="",TRIM('INPUT - Roster'!E34&amp;"")=""),1,0)</f>
        <v/>
      </c>
      <c r="C30">
        <f>IF(B30=1,TRIM('INPUT - Roster'!C34&amp;""),C29)</f>
        <v/>
      </c>
      <c r="D30">
        <f>IF(AND(B30=0,TRIM('INPUT - Roster'!D34&amp;"")&lt;&gt;""),1,0)</f>
        <v/>
      </c>
      <c r="E30">
        <f>IF(D30=1,COUNTIF(D$2:D30,1),"")</f>
        <v/>
      </c>
      <c r="F30">
        <f>IF(B30=1,COUNTIF(B$2:B30,1),"")</f>
        <v/>
      </c>
    </row>
    <row r="31">
      <c r="A31" t="n">
        <v>35</v>
      </c>
      <c r="B31">
        <f>IF(AND(TRIM('INPUT - Roster'!C35&amp;"")&lt;&gt;"",TRIM('INPUT - Roster'!D35&amp;"")="",TRIM('INPUT - Roster'!E35&amp;"")=""),1,0)</f>
        <v/>
      </c>
      <c r="C31">
        <f>IF(B31=1,TRIM('INPUT - Roster'!C35&amp;""),C30)</f>
        <v/>
      </c>
      <c r="D31">
        <f>IF(AND(B31=0,TRIM('INPUT - Roster'!D35&amp;"")&lt;&gt;""),1,0)</f>
        <v/>
      </c>
      <c r="E31">
        <f>IF(D31=1,COUNTIF(D$2:D31,1),"")</f>
        <v/>
      </c>
      <c r="F31">
        <f>IF(B31=1,COUNTIF(B$2:B31,1),"")</f>
        <v/>
      </c>
    </row>
    <row r="32">
      <c r="A32" t="n">
        <v>36</v>
      </c>
      <c r="B32">
        <f>IF(AND(TRIM('INPUT - Roster'!C36&amp;"")&lt;&gt;"",TRIM('INPUT - Roster'!D36&amp;"")="",TRIM('INPUT - Roster'!E36&amp;"")=""),1,0)</f>
        <v/>
      </c>
      <c r="C32">
        <f>IF(B32=1,TRIM('INPUT - Roster'!C36&amp;""),C31)</f>
        <v/>
      </c>
      <c r="D32">
        <f>IF(AND(B32=0,TRIM('INPUT - Roster'!D36&amp;"")&lt;&gt;""),1,0)</f>
        <v/>
      </c>
      <c r="E32">
        <f>IF(D32=1,COUNTIF(D$2:D32,1),"")</f>
        <v/>
      </c>
      <c r="F32">
        <f>IF(B32=1,COUNTIF(B$2:B32,1),"")</f>
        <v/>
      </c>
    </row>
    <row r="33">
      <c r="A33" t="n">
        <v>37</v>
      </c>
      <c r="B33">
        <f>IF(AND(TRIM('INPUT - Roster'!C37&amp;"")&lt;&gt;"",TRIM('INPUT - Roster'!D37&amp;"")="",TRIM('INPUT - Roster'!E37&amp;"")=""),1,0)</f>
        <v/>
      </c>
      <c r="C33">
        <f>IF(B33=1,TRIM('INPUT - Roster'!C37&amp;""),C32)</f>
        <v/>
      </c>
      <c r="D33">
        <f>IF(AND(B33=0,TRIM('INPUT - Roster'!D37&amp;"")&lt;&gt;""),1,0)</f>
        <v/>
      </c>
      <c r="E33">
        <f>IF(D33=1,COUNTIF(D$2:D33,1),"")</f>
        <v/>
      </c>
      <c r="F33">
        <f>IF(B33=1,COUNTIF(B$2:B33,1),"")</f>
        <v/>
      </c>
    </row>
    <row r="34">
      <c r="A34" t="n">
        <v>38</v>
      </c>
      <c r="B34">
        <f>IF(AND(TRIM('INPUT - Roster'!C38&amp;"")&lt;&gt;"",TRIM('INPUT - Roster'!D38&amp;"")="",TRIM('INPUT - Roster'!E38&amp;"")=""),1,0)</f>
        <v/>
      </c>
      <c r="C34">
        <f>IF(B34=1,TRIM('INPUT - Roster'!C38&amp;""),C33)</f>
        <v/>
      </c>
      <c r="D34">
        <f>IF(AND(B34=0,TRIM('INPUT - Roster'!D38&amp;"")&lt;&gt;""),1,0)</f>
        <v/>
      </c>
      <c r="E34">
        <f>IF(D34=1,COUNTIF(D$2:D34,1),"")</f>
        <v/>
      </c>
      <c r="F34">
        <f>IF(B34=1,COUNTIF(B$2:B34,1),"")</f>
        <v/>
      </c>
    </row>
    <row r="35">
      <c r="A35" t="n">
        <v>39</v>
      </c>
      <c r="B35">
        <f>IF(AND(TRIM('INPUT - Roster'!C39&amp;"")&lt;&gt;"",TRIM('INPUT - Roster'!D39&amp;"")="",TRIM('INPUT - Roster'!E39&amp;"")=""),1,0)</f>
        <v/>
      </c>
      <c r="C35">
        <f>IF(B35=1,TRIM('INPUT - Roster'!C39&amp;""),C34)</f>
        <v/>
      </c>
      <c r="D35">
        <f>IF(AND(B35=0,TRIM('INPUT - Roster'!D39&amp;"")&lt;&gt;""),1,0)</f>
        <v/>
      </c>
      <c r="E35">
        <f>IF(D35=1,COUNTIF(D$2:D35,1),"")</f>
        <v/>
      </c>
      <c r="F35">
        <f>IF(B35=1,COUNTIF(B$2:B35,1),"")</f>
        <v/>
      </c>
    </row>
    <row r="36">
      <c r="A36" t="n">
        <v>40</v>
      </c>
      <c r="B36">
        <f>IF(AND(TRIM('INPUT - Roster'!C40&amp;"")&lt;&gt;"",TRIM('INPUT - Roster'!D40&amp;"")="",TRIM('INPUT - Roster'!E40&amp;"")=""),1,0)</f>
        <v/>
      </c>
      <c r="C36">
        <f>IF(B36=1,TRIM('INPUT - Roster'!C40&amp;""),C35)</f>
        <v/>
      </c>
      <c r="D36">
        <f>IF(AND(B36=0,TRIM('INPUT - Roster'!D40&amp;"")&lt;&gt;""),1,0)</f>
        <v/>
      </c>
      <c r="E36">
        <f>IF(D36=1,COUNTIF(D$2:D36,1),"")</f>
        <v/>
      </c>
      <c r="F36">
        <f>IF(B36=1,COUNTIF(B$2:B36,1),"")</f>
        <v/>
      </c>
    </row>
    <row r="37">
      <c r="A37" t="n">
        <v>41</v>
      </c>
      <c r="B37">
        <f>IF(AND(TRIM('INPUT - Roster'!C41&amp;"")&lt;&gt;"",TRIM('INPUT - Roster'!D41&amp;"")="",TRIM('INPUT - Roster'!E41&amp;"")=""),1,0)</f>
        <v/>
      </c>
      <c r="C37">
        <f>IF(B37=1,TRIM('INPUT - Roster'!C41&amp;""),C36)</f>
        <v/>
      </c>
      <c r="D37">
        <f>IF(AND(B37=0,TRIM('INPUT - Roster'!D41&amp;"")&lt;&gt;""),1,0)</f>
        <v/>
      </c>
      <c r="E37">
        <f>IF(D37=1,COUNTIF(D$2:D37,1),"")</f>
        <v/>
      </c>
      <c r="F37">
        <f>IF(B37=1,COUNTIF(B$2:B37,1),"")</f>
        <v/>
      </c>
    </row>
    <row r="38">
      <c r="A38" t="n">
        <v>42</v>
      </c>
      <c r="B38">
        <f>IF(AND(TRIM('INPUT - Roster'!C42&amp;"")&lt;&gt;"",TRIM('INPUT - Roster'!D42&amp;"")="",TRIM('INPUT - Roster'!E42&amp;"")=""),1,0)</f>
        <v/>
      </c>
      <c r="C38">
        <f>IF(B38=1,TRIM('INPUT - Roster'!C42&amp;""),C37)</f>
        <v/>
      </c>
      <c r="D38">
        <f>IF(AND(B38=0,TRIM('INPUT - Roster'!D42&amp;"")&lt;&gt;""),1,0)</f>
        <v/>
      </c>
      <c r="E38">
        <f>IF(D38=1,COUNTIF(D$2:D38,1),"")</f>
        <v/>
      </c>
      <c r="F38">
        <f>IF(B38=1,COUNTIF(B$2:B38,1),"")</f>
        <v/>
      </c>
    </row>
    <row r="39">
      <c r="A39" t="n">
        <v>43</v>
      </c>
      <c r="B39">
        <f>IF(AND(TRIM('INPUT - Roster'!C43&amp;"")&lt;&gt;"",TRIM('INPUT - Roster'!D43&amp;"")="",TRIM('INPUT - Roster'!E43&amp;"")=""),1,0)</f>
        <v/>
      </c>
      <c r="C39">
        <f>IF(B39=1,TRIM('INPUT - Roster'!C43&amp;""),C38)</f>
        <v/>
      </c>
      <c r="D39">
        <f>IF(AND(B39=0,TRIM('INPUT - Roster'!D43&amp;"")&lt;&gt;""),1,0)</f>
        <v/>
      </c>
      <c r="E39">
        <f>IF(D39=1,COUNTIF(D$2:D39,1),"")</f>
        <v/>
      </c>
      <c r="F39">
        <f>IF(B39=1,COUNTIF(B$2:B39,1),"")</f>
        <v/>
      </c>
    </row>
    <row r="40">
      <c r="A40" t="n">
        <v>44</v>
      </c>
      <c r="B40">
        <f>IF(AND(TRIM('INPUT - Roster'!C44&amp;"")&lt;&gt;"",TRIM('INPUT - Roster'!D44&amp;"")="",TRIM('INPUT - Roster'!E44&amp;"")=""),1,0)</f>
        <v/>
      </c>
      <c r="C40">
        <f>IF(B40=1,TRIM('INPUT - Roster'!C44&amp;""),C39)</f>
        <v/>
      </c>
      <c r="D40">
        <f>IF(AND(B40=0,TRIM('INPUT - Roster'!D44&amp;"")&lt;&gt;""),1,0)</f>
        <v/>
      </c>
      <c r="E40">
        <f>IF(D40=1,COUNTIF(D$2:D40,1),"")</f>
        <v/>
      </c>
      <c r="F40">
        <f>IF(B40=1,COUNTIF(B$2:B40,1),"")</f>
        <v/>
      </c>
    </row>
    <row r="41">
      <c r="A41" t="n">
        <v>45</v>
      </c>
      <c r="B41">
        <f>IF(AND(TRIM('INPUT - Roster'!C45&amp;"")&lt;&gt;"",TRIM('INPUT - Roster'!D45&amp;"")="",TRIM('INPUT - Roster'!E45&amp;"")=""),1,0)</f>
        <v/>
      </c>
      <c r="C41">
        <f>IF(B41=1,TRIM('INPUT - Roster'!C45&amp;""),C40)</f>
        <v/>
      </c>
      <c r="D41">
        <f>IF(AND(B41=0,TRIM('INPUT - Roster'!D45&amp;"")&lt;&gt;""),1,0)</f>
        <v/>
      </c>
      <c r="E41">
        <f>IF(D41=1,COUNTIF(D$2:D41,1),"")</f>
        <v/>
      </c>
      <c r="F41">
        <f>IF(B41=1,COUNTIF(B$2:B41,1),"")</f>
        <v/>
      </c>
    </row>
    <row r="42">
      <c r="A42" t="n">
        <v>46</v>
      </c>
      <c r="B42">
        <f>IF(AND(TRIM('INPUT - Roster'!C46&amp;"")&lt;&gt;"",TRIM('INPUT - Roster'!D46&amp;"")="",TRIM('INPUT - Roster'!E46&amp;"")=""),1,0)</f>
        <v/>
      </c>
      <c r="C42">
        <f>IF(B42=1,TRIM('INPUT - Roster'!C46&amp;""),C41)</f>
        <v/>
      </c>
      <c r="D42">
        <f>IF(AND(B42=0,TRIM('INPUT - Roster'!D46&amp;"")&lt;&gt;""),1,0)</f>
        <v/>
      </c>
      <c r="E42">
        <f>IF(D42=1,COUNTIF(D$2:D42,1),"")</f>
        <v/>
      </c>
      <c r="F42">
        <f>IF(B42=1,COUNTIF(B$2:B42,1),"")</f>
        <v/>
      </c>
    </row>
    <row r="43">
      <c r="A43" t="n">
        <v>47</v>
      </c>
      <c r="B43">
        <f>IF(AND(TRIM('INPUT - Roster'!C47&amp;"")&lt;&gt;"",TRIM('INPUT - Roster'!D47&amp;"")="",TRIM('INPUT - Roster'!E47&amp;"")=""),1,0)</f>
        <v/>
      </c>
      <c r="C43">
        <f>IF(B43=1,TRIM('INPUT - Roster'!C47&amp;""),C42)</f>
        <v/>
      </c>
      <c r="D43">
        <f>IF(AND(B43=0,TRIM('INPUT - Roster'!D47&amp;"")&lt;&gt;""),1,0)</f>
        <v/>
      </c>
      <c r="E43">
        <f>IF(D43=1,COUNTIF(D$2:D43,1),"")</f>
        <v/>
      </c>
      <c r="F43">
        <f>IF(B43=1,COUNTIF(B$2:B43,1),"")</f>
        <v/>
      </c>
    </row>
    <row r="44">
      <c r="A44" t="n">
        <v>48</v>
      </c>
      <c r="B44">
        <f>IF(AND(TRIM('INPUT - Roster'!C48&amp;"")&lt;&gt;"",TRIM('INPUT - Roster'!D48&amp;"")="",TRIM('INPUT - Roster'!E48&amp;"")=""),1,0)</f>
        <v/>
      </c>
      <c r="C44">
        <f>IF(B44=1,TRIM('INPUT - Roster'!C48&amp;""),C43)</f>
        <v/>
      </c>
      <c r="D44">
        <f>IF(AND(B44=0,TRIM('INPUT - Roster'!D48&amp;"")&lt;&gt;""),1,0)</f>
        <v/>
      </c>
      <c r="E44">
        <f>IF(D44=1,COUNTIF(D$2:D44,1),"")</f>
        <v/>
      </c>
      <c r="F44">
        <f>IF(B44=1,COUNTIF(B$2:B44,1),"")</f>
        <v/>
      </c>
    </row>
    <row r="45">
      <c r="A45" t="n">
        <v>49</v>
      </c>
      <c r="B45">
        <f>IF(AND(TRIM('INPUT - Roster'!C49&amp;"")&lt;&gt;"",TRIM('INPUT - Roster'!D49&amp;"")="",TRIM('INPUT - Roster'!E49&amp;"")=""),1,0)</f>
        <v/>
      </c>
      <c r="C45">
        <f>IF(B45=1,TRIM('INPUT - Roster'!C49&amp;""),C44)</f>
        <v/>
      </c>
      <c r="D45">
        <f>IF(AND(B45=0,TRIM('INPUT - Roster'!D49&amp;"")&lt;&gt;""),1,0)</f>
        <v/>
      </c>
      <c r="E45">
        <f>IF(D45=1,COUNTIF(D$2:D45,1),"")</f>
        <v/>
      </c>
      <c r="F45">
        <f>IF(B45=1,COUNTIF(B$2:B45,1),"")</f>
        <v/>
      </c>
    </row>
    <row r="46">
      <c r="A46" t="n">
        <v>50</v>
      </c>
      <c r="B46">
        <f>IF(AND(TRIM('INPUT - Roster'!C50&amp;"")&lt;&gt;"",TRIM('INPUT - Roster'!D50&amp;"")="",TRIM('INPUT - Roster'!E50&amp;"")=""),1,0)</f>
        <v/>
      </c>
      <c r="C46">
        <f>IF(B46=1,TRIM('INPUT - Roster'!C50&amp;""),C45)</f>
        <v/>
      </c>
      <c r="D46">
        <f>IF(AND(B46=0,TRIM('INPUT - Roster'!D50&amp;"")&lt;&gt;""),1,0)</f>
        <v/>
      </c>
      <c r="E46">
        <f>IF(D46=1,COUNTIF(D$2:D46,1),"")</f>
        <v/>
      </c>
      <c r="F46">
        <f>IF(B46=1,COUNTIF(B$2:B46,1),"")</f>
        <v/>
      </c>
    </row>
    <row r="47">
      <c r="A47" t="n">
        <v>51</v>
      </c>
      <c r="B47">
        <f>IF(AND(TRIM('INPUT - Roster'!C51&amp;"")&lt;&gt;"",TRIM('INPUT - Roster'!D51&amp;"")="",TRIM('INPUT - Roster'!E51&amp;"")=""),1,0)</f>
        <v/>
      </c>
      <c r="C47">
        <f>IF(B47=1,TRIM('INPUT - Roster'!C51&amp;""),C46)</f>
        <v/>
      </c>
      <c r="D47">
        <f>IF(AND(B47=0,TRIM('INPUT - Roster'!D51&amp;"")&lt;&gt;""),1,0)</f>
        <v/>
      </c>
      <c r="E47">
        <f>IF(D47=1,COUNTIF(D$2:D47,1),"")</f>
        <v/>
      </c>
      <c r="F47">
        <f>IF(B47=1,COUNTIF(B$2:B47,1),"")</f>
        <v/>
      </c>
    </row>
    <row r="48">
      <c r="A48" t="n">
        <v>52</v>
      </c>
      <c r="B48">
        <f>IF(AND(TRIM('INPUT - Roster'!C52&amp;"")&lt;&gt;"",TRIM('INPUT - Roster'!D52&amp;"")="",TRIM('INPUT - Roster'!E52&amp;"")=""),1,0)</f>
        <v/>
      </c>
      <c r="C48">
        <f>IF(B48=1,TRIM('INPUT - Roster'!C52&amp;""),C47)</f>
        <v/>
      </c>
      <c r="D48">
        <f>IF(AND(B48=0,TRIM('INPUT - Roster'!D52&amp;"")&lt;&gt;""),1,0)</f>
        <v/>
      </c>
      <c r="E48">
        <f>IF(D48=1,COUNTIF(D$2:D48,1),"")</f>
        <v/>
      </c>
      <c r="F48">
        <f>IF(B48=1,COUNTIF(B$2:B48,1),"")</f>
        <v/>
      </c>
    </row>
    <row r="49">
      <c r="A49" t="n">
        <v>53</v>
      </c>
      <c r="B49">
        <f>IF(AND(TRIM('INPUT - Roster'!C53&amp;"")&lt;&gt;"",TRIM('INPUT - Roster'!D53&amp;"")="",TRIM('INPUT - Roster'!E53&amp;"")=""),1,0)</f>
        <v/>
      </c>
      <c r="C49">
        <f>IF(B49=1,TRIM('INPUT - Roster'!C53&amp;""),C48)</f>
        <v/>
      </c>
      <c r="D49">
        <f>IF(AND(B49=0,TRIM('INPUT - Roster'!D53&amp;"")&lt;&gt;""),1,0)</f>
        <v/>
      </c>
      <c r="E49">
        <f>IF(D49=1,COUNTIF(D$2:D49,1),"")</f>
        <v/>
      </c>
      <c r="F49">
        <f>IF(B49=1,COUNTIF(B$2:B49,1),"")</f>
        <v/>
      </c>
    </row>
    <row r="50">
      <c r="A50" t="n">
        <v>54</v>
      </c>
      <c r="B50">
        <f>IF(AND(TRIM('INPUT - Roster'!C54&amp;"")&lt;&gt;"",TRIM('INPUT - Roster'!D54&amp;"")="",TRIM('INPUT - Roster'!E54&amp;"")=""),1,0)</f>
        <v/>
      </c>
      <c r="C50">
        <f>IF(B50=1,TRIM('INPUT - Roster'!C54&amp;""),C49)</f>
        <v/>
      </c>
      <c r="D50">
        <f>IF(AND(B50=0,TRIM('INPUT - Roster'!D54&amp;"")&lt;&gt;""),1,0)</f>
        <v/>
      </c>
      <c r="E50">
        <f>IF(D50=1,COUNTIF(D$2:D50,1),"")</f>
        <v/>
      </c>
      <c r="F50">
        <f>IF(B50=1,COUNTIF(B$2:B50,1),"")</f>
        <v/>
      </c>
    </row>
    <row r="51">
      <c r="A51" t="n">
        <v>55</v>
      </c>
      <c r="B51">
        <f>IF(AND(TRIM('INPUT - Roster'!C55&amp;"")&lt;&gt;"",TRIM('INPUT - Roster'!D55&amp;"")="",TRIM('INPUT - Roster'!E55&amp;"")=""),1,0)</f>
        <v/>
      </c>
      <c r="C51">
        <f>IF(B51=1,TRIM('INPUT - Roster'!C55&amp;""),C50)</f>
        <v/>
      </c>
      <c r="D51">
        <f>IF(AND(B51=0,TRIM('INPUT - Roster'!D55&amp;"")&lt;&gt;""),1,0)</f>
        <v/>
      </c>
      <c r="E51">
        <f>IF(D51=1,COUNTIF(D$2:D51,1),"")</f>
        <v/>
      </c>
      <c r="F51">
        <f>IF(B51=1,COUNTIF(B$2:B51,1),"")</f>
        <v/>
      </c>
    </row>
    <row r="52">
      <c r="A52" t="n">
        <v>56</v>
      </c>
      <c r="B52">
        <f>IF(AND(TRIM('INPUT - Roster'!C56&amp;"")&lt;&gt;"",TRIM('INPUT - Roster'!D56&amp;"")="",TRIM('INPUT - Roster'!E56&amp;"")=""),1,0)</f>
        <v/>
      </c>
      <c r="C52">
        <f>IF(B52=1,TRIM('INPUT - Roster'!C56&amp;""),C51)</f>
        <v/>
      </c>
      <c r="D52">
        <f>IF(AND(B52=0,TRIM('INPUT - Roster'!D56&amp;"")&lt;&gt;""),1,0)</f>
        <v/>
      </c>
      <c r="E52">
        <f>IF(D52=1,COUNTIF(D$2:D52,1),"")</f>
        <v/>
      </c>
      <c r="F52">
        <f>IF(B52=1,COUNTIF(B$2:B52,1),"")</f>
        <v/>
      </c>
    </row>
    <row r="53">
      <c r="A53" t="n">
        <v>57</v>
      </c>
      <c r="B53">
        <f>IF(AND(TRIM('INPUT - Roster'!C57&amp;"")&lt;&gt;"",TRIM('INPUT - Roster'!D57&amp;"")="",TRIM('INPUT - Roster'!E57&amp;"")=""),1,0)</f>
        <v/>
      </c>
      <c r="C53">
        <f>IF(B53=1,TRIM('INPUT - Roster'!C57&amp;""),C52)</f>
        <v/>
      </c>
      <c r="D53">
        <f>IF(AND(B53=0,TRIM('INPUT - Roster'!D57&amp;"")&lt;&gt;""),1,0)</f>
        <v/>
      </c>
      <c r="E53">
        <f>IF(D53=1,COUNTIF(D$2:D53,1),"")</f>
        <v/>
      </c>
      <c r="F53">
        <f>IF(B53=1,COUNTIF(B$2:B53,1),"")</f>
        <v/>
      </c>
    </row>
    <row r="54">
      <c r="A54" t="n">
        <v>58</v>
      </c>
      <c r="B54">
        <f>IF(AND(TRIM('INPUT - Roster'!C58&amp;"")&lt;&gt;"",TRIM('INPUT - Roster'!D58&amp;"")="",TRIM('INPUT - Roster'!E58&amp;"")=""),1,0)</f>
        <v/>
      </c>
      <c r="C54">
        <f>IF(B54=1,TRIM('INPUT - Roster'!C58&amp;""),C53)</f>
        <v/>
      </c>
      <c r="D54">
        <f>IF(AND(B54=0,TRIM('INPUT - Roster'!D58&amp;"")&lt;&gt;""),1,0)</f>
        <v/>
      </c>
      <c r="E54">
        <f>IF(D54=1,COUNTIF(D$2:D54,1),"")</f>
        <v/>
      </c>
      <c r="F54">
        <f>IF(B54=1,COUNTIF(B$2:B54,1),"")</f>
        <v/>
      </c>
    </row>
    <row r="55">
      <c r="A55" t="n">
        <v>59</v>
      </c>
      <c r="B55">
        <f>IF(AND(TRIM('INPUT - Roster'!C59&amp;"")&lt;&gt;"",TRIM('INPUT - Roster'!D59&amp;"")="",TRIM('INPUT - Roster'!E59&amp;"")=""),1,0)</f>
        <v/>
      </c>
      <c r="C55">
        <f>IF(B55=1,TRIM('INPUT - Roster'!C59&amp;""),C54)</f>
        <v/>
      </c>
      <c r="D55">
        <f>IF(AND(B55=0,TRIM('INPUT - Roster'!D59&amp;"")&lt;&gt;""),1,0)</f>
        <v/>
      </c>
      <c r="E55">
        <f>IF(D55=1,COUNTIF(D$2:D55,1),"")</f>
        <v/>
      </c>
      <c r="F55">
        <f>IF(B55=1,COUNTIF(B$2:B55,1),"")</f>
        <v/>
      </c>
    </row>
    <row r="56">
      <c r="A56" t="n">
        <v>60</v>
      </c>
      <c r="B56">
        <f>IF(AND(TRIM('INPUT - Roster'!C60&amp;"")&lt;&gt;"",TRIM('INPUT - Roster'!D60&amp;"")="",TRIM('INPUT - Roster'!E60&amp;"")=""),1,0)</f>
        <v/>
      </c>
      <c r="C56">
        <f>IF(B56=1,TRIM('INPUT - Roster'!C60&amp;""),C55)</f>
        <v/>
      </c>
      <c r="D56">
        <f>IF(AND(B56=0,TRIM('INPUT - Roster'!D60&amp;"")&lt;&gt;""),1,0)</f>
        <v/>
      </c>
      <c r="E56">
        <f>IF(D56=1,COUNTIF(D$2:D56,1),"")</f>
        <v/>
      </c>
      <c r="F56">
        <f>IF(B56=1,COUNTIF(B$2:B56,1),"")</f>
        <v/>
      </c>
    </row>
    <row r="57">
      <c r="A57" t="n">
        <v>61</v>
      </c>
      <c r="B57">
        <f>IF(AND(TRIM('INPUT - Roster'!C61&amp;"")&lt;&gt;"",TRIM('INPUT - Roster'!D61&amp;"")="",TRIM('INPUT - Roster'!E61&amp;"")=""),1,0)</f>
        <v/>
      </c>
      <c r="C57">
        <f>IF(B57=1,TRIM('INPUT - Roster'!C61&amp;""),C56)</f>
        <v/>
      </c>
      <c r="D57">
        <f>IF(AND(B57=0,TRIM('INPUT - Roster'!D61&amp;"")&lt;&gt;""),1,0)</f>
        <v/>
      </c>
      <c r="E57">
        <f>IF(D57=1,COUNTIF(D$2:D57,1),"")</f>
        <v/>
      </c>
      <c r="F57">
        <f>IF(B57=1,COUNTIF(B$2:B57,1),"")</f>
        <v/>
      </c>
    </row>
    <row r="58">
      <c r="A58" t="n">
        <v>62</v>
      </c>
      <c r="B58">
        <f>IF(AND(TRIM('INPUT - Roster'!C62&amp;"")&lt;&gt;"",TRIM('INPUT - Roster'!D62&amp;"")="",TRIM('INPUT - Roster'!E62&amp;"")=""),1,0)</f>
        <v/>
      </c>
      <c r="C58">
        <f>IF(B58=1,TRIM('INPUT - Roster'!C62&amp;""),C57)</f>
        <v/>
      </c>
      <c r="D58">
        <f>IF(AND(B58=0,TRIM('INPUT - Roster'!D62&amp;"")&lt;&gt;""),1,0)</f>
        <v/>
      </c>
      <c r="E58">
        <f>IF(D58=1,COUNTIF(D$2:D58,1),"")</f>
        <v/>
      </c>
      <c r="F58">
        <f>IF(B58=1,COUNTIF(B$2:B58,1),"")</f>
        <v/>
      </c>
    </row>
    <row r="59">
      <c r="A59" t="n">
        <v>63</v>
      </c>
      <c r="B59">
        <f>IF(AND(TRIM('INPUT - Roster'!C63&amp;"")&lt;&gt;"",TRIM('INPUT - Roster'!D63&amp;"")="",TRIM('INPUT - Roster'!E63&amp;"")=""),1,0)</f>
        <v/>
      </c>
      <c r="C59">
        <f>IF(B59=1,TRIM('INPUT - Roster'!C63&amp;""),C58)</f>
        <v/>
      </c>
      <c r="D59">
        <f>IF(AND(B59=0,TRIM('INPUT - Roster'!D63&amp;"")&lt;&gt;""),1,0)</f>
        <v/>
      </c>
      <c r="E59">
        <f>IF(D59=1,COUNTIF(D$2:D59,1),"")</f>
        <v/>
      </c>
      <c r="F59">
        <f>IF(B59=1,COUNTIF(B$2:B59,1),"")</f>
        <v/>
      </c>
    </row>
    <row r="60">
      <c r="A60" t="n">
        <v>64</v>
      </c>
      <c r="B60">
        <f>IF(AND(TRIM('INPUT - Roster'!C64&amp;"")&lt;&gt;"",TRIM('INPUT - Roster'!D64&amp;"")="",TRIM('INPUT - Roster'!E64&amp;"")=""),1,0)</f>
        <v/>
      </c>
      <c r="C60">
        <f>IF(B60=1,TRIM('INPUT - Roster'!C64&amp;""),C59)</f>
        <v/>
      </c>
      <c r="D60">
        <f>IF(AND(B60=0,TRIM('INPUT - Roster'!D64&amp;"")&lt;&gt;""),1,0)</f>
        <v/>
      </c>
      <c r="E60">
        <f>IF(D60=1,COUNTIF(D$2:D60,1),"")</f>
        <v/>
      </c>
      <c r="F60">
        <f>IF(B60=1,COUNTIF(B$2:B60,1),"")</f>
        <v/>
      </c>
    </row>
    <row r="61">
      <c r="A61" t="n">
        <v>65</v>
      </c>
      <c r="B61">
        <f>IF(AND(TRIM('INPUT - Roster'!C65&amp;"")&lt;&gt;"",TRIM('INPUT - Roster'!D65&amp;"")="",TRIM('INPUT - Roster'!E65&amp;"")=""),1,0)</f>
        <v/>
      </c>
      <c r="C61">
        <f>IF(B61=1,TRIM('INPUT - Roster'!C65&amp;""),C60)</f>
        <v/>
      </c>
      <c r="D61">
        <f>IF(AND(B61=0,TRIM('INPUT - Roster'!D65&amp;"")&lt;&gt;""),1,0)</f>
        <v/>
      </c>
      <c r="E61">
        <f>IF(D61=1,COUNTIF(D$2:D61,1),"")</f>
        <v/>
      </c>
      <c r="F61">
        <f>IF(B61=1,COUNTIF(B$2:B61,1),"")</f>
        <v/>
      </c>
    </row>
    <row r="62">
      <c r="A62" t="n">
        <v>66</v>
      </c>
      <c r="B62">
        <f>IF(AND(TRIM('INPUT - Roster'!C66&amp;"")&lt;&gt;"",TRIM('INPUT - Roster'!D66&amp;"")="",TRIM('INPUT - Roster'!E66&amp;"")=""),1,0)</f>
        <v/>
      </c>
      <c r="C62">
        <f>IF(B62=1,TRIM('INPUT - Roster'!C66&amp;""),C61)</f>
        <v/>
      </c>
      <c r="D62">
        <f>IF(AND(B62=0,TRIM('INPUT - Roster'!D66&amp;"")&lt;&gt;""),1,0)</f>
        <v/>
      </c>
      <c r="E62">
        <f>IF(D62=1,COUNTIF(D$2:D62,1),"")</f>
        <v/>
      </c>
      <c r="F62">
        <f>IF(B62=1,COUNTIF(B$2:B62,1),"")</f>
        <v/>
      </c>
    </row>
    <row r="63">
      <c r="A63" t="n">
        <v>67</v>
      </c>
      <c r="B63">
        <f>IF(AND(TRIM('INPUT - Roster'!C67&amp;"")&lt;&gt;"",TRIM('INPUT - Roster'!D67&amp;"")="",TRIM('INPUT - Roster'!E67&amp;"")=""),1,0)</f>
        <v/>
      </c>
      <c r="C63">
        <f>IF(B63=1,TRIM('INPUT - Roster'!C67&amp;""),C62)</f>
        <v/>
      </c>
      <c r="D63">
        <f>IF(AND(B63=0,TRIM('INPUT - Roster'!D67&amp;"")&lt;&gt;""),1,0)</f>
        <v/>
      </c>
      <c r="E63">
        <f>IF(D63=1,COUNTIF(D$2:D63,1),"")</f>
        <v/>
      </c>
      <c r="F63">
        <f>IF(B63=1,COUNTIF(B$2:B63,1),"")</f>
        <v/>
      </c>
    </row>
    <row r="64">
      <c r="A64" t="n">
        <v>68</v>
      </c>
      <c r="B64">
        <f>IF(AND(TRIM('INPUT - Roster'!C68&amp;"")&lt;&gt;"",TRIM('INPUT - Roster'!D68&amp;"")="",TRIM('INPUT - Roster'!E68&amp;"")=""),1,0)</f>
        <v/>
      </c>
      <c r="C64">
        <f>IF(B64=1,TRIM('INPUT - Roster'!C68&amp;""),C63)</f>
        <v/>
      </c>
      <c r="D64">
        <f>IF(AND(B64=0,TRIM('INPUT - Roster'!D68&amp;"")&lt;&gt;""),1,0)</f>
        <v/>
      </c>
      <c r="E64">
        <f>IF(D64=1,COUNTIF(D$2:D64,1),"")</f>
        <v/>
      </c>
      <c r="F64">
        <f>IF(B64=1,COUNTIF(B$2:B64,1),"")</f>
        <v/>
      </c>
    </row>
    <row r="65">
      <c r="A65" t="n">
        <v>69</v>
      </c>
      <c r="B65">
        <f>IF(AND(TRIM('INPUT - Roster'!C69&amp;"")&lt;&gt;"",TRIM('INPUT - Roster'!D69&amp;"")="",TRIM('INPUT - Roster'!E69&amp;"")=""),1,0)</f>
        <v/>
      </c>
      <c r="C65">
        <f>IF(B65=1,TRIM('INPUT - Roster'!C69&amp;""),C64)</f>
        <v/>
      </c>
      <c r="D65">
        <f>IF(AND(B65=0,TRIM('INPUT - Roster'!D69&amp;"")&lt;&gt;""),1,0)</f>
        <v/>
      </c>
      <c r="E65">
        <f>IF(D65=1,COUNTIF(D$2:D65,1),"")</f>
        <v/>
      </c>
      <c r="F65">
        <f>IF(B65=1,COUNTIF(B$2:B65,1),"")</f>
        <v/>
      </c>
    </row>
    <row r="66">
      <c r="A66" t="n">
        <v>70</v>
      </c>
      <c r="B66">
        <f>IF(AND(TRIM('INPUT - Roster'!C70&amp;"")&lt;&gt;"",TRIM('INPUT - Roster'!D70&amp;"")="",TRIM('INPUT - Roster'!E70&amp;"")=""),1,0)</f>
        <v/>
      </c>
      <c r="C66">
        <f>IF(B66=1,TRIM('INPUT - Roster'!C70&amp;""),C65)</f>
        <v/>
      </c>
      <c r="D66">
        <f>IF(AND(B66=0,TRIM('INPUT - Roster'!D70&amp;"")&lt;&gt;""),1,0)</f>
        <v/>
      </c>
      <c r="E66">
        <f>IF(D66=1,COUNTIF(D$2:D66,1),"")</f>
        <v/>
      </c>
      <c r="F66">
        <f>IF(B66=1,COUNTIF(B$2:B66,1),"")</f>
        <v/>
      </c>
    </row>
    <row r="67">
      <c r="A67" t="n">
        <v>71</v>
      </c>
      <c r="B67">
        <f>IF(AND(TRIM('INPUT - Roster'!C71&amp;"")&lt;&gt;"",TRIM('INPUT - Roster'!D71&amp;"")="",TRIM('INPUT - Roster'!E71&amp;"")=""),1,0)</f>
        <v/>
      </c>
      <c r="C67">
        <f>IF(B67=1,TRIM('INPUT - Roster'!C71&amp;""),C66)</f>
        <v/>
      </c>
      <c r="D67">
        <f>IF(AND(B67=0,TRIM('INPUT - Roster'!D71&amp;"")&lt;&gt;""),1,0)</f>
        <v/>
      </c>
      <c r="E67">
        <f>IF(D67=1,COUNTIF(D$2:D67,1),"")</f>
        <v/>
      </c>
      <c r="F67">
        <f>IF(B67=1,COUNTIF(B$2:B67,1),"")</f>
        <v/>
      </c>
    </row>
    <row r="68">
      <c r="A68" t="n">
        <v>72</v>
      </c>
      <c r="B68">
        <f>IF(AND(TRIM('INPUT - Roster'!C72&amp;"")&lt;&gt;"",TRIM('INPUT - Roster'!D72&amp;"")="",TRIM('INPUT - Roster'!E72&amp;"")=""),1,0)</f>
        <v/>
      </c>
      <c r="C68">
        <f>IF(B68=1,TRIM('INPUT - Roster'!C72&amp;""),C67)</f>
        <v/>
      </c>
      <c r="D68">
        <f>IF(AND(B68=0,TRIM('INPUT - Roster'!D72&amp;"")&lt;&gt;""),1,0)</f>
        <v/>
      </c>
      <c r="E68">
        <f>IF(D68=1,COUNTIF(D$2:D68,1),"")</f>
        <v/>
      </c>
      <c r="F68">
        <f>IF(B68=1,COUNTIF(B$2:B68,1),"")</f>
        <v/>
      </c>
    </row>
    <row r="69">
      <c r="A69" t="n">
        <v>73</v>
      </c>
      <c r="B69">
        <f>IF(AND(TRIM('INPUT - Roster'!C73&amp;"")&lt;&gt;"",TRIM('INPUT - Roster'!D73&amp;"")="",TRIM('INPUT - Roster'!E73&amp;"")=""),1,0)</f>
        <v/>
      </c>
      <c r="C69">
        <f>IF(B69=1,TRIM('INPUT - Roster'!C73&amp;""),C68)</f>
        <v/>
      </c>
      <c r="D69">
        <f>IF(AND(B69=0,TRIM('INPUT - Roster'!D73&amp;"")&lt;&gt;""),1,0)</f>
        <v/>
      </c>
      <c r="E69">
        <f>IF(D69=1,COUNTIF(D$2:D69,1),"")</f>
        <v/>
      </c>
      <c r="F69">
        <f>IF(B69=1,COUNTIF(B$2:B69,1),"")</f>
        <v/>
      </c>
    </row>
    <row r="70">
      <c r="A70" t="n">
        <v>74</v>
      </c>
      <c r="B70">
        <f>IF(AND(TRIM('INPUT - Roster'!C74&amp;"")&lt;&gt;"",TRIM('INPUT - Roster'!D74&amp;"")="",TRIM('INPUT - Roster'!E74&amp;"")=""),1,0)</f>
        <v/>
      </c>
      <c r="C70">
        <f>IF(B70=1,TRIM('INPUT - Roster'!C74&amp;""),C69)</f>
        <v/>
      </c>
      <c r="D70">
        <f>IF(AND(B70=0,TRIM('INPUT - Roster'!D74&amp;"")&lt;&gt;""),1,0)</f>
        <v/>
      </c>
      <c r="E70">
        <f>IF(D70=1,COUNTIF(D$2:D70,1),"")</f>
        <v/>
      </c>
      <c r="F70">
        <f>IF(B70=1,COUNTIF(B$2:B70,1),"")</f>
        <v/>
      </c>
    </row>
    <row r="71">
      <c r="A71" t="n">
        <v>75</v>
      </c>
      <c r="B71">
        <f>IF(AND(TRIM('INPUT - Roster'!C75&amp;"")&lt;&gt;"",TRIM('INPUT - Roster'!D75&amp;"")="",TRIM('INPUT - Roster'!E75&amp;"")=""),1,0)</f>
        <v/>
      </c>
      <c r="C71">
        <f>IF(B71=1,TRIM('INPUT - Roster'!C75&amp;""),C70)</f>
        <v/>
      </c>
      <c r="D71">
        <f>IF(AND(B71=0,TRIM('INPUT - Roster'!D75&amp;"")&lt;&gt;""),1,0)</f>
        <v/>
      </c>
      <c r="E71">
        <f>IF(D71=1,COUNTIF(D$2:D71,1),"")</f>
        <v/>
      </c>
      <c r="F71">
        <f>IF(B71=1,COUNTIF(B$2:B71,1),"")</f>
        <v/>
      </c>
    </row>
    <row r="72">
      <c r="A72" t="n">
        <v>76</v>
      </c>
      <c r="B72">
        <f>IF(AND(TRIM('INPUT - Roster'!C76&amp;"")&lt;&gt;"",TRIM('INPUT - Roster'!D76&amp;"")="",TRIM('INPUT - Roster'!E76&amp;"")=""),1,0)</f>
        <v/>
      </c>
      <c r="C72">
        <f>IF(B72=1,TRIM('INPUT - Roster'!C76&amp;""),C71)</f>
        <v/>
      </c>
      <c r="D72">
        <f>IF(AND(B72=0,TRIM('INPUT - Roster'!D76&amp;"")&lt;&gt;""),1,0)</f>
        <v/>
      </c>
      <c r="E72">
        <f>IF(D72=1,COUNTIF(D$2:D72,1),"")</f>
        <v/>
      </c>
      <c r="F72">
        <f>IF(B72=1,COUNTIF(B$2:B72,1),"")</f>
        <v/>
      </c>
    </row>
    <row r="73">
      <c r="A73" t="n">
        <v>77</v>
      </c>
      <c r="B73">
        <f>IF(AND(TRIM('INPUT - Roster'!C77&amp;"")&lt;&gt;"",TRIM('INPUT - Roster'!D77&amp;"")="",TRIM('INPUT - Roster'!E77&amp;"")=""),1,0)</f>
        <v/>
      </c>
      <c r="C73">
        <f>IF(B73=1,TRIM('INPUT - Roster'!C77&amp;""),C72)</f>
        <v/>
      </c>
      <c r="D73">
        <f>IF(AND(B73=0,TRIM('INPUT - Roster'!D77&amp;"")&lt;&gt;""),1,0)</f>
        <v/>
      </c>
      <c r="E73">
        <f>IF(D73=1,COUNTIF(D$2:D73,1),"")</f>
        <v/>
      </c>
      <c r="F73">
        <f>IF(B73=1,COUNTIF(B$2:B73,1),"")</f>
        <v/>
      </c>
    </row>
    <row r="74">
      <c r="A74" t="n">
        <v>78</v>
      </c>
      <c r="B74">
        <f>IF(AND(TRIM('INPUT - Roster'!C78&amp;"")&lt;&gt;"",TRIM('INPUT - Roster'!D78&amp;"")="",TRIM('INPUT - Roster'!E78&amp;"")=""),1,0)</f>
        <v/>
      </c>
      <c r="C74">
        <f>IF(B74=1,TRIM('INPUT - Roster'!C78&amp;""),C73)</f>
        <v/>
      </c>
      <c r="D74">
        <f>IF(AND(B74=0,TRIM('INPUT - Roster'!D78&amp;"")&lt;&gt;""),1,0)</f>
        <v/>
      </c>
      <c r="E74">
        <f>IF(D74=1,COUNTIF(D$2:D74,1),"")</f>
        <v/>
      </c>
      <c r="F74">
        <f>IF(B74=1,COUNTIF(B$2:B74,1),"")</f>
        <v/>
      </c>
    </row>
    <row r="75">
      <c r="A75" t="n">
        <v>79</v>
      </c>
      <c r="B75">
        <f>IF(AND(TRIM('INPUT - Roster'!C79&amp;"")&lt;&gt;"",TRIM('INPUT - Roster'!D79&amp;"")="",TRIM('INPUT - Roster'!E79&amp;"")=""),1,0)</f>
        <v/>
      </c>
      <c r="C75">
        <f>IF(B75=1,TRIM('INPUT - Roster'!C79&amp;""),C74)</f>
        <v/>
      </c>
      <c r="D75">
        <f>IF(AND(B75=0,TRIM('INPUT - Roster'!D79&amp;"")&lt;&gt;""),1,0)</f>
        <v/>
      </c>
      <c r="E75">
        <f>IF(D75=1,COUNTIF(D$2:D75,1),"")</f>
        <v/>
      </c>
      <c r="F75">
        <f>IF(B75=1,COUNTIF(B$2:B75,1),"")</f>
        <v/>
      </c>
    </row>
    <row r="76">
      <c r="A76" t="n">
        <v>80</v>
      </c>
      <c r="B76">
        <f>IF(AND(TRIM('INPUT - Roster'!C80&amp;"")&lt;&gt;"",TRIM('INPUT - Roster'!D80&amp;"")="",TRIM('INPUT - Roster'!E80&amp;"")=""),1,0)</f>
        <v/>
      </c>
      <c r="C76">
        <f>IF(B76=1,TRIM('INPUT - Roster'!C80&amp;""),C75)</f>
        <v/>
      </c>
      <c r="D76">
        <f>IF(AND(B76=0,TRIM('INPUT - Roster'!D80&amp;"")&lt;&gt;""),1,0)</f>
        <v/>
      </c>
      <c r="E76">
        <f>IF(D76=1,COUNTIF(D$2:D76,1),"")</f>
        <v/>
      </c>
      <c r="F76">
        <f>IF(B76=1,COUNTIF(B$2:B76,1),"")</f>
        <v/>
      </c>
    </row>
    <row r="77">
      <c r="A77" t="n">
        <v>81</v>
      </c>
      <c r="B77">
        <f>IF(AND(TRIM('INPUT - Roster'!C81&amp;"")&lt;&gt;"",TRIM('INPUT - Roster'!D81&amp;"")="",TRIM('INPUT - Roster'!E81&amp;"")=""),1,0)</f>
        <v/>
      </c>
      <c r="C77">
        <f>IF(B77=1,TRIM('INPUT - Roster'!C81&amp;""),C76)</f>
        <v/>
      </c>
      <c r="D77">
        <f>IF(AND(B77=0,TRIM('INPUT - Roster'!D81&amp;"")&lt;&gt;""),1,0)</f>
        <v/>
      </c>
      <c r="E77">
        <f>IF(D77=1,COUNTIF(D$2:D77,1),"")</f>
        <v/>
      </c>
      <c r="F77">
        <f>IF(B77=1,COUNTIF(B$2:B77,1),"")</f>
        <v/>
      </c>
    </row>
    <row r="78">
      <c r="A78" t="n">
        <v>82</v>
      </c>
      <c r="B78">
        <f>IF(AND(TRIM('INPUT - Roster'!C82&amp;"")&lt;&gt;"",TRIM('INPUT - Roster'!D82&amp;"")="",TRIM('INPUT - Roster'!E82&amp;"")=""),1,0)</f>
        <v/>
      </c>
      <c r="C78">
        <f>IF(B78=1,TRIM('INPUT - Roster'!C82&amp;""),C77)</f>
        <v/>
      </c>
      <c r="D78">
        <f>IF(AND(B78=0,TRIM('INPUT - Roster'!D82&amp;"")&lt;&gt;""),1,0)</f>
        <v/>
      </c>
      <c r="E78">
        <f>IF(D78=1,COUNTIF(D$2:D78,1),"")</f>
        <v/>
      </c>
      <c r="F78">
        <f>IF(B78=1,COUNTIF(B$2:B78,1),"")</f>
        <v/>
      </c>
    </row>
    <row r="79">
      <c r="A79" t="n">
        <v>83</v>
      </c>
      <c r="B79">
        <f>IF(AND(TRIM('INPUT - Roster'!C83&amp;"")&lt;&gt;"",TRIM('INPUT - Roster'!D83&amp;"")="",TRIM('INPUT - Roster'!E83&amp;"")=""),1,0)</f>
        <v/>
      </c>
      <c r="C79">
        <f>IF(B79=1,TRIM('INPUT - Roster'!C83&amp;""),C78)</f>
        <v/>
      </c>
      <c r="D79">
        <f>IF(AND(B79=0,TRIM('INPUT - Roster'!D83&amp;"")&lt;&gt;""),1,0)</f>
        <v/>
      </c>
      <c r="E79">
        <f>IF(D79=1,COUNTIF(D$2:D79,1),"")</f>
        <v/>
      </c>
      <c r="F79">
        <f>IF(B79=1,COUNTIF(B$2:B79,1),"")</f>
        <v/>
      </c>
    </row>
    <row r="80">
      <c r="A80" t="n">
        <v>84</v>
      </c>
      <c r="B80">
        <f>IF(AND(TRIM('INPUT - Roster'!C84&amp;"")&lt;&gt;"",TRIM('INPUT - Roster'!D84&amp;"")="",TRIM('INPUT - Roster'!E84&amp;"")=""),1,0)</f>
        <v/>
      </c>
      <c r="C80">
        <f>IF(B80=1,TRIM('INPUT - Roster'!C84&amp;""),C79)</f>
        <v/>
      </c>
      <c r="D80">
        <f>IF(AND(B80=0,TRIM('INPUT - Roster'!D84&amp;"")&lt;&gt;""),1,0)</f>
        <v/>
      </c>
      <c r="E80">
        <f>IF(D80=1,COUNTIF(D$2:D80,1),"")</f>
        <v/>
      </c>
      <c r="F80">
        <f>IF(B80=1,COUNTIF(B$2:B80,1),"")</f>
        <v/>
      </c>
    </row>
    <row r="81">
      <c r="A81" t="n">
        <v>85</v>
      </c>
      <c r="B81">
        <f>IF(AND(TRIM('INPUT - Roster'!C85&amp;"")&lt;&gt;"",TRIM('INPUT - Roster'!D85&amp;"")="",TRIM('INPUT - Roster'!E85&amp;"")=""),1,0)</f>
        <v/>
      </c>
      <c r="C81">
        <f>IF(B81=1,TRIM('INPUT - Roster'!C85&amp;""),C80)</f>
        <v/>
      </c>
      <c r="D81">
        <f>IF(AND(B81=0,TRIM('INPUT - Roster'!D85&amp;"")&lt;&gt;""),1,0)</f>
        <v/>
      </c>
      <c r="E81">
        <f>IF(D81=1,COUNTIF(D$2:D81,1),"")</f>
        <v/>
      </c>
      <c r="F81">
        <f>IF(B81=1,COUNTIF(B$2:B81,1),"")</f>
        <v/>
      </c>
    </row>
    <row r="82">
      <c r="A82" t="n">
        <v>86</v>
      </c>
      <c r="B82">
        <f>IF(AND(TRIM('INPUT - Roster'!C86&amp;"")&lt;&gt;"",TRIM('INPUT - Roster'!D86&amp;"")="",TRIM('INPUT - Roster'!E86&amp;"")=""),1,0)</f>
        <v/>
      </c>
      <c r="C82">
        <f>IF(B82=1,TRIM('INPUT - Roster'!C86&amp;""),C81)</f>
        <v/>
      </c>
      <c r="D82">
        <f>IF(AND(B82=0,TRIM('INPUT - Roster'!D86&amp;"")&lt;&gt;""),1,0)</f>
        <v/>
      </c>
      <c r="E82">
        <f>IF(D82=1,COUNTIF(D$2:D82,1),"")</f>
        <v/>
      </c>
      <c r="F82">
        <f>IF(B82=1,COUNTIF(B$2:B82,1),"")</f>
        <v/>
      </c>
    </row>
    <row r="83">
      <c r="A83" t="n">
        <v>87</v>
      </c>
      <c r="B83">
        <f>IF(AND(TRIM('INPUT - Roster'!C87&amp;"")&lt;&gt;"",TRIM('INPUT - Roster'!D87&amp;"")="",TRIM('INPUT - Roster'!E87&amp;"")=""),1,0)</f>
        <v/>
      </c>
      <c r="C83">
        <f>IF(B83=1,TRIM('INPUT - Roster'!C87&amp;""),C82)</f>
        <v/>
      </c>
      <c r="D83">
        <f>IF(AND(B83=0,TRIM('INPUT - Roster'!D87&amp;"")&lt;&gt;""),1,0)</f>
        <v/>
      </c>
      <c r="E83">
        <f>IF(D83=1,COUNTIF(D$2:D83,1),"")</f>
        <v/>
      </c>
      <c r="F83">
        <f>IF(B83=1,COUNTIF(B$2:B83,1),"")</f>
        <v/>
      </c>
    </row>
    <row r="84">
      <c r="A84" t="n">
        <v>88</v>
      </c>
      <c r="B84">
        <f>IF(AND(TRIM('INPUT - Roster'!C88&amp;"")&lt;&gt;"",TRIM('INPUT - Roster'!D88&amp;"")="",TRIM('INPUT - Roster'!E88&amp;"")=""),1,0)</f>
        <v/>
      </c>
      <c r="C84">
        <f>IF(B84=1,TRIM('INPUT - Roster'!C88&amp;""),C83)</f>
        <v/>
      </c>
      <c r="D84">
        <f>IF(AND(B84=0,TRIM('INPUT - Roster'!D88&amp;"")&lt;&gt;""),1,0)</f>
        <v/>
      </c>
      <c r="E84">
        <f>IF(D84=1,COUNTIF(D$2:D84,1),"")</f>
        <v/>
      </c>
      <c r="F84">
        <f>IF(B84=1,COUNTIF(B$2:B84,1),"")</f>
        <v/>
      </c>
    </row>
    <row r="85">
      <c r="A85" t="n">
        <v>89</v>
      </c>
      <c r="B85">
        <f>IF(AND(TRIM('INPUT - Roster'!C89&amp;"")&lt;&gt;"",TRIM('INPUT - Roster'!D89&amp;"")="",TRIM('INPUT - Roster'!E89&amp;"")=""),1,0)</f>
        <v/>
      </c>
      <c r="C85">
        <f>IF(B85=1,TRIM('INPUT - Roster'!C89&amp;""),C84)</f>
        <v/>
      </c>
      <c r="D85">
        <f>IF(AND(B85=0,TRIM('INPUT - Roster'!D89&amp;"")&lt;&gt;""),1,0)</f>
        <v/>
      </c>
      <c r="E85">
        <f>IF(D85=1,COUNTIF(D$2:D85,1),"")</f>
        <v/>
      </c>
      <c r="F85">
        <f>IF(B85=1,COUNTIF(B$2:B85,1),"")</f>
        <v/>
      </c>
    </row>
    <row r="86">
      <c r="A86" t="n">
        <v>90</v>
      </c>
      <c r="B86">
        <f>IF(AND(TRIM('INPUT - Roster'!C90&amp;"")&lt;&gt;"",TRIM('INPUT - Roster'!D90&amp;"")="",TRIM('INPUT - Roster'!E90&amp;"")=""),1,0)</f>
        <v/>
      </c>
      <c r="C86">
        <f>IF(B86=1,TRIM('INPUT - Roster'!C90&amp;""),C85)</f>
        <v/>
      </c>
      <c r="D86">
        <f>IF(AND(B86=0,TRIM('INPUT - Roster'!D90&amp;"")&lt;&gt;""),1,0)</f>
        <v/>
      </c>
      <c r="E86">
        <f>IF(D86=1,COUNTIF(D$2:D86,1),"")</f>
        <v/>
      </c>
      <c r="F86">
        <f>IF(B86=1,COUNTIF(B$2:B86,1),"")</f>
        <v/>
      </c>
    </row>
    <row r="87">
      <c r="A87" t="n">
        <v>91</v>
      </c>
      <c r="B87">
        <f>IF(AND(TRIM('INPUT - Roster'!C91&amp;"")&lt;&gt;"",TRIM('INPUT - Roster'!D91&amp;"")="",TRIM('INPUT - Roster'!E91&amp;"")=""),1,0)</f>
        <v/>
      </c>
      <c r="C87">
        <f>IF(B87=1,TRIM('INPUT - Roster'!C91&amp;""),C86)</f>
        <v/>
      </c>
      <c r="D87">
        <f>IF(AND(B87=0,TRIM('INPUT - Roster'!D91&amp;"")&lt;&gt;""),1,0)</f>
        <v/>
      </c>
      <c r="E87">
        <f>IF(D87=1,COUNTIF(D$2:D87,1),"")</f>
        <v/>
      </c>
      <c r="F87">
        <f>IF(B87=1,COUNTIF(B$2:B87,1),"")</f>
        <v/>
      </c>
    </row>
    <row r="88">
      <c r="A88" t="n">
        <v>92</v>
      </c>
      <c r="B88">
        <f>IF(AND(TRIM('INPUT - Roster'!C92&amp;"")&lt;&gt;"",TRIM('INPUT - Roster'!D92&amp;"")="",TRIM('INPUT - Roster'!E92&amp;"")=""),1,0)</f>
        <v/>
      </c>
      <c r="C88">
        <f>IF(B88=1,TRIM('INPUT - Roster'!C92&amp;""),C87)</f>
        <v/>
      </c>
      <c r="D88">
        <f>IF(AND(B88=0,TRIM('INPUT - Roster'!D92&amp;"")&lt;&gt;""),1,0)</f>
        <v/>
      </c>
      <c r="E88">
        <f>IF(D88=1,COUNTIF(D$2:D88,1),"")</f>
        <v/>
      </c>
      <c r="F88">
        <f>IF(B88=1,COUNTIF(B$2:B88,1),"")</f>
        <v/>
      </c>
    </row>
    <row r="89">
      <c r="A89" t="n">
        <v>93</v>
      </c>
      <c r="B89">
        <f>IF(AND(TRIM('INPUT - Roster'!C93&amp;"")&lt;&gt;"",TRIM('INPUT - Roster'!D93&amp;"")="",TRIM('INPUT - Roster'!E93&amp;"")=""),1,0)</f>
        <v/>
      </c>
      <c r="C89">
        <f>IF(B89=1,TRIM('INPUT - Roster'!C93&amp;""),C88)</f>
        <v/>
      </c>
      <c r="D89">
        <f>IF(AND(B89=0,TRIM('INPUT - Roster'!D93&amp;"")&lt;&gt;""),1,0)</f>
        <v/>
      </c>
      <c r="E89">
        <f>IF(D89=1,COUNTIF(D$2:D89,1),"")</f>
        <v/>
      </c>
      <c r="F89">
        <f>IF(B89=1,COUNTIF(B$2:B89,1),"")</f>
        <v/>
      </c>
    </row>
    <row r="90">
      <c r="A90" t="n">
        <v>94</v>
      </c>
      <c r="B90">
        <f>IF(AND(TRIM('INPUT - Roster'!C94&amp;"")&lt;&gt;"",TRIM('INPUT - Roster'!D94&amp;"")="",TRIM('INPUT - Roster'!E94&amp;"")=""),1,0)</f>
        <v/>
      </c>
      <c r="C90">
        <f>IF(B90=1,TRIM('INPUT - Roster'!C94&amp;""),C89)</f>
        <v/>
      </c>
      <c r="D90">
        <f>IF(AND(B90=0,TRIM('INPUT - Roster'!D94&amp;"")&lt;&gt;""),1,0)</f>
        <v/>
      </c>
      <c r="E90">
        <f>IF(D90=1,COUNTIF(D$2:D90,1),"")</f>
        <v/>
      </c>
      <c r="F90">
        <f>IF(B90=1,COUNTIF(B$2:B90,1),"")</f>
        <v/>
      </c>
    </row>
    <row r="91">
      <c r="A91" t="n">
        <v>95</v>
      </c>
      <c r="B91">
        <f>IF(AND(TRIM('INPUT - Roster'!C95&amp;"")&lt;&gt;"",TRIM('INPUT - Roster'!D95&amp;"")="",TRIM('INPUT - Roster'!E95&amp;"")=""),1,0)</f>
        <v/>
      </c>
      <c r="C91">
        <f>IF(B91=1,TRIM('INPUT - Roster'!C95&amp;""),C90)</f>
        <v/>
      </c>
      <c r="D91">
        <f>IF(AND(B91=0,TRIM('INPUT - Roster'!D95&amp;"")&lt;&gt;""),1,0)</f>
        <v/>
      </c>
      <c r="E91">
        <f>IF(D91=1,COUNTIF(D$2:D91,1),"")</f>
        <v/>
      </c>
      <c r="F91">
        <f>IF(B91=1,COUNTIF(B$2:B91,1),"")</f>
        <v/>
      </c>
    </row>
    <row r="92">
      <c r="A92" t="n">
        <v>96</v>
      </c>
      <c r="B92">
        <f>IF(AND(TRIM('INPUT - Roster'!C96&amp;"")&lt;&gt;"",TRIM('INPUT - Roster'!D96&amp;"")="",TRIM('INPUT - Roster'!E96&amp;"")=""),1,0)</f>
        <v/>
      </c>
      <c r="C92">
        <f>IF(B92=1,TRIM('INPUT - Roster'!C96&amp;""),C91)</f>
        <v/>
      </c>
      <c r="D92">
        <f>IF(AND(B92=0,TRIM('INPUT - Roster'!D96&amp;"")&lt;&gt;""),1,0)</f>
        <v/>
      </c>
      <c r="E92">
        <f>IF(D92=1,COUNTIF(D$2:D92,1),"")</f>
        <v/>
      </c>
      <c r="F92">
        <f>IF(B92=1,COUNTIF(B$2:B92,1),"")</f>
        <v/>
      </c>
    </row>
    <row r="93">
      <c r="A93" t="n">
        <v>97</v>
      </c>
      <c r="B93">
        <f>IF(AND(TRIM('INPUT - Roster'!C97&amp;"")&lt;&gt;"",TRIM('INPUT - Roster'!D97&amp;"")="",TRIM('INPUT - Roster'!E97&amp;"")=""),1,0)</f>
        <v/>
      </c>
      <c r="C93">
        <f>IF(B93=1,TRIM('INPUT - Roster'!C97&amp;""),C92)</f>
        <v/>
      </c>
      <c r="D93">
        <f>IF(AND(B93=0,TRIM('INPUT - Roster'!D97&amp;"")&lt;&gt;""),1,0)</f>
        <v/>
      </c>
      <c r="E93">
        <f>IF(D93=1,COUNTIF(D$2:D93,1),"")</f>
        <v/>
      </c>
      <c r="F93">
        <f>IF(B93=1,COUNTIF(B$2:B93,1),"")</f>
        <v/>
      </c>
    </row>
    <row r="94">
      <c r="A94" t="n">
        <v>98</v>
      </c>
      <c r="B94">
        <f>IF(AND(TRIM('INPUT - Roster'!C98&amp;"")&lt;&gt;"",TRIM('INPUT - Roster'!D98&amp;"")="",TRIM('INPUT - Roster'!E98&amp;"")=""),1,0)</f>
        <v/>
      </c>
      <c r="C94">
        <f>IF(B94=1,TRIM('INPUT - Roster'!C98&amp;""),C93)</f>
        <v/>
      </c>
      <c r="D94">
        <f>IF(AND(B94=0,TRIM('INPUT - Roster'!D98&amp;"")&lt;&gt;""),1,0)</f>
        <v/>
      </c>
      <c r="E94">
        <f>IF(D94=1,COUNTIF(D$2:D94,1),"")</f>
        <v/>
      </c>
      <c r="F94">
        <f>IF(B94=1,COUNTIF(B$2:B94,1),"")</f>
        <v/>
      </c>
    </row>
    <row r="95">
      <c r="A95" t="n">
        <v>99</v>
      </c>
      <c r="B95">
        <f>IF(AND(TRIM('INPUT - Roster'!C99&amp;"")&lt;&gt;"",TRIM('INPUT - Roster'!D99&amp;"")="",TRIM('INPUT - Roster'!E99&amp;"")=""),1,0)</f>
        <v/>
      </c>
      <c r="C95">
        <f>IF(B95=1,TRIM('INPUT - Roster'!C99&amp;""),C94)</f>
        <v/>
      </c>
      <c r="D95">
        <f>IF(AND(B95=0,TRIM('INPUT - Roster'!D99&amp;"")&lt;&gt;""),1,0)</f>
        <v/>
      </c>
      <c r="E95">
        <f>IF(D95=1,COUNTIF(D$2:D95,1),"")</f>
        <v/>
      </c>
      <c r="F95">
        <f>IF(B95=1,COUNTIF(B$2:B95,1),"")</f>
        <v/>
      </c>
    </row>
    <row r="96">
      <c r="A96" t="n">
        <v>100</v>
      </c>
      <c r="B96">
        <f>IF(AND(TRIM('INPUT - Roster'!C100&amp;"")&lt;&gt;"",TRIM('INPUT - Roster'!D100&amp;"")="",TRIM('INPUT - Roster'!E100&amp;"")=""),1,0)</f>
        <v/>
      </c>
      <c r="C96">
        <f>IF(B96=1,TRIM('INPUT - Roster'!C100&amp;""),C95)</f>
        <v/>
      </c>
      <c r="D96">
        <f>IF(AND(B96=0,TRIM('INPUT - Roster'!D100&amp;"")&lt;&gt;""),1,0)</f>
        <v/>
      </c>
      <c r="E96">
        <f>IF(D96=1,COUNTIF(D$2:D96,1),"")</f>
        <v/>
      </c>
      <c r="F96">
        <f>IF(B96=1,COUNTIF(B$2:B96,1),"")</f>
        <v/>
      </c>
    </row>
    <row r="97">
      <c r="A97" t="n">
        <v>101</v>
      </c>
      <c r="B97">
        <f>IF(AND(TRIM('INPUT - Roster'!C101&amp;"")&lt;&gt;"",TRIM('INPUT - Roster'!D101&amp;"")="",TRIM('INPUT - Roster'!E101&amp;"")=""),1,0)</f>
        <v/>
      </c>
      <c r="C97">
        <f>IF(B97=1,TRIM('INPUT - Roster'!C101&amp;""),C96)</f>
        <v/>
      </c>
      <c r="D97">
        <f>IF(AND(B97=0,TRIM('INPUT - Roster'!D101&amp;"")&lt;&gt;""),1,0)</f>
        <v/>
      </c>
      <c r="E97">
        <f>IF(D97=1,COUNTIF(D$2:D97,1),"")</f>
        <v/>
      </c>
      <c r="F97">
        <f>IF(B97=1,COUNTIF(B$2:B97,1),"")</f>
        <v/>
      </c>
    </row>
    <row r="98">
      <c r="A98" t="n">
        <v>102</v>
      </c>
      <c r="B98">
        <f>IF(AND(TRIM('INPUT - Roster'!C102&amp;"")&lt;&gt;"",TRIM('INPUT - Roster'!D102&amp;"")="",TRIM('INPUT - Roster'!E102&amp;"")=""),1,0)</f>
        <v/>
      </c>
      <c r="C98">
        <f>IF(B98=1,TRIM('INPUT - Roster'!C102&amp;""),C97)</f>
        <v/>
      </c>
      <c r="D98">
        <f>IF(AND(B98=0,TRIM('INPUT - Roster'!D102&amp;"")&lt;&gt;""),1,0)</f>
        <v/>
      </c>
      <c r="E98">
        <f>IF(D98=1,COUNTIF(D$2:D98,1),"")</f>
        <v/>
      </c>
      <c r="F98">
        <f>IF(B98=1,COUNTIF(B$2:B98,1),"")</f>
        <v/>
      </c>
    </row>
    <row r="99">
      <c r="A99" t="n">
        <v>103</v>
      </c>
      <c r="B99">
        <f>IF(AND(TRIM('INPUT - Roster'!C103&amp;"")&lt;&gt;"",TRIM('INPUT - Roster'!D103&amp;"")="",TRIM('INPUT - Roster'!E103&amp;"")=""),1,0)</f>
        <v/>
      </c>
      <c r="C99">
        <f>IF(B99=1,TRIM('INPUT - Roster'!C103&amp;""),C98)</f>
        <v/>
      </c>
      <c r="D99">
        <f>IF(AND(B99=0,TRIM('INPUT - Roster'!D103&amp;"")&lt;&gt;""),1,0)</f>
        <v/>
      </c>
      <c r="E99">
        <f>IF(D99=1,COUNTIF(D$2:D99,1),"")</f>
        <v/>
      </c>
      <c r="F99">
        <f>IF(B99=1,COUNTIF(B$2:B99,1),"")</f>
        <v/>
      </c>
    </row>
    <row r="100">
      <c r="A100" t="n">
        <v>104</v>
      </c>
      <c r="B100">
        <f>IF(AND(TRIM('INPUT - Roster'!C104&amp;"")&lt;&gt;"",TRIM('INPUT - Roster'!D104&amp;"")="",TRIM('INPUT - Roster'!E104&amp;"")=""),1,0)</f>
        <v/>
      </c>
      <c r="C100">
        <f>IF(B100=1,TRIM('INPUT - Roster'!C104&amp;""),C99)</f>
        <v/>
      </c>
      <c r="D100">
        <f>IF(AND(B100=0,TRIM('INPUT - Roster'!D104&amp;"")&lt;&gt;""),1,0)</f>
        <v/>
      </c>
      <c r="E100">
        <f>IF(D100=1,COUNTIF(D$2:D100,1),"")</f>
        <v/>
      </c>
      <c r="F100">
        <f>IF(B100=1,COUNTIF(B$2:B100,1),"")</f>
        <v/>
      </c>
    </row>
    <row r="101">
      <c r="A101" t="n">
        <v>105</v>
      </c>
      <c r="B101">
        <f>IF(AND(TRIM('INPUT - Roster'!C105&amp;"")&lt;&gt;"",TRIM('INPUT - Roster'!D105&amp;"")="",TRIM('INPUT - Roster'!E105&amp;"")=""),1,0)</f>
        <v/>
      </c>
      <c r="C101">
        <f>IF(B101=1,TRIM('INPUT - Roster'!C105&amp;""),C100)</f>
        <v/>
      </c>
      <c r="D101">
        <f>IF(AND(B101=0,TRIM('INPUT - Roster'!D105&amp;"")&lt;&gt;""),1,0)</f>
        <v/>
      </c>
      <c r="E101">
        <f>IF(D101=1,COUNTIF(D$2:D101,1),"")</f>
        <v/>
      </c>
      <c r="F101">
        <f>IF(B101=1,COUNTIF(B$2:B101,1),"")</f>
        <v/>
      </c>
    </row>
    <row r="102">
      <c r="A102" t="n">
        <v>106</v>
      </c>
      <c r="B102">
        <f>IF(AND(TRIM('INPUT - Roster'!C106&amp;"")&lt;&gt;"",TRIM('INPUT - Roster'!D106&amp;"")="",TRIM('INPUT - Roster'!E106&amp;"")=""),1,0)</f>
        <v/>
      </c>
      <c r="C102">
        <f>IF(B102=1,TRIM('INPUT - Roster'!C106&amp;""),C101)</f>
        <v/>
      </c>
      <c r="D102">
        <f>IF(AND(B102=0,TRIM('INPUT - Roster'!D106&amp;"")&lt;&gt;""),1,0)</f>
        <v/>
      </c>
      <c r="E102">
        <f>IF(D102=1,COUNTIF(D$2:D102,1),"")</f>
        <v/>
      </c>
      <c r="F102">
        <f>IF(B102=1,COUNTIF(B$2:B102,1),"")</f>
        <v/>
      </c>
    </row>
    <row r="103">
      <c r="A103" t="n">
        <v>107</v>
      </c>
      <c r="B103">
        <f>IF(AND(TRIM('INPUT - Roster'!C107&amp;"")&lt;&gt;"",TRIM('INPUT - Roster'!D107&amp;"")="",TRIM('INPUT - Roster'!E107&amp;"")=""),1,0)</f>
        <v/>
      </c>
      <c r="C103">
        <f>IF(B103=1,TRIM('INPUT - Roster'!C107&amp;""),C102)</f>
        <v/>
      </c>
      <c r="D103">
        <f>IF(AND(B103=0,TRIM('INPUT - Roster'!D107&amp;"")&lt;&gt;""),1,0)</f>
        <v/>
      </c>
      <c r="E103">
        <f>IF(D103=1,COUNTIF(D$2:D103,1),"")</f>
        <v/>
      </c>
      <c r="F103">
        <f>IF(B103=1,COUNTIF(B$2:B103,1),"")</f>
        <v/>
      </c>
    </row>
    <row r="104">
      <c r="A104" t="n">
        <v>108</v>
      </c>
      <c r="B104">
        <f>IF(AND(TRIM('INPUT - Roster'!C108&amp;"")&lt;&gt;"",TRIM('INPUT - Roster'!D108&amp;"")="",TRIM('INPUT - Roster'!E108&amp;"")=""),1,0)</f>
        <v/>
      </c>
      <c r="C104">
        <f>IF(B104=1,TRIM('INPUT - Roster'!C108&amp;""),C103)</f>
        <v/>
      </c>
      <c r="D104">
        <f>IF(AND(B104=0,TRIM('INPUT - Roster'!D108&amp;"")&lt;&gt;""),1,0)</f>
        <v/>
      </c>
      <c r="E104">
        <f>IF(D104=1,COUNTIF(D$2:D104,1),"")</f>
        <v/>
      </c>
      <c r="F104">
        <f>IF(B104=1,COUNTIF(B$2:B104,1),"")</f>
        <v/>
      </c>
    </row>
    <row r="105">
      <c r="A105" t="n">
        <v>109</v>
      </c>
      <c r="B105">
        <f>IF(AND(TRIM('INPUT - Roster'!C109&amp;"")&lt;&gt;"",TRIM('INPUT - Roster'!D109&amp;"")="",TRIM('INPUT - Roster'!E109&amp;"")=""),1,0)</f>
        <v/>
      </c>
      <c r="C105">
        <f>IF(B105=1,TRIM('INPUT - Roster'!C109&amp;""),C104)</f>
        <v/>
      </c>
      <c r="D105">
        <f>IF(AND(B105=0,TRIM('INPUT - Roster'!D109&amp;"")&lt;&gt;""),1,0)</f>
        <v/>
      </c>
      <c r="E105">
        <f>IF(D105=1,COUNTIF(D$2:D105,1),"")</f>
        <v/>
      </c>
      <c r="F105">
        <f>IF(B105=1,COUNTIF(B$2:B105,1),"")</f>
        <v/>
      </c>
    </row>
    <row r="106">
      <c r="A106" t="n">
        <v>110</v>
      </c>
      <c r="B106">
        <f>IF(AND(TRIM('INPUT - Roster'!C110&amp;"")&lt;&gt;"",TRIM('INPUT - Roster'!D110&amp;"")="",TRIM('INPUT - Roster'!E110&amp;"")=""),1,0)</f>
        <v/>
      </c>
      <c r="C106">
        <f>IF(B106=1,TRIM('INPUT - Roster'!C110&amp;""),C105)</f>
        <v/>
      </c>
      <c r="D106">
        <f>IF(AND(B106=0,TRIM('INPUT - Roster'!D110&amp;"")&lt;&gt;""),1,0)</f>
        <v/>
      </c>
      <c r="E106">
        <f>IF(D106=1,COUNTIF(D$2:D106,1),"")</f>
        <v/>
      </c>
      <c r="F106">
        <f>IF(B106=1,COUNTIF(B$2:B106,1),"")</f>
        <v/>
      </c>
    </row>
    <row r="107">
      <c r="A107" t="n">
        <v>111</v>
      </c>
      <c r="B107">
        <f>IF(AND(TRIM('INPUT - Roster'!C111&amp;"")&lt;&gt;"",TRIM('INPUT - Roster'!D111&amp;"")="",TRIM('INPUT - Roster'!E111&amp;"")=""),1,0)</f>
        <v/>
      </c>
      <c r="C107">
        <f>IF(B107=1,TRIM('INPUT - Roster'!C111&amp;""),C106)</f>
        <v/>
      </c>
      <c r="D107">
        <f>IF(AND(B107=0,TRIM('INPUT - Roster'!D111&amp;"")&lt;&gt;""),1,0)</f>
        <v/>
      </c>
      <c r="E107">
        <f>IF(D107=1,COUNTIF(D$2:D107,1),"")</f>
        <v/>
      </c>
      <c r="F107">
        <f>IF(B107=1,COUNTIF(B$2:B107,1),"")</f>
        <v/>
      </c>
    </row>
    <row r="108">
      <c r="A108" t="n">
        <v>112</v>
      </c>
      <c r="B108">
        <f>IF(AND(TRIM('INPUT - Roster'!C112&amp;"")&lt;&gt;"",TRIM('INPUT - Roster'!D112&amp;"")="",TRIM('INPUT - Roster'!E112&amp;"")=""),1,0)</f>
        <v/>
      </c>
      <c r="C108">
        <f>IF(B108=1,TRIM('INPUT - Roster'!C112&amp;""),C107)</f>
        <v/>
      </c>
      <c r="D108">
        <f>IF(AND(B108=0,TRIM('INPUT - Roster'!D112&amp;"")&lt;&gt;""),1,0)</f>
        <v/>
      </c>
      <c r="E108">
        <f>IF(D108=1,COUNTIF(D$2:D108,1),"")</f>
        <v/>
      </c>
      <c r="F108">
        <f>IF(B108=1,COUNTIF(B$2:B108,1),"")</f>
        <v/>
      </c>
    </row>
    <row r="109">
      <c r="A109" t="n">
        <v>113</v>
      </c>
      <c r="B109">
        <f>IF(AND(TRIM('INPUT - Roster'!C113&amp;"")&lt;&gt;"",TRIM('INPUT - Roster'!D113&amp;"")="",TRIM('INPUT - Roster'!E113&amp;"")=""),1,0)</f>
        <v/>
      </c>
      <c r="C109">
        <f>IF(B109=1,TRIM('INPUT - Roster'!C113&amp;""),C108)</f>
        <v/>
      </c>
      <c r="D109">
        <f>IF(AND(B109=0,TRIM('INPUT - Roster'!D113&amp;"")&lt;&gt;""),1,0)</f>
        <v/>
      </c>
      <c r="E109">
        <f>IF(D109=1,COUNTIF(D$2:D109,1),"")</f>
        <v/>
      </c>
      <c r="F109">
        <f>IF(B109=1,COUNTIF(B$2:B109,1),"")</f>
        <v/>
      </c>
    </row>
    <row r="110">
      <c r="A110" t="n">
        <v>114</v>
      </c>
      <c r="B110">
        <f>IF(AND(TRIM('INPUT - Roster'!C114&amp;"")&lt;&gt;"",TRIM('INPUT - Roster'!D114&amp;"")="",TRIM('INPUT - Roster'!E114&amp;"")=""),1,0)</f>
        <v/>
      </c>
      <c r="C110">
        <f>IF(B110=1,TRIM('INPUT - Roster'!C114&amp;""),C109)</f>
        <v/>
      </c>
      <c r="D110">
        <f>IF(AND(B110=0,TRIM('INPUT - Roster'!D114&amp;"")&lt;&gt;""),1,0)</f>
        <v/>
      </c>
      <c r="E110">
        <f>IF(D110=1,COUNTIF(D$2:D110,1),"")</f>
        <v/>
      </c>
      <c r="F110">
        <f>IF(B110=1,COUNTIF(B$2:B110,1),"")</f>
        <v/>
      </c>
    </row>
    <row r="111">
      <c r="A111" t="n">
        <v>115</v>
      </c>
      <c r="B111">
        <f>IF(AND(TRIM('INPUT - Roster'!C115&amp;"")&lt;&gt;"",TRIM('INPUT - Roster'!D115&amp;"")="",TRIM('INPUT - Roster'!E115&amp;"")=""),1,0)</f>
        <v/>
      </c>
      <c r="C111">
        <f>IF(B111=1,TRIM('INPUT - Roster'!C115&amp;""),C110)</f>
        <v/>
      </c>
      <c r="D111">
        <f>IF(AND(B111=0,TRIM('INPUT - Roster'!D115&amp;"")&lt;&gt;""),1,0)</f>
        <v/>
      </c>
      <c r="E111">
        <f>IF(D111=1,COUNTIF(D$2:D111,1),"")</f>
        <v/>
      </c>
      <c r="F111">
        <f>IF(B111=1,COUNTIF(B$2:B111,1),"")</f>
        <v/>
      </c>
    </row>
    <row r="112">
      <c r="A112" t="n">
        <v>116</v>
      </c>
      <c r="B112">
        <f>IF(AND(TRIM('INPUT - Roster'!C116&amp;"")&lt;&gt;"",TRIM('INPUT - Roster'!D116&amp;"")="",TRIM('INPUT - Roster'!E116&amp;"")=""),1,0)</f>
        <v/>
      </c>
      <c r="C112">
        <f>IF(B112=1,TRIM('INPUT - Roster'!C116&amp;""),C111)</f>
        <v/>
      </c>
      <c r="D112">
        <f>IF(AND(B112=0,TRIM('INPUT - Roster'!D116&amp;"")&lt;&gt;""),1,0)</f>
        <v/>
      </c>
      <c r="E112">
        <f>IF(D112=1,COUNTIF(D$2:D112,1),"")</f>
        <v/>
      </c>
      <c r="F112">
        <f>IF(B112=1,COUNTIF(B$2:B112,1),"")</f>
        <v/>
      </c>
    </row>
    <row r="113">
      <c r="A113" t="n">
        <v>117</v>
      </c>
      <c r="B113">
        <f>IF(AND(TRIM('INPUT - Roster'!C117&amp;"")&lt;&gt;"",TRIM('INPUT - Roster'!D117&amp;"")="",TRIM('INPUT - Roster'!E117&amp;"")=""),1,0)</f>
        <v/>
      </c>
      <c r="C113">
        <f>IF(B113=1,TRIM('INPUT - Roster'!C117&amp;""),C112)</f>
        <v/>
      </c>
      <c r="D113">
        <f>IF(AND(B113=0,TRIM('INPUT - Roster'!D117&amp;"")&lt;&gt;""),1,0)</f>
        <v/>
      </c>
      <c r="E113">
        <f>IF(D113=1,COUNTIF(D$2:D113,1),"")</f>
        <v/>
      </c>
      <c r="F113">
        <f>IF(B113=1,COUNTIF(B$2:B113,1),"")</f>
        <v/>
      </c>
    </row>
    <row r="114">
      <c r="A114" t="n">
        <v>118</v>
      </c>
      <c r="B114">
        <f>IF(AND(TRIM('INPUT - Roster'!C118&amp;"")&lt;&gt;"",TRIM('INPUT - Roster'!D118&amp;"")="",TRIM('INPUT - Roster'!E118&amp;"")=""),1,0)</f>
        <v/>
      </c>
      <c r="C114">
        <f>IF(B114=1,TRIM('INPUT - Roster'!C118&amp;""),C113)</f>
        <v/>
      </c>
      <c r="D114">
        <f>IF(AND(B114=0,TRIM('INPUT - Roster'!D118&amp;"")&lt;&gt;""),1,0)</f>
        <v/>
      </c>
      <c r="E114">
        <f>IF(D114=1,COUNTIF(D$2:D114,1),"")</f>
        <v/>
      </c>
      <c r="F114">
        <f>IF(B114=1,COUNTIF(B$2:B114,1),"")</f>
        <v/>
      </c>
    </row>
    <row r="115">
      <c r="A115" t="n">
        <v>119</v>
      </c>
      <c r="B115">
        <f>IF(AND(TRIM('INPUT - Roster'!C119&amp;"")&lt;&gt;"",TRIM('INPUT - Roster'!D119&amp;"")="",TRIM('INPUT - Roster'!E119&amp;"")=""),1,0)</f>
        <v/>
      </c>
      <c r="C115">
        <f>IF(B115=1,TRIM('INPUT - Roster'!C119&amp;""),C114)</f>
        <v/>
      </c>
      <c r="D115">
        <f>IF(AND(B115=0,TRIM('INPUT - Roster'!D119&amp;"")&lt;&gt;""),1,0)</f>
        <v/>
      </c>
      <c r="E115">
        <f>IF(D115=1,COUNTIF(D$2:D115,1),"")</f>
        <v/>
      </c>
      <c r="F115">
        <f>IF(B115=1,COUNTIF(B$2:B115,1),"")</f>
        <v/>
      </c>
    </row>
    <row r="116">
      <c r="A116" t="n">
        <v>120</v>
      </c>
      <c r="B116">
        <f>IF(AND(TRIM('INPUT - Roster'!C120&amp;"")&lt;&gt;"",TRIM('INPUT - Roster'!D120&amp;"")="",TRIM('INPUT - Roster'!E120&amp;"")=""),1,0)</f>
        <v/>
      </c>
      <c r="C116">
        <f>IF(B116=1,TRIM('INPUT - Roster'!C120&amp;""),C115)</f>
        <v/>
      </c>
      <c r="D116">
        <f>IF(AND(B116=0,TRIM('INPUT - Roster'!D120&amp;"")&lt;&gt;""),1,0)</f>
        <v/>
      </c>
      <c r="E116">
        <f>IF(D116=1,COUNTIF(D$2:D116,1),"")</f>
        <v/>
      </c>
      <c r="F116">
        <f>IF(B116=1,COUNTIF(B$2:B116,1),"")</f>
        <v/>
      </c>
    </row>
    <row r="117">
      <c r="A117" t="n">
        <v>121</v>
      </c>
      <c r="B117">
        <f>IF(AND(TRIM('INPUT - Roster'!C121&amp;"")&lt;&gt;"",TRIM('INPUT - Roster'!D121&amp;"")="",TRIM('INPUT - Roster'!E121&amp;"")=""),1,0)</f>
        <v/>
      </c>
      <c r="C117">
        <f>IF(B117=1,TRIM('INPUT - Roster'!C121&amp;""),C116)</f>
        <v/>
      </c>
      <c r="D117">
        <f>IF(AND(B117=0,TRIM('INPUT - Roster'!D121&amp;"")&lt;&gt;""),1,0)</f>
        <v/>
      </c>
      <c r="E117">
        <f>IF(D117=1,COUNTIF(D$2:D117,1),"")</f>
        <v/>
      </c>
      <c r="F117">
        <f>IF(B117=1,COUNTIF(B$2:B117,1),"")</f>
        <v/>
      </c>
    </row>
    <row r="118">
      <c r="A118" t="n">
        <v>122</v>
      </c>
      <c r="B118">
        <f>IF(AND(TRIM('INPUT - Roster'!C122&amp;"")&lt;&gt;"",TRIM('INPUT - Roster'!D122&amp;"")="",TRIM('INPUT - Roster'!E122&amp;"")=""),1,0)</f>
        <v/>
      </c>
      <c r="C118">
        <f>IF(B118=1,TRIM('INPUT - Roster'!C122&amp;""),C117)</f>
        <v/>
      </c>
      <c r="D118">
        <f>IF(AND(B118=0,TRIM('INPUT - Roster'!D122&amp;"")&lt;&gt;""),1,0)</f>
        <v/>
      </c>
      <c r="E118">
        <f>IF(D118=1,COUNTIF(D$2:D118,1),"")</f>
        <v/>
      </c>
      <c r="F118">
        <f>IF(B118=1,COUNTIF(B$2:B118,1),"")</f>
        <v/>
      </c>
    </row>
    <row r="119">
      <c r="A119" t="n">
        <v>123</v>
      </c>
      <c r="B119">
        <f>IF(AND(TRIM('INPUT - Roster'!C123&amp;"")&lt;&gt;"",TRIM('INPUT - Roster'!D123&amp;"")="",TRIM('INPUT - Roster'!E123&amp;"")=""),1,0)</f>
        <v/>
      </c>
      <c r="C119">
        <f>IF(B119=1,TRIM('INPUT - Roster'!C123&amp;""),C118)</f>
        <v/>
      </c>
      <c r="D119">
        <f>IF(AND(B119=0,TRIM('INPUT - Roster'!D123&amp;"")&lt;&gt;""),1,0)</f>
        <v/>
      </c>
      <c r="E119">
        <f>IF(D119=1,COUNTIF(D$2:D119,1),"")</f>
        <v/>
      </c>
      <c r="F119">
        <f>IF(B119=1,COUNTIF(B$2:B119,1),"")</f>
        <v/>
      </c>
    </row>
    <row r="120">
      <c r="A120" t="n">
        <v>124</v>
      </c>
      <c r="B120">
        <f>IF(AND(TRIM('INPUT - Roster'!C124&amp;"")&lt;&gt;"",TRIM('INPUT - Roster'!D124&amp;"")="",TRIM('INPUT - Roster'!E124&amp;"")=""),1,0)</f>
        <v/>
      </c>
      <c r="C120">
        <f>IF(B120=1,TRIM('INPUT - Roster'!C124&amp;""),C119)</f>
        <v/>
      </c>
      <c r="D120">
        <f>IF(AND(B120=0,TRIM('INPUT - Roster'!D124&amp;"")&lt;&gt;""),1,0)</f>
        <v/>
      </c>
      <c r="E120">
        <f>IF(D120=1,COUNTIF(D$2:D120,1),"")</f>
        <v/>
      </c>
      <c r="F120">
        <f>IF(B120=1,COUNTIF(B$2:B120,1),"")</f>
        <v/>
      </c>
    </row>
    <row r="121">
      <c r="A121" t="n">
        <v>125</v>
      </c>
      <c r="B121">
        <f>IF(AND(TRIM('INPUT - Roster'!C125&amp;"")&lt;&gt;"",TRIM('INPUT - Roster'!D125&amp;"")="",TRIM('INPUT - Roster'!E125&amp;"")=""),1,0)</f>
        <v/>
      </c>
      <c r="C121">
        <f>IF(B121=1,TRIM('INPUT - Roster'!C125&amp;""),C120)</f>
        <v/>
      </c>
      <c r="D121">
        <f>IF(AND(B121=0,TRIM('INPUT - Roster'!D125&amp;"")&lt;&gt;""),1,0)</f>
        <v/>
      </c>
      <c r="E121">
        <f>IF(D121=1,COUNTIF(D$2:D121,1),"")</f>
        <v/>
      </c>
      <c r="F121">
        <f>IF(B121=1,COUNTIF(B$2:B121,1),"")</f>
        <v/>
      </c>
    </row>
    <row r="122">
      <c r="A122" t="n">
        <v>126</v>
      </c>
      <c r="B122">
        <f>IF(AND(TRIM('INPUT - Roster'!C126&amp;"")&lt;&gt;"",TRIM('INPUT - Roster'!D126&amp;"")="",TRIM('INPUT - Roster'!E126&amp;"")=""),1,0)</f>
        <v/>
      </c>
      <c r="C122">
        <f>IF(B122=1,TRIM('INPUT - Roster'!C126&amp;""),C121)</f>
        <v/>
      </c>
      <c r="D122">
        <f>IF(AND(B122=0,TRIM('INPUT - Roster'!D126&amp;"")&lt;&gt;""),1,0)</f>
        <v/>
      </c>
      <c r="E122">
        <f>IF(D122=1,COUNTIF(D$2:D122,1),"")</f>
        <v/>
      </c>
      <c r="F122">
        <f>IF(B122=1,COUNTIF(B$2:B122,1),"")</f>
        <v/>
      </c>
    </row>
    <row r="123">
      <c r="A123" t="n">
        <v>127</v>
      </c>
      <c r="B123">
        <f>IF(AND(TRIM('INPUT - Roster'!C127&amp;"")&lt;&gt;"",TRIM('INPUT - Roster'!D127&amp;"")="",TRIM('INPUT - Roster'!E127&amp;"")=""),1,0)</f>
        <v/>
      </c>
      <c r="C123">
        <f>IF(B123=1,TRIM('INPUT - Roster'!C127&amp;""),C122)</f>
        <v/>
      </c>
      <c r="D123">
        <f>IF(AND(B123=0,TRIM('INPUT - Roster'!D127&amp;"")&lt;&gt;""),1,0)</f>
        <v/>
      </c>
      <c r="E123">
        <f>IF(D123=1,COUNTIF(D$2:D123,1),"")</f>
        <v/>
      </c>
      <c r="F123">
        <f>IF(B123=1,COUNTIF(B$2:B123,1),"")</f>
        <v/>
      </c>
    </row>
    <row r="124">
      <c r="A124" t="n">
        <v>128</v>
      </c>
      <c r="B124">
        <f>IF(AND(TRIM('INPUT - Roster'!C128&amp;"")&lt;&gt;"",TRIM('INPUT - Roster'!D128&amp;"")="",TRIM('INPUT - Roster'!E128&amp;"")=""),1,0)</f>
        <v/>
      </c>
      <c r="C124">
        <f>IF(B124=1,TRIM('INPUT - Roster'!C128&amp;""),C123)</f>
        <v/>
      </c>
      <c r="D124">
        <f>IF(AND(B124=0,TRIM('INPUT - Roster'!D128&amp;"")&lt;&gt;""),1,0)</f>
        <v/>
      </c>
      <c r="E124">
        <f>IF(D124=1,COUNTIF(D$2:D124,1),"")</f>
        <v/>
      </c>
      <c r="F124">
        <f>IF(B124=1,COUNTIF(B$2:B124,1),"")</f>
        <v/>
      </c>
    </row>
    <row r="125">
      <c r="A125" t="n">
        <v>129</v>
      </c>
      <c r="B125">
        <f>IF(AND(TRIM('INPUT - Roster'!C129&amp;"")&lt;&gt;"",TRIM('INPUT - Roster'!D129&amp;"")="",TRIM('INPUT - Roster'!E129&amp;"")=""),1,0)</f>
        <v/>
      </c>
      <c r="C125">
        <f>IF(B125=1,TRIM('INPUT - Roster'!C129&amp;""),C124)</f>
        <v/>
      </c>
      <c r="D125">
        <f>IF(AND(B125=0,TRIM('INPUT - Roster'!D129&amp;"")&lt;&gt;""),1,0)</f>
        <v/>
      </c>
      <c r="E125">
        <f>IF(D125=1,COUNTIF(D$2:D125,1),"")</f>
        <v/>
      </c>
      <c r="F125">
        <f>IF(B125=1,COUNTIF(B$2:B125,1),"")</f>
        <v/>
      </c>
    </row>
    <row r="126">
      <c r="A126" t="n">
        <v>130</v>
      </c>
      <c r="B126">
        <f>IF(AND(TRIM('INPUT - Roster'!C130&amp;"")&lt;&gt;"",TRIM('INPUT - Roster'!D130&amp;"")="",TRIM('INPUT - Roster'!E130&amp;"")=""),1,0)</f>
        <v/>
      </c>
      <c r="C126">
        <f>IF(B126=1,TRIM('INPUT - Roster'!C130&amp;""),C125)</f>
        <v/>
      </c>
      <c r="D126">
        <f>IF(AND(B126=0,TRIM('INPUT - Roster'!D130&amp;"")&lt;&gt;""),1,0)</f>
        <v/>
      </c>
      <c r="E126">
        <f>IF(D126=1,COUNTIF(D$2:D126,1),"")</f>
        <v/>
      </c>
      <c r="F126">
        <f>IF(B126=1,COUNTIF(B$2:B126,1),"")</f>
        <v/>
      </c>
    </row>
    <row r="127">
      <c r="A127" t="n">
        <v>131</v>
      </c>
      <c r="B127">
        <f>IF(AND(TRIM('INPUT - Roster'!C131&amp;"")&lt;&gt;"",TRIM('INPUT - Roster'!D131&amp;"")="",TRIM('INPUT - Roster'!E131&amp;"")=""),1,0)</f>
        <v/>
      </c>
      <c r="C127">
        <f>IF(B127=1,TRIM('INPUT - Roster'!C131&amp;""),C126)</f>
        <v/>
      </c>
      <c r="D127">
        <f>IF(AND(B127=0,TRIM('INPUT - Roster'!D131&amp;"")&lt;&gt;""),1,0)</f>
        <v/>
      </c>
      <c r="E127">
        <f>IF(D127=1,COUNTIF(D$2:D127,1),"")</f>
        <v/>
      </c>
      <c r="F127">
        <f>IF(B127=1,COUNTIF(B$2:B127,1),"")</f>
        <v/>
      </c>
    </row>
    <row r="128">
      <c r="A128" t="n">
        <v>132</v>
      </c>
      <c r="B128">
        <f>IF(AND(TRIM('INPUT - Roster'!C132&amp;"")&lt;&gt;"",TRIM('INPUT - Roster'!D132&amp;"")="",TRIM('INPUT - Roster'!E132&amp;"")=""),1,0)</f>
        <v/>
      </c>
      <c r="C128">
        <f>IF(B128=1,TRIM('INPUT - Roster'!C132&amp;""),C127)</f>
        <v/>
      </c>
      <c r="D128">
        <f>IF(AND(B128=0,TRIM('INPUT - Roster'!D132&amp;"")&lt;&gt;""),1,0)</f>
        <v/>
      </c>
      <c r="E128">
        <f>IF(D128=1,COUNTIF(D$2:D128,1),"")</f>
        <v/>
      </c>
      <c r="F128">
        <f>IF(B128=1,COUNTIF(B$2:B128,1),"")</f>
        <v/>
      </c>
    </row>
    <row r="129">
      <c r="A129" t="n">
        <v>133</v>
      </c>
      <c r="B129">
        <f>IF(AND(TRIM('INPUT - Roster'!C133&amp;"")&lt;&gt;"",TRIM('INPUT - Roster'!D133&amp;"")="",TRIM('INPUT - Roster'!E133&amp;"")=""),1,0)</f>
        <v/>
      </c>
      <c r="C129">
        <f>IF(B129=1,TRIM('INPUT - Roster'!C133&amp;""),C128)</f>
        <v/>
      </c>
      <c r="D129">
        <f>IF(AND(B129=0,TRIM('INPUT - Roster'!D133&amp;"")&lt;&gt;""),1,0)</f>
        <v/>
      </c>
      <c r="E129">
        <f>IF(D129=1,COUNTIF(D$2:D129,1),"")</f>
        <v/>
      </c>
      <c r="F129">
        <f>IF(B129=1,COUNTIF(B$2:B129,1),"")</f>
        <v/>
      </c>
    </row>
    <row r="130">
      <c r="A130" t="n">
        <v>134</v>
      </c>
      <c r="B130">
        <f>IF(AND(TRIM('INPUT - Roster'!C134&amp;"")&lt;&gt;"",TRIM('INPUT - Roster'!D134&amp;"")="",TRIM('INPUT - Roster'!E134&amp;"")=""),1,0)</f>
        <v/>
      </c>
      <c r="C130">
        <f>IF(B130=1,TRIM('INPUT - Roster'!C134&amp;""),C129)</f>
        <v/>
      </c>
      <c r="D130">
        <f>IF(AND(B130=0,TRIM('INPUT - Roster'!D134&amp;"")&lt;&gt;""),1,0)</f>
        <v/>
      </c>
      <c r="E130">
        <f>IF(D130=1,COUNTIF(D$2:D130,1),"")</f>
        <v/>
      </c>
      <c r="F130">
        <f>IF(B130=1,COUNTIF(B$2:B130,1),"")</f>
        <v/>
      </c>
    </row>
    <row r="131">
      <c r="A131" t="n">
        <v>135</v>
      </c>
      <c r="B131">
        <f>IF(AND(TRIM('INPUT - Roster'!C135&amp;"")&lt;&gt;"",TRIM('INPUT - Roster'!D135&amp;"")="",TRIM('INPUT - Roster'!E135&amp;"")=""),1,0)</f>
        <v/>
      </c>
      <c r="C131">
        <f>IF(B131=1,TRIM('INPUT - Roster'!C135&amp;""),C130)</f>
        <v/>
      </c>
      <c r="D131">
        <f>IF(AND(B131=0,TRIM('INPUT - Roster'!D135&amp;"")&lt;&gt;""),1,0)</f>
        <v/>
      </c>
      <c r="E131">
        <f>IF(D131=1,COUNTIF(D$2:D131,1),"")</f>
        <v/>
      </c>
      <c r="F131">
        <f>IF(B131=1,COUNTIF(B$2:B131,1),"")</f>
        <v/>
      </c>
    </row>
    <row r="132">
      <c r="A132" t="n">
        <v>136</v>
      </c>
      <c r="B132">
        <f>IF(AND(TRIM('INPUT - Roster'!C136&amp;"")&lt;&gt;"",TRIM('INPUT - Roster'!D136&amp;"")="",TRIM('INPUT - Roster'!E136&amp;"")=""),1,0)</f>
        <v/>
      </c>
      <c r="C132">
        <f>IF(B132=1,TRIM('INPUT - Roster'!C136&amp;""),C131)</f>
        <v/>
      </c>
      <c r="D132">
        <f>IF(AND(B132=0,TRIM('INPUT - Roster'!D136&amp;"")&lt;&gt;""),1,0)</f>
        <v/>
      </c>
      <c r="E132">
        <f>IF(D132=1,COUNTIF(D$2:D132,1),"")</f>
        <v/>
      </c>
      <c r="F132">
        <f>IF(B132=1,COUNTIF(B$2:B132,1),"")</f>
        <v/>
      </c>
    </row>
    <row r="133">
      <c r="A133" t="n">
        <v>137</v>
      </c>
      <c r="B133">
        <f>IF(AND(TRIM('INPUT - Roster'!C137&amp;"")&lt;&gt;"",TRIM('INPUT - Roster'!D137&amp;"")="",TRIM('INPUT - Roster'!E137&amp;"")=""),1,0)</f>
        <v/>
      </c>
      <c r="C133">
        <f>IF(B133=1,TRIM('INPUT - Roster'!C137&amp;""),C132)</f>
        <v/>
      </c>
      <c r="D133">
        <f>IF(AND(B133=0,TRIM('INPUT - Roster'!D137&amp;"")&lt;&gt;""),1,0)</f>
        <v/>
      </c>
      <c r="E133">
        <f>IF(D133=1,COUNTIF(D$2:D133,1),"")</f>
        <v/>
      </c>
      <c r="F133">
        <f>IF(B133=1,COUNTIF(B$2:B133,1),"")</f>
        <v/>
      </c>
    </row>
    <row r="134">
      <c r="A134" t="n">
        <v>138</v>
      </c>
      <c r="B134">
        <f>IF(AND(TRIM('INPUT - Roster'!C138&amp;"")&lt;&gt;"",TRIM('INPUT - Roster'!D138&amp;"")="",TRIM('INPUT - Roster'!E138&amp;"")=""),1,0)</f>
        <v/>
      </c>
      <c r="C134">
        <f>IF(B134=1,TRIM('INPUT - Roster'!C138&amp;""),C133)</f>
        <v/>
      </c>
      <c r="D134">
        <f>IF(AND(B134=0,TRIM('INPUT - Roster'!D138&amp;"")&lt;&gt;""),1,0)</f>
        <v/>
      </c>
      <c r="E134">
        <f>IF(D134=1,COUNTIF(D$2:D134,1),"")</f>
        <v/>
      </c>
      <c r="F134">
        <f>IF(B134=1,COUNTIF(B$2:B134,1),"")</f>
        <v/>
      </c>
    </row>
    <row r="135">
      <c r="A135" t="n">
        <v>139</v>
      </c>
      <c r="B135">
        <f>IF(AND(TRIM('INPUT - Roster'!C139&amp;"")&lt;&gt;"",TRIM('INPUT - Roster'!D139&amp;"")="",TRIM('INPUT - Roster'!E139&amp;"")=""),1,0)</f>
        <v/>
      </c>
      <c r="C135">
        <f>IF(B135=1,TRIM('INPUT - Roster'!C139&amp;""),C134)</f>
        <v/>
      </c>
      <c r="D135">
        <f>IF(AND(B135=0,TRIM('INPUT - Roster'!D139&amp;"")&lt;&gt;""),1,0)</f>
        <v/>
      </c>
      <c r="E135">
        <f>IF(D135=1,COUNTIF(D$2:D135,1),"")</f>
        <v/>
      </c>
      <c r="F135">
        <f>IF(B135=1,COUNTIF(B$2:B135,1),"")</f>
        <v/>
      </c>
    </row>
    <row r="136">
      <c r="A136" t="n">
        <v>140</v>
      </c>
      <c r="B136">
        <f>IF(AND(TRIM('INPUT - Roster'!C140&amp;"")&lt;&gt;"",TRIM('INPUT - Roster'!D140&amp;"")="",TRIM('INPUT - Roster'!E140&amp;"")=""),1,0)</f>
        <v/>
      </c>
      <c r="C136">
        <f>IF(B136=1,TRIM('INPUT - Roster'!C140&amp;""),C135)</f>
        <v/>
      </c>
      <c r="D136">
        <f>IF(AND(B136=0,TRIM('INPUT - Roster'!D140&amp;"")&lt;&gt;""),1,0)</f>
        <v/>
      </c>
      <c r="E136">
        <f>IF(D136=1,COUNTIF(D$2:D136,1),"")</f>
        <v/>
      </c>
      <c r="F136">
        <f>IF(B136=1,COUNTIF(B$2:B136,1),"")</f>
        <v/>
      </c>
    </row>
    <row r="137">
      <c r="A137" t="n">
        <v>141</v>
      </c>
      <c r="B137">
        <f>IF(AND(TRIM('INPUT - Roster'!C141&amp;"")&lt;&gt;"",TRIM('INPUT - Roster'!D141&amp;"")="",TRIM('INPUT - Roster'!E141&amp;"")=""),1,0)</f>
        <v/>
      </c>
      <c r="C137">
        <f>IF(B137=1,TRIM('INPUT - Roster'!C141&amp;""),C136)</f>
        <v/>
      </c>
      <c r="D137">
        <f>IF(AND(B137=0,TRIM('INPUT - Roster'!D141&amp;"")&lt;&gt;""),1,0)</f>
        <v/>
      </c>
      <c r="E137">
        <f>IF(D137=1,COUNTIF(D$2:D137,1),"")</f>
        <v/>
      </c>
      <c r="F137">
        <f>IF(B137=1,COUNTIF(B$2:B137,1),"")</f>
        <v/>
      </c>
    </row>
    <row r="138">
      <c r="A138" t="n">
        <v>142</v>
      </c>
      <c r="B138">
        <f>IF(AND(TRIM('INPUT - Roster'!C142&amp;"")&lt;&gt;"",TRIM('INPUT - Roster'!D142&amp;"")="",TRIM('INPUT - Roster'!E142&amp;"")=""),1,0)</f>
        <v/>
      </c>
      <c r="C138">
        <f>IF(B138=1,TRIM('INPUT - Roster'!C142&amp;""),C137)</f>
        <v/>
      </c>
      <c r="D138">
        <f>IF(AND(B138=0,TRIM('INPUT - Roster'!D142&amp;"")&lt;&gt;""),1,0)</f>
        <v/>
      </c>
      <c r="E138">
        <f>IF(D138=1,COUNTIF(D$2:D138,1),"")</f>
        <v/>
      </c>
      <c r="F138">
        <f>IF(B138=1,COUNTIF(B$2:B138,1),"")</f>
        <v/>
      </c>
    </row>
    <row r="139">
      <c r="A139" t="n">
        <v>143</v>
      </c>
      <c r="B139">
        <f>IF(AND(TRIM('INPUT - Roster'!C143&amp;"")&lt;&gt;"",TRIM('INPUT - Roster'!D143&amp;"")="",TRIM('INPUT - Roster'!E143&amp;"")=""),1,0)</f>
        <v/>
      </c>
      <c r="C139">
        <f>IF(B139=1,TRIM('INPUT - Roster'!C143&amp;""),C138)</f>
        <v/>
      </c>
      <c r="D139">
        <f>IF(AND(B139=0,TRIM('INPUT - Roster'!D143&amp;"")&lt;&gt;""),1,0)</f>
        <v/>
      </c>
      <c r="E139">
        <f>IF(D139=1,COUNTIF(D$2:D139,1),"")</f>
        <v/>
      </c>
      <c r="F139">
        <f>IF(B139=1,COUNTIF(B$2:B139,1),"")</f>
        <v/>
      </c>
    </row>
    <row r="140">
      <c r="A140" t="n">
        <v>144</v>
      </c>
      <c r="B140">
        <f>IF(AND(TRIM('INPUT - Roster'!C144&amp;"")&lt;&gt;"",TRIM('INPUT - Roster'!D144&amp;"")="",TRIM('INPUT - Roster'!E144&amp;"")=""),1,0)</f>
        <v/>
      </c>
      <c r="C140">
        <f>IF(B140=1,TRIM('INPUT - Roster'!C144&amp;""),C139)</f>
        <v/>
      </c>
      <c r="D140">
        <f>IF(AND(B140=0,TRIM('INPUT - Roster'!D144&amp;"")&lt;&gt;""),1,0)</f>
        <v/>
      </c>
      <c r="E140">
        <f>IF(D140=1,COUNTIF(D$2:D140,1),"")</f>
        <v/>
      </c>
      <c r="F140">
        <f>IF(B140=1,COUNTIF(B$2:B140,1),"")</f>
        <v/>
      </c>
    </row>
    <row r="141">
      <c r="A141" t="n">
        <v>145</v>
      </c>
      <c r="B141">
        <f>IF(AND(TRIM('INPUT - Roster'!C145&amp;"")&lt;&gt;"",TRIM('INPUT - Roster'!D145&amp;"")="",TRIM('INPUT - Roster'!E145&amp;"")=""),1,0)</f>
        <v/>
      </c>
      <c r="C141">
        <f>IF(B141=1,TRIM('INPUT - Roster'!C145&amp;""),C140)</f>
        <v/>
      </c>
      <c r="D141">
        <f>IF(AND(B141=0,TRIM('INPUT - Roster'!D145&amp;"")&lt;&gt;""),1,0)</f>
        <v/>
      </c>
      <c r="E141">
        <f>IF(D141=1,COUNTIF(D$2:D141,1),"")</f>
        <v/>
      </c>
      <c r="F141">
        <f>IF(B141=1,COUNTIF(B$2:B141,1),"")</f>
        <v/>
      </c>
    </row>
    <row r="142">
      <c r="A142" t="n">
        <v>146</v>
      </c>
      <c r="B142">
        <f>IF(AND(TRIM('INPUT - Roster'!C146&amp;"")&lt;&gt;"",TRIM('INPUT - Roster'!D146&amp;"")="",TRIM('INPUT - Roster'!E146&amp;"")=""),1,0)</f>
        <v/>
      </c>
      <c r="C142">
        <f>IF(B142=1,TRIM('INPUT - Roster'!C146&amp;""),C141)</f>
        <v/>
      </c>
      <c r="D142">
        <f>IF(AND(B142=0,TRIM('INPUT - Roster'!D146&amp;"")&lt;&gt;""),1,0)</f>
        <v/>
      </c>
      <c r="E142">
        <f>IF(D142=1,COUNTIF(D$2:D142,1),"")</f>
        <v/>
      </c>
      <c r="F142">
        <f>IF(B142=1,COUNTIF(B$2:B142,1),"")</f>
        <v/>
      </c>
    </row>
    <row r="143">
      <c r="A143" t="n">
        <v>147</v>
      </c>
      <c r="B143">
        <f>IF(AND(TRIM('INPUT - Roster'!C147&amp;"")&lt;&gt;"",TRIM('INPUT - Roster'!D147&amp;"")="",TRIM('INPUT - Roster'!E147&amp;"")=""),1,0)</f>
        <v/>
      </c>
      <c r="C143">
        <f>IF(B143=1,TRIM('INPUT - Roster'!C147&amp;""),C142)</f>
        <v/>
      </c>
      <c r="D143">
        <f>IF(AND(B143=0,TRIM('INPUT - Roster'!D147&amp;"")&lt;&gt;""),1,0)</f>
        <v/>
      </c>
      <c r="E143">
        <f>IF(D143=1,COUNTIF(D$2:D143,1),"")</f>
        <v/>
      </c>
      <c r="F143">
        <f>IF(B143=1,COUNTIF(B$2:B143,1),"")</f>
        <v/>
      </c>
    </row>
    <row r="144">
      <c r="A144" t="n">
        <v>148</v>
      </c>
      <c r="B144">
        <f>IF(AND(TRIM('INPUT - Roster'!C148&amp;"")&lt;&gt;"",TRIM('INPUT - Roster'!D148&amp;"")="",TRIM('INPUT - Roster'!E148&amp;"")=""),1,0)</f>
        <v/>
      </c>
      <c r="C144">
        <f>IF(B144=1,TRIM('INPUT - Roster'!C148&amp;""),C143)</f>
        <v/>
      </c>
      <c r="D144">
        <f>IF(AND(B144=0,TRIM('INPUT - Roster'!D148&amp;"")&lt;&gt;""),1,0)</f>
        <v/>
      </c>
      <c r="E144">
        <f>IF(D144=1,COUNTIF(D$2:D144,1),"")</f>
        <v/>
      </c>
      <c r="F144">
        <f>IF(B144=1,COUNTIF(B$2:B144,1),"")</f>
        <v/>
      </c>
    </row>
    <row r="145">
      <c r="A145" t="n">
        <v>149</v>
      </c>
      <c r="B145">
        <f>IF(AND(TRIM('INPUT - Roster'!C149&amp;"")&lt;&gt;"",TRIM('INPUT - Roster'!D149&amp;"")="",TRIM('INPUT - Roster'!E149&amp;"")=""),1,0)</f>
        <v/>
      </c>
      <c r="C145">
        <f>IF(B145=1,TRIM('INPUT - Roster'!C149&amp;""),C144)</f>
        <v/>
      </c>
      <c r="D145">
        <f>IF(AND(B145=0,TRIM('INPUT - Roster'!D149&amp;"")&lt;&gt;""),1,0)</f>
        <v/>
      </c>
      <c r="E145">
        <f>IF(D145=1,COUNTIF(D$2:D145,1),"")</f>
        <v/>
      </c>
      <c r="F145">
        <f>IF(B145=1,COUNTIF(B$2:B145,1),"")</f>
        <v/>
      </c>
    </row>
    <row r="146">
      <c r="A146" t="n">
        <v>150</v>
      </c>
      <c r="B146">
        <f>IF(AND(TRIM('INPUT - Roster'!C150&amp;"")&lt;&gt;"",TRIM('INPUT - Roster'!D150&amp;"")="",TRIM('INPUT - Roster'!E150&amp;"")=""),1,0)</f>
        <v/>
      </c>
      <c r="C146">
        <f>IF(B146=1,TRIM('INPUT - Roster'!C150&amp;""),C145)</f>
        <v/>
      </c>
      <c r="D146">
        <f>IF(AND(B146=0,TRIM('INPUT - Roster'!D150&amp;"")&lt;&gt;""),1,0)</f>
        <v/>
      </c>
      <c r="E146">
        <f>IF(D146=1,COUNTIF(D$2:D146,1),"")</f>
        <v/>
      </c>
      <c r="F146">
        <f>IF(B146=1,COUNTIF(B$2:B146,1),"")</f>
        <v/>
      </c>
    </row>
    <row r="147">
      <c r="A147" t="n">
        <v>151</v>
      </c>
      <c r="B147">
        <f>IF(AND(TRIM('INPUT - Roster'!C151&amp;"")&lt;&gt;"",TRIM('INPUT - Roster'!D151&amp;"")="",TRIM('INPUT - Roster'!E151&amp;"")=""),1,0)</f>
        <v/>
      </c>
      <c r="C147">
        <f>IF(B147=1,TRIM('INPUT - Roster'!C151&amp;""),C146)</f>
        <v/>
      </c>
      <c r="D147">
        <f>IF(AND(B147=0,TRIM('INPUT - Roster'!D151&amp;"")&lt;&gt;""),1,0)</f>
        <v/>
      </c>
      <c r="E147">
        <f>IF(D147=1,COUNTIF(D$2:D147,1),"")</f>
        <v/>
      </c>
      <c r="F147">
        <f>IF(B147=1,COUNTIF(B$2:B147,1),"")</f>
        <v/>
      </c>
    </row>
    <row r="148">
      <c r="A148" t="n">
        <v>152</v>
      </c>
      <c r="B148">
        <f>IF(AND(TRIM('INPUT - Roster'!C152&amp;"")&lt;&gt;"",TRIM('INPUT - Roster'!D152&amp;"")="",TRIM('INPUT - Roster'!E152&amp;"")=""),1,0)</f>
        <v/>
      </c>
      <c r="C148">
        <f>IF(B148=1,TRIM('INPUT - Roster'!C152&amp;""),C147)</f>
        <v/>
      </c>
      <c r="D148">
        <f>IF(AND(B148=0,TRIM('INPUT - Roster'!D152&amp;"")&lt;&gt;""),1,0)</f>
        <v/>
      </c>
      <c r="E148">
        <f>IF(D148=1,COUNTIF(D$2:D148,1),"")</f>
        <v/>
      </c>
      <c r="F148">
        <f>IF(B148=1,COUNTIF(B$2:B148,1),"")</f>
        <v/>
      </c>
    </row>
    <row r="149">
      <c r="A149" t="n">
        <v>153</v>
      </c>
      <c r="B149">
        <f>IF(AND(TRIM('INPUT - Roster'!C153&amp;"")&lt;&gt;"",TRIM('INPUT - Roster'!D153&amp;"")="",TRIM('INPUT - Roster'!E153&amp;"")=""),1,0)</f>
        <v/>
      </c>
      <c r="C149">
        <f>IF(B149=1,TRIM('INPUT - Roster'!C153&amp;""),C148)</f>
        <v/>
      </c>
      <c r="D149">
        <f>IF(AND(B149=0,TRIM('INPUT - Roster'!D153&amp;"")&lt;&gt;""),1,0)</f>
        <v/>
      </c>
      <c r="E149">
        <f>IF(D149=1,COUNTIF(D$2:D149,1),"")</f>
        <v/>
      </c>
      <c r="F149">
        <f>IF(B149=1,COUNTIF(B$2:B149,1),"")</f>
        <v/>
      </c>
    </row>
    <row r="150">
      <c r="A150" t="n">
        <v>154</v>
      </c>
      <c r="B150">
        <f>IF(AND(TRIM('INPUT - Roster'!C154&amp;"")&lt;&gt;"",TRIM('INPUT - Roster'!D154&amp;"")="",TRIM('INPUT - Roster'!E154&amp;"")=""),1,0)</f>
        <v/>
      </c>
      <c r="C150">
        <f>IF(B150=1,TRIM('INPUT - Roster'!C154&amp;""),C149)</f>
        <v/>
      </c>
      <c r="D150">
        <f>IF(AND(B150=0,TRIM('INPUT - Roster'!D154&amp;"")&lt;&gt;""),1,0)</f>
        <v/>
      </c>
      <c r="E150">
        <f>IF(D150=1,COUNTIF(D$2:D150,1),"")</f>
        <v/>
      </c>
      <c r="F150">
        <f>IF(B150=1,COUNTIF(B$2:B150,1),"")</f>
        <v/>
      </c>
    </row>
    <row r="151">
      <c r="A151" t="n">
        <v>155</v>
      </c>
      <c r="B151">
        <f>IF(AND(TRIM('INPUT - Roster'!C155&amp;"")&lt;&gt;"",TRIM('INPUT - Roster'!D155&amp;"")="",TRIM('INPUT - Roster'!E155&amp;"")=""),1,0)</f>
        <v/>
      </c>
      <c r="C151">
        <f>IF(B151=1,TRIM('INPUT - Roster'!C155&amp;""),C150)</f>
        <v/>
      </c>
      <c r="D151">
        <f>IF(AND(B151=0,TRIM('INPUT - Roster'!D155&amp;"")&lt;&gt;""),1,0)</f>
        <v/>
      </c>
      <c r="E151">
        <f>IF(D151=1,COUNTIF(D$2:D151,1),"")</f>
        <v/>
      </c>
      <c r="F151">
        <f>IF(B151=1,COUNTIF(B$2:B151,1),"")</f>
        <v/>
      </c>
    </row>
    <row r="152">
      <c r="A152" t="n">
        <v>156</v>
      </c>
      <c r="B152">
        <f>IF(AND(TRIM('INPUT - Roster'!C156&amp;"")&lt;&gt;"",TRIM('INPUT - Roster'!D156&amp;"")="",TRIM('INPUT - Roster'!E156&amp;"")=""),1,0)</f>
        <v/>
      </c>
      <c r="C152">
        <f>IF(B152=1,TRIM('INPUT - Roster'!C156&amp;""),C151)</f>
        <v/>
      </c>
      <c r="D152">
        <f>IF(AND(B152=0,TRIM('INPUT - Roster'!D156&amp;"")&lt;&gt;""),1,0)</f>
        <v/>
      </c>
      <c r="E152">
        <f>IF(D152=1,COUNTIF(D$2:D152,1),"")</f>
        <v/>
      </c>
      <c r="F152">
        <f>IF(B152=1,COUNTIF(B$2:B152,1),"")</f>
        <v/>
      </c>
    </row>
    <row r="153">
      <c r="A153" t="n">
        <v>157</v>
      </c>
      <c r="B153">
        <f>IF(AND(TRIM('INPUT - Roster'!C157&amp;"")&lt;&gt;"",TRIM('INPUT - Roster'!D157&amp;"")="",TRIM('INPUT - Roster'!E157&amp;"")=""),1,0)</f>
        <v/>
      </c>
      <c r="C153">
        <f>IF(B153=1,TRIM('INPUT - Roster'!C157&amp;""),C152)</f>
        <v/>
      </c>
      <c r="D153">
        <f>IF(AND(B153=0,TRIM('INPUT - Roster'!D157&amp;"")&lt;&gt;""),1,0)</f>
        <v/>
      </c>
      <c r="E153">
        <f>IF(D153=1,COUNTIF(D$2:D153,1),"")</f>
        <v/>
      </c>
      <c r="F153">
        <f>IF(B153=1,COUNTIF(B$2:B153,1),"")</f>
        <v/>
      </c>
    </row>
    <row r="154">
      <c r="A154" t="n">
        <v>158</v>
      </c>
      <c r="B154">
        <f>IF(AND(TRIM('INPUT - Roster'!C158&amp;"")&lt;&gt;"",TRIM('INPUT - Roster'!D158&amp;"")="",TRIM('INPUT - Roster'!E158&amp;"")=""),1,0)</f>
        <v/>
      </c>
      <c r="C154">
        <f>IF(B154=1,TRIM('INPUT - Roster'!C158&amp;""),C153)</f>
        <v/>
      </c>
      <c r="D154">
        <f>IF(AND(B154=0,TRIM('INPUT - Roster'!D158&amp;"")&lt;&gt;""),1,0)</f>
        <v/>
      </c>
      <c r="E154">
        <f>IF(D154=1,COUNTIF(D$2:D154,1),"")</f>
        <v/>
      </c>
      <c r="F154">
        <f>IF(B154=1,COUNTIF(B$2:B154,1),"")</f>
        <v/>
      </c>
    </row>
    <row r="155">
      <c r="A155" t="n">
        <v>159</v>
      </c>
      <c r="B155">
        <f>IF(AND(TRIM('INPUT - Roster'!C159&amp;"")&lt;&gt;"",TRIM('INPUT - Roster'!D159&amp;"")="",TRIM('INPUT - Roster'!E159&amp;"")=""),1,0)</f>
        <v/>
      </c>
      <c r="C155">
        <f>IF(B155=1,TRIM('INPUT - Roster'!C159&amp;""),C154)</f>
        <v/>
      </c>
      <c r="D155">
        <f>IF(AND(B155=0,TRIM('INPUT - Roster'!D159&amp;"")&lt;&gt;""),1,0)</f>
        <v/>
      </c>
      <c r="E155">
        <f>IF(D155=1,COUNTIF(D$2:D155,1),"")</f>
        <v/>
      </c>
      <c r="F155">
        <f>IF(B155=1,COUNTIF(B$2:B155,1),"")</f>
        <v/>
      </c>
    </row>
    <row r="156">
      <c r="A156" t="n">
        <v>160</v>
      </c>
      <c r="B156">
        <f>IF(AND(TRIM('INPUT - Roster'!C160&amp;"")&lt;&gt;"",TRIM('INPUT - Roster'!D160&amp;"")="",TRIM('INPUT - Roster'!E160&amp;"")=""),1,0)</f>
        <v/>
      </c>
      <c r="C156">
        <f>IF(B156=1,TRIM('INPUT - Roster'!C160&amp;""),C155)</f>
        <v/>
      </c>
      <c r="D156">
        <f>IF(AND(B156=0,TRIM('INPUT - Roster'!D160&amp;"")&lt;&gt;""),1,0)</f>
        <v/>
      </c>
      <c r="E156">
        <f>IF(D156=1,COUNTIF(D$2:D156,1),"")</f>
        <v/>
      </c>
      <c r="F156">
        <f>IF(B156=1,COUNTIF(B$2:B156,1),"")</f>
        <v/>
      </c>
    </row>
    <row r="157">
      <c r="A157" t="n">
        <v>161</v>
      </c>
      <c r="B157">
        <f>IF(AND(TRIM('INPUT - Roster'!C161&amp;"")&lt;&gt;"",TRIM('INPUT - Roster'!D161&amp;"")="",TRIM('INPUT - Roster'!E161&amp;"")=""),1,0)</f>
        <v/>
      </c>
      <c r="C157">
        <f>IF(B157=1,TRIM('INPUT - Roster'!C161&amp;""),C156)</f>
        <v/>
      </c>
      <c r="D157">
        <f>IF(AND(B157=0,TRIM('INPUT - Roster'!D161&amp;"")&lt;&gt;""),1,0)</f>
        <v/>
      </c>
      <c r="E157">
        <f>IF(D157=1,COUNTIF(D$2:D157,1),"")</f>
        <v/>
      </c>
      <c r="F157">
        <f>IF(B157=1,COUNTIF(B$2:B157,1),"")</f>
        <v/>
      </c>
    </row>
    <row r="158">
      <c r="A158" t="n">
        <v>162</v>
      </c>
      <c r="B158">
        <f>IF(AND(TRIM('INPUT - Roster'!C162&amp;"")&lt;&gt;"",TRIM('INPUT - Roster'!D162&amp;"")="",TRIM('INPUT - Roster'!E162&amp;"")=""),1,0)</f>
        <v/>
      </c>
      <c r="C158">
        <f>IF(B158=1,TRIM('INPUT - Roster'!C162&amp;""),C157)</f>
        <v/>
      </c>
      <c r="D158">
        <f>IF(AND(B158=0,TRIM('INPUT - Roster'!D162&amp;"")&lt;&gt;""),1,0)</f>
        <v/>
      </c>
      <c r="E158">
        <f>IF(D158=1,COUNTIF(D$2:D158,1),"")</f>
        <v/>
      </c>
      <c r="F158">
        <f>IF(B158=1,COUNTIF(B$2:B158,1),"")</f>
        <v/>
      </c>
    </row>
    <row r="159">
      <c r="A159" t="n">
        <v>163</v>
      </c>
      <c r="B159">
        <f>IF(AND(TRIM('INPUT - Roster'!C163&amp;"")&lt;&gt;"",TRIM('INPUT - Roster'!D163&amp;"")="",TRIM('INPUT - Roster'!E163&amp;"")=""),1,0)</f>
        <v/>
      </c>
      <c r="C159">
        <f>IF(B159=1,TRIM('INPUT - Roster'!C163&amp;""),C158)</f>
        <v/>
      </c>
      <c r="D159">
        <f>IF(AND(B159=0,TRIM('INPUT - Roster'!D163&amp;"")&lt;&gt;""),1,0)</f>
        <v/>
      </c>
      <c r="E159">
        <f>IF(D159=1,COUNTIF(D$2:D159,1),"")</f>
        <v/>
      </c>
      <c r="F159">
        <f>IF(B159=1,COUNTIF(B$2:B159,1),"")</f>
        <v/>
      </c>
    </row>
    <row r="160">
      <c r="A160" t="n">
        <v>164</v>
      </c>
      <c r="B160">
        <f>IF(AND(TRIM('INPUT - Roster'!C164&amp;"")&lt;&gt;"",TRIM('INPUT - Roster'!D164&amp;"")="",TRIM('INPUT - Roster'!E164&amp;"")=""),1,0)</f>
        <v/>
      </c>
      <c r="C160">
        <f>IF(B160=1,TRIM('INPUT - Roster'!C164&amp;""),C159)</f>
        <v/>
      </c>
      <c r="D160">
        <f>IF(AND(B160=0,TRIM('INPUT - Roster'!D164&amp;"")&lt;&gt;""),1,0)</f>
        <v/>
      </c>
      <c r="E160">
        <f>IF(D160=1,COUNTIF(D$2:D160,1),"")</f>
        <v/>
      </c>
      <c r="F160">
        <f>IF(B160=1,COUNTIF(B$2:B160,1),"")</f>
        <v/>
      </c>
    </row>
    <row r="161">
      <c r="A161" t="n">
        <v>165</v>
      </c>
      <c r="B161">
        <f>IF(AND(TRIM('INPUT - Roster'!C165&amp;"")&lt;&gt;"",TRIM('INPUT - Roster'!D165&amp;"")="",TRIM('INPUT - Roster'!E165&amp;"")=""),1,0)</f>
        <v/>
      </c>
      <c r="C161">
        <f>IF(B161=1,TRIM('INPUT - Roster'!C165&amp;""),C160)</f>
        <v/>
      </c>
      <c r="D161">
        <f>IF(AND(B161=0,TRIM('INPUT - Roster'!D165&amp;"")&lt;&gt;""),1,0)</f>
        <v/>
      </c>
      <c r="E161">
        <f>IF(D161=1,COUNTIF(D$2:D161,1),"")</f>
        <v/>
      </c>
      <c r="F161">
        <f>IF(B161=1,COUNTIF(B$2:B161,1),"")</f>
        <v/>
      </c>
    </row>
    <row r="162">
      <c r="A162" t="n">
        <v>166</v>
      </c>
      <c r="B162">
        <f>IF(AND(TRIM('INPUT - Roster'!C166&amp;"")&lt;&gt;"",TRIM('INPUT - Roster'!D166&amp;"")="",TRIM('INPUT - Roster'!E166&amp;"")=""),1,0)</f>
        <v/>
      </c>
      <c r="C162">
        <f>IF(B162=1,TRIM('INPUT - Roster'!C166&amp;""),C161)</f>
        <v/>
      </c>
      <c r="D162">
        <f>IF(AND(B162=0,TRIM('INPUT - Roster'!D166&amp;"")&lt;&gt;""),1,0)</f>
        <v/>
      </c>
      <c r="E162">
        <f>IF(D162=1,COUNTIF(D$2:D162,1),"")</f>
        <v/>
      </c>
      <c r="F162">
        <f>IF(B162=1,COUNTIF(B$2:B162,1),"")</f>
        <v/>
      </c>
    </row>
    <row r="163">
      <c r="A163" t="n">
        <v>167</v>
      </c>
      <c r="B163">
        <f>IF(AND(TRIM('INPUT - Roster'!C167&amp;"")&lt;&gt;"",TRIM('INPUT - Roster'!D167&amp;"")="",TRIM('INPUT - Roster'!E167&amp;"")=""),1,0)</f>
        <v/>
      </c>
      <c r="C163">
        <f>IF(B163=1,TRIM('INPUT - Roster'!C167&amp;""),C162)</f>
        <v/>
      </c>
      <c r="D163">
        <f>IF(AND(B163=0,TRIM('INPUT - Roster'!D167&amp;"")&lt;&gt;""),1,0)</f>
        <v/>
      </c>
      <c r="E163">
        <f>IF(D163=1,COUNTIF(D$2:D163,1),"")</f>
        <v/>
      </c>
      <c r="F163">
        <f>IF(B163=1,COUNTIF(B$2:B163,1),"")</f>
        <v/>
      </c>
    </row>
    <row r="164">
      <c r="A164" t="n">
        <v>168</v>
      </c>
      <c r="B164">
        <f>IF(AND(TRIM('INPUT - Roster'!C168&amp;"")&lt;&gt;"",TRIM('INPUT - Roster'!D168&amp;"")="",TRIM('INPUT - Roster'!E168&amp;"")=""),1,0)</f>
        <v/>
      </c>
      <c r="C164">
        <f>IF(B164=1,TRIM('INPUT - Roster'!C168&amp;""),C163)</f>
        <v/>
      </c>
      <c r="D164">
        <f>IF(AND(B164=0,TRIM('INPUT - Roster'!D168&amp;"")&lt;&gt;""),1,0)</f>
        <v/>
      </c>
      <c r="E164">
        <f>IF(D164=1,COUNTIF(D$2:D164,1),"")</f>
        <v/>
      </c>
      <c r="F164">
        <f>IF(B164=1,COUNTIF(B$2:B164,1),"")</f>
        <v/>
      </c>
    </row>
    <row r="165">
      <c r="A165" t="n">
        <v>169</v>
      </c>
      <c r="B165">
        <f>IF(AND(TRIM('INPUT - Roster'!C169&amp;"")&lt;&gt;"",TRIM('INPUT - Roster'!D169&amp;"")="",TRIM('INPUT - Roster'!E169&amp;"")=""),1,0)</f>
        <v/>
      </c>
      <c r="C165">
        <f>IF(B165=1,TRIM('INPUT - Roster'!C169&amp;""),C164)</f>
        <v/>
      </c>
      <c r="D165">
        <f>IF(AND(B165=0,TRIM('INPUT - Roster'!D169&amp;"")&lt;&gt;""),1,0)</f>
        <v/>
      </c>
      <c r="E165">
        <f>IF(D165=1,COUNTIF(D$2:D165,1),"")</f>
        <v/>
      </c>
      <c r="F165">
        <f>IF(B165=1,COUNTIF(B$2:B165,1),"")</f>
        <v/>
      </c>
    </row>
    <row r="166">
      <c r="A166" t="n">
        <v>170</v>
      </c>
      <c r="B166">
        <f>IF(AND(TRIM('INPUT - Roster'!C170&amp;"")&lt;&gt;"",TRIM('INPUT - Roster'!D170&amp;"")="",TRIM('INPUT - Roster'!E170&amp;"")=""),1,0)</f>
        <v/>
      </c>
      <c r="C166">
        <f>IF(B166=1,TRIM('INPUT - Roster'!C170&amp;""),C165)</f>
        <v/>
      </c>
      <c r="D166">
        <f>IF(AND(B166=0,TRIM('INPUT - Roster'!D170&amp;"")&lt;&gt;""),1,0)</f>
        <v/>
      </c>
      <c r="E166">
        <f>IF(D166=1,COUNTIF(D$2:D166,1),"")</f>
        <v/>
      </c>
      <c r="F166">
        <f>IF(B166=1,COUNTIF(B$2:B166,1),"")</f>
        <v/>
      </c>
    </row>
    <row r="167">
      <c r="A167" t="n">
        <v>171</v>
      </c>
      <c r="B167">
        <f>IF(AND(TRIM('INPUT - Roster'!C171&amp;"")&lt;&gt;"",TRIM('INPUT - Roster'!D171&amp;"")="",TRIM('INPUT - Roster'!E171&amp;"")=""),1,0)</f>
        <v/>
      </c>
      <c r="C167">
        <f>IF(B167=1,TRIM('INPUT - Roster'!C171&amp;""),C166)</f>
        <v/>
      </c>
      <c r="D167">
        <f>IF(AND(B167=0,TRIM('INPUT - Roster'!D171&amp;"")&lt;&gt;""),1,0)</f>
        <v/>
      </c>
      <c r="E167">
        <f>IF(D167=1,COUNTIF(D$2:D167,1),"")</f>
        <v/>
      </c>
      <c r="F167">
        <f>IF(B167=1,COUNTIF(B$2:B167,1),"")</f>
        <v/>
      </c>
    </row>
    <row r="168">
      <c r="A168" t="n">
        <v>172</v>
      </c>
      <c r="B168">
        <f>IF(AND(TRIM('INPUT - Roster'!C172&amp;"")&lt;&gt;"",TRIM('INPUT - Roster'!D172&amp;"")="",TRIM('INPUT - Roster'!E172&amp;"")=""),1,0)</f>
        <v/>
      </c>
      <c r="C168">
        <f>IF(B168=1,TRIM('INPUT - Roster'!C172&amp;""),C167)</f>
        <v/>
      </c>
      <c r="D168">
        <f>IF(AND(B168=0,TRIM('INPUT - Roster'!D172&amp;"")&lt;&gt;""),1,0)</f>
        <v/>
      </c>
      <c r="E168">
        <f>IF(D168=1,COUNTIF(D$2:D168,1),"")</f>
        <v/>
      </c>
      <c r="F168">
        <f>IF(B168=1,COUNTIF(B$2:B168,1),"")</f>
        <v/>
      </c>
    </row>
    <row r="169">
      <c r="A169" t="n">
        <v>173</v>
      </c>
      <c r="B169">
        <f>IF(AND(TRIM('INPUT - Roster'!C173&amp;"")&lt;&gt;"",TRIM('INPUT - Roster'!D173&amp;"")="",TRIM('INPUT - Roster'!E173&amp;"")=""),1,0)</f>
        <v/>
      </c>
      <c r="C169">
        <f>IF(B169=1,TRIM('INPUT - Roster'!C173&amp;""),C168)</f>
        <v/>
      </c>
      <c r="D169">
        <f>IF(AND(B169=0,TRIM('INPUT - Roster'!D173&amp;"")&lt;&gt;""),1,0)</f>
        <v/>
      </c>
      <c r="E169">
        <f>IF(D169=1,COUNTIF(D$2:D169,1),"")</f>
        <v/>
      </c>
      <c r="F169">
        <f>IF(B169=1,COUNTIF(B$2:B169,1),"")</f>
        <v/>
      </c>
    </row>
    <row r="170">
      <c r="A170" t="n">
        <v>174</v>
      </c>
      <c r="B170">
        <f>IF(AND(TRIM('INPUT - Roster'!C174&amp;"")&lt;&gt;"",TRIM('INPUT - Roster'!D174&amp;"")="",TRIM('INPUT - Roster'!E174&amp;"")=""),1,0)</f>
        <v/>
      </c>
      <c r="C170">
        <f>IF(B170=1,TRIM('INPUT - Roster'!C174&amp;""),C169)</f>
        <v/>
      </c>
      <c r="D170">
        <f>IF(AND(B170=0,TRIM('INPUT - Roster'!D174&amp;"")&lt;&gt;""),1,0)</f>
        <v/>
      </c>
      <c r="E170">
        <f>IF(D170=1,COUNTIF(D$2:D170,1),"")</f>
        <v/>
      </c>
      <c r="F170">
        <f>IF(B170=1,COUNTIF(B$2:B170,1),"")</f>
        <v/>
      </c>
    </row>
    <row r="171">
      <c r="A171" t="n">
        <v>175</v>
      </c>
      <c r="B171">
        <f>IF(AND(TRIM('INPUT - Roster'!C175&amp;"")&lt;&gt;"",TRIM('INPUT - Roster'!D175&amp;"")="",TRIM('INPUT - Roster'!E175&amp;"")=""),1,0)</f>
        <v/>
      </c>
      <c r="C171">
        <f>IF(B171=1,TRIM('INPUT - Roster'!C175&amp;""),C170)</f>
        <v/>
      </c>
      <c r="D171">
        <f>IF(AND(B171=0,TRIM('INPUT - Roster'!D175&amp;"")&lt;&gt;""),1,0)</f>
        <v/>
      </c>
      <c r="E171">
        <f>IF(D171=1,COUNTIF(D$2:D171,1),"")</f>
        <v/>
      </c>
      <c r="F171">
        <f>IF(B171=1,COUNTIF(B$2:B171,1),"")</f>
        <v/>
      </c>
    </row>
    <row r="172">
      <c r="A172" t="n">
        <v>176</v>
      </c>
      <c r="B172">
        <f>IF(AND(TRIM('INPUT - Roster'!C176&amp;"")&lt;&gt;"",TRIM('INPUT - Roster'!D176&amp;"")="",TRIM('INPUT - Roster'!E176&amp;"")=""),1,0)</f>
        <v/>
      </c>
      <c r="C172">
        <f>IF(B172=1,TRIM('INPUT - Roster'!C176&amp;""),C171)</f>
        <v/>
      </c>
      <c r="D172">
        <f>IF(AND(B172=0,TRIM('INPUT - Roster'!D176&amp;"")&lt;&gt;""),1,0)</f>
        <v/>
      </c>
      <c r="E172">
        <f>IF(D172=1,COUNTIF(D$2:D172,1),"")</f>
        <v/>
      </c>
      <c r="F172">
        <f>IF(B172=1,COUNTIF(B$2:B172,1),"")</f>
        <v/>
      </c>
    </row>
    <row r="173">
      <c r="A173" t="n">
        <v>177</v>
      </c>
      <c r="B173">
        <f>IF(AND(TRIM('INPUT - Roster'!C177&amp;"")&lt;&gt;"",TRIM('INPUT - Roster'!D177&amp;"")="",TRIM('INPUT - Roster'!E177&amp;"")=""),1,0)</f>
        <v/>
      </c>
      <c r="C173">
        <f>IF(B173=1,TRIM('INPUT - Roster'!C177&amp;""),C172)</f>
        <v/>
      </c>
      <c r="D173">
        <f>IF(AND(B173=0,TRIM('INPUT - Roster'!D177&amp;"")&lt;&gt;""),1,0)</f>
        <v/>
      </c>
      <c r="E173">
        <f>IF(D173=1,COUNTIF(D$2:D173,1),"")</f>
        <v/>
      </c>
      <c r="F173">
        <f>IF(B173=1,COUNTIF(B$2:B173,1),"")</f>
        <v/>
      </c>
    </row>
    <row r="174">
      <c r="A174" t="n">
        <v>178</v>
      </c>
      <c r="B174">
        <f>IF(AND(TRIM('INPUT - Roster'!C178&amp;"")&lt;&gt;"",TRIM('INPUT - Roster'!D178&amp;"")="",TRIM('INPUT - Roster'!E178&amp;"")=""),1,0)</f>
        <v/>
      </c>
      <c r="C174">
        <f>IF(B174=1,TRIM('INPUT - Roster'!C178&amp;""),C173)</f>
        <v/>
      </c>
      <c r="D174">
        <f>IF(AND(B174=0,TRIM('INPUT - Roster'!D178&amp;"")&lt;&gt;""),1,0)</f>
        <v/>
      </c>
      <c r="E174">
        <f>IF(D174=1,COUNTIF(D$2:D174,1),"")</f>
        <v/>
      </c>
      <c r="F174">
        <f>IF(B174=1,COUNTIF(B$2:B174,1),"")</f>
        <v/>
      </c>
    </row>
    <row r="175">
      <c r="A175" t="n">
        <v>179</v>
      </c>
      <c r="B175">
        <f>IF(AND(TRIM('INPUT - Roster'!C179&amp;"")&lt;&gt;"",TRIM('INPUT - Roster'!D179&amp;"")="",TRIM('INPUT - Roster'!E179&amp;"")=""),1,0)</f>
        <v/>
      </c>
      <c r="C175">
        <f>IF(B175=1,TRIM('INPUT - Roster'!C179&amp;""),C174)</f>
        <v/>
      </c>
      <c r="D175">
        <f>IF(AND(B175=0,TRIM('INPUT - Roster'!D179&amp;"")&lt;&gt;""),1,0)</f>
        <v/>
      </c>
      <c r="E175">
        <f>IF(D175=1,COUNTIF(D$2:D175,1),"")</f>
        <v/>
      </c>
      <c r="F175">
        <f>IF(B175=1,COUNTIF(B$2:B175,1),"")</f>
        <v/>
      </c>
    </row>
    <row r="176">
      <c r="A176" t="n">
        <v>180</v>
      </c>
      <c r="B176">
        <f>IF(AND(TRIM('INPUT - Roster'!C180&amp;"")&lt;&gt;"",TRIM('INPUT - Roster'!D180&amp;"")="",TRIM('INPUT - Roster'!E180&amp;"")=""),1,0)</f>
        <v/>
      </c>
      <c r="C176">
        <f>IF(B176=1,TRIM('INPUT - Roster'!C180&amp;""),C175)</f>
        <v/>
      </c>
      <c r="D176">
        <f>IF(AND(B176=0,TRIM('INPUT - Roster'!D180&amp;"")&lt;&gt;""),1,0)</f>
        <v/>
      </c>
      <c r="E176">
        <f>IF(D176=1,COUNTIF(D$2:D176,1),"")</f>
        <v/>
      </c>
      <c r="F176">
        <f>IF(B176=1,COUNTIF(B$2:B176,1),"")</f>
        <v/>
      </c>
    </row>
    <row r="177">
      <c r="A177" t="n">
        <v>181</v>
      </c>
      <c r="B177">
        <f>IF(AND(TRIM('INPUT - Roster'!C181&amp;"")&lt;&gt;"",TRIM('INPUT - Roster'!D181&amp;"")="",TRIM('INPUT - Roster'!E181&amp;"")=""),1,0)</f>
        <v/>
      </c>
      <c r="C177">
        <f>IF(B177=1,TRIM('INPUT - Roster'!C181&amp;""),C176)</f>
        <v/>
      </c>
      <c r="D177">
        <f>IF(AND(B177=0,TRIM('INPUT - Roster'!D181&amp;"")&lt;&gt;""),1,0)</f>
        <v/>
      </c>
      <c r="E177">
        <f>IF(D177=1,COUNTIF(D$2:D177,1),"")</f>
        <v/>
      </c>
      <c r="F177">
        <f>IF(B177=1,COUNTIF(B$2:B177,1),"")</f>
        <v/>
      </c>
    </row>
    <row r="178">
      <c r="A178" t="n">
        <v>182</v>
      </c>
      <c r="B178">
        <f>IF(AND(TRIM('INPUT - Roster'!C182&amp;"")&lt;&gt;"",TRIM('INPUT - Roster'!D182&amp;"")="",TRIM('INPUT - Roster'!E182&amp;"")=""),1,0)</f>
        <v/>
      </c>
      <c r="C178">
        <f>IF(B178=1,TRIM('INPUT - Roster'!C182&amp;""),C177)</f>
        <v/>
      </c>
      <c r="D178">
        <f>IF(AND(B178=0,TRIM('INPUT - Roster'!D182&amp;"")&lt;&gt;""),1,0)</f>
        <v/>
      </c>
      <c r="E178">
        <f>IF(D178=1,COUNTIF(D$2:D178,1),"")</f>
        <v/>
      </c>
      <c r="F178">
        <f>IF(B178=1,COUNTIF(B$2:B178,1),"")</f>
        <v/>
      </c>
    </row>
    <row r="179">
      <c r="A179" t="n">
        <v>183</v>
      </c>
      <c r="B179">
        <f>IF(AND(TRIM('INPUT - Roster'!C183&amp;"")&lt;&gt;"",TRIM('INPUT - Roster'!D183&amp;"")="",TRIM('INPUT - Roster'!E183&amp;"")=""),1,0)</f>
        <v/>
      </c>
      <c r="C179">
        <f>IF(B179=1,TRIM('INPUT - Roster'!C183&amp;""),C178)</f>
        <v/>
      </c>
      <c r="D179">
        <f>IF(AND(B179=0,TRIM('INPUT - Roster'!D183&amp;"")&lt;&gt;""),1,0)</f>
        <v/>
      </c>
      <c r="E179">
        <f>IF(D179=1,COUNTIF(D$2:D179,1),"")</f>
        <v/>
      </c>
      <c r="F179">
        <f>IF(B179=1,COUNTIF(B$2:B179,1),"")</f>
        <v/>
      </c>
    </row>
    <row r="180">
      <c r="A180" t="n">
        <v>184</v>
      </c>
      <c r="B180">
        <f>IF(AND(TRIM('INPUT - Roster'!C184&amp;"")&lt;&gt;"",TRIM('INPUT - Roster'!D184&amp;"")="",TRIM('INPUT - Roster'!E184&amp;"")=""),1,0)</f>
        <v/>
      </c>
      <c r="C180">
        <f>IF(B180=1,TRIM('INPUT - Roster'!C184&amp;""),C179)</f>
        <v/>
      </c>
      <c r="D180">
        <f>IF(AND(B180=0,TRIM('INPUT - Roster'!D184&amp;"")&lt;&gt;""),1,0)</f>
        <v/>
      </c>
      <c r="E180">
        <f>IF(D180=1,COUNTIF(D$2:D180,1),"")</f>
        <v/>
      </c>
      <c r="F180">
        <f>IF(B180=1,COUNTIF(B$2:B180,1),"")</f>
        <v/>
      </c>
    </row>
    <row r="181">
      <c r="A181" t="n">
        <v>185</v>
      </c>
      <c r="B181">
        <f>IF(AND(TRIM('INPUT - Roster'!C185&amp;"")&lt;&gt;"",TRIM('INPUT - Roster'!D185&amp;"")="",TRIM('INPUT - Roster'!E185&amp;"")=""),1,0)</f>
        <v/>
      </c>
      <c r="C181">
        <f>IF(B181=1,TRIM('INPUT - Roster'!C185&amp;""),C180)</f>
        <v/>
      </c>
      <c r="D181">
        <f>IF(AND(B181=0,TRIM('INPUT - Roster'!D185&amp;"")&lt;&gt;""),1,0)</f>
        <v/>
      </c>
      <c r="E181">
        <f>IF(D181=1,COUNTIF(D$2:D181,1),"")</f>
        <v/>
      </c>
      <c r="F181">
        <f>IF(B181=1,COUNTIF(B$2:B181,1),"")</f>
        <v/>
      </c>
    </row>
    <row r="182">
      <c r="A182" t="n">
        <v>186</v>
      </c>
      <c r="B182">
        <f>IF(AND(TRIM('INPUT - Roster'!C186&amp;"")&lt;&gt;"",TRIM('INPUT - Roster'!D186&amp;"")="",TRIM('INPUT - Roster'!E186&amp;"")=""),1,0)</f>
        <v/>
      </c>
      <c r="C182">
        <f>IF(B182=1,TRIM('INPUT - Roster'!C186&amp;""),C181)</f>
        <v/>
      </c>
      <c r="D182">
        <f>IF(AND(B182=0,TRIM('INPUT - Roster'!D186&amp;"")&lt;&gt;""),1,0)</f>
        <v/>
      </c>
      <c r="E182">
        <f>IF(D182=1,COUNTIF(D$2:D182,1),"")</f>
        <v/>
      </c>
      <c r="F182">
        <f>IF(B182=1,COUNTIF(B$2:B182,1),"")</f>
        <v/>
      </c>
    </row>
    <row r="183">
      <c r="A183" t="n">
        <v>187</v>
      </c>
      <c r="B183">
        <f>IF(AND(TRIM('INPUT - Roster'!C187&amp;"")&lt;&gt;"",TRIM('INPUT - Roster'!D187&amp;"")="",TRIM('INPUT - Roster'!E187&amp;"")=""),1,0)</f>
        <v/>
      </c>
      <c r="C183">
        <f>IF(B183=1,TRIM('INPUT - Roster'!C187&amp;""),C182)</f>
        <v/>
      </c>
      <c r="D183">
        <f>IF(AND(B183=0,TRIM('INPUT - Roster'!D187&amp;"")&lt;&gt;""),1,0)</f>
        <v/>
      </c>
      <c r="E183">
        <f>IF(D183=1,COUNTIF(D$2:D183,1),"")</f>
        <v/>
      </c>
      <c r="F183">
        <f>IF(B183=1,COUNTIF(B$2:B183,1),"")</f>
        <v/>
      </c>
    </row>
    <row r="184">
      <c r="A184" t="n">
        <v>188</v>
      </c>
      <c r="B184">
        <f>IF(AND(TRIM('INPUT - Roster'!C188&amp;"")&lt;&gt;"",TRIM('INPUT - Roster'!D188&amp;"")="",TRIM('INPUT - Roster'!E188&amp;"")=""),1,0)</f>
        <v/>
      </c>
      <c r="C184">
        <f>IF(B184=1,TRIM('INPUT - Roster'!C188&amp;""),C183)</f>
        <v/>
      </c>
      <c r="D184">
        <f>IF(AND(B184=0,TRIM('INPUT - Roster'!D188&amp;"")&lt;&gt;""),1,0)</f>
        <v/>
      </c>
      <c r="E184">
        <f>IF(D184=1,COUNTIF(D$2:D184,1),"")</f>
        <v/>
      </c>
      <c r="F184">
        <f>IF(B184=1,COUNTIF(B$2:B184,1),"")</f>
        <v/>
      </c>
    </row>
    <row r="185">
      <c r="A185" t="n">
        <v>189</v>
      </c>
      <c r="B185">
        <f>IF(AND(TRIM('INPUT - Roster'!C189&amp;"")&lt;&gt;"",TRIM('INPUT - Roster'!D189&amp;"")="",TRIM('INPUT - Roster'!E189&amp;"")=""),1,0)</f>
        <v/>
      </c>
      <c r="C185">
        <f>IF(B185=1,TRIM('INPUT - Roster'!C189&amp;""),C184)</f>
        <v/>
      </c>
      <c r="D185">
        <f>IF(AND(B185=0,TRIM('INPUT - Roster'!D189&amp;"")&lt;&gt;""),1,0)</f>
        <v/>
      </c>
      <c r="E185">
        <f>IF(D185=1,COUNTIF(D$2:D185,1),"")</f>
        <v/>
      </c>
      <c r="F185">
        <f>IF(B185=1,COUNTIF(B$2:B185,1),"")</f>
        <v/>
      </c>
    </row>
    <row r="186">
      <c r="A186" t="n">
        <v>190</v>
      </c>
      <c r="B186">
        <f>IF(AND(TRIM('INPUT - Roster'!C190&amp;"")&lt;&gt;"",TRIM('INPUT - Roster'!D190&amp;"")="",TRIM('INPUT - Roster'!E190&amp;"")=""),1,0)</f>
        <v/>
      </c>
      <c r="C186">
        <f>IF(B186=1,TRIM('INPUT - Roster'!C190&amp;""),C185)</f>
        <v/>
      </c>
      <c r="D186">
        <f>IF(AND(B186=0,TRIM('INPUT - Roster'!D190&amp;"")&lt;&gt;""),1,0)</f>
        <v/>
      </c>
      <c r="E186">
        <f>IF(D186=1,COUNTIF(D$2:D186,1),"")</f>
        <v/>
      </c>
      <c r="F186">
        <f>IF(B186=1,COUNTIF(B$2:B186,1),"")</f>
        <v/>
      </c>
    </row>
    <row r="187">
      <c r="A187" t="n">
        <v>191</v>
      </c>
      <c r="B187">
        <f>IF(AND(TRIM('INPUT - Roster'!C191&amp;"")&lt;&gt;"",TRIM('INPUT - Roster'!D191&amp;"")="",TRIM('INPUT - Roster'!E191&amp;"")=""),1,0)</f>
        <v/>
      </c>
      <c r="C187">
        <f>IF(B187=1,TRIM('INPUT - Roster'!C191&amp;""),C186)</f>
        <v/>
      </c>
      <c r="D187">
        <f>IF(AND(B187=0,TRIM('INPUT - Roster'!D191&amp;"")&lt;&gt;""),1,0)</f>
        <v/>
      </c>
      <c r="E187">
        <f>IF(D187=1,COUNTIF(D$2:D187,1),"")</f>
        <v/>
      </c>
      <c r="F187">
        <f>IF(B187=1,COUNTIF(B$2:B187,1),"")</f>
        <v/>
      </c>
    </row>
    <row r="188">
      <c r="A188" t="n">
        <v>192</v>
      </c>
      <c r="B188">
        <f>IF(AND(TRIM('INPUT - Roster'!C192&amp;"")&lt;&gt;"",TRIM('INPUT - Roster'!D192&amp;"")="",TRIM('INPUT - Roster'!E192&amp;"")=""),1,0)</f>
        <v/>
      </c>
      <c r="C188">
        <f>IF(B188=1,TRIM('INPUT - Roster'!C192&amp;""),C187)</f>
        <v/>
      </c>
      <c r="D188">
        <f>IF(AND(B188=0,TRIM('INPUT - Roster'!D192&amp;"")&lt;&gt;""),1,0)</f>
        <v/>
      </c>
      <c r="E188">
        <f>IF(D188=1,COUNTIF(D$2:D188,1),"")</f>
        <v/>
      </c>
      <c r="F188">
        <f>IF(B188=1,COUNTIF(B$2:B188,1),"")</f>
        <v/>
      </c>
    </row>
    <row r="189">
      <c r="A189" t="n">
        <v>193</v>
      </c>
      <c r="B189">
        <f>IF(AND(TRIM('INPUT - Roster'!C193&amp;"")&lt;&gt;"",TRIM('INPUT - Roster'!D193&amp;"")="",TRIM('INPUT - Roster'!E193&amp;"")=""),1,0)</f>
        <v/>
      </c>
      <c r="C189">
        <f>IF(B189=1,TRIM('INPUT - Roster'!C193&amp;""),C188)</f>
        <v/>
      </c>
      <c r="D189">
        <f>IF(AND(B189=0,TRIM('INPUT - Roster'!D193&amp;"")&lt;&gt;""),1,0)</f>
        <v/>
      </c>
      <c r="E189">
        <f>IF(D189=1,COUNTIF(D$2:D189,1),"")</f>
        <v/>
      </c>
      <c r="F189">
        <f>IF(B189=1,COUNTIF(B$2:B189,1),"")</f>
        <v/>
      </c>
    </row>
    <row r="190">
      <c r="A190" t="n">
        <v>194</v>
      </c>
      <c r="B190">
        <f>IF(AND(TRIM('INPUT - Roster'!C194&amp;"")&lt;&gt;"",TRIM('INPUT - Roster'!D194&amp;"")="",TRIM('INPUT - Roster'!E194&amp;"")=""),1,0)</f>
        <v/>
      </c>
      <c r="C190">
        <f>IF(B190=1,TRIM('INPUT - Roster'!C194&amp;""),C189)</f>
        <v/>
      </c>
      <c r="D190">
        <f>IF(AND(B190=0,TRIM('INPUT - Roster'!D194&amp;"")&lt;&gt;""),1,0)</f>
        <v/>
      </c>
      <c r="E190">
        <f>IF(D190=1,COUNTIF(D$2:D190,1),"")</f>
        <v/>
      </c>
      <c r="F190">
        <f>IF(B190=1,COUNTIF(B$2:B190,1),"")</f>
        <v/>
      </c>
    </row>
    <row r="191">
      <c r="A191" t="n">
        <v>195</v>
      </c>
      <c r="B191">
        <f>IF(AND(TRIM('INPUT - Roster'!C195&amp;"")&lt;&gt;"",TRIM('INPUT - Roster'!D195&amp;"")="",TRIM('INPUT - Roster'!E195&amp;"")=""),1,0)</f>
        <v/>
      </c>
      <c r="C191">
        <f>IF(B191=1,TRIM('INPUT - Roster'!C195&amp;""),C190)</f>
        <v/>
      </c>
      <c r="D191">
        <f>IF(AND(B191=0,TRIM('INPUT - Roster'!D195&amp;"")&lt;&gt;""),1,0)</f>
        <v/>
      </c>
      <c r="E191">
        <f>IF(D191=1,COUNTIF(D$2:D191,1),"")</f>
        <v/>
      </c>
      <c r="F191">
        <f>IF(B191=1,COUNTIF(B$2:B191,1),"")</f>
        <v/>
      </c>
    </row>
    <row r="192">
      <c r="A192" t="n">
        <v>196</v>
      </c>
      <c r="B192">
        <f>IF(AND(TRIM('INPUT - Roster'!C196&amp;"")&lt;&gt;"",TRIM('INPUT - Roster'!D196&amp;"")="",TRIM('INPUT - Roster'!E196&amp;"")=""),1,0)</f>
        <v/>
      </c>
      <c r="C192">
        <f>IF(B192=1,TRIM('INPUT - Roster'!C196&amp;""),C191)</f>
        <v/>
      </c>
      <c r="D192">
        <f>IF(AND(B192=0,TRIM('INPUT - Roster'!D196&amp;"")&lt;&gt;""),1,0)</f>
        <v/>
      </c>
      <c r="E192">
        <f>IF(D192=1,COUNTIF(D$2:D192,1),"")</f>
        <v/>
      </c>
      <c r="F192">
        <f>IF(B192=1,COUNTIF(B$2:B192,1),"")</f>
        <v/>
      </c>
    </row>
    <row r="193">
      <c r="A193" t="n">
        <v>197</v>
      </c>
      <c r="B193">
        <f>IF(AND(TRIM('INPUT - Roster'!C197&amp;"")&lt;&gt;"",TRIM('INPUT - Roster'!D197&amp;"")="",TRIM('INPUT - Roster'!E197&amp;"")=""),1,0)</f>
        <v/>
      </c>
      <c r="C193">
        <f>IF(B193=1,TRIM('INPUT - Roster'!C197&amp;""),C192)</f>
        <v/>
      </c>
      <c r="D193">
        <f>IF(AND(B193=0,TRIM('INPUT - Roster'!D197&amp;"")&lt;&gt;""),1,0)</f>
        <v/>
      </c>
      <c r="E193">
        <f>IF(D193=1,COUNTIF(D$2:D193,1),"")</f>
        <v/>
      </c>
      <c r="F193">
        <f>IF(B193=1,COUNTIF(B$2:B193,1),"")</f>
        <v/>
      </c>
    </row>
    <row r="194">
      <c r="A194" t="n">
        <v>198</v>
      </c>
      <c r="B194">
        <f>IF(AND(TRIM('INPUT - Roster'!C198&amp;"")&lt;&gt;"",TRIM('INPUT - Roster'!D198&amp;"")="",TRIM('INPUT - Roster'!E198&amp;"")=""),1,0)</f>
        <v/>
      </c>
      <c r="C194">
        <f>IF(B194=1,TRIM('INPUT - Roster'!C198&amp;""),C193)</f>
        <v/>
      </c>
      <c r="D194">
        <f>IF(AND(B194=0,TRIM('INPUT - Roster'!D198&amp;"")&lt;&gt;""),1,0)</f>
        <v/>
      </c>
      <c r="E194">
        <f>IF(D194=1,COUNTIF(D$2:D194,1),"")</f>
        <v/>
      </c>
      <c r="F194">
        <f>IF(B194=1,COUNTIF(B$2:B194,1),"")</f>
        <v/>
      </c>
    </row>
    <row r="195">
      <c r="A195" t="n">
        <v>199</v>
      </c>
      <c r="B195">
        <f>IF(AND(TRIM('INPUT - Roster'!C199&amp;"")&lt;&gt;"",TRIM('INPUT - Roster'!D199&amp;"")="",TRIM('INPUT - Roster'!E199&amp;"")=""),1,0)</f>
        <v/>
      </c>
      <c r="C195">
        <f>IF(B195=1,TRIM('INPUT - Roster'!C199&amp;""),C194)</f>
        <v/>
      </c>
      <c r="D195">
        <f>IF(AND(B195=0,TRIM('INPUT - Roster'!D199&amp;"")&lt;&gt;""),1,0)</f>
        <v/>
      </c>
      <c r="E195">
        <f>IF(D195=1,COUNTIF(D$2:D195,1),"")</f>
        <v/>
      </c>
      <c r="F195">
        <f>IF(B195=1,COUNTIF(B$2:B195,1),"")</f>
        <v/>
      </c>
    </row>
    <row r="196">
      <c r="A196" t="n">
        <v>200</v>
      </c>
      <c r="B196">
        <f>IF(AND(TRIM('INPUT - Roster'!C200&amp;"")&lt;&gt;"",TRIM('INPUT - Roster'!D200&amp;"")="",TRIM('INPUT - Roster'!E200&amp;"")=""),1,0)</f>
        <v/>
      </c>
      <c r="C196">
        <f>IF(B196=1,TRIM('INPUT - Roster'!C200&amp;""),C195)</f>
        <v/>
      </c>
      <c r="D196">
        <f>IF(AND(B196=0,TRIM('INPUT - Roster'!D200&amp;"")&lt;&gt;""),1,0)</f>
        <v/>
      </c>
      <c r="E196">
        <f>IF(D196=1,COUNTIF(D$2:D196,1),"")</f>
        <v/>
      </c>
      <c r="F196">
        <f>IF(B196=1,COUNTIF(B$2:B196,1),"")</f>
        <v/>
      </c>
    </row>
    <row r="197">
      <c r="A197" t="n">
        <v>201</v>
      </c>
      <c r="B197">
        <f>IF(AND(TRIM('INPUT - Roster'!C201&amp;"")&lt;&gt;"",TRIM('INPUT - Roster'!D201&amp;"")="",TRIM('INPUT - Roster'!E201&amp;"")=""),1,0)</f>
        <v/>
      </c>
      <c r="C197">
        <f>IF(B197=1,TRIM('INPUT - Roster'!C201&amp;""),C196)</f>
        <v/>
      </c>
      <c r="D197">
        <f>IF(AND(B197=0,TRIM('INPUT - Roster'!D201&amp;"")&lt;&gt;""),1,0)</f>
        <v/>
      </c>
      <c r="E197">
        <f>IF(D197=1,COUNTIF(D$2:D197,1),"")</f>
        <v/>
      </c>
      <c r="F197">
        <f>IF(B197=1,COUNTIF(B$2:B197,1),"")</f>
        <v/>
      </c>
    </row>
    <row r="198">
      <c r="A198" t="n">
        <v>202</v>
      </c>
      <c r="B198">
        <f>IF(AND(TRIM('INPUT - Roster'!C202&amp;"")&lt;&gt;"",TRIM('INPUT - Roster'!D202&amp;"")="",TRIM('INPUT - Roster'!E202&amp;"")=""),1,0)</f>
        <v/>
      </c>
      <c r="C198">
        <f>IF(B198=1,TRIM('INPUT - Roster'!C202&amp;""),C197)</f>
        <v/>
      </c>
      <c r="D198">
        <f>IF(AND(B198=0,TRIM('INPUT - Roster'!D202&amp;"")&lt;&gt;""),1,0)</f>
        <v/>
      </c>
      <c r="E198">
        <f>IF(D198=1,COUNTIF(D$2:D198,1),"")</f>
        <v/>
      </c>
      <c r="F198">
        <f>IF(B198=1,COUNTIF(B$2:B198,1),"")</f>
        <v/>
      </c>
    </row>
    <row r="199">
      <c r="A199" t="n">
        <v>203</v>
      </c>
      <c r="B199">
        <f>IF(AND(TRIM('INPUT - Roster'!C203&amp;"")&lt;&gt;"",TRIM('INPUT - Roster'!D203&amp;"")="",TRIM('INPUT - Roster'!E203&amp;"")=""),1,0)</f>
        <v/>
      </c>
      <c r="C199">
        <f>IF(B199=1,TRIM('INPUT - Roster'!C203&amp;""),C198)</f>
        <v/>
      </c>
      <c r="D199">
        <f>IF(AND(B199=0,TRIM('INPUT - Roster'!D203&amp;"")&lt;&gt;""),1,0)</f>
        <v/>
      </c>
      <c r="E199">
        <f>IF(D199=1,COUNTIF(D$2:D199,1),"")</f>
        <v/>
      </c>
      <c r="F199">
        <f>IF(B199=1,COUNTIF(B$2:B199,1),"")</f>
        <v/>
      </c>
    </row>
    <row r="200">
      <c r="A200" t="n">
        <v>204</v>
      </c>
      <c r="B200">
        <f>IF(AND(TRIM('INPUT - Roster'!C204&amp;"")&lt;&gt;"",TRIM('INPUT - Roster'!D204&amp;"")="",TRIM('INPUT - Roster'!E204&amp;"")=""),1,0)</f>
        <v/>
      </c>
      <c r="C200">
        <f>IF(B200=1,TRIM('INPUT - Roster'!C204&amp;""),C199)</f>
        <v/>
      </c>
      <c r="D200">
        <f>IF(AND(B200=0,TRIM('INPUT - Roster'!D204&amp;"")&lt;&gt;""),1,0)</f>
        <v/>
      </c>
      <c r="E200">
        <f>IF(D200=1,COUNTIF(D$2:D200,1),"")</f>
        <v/>
      </c>
      <c r="F200">
        <f>IF(B200=1,COUNTIF(B$2:B200,1),"")</f>
        <v/>
      </c>
    </row>
    <row r="201">
      <c r="A201" t="n">
        <v>205</v>
      </c>
      <c r="B201">
        <f>IF(AND(TRIM('INPUT - Roster'!C205&amp;"")&lt;&gt;"",TRIM('INPUT - Roster'!D205&amp;"")="",TRIM('INPUT - Roster'!E205&amp;"")=""),1,0)</f>
        <v/>
      </c>
      <c r="C201">
        <f>IF(B201=1,TRIM('INPUT - Roster'!C205&amp;""),C200)</f>
        <v/>
      </c>
      <c r="D201">
        <f>IF(AND(B201=0,TRIM('INPUT - Roster'!D205&amp;"")&lt;&gt;""),1,0)</f>
        <v/>
      </c>
      <c r="E201">
        <f>IF(D201=1,COUNTIF(D$2:D201,1),"")</f>
        <v/>
      </c>
      <c r="F201">
        <f>IF(B201=1,COUNTIF(B$2:B201,1),"")</f>
        <v/>
      </c>
    </row>
    <row r="202">
      <c r="A202" t="n">
        <v>206</v>
      </c>
      <c r="B202">
        <f>IF(AND(TRIM('INPUT - Roster'!C206&amp;"")&lt;&gt;"",TRIM('INPUT - Roster'!D206&amp;"")="",TRIM('INPUT - Roster'!E206&amp;"")=""),1,0)</f>
        <v/>
      </c>
      <c r="C202">
        <f>IF(B202=1,TRIM('INPUT - Roster'!C206&amp;""),C201)</f>
        <v/>
      </c>
      <c r="D202">
        <f>IF(AND(B202=0,TRIM('INPUT - Roster'!D206&amp;"")&lt;&gt;""),1,0)</f>
        <v/>
      </c>
      <c r="E202">
        <f>IF(D202=1,COUNTIF(D$2:D202,1),"")</f>
        <v/>
      </c>
      <c r="F202">
        <f>IF(B202=1,COUNTIF(B$2:B202,1),"")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2026-10-21T02:37:38Z</dcterms:created>
  <dcterms:modified xmlns:dcterms="http://purl.org/dc/terms/" xmlns:xsi="http://www.w3.org/2001/XMLSchema-instance" xsi:type="dcterms:W3CDTF">2026-10-22T07:42:41Z</dcterms:modified>
  <cp:lastModifiedBy>JOUDEH, Abdallah</cp:lastModifiedBy>
  <cp:revision>1</cp:revision>
</cp:coreProperties>
</file>

<file path=docProps/custom.xml><?xml version="1.0" encoding="utf-8"?>
<Properties xmlns="http://schemas.openxmlformats.org/officeDocument/2006/custom-properties">
  <property name="MSIP_Label_57903732-8a6f-4e0e-952b-fe0b250d49cc_Enabled" fmtid="{D5CDD505-2E9C-101B-9397-08002B2CF9AE}" pid="2">
    <vt:lpwstr xmlns:vt="http://schemas.openxmlformats.org/officeDocument/2006/docPropsVTypes">true</vt:lpwstr>
  </property>
  <property name="MSIP_Label_57903732-8a6f-4e0e-952b-fe0b250d49cc_SetDate" fmtid="{D5CDD505-2E9C-101B-9397-08002B2CF9AE}" pid="3">
    <vt:lpwstr xmlns:vt="http://schemas.openxmlformats.org/officeDocument/2006/docPropsVTypes">2026-10-21T02:41:27Z</vt:lpwstr>
  </property>
  <property name="MSIP_Label_57903732-8a6f-4e0e-952b-fe0b250d49cc_Method" fmtid="{D5CDD505-2E9C-101B-9397-08002B2CF9AE}" pid="4">
    <vt:lpwstr xmlns:vt="http://schemas.openxmlformats.org/officeDocument/2006/docPropsVTypes">Standard</vt:lpwstr>
  </property>
  <property name="MSIP_Label_57903732-8a6f-4e0e-952b-fe0b250d49cc_Name" fmtid="{D5CDD505-2E9C-101B-9397-08002B2CF9AE}" pid="5">
    <vt:lpwstr xmlns:vt="http://schemas.openxmlformats.org/officeDocument/2006/docPropsVTypes">1- General Business</vt:lpwstr>
  </property>
  <property name="MSIP_Label_57903732-8a6f-4e0e-952b-fe0b250d49cc_SiteId" fmtid="{D5CDD505-2E9C-101B-9397-08002B2CF9AE}" pid="6">
    <vt:lpwstr xmlns:vt="http://schemas.openxmlformats.org/officeDocument/2006/docPropsVTypes">90f1aac4-c661-46a9-83fd-e021705adcc9</vt:lpwstr>
  </property>
  <property name="MSIP_Label_57903732-8a6f-4e0e-952b-fe0b250d49cc_ActionId" fmtid="{D5CDD505-2E9C-101B-9397-08002B2CF9AE}" pid="7">
    <vt:lpwstr xmlns:vt="http://schemas.openxmlformats.org/officeDocument/2006/docPropsVTypes">203d0775-9275-4781-8bea-b032ef31a99d</vt:lpwstr>
  </property>
  <property name="MSIP_Label_57903732-8a6f-4e0e-952b-fe0b250d49cc_ContentBits" fmtid="{D5CDD505-2E9C-101B-9397-08002B2CF9AE}" pid="8">
    <vt:lpwstr xmlns:vt="http://schemas.openxmlformats.org/officeDocument/2006/docPropsVTypes">1</vt:lpwstr>
  </property>
  <property name="MSIP_Label_57903732-8a6f-4e0e-952b-fe0b250d49cc_Tag" fmtid="{D5CDD505-2E9C-101B-9397-08002B2CF9AE}" pid="9">
    <vt:lpwstr xmlns:vt="http://schemas.openxmlformats.org/officeDocument/2006/docPropsVTypes">10, 3, 0, 1</vt:lpwstr>
  </property>
</Properties>
</file>